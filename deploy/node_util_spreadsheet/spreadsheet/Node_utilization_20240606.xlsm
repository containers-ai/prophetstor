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mc:AlternateContent xmlns:mc="http://schemas.openxmlformats.org/markup-compatibility/2006">
    <mc:Choice Requires="x15">
      <x15ac:absPath xmlns:x15ac="http://schemas.microsoft.com/office/spreadsheetml/2010/11/ac" url="C:\Data\"/>
    </mc:Choice>
  </mc:AlternateContent>
  <xr:revisionPtr revIDLastSave="0" documentId="13_ncr:1_{2AC02D04-1B81-4CF0-BCFF-9B8A87F7A4B1}" xr6:coauthVersionLast="47" xr6:coauthVersionMax="47" xr10:uidLastSave="{00000000-0000-0000-0000-000000000000}"/>
  <bookViews>
    <workbookView xWindow="2625" yWindow="345" windowWidth="24090" windowHeight="14745" activeTab="1" xr2:uid="{00000000-000D-0000-FFFF-FFFF00000000}"/>
  </bookViews>
  <sheets>
    <sheet name="node" sheetId="1" r:id="rId1"/>
    <sheet name="deployment" sheetId="2" r:id="rId2"/>
    <sheet name="namespace" sheetId="12" state="hidden" r:id="rId3"/>
    <sheet name="capacity" sheetId="3" r:id="rId4"/>
    <sheet name="dynamic resource application " sheetId="13" state="hidden" r:id="rId5"/>
    <sheet name="node-raw" sheetId="7" state="hidden" r:id="rId6"/>
    <sheet name="deployment-raw" sheetId="8" state="hidden" r:id="rId7"/>
    <sheet name="namespace-raw" sheetId="11" state="hidden" r:id="rId8"/>
  </sheets>
  <definedNames>
    <definedName name="_xlnm._FilterDatabase" localSheetId="1" hidden="1">deployment!$A$3:$I$1002</definedName>
    <definedName name="_xlnm._FilterDatabase" localSheetId="2" hidden="1">namespace!$A$3:$F$4</definedName>
    <definedName name="_xlnm._FilterDatabase" localSheetId="0" hidden="1">node!$A$1:$I$1</definedName>
    <definedName name="ExternalData_1" localSheetId="7" hidden="1">'namespace-raw'!$A$2:$R$4</definedName>
    <definedName name="ExternalData_2" localSheetId="5" hidden="1">'node-raw'!$A$1:$L$2</definedName>
    <definedName name="ExternalData_3" localSheetId="6" hidden="1">'deployment-raw'!$A$2:$U$4</definedName>
    <definedName name="_xlnm.Extract" localSheetId="3">capacity!#REF!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10" roundtripDataSignature="AMtx7mgui3ahraFjMZuGL135K9JftOaw/g=="/>
    </ext>
  </extLst>
</workbook>
</file>

<file path=xl/calcChain.xml><?xml version="1.0" encoding="utf-8"?>
<calcChain xmlns="http://schemas.openxmlformats.org/spreadsheetml/2006/main">
  <c r="S1002" i="2" l="1"/>
  <c r="R1002" i="2"/>
  <c r="S1001" i="2"/>
  <c r="R1001" i="2"/>
  <c r="S1000" i="2"/>
  <c r="R1000" i="2"/>
  <c r="S999" i="2"/>
  <c r="R999" i="2"/>
  <c r="S998" i="2"/>
  <c r="R998" i="2"/>
  <c r="S997" i="2"/>
  <c r="R997" i="2"/>
  <c r="S996" i="2"/>
  <c r="R996" i="2"/>
  <c r="S995" i="2"/>
  <c r="R995" i="2"/>
  <c r="S994" i="2"/>
  <c r="R994" i="2"/>
  <c r="S993" i="2"/>
  <c r="R993" i="2"/>
  <c r="S992" i="2"/>
  <c r="R992" i="2"/>
  <c r="S991" i="2"/>
  <c r="R991" i="2"/>
  <c r="S990" i="2"/>
  <c r="R990" i="2"/>
  <c r="S989" i="2"/>
  <c r="R989" i="2"/>
  <c r="S988" i="2"/>
  <c r="R988" i="2"/>
  <c r="S987" i="2"/>
  <c r="R987" i="2"/>
  <c r="S986" i="2"/>
  <c r="R986" i="2"/>
  <c r="S985" i="2"/>
  <c r="R985" i="2"/>
  <c r="S984" i="2"/>
  <c r="R984" i="2"/>
  <c r="S983" i="2"/>
  <c r="R983" i="2"/>
  <c r="S982" i="2"/>
  <c r="R982" i="2"/>
  <c r="S981" i="2"/>
  <c r="R981" i="2"/>
  <c r="S980" i="2"/>
  <c r="R980" i="2"/>
  <c r="S979" i="2"/>
  <c r="R979" i="2"/>
  <c r="S978" i="2"/>
  <c r="R978" i="2"/>
  <c r="S977" i="2"/>
  <c r="R977" i="2"/>
  <c r="S976" i="2"/>
  <c r="R976" i="2"/>
  <c r="S975" i="2"/>
  <c r="R975" i="2"/>
  <c r="S974" i="2"/>
  <c r="R974" i="2"/>
  <c r="S973" i="2"/>
  <c r="R973" i="2"/>
  <c r="S972" i="2"/>
  <c r="R972" i="2"/>
  <c r="S971" i="2"/>
  <c r="R971" i="2"/>
  <c r="S970" i="2"/>
  <c r="R970" i="2"/>
  <c r="S969" i="2"/>
  <c r="R969" i="2"/>
  <c r="S968" i="2"/>
  <c r="R968" i="2"/>
  <c r="S967" i="2"/>
  <c r="R967" i="2"/>
  <c r="S966" i="2"/>
  <c r="R966" i="2"/>
  <c r="S965" i="2"/>
  <c r="R965" i="2"/>
  <c r="S964" i="2"/>
  <c r="R964" i="2"/>
  <c r="S963" i="2"/>
  <c r="R963" i="2"/>
  <c r="S962" i="2"/>
  <c r="R962" i="2"/>
  <c r="S961" i="2"/>
  <c r="R961" i="2"/>
  <c r="S960" i="2"/>
  <c r="R960" i="2"/>
  <c r="S959" i="2"/>
  <c r="R959" i="2"/>
  <c r="S958" i="2"/>
  <c r="R958" i="2"/>
  <c r="S957" i="2"/>
  <c r="R957" i="2"/>
  <c r="S956" i="2"/>
  <c r="R956" i="2"/>
  <c r="S955" i="2"/>
  <c r="R955" i="2"/>
  <c r="S954" i="2"/>
  <c r="R954" i="2"/>
  <c r="S953" i="2"/>
  <c r="R953" i="2"/>
  <c r="S952" i="2"/>
  <c r="R952" i="2"/>
  <c r="S951" i="2"/>
  <c r="R951" i="2"/>
  <c r="S950" i="2"/>
  <c r="R950" i="2"/>
  <c r="S949" i="2"/>
  <c r="R949" i="2"/>
  <c r="S948" i="2"/>
  <c r="R948" i="2"/>
  <c r="S947" i="2"/>
  <c r="R947" i="2"/>
  <c r="S946" i="2"/>
  <c r="R946" i="2"/>
  <c r="S945" i="2"/>
  <c r="R945" i="2"/>
  <c r="S944" i="2"/>
  <c r="R944" i="2"/>
  <c r="S943" i="2"/>
  <c r="R943" i="2"/>
  <c r="S942" i="2"/>
  <c r="R942" i="2"/>
  <c r="S941" i="2"/>
  <c r="R941" i="2"/>
  <c r="S940" i="2"/>
  <c r="R940" i="2"/>
  <c r="S939" i="2"/>
  <c r="R939" i="2"/>
  <c r="S938" i="2"/>
  <c r="R938" i="2"/>
  <c r="S937" i="2"/>
  <c r="R937" i="2"/>
  <c r="S936" i="2"/>
  <c r="R936" i="2"/>
  <c r="S935" i="2"/>
  <c r="R935" i="2"/>
  <c r="S934" i="2"/>
  <c r="R934" i="2"/>
  <c r="S933" i="2"/>
  <c r="R933" i="2"/>
  <c r="S932" i="2"/>
  <c r="R932" i="2"/>
  <c r="S931" i="2"/>
  <c r="R931" i="2"/>
  <c r="S930" i="2"/>
  <c r="R930" i="2"/>
  <c r="S929" i="2"/>
  <c r="R929" i="2"/>
  <c r="S928" i="2"/>
  <c r="R928" i="2"/>
  <c r="S927" i="2"/>
  <c r="R927" i="2"/>
  <c r="S926" i="2"/>
  <c r="R926" i="2"/>
  <c r="S925" i="2"/>
  <c r="R925" i="2"/>
  <c r="S924" i="2"/>
  <c r="R924" i="2"/>
  <c r="S923" i="2"/>
  <c r="R923" i="2"/>
  <c r="S922" i="2"/>
  <c r="R922" i="2"/>
  <c r="S921" i="2"/>
  <c r="R921" i="2"/>
  <c r="S920" i="2"/>
  <c r="R920" i="2"/>
  <c r="S919" i="2"/>
  <c r="R919" i="2"/>
  <c r="S918" i="2"/>
  <c r="R918" i="2"/>
  <c r="S917" i="2"/>
  <c r="R917" i="2"/>
  <c r="S916" i="2"/>
  <c r="R916" i="2"/>
  <c r="S915" i="2"/>
  <c r="R915" i="2"/>
  <c r="S914" i="2"/>
  <c r="R914" i="2"/>
  <c r="S913" i="2"/>
  <c r="R913" i="2"/>
  <c r="S912" i="2"/>
  <c r="R912" i="2"/>
  <c r="S911" i="2"/>
  <c r="R911" i="2"/>
  <c r="S910" i="2"/>
  <c r="R910" i="2"/>
  <c r="S909" i="2"/>
  <c r="R909" i="2"/>
  <c r="S908" i="2"/>
  <c r="R908" i="2"/>
  <c r="S907" i="2"/>
  <c r="R907" i="2"/>
  <c r="S906" i="2"/>
  <c r="R906" i="2"/>
  <c r="S905" i="2"/>
  <c r="R905" i="2"/>
  <c r="S904" i="2"/>
  <c r="R904" i="2"/>
  <c r="S903" i="2"/>
  <c r="R903" i="2"/>
  <c r="S902" i="2"/>
  <c r="R902" i="2"/>
  <c r="S901" i="2"/>
  <c r="R901" i="2"/>
  <c r="S900" i="2"/>
  <c r="R900" i="2"/>
  <c r="S899" i="2"/>
  <c r="R899" i="2"/>
  <c r="S898" i="2"/>
  <c r="R898" i="2"/>
  <c r="S897" i="2"/>
  <c r="R897" i="2"/>
  <c r="S896" i="2"/>
  <c r="R896" i="2"/>
  <c r="S895" i="2"/>
  <c r="R895" i="2"/>
  <c r="S894" i="2"/>
  <c r="R894" i="2"/>
  <c r="S893" i="2"/>
  <c r="R893" i="2"/>
  <c r="S892" i="2"/>
  <c r="R892" i="2"/>
  <c r="S891" i="2"/>
  <c r="R891" i="2"/>
  <c r="S890" i="2"/>
  <c r="R890" i="2"/>
  <c r="S889" i="2"/>
  <c r="R889" i="2"/>
  <c r="S888" i="2"/>
  <c r="R888" i="2"/>
  <c r="S887" i="2"/>
  <c r="R887" i="2"/>
  <c r="S886" i="2"/>
  <c r="R886" i="2"/>
  <c r="S885" i="2"/>
  <c r="R885" i="2"/>
  <c r="S884" i="2"/>
  <c r="R884" i="2"/>
  <c r="S883" i="2"/>
  <c r="R883" i="2"/>
  <c r="S882" i="2"/>
  <c r="R882" i="2"/>
  <c r="S881" i="2"/>
  <c r="R881" i="2"/>
  <c r="S880" i="2"/>
  <c r="R880" i="2"/>
  <c r="S879" i="2"/>
  <c r="R879" i="2"/>
  <c r="S878" i="2"/>
  <c r="R878" i="2"/>
  <c r="S877" i="2"/>
  <c r="R877" i="2"/>
  <c r="S876" i="2"/>
  <c r="R876" i="2"/>
  <c r="S875" i="2"/>
  <c r="R875" i="2"/>
  <c r="S874" i="2"/>
  <c r="R874" i="2"/>
  <c r="S873" i="2"/>
  <c r="R873" i="2"/>
  <c r="S872" i="2"/>
  <c r="R872" i="2"/>
  <c r="S871" i="2"/>
  <c r="R871" i="2"/>
  <c r="S870" i="2"/>
  <c r="R870" i="2"/>
  <c r="S869" i="2"/>
  <c r="R869" i="2"/>
  <c r="S868" i="2"/>
  <c r="R868" i="2"/>
  <c r="S867" i="2"/>
  <c r="R867" i="2"/>
  <c r="S866" i="2"/>
  <c r="R866" i="2"/>
  <c r="S865" i="2"/>
  <c r="R865" i="2"/>
  <c r="S864" i="2"/>
  <c r="R864" i="2"/>
  <c r="S863" i="2"/>
  <c r="R863" i="2"/>
  <c r="S862" i="2"/>
  <c r="R862" i="2"/>
  <c r="S861" i="2"/>
  <c r="R861" i="2"/>
  <c r="S860" i="2"/>
  <c r="R860" i="2"/>
  <c r="S859" i="2"/>
  <c r="R859" i="2"/>
  <c r="S858" i="2"/>
  <c r="R858" i="2"/>
  <c r="S857" i="2"/>
  <c r="R857" i="2"/>
  <c r="S856" i="2"/>
  <c r="R856" i="2"/>
  <c r="S855" i="2"/>
  <c r="R855" i="2"/>
  <c r="S854" i="2"/>
  <c r="R854" i="2"/>
  <c r="S853" i="2"/>
  <c r="R853" i="2"/>
  <c r="S852" i="2"/>
  <c r="R852" i="2"/>
  <c r="S851" i="2"/>
  <c r="R851" i="2"/>
  <c r="S850" i="2"/>
  <c r="R850" i="2"/>
  <c r="S849" i="2"/>
  <c r="R849" i="2"/>
  <c r="S848" i="2"/>
  <c r="R848" i="2"/>
  <c r="S847" i="2"/>
  <c r="R847" i="2"/>
  <c r="S846" i="2"/>
  <c r="R846" i="2"/>
  <c r="S845" i="2"/>
  <c r="R845" i="2"/>
  <c r="S844" i="2"/>
  <c r="R844" i="2"/>
  <c r="S843" i="2"/>
  <c r="R843" i="2"/>
  <c r="S842" i="2"/>
  <c r="R842" i="2"/>
  <c r="S841" i="2"/>
  <c r="R841" i="2"/>
  <c r="S840" i="2"/>
  <c r="R840" i="2"/>
  <c r="S839" i="2"/>
  <c r="R839" i="2"/>
  <c r="S838" i="2"/>
  <c r="R838" i="2"/>
  <c r="S837" i="2"/>
  <c r="R837" i="2"/>
  <c r="S836" i="2"/>
  <c r="R836" i="2"/>
  <c r="S835" i="2"/>
  <c r="R835" i="2"/>
  <c r="S834" i="2"/>
  <c r="R834" i="2"/>
  <c r="S833" i="2"/>
  <c r="R833" i="2"/>
  <c r="S832" i="2"/>
  <c r="R832" i="2"/>
  <c r="S831" i="2"/>
  <c r="R831" i="2"/>
  <c r="S830" i="2"/>
  <c r="R830" i="2"/>
  <c r="S829" i="2"/>
  <c r="R829" i="2"/>
  <c r="S828" i="2"/>
  <c r="R828" i="2"/>
  <c r="S827" i="2"/>
  <c r="R827" i="2"/>
  <c r="S826" i="2"/>
  <c r="R826" i="2"/>
  <c r="S825" i="2"/>
  <c r="R825" i="2"/>
  <c r="S824" i="2"/>
  <c r="R824" i="2"/>
  <c r="S823" i="2"/>
  <c r="R823" i="2"/>
  <c r="S822" i="2"/>
  <c r="R822" i="2"/>
  <c r="S821" i="2"/>
  <c r="R821" i="2"/>
  <c r="S820" i="2"/>
  <c r="R820" i="2"/>
  <c r="S819" i="2"/>
  <c r="R819" i="2"/>
  <c r="S818" i="2"/>
  <c r="R818" i="2"/>
  <c r="S817" i="2"/>
  <c r="R817" i="2"/>
  <c r="S816" i="2"/>
  <c r="R816" i="2"/>
  <c r="S815" i="2"/>
  <c r="R815" i="2"/>
  <c r="S814" i="2"/>
  <c r="R814" i="2"/>
  <c r="S813" i="2"/>
  <c r="R813" i="2"/>
  <c r="S812" i="2"/>
  <c r="R812" i="2"/>
  <c r="S811" i="2"/>
  <c r="R811" i="2"/>
  <c r="S810" i="2"/>
  <c r="R810" i="2"/>
  <c r="S809" i="2"/>
  <c r="R809" i="2"/>
  <c r="S808" i="2"/>
  <c r="R808" i="2"/>
  <c r="S807" i="2"/>
  <c r="R807" i="2"/>
  <c r="S806" i="2"/>
  <c r="R806" i="2"/>
  <c r="S805" i="2"/>
  <c r="R805" i="2"/>
  <c r="S804" i="2"/>
  <c r="R804" i="2"/>
  <c r="S803" i="2"/>
  <c r="R803" i="2"/>
  <c r="S802" i="2"/>
  <c r="R802" i="2"/>
  <c r="S801" i="2"/>
  <c r="R801" i="2"/>
  <c r="S800" i="2"/>
  <c r="R800" i="2"/>
  <c r="S799" i="2"/>
  <c r="R799" i="2"/>
  <c r="S798" i="2"/>
  <c r="R798" i="2"/>
  <c r="S797" i="2"/>
  <c r="R797" i="2"/>
  <c r="S796" i="2"/>
  <c r="R796" i="2"/>
  <c r="S795" i="2"/>
  <c r="R795" i="2"/>
  <c r="S794" i="2"/>
  <c r="R794" i="2"/>
  <c r="S793" i="2"/>
  <c r="R793" i="2"/>
  <c r="S792" i="2"/>
  <c r="R792" i="2"/>
  <c r="S791" i="2"/>
  <c r="R791" i="2"/>
  <c r="S790" i="2"/>
  <c r="R790" i="2"/>
  <c r="S789" i="2"/>
  <c r="R789" i="2"/>
  <c r="S788" i="2"/>
  <c r="R788" i="2"/>
  <c r="S787" i="2"/>
  <c r="R787" i="2"/>
  <c r="S786" i="2"/>
  <c r="R786" i="2"/>
  <c r="S785" i="2"/>
  <c r="R785" i="2"/>
  <c r="S784" i="2"/>
  <c r="R784" i="2"/>
  <c r="S783" i="2"/>
  <c r="R783" i="2"/>
  <c r="S782" i="2"/>
  <c r="R782" i="2"/>
  <c r="S781" i="2"/>
  <c r="R781" i="2"/>
  <c r="S780" i="2"/>
  <c r="R780" i="2"/>
  <c r="S779" i="2"/>
  <c r="R779" i="2"/>
  <c r="S778" i="2"/>
  <c r="R778" i="2"/>
  <c r="S777" i="2"/>
  <c r="R777" i="2"/>
  <c r="S776" i="2"/>
  <c r="R776" i="2"/>
  <c r="S775" i="2"/>
  <c r="R775" i="2"/>
  <c r="S774" i="2"/>
  <c r="R774" i="2"/>
  <c r="S773" i="2"/>
  <c r="R773" i="2"/>
  <c r="S772" i="2"/>
  <c r="R772" i="2"/>
  <c r="S771" i="2"/>
  <c r="R771" i="2"/>
  <c r="S770" i="2"/>
  <c r="R770" i="2"/>
  <c r="S769" i="2"/>
  <c r="R769" i="2"/>
  <c r="S768" i="2"/>
  <c r="R768" i="2"/>
  <c r="S767" i="2"/>
  <c r="R767" i="2"/>
  <c r="S766" i="2"/>
  <c r="R766" i="2"/>
  <c r="S765" i="2"/>
  <c r="R765" i="2"/>
  <c r="S764" i="2"/>
  <c r="R764" i="2"/>
  <c r="S763" i="2"/>
  <c r="R763" i="2"/>
  <c r="S762" i="2"/>
  <c r="R762" i="2"/>
  <c r="S761" i="2"/>
  <c r="R761" i="2"/>
  <c r="S760" i="2"/>
  <c r="R760" i="2"/>
  <c r="S759" i="2"/>
  <c r="R759" i="2"/>
  <c r="S758" i="2"/>
  <c r="R758" i="2"/>
  <c r="S757" i="2"/>
  <c r="R757" i="2"/>
  <c r="S756" i="2"/>
  <c r="R756" i="2"/>
  <c r="S755" i="2"/>
  <c r="R755" i="2"/>
  <c r="S754" i="2"/>
  <c r="R754" i="2"/>
  <c r="S753" i="2"/>
  <c r="R753" i="2"/>
  <c r="S752" i="2"/>
  <c r="R752" i="2"/>
  <c r="S751" i="2"/>
  <c r="R751" i="2"/>
  <c r="S750" i="2"/>
  <c r="R750" i="2"/>
  <c r="S749" i="2"/>
  <c r="R749" i="2"/>
  <c r="S748" i="2"/>
  <c r="R748" i="2"/>
  <c r="S747" i="2"/>
  <c r="R747" i="2"/>
  <c r="S746" i="2"/>
  <c r="R746" i="2"/>
  <c r="S745" i="2"/>
  <c r="R745" i="2"/>
  <c r="S744" i="2"/>
  <c r="R744" i="2"/>
  <c r="S743" i="2"/>
  <c r="R743" i="2"/>
  <c r="S742" i="2"/>
  <c r="R742" i="2"/>
  <c r="S741" i="2"/>
  <c r="R741" i="2"/>
  <c r="S740" i="2"/>
  <c r="R740" i="2"/>
  <c r="S739" i="2"/>
  <c r="R739" i="2"/>
  <c r="S738" i="2"/>
  <c r="R738" i="2"/>
  <c r="S737" i="2"/>
  <c r="R737" i="2"/>
  <c r="S736" i="2"/>
  <c r="R736" i="2"/>
  <c r="S735" i="2"/>
  <c r="R735" i="2"/>
  <c r="S734" i="2"/>
  <c r="R734" i="2"/>
  <c r="S733" i="2"/>
  <c r="R733" i="2"/>
  <c r="S732" i="2"/>
  <c r="R732" i="2"/>
  <c r="S731" i="2"/>
  <c r="R731" i="2"/>
  <c r="S730" i="2"/>
  <c r="R730" i="2"/>
  <c r="S729" i="2"/>
  <c r="R729" i="2"/>
  <c r="S728" i="2"/>
  <c r="R728" i="2"/>
  <c r="S727" i="2"/>
  <c r="R727" i="2"/>
  <c r="S726" i="2"/>
  <c r="R726" i="2"/>
  <c r="S725" i="2"/>
  <c r="R725" i="2"/>
  <c r="S724" i="2"/>
  <c r="R724" i="2"/>
  <c r="S723" i="2"/>
  <c r="R723" i="2"/>
  <c r="S722" i="2"/>
  <c r="R722" i="2"/>
  <c r="S721" i="2"/>
  <c r="R721" i="2"/>
  <c r="S720" i="2"/>
  <c r="R720" i="2"/>
  <c r="S719" i="2"/>
  <c r="R719" i="2"/>
  <c r="S718" i="2"/>
  <c r="R718" i="2"/>
  <c r="S717" i="2"/>
  <c r="R717" i="2"/>
  <c r="S716" i="2"/>
  <c r="R716" i="2"/>
  <c r="S715" i="2"/>
  <c r="R715" i="2"/>
  <c r="S714" i="2"/>
  <c r="R714" i="2"/>
  <c r="S713" i="2"/>
  <c r="R713" i="2"/>
  <c r="S712" i="2"/>
  <c r="R712" i="2"/>
  <c r="S711" i="2"/>
  <c r="R711" i="2"/>
  <c r="S710" i="2"/>
  <c r="R710" i="2"/>
  <c r="S709" i="2"/>
  <c r="R709" i="2"/>
  <c r="S708" i="2"/>
  <c r="R708" i="2"/>
  <c r="S707" i="2"/>
  <c r="R707" i="2"/>
  <c r="S706" i="2"/>
  <c r="R706" i="2"/>
  <c r="S705" i="2"/>
  <c r="R705" i="2"/>
  <c r="S704" i="2"/>
  <c r="R704" i="2"/>
  <c r="S703" i="2"/>
  <c r="R703" i="2"/>
  <c r="S702" i="2"/>
  <c r="R702" i="2"/>
  <c r="S701" i="2"/>
  <c r="R701" i="2"/>
  <c r="S700" i="2"/>
  <c r="R700" i="2"/>
  <c r="S699" i="2"/>
  <c r="R699" i="2"/>
  <c r="S698" i="2"/>
  <c r="R698" i="2"/>
  <c r="S697" i="2"/>
  <c r="R697" i="2"/>
  <c r="S696" i="2"/>
  <c r="R696" i="2"/>
  <c r="S695" i="2"/>
  <c r="R695" i="2"/>
  <c r="S694" i="2"/>
  <c r="R694" i="2"/>
  <c r="S693" i="2"/>
  <c r="R693" i="2"/>
  <c r="S692" i="2"/>
  <c r="R692" i="2"/>
  <c r="S691" i="2"/>
  <c r="R691" i="2"/>
  <c r="S690" i="2"/>
  <c r="R690" i="2"/>
  <c r="S689" i="2"/>
  <c r="R689" i="2"/>
  <c r="S688" i="2"/>
  <c r="R688" i="2"/>
  <c r="S687" i="2"/>
  <c r="R687" i="2"/>
  <c r="S686" i="2"/>
  <c r="R686" i="2"/>
  <c r="S685" i="2"/>
  <c r="R685" i="2"/>
  <c r="S684" i="2"/>
  <c r="R684" i="2"/>
  <c r="S683" i="2"/>
  <c r="R683" i="2"/>
  <c r="S682" i="2"/>
  <c r="R682" i="2"/>
  <c r="S681" i="2"/>
  <c r="R681" i="2"/>
  <c r="S680" i="2"/>
  <c r="R680" i="2"/>
  <c r="S679" i="2"/>
  <c r="R679" i="2"/>
  <c r="S678" i="2"/>
  <c r="R678" i="2"/>
  <c r="S677" i="2"/>
  <c r="R677" i="2"/>
  <c r="S676" i="2"/>
  <c r="R676" i="2"/>
  <c r="S675" i="2"/>
  <c r="R675" i="2"/>
  <c r="S674" i="2"/>
  <c r="R674" i="2"/>
  <c r="S673" i="2"/>
  <c r="R673" i="2"/>
  <c r="S672" i="2"/>
  <c r="R672" i="2"/>
  <c r="S671" i="2"/>
  <c r="R671" i="2"/>
  <c r="S670" i="2"/>
  <c r="R670" i="2"/>
  <c r="S669" i="2"/>
  <c r="R669" i="2"/>
  <c r="S668" i="2"/>
  <c r="R668" i="2"/>
  <c r="S667" i="2"/>
  <c r="R667" i="2"/>
  <c r="S666" i="2"/>
  <c r="R666" i="2"/>
  <c r="S665" i="2"/>
  <c r="R665" i="2"/>
  <c r="S664" i="2"/>
  <c r="R664" i="2"/>
  <c r="S663" i="2"/>
  <c r="R663" i="2"/>
  <c r="S662" i="2"/>
  <c r="R662" i="2"/>
  <c r="S661" i="2"/>
  <c r="R661" i="2"/>
  <c r="S660" i="2"/>
  <c r="R660" i="2"/>
  <c r="S659" i="2"/>
  <c r="R659" i="2"/>
  <c r="S658" i="2"/>
  <c r="R658" i="2"/>
  <c r="S657" i="2"/>
  <c r="R657" i="2"/>
  <c r="S656" i="2"/>
  <c r="R656" i="2"/>
  <c r="S655" i="2"/>
  <c r="R655" i="2"/>
  <c r="S654" i="2"/>
  <c r="R654" i="2"/>
  <c r="S653" i="2"/>
  <c r="R653" i="2"/>
  <c r="S652" i="2"/>
  <c r="R652" i="2"/>
  <c r="S651" i="2"/>
  <c r="R651" i="2"/>
  <c r="S650" i="2"/>
  <c r="R650" i="2"/>
  <c r="S649" i="2"/>
  <c r="R649" i="2"/>
  <c r="S648" i="2"/>
  <c r="R648" i="2"/>
  <c r="S647" i="2"/>
  <c r="R647" i="2"/>
  <c r="S646" i="2"/>
  <c r="R646" i="2"/>
  <c r="S645" i="2"/>
  <c r="R645" i="2"/>
  <c r="S644" i="2"/>
  <c r="R644" i="2"/>
  <c r="S643" i="2"/>
  <c r="R643" i="2"/>
  <c r="S642" i="2"/>
  <c r="R642" i="2"/>
  <c r="S641" i="2"/>
  <c r="R641" i="2"/>
  <c r="S640" i="2"/>
  <c r="R640" i="2"/>
  <c r="S639" i="2"/>
  <c r="R639" i="2"/>
  <c r="S638" i="2"/>
  <c r="R638" i="2"/>
  <c r="S637" i="2"/>
  <c r="R637" i="2"/>
  <c r="S636" i="2"/>
  <c r="R636" i="2"/>
  <c r="S635" i="2"/>
  <c r="R635" i="2"/>
  <c r="S634" i="2"/>
  <c r="R634" i="2"/>
  <c r="S633" i="2"/>
  <c r="R633" i="2"/>
  <c r="S632" i="2"/>
  <c r="R632" i="2"/>
  <c r="S631" i="2"/>
  <c r="R631" i="2"/>
  <c r="S630" i="2"/>
  <c r="R630" i="2"/>
  <c r="S629" i="2"/>
  <c r="R629" i="2"/>
  <c r="S628" i="2"/>
  <c r="R628" i="2"/>
  <c r="S627" i="2"/>
  <c r="R627" i="2"/>
  <c r="S626" i="2"/>
  <c r="R626" i="2"/>
  <c r="S625" i="2"/>
  <c r="R625" i="2"/>
  <c r="S624" i="2"/>
  <c r="R624" i="2"/>
  <c r="S623" i="2"/>
  <c r="R623" i="2"/>
  <c r="S622" i="2"/>
  <c r="R622" i="2"/>
  <c r="S621" i="2"/>
  <c r="R621" i="2"/>
  <c r="S620" i="2"/>
  <c r="R620" i="2"/>
  <c r="S619" i="2"/>
  <c r="R619" i="2"/>
  <c r="S618" i="2"/>
  <c r="R618" i="2"/>
  <c r="S617" i="2"/>
  <c r="R617" i="2"/>
  <c r="S616" i="2"/>
  <c r="R616" i="2"/>
  <c r="S615" i="2"/>
  <c r="R615" i="2"/>
  <c r="S614" i="2"/>
  <c r="R614" i="2"/>
  <c r="S613" i="2"/>
  <c r="R613" i="2"/>
  <c r="S612" i="2"/>
  <c r="R612" i="2"/>
  <c r="S611" i="2"/>
  <c r="R611" i="2"/>
  <c r="S610" i="2"/>
  <c r="R610" i="2"/>
  <c r="S609" i="2"/>
  <c r="R609" i="2"/>
  <c r="S608" i="2"/>
  <c r="R608" i="2"/>
  <c r="S607" i="2"/>
  <c r="R607" i="2"/>
  <c r="S606" i="2"/>
  <c r="R606" i="2"/>
  <c r="S605" i="2"/>
  <c r="R605" i="2"/>
  <c r="S604" i="2"/>
  <c r="R604" i="2"/>
  <c r="S603" i="2"/>
  <c r="R603" i="2"/>
  <c r="S602" i="2"/>
  <c r="R602" i="2"/>
  <c r="S601" i="2"/>
  <c r="R601" i="2"/>
  <c r="S600" i="2"/>
  <c r="R600" i="2"/>
  <c r="S599" i="2"/>
  <c r="R599" i="2"/>
  <c r="S598" i="2"/>
  <c r="R598" i="2"/>
  <c r="S597" i="2"/>
  <c r="R597" i="2"/>
  <c r="S596" i="2"/>
  <c r="R596" i="2"/>
  <c r="S595" i="2"/>
  <c r="R595" i="2"/>
  <c r="S594" i="2"/>
  <c r="R594" i="2"/>
  <c r="S593" i="2"/>
  <c r="R593" i="2"/>
  <c r="S592" i="2"/>
  <c r="R592" i="2"/>
  <c r="S591" i="2"/>
  <c r="R591" i="2"/>
  <c r="S590" i="2"/>
  <c r="R590" i="2"/>
  <c r="S589" i="2"/>
  <c r="R589" i="2"/>
  <c r="S588" i="2"/>
  <c r="R588" i="2"/>
  <c r="S587" i="2"/>
  <c r="R587" i="2"/>
  <c r="S586" i="2"/>
  <c r="R586" i="2"/>
  <c r="S585" i="2"/>
  <c r="R585" i="2"/>
  <c r="S584" i="2"/>
  <c r="R584" i="2"/>
  <c r="S583" i="2"/>
  <c r="R583" i="2"/>
  <c r="S582" i="2"/>
  <c r="R582" i="2"/>
  <c r="S581" i="2"/>
  <c r="R581" i="2"/>
  <c r="S580" i="2"/>
  <c r="R580" i="2"/>
  <c r="S579" i="2"/>
  <c r="R579" i="2"/>
  <c r="S578" i="2"/>
  <c r="R578" i="2"/>
  <c r="S577" i="2"/>
  <c r="R577" i="2"/>
  <c r="S576" i="2"/>
  <c r="R576" i="2"/>
  <c r="S575" i="2"/>
  <c r="R575" i="2"/>
  <c r="S574" i="2"/>
  <c r="R574" i="2"/>
  <c r="S573" i="2"/>
  <c r="R573" i="2"/>
  <c r="S572" i="2"/>
  <c r="R572" i="2"/>
  <c r="S571" i="2"/>
  <c r="R571" i="2"/>
  <c r="S570" i="2"/>
  <c r="R570" i="2"/>
  <c r="S569" i="2"/>
  <c r="R569" i="2"/>
  <c r="S568" i="2"/>
  <c r="R568" i="2"/>
  <c r="S567" i="2"/>
  <c r="R567" i="2"/>
  <c r="S566" i="2"/>
  <c r="R566" i="2"/>
  <c r="S565" i="2"/>
  <c r="R565" i="2"/>
  <c r="S564" i="2"/>
  <c r="R564" i="2"/>
  <c r="S563" i="2"/>
  <c r="R563" i="2"/>
  <c r="S562" i="2"/>
  <c r="R562" i="2"/>
  <c r="S561" i="2"/>
  <c r="R561" i="2"/>
  <c r="S560" i="2"/>
  <c r="R560" i="2"/>
  <c r="S559" i="2"/>
  <c r="R559" i="2"/>
  <c r="S558" i="2"/>
  <c r="R558" i="2"/>
  <c r="S557" i="2"/>
  <c r="R557" i="2"/>
  <c r="S556" i="2"/>
  <c r="R556" i="2"/>
  <c r="S555" i="2"/>
  <c r="R555" i="2"/>
  <c r="S554" i="2"/>
  <c r="R554" i="2"/>
  <c r="S553" i="2"/>
  <c r="R553" i="2"/>
  <c r="S552" i="2"/>
  <c r="R552" i="2"/>
  <c r="S551" i="2"/>
  <c r="R551" i="2"/>
  <c r="S550" i="2"/>
  <c r="R550" i="2"/>
  <c r="S549" i="2"/>
  <c r="R549" i="2"/>
  <c r="S548" i="2"/>
  <c r="R548" i="2"/>
  <c r="S547" i="2"/>
  <c r="R547" i="2"/>
  <c r="S546" i="2"/>
  <c r="R546" i="2"/>
  <c r="S545" i="2"/>
  <c r="R545" i="2"/>
  <c r="S544" i="2"/>
  <c r="R544" i="2"/>
  <c r="S543" i="2"/>
  <c r="R543" i="2"/>
  <c r="S542" i="2"/>
  <c r="R542" i="2"/>
  <c r="S541" i="2"/>
  <c r="R541" i="2"/>
  <c r="S540" i="2"/>
  <c r="R540" i="2"/>
  <c r="S539" i="2"/>
  <c r="R539" i="2"/>
  <c r="S538" i="2"/>
  <c r="R538" i="2"/>
  <c r="S537" i="2"/>
  <c r="R537" i="2"/>
  <c r="S536" i="2"/>
  <c r="R536" i="2"/>
  <c r="S535" i="2"/>
  <c r="R535" i="2"/>
  <c r="S534" i="2"/>
  <c r="R534" i="2"/>
  <c r="S533" i="2"/>
  <c r="R533" i="2"/>
  <c r="S532" i="2"/>
  <c r="R532" i="2"/>
  <c r="S531" i="2"/>
  <c r="R531" i="2"/>
  <c r="S530" i="2"/>
  <c r="R530" i="2"/>
  <c r="S529" i="2"/>
  <c r="R529" i="2"/>
  <c r="S528" i="2"/>
  <c r="R528" i="2"/>
  <c r="S527" i="2"/>
  <c r="R527" i="2"/>
  <c r="S526" i="2"/>
  <c r="R526" i="2"/>
  <c r="S525" i="2"/>
  <c r="R525" i="2"/>
  <c r="S524" i="2"/>
  <c r="R524" i="2"/>
  <c r="S523" i="2"/>
  <c r="R523" i="2"/>
  <c r="S522" i="2"/>
  <c r="R522" i="2"/>
  <c r="S521" i="2"/>
  <c r="R521" i="2"/>
  <c r="S520" i="2"/>
  <c r="R520" i="2"/>
  <c r="S519" i="2"/>
  <c r="R519" i="2"/>
  <c r="S518" i="2"/>
  <c r="R518" i="2"/>
  <c r="S517" i="2"/>
  <c r="R517" i="2"/>
  <c r="S516" i="2"/>
  <c r="R516" i="2"/>
  <c r="S515" i="2"/>
  <c r="R515" i="2"/>
  <c r="S514" i="2"/>
  <c r="R514" i="2"/>
  <c r="S513" i="2"/>
  <c r="R513" i="2"/>
  <c r="S512" i="2"/>
  <c r="R512" i="2"/>
  <c r="S511" i="2"/>
  <c r="R511" i="2"/>
  <c r="S510" i="2"/>
  <c r="R510" i="2"/>
  <c r="S509" i="2"/>
  <c r="R509" i="2"/>
  <c r="S508" i="2"/>
  <c r="R508" i="2"/>
  <c r="S507" i="2"/>
  <c r="R507" i="2"/>
  <c r="S506" i="2"/>
  <c r="R506" i="2"/>
  <c r="S505" i="2"/>
  <c r="R505" i="2"/>
  <c r="S504" i="2"/>
  <c r="R504" i="2"/>
  <c r="S503" i="2"/>
  <c r="R503" i="2"/>
  <c r="S502" i="2"/>
  <c r="R502" i="2"/>
  <c r="S501" i="2"/>
  <c r="R501" i="2"/>
  <c r="S500" i="2"/>
  <c r="R500" i="2"/>
  <c r="S499" i="2"/>
  <c r="R499" i="2"/>
  <c r="S498" i="2"/>
  <c r="R498" i="2"/>
  <c r="S497" i="2"/>
  <c r="R497" i="2"/>
  <c r="S496" i="2"/>
  <c r="R496" i="2"/>
  <c r="S495" i="2"/>
  <c r="R495" i="2"/>
  <c r="S494" i="2"/>
  <c r="R494" i="2"/>
  <c r="S493" i="2"/>
  <c r="R493" i="2"/>
  <c r="S492" i="2"/>
  <c r="R492" i="2"/>
  <c r="S491" i="2"/>
  <c r="R491" i="2"/>
  <c r="S490" i="2"/>
  <c r="R490" i="2"/>
  <c r="S489" i="2"/>
  <c r="R489" i="2"/>
  <c r="S488" i="2"/>
  <c r="R488" i="2"/>
  <c r="S487" i="2"/>
  <c r="R487" i="2"/>
  <c r="S486" i="2"/>
  <c r="R486" i="2"/>
  <c r="S485" i="2"/>
  <c r="R485" i="2"/>
  <c r="S484" i="2"/>
  <c r="R484" i="2"/>
  <c r="S483" i="2"/>
  <c r="R483" i="2"/>
  <c r="S482" i="2"/>
  <c r="R482" i="2"/>
  <c r="S481" i="2"/>
  <c r="R481" i="2"/>
  <c r="S480" i="2"/>
  <c r="R480" i="2"/>
  <c r="S479" i="2"/>
  <c r="R479" i="2"/>
  <c r="S478" i="2"/>
  <c r="R478" i="2"/>
  <c r="S477" i="2"/>
  <c r="R477" i="2"/>
  <c r="S476" i="2"/>
  <c r="R476" i="2"/>
  <c r="S475" i="2"/>
  <c r="R475" i="2"/>
  <c r="S474" i="2"/>
  <c r="R474" i="2"/>
  <c r="S473" i="2"/>
  <c r="R473" i="2"/>
  <c r="S472" i="2"/>
  <c r="R472" i="2"/>
  <c r="S471" i="2"/>
  <c r="R471" i="2"/>
  <c r="S470" i="2"/>
  <c r="R470" i="2"/>
  <c r="S469" i="2"/>
  <c r="R469" i="2"/>
  <c r="S468" i="2"/>
  <c r="R468" i="2"/>
  <c r="S467" i="2"/>
  <c r="R467" i="2"/>
  <c r="S466" i="2"/>
  <c r="R466" i="2"/>
  <c r="S465" i="2"/>
  <c r="R465" i="2"/>
  <c r="S464" i="2"/>
  <c r="R464" i="2"/>
  <c r="S463" i="2"/>
  <c r="R463" i="2"/>
  <c r="S462" i="2"/>
  <c r="R462" i="2"/>
  <c r="S461" i="2"/>
  <c r="R461" i="2"/>
  <c r="S460" i="2"/>
  <c r="R460" i="2"/>
  <c r="S459" i="2"/>
  <c r="R459" i="2"/>
  <c r="S458" i="2"/>
  <c r="R458" i="2"/>
  <c r="S457" i="2"/>
  <c r="R457" i="2"/>
  <c r="S456" i="2"/>
  <c r="R456" i="2"/>
  <c r="S455" i="2"/>
  <c r="R455" i="2"/>
  <c r="S454" i="2"/>
  <c r="R454" i="2"/>
  <c r="S453" i="2"/>
  <c r="R453" i="2"/>
  <c r="S452" i="2"/>
  <c r="R452" i="2"/>
  <c r="S451" i="2"/>
  <c r="R451" i="2"/>
  <c r="S450" i="2"/>
  <c r="R450" i="2"/>
  <c r="S449" i="2"/>
  <c r="R449" i="2"/>
  <c r="S448" i="2"/>
  <c r="R448" i="2"/>
  <c r="S447" i="2"/>
  <c r="R447" i="2"/>
  <c r="S446" i="2"/>
  <c r="R446" i="2"/>
  <c r="S445" i="2"/>
  <c r="R445" i="2"/>
  <c r="S444" i="2"/>
  <c r="R444" i="2"/>
  <c r="S443" i="2"/>
  <c r="R443" i="2"/>
  <c r="S442" i="2"/>
  <c r="R442" i="2"/>
  <c r="S441" i="2"/>
  <c r="R441" i="2"/>
  <c r="S440" i="2"/>
  <c r="R440" i="2"/>
  <c r="S439" i="2"/>
  <c r="R439" i="2"/>
  <c r="S438" i="2"/>
  <c r="R438" i="2"/>
  <c r="S437" i="2"/>
  <c r="R437" i="2"/>
  <c r="S436" i="2"/>
  <c r="R436" i="2"/>
  <c r="S435" i="2"/>
  <c r="R435" i="2"/>
  <c r="S434" i="2"/>
  <c r="R434" i="2"/>
  <c r="S433" i="2"/>
  <c r="R433" i="2"/>
  <c r="S432" i="2"/>
  <c r="R432" i="2"/>
  <c r="S431" i="2"/>
  <c r="R431" i="2"/>
  <c r="S430" i="2"/>
  <c r="R430" i="2"/>
  <c r="S429" i="2"/>
  <c r="R429" i="2"/>
  <c r="S428" i="2"/>
  <c r="R428" i="2"/>
  <c r="S427" i="2"/>
  <c r="R427" i="2"/>
  <c r="S426" i="2"/>
  <c r="R426" i="2"/>
  <c r="S425" i="2"/>
  <c r="R425" i="2"/>
  <c r="S424" i="2"/>
  <c r="R424" i="2"/>
  <c r="S423" i="2"/>
  <c r="R423" i="2"/>
  <c r="S422" i="2"/>
  <c r="R422" i="2"/>
  <c r="S421" i="2"/>
  <c r="R421" i="2"/>
  <c r="S420" i="2"/>
  <c r="R420" i="2"/>
  <c r="S419" i="2"/>
  <c r="R419" i="2"/>
  <c r="S418" i="2"/>
  <c r="R418" i="2"/>
  <c r="S417" i="2"/>
  <c r="R417" i="2"/>
  <c r="S416" i="2"/>
  <c r="R416" i="2"/>
  <c r="S415" i="2"/>
  <c r="R415" i="2"/>
  <c r="S414" i="2"/>
  <c r="R414" i="2"/>
  <c r="S413" i="2"/>
  <c r="R413" i="2"/>
  <c r="S412" i="2"/>
  <c r="R412" i="2"/>
  <c r="S411" i="2"/>
  <c r="R411" i="2"/>
  <c r="S410" i="2"/>
  <c r="R410" i="2"/>
  <c r="S409" i="2"/>
  <c r="R409" i="2"/>
  <c r="S408" i="2"/>
  <c r="R408" i="2"/>
  <c r="S407" i="2"/>
  <c r="R407" i="2"/>
  <c r="S406" i="2"/>
  <c r="R406" i="2"/>
  <c r="S405" i="2"/>
  <c r="R405" i="2"/>
  <c r="S404" i="2"/>
  <c r="R404" i="2"/>
  <c r="S403" i="2"/>
  <c r="R403" i="2"/>
  <c r="S402" i="2"/>
  <c r="R402" i="2"/>
  <c r="S401" i="2"/>
  <c r="R401" i="2"/>
  <c r="S400" i="2"/>
  <c r="R400" i="2"/>
  <c r="S399" i="2"/>
  <c r="R399" i="2"/>
  <c r="S398" i="2"/>
  <c r="R398" i="2"/>
  <c r="S397" i="2"/>
  <c r="R397" i="2"/>
  <c r="S396" i="2"/>
  <c r="R396" i="2"/>
  <c r="S395" i="2"/>
  <c r="R395" i="2"/>
  <c r="S394" i="2"/>
  <c r="R394" i="2"/>
  <c r="S393" i="2"/>
  <c r="R393" i="2"/>
  <c r="S392" i="2"/>
  <c r="R392" i="2"/>
  <c r="S391" i="2"/>
  <c r="R391" i="2"/>
  <c r="S390" i="2"/>
  <c r="R390" i="2"/>
  <c r="S389" i="2"/>
  <c r="R389" i="2"/>
  <c r="S388" i="2"/>
  <c r="R388" i="2"/>
  <c r="S387" i="2"/>
  <c r="R387" i="2"/>
  <c r="S386" i="2"/>
  <c r="R386" i="2"/>
  <c r="S385" i="2"/>
  <c r="R385" i="2"/>
  <c r="S384" i="2"/>
  <c r="R384" i="2"/>
  <c r="S383" i="2"/>
  <c r="R383" i="2"/>
  <c r="S382" i="2"/>
  <c r="R382" i="2"/>
  <c r="S381" i="2"/>
  <c r="R381" i="2"/>
  <c r="S380" i="2"/>
  <c r="R380" i="2"/>
  <c r="S379" i="2"/>
  <c r="R379" i="2"/>
  <c r="S378" i="2"/>
  <c r="R378" i="2"/>
  <c r="S377" i="2"/>
  <c r="R377" i="2"/>
  <c r="S376" i="2"/>
  <c r="R376" i="2"/>
  <c r="S375" i="2"/>
  <c r="R375" i="2"/>
  <c r="S374" i="2"/>
  <c r="R374" i="2"/>
  <c r="S373" i="2"/>
  <c r="R373" i="2"/>
  <c r="S372" i="2"/>
  <c r="R372" i="2"/>
  <c r="S371" i="2"/>
  <c r="R371" i="2"/>
  <c r="S370" i="2"/>
  <c r="R370" i="2"/>
  <c r="S369" i="2"/>
  <c r="R369" i="2"/>
  <c r="S368" i="2"/>
  <c r="R368" i="2"/>
  <c r="S367" i="2"/>
  <c r="R367" i="2"/>
  <c r="S366" i="2"/>
  <c r="R366" i="2"/>
  <c r="S365" i="2"/>
  <c r="R365" i="2"/>
  <c r="S364" i="2"/>
  <c r="R364" i="2"/>
  <c r="S363" i="2"/>
  <c r="R363" i="2"/>
  <c r="S362" i="2"/>
  <c r="R362" i="2"/>
  <c r="S361" i="2"/>
  <c r="R361" i="2"/>
  <c r="S360" i="2"/>
  <c r="R360" i="2"/>
  <c r="S359" i="2"/>
  <c r="R359" i="2"/>
  <c r="S358" i="2"/>
  <c r="R358" i="2"/>
  <c r="S357" i="2"/>
  <c r="R357" i="2"/>
  <c r="S356" i="2"/>
  <c r="R356" i="2"/>
  <c r="S355" i="2"/>
  <c r="R355" i="2"/>
  <c r="S354" i="2"/>
  <c r="R354" i="2"/>
  <c r="S353" i="2"/>
  <c r="R353" i="2"/>
  <c r="S352" i="2"/>
  <c r="R352" i="2"/>
  <c r="S351" i="2"/>
  <c r="R351" i="2"/>
  <c r="S350" i="2"/>
  <c r="R350" i="2"/>
  <c r="S349" i="2"/>
  <c r="R349" i="2"/>
  <c r="S348" i="2"/>
  <c r="R348" i="2"/>
  <c r="S347" i="2"/>
  <c r="R347" i="2"/>
  <c r="S346" i="2"/>
  <c r="R346" i="2"/>
  <c r="S345" i="2"/>
  <c r="R345" i="2"/>
  <c r="S344" i="2"/>
  <c r="R344" i="2"/>
  <c r="S343" i="2"/>
  <c r="R343" i="2"/>
  <c r="S342" i="2"/>
  <c r="R342" i="2"/>
  <c r="S341" i="2"/>
  <c r="R341" i="2"/>
  <c r="S340" i="2"/>
  <c r="R340" i="2"/>
  <c r="S339" i="2"/>
  <c r="R339" i="2"/>
  <c r="S338" i="2"/>
  <c r="R338" i="2"/>
  <c r="S337" i="2"/>
  <c r="R337" i="2"/>
  <c r="S336" i="2"/>
  <c r="R336" i="2"/>
  <c r="S335" i="2"/>
  <c r="R335" i="2"/>
  <c r="S334" i="2"/>
  <c r="R334" i="2"/>
  <c r="S333" i="2"/>
  <c r="R333" i="2"/>
  <c r="S332" i="2"/>
  <c r="R332" i="2"/>
  <c r="S331" i="2"/>
  <c r="R331" i="2"/>
  <c r="S330" i="2"/>
  <c r="R330" i="2"/>
  <c r="S329" i="2"/>
  <c r="R329" i="2"/>
  <c r="S328" i="2"/>
  <c r="R328" i="2"/>
  <c r="S327" i="2"/>
  <c r="R327" i="2"/>
  <c r="S326" i="2"/>
  <c r="R326" i="2"/>
  <c r="S325" i="2"/>
  <c r="R325" i="2"/>
  <c r="S324" i="2"/>
  <c r="R324" i="2"/>
  <c r="S323" i="2"/>
  <c r="R323" i="2"/>
  <c r="S322" i="2"/>
  <c r="R322" i="2"/>
  <c r="S321" i="2"/>
  <c r="R321" i="2"/>
  <c r="S320" i="2"/>
  <c r="R320" i="2"/>
  <c r="S319" i="2"/>
  <c r="R319" i="2"/>
  <c r="S318" i="2"/>
  <c r="R318" i="2"/>
  <c r="S317" i="2"/>
  <c r="R317" i="2"/>
  <c r="S316" i="2"/>
  <c r="R316" i="2"/>
  <c r="S315" i="2"/>
  <c r="R315" i="2"/>
  <c r="S314" i="2"/>
  <c r="R314" i="2"/>
  <c r="S313" i="2"/>
  <c r="R313" i="2"/>
  <c r="S312" i="2"/>
  <c r="R312" i="2"/>
  <c r="S311" i="2"/>
  <c r="R311" i="2"/>
  <c r="S310" i="2"/>
  <c r="R310" i="2"/>
  <c r="S309" i="2"/>
  <c r="R309" i="2"/>
  <c r="S308" i="2"/>
  <c r="R308" i="2"/>
  <c r="S307" i="2"/>
  <c r="R307" i="2"/>
  <c r="S306" i="2"/>
  <c r="R306" i="2"/>
  <c r="S305" i="2"/>
  <c r="R305" i="2"/>
  <c r="S304" i="2"/>
  <c r="R304" i="2"/>
  <c r="S303" i="2"/>
  <c r="R303" i="2"/>
  <c r="S302" i="2"/>
  <c r="R302" i="2"/>
  <c r="S301" i="2"/>
  <c r="R301" i="2"/>
  <c r="S300" i="2"/>
  <c r="R300" i="2"/>
  <c r="S299" i="2"/>
  <c r="R299" i="2"/>
  <c r="S298" i="2"/>
  <c r="R298" i="2"/>
  <c r="S297" i="2"/>
  <c r="R297" i="2"/>
  <c r="S296" i="2"/>
  <c r="R296" i="2"/>
  <c r="S295" i="2"/>
  <c r="R295" i="2"/>
  <c r="S294" i="2"/>
  <c r="R294" i="2"/>
  <c r="S293" i="2"/>
  <c r="R293" i="2"/>
  <c r="S292" i="2"/>
  <c r="R292" i="2"/>
  <c r="S291" i="2"/>
  <c r="R291" i="2"/>
  <c r="S290" i="2"/>
  <c r="R290" i="2"/>
  <c r="S289" i="2"/>
  <c r="R289" i="2"/>
  <c r="S288" i="2"/>
  <c r="R288" i="2"/>
  <c r="S287" i="2"/>
  <c r="R287" i="2"/>
  <c r="S286" i="2"/>
  <c r="R286" i="2"/>
  <c r="S285" i="2"/>
  <c r="R285" i="2"/>
  <c r="S284" i="2"/>
  <c r="R284" i="2"/>
  <c r="S283" i="2"/>
  <c r="R283" i="2"/>
  <c r="S282" i="2"/>
  <c r="R282" i="2"/>
  <c r="S281" i="2"/>
  <c r="R281" i="2"/>
  <c r="S280" i="2"/>
  <c r="R280" i="2"/>
  <c r="S279" i="2"/>
  <c r="R279" i="2"/>
  <c r="S278" i="2"/>
  <c r="R278" i="2"/>
  <c r="S277" i="2"/>
  <c r="R277" i="2"/>
  <c r="S276" i="2"/>
  <c r="R276" i="2"/>
  <c r="S275" i="2"/>
  <c r="R275" i="2"/>
  <c r="S274" i="2"/>
  <c r="R274" i="2"/>
  <c r="S273" i="2"/>
  <c r="R273" i="2"/>
  <c r="S272" i="2"/>
  <c r="R272" i="2"/>
  <c r="S271" i="2"/>
  <c r="R271" i="2"/>
  <c r="S270" i="2"/>
  <c r="R270" i="2"/>
  <c r="S269" i="2"/>
  <c r="R269" i="2"/>
  <c r="S268" i="2"/>
  <c r="R268" i="2"/>
  <c r="S267" i="2"/>
  <c r="R267" i="2"/>
  <c r="S266" i="2"/>
  <c r="R266" i="2"/>
  <c r="S265" i="2"/>
  <c r="R265" i="2"/>
  <c r="S264" i="2"/>
  <c r="R264" i="2"/>
  <c r="S263" i="2"/>
  <c r="R263" i="2"/>
  <c r="S262" i="2"/>
  <c r="R262" i="2"/>
  <c r="S261" i="2"/>
  <c r="R261" i="2"/>
  <c r="S260" i="2"/>
  <c r="R260" i="2"/>
  <c r="S259" i="2"/>
  <c r="R259" i="2"/>
  <c r="S258" i="2"/>
  <c r="R258" i="2"/>
  <c r="S257" i="2"/>
  <c r="R257" i="2"/>
  <c r="S256" i="2"/>
  <c r="R256" i="2"/>
  <c r="S255" i="2"/>
  <c r="R255" i="2"/>
  <c r="S254" i="2"/>
  <c r="R254" i="2"/>
  <c r="S253" i="2"/>
  <c r="R253" i="2"/>
  <c r="S252" i="2"/>
  <c r="R252" i="2"/>
  <c r="S251" i="2"/>
  <c r="R251" i="2"/>
  <c r="S250" i="2"/>
  <c r="R250" i="2"/>
  <c r="S249" i="2"/>
  <c r="R249" i="2"/>
  <c r="S248" i="2"/>
  <c r="R248" i="2"/>
  <c r="S247" i="2"/>
  <c r="R247" i="2"/>
  <c r="S246" i="2"/>
  <c r="R246" i="2"/>
  <c r="S245" i="2"/>
  <c r="R245" i="2"/>
  <c r="S244" i="2"/>
  <c r="R244" i="2"/>
  <c r="S243" i="2"/>
  <c r="R243" i="2"/>
  <c r="S242" i="2"/>
  <c r="R242" i="2"/>
  <c r="S241" i="2"/>
  <c r="R241" i="2"/>
  <c r="S240" i="2"/>
  <c r="R240" i="2"/>
  <c r="S239" i="2"/>
  <c r="R239" i="2"/>
  <c r="S238" i="2"/>
  <c r="R238" i="2"/>
  <c r="S237" i="2"/>
  <c r="R237" i="2"/>
  <c r="S236" i="2"/>
  <c r="R236" i="2"/>
  <c r="S235" i="2"/>
  <c r="R235" i="2"/>
  <c r="S234" i="2"/>
  <c r="R234" i="2"/>
  <c r="S233" i="2"/>
  <c r="R233" i="2"/>
  <c r="S232" i="2"/>
  <c r="R232" i="2"/>
  <c r="S231" i="2"/>
  <c r="R231" i="2"/>
  <c r="S230" i="2"/>
  <c r="R230" i="2"/>
  <c r="S229" i="2"/>
  <c r="R229" i="2"/>
  <c r="S228" i="2"/>
  <c r="R228" i="2"/>
  <c r="S227" i="2"/>
  <c r="R227" i="2"/>
  <c r="S226" i="2"/>
  <c r="R226" i="2"/>
  <c r="S225" i="2"/>
  <c r="R225" i="2"/>
  <c r="S224" i="2"/>
  <c r="R224" i="2"/>
  <c r="S223" i="2"/>
  <c r="R223" i="2"/>
  <c r="S222" i="2"/>
  <c r="R222" i="2"/>
  <c r="S221" i="2"/>
  <c r="R221" i="2"/>
  <c r="S220" i="2"/>
  <c r="R220" i="2"/>
  <c r="S219" i="2"/>
  <c r="R219" i="2"/>
  <c r="S218" i="2"/>
  <c r="R218" i="2"/>
  <c r="S217" i="2"/>
  <c r="R217" i="2"/>
  <c r="S216" i="2"/>
  <c r="R216" i="2"/>
  <c r="S215" i="2"/>
  <c r="R215" i="2"/>
  <c r="S214" i="2"/>
  <c r="R214" i="2"/>
  <c r="S213" i="2"/>
  <c r="R213" i="2"/>
  <c r="S212" i="2"/>
  <c r="R212" i="2"/>
  <c r="S211" i="2"/>
  <c r="R211" i="2"/>
  <c r="S210" i="2"/>
  <c r="R210" i="2"/>
  <c r="S209" i="2"/>
  <c r="R209" i="2"/>
  <c r="S208" i="2"/>
  <c r="R208" i="2"/>
  <c r="S207" i="2"/>
  <c r="R207" i="2"/>
  <c r="S206" i="2"/>
  <c r="R206" i="2"/>
  <c r="S205" i="2"/>
  <c r="R205" i="2"/>
  <c r="S204" i="2"/>
  <c r="R204" i="2"/>
  <c r="S203" i="2"/>
  <c r="R203" i="2"/>
  <c r="S202" i="2"/>
  <c r="R202" i="2"/>
  <c r="S201" i="2"/>
  <c r="R201" i="2"/>
  <c r="S200" i="2"/>
  <c r="R200" i="2"/>
  <c r="S199" i="2"/>
  <c r="R199" i="2"/>
  <c r="S198" i="2"/>
  <c r="R198" i="2"/>
  <c r="S197" i="2"/>
  <c r="R197" i="2"/>
  <c r="S196" i="2"/>
  <c r="R196" i="2"/>
  <c r="S195" i="2"/>
  <c r="R195" i="2"/>
  <c r="S194" i="2"/>
  <c r="R194" i="2"/>
  <c r="S193" i="2"/>
  <c r="R193" i="2"/>
  <c r="S192" i="2"/>
  <c r="R192" i="2"/>
  <c r="S191" i="2"/>
  <c r="R191" i="2"/>
  <c r="S190" i="2"/>
  <c r="R190" i="2"/>
  <c r="S189" i="2"/>
  <c r="R189" i="2"/>
  <c r="S188" i="2"/>
  <c r="R188" i="2"/>
  <c r="S187" i="2"/>
  <c r="R187" i="2"/>
  <c r="S186" i="2"/>
  <c r="R186" i="2"/>
  <c r="S185" i="2"/>
  <c r="R185" i="2"/>
  <c r="S184" i="2"/>
  <c r="R184" i="2"/>
  <c r="S183" i="2"/>
  <c r="R183" i="2"/>
  <c r="S182" i="2"/>
  <c r="R182" i="2"/>
  <c r="S181" i="2"/>
  <c r="R181" i="2"/>
  <c r="S180" i="2"/>
  <c r="R180" i="2"/>
  <c r="S179" i="2"/>
  <c r="R179" i="2"/>
  <c r="S178" i="2"/>
  <c r="R178" i="2"/>
  <c r="S177" i="2"/>
  <c r="R177" i="2"/>
  <c r="S176" i="2"/>
  <c r="R176" i="2"/>
  <c r="S175" i="2"/>
  <c r="R175" i="2"/>
  <c r="S174" i="2"/>
  <c r="R174" i="2"/>
  <c r="S173" i="2"/>
  <c r="R173" i="2"/>
  <c r="S172" i="2"/>
  <c r="R172" i="2"/>
  <c r="S171" i="2"/>
  <c r="R171" i="2"/>
  <c r="S170" i="2"/>
  <c r="R170" i="2"/>
  <c r="S169" i="2"/>
  <c r="R169" i="2"/>
  <c r="S168" i="2"/>
  <c r="R168" i="2"/>
  <c r="S167" i="2"/>
  <c r="R167" i="2"/>
  <c r="S166" i="2"/>
  <c r="R166" i="2"/>
  <c r="S165" i="2"/>
  <c r="R165" i="2"/>
  <c r="S164" i="2"/>
  <c r="R164" i="2"/>
  <c r="S163" i="2"/>
  <c r="R163" i="2"/>
  <c r="S162" i="2"/>
  <c r="R162" i="2"/>
  <c r="S161" i="2"/>
  <c r="R161" i="2"/>
  <c r="S160" i="2"/>
  <c r="R160" i="2"/>
  <c r="S159" i="2"/>
  <c r="R159" i="2"/>
  <c r="S158" i="2"/>
  <c r="R158" i="2"/>
  <c r="S157" i="2"/>
  <c r="R157" i="2"/>
  <c r="S156" i="2"/>
  <c r="R156" i="2"/>
  <c r="S155" i="2"/>
  <c r="R155" i="2"/>
  <c r="S154" i="2"/>
  <c r="R154" i="2"/>
  <c r="S153" i="2"/>
  <c r="R153" i="2"/>
  <c r="S152" i="2"/>
  <c r="R152" i="2"/>
  <c r="S151" i="2"/>
  <c r="R151" i="2"/>
  <c r="S150" i="2"/>
  <c r="R150" i="2"/>
  <c r="S149" i="2"/>
  <c r="R149" i="2"/>
  <c r="S148" i="2"/>
  <c r="R148" i="2"/>
  <c r="S147" i="2"/>
  <c r="R147" i="2"/>
  <c r="S146" i="2"/>
  <c r="R146" i="2"/>
  <c r="S145" i="2"/>
  <c r="R145" i="2"/>
  <c r="S144" i="2"/>
  <c r="R144" i="2"/>
  <c r="S143" i="2"/>
  <c r="R143" i="2"/>
  <c r="S142" i="2"/>
  <c r="R142" i="2"/>
  <c r="S141" i="2"/>
  <c r="R141" i="2"/>
  <c r="S140" i="2"/>
  <c r="R140" i="2"/>
  <c r="S139" i="2"/>
  <c r="R139" i="2"/>
  <c r="S138" i="2"/>
  <c r="R138" i="2"/>
  <c r="S137" i="2"/>
  <c r="R137" i="2"/>
  <c r="S136" i="2"/>
  <c r="R136" i="2"/>
  <c r="S135" i="2"/>
  <c r="R135" i="2"/>
  <c r="S134" i="2"/>
  <c r="R134" i="2"/>
  <c r="S133" i="2"/>
  <c r="R133" i="2"/>
  <c r="S132" i="2"/>
  <c r="R132" i="2"/>
  <c r="S131" i="2"/>
  <c r="R131" i="2"/>
  <c r="S130" i="2"/>
  <c r="R130" i="2"/>
  <c r="S129" i="2"/>
  <c r="R129" i="2"/>
  <c r="S128" i="2"/>
  <c r="R128" i="2"/>
  <c r="S127" i="2"/>
  <c r="R127" i="2"/>
  <c r="S126" i="2"/>
  <c r="R126" i="2"/>
  <c r="S125" i="2"/>
  <c r="R125" i="2"/>
  <c r="S124" i="2"/>
  <c r="R124" i="2"/>
  <c r="S123" i="2"/>
  <c r="R123" i="2"/>
  <c r="S122" i="2"/>
  <c r="R122" i="2"/>
  <c r="S121" i="2"/>
  <c r="R121" i="2"/>
  <c r="S120" i="2"/>
  <c r="R120" i="2"/>
  <c r="S119" i="2"/>
  <c r="R119" i="2"/>
  <c r="S118" i="2"/>
  <c r="R118" i="2"/>
  <c r="S117" i="2"/>
  <c r="R117" i="2"/>
  <c r="S116" i="2"/>
  <c r="R116" i="2"/>
  <c r="S115" i="2"/>
  <c r="R115" i="2"/>
  <c r="S114" i="2"/>
  <c r="R114" i="2"/>
  <c r="S113" i="2"/>
  <c r="R113" i="2"/>
  <c r="S112" i="2"/>
  <c r="R112" i="2"/>
  <c r="S111" i="2"/>
  <c r="R111" i="2"/>
  <c r="S110" i="2"/>
  <c r="R110" i="2"/>
  <c r="S109" i="2"/>
  <c r="R109" i="2"/>
  <c r="S108" i="2"/>
  <c r="R108" i="2"/>
  <c r="S107" i="2"/>
  <c r="R107" i="2"/>
  <c r="S106" i="2"/>
  <c r="R106" i="2"/>
  <c r="S105" i="2"/>
  <c r="R105" i="2"/>
  <c r="S104" i="2"/>
  <c r="R104" i="2"/>
  <c r="S103" i="2"/>
  <c r="R103" i="2"/>
  <c r="S102" i="2"/>
  <c r="R102" i="2"/>
  <c r="S101" i="2"/>
  <c r="R101" i="2"/>
  <c r="S100" i="2"/>
  <c r="R100" i="2"/>
  <c r="S99" i="2"/>
  <c r="R99" i="2"/>
  <c r="S98" i="2"/>
  <c r="R98" i="2"/>
  <c r="S97" i="2"/>
  <c r="R97" i="2"/>
  <c r="S96" i="2"/>
  <c r="R96" i="2"/>
  <c r="S95" i="2"/>
  <c r="R95" i="2"/>
  <c r="S94" i="2"/>
  <c r="R94" i="2"/>
  <c r="S93" i="2"/>
  <c r="R93" i="2"/>
  <c r="S92" i="2"/>
  <c r="R92" i="2"/>
  <c r="S91" i="2"/>
  <c r="R91" i="2"/>
  <c r="S90" i="2"/>
  <c r="R90" i="2"/>
  <c r="S89" i="2"/>
  <c r="R89" i="2"/>
  <c r="S88" i="2"/>
  <c r="R88" i="2"/>
  <c r="S87" i="2"/>
  <c r="R87" i="2"/>
  <c r="S86" i="2"/>
  <c r="R86" i="2"/>
  <c r="S85" i="2"/>
  <c r="R85" i="2"/>
  <c r="S84" i="2"/>
  <c r="R84" i="2"/>
  <c r="S83" i="2"/>
  <c r="R83" i="2"/>
  <c r="S82" i="2"/>
  <c r="R82" i="2"/>
  <c r="S81" i="2"/>
  <c r="R81" i="2"/>
  <c r="S80" i="2"/>
  <c r="R80" i="2"/>
  <c r="S79" i="2"/>
  <c r="R79" i="2"/>
  <c r="S78" i="2"/>
  <c r="R78" i="2"/>
  <c r="S77" i="2"/>
  <c r="R77" i="2"/>
  <c r="S76" i="2"/>
  <c r="R76" i="2"/>
  <c r="S75" i="2"/>
  <c r="R75" i="2"/>
  <c r="S74" i="2"/>
  <c r="R74" i="2"/>
  <c r="S73" i="2"/>
  <c r="R73" i="2"/>
  <c r="S72" i="2"/>
  <c r="R72" i="2"/>
  <c r="S71" i="2"/>
  <c r="R71" i="2"/>
  <c r="S70" i="2"/>
  <c r="R70" i="2"/>
  <c r="S69" i="2"/>
  <c r="R69" i="2"/>
  <c r="S68" i="2"/>
  <c r="R68" i="2"/>
  <c r="S67" i="2"/>
  <c r="R67" i="2"/>
  <c r="S66" i="2"/>
  <c r="R66" i="2"/>
  <c r="S65" i="2"/>
  <c r="R65" i="2"/>
  <c r="S64" i="2"/>
  <c r="R64" i="2"/>
  <c r="S63" i="2"/>
  <c r="R63" i="2"/>
  <c r="S62" i="2"/>
  <c r="R62" i="2"/>
  <c r="S61" i="2"/>
  <c r="R61" i="2"/>
  <c r="S60" i="2"/>
  <c r="R60" i="2"/>
  <c r="S59" i="2"/>
  <c r="R59" i="2"/>
  <c r="S58" i="2"/>
  <c r="R58" i="2"/>
  <c r="S57" i="2"/>
  <c r="R57" i="2"/>
  <c r="S56" i="2"/>
  <c r="R56" i="2"/>
  <c r="S55" i="2"/>
  <c r="R55" i="2"/>
  <c r="S54" i="2"/>
  <c r="R54" i="2"/>
  <c r="S53" i="2"/>
  <c r="R53" i="2"/>
  <c r="S52" i="2"/>
  <c r="R52" i="2"/>
  <c r="S51" i="2"/>
  <c r="R51" i="2"/>
  <c r="S50" i="2"/>
  <c r="R50" i="2"/>
  <c r="S49" i="2"/>
  <c r="R49" i="2"/>
  <c r="S48" i="2"/>
  <c r="R48" i="2"/>
  <c r="S47" i="2"/>
  <c r="R47" i="2"/>
  <c r="S46" i="2"/>
  <c r="R46" i="2"/>
  <c r="S45" i="2"/>
  <c r="R45" i="2"/>
  <c r="S44" i="2"/>
  <c r="R44" i="2"/>
  <c r="S43" i="2"/>
  <c r="R43" i="2"/>
  <c r="S42" i="2"/>
  <c r="R42" i="2"/>
  <c r="S41" i="2"/>
  <c r="R41" i="2"/>
  <c r="S40" i="2"/>
  <c r="R40" i="2"/>
  <c r="S39" i="2"/>
  <c r="R39" i="2"/>
  <c r="S38" i="2"/>
  <c r="R38" i="2"/>
  <c r="S37" i="2"/>
  <c r="R37" i="2"/>
  <c r="S36" i="2"/>
  <c r="R36" i="2"/>
  <c r="S35" i="2"/>
  <c r="R35" i="2"/>
  <c r="S34" i="2"/>
  <c r="R34" i="2"/>
  <c r="S33" i="2"/>
  <c r="R33" i="2"/>
  <c r="S32" i="2"/>
  <c r="R32" i="2"/>
  <c r="S31" i="2"/>
  <c r="R31" i="2"/>
  <c r="S30" i="2"/>
  <c r="R30" i="2"/>
  <c r="S29" i="2"/>
  <c r="R29" i="2"/>
  <c r="S28" i="2"/>
  <c r="R28" i="2"/>
  <c r="S27" i="2"/>
  <c r="R27" i="2"/>
  <c r="S26" i="2"/>
  <c r="R26" i="2"/>
  <c r="S25" i="2"/>
  <c r="R25" i="2"/>
  <c r="S24" i="2"/>
  <c r="R24" i="2"/>
  <c r="S23" i="2"/>
  <c r="R23" i="2"/>
  <c r="S22" i="2"/>
  <c r="R22" i="2"/>
  <c r="S21" i="2"/>
  <c r="R21" i="2"/>
  <c r="S20" i="2"/>
  <c r="R20" i="2"/>
  <c r="S19" i="2"/>
  <c r="R19" i="2"/>
  <c r="S18" i="2"/>
  <c r="R18" i="2"/>
  <c r="S17" i="2"/>
  <c r="R17" i="2"/>
  <c r="S16" i="2"/>
  <c r="R16" i="2"/>
  <c r="S15" i="2"/>
  <c r="R15" i="2"/>
  <c r="S14" i="2"/>
  <c r="R14" i="2"/>
  <c r="S13" i="2"/>
  <c r="R13" i="2"/>
  <c r="S12" i="2"/>
  <c r="R12" i="2"/>
  <c r="S11" i="2"/>
  <c r="R11" i="2"/>
  <c r="S10" i="2"/>
  <c r="R10" i="2"/>
  <c r="S9" i="2"/>
  <c r="R9" i="2"/>
  <c r="S8" i="2"/>
  <c r="R8" i="2"/>
  <c r="S7" i="2"/>
  <c r="R7" i="2"/>
  <c r="S6" i="2"/>
  <c r="R6" i="2"/>
  <c r="S5" i="2"/>
  <c r="R5" i="2"/>
  <c r="S4" i="2"/>
  <c r="R4" i="2"/>
  <c r="A4" i="3" a="1"/>
  <c r="A4" i="3" s="1"/>
  <c r="Q1002" i="2"/>
  <c r="P1002" i="2"/>
  <c r="Q1001" i="2"/>
  <c r="P1001" i="2"/>
  <c r="Q1000" i="2"/>
  <c r="P1000" i="2"/>
  <c r="Q999" i="2"/>
  <c r="P999" i="2"/>
  <c r="Q998" i="2"/>
  <c r="P998" i="2"/>
  <c r="Q997" i="2"/>
  <c r="P997" i="2"/>
  <c r="Q996" i="2"/>
  <c r="P996" i="2"/>
  <c r="Q995" i="2"/>
  <c r="P995" i="2"/>
  <c r="Q994" i="2"/>
  <c r="P994" i="2"/>
  <c r="Q993" i="2"/>
  <c r="P993" i="2"/>
  <c r="Q992" i="2"/>
  <c r="P992" i="2"/>
  <c r="Q991" i="2"/>
  <c r="P991" i="2"/>
  <c r="Q990" i="2"/>
  <c r="P990" i="2"/>
  <c r="Q989" i="2"/>
  <c r="P989" i="2"/>
  <c r="Q988" i="2"/>
  <c r="P988" i="2"/>
  <c r="Q987" i="2"/>
  <c r="P987" i="2"/>
  <c r="Q986" i="2"/>
  <c r="P986" i="2"/>
  <c r="Q985" i="2"/>
  <c r="P985" i="2"/>
  <c r="Q984" i="2"/>
  <c r="P984" i="2"/>
  <c r="Q983" i="2"/>
  <c r="P983" i="2"/>
  <c r="Q982" i="2"/>
  <c r="P982" i="2"/>
  <c r="Q981" i="2"/>
  <c r="P981" i="2"/>
  <c r="Q980" i="2"/>
  <c r="P980" i="2"/>
  <c r="Q979" i="2"/>
  <c r="P979" i="2"/>
  <c r="Q978" i="2"/>
  <c r="P978" i="2"/>
  <c r="Q977" i="2"/>
  <c r="P977" i="2"/>
  <c r="Q976" i="2"/>
  <c r="P976" i="2"/>
  <c r="Q975" i="2"/>
  <c r="P975" i="2"/>
  <c r="Q974" i="2"/>
  <c r="P974" i="2"/>
  <c r="Q973" i="2"/>
  <c r="P973" i="2"/>
  <c r="Q972" i="2"/>
  <c r="P972" i="2"/>
  <c r="Q971" i="2"/>
  <c r="P971" i="2"/>
  <c r="Q970" i="2"/>
  <c r="P970" i="2"/>
  <c r="Q969" i="2"/>
  <c r="P969" i="2"/>
  <c r="Q968" i="2"/>
  <c r="P968" i="2"/>
  <c r="Q967" i="2"/>
  <c r="P967" i="2"/>
  <c r="Q966" i="2"/>
  <c r="P966" i="2"/>
  <c r="Q965" i="2"/>
  <c r="P965" i="2"/>
  <c r="Q964" i="2"/>
  <c r="P964" i="2"/>
  <c r="Q963" i="2"/>
  <c r="P963" i="2"/>
  <c r="Q962" i="2"/>
  <c r="P962" i="2"/>
  <c r="Q961" i="2"/>
  <c r="P961" i="2"/>
  <c r="Q960" i="2"/>
  <c r="P960" i="2"/>
  <c r="Q959" i="2"/>
  <c r="P959" i="2"/>
  <c r="Q958" i="2"/>
  <c r="P958" i="2"/>
  <c r="Q957" i="2"/>
  <c r="P957" i="2"/>
  <c r="Q956" i="2"/>
  <c r="P956" i="2"/>
  <c r="Q955" i="2"/>
  <c r="P955" i="2"/>
  <c r="Q954" i="2"/>
  <c r="P954" i="2"/>
  <c r="Q953" i="2"/>
  <c r="P953" i="2"/>
  <c r="Q952" i="2"/>
  <c r="P952" i="2"/>
  <c r="Q951" i="2"/>
  <c r="P951" i="2"/>
  <c r="Q950" i="2"/>
  <c r="P950" i="2"/>
  <c r="Q949" i="2"/>
  <c r="P949" i="2"/>
  <c r="Q948" i="2"/>
  <c r="P948" i="2"/>
  <c r="Q947" i="2"/>
  <c r="P947" i="2"/>
  <c r="Q946" i="2"/>
  <c r="P946" i="2"/>
  <c r="Q945" i="2"/>
  <c r="P945" i="2"/>
  <c r="Q944" i="2"/>
  <c r="P944" i="2"/>
  <c r="Q943" i="2"/>
  <c r="P943" i="2"/>
  <c r="Q942" i="2"/>
  <c r="P942" i="2"/>
  <c r="Q941" i="2"/>
  <c r="P941" i="2"/>
  <c r="Q940" i="2"/>
  <c r="P940" i="2"/>
  <c r="Q939" i="2"/>
  <c r="P939" i="2"/>
  <c r="Q938" i="2"/>
  <c r="P938" i="2"/>
  <c r="Q937" i="2"/>
  <c r="P937" i="2"/>
  <c r="Q936" i="2"/>
  <c r="P936" i="2"/>
  <c r="Q935" i="2"/>
  <c r="P935" i="2"/>
  <c r="Q934" i="2"/>
  <c r="P934" i="2"/>
  <c r="Q933" i="2"/>
  <c r="P933" i="2"/>
  <c r="Q932" i="2"/>
  <c r="P932" i="2"/>
  <c r="Q931" i="2"/>
  <c r="P931" i="2"/>
  <c r="Q930" i="2"/>
  <c r="P930" i="2"/>
  <c r="Q929" i="2"/>
  <c r="P929" i="2"/>
  <c r="Q928" i="2"/>
  <c r="P928" i="2"/>
  <c r="Q927" i="2"/>
  <c r="P927" i="2"/>
  <c r="Q926" i="2"/>
  <c r="P926" i="2"/>
  <c r="Q925" i="2"/>
  <c r="P925" i="2"/>
  <c r="Q924" i="2"/>
  <c r="P924" i="2"/>
  <c r="Q923" i="2"/>
  <c r="P923" i="2"/>
  <c r="Q922" i="2"/>
  <c r="P922" i="2"/>
  <c r="Q921" i="2"/>
  <c r="P921" i="2"/>
  <c r="Q920" i="2"/>
  <c r="P920" i="2"/>
  <c r="Q919" i="2"/>
  <c r="P919" i="2"/>
  <c r="Q918" i="2"/>
  <c r="P918" i="2"/>
  <c r="Q917" i="2"/>
  <c r="P917" i="2"/>
  <c r="Q916" i="2"/>
  <c r="P916" i="2"/>
  <c r="Q915" i="2"/>
  <c r="P915" i="2"/>
  <c r="Q914" i="2"/>
  <c r="P914" i="2"/>
  <c r="Q913" i="2"/>
  <c r="P913" i="2"/>
  <c r="Q912" i="2"/>
  <c r="P912" i="2"/>
  <c r="Q911" i="2"/>
  <c r="P911" i="2"/>
  <c r="Q910" i="2"/>
  <c r="P910" i="2"/>
  <c r="Q909" i="2"/>
  <c r="P909" i="2"/>
  <c r="Q908" i="2"/>
  <c r="P908" i="2"/>
  <c r="Q907" i="2"/>
  <c r="P907" i="2"/>
  <c r="Q906" i="2"/>
  <c r="P906" i="2"/>
  <c r="Q905" i="2"/>
  <c r="P905" i="2"/>
  <c r="Q904" i="2"/>
  <c r="P904" i="2"/>
  <c r="Q903" i="2"/>
  <c r="P903" i="2"/>
  <c r="Q902" i="2"/>
  <c r="P902" i="2"/>
  <c r="Q901" i="2"/>
  <c r="P901" i="2"/>
  <c r="Q900" i="2"/>
  <c r="P900" i="2"/>
  <c r="Q899" i="2"/>
  <c r="P899" i="2"/>
  <c r="Q898" i="2"/>
  <c r="P898" i="2"/>
  <c r="Q897" i="2"/>
  <c r="P897" i="2"/>
  <c r="Q896" i="2"/>
  <c r="P896" i="2"/>
  <c r="Q895" i="2"/>
  <c r="P895" i="2"/>
  <c r="Q894" i="2"/>
  <c r="P894" i="2"/>
  <c r="Q893" i="2"/>
  <c r="P893" i="2"/>
  <c r="Q892" i="2"/>
  <c r="P892" i="2"/>
  <c r="Q891" i="2"/>
  <c r="P891" i="2"/>
  <c r="Q890" i="2"/>
  <c r="P890" i="2"/>
  <c r="Q889" i="2"/>
  <c r="P889" i="2"/>
  <c r="Q888" i="2"/>
  <c r="P888" i="2"/>
  <c r="Q887" i="2"/>
  <c r="P887" i="2"/>
  <c r="Q886" i="2"/>
  <c r="P886" i="2"/>
  <c r="Q885" i="2"/>
  <c r="P885" i="2"/>
  <c r="Q884" i="2"/>
  <c r="P884" i="2"/>
  <c r="Q883" i="2"/>
  <c r="P883" i="2"/>
  <c r="Q882" i="2"/>
  <c r="P882" i="2"/>
  <c r="Q881" i="2"/>
  <c r="P881" i="2"/>
  <c r="Q880" i="2"/>
  <c r="P880" i="2"/>
  <c r="Q879" i="2"/>
  <c r="P879" i="2"/>
  <c r="Q878" i="2"/>
  <c r="P878" i="2"/>
  <c r="Q877" i="2"/>
  <c r="P877" i="2"/>
  <c r="Q876" i="2"/>
  <c r="P876" i="2"/>
  <c r="Q875" i="2"/>
  <c r="P875" i="2"/>
  <c r="Q874" i="2"/>
  <c r="P874" i="2"/>
  <c r="Q873" i="2"/>
  <c r="P873" i="2"/>
  <c r="Q872" i="2"/>
  <c r="P872" i="2"/>
  <c r="Q871" i="2"/>
  <c r="P871" i="2"/>
  <c r="Q870" i="2"/>
  <c r="P870" i="2"/>
  <c r="Q869" i="2"/>
  <c r="P869" i="2"/>
  <c r="Q868" i="2"/>
  <c r="P868" i="2"/>
  <c r="Q867" i="2"/>
  <c r="P867" i="2"/>
  <c r="Q866" i="2"/>
  <c r="P866" i="2"/>
  <c r="Q865" i="2"/>
  <c r="P865" i="2"/>
  <c r="Q864" i="2"/>
  <c r="P864" i="2"/>
  <c r="Q863" i="2"/>
  <c r="P863" i="2"/>
  <c r="Q862" i="2"/>
  <c r="P862" i="2"/>
  <c r="Q861" i="2"/>
  <c r="P861" i="2"/>
  <c r="Q860" i="2"/>
  <c r="P860" i="2"/>
  <c r="Q859" i="2"/>
  <c r="P859" i="2"/>
  <c r="Q858" i="2"/>
  <c r="P858" i="2"/>
  <c r="Q857" i="2"/>
  <c r="P857" i="2"/>
  <c r="Q856" i="2"/>
  <c r="P856" i="2"/>
  <c r="Q855" i="2"/>
  <c r="P855" i="2"/>
  <c r="Q854" i="2"/>
  <c r="P854" i="2"/>
  <c r="Q853" i="2"/>
  <c r="P853" i="2"/>
  <c r="Q852" i="2"/>
  <c r="P852" i="2"/>
  <c r="Q851" i="2"/>
  <c r="P851" i="2"/>
  <c r="Q850" i="2"/>
  <c r="P850" i="2"/>
  <c r="Q849" i="2"/>
  <c r="P849" i="2"/>
  <c r="Q848" i="2"/>
  <c r="P848" i="2"/>
  <c r="Q847" i="2"/>
  <c r="P847" i="2"/>
  <c r="Q846" i="2"/>
  <c r="P846" i="2"/>
  <c r="Q845" i="2"/>
  <c r="P845" i="2"/>
  <c r="Q844" i="2"/>
  <c r="P844" i="2"/>
  <c r="Q843" i="2"/>
  <c r="P843" i="2"/>
  <c r="Q842" i="2"/>
  <c r="P842" i="2"/>
  <c r="Q841" i="2"/>
  <c r="P841" i="2"/>
  <c r="Q840" i="2"/>
  <c r="P840" i="2"/>
  <c r="Q839" i="2"/>
  <c r="P839" i="2"/>
  <c r="Q838" i="2"/>
  <c r="P838" i="2"/>
  <c r="Q837" i="2"/>
  <c r="P837" i="2"/>
  <c r="Q836" i="2"/>
  <c r="P836" i="2"/>
  <c r="Q835" i="2"/>
  <c r="P835" i="2"/>
  <c r="Q834" i="2"/>
  <c r="P834" i="2"/>
  <c r="Q833" i="2"/>
  <c r="P833" i="2"/>
  <c r="Q832" i="2"/>
  <c r="P832" i="2"/>
  <c r="Q831" i="2"/>
  <c r="P831" i="2"/>
  <c r="Q830" i="2"/>
  <c r="P830" i="2"/>
  <c r="Q829" i="2"/>
  <c r="P829" i="2"/>
  <c r="Q828" i="2"/>
  <c r="P828" i="2"/>
  <c r="Q827" i="2"/>
  <c r="P827" i="2"/>
  <c r="Q826" i="2"/>
  <c r="P826" i="2"/>
  <c r="Q825" i="2"/>
  <c r="P825" i="2"/>
  <c r="Q824" i="2"/>
  <c r="P824" i="2"/>
  <c r="Q823" i="2"/>
  <c r="P823" i="2"/>
  <c r="Q822" i="2"/>
  <c r="P822" i="2"/>
  <c r="Q821" i="2"/>
  <c r="P821" i="2"/>
  <c r="Q820" i="2"/>
  <c r="P820" i="2"/>
  <c r="Q819" i="2"/>
  <c r="P819" i="2"/>
  <c r="Q818" i="2"/>
  <c r="P818" i="2"/>
  <c r="Q817" i="2"/>
  <c r="P817" i="2"/>
  <c r="Q816" i="2"/>
  <c r="P816" i="2"/>
  <c r="Q815" i="2"/>
  <c r="P815" i="2"/>
  <c r="Q814" i="2"/>
  <c r="P814" i="2"/>
  <c r="Q813" i="2"/>
  <c r="P813" i="2"/>
  <c r="Q812" i="2"/>
  <c r="P812" i="2"/>
  <c r="Q811" i="2"/>
  <c r="P811" i="2"/>
  <c r="Q810" i="2"/>
  <c r="P810" i="2"/>
  <c r="Q809" i="2"/>
  <c r="P809" i="2"/>
  <c r="Q808" i="2"/>
  <c r="P808" i="2"/>
  <c r="Q807" i="2"/>
  <c r="P807" i="2"/>
  <c r="Q806" i="2"/>
  <c r="P806" i="2"/>
  <c r="Q805" i="2"/>
  <c r="P805" i="2"/>
  <c r="Q804" i="2"/>
  <c r="P804" i="2"/>
  <c r="Q803" i="2"/>
  <c r="P803" i="2"/>
  <c r="Q802" i="2"/>
  <c r="P802" i="2"/>
  <c r="Q801" i="2"/>
  <c r="P801" i="2"/>
  <c r="Q800" i="2"/>
  <c r="P800" i="2"/>
  <c r="Q799" i="2"/>
  <c r="P799" i="2"/>
  <c r="Q798" i="2"/>
  <c r="P798" i="2"/>
  <c r="Q797" i="2"/>
  <c r="P797" i="2"/>
  <c r="Q796" i="2"/>
  <c r="P796" i="2"/>
  <c r="Q795" i="2"/>
  <c r="P795" i="2"/>
  <c r="Q794" i="2"/>
  <c r="P794" i="2"/>
  <c r="Q793" i="2"/>
  <c r="P793" i="2"/>
  <c r="Q792" i="2"/>
  <c r="P792" i="2"/>
  <c r="Q791" i="2"/>
  <c r="P791" i="2"/>
  <c r="Q790" i="2"/>
  <c r="P790" i="2"/>
  <c r="Q789" i="2"/>
  <c r="P789" i="2"/>
  <c r="Q788" i="2"/>
  <c r="P788" i="2"/>
  <c r="Q787" i="2"/>
  <c r="P787" i="2"/>
  <c r="Q786" i="2"/>
  <c r="P786" i="2"/>
  <c r="Q785" i="2"/>
  <c r="P785" i="2"/>
  <c r="Q784" i="2"/>
  <c r="P784" i="2"/>
  <c r="Q783" i="2"/>
  <c r="P783" i="2"/>
  <c r="Q782" i="2"/>
  <c r="P782" i="2"/>
  <c r="Q781" i="2"/>
  <c r="P781" i="2"/>
  <c r="Q780" i="2"/>
  <c r="P780" i="2"/>
  <c r="Q779" i="2"/>
  <c r="P779" i="2"/>
  <c r="Q778" i="2"/>
  <c r="P778" i="2"/>
  <c r="Q777" i="2"/>
  <c r="P777" i="2"/>
  <c r="Q776" i="2"/>
  <c r="P776" i="2"/>
  <c r="Q775" i="2"/>
  <c r="P775" i="2"/>
  <c r="Q774" i="2"/>
  <c r="P774" i="2"/>
  <c r="Q773" i="2"/>
  <c r="P773" i="2"/>
  <c r="Q772" i="2"/>
  <c r="P772" i="2"/>
  <c r="Q771" i="2"/>
  <c r="P771" i="2"/>
  <c r="Q770" i="2"/>
  <c r="P770" i="2"/>
  <c r="Q769" i="2"/>
  <c r="P769" i="2"/>
  <c r="Q768" i="2"/>
  <c r="P768" i="2"/>
  <c r="Q767" i="2"/>
  <c r="P767" i="2"/>
  <c r="Q766" i="2"/>
  <c r="P766" i="2"/>
  <c r="Q765" i="2"/>
  <c r="P765" i="2"/>
  <c r="Q764" i="2"/>
  <c r="P764" i="2"/>
  <c r="Q763" i="2"/>
  <c r="P763" i="2"/>
  <c r="Q762" i="2"/>
  <c r="P762" i="2"/>
  <c r="Q761" i="2"/>
  <c r="P761" i="2"/>
  <c r="Q760" i="2"/>
  <c r="P760" i="2"/>
  <c r="Q759" i="2"/>
  <c r="P759" i="2"/>
  <c r="Q758" i="2"/>
  <c r="P758" i="2"/>
  <c r="Q757" i="2"/>
  <c r="P757" i="2"/>
  <c r="Q756" i="2"/>
  <c r="P756" i="2"/>
  <c r="Q755" i="2"/>
  <c r="P755" i="2"/>
  <c r="Q754" i="2"/>
  <c r="P754" i="2"/>
  <c r="Q753" i="2"/>
  <c r="P753" i="2"/>
  <c r="Q752" i="2"/>
  <c r="P752" i="2"/>
  <c r="Q751" i="2"/>
  <c r="P751" i="2"/>
  <c r="Q750" i="2"/>
  <c r="P750" i="2"/>
  <c r="Q749" i="2"/>
  <c r="P749" i="2"/>
  <c r="Q748" i="2"/>
  <c r="P748" i="2"/>
  <c r="Q747" i="2"/>
  <c r="P747" i="2"/>
  <c r="Q746" i="2"/>
  <c r="P746" i="2"/>
  <c r="Q745" i="2"/>
  <c r="P745" i="2"/>
  <c r="Q744" i="2"/>
  <c r="P744" i="2"/>
  <c r="Q743" i="2"/>
  <c r="P743" i="2"/>
  <c r="Q742" i="2"/>
  <c r="P742" i="2"/>
  <c r="Q741" i="2"/>
  <c r="P741" i="2"/>
  <c r="Q740" i="2"/>
  <c r="P740" i="2"/>
  <c r="Q739" i="2"/>
  <c r="P739" i="2"/>
  <c r="Q738" i="2"/>
  <c r="P738" i="2"/>
  <c r="Q737" i="2"/>
  <c r="P737" i="2"/>
  <c r="Q736" i="2"/>
  <c r="P736" i="2"/>
  <c r="Q735" i="2"/>
  <c r="P735" i="2"/>
  <c r="Q734" i="2"/>
  <c r="P734" i="2"/>
  <c r="Q733" i="2"/>
  <c r="P733" i="2"/>
  <c r="Q732" i="2"/>
  <c r="P732" i="2"/>
  <c r="Q731" i="2"/>
  <c r="P731" i="2"/>
  <c r="Q730" i="2"/>
  <c r="P730" i="2"/>
  <c r="Q729" i="2"/>
  <c r="P729" i="2"/>
  <c r="Q728" i="2"/>
  <c r="P728" i="2"/>
  <c r="Q727" i="2"/>
  <c r="P727" i="2"/>
  <c r="Q726" i="2"/>
  <c r="P726" i="2"/>
  <c r="Q725" i="2"/>
  <c r="P725" i="2"/>
  <c r="Q724" i="2"/>
  <c r="P724" i="2"/>
  <c r="Q723" i="2"/>
  <c r="P723" i="2"/>
  <c r="Q722" i="2"/>
  <c r="P722" i="2"/>
  <c r="Q721" i="2"/>
  <c r="P721" i="2"/>
  <c r="Q720" i="2"/>
  <c r="P720" i="2"/>
  <c r="Q719" i="2"/>
  <c r="P719" i="2"/>
  <c r="Q718" i="2"/>
  <c r="P718" i="2"/>
  <c r="Q717" i="2"/>
  <c r="P717" i="2"/>
  <c r="Q716" i="2"/>
  <c r="P716" i="2"/>
  <c r="Q715" i="2"/>
  <c r="P715" i="2"/>
  <c r="Q714" i="2"/>
  <c r="P714" i="2"/>
  <c r="Q713" i="2"/>
  <c r="P713" i="2"/>
  <c r="Q712" i="2"/>
  <c r="P712" i="2"/>
  <c r="Q711" i="2"/>
  <c r="P711" i="2"/>
  <c r="Q710" i="2"/>
  <c r="P710" i="2"/>
  <c r="Q709" i="2"/>
  <c r="P709" i="2"/>
  <c r="Q708" i="2"/>
  <c r="P708" i="2"/>
  <c r="Q707" i="2"/>
  <c r="P707" i="2"/>
  <c r="Q706" i="2"/>
  <c r="P706" i="2"/>
  <c r="Q705" i="2"/>
  <c r="P705" i="2"/>
  <c r="Q704" i="2"/>
  <c r="P704" i="2"/>
  <c r="Q703" i="2"/>
  <c r="P703" i="2"/>
  <c r="Q702" i="2"/>
  <c r="P702" i="2"/>
  <c r="Q701" i="2"/>
  <c r="P701" i="2"/>
  <c r="Q700" i="2"/>
  <c r="P700" i="2"/>
  <c r="Q699" i="2"/>
  <c r="P699" i="2"/>
  <c r="Q698" i="2"/>
  <c r="P698" i="2"/>
  <c r="Q697" i="2"/>
  <c r="P697" i="2"/>
  <c r="Q696" i="2"/>
  <c r="P696" i="2"/>
  <c r="Q695" i="2"/>
  <c r="P695" i="2"/>
  <c r="Q694" i="2"/>
  <c r="P694" i="2"/>
  <c r="Q693" i="2"/>
  <c r="P693" i="2"/>
  <c r="Q692" i="2"/>
  <c r="P692" i="2"/>
  <c r="Q691" i="2"/>
  <c r="P691" i="2"/>
  <c r="Q690" i="2"/>
  <c r="P690" i="2"/>
  <c r="Q689" i="2"/>
  <c r="P689" i="2"/>
  <c r="Q688" i="2"/>
  <c r="P688" i="2"/>
  <c r="Q687" i="2"/>
  <c r="P687" i="2"/>
  <c r="Q686" i="2"/>
  <c r="P686" i="2"/>
  <c r="Q685" i="2"/>
  <c r="P685" i="2"/>
  <c r="Q684" i="2"/>
  <c r="P684" i="2"/>
  <c r="Q683" i="2"/>
  <c r="P683" i="2"/>
  <c r="Q682" i="2"/>
  <c r="P682" i="2"/>
  <c r="Q681" i="2"/>
  <c r="P681" i="2"/>
  <c r="Q680" i="2"/>
  <c r="P680" i="2"/>
  <c r="Q679" i="2"/>
  <c r="P679" i="2"/>
  <c r="Q678" i="2"/>
  <c r="P678" i="2"/>
  <c r="Q677" i="2"/>
  <c r="P677" i="2"/>
  <c r="Q676" i="2"/>
  <c r="P676" i="2"/>
  <c r="Q675" i="2"/>
  <c r="P675" i="2"/>
  <c r="Q674" i="2"/>
  <c r="P674" i="2"/>
  <c r="Q673" i="2"/>
  <c r="P673" i="2"/>
  <c r="Q672" i="2"/>
  <c r="P672" i="2"/>
  <c r="Q671" i="2"/>
  <c r="P671" i="2"/>
  <c r="Q670" i="2"/>
  <c r="P670" i="2"/>
  <c r="Q669" i="2"/>
  <c r="P669" i="2"/>
  <c r="Q668" i="2"/>
  <c r="P668" i="2"/>
  <c r="Q667" i="2"/>
  <c r="P667" i="2"/>
  <c r="Q666" i="2"/>
  <c r="P666" i="2"/>
  <c r="Q665" i="2"/>
  <c r="P665" i="2"/>
  <c r="Q664" i="2"/>
  <c r="P664" i="2"/>
  <c r="Q663" i="2"/>
  <c r="P663" i="2"/>
  <c r="Q662" i="2"/>
  <c r="P662" i="2"/>
  <c r="Q661" i="2"/>
  <c r="P661" i="2"/>
  <c r="Q660" i="2"/>
  <c r="P660" i="2"/>
  <c r="Q659" i="2"/>
  <c r="P659" i="2"/>
  <c r="Q658" i="2"/>
  <c r="P658" i="2"/>
  <c r="Q657" i="2"/>
  <c r="P657" i="2"/>
  <c r="Q656" i="2"/>
  <c r="P656" i="2"/>
  <c r="Q655" i="2"/>
  <c r="P655" i="2"/>
  <c r="Q654" i="2"/>
  <c r="P654" i="2"/>
  <c r="Q653" i="2"/>
  <c r="P653" i="2"/>
  <c r="Q652" i="2"/>
  <c r="P652" i="2"/>
  <c r="Q651" i="2"/>
  <c r="P651" i="2"/>
  <c r="Q650" i="2"/>
  <c r="P650" i="2"/>
  <c r="Q649" i="2"/>
  <c r="P649" i="2"/>
  <c r="Q648" i="2"/>
  <c r="P648" i="2"/>
  <c r="Q647" i="2"/>
  <c r="P647" i="2"/>
  <c r="Q646" i="2"/>
  <c r="P646" i="2"/>
  <c r="Q645" i="2"/>
  <c r="P645" i="2"/>
  <c r="Q644" i="2"/>
  <c r="P644" i="2"/>
  <c r="Q643" i="2"/>
  <c r="P643" i="2"/>
  <c r="Q642" i="2"/>
  <c r="P642" i="2"/>
  <c r="Q641" i="2"/>
  <c r="P641" i="2"/>
  <c r="Q640" i="2"/>
  <c r="P640" i="2"/>
  <c r="Q639" i="2"/>
  <c r="P639" i="2"/>
  <c r="Q638" i="2"/>
  <c r="P638" i="2"/>
  <c r="Q637" i="2"/>
  <c r="P637" i="2"/>
  <c r="Q636" i="2"/>
  <c r="P636" i="2"/>
  <c r="Q635" i="2"/>
  <c r="P635" i="2"/>
  <c r="Q634" i="2"/>
  <c r="P634" i="2"/>
  <c r="Q633" i="2"/>
  <c r="P633" i="2"/>
  <c r="Q632" i="2"/>
  <c r="P632" i="2"/>
  <c r="Q631" i="2"/>
  <c r="P631" i="2"/>
  <c r="Q630" i="2"/>
  <c r="P630" i="2"/>
  <c r="Q629" i="2"/>
  <c r="P629" i="2"/>
  <c r="Q628" i="2"/>
  <c r="P628" i="2"/>
  <c r="Q627" i="2"/>
  <c r="P627" i="2"/>
  <c r="Q626" i="2"/>
  <c r="P626" i="2"/>
  <c r="Q625" i="2"/>
  <c r="P625" i="2"/>
  <c r="Q624" i="2"/>
  <c r="P624" i="2"/>
  <c r="Q623" i="2"/>
  <c r="P623" i="2"/>
  <c r="Q622" i="2"/>
  <c r="P622" i="2"/>
  <c r="Q621" i="2"/>
  <c r="P621" i="2"/>
  <c r="Q620" i="2"/>
  <c r="P620" i="2"/>
  <c r="Q619" i="2"/>
  <c r="P619" i="2"/>
  <c r="Q618" i="2"/>
  <c r="P618" i="2"/>
  <c r="Q617" i="2"/>
  <c r="P617" i="2"/>
  <c r="Q616" i="2"/>
  <c r="P616" i="2"/>
  <c r="Q615" i="2"/>
  <c r="P615" i="2"/>
  <c r="Q614" i="2"/>
  <c r="P614" i="2"/>
  <c r="Q613" i="2"/>
  <c r="P613" i="2"/>
  <c r="Q612" i="2"/>
  <c r="P612" i="2"/>
  <c r="Q611" i="2"/>
  <c r="P611" i="2"/>
  <c r="Q610" i="2"/>
  <c r="P610" i="2"/>
  <c r="Q609" i="2"/>
  <c r="P609" i="2"/>
  <c r="Q608" i="2"/>
  <c r="P608" i="2"/>
  <c r="Q607" i="2"/>
  <c r="P607" i="2"/>
  <c r="Q606" i="2"/>
  <c r="P606" i="2"/>
  <c r="Q605" i="2"/>
  <c r="P605" i="2"/>
  <c r="Q604" i="2"/>
  <c r="P604" i="2"/>
  <c r="Q603" i="2"/>
  <c r="P603" i="2"/>
  <c r="Q602" i="2"/>
  <c r="P602" i="2"/>
  <c r="Q601" i="2"/>
  <c r="P601" i="2"/>
  <c r="Q600" i="2"/>
  <c r="P600" i="2"/>
  <c r="Q599" i="2"/>
  <c r="P599" i="2"/>
  <c r="Q598" i="2"/>
  <c r="P598" i="2"/>
  <c r="Q597" i="2"/>
  <c r="P597" i="2"/>
  <c r="Q596" i="2"/>
  <c r="P596" i="2"/>
  <c r="Q595" i="2"/>
  <c r="P595" i="2"/>
  <c r="Q594" i="2"/>
  <c r="P594" i="2"/>
  <c r="Q593" i="2"/>
  <c r="P593" i="2"/>
  <c r="Q592" i="2"/>
  <c r="P592" i="2"/>
  <c r="Q591" i="2"/>
  <c r="P591" i="2"/>
  <c r="Q590" i="2"/>
  <c r="P590" i="2"/>
  <c r="Q589" i="2"/>
  <c r="P589" i="2"/>
  <c r="Q588" i="2"/>
  <c r="P588" i="2"/>
  <c r="Q587" i="2"/>
  <c r="P587" i="2"/>
  <c r="Q586" i="2"/>
  <c r="P586" i="2"/>
  <c r="Q585" i="2"/>
  <c r="P585" i="2"/>
  <c r="Q584" i="2"/>
  <c r="P584" i="2"/>
  <c r="Q583" i="2"/>
  <c r="P583" i="2"/>
  <c r="Q582" i="2"/>
  <c r="P582" i="2"/>
  <c r="Q581" i="2"/>
  <c r="P581" i="2"/>
  <c r="Q580" i="2"/>
  <c r="P580" i="2"/>
  <c r="Q579" i="2"/>
  <c r="P579" i="2"/>
  <c r="Q578" i="2"/>
  <c r="P578" i="2"/>
  <c r="Q577" i="2"/>
  <c r="P577" i="2"/>
  <c r="Q576" i="2"/>
  <c r="P576" i="2"/>
  <c r="Q575" i="2"/>
  <c r="P575" i="2"/>
  <c r="Q574" i="2"/>
  <c r="P574" i="2"/>
  <c r="Q573" i="2"/>
  <c r="P573" i="2"/>
  <c r="Q572" i="2"/>
  <c r="P572" i="2"/>
  <c r="Q571" i="2"/>
  <c r="P571" i="2"/>
  <c r="Q570" i="2"/>
  <c r="P570" i="2"/>
  <c r="Q569" i="2"/>
  <c r="P569" i="2"/>
  <c r="Q568" i="2"/>
  <c r="P568" i="2"/>
  <c r="Q567" i="2"/>
  <c r="P567" i="2"/>
  <c r="Q566" i="2"/>
  <c r="P566" i="2"/>
  <c r="Q565" i="2"/>
  <c r="P565" i="2"/>
  <c r="Q564" i="2"/>
  <c r="P564" i="2"/>
  <c r="Q563" i="2"/>
  <c r="P563" i="2"/>
  <c r="Q562" i="2"/>
  <c r="P562" i="2"/>
  <c r="Q561" i="2"/>
  <c r="P561" i="2"/>
  <c r="Q560" i="2"/>
  <c r="P560" i="2"/>
  <c r="Q559" i="2"/>
  <c r="P559" i="2"/>
  <c r="Q558" i="2"/>
  <c r="P558" i="2"/>
  <c r="Q557" i="2"/>
  <c r="P557" i="2"/>
  <c r="Q556" i="2"/>
  <c r="P556" i="2"/>
  <c r="Q555" i="2"/>
  <c r="P555" i="2"/>
  <c r="Q554" i="2"/>
  <c r="P554" i="2"/>
  <c r="Q553" i="2"/>
  <c r="P553" i="2"/>
  <c r="Q552" i="2"/>
  <c r="P552" i="2"/>
  <c r="Q551" i="2"/>
  <c r="P551" i="2"/>
  <c r="Q550" i="2"/>
  <c r="P550" i="2"/>
  <c r="Q549" i="2"/>
  <c r="P549" i="2"/>
  <c r="Q548" i="2"/>
  <c r="P548" i="2"/>
  <c r="Q547" i="2"/>
  <c r="P547" i="2"/>
  <c r="Q546" i="2"/>
  <c r="P546" i="2"/>
  <c r="Q545" i="2"/>
  <c r="P545" i="2"/>
  <c r="Q544" i="2"/>
  <c r="P544" i="2"/>
  <c r="Q543" i="2"/>
  <c r="P543" i="2"/>
  <c r="Q542" i="2"/>
  <c r="P542" i="2"/>
  <c r="Q541" i="2"/>
  <c r="P541" i="2"/>
  <c r="Q540" i="2"/>
  <c r="P540" i="2"/>
  <c r="Q539" i="2"/>
  <c r="P539" i="2"/>
  <c r="Q538" i="2"/>
  <c r="P538" i="2"/>
  <c r="Q537" i="2"/>
  <c r="P537" i="2"/>
  <c r="Q536" i="2"/>
  <c r="P536" i="2"/>
  <c r="Q535" i="2"/>
  <c r="P535" i="2"/>
  <c r="Q534" i="2"/>
  <c r="P534" i="2"/>
  <c r="Q533" i="2"/>
  <c r="P533" i="2"/>
  <c r="Q532" i="2"/>
  <c r="P532" i="2"/>
  <c r="Q531" i="2"/>
  <c r="P531" i="2"/>
  <c r="Q530" i="2"/>
  <c r="P530" i="2"/>
  <c r="Q529" i="2"/>
  <c r="P529" i="2"/>
  <c r="Q528" i="2"/>
  <c r="P528" i="2"/>
  <c r="Q527" i="2"/>
  <c r="P527" i="2"/>
  <c r="Q526" i="2"/>
  <c r="P526" i="2"/>
  <c r="Q525" i="2"/>
  <c r="P525" i="2"/>
  <c r="Q524" i="2"/>
  <c r="P524" i="2"/>
  <c r="Q523" i="2"/>
  <c r="P523" i="2"/>
  <c r="Q522" i="2"/>
  <c r="P522" i="2"/>
  <c r="Q521" i="2"/>
  <c r="P521" i="2"/>
  <c r="Q520" i="2"/>
  <c r="P520" i="2"/>
  <c r="Q519" i="2"/>
  <c r="P519" i="2"/>
  <c r="Q518" i="2"/>
  <c r="P518" i="2"/>
  <c r="Q517" i="2"/>
  <c r="P517" i="2"/>
  <c r="Q516" i="2"/>
  <c r="P516" i="2"/>
  <c r="Q515" i="2"/>
  <c r="P515" i="2"/>
  <c r="Q514" i="2"/>
  <c r="P514" i="2"/>
  <c r="Q513" i="2"/>
  <c r="P513" i="2"/>
  <c r="Q512" i="2"/>
  <c r="P512" i="2"/>
  <c r="Q511" i="2"/>
  <c r="P511" i="2"/>
  <c r="Q510" i="2"/>
  <c r="P510" i="2"/>
  <c r="Q509" i="2"/>
  <c r="P509" i="2"/>
  <c r="Q508" i="2"/>
  <c r="P508" i="2"/>
  <c r="Q507" i="2"/>
  <c r="P507" i="2"/>
  <c r="Q506" i="2"/>
  <c r="P506" i="2"/>
  <c r="Q505" i="2"/>
  <c r="P505" i="2"/>
  <c r="Q504" i="2"/>
  <c r="P504" i="2"/>
  <c r="Q503" i="2"/>
  <c r="P503" i="2"/>
  <c r="Q502" i="2"/>
  <c r="P502" i="2"/>
  <c r="Q501" i="2"/>
  <c r="P501" i="2"/>
  <c r="Q500" i="2"/>
  <c r="P500" i="2"/>
  <c r="Q499" i="2"/>
  <c r="P499" i="2"/>
  <c r="Q498" i="2"/>
  <c r="P498" i="2"/>
  <c r="Q497" i="2"/>
  <c r="P497" i="2"/>
  <c r="Q496" i="2"/>
  <c r="P496" i="2"/>
  <c r="Q495" i="2"/>
  <c r="P495" i="2"/>
  <c r="Q494" i="2"/>
  <c r="P494" i="2"/>
  <c r="Q493" i="2"/>
  <c r="P493" i="2"/>
  <c r="Q492" i="2"/>
  <c r="P492" i="2"/>
  <c r="Q491" i="2"/>
  <c r="P491" i="2"/>
  <c r="Q490" i="2"/>
  <c r="P490" i="2"/>
  <c r="Q489" i="2"/>
  <c r="P489" i="2"/>
  <c r="Q488" i="2"/>
  <c r="P488" i="2"/>
  <c r="Q487" i="2"/>
  <c r="P487" i="2"/>
  <c r="Q486" i="2"/>
  <c r="P486" i="2"/>
  <c r="Q485" i="2"/>
  <c r="P485" i="2"/>
  <c r="Q484" i="2"/>
  <c r="P484" i="2"/>
  <c r="Q483" i="2"/>
  <c r="P483" i="2"/>
  <c r="Q482" i="2"/>
  <c r="P482" i="2"/>
  <c r="Q481" i="2"/>
  <c r="P481" i="2"/>
  <c r="Q480" i="2"/>
  <c r="P480" i="2"/>
  <c r="Q479" i="2"/>
  <c r="P479" i="2"/>
  <c r="Q478" i="2"/>
  <c r="P478" i="2"/>
  <c r="Q477" i="2"/>
  <c r="P477" i="2"/>
  <c r="Q476" i="2"/>
  <c r="P476" i="2"/>
  <c r="Q475" i="2"/>
  <c r="P475" i="2"/>
  <c r="Q474" i="2"/>
  <c r="P474" i="2"/>
  <c r="Q473" i="2"/>
  <c r="P473" i="2"/>
  <c r="Q472" i="2"/>
  <c r="P472" i="2"/>
  <c r="Q471" i="2"/>
  <c r="P471" i="2"/>
  <c r="Q470" i="2"/>
  <c r="P470" i="2"/>
  <c r="Q469" i="2"/>
  <c r="P469" i="2"/>
  <c r="Q468" i="2"/>
  <c r="P468" i="2"/>
  <c r="Q467" i="2"/>
  <c r="P467" i="2"/>
  <c r="Q466" i="2"/>
  <c r="P466" i="2"/>
  <c r="Q465" i="2"/>
  <c r="P465" i="2"/>
  <c r="Q464" i="2"/>
  <c r="P464" i="2"/>
  <c r="Q463" i="2"/>
  <c r="P463" i="2"/>
  <c r="Q462" i="2"/>
  <c r="P462" i="2"/>
  <c r="Q461" i="2"/>
  <c r="P461" i="2"/>
  <c r="Q460" i="2"/>
  <c r="P460" i="2"/>
  <c r="Q459" i="2"/>
  <c r="P459" i="2"/>
  <c r="Q458" i="2"/>
  <c r="P458" i="2"/>
  <c r="Q457" i="2"/>
  <c r="P457" i="2"/>
  <c r="Q456" i="2"/>
  <c r="P456" i="2"/>
  <c r="Q455" i="2"/>
  <c r="P455" i="2"/>
  <c r="Q454" i="2"/>
  <c r="P454" i="2"/>
  <c r="Q453" i="2"/>
  <c r="P453" i="2"/>
  <c r="Q452" i="2"/>
  <c r="P452" i="2"/>
  <c r="Q451" i="2"/>
  <c r="P451" i="2"/>
  <c r="Q450" i="2"/>
  <c r="P450" i="2"/>
  <c r="Q449" i="2"/>
  <c r="P449" i="2"/>
  <c r="Q448" i="2"/>
  <c r="P448" i="2"/>
  <c r="Q447" i="2"/>
  <c r="P447" i="2"/>
  <c r="Q446" i="2"/>
  <c r="P446" i="2"/>
  <c r="Q445" i="2"/>
  <c r="P445" i="2"/>
  <c r="Q444" i="2"/>
  <c r="P444" i="2"/>
  <c r="Q443" i="2"/>
  <c r="P443" i="2"/>
  <c r="Q442" i="2"/>
  <c r="P442" i="2"/>
  <c r="Q441" i="2"/>
  <c r="P441" i="2"/>
  <c r="Q440" i="2"/>
  <c r="P440" i="2"/>
  <c r="Q439" i="2"/>
  <c r="P439" i="2"/>
  <c r="Q438" i="2"/>
  <c r="P438" i="2"/>
  <c r="Q437" i="2"/>
  <c r="P437" i="2"/>
  <c r="Q436" i="2"/>
  <c r="P436" i="2"/>
  <c r="Q435" i="2"/>
  <c r="P435" i="2"/>
  <c r="Q434" i="2"/>
  <c r="P434" i="2"/>
  <c r="Q433" i="2"/>
  <c r="P433" i="2"/>
  <c r="Q432" i="2"/>
  <c r="P432" i="2"/>
  <c r="Q431" i="2"/>
  <c r="P431" i="2"/>
  <c r="Q430" i="2"/>
  <c r="P430" i="2"/>
  <c r="Q429" i="2"/>
  <c r="P429" i="2"/>
  <c r="Q428" i="2"/>
  <c r="P428" i="2"/>
  <c r="Q427" i="2"/>
  <c r="P427" i="2"/>
  <c r="Q426" i="2"/>
  <c r="P426" i="2"/>
  <c r="Q425" i="2"/>
  <c r="P425" i="2"/>
  <c r="Q424" i="2"/>
  <c r="P424" i="2"/>
  <c r="Q423" i="2"/>
  <c r="P423" i="2"/>
  <c r="Q422" i="2"/>
  <c r="P422" i="2"/>
  <c r="Q421" i="2"/>
  <c r="P421" i="2"/>
  <c r="Q420" i="2"/>
  <c r="P420" i="2"/>
  <c r="Q419" i="2"/>
  <c r="P419" i="2"/>
  <c r="Q418" i="2"/>
  <c r="P418" i="2"/>
  <c r="Q417" i="2"/>
  <c r="P417" i="2"/>
  <c r="Q416" i="2"/>
  <c r="P416" i="2"/>
  <c r="Q415" i="2"/>
  <c r="P415" i="2"/>
  <c r="Q414" i="2"/>
  <c r="P414" i="2"/>
  <c r="Q413" i="2"/>
  <c r="P413" i="2"/>
  <c r="Q412" i="2"/>
  <c r="P412" i="2"/>
  <c r="Q411" i="2"/>
  <c r="P411" i="2"/>
  <c r="Q410" i="2"/>
  <c r="P410" i="2"/>
  <c r="Q409" i="2"/>
  <c r="P409" i="2"/>
  <c r="Q408" i="2"/>
  <c r="P408" i="2"/>
  <c r="Q407" i="2"/>
  <c r="P407" i="2"/>
  <c r="Q406" i="2"/>
  <c r="P406" i="2"/>
  <c r="Q405" i="2"/>
  <c r="P405" i="2"/>
  <c r="Q404" i="2"/>
  <c r="P404" i="2"/>
  <c r="Q403" i="2"/>
  <c r="P403" i="2"/>
  <c r="Q402" i="2"/>
  <c r="P402" i="2"/>
  <c r="Q401" i="2"/>
  <c r="P401" i="2"/>
  <c r="Q400" i="2"/>
  <c r="P400" i="2"/>
  <c r="Q399" i="2"/>
  <c r="P399" i="2"/>
  <c r="Q398" i="2"/>
  <c r="P398" i="2"/>
  <c r="Q397" i="2"/>
  <c r="P397" i="2"/>
  <c r="Q396" i="2"/>
  <c r="P396" i="2"/>
  <c r="Q395" i="2"/>
  <c r="P395" i="2"/>
  <c r="Q394" i="2"/>
  <c r="P394" i="2"/>
  <c r="Q393" i="2"/>
  <c r="P393" i="2"/>
  <c r="Q392" i="2"/>
  <c r="P392" i="2"/>
  <c r="Q391" i="2"/>
  <c r="P391" i="2"/>
  <c r="Q390" i="2"/>
  <c r="P390" i="2"/>
  <c r="Q389" i="2"/>
  <c r="P389" i="2"/>
  <c r="Q388" i="2"/>
  <c r="P388" i="2"/>
  <c r="Q387" i="2"/>
  <c r="P387" i="2"/>
  <c r="Q386" i="2"/>
  <c r="P386" i="2"/>
  <c r="Q385" i="2"/>
  <c r="P385" i="2"/>
  <c r="Q384" i="2"/>
  <c r="P384" i="2"/>
  <c r="Q383" i="2"/>
  <c r="P383" i="2"/>
  <c r="Q382" i="2"/>
  <c r="P382" i="2"/>
  <c r="Q381" i="2"/>
  <c r="P381" i="2"/>
  <c r="Q380" i="2"/>
  <c r="P380" i="2"/>
  <c r="Q379" i="2"/>
  <c r="P379" i="2"/>
  <c r="Q378" i="2"/>
  <c r="P378" i="2"/>
  <c r="Q377" i="2"/>
  <c r="P377" i="2"/>
  <c r="Q376" i="2"/>
  <c r="P376" i="2"/>
  <c r="Q375" i="2"/>
  <c r="P375" i="2"/>
  <c r="Q374" i="2"/>
  <c r="P374" i="2"/>
  <c r="Q373" i="2"/>
  <c r="P373" i="2"/>
  <c r="Q372" i="2"/>
  <c r="P372" i="2"/>
  <c r="Q371" i="2"/>
  <c r="P371" i="2"/>
  <c r="Q370" i="2"/>
  <c r="P370" i="2"/>
  <c r="Q369" i="2"/>
  <c r="P369" i="2"/>
  <c r="Q368" i="2"/>
  <c r="P368" i="2"/>
  <c r="Q367" i="2"/>
  <c r="P367" i="2"/>
  <c r="Q366" i="2"/>
  <c r="P366" i="2"/>
  <c r="Q365" i="2"/>
  <c r="P365" i="2"/>
  <c r="Q364" i="2"/>
  <c r="P364" i="2"/>
  <c r="Q363" i="2"/>
  <c r="P363" i="2"/>
  <c r="Q362" i="2"/>
  <c r="P362" i="2"/>
  <c r="Q361" i="2"/>
  <c r="P361" i="2"/>
  <c r="Q360" i="2"/>
  <c r="P360" i="2"/>
  <c r="Q359" i="2"/>
  <c r="P359" i="2"/>
  <c r="Q358" i="2"/>
  <c r="P358" i="2"/>
  <c r="Q357" i="2"/>
  <c r="P357" i="2"/>
  <c r="Q356" i="2"/>
  <c r="P356" i="2"/>
  <c r="Q355" i="2"/>
  <c r="P355" i="2"/>
  <c r="Q354" i="2"/>
  <c r="P354" i="2"/>
  <c r="Q353" i="2"/>
  <c r="P353" i="2"/>
  <c r="Q352" i="2"/>
  <c r="P352" i="2"/>
  <c r="Q351" i="2"/>
  <c r="P351" i="2"/>
  <c r="Q350" i="2"/>
  <c r="P350" i="2"/>
  <c r="Q349" i="2"/>
  <c r="P349" i="2"/>
  <c r="Q348" i="2"/>
  <c r="P348" i="2"/>
  <c r="Q347" i="2"/>
  <c r="P347" i="2"/>
  <c r="Q346" i="2"/>
  <c r="P346" i="2"/>
  <c r="Q345" i="2"/>
  <c r="P345" i="2"/>
  <c r="Q344" i="2"/>
  <c r="P344" i="2"/>
  <c r="Q343" i="2"/>
  <c r="P343" i="2"/>
  <c r="Q342" i="2"/>
  <c r="P342" i="2"/>
  <c r="Q341" i="2"/>
  <c r="P341" i="2"/>
  <c r="Q340" i="2"/>
  <c r="P340" i="2"/>
  <c r="Q339" i="2"/>
  <c r="P339" i="2"/>
  <c r="Q338" i="2"/>
  <c r="P338" i="2"/>
  <c r="Q337" i="2"/>
  <c r="P337" i="2"/>
  <c r="Q336" i="2"/>
  <c r="P336" i="2"/>
  <c r="Q335" i="2"/>
  <c r="P335" i="2"/>
  <c r="Q334" i="2"/>
  <c r="P334" i="2"/>
  <c r="Q333" i="2"/>
  <c r="P333" i="2"/>
  <c r="Q332" i="2"/>
  <c r="P332" i="2"/>
  <c r="Q331" i="2"/>
  <c r="P331" i="2"/>
  <c r="Q330" i="2"/>
  <c r="P330" i="2"/>
  <c r="Q329" i="2"/>
  <c r="P329" i="2"/>
  <c r="Q328" i="2"/>
  <c r="P328" i="2"/>
  <c r="Q327" i="2"/>
  <c r="P327" i="2"/>
  <c r="Q326" i="2"/>
  <c r="P326" i="2"/>
  <c r="Q325" i="2"/>
  <c r="P325" i="2"/>
  <c r="Q324" i="2"/>
  <c r="P324" i="2"/>
  <c r="Q323" i="2"/>
  <c r="P323" i="2"/>
  <c r="Q322" i="2"/>
  <c r="P322" i="2"/>
  <c r="Q321" i="2"/>
  <c r="P321" i="2"/>
  <c r="Q320" i="2"/>
  <c r="P320" i="2"/>
  <c r="Q319" i="2"/>
  <c r="P319" i="2"/>
  <c r="Q318" i="2"/>
  <c r="P318" i="2"/>
  <c r="Q317" i="2"/>
  <c r="P317" i="2"/>
  <c r="Q316" i="2"/>
  <c r="P316" i="2"/>
  <c r="Q315" i="2"/>
  <c r="P315" i="2"/>
  <c r="Q314" i="2"/>
  <c r="P314" i="2"/>
  <c r="Q313" i="2"/>
  <c r="P313" i="2"/>
  <c r="Q312" i="2"/>
  <c r="P312" i="2"/>
  <c r="Q311" i="2"/>
  <c r="P311" i="2"/>
  <c r="Q310" i="2"/>
  <c r="P310" i="2"/>
  <c r="Q309" i="2"/>
  <c r="P309" i="2"/>
  <c r="Q308" i="2"/>
  <c r="P308" i="2"/>
  <c r="Q307" i="2"/>
  <c r="P307" i="2"/>
  <c r="Q306" i="2"/>
  <c r="P306" i="2"/>
  <c r="Q305" i="2"/>
  <c r="P305" i="2"/>
  <c r="Q304" i="2"/>
  <c r="P304" i="2"/>
  <c r="Q303" i="2"/>
  <c r="P303" i="2"/>
  <c r="Q302" i="2"/>
  <c r="P302" i="2"/>
  <c r="Q301" i="2"/>
  <c r="P301" i="2"/>
  <c r="Q300" i="2"/>
  <c r="P300" i="2"/>
  <c r="Q299" i="2"/>
  <c r="P299" i="2"/>
  <c r="Q298" i="2"/>
  <c r="P298" i="2"/>
  <c r="Q297" i="2"/>
  <c r="P297" i="2"/>
  <c r="Q296" i="2"/>
  <c r="P296" i="2"/>
  <c r="Q295" i="2"/>
  <c r="P295" i="2"/>
  <c r="Q294" i="2"/>
  <c r="P294" i="2"/>
  <c r="Q293" i="2"/>
  <c r="P293" i="2"/>
  <c r="Q292" i="2"/>
  <c r="P292" i="2"/>
  <c r="Q291" i="2"/>
  <c r="P291" i="2"/>
  <c r="Q290" i="2"/>
  <c r="P290" i="2"/>
  <c r="Q289" i="2"/>
  <c r="P289" i="2"/>
  <c r="Q288" i="2"/>
  <c r="P288" i="2"/>
  <c r="Q287" i="2"/>
  <c r="P287" i="2"/>
  <c r="Q286" i="2"/>
  <c r="P286" i="2"/>
  <c r="Q285" i="2"/>
  <c r="P285" i="2"/>
  <c r="Q284" i="2"/>
  <c r="P284" i="2"/>
  <c r="Q283" i="2"/>
  <c r="P283" i="2"/>
  <c r="Q282" i="2"/>
  <c r="P282" i="2"/>
  <c r="Q281" i="2"/>
  <c r="P281" i="2"/>
  <c r="Q280" i="2"/>
  <c r="P280" i="2"/>
  <c r="Q279" i="2"/>
  <c r="P279" i="2"/>
  <c r="Q278" i="2"/>
  <c r="P278" i="2"/>
  <c r="Q277" i="2"/>
  <c r="P277" i="2"/>
  <c r="Q276" i="2"/>
  <c r="P276" i="2"/>
  <c r="Q275" i="2"/>
  <c r="P275" i="2"/>
  <c r="Q274" i="2"/>
  <c r="P274" i="2"/>
  <c r="Q273" i="2"/>
  <c r="P273" i="2"/>
  <c r="Q272" i="2"/>
  <c r="P272" i="2"/>
  <c r="Q271" i="2"/>
  <c r="P271" i="2"/>
  <c r="Q270" i="2"/>
  <c r="P270" i="2"/>
  <c r="Q269" i="2"/>
  <c r="P269" i="2"/>
  <c r="Q268" i="2"/>
  <c r="P268" i="2"/>
  <c r="Q267" i="2"/>
  <c r="P267" i="2"/>
  <c r="Q266" i="2"/>
  <c r="P266" i="2"/>
  <c r="Q265" i="2"/>
  <c r="P265" i="2"/>
  <c r="Q264" i="2"/>
  <c r="P264" i="2"/>
  <c r="Q263" i="2"/>
  <c r="P263" i="2"/>
  <c r="Q262" i="2"/>
  <c r="P262" i="2"/>
  <c r="Q261" i="2"/>
  <c r="P261" i="2"/>
  <c r="Q260" i="2"/>
  <c r="P260" i="2"/>
  <c r="Q259" i="2"/>
  <c r="P259" i="2"/>
  <c r="Q258" i="2"/>
  <c r="P258" i="2"/>
  <c r="Q257" i="2"/>
  <c r="P257" i="2"/>
  <c r="Q256" i="2"/>
  <c r="P256" i="2"/>
  <c r="Q255" i="2"/>
  <c r="P255" i="2"/>
  <c r="Q254" i="2"/>
  <c r="P254" i="2"/>
  <c r="Q253" i="2"/>
  <c r="P253" i="2"/>
  <c r="Q252" i="2"/>
  <c r="P252" i="2"/>
  <c r="Q251" i="2"/>
  <c r="P251" i="2"/>
  <c r="Q250" i="2"/>
  <c r="P250" i="2"/>
  <c r="Q249" i="2"/>
  <c r="P249" i="2"/>
  <c r="Q248" i="2"/>
  <c r="P248" i="2"/>
  <c r="Q247" i="2"/>
  <c r="P247" i="2"/>
  <c r="Q246" i="2"/>
  <c r="P246" i="2"/>
  <c r="Q245" i="2"/>
  <c r="P245" i="2"/>
  <c r="Q244" i="2"/>
  <c r="P244" i="2"/>
  <c r="Q243" i="2"/>
  <c r="P243" i="2"/>
  <c r="Q242" i="2"/>
  <c r="P242" i="2"/>
  <c r="Q241" i="2"/>
  <c r="P241" i="2"/>
  <c r="Q240" i="2"/>
  <c r="P240" i="2"/>
  <c r="Q239" i="2"/>
  <c r="P239" i="2"/>
  <c r="Q238" i="2"/>
  <c r="P238" i="2"/>
  <c r="Q237" i="2"/>
  <c r="P237" i="2"/>
  <c r="Q236" i="2"/>
  <c r="P236" i="2"/>
  <c r="Q235" i="2"/>
  <c r="P235" i="2"/>
  <c r="Q234" i="2"/>
  <c r="P234" i="2"/>
  <c r="Q233" i="2"/>
  <c r="P233" i="2"/>
  <c r="Q232" i="2"/>
  <c r="P232" i="2"/>
  <c r="Q231" i="2"/>
  <c r="P231" i="2"/>
  <c r="Q230" i="2"/>
  <c r="P230" i="2"/>
  <c r="Q229" i="2"/>
  <c r="P229" i="2"/>
  <c r="Q228" i="2"/>
  <c r="P228" i="2"/>
  <c r="Q227" i="2"/>
  <c r="P227" i="2"/>
  <c r="Q226" i="2"/>
  <c r="P226" i="2"/>
  <c r="Q225" i="2"/>
  <c r="P225" i="2"/>
  <c r="Q224" i="2"/>
  <c r="P224" i="2"/>
  <c r="Q223" i="2"/>
  <c r="P223" i="2"/>
  <c r="Q222" i="2"/>
  <c r="P222" i="2"/>
  <c r="Q221" i="2"/>
  <c r="P221" i="2"/>
  <c r="Q220" i="2"/>
  <c r="P220" i="2"/>
  <c r="Q219" i="2"/>
  <c r="P219" i="2"/>
  <c r="Q218" i="2"/>
  <c r="P218" i="2"/>
  <c r="Q217" i="2"/>
  <c r="P217" i="2"/>
  <c r="Q216" i="2"/>
  <c r="P216" i="2"/>
  <c r="Q215" i="2"/>
  <c r="P215" i="2"/>
  <c r="Q214" i="2"/>
  <c r="P214" i="2"/>
  <c r="Q213" i="2"/>
  <c r="P213" i="2"/>
  <c r="Q212" i="2"/>
  <c r="P212" i="2"/>
  <c r="Q211" i="2"/>
  <c r="P211" i="2"/>
  <c r="Q210" i="2"/>
  <c r="P210" i="2"/>
  <c r="Q209" i="2"/>
  <c r="P209" i="2"/>
  <c r="Q208" i="2"/>
  <c r="P208" i="2"/>
  <c r="Q207" i="2"/>
  <c r="P207" i="2"/>
  <c r="Q206" i="2"/>
  <c r="P206" i="2"/>
  <c r="Q205" i="2"/>
  <c r="P205" i="2"/>
  <c r="Q204" i="2"/>
  <c r="P204" i="2"/>
  <c r="Q203" i="2"/>
  <c r="P203" i="2"/>
  <c r="Q202" i="2"/>
  <c r="P202" i="2"/>
  <c r="Q201" i="2"/>
  <c r="P201" i="2"/>
  <c r="Q200" i="2"/>
  <c r="P200" i="2"/>
  <c r="Q199" i="2"/>
  <c r="P199" i="2"/>
  <c r="Q198" i="2"/>
  <c r="P198" i="2"/>
  <c r="Q197" i="2"/>
  <c r="P197" i="2"/>
  <c r="Q196" i="2"/>
  <c r="P196" i="2"/>
  <c r="Q195" i="2"/>
  <c r="P195" i="2"/>
  <c r="Q194" i="2"/>
  <c r="P194" i="2"/>
  <c r="Q193" i="2"/>
  <c r="P193" i="2"/>
  <c r="Q192" i="2"/>
  <c r="P192" i="2"/>
  <c r="Q191" i="2"/>
  <c r="P191" i="2"/>
  <c r="Q190" i="2"/>
  <c r="P190" i="2"/>
  <c r="Q189" i="2"/>
  <c r="P189" i="2"/>
  <c r="Q188" i="2"/>
  <c r="P188" i="2"/>
  <c r="Q187" i="2"/>
  <c r="P187" i="2"/>
  <c r="Q186" i="2"/>
  <c r="P186" i="2"/>
  <c r="Q185" i="2"/>
  <c r="P185" i="2"/>
  <c r="K1002" i="2"/>
  <c r="J1002" i="2"/>
  <c r="K1001" i="2"/>
  <c r="J1001" i="2"/>
  <c r="K1000" i="2"/>
  <c r="J1000" i="2"/>
  <c r="K999" i="2"/>
  <c r="J999" i="2"/>
  <c r="K998" i="2"/>
  <c r="J998" i="2"/>
  <c r="K997" i="2"/>
  <c r="J997" i="2"/>
  <c r="K996" i="2"/>
  <c r="J996" i="2"/>
  <c r="K995" i="2"/>
  <c r="J995" i="2"/>
  <c r="K994" i="2"/>
  <c r="J994" i="2"/>
  <c r="K993" i="2"/>
  <c r="J993" i="2"/>
  <c r="K992" i="2"/>
  <c r="J992" i="2"/>
  <c r="K991" i="2"/>
  <c r="J991" i="2"/>
  <c r="K990" i="2"/>
  <c r="J990" i="2"/>
  <c r="K989" i="2"/>
  <c r="J989" i="2"/>
  <c r="K988" i="2"/>
  <c r="J988" i="2"/>
  <c r="K987" i="2"/>
  <c r="J987" i="2"/>
  <c r="K986" i="2"/>
  <c r="J986" i="2"/>
  <c r="K985" i="2"/>
  <c r="J985" i="2"/>
  <c r="K984" i="2"/>
  <c r="J984" i="2"/>
  <c r="K983" i="2"/>
  <c r="J983" i="2"/>
  <c r="K982" i="2"/>
  <c r="J982" i="2"/>
  <c r="K981" i="2"/>
  <c r="J981" i="2"/>
  <c r="K980" i="2"/>
  <c r="J980" i="2"/>
  <c r="K979" i="2"/>
  <c r="J979" i="2"/>
  <c r="K978" i="2"/>
  <c r="J978" i="2"/>
  <c r="K977" i="2"/>
  <c r="J977" i="2"/>
  <c r="K976" i="2"/>
  <c r="J976" i="2"/>
  <c r="K975" i="2"/>
  <c r="J975" i="2"/>
  <c r="K974" i="2"/>
  <c r="J974" i="2"/>
  <c r="K973" i="2"/>
  <c r="J973" i="2"/>
  <c r="K972" i="2"/>
  <c r="J972" i="2"/>
  <c r="K971" i="2"/>
  <c r="J971" i="2"/>
  <c r="K970" i="2"/>
  <c r="J970" i="2"/>
  <c r="K969" i="2"/>
  <c r="J969" i="2"/>
  <c r="K968" i="2"/>
  <c r="J968" i="2"/>
  <c r="K967" i="2"/>
  <c r="J967" i="2"/>
  <c r="K966" i="2"/>
  <c r="J966" i="2"/>
  <c r="K965" i="2"/>
  <c r="J965" i="2"/>
  <c r="K964" i="2"/>
  <c r="J964" i="2"/>
  <c r="K963" i="2"/>
  <c r="J963" i="2"/>
  <c r="K962" i="2"/>
  <c r="J962" i="2"/>
  <c r="K961" i="2"/>
  <c r="J961" i="2"/>
  <c r="K960" i="2"/>
  <c r="J960" i="2"/>
  <c r="K959" i="2"/>
  <c r="J959" i="2"/>
  <c r="K958" i="2"/>
  <c r="J958" i="2"/>
  <c r="K957" i="2"/>
  <c r="J957" i="2"/>
  <c r="K956" i="2"/>
  <c r="J956" i="2"/>
  <c r="K955" i="2"/>
  <c r="J955" i="2"/>
  <c r="K954" i="2"/>
  <c r="J954" i="2"/>
  <c r="K953" i="2"/>
  <c r="J953" i="2"/>
  <c r="K952" i="2"/>
  <c r="J952" i="2"/>
  <c r="K951" i="2"/>
  <c r="J951" i="2"/>
  <c r="K950" i="2"/>
  <c r="J950" i="2"/>
  <c r="K949" i="2"/>
  <c r="J949" i="2"/>
  <c r="K948" i="2"/>
  <c r="J948" i="2"/>
  <c r="K947" i="2"/>
  <c r="J947" i="2"/>
  <c r="K946" i="2"/>
  <c r="J946" i="2"/>
  <c r="K945" i="2"/>
  <c r="J945" i="2"/>
  <c r="K944" i="2"/>
  <c r="J944" i="2"/>
  <c r="K943" i="2"/>
  <c r="J943" i="2"/>
  <c r="K942" i="2"/>
  <c r="J942" i="2"/>
  <c r="K941" i="2"/>
  <c r="J941" i="2"/>
  <c r="K940" i="2"/>
  <c r="J940" i="2"/>
  <c r="K939" i="2"/>
  <c r="J939" i="2"/>
  <c r="K938" i="2"/>
  <c r="J938" i="2"/>
  <c r="K937" i="2"/>
  <c r="J937" i="2"/>
  <c r="K936" i="2"/>
  <c r="J936" i="2"/>
  <c r="K935" i="2"/>
  <c r="J935" i="2"/>
  <c r="K934" i="2"/>
  <c r="J934" i="2"/>
  <c r="K933" i="2"/>
  <c r="J933" i="2"/>
  <c r="K932" i="2"/>
  <c r="J932" i="2"/>
  <c r="K931" i="2"/>
  <c r="J931" i="2"/>
  <c r="K930" i="2"/>
  <c r="J930" i="2"/>
  <c r="K929" i="2"/>
  <c r="J929" i="2"/>
  <c r="K928" i="2"/>
  <c r="J928" i="2"/>
  <c r="K927" i="2"/>
  <c r="J927" i="2"/>
  <c r="K926" i="2"/>
  <c r="J926" i="2"/>
  <c r="K925" i="2"/>
  <c r="J925" i="2"/>
  <c r="K924" i="2"/>
  <c r="J924" i="2"/>
  <c r="K923" i="2"/>
  <c r="J923" i="2"/>
  <c r="K922" i="2"/>
  <c r="J922" i="2"/>
  <c r="K921" i="2"/>
  <c r="J921" i="2"/>
  <c r="K920" i="2"/>
  <c r="J920" i="2"/>
  <c r="K919" i="2"/>
  <c r="J919" i="2"/>
  <c r="K918" i="2"/>
  <c r="J918" i="2"/>
  <c r="K917" i="2"/>
  <c r="J917" i="2"/>
  <c r="K916" i="2"/>
  <c r="J916" i="2"/>
  <c r="K915" i="2"/>
  <c r="J915" i="2"/>
  <c r="K914" i="2"/>
  <c r="J914" i="2"/>
  <c r="K913" i="2"/>
  <c r="J913" i="2"/>
  <c r="K912" i="2"/>
  <c r="J912" i="2"/>
  <c r="K911" i="2"/>
  <c r="J911" i="2"/>
  <c r="K910" i="2"/>
  <c r="J910" i="2"/>
  <c r="K909" i="2"/>
  <c r="J909" i="2"/>
  <c r="K908" i="2"/>
  <c r="J908" i="2"/>
  <c r="K907" i="2"/>
  <c r="J907" i="2"/>
  <c r="K906" i="2"/>
  <c r="J906" i="2"/>
  <c r="K905" i="2"/>
  <c r="J905" i="2"/>
  <c r="K904" i="2"/>
  <c r="J904" i="2"/>
  <c r="K903" i="2"/>
  <c r="J903" i="2"/>
  <c r="K902" i="2"/>
  <c r="J902" i="2"/>
  <c r="K901" i="2"/>
  <c r="J901" i="2"/>
  <c r="K900" i="2"/>
  <c r="J900" i="2"/>
  <c r="K899" i="2"/>
  <c r="J899" i="2"/>
  <c r="K898" i="2"/>
  <c r="J898" i="2"/>
  <c r="K897" i="2"/>
  <c r="J897" i="2"/>
  <c r="K896" i="2"/>
  <c r="J896" i="2"/>
  <c r="K895" i="2"/>
  <c r="J895" i="2"/>
  <c r="K894" i="2"/>
  <c r="J894" i="2"/>
  <c r="K893" i="2"/>
  <c r="J893" i="2"/>
  <c r="K892" i="2"/>
  <c r="J892" i="2"/>
  <c r="K891" i="2"/>
  <c r="J891" i="2"/>
  <c r="K890" i="2"/>
  <c r="J890" i="2"/>
  <c r="K889" i="2"/>
  <c r="J889" i="2"/>
  <c r="K888" i="2"/>
  <c r="J888" i="2"/>
  <c r="K887" i="2"/>
  <c r="J887" i="2"/>
  <c r="K886" i="2"/>
  <c r="J886" i="2"/>
  <c r="K885" i="2"/>
  <c r="J885" i="2"/>
  <c r="K884" i="2"/>
  <c r="J884" i="2"/>
  <c r="K883" i="2"/>
  <c r="J883" i="2"/>
  <c r="K882" i="2"/>
  <c r="J882" i="2"/>
  <c r="K881" i="2"/>
  <c r="J881" i="2"/>
  <c r="K880" i="2"/>
  <c r="J880" i="2"/>
  <c r="K879" i="2"/>
  <c r="J879" i="2"/>
  <c r="K878" i="2"/>
  <c r="J878" i="2"/>
  <c r="K877" i="2"/>
  <c r="J877" i="2"/>
  <c r="K876" i="2"/>
  <c r="J876" i="2"/>
  <c r="K875" i="2"/>
  <c r="J875" i="2"/>
  <c r="K874" i="2"/>
  <c r="J874" i="2"/>
  <c r="K873" i="2"/>
  <c r="J873" i="2"/>
  <c r="K872" i="2"/>
  <c r="J872" i="2"/>
  <c r="K871" i="2"/>
  <c r="J871" i="2"/>
  <c r="K870" i="2"/>
  <c r="J870" i="2"/>
  <c r="K869" i="2"/>
  <c r="J869" i="2"/>
  <c r="K868" i="2"/>
  <c r="J868" i="2"/>
  <c r="K867" i="2"/>
  <c r="J867" i="2"/>
  <c r="K866" i="2"/>
  <c r="J866" i="2"/>
  <c r="K865" i="2"/>
  <c r="J865" i="2"/>
  <c r="K864" i="2"/>
  <c r="J864" i="2"/>
  <c r="K863" i="2"/>
  <c r="J863" i="2"/>
  <c r="K862" i="2"/>
  <c r="J862" i="2"/>
  <c r="K861" i="2"/>
  <c r="J861" i="2"/>
  <c r="K860" i="2"/>
  <c r="J860" i="2"/>
  <c r="K859" i="2"/>
  <c r="J859" i="2"/>
  <c r="K858" i="2"/>
  <c r="J858" i="2"/>
  <c r="K857" i="2"/>
  <c r="J857" i="2"/>
  <c r="K856" i="2"/>
  <c r="J856" i="2"/>
  <c r="K855" i="2"/>
  <c r="J855" i="2"/>
  <c r="K854" i="2"/>
  <c r="J854" i="2"/>
  <c r="K853" i="2"/>
  <c r="J853" i="2"/>
  <c r="K852" i="2"/>
  <c r="J852" i="2"/>
  <c r="K851" i="2"/>
  <c r="J851" i="2"/>
  <c r="K850" i="2"/>
  <c r="J850" i="2"/>
  <c r="K849" i="2"/>
  <c r="J849" i="2"/>
  <c r="K848" i="2"/>
  <c r="J848" i="2"/>
  <c r="K847" i="2"/>
  <c r="J847" i="2"/>
  <c r="K846" i="2"/>
  <c r="J846" i="2"/>
  <c r="K845" i="2"/>
  <c r="J845" i="2"/>
  <c r="K844" i="2"/>
  <c r="J844" i="2"/>
  <c r="K843" i="2"/>
  <c r="J843" i="2"/>
  <c r="K842" i="2"/>
  <c r="J842" i="2"/>
  <c r="K841" i="2"/>
  <c r="J841" i="2"/>
  <c r="K840" i="2"/>
  <c r="J840" i="2"/>
  <c r="K839" i="2"/>
  <c r="J839" i="2"/>
  <c r="K838" i="2"/>
  <c r="J838" i="2"/>
  <c r="K837" i="2"/>
  <c r="J837" i="2"/>
  <c r="K836" i="2"/>
  <c r="J836" i="2"/>
  <c r="K835" i="2"/>
  <c r="J835" i="2"/>
  <c r="K834" i="2"/>
  <c r="J834" i="2"/>
  <c r="K833" i="2"/>
  <c r="J833" i="2"/>
  <c r="K832" i="2"/>
  <c r="J832" i="2"/>
  <c r="K831" i="2"/>
  <c r="J831" i="2"/>
  <c r="K830" i="2"/>
  <c r="J830" i="2"/>
  <c r="K829" i="2"/>
  <c r="J829" i="2"/>
  <c r="K828" i="2"/>
  <c r="J828" i="2"/>
  <c r="K827" i="2"/>
  <c r="J827" i="2"/>
  <c r="K826" i="2"/>
  <c r="J826" i="2"/>
  <c r="K825" i="2"/>
  <c r="J825" i="2"/>
  <c r="K824" i="2"/>
  <c r="J824" i="2"/>
  <c r="K823" i="2"/>
  <c r="J823" i="2"/>
  <c r="K822" i="2"/>
  <c r="J822" i="2"/>
  <c r="K821" i="2"/>
  <c r="J821" i="2"/>
  <c r="K820" i="2"/>
  <c r="J820" i="2"/>
  <c r="K819" i="2"/>
  <c r="J819" i="2"/>
  <c r="K818" i="2"/>
  <c r="J818" i="2"/>
  <c r="K817" i="2"/>
  <c r="J817" i="2"/>
  <c r="K816" i="2"/>
  <c r="J816" i="2"/>
  <c r="K815" i="2"/>
  <c r="J815" i="2"/>
  <c r="K814" i="2"/>
  <c r="J814" i="2"/>
  <c r="K813" i="2"/>
  <c r="J813" i="2"/>
  <c r="K812" i="2"/>
  <c r="J812" i="2"/>
  <c r="K811" i="2"/>
  <c r="J811" i="2"/>
  <c r="K810" i="2"/>
  <c r="J810" i="2"/>
  <c r="K809" i="2"/>
  <c r="J809" i="2"/>
  <c r="K808" i="2"/>
  <c r="J808" i="2"/>
  <c r="K807" i="2"/>
  <c r="J807" i="2"/>
  <c r="K806" i="2"/>
  <c r="J806" i="2"/>
  <c r="K805" i="2"/>
  <c r="J805" i="2"/>
  <c r="K804" i="2"/>
  <c r="J804" i="2"/>
  <c r="K803" i="2"/>
  <c r="J803" i="2"/>
  <c r="K802" i="2"/>
  <c r="J802" i="2"/>
  <c r="K801" i="2"/>
  <c r="J801" i="2"/>
  <c r="K800" i="2"/>
  <c r="J800" i="2"/>
  <c r="K799" i="2"/>
  <c r="J799" i="2"/>
  <c r="K798" i="2"/>
  <c r="J798" i="2"/>
  <c r="K797" i="2"/>
  <c r="J797" i="2"/>
  <c r="K796" i="2"/>
  <c r="J796" i="2"/>
  <c r="K795" i="2"/>
  <c r="J795" i="2"/>
  <c r="K794" i="2"/>
  <c r="J794" i="2"/>
  <c r="K793" i="2"/>
  <c r="J793" i="2"/>
  <c r="K792" i="2"/>
  <c r="J792" i="2"/>
  <c r="K791" i="2"/>
  <c r="J791" i="2"/>
  <c r="K790" i="2"/>
  <c r="J790" i="2"/>
  <c r="K789" i="2"/>
  <c r="J789" i="2"/>
  <c r="K788" i="2"/>
  <c r="J788" i="2"/>
  <c r="K787" i="2"/>
  <c r="J787" i="2"/>
  <c r="K786" i="2"/>
  <c r="J786" i="2"/>
  <c r="K785" i="2"/>
  <c r="J785" i="2"/>
  <c r="K784" i="2"/>
  <c r="J784" i="2"/>
  <c r="K783" i="2"/>
  <c r="J783" i="2"/>
  <c r="K782" i="2"/>
  <c r="J782" i="2"/>
  <c r="K781" i="2"/>
  <c r="J781" i="2"/>
  <c r="K780" i="2"/>
  <c r="J780" i="2"/>
  <c r="K779" i="2"/>
  <c r="J779" i="2"/>
  <c r="K778" i="2"/>
  <c r="J778" i="2"/>
  <c r="K777" i="2"/>
  <c r="J777" i="2"/>
  <c r="K776" i="2"/>
  <c r="J776" i="2"/>
  <c r="K775" i="2"/>
  <c r="J775" i="2"/>
  <c r="K774" i="2"/>
  <c r="J774" i="2"/>
  <c r="K773" i="2"/>
  <c r="J773" i="2"/>
  <c r="K772" i="2"/>
  <c r="J772" i="2"/>
  <c r="K771" i="2"/>
  <c r="J771" i="2"/>
  <c r="K770" i="2"/>
  <c r="J770" i="2"/>
  <c r="K769" i="2"/>
  <c r="J769" i="2"/>
  <c r="K768" i="2"/>
  <c r="J768" i="2"/>
  <c r="K767" i="2"/>
  <c r="J767" i="2"/>
  <c r="K766" i="2"/>
  <c r="J766" i="2"/>
  <c r="K765" i="2"/>
  <c r="J765" i="2"/>
  <c r="K764" i="2"/>
  <c r="J764" i="2"/>
  <c r="K763" i="2"/>
  <c r="J763" i="2"/>
  <c r="K762" i="2"/>
  <c r="J762" i="2"/>
  <c r="K761" i="2"/>
  <c r="J761" i="2"/>
  <c r="K760" i="2"/>
  <c r="J760" i="2"/>
  <c r="K759" i="2"/>
  <c r="J759" i="2"/>
  <c r="K758" i="2"/>
  <c r="J758" i="2"/>
  <c r="K757" i="2"/>
  <c r="J757" i="2"/>
  <c r="K756" i="2"/>
  <c r="J756" i="2"/>
  <c r="K755" i="2"/>
  <c r="J755" i="2"/>
  <c r="K754" i="2"/>
  <c r="J754" i="2"/>
  <c r="K753" i="2"/>
  <c r="J753" i="2"/>
  <c r="K752" i="2"/>
  <c r="J752" i="2"/>
  <c r="K751" i="2"/>
  <c r="J751" i="2"/>
  <c r="K750" i="2"/>
  <c r="J750" i="2"/>
  <c r="K749" i="2"/>
  <c r="J749" i="2"/>
  <c r="K748" i="2"/>
  <c r="J748" i="2"/>
  <c r="K747" i="2"/>
  <c r="J747" i="2"/>
  <c r="K746" i="2"/>
  <c r="J746" i="2"/>
  <c r="K745" i="2"/>
  <c r="J745" i="2"/>
  <c r="K744" i="2"/>
  <c r="J744" i="2"/>
  <c r="K743" i="2"/>
  <c r="J743" i="2"/>
  <c r="K742" i="2"/>
  <c r="J742" i="2"/>
  <c r="K741" i="2"/>
  <c r="J741" i="2"/>
  <c r="K740" i="2"/>
  <c r="J740" i="2"/>
  <c r="K739" i="2"/>
  <c r="J739" i="2"/>
  <c r="K738" i="2"/>
  <c r="J738" i="2"/>
  <c r="K737" i="2"/>
  <c r="J737" i="2"/>
  <c r="K736" i="2"/>
  <c r="J736" i="2"/>
  <c r="K735" i="2"/>
  <c r="J735" i="2"/>
  <c r="K734" i="2"/>
  <c r="J734" i="2"/>
  <c r="K733" i="2"/>
  <c r="J733" i="2"/>
  <c r="K732" i="2"/>
  <c r="J732" i="2"/>
  <c r="K731" i="2"/>
  <c r="J731" i="2"/>
  <c r="K730" i="2"/>
  <c r="J730" i="2"/>
  <c r="K729" i="2"/>
  <c r="J729" i="2"/>
  <c r="K728" i="2"/>
  <c r="J728" i="2"/>
  <c r="K727" i="2"/>
  <c r="J727" i="2"/>
  <c r="K726" i="2"/>
  <c r="J726" i="2"/>
  <c r="K725" i="2"/>
  <c r="J725" i="2"/>
  <c r="K724" i="2"/>
  <c r="J724" i="2"/>
  <c r="K723" i="2"/>
  <c r="J723" i="2"/>
  <c r="K722" i="2"/>
  <c r="J722" i="2"/>
  <c r="K721" i="2"/>
  <c r="J721" i="2"/>
  <c r="K720" i="2"/>
  <c r="J720" i="2"/>
  <c r="K719" i="2"/>
  <c r="J719" i="2"/>
  <c r="K718" i="2"/>
  <c r="J718" i="2"/>
  <c r="K717" i="2"/>
  <c r="J717" i="2"/>
  <c r="K716" i="2"/>
  <c r="J716" i="2"/>
  <c r="K715" i="2"/>
  <c r="J715" i="2"/>
  <c r="K714" i="2"/>
  <c r="J714" i="2"/>
  <c r="K713" i="2"/>
  <c r="J713" i="2"/>
  <c r="K712" i="2"/>
  <c r="J712" i="2"/>
  <c r="K711" i="2"/>
  <c r="J711" i="2"/>
  <c r="K710" i="2"/>
  <c r="J710" i="2"/>
  <c r="K709" i="2"/>
  <c r="J709" i="2"/>
  <c r="K708" i="2"/>
  <c r="J708" i="2"/>
  <c r="K707" i="2"/>
  <c r="J707" i="2"/>
  <c r="K706" i="2"/>
  <c r="J706" i="2"/>
  <c r="K705" i="2"/>
  <c r="J705" i="2"/>
  <c r="K704" i="2"/>
  <c r="J704" i="2"/>
  <c r="K703" i="2"/>
  <c r="J703" i="2"/>
  <c r="K702" i="2"/>
  <c r="J702" i="2"/>
  <c r="K701" i="2"/>
  <c r="J701" i="2"/>
  <c r="K700" i="2"/>
  <c r="J700" i="2"/>
  <c r="K699" i="2"/>
  <c r="J699" i="2"/>
  <c r="K698" i="2"/>
  <c r="J698" i="2"/>
  <c r="K697" i="2"/>
  <c r="J697" i="2"/>
  <c r="K696" i="2"/>
  <c r="J696" i="2"/>
  <c r="K695" i="2"/>
  <c r="J695" i="2"/>
  <c r="K694" i="2"/>
  <c r="J694" i="2"/>
  <c r="K693" i="2"/>
  <c r="J693" i="2"/>
  <c r="K692" i="2"/>
  <c r="J692" i="2"/>
  <c r="K691" i="2"/>
  <c r="J691" i="2"/>
  <c r="K690" i="2"/>
  <c r="J690" i="2"/>
  <c r="K689" i="2"/>
  <c r="J689" i="2"/>
  <c r="K688" i="2"/>
  <c r="J688" i="2"/>
  <c r="K687" i="2"/>
  <c r="J687" i="2"/>
  <c r="K686" i="2"/>
  <c r="J686" i="2"/>
  <c r="K685" i="2"/>
  <c r="J685" i="2"/>
  <c r="K684" i="2"/>
  <c r="J684" i="2"/>
  <c r="K683" i="2"/>
  <c r="J683" i="2"/>
  <c r="K682" i="2"/>
  <c r="J682" i="2"/>
  <c r="K681" i="2"/>
  <c r="J681" i="2"/>
  <c r="K680" i="2"/>
  <c r="J680" i="2"/>
  <c r="K679" i="2"/>
  <c r="J679" i="2"/>
  <c r="K678" i="2"/>
  <c r="J678" i="2"/>
  <c r="K677" i="2"/>
  <c r="J677" i="2"/>
  <c r="K676" i="2"/>
  <c r="J676" i="2"/>
  <c r="K675" i="2"/>
  <c r="J675" i="2"/>
  <c r="K674" i="2"/>
  <c r="J674" i="2"/>
  <c r="K673" i="2"/>
  <c r="J673" i="2"/>
  <c r="K672" i="2"/>
  <c r="J672" i="2"/>
  <c r="K671" i="2"/>
  <c r="J671" i="2"/>
  <c r="K670" i="2"/>
  <c r="J670" i="2"/>
  <c r="K669" i="2"/>
  <c r="J669" i="2"/>
  <c r="K668" i="2"/>
  <c r="J668" i="2"/>
  <c r="K667" i="2"/>
  <c r="J667" i="2"/>
  <c r="K666" i="2"/>
  <c r="J666" i="2"/>
  <c r="K665" i="2"/>
  <c r="J665" i="2"/>
  <c r="K664" i="2"/>
  <c r="J664" i="2"/>
  <c r="K663" i="2"/>
  <c r="J663" i="2"/>
  <c r="K662" i="2"/>
  <c r="J662" i="2"/>
  <c r="K661" i="2"/>
  <c r="J661" i="2"/>
  <c r="K660" i="2"/>
  <c r="J660" i="2"/>
  <c r="K659" i="2"/>
  <c r="J659" i="2"/>
  <c r="K658" i="2"/>
  <c r="J658" i="2"/>
  <c r="K657" i="2"/>
  <c r="J657" i="2"/>
  <c r="K656" i="2"/>
  <c r="J656" i="2"/>
  <c r="K655" i="2"/>
  <c r="J655" i="2"/>
  <c r="K654" i="2"/>
  <c r="J654" i="2"/>
  <c r="K653" i="2"/>
  <c r="J653" i="2"/>
  <c r="K652" i="2"/>
  <c r="J652" i="2"/>
  <c r="K651" i="2"/>
  <c r="J651" i="2"/>
  <c r="K650" i="2"/>
  <c r="J650" i="2"/>
  <c r="K649" i="2"/>
  <c r="J649" i="2"/>
  <c r="K648" i="2"/>
  <c r="J648" i="2"/>
  <c r="K647" i="2"/>
  <c r="J647" i="2"/>
  <c r="K646" i="2"/>
  <c r="J646" i="2"/>
  <c r="K645" i="2"/>
  <c r="J645" i="2"/>
  <c r="K644" i="2"/>
  <c r="J644" i="2"/>
  <c r="K643" i="2"/>
  <c r="J643" i="2"/>
  <c r="K642" i="2"/>
  <c r="J642" i="2"/>
  <c r="K641" i="2"/>
  <c r="J641" i="2"/>
  <c r="K640" i="2"/>
  <c r="J640" i="2"/>
  <c r="K639" i="2"/>
  <c r="J639" i="2"/>
  <c r="K638" i="2"/>
  <c r="J638" i="2"/>
  <c r="K637" i="2"/>
  <c r="J637" i="2"/>
  <c r="K636" i="2"/>
  <c r="J636" i="2"/>
  <c r="K635" i="2"/>
  <c r="J635" i="2"/>
  <c r="K634" i="2"/>
  <c r="J634" i="2"/>
  <c r="K633" i="2"/>
  <c r="J633" i="2"/>
  <c r="K632" i="2"/>
  <c r="J632" i="2"/>
  <c r="K631" i="2"/>
  <c r="J631" i="2"/>
  <c r="K630" i="2"/>
  <c r="J630" i="2"/>
  <c r="K629" i="2"/>
  <c r="J629" i="2"/>
  <c r="K628" i="2"/>
  <c r="J628" i="2"/>
  <c r="K627" i="2"/>
  <c r="J627" i="2"/>
  <c r="K626" i="2"/>
  <c r="J626" i="2"/>
  <c r="K625" i="2"/>
  <c r="J625" i="2"/>
  <c r="K624" i="2"/>
  <c r="J624" i="2"/>
  <c r="K623" i="2"/>
  <c r="J623" i="2"/>
  <c r="K622" i="2"/>
  <c r="J622" i="2"/>
  <c r="K621" i="2"/>
  <c r="J621" i="2"/>
  <c r="K620" i="2"/>
  <c r="J620" i="2"/>
  <c r="K619" i="2"/>
  <c r="J619" i="2"/>
  <c r="K618" i="2"/>
  <c r="J618" i="2"/>
  <c r="K617" i="2"/>
  <c r="J617" i="2"/>
  <c r="K616" i="2"/>
  <c r="J616" i="2"/>
  <c r="K615" i="2"/>
  <c r="J615" i="2"/>
  <c r="K614" i="2"/>
  <c r="J614" i="2"/>
  <c r="K613" i="2"/>
  <c r="J613" i="2"/>
  <c r="K612" i="2"/>
  <c r="J612" i="2"/>
  <c r="K611" i="2"/>
  <c r="J611" i="2"/>
  <c r="K610" i="2"/>
  <c r="J610" i="2"/>
  <c r="K609" i="2"/>
  <c r="J609" i="2"/>
  <c r="K608" i="2"/>
  <c r="J608" i="2"/>
  <c r="K607" i="2"/>
  <c r="J607" i="2"/>
  <c r="K606" i="2"/>
  <c r="J606" i="2"/>
  <c r="K605" i="2"/>
  <c r="J605" i="2"/>
  <c r="K604" i="2"/>
  <c r="J604" i="2"/>
  <c r="K603" i="2"/>
  <c r="J603" i="2"/>
  <c r="K602" i="2"/>
  <c r="J602" i="2"/>
  <c r="K601" i="2"/>
  <c r="J601" i="2"/>
  <c r="K600" i="2"/>
  <c r="J600" i="2"/>
  <c r="K599" i="2"/>
  <c r="J599" i="2"/>
  <c r="K598" i="2"/>
  <c r="J598" i="2"/>
  <c r="K597" i="2"/>
  <c r="J597" i="2"/>
  <c r="K596" i="2"/>
  <c r="J596" i="2"/>
  <c r="K595" i="2"/>
  <c r="J595" i="2"/>
  <c r="K594" i="2"/>
  <c r="J594" i="2"/>
  <c r="K593" i="2"/>
  <c r="J593" i="2"/>
  <c r="K592" i="2"/>
  <c r="J592" i="2"/>
  <c r="K591" i="2"/>
  <c r="J591" i="2"/>
  <c r="K590" i="2"/>
  <c r="J590" i="2"/>
  <c r="K589" i="2"/>
  <c r="J589" i="2"/>
  <c r="K588" i="2"/>
  <c r="J588" i="2"/>
  <c r="K587" i="2"/>
  <c r="J587" i="2"/>
  <c r="K586" i="2"/>
  <c r="J586" i="2"/>
  <c r="K585" i="2"/>
  <c r="J585" i="2"/>
  <c r="K584" i="2"/>
  <c r="J584" i="2"/>
  <c r="K583" i="2"/>
  <c r="J583" i="2"/>
  <c r="K582" i="2"/>
  <c r="J582" i="2"/>
  <c r="K581" i="2"/>
  <c r="J581" i="2"/>
  <c r="K580" i="2"/>
  <c r="J580" i="2"/>
  <c r="K579" i="2"/>
  <c r="J579" i="2"/>
  <c r="K578" i="2"/>
  <c r="J578" i="2"/>
  <c r="K577" i="2"/>
  <c r="J577" i="2"/>
  <c r="K576" i="2"/>
  <c r="J576" i="2"/>
  <c r="K575" i="2"/>
  <c r="J575" i="2"/>
  <c r="K574" i="2"/>
  <c r="J574" i="2"/>
  <c r="K573" i="2"/>
  <c r="J573" i="2"/>
  <c r="K572" i="2"/>
  <c r="J572" i="2"/>
  <c r="K571" i="2"/>
  <c r="J571" i="2"/>
  <c r="K570" i="2"/>
  <c r="J570" i="2"/>
  <c r="K569" i="2"/>
  <c r="J569" i="2"/>
  <c r="K568" i="2"/>
  <c r="J568" i="2"/>
  <c r="K567" i="2"/>
  <c r="J567" i="2"/>
  <c r="K566" i="2"/>
  <c r="J566" i="2"/>
  <c r="K565" i="2"/>
  <c r="J565" i="2"/>
  <c r="K564" i="2"/>
  <c r="J564" i="2"/>
  <c r="K563" i="2"/>
  <c r="J563" i="2"/>
  <c r="K562" i="2"/>
  <c r="J562" i="2"/>
  <c r="K561" i="2"/>
  <c r="J561" i="2"/>
  <c r="K560" i="2"/>
  <c r="J560" i="2"/>
  <c r="K559" i="2"/>
  <c r="J559" i="2"/>
  <c r="K558" i="2"/>
  <c r="J558" i="2"/>
  <c r="K557" i="2"/>
  <c r="J557" i="2"/>
  <c r="K556" i="2"/>
  <c r="J556" i="2"/>
  <c r="K555" i="2"/>
  <c r="J555" i="2"/>
  <c r="K554" i="2"/>
  <c r="J554" i="2"/>
  <c r="K553" i="2"/>
  <c r="J553" i="2"/>
  <c r="K552" i="2"/>
  <c r="J552" i="2"/>
  <c r="K551" i="2"/>
  <c r="J551" i="2"/>
  <c r="K550" i="2"/>
  <c r="J550" i="2"/>
  <c r="K549" i="2"/>
  <c r="J549" i="2"/>
  <c r="K548" i="2"/>
  <c r="J548" i="2"/>
  <c r="K547" i="2"/>
  <c r="J547" i="2"/>
  <c r="K546" i="2"/>
  <c r="J546" i="2"/>
  <c r="K545" i="2"/>
  <c r="J545" i="2"/>
  <c r="K544" i="2"/>
  <c r="J544" i="2"/>
  <c r="K543" i="2"/>
  <c r="J543" i="2"/>
  <c r="K542" i="2"/>
  <c r="J542" i="2"/>
  <c r="K541" i="2"/>
  <c r="J541" i="2"/>
  <c r="K540" i="2"/>
  <c r="J540" i="2"/>
  <c r="K539" i="2"/>
  <c r="J539" i="2"/>
  <c r="K538" i="2"/>
  <c r="J538" i="2"/>
  <c r="K537" i="2"/>
  <c r="J537" i="2"/>
  <c r="K536" i="2"/>
  <c r="J536" i="2"/>
  <c r="K535" i="2"/>
  <c r="J535" i="2"/>
  <c r="K534" i="2"/>
  <c r="J534" i="2"/>
  <c r="K533" i="2"/>
  <c r="J533" i="2"/>
  <c r="K532" i="2"/>
  <c r="J532" i="2"/>
  <c r="K531" i="2"/>
  <c r="J531" i="2"/>
  <c r="K530" i="2"/>
  <c r="J530" i="2"/>
  <c r="K529" i="2"/>
  <c r="J529" i="2"/>
  <c r="K528" i="2"/>
  <c r="J528" i="2"/>
  <c r="K527" i="2"/>
  <c r="J527" i="2"/>
  <c r="K526" i="2"/>
  <c r="J526" i="2"/>
  <c r="K525" i="2"/>
  <c r="J525" i="2"/>
  <c r="K524" i="2"/>
  <c r="J524" i="2"/>
  <c r="K523" i="2"/>
  <c r="J523" i="2"/>
  <c r="K522" i="2"/>
  <c r="J522" i="2"/>
  <c r="K521" i="2"/>
  <c r="J521" i="2"/>
  <c r="K520" i="2"/>
  <c r="J520" i="2"/>
  <c r="K519" i="2"/>
  <c r="J519" i="2"/>
  <c r="K518" i="2"/>
  <c r="J518" i="2"/>
  <c r="K517" i="2"/>
  <c r="J517" i="2"/>
  <c r="K516" i="2"/>
  <c r="J516" i="2"/>
  <c r="K515" i="2"/>
  <c r="J515" i="2"/>
  <c r="K514" i="2"/>
  <c r="J514" i="2"/>
  <c r="K513" i="2"/>
  <c r="J513" i="2"/>
  <c r="K512" i="2"/>
  <c r="J512" i="2"/>
  <c r="K511" i="2"/>
  <c r="J511" i="2"/>
  <c r="K510" i="2"/>
  <c r="J510" i="2"/>
  <c r="K509" i="2"/>
  <c r="J509" i="2"/>
  <c r="K508" i="2"/>
  <c r="J508" i="2"/>
  <c r="K507" i="2"/>
  <c r="J507" i="2"/>
  <c r="K506" i="2"/>
  <c r="J506" i="2"/>
  <c r="K505" i="2"/>
  <c r="J505" i="2"/>
  <c r="K504" i="2"/>
  <c r="J504" i="2"/>
  <c r="K503" i="2"/>
  <c r="J503" i="2"/>
  <c r="K502" i="2"/>
  <c r="J502" i="2"/>
  <c r="K501" i="2"/>
  <c r="J501" i="2"/>
  <c r="K500" i="2"/>
  <c r="J500" i="2"/>
  <c r="K499" i="2"/>
  <c r="J499" i="2"/>
  <c r="K498" i="2"/>
  <c r="J498" i="2"/>
  <c r="K497" i="2"/>
  <c r="J497" i="2"/>
  <c r="K496" i="2"/>
  <c r="J496" i="2"/>
  <c r="K495" i="2"/>
  <c r="J495" i="2"/>
  <c r="K494" i="2"/>
  <c r="J494" i="2"/>
  <c r="K493" i="2"/>
  <c r="J493" i="2"/>
  <c r="K492" i="2"/>
  <c r="J492" i="2"/>
  <c r="K491" i="2"/>
  <c r="J491" i="2"/>
  <c r="K490" i="2"/>
  <c r="J490" i="2"/>
  <c r="K489" i="2"/>
  <c r="J489" i="2"/>
  <c r="K488" i="2"/>
  <c r="J488" i="2"/>
  <c r="K487" i="2"/>
  <c r="J487" i="2"/>
  <c r="K486" i="2"/>
  <c r="J486" i="2"/>
  <c r="K485" i="2"/>
  <c r="J485" i="2"/>
  <c r="K484" i="2"/>
  <c r="J484" i="2"/>
  <c r="K483" i="2"/>
  <c r="J483" i="2"/>
  <c r="K482" i="2"/>
  <c r="J482" i="2"/>
  <c r="K481" i="2"/>
  <c r="J481" i="2"/>
  <c r="K480" i="2"/>
  <c r="J480" i="2"/>
  <c r="K479" i="2"/>
  <c r="J479" i="2"/>
  <c r="K478" i="2"/>
  <c r="J478" i="2"/>
  <c r="K477" i="2"/>
  <c r="J477" i="2"/>
  <c r="K476" i="2"/>
  <c r="J476" i="2"/>
  <c r="K475" i="2"/>
  <c r="J475" i="2"/>
  <c r="K474" i="2"/>
  <c r="J474" i="2"/>
  <c r="K473" i="2"/>
  <c r="J473" i="2"/>
  <c r="K472" i="2"/>
  <c r="J472" i="2"/>
  <c r="K471" i="2"/>
  <c r="J471" i="2"/>
  <c r="K470" i="2"/>
  <c r="J470" i="2"/>
  <c r="K469" i="2"/>
  <c r="J469" i="2"/>
  <c r="K468" i="2"/>
  <c r="J468" i="2"/>
  <c r="K467" i="2"/>
  <c r="J467" i="2"/>
  <c r="K466" i="2"/>
  <c r="J466" i="2"/>
  <c r="K465" i="2"/>
  <c r="J465" i="2"/>
  <c r="K464" i="2"/>
  <c r="J464" i="2"/>
  <c r="K463" i="2"/>
  <c r="J463" i="2"/>
  <c r="K462" i="2"/>
  <c r="J462" i="2"/>
  <c r="K461" i="2"/>
  <c r="J461" i="2"/>
  <c r="K460" i="2"/>
  <c r="J460" i="2"/>
  <c r="K459" i="2"/>
  <c r="J459" i="2"/>
  <c r="K458" i="2"/>
  <c r="J458" i="2"/>
  <c r="K457" i="2"/>
  <c r="J457" i="2"/>
  <c r="K456" i="2"/>
  <c r="J456" i="2"/>
  <c r="K455" i="2"/>
  <c r="J455" i="2"/>
  <c r="K454" i="2"/>
  <c r="J454" i="2"/>
  <c r="K453" i="2"/>
  <c r="J453" i="2"/>
  <c r="K452" i="2"/>
  <c r="J452" i="2"/>
  <c r="K451" i="2"/>
  <c r="J451" i="2"/>
  <c r="K450" i="2"/>
  <c r="J450" i="2"/>
  <c r="K449" i="2"/>
  <c r="J449" i="2"/>
  <c r="K448" i="2"/>
  <c r="J448" i="2"/>
  <c r="K447" i="2"/>
  <c r="J447" i="2"/>
  <c r="K446" i="2"/>
  <c r="J446" i="2"/>
  <c r="K445" i="2"/>
  <c r="J445" i="2"/>
  <c r="K444" i="2"/>
  <c r="J444" i="2"/>
  <c r="K443" i="2"/>
  <c r="J443" i="2"/>
  <c r="K442" i="2"/>
  <c r="J442" i="2"/>
  <c r="K441" i="2"/>
  <c r="J441" i="2"/>
  <c r="K440" i="2"/>
  <c r="J440" i="2"/>
  <c r="K439" i="2"/>
  <c r="J439" i="2"/>
  <c r="K438" i="2"/>
  <c r="J438" i="2"/>
  <c r="K437" i="2"/>
  <c r="J437" i="2"/>
  <c r="K436" i="2"/>
  <c r="J436" i="2"/>
  <c r="K435" i="2"/>
  <c r="J435" i="2"/>
  <c r="K434" i="2"/>
  <c r="J434" i="2"/>
  <c r="K433" i="2"/>
  <c r="J433" i="2"/>
  <c r="K432" i="2"/>
  <c r="J432" i="2"/>
  <c r="K431" i="2"/>
  <c r="J431" i="2"/>
  <c r="K430" i="2"/>
  <c r="J430" i="2"/>
  <c r="K429" i="2"/>
  <c r="J429" i="2"/>
  <c r="K428" i="2"/>
  <c r="J428" i="2"/>
  <c r="K427" i="2"/>
  <c r="J427" i="2"/>
  <c r="K426" i="2"/>
  <c r="J426" i="2"/>
  <c r="K425" i="2"/>
  <c r="J425" i="2"/>
  <c r="K424" i="2"/>
  <c r="J424" i="2"/>
  <c r="K423" i="2"/>
  <c r="J423" i="2"/>
  <c r="K422" i="2"/>
  <c r="J422" i="2"/>
  <c r="K421" i="2"/>
  <c r="J421" i="2"/>
  <c r="K420" i="2"/>
  <c r="J420" i="2"/>
  <c r="K419" i="2"/>
  <c r="J419" i="2"/>
  <c r="K418" i="2"/>
  <c r="J418" i="2"/>
  <c r="K417" i="2"/>
  <c r="J417" i="2"/>
  <c r="K416" i="2"/>
  <c r="J416" i="2"/>
  <c r="K415" i="2"/>
  <c r="J415" i="2"/>
  <c r="K414" i="2"/>
  <c r="J414" i="2"/>
  <c r="K413" i="2"/>
  <c r="J413" i="2"/>
  <c r="K412" i="2"/>
  <c r="J412" i="2"/>
  <c r="K411" i="2"/>
  <c r="J411" i="2"/>
  <c r="K410" i="2"/>
  <c r="J410" i="2"/>
  <c r="K409" i="2"/>
  <c r="J409" i="2"/>
  <c r="K408" i="2"/>
  <c r="J408" i="2"/>
  <c r="K407" i="2"/>
  <c r="J407" i="2"/>
  <c r="K406" i="2"/>
  <c r="J406" i="2"/>
  <c r="K405" i="2"/>
  <c r="J405" i="2"/>
  <c r="K404" i="2"/>
  <c r="J404" i="2"/>
  <c r="K403" i="2"/>
  <c r="J403" i="2"/>
  <c r="K402" i="2"/>
  <c r="J402" i="2"/>
  <c r="K401" i="2"/>
  <c r="J401" i="2"/>
  <c r="K400" i="2"/>
  <c r="J400" i="2"/>
  <c r="K399" i="2"/>
  <c r="J399" i="2"/>
  <c r="K398" i="2"/>
  <c r="J398" i="2"/>
  <c r="K397" i="2"/>
  <c r="J397" i="2"/>
  <c r="K396" i="2"/>
  <c r="J396" i="2"/>
  <c r="K395" i="2"/>
  <c r="J395" i="2"/>
  <c r="K394" i="2"/>
  <c r="J394" i="2"/>
  <c r="K393" i="2"/>
  <c r="J393" i="2"/>
  <c r="K392" i="2"/>
  <c r="J392" i="2"/>
  <c r="K391" i="2"/>
  <c r="J391" i="2"/>
  <c r="K390" i="2"/>
  <c r="J390" i="2"/>
  <c r="K389" i="2"/>
  <c r="J389" i="2"/>
  <c r="K388" i="2"/>
  <c r="J388" i="2"/>
  <c r="K387" i="2"/>
  <c r="J387" i="2"/>
  <c r="K386" i="2"/>
  <c r="J386" i="2"/>
  <c r="K385" i="2"/>
  <c r="J385" i="2"/>
  <c r="K384" i="2"/>
  <c r="J384" i="2"/>
  <c r="K383" i="2"/>
  <c r="J383" i="2"/>
  <c r="K382" i="2"/>
  <c r="J382" i="2"/>
  <c r="K381" i="2"/>
  <c r="J381" i="2"/>
  <c r="K380" i="2"/>
  <c r="J380" i="2"/>
  <c r="K379" i="2"/>
  <c r="J379" i="2"/>
  <c r="K378" i="2"/>
  <c r="J378" i="2"/>
  <c r="K377" i="2"/>
  <c r="J377" i="2"/>
  <c r="K376" i="2"/>
  <c r="J376" i="2"/>
  <c r="K375" i="2"/>
  <c r="J375" i="2"/>
  <c r="K374" i="2"/>
  <c r="J374" i="2"/>
  <c r="K373" i="2"/>
  <c r="J373" i="2"/>
  <c r="K372" i="2"/>
  <c r="J372" i="2"/>
  <c r="K371" i="2"/>
  <c r="J371" i="2"/>
  <c r="K370" i="2"/>
  <c r="J370" i="2"/>
  <c r="K369" i="2"/>
  <c r="J369" i="2"/>
  <c r="K368" i="2"/>
  <c r="J368" i="2"/>
  <c r="K367" i="2"/>
  <c r="J367" i="2"/>
  <c r="K366" i="2"/>
  <c r="J366" i="2"/>
  <c r="K365" i="2"/>
  <c r="J365" i="2"/>
  <c r="K364" i="2"/>
  <c r="J364" i="2"/>
  <c r="K363" i="2"/>
  <c r="J363" i="2"/>
  <c r="K362" i="2"/>
  <c r="J362" i="2"/>
  <c r="K361" i="2"/>
  <c r="J361" i="2"/>
  <c r="K360" i="2"/>
  <c r="J360" i="2"/>
  <c r="K359" i="2"/>
  <c r="J359" i="2"/>
  <c r="K358" i="2"/>
  <c r="J358" i="2"/>
  <c r="K357" i="2"/>
  <c r="J357" i="2"/>
  <c r="K356" i="2"/>
  <c r="J356" i="2"/>
  <c r="K355" i="2"/>
  <c r="J355" i="2"/>
  <c r="K354" i="2"/>
  <c r="J354" i="2"/>
  <c r="K353" i="2"/>
  <c r="J353" i="2"/>
  <c r="K352" i="2"/>
  <c r="J352" i="2"/>
  <c r="K351" i="2"/>
  <c r="J351" i="2"/>
  <c r="K350" i="2"/>
  <c r="J350" i="2"/>
  <c r="K349" i="2"/>
  <c r="J349" i="2"/>
  <c r="K348" i="2"/>
  <c r="J348" i="2"/>
  <c r="K347" i="2"/>
  <c r="J347" i="2"/>
  <c r="K346" i="2"/>
  <c r="J346" i="2"/>
  <c r="K345" i="2"/>
  <c r="J345" i="2"/>
  <c r="K344" i="2"/>
  <c r="J344" i="2"/>
  <c r="K343" i="2"/>
  <c r="J343" i="2"/>
  <c r="K342" i="2"/>
  <c r="J342" i="2"/>
  <c r="K341" i="2"/>
  <c r="J341" i="2"/>
  <c r="K340" i="2"/>
  <c r="J340" i="2"/>
  <c r="K339" i="2"/>
  <c r="J339" i="2"/>
  <c r="K338" i="2"/>
  <c r="J338" i="2"/>
  <c r="K337" i="2"/>
  <c r="J337" i="2"/>
  <c r="K336" i="2"/>
  <c r="J336" i="2"/>
  <c r="K335" i="2"/>
  <c r="J335" i="2"/>
  <c r="K334" i="2"/>
  <c r="J334" i="2"/>
  <c r="K333" i="2"/>
  <c r="J333" i="2"/>
  <c r="K332" i="2"/>
  <c r="J332" i="2"/>
  <c r="K331" i="2"/>
  <c r="J331" i="2"/>
  <c r="K330" i="2"/>
  <c r="J330" i="2"/>
  <c r="K329" i="2"/>
  <c r="J329" i="2"/>
  <c r="K328" i="2"/>
  <c r="J328" i="2"/>
  <c r="K327" i="2"/>
  <c r="J327" i="2"/>
  <c r="K326" i="2"/>
  <c r="J326" i="2"/>
  <c r="K325" i="2"/>
  <c r="J325" i="2"/>
  <c r="K324" i="2"/>
  <c r="J324" i="2"/>
  <c r="K323" i="2"/>
  <c r="J323" i="2"/>
  <c r="K322" i="2"/>
  <c r="J322" i="2"/>
  <c r="K321" i="2"/>
  <c r="J321" i="2"/>
  <c r="K320" i="2"/>
  <c r="J320" i="2"/>
  <c r="K319" i="2"/>
  <c r="J319" i="2"/>
  <c r="K318" i="2"/>
  <c r="J318" i="2"/>
  <c r="K317" i="2"/>
  <c r="J317" i="2"/>
  <c r="K316" i="2"/>
  <c r="J316" i="2"/>
  <c r="K315" i="2"/>
  <c r="J315" i="2"/>
  <c r="K314" i="2"/>
  <c r="J314" i="2"/>
  <c r="K313" i="2"/>
  <c r="J313" i="2"/>
  <c r="K312" i="2"/>
  <c r="J312" i="2"/>
  <c r="K311" i="2"/>
  <c r="J311" i="2"/>
  <c r="K310" i="2"/>
  <c r="J310" i="2"/>
  <c r="K309" i="2"/>
  <c r="J309" i="2"/>
  <c r="K308" i="2"/>
  <c r="J308" i="2"/>
  <c r="K307" i="2"/>
  <c r="J307" i="2"/>
  <c r="K306" i="2"/>
  <c r="J306" i="2"/>
  <c r="K305" i="2"/>
  <c r="J305" i="2"/>
  <c r="K304" i="2"/>
  <c r="J304" i="2"/>
  <c r="K303" i="2"/>
  <c r="J303" i="2"/>
  <c r="K302" i="2"/>
  <c r="J302" i="2"/>
  <c r="K301" i="2"/>
  <c r="J301" i="2"/>
  <c r="K300" i="2"/>
  <c r="J300" i="2"/>
  <c r="K299" i="2"/>
  <c r="J299" i="2"/>
  <c r="K298" i="2"/>
  <c r="J298" i="2"/>
  <c r="K297" i="2"/>
  <c r="J297" i="2"/>
  <c r="K296" i="2"/>
  <c r="J296" i="2"/>
  <c r="K295" i="2"/>
  <c r="J295" i="2"/>
  <c r="K294" i="2"/>
  <c r="J294" i="2"/>
  <c r="K293" i="2"/>
  <c r="J293" i="2"/>
  <c r="K292" i="2"/>
  <c r="J292" i="2"/>
  <c r="K291" i="2"/>
  <c r="J291" i="2"/>
  <c r="K290" i="2"/>
  <c r="J290" i="2"/>
  <c r="K289" i="2"/>
  <c r="J289" i="2"/>
  <c r="K288" i="2"/>
  <c r="J288" i="2"/>
  <c r="K287" i="2"/>
  <c r="J287" i="2"/>
  <c r="K286" i="2"/>
  <c r="J286" i="2"/>
  <c r="K285" i="2"/>
  <c r="J285" i="2"/>
  <c r="K284" i="2"/>
  <c r="J284" i="2"/>
  <c r="K283" i="2"/>
  <c r="J283" i="2"/>
  <c r="K282" i="2"/>
  <c r="J282" i="2"/>
  <c r="K281" i="2"/>
  <c r="J281" i="2"/>
  <c r="K280" i="2"/>
  <c r="J280" i="2"/>
  <c r="K279" i="2"/>
  <c r="J279" i="2"/>
  <c r="K278" i="2"/>
  <c r="J278" i="2"/>
  <c r="K277" i="2"/>
  <c r="J277" i="2"/>
  <c r="K276" i="2"/>
  <c r="J276" i="2"/>
  <c r="K275" i="2"/>
  <c r="J275" i="2"/>
  <c r="K274" i="2"/>
  <c r="J274" i="2"/>
  <c r="K273" i="2"/>
  <c r="J273" i="2"/>
  <c r="K272" i="2"/>
  <c r="J272" i="2"/>
  <c r="K271" i="2"/>
  <c r="J271" i="2"/>
  <c r="K270" i="2"/>
  <c r="J270" i="2"/>
  <c r="K269" i="2"/>
  <c r="J269" i="2"/>
  <c r="K268" i="2"/>
  <c r="J268" i="2"/>
  <c r="K267" i="2"/>
  <c r="J267" i="2"/>
  <c r="K266" i="2"/>
  <c r="J266" i="2"/>
  <c r="K265" i="2"/>
  <c r="J265" i="2"/>
  <c r="K264" i="2"/>
  <c r="J264" i="2"/>
  <c r="K263" i="2"/>
  <c r="J263" i="2"/>
  <c r="K262" i="2"/>
  <c r="J262" i="2"/>
  <c r="K261" i="2"/>
  <c r="J261" i="2"/>
  <c r="K260" i="2"/>
  <c r="J260" i="2"/>
  <c r="K259" i="2"/>
  <c r="J259" i="2"/>
  <c r="K258" i="2"/>
  <c r="J258" i="2"/>
  <c r="K257" i="2"/>
  <c r="J257" i="2"/>
  <c r="K256" i="2"/>
  <c r="J256" i="2"/>
  <c r="K255" i="2"/>
  <c r="J255" i="2"/>
  <c r="K254" i="2"/>
  <c r="J254" i="2"/>
  <c r="K253" i="2"/>
  <c r="J253" i="2"/>
  <c r="K252" i="2"/>
  <c r="J252" i="2"/>
  <c r="K251" i="2"/>
  <c r="J251" i="2"/>
  <c r="K250" i="2"/>
  <c r="J250" i="2"/>
  <c r="K249" i="2"/>
  <c r="J249" i="2"/>
  <c r="K248" i="2"/>
  <c r="J248" i="2"/>
  <c r="K247" i="2"/>
  <c r="J247" i="2"/>
  <c r="K246" i="2"/>
  <c r="J246" i="2"/>
  <c r="K245" i="2"/>
  <c r="J245" i="2"/>
  <c r="K244" i="2"/>
  <c r="J244" i="2"/>
  <c r="K243" i="2"/>
  <c r="J243" i="2"/>
  <c r="K242" i="2"/>
  <c r="J242" i="2"/>
  <c r="K241" i="2"/>
  <c r="J241" i="2"/>
  <c r="K240" i="2"/>
  <c r="J240" i="2"/>
  <c r="K239" i="2"/>
  <c r="J239" i="2"/>
  <c r="K238" i="2"/>
  <c r="J238" i="2"/>
  <c r="K237" i="2"/>
  <c r="J237" i="2"/>
  <c r="K236" i="2"/>
  <c r="J236" i="2"/>
  <c r="K235" i="2"/>
  <c r="J235" i="2"/>
  <c r="K234" i="2"/>
  <c r="J234" i="2"/>
  <c r="K233" i="2"/>
  <c r="J233" i="2"/>
  <c r="K232" i="2"/>
  <c r="J232" i="2"/>
  <c r="K231" i="2"/>
  <c r="J231" i="2"/>
  <c r="K230" i="2"/>
  <c r="J230" i="2"/>
  <c r="K229" i="2"/>
  <c r="J229" i="2"/>
  <c r="K228" i="2"/>
  <c r="J228" i="2"/>
  <c r="K227" i="2"/>
  <c r="J227" i="2"/>
  <c r="K226" i="2"/>
  <c r="J226" i="2"/>
  <c r="K225" i="2"/>
  <c r="J225" i="2"/>
  <c r="K224" i="2"/>
  <c r="J224" i="2"/>
  <c r="K223" i="2"/>
  <c r="J223" i="2"/>
  <c r="K222" i="2"/>
  <c r="J222" i="2"/>
  <c r="K221" i="2"/>
  <c r="J221" i="2"/>
  <c r="K220" i="2"/>
  <c r="J220" i="2"/>
  <c r="K219" i="2"/>
  <c r="J219" i="2"/>
  <c r="K218" i="2"/>
  <c r="J218" i="2"/>
  <c r="K217" i="2"/>
  <c r="J217" i="2"/>
  <c r="K216" i="2"/>
  <c r="J216" i="2"/>
  <c r="K215" i="2"/>
  <c r="J215" i="2"/>
  <c r="K214" i="2"/>
  <c r="J214" i="2"/>
  <c r="K213" i="2"/>
  <c r="J213" i="2"/>
  <c r="K212" i="2"/>
  <c r="J212" i="2"/>
  <c r="K211" i="2"/>
  <c r="J211" i="2"/>
  <c r="K210" i="2"/>
  <c r="J210" i="2"/>
  <c r="K209" i="2"/>
  <c r="J209" i="2"/>
  <c r="K208" i="2"/>
  <c r="J208" i="2"/>
  <c r="K207" i="2"/>
  <c r="J207" i="2"/>
  <c r="K206" i="2"/>
  <c r="J206" i="2"/>
  <c r="K205" i="2"/>
  <c r="J205" i="2"/>
  <c r="K204" i="2"/>
  <c r="J204" i="2"/>
  <c r="K203" i="2"/>
  <c r="J203" i="2"/>
  <c r="K202" i="2"/>
  <c r="J202" i="2"/>
  <c r="K201" i="2"/>
  <c r="J201" i="2"/>
  <c r="K200" i="2"/>
  <c r="J200" i="2"/>
  <c r="K199" i="2"/>
  <c r="J199" i="2"/>
  <c r="K198" i="2"/>
  <c r="J198" i="2"/>
  <c r="K197" i="2"/>
  <c r="J197" i="2"/>
  <c r="K196" i="2"/>
  <c r="J196" i="2"/>
  <c r="K195" i="2"/>
  <c r="J195" i="2"/>
  <c r="K194" i="2"/>
  <c r="J194" i="2"/>
  <c r="K193" i="2"/>
  <c r="J193" i="2"/>
  <c r="K192" i="2"/>
  <c r="J192" i="2"/>
  <c r="K191" i="2"/>
  <c r="J191" i="2"/>
  <c r="K190" i="2"/>
  <c r="J190" i="2"/>
  <c r="K189" i="2"/>
  <c r="J189" i="2"/>
  <c r="K188" i="2"/>
  <c r="J188" i="2"/>
  <c r="K187" i="2"/>
  <c r="J187" i="2"/>
  <c r="K186" i="2"/>
  <c r="J186" i="2"/>
  <c r="K185" i="2"/>
  <c r="J185" i="2"/>
  <c r="B4" i="2"/>
  <c r="N53" i="3"/>
  <c r="M53" i="3"/>
  <c r="L53" i="3"/>
  <c r="K53" i="3"/>
  <c r="N52" i="3"/>
  <c r="M52" i="3"/>
  <c r="L52" i="3"/>
  <c r="K52" i="3"/>
  <c r="N51" i="3"/>
  <c r="M51" i="3"/>
  <c r="L51" i="3"/>
  <c r="K51" i="3"/>
  <c r="N50" i="3"/>
  <c r="M50" i="3"/>
  <c r="L50" i="3"/>
  <c r="K50" i="3"/>
  <c r="N49" i="3"/>
  <c r="M49" i="3"/>
  <c r="L49" i="3"/>
  <c r="K49" i="3"/>
  <c r="N48" i="3"/>
  <c r="M48" i="3"/>
  <c r="L48" i="3"/>
  <c r="K48" i="3"/>
  <c r="N47" i="3"/>
  <c r="M47" i="3"/>
  <c r="L47" i="3"/>
  <c r="K47" i="3"/>
  <c r="N46" i="3"/>
  <c r="M46" i="3"/>
  <c r="L46" i="3"/>
  <c r="K46" i="3"/>
  <c r="N45" i="3"/>
  <c r="M45" i="3"/>
  <c r="L45" i="3"/>
  <c r="K45" i="3"/>
  <c r="N44" i="3"/>
  <c r="M44" i="3"/>
  <c r="L44" i="3"/>
  <c r="K44" i="3"/>
  <c r="N43" i="3"/>
  <c r="M43" i="3"/>
  <c r="L43" i="3"/>
  <c r="K43" i="3"/>
  <c r="N42" i="3"/>
  <c r="M42" i="3"/>
  <c r="L42" i="3"/>
  <c r="K42" i="3"/>
  <c r="N41" i="3"/>
  <c r="M41" i="3"/>
  <c r="L41" i="3"/>
  <c r="K41" i="3"/>
  <c r="N40" i="3"/>
  <c r="M40" i="3"/>
  <c r="L40" i="3"/>
  <c r="K40" i="3"/>
  <c r="N39" i="3"/>
  <c r="M39" i="3"/>
  <c r="L39" i="3"/>
  <c r="K39" i="3"/>
  <c r="N38" i="3"/>
  <c r="M38" i="3"/>
  <c r="L38" i="3"/>
  <c r="K38" i="3"/>
  <c r="N37" i="3"/>
  <c r="M37" i="3"/>
  <c r="L37" i="3"/>
  <c r="K37" i="3"/>
  <c r="N36" i="3"/>
  <c r="M36" i="3"/>
  <c r="L36" i="3"/>
  <c r="K36" i="3"/>
  <c r="N35" i="3"/>
  <c r="M35" i="3"/>
  <c r="L35" i="3"/>
  <c r="K35" i="3"/>
  <c r="N34" i="3"/>
  <c r="M34" i="3"/>
  <c r="L34" i="3"/>
  <c r="K34" i="3"/>
  <c r="N33" i="3"/>
  <c r="M33" i="3"/>
  <c r="L33" i="3"/>
  <c r="K33" i="3"/>
  <c r="N32" i="3"/>
  <c r="M32" i="3"/>
  <c r="L32" i="3"/>
  <c r="K32" i="3"/>
  <c r="N31" i="3"/>
  <c r="M31" i="3"/>
  <c r="L31" i="3"/>
  <c r="K31" i="3"/>
  <c r="N30" i="3"/>
  <c r="M30" i="3"/>
  <c r="L30" i="3"/>
  <c r="K30" i="3"/>
  <c r="N29" i="3"/>
  <c r="M29" i="3"/>
  <c r="L29" i="3"/>
  <c r="K29" i="3"/>
  <c r="N28" i="3"/>
  <c r="M28" i="3"/>
  <c r="L28" i="3"/>
  <c r="K28" i="3"/>
  <c r="N27" i="3"/>
  <c r="M27" i="3"/>
  <c r="L27" i="3"/>
  <c r="K27" i="3"/>
  <c r="N26" i="3"/>
  <c r="M26" i="3"/>
  <c r="L26" i="3"/>
  <c r="K26" i="3"/>
  <c r="N25" i="3"/>
  <c r="M25" i="3"/>
  <c r="L25" i="3"/>
  <c r="K25" i="3"/>
  <c r="N24" i="3"/>
  <c r="M24" i="3"/>
  <c r="L24" i="3"/>
  <c r="K24" i="3"/>
  <c r="N23" i="3"/>
  <c r="M23" i="3"/>
  <c r="L23" i="3"/>
  <c r="K23" i="3"/>
  <c r="N22" i="3"/>
  <c r="M22" i="3"/>
  <c r="L22" i="3"/>
  <c r="K22" i="3"/>
  <c r="N21" i="3"/>
  <c r="M21" i="3"/>
  <c r="L21" i="3"/>
  <c r="K21" i="3"/>
  <c r="N20" i="3"/>
  <c r="M20" i="3"/>
  <c r="L20" i="3"/>
  <c r="K20" i="3"/>
  <c r="N19" i="3"/>
  <c r="M19" i="3"/>
  <c r="L19" i="3"/>
  <c r="K19" i="3"/>
  <c r="N18" i="3"/>
  <c r="M18" i="3"/>
  <c r="L18" i="3"/>
  <c r="K18" i="3"/>
  <c r="N17" i="3"/>
  <c r="M17" i="3"/>
  <c r="L17" i="3"/>
  <c r="K17" i="3"/>
  <c r="N16" i="3"/>
  <c r="M16" i="3"/>
  <c r="L16" i="3"/>
  <c r="K16" i="3"/>
  <c r="N15" i="3"/>
  <c r="M15" i="3"/>
  <c r="L15" i="3"/>
  <c r="K15" i="3"/>
  <c r="N14" i="3"/>
  <c r="M14" i="3"/>
  <c r="L14" i="3"/>
  <c r="K14" i="3"/>
  <c r="N13" i="3"/>
  <c r="M13" i="3"/>
  <c r="L13" i="3"/>
  <c r="K13" i="3"/>
  <c r="N12" i="3"/>
  <c r="M12" i="3"/>
  <c r="L12" i="3"/>
  <c r="K12" i="3"/>
  <c r="A1" i="12"/>
  <c r="A1" i="2"/>
  <c r="C1" i="12"/>
  <c r="A2" i="12"/>
  <c r="F1" i="2"/>
  <c r="A2" i="2"/>
  <c r="C4" i="2"/>
  <c r="O53" i="3"/>
  <c r="J53" i="3"/>
  <c r="I53" i="3"/>
  <c r="H53" i="3"/>
  <c r="G53" i="3"/>
  <c r="F53" i="3"/>
  <c r="E53" i="3"/>
  <c r="D53" i="3"/>
  <c r="C53" i="3"/>
  <c r="B53" i="3"/>
  <c r="O52" i="3"/>
  <c r="J52" i="3"/>
  <c r="I52" i="3"/>
  <c r="H52" i="3"/>
  <c r="G52" i="3"/>
  <c r="F52" i="3"/>
  <c r="E52" i="3"/>
  <c r="D52" i="3"/>
  <c r="C52" i="3"/>
  <c r="B52" i="3"/>
  <c r="O51" i="3"/>
  <c r="J51" i="3"/>
  <c r="I51" i="3"/>
  <c r="H51" i="3"/>
  <c r="G51" i="3"/>
  <c r="F51" i="3"/>
  <c r="E51" i="3"/>
  <c r="D51" i="3"/>
  <c r="C51" i="3"/>
  <c r="B51" i="3"/>
  <c r="O50" i="3"/>
  <c r="J50" i="3"/>
  <c r="I50" i="3"/>
  <c r="H50" i="3"/>
  <c r="G50" i="3"/>
  <c r="F50" i="3"/>
  <c r="E50" i="3"/>
  <c r="D50" i="3"/>
  <c r="C50" i="3"/>
  <c r="B50" i="3"/>
  <c r="O49" i="3"/>
  <c r="J49" i="3"/>
  <c r="I49" i="3"/>
  <c r="H49" i="3"/>
  <c r="G49" i="3"/>
  <c r="F49" i="3"/>
  <c r="E49" i="3"/>
  <c r="D49" i="3"/>
  <c r="C49" i="3"/>
  <c r="B49" i="3"/>
  <c r="O48" i="3"/>
  <c r="J48" i="3"/>
  <c r="I48" i="3"/>
  <c r="H48" i="3"/>
  <c r="G48" i="3"/>
  <c r="F48" i="3"/>
  <c r="E48" i="3"/>
  <c r="D48" i="3"/>
  <c r="C48" i="3"/>
  <c r="B48" i="3"/>
  <c r="O47" i="3"/>
  <c r="J47" i="3"/>
  <c r="I47" i="3"/>
  <c r="H47" i="3"/>
  <c r="G47" i="3"/>
  <c r="F47" i="3"/>
  <c r="E47" i="3"/>
  <c r="D47" i="3"/>
  <c r="C47" i="3"/>
  <c r="B47" i="3"/>
  <c r="O46" i="3"/>
  <c r="J46" i="3"/>
  <c r="I46" i="3"/>
  <c r="H46" i="3"/>
  <c r="G46" i="3"/>
  <c r="F46" i="3"/>
  <c r="E46" i="3"/>
  <c r="D46" i="3"/>
  <c r="C46" i="3"/>
  <c r="B46" i="3"/>
  <c r="O45" i="3"/>
  <c r="J45" i="3"/>
  <c r="I45" i="3"/>
  <c r="H45" i="3"/>
  <c r="G45" i="3"/>
  <c r="F45" i="3"/>
  <c r="E45" i="3"/>
  <c r="D45" i="3"/>
  <c r="C45" i="3"/>
  <c r="B45" i="3"/>
  <c r="O44" i="3"/>
  <c r="J44" i="3"/>
  <c r="I44" i="3"/>
  <c r="H44" i="3"/>
  <c r="G44" i="3"/>
  <c r="F44" i="3"/>
  <c r="E44" i="3"/>
  <c r="D44" i="3"/>
  <c r="C44" i="3"/>
  <c r="B44" i="3"/>
  <c r="O43" i="3"/>
  <c r="J43" i="3"/>
  <c r="I43" i="3"/>
  <c r="H43" i="3"/>
  <c r="G43" i="3"/>
  <c r="F43" i="3"/>
  <c r="E43" i="3"/>
  <c r="D43" i="3"/>
  <c r="C43" i="3"/>
  <c r="B43" i="3"/>
  <c r="O42" i="3"/>
  <c r="J42" i="3"/>
  <c r="I42" i="3"/>
  <c r="H42" i="3"/>
  <c r="G42" i="3"/>
  <c r="F42" i="3"/>
  <c r="E42" i="3"/>
  <c r="D42" i="3"/>
  <c r="C42" i="3"/>
  <c r="B42" i="3"/>
  <c r="O41" i="3"/>
  <c r="J41" i="3"/>
  <c r="I41" i="3"/>
  <c r="H41" i="3"/>
  <c r="G41" i="3"/>
  <c r="F41" i="3"/>
  <c r="E41" i="3"/>
  <c r="D41" i="3"/>
  <c r="C41" i="3"/>
  <c r="B41" i="3"/>
  <c r="O40" i="3"/>
  <c r="J40" i="3"/>
  <c r="I40" i="3"/>
  <c r="H40" i="3"/>
  <c r="G40" i="3"/>
  <c r="F40" i="3"/>
  <c r="E40" i="3"/>
  <c r="D40" i="3"/>
  <c r="C40" i="3"/>
  <c r="B40" i="3"/>
  <c r="O39" i="3"/>
  <c r="J39" i="3"/>
  <c r="I39" i="3"/>
  <c r="H39" i="3"/>
  <c r="G39" i="3"/>
  <c r="F39" i="3"/>
  <c r="E39" i="3"/>
  <c r="D39" i="3"/>
  <c r="C39" i="3"/>
  <c r="B39" i="3"/>
  <c r="O38" i="3"/>
  <c r="J38" i="3"/>
  <c r="I38" i="3"/>
  <c r="H38" i="3"/>
  <c r="G38" i="3"/>
  <c r="F38" i="3"/>
  <c r="E38" i="3"/>
  <c r="D38" i="3"/>
  <c r="C38" i="3"/>
  <c r="B38" i="3"/>
  <c r="O37" i="3"/>
  <c r="J37" i="3"/>
  <c r="I37" i="3"/>
  <c r="H37" i="3"/>
  <c r="G37" i="3"/>
  <c r="F37" i="3"/>
  <c r="E37" i="3"/>
  <c r="D37" i="3"/>
  <c r="C37" i="3"/>
  <c r="B37" i="3"/>
  <c r="O36" i="3"/>
  <c r="J36" i="3"/>
  <c r="I36" i="3"/>
  <c r="H36" i="3"/>
  <c r="G36" i="3"/>
  <c r="F36" i="3"/>
  <c r="E36" i="3"/>
  <c r="D36" i="3"/>
  <c r="C36" i="3"/>
  <c r="B36" i="3"/>
  <c r="O35" i="3"/>
  <c r="J35" i="3"/>
  <c r="I35" i="3"/>
  <c r="H35" i="3"/>
  <c r="G35" i="3"/>
  <c r="F35" i="3"/>
  <c r="E35" i="3"/>
  <c r="D35" i="3"/>
  <c r="C35" i="3"/>
  <c r="B35" i="3"/>
  <c r="O34" i="3"/>
  <c r="J34" i="3"/>
  <c r="I34" i="3"/>
  <c r="H34" i="3"/>
  <c r="G34" i="3"/>
  <c r="F34" i="3"/>
  <c r="E34" i="3"/>
  <c r="D34" i="3"/>
  <c r="C34" i="3"/>
  <c r="B34" i="3"/>
  <c r="O33" i="3"/>
  <c r="J33" i="3"/>
  <c r="I33" i="3"/>
  <c r="H33" i="3"/>
  <c r="G33" i="3"/>
  <c r="F33" i="3"/>
  <c r="E33" i="3"/>
  <c r="D33" i="3"/>
  <c r="C33" i="3"/>
  <c r="B33" i="3"/>
  <c r="O32" i="3"/>
  <c r="J32" i="3"/>
  <c r="I32" i="3"/>
  <c r="H32" i="3"/>
  <c r="G32" i="3"/>
  <c r="F32" i="3"/>
  <c r="E32" i="3"/>
  <c r="D32" i="3"/>
  <c r="C32" i="3"/>
  <c r="B32" i="3"/>
  <c r="O31" i="3"/>
  <c r="J31" i="3"/>
  <c r="I31" i="3"/>
  <c r="H31" i="3"/>
  <c r="G31" i="3"/>
  <c r="F31" i="3"/>
  <c r="E31" i="3"/>
  <c r="D31" i="3"/>
  <c r="C31" i="3"/>
  <c r="B31" i="3"/>
  <c r="O30" i="3"/>
  <c r="J30" i="3"/>
  <c r="I30" i="3"/>
  <c r="H30" i="3"/>
  <c r="G30" i="3"/>
  <c r="F30" i="3"/>
  <c r="E30" i="3"/>
  <c r="D30" i="3"/>
  <c r="C30" i="3"/>
  <c r="B30" i="3"/>
  <c r="O29" i="3"/>
  <c r="J29" i="3"/>
  <c r="I29" i="3"/>
  <c r="H29" i="3"/>
  <c r="G29" i="3"/>
  <c r="F29" i="3"/>
  <c r="E29" i="3"/>
  <c r="D29" i="3"/>
  <c r="C29" i="3"/>
  <c r="B29" i="3"/>
  <c r="O28" i="3"/>
  <c r="J28" i="3"/>
  <c r="I28" i="3"/>
  <c r="H28" i="3"/>
  <c r="G28" i="3"/>
  <c r="F28" i="3"/>
  <c r="E28" i="3"/>
  <c r="D28" i="3"/>
  <c r="C28" i="3"/>
  <c r="B28" i="3"/>
  <c r="O27" i="3"/>
  <c r="J27" i="3"/>
  <c r="I27" i="3"/>
  <c r="H27" i="3"/>
  <c r="G27" i="3"/>
  <c r="F27" i="3"/>
  <c r="E27" i="3"/>
  <c r="D27" i="3"/>
  <c r="C27" i="3"/>
  <c r="B27" i="3"/>
  <c r="O26" i="3"/>
  <c r="J26" i="3"/>
  <c r="I26" i="3"/>
  <c r="H26" i="3"/>
  <c r="G26" i="3"/>
  <c r="F26" i="3"/>
  <c r="E26" i="3"/>
  <c r="D26" i="3"/>
  <c r="C26" i="3"/>
  <c r="B26" i="3"/>
  <c r="O25" i="3"/>
  <c r="J25" i="3"/>
  <c r="I25" i="3"/>
  <c r="H25" i="3"/>
  <c r="G25" i="3"/>
  <c r="F25" i="3"/>
  <c r="E25" i="3"/>
  <c r="D25" i="3"/>
  <c r="C25" i="3"/>
  <c r="B25" i="3"/>
  <c r="O24" i="3"/>
  <c r="J24" i="3"/>
  <c r="I24" i="3"/>
  <c r="H24" i="3"/>
  <c r="G24" i="3"/>
  <c r="F24" i="3"/>
  <c r="E24" i="3"/>
  <c r="D24" i="3"/>
  <c r="C24" i="3"/>
  <c r="B24" i="3"/>
  <c r="O23" i="3"/>
  <c r="J23" i="3"/>
  <c r="I23" i="3"/>
  <c r="H23" i="3"/>
  <c r="G23" i="3"/>
  <c r="F23" i="3"/>
  <c r="E23" i="3"/>
  <c r="D23" i="3"/>
  <c r="C23" i="3"/>
  <c r="B23" i="3"/>
  <c r="O22" i="3"/>
  <c r="J22" i="3"/>
  <c r="I22" i="3"/>
  <c r="H22" i="3"/>
  <c r="G22" i="3"/>
  <c r="F22" i="3"/>
  <c r="E22" i="3"/>
  <c r="D22" i="3"/>
  <c r="C22" i="3"/>
  <c r="B22" i="3"/>
  <c r="O21" i="3"/>
  <c r="J21" i="3"/>
  <c r="I21" i="3"/>
  <c r="H21" i="3"/>
  <c r="G21" i="3"/>
  <c r="F21" i="3"/>
  <c r="E21" i="3"/>
  <c r="D21" i="3"/>
  <c r="C21" i="3"/>
  <c r="B21" i="3"/>
  <c r="O20" i="3"/>
  <c r="J20" i="3"/>
  <c r="I20" i="3"/>
  <c r="H20" i="3"/>
  <c r="G20" i="3"/>
  <c r="F20" i="3"/>
  <c r="E20" i="3"/>
  <c r="D20" i="3"/>
  <c r="C20" i="3"/>
  <c r="B20" i="3"/>
  <c r="O19" i="3"/>
  <c r="J19" i="3"/>
  <c r="I19" i="3"/>
  <c r="H19" i="3"/>
  <c r="G19" i="3"/>
  <c r="F19" i="3"/>
  <c r="E19" i="3"/>
  <c r="D19" i="3"/>
  <c r="C19" i="3"/>
  <c r="B19" i="3"/>
  <c r="O18" i="3"/>
  <c r="J18" i="3"/>
  <c r="I18" i="3"/>
  <c r="H18" i="3"/>
  <c r="G18" i="3"/>
  <c r="F18" i="3"/>
  <c r="E18" i="3"/>
  <c r="D18" i="3"/>
  <c r="C18" i="3"/>
  <c r="B18" i="3"/>
  <c r="O17" i="3"/>
  <c r="J17" i="3"/>
  <c r="I17" i="3"/>
  <c r="H17" i="3"/>
  <c r="G17" i="3"/>
  <c r="F17" i="3"/>
  <c r="E17" i="3"/>
  <c r="D17" i="3"/>
  <c r="C17" i="3"/>
  <c r="B17" i="3"/>
  <c r="O16" i="3"/>
  <c r="J16" i="3"/>
  <c r="I16" i="3"/>
  <c r="H16" i="3"/>
  <c r="G16" i="3"/>
  <c r="F16" i="3"/>
  <c r="E16" i="3"/>
  <c r="D16" i="3"/>
  <c r="C16" i="3"/>
  <c r="B16" i="3"/>
  <c r="O15" i="3"/>
  <c r="J15" i="3"/>
  <c r="I15" i="3"/>
  <c r="H15" i="3"/>
  <c r="G15" i="3"/>
  <c r="F15" i="3"/>
  <c r="E15" i="3"/>
  <c r="D15" i="3"/>
  <c r="C15" i="3"/>
  <c r="B15" i="3"/>
  <c r="O14" i="3"/>
  <c r="J14" i="3"/>
  <c r="I14" i="3"/>
  <c r="H14" i="3"/>
  <c r="G14" i="3"/>
  <c r="F14" i="3"/>
  <c r="E14" i="3"/>
  <c r="D14" i="3"/>
  <c r="C14" i="3"/>
  <c r="B14" i="3"/>
  <c r="AE53" i="3"/>
  <c r="AD53" i="3"/>
  <c r="AC53" i="3"/>
  <c r="AB53" i="3"/>
  <c r="AE52" i="3"/>
  <c r="AD52" i="3"/>
  <c r="AC52" i="3"/>
  <c r="AB52" i="3"/>
  <c r="AE51" i="3"/>
  <c r="AD51" i="3"/>
  <c r="AC51" i="3"/>
  <c r="AB51" i="3"/>
  <c r="AE50" i="3"/>
  <c r="AD50" i="3"/>
  <c r="AC50" i="3"/>
  <c r="AB50" i="3"/>
  <c r="AE49" i="3"/>
  <c r="AD49" i="3"/>
  <c r="AC49" i="3"/>
  <c r="AB49" i="3"/>
  <c r="AE48" i="3"/>
  <c r="AD48" i="3"/>
  <c r="AC48" i="3"/>
  <c r="AB48" i="3"/>
  <c r="AE47" i="3"/>
  <c r="AD47" i="3"/>
  <c r="AC47" i="3"/>
  <c r="AB47" i="3"/>
  <c r="AE46" i="3"/>
  <c r="AD46" i="3"/>
  <c r="AC46" i="3"/>
  <c r="AB46" i="3"/>
  <c r="AE45" i="3"/>
  <c r="AD45" i="3"/>
  <c r="AC45" i="3"/>
  <c r="AB45" i="3"/>
  <c r="AE44" i="3"/>
  <c r="AD44" i="3"/>
  <c r="AC44" i="3"/>
  <c r="AB44" i="3"/>
  <c r="AE43" i="3"/>
  <c r="AD43" i="3"/>
  <c r="AC43" i="3"/>
  <c r="AB43" i="3"/>
  <c r="AE42" i="3"/>
  <c r="AD42" i="3"/>
  <c r="AC42" i="3"/>
  <c r="AB42" i="3"/>
  <c r="AE41" i="3"/>
  <c r="AD41" i="3"/>
  <c r="AC41" i="3"/>
  <c r="AB41" i="3"/>
  <c r="AE40" i="3"/>
  <c r="AD40" i="3"/>
  <c r="AC40" i="3"/>
  <c r="AB40" i="3"/>
  <c r="AE39" i="3"/>
  <c r="AD39" i="3"/>
  <c r="AC39" i="3"/>
  <c r="AB39" i="3"/>
  <c r="AE38" i="3"/>
  <c r="AD38" i="3"/>
  <c r="AC38" i="3"/>
  <c r="AB38" i="3"/>
  <c r="AE37" i="3"/>
  <c r="AD37" i="3"/>
  <c r="AC37" i="3"/>
  <c r="AB37" i="3"/>
  <c r="AE36" i="3"/>
  <c r="AD36" i="3"/>
  <c r="AC36" i="3"/>
  <c r="AB36" i="3"/>
  <c r="AE35" i="3"/>
  <c r="AD35" i="3"/>
  <c r="AC35" i="3"/>
  <c r="AB35" i="3"/>
  <c r="AE34" i="3"/>
  <c r="AD34" i="3"/>
  <c r="AC34" i="3"/>
  <c r="AB34" i="3"/>
  <c r="AE33" i="3"/>
  <c r="AD33" i="3"/>
  <c r="AC33" i="3"/>
  <c r="AB33" i="3"/>
  <c r="AE32" i="3"/>
  <c r="AD32" i="3"/>
  <c r="AC32" i="3"/>
  <c r="AB32" i="3"/>
  <c r="AE31" i="3"/>
  <c r="AD31" i="3"/>
  <c r="AC31" i="3"/>
  <c r="AB31" i="3"/>
  <c r="AE30" i="3"/>
  <c r="AD30" i="3"/>
  <c r="AC30" i="3"/>
  <c r="AB30" i="3"/>
  <c r="AE29" i="3"/>
  <c r="AD29" i="3"/>
  <c r="AC29" i="3"/>
  <c r="AB29" i="3"/>
  <c r="AE28" i="3"/>
  <c r="AD28" i="3"/>
  <c r="AC28" i="3"/>
  <c r="AB28" i="3"/>
  <c r="AE27" i="3"/>
  <c r="AD27" i="3"/>
  <c r="AC27" i="3"/>
  <c r="AB27" i="3"/>
  <c r="AE26" i="3"/>
  <c r="AD26" i="3"/>
  <c r="AC26" i="3"/>
  <c r="AB26" i="3"/>
  <c r="AE25" i="3"/>
  <c r="AD25" i="3"/>
  <c r="AC25" i="3"/>
  <c r="AB25" i="3"/>
  <c r="AE24" i="3"/>
  <c r="AD24" i="3"/>
  <c r="AC24" i="3"/>
  <c r="AB24" i="3"/>
  <c r="AE23" i="3"/>
  <c r="AD23" i="3"/>
  <c r="AC23" i="3"/>
  <c r="AB23" i="3"/>
  <c r="AE22" i="3"/>
  <c r="AD22" i="3"/>
  <c r="AC22" i="3"/>
  <c r="AB22" i="3"/>
  <c r="AE21" i="3"/>
  <c r="AD21" i="3"/>
  <c r="AC21" i="3"/>
  <c r="AB21" i="3"/>
  <c r="AE20" i="3"/>
  <c r="AD20" i="3"/>
  <c r="AC20" i="3"/>
  <c r="AB20" i="3"/>
  <c r="AE19" i="3"/>
  <c r="AD19" i="3"/>
  <c r="AC19" i="3"/>
  <c r="AB19" i="3"/>
  <c r="AE18" i="3"/>
  <c r="AD18" i="3"/>
  <c r="AC18" i="3"/>
  <c r="AB18" i="3"/>
  <c r="AE17" i="3"/>
  <c r="AD17" i="3"/>
  <c r="AC17" i="3"/>
  <c r="AB17" i="3"/>
  <c r="AE16" i="3"/>
  <c r="AD16" i="3"/>
  <c r="AC16" i="3"/>
  <c r="AB16" i="3"/>
  <c r="AE15" i="3"/>
  <c r="AD15" i="3"/>
  <c r="AC15" i="3"/>
  <c r="AB15" i="3"/>
  <c r="AE14" i="3"/>
  <c r="AD14" i="3"/>
  <c r="AC14" i="3"/>
  <c r="AB14" i="3"/>
  <c r="P1002" i="12" l="1"/>
  <c r="O1002" i="12"/>
  <c r="N1002" i="12"/>
  <c r="M1002" i="12"/>
  <c r="L1002" i="12"/>
  <c r="K1002" i="12"/>
  <c r="J1002" i="12"/>
  <c r="I1002" i="12"/>
  <c r="H1002" i="12"/>
  <c r="G1002" i="12"/>
  <c r="F1002" i="12"/>
  <c r="E1002" i="12"/>
  <c r="D1002" i="12"/>
  <c r="C1002" i="12"/>
  <c r="B1002" i="12"/>
  <c r="A1002" i="12"/>
  <c r="P1001" i="12"/>
  <c r="O1001" i="12"/>
  <c r="N1001" i="12"/>
  <c r="M1001" i="12"/>
  <c r="L1001" i="12"/>
  <c r="K1001" i="12"/>
  <c r="J1001" i="12"/>
  <c r="I1001" i="12"/>
  <c r="H1001" i="12"/>
  <c r="G1001" i="12"/>
  <c r="F1001" i="12"/>
  <c r="E1001" i="12"/>
  <c r="D1001" i="12"/>
  <c r="C1001" i="12"/>
  <c r="B1001" i="12"/>
  <c r="A1001" i="12"/>
  <c r="P1000" i="12"/>
  <c r="O1000" i="12"/>
  <c r="N1000" i="12"/>
  <c r="M1000" i="12"/>
  <c r="L1000" i="12"/>
  <c r="K1000" i="12"/>
  <c r="J1000" i="12"/>
  <c r="I1000" i="12"/>
  <c r="H1000" i="12"/>
  <c r="G1000" i="12"/>
  <c r="F1000" i="12"/>
  <c r="E1000" i="12"/>
  <c r="D1000" i="12"/>
  <c r="C1000" i="12"/>
  <c r="B1000" i="12"/>
  <c r="A1000" i="12"/>
  <c r="P999" i="12"/>
  <c r="O999" i="12"/>
  <c r="N999" i="12"/>
  <c r="M999" i="12"/>
  <c r="L999" i="12"/>
  <c r="K999" i="12"/>
  <c r="J999" i="12"/>
  <c r="I999" i="12"/>
  <c r="H999" i="12"/>
  <c r="G999" i="12"/>
  <c r="F999" i="12"/>
  <c r="E999" i="12"/>
  <c r="D999" i="12"/>
  <c r="C999" i="12"/>
  <c r="B999" i="12"/>
  <c r="A999" i="12"/>
  <c r="P998" i="12"/>
  <c r="O998" i="12"/>
  <c r="N998" i="12"/>
  <c r="M998" i="12"/>
  <c r="L998" i="12"/>
  <c r="K998" i="12"/>
  <c r="J998" i="12"/>
  <c r="I998" i="12"/>
  <c r="H998" i="12"/>
  <c r="G998" i="12"/>
  <c r="F998" i="12"/>
  <c r="E998" i="12"/>
  <c r="D998" i="12"/>
  <c r="C998" i="12"/>
  <c r="B998" i="12"/>
  <c r="A998" i="12"/>
  <c r="P997" i="12"/>
  <c r="O997" i="12"/>
  <c r="N997" i="12"/>
  <c r="M997" i="12"/>
  <c r="L997" i="12"/>
  <c r="K997" i="12"/>
  <c r="J997" i="12"/>
  <c r="I997" i="12"/>
  <c r="H997" i="12"/>
  <c r="G997" i="12"/>
  <c r="F997" i="12"/>
  <c r="E997" i="12"/>
  <c r="D997" i="12"/>
  <c r="C997" i="12"/>
  <c r="B997" i="12"/>
  <c r="A997" i="12"/>
  <c r="P996" i="12"/>
  <c r="O996" i="12"/>
  <c r="N996" i="12"/>
  <c r="M996" i="12"/>
  <c r="L996" i="12"/>
  <c r="K996" i="12"/>
  <c r="J996" i="12"/>
  <c r="I996" i="12"/>
  <c r="H996" i="12"/>
  <c r="G996" i="12"/>
  <c r="F996" i="12"/>
  <c r="E996" i="12"/>
  <c r="D996" i="12"/>
  <c r="C996" i="12"/>
  <c r="B996" i="12"/>
  <c r="A996" i="12"/>
  <c r="P995" i="12"/>
  <c r="O995" i="12"/>
  <c r="N995" i="12"/>
  <c r="M995" i="12"/>
  <c r="L995" i="12"/>
  <c r="K995" i="12"/>
  <c r="J995" i="12"/>
  <c r="I995" i="12"/>
  <c r="H995" i="12"/>
  <c r="G995" i="12"/>
  <c r="F995" i="12"/>
  <c r="E995" i="12"/>
  <c r="D995" i="12"/>
  <c r="C995" i="12"/>
  <c r="B995" i="12"/>
  <c r="A995" i="12"/>
  <c r="P994" i="12"/>
  <c r="O994" i="12"/>
  <c r="N994" i="12"/>
  <c r="M994" i="12"/>
  <c r="L994" i="12"/>
  <c r="K994" i="12"/>
  <c r="J994" i="12"/>
  <c r="I994" i="12"/>
  <c r="H994" i="12"/>
  <c r="G994" i="12"/>
  <c r="F994" i="12"/>
  <c r="E994" i="12"/>
  <c r="D994" i="12"/>
  <c r="C994" i="12"/>
  <c r="B994" i="12"/>
  <c r="A994" i="12"/>
  <c r="P993" i="12"/>
  <c r="O993" i="12"/>
  <c r="N993" i="12"/>
  <c r="M993" i="12"/>
  <c r="L993" i="12"/>
  <c r="K993" i="12"/>
  <c r="J993" i="12"/>
  <c r="I993" i="12"/>
  <c r="H993" i="12"/>
  <c r="G993" i="12"/>
  <c r="F993" i="12"/>
  <c r="E993" i="12"/>
  <c r="D993" i="12"/>
  <c r="C993" i="12"/>
  <c r="B993" i="12"/>
  <c r="A993" i="12"/>
  <c r="P992" i="12"/>
  <c r="O992" i="12"/>
  <c r="N992" i="12"/>
  <c r="M992" i="12"/>
  <c r="L992" i="12"/>
  <c r="K992" i="12"/>
  <c r="J992" i="12"/>
  <c r="I992" i="12"/>
  <c r="H992" i="12"/>
  <c r="G992" i="12"/>
  <c r="F992" i="12"/>
  <c r="E992" i="12"/>
  <c r="D992" i="12"/>
  <c r="C992" i="12"/>
  <c r="B992" i="12"/>
  <c r="A992" i="12"/>
  <c r="P991" i="12"/>
  <c r="O991" i="12"/>
  <c r="N991" i="12"/>
  <c r="M991" i="12"/>
  <c r="L991" i="12"/>
  <c r="K991" i="12"/>
  <c r="J991" i="12"/>
  <c r="I991" i="12"/>
  <c r="H991" i="12"/>
  <c r="G991" i="12"/>
  <c r="F991" i="12"/>
  <c r="E991" i="12"/>
  <c r="D991" i="12"/>
  <c r="C991" i="12"/>
  <c r="B991" i="12"/>
  <c r="A991" i="12"/>
  <c r="P990" i="12"/>
  <c r="O990" i="12"/>
  <c r="N990" i="12"/>
  <c r="M990" i="12"/>
  <c r="L990" i="12"/>
  <c r="K990" i="12"/>
  <c r="J990" i="12"/>
  <c r="I990" i="12"/>
  <c r="H990" i="12"/>
  <c r="G990" i="12"/>
  <c r="F990" i="12"/>
  <c r="E990" i="12"/>
  <c r="D990" i="12"/>
  <c r="C990" i="12"/>
  <c r="B990" i="12"/>
  <c r="A990" i="12"/>
  <c r="P989" i="12"/>
  <c r="O989" i="12"/>
  <c r="N989" i="12"/>
  <c r="M989" i="12"/>
  <c r="L989" i="12"/>
  <c r="K989" i="12"/>
  <c r="J989" i="12"/>
  <c r="I989" i="12"/>
  <c r="H989" i="12"/>
  <c r="G989" i="12"/>
  <c r="F989" i="12"/>
  <c r="E989" i="12"/>
  <c r="D989" i="12"/>
  <c r="C989" i="12"/>
  <c r="B989" i="12"/>
  <c r="A989" i="12"/>
  <c r="P988" i="12"/>
  <c r="O988" i="12"/>
  <c r="N988" i="12"/>
  <c r="M988" i="12"/>
  <c r="L988" i="12"/>
  <c r="K988" i="12"/>
  <c r="J988" i="12"/>
  <c r="I988" i="12"/>
  <c r="H988" i="12"/>
  <c r="G988" i="12"/>
  <c r="F988" i="12"/>
  <c r="E988" i="12"/>
  <c r="D988" i="12"/>
  <c r="C988" i="12"/>
  <c r="B988" i="12"/>
  <c r="A988" i="12"/>
  <c r="P987" i="12"/>
  <c r="O987" i="12"/>
  <c r="N987" i="12"/>
  <c r="M987" i="12"/>
  <c r="L987" i="12"/>
  <c r="K987" i="12"/>
  <c r="J987" i="12"/>
  <c r="I987" i="12"/>
  <c r="H987" i="12"/>
  <c r="G987" i="12"/>
  <c r="F987" i="12"/>
  <c r="E987" i="12"/>
  <c r="D987" i="12"/>
  <c r="C987" i="12"/>
  <c r="B987" i="12"/>
  <c r="A987" i="12"/>
  <c r="P986" i="12"/>
  <c r="O986" i="12"/>
  <c r="N986" i="12"/>
  <c r="M986" i="12"/>
  <c r="L986" i="12"/>
  <c r="K986" i="12"/>
  <c r="J986" i="12"/>
  <c r="I986" i="12"/>
  <c r="H986" i="12"/>
  <c r="G986" i="12"/>
  <c r="F986" i="12"/>
  <c r="E986" i="12"/>
  <c r="D986" i="12"/>
  <c r="C986" i="12"/>
  <c r="B986" i="12"/>
  <c r="A986" i="12"/>
  <c r="P985" i="12"/>
  <c r="O985" i="12"/>
  <c r="N985" i="12"/>
  <c r="M985" i="12"/>
  <c r="L985" i="12"/>
  <c r="K985" i="12"/>
  <c r="J985" i="12"/>
  <c r="I985" i="12"/>
  <c r="H985" i="12"/>
  <c r="G985" i="12"/>
  <c r="F985" i="12"/>
  <c r="E985" i="12"/>
  <c r="D985" i="12"/>
  <c r="C985" i="12"/>
  <c r="B985" i="12"/>
  <c r="A985" i="12"/>
  <c r="P984" i="12"/>
  <c r="O984" i="12"/>
  <c r="N984" i="12"/>
  <c r="M984" i="12"/>
  <c r="L984" i="12"/>
  <c r="K984" i="12"/>
  <c r="J984" i="12"/>
  <c r="I984" i="12"/>
  <c r="H984" i="12"/>
  <c r="G984" i="12"/>
  <c r="F984" i="12"/>
  <c r="E984" i="12"/>
  <c r="D984" i="12"/>
  <c r="C984" i="12"/>
  <c r="B984" i="12"/>
  <c r="A984" i="12"/>
  <c r="P983" i="12"/>
  <c r="O983" i="12"/>
  <c r="N983" i="12"/>
  <c r="M983" i="12"/>
  <c r="L983" i="12"/>
  <c r="K983" i="12"/>
  <c r="J983" i="12"/>
  <c r="I983" i="12"/>
  <c r="H983" i="12"/>
  <c r="G983" i="12"/>
  <c r="F983" i="12"/>
  <c r="E983" i="12"/>
  <c r="D983" i="12"/>
  <c r="C983" i="12"/>
  <c r="B983" i="12"/>
  <c r="A983" i="12"/>
  <c r="P982" i="12"/>
  <c r="O982" i="12"/>
  <c r="N982" i="12"/>
  <c r="M982" i="12"/>
  <c r="L982" i="12"/>
  <c r="K982" i="12"/>
  <c r="J982" i="12"/>
  <c r="I982" i="12"/>
  <c r="H982" i="12"/>
  <c r="G982" i="12"/>
  <c r="F982" i="12"/>
  <c r="E982" i="12"/>
  <c r="D982" i="12"/>
  <c r="C982" i="12"/>
  <c r="B982" i="12"/>
  <c r="A982" i="12"/>
  <c r="P981" i="12"/>
  <c r="O981" i="12"/>
  <c r="N981" i="12"/>
  <c r="M981" i="12"/>
  <c r="L981" i="12"/>
  <c r="K981" i="12"/>
  <c r="J981" i="12"/>
  <c r="I981" i="12"/>
  <c r="H981" i="12"/>
  <c r="G981" i="12"/>
  <c r="F981" i="12"/>
  <c r="E981" i="12"/>
  <c r="D981" i="12"/>
  <c r="C981" i="12"/>
  <c r="B981" i="12"/>
  <c r="A981" i="12"/>
  <c r="P980" i="12"/>
  <c r="O980" i="12"/>
  <c r="N980" i="12"/>
  <c r="M980" i="12"/>
  <c r="L980" i="12"/>
  <c r="K980" i="12"/>
  <c r="J980" i="12"/>
  <c r="I980" i="12"/>
  <c r="H980" i="12"/>
  <c r="G980" i="12"/>
  <c r="F980" i="12"/>
  <c r="E980" i="12"/>
  <c r="D980" i="12"/>
  <c r="C980" i="12"/>
  <c r="B980" i="12"/>
  <c r="A980" i="12"/>
  <c r="P979" i="12"/>
  <c r="O979" i="12"/>
  <c r="N979" i="12"/>
  <c r="M979" i="12"/>
  <c r="L979" i="12"/>
  <c r="K979" i="12"/>
  <c r="J979" i="12"/>
  <c r="I979" i="12"/>
  <c r="H979" i="12"/>
  <c r="G979" i="12"/>
  <c r="F979" i="12"/>
  <c r="E979" i="12"/>
  <c r="D979" i="12"/>
  <c r="C979" i="12"/>
  <c r="B979" i="12"/>
  <c r="A979" i="12"/>
  <c r="P978" i="12"/>
  <c r="O978" i="12"/>
  <c r="N978" i="12"/>
  <c r="M978" i="12"/>
  <c r="L978" i="12"/>
  <c r="K978" i="12"/>
  <c r="J978" i="12"/>
  <c r="I978" i="12"/>
  <c r="H978" i="12"/>
  <c r="G978" i="12"/>
  <c r="F978" i="12"/>
  <c r="E978" i="12"/>
  <c r="D978" i="12"/>
  <c r="C978" i="12"/>
  <c r="B978" i="12"/>
  <c r="A978" i="12"/>
  <c r="P977" i="12"/>
  <c r="O977" i="12"/>
  <c r="N977" i="12"/>
  <c r="M977" i="12"/>
  <c r="L977" i="12"/>
  <c r="K977" i="12"/>
  <c r="J977" i="12"/>
  <c r="I977" i="12"/>
  <c r="H977" i="12"/>
  <c r="G977" i="12"/>
  <c r="F977" i="12"/>
  <c r="E977" i="12"/>
  <c r="D977" i="12"/>
  <c r="C977" i="12"/>
  <c r="B977" i="12"/>
  <c r="A977" i="12"/>
  <c r="P976" i="12"/>
  <c r="O976" i="12"/>
  <c r="N976" i="12"/>
  <c r="M976" i="12"/>
  <c r="L976" i="12"/>
  <c r="K976" i="12"/>
  <c r="J976" i="12"/>
  <c r="I976" i="12"/>
  <c r="H976" i="12"/>
  <c r="G976" i="12"/>
  <c r="F976" i="12"/>
  <c r="E976" i="12"/>
  <c r="D976" i="12"/>
  <c r="C976" i="12"/>
  <c r="B976" i="12"/>
  <c r="A976" i="12"/>
  <c r="P975" i="12"/>
  <c r="O975" i="12"/>
  <c r="N975" i="12"/>
  <c r="M975" i="12"/>
  <c r="L975" i="12"/>
  <c r="K975" i="12"/>
  <c r="J975" i="12"/>
  <c r="I975" i="12"/>
  <c r="H975" i="12"/>
  <c r="G975" i="12"/>
  <c r="F975" i="12"/>
  <c r="E975" i="12"/>
  <c r="D975" i="12"/>
  <c r="C975" i="12"/>
  <c r="B975" i="12"/>
  <c r="A975" i="12"/>
  <c r="P974" i="12"/>
  <c r="O974" i="12"/>
  <c r="N974" i="12"/>
  <c r="M974" i="12"/>
  <c r="L974" i="12"/>
  <c r="K974" i="12"/>
  <c r="J974" i="12"/>
  <c r="I974" i="12"/>
  <c r="H974" i="12"/>
  <c r="G974" i="12"/>
  <c r="F974" i="12"/>
  <c r="E974" i="12"/>
  <c r="D974" i="12"/>
  <c r="C974" i="12"/>
  <c r="B974" i="12"/>
  <c r="A974" i="12"/>
  <c r="P973" i="12"/>
  <c r="O973" i="12"/>
  <c r="N973" i="12"/>
  <c r="M973" i="12"/>
  <c r="L973" i="12"/>
  <c r="K973" i="12"/>
  <c r="J973" i="12"/>
  <c r="I973" i="12"/>
  <c r="H973" i="12"/>
  <c r="G973" i="12"/>
  <c r="F973" i="12"/>
  <c r="E973" i="12"/>
  <c r="D973" i="12"/>
  <c r="C973" i="12"/>
  <c r="B973" i="12"/>
  <c r="A973" i="12"/>
  <c r="P972" i="12"/>
  <c r="O972" i="12"/>
  <c r="N972" i="12"/>
  <c r="M972" i="12"/>
  <c r="L972" i="12"/>
  <c r="K972" i="12"/>
  <c r="J972" i="12"/>
  <c r="I972" i="12"/>
  <c r="H972" i="12"/>
  <c r="G972" i="12"/>
  <c r="F972" i="12"/>
  <c r="E972" i="12"/>
  <c r="D972" i="12"/>
  <c r="C972" i="12"/>
  <c r="B972" i="12"/>
  <c r="A972" i="12"/>
  <c r="P971" i="12"/>
  <c r="O971" i="12"/>
  <c r="N971" i="12"/>
  <c r="M971" i="12"/>
  <c r="L971" i="12"/>
  <c r="K971" i="12"/>
  <c r="J971" i="12"/>
  <c r="I971" i="12"/>
  <c r="H971" i="12"/>
  <c r="G971" i="12"/>
  <c r="F971" i="12"/>
  <c r="E971" i="12"/>
  <c r="D971" i="12"/>
  <c r="C971" i="12"/>
  <c r="B971" i="12"/>
  <c r="A971" i="12"/>
  <c r="P970" i="12"/>
  <c r="O970" i="12"/>
  <c r="N970" i="12"/>
  <c r="M970" i="12"/>
  <c r="L970" i="12"/>
  <c r="K970" i="12"/>
  <c r="J970" i="12"/>
  <c r="I970" i="12"/>
  <c r="H970" i="12"/>
  <c r="G970" i="12"/>
  <c r="F970" i="12"/>
  <c r="E970" i="12"/>
  <c r="D970" i="12"/>
  <c r="C970" i="12"/>
  <c r="B970" i="12"/>
  <c r="A970" i="12"/>
  <c r="P969" i="12"/>
  <c r="O969" i="12"/>
  <c r="N969" i="12"/>
  <c r="M969" i="12"/>
  <c r="L969" i="12"/>
  <c r="K969" i="12"/>
  <c r="J969" i="12"/>
  <c r="I969" i="12"/>
  <c r="H969" i="12"/>
  <c r="G969" i="12"/>
  <c r="F969" i="12"/>
  <c r="E969" i="12"/>
  <c r="D969" i="12"/>
  <c r="C969" i="12"/>
  <c r="B969" i="12"/>
  <c r="A969" i="12"/>
  <c r="P968" i="12"/>
  <c r="O968" i="12"/>
  <c r="N968" i="12"/>
  <c r="M968" i="12"/>
  <c r="L968" i="12"/>
  <c r="K968" i="12"/>
  <c r="J968" i="12"/>
  <c r="I968" i="12"/>
  <c r="H968" i="12"/>
  <c r="G968" i="12"/>
  <c r="F968" i="12"/>
  <c r="E968" i="12"/>
  <c r="D968" i="12"/>
  <c r="C968" i="12"/>
  <c r="B968" i="12"/>
  <c r="A968" i="12"/>
  <c r="P967" i="12"/>
  <c r="O967" i="12"/>
  <c r="N967" i="12"/>
  <c r="M967" i="12"/>
  <c r="L967" i="12"/>
  <c r="K967" i="12"/>
  <c r="J967" i="12"/>
  <c r="I967" i="12"/>
  <c r="H967" i="12"/>
  <c r="G967" i="12"/>
  <c r="F967" i="12"/>
  <c r="E967" i="12"/>
  <c r="D967" i="12"/>
  <c r="C967" i="12"/>
  <c r="B967" i="12"/>
  <c r="A967" i="12"/>
  <c r="P966" i="12"/>
  <c r="O966" i="12"/>
  <c r="N966" i="12"/>
  <c r="M966" i="12"/>
  <c r="L966" i="12"/>
  <c r="K966" i="12"/>
  <c r="J966" i="12"/>
  <c r="I966" i="12"/>
  <c r="H966" i="12"/>
  <c r="G966" i="12"/>
  <c r="F966" i="12"/>
  <c r="E966" i="12"/>
  <c r="D966" i="12"/>
  <c r="C966" i="12"/>
  <c r="B966" i="12"/>
  <c r="A966" i="12"/>
  <c r="P965" i="12"/>
  <c r="O965" i="12"/>
  <c r="N965" i="12"/>
  <c r="M965" i="12"/>
  <c r="L965" i="12"/>
  <c r="K965" i="12"/>
  <c r="J965" i="12"/>
  <c r="I965" i="12"/>
  <c r="H965" i="12"/>
  <c r="G965" i="12"/>
  <c r="F965" i="12"/>
  <c r="E965" i="12"/>
  <c r="D965" i="12"/>
  <c r="C965" i="12"/>
  <c r="B965" i="12"/>
  <c r="A965" i="12"/>
  <c r="P964" i="12"/>
  <c r="O964" i="12"/>
  <c r="N964" i="12"/>
  <c r="M964" i="12"/>
  <c r="L964" i="12"/>
  <c r="K964" i="12"/>
  <c r="J964" i="12"/>
  <c r="I964" i="12"/>
  <c r="H964" i="12"/>
  <c r="G964" i="12"/>
  <c r="F964" i="12"/>
  <c r="E964" i="12"/>
  <c r="D964" i="12"/>
  <c r="C964" i="12"/>
  <c r="B964" i="12"/>
  <c r="A964" i="12"/>
  <c r="P963" i="12"/>
  <c r="O963" i="12"/>
  <c r="N963" i="12"/>
  <c r="M963" i="12"/>
  <c r="L963" i="12"/>
  <c r="K963" i="12"/>
  <c r="J963" i="12"/>
  <c r="I963" i="12"/>
  <c r="H963" i="12"/>
  <c r="G963" i="12"/>
  <c r="F963" i="12"/>
  <c r="E963" i="12"/>
  <c r="D963" i="12"/>
  <c r="C963" i="12"/>
  <c r="B963" i="12"/>
  <c r="A963" i="12"/>
  <c r="P962" i="12"/>
  <c r="O962" i="12"/>
  <c r="N962" i="12"/>
  <c r="M962" i="12"/>
  <c r="L962" i="12"/>
  <c r="K962" i="12"/>
  <c r="J962" i="12"/>
  <c r="I962" i="12"/>
  <c r="H962" i="12"/>
  <c r="G962" i="12"/>
  <c r="F962" i="12"/>
  <c r="E962" i="12"/>
  <c r="D962" i="12"/>
  <c r="C962" i="12"/>
  <c r="B962" i="12"/>
  <c r="A962" i="12"/>
  <c r="P961" i="12"/>
  <c r="O961" i="12"/>
  <c r="N961" i="12"/>
  <c r="M961" i="12"/>
  <c r="L961" i="12"/>
  <c r="K961" i="12"/>
  <c r="J961" i="12"/>
  <c r="I961" i="12"/>
  <c r="H961" i="12"/>
  <c r="G961" i="12"/>
  <c r="F961" i="12"/>
  <c r="E961" i="12"/>
  <c r="D961" i="12"/>
  <c r="C961" i="12"/>
  <c r="B961" i="12"/>
  <c r="A961" i="12"/>
  <c r="P960" i="12"/>
  <c r="O960" i="12"/>
  <c r="N960" i="12"/>
  <c r="M960" i="12"/>
  <c r="L960" i="12"/>
  <c r="K960" i="12"/>
  <c r="J960" i="12"/>
  <c r="I960" i="12"/>
  <c r="H960" i="12"/>
  <c r="G960" i="12"/>
  <c r="F960" i="12"/>
  <c r="E960" i="12"/>
  <c r="D960" i="12"/>
  <c r="C960" i="12"/>
  <c r="B960" i="12"/>
  <c r="A960" i="12"/>
  <c r="P959" i="12"/>
  <c r="O959" i="12"/>
  <c r="N959" i="12"/>
  <c r="M959" i="12"/>
  <c r="L959" i="12"/>
  <c r="K959" i="12"/>
  <c r="J959" i="12"/>
  <c r="I959" i="12"/>
  <c r="H959" i="12"/>
  <c r="G959" i="12"/>
  <c r="F959" i="12"/>
  <c r="E959" i="12"/>
  <c r="D959" i="12"/>
  <c r="C959" i="12"/>
  <c r="B959" i="12"/>
  <c r="A959" i="12"/>
  <c r="P958" i="12"/>
  <c r="O958" i="12"/>
  <c r="N958" i="12"/>
  <c r="M958" i="12"/>
  <c r="L958" i="12"/>
  <c r="K958" i="12"/>
  <c r="J958" i="12"/>
  <c r="I958" i="12"/>
  <c r="H958" i="12"/>
  <c r="G958" i="12"/>
  <c r="F958" i="12"/>
  <c r="E958" i="12"/>
  <c r="D958" i="12"/>
  <c r="C958" i="12"/>
  <c r="B958" i="12"/>
  <c r="A958" i="12"/>
  <c r="P957" i="12"/>
  <c r="O957" i="12"/>
  <c r="N957" i="12"/>
  <c r="M957" i="12"/>
  <c r="L957" i="12"/>
  <c r="K957" i="12"/>
  <c r="J957" i="12"/>
  <c r="I957" i="12"/>
  <c r="H957" i="12"/>
  <c r="G957" i="12"/>
  <c r="F957" i="12"/>
  <c r="E957" i="12"/>
  <c r="D957" i="12"/>
  <c r="C957" i="12"/>
  <c r="B957" i="12"/>
  <c r="A957" i="12"/>
  <c r="P956" i="12"/>
  <c r="O956" i="12"/>
  <c r="N956" i="12"/>
  <c r="M956" i="12"/>
  <c r="L956" i="12"/>
  <c r="K956" i="12"/>
  <c r="J956" i="12"/>
  <c r="I956" i="12"/>
  <c r="H956" i="12"/>
  <c r="G956" i="12"/>
  <c r="F956" i="12"/>
  <c r="E956" i="12"/>
  <c r="D956" i="12"/>
  <c r="C956" i="12"/>
  <c r="B956" i="12"/>
  <c r="A956" i="12"/>
  <c r="P955" i="12"/>
  <c r="O955" i="12"/>
  <c r="N955" i="12"/>
  <c r="M955" i="12"/>
  <c r="L955" i="12"/>
  <c r="K955" i="12"/>
  <c r="J955" i="12"/>
  <c r="I955" i="12"/>
  <c r="H955" i="12"/>
  <c r="G955" i="12"/>
  <c r="F955" i="12"/>
  <c r="E955" i="12"/>
  <c r="D955" i="12"/>
  <c r="C955" i="12"/>
  <c r="B955" i="12"/>
  <c r="A955" i="12"/>
  <c r="P954" i="12"/>
  <c r="O954" i="12"/>
  <c r="N954" i="12"/>
  <c r="M954" i="12"/>
  <c r="L954" i="12"/>
  <c r="K954" i="12"/>
  <c r="J954" i="12"/>
  <c r="I954" i="12"/>
  <c r="H954" i="12"/>
  <c r="G954" i="12"/>
  <c r="F954" i="12"/>
  <c r="E954" i="12"/>
  <c r="D954" i="12"/>
  <c r="C954" i="12"/>
  <c r="B954" i="12"/>
  <c r="A954" i="12"/>
  <c r="P953" i="12"/>
  <c r="O953" i="12"/>
  <c r="N953" i="12"/>
  <c r="M953" i="12"/>
  <c r="L953" i="12"/>
  <c r="K953" i="12"/>
  <c r="J953" i="12"/>
  <c r="I953" i="12"/>
  <c r="H953" i="12"/>
  <c r="G953" i="12"/>
  <c r="F953" i="12"/>
  <c r="E953" i="12"/>
  <c r="D953" i="12"/>
  <c r="C953" i="12"/>
  <c r="B953" i="12"/>
  <c r="A953" i="12"/>
  <c r="P952" i="12"/>
  <c r="O952" i="12"/>
  <c r="N952" i="12"/>
  <c r="M952" i="12"/>
  <c r="L952" i="12"/>
  <c r="K952" i="12"/>
  <c r="J952" i="12"/>
  <c r="I952" i="12"/>
  <c r="H952" i="12"/>
  <c r="G952" i="12"/>
  <c r="F952" i="12"/>
  <c r="E952" i="12"/>
  <c r="D952" i="12"/>
  <c r="C952" i="12"/>
  <c r="B952" i="12"/>
  <c r="A952" i="12"/>
  <c r="P951" i="12"/>
  <c r="O951" i="12"/>
  <c r="N951" i="12"/>
  <c r="M951" i="12"/>
  <c r="L951" i="12"/>
  <c r="K951" i="12"/>
  <c r="J951" i="12"/>
  <c r="I951" i="12"/>
  <c r="H951" i="12"/>
  <c r="G951" i="12"/>
  <c r="F951" i="12"/>
  <c r="E951" i="12"/>
  <c r="D951" i="12"/>
  <c r="C951" i="12"/>
  <c r="B951" i="12"/>
  <c r="A951" i="12"/>
  <c r="P950" i="12"/>
  <c r="O950" i="12"/>
  <c r="N950" i="12"/>
  <c r="M950" i="12"/>
  <c r="L950" i="12"/>
  <c r="K950" i="12"/>
  <c r="J950" i="12"/>
  <c r="I950" i="12"/>
  <c r="H950" i="12"/>
  <c r="G950" i="12"/>
  <c r="F950" i="12"/>
  <c r="E950" i="12"/>
  <c r="D950" i="12"/>
  <c r="C950" i="12"/>
  <c r="B950" i="12"/>
  <c r="A950" i="12"/>
  <c r="P949" i="12"/>
  <c r="O949" i="12"/>
  <c r="N949" i="12"/>
  <c r="M949" i="12"/>
  <c r="L949" i="12"/>
  <c r="K949" i="12"/>
  <c r="J949" i="12"/>
  <c r="I949" i="12"/>
  <c r="H949" i="12"/>
  <c r="G949" i="12"/>
  <c r="F949" i="12"/>
  <c r="E949" i="12"/>
  <c r="D949" i="12"/>
  <c r="C949" i="12"/>
  <c r="B949" i="12"/>
  <c r="A949" i="12"/>
  <c r="P948" i="12"/>
  <c r="O948" i="12"/>
  <c r="N948" i="12"/>
  <c r="M948" i="12"/>
  <c r="L948" i="12"/>
  <c r="K948" i="12"/>
  <c r="J948" i="12"/>
  <c r="I948" i="12"/>
  <c r="H948" i="12"/>
  <c r="G948" i="12"/>
  <c r="F948" i="12"/>
  <c r="E948" i="12"/>
  <c r="D948" i="12"/>
  <c r="C948" i="12"/>
  <c r="B948" i="12"/>
  <c r="A948" i="12"/>
  <c r="P947" i="12"/>
  <c r="O947" i="12"/>
  <c r="N947" i="12"/>
  <c r="M947" i="12"/>
  <c r="L947" i="12"/>
  <c r="K947" i="12"/>
  <c r="J947" i="12"/>
  <c r="I947" i="12"/>
  <c r="H947" i="12"/>
  <c r="G947" i="12"/>
  <c r="F947" i="12"/>
  <c r="E947" i="12"/>
  <c r="D947" i="12"/>
  <c r="C947" i="12"/>
  <c r="B947" i="12"/>
  <c r="A947" i="12"/>
  <c r="P946" i="12"/>
  <c r="O946" i="12"/>
  <c r="N946" i="12"/>
  <c r="M946" i="12"/>
  <c r="L946" i="12"/>
  <c r="K946" i="12"/>
  <c r="J946" i="12"/>
  <c r="I946" i="12"/>
  <c r="H946" i="12"/>
  <c r="G946" i="12"/>
  <c r="F946" i="12"/>
  <c r="E946" i="12"/>
  <c r="D946" i="12"/>
  <c r="C946" i="12"/>
  <c r="B946" i="12"/>
  <c r="A946" i="12"/>
  <c r="P945" i="12"/>
  <c r="O945" i="12"/>
  <c r="N945" i="12"/>
  <c r="M945" i="12"/>
  <c r="L945" i="12"/>
  <c r="K945" i="12"/>
  <c r="J945" i="12"/>
  <c r="I945" i="12"/>
  <c r="H945" i="12"/>
  <c r="G945" i="12"/>
  <c r="F945" i="12"/>
  <c r="E945" i="12"/>
  <c r="D945" i="12"/>
  <c r="C945" i="12"/>
  <c r="B945" i="12"/>
  <c r="A945" i="12"/>
  <c r="P944" i="12"/>
  <c r="O944" i="12"/>
  <c r="N944" i="12"/>
  <c r="M944" i="12"/>
  <c r="L944" i="12"/>
  <c r="K944" i="12"/>
  <c r="J944" i="12"/>
  <c r="I944" i="12"/>
  <c r="H944" i="12"/>
  <c r="G944" i="12"/>
  <c r="F944" i="12"/>
  <c r="E944" i="12"/>
  <c r="D944" i="12"/>
  <c r="C944" i="12"/>
  <c r="B944" i="12"/>
  <c r="A944" i="12"/>
  <c r="P943" i="12"/>
  <c r="O943" i="12"/>
  <c r="N943" i="12"/>
  <c r="M943" i="12"/>
  <c r="L943" i="12"/>
  <c r="K943" i="12"/>
  <c r="J943" i="12"/>
  <c r="I943" i="12"/>
  <c r="H943" i="12"/>
  <c r="G943" i="12"/>
  <c r="F943" i="12"/>
  <c r="E943" i="12"/>
  <c r="D943" i="12"/>
  <c r="C943" i="12"/>
  <c r="B943" i="12"/>
  <c r="A943" i="12"/>
  <c r="P942" i="12"/>
  <c r="O942" i="12"/>
  <c r="N942" i="12"/>
  <c r="M942" i="12"/>
  <c r="L942" i="12"/>
  <c r="K942" i="12"/>
  <c r="J942" i="12"/>
  <c r="I942" i="12"/>
  <c r="H942" i="12"/>
  <c r="G942" i="12"/>
  <c r="F942" i="12"/>
  <c r="E942" i="12"/>
  <c r="D942" i="12"/>
  <c r="C942" i="12"/>
  <c r="B942" i="12"/>
  <c r="A942" i="12"/>
  <c r="P941" i="12"/>
  <c r="O941" i="12"/>
  <c r="N941" i="12"/>
  <c r="M941" i="12"/>
  <c r="L941" i="12"/>
  <c r="K941" i="12"/>
  <c r="J941" i="12"/>
  <c r="I941" i="12"/>
  <c r="H941" i="12"/>
  <c r="G941" i="12"/>
  <c r="F941" i="12"/>
  <c r="E941" i="12"/>
  <c r="D941" i="12"/>
  <c r="C941" i="12"/>
  <c r="B941" i="12"/>
  <c r="A941" i="12"/>
  <c r="P940" i="12"/>
  <c r="O940" i="12"/>
  <c r="N940" i="12"/>
  <c r="M940" i="12"/>
  <c r="L940" i="12"/>
  <c r="K940" i="12"/>
  <c r="J940" i="12"/>
  <c r="I940" i="12"/>
  <c r="H940" i="12"/>
  <c r="G940" i="12"/>
  <c r="F940" i="12"/>
  <c r="E940" i="12"/>
  <c r="D940" i="12"/>
  <c r="C940" i="12"/>
  <c r="B940" i="12"/>
  <c r="A940" i="12"/>
  <c r="P939" i="12"/>
  <c r="O939" i="12"/>
  <c r="N939" i="12"/>
  <c r="M939" i="12"/>
  <c r="L939" i="12"/>
  <c r="K939" i="12"/>
  <c r="J939" i="12"/>
  <c r="I939" i="12"/>
  <c r="H939" i="12"/>
  <c r="G939" i="12"/>
  <c r="F939" i="12"/>
  <c r="E939" i="12"/>
  <c r="D939" i="12"/>
  <c r="C939" i="12"/>
  <c r="B939" i="12"/>
  <c r="A939" i="12"/>
  <c r="P938" i="12"/>
  <c r="O938" i="12"/>
  <c r="N938" i="12"/>
  <c r="M938" i="12"/>
  <c r="L938" i="12"/>
  <c r="K938" i="12"/>
  <c r="J938" i="12"/>
  <c r="I938" i="12"/>
  <c r="H938" i="12"/>
  <c r="G938" i="12"/>
  <c r="F938" i="12"/>
  <c r="E938" i="12"/>
  <c r="D938" i="12"/>
  <c r="C938" i="12"/>
  <c r="B938" i="12"/>
  <c r="A938" i="12"/>
  <c r="P937" i="12"/>
  <c r="O937" i="12"/>
  <c r="N937" i="12"/>
  <c r="M937" i="12"/>
  <c r="L937" i="12"/>
  <c r="K937" i="12"/>
  <c r="J937" i="12"/>
  <c r="I937" i="12"/>
  <c r="H937" i="12"/>
  <c r="G937" i="12"/>
  <c r="F937" i="12"/>
  <c r="E937" i="12"/>
  <c r="D937" i="12"/>
  <c r="C937" i="12"/>
  <c r="B937" i="12"/>
  <c r="A937" i="12"/>
  <c r="P936" i="12"/>
  <c r="O936" i="12"/>
  <c r="N936" i="12"/>
  <c r="M936" i="12"/>
  <c r="L936" i="12"/>
  <c r="K936" i="12"/>
  <c r="J936" i="12"/>
  <c r="I936" i="12"/>
  <c r="H936" i="12"/>
  <c r="G936" i="12"/>
  <c r="F936" i="12"/>
  <c r="E936" i="12"/>
  <c r="D936" i="12"/>
  <c r="C936" i="12"/>
  <c r="B936" i="12"/>
  <c r="A936" i="12"/>
  <c r="P935" i="12"/>
  <c r="O935" i="12"/>
  <c r="N935" i="12"/>
  <c r="M935" i="12"/>
  <c r="L935" i="12"/>
  <c r="K935" i="12"/>
  <c r="J935" i="12"/>
  <c r="I935" i="12"/>
  <c r="H935" i="12"/>
  <c r="G935" i="12"/>
  <c r="F935" i="12"/>
  <c r="E935" i="12"/>
  <c r="D935" i="12"/>
  <c r="C935" i="12"/>
  <c r="B935" i="12"/>
  <c r="A935" i="12"/>
  <c r="P934" i="12"/>
  <c r="O934" i="12"/>
  <c r="N934" i="12"/>
  <c r="M934" i="12"/>
  <c r="L934" i="12"/>
  <c r="K934" i="12"/>
  <c r="J934" i="12"/>
  <c r="I934" i="12"/>
  <c r="H934" i="12"/>
  <c r="G934" i="12"/>
  <c r="F934" i="12"/>
  <c r="E934" i="12"/>
  <c r="D934" i="12"/>
  <c r="C934" i="12"/>
  <c r="B934" i="12"/>
  <c r="A934" i="12"/>
  <c r="P933" i="12"/>
  <c r="O933" i="12"/>
  <c r="N933" i="12"/>
  <c r="M933" i="12"/>
  <c r="L933" i="12"/>
  <c r="K933" i="12"/>
  <c r="J933" i="12"/>
  <c r="I933" i="12"/>
  <c r="H933" i="12"/>
  <c r="G933" i="12"/>
  <c r="F933" i="12"/>
  <c r="E933" i="12"/>
  <c r="D933" i="12"/>
  <c r="C933" i="12"/>
  <c r="B933" i="12"/>
  <c r="A933" i="12"/>
  <c r="P932" i="12"/>
  <c r="O932" i="12"/>
  <c r="N932" i="12"/>
  <c r="M932" i="12"/>
  <c r="L932" i="12"/>
  <c r="K932" i="12"/>
  <c r="J932" i="12"/>
  <c r="I932" i="12"/>
  <c r="H932" i="12"/>
  <c r="G932" i="12"/>
  <c r="F932" i="12"/>
  <c r="E932" i="12"/>
  <c r="D932" i="12"/>
  <c r="C932" i="12"/>
  <c r="B932" i="12"/>
  <c r="A932" i="12"/>
  <c r="P931" i="12"/>
  <c r="O931" i="12"/>
  <c r="N931" i="12"/>
  <c r="M931" i="12"/>
  <c r="L931" i="12"/>
  <c r="K931" i="12"/>
  <c r="J931" i="12"/>
  <c r="I931" i="12"/>
  <c r="H931" i="12"/>
  <c r="G931" i="12"/>
  <c r="F931" i="12"/>
  <c r="E931" i="12"/>
  <c r="D931" i="12"/>
  <c r="C931" i="12"/>
  <c r="B931" i="12"/>
  <c r="A931" i="12"/>
  <c r="P930" i="12"/>
  <c r="O930" i="12"/>
  <c r="N930" i="12"/>
  <c r="M930" i="12"/>
  <c r="L930" i="12"/>
  <c r="K930" i="12"/>
  <c r="J930" i="12"/>
  <c r="I930" i="12"/>
  <c r="H930" i="12"/>
  <c r="G930" i="12"/>
  <c r="F930" i="12"/>
  <c r="E930" i="12"/>
  <c r="D930" i="12"/>
  <c r="C930" i="12"/>
  <c r="B930" i="12"/>
  <c r="A930" i="12"/>
  <c r="P929" i="12"/>
  <c r="O929" i="12"/>
  <c r="N929" i="12"/>
  <c r="M929" i="12"/>
  <c r="L929" i="12"/>
  <c r="K929" i="12"/>
  <c r="J929" i="12"/>
  <c r="I929" i="12"/>
  <c r="H929" i="12"/>
  <c r="G929" i="12"/>
  <c r="F929" i="12"/>
  <c r="E929" i="12"/>
  <c r="D929" i="12"/>
  <c r="C929" i="12"/>
  <c r="B929" i="12"/>
  <c r="A929" i="12"/>
  <c r="P928" i="12"/>
  <c r="O928" i="12"/>
  <c r="N928" i="12"/>
  <c r="M928" i="12"/>
  <c r="L928" i="12"/>
  <c r="K928" i="12"/>
  <c r="J928" i="12"/>
  <c r="I928" i="12"/>
  <c r="H928" i="12"/>
  <c r="G928" i="12"/>
  <c r="F928" i="12"/>
  <c r="E928" i="12"/>
  <c r="D928" i="12"/>
  <c r="C928" i="12"/>
  <c r="B928" i="12"/>
  <c r="A928" i="12"/>
  <c r="P927" i="12"/>
  <c r="O927" i="12"/>
  <c r="N927" i="12"/>
  <c r="M927" i="12"/>
  <c r="L927" i="12"/>
  <c r="K927" i="12"/>
  <c r="J927" i="12"/>
  <c r="I927" i="12"/>
  <c r="H927" i="12"/>
  <c r="G927" i="12"/>
  <c r="F927" i="12"/>
  <c r="E927" i="12"/>
  <c r="D927" i="12"/>
  <c r="C927" i="12"/>
  <c r="B927" i="12"/>
  <c r="A927" i="12"/>
  <c r="P926" i="12"/>
  <c r="O926" i="12"/>
  <c r="N926" i="12"/>
  <c r="M926" i="12"/>
  <c r="L926" i="12"/>
  <c r="K926" i="12"/>
  <c r="J926" i="12"/>
  <c r="I926" i="12"/>
  <c r="H926" i="12"/>
  <c r="G926" i="12"/>
  <c r="F926" i="12"/>
  <c r="E926" i="12"/>
  <c r="D926" i="12"/>
  <c r="C926" i="12"/>
  <c r="B926" i="12"/>
  <c r="A926" i="12"/>
  <c r="P925" i="12"/>
  <c r="O925" i="12"/>
  <c r="N925" i="12"/>
  <c r="M925" i="12"/>
  <c r="L925" i="12"/>
  <c r="K925" i="12"/>
  <c r="J925" i="12"/>
  <c r="I925" i="12"/>
  <c r="H925" i="12"/>
  <c r="G925" i="12"/>
  <c r="F925" i="12"/>
  <c r="E925" i="12"/>
  <c r="D925" i="12"/>
  <c r="C925" i="12"/>
  <c r="B925" i="12"/>
  <c r="A925" i="12"/>
  <c r="P924" i="12"/>
  <c r="O924" i="12"/>
  <c r="N924" i="12"/>
  <c r="M924" i="12"/>
  <c r="L924" i="12"/>
  <c r="K924" i="12"/>
  <c r="J924" i="12"/>
  <c r="I924" i="12"/>
  <c r="H924" i="12"/>
  <c r="G924" i="12"/>
  <c r="F924" i="12"/>
  <c r="E924" i="12"/>
  <c r="D924" i="12"/>
  <c r="C924" i="12"/>
  <c r="B924" i="12"/>
  <c r="A924" i="12"/>
  <c r="P923" i="12"/>
  <c r="O923" i="12"/>
  <c r="N923" i="12"/>
  <c r="M923" i="12"/>
  <c r="L923" i="12"/>
  <c r="K923" i="12"/>
  <c r="J923" i="12"/>
  <c r="I923" i="12"/>
  <c r="H923" i="12"/>
  <c r="G923" i="12"/>
  <c r="F923" i="12"/>
  <c r="E923" i="12"/>
  <c r="D923" i="12"/>
  <c r="C923" i="12"/>
  <c r="B923" i="12"/>
  <c r="A923" i="12"/>
  <c r="P922" i="12"/>
  <c r="O922" i="12"/>
  <c r="N922" i="12"/>
  <c r="M922" i="12"/>
  <c r="L922" i="12"/>
  <c r="K922" i="12"/>
  <c r="J922" i="12"/>
  <c r="I922" i="12"/>
  <c r="H922" i="12"/>
  <c r="G922" i="12"/>
  <c r="F922" i="12"/>
  <c r="E922" i="12"/>
  <c r="D922" i="12"/>
  <c r="C922" i="12"/>
  <c r="B922" i="12"/>
  <c r="A922" i="12"/>
  <c r="P921" i="12"/>
  <c r="O921" i="12"/>
  <c r="N921" i="12"/>
  <c r="M921" i="12"/>
  <c r="L921" i="12"/>
  <c r="K921" i="12"/>
  <c r="J921" i="12"/>
  <c r="I921" i="12"/>
  <c r="H921" i="12"/>
  <c r="G921" i="12"/>
  <c r="F921" i="12"/>
  <c r="E921" i="12"/>
  <c r="D921" i="12"/>
  <c r="C921" i="12"/>
  <c r="B921" i="12"/>
  <c r="A921" i="12"/>
  <c r="P920" i="12"/>
  <c r="O920" i="12"/>
  <c r="N920" i="12"/>
  <c r="M920" i="12"/>
  <c r="L920" i="12"/>
  <c r="K920" i="12"/>
  <c r="J920" i="12"/>
  <c r="I920" i="12"/>
  <c r="H920" i="12"/>
  <c r="G920" i="12"/>
  <c r="F920" i="12"/>
  <c r="E920" i="12"/>
  <c r="D920" i="12"/>
  <c r="C920" i="12"/>
  <c r="B920" i="12"/>
  <c r="A920" i="12"/>
  <c r="P919" i="12"/>
  <c r="O919" i="12"/>
  <c r="N919" i="12"/>
  <c r="M919" i="12"/>
  <c r="L919" i="12"/>
  <c r="K919" i="12"/>
  <c r="J919" i="12"/>
  <c r="I919" i="12"/>
  <c r="H919" i="12"/>
  <c r="G919" i="12"/>
  <c r="F919" i="12"/>
  <c r="E919" i="12"/>
  <c r="D919" i="12"/>
  <c r="C919" i="12"/>
  <c r="B919" i="12"/>
  <c r="A919" i="12"/>
  <c r="P918" i="12"/>
  <c r="O918" i="12"/>
  <c r="N918" i="12"/>
  <c r="M918" i="12"/>
  <c r="L918" i="12"/>
  <c r="K918" i="12"/>
  <c r="J918" i="12"/>
  <c r="I918" i="12"/>
  <c r="H918" i="12"/>
  <c r="G918" i="12"/>
  <c r="F918" i="12"/>
  <c r="E918" i="12"/>
  <c r="D918" i="12"/>
  <c r="C918" i="12"/>
  <c r="B918" i="12"/>
  <c r="A918" i="12"/>
  <c r="P917" i="12"/>
  <c r="O917" i="12"/>
  <c r="N917" i="12"/>
  <c r="M917" i="12"/>
  <c r="L917" i="12"/>
  <c r="K917" i="12"/>
  <c r="J917" i="12"/>
  <c r="I917" i="12"/>
  <c r="H917" i="12"/>
  <c r="G917" i="12"/>
  <c r="F917" i="12"/>
  <c r="E917" i="12"/>
  <c r="D917" i="12"/>
  <c r="C917" i="12"/>
  <c r="B917" i="12"/>
  <c r="A917" i="12"/>
  <c r="P916" i="12"/>
  <c r="O916" i="12"/>
  <c r="N916" i="12"/>
  <c r="M916" i="12"/>
  <c r="L916" i="12"/>
  <c r="K916" i="12"/>
  <c r="J916" i="12"/>
  <c r="I916" i="12"/>
  <c r="H916" i="12"/>
  <c r="G916" i="12"/>
  <c r="F916" i="12"/>
  <c r="E916" i="12"/>
  <c r="D916" i="12"/>
  <c r="C916" i="12"/>
  <c r="B916" i="12"/>
  <c r="A916" i="12"/>
  <c r="P915" i="12"/>
  <c r="O915" i="12"/>
  <c r="N915" i="12"/>
  <c r="M915" i="12"/>
  <c r="L915" i="12"/>
  <c r="K915" i="12"/>
  <c r="J915" i="12"/>
  <c r="I915" i="12"/>
  <c r="H915" i="12"/>
  <c r="G915" i="12"/>
  <c r="F915" i="12"/>
  <c r="E915" i="12"/>
  <c r="D915" i="12"/>
  <c r="C915" i="12"/>
  <c r="B915" i="12"/>
  <c r="A915" i="12"/>
  <c r="P914" i="12"/>
  <c r="O914" i="12"/>
  <c r="N914" i="12"/>
  <c r="M914" i="12"/>
  <c r="L914" i="12"/>
  <c r="K914" i="12"/>
  <c r="J914" i="12"/>
  <c r="I914" i="12"/>
  <c r="H914" i="12"/>
  <c r="G914" i="12"/>
  <c r="F914" i="12"/>
  <c r="E914" i="12"/>
  <c r="D914" i="12"/>
  <c r="C914" i="12"/>
  <c r="B914" i="12"/>
  <c r="A914" i="12"/>
  <c r="P913" i="12"/>
  <c r="O913" i="12"/>
  <c r="N913" i="12"/>
  <c r="M913" i="12"/>
  <c r="L913" i="12"/>
  <c r="K913" i="12"/>
  <c r="J913" i="12"/>
  <c r="I913" i="12"/>
  <c r="H913" i="12"/>
  <c r="G913" i="12"/>
  <c r="F913" i="12"/>
  <c r="E913" i="12"/>
  <c r="D913" i="12"/>
  <c r="C913" i="12"/>
  <c r="B913" i="12"/>
  <c r="A913" i="12"/>
  <c r="P912" i="12"/>
  <c r="O912" i="12"/>
  <c r="N912" i="12"/>
  <c r="M912" i="12"/>
  <c r="L912" i="12"/>
  <c r="K912" i="12"/>
  <c r="J912" i="12"/>
  <c r="I912" i="12"/>
  <c r="H912" i="12"/>
  <c r="G912" i="12"/>
  <c r="F912" i="12"/>
  <c r="E912" i="12"/>
  <c r="D912" i="12"/>
  <c r="C912" i="12"/>
  <c r="B912" i="12"/>
  <c r="A912" i="12"/>
  <c r="P911" i="12"/>
  <c r="O911" i="12"/>
  <c r="N911" i="12"/>
  <c r="M911" i="12"/>
  <c r="L911" i="12"/>
  <c r="K911" i="12"/>
  <c r="J911" i="12"/>
  <c r="I911" i="12"/>
  <c r="H911" i="12"/>
  <c r="G911" i="12"/>
  <c r="F911" i="12"/>
  <c r="E911" i="12"/>
  <c r="D911" i="12"/>
  <c r="C911" i="12"/>
  <c r="B911" i="12"/>
  <c r="A911" i="12"/>
  <c r="P910" i="12"/>
  <c r="O910" i="12"/>
  <c r="N910" i="12"/>
  <c r="M910" i="12"/>
  <c r="L910" i="12"/>
  <c r="K910" i="12"/>
  <c r="J910" i="12"/>
  <c r="I910" i="12"/>
  <c r="H910" i="12"/>
  <c r="G910" i="12"/>
  <c r="F910" i="12"/>
  <c r="E910" i="12"/>
  <c r="D910" i="12"/>
  <c r="C910" i="12"/>
  <c r="B910" i="12"/>
  <c r="A910" i="12"/>
  <c r="P909" i="12"/>
  <c r="O909" i="12"/>
  <c r="N909" i="12"/>
  <c r="M909" i="12"/>
  <c r="L909" i="12"/>
  <c r="K909" i="12"/>
  <c r="J909" i="12"/>
  <c r="I909" i="12"/>
  <c r="H909" i="12"/>
  <c r="G909" i="12"/>
  <c r="F909" i="12"/>
  <c r="E909" i="12"/>
  <c r="D909" i="12"/>
  <c r="C909" i="12"/>
  <c r="B909" i="12"/>
  <c r="A909" i="12"/>
  <c r="P908" i="12"/>
  <c r="O908" i="12"/>
  <c r="N908" i="12"/>
  <c r="M908" i="12"/>
  <c r="L908" i="12"/>
  <c r="K908" i="12"/>
  <c r="J908" i="12"/>
  <c r="I908" i="12"/>
  <c r="H908" i="12"/>
  <c r="G908" i="12"/>
  <c r="F908" i="12"/>
  <c r="E908" i="12"/>
  <c r="D908" i="12"/>
  <c r="C908" i="12"/>
  <c r="B908" i="12"/>
  <c r="A908" i="12"/>
  <c r="P907" i="12"/>
  <c r="O907" i="12"/>
  <c r="N907" i="12"/>
  <c r="M907" i="12"/>
  <c r="L907" i="12"/>
  <c r="K907" i="12"/>
  <c r="J907" i="12"/>
  <c r="I907" i="12"/>
  <c r="H907" i="12"/>
  <c r="G907" i="12"/>
  <c r="F907" i="12"/>
  <c r="E907" i="12"/>
  <c r="D907" i="12"/>
  <c r="C907" i="12"/>
  <c r="B907" i="12"/>
  <c r="A907" i="12"/>
  <c r="P906" i="12"/>
  <c r="O906" i="12"/>
  <c r="N906" i="12"/>
  <c r="M906" i="12"/>
  <c r="L906" i="12"/>
  <c r="K906" i="12"/>
  <c r="J906" i="12"/>
  <c r="I906" i="12"/>
  <c r="H906" i="12"/>
  <c r="G906" i="12"/>
  <c r="F906" i="12"/>
  <c r="E906" i="12"/>
  <c r="D906" i="12"/>
  <c r="C906" i="12"/>
  <c r="B906" i="12"/>
  <c r="A906" i="12"/>
  <c r="P905" i="12"/>
  <c r="O905" i="12"/>
  <c r="N905" i="12"/>
  <c r="M905" i="12"/>
  <c r="L905" i="12"/>
  <c r="K905" i="12"/>
  <c r="J905" i="12"/>
  <c r="I905" i="12"/>
  <c r="H905" i="12"/>
  <c r="G905" i="12"/>
  <c r="F905" i="12"/>
  <c r="E905" i="12"/>
  <c r="D905" i="12"/>
  <c r="C905" i="12"/>
  <c r="B905" i="12"/>
  <c r="A905" i="12"/>
  <c r="P904" i="12"/>
  <c r="O904" i="12"/>
  <c r="N904" i="12"/>
  <c r="M904" i="12"/>
  <c r="L904" i="12"/>
  <c r="K904" i="12"/>
  <c r="J904" i="12"/>
  <c r="I904" i="12"/>
  <c r="H904" i="12"/>
  <c r="G904" i="12"/>
  <c r="F904" i="12"/>
  <c r="E904" i="12"/>
  <c r="D904" i="12"/>
  <c r="C904" i="12"/>
  <c r="B904" i="12"/>
  <c r="A904" i="12"/>
  <c r="P903" i="12"/>
  <c r="O903" i="12"/>
  <c r="N903" i="12"/>
  <c r="M903" i="12"/>
  <c r="L903" i="12"/>
  <c r="K903" i="12"/>
  <c r="J903" i="12"/>
  <c r="I903" i="12"/>
  <c r="H903" i="12"/>
  <c r="G903" i="12"/>
  <c r="F903" i="12"/>
  <c r="E903" i="12"/>
  <c r="D903" i="12"/>
  <c r="C903" i="12"/>
  <c r="B903" i="12"/>
  <c r="A903" i="12"/>
  <c r="P902" i="12"/>
  <c r="O902" i="12"/>
  <c r="N902" i="12"/>
  <c r="M902" i="12"/>
  <c r="L902" i="12"/>
  <c r="K902" i="12"/>
  <c r="J902" i="12"/>
  <c r="I902" i="12"/>
  <c r="H902" i="12"/>
  <c r="G902" i="12"/>
  <c r="F902" i="12"/>
  <c r="E902" i="12"/>
  <c r="D902" i="12"/>
  <c r="C902" i="12"/>
  <c r="B902" i="12"/>
  <c r="A902" i="12"/>
  <c r="P901" i="12"/>
  <c r="O901" i="12"/>
  <c r="N901" i="12"/>
  <c r="M901" i="12"/>
  <c r="L901" i="12"/>
  <c r="K901" i="12"/>
  <c r="J901" i="12"/>
  <c r="I901" i="12"/>
  <c r="H901" i="12"/>
  <c r="G901" i="12"/>
  <c r="F901" i="12"/>
  <c r="E901" i="12"/>
  <c r="D901" i="12"/>
  <c r="C901" i="12"/>
  <c r="B901" i="12"/>
  <c r="A901" i="12"/>
  <c r="P900" i="12"/>
  <c r="O900" i="12"/>
  <c r="N900" i="12"/>
  <c r="M900" i="12"/>
  <c r="L900" i="12"/>
  <c r="K900" i="12"/>
  <c r="J900" i="12"/>
  <c r="I900" i="12"/>
  <c r="H900" i="12"/>
  <c r="G900" i="12"/>
  <c r="F900" i="12"/>
  <c r="E900" i="12"/>
  <c r="D900" i="12"/>
  <c r="C900" i="12"/>
  <c r="B900" i="12"/>
  <c r="A900" i="12"/>
  <c r="P899" i="12"/>
  <c r="O899" i="12"/>
  <c r="N899" i="12"/>
  <c r="M899" i="12"/>
  <c r="L899" i="12"/>
  <c r="K899" i="12"/>
  <c r="J899" i="12"/>
  <c r="I899" i="12"/>
  <c r="H899" i="12"/>
  <c r="G899" i="12"/>
  <c r="F899" i="12"/>
  <c r="E899" i="12"/>
  <c r="D899" i="12"/>
  <c r="C899" i="12"/>
  <c r="B899" i="12"/>
  <c r="A899" i="12"/>
  <c r="P898" i="12"/>
  <c r="O898" i="12"/>
  <c r="N898" i="12"/>
  <c r="M898" i="12"/>
  <c r="L898" i="12"/>
  <c r="K898" i="12"/>
  <c r="J898" i="12"/>
  <c r="I898" i="12"/>
  <c r="H898" i="12"/>
  <c r="G898" i="12"/>
  <c r="F898" i="12"/>
  <c r="E898" i="12"/>
  <c r="D898" i="12"/>
  <c r="C898" i="12"/>
  <c r="B898" i="12"/>
  <c r="A898" i="12"/>
  <c r="P897" i="12"/>
  <c r="O897" i="12"/>
  <c r="N897" i="12"/>
  <c r="M897" i="12"/>
  <c r="L897" i="12"/>
  <c r="K897" i="12"/>
  <c r="J897" i="12"/>
  <c r="I897" i="12"/>
  <c r="H897" i="12"/>
  <c r="G897" i="12"/>
  <c r="F897" i="12"/>
  <c r="E897" i="12"/>
  <c r="D897" i="12"/>
  <c r="C897" i="12"/>
  <c r="B897" i="12"/>
  <c r="A897" i="12"/>
  <c r="P896" i="12"/>
  <c r="O896" i="12"/>
  <c r="N896" i="12"/>
  <c r="M896" i="12"/>
  <c r="L896" i="12"/>
  <c r="K896" i="12"/>
  <c r="J896" i="12"/>
  <c r="I896" i="12"/>
  <c r="H896" i="12"/>
  <c r="G896" i="12"/>
  <c r="F896" i="12"/>
  <c r="E896" i="12"/>
  <c r="D896" i="12"/>
  <c r="C896" i="12"/>
  <c r="B896" i="12"/>
  <c r="A896" i="12"/>
  <c r="P895" i="12"/>
  <c r="O895" i="12"/>
  <c r="N895" i="12"/>
  <c r="M895" i="12"/>
  <c r="L895" i="12"/>
  <c r="K895" i="12"/>
  <c r="J895" i="12"/>
  <c r="I895" i="12"/>
  <c r="H895" i="12"/>
  <c r="G895" i="12"/>
  <c r="F895" i="12"/>
  <c r="E895" i="12"/>
  <c r="D895" i="12"/>
  <c r="C895" i="12"/>
  <c r="B895" i="12"/>
  <c r="A895" i="12"/>
  <c r="P894" i="12"/>
  <c r="O894" i="12"/>
  <c r="N894" i="12"/>
  <c r="M894" i="12"/>
  <c r="L894" i="12"/>
  <c r="K894" i="12"/>
  <c r="J894" i="12"/>
  <c r="I894" i="12"/>
  <c r="H894" i="12"/>
  <c r="G894" i="12"/>
  <c r="F894" i="12"/>
  <c r="E894" i="12"/>
  <c r="D894" i="12"/>
  <c r="C894" i="12"/>
  <c r="B894" i="12"/>
  <c r="A894" i="12"/>
  <c r="P893" i="12"/>
  <c r="O893" i="12"/>
  <c r="N893" i="12"/>
  <c r="M893" i="12"/>
  <c r="L893" i="12"/>
  <c r="K893" i="12"/>
  <c r="J893" i="12"/>
  <c r="I893" i="12"/>
  <c r="H893" i="12"/>
  <c r="G893" i="12"/>
  <c r="F893" i="12"/>
  <c r="E893" i="12"/>
  <c r="D893" i="12"/>
  <c r="C893" i="12"/>
  <c r="B893" i="12"/>
  <c r="A893" i="12"/>
  <c r="P892" i="12"/>
  <c r="O892" i="12"/>
  <c r="N892" i="12"/>
  <c r="M892" i="12"/>
  <c r="L892" i="12"/>
  <c r="K892" i="12"/>
  <c r="J892" i="12"/>
  <c r="I892" i="12"/>
  <c r="H892" i="12"/>
  <c r="G892" i="12"/>
  <c r="F892" i="12"/>
  <c r="E892" i="12"/>
  <c r="D892" i="12"/>
  <c r="C892" i="12"/>
  <c r="B892" i="12"/>
  <c r="A892" i="12"/>
  <c r="P891" i="12"/>
  <c r="O891" i="12"/>
  <c r="N891" i="12"/>
  <c r="M891" i="12"/>
  <c r="L891" i="12"/>
  <c r="K891" i="12"/>
  <c r="J891" i="12"/>
  <c r="I891" i="12"/>
  <c r="H891" i="12"/>
  <c r="G891" i="12"/>
  <c r="F891" i="12"/>
  <c r="E891" i="12"/>
  <c r="D891" i="12"/>
  <c r="C891" i="12"/>
  <c r="B891" i="12"/>
  <c r="A891" i="12"/>
  <c r="P890" i="12"/>
  <c r="O890" i="12"/>
  <c r="N890" i="12"/>
  <c r="M890" i="12"/>
  <c r="L890" i="12"/>
  <c r="K890" i="12"/>
  <c r="J890" i="12"/>
  <c r="I890" i="12"/>
  <c r="H890" i="12"/>
  <c r="G890" i="12"/>
  <c r="F890" i="12"/>
  <c r="E890" i="12"/>
  <c r="D890" i="12"/>
  <c r="C890" i="12"/>
  <c r="B890" i="12"/>
  <c r="A890" i="12"/>
  <c r="P889" i="12"/>
  <c r="O889" i="12"/>
  <c r="N889" i="12"/>
  <c r="M889" i="12"/>
  <c r="L889" i="12"/>
  <c r="K889" i="12"/>
  <c r="J889" i="12"/>
  <c r="I889" i="12"/>
  <c r="H889" i="12"/>
  <c r="G889" i="12"/>
  <c r="F889" i="12"/>
  <c r="E889" i="12"/>
  <c r="D889" i="12"/>
  <c r="C889" i="12"/>
  <c r="B889" i="12"/>
  <c r="A889" i="12"/>
  <c r="P888" i="12"/>
  <c r="O888" i="12"/>
  <c r="N888" i="12"/>
  <c r="M888" i="12"/>
  <c r="L888" i="12"/>
  <c r="K888" i="12"/>
  <c r="J888" i="12"/>
  <c r="I888" i="12"/>
  <c r="H888" i="12"/>
  <c r="G888" i="12"/>
  <c r="F888" i="12"/>
  <c r="E888" i="12"/>
  <c r="D888" i="12"/>
  <c r="C888" i="12"/>
  <c r="B888" i="12"/>
  <c r="A888" i="12"/>
  <c r="P887" i="12"/>
  <c r="O887" i="12"/>
  <c r="N887" i="12"/>
  <c r="M887" i="12"/>
  <c r="L887" i="12"/>
  <c r="K887" i="12"/>
  <c r="J887" i="12"/>
  <c r="I887" i="12"/>
  <c r="H887" i="12"/>
  <c r="G887" i="12"/>
  <c r="F887" i="12"/>
  <c r="E887" i="12"/>
  <c r="D887" i="12"/>
  <c r="C887" i="12"/>
  <c r="B887" i="12"/>
  <c r="A887" i="12"/>
  <c r="P886" i="12"/>
  <c r="O886" i="12"/>
  <c r="N886" i="12"/>
  <c r="M886" i="12"/>
  <c r="L886" i="12"/>
  <c r="K886" i="12"/>
  <c r="J886" i="12"/>
  <c r="I886" i="12"/>
  <c r="H886" i="12"/>
  <c r="G886" i="12"/>
  <c r="F886" i="12"/>
  <c r="E886" i="12"/>
  <c r="D886" i="12"/>
  <c r="C886" i="12"/>
  <c r="B886" i="12"/>
  <c r="A886" i="12"/>
  <c r="P885" i="12"/>
  <c r="O885" i="12"/>
  <c r="N885" i="12"/>
  <c r="M885" i="12"/>
  <c r="L885" i="12"/>
  <c r="K885" i="12"/>
  <c r="J885" i="12"/>
  <c r="I885" i="12"/>
  <c r="H885" i="12"/>
  <c r="G885" i="12"/>
  <c r="F885" i="12"/>
  <c r="E885" i="12"/>
  <c r="D885" i="12"/>
  <c r="C885" i="12"/>
  <c r="B885" i="12"/>
  <c r="A885" i="12"/>
  <c r="P884" i="12"/>
  <c r="O884" i="12"/>
  <c r="N884" i="12"/>
  <c r="M884" i="12"/>
  <c r="L884" i="12"/>
  <c r="K884" i="12"/>
  <c r="J884" i="12"/>
  <c r="I884" i="12"/>
  <c r="H884" i="12"/>
  <c r="G884" i="12"/>
  <c r="F884" i="12"/>
  <c r="E884" i="12"/>
  <c r="D884" i="12"/>
  <c r="C884" i="12"/>
  <c r="B884" i="12"/>
  <c r="A884" i="12"/>
  <c r="P883" i="12"/>
  <c r="O883" i="12"/>
  <c r="N883" i="12"/>
  <c r="M883" i="12"/>
  <c r="L883" i="12"/>
  <c r="K883" i="12"/>
  <c r="J883" i="12"/>
  <c r="I883" i="12"/>
  <c r="H883" i="12"/>
  <c r="G883" i="12"/>
  <c r="F883" i="12"/>
  <c r="E883" i="12"/>
  <c r="D883" i="12"/>
  <c r="C883" i="12"/>
  <c r="B883" i="12"/>
  <c r="A883" i="12"/>
  <c r="P882" i="12"/>
  <c r="O882" i="12"/>
  <c r="N882" i="12"/>
  <c r="M882" i="12"/>
  <c r="L882" i="12"/>
  <c r="K882" i="12"/>
  <c r="J882" i="12"/>
  <c r="I882" i="12"/>
  <c r="H882" i="12"/>
  <c r="G882" i="12"/>
  <c r="F882" i="12"/>
  <c r="E882" i="12"/>
  <c r="D882" i="12"/>
  <c r="C882" i="12"/>
  <c r="B882" i="12"/>
  <c r="A882" i="12"/>
  <c r="P881" i="12"/>
  <c r="O881" i="12"/>
  <c r="N881" i="12"/>
  <c r="M881" i="12"/>
  <c r="L881" i="12"/>
  <c r="K881" i="12"/>
  <c r="J881" i="12"/>
  <c r="I881" i="12"/>
  <c r="H881" i="12"/>
  <c r="G881" i="12"/>
  <c r="F881" i="12"/>
  <c r="E881" i="12"/>
  <c r="D881" i="12"/>
  <c r="C881" i="12"/>
  <c r="B881" i="12"/>
  <c r="A881" i="12"/>
  <c r="P880" i="12"/>
  <c r="O880" i="12"/>
  <c r="N880" i="12"/>
  <c r="M880" i="12"/>
  <c r="L880" i="12"/>
  <c r="K880" i="12"/>
  <c r="J880" i="12"/>
  <c r="I880" i="12"/>
  <c r="H880" i="12"/>
  <c r="G880" i="12"/>
  <c r="F880" i="12"/>
  <c r="E880" i="12"/>
  <c r="D880" i="12"/>
  <c r="C880" i="12"/>
  <c r="B880" i="12"/>
  <c r="A880" i="12"/>
  <c r="P879" i="12"/>
  <c r="O879" i="12"/>
  <c r="N879" i="12"/>
  <c r="M879" i="12"/>
  <c r="L879" i="12"/>
  <c r="K879" i="12"/>
  <c r="J879" i="12"/>
  <c r="I879" i="12"/>
  <c r="H879" i="12"/>
  <c r="G879" i="12"/>
  <c r="F879" i="12"/>
  <c r="E879" i="12"/>
  <c r="D879" i="12"/>
  <c r="C879" i="12"/>
  <c r="B879" i="12"/>
  <c r="A879" i="12"/>
  <c r="P878" i="12"/>
  <c r="O878" i="12"/>
  <c r="N878" i="12"/>
  <c r="M878" i="12"/>
  <c r="L878" i="12"/>
  <c r="K878" i="12"/>
  <c r="J878" i="12"/>
  <c r="I878" i="12"/>
  <c r="H878" i="12"/>
  <c r="G878" i="12"/>
  <c r="F878" i="12"/>
  <c r="E878" i="12"/>
  <c r="D878" i="12"/>
  <c r="C878" i="12"/>
  <c r="B878" i="12"/>
  <c r="A878" i="12"/>
  <c r="P877" i="12"/>
  <c r="O877" i="12"/>
  <c r="N877" i="12"/>
  <c r="M877" i="12"/>
  <c r="L877" i="12"/>
  <c r="K877" i="12"/>
  <c r="J877" i="12"/>
  <c r="I877" i="12"/>
  <c r="H877" i="12"/>
  <c r="G877" i="12"/>
  <c r="F877" i="12"/>
  <c r="E877" i="12"/>
  <c r="D877" i="12"/>
  <c r="C877" i="12"/>
  <c r="B877" i="12"/>
  <c r="A877" i="12"/>
  <c r="P876" i="12"/>
  <c r="O876" i="12"/>
  <c r="N876" i="12"/>
  <c r="M876" i="12"/>
  <c r="L876" i="12"/>
  <c r="K876" i="12"/>
  <c r="J876" i="12"/>
  <c r="I876" i="12"/>
  <c r="H876" i="12"/>
  <c r="G876" i="12"/>
  <c r="F876" i="12"/>
  <c r="E876" i="12"/>
  <c r="D876" i="12"/>
  <c r="C876" i="12"/>
  <c r="B876" i="12"/>
  <c r="A876" i="12"/>
  <c r="P875" i="12"/>
  <c r="O875" i="12"/>
  <c r="N875" i="12"/>
  <c r="M875" i="12"/>
  <c r="L875" i="12"/>
  <c r="K875" i="12"/>
  <c r="J875" i="12"/>
  <c r="I875" i="12"/>
  <c r="H875" i="12"/>
  <c r="G875" i="12"/>
  <c r="F875" i="12"/>
  <c r="E875" i="12"/>
  <c r="D875" i="12"/>
  <c r="C875" i="12"/>
  <c r="B875" i="12"/>
  <c r="A875" i="12"/>
  <c r="P874" i="12"/>
  <c r="O874" i="12"/>
  <c r="N874" i="12"/>
  <c r="M874" i="12"/>
  <c r="L874" i="12"/>
  <c r="K874" i="12"/>
  <c r="J874" i="12"/>
  <c r="I874" i="12"/>
  <c r="H874" i="12"/>
  <c r="G874" i="12"/>
  <c r="F874" i="12"/>
  <c r="E874" i="12"/>
  <c r="D874" i="12"/>
  <c r="C874" i="12"/>
  <c r="B874" i="12"/>
  <c r="A874" i="12"/>
  <c r="P873" i="12"/>
  <c r="O873" i="12"/>
  <c r="N873" i="12"/>
  <c r="M873" i="12"/>
  <c r="L873" i="12"/>
  <c r="K873" i="12"/>
  <c r="J873" i="12"/>
  <c r="I873" i="12"/>
  <c r="H873" i="12"/>
  <c r="G873" i="12"/>
  <c r="F873" i="12"/>
  <c r="E873" i="12"/>
  <c r="D873" i="12"/>
  <c r="C873" i="12"/>
  <c r="B873" i="12"/>
  <c r="A873" i="12"/>
  <c r="P872" i="12"/>
  <c r="O872" i="12"/>
  <c r="N872" i="12"/>
  <c r="M872" i="12"/>
  <c r="L872" i="12"/>
  <c r="K872" i="12"/>
  <c r="J872" i="12"/>
  <c r="I872" i="12"/>
  <c r="H872" i="12"/>
  <c r="G872" i="12"/>
  <c r="F872" i="12"/>
  <c r="E872" i="12"/>
  <c r="D872" i="12"/>
  <c r="C872" i="12"/>
  <c r="B872" i="12"/>
  <c r="A872" i="12"/>
  <c r="P871" i="12"/>
  <c r="O871" i="12"/>
  <c r="N871" i="12"/>
  <c r="M871" i="12"/>
  <c r="L871" i="12"/>
  <c r="K871" i="12"/>
  <c r="J871" i="12"/>
  <c r="I871" i="12"/>
  <c r="H871" i="12"/>
  <c r="G871" i="12"/>
  <c r="F871" i="12"/>
  <c r="E871" i="12"/>
  <c r="D871" i="12"/>
  <c r="C871" i="12"/>
  <c r="B871" i="12"/>
  <c r="A871" i="12"/>
  <c r="P870" i="12"/>
  <c r="O870" i="12"/>
  <c r="N870" i="12"/>
  <c r="M870" i="12"/>
  <c r="L870" i="12"/>
  <c r="K870" i="12"/>
  <c r="J870" i="12"/>
  <c r="I870" i="12"/>
  <c r="H870" i="12"/>
  <c r="G870" i="12"/>
  <c r="F870" i="12"/>
  <c r="E870" i="12"/>
  <c r="D870" i="12"/>
  <c r="C870" i="12"/>
  <c r="B870" i="12"/>
  <c r="A870" i="12"/>
  <c r="P869" i="12"/>
  <c r="O869" i="12"/>
  <c r="N869" i="12"/>
  <c r="M869" i="12"/>
  <c r="L869" i="12"/>
  <c r="K869" i="12"/>
  <c r="J869" i="12"/>
  <c r="I869" i="12"/>
  <c r="H869" i="12"/>
  <c r="G869" i="12"/>
  <c r="F869" i="12"/>
  <c r="E869" i="12"/>
  <c r="D869" i="12"/>
  <c r="C869" i="12"/>
  <c r="B869" i="12"/>
  <c r="A869" i="12"/>
  <c r="P868" i="12"/>
  <c r="O868" i="12"/>
  <c r="N868" i="12"/>
  <c r="M868" i="12"/>
  <c r="L868" i="12"/>
  <c r="K868" i="12"/>
  <c r="J868" i="12"/>
  <c r="I868" i="12"/>
  <c r="H868" i="12"/>
  <c r="G868" i="12"/>
  <c r="F868" i="12"/>
  <c r="E868" i="12"/>
  <c r="D868" i="12"/>
  <c r="C868" i="12"/>
  <c r="B868" i="12"/>
  <c r="A868" i="12"/>
  <c r="P867" i="12"/>
  <c r="O867" i="12"/>
  <c r="N867" i="12"/>
  <c r="M867" i="12"/>
  <c r="L867" i="12"/>
  <c r="K867" i="12"/>
  <c r="J867" i="12"/>
  <c r="I867" i="12"/>
  <c r="H867" i="12"/>
  <c r="G867" i="12"/>
  <c r="F867" i="12"/>
  <c r="E867" i="12"/>
  <c r="D867" i="12"/>
  <c r="C867" i="12"/>
  <c r="B867" i="12"/>
  <c r="A867" i="12"/>
  <c r="P866" i="12"/>
  <c r="O866" i="12"/>
  <c r="N866" i="12"/>
  <c r="M866" i="12"/>
  <c r="L866" i="12"/>
  <c r="K866" i="12"/>
  <c r="J866" i="12"/>
  <c r="I866" i="12"/>
  <c r="H866" i="12"/>
  <c r="G866" i="12"/>
  <c r="F866" i="12"/>
  <c r="E866" i="12"/>
  <c r="D866" i="12"/>
  <c r="C866" i="12"/>
  <c r="B866" i="12"/>
  <c r="A866" i="12"/>
  <c r="P865" i="12"/>
  <c r="O865" i="12"/>
  <c r="N865" i="12"/>
  <c r="M865" i="12"/>
  <c r="L865" i="12"/>
  <c r="K865" i="12"/>
  <c r="J865" i="12"/>
  <c r="I865" i="12"/>
  <c r="H865" i="12"/>
  <c r="G865" i="12"/>
  <c r="F865" i="12"/>
  <c r="E865" i="12"/>
  <c r="D865" i="12"/>
  <c r="C865" i="12"/>
  <c r="B865" i="12"/>
  <c r="A865" i="12"/>
  <c r="P864" i="12"/>
  <c r="O864" i="12"/>
  <c r="N864" i="12"/>
  <c r="M864" i="12"/>
  <c r="L864" i="12"/>
  <c r="K864" i="12"/>
  <c r="J864" i="12"/>
  <c r="I864" i="12"/>
  <c r="H864" i="12"/>
  <c r="G864" i="12"/>
  <c r="F864" i="12"/>
  <c r="E864" i="12"/>
  <c r="D864" i="12"/>
  <c r="C864" i="12"/>
  <c r="B864" i="12"/>
  <c r="A864" i="12"/>
  <c r="P863" i="12"/>
  <c r="O863" i="12"/>
  <c r="N863" i="12"/>
  <c r="M863" i="12"/>
  <c r="L863" i="12"/>
  <c r="K863" i="12"/>
  <c r="J863" i="12"/>
  <c r="I863" i="12"/>
  <c r="H863" i="12"/>
  <c r="G863" i="12"/>
  <c r="F863" i="12"/>
  <c r="E863" i="12"/>
  <c r="D863" i="12"/>
  <c r="C863" i="12"/>
  <c r="B863" i="12"/>
  <c r="A863" i="12"/>
  <c r="P862" i="12"/>
  <c r="O862" i="12"/>
  <c r="N862" i="12"/>
  <c r="M862" i="12"/>
  <c r="L862" i="12"/>
  <c r="K862" i="12"/>
  <c r="J862" i="12"/>
  <c r="I862" i="12"/>
  <c r="H862" i="12"/>
  <c r="G862" i="12"/>
  <c r="F862" i="12"/>
  <c r="E862" i="12"/>
  <c r="D862" i="12"/>
  <c r="C862" i="12"/>
  <c r="B862" i="12"/>
  <c r="A862" i="12"/>
  <c r="P861" i="12"/>
  <c r="O861" i="12"/>
  <c r="N861" i="12"/>
  <c r="M861" i="12"/>
  <c r="L861" i="12"/>
  <c r="K861" i="12"/>
  <c r="J861" i="12"/>
  <c r="I861" i="12"/>
  <c r="H861" i="12"/>
  <c r="G861" i="12"/>
  <c r="F861" i="12"/>
  <c r="E861" i="12"/>
  <c r="D861" i="12"/>
  <c r="C861" i="12"/>
  <c r="B861" i="12"/>
  <c r="A861" i="12"/>
  <c r="P860" i="12"/>
  <c r="O860" i="12"/>
  <c r="N860" i="12"/>
  <c r="M860" i="12"/>
  <c r="L860" i="12"/>
  <c r="K860" i="12"/>
  <c r="J860" i="12"/>
  <c r="I860" i="12"/>
  <c r="H860" i="12"/>
  <c r="G860" i="12"/>
  <c r="F860" i="12"/>
  <c r="E860" i="12"/>
  <c r="D860" i="12"/>
  <c r="C860" i="12"/>
  <c r="B860" i="12"/>
  <c r="A860" i="12"/>
  <c r="P859" i="12"/>
  <c r="O859" i="12"/>
  <c r="N859" i="12"/>
  <c r="M859" i="12"/>
  <c r="L859" i="12"/>
  <c r="K859" i="12"/>
  <c r="J859" i="12"/>
  <c r="I859" i="12"/>
  <c r="H859" i="12"/>
  <c r="G859" i="12"/>
  <c r="F859" i="12"/>
  <c r="E859" i="12"/>
  <c r="D859" i="12"/>
  <c r="C859" i="12"/>
  <c r="B859" i="12"/>
  <c r="A859" i="12"/>
  <c r="P858" i="12"/>
  <c r="O858" i="12"/>
  <c r="N858" i="12"/>
  <c r="M858" i="12"/>
  <c r="L858" i="12"/>
  <c r="K858" i="12"/>
  <c r="J858" i="12"/>
  <c r="I858" i="12"/>
  <c r="H858" i="12"/>
  <c r="G858" i="12"/>
  <c r="F858" i="12"/>
  <c r="E858" i="12"/>
  <c r="D858" i="12"/>
  <c r="C858" i="12"/>
  <c r="B858" i="12"/>
  <c r="A858" i="12"/>
  <c r="P857" i="12"/>
  <c r="O857" i="12"/>
  <c r="N857" i="12"/>
  <c r="M857" i="12"/>
  <c r="L857" i="12"/>
  <c r="K857" i="12"/>
  <c r="J857" i="12"/>
  <c r="I857" i="12"/>
  <c r="H857" i="12"/>
  <c r="G857" i="12"/>
  <c r="F857" i="12"/>
  <c r="E857" i="12"/>
  <c r="D857" i="12"/>
  <c r="C857" i="12"/>
  <c r="B857" i="12"/>
  <c r="A857" i="12"/>
  <c r="P856" i="12"/>
  <c r="O856" i="12"/>
  <c r="N856" i="12"/>
  <c r="M856" i="12"/>
  <c r="L856" i="12"/>
  <c r="K856" i="12"/>
  <c r="J856" i="12"/>
  <c r="I856" i="12"/>
  <c r="H856" i="12"/>
  <c r="G856" i="12"/>
  <c r="F856" i="12"/>
  <c r="E856" i="12"/>
  <c r="D856" i="12"/>
  <c r="C856" i="12"/>
  <c r="B856" i="12"/>
  <c r="A856" i="12"/>
  <c r="P855" i="12"/>
  <c r="O855" i="12"/>
  <c r="N855" i="12"/>
  <c r="M855" i="12"/>
  <c r="L855" i="12"/>
  <c r="K855" i="12"/>
  <c r="J855" i="12"/>
  <c r="I855" i="12"/>
  <c r="H855" i="12"/>
  <c r="G855" i="12"/>
  <c r="F855" i="12"/>
  <c r="E855" i="12"/>
  <c r="D855" i="12"/>
  <c r="C855" i="12"/>
  <c r="B855" i="12"/>
  <c r="A855" i="12"/>
  <c r="P854" i="12"/>
  <c r="O854" i="12"/>
  <c r="N854" i="12"/>
  <c r="M854" i="12"/>
  <c r="L854" i="12"/>
  <c r="K854" i="12"/>
  <c r="J854" i="12"/>
  <c r="I854" i="12"/>
  <c r="H854" i="12"/>
  <c r="G854" i="12"/>
  <c r="F854" i="12"/>
  <c r="E854" i="12"/>
  <c r="D854" i="12"/>
  <c r="C854" i="12"/>
  <c r="B854" i="12"/>
  <c r="A854" i="12"/>
  <c r="P853" i="12"/>
  <c r="O853" i="12"/>
  <c r="N853" i="12"/>
  <c r="M853" i="12"/>
  <c r="L853" i="12"/>
  <c r="K853" i="12"/>
  <c r="J853" i="12"/>
  <c r="I853" i="12"/>
  <c r="H853" i="12"/>
  <c r="G853" i="12"/>
  <c r="F853" i="12"/>
  <c r="E853" i="12"/>
  <c r="D853" i="12"/>
  <c r="C853" i="12"/>
  <c r="B853" i="12"/>
  <c r="A853" i="12"/>
  <c r="P852" i="12"/>
  <c r="O852" i="12"/>
  <c r="N852" i="12"/>
  <c r="M852" i="12"/>
  <c r="L852" i="12"/>
  <c r="K852" i="12"/>
  <c r="J852" i="12"/>
  <c r="I852" i="12"/>
  <c r="H852" i="12"/>
  <c r="G852" i="12"/>
  <c r="F852" i="12"/>
  <c r="E852" i="12"/>
  <c r="D852" i="12"/>
  <c r="C852" i="12"/>
  <c r="B852" i="12"/>
  <c r="A852" i="12"/>
  <c r="P851" i="12"/>
  <c r="O851" i="12"/>
  <c r="N851" i="12"/>
  <c r="M851" i="12"/>
  <c r="L851" i="12"/>
  <c r="K851" i="12"/>
  <c r="J851" i="12"/>
  <c r="I851" i="12"/>
  <c r="H851" i="12"/>
  <c r="G851" i="12"/>
  <c r="F851" i="12"/>
  <c r="E851" i="12"/>
  <c r="D851" i="12"/>
  <c r="C851" i="12"/>
  <c r="B851" i="12"/>
  <c r="A851" i="12"/>
  <c r="P850" i="12"/>
  <c r="O850" i="12"/>
  <c r="N850" i="12"/>
  <c r="M850" i="12"/>
  <c r="L850" i="12"/>
  <c r="K850" i="12"/>
  <c r="J850" i="12"/>
  <c r="I850" i="12"/>
  <c r="H850" i="12"/>
  <c r="G850" i="12"/>
  <c r="F850" i="12"/>
  <c r="E850" i="12"/>
  <c r="D850" i="12"/>
  <c r="C850" i="12"/>
  <c r="B850" i="12"/>
  <c r="A850" i="12"/>
  <c r="P849" i="12"/>
  <c r="O849" i="12"/>
  <c r="N849" i="12"/>
  <c r="M849" i="12"/>
  <c r="L849" i="12"/>
  <c r="K849" i="12"/>
  <c r="J849" i="12"/>
  <c r="I849" i="12"/>
  <c r="H849" i="12"/>
  <c r="G849" i="12"/>
  <c r="F849" i="12"/>
  <c r="E849" i="12"/>
  <c r="D849" i="12"/>
  <c r="C849" i="12"/>
  <c r="B849" i="12"/>
  <c r="A849" i="12"/>
  <c r="P848" i="12"/>
  <c r="O848" i="12"/>
  <c r="N848" i="12"/>
  <c r="M848" i="12"/>
  <c r="L848" i="12"/>
  <c r="K848" i="12"/>
  <c r="J848" i="12"/>
  <c r="I848" i="12"/>
  <c r="H848" i="12"/>
  <c r="G848" i="12"/>
  <c r="F848" i="12"/>
  <c r="E848" i="12"/>
  <c r="D848" i="12"/>
  <c r="C848" i="12"/>
  <c r="B848" i="12"/>
  <c r="A848" i="12"/>
  <c r="P847" i="12"/>
  <c r="O847" i="12"/>
  <c r="N847" i="12"/>
  <c r="M847" i="12"/>
  <c r="L847" i="12"/>
  <c r="K847" i="12"/>
  <c r="J847" i="12"/>
  <c r="I847" i="12"/>
  <c r="H847" i="12"/>
  <c r="G847" i="12"/>
  <c r="F847" i="12"/>
  <c r="E847" i="12"/>
  <c r="D847" i="12"/>
  <c r="C847" i="12"/>
  <c r="B847" i="12"/>
  <c r="A847" i="12"/>
  <c r="P846" i="12"/>
  <c r="O846" i="12"/>
  <c r="N846" i="12"/>
  <c r="M846" i="12"/>
  <c r="L846" i="12"/>
  <c r="K846" i="12"/>
  <c r="J846" i="12"/>
  <c r="I846" i="12"/>
  <c r="H846" i="12"/>
  <c r="G846" i="12"/>
  <c r="F846" i="12"/>
  <c r="E846" i="12"/>
  <c r="D846" i="12"/>
  <c r="C846" i="12"/>
  <c r="B846" i="12"/>
  <c r="A846" i="12"/>
  <c r="P845" i="12"/>
  <c r="O845" i="12"/>
  <c r="N845" i="12"/>
  <c r="M845" i="12"/>
  <c r="L845" i="12"/>
  <c r="K845" i="12"/>
  <c r="J845" i="12"/>
  <c r="I845" i="12"/>
  <c r="H845" i="12"/>
  <c r="G845" i="12"/>
  <c r="F845" i="12"/>
  <c r="E845" i="12"/>
  <c r="D845" i="12"/>
  <c r="C845" i="12"/>
  <c r="B845" i="12"/>
  <c r="A845" i="12"/>
  <c r="P844" i="12"/>
  <c r="O844" i="12"/>
  <c r="N844" i="12"/>
  <c r="M844" i="12"/>
  <c r="L844" i="12"/>
  <c r="K844" i="12"/>
  <c r="J844" i="12"/>
  <c r="I844" i="12"/>
  <c r="H844" i="12"/>
  <c r="G844" i="12"/>
  <c r="F844" i="12"/>
  <c r="E844" i="12"/>
  <c r="D844" i="12"/>
  <c r="C844" i="12"/>
  <c r="B844" i="12"/>
  <c r="A844" i="12"/>
  <c r="P843" i="12"/>
  <c r="O843" i="12"/>
  <c r="N843" i="12"/>
  <c r="M843" i="12"/>
  <c r="L843" i="12"/>
  <c r="K843" i="12"/>
  <c r="J843" i="12"/>
  <c r="I843" i="12"/>
  <c r="H843" i="12"/>
  <c r="G843" i="12"/>
  <c r="F843" i="12"/>
  <c r="E843" i="12"/>
  <c r="D843" i="12"/>
  <c r="C843" i="12"/>
  <c r="B843" i="12"/>
  <c r="A843" i="12"/>
  <c r="P842" i="12"/>
  <c r="O842" i="12"/>
  <c r="N842" i="12"/>
  <c r="M842" i="12"/>
  <c r="L842" i="12"/>
  <c r="K842" i="12"/>
  <c r="J842" i="12"/>
  <c r="I842" i="12"/>
  <c r="H842" i="12"/>
  <c r="G842" i="12"/>
  <c r="F842" i="12"/>
  <c r="E842" i="12"/>
  <c r="D842" i="12"/>
  <c r="C842" i="12"/>
  <c r="B842" i="12"/>
  <c r="A842" i="12"/>
  <c r="P841" i="12"/>
  <c r="O841" i="12"/>
  <c r="N841" i="12"/>
  <c r="M841" i="12"/>
  <c r="L841" i="12"/>
  <c r="K841" i="12"/>
  <c r="J841" i="12"/>
  <c r="I841" i="12"/>
  <c r="H841" i="12"/>
  <c r="G841" i="12"/>
  <c r="F841" i="12"/>
  <c r="E841" i="12"/>
  <c r="D841" i="12"/>
  <c r="C841" i="12"/>
  <c r="B841" i="12"/>
  <c r="A841" i="12"/>
  <c r="P840" i="12"/>
  <c r="O840" i="12"/>
  <c r="N840" i="12"/>
  <c r="M840" i="12"/>
  <c r="L840" i="12"/>
  <c r="K840" i="12"/>
  <c r="J840" i="12"/>
  <c r="I840" i="12"/>
  <c r="H840" i="12"/>
  <c r="G840" i="12"/>
  <c r="F840" i="12"/>
  <c r="E840" i="12"/>
  <c r="D840" i="12"/>
  <c r="C840" i="12"/>
  <c r="B840" i="12"/>
  <c r="A840" i="12"/>
  <c r="P839" i="12"/>
  <c r="O839" i="12"/>
  <c r="N839" i="12"/>
  <c r="M839" i="12"/>
  <c r="L839" i="12"/>
  <c r="K839" i="12"/>
  <c r="J839" i="12"/>
  <c r="I839" i="12"/>
  <c r="H839" i="12"/>
  <c r="G839" i="12"/>
  <c r="F839" i="12"/>
  <c r="E839" i="12"/>
  <c r="D839" i="12"/>
  <c r="C839" i="12"/>
  <c r="B839" i="12"/>
  <c r="A839" i="12"/>
  <c r="P838" i="12"/>
  <c r="O838" i="12"/>
  <c r="N838" i="12"/>
  <c r="M838" i="12"/>
  <c r="L838" i="12"/>
  <c r="K838" i="12"/>
  <c r="J838" i="12"/>
  <c r="I838" i="12"/>
  <c r="H838" i="12"/>
  <c r="G838" i="12"/>
  <c r="F838" i="12"/>
  <c r="E838" i="12"/>
  <c r="D838" i="12"/>
  <c r="C838" i="12"/>
  <c r="B838" i="12"/>
  <c r="A838" i="12"/>
  <c r="P837" i="12"/>
  <c r="O837" i="12"/>
  <c r="N837" i="12"/>
  <c r="M837" i="12"/>
  <c r="L837" i="12"/>
  <c r="K837" i="12"/>
  <c r="J837" i="12"/>
  <c r="I837" i="12"/>
  <c r="H837" i="12"/>
  <c r="G837" i="12"/>
  <c r="F837" i="12"/>
  <c r="E837" i="12"/>
  <c r="D837" i="12"/>
  <c r="C837" i="12"/>
  <c r="B837" i="12"/>
  <c r="A837" i="12"/>
  <c r="P836" i="12"/>
  <c r="O836" i="12"/>
  <c r="N836" i="12"/>
  <c r="M836" i="12"/>
  <c r="L836" i="12"/>
  <c r="K836" i="12"/>
  <c r="J836" i="12"/>
  <c r="I836" i="12"/>
  <c r="H836" i="12"/>
  <c r="G836" i="12"/>
  <c r="F836" i="12"/>
  <c r="E836" i="12"/>
  <c r="D836" i="12"/>
  <c r="C836" i="12"/>
  <c r="B836" i="12"/>
  <c r="A836" i="12"/>
  <c r="P835" i="12"/>
  <c r="O835" i="12"/>
  <c r="N835" i="12"/>
  <c r="M835" i="12"/>
  <c r="L835" i="12"/>
  <c r="K835" i="12"/>
  <c r="J835" i="12"/>
  <c r="I835" i="12"/>
  <c r="H835" i="12"/>
  <c r="G835" i="12"/>
  <c r="F835" i="12"/>
  <c r="E835" i="12"/>
  <c r="D835" i="12"/>
  <c r="C835" i="12"/>
  <c r="B835" i="12"/>
  <c r="A835" i="12"/>
  <c r="P834" i="12"/>
  <c r="O834" i="12"/>
  <c r="N834" i="12"/>
  <c r="M834" i="12"/>
  <c r="L834" i="12"/>
  <c r="K834" i="12"/>
  <c r="J834" i="12"/>
  <c r="I834" i="12"/>
  <c r="H834" i="12"/>
  <c r="G834" i="12"/>
  <c r="F834" i="12"/>
  <c r="E834" i="12"/>
  <c r="D834" i="12"/>
  <c r="C834" i="12"/>
  <c r="B834" i="12"/>
  <c r="A834" i="12"/>
  <c r="P833" i="12"/>
  <c r="O833" i="12"/>
  <c r="N833" i="12"/>
  <c r="M833" i="12"/>
  <c r="L833" i="12"/>
  <c r="K833" i="12"/>
  <c r="J833" i="12"/>
  <c r="I833" i="12"/>
  <c r="H833" i="12"/>
  <c r="G833" i="12"/>
  <c r="F833" i="12"/>
  <c r="E833" i="12"/>
  <c r="D833" i="12"/>
  <c r="C833" i="12"/>
  <c r="B833" i="12"/>
  <c r="A833" i="12"/>
  <c r="P832" i="12"/>
  <c r="O832" i="12"/>
  <c r="N832" i="12"/>
  <c r="M832" i="12"/>
  <c r="L832" i="12"/>
  <c r="K832" i="12"/>
  <c r="J832" i="12"/>
  <c r="I832" i="12"/>
  <c r="H832" i="12"/>
  <c r="G832" i="12"/>
  <c r="F832" i="12"/>
  <c r="E832" i="12"/>
  <c r="D832" i="12"/>
  <c r="C832" i="12"/>
  <c r="B832" i="12"/>
  <c r="A832" i="12"/>
  <c r="P831" i="12"/>
  <c r="O831" i="12"/>
  <c r="N831" i="12"/>
  <c r="M831" i="12"/>
  <c r="L831" i="12"/>
  <c r="K831" i="12"/>
  <c r="J831" i="12"/>
  <c r="I831" i="12"/>
  <c r="H831" i="12"/>
  <c r="G831" i="12"/>
  <c r="F831" i="12"/>
  <c r="E831" i="12"/>
  <c r="D831" i="12"/>
  <c r="C831" i="12"/>
  <c r="B831" i="12"/>
  <c r="A831" i="12"/>
  <c r="P830" i="12"/>
  <c r="O830" i="12"/>
  <c r="N830" i="12"/>
  <c r="M830" i="12"/>
  <c r="L830" i="12"/>
  <c r="K830" i="12"/>
  <c r="J830" i="12"/>
  <c r="I830" i="12"/>
  <c r="H830" i="12"/>
  <c r="G830" i="12"/>
  <c r="F830" i="12"/>
  <c r="E830" i="12"/>
  <c r="D830" i="12"/>
  <c r="C830" i="12"/>
  <c r="B830" i="12"/>
  <c r="A830" i="12"/>
  <c r="P829" i="12"/>
  <c r="O829" i="12"/>
  <c r="N829" i="12"/>
  <c r="M829" i="12"/>
  <c r="L829" i="12"/>
  <c r="K829" i="12"/>
  <c r="J829" i="12"/>
  <c r="I829" i="12"/>
  <c r="H829" i="12"/>
  <c r="G829" i="12"/>
  <c r="F829" i="12"/>
  <c r="E829" i="12"/>
  <c r="D829" i="12"/>
  <c r="C829" i="12"/>
  <c r="B829" i="12"/>
  <c r="A829" i="12"/>
  <c r="P828" i="12"/>
  <c r="O828" i="12"/>
  <c r="N828" i="12"/>
  <c r="M828" i="12"/>
  <c r="L828" i="12"/>
  <c r="K828" i="12"/>
  <c r="J828" i="12"/>
  <c r="I828" i="12"/>
  <c r="H828" i="12"/>
  <c r="G828" i="12"/>
  <c r="F828" i="12"/>
  <c r="E828" i="12"/>
  <c r="D828" i="12"/>
  <c r="C828" i="12"/>
  <c r="B828" i="12"/>
  <c r="A828" i="12"/>
  <c r="P827" i="12"/>
  <c r="O827" i="12"/>
  <c r="N827" i="12"/>
  <c r="M827" i="12"/>
  <c r="L827" i="12"/>
  <c r="K827" i="12"/>
  <c r="J827" i="12"/>
  <c r="I827" i="12"/>
  <c r="H827" i="12"/>
  <c r="G827" i="12"/>
  <c r="F827" i="12"/>
  <c r="E827" i="12"/>
  <c r="D827" i="12"/>
  <c r="C827" i="12"/>
  <c r="B827" i="12"/>
  <c r="A827" i="12"/>
  <c r="P826" i="12"/>
  <c r="O826" i="12"/>
  <c r="N826" i="12"/>
  <c r="M826" i="12"/>
  <c r="L826" i="12"/>
  <c r="K826" i="12"/>
  <c r="J826" i="12"/>
  <c r="I826" i="12"/>
  <c r="H826" i="12"/>
  <c r="G826" i="12"/>
  <c r="F826" i="12"/>
  <c r="E826" i="12"/>
  <c r="D826" i="12"/>
  <c r="C826" i="12"/>
  <c r="B826" i="12"/>
  <c r="A826" i="12"/>
  <c r="P825" i="12"/>
  <c r="O825" i="12"/>
  <c r="N825" i="12"/>
  <c r="M825" i="12"/>
  <c r="L825" i="12"/>
  <c r="K825" i="12"/>
  <c r="J825" i="12"/>
  <c r="I825" i="12"/>
  <c r="H825" i="12"/>
  <c r="G825" i="12"/>
  <c r="F825" i="12"/>
  <c r="E825" i="12"/>
  <c r="D825" i="12"/>
  <c r="C825" i="12"/>
  <c r="B825" i="12"/>
  <c r="A825" i="12"/>
  <c r="P824" i="12"/>
  <c r="O824" i="12"/>
  <c r="N824" i="12"/>
  <c r="M824" i="12"/>
  <c r="L824" i="12"/>
  <c r="K824" i="12"/>
  <c r="J824" i="12"/>
  <c r="I824" i="12"/>
  <c r="H824" i="12"/>
  <c r="G824" i="12"/>
  <c r="F824" i="12"/>
  <c r="E824" i="12"/>
  <c r="D824" i="12"/>
  <c r="C824" i="12"/>
  <c r="B824" i="12"/>
  <c r="A824" i="12"/>
  <c r="P823" i="12"/>
  <c r="O823" i="12"/>
  <c r="N823" i="12"/>
  <c r="M823" i="12"/>
  <c r="L823" i="12"/>
  <c r="K823" i="12"/>
  <c r="J823" i="12"/>
  <c r="I823" i="12"/>
  <c r="H823" i="12"/>
  <c r="G823" i="12"/>
  <c r="F823" i="12"/>
  <c r="E823" i="12"/>
  <c r="D823" i="12"/>
  <c r="C823" i="12"/>
  <c r="B823" i="12"/>
  <c r="A823" i="12"/>
  <c r="P822" i="12"/>
  <c r="O822" i="12"/>
  <c r="N822" i="12"/>
  <c r="M822" i="12"/>
  <c r="L822" i="12"/>
  <c r="K822" i="12"/>
  <c r="J822" i="12"/>
  <c r="I822" i="12"/>
  <c r="H822" i="12"/>
  <c r="G822" i="12"/>
  <c r="F822" i="12"/>
  <c r="E822" i="12"/>
  <c r="D822" i="12"/>
  <c r="C822" i="12"/>
  <c r="B822" i="12"/>
  <c r="A822" i="12"/>
  <c r="P821" i="12"/>
  <c r="O821" i="12"/>
  <c r="N821" i="12"/>
  <c r="M821" i="12"/>
  <c r="L821" i="12"/>
  <c r="K821" i="12"/>
  <c r="J821" i="12"/>
  <c r="I821" i="12"/>
  <c r="H821" i="12"/>
  <c r="G821" i="12"/>
  <c r="F821" i="12"/>
  <c r="E821" i="12"/>
  <c r="D821" i="12"/>
  <c r="C821" i="12"/>
  <c r="B821" i="12"/>
  <c r="A821" i="12"/>
  <c r="P820" i="12"/>
  <c r="O820" i="12"/>
  <c r="N820" i="12"/>
  <c r="M820" i="12"/>
  <c r="L820" i="12"/>
  <c r="K820" i="12"/>
  <c r="J820" i="12"/>
  <c r="I820" i="12"/>
  <c r="H820" i="12"/>
  <c r="G820" i="12"/>
  <c r="F820" i="12"/>
  <c r="E820" i="12"/>
  <c r="D820" i="12"/>
  <c r="C820" i="12"/>
  <c r="B820" i="12"/>
  <c r="A820" i="12"/>
  <c r="P819" i="12"/>
  <c r="O819" i="12"/>
  <c r="N819" i="12"/>
  <c r="M819" i="12"/>
  <c r="L819" i="12"/>
  <c r="K819" i="12"/>
  <c r="J819" i="12"/>
  <c r="I819" i="12"/>
  <c r="H819" i="12"/>
  <c r="G819" i="12"/>
  <c r="F819" i="12"/>
  <c r="E819" i="12"/>
  <c r="D819" i="12"/>
  <c r="C819" i="12"/>
  <c r="B819" i="12"/>
  <c r="A819" i="12"/>
  <c r="P818" i="12"/>
  <c r="O818" i="12"/>
  <c r="N818" i="12"/>
  <c r="M818" i="12"/>
  <c r="L818" i="12"/>
  <c r="K818" i="12"/>
  <c r="J818" i="12"/>
  <c r="I818" i="12"/>
  <c r="H818" i="12"/>
  <c r="G818" i="12"/>
  <c r="F818" i="12"/>
  <c r="E818" i="12"/>
  <c r="D818" i="12"/>
  <c r="C818" i="12"/>
  <c r="B818" i="12"/>
  <c r="A818" i="12"/>
  <c r="P817" i="12"/>
  <c r="O817" i="12"/>
  <c r="N817" i="12"/>
  <c r="M817" i="12"/>
  <c r="L817" i="12"/>
  <c r="K817" i="12"/>
  <c r="J817" i="12"/>
  <c r="I817" i="12"/>
  <c r="H817" i="12"/>
  <c r="G817" i="12"/>
  <c r="F817" i="12"/>
  <c r="E817" i="12"/>
  <c r="D817" i="12"/>
  <c r="C817" i="12"/>
  <c r="B817" i="12"/>
  <c r="A817" i="12"/>
  <c r="P816" i="12"/>
  <c r="O816" i="12"/>
  <c r="N816" i="12"/>
  <c r="M816" i="12"/>
  <c r="L816" i="12"/>
  <c r="K816" i="12"/>
  <c r="J816" i="12"/>
  <c r="I816" i="12"/>
  <c r="H816" i="12"/>
  <c r="G816" i="12"/>
  <c r="F816" i="12"/>
  <c r="E816" i="12"/>
  <c r="D816" i="12"/>
  <c r="C816" i="12"/>
  <c r="B816" i="12"/>
  <c r="A816" i="12"/>
  <c r="P815" i="12"/>
  <c r="O815" i="12"/>
  <c r="N815" i="12"/>
  <c r="M815" i="12"/>
  <c r="L815" i="12"/>
  <c r="K815" i="12"/>
  <c r="J815" i="12"/>
  <c r="I815" i="12"/>
  <c r="H815" i="12"/>
  <c r="G815" i="12"/>
  <c r="F815" i="12"/>
  <c r="E815" i="12"/>
  <c r="D815" i="12"/>
  <c r="C815" i="12"/>
  <c r="B815" i="12"/>
  <c r="A815" i="12"/>
  <c r="P814" i="12"/>
  <c r="O814" i="12"/>
  <c r="N814" i="12"/>
  <c r="M814" i="12"/>
  <c r="L814" i="12"/>
  <c r="K814" i="12"/>
  <c r="J814" i="12"/>
  <c r="I814" i="12"/>
  <c r="H814" i="12"/>
  <c r="G814" i="12"/>
  <c r="F814" i="12"/>
  <c r="E814" i="12"/>
  <c r="D814" i="12"/>
  <c r="C814" i="12"/>
  <c r="B814" i="12"/>
  <c r="A814" i="12"/>
  <c r="P813" i="12"/>
  <c r="O813" i="12"/>
  <c r="N813" i="12"/>
  <c r="M813" i="12"/>
  <c r="L813" i="12"/>
  <c r="K813" i="12"/>
  <c r="J813" i="12"/>
  <c r="I813" i="12"/>
  <c r="H813" i="12"/>
  <c r="G813" i="12"/>
  <c r="F813" i="12"/>
  <c r="E813" i="12"/>
  <c r="D813" i="12"/>
  <c r="C813" i="12"/>
  <c r="B813" i="12"/>
  <c r="A813" i="12"/>
  <c r="P812" i="12"/>
  <c r="O812" i="12"/>
  <c r="N812" i="12"/>
  <c r="M812" i="12"/>
  <c r="L812" i="12"/>
  <c r="K812" i="12"/>
  <c r="J812" i="12"/>
  <c r="I812" i="12"/>
  <c r="H812" i="12"/>
  <c r="G812" i="12"/>
  <c r="F812" i="12"/>
  <c r="E812" i="12"/>
  <c r="D812" i="12"/>
  <c r="C812" i="12"/>
  <c r="B812" i="12"/>
  <c r="A812" i="12"/>
  <c r="P811" i="12"/>
  <c r="O811" i="12"/>
  <c r="N811" i="12"/>
  <c r="M811" i="12"/>
  <c r="L811" i="12"/>
  <c r="K811" i="12"/>
  <c r="J811" i="12"/>
  <c r="I811" i="12"/>
  <c r="H811" i="12"/>
  <c r="G811" i="12"/>
  <c r="F811" i="12"/>
  <c r="E811" i="12"/>
  <c r="D811" i="12"/>
  <c r="C811" i="12"/>
  <c r="B811" i="12"/>
  <c r="A811" i="12"/>
  <c r="P810" i="12"/>
  <c r="O810" i="12"/>
  <c r="N810" i="12"/>
  <c r="M810" i="12"/>
  <c r="L810" i="12"/>
  <c r="K810" i="12"/>
  <c r="J810" i="12"/>
  <c r="I810" i="12"/>
  <c r="H810" i="12"/>
  <c r="G810" i="12"/>
  <c r="F810" i="12"/>
  <c r="E810" i="12"/>
  <c r="D810" i="12"/>
  <c r="C810" i="12"/>
  <c r="B810" i="12"/>
  <c r="A810" i="12"/>
  <c r="P809" i="12"/>
  <c r="O809" i="12"/>
  <c r="N809" i="12"/>
  <c r="M809" i="12"/>
  <c r="L809" i="12"/>
  <c r="K809" i="12"/>
  <c r="J809" i="12"/>
  <c r="I809" i="12"/>
  <c r="H809" i="12"/>
  <c r="G809" i="12"/>
  <c r="F809" i="12"/>
  <c r="E809" i="12"/>
  <c r="D809" i="12"/>
  <c r="C809" i="12"/>
  <c r="B809" i="12"/>
  <c r="A809" i="12"/>
  <c r="P808" i="12"/>
  <c r="O808" i="12"/>
  <c r="N808" i="12"/>
  <c r="M808" i="12"/>
  <c r="L808" i="12"/>
  <c r="K808" i="12"/>
  <c r="J808" i="12"/>
  <c r="I808" i="12"/>
  <c r="H808" i="12"/>
  <c r="G808" i="12"/>
  <c r="F808" i="12"/>
  <c r="E808" i="12"/>
  <c r="D808" i="12"/>
  <c r="C808" i="12"/>
  <c r="B808" i="12"/>
  <c r="A808" i="12"/>
  <c r="P807" i="12"/>
  <c r="O807" i="12"/>
  <c r="N807" i="12"/>
  <c r="M807" i="12"/>
  <c r="L807" i="12"/>
  <c r="K807" i="12"/>
  <c r="J807" i="12"/>
  <c r="I807" i="12"/>
  <c r="H807" i="12"/>
  <c r="G807" i="12"/>
  <c r="F807" i="12"/>
  <c r="E807" i="12"/>
  <c r="D807" i="12"/>
  <c r="C807" i="12"/>
  <c r="B807" i="12"/>
  <c r="A807" i="12"/>
  <c r="P806" i="12"/>
  <c r="O806" i="12"/>
  <c r="N806" i="12"/>
  <c r="M806" i="12"/>
  <c r="L806" i="12"/>
  <c r="K806" i="12"/>
  <c r="J806" i="12"/>
  <c r="I806" i="12"/>
  <c r="H806" i="12"/>
  <c r="G806" i="12"/>
  <c r="F806" i="12"/>
  <c r="E806" i="12"/>
  <c r="D806" i="12"/>
  <c r="C806" i="12"/>
  <c r="B806" i="12"/>
  <c r="A806" i="12"/>
  <c r="P805" i="12"/>
  <c r="O805" i="12"/>
  <c r="N805" i="12"/>
  <c r="M805" i="12"/>
  <c r="L805" i="12"/>
  <c r="K805" i="12"/>
  <c r="J805" i="12"/>
  <c r="I805" i="12"/>
  <c r="H805" i="12"/>
  <c r="G805" i="12"/>
  <c r="F805" i="12"/>
  <c r="E805" i="12"/>
  <c r="D805" i="12"/>
  <c r="C805" i="12"/>
  <c r="B805" i="12"/>
  <c r="A805" i="12"/>
  <c r="P804" i="12"/>
  <c r="O804" i="12"/>
  <c r="N804" i="12"/>
  <c r="M804" i="12"/>
  <c r="L804" i="12"/>
  <c r="K804" i="12"/>
  <c r="J804" i="12"/>
  <c r="I804" i="12"/>
  <c r="H804" i="12"/>
  <c r="G804" i="12"/>
  <c r="F804" i="12"/>
  <c r="E804" i="12"/>
  <c r="D804" i="12"/>
  <c r="C804" i="12"/>
  <c r="B804" i="12"/>
  <c r="A804" i="12"/>
  <c r="P803" i="12"/>
  <c r="O803" i="12"/>
  <c r="N803" i="12"/>
  <c r="M803" i="12"/>
  <c r="L803" i="12"/>
  <c r="K803" i="12"/>
  <c r="J803" i="12"/>
  <c r="I803" i="12"/>
  <c r="H803" i="12"/>
  <c r="G803" i="12"/>
  <c r="F803" i="12"/>
  <c r="E803" i="12"/>
  <c r="D803" i="12"/>
  <c r="C803" i="12"/>
  <c r="B803" i="12"/>
  <c r="A803" i="12"/>
  <c r="P802" i="12"/>
  <c r="O802" i="12"/>
  <c r="N802" i="12"/>
  <c r="M802" i="12"/>
  <c r="L802" i="12"/>
  <c r="K802" i="12"/>
  <c r="J802" i="12"/>
  <c r="I802" i="12"/>
  <c r="H802" i="12"/>
  <c r="G802" i="12"/>
  <c r="F802" i="12"/>
  <c r="E802" i="12"/>
  <c r="D802" i="12"/>
  <c r="C802" i="12"/>
  <c r="B802" i="12"/>
  <c r="A802" i="12"/>
  <c r="P801" i="12"/>
  <c r="O801" i="12"/>
  <c r="N801" i="12"/>
  <c r="M801" i="12"/>
  <c r="L801" i="12"/>
  <c r="K801" i="12"/>
  <c r="J801" i="12"/>
  <c r="I801" i="12"/>
  <c r="H801" i="12"/>
  <c r="G801" i="12"/>
  <c r="F801" i="12"/>
  <c r="E801" i="12"/>
  <c r="D801" i="12"/>
  <c r="C801" i="12"/>
  <c r="B801" i="12"/>
  <c r="A801" i="12"/>
  <c r="P800" i="12"/>
  <c r="O800" i="12"/>
  <c r="N800" i="12"/>
  <c r="M800" i="12"/>
  <c r="L800" i="12"/>
  <c r="K800" i="12"/>
  <c r="J800" i="12"/>
  <c r="I800" i="12"/>
  <c r="H800" i="12"/>
  <c r="G800" i="12"/>
  <c r="F800" i="12"/>
  <c r="E800" i="12"/>
  <c r="D800" i="12"/>
  <c r="C800" i="12"/>
  <c r="B800" i="12"/>
  <c r="A800" i="12"/>
  <c r="P799" i="12"/>
  <c r="O799" i="12"/>
  <c r="N799" i="12"/>
  <c r="M799" i="12"/>
  <c r="L799" i="12"/>
  <c r="K799" i="12"/>
  <c r="J799" i="12"/>
  <c r="I799" i="12"/>
  <c r="H799" i="12"/>
  <c r="G799" i="12"/>
  <c r="F799" i="12"/>
  <c r="E799" i="12"/>
  <c r="D799" i="12"/>
  <c r="C799" i="12"/>
  <c r="B799" i="12"/>
  <c r="A799" i="12"/>
  <c r="P798" i="12"/>
  <c r="O798" i="12"/>
  <c r="N798" i="12"/>
  <c r="M798" i="12"/>
  <c r="L798" i="12"/>
  <c r="K798" i="12"/>
  <c r="J798" i="12"/>
  <c r="I798" i="12"/>
  <c r="H798" i="12"/>
  <c r="G798" i="12"/>
  <c r="F798" i="12"/>
  <c r="E798" i="12"/>
  <c r="D798" i="12"/>
  <c r="C798" i="12"/>
  <c r="B798" i="12"/>
  <c r="A798" i="12"/>
  <c r="P797" i="12"/>
  <c r="O797" i="12"/>
  <c r="N797" i="12"/>
  <c r="M797" i="12"/>
  <c r="L797" i="12"/>
  <c r="K797" i="12"/>
  <c r="J797" i="12"/>
  <c r="I797" i="12"/>
  <c r="H797" i="12"/>
  <c r="G797" i="12"/>
  <c r="F797" i="12"/>
  <c r="E797" i="12"/>
  <c r="D797" i="12"/>
  <c r="C797" i="12"/>
  <c r="B797" i="12"/>
  <c r="A797" i="12"/>
  <c r="P796" i="12"/>
  <c r="O796" i="12"/>
  <c r="N796" i="12"/>
  <c r="M796" i="12"/>
  <c r="L796" i="12"/>
  <c r="K796" i="12"/>
  <c r="J796" i="12"/>
  <c r="I796" i="12"/>
  <c r="H796" i="12"/>
  <c r="G796" i="12"/>
  <c r="F796" i="12"/>
  <c r="E796" i="12"/>
  <c r="D796" i="12"/>
  <c r="C796" i="12"/>
  <c r="B796" i="12"/>
  <c r="A796" i="12"/>
  <c r="P795" i="12"/>
  <c r="O795" i="12"/>
  <c r="N795" i="12"/>
  <c r="M795" i="12"/>
  <c r="L795" i="12"/>
  <c r="K795" i="12"/>
  <c r="J795" i="12"/>
  <c r="I795" i="12"/>
  <c r="H795" i="12"/>
  <c r="G795" i="12"/>
  <c r="F795" i="12"/>
  <c r="E795" i="12"/>
  <c r="D795" i="12"/>
  <c r="C795" i="12"/>
  <c r="B795" i="12"/>
  <c r="A795" i="12"/>
  <c r="P794" i="12"/>
  <c r="O794" i="12"/>
  <c r="N794" i="12"/>
  <c r="M794" i="12"/>
  <c r="L794" i="12"/>
  <c r="K794" i="12"/>
  <c r="J794" i="12"/>
  <c r="I794" i="12"/>
  <c r="H794" i="12"/>
  <c r="G794" i="12"/>
  <c r="F794" i="12"/>
  <c r="E794" i="12"/>
  <c r="D794" i="12"/>
  <c r="C794" i="12"/>
  <c r="B794" i="12"/>
  <c r="A794" i="12"/>
  <c r="P793" i="12"/>
  <c r="O793" i="12"/>
  <c r="N793" i="12"/>
  <c r="M793" i="12"/>
  <c r="L793" i="12"/>
  <c r="K793" i="12"/>
  <c r="J793" i="12"/>
  <c r="I793" i="12"/>
  <c r="H793" i="12"/>
  <c r="G793" i="12"/>
  <c r="F793" i="12"/>
  <c r="E793" i="12"/>
  <c r="D793" i="12"/>
  <c r="C793" i="12"/>
  <c r="B793" i="12"/>
  <c r="A793" i="12"/>
  <c r="P792" i="12"/>
  <c r="O792" i="12"/>
  <c r="N792" i="12"/>
  <c r="M792" i="12"/>
  <c r="L792" i="12"/>
  <c r="K792" i="12"/>
  <c r="J792" i="12"/>
  <c r="I792" i="12"/>
  <c r="H792" i="12"/>
  <c r="G792" i="12"/>
  <c r="F792" i="12"/>
  <c r="E792" i="12"/>
  <c r="D792" i="12"/>
  <c r="C792" i="12"/>
  <c r="B792" i="12"/>
  <c r="A792" i="12"/>
  <c r="P791" i="12"/>
  <c r="O791" i="12"/>
  <c r="N791" i="12"/>
  <c r="M791" i="12"/>
  <c r="L791" i="12"/>
  <c r="K791" i="12"/>
  <c r="J791" i="12"/>
  <c r="I791" i="12"/>
  <c r="H791" i="12"/>
  <c r="G791" i="12"/>
  <c r="F791" i="12"/>
  <c r="E791" i="12"/>
  <c r="D791" i="12"/>
  <c r="C791" i="12"/>
  <c r="B791" i="12"/>
  <c r="A791" i="12"/>
  <c r="P790" i="12"/>
  <c r="O790" i="12"/>
  <c r="N790" i="12"/>
  <c r="M790" i="12"/>
  <c r="L790" i="12"/>
  <c r="K790" i="12"/>
  <c r="J790" i="12"/>
  <c r="I790" i="12"/>
  <c r="H790" i="12"/>
  <c r="G790" i="12"/>
  <c r="F790" i="12"/>
  <c r="E790" i="12"/>
  <c r="D790" i="12"/>
  <c r="C790" i="12"/>
  <c r="B790" i="12"/>
  <c r="A790" i="12"/>
  <c r="P789" i="12"/>
  <c r="O789" i="12"/>
  <c r="N789" i="12"/>
  <c r="M789" i="12"/>
  <c r="L789" i="12"/>
  <c r="K789" i="12"/>
  <c r="J789" i="12"/>
  <c r="I789" i="12"/>
  <c r="H789" i="12"/>
  <c r="G789" i="12"/>
  <c r="F789" i="12"/>
  <c r="E789" i="12"/>
  <c r="D789" i="12"/>
  <c r="C789" i="12"/>
  <c r="B789" i="12"/>
  <c r="A789" i="12"/>
  <c r="P788" i="12"/>
  <c r="O788" i="12"/>
  <c r="N788" i="12"/>
  <c r="M788" i="12"/>
  <c r="L788" i="12"/>
  <c r="K788" i="12"/>
  <c r="J788" i="12"/>
  <c r="I788" i="12"/>
  <c r="H788" i="12"/>
  <c r="G788" i="12"/>
  <c r="F788" i="12"/>
  <c r="E788" i="12"/>
  <c r="D788" i="12"/>
  <c r="C788" i="12"/>
  <c r="B788" i="12"/>
  <c r="A788" i="12"/>
  <c r="P787" i="12"/>
  <c r="O787" i="12"/>
  <c r="N787" i="12"/>
  <c r="M787" i="12"/>
  <c r="L787" i="12"/>
  <c r="K787" i="12"/>
  <c r="J787" i="12"/>
  <c r="I787" i="12"/>
  <c r="H787" i="12"/>
  <c r="G787" i="12"/>
  <c r="F787" i="12"/>
  <c r="E787" i="12"/>
  <c r="D787" i="12"/>
  <c r="C787" i="12"/>
  <c r="B787" i="12"/>
  <c r="A787" i="12"/>
  <c r="P786" i="12"/>
  <c r="O786" i="12"/>
  <c r="N786" i="12"/>
  <c r="M786" i="12"/>
  <c r="L786" i="12"/>
  <c r="K786" i="12"/>
  <c r="J786" i="12"/>
  <c r="I786" i="12"/>
  <c r="H786" i="12"/>
  <c r="G786" i="12"/>
  <c r="F786" i="12"/>
  <c r="E786" i="12"/>
  <c r="D786" i="12"/>
  <c r="C786" i="12"/>
  <c r="B786" i="12"/>
  <c r="A786" i="12"/>
  <c r="P785" i="12"/>
  <c r="O785" i="12"/>
  <c r="N785" i="12"/>
  <c r="M785" i="12"/>
  <c r="L785" i="12"/>
  <c r="K785" i="12"/>
  <c r="J785" i="12"/>
  <c r="I785" i="12"/>
  <c r="H785" i="12"/>
  <c r="G785" i="12"/>
  <c r="F785" i="12"/>
  <c r="E785" i="12"/>
  <c r="D785" i="12"/>
  <c r="C785" i="12"/>
  <c r="B785" i="12"/>
  <c r="A785" i="12"/>
  <c r="P784" i="12"/>
  <c r="O784" i="12"/>
  <c r="N784" i="12"/>
  <c r="M784" i="12"/>
  <c r="L784" i="12"/>
  <c r="K784" i="12"/>
  <c r="J784" i="12"/>
  <c r="I784" i="12"/>
  <c r="H784" i="12"/>
  <c r="G784" i="12"/>
  <c r="F784" i="12"/>
  <c r="E784" i="12"/>
  <c r="D784" i="12"/>
  <c r="C784" i="12"/>
  <c r="B784" i="12"/>
  <c r="A784" i="12"/>
  <c r="P783" i="12"/>
  <c r="O783" i="12"/>
  <c r="N783" i="12"/>
  <c r="M783" i="12"/>
  <c r="L783" i="12"/>
  <c r="K783" i="12"/>
  <c r="J783" i="12"/>
  <c r="I783" i="12"/>
  <c r="H783" i="12"/>
  <c r="G783" i="12"/>
  <c r="F783" i="12"/>
  <c r="E783" i="12"/>
  <c r="D783" i="12"/>
  <c r="C783" i="12"/>
  <c r="B783" i="12"/>
  <c r="A783" i="12"/>
  <c r="P782" i="12"/>
  <c r="O782" i="12"/>
  <c r="N782" i="12"/>
  <c r="M782" i="12"/>
  <c r="L782" i="12"/>
  <c r="K782" i="12"/>
  <c r="J782" i="12"/>
  <c r="I782" i="12"/>
  <c r="H782" i="12"/>
  <c r="G782" i="12"/>
  <c r="F782" i="12"/>
  <c r="E782" i="12"/>
  <c r="D782" i="12"/>
  <c r="C782" i="12"/>
  <c r="B782" i="12"/>
  <c r="A782" i="12"/>
  <c r="P781" i="12"/>
  <c r="O781" i="12"/>
  <c r="N781" i="12"/>
  <c r="M781" i="12"/>
  <c r="L781" i="12"/>
  <c r="K781" i="12"/>
  <c r="J781" i="12"/>
  <c r="I781" i="12"/>
  <c r="H781" i="12"/>
  <c r="G781" i="12"/>
  <c r="F781" i="12"/>
  <c r="E781" i="12"/>
  <c r="D781" i="12"/>
  <c r="C781" i="12"/>
  <c r="B781" i="12"/>
  <c r="A781" i="12"/>
  <c r="P780" i="12"/>
  <c r="O780" i="12"/>
  <c r="N780" i="12"/>
  <c r="M780" i="12"/>
  <c r="L780" i="12"/>
  <c r="K780" i="12"/>
  <c r="J780" i="12"/>
  <c r="I780" i="12"/>
  <c r="H780" i="12"/>
  <c r="G780" i="12"/>
  <c r="F780" i="12"/>
  <c r="E780" i="12"/>
  <c r="D780" i="12"/>
  <c r="C780" i="12"/>
  <c r="B780" i="12"/>
  <c r="A780" i="12"/>
  <c r="P779" i="12"/>
  <c r="O779" i="12"/>
  <c r="N779" i="12"/>
  <c r="M779" i="12"/>
  <c r="L779" i="12"/>
  <c r="K779" i="12"/>
  <c r="J779" i="12"/>
  <c r="I779" i="12"/>
  <c r="H779" i="12"/>
  <c r="G779" i="12"/>
  <c r="F779" i="12"/>
  <c r="E779" i="12"/>
  <c r="D779" i="12"/>
  <c r="C779" i="12"/>
  <c r="B779" i="12"/>
  <c r="A779" i="12"/>
  <c r="P778" i="12"/>
  <c r="O778" i="12"/>
  <c r="N778" i="12"/>
  <c r="M778" i="12"/>
  <c r="L778" i="12"/>
  <c r="K778" i="12"/>
  <c r="J778" i="12"/>
  <c r="I778" i="12"/>
  <c r="H778" i="12"/>
  <c r="G778" i="12"/>
  <c r="F778" i="12"/>
  <c r="E778" i="12"/>
  <c r="D778" i="12"/>
  <c r="C778" i="12"/>
  <c r="B778" i="12"/>
  <c r="A778" i="12"/>
  <c r="P777" i="12"/>
  <c r="O777" i="12"/>
  <c r="N777" i="12"/>
  <c r="M777" i="12"/>
  <c r="L777" i="12"/>
  <c r="K777" i="12"/>
  <c r="J777" i="12"/>
  <c r="I777" i="12"/>
  <c r="H777" i="12"/>
  <c r="G777" i="12"/>
  <c r="F777" i="12"/>
  <c r="E777" i="12"/>
  <c r="D777" i="12"/>
  <c r="C777" i="12"/>
  <c r="B777" i="12"/>
  <c r="A777" i="12"/>
  <c r="P776" i="12"/>
  <c r="O776" i="12"/>
  <c r="N776" i="12"/>
  <c r="M776" i="12"/>
  <c r="L776" i="12"/>
  <c r="K776" i="12"/>
  <c r="J776" i="12"/>
  <c r="I776" i="12"/>
  <c r="H776" i="12"/>
  <c r="G776" i="12"/>
  <c r="F776" i="12"/>
  <c r="E776" i="12"/>
  <c r="D776" i="12"/>
  <c r="C776" i="12"/>
  <c r="B776" i="12"/>
  <c r="A776" i="12"/>
  <c r="P775" i="12"/>
  <c r="O775" i="12"/>
  <c r="N775" i="12"/>
  <c r="M775" i="12"/>
  <c r="L775" i="12"/>
  <c r="K775" i="12"/>
  <c r="J775" i="12"/>
  <c r="I775" i="12"/>
  <c r="H775" i="12"/>
  <c r="G775" i="12"/>
  <c r="F775" i="12"/>
  <c r="E775" i="12"/>
  <c r="D775" i="12"/>
  <c r="C775" i="12"/>
  <c r="B775" i="12"/>
  <c r="A775" i="12"/>
  <c r="P774" i="12"/>
  <c r="O774" i="12"/>
  <c r="N774" i="12"/>
  <c r="M774" i="12"/>
  <c r="L774" i="12"/>
  <c r="K774" i="12"/>
  <c r="J774" i="12"/>
  <c r="I774" i="12"/>
  <c r="H774" i="12"/>
  <c r="G774" i="12"/>
  <c r="F774" i="12"/>
  <c r="E774" i="12"/>
  <c r="D774" i="12"/>
  <c r="C774" i="12"/>
  <c r="B774" i="12"/>
  <c r="A774" i="12"/>
  <c r="P773" i="12"/>
  <c r="O773" i="12"/>
  <c r="N773" i="12"/>
  <c r="M773" i="12"/>
  <c r="L773" i="12"/>
  <c r="K773" i="12"/>
  <c r="J773" i="12"/>
  <c r="I773" i="12"/>
  <c r="H773" i="12"/>
  <c r="G773" i="12"/>
  <c r="F773" i="12"/>
  <c r="E773" i="12"/>
  <c r="D773" i="12"/>
  <c r="C773" i="12"/>
  <c r="B773" i="12"/>
  <c r="A773" i="12"/>
  <c r="P772" i="12"/>
  <c r="O772" i="12"/>
  <c r="N772" i="12"/>
  <c r="M772" i="12"/>
  <c r="L772" i="12"/>
  <c r="K772" i="12"/>
  <c r="J772" i="12"/>
  <c r="I772" i="12"/>
  <c r="H772" i="12"/>
  <c r="G772" i="12"/>
  <c r="F772" i="12"/>
  <c r="E772" i="12"/>
  <c r="D772" i="12"/>
  <c r="C772" i="12"/>
  <c r="B772" i="12"/>
  <c r="A772" i="12"/>
  <c r="P771" i="12"/>
  <c r="O771" i="12"/>
  <c r="N771" i="12"/>
  <c r="M771" i="12"/>
  <c r="L771" i="12"/>
  <c r="K771" i="12"/>
  <c r="J771" i="12"/>
  <c r="I771" i="12"/>
  <c r="H771" i="12"/>
  <c r="G771" i="12"/>
  <c r="F771" i="12"/>
  <c r="E771" i="12"/>
  <c r="D771" i="12"/>
  <c r="C771" i="12"/>
  <c r="B771" i="12"/>
  <c r="A771" i="12"/>
  <c r="P770" i="12"/>
  <c r="O770" i="12"/>
  <c r="N770" i="12"/>
  <c r="M770" i="12"/>
  <c r="L770" i="12"/>
  <c r="K770" i="12"/>
  <c r="J770" i="12"/>
  <c r="I770" i="12"/>
  <c r="H770" i="12"/>
  <c r="G770" i="12"/>
  <c r="F770" i="12"/>
  <c r="E770" i="12"/>
  <c r="D770" i="12"/>
  <c r="C770" i="12"/>
  <c r="B770" i="12"/>
  <c r="A770" i="12"/>
  <c r="P769" i="12"/>
  <c r="O769" i="12"/>
  <c r="N769" i="12"/>
  <c r="M769" i="12"/>
  <c r="L769" i="12"/>
  <c r="K769" i="12"/>
  <c r="J769" i="12"/>
  <c r="I769" i="12"/>
  <c r="H769" i="12"/>
  <c r="G769" i="12"/>
  <c r="F769" i="12"/>
  <c r="E769" i="12"/>
  <c r="D769" i="12"/>
  <c r="C769" i="12"/>
  <c r="B769" i="12"/>
  <c r="A769" i="12"/>
  <c r="P768" i="12"/>
  <c r="O768" i="12"/>
  <c r="N768" i="12"/>
  <c r="M768" i="12"/>
  <c r="L768" i="12"/>
  <c r="K768" i="12"/>
  <c r="J768" i="12"/>
  <c r="I768" i="12"/>
  <c r="H768" i="12"/>
  <c r="G768" i="12"/>
  <c r="F768" i="12"/>
  <c r="E768" i="12"/>
  <c r="D768" i="12"/>
  <c r="C768" i="12"/>
  <c r="B768" i="12"/>
  <c r="A768" i="12"/>
  <c r="P767" i="12"/>
  <c r="O767" i="12"/>
  <c r="N767" i="12"/>
  <c r="M767" i="12"/>
  <c r="L767" i="12"/>
  <c r="K767" i="12"/>
  <c r="J767" i="12"/>
  <c r="I767" i="12"/>
  <c r="H767" i="12"/>
  <c r="G767" i="12"/>
  <c r="F767" i="12"/>
  <c r="E767" i="12"/>
  <c r="D767" i="12"/>
  <c r="C767" i="12"/>
  <c r="B767" i="12"/>
  <c r="A767" i="12"/>
  <c r="P766" i="12"/>
  <c r="O766" i="12"/>
  <c r="N766" i="12"/>
  <c r="M766" i="12"/>
  <c r="L766" i="12"/>
  <c r="K766" i="12"/>
  <c r="J766" i="12"/>
  <c r="I766" i="12"/>
  <c r="H766" i="12"/>
  <c r="G766" i="12"/>
  <c r="F766" i="12"/>
  <c r="E766" i="12"/>
  <c r="D766" i="12"/>
  <c r="C766" i="12"/>
  <c r="B766" i="12"/>
  <c r="A766" i="12"/>
  <c r="P765" i="12"/>
  <c r="O765" i="12"/>
  <c r="N765" i="12"/>
  <c r="M765" i="12"/>
  <c r="L765" i="12"/>
  <c r="K765" i="12"/>
  <c r="J765" i="12"/>
  <c r="I765" i="12"/>
  <c r="H765" i="12"/>
  <c r="G765" i="12"/>
  <c r="F765" i="12"/>
  <c r="E765" i="12"/>
  <c r="D765" i="12"/>
  <c r="C765" i="12"/>
  <c r="B765" i="12"/>
  <c r="A765" i="12"/>
  <c r="P764" i="12"/>
  <c r="O764" i="12"/>
  <c r="N764" i="12"/>
  <c r="M764" i="12"/>
  <c r="L764" i="12"/>
  <c r="K764" i="12"/>
  <c r="J764" i="12"/>
  <c r="I764" i="12"/>
  <c r="H764" i="12"/>
  <c r="G764" i="12"/>
  <c r="F764" i="12"/>
  <c r="E764" i="12"/>
  <c r="D764" i="12"/>
  <c r="C764" i="12"/>
  <c r="B764" i="12"/>
  <c r="A764" i="12"/>
  <c r="P763" i="12"/>
  <c r="O763" i="12"/>
  <c r="N763" i="12"/>
  <c r="M763" i="12"/>
  <c r="L763" i="12"/>
  <c r="K763" i="12"/>
  <c r="J763" i="12"/>
  <c r="I763" i="12"/>
  <c r="H763" i="12"/>
  <c r="G763" i="12"/>
  <c r="F763" i="12"/>
  <c r="E763" i="12"/>
  <c r="D763" i="12"/>
  <c r="C763" i="12"/>
  <c r="B763" i="12"/>
  <c r="A763" i="12"/>
  <c r="P762" i="12"/>
  <c r="O762" i="12"/>
  <c r="N762" i="12"/>
  <c r="M762" i="12"/>
  <c r="L762" i="12"/>
  <c r="K762" i="12"/>
  <c r="J762" i="12"/>
  <c r="I762" i="12"/>
  <c r="H762" i="12"/>
  <c r="G762" i="12"/>
  <c r="F762" i="12"/>
  <c r="E762" i="12"/>
  <c r="D762" i="12"/>
  <c r="C762" i="12"/>
  <c r="B762" i="12"/>
  <c r="A762" i="12"/>
  <c r="P761" i="12"/>
  <c r="O761" i="12"/>
  <c r="N761" i="12"/>
  <c r="M761" i="12"/>
  <c r="L761" i="12"/>
  <c r="K761" i="12"/>
  <c r="J761" i="12"/>
  <c r="I761" i="12"/>
  <c r="H761" i="12"/>
  <c r="G761" i="12"/>
  <c r="F761" i="12"/>
  <c r="E761" i="12"/>
  <c r="D761" i="12"/>
  <c r="C761" i="12"/>
  <c r="B761" i="12"/>
  <c r="A761" i="12"/>
  <c r="P760" i="12"/>
  <c r="O760" i="12"/>
  <c r="N760" i="12"/>
  <c r="M760" i="12"/>
  <c r="L760" i="12"/>
  <c r="K760" i="12"/>
  <c r="J760" i="12"/>
  <c r="I760" i="12"/>
  <c r="H760" i="12"/>
  <c r="G760" i="12"/>
  <c r="F760" i="12"/>
  <c r="E760" i="12"/>
  <c r="D760" i="12"/>
  <c r="C760" i="12"/>
  <c r="B760" i="12"/>
  <c r="A760" i="12"/>
  <c r="P759" i="12"/>
  <c r="O759" i="12"/>
  <c r="N759" i="12"/>
  <c r="M759" i="12"/>
  <c r="L759" i="12"/>
  <c r="K759" i="12"/>
  <c r="J759" i="12"/>
  <c r="I759" i="12"/>
  <c r="H759" i="12"/>
  <c r="G759" i="12"/>
  <c r="F759" i="12"/>
  <c r="E759" i="12"/>
  <c r="D759" i="12"/>
  <c r="C759" i="12"/>
  <c r="B759" i="12"/>
  <c r="A759" i="12"/>
  <c r="P758" i="12"/>
  <c r="O758" i="12"/>
  <c r="N758" i="12"/>
  <c r="M758" i="12"/>
  <c r="L758" i="12"/>
  <c r="K758" i="12"/>
  <c r="J758" i="12"/>
  <c r="I758" i="12"/>
  <c r="H758" i="12"/>
  <c r="G758" i="12"/>
  <c r="F758" i="12"/>
  <c r="E758" i="12"/>
  <c r="D758" i="12"/>
  <c r="C758" i="12"/>
  <c r="B758" i="12"/>
  <c r="A758" i="12"/>
  <c r="P757" i="12"/>
  <c r="O757" i="12"/>
  <c r="N757" i="12"/>
  <c r="M757" i="12"/>
  <c r="L757" i="12"/>
  <c r="K757" i="12"/>
  <c r="J757" i="12"/>
  <c r="I757" i="12"/>
  <c r="H757" i="12"/>
  <c r="G757" i="12"/>
  <c r="F757" i="12"/>
  <c r="E757" i="12"/>
  <c r="D757" i="12"/>
  <c r="C757" i="12"/>
  <c r="B757" i="12"/>
  <c r="A757" i="12"/>
  <c r="P756" i="12"/>
  <c r="O756" i="12"/>
  <c r="N756" i="12"/>
  <c r="M756" i="12"/>
  <c r="L756" i="12"/>
  <c r="K756" i="12"/>
  <c r="J756" i="12"/>
  <c r="I756" i="12"/>
  <c r="H756" i="12"/>
  <c r="G756" i="12"/>
  <c r="F756" i="12"/>
  <c r="E756" i="12"/>
  <c r="D756" i="12"/>
  <c r="C756" i="12"/>
  <c r="B756" i="12"/>
  <c r="A756" i="12"/>
  <c r="P755" i="12"/>
  <c r="O755" i="12"/>
  <c r="N755" i="12"/>
  <c r="M755" i="12"/>
  <c r="L755" i="12"/>
  <c r="K755" i="12"/>
  <c r="J755" i="12"/>
  <c r="I755" i="12"/>
  <c r="H755" i="12"/>
  <c r="G755" i="12"/>
  <c r="F755" i="12"/>
  <c r="E755" i="12"/>
  <c r="D755" i="12"/>
  <c r="C755" i="12"/>
  <c r="B755" i="12"/>
  <c r="A755" i="12"/>
  <c r="P754" i="12"/>
  <c r="O754" i="12"/>
  <c r="N754" i="12"/>
  <c r="M754" i="12"/>
  <c r="L754" i="12"/>
  <c r="K754" i="12"/>
  <c r="J754" i="12"/>
  <c r="I754" i="12"/>
  <c r="H754" i="12"/>
  <c r="G754" i="12"/>
  <c r="F754" i="12"/>
  <c r="E754" i="12"/>
  <c r="D754" i="12"/>
  <c r="C754" i="12"/>
  <c r="B754" i="12"/>
  <c r="A754" i="12"/>
  <c r="P753" i="12"/>
  <c r="O753" i="12"/>
  <c r="N753" i="12"/>
  <c r="M753" i="12"/>
  <c r="L753" i="12"/>
  <c r="K753" i="12"/>
  <c r="J753" i="12"/>
  <c r="I753" i="12"/>
  <c r="H753" i="12"/>
  <c r="G753" i="12"/>
  <c r="F753" i="12"/>
  <c r="E753" i="12"/>
  <c r="D753" i="12"/>
  <c r="C753" i="12"/>
  <c r="B753" i="12"/>
  <c r="A753" i="12"/>
  <c r="P752" i="12"/>
  <c r="O752" i="12"/>
  <c r="N752" i="12"/>
  <c r="M752" i="12"/>
  <c r="L752" i="12"/>
  <c r="K752" i="12"/>
  <c r="J752" i="12"/>
  <c r="I752" i="12"/>
  <c r="H752" i="12"/>
  <c r="G752" i="12"/>
  <c r="F752" i="12"/>
  <c r="E752" i="12"/>
  <c r="D752" i="12"/>
  <c r="C752" i="12"/>
  <c r="B752" i="12"/>
  <c r="A752" i="12"/>
  <c r="P751" i="12"/>
  <c r="O751" i="12"/>
  <c r="N751" i="12"/>
  <c r="M751" i="12"/>
  <c r="L751" i="12"/>
  <c r="K751" i="12"/>
  <c r="J751" i="12"/>
  <c r="I751" i="12"/>
  <c r="H751" i="12"/>
  <c r="G751" i="12"/>
  <c r="F751" i="12"/>
  <c r="E751" i="12"/>
  <c r="D751" i="12"/>
  <c r="C751" i="12"/>
  <c r="B751" i="12"/>
  <c r="A751" i="12"/>
  <c r="P750" i="12"/>
  <c r="O750" i="12"/>
  <c r="N750" i="12"/>
  <c r="M750" i="12"/>
  <c r="L750" i="12"/>
  <c r="K750" i="12"/>
  <c r="J750" i="12"/>
  <c r="I750" i="12"/>
  <c r="H750" i="12"/>
  <c r="G750" i="12"/>
  <c r="F750" i="12"/>
  <c r="E750" i="12"/>
  <c r="D750" i="12"/>
  <c r="C750" i="12"/>
  <c r="B750" i="12"/>
  <c r="A750" i="12"/>
  <c r="P749" i="12"/>
  <c r="O749" i="12"/>
  <c r="N749" i="12"/>
  <c r="M749" i="12"/>
  <c r="L749" i="12"/>
  <c r="K749" i="12"/>
  <c r="J749" i="12"/>
  <c r="I749" i="12"/>
  <c r="H749" i="12"/>
  <c r="G749" i="12"/>
  <c r="F749" i="12"/>
  <c r="E749" i="12"/>
  <c r="D749" i="12"/>
  <c r="C749" i="12"/>
  <c r="B749" i="12"/>
  <c r="A749" i="12"/>
  <c r="P748" i="12"/>
  <c r="O748" i="12"/>
  <c r="N748" i="12"/>
  <c r="M748" i="12"/>
  <c r="L748" i="12"/>
  <c r="K748" i="12"/>
  <c r="J748" i="12"/>
  <c r="I748" i="12"/>
  <c r="H748" i="12"/>
  <c r="G748" i="12"/>
  <c r="F748" i="12"/>
  <c r="E748" i="12"/>
  <c r="D748" i="12"/>
  <c r="C748" i="12"/>
  <c r="B748" i="12"/>
  <c r="A748" i="12"/>
  <c r="P747" i="12"/>
  <c r="O747" i="12"/>
  <c r="N747" i="12"/>
  <c r="M747" i="12"/>
  <c r="L747" i="12"/>
  <c r="K747" i="12"/>
  <c r="J747" i="12"/>
  <c r="I747" i="12"/>
  <c r="H747" i="12"/>
  <c r="G747" i="12"/>
  <c r="F747" i="12"/>
  <c r="E747" i="12"/>
  <c r="D747" i="12"/>
  <c r="C747" i="12"/>
  <c r="B747" i="12"/>
  <c r="A747" i="12"/>
  <c r="P746" i="12"/>
  <c r="O746" i="12"/>
  <c r="N746" i="12"/>
  <c r="M746" i="12"/>
  <c r="L746" i="12"/>
  <c r="K746" i="12"/>
  <c r="J746" i="12"/>
  <c r="I746" i="12"/>
  <c r="H746" i="12"/>
  <c r="G746" i="12"/>
  <c r="F746" i="12"/>
  <c r="E746" i="12"/>
  <c r="D746" i="12"/>
  <c r="C746" i="12"/>
  <c r="B746" i="12"/>
  <c r="A746" i="12"/>
  <c r="P745" i="12"/>
  <c r="O745" i="12"/>
  <c r="N745" i="12"/>
  <c r="M745" i="12"/>
  <c r="L745" i="12"/>
  <c r="K745" i="12"/>
  <c r="J745" i="12"/>
  <c r="I745" i="12"/>
  <c r="H745" i="12"/>
  <c r="G745" i="12"/>
  <c r="F745" i="12"/>
  <c r="E745" i="12"/>
  <c r="D745" i="12"/>
  <c r="C745" i="12"/>
  <c r="B745" i="12"/>
  <c r="A745" i="12"/>
  <c r="P744" i="12"/>
  <c r="O744" i="12"/>
  <c r="N744" i="12"/>
  <c r="M744" i="12"/>
  <c r="L744" i="12"/>
  <c r="K744" i="12"/>
  <c r="J744" i="12"/>
  <c r="I744" i="12"/>
  <c r="H744" i="12"/>
  <c r="G744" i="12"/>
  <c r="F744" i="12"/>
  <c r="E744" i="12"/>
  <c r="D744" i="12"/>
  <c r="C744" i="12"/>
  <c r="B744" i="12"/>
  <c r="A744" i="12"/>
  <c r="P743" i="12"/>
  <c r="O743" i="12"/>
  <c r="N743" i="12"/>
  <c r="M743" i="12"/>
  <c r="L743" i="12"/>
  <c r="K743" i="12"/>
  <c r="J743" i="12"/>
  <c r="I743" i="12"/>
  <c r="H743" i="12"/>
  <c r="G743" i="12"/>
  <c r="F743" i="12"/>
  <c r="E743" i="12"/>
  <c r="D743" i="12"/>
  <c r="C743" i="12"/>
  <c r="B743" i="12"/>
  <c r="A743" i="12"/>
  <c r="P742" i="12"/>
  <c r="O742" i="12"/>
  <c r="N742" i="12"/>
  <c r="M742" i="12"/>
  <c r="L742" i="12"/>
  <c r="K742" i="12"/>
  <c r="J742" i="12"/>
  <c r="I742" i="12"/>
  <c r="H742" i="12"/>
  <c r="G742" i="12"/>
  <c r="F742" i="12"/>
  <c r="E742" i="12"/>
  <c r="D742" i="12"/>
  <c r="C742" i="12"/>
  <c r="B742" i="12"/>
  <c r="A742" i="12"/>
  <c r="P741" i="12"/>
  <c r="O741" i="12"/>
  <c r="N741" i="12"/>
  <c r="M741" i="12"/>
  <c r="L741" i="12"/>
  <c r="K741" i="12"/>
  <c r="J741" i="12"/>
  <c r="I741" i="12"/>
  <c r="H741" i="12"/>
  <c r="G741" i="12"/>
  <c r="F741" i="12"/>
  <c r="E741" i="12"/>
  <c r="D741" i="12"/>
  <c r="C741" i="12"/>
  <c r="B741" i="12"/>
  <c r="A741" i="12"/>
  <c r="P740" i="12"/>
  <c r="O740" i="12"/>
  <c r="N740" i="12"/>
  <c r="M740" i="12"/>
  <c r="L740" i="12"/>
  <c r="K740" i="12"/>
  <c r="J740" i="12"/>
  <c r="I740" i="12"/>
  <c r="H740" i="12"/>
  <c r="G740" i="12"/>
  <c r="F740" i="12"/>
  <c r="E740" i="12"/>
  <c r="D740" i="12"/>
  <c r="C740" i="12"/>
  <c r="B740" i="12"/>
  <c r="A740" i="12"/>
  <c r="P739" i="12"/>
  <c r="O739" i="12"/>
  <c r="N739" i="12"/>
  <c r="M739" i="12"/>
  <c r="L739" i="12"/>
  <c r="K739" i="12"/>
  <c r="J739" i="12"/>
  <c r="I739" i="12"/>
  <c r="H739" i="12"/>
  <c r="G739" i="12"/>
  <c r="F739" i="12"/>
  <c r="E739" i="12"/>
  <c r="D739" i="12"/>
  <c r="C739" i="12"/>
  <c r="B739" i="12"/>
  <c r="A739" i="12"/>
  <c r="P738" i="12"/>
  <c r="O738" i="12"/>
  <c r="N738" i="12"/>
  <c r="M738" i="12"/>
  <c r="L738" i="12"/>
  <c r="K738" i="12"/>
  <c r="J738" i="12"/>
  <c r="I738" i="12"/>
  <c r="H738" i="12"/>
  <c r="G738" i="12"/>
  <c r="F738" i="12"/>
  <c r="E738" i="12"/>
  <c r="D738" i="12"/>
  <c r="C738" i="12"/>
  <c r="B738" i="12"/>
  <c r="A738" i="12"/>
  <c r="P737" i="12"/>
  <c r="O737" i="12"/>
  <c r="N737" i="12"/>
  <c r="M737" i="12"/>
  <c r="L737" i="12"/>
  <c r="K737" i="12"/>
  <c r="J737" i="12"/>
  <c r="I737" i="12"/>
  <c r="H737" i="12"/>
  <c r="G737" i="12"/>
  <c r="F737" i="12"/>
  <c r="E737" i="12"/>
  <c r="D737" i="12"/>
  <c r="C737" i="12"/>
  <c r="B737" i="12"/>
  <c r="A737" i="12"/>
  <c r="P736" i="12"/>
  <c r="O736" i="12"/>
  <c r="N736" i="12"/>
  <c r="M736" i="12"/>
  <c r="L736" i="12"/>
  <c r="K736" i="12"/>
  <c r="J736" i="12"/>
  <c r="I736" i="12"/>
  <c r="H736" i="12"/>
  <c r="G736" i="12"/>
  <c r="F736" i="12"/>
  <c r="E736" i="12"/>
  <c r="D736" i="12"/>
  <c r="C736" i="12"/>
  <c r="B736" i="12"/>
  <c r="A736" i="12"/>
  <c r="P735" i="12"/>
  <c r="O735" i="12"/>
  <c r="N735" i="12"/>
  <c r="M735" i="12"/>
  <c r="L735" i="12"/>
  <c r="K735" i="12"/>
  <c r="J735" i="12"/>
  <c r="I735" i="12"/>
  <c r="H735" i="12"/>
  <c r="G735" i="12"/>
  <c r="F735" i="12"/>
  <c r="E735" i="12"/>
  <c r="D735" i="12"/>
  <c r="C735" i="12"/>
  <c r="B735" i="12"/>
  <c r="A735" i="12"/>
  <c r="P734" i="12"/>
  <c r="O734" i="12"/>
  <c r="N734" i="12"/>
  <c r="M734" i="12"/>
  <c r="L734" i="12"/>
  <c r="K734" i="12"/>
  <c r="J734" i="12"/>
  <c r="I734" i="12"/>
  <c r="H734" i="12"/>
  <c r="G734" i="12"/>
  <c r="F734" i="12"/>
  <c r="E734" i="12"/>
  <c r="D734" i="12"/>
  <c r="C734" i="12"/>
  <c r="B734" i="12"/>
  <c r="A734" i="12"/>
  <c r="P733" i="12"/>
  <c r="O733" i="12"/>
  <c r="N733" i="12"/>
  <c r="M733" i="12"/>
  <c r="L733" i="12"/>
  <c r="K733" i="12"/>
  <c r="J733" i="12"/>
  <c r="I733" i="12"/>
  <c r="H733" i="12"/>
  <c r="G733" i="12"/>
  <c r="F733" i="12"/>
  <c r="E733" i="12"/>
  <c r="D733" i="12"/>
  <c r="C733" i="12"/>
  <c r="B733" i="12"/>
  <c r="A733" i="12"/>
  <c r="P732" i="12"/>
  <c r="O732" i="12"/>
  <c r="N732" i="12"/>
  <c r="M732" i="12"/>
  <c r="L732" i="12"/>
  <c r="K732" i="12"/>
  <c r="J732" i="12"/>
  <c r="I732" i="12"/>
  <c r="H732" i="12"/>
  <c r="G732" i="12"/>
  <c r="F732" i="12"/>
  <c r="E732" i="12"/>
  <c r="D732" i="12"/>
  <c r="C732" i="12"/>
  <c r="B732" i="12"/>
  <c r="A732" i="12"/>
  <c r="P731" i="12"/>
  <c r="O731" i="12"/>
  <c r="N731" i="12"/>
  <c r="M731" i="12"/>
  <c r="L731" i="12"/>
  <c r="K731" i="12"/>
  <c r="J731" i="12"/>
  <c r="I731" i="12"/>
  <c r="H731" i="12"/>
  <c r="G731" i="12"/>
  <c r="F731" i="12"/>
  <c r="E731" i="12"/>
  <c r="D731" i="12"/>
  <c r="C731" i="12"/>
  <c r="B731" i="12"/>
  <c r="A731" i="12"/>
  <c r="P730" i="12"/>
  <c r="O730" i="12"/>
  <c r="N730" i="12"/>
  <c r="M730" i="12"/>
  <c r="L730" i="12"/>
  <c r="K730" i="12"/>
  <c r="J730" i="12"/>
  <c r="I730" i="12"/>
  <c r="H730" i="12"/>
  <c r="G730" i="12"/>
  <c r="F730" i="12"/>
  <c r="E730" i="12"/>
  <c r="D730" i="12"/>
  <c r="C730" i="12"/>
  <c r="B730" i="12"/>
  <c r="A730" i="12"/>
  <c r="P729" i="12"/>
  <c r="O729" i="12"/>
  <c r="N729" i="12"/>
  <c r="M729" i="12"/>
  <c r="L729" i="12"/>
  <c r="K729" i="12"/>
  <c r="J729" i="12"/>
  <c r="I729" i="12"/>
  <c r="H729" i="12"/>
  <c r="G729" i="12"/>
  <c r="F729" i="12"/>
  <c r="E729" i="12"/>
  <c r="D729" i="12"/>
  <c r="C729" i="12"/>
  <c r="B729" i="12"/>
  <c r="A729" i="12"/>
  <c r="P728" i="12"/>
  <c r="O728" i="12"/>
  <c r="N728" i="12"/>
  <c r="M728" i="12"/>
  <c r="L728" i="12"/>
  <c r="K728" i="12"/>
  <c r="J728" i="12"/>
  <c r="I728" i="12"/>
  <c r="H728" i="12"/>
  <c r="G728" i="12"/>
  <c r="F728" i="12"/>
  <c r="E728" i="12"/>
  <c r="D728" i="12"/>
  <c r="C728" i="12"/>
  <c r="B728" i="12"/>
  <c r="A728" i="12"/>
  <c r="P727" i="12"/>
  <c r="O727" i="12"/>
  <c r="N727" i="12"/>
  <c r="M727" i="12"/>
  <c r="L727" i="12"/>
  <c r="K727" i="12"/>
  <c r="J727" i="12"/>
  <c r="I727" i="12"/>
  <c r="H727" i="12"/>
  <c r="G727" i="12"/>
  <c r="F727" i="12"/>
  <c r="E727" i="12"/>
  <c r="D727" i="12"/>
  <c r="C727" i="12"/>
  <c r="B727" i="12"/>
  <c r="A727" i="12"/>
  <c r="P726" i="12"/>
  <c r="O726" i="12"/>
  <c r="N726" i="12"/>
  <c r="M726" i="12"/>
  <c r="L726" i="12"/>
  <c r="K726" i="12"/>
  <c r="J726" i="12"/>
  <c r="I726" i="12"/>
  <c r="H726" i="12"/>
  <c r="G726" i="12"/>
  <c r="F726" i="12"/>
  <c r="E726" i="12"/>
  <c r="D726" i="12"/>
  <c r="C726" i="12"/>
  <c r="B726" i="12"/>
  <c r="A726" i="12"/>
  <c r="P725" i="12"/>
  <c r="O725" i="12"/>
  <c r="N725" i="12"/>
  <c r="M725" i="12"/>
  <c r="L725" i="12"/>
  <c r="K725" i="12"/>
  <c r="J725" i="12"/>
  <c r="I725" i="12"/>
  <c r="H725" i="12"/>
  <c r="G725" i="12"/>
  <c r="F725" i="12"/>
  <c r="E725" i="12"/>
  <c r="D725" i="12"/>
  <c r="C725" i="12"/>
  <c r="B725" i="12"/>
  <c r="A725" i="12"/>
  <c r="P724" i="12"/>
  <c r="O724" i="12"/>
  <c r="N724" i="12"/>
  <c r="M724" i="12"/>
  <c r="L724" i="12"/>
  <c r="K724" i="12"/>
  <c r="J724" i="12"/>
  <c r="I724" i="12"/>
  <c r="H724" i="12"/>
  <c r="G724" i="12"/>
  <c r="F724" i="12"/>
  <c r="E724" i="12"/>
  <c r="D724" i="12"/>
  <c r="C724" i="12"/>
  <c r="B724" i="12"/>
  <c r="A724" i="12"/>
  <c r="P723" i="12"/>
  <c r="O723" i="12"/>
  <c r="N723" i="12"/>
  <c r="M723" i="12"/>
  <c r="L723" i="12"/>
  <c r="K723" i="12"/>
  <c r="J723" i="12"/>
  <c r="I723" i="12"/>
  <c r="H723" i="12"/>
  <c r="G723" i="12"/>
  <c r="F723" i="12"/>
  <c r="E723" i="12"/>
  <c r="D723" i="12"/>
  <c r="C723" i="12"/>
  <c r="B723" i="12"/>
  <c r="A723" i="12"/>
  <c r="P722" i="12"/>
  <c r="O722" i="12"/>
  <c r="N722" i="12"/>
  <c r="M722" i="12"/>
  <c r="L722" i="12"/>
  <c r="K722" i="12"/>
  <c r="J722" i="12"/>
  <c r="I722" i="12"/>
  <c r="H722" i="12"/>
  <c r="G722" i="12"/>
  <c r="F722" i="12"/>
  <c r="E722" i="12"/>
  <c r="D722" i="12"/>
  <c r="C722" i="12"/>
  <c r="B722" i="12"/>
  <c r="A722" i="12"/>
  <c r="P721" i="12"/>
  <c r="O721" i="12"/>
  <c r="N721" i="12"/>
  <c r="M721" i="12"/>
  <c r="L721" i="12"/>
  <c r="K721" i="12"/>
  <c r="J721" i="12"/>
  <c r="I721" i="12"/>
  <c r="H721" i="12"/>
  <c r="G721" i="12"/>
  <c r="F721" i="12"/>
  <c r="E721" i="12"/>
  <c r="D721" i="12"/>
  <c r="C721" i="12"/>
  <c r="B721" i="12"/>
  <c r="A721" i="12"/>
  <c r="P720" i="12"/>
  <c r="O720" i="12"/>
  <c r="N720" i="12"/>
  <c r="M720" i="12"/>
  <c r="L720" i="12"/>
  <c r="K720" i="12"/>
  <c r="J720" i="12"/>
  <c r="I720" i="12"/>
  <c r="H720" i="12"/>
  <c r="G720" i="12"/>
  <c r="F720" i="12"/>
  <c r="E720" i="12"/>
  <c r="D720" i="12"/>
  <c r="C720" i="12"/>
  <c r="B720" i="12"/>
  <c r="A720" i="12"/>
  <c r="P719" i="12"/>
  <c r="O719" i="12"/>
  <c r="N719" i="12"/>
  <c r="M719" i="12"/>
  <c r="L719" i="12"/>
  <c r="K719" i="12"/>
  <c r="J719" i="12"/>
  <c r="I719" i="12"/>
  <c r="H719" i="12"/>
  <c r="G719" i="12"/>
  <c r="F719" i="12"/>
  <c r="E719" i="12"/>
  <c r="D719" i="12"/>
  <c r="C719" i="12"/>
  <c r="B719" i="12"/>
  <c r="A719" i="12"/>
  <c r="P718" i="12"/>
  <c r="O718" i="12"/>
  <c r="N718" i="12"/>
  <c r="M718" i="12"/>
  <c r="L718" i="12"/>
  <c r="K718" i="12"/>
  <c r="J718" i="12"/>
  <c r="I718" i="12"/>
  <c r="H718" i="12"/>
  <c r="G718" i="12"/>
  <c r="F718" i="12"/>
  <c r="E718" i="12"/>
  <c r="D718" i="12"/>
  <c r="C718" i="12"/>
  <c r="B718" i="12"/>
  <c r="A718" i="12"/>
  <c r="P717" i="12"/>
  <c r="O717" i="12"/>
  <c r="N717" i="12"/>
  <c r="M717" i="12"/>
  <c r="L717" i="12"/>
  <c r="K717" i="12"/>
  <c r="J717" i="12"/>
  <c r="I717" i="12"/>
  <c r="H717" i="12"/>
  <c r="G717" i="12"/>
  <c r="F717" i="12"/>
  <c r="E717" i="12"/>
  <c r="D717" i="12"/>
  <c r="C717" i="12"/>
  <c r="B717" i="12"/>
  <c r="A717" i="12"/>
  <c r="P716" i="12"/>
  <c r="O716" i="12"/>
  <c r="N716" i="12"/>
  <c r="M716" i="12"/>
  <c r="L716" i="12"/>
  <c r="K716" i="12"/>
  <c r="J716" i="12"/>
  <c r="I716" i="12"/>
  <c r="H716" i="12"/>
  <c r="G716" i="12"/>
  <c r="F716" i="12"/>
  <c r="E716" i="12"/>
  <c r="D716" i="12"/>
  <c r="C716" i="12"/>
  <c r="B716" i="12"/>
  <c r="A716" i="12"/>
  <c r="P715" i="12"/>
  <c r="O715" i="12"/>
  <c r="N715" i="12"/>
  <c r="M715" i="12"/>
  <c r="L715" i="12"/>
  <c r="K715" i="12"/>
  <c r="J715" i="12"/>
  <c r="I715" i="12"/>
  <c r="H715" i="12"/>
  <c r="G715" i="12"/>
  <c r="F715" i="12"/>
  <c r="E715" i="12"/>
  <c r="D715" i="12"/>
  <c r="C715" i="12"/>
  <c r="B715" i="12"/>
  <c r="A715" i="12"/>
  <c r="P714" i="12"/>
  <c r="O714" i="12"/>
  <c r="N714" i="12"/>
  <c r="M714" i="12"/>
  <c r="L714" i="12"/>
  <c r="K714" i="12"/>
  <c r="J714" i="12"/>
  <c r="I714" i="12"/>
  <c r="H714" i="12"/>
  <c r="G714" i="12"/>
  <c r="F714" i="12"/>
  <c r="E714" i="12"/>
  <c r="D714" i="12"/>
  <c r="C714" i="12"/>
  <c r="B714" i="12"/>
  <c r="A714" i="12"/>
  <c r="P713" i="12"/>
  <c r="O713" i="12"/>
  <c r="N713" i="12"/>
  <c r="M713" i="12"/>
  <c r="L713" i="12"/>
  <c r="K713" i="12"/>
  <c r="J713" i="12"/>
  <c r="I713" i="12"/>
  <c r="H713" i="12"/>
  <c r="G713" i="12"/>
  <c r="F713" i="12"/>
  <c r="E713" i="12"/>
  <c r="D713" i="12"/>
  <c r="C713" i="12"/>
  <c r="B713" i="12"/>
  <c r="A713" i="12"/>
  <c r="P712" i="12"/>
  <c r="O712" i="12"/>
  <c r="N712" i="12"/>
  <c r="M712" i="12"/>
  <c r="L712" i="12"/>
  <c r="K712" i="12"/>
  <c r="J712" i="12"/>
  <c r="I712" i="12"/>
  <c r="H712" i="12"/>
  <c r="G712" i="12"/>
  <c r="F712" i="12"/>
  <c r="E712" i="12"/>
  <c r="D712" i="12"/>
  <c r="C712" i="12"/>
  <c r="B712" i="12"/>
  <c r="A712" i="12"/>
  <c r="P711" i="12"/>
  <c r="O711" i="12"/>
  <c r="N711" i="12"/>
  <c r="M711" i="12"/>
  <c r="L711" i="12"/>
  <c r="K711" i="12"/>
  <c r="J711" i="12"/>
  <c r="I711" i="12"/>
  <c r="H711" i="12"/>
  <c r="G711" i="12"/>
  <c r="F711" i="12"/>
  <c r="E711" i="12"/>
  <c r="D711" i="12"/>
  <c r="C711" i="12"/>
  <c r="B711" i="12"/>
  <c r="A711" i="12"/>
  <c r="P710" i="12"/>
  <c r="O710" i="12"/>
  <c r="N710" i="12"/>
  <c r="M710" i="12"/>
  <c r="L710" i="12"/>
  <c r="K710" i="12"/>
  <c r="J710" i="12"/>
  <c r="I710" i="12"/>
  <c r="H710" i="12"/>
  <c r="G710" i="12"/>
  <c r="F710" i="12"/>
  <c r="E710" i="12"/>
  <c r="D710" i="12"/>
  <c r="C710" i="12"/>
  <c r="B710" i="12"/>
  <c r="A710" i="12"/>
  <c r="P709" i="12"/>
  <c r="O709" i="12"/>
  <c r="N709" i="12"/>
  <c r="M709" i="12"/>
  <c r="L709" i="12"/>
  <c r="K709" i="12"/>
  <c r="J709" i="12"/>
  <c r="I709" i="12"/>
  <c r="H709" i="12"/>
  <c r="G709" i="12"/>
  <c r="F709" i="12"/>
  <c r="E709" i="12"/>
  <c r="D709" i="12"/>
  <c r="C709" i="12"/>
  <c r="B709" i="12"/>
  <c r="A709" i="12"/>
  <c r="P708" i="12"/>
  <c r="O708" i="12"/>
  <c r="N708" i="12"/>
  <c r="M708" i="12"/>
  <c r="L708" i="12"/>
  <c r="K708" i="12"/>
  <c r="J708" i="12"/>
  <c r="I708" i="12"/>
  <c r="H708" i="12"/>
  <c r="G708" i="12"/>
  <c r="F708" i="12"/>
  <c r="E708" i="12"/>
  <c r="D708" i="12"/>
  <c r="C708" i="12"/>
  <c r="B708" i="12"/>
  <c r="A708" i="12"/>
  <c r="P707" i="12"/>
  <c r="O707" i="12"/>
  <c r="N707" i="12"/>
  <c r="M707" i="12"/>
  <c r="L707" i="12"/>
  <c r="K707" i="12"/>
  <c r="J707" i="12"/>
  <c r="I707" i="12"/>
  <c r="H707" i="12"/>
  <c r="G707" i="12"/>
  <c r="F707" i="12"/>
  <c r="E707" i="12"/>
  <c r="D707" i="12"/>
  <c r="C707" i="12"/>
  <c r="B707" i="12"/>
  <c r="A707" i="12"/>
  <c r="P706" i="12"/>
  <c r="O706" i="12"/>
  <c r="N706" i="12"/>
  <c r="M706" i="12"/>
  <c r="L706" i="12"/>
  <c r="K706" i="12"/>
  <c r="J706" i="12"/>
  <c r="I706" i="12"/>
  <c r="H706" i="12"/>
  <c r="G706" i="12"/>
  <c r="F706" i="12"/>
  <c r="E706" i="12"/>
  <c r="D706" i="12"/>
  <c r="C706" i="12"/>
  <c r="B706" i="12"/>
  <c r="A706" i="12"/>
  <c r="P705" i="12"/>
  <c r="O705" i="12"/>
  <c r="N705" i="12"/>
  <c r="M705" i="12"/>
  <c r="L705" i="12"/>
  <c r="K705" i="12"/>
  <c r="J705" i="12"/>
  <c r="I705" i="12"/>
  <c r="H705" i="12"/>
  <c r="G705" i="12"/>
  <c r="F705" i="12"/>
  <c r="E705" i="12"/>
  <c r="D705" i="12"/>
  <c r="C705" i="12"/>
  <c r="B705" i="12"/>
  <c r="A705" i="12"/>
  <c r="P704" i="12"/>
  <c r="O704" i="12"/>
  <c r="N704" i="12"/>
  <c r="M704" i="12"/>
  <c r="L704" i="12"/>
  <c r="K704" i="12"/>
  <c r="J704" i="12"/>
  <c r="I704" i="12"/>
  <c r="H704" i="12"/>
  <c r="G704" i="12"/>
  <c r="F704" i="12"/>
  <c r="E704" i="12"/>
  <c r="D704" i="12"/>
  <c r="C704" i="12"/>
  <c r="B704" i="12"/>
  <c r="A704" i="12"/>
  <c r="P703" i="12"/>
  <c r="O703" i="12"/>
  <c r="N703" i="12"/>
  <c r="M703" i="12"/>
  <c r="L703" i="12"/>
  <c r="K703" i="12"/>
  <c r="J703" i="12"/>
  <c r="I703" i="12"/>
  <c r="H703" i="12"/>
  <c r="G703" i="12"/>
  <c r="F703" i="12"/>
  <c r="E703" i="12"/>
  <c r="D703" i="12"/>
  <c r="C703" i="12"/>
  <c r="B703" i="12"/>
  <c r="A703" i="12"/>
  <c r="P702" i="12"/>
  <c r="O702" i="12"/>
  <c r="N702" i="12"/>
  <c r="M702" i="12"/>
  <c r="L702" i="12"/>
  <c r="K702" i="12"/>
  <c r="J702" i="12"/>
  <c r="I702" i="12"/>
  <c r="H702" i="12"/>
  <c r="G702" i="12"/>
  <c r="F702" i="12"/>
  <c r="E702" i="12"/>
  <c r="D702" i="12"/>
  <c r="C702" i="12"/>
  <c r="B702" i="12"/>
  <c r="A702" i="12"/>
  <c r="P701" i="12"/>
  <c r="O701" i="12"/>
  <c r="N701" i="12"/>
  <c r="M701" i="12"/>
  <c r="L701" i="12"/>
  <c r="K701" i="12"/>
  <c r="J701" i="12"/>
  <c r="I701" i="12"/>
  <c r="H701" i="12"/>
  <c r="G701" i="12"/>
  <c r="F701" i="12"/>
  <c r="E701" i="12"/>
  <c r="D701" i="12"/>
  <c r="C701" i="12"/>
  <c r="B701" i="12"/>
  <c r="A701" i="12"/>
  <c r="P700" i="12"/>
  <c r="O700" i="12"/>
  <c r="N700" i="12"/>
  <c r="M700" i="12"/>
  <c r="L700" i="12"/>
  <c r="K700" i="12"/>
  <c r="J700" i="12"/>
  <c r="I700" i="12"/>
  <c r="H700" i="12"/>
  <c r="G700" i="12"/>
  <c r="F700" i="12"/>
  <c r="E700" i="12"/>
  <c r="D700" i="12"/>
  <c r="C700" i="12"/>
  <c r="B700" i="12"/>
  <c r="A700" i="12"/>
  <c r="P699" i="12"/>
  <c r="O699" i="12"/>
  <c r="N699" i="12"/>
  <c r="M699" i="12"/>
  <c r="L699" i="12"/>
  <c r="K699" i="12"/>
  <c r="J699" i="12"/>
  <c r="I699" i="12"/>
  <c r="H699" i="12"/>
  <c r="G699" i="12"/>
  <c r="F699" i="12"/>
  <c r="E699" i="12"/>
  <c r="D699" i="12"/>
  <c r="C699" i="12"/>
  <c r="B699" i="12"/>
  <c r="A699" i="12"/>
  <c r="P698" i="12"/>
  <c r="O698" i="12"/>
  <c r="N698" i="12"/>
  <c r="M698" i="12"/>
  <c r="L698" i="12"/>
  <c r="K698" i="12"/>
  <c r="J698" i="12"/>
  <c r="I698" i="12"/>
  <c r="H698" i="12"/>
  <c r="G698" i="12"/>
  <c r="F698" i="12"/>
  <c r="E698" i="12"/>
  <c r="D698" i="12"/>
  <c r="C698" i="12"/>
  <c r="B698" i="12"/>
  <c r="A698" i="12"/>
  <c r="P697" i="12"/>
  <c r="O697" i="12"/>
  <c r="N697" i="12"/>
  <c r="M697" i="12"/>
  <c r="L697" i="12"/>
  <c r="K697" i="12"/>
  <c r="J697" i="12"/>
  <c r="I697" i="12"/>
  <c r="H697" i="12"/>
  <c r="G697" i="12"/>
  <c r="F697" i="12"/>
  <c r="E697" i="12"/>
  <c r="D697" i="12"/>
  <c r="C697" i="12"/>
  <c r="B697" i="12"/>
  <c r="A697" i="12"/>
  <c r="P696" i="12"/>
  <c r="O696" i="12"/>
  <c r="N696" i="12"/>
  <c r="M696" i="12"/>
  <c r="L696" i="12"/>
  <c r="K696" i="12"/>
  <c r="J696" i="12"/>
  <c r="I696" i="12"/>
  <c r="H696" i="12"/>
  <c r="G696" i="12"/>
  <c r="F696" i="12"/>
  <c r="E696" i="12"/>
  <c r="D696" i="12"/>
  <c r="C696" i="12"/>
  <c r="B696" i="12"/>
  <c r="A696" i="12"/>
  <c r="P695" i="12"/>
  <c r="O695" i="12"/>
  <c r="N695" i="12"/>
  <c r="M695" i="12"/>
  <c r="L695" i="12"/>
  <c r="K695" i="12"/>
  <c r="J695" i="12"/>
  <c r="I695" i="12"/>
  <c r="H695" i="12"/>
  <c r="G695" i="12"/>
  <c r="F695" i="12"/>
  <c r="E695" i="12"/>
  <c r="D695" i="12"/>
  <c r="C695" i="12"/>
  <c r="B695" i="12"/>
  <c r="A695" i="12"/>
  <c r="P694" i="12"/>
  <c r="O694" i="12"/>
  <c r="N694" i="12"/>
  <c r="M694" i="12"/>
  <c r="L694" i="12"/>
  <c r="K694" i="12"/>
  <c r="J694" i="12"/>
  <c r="I694" i="12"/>
  <c r="H694" i="12"/>
  <c r="G694" i="12"/>
  <c r="F694" i="12"/>
  <c r="E694" i="12"/>
  <c r="D694" i="12"/>
  <c r="C694" i="12"/>
  <c r="B694" i="12"/>
  <c r="A694" i="12"/>
  <c r="P693" i="12"/>
  <c r="O693" i="12"/>
  <c r="N693" i="12"/>
  <c r="M693" i="12"/>
  <c r="L693" i="12"/>
  <c r="K693" i="12"/>
  <c r="J693" i="12"/>
  <c r="I693" i="12"/>
  <c r="H693" i="12"/>
  <c r="G693" i="12"/>
  <c r="F693" i="12"/>
  <c r="E693" i="12"/>
  <c r="D693" i="12"/>
  <c r="C693" i="12"/>
  <c r="B693" i="12"/>
  <c r="A693" i="12"/>
  <c r="P692" i="12"/>
  <c r="O692" i="12"/>
  <c r="N692" i="12"/>
  <c r="M692" i="12"/>
  <c r="L692" i="12"/>
  <c r="K692" i="12"/>
  <c r="J692" i="12"/>
  <c r="I692" i="12"/>
  <c r="H692" i="12"/>
  <c r="G692" i="12"/>
  <c r="F692" i="12"/>
  <c r="E692" i="12"/>
  <c r="D692" i="12"/>
  <c r="C692" i="12"/>
  <c r="B692" i="12"/>
  <c r="A692" i="12"/>
  <c r="P691" i="12"/>
  <c r="O691" i="12"/>
  <c r="N691" i="12"/>
  <c r="M691" i="12"/>
  <c r="L691" i="12"/>
  <c r="K691" i="12"/>
  <c r="J691" i="12"/>
  <c r="I691" i="12"/>
  <c r="H691" i="12"/>
  <c r="G691" i="12"/>
  <c r="F691" i="12"/>
  <c r="E691" i="12"/>
  <c r="D691" i="12"/>
  <c r="C691" i="12"/>
  <c r="B691" i="12"/>
  <c r="A691" i="12"/>
  <c r="P690" i="12"/>
  <c r="O690" i="12"/>
  <c r="N690" i="12"/>
  <c r="M690" i="12"/>
  <c r="L690" i="12"/>
  <c r="K690" i="12"/>
  <c r="J690" i="12"/>
  <c r="I690" i="12"/>
  <c r="H690" i="12"/>
  <c r="G690" i="12"/>
  <c r="F690" i="12"/>
  <c r="E690" i="12"/>
  <c r="D690" i="12"/>
  <c r="C690" i="12"/>
  <c r="B690" i="12"/>
  <c r="A690" i="12"/>
  <c r="P689" i="12"/>
  <c r="O689" i="12"/>
  <c r="N689" i="12"/>
  <c r="M689" i="12"/>
  <c r="L689" i="12"/>
  <c r="K689" i="12"/>
  <c r="J689" i="12"/>
  <c r="I689" i="12"/>
  <c r="H689" i="12"/>
  <c r="G689" i="12"/>
  <c r="F689" i="12"/>
  <c r="E689" i="12"/>
  <c r="D689" i="12"/>
  <c r="C689" i="12"/>
  <c r="B689" i="12"/>
  <c r="A689" i="12"/>
  <c r="P688" i="12"/>
  <c r="O688" i="12"/>
  <c r="N688" i="12"/>
  <c r="M688" i="12"/>
  <c r="L688" i="12"/>
  <c r="K688" i="12"/>
  <c r="J688" i="12"/>
  <c r="I688" i="12"/>
  <c r="H688" i="12"/>
  <c r="G688" i="12"/>
  <c r="F688" i="12"/>
  <c r="E688" i="12"/>
  <c r="D688" i="12"/>
  <c r="C688" i="12"/>
  <c r="B688" i="12"/>
  <c r="A688" i="12"/>
  <c r="P687" i="12"/>
  <c r="O687" i="12"/>
  <c r="N687" i="12"/>
  <c r="M687" i="12"/>
  <c r="L687" i="12"/>
  <c r="K687" i="12"/>
  <c r="J687" i="12"/>
  <c r="I687" i="12"/>
  <c r="H687" i="12"/>
  <c r="G687" i="12"/>
  <c r="F687" i="12"/>
  <c r="E687" i="12"/>
  <c r="D687" i="12"/>
  <c r="C687" i="12"/>
  <c r="B687" i="12"/>
  <c r="A687" i="12"/>
  <c r="P686" i="12"/>
  <c r="O686" i="12"/>
  <c r="N686" i="12"/>
  <c r="M686" i="12"/>
  <c r="L686" i="12"/>
  <c r="K686" i="12"/>
  <c r="J686" i="12"/>
  <c r="I686" i="12"/>
  <c r="H686" i="12"/>
  <c r="G686" i="12"/>
  <c r="F686" i="12"/>
  <c r="E686" i="12"/>
  <c r="D686" i="12"/>
  <c r="C686" i="12"/>
  <c r="B686" i="12"/>
  <c r="A686" i="12"/>
  <c r="P685" i="12"/>
  <c r="O685" i="12"/>
  <c r="N685" i="12"/>
  <c r="M685" i="12"/>
  <c r="L685" i="12"/>
  <c r="K685" i="12"/>
  <c r="J685" i="12"/>
  <c r="I685" i="12"/>
  <c r="H685" i="12"/>
  <c r="G685" i="12"/>
  <c r="F685" i="12"/>
  <c r="E685" i="12"/>
  <c r="D685" i="12"/>
  <c r="C685" i="12"/>
  <c r="B685" i="12"/>
  <c r="A685" i="12"/>
  <c r="P684" i="12"/>
  <c r="O684" i="12"/>
  <c r="N684" i="12"/>
  <c r="M684" i="12"/>
  <c r="L684" i="12"/>
  <c r="K684" i="12"/>
  <c r="J684" i="12"/>
  <c r="I684" i="12"/>
  <c r="H684" i="12"/>
  <c r="G684" i="12"/>
  <c r="F684" i="12"/>
  <c r="E684" i="12"/>
  <c r="D684" i="12"/>
  <c r="C684" i="12"/>
  <c r="B684" i="12"/>
  <c r="A684" i="12"/>
  <c r="P683" i="12"/>
  <c r="O683" i="12"/>
  <c r="N683" i="12"/>
  <c r="M683" i="12"/>
  <c r="L683" i="12"/>
  <c r="K683" i="12"/>
  <c r="J683" i="12"/>
  <c r="I683" i="12"/>
  <c r="H683" i="12"/>
  <c r="G683" i="12"/>
  <c r="F683" i="12"/>
  <c r="E683" i="12"/>
  <c r="D683" i="12"/>
  <c r="C683" i="12"/>
  <c r="B683" i="12"/>
  <c r="A683" i="12"/>
  <c r="P682" i="12"/>
  <c r="O682" i="12"/>
  <c r="N682" i="12"/>
  <c r="M682" i="12"/>
  <c r="L682" i="12"/>
  <c r="K682" i="12"/>
  <c r="J682" i="12"/>
  <c r="I682" i="12"/>
  <c r="H682" i="12"/>
  <c r="G682" i="12"/>
  <c r="F682" i="12"/>
  <c r="E682" i="12"/>
  <c r="D682" i="12"/>
  <c r="C682" i="12"/>
  <c r="B682" i="12"/>
  <c r="A682" i="12"/>
  <c r="P681" i="12"/>
  <c r="O681" i="12"/>
  <c r="N681" i="12"/>
  <c r="M681" i="12"/>
  <c r="L681" i="12"/>
  <c r="K681" i="12"/>
  <c r="J681" i="12"/>
  <c r="I681" i="12"/>
  <c r="H681" i="12"/>
  <c r="G681" i="12"/>
  <c r="F681" i="12"/>
  <c r="E681" i="12"/>
  <c r="D681" i="12"/>
  <c r="C681" i="12"/>
  <c r="B681" i="12"/>
  <c r="A681" i="12"/>
  <c r="P680" i="12"/>
  <c r="O680" i="12"/>
  <c r="N680" i="12"/>
  <c r="M680" i="12"/>
  <c r="L680" i="12"/>
  <c r="K680" i="12"/>
  <c r="J680" i="12"/>
  <c r="I680" i="12"/>
  <c r="H680" i="12"/>
  <c r="G680" i="12"/>
  <c r="F680" i="12"/>
  <c r="E680" i="12"/>
  <c r="D680" i="12"/>
  <c r="C680" i="12"/>
  <c r="B680" i="12"/>
  <c r="A680" i="12"/>
  <c r="P679" i="12"/>
  <c r="O679" i="12"/>
  <c r="N679" i="12"/>
  <c r="M679" i="12"/>
  <c r="L679" i="12"/>
  <c r="K679" i="12"/>
  <c r="J679" i="12"/>
  <c r="I679" i="12"/>
  <c r="H679" i="12"/>
  <c r="G679" i="12"/>
  <c r="F679" i="12"/>
  <c r="E679" i="12"/>
  <c r="D679" i="12"/>
  <c r="C679" i="12"/>
  <c r="B679" i="12"/>
  <c r="A679" i="12"/>
  <c r="P678" i="12"/>
  <c r="O678" i="12"/>
  <c r="N678" i="12"/>
  <c r="M678" i="12"/>
  <c r="L678" i="12"/>
  <c r="K678" i="12"/>
  <c r="J678" i="12"/>
  <c r="I678" i="12"/>
  <c r="H678" i="12"/>
  <c r="G678" i="12"/>
  <c r="F678" i="12"/>
  <c r="E678" i="12"/>
  <c r="D678" i="12"/>
  <c r="C678" i="12"/>
  <c r="B678" i="12"/>
  <c r="A678" i="12"/>
  <c r="P677" i="12"/>
  <c r="O677" i="12"/>
  <c r="N677" i="12"/>
  <c r="M677" i="12"/>
  <c r="L677" i="12"/>
  <c r="K677" i="12"/>
  <c r="J677" i="12"/>
  <c r="I677" i="12"/>
  <c r="H677" i="12"/>
  <c r="G677" i="12"/>
  <c r="F677" i="12"/>
  <c r="E677" i="12"/>
  <c r="D677" i="12"/>
  <c r="C677" i="12"/>
  <c r="B677" i="12"/>
  <c r="A677" i="12"/>
  <c r="P676" i="12"/>
  <c r="O676" i="12"/>
  <c r="N676" i="12"/>
  <c r="M676" i="12"/>
  <c r="L676" i="12"/>
  <c r="K676" i="12"/>
  <c r="J676" i="12"/>
  <c r="I676" i="12"/>
  <c r="H676" i="12"/>
  <c r="G676" i="12"/>
  <c r="F676" i="12"/>
  <c r="E676" i="12"/>
  <c r="D676" i="12"/>
  <c r="C676" i="12"/>
  <c r="B676" i="12"/>
  <c r="A676" i="12"/>
  <c r="P675" i="12"/>
  <c r="O675" i="12"/>
  <c r="N675" i="12"/>
  <c r="M675" i="12"/>
  <c r="L675" i="12"/>
  <c r="K675" i="12"/>
  <c r="J675" i="12"/>
  <c r="I675" i="12"/>
  <c r="H675" i="12"/>
  <c r="G675" i="12"/>
  <c r="F675" i="12"/>
  <c r="E675" i="12"/>
  <c r="D675" i="12"/>
  <c r="C675" i="12"/>
  <c r="B675" i="12"/>
  <c r="A675" i="12"/>
  <c r="P674" i="12"/>
  <c r="O674" i="12"/>
  <c r="N674" i="12"/>
  <c r="M674" i="12"/>
  <c r="L674" i="12"/>
  <c r="K674" i="12"/>
  <c r="J674" i="12"/>
  <c r="I674" i="12"/>
  <c r="H674" i="12"/>
  <c r="G674" i="12"/>
  <c r="F674" i="12"/>
  <c r="E674" i="12"/>
  <c r="D674" i="12"/>
  <c r="C674" i="12"/>
  <c r="B674" i="12"/>
  <c r="A674" i="12"/>
  <c r="P673" i="12"/>
  <c r="O673" i="12"/>
  <c r="N673" i="12"/>
  <c r="M673" i="12"/>
  <c r="L673" i="12"/>
  <c r="K673" i="12"/>
  <c r="J673" i="12"/>
  <c r="I673" i="12"/>
  <c r="H673" i="12"/>
  <c r="G673" i="12"/>
  <c r="F673" i="12"/>
  <c r="E673" i="12"/>
  <c r="D673" i="12"/>
  <c r="C673" i="12"/>
  <c r="B673" i="12"/>
  <c r="A673" i="12"/>
  <c r="P672" i="12"/>
  <c r="O672" i="12"/>
  <c r="N672" i="12"/>
  <c r="M672" i="12"/>
  <c r="L672" i="12"/>
  <c r="K672" i="12"/>
  <c r="J672" i="12"/>
  <c r="I672" i="12"/>
  <c r="H672" i="12"/>
  <c r="G672" i="12"/>
  <c r="F672" i="12"/>
  <c r="E672" i="12"/>
  <c r="D672" i="12"/>
  <c r="C672" i="12"/>
  <c r="B672" i="12"/>
  <c r="A672" i="12"/>
  <c r="P671" i="12"/>
  <c r="O671" i="12"/>
  <c r="N671" i="12"/>
  <c r="M671" i="12"/>
  <c r="L671" i="12"/>
  <c r="K671" i="12"/>
  <c r="J671" i="12"/>
  <c r="I671" i="12"/>
  <c r="H671" i="12"/>
  <c r="G671" i="12"/>
  <c r="F671" i="12"/>
  <c r="E671" i="12"/>
  <c r="D671" i="12"/>
  <c r="C671" i="12"/>
  <c r="B671" i="12"/>
  <c r="A671" i="12"/>
  <c r="P670" i="12"/>
  <c r="O670" i="12"/>
  <c r="N670" i="12"/>
  <c r="M670" i="12"/>
  <c r="L670" i="12"/>
  <c r="K670" i="12"/>
  <c r="J670" i="12"/>
  <c r="I670" i="12"/>
  <c r="H670" i="12"/>
  <c r="G670" i="12"/>
  <c r="F670" i="12"/>
  <c r="E670" i="12"/>
  <c r="D670" i="12"/>
  <c r="C670" i="12"/>
  <c r="B670" i="12"/>
  <c r="A670" i="12"/>
  <c r="P669" i="12"/>
  <c r="O669" i="12"/>
  <c r="N669" i="12"/>
  <c r="M669" i="12"/>
  <c r="L669" i="12"/>
  <c r="K669" i="12"/>
  <c r="J669" i="12"/>
  <c r="I669" i="12"/>
  <c r="H669" i="12"/>
  <c r="G669" i="12"/>
  <c r="F669" i="12"/>
  <c r="E669" i="12"/>
  <c r="D669" i="12"/>
  <c r="C669" i="12"/>
  <c r="B669" i="12"/>
  <c r="A669" i="12"/>
  <c r="P668" i="12"/>
  <c r="O668" i="12"/>
  <c r="N668" i="12"/>
  <c r="M668" i="12"/>
  <c r="L668" i="12"/>
  <c r="K668" i="12"/>
  <c r="J668" i="12"/>
  <c r="I668" i="12"/>
  <c r="H668" i="12"/>
  <c r="G668" i="12"/>
  <c r="F668" i="12"/>
  <c r="E668" i="12"/>
  <c r="D668" i="12"/>
  <c r="C668" i="12"/>
  <c r="B668" i="12"/>
  <c r="A668" i="12"/>
  <c r="P667" i="12"/>
  <c r="O667" i="12"/>
  <c r="N667" i="12"/>
  <c r="M667" i="12"/>
  <c r="L667" i="12"/>
  <c r="K667" i="12"/>
  <c r="J667" i="12"/>
  <c r="I667" i="12"/>
  <c r="H667" i="12"/>
  <c r="G667" i="12"/>
  <c r="F667" i="12"/>
  <c r="E667" i="12"/>
  <c r="D667" i="12"/>
  <c r="C667" i="12"/>
  <c r="B667" i="12"/>
  <c r="A667" i="12"/>
  <c r="P666" i="12"/>
  <c r="O666" i="12"/>
  <c r="N666" i="12"/>
  <c r="M666" i="12"/>
  <c r="L666" i="12"/>
  <c r="K666" i="12"/>
  <c r="J666" i="12"/>
  <c r="I666" i="12"/>
  <c r="H666" i="12"/>
  <c r="G666" i="12"/>
  <c r="F666" i="12"/>
  <c r="E666" i="12"/>
  <c r="D666" i="12"/>
  <c r="C666" i="12"/>
  <c r="B666" i="12"/>
  <c r="A666" i="12"/>
  <c r="P665" i="12"/>
  <c r="O665" i="12"/>
  <c r="N665" i="12"/>
  <c r="M665" i="12"/>
  <c r="L665" i="12"/>
  <c r="K665" i="12"/>
  <c r="J665" i="12"/>
  <c r="I665" i="12"/>
  <c r="H665" i="12"/>
  <c r="G665" i="12"/>
  <c r="F665" i="12"/>
  <c r="E665" i="12"/>
  <c r="D665" i="12"/>
  <c r="C665" i="12"/>
  <c r="B665" i="12"/>
  <c r="A665" i="12"/>
  <c r="P664" i="12"/>
  <c r="O664" i="12"/>
  <c r="N664" i="12"/>
  <c r="M664" i="12"/>
  <c r="L664" i="12"/>
  <c r="K664" i="12"/>
  <c r="J664" i="12"/>
  <c r="I664" i="12"/>
  <c r="H664" i="12"/>
  <c r="G664" i="12"/>
  <c r="F664" i="12"/>
  <c r="E664" i="12"/>
  <c r="D664" i="12"/>
  <c r="C664" i="12"/>
  <c r="B664" i="12"/>
  <c r="A664" i="12"/>
  <c r="P663" i="12"/>
  <c r="O663" i="12"/>
  <c r="N663" i="12"/>
  <c r="M663" i="12"/>
  <c r="L663" i="12"/>
  <c r="K663" i="12"/>
  <c r="J663" i="12"/>
  <c r="I663" i="12"/>
  <c r="H663" i="12"/>
  <c r="G663" i="12"/>
  <c r="F663" i="12"/>
  <c r="E663" i="12"/>
  <c r="D663" i="12"/>
  <c r="C663" i="12"/>
  <c r="B663" i="12"/>
  <c r="A663" i="12"/>
  <c r="P662" i="12"/>
  <c r="O662" i="12"/>
  <c r="N662" i="12"/>
  <c r="M662" i="12"/>
  <c r="L662" i="12"/>
  <c r="K662" i="12"/>
  <c r="J662" i="12"/>
  <c r="I662" i="12"/>
  <c r="H662" i="12"/>
  <c r="G662" i="12"/>
  <c r="F662" i="12"/>
  <c r="E662" i="12"/>
  <c r="D662" i="12"/>
  <c r="C662" i="12"/>
  <c r="B662" i="12"/>
  <c r="A662" i="12"/>
  <c r="P661" i="12"/>
  <c r="O661" i="12"/>
  <c r="N661" i="12"/>
  <c r="M661" i="12"/>
  <c r="L661" i="12"/>
  <c r="K661" i="12"/>
  <c r="J661" i="12"/>
  <c r="I661" i="12"/>
  <c r="H661" i="12"/>
  <c r="G661" i="12"/>
  <c r="F661" i="12"/>
  <c r="E661" i="12"/>
  <c r="D661" i="12"/>
  <c r="C661" i="12"/>
  <c r="B661" i="12"/>
  <c r="A661" i="12"/>
  <c r="P660" i="12"/>
  <c r="O660" i="12"/>
  <c r="N660" i="12"/>
  <c r="M660" i="12"/>
  <c r="L660" i="12"/>
  <c r="K660" i="12"/>
  <c r="J660" i="12"/>
  <c r="I660" i="12"/>
  <c r="H660" i="12"/>
  <c r="G660" i="12"/>
  <c r="F660" i="12"/>
  <c r="E660" i="12"/>
  <c r="D660" i="12"/>
  <c r="C660" i="12"/>
  <c r="B660" i="12"/>
  <c r="A660" i="12"/>
  <c r="P659" i="12"/>
  <c r="O659" i="12"/>
  <c r="N659" i="12"/>
  <c r="M659" i="12"/>
  <c r="L659" i="12"/>
  <c r="K659" i="12"/>
  <c r="J659" i="12"/>
  <c r="I659" i="12"/>
  <c r="H659" i="12"/>
  <c r="G659" i="12"/>
  <c r="F659" i="12"/>
  <c r="E659" i="12"/>
  <c r="D659" i="12"/>
  <c r="C659" i="12"/>
  <c r="B659" i="12"/>
  <c r="A659" i="12"/>
  <c r="P658" i="12"/>
  <c r="O658" i="12"/>
  <c r="N658" i="12"/>
  <c r="M658" i="12"/>
  <c r="L658" i="12"/>
  <c r="K658" i="12"/>
  <c r="J658" i="12"/>
  <c r="I658" i="12"/>
  <c r="H658" i="12"/>
  <c r="G658" i="12"/>
  <c r="F658" i="12"/>
  <c r="E658" i="12"/>
  <c r="D658" i="12"/>
  <c r="C658" i="12"/>
  <c r="B658" i="12"/>
  <c r="A658" i="12"/>
  <c r="P657" i="12"/>
  <c r="O657" i="12"/>
  <c r="N657" i="12"/>
  <c r="M657" i="12"/>
  <c r="L657" i="12"/>
  <c r="K657" i="12"/>
  <c r="J657" i="12"/>
  <c r="I657" i="12"/>
  <c r="H657" i="12"/>
  <c r="G657" i="12"/>
  <c r="F657" i="12"/>
  <c r="E657" i="12"/>
  <c r="D657" i="12"/>
  <c r="C657" i="12"/>
  <c r="B657" i="12"/>
  <c r="A657" i="12"/>
  <c r="P656" i="12"/>
  <c r="O656" i="12"/>
  <c r="N656" i="12"/>
  <c r="M656" i="12"/>
  <c r="L656" i="12"/>
  <c r="K656" i="12"/>
  <c r="J656" i="12"/>
  <c r="I656" i="12"/>
  <c r="H656" i="12"/>
  <c r="G656" i="12"/>
  <c r="F656" i="12"/>
  <c r="E656" i="12"/>
  <c r="D656" i="12"/>
  <c r="C656" i="12"/>
  <c r="B656" i="12"/>
  <c r="A656" i="12"/>
  <c r="P655" i="12"/>
  <c r="O655" i="12"/>
  <c r="N655" i="12"/>
  <c r="M655" i="12"/>
  <c r="L655" i="12"/>
  <c r="K655" i="12"/>
  <c r="J655" i="12"/>
  <c r="I655" i="12"/>
  <c r="H655" i="12"/>
  <c r="G655" i="12"/>
  <c r="F655" i="12"/>
  <c r="E655" i="12"/>
  <c r="D655" i="12"/>
  <c r="C655" i="12"/>
  <c r="B655" i="12"/>
  <c r="A655" i="12"/>
  <c r="P654" i="12"/>
  <c r="O654" i="12"/>
  <c r="N654" i="12"/>
  <c r="M654" i="12"/>
  <c r="L654" i="12"/>
  <c r="K654" i="12"/>
  <c r="J654" i="12"/>
  <c r="I654" i="12"/>
  <c r="H654" i="12"/>
  <c r="G654" i="12"/>
  <c r="F654" i="12"/>
  <c r="E654" i="12"/>
  <c r="D654" i="12"/>
  <c r="C654" i="12"/>
  <c r="B654" i="12"/>
  <c r="A654" i="12"/>
  <c r="P653" i="12"/>
  <c r="O653" i="12"/>
  <c r="N653" i="12"/>
  <c r="M653" i="12"/>
  <c r="L653" i="12"/>
  <c r="K653" i="12"/>
  <c r="J653" i="12"/>
  <c r="I653" i="12"/>
  <c r="H653" i="12"/>
  <c r="G653" i="12"/>
  <c r="F653" i="12"/>
  <c r="E653" i="12"/>
  <c r="D653" i="12"/>
  <c r="C653" i="12"/>
  <c r="B653" i="12"/>
  <c r="A653" i="12"/>
  <c r="P652" i="12"/>
  <c r="O652" i="12"/>
  <c r="N652" i="12"/>
  <c r="M652" i="12"/>
  <c r="L652" i="12"/>
  <c r="K652" i="12"/>
  <c r="J652" i="12"/>
  <c r="I652" i="12"/>
  <c r="H652" i="12"/>
  <c r="G652" i="12"/>
  <c r="F652" i="12"/>
  <c r="E652" i="12"/>
  <c r="D652" i="12"/>
  <c r="C652" i="12"/>
  <c r="B652" i="12"/>
  <c r="A652" i="12"/>
  <c r="P651" i="12"/>
  <c r="O651" i="12"/>
  <c r="N651" i="12"/>
  <c r="M651" i="12"/>
  <c r="L651" i="12"/>
  <c r="K651" i="12"/>
  <c r="J651" i="12"/>
  <c r="I651" i="12"/>
  <c r="H651" i="12"/>
  <c r="G651" i="12"/>
  <c r="F651" i="12"/>
  <c r="E651" i="12"/>
  <c r="D651" i="12"/>
  <c r="C651" i="12"/>
  <c r="B651" i="12"/>
  <c r="A651" i="12"/>
  <c r="P650" i="12"/>
  <c r="O650" i="12"/>
  <c r="N650" i="12"/>
  <c r="M650" i="12"/>
  <c r="L650" i="12"/>
  <c r="K650" i="12"/>
  <c r="J650" i="12"/>
  <c r="I650" i="12"/>
  <c r="H650" i="12"/>
  <c r="G650" i="12"/>
  <c r="F650" i="12"/>
  <c r="E650" i="12"/>
  <c r="D650" i="12"/>
  <c r="C650" i="12"/>
  <c r="B650" i="12"/>
  <c r="A650" i="12"/>
  <c r="P649" i="12"/>
  <c r="O649" i="12"/>
  <c r="N649" i="12"/>
  <c r="M649" i="12"/>
  <c r="L649" i="12"/>
  <c r="K649" i="12"/>
  <c r="J649" i="12"/>
  <c r="I649" i="12"/>
  <c r="H649" i="12"/>
  <c r="G649" i="12"/>
  <c r="F649" i="12"/>
  <c r="E649" i="12"/>
  <c r="D649" i="12"/>
  <c r="C649" i="12"/>
  <c r="B649" i="12"/>
  <c r="A649" i="12"/>
  <c r="P648" i="12"/>
  <c r="O648" i="12"/>
  <c r="N648" i="12"/>
  <c r="M648" i="12"/>
  <c r="L648" i="12"/>
  <c r="K648" i="12"/>
  <c r="J648" i="12"/>
  <c r="I648" i="12"/>
  <c r="H648" i="12"/>
  <c r="G648" i="12"/>
  <c r="F648" i="12"/>
  <c r="E648" i="12"/>
  <c r="D648" i="12"/>
  <c r="C648" i="12"/>
  <c r="B648" i="12"/>
  <c r="A648" i="12"/>
  <c r="P647" i="12"/>
  <c r="O647" i="12"/>
  <c r="N647" i="12"/>
  <c r="M647" i="12"/>
  <c r="L647" i="12"/>
  <c r="K647" i="12"/>
  <c r="J647" i="12"/>
  <c r="I647" i="12"/>
  <c r="H647" i="12"/>
  <c r="G647" i="12"/>
  <c r="F647" i="12"/>
  <c r="E647" i="12"/>
  <c r="D647" i="12"/>
  <c r="C647" i="12"/>
  <c r="B647" i="12"/>
  <c r="A647" i="12"/>
  <c r="P646" i="12"/>
  <c r="O646" i="12"/>
  <c r="N646" i="12"/>
  <c r="M646" i="12"/>
  <c r="L646" i="12"/>
  <c r="K646" i="12"/>
  <c r="J646" i="12"/>
  <c r="I646" i="12"/>
  <c r="H646" i="12"/>
  <c r="G646" i="12"/>
  <c r="F646" i="12"/>
  <c r="E646" i="12"/>
  <c r="D646" i="12"/>
  <c r="C646" i="12"/>
  <c r="B646" i="12"/>
  <c r="A646" i="12"/>
  <c r="P645" i="12"/>
  <c r="O645" i="12"/>
  <c r="N645" i="12"/>
  <c r="M645" i="12"/>
  <c r="L645" i="12"/>
  <c r="K645" i="12"/>
  <c r="J645" i="12"/>
  <c r="I645" i="12"/>
  <c r="H645" i="12"/>
  <c r="G645" i="12"/>
  <c r="F645" i="12"/>
  <c r="E645" i="12"/>
  <c r="D645" i="12"/>
  <c r="C645" i="12"/>
  <c r="B645" i="12"/>
  <c r="A645" i="12"/>
  <c r="P644" i="12"/>
  <c r="O644" i="12"/>
  <c r="N644" i="12"/>
  <c r="M644" i="12"/>
  <c r="L644" i="12"/>
  <c r="K644" i="12"/>
  <c r="J644" i="12"/>
  <c r="I644" i="12"/>
  <c r="H644" i="12"/>
  <c r="G644" i="12"/>
  <c r="F644" i="12"/>
  <c r="E644" i="12"/>
  <c r="D644" i="12"/>
  <c r="C644" i="12"/>
  <c r="B644" i="12"/>
  <c r="A644" i="12"/>
  <c r="P643" i="12"/>
  <c r="O643" i="12"/>
  <c r="N643" i="12"/>
  <c r="M643" i="12"/>
  <c r="L643" i="12"/>
  <c r="K643" i="12"/>
  <c r="J643" i="12"/>
  <c r="I643" i="12"/>
  <c r="H643" i="12"/>
  <c r="G643" i="12"/>
  <c r="F643" i="12"/>
  <c r="E643" i="12"/>
  <c r="D643" i="12"/>
  <c r="C643" i="12"/>
  <c r="B643" i="12"/>
  <c r="A643" i="12"/>
  <c r="P642" i="12"/>
  <c r="O642" i="12"/>
  <c r="N642" i="12"/>
  <c r="M642" i="12"/>
  <c r="L642" i="12"/>
  <c r="K642" i="12"/>
  <c r="J642" i="12"/>
  <c r="I642" i="12"/>
  <c r="H642" i="12"/>
  <c r="G642" i="12"/>
  <c r="F642" i="12"/>
  <c r="E642" i="12"/>
  <c r="D642" i="12"/>
  <c r="C642" i="12"/>
  <c r="B642" i="12"/>
  <c r="A642" i="12"/>
  <c r="P641" i="12"/>
  <c r="O641" i="12"/>
  <c r="N641" i="12"/>
  <c r="M641" i="12"/>
  <c r="L641" i="12"/>
  <c r="K641" i="12"/>
  <c r="J641" i="12"/>
  <c r="I641" i="12"/>
  <c r="H641" i="12"/>
  <c r="G641" i="12"/>
  <c r="F641" i="12"/>
  <c r="E641" i="12"/>
  <c r="D641" i="12"/>
  <c r="C641" i="12"/>
  <c r="B641" i="12"/>
  <c r="A641" i="12"/>
  <c r="P640" i="12"/>
  <c r="O640" i="12"/>
  <c r="N640" i="12"/>
  <c r="M640" i="12"/>
  <c r="L640" i="12"/>
  <c r="K640" i="12"/>
  <c r="J640" i="12"/>
  <c r="I640" i="12"/>
  <c r="H640" i="12"/>
  <c r="G640" i="12"/>
  <c r="F640" i="12"/>
  <c r="E640" i="12"/>
  <c r="D640" i="12"/>
  <c r="C640" i="12"/>
  <c r="B640" i="12"/>
  <c r="A640" i="12"/>
  <c r="P639" i="12"/>
  <c r="O639" i="12"/>
  <c r="N639" i="12"/>
  <c r="M639" i="12"/>
  <c r="L639" i="12"/>
  <c r="K639" i="12"/>
  <c r="J639" i="12"/>
  <c r="I639" i="12"/>
  <c r="H639" i="12"/>
  <c r="G639" i="12"/>
  <c r="F639" i="12"/>
  <c r="E639" i="12"/>
  <c r="D639" i="12"/>
  <c r="C639" i="12"/>
  <c r="B639" i="12"/>
  <c r="A639" i="12"/>
  <c r="P638" i="12"/>
  <c r="O638" i="12"/>
  <c r="N638" i="12"/>
  <c r="M638" i="12"/>
  <c r="L638" i="12"/>
  <c r="K638" i="12"/>
  <c r="J638" i="12"/>
  <c r="I638" i="12"/>
  <c r="H638" i="12"/>
  <c r="G638" i="12"/>
  <c r="F638" i="12"/>
  <c r="E638" i="12"/>
  <c r="D638" i="12"/>
  <c r="C638" i="12"/>
  <c r="B638" i="12"/>
  <c r="A638" i="12"/>
  <c r="P637" i="12"/>
  <c r="O637" i="12"/>
  <c r="N637" i="12"/>
  <c r="M637" i="12"/>
  <c r="L637" i="12"/>
  <c r="K637" i="12"/>
  <c r="J637" i="12"/>
  <c r="I637" i="12"/>
  <c r="H637" i="12"/>
  <c r="G637" i="12"/>
  <c r="F637" i="12"/>
  <c r="E637" i="12"/>
  <c r="D637" i="12"/>
  <c r="C637" i="12"/>
  <c r="B637" i="12"/>
  <c r="A637" i="12"/>
  <c r="P636" i="12"/>
  <c r="O636" i="12"/>
  <c r="N636" i="12"/>
  <c r="M636" i="12"/>
  <c r="L636" i="12"/>
  <c r="K636" i="12"/>
  <c r="J636" i="12"/>
  <c r="I636" i="12"/>
  <c r="H636" i="12"/>
  <c r="G636" i="12"/>
  <c r="F636" i="12"/>
  <c r="E636" i="12"/>
  <c r="D636" i="12"/>
  <c r="C636" i="12"/>
  <c r="B636" i="12"/>
  <c r="A636" i="12"/>
  <c r="P635" i="12"/>
  <c r="O635" i="12"/>
  <c r="N635" i="12"/>
  <c r="M635" i="12"/>
  <c r="L635" i="12"/>
  <c r="K635" i="12"/>
  <c r="J635" i="12"/>
  <c r="I635" i="12"/>
  <c r="H635" i="12"/>
  <c r="G635" i="12"/>
  <c r="F635" i="12"/>
  <c r="E635" i="12"/>
  <c r="D635" i="12"/>
  <c r="C635" i="12"/>
  <c r="B635" i="12"/>
  <c r="A635" i="12"/>
  <c r="P634" i="12"/>
  <c r="O634" i="12"/>
  <c r="N634" i="12"/>
  <c r="M634" i="12"/>
  <c r="L634" i="12"/>
  <c r="K634" i="12"/>
  <c r="J634" i="12"/>
  <c r="I634" i="12"/>
  <c r="H634" i="12"/>
  <c r="G634" i="12"/>
  <c r="F634" i="12"/>
  <c r="E634" i="12"/>
  <c r="D634" i="12"/>
  <c r="C634" i="12"/>
  <c r="B634" i="12"/>
  <c r="A634" i="12"/>
  <c r="P633" i="12"/>
  <c r="O633" i="12"/>
  <c r="N633" i="12"/>
  <c r="M633" i="12"/>
  <c r="L633" i="12"/>
  <c r="K633" i="12"/>
  <c r="J633" i="12"/>
  <c r="I633" i="12"/>
  <c r="H633" i="12"/>
  <c r="G633" i="12"/>
  <c r="F633" i="12"/>
  <c r="E633" i="12"/>
  <c r="D633" i="12"/>
  <c r="C633" i="12"/>
  <c r="B633" i="12"/>
  <c r="A633" i="12"/>
  <c r="P632" i="12"/>
  <c r="O632" i="12"/>
  <c r="N632" i="12"/>
  <c r="M632" i="12"/>
  <c r="L632" i="12"/>
  <c r="K632" i="12"/>
  <c r="J632" i="12"/>
  <c r="I632" i="12"/>
  <c r="H632" i="12"/>
  <c r="G632" i="12"/>
  <c r="F632" i="12"/>
  <c r="E632" i="12"/>
  <c r="D632" i="12"/>
  <c r="C632" i="12"/>
  <c r="B632" i="12"/>
  <c r="A632" i="12"/>
  <c r="P631" i="12"/>
  <c r="O631" i="12"/>
  <c r="N631" i="12"/>
  <c r="M631" i="12"/>
  <c r="L631" i="12"/>
  <c r="K631" i="12"/>
  <c r="J631" i="12"/>
  <c r="I631" i="12"/>
  <c r="H631" i="12"/>
  <c r="G631" i="12"/>
  <c r="F631" i="12"/>
  <c r="E631" i="12"/>
  <c r="D631" i="12"/>
  <c r="C631" i="12"/>
  <c r="B631" i="12"/>
  <c r="A631" i="12"/>
  <c r="P630" i="12"/>
  <c r="O630" i="12"/>
  <c r="N630" i="12"/>
  <c r="M630" i="12"/>
  <c r="L630" i="12"/>
  <c r="K630" i="12"/>
  <c r="J630" i="12"/>
  <c r="I630" i="12"/>
  <c r="H630" i="12"/>
  <c r="G630" i="12"/>
  <c r="F630" i="12"/>
  <c r="E630" i="12"/>
  <c r="D630" i="12"/>
  <c r="C630" i="12"/>
  <c r="B630" i="12"/>
  <c r="A630" i="12"/>
  <c r="P629" i="12"/>
  <c r="O629" i="12"/>
  <c r="N629" i="12"/>
  <c r="M629" i="12"/>
  <c r="L629" i="12"/>
  <c r="K629" i="12"/>
  <c r="J629" i="12"/>
  <c r="I629" i="12"/>
  <c r="H629" i="12"/>
  <c r="G629" i="12"/>
  <c r="F629" i="12"/>
  <c r="E629" i="12"/>
  <c r="D629" i="12"/>
  <c r="C629" i="12"/>
  <c r="B629" i="12"/>
  <c r="A629" i="12"/>
  <c r="P628" i="12"/>
  <c r="O628" i="12"/>
  <c r="N628" i="12"/>
  <c r="M628" i="12"/>
  <c r="L628" i="12"/>
  <c r="K628" i="12"/>
  <c r="J628" i="12"/>
  <c r="I628" i="12"/>
  <c r="H628" i="12"/>
  <c r="G628" i="12"/>
  <c r="F628" i="12"/>
  <c r="E628" i="12"/>
  <c r="D628" i="12"/>
  <c r="C628" i="12"/>
  <c r="B628" i="12"/>
  <c r="A628" i="12"/>
  <c r="P627" i="12"/>
  <c r="O627" i="12"/>
  <c r="N627" i="12"/>
  <c r="M627" i="12"/>
  <c r="L627" i="12"/>
  <c r="K627" i="12"/>
  <c r="J627" i="12"/>
  <c r="I627" i="12"/>
  <c r="H627" i="12"/>
  <c r="G627" i="12"/>
  <c r="F627" i="12"/>
  <c r="E627" i="12"/>
  <c r="D627" i="12"/>
  <c r="C627" i="12"/>
  <c r="B627" i="12"/>
  <c r="A627" i="12"/>
  <c r="P626" i="12"/>
  <c r="O626" i="12"/>
  <c r="N626" i="12"/>
  <c r="M626" i="12"/>
  <c r="L626" i="12"/>
  <c r="K626" i="12"/>
  <c r="J626" i="12"/>
  <c r="I626" i="12"/>
  <c r="H626" i="12"/>
  <c r="G626" i="12"/>
  <c r="F626" i="12"/>
  <c r="E626" i="12"/>
  <c r="D626" i="12"/>
  <c r="C626" i="12"/>
  <c r="B626" i="12"/>
  <c r="A626" i="12"/>
  <c r="P625" i="12"/>
  <c r="O625" i="12"/>
  <c r="N625" i="12"/>
  <c r="M625" i="12"/>
  <c r="L625" i="12"/>
  <c r="K625" i="12"/>
  <c r="J625" i="12"/>
  <c r="I625" i="12"/>
  <c r="H625" i="12"/>
  <c r="G625" i="12"/>
  <c r="F625" i="12"/>
  <c r="E625" i="12"/>
  <c r="D625" i="12"/>
  <c r="C625" i="12"/>
  <c r="B625" i="12"/>
  <c r="A625" i="12"/>
  <c r="P624" i="12"/>
  <c r="O624" i="12"/>
  <c r="N624" i="12"/>
  <c r="M624" i="12"/>
  <c r="L624" i="12"/>
  <c r="K624" i="12"/>
  <c r="J624" i="12"/>
  <c r="I624" i="12"/>
  <c r="H624" i="12"/>
  <c r="G624" i="12"/>
  <c r="F624" i="12"/>
  <c r="E624" i="12"/>
  <c r="D624" i="12"/>
  <c r="C624" i="12"/>
  <c r="B624" i="12"/>
  <c r="A624" i="12"/>
  <c r="P623" i="12"/>
  <c r="O623" i="12"/>
  <c r="N623" i="12"/>
  <c r="M623" i="12"/>
  <c r="L623" i="12"/>
  <c r="K623" i="12"/>
  <c r="J623" i="12"/>
  <c r="I623" i="12"/>
  <c r="H623" i="12"/>
  <c r="G623" i="12"/>
  <c r="F623" i="12"/>
  <c r="E623" i="12"/>
  <c r="D623" i="12"/>
  <c r="C623" i="12"/>
  <c r="B623" i="12"/>
  <c r="A623" i="12"/>
  <c r="P622" i="12"/>
  <c r="O622" i="12"/>
  <c r="N622" i="12"/>
  <c r="M622" i="12"/>
  <c r="L622" i="12"/>
  <c r="K622" i="12"/>
  <c r="J622" i="12"/>
  <c r="I622" i="12"/>
  <c r="H622" i="12"/>
  <c r="G622" i="12"/>
  <c r="F622" i="12"/>
  <c r="E622" i="12"/>
  <c r="D622" i="12"/>
  <c r="C622" i="12"/>
  <c r="B622" i="12"/>
  <c r="A622" i="12"/>
  <c r="P621" i="12"/>
  <c r="O621" i="12"/>
  <c r="N621" i="12"/>
  <c r="M621" i="12"/>
  <c r="L621" i="12"/>
  <c r="K621" i="12"/>
  <c r="J621" i="12"/>
  <c r="I621" i="12"/>
  <c r="H621" i="12"/>
  <c r="G621" i="12"/>
  <c r="F621" i="12"/>
  <c r="E621" i="12"/>
  <c r="D621" i="12"/>
  <c r="C621" i="12"/>
  <c r="B621" i="12"/>
  <c r="A621" i="12"/>
  <c r="P620" i="12"/>
  <c r="O620" i="12"/>
  <c r="N620" i="12"/>
  <c r="M620" i="12"/>
  <c r="L620" i="12"/>
  <c r="K620" i="12"/>
  <c r="J620" i="12"/>
  <c r="I620" i="12"/>
  <c r="H620" i="12"/>
  <c r="G620" i="12"/>
  <c r="F620" i="12"/>
  <c r="E620" i="12"/>
  <c r="D620" i="12"/>
  <c r="C620" i="12"/>
  <c r="B620" i="12"/>
  <c r="A620" i="12"/>
  <c r="P619" i="12"/>
  <c r="O619" i="12"/>
  <c r="N619" i="12"/>
  <c r="M619" i="12"/>
  <c r="L619" i="12"/>
  <c r="K619" i="12"/>
  <c r="J619" i="12"/>
  <c r="I619" i="12"/>
  <c r="H619" i="12"/>
  <c r="G619" i="12"/>
  <c r="F619" i="12"/>
  <c r="E619" i="12"/>
  <c r="D619" i="12"/>
  <c r="C619" i="12"/>
  <c r="B619" i="12"/>
  <c r="A619" i="12"/>
  <c r="P618" i="12"/>
  <c r="O618" i="12"/>
  <c r="N618" i="12"/>
  <c r="M618" i="12"/>
  <c r="L618" i="12"/>
  <c r="K618" i="12"/>
  <c r="J618" i="12"/>
  <c r="I618" i="12"/>
  <c r="H618" i="12"/>
  <c r="G618" i="12"/>
  <c r="F618" i="12"/>
  <c r="E618" i="12"/>
  <c r="D618" i="12"/>
  <c r="C618" i="12"/>
  <c r="B618" i="12"/>
  <c r="A618" i="12"/>
  <c r="P617" i="12"/>
  <c r="O617" i="12"/>
  <c r="N617" i="12"/>
  <c r="M617" i="12"/>
  <c r="L617" i="12"/>
  <c r="K617" i="12"/>
  <c r="J617" i="12"/>
  <c r="I617" i="12"/>
  <c r="H617" i="12"/>
  <c r="G617" i="12"/>
  <c r="F617" i="12"/>
  <c r="E617" i="12"/>
  <c r="D617" i="12"/>
  <c r="C617" i="12"/>
  <c r="B617" i="12"/>
  <c r="A617" i="12"/>
  <c r="P616" i="12"/>
  <c r="O616" i="12"/>
  <c r="N616" i="12"/>
  <c r="M616" i="12"/>
  <c r="L616" i="12"/>
  <c r="K616" i="12"/>
  <c r="J616" i="12"/>
  <c r="I616" i="12"/>
  <c r="H616" i="12"/>
  <c r="G616" i="12"/>
  <c r="F616" i="12"/>
  <c r="E616" i="12"/>
  <c r="D616" i="12"/>
  <c r="C616" i="12"/>
  <c r="B616" i="12"/>
  <c r="A616" i="12"/>
  <c r="P615" i="12"/>
  <c r="O615" i="12"/>
  <c r="N615" i="12"/>
  <c r="M615" i="12"/>
  <c r="L615" i="12"/>
  <c r="K615" i="12"/>
  <c r="J615" i="12"/>
  <c r="I615" i="12"/>
  <c r="H615" i="12"/>
  <c r="G615" i="12"/>
  <c r="F615" i="12"/>
  <c r="E615" i="12"/>
  <c r="D615" i="12"/>
  <c r="C615" i="12"/>
  <c r="B615" i="12"/>
  <c r="A615" i="12"/>
  <c r="P614" i="12"/>
  <c r="O614" i="12"/>
  <c r="N614" i="12"/>
  <c r="M614" i="12"/>
  <c r="L614" i="12"/>
  <c r="K614" i="12"/>
  <c r="J614" i="12"/>
  <c r="I614" i="12"/>
  <c r="H614" i="12"/>
  <c r="G614" i="12"/>
  <c r="F614" i="12"/>
  <c r="E614" i="12"/>
  <c r="D614" i="12"/>
  <c r="C614" i="12"/>
  <c r="B614" i="12"/>
  <c r="A614" i="12"/>
  <c r="P613" i="12"/>
  <c r="O613" i="12"/>
  <c r="N613" i="12"/>
  <c r="M613" i="12"/>
  <c r="L613" i="12"/>
  <c r="K613" i="12"/>
  <c r="J613" i="12"/>
  <c r="I613" i="12"/>
  <c r="H613" i="12"/>
  <c r="G613" i="12"/>
  <c r="F613" i="12"/>
  <c r="E613" i="12"/>
  <c r="D613" i="12"/>
  <c r="C613" i="12"/>
  <c r="B613" i="12"/>
  <c r="A613" i="12"/>
  <c r="P612" i="12"/>
  <c r="O612" i="12"/>
  <c r="N612" i="12"/>
  <c r="M612" i="12"/>
  <c r="L612" i="12"/>
  <c r="K612" i="12"/>
  <c r="J612" i="12"/>
  <c r="I612" i="12"/>
  <c r="H612" i="12"/>
  <c r="G612" i="12"/>
  <c r="F612" i="12"/>
  <c r="E612" i="12"/>
  <c r="D612" i="12"/>
  <c r="C612" i="12"/>
  <c r="B612" i="12"/>
  <c r="A612" i="12"/>
  <c r="P611" i="12"/>
  <c r="O611" i="12"/>
  <c r="N611" i="12"/>
  <c r="M611" i="12"/>
  <c r="L611" i="12"/>
  <c r="K611" i="12"/>
  <c r="J611" i="12"/>
  <c r="I611" i="12"/>
  <c r="H611" i="12"/>
  <c r="G611" i="12"/>
  <c r="F611" i="12"/>
  <c r="E611" i="12"/>
  <c r="D611" i="12"/>
  <c r="C611" i="12"/>
  <c r="B611" i="12"/>
  <c r="A611" i="12"/>
  <c r="P610" i="12"/>
  <c r="O610" i="12"/>
  <c r="N610" i="12"/>
  <c r="M610" i="12"/>
  <c r="L610" i="12"/>
  <c r="K610" i="12"/>
  <c r="J610" i="12"/>
  <c r="I610" i="12"/>
  <c r="H610" i="12"/>
  <c r="G610" i="12"/>
  <c r="F610" i="12"/>
  <c r="E610" i="12"/>
  <c r="D610" i="12"/>
  <c r="C610" i="12"/>
  <c r="B610" i="12"/>
  <c r="A610" i="12"/>
  <c r="P609" i="12"/>
  <c r="O609" i="12"/>
  <c r="N609" i="12"/>
  <c r="M609" i="12"/>
  <c r="L609" i="12"/>
  <c r="K609" i="12"/>
  <c r="J609" i="12"/>
  <c r="I609" i="12"/>
  <c r="H609" i="12"/>
  <c r="G609" i="12"/>
  <c r="F609" i="12"/>
  <c r="E609" i="12"/>
  <c r="D609" i="12"/>
  <c r="C609" i="12"/>
  <c r="B609" i="12"/>
  <c r="A609" i="12"/>
  <c r="P608" i="12"/>
  <c r="O608" i="12"/>
  <c r="N608" i="12"/>
  <c r="M608" i="12"/>
  <c r="L608" i="12"/>
  <c r="K608" i="12"/>
  <c r="J608" i="12"/>
  <c r="I608" i="12"/>
  <c r="H608" i="12"/>
  <c r="G608" i="12"/>
  <c r="F608" i="12"/>
  <c r="E608" i="12"/>
  <c r="D608" i="12"/>
  <c r="C608" i="12"/>
  <c r="B608" i="12"/>
  <c r="A608" i="12"/>
  <c r="P607" i="12"/>
  <c r="O607" i="12"/>
  <c r="N607" i="12"/>
  <c r="M607" i="12"/>
  <c r="L607" i="12"/>
  <c r="K607" i="12"/>
  <c r="J607" i="12"/>
  <c r="I607" i="12"/>
  <c r="H607" i="12"/>
  <c r="G607" i="12"/>
  <c r="F607" i="12"/>
  <c r="E607" i="12"/>
  <c r="D607" i="12"/>
  <c r="C607" i="12"/>
  <c r="B607" i="12"/>
  <c r="A607" i="12"/>
  <c r="P606" i="12"/>
  <c r="O606" i="12"/>
  <c r="N606" i="12"/>
  <c r="M606" i="12"/>
  <c r="L606" i="12"/>
  <c r="K606" i="12"/>
  <c r="J606" i="12"/>
  <c r="I606" i="12"/>
  <c r="H606" i="12"/>
  <c r="G606" i="12"/>
  <c r="F606" i="12"/>
  <c r="E606" i="12"/>
  <c r="D606" i="12"/>
  <c r="C606" i="12"/>
  <c r="B606" i="12"/>
  <c r="A606" i="12"/>
  <c r="P605" i="12"/>
  <c r="O605" i="12"/>
  <c r="N605" i="12"/>
  <c r="M605" i="12"/>
  <c r="L605" i="12"/>
  <c r="K605" i="12"/>
  <c r="J605" i="12"/>
  <c r="I605" i="12"/>
  <c r="H605" i="12"/>
  <c r="G605" i="12"/>
  <c r="F605" i="12"/>
  <c r="E605" i="12"/>
  <c r="D605" i="12"/>
  <c r="C605" i="12"/>
  <c r="B605" i="12"/>
  <c r="A605" i="12"/>
  <c r="P604" i="12"/>
  <c r="O604" i="12"/>
  <c r="N604" i="12"/>
  <c r="M604" i="12"/>
  <c r="L604" i="12"/>
  <c r="K604" i="12"/>
  <c r="J604" i="12"/>
  <c r="I604" i="12"/>
  <c r="H604" i="12"/>
  <c r="G604" i="12"/>
  <c r="F604" i="12"/>
  <c r="E604" i="12"/>
  <c r="D604" i="12"/>
  <c r="C604" i="12"/>
  <c r="B604" i="12"/>
  <c r="A604" i="12"/>
  <c r="P603" i="12"/>
  <c r="O603" i="12"/>
  <c r="N603" i="12"/>
  <c r="M603" i="12"/>
  <c r="L603" i="12"/>
  <c r="K603" i="12"/>
  <c r="J603" i="12"/>
  <c r="I603" i="12"/>
  <c r="H603" i="12"/>
  <c r="G603" i="12"/>
  <c r="F603" i="12"/>
  <c r="E603" i="12"/>
  <c r="D603" i="12"/>
  <c r="C603" i="12"/>
  <c r="B603" i="12"/>
  <c r="A603" i="12"/>
  <c r="P602" i="12"/>
  <c r="O602" i="12"/>
  <c r="N602" i="12"/>
  <c r="M602" i="12"/>
  <c r="L602" i="12"/>
  <c r="K602" i="12"/>
  <c r="J602" i="12"/>
  <c r="I602" i="12"/>
  <c r="H602" i="12"/>
  <c r="G602" i="12"/>
  <c r="F602" i="12"/>
  <c r="E602" i="12"/>
  <c r="D602" i="12"/>
  <c r="C602" i="12"/>
  <c r="B602" i="12"/>
  <c r="A602" i="12"/>
  <c r="P601" i="12"/>
  <c r="O601" i="12"/>
  <c r="N601" i="12"/>
  <c r="M601" i="12"/>
  <c r="L601" i="12"/>
  <c r="K601" i="12"/>
  <c r="J601" i="12"/>
  <c r="I601" i="12"/>
  <c r="H601" i="12"/>
  <c r="G601" i="12"/>
  <c r="F601" i="12"/>
  <c r="E601" i="12"/>
  <c r="D601" i="12"/>
  <c r="C601" i="12"/>
  <c r="B601" i="12"/>
  <c r="A601" i="12"/>
  <c r="P600" i="12"/>
  <c r="O600" i="12"/>
  <c r="N600" i="12"/>
  <c r="M600" i="12"/>
  <c r="L600" i="12"/>
  <c r="K600" i="12"/>
  <c r="J600" i="12"/>
  <c r="I600" i="12"/>
  <c r="H600" i="12"/>
  <c r="G600" i="12"/>
  <c r="F600" i="12"/>
  <c r="E600" i="12"/>
  <c r="D600" i="12"/>
  <c r="C600" i="12"/>
  <c r="B600" i="12"/>
  <c r="A600" i="12"/>
  <c r="P599" i="12"/>
  <c r="O599" i="12"/>
  <c r="N599" i="12"/>
  <c r="M599" i="12"/>
  <c r="L599" i="12"/>
  <c r="K599" i="12"/>
  <c r="J599" i="12"/>
  <c r="I599" i="12"/>
  <c r="H599" i="12"/>
  <c r="G599" i="12"/>
  <c r="F599" i="12"/>
  <c r="E599" i="12"/>
  <c r="D599" i="12"/>
  <c r="C599" i="12"/>
  <c r="B599" i="12"/>
  <c r="A599" i="12"/>
  <c r="P598" i="12"/>
  <c r="O598" i="12"/>
  <c r="N598" i="12"/>
  <c r="M598" i="12"/>
  <c r="L598" i="12"/>
  <c r="K598" i="12"/>
  <c r="J598" i="12"/>
  <c r="I598" i="12"/>
  <c r="H598" i="12"/>
  <c r="G598" i="12"/>
  <c r="F598" i="12"/>
  <c r="E598" i="12"/>
  <c r="D598" i="12"/>
  <c r="C598" i="12"/>
  <c r="B598" i="12"/>
  <c r="A598" i="12"/>
  <c r="P597" i="12"/>
  <c r="O597" i="12"/>
  <c r="N597" i="12"/>
  <c r="M597" i="12"/>
  <c r="L597" i="12"/>
  <c r="K597" i="12"/>
  <c r="J597" i="12"/>
  <c r="I597" i="12"/>
  <c r="H597" i="12"/>
  <c r="G597" i="12"/>
  <c r="F597" i="12"/>
  <c r="E597" i="12"/>
  <c r="D597" i="12"/>
  <c r="C597" i="12"/>
  <c r="B597" i="12"/>
  <c r="A597" i="12"/>
  <c r="P596" i="12"/>
  <c r="O596" i="12"/>
  <c r="N596" i="12"/>
  <c r="M596" i="12"/>
  <c r="L596" i="12"/>
  <c r="K596" i="12"/>
  <c r="J596" i="12"/>
  <c r="I596" i="12"/>
  <c r="H596" i="12"/>
  <c r="G596" i="12"/>
  <c r="F596" i="12"/>
  <c r="E596" i="12"/>
  <c r="D596" i="12"/>
  <c r="C596" i="12"/>
  <c r="B596" i="12"/>
  <c r="A596" i="12"/>
  <c r="P595" i="12"/>
  <c r="O595" i="12"/>
  <c r="N595" i="12"/>
  <c r="M595" i="12"/>
  <c r="L595" i="12"/>
  <c r="K595" i="12"/>
  <c r="J595" i="12"/>
  <c r="I595" i="12"/>
  <c r="H595" i="12"/>
  <c r="G595" i="12"/>
  <c r="F595" i="12"/>
  <c r="E595" i="12"/>
  <c r="D595" i="12"/>
  <c r="C595" i="12"/>
  <c r="B595" i="12"/>
  <c r="A595" i="12"/>
  <c r="P594" i="12"/>
  <c r="O594" i="12"/>
  <c r="N594" i="12"/>
  <c r="M594" i="12"/>
  <c r="L594" i="12"/>
  <c r="K594" i="12"/>
  <c r="J594" i="12"/>
  <c r="I594" i="12"/>
  <c r="H594" i="12"/>
  <c r="G594" i="12"/>
  <c r="F594" i="12"/>
  <c r="E594" i="12"/>
  <c r="D594" i="12"/>
  <c r="C594" i="12"/>
  <c r="B594" i="12"/>
  <c r="A594" i="12"/>
  <c r="P593" i="12"/>
  <c r="O593" i="12"/>
  <c r="N593" i="12"/>
  <c r="M593" i="12"/>
  <c r="L593" i="12"/>
  <c r="K593" i="12"/>
  <c r="J593" i="12"/>
  <c r="I593" i="12"/>
  <c r="H593" i="12"/>
  <c r="G593" i="12"/>
  <c r="F593" i="12"/>
  <c r="E593" i="12"/>
  <c r="D593" i="12"/>
  <c r="C593" i="12"/>
  <c r="B593" i="12"/>
  <c r="A593" i="12"/>
  <c r="P592" i="12"/>
  <c r="O592" i="12"/>
  <c r="N592" i="12"/>
  <c r="M592" i="12"/>
  <c r="L592" i="12"/>
  <c r="K592" i="12"/>
  <c r="J592" i="12"/>
  <c r="I592" i="12"/>
  <c r="H592" i="12"/>
  <c r="G592" i="12"/>
  <c r="F592" i="12"/>
  <c r="E592" i="12"/>
  <c r="D592" i="12"/>
  <c r="C592" i="12"/>
  <c r="B592" i="12"/>
  <c r="A592" i="12"/>
  <c r="P591" i="12"/>
  <c r="O591" i="12"/>
  <c r="N591" i="12"/>
  <c r="M591" i="12"/>
  <c r="L591" i="12"/>
  <c r="K591" i="12"/>
  <c r="J591" i="12"/>
  <c r="I591" i="12"/>
  <c r="H591" i="12"/>
  <c r="G591" i="12"/>
  <c r="F591" i="12"/>
  <c r="E591" i="12"/>
  <c r="D591" i="12"/>
  <c r="C591" i="12"/>
  <c r="B591" i="12"/>
  <c r="A591" i="12"/>
  <c r="P590" i="12"/>
  <c r="O590" i="12"/>
  <c r="N590" i="12"/>
  <c r="M590" i="12"/>
  <c r="L590" i="12"/>
  <c r="K590" i="12"/>
  <c r="J590" i="12"/>
  <c r="I590" i="12"/>
  <c r="H590" i="12"/>
  <c r="G590" i="12"/>
  <c r="F590" i="12"/>
  <c r="E590" i="12"/>
  <c r="D590" i="12"/>
  <c r="C590" i="12"/>
  <c r="B590" i="12"/>
  <c r="A590" i="12"/>
  <c r="P589" i="12"/>
  <c r="O589" i="12"/>
  <c r="N589" i="12"/>
  <c r="M589" i="12"/>
  <c r="L589" i="12"/>
  <c r="K589" i="12"/>
  <c r="J589" i="12"/>
  <c r="I589" i="12"/>
  <c r="H589" i="12"/>
  <c r="G589" i="12"/>
  <c r="F589" i="12"/>
  <c r="E589" i="12"/>
  <c r="D589" i="12"/>
  <c r="C589" i="12"/>
  <c r="B589" i="12"/>
  <c r="A589" i="12"/>
  <c r="P588" i="12"/>
  <c r="O588" i="12"/>
  <c r="N588" i="12"/>
  <c r="M588" i="12"/>
  <c r="L588" i="12"/>
  <c r="K588" i="12"/>
  <c r="J588" i="12"/>
  <c r="I588" i="12"/>
  <c r="H588" i="12"/>
  <c r="G588" i="12"/>
  <c r="F588" i="12"/>
  <c r="E588" i="12"/>
  <c r="D588" i="12"/>
  <c r="C588" i="12"/>
  <c r="B588" i="12"/>
  <c r="A588" i="12"/>
  <c r="P587" i="12"/>
  <c r="O587" i="12"/>
  <c r="N587" i="12"/>
  <c r="M587" i="12"/>
  <c r="L587" i="12"/>
  <c r="K587" i="12"/>
  <c r="J587" i="12"/>
  <c r="I587" i="12"/>
  <c r="H587" i="12"/>
  <c r="G587" i="12"/>
  <c r="F587" i="12"/>
  <c r="E587" i="12"/>
  <c r="D587" i="12"/>
  <c r="C587" i="12"/>
  <c r="B587" i="12"/>
  <c r="A587" i="12"/>
  <c r="P586" i="12"/>
  <c r="O586" i="12"/>
  <c r="N586" i="12"/>
  <c r="M586" i="12"/>
  <c r="L586" i="12"/>
  <c r="K586" i="12"/>
  <c r="J586" i="12"/>
  <c r="I586" i="12"/>
  <c r="H586" i="12"/>
  <c r="G586" i="12"/>
  <c r="F586" i="12"/>
  <c r="E586" i="12"/>
  <c r="D586" i="12"/>
  <c r="C586" i="12"/>
  <c r="B586" i="12"/>
  <c r="A586" i="12"/>
  <c r="P585" i="12"/>
  <c r="O585" i="12"/>
  <c r="N585" i="12"/>
  <c r="M585" i="12"/>
  <c r="L585" i="12"/>
  <c r="K585" i="12"/>
  <c r="J585" i="12"/>
  <c r="I585" i="12"/>
  <c r="H585" i="12"/>
  <c r="G585" i="12"/>
  <c r="F585" i="12"/>
  <c r="E585" i="12"/>
  <c r="D585" i="12"/>
  <c r="C585" i="12"/>
  <c r="B585" i="12"/>
  <c r="A585" i="12"/>
  <c r="P584" i="12"/>
  <c r="O584" i="12"/>
  <c r="N584" i="12"/>
  <c r="M584" i="12"/>
  <c r="L584" i="12"/>
  <c r="K584" i="12"/>
  <c r="J584" i="12"/>
  <c r="I584" i="12"/>
  <c r="H584" i="12"/>
  <c r="G584" i="12"/>
  <c r="F584" i="12"/>
  <c r="E584" i="12"/>
  <c r="D584" i="12"/>
  <c r="C584" i="12"/>
  <c r="B584" i="12"/>
  <c r="A584" i="12"/>
  <c r="P583" i="12"/>
  <c r="O583" i="12"/>
  <c r="N583" i="12"/>
  <c r="M583" i="12"/>
  <c r="L583" i="12"/>
  <c r="K583" i="12"/>
  <c r="J583" i="12"/>
  <c r="I583" i="12"/>
  <c r="H583" i="12"/>
  <c r="G583" i="12"/>
  <c r="F583" i="12"/>
  <c r="E583" i="12"/>
  <c r="D583" i="12"/>
  <c r="C583" i="12"/>
  <c r="B583" i="12"/>
  <c r="A583" i="12"/>
  <c r="P582" i="12"/>
  <c r="O582" i="12"/>
  <c r="N582" i="12"/>
  <c r="M582" i="12"/>
  <c r="L582" i="12"/>
  <c r="K582" i="12"/>
  <c r="J582" i="12"/>
  <c r="I582" i="12"/>
  <c r="H582" i="12"/>
  <c r="G582" i="12"/>
  <c r="F582" i="12"/>
  <c r="E582" i="12"/>
  <c r="D582" i="12"/>
  <c r="C582" i="12"/>
  <c r="B582" i="12"/>
  <c r="A582" i="12"/>
  <c r="P581" i="12"/>
  <c r="O581" i="12"/>
  <c r="N581" i="12"/>
  <c r="M581" i="12"/>
  <c r="L581" i="12"/>
  <c r="K581" i="12"/>
  <c r="J581" i="12"/>
  <c r="I581" i="12"/>
  <c r="H581" i="12"/>
  <c r="G581" i="12"/>
  <c r="F581" i="12"/>
  <c r="E581" i="12"/>
  <c r="D581" i="12"/>
  <c r="C581" i="12"/>
  <c r="B581" i="12"/>
  <c r="A581" i="12"/>
  <c r="P580" i="12"/>
  <c r="O580" i="12"/>
  <c r="N580" i="12"/>
  <c r="M580" i="12"/>
  <c r="L580" i="12"/>
  <c r="K580" i="12"/>
  <c r="J580" i="12"/>
  <c r="I580" i="12"/>
  <c r="H580" i="12"/>
  <c r="G580" i="12"/>
  <c r="F580" i="12"/>
  <c r="E580" i="12"/>
  <c r="D580" i="12"/>
  <c r="C580" i="12"/>
  <c r="B580" i="12"/>
  <c r="A580" i="12"/>
  <c r="P579" i="12"/>
  <c r="O579" i="12"/>
  <c r="N579" i="12"/>
  <c r="M579" i="12"/>
  <c r="L579" i="12"/>
  <c r="K579" i="12"/>
  <c r="J579" i="12"/>
  <c r="I579" i="12"/>
  <c r="H579" i="12"/>
  <c r="G579" i="12"/>
  <c r="F579" i="12"/>
  <c r="E579" i="12"/>
  <c r="D579" i="12"/>
  <c r="C579" i="12"/>
  <c r="B579" i="12"/>
  <c r="A579" i="12"/>
  <c r="P578" i="12"/>
  <c r="O578" i="12"/>
  <c r="N578" i="12"/>
  <c r="M578" i="12"/>
  <c r="L578" i="12"/>
  <c r="K578" i="12"/>
  <c r="J578" i="12"/>
  <c r="I578" i="12"/>
  <c r="H578" i="12"/>
  <c r="G578" i="12"/>
  <c r="F578" i="12"/>
  <c r="E578" i="12"/>
  <c r="D578" i="12"/>
  <c r="C578" i="12"/>
  <c r="B578" i="12"/>
  <c r="A578" i="12"/>
  <c r="P577" i="12"/>
  <c r="O577" i="12"/>
  <c r="N577" i="12"/>
  <c r="M577" i="12"/>
  <c r="L577" i="12"/>
  <c r="K577" i="12"/>
  <c r="J577" i="12"/>
  <c r="I577" i="12"/>
  <c r="H577" i="12"/>
  <c r="G577" i="12"/>
  <c r="F577" i="12"/>
  <c r="E577" i="12"/>
  <c r="D577" i="12"/>
  <c r="C577" i="12"/>
  <c r="B577" i="12"/>
  <c r="A577" i="12"/>
  <c r="P576" i="12"/>
  <c r="O576" i="12"/>
  <c r="N576" i="12"/>
  <c r="M576" i="12"/>
  <c r="L576" i="12"/>
  <c r="K576" i="12"/>
  <c r="J576" i="12"/>
  <c r="I576" i="12"/>
  <c r="H576" i="12"/>
  <c r="G576" i="12"/>
  <c r="F576" i="12"/>
  <c r="E576" i="12"/>
  <c r="D576" i="12"/>
  <c r="C576" i="12"/>
  <c r="B576" i="12"/>
  <c r="A576" i="12"/>
  <c r="P575" i="12"/>
  <c r="O575" i="12"/>
  <c r="N575" i="12"/>
  <c r="M575" i="12"/>
  <c r="L575" i="12"/>
  <c r="K575" i="12"/>
  <c r="J575" i="12"/>
  <c r="I575" i="12"/>
  <c r="H575" i="12"/>
  <c r="G575" i="12"/>
  <c r="F575" i="12"/>
  <c r="E575" i="12"/>
  <c r="D575" i="12"/>
  <c r="C575" i="12"/>
  <c r="B575" i="12"/>
  <c r="A575" i="12"/>
  <c r="P574" i="12"/>
  <c r="O574" i="12"/>
  <c r="N574" i="12"/>
  <c r="M574" i="12"/>
  <c r="L574" i="12"/>
  <c r="K574" i="12"/>
  <c r="J574" i="12"/>
  <c r="I574" i="12"/>
  <c r="H574" i="12"/>
  <c r="G574" i="12"/>
  <c r="F574" i="12"/>
  <c r="E574" i="12"/>
  <c r="D574" i="12"/>
  <c r="C574" i="12"/>
  <c r="B574" i="12"/>
  <c r="A574" i="12"/>
  <c r="P573" i="12"/>
  <c r="O573" i="12"/>
  <c r="N573" i="12"/>
  <c r="M573" i="12"/>
  <c r="L573" i="12"/>
  <c r="K573" i="12"/>
  <c r="J573" i="12"/>
  <c r="I573" i="12"/>
  <c r="H573" i="12"/>
  <c r="G573" i="12"/>
  <c r="F573" i="12"/>
  <c r="E573" i="12"/>
  <c r="D573" i="12"/>
  <c r="C573" i="12"/>
  <c r="B573" i="12"/>
  <c r="A573" i="12"/>
  <c r="P572" i="12"/>
  <c r="O572" i="12"/>
  <c r="N572" i="12"/>
  <c r="M572" i="12"/>
  <c r="L572" i="12"/>
  <c r="K572" i="12"/>
  <c r="J572" i="12"/>
  <c r="I572" i="12"/>
  <c r="H572" i="12"/>
  <c r="G572" i="12"/>
  <c r="F572" i="12"/>
  <c r="E572" i="12"/>
  <c r="D572" i="12"/>
  <c r="C572" i="12"/>
  <c r="B572" i="12"/>
  <c r="A572" i="12"/>
  <c r="P571" i="12"/>
  <c r="O571" i="12"/>
  <c r="N571" i="12"/>
  <c r="M571" i="12"/>
  <c r="L571" i="12"/>
  <c r="K571" i="12"/>
  <c r="J571" i="12"/>
  <c r="I571" i="12"/>
  <c r="H571" i="12"/>
  <c r="G571" i="12"/>
  <c r="F571" i="12"/>
  <c r="E571" i="12"/>
  <c r="D571" i="12"/>
  <c r="C571" i="12"/>
  <c r="B571" i="12"/>
  <c r="A571" i="12"/>
  <c r="P570" i="12"/>
  <c r="O570" i="12"/>
  <c r="N570" i="12"/>
  <c r="M570" i="12"/>
  <c r="L570" i="12"/>
  <c r="K570" i="12"/>
  <c r="J570" i="12"/>
  <c r="I570" i="12"/>
  <c r="H570" i="12"/>
  <c r="G570" i="12"/>
  <c r="F570" i="12"/>
  <c r="E570" i="12"/>
  <c r="D570" i="12"/>
  <c r="C570" i="12"/>
  <c r="B570" i="12"/>
  <c r="A570" i="12"/>
  <c r="P569" i="12"/>
  <c r="O569" i="12"/>
  <c r="N569" i="12"/>
  <c r="M569" i="12"/>
  <c r="L569" i="12"/>
  <c r="K569" i="12"/>
  <c r="J569" i="12"/>
  <c r="I569" i="12"/>
  <c r="H569" i="12"/>
  <c r="G569" i="12"/>
  <c r="F569" i="12"/>
  <c r="E569" i="12"/>
  <c r="D569" i="12"/>
  <c r="C569" i="12"/>
  <c r="B569" i="12"/>
  <c r="A569" i="12"/>
  <c r="P568" i="12"/>
  <c r="O568" i="12"/>
  <c r="N568" i="12"/>
  <c r="M568" i="12"/>
  <c r="L568" i="12"/>
  <c r="K568" i="12"/>
  <c r="J568" i="12"/>
  <c r="I568" i="12"/>
  <c r="H568" i="12"/>
  <c r="G568" i="12"/>
  <c r="F568" i="12"/>
  <c r="E568" i="12"/>
  <c r="D568" i="12"/>
  <c r="C568" i="12"/>
  <c r="B568" i="12"/>
  <c r="A568" i="12"/>
  <c r="P567" i="12"/>
  <c r="O567" i="12"/>
  <c r="N567" i="12"/>
  <c r="M567" i="12"/>
  <c r="L567" i="12"/>
  <c r="K567" i="12"/>
  <c r="J567" i="12"/>
  <c r="I567" i="12"/>
  <c r="H567" i="12"/>
  <c r="G567" i="12"/>
  <c r="F567" i="12"/>
  <c r="E567" i="12"/>
  <c r="D567" i="12"/>
  <c r="C567" i="12"/>
  <c r="B567" i="12"/>
  <c r="A567" i="12"/>
  <c r="P566" i="12"/>
  <c r="O566" i="12"/>
  <c r="N566" i="12"/>
  <c r="M566" i="12"/>
  <c r="L566" i="12"/>
  <c r="K566" i="12"/>
  <c r="J566" i="12"/>
  <c r="I566" i="12"/>
  <c r="H566" i="12"/>
  <c r="G566" i="12"/>
  <c r="F566" i="12"/>
  <c r="E566" i="12"/>
  <c r="D566" i="12"/>
  <c r="C566" i="12"/>
  <c r="B566" i="12"/>
  <c r="A566" i="12"/>
  <c r="P565" i="12"/>
  <c r="O565" i="12"/>
  <c r="N565" i="12"/>
  <c r="M565" i="12"/>
  <c r="L565" i="12"/>
  <c r="K565" i="12"/>
  <c r="J565" i="12"/>
  <c r="I565" i="12"/>
  <c r="H565" i="12"/>
  <c r="G565" i="12"/>
  <c r="F565" i="12"/>
  <c r="E565" i="12"/>
  <c r="D565" i="12"/>
  <c r="C565" i="12"/>
  <c r="B565" i="12"/>
  <c r="A565" i="12"/>
  <c r="P564" i="12"/>
  <c r="O564" i="12"/>
  <c r="N564" i="12"/>
  <c r="M564" i="12"/>
  <c r="L564" i="12"/>
  <c r="K564" i="12"/>
  <c r="J564" i="12"/>
  <c r="I564" i="12"/>
  <c r="H564" i="12"/>
  <c r="G564" i="12"/>
  <c r="F564" i="12"/>
  <c r="E564" i="12"/>
  <c r="D564" i="12"/>
  <c r="C564" i="12"/>
  <c r="B564" i="12"/>
  <c r="A564" i="12"/>
  <c r="P563" i="12"/>
  <c r="O563" i="12"/>
  <c r="N563" i="12"/>
  <c r="M563" i="12"/>
  <c r="L563" i="12"/>
  <c r="K563" i="12"/>
  <c r="J563" i="12"/>
  <c r="I563" i="12"/>
  <c r="H563" i="12"/>
  <c r="G563" i="12"/>
  <c r="F563" i="12"/>
  <c r="E563" i="12"/>
  <c r="D563" i="12"/>
  <c r="C563" i="12"/>
  <c r="B563" i="12"/>
  <c r="A563" i="12"/>
  <c r="P562" i="12"/>
  <c r="O562" i="12"/>
  <c r="N562" i="12"/>
  <c r="M562" i="12"/>
  <c r="L562" i="12"/>
  <c r="K562" i="12"/>
  <c r="J562" i="12"/>
  <c r="I562" i="12"/>
  <c r="H562" i="12"/>
  <c r="G562" i="12"/>
  <c r="F562" i="12"/>
  <c r="E562" i="12"/>
  <c r="D562" i="12"/>
  <c r="C562" i="12"/>
  <c r="B562" i="12"/>
  <c r="A562" i="12"/>
  <c r="P561" i="12"/>
  <c r="O561" i="12"/>
  <c r="N561" i="12"/>
  <c r="M561" i="12"/>
  <c r="L561" i="12"/>
  <c r="K561" i="12"/>
  <c r="J561" i="12"/>
  <c r="I561" i="12"/>
  <c r="H561" i="12"/>
  <c r="G561" i="12"/>
  <c r="F561" i="12"/>
  <c r="E561" i="12"/>
  <c r="D561" i="12"/>
  <c r="C561" i="12"/>
  <c r="B561" i="12"/>
  <c r="A561" i="12"/>
  <c r="P560" i="12"/>
  <c r="O560" i="12"/>
  <c r="N560" i="12"/>
  <c r="M560" i="12"/>
  <c r="L560" i="12"/>
  <c r="K560" i="12"/>
  <c r="J560" i="12"/>
  <c r="I560" i="12"/>
  <c r="H560" i="12"/>
  <c r="G560" i="12"/>
  <c r="F560" i="12"/>
  <c r="E560" i="12"/>
  <c r="D560" i="12"/>
  <c r="C560" i="12"/>
  <c r="B560" i="12"/>
  <c r="A560" i="12"/>
  <c r="P559" i="12"/>
  <c r="O559" i="12"/>
  <c r="N559" i="12"/>
  <c r="M559" i="12"/>
  <c r="L559" i="12"/>
  <c r="K559" i="12"/>
  <c r="J559" i="12"/>
  <c r="I559" i="12"/>
  <c r="H559" i="12"/>
  <c r="G559" i="12"/>
  <c r="F559" i="12"/>
  <c r="E559" i="12"/>
  <c r="D559" i="12"/>
  <c r="C559" i="12"/>
  <c r="B559" i="12"/>
  <c r="A559" i="12"/>
  <c r="P558" i="12"/>
  <c r="O558" i="12"/>
  <c r="N558" i="12"/>
  <c r="M558" i="12"/>
  <c r="L558" i="12"/>
  <c r="K558" i="12"/>
  <c r="J558" i="12"/>
  <c r="I558" i="12"/>
  <c r="H558" i="12"/>
  <c r="G558" i="12"/>
  <c r="F558" i="12"/>
  <c r="E558" i="12"/>
  <c r="D558" i="12"/>
  <c r="C558" i="12"/>
  <c r="B558" i="12"/>
  <c r="A558" i="12"/>
  <c r="P557" i="12"/>
  <c r="O557" i="12"/>
  <c r="N557" i="12"/>
  <c r="M557" i="12"/>
  <c r="L557" i="12"/>
  <c r="K557" i="12"/>
  <c r="J557" i="12"/>
  <c r="I557" i="12"/>
  <c r="H557" i="12"/>
  <c r="G557" i="12"/>
  <c r="F557" i="12"/>
  <c r="E557" i="12"/>
  <c r="D557" i="12"/>
  <c r="C557" i="12"/>
  <c r="B557" i="12"/>
  <c r="A557" i="12"/>
  <c r="P556" i="12"/>
  <c r="O556" i="12"/>
  <c r="N556" i="12"/>
  <c r="M556" i="12"/>
  <c r="L556" i="12"/>
  <c r="K556" i="12"/>
  <c r="J556" i="12"/>
  <c r="I556" i="12"/>
  <c r="H556" i="12"/>
  <c r="G556" i="12"/>
  <c r="F556" i="12"/>
  <c r="E556" i="12"/>
  <c r="D556" i="12"/>
  <c r="C556" i="12"/>
  <c r="B556" i="12"/>
  <c r="A556" i="12"/>
  <c r="P555" i="12"/>
  <c r="O555" i="12"/>
  <c r="N555" i="12"/>
  <c r="M555" i="12"/>
  <c r="L555" i="12"/>
  <c r="K555" i="12"/>
  <c r="J555" i="12"/>
  <c r="I555" i="12"/>
  <c r="H555" i="12"/>
  <c r="G555" i="12"/>
  <c r="F555" i="12"/>
  <c r="E555" i="12"/>
  <c r="D555" i="12"/>
  <c r="C555" i="12"/>
  <c r="B555" i="12"/>
  <c r="A555" i="12"/>
  <c r="P554" i="12"/>
  <c r="O554" i="12"/>
  <c r="N554" i="12"/>
  <c r="M554" i="12"/>
  <c r="L554" i="12"/>
  <c r="K554" i="12"/>
  <c r="J554" i="12"/>
  <c r="I554" i="12"/>
  <c r="H554" i="12"/>
  <c r="G554" i="12"/>
  <c r="F554" i="12"/>
  <c r="E554" i="12"/>
  <c r="D554" i="12"/>
  <c r="C554" i="12"/>
  <c r="B554" i="12"/>
  <c r="A554" i="12"/>
  <c r="P553" i="12"/>
  <c r="O553" i="12"/>
  <c r="N553" i="12"/>
  <c r="M553" i="12"/>
  <c r="L553" i="12"/>
  <c r="K553" i="12"/>
  <c r="J553" i="12"/>
  <c r="I553" i="12"/>
  <c r="H553" i="12"/>
  <c r="G553" i="12"/>
  <c r="F553" i="12"/>
  <c r="E553" i="12"/>
  <c r="D553" i="12"/>
  <c r="C553" i="12"/>
  <c r="B553" i="12"/>
  <c r="A553" i="12"/>
  <c r="P552" i="12"/>
  <c r="O552" i="12"/>
  <c r="N552" i="12"/>
  <c r="M552" i="12"/>
  <c r="L552" i="12"/>
  <c r="K552" i="12"/>
  <c r="J552" i="12"/>
  <c r="I552" i="12"/>
  <c r="H552" i="12"/>
  <c r="G552" i="12"/>
  <c r="F552" i="12"/>
  <c r="E552" i="12"/>
  <c r="D552" i="12"/>
  <c r="C552" i="12"/>
  <c r="B552" i="12"/>
  <c r="A552" i="12"/>
  <c r="P551" i="12"/>
  <c r="O551" i="12"/>
  <c r="N551" i="12"/>
  <c r="M551" i="12"/>
  <c r="L551" i="12"/>
  <c r="K551" i="12"/>
  <c r="J551" i="12"/>
  <c r="I551" i="12"/>
  <c r="H551" i="12"/>
  <c r="G551" i="12"/>
  <c r="F551" i="12"/>
  <c r="E551" i="12"/>
  <c r="D551" i="12"/>
  <c r="C551" i="12"/>
  <c r="B551" i="12"/>
  <c r="A551" i="12"/>
  <c r="P550" i="12"/>
  <c r="O550" i="12"/>
  <c r="N550" i="12"/>
  <c r="M550" i="12"/>
  <c r="L550" i="12"/>
  <c r="K550" i="12"/>
  <c r="J550" i="12"/>
  <c r="I550" i="12"/>
  <c r="H550" i="12"/>
  <c r="G550" i="12"/>
  <c r="F550" i="12"/>
  <c r="E550" i="12"/>
  <c r="D550" i="12"/>
  <c r="C550" i="12"/>
  <c r="B550" i="12"/>
  <c r="A550" i="12"/>
  <c r="P549" i="12"/>
  <c r="O549" i="12"/>
  <c r="N549" i="12"/>
  <c r="M549" i="12"/>
  <c r="L549" i="12"/>
  <c r="K549" i="12"/>
  <c r="J549" i="12"/>
  <c r="I549" i="12"/>
  <c r="H549" i="12"/>
  <c r="G549" i="12"/>
  <c r="F549" i="12"/>
  <c r="E549" i="12"/>
  <c r="D549" i="12"/>
  <c r="C549" i="12"/>
  <c r="B549" i="12"/>
  <c r="A549" i="12"/>
  <c r="P548" i="12"/>
  <c r="O548" i="12"/>
  <c r="N548" i="12"/>
  <c r="M548" i="12"/>
  <c r="L548" i="12"/>
  <c r="K548" i="12"/>
  <c r="J548" i="12"/>
  <c r="I548" i="12"/>
  <c r="H548" i="12"/>
  <c r="G548" i="12"/>
  <c r="F548" i="12"/>
  <c r="E548" i="12"/>
  <c r="D548" i="12"/>
  <c r="C548" i="12"/>
  <c r="B548" i="12"/>
  <c r="A548" i="12"/>
  <c r="P547" i="12"/>
  <c r="O547" i="12"/>
  <c r="N547" i="12"/>
  <c r="M547" i="12"/>
  <c r="L547" i="12"/>
  <c r="K547" i="12"/>
  <c r="J547" i="12"/>
  <c r="I547" i="12"/>
  <c r="H547" i="12"/>
  <c r="G547" i="12"/>
  <c r="F547" i="12"/>
  <c r="E547" i="12"/>
  <c r="D547" i="12"/>
  <c r="C547" i="12"/>
  <c r="B547" i="12"/>
  <c r="A547" i="12"/>
  <c r="P546" i="12"/>
  <c r="O546" i="12"/>
  <c r="N546" i="12"/>
  <c r="M546" i="12"/>
  <c r="L546" i="12"/>
  <c r="K546" i="12"/>
  <c r="J546" i="12"/>
  <c r="I546" i="12"/>
  <c r="H546" i="12"/>
  <c r="G546" i="12"/>
  <c r="F546" i="12"/>
  <c r="E546" i="12"/>
  <c r="D546" i="12"/>
  <c r="C546" i="12"/>
  <c r="B546" i="12"/>
  <c r="A546" i="12"/>
  <c r="P545" i="12"/>
  <c r="O545" i="12"/>
  <c r="N545" i="12"/>
  <c r="M545" i="12"/>
  <c r="L545" i="12"/>
  <c r="K545" i="12"/>
  <c r="J545" i="12"/>
  <c r="I545" i="12"/>
  <c r="H545" i="12"/>
  <c r="G545" i="12"/>
  <c r="F545" i="12"/>
  <c r="E545" i="12"/>
  <c r="D545" i="12"/>
  <c r="C545" i="12"/>
  <c r="B545" i="12"/>
  <c r="A545" i="12"/>
  <c r="P544" i="12"/>
  <c r="O544" i="12"/>
  <c r="N544" i="12"/>
  <c r="M544" i="12"/>
  <c r="L544" i="12"/>
  <c r="K544" i="12"/>
  <c r="J544" i="12"/>
  <c r="I544" i="12"/>
  <c r="H544" i="12"/>
  <c r="G544" i="12"/>
  <c r="F544" i="12"/>
  <c r="E544" i="12"/>
  <c r="D544" i="12"/>
  <c r="C544" i="12"/>
  <c r="B544" i="12"/>
  <c r="A544" i="12"/>
  <c r="P543" i="12"/>
  <c r="O543" i="12"/>
  <c r="N543" i="12"/>
  <c r="M543" i="12"/>
  <c r="L543" i="12"/>
  <c r="K543" i="12"/>
  <c r="J543" i="12"/>
  <c r="I543" i="12"/>
  <c r="H543" i="12"/>
  <c r="G543" i="12"/>
  <c r="F543" i="12"/>
  <c r="E543" i="12"/>
  <c r="D543" i="12"/>
  <c r="C543" i="12"/>
  <c r="B543" i="12"/>
  <c r="A543" i="12"/>
  <c r="P542" i="12"/>
  <c r="O542" i="12"/>
  <c r="N542" i="12"/>
  <c r="M542" i="12"/>
  <c r="L542" i="12"/>
  <c r="K542" i="12"/>
  <c r="J542" i="12"/>
  <c r="I542" i="12"/>
  <c r="H542" i="12"/>
  <c r="G542" i="12"/>
  <c r="F542" i="12"/>
  <c r="E542" i="12"/>
  <c r="D542" i="12"/>
  <c r="C542" i="12"/>
  <c r="B542" i="12"/>
  <c r="A542" i="12"/>
  <c r="P541" i="12"/>
  <c r="O541" i="12"/>
  <c r="N541" i="12"/>
  <c r="M541" i="12"/>
  <c r="L541" i="12"/>
  <c r="K541" i="12"/>
  <c r="J541" i="12"/>
  <c r="I541" i="12"/>
  <c r="H541" i="12"/>
  <c r="G541" i="12"/>
  <c r="F541" i="12"/>
  <c r="E541" i="12"/>
  <c r="D541" i="12"/>
  <c r="C541" i="12"/>
  <c r="B541" i="12"/>
  <c r="A541" i="12"/>
  <c r="P540" i="12"/>
  <c r="O540" i="12"/>
  <c r="N540" i="12"/>
  <c r="M540" i="12"/>
  <c r="L540" i="12"/>
  <c r="K540" i="12"/>
  <c r="J540" i="12"/>
  <c r="I540" i="12"/>
  <c r="H540" i="12"/>
  <c r="G540" i="12"/>
  <c r="F540" i="12"/>
  <c r="E540" i="12"/>
  <c r="D540" i="12"/>
  <c r="C540" i="12"/>
  <c r="B540" i="12"/>
  <c r="A540" i="12"/>
  <c r="P539" i="12"/>
  <c r="O539" i="12"/>
  <c r="N539" i="12"/>
  <c r="M539" i="12"/>
  <c r="L539" i="12"/>
  <c r="K539" i="12"/>
  <c r="J539" i="12"/>
  <c r="I539" i="12"/>
  <c r="H539" i="12"/>
  <c r="G539" i="12"/>
  <c r="F539" i="12"/>
  <c r="E539" i="12"/>
  <c r="D539" i="12"/>
  <c r="C539" i="12"/>
  <c r="B539" i="12"/>
  <c r="A539" i="12"/>
  <c r="P538" i="12"/>
  <c r="O538" i="12"/>
  <c r="N538" i="12"/>
  <c r="M538" i="12"/>
  <c r="L538" i="12"/>
  <c r="K538" i="12"/>
  <c r="J538" i="12"/>
  <c r="I538" i="12"/>
  <c r="H538" i="12"/>
  <c r="G538" i="12"/>
  <c r="F538" i="12"/>
  <c r="E538" i="12"/>
  <c r="D538" i="12"/>
  <c r="C538" i="12"/>
  <c r="B538" i="12"/>
  <c r="A538" i="12"/>
  <c r="P537" i="12"/>
  <c r="O537" i="12"/>
  <c r="N537" i="12"/>
  <c r="M537" i="12"/>
  <c r="L537" i="12"/>
  <c r="K537" i="12"/>
  <c r="J537" i="12"/>
  <c r="I537" i="12"/>
  <c r="H537" i="12"/>
  <c r="G537" i="12"/>
  <c r="F537" i="12"/>
  <c r="E537" i="12"/>
  <c r="D537" i="12"/>
  <c r="C537" i="12"/>
  <c r="B537" i="12"/>
  <c r="A537" i="12"/>
  <c r="P536" i="12"/>
  <c r="O536" i="12"/>
  <c r="N536" i="12"/>
  <c r="M536" i="12"/>
  <c r="L536" i="12"/>
  <c r="K536" i="12"/>
  <c r="J536" i="12"/>
  <c r="I536" i="12"/>
  <c r="H536" i="12"/>
  <c r="G536" i="12"/>
  <c r="F536" i="12"/>
  <c r="E536" i="12"/>
  <c r="D536" i="12"/>
  <c r="C536" i="12"/>
  <c r="B536" i="12"/>
  <c r="A536" i="12"/>
  <c r="P535" i="12"/>
  <c r="O535" i="12"/>
  <c r="N535" i="12"/>
  <c r="M535" i="12"/>
  <c r="L535" i="12"/>
  <c r="K535" i="12"/>
  <c r="J535" i="12"/>
  <c r="I535" i="12"/>
  <c r="H535" i="12"/>
  <c r="G535" i="12"/>
  <c r="F535" i="12"/>
  <c r="E535" i="12"/>
  <c r="D535" i="12"/>
  <c r="C535" i="12"/>
  <c r="B535" i="12"/>
  <c r="A535" i="12"/>
  <c r="P534" i="12"/>
  <c r="O534" i="12"/>
  <c r="N534" i="12"/>
  <c r="M534" i="12"/>
  <c r="L534" i="12"/>
  <c r="K534" i="12"/>
  <c r="J534" i="12"/>
  <c r="I534" i="12"/>
  <c r="H534" i="12"/>
  <c r="G534" i="12"/>
  <c r="F534" i="12"/>
  <c r="E534" i="12"/>
  <c r="D534" i="12"/>
  <c r="C534" i="12"/>
  <c r="B534" i="12"/>
  <c r="A534" i="12"/>
  <c r="P533" i="12"/>
  <c r="O533" i="12"/>
  <c r="N533" i="12"/>
  <c r="M533" i="12"/>
  <c r="L533" i="12"/>
  <c r="K533" i="12"/>
  <c r="J533" i="12"/>
  <c r="I533" i="12"/>
  <c r="H533" i="12"/>
  <c r="G533" i="12"/>
  <c r="F533" i="12"/>
  <c r="E533" i="12"/>
  <c r="D533" i="12"/>
  <c r="C533" i="12"/>
  <c r="B533" i="12"/>
  <c r="A533" i="12"/>
  <c r="P532" i="12"/>
  <c r="O532" i="12"/>
  <c r="N532" i="12"/>
  <c r="M532" i="12"/>
  <c r="L532" i="12"/>
  <c r="K532" i="12"/>
  <c r="J532" i="12"/>
  <c r="I532" i="12"/>
  <c r="H532" i="12"/>
  <c r="G532" i="12"/>
  <c r="F532" i="12"/>
  <c r="E532" i="12"/>
  <c r="D532" i="12"/>
  <c r="C532" i="12"/>
  <c r="B532" i="12"/>
  <c r="A532" i="12"/>
  <c r="P531" i="12"/>
  <c r="O531" i="12"/>
  <c r="N531" i="12"/>
  <c r="M531" i="12"/>
  <c r="L531" i="12"/>
  <c r="K531" i="12"/>
  <c r="J531" i="12"/>
  <c r="I531" i="12"/>
  <c r="H531" i="12"/>
  <c r="G531" i="12"/>
  <c r="F531" i="12"/>
  <c r="E531" i="12"/>
  <c r="D531" i="12"/>
  <c r="C531" i="12"/>
  <c r="B531" i="12"/>
  <c r="A531" i="12"/>
  <c r="P530" i="12"/>
  <c r="O530" i="12"/>
  <c r="N530" i="12"/>
  <c r="M530" i="12"/>
  <c r="L530" i="12"/>
  <c r="K530" i="12"/>
  <c r="J530" i="12"/>
  <c r="I530" i="12"/>
  <c r="H530" i="12"/>
  <c r="G530" i="12"/>
  <c r="F530" i="12"/>
  <c r="E530" i="12"/>
  <c r="D530" i="12"/>
  <c r="C530" i="12"/>
  <c r="B530" i="12"/>
  <c r="A530" i="12"/>
  <c r="P529" i="12"/>
  <c r="O529" i="12"/>
  <c r="N529" i="12"/>
  <c r="M529" i="12"/>
  <c r="L529" i="12"/>
  <c r="K529" i="12"/>
  <c r="J529" i="12"/>
  <c r="I529" i="12"/>
  <c r="H529" i="12"/>
  <c r="G529" i="12"/>
  <c r="F529" i="12"/>
  <c r="E529" i="12"/>
  <c r="D529" i="12"/>
  <c r="C529" i="12"/>
  <c r="B529" i="12"/>
  <c r="A529" i="12"/>
  <c r="P528" i="12"/>
  <c r="O528" i="12"/>
  <c r="N528" i="12"/>
  <c r="M528" i="12"/>
  <c r="L528" i="12"/>
  <c r="K528" i="12"/>
  <c r="J528" i="12"/>
  <c r="I528" i="12"/>
  <c r="H528" i="12"/>
  <c r="G528" i="12"/>
  <c r="F528" i="12"/>
  <c r="E528" i="12"/>
  <c r="D528" i="12"/>
  <c r="C528" i="12"/>
  <c r="B528" i="12"/>
  <c r="A528" i="12"/>
  <c r="P527" i="12"/>
  <c r="O527" i="12"/>
  <c r="N527" i="12"/>
  <c r="M527" i="12"/>
  <c r="L527" i="12"/>
  <c r="K527" i="12"/>
  <c r="J527" i="12"/>
  <c r="I527" i="12"/>
  <c r="H527" i="12"/>
  <c r="G527" i="12"/>
  <c r="F527" i="12"/>
  <c r="E527" i="12"/>
  <c r="D527" i="12"/>
  <c r="C527" i="12"/>
  <c r="B527" i="12"/>
  <c r="A527" i="12"/>
  <c r="P526" i="12"/>
  <c r="O526" i="12"/>
  <c r="N526" i="12"/>
  <c r="M526" i="12"/>
  <c r="L526" i="12"/>
  <c r="K526" i="12"/>
  <c r="J526" i="12"/>
  <c r="I526" i="12"/>
  <c r="H526" i="12"/>
  <c r="G526" i="12"/>
  <c r="F526" i="12"/>
  <c r="E526" i="12"/>
  <c r="D526" i="12"/>
  <c r="C526" i="12"/>
  <c r="B526" i="12"/>
  <c r="A526" i="12"/>
  <c r="P525" i="12"/>
  <c r="O525" i="12"/>
  <c r="N525" i="12"/>
  <c r="M525" i="12"/>
  <c r="L525" i="12"/>
  <c r="K525" i="12"/>
  <c r="J525" i="12"/>
  <c r="I525" i="12"/>
  <c r="H525" i="12"/>
  <c r="G525" i="12"/>
  <c r="F525" i="12"/>
  <c r="E525" i="12"/>
  <c r="D525" i="12"/>
  <c r="C525" i="12"/>
  <c r="B525" i="12"/>
  <c r="A525" i="12"/>
  <c r="P524" i="12"/>
  <c r="O524" i="12"/>
  <c r="N524" i="12"/>
  <c r="M524" i="12"/>
  <c r="L524" i="12"/>
  <c r="K524" i="12"/>
  <c r="J524" i="12"/>
  <c r="I524" i="12"/>
  <c r="H524" i="12"/>
  <c r="G524" i="12"/>
  <c r="F524" i="12"/>
  <c r="E524" i="12"/>
  <c r="D524" i="12"/>
  <c r="C524" i="12"/>
  <c r="B524" i="12"/>
  <c r="A524" i="12"/>
  <c r="P523" i="12"/>
  <c r="O523" i="12"/>
  <c r="N523" i="12"/>
  <c r="M523" i="12"/>
  <c r="L523" i="12"/>
  <c r="K523" i="12"/>
  <c r="J523" i="12"/>
  <c r="I523" i="12"/>
  <c r="H523" i="12"/>
  <c r="G523" i="12"/>
  <c r="F523" i="12"/>
  <c r="E523" i="12"/>
  <c r="D523" i="12"/>
  <c r="C523" i="12"/>
  <c r="B523" i="12"/>
  <c r="A523" i="12"/>
  <c r="P522" i="12"/>
  <c r="O522" i="12"/>
  <c r="N522" i="12"/>
  <c r="M522" i="12"/>
  <c r="L522" i="12"/>
  <c r="K522" i="12"/>
  <c r="J522" i="12"/>
  <c r="I522" i="12"/>
  <c r="H522" i="12"/>
  <c r="G522" i="12"/>
  <c r="F522" i="12"/>
  <c r="E522" i="12"/>
  <c r="D522" i="12"/>
  <c r="C522" i="12"/>
  <c r="B522" i="12"/>
  <c r="A522" i="12"/>
  <c r="P521" i="12"/>
  <c r="O521" i="12"/>
  <c r="N521" i="12"/>
  <c r="M521" i="12"/>
  <c r="L521" i="12"/>
  <c r="K521" i="12"/>
  <c r="J521" i="12"/>
  <c r="I521" i="12"/>
  <c r="H521" i="12"/>
  <c r="G521" i="12"/>
  <c r="F521" i="12"/>
  <c r="E521" i="12"/>
  <c r="D521" i="12"/>
  <c r="C521" i="12"/>
  <c r="B521" i="12"/>
  <c r="A521" i="12"/>
  <c r="P520" i="12"/>
  <c r="O520" i="12"/>
  <c r="N520" i="12"/>
  <c r="M520" i="12"/>
  <c r="L520" i="12"/>
  <c r="K520" i="12"/>
  <c r="J520" i="12"/>
  <c r="I520" i="12"/>
  <c r="H520" i="12"/>
  <c r="G520" i="12"/>
  <c r="F520" i="12"/>
  <c r="E520" i="12"/>
  <c r="D520" i="12"/>
  <c r="C520" i="12"/>
  <c r="B520" i="12"/>
  <c r="A520" i="12"/>
  <c r="P519" i="12"/>
  <c r="O519" i="12"/>
  <c r="N519" i="12"/>
  <c r="M519" i="12"/>
  <c r="L519" i="12"/>
  <c r="K519" i="12"/>
  <c r="J519" i="12"/>
  <c r="I519" i="12"/>
  <c r="H519" i="12"/>
  <c r="G519" i="12"/>
  <c r="F519" i="12"/>
  <c r="E519" i="12"/>
  <c r="D519" i="12"/>
  <c r="C519" i="12"/>
  <c r="B519" i="12"/>
  <c r="A519" i="12"/>
  <c r="P518" i="12"/>
  <c r="O518" i="12"/>
  <c r="N518" i="12"/>
  <c r="M518" i="12"/>
  <c r="L518" i="12"/>
  <c r="K518" i="12"/>
  <c r="J518" i="12"/>
  <c r="I518" i="12"/>
  <c r="H518" i="12"/>
  <c r="G518" i="12"/>
  <c r="F518" i="12"/>
  <c r="E518" i="12"/>
  <c r="D518" i="12"/>
  <c r="C518" i="12"/>
  <c r="B518" i="12"/>
  <c r="A518" i="12"/>
  <c r="P517" i="12"/>
  <c r="O517" i="12"/>
  <c r="N517" i="12"/>
  <c r="M517" i="12"/>
  <c r="L517" i="12"/>
  <c r="K517" i="12"/>
  <c r="J517" i="12"/>
  <c r="I517" i="12"/>
  <c r="H517" i="12"/>
  <c r="G517" i="12"/>
  <c r="F517" i="12"/>
  <c r="E517" i="12"/>
  <c r="D517" i="12"/>
  <c r="C517" i="12"/>
  <c r="B517" i="12"/>
  <c r="A517" i="12"/>
  <c r="P516" i="12"/>
  <c r="O516" i="12"/>
  <c r="N516" i="12"/>
  <c r="M516" i="12"/>
  <c r="L516" i="12"/>
  <c r="K516" i="12"/>
  <c r="J516" i="12"/>
  <c r="I516" i="12"/>
  <c r="H516" i="12"/>
  <c r="G516" i="12"/>
  <c r="F516" i="12"/>
  <c r="E516" i="12"/>
  <c r="D516" i="12"/>
  <c r="C516" i="12"/>
  <c r="B516" i="12"/>
  <c r="A516" i="12"/>
  <c r="P515" i="12"/>
  <c r="O515" i="12"/>
  <c r="N515" i="12"/>
  <c r="M515" i="12"/>
  <c r="L515" i="12"/>
  <c r="K515" i="12"/>
  <c r="J515" i="12"/>
  <c r="I515" i="12"/>
  <c r="H515" i="12"/>
  <c r="G515" i="12"/>
  <c r="F515" i="12"/>
  <c r="E515" i="12"/>
  <c r="D515" i="12"/>
  <c r="C515" i="12"/>
  <c r="B515" i="12"/>
  <c r="A515" i="12"/>
  <c r="P514" i="12"/>
  <c r="O514" i="12"/>
  <c r="N514" i="12"/>
  <c r="M514" i="12"/>
  <c r="L514" i="12"/>
  <c r="K514" i="12"/>
  <c r="J514" i="12"/>
  <c r="I514" i="12"/>
  <c r="H514" i="12"/>
  <c r="G514" i="12"/>
  <c r="F514" i="12"/>
  <c r="E514" i="12"/>
  <c r="D514" i="12"/>
  <c r="C514" i="12"/>
  <c r="B514" i="12"/>
  <c r="A514" i="12"/>
  <c r="P513" i="12"/>
  <c r="O513" i="12"/>
  <c r="N513" i="12"/>
  <c r="M513" i="12"/>
  <c r="L513" i="12"/>
  <c r="K513" i="12"/>
  <c r="J513" i="12"/>
  <c r="I513" i="12"/>
  <c r="H513" i="12"/>
  <c r="G513" i="12"/>
  <c r="F513" i="12"/>
  <c r="E513" i="12"/>
  <c r="D513" i="12"/>
  <c r="C513" i="12"/>
  <c r="B513" i="12"/>
  <c r="A513" i="12"/>
  <c r="P512" i="12"/>
  <c r="O512" i="12"/>
  <c r="N512" i="12"/>
  <c r="M512" i="12"/>
  <c r="L512" i="12"/>
  <c r="K512" i="12"/>
  <c r="J512" i="12"/>
  <c r="I512" i="12"/>
  <c r="H512" i="12"/>
  <c r="G512" i="12"/>
  <c r="F512" i="12"/>
  <c r="E512" i="12"/>
  <c r="D512" i="12"/>
  <c r="C512" i="12"/>
  <c r="B512" i="12"/>
  <c r="A512" i="12"/>
  <c r="P511" i="12"/>
  <c r="O511" i="12"/>
  <c r="N511" i="12"/>
  <c r="M511" i="12"/>
  <c r="L511" i="12"/>
  <c r="K511" i="12"/>
  <c r="J511" i="12"/>
  <c r="I511" i="12"/>
  <c r="H511" i="12"/>
  <c r="G511" i="12"/>
  <c r="F511" i="12"/>
  <c r="E511" i="12"/>
  <c r="D511" i="12"/>
  <c r="C511" i="12"/>
  <c r="B511" i="12"/>
  <c r="A511" i="12"/>
  <c r="P510" i="12"/>
  <c r="O510" i="12"/>
  <c r="N510" i="12"/>
  <c r="M510" i="12"/>
  <c r="L510" i="12"/>
  <c r="K510" i="12"/>
  <c r="J510" i="12"/>
  <c r="I510" i="12"/>
  <c r="H510" i="12"/>
  <c r="G510" i="12"/>
  <c r="F510" i="12"/>
  <c r="E510" i="12"/>
  <c r="D510" i="12"/>
  <c r="C510" i="12"/>
  <c r="B510" i="12"/>
  <c r="A510" i="12"/>
  <c r="P509" i="12"/>
  <c r="O509" i="12"/>
  <c r="N509" i="12"/>
  <c r="M509" i="12"/>
  <c r="L509" i="12"/>
  <c r="K509" i="12"/>
  <c r="J509" i="12"/>
  <c r="I509" i="12"/>
  <c r="H509" i="12"/>
  <c r="G509" i="12"/>
  <c r="F509" i="12"/>
  <c r="E509" i="12"/>
  <c r="D509" i="12"/>
  <c r="C509" i="12"/>
  <c r="B509" i="12"/>
  <c r="A509" i="12"/>
  <c r="P508" i="12"/>
  <c r="O508" i="12"/>
  <c r="N508" i="12"/>
  <c r="M508" i="12"/>
  <c r="L508" i="12"/>
  <c r="K508" i="12"/>
  <c r="J508" i="12"/>
  <c r="I508" i="12"/>
  <c r="H508" i="12"/>
  <c r="G508" i="12"/>
  <c r="F508" i="12"/>
  <c r="E508" i="12"/>
  <c r="D508" i="12"/>
  <c r="C508" i="12"/>
  <c r="B508" i="12"/>
  <c r="A508" i="12"/>
  <c r="P507" i="12"/>
  <c r="O507" i="12"/>
  <c r="N507" i="12"/>
  <c r="M507" i="12"/>
  <c r="L507" i="12"/>
  <c r="K507" i="12"/>
  <c r="J507" i="12"/>
  <c r="I507" i="12"/>
  <c r="H507" i="12"/>
  <c r="G507" i="12"/>
  <c r="F507" i="12"/>
  <c r="E507" i="12"/>
  <c r="D507" i="12"/>
  <c r="C507" i="12"/>
  <c r="B507" i="12"/>
  <c r="A507" i="12"/>
  <c r="P506" i="12"/>
  <c r="O506" i="12"/>
  <c r="N506" i="12"/>
  <c r="M506" i="12"/>
  <c r="L506" i="12"/>
  <c r="K506" i="12"/>
  <c r="J506" i="12"/>
  <c r="I506" i="12"/>
  <c r="H506" i="12"/>
  <c r="G506" i="12"/>
  <c r="F506" i="12"/>
  <c r="E506" i="12"/>
  <c r="D506" i="12"/>
  <c r="C506" i="12"/>
  <c r="B506" i="12"/>
  <c r="A506" i="12"/>
  <c r="P505" i="12"/>
  <c r="O505" i="12"/>
  <c r="N505" i="12"/>
  <c r="M505" i="12"/>
  <c r="L505" i="12"/>
  <c r="K505" i="12"/>
  <c r="J505" i="12"/>
  <c r="I505" i="12"/>
  <c r="H505" i="12"/>
  <c r="G505" i="12"/>
  <c r="F505" i="12"/>
  <c r="E505" i="12"/>
  <c r="D505" i="12"/>
  <c r="C505" i="12"/>
  <c r="B505" i="12"/>
  <c r="A505" i="12"/>
  <c r="P504" i="12"/>
  <c r="O504" i="12"/>
  <c r="N504" i="12"/>
  <c r="M504" i="12"/>
  <c r="L504" i="12"/>
  <c r="K504" i="12"/>
  <c r="J504" i="12"/>
  <c r="I504" i="12"/>
  <c r="H504" i="12"/>
  <c r="G504" i="12"/>
  <c r="F504" i="12"/>
  <c r="E504" i="12"/>
  <c r="D504" i="12"/>
  <c r="C504" i="12"/>
  <c r="B504" i="12"/>
  <c r="A504" i="12"/>
  <c r="P503" i="12"/>
  <c r="O503" i="12"/>
  <c r="N503" i="12"/>
  <c r="M503" i="12"/>
  <c r="L503" i="12"/>
  <c r="K503" i="12"/>
  <c r="J503" i="12"/>
  <c r="I503" i="12"/>
  <c r="H503" i="12"/>
  <c r="G503" i="12"/>
  <c r="F503" i="12"/>
  <c r="E503" i="12"/>
  <c r="D503" i="12"/>
  <c r="C503" i="12"/>
  <c r="B503" i="12"/>
  <c r="A503" i="12"/>
  <c r="P502" i="12"/>
  <c r="O502" i="12"/>
  <c r="N502" i="12"/>
  <c r="M502" i="12"/>
  <c r="L502" i="12"/>
  <c r="K502" i="12"/>
  <c r="J502" i="12"/>
  <c r="I502" i="12"/>
  <c r="H502" i="12"/>
  <c r="G502" i="12"/>
  <c r="F502" i="12"/>
  <c r="E502" i="12"/>
  <c r="D502" i="12"/>
  <c r="C502" i="12"/>
  <c r="B502" i="12"/>
  <c r="A502" i="12"/>
  <c r="P501" i="12"/>
  <c r="O501" i="12"/>
  <c r="N501" i="12"/>
  <c r="M501" i="12"/>
  <c r="L501" i="12"/>
  <c r="K501" i="12"/>
  <c r="J501" i="12"/>
  <c r="I501" i="12"/>
  <c r="H501" i="12"/>
  <c r="G501" i="12"/>
  <c r="F501" i="12"/>
  <c r="E501" i="12"/>
  <c r="D501" i="12"/>
  <c r="C501" i="12"/>
  <c r="B501" i="12"/>
  <c r="A501" i="12"/>
  <c r="P500" i="12"/>
  <c r="O500" i="12"/>
  <c r="N500" i="12"/>
  <c r="M500" i="12"/>
  <c r="L500" i="12"/>
  <c r="K500" i="12"/>
  <c r="J500" i="12"/>
  <c r="I500" i="12"/>
  <c r="H500" i="12"/>
  <c r="G500" i="12"/>
  <c r="F500" i="12"/>
  <c r="E500" i="12"/>
  <c r="D500" i="12"/>
  <c r="C500" i="12"/>
  <c r="B500" i="12"/>
  <c r="A500" i="12"/>
  <c r="P499" i="12"/>
  <c r="O499" i="12"/>
  <c r="N499" i="12"/>
  <c r="M499" i="12"/>
  <c r="L499" i="12"/>
  <c r="K499" i="12"/>
  <c r="J499" i="12"/>
  <c r="I499" i="12"/>
  <c r="H499" i="12"/>
  <c r="G499" i="12"/>
  <c r="F499" i="12"/>
  <c r="E499" i="12"/>
  <c r="D499" i="12"/>
  <c r="C499" i="12"/>
  <c r="B499" i="12"/>
  <c r="A499" i="12"/>
  <c r="P498" i="12"/>
  <c r="O498" i="12"/>
  <c r="N498" i="12"/>
  <c r="M498" i="12"/>
  <c r="L498" i="12"/>
  <c r="K498" i="12"/>
  <c r="J498" i="12"/>
  <c r="I498" i="12"/>
  <c r="H498" i="12"/>
  <c r="G498" i="12"/>
  <c r="F498" i="12"/>
  <c r="E498" i="12"/>
  <c r="D498" i="12"/>
  <c r="C498" i="12"/>
  <c r="B498" i="12"/>
  <c r="A498" i="12"/>
  <c r="P497" i="12"/>
  <c r="O497" i="12"/>
  <c r="N497" i="12"/>
  <c r="M497" i="12"/>
  <c r="L497" i="12"/>
  <c r="K497" i="12"/>
  <c r="J497" i="12"/>
  <c r="I497" i="12"/>
  <c r="H497" i="12"/>
  <c r="G497" i="12"/>
  <c r="F497" i="12"/>
  <c r="E497" i="12"/>
  <c r="D497" i="12"/>
  <c r="C497" i="12"/>
  <c r="B497" i="12"/>
  <c r="A497" i="12"/>
  <c r="P496" i="12"/>
  <c r="O496" i="12"/>
  <c r="N496" i="12"/>
  <c r="M496" i="12"/>
  <c r="L496" i="12"/>
  <c r="K496" i="12"/>
  <c r="J496" i="12"/>
  <c r="I496" i="12"/>
  <c r="H496" i="12"/>
  <c r="G496" i="12"/>
  <c r="F496" i="12"/>
  <c r="E496" i="12"/>
  <c r="D496" i="12"/>
  <c r="C496" i="12"/>
  <c r="B496" i="12"/>
  <c r="A496" i="12"/>
  <c r="P495" i="12"/>
  <c r="O495" i="12"/>
  <c r="N495" i="12"/>
  <c r="M495" i="12"/>
  <c r="L495" i="12"/>
  <c r="K495" i="12"/>
  <c r="J495" i="12"/>
  <c r="I495" i="12"/>
  <c r="H495" i="12"/>
  <c r="G495" i="12"/>
  <c r="F495" i="12"/>
  <c r="E495" i="12"/>
  <c r="D495" i="12"/>
  <c r="C495" i="12"/>
  <c r="B495" i="12"/>
  <c r="A495" i="12"/>
  <c r="P494" i="12"/>
  <c r="O494" i="12"/>
  <c r="N494" i="12"/>
  <c r="M494" i="12"/>
  <c r="L494" i="12"/>
  <c r="K494" i="12"/>
  <c r="J494" i="12"/>
  <c r="I494" i="12"/>
  <c r="H494" i="12"/>
  <c r="G494" i="12"/>
  <c r="F494" i="12"/>
  <c r="E494" i="12"/>
  <c r="D494" i="12"/>
  <c r="C494" i="12"/>
  <c r="B494" i="12"/>
  <c r="A494" i="12"/>
  <c r="P493" i="12"/>
  <c r="O493" i="12"/>
  <c r="N493" i="12"/>
  <c r="M493" i="12"/>
  <c r="L493" i="12"/>
  <c r="K493" i="12"/>
  <c r="J493" i="12"/>
  <c r="I493" i="12"/>
  <c r="H493" i="12"/>
  <c r="G493" i="12"/>
  <c r="F493" i="12"/>
  <c r="E493" i="12"/>
  <c r="D493" i="12"/>
  <c r="C493" i="12"/>
  <c r="B493" i="12"/>
  <c r="A493" i="12"/>
  <c r="P492" i="12"/>
  <c r="O492" i="12"/>
  <c r="N492" i="12"/>
  <c r="M492" i="12"/>
  <c r="L492" i="12"/>
  <c r="K492" i="12"/>
  <c r="J492" i="12"/>
  <c r="I492" i="12"/>
  <c r="H492" i="12"/>
  <c r="G492" i="12"/>
  <c r="F492" i="12"/>
  <c r="E492" i="12"/>
  <c r="D492" i="12"/>
  <c r="C492" i="12"/>
  <c r="B492" i="12"/>
  <c r="A492" i="12"/>
  <c r="P491" i="12"/>
  <c r="O491" i="12"/>
  <c r="N491" i="12"/>
  <c r="M491" i="12"/>
  <c r="L491" i="12"/>
  <c r="K491" i="12"/>
  <c r="J491" i="12"/>
  <c r="I491" i="12"/>
  <c r="H491" i="12"/>
  <c r="G491" i="12"/>
  <c r="F491" i="12"/>
  <c r="E491" i="12"/>
  <c r="D491" i="12"/>
  <c r="C491" i="12"/>
  <c r="B491" i="12"/>
  <c r="A491" i="12"/>
  <c r="P490" i="12"/>
  <c r="O490" i="12"/>
  <c r="N490" i="12"/>
  <c r="M490" i="12"/>
  <c r="L490" i="12"/>
  <c r="K490" i="12"/>
  <c r="J490" i="12"/>
  <c r="I490" i="12"/>
  <c r="H490" i="12"/>
  <c r="G490" i="12"/>
  <c r="F490" i="12"/>
  <c r="E490" i="12"/>
  <c r="D490" i="12"/>
  <c r="C490" i="12"/>
  <c r="B490" i="12"/>
  <c r="A490" i="12"/>
  <c r="P489" i="12"/>
  <c r="O489" i="12"/>
  <c r="N489" i="12"/>
  <c r="M489" i="12"/>
  <c r="L489" i="12"/>
  <c r="K489" i="12"/>
  <c r="J489" i="12"/>
  <c r="I489" i="12"/>
  <c r="H489" i="12"/>
  <c r="G489" i="12"/>
  <c r="F489" i="12"/>
  <c r="E489" i="12"/>
  <c r="D489" i="12"/>
  <c r="C489" i="12"/>
  <c r="B489" i="12"/>
  <c r="A489" i="12"/>
  <c r="P488" i="12"/>
  <c r="O488" i="12"/>
  <c r="N488" i="12"/>
  <c r="M488" i="12"/>
  <c r="L488" i="12"/>
  <c r="K488" i="12"/>
  <c r="J488" i="12"/>
  <c r="I488" i="12"/>
  <c r="H488" i="12"/>
  <c r="G488" i="12"/>
  <c r="F488" i="12"/>
  <c r="E488" i="12"/>
  <c r="D488" i="12"/>
  <c r="C488" i="12"/>
  <c r="B488" i="12"/>
  <c r="A488" i="12"/>
  <c r="P487" i="12"/>
  <c r="O487" i="12"/>
  <c r="N487" i="12"/>
  <c r="M487" i="12"/>
  <c r="L487" i="12"/>
  <c r="K487" i="12"/>
  <c r="J487" i="12"/>
  <c r="I487" i="12"/>
  <c r="H487" i="12"/>
  <c r="G487" i="12"/>
  <c r="F487" i="12"/>
  <c r="E487" i="12"/>
  <c r="D487" i="12"/>
  <c r="C487" i="12"/>
  <c r="B487" i="12"/>
  <c r="A487" i="12"/>
  <c r="P486" i="12"/>
  <c r="O486" i="12"/>
  <c r="N486" i="12"/>
  <c r="M486" i="12"/>
  <c r="L486" i="12"/>
  <c r="K486" i="12"/>
  <c r="J486" i="12"/>
  <c r="I486" i="12"/>
  <c r="H486" i="12"/>
  <c r="G486" i="12"/>
  <c r="F486" i="12"/>
  <c r="E486" i="12"/>
  <c r="D486" i="12"/>
  <c r="C486" i="12"/>
  <c r="B486" i="12"/>
  <c r="A486" i="12"/>
  <c r="P485" i="12"/>
  <c r="O485" i="12"/>
  <c r="N485" i="12"/>
  <c r="M485" i="12"/>
  <c r="L485" i="12"/>
  <c r="K485" i="12"/>
  <c r="J485" i="12"/>
  <c r="I485" i="12"/>
  <c r="H485" i="12"/>
  <c r="G485" i="12"/>
  <c r="F485" i="12"/>
  <c r="E485" i="12"/>
  <c r="D485" i="12"/>
  <c r="C485" i="12"/>
  <c r="B485" i="12"/>
  <c r="A485" i="12"/>
  <c r="P484" i="12"/>
  <c r="O484" i="12"/>
  <c r="N484" i="12"/>
  <c r="M484" i="12"/>
  <c r="L484" i="12"/>
  <c r="K484" i="12"/>
  <c r="J484" i="12"/>
  <c r="I484" i="12"/>
  <c r="H484" i="12"/>
  <c r="G484" i="12"/>
  <c r="F484" i="12"/>
  <c r="E484" i="12"/>
  <c r="D484" i="12"/>
  <c r="C484" i="12"/>
  <c r="B484" i="12"/>
  <c r="A484" i="12"/>
  <c r="P483" i="12"/>
  <c r="O483" i="12"/>
  <c r="N483" i="12"/>
  <c r="M483" i="12"/>
  <c r="L483" i="12"/>
  <c r="K483" i="12"/>
  <c r="J483" i="12"/>
  <c r="I483" i="12"/>
  <c r="H483" i="12"/>
  <c r="G483" i="12"/>
  <c r="F483" i="12"/>
  <c r="E483" i="12"/>
  <c r="D483" i="12"/>
  <c r="C483" i="12"/>
  <c r="B483" i="12"/>
  <c r="A483" i="12"/>
  <c r="P482" i="12"/>
  <c r="O482" i="12"/>
  <c r="N482" i="12"/>
  <c r="M482" i="12"/>
  <c r="L482" i="12"/>
  <c r="K482" i="12"/>
  <c r="J482" i="12"/>
  <c r="I482" i="12"/>
  <c r="H482" i="12"/>
  <c r="G482" i="12"/>
  <c r="F482" i="12"/>
  <c r="E482" i="12"/>
  <c r="D482" i="12"/>
  <c r="C482" i="12"/>
  <c r="B482" i="12"/>
  <c r="A482" i="12"/>
  <c r="P481" i="12"/>
  <c r="O481" i="12"/>
  <c r="N481" i="12"/>
  <c r="M481" i="12"/>
  <c r="L481" i="12"/>
  <c r="K481" i="12"/>
  <c r="J481" i="12"/>
  <c r="I481" i="12"/>
  <c r="H481" i="12"/>
  <c r="G481" i="12"/>
  <c r="F481" i="12"/>
  <c r="E481" i="12"/>
  <c r="D481" i="12"/>
  <c r="C481" i="12"/>
  <c r="B481" i="12"/>
  <c r="A481" i="12"/>
  <c r="P480" i="12"/>
  <c r="O480" i="12"/>
  <c r="N480" i="12"/>
  <c r="M480" i="12"/>
  <c r="L480" i="12"/>
  <c r="K480" i="12"/>
  <c r="J480" i="12"/>
  <c r="I480" i="12"/>
  <c r="H480" i="12"/>
  <c r="G480" i="12"/>
  <c r="F480" i="12"/>
  <c r="E480" i="12"/>
  <c r="D480" i="12"/>
  <c r="C480" i="12"/>
  <c r="B480" i="12"/>
  <c r="A480" i="12"/>
  <c r="P479" i="12"/>
  <c r="O479" i="12"/>
  <c r="N479" i="12"/>
  <c r="M479" i="12"/>
  <c r="L479" i="12"/>
  <c r="K479" i="12"/>
  <c r="J479" i="12"/>
  <c r="I479" i="12"/>
  <c r="H479" i="12"/>
  <c r="G479" i="12"/>
  <c r="F479" i="12"/>
  <c r="E479" i="12"/>
  <c r="D479" i="12"/>
  <c r="C479" i="12"/>
  <c r="B479" i="12"/>
  <c r="A479" i="12"/>
  <c r="P478" i="12"/>
  <c r="O478" i="12"/>
  <c r="N478" i="12"/>
  <c r="M478" i="12"/>
  <c r="L478" i="12"/>
  <c r="K478" i="12"/>
  <c r="J478" i="12"/>
  <c r="I478" i="12"/>
  <c r="H478" i="12"/>
  <c r="G478" i="12"/>
  <c r="F478" i="12"/>
  <c r="E478" i="12"/>
  <c r="D478" i="12"/>
  <c r="C478" i="12"/>
  <c r="B478" i="12"/>
  <c r="A478" i="12"/>
  <c r="P477" i="12"/>
  <c r="O477" i="12"/>
  <c r="N477" i="12"/>
  <c r="M477" i="12"/>
  <c r="L477" i="12"/>
  <c r="K477" i="12"/>
  <c r="J477" i="12"/>
  <c r="I477" i="12"/>
  <c r="H477" i="12"/>
  <c r="G477" i="12"/>
  <c r="F477" i="12"/>
  <c r="E477" i="12"/>
  <c r="D477" i="12"/>
  <c r="C477" i="12"/>
  <c r="B477" i="12"/>
  <c r="A477" i="12"/>
  <c r="P476" i="12"/>
  <c r="O476" i="12"/>
  <c r="N476" i="12"/>
  <c r="M476" i="12"/>
  <c r="L476" i="12"/>
  <c r="K476" i="12"/>
  <c r="J476" i="12"/>
  <c r="I476" i="12"/>
  <c r="H476" i="12"/>
  <c r="G476" i="12"/>
  <c r="F476" i="12"/>
  <c r="E476" i="12"/>
  <c r="D476" i="12"/>
  <c r="C476" i="12"/>
  <c r="B476" i="12"/>
  <c r="A476" i="12"/>
  <c r="P475" i="12"/>
  <c r="O475" i="12"/>
  <c r="N475" i="12"/>
  <c r="M475" i="12"/>
  <c r="L475" i="12"/>
  <c r="K475" i="12"/>
  <c r="J475" i="12"/>
  <c r="I475" i="12"/>
  <c r="H475" i="12"/>
  <c r="G475" i="12"/>
  <c r="F475" i="12"/>
  <c r="E475" i="12"/>
  <c r="D475" i="12"/>
  <c r="C475" i="12"/>
  <c r="B475" i="12"/>
  <c r="A475" i="12"/>
  <c r="P474" i="12"/>
  <c r="O474" i="12"/>
  <c r="N474" i="12"/>
  <c r="M474" i="12"/>
  <c r="L474" i="12"/>
  <c r="K474" i="12"/>
  <c r="J474" i="12"/>
  <c r="I474" i="12"/>
  <c r="H474" i="12"/>
  <c r="G474" i="12"/>
  <c r="F474" i="12"/>
  <c r="E474" i="12"/>
  <c r="D474" i="12"/>
  <c r="C474" i="12"/>
  <c r="B474" i="12"/>
  <c r="A474" i="12"/>
  <c r="P473" i="12"/>
  <c r="O473" i="12"/>
  <c r="N473" i="12"/>
  <c r="M473" i="12"/>
  <c r="L473" i="12"/>
  <c r="K473" i="12"/>
  <c r="J473" i="12"/>
  <c r="I473" i="12"/>
  <c r="H473" i="12"/>
  <c r="G473" i="12"/>
  <c r="F473" i="12"/>
  <c r="E473" i="12"/>
  <c r="D473" i="12"/>
  <c r="C473" i="12"/>
  <c r="B473" i="12"/>
  <c r="A473" i="12"/>
  <c r="P472" i="12"/>
  <c r="O472" i="12"/>
  <c r="N472" i="12"/>
  <c r="M472" i="12"/>
  <c r="L472" i="12"/>
  <c r="K472" i="12"/>
  <c r="J472" i="12"/>
  <c r="I472" i="12"/>
  <c r="H472" i="12"/>
  <c r="G472" i="12"/>
  <c r="F472" i="12"/>
  <c r="E472" i="12"/>
  <c r="D472" i="12"/>
  <c r="C472" i="12"/>
  <c r="B472" i="12"/>
  <c r="A472" i="12"/>
  <c r="P471" i="12"/>
  <c r="O471" i="12"/>
  <c r="N471" i="12"/>
  <c r="M471" i="12"/>
  <c r="L471" i="12"/>
  <c r="K471" i="12"/>
  <c r="J471" i="12"/>
  <c r="I471" i="12"/>
  <c r="H471" i="12"/>
  <c r="G471" i="12"/>
  <c r="F471" i="12"/>
  <c r="E471" i="12"/>
  <c r="D471" i="12"/>
  <c r="C471" i="12"/>
  <c r="B471" i="12"/>
  <c r="A471" i="12"/>
  <c r="P470" i="12"/>
  <c r="O470" i="12"/>
  <c r="N470" i="12"/>
  <c r="M470" i="12"/>
  <c r="L470" i="12"/>
  <c r="K470" i="12"/>
  <c r="J470" i="12"/>
  <c r="I470" i="12"/>
  <c r="H470" i="12"/>
  <c r="G470" i="12"/>
  <c r="F470" i="12"/>
  <c r="E470" i="12"/>
  <c r="D470" i="12"/>
  <c r="C470" i="12"/>
  <c r="B470" i="12"/>
  <c r="A470" i="12"/>
  <c r="P469" i="12"/>
  <c r="O469" i="12"/>
  <c r="N469" i="12"/>
  <c r="M469" i="12"/>
  <c r="L469" i="12"/>
  <c r="K469" i="12"/>
  <c r="J469" i="12"/>
  <c r="I469" i="12"/>
  <c r="H469" i="12"/>
  <c r="G469" i="12"/>
  <c r="F469" i="12"/>
  <c r="E469" i="12"/>
  <c r="D469" i="12"/>
  <c r="C469" i="12"/>
  <c r="B469" i="12"/>
  <c r="A469" i="12"/>
  <c r="P468" i="12"/>
  <c r="O468" i="12"/>
  <c r="N468" i="12"/>
  <c r="M468" i="12"/>
  <c r="L468" i="12"/>
  <c r="K468" i="12"/>
  <c r="J468" i="12"/>
  <c r="I468" i="12"/>
  <c r="H468" i="12"/>
  <c r="G468" i="12"/>
  <c r="F468" i="12"/>
  <c r="E468" i="12"/>
  <c r="D468" i="12"/>
  <c r="C468" i="12"/>
  <c r="B468" i="12"/>
  <c r="A468" i="12"/>
  <c r="P467" i="12"/>
  <c r="O467" i="12"/>
  <c r="N467" i="12"/>
  <c r="M467" i="12"/>
  <c r="L467" i="12"/>
  <c r="K467" i="12"/>
  <c r="J467" i="12"/>
  <c r="I467" i="12"/>
  <c r="H467" i="12"/>
  <c r="G467" i="12"/>
  <c r="F467" i="12"/>
  <c r="E467" i="12"/>
  <c r="D467" i="12"/>
  <c r="C467" i="12"/>
  <c r="B467" i="12"/>
  <c r="A467" i="12"/>
  <c r="P466" i="12"/>
  <c r="O466" i="12"/>
  <c r="N466" i="12"/>
  <c r="M466" i="12"/>
  <c r="L466" i="12"/>
  <c r="K466" i="12"/>
  <c r="J466" i="12"/>
  <c r="I466" i="12"/>
  <c r="H466" i="12"/>
  <c r="G466" i="12"/>
  <c r="F466" i="12"/>
  <c r="E466" i="12"/>
  <c r="D466" i="12"/>
  <c r="C466" i="12"/>
  <c r="B466" i="12"/>
  <c r="A466" i="12"/>
  <c r="P465" i="12"/>
  <c r="O465" i="12"/>
  <c r="N465" i="12"/>
  <c r="M465" i="12"/>
  <c r="L465" i="12"/>
  <c r="K465" i="12"/>
  <c r="J465" i="12"/>
  <c r="I465" i="12"/>
  <c r="H465" i="12"/>
  <c r="G465" i="12"/>
  <c r="F465" i="12"/>
  <c r="E465" i="12"/>
  <c r="D465" i="12"/>
  <c r="C465" i="12"/>
  <c r="B465" i="12"/>
  <c r="A465" i="12"/>
  <c r="P464" i="12"/>
  <c r="O464" i="12"/>
  <c r="N464" i="12"/>
  <c r="M464" i="12"/>
  <c r="L464" i="12"/>
  <c r="K464" i="12"/>
  <c r="J464" i="12"/>
  <c r="I464" i="12"/>
  <c r="H464" i="12"/>
  <c r="G464" i="12"/>
  <c r="F464" i="12"/>
  <c r="E464" i="12"/>
  <c r="D464" i="12"/>
  <c r="C464" i="12"/>
  <c r="B464" i="12"/>
  <c r="A464" i="12"/>
  <c r="P463" i="12"/>
  <c r="O463" i="12"/>
  <c r="N463" i="12"/>
  <c r="M463" i="12"/>
  <c r="L463" i="12"/>
  <c r="K463" i="12"/>
  <c r="J463" i="12"/>
  <c r="I463" i="12"/>
  <c r="H463" i="12"/>
  <c r="G463" i="12"/>
  <c r="F463" i="12"/>
  <c r="E463" i="12"/>
  <c r="D463" i="12"/>
  <c r="C463" i="12"/>
  <c r="B463" i="12"/>
  <c r="A463" i="12"/>
  <c r="P462" i="12"/>
  <c r="O462" i="12"/>
  <c r="N462" i="12"/>
  <c r="M462" i="12"/>
  <c r="L462" i="12"/>
  <c r="K462" i="12"/>
  <c r="J462" i="12"/>
  <c r="I462" i="12"/>
  <c r="H462" i="12"/>
  <c r="G462" i="12"/>
  <c r="F462" i="12"/>
  <c r="E462" i="12"/>
  <c r="D462" i="12"/>
  <c r="C462" i="12"/>
  <c r="B462" i="12"/>
  <c r="A462" i="12"/>
  <c r="P461" i="12"/>
  <c r="O461" i="12"/>
  <c r="N461" i="12"/>
  <c r="M461" i="12"/>
  <c r="L461" i="12"/>
  <c r="K461" i="12"/>
  <c r="J461" i="12"/>
  <c r="I461" i="12"/>
  <c r="H461" i="12"/>
  <c r="G461" i="12"/>
  <c r="F461" i="12"/>
  <c r="E461" i="12"/>
  <c r="D461" i="12"/>
  <c r="C461" i="12"/>
  <c r="B461" i="12"/>
  <c r="A461" i="12"/>
  <c r="P460" i="12"/>
  <c r="O460" i="12"/>
  <c r="N460" i="12"/>
  <c r="M460" i="12"/>
  <c r="L460" i="12"/>
  <c r="K460" i="12"/>
  <c r="J460" i="12"/>
  <c r="I460" i="12"/>
  <c r="H460" i="12"/>
  <c r="G460" i="12"/>
  <c r="F460" i="12"/>
  <c r="E460" i="12"/>
  <c r="D460" i="12"/>
  <c r="C460" i="12"/>
  <c r="B460" i="12"/>
  <c r="A460" i="12"/>
  <c r="P459" i="12"/>
  <c r="O459" i="12"/>
  <c r="N459" i="12"/>
  <c r="M459" i="12"/>
  <c r="L459" i="12"/>
  <c r="K459" i="12"/>
  <c r="J459" i="12"/>
  <c r="I459" i="12"/>
  <c r="H459" i="12"/>
  <c r="G459" i="12"/>
  <c r="F459" i="12"/>
  <c r="E459" i="12"/>
  <c r="D459" i="12"/>
  <c r="C459" i="12"/>
  <c r="B459" i="12"/>
  <c r="A459" i="12"/>
  <c r="P458" i="12"/>
  <c r="O458" i="12"/>
  <c r="N458" i="12"/>
  <c r="M458" i="12"/>
  <c r="L458" i="12"/>
  <c r="K458" i="12"/>
  <c r="J458" i="12"/>
  <c r="I458" i="12"/>
  <c r="H458" i="12"/>
  <c r="G458" i="12"/>
  <c r="F458" i="12"/>
  <c r="E458" i="12"/>
  <c r="D458" i="12"/>
  <c r="C458" i="12"/>
  <c r="B458" i="12"/>
  <c r="A458" i="12"/>
  <c r="P457" i="12"/>
  <c r="O457" i="12"/>
  <c r="N457" i="12"/>
  <c r="M457" i="12"/>
  <c r="L457" i="12"/>
  <c r="K457" i="12"/>
  <c r="J457" i="12"/>
  <c r="I457" i="12"/>
  <c r="H457" i="12"/>
  <c r="G457" i="12"/>
  <c r="F457" i="12"/>
  <c r="E457" i="12"/>
  <c r="D457" i="12"/>
  <c r="C457" i="12"/>
  <c r="B457" i="12"/>
  <c r="A457" i="12"/>
  <c r="P456" i="12"/>
  <c r="O456" i="12"/>
  <c r="N456" i="12"/>
  <c r="M456" i="12"/>
  <c r="L456" i="12"/>
  <c r="K456" i="12"/>
  <c r="J456" i="12"/>
  <c r="I456" i="12"/>
  <c r="H456" i="12"/>
  <c r="G456" i="12"/>
  <c r="F456" i="12"/>
  <c r="E456" i="12"/>
  <c r="D456" i="12"/>
  <c r="C456" i="12"/>
  <c r="B456" i="12"/>
  <c r="A456" i="12"/>
  <c r="P455" i="12"/>
  <c r="O455" i="12"/>
  <c r="N455" i="12"/>
  <c r="M455" i="12"/>
  <c r="L455" i="12"/>
  <c r="K455" i="12"/>
  <c r="J455" i="12"/>
  <c r="I455" i="12"/>
  <c r="H455" i="12"/>
  <c r="G455" i="12"/>
  <c r="F455" i="12"/>
  <c r="E455" i="12"/>
  <c r="D455" i="12"/>
  <c r="C455" i="12"/>
  <c r="B455" i="12"/>
  <c r="A455" i="12"/>
  <c r="P454" i="12"/>
  <c r="O454" i="12"/>
  <c r="N454" i="12"/>
  <c r="M454" i="12"/>
  <c r="L454" i="12"/>
  <c r="K454" i="12"/>
  <c r="J454" i="12"/>
  <c r="I454" i="12"/>
  <c r="H454" i="12"/>
  <c r="G454" i="12"/>
  <c r="F454" i="12"/>
  <c r="E454" i="12"/>
  <c r="D454" i="12"/>
  <c r="C454" i="12"/>
  <c r="B454" i="12"/>
  <c r="A454" i="12"/>
  <c r="P453" i="12"/>
  <c r="O453" i="12"/>
  <c r="N453" i="12"/>
  <c r="M453" i="12"/>
  <c r="L453" i="12"/>
  <c r="K453" i="12"/>
  <c r="J453" i="12"/>
  <c r="I453" i="12"/>
  <c r="H453" i="12"/>
  <c r="G453" i="12"/>
  <c r="F453" i="12"/>
  <c r="E453" i="12"/>
  <c r="D453" i="12"/>
  <c r="C453" i="12"/>
  <c r="B453" i="12"/>
  <c r="A453" i="12"/>
  <c r="P452" i="12"/>
  <c r="O452" i="12"/>
  <c r="N452" i="12"/>
  <c r="M452" i="12"/>
  <c r="L452" i="12"/>
  <c r="K452" i="12"/>
  <c r="J452" i="12"/>
  <c r="I452" i="12"/>
  <c r="H452" i="12"/>
  <c r="G452" i="12"/>
  <c r="F452" i="12"/>
  <c r="E452" i="12"/>
  <c r="D452" i="12"/>
  <c r="C452" i="12"/>
  <c r="B452" i="12"/>
  <c r="A452" i="12"/>
  <c r="P451" i="12"/>
  <c r="O451" i="12"/>
  <c r="N451" i="12"/>
  <c r="M451" i="12"/>
  <c r="L451" i="12"/>
  <c r="K451" i="12"/>
  <c r="J451" i="12"/>
  <c r="I451" i="12"/>
  <c r="H451" i="12"/>
  <c r="G451" i="12"/>
  <c r="F451" i="12"/>
  <c r="E451" i="12"/>
  <c r="D451" i="12"/>
  <c r="C451" i="12"/>
  <c r="B451" i="12"/>
  <c r="A451" i="12"/>
  <c r="P450" i="12"/>
  <c r="O450" i="12"/>
  <c r="N450" i="12"/>
  <c r="M450" i="12"/>
  <c r="L450" i="12"/>
  <c r="K450" i="12"/>
  <c r="J450" i="12"/>
  <c r="I450" i="12"/>
  <c r="H450" i="12"/>
  <c r="G450" i="12"/>
  <c r="F450" i="12"/>
  <c r="E450" i="12"/>
  <c r="D450" i="12"/>
  <c r="C450" i="12"/>
  <c r="B450" i="12"/>
  <c r="A450" i="12"/>
  <c r="P449" i="12"/>
  <c r="O449" i="12"/>
  <c r="N449" i="12"/>
  <c r="M449" i="12"/>
  <c r="L449" i="12"/>
  <c r="K449" i="12"/>
  <c r="J449" i="12"/>
  <c r="I449" i="12"/>
  <c r="H449" i="12"/>
  <c r="G449" i="12"/>
  <c r="F449" i="12"/>
  <c r="E449" i="12"/>
  <c r="D449" i="12"/>
  <c r="C449" i="12"/>
  <c r="B449" i="12"/>
  <c r="A449" i="12"/>
  <c r="P448" i="12"/>
  <c r="O448" i="12"/>
  <c r="N448" i="12"/>
  <c r="M448" i="12"/>
  <c r="L448" i="12"/>
  <c r="K448" i="12"/>
  <c r="J448" i="12"/>
  <c r="I448" i="12"/>
  <c r="H448" i="12"/>
  <c r="G448" i="12"/>
  <c r="F448" i="12"/>
  <c r="E448" i="12"/>
  <c r="D448" i="12"/>
  <c r="C448" i="12"/>
  <c r="B448" i="12"/>
  <c r="A448" i="12"/>
  <c r="P447" i="12"/>
  <c r="O447" i="12"/>
  <c r="N447" i="12"/>
  <c r="M447" i="12"/>
  <c r="L447" i="12"/>
  <c r="K447" i="12"/>
  <c r="J447" i="12"/>
  <c r="I447" i="12"/>
  <c r="H447" i="12"/>
  <c r="G447" i="12"/>
  <c r="F447" i="12"/>
  <c r="E447" i="12"/>
  <c r="D447" i="12"/>
  <c r="C447" i="12"/>
  <c r="B447" i="12"/>
  <c r="A447" i="12"/>
  <c r="P446" i="12"/>
  <c r="O446" i="12"/>
  <c r="N446" i="12"/>
  <c r="M446" i="12"/>
  <c r="L446" i="12"/>
  <c r="K446" i="12"/>
  <c r="J446" i="12"/>
  <c r="I446" i="12"/>
  <c r="H446" i="12"/>
  <c r="G446" i="12"/>
  <c r="F446" i="12"/>
  <c r="E446" i="12"/>
  <c r="D446" i="12"/>
  <c r="C446" i="12"/>
  <c r="B446" i="12"/>
  <c r="A446" i="12"/>
  <c r="P445" i="12"/>
  <c r="O445" i="12"/>
  <c r="N445" i="12"/>
  <c r="M445" i="12"/>
  <c r="L445" i="12"/>
  <c r="K445" i="12"/>
  <c r="J445" i="12"/>
  <c r="I445" i="12"/>
  <c r="H445" i="12"/>
  <c r="G445" i="12"/>
  <c r="F445" i="12"/>
  <c r="E445" i="12"/>
  <c r="D445" i="12"/>
  <c r="C445" i="12"/>
  <c r="B445" i="12"/>
  <c r="A445" i="12"/>
  <c r="P444" i="12"/>
  <c r="O444" i="12"/>
  <c r="N444" i="12"/>
  <c r="M444" i="12"/>
  <c r="L444" i="12"/>
  <c r="K444" i="12"/>
  <c r="J444" i="12"/>
  <c r="I444" i="12"/>
  <c r="H444" i="12"/>
  <c r="G444" i="12"/>
  <c r="F444" i="12"/>
  <c r="E444" i="12"/>
  <c r="D444" i="12"/>
  <c r="C444" i="12"/>
  <c r="B444" i="12"/>
  <c r="A444" i="12"/>
  <c r="P443" i="12"/>
  <c r="O443" i="12"/>
  <c r="N443" i="12"/>
  <c r="M443" i="12"/>
  <c r="L443" i="12"/>
  <c r="K443" i="12"/>
  <c r="J443" i="12"/>
  <c r="I443" i="12"/>
  <c r="H443" i="12"/>
  <c r="G443" i="12"/>
  <c r="F443" i="12"/>
  <c r="E443" i="12"/>
  <c r="D443" i="12"/>
  <c r="C443" i="12"/>
  <c r="B443" i="12"/>
  <c r="A443" i="12"/>
  <c r="P442" i="12"/>
  <c r="O442" i="12"/>
  <c r="N442" i="12"/>
  <c r="M442" i="12"/>
  <c r="L442" i="12"/>
  <c r="K442" i="12"/>
  <c r="J442" i="12"/>
  <c r="I442" i="12"/>
  <c r="H442" i="12"/>
  <c r="G442" i="12"/>
  <c r="F442" i="12"/>
  <c r="E442" i="12"/>
  <c r="D442" i="12"/>
  <c r="C442" i="12"/>
  <c r="B442" i="12"/>
  <c r="A442" i="12"/>
  <c r="P441" i="12"/>
  <c r="O441" i="12"/>
  <c r="N441" i="12"/>
  <c r="M441" i="12"/>
  <c r="L441" i="12"/>
  <c r="K441" i="12"/>
  <c r="J441" i="12"/>
  <c r="I441" i="12"/>
  <c r="H441" i="12"/>
  <c r="G441" i="12"/>
  <c r="F441" i="12"/>
  <c r="E441" i="12"/>
  <c r="D441" i="12"/>
  <c r="C441" i="12"/>
  <c r="B441" i="12"/>
  <c r="A441" i="12"/>
  <c r="P440" i="12"/>
  <c r="O440" i="12"/>
  <c r="N440" i="12"/>
  <c r="M440" i="12"/>
  <c r="L440" i="12"/>
  <c r="K440" i="12"/>
  <c r="J440" i="12"/>
  <c r="I440" i="12"/>
  <c r="H440" i="12"/>
  <c r="G440" i="12"/>
  <c r="F440" i="12"/>
  <c r="E440" i="12"/>
  <c r="D440" i="12"/>
  <c r="C440" i="12"/>
  <c r="B440" i="12"/>
  <c r="A440" i="12"/>
  <c r="P439" i="12"/>
  <c r="O439" i="12"/>
  <c r="N439" i="12"/>
  <c r="M439" i="12"/>
  <c r="L439" i="12"/>
  <c r="K439" i="12"/>
  <c r="J439" i="12"/>
  <c r="I439" i="12"/>
  <c r="H439" i="12"/>
  <c r="G439" i="12"/>
  <c r="F439" i="12"/>
  <c r="E439" i="12"/>
  <c r="D439" i="12"/>
  <c r="C439" i="12"/>
  <c r="B439" i="12"/>
  <c r="A439" i="12"/>
  <c r="P438" i="12"/>
  <c r="O438" i="12"/>
  <c r="N438" i="12"/>
  <c r="M438" i="12"/>
  <c r="L438" i="12"/>
  <c r="K438" i="12"/>
  <c r="J438" i="12"/>
  <c r="I438" i="12"/>
  <c r="H438" i="12"/>
  <c r="G438" i="12"/>
  <c r="F438" i="12"/>
  <c r="E438" i="12"/>
  <c r="D438" i="12"/>
  <c r="C438" i="12"/>
  <c r="B438" i="12"/>
  <c r="A438" i="12"/>
  <c r="P437" i="12"/>
  <c r="O437" i="12"/>
  <c r="N437" i="12"/>
  <c r="M437" i="12"/>
  <c r="L437" i="12"/>
  <c r="K437" i="12"/>
  <c r="J437" i="12"/>
  <c r="I437" i="12"/>
  <c r="H437" i="12"/>
  <c r="G437" i="12"/>
  <c r="F437" i="12"/>
  <c r="E437" i="12"/>
  <c r="D437" i="12"/>
  <c r="C437" i="12"/>
  <c r="B437" i="12"/>
  <c r="A437" i="12"/>
  <c r="P436" i="12"/>
  <c r="O436" i="12"/>
  <c r="N436" i="12"/>
  <c r="M436" i="12"/>
  <c r="L436" i="12"/>
  <c r="K436" i="12"/>
  <c r="J436" i="12"/>
  <c r="I436" i="12"/>
  <c r="H436" i="12"/>
  <c r="G436" i="12"/>
  <c r="F436" i="12"/>
  <c r="E436" i="12"/>
  <c r="D436" i="12"/>
  <c r="C436" i="12"/>
  <c r="B436" i="12"/>
  <c r="A436" i="12"/>
  <c r="P435" i="12"/>
  <c r="O435" i="12"/>
  <c r="N435" i="12"/>
  <c r="M435" i="12"/>
  <c r="L435" i="12"/>
  <c r="K435" i="12"/>
  <c r="J435" i="12"/>
  <c r="I435" i="12"/>
  <c r="H435" i="12"/>
  <c r="G435" i="12"/>
  <c r="F435" i="12"/>
  <c r="E435" i="12"/>
  <c r="D435" i="12"/>
  <c r="C435" i="12"/>
  <c r="B435" i="12"/>
  <c r="A435" i="12"/>
  <c r="P434" i="12"/>
  <c r="O434" i="12"/>
  <c r="N434" i="12"/>
  <c r="M434" i="12"/>
  <c r="L434" i="12"/>
  <c r="K434" i="12"/>
  <c r="J434" i="12"/>
  <c r="I434" i="12"/>
  <c r="H434" i="12"/>
  <c r="G434" i="12"/>
  <c r="F434" i="12"/>
  <c r="E434" i="12"/>
  <c r="D434" i="12"/>
  <c r="C434" i="12"/>
  <c r="B434" i="12"/>
  <c r="A434" i="12"/>
  <c r="P433" i="12"/>
  <c r="O433" i="12"/>
  <c r="N433" i="12"/>
  <c r="M433" i="12"/>
  <c r="L433" i="12"/>
  <c r="K433" i="12"/>
  <c r="J433" i="12"/>
  <c r="I433" i="12"/>
  <c r="H433" i="12"/>
  <c r="G433" i="12"/>
  <c r="F433" i="12"/>
  <c r="E433" i="12"/>
  <c r="D433" i="12"/>
  <c r="C433" i="12"/>
  <c r="B433" i="12"/>
  <c r="A433" i="12"/>
  <c r="P432" i="12"/>
  <c r="O432" i="12"/>
  <c r="N432" i="12"/>
  <c r="M432" i="12"/>
  <c r="L432" i="12"/>
  <c r="K432" i="12"/>
  <c r="J432" i="12"/>
  <c r="I432" i="12"/>
  <c r="H432" i="12"/>
  <c r="G432" i="12"/>
  <c r="F432" i="12"/>
  <c r="E432" i="12"/>
  <c r="D432" i="12"/>
  <c r="C432" i="12"/>
  <c r="B432" i="12"/>
  <c r="A432" i="12"/>
  <c r="P431" i="12"/>
  <c r="O431" i="12"/>
  <c r="N431" i="12"/>
  <c r="M431" i="12"/>
  <c r="L431" i="12"/>
  <c r="K431" i="12"/>
  <c r="J431" i="12"/>
  <c r="I431" i="12"/>
  <c r="H431" i="12"/>
  <c r="G431" i="12"/>
  <c r="F431" i="12"/>
  <c r="E431" i="12"/>
  <c r="D431" i="12"/>
  <c r="C431" i="12"/>
  <c r="B431" i="12"/>
  <c r="A431" i="12"/>
  <c r="P430" i="12"/>
  <c r="O430" i="12"/>
  <c r="N430" i="12"/>
  <c r="M430" i="12"/>
  <c r="L430" i="12"/>
  <c r="K430" i="12"/>
  <c r="J430" i="12"/>
  <c r="I430" i="12"/>
  <c r="H430" i="12"/>
  <c r="G430" i="12"/>
  <c r="F430" i="12"/>
  <c r="E430" i="12"/>
  <c r="D430" i="12"/>
  <c r="C430" i="12"/>
  <c r="B430" i="12"/>
  <c r="A430" i="12"/>
  <c r="P429" i="12"/>
  <c r="O429" i="12"/>
  <c r="N429" i="12"/>
  <c r="M429" i="12"/>
  <c r="L429" i="12"/>
  <c r="K429" i="12"/>
  <c r="J429" i="12"/>
  <c r="I429" i="12"/>
  <c r="H429" i="12"/>
  <c r="G429" i="12"/>
  <c r="F429" i="12"/>
  <c r="E429" i="12"/>
  <c r="D429" i="12"/>
  <c r="C429" i="12"/>
  <c r="B429" i="12"/>
  <c r="A429" i="12"/>
  <c r="P428" i="12"/>
  <c r="O428" i="12"/>
  <c r="N428" i="12"/>
  <c r="M428" i="12"/>
  <c r="L428" i="12"/>
  <c r="K428" i="12"/>
  <c r="J428" i="12"/>
  <c r="I428" i="12"/>
  <c r="H428" i="12"/>
  <c r="G428" i="12"/>
  <c r="F428" i="12"/>
  <c r="E428" i="12"/>
  <c r="D428" i="12"/>
  <c r="C428" i="12"/>
  <c r="B428" i="12"/>
  <c r="A428" i="12"/>
  <c r="P427" i="12"/>
  <c r="O427" i="12"/>
  <c r="N427" i="12"/>
  <c r="M427" i="12"/>
  <c r="L427" i="12"/>
  <c r="K427" i="12"/>
  <c r="J427" i="12"/>
  <c r="I427" i="12"/>
  <c r="H427" i="12"/>
  <c r="G427" i="12"/>
  <c r="F427" i="12"/>
  <c r="E427" i="12"/>
  <c r="D427" i="12"/>
  <c r="C427" i="12"/>
  <c r="B427" i="12"/>
  <c r="A427" i="12"/>
  <c r="P426" i="12"/>
  <c r="O426" i="12"/>
  <c r="N426" i="12"/>
  <c r="M426" i="12"/>
  <c r="L426" i="12"/>
  <c r="K426" i="12"/>
  <c r="J426" i="12"/>
  <c r="I426" i="12"/>
  <c r="H426" i="12"/>
  <c r="G426" i="12"/>
  <c r="F426" i="12"/>
  <c r="E426" i="12"/>
  <c r="D426" i="12"/>
  <c r="C426" i="12"/>
  <c r="B426" i="12"/>
  <c r="A426" i="12"/>
  <c r="P425" i="12"/>
  <c r="O425" i="12"/>
  <c r="N425" i="12"/>
  <c r="M425" i="12"/>
  <c r="L425" i="12"/>
  <c r="K425" i="12"/>
  <c r="J425" i="12"/>
  <c r="I425" i="12"/>
  <c r="H425" i="12"/>
  <c r="G425" i="12"/>
  <c r="F425" i="12"/>
  <c r="E425" i="12"/>
  <c r="D425" i="12"/>
  <c r="C425" i="12"/>
  <c r="B425" i="12"/>
  <c r="A425" i="12"/>
  <c r="P424" i="12"/>
  <c r="O424" i="12"/>
  <c r="N424" i="12"/>
  <c r="M424" i="12"/>
  <c r="L424" i="12"/>
  <c r="K424" i="12"/>
  <c r="J424" i="12"/>
  <c r="I424" i="12"/>
  <c r="H424" i="12"/>
  <c r="G424" i="12"/>
  <c r="F424" i="12"/>
  <c r="E424" i="12"/>
  <c r="D424" i="12"/>
  <c r="C424" i="12"/>
  <c r="B424" i="12"/>
  <c r="A424" i="12"/>
  <c r="P423" i="12"/>
  <c r="O423" i="12"/>
  <c r="N423" i="12"/>
  <c r="M423" i="12"/>
  <c r="L423" i="12"/>
  <c r="K423" i="12"/>
  <c r="J423" i="12"/>
  <c r="I423" i="12"/>
  <c r="H423" i="12"/>
  <c r="G423" i="12"/>
  <c r="F423" i="12"/>
  <c r="E423" i="12"/>
  <c r="D423" i="12"/>
  <c r="C423" i="12"/>
  <c r="B423" i="12"/>
  <c r="A423" i="12"/>
  <c r="P422" i="12"/>
  <c r="O422" i="12"/>
  <c r="N422" i="12"/>
  <c r="M422" i="12"/>
  <c r="L422" i="12"/>
  <c r="K422" i="12"/>
  <c r="J422" i="12"/>
  <c r="I422" i="12"/>
  <c r="H422" i="12"/>
  <c r="G422" i="12"/>
  <c r="F422" i="12"/>
  <c r="E422" i="12"/>
  <c r="D422" i="12"/>
  <c r="C422" i="12"/>
  <c r="B422" i="12"/>
  <c r="A422" i="12"/>
  <c r="P421" i="12"/>
  <c r="O421" i="12"/>
  <c r="N421" i="12"/>
  <c r="M421" i="12"/>
  <c r="L421" i="12"/>
  <c r="K421" i="12"/>
  <c r="J421" i="12"/>
  <c r="I421" i="12"/>
  <c r="H421" i="12"/>
  <c r="G421" i="12"/>
  <c r="F421" i="12"/>
  <c r="E421" i="12"/>
  <c r="D421" i="12"/>
  <c r="C421" i="12"/>
  <c r="B421" i="12"/>
  <c r="A421" i="12"/>
  <c r="P420" i="12"/>
  <c r="O420" i="12"/>
  <c r="N420" i="12"/>
  <c r="M420" i="12"/>
  <c r="L420" i="12"/>
  <c r="K420" i="12"/>
  <c r="J420" i="12"/>
  <c r="I420" i="12"/>
  <c r="H420" i="12"/>
  <c r="G420" i="12"/>
  <c r="F420" i="12"/>
  <c r="E420" i="12"/>
  <c r="D420" i="12"/>
  <c r="C420" i="12"/>
  <c r="B420" i="12"/>
  <c r="A420" i="12"/>
  <c r="P419" i="12"/>
  <c r="O419" i="12"/>
  <c r="N419" i="12"/>
  <c r="M419" i="12"/>
  <c r="L419" i="12"/>
  <c r="K419" i="12"/>
  <c r="J419" i="12"/>
  <c r="I419" i="12"/>
  <c r="H419" i="12"/>
  <c r="G419" i="12"/>
  <c r="F419" i="12"/>
  <c r="E419" i="12"/>
  <c r="D419" i="12"/>
  <c r="C419" i="12"/>
  <c r="B419" i="12"/>
  <c r="A419" i="12"/>
  <c r="P418" i="12"/>
  <c r="O418" i="12"/>
  <c r="N418" i="12"/>
  <c r="M418" i="12"/>
  <c r="L418" i="12"/>
  <c r="K418" i="12"/>
  <c r="J418" i="12"/>
  <c r="I418" i="12"/>
  <c r="H418" i="12"/>
  <c r="G418" i="12"/>
  <c r="F418" i="12"/>
  <c r="E418" i="12"/>
  <c r="D418" i="12"/>
  <c r="C418" i="12"/>
  <c r="B418" i="12"/>
  <c r="A418" i="12"/>
  <c r="P417" i="12"/>
  <c r="O417" i="12"/>
  <c r="N417" i="12"/>
  <c r="M417" i="12"/>
  <c r="L417" i="12"/>
  <c r="K417" i="12"/>
  <c r="J417" i="12"/>
  <c r="I417" i="12"/>
  <c r="H417" i="12"/>
  <c r="G417" i="12"/>
  <c r="F417" i="12"/>
  <c r="E417" i="12"/>
  <c r="D417" i="12"/>
  <c r="C417" i="12"/>
  <c r="B417" i="12"/>
  <c r="A417" i="12"/>
  <c r="P416" i="12"/>
  <c r="O416" i="12"/>
  <c r="N416" i="12"/>
  <c r="M416" i="12"/>
  <c r="L416" i="12"/>
  <c r="K416" i="12"/>
  <c r="J416" i="12"/>
  <c r="I416" i="12"/>
  <c r="H416" i="12"/>
  <c r="G416" i="12"/>
  <c r="F416" i="12"/>
  <c r="E416" i="12"/>
  <c r="D416" i="12"/>
  <c r="C416" i="12"/>
  <c r="B416" i="12"/>
  <c r="A416" i="12"/>
  <c r="P415" i="12"/>
  <c r="O415" i="12"/>
  <c r="N415" i="12"/>
  <c r="M415" i="12"/>
  <c r="L415" i="12"/>
  <c r="K415" i="12"/>
  <c r="J415" i="12"/>
  <c r="I415" i="12"/>
  <c r="H415" i="12"/>
  <c r="G415" i="12"/>
  <c r="F415" i="12"/>
  <c r="E415" i="12"/>
  <c r="D415" i="12"/>
  <c r="C415" i="12"/>
  <c r="B415" i="12"/>
  <c r="A415" i="12"/>
  <c r="P414" i="12"/>
  <c r="O414" i="12"/>
  <c r="N414" i="12"/>
  <c r="M414" i="12"/>
  <c r="L414" i="12"/>
  <c r="K414" i="12"/>
  <c r="J414" i="12"/>
  <c r="I414" i="12"/>
  <c r="H414" i="12"/>
  <c r="G414" i="12"/>
  <c r="F414" i="12"/>
  <c r="E414" i="12"/>
  <c r="D414" i="12"/>
  <c r="C414" i="12"/>
  <c r="B414" i="12"/>
  <c r="A414" i="12"/>
  <c r="P413" i="12"/>
  <c r="O413" i="12"/>
  <c r="N413" i="12"/>
  <c r="M413" i="12"/>
  <c r="L413" i="12"/>
  <c r="K413" i="12"/>
  <c r="J413" i="12"/>
  <c r="I413" i="12"/>
  <c r="H413" i="12"/>
  <c r="G413" i="12"/>
  <c r="F413" i="12"/>
  <c r="E413" i="12"/>
  <c r="D413" i="12"/>
  <c r="C413" i="12"/>
  <c r="B413" i="12"/>
  <c r="A413" i="12"/>
  <c r="P412" i="12"/>
  <c r="O412" i="12"/>
  <c r="N412" i="12"/>
  <c r="M412" i="12"/>
  <c r="L412" i="12"/>
  <c r="K412" i="12"/>
  <c r="J412" i="12"/>
  <c r="I412" i="12"/>
  <c r="H412" i="12"/>
  <c r="G412" i="12"/>
  <c r="F412" i="12"/>
  <c r="E412" i="12"/>
  <c r="D412" i="12"/>
  <c r="C412" i="12"/>
  <c r="B412" i="12"/>
  <c r="A412" i="12"/>
  <c r="P411" i="12"/>
  <c r="O411" i="12"/>
  <c r="N411" i="12"/>
  <c r="M411" i="12"/>
  <c r="L411" i="12"/>
  <c r="K411" i="12"/>
  <c r="J411" i="12"/>
  <c r="I411" i="12"/>
  <c r="H411" i="12"/>
  <c r="G411" i="12"/>
  <c r="F411" i="12"/>
  <c r="E411" i="12"/>
  <c r="D411" i="12"/>
  <c r="C411" i="12"/>
  <c r="B411" i="12"/>
  <c r="A411" i="12"/>
  <c r="P410" i="12"/>
  <c r="O410" i="12"/>
  <c r="N410" i="12"/>
  <c r="M410" i="12"/>
  <c r="L410" i="12"/>
  <c r="K410" i="12"/>
  <c r="J410" i="12"/>
  <c r="I410" i="12"/>
  <c r="H410" i="12"/>
  <c r="G410" i="12"/>
  <c r="F410" i="12"/>
  <c r="E410" i="12"/>
  <c r="D410" i="12"/>
  <c r="C410" i="12"/>
  <c r="B410" i="12"/>
  <c r="A410" i="12"/>
  <c r="P409" i="12"/>
  <c r="O409" i="12"/>
  <c r="N409" i="12"/>
  <c r="M409" i="12"/>
  <c r="L409" i="12"/>
  <c r="K409" i="12"/>
  <c r="J409" i="12"/>
  <c r="I409" i="12"/>
  <c r="H409" i="12"/>
  <c r="G409" i="12"/>
  <c r="F409" i="12"/>
  <c r="E409" i="12"/>
  <c r="D409" i="12"/>
  <c r="C409" i="12"/>
  <c r="B409" i="12"/>
  <c r="A409" i="12"/>
  <c r="P408" i="12"/>
  <c r="O408" i="12"/>
  <c r="N408" i="12"/>
  <c r="M408" i="12"/>
  <c r="L408" i="12"/>
  <c r="K408" i="12"/>
  <c r="J408" i="12"/>
  <c r="I408" i="12"/>
  <c r="H408" i="12"/>
  <c r="G408" i="12"/>
  <c r="F408" i="12"/>
  <c r="E408" i="12"/>
  <c r="D408" i="12"/>
  <c r="C408" i="12"/>
  <c r="B408" i="12"/>
  <c r="A408" i="12"/>
  <c r="P407" i="12"/>
  <c r="O407" i="12"/>
  <c r="N407" i="12"/>
  <c r="M407" i="12"/>
  <c r="L407" i="12"/>
  <c r="K407" i="12"/>
  <c r="J407" i="12"/>
  <c r="I407" i="12"/>
  <c r="H407" i="12"/>
  <c r="G407" i="12"/>
  <c r="F407" i="12"/>
  <c r="E407" i="12"/>
  <c r="D407" i="12"/>
  <c r="C407" i="12"/>
  <c r="B407" i="12"/>
  <c r="A407" i="12"/>
  <c r="P406" i="12"/>
  <c r="O406" i="12"/>
  <c r="N406" i="12"/>
  <c r="M406" i="12"/>
  <c r="L406" i="12"/>
  <c r="K406" i="12"/>
  <c r="J406" i="12"/>
  <c r="I406" i="12"/>
  <c r="H406" i="12"/>
  <c r="G406" i="12"/>
  <c r="F406" i="12"/>
  <c r="E406" i="12"/>
  <c r="D406" i="12"/>
  <c r="C406" i="12"/>
  <c r="B406" i="12"/>
  <c r="A406" i="12"/>
  <c r="P405" i="12"/>
  <c r="O405" i="12"/>
  <c r="N405" i="12"/>
  <c r="M405" i="12"/>
  <c r="L405" i="12"/>
  <c r="K405" i="12"/>
  <c r="J405" i="12"/>
  <c r="I405" i="12"/>
  <c r="H405" i="12"/>
  <c r="G405" i="12"/>
  <c r="F405" i="12"/>
  <c r="E405" i="12"/>
  <c r="D405" i="12"/>
  <c r="C405" i="12"/>
  <c r="B405" i="12"/>
  <c r="A405" i="12"/>
  <c r="P404" i="12"/>
  <c r="O404" i="12"/>
  <c r="N404" i="12"/>
  <c r="M404" i="12"/>
  <c r="L404" i="12"/>
  <c r="K404" i="12"/>
  <c r="J404" i="12"/>
  <c r="I404" i="12"/>
  <c r="H404" i="12"/>
  <c r="G404" i="12"/>
  <c r="F404" i="12"/>
  <c r="E404" i="12"/>
  <c r="D404" i="12"/>
  <c r="C404" i="12"/>
  <c r="B404" i="12"/>
  <c r="A404" i="12"/>
  <c r="P403" i="12"/>
  <c r="O403" i="12"/>
  <c r="N403" i="12"/>
  <c r="M403" i="12"/>
  <c r="L403" i="12"/>
  <c r="K403" i="12"/>
  <c r="J403" i="12"/>
  <c r="I403" i="12"/>
  <c r="H403" i="12"/>
  <c r="G403" i="12"/>
  <c r="F403" i="12"/>
  <c r="E403" i="12"/>
  <c r="D403" i="12"/>
  <c r="C403" i="12"/>
  <c r="B403" i="12"/>
  <c r="A403" i="12"/>
  <c r="P402" i="12"/>
  <c r="O402" i="12"/>
  <c r="N402" i="12"/>
  <c r="M402" i="12"/>
  <c r="L402" i="12"/>
  <c r="K402" i="12"/>
  <c r="J402" i="12"/>
  <c r="I402" i="12"/>
  <c r="H402" i="12"/>
  <c r="G402" i="12"/>
  <c r="F402" i="12"/>
  <c r="E402" i="12"/>
  <c r="D402" i="12"/>
  <c r="C402" i="12"/>
  <c r="B402" i="12"/>
  <c r="A402" i="12"/>
  <c r="P401" i="12"/>
  <c r="O401" i="12"/>
  <c r="N401" i="12"/>
  <c r="M401" i="12"/>
  <c r="L401" i="12"/>
  <c r="K401" i="12"/>
  <c r="J401" i="12"/>
  <c r="I401" i="12"/>
  <c r="H401" i="12"/>
  <c r="G401" i="12"/>
  <c r="F401" i="12"/>
  <c r="E401" i="12"/>
  <c r="D401" i="12"/>
  <c r="C401" i="12"/>
  <c r="B401" i="12"/>
  <c r="A401" i="12"/>
  <c r="P400" i="12"/>
  <c r="O400" i="12"/>
  <c r="N400" i="12"/>
  <c r="M400" i="12"/>
  <c r="L400" i="12"/>
  <c r="K400" i="12"/>
  <c r="J400" i="12"/>
  <c r="I400" i="12"/>
  <c r="H400" i="12"/>
  <c r="G400" i="12"/>
  <c r="F400" i="12"/>
  <c r="E400" i="12"/>
  <c r="D400" i="12"/>
  <c r="C400" i="12"/>
  <c r="B400" i="12"/>
  <c r="A400" i="12"/>
  <c r="P399" i="12"/>
  <c r="O399" i="12"/>
  <c r="N399" i="12"/>
  <c r="M399" i="12"/>
  <c r="L399" i="12"/>
  <c r="K399" i="12"/>
  <c r="J399" i="12"/>
  <c r="I399" i="12"/>
  <c r="H399" i="12"/>
  <c r="G399" i="12"/>
  <c r="F399" i="12"/>
  <c r="E399" i="12"/>
  <c r="D399" i="12"/>
  <c r="C399" i="12"/>
  <c r="B399" i="12"/>
  <c r="A399" i="12"/>
  <c r="P398" i="12"/>
  <c r="O398" i="12"/>
  <c r="N398" i="12"/>
  <c r="M398" i="12"/>
  <c r="L398" i="12"/>
  <c r="K398" i="12"/>
  <c r="J398" i="12"/>
  <c r="I398" i="12"/>
  <c r="H398" i="12"/>
  <c r="G398" i="12"/>
  <c r="F398" i="12"/>
  <c r="E398" i="12"/>
  <c r="D398" i="12"/>
  <c r="C398" i="12"/>
  <c r="B398" i="12"/>
  <c r="A398" i="12"/>
  <c r="P397" i="12"/>
  <c r="O397" i="12"/>
  <c r="N397" i="12"/>
  <c r="M397" i="12"/>
  <c r="L397" i="12"/>
  <c r="K397" i="12"/>
  <c r="J397" i="12"/>
  <c r="I397" i="12"/>
  <c r="H397" i="12"/>
  <c r="G397" i="12"/>
  <c r="F397" i="12"/>
  <c r="E397" i="12"/>
  <c r="D397" i="12"/>
  <c r="C397" i="12"/>
  <c r="B397" i="12"/>
  <c r="A397" i="12"/>
  <c r="P396" i="12"/>
  <c r="O396" i="12"/>
  <c r="N396" i="12"/>
  <c r="M396" i="12"/>
  <c r="L396" i="12"/>
  <c r="K396" i="12"/>
  <c r="J396" i="12"/>
  <c r="I396" i="12"/>
  <c r="H396" i="12"/>
  <c r="G396" i="12"/>
  <c r="F396" i="12"/>
  <c r="E396" i="12"/>
  <c r="D396" i="12"/>
  <c r="C396" i="12"/>
  <c r="B396" i="12"/>
  <c r="A396" i="12"/>
  <c r="P395" i="12"/>
  <c r="O395" i="12"/>
  <c r="N395" i="12"/>
  <c r="M395" i="12"/>
  <c r="L395" i="12"/>
  <c r="K395" i="12"/>
  <c r="J395" i="12"/>
  <c r="I395" i="12"/>
  <c r="H395" i="12"/>
  <c r="G395" i="12"/>
  <c r="F395" i="12"/>
  <c r="E395" i="12"/>
  <c r="D395" i="12"/>
  <c r="C395" i="12"/>
  <c r="B395" i="12"/>
  <c r="A395" i="12"/>
  <c r="P394" i="12"/>
  <c r="O394" i="12"/>
  <c r="N394" i="12"/>
  <c r="M394" i="12"/>
  <c r="L394" i="12"/>
  <c r="K394" i="12"/>
  <c r="J394" i="12"/>
  <c r="I394" i="12"/>
  <c r="H394" i="12"/>
  <c r="G394" i="12"/>
  <c r="F394" i="12"/>
  <c r="E394" i="12"/>
  <c r="D394" i="12"/>
  <c r="C394" i="12"/>
  <c r="B394" i="12"/>
  <c r="A394" i="12"/>
  <c r="P393" i="12"/>
  <c r="O393" i="12"/>
  <c r="N393" i="12"/>
  <c r="M393" i="12"/>
  <c r="L393" i="12"/>
  <c r="K393" i="12"/>
  <c r="J393" i="12"/>
  <c r="I393" i="12"/>
  <c r="H393" i="12"/>
  <c r="G393" i="12"/>
  <c r="F393" i="12"/>
  <c r="E393" i="12"/>
  <c r="D393" i="12"/>
  <c r="C393" i="12"/>
  <c r="B393" i="12"/>
  <c r="A393" i="12"/>
  <c r="P392" i="12"/>
  <c r="O392" i="12"/>
  <c r="N392" i="12"/>
  <c r="M392" i="12"/>
  <c r="L392" i="12"/>
  <c r="K392" i="12"/>
  <c r="J392" i="12"/>
  <c r="I392" i="12"/>
  <c r="H392" i="12"/>
  <c r="G392" i="12"/>
  <c r="F392" i="12"/>
  <c r="E392" i="12"/>
  <c r="D392" i="12"/>
  <c r="C392" i="12"/>
  <c r="B392" i="12"/>
  <c r="A392" i="12"/>
  <c r="P391" i="12"/>
  <c r="O391" i="12"/>
  <c r="N391" i="12"/>
  <c r="M391" i="12"/>
  <c r="L391" i="12"/>
  <c r="K391" i="12"/>
  <c r="J391" i="12"/>
  <c r="I391" i="12"/>
  <c r="H391" i="12"/>
  <c r="G391" i="12"/>
  <c r="F391" i="12"/>
  <c r="E391" i="12"/>
  <c r="D391" i="12"/>
  <c r="C391" i="12"/>
  <c r="B391" i="12"/>
  <c r="A391" i="12"/>
  <c r="P390" i="12"/>
  <c r="O390" i="12"/>
  <c r="N390" i="12"/>
  <c r="M390" i="12"/>
  <c r="L390" i="12"/>
  <c r="K390" i="12"/>
  <c r="J390" i="12"/>
  <c r="I390" i="12"/>
  <c r="H390" i="12"/>
  <c r="G390" i="12"/>
  <c r="F390" i="12"/>
  <c r="E390" i="12"/>
  <c r="D390" i="12"/>
  <c r="C390" i="12"/>
  <c r="B390" i="12"/>
  <c r="A390" i="12"/>
  <c r="P389" i="12"/>
  <c r="O389" i="12"/>
  <c r="N389" i="12"/>
  <c r="M389" i="12"/>
  <c r="L389" i="12"/>
  <c r="K389" i="12"/>
  <c r="J389" i="12"/>
  <c r="I389" i="12"/>
  <c r="H389" i="12"/>
  <c r="G389" i="12"/>
  <c r="F389" i="12"/>
  <c r="E389" i="12"/>
  <c r="D389" i="12"/>
  <c r="C389" i="12"/>
  <c r="B389" i="12"/>
  <c r="A389" i="12"/>
  <c r="P388" i="12"/>
  <c r="O388" i="12"/>
  <c r="N388" i="12"/>
  <c r="M388" i="12"/>
  <c r="L388" i="12"/>
  <c r="K388" i="12"/>
  <c r="J388" i="12"/>
  <c r="I388" i="12"/>
  <c r="H388" i="12"/>
  <c r="G388" i="12"/>
  <c r="F388" i="12"/>
  <c r="E388" i="12"/>
  <c r="D388" i="12"/>
  <c r="C388" i="12"/>
  <c r="B388" i="12"/>
  <c r="A388" i="12"/>
  <c r="P387" i="12"/>
  <c r="O387" i="12"/>
  <c r="N387" i="12"/>
  <c r="M387" i="12"/>
  <c r="L387" i="12"/>
  <c r="K387" i="12"/>
  <c r="J387" i="12"/>
  <c r="I387" i="12"/>
  <c r="H387" i="12"/>
  <c r="G387" i="12"/>
  <c r="F387" i="12"/>
  <c r="E387" i="12"/>
  <c r="D387" i="12"/>
  <c r="C387" i="12"/>
  <c r="B387" i="12"/>
  <c r="A387" i="12"/>
  <c r="P386" i="12"/>
  <c r="O386" i="12"/>
  <c r="N386" i="12"/>
  <c r="M386" i="12"/>
  <c r="L386" i="12"/>
  <c r="K386" i="12"/>
  <c r="J386" i="12"/>
  <c r="I386" i="12"/>
  <c r="H386" i="12"/>
  <c r="G386" i="12"/>
  <c r="F386" i="12"/>
  <c r="E386" i="12"/>
  <c r="D386" i="12"/>
  <c r="C386" i="12"/>
  <c r="B386" i="12"/>
  <c r="A386" i="12"/>
  <c r="P385" i="12"/>
  <c r="O385" i="12"/>
  <c r="N385" i="12"/>
  <c r="M385" i="12"/>
  <c r="L385" i="12"/>
  <c r="K385" i="12"/>
  <c r="J385" i="12"/>
  <c r="I385" i="12"/>
  <c r="H385" i="12"/>
  <c r="G385" i="12"/>
  <c r="F385" i="12"/>
  <c r="E385" i="12"/>
  <c r="D385" i="12"/>
  <c r="C385" i="12"/>
  <c r="B385" i="12"/>
  <c r="A385" i="12"/>
  <c r="P384" i="12"/>
  <c r="O384" i="12"/>
  <c r="N384" i="12"/>
  <c r="M384" i="12"/>
  <c r="L384" i="12"/>
  <c r="K384" i="12"/>
  <c r="J384" i="12"/>
  <c r="I384" i="12"/>
  <c r="H384" i="12"/>
  <c r="G384" i="12"/>
  <c r="F384" i="12"/>
  <c r="E384" i="12"/>
  <c r="D384" i="12"/>
  <c r="C384" i="12"/>
  <c r="B384" i="12"/>
  <c r="A384" i="12"/>
  <c r="P383" i="12"/>
  <c r="O383" i="12"/>
  <c r="N383" i="12"/>
  <c r="M383" i="12"/>
  <c r="L383" i="12"/>
  <c r="K383" i="12"/>
  <c r="J383" i="12"/>
  <c r="I383" i="12"/>
  <c r="H383" i="12"/>
  <c r="G383" i="12"/>
  <c r="F383" i="12"/>
  <c r="E383" i="12"/>
  <c r="D383" i="12"/>
  <c r="C383" i="12"/>
  <c r="B383" i="12"/>
  <c r="A383" i="12"/>
  <c r="P382" i="12"/>
  <c r="O382" i="12"/>
  <c r="N382" i="12"/>
  <c r="M382" i="12"/>
  <c r="L382" i="12"/>
  <c r="K382" i="12"/>
  <c r="J382" i="12"/>
  <c r="I382" i="12"/>
  <c r="H382" i="12"/>
  <c r="G382" i="12"/>
  <c r="F382" i="12"/>
  <c r="E382" i="12"/>
  <c r="D382" i="12"/>
  <c r="C382" i="12"/>
  <c r="B382" i="12"/>
  <c r="A382" i="12"/>
  <c r="P381" i="12"/>
  <c r="O381" i="12"/>
  <c r="N381" i="12"/>
  <c r="M381" i="12"/>
  <c r="L381" i="12"/>
  <c r="K381" i="12"/>
  <c r="J381" i="12"/>
  <c r="I381" i="12"/>
  <c r="H381" i="12"/>
  <c r="G381" i="12"/>
  <c r="F381" i="12"/>
  <c r="E381" i="12"/>
  <c r="D381" i="12"/>
  <c r="C381" i="12"/>
  <c r="B381" i="12"/>
  <c r="A381" i="12"/>
  <c r="P380" i="12"/>
  <c r="O380" i="12"/>
  <c r="N380" i="12"/>
  <c r="M380" i="12"/>
  <c r="L380" i="12"/>
  <c r="K380" i="12"/>
  <c r="J380" i="12"/>
  <c r="I380" i="12"/>
  <c r="H380" i="12"/>
  <c r="G380" i="12"/>
  <c r="F380" i="12"/>
  <c r="E380" i="12"/>
  <c r="D380" i="12"/>
  <c r="C380" i="12"/>
  <c r="B380" i="12"/>
  <c r="A380" i="12"/>
  <c r="P379" i="12"/>
  <c r="O379" i="12"/>
  <c r="N379" i="12"/>
  <c r="M379" i="12"/>
  <c r="L379" i="12"/>
  <c r="K379" i="12"/>
  <c r="J379" i="12"/>
  <c r="I379" i="12"/>
  <c r="H379" i="12"/>
  <c r="G379" i="12"/>
  <c r="F379" i="12"/>
  <c r="E379" i="12"/>
  <c r="D379" i="12"/>
  <c r="C379" i="12"/>
  <c r="B379" i="12"/>
  <c r="A379" i="12"/>
  <c r="P378" i="12"/>
  <c r="O378" i="12"/>
  <c r="N378" i="12"/>
  <c r="M378" i="12"/>
  <c r="L378" i="12"/>
  <c r="K378" i="12"/>
  <c r="J378" i="12"/>
  <c r="I378" i="12"/>
  <c r="H378" i="12"/>
  <c r="G378" i="12"/>
  <c r="F378" i="12"/>
  <c r="E378" i="12"/>
  <c r="D378" i="12"/>
  <c r="C378" i="12"/>
  <c r="B378" i="12"/>
  <c r="A378" i="12"/>
  <c r="P377" i="12"/>
  <c r="O377" i="12"/>
  <c r="N377" i="12"/>
  <c r="M377" i="12"/>
  <c r="L377" i="12"/>
  <c r="K377" i="12"/>
  <c r="J377" i="12"/>
  <c r="I377" i="12"/>
  <c r="H377" i="12"/>
  <c r="G377" i="12"/>
  <c r="F377" i="12"/>
  <c r="E377" i="12"/>
  <c r="D377" i="12"/>
  <c r="C377" i="12"/>
  <c r="B377" i="12"/>
  <c r="A377" i="12"/>
  <c r="P376" i="12"/>
  <c r="O376" i="12"/>
  <c r="N376" i="12"/>
  <c r="M376" i="12"/>
  <c r="L376" i="12"/>
  <c r="K376" i="12"/>
  <c r="J376" i="12"/>
  <c r="I376" i="12"/>
  <c r="H376" i="12"/>
  <c r="G376" i="12"/>
  <c r="F376" i="12"/>
  <c r="E376" i="12"/>
  <c r="D376" i="12"/>
  <c r="C376" i="12"/>
  <c r="B376" i="12"/>
  <c r="A376" i="12"/>
  <c r="P375" i="12"/>
  <c r="O375" i="12"/>
  <c r="N375" i="12"/>
  <c r="M375" i="12"/>
  <c r="L375" i="12"/>
  <c r="K375" i="12"/>
  <c r="J375" i="12"/>
  <c r="I375" i="12"/>
  <c r="H375" i="12"/>
  <c r="G375" i="12"/>
  <c r="F375" i="12"/>
  <c r="E375" i="12"/>
  <c r="D375" i="12"/>
  <c r="C375" i="12"/>
  <c r="B375" i="12"/>
  <c r="A375" i="12"/>
  <c r="P374" i="12"/>
  <c r="O374" i="12"/>
  <c r="N374" i="12"/>
  <c r="M374" i="12"/>
  <c r="L374" i="12"/>
  <c r="K374" i="12"/>
  <c r="J374" i="12"/>
  <c r="I374" i="12"/>
  <c r="H374" i="12"/>
  <c r="G374" i="12"/>
  <c r="F374" i="12"/>
  <c r="E374" i="12"/>
  <c r="D374" i="12"/>
  <c r="C374" i="12"/>
  <c r="B374" i="12"/>
  <c r="A374" i="12"/>
  <c r="P373" i="12"/>
  <c r="O373" i="12"/>
  <c r="N373" i="12"/>
  <c r="M373" i="12"/>
  <c r="L373" i="12"/>
  <c r="K373" i="12"/>
  <c r="J373" i="12"/>
  <c r="I373" i="12"/>
  <c r="H373" i="12"/>
  <c r="G373" i="12"/>
  <c r="F373" i="12"/>
  <c r="E373" i="12"/>
  <c r="D373" i="12"/>
  <c r="C373" i="12"/>
  <c r="B373" i="12"/>
  <c r="A373" i="12"/>
  <c r="P372" i="12"/>
  <c r="O372" i="12"/>
  <c r="N372" i="12"/>
  <c r="M372" i="12"/>
  <c r="L372" i="12"/>
  <c r="K372" i="12"/>
  <c r="J372" i="12"/>
  <c r="I372" i="12"/>
  <c r="H372" i="12"/>
  <c r="G372" i="12"/>
  <c r="F372" i="12"/>
  <c r="E372" i="12"/>
  <c r="D372" i="12"/>
  <c r="C372" i="12"/>
  <c r="B372" i="12"/>
  <c r="A372" i="12"/>
  <c r="P371" i="12"/>
  <c r="O371" i="12"/>
  <c r="N371" i="12"/>
  <c r="M371" i="12"/>
  <c r="L371" i="12"/>
  <c r="K371" i="12"/>
  <c r="J371" i="12"/>
  <c r="I371" i="12"/>
  <c r="H371" i="12"/>
  <c r="G371" i="12"/>
  <c r="F371" i="12"/>
  <c r="E371" i="12"/>
  <c r="D371" i="12"/>
  <c r="C371" i="12"/>
  <c r="B371" i="12"/>
  <c r="A371" i="12"/>
  <c r="P370" i="12"/>
  <c r="O370" i="12"/>
  <c r="N370" i="12"/>
  <c r="M370" i="12"/>
  <c r="L370" i="12"/>
  <c r="K370" i="12"/>
  <c r="J370" i="12"/>
  <c r="I370" i="12"/>
  <c r="H370" i="12"/>
  <c r="G370" i="12"/>
  <c r="F370" i="12"/>
  <c r="E370" i="12"/>
  <c r="D370" i="12"/>
  <c r="C370" i="12"/>
  <c r="B370" i="12"/>
  <c r="A370" i="12"/>
  <c r="P369" i="12"/>
  <c r="O369" i="12"/>
  <c r="N369" i="12"/>
  <c r="M369" i="12"/>
  <c r="L369" i="12"/>
  <c r="K369" i="12"/>
  <c r="J369" i="12"/>
  <c r="I369" i="12"/>
  <c r="H369" i="12"/>
  <c r="G369" i="12"/>
  <c r="F369" i="12"/>
  <c r="E369" i="12"/>
  <c r="D369" i="12"/>
  <c r="C369" i="12"/>
  <c r="B369" i="12"/>
  <c r="A369" i="12"/>
  <c r="P368" i="12"/>
  <c r="O368" i="12"/>
  <c r="N368" i="12"/>
  <c r="M368" i="12"/>
  <c r="L368" i="12"/>
  <c r="K368" i="12"/>
  <c r="J368" i="12"/>
  <c r="I368" i="12"/>
  <c r="H368" i="12"/>
  <c r="G368" i="12"/>
  <c r="F368" i="12"/>
  <c r="E368" i="12"/>
  <c r="D368" i="12"/>
  <c r="C368" i="12"/>
  <c r="B368" i="12"/>
  <c r="A368" i="12"/>
  <c r="P367" i="12"/>
  <c r="O367" i="12"/>
  <c r="N367" i="12"/>
  <c r="M367" i="12"/>
  <c r="L367" i="12"/>
  <c r="K367" i="12"/>
  <c r="J367" i="12"/>
  <c r="I367" i="12"/>
  <c r="H367" i="12"/>
  <c r="G367" i="12"/>
  <c r="F367" i="12"/>
  <c r="E367" i="12"/>
  <c r="D367" i="12"/>
  <c r="C367" i="12"/>
  <c r="B367" i="12"/>
  <c r="A367" i="12"/>
  <c r="P366" i="12"/>
  <c r="O366" i="12"/>
  <c r="N366" i="12"/>
  <c r="M366" i="12"/>
  <c r="L366" i="12"/>
  <c r="K366" i="12"/>
  <c r="J366" i="12"/>
  <c r="I366" i="12"/>
  <c r="H366" i="12"/>
  <c r="G366" i="12"/>
  <c r="F366" i="12"/>
  <c r="E366" i="12"/>
  <c r="D366" i="12"/>
  <c r="C366" i="12"/>
  <c r="B366" i="12"/>
  <c r="A366" i="12"/>
  <c r="P365" i="12"/>
  <c r="O365" i="12"/>
  <c r="N365" i="12"/>
  <c r="M365" i="12"/>
  <c r="L365" i="12"/>
  <c r="K365" i="12"/>
  <c r="J365" i="12"/>
  <c r="I365" i="12"/>
  <c r="H365" i="12"/>
  <c r="G365" i="12"/>
  <c r="F365" i="12"/>
  <c r="E365" i="12"/>
  <c r="D365" i="12"/>
  <c r="C365" i="12"/>
  <c r="B365" i="12"/>
  <c r="A365" i="12"/>
  <c r="P364" i="12"/>
  <c r="O364" i="12"/>
  <c r="N364" i="12"/>
  <c r="M364" i="12"/>
  <c r="L364" i="12"/>
  <c r="K364" i="12"/>
  <c r="J364" i="12"/>
  <c r="I364" i="12"/>
  <c r="H364" i="12"/>
  <c r="G364" i="12"/>
  <c r="F364" i="12"/>
  <c r="E364" i="12"/>
  <c r="D364" i="12"/>
  <c r="C364" i="12"/>
  <c r="B364" i="12"/>
  <c r="A364" i="12"/>
  <c r="P363" i="12"/>
  <c r="O363" i="12"/>
  <c r="N363" i="12"/>
  <c r="M363" i="12"/>
  <c r="L363" i="12"/>
  <c r="K363" i="12"/>
  <c r="J363" i="12"/>
  <c r="I363" i="12"/>
  <c r="H363" i="12"/>
  <c r="G363" i="12"/>
  <c r="F363" i="12"/>
  <c r="E363" i="12"/>
  <c r="D363" i="12"/>
  <c r="C363" i="12"/>
  <c r="B363" i="12"/>
  <c r="A363" i="12"/>
  <c r="P362" i="12"/>
  <c r="O362" i="12"/>
  <c r="N362" i="12"/>
  <c r="M362" i="12"/>
  <c r="L362" i="12"/>
  <c r="K362" i="12"/>
  <c r="J362" i="12"/>
  <c r="I362" i="12"/>
  <c r="H362" i="12"/>
  <c r="G362" i="12"/>
  <c r="F362" i="12"/>
  <c r="E362" i="12"/>
  <c r="D362" i="12"/>
  <c r="C362" i="12"/>
  <c r="B362" i="12"/>
  <c r="A362" i="12"/>
  <c r="P361" i="12"/>
  <c r="O361" i="12"/>
  <c r="N361" i="12"/>
  <c r="M361" i="12"/>
  <c r="L361" i="12"/>
  <c r="K361" i="12"/>
  <c r="J361" i="12"/>
  <c r="I361" i="12"/>
  <c r="H361" i="12"/>
  <c r="G361" i="12"/>
  <c r="F361" i="12"/>
  <c r="E361" i="12"/>
  <c r="D361" i="12"/>
  <c r="C361" i="12"/>
  <c r="B361" i="12"/>
  <c r="A361" i="12"/>
  <c r="P360" i="12"/>
  <c r="O360" i="12"/>
  <c r="N360" i="12"/>
  <c r="M360" i="12"/>
  <c r="L360" i="12"/>
  <c r="K360" i="12"/>
  <c r="J360" i="12"/>
  <c r="I360" i="12"/>
  <c r="H360" i="12"/>
  <c r="G360" i="12"/>
  <c r="F360" i="12"/>
  <c r="E360" i="12"/>
  <c r="D360" i="12"/>
  <c r="C360" i="12"/>
  <c r="B360" i="12"/>
  <c r="A360" i="12"/>
  <c r="P359" i="12"/>
  <c r="O359" i="12"/>
  <c r="N359" i="12"/>
  <c r="M359" i="12"/>
  <c r="L359" i="12"/>
  <c r="K359" i="12"/>
  <c r="J359" i="12"/>
  <c r="I359" i="12"/>
  <c r="H359" i="12"/>
  <c r="G359" i="12"/>
  <c r="F359" i="12"/>
  <c r="E359" i="12"/>
  <c r="D359" i="12"/>
  <c r="C359" i="12"/>
  <c r="B359" i="12"/>
  <c r="A359" i="12"/>
  <c r="P358" i="12"/>
  <c r="O358" i="12"/>
  <c r="N358" i="12"/>
  <c r="M358" i="12"/>
  <c r="L358" i="12"/>
  <c r="K358" i="12"/>
  <c r="J358" i="12"/>
  <c r="I358" i="12"/>
  <c r="H358" i="12"/>
  <c r="G358" i="12"/>
  <c r="F358" i="12"/>
  <c r="E358" i="12"/>
  <c r="D358" i="12"/>
  <c r="C358" i="12"/>
  <c r="B358" i="12"/>
  <c r="A358" i="12"/>
  <c r="P357" i="12"/>
  <c r="O357" i="12"/>
  <c r="N357" i="12"/>
  <c r="M357" i="12"/>
  <c r="L357" i="12"/>
  <c r="K357" i="12"/>
  <c r="J357" i="12"/>
  <c r="I357" i="12"/>
  <c r="H357" i="12"/>
  <c r="G357" i="12"/>
  <c r="F357" i="12"/>
  <c r="E357" i="12"/>
  <c r="D357" i="12"/>
  <c r="C357" i="12"/>
  <c r="B357" i="12"/>
  <c r="A357" i="12"/>
  <c r="P356" i="12"/>
  <c r="O356" i="12"/>
  <c r="N356" i="12"/>
  <c r="M356" i="12"/>
  <c r="L356" i="12"/>
  <c r="K356" i="12"/>
  <c r="J356" i="12"/>
  <c r="I356" i="12"/>
  <c r="H356" i="12"/>
  <c r="G356" i="12"/>
  <c r="F356" i="12"/>
  <c r="E356" i="12"/>
  <c r="D356" i="12"/>
  <c r="C356" i="12"/>
  <c r="B356" i="12"/>
  <c r="A356" i="12"/>
  <c r="P355" i="12"/>
  <c r="O355" i="12"/>
  <c r="N355" i="12"/>
  <c r="M355" i="12"/>
  <c r="L355" i="12"/>
  <c r="K355" i="12"/>
  <c r="J355" i="12"/>
  <c r="I355" i="12"/>
  <c r="H355" i="12"/>
  <c r="G355" i="12"/>
  <c r="F355" i="12"/>
  <c r="E355" i="12"/>
  <c r="D355" i="12"/>
  <c r="C355" i="12"/>
  <c r="B355" i="12"/>
  <c r="A355" i="12"/>
  <c r="P354" i="12"/>
  <c r="O354" i="12"/>
  <c r="N354" i="12"/>
  <c r="M354" i="12"/>
  <c r="L354" i="12"/>
  <c r="K354" i="12"/>
  <c r="J354" i="12"/>
  <c r="I354" i="12"/>
  <c r="H354" i="12"/>
  <c r="G354" i="12"/>
  <c r="F354" i="12"/>
  <c r="E354" i="12"/>
  <c r="D354" i="12"/>
  <c r="C354" i="12"/>
  <c r="B354" i="12"/>
  <c r="A354" i="12"/>
  <c r="P353" i="12"/>
  <c r="O353" i="12"/>
  <c r="N353" i="12"/>
  <c r="M353" i="12"/>
  <c r="L353" i="12"/>
  <c r="K353" i="12"/>
  <c r="J353" i="12"/>
  <c r="I353" i="12"/>
  <c r="H353" i="12"/>
  <c r="G353" i="12"/>
  <c r="F353" i="12"/>
  <c r="E353" i="12"/>
  <c r="D353" i="12"/>
  <c r="C353" i="12"/>
  <c r="B353" i="12"/>
  <c r="A353" i="12"/>
  <c r="P352" i="12"/>
  <c r="O352" i="12"/>
  <c r="N352" i="12"/>
  <c r="M352" i="12"/>
  <c r="L352" i="12"/>
  <c r="K352" i="12"/>
  <c r="J352" i="12"/>
  <c r="I352" i="12"/>
  <c r="H352" i="12"/>
  <c r="G352" i="12"/>
  <c r="F352" i="12"/>
  <c r="E352" i="12"/>
  <c r="D352" i="12"/>
  <c r="C352" i="12"/>
  <c r="B352" i="12"/>
  <c r="A352" i="12"/>
  <c r="P351" i="12"/>
  <c r="O351" i="12"/>
  <c r="N351" i="12"/>
  <c r="M351" i="12"/>
  <c r="L351" i="12"/>
  <c r="K351" i="12"/>
  <c r="J351" i="12"/>
  <c r="I351" i="12"/>
  <c r="H351" i="12"/>
  <c r="G351" i="12"/>
  <c r="F351" i="12"/>
  <c r="E351" i="12"/>
  <c r="D351" i="12"/>
  <c r="C351" i="12"/>
  <c r="B351" i="12"/>
  <c r="A351" i="12"/>
  <c r="P350" i="12"/>
  <c r="O350" i="12"/>
  <c r="N350" i="12"/>
  <c r="M350" i="12"/>
  <c r="L350" i="12"/>
  <c r="K350" i="12"/>
  <c r="J350" i="12"/>
  <c r="I350" i="12"/>
  <c r="H350" i="12"/>
  <c r="G350" i="12"/>
  <c r="F350" i="12"/>
  <c r="E350" i="12"/>
  <c r="D350" i="12"/>
  <c r="C350" i="12"/>
  <c r="B350" i="12"/>
  <c r="A350" i="12"/>
  <c r="P349" i="12"/>
  <c r="O349" i="12"/>
  <c r="N349" i="12"/>
  <c r="M349" i="12"/>
  <c r="L349" i="12"/>
  <c r="K349" i="12"/>
  <c r="J349" i="12"/>
  <c r="I349" i="12"/>
  <c r="H349" i="12"/>
  <c r="G349" i="12"/>
  <c r="F349" i="12"/>
  <c r="E349" i="12"/>
  <c r="D349" i="12"/>
  <c r="C349" i="12"/>
  <c r="B349" i="12"/>
  <c r="A349" i="12"/>
  <c r="P348" i="12"/>
  <c r="O348" i="12"/>
  <c r="N348" i="12"/>
  <c r="M348" i="12"/>
  <c r="L348" i="12"/>
  <c r="K348" i="12"/>
  <c r="J348" i="12"/>
  <c r="I348" i="12"/>
  <c r="H348" i="12"/>
  <c r="G348" i="12"/>
  <c r="F348" i="12"/>
  <c r="E348" i="12"/>
  <c r="D348" i="12"/>
  <c r="C348" i="12"/>
  <c r="B348" i="12"/>
  <c r="A348" i="12"/>
  <c r="P347" i="12"/>
  <c r="O347" i="12"/>
  <c r="N347" i="12"/>
  <c r="M347" i="12"/>
  <c r="L347" i="12"/>
  <c r="K347" i="12"/>
  <c r="J347" i="12"/>
  <c r="I347" i="12"/>
  <c r="H347" i="12"/>
  <c r="G347" i="12"/>
  <c r="F347" i="12"/>
  <c r="E347" i="12"/>
  <c r="D347" i="12"/>
  <c r="C347" i="12"/>
  <c r="B347" i="12"/>
  <c r="A347" i="12"/>
  <c r="P346" i="12"/>
  <c r="O346" i="12"/>
  <c r="N346" i="12"/>
  <c r="M346" i="12"/>
  <c r="L346" i="12"/>
  <c r="K346" i="12"/>
  <c r="J346" i="12"/>
  <c r="I346" i="12"/>
  <c r="H346" i="12"/>
  <c r="G346" i="12"/>
  <c r="F346" i="12"/>
  <c r="E346" i="12"/>
  <c r="D346" i="12"/>
  <c r="C346" i="12"/>
  <c r="B346" i="12"/>
  <c r="A346" i="12"/>
  <c r="P345" i="12"/>
  <c r="O345" i="12"/>
  <c r="N345" i="12"/>
  <c r="M345" i="12"/>
  <c r="L345" i="12"/>
  <c r="K345" i="12"/>
  <c r="J345" i="12"/>
  <c r="I345" i="12"/>
  <c r="H345" i="12"/>
  <c r="G345" i="12"/>
  <c r="F345" i="12"/>
  <c r="E345" i="12"/>
  <c r="D345" i="12"/>
  <c r="C345" i="12"/>
  <c r="B345" i="12"/>
  <c r="A345" i="12"/>
  <c r="P344" i="12"/>
  <c r="O344" i="12"/>
  <c r="N344" i="12"/>
  <c r="M344" i="12"/>
  <c r="L344" i="12"/>
  <c r="K344" i="12"/>
  <c r="J344" i="12"/>
  <c r="I344" i="12"/>
  <c r="H344" i="12"/>
  <c r="G344" i="12"/>
  <c r="F344" i="12"/>
  <c r="E344" i="12"/>
  <c r="D344" i="12"/>
  <c r="C344" i="12"/>
  <c r="B344" i="12"/>
  <c r="A344" i="12"/>
  <c r="P343" i="12"/>
  <c r="O343" i="12"/>
  <c r="N343" i="12"/>
  <c r="M343" i="12"/>
  <c r="L343" i="12"/>
  <c r="K343" i="12"/>
  <c r="J343" i="12"/>
  <c r="I343" i="12"/>
  <c r="H343" i="12"/>
  <c r="G343" i="12"/>
  <c r="F343" i="12"/>
  <c r="E343" i="12"/>
  <c r="D343" i="12"/>
  <c r="C343" i="12"/>
  <c r="B343" i="12"/>
  <c r="A343" i="12"/>
  <c r="P342" i="12"/>
  <c r="O342" i="12"/>
  <c r="N342" i="12"/>
  <c r="M342" i="12"/>
  <c r="L342" i="12"/>
  <c r="K342" i="12"/>
  <c r="J342" i="12"/>
  <c r="I342" i="12"/>
  <c r="H342" i="12"/>
  <c r="G342" i="12"/>
  <c r="F342" i="12"/>
  <c r="E342" i="12"/>
  <c r="D342" i="12"/>
  <c r="C342" i="12"/>
  <c r="B342" i="12"/>
  <c r="A342" i="12"/>
  <c r="P341" i="12"/>
  <c r="O341" i="12"/>
  <c r="N341" i="12"/>
  <c r="M341" i="12"/>
  <c r="L341" i="12"/>
  <c r="K341" i="12"/>
  <c r="J341" i="12"/>
  <c r="I341" i="12"/>
  <c r="H341" i="12"/>
  <c r="G341" i="12"/>
  <c r="F341" i="12"/>
  <c r="E341" i="12"/>
  <c r="D341" i="12"/>
  <c r="C341" i="12"/>
  <c r="B341" i="12"/>
  <c r="A341" i="12"/>
  <c r="P340" i="12"/>
  <c r="O340" i="12"/>
  <c r="N340" i="12"/>
  <c r="M340" i="12"/>
  <c r="L340" i="12"/>
  <c r="K340" i="12"/>
  <c r="J340" i="12"/>
  <c r="I340" i="12"/>
  <c r="H340" i="12"/>
  <c r="G340" i="12"/>
  <c r="F340" i="12"/>
  <c r="E340" i="12"/>
  <c r="D340" i="12"/>
  <c r="C340" i="12"/>
  <c r="B340" i="12"/>
  <c r="A340" i="12"/>
  <c r="P339" i="12"/>
  <c r="O339" i="12"/>
  <c r="N339" i="12"/>
  <c r="M339" i="12"/>
  <c r="L339" i="12"/>
  <c r="K339" i="12"/>
  <c r="J339" i="12"/>
  <c r="I339" i="12"/>
  <c r="H339" i="12"/>
  <c r="G339" i="12"/>
  <c r="F339" i="12"/>
  <c r="E339" i="12"/>
  <c r="D339" i="12"/>
  <c r="C339" i="12"/>
  <c r="B339" i="12"/>
  <c r="A339" i="12"/>
  <c r="P338" i="12"/>
  <c r="O338" i="12"/>
  <c r="N338" i="12"/>
  <c r="M338" i="12"/>
  <c r="L338" i="12"/>
  <c r="K338" i="12"/>
  <c r="J338" i="12"/>
  <c r="I338" i="12"/>
  <c r="H338" i="12"/>
  <c r="G338" i="12"/>
  <c r="F338" i="12"/>
  <c r="E338" i="12"/>
  <c r="D338" i="12"/>
  <c r="C338" i="12"/>
  <c r="B338" i="12"/>
  <c r="A338" i="12"/>
  <c r="P337" i="12"/>
  <c r="O337" i="12"/>
  <c r="N337" i="12"/>
  <c r="M337" i="12"/>
  <c r="L337" i="12"/>
  <c r="K337" i="12"/>
  <c r="J337" i="12"/>
  <c r="I337" i="12"/>
  <c r="H337" i="12"/>
  <c r="G337" i="12"/>
  <c r="F337" i="12"/>
  <c r="E337" i="12"/>
  <c r="D337" i="12"/>
  <c r="C337" i="12"/>
  <c r="B337" i="12"/>
  <c r="A337" i="12"/>
  <c r="P336" i="12"/>
  <c r="O336" i="12"/>
  <c r="N336" i="12"/>
  <c r="M336" i="12"/>
  <c r="L336" i="12"/>
  <c r="K336" i="12"/>
  <c r="J336" i="12"/>
  <c r="I336" i="12"/>
  <c r="H336" i="12"/>
  <c r="G336" i="12"/>
  <c r="F336" i="12"/>
  <c r="E336" i="12"/>
  <c r="D336" i="12"/>
  <c r="C336" i="12"/>
  <c r="B336" i="12"/>
  <c r="A336" i="12"/>
  <c r="P335" i="12"/>
  <c r="O335" i="12"/>
  <c r="N335" i="12"/>
  <c r="M335" i="12"/>
  <c r="L335" i="12"/>
  <c r="K335" i="12"/>
  <c r="J335" i="12"/>
  <c r="I335" i="12"/>
  <c r="H335" i="12"/>
  <c r="G335" i="12"/>
  <c r="F335" i="12"/>
  <c r="E335" i="12"/>
  <c r="D335" i="12"/>
  <c r="C335" i="12"/>
  <c r="B335" i="12"/>
  <c r="A335" i="12"/>
  <c r="P334" i="12"/>
  <c r="O334" i="12"/>
  <c r="N334" i="12"/>
  <c r="M334" i="12"/>
  <c r="L334" i="12"/>
  <c r="K334" i="12"/>
  <c r="J334" i="12"/>
  <c r="I334" i="12"/>
  <c r="H334" i="12"/>
  <c r="G334" i="12"/>
  <c r="F334" i="12"/>
  <c r="E334" i="12"/>
  <c r="D334" i="12"/>
  <c r="C334" i="12"/>
  <c r="B334" i="12"/>
  <c r="A334" i="12"/>
  <c r="P333" i="12"/>
  <c r="O333" i="12"/>
  <c r="N333" i="12"/>
  <c r="M333" i="12"/>
  <c r="L333" i="12"/>
  <c r="K333" i="12"/>
  <c r="J333" i="12"/>
  <c r="I333" i="12"/>
  <c r="H333" i="12"/>
  <c r="G333" i="12"/>
  <c r="F333" i="12"/>
  <c r="E333" i="12"/>
  <c r="D333" i="12"/>
  <c r="C333" i="12"/>
  <c r="B333" i="12"/>
  <c r="A333" i="12"/>
  <c r="P332" i="12"/>
  <c r="O332" i="12"/>
  <c r="N332" i="12"/>
  <c r="M332" i="12"/>
  <c r="L332" i="12"/>
  <c r="K332" i="12"/>
  <c r="J332" i="12"/>
  <c r="I332" i="12"/>
  <c r="H332" i="12"/>
  <c r="G332" i="12"/>
  <c r="F332" i="12"/>
  <c r="E332" i="12"/>
  <c r="D332" i="12"/>
  <c r="C332" i="12"/>
  <c r="B332" i="12"/>
  <c r="A332" i="12"/>
  <c r="P331" i="12"/>
  <c r="O331" i="12"/>
  <c r="N331" i="12"/>
  <c r="M331" i="12"/>
  <c r="L331" i="12"/>
  <c r="K331" i="12"/>
  <c r="J331" i="12"/>
  <c r="I331" i="12"/>
  <c r="H331" i="12"/>
  <c r="G331" i="12"/>
  <c r="F331" i="12"/>
  <c r="E331" i="12"/>
  <c r="D331" i="12"/>
  <c r="C331" i="12"/>
  <c r="B331" i="12"/>
  <c r="A331" i="12"/>
  <c r="P330" i="12"/>
  <c r="O330" i="12"/>
  <c r="N330" i="12"/>
  <c r="M330" i="12"/>
  <c r="L330" i="12"/>
  <c r="K330" i="12"/>
  <c r="J330" i="12"/>
  <c r="I330" i="12"/>
  <c r="H330" i="12"/>
  <c r="G330" i="12"/>
  <c r="F330" i="12"/>
  <c r="E330" i="12"/>
  <c r="D330" i="12"/>
  <c r="C330" i="12"/>
  <c r="B330" i="12"/>
  <c r="A330" i="12"/>
  <c r="P329" i="12"/>
  <c r="O329" i="12"/>
  <c r="N329" i="12"/>
  <c r="M329" i="12"/>
  <c r="L329" i="12"/>
  <c r="K329" i="12"/>
  <c r="J329" i="12"/>
  <c r="I329" i="12"/>
  <c r="H329" i="12"/>
  <c r="G329" i="12"/>
  <c r="F329" i="12"/>
  <c r="E329" i="12"/>
  <c r="D329" i="12"/>
  <c r="C329" i="12"/>
  <c r="B329" i="12"/>
  <c r="A329" i="12"/>
  <c r="P328" i="12"/>
  <c r="O328" i="12"/>
  <c r="N328" i="12"/>
  <c r="M328" i="12"/>
  <c r="L328" i="12"/>
  <c r="K328" i="12"/>
  <c r="J328" i="12"/>
  <c r="I328" i="12"/>
  <c r="H328" i="12"/>
  <c r="G328" i="12"/>
  <c r="F328" i="12"/>
  <c r="E328" i="12"/>
  <c r="D328" i="12"/>
  <c r="C328" i="12"/>
  <c r="B328" i="12"/>
  <c r="A328" i="12"/>
  <c r="P327" i="12"/>
  <c r="O327" i="12"/>
  <c r="N327" i="12"/>
  <c r="M327" i="12"/>
  <c r="L327" i="12"/>
  <c r="K327" i="12"/>
  <c r="J327" i="12"/>
  <c r="I327" i="12"/>
  <c r="H327" i="12"/>
  <c r="G327" i="12"/>
  <c r="F327" i="12"/>
  <c r="E327" i="12"/>
  <c r="D327" i="12"/>
  <c r="C327" i="12"/>
  <c r="B327" i="12"/>
  <c r="A327" i="12"/>
  <c r="P326" i="12"/>
  <c r="O326" i="12"/>
  <c r="N326" i="12"/>
  <c r="M326" i="12"/>
  <c r="L326" i="12"/>
  <c r="K326" i="12"/>
  <c r="J326" i="12"/>
  <c r="I326" i="12"/>
  <c r="H326" i="12"/>
  <c r="G326" i="12"/>
  <c r="F326" i="12"/>
  <c r="E326" i="12"/>
  <c r="D326" i="12"/>
  <c r="C326" i="12"/>
  <c r="B326" i="12"/>
  <c r="A326" i="12"/>
  <c r="P325" i="12"/>
  <c r="O325" i="12"/>
  <c r="N325" i="12"/>
  <c r="M325" i="12"/>
  <c r="L325" i="12"/>
  <c r="K325" i="12"/>
  <c r="J325" i="12"/>
  <c r="I325" i="12"/>
  <c r="H325" i="12"/>
  <c r="G325" i="12"/>
  <c r="F325" i="12"/>
  <c r="E325" i="12"/>
  <c r="D325" i="12"/>
  <c r="C325" i="12"/>
  <c r="B325" i="12"/>
  <c r="A325" i="12"/>
  <c r="P324" i="12"/>
  <c r="O324" i="12"/>
  <c r="N324" i="12"/>
  <c r="M324" i="12"/>
  <c r="L324" i="12"/>
  <c r="K324" i="12"/>
  <c r="J324" i="12"/>
  <c r="I324" i="12"/>
  <c r="H324" i="12"/>
  <c r="G324" i="12"/>
  <c r="F324" i="12"/>
  <c r="E324" i="12"/>
  <c r="D324" i="12"/>
  <c r="C324" i="12"/>
  <c r="B324" i="12"/>
  <c r="A324" i="12"/>
  <c r="P323" i="12"/>
  <c r="O323" i="12"/>
  <c r="N323" i="12"/>
  <c r="M323" i="12"/>
  <c r="L323" i="12"/>
  <c r="K323" i="12"/>
  <c r="J323" i="12"/>
  <c r="I323" i="12"/>
  <c r="H323" i="12"/>
  <c r="G323" i="12"/>
  <c r="F323" i="12"/>
  <c r="E323" i="12"/>
  <c r="D323" i="12"/>
  <c r="C323" i="12"/>
  <c r="B323" i="12"/>
  <c r="A323" i="12"/>
  <c r="P322" i="12"/>
  <c r="O322" i="12"/>
  <c r="N322" i="12"/>
  <c r="M322" i="12"/>
  <c r="L322" i="12"/>
  <c r="K322" i="12"/>
  <c r="J322" i="12"/>
  <c r="I322" i="12"/>
  <c r="H322" i="12"/>
  <c r="G322" i="12"/>
  <c r="F322" i="12"/>
  <c r="E322" i="12"/>
  <c r="D322" i="12"/>
  <c r="C322" i="12"/>
  <c r="B322" i="12"/>
  <c r="A322" i="12"/>
  <c r="P321" i="12"/>
  <c r="O321" i="12"/>
  <c r="N321" i="12"/>
  <c r="M321" i="12"/>
  <c r="L321" i="12"/>
  <c r="K321" i="12"/>
  <c r="J321" i="12"/>
  <c r="I321" i="12"/>
  <c r="H321" i="12"/>
  <c r="G321" i="12"/>
  <c r="F321" i="12"/>
  <c r="E321" i="12"/>
  <c r="D321" i="12"/>
  <c r="C321" i="12"/>
  <c r="B321" i="12"/>
  <c r="A321" i="12"/>
  <c r="P320" i="12"/>
  <c r="O320" i="12"/>
  <c r="N320" i="12"/>
  <c r="M320" i="12"/>
  <c r="L320" i="12"/>
  <c r="K320" i="12"/>
  <c r="J320" i="12"/>
  <c r="I320" i="12"/>
  <c r="H320" i="12"/>
  <c r="G320" i="12"/>
  <c r="F320" i="12"/>
  <c r="E320" i="12"/>
  <c r="D320" i="12"/>
  <c r="C320" i="12"/>
  <c r="B320" i="12"/>
  <c r="A320" i="12"/>
  <c r="P319" i="12"/>
  <c r="O319" i="12"/>
  <c r="N319" i="12"/>
  <c r="M319" i="12"/>
  <c r="L319" i="12"/>
  <c r="K319" i="12"/>
  <c r="J319" i="12"/>
  <c r="I319" i="12"/>
  <c r="H319" i="12"/>
  <c r="G319" i="12"/>
  <c r="F319" i="12"/>
  <c r="E319" i="12"/>
  <c r="D319" i="12"/>
  <c r="C319" i="12"/>
  <c r="B319" i="12"/>
  <c r="A319" i="12"/>
  <c r="P318" i="12"/>
  <c r="O318" i="12"/>
  <c r="N318" i="12"/>
  <c r="M318" i="12"/>
  <c r="L318" i="12"/>
  <c r="K318" i="12"/>
  <c r="J318" i="12"/>
  <c r="I318" i="12"/>
  <c r="H318" i="12"/>
  <c r="G318" i="12"/>
  <c r="F318" i="12"/>
  <c r="E318" i="12"/>
  <c r="D318" i="12"/>
  <c r="C318" i="12"/>
  <c r="B318" i="12"/>
  <c r="A318" i="12"/>
  <c r="P317" i="12"/>
  <c r="O317" i="12"/>
  <c r="N317" i="12"/>
  <c r="M317" i="12"/>
  <c r="L317" i="12"/>
  <c r="K317" i="12"/>
  <c r="J317" i="12"/>
  <c r="I317" i="12"/>
  <c r="H317" i="12"/>
  <c r="G317" i="12"/>
  <c r="F317" i="12"/>
  <c r="E317" i="12"/>
  <c r="D317" i="12"/>
  <c r="C317" i="12"/>
  <c r="B317" i="12"/>
  <c r="A317" i="12"/>
  <c r="P316" i="12"/>
  <c r="O316" i="12"/>
  <c r="N316" i="12"/>
  <c r="M316" i="12"/>
  <c r="L316" i="12"/>
  <c r="K316" i="12"/>
  <c r="J316" i="12"/>
  <c r="I316" i="12"/>
  <c r="H316" i="12"/>
  <c r="G316" i="12"/>
  <c r="F316" i="12"/>
  <c r="E316" i="12"/>
  <c r="D316" i="12"/>
  <c r="C316" i="12"/>
  <c r="B316" i="12"/>
  <c r="A316" i="12"/>
  <c r="P315" i="12"/>
  <c r="O315" i="12"/>
  <c r="N315" i="12"/>
  <c r="M315" i="12"/>
  <c r="L315" i="12"/>
  <c r="K315" i="12"/>
  <c r="J315" i="12"/>
  <c r="I315" i="12"/>
  <c r="H315" i="12"/>
  <c r="G315" i="12"/>
  <c r="F315" i="12"/>
  <c r="E315" i="12"/>
  <c r="D315" i="12"/>
  <c r="C315" i="12"/>
  <c r="B315" i="12"/>
  <c r="A315" i="12"/>
  <c r="P314" i="12"/>
  <c r="O314" i="12"/>
  <c r="N314" i="12"/>
  <c r="M314" i="12"/>
  <c r="L314" i="12"/>
  <c r="K314" i="12"/>
  <c r="J314" i="12"/>
  <c r="I314" i="12"/>
  <c r="H314" i="12"/>
  <c r="G314" i="12"/>
  <c r="F314" i="12"/>
  <c r="E314" i="12"/>
  <c r="D314" i="12"/>
  <c r="C314" i="12"/>
  <c r="B314" i="12"/>
  <c r="A314" i="12"/>
  <c r="P313" i="12"/>
  <c r="O313" i="12"/>
  <c r="N313" i="12"/>
  <c r="M313" i="12"/>
  <c r="L313" i="12"/>
  <c r="K313" i="12"/>
  <c r="J313" i="12"/>
  <c r="I313" i="12"/>
  <c r="H313" i="12"/>
  <c r="G313" i="12"/>
  <c r="F313" i="12"/>
  <c r="E313" i="12"/>
  <c r="D313" i="12"/>
  <c r="C313" i="12"/>
  <c r="B313" i="12"/>
  <c r="A313" i="12"/>
  <c r="P312" i="12"/>
  <c r="O312" i="12"/>
  <c r="N312" i="12"/>
  <c r="M312" i="12"/>
  <c r="L312" i="12"/>
  <c r="K312" i="12"/>
  <c r="J312" i="12"/>
  <c r="I312" i="12"/>
  <c r="H312" i="12"/>
  <c r="G312" i="12"/>
  <c r="F312" i="12"/>
  <c r="E312" i="12"/>
  <c r="D312" i="12"/>
  <c r="C312" i="12"/>
  <c r="B312" i="12"/>
  <c r="A312" i="12"/>
  <c r="P311" i="12"/>
  <c r="O311" i="12"/>
  <c r="N311" i="12"/>
  <c r="M311" i="12"/>
  <c r="L311" i="12"/>
  <c r="K311" i="12"/>
  <c r="J311" i="12"/>
  <c r="I311" i="12"/>
  <c r="H311" i="12"/>
  <c r="G311" i="12"/>
  <c r="F311" i="12"/>
  <c r="E311" i="12"/>
  <c r="D311" i="12"/>
  <c r="C311" i="12"/>
  <c r="B311" i="12"/>
  <c r="A311" i="12"/>
  <c r="P310" i="12"/>
  <c r="O310" i="12"/>
  <c r="N310" i="12"/>
  <c r="M310" i="12"/>
  <c r="L310" i="12"/>
  <c r="K310" i="12"/>
  <c r="J310" i="12"/>
  <c r="I310" i="12"/>
  <c r="H310" i="12"/>
  <c r="G310" i="12"/>
  <c r="F310" i="12"/>
  <c r="E310" i="12"/>
  <c r="D310" i="12"/>
  <c r="C310" i="12"/>
  <c r="B310" i="12"/>
  <c r="A310" i="12"/>
  <c r="P309" i="12"/>
  <c r="O309" i="12"/>
  <c r="N309" i="12"/>
  <c r="M309" i="12"/>
  <c r="L309" i="12"/>
  <c r="K309" i="12"/>
  <c r="J309" i="12"/>
  <c r="I309" i="12"/>
  <c r="H309" i="12"/>
  <c r="G309" i="12"/>
  <c r="F309" i="12"/>
  <c r="E309" i="12"/>
  <c r="D309" i="12"/>
  <c r="C309" i="12"/>
  <c r="B309" i="12"/>
  <c r="A309" i="12"/>
  <c r="P308" i="12"/>
  <c r="O308" i="12"/>
  <c r="N308" i="12"/>
  <c r="M308" i="12"/>
  <c r="L308" i="12"/>
  <c r="K308" i="12"/>
  <c r="J308" i="12"/>
  <c r="I308" i="12"/>
  <c r="H308" i="12"/>
  <c r="G308" i="12"/>
  <c r="F308" i="12"/>
  <c r="E308" i="12"/>
  <c r="D308" i="12"/>
  <c r="C308" i="12"/>
  <c r="B308" i="12"/>
  <c r="A308" i="12"/>
  <c r="P307" i="12"/>
  <c r="O307" i="12"/>
  <c r="N307" i="12"/>
  <c r="M307" i="12"/>
  <c r="L307" i="12"/>
  <c r="K307" i="12"/>
  <c r="J307" i="12"/>
  <c r="I307" i="12"/>
  <c r="H307" i="12"/>
  <c r="G307" i="12"/>
  <c r="F307" i="12"/>
  <c r="E307" i="12"/>
  <c r="D307" i="12"/>
  <c r="C307" i="12"/>
  <c r="B307" i="12"/>
  <c r="A307" i="12"/>
  <c r="P306" i="12"/>
  <c r="O306" i="12"/>
  <c r="N306" i="12"/>
  <c r="M306" i="12"/>
  <c r="L306" i="12"/>
  <c r="K306" i="12"/>
  <c r="J306" i="12"/>
  <c r="I306" i="12"/>
  <c r="H306" i="12"/>
  <c r="G306" i="12"/>
  <c r="F306" i="12"/>
  <c r="E306" i="12"/>
  <c r="D306" i="12"/>
  <c r="C306" i="12"/>
  <c r="B306" i="12"/>
  <c r="A306" i="12"/>
  <c r="P305" i="12"/>
  <c r="O305" i="12"/>
  <c r="N305" i="12"/>
  <c r="M305" i="12"/>
  <c r="L305" i="12"/>
  <c r="K305" i="12"/>
  <c r="J305" i="12"/>
  <c r="I305" i="12"/>
  <c r="H305" i="12"/>
  <c r="G305" i="12"/>
  <c r="F305" i="12"/>
  <c r="E305" i="12"/>
  <c r="D305" i="12"/>
  <c r="C305" i="12"/>
  <c r="B305" i="12"/>
  <c r="A305" i="12"/>
  <c r="P304" i="12"/>
  <c r="O304" i="12"/>
  <c r="N304" i="12"/>
  <c r="M304" i="12"/>
  <c r="L304" i="12"/>
  <c r="K304" i="12"/>
  <c r="J304" i="12"/>
  <c r="I304" i="12"/>
  <c r="H304" i="12"/>
  <c r="G304" i="12"/>
  <c r="F304" i="12"/>
  <c r="E304" i="12"/>
  <c r="D304" i="12"/>
  <c r="C304" i="12"/>
  <c r="B304" i="12"/>
  <c r="A304" i="12"/>
  <c r="P303" i="12"/>
  <c r="O303" i="12"/>
  <c r="N303" i="12"/>
  <c r="M303" i="12"/>
  <c r="L303" i="12"/>
  <c r="K303" i="12"/>
  <c r="J303" i="12"/>
  <c r="I303" i="12"/>
  <c r="H303" i="12"/>
  <c r="G303" i="12"/>
  <c r="F303" i="12"/>
  <c r="E303" i="12"/>
  <c r="D303" i="12"/>
  <c r="C303" i="12"/>
  <c r="B303" i="12"/>
  <c r="A303" i="12"/>
  <c r="P302" i="12"/>
  <c r="O302" i="12"/>
  <c r="N302" i="12"/>
  <c r="M302" i="12"/>
  <c r="L302" i="12"/>
  <c r="K302" i="12"/>
  <c r="J302" i="12"/>
  <c r="I302" i="12"/>
  <c r="H302" i="12"/>
  <c r="G302" i="12"/>
  <c r="F302" i="12"/>
  <c r="E302" i="12"/>
  <c r="D302" i="12"/>
  <c r="C302" i="12"/>
  <c r="B302" i="12"/>
  <c r="A302" i="12"/>
  <c r="P301" i="12"/>
  <c r="O301" i="12"/>
  <c r="N301" i="12"/>
  <c r="M301" i="12"/>
  <c r="L301" i="12"/>
  <c r="K301" i="12"/>
  <c r="J301" i="12"/>
  <c r="I301" i="12"/>
  <c r="H301" i="12"/>
  <c r="G301" i="12"/>
  <c r="F301" i="12"/>
  <c r="E301" i="12"/>
  <c r="D301" i="12"/>
  <c r="C301" i="12"/>
  <c r="B301" i="12"/>
  <c r="A301" i="12"/>
  <c r="P300" i="12"/>
  <c r="O300" i="12"/>
  <c r="N300" i="12"/>
  <c r="M300" i="12"/>
  <c r="L300" i="12"/>
  <c r="K300" i="12"/>
  <c r="J300" i="12"/>
  <c r="I300" i="12"/>
  <c r="H300" i="12"/>
  <c r="G300" i="12"/>
  <c r="F300" i="12"/>
  <c r="E300" i="12"/>
  <c r="D300" i="12"/>
  <c r="C300" i="12"/>
  <c r="B300" i="12"/>
  <c r="A300" i="12"/>
  <c r="P299" i="12"/>
  <c r="O299" i="12"/>
  <c r="N299" i="12"/>
  <c r="M299" i="12"/>
  <c r="L299" i="12"/>
  <c r="K299" i="12"/>
  <c r="J299" i="12"/>
  <c r="I299" i="12"/>
  <c r="H299" i="12"/>
  <c r="G299" i="12"/>
  <c r="F299" i="12"/>
  <c r="E299" i="12"/>
  <c r="D299" i="12"/>
  <c r="C299" i="12"/>
  <c r="B299" i="12"/>
  <c r="A299" i="12"/>
  <c r="P298" i="12"/>
  <c r="O298" i="12"/>
  <c r="N298" i="12"/>
  <c r="M298" i="12"/>
  <c r="L298" i="12"/>
  <c r="K298" i="12"/>
  <c r="J298" i="12"/>
  <c r="I298" i="12"/>
  <c r="H298" i="12"/>
  <c r="G298" i="12"/>
  <c r="F298" i="12"/>
  <c r="E298" i="12"/>
  <c r="D298" i="12"/>
  <c r="C298" i="12"/>
  <c r="B298" i="12"/>
  <c r="A298" i="12"/>
  <c r="P297" i="12"/>
  <c r="O297" i="12"/>
  <c r="N297" i="12"/>
  <c r="M297" i="12"/>
  <c r="L297" i="12"/>
  <c r="K297" i="12"/>
  <c r="J297" i="12"/>
  <c r="I297" i="12"/>
  <c r="H297" i="12"/>
  <c r="G297" i="12"/>
  <c r="F297" i="12"/>
  <c r="E297" i="12"/>
  <c r="D297" i="12"/>
  <c r="C297" i="12"/>
  <c r="B297" i="12"/>
  <c r="A297" i="12"/>
  <c r="P296" i="12"/>
  <c r="O296" i="12"/>
  <c r="N296" i="12"/>
  <c r="M296" i="12"/>
  <c r="L296" i="12"/>
  <c r="K296" i="12"/>
  <c r="J296" i="12"/>
  <c r="I296" i="12"/>
  <c r="H296" i="12"/>
  <c r="G296" i="12"/>
  <c r="F296" i="12"/>
  <c r="E296" i="12"/>
  <c r="D296" i="12"/>
  <c r="C296" i="12"/>
  <c r="B296" i="12"/>
  <c r="A296" i="12"/>
  <c r="P295" i="12"/>
  <c r="O295" i="12"/>
  <c r="N295" i="12"/>
  <c r="M295" i="12"/>
  <c r="L295" i="12"/>
  <c r="K295" i="12"/>
  <c r="J295" i="12"/>
  <c r="I295" i="12"/>
  <c r="H295" i="12"/>
  <c r="G295" i="12"/>
  <c r="F295" i="12"/>
  <c r="E295" i="12"/>
  <c r="D295" i="12"/>
  <c r="C295" i="12"/>
  <c r="B295" i="12"/>
  <c r="A295" i="12"/>
  <c r="P294" i="12"/>
  <c r="O294" i="12"/>
  <c r="N294" i="12"/>
  <c r="M294" i="12"/>
  <c r="L294" i="12"/>
  <c r="K294" i="12"/>
  <c r="J294" i="12"/>
  <c r="I294" i="12"/>
  <c r="H294" i="12"/>
  <c r="G294" i="12"/>
  <c r="F294" i="12"/>
  <c r="E294" i="12"/>
  <c r="D294" i="12"/>
  <c r="C294" i="12"/>
  <c r="B294" i="12"/>
  <c r="A294" i="12"/>
  <c r="P293" i="12"/>
  <c r="O293" i="12"/>
  <c r="N293" i="12"/>
  <c r="M293" i="12"/>
  <c r="L293" i="12"/>
  <c r="K293" i="12"/>
  <c r="J293" i="12"/>
  <c r="I293" i="12"/>
  <c r="H293" i="12"/>
  <c r="G293" i="12"/>
  <c r="F293" i="12"/>
  <c r="E293" i="12"/>
  <c r="D293" i="12"/>
  <c r="C293" i="12"/>
  <c r="B293" i="12"/>
  <c r="A293" i="12"/>
  <c r="P292" i="12"/>
  <c r="O292" i="12"/>
  <c r="N292" i="12"/>
  <c r="M292" i="12"/>
  <c r="L292" i="12"/>
  <c r="K292" i="12"/>
  <c r="J292" i="12"/>
  <c r="I292" i="12"/>
  <c r="H292" i="12"/>
  <c r="G292" i="12"/>
  <c r="F292" i="12"/>
  <c r="E292" i="12"/>
  <c r="D292" i="12"/>
  <c r="C292" i="12"/>
  <c r="B292" i="12"/>
  <c r="A292" i="12"/>
  <c r="P291" i="12"/>
  <c r="O291" i="12"/>
  <c r="N291" i="12"/>
  <c r="M291" i="12"/>
  <c r="L291" i="12"/>
  <c r="K291" i="12"/>
  <c r="J291" i="12"/>
  <c r="I291" i="12"/>
  <c r="H291" i="12"/>
  <c r="G291" i="12"/>
  <c r="F291" i="12"/>
  <c r="E291" i="12"/>
  <c r="D291" i="12"/>
  <c r="C291" i="12"/>
  <c r="B291" i="12"/>
  <c r="A291" i="12"/>
  <c r="P290" i="12"/>
  <c r="O290" i="12"/>
  <c r="N290" i="12"/>
  <c r="M290" i="12"/>
  <c r="L290" i="12"/>
  <c r="K290" i="12"/>
  <c r="J290" i="12"/>
  <c r="I290" i="12"/>
  <c r="H290" i="12"/>
  <c r="G290" i="12"/>
  <c r="F290" i="12"/>
  <c r="E290" i="12"/>
  <c r="D290" i="12"/>
  <c r="C290" i="12"/>
  <c r="B290" i="12"/>
  <c r="A290" i="12"/>
  <c r="P289" i="12"/>
  <c r="O289" i="12"/>
  <c r="N289" i="12"/>
  <c r="M289" i="12"/>
  <c r="L289" i="12"/>
  <c r="K289" i="12"/>
  <c r="J289" i="12"/>
  <c r="I289" i="12"/>
  <c r="H289" i="12"/>
  <c r="G289" i="12"/>
  <c r="F289" i="12"/>
  <c r="E289" i="12"/>
  <c r="D289" i="12"/>
  <c r="C289" i="12"/>
  <c r="B289" i="12"/>
  <c r="A289" i="12"/>
  <c r="P288" i="12"/>
  <c r="O288" i="12"/>
  <c r="N288" i="12"/>
  <c r="M288" i="12"/>
  <c r="L288" i="12"/>
  <c r="K288" i="12"/>
  <c r="J288" i="12"/>
  <c r="I288" i="12"/>
  <c r="H288" i="12"/>
  <c r="G288" i="12"/>
  <c r="F288" i="12"/>
  <c r="E288" i="12"/>
  <c r="D288" i="12"/>
  <c r="C288" i="12"/>
  <c r="B288" i="12"/>
  <c r="A288" i="12"/>
  <c r="P287" i="12"/>
  <c r="O287" i="12"/>
  <c r="N287" i="12"/>
  <c r="M287" i="12"/>
  <c r="L287" i="12"/>
  <c r="K287" i="12"/>
  <c r="J287" i="12"/>
  <c r="I287" i="12"/>
  <c r="H287" i="12"/>
  <c r="G287" i="12"/>
  <c r="F287" i="12"/>
  <c r="E287" i="12"/>
  <c r="D287" i="12"/>
  <c r="C287" i="12"/>
  <c r="B287" i="12"/>
  <c r="A287" i="12"/>
  <c r="P286" i="12"/>
  <c r="O286" i="12"/>
  <c r="N286" i="12"/>
  <c r="M286" i="12"/>
  <c r="L286" i="12"/>
  <c r="K286" i="12"/>
  <c r="J286" i="12"/>
  <c r="I286" i="12"/>
  <c r="H286" i="12"/>
  <c r="G286" i="12"/>
  <c r="F286" i="12"/>
  <c r="E286" i="12"/>
  <c r="D286" i="12"/>
  <c r="C286" i="12"/>
  <c r="B286" i="12"/>
  <c r="A286" i="12"/>
  <c r="P285" i="12"/>
  <c r="O285" i="12"/>
  <c r="N285" i="12"/>
  <c r="M285" i="12"/>
  <c r="L285" i="12"/>
  <c r="K285" i="12"/>
  <c r="J285" i="12"/>
  <c r="I285" i="12"/>
  <c r="H285" i="12"/>
  <c r="G285" i="12"/>
  <c r="F285" i="12"/>
  <c r="E285" i="12"/>
  <c r="D285" i="12"/>
  <c r="C285" i="12"/>
  <c r="B285" i="12"/>
  <c r="A285" i="12"/>
  <c r="P284" i="12"/>
  <c r="O284" i="12"/>
  <c r="N284" i="12"/>
  <c r="M284" i="12"/>
  <c r="L284" i="12"/>
  <c r="K284" i="12"/>
  <c r="J284" i="12"/>
  <c r="I284" i="12"/>
  <c r="H284" i="12"/>
  <c r="G284" i="12"/>
  <c r="F284" i="12"/>
  <c r="E284" i="12"/>
  <c r="D284" i="12"/>
  <c r="C284" i="12"/>
  <c r="B284" i="12"/>
  <c r="A284" i="12"/>
  <c r="P283" i="12"/>
  <c r="O283" i="12"/>
  <c r="N283" i="12"/>
  <c r="M283" i="12"/>
  <c r="L283" i="12"/>
  <c r="K283" i="12"/>
  <c r="J283" i="12"/>
  <c r="I283" i="12"/>
  <c r="H283" i="12"/>
  <c r="G283" i="12"/>
  <c r="F283" i="12"/>
  <c r="E283" i="12"/>
  <c r="D283" i="12"/>
  <c r="C283" i="12"/>
  <c r="B283" i="12"/>
  <c r="A283" i="12"/>
  <c r="P282" i="12"/>
  <c r="O282" i="12"/>
  <c r="N282" i="12"/>
  <c r="M282" i="12"/>
  <c r="L282" i="12"/>
  <c r="K282" i="12"/>
  <c r="J282" i="12"/>
  <c r="I282" i="12"/>
  <c r="H282" i="12"/>
  <c r="G282" i="12"/>
  <c r="F282" i="12"/>
  <c r="E282" i="12"/>
  <c r="D282" i="12"/>
  <c r="C282" i="12"/>
  <c r="B282" i="12"/>
  <c r="A282" i="12"/>
  <c r="P281" i="12"/>
  <c r="O281" i="12"/>
  <c r="N281" i="12"/>
  <c r="M281" i="12"/>
  <c r="L281" i="12"/>
  <c r="K281" i="12"/>
  <c r="J281" i="12"/>
  <c r="I281" i="12"/>
  <c r="H281" i="12"/>
  <c r="G281" i="12"/>
  <c r="F281" i="12"/>
  <c r="E281" i="12"/>
  <c r="D281" i="12"/>
  <c r="C281" i="12"/>
  <c r="B281" i="12"/>
  <c r="A281" i="12"/>
  <c r="P280" i="12"/>
  <c r="O280" i="12"/>
  <c r="N280" i="12"/>
  <c r="M280" i="12"/>
  <c r="L280" i="12"/>
  <c r="K280" i="12"/>
  <c r="J280" i="12"/>
  <c r="I280" i="12"/>
  <c r="H280" i="12"/>
  <c r="G280" i="12"/>
  <c r="F280" i="12"/>
  <c r="E280" i="12"/>
  <c r="D280" i="12"/>
  <c r="C280" i="12"/>
  <c r="B280" i="12"/>
  <c r="A280" i="12"/>
  <c r="P279" i="12"/>
  <c r="O279" i="12"/>
  <c r="N279" i="12"/>
  <c r="M279" i="12"/>
  <c r="L279" i="12"/>
  <c r="K279" i="12"/>
  <c r="J279" i="12"/>
  <c r="I279" i="12"/>
  <c r="H279" i="12"/>
  <c r="G279" i="12"/>
  <c r="F279" i="12"/>
  <c r="E279" i="12"/>
  <c r="D279" i="12"/>
  <c r="C279" i="12"/>
  <c r="B279" i="12"/>
  <c r="A279" i="12"/>
  <c r="P278" i="12"/>
  <c r="O278" i="12"/>
  <c r="N278" i="12"/>
  <c r="M278" i="12"/>
  <c r="L278" i="12"/>
  <c r="K278" i="12"/>
  <c r="J278" i="12"/>
  <c r="I278" i="12"/>
  <c r="H278" i="12"/>
  <c r="G278" i="12"/>
  <c r="F278" i="12"/>
  <c r="E278" i="12"/>
  <c r="D278" i="12"/>
  <c r="C278" i="12"/>
  <c r="B278" i="12"/>
  <c r="A278" i="12"/>
  <c r="P277" i="12"/>
  <c r="O277" i="12"/>
  <c r="N277" i="12"/>
  <c r="M277" i="12"/>
  <c r="L277" i="12"/>
  <c r="K277" i="12"/>
  <c r="J277" i="12"/>
  <c r="I277" i="12"/>
  <c r="H277" i="12"/>
  <c r="G277" i="12"/>
  <c r="F277" i="12"/>
  <c r="E277" i="12"/>
  <c r="D277" i="12"/>
  <c r="C277" i="12"/>
  <c r="B277" i="12"/>
  <c r="A277" i="12"/>
  <c r="P276" i="12"/>
  <c r="O276" i="12"/>
  <c r="N276" i="12"/>
  <c r="M276" i="12"/>
  <c r="L276" i="12"/>
  <c r="K276" i="12"/>
  <c r="J276" i="12"/>
  <c r="I276" i="12"/>
  <c r="H276" i="12"/>
  <c r="G276" i="12"/>
  <c r="F276" i="12"/>
  <c r="E276" i="12"/>
  <c r="D276" i="12"/>
  <c r="C276" i="12"/>
  <c r="B276" i="12"/>
  <c r="A276" i="12"/>
  <c r="P275" i="12"/>
  <c r="O275" i="12"/>
  <c r="N275" i="12"/>
  <c r="M275" i="12"/>
  <c r="L275" i="12"/>
  <c r="K275" i="12"/>
  <c r="J275" i="12"/>
  <c r="I275" i="12"/>
  <c r="H275" i="12"/>
  <c r="G275" i="12"/>
  <c r="F275" i="12"/>
  <c r="E275" i="12"/>
  <c r="D275" i="12"/>
  <c r="C275" i="12"/>
  <c r="B275" i="12"/>
  <c r="A275" i="12"/>
  <c r="P274" i="12"/>
  <c r="O274" i="12"/>
  <c r="N274" i="12"/>
  <c r="M274" i="12"/>
  <c r="L274" i="12"/>
  <c r="K274" i="12"/>
  <c r="J274" i="12"/>
  <c r="I274" i="12"/>
  <c r="H274" i="12"/>
  <c r="G274" i="12"/>
  <c r="F274" i="12"/>
  <c r="E274" i="12"/>
  <c r="D274" i="12"/>
  <c r="C274" i="12"/>
  <c r="B274" i="12"/>
  <c r="A274" i="12"/>
  <c r="P273" i="12"/>
  <c r="O273" i="12"/>
  <c r="N273" i="12"/>
  <c r="M273" i="12"/>
  <c r="L273" i="12"/>
  <c r="K273" i="12"/>
  <c r="J273" i="12"/>
  <c r="I273" i="12"/>
  <c r="H273" i="12"/>
  <c r="G273" i="12"/>
  <c r="F273" i="12"/>
  <c r="E273" i="12"/>
  <c r="D273" i="12"/>
  <c r="C273" i="12"/>
  <c r="B273" i="12"/>
  <c r="A273" i="12"/>
  <c r="P272" i="12"/>
  <c r="O272" i="12"/>
  <c r="N272" i="12"/>
  <c r="M272" i="12"/>
  <c r="L272" i="12"/>
  <c r="K272" i="12"/>
  <c r="J272" i="12"/>
  <c r="I272" i="12"/>
  <c r="H272" i="12"/>
  <c r="G272" i="12"/>
  <c r="F272" i="12"/>
  <c r="E272" i="12"/>
  <c r="D272" i="12"/>
  <c r="C272" i="12"/>
  <c r="B272" i="12"/>
  <c r="A272" i="12"/>
  <c r="P271" i="12"/>
  <c r="O271" i="12"/>
  <c r="N271" i="12"/>
  <c r="M271" i="12"/>
  <c r="L271" i="12"/>
  <c r="K271" i="12"/>
  <c r="J271" i="12"/>
  <c r="I271" i="12"/>
  <c r="H271" i="12"/>
  <c r="G271" i="12"/>
  <c r="F271" i="12"/>
  <c r="E271" i="12"/>
  <c r="D271" i="12"/>
  <c r="C271" i="12"/>
  <c r="B271" i="12"/>
  <c r="A271" i="12"/>
  <c r="P270" i="12"/>
  <c r="O270" i="12"/>
  <c r="N270" i="12"/>
  <c r="M270" i="12"/>
  <c r="L270" i="12"/>
  <c r="K270" i="12"/>
  <c r="J270" i="12"/>
  <c r="I270" i="12"/>
  <c r="H270" i="12"/>
  <c r="G270" i="12"/>
  <c r="F270" i="12"/>
  <c r="E270" i="12"/>
  <c r="D270" i="12"/>
  <c r="C270" i="12"/>
  <c r="B270" i="12"/>
  <c r="A270" i="12"/>
  <c r="P269" i="12"/>
  <c r="O269" i="12"/>
  <c r="N269" i="12"/>
  <c r="M269" i="12"/>
  <c r="L269" i="12"/>
  <c r="K269" i="12"/>
  <c r="J269" i="12"/>
  <c r="I269" i="12"/>
  <c r="H269" i="12"/>
  <c r="G269" i="12"/>
  <c r="F269" i="12"/>
  <c r="E269" i="12"/>
  <c r="D269" i="12"/>
  <c r="C269" i="12"/>
  <c r="B269" i="12"/>
  <c r="A269" i="12"/>
  <c r="P268" i="12"/>
  <c r="O268" i="12"/>
  <c r="N268" i="12"/>
  <c r="M268" i="12"/>
  <c r="L268" i="12"/>
  <c r="K268" i="12"/>
  <c r="J268" i="12"/>
  <c r="I268" i="12"/>
  <c r="H268" i="12"/>
  <c r="G268" i="12"/>
  <c r="F268" i="12"/>
  <c r="E268" i="12"/>
  <c r="D268" i="12"/>
  <c r="C268" i="12"/>
  <c r="B268" i="12"/>
  <c r="A268" i="12"/>
  <c r="P267" i="12"/>
  <c r="O267" i="12"/>
  <c r="N267" i="12"/>
  <c r="M267" i="12"/>
  <c r="L267" i="12"/>
  <c r="K267" i="12"/>
  <c r="J267" i="12"/>
  <c r="I267" i="12"/>
  <c r="H267" i="12"/>
  <c r="G267" i="12"/>
  <c r="F267" i="12"/>
  <c r="E267" i="12"/>
  <c r="D267" i="12"/>
  <c r="C267" i="12"/>
  <c r="B267" i="12"/>
  <c r="A267" i="12"/>
  <c r="P266" i="12"/>
  <c r="O266" i="12"/>
  <c r="N266" i="12"/>
  <c r="M266" i="12"/>
  <c r="L266" i="12"/>
  <c r="K266" i="12"/>
  <c r="J266" i="12"/>
  <c r="I266" i="12"/>
  <c r="H266" i="12"/>
  <c r="G266" i="12"/>
  <c r="F266" i="12"/>
  <c r="E266" i="12"/>
  <c r="D266" i="12"/>
  <c r="C266" i="12"/>
  <c r="B266" i="12"/>
  <c r="A266" i="12"/>
  <c r="P265" i="12"/>
  <c r="O265" i="12"/>
  <c r="N265" i="12"/>
  <c r="M265" i="12"/>
  <c r="L265" i="12"/>
  <c r="K265" i="12"/>
  <c r="J265" i="12"/>
  <c r="I265" i="12"/>
  <c r="H265" i="12"/>
  <c r="G265" i="12"/>
  <c r="F265" i="12"/>
  <c r="E265" i="12"/>
  <c r="D265" i="12"/>
  <c r="C265" i="12"/>
  <c r="B265" i="12"/>
  <c r="A265" i="12"/>
  <c r="P264" i="12"/>
  <c r="O264" i="12"/>
  <c r="N264" i="12"/>
  <c r="M264" i="12"/>
  <c r="L264" i="12"/>
  <c r="K264" i="12"/>
  <c r="J264" i="12"/>
  <c r="I264" i="12"/>
  <c r="H264" i="12"/>
  <c r="G264" i="12"/>
  <c r="F264" i="12"/>
  <c r="E264" i="12"/>
  <c r="D264" i="12"/>
  <c r="C264" i="12"/>
  <c r="B264" i="12"/>
  <c r="A264" i="12"/>
  <c r="P263" i="12"/>
  <c r="O263" i="12"/>
  <c r="N263" i="12"/>
  <c r="M263" i="12"/>
  <c r="L263" i="12"/>
  <c r="K263" i="12"/>
  <c r="J263" i="12"/>
  <c r="I263" i="12"/>
  <c r="H263" i="12"/>
  <c r="G263" i="12"/>
  <c r="F263" i="12"/>
  <c r="E263" i="12"/>
  <c r="D263" i="12"/>
  <c r="C263" i="12"/>
  <c r="B263" i="12"/>
  <c r="A263" i="12"/>
  <c r="P262" i="12"/>
  <c r="O262" i="12"/>
  <c r="N262" i="12"/>
  <c r="M262" i="12"/>
  <c r="L262" i="12"/>
  <c r="K262" i="12"/>
  <c r="J262" i="12"/>
  <c r="I262" i="12"/>
  <c r="H262" i="12"/>
  <c r="G262" i="12"/>
  <c r="F262" i="12"/>
  <c r="E262" i="12"/>
  <c r="D262" i="12"/>
  <c r="C262" i="12"/>
  <c r="B262" i="12"/>
  <c r="A262" i="12"/>
  <c r="P261" i="12"/>
  <c r="O261" i="12"/>
  <c r="N261" i="12"/>
  <c r="M261" i="12"/>
  <c r="L261" i="12"/>
  <c r="K261" i="12"/>
  <c r="J261" i="12"/>
  <c r="I261" i="12"/>
  <c r="H261" i="12"/>
  <c r="G261" i="12"/>
  <c r="F261" i="12"/>
  <c r="E261" i="12"/>
  <c r="D261" i="12"/>
  <c r="C261" i="12"/>
  <c r="B261" i="12"/>
  <c r="A261" i="12"/>
  <c r="P260" i="12"/>
  <c r="O260" i="12"/>
  <c r="N260" i="12"/>
  <c r="M260" i="12"/>
  <c r="L260" i="12"/>
  <c r="K260" i="12"/>
  <c r="J260" i="12"/>
  <c r="I260" i="12"/>
  <c r="H260" i="12"/>
  <c r="G260" i="12"/>
  <c r="F260" i="12"/>
  <c r="E260" i="12"/>
  <c r="D260" i="12"/>
  <c r="C260" i="12"/>
  <c r="B260" i="12"/>
  <c r="A260" i="12"/>
  <c r="P259" i="12"/>
  <c r="O259" i="12"/>
  <c r="N259" i="12"/>
  <c r="M259" i="12"/>
  <c r="L259" i="12"/>
  <c r="K259" i="12"/>
  <c r="J259" i="12"/>
  <c r="I259" i="12"/>
  <c r="H259" i="12"/>
  <c r="G259" i="12"/>
  <c r="F259" i="12"/>
  <c r="E259" i="12"/>
  <c r="D259" i="12"/>
  <c r="C259" i="12"/>
  <c r="B259" i="12"/>
  <c r="A259" i="12"/>
  <c r="P258" i="12"/>
  <c r="O258" i="12"/>
  <c r="N258" i="12"/>
  <c r="M258" i="12"/>
  <c r="L258" i="12"/>
  <c r="K258" i="12"/>
  <c r="J258" i="12"/>
  <c r="I258" i="12"/>
  <c r="H258" i="12"/>
  <c r="G258" i="12"/>
  <c r="F258" i="12"/>
  <c r="E258" i="12"/>
  <c r="D258" i="12"/>
  <c r="C258" i="12"/>
  <c r="B258" i="12"/>
  <c r="A258" i="12"/>
  <c r="P257" i="12"/>
  <c r="O257" i="12"/>
  <c r="N257" i="12"/>
  <c r="M257" i="12"/>
  <c r="L257" i="12"/>
  <c r="K257" i="12"/>
  <c r="J257" i="12"/>
  <c r="I257" i="12"/>
  <c r="H257" i="12"/>
  <c r="G257" i="12"/>
  <c r="F257" i="12"/>
  <c r="E257" i="12"/>
  <c r="D257" i="12"/>
  <c r="C257" i="12"/>
  <c r="B257" i="12"/>
  <c r="A257" i="12"/>
  <c r="P256" i="12"/>
  <c r="O256" i="12"/>
  <c r="N256" i="12"/>
  <c r="M256" i="12"/>
  <c r="L256" i="12"/>
  <c r="K256" i="12"/>
  <c r="J256" i="12"/>
  <c r="I256" i="12"/>
  <c r="H256" i="12"/>
  <c r="G256" i="12"/>
  <c r="F256" i="12"/>
  <c r="E256" i="12"/>
  <c r="D256" i="12"/>
  <c r="C256" i="12"/>
  <c r="B256" i="12"/>
  <c r="A256" i="12"/>
  <c r="P255" i="12"/>
  <c r="O255" i="12"/>
  <c r="N255" i="12"/>
  <c r="M255" i="12"/>
  <c r="L255" i="12"/>
  <c r="K255" i="12"/>
  <c r="J255" i="12"/>
  <c r="I255" i="12"/>
  <c r="H255" i="12"/>
  <c r="G255" i="12"/>
  <c r="F255" i="12"/>
  <c r="E255" i="12"/>
  <c r="D255" i="12"/>
  <c r="C255" i="12"/>
  <c r="B255" i="12"/>
  <c r="A255" i="12"/>
  <c r="P254" i="12"/>
  <c r="O254" i="12"/>
  <c r="N254" i="12"/>
  <c r="M254" i="12"/>
  <c r="L254" i="12"/>
  <c r="K254" i="12"/>
  <c r="J254" i="12"/>
  <c r="I254" i="12"/>
  <c r="H254" i="12"/>
  <c r="G254" i="12"/>
  <c r="F254" i="12"/>
  <c r="E254" i="12"/>
  <c r="D254" i="12"/>
  <c r="C254" i="12"/>
  <c r="B254" i="12"/>
  <c r="A254" i="12"/>
  <c r="P253" i="12"/>
  <c r="O253" i="12"/>
  <c r="N253" i="12"/>
  <c r="M253" i="12"/>
  <c r="L253" i="12"/>
  <c r="K253" i="12"/>
  <c r="J253" i="12"/>
  <c r="I253" i="12"/>
  <c r="H253" i="12"/>
  <c r="G253" i="12"/>
  <c r="F253" i="12"/>
  <c r="E253" i="12"/>
  <c r="D253" i="12"/>
  <c r="C253" i="12"/>
  <c r="B253" i="12"/>
  <c r="A253" i="12"/>
  <c r="P252" i="12"/>
  <c r="O252" i="12"/>
  <c r="N252" i="12"/>
  <c r="M252" i="12"/>
  <c r="L252" i="12"/>
  <c r="K252" i="12"/>
  <c r="J252" i="12"/>
  <c r="I252" i="12"/>
  <c r="H252" i="12"/>
  <c r="G252" i="12"/>
  <c r="F252" i="12"/>
  <c r="E252" i="12"/>
  <c r="D252" i="12"/>
  <c r="C252" i="12"/>
  <c r="B252" i="12"/>
  <c r="A252" i="12"/>
  <c r="P251" i="12"/>
  <c r="O251" i="12"/>
  <c r="N251" i="12"/>
  <c r="M251" i="12"/>
  <c r="L251" i="12"/>
  <c r="K251" i="12"/>
  <c r="J251" i="12"/>
  <c r="I251" i="12"/>
  <c r="H251" i="12"/>
  <c r="G251" i="12"/>
  <c r="F251" i="12"/>
  <c r="E251" i="12"/>
  <c r="D251" i="12"/>
  <c r="C251" i="12"/>
  <c r="B251" i="12"/>
  <c r="A251" i="12"/>
  <c r="P250" i="12"/>
  <c r="O250" i="12"/>
  <c r="N250" i="12"/>
  <c r="M250" i="12"/>
  <c r="L250" i="12"/>
  <c r="K250" i="12"/>
  <c r="J250" i="12"/>
  <c r="I250" i="12"/>
  <c r="H250" i="12"/>
  <c r="G250" i="12"/>
  <c r="F250" i="12"/>
  <c r="E250" i="12"/>
  <c r="D250" i="12"/>
  <c r="C250" i="12"/>
  <c r="B250" i="12"/>
  <c r="A250" i="12"/>
  <c r="P249" i="12"/>
  <c r="O249" i="12"/>
  <c r="N249" i="12"/>
  <c r="M249" i="12"/>
  <c r="L249" i="12"/>
  <c r="K249" i="12"/>
  <c r="J249" i="12"/>
  <c r="I249" i="12"/>
  <c r="H249" i="12"/>
  <c r="G249" i="12"/>
  <c r="F249" i="12"/>
  <c r="E249" i="12"/>
  <c r="D249" i="12"/>
  <c r="C249" i="12"/>
  <c r="B249" i="12"/>
  <c r="A249" i="12"/>
  <c r="P248" i="12"/>
  <c r="O248" i="12"/>
  <c r="N248" i="12"/>
  <c r="M248" i="12"/>
  <c r="L248" i="12"/>
  <c r="K248" i="12"/>
  <c r="J248" i="12"/>
  <c r="I248" i="12"/>
  <c r="H248" i="12"/>
  <c r="G248" i="12"/>
  <c r="F248" i="12"/>
  <c r="E248" i="12"/>
  <c r="D248" i="12"/>
  <c r="C248" i="12"/>
  <c r="B248" i="12"/>
  <c r="A248" i="12"/>
  <c r="P247" i="12"/>
  <c r="O247" i="12"/>
  <c r="N247" i="12"/>
  <c r="M247" i="12"/>
  <c r="L247" i="12"/>
  <c r="K247" i="12"/>
  <c r="J247" i="12"/>
  <c r="I247" i="12"/>
  <c r="H247" i="12"/>
  <c r="G247" i="12"/>
  <c r="F247" i="12"/>
  <c r="E247" i="12"/>
  <c r="D247" i="12"/>
  <c r="C247" i="12"/>
  <c r="B247" i="12"/>
  <c r="A247" i="12"/>
  <c r="P246" i="12"/>
  <c r="O246" i="12"/>
  <c r="N246" i="12"/>
  <c r="M246" i="12"/>
  <c r="L246" i="12"/>
  <c r="K246" i="12"/>
  <c r="J246" i="12"/>
  <c r="I246" i="12"/>
  <c r="H246" i="12"/>
  <c r="G246" i="12"/>
  <c r="F246" i="12"/>
  <c r="E246" i="12"/>
  <c r="D246" i="12"/>
  <c r="C246" i="12"/>
  <c r="B246" i="12"/>
  <c r="A246" i="12"/>
  <c r="P245" i="12"/>
  <c r="O245" i="12"/>
  <c r="N245" i="12"/>
  <c r="M245" i="12"/>
  <c r="L245" i="12"/>
  <c r="K245" i="12"/>
  <c r="J245" i="12"/>
  <c r="I245" i="12"/>
  <c r="H245" i="12"/>
  <c r="G245" i="12"/>
  <c r="F245" i="12"/>
  <c r="E245" i="12"/>
  <c r="D245" i="12"/>
  <c r="C245" i="12"/>
  <c r="B245" i="12"/>
  <c r="A245" i="12"/>
  <c r="P244" i="12"/>
  <c r="O244" i="12"/>
  <c r="N244" i="12"/>
  <c r="M244" i="12"/>
  <c r="L244" i="12"/>
  <c r="K244" i="12"/>
  <c r="J244" i="12"/>
  <c r="I244" i="12"/>
  <c r="H244" i="12"/>
  <c r="G244" i="12"/>
  <c r="F244" i="12"/>
  <c r="E244" i="12"/>
  <c r="D244" i="12"/>
  <c r="C244" i="12"/>
  <c r="B244" i="12"/>
  <c r="A244" i="12"/>
  <c r="P243" i="12"/>
  <c r="O243" i="12"/>
  <c r="N243" i="12"/>
  <c r="M243" i="12"/>
  <c r="L243" i="12"/>
  <c r="K243" i="12"/>
  <c r="J243" i="12"/>
  <c r="I243" i="12"/>
  <c r="H243" i="12"/>
  <c r="G243" i="12"/>
  <c r="F243" i="12"/>
  <c r="E243" i="12"/>
  <c r="D243" i="12"/>
  <c r="C243" i="12"/>
  <c r="B243" i="12"/>
  <c r="A243" i="12"/>
  <c r="P242" i="12"/>
  <c r="O242" i="12"/>
  <c r="N242" i="12"/>
  <c r="M242" i="12"/>
  <c r="L242" i="12"/>
  <c r="K242" i="12"/>
  <c r="J242" i="12"/>
  <c r="I242" i="12"/>
  <c r="H242" i="12"/>
  <c r="G242" i="12"/>
  <c r="F242" i="12"/>
  <c r="E242" i="12"/>
  <c r="D242" i="12"/>
  <c r="C242" i="12"/>
  <c r="B242" i="12"/>
  <c r="A242" i="12"/>
  <c r="P241" i="12"/>
  <c r="O241" i="12"/>
  <c r="N241" i="12"/>
  <c r="M241" i="12"/>
  <c r="L241" i="12"/>
  <c r="K241" i="12"/>
  <c r="J241" i="12"/>
  <c r="I241" i="12"/>
  <c r="H241" i="12"/>
  <c r="G241" i="12"/>
  <c r="F241" i="12"/>
  <c r="E241" i="12"/>
  <c r="D241" i="12"/>
  <c r="C241" i="12"/>
  <c r="B241" i="12"/>
  <c r="A241" i="12"/>
  <c r="P240" i="12"/>
  <c r="O240" i="12"/>
  <c r="N240" i="12"/>
  <c r="M240" i="12"/>
  <c r="L240" i="12"/>
  <c r="K240" i="12"/>
  <c r="J240" i="12"/>
  <c r="I240" i="12"/>
  <c r="H240" i="12"/>
  <c r="G240" i="12"/>
  <c r="F240" i="12"/>
  <c r="E240" i="12"/>
  <c r="D240" i="12"/>
  <c r="C240" i="12"/>
  <c r="B240" i="12"/>
  <c r="A240" i="12"/>
  <c r="P239" i="12"/>
  <c r="O239" i="12"/>
  <c r="N239" i="12"/>
  <c r="M239" i="12"/>
  <c r="L239" i="12"/>
  <c r="K239" i="12"/>
  <c r="J239" i="12"/>
  <c r="I239" i="12"/>
  <c r="H239" i="12"/>
  <c r="G239" i="12"/>
  <c r="F239" i="12"/>
  <c r="E239" i="12"/>
  <c r="D239" i="12"/>
  <c r="C239" i="12"/>
  <c r="B239" i="12"/>
  <c r="A239" i="12"/>
  <c r="P238" i="12"/>
  <c r="O238" i="12"/>
  <c r="N238" i="12"/>
  <c r="M238" i="12"/>
  <c r="L238" i="12"/>
  <c r="K238" i="12"/>
  <c r="J238" i="12"/>
  <c r="I238" i="12"/>
  <c r="H238" i="12"/>
  <c r="G238" i="12"/>
  <c r="F238" i="12"/>
  <c r="E238" i="12"/>
  <c r="D238" i="12"/>
  <c r="C238" i="12"/>
  <c r="B238" i="12"/>
  <c r="A238" i="12"/>
  <c r="P237" i="12"/>
  <c r="O237" i="12"/>
  <c r="N237" i="12"/>
  <c r="M237" i="12"/>
  <c r="L237" i="12"/>
  <c r="K237" i="12"/>
  <c r="J237" i="12"/>
  <c r="I237" i="12"/>
  <c r="H237" i="12"/>
  <c r="G237" i="12"/>
  <c r="F237" i="12"/>
  <c r="E237" i="12"/>
  <c r="D237" i="12"/>
  <c r="C237" i="12"/>
  <c r="B237" i="12"/>
  <c r="A237" i="12"/>
  <c r="P236" i="12"/>
  <c r="O236" i="12"/>
  <c r="N236" i="12"/>
  <c r="M236" i="12"/>
  <c r="L236" i="12"/>
  <c r="K236" i="12"/>
  <c r="J236" i="12"/>
  <c r="I236" i="12"/>
  <c r="H236" i="12"/>
  <c r="G236" i="12"/>
  <c r="F236" i="12"/>
  <c r="E236" i="12"/>
  <c r="D236" i="12"/>
  <c r="C236" i="12"/>
  <c r="B236" i="12"/>
  <c r="A236" i="12"/>
  <c r="P235" i="12"/>
  <c r="O235" i="12"/>
  <c r="N235" i="12"/>
  <c r="M235" i="12"/>
  <c r="L235" i="12"/>
  <c r="K235" i="12"/>
  <c r="J235" i="12"/>
  <c r="I235" i="12"/>
  <c r="H235" i="12"/>
  <c r="G235" i="12"/>
  <c r="F235" i="12"/>
  <c r="E235" i="12"/>
  <c r="D235" i="12"/>
  <c r="C235" i="12"/>
  <c r="B235" i="12"/>
  <c r="A235" i="12"/>
  <c r="P234" i="12"/>
  <c r="O234" i="12"/>
  <c r="N234" i="12"/>
  <c r="M234" i="12"/>
  <c r="L234" i="12"/>
  <c r="K234" i="12"/>
  <c r="J234" i="12"/>
  <c r="I234" i="12"/>
  <c r="H234" i="12"/>
  <c r="G234" i="12"/>
  <c r="F234" i="12"/>
  <c r="E234" i="12"/>
  <c r="D234" i="12"/>
  <c r="C234" i="12"/>
  <c r="B234" i="12"/>
  <c r="A234" i="12"/>
  <c r="P233" i="12"/>
  <c r="O233" i="12"/>
  <c r="N233" i="12"/>
  <c r="M233" i="12"/>
  <c r="L233" i="12"/>
  <c r="K233" i="12"/>
  <c r="J233" i="12"/>
  <c r="I233" i="12"/>
  <c r="H233" i="12"/>
  <c r="G233" i="12"/>
  <c r="F233" i="12"/>
  <c r="E233" i="12"/>
  <c r="D233" i="12"/>
  <c r="C233" i="12"/>
  <c r="B233" i="12"/>
  <c r="A233" i="12"/>
  <c r="P232" i="12"/>
  <c r="O232" i="12"/>
  <c r="N232" i="12"/>
  <c r="M232" i="12"/>
  <c r="L232" i="12"/>
  <c r="K232" i="12"/>
  <c r="J232" i="12"/>
  <c r="I232" i="12"/>
  <c r="H232" i="12"/>
  <c r="G232" i="12"/>
  <c r="F232" i="12"/>
  <c r="E232" i="12"/>
  <c r="D232" i="12"/>
  <c r="C232" i="12"/>
  <c r="B232" i="12"/>
  <c r="A232" i="12"/>
  <c r="P231" i="12"/>
  <c r="O231" i="12"/>
  <c r="N231" i="12"/>
  <c r="M231" i="12"/>
  <c r="L231" i="12"/>
  <c r="K231" i="12"/>
  <c r="J231" i="12"/>
  <c r="I231" i="12"/>
  <c r="H231" i="12"/>
  <c r="G231" i="12"/>
  <c r="F231" i="12"/>
  <c r="E231" i="12"/>
  <c r="D231" i="12"/>
  <c r="C231" i="12"/>
  <c r="B231" i="12"/>
  <c r="A231" i="12"/>
  <c r="P230" i="12"/>
  <c r="O230" i="12"/>
  <c r="N230" i="12"/>
  <c r="M230" i="12"/>
  <c r="L230" i="12"/>
  <c r="K230" i="12"/>
  <c r="J230" i="12"/>
  <c r="I230" i="12"/>
  <c r="H230" i="12"/>
  <c r="G230" i="12"/>
  <c r="F230" i="12"/>
  <c r="E230" i="12"/>
  <c r="D230" i="12"/>
  <c r="C230" i="12"/>
  <c r="B230" i="12"/>
  <c r="A230" i="12"/>
  <c r="P229" i="12"/>
  <c r="O229" i="12"/>
  <c r="N229" i="12"/>
  <c r="M229" i="12"/>
  <c r="L229" i="12"/>
  <c r="K229" i="12"/>
  <c r="J229" i="12"/>
  <c r="I229" i="12"/>
  <c r="H229" i="12"/>
  <c r="G229" i="12"/>
  <c r="F229" i="12"/>
  <c r="E229" i="12"/>
  <c r="D229" i="12"/>
  <c r="C229" i="12"/>
  <c r="B229" i="12"/>
  <c r="A229" i="12"/>
  <c r="P228" i="12"/>
  <c r="O228" i="12"/>
  <c r="N228" i="12"/>
  <c r="M228" i="12"/>
  <c r="L228" i="12"/>
  <c r="K228" i="12"/>
  <c r="J228" i="12"/>
  <c r="I228" i="12"/>
  <c r="H228" i="12"/>
  <c r="G228" i="12"/>
  <c r="F228" i="12"/>
  <c r="E228" i="12"/>
  <c r="D228" i="12"/>
  <c r="C228" i="12"/>
  <c r="B228" i="12"/>
  <c r="A228" i="12"/>
  <c r="P227" i="12"/>
  <c r="O227" i="12"/>
  <c r="N227" i="12"/>
  <c r="M227" i="12"/>
  <c r="L227" i="12"/>
  <c r="K227" i="12"/>
  <c r="J227" i="12"/>
  <c r="I227" i="12"/>
  <c r="H227" i="12"/>
  <c r="G227" i="12"/>
  <c r="F227" i="12"/>
  <c r="E227" i="12"/>
  <c r="D227" i="12"/>
  <c r="C227" i="12"/>
  <c r="B227" i="12"/>
  <c r="A227" i="12"/>
  <c r="P226" i="12"/>
  <c r="O226" i="12"/>
  <c r="N226" i="12"/>
  <c r="M226" i="12"/>
  <c r="L226" i="12"/>
  <c r="K226" i="12"/>
  <c r="J226" i="12"/>
  <c r="I226" i="12"/>
  <c r="H226" i="12"/>
  <c r="G226" i="12"/>
  <c r="F226" i="12"/>
  <c r="E226" i="12"/>
  <c r="D226" i="12"/>
  <c r="C226" i="12"/>
  <c r="B226" i="12"/>
  <c r="A226" i="12"/>
  <c r="P225" i="12"/>
  <c r="O225" i="12"/>
  <c r="N225" i="12"/>
  <c r="M225" i="12"/>
  <c r="L225" i="12"/>
  <c r="K225" i="12"/>
  <c r="J225" i="12"/>
  <c r="I225" i="12"/>
  <c r="H225" i="12"/>
  <c r="G225" i="12"/>
  <c r="F225" i="12"/>
  <c r="E225" i="12"/>
  <c r="D225" i="12"/>
  <c r="C225" i="12"/>
  <c r="B225" i="12"/>
  <c r="A225" i="12"/>
  <c r="P224" i="12"/>
  <c r="O224" i="12"/>
  <c r="N224" i="12"/>
  <c r="M224" i="12"/>
  <c r="L224" i="12"/>
  <c r="K224" i="12"/>
  <c r="J224" i="12"/>
  <c r="I224" i="12"/>
  <c r="H224" i="12"/>
  <c r="G224" i="12"/>
  <c r="F224" i="12"/>
  <c r="E224" i="12"/>
  <c r="D224" i="12"/>
  <c r="C224" i="12"/>
  <c r="B224" i="12"/>
  <c r="A224" i="12"/>
  <c r="P223" i="12"/>
  <c r="O223" i="12"/>
  <c r="N223" i="12"/>
  <c r="M223" i="12"/>
  <c r="L223" i="12"/>
  <c r="K223" i="12"/>
  <c r="J223" i="12"/>
  <c r="I223" i="12"/>
  <c r="H223" i="12"/>
  <c r="G223" i="12"/>
  <c r="F223" i="12"/>
  <c r="E223" i="12"/>
  <c r="D223" i="12"/>
  <c r="C223" i="12"/>
  <c r="B223" i="12"/>
  <c r="A223" i="12"/>
  <c r="P222" i="12"/>
  <c r="O222" i="12"/>
  <c r="N222" i="12"/>
  <c r="M222" i="12"/>
  <c r="L222" i="12"/>
  <c r="K222" i="12"/>
  <c r="J222" i="12"/>
  <c r="I222" i="12"/>
  <c r="H222" i="12"/>
  <c r="G222" i="12"/>
  <c r="F222" i="12"/>
  <c r="E222" i="12"/>
  <c r="D222" i="12"/>
  <c r="C222" i="12"/>
  <c r="B222" i="12"/>
  <c r="A222" i="12"/>
  <c r="P221" i="12"/>
  <c r="O221" i="12"/>
  <c r="N221" i="12"/>
  <c r="M221" i="12"/>
  <c r="L221" i="12"/>
  <c r="K221" i="12"/>
  <c r="J221" i="12"/>
  <c r="I221" i="12"/>
  <c r="H221" i="12"/>
  <c r="G221" i="12"/>
  <c r="F221" i="12"/>
  <c r="E221" i="12"/>
  <c r="D221" i="12"/>
  <c r="C221" i="12"/>
  <c r="B221" i="12"/>
  <c r="A221" i="12"/>
  <c r="P220" i="12"/>
  <c r="O220" i="12"/>
  <c r="N220" i="12"/>
  <c r="M220" i="12"/>
  <c r="L220" i="12"/>
  <c r="K220" i="12"/>
  <c r="J220" i="12"/>
  <c r="I220" i="12"/>
  <c r="H220" i="12"/>
  <c r="G220" i="12"/>
  <c r="F220" i="12"/>
  <c r="E220" i="12"/>
  <c r="D220" i="12"/>
  <c r="C220" i="12"/>
  <c r="B220" i="12"/>
  <c r="A220" i="12"/>
  <c r="P219" i="12"/>
  <c r="O219" i="12"/>
  <c r="N219" i="12"/>
  <c r="M219" i="12"/>
  <c r="L219" i="12"/>
  <c r="K219" i="12"/>
  <c r="J219" i="12"/>
  <c r="I219" i="12"/>
  <c r="H219" i="12"/>
  <c r="G219" i="12"/>
  <c r="F219" i="12"/>
  <c r="E219" i="12"/>
  <c r="D219" i="12"/>
  <c r="C219" i="12"/>
  <c r="B219" i="12"/>
  <c r="A219" i="12"/>
  <c r="P218" i="12"/>
  <c r="O218" i="12"/>
  <c r="N218" i="12"/>
  <c r="M218" i="12"/>
  <c r="L218" i="12"/>
  <c r="K218" i="12"/>
  <c r="J218" i="12"/>
  <c r="I218" i="12"/>
  <c r="H218" i="12"/>
  <c r="G218" i="12"/>
  <c r="F218" i="12"/>
  <c r="E218" i="12"/>
  <c r="D218" i="12"/>
  <c r="C218" i="12"/>
  <c r="B218" i="12"/>
  <c r="A218" i="12"/>
  <c r="P217" i="12"/>
  <c r="O217" i="12"/>
  <c r="N217" i="12"/>
  <c r="M217" i="12"/>
  <c r="L217" i="12"/>
  <c r="K217" i="12"/>
  <c r="J217" i="12"/>
  <c r="I217" i="12"/>
  <c r="H217" i="12"/>
  <c r="G217" i="12"/>
  <c r="F217" i="12"/>
  <c r="E217" i="12"/>
  <c r="D217" i="12"/>
  <c r="C217" i="12"/>
  <c r="B217" i="12"/>
  <c r="A217" i="12"/>
  <c r="P216" i="12"/>
  <c r="O216" i="12"/>
  <c r="N216" i="12"/>
  <c r="M216" i="12"/>
  <c r="L216" i="12"/>
  <c r="K216" i="12"/>
  <c r="J216" i="12"/>
  <c r="I216" i="12"/>
  <c r="H216" i="12"/>
  <c r="G216" i="12"/>
  <c r="F216" i="12"/>
  <c r="E216" i="12"/>
  <c r="D216" i="12"/>
  <c r="C216" i="12"/>
  <c r="B216" i="12"/>
  <c r="A216" i="12"/>
  <c r="P215" i="12"/>
  <c r="O215" i="12"/>
  <c r="N215" i="12"/>
  <c r="M215" i="12"/>
  <c r="L215" i="12"/>
  <c r="K215" i="12"/>
  <c r="J215" i="12"/>
  <c r="I215" i="12"/>
  <c r="H215" i="12"/>
  <c r="G215" i="12"/>
  <c r="F215" i="12"/>
  <c r="E215" i="12"/>
  <c r="D215" i="12"/>
  <c r="C215" i="12"/>
  <c r="B215" i="12"/>
  <c r="A215" i="12"/>
  <c r="P214" i="12"/>
  <c r="O214" i="12"/>
  <c r="N214" i="12"/>
  <c r="M214" i="12"/>
  <c r="L214" i="12"/>
  <c r="K214" i="12"/>
  <c r="J214" i="12"/>
  <c r="I214" i="12"/>
  <c r="H214" i="12"/>
  <c r="G214" i="12"/>
  <c r="F214" i="12"/>
  <c r="E214" i="12"/>
  <c r="D214" i="12"/>
  <c r="C214" i="12"/>
  <c r="B214" i="12"/>
  <c r="A214" i="12"/>
  <c r="P213" i="12"/>
  <c r="O213" i="12"/>
  <c r="N213" i="12"/>
  <c r="M213" i="12"/>
  <c r="L213" i="12"/>
  <c r="K213" i="12"/>
  <c r="J213" i="12"/>
  <c r="I213" i="12"/>
  <c r="H213" i="12"/>
  <c r="G213" i="12"/>
  <c r="F213" i="12"/>
  <c r="E213" i="12"/>
  <c r="D213" i="12"/>
  <c r="C213" i="12"/>
  <c r="B213" i="12"/>
  <c r="A213" i="12"/>
  <c r="P212" i="12"/>
  <c r="O212" i="12"/>
  <c r="N212" i="12"/>
  <c r="M212" i="12"/>
  <c r="L212" i="12"/>
  <c r="K212" i="12"/>
  <c r="J212" i="12"/>
  <c r="I212" i="12"/>
  <c r="H212" i="12"/>
  <c r="G212" i="12"/>
  <c r="F212" i="12"/>
  <c r="E212" i="12"/>
  <c r="D212" i="12"/>
  <c r="C212" i="12"/>
  <c r="B212" i="12"/>
  <c r="A212" i="12"/>
  <c r="P211" i="12"/>
  <c r="O211" i="12"/>
  <c r="N211" i="12"/>
  <c r="M211" i="12"/>
  <c r="L211" i="12"/>
  <c r="K211" i="12"/>
  <c r="J211" i="12"/>
  <c r="I211" i="12"/>
  <c r="H211" i="12"/>
  <c r="G211" i="12"/>
  <c r="F211" i="12"/>
  <c r="E211" i="12"/>
  <c r="D211" i="12"/>
  <c r="C211" i="12"/>
  <c r="B211" i="12"/>
  <c r="A211" i="12"/>
  <c r="P210" i="12"/>
  <c r="O210" i="12"/>
  <c r="N210" i="12"/>
  <c r="M210" i="12"/>
  <c r="L210" i="12"/>
  <c r="K210" i="12"/>
  <c r="J210" i="12"/>
  <c r="I210" i="12"/>
  <c r="H210" i="12"/>
  <c r="G210" i="12"/>
  <c r="F210" i="12"/>
  <c r="E210" i="12"/>
  <c r="D210" i="12"/>
  <c r="C210" i="12"/>
  <c r="B210" i="12"/>
  <c r="A210" i="12"/>
  <c r="P209" i="12"/>
  <c r="O209" i="12"/>
  <c r="N209" i="12"/>
  <c r="M209" i="12"/>
  <c r="L209" i="12"/>
  <c r="K209" i="12"/>
  <c r="J209" i="12"/>
  <c r="I209" i="12"/>
  <c r="H209" i="12"/>
  <c r="G209" i="12"/>
  <c r="F209" i="12"/>
  <c r="E209" i="12"/>
  <c r="D209" i="12"/>
  <c r="C209" i="12"/>
  <c r="B209" i="12"/>
  <c r="A209" i="12"/>
  <c r="P208" i="12"/>
  <c r="O208" i="12"/>
  <c r="N208" i="12"/>
  <c r="M208" i="12"/>
  <c r="L208" i="12"/>
  <c r="K208" i="12"/>
  <c r="J208" i="12"/>
  <c r="I208" i="12"/>
  <c r="H208" i="12"/>
  <c r="G208" i="12"/>
  <c r="F208" i="12"/>
  <c r="E208" i="12"/>
  <c r="D208" i="12"/>
  <c r="C208" i="12"/>
  <c r="B208" i="12"/>
  <c r="A208" i="12"/>
  <c r="P207" i="12"/>
  <c r="O207" i="12"/>
  <c r="N207" i="12"/>
  <c r="M207" i="12"/>
  <c r="L207" i="12"/>
  <c r="K207" i="12"/>
  <c r="J207" i="12"/>
  <c r="I207" i="12"/>
  <c r="H207" i="12"/>
  <c r="G207" i="12"/>
  <c r="F207" i="12"/>
  <c r="E207" i="12"/>
  <c r="D207" i="12"/>
  <c r="C207" i="12"/>
  <c r="B207" i="12"/>
  <c r="A207" i="12"/>
  <c r="P206" i="12"/>
  <c r="O206" i="12"/>
  <c r="N206" i="12"/>
  <c r="M206" i="12"/>
  <c r="L206" i="12"/>
  <c r="K206" i="12"/>
  <c r="J206" i="12"/>
  <c r="I206" i="12"/>
  <c r="H206" i="12"/>
  <c r="G206" i="12"/>
  <c r="F206" i="12"/>
  <c r="E206" i="12"/>
  <c r="D206" i="12"/>
  <c r="C206" i="12"/>
  <c r="B206" i="12"/>
  <c r="A206" i="12"/>
  <c r="P205" i="12"/>
  <c r="O205" i="12"/>
  <c r="N205" i="12"/>
  <c r="M205" i="12"/>
  <c r="L205" i="12"/>
  <c r="K205" i="12"/>
  <c r="J205" i="12"/>
  <c r="I205" i="12"/>
  <c r="H205" i="12"/>
  <c r="G205" i="12"/>
  <c r="F205" i="12"/>
  <c r="E205" i="12"/>
  <c r="D205" i="12"/>
  <c r="C205" i="12"/>
  <c r="B205" i="12"/>
  <c r="A205" i="12"/>
  <c r="P204" i="12"/>
  <c r="O204" i="12"/>
  <c r="N204" i="12"/>
  <c r="M204" i="12"/>
  <c r="L204" i="12"/>
  <c r="K204" i="12"/>
  <c r="J204" i="12"/>
  <c r="I204" i="12"/>
  <c r="H204" i="12"/>
  <c r="G204" i="12"/>
  <c r="F204" i="12"/>
  <c r="E204" i="12"/>
  <c r="D204" i="12"/>
  <c r="C204" i="12"/>
  <c r="B204" i="12"/>
  <c r="A204" i="12"/>
  <c r="P203" i="12"/>
  <c r="O203" i="12"/>
  <c r="N203" i="12"/>
  <c r="M203" i="12"/>
  <c r="L203" i="12"/>
  <c r="K203" i="12"/>
  <c r="J203" i="12"/>
  <c r="I203" i="12"/>
  <c r="H203" i="12"/>
  <c r="G203" i="12"/>
  <c r="F203" i="12"/>
  <c r="E203" i="12"/>
  <c r="D203" i="12"/>
  <c r="C203" i="12"/>
  <c r="B203" i="12"/>
  <c r="A203" i="12"/>
  <c r="P202" i="12"/>
  <c r="O202" i="12"/>
  <c r="N202" i="12"/>
  <c r="M202" i="12"/>
  <c r="L202" i="12"/>
  <c r="K202" i="12"/>
  <c r="J202" i="12"/>
  <c r="I202" i="12"/>
  <c r="H202" i="12"/>
  <c r="G202" i="12"/>
  <c r="F202" i="12"/>
  <c r="E202" i="12"/>
  <c r="D202" i="12"/>
  <c r="C202" i="12"/>
  <c r="B202" i="12"/>
  <c r="A202" i="12"/>
  <c r="P201" i="12"/>
  <c r="O201" i="12"/>
  <c r="N201" i="12"/>
  <c r="M201" i="12"/>
  <c r="L201" i="12"/>
  <c r="K201" i="12"/>
  <c r="J201" i="12"/>
  <c r="I201" i="12"/>
  <c r="H201" i="12"/>
  <c r="G201" i="12"/>
  <c r="F201" i="12"/>
  <c r="E201" i="12"/>
  <c r="D201" i="12"/>
  <c r="C201" i="12"/>
  <c r="B201" i="12"/>
  <c r="A201" i="12"/>
  <c r="P200" i="12"/>
  <c r="O200" i="12"/>
  <c r="N200" i="12"/>
  <c r="M200" i="12"/>
  <c r="L200" i="12"/>
  <c r="K200" i="12"/>
  <c r="J200" i="12"/>
  <c r="I200" i="12"/>
  <c r="H200" i="12"/>
  <c r="G200" i="12"/>
  <c r="F200" i="12"/>
  <c r="E200" i="12"/>
  <c r="D200" i="12"/>
  <c r="C200" i="12"/>
  <c r="B200" i="12"/>
  <c r="A200" i="12"/>
  <c r="P199" i="12"/>
  <c r="O199" i="12"/>
  <c r="N199" i="12"/>
  <c r="M199" i="12"/>
  <c r="L199" i="12"/>
  <c r="K199" i="12"/>
  <c r="J199" i="12"/>
  <c r="I199" i="12"/>
  <c r="H199" i="12"/>
  <c r="G199" i="12"/>
  <c r="F199" i="12"/>
  <c r="E199" i="12"/>
  <c r="D199" i="12"/>
  <c r="C199" i="12"/>
  <c r="B199" i="12"/>
  <c r="A199" i="12"/>
  <c r="P198" i="12"/>
  <c r="O198" i="12"/>
  <c r="N198" i="12"/>
  <c r="M198" i="12"/>
  <c r="L198" i="12"/>
  <c r="K198" i="12"/>
  <c r="J198" i="12"/>
  <c r="I198" i="12"/>
  <c r="H198" i="12"/>
  <c r="G198" i="12"/>
  <c r="F198" i="12"/>
  <c r="E198" i="12"/>
  <c r="D198" i="12"/>
  <c r="C198" i="12"/>
  <c r="B198" i="12"/>
  <c r="A198" i="12"/>
  <c r="P197" i="12"/>
  <c r="O197" i="12"/>
  <c r="N197" i="12"/>
  <c r="M197" i="12"/>
  <c r="L197" i="12"/>
  <c r="K197" i="12"/>
  <c r="J197" i="12"/>
  <c r="I197" i="12"/>
  <c r="H197" i="12"/>
  <c r="G197" i="12"/>
  <c r="F197" i="12"/>
  <c r="E197" i="12"/>
  <c r="D197" i="12"/>
  <c r="C197" i="12"/>
  <c r="B197" i="12"/>
  <c r="A197" i="12"/>
  <c r="P196" i="12"/>
  <c r="O196" i="12"/>
  <c r="N196" i="12"/>
  <c r="M196" i="12"/>
  <c r="L196" i="12"/>
  <c r="K196" i="12"/>
  <c r="J196" i="12"/>
  <c r="I196" i="12"/>
  <c r="H196" i="12"/>
  <c r="G196" i="12"/>
  <c r="F196" i="12"/>
  <c r="E196" i="12"/>
  <c r="D196" i="12"/>
  <c r="C196" i="12"/>
  <c r="B196" i="12"/>
  <c r="A196" i="12"/>
  <c r="P195" i="12"/>
  <c r="O195" i="12"/>
  <c r="N195" i="12"/>
  <c r="M195" i="12"/>
  <c r="L195" i="12"/>
  <c r="K195" i="12"/>
  <c r="J195" i="12"/>
  <c r="I195" i="12"/>
  <c r="H195" i="12"/>
  <c r="G195" i="12"/>
  <c r="F195" i="12"/>
  <c r="E195" i="12"/>
  <c r="D195" i="12"/>
  <c r="C195" i="12"/>
  <c r="B195" i="12"/>
  <c r="A195" i="12"/>
  <c r="P194" i="12"/>
  <c r="O194" i="12"/>
  <c r="N194" i="12"/>
  <c r="M194" i="12"/>
  <c r="L194" i="12"/>
  <c r="K194" i="12"/>
  <c r="J194" i="12"/>
  <c r="I194" i="12"/>
  <c r="H194" i="12"/>
  <c r="G194" i="12"/>
  <c r="F194" i="12"/>
  <c r="E194" i="12"/>
  <c r="D194" i="12"/>
  <c r="C194" i="12"/>
  <c r="B194" i="12"/>
  <c r="A194" i="12"/>
  <c r="P193" i="12"/>
  <c r="O193" i="12"/>
  <c r="N193" i="12"/>
  <c r="M193" i="12"/>
  <c r="L193" i="12"/>
  <c r="K193" i="12"/>
  <c r="J193" i="12"/>
  <c r="I193" i="12"/>
  <c r="H193" i="12"/>
  <c r="G193" i="12"/>
  <c r="F193" i="12"/>
  <c r="E193" i="12"/>
  <c r="D193" i="12"/>
  <c r="C193" i="12"/>
  <c r="B193" i="12"/>
  <c r="A193" i="12"/>
  <c r="P192" i="12"/>
  <c r="O192" i="12"/>
  <c r="N192" i="12"/>
  <c r="M192" i="12"/>
  <c r="L192" i="12"/>
  <c r="K192" i="12"/>
  <c r="J192" i="12"/>
  <c r="I192" i="12"/>
  <c r="H192" i="12"/>
  <c r="G192" i="12"/>
  <c r="F192" i="12"/>
  <c r="E192" i="12"/>
  <c r="D192" i="12"/>
  <c r="C192" i="12"/>
  <c r="B192" i="12"/>
  <c r="A192" i="12"/>
  <c r="P191" i="12"/>
  <c r="O191" i="12"/>
  <c r="N191" i="12"/>
  <c r="M191" i="12"/>
  <c r="L191" i="12"/>
  <c r="K191" i="12"/>
  <c r="J191" i="12"/>
  <c r="I191" i="12"/>
  <c r="H191" i="12"/>
  <c r="G191" i="12"/>
  <c r="F191" i="12"/>
  <c r="E191" i="12"/>
  <c r="D191" i="12"/>
  <c r="C191" i="12"/>
  <c r="B191" i="12"/>
  <c r="A191" i="12"/>
  <c r="P190" i="12"/>
  <c r="O190" i="12"/>
  <c r="N190" i="12"/>
  <c r="M190" i="12"/>
  <c r="L190" i="12"/>
  <c r="K190" i="12"/>
  <c r="J190" i="12"/>
  <c r="I190" i="12"/>
  <c r="H190" i="12"/>
  <c r="G190" i="12"/>
  <c r="F190" i="12"/>
  <c r="E190" i="12"/>
  <c r="D190" i="12"/>
  <c r="C190" i="12"/>
  <c r="B190" i="12"/>
  <c r="A190" i="12"/>
  <c r="P189" i="12"/>
  <c r="O189" i="12"/>
  <c r="N189" i="12"/>
  <c r="M189" i="12"/>
  <c r="L189" i="12"/>
  <c r="K189" i="12"/>
  <c r="J189" i="12"/>
  <c r="I189" i="12"/>
  <c r="H189" i="12"/>
  <c r="G189" i="12"/>
  <c r="F189" i="12"/>
  <c r="E189" i="12"/>
  <c r="D189" i="12"/>
  <c r="C189" i="12"/>
  <c r="B189" i="12"/>
  <c r="A189" i="12"/>
  <c r="P188" i="12"/>
  <c r="O188" i="12"/>
  <c r="N188" i="12"/>
  <c r="M188" i="12"/>
  <c r="L188" i="12"/>
  <c r="K188" i="12"/>
  <c r="J188" i="12"/>
  <c r="I188" i="12"/>
  <c r="H188" i="12"/>
  <c r="G188" i="12"/>
  <c r="F188" i="12"/>
  <c r="E188" i="12"/>
  <c r="D188" i="12"/>
  <c r="C188" i="12"/>
  <c r="B188" i="12"/>
  <c r="A188" i="12"/>
  <c r="P187" i="12"/>
  <c r="O187" i="12"/>
  <c r="N187" i="12"/>
  <c r="M187" i="12"/>
  <c r="L187" i="12"/>
  <c r="K187" i="12"/>
  <c r="J187" i="12"/>
  <c r="I187" i="12"/>
  <c r="H187" i="12"/>
  <c r="G187" i="12"/>
  <c r="F187" i="12"/>
  <c r="E187" i="12"/>
  <c r="D187" i="12"/>
  <c r="C187" i="12"/>
  <c r="B187" i="12"/>
  <c r="A187" i="12"/>
  <c r="P186" i="12"/>
  <c r="O186" i="12"/>
  <c r="N186" i="12"/>
  <c r="M186" i="12"/>
  <c r="L186" i="12"/>
  <c r="K186" i="12"/>
  <c r="J186" i="12"/>
  <c r="I186" i="12"/>
  <c r="H186" i="12"/>
  <c r="G186" i="12"/>
  <c r="F186" i="12"/>
  <c r="E186" i="12"/>
  <c r="D186" i="12"/>
  <c r="C186" i="12"/>
  <c r="B186" i="12"/>
  <c r="A186" i="12"/>
  <c r="P185" i="12"/>
  <c r="O185" i="12"/>
  <c r="N185" i="12"/>
  <c r="M185" i="12"/>
  <c r="L185" i="12"/>
  <c r="K185" i="12"/>
  <c r="J185" i="12"/>
  <c r="I185" i="12"/>
  <c r="H185" i="12"/>
  <c r="G185" i="12"/>
  <c r="F185" i="12"/>
  <c r="E185" i="12"/>
  <c r="D185" i="12"/>
  <c r="C185" i="12"/>
  <c r="B185" i="12"/>
  <c r="A185" i="12"/>
  <c r="P184" i="12"/>
  <c r="O184" i="12"/>
  <c r="N184" i="12"/>
  <c r="M184" i="12"/>
  <c r="L184" i="12"/>
  <c r="K184" i="12"/>
  <c r="J184" i="12"/>
  <c r="I184" i="12"/>
  <c r="H184" i="12"/>
  <c r="G184" i="12"/>
  <c r="F184" i="12"/>
  <c r="E184" i="12"/>
  <c r="D184" i="12"/>
  <c r="C184" i="12"/>
  <c r="B184" i="12"/>
  <c r="A184" i="12"/>
  <c r="P183" i="12"/>
  <c r="O183" i="12"/>
  <c r="N183" i="12"/>
  <c r="M183" i="12"/>
  <c r="L183" i="12"/>
  <c r="K183" i="12"/>
  <c r="J183" i="12"/>
  <c r="I183" i="12"/>
  <c r="H183" i="12"/>
  <c r="G183" i="12"/>
  <c r="F183" i="12"/>
  <c r="E183" i="12"/>
  <c r="D183" i="12"/>
  <c r="C183" i="12"/>
  <c r="B183" i="12"/>
  <c r="A183" i="12"/>
  <c r="P182" i="12"/>
  <c r="O182" i="12"/>
  <c r="N182" i="12"/>
  <c r="M182" i="12"/>
  <c r="L182" i="12"/>
  <c r="K182" i="12"/>
  <c r="J182" i="12"/>
  <c r="I182" i="12"/>
  <c r="H182" i="12"/>
  <c r="G182" i="12"/>
  <c r="F182" i="12"/>
  <c r="E182" i="12"/>
  <c r="D182" i="12"/>
  <c r="C182" i="12"/>
  <c r="B182" i="12"/>
  <c r="A182" i="12"/>
  <c r="P181" i="12"/>
  <c r="O181" i="12"/>
  <c r="N181" i="12"/>
  <c r="M181" i="12"/>
  <c r="L181" i="12"/>
  <c r="K181" i="12"/>
  <c r="J181" i="12"/>
  <c r="I181" i="12"/>
  <c r="H181" i="12"/>
  <c r="G181" i="12"/>
  <c r="F181" i="12"/>
  <c r="E181" i="12"/>
  <c r="D181" i="12"/>
  <c r="C181" i="12"/>
  <c r="B181" i="12"/>
  <c r="A181" i="12"/>
  <c r="P180" i="12"/>
  <c r="O180" i="12"/>
  <c r="N180" i="12"/>
  <c r="M180" i="12"/>
  <c r="L180" i="12"/>
  <c r="K180" i="12"/>
  <c r="J180" i="12"/>
  <c r="I180" i="12"/>
  <c r="H180" i="12"/>
  <c r="G180" i="12"/>
  <c r="F180" i="12"/>
  <c r="E180" i="12"/>
  <c r="D180" i="12"/>
  <c r="C180" i="12"/>
  <c r="B180" i="12"/>
  <c r="A180" i="12"/>
  <c r="P179" i="12"/>
  <c r="O179" i="12"/>
  <c r="N179" i="12"/>
  <c r="M179" i="12"/>
  <c r="L179" i="12"/>
  <c r="K179" i="12"/>
  <c r="J179" i="12"/>
  <c r="I179" i="12"/>
  <c r="H179" i="12"/>
  <c r="G179" i="12"/>
  <c r="F179" i="12"/>
  <c r="E179" i="12"/>
  <c r="D179" i="12"/>
  <c r="C179" i="12"/>
  <c r="B179" i="12"/>
  <c r="A179" i="12"/>
  <c r="P178" i="12"/>
  <c r="O178" i="12"/>
  <c r="N178" i="12"/>
  <c r="M178" i="12"/>
  <c r="L178" i="12"/>
  <c r="K178" i="12"/>
  <c r="J178" i="12"/>
  <c r="I178" i="12"/>
  <c r="H178" i="12"/>
  <c r="G178" i="12"/>
  <c r="F178" i="12"/>
  <c r="E178" i="12"/>
  <c r="D178" i="12"/>
  <c r="C178" i="12"/>
  <c r="B178" i="12"/>
  <c r="A178" i="12"/>
  <c r="P177" i="12"/>
  <c r="O177" i="12"/>
  <c r="N177" i="12"/>
  <c r="M177" i="12"/>
  <c r="L177" i="12"/>
  <c r="K177" i="12"/>
  <c r="J177" i="12"/>
  <c r="I177" i="12"/>
  <c r="H177" i="12"/>
  <c r="G177" i="12"/>
  <c r="F177" i="12"/>
  <c r="E177" i="12"/>
  <c r="D177" i="12"/>
  <c r="C177" i="12"/>
  <c r="B177" i="12"/>
  <c r="A177" i="12"/>
  <c r="P176" i="12"/>
  <c r="O176" i="12"/>
  <c r="N176" i="12"/>
  <c r="M176" i="12"/>
  <c r="L176" i="12"/>
  <c r="K176" i="12"/>
  <c r="J176" i="12"/>
  <c r="I176" i="12"/>
  <c r="H176" i="12"/>
  <c r="G176" i="12"/>
  <c r="F176" i="12"/>
  <c r="E176" i="12"/>
  <c r="D176" i="12"/>
  <c r="C176" i="12"/>
  <c r="B176" i="12"/>
  <c r="A176" i="12"/>
  <c r="P175" i="12"/>
  <c r="O175" i="12"/>
  <c r="N175" i="12"/>
  <c r="M175" i="12"/>
  <c r="L175" i="12"/>
  <c r="K175" i="12"/>
  <c r="J175" i="12"/>
  <c r="I175" i="12"/>
  <c r="H175" i="12"/>
  <c r="G175" i="12"/>
  <c r="F175" i="12"/>
  <c r="E175" i="12"/>
  <c r="D175" i="12"/>
  <c r="C175" i="12"/>
  <c r="B175" i="12"/>
  <c r="A175" i="12"/>
  <c r="P174" i="12"/>
  <c r="O174" i="12"/>
  <c r="N174" i="12"/>
  <c r="M174" i="12"/>
  <c r="L174" i="12"/>
  <c r="K174" i="12"/>
  <c r="J174" i="12"/>
  <c r="I174" i="12"/>
  <c r="H174" i="12"/>
  <c r="G174" i="12"/>
  <c r="F174" i="12"/>
  <c r="E174" i="12"/>
  <c r="D174" i="12"/>
  <c r="C174" i="12"/>
  <c r="B174" i="12"/>
  <c r="A174" i="12"/>
  <c r="P173" i="12"/>
  <c r="O173" i="12"/>
  <c r="N173" i="12"/>
  <c r="M173" i="12"/>
  <c r="L173" i="12"/>
  <c r="K173" i="12"/>
  <c r="J173" i="12"/>
  <c r="I173" i="12"/>
  <c r="H173" i="12"/>
  <c r="G173" i="12"/>
  <c r="F173" i="12"/>
  <c r="E173" i="12"/>
  <c r="D173" i="12"/>
  <c r="C173" i="12"/>
  <c r="B173" i="12"/>
  <c r="A173" i="12"/>
  <c r="P172" i="12"/>
  <c r="O172" i="12"/>
  <c r="N172" i="12"/>
  <c r="M172" i="12"/>
  <c r="L172" i="12"/>
  <c r="K172" i="12"/>
  <c r="J172" i="12"/>
  <c r="I172" i="12"/>
  <c r="H172" i="12"/>
  <c r="G172" i="12"/>
  <c r="F172" i="12"/>
  <c r="E172" i="12"/>
  <c r="D172" i="12"/>
  <c r="C172" i="12"/>
  <c r="B172" i="12"/>
  <c r="A172" i="12"/>
  <c r="P171" i="12"/>
  <c r="O171" i="12"/>
  <c r="N171" i="12"/>
  <c r="M171" i="12"/>
  <c r="L171" i="12"/>
  <c r="K171" i="12"/>
  <c r="J171" i="12"/>
  <c r="I171" i="12"/>
  <c r="H171" i="12"/>
  <c r="G171" i="12"/>
  <c r="F171" i="12"/>
  <c r="E171" i="12"/>
  <c r="D171" i="12"/>
  <c r="C171" i="12"/>
  <c r="B171" i="12"/>
  <c r="A171" i="12"/>
  <c r="P170" i="12"/>
  <c r="O170" i="12"/>
  <c r="N170" i="12"/>
  <c r="M170" i="12"/>
  <c r="L170" i="12"/>
  <c r="K170" i="12"/>
  <c r="J170" i="12"/>
  <c r="I170" i="12"/>
  <c r="H170" i="12"/>
  <c r="G170" i="12"/>
  <c r="F170" i="12"/>
  <c r="E170" i="12"/>
  <c r="D170" i="12"/>
  <c r="C170" i="12"/>
  <c r="B170" i="12"/>
  <c r="A170" i="12"/>
  <c r="P169" i="12"/>
  <c r="O169" i="12"/>
  <c r="N169" i="12"/>
  <c r="M169" i="12"/>
  <c r="L169" i="12"/>
  <c r="K169" i="12"/>
  <c r="J169" i="12"/>
  <c r="I169" i="12"/>
  <c r="H169" i="12"/>
  <c r="G169" i="12"/>
  <c r="F169" i="12"/>
  <c r="E169" i="12"/>
  <c r="D169" i="12"/>
  <c r="C169" i="12"/>
  <c r="B169" i="12"/>
  <c r="A169" i="12"/>
  <c r="P168" i="12"/>
  <c r="O168" i="12"/>
  <c r="N168" i="12"/>
  <c r="M168" i="12"/>
  <c r="L168" i="12"/>
  <c r="K168" i="12"/>
  <c r="J168" i="12"/>
  <c r="I168" i="12"/>
  <c r="H168" i="12"/>
  <c r="G168" i="12"/>
  <c r="F168" i="12"/>
  <c r="E168" i="12"/>
  <c r="D168" i="12"/>
  <c r="C168" i="12"/>
  <c r="B168" i="12"/>
  <c r="A168" i="12"/>
  <c r="P167" i="12"/>
  <c r="O167" i="12"/>
  <c r="N167" i="12"/>
  <c r="M167" i="12"/>
  <c r="L167" i="12"/>
  <c r="K167" i="12"/>
  <c r="J167" i="12"/>
  <c r="I167" i="12"/>
  <c r="H167" i="12"/>
  <c r="G167" i="12"/>
  <c r="F167" i="12"/>
  <c r="E167" i="12"/>
  <c r="D167" i="12"/>
  <c r="C167" i="12"/>
  <c r="B167" i="12"/>
  <c r="A167" i="12"/>
  <c r="P166" i="12"/>
  <c r="O166" i="12"/>
  <c r="N166" i="12"/>
  <c r="M166" i="12"/>
  <c r="L166" i="12"/>
  <c r="K166" i="12"/>
  <c r="J166" i="12"/>
  <c r="I166" i="12"/>
  <c r="H166" i="12"/>
  <c r="G166" i="12"/>
  <c r="F166" i="12"/>
  <c r="E166" i="12"/>
  <c r="D166" i="12"/>
  <c r="C166" i="12"/>
  <c r="B166" i="12"/>
  <c r="A166" i="12"/>
  <c r="P165" i="12"/>
  <c r="O165" i="12"/>
  <c r="N165" i="12"/>
  <c r="M165" i="12"/>
  <c r="L165" i="12"/>
  <c r="K165" i="12"/>
  <c r="J165" i="12"/>
  <c r="I165" i="12"/>
  <c r="H165" i="12"/>
  <c r="G165" i="12"/>
  <c r="F165" i="12"/>
  <c r="E165" i="12"/>
  <c r="D165" i="12"/>
  <c r="C165" i="12"/>
  <c r="B165" i="12"/>
  <c r="A165" i="12"/>
  <c r="P164" i="12"/>
  <c r="O164" i="12"/>
  <c r="N164" i="12"/>
  <c r="M164" i="12"/>
  <c r="L164" i="12"/>
  <c r="K164" i="12"/>
  <c r="J164" i="12"/>
  <c r="I164" i="12"/>
  <c r="H164" i="12"/>
  <c r="G164" i="12"/>
  <c r="F164" i="12"/>
  <c r="E164" i="12"/>
  <c r="D164" i="12"/>
  <c r="C164" i="12"/>
  <c r="B164" i="12"/>
  <c r="A164" i="12"/>
  <c r="P163" i="12"/>
  <c r="O163" i="12"/>
  <c r="N163" i="12"/>
  <c r="M163" i="12"/>
  <c r="L163" i="12"/>
  <c r="K163" i="12"/>
  <c r="J163" i="12"/>
  <c r="I163" i="12"/>
  <c r="H163" i="12"/>
  <c r="G163" i="12"/>
  <c r="F163" i="12"/>
  <c r="E163" i="12"/>
  <c r="D163" i="12"/>
  <c r="C163" i="12"/>
  <c r="B163" i="12"/>
  <c r="A163" i="12"/>
  <c r="P162" i="12"/>
  <c r="O162" i="12"/>
  <c r="N162" i="12"/>
  <c r="M162" i="12"/>
  <c r="L162" i="12"/>
  <c r="K162" i="12"/>
  <c r="J162" i="12"/>
  <c r="I162" i="12"/>
  <c r="H162" i="12"/>
  <c r="G162" i="12"/>
  <c r="F162" i="12"/>
  <c r="E162" i="12"/>
  <c r="D162" i="12"/>
  <c r="C162" i="12"/>
  <c r="B162" i="12"/>
  <c r="A162" i="12"/>
  <c r="P161" i="12"/>
  <c r="O161" i="12"/>
  <c r="N161" i="12"/>
  <c r="M161" i="12"/>
  <c r="L161" i="12"/>
  <c r="K161" i="12"/>
  <c r="J161" i="12"/>
  <c r="I161" i="12"/>
  <c r="H161" i="12"/>
  <c r="G161" i="12"/>
  <c r="F161" i="12"/>
  <c r="E161" i="12"/>
  <c r="D161" i="12"/>
  <c r="C161" i="12"/>
  <c r="B161" i="12"/>
  <c r="A161" i="12"/>
  <c r="P160" i="12"/>
  <c r="O160" i="12"/>
  <c r="N160" i="12"/>
  <c r="M160" i="12"/>
  <c r="L160" i="12"/>
  <c r="K160" i="12"/>
  <c r="J160" i="12"/>
  <c r="I160" i="12"/>
  <c r="H160" i="12"/>
  <c r="G160" i="12"/>
  <c r="F160" i="12"/>
  <c r="E160" i="12"/>
  <c r="D160" i="12"/>
  <c r="C160" i="12"/>
  <c r="B160" i="12"/>
  <c r="A160" i="12"/>
  <c r="P159" i="12"/>
  <c r="O159" i="12"/>
  <c r="N159" i="12"/>
  <c r="M159" i="12"/>
  <c r="L159" i="12"/>
  <c r="K159" i="12"/>
  <c r="J159" i="12"/>
  <c r="I159" i="12"/>
  <c r="H159" i="12"/>
  <c r="G159" i="12"/>
  <c r="F159" i="12"/>
  <c r="E159" i="12"/>
  <c r="D159" i="12"/>
  <c r="C159" i="12"/>
  <c r="B159" i="12"/>
  <c r="A159" i="12"/>
  <c r="P158" i="12"/>
  <c r="O158" i="12"/>
  <c r="N158" i="12"/>
  <c r="M158" i="12"/>
  <c r="L158" i="12"/>
  <c r="K158" i="12"/>
  <c r="J158" i="12"/>
  <c r="I158" i="12"/>
  <c r="H158" i="12"/>
  <c r="G158" i="12"/>
  <c r="F158" i="12"/>
  <c r="E158" i="12"/>
  <c r="D158" i="12"/>
  <c r="C158" i="12"/>
  <c r="B158" i="12"/>
  <c r="A158" i="12"/>
  <c r="P157" i="12"/>
  <c r="O157" i="12"/>
  <c r="N157" i="12"/>
  <c r="M157" i="12"/>
  <c r="L157" i="12"/>
  <c r="K157" i="12"/>
  <c r="J157" i="12"/>
  <c r="I157" i="12"/>
  <c r="H157" i="12"/>
  <c r="G157" i="12"/>
  <c r="F157" i="12"/>
  <c r="E157" i="12"/>
  <c r="D157" i="12"/>
  <c r="C157" i="12"/>
  <c r="B157" i="12"/>
  <c r="A157" i="12"/>
  <c r="P156" i="12"/>
  <c r="O156" i="12"/>
  <c r="N156" i="12"/>
  <c r="M156" i="12"/>
  <c r="L156" i="12"/>
  <c r="K156" i="12"/>
  <c r="J156" i="12"/>
  <c r="I156" i="12"/>
  <c r="H156" i="12"/>
  <c r="G156" i="12"/>
  <c r="F156" i="12"/>
  <c r="E156" i="12"/>
  <c r="D156" i="12"/>
  <c r="C156" i="12"/>
  <c r="B156" i="12"/>
  <c r="A156" i="12"/>
  <c r="P155" i="12"/>
  <c r="O155" i="12"/>
  <c r="N155" i="12"/>
  <c r="M155" i="12"/>
  <c r="L155" i="12"/>
  <c r="K155" i="12"/>
  <c r="J155" i="12"/>
  <c r="I155" i="12"/>
  <c r="H155" i="12"/>
  <c r="G155" i="12"/>
  <c r="F155" i="12"/>
  <c r="E155" i="12"/>
  <c r="D155" i="12"/>
  <c r="C155" i="12"/>
  <c r="B155" i="12"/>
  <c r="A155" i="12"/>
  <c r="P154" i="12"/>
  <c r="O154" i="12"/>
  <c r="N154" i="12"/>
  <c r="M154" i="12"/>
  <c r="L154" i="12"/>
  <c r="K154" i="12"/>
  <c r="J154" i="12"/>
  <c r="I154" i="12"/>
  <c r="H154" i="12"/>
  <c r="G154" i="12"/>
  <c r="F154" i="12"/>
  <c r="E154" i="12"/>
  <c r="D154" i="12"/>
  <c r="C154" i="12"/>
  <c r="B154" i="12"/>
  <c r="A154" i="12"/>
  <c r="P153" i="12"/>
  <c r="O153" i="12"/>
  <c r="N153" i="12"/>
  <c r="M153" i="12"/>
  <c r="L153" i="12"/>
  <c r="K153" i="12"/>
  <c r="J153" i="12"/>
  <c r="I153" i="12"/>
  <c r="H153" i="12"/>
  <c r="G153" i="12"/>
  <c r="F153" i="12"/>
  <c r="E153" i="12"/>
  <c r="D153" i="12"/>
  <c r="C153" i="12"/>
  <c r="B153" i="12"/>
  <c r="A153" i="12"/>
  <c r="P152" i="12"/>
  <c r="O152" i="12"/>
  <c r="N152" i="12"/>
  <c r="M152" i="12"/>
  <c r="L152" i="12"/>
  <c r="K152" i="12"/>
  <c r="J152" i="12"/>
  <c r="I152" i="12"/>
  <c r="H152" i="12"/>
  <c r="G152" i="12"/>
  <c r="F152" i="12"/>
  <c r="E152" i="12"/>
  <c r="D152" i="12"/>
  <c r="C152" i="12"/>
  <c r="B152" i="12"/>
  <c r="A152" i="12"/>
  <c r="P151" i="12"/>
  <c r="O151" i="12"/>
  <c r="N151" i="12"/>
  <c r="M151" i="12"/>
  <c r="L151" i="12"/>
  <c r="K151" i="12"/>
  <c r="J151" i="12"/>
  <c r="I151" i="12"/>
  <c r="H151" i="12"/>
  <c r="G151" i="12"/>
  <c r="F151" i="12"/>
  <c r="E151" i="12"/>
  <c r="D151" i="12"/>
  <c r="C151" i="12"/>
  <c r="B151" i="12"/>
  <c r="A151" i="12"/>
  <c r="P150" i="12"/>
  <c r="O150" i="12"/>
  <c r="N150" i="12"/>
  <c r="M150" i="12"/>
  <c r="L150" i="12"/>
  <c r="K150" i="12"/>
  <c r="J150" i="12"/>
  <c r="I150" i="12"/>
  <c r="H150" i="12"/>
  <c r="G150" i="12"/>
  <c r="F150" i="12"/>
  <c r="E150" i="12"/>
  <c r="D150" i="12"/>
  <c r="C150" i="12"/>
  <c r="B150" i="12"/>
  <c r="A150" i="12"/>
  <c r="P149" i="12"/>
  <c r="O149" i="12"/>
  <c r="N149" i="12"/>
  <c r="M149" i="12"/>
  <c r="L149" i="12"/>
  <c r="K149" i="12"/>
  <c r="J149" i="12"/>
  <c r="I149" i="12"/>
  <c r="H149" i="12"/>
  <c r="G149" i="12"/>
  <c r="F149" i="12"/>
  <c r="E149" i="12"/>
  <c r="D149" i="12"/>
  <c r="C149" i="12"/>
  <c r="B149" i="12"/>
  <c r="A149" i="12"/>
  <c r="P148" i="12"/>
  <c r="O148" i="12"/>
  <c r="N148" i="12"/>
  <c r="M148" i="12"/>
  <c r="L148" i="12"/>
  <c r="K148" i="12"/>
  <c r="J148" i="12"/>
  <c r="I148" i="12"/>
  <c r="H148" i="12"/>
  <c r="G148" i="12"/>
  <c r="F148" i="12"/>
  <c r="E148" i="12"/>
  <c r="D148" i="12"/>
  <c r="C148" i="12"/>
  <c r="B148" i="12"/>
  <c r="A148" i="12"/>
  <c r="P147" i="12"/>
  <c r="O147" i="12"/>
  <c r="N147" i="12"/>
  <c r="M147" i="12"/>
  <c r="L147" i="12"/>
  <c r="K147" i="12"/>
  <c r="J147" i="12"/>
  <c r="I147" i="12"/>
  <c r="H147" i="12"/>
  <c r="G147" i="12"/>
  <c r="F147" i="12"/>
  <c r="E147" i="12"/>
  <c r="D147" i="12"/>
  <c r="C147" i="12"/>
  <c r="B147" i="12"/>
  <c r="A147" i="12"/>
  <c r="P146" i="12"/>
  <c r="O146" i="12"/>
  <c r="N146" i="12"/>
  <c r="M146" i="12"/>
  <c r="L146" i="12"/>
  <c r="K146" i="12"/>
  <c r="J146" i="12"/>
  <c r="I146" i="12"/>
  <c r="H146" i="12"/>
  <c r="G146" i="12"/>
  <c r="F146" i="12"/>
  <c r="E146" i="12"/>
  <c r="D146" i="12"/>
  <c r="C146" i="12"/>
  <c r="B146" i="12"/>
  <c r="A146" i="12"/>
  <c r="P145" i="12"/>
  <c r="O145" i="12"/>
  <c r="N145" i="12"/>
  <c r="M145" i="12"/>
  <c r="L145" i="12"/>
  <c r="K145" i="12"/>
  <c r="J145" i="12"/>
  <c r="I145" i="12"/>
  <c r="H145" i="12"/>
  <c r="G145" i="12"/>
  <c r="F145" i="12"/>
  <c r="E145" i="12"/>
  <c r="D145" i="12"/>
  <c r="C145" i="12"/>
  <c r="B145" i="12"/>
  <c r="A145" i="12"/>
  <c r="P144" i="12"/>
  <c r="O144" i="12"/>
  <c r="N144" i="12"/>
  <c r="M144" i="12"/>
  <c r="L144" i="12"/>
  <c r="K144" i="12"/>
  <c r="J144" i="12"/>
  <c r="I144" i="12"/>
  <c r="H144" i="12"/>
  <c r="G144" i="12"/>
  <c r="F144" i="12"/>
  <c r="E144" i="12"/>
  <c r="D144" i="12"/>
  <c r="C144" i="12"/>
  <c r="B144" i="12"/>
  <c r="A144" i="12"/>
  <c r="P143" i="12"/>
  <c r="O143" i="12"/>
  <c r="N143" i="12"/>
  <c r="M143" i="12"/>
  <c r="L143" i="12"/>
  <c r="K143" i="12"/>
  <c r="J143" i="12"/>
  <c r="I143" i="12"/>
  <c r="H143" i="12"/>
  <c r="G143" i="12"/>
  <c r="F143" i="12"/>
  <c r="E143" i="12"/>
  <c r="D143" i="12"/>
  <c r="C143" i="12"/>
  <c r="B143" i="12"/>
  <c r="A143" i="12"/>
  <c r="P142" i="12"/>
  <c r="O142" i="12"/>
  <c r="N142" i="12"/>
  <c r="M142" i="12"/>
  <c r="L142" i="12"/>
  <c r="K142" i="12"/>
  <c r="J142" i="12"/>
  <c r="I142" i="12"/>
  <c r="H142" i="12"/>
  <c r="G142" i="12"/>
  <c r="F142" i="12"/>
  <c r="E142" i="12"/>
  <c r="D142" i="12"/>
  <c r="C142" i="12"/>
  <c r="B142" i="12"/>
  <c r="A142" i="12"/>
  <c r="P141" i="12"/>
  <c r="O141" i="12"/>
  <c r="N141" i="12"/>
  <c r="M141" i="12"/>
  <c r="L141" i="12"/>
  <c r="K141" i="12"/>
  <c r="J141" i="12"/>
  <c r="I141" i="12"/>
  <c r="H141" i="12"/>
  <c r="G141" i="12"/>
  <c r="F141" i="12"/>
  <c r="E141" i="12"/>
  <c r="D141" i="12"/>
  <c r="C141" i="12"/>
  <c r="B141" i="12"/>
  <c r="A141" i="12"/>
  <c r="P140" i="12"/>
  <c r="O140" i="12"/>
  <c r="N140" i="12"/>
  <c r="M140" i="12"/>
  <c r="L140" i="12"/>
  <c r="K140" i="12"/>
  <c r="J140" i="12"/>
  <c r="I140" i="12"/>
  <c r="H140" i="12"/>
  <c r="G140" i="12"/>
  <c r="F140" i="12"/>
  <c r="E140" i="12"/>
  <c r="D140" i="12"/>
  <c r="C140" i="12"/>
  <c r="B140" i="12"/>
  <c r="A140" i="12"/>
  <c r="P139" i="12"/>
  <c r="O139" i="12"/>
  <c r="N139" i="12"/>
  <c r="M139" i="12"/>
  <c r="L139" i="12"/>
  <c r="K139" i="12"/>
  <c r="J139" i="12"/>
  <c r="I139" i="12"/>
  <c r="H139" i="12"/>
  <c r="G139" i="12"/>
  <c r="F139" i="12"/>
  <c r="E139" i="12"/>
  <c r="D139" i="12"/>
  <c r="C139" i="12"/>
  <c r="B139" i="12"/>
  <c r="A139" i="12"/>
  <c r="P138" i="12"/>
  <c r="O138" i="12"/>
  <c r="N138" i="12"/>
  <c r="M138" i="12"/>
  <c r="L138" i="12"/>
  <c r="K138" i="12"/>
  <c r="J138" i="12"/>
  <c r="I138" i="12"/>
  <c r="H138" i="12"/>
  <c r="G138" i="12"/>
  <c r="F138" i="12"/>
  <c r="E138" i="12"/>
  <c r="D138" i="12"/>
  <c r="C138" i="12"/>
  <c r="B138" i="12"/>
  <c r="A138" i="12"/>
  <c r="P137" i="12"/>
  <c r="O137" i="12"/>
  <c r="N137" i="12"/>
  <c r="M137" i="12"/>
  <c r="L137" i="12"/>
  <c r="K137" i="12"/>
  <c r="J137" i="12"/>
  <c r="I137" i="12"/>
  <c r="H137" i="12"/>
  <c r="G137" i="12"/>
  <c r="F137" i="12"/>
  <c r="E137" i="12"/>
  <c r="D137" i="12"/>
  <c r="C137" i="12"/>
  <c r="B137" i="12"/>
  <c r="A137" i="12"/>
  <c r="P136" i="12"/>
  <c r="O136" i="12"/>
  <c r="N136" i="12"/>
  <c r="M136" i="12"/>
  <c r="L136" i="12"/>
  <c r="K136" i="12"/>
  <c r="J136" i="12"/>
  <c r="I136" i="12"/>
  <c r="H136" i="12"/>
  <c r="G136" i="12"/>
  <c r="F136" i="12"/>
  <c r="E136" i="12"/>
  <c r="D136" i="12"/>
  <c r="C136" i="12"/>
  <c r="B136" i="12"/>
  <c r="A136" i="12"/>
  <c r="P135" i="12"/>
  <c r="O135" i="12"/>
  <c r="N135" i="12"/>
  <c r="M135" i="12"/>
  <c r="L135" i="12"/>
  <c r="K135" i="12"/>
  <c r="J135" i="12"/>
  <c r="I135" i="12"/>
  <c r="H135" i="12"/>
  <c r="G135" i="12"/>
  <c r="F135" i="12"/>
  <c r="E135" i="12"/>
  <c r="D135" i="12"/>
  <c r="C135" i="12"/>
  <c r="B135" i="12"/>
  <c r="A135" i="12"/>
  <c r="P134" i="12"/>
  <c r="O134" i="12"/>
  <c r="N134" i="12"/>
  <c r="M134" i="12"/>
  <c r="L134" i="12"/>
  <c r="K134" i="12"/>
  <c r="J134" i="12"/>
  <c r="I134" i="12"/>
  <c r="H134" i="12"/>
  <c r="G134" i="12"/>
  <c r="F134" i="12"/>
  <c r="E134" i="12"/>
  <c r="D134" i="12"/>
  <c r="C134" i="12"/>
  <c r="B134" i="12"/>
  <c r="A134" i="12"/>
  <c r="P133" i="12"/>
  <c r="O133" i="12"/>
  <c r="N133" i="12"/>
  <c r="M133" i="12"/>
  <c r="L133" i="12"/>
  <c r="K133" i="12"/>
  <c r="J133" i="12"/>
  <c r="I133" i="12"/>
  <c r="H133" i="12"/>
  <c r="G133" i="12"/>
  <c r="F133" i="12"/>
  <c r="E133" i="12"/>
  <c r="D133" i="12"/>
  <c r="C133" i="12"/>
  <c r="B133" i="12"/>
  <c r="A133" i="12"/>
  <c r="P132" i="12"/>
  <c r="O132" i="12"/>
  <c r="N132" i="12"/>
  <c r="M132" i="12"/>
  <c r="L132" i="12"/>
  <c r="K132" i="12"/>
  <c r="J132" i="12"/>
  <c r="I132" i="12"/>
  <c r="H132" i="12"/>
  <c r="G132" i="12"/>
  <c r="F132" i="12"/>
  <c r="E132" i="12"/>
  <c r="D132" i="12"/>
  <c r="C132" i="12"/>
  <c r="B132" i="12"/>
  <c r="A132" i="12"/>
  <c r="P131" i="12"/>
  <c r="O131" i="12"/>
  <c r="N131" i="12"/>
  <c r="M131" i="12"/>
  <c r="L131" i="12"/>
  <c r="K131" i="12"/>
  <c r="J131" i="12"/>
  <c r="I131" i="12"/>
  <c r="H131" i="12"/>
  <c r="G131" i="12"/>
  <c r="F131" i="12"/>
  <c r="E131" i="12"/>
  <c r="D131" i="12"/>
  <c r="C131" i="12"/>
  <c r="B131" i="12"/>
  <c r="A131" i="12"/>
  <c r="P130" i="12"/>
  <c r="O130" i="12"/>
  <c r="N130" i="12"/>
  <c r="M130" i="12"/>
  <c r="L130" i="12"/>
  <c r="K130" i="12"/>
  <c r="J130" i="12"/>
  <c r="I130" i="12"/>
  <c r="H130" i="12"/>
  <c r="G130" i="12"/>
  <c r="F130" i="12"/>
  <c r="E130" i="12"/>
  <c r="D130" i="12"/>
  <c r="C130" i="12"/>
  <c r="B130" i="12"/>
  <c r="A130" i="12"/>
  <c r="P129" i="12"/>
  <c r="O129" i="12"/>
  <c r="N129" i="12"/>
  <c r="M129" i="12"/>
  <c r="L129" i="12"/>
  <c r="K129" i="12"/>
  <c r="J129" i="12"/>
  <c r="I129" i="12"/>
  <c r="H129" i="12"/>
  <c r="G129" i="12"/>
  <c r="F129" i="12"/>
  <c r="E129" i="12"/>
  <c r="D129" i="12"/>
  <c r="C129" i="12"/>
  <c r="B129" i="12"/>
  <c r="A129" i="12"/>
  <c r="P128" i="12"/>
  <c r="O128" i="12"/>
  <c r="N128" i="12"/>
  <c r="M128" i="12"/>
  <c r="L128" i="12"/>
  <c r="K128" i="12"/>
  <c r="J128" i="12"/>
  <c r="I128" i="12"/>
  <c r="H128" i="12"/>
  <c r="G128" i="12"/>
  <c r="F128" i="12"/>
  <c r="E128" i="12"/>
  <c r="D128" i="12"/>
  <c r="C128" i="12"/>
  <c r="B128" i="12"/>
  <c r="A128" i="12"/>
  <c r="P127" i="12"/>
  <c r="O127" i="12"/>
  <c r="N127" i="12"/>
  <c r="M127" i="12"/>
  <c r="L127" i="12"/>
  <c r="K127" i="12"/>
  <c r="J127" i="12"/>
  <c r="I127" i="12"/>
  <c r="H127" i="12"/>
  <c r="G127" i="12"/>
  <c r="F127" i="12"/>
  <c r="E127" i="12"/>
  <c r="D127" i="12"/>
  <c r="C127" i="12"/>
  <c r="B127" i="12"/>
  <c r="A127" i="12"/>
  <c r="P126" i="12"/>
  <c r="O126" i="12"/>
  <c r="N126" i="12"/>
  <c r="M126" i="12"/>
  <c r="L126" i="12"/>
  <c r="K126" i="12"/>
  <c r="J126" i="12"/>
  <c r="I126" i="12"/>
  <c r="H126" i="12"/>
  <c r="G126" i="12"/>
  <c r="F126" i="12"/>
  <c r="E126" i="12"/>
  <c r="D126" i="12"/>
  <c r="C126" i="12"/>
  <c r="B126" i="12"/>
  <c r="A126" i="12"/>
  <c r="P125" i="12"/>
  <c r="O125" i="12"/>
  <c r="N125" i="12"/>
  <c r="M125" i="12"/>
  <c r="L125" i="12"/>
  <c r="K125" i="12"/>
  <c r="J125" i="12"/>
  <c r="I125" i="12"/>
  <c r="H125" i="12"/>
  <c r="G125" i="12"/>
  <c r="F125" i="12"/>
  <c r="E125" i="12"/>
  <c r="D125" i="12"/>
  <c r="C125" i="12"/>
  <c r="B125" i="12"/>
  <c r="A125" i="12"/>
  <c r="P124" i="12"/>
  <c r="O124" i="12"/>
  <c r="N124" i="12"/>
  <c r="M124" i="12"/>
  <c r="L124" i="12"/>
  <c r="K124" i="12"/>
  <c r="J124" i="12"/>
  <c r="I124" i="12"/>
  <c r="H124" i="12"/>
  <c r="G124" i="12"/>
  <c r="F124" i="12"/>
  <c r="E124" i="12"/>
  <c r="D124" i="12"/>
  <c r="C124" i="12"/>
  <c r="B124" i="12"/>
  <c r="A124" i="12"/>
  <c r="P123" i="12"/>
  <c r="O123" i="12"/>
  <c r="N123" i="12"/>
  <c r="M123" i="12"/>
  <c r="L123" i="12"/>
  <c r="K123" i="12"/>
  <c r="J123" i="12"/>
  <c r="I123" i="12"/>
  <c r="H123" i="12"/>
  <c r="G123" i="12"/>
  <c r="F123" i="12"/>
  <c r="E123" i="12"/>
  <c r="D123" i="12"/>
  <c r="C123" i="12"/>
  <c r="B123" i="12"/>
  <c r="A123" i="12"/>
  <c r="P122" i="12"/>
  <c r="O122" i="12"/>
  <c r="N122" i="12"/>
  <c r="M122" i="12"/>
  <c r="L122" i="12"/>
  <c r="K122" i="12"/>
  <c r="J122" i="12"/>
  <c r="I122" i="12"/>
  <c r="H122" i="12"/>
  <c r="G122" i="12"/>
  <c r="F122" i="12"/>
  <c r="E122" i="12"/>
  <c r="D122" i="12"/>
  <c r="C122" i="12"/>
  <c r="B122" i="12"/>
  <c r="A122" i="12"/>
  <c r="P121" i="12"/>
  <c r="O121" i="12"/>
  <c r="N121" i="12"/>
  <c r="M121" i="12"/>
  <c r="L121" i="12"/>
  <c r="K121" i="12"/>
  <c r="J121" i="12"/>
  <c r="I121" i="12"/>
  <c r="H121" i="12"/>
  <c r="G121" i="12"/>
  <c r="F121" i="12"/>
  <c r="E121" i="12"/>
  <c r="D121" i="12"/>
  <c r="C121" i="12"/>
  <c r="B121" i="12"/>
  <c r="A121" i="12"/>
  <c r="P120" i="12"/>
  <c r="O120" i="12"/>
  <c r="N120" i="12"/>
  <c r="M120" i="12"/>
  <c r="L120" i="12"/>
  <c r="K120" i="12"/>
  <c r="J120" i="12"/>
  <c r="I120" i="12"/>
  <c r="H120" i="12"/>
  <c r="G120" i="12"/>
  <c r="F120" i="12"/>
  <c r="E120" i="12"/>
  <c r="D120" i="12"/>
  <c r="C120" i="12"/>
  <c r="B120" i="12"/>
  <c r="A120" i="12"/>
  <c r="P119" i="12"/>
  <c r="O119" i="12"/>
  <c r="N119" i="12"/>
  <c r="M119" i="12"/>
  <c r="L119" i="12"/>
  <c r="K119" i="12"/>
  <c r="J119" i="12"/>
  <c r="I119" i="12"/>
  <c r="H119" i="12"/>
  <c r="G119" i="12"/>
  <c r="F119" i="12"/>
  <c r="E119" i="12"/>
  <c r="D119" i="12"/>
  <c r="C119" i="12"/>
  <c r="B119" i="12"/>
  <c r="A119" i="12"/>
  <c r="P118" i="12"/>
  <c r="O118" i="12"/>
  <c r="N118" i="12"/>
  <c r="M118" i="12"/>
  <c r="L118" i="12"/>
  <c r="K118" i="12"/>
  <c r="J118" i="12"/>
  <c r="I118" i="12"/>
  <c r="H118" i="12"/>
  <c r="G118" i="12"/>
  <c r="F118" i="12"/>
  <c r="E118" i="12"/>
  <c r="D118" i="12"/>
  <c r="C118" i="12"/>
  <c r="B118" i="12"/>
  <c r="A118" i="12"/>
  <c r="P117" i="12"/>
  <c r="O117" i="12"/>
  <c r="N117" i="12"/>
  <c r="M117" i="12"/>
  <c r="L117" i="12"/>
  <c r="K117" i="12"/>
  <c r="J117" i="12"/>
  <c r="I117" i="12"/>
  <c r="H117" i="12"/>
  <c r="G117" i="12"/>
  <c r="F117" i="12"/>
  <c r="E117" i="12"/>
  <c r="D117" i="12"/>
  <c r="C117" i="12"/>
  <c r="B117" i="12"/>
  <c r="A117" i="12"/>
  <c r="P116" i="12"/>
  <c r="O116" i="12"/>
  <c r="N116" i="12"/>
  <c r="M116" i="12"/>
  <c r="L116" i="12"/>
  <c r="K116" i="12"/>
  <c r="J116" i="12"/>
  <c r="I116" i="12"/>
  <c r="H116" i="12"/>
  <c r="G116" i="12"/>
  <c r="F116" i="12"/>
  <c r="E116" i="12"/>
  <c r="D116" i="12"/>
  <c r="C116" i="12"/>
  <c r="B116" i="12"/>
  <c r="A116" i="12"/>
  <c r="P115" i="12"/>
  <c r="O115" i="12"/>
  <c r="N115" i="12"/>
  <c r="M115" i="12"/>
  <c r="L115" i="12"/>
  <c r="K115" i="12"/>
  <c r="J115" i="12"/>
  <c r="I115" i="12"/>
  <c r="H115" i="12"/>
  <c r="G115" i="12"/>
  <c r="F115" i="12"/>
  <c r="E115" i="12"/>
  <c r="D115" i="12"/>
  <c r="C115" i="12"/>
  <c r="B115" i="12"/>
  <c r="A115" i="12"/>
  <c r="P114" i="12"/>
  <c r="O114" i="12"/>
  <c r="N114" i="12"/>
  <c r="M114" i="12"/>
  <c r="L114" i="12"/>
  <c r="K114" i="12"/>
  <c r="J114" i="12"/>
  <c r="I114" i="12"/>
  <c r="H114" i="12"/>
  <c r="G114" i="12"/>
  <c r="F114" i="12"/>
  <c r="E114" i="12"/>
  <c r="D114" i="12"/>
  <c r="C114" i="12"/>
  <c r="B114" i="12"/>
  <c r="A114" i="12"/>
  <c r="P113" i="12"/>
  <c r="O113" i="12"/>
  <c r="N113" i="12"/>
  <c r="M113" i="12"/>
  <c r="L113" i="12"/>
  <c r="K113" i="12"/>
  <c r="J113" i="12"/>
  <c r="I113" i="12"/>
  <c r="H113" i="12"/>
  <c r="G113" i="12"/>
  <c r="F113" i="12"/>
  <c r="E113" i="12"/>
  <c r="D113" i="12"/>
  <c r="C113" i="12"/>
  <c r="B113" i="12"/>
  <c r="A113" i="12"/>
  <c r="P112" i="12"/>
  <c r="O112" i="12"/>
  <c r="N112" i="12"/>
  <c r="M112" i="12"/>
  <c r="L112" i="12"/>
  <c r="K112" i="12"/>
  <c r="J112" i="12"/>
  <c r="I112" i="12"/>
  <c r="H112" i="12"/>
  <c r="G112" i="12"/>
  <c r="F112" i="12"/>
  <c r="E112" i="12"/>
  <c r="D112" i="12"/>
  <c r="C112" i="12"/>
  <c r="B112" i="12"/>
  <c r="A112" i="12"/>
  <c r="P111" i="12"/>
  <c r="O111" i="12"/>
  <c r="N111" i="12"/>
  <c r="M111" i="12"/>
  <c r="L111" i="12"/>
  <c r="K111" i="12"/>
  <c r="J111" i="12"/>
  <c r="I111" i="12"/>
  <c r="H111" i="12"/>
  <c r="G111" i="12"/>
  <c r="F111" i="12"/>
  <c r="E111" i="12"/>
  <c r="D111" i="12"/>
  <c r="C111" i="12"/>
  <c r="B111" i="12"/>
  <c r="A111" i="12"/>
  <c r="P110" i="12"/>
  <c r="O110" i="12"/>
  <c r="N110" i="12"/>
  <c r="M110" i="12"/>
  <c r="L110" i="12"/>
  <c r="K110" i="12"/>
  <c r="J110" i="12"/>
  <c r="I110" i="12"/>
  <c r="H110" i="12"/>
  <c r="G110" i="12"/>
  <c r="F110" i="12"/>
  <c r="E110" i="12"/>
  <c r="D110" i="12"/>
  <c r="C110" i="12"/>
  <c r="B110" i="12"/>
  <c r="A110" i="12"/>
  <c r="P109" i="12"/>
  <c r="O109" i="12"/>
  <c r="N109" i="12"/>
  <c r="M109" i="12"/>
  <c r="L109" i="12"/>
  <c r="K109" i="12"/>
  <c r="J109" i="12"/>
  <c r="I109" i="12"/>
  <c r="H109" i="12"/>
  <c r="G109" i="12"/>
  <c r="F109" i="12"/>
  <c r="E109" i="12"/>
  <c r="D109" i="12"/>
  <c r="C109" i="12"/>
  <c r="B109" i="12"/>
  <c r="A109" i="12"/>
  <c r="P108" i="12"/>
  <c r="O108" i="12"/>
  <c r="N108" i="12"/>
  <c r="M108" i="12"/>
  <c r="L108" i="12"/>
  <c r="K108" i="12"/>
  <c r="J108" i="12"/>
  <c r="I108" i="12"/>
  <c r="H108" i="12"/>
  <c r="G108" i="12"/>
  <c r="F108" i="12"/>
  <c r="E108" i="12"/>
  <c r="D108" i="12"/>
  <c r="C108" i="12"/>
  <c r="B108" i="12"/>
  <c r="A108" i="12"/>
  <c r="P107" i="12"/>
  <c r="O107" i="12"/>
  <c r="N107" i="12"/>
  <c r="M107" i="12"/>
  <c r="L107" i="12"/>
  <c r="K107" i="12"/>
  <c r="J107" i="12"/>
  <c r="I107" i="12"/>
  <c r="H107" i="12"/>
  <c r="G107" i="12"/>
  <c r="F107" i="12"/>
  <c r="E107" i="12"/>
  <c r="D107" i="12"/>
  <c r="C107" i="12"/>
  <c r="B107" i="12"/>
  <c r="A107" i="12"/>
  <c r="P106" i="12"/>
  <c r="O106" i="12"/>
  <c r="N106" i="12"/>
  <c r="M106" i="12"/>
  <c r="L106" i="12"/>
  <c r="K106" i="12"/>
  <c r="J106" i="12"/>
  <c r="I106" i="12"/>
  <c r="H106" i="12"/>
  <c r="G106" i="12"/>
  <c r="F106" i="12"/>
  <c r="E106" i="12"/>
  <c r="D106" i="12"/>
  <c r="C106" i="12"/>
  <c r="B106" i="12"/>
  <c r="A106" i="12"/>
  <c r="P105" i="12"/>
  <c r="O105" i="12"/>
  <c r="N105" i="12"/>
  <c r="M105" i="12"/>
  <c r="L105" i="12"/>
  <c r="K105" i="12"/>
  <c r="J105" i="12"/>
  <c r="I105" i="12"/>
  <c r="H105" i="12"/>
  <c r="G105" i="12"/>
  <c r="F105" i="12"/>
  <c r="E105" i="12"/>
  <c r="D105" i="12"/>
  <c r="C105" i="12"/>
  <c r="B105" i="12"/>
  <c r="A105" i="12"/>
  <c r="P104" i="12"/>
  <c r="O104" i="12"/>
  <c r="N104" i="12"/>
  <c r="M104" i="12"/>
  <c r="L104" i="12"/>
  <c r="K104" i="12"/>
  <c r="J104" i="12"/>
  <c r="I104" i="12"/>
  <c r="H104" i="12"/>
  <c r="G104" i="12"/>
  <c r="F104" i="12"/>
  <c r="E104" i="12"/>
  <c r="D104" i="12"/>
  <c r="C104" i="12"/>
  <c r="B104" i="12"/>
  <c r="A104" i="12"/>
  <c r="P103" i="12"/>
  <c r="O103" i="12"/>
  <c r="N103" i="12"/>
  <c r="M103" i="12"/>
  <c r="L103" i="12"/>
  <c r="K103" i="12"/>
  <c r="J103" i="12"/>
  <c r="I103" i="12"/>
  <c r="H103" i="12"/>
  <c r="G103" i="12"/>
  <c r="F103" i="12"/>
  <c r="E103" i="12"/>
  <c r="D103" i="12"/>
  <c r="C103" i="12"/>
  <c r="B103" i="12"/>
  <c r="A103" i="12"/>
  <c r="P102" i="12"/>
  <c r="O102" i="12"/>
  <c r="N102" i="12"/>
  <c r="M102" i="12"/>
  <c r="L102" i="12"/>
  <c r="K102" i="12"/>
  <c r="J102" i="12"/>
  <c r="I102" i="12"/>
  <c r="H102" i="12"/>
  <c r="G102" i="12"/>
  <c r="F102" i="12"/>
  <c r="E102" i="12"/>
  <c r="D102" i="12"/>
  <c r="C102" i="12"/>
  <c r="B102" i="12"/>
  <c r="A102" i="12"/>
  <c r="P101" i="12"/>
  <c r="O101" i="12"/>
  <c r="N101" i="12"/>
  <c r="M101" i="12"/>
  <c r="L101" i="12"/>
  <c r="K101" i="12"/>
  <c r="J101" i="12"/>
  <c r="I101" i="12"/>
  <c r="H101" i="12"/>
  <c r="G101" i="12"/>
  <c r="F101" i="12"/>
  <c r="E101" i="12"/>
  <c r="D101" i="12"/>
  <c r="C101" i="12"/>
  <c r="B101" i="12"/>
  <c r="A101" i="12"/>
  <c r="P100" i="12"/>
  <c r="O100" i="12"/>
  <c r="N100" i="12"/>
  <c r="M100" i="12"/>
  <c r="L100" i="12"/>
  <c r="K100" i="12"/>
  <c r="J100" i="12"/>
  <c r="I100" i="12"/>
  <c r="H100" i="12"/>
  <c r="G100" i="12"/>
  <c r="F100" i="12"/>
  <c r="E100" i="12"/>
  <c r="D100" i="12"/>
  <c r="C100" i="12"/>
  <c r="B100" i="12"/>
  <c r="A100" i="12"/>
  <c r="P99" i="12"/>
  <c r="O99" i="12"/>
  <c r="N99" i="12"/>
  <c r="M99" i="12"/>
  <c r="L99" i="12"/>
  <c r="K99" i="12"/>
  <c r="J99" i="12"/>
  <c r="I99" i="12"/>
  <c r="H99" i="12"/>
  <c r="G99" i="12"/>
  <c r="F99" i="12"/>
  <c r="E99" i="12"/>
  <c r="D99" i="12"/>
  <c r="C99" i="12"/>
  <c r="B99" i="12"/>
  <c r="A99" i="12"/>
  <c r="P98" i="12"/>
  <c r="O98" i="12"/>
  <c r="N98" i="12"/>
  <c r="M98" i="12"/>
  <c r="L98" i="12"/>
  <c r="K98" i="12"/>
  <c r="J98" i="12"/>
  <c r="I98" i="12"/>
  <c r="H98" i="12"/>
  <c r="G98" i="12"/>
  <c r="F98" i="12"/>
  <c r="E98" i="12"/>
  <c r="D98" i="12"/>
  <c r="C98" i="12"/>
  <c r="B98" i="12"/>
  <c r="A98" i="12"/>
  <c r="P97" i="12"/>
  <c r="O97" i="12"/>
  <c r="N97" i="12"/>
  <c r="M97" i="12"/>
  <c r="L97" i="12"/>
  <c r="K97" i="12"/>
  <c r="J97" i="12"/>
  <c r="I97" i="12"/>
  <c r="H97" i="12"/>
  <c r="G97" i="12"/>
  <c r="F97" i="12"/>
  <c r="E97" i="12"/>
  <c r="D97" i="12"/>
  <c r="C97" i="12"/>
  <c r="B97" i="12"/>
  <c r="A97" i="12"/>
  <c r="P96" i="12"/>
  <c r="O96" i="12"/>
  <c r="N96" i="12"/>
  <c r="M96" i="12"/>
  <c r="L96" i="12"/>
  <c r="K96" i="12"/>
  <c r="J96" i="12"/>
  <c r="I96" i="12"/>
  <c r="H96" i="12"/>
  <c r="G96" i="12"/>
  <c r="F96" i="12"/>
  <c r="E96" i="12"/>
  <c r="D96" i="12"/>
  <c r="C96" i="12"/>
  <c r="B96" i="12"/>
  <c r="A96" i="12"/>
  <c r="P95" i="12"/>
  <c r="O95" i="12"/>
  <c r="N95" i="12"/>
  <c r="M95" i="12"/>
  <c r="L95" i="12"/>
  <c r="K95" i="12"/>
  <c r="J95" i="12"/>
  <c r="I95" i="12"/>
  <c r="H95" i="12"/>
  <c r="G95" i="12"/>
  <c r="F95" i="12"/>
  <c r="E95" i="12"/>
  <c r="D95" i="12"/>
  <c r="C95" i="12"/>
  <c r="B95" i="12"/>
  <c r="A95" i="12"/>
  <c r="P94" i="12"/>
  <c r="O94" i="12"/>
  <c r="N94" i="12"/>
  <c r="M94" i="12"/>
  <c r="L94" i="12"/>
  <c r="K94" i="12"/>
  <c r="J94" i="12"/>
  <c r="I94" i="12"/>
  <c r="H94" i="12"/>
  <c r="G94" i="12"/>
  <c r="F94" i="12"/>
  <c r="E94" i="12"/>
  <c r="D94" i="12"/>
  <c r="C94" i="12"/>
  <c r="B94" i="12"/>
  <c r="A94" i="12"/>
  <c r="P93" i="12"/>
  <c r="O93" i="12"/>
  <c r="N93" i="12"/>
  <c r="M93" i="12"/>
  <c r="L93" i="12"/>
  <c r="K93" i="12"/>
  <c r="J93" i="12"/>
  <c r="I93" i="12"/>
  <c r="H93" i="12"/>
  <c r="G93" i="12"/>
  <c r="F93" i="12"/>
  <c r="E93" i="12"/>
  <c r="D93" i="12"/>
  <c r="C93" i="12"/>
  <c r="B93" i="12"/>
  <c r="A93" i="12"/>
  <c r="P92" i="12"/>
  <c r="O92" i="12"/>
  <c r="N92" i="12"/>
  <c r="M92" i="12"/>
  <c r="L92" i="12"/>
  <c r="K92" i="12"/>
  <c r="J92" i="12"/>
  <c r="I92" i="12"/>
  <c r="H92" i="12"/>
  <c r="G92" i="12"/>
  <c r="F92" i="12"/>
  <c r="E92" i="12"/>
  <c r="D92" i="12"/>
  <c r="C92" i="12"/>
  <c r="B92" i="12"/>
  <c r="A92" i="12"/>
  <c r="P91" i="12"/>
  <c r="O91" i="12"/>
  <c r="N91" i="12"/>
  <c r="M91" i="12"/>
  <c r="L91" i="12"/>
  <c r="K91" i="12"/>
  <c r="J91" i="12"/>
  <c r="I91" i="12"/>
  <c r="H91" i="12"/>
  <c r="G91" i="12"/>
  <c r="F91" i="12"/>
  <c r="E91" i="12"/>
  <c r="D91" i="12"/>
  <c r="C91" i="12"/>
  <c r="B91" i="12"/>
  <c r="A91" i="12"/>
  <c r="P90" i="12"/>
  <c r="O90" i="12"/>
  <c r="N90" i="12"/>
  <c r="M90" i="12"/>
  <c r="L90" i="12"/>
  <c r="K90" i="12"/>
  <c r="J90" i="12"/>
  <c r="I90" i="12"/>
  <c r="H90" i="12"/>
  <c r="G90" i="12"/>
  <c r="F90" i="12"/>
  <c r="E90" i="12"/>
  <c r="D90" i="12"/>
  <c r="C90" i="12"/>
  <c r="B90" i="12"/>
  <c r="A90" i="12"/>
  <c r="P89" i="12"/>
  <c r="O89" i="12"/>
  <c r="N89" i="12"/>
  <c r="M89" i="12"/>
  <c r="L89" i="12"/>
  <c r="K89" i="12"/>
  <c r="J89" i="12"/>
  <c r="I89" i="12"/>
  <c r="H89" i="12"/>
  <c r="G89" i="12"/>
  <c r="F89" i="12"/>
  <c r="E89" i="12"/>
  <c r="D89" i="12"/>
  <c r="C89" i="12"/>
  <c r="B89" i="12"/>
  <c r="A89" i="12"/>
  <c r="P88" i="12"/>
  <c r="O88" i="12"/>
  <c r="N88" i="12"/>
  <c r="M88" i="12"/>
  <c r="L88" i="12"/>
  <c r="K88" i="12"/>
  <c r="J88" i="12"/>
  <c r="I88" i="12"/>
  <c r="H88" i="12"/>
  <c r="G88" i="12"/>
  <c r="F88" i="12"/>
  <c r="E88" i="12"/>
  <c r="D88" i="12"/>
  <c r="C88" i="12"/>
  <c r="B88" i="12"/>
  <c r="A88" i="12"/>
  <c r="P87" i="12"/>
  <c r="O87" i="12"/>
  <c r="N87" i="12"/>
  <c r="M87" i="12"/>
  <c r="L87" i="12"/>
  <c r="K87" i="12"/>
  <c r="J87" i="12"/>
  <c r="I87" i="12"/>
  <c r="H87" i="12"/>
  <c r="G87" i="12"/>
  <c r="F87" i="12"/>
  <c r="E87" i="12"/>
  <c r="D87" i="12"/>
  <c r="C87" i="12"/>
  <c r="B87" i="12"/>
  <c r="A87" i="12"/>
  <c r="P86" i="12"/>
  <c r="O86" i="12"/>
  <c r="N86" i="12"/>
  <c r="M86" i="12"/>
  <c r="L86" i="12"/>
  <c r="K86" i="12"/>
  <c r="J86" i="12"/>
  <c r="I86" i="12"/>
  <c r="H86" i="12"/>
  <c r="G86" i="12"/>
  <c r="F86" i="12"/>
  <c r="E86" i="12"/>
  <c r="D86" i="12"/>
  <c r="C86" i="12"/>
  <c r="B86" i="12"/>
  <c r="A86" i="12"/>
  <c r="P85" i="12"/>
  <c r="O85" i="12"/>
  <c r="N85" i="12"/>
  <c r="M85" i="12"/>
  <c r="L85" i="12"/>
  <c r="K85" i="12"/>
  <c r="J85" i="12"/>
  <c r="I85" i="12"/>
  <c r="H85" i="12"/>
  <c r="G85" i="12"/>
  <c r="F85" i="12"/>
  <c r="E85" i="12"/>
  <c r="D85" i="12"/>
  <c r="C85" i="12"/>
  <c r="B85" i="12"/>
  <c r="A85" i="12"/>
  <c r="P84" i="12"/>
  <c r="O84" i="12"/>
  <c r="N84" i="12"/>
  <c r="M84" i="12"/>
  <c r="L84" i="12"/>
  <c r="K84" i="12"/>
  <c r="J84" i="12"/>
  <c r="I84" i="12"/>
  <c r="H84" i="12"/>
  <c r="G84" i="12"/>
  <c r="F84" i="12"/>
  <c r="E84" i="12"/>
  <c r="D84" i="12"/>
  <c r="C84" i="12"/>
  <c r="B84" i="12"/>
  <c r="A84" i="12"/>
  <c r="P83" i="12"/>
  <c r="O83" i="12"/>
  <c r="N83" i="12"/>
  <c r="M83" i="12"/>
  <c r="L83" i="12"/>
  <c r="K83" i="12"/>
  <c r="J83" i="12"/>
  <c r="I83" i="12"/>
  <c r="H83" i="12"/>
  <c r="G83" i="12"/>
  <c r="F83" i="12"/>
  <c r="E83" i="12"/>
  <c r="D83" i="12"/>
  <c r="C83" i="12"/>
  <c r="B83" i="12"/>
  <c r="A83" i="12"/>
  <c r="P82" i="12"/>
  <c r="O82" i="12"/>
  <c r="N82" i="12"/>
  <c r="M82" i="12"/>
  <c r="L82" i="12"/>
  <c r="K82" i="12"/>
  <c r="J82" i="12"/>
  <c r="I82" i="12"/>
  <c r="H82" i="12"/>
  <c r="G82" i="12"/>
  <c r="F82" i="12"/>
  <c r="E82" i="12"/>
  <c r="D82" i="12"/>
  <c r="C82" i="12"/>
  <c r="B82" i="12"/>
  <c r="A82" i="12"/>
  <c r="P81" i="12"/>
  <c r="O81" i="12"/>
  <c r="N81" i="12"/>
  <c r="M81" i="12"/>
  <c r="L81" i="12"/>
  <c r="K81" i="12"/>
  <c r="J81" i="12"/>
  <c r="I81" i="12"/>
  <c r="H81" i="12"/>
  <c r="G81" i="12"/>
  <c r="F81" i="12"/>
  <c r="E81" i="12"/>
  <c r="D81" i="12"/>
  <c r="C81" i="12"/>
  <c r="B81" i="12"/>
  <c r="A81" i="12"/>
  <c r="P80" i="12"/>
  <c r="O80" i="12"/>
  <c r="N80" i="12"/>
  <c r="M80" i="12"/>
  <c r="L80" i="12"/>
  <c r="K80" i="12"/>
  <c r="J80" i="12"/>
  <c r="I80" i="12"/>
  <c r="H80" i="12"/>
  <c r="G80" i="12"/>
  <c r="F80" i="12"/>
  <c r="E80" i="12"/>
  <c r="D80" i="12"/>
  <c r="C80" i="12"/>
  <c r="B80" i="12"/>
  <c r="A80" i="12"/>
  <c r="P79" i="12"/>
  <c r="O79" i="12"/>
  <c r="N79" i="12"/>
  <c r="M79" i="12"/>
  <c r="L79" i="12"/>
  <c r="K79" i="12"/>
  <c r="J79" i="12"/>
  <c r="I79" i="12"/>
  <c r="H79" i="12"/>
  <c r="G79" i="12"/>
  <c r="F79" i="12"/>
  <c r="E79" i="12"/>
  <c r="D79" i="12"/>
  <c r="C79" i="12"/>
  <c r="B79" i="12"/>
  <c r="A79" i="12"/>
  <c r="P78" i="12"/>
  <c r="O78" i="12"/>
  <c r="N78" i="12"/>
  <c r="M78" i="12"/>
  <c r="L78" i="12"/>
  <c r="K78" i="12"/>
  <c r="J78" i="12"/>
  <c r="I78" i="12"/>
  <c r="H78" i="12"/>
  <c r="G78" i="12"/>
  <c r="F78" i="12"/>
  <c r="E78" i="12"/>
  <c r="D78" i="12"/>
  <c r="C78" i="12"/>
  <c r="B78" i="12"/>
  <c r="A78" i="12"/>
  <c r="P77" i="12"/>
  <c r="O77" i="12"/>
  <c r="N77" i="12"/>
  <c r="M77" i="12"/>
  <c r="L77" i="12"/>
  <c r="K77" i="12"/>
  <c r="J77" i="12"/>
  <c r="I77" i="12"/>
  <c r="H77" i="12"/>
  <c r="G77" i="12"/>
  <c r="F77" i="12"/>
  <c r="E77" i="12"/>
  <c r="D77" i="12"/>
  <c r="C77" i="12"/>
  <c r="B77" i="12"/>
  <c r="A77" i="12"/>
  <c r="P76" i="12"/>
  <c r="O76" i="12"/>
  <c r="N76" i="12"/>
  <c r="M76" i="12"/>
  <c r="L76" i="12"/>
  <c r="K76" i="12"/>
  <c r="J76" i="12"/>
  <c r="I76" i="12"/>
  <c r="H76" i="12"/>
  <c r="G76" i="12"/>
  <c r="F76" i="12"/>
  <c r="E76" i="12"/>
  <c r="D76" i="12"/>
  <c r="C76" i="12"/>
  <c r="B76" i="12"/>
  <c r="A76" i="12"/>
  <c r="P75" i="12"/>
  <c r="O75" i="12"/>
  <c r="N75" i="12"/>
  <c r="M75" i="12"/>
  <c r="L75" i="12"/>
  <c r="K75" i="12"/>
  <c r="J75" i="12"/>
  <c r="I75" i="12"/>
  <c r="H75" i="12"/>
  <c r="G75" i="12"/>
  <c r="F75" i="12"/>
  <c r="E75" i="12"/>
  <c r="D75" i="12"/>
  <c r="C75" i="12"/>
  <c r="B75" i="12"/>
  <c r="A75" i="12"/>
  <c r="P74" i="12"/>
  <c r="O74" i="12"/>
  <c r="N74" i="12"/>
  <c r="M74" i="12"/>
  <c r="L74" i="12"/>
  <c r="K74" i="12"/>
  <c r="J74" i="12"/>
  <c r="I74" i="12"/>
  <c r="H74" i="12"/>
  <c r="G74" i="12"/>
  <c r="F74" i="12"/>
  <c r="E74" i="12"/>
  <c r="D74" i="12"/>
  <c r="C74" i="12"/>
  <c r="B74" i="12"/>
  <c r="A74" i="12"/>
  <c r="P73" i="12"/>
  <c r="O73" i="12"/>
  <c r="N73" i="12"/>
  <c r="M73" i="12"/>
  <c r="L73" i="12"/>
  <c r="K73" i="12"/>
  <c r="J73" i="12"/>
  <c r="I73" i="12"/>
  <c r="H73" i="12"/>
  <c r="G73" i="12"/>
  <c r="F73" i="12"/>
  <c r="E73" i="12"/>
  <c r="D73" i="12"/>
  <c r="C73" i="12"/>
  <c r="B73" i="12"/>
  <c r="A73" i="12"/>
  <c r="P72" i="12"/>
  <c r="O72" i="12"/>
  <c r="N72" i="12"/>
  <c r="M72" i="12"/>
  <c r="L72" i="12"/>
  <c r="K72" i="12"/>
  <c r="J72" i="12"/>
  <c r="I72" i="12"/>
  <c r="H72" i="12"/>
  <c r="G72" i="12"/>
  <c r="F72" i="12"/>
  <c r="E72" i="12"/>
  <c r="D72" i="12"/>
  <c r="C72" i="12"/>
  <c r="B72" i="12"/>
  <c r="A72" i="12"/>
  <c r="P71" i="12"/>
  <c r="O71" i="12"/>
  <c r="N71" i="12"/>
  <c r="M71" i="12"/>
  <c r="L71" i="12"/>
  <c r="K71" i="12"/>
  <c r="J71" i="12"/>
  <c r="I71" i="12"/>
  <c r="H71" i="12"/>
  <c r="G71" i="12"/>
  <c r="F71" i="12"/>
  <c r="E71" i="12"/>
  <c r="D71" i="12"/>
  <c r="C71" i="12"/>
  <c r="B71" i="12"/>
  <c r="A71" i="12"/>
  <c r="P70" i="12"/>
  <c r="O70" i="12"/>
  <c r="N70" i="12"/>
  <c r="M70" i="12"/>
  <c r="L70" i="12"/>
  <c r="K70" i="12"/>
  <c r="J70" i="12"/>
  <c r="I70" i="12"/>
  <c r="H70" i="12"/>
  <c r="G70" i="12"/>
  <c r="F70" i="12"/>
  <c r="E70" i="12"/>
  <c r="D70" i="12"/>
  <c r="C70" i="12"/>
  <c r="B70" i="12"/>
  <c r="A70" i="12"/>
  <c r="P69" i="12"/>
  <c r="O69" i="12"/>
  <c r="N69" i="12"/>
  <c r="M69" i="12"/>
  <c r="L69" i="12"/>
  <c r="K69" i="12"/>
  <c r="J69" i="12"/>
  <c r="I69" i="12"/>
  <c r="H69" i="12"/>
  <c r="G69" i="12"/>
  <c r="F69" i="12"/>
  <c r="E69" i="12"/>
  <c r="D69" i="12"/>
  <c r="C69" i="12"/>
  <c r="B69" i="12"/>
  <c r="A69" i="12"/>
  <c r="P68" i="12"/>
  <c r="O68" i="12"/>
  <c r="N68" i="12"/>
  <c r="M68" i="12"/>
  <c r="L68" i="12"/>
  <c r="K68" i="12"/>
  <c r="J68" i="12"/>
  <c r="I68" i="12"/>
  <c r="H68" i="12"/>
  <c r="G68" i="12"/>
  <c r="F68" i="12"/>
  <c r="E68" i="12"/>
  <c r="D68" i="12"/>
  <c r="C68" i="12"/>
  <c r="B68" i="12"/>
  <c r="A68" i="12"/>
  <c r="P67" i="12"/>
  <c r="O67" i="12"/>
  <c r="N67" i="12"/>
  <c r="M67" i="12"/>
  <c r="L67" i="12"/>
  <c r="K67" i="12"/>
  <c r="J67" i="12"/>
  <c r="I67" i="12"/>
  <c r="H67" i="12"/>
  <c r="G67" i="12"/>
  <c r="F67" i="12"/>
  <c r="E67" i="12"/>
  <c r="D67" i="12"/>
  <c r="C67" i="12"/>
  <c r="B67" i="12"/>
  <c r="A67" i="12"/>
  <c r="P66" i="12"/>
  <c r="O66" i="12"/>
  <c r="N66" i="12"/>
  <c r="M66" i="12"/>
  <c r="L66" i="12"/>
  <c r="K66" i="12"/>
  <c r="J66" i="12"/>
  <c r="I66" i="12"/>
  <c r="H66" i="12"/>
  <c r="G66" i="12"/>
  <c r="F66" i="12"/>
  <c r="E66" i="12"/>
  <c r="D66" i="12"/>
  <c r="C66" i="12"/>
  <c r="B66" i="12"/>
  <c r="A66" i="12"/>
  <c r="P65" i="12"/>
  <c r="O65" i="12"/>
  <c r="N65" i="12"/>
  <c r="M65" i="12"/>
  <c r="L65" i="12"/>
  <c r="K65" i="12"/>
  <c r="J65" i="12"/>
  <c r="I65" i="12"/>
  <c r="H65" i="12"/>
  <c r="G65" i="12"/>
  <c r="F65" i="12"/>
  <c r="E65" i="12"/>
  <c r="D65" i="12"/>
  <c r="C65" i="12"/>
  <c r="B65" i="12"/>
  <c r="A65" i="12"/>
  <c r="P64" i="12"/>
  <c r="O64" i="12"/>
  <c r="N64" i="12"/>
  <c r="M64" i="12"/>
  <c r="L64" i="12"/>
  <c r="K64" i="12"/>
  <c r="J64" i="12"/>
  <c r="I64" i="12"/>
  <c r="H64" i="12"/>
  <c r="G64" i="12"/>
  <c r="F64" i="12"/>
  <c r="E64" i="12"/>
  <c r="D64" i="12"/>
  <c r="C64" i="12"/>
  <c r="B64" i="12"/>
  <c r="A64" i="12"/>
  <c r="P63" i="12"/>
  <c r="O63" i="12"/>
  <c r="N63" i="12"/>
  <c r="M63" i="12"/>
  <c r="L63" i="12"/>
  <c r="K63" i="12"/>
  <c r="J63" i="12"/>
  <c r="I63" i="12"/>
  <c r="H63" i="12"/>
  <c r="G63" i="12"/>
  <c r="F63" i="12"/>
  <c r="E63" i="12"/>
  <c r="D63" i="12"/>
  <c r="C63" i="12"/>
  <c r="B63" i="12"/>
  <c r="A63" i="12"/>
  <c r="P62" i="12"/>
  <c r="O62" i="12"/>
  <c r="N62" i="12"/>
  <c r="M62" i="12"/>
  <c r="L62" i="12"/>
  <c r="K62" i="12"/>
  <c r="J62" i="12"/>
  <c r="I62" i="12"/>
  <c r="H62" i="12"/>
  <c r="G62" i="12"/>
  <c r="F62" i="12"/>
  <c r="E62" i="12"/>
  <c r="D62" i="12"/>
  <c r="C62" i="12"/>
  <c r="B62" i="12"/>
  <c r="A62" i="12"/>
  <c r="P61" i="12"/>
  <c r="O61" i="12"/>
  <c r="N61" i="12"/>
  <c r="M61" i="12"/>
  <c r="L61" i="12"/>
  <c r="K61" i="12"/>
  <c r="J61" i="12"/>
  <c r="I61" i="12"/>
  <c r="H61" i="12"/>
  <c r="G61" i="12"/>
  <c r="F61" i="12"/>
  <c r="E61" i="12"/>
  <c r="D61" i="12"/>
  <c r="C61" i="12"/>
  <c r="B61" i="12"/>
  <c r="A61" i="12"/>
  <c r="P60" i="12"/>
  <c r="O60" i="12"/>
  <c r="N60" i="12"/>
  <c r="M60" i="12"/>
  <c r="L60" i="12"/>
  <c r="K60" i="12"/>
  <c r="J60" i="12"/>
  <c r="I60" i="12"/>
  <c r="H60" i="12"/>
  <c r="G60" i="12"/>
  <c r="F60" i="12"/>
  <c r="E60" i="12"/>
  <c r="D60" i="12"/>
  <c r="C60" i="12"/>
  <c r="B60" i="12"/>
  <c r="A60" i="12"/>
  <c r="P59" i="12"/>
  <c r="O59" i="12"/>
  <c r="N59" i="12"/>
  <c r="M59" i="12"/>
  <c r="L59" i="12"/>
  <c r="K59" i="12"/>
  <c r="J59" i="12"/>
  <c r="I59" i="12"/>
  <c r="H59" i="12"/>
  <c r="G59" i="12"/>
  <c r="F59" i="12"/>
  <c r="E59" i="12"/>
  <c r="D59" i="12"/>
  <c r="C59" i="12"/>
  <c r="B59" i="12"/>
  <c r="A59" i="12"/>
  <c r="P58" i="12"/>
  <c r="O58" i="12"/>
  <c r="N58" i="12"/>
  <c r="M58" i="12"/>
  <c r="L58" i="12"/>
  <c r="K58" i="12"/>
  <c r="J58" i="12"/>
  <c r="I58" i="12"/>
  <c r="H58" i="12"/>
  <c r="G58" i="12"/>
  <c r="F58" i="12"/>
  <c r="E58" i="12"/>
  <c r="D58" i="12"/>
  <c r="C58" i="12"/>
  <c r="B58" i="12"/>
  <c r="A58" i="12"/>
  <c r="P57" i="12"/>
  <c r="O57" i="12"/>
  <c r="N57" i="12"/>
  <c r="M57" i="12"/>
  <c r="L57" i="12"/>
  <c r="K57" i="12"/>
  <c r="J57" i="12"/>
  <c r="I57" i="12"/>
  <c r="H57" i="12"/>
  <c r="G57" i="12"/>
  <c r="F57" i="12"/>
  <c r="E57" i="12"/>
  <c r="D57" i="12"/>
  <c r="C57" i="12"/>
  <c r="B57" i="12"/>
  <c r="A57" i="12"/>
  <c r="P56" i="12"/>
  <c r="O56" i="12"/>
  <c r="N56" i="12"/>
  <c r="M56" i="12"/>
  <c r="L56" i="12"/>
  <c r="K56" i="12"/>
  <c r="J56" i="12"/>
  <c r="I56" i="12"/>
  <c r="H56" i="12"/>
  <c r="G56" i="12"/>
  <c r="F56" i="12"/>
  <c r="E56" i="12"/>
  <c r="D56" i="12"/>
  <c r="C56" i="12"/>
  <c r="B56" i="12"/>
  <c r="A56" i="12"/>
  <c r="P55" i="12"/>
  <c r="O55" i="12"/>
  <c r="N55" i="12"/>
  <c r="M55" i="12"/>
  <c r="L55" i="12"/>
  <c r="K55" i="12"/>
  <c r="J55" i="12"/>
  <c r="I55" i="12"/>
  <c r="H55" i="12"/>
  <c r="G55" i="12"/>
  <c r="F55" i="12"/>
  <c r="E55" i="12"/>
  <c r="D55" i="12"/>
  <c r="C55" i="12"/>
  <c r="B55" i="12"/>
  <c r="A55" i="12"/>
  <c r="P54" i="12"/>
  <c r="O54" i="12"/>
  <c r="N54" i="12"/>
  <c r="M54" i="12"/>
  <c r="L54" i="12"/>
  <c r="K54" i="12"/>
  <c r="J54" i="12"/>
  <c r="I54" i="12"/>
  <c r="H54" i="12"/>
  <c r="G54" i="12"/>
  <c r="F54" i="12"/>
  <c r="E54" i="12"/>
  <c r="D54" i="12"/>
  <c r="C54" i="12"/>
  <c r="B54" i="12"/>
  <c r="A54" i="12"/>
  <c r="P53" i="12"/>
  <c r="O53" i="12"/>
  <c r="N53" i="12"/>
  <c r="M53" i="12"/>
  <c r="L53" i="12"/>
  <c r="K53" i="12"/>
  <c r="J53" i="12"/>
  <c r="I53" i="12"/>
  <c r="H53" i="12"/>
  <c r="G53" i="12"/>
  <c r="F53" i="12"/>
  <c r="E53" i="12"/>
  <c r="D53" i="12"/>
  <c r="C53" i="12"/>
  <c r="B53" i="12"/>
  <c r="A53" i="12"/>
  <c r="P52" i="12"/>
  <c r="O52" i="12"/>
  <c r="N52" i="12"/>
  <c r="M52" i="12"/>
  <c r="L52" i="12"/>
  <c r="K52" i="12"/>
  <c r="J52" i="12"/>
  <c r="I52" i="12"/>
  <c r="H52" i="12"/>
  <c r="G52" i="12"/>
  <c r="F52" i="12"/>
  <c r="E52" i="12"/>
  <c r="D52" i="12"/>
  <c r="C52" i="12"/>
  <c r="B52" i="12"/>
  <c r="A52" i="12"/>
  <c r="P51" i="12"/>
  <c r="O51" i="12"/>
  <c r="N51" i="12"/>
  <c r="M51" i="12"/>
  <c r="L51" i="12"/>
  <c r="K51" i="12"/>
  <c r="J51" i="12"/>
  <c r="I51" i="12"/>
  <c r="H51" i="12"/>
  <c r="G51" i="12"/>
  <c r="F51" i="12"/>
  <c r="E51" i="12"/>
  <c r="D51" i="12"/>
  <c r="C51" i="12"/>
  <c r="B51" i="12"/>
  <c r="A51" i="12"/>
  <c r="P50" i="12"/>
  <c r="O50" i="12"/>
  <c r="N50" i="12"/>
  <c r="M50" i="12"/>
  <c r="L50" i="12"/>
  <c r="K50" i="12"/>
  <c r="J50" i="12"/>
  <c r="I50" i="12"/>
  <c r="H50" i="12"/>
  <c r="G50" i="12"/>
  <c r="F50" i="12"/>
  <c r="E50" i="12"/>
  <c r="D50" i="12"/>
  <c r="C50" i="12"/>
  <c r="B50" i="12"/>
  <c r="A50" i="12"/>
  <c r="P49" i="12"/>
  <c r="O49" i="12"/>
  <c r="N49" i="12"/>
  <c r="M49" i="12"/>
  <c r="L49" i="12"/>
  <c r="K49" i="12"/>
  <c r="J49" i="12"/>
  <c r="I49" i="12"/>
  <c r="H49" i="12"/>
  <c r="G49" i="12"/>
  <c r="F49" i="12"/>
  <c r="E49" i="12"/>
  <c r="D49" i="12"/>
  <c r="C49" i="12"/>
  <c r="B49" i="12"/>
  <c r="A49" i="12"/>
  <c r="P48" i="12"/>
  <c r="O48" i="12"/>
  <c r="N48" i="12"/>
  <c r="M48" i="12"/>
  <c r="L48" i="12"/>
  <c r="K48" i="12"/>
  <c r="J48" i="12"/>
  <c r="I48" i="12"/>
  <c r="H48" i="12"/>
  <c r="G48" i="12"/>
  <c r="F48" i="12"/>
  <c r="E48" i="12"/>
  <c r="D48" i="12"/>
  <c r="C48" i="12"/>
  <c r="B48" i="12"/>
  <c r="A48" i="12"/>
  <c r="P47" i="12"/>
  <c r="O47" i="12"/>
  <c r="N47" i="12"/>
  <c r="M47" i="12"/>
  <c r="L47" i="12"/>
  <c r="K47" i="12"/>
  <c r="J47" i="12"/>
  <c r="I47" i="12"/>
  <c r="H47" i="12"/>
  <c r="G47" i="12"/>
  <c r="F47" i="12"/>
  <c r="E47" i="12"/>
  <c r="D47" i="12"/>
  <c r="C47" i="12"/>
  <c r="B47" i="12"/>
  <c r="A47" i="12"/>
  <c r="P46" i="12"/>
  <c r="O46" i="12"/>
  <c r="N46" i="12"/>
  <c r="M46" i="12"/>
  <c r="L46" i="12"/>
  <c r="K46" i="12"/>
  <c r="J46" i="12"/>
  <c r="I46" i="12"/>
  <c r="H46" i="12"/>
  <c r="G46" i="12"/>
  <c r="F46" i="12"/>
  <c r="E46" i="12"/>
  <c r="D46" i="12"/>
  <c r="C46" i="12"/>
  <c r="B46" i="12"/>
  <c r="A46" i="12"/>
  <c r="P45" i="12"/>
  <c r="O45" i="12"/>
  <c r="N45" i="12"/>
  <c r="M45" i="12"/>
  <c r="L45" i="12"/>
  <c r="K45" i="12"/>
  <c r="J45" i="12"/>
  <c r="I45" i="12"/>
  <c r="H45" i="12"/>
  <c r="G45" i="12"/>
  <c r="F45" i="12"/>
  <c r="E45" i="12"/>
  <c r="D45" i="12"/>
  <c r="C45" i="12"/>
  <c r="B45" i="12"/>
  <c r="A45" i="12"/>
  <c r="P44" i="12"/>
  <c r="O44" i="12"/>
  <c r="N44" i="12"/>
  <c r="M44" i="12"/>
  <c r="L44" i="12"/>
  <c r="K44" i="12"/>
  <c r="J44" i="12"/>
  <c r="I44" i="12"/>
  <c r="H44" i="12"/>
  <c r="G44" i="12"/>
  <c r="F44" i="12"/>
  <c r="E44" i="12"/>
  <c r="D44" i="12"/>
  <c r="C44" i="12"/>
  <c r="B44" i="12"/>
  <c r="A44" i="12"/>
  <c r="P43" i="12"/>
  <c r="O43" i="12"/>
  <c r="N43" i="12"/>
  <c r="M43" i="12"/>
  <c r="L43" i="12"/>
  <c r="K43" i="12"/>
  <c r="J43" i="12"/>
  <c r="I43" i="12"/>
  <c r="H43" i="12"/>
  <c r="G43" i="12"/>
  <c r="F43" i="12"/>
  <c r="E43" i="12"/>
  <c r="D43" i="12"/>
  <c r="C43" i="12"/>
  <c r="B43" i="12"/>
  <c r="A43" i="12"/>
  <c r="P42" i="12"/>
  <c r="O42" i="12"/>
  <c r="N42" i="12"/>
  <c r="M42" i="12"/>
  <c r="L42" i="12"/>
  <c r="K42" i="12"/>
  <c r="J42" i="12"/>
  <c r="I42" i="12"/>
  <c r="H42" i="12"/>
  <c r="G42" i="12"/>
  <c r="F42" i="12"/>
  <c r="E42" i="12"/>
  <c r="D42" i="12"/>
  <c r="C42" i="12"/>
  <c r="B42" i="12"/>
  <c r="A42" i="12"/>
  <c r="P41" i="12"/>
  <c r="O41" i="12"/>
  <c r="N41" i="12"/>
  <c r="M41" i="12"/>
  <c r="L41" i="12"/>
  <c r="K41" i="12"/>
  <c r="J41" i="12"/>
  <c r="I41" i="12"/>
  <c r="H41" i="12"/>
  <c r="G41" i="12"/>
  <c r="F41" i="12"/>
  <c r="E41" i="12"/>
  <c r="D41" i="12"/>
  <c r="C41" i="12"/>
  <c r="B41" i="12"/>
  <c r="A41" i="12"/>
  <c r="P40" i="12"/>
  <c r="O40" i="12"/>
  <c r="N40" i="12"/>
  <c r="M40" i="12"/>
  <c r="L40" i="12"/>
  <c r="K40" i="12"/>
  <c r="J40" i="12"/>
  <c r="I40" i="12"/>
  <c r="H40" i="12"/>
  <c r="G40" i="12"/>
  <c r="F40" i="12"/>
  <c r="E40" i="12"/>
  <c r="D40" i="12"/>
  <c r="C40" i="12"/>
  <c r="B40" i="12"/>
  <c r="A40" i="12"/>
  <c r="P39" i="12"/>
  <c r="O39" i="12"/>
  <c r="N39" i="12"/>
  <c r="M39" i="12"/>
  <c r="L39" i="12"/>
  <c r="K39" i="12"/>
  <c r="J39" i="12"/>
  <c r="I39" i="12"/>
  <c r="H39" i="12"/>
  <c r="G39" i="12"/>
  <c r="F39" i="12"/>
  <c r="E39" i="12"/>
  <c r="D39" i="12"/>
  <c r="C39" i="12"/>
  <c r="B39" i="12"/>
  <c r="A39" i="12"/>
  <c r="P38" i="12"/>
  <c r="O38" i="12"/>
  <c r="N38" i="12"/>
  <c r="M38" i="12"/>
  <c r="L38" i="12"/>
  <c r="K38" i="12"/>
  <c r="J38" i="12"/>
  <c r="I38" i="12"/>
  <c r="H38" i="12"/>
  <c r="G38" i="12"/>
  <c r="F38" i="12"/>
  <c r="E38" i="12"/>
  <c r="D38" i="12"/>
  <c r="C38" i="12"/>
  <c r="B38" i="12"/>
  <c r="A38" i="12"/>
  <c r="P37" i="12"/>
  <c r="O37" i="12"/>
  <c r="N37" i="12"/>
  <c r="M37" i="12"/>
  <c r="L37" i="12"/>
  <c r="K37" i="12"/>
  <c r="J37" i="12"/>
  <c r="I37" i="12"/>
  <c r="H37" i="12"/>
  <c r="G37" i="12"/>
  <c r="F37" i="12"/>
  <c r="E37" i="12"/>
  <c r="D37" i="12"/>
  <c r="C37" i="12"/>
  <c r="B37" i="12"/>
  <c r="A37" i="12"/>
  <c r="P36" i="12"/>
  <c r="O36" i="12"/>
  <c r="N36" i="12"/>
  <c r="M36" i="12"/>
  <c r="L36" i="12"/>
  <c r="K36" i="12"/>
  <c r="J36" i="12"/>
  <c r="I36" i="12"/>
  <c r="H36" i="12"/>
  <c r="G36" i="12"/>
  <c r="F36" i="12"/>
  <c r="E36" i="12"/>
  <c r="D36" i="12"/>
  <c r="C36" i="12"/>
  <c r="B36" i="12"/>
  <c r="A36" i="12"/>
  <c r="P35" i="12"/>
  <c r="O35" i="12"/>
  <c r="N35" i="12"/>
  <c r="M35" i="12"/>
  <c r="L35" i="12"/>
  <c r="K35" i="12"/>
  <c r="J35" i="12"/>
  <c r="I35" i="12"/>
  <c r="H35" i="12"/>
  <c r="G35" i="12"/>
  <c r="F35" i="12"/>
  <c r="E35" i="12"/>
  <c r="D35" i="12"/>
  <c r="C35" i="12"/>
  <c r="B35" i="12"/>
  <c r="A35" i="12"/>
  <c r="P34" i="12"/>
  <c r="O34" i="12"/>
  <c r="N34" i="12"/>
  <c r="M34" i="12"/>
  <c r="L34" i="12"/>
  <c r="K34" i="12"/>
  <c r="J34" i="12"/>
  <c r="I34" i="12"/>
  <c r="H34" i="12"/>
  <c r="G34" i="12"/>
  <c r="F34" i="12"/>
  <c r="E34" i="12"/>
  <c r="D34" i="12"/>
  <c r="C34" i="12"/>
  <c r="B34" i="12"/>
  <c r="A34" i="12"/>
  <c r="P33" i="12"/>
  <c r="O33" i="12"/>
  <c r="N33" i="12"/>
  <c r="M33" i="12"/>
  <c r="L33" i="12"/>
  <c r="K33" i="12"/>
  <c r="J33" i="12"/>
  <c r="I33" i="12"/>
  <c r="H33" i="12"/>
  <c r="G33" i="12"/>
  <c r="F33" i="12"/>
  <c r="E33" i="12"/>
  <c r="D33" i="12"/>
  <c r="C33" i="12"/>
  <c r="B33" i="12"/>
  <c r="A33" i="12"/>
  <c r="P32" i="12"/>
  <c r="O32" i="12"/>
  <c r="N32" i="12"/>
  <c r="M32" i="12"/>
  <c r="L32" i="12"/>
  <c r="K32" i="12"/>
  <c r="J32" i="12"/>
  <c r="I32" i="12"/>
  <c r="H32" i="12"/>
  <c r="G32" i="12"/>
  <c r="F32" i="12"/>
  <c r="E32" i="12"/>
  <c r="D32" i="12"/>
  <c r="C32" i="12"/>
  <c r="B32" i="12"/>
  <c r="A32" i="12"/>
  <c r="P31" i="12"/>
  <c r="O31" i="12"/>
  <c r="N31" i="12"/>
  <c r="M31" i="12"/>
  <c r="L31" i="12"/>
  <c r="K31" i="12"/>
  <c r="J31" i="12"/>
  <c r="I31" i="12"/>
  <c r="H31" i="12"/>
  <c r="G31" i="12"/>
  <c r="F31" i="12"/>
  <c r="E31" i="12"/>
  <c r="D31" i="12"/>
  <c r="C31" i="12"/>
  <c r="B31" i="12"/>
  <c r="A31" i="12"/>
  <c r="P30" i="12"/>
  <c r="O30" i="12"/>
  <c r="N30" i="12"/>
  <c r="M30" i="12"/>
  <c r="L30" i="12"/>
  <c r="K30" i="12"/>
  <c r="J30" i="12"/>
  <c r="I30" i="12"/>
  <c r="H30" i="12"/>
  <c r="G30" i="12"/>
  <c r="F30" i="12"/>
  <c r="E30" i="12"/>
  <c r="D30" i="12"/>
  <c r="C30" i="12"/>
  <c r="B30" i="12"/>
  <c r="A30" i="12"/>
  <c r="P29" i="12"/>
  <c r="O29" i="12"/>
  <c r="N29" i="12"/>
  <c r="M29" i="12"/>
  <c r="L29" i="12"/>
  <c r="K29" i="12"/>
  <c r="J29" i="12"/>
  <c r="I29" i="12"/>
  <c r="H29" i="12"/>
  <c r="G29" i="12"/>
  <c r="F29" i="12"/>
  <c r="E29" i="12"/>
  <c r="D29" i="12"/>
  <c r="C29" i="12"/>
  <c r="B29" i="12"/>
  <c r="A29" i="12"/>
  <c r="P28" i="12"/>
  <c r="O28" i="12"/>
  <c r="N28" i="12"/>
  <c r="M28" i="12"/>
  <c r="L28" i="12"/>
  <c r="K28" i="12"/>
  <c r="J28" i="12"/>
  <c r="I28" i="12"/>
  <c r="H28" i="12"/>
  <c r="G28" i="12"/>
  <c r="F28" i="12"/>
  <c r="E28" i="12"/>
  <c r="D28" i="12"/>
  <c r="C28" i="12"/>
  <c r="B28" i="12"/>
  <c r="A28" i="12"/>
  <c r="P27" i="12"/>
  <c r="O27" i="12"/>
  <c r="N27" i="12"/>
  <c r="M27" i="12"/>
  <c r="L27" i="12"/>
  <c r="K27" i="12"/>
  <c r="J27" i="12"/>
  <c r="I27" i="12"/>
  <c r="H27" i="12"/>
  <c r="G27" i="12"/>
  <c r="F27" i="12"/>
  <c r="E27" i="12"/>
  <c r="D27" i="12"/>
  <c r="C27" i="12"/>
  <c r="B27" i="12"/>
  <c r="A27" i="12"/>
  <c r="P26" i="12"/>
  <c r="O26" i="12"/>
  <c r="N26" i="12"/>
  <c r="M26" i="12"/>
  <c r="L26" i="12"/>
  <c r="K26" i="12"/>
  <c r="J26" i="12"/>
  <c r="I26" i="12"/>
  <c r="H26" i="12"/>
  <c r="G26" i="12"/>
  <c r="F26" i="12"/>
  <c r="E26" i="12"/>
  <c r="D26" i="12"/>
  <c r="C26" i="12"/>
  <c r="B26" i="12"/>
  <c r="A26" i="12"/>
  <c r="P25" i="12"/>
  <c r="O25" i="12"/>
  <c r="N25" i="12"/>
  <c r="M25" i="12"/>
  <c r="L25" i="12"/>
  <c r="K25" i="12"/>
  <c r="J25" i="12"/>
  <c r="I25" i="12"/>
  <c r="H25" i="12"/>
  <c r="G25" i="12"/>
  <c r="F25" i="12"/>
  <c r="E25" i="12"/>
  <c r="D25" i="12"/>
  <c r="C25" i="12"/>
  <c r="B25" i="12"/>
  <c r="A25" i="12"/>
  <c r="P24" i="12"/>
  <c r="O24" i="12"/>
  <c r="N24" i="12"/>
  <c r="M24" i="12"/>
  <c r="L24" i="12"/>
  <c r="K24" i="12"/>
  <c r="J24" i="12"/>
  <c r="I24" i="12"/>
  <c r="H24" i="12"/>
  <c r="G24" i="12"/>
  <c r="F24" i="12"/>
  <c r="E24" i="12"/>
  <c r="D24" i="12"/>
  <c r="C24" i="12"/>
  <c r="B24" i="12"/>
  <c r="A24" i="12"/>
  <c r="P23" i="12"/>
  <c r="O23" i="12"/>
  <c r="N23" i="12"/>
  <c r="M23" i="12"/>
  <c r="L23" i="12"/>
  <c r="K23" i="12"/>
  <c r="J23" i="12"/>
  <c r="I23" i="12"/>
  <c r="H23" i="12"/>
  <c r="G23" i="12"/>
  <c r="F23" i="12"/>
  <c r="E23" i="12"/>
  <c r="D23" i="12"/>
  <c r="C23" i="12"/>
  <c r="B23" i="12"/>
  <c r="A23" i="12"/>
  <c r="P22" i="12"/>
  <c r="O22" i="12"/>
  <c r="N22" i="12"/>
  <c r="M22" i="12"/>
  <c r="L22" i="12"/>
  <c r="K22" i="12"/>
  <c r="J22" i="12"/>
  <c r="I22" i="12"/>
  <c r="H22" i="12"/>
  <c r="G22" i="12"/>
  <c r="F22" i="12"/>
  <c r="E22" i="12"/>
  <c r="D22" i="12"/>
  <c r="C22" i="12"/>
  <c r="B22" i="12"/>
  <c r="A22" i="12"/>
  <c r="P21" i="12"/>
  <c r="O21" i="12"/>
  <c r="N21" i="12"/>
  <c r="M21" i="12"/>
  <c r="L21" i="12"/>
  <c r="K21" i="12"/>
  <c r="J21" i="12"/>
  <c r="I21" i="12"/>
  <c r="H21" i="12"/>
  <c r="G21" i="12"/>
  <c r="F21" i="12"/>
  <c r="E21" i="12"/>
  <c r="D21" i="12"/>
  <c r="C21" i="12"/>
  <c r="B21" i="12"/>
  <c r="A21" i="12"/>
  <c r="P20" i="12"/>
  <c r="O20" i="12"/>
  <c r="N20" i="12"/>
  <c r="M20" i="12"/>
  <c r="L20" i="12"/>
  <c r="K20" i="12"/>
  <c r="J20" i="12"/>
  <c r="I20" i="12"/>
  <c r="H20" i="12"/>
  <c r="G20" i="12"/>
  <c r="F20" i="12"/>
  <c r="E20" i="12"/>
  <c r="D20" i="12"/>
  <c r="C20" i="12"/>
  <c r="B20" i="12"/>
  <c r="A20" i="12"/>
  <c r="P19" i="12"/>
  <c r="O19" i="12"/>
  <c r="N19" i="12"/>
  <c r="M19" i="12"/>
  <c r="L19" i="12"/>
  <c r="K19" i="12"/>
  <c r="J19" i="12"/>
  <c r="I19" i="12"/>
  <c r="H19" i="12"/>
  <c r="G19" i="12"/>
  <c r="F19" i="12"/>
  <c r="E19" i="12"/>
  <c r="D19" i="12"/>
  <c r="C19" i="12"/>
  <c r="B19" i="12"/>
  <c r="A19" i="12"/>
  <c r="P18" i="12"/>
  <c r="O18" i="12"/>
  <c r="N18" i="12"/>
  <c r="M18" i="12"/>
  <c r="L18" i="12"/>
  <c r="K18" i="12"/>
  <c r="J18" i="12"/>
  <c r="I18" i="12"/>
  <c r="H18" i="12"/>
  <c r="G18" i="12"/>
  <c r="F18" i="12"/>
  <c r="E18" i="12"/>
  <c r="D18" i="12"/>
  <c r="C18" i="12"/>
  <c r="B18" i="12"/>
  <c r="A18" i="12"/>
  <c r="P17" i="12"/>
  <c r="O17" i="12"/>
  <c r="N17" i="12"/>
  <c r="M17" i="12"/>
  <c r="L17" i="12"/>
  <c r="K17" i="12"/>
  <c r="J17" i="12"/>
  <c r="I17" i="12"/>
  <c r="H17" i="12"/>
  <c r="G17" i="12"/>
  <c r="F17" i="12"/>
  <c r="E17" i="12"/>
  <c r="D17" i="12"/>
  <c r="C17" i="12"/>
  <c r="B17" i="12"/>
  <c r="A17" i="12"/>
  <c r="P16" i="12"/>
  <c r="O16" i="12"/>
  <c r="N16" i="12"/>
  <c r="M16" i="12"/>
  <c r="L16" i="12"/>
  <c r="K16" i="12"/>
  <c r="J16" i="12"/>
  <c r="I16" i="12"/>
  <c r="H16" i="12"/>
  <c r="G16" i="12"/>
  <c r="F16" i="12"/>
  <c r="E16" i="12"/>
  <c r="D16" i="12"/>
  <c r="C16" i="12"/>
  <c r="B16" i="12"/>
  <c r="A16" i="12"/>
  <c r="P15" i="12"/>
  <c r="O15" i="12"/>
  <c r="N15" i="12"/>
  <c r="M15" i="12"/>
  <c r="L15" i="12"/>
  <c r="K15" i="12"/>
  <c r="J15" i="12"/>
  <c r="I15" i="12"/>
  <c r="H15" i="12"/>
  <c r="G15" i="12"/>
  <c r="F15" i="12"/>
  <c r="E15" i="12"/>
  <c r="D15" i="12"/>
  <c r="C15" i="12"/>
  <c r="B15" i="12"/>
  <c r="A15" i="12"/>
  <c r="P14" i="12"/>
  <c r="O14" i="12"/>
  <c r="N14" i="12"/>
  <c r="M14" i="12"/>
  <c r="L14" i="12"/>
  <c r="K14" i="12"/>
  <c r="J14" i="12"/>
  <c r="I14" i="12"/>
  <c r="H14" i="12"/>
  <c r="G14" i="12"/>
  <c r="F14" i="12"/>
  <c r="E14" i="12"/>
  <c r="D14" i="12"/>
  <c r="C14" i="12"/>
  <c r="B14" i="12"/>
  <c r="A14" i="12"/>
  <c r="P13" i="12"/>
  <c r="O13" i="12"/>
  <c r="N13" i="12"/>
  <c r="M13" i="12"/>
  <c r="L13" i="12"/>
  <c r="K13" i="12"/>
  <c r="J13" i="12"/>
  <c r="I13" i="12"/>
  <c r="H13" i="12"/>
  <c r="G13" i="12"/>
  <c r="F13" i="12"/>
  <c r="E13" i="12"/>
  <c r="D13" i="12"/>
  <c r="C13" i="12"/>
  <c r="B13" i="12"/>
  <c r="A13" i="12"/>
  <c r="P12" i="12"/>
  <c r="O12" i="12"/>
  <c r="N12" i="12"/>
  <c r="M12" i="12"/>
  <c r="L12" i="12"/>
  <c r="K12" i="12"/>
  <c r="J12" i="12"/>
  <c r="I12" i="12"/>
  <c r="H12" i="12"/>
  <c r="G12" i="12"/>
  <c r="F12" i="12"/>
  <c r="E12" i="12"/>
  <c r="D12" i="12"/>
  <c r="C12" i="12"/>
  <c r="B12" i="12"/>
  <c r="A12" i="12"/>
  <c r="P11" i="12"/>
  <c r="O11" i="12"/>
  <c r="N11" i="12"/>
  <c r="M11" i="12"/>
  <c r="L11" i="12"/>
  <c r="K11" i="12"/>
  <c r="J11" i="12"/>
  <c r="I11" i="12"/>
  <c r="H11" i="12"/>
  <c r="G11" i="12"/>
  <c r="F11" i="12"/>
  <c r="E11" i="12"/>
  <c r="D11" i="12"/>
  <c r="C11" i="12"/>
  <c r="B11" i="12"/>
  <c r="A11" i="12"/>
  <c r="P10" i="12"/>
  <c r="O10" i="12"/>
  <c r="N10" i="12"/>
  <c r="M10" i="12"/>
  <c r="L10" i="12"/>
  <c r="K10" i="12"/>
  <c r="J10" i="12"/>
  <c r="I10" i="12"/>
  <c r="H10" i="12"/>
  <c r="G10" i="12"/>
  <c r="F10" i="12"/>
  <c r="E10" i="12"/>
  <c r="D10" i="12"/>
  <c r="C10" i="12"/>
  <c r="B10" i="12"/>
  <c r="A10" i="12"/>
  <c r="P9" i="12"/>
  <c r="O9" i="12"/>
  <c r="N9" i="12"/>
  <c r="M9" i="12"/>
  <c r="L9" i="12"/>
  <c r="K9" i="12"/>
  <c r="J9" i="12"/>
  <c r="I9" i="12"/>
  <c r="H9" i="12"/>
  <c r="G9" i="12"/>
  <c r="F9" i="12"/>
  <c r="E9" i="12"/>
  <c r="D9" i="12"/>
  <c r="C9" i="12"/>
  <c r="B9" i="12"/>
  <c r="A9" i="12"/>
  <c r="P8" i="12"/>
  <c r="O8" i="12"/>
  <c r="N8" i="12"/>
  <c r="M8" i="12"/>
  <c r="L8" i="12"/>
  <c r="K8" i="12"/>
  <c r="J8" i="12"/>
  <c r="I8" i="12"/>
  <c r="H8" i="12"/>
  <c r="G8" i="12"/>
  <c r="F8" i="12"/>
  <c r="E8" i="12"/>
  <c r="D8" i="12"/>
  <c r="C8" i="12"/>
  <c r="B8" i="12"/>
  <c r="A8" i="12"/>
  <c r="P7" i="12"/>
  <c r="O7" i="12"/>
  <c r="N7" i="12"/>
  <c r="M7" i="12"/>
  <c r="L7" i="12"/>
  <c r="K7" i="12"/>
  <c r="J7" i="12"/>
  <c r="I7" i="12"/>
  <c r="H7" i="12"/>
  <c r="G7" i="12"/>
  <c r="F7" i="12"/>
  <c r="E7" i="12"/>
  <c r="D7" i="12"/>
  <c r="C7" i="12"/>
  <c r="B7" i="12"/>
  <c r="A7" i="12"/>
  <c r="P6" i="12"/>
  <c r="O6" i="12"/>
  <c r="N6" i="12"/>
  <c r="M6" i="12"/>
  <c r="L6" i="12"/>
  <c r="K6" i="12"/>
  <c r="J6" i="12"/>
  <c r="I6" i="12"/>
  <c r="H6" i="12"/>
  <c r="G6" i="12"/>
  <c r="F6" i="12"/>
  <c r="E6" i="12"/>
  <c r="D6" i="12"/>
  <c r="C6" i="12"/>
  <c r="B6" i="12"/>
  <c r="A6" i="12"/>
  <c r="N5" i="12"/>
  <c r="M5" i="12"/>
  <c r="L5" i="12"/>
  <c r="K5" i="12"/>
  <c r="H5" i="12"/>
  <c r="G5" i="12"/>
  <c r="F5" i="12"/>
  <c r="P5" i="12" s="1"/>
  <c r="E5" i="12"/>
  <c r="O5" i="12" s="1"/>
  <c r="D5" i="12"/>
  <c r="C5" i="12"/>
  <c r="B5" i="12"/>
  <c r="A5" i="12"/>
  <c r="L4" i="12"/>
  <c r="K4" i="12"/>
  <c r="I5" i="12" l="1"/>
  <c r="J5" i="12"/>
  <c r="F4" i="12"/>
  <c r="P4" i="12" s="1"/>
  <c r="E4" i="12"/>
  <c r="O4" i="12" s="1"/>
  <c r="D4" i="12"/>
  <c r="C4" i="12"/>
  <c r="H4" i="12"/>
  <c r="G4" i="12"/>
  <c r="N4" i="12"/>
  <c r="M4" i="12"/>
  <c r="B4" i="12"/>
  <c r="A4" i="12"/>
  <c r="L2" i="12" s="1"/>
  <c r="M1002" i="2"/>
  <c r="M1001" i="2"/>
  <c r="M1000" i="2"/>
  <c r="M999" i="2"/>
  <c r="M998" i="2"/>
  <c r="M997" i="2"/>
  <c r="M996" i="2"/>
  <c r="M995" i="2"/>
  <c r="M994" i="2"/>
  <c r="M993" i="2"/>
  <c r="M992" i="2"/>
  <c r="M991" i="2"/>
  <c r="M990" i="2"/>
  <c r="M989" i="2"/>
  <c r="M988" i="2"/>
  <c r="M987" i="2"/>
  <c r="M986" i="2"/>
  <c r="M985" i="2"/>
  <c r="M984" i="2"/>
  <c r="M983" i="2"/>
  <c r="M982" i="2"/>
  <c r="M981" i="2"/>
  <c r="M980" i="2"/>
  <c r="M979" i="2"/>
  <c r="M978" i="2"/>
  <c r="M977" i="2"/>
  <c r="M976" i="2"/>
  <c r="M975" i="2"/>
  <c r="M974" i="2"/>
  <c r="M973" i="2"/>
  <c r="M972" i="2"/>
  <c r="M971" i="2"/>
  <c r="M970" i="2"/>
  <c r="M969" i="2"/>
  <c r="M968" i="2"/>
  <c r="M967" i="2"/>
  <c r="M966" i="2"/>
  <c r="M965" i="2"/>
  <c r="M964" i="2"/>
  <c r="M963" i="2"/>
  <c r="M962" i="2"/>
  <c r="M961" i="2"/>
  <c r="M960" i="2"/>
  <c r="M959" i="2"/>
  <c r="M958" i="2"/>
  <c r="M957" i="2"/>
  <c r="M956" i="2"/>
  <c r="M955" i="2"/>
  <c r="M954" i="2"/>
  <c r="M953" i="2"/>
  <c r="M952" i="2"/>
  <c r="M951" i="2"/>
  <c r="M950" i="2"/>
  <c r="M949" i="2"/>
  <c r="M948" i="2"/>
  <c r="M947" i="2"/>
  <c r="M946" i="2"/>
  <c r="M945" i="2"/>
  <c r="M944" i="2"/>
  <c r="M943" i="2"/>
  <c r="M942" i="2"/>
  <c r="M941" i="2"/>
  <c r="M940" i="2"/>
  <c r="M939" i="2"/>
  <c r="M938" i="2"/>
  <c r="M937" i="2"/>
  <c r="M936" i="2"/>
  <c r="M935" i="2"/>
  <c r="M934" i="2"/>
  <c r="M933" i="2"/>
  <c r="M932" i="2"/>
  <c r="M931" i="2"/>
  <c r="M930" i="2"/>
  <c r="M929" i="2"/>
  <c r="M928" i="2"/>
  <c r="M927" i="2"/>
  <c r="M926" i="2"/>
  <c r="M925" i="2"/>
  <c r="M924" i="2"/>
  <c r="M923" i="2"/>
  <c r="M922" i="2"/>
  <c r="M921" i="2"/>
  <c r="M920" i="2"/>
  <c r="M919" i="2"/>
  <c r="M918" i="2"/>
  <c r="M917" i="2"/>
  <c r="M916" i="2"/>
  <c r="M915" i="2"/>
  <c r="M914" i="2"/>
  <c r="M913" i="2"/>
  <c r="M912" i="2"/>
  <c r="M911" i="2"/>
  <c r="M910" i="2"/>
  <c r="M909" i="2"/>
  <c r="M908" i="2"/>
  <c r="M907" i="2"/>
  <c r="M906" i="2"/>
  <c r="M905" i="2"/>
  <c r="M904" i="2"/>
  <c r="M903" i="2"/>
  <c r="M902" i="2"/>
  <c r="M901" i="2"/>
  <c r="M900" i="2"/>
  <c r="M899" i="2"/>
  <c r="M898" i="2"/>
  <c r="M897" i="2"/>
  <c r="M896" i="2"/>
  <c r="M895" i="2"/>
  <c r="M894" i="2"/>
  <c r="M893" i="2"/>
  <c r="M892" i="2"/>
  <c r="M891" i="2"/>
  <c r="M890" i="2"/>
  <c r="M889" i="2"/>
  <c r="M888" i="2"/>
  <c r="M887" i="2"/>
  <c r="M886" i="2"/>
  <c r="M885" i="2"/>
  <c r="M884" i="2"/>
  <c r="M883" i="2"/>
  <c r="M882" i="2"/>
  <c r="M881" i="2"/>
  <c r="M880" i="2"/>
  <c r="M879" i="2"/>
  <c r="M878" i="2"/>
  <c r="M877" i="2"/>
  <c r="M876" i="2"/>
  <c r="M875" i="2"/>
  <c r="M874" i="2"/>
  <c r="M873" i="2"/>
  <c r="M872" i="2"/>
  <c r="M871" i="2"/>
  <c r="M870" i="2"/>
  <c r="M869" i="2"/>
  <c r="M868" i="2"/>
  <c r="M867" i="2"/>
  <c r="M866" i="2"/>
  <c r="M865" i="2"/>
  <c r="M864" i="2"/>
  <c r="M863" i="2"/>
  <c r="M862" i="2"/>
  <c r="M861" i="2"/>
  <c r="M860" i="2"/>
  <c r="M859" i="2"/>
  <c r="M858" i="2"/>
  <c r="M857" i="2"/>
  <c r="M856" i="2"/>
  <c r="M855" i="2"/>
  <c r="M854" i="2"/>
  <c r="M853" i="2"/>
  <c r="M852" i="2"/>
  <c r="M851" i="2"/>
  <c r="M850" i="2"/>
  <c r="M849" i="2"/>
  <c r="M848" i="2"/>
  <c r="M847" i="2"/>
  <c r="M846" i="2"/>
  <c r="M845" i="2"/>
  <c r="M844" i="2"/>
  <c r="M843" i="2"/>
  <c r="M842" i="2"/>
  <c r="M841" i="2"/>
  <c r="M840" i="2"/>
  <c r="M839" i="2"/>
  <c r="M838" i="2"/>
  <c r="M837" i="2"/>
  <c r="M836" i="2"/>
  <c r="M835" i="2"/>
  <c r="M834" i="2"/>
  <c r="M833" i="2"/>
  <c r="M832" i="2"/>
  <c r="M831" i="2"/>
  <c r="M830" i="2"/>
  <c r="M829" i="2"/>
  <c r="M828" i="2"/>
  <c r="M827" i="2"/>
  <c r="M826" i="2"/>
  <c r="M825" i="2"/>
  <c r="M824" i="2"/>
  <c r="M823" i="2"/>
  <c r="M822" i="2"/>
  <c r="M821" i="2"/>
  <c r="M820" i="2"/>
  <c r="M819" i="2"/>
  <c r="M818" i="2"/>
  <c r="M817" i="2"/>
  <c r="M816" i="2"/>
  <c r="M815" i="2"/>
  <c r="M814" i="2"/>
  <c r="M813" i="2"/>
  <c r="M812" i="2"/>
  <c r="M811" i="2"/>
  <c r="M810" i="2"/>
  <c r="M809" i="2"/>
  <c r="M808" i="2"/>
  <c r="M807" i="2"/>
  <c r="M806" i="2"/>
  <c r="M805" i="2"/>
  <c r="M804" i="2"/>
  <c r="M803" i="2"/>
  <c r="M802" i="2"/>
  <c r="M801" i="2"/>
  <c r="M800" i="2"/>
  <c r="M799" i="2"/>
  <c r="M798" i="2"/>
  <c r="M797" i="2"/>
  <c r="M796" i="2"/>
  <c r="M795" i="2"/>
  <c r="M794" i="2"/>
  <c r="M793" i="2"/>
  <c r="M792" i="2"/>
  <c r="M791" i="2"/>
  <c r="M790" i="2"/>
  <c r="M789" i="2"/>
  <c r="M788" i="2"/>
  <c r="M787" i="2"/>
  <c r="M786" i="2"/>
  <c r="M785" i="2"/>
  <c r="M784" i="2"/>
  <c r="M783" i="2"/>
  <c r="M782" i="2"/>
  <c r="M781" i="2"/>
  <c r="M780" i="2"/>
  <c r="M779" i="2"/>
  <c r="M778" i="2"/>
  <c r="M777" i="2"/>
  <c r="M776" i="2"/>
  <c r="M775" i="2"/>
  <c r="M774" i="2"/>
  <c r="M773" i="2"/>
  <c r="M772" i="2"/>
  <c r="M771" i="2"/>
  <c r="M770" i="2"/>
  <c r="M769" i="2"/>
  <c r="M768" i="2"/>
  <c r="M767" i="2"/>
  <c r="M766" i="2"/>
  <c r="M765" i="2"/>
  <c r="M764" i="2"/>
  <c r="M763" i="2"/>
  <c r="M762" i="2"/>
  <c r="M761" i="2"/>
  <c r="M760" i="2"/>
  <c r="M759" i="2"/>
  <c r="M758" i="2"/>
  <c r="M757" i="2"/>
  <c r="M756" i="2"/>
  <c r="M755" i="2"/>
  <c r="M754" i="2"/>
  <c r="M753" i="2"/>
  <c r="M752" i="2"/>
  <c r="M751" i="2"/>
  <c r="M750" i="2"/>
  <c r="M749" i="2"/>
  <c r="M748" i="2"/>
  <c r="M747" i="2"/>
  <c r="M746" i="2"/>
  <c r="M745" i="2"/>
  <c r="M744" i="2"/>
  <c r="M743" i="2"/>
  <c r="M742" i="2"/>
  <c r="M741" i="2"/>
  <c r="M740" i="2"/>
  <c r="M739" i="2"/>
  <c r="M738" i="2"/>
  <c r="M737" i="2"/>
  <c r="M736" i="2"/>
  <c r="M735" i="2"/>
  <c r="M734" i="2"/>
  <c r="M733" i="2"/>
  <c r="M732" i="2"/>
  <c r="M731" i="2"/>
  <c r="M730" i="2"/>
  <c r="M729" i="2"/>
  <c r="M728" i="2"/>
  <c r="M727" i="2"/>
  <c r="M726" i="2"/>
  <c r="M725" i="2"/>
  <c r="M724" i="2"/>
  <c r="M723" i="2"/>
  <c r="M722" i="2"/>
  <c r="M721" i="2"/>
  <c r="M720" i="2"/>
  <c r="M719" i="2"/>
  <c r="M718" i="2"/>
  <c r="M717" i="2"/>
  <c r="M716" i="2"/>
  <c r="M715" i="2"/>
  <c r="M714" i="2"/>
  <c r="M713" i="2"/>
  <c r="M712" i="2"/>
  <c r="M711" i="2"/>
  <c r="M710" i="2"/>
  <c r="M709" i="2"/>
  <c r="M708" i="2"/>
  <c r="M707" i="2"/>
  <c r="M706" i="2"/>
  <c r="M705" i="2"/>
  <c r="M704" i="2"/>
  <c r="M703" i="2"/>
  <c r="M702" i="2"/>
  <c r="M701" i="2"/>
  <c r="M700" i="2"/>
  <c r="M699" i="2"/>
  <c r="M698" i="2"/>
  <c r="M697" i="2"/>
  <c r="M696" i="2"/>
  <c r="M695" i="2"/>
  <c r="M694" i="2"/>
  <c r="M693" i="2"/>
  <c r="M692" i="2"/>
  <c r="M691" i="2"/>
  <c r="M690" i="2"/>
  <c r="M689" i="2"/>
  <c r="M688" i="2"/>
  <c r="M687" i="2"/>
  <c r="M686" i="2"/>
  <c r="M685" i="2"/>
  <c r="M684" i="2"/>
  <c r="M683" i="2"/>
  <c r="M682" i="2"/>
  <c r="M681" i="2"/>
  <c r="M680" i="2"/>
  <c r="M679" i="2"/>
  <c r="M678" i="2"/>
  <c r="M677" i="2"/>
  <c r="M676" i="2"/>
  <c r="M675" i="2"/>
  <c r="M674" i="2"/>
  <c r="M673" i="2"/>
  <c r="M672" i="2"/>
  <c r="M671" i="2"/>
  <c r="M670" i="2"/>
  <c r="M669" i="2"/>
  <c r="M668" i="2"/>
  <c r="M667" i="2"/>
  <c r="M666" i="2"/>
  <c r="M665" i="2"/>
  <c r="M664" i="2"/>
  <c r="M663" i="2"/>
  <c r="M662" i="2"/>
  <c r="M661" i="2"/>
  <c r="M660" i="2"/>
  <c r="M659" i="2"/>
  <c r="M658" i="2"/>
  <c r="M657" i="2"/>
  <c r="M656" i="2"/>
  <c r="M655" i="2"/>
  <c r="M654" i="2"/>
  <c r="M653" i="2"/>
  <c r="M652" i="2"/>
  <c r="M651" i="2"/>
  <c r="M650" i="2"/>
  <c r="M649" i="2"/>
  <c r="M648" i="2"/>
  <c r="M647" i="2"/>
  <c r="M646" i="2"/>
  <c r="M645" i="2"/>
  <c r="M644" i="2"/>
  <c r="M643" i="2"/>
  <c r="M642" i="2"/>
  <c r="M641" i="2"/>
  <c r="M640" i="2"/>
  <c r="M639" i="2"/>
  <c r="M638" i="2"/>
  <c r="M637" i="2"/>
  <c r="M636" i="2"/>
  <c r="M635" i="2"/>
  <c r="M634" i="2"/>
  <c r="M633" i="2"/>
  <c r="M632" i="2"/>
  <c r="M631" i="2"/>
  <c r="M630" i="2"/>
  <c r="M629" i="2"/>
  <c r="M628" i="2"/>
  <c r="M627" i="2"/>
  <c r="M626" i="2"/>
  <c r="M625" i="2"/>
  <c r="M624" i="2"/>
  <c r="M623" i="2"/>
  <c r="M622" i="2"/>
  <c r="M621" i="2"/>
  <c r="M620" i="2"/>
  <c r="M619" i="2"/>
  <c r="M618" i="2"/>
  <c r="M617" i="2"/>
  <c r="M616" i="2"/>
  <c r="M615" i="2"/>
  <c r="M614" i="2"/>
  <c r="M613" i="2"/>
  <c r="M612" i="2"/>
  <c r="M611" i="2"/>
  <c r="M610" i="2"/>
  <c r="M609" i="2"/>
  <c r="M608" i="2"/>
  <c r="M607" i="2"/>
  <c r="M606" i="2"/>
  <c r="M605" i="2"/>
  <c r="M604" i="2"/>
  <c r="M603" i="2"/>
  <c r="M602" i="2"/>
  <c r="M601" i="2"/>
  <c r="M600" i="2"/>
  <c r="M599" i="2"/>
  <c r="M598" i="2"/>
  <c r="M597" i="2"/>
  <c r="M596" i="2"/>
  <c r="M595" i="2"/>
  <c r="M594" i="2"/>
  <c r="M593" i="2"/>
  <c r="M592" i="2"/>
  <c r="M591" i="2"/>
  <c r="M590" i="2"/>
  <c r="M589" i="2"/>
  <c r="M588" i="2"/>
  <c r="M587" i="2"/>
  <c r="M586" i="2"/>
  <c r="M585" i="2"/>
  <c r="M584" i="2"/>
  <c r="M583" i="2"/>
  <c r="M582" i="2"/>
  <c r="M581" i="2"/>
  <c r="M580" i="2"/>
  <c r="M579" i="2"/>
  <c r="M578" i="2"/>
  <c r="M577" i="2"/>
  <c r="M576" i="2"/>
  <c r="M575" i="2"/>
  <c r="M574" i="2"/>
  <c r="M573" i="2"/>
  <c r="M572" i="2"/>
  <c r="M571" i="2"/>
  <c r="M570" i="2"/>
  <c r="M569" i="2"/>
  <c r="M568" i="2"/>
  <c r="M567" i="2"/>
  <c r="M566" i="2"/>
  <c r="M565" i="2"/>
  <c r="M564" i="2"/>
  <c r="M563" i="2"/>
  <c r="M562" i="2"/>
  <c r="M561" i="2"/>
  <c r="M560" i="2"/>
  <c r="M559" i="2"/>
  <c r="M558" i="2"/>
  <c r="M557" i="2"/>
  <c r="M556" i="2"/>
  <c r="M555" i="2"/>
  <c r="M554" i="2"/>
  <c r="M553" i="2"/>
  <c r="M552" i="2"/>
  <c r="M551" i="2"/>
  <c r="M550" i="2"/>
  <c r="M549" i="2"/>
  <c r="M548" i="2"/>
  <c r="M547" i="2"/>
  <c r="M546" i="2"/>
  <c r="M545" i="2"/>
  <c r="M544" i="2"/>
  <c r="M543" i="2"/>
  <c r="M542" i="2"/>
  <c r="M541" i="2"/>
  <c r="M540" i="2"/>
  <c r="M539" i="2"/>
  <c r="M538" i="2"/>
  <c r="M537" i="2"/>
  <c r="M536" i="2"/>
  <c r="M535" i="2"/>
  <c r="M534" i="2"/>
  <c r="M533" i="2"/>
  <c r="M532" i="2"/>
  <c r="M531" i="2"/>
  <c r="M530" i="2"/>
  <c r="M529" i="2"/>
  <c r="M528" i="2"/>
  <c r="M527" i="2"/>
  <c r="M526" i="2"/>
  <c r="M525" i="2"/>
  <c r="M524" i="2"/>
  <c r="M523" i="2"/>
  <c r="M522" i="2"/>
  <c r="M521" i="2"/>
  <c r="M520" i="2"/>
  <c r="M519" i="2"/>
  <c r="M518" i="2"/>
  <c r="M517" i="2"/>
  <c r="M516" i="2"/>
  <c r="M515" i="2"/>
  <c r="M514" i="2"/>
  <c r="M513" i="2"/>
  <c r="M512" i="2"/>
  <c r="M511" i="2"/>
  <c r="M510" i="2"/>
  <c r="M509" i="2"/>
  <c r="M508" i="2"/>
  <c r="M507" i="2"/>
  <c r="M506" i="2"/>
  <c r="M505" i="2"/>
  <c r="M504" i="2"/>
  <c r="M503" i="2"/>
  <c r="M502" i="2"/>
  <c r="M501" i="2"/>
  <c r="M500" i="2"/>
  <c r="M499" i="2"/>
  <c r="M498" i="2"/>
  <c r="M497" i="2"/>
  <c r="M496" i="2"/>
  <c r="M495" i="2"/>
  <c r="M494" i="2"/>
  <c r="M493" i="2"/>
  <c r="M492" i="2"/>
  <c r="M491" i="2"/>
  <c r="M490" i="2"/>
  <c r="M489" i="2"/>
  <c r="M488" i="2"/>
  <c r="M487" i="2"/>
  <c r="M486" i="2"/>
  <c r="M485" i="2"/>
  <c r="M484" i="2"/>
  <c r="M483" i="2"/>
  <c r="M482" i="2"/>
  <c r="M481" i="2"/>
  <c r="M480" i="2"/>
  <c r="M479" i="2"/>
  <c r="M478" i="2"/>
  <c r="M477" i="2"/>
  <c r="M476" i="2"/>
  <c r="M475" i="2"/>
  <c r="M474" i="2"/>
  <c r="M473" i="2"/>
  <c r="M472" i="2"/>
  <c r="M471" i="2"/>
  <c r="M470" i="2"/>
  <c r="M469" i="2"/>
  <c r="M468" i="2"/>
  <c r="M467" i="2"/>
  <c r="M466" i="2"/>
  <c r="M465" i="2"/>
  <c r="M464" i="2"/>
  <c r="M463" i="2"/>
  <c r="M462" i="2"/>
  <c r="M461" i="2"/>
  <c r="M460" i="2"/>
  <c r="M459" i="2"/>
  <c r="M458" i="2"/>
  <c r="M457" i="2"/>
  <c r="M456" i="2"/>
  <c r="M455" i="2"/>
  <c r="M454" i="2"/>
  <c r="M453" i="2"/>
  <c r="M452" i="2"/>
  <c r="M451" i="2"/>
  <c r="M450" i="2"/>
  <c r="M449" i="2"/>
  <c r="M448" i="2"/>
  <c r="M447" i="2"/>
  <c r="M446" i="2"/>
  <c r="M445" i="2"/>
  <c r="M444" i="2"/>
  <c r="M443" i="2"/>
  <c r="M442" i="2"/>
  <c r="M441" i="2"/>
  <c r="M440" i="2"/>
  <c r="M439" i="2"/>
  <c r="M438" i="2"/>
  <c r="M437" i="2"/>
  <c r="M436" i="2"/>
  <c r="M435" i="2"/>
  <c r="M434" i="2"/>
  <c r="M433" i="2"/>
  <c r="M432" i="2"/>
  <c r="M431" i="2"/>
  <c r="M430" i="2"/>
  <c r="M429" i="2"/>
  <c r="M428" i="2"/>
  <c r="M427" i="2"/>
  <c r="M426" i="2"/>
  <c r="M425" i="2"/>
  <c r="M424" i="2"/>
  <c r="M423" i="2"/>
  <c r="M422" i="2"/>
  <c r="M421" i="2"/>
  <c r="M420" i="2"/>
  <c r="M419" i="2"/>
  <c r="M418" i="2"/>
  <c r="M417" i="2"/>
  <c r="M416" i="2"/>
  <c r="M415" i="2"/>
  <c r="M414" i="2"/>
  <c r="M413" i="2"/>
  <c r="M412" i="2"/>
  <c r="M411" i="2"/>
  <c r="M410" i="2"/>
  <c r="M409" i="2"/>
  <c r="M408" i="2"/>
  <c r="M407" i="2"/>
  <c r="M406" i="2"/>
  <c r="M405" i="2"/>
  <c r="M404" i="2"/>
  <c r="M403" i="2"/>
  <c r="M402" i="2"/>
  <c r="M401" i="2"/>
  <c r="M400" i="2"/>
  <c r="M399" i="2"/>
  <c r="M398" i="2"/>
  <c r="M397" i="2"/>
  <c r="M396" i="2"/>
  <c r="M395" i="2"/>
  <c r="M394" i="2"/>
  <c r="M393" i="2"/>
  <c r="M392" i="2"/>
  <c r="M391" i="2"/>
  <c r="M390" i="2"/>
  <c r="M389" i="2"/>
  <c r="M388" i="2"/>
  <c r="M387" i="2"/>
  <c r="M386" i="2"/>
  <c r="M385" i="2"/>
  <c r="M384" i="2"/>
  <c r="M383" i="2"/>
  <c r="M382" i="2"/>
  <c r="M381" i="2"/>
  <c r="M380" i="2"/>
  <c r="M379" i="2"/>
  <c r="M378" i="2"/>
  <c r="M377" i="2"/>
  <c r="M376" i="2"/>
  <c r="M375" i="2"/>
  <c r="M374" i="2"/>
  <c r="M373" i="2"/>
  <c r="M372" i="2"/>
  <c r="M371" i="2"/>
  <c r="M370" i="2"/>
  <c r="M369" i="2"/>
  <c r="M368" i="2"/>
  <c r="M367" i="2"/>
  <c r="M366" i="2"/>
  <c r="M365" i="2"/>
  <c r="M364" i="2"/>
  <c r="M363" i="2"/>
  <c r="M362" i="2"/>
  <c r="M361" i="2"/>
  <c r="M360" i="2"/>
  <c r="M359" i="2"/>
  <c r="M358" i="2"/>
  <c r="M357" i="2"/>
  <c r="M356" i="2"/>
  <c r="M355" i="2"/>
  <c r="M354" i="2"/>
  <c r="M353" i="2"/>
  <c r="M352" i="2"/>
  <c r="M351" i="2"/>
  <c r="M350" i="2"/>
  <c r="M349" i="2"/>
  <c r="M348" i="2"/>
  <c r="M347" i="2"/>
  <c r="M346" i="2"/>
  <c r="M345" i="2"/>
  <c r="M344" i="2"/>
  <c r="M343" i="2"/>
  <c r="M342" i="2"/>
  <c r="M341" i="2"/>
  <c r="M340" i="2"/>
  <c r="M339" i="2"/>
  <c r="M338" i="2"/>
  <c r="M337" i="2"/>
  <c r="M336" i="2"/>
  <c r="M335" i="2"/>
  <c r="M334" i="2"/>
  <c r="M333" i="2"/>
  <c r="M332" i="2"/>
  <c r="M331" i="2"/>
  <c r="M330" i="2"/>
  <c r="M329" i="2"/>
  <c r="M328" i="2"/>
  <c r="M327" i="2"/>
  <c r="M326" i="2"/>
  <c r="M325" i="2"/>
  <c r="M324" i="2"/>
  <c r="M323" i="2"/>
  <c r="M322" i="2"/>
  <c r="M321" i="2"/>
  <c r="M320" i="2"/>
  <c r="M319" i="2"/>
  <c r="M318" i="2"/>
  <c r="M317" i="2"/>
  <c r="M316" i="2"/>
  <c r="M315" i="2"/>
  <c r="M314" i="2"/>
  <c r="M313" i="2"/>
  <c r="M312" i="2"/>
  <c r="M311" i="2"/>
  <c r="M310" i="2"/>
  <c r="M309" i="2"/>
  <c r="M308" i="2"/>
  <c r="M307" i="2"/>
  <c r="M306" i="2"/>
  <c r="M305" i="2"/>
  <c r="M304" i="2"/>
  <c r="M303" i="2"/>
  <c r="M302" i="2"/>
  <c r="M301" i="2"/>
  <c r="M300" i="2"/>
  <c r="M299" i="2"/>
  <c r="M298" i="2"/>
  <c r="M297" i="2"/>
  <c r="M296" i="2"/>
  <c r="M295" i="2"/>
  <c r="M294" i="2"/>
  <c r="M293" i="2"/>
  <c r="M292" i="2"/>
  <c r="M291" i="2"/>
  <c r="M290" i="2"/>
  <c r="M289" i="2"/>
  <c r="M288" i="2"/>
  <c r="M287" i="2"/>
  <c r="M286" i="2"/>
  <c r="M285" i="2"/>
  <c r="M284" i="2"/>
  <c r="M283" i="2"/>
  <c r="M282" i="2"/>
  <c r="M281" i="2"/>
  <c r="M280" i="2"/>
  <c r="M279" i="2"/>
  <c r="M278" i="2"/>
  <c r="M277" i="2"/>
  <c r="M276" i="2"/>
  <c r="M275" i="2"/>
  <c r="M274" i="2"/>
  <c r="M273" i="2"/>
  <c r="M272" i="2"/>
  <c r="M271" i="2"/>
  <c r="M270" i="2"/>
  <c r="M269" i="2"/>
  <c r="M268" i="2"/>
  <c r="M267" i="2"/>
  <c r="M266" i="2"/>
  <c r="M265" i="2"/>
  <c r="M264" i="2"/>
  <c r="M263" i="2"/>
  <c r="M262" i="2"/>
  <c r="M261" i="2"/>
  <c r="M260" i="2"/>
  <c r="M259" i="2"/>
  <c r="M258" i="2"/>
  <c r="M257" i="2"/>
  <c r="M256" i="2"/>
  <c r="M255" i="2"/>
  <c r="M254" i="2"/>
  <c r="M253" i="2"/>
  <c r="M252" i="2"/>
  <c r="M251" i="2"/>
  <c r="M250" i="2"/>
  <c r="M249" i="2"/>
  <c r="M248" i="2"/>
  <c r="M247" i="2"/>
  <c r="M246" i="2"/>
  <c r="M245" i="2"/>
  <c r="M244" i="2"/>
  <c r="M243" i="2"/>
  <c r="M242" i="2"/>
  <c r="M241" i="2"/>
  <c r="M240" i="2"/>
  <c r="M239" i="2"/>
  <c r="M238" i="2"/>
  <c r="M237" i="2"/>
  <c r="M236" i="2"/>
  <c r="M235" i="2"/>
  <c r="M234" i="2"/>
  <c r="M233" i="2"/>
  <c r="M232" i="2"/>
  <c r="M231" i="2"/>
  <c r="M230" i="2"/>
  <c r="M229" i="2"/>
  <c r="M228" i="2"/>
  <c r="M227" i="2"/>
  <c r="M226" i="2"/>
  <c r="M225" i="2"/>
  <c r="M224" i="2"/>
  <c r="M223" i="2"/>
  <c r="M222" i="2"/>
  <c r="M221" i="2"/>
  <c r="M220" i="2"/>
  <c r="M219" i="2"/>
  <c r="M218" i="2"/>
  <c r="M217" i="2"/>
  <c r="M216" i="2"/>
  <c r="M215" i="2"/>
  <c r="M214" i="2"/>
  <c r="M213" i="2"/>
  <c r="M212" i="2"/>
  <c r="M211" i="2"/>
  <c r="M210" i="2"/>
  <c r="M209" i="2"/>
  <c r="M208" i="2"/>
  <c r="M207" i="2"/>
  <c r="M206" i="2"/>
  <c r="M205" i="2"/>
  <c r="M204" i="2"/>
  <c r="M203" i="2"/>
  <c r="M202" i="2"/>
  <c r="M201" i="2"/>
  <c r="M200" i="2"/>
  <c r="M199" i="2"/>
  <c r="M198" i="2"/>
  <c r="M197" i="2"/>
  <c r="M196" i="2"/>
  <c r="M195" i="2"/>
  <c r="M194" i="2"/>
  <c r="M193" i="2"/>
  <c r="M192" i="2"/>
  <c r="M191" i="2"/>
  <c r="M190" i="2"/>
  <c r="M189" i="2"/>
  <c r="M188" i="2"/>
  <c r="M187" i="2"/>
  <c r="M186" i="2"/>
  <c r="M185" i="2"/>
  <c r="M177" i="2"/>
  <c r="M176" i="2"/>
  <c r="L1002" i="2"/>
  <c r="L1001" i="2"/>
  <c r="L1000" i="2"/>
  <c r="L999" i="2"/>
  <c r="L998" i="2"/>
  <c r="L997" i="2"/>
  <c r="L996" i="2"/>
  <c r="L995" i="2"/>
  <c r="L994" i="2"/>
  <c r="L993" i="2"/>
  <c r="L992" i="2"/>
  <c r="L991" i="2"/>
  <c r="L990" i="2"/>
  <c r="L989" i="2"/>
  <c r="L988" i="2"/>
  <c r="L987" i="2"/>
  <c r="L986" i="2"/>
  <c r="L985" i="2"/>
  <c r="L984" i="2"/>
  <c r="L983" i="2"/>
  <c r="L982" i="2"/>
  <c r="L981" i="2"/>
  <c r="L980" i="2"/>
  <c r="L979" i="2"/>
  <c r="L978" i="2"/>
  <c r="L977" i="2"/>
  <c r="L976" i="2"/>
  <c r="L975" i="2"/>
  <c r="L974" i="2"/>
  <c r="L973" i="2"/>
  <c r="L972" i="2"/>
  <c r="L971" i="2"/>
  <c r="L970" i="2"/>
  <c r="L969" i="2"/>
  <c r="L968" i="2"/>
  <c r="L967" i="2"/>
  <c r="L966" i="2"/>
  <c r="L965" i="2"/>
  <c r="L964" i="2"/>
  <c r="L963" i="2"/>
  <c r="L962" i="2"/>
  <c r="L961" i="2"/>
  <c r="L960" i="2"/>
  <c r="L959" i="2"/>
  <c r="L958" i="2"/>
  <c r="L957" i="2"/>
  <c r="L956" i="2"/>
  <c r="L955" i="2"/>
  <c r="L954" i="2"/>
  <c r="L953" i="2"/>
  <c r="L952" i="2"/>
  <c r="L951" i="2"/>
  <c r="L950" i="2"/>
  <c r="L949" i="2"/>
  <c r="L948" i="2"/>
  <c r="L947" i="2"/>
  <c r="L946" i="2"/>
  <c r="L945" i="2"/>
  <c r="L944" i="2"/>
  <c r="L943" i="2"/>
  <c r="L942" i="2"/>
  <c r="L941" i="2"/>
  <c r="L940" i="2"/>
  <c r="L939" i="2"/>
  <c r="L938" i="2"/>
  <c r="L937" i="2"/>
  <c r="L936" i="2"/>
  <c r="L935" i="2"/>
  <c r="L934" i="2"/>
  <c r="L933" i="2"/>
  <c r="L932" i="2"/>
  <c r="L931" i="2"/>
  <c r="L930" i="2"/>
  <c r="L929" i="2"/>
  <c r="L928" i="2"/>
  <c r="L927" i="2"/>
  <c r="L926" i="2"/>
  <c r="L925" i="2"/>
  <c r="L924" i="2"/>
  <c r="L923" i="2"/>
  <c r="L922" i="2"/>
  <c r="L921" i="2"/>
  <c r="L920" i="2"/>
  <c r="L919" i="2"/>
  <c r="L918" i="2"/>
  <c r="L917" i="2"/>
  <c r="L916" i="2"/>
  <c r="L915" i="2"/>
  <c r="L914" i="2"/>
  <c r="L913" i="2"/>
  <c r="L912" i="2"/>
  <c r="L911" i="2"/>
  <c r="L910" i="2"/>
  <c r="L909" i="2"/>
  <c r="L908" i="2"/>
  <c r="L907" i="2"/>
  <c r="L906" i="2"/>
  <c r="L905" i="2"/>
  <c r="L904" i="2"/>
  <c r="L903" i="2"/>
  <c r="L902" i="2"/>
  <c r="L901" i="2"/>
  <c r="L900" i="2"/>
  <c r="L899" i="2"/>
  <c r="L898" i="2"/>
  <c r="L897" i="2"/>
  <c r="L896" i="2"/>
  <c r="L895" i="2"/>
  <c r="L894" i="2"/>
  <c r="L893" i="2"/>
  <c r="L892" i="2"/>
  <c r="L891" i="2"/>
  <c r="L890" i="2"/>
  <c r="L889" i="2"/>
  <c r="L888" i="2"/>
  <c r="L887" i="2"/>
  <c r="L886" i="2"/>
  <c r="L885" i="2"/>
  <c r="L884" i="2"/>
  <c r="L883" i="2"/>
  <c r="L882" i="2"/>
  <c r="L881" i="2"/>
  <c r="L880" i="2"/>
  <c r="L879" i="2"/>
  <c r="L878" i="2"/>
  <c r="L877" i="2"/>
  <c r="L876" i="2"/>
  <c r="L875" i="2"/>
  <c r="L874" i="2"/>
  <c r="L873" i="2"/>
  <c r="L872" i="2"/>
  <c r="L871" i="2"/>
  <c r="L870" i="2"/>
  <c r="L869" i="2"/>
  <c r="L868" i="2"/>
  <c r="L867" i="2"/>
  <c r="L866" i="2"/>
  <c r="L865" i="2"/>
  <c r="L864" i="2"/>
  <c r="L863" i="2"/>
  <c r="L862" i="2"/>
  <c r="L861" i="2"/>
  <c r="L860" i="2"/>
  <c r="L859" i="2"/>
  <c r="L858" i="2"/>
  <c r="L857" i="2"/>
  <c r="L856" i="2"/>
  <c r="L855" i="2"/>
  <c r="L854" i="2"/>
  <c r="L853" i="2"/>
  <c r="L852" i="2"/>
  <c r="L851" i="2"/>
  <c r="L850" i="2"/>
  <c r="L849" i="2"/>
  <c r="L848" i="2"/>
  <c r="L847" i="2"/>
  <c r="L846" i="2"/>
  <c r="L845" i="2"/>
  <c r="L844" i="2"/>
  <c r="L843" i="2"/>
  <c r="L842" i="2"/>
  <c r="L841" i="2"/>
  <c r="L840" i="2"/>
  <c r="L839" i="2"/>
  <c r="L838" i="2"/>
  <c r="L837" i="2"/>
  <c r="L836" i="2"/>
  <c r="L835" i="2"/>
  <c r="L834" i="2"/>
  <c r="L833" i="2"/>
  <c r="L832" i="2"/>
  <c r="L831" i="2"/>
  <c r="L830" i="2"/>
  <c r="L829" i="2"/>
  <c r="L828" i="2"/>
  <c r="L827" i="2"/>
  <c r="L826" i="2"/>
  <c r="L825" i="2"/>
  <c r="L824" i="2"/>
  <c r="L823" i="2"/>
  <c r="L822" i="2"/>
  <c r="L821" i="2"/>
  <c r="L820" i="2"/>
  <c r="L819" i="2"/>
  <c r="L818" i="2"/>
  <c r="L817" i="2"/>
  <c r="L816" i="2"/>
  <c r="L815" i="2"/>
  <c r="L814" i="2"/>
  <c r="L813" i="2"/>
  <c r="L812" i="2"/>
  <c r="L811" i="2"/>
  <c r="L810" i="2"/>
  <c r="L809" i="2"/>
  <c r="L808" i="2"/>
  <c r="L807" i="2"/>
  <c r="L806" i="2"/>
  <c r="L805" i="2"/>
  <c r="L804" i="2"/>
  <c r="L803" i="2"/>
  <c r="L802" i="2"/>
  <c r="L801" i="2"/>
  <c r="L800" i="2"/>
  <c r="L799" i="2"/>
  <c r="L798" i="2"/>
  <c r="L797" i="2"/>
  <c r="L796" i="2"/>
  <c r="L795" i="2"/>
  <c r="L794" i="2"/>
  <c r="L793" i="2"/>
  <c r="L792" i="2"/>
  <c r="L791" i="2"/>
  <c r="L790" i="2"/>
  <c r="L789" i="2"/>
  <c r="L788" i="2"/>
  <c r="L787" i="2"/>
  <c r="L786" i="2"/>
  <c r="L785" i="2"/>
  <c r="L784" i="2"/>
  <c r="L783" i="2"/>
  <c r="L782" i="2"/>
  <c r="L781" i="2"/>
  <c r="L780" i="2"/>
  <c r="L779" i="2"/>
  <c r="L778" i="2"/>
  <c r="L777" i="2"/>
  <c r="L776" i="2"/>
  <c r="L775" i="2"/>
  <c r="L774" i="2"/>
  <c r="L773" i="2"/>
  <c r="L772" i="2"/>
  <c r="L771" i="2"/>
  <c r="L770" i="2"/>
  <c r="L769" i="2"/>
  <c r="L768" i="2"/>
  <c r="L767" i="2"/>
  <c r="L766" i="2"/>
  <c r="L765" i="2"/>
  <c r="L764" i="2"/>
  <c r="L763" i="2"/>
  <c r="L762" i="2"/>
  <c r="L761" i="2"/>
  <c r="L760" i="2"/>
  <c r="L759" i="2"/>
  <c r="L758" i="2"/>
  <c r="L757" i="2"/>
  <c r="L756" i="2"/>
  <c r="L755" i="2"/>
  <c r="L754" i="2"/>
  <c r="L753" i="2"/>
  <c r="L752" i="2"/>
  <c r="L751" i="2"/>
  <c r="L750" i="2"/>
  <c r="L749" i="2"/>
  <c r="L748" i="2"/>
  <c r="L747" i="2"/>
  <c r="L746" i="2"/>
  <c r="L745" i="2"/>
  <c r="L744" i="2"/>
  <c r="L743" i="2"/>
  <c r="L742" i="2"/>
  <c r="L741" i="2"/>
  <c r="L740" i="2"/>
  <c r="L739" i="2"/>
  <c r="L738" i="2"/>
  <c r="L737" i="2"/>
  <c r="L736" i="2"/>
  <c r="L735" i="2"/>
  <c r="L734" i="2"/>
  <c r="L733" i="2"/>
  <c r="L732" i="2"/>
  <c r="L731" i="2"/>
  <c r="L730" i="2"/>
  <c r="L729" i="2"/>
  <c r="L728" i="2"/>
  <c r="L727" i="2"/>
  <c r="L726" i="2"/>
  <c r="L725" i="2"/>
  <c r="L724" i="2"/>
  <c r="L723" i="2"/>
  <c r="L722" i="2"/>
  <c r="L721" i="2"/>
  <c r="L720" i="2"/>
  <c r="L719" i="2"/>
  <c r="L718" i="2"/>
  <c r="L717" i="2"/>
  <c r="L716" i="2"/>
  <c r="L715" i="2"/>
  <c r="L714" i="2"/>
  <c r="L713" i="2"/>
  <c r="L712" i="2"/>
  <c r="L711" i="2"/>
  <c r="L710" i="2"/>
  <c r="L709" i="2"/>
  <c r="L708" i="2"/>
  <c r="L707" i="2"/>
  <c r="L706" i="2"/>
  <c r="L705" i="2"/>
  <c r="L704" i="2"/>
  <c r="L703" i="2"/>
  <c r="L702" i="2"/>
  <c r="L701" i="2"/>
  <c r="L700" i="2"/>
  <c r="L699" i="2"/>
  <c r="L698" i="2"/>
  <c r="L697" i="2"/>
  <c r="L696" i="2"/>
  <c r="L695" i="2"/>
  <c r="L694" i="2"/>
  <c r="L693" i="2"/>
  <c r="L692" i="2"/>
  <c r="L691" i="2"/>
  <c r="L690" i="2"/>
  <c r="L689" i="2"/>
  <c r="L688" i="2"/>
  <c r="L687" i="2"/>
  <c r="L686" i="2"/>
  <c r="L685" i="2"/>
  <c r="L684" i="2"/>
  <c r="L683" i="2"/>
  <c r="L682" i="2"/>
  <c r="L681" i="2"/>
  <c r="L680" i="2"/>
  <c r="L679" i="2"/>
  <c r="L678" i="2"/>
  <c r="L677" i="2"/>
  <c r="L676" i="2"/>
  <c r="L675" i="2"/>
  <c r="L674" i="2"/>
  <c r="L673" i="2"/>
  <c r="L672" i="2"/>
  <c r="L671" i="2"/>
  <c r="L670" i="2"/>
  <c r="L669" i="2"/>
  <c r="L668" i="2"/>
  <c r="L667" i="2"/>
  <c r="L666" i="2"/>
  <c r="L665" i="2"/>
  <c r="L664" i="2"/>
  <c r="L663" i="2"/>
  <c r="L662" i="2"/>
  <c r="L661" i="2"/>
  <c r="L660" i="2"/>
  <c r="L659" i="2"/>
  <c r="L658" i="2"/>
  <c r="L657" i="2"/>
  <c r="L656" i="2"/>
  <c r="L655" i="2"/>
  <c r="L654" i="2"/>
  <c r="L653" i="2"/>
  <c r="L652" i="2"/>
  <c r="L651" i="2"/>
  <c r="L650" i="2"/>
  <c r="L649" i="2"/>
  <c r="L648" i="2"/>
  <c r="L647" i="2"/>
  <c r="L646" i="2"/>
  <c r="L645" i="2"/>
  <c r="L644" i="2"/>
  <c r="L643" i="2"/>
  <c r="L642" i="2"/>
  <c r="L641" i="2"/>
  <c r="L640" i="2"/>
  <c r="L639" i="2"/>
  <c r="L638" i="2"/>
  <c r="L637" i="2"/>
  <c r="L636" i="2"/>
  <c r="L635" i="2"/>
  <c r="L634" i="2"/>
  <c r="L633" i="2"/>
  <c r="L632" i="2"/>
  <c r="L631" i="2"/>
  <c r="L630" i="2"/>
  <c r="L629" i="2"/>
  <c r="L628" i="2"/>
  <c r="L627" i="2"/>
  <c r="L626" i="2"/>
  <c r="L625" i="2"/>
  <c r="L624" i="2"/>
  <c r="L623" i="2"/>
  <c r="L622" i="2"/>
  <c r="L621" i="2"/>
  <c r="L620" i="2"/>
  <c r="L619" i="2"/>
  <c r="L618" i="2"/>
  <c r="L617" i="2"/>
  <c r="L616" i="2"/>
  <c r="L615" i="2"/>
  <c r="L614" i="2"/>
  <c r="L613" i="2"/>
  <c r="L612" i="2"/>
  <c r="L611" i="2"/>
  <c r="L610" i="2"/>
  <c r="L609" i="2"/>
  <c r="L608" i="2"/>
  <c r="L607" i="2"/>
  <c r="L606" i="2"/>
  <c r="L605" i="2"/>
  <c r="L604" i="2"/>
  <c r="L603" i="2"/>
  <c r="L602" i="2"/>
  <c r="L601" i="2"/>
  <c r="L600" i="2"/>
  <c r="L599" i="2"/>
  <c r="L598" i="2"/>
  <c r="L597" i="2"/>
  <c r="L596" i="2"/>
  <c r="L595" i="2"/>
  <c r="L594" i="2"/>
  <c r="L593" i="2"/>
  <c r="L592" i="2"/>
  <c r="L591" i="2"/>
  <c r="L590" i="2"/>
  <c r="L589" i="2"/>
  <c r="L588" i="2"/>
  <c r="L587" i="2"/>
  <c r="L586" i="2"/>
  <c r="L585" i="2"/>
  <c r="L584" i="2"/>
  <c r="L583" i="2"/>
  <c r="L582" i="2"/>
  <c r="L581" i="2"/>
  <c r="L580" i="2"/>
  <c r="L579" i="2"/>
  <c r="L578" i="2"/>
  <c r="L577" i="2"/>
  <c r="L576" i="2"/>
  <c r="L575" i="2"/>
  <c r="L574" i="2"/>
  <c r="L573" i="2"/>
  <c r="L572" i="2"/>
  <c r="L571" i="2"/>
  <c r="L570" i="2"/>
  <c r="L569" i="2"/>
  <c r="L568" i="2"/>
  <c r="L567" i="2"/>
  <c r="L566" i="2"/>
  <c r="L565" i="2"/>
  <c r="L564" i="2"/>
  <c r="L563" i="2"/>
  <c r="L562" i="2"/>
  <c r="L561" i="2"/>
  <c r="L560" i="2"/>
  <c r="L559" i="2"/>
  <c r="L558" i="2"/>
  <c r="L557" i="2"/>
  <c r="L556" i="2"/>
  <c r="L555" i="2"/>
  <c r="L554" i="2"/>
  <c r="L553" i="2"/>
  <c r="L552" i="2"/>
  <c r="L551" i="2"/>
  <c r="L550" i="2"/>
  <c r="L549" i="2"/>
  <c r="L548" i="2"/>
  <c r="L547" i="2"/>
  <c r="L546" i="2"/>
  <c r="L545" i="2"/>
  <c r="L544" i="2"/>
  <c r="L543" i="2"/>
  <c r="L542" i="2"/>
  <c r="L541" i="2"/>
  <c r="L540" i="2"/>
  <c r="L539" i="2"/>
  <c r="L538" i="2"/>
  <c r="L537" i="2"/>
  <c r="L536" i="2"/>
  <c r="L535" i="2"/>
  <c r="L534" i="2"/>
  <c r="L533" i="2"/>
  <c r="L532" i="2"/>
  <c r="L531" i="2"/>
  <c r="L530" i="2"/>
  <c r="L529" i="2"/>
  <c r="L528" i="2"/>
  <c r="L527" i="2"/>
  <c r="L526" i="2"/>
  <c r="L525" i="2"/>
  <c r="L524" i="2"/>
  <c r="L523" i="2"/>
  <c r="L522" i="2"/>
  <c r="L521" i="2"/>
  <c r="L520" i="2"/>
  <c r="L519" i="2"/>
  <c r="L518" i="2"/>
  <c r="L517" i="2"/>
  <c r="L516" i="2"/>
  <c r="L515" i="2"/>
  <c r="L514" i="2"/>
  <c r="L513" i="2"/>
  <c r="L512" i="2"/>
  <c r="L511" i="2"/>
  <c r="L510" i="2"/>
  <c r="L509" i="2"/>
  <c r="L508" i="2"/>
  <c r="L507" i="2"/>
  <c r="L506" i="2"/>
  <c r="L505" i="2"/>
  <c r="L504" i="2"/>
  <c r="L503" i="2"/>
  <c r="L502" i="2"/>
  <c r="L501" i="2"/>
  <c r="L500" i="2"/>
  <c r="L499" i="2"/>
  <c r="L498" i="2"/>
  <c r="L497" i="2"/>
  <c r="L496" i="2"/>
  <c r="L495" i="2"/>
  <c r="L494" i="2"/>
  <c r="L493" i="2"/>
  <c r="L492" i="2"/>
  <c r="L491" i="2"/>
  <c r="L490" i="2"/>
  <c r="L489" i="2"/>
  <c r="L488" i="2"/>
  <c r="L487" i="2"/>
  <c r="L486" i="2"/>
  <c r="L485" i="2"/>
  <c r="L484" i="2"/>
  <c r="L483" i="2"/>
  <c r="L482" i="2"/>
  <c r="L481" i="2"/>
  <c r="L480" i="2"/>
  <c r="L479" i="2"/>
  <c r="L478" i="2"/>
  <c r="L477" i="2"/>
  <c r="L476" i="2"/>
  <c r="L475" i="2"/>
  <c r="L474" i="2"/>
  <c r="L473" i="2"/>
  <c r="L472" i="2"/>
  <c r="L471" i="2"/>
  <c r="L470" i="2"/>
  <c r="L469" i="2"/>
  <c r="L468" i="2"/>
  <c r="L467" i="2"/>
  <c r="L466" i="2"/>
  <c r="L465" i="2"/>
  <c r="L464" i="2"/>
  <c r="L463" i="2"/>
  <c r="L462" i="2"/>
  <c r="L461" i="2"/>
  <c r="L460" i="2"/>
  <c r="L459" i="2"/>
  <c r="L458" i="2"/>
  <c r="L457" i="2"/>
  <c r="L456" i="2"/>
  <c r="L455" i="2"/>
  <c r="L454" i="2"/>
  <c r="L453" i="2"/>
  <c r="L452" i="2"/>
  <c r="L451" i="2"/>
  <c r="L450" i="2"/>
  <c r="L449" i="2"/>
  <c r="L448" i="2"/>
  <c r="L447" i="2"/>
  <c r="L446" i="2"/>
  <c r="L445" i="2"/>
  <c r="L444" i="2"/>
  <c r="L443" i="2"/>
  <c r="L442" i="2"/>
  <c r="L441" i="2"/>
  <c r="L440" i="2"/>
  <c r="L439" i="2"/>
  <c r="L438" i="2"/>
  <c r="L437" i="2"/>
  <c r="L436" i="2"/>
  <c r="L435" i="2"/>
  <c r="L434" i="2"/>
  <c r="L433" i="2"/>
  <c r="L432" i="2"/>
  <c r="L431" i="2"/>
  <c r="L430" i="2"/>
  <c r="L429" i="2"/>
  <c r="L428" i="2"/>
  <c r="L427" i="2"/>
  <c r="L426" i="2"/>
  <c r="L425" i="2"/>
  <c r="L424" i="2"/>
  <c r="L423" i="2"/>
  <c r="L422" i="2"/>
  <c r="L421" i="2"/>
  <c r="L420" i="2"/>
  <c r="L419" i="2"/>
  <c r="L418" i="2"/>
  <c r="L417" i="2"/>
  <c r="L416" i="2"/>
  <c r="L415" i="2"/>
  <c r="L414" i="2"/>
  <c r="L413" i="2"/>
  <c r="L412" i="2"/>
  <c r="L411" i="2"/>
  <c r="L410" i="2"/>
  <c r="L409" i="2"/>
  <c r="L408" i="2"/>
  <c r="L407" i="2"/>
  <c r="L406" i="2"/>
  <c r="L405" i="2"/>
  <c r="L404" i="2"/>
  <c r="L403" i="2"/>
  <c r="L402" i="2"/>
  <c r="L401" i="2"/>
  <c r="L400" i="2"/>
  <c r="L399" i="2"/>
  <c r="L398" i="2"/>
  <c r="L397" i="2"/>
  <c r="L396" i="2"/>
  <c r="L395" i="2"/>
  <c r="L394" i="2"/>
  <c r="L393" i="2"/>
  <c r="L392" i="2"/>
  <c r="L391" i="2"/>
  <c r="L390" i="2"/>
  <c r="L389" i="2"/>
  <c r="L388" i="2"/>
  <c r="L387" i="2"/>
  <c r="L386" i="2"/>
  <c r="L385" i="2"/>
  <c r="L384" i="2"/>
  <c r="L383" i="2"/>
  <c r="L382" i="2"/>
  <c r="L381" i="2"/>
  <c r="L380" i="2"/>
  <c r="L379" i="2"/>
  <c r="L378" i="2"/>
  <c r="L377" i="2"/>
  <c r="L376" i="2"/>
  <c r="L375" i="2"/>
  <c r="L374" i="2"/>
  <c r="L373" i="2"/>
  <c r="L372" i="2"/>
  <c r="L371" i="2"/>
  <c r="L370" i="2"/>
  <c r="L369" i="2"/>
  <c r="L368" i="2"/>
  <c r="L367" i="2"/>
  <c r="L366" i="2"/>
  <c r="L365" i="2"/>
  <c r="L364" i="2"/>
  <c r="L363" i="2"/>
  <c r="L362" i="2"/>
  <c r="L361" i="2"/>
  <c r="L360" i="2"/>
  <c r="L359" i="2"/>
  <c r="L358" i="2"/>
  <c r="L357" i="2"/>
  <c r="L356" i="2"/>
  <c r="L355" i="2"/>
  <c r="L354" i="2"/>
  <c r="L353" i="2"/>
  <c r="L352" i="2"/>
  <c r="L351" i="2"/>
  <c r="L350" i="2"/>
  <c r="L349" i="2"/>
  <c r="L348" i="2"/>
  <c r="L347" i="2"/>
  <c r="L346" i="2"/>
  <c r="L345" i="2"/>
  <c r="L344" i="2"/>
  <c r="L343" i="2"/>
  <c r="L342" i="2"/>
  <c r="L341" i="2"/>
  <c r="L340" i="2"/>
  <c r="L339" i="2"/>
  <c r="L338" i="2"/>
  <c r="L337" i="2"/>
  <c r="L336" i="2"/>
  <c r="L335" i="2"/>
  <c r="L334" i="2"/>
  <c r="L333" i="2"/>
  <c r="L332" i="2"/>
  <c r="L331" i="2"/>
  <c r="L330" i="2"/>
  <c r="L329" i="2"/>
  <c r="L328" i="2"/>
  <c r="L327" i="2"/>
  <c r="L326" i="2"/>
  <c r="L325" i="2"/>
  <c r="L324" i="2"/>
  <c r="L323" i="2"/>
  <c r="L322" i="2"/>
  <c r="L321" i="2"/>
  <c r="L320" i="2"/>
  <c r="L319" i="2"/>
  <c r="L318" i="2"/>
  <c r="L317" i="2"/>
  <c r="L316" i="2"/>
  <c r="L315" i="2"/>
  <c r="L314" i="2"/>
  <c r="L313" i="2"/>
  <c r="L312" i="2"/>
  <c r="L311" i="2"/>
  <c r="L310" i="2"/>
  <c r="L309" i="2"/>
  <c r="L308" i="2"/>
  <c r="L307" i="2"/>
  <c r="L306" i="2"/>
  <c r="L305" i="2"/>
  <c r="L304" i="2"/>
  <c r="L303" i="2"/>
  <c r="L302" i="2"/>
  <c r="L301" i="2"/>
  <c r="L300" i="2"/>
  <c r="L299" i="2"/>
  <c r="L298" i="2"/>
  <c r="L297" i="2"/>
  <c r="L296" i="2"/>
  <c r="L295" i="2"/>
  <c r="L294" i="2"/>
  <c r="L293" i="2"/>
  <c r="L292" i="2"/>
  <c r="L291" i="2"/>
  <c r="L290" i="2"/>
  <c r="L289" i="2"/>
  <c r="L288" i="2"/>
  <c r="L287" i="2"/>
  <c r="L286" i="2"/>
  <c r="L285" i="2"/>
  <c r="L284" i="2"/>
  <c r="L283" i="2"/>
  <c r="L282" i="2"/>
  <c r="L281" i="2"/>
  <c r="L280" i="2"/>
  <c r="L279" i="2"/>
  <c r="L278" i="2"/>
  <c r="L277" i="2"/>
  <c r="L276" i="2"/>
  <c r="L275" i="2"/>
  <c r="L274" i="2"/>
  <c r="L273" i="2"/>
  <c r="L272" i="2"/>
  <c r="L271" i="2"/>
  <c r="L270" i="2"/>
  <c r="L269" i="2"/>
  <c r="L268" i="2"/>
  <c r="L267" i="2"/>
  <c r="L266" i="2"/>
  <c r="L265" i="2"/>
  <c r="L264" i="2"/>
  <c r="L263" i="2"/>
  <c r="L262" i="2"/>
  <c r="L261" i="2"/>
  <c r="L260" i="2"/>
  <c r="L259" i="2"/>
  <c r="L258" i="2"/>
  <c r="L257" i="2"/>
  <c r="L256" i="2"/>
  <c r="L255" i="2"/>
  <c r="L254" i="2"/>
  <c r="L253" i="2"/>
  <c r="L252" i="2"/>
  <c r="L251" i="2"/>
  <c r="L250" i="2"/>
  <c r="L249" i="2"/>
  <c r="L248" i="2"/>
  <c r="L247" i="2"/>
  <c r="L246" i="2"/>
  <c r="L245" i="2"/>
  <c r="L244" i="2"/>
  <c r="L243" i="2"/>
  <c r="L242" i="2"/>
  <c r="L241" i="2"/>
  <c r="L240" i="2"/>
  <c r="L239" i="2"/>
  <c r="L238" i="2"/>
  <c r="L237" i="2"/>
  <c r="L236" i="2"/>
  <c r="L235" i="2"/>
  <c r="L234" i="2"/>
  <c r="L233" i="2"/>
  <c r="L232" i="2"/>
  <c r="L231" i="2"/>
  <c r="L230" i="2"/>
  <c r="L229" i="2"/>
  <c r="L228" i="2"/>
  <c r="L227" i="2"/>
  <c r="L226" i="2"/>
  <c r="L225" i="2"/>
  <c r="L224" i="2"/>
  <c r="L223" i="2"/>
  <c r="L222" i="2"/>
  <c r="L221" i="2"/>
  <c r="L220" i="2"/>
  <c r="L219" i="2"/>
  <c r="L218" i="2"/>
  <c r="L217" i="2"/>
  <c r="L216" i="2"/>
  <c r="L215" i="2"/>
  <c r="L214" i="2"/>
  <c r="L213" i="2"/>
  <c r="L212" i="2"/>
  <c r="L211" i="2"/>
  <c r="L210" i="2"/>
  <c r="L209" i="2"/>
  <c r="L208" i="2"/>
  <c r="L207" i="2"/>
  <c r="L206" i="2"/>
  <c r="L205" i="2"/>
  <c r="L204" i="2"/>
  <c r="L203" i="2"/>
  <c r="L202" i="2"/>
  <c r="L201" i="2"/>
  <c r="L200" i="2"/>
  <c r="L199" i="2"/>
  <c r="L198" i="2"/>
  <c r="L197" i="2"/>
  <c r="L196" i="2"/>
  <c r="L195" i="2"/>
  <c r="L194" i="2"/>
  <c r="L193" i="2"/>
  <c r="L192" i="2"/>
  <c r="L191" i="2"/>
  <c r="L190" i="2"/>
  <c r="L189" i="2"/>
  <c r="L188" i="2"/>
  <c r="L187" i="2"/>
  <c r="L186" i="2"/>
  <c r="L185" i="2"/>
  <c r="L177" i="2"/>
  <c r="L176" i="2"/>
  <c r="AA53" i="3"/>
  <c r="Z53" i="3"/>
  <c r="Y53" i="3"/>
  <c r="X53" i="3"/>
  <c r="W53" i="3"/>
  <c r="V53" i="3"/>
  <c r="AA52" i="3"/>
  <c r="Z52" i="3"/>
  <c r="Y52" i="3"/>
  <c r="X52" i="3"/>
  <c r="W52" i="3"/>
  <c r="V52" i="3"/>
  <c r="AA51" i="3"/>
  <c r="Z51" i="3"/>
  <c r="Y51" i="3"/>
  <c r="X51" i="3"/>
  <c r="W51" i="3"/>
  <c r="V51" i="3"/>
  <c r="AA50" i="3"/>
  <c r="Z50" i="3"/>
  <c r="Y50" i="3"/>
  <c r="X50" i="3"/>
  <c r="W50" i="3"/>
  <c r="V50" i="3"/>
  <c r="AA49" i="3"/>
  <c r="Z49" i="3"/>
  <c r="Y49" i="3"/>
  <c r="X49" i="3"/>
  <c r="W49" i="3"/>
  <c r="V49" i="3"/>
  <c r="AA48" i="3"/>
  <c r="Z48" i="3"/>
  <c r="Y48" i="3"/>
  <c r="X48" i="3"/>
  <c r="W48" i="3"/>
  <c r="V48" i="3"/>
  <c r="AA47" i="3"/>
  <c r="Z47" i="3"/>
  <c r="Y47" i="3"/>
  <c r="X47" i="3"/>
  <c r="W47" i="3"/>
  <c r="V47" i="3"/>
  <c r="AA46" i="3"/>
  <c r="Z46" i="3"/>
  <c r="Y46" i="3"/>
  <c r="X46" i="3"/>
  <c r="W46" i="3"/>
  <c r="V46" i="3"/>
  <c r="AA45" i="3"/>
  <c r="Z45" i="3"/>
  <c r="Y45" i="3"/>
  <c r="X45" i="3"/>
  <c r="W45" i="3"/>
  <c r="V45" i="3"/>
  <c r="AA44" i="3"/>
  <c r="Z44" i="3"/>
  <c r="Y44" i="3"/>
  <c r="X44" i="3"/>
  <c r="W44" i="3"/>
  <c r="V44" i="3"/>
  <c r="AA43" i="3"/>
  <c r="Z43" i="3"/>
  <c r="Y43" i="3"/>
  <c r="X43" i="3"/>
  <c r="W43" i="3"/>
  <c r="V43" i="3"/>
  <c r="AA42" i="3"/>
  <c r="Z42" i="3"/>
  <c r="Y42" i="3"/>
  <c r="X42" i="3"/>
  <c r="W42" i="3"/>
  <c r="V42" i="3"/>
  <c r="AA41" i="3"/>
  <c r="Z41" i="3"/>
  <c r="Y41" i="3"/>
  <c r="X41" i="3"/>
  <c r="W41" i="3"/>
  <c r="V41" i="3"/>
  <c r="AA40" i="3"/>
  <c r="Z40" i="3"/>
  <c r="Y40" i="3"/>
  <c r="X40" i="3"/>
  <c r="W40" i="3"/>
  <c r="V40" i="3"/>
  <c r="AA39" i="3"/>
  <c r="Z39" i="3"/>
  <c r="Y39" i="3"/>
  <c r="X39" i="3"/>
  <c r="W39" i="3"/>
  <c r="V39" i="3"/>
  <c r="AA38" i="3"/>
  <c r="Z38" i="3"/>
  <c r="Y38" i="3"/>
  <c r="X38" i="3"/>
  <c r="W38" i="3"/>
  <c r="V38" i="3"/>
  <c r="AA37" i="3"/>
  <c r="Z37" i="3"/>
  <c r="Y37" i="3"/>
  <c r="X37" i="3"/>
  <c r="W37" i="3"/>
  <c r="V37" i="3"/>
  <c r="AA36" i="3"/>
  <c r="Z36" i="3"/>
  <c r="Y36" i="3"/>
  <c r="X36" i="3"/>
  <c r="W36" i="3"/>
  <c r="V36" i="3"/>
  <c r="AA35" i="3"/>
  <c r="Z35" i="3"/>
  <c r="Y35" i="3"/>
  <c r="X35" i="3"/>
  <c r="W35" i="3"/>
  <c r="V35" i="3"/>
  <c r="AA34" i="3"/>
  <c r="Z34" i="3"/>
  <c r="Y34" i="3"/>
  <c r="X34" i="3"/>
  <c r="W34" i="3"/>
  <c r="V34" i="3"/>
  <c r="AA33" i="3"/>
  <c r="Z33" i="3"/>
  <c r="Y33" i="3"/>
  <c r="X33" i="3"/>
  <c r="W33" i="3"/>
  <c r="V33" i="3"/>
  <c r="AA32" i="3"/>
  <c r="Z32" i="3"/>
  <c r="Y32" i="3"/>
  <c r="X32" i="3"/>
  <c r="W32" i="3"/>
  <c r="V32" i="3"/>
  <c r="AA31" i="3"/>
  <c r="Z31" i="3"/>
  <c r="Y31" i="3"/>
  <c r="X31" i="3"/>
  <c r="W31" i="3"/>
  <c r="V31" i="3"/>
  <c r="AA30" i="3"/>
  <c r="Z30" i="3"/>
  <c r="Y30" i="3"/>
  <c r="X30" i="3"/>
  <c r="W30" i="3"/>
  <c r="V30" i="3"/>
  <c r="AA29" i="3"/>
  <c r="Z29" i="3"/>
  <c r="Y29" i="3"/>
  <c r="X29" i="3"/>
  <c r="W29" i="3"/>
  <c r="V29" i="3"/>
  <c r="AA28" i="3"/>
  <c r="Z28" i="3"/>
  <c r="Y28" i="3"/>
  <c r="X28" i="3"/>
  <c r="W28" i="3"/>
  <c r="V28" i="3"/>
  <c r="AA27" i="3"/>
  <c r="Z27" i="3"/>
  <c r="Y27" i="3"/>
  <c r="X27" i="3"/>
  <c r="W27" i="3"/>
  <c r="V27" i="3"/>
  <c r="AA26" i="3"/>
  <c r="Z26" i="3"/>
  <c r="Y26" i="3"/>
  <c r="X26" i="3"/>
  <c r="W26" i="3"/>
  <c r="V26" i="3"/>
  <c r="AA25" i="3"/>
  <c r="Z25" i="3"/>
  <c r="Y25" i="3"/>
  <c r="X25" i="3"/>
  <c r="W25" i="3"/>
  <c r="V25" i="3"/>
  <c r="AA24" i="3"/>
  <c r="Z24" i="3"/>
  <c r="Y24" i="3"/>
  <c r="X24" i="3"/>
  <c r="W24" i="3"/>
  <c r="V24" i="3"/>
  <c r="AA23" i="3"/>
  <c r="Z23" i="3"/>
  <c r="Y23" i="3"/>
  <c r="X23" i="3"/>
  <c r="W23" i="3"/>
  <c r="V23" i="3"/>
  <c r="AA22" i="3"/>
  <c r="Z22" i="3"/>
  <c r="Y22" i="3"/>
  <c r="X22" i="3"/>
  <c r="W22" i="3"/>
  <c r="V22" i="3"/>
  <c r="AA21" i="3"/>
  <c r="Z21" i="3"/>
  <c r="Y21" i="3"/>
  <c r="X21" i="3"/>
  <c r="W21" i="3"/>
  <c r="V21" i="3"/>
  <c r="AA20" i="3"/>
  <c r="Z20" i="3"/>
  <c r="Y20" i="3"/>
  <c r="X20" i="3"/>
  <c r="W20" i="3"/>
  <c r="V20" i="3"/>
  <c r="AA19" i="3"/>
  <c r="Z19" i="3"/>
  <c r="Y19" i="3"/>
  <c r="X19" i="3"/>
  <c r="W19" i="3"/>
  <c r="V19" i="3"/>
  <c r="AA18" i="3"/>
  <c r="Z18" i="3"/>
  <c r="Y18" i="3"/>
  <c r="X18" i="3"/>
  <c r="W18" i="3"/>
  <c r="V18" i="3"/>
  <c r="AA17" i="3"/>
  <c r="Z17" i="3"/>
  <c r="Y17" i="3"/>
  <c r="X17" i="3"/>
  <c r="W17" i="3"/>
  <c r="V17" i="3"/>
  <c r="AA16" i="3"/>
  <c r="Z16" i="3"/>
  <c r="Y16" i="3"/>
  <c r="X16" i="3"/>
  <c r="W16" i="3"/>
  <c r="V16" i="3"/>
  <c r="AA15" i="3"/>
  <c r="Z15" i="3"/>
  <c r="Y15" i="3"/>
  <c r="X15" i="3"/>
  <c r="W15" i="3"/>
  <c r="V15" i="3"/>
  <c r="AA14" i="3"/>
  <c r="Z14" i="3"/>
  <c r="Y14" i="3"/>
  <c r="X14" i="3"/>
  <c r="W14" i="3"/>
  <c r="V14" i="3"/>
  <c r="K1" i="3"/>
  <c r="AC12" i="3" l="1"/>
  <c r="AC8" i="3"/>
  <c r="AB9" i="3"/>
  <c r="AB12" i="3"/>
  <c r="AB10" i="3"/>
  <c r="AB8" i="3"/>
  <c r="AC9" i="3"/>
  <c r="AC7" i="3"/>
  <c r="AC11" i="3"/>
  <c r="AB11" i="3"/>
  <c r="AC13" i="3"/>
  <c r="AB13" i="3"/>
  <c r="AB7" i="3"/>
  <c r="AC10" i="3"/>
  <c r="AB6" i="3"/>
  <c r="AC6" i="3"/>
  <c r="I4" i="12"/>
  <c r="J4" i="12"/>
  <c r="O4" i="2"/>
  <c r="N4" i="2"/>
  <c r="F4" i="2"/>
  <c r="Q4" i="2" l="1"/>
  <c r="K4" i="2"/>
  <c r="P4" i="2"/>
  <c r="J4" i="2"/>
  <c r="O1002" i="2"/>
  <c r="N1002" i="2"/>
  <c r="O1001" i="2"/>
  <c r="N1001" i="2"/>
  <c r="O1000" i="2"/>
  <c r="N1000" i="2"/>
  <c r="O999" i="2"/>
  <c r="N999" i="2"/>
  <c r="O998" i="2"/>
  <c r="N998" i="2"/>
  <c r="O997" i="2"/>
  <c r="N997" i="2"/>
  <c r="O996" i="2"/>
  <c r="N996" i="2"/>
  <c r="O995" i="2"/>
  <c r="N995" i="2"/>
  <c r="O994" i="2"/>
  <c r="N994" i="2"/>
  <c r="O993" i="2"/>
  <c r="N993" i="2"/>
  <c r="O992" i="2"/>
  <c r="N992" i="2"/>
  <c r="O991" i="2"/>
  <c r="N991" i="2"/>
  <c r="O990" i="2"/>
  <c r="N990" i="2"/>
  <c r="O989" i="2"/>
  <c r="N989" i="2"/>
  <c r="O988" i="2"/>
  <c r="N988" i="2"/>
  <c r="O987" i="2"/>
  <c r="N987" i="2"/>
  <c r="O986" i="2"/>
  <c r="N986" i="2"/>
  <c r="O985" i="2"/>
  <c r="N985" i="2"/>
  <c r="O984" i="2"/>
  <c r="N984" i="2"/>
  <c r="O983" i="2"/>
  <c r="N983" i="2"/>
  <c r="O982" i="2"/>
  <c r="N982" i="2"/>
  <c r="O981" i="2"/>
  <c r="N981" i="2"/>
  <c r="O980" i="2"/>
  <c r="N980" i="2"/>
  <c r="O979" i="2"/>
  <c r="N979" i="2"/>
  <c r="O978" i="2"/>
  <c r="N978" i="2"/>
  <c r="O977" i="2"/>
  <c r="N977" i="2"/>
  <c r="O976" i="2"/>
  <c r="N976" i="2"/>
  <c r="O975" i="2"/>
  <c r="N975" i="2"/>
  <c r="O974" i="2"/>
  <c r="N974" i="2"/>
  <c r="O973" i="2"/>
  <c r="N973" i="2"/>
  <c r="O972" i="2"/>
  <c r="N972" i="2"/>
  <c r="O971" i="2"/>
  <c r="N971" i="2"/>
  <c r="O970" i="2"/>
  <c r="N970" i="2"/>
  <c r="O969" i="2"/>
  <c r="N969" i="2"/>
  <c r="O968" i="2"/>
  <c r="N968" i="2"/>
  <c r="O967" i="2"/>
  <c r="N967" i="2"/>
  <c r="O966" i="2"/>
  <c r="N966" i="2"/>
  <c r="O965" i="2"/>
  <c r="N965" i="2"/>
  <c r="O964" i="2"/>
  <c r="N964" i="2"/>
  <c r="O963" i="2"/>
  <c r="N963" i="2"/>
  <c r="O962" i="2"/>
  <c r="N962" i="2"/>
  <c r="O961" i="2"/>
  <c r="N961" i="2"/>
  <c r="O960" i="2"/>
  <c r="N960" i="2"/>
  <c r="O959" i="2"/>
  <c r="N959" i="2"/>
  <c r="O958" i="2"/>
  <c r="N958" i="2"/>
  <c r="O957" i="2"/>
  <c r="N957" i="2"/>
  <c r="O956" i="2"/>
  <c r="N956" i="2"/>
  <c r="O955" i="2"/>
  <c r="N955" i="2"/>
  <c r="O954" i="2"/>
  <c r="N954" i="2"/>
  <c r="O953" i="2"/>
  <c r="N953" i="2"/>
  <c r="O952" i="2"/>
  <c r="N952" i="2"/>
  <c r="O951" i="2"/>
  <c r="N951" i="2"/>
  <c r="O950" i="2"/>
  <c r="N950" i="2"/>
  <c r="O949" i="2"/>
  <c r="N949" i="2"/>
  <c r="O948" i="2"/>
  <c r="N948" i="2"/>
  <c r="O947" i="2"/>
  <c r="N947" i="2"/>
  <c r="O946" i="2"/>
  <c r="N946" i="2"/>
  <c r="O945" i="2"/>
  <c r="N945" i="2"/>
  <c r="O944" i="2"/>
  <c r="N944" i="2"/>
  <c r="O943" i="2"/>
  <c r="N943" i="2"/>
  <c r="O942" i="2"/>
  <c r="N942" i="2"/>
  <c r="O941" i="2"/>
  <c r="N941" i="2"/>
  <c r="O940" i="2"/>
  <c r="N940" i="2"/>
  <c r="O939" i="2"/>
  <c r="N939" i="2"/>
  <c r="O938" i="2"/>
  <c r="N938" i="2"/>
  <c r="O937" i="2"/>
  <c r="N937" i="2"/>
  <c r="O936" i="2"/>
  <c r="N936" i="2"/>
  <c r="O935" i="2"/>
  <c r="N935" i="2"/>
  <c r="O934" i="2"/>
  <c r="N934" i="2"/>
  <c r="O933" i="2"/>
  <c r="N933" i="2"/>
  <c r="O932" i="2"/>
  <c r="N932" i="2"/>
  <c r="O931" i="2"/>
  <c r="N931" i="2"/>
  <c r="O930" i="2"/>
  <c r="N930" i="2"/>
  <c r="O929" i="2"/>
  <c r="N929" i="2"/>
  <c r="O928" i="2"/>
  <c r="N928" i="2"/>
  <c r="O927" i="2"/>
  <c r="N927" i="2"/>
  <c r="O926" i="2"/>
  <c r="N926" i="2"/>
  <c r="O925" i="2"/>
  <c r="N925" i="2"/>
  <c r="O924" i="2"/>
  <c r="N924" i="2"/>
  <c r="O923" i="2"/>
  <c r="N923" i="2"/>
  <c r="O922" i="2"/>
  <c r="N922" i="2"/>
  <c r="O921" i="2"/>
  <c r="N921" i="2"/>
  <c r="O920" i="2"/>
  <c r="N920" i="2"/>
  <c r="O919" i="2"/>
  <c r="N919" i="2"/>
  <c r="O918" i="2"/>
  <c r="N918" i="2"/>
  <c r="O917" i="2"/>
  <c r="N917" i="2"/>
  <c r="O916" i="2"/>
  <c r="N916" i="2"/>
  <c r="O915" i="2"/>
  <c r="N915" i="2"/>
  <c r="O914" i="2"/>
  <c r="N914" i="2"/>
  <c r="O913" i="2"/>
  <c r="N913" i="2"/>
  <c r="O912" i="2"/>
  <c r="N912" i="2"/>
  <c r="O911" i="2"/>
  <c r="N911" i="2"/>
  <c r="O910" i="2"/>
  <c r="N910" i="2"/>
  <c r="O909" i="2"/>
  <c r="N909" i="2"/>
  <c r="O908" i="2"/>
  <c r="N908" i="2"/>
  <c r="O907" i="2"/>
  <c r="N907" i="2"/>
  <c r="O906" i="2"/>
  <c r="N906" i="2"/>
  <c r="O905" i="2"/>
  <c r="N905" i="2"/>
  <c r="O904" i="2"/>
  <c r="N904" i="2"/>
  <c r="O903" i="2"/>
  <c r="N903" i="2"/>
  <c r="O902" i="2"/>
  <c r="N902" i="2"/>
  <c r="O901" i="2"/>
  <c r="N901" i="2"/>
  <c r="O900" i="2"/>
  <c r="N900" i="2"/>
  <c r="O899" i="2"/>
  <c r="N899" i="2"/>
  <c r="O898" i="2"/>
  <c r="N898" i="2"/>
  <c r="O897" i="2"/>
  <c r="N897" i="2"/>
  <c r="O896" i="2"/>
  <c r="N896" i="2"/>
  <c r="O895" i="2"/>
  <c r="N895" i="2"/>
  <c r="O894" i="2"/>
  <c r="N894" i="2"/>
  <c r="O893" i="2"/>
  <c r="N893" i="2"/>
  <c r="O892" i="2"/>
  <c r="N892" i="2"/>
  <c r="O891" i="2"/>
  <c r="N891" i="2"/>
  <c r="O890" i="2"/>
  <c r="N890" i="2"/>
  <c r="O889" i="2"/>
  <c r="N889" i="2"/>
  <c r="O888" i="2"/>
  <c r="N888" i="2"/>
  <c r="O887" i="2"/>
  <c r="N887" i="2"/>
  <c r="O886" i="2"/>
  <c r="N886" i="2"/>
  <c r="O885" i="2"/>
  <c r="N885" i="2"/>
  <c r="O884" i="2"/>
  <c r="N884" i="2"/>
  <c r="O883" i="2"/>
  <c r="N883" i="2"/>
  <c r="O882" i="2"/>
  <c r="N882" i="2"/>
  <c r="O881" i="2"/>
  <c r="N881" i="2"/>
  <c r="O880" i="2"/>
  <c r="N880" i="2"/>
  <c r="O879" i="2"/>
  <c r="N879" i="2"/>
  <c r="O878" i="2"/>
  <c r="N878" i="2"/>
  <c r="O877" i="2"/>
  <c r="N877" i="2"/>
  <c r="O876" i="2"/>
  <c r="N876" i="2"/>
  <c r="O875" i="2"/>
  <c r="N875" i="2"/>
  <c r="O874" i="2"/>
  <c r="N874" i="2"/>
  <c r="O873" i="2"/>
  <c r="N873" i="2"/>
  <c r="O872" i="2"/>
  <c r="N872" i="2"/>
  <c r="O871" i="2"/>
  <c r="N871" i="2"/>
  <c r="O870" i="2"/>
  <c r="N870" i="2"/>
  <c r="O869" i="2"/>
  <c r="N869" i="2"/>
  <c r="O868" i="2"/>
  <c r="N868" i="2"/>
  <c r="O867" i="2"/>
  <c r="N867" i="2"/>
  <c r="O866" i="2"/>
  <c r="N866" i="2"/>
  <c r="O865" i="2"/>
  <c r="N865" i="2"/>
  <c r="O864" i="2"/>
  <c r="N864" i="2"/>
  <c r="O863" i="2"/>
  <c r="N863" i="2"/>
  <c r="O862" i="2"/>
  <c r="N862" i="2"/>
  <c r="O861" i="2"/>
  <c r="N861" i="2"/>
  <c r="O860" i="2"/>
  <c r="N860" i="2"/>
  <c r="O859" i="2"/>
  <c r="N859" i="2"/>
  <c r="O858" i="2"/>
  <c r="N858" i="2"/>
  <c r="O857" i="2"/>
  <c r="N857" i="2"/>
  <c r="O856" i="2"/>
  <c r="N856" i="2"/>
  <c r="O855" i="2"/>
  <c r="N855" i="2"/>
  <c r="O854" i="2"/>
  <c r="N854" i="2"/>
  <c r="O853" i="2"/>
  <c r="N853" i="2"/>
  <c r="O852" i="2"/>
  <c r="N852" i="2"/>
  <c r="O851" i="2"/>
  <c r="N851" i="2"/>
  <c r="O850" i="2"/>
  <c r="N850" i="2"/>
  <c r="O849" i="2"/>
  <c r="N849" i="2"/>
  <c r="O848" i="2"/>
  <c r="N848" i="2"/>
  <c r="O847" i="2"/>
  <c r="N847" i="2"/>
  <c r="O846" i="2"/>
  <c r="N846" i="2"/>
  <c r="O845" i="2"/>
  <c r="N845" i="2"/>
  <c r="O844" i="2"/>
  <c r="N844" i="2"/>
  <c r="O843" i="2"/>
  <c r="N843" i="2"/>
  <c r="O842" i="2"/>
  <c r="N842" i="2"/>
  <c r="O841" i="2"/>
  <c r="N841" i="2"/>
  <c r="O840" i="2"/>
  <c r="N840" i="2"/>
  <c r="O839" i="2"/>
  <c r="N839" i="2"/>
  <c r="O838" i="2"/>
  <c r="N838" i="2"/>
  <c r="O837" i="2"/>
  <c r="N837" i="2"/>
  <c r="O836" i="2"/>
  <c r="N836" i="2"/>
  <c r="O835" i="2"/>
  <c r="N835" i="2"/>
  <c r="O834" i="2"/>
  <c r="N834" i="2"/>
  <c r="O833" i="2"/>
  <c r="N833" i="2"/>
  <c r="O832" i="2"/>
  <c r="N832" i="2"/>
  <c r="O831" i="2"/>
  <c r="N831" i="2"/>
  <c r="O830" i="2"/>
  <c r="N830" i="2"/>
  <c r="O829" i="2"/>
  <c r="N829" i="2"/>
  <c r="O828" i="2"/>
  <c r="N828" i="2"/>
  <c r="O827" i="2"/>
  <c r="N827" i="2"/>
  <c r="O826" i="2"/>
  <c r="N826" i="2"/>
  <c r="O825" i="2"/>
  <c r="N825" i="2"/>
  <c r="O824" i="2"/>
  <c r="N824" i="2"/>
  <c r="O823" i="2"/>
  <c r="N823" i="2"/>
  <c r="O822" i="2"/>
  <c r="N822" i="2"/>
  <c r="O821" i="2"/>
  <c r="N821" i="2"/>
  <c r="O820" i="2"/>
  <c r="N820" i="2"/>
  <c r="O819" i="2"/>
  <c r="N819" i="2"/>
  <c r="O818" i="2"/>
  <c r="N818" i="2"/>
  <c r="O817" i="2"/>
  <c r="N817" i="2"/>
  <c r="O816" i="2"/>
  <c r="N816" i="2"/>
  <c r="O815" i="2"/>
  <c r="N815" i="2"/>
  <c r="O814" i="2"/>
  <c r="N814" i="2"/>
  <c r="O813" i="2"/>
  <c r="N813" i="2"/>
  <c r="O812" i="2"/>
  <c r="N812" i="2"/>
  <c r="O811" i="2"/>
  <c r="N811" i="2"/>
  <c r="O810" i="2"/>
  <c r="N810" i="2"/>
  <c r="O809" i="2"/>
  <c r="N809" i="2"/>
  <c r="O808" i="2"/>
  <c r="N808" i="2"/>
  <c r="O807" i="2"/>
  <c r="N807" i="2"/>
  <c r="O806" i="2"/>
  <c r="N806" i="2"/>
  <c r="O805" i="2"/>
  <c r="N805" i="2"/>
  <c r="O804" i="2"/>
  <c r="N804" i="2"/>
  <c r="O803" i="2"/>
  <c r="N803" i="2"/>
  <c r="O802" i="2"/>
  <c r="N802" i="2"/>
  <c r="O801" i="2"/>
  <c r="N801" i="2"/>
  <c r="O800" i="2"/>
  <c r="N800" i="2"/>
  <c r="O799" i="2"/>
  <c r="N799" i="2"/>
  <c r="O798" i="2"/>
  <c r="N798" i="2"/>
  <c r="O797" i="2"/>
  <c r="N797" i="2"/>
  <c r="O796" i="2"/>
  <c r="N796" i="2"/>
  <c r="O795" i="2"/>
  <c r="N795" i="2"/>
  <c r="O794" i="2"/>
  <c r="N794" i="2"/>
  <c r="O793" i="2"/>
  <c r="N793" i="2"/>
  <c r="O792" i="2"/>
  <c r="N792" i="2"/>
  <c r="O791" i="2"/>
  <c r="N791" i="2"/>
  <c r="O790" i="2"/>
  <c r="N790" i="2"/>
  <c r="O789" i="2"/>
  <c r="N789" i="2"/>
  <c r="O788" i="2"/>
  <c r="N788" i="2"/>
  <c r="O787" i="2"/>
  <c r="N787" i="2"/>
  <c r="O786" i="2"/>
  <c r="N786" i="2"/>
  <c r="O785" i="2"/>
  <c r="N785" i="2"/>
  <c r="O784" i="2"/>
  <c r="N784" i="2"/>
  <c r="O783" i="2"/>
  <c r="N783" i="2"/>
  <c r="O782" i="2"/>
  <c r="N782" i="2"/>
  <c r="O781" i="2"/>
  <c r="N781" i="2"/>
  <c r="O780" i="2"/>
  <c r="N780" i="2"/>
  <c r="O779" i="2"/>
  <c r="N779" i="2"/>
  <c r="O778" i="2"/>
  <c r="N778" i="2"/>
  <c r="O777" i="2"/>
  <c r="N777" i="2"/>
  <c r="O776" i="2"/>
  <c r="N776" i="2"/>
  <c r="O775" i="2"/>
  <c r="N775" i="2"/>
  <c r="O774" i="2"/>
  <c r="N774" i="2"/>
  <c r="O773" i="2"/>
  <c r="N773" i="2"/>
  <c r="O772" i="2"/>
  <c r="N772" i="2"/>
  <c r="O771" i="2"/>
  <c r="N771" i="2"/>
  <c r="O770" i="2"/>
  <c r="N770" i="2"/>
  <c r="O769" i="2"/>
  <c r="N769" i="2"/>
  <c r="O768" i="2"/>
  <c r="N768" i="2"/>
  <c r="O767" i="2"/>
  <c r="N767" i="2"/>
  <c r="O766" i="2"/>
  <c r="N766" i="2"/>
  <c r="O765" i="2"/>
  <c r="N765" i="2"/>
  <c r="O764" i="2"/>
  <c r="N764" i="2"/>
  <c r="O763" i="2"/>
  <c r="N763" i="2"/>
  <c r="O762" i="2"/>
  <c r="N762" i="2"/>
  <c r="O761" i="2"/>
  <c r="N761" i="2"/>
  <c r="O760" i="2"/>
  <c r="N760" i="2"/>
  <c r="O759" i="2"/>
  <c r="N759" i="2"/>
  <c r="O758" i="2"/>
  <c r="N758" i="2"/>
  <c r="O757" i="2"/>
  <c r="N757" i="2"/>
  <c r="O756" i="2"/>
  <c r="N756" i="2"/>
  <c r="O755" i="2"/>
  <c r="N755" i="2"/>
  <c r="O754" i="2"/>
  <c r="N754" i="2"/>
  <c r="O753" i="2"/>
  <c r="N753" i="2"/>
  <c r="O752" i="2"/>
  <c r="N752" i="2"/>
  <c r="O751" i="2"/>
  <c r="N751" i="2"/>
  <c r="O750" i="2"/>
  <c r="N750" i="2"/>
  <c r="O749" i="2"/>
  <c r="N749" i="2"/>
  <c r="O748" i="2"/>
  <c r="N748" i="2"/>
  <c r="O747" i="2"/>
  <c r="N747" i="2"/>
  <c r="O746" i="2"/>
  <c r="N746" i="2"/>
  <c r="O745" i="2"/>
  <c r="N745" i="2"/>
  <c r="O744" i="2"/>
  <c r="N744" i="2"/>
  <c r="O743" i="2"/>
  <c r="N743" i="2"/>
  <c r="O742" i="2"/>
  <c r="N742" i="2"/>
  <c r="O741" i="2"/>
  <c r="N741" i="2"/>
  <c r="O740" i="2"/>
  <c r="N740" i="2"/>
  <c r="O739" i="2"/>
  <c r="N739" i="2"/>
  <c r="O738" i="2"/>
  <c r="N738" i="2"/>
  <c r="O737" i="2"/>
  <c r="N737" i="2"/>
  <c r="O736" i="2"/>
  <c r="N736" i="2"/>
  <c r="O735" i="2"/>
  <c r="N735" i="2"/>
  <c r="O734" i="2"/>
  <c r="N734" i="2"/>
  <c r="O733" i="2"/>
  <c r="N733" i="2"/>
  <c r="O732" i="2"/>
  <c r="N732" i="2"/>
  <c r="O731" i="2"/>
  <c r="N731" i="2"/>
  <c r="O730" i="2"/>
  <c r="N730" i="2"/>
  <c r="O729" i="2"/>
  <c r="N729" i="2"/>
  <c r="O728" i="2"/>
  <c r="N728" i="2"/>
  <c r="O727" i="2"/>
  <c r="N727" i="2"/>
  <c r="O726" i="2"/>
  <c r="N726" i="2"/>
  <c r="O725" i="2"/>
  <c r="N725" i="2"/>
  <c r="O724" i="2"/>
  <c r="N724" i="2"/>
  <c r="O723" i="2"/>
  <c r="N723" i="2"/>
  <c r="O722" i="2"/>
  <c r="N722" i="2"/>
  <c r="O721" i="2"/>
  <c r="N721" i="2"/>
  <c r="O720" i="2"/>
  <c r="N720" i="2"/>
  <c r="O719" i="2"/>
  <c r="N719" i="2"/>
  <c r="O718" i="2"/>
  <c r="N718" i="2"/>
  <c r="O717" i="2"/>
  <c r="N717" i="2"/>
  <c r="O716" i="2"/>
  <c r="N716" i="2"/>
  <c r="O715" i="2"/>
  <c r="N715" i="2"/>
  <c r="O714" i="2"/>
  <c r="N714" i="2"/>
  <c r="O713" i="2"/>
  <c r="N713" i="2"/>
  <c r="O712" i="2"/>
  <c r="N712" i="2"/>
  <c r="O711" i="2"/>
  <c r="N711" i="2"/>
  <c r="O710" i="2"/>
  <c r="N710" i="2"/>
  <c r="O709" i="2"/>
  <c r="N709" i="2"/>
  <c r="O708" i="2"/>
  <c r="N708" i="2"/>
  <c r="O707" i="2"/>
  <c r="N707" i="2"/>
  <c r="O706" i="2"/>
  <c r="N706" i="2"/>
  <c r="O705" i="2"/>
  <c r="N705" i="2"/>
  <c r="O704" i="2"/>
  <c r="N704" i="2"/>
  <c r="O703" i="2"/>
  <c r="N703" i="2"/>
  <c r="O702" i="2"/>
  <c r="N702" i="2"/>
  <c r="O701" i="2"/>
  <c r="N701" i="2"/>
  <c r="O700" i="2"/>
  <c r="N700" i="2"/>
  <c r="O699" i="2"/>
  <c r="N699" i="2"/>
  <c r="O698" i="2"/>
  <c r="N698" i="2"/>
  <c r="O697" i="2"/>
  <c r="N697" i="2"/>
  <c r="O696" i="2"/>
  <c r="N696" i="2"/>
  <c r="O695" i="2"/>
  <c r="N695" i="2"/>
  <c r="O694" i="2"/>
  <c r="N694" i="2"/>
  <c r="O693" i="2"/>
  <c r="N693" i="2"/>
  <c r="O692" i="2"/>
  <c r="N692" i="2"/>
  <c r="O691" i="2"/>
  <c r="N691" i="2"/>
  <c r="O690" i="2"/>
  <c r="N690" i="2"/>
  <c r="O689" i="2"/>
  <c r="N689" i="2"/>
  <c r="O688" i="2"/>
  <c r="N688" i="2"/>
  <c r="O687" i="2"/>
  <c r="N687" i="2"/>
  <c r="O686" i="2"/>
  <c r="N686" i="2"/>
  <c r="O685" i="2"/>
  <c r="N685" i="2"/>
  <c r="O684" i="2"/>
  <c r="N684" i="2"/>
  <c r="O683" i="2"/>
  <c r="N683" i="2"/>
  <c r="O682" i="2"/>
  <c r="N682" i="2"/>
  <c r="O681" i="2"/>
  <c r="N681" i="2"/>
  <c r="O680" i="2"/>
  <c r="N680" i="2"/>
  <c r="O679" i="2"/>
  <c r="N679" i="2"/>
  <c r="O678" i="2"/>
  <c r="N678" i="2"/>
  <c r="O677" i="2"/>
  <c r="N677" i="2"/>
  <c r="O676" i="2"/>
  <c r="N676" i="2"/>
  <c r="O675" i="2"/>
  <c r="N675" i="2"/>
  <c r="O674" i="2"/>
  <c r="N674" i="2"/>
  <c r="O673" i="2"/>
  <c r="N673" i="2"/>
  <c r="O672" i="2"/>
  <c r="N672" i="2"/>
  <c r="O671" i="2"/>
  <c r="N671" i="2"/>
  <c r="O670" i="2"/>
  <c r="N670" i="2"/>
  <c r="O669" i="2"/>
  <c r="N669" i="2"/>
  <c r="O668" i="2"/>
  <c r="N668" i="2"/>
  <c r="O667" i="2"/>
  <c r="N667" i="2"/>
  <c r="O666" i="2"/>
  <c r="N666" i="2"/>
  <c r="O665" i="2"/>
  <c r="N665" i="2"/>
  <c r="O664" i="2"/>
  <c r="N664" i="2"/>
  <c r="O663" i="2"/>
  <c r="N663" i="2"/>
  <c r="O662" i="2"/>
  <c r="N662" i="2"/>
  <c r="O661" i="2"/>
  <c r="N661" i="2"/>
  <c r="O660" i="2"/>
  <c r="N660" i="2"/>
  <c r="O659" i="2"/>
  <c r="N659" i="2"/>
  <c r="O658" i="2"/>
  <c r="N658" i="2"/>
  <c r="O657" i="2"/>
  <c r="N657" i="2"/>
  <c r="O656" i="2"/>
  <c r="N656" i="2"/>
  <c r="O655" i="2"/>
  <c r="N655" i="2"/>
  <c r="O654" i="2"/>
  <c r="N654" i="2"/>
  <c r="O653" i="2"/>
  <c r="N653" i="2"/>
  <c r="O652" i="2"/>
  <c r="N652" i="2"/>
  <c r="O651" i="2"/>
  <c r="N651" i="2"/>
  <c r="O650" i="2"/>
  <c r="N650" i="2"/>
  <c r="O649" i="2"/>
  <c r="N649" i="2"/>
  <c r="O648" i="2"/>
  <c r="N648" i="2"/>
  <c r="O647" i="2"/>
  <c r="N647" i="2"/>
  <c r="O646" i="2"/>
  <c r="N646" i="2"/>
  <c r="O645" i="2"/>
  <c r="N645" i="2"/>
  <c r="O644" i="2"/>
  <c r="N644" i="2"/>
  <c r="O643" i="2"/>
  <c r="N643" i="2"/>
  <c r="O642" i="2"/>
  <c r="N642" i="2"/>
  <c r="O641" i="2"/>
  <c r="N641" i="2"/>
  <c r="O640" i="2"/>
  <c r="N640" i="2"/>
  <c r="O639" i="2"/>
  <c r="N639" i="2"/>
  <c r="O638" i="2"/>
  <c r="N638" i="2"/>
  <c r="O637" i="2"/>
  <c r="N637" i="2"/>
  <c r="O636" i="2"/>
  <c r="N636" i="2"/>
  <c r="O635" i="2"/>
  <c r="N635" i="2"/>
  <c r="O634" i="2"/>
  <c r="N634" i="2"/>
  <c r="O633" i="2"/>
  <c r="N633" i="2"/>
  <c r="O632" i="2"/>
  <c r="N632" i="2"/>
  <c r="O631" i="2"/>
  <c r="N631" i="2"/>
  <c r="O630" i="2"/>
  <c r="N630" i="2"/>
  <c r="O629" i="2"/>
  <c r="N629" i="2"/>
  <c r="O628" i="2"/>
  <c r="N628" i="2"/>
  <c r="O627" i="2"/>
  <c r="N627" i="2"/>
  <c r="O626" i="2"/>
  <c r="N626" i="2"/>
  <c r="O625" i="2"/>
  <c r="N625" i="2"/>
  <c r="O624" i="2"/>
  <c r="N624" i="2"/>
  <c r="O623" i="2"/>
  <c r="N623" i="2"/>
  <c r="O622" i="2"/>
  <c r="N622" i="2"/>
  <c r="O621" i="2"/>
  <c r="N621" i="2"/>
  <c r="O620" i="2"/>
  <c r="N620" i="2"/>
  <c r="O619" i="2"/>
  <c r="N619" i="2"/>
  <c r="O618" i="2"/>
  <c r="N618" i="2"/>
  <c r="O617" i="2"/>
  <c r="N617" i="2"/>
  <c r="O616" i="2"/>
  <c r="N616" i="2"/>
  <c r="O615" i="2"/>
  <c r="N615" i="2"/>
  <c r="O614" i="2"/>
  <c r="N614" i="2"/>
  <c r="O613" i="2"/>
  <c r="N613" i="2"/>
  <c r="O612" i="2"/>
  <c r="N612" i="2"/>
  <c r="O611" i="2"/>
  <c r="N611" i="2"/>
  <c r="O610" i="2"/>
  <c r="N610" i="2"/>
  <c r="O609" i="2"/>
  <c r="N609" i="2"/>
  <c r="O608" i="2"/>
  <c r="N608" i="2"/>
  <c r="O607" i="2"/>
  <c r="N607" i="2"/>
  <c r="O606" i="2"/>
  <c r="N606" i="2"/>
  <c r="O605" i="2"/>
  <c r="N605" i="2"/>
  <c r="O604" i="2"/>
  <c r="N604" i="2"/>
  <c r="O603" i="2"/>
  <c r="N603" i="2"/>
  <c r="O602" i="2"/>
  <c r="N602" i="2"/>
  <c r="O601" i="2"/>
  <c r="N601" i="2"/>
  <c r="O600" i="2"/>
  <c r="N600" i="2"/>
  <c r="O599" i="2"/>
  <c r="N599" i="2"/>
  <c r="O598" i="2"/>
  <c r="N598" i="2"/>
  <c r="O597" i="2"/>
  <c r="N597" i="2"/>
  <c r="O596" i="2"/>
  <c r="N596" i="2"/>
  <c r="O595" i="2"/>
  <c r="N595" i="2"/>
  <c r="O594" i="2"/>
  <c r="N594" i="2"/>
  <c r="O593" i="2"/>
  <c r="N593" i="2"/>
  <c r="O592" i="2"/>
  <c r="N592" i="2"/>
  <c r="O591" i="2"/>
  <c r="N591" i="2"/>
  <c r="O590" i="2"/>
  <c r="N590" i="2"/>
  <c r="O589" i="2"/>
  <c r="N589" i="2"/>
  <c r="O588" i="2"/>
  <c r="N588" i="2"/>
  <c r="O587" i="2"/>
  <c r="N587" i="2"/>
  <c r="O586" i="2"/>
  <c r="N586" i="2"/>
  <c r="O585" i="2"/>
  <c r="N585" i="2"/>
  <c r="O584" i="2"/>
  <c r="N584" i="2"/>
  <c r="O583" i="2"/>
  <c r="N583" i="2"/>
  <c r="O582" i="2"/>
  <c r="N582" i="2"/>
  <c r="O581" i="2"/>
  <c r="N581" i="2"/>
  <c r="O580" i="2"/>
  <c r="N580" i="2"/>
  <c r="O579" i="2"/>
  <c r="N579" i="2"/>
  <c r="O578" i="2"/>
  <c r="N578" i="2"/>
  <c r="O577" i="2"/>
  <c r="N577" i="2"/>
  <c r="O576" i="2"/>
  <c r="N576" i="2"/>
  <c r="O575" i="2"/>
  <c r="N575" i="2"/>
  <c r="O574" i="2"/>
  <c r="N574" i="2"/>
  <c r="O573" i="2"/>
  <c r="N573" i="2"/>
  <c r="O572" i="2"/>
  <c r="N572" i="2"/>
  <c r="O571" i="2"/>
  <c r="N571" i="2"/>
  <c r="O570" i="2"/>
  <c r="N570" i="2"/>
  <c r="O569" i="2"/>
  <c r="N569" i="2"/>
  <c r="O568" i="2"/>
  <c r="N568" i="2"/>
  <c r="O567" i="2"/>
  <c r="N567" i="2"/>
  <c r="O566" i="2"/>
  <c r="N566" i="2"/>
  <c r="O565" i="2"/>
  <c r="N565" i="2"/>
  <c r="O564" i="2"/>
  <c r="N564" i="2"/>
  <c r="O563" i="2"/>
  <c r="N563" i="2"/>
  <c r="O562" i="2"/>
  <c r="N562" i="2"/>
  <c r="O561" i="2"/>
  <c r="N561" i="2"/>
  <c r="O560" i="2"/>
  <c r="N560" i="2"/>
  <c r="O559" i="2"/>
  <c r="N559" i="2"/>
  <c r="O558" i="2"/>
  <c r="N558" i="2"/>
  <c r="O557" i="2"/>
  <c r="N557" i="2"/>
  <c r="O556" i="2"/>
  <c r="N556" i="2"/>
  <c r="O555" i="2"/>
  <c r="N555" i="2"/>
  <c r="O554" i="2"/>
  <c r="N554" i="2"/>
  <c r="O553" i="2"/>
  <c r="N553" i="2"/>
  <c r="O552" i="2"/>
  <c r="N552" i="2"/>
  <c r="O551" i="2"/>
  <c r="N551" i="2"/>
  <c r="O550" i="2"/>
  <c r="N550" i="2"/>
  <c r="O549" i="2"/>
  <c r="N549" i="2"/>
  <c r="O548" i="2"/>
  <c r="N548" i="2"/>
  <c r="O547" i="2"/>
  <c r="N547" i="2"/>
  <c r="O546" i="2"/>
  <c r="N546" i="2"/>
  <c r="O545" i="2"/>
  <c r="N545" i="2"/>
  <c r="O544" i="2"/>
  <c r="N544" i="2"/>
  <c r="O543" i="2"/>
  <c r="N543" i="2"/>
  <c r="O542" i="2"/>
  <c r="N542" i="2"/>
  <c r="O541" i="2"/>
  <c r="N541" i="2"/>
  <c r="O540" i="2"/>
  <c r="N540" i="2"/>
  <c r="O539" i="2"/>
  <c r="N539" i="2"/>
  <c r="O538" i="2"/>
  <c r="N538" i="2"/>
  <c r="O537" i="2"/>
  <c r="N537" i="2"/>
  <c r="O536" i="2"/>
  <c r="N536" i="2"/>
  <c r="O535" i="2"/>
  <c r="N535" i="2"/>
  <c r="O534" i="2"/>
  <c r="N534" i="2"/>
  <c r="O533" i="2"/>
  <c r="N533" i="2"/>
  <c r="O532" i="2"/>
  <c r="N532" i="2"/>
  <c r="O531" i="2"/>
  <c r="N531" i="2"/>
  <c r="O530" i="2"/>
  <c r="N530" i="2"/>
  <c r="O529" i="2"/>
  <c r="N529" i="2"/>
  <c r="O528" i="2"/>
  <c r="N528" i="2"/>
  <c r="O527" i="2"/>
  <c r="N527" i="2"/>
  <c r="O526" i="2"/>
  <c r="N526" i="2"/>
  <c r="O525" i="2"/>
  <c r="N525" i="2"/>
  <c r="O524" i="2"/>
  <c r="N524" i="2"/>
  <c r="O523" i="2"/>
  <c r="N523" i="2"/>
  <c r="O522" i="2"/>
  <c r="N522" i="2"/>
  <c r="O521" i="2"/>
  <c r="N521" i="2"/>
  <c r="O520" i="2"/>
  <c r="N520" i="2"/>
  <c r="O519" i="2"/>
  <c r="N519" i="2"/>
  <c r="O518" i="2"/>
  <c r="N518" i="2"/>
  <c r="O517" i="2"/>
  <c r="N517" i="2"/>
  <c r="O516" i="2"/>
  <c r="N516" i="2"/>
  <c r="O515" i="2"/>
  <c r="N515" i="2"/>
  <c r="O514" i="2"/>
  <c r="N514" i="2"/>
  <c r="O513" i="2"/>
  <c r="N513" i="2"/>
  <c r="O512" i="2"/>
  <c r="N512" i="2"/>
  <c r="O511" i="2"/>
  <c r="N511" i="2"/>
  <c r="O510" i="2"/>
  <c r="N510" i="2"/>
  <c r="O509" i="2"/>
  <c r="N509" i="2"/>
  <c r="O508" i="2"/>
  <c r="N508" i="2"/>
  <c r="O507" i="2"/>
  <c r="N507" i="2"/>
  <c r="O506" i="2"/>
  <c r="N506" i="2"/>
  <c r="O505" i="2"/>
  <c r="N505" i="2"/>
  <c r="O504" i="2"/>
  <c r="N504" i="2"/>
  <c r="O503" i="2"/>
  <c r="N503" i="2"/>
  <c r="O502" i="2"/>
  <c r="N502" i="2"/>
  <c r="O501" i="2"/>
  <c r="N501" i="2"/>
  <c r="O500" i="2"/>
  <c r="N500" i="2"/>
  <c r="O499" i="2"/>
  <c r="N499" i="2"/>
  <c r="O498" i="2"/>
  <c r="N498" i="2"/>
  <c r="O497" i="2"/>
  <c r="N497" i="2"/>
  <c r="O496" i="2"/>
  <c r="N496" i="2"/>
  <c r="O495" i="2"/>
  <c r="N495" i="2"/>
  <c r="O494" i="2"/>
  <c r="N494" i="2"/>
  <c r="O493" i="2"/>
  <c r="N493" i="2"/>
  <c r="O492" i="2"/>
  <c r="N492" i="2"/>
  <c r="O491" i="2"/>
  <c r="N491" i="2"/>
  <c r="O490" i="2"/>
  <c r="N490" i="2"/>
  <c r="O489" i="2"/>
  <c r="N489" i="2"/>
  <c r="O488" i="2"/>
  <c r="N488" i="2"/>
  <c r="O487" i="2"/>
  <c r="N487" i="2"/>
  <c r="O486" i="2"/>
  <c r="N486" i="2"/>
  <c r="O485" i="2"/>
  <c r="N485" i="2"/>
  <c r="O484" i="2"/>
  <c r="N484" i="2"/>
  <c r="O483" i="2"/>
  <c r="N483" i="2"/>
  <c r="O482" i="2"/>
  <c r="N482" i="2"/>
  <c r="O481" i="2"/>
  <c r="N481" i="2"/>
  <c r="O480" i="2"/>
  <c r="N480" i="2"/>
  <c r="O479" i="2"/>
  <c r="N479" i="2"/>
  <c r="O478" i="2"/>
  <c r="N478" i="2"/>
  <c r="O477" i="2"/>
  <c r="N477" i="2"/>
  <c r="O476" i="2"/>
  <c r="N476" i="2"/>
  <c r="O475" i="2"/>
  <c r="N475" i="2"/>
  <c r="O474" i="2"/>
  <c r="N474" i="2"/>
  <c r="O473" i="2"/>
  <c r="N473" i="2"/>
  <c r="O472" i="2"/>
  <c r="N472" i="2"/>
  <c r="O471" i="2"/>
  <c r="N471" i="2"/>
  <c r="O470" i="2"/>
  <c r="N470" i="2"/>
  <c r="O469" i="2"/>
  <c r="N469" i="2"/>
  <c r="O468" i="2"/>
  <c r="N468" i="2"/>
  <c r="O467" i="2"/>
  <c r="N467" i="2"/>
  <c r="O466" i="2"/>
  <c r="N466" i="2"/>
  <c r="O465" i="2"/>
  <c r="N465" i="2"/>
  <c r="O464" i="2"/>
  <c r="N464" i="2"/>
  <c r="O463" i="2"/>
  <c r="N463" i="2"/>
  <c r="O462" i="2"/>
  <c r="N462" i="2"/>
  <c r="O461" i="2"/>
  <c r="N461" i="2"/>
  <c r="O460" i="2"/>
  <c r="N460" i="2"/>
  <c r="O459" i="2"/>
  <c r="N459" i="2"/>
  <c r="O458" i="2"/>
  <c r="N458" i="2"/>
  <c r="O457" i="2"/>
  <c r="N457" i="2"/>
  <c r="O456" i="2"/>
  <c r="N456" i="2"/>
  <c r="O455" i="2"/>
  <c r="N455" i="2"/>
  <c r="O454" i="2"/>
  <c r="N454" i="2"/>
  <c r="O453" i="2"/>
  <c r="N453" i="2"/>
  <c r="O452" i="2"/>
  <c r="N452" i="2"/>
  <c r="O451" i="2"/>
  <c r="N451" i="2"/>
  <c r="O450" i="2"/>
  <c r="N450" i="2"/>
  <c r="O449" i="2"/>
  <c r="N449" i="2"/>
  <c r="O448" i="2"/>
  <c r="N448" i="2"/>
  <c r="O447" i="2"/>
  <c r="N447" i="2"/>
  <c r="O446" i="2"/>
  <c r="N446" i="2"/>
  <c r="O445" i="2"/>
  <c r="N445" i="2"/>
  <c r="O444" i="2"/>
  <c r="N444" i="2"/>
  <c r="O443" i="2"/>
  <c r="N443" i="2"/>
  <c r="O442" i="2"/>
  <c r="N442" i="2"/>
  <c r="O441" i="2"/>
  <c r="N441" i="2"/>
  <c r="O440" i="2"/>
  <c r="N440" i="2"/>
  <c r="O439" i="2"/>
  <c r="N439" i="2"/>
  <c r="O438" i="2"/>
  <c r="N438" i="2"/>
  <c r="O437" i="2"/>
  <c r="N437" i="2"/>
  <c r="O436" i="2"/>
  <c r="N436" i="2"/>
  <c r="O435" i="2"/>
  <c r="N435" i="2"/>
  <c r="O434" i="2"/>
  <c r="N434" i="2"/>
  <c r="O433" i="2"/>
  <c r="N433" i="2"/>
  <c r="O432" i="2"/>
  <c r="N432" i="2"/>
  <c r="O431" i="2"/>
  <c r="N431" i="2"/>
  <c r="O430" i="2"/>
  <c r="N430" i="2"/>
  <c r="O429" i="2"/>
  <c r="N429" i="2"/>
  <c r="O428" i="2"/>
  <c r="N428" i="2"/>
  <c r="O427" i="2"/>
  <c r="N427" i="2"/>
  <c r="O426" i="2"/>
  <c r="N426" i="2"/>
  <c r="O425" i="2"/>
  <c r="N425" i="2"/>
  <c r="O424" i="2"/>
  <c r="N424" i="2"/>
  <c r="O423" i="2"/>
  <c r="N423" i="2"/>
  <c r="O422" i="2"/>
  <c r="N422" i="2"/>
  <c r="O421" i="2"/>
  <c r="N421" i="2"/>
  <c r="O420" i="2"/>
  <c r="N420" i="2"/>
  <c r="O419" i="2"/>
  <c r="N419" i="2"/>
  <c r="O418" i="2"/>
  <c r="N418" i="2"/>
  <c r="O417" i="2"/>
  <c r="N417" i="2"/>
  <c r="O416" i="2"/>
  <c r="N416" i="2"/>
  <c r="O415" i="2"/>
  <c r="N415" i="2"/>
  <c r="O414" i="2"/>
  <c r="N414" i="2"/>
  <c r="O413" i="2"/>
  <c r="N413" i="2"/>
  <c r="O412" i="2"/>
  <c r="N412" i="2"/>
  <c r="O411" i="2"/>
  <c r="N411" i="2"/>
  <c r="O410" i="2"/>
  <c r="N410" i="2"/>
  <c r="O409" i="2"/>
  <c r="N409" i="2"/>
  <c r="O408" i="2"/>
  <c r="N408" i="2"/>
  <c r="O407" i="2"/>
  <c r="N407" i="2"/>
  <c r="O406" i="2"/>
  <c r="N406" i="2"/>
  <c r="O405" i="2"/>
  <c r="N405" i="2"/>
  <c r="O404" i="2"/>
  <c r="N404" i="2"/>
  <c r="O403" i="2"/>
  <c r="N403" i="2"/>
  <c r="O402" i="2"/>
  <c r="N402" i="2"/>
  <c r="O401" i="2"/>
  <c r="N401" i="2"/>
  <c r="O400" i="2"/>
  <c r="N400" i="2"/>
  <c r="O399" i="2"/>
  <c r="N399" i="2"/>
  <c r="O398" i="2"/>
  <c r="N398" i="2"/>
  <c r="O397" i="2"/>
  <c r="N397" i="2"/>
  <c r="O396" i="2"/>
  <c r="N396" i="2"/>
  <c r="O395" i="2"/>
  <c r="N395" i="2"/>
  <c r="O394" i="2"/>
  <c r="N394" i="2"/>
  <c r="O393" i="2"/>
  <c r="N393" i="2"/>
  <c r="O392" i="2"/>
  <c r="N392" i="2"/>
  <c r="O391" i="2"/>
  <c r="N391" i="2"/>
  <c r="O390" i="2"/>
  <c r="N390" i="2"/>
  <c r="O389" i="2"/>
  <c r="N389" i="2"/>
  <c r="O388" i="2"/>
  <c r="N388" i="2"/>
  <c r="O387" i="2"/>
  <c r="N387" i="2"/>
  <c r="O386" i="2"/>
  <c r="N386" i="2"/>
  <c r="O385" i="2"/>
  <c r="N385" i="2"/>
  <c r="O384" i="2"/>
  <c r="N384" i="2"/>
  <c r="O383" i="2"/>
  <c r="N383" i="2"/>
  <c r="O382" i="2"/>
  <c r="N382" i="2"/>
  <c r="O381" i="2"/>
  <c r="N381" i="2"/>
  <c r="O380" i="2"/>
  <c r="N380" i="2"/>
  <c r="O379" i="2"/>
  <c r="N379" i="2"/>
  <c r="O378" i="2"/>
  <c r="N378" i="2"/>
  <c r="O377" i="2"/>
  <c r="N377" i="2"/>
  <c r="O376" i="2"/>
  <c r="N376" i="2"/>
  <c r="O375" i="2"/>
  <c r="N375" i="2"/>
  <c r="O374" i="2"/>
  <c r="N374" i="2"/>
  <c r="O373" i="2"/>
  <c r="N373" i="2"/>
  <c r="O372" i="2"/>
  <c r="N372" i="2"/>
  <c r="O371" i="2"/>
  <c r="N371" i="2"/>
  <c r="O370" i="2"/>
  <c r="N370" i="2"/>
  <c r="O369" i="2"/>
  <c r="N369" i="2"/>
  <c r="O368" i="2"/>
  <c r="N368" i="2"/>
  <c r="O367" i="2"/>
  <c r="N367" i="2"/>
  <c r="O366" i="2"/>
  <c r="N366" i="2"/>
  <c r="O365" i="2"/>
  <c r="N365" i="2"/>
  <c r="O364" i="2"/>
  <c r="N364" i="2"/>
  <c r="O363" i="2"/>
  <c r="N363" i="2"/>
  <c r="O362" i="2"/>
  <c r="N362" i="2"/>
  <c r="O361" i="2"/>
  <c r="N361" i="2"/>
  <c r="O360" i="2"/>
  <c r="N360" i="2"/>
  <c r="O359" i="2"/>
  <c r="N359" i="2"/>
  <c r="O358" i="2"/>
  <c r="N358" i="2"/>
  <c r="O357" i="2"/>
  <c r="N357" i="2"/>
  <c r="O356" i="2"/>
  <c r="N356" i="2"/>
  <c r="O355" i="2"/>
  <c r="N355" i="2"/>
  <c r="O354" i="2"/>
  <c r="N354" i="2"/>
  <c r="O353" i="2"/>
  <c r="N353" i="2"/>
  <c r="O352" i="2"/>
  <c r="N352" i="2"/>
  <c r="O351" i="2"/>
  <c r="N351" i="2"/>
  <c r="O350" i="2"/>
  <c r="N350" i="2"/>
  <c r="O349" i="2"/>
  <c r="N349" i="2"/>
  <c r="O348" i="2"/>
  <c r="N348" i="2"/>
  <c r="O347" i="2"/>
  <c r="N347" i="2"/>
  <c r="O346" i="2"/>
  <c r="N346" i="2"/>
  <c r="O345" i="2"/>
  <c r="N345" i="2"/>
  <c r="O344" i="2"/>
  <c r="N344" i="2"/>
  <c r="O343" i="2"/>
  <c r="N343" i="2"/>
  <c r="O342" i="2"/>
  <c r="N342" i="2"/>
  <c r="O341" i="2"/>
  <c r="N341" i="2"/>
  <c r="O340" i="2"/>
  <c r="N340" i="2"/>
  <c r="O339" i="2"/>
  <c r="N339" i="2"/>
  <c r="O338" i="2"/>
  <c r="N338" i="2"/>
  <c r="O337" i="2"/>
  <c r="N337" i="2"/>
  <c r="O336" i="2"/>
  <c r="N336" i="2"/>
  <c r="O335" i="2"/>
  <c r="N335" i="2"/>
  <c r="O334" i="2"/>
  <c r="N334" i="2"/>
  <c r="O333" i="2"/>
  <c r="N333" i="2"/>
  <c r="O332" i="2"/>
  <c r="N332" i="2"/>
  <c r="O331" i="2"/>
  <c r="N331" i="2"/>
  <c r="O330" i="2"/>
  <c r="N330" i="2"/>
  <c r="O329" i="2"/>
  <c r="N329" i="2"/>
  <c r="O328" i="2"/>
  <c r="N328" i="2"/>
  <c r="O327" i="2"/>
  <c r="N327" i="2"/>
  <c r="O326" i="2"/>
  <c r="N326" i="2"/>
  <c r="O325" i="2"/>
  <c r="N325" i="2"/>
  <c r="O324" i="2"/>
  <c r="N324" i="2"/>
  <c r="O323" i="2"/>
  <c r="N323" i="2"/>
  <c r="O322" i="2"/>
  <c r="N322" i="2"/>
  <c r="O321" i="2"/>
  <c r="N321" i="2"/>
  <c r="O320" i="2"/>
  <c r="N320" i="2"/>
  <c r="O319" i="2"/>
  <c r="N319" i="2"/>
  <c r="O318" i="2"/>
  <c r="N318" i="2"/>
  <c r="O317" i="2"/>
  <c r="N317" i="2"/>
  <c r="O316" i="2"/>
  <c r="N316" i="2"/>
  <c r="O315" i="2"/>
  <c r="N315" i="2"/>
  <c r="O314" i="2"/>
  <c r="N314" i="2"/>
  <c r="O313" i="2"/>
  <c r="N313" i="2"/>
  <c r="O312" i="2"/>
  <c r="N312" i="2"/>
  <c r="O311" i="2"/>
  <c r="N311" i="2"/>
  <c r="O310" i="2"/>
  <c r="N310" i="2"/>
  <c r="O309" i="2"/>
  <c r="N309" i="2"/>
  <c r="O308" i="2"/>
  <c r="N308" i="2"/>
  <c r="O307" i="2"/>
  <c r="N307" i="2"/>
  <c r="O306" i="2"/>
  <c r="N306" i="2"/>
  <c r="O305" i="2"/>
  <c r="N305" i="2"/>
  <c r="O304" i="2"/>
  <c r="N304" i="2"/>
  <c r="O303" i="2"/>
  <c r="N303" i="2"/>
  <c r="O302" i="2"/>
  <c r="N302" i="2"/>
  <c r="O301" i="2"/>
  <c r="N301" i="2"/>
  <c r="O300" i="2"/>
  <c r="N300" i="2"/>
  <c r="O299" i="2"/>
  <c r="N299" i="2"/>
  <c r="O298" i="2"/>
  <c r="N298" i="2"/>
  <c r="O297" i="2"/>
  <c r="N297" i="2"/>
  <c r="O296" i="2"/>
  <c r="N296" i="2"/>
  <c r="O295" i="2"/>
  <c r="N295" i="2"/>
  <c r="O294" i="2"/>
  <c r="N294" i="2"/>
  <c r="O293" i="2"/>
  <c r="N293" i="2"/>
  <c r="O292" i="2"/>
  <c r="N292" i="2"/>
  <c r="O291" i="2"/>
  <c r="N291" i="2"/>
  <c r="O290" i="2"/>
  <c r="N290" i="2"/>
  <c r="O289" i="2"/>
  <c r="N289" i="2"/>
  <c r="O288" i="2"/>
  <c r="N288" i="2"/>
  <c r="O287" i="2"/>
  <c r="N287" i="2"/>
  <c r="O286" i="2"/>
  <c r="N286" i="2"/>
  <c r="O285" i="2"/>
  <c r="N285" i="2"/>
  <c r="O284" i="2"/>
  <c r="N284" i="2"/>
  <c r="O283" i="2"/>
  <c r="N283" i="2"/>
  <c r="O282" i="2"/>
  <c r="N282" i="2"/>
  <c r="O281" i="2"/>
  <c r="N281" i="2"/>
  <c r="O280" i="2"/>
  <c r="N280" i="2"/>
  <c r="O279" i="2"/>
  <c r="N279" i="2"/>
  <c r="O278" i="2"/>
  <c r="N278" i="2"/>
  <c r="O277" i="2"/>
  <c r="N277" i="2"/>
  <c r="O276" i="2"/>
  <c r="N276" i="2"/>
  <c r="O275" i="2"/>
  <c r="N275" i="2"/>
  <c r="O274" i="2"/>
  <c r="N274" i="2"/>
  <c r="O273" i="2"/>
  <c r="N273" i="2"/>
  <c r="O272" i="2"/>
  <c r="N272" i="2"/>
  <c r="O271" i="2"/>
  <c r="N271" i="2"/>
  <c r="O270" i="2"/>
  <c r="N270" i="2"/>
  <c r="O269" i="2"/>
  <c r="N269" i="2"/>
  <c r="O268" i="2"/>
  <c r="N268" i="2"/>
  <c r="O267" i="2"/>
  <c r="N267" i="2"/>
  <c r="O266" i="2"/>
  <c r="N266" i="2"/>
  <c r="O265" i="2"/>
  <c r="N265" i="2"/>
  <c r="O264" i="2"/>
  <c r="N264" i="2"/>
  <c r="O263" i="2"/>
  <c r="N263" i="2"/>
  <c r="O262" i="2"/>
  <c r="N262" i="2"/>
  <c r="O261" i="2"/>
  <c r="N261" i="2"/>
  <c r="O260" i="2"/>
  <c r="N260" i="2"/>
  <c r="O259" i="2"/>
  <c r="N259" i="2"/>
  <c r="O258" i="2"/>
  <c r="N258" i="2"/>
  <c r="O257" i="2"/>
  <c r="N257" i="2"/>
  <c r="O256" i="2"/>
  <c r="N256" i="2"/>
  <c r="O255" i="2"/>
  <c r="N255" i="2"/>
  <c r="O254" i="2"/>
  <c r="N254" i="2"/>
  <c r="O253" i="2"/>
  <c r="N253" i="2"/>
  <c r="O252" i="2"/>
  <c r="N252" i="2"/>
  <c r="O251" i="2"/>
  <c r="N251" i="2"/>
  <c r="O250" i="2"/>
  <c r="N250" i="2"/>
  <c r="O249" i="2"/>
  <c r="N249" i="2"/>
  <c r="O248" i="2"/>
  <c r="N248" i="2"/>
  <c r="O247" i="2"/>
  <c r="N247" i="2"/>
  <c r="O246" i="2"/>
  <c r="N246" i="2"/>
  <c r="O245" i="2"/>
  <c r="N245" i="2"/>
  <c r="O244" i="2"/>
  <c r="N244" i="2"/>
  <c r="O243" i="2"/>
  <c r="N243" i="2"/>
  <c r="O242" i="2"/>
  <c r="N242" i="2"/>
  <c r="O241" i="2"/>
  <c r="N241" i="2"/>
  <c r="O240" i="2"/>
  <c r="N240" i="2"/>
  <c r="O239" i="2"/>
  <c r="N239" i="2"/>
  <c r="O238" i="2"/>
  <c r="N238" i="2"/>
  <c r="O237" i="2"/>
  <c r="N237" i="2"/>
  <c r="O236" i="2"/>
  <c r="N236" i="2"/>
  <c r="O235" i="2"/>
  <c r="N235" i="2"/>
  <c r="O234" i="2"/>
  <c r="N234" i="2"/>
  <c r="O233" i="2"/>
  <c r="N233" i="2"/>
  <c r="O232" i="2"/>
  <c r="N232" i="2"/>
  <c r="O231" i="2"/>
  <c r="N231" i="2"/>
  <c r="O230" i="2"/>
  <c r="N230" i="2"/>
  <c r="O229" i="2"/>
  <c r="N229" i="2"/>
  <c r="O228" i="2"/>
  <c r="N228" i="2"/>
  <c r="O227" i="2"/>
  <c r="N227" i="2"/>
  <c r="O226" i="2"/>
  <c r="N226" i="2"/>
  <c r="O225" i="2"/>
  <c r="N225" i="2"/>
  <c r="O224" i="2"/>
  <c r="N224" i="2"/>
  <c r="O223" i="2"/>
  <c r="N223" i="2"/>
  <c r="O222" i="2"/>
  <c r="N222" i="2"/>
  <c r="O221" i="2"/>
  <c r="N221" i="2"/>
  <c r="O220" i="2"/>
  <c r="N220" i="2"/>
  <c r="O219" i="2"/>
  <c r="N219" i="2"/>
  <c r="O218" i="2"/>
  <c r="N218" i="2"/>
  <c r="O217" i="2"/>
  <c r="N217" i="2"/>
  <c r="O216" i="2"/>
  <c r="N216" i="2"/>
  <c r="O215" i="2"/>
  <c r="N215" i="2"/>
  <c r="O214" i="2"/>
  <c r="N214" i="2"/>
  <c r="O213" i="2"/>
  <c r="N213" i="2"/>
  <c r="O212" i="2"/>
  <c r="N212" i="2"/>
  <c r="O211" i="2"/>
  <c r="N211" i="2"/>
  <c r="O210" i="2"/>
  <c r="N210" i="2"/>
  <c r="O209" i="2"/>
  <c r="N209" i="2"/>
  <c r="O208" i="2"/>
  <c r="N208" i="2"/>
  <c r="O207" i="2"/>
  <c r="N207" i="2"/>
  <c r="O206" i="2"/>
  <c r="N206" i="2"/>
  <c r="O205" i="2"/>
  <c r="N205" i="2"/>
  <c r="O204" i="2"/>
  <c r="N204" i="2"/>
  <c r="O203" i="2"/>
  <c r="N203" i="2"/>
  <c r="O202" i="2"/>
  <c r="N202" i="2"/>
  <c r="O201" i="2"/>
  <c r="N201" i="2"/>
  <c r="O200" i="2"/>
  <c r="N200" i="2"/>
  <c r="O199" i="2"/>
  <c r="N199" i="2"/>
  <c r="O198" i="2"/>
  <c r="N198" i="2"/>
  <c r="O197" i="2"/>
  <c r="N197" i="2"/>
  <c r="O196" i="2"/>
  <c r="N196" i="2"/>
  <c r="O195" i="2"/>
  <c r="N195" i="2"/>
  <c r="O194" i="2"/>
  <c r="N194" i="2"/>
  <c r="O193" i="2"/>
  <c r="N193" i="2"/>
  <c r="O192" i="2"/>
  <c r="N192" i="2"/>
  <c r="O191" i="2"/>
  <c r="N191" i="2"/>
  <c r="O190" i="2"/>
  <c r="N190" i="2"/>
  <c r="O189" i="2"/>
  <c r="N189" i="2"/>
  <c r="O188" i="2"/>
  <c r="N188" i="2"/>
  <c r="O187" i="2"/>
  <c r="N187" i="2"/>
  <c r="O186" i="2"/>
  <c r="N186" i="2"/>
  <c r="O185" i="2"/>
  <c r="N185" i="2"/>
  <c r="O184" i="2"/>
  <c r="N184" i="2"/>
  <c r="O183" i="2"/>
  <c r="N183" i="2"/>
  <c r="O182" i="2"/>
  <c r="N182" i="2"/>
  <c r="O181" i="2"/>
  <c r="N181" i="2"/>
  <c r="O180" i="2"/>
  <c r="N180" i="2"/>
  <c r="O179" i="2"/>
  <c r="N179" i="2"/>
  <c r="O178" i="2"/>
  <c r="N178" i="2"/>
  <c r="O177" i="2"/>
  <c r="N177" i="2"/>
  <c r="O176" i="2"/>
  <c r="N176" i="2"/>
  <c r="O175" i="2"/>
  <c r="N175" i="2"/>
  <c r="O174" i="2"/>
  <c r="N174" i="2"/>
  <c r="O173" i="2"/>
  <c r="N173" i="2"/>
  <c r="O172" i="2"/>
  <c r="N172" i="2"/>
  <c r="O171" i="2"/>
  <c r="N171" i="2"/>
  <c r="O170" i="2"/>
  <c r="N170" i="2"/>
  <c r="O169" i="2"/>
  <c r="N169" i="2"/>
  <c r="O168" i="2"/>
  <c r="N168" i="2"/>
  <c r="O167" i="2"/>
  <c r="N167" i="2"/>
  <c r="O166" i="2"/>
  <c r="N166" i="2"/>
  <c r="O165" i="2"/>
  <c r="N165" i="2"/>
  <c r="O164" i="2"/>
  <c r="N164" i="2"/>
  <c r="O163" i="2"/>
  <c r="N163" i="2"/>
  <c r="O162" i="2"/>
  <c r="N162" i="2"/>
  <c r="O161" i="2"/>
  <c r="N161" i="2"/>
  <c r="O160" i="2"/>
  <c r="N160" i="2"/>
  <c r="O159" i="2"/>
  <c r="N159" i="2"/>
  <c r="O158" i="2"/>
  <c r="N158" i="2"/>
  <c r="O157" i="2"/>
  <c r="N157" i="2"/>
  <c r="O156" i="2"/>
  <c r="N156" i="2"/>
  <c r="O155" i="2"/>
  <c r="N155" i="2"/>
  <c r="O154" i="2"/>
  <c r="N154" i="2"/>
  <c r="O153" i="2"/>
  <c r="N153" i="2"/>
  <c r="O152" i="2"/>
  <c r="N152" i="2"/>
  <c r="O151" i="2"/>
  <c r="N151" i="2"/>
  <c r="O150" i="2"/>
  <c r="N150" i="2"/>
  <c r="O149" i="2"/>
  <c r="N149" i="2"/>
  <c r="O148" i="2"/>
  <c r="N148" i="2"/>
  <c r="O147" i="2"/>
  <c r="N147" i="2"/>
  <c r="O146" i="2"/>
  <c r="N146" i="2"/>
  <c r="O145" i="2"/>
  <c r="N145" i="2"/>
  <c r="O144" i="2"/>
  <c r="N144" i="2"/>
  <c r="O143" i="2"/>
  <c r="N143" i="2"/>
  <c r="O142" i="2"/>
  <c r="N142" i="2"/>
  <c r="O141" i="2"/>
  <c r="N141" i="2"/>
  <c r="O140" i="2"/>
  <c r="N140" i="2"/>
  <c r="O139" i="2"/>
  <c r="N139" i="2"/>
  <c r="O138" i="2"/>
  <c r="N138" i="2"/>
  <c r="O137" i="2"/>
  <c r="N137" i="2"/>
  <c r="O136" i="2"/>
  <c r="N136" i="2"/>
  <c r="O135" i="2"/>
  <c r="N135" i="2"/>
  <c r="O134" i="2"/>
  <c r="N134" i="2"/>
  <c r="O133" i="2"/>
  <c r="N133" i="2"/>
  <c r="O132" i="2"/>
  <c r="N132" i="2"/>
  <c r="O131" i="2"/>
  <c r="N131" i="2"/>
  <c r="O130" i="2"/>
  <c r="N130" i="2"/>
  <c r="O129" i="2"/>
  <c r="N129" i="2"/>
  <c r="O128" i="2"/>
  <c r="N128" i="2"/>
  <c r="O127" i="2"/>
  <c r="N127" i="2"/>
  <c r="O126" i="2"/>
  <c r="N126" i="2"/>
  <c r="O125" i="2"/>
  <c r="N125" i="2"/>
  <c r="O124" i="2"/>
  <c r="N124" i="2"/>
  <c r="O123" i="2"/>
  <c r="N123" i="2"/>
  <c r="O122" i="2"/>
  <c r="N122" i="2"/>
  <c r="O121" i="2"/>
  <c r="N121" i="2"/>
  <c r="O120" i="2"/>
  <c r="N120" i="2"/>
  <c r="O119" i="2"/>
  <c r="N119" i="2"/>
  <c r="O118" i="2"/>
  <c r="N118" i="2"/>
  <c r="O117" i="2"/>
  <c r="N117" i="2"/>
  <c r="O116" i="2"/>
  <c r="N116" i="2"/>
  <c r="O115" i="2"/>
  <c r="N115" i="2"/>
  <c r="O114" i="2"/>
  <c r="N114" i="2"/>
  <c r="O113" i="2"/>
  <c r="N113" i="2"/>
  <c r="O112" i="2"/>
  <c r="N112" i="2"/>
  <c r="O111" i="2"/>
  <c r="N111" i="2"/>
  <c r="O110" i="2"/>
  <c r="N110" i="2"/>
  <c r="O109" i="2"/>
  <c r="N109" i="2"/>
  <c r="O108" i="2"/>
  <c r="N108" i="2"/>
  <c r="O107" i="2"/>
  <c r="N107" i="2"/>
  <c r="O106" i="2"/>
  <c r="N106" i="2"/>
  <c r="O105" i="2"/>
  <c r="N105" i="2"/>
  <c r="O104" i="2"/>
  <c r="N104" i="2"/>
  <c r="O103" i="2"/>
  <c r="N103" i="2"/>
  <c r="O102" i="2"/>
  <c r="N102" i="2"/>
  <c r="O101" i="2"/>
  <c r="N101" i="2"/>
  <c r="O100" i="2"/>
  <c r="N100" i="2"/>
  <c r="O99" i="2"/>
  <c r="N99" i="2"/>
  <c r="O98" i="2"/>
  <c r="N98" i="2"/>
  <c r="O97" i="2"/>
  <c r="N97" i="2"/>
  <c r="O96" i="2"/>
  <c r="N96" i="2"/>
  <c r="O95" i="2"/>
  <c r="N95" i="2"/>
  <c r="O94" i="2"/>
  <c r="N94" i="2"/>
  <c r="O93" i="2"/>
  <c r="N93" i="2"/>
  <c r="O92" i="2"/>
  <c r="N92" i="2"/>
  <c r="O91" i="2"/>
  <c r="N91" i="2"/>
  <c r="O90" i="2"/>
  <c r="N90" i="2"/>
  <c r="O89" i="2"/>
  <c r="N89" i="2"/>
  <c r="O88" i="2"/>
  <c r="N88" i="2"/>
  <c r="O87" i="2"/>
  <c r="N87" i="2"/>
  <c r="O86" i="2"/>
  <c r="N86" i="2"/>
  <c r="O85" i="2"/>
  <c r="N85" i="2"/>
  <c r="O84" i="2"/>
  <c r="N84" i="2"/>
  <c r="O83" i="2"/>
  <c r="N83" i="2"/>
  <c r="O82" i="2"/>
  <c r="N82" i="2"/>
  <c r="O81" i="2"/>
  <c r="N81" i="2"/>
  <c r="O80" i="2"/>
  <c r="N80" i="2"/>
  <c r="O79" i="2"/>
  <c r="N79" i="2"/>
  <c r="O78" i="2"/>
  <c r="N78" i="2"/>
  <c r="O77" i="2"/>
  <c r="N77" i="2"/>
  <c r="O76" i="2"/>
  <c r="N76" i="2"/>
  <c r="O75" i="2"/>
  <c r="N75" i="2"/>
  <c r="O74" i="2"/>
  <c r="N74" i="2"/>
  <c r="O73" i="2"/>
  <c r="N73" i="2"/>
  <c r="O72" i="2"/>
  <c r="N72" i="2"/>
  <c r="O71" i="2"/>
  <c r="N71" i="2"/>
  <c r="O70" i="2"/>
  <c r="N70" i="2"/>
  <c r="O69" i="2"/>
  <c r="N69" i="2"/>
  <c r="O68" i="2"/>
  <c r="N68" i="2"/>
  <c r="O67" i="2"/>
  <c r="N67" i="2"/>
  <c r="O66" i="2"/>
  <c r="N66" i="2"/>
  <c r="O65" i="2"/>
  <c r="N65" i="2"/>
  <c r="O64" i="2"/>
  <c r="N64" i="2"/>
  <c r="O63" i="2"/>
  <c r="N63" i="2"/>
  <c r="O62" i="2"/>
  <c r="N62" i="2"/>
  <c r="O61" i="2"/>
  <c r="N61" i="2"/>
  <c r="O60" i="2"/>
  <c r="N60" i="2"/>
  <c r="O59" i="2"/>
  <c r="N59" i="2"/>
  <c r="O58" i="2"/>
  <c r="N58" i="2"/>
  <c r="O57" i="2"/>
  <c r="N57" i="2"/>
  <c r="O56" i="2"/>
  <c r="N56" i="2"/>
  <c r="O55" i="2"/>
  <c r="N55" i="2"/>
  <c r="O54" i="2"/>
  <c r="N54" i="2"/>
  <c r="O53" i="2"/>
  <c r="N53" i="2"/>
  <c r="O52" i="2"/>
  <c r="N52" i="2"/>
  <c r="O51" i="2"/>
  <c r="N51" i="2"/>
  <c r="O50" i="2"/>
  <c r="N50" i="2"/>
  <c r="O49" i="2"/>
  <c r="N49" i="2"/>
  <c r="O48" i="2"/>
  <c r="N48" i="2"/>
  <c r="O47" i="2"/>
  <c r="N47" i="2"/>
  <c r="O46" i="2"/>
  <c r="N46" i="2"/>
  <c r="O45" i="2"/>
  <c r="N45" i="2"/>
  <c r="O44" i="2"/>
  <c r="N44" i="2"/>
  <c r="O43" i="2"/>
  <c r="N43" i="2"/>
  <c r="O42" i="2"/>
  <c r="N42" i="2"/>
  <c r="O41" i="2"/>
  <c r="N41" i="2"/>
  <c r="O40" i="2"/>
  <c r="N40" i="2"/>
  <c r="O39" i="2"/>
  <c r="N39" i="2"/>
  <c r="O38" i="2"/>
  <c r="N38" i="2"/>
  <c r="O37" i="2"/>
  <c r="N37" i="2"/>
  <c r="O36" i="2"/>
  <c r="N36" i="2"/>
  <c r="O35" i="2"/>
  <c r="N35" i="2"/>
  <c r="O34" i="2"/>
  <c r="N34" i="2"/>
  <c r="O33" i="2"/>
  <c r="N33" i="2"/>
  <c r="O32" i="2"/>
  <c r="N32" i="2"/>
  <c r="O31" i="2"/>
  <c r="N31" i="2"/>
  <c r="O30" i="2"/>
  <c r="N30" i="2"/>
  <c r="O29" i="2"/>
  <c r="N29" i="2"/>
  <c r="O28" i="2"/>
  <c r="N28" i="2"/>
  <c r="O27" i="2"/>
  <c r="N27" i="2"/>
  <c r="O26" i="2"/>
  <c r="N26" i="2"/>
  <c r="O25" i="2"/>
  <c r="N25" i="2"/>
  <c r="O24" i="2"/>
  <c r="N24" i="2"/>
  <c r="O23" i="2"/>
  <c r="N23" i="2"/>
  <c r="O22" i="2"/>
  <c r="N22" i="2"/>
  <c r="O21" i="2"/>
  <c r="N21" i="2"/>
  <c r="O20" i="2"/>
  <c r="N20" i="2"/>
  <c r="O19" i="2"/>
  <c r="N19" i="2"/>
  <c r="O18" i="2"/>
  <c r="N18" i="2"/>
  <c r="O17" i="2"/>
  <c r="N17" i="2"/>
  <c r="O16" i="2"/>
  <c r="N16" i="2"/>
  <c r="O15" i="2"/>
  <c r="N15" i="2"/>
  <c r="O14" i="2"/>
  <c r="N14" i="2"/>
  <c r="O13" i="2"/>
  <c r="N13" i="2"/>
  <c r="O12" i="2"/>
  <c r="N12" i="2"/>
  <c r="O11" i="2"/>
  <c r="N11" i="2"/>
  <c r="O10" i="2"/>
  <c r="N10" i="2"/>
  <c r="O9" i="2"/>
  <c r="N9" i="2"/>
  <c r="O8" i="2"/>
  <c r="N8" i="2"/>
  <c r="O7" i="2"/>
  <c r="N7" i="2"/>
  <c r="O6" i="2"/>
  <c r="N6" i="2"/>
  <c r="O5" i="2"/>
  <c r="N5" i="2"/>
  <c r="I1002" i="2"/>
  <c r="H1002" i="2"/>
  <c r="G1002" i="2"/>
  <c r="F1002" i="2"/>
  <c r="I1001" i="2"/>
  <c r="H1001" i="2"/>
  <c r="G1001" i="2"/>
  <c r="F1001" i="2"/>
  <c r="I1000" i="2"/>
  <c r="H1000" i="2"/>
  <c r="G1000" i="2"/>
  <c r="F1000" i="2"/>
  <c r="I999" i="2"/>
  <c r="H999" i="2"/>
  <c r="G999" i="2"/>
  <c r="F999" i="2"/>
  <c r="I998" i="2"/>
  <c r="H998" i="2"/>
  <c r="G998" i="2"/>
  <c r="F998" i="2"/>
  <c r="I997" i="2"/>
  <c r="H997" i="2"/>
  <c r="G997" i="2"/>
  <c r="F997" i="2"/>
  <c r="I996" i="2"/>
  <c r="H996" i="2"/>
  <c r="G996" i="2"/>
  <c r="F996" i="2"/>
  <c r="I995" i="2"/>
  <c r="H995" i="2"/>
  <c r="G995" i="2"/>
  <c r="F995" i="2"/>
  <c r="I994" i="2"/>
  <c r="H994" i="2"/>
  <c r="G994" i="2"/>
  <c r="F994" i="2"/>
  <c r="I993" i="2"/>
  <c r="H993" i="2"/>
  <c r="G993" i="2"/>
  <c r="F993" i="2"/>
  <c r="I992" i="2"/>
  <c r="H992" i="2"/>
  <c r="G992" i="2"/>
  <c r="F992" i="2"/>
  <c r="I991" i="2"/>
  <c r="H991" i="2"/>
  <c r="G991" i="2"/>
  <c r="F991" i="2"/>
  <c r="I990" i="2"/>
  <c r="H990" i="2"/>
  <c r="G990" i="2"/>
  <c r="F990" i="2"/>
  <c r="I989" i="2"/>
  <c r="H989" i="2"/>
  <c r="G989" i="2"/>
  <c r="F989" i="2"/>
  <c r="I988" i="2"/>
  <c r="H988" i="2"/>
  <c r="G988" i="2"/>
  <c r="F988" i="2"/>
  <c r="I987" i="2"/>
  <c r="H987" i="2"/>
  <c r="G987" i="2"/>
  <c r="F987" i="2"/>
  <c r="I986" i="2"/>
  <c r="H986" i="2"/>
  <c r="G986" i="2"/>
  <c r="F986" i="2"/>
  <c r="I985" i="2"/>
  <c r="H985" i="2"/>
  <c r="G985" i="2"/>
  <c r="F985" i="2"/>
  <c r="I984" i="2"/>
  <c r="H984" i="2"/>
  <c r="G984" i="2"/>
  <c r="F984" i="2"/>
  <c r="I983" i="2"/>
  <c r="H983" i="2"/>
  <c r="G983" i="2"/>
  <c r="F983" i="2"/>
  <c r="I982" i="2"/>
  <c r="H982" i="2"/>
  <c r="G982" i="2"/>
  <c r="F982" i="2"/>
  <c r="I981" i="2"/>
  <c r="H981" i="2"/>
  <c r="G981" i="2"/>
  <c r="F981" i="2"/>
  <c r="I980" i="2"/>
  <c r="H980" i="2"/>
  <c r="G980" i="2"/>
  <c r="F980" i="2"/>
  <c r="I979" i="2"/>
  <c r="H979" i="2"/>
  <c r="G979" i="2"/>
  <c r="F979" i="2"/>
  <c r="I978" i="2"/>
  <c r="H978" i="2"/>
  <c r="G978" i="2"/>
  <c r="F978" i="2"/>
  <c r="I977" i="2"/>
  <c r="H977" i="2"/>
  <c r="G977" i="2"/>
  <c r="F977" i="2"/>
  <c r="I976" i="2"/>
  <c r="H976" i="2"/>
  <c r="G976" i="2"/>
  <c r="F976" i="2"/>
  <c r="I975" i="2"/>
  <c r="H975" i="2"/>
  <c r="G975" i="2"/>
  <c r="F975" i="2"/>
  <c r="I974" i="2"/>
  <c r="H974" i="2"/>
  <c r="G974" i="2"/>
  <c r="F974" i="2"/>
  <c r="I973" i="2"/>
  <c r="H973" i="2"/>
  <c r="G973" i="2"/>
  <c r="F973" i="2"/>
  <c r="I972" i="2"/>
  <c r="H972" i="2"/>
  <c r="G972" i="2"/>
  <c r="F972" i="2"/>
  <c r="I971" i="2"/>
  <c r="H971" i="2"/>
  <c r="G971" i="2"/>
  <c r="F971" i="2"/>
  <c r="I970" i="2"/>
  <c r="H970" i="2"/>
  <c r="G970" i="2"/>
  <c r="F970" i="2"/>
  <c r="I969" i="2"/>
  <c r="H969" i="2"/>
  <c r="G969" i="2"/>
  <c r="F969" i="2"/>
  <c r="I968" i="2"/>
  <c r="H968" i="2"/>
  <c r="G968" i="2"/>
  <c r="F968" i="2"/>
  <c r="I967" i="2"/>
  <c r="H967" i="2"/>
  <c r="G967" i="2"/>
  <c r="F967" i="2"/>
  <c r="I966" i="2"/>
  <c r="H966" i="2"/>
  <c r="G966" i="2"/>
  <c r="F966" i="2"/>
  <c r="I965" i="2"/>
  <c r="H965" i="2"/>
  <c r="G965" i="2"/>
  <c r="F965" i="2"/>
  <c r="I964" i="2"/>
  <c r="H964" i="2"/>
  <c r="G964" i="2"/>
  <c r="F964" i="2"/>
  <c r="I963" i="2"/>
  <c r="H963" i="2"/>
  <c r="G963" i="2"/>
  <c r="F963" i="2"/>
  <c r="I962" i="2"/>
  <c r="H962" i="2"/>
  <c r="G962" i="2"/>
  <c r="F962" i="2"/>
  <c r="I961" i="2"/>
  <c r="H961" i="2"/>
  <c r="G961" i="2"/>
  <c r="F961" i="2"/>
  <c r="I960" i="2"/>
  <c r="H960" i="2"/>
  <c r="G960" i="2"/>
  <c r="F960" i="2"/>
  <c r="I959" i="2"/>
  <c r="H959" i="2"/>
  <c r="G959" i="2"/>
  <c r="F959" i="2"/>
  <c r="I958" i="2"/>
  <c r="H958" i="2"/>
  <c r="G958" i="2"/>
  <c r="F958" i="2"/>
  <c r="I957" i="2"/>
  <c r="H957" i="2"/>
  <c r="G957" i="2"/>
  <c r="F957" i="2"/>
  <c r="I956" i="2"/>
  <c r="H956" i="2"/>
  <c r="G956" i="2"/>
  <c r="F956" i="2"/>
  <c r="I955" i="2"/>
  <c r="H955" i="2"/>
  <c r="G955" i="2"/>
  <c r="F955" i="2"/>
  <c r="I954" i="2"/>
  <c r="H954" i="2"/>
  <c r="G954" i="2"/>
  <c r="F954" i="2"/>
  <c r="I953" i="2"/>
  <c r="H953" i="2"/>
  <c r="G953" i="2"/>
  <c r="F953" i="2"/>
  <c r="I952" i="2"/>
  <c r="H952" i="2"/>
  <c r="G952" i="2"/>
  <c r="F952" i="2"/>
  <c r="I951" i="2"/>
  <c r="H951" i="2"/>
  <c r="G951" i="2"/>
  <c r="F951" i="2"/>
  <c r="I950" i="2"/>
  <c r="H950" i="2"/>
  <c r="G950" i="2"/>
  <c r="F950" i="2"/>
  <c r="I949" i="2"/>
  <c r="H949" i="2"/>
  <c r="G949" i="2"/>
  <c r="F949" i="2"/>
  <c r="I948" i="2"/>
  <c r="H948" i="2"/>
  <c r="G948" i="2"/>
  <c r="F948" i="2"/>
  <c r="I947" i="2"/>
  <c r="H947" i="2"/>
  <c r="G947" i="2"/>
  <c r="F947" i="2"/>
  <c r="I946" i="2"/>
  <c r="H946" i="2"/>
  <c r="G946" i="2"/>
  <c r="F946" i="2"/>
  <c r="I945" i="2"/>
  <c r="H945" i="2"/>
  <c r="G945" i="2"/>
  <c r="F945" i="2"/>
  <c r="I944" i="2"/>
  <c r="H944" i="2"/>
  <c r="G944" i="2"/>
  <c r="F944" i="2"/>
  <c r="I943" i="2"/>
  <c r="H943" i="2"/>
  <c r="G943" i="2"/>
  <c r="F943" i="2"/>
  <c r="I942" i="2"/>
  <c r="H942" i="2"/>
  <c r="G942" i="2"/>
  <c r="F942" i="2"/>
  <c r="I941" i="2"/>
  <c r="H941" i="2"/>
  <c r="G941" i="2"/>
  <c r="F941" i="2"/>
  <c r="I940" i="2"/>
  <c r="H940" i="2"/>
  <c r="G940" i="2"/>
  <c r="F940" i="2"/>
  <c r="I939" i="2"/>
  <c r="H939" i="2"/>
  <c r="G939" i="2"/>
  <c r="F939" i="2"/>
  <c r="I938" i="2"/>
  <c r="H938" i="2"/>
  <c r="G938" i="2"/>
  <c r="F938" i="2"/>
  <c r="I937" i="2"/>
  <c r="H937" i="2"/>
  <c r="G937" i="2"/>
  <c r="F937" i="2"/>
  <c r="I936" i="2"/>
  <c r="H936" i="2"/>
  <c r="G936" i="2"/>
  <c r="F936" i="2"/>
  <c r="I935" i="2"/>
  <c r="H935" i="2"/>
  <c r="G935" i="2"/>
  <c r="F935" i="2"/>
  <c r="I934" i="2"/>
  <c r="H934" i="2"/>
  <c r="G934" i="2"/>
  <c r="F934" i="2"/>
  <c r="I933" i="2"/>
  <c r="H933" i="2"/>
  <c r="G933" i="2"/>
  <c r="F933" i="2"/>
  <c r="I932" i="2"/>
  <c r="H932" i="2"/>
  <c r="G932" i="2"/>
  <c r="F932" i="2"/>
  <c r="I931" i="2"/>
  <c r="H931" i="2"/>
  <c r="G931" i="2"/>
  <c r="F931" i="2"/>
  <c r="I930" i="2"/>
  <c r="H930" i="2"/>
  <c r="G930" i="2"/>
  <c r="F930" i="2"/>
  <c r="I929" i="2"/>
  <c r="H929" i="2"/>
  <c r="G929" i="2"/>
  <c r="F929" i="2"/>
  <c r="I928" i="2"/>
  <c r="H928" i="2"/>
  <c r="G928" i="2"/>
  <c r="F928" i="2"/>
  <c r="I927" i="2"/>
  <c r="H927" i="2"/>
  <c r="G927" i="2"/>
  <c r="F927" i="2"/>
  <c r="I926" i="2"/>
  <c r="H926" i="2"/>
  <c r="G926" i="2"/>
  <c r="F926" i="2"/>
  <c r="I925" i="2"/>
  <c r="H925" i="2"/>
  <c r="G925" i="2"/>
  <c r="F925" i="2"/>
  <c r="I924" i="2"/>
  <c r="H924" i="2"/>
  <c r="G924" i="2"/>
  <c r="F924" i="2"/>
  <c r="I923" i="2"/>
  <c r="H923" i="2"/>
  <c r="G923" i="2"/>
  <c r="F923" i="2"/>
  <c r="I922" i="2"/>
  <c r="H922" i="2"/>
  <c r="G922" i="2"/>
  <c r="F922" i="2"/>
  <c r="I921" i="2"/>
  <c r="H921" i="2"/>
  <c r="G921" i="2"/>
  <c r="F921" i="2"/>
  <c r="I920" i="2"/>
  <c r="H920" i="2"/>
  <c r="G920" i="2"/>
  <c r="F920" i="2"/>
  <c r="I919" i="2"/>
  <c r="H919" i="2"/>
  <c r="G919" i="2"/>
  <c r="F919" i="2"/>
  <c r="I918" i="2"/>
  <c r="H918" i="2"/>
  <c r="G918" i="2"/>
  <c r="F918" i="2"/>
  <c r="I917" i="2"/>
  <c r="H917" i="2"/>
  <c r="G917" i="2"/>
  <c r="F917" i="2"/>
  <c r="I916" i="2"/>
  <c r="H916" i="2"/>
  <c r="G916" i="2"/>
  <c r="F916" i="2"/>
  <c r="I915" i="2"/>
  <c r="H915" i="2"/>
  <c r="G915" i="2"/>
  <c r="F915" i="2"/>
  <c r="I914" i="2"/>
  <c r="H914" i="2"/>
  <c r="G914" i="2"/>
  <c r="F914" i="2"/>
  <c r="I913" i="2"/>
  <c r="H913" i="2"/>
  <c r="G913" i="2"/>
  <c r="F913" i="2"/>
  <c r="I912" i="2"/>
  <c r="H912" i="2"/>
  <c r="G912" i="2"/>
  <c r="F912" i="2"/>
  <c r="I911" i="2"/>
  <c r="H911" i="2"/>
  <c r="G911" i="2"/>
  <c r="F911" i="2"/>
  <c r="I910" i="2"/>
  <c r="H910" i="2"/>
  <c r="G910" i="2"/>
  <c r="F910" i="2"/>
  <c r="I909" i="2"/>
  <c r="H909" i="2"/>
  <c r="G909" i="2"/>
  <c r="F909" i="2"/>
  <c r="I908" i="2"/>
  <c r="H908" i="2"/>
  <c r="G908" i="2"/>
  <c r="F908" i="2"/>
  <c r="I907" i="2"/>
  <c r="H907" i="2"/>
  <c r="G907" i="2"/>
  <c r="F907" i="2"/>
  <c r="I906" i="2"/>
  <c r="H906" i="2"/>
  <c r="G906" i="2"/>
  <c r="F906" i="2"/>
  <c r="I905" i="2"/>
  <c r="H905" i="2"/>
  <c r="G905" i="2"/>
  <c r="F905" i="2"/>
  <c r="I904" i="2"/>
  <c r="H904" i="2"/>
  <c r="G904" i="2"/>
  <c r="F904" i="2"/>
  <c r="I903" i="2"/>
  <c r="H903" i="2"/>
  <c r="G903" i="2"/>
  <c r="F903" i="2"/>
  <c r="I902" i="2"/>
  <c r="H902" i="2"/>
  <c r="G902" i="2"/>
  <c r="F902" i="2"/>
  <c r="I901" i="2"/>
  <c r="H901" i="2"/>
  <c r="G901" i="2"/>
  <c r="F901" i="2"/>
  <c r="I900" i="2"/>
  <c r="H900" i="2"/>
  <c r="G900" i="2"/>
  <c r="F900" i="2"/>
  <c r="I899" i="2"/>
  <c r="H899" i="2"/>
  <c r="G899" i="2"/>
  <c r="F899" i="2"/>
  <c r="I898" i="2"/>
  <c r="H898" i="2"/>
  <c r="G898" i="2"/>
  <c r="F898" i="2"/>
  <c r="I897" i="2"/>
  <c r="H897" i="2"/>
  <c r="G897" i="2"/>
  <c r="F897" i="2"/>
  <c r="I896" i="2"/>
  <c r="H896" i="2"/>
  <c r="G896" i="2"/>
  <c r="F896" i="2"/>
  <c r="I895" i="2"/>
  <c r="H895" i="2"/>
  <c r="G895" i="2"/>
  <c r="F895" i="2"/>
  <c r="I894" i="2"/>
  <c r="H894" i="2"/>
  <c r="G894" i="2"/>
  <c r="F894" i="2"/>
  <c r="I893" i="2"/>
  <c r="H893" i="2"/>
  <c r="G893" i="2"/>
  <c r="F893" i="2"/>
  <c r="I892" i="2"/>
  <c r="H892" i="2"/>
  <c r="G892" i="2"/>
  <c r="F892" i="2"/>
  <c r="I891" i="2"/>
  <c r="H891" i="2"/>
  <c r="G891" i="2"/>
  <c r="F891" i="2"/>
  <c r="I890" i="2"/>
  <c r="H890" i="2"/>
  <c r="G890" i="2"/>
  <c r="F890" i="2"/>
  <c r="I889" i="2"/>
  <c r="H889" i="2"/>
  <c r="G889" i="2"/>
  <c r="F889" i="2"/>
  <c r="I888" i="2"/>
  <c r="H888" i="2"/>
  <c r="G888" i="2"/>
  <c r="F888" i="2"/>
  <c r="I887" i="2"/>
  <c r="H887" i="2"/>
  <c r="G887" i="2"/>
  <c r="F887" i="2"/>
  <c r="I886" i="2"/>
  <c r="H886" i="2"/>
  <c r="G886" i="2"/>
  <c r="F886" i="2"/>
  <c r="I885" i="2"/>
  <c r="H885" i="2"/>
  <c r="G885" i="2"/>
  <c r="F885" i="2"/>
  <c r="I884" i="2"/>
  <c r="H884" i="2"/>
  <c r="G884" i="2"/>
  <c r="F884" i="2"/>
  <c r="I883" i="2"/>
  <c r="H883" i="2"/>
  <c r="G883" i="2"/>
  <c r="F883" i="2"/>
  <c r="I882" i="2"/>
  <c r="H882" i="2"/>
  <c r="G882" i="2"/>
  <c r="F882" i="2"/>
  <c r="I881" i="2"/>
  <c r="H881" i="2"/>
  <c r="G881" i="2"/>
  <c r="F881" i="2"/>
  <c r="I880" i="2"/>
  <c r="H880" i="2"/>
  <c r="G880" i="2"/>
  <c r="F880" i="2"/>
  <c r="I879" i="2"/>
  <c r="H879" i="2"/>
  <c r="G879" i="2"/>
  <c r="F879" i="2"/>
  <c r="I878" i="2"/>
  <c r="H878" i="2"/>
  <c r="G878" i="2"/>
  <c r="F878" i="2"/>
  <c r="I877" i="2"/>
  <c r="H877" i="2"/>
  <c r="G877" i="2"/>
  <c r="F877" i="2"/>
  <c r="I876" i="2"/>
  <c r="H876" i="2"/>
  <c r="G876" i="2"/>
  <c r="F876" i="2"/>
  <c r="I875" i="2"/>
  <c r="H875" i="2"/>
  <c r="G875" i="2"/>
  <c r="F875" i="2"/>
  <c r="I874" i="2"/>
  <c r="H874" i="2"/>
  <c r="G874" i="2"/>
  <c r="F874" i="2"/>
  <c r="I873" i="2"/>
  <c r="H873" i="2"/>
  <c r="G873" i="2"/>
  <c r="F873" i="2"/>
  <c r="I872" i="2"/>
  <c r="H872" i="2"/>
  <c r="G872" i="2"/>
  <c r="F872" i="2"/>
  <c r="I871" i="2"/>
  <c r="H871" i="2"/>
  <c r="G871" i="2"/>
  <c r="F871" i="2"/>
  <c r="I870" i="2"/>
  <c r="H870" i="2"/>
  <c r="G870" i="2"/>
  <c r="F870" i="2"/>
  <c r="I869" i="2"/>
  <c r="H869" i="2"/>
  <c r="G869" i="2"/>
  <c r="F869" i="2"/>
  <c r="I868" i="2"/>
  <c r="H868" i="2"/>
  <c r="G868" i="2"/>
  <c r="F868" i="2"/>
  <c r="I867" i="2"/>
  <c r="H867" i="2"/>
  <c r="G867" i="2"/>
  <c r="F867" i="2"/>
  <c r="I866" i="2"/>
  <c r="H866" i="2"/>
  <c r="G866" i="2"/>
  <c r="F866" i="2"/>
  <c r="I865" i="2"/>
  <c r="H865" i="2"/>
  <c r="G865" i="2"/>
  <c r="F865" i="2"/>
  <c r="I864" i="2"/>
  <c r="H864" i="2"/>
  <c r="G864" i="2"/>
  <c r="F864" i="2"/>
  <c r="I863" i="2"/>
  <c r="H863" i="2"/>
  <c r="G863" i="2"/>
  <c r="F863" i="2"/>
  <c r="I862" i="2"/>
  <c r="H862" i="2"/>
  <c r="G862" i="2"/>
  <c r="F862" i="2"/>
  <c r="I861" i="2"/>
  <c r="H861" i="2"/>
  <c r="G861" i="2"/>
  <c r="F861" i="2"/>
  <c r="I860" i="2"/>
  <c r="H860" i="2"/>
  <c r="G860" i="2"/>
  <c r="F860" i="2"/>
  <c r="I859" i="2"/>
  <c r="H859" i="2"/>
  <c r="G859" i="2"/>
  <c r="F859" i="2"/>
  <c r="I858" i="2"/>
  <c r="H858" i="2"/>
  <c r="G858" i="2"/>
  <c r="F858" i="2"/>
  <c r="I857" i="2"/>
  <c r="H857" i="2"/>
  <c r="G857" i="2"/>
  <c r="F857" i="2"/>
  <c r="I856" i="2"/>
  <c r="H856" i="2"/>
  <c r="G856" i="2"/>
  <c r="F856" i="2"/>
  <c r="I855" i="2"/>
  <c r="H855" i="2"/>
  <c r="G855" i="2"/>
  <c r="F855" i="2"/>
  <c r="I854" i="2"/>
  <c r="H854" i="2"/>
  <c r="G854" i="2"/>
  <c r="F854" i="2"/>
  <c r="I853" i="2"/>
  <c r="H853" i="2"/>
  <c r="G853" i="2"/>
  <c r="F853" i="2"/>
  <c r="I852" i="2"/>
  <c r="H852" i="2"/>
  <c r="G852" i="2"/>
  <c r="F852" i="2"/>
  <c r="I851" i="2"/>
  <c r="H851" i="2"/>
  <c r="G851" i="2"/>
  <c r="F851" i="2"/>
  <c r="I850" i="2"/>
  <c r="H850" i="2"/>
  <c r="G850" i="2"/>
  <c r="F850" i="2"/>
  <c r="I849" i="2"/>
  <c r="H849" i="2"/>
  <c r="G849" i="2"/>
  <c r="F849" i="2"/>
  <c r="I848" i="2"/>
  <c r="H848" i="2"/>
  <c r="G848" i="2"/>
  <c r="F848" i="2"/>
  <c r="I847" i="2"/>
  <c r="H847" i="2"/>
  <c r="G847" i="2"/>
  <c r="F847" i="2"/>
  <c r="I846" i="2"/>
  <c r="H846" i="2"/>
  <c r="G846" i="2"/>
  <c r="F846" i="2"/>
  <c r="I845" i="2"/>
  <c r="H845" i="2"/>
  <c r="G845" i="2"/>
  <c r="F845" i="2"/>
  <c r="I844" i="2"/>
  <c r="H844" i="2"/>
  <c r="G844" i="2"/>
  <c r="F844" i="2"/>
  <c r="I843" i="2"/>
  <c r="H843" i="2"/>
  <c r="G843" i="2"/>
  <c r="F843" i="2"/>
  <c r="I842" i="2"/>
  <c r="H842" i="2"/>
  <c r="G842" i="2"/>
  <c r="F842" i="2"/>
  <c r="I841" i="2"/>
  <c r="H841" i="2"/>
  <c r="G841" i="2"/>
  <c r="F841" i="2"/>
  <c r="I840" i="2"/>
  <c r="H840" i="2"/>
  <c r="G840" i="2"/>
  <c r="F840" i="2"/>
  <c r="I839" i="2"/>
  <c r="H839" i="2"/>
  <c r="G839" i="2"/>
  <c r="F839" i="2"/>
  <c r="I838" i="2"/>
  <c r="H838" i="2"/>
  <c r="G838" i="2"/>
  <c r="F838" i="2"/>
  <c r="I837" i="2"/>
  <c r="H837" i="2"/>
  <c r="G837" i="2"/>
  <c r="F837" i="2"/>
  <c r="I836" i="2"/>
  <c r="H836" i="2"/>
  <c r="G836" i="2"/>
  <c r="F836" i="2"/>
  <c r="I835" i="2"/>
  <c r="H835" i="2"/>
  <c r="G835" i="2"/>
  <c r="F835" i="2"/>
  <c r="I834" i="2"/>
  <c r="H834" i="2"/>
  <c r="G834" i="2"/>
  <c r="F834" i="2"/>
  <c r="I833" i="2"/>
  <c r="H833" i="2"/>
  <c r="G833" i="2"/>
  <c r="F833" i="2"/>
  <c r="I832" i="2"/>
  <c r="H832" i="2"/>
  <c r="G832" i="2"/>
  <c r="F832" i="2"/>
  <c r="I831" i="2"/>
  <c r="H831" i="2"/>
  <c r="G831" i="2"/>
  <c r="F831" i="2"/>
  <c r="I830" i="2"/>
  <c r="H830" i="2"/>
  <c r="G830" i="2"/>
  <c r="F830" i="2"/>
  <c r="I829" i="2"/>
  <c r="H829" i="2"/>
  <c r="G829" i="2"/>
  <c r="F829" i="2"/>
  <c r="I828" i="2"/>
  <c r="H828" i="2"/>
  <c r="G828" i="2"/>
  <c r="F828" i="2"/>
  <c r="I827" i="2"/>
  <c r="H827" i="2"/>
  <c r="G827" i="2"/>
  <c r="F827" i="2"/>
  <c r="I826" i="2"/>
  <c r="H826" i="2"/>
  <c r="G826" i="2"/>
  <c r="F826" i="2"/>
  <c r="I825" i="2"/>
  <c r="H825" i="2"/>
  <c r="G825" i="2"/>
  <c r="F825" i="2"/>
  <c r="I824" i="2"/>
  <c r="H824" i="2"/>
  <c r="G824" i="2"/>
  <c r="F824" i="2"/>
  <c r="I823" i="2"/>
  <c r="H823" i="2"/>
  <c r="G823" i="2"/>
  <c r="F823" i="2"/>
  <c r="I822" i="2"/>
  <c r="H822" i="2"/>
  <c r="G822" i="2"/>
  <c r="F822" i="2"/>
  <c r="I821" i="2"/>
  <c r="H821" i="2"/>
  <c r="G821" i="2"/>
  <c r="F821" i="2"/>
  <c r="I820" i="2"/>
  <c r="H820" i="2"/>
  <c r="G820" i="2"/>
  <c r="F820" i="2"/>
  <c r="I819" i="2"/>
  <c r="H819" i="2"/>
  <c r="G819" i="2"/>
  <c r="F819" i="2"/>
  <c r="I818" i="2"/>
  <c r="H818" i="2"/>
  <c r="G818" i="2"/>
  <c r="F818" i="2"/>
  <c r="I817" i="2"/>
  <c r="H817" i="2"/>
  <c r="G817" i="2"/>
  <c r="F817" i="2"/>
  <c r="I816" i="2"/>
  <c r="H816" i="2"/>
  <c r="G816" i="2"/>
  <c r="F816" i="2"/>
  <c r="I815" i="2"/>
  <c r="H815" i="2"/>
  <c r="G815" i="2"/>
  <c r="F815" i="2"/>
  <c r="I814" i="2"/>
  <c r="H814" i="2"/>
  <c r="G814" i="2"/>
  <c r="F814" i="2"/>
  <c r="I813" i="2"/>
  <c r="H813" i="2"/>
  <c r="G813" i="2"/>
  <c r="F813" i="2"/>
  <c r="I812" i="2"/>
  <c r="H812" i="2"/>
  <c r="G812" i="2"/>
  <c r="F812" i="2"/>
  <c r="I811" i="2"/>
  <c r="H811" i="2"/>
  <c r="G811" i="2"/>
  <c r="F811" i="2"/>
  <c r="I810" i="2"/>
  <c r="H810" i="2"/>
  <c r="G810" i="2"/>
  <c r="F810" i="2"/>
  <c r="I809" i="2"/>
  <c r="H809" i="2"/>
  <c r="G809" i="2"/>
  <c r="F809" i="2"/>
  <c r="I808" i="2"/>
  <c r="H808" i="2"/>
  <c r="G808" i="2"/>
  <c r="F808" i="2"/>
  <c r="I807" i="2"/>
  <c r="H807" i="2"/>
  <c r="G807" i="2"/>
  <c r="F807" i="2"/>
  <c r="I806" i="2"/>
  <c r="H806" i="2"/>
  <c r="G806" i="2"/>
  <c r="F806" i="2"/>
  <c r="I805" i="2"/>
  <c r="H805" i="2"/>
  <c r="G805" i="2"/>
  <c r="F805" i="2"/>
  <c r="I804" i="2"/>
  <c r="H804" i="2"/>
  <c r="G804" i="2"/>
  <c r="F804" i="2"/>
  <c r="I803" i="2"/>
  <c r="H803" i="2"/>
  <c r="G803" i="2"/>
  <c r="F803" i="2"/>
  <c r="I802" i="2"/>
  <c r="H802" i="2"/>
  <c r="G802" i="2"/>
  <c r="F802" i="2"/>
  <c r="I801" i="2"/>
  <c r="H801" i="2"/>
  <c r="G801" i="2"/>
  <c r="F801" i="2"/>
  <c r="I800" i="2"/>
  <c r="H800" i="2"/>
  <c r="G800" i="2"/>
  <c r="F800" i="2"/>
  <c r="I799" i="2"/>
  <c r="H799" i="2"/>
  <c r="G799" i="2"/>
  <c r="F799" i="2"/>
  <c r="I798" i="2"/>
  <c r="H798" i="2"/>
  <c r="G798" i="2"/>
  <c r="F798" i="2"/>
  <c r="I797" i="2"/>
  <c r="H797" i="2"/>
  <c r="G797" i="2"/>
  <c r="F797" i="2"/>
  <c r="I796" i="2"/>
  <c r="H796" i="2"/>
  <c r="G796" i="2"/>
  <c r="F796" i="2"/>
  <c r="I795" i="2"/>
  <c r="H795" i="2"/>
  <c r="G795" i="2"/>
  <c r="F795" i="2"/>
  <c r="I794" i="2"/>
  <c r="H794" i="2"/>
  <c r="G794" i="2"/>
  <c r="F794" i="2"/>
  <c r="I793" i="2"/>
  <c r="H793" i="2"/>
  <c r="G793" i="2"/>
  <c r="F793" i="2"/>
  <c r="I792" i="2"/>
  <c r="H792" i="2"/>
  <c r="G792" i="2"/>
  <c r="F792" i="2"/>
  <c r="I791" i="2"/>
  <c r="H791" i="2"/>
  <c r="G791" i="2"/>
  <c r="F791" i="2"/>
  <c r="I790" i="2"/>
  <c r="H790" i="2"/>
  <c r="G790" i="2"/>
  <c r="F790" i="2"/>
  <c r="I789" i="2"/>
  <c r="H789" i="2"/>
  <c r="G789" i="2"/>
  <c r="F789" i="2"/>
  <c r="I788" i="2"/>
  <c r="H788" i="2"/>
  <c r="G788" i="2"/>
  <c r="F788" i="2"/>
  <c r="I787" i="2"/>
  <c r="H787" i="2"/>
  <c r="G787" i="2"/>
  <c r="F787" i="2"/>
  <c r="I786" i="2"/>
  <c r="H786" i="2"/>
  <c r="G786" i="2"/>
  <c r="F786" i="2"/>
  <c r="I785" i="2"/>
  <c r="H785" i="2"/>
  <c r="G785" i="2"/>
  <c r="F785" i="2"/>
  <c r="I784" i="2"/>
  <c r="H784" i="2"/>
  <c r="G784" i="2"/>
  <c r="F784" i="2"/>
  <c r="I783" i="2"/>
  <c r="H783" i="2"/>
  <c r="G783" i="2"/>
  <c r="F783" i="2"/>
  <c r="I782" i="2"/>
  <c r="H782" i="2"/>
  <c r="G782" i="2"/>
  <c r="F782" i="2"/>
  <c r="I781" i="2"/>
  <c r="H781" i="2"/>
  <c r="G781" i="2"/>
  <c r="F781" i="2"/>
  <c r="I780" i="2"/>
  <c r="H780" i="2"/>
  <c r="G780" i="2"/>
  <c r="F780" i="2"/>
  <c r="I779" i="2"/>
  <c r="H779" i="2"/>
  <c r="G779" i="2"/>
  <c r="F779" i="2"/>
  <c r="I778" i="2"/>
  <c r="H778" i="2"/>
  <c r="G778" i="2"/>
  <c r="F778" i="2"/>
  <c r="I777" i="2"/>
  <c r="H777" i="2"/>
  <c r="G777" i="2"/>
  <c r="F777" i="2"/>
  <c r="I776" i="2"/>
  <c r="H776" i="2"/>
  <c r="G776" i="2"/>
  <c r="F776" i="2"/>
  <c r="I775" i="2"/>
  <c r="H775" i="2"/>
  <c r="G775" i="2"/>
  <c r="F775" i="2"/>
  <c r="I774" i="2"/>
  <c r="H774" i="2"/>
  <c r="G774" i="2"/>
  <c r="F774" i="2"/>
  <c r="I773" i="2"/>
  <c r="H773" i="2"/>
  <c r="G773" i="2"/>
  <c r="F773" i="2"/>
  <c r="I772" i="2"/>
  <c r="H772" i="2"/>
  <c r="G772" i="2"/>
  <c r="F772" i="2"/>
  <c r="I771" i="2"/>
  <c r="H771" i="2"/>
  <c r="G771" i="2"/>
  <c r="F771" i="2"/>
  <c r="I770" i="2"/>
  <c r="H770" i="2"/>
  <c r="G770" i="2"/>
  <c r="F770" i="2"/>
  <c r="I769" i="2"/>
  <c r="H769" i="2"/>
  <c r="G769" i="2"/>
  <c r="F769" i="2"/>
  <c r="I768" i="2"/>
  <c r="H768" i="2"/>
  <c r="G768" i="2"/>
  <c r="F768" i="2"/>
  <c r="I767" i="2"/>
  <c r="H767" i="2"/>
  <c r="G767" i="2"/>
  <c r="F767" i="2"/>
  <c r="I766" i="2"/>
  <c r="H766" i="2"/>
  <c r="G766" i="2"/>
  <c r="F766" i="2"/>
  <c r="I765" i="2"/>
  <c r="H765" i="2"/>
  <c r="G765" i="2"/>
  <c r="F765" i="2"/>
  <c r="I764" i="2"/>
  <c r="H764" i="2"/>
  <c r="G764" i="2"/>
  <c r="F764" i="2"/>
  <c r="I763" i="2"/>
  <c r="H763" i="2"/>
  <c r="G763" i="2"/>
  <c r="F763" i="2"/>
  <c r="I762" i="2"/>
  <c r="H762" i="2"/>
  <c r="G762" i="2"/>
  <c r="F762" i="2"/>
  <c r="I761" i="2"/>
  <c r="H761" i="2"/>
  <c r="G761" i="2"/>
  <c r="F761" i="2"/>
  <c r="I760" i="2"/>
  <c r="H760" i="2"/>
  <c r="G760" i="2"/>
  <c r="F760" i="2"/>
  <c r="I759" i="2"/>
  <c r="H759" i="2"/>
  <c r="G759" i="2"/>
  <c r="F759" i="2"/>
  <c r="I758" i="2"/>
  <c r="H758" i="2"/>
  <c r="G758" i="2"/>
  <c r="F758" i="2"/>
  <c r="I757" i="2"/>
  <c r="H757" i="2"/>
  <c r="G757" i="2"/>
  <c r="F757" i="2"/>
  <c r="I756" i="2"/>
  <c r="H756" i="2"/>
  <c r="G756" i="2"/>
  <c r="F756" i="2"/>
  <c r="I755" i="2"/>
  <c r="H755" i="2"/>
  <c r="G755" i="2"/>
  <c r="F755" i="2"/>
  <c r="I754" i="2"/>
  <c r="H754" i="2"/>
  <c r="G754" i="2"/>
  <c r="F754" i="2"/>
  <c r="I753" i="2"/>
  <c r="H753" i="2"/>
  <c r="G753" i="2"/>
  <c r="F753" i="2"/>
  <c r="I752" i="2"/>
  <c r="H752" i="2"/>
  <c r="G752" i="2"/>
  <c r="F752" i="2"/>
  <c r="I751" i="2"/>
  <c r="H751" i="2"/>
  <c r="G751" i="2"/>
  <c r="F751" i="2"/>
  <c r="I750" i="2"/>
  <c r="H750" i="2"/>
  <c r="G750" i="2"/>
  <c r="F750" i="2"/>
  <c r="I749" i="2"/>
  <c r="H749" i="2"/>
  <c r="G749" i="2"/>
  <c r="F749" i="2"/>
  <c r="I748" i="2"/>
  <c r="H748" i="2"/>
  <c r="G748" i="2"/>
  <c r="F748" i="2"/>
  <c r="I747" i="2"/>
  <c r="H747" i="2"/>
  <c r="G747" i="2"/>
  <c r="F747" i="2"/>
  <c r="I746" i="2"/>
  <c r="H746" i="2"/>
  <c r="G746" i="2"/>
  <c r="F746" i="2"/>
  <c r="I745" i="2"/>
  <c r="H745" i="2"/>
  <c r="G745" i="2"/>
  <c r="F745" i="2"/>
  <c r="I744" i="2"/>
  <c r="H744" i="2"/>
  <c r="G744" i="2"/>
  <c r="F744" i="2"/>
  <c r="I743" i="2"/>
  <c r="H743" i="2"/>
  <c r="G743" i="2"/>
  <c r="F743" i="2"/>
  <c r="I742" i="2"/>
  <c r="H742" i="2"/>
  <c r="G742" i="2"/>
  <c r="F742" i="2"/>
  <c r="I741" i="2"/>
  <c r="H741" i="2"/>
  <c r="G741" i="2"/>
  <c r="F741" i="2"/>
  <c r="I740" i="2"/>
  <c r="H740" i="2"/>
  <c r="G740" i="2"/>
  <c r="F740" i="2"/>
  <c r="I739" i="2"/>
  <c r="H739" i="2"/>
  <c r="G739" i="2"/>
  <c r="F739" i="2"/>
  <c r="I738" i="2"/>
  <c r="H738" i="2"/>
  <c r="G738" i="2"/>
  <c r="F738" i="2"/>
  <c r="I737" i="2"/>
  <c r="H737" i="2"/>
  <c r="G737" i="2"/>
  <c r="F737" i="2"/>
  <c r="I736" i="2"/>
  <c r="H736" i="2"/>
  <c r="G736" i="2"/>
  <c r="F736" i="2"/>
  <c r="I735" i="2"/>
  <c r="H735" i="2"/>
  <c r="G735" i="2"/>
  <c r="F735" i="2"/>
  <c r="I734" i="2"/>
  <c r="H734" i="2"/>
  <c r="G734" i="2"/>
  <c r="F734" i="2"/>
  <c r="I733" i="2"/>
  <c r="H733" i="2"/>
  <c r="G733" i="2"/>
  <c r="F733" i="2"/>
  <c r="I732" i="2"/>
  <c r="H732" i="2"/>
  <c r="G732" i="2"/>
  <c r="F732" i="2"/>
  <c r="I731" i="2"/>
  <c r="H731" i="2"/>
  <c r="G731" i="2"/>
  <c r="F731" i="2"/>
  <c r="I730" i="2"/>
  <c r="H730" i="2"/>
  <c r="G730" i="2"/>
  <c r="F730" i="2"/>
  <c r="I729" i="2"/>
  <c r="H729" i="2"/>
  <c r="G729" i="2"/>
  <c r="F729" i="2"/>
  <c r="I728" i="2"/>
  <c r="H728" i="2"/>
  <c r="G728" i="2"/>
  <c r="F728" i="2"/>
  <c r="I727" i="2"/>
  <c r="H727" i="2"/>
  <c r="G727" i="2"/>
  <c r="F727" i="2"/>
  <c r="I726" i="2"/>
  <c r="H726" i="2"/>
  <c r="G726" i="2"/>
  <c r="F726" i="2"/>
  <c r="I725" i="2"/>
  <c r="H725" i="2"/>
  <c r="G725" i="2"/>
  <c r="F725" i="2"/>
  <c r="I724" i="2"/>
  <c r="H724" i="2"/>
  <c r="G724" i="2"/>
  <c r="F724" i="2"/>
  <c r="I723" i="2"/>
  <c r="H723" i="2"/>
  <c r="G723" i="2"/>
  <c r="F723" i="2"/>
  <c r="I722" i="2"/>
  <c r="H722" i="2"/>
  <c r="G722" i="2"/>
  <c r="F722" i="2"/>
  <c r="I721" i="2"/>
  <c r="H721" i="2"/>
  <c r="G721" i="2"/>
  <c r="F721" i="2"/>
  <c r="I720" i="2"/>
  <c r="H720" i="2"/>
  <c r="G720" i="2"/>
  <c r="F720" i="2"/>
  <c r="I719" i="2"/>
  <c r="H719" i="2"/>
  <c r="G719" i="2"/>
  <c r="F719" i="2"/>
  <c r="I718" i="2"/>
  <c r="H718" i="2"/>
  <c r="G718" i="2"/>
  <c r="F718" i="2"/>
  <c r="I717" i="2"/>
  <c r="H717" i="2"/>
  <c r="G717" i="2"/>
  <c r="F717" i="2"/>
  <c r="I716" i="2"/>
  <c r="H716" i="2"/>
  <c r="G716" i="2"/>
  <c r="F716" i="2"/>
  <c r="I715" i="2"/>
  <c r="H715" i="2"/>
  <c r="G715" i="2"/>
  <c r="F715" i="2"/>
  <c r="I714" i="2"/>
  <c r="H714" i="2"/>
  <c r="G714" i="2"/>
  <c r="F714" i="2"/>
  <c r="I713" i="2"/>
  <c r="H713" i="2"/>
  <c r="G713" i="2"/>
  <c r="F713" i="2"/>
  <c r="I712" i="2"/>
  <c r="H712" i="2"/>
  <c r="G712" i="2"/>
  <c r="F712" i="2"/>
  <c r="I711" i="2"/>
  <c r="H711" i="2"/>
  <c r="G711" i="2"/>
  <c r="F711" i="2"/>
  <c r="I710" i="2"/>
  <c r="H710" i="2"/>
  <c r="G710" i="2"/>
  <c r="F710" i="2"/>
  <c r="I709" i="2"/>
  <c r="H709" i="2"/>
  <c r="G709" i="2"/>
  <c r="F709" i="2"/>
  <c r="I708" i="2"/>
  <c r="H708" i="2"/>
  <c r="G708" i="2"/>
  <c r="F708" i="2"/>
  <c r="I707" i="2"/>
  <c r="H707" i="2"/>
  <c r="G707" i="2"/>
  <c r="F707" i="2"/>
  <c r="I706" i="2"/>
  <c r="H706" i="2"/>
  <c r="G706" i="2"/>
  <c r="F706" i="2"/>
  <c r="I705" i="2"/>
  <c r="H705" i="2"/>
  <c r="G705" i="2"/>
  <c r="F705" i="2"/>
  <c r="I704" i="2"/>
  <c r="H704" i="2"/>
  <c r="G704" i="2"/>
  <c r="F704" i="2"/>
  <c r="I703" i="2"/>
  <c r="H703" i="2"/>
  <c r="G703" i="2"/>
  <c r="F703" i="2"/>
  <c r="I702" i="2"/>
  <c r="H702" i="2"/>
  <c r="G702" i="2"/>
  <c r="F702" i="2"/>
  <c r="I701" i="2"/>
  <c r="H701" i="2"/>
  <c r="G701" i="2"/>
  <c r="F701" i="2"/>
  <c r="I700" i="2"/>
  <c r="H700" i="2"/>
  <c r="G700" i="2"/>
  <c r="F700" i="2"/>
  <c r="I699" i="2"/>
  <c r="H699" i="2"/>
  <c r="G699" i="2"/>
  <c r="F699" i="2"/>
  <c r="I698" i="2"/>
  <c r="H698" i="2"/>
  <c r="G698" i="2"/>
  <c r="F698" i="2"/>
  <c r="I697" i="2"/>
  <c r="H697" i="2"/>
  <c r="G697" i="2"/>
  <c r="F697" i="2"/>
  <c r="I696" i="2"/>
  <c r="H696" i="2"/>
  <c r="G696" i="2"/>
  <c r="F696" i="2"/>
  <c r="I695" i="2"/>
  <c r="H695" i="2"/>
  <c r="G695" i="2"/>
  <c r="F695" i="2"/>
  <c r="I694" i="2"/>
  <c r="H694" i="2"/>
  <c r="G694" i="2"/>
  <c r="F694" i="2"/>
  <c r="I693" i="2"/>
  <c r="H693" i="2"/>
  <c r="G693" i="2"/>
  <c r="F693" i="2"/>
  <c r="I692" i="2"/>
  <c r="H692" i="2"/>
  <c r="G692" i="2"/>
  <c r="F692" i="2"/>
  <c r="I691" i="2"/>
  <c r="H691" i="2"/>
  <c r="G691" i="2"/>
  <c r="F691" i="2"/>
  <c r="I690" i="2"/>
  <c r="H690" i="2"/>
  <c r="G690" i="2"/>
  <c r="F690" i="2"/>
  <c r="I689" i="2"/>
  <c r="H689" i="2"/>
  <c r="G689" i="2"/>
  <c r="F689" i="2"/>
  <c r="I688" i="2"/>
  <c r="H688" i="2"/>
  <c r="G688" i="2"/>
  <c r="F688" i="2"/>
  <c r="I687" i="2"/>
  <c r="H687" i="2"/>
  <c r="G687" i="2"/>
  <c r="F687" i="2"/>
  <c r="I686" i="2"/>
  <c r="H686" i="2"/>
  <c r="G686" i="2"/>
  <c r="F686" i="2"/>
  <c r="I685" i="2"/>
  <c r="H685" i="2"/>
  <c r="G685" i="2"/>
  <c r="F685" i="2"/>
  <c r="I684" i="2"/>
  <c r="H684" i="2"/>
  <c r="G684" i="2"/>
  <c r="F684" i="2"/>
  <c r="I683" i="2"/>
  <c r="H683" i="2"/>
  <c r="G683" i="2"/>
  <c r="F683" i="2"/>
  <c r="I682" i="2"/>
  <c r="H682" i="2"/>
  <c r="G682" i="2"/>
  <c r="F682" i="2"/>
  <c r="I681" i="2"/>
  <c r="H681" i="2"/>
  <c r="G681" i="2"/>
  <c r="F681" i="2"/>
  <c r="I680" i="2"/>
  <c r="H680" i="2"/>
  <c r="G680" i="2"/>
  <c r="F680" i="2"/>
  <c r="I679" i="2"/>
  <c r="H679" i="2"/>
  <c r="G679" i="2"/>
  <c r="F679" i="2"/>
  <c r="I678" i="2"/>
  <c r="H678" i="2"/>
  <c r="G678" i="2"/>
  <c r="F678" i="2"/>
  <c r="I677" i="2"/>
  <c r="H677" i="2"/>
  <c r="G677" i="2"/>
  <c r="F677" i="2"/>
  <c r="I676" i="2"/>
  <c r="H676" i="2"/>
  <c r="G676" i="2"/>
  <c r="F676" i="2"/>
  <c r="I675" i="2"/>
  <c r="H675" i="2"/>
  <c r="G675" i="2"/>
  <c r="F675" i="2"/>
  <c r="I674" i="2"/>
  <c r="H674" i="2"/>
  <c r="G674" i="2"/>
  <c r="F674" i="2"/>
  <c r="I673" i="2"/>
  <c r="H673" i="2"/>
  <c r="G673" i="2"/>
  <c r="F673" i="2"/>
  <c r="I672" i="2"/>
  <c r="H672" i="2"/>
  <c r="G672" i="2"/>
  <c r="F672" i="2"/>
  <c r="I671" i="2"/>
  <c r="H671" i="2"/>
  <c r="G671" i="2"/>
  <c r="F671" i="2"/>
  <c r="I670" i="2"/>
  <c r="H670" i="2"/>
  <c r="G670" i="2"/>
  <c r="F670" i="2"/>
  <c r="I669" i="2"/>
  <c r="H669" i="2"/>
  <c r="G669" i="2"/>
  <c r="F669" i="2"/>
  <c r="I668" i="2"/>
  <c r="H668" i="2"/>
  <c r="G668" i="2"/>
  <c r="F668" i="2"/>
  <c r="I667" i="2"/>
  <c r="H667" i="2"/>
  <c r="G667" i="2"/>
  <c r="F667" i="2"/>
  <c r="I666" i="2"/>
  <c r="H666" i="2"/>
  <c r="G666" i="2"/>
  <c r="F666" i="2"/>
  <c r="I665" i="2"/>
  <c r="H665" i="2"/>
  <c r="G665" i="2"/>
  <c r="F665" i="2"/>
  <c r="I664" i="2"/>
  <c r="H664" i="2"/>
  <c r="G664" i="2"/>
  <c r="F664" i="2"/>
  <c r="I663" i="2"/>
  <c r="H663" i="2"/>
  <c r="G663" i="2"/>
  <c r="F663" i="2"/>
  <c r="I662" i="2"/>
  <c r="H662" i="2"/>
  <c r="G662" i="2"/>
  <c r="F662" i="2"/>
  <c r="I661" i="2"/>
  <c r="H661" i="2"/>
  <c r="G661" i="2"/>
  <c r="F661" i="2"/>
  <c r="I660" i="2"/>
  <c r="H660" i="2"/>
  <c r="G660" i="2"/>
  <c r="F660" i="2"/>
  <c r="I659" i="2"/>
  <c r="H659" i="2"/>
  <c r="G659" i="2"/>
  <c r="F659" i="2"/>
  <c r="I658" i="2"/>
  <c r="H658" i="2"/>
  <c r="G658" i="2"/>
  <c r="F658" i="2"/>
  <c r="I657" i="2"/>
  <c r="H657" i="2"/>
  <c r="G657" i="2"/>
  <c r="F657" i="2"/>
  <c r="I656" i="2"/>
  <c r="H656" i="2"/>
  <c r="G656" i="2"/>
  <c r="F656" i="2"/>
  <c r="I655" i="2"/>
  <c r="H655" i="2"/>
  <c r="G655" i="2"/>
  <c r="F655" i="2"/>
  <c r="I654" i="2"/>
  <c r="H654" i="2"/>
  <c r="G654" i="2"/>
  <c r="F654" i="2"/>
  <c r="I653" i="2"/>
  <c r="H653" i="2"/>
  <c r="G653" i="2"/>
  <c r="F653" i="2"/>
  <c r="I652" i="2"/>
  <c r="H652" i="2"/>
  <c r="G652" i="2"/>
  <c r="F652" i="2"/>
  <c r="I651" i="2"/>
  <c r="H651" i="2"/>
  <c r="G651" i="2"/>
  <c r="F651" i="2"/>
  <c r="I650" i="2"/>
  <c r="H650" i="2"/>
  <c r="G650" i="2"/>
  <c r="F650" i="2"/>
  <c r="I649" i="2"/>
  <c r="H649" i="2"/>
  <c r="G649" i="2"/>
  <c r="F649" i="2"/>
  <c r="I648" i="2"/>
  <c r="H648" i="2"/>
  <c r="G648" i="2"/>
  <c r="F648" i="2"/>
  <c r="I647" i="2"/>
  <c r="H647" i="2"/>
  <c r="G647" i="2"/>
  <c r="F647" i="2"/>
  <c r="I646" i="2"/>
  <c r="H646" i="2"/>
  <c r="G646" i="2"/>
  <c r="F646" i="2"/>
  <c r="I645" i="2"/>
  <c r="H645" i="2"/>
  <c r="G645" i="2"/>
  <c r="F645" i="2"/>
  <c r="I644" i="2"/>
  <c r="H644" i="2"/>
  <c r="G644" i="2"/>
  <c r="F644" i="2"/>
  <c r="I643" i="2"/>
  <c r="H643" i="2"/>
  <c r="G643" i="2"/>
  <c r="F643" i="2"/>
  <c r="I642" i="2"/>
  <c r="H642" i="2"/>
  <c r="G642" i="2"/>
  <c r="F642" i="2"/>
  <c r="I641" i="2"/>
  <c r="H641" i="2"/>
  <c r="G641" i="2"/>
  <c r="F641" i="2"/>
  <c r="I640" i="2"/>
  <c r="H640" i="2"/>
  <c r="G640" i="2"/>
  <c r="F640" i="2"/>
  <c r="I639" i="2"/>
  <c r="H639" i="2"/>
  <c r="G639" i="2"/>
  <c r="F639" i="2"/>
  <c r="I638" i="2"/>
  <c r="H638" i="2"/>
  <c r="G638" i="2"/>
  <c r="F638" i="2"/>
  <c r="I637" i="2"/>
  <c r="H637" i="2"/>
  <c r="G637" i="2"/>
  <c r="F637" i="2"/>
  <c r="I636" i="2"/>
  <c r="H636" i="2"/>
  <c r="G636" i="2"/>
  <c r="F636" i="2"/>
  <c r="I635" i="2"/>
  <c r="H635" i="2"/>
  <c r="G635" i="2"/>
  <c r="F635" i="2"/>
  <c r="I634" i="2"/>
  <c r="H634" i="2"/>
  <c r="G634" i="2"/>
  <c r="F634" i="2"/>
  <c r="I633" i="2"/>
  <c r="H633" i="2"/>
  <c r="G633" i="2"/>
  <c r="F633" i="2"/>
  <c r="I632" i="2"/>
  <c r="H632" i="2"/>
  <c r="G632" i="2"/>
  <c r="F632" i="2"/>
  <c r="I631" i="2"/>
  <c r="H631" i="2"/>
  <c r="G631" i="2"/>
  <c r="F631" i="2"/>
  <c r="I630" i="2"/>
  <c r="H630" i="2"/>
  <c r="G630" i="2"/>
  <c r="F630" i="2"/>
  <c r="I629" i="2"/>
  <c r="H629" i="2"/>
  <c r="G629" i="2"/>
  <c r="F629" i="2"/>
  <c r="I628" i="2"/>
  <c r="H628" i="2"/>
  <c r="G628" i="2"/>
  <c r="F628" i="2"/>
  <c r="I627" i="2"/>
  <c r="H627" i="2"/>
  <c r="G627" i="2"/>
  <c r="F627" i="2"/>
  <c r="I626" i="2"/>
  <c r="H626" i="2"/>
  <c r="G626" i="2"/>
  <c r="F626" i="2"/>
  <c r="I625" i="2"/>
  <c r="H625" i="2"/>
  <c r="G625" i="2"/>
  <c r="F625" i="2"/>
  <c r="I624" i="2"/>
  <c r="H624" i="2"/>
  <c r="G624" i="2"/>
  <c r="F624" i="2"/>
  <c r="I623" i="2"/>
  <c r="H623" i="2"/>
  <c r="G623" i="2"/>
  <c r="F623" i="2"/>
  <c r="I622" i="2"/>
  <c r="H622" i="2"/>
  <c r="G622" i="2"/>
  <c r="F622" i="2"/>
  <c r="I621" i="2"/>
  <c r="H621" i="2"/>
  <c r="G621" i="2"/>
  <c r="F621" i="2"/>
  <c r="I620" i="2"/>
  <c r="H620" i="2"/>
  <c r="G620" i="2"/>
  <c r="F620" i="2"/>
  <c r="I619" i="2"/>
  <c r="H619" i="2"/>
  <c r="G619" i="2"/>
  <c r="F619" i="2"/>
  <c r="I618" i="2"/>
  <c r="H618" i="2"/>
  <c r="G618" i="2"/>
  <c r="F618" i="2"/>
  <c r="I617" i="2"/>
  <c r="H617" i="2"/>
  <c r="G617" i="2"/>
  <c r="F617" i="2"/>
  <c r="I616" i="2"/>
  <c r="H616" i="2"/>
  <c r="G616" i="2"/>
  <c r="F616" i="2"/>
  <c r="I615" i="2"/>
  <c r="H615" i="2"/>
  <c r="G615" i="2"/>
  <c r="F615" i="2"/>
  <c r="I614" i="2"/>
  <c r="H614" i="2"/>
  <c r="G614" i="2"/>
  <c r="F614" i="2"/>
  <c r="I613" i="2"/>
  <c r="H613" i="2"/>
  <c r="G613" i="2"/>
  <c r="F613" i="2"/>
  <c r="I612" i="2"/>
  <c r="H612" i="2"/>
  <c r="G612" i="2"/>
  <c r="F612" i="2"/>
  <c r="I611" i="2"/>
  <c r="H611" i="2"/>
  <c r="G611" i="2"/>
  <c r="F611" i="2"/>
  <c r="I610" i="2"/>
  <c r="H610" i="2"/>
  <c r="G610" i="2"/>
  <c r="F610" i="2"/>
  <c r="I609" i="2"/>
  <c r="H609" i="2"/>
  <c r="G609" i="2"/>
  <c r="F609" i="2"/>
  <c r="I608" i="2"/>
  <c r="H608" i="2"/>
  <c r="G608" i="2"/>
  <c r="F608" i="2"/>
  <c r="I607" i="2"/>
  <c r="H607" i="2"/>
  <c r="G607" i="2"/>
  <c r="F607" i="2"/>
  <c r="I606" i="2"/>
  <c r="H606" i="2"/>
  <c r="G606" i="2"/>
  <c r="F606" i="2"/>
  <c r="I605" i="2"/>
  <c r="H605" i="2"/>
  <c r="G605" i="2"/>
  <c r="F605" i="2"/>
  <c r="I604" i="2"/>
  <c r="H604" i="2"/>
  <c r="G604" i="2"/>
  <c r="F604" i="2"/>
  <c r="I603" i="2"/>
  <c r="H603" i="2"/>
  <c r="G603" i="2"/>
  <c r="F603" i="2"/>
  <c r="I602" i="2"/>
  <c r="H602" i="2"/>
  <c r="G602" i="2"/>
  <c r="F602" i="2"/>
  <c r="I601" i="2"/>
  <c r="H601" i="2"/>
  <c r="G601" i="2"/>
  <c r="F601" i="2"/>
  <c r="I600" i="2"/>
  <c r="H600" i="2"/>
  <c r="G600" i="2"/>
  <c r="F600" i="2"/>
  <c r="I599" i="2"/>
  <c r="H599" i="2"/>
  <c r="G599" i="2"/>
  <c r="F599" i="2"/>
  <c r="I598" i="2"/>
  <c r="H598" i="2"/>
  <c r="G598" i="2"/>
  <c r="F598" i="2"/>
  <c r="I597" i="2"/>
  <c r="H597" i="2"/>
  <c r="G597" i="2"/>
  <c r="F597" i="2"/>
  <c r="I596" i="2"/>
  <c r="H596" i="2"/>
  <c r="G596" i="2"/>
  <c r="F596" i="2"/>
  <c r="I595" i="2"/>
  <c r="H595" i="2"/>
  <c r="G595" i="2"/>
  <c r="F595" i="2"/>
  <c r="I594" i="2"/>
  <c r="H594" i="2"/>
  <c r="G594" i="2"/>
  <c r="F594" i="2"/>
  <c r="I593" i="2"/>
  <c r="H593" i="2"/>
  <c r="G593" i="2"/>
  <c r="F593" i="2"/>
  <c r="I592" i="2"/>
  <c r="H592" i="2"/>
  <c r="G592" i="2"/>
  <c r="F592" i="2"/>
  <c r="I591" i="2"/>
  <c r="H591" i="2"/>
  <c r="G591" i="2"/>
  <c r="F591" i="2"/>
  <c r="I590" i="2"/>
  <c r="H590" i="2"/>
  <c r="G590" i="2"/>
  <c r="F590" i="2"/>
  <c r="I589" i="2"/>
  <c r="H589" i="2"/>
  <c r="G589" i="2"/>
  <c r="F589" i="2"/>
  <c r="I588" i="2"/>
  <c r="H588" i="2"/>
  <c r="G588" i="2"/>
  <c r="F588" i="2"/>
  <c r="I587" i="2"/>
  <c r="H587" i="2"/>
  <c r="G587" i="2"/>
  <c r="F587" i="2"/>
  <c r="I586" i="2"/>
  <c r="H586" i="2"/>
  <c r="G586" i="2"/>
  <c r="F586" i="2"/>
  <c r="I585" i="2"/>
  <c r="H585" i="2"/>
  <c r="G585" i="2"/>
  <c r="F585" i="2"/>
  <c r="I584" i="2"/>
  <c r="H584" i="2"/>
  <c r="G584" i="2"/>
  <c r="F584" i="2"/>
  <c r="I583" i="2"/>
  <c r="H583" i="2"/>
  <c r="G583" i="2"/>
  <c r="F583" i="2"/>
  <c r="I582" i="2"/>
  <c r="H582" i="2"/>
  <c r="G582" i="2"/>
  <c r="F582" i="2"/>
  <c r="I581" i="2"/>
  <c r="H581" i="2"/>
  <c r="G581" i="2"/>
  <c r="F581" i="2"/>
  <c r="I580" i="2"/>
  <c r="H580" i="2"/>
  <c r="G580" i="2"/>
  <c r="F580" i="2"/>
  <c r="I579" i="2"/>
  <c r="H579" i="2"/>
  <c r="G579" i="2"/>
  <c r="F579" i="2"/>
  <c r="I578" i="2"/>
  <c r="H578" i="2"/>
  <c r="G578" i="2"/>
  <c r="F578" i="2"/>
  <c r="I577" i="2"/>
  <c r="H577" i="2"/>
  <c r="G577" i="2"/>
  <c r="F577" i="2"/>
  <c r="I576" i="2"/>
  <c r="H576" i="2"/>
  <c r="G576" i="2"/>
  <c r="F576" i="2"/>
  <c r="I575" i="2"/>
  <c r="H575" i="2"/>
  <c r="G575" i="2"/>
  <c r="F575" i="2"/>
  <c r="I574" i="2"/>
  <c r="H574" i="2"/>
  <c r="G574" i="2"/>
  <c r="F574" i="2"/>
  <c r="I573" i="2"/>
  <c r="H573" i="2"/>
  <c r="G573" i="2"/>
  <c r="F573" i="2"/>
  <c r="I572" i="2"/>
  <c r="H572" i="2"/>
  <c r="G572" i="2"/>
  <c r="F572" i="2"/>
  <c r="I571" i="2"/>
  <c r="H571" i="2"/>
  <c r="G571" i="2"/>
  <c r="F571" i="2"/>
  <c r="I570" i="2"/>
  <c r="H570" i="2"/>
  <c r="G570" i="2"/>
  <c r="F570" i="2"/>
  <c r="I569" i="2"/>
  <c r="H569" i="2"/>
  <c r="G569" i="2"/>
  <c r="F569" i="2"/>
  <c r="I568" i="2"/>
  <c r="H568" i="2"/>
  <c r="G568" i="2"/>
  <c r="F568" i="2"/>
  <c r="I567" i="2"/>
  <c r="H567" i="2"/>
  <c r="G567" i="2"/>
  <c r="F567" i="2"/>
  <c r="I566" i="2"/>
  <c r="H566" i="2"/>
  <c r="G566" i="2"/>
  <c r="F566" i="2"/>
  <c r="I565" i="2"/>
  <c r="H565" i="2"/>
  <c r="G565" i="2"/>
  <c r="F565" i="2"/>
  <c r="I564" i="2"/>
  <c r="H564" i="2"/>
  <c r="G564" i="2"/>
  <c r="F564" i="2"/>
  <c r="I563" i="2"/>
  <c r="H563" i="2"/>
  <c r="G563" i="2"/>
  <c r="F563" i="2"/>
  <c r="I562" i="2"/>
  <c r="H562" i="2"/>
  <c r="G562" i="2"/>
  <c r="F562" i="2"/>
  <c r="I561" i="2"/>
  <c r="H561" i="2"/>
  <c r="G561" i="2"/>
  <c r="F561" i="2"/>
  <c r="I560" i="2"/>
  <c r="H560" i="2"/>
  <c r="G560" i="2"/>
  <c r="F560" i="2"/>
  <c r="I559" i="2"/>
  <c r="H559" i="2"/>
  <c r="G559" i="2"/>
  <c r="F559" i="2"/>
  <c r="I558" i="2"/>
  <c r="H558" i="2"/>
  <c r="G558" i="2"/>
  <c r="F558" i="2"/>
  <c r="I557" i="2"/>
  <c r="H557" i="2"/>
  <c r="G557" i="2"/>
  <c r="F557" i="2"/>
  <c r="I556" i="2"/>
  <c r="H556" i="2"/>
  <c r="G556" i="2"/>
  <c r="F556" i="2"/>
  <c r="I555" i="2"/>
  <c r="H555" i="2"/>
  <c r="G555" i="2"/>
  <c r="F555" i="2"/>
  <c r="I554" i="2"/>
  <c r="H554" i="2"/>
  <c r="G554" i="2"/>
  <c r="F554" i="2"/>
  <c r="I553" i="2"/>
  <c r="H553" i="2"/>
  <c r="G553" i="2"/>
  <c r="F553" i="2"/>
  <c r="I552" i="2"/>
  <c r="H552" i="2"/>
  <c r="G552" i="2"/>
  <c r="F552" i="2"/>
  <c r="I551" i="2"/>
  <c r="H551" i="2"/>
  <c r="G551" i="2"/>
  <c r="F551" i="2"/>
  <c r="I550" i="2"/>
  <c r="H550" i="2"/>
  <c r="G550" i="2"/>
  <c r="F550" i="2"/>
  <c r="I549" i="2"/>
  <c r="H549" i="2"/>
  <c r="G549" i="2"/>
  <c r="F549" i="2"/>
  <c r="I548" i="2"/>
  <c r="H548" i="2"/>
  <c r="G548" i="2"/>
  <c r="F548" i="2"/>
  <c r="I547" i="2"/>
  <c r="H547" i="2"/>
  <c r="G547" i="2"/>
  <c r="F547" i="2"/>
  <c r="I546" i="2"/>
  <c r="H546" i="2"/>
  <c r="G546" i="2"/>
  <c r="F546" i="2"/>
  <c r="I545" i="2"/>
  <c r="H545" i="2"/>
  <c r="G545" i="2"/>
  <c r="F545" i="2"/>
  <c r="I544" i="2"/>
  <c r="H544" i="2"/>
  <c r="G544" i="2"/>
  <c r="F544" i="2"/>
  <c r="I543" i="2"/>
  <c r="H543" i="2"/>
  <c r="G543" i="2"/>
  <c r="F543" i="2"/>
  <c r="I542" i="2"/>
  <c r="H542" i="2"/>
  <c r="G542" i="2"/>
  <c r="F542" i="2"/>
  <c r="I541" i="2"/>
  <c r="H541" i="2"/>
  <c r="G541" i="2"/>
  <c r="F541" i="2"/>
  <c r="I540" i="2"/>
  <c r="H540" i="2"/>
  <c r="G540" i="2"/>
  <c r="F540" i="2"/>
  <c r="I539" i="2"/>
  <c r="H539" i="2"/>
  <c r="G539" i="2"/>
  <c r="F539" i="2"/>
  <c r="I538" i="2"/>
  <c r="H538" i="2"/>
  <c r="G538" i="2"/>
  <c r="F538" i="2"/>
  <c r="I537" i="2"/>
  <c r="H537" i="2"/>
  <c r="G537" i="2"/>
  <c r="F537" i="2"/>
  <c r="I536" i="2"/>
  <c r="H536" i="2"/>
  <c r="G536" i="2"/>
  <c r="F536" i="2"/>
  <c r="I535" i="2"/>
  <c r="H535" i="2"/>
  <c r="G535" i="2"/>
  <c r="F535" i="2"/>
  <c r="I534" i="2"/>
  <c r="H534" i="2"/>
  <c r="G534" i="2"/>
  <c r="F534" i="2"/>
  <c r="I533" i="2"/>
  <c r="H533" i="2"/>
  <c r="G533" i="2"/>
  <c r="F533" i="2"/>
  <c r="I532" i="2"/>
  <c r="H532" i="2"/>
  <c r="G532" i="2"/>
  <c r="F532" i="2"/>
  <c r="I531" i="2"/>
  <c r="H531" i="2"/>
  <c r="G531" i="2"/>
  <c r="F531" i="2"/>
  <c r="I530" i="2"/>
  <c r="H530" i="2"/>
  <c r="G530" i="2"/>
  <c r="F530" i="2"/>
  <c r="I529" i="2"/>
  <c r="H529" i="2"/>
  <c r="G529" i="2"/>
  <c r="F529" i="2"/>
  <c r="I528" i="2"/>
  <c r="H528" i="2"/>
  <c r="G528" i="2"/>
  <c r="F528" i="2"/>
  <c r="I527" i="2"/>
  <c r="H527" i="2"/>
  <c r="G527" i="2"/>
  <c r="F527" i="2"/>
  <c r="I526" i="2"/>
  <c r="H526" i="2"/>
  <c r="G526" i="2"/>
  <c r="F526" i="2"/>
  <c r="I525" i="2"/>
  <c r="H525" i="2"/>
  <c r="G525" i="2"/>
  <c r="F525" i="2"/>
  <c r="I524" i="2"/>
  <c r="H524" i="2"/>
  <c r="G524" i="2"/>
  <c r="F524" i="2"/>
  <c r="I523" i="2"/>
  <c r="H523" i="2"/>
  <c r="G523" i="2"/>
  <c r="F523" i="2"/>
  <c r="I522" i="2"/>
  <c r="H522" i="2"/>
  <c r="G522" i="2"/>
  <c r="F522" i="2"/>
  <c r="I521" i="2"/>
  <c r="H521" i="2"/>
  <c r="G521" i="2"/>
  <c r="F521" i="2"/>
  <c r="I520" i="2"/>
  <c r="H520" i="2"/>
  <c r="G520" i="2"/>
  <c r="F520" i="2"/>
  <c r="I519" i="2"/>
  <c r="H519" i="2"/>
  <c r="G519" i="2"/>
  <c r="F519" i="2"/>
  <c r="I518" i="2"/>
  <c r="H518" i="2"/>
  <c r="G518" i="2"/>
  <c r="F518" i="2"/>
  <c r="I517" i="2"/>
  <c r="H517" i="2"/>
  <c r="G517" i="2"/>
  <c r="F517" i="2"/>
  <c r="I516" i="2"/>
  <c r="H516" i="2"/>
  <c r="G516" i="2"/>
  <c r="F516" i="2"/>
  <c r="I515" i="2"/>
  <c r="H515" i="2"/>
  <c r="G515" i="2"/>
  <c r="F515" i="2"/>
  <c r="I514" i="2"/>
  <c r="H514" i="2"/>
  <c r="G514" i="2"/>
  <c r="F514" i="2"/>
  <c r="I513" i="2"/>
  <c r="H513" i="2"/>
  <c r="G513" i="2"/>
  <c r="F513" i="2"/>
  <c r="I512" i="2"/>
  <c r="H512" i="2"/>
  <c r="G512" i="2"/>
  <c r="F512" i="2"/>
  <c r="I511" i="2"/>
  <c r="H511" i="2"/>
  <c r="G511" i="2"/>
  <c r="F511" i="2"/>
  <c r="I510" i="2"/>
  <c r="H510" i="2"/>
  <c r="G510" i="2"/>
  <c r="F510" i="2"/>
  <c r="I509" i="2"/>
  <c r="H509" i="2"/>
  <c r="G509" i="2"/>
  <c r="F509" i="2"/>
  <c r="I508" i="2"/>
  <c r="H508" i="2"/>
  <c r="G508" i="2"/>
  <c r="F508" i="2"/>
  <c r="I507" i="2"/>
  <c r="H507" i="2"/>
  <c r="G507" i="2"/>
  <c r="F507" i="2"/>
  <c r="I506" i="2"/>
  <c r="H506" i="2"/>
  <c r="G506" i="2"/>
  <c r="F506" i="2"/>
  <c r="I505" i="2"/>
  <c r="H505" i="2"/>
  <c r="G505" i="2"/>
  <c r="F505" i="2"/>
  <c r="I504" i="2"/>
  <c r="H504" i="2"/>
  <c r="G504" i="2"/>
  <c r="F504" i="2"/>
  <c r="I503" i="2"/>
  <c r="H503" i="2"/>
  <c r="G503" i="2"/>
  <c r="F503" i="2"/>
  <c r="I502" i="2"/>
  <c r="H502" i="2"/>
  <c r="G502" i="2"/>
  <c r="F502" i="2"/>
  <c r="I501" i="2"/>
  <c r="H501" i="2"/>
  <c r="G501" i="2"/>
  <c r="F501" i="2"/>
  <c r="I500" i="2"/>
  <c r="H500" i="2"/>
  <c r="G500" i="2"/>
  <c r="F500" i="2"/>
  <c r="I499" i="2"/>
  <c r="H499" i="2"/>
  <c r="G499" i="2"/>
  <c r="F499" i="2"/>
  <c r="I498" i="2"/>
  <c r="H498" i="2"/>
  <c r="G498" i="2"/>
  <c r="F498" i="2"/>
  <c r="I497" i="2"/>
  <c r="H497" i="2"/>
  <c r="G497" i="2"/>
  <c r="F497" i="2"/>
  <c r="I496" i="2"/>
  <c r="H496" i="2"/>
  <c r="G496" i="2"/>
  <c r="F496" i="2"/>
  <c r="I495" i="2"/>
  <c r="H495" i="2"/>
  <c r="G495" i="2"/>
  <c r="F495" i="2"/>
  <c r="I494" i="2"/>
  <c r="H494" i="2"/>
  <c r="G494" i="2"/>
  <c r="F494" i="2"/>
  <c r="I493" i="2"/>
  <c r="H493" i="2"/>
  <c r="G493" i="2"/>
  <c r="F493" i="2"/>
  <c r="I492" i="2"/>
  <c r="H492" i="2"/>
  <c r="G492" i="2"/>
  <c r="F492" i="2"/>
  <c r="I491" i="2"/>
  <c r="H491" i="2"/>
  <c r="G491" i="2"/>
  <c r="F491" i="2"/>
  <c r="I490" i="2"/>
  <c r="H490" i="2"/>
  <c r="G490" i="2"/>
  <c r="F490" i="2"/>
  <c r="I489" i="2"/>
  <c r="H489" i="2"/>
  <c r="G489" i="2"/>
  <c r="F489" i="2"/>
  <c r="I488" i="2"/>
  <c r="H488" i="2"/>
  <c r="G488" i="2"/>
  <c r="F488" i="2"/>
  <c r="I487" i="2"/>
  <c r="H487" i="2"/>
  <c r="G487" i="2"/>
  <c r="F487" i="2"/>
  <c r="I486" i="2"/>
  <c r="H486" i="2"/>
  <c r="G486" i="2"/>
  <c r="F486" i="2"/>
  <c r="I485" i="2"/>
  <c r="H485" i="2"/>
  <c r="G485" i="2"/>
  <c r="F485" i="2"/>
  <c r="I484" i="2"/>
  <c r="H484" i="2"/>
  <c r="G484" i="2"/>
  <c r="F484" i="2"/>
  <c r="I483" i="2"/>
  <c r="H483" i="2"/>
  <c r="G483" i="2"/>
  <c r="F483" i="2"/>
  <c r="I482" i="2"/>
  <c r="H482" i="2"/>
  <c r="G482" i="2"/>
  <c r="F482" i="2"/>
  <c r="I481" i="2"/>
  <c r="H481" i="2"/>
  <c r="G481" i="2"/>
  <c r="F481" i="2"/>
  <c r="I480" i="2"/>
  <c r="H480" i="2"/>
  <c r="G480" i="2"/>
  <c r="F480" i="2"/>
  <c r="I479" i="2"/>
  <c r="H479" i="2"/>
  <c r="G479" i="2"/>
  <c r="F479" i="2"/>
  <c r="I478" i="2"/>
  <c r="H478" i="2"/>
  <c r="G478" i="2"/>
  <c r="F478" i="2"/>
  <c r="I477" i="2"/>
  <c r="H477" i="2"/>
  <c r="G477" i="2"/>
  <c r="F477" i="2"/>
  <c r="I476" i="2"/>
  <c r="H476" i="2"/>
  <c r="G476" i="2"/>
  <c r="F476" i="2"/>
  <c r="I475" i="2"/>
  <c r="H475" i="2"/>
  <c r="G475" i="2"/>
  <c r="F475" i="2"/>
  <c r="I474" i="2"/>
  <c r="H474" i="2"/>
  <c r="G474" i="2"/>
  <c r="F474" i="2"/>
  <c r="I473" i="2"/>
  <c r="H473" i="2"/>
  <c r="G473" i="2"/>
  <c r="F473" i="2"/>
  <c r="I472" i="2"/>
  <c r="H472" i="2"/>
  <c r="G472" i="2"/>
  <c r="F472" i="2"/>
  <c r="I471" i="2"/>
  <c r="H471" i="2"/>
  <c r="G471" i="2"/>
  <c r="F471" i="2"/>
  <c r="I470" i="2"/>
  <c r="H470" i="2"/>
  <c r="G470" i="2"/>
  <c r="F470" i="2"/>
  <c r="I469" i="2"/>
  <c r="H469" i="2"/>
  <c r="G469" i="2"/>
  <c r="F469" i="2"/>
  <c r="I468" i="2"/>
  <c r="H468" i="2"/>
  <c r="G468" i="2"/>
  <c r="F468" i="2"/>
  <c r="I467" i="2"/>
  <c r="H467" i="2"/>
  <c r="G467" i="2"/>
  <c r="F467" i="2"/>
  <c r="I466" i="2"/>
  <c r="H466" i="2"/>
  <c r="G466" i="2"/>
  <c r="F466" i="2"/>
  <c r="I465" i="2"/>
  <c r="H465" i="2"/>
  <c r="G465" i="2"/>
  <c r="F465" i="2"/>
  <c r="I464" i="2"/>
  <c r="H464" i="2"/>
  <c r="G464" i="2"/>
  <c r="F464" i="2"/>
  <c r="I463" i="2"/>
  <c r="H463" i="2"/>
  <c r="G463" i="2"/>
  <c r="F463" i="2"/>
  <c r="I462" i="2"/>
  <c r="H462" i="2"/>
  <c r="G462" i="2"/>
  <c r="F462" i="2"/>
  <c r="I461" i="2"/>
  <c r="H461" i="2"/>
  <c r="G461" i="2"/>
  <c r="F461" i="2"/>
  <c r="I460" i="2"/>
  <c r="H460" i="2"/>
  <c r="G460" i="2"/>
  <c r="F460" i="2"/>
  <c r="I459" i="2"/>
  <c r="H459" i="2"/>
  <c r="G459" i="2"/>
  <c r="F459" i="2"/>
  <c r="I458" i="2"/>
  <c r="H458" i="2"/>
  <c r="G458" i="2"/>
  <c r="F458" i="2"/>
  <c r="I457" i="2"/>
  <c r="H457" i="2"/>
  <c r="G457" i="2"/>
  <c r="F457" i="2"/>
  <c r="I456" i="2"/>
  <c r="H456" i="2"/>
  <c r="G456" i="2"/>
  <c r="F456" i="2"/>
  <c r="I455" i="2"/>
  <c r="H455" i="2"/>
  <c r="G455" i="2"/>
  <c r="F455" i="2"/>
  <c r="I454" i="2"/>
  <c r="H454" i="2"/>
  <c r="G454" i="2"/>
  <c r="F454" i="2"/>
  <c r="I453" i="2"/>
  <c r="H453" i="2"/>
  <c r="G453" i="2"/>
  <c r="F453" i="2"/>
  <c r="I452" i="2"/>
  <c r="H452" i="2"/>
  <c r="G452" i="2"/>
  <c r="F452" i="2"/>
  <c r="I451" i="2"/>
  <c r="H451" i="2"/>
  <c r="G451" i="2"/>
  <c r="F451" i="2"/>
  <c r="I450" i="2"/>
  <c r="H450" i="2"/>
  <c r="G450" i="2"/>
  <c r="F450" i="2"/>
  <c r="I449" i="2"/>
  <c r="H449" i="2"/>
  <c r="G449" i="2"/>
  <c r="F449" i="2"/>
  <c r="I448" i="2"/>
  <c r="H448" i="2"/>
  <c r="G448" i="2"/>
  <c r="F448" i="2"/>
  <c r="I447" i="2"/>
  <c r="H447" i="2"/>
  <c r="G447" i="2"/>
  <c r="F447" i="2"/>
  <c r="I446" i="2"/>
  <c r="H446" i="2"/>
  <c r="G446" i="2"/>
  <c r="F446" i="2"/>
  <c r="I445" i="2"/>
  <c r="H445" i="2"/>
  <c r="G445" i="2"/>
  <c r="F445" i="2"/>
  <c r="I444" i="2"/>
  <c r="H444" i="2"/>
  <c r="G444" i="2"/>
  <c r="F444" i="2"/>
  <c r="I443" i="2"/>
  <c r="H443" i="2"/>
  <c r="G443" i="2"/>
  <c r="F443" i="2"/>
  <c r="I442" i="2"/>
  <c r="H442" i="2"/>
  <c r="G442" i="2"/>
  <c r="F442" i="2"/>
  <c r="I441" i="2"/>
  <c r="H441" i="2"/>
  <c r="G441" i="2"/>
  <c r="F441" i="2"/>
  <c r="I440" i="2"/>
  <c r="H440" i="2"/>
  <c r="G440" i="2"/>
  <c r="F440" i="2"/>
  <c r="I439" i="2"/>
  <c r="H439" i="2"/>
  <c r="G439" i="2"/>
  <c r="F439" i="2"/>
  <c r="I438" i="2"/>
  <c r="H438" i="2"/>
  <c r="G438" i="2"/>
  <c r="F438" i="2"/>
  <c r="I437" i="2"/>
  <c r="H437" i="2"/>
  <c r="G437" i="2"/>
  <c r="F437" i="2"/>
  <c r="I436" i="2"/>
  <c r="H436" i="2"/>
  <c r="G436" i="2"/>
  <c r="F436" i="2"/>
  <c r="I435" i="2"/>
  <c r="H435" i="2"/>
  <c r="G435" i="2"/>
  <c r="F435" i="2"/>
  <c r="I434" i="2"/>
  <c r="H434" i="2"/>
  <c r="G434" i="2"/>
  <c r="F434" i="2"/>
  <c r="I433" i="2"/>
  <c r="H433" i="2"/>
  <c r="G433" i="2"/>
  <c r="F433" i="2"/>
  <c r="I432" i="2"/>
  <c r="H432" i="2"/>
  <c r="G432" i="2"/>
  <c r="F432" i="2"/>
  <c r="I431" i="2"/>
  <c r="H431" i="2"/>
  <c r="G431" i="2"/>
  <c r="F431" i="2"/>
  <c r="I430" i="2"/>
  <c r="H430" i="2"/>
  <c r="G430" i="2"/>
  <c r="F430" i="2"/>
  <c r="I429" i="2"/>
  <c r="H429" i="2"/>
  <c r="G429" i="2"/>
  <c r="F429" i="2"/>
  <c r="I428" i="2"/>
  <c r="H428" i="2"/>
  <c r="G428" i="2"/>
  <c r="F428" i="2"/>
  <c r="I427" i="2"/>
  <c r="H427" i="2"/>
  <c r="G427" i="2"/>
  <c r="F427" i="2"/>
  <c r="I426" i="2"/>
  <c r="H426" i="2"/>
  <c r="G426" i="2"/>
  <c r="F426" i="2"/>
  <c r="I425" i="2"/>
  <c r="H425" i="2"/>
  <c r="G425" i="2"/>
  <c r="F425" i="2"/>
  <c r="I424" i="2"/>
  <c r="H424" i="2"/>
  <c r="G424" i="2"/>
  <c r="F424" i="2"/>
  <c r="I423" i="2"/>
  <c r="H423" i="2"/>
  <c r="G423" i="2"/>
  <c r="F423" i="2"/>
  <c r="I422" i="2"/>
  <c r="H422" i="2"/>
  <c r="G422" i="2"/>
  <c r="F422" i="2"/>
  <c r="I421" i="2"/>
  <c r="H421" i="2"/>
  <c r="G421" i="2"/>
  <c r="F421" i="2"/>
  <c r="I420" i="2"/>
  <c r="H420" i="2"/>
  <c r="G420" i="2"/>
  <c r="F420" i="2"/>
  <c r="I419" i="2"/>
  <c r="H419" i="2"/>
  <c r="G419" i="2"/>
  <c r="F419" i="2"/>
  <c r="I418" i="2"/>
  <c r="H418" i="2"/>
  <c r="G418" i="2"/>
  <c r="F418" i="2"/>
  <c r="I417" i="2"/>
  <c r="H417" i="2"/>
  <c r="G417" i="2"/>
  <c r="F417" i="2"/>
  <c r="I416" i="2"/>
  <c r="H416" i="2"/>
  <c r="G416" i="2"/>
  <c r="F416" i="2"/>
  <c r="I415" i="2"/>
  <c r="H415" i="2"/>
  <c r="G415" i="2"/>
  <c r="F415" i="2"/>
  <c r="I414" i="2"/>
  <c r="H414" i="2"/>
  <c r="G414" i="2"/>
  <c r="F414" i="2"/>
  <c r="I413" i="2"/>
  <c r="H413" i="2"/>
  <c r="G413" i="2"/>
  <c r="F413" i="2"/>
  <c r="I412" i="2"/>
  <c r="H412" i="2"/>
  <c r="G412" i="2"/>
  <c r="F412" i="2"/>
  <c r="I411" i="2"/>
  <c r="H411" i="2"/>
  <c r="G411" i="2"/>
  <c r="F411" i="2"/>
  <c r="I410" i="2"/>
  <c r="H410" i="2"/>
  <c r="G410" i="2"/>
  <c r="F410" i="2"/>
  <c r="I409" i="2"/>
  <c r="H409" i="2"/>
  <c r="G409" i="2"/>
  <c r="F409" i="2"/>
  <c r="I408" i="2"/>
  <c r="H408" i="2"/>
  <c r="G408" i="2"/>
  <c r="F408" i="2"/>
  <c r="I407" i="2"/>
  <c r="H407" i="2"/>
  <c r="G407" i="2"/>
  <c r="F407" i="2"/>
  <c r="I406" i="2"/>
  <c r="H406" i="2"/>
  <c r="G406" i="2"/>
  <c r="F406" i="2"/>
  <c r="I405" i="2"/>
  <c r="H405" i="2"/>
  <c r="G405" i="2"/>
  <c r="F405" i="2"/>
  <c r="I404" i="2"/>
  <c r="H404" i="2"/>
  <c r="G404" i="2"/>
  <c r="F404" i="2"/>
  <c r="I403" i="2"/>
  <c r="H403" i="2"/>
  <c r="G403" i="2"/>
  <c r="F403" i="2"/>
  <c r="I402" i="2"/>
  <c r="H402" i="2"/>
  <c r="G402" i="2"/>
  <c r="F402" i="2"/>
  <c r="I401" i="2"/>
  <c r="H401" i="2"/>
  <c r="G401" i="2"/>
  <c r="F401" i="2"/>
  <c r="I400" i="2"/>
  <c r="H400" i="2"/>
  <c r="G400" i="2"/>
  <c r="F400" i="2"/>
  <c r="I399" i="2"/>
  <c r="H399" i="2"/>
  <c r="G399" i="2"/>
  <c r="F399" i="2"/>
  <c r="I398" i="2"/>
  <c r="H398" i="2"/>
  <c r="G398" i="2"/>
  <c r="F398" i="2"/>
  <c r="I397" i="2"/>
  <c r="H397" i="2"/>
  <c r="G397" i="2"/>
  <c r="F397" i="2"/>
  <c r="I396" i="2"/>
  <c r="H396" i="2"/>
  <c r="G396" i="2"/>
  <c r="F396" i="2"/>
  <c r="I395" i="2"/>
  <c r="H395" i="2"/>
  <c r="G395" i="2"/>
  <c r="F395" i="2"/>
  <c r="I394" i="2"/>
  <c r="H394" i="2"/>
  <c r="G394" i="2"/>
  <c r="F394" i="2"/>
  <c r="I393" i="2"/>
  <c r="H393" i="2"/>
  <c r="G393" i="2"/>
  <c r="F393" i="2"/>
  <c r="I392" i="2"/>
  <c r="H392" i="2"/>
  <c r="G392" i="2"/>
  <c r="F392" i="2"/>
  <c r="I391" i="2"/>
  <c r="H391" i="2"/>
  <c r="G391" i="2"/>
  <c r="F391" i="2"/>
  <c r="I390" i="2"/>
  <c r="H390" i="2"/>
  <c r="G390" i="2"/>
  <c r="F390" i="2"/>
  <c r="I389" i="2"/>
  <c r="H389" i="2"/>
  <c r="G389" i="2"/>
  <c r="F389" i="2"/>
  <c r="I388" i="2"/>
  <c r="H388" i="2"/>
  <c r="G388" i="2"/>
  <c r="F388" i="2"/>
  <c r="I387" i="2"/>
  <c r="H387" i="2"/>
  <c r="G387" i="2"/>
  <c r="F387" i="2"/>
  <c r="I386" i="2"/>
  <c r="H386" i="2"/>
  <c r="G386" i="2"/>
  <c r="F386" i="2"/>
  <c r="I385" i="2"/>
  <c r="H385" i="2"/>
  <c r="G385" i="2"/>
  <c r="F385" i="2"/>
  <c r="I384" i="2"/>
  <c r="H384" i="2"/>
  <c r="G384" i="2"/>
  <c r="F384" i="2"/>
  <c r="I383" i="2"/>
  <c r="H383" i="2"/>
  <c r="G383" i="2"/>
  <c r="F383" i="2"/>
  <c r="I382" i="2"/>
  <c r="H382" i="2"/>
  <c r="G382" i="2"/>
  <c r="F382" i="2"/>
  <c r="I381" i="2"/>
  <c r="H381" i="2"/>
  <c r="G381" i="2"/>
  <c r="F381" i="2"/>
  <c r="I380" i="2"/>
  <c r="H380" i="2"/>
  <c r="G380" i="2"/>
  <c r="F380" i="2"/>
  <c r="I379" i="2"/>
  <c r="H379" i="2"/>
  <c r="G379" i="2"/>
  <c r="F379" i="2"/>
  <c r="I378" i="2"/>
  <c r="H378" i="2"/>
  <c r="G378" i="2"/>
  <c r="F378" i="2"/>
  <c r="I377" i="2"/>
  <c r="H377" i="2"/>
  <c r="G377" i="2"/>
  <c r="F377" i="2"/>
  <c r="I376" i="2"/>
  <c r="H376" i="2"/>
  <c r="G376" i="2"/>
  <c r="F376" i="2"/>
  <c r="I375" i="2"/>
  <c r="H375" i="2"/>
  <c r="G375" i="2"/>
  <c r="F375" i="2"/>
  <c r="I374" i="2"/>
  <c r="H374" i="2"/>
  <c r="G374" i="2"/>
  <c r="F374" i="2"/>
  <c r="I373" i="2"/>
  <c r="H373" i="2"/>
  <c r="G373" i="2"/>
  <c r="F373" i="2"/>
  <c r="I372" i="2"/>
  <c r="H372" i="2"/>
  <c r="G372" i="2"/>
  <c r="F372" i="2"/>
  <c r="I371" i="2"/>
  <c r="H371" i="2"/>
  <c r="G371" i="2"/>
  <c r="F371" i="2"/>
  <c r="I370" i="2"/>
  <c r="H370" i="2"/>
  <c r="G370" i="2"/>
  <c r="F370" i="2"/>
  <c r="I369" i="2"/>
  <c r="H369" i="2"/>
  <c r="G369" i="2"/>
  <c r="F369" i="2"/>
  <c r="I368" i="2"/>
  <c r="H368" i="2"/>
  <c r="G368" i="2"/>
  <c r="F368" i="2"/>
  <c r="I367" i="2"/>
  <c r="H367" i="2"/>
  <c r="G367" i="2"/>
  <c r="F367" i="2"/>
  <c r="I366" i="2"/>
  <c r="H366" i="2"/>
  <c r="G366" i="2"/>
  <c r="F366" i="2"/>
  <c r="I365" i="2"/>
  <c r="H365" i="2"/>
  <c r="G365" i="2"/>
  <c r="F365" i="2"/>
  <c r="I364" i="2"/>
  <c r="H364" i="2"/>
  <c r="G364" i="2"/>
  <c r="F364" i="2"/>
  <c r="I363" i="2"/>
  <c r="H363" i="2"/>
  <c r="G363" i="2"/>
  <c r="F363" i="2"/>
  <c r="I362" i="2"/>
  <c r="H362" i="2"/>
  <c r="G362" i="2"/>
  <c r="F362" i="2"/>
  <c r="I361" i="2"/>
  <c r="H361" i="2"/>
  <c r="G361" i="2"/>
  <c r="F361" i="2"/>
  <c r="I360" i="2"/>
  <c r="H360" i="2"/>
  <c r="G360" i="2"/>
  <c r="F360" i="2"/>
  <c r="I359" i="2"/>
  <c r="H359" i="2"/>
  <c r="G359" i="2"/>
  <c r="F359" i="2"/>
  <c r="I358" i="2"/>
  <c r="H358" i="2"/>
  <c r="G358" i="2"/>
  <c r="F358" i="2"/>
  <c r="I357" i="2"/>
  <c r="H357" i="2"/>
  <c r="G357" i="2"/>
  <c r="F357" i="2"/>
  <c r="I356" i="2"/>
  <c r="H356" i="2"/>
  <c r="G356" i="2"/>
  <c r="F356" i="2"/>
  <c r="I355" i="2"/>
  <c r="H355" i="2"/>
  <c r="G355" i="2"/>
  <c r="F355" i="2"/>
  <c r="I354" i="2"/>
  <c r="H354" i="2"/>
  <c r="G354" i="2"/>
  <c r="F354" i="2"/>
  <c r="I353" i="2"/>
  <c r="H353" i="2"/>
  <c r="G353" i="2"/>
  <c r="F353" i="2"/>
  <c r="I352" i="2"/>
  <c r="H352" i="2"/>
  <c r="G352" i="2"/>
  <c r="F352" i="2"/>
  <c r="I351" i="2"/>
  <c r="H351" i="2"/>
  <c r="G351" i="2"/>
  <c r="F351" i="2"/>
  <c r="I350" i="2"/>
  <c r="H350" i="2"/>
  <c r="G350" i="2"/>
  <c r="F350" i="2"/>
  <c r="I349" i="2"/>
  <c r="H349" i="2"/>
  <c r="G349" i="2"/>
  <c r="F349" i="2"/>
  <c r="I348" i="2"/>
  <c r="H348" i="2"/>
  <c r="G348" i="2"/>
  <c r="F348" i="2"/>
  <c r="I347" i="2"/>
  <c r="H347" i="2"/>
  <c r="G347" i="2"/>
  <c r="F347" i="2"/>
  <c r="I346" i="2"/>
  <c r="H346" i="2"/>
  <c r="G346" i="2"/>
  <c r="F346" i="2"/>
  <c r="I345" i="2"/>
  <c r="H345" i="2"/>
  <c r="G345" i="2"/>
  <c r="F345" i="2"/>
  <c r="I344" i="2"/>
  <c r="H344" i="2"/>
  <c r="G344" i="2"/>
  <c r="F344" i="2"/>
  <c r="I343" i="2"/>
  <c r="H343" i="2"/>
  <c r="G343" i="2"/>
  <c r="F343" i="2"/>
  <c r="I342" i="2"/>
  <c r="H342" i="2"/>
  <c r="G342" i="2"/>
  <c r="F342" i="2"/>
  <c r="I341" i="2"/>
  <c r="H341" i="2"/>
  <c r="G341" i="2"/>
  <c r="F341" i="2"/>
  <c r="I340" i="2"/>
  <c r="H340" i="2"/>
  <c r="G340" i="2"/>
  <c r="F340" i="2"/>
  <c r="I339" i="2"/>
  <c r="H339" i="2"/>
  <c r="G339" i="2"/>
  <c r="F339" i="2"/>
  <c r="I338" i="2"/>
  <c r="H338" i="2"/>
  <c r="G338" i="2"/>
  <c r="F338" i="2"/>
  <c r="I337" i="2"/>
  <c r="H337" i="2"/>
  <c r="G337" i="2"/>
  <c r="F337" i="2"/>
  <c r="I336" i="2"/>
  <c r="H336" i="2"/>
  <c r="G336" i="2"/>
  <c r="F336" i="2"/>
  <c r="I335" i="2"/>
  <c r="H335" i="2"/>
  <c r="G335" i="2"/>
  <c r="F335" i="2"/>
  <c r="I334" i="2"/>
  <c r="H334" i="2"/>
  <c r="G334" i="2"/>
  <c r="F334" i="2"/>
  <c r="I333" i="2"/>
  <c r="H333" i="2"/>
  <c r="G333" i="2"/>
  <c r="F333" i="2"/>
  <c r="I332" i="2"/>
  <c r="H332" i="2"/>
  <c r="G332" i="2"/>
  <c r="F332" i="2"/>
  <c r="I331" i="2"/>
  <c r="H331" i="2"/>
  <c r="G331" i="2"/>
  <c r="F331" i="2"/>
  <c r="I330" i="2"/>
  <c r="H330" i="2"/>
  <c r="G330" i="2"/>
  <c r="F330" i="2"/>
  <c r="I329" i="2"/>
  <c r="H329" i="2"/>
  <c r="G329" i="2"/>
  <c r="F329" i="2"/>
  <c r="I328" i="2"/>
  <c r="H328" i="2"/>
  <c r="G328" i="2"/>
  <c r="F328" i="2"/>
  <c r="I327" i="2"/>
  <c r="H327" i="2"/>
  <c r="G327" i="2"/>
  <c r="F327" i="2"/>
  <c r="I326" i="2"/>
  <c r="H326" i="2"/>
  <c r="G326" i="2"/>
  <c r="F326" i="2"/>
  <c r="I325" i="2"/>
  <c r="H325" i="2"/>
  <c r="G325" i="2"/>
  <c r="F325" i="2"/>
  <c r="I324" i="2"/>
  <c r="H324" i="2"/>
  <c r="G324" i="2"/>
  <c r="F324" i="2"/>
  <c r="I323" i="2"/>
  <c r="H323" i="2"/>
  <c r="G323" i="2"/>
  <c r="F323" i="2"/>
  <c r="I322" i="2"/>
  <c r="H322" i="2"/>
  <c r="G322" i="2"/>
  <c r="F322" i="2"/>
  <c r="I321" i="2"/>
  <c r="H321" i="2"/>
  <c r="G321" i="2"/>
  <c r="F321" i="2"/>
  <c r="I320" i="2"/>
  <c r="H320" i="2"/>
  <c r="G320" i="2"/>
  <c r="F320" i="2"/>
  <c r="I319" i="2"/>
  <c r="H319" i="2"/>
  <c r="G319" i="2"/>
  <c r="F319" i="2"/>
  <c r="I318" i="2"/>
  <c r="H318" i="2"/>
  <c r="G318" i="2"/>
  <c r="F318" i="2"/>
  <c r="I317" i="2"/>
  <c r="H317" i="2"/>
  <c r="G317" i="2"/>
  <c r="F317" i="2"/>
  <c r="I316" i="2"/>
  <c r="H316" i="2"/>
  <c r="G316" i="2"/>
  <c r="F316" i="2"/>
  <c r="I315" i="2"/>
  <c r="H315" i="2"/>
  <c r="G315" i="2"/>
  <c r="F315" i="2"/>
  <c r="I314" i="2"/>
  <c r="H314" i="2"/>
  <c r="G314" i="2"/>
  <c r="F314" i="2"/>
  <c r="I313" i="2"/>
  <c r="H313" i="2"/>
  <c r="G313" i="2"/>
  <c r="F313" i="2"/>
  <c r="I312" i="2"/>
  <c r="H312" i="2"/>
  <c r="G312" i="2"/>
  <c r="F312" i="2"/>
  <c r="I311" i="2"/>
  <c r="H311" i="2"/>
  <c r="G311" i="2"/>
  <c r="F311" i="2"/>
  <c r="I310" i="2"/>
  <c r="H310" i="2"/>
  <c r="G310" i="2"/>
  <c r="F310" i="2"/>
  <c r="I309" i="2"/>
  <c r="H309" i="2"/>
  <c r="G309" i="2"/>
  <c r="F309" i="2"/>
  <c r="I308" i="2"/>
  <c r="H308" i="2"/>
  <c r="G308" i="2"/>
  <c r="F308" i="2"/>
  <c r="I307" i="2"/>
  <c r="H307" i="2"/>
  <c r="G307" i="2"/>
  <c r="F307" i="2"/>
  <c r="I306" i="2"/>
  <c r="H306" i="2"/>
  <c r="G306" i="2"/>
  <c r="F306" i="2"/>
  <c r="I305" i="2"/>
  <c r="H305" i="2"/>
  <c r="G305" i="2"/>
  <c r="F305" i="2"/>
  <c r="I304" i="2"/>
  <c r="H304" i="2"/>
  <c r="G304" i="2"/>
  <c r="F304" i="2"/>
  <c r="I303" i="2"/>
  <c r="H303" i="2"/>
  <c r="G303" i="2"/>
  <c r="F303" i="2"/>
  <c r="I302" i="2"/>
  <c r="H302" i="2"/>
  <c r="G302" i="2"/>
  <c r="F302" i="2"/>
  <c r="I301" i="2"/>
  <c r="H301" i="2"/>
  <c r="G301" i="2"/>
  <c r="F301" i="2"/>
  <c r="I300" i="2"/>
  <c r="H300" i="2"/>
  <c r="G300" i="2"/>
  <c r="F300" i="2"/>
  <c r="I299" i="2"/>
  <c r="H299" i="2"/>
  <c r="G299" i="2"/>
  <c r="F299" i="2"/>
  <c r="I298" i="2"/>
  <c r="H298" i="2"/>
  <c r="G298" i="2"/>
  <c r="F298" i="2"/>
  <c r="I297" i="2"/>
  <c r="H297" i="2"/>
  <c r="G297" i="2"/>
  <c r="F297" i="2"/>
  <c r="I296" i="2"/>
  <c r="H296" i="2"/>
  <c r="G296" i="2"/>
  <c r="F296" i="2"/>
  <c r="I295" i="2"/>
  <c r="H295" i="2"/>
  <c r="G295" i="2"/>
  <c r="F295" i="2"/>
  <c r="I294" i="2"/>
  <c r="H294" i="2"/>
  <c r="G294" i="2"/>
  <c r="F294" i="2"/>
  <c r="I293" i="2"/>
  <c r="H293" i="2"/>
  <c r="G293" i="2"/>
  <c r="F293" i="2"/>
  <c r="I292" i="2"/>
  <c r="H292" i="2"/>
  <c r="G292" i="2"/>
  <c r="F292" i="2"/>
  <c r="I291" i="2"/>
  <c r="H291" i="2"/>
  <c r="G291" i="2"/>
  <c r="F291" i="2"/>
  <c r="I290" i="2"/>
  <c r="H290" i="2"/>
  <c r="G290" i="2"/>
  <c r="F290" i="2"/>
  <c r="I289" i="2"/>
  <c r="H289" i="2"/>
  <c r="G289" i="2"/>
  <c r="F289" i="2"/>
  <c r="I288" i="2"/>
  <c r="H288" i="2"/>
  <c r="G288" i="2"/>
  <c r="F288" i="2"/>
  <c r="I287" i="2"/>
  <c r="H287" i="2"/>
  <c r="G287" i="2"/>
  <c r="F287" i="2"/>
  <c r="I286" i="2"/>
  <c r="H286" i="2"/>
  <c r="G286" i="2"/>
  <c r="F286" i="2"/>
  <c r="I285" i="2"/>
  <c r="H285" i="2"/>
  <c r="G285" i="2"/>
  <c r="F285" i="2"/>
  <c r="I284" i="2"/>
  <c r="H284" i="2"/>
  <c r="G284" i="2"/>
  <c r="F284" i="2"/>
  <c r="I283" i="2"/>
  <c r="H283" i="2"/>
  <c r="G283" i="2"/>
  <c r="F283" i="2"/>
  <c r="I282" i="2"/>
  <c r="H282" i="2"/>
  <c r="G282" i="2"/>
  <c r="F282" i="2"/>
  <c r="I281" i="2"/>
  <c r="H281" i="2"/>
  <c r="G281" i="2"/>
  <c r="F281" i="2"/>
  <c r="I280" i="2"/>
  <c r="H280" i="2"/>
  <c r="G280" i="2"/>
  <c r="F280" i="2"/>
  <c r="I279" i="2"/>
  <c r="H279" i="2"/>
  <c r="G279" i="2"/>
  <c r="F279" i="2"/>
  <c r="I278" i="2"/>
  <c r="H278" i="2"/>
  <c r="G278" i="2"/>
  <c r="F278" i="2"/>
  <c r="I277" i="2"/>
  <c r="H277" i="2"/>
  <c r="G277" i="2"/>
  <c r="F277" i="2"/>
  <c r="I276" i="2"/>
  <c r="H276" i="2"/>
  <c r="G276" i="2"/>
  <c r="F276" i="2"/>
  <c r="I275" i="2"/>
  <c r="H275" i="2"/>
  <c r="G275" i="2"/>
  <c r="F275" i="2"/>
  <c r="I274" i="2"/>
  <c r="H274" i="2"/>
  <c r="G274" i="2"/>
  <c r="F274" i="2"/>
  <c r="I273" i="2"/>
  <c r="H273" i="2"/>
  <c r="G273" i="2"/>
  <c r="F273" i="2"/>
  <c r="I272" i="2"/>
  <c r="H272" i="2"/>
  <c r="G272" i="2"/>
  <c r="F272" i="2"/>
  <c r="I271" i="2"/>
  <c r="H271" i="2"/>
  <c r="G271" i="2"/>
  <c r="F271" i="2"/>
  <c r="I270" i="2"/>
  <c r="H270" i="2"/>
  <c r="G270" i="2"/>
  <c r="F270" i="2"/>
  <c r="I269" i="2"/>
  <c r="H269" i="2"/>
  <c r="G269" i="2"/>
  <c r="F269" i="2"/>
  <c r="I268" i="2"/>
  <c r="H268" i="2"/>
  <c r="G268" i="2"/>
  <c r="F268" i="2"/>
  <c r="I267" i="2"/>
  <c r="H267" i="2"/>
  <c r="G267" i="2"/>
  <c r="F267" i="2"/>
  <c r="I266" i="2"/>
  <c r="H266" i="2"/>
  <c r="G266" i="2"/>
  <c r="F266" i="2"/>
  <c r="I265" i="2"/>
  <c r="H265" i="2"/>
  <c r="G265" i="2"/>
  <c r="F265" i="2"/>
  <c r="I264" i="2"/>
  <c r="H264" i="2"/>
  <c r="G264" i="2"/>
  <c r="F264" i="2"/>
  <c r="I263" i="2"/>
  <c r="H263" i="2"/>
  <c r="G263" i="2"/>
  <c r="F263" i="2"/>
  <c r="I262" i="2"/>
  <c r="H262" i="2"/>
  <c r="G262" i="2"/>
  <c r="F262" i="2"/>
  <c r="I261" i="2"/>
  <c r="H261" i="2"/>
  <c r="G261" i="2"/>
  <c r="F261" i="2"/>
  <c r="I260" i="2"/>
  <c r="H260" i="2"/>
  <c r="G260" i="2"/>
  <c r="F260" i="2"/>
  <c r="I259" i="2"/>
  <c r="H259" i="2"/>
  <c r="G259" i="2"/>
  <c r="F259" i="2"/>
  <c r="I258" i="2"/>
  <c r="H258" i="2"/>
  <c r="G258" i="2"/>
  <c r="F258" i="2"/>
  <c r="I257" i="2"/>
  <c r="H257" i="2"/>
  <c r="G257" i="2"/>
  <c r="F257" i="2"/>
  <c r="I256" i="2"/>
  <c r="H256" i="2"/>
  <c r="G256" i="2"/>
  <c r="F256" i="2"/>
  <c r="I255" i="2"/>
  <c r="H255" i="2"/>
  <c r="G255" i="2"/>
  <c r="F255" i="2"/>
  <c r="I254" i="2"/>
  <c r="H254" i="2"/>
  <c r="G254" i="2"/>
  <c r="F254" i="2"/>
  <c r="I253" i="2"/>
  <c r="H253" i="2"/>
  <c r="G253" i="2"/>
  <c r="F253" i="2"/>
  <c r="I252" i="2"/>
  <c r="H252" i="2"/>
  <c r="G252" i="2"/>
  <c r="F252" i="2"/>
  <c r="I251" i="2"/>
  <c r="H251" i="2"/>
  <c r="G251" i="2"/>
  <c r="F251" i="2"/>
  <c r="I250" i="2"/>
  <c r="H250" i="2"/>
  <c r="G250" i="2"/>
  <c r="F250" i="2"/>
  <c r="I249" i="2"/>
  <c r="H249" i="2"/>
  <c r="G249" i="2"/>
  <c r="F249" i="2"/>
  <c r="I248" i="2"/>
  <c r="H248" i="2"/>
  <c r="G248" i="2"/>
  <c r="F248" i="2"/>
  <c r="I247" i="2"/>
  <c r="H247" i="2"/>
  <c r="G247" i="2"/>
  <c r="F247" i="2"/>
  <c r="I246" i="2"/>
  <c r="H246" i="2"/>
  <c r="G246" i="2"/>
  <c r="F246" i="2"/>
  <c r="I245" i="2"/>
  <c r="H245" i="2"/>
  <c r="G245" i="2"/>
  <c r="F245" i="2"/>
  <c r="I244" i="2"/>
  <c r="H244" i="2"/>
  <c r="G244" i="2"/>
  <c r="F244" i="2"/>
  <c r="I243" i="2"/>
  <c r="H243" i="2"/>
  <c r="G243" i="2"/>
  <c r="F243" i="2"/>
  <c r="I242" i="2"/>
  <c r="H242" i="2"/>
  <c r="G242" i="2"/>
  <c r="F242" i="2"/>
  <c r="I241" i="2"/>
  <c r="H241" i="2"/>
  <c r="G241" i="2"/>
  <c r="F241" i="2"/>
  <c r="I240" i="2"/>
  <c r="H240" i="2"/>
  <c r="G240" i="2"/>
  <c r="F240" i="2"/>
  <c r="I239" i="2"/>
  <c r="H239" i="2"/>
  <c r="G239" i="2"/>
  <c r="F239" i="2"/>
  <c r="I238" i="2"/>
  <c r="H238" i="2"/>
  <c r="G238" i="2"/>
  <c r="F238" i="2"/>
  <c r="I237" i="2"/>
  <c r="H237" i="2"/>
  <c r="G237" i="2"/>
  <c r="F237" i="2"/>
  <c r="I236" i="2"/>
  <c r="H236" i="2"/>
  <c r="G236" i="2"/>
  <c r="F236" i="2"/>
  <c r="I235" i="2"/>
  <c r="H235" i="2"/>
  <c r="G235" i="2"/>
  <c r="F235" i="2"/>
  <c r="I234" i="2"/>
  <c r="H234" i="2"/>
  <c r="G234" i="2"/>
  <c r="F234" i="2"/>
  <c r="I233" i="2"/>
  <c r="H233" i="2"/>
  <c r="G233" i="2"/>
  <c r="F233" i="2"/>
  <c r="I232" i="2"/>
  <c r="H232" i="2"/>
  <c r="G232" i="2"/>
  <c r="F232" i="2"/>
  <c r="I231" i="2"/>
  <c r="H231" i="2"/>
  <c r="G231" i="2"/>
  <c r="F231" i="2"/>
  <c r="I230" i="2"/>
  <c r="H230" i="2"/>
  <c r="G230" i="2"/>
  <c r="F230" i="2"/>
  <c r="I229" i="2"/>
  <c r="H229" i="2"/>
  <c r="G229" i="2"/>
  <c r="F229" i="2"/>
  <c r="I228" i="2"/>
  <c r="H228" i="2"/>
  <c r="G228" i="2"/>
  <c r="F228" i="2"/>
  <c r="I227" i="2"/>
  <c r="H227" i="2"/>
  <c r="G227" i="2"/>
  <c r="F227" i="2"/>
  <c r="I226" i="2"/>
  <c r="H226" i="2"/>
  <c r="G226" i="2"/>
  <c r="F226" i="2"/>
  <c r="I225" i="2"/>
  <c r="H225" i="2"/>
  <c r="G225" i="2"/>
  <c r="F225" i="2"/>
  <c r="I224" i="2"/>
  <c r="H224" i="2"/>
  <c r="G224" i="2"/>
  <c r="F224" i="2"/>
  <c r="I223" i="2"/>
  <c r="H223" i="2"/>
  <c r="G223" i="2"/>
  <c r="F223" i="2"/>
  <c r="I222" i="2"/>
  <c r="H222" i="2"/>
  <c r="G222" i="2"/>
  <c r="F222" i="2"/>
  <c r="I221" i="2"/>
  <c r="H221" i="2"/>
  <c r="G221" i="2"/>
  <c r="F221" i="2"/>
  <c r="I220" i="2"/>
  <c r="H220" i="2"/>
  <c r="G220" i="2"/>
  <c r="F220" i="2"/>
  <c r="I219" i="2"/>
  <c r="H219" i="2"/>
  <c r="G219" i="2"/>
  <c r="F219" i="2"/>
  <c r="I218" i="2"/>
  <c r="H218" i="2"/>
  <c r="G218" i="2"/>
  <c r="F218" i="2"/>
  <c r="I217" i="2"/>
  <c r="H217" i="2"/>
  <c r="G217" i="2"/>
  <c r="F217" i="2"/>
  <c r="I216" i="2"/>
  <c r="H216" i="2"/>
  <c r="G216" i="2"/>
  <c r="F216" i="2"/>
  <c r="I215" i="2"/>
  <c r="H215" i="2"/>
  <c r="G215" i="2"/>
  <c r="F215" i="2"/>
  <c r="I214" i="2"/>
  <c r="H214" i="2"/>
  <c r="G214" i="2"/>
  <c r="F214" i="2"/>
  <c r="I213" i="2"/>
  <c r="H213" i="2"/>
  <c r="G213" i="2"/>
  <c r="F213" i="2"/>
  <c r="I212" i="2"/>
  <c r="H212" i="2"/>
  <c r="G212" i="2"/>
  <c r="F212" i="2"/>
  <c r="I211" i="2"/>
  <c r="H211" i="2"/>
  <c r="G211" i="2"/>
  <c r="F211" i="2"/>
  <c r="I210" i="2"/>
  <c r="H210" i="2"/>
  <c r="G210" i="2"/>
  <c r="F210" i="2"/>
  <c r="I209" i="2"/>
  <c r="H209" i="2"/>
  <c r="G209" i="2"/>
  <c r="F209" i="2"/>
  <c r="I208" i="2"/>
  <c r="H208" i="2"/>
  <c r="G208" i="2"/>
  <c r="F208" i="2"/>
  <c r="I207" i="2"/>
  <c r="H207" i="2"/>
  <c r="G207" i="2"/>
  <c r="F207" i="2"/>
  <c r="I206" i="2"/>
  <c r="H206" i="2"/>
  <c r="G206" i="2"/>
  <c r="F206" i="2"/>
  <c r="I205" i="2"/>
  <c r="H205" i="2"/>
  <c r="G205" i="2"/>
  <c r="F205" i="2"/>
  <c r="I204" i="2"/>
  <c r="H204" i="2"/>
  <c r="G204" i="2"/>
  <c r="F204" i="2"/>
  <c r="I203" i="2"/>
  <c r="H203" i="2"/>
  <c r="G203" i="2"/>
  <c r="F203" i="2"/>
  <c r="I202" i="2"/>
  <c r="H202" i="2"/>
  <c r="G202" i="2"/>
  <c r="F202" i="2"/>
  <c r="I201" i="2"/>
  <c r="H201" i="2"/>
  <c r="G201" i="2"/>
  <c r="F201" i="2"/>
  <c r="I200" i="2"/>
  <c r="H200" i="2"/>
  <c r="G200" i="2"/>
  <c r="F200" i="2"/>
  <c r="I199" i="2"/>
  <c r="H199" i="2"/>
  <c r="G199" i="2"/>
  <c r="F199" i="2"/>
  <c r="I198" i="2"/>
  <c r="H198" i="2"/>
  <c r="G198" i="2"/>
  <c r="F198" i="2"/>
  <c r="I197" i="2"/>
  <c r="H197" i="2"/>
  <c r="G197" i="2"/>
  <c r="F197" i="2"/>
  <c r="I196" i="2"/>
  <c r="H196" i="2"/>
  <c r="G196" i="2"/>
  <c r="F196" i="2"/>
  <c r="I195" i="2"/>
  <c r="H195" i="2"/>
  <c r="G195" i="2"/>
  <c r="F195" i="2"/>
  <c r="I194" i="2"/>
  <c r="H194" i="2"/>
  <c r="G194" i="2"/>
  <c r="F194" i="2"/>
  <c r="I193" i="2"/>
  <c r="H193" i="2"/>
  <c r="G193" i="2"/>
  <c r="F193" i="2"/>
  <c r="I192" i="2"/>
  <c r="H192" i="2"/>
  <c r="G192" i="2"/>
  <c r="F192" i="2"/>
  <c r="I191" i="2"/>
  <c r="H191" i="2"/>
  <c r="G191" i="2"/>
  <c r="F191" i="2"/>
  <c r="I190" i="2"/>
  <c r="H190" i="2"/>
  <c r="G190" i="2"/>
  <c r="F190" i="2"/>
  <c r="I189" i="2"/>
  <c r="H189" i="2"/>
  <c r="G189" i="2"/>
  <c r="F189" i="2"/>
  <c r="I188" i="2"/>
  <c r="H188" i="2"/>
  <c r="G188" i="2"/>
  <c r="F188" i="2"/>
  <c r="I187" i="2"/>
  <c r="H187" i="2"/>
  <c r="G187" i="2"/>
  <c r="F187" i="2"/>
  <c r="I186" i="2"/>
  <c r="H186" i="2"/>
  <c r="G186" i="2"/>
  <c r="F186" i="2"/>
  <c r="I185" i="2"/>
  <c r="H185" i="2"/>
  <c r="G185" i="2"/>
  <c r="F185" i="2"/>
  <c r="I184" i="2"/>
  <c r="H184" i="2"/>
  <c r="G184" i="2"/>
  <c r="F184" i="2"/>
  <c r="I183" i="2"/>
  <c r="H183" i="2"/>
  <c r="G183" i="2"/>
  <c r="F183" i="2"/>
  <c r="I182" i="2"/>
  <c r="H182" i="2"/>
  <c r="G182" i="2"/>
  <c r="F182" i="2"/>
  <c r="I181" i="2"/>
  <c r="H181" i="2"/>
  <c r="G181" i="2"/>
  <c r="F181" i="2"/>
  <c r="I180" i="2"/>
  <c r="H180" i="2"/>
  <c r="G180" i="2"/>
  <c r="F180" i="2"/>
  <c r="I179" i="2"/>
  <c r="H179" i="2"/>
  <c r="G179" i="2"/>
  <c r="F179" i="2"/>
  <c r="I178" i="2"/>
  <c r="H178" i="2"/>
  <c r="G178" i="2"/>
  <c r="F178" i="2"/>
  <c r="I177" i="2"/>
  <c r="H177" i="2"/>
  <c r="G177" i="2"/>
  <c r="F177" i="2"/>
  <c r="I176" i="2"/>
  <c r="H176" i="2"/>
  <c r="G176" i="2"/>
  <c r="F176" i="2"/>
  <c r="I175" i="2"/>
  <c r="H175" i="2"/>
  <c r="G175" i="2"/>
  <c r="F175" i="2"/>
  <c r="I174" i="2"/>
  <c r="H174" i="2"/>
  <c r="G174" i="2"/>
  <c r="F174" i="2"/>
  <c r="I173" i="2"/>
  <c r="H173" i="2"/>
  <c r="G173" i="2"/>
  <c r="F173" i="2"/>
  <c r="I172" i="2"/>
  <c r="H172" i="2"/>
  <c r="G172" i="2"/>
  <c r="F172" i="2"/>
  <c r="I171" i="2"/>
  <c r="H171" i="2"/>
  <c r="G171" i="2"/>
  <c r="F171" i="2"/>
  <c r="I170" i="2"/>
  <c r="H170" i="2"/>
  <c r="G170" i="2"/>
  <c r="F170" i="2"/>
  <c r="I169" i="2"/>
  <c r="H169" i="2"/>
  <c r="G169" i="2"/>
  <c r="F169" i="2"/>
  <c r="I168" i="2"/>
  <c r="H168" i="2"/>
  <c r="G168" i="2"/>
  <c r="F168" i="2"/>
  <c r="I167" i="2"/>
  <c r="H167" i="2"/>
  <c r="G167" i="2"/>
  <c r="F167" i="2"/>
  <c r="I166" i="2"/>
  <c r="H166" i="2"/>
  <c r="G166" i="2"/>
  <c r="F166" i="2"/>
  <c r="I165" i="2"/>
  <c r="H165" i="2"/>
  <c r="G165" i="2"/>
  <c r="F165" i="2"/>
  <c r="I164" i="2"/>
  <c r="H164" i="2"/>
  <c r="G164" i="2"/>
  <c r="F164" i="2"/>
  <c r="I163" i="2"/>
  <c r="H163" i="2"/>
  <c r="G163" i="2"/>
  <c r="F163" i="2"/>
  <c r="I162" i="2"/>
  <c r="H162" i="2"/>
  <c r="G162" i="2"/>
  <c r="F162" i="2"/>
  <c r="I161" i="2"/>
  <c r="H161" i="2"/>
  <c r="G161" i="2"/>
  <c r="F161" i="2"/>
  <c r="I160" i="2"/>
  <c r="H160" i="2"/>
  <c r="G160" i="2"/>
  <c r="F160" i="2"/>
  <c r="I159" i="2"/>
  <c r="H159" i="2"/>
  <c r="G159" i="2"/>
  <c r="F159" i="2"/>
  <c r="I158" i="2"/>
  <c r="H158" i="2"/>
  <c r="G158" i="2"/>
  <c r="F158" i="2"/>
  <c r="I157" i="2"/>
  <c r="H157" i="2"/>
  <c r="G157" i="2"/>
  <c r="F157" i="2"/>
  <c r="I156" i="2"/>
  <c r="H156" i="2"/>
  <c r="G156" i="2"/>
  <c r="F156" i="2"/>
  <c r="I155" i="2"/>
  <c r="H155" i="2"/>
  <c r="G155" i="2"/>
  <c r="F155" i="2"/>
  <c r="I154" i="2"/>
  <c r="H154" i="2"/>
  <c r="G154" i="2"/>
  <c r="F154" i="2"/>
  <c r="I153" i="2"/>
  <c r="H153" i="2"/>
  <c r="G153" i="2"/>
  <c r="F153" i="2"/>
  <c r="I152" i="2"/>
  <c r="H152" i="2"/>
  <c r="G152" i="2"/>
  <c r="F152" i="2"/>
  <c r="I151" i="2"/>
  <c r="H151" i="2"/>
  <c r="G151" i="2"/>
  <c r="F151" i="2"/>
  <c r="I150" i="2"/>
  <c r="H150" i="2"/>
  <c r="G150" i="2"/>
  <c r="F150" i="2"/>
  <c r="I149" i="2"/>
  <c r="H149" i="2"/>
  <c r="G149" i="2"/>
  <c r="F149" i="2"/>
  <c r="I148" i="2"/>
  <c r="H148" i="2"/>
  <c r="G148" i="2"/>
  <c r="F148" i="2"/>
  <c r="I147" i="2"/>
  <c r="H147" i="2"/>
  <c r="G147" i="2"/>
  <c r="F147" i="2"/>
  <c r="I146" i="2"/>
  <c r="H146" i="2"/>
  <c r="G146" i="2"/>
  <c r="F146" i="2"/>
  <c r="I145" i="2"/>
  <c r="H145" i="2"/>
  <c r="G145" i="2"/>
  <c r="F145" i="2"/>
  <c r="I144" i="2"/>
  <c r="H144" i="2"/>
  <c r="G144" i="2"/>
  <c r="F144" i="2"/>
  <c r="I143" i="2"/>
  <c r="H143" i="2"/>
  <c r="G143" i="2"/>
  <c r="F143" i="2"/>
  <c r="I142" i="2"/>
  <c r="H142" i="2"/>
  <c r="G142" i="2"/>
  <c r="F142" i="2"/>
  <c r="I141" i="2"/>
  <c r="H141" i="2"/>
  <c r="G141" i="2"/>
  <c r="F141" i="2"/>
  <c r="I140" i="2"/>
  <c r="H140" i="2"/>
  <c r="G140" i="2"/>
  <c r="F140" i="2"/>
  <c r="I139" i="2"/>
  <c r="H139" i="2"/>
  <c r="G139" i="2"/>
  <c r="F139" i="2"/>
  <c r="I138" i="2"/>
  <c r="H138" i="2"/>
  <c r="G138" i="2"/>
  <c r="F138" i="2"/>
  <c r="I137" i="2"/>
  <c r="H137" i="2"/>
  <c r="G137" i="2"/>
  <c r="F137" i="2"/>
  <c r="I136" i="2"/>
  <c r="H136" i="2"/>
  <c r="G136" i="2"/>
  <c r="F136" i="2"/>
  <c r="I135" i="2"/>
  <c r="H135" i="2"/>
  <c r="G135" i="2"/>
  <c r="F135" i="2"/>
  <c r="I134" i="2"/>
  <c r="H134" i="2"/>
  <c r="G134" i="2"/>
  <c r="F134" i="2"/>
  <c r="I133" i="2"/>
  <c r="H133" i="2"/>
  <c r="G133" i="2"/>
  <c r="F133" i="2"/>
  <c r="I132" i="2"/>
  <c r="H132" i="2"/>
  <c r="G132" i="2"/>
  <c r="F132" i="2"/>
  <c r="I131" i="2"/>
  <c r="H131" i="2"/>
  <c r="G131" i="2"/>
  <c r="F131" i="2"/>
  <c r="I130" i="2"/>
  <c r="H130" i="2"/>
  <c r="G130" i="2"/>
  <c r="F130" i="2"/>
  <c r="I129" i="2"/>
  <c r="H129" i="2"/>
  <c r="G129" i="2"/>
  <c r="F129" i="2"/>
  <c r="I128" i="2"/>
  <c r="H128" i="2"/>
  <c r="G128" i="2"/>
  <c r="F128" i="2"/>
  <c r="I127" i="2"/>
  <c r="H127" i="2"/>
  <c r="G127" i="2"/>
  <c r="F127" i="2"/>
  <c r="I126" i="2"/>
  <c r="H126" i="2"/>
  <c r="G126" i="2"/>
  <c r="F126" i="2"/>
  <c r="I125" i="2"/>
  <c r="H125" i="2"/>
  <c r="G125" i="2"/>
  <c r="F125" i="2"/>
  <c r="I124" i="2"/>
  <c r="H124" i="2"/>
  <c r="G124" i="2"/>
  <c r="F124" i="2"/>
  <c r="I123" i="2"/>
  <c r="H123" i="2"/>
  <c r="G123" i="2"/>
  <c r="F123" i="2"/>
  <c r="I122" i="2"/>
  <c r="H122" i="2"/>
  <c r="G122" i="2"/>
  <c r="F122" i="2"/>
  <c r="I121" i="2"/>
  <c r="H121" i="2"/>
  <c r="G121" i="2"/>
  <c r="F121" i="2"/>
  <c r="I120" i="2"/>
  <c r="H120" i="2"/>
  <c r="G120" i="2"/>
  <c r="F120" i="2"/>
  <c r="I119" i="2"/>
  <c r="H119" i="2"/>
  <c r="G119" i="2"/>
  <c r="F119" i="2"/>
  <c r="I118" i="2"/>
  <c r="H118" i="2"/>
  <c r="G118" i="2"/>
  <c r="F118" i="2"/>
  <c r="I117" i="2"/>
  <c r="H117" i="2"/>
  <c r="G117" i="2"/>
  <c r="F117" i="2"/>
  <c r="I116" i="2"/>
  <c r="H116" i="2"/>
  <c r="G116" i="2"/>
  <c r="F116" i="2"/>
  <c r="I115" i="2"/>
  <c r="H115" i="2"/>
  <c r="G115" i="2"/>
  <c r="F115" i="2"/>
  <c r="I114" i="2"/>
  <c r="H114" i="2"/>
  <c r="G114" i="2"/>
  <c r="F114" i="2"/>
  <c r="I113" i="2"/>
  <c r="H113" i="2"/>
  <c r="G113" i="2"/>
  <c r="F113" i="2"/>
  <c r="I112" i="2"/>
  <c r="H112" i="2"/>
  <c r="G112" i="2"/>
  <c r="F112" i="2"/>
  <c r="I111" i="2"/>
  <c r="H111" i="2"/>
  <c r="G111" i="2"/>
  <c r="F111" i="2"/>
  <c r="I110" i="2"/>
  <c r="H110" i="2"/>
  <c r="G110" i="2"/>
  <c r="F110" i="2"/>
  <c r="I109" i="2"/>
  <c r="H109" i="2"/>
  <c r="G109" i="2"/>
  <c r="F109" i="2"/>
  <c r="I108" i="2"/>
  <c r="H108" i="2"/>
  <c r="G108" i="2"/>
  <c r="F108" i="2"/>
  <c r="I107" i="2"/>
  <c r="H107" i="2"/>
  <c r="G107" i="2"/>
  <c r="F107" i="2"/>
  <c r="I106" i="2"/>
  <c r="H106" i="2"/>
  <c r="G106" i="2"/>
  <c r="F106" i="2"/>
  <c r="I105" i="2"/>
  <c r="H105" i="2"/>
  <c r="G105" i="2"/>
  <c r="F105" i="2"/>
  <c r="I104" i="2"/>
  <c r="H104" i="2"/>
  <c r="G104" i="2"/>
  <c r="F104" i="2"/>
  <c r="I103" i="2"/>
  <c r="H103" i="2"/>
  <c r="G103" i="2"/>
  <c r="F103" i="2"/>
  <c r="I102" i="2"/>
  <c r="H102" i="2"/>
  <c r="G102" i="2"/>
  <c r="F102" i="2"/>
  <c r="I101" i="2"/>
  <c r="H101" i="2"/>
  <c r="G101" i="2"/>
  <c r="F101" i="2"/>
  <c r="I100" i="2"/>
  <c r="H100" i="2"/>
  <c r="G100" i="2"/>
  <c r="F100" i="2"/>
  <c r="I99" i="2"/>
  <c r="H99" i="2"/>
  <c r="G99" i="2"/>
  <c r="F99" i="2"/>
  <c r="I98" i="2"/>
  <c r="H98" i="2"/>
  <c r="G98" i="2"/>
  <c r="F98" i="2"/>
  <c r="I97" i="2"/>
  <c r="H97" i="2"/>
  <c r="G97" i="2"/>
  <c r="F97" i="2"/>
  <c r="I96" i="2"/>
  <c r="H96" i="2"/>
  <c r="G96" i="2"/>
  <c r="F96" i="2"/>
  <c r="I95" i="2"/>
  <c r="H95" i="2"/>
  <c r="G95" i="2"/>
  <c r="F95" i="2"/>
  <c r="I94" i="2"/>
  <c r="H94" i="2"/>
  <c r="G94" i="2"/>
  <c r="F94" i="2"/>
  <c r="I93" i="2"/>
  <c r="H93" i="2"/>
  <c r="G93" i="2"/>
  <c r="F93" i="2"/>
  <c r="I92" i="2"/>
  <c r="H92" i="2"/>
  <c r="G92" i="2"/>
  <c r="F92" i="2"/>
  <c r="I91" i="2"/>
  <c r="H91" i="2"/>
  <c r="G91" i="2"/>
  <c r="F91" i="2"/>
  <c r="I90" i="2"/>
  <c r="H90" i="2"/>
  <c r="G90" i="2"/>
  <c r="F90" i="2"/>
  <c r="I89" i="2"/>
  <c r="H89" i="2"/>
  <c r="G89" i="2"/>
  <c r="F89" i="2"/>
  <c r="I88" i="2"/>
  <c r="H88" i="2"/>
  <c r="G88" i="2"/>
  <c r="F88" i="2"/>
  <c r="I87" i="2"/>
  <c r="H87" i="2"/>
  <c r="G87" i="2"/>
  <c r="F87" i="2"/>
  <c r="I86" i="2"/>
  <c r="H86" i="2"/>
  <c r="G86" i="2"/>
  <c r="F86" i="2"/>
  <c r="I85" i="2"/>
  <c r="H85" i="2"/>
  <c r="G85" i="2"/>
  <c r="F85" i="2"/>
  <c r="I84" i="2"/>
  <c r="H84" i="2"/>
  <c r="G84" i="2"/>
  <c r="F84" i="2"/>
  <c r="I83" i="2"/>
  <c r="H83" i="2"/>
  <c r="G83" i="2"/>
  <c r="F83" i="2"/>
  <c r="I82" i="2"/>
  <c r="H82" i="2"/>
  <c r="G82" i="2"/>
  <c r="F82" i="2"/>
  <c r="I81" i="2"/>
  <c r="H81" i="2"/>
  <c r="G81" i="2"/>
  <c r="F81" i="2"/>
  <c r="I80" i="2"/>
  <c r="H80" i="2"/>
  <c r="G80" i="2"/>
  <c r="F80" i="2"/>
  <c r="I79" i="2"/>
  <c r="H79" i="2"/>
  <c r="G79" i="2"/>
  <c r="F79" i="2"/>
  <c r="I78" i="2"/>
  <c r="H78" i="2"/>
  <c r="G78" i="2"/>
  <c r="F78" i="2"/>
  <c r="I77" i="2"/>
  <c r="H77" i="2"/>
  <c r="G77" i="2"/>
  <c r="F77" i="2"/>
  <c r="I76" i="2"/>
  <c r="H76" i="2"/>
  <c r="G76" i="2"/>
  <c r="F76" i="2"/>
  <c r="I75" i="2"/>
  <c r="H75" i="2"/>
  <c r="G75" i="2"/>
  <c r="F75" i="2"/>
  <c r="I74" i="2"/>
  <c r="H74" i="2"/>
  <c r="G74" i="2"/>
  <c r="F74" i="2"/>
  <c r="I73" i="2"/>
  <c r="H73" i="2"/>
  <c r="G73" i="2"/>
  <c r="F73" i="2"/>
  <c r="I72" i="2"/>
  <c r="H72" i="2"/>
  <c r="G72" i="2"/>
  <c r="F72" i="2"/>
  <c r="I71" i="2"/>
  <c r="H71" i="2"/>
  <c r="G71" i="2"/>
  <c r="F71" i="2"/>
  <c r="I70" i="2"/>
  <c r="H70" i="2"/>
  <c r="G70" i="2"/>
  <c r="F70" i="2"/>
  <c r="I69" i="2"/>
  <c r="H69" i="2"/>
  <c r="G69" i="2"/>
  <c r="F69" i="2"/>
  <c r="I68" i="2"/>
  <c r="H68" i="2"/>
  <c r="G68" i="2"/>
  <c r="F68" i="2"/>
  <c r="I67" i="2"/>
  <c r="H67" i="2"/>
  <c r="G67" i="2"/>
  <c r="F67" i="2"/>
  <c r="I66" i="2"/>
  <c r="H66" i="2"/>
  <c r="G66" i="2"/>
  <c r="F66" i="2"/>
  <c r="I65" i="2"/>
  <c r="H65" i="2"/>
  <c r="G65" i="2"/>
  <c r="F65" i="2"/>
  <c r="I64" i="2"/>
  <c r="H64" i="2"/>
  <c r="G64" i="2"/>
  <c r="F64" i="2"/>
  <c r="I63" i="2"/>
  <c r="H63" i="2"/>
  <c r="G63" i="2"/>
  <c r="F63" i="2"/>
  <c r="I62" i="2"/>
  <c r="H62" i="2"/>
  <c r="G62" i="2"/>
  <c r="F62" i="2"/>
  <c r="I61" i="2"/>
  <c r="H61" i="2"/>
  <c r="G61" i="2"/>
  <c r="F61" i="2"/>
  <c r="I60" i="2"/>
  <c r="H60" i="2"/>
  <c r="G60" i="2"/>
  <c r="F60" i="2"/>
  <c r="I59" i="2"/>
  <c r="H59" i="2"/>
  <c r="G59" i="2"/>
  <c r="F59" i="2"/>
  <c r="I58" i="2"/>
  <c r="H58" i="2"/>
  <c r="G58" i="2"/>
  <c r="F58" i="2"/>
  <c r="I57" i="2"/>
  <c r="H57" i="2"/>
  <c r="G57" i="2"/>
  <c r="F57" i="2"/>
  <c r="I56" i="2"/>
  <c r="H56" i="2"/>
  <c r="G56" i="2"/>
  <c r="F56" i="2"/>
  <c r="I55" i="2"/>
  <c r="H55" i="2"/>
  <c r="G55" i="2"/>
  <c r="F55" i="2"/>
  <c r="I54" i="2"/>
  <c r="H54" i="2"/>
  <c r="G54" i="2"/>
  <c r="F54" i="2"/>
  <c r="I53" i="2"/>
  <c r="H53" i="2"/>
  <c r="G53" i="2"/>
  <c r="F53" i="2"/>
  <c r="I52" i="2"/>
  <c r="H52" i="2"/>
  <c r="G52" i="2"/>
  <c r="F52" i="2"/>
  <c r="I51" i="2"/>
  <c r="H51" i="2"/>
  <c r="G51" i="2"/>
  <c r="F51" i="2"/>
  <c r="I50" i="2"/>
  <c r="H50" i="2"/>
  <c r="G50" i="2"/>
  <c r="F50" i="2"/>
  <c r="I49" i="2"/>
  <c r="H49" i="2"/>
  <c r="G49" i="2"/>
  <c r="F49" i="2"/>
  <c r="I48" i="2"/>
  <c r="H48" i="2"/>
  <c r="G48" i="2"/>
  <c r="F48" i="2"/>
  <c r="I47" i="2"/>
  <c r="H47" i="2"/>
  <c r="G47" i="2"/>
  <c r="F47" i="2"/>
  <c r="I46" i="2"/>
  <c r="H46" i="2"/>
  <c r="G46" i="2"/>
  <c r="F46" i="2"/>
  <c r="I45" i="2"/>
  <c r="H45" i="2"/>
  <c r="G45" i="2"/>
  <c r="F45" i="2"/>
  <c r="I44" i="2"/>
  <c r="H44" i="2"/>
  <c r="G44" i="2"/>
  <c r="F44" i="2"/>
  <c r="I43" i="2"/>
  <c r="H43" i="2"/>
  <c r="G43" i="2"/>
  <c r="F43" i="2"/>
  <c r="I42" i="2"/>
  <c r="H42" i="2"/>
  <c r="G42" i="2"/>
  <c r="F42" i="2"/>
  <c r="I41" i="2"/>
  <c r="H41" i="2"/>
  <c r="G41" i="2"/>
  <c r="F41" i="2"/>
  <c r="I40" i="2"/>
  <c r="H40" i="2"/>
  <c r="G40" i="2"/>
  <c r="F40" i="2"/>
  <c r="I39" i="2"/>
  <c r="H39" i="2"/>
  <c r="G39" i="2"/>
  <c r="F39" i="2"/>
  <c r="I38" i="2"/>
  <c r="H38" i="2"/>
  <c r="G38" i="2"/>
  <c r="F38" i="2"/>
  <c r="I37" i="2"/>
  <c r="H37" i="2"/>
  <c r="G37" i="2"/>
  <c r="F37" i="2"/>
  <c r="I36" i="2"/>
  <c r="H36" i="2"/>
  <c r="G36" i="2"/>
  <c r="F36" i="2"/>
  <c r="I35" i="2"/>
  <c r="H35" i="2"/>
  <c r="G35" i="2"/>
  <c r="F35" i="2"/>
  <c r="I34" i="2"/>
  <c r="H34" i="2"/>
  <c r="G34" i="2"/>
  <c r="F34" i="2"/>
  <c r="I33" i="2"/>
  <c r="H33" i="2"/>
  <c r="G33" i="2"/>
  <c r="F33" i="2"/>
  <c r="I32" i="2"/>
  <c r="H32" i="2"/>
  <c r="G32" i="2"/>
  <c r="F32" i="2"/>
  <c r="I31" i="2"/>
  <c r="H31" i="2"/>
  <c r="G31" i="2"/>
  <c r="F31" i="2"/>
  <c r="I30" i="2"/>
  <c r="H30" i="2"/>
  <c r="G30" i="2"/>
  <c r="F30" i="2"/>
  <c r="I29" i="2"/>
  <c r="H29" i="2"/>
  <c r="G29" i="2"/>
  <c r="F29" i="2"/>
  <c r="I28" i="2"/>
  <c r="H28" i="2"/>
  <c r="G28" i="2"/>
  <c r="F28" i="2"/>
  <c r="I27" i="2"/>
  <c r="H27" i="2"/>
  <c r="G27" i="2"/>
  <c r="F27" i="2"/>
  <c r="I26" i="2"/>
  <c r="H26" i="2"/>
  <c r="G26" i="2"/>
  <c r="F26" i="2"/>
  <c r="I25" i="2"/>
  <c r="H25" i="2"/>
  <c r="G25" i="2"/>
  <c r="F25" i="2"/>
  <c r="I24" i="2"/>
  <c r="H24" i="2"/>
  <c r="G24" i="2"/>
  <c r="F24" i="2"/>
  <c r="I23" i="2"/>
  <c r="H23" i="2"/>
  <c r="G23" i="2"/>
  <c r="F23" i="2"/>
  <c r="I22" i="2"/>
  <c r="H22" i="2"/>
  <c r="G22" i="2"/>
  <c r="F22" i="2"/>
  <c r="I21" i="2"/>
  <c r="H21" i="2"/>
  <c r="G21" i="2"/>
  <c r="F21" i="2"/>
  <c r="I20" i="2"/>
  <c r="H20" i="2"/>
  <c r="G20" i="2"/>
  <c r="F20" i="2"/>
  <c r="I19" i="2"/>
  <c r="H19" i="2"/>
  <c r="G19" i="2"/>
  <c r="F19" i="2"/>
  <c r="I18" i="2"/>
  <c r="H18" i="2"/>
  <c r="G18" i="2"/>
  <c r="F18" i="2"/>
  <c r="I17" i="2"/>
  <c r="H17" i="2"/>
  <c r="G17" i="2"/>
  <c r="F17" i="2"/>
  <c r="I16" i="2"/>
  <c r="H16" i="2"/>
  <c r="G16" i="2"/>
  <c r="F16" i="2"/>
  <c r="I15" i="2"/>
  <c r="H15" i="2"/>
  <c r="G15" i="2"/>
  <c r="F15" i="2"/>
  <c r="I14" i="2"/>
  <c r="H14" i="2"/>
  <c r="G14" i="2"/>
  <c r="F14" i="2"/>
  <c r="I13" i="2"/>
  <c r="H13" i="2"/>
  <c r="G13" i="2"/>
  <c r="F13" i="2"/>
  <c r="I12" i="2"/>
  <c r="H12" i="2"/>
  <c r="G12" i="2"/>
  <c r="F12" i="2"/>
  <c r="I11" i="2"/>
  <c r="H11" i="2"/>
  <c r="G11" i="2"/>
  <c r="F11" i="2"/>
  <c r="I10" i="2"/>
  <c r="H10" i="2"/>
  <c r="G10" i="2"/>
  <c r="F10" i="2"/>
  <c r="I9" i="2"/>
  <c r="H9" i="2"/>
  <c r="G9" i="2"/>
  <c r="F9" i="2"/>
  <c r="I8" i="2"/>
  <c r="H8" i="2"/>
  <c r="G8" i="2"/>
  <c r="F8" i="2"/>
  <c r="I7" i="2"/>
  <c r="H7" i="2"/>
  <c r="G7" i="2"/>
  <c r="F7" i="2"/>
  <c r="I6" i="2"/>
  <c r="H6" i="2"/>
  <c r="G6" i="2"/>
  <c r="F6" i="2"/>
  <c r="I5" i="2"/>
  <c r="H5" i="2"/>
  <c r="G5" i="2"/>
  <c r="F5" i="2"/>
  <c r="I4" i="2"/>
  <c r="H4" i="2"/>
  <c r="G4" i="2"/>
  <c r="P5" i="2" l="1"/>
  <c r="J5" i="2"/>
  <c r="P13" i="2"/>
  <c r="J13" i="2"/>
  <c r="P29" i="2"/>
  <c r="J29" i="2"/>
  <c r="L29" i="2" s="1"/>
  <c r="P45" i="2"/>
  <c r="J45" i="2"/>
  <c r="J61" i="2"/>
  <c r="P61" i="2"/>
  <c r="J77" i="2"/>
  <c r="P77" i="2"/>
  <c r="J89" i="2"/>
  <c r="P89" i="2"/>
  <c r="J105" i="2"/>
  <c r="P105" i="2"/>
  <c r="J113" i="2"/>
  <c r="P113" i="2"/>
  <c r="J129" i="2"/>
  <c r="P129" i="2"/>
  <c r="J141" i="2"/>
  <c r="P141" i="2"/>
  <c r="J161" i="2"/>
  <c r="P161" i="2"/>
  <c r="J169" i="2"/>
  <c r="P169" i="2"/>
  <c r="Q5" i="2"/>
  <c r="K5" i="2"/>
  <c r="Q9" i="2"/>
  <c r="K9" i="2"/>
  <c r="Q13" i="2"/>
  <c r="K13" i="2"/>
  <c r="Q17" i="2"/>
  <c r="K17" i="2"/>
  <c r="Q21" i="2"/>
  <c r="K21" i="2"/>
  <c r="Q25" i="2"/>
  <c r="K25" i="2"/>
  <c r="M25" i="2" s="1"/>
  <c r="Q29" i="2"/>
  <c r="K29" i="2"/>
  <c r="K33" i="2"/>
  <c r="Q33" i="2"/>
  <c r="K37" i="2"/>
  <c r="Q37" i="2"/>
  <c r="Q41" i="2"/>
  <c r="K41" i="2"/>
  <c r="M41" i="2" s="1"/>
  <c r="K45" i="2"/>
  <c r="Q45" i="2"/>
  <c r="Q49" i="2"/>
  <c r="K49" i="2"/>
  <c r="K53" i="2"/>
  <c r="Q53" i="2"/>
  <c r="M53" i="2" s="1"/>
  <c r="Q57" i="2"/>
  <c r="K57" i="2"/>
  <c r="M57" i="2" s="1"/>
  <c r="Q61" i="2"/>
  <c r="K61" i="2"/>
  <c r="K65" i="2"/>
  <c r="Q65" i="2"/>
  <c r="Q69" i="2"/>
  <c r="K69" i="2"/>
  <c r="Q73" i="2"/>
  <c r="K73" i="2"/>
  <c r="M73" i="2" s="1"/>
  <c r="K77" i="2"/>
  <c r="Q77" i="2"/>
  <c r="Q81" i="2"/>
  <c r="K81" i="2"/>
  <c r="K85" i="2"/>
  <c r="Q85" i="2"/>
  <c r="Q89" i="2"/>
  <c r="K89" i="2"/>
  <c r="M89" i="2" s="1"/>
  <c r="Q93" i="2"/>
  <c r="K93" i="2"/>
  <c r="K97" i="2"/>
  <c r="Q97" i="2"/>
  <c r="Q101" i="2"/>
  <c r="K101" i="2"/>
  <c r="Q105" i="2"/>
  <c r="K105" i="2"/>
  <c r="M105" i="2" s="1"/>
  <c r="K109" i="2"/>
  <c r="Q109" i="2"/>
  <c r="Q113" i="2"/>
  <c r="K113" i="2"/>
  <c r="K117" i="2"/>
  <c r="Q117" i="2"/>
  <c r="Q121" i="2"/>
  <c r="K121" i="2"/>
  <c r="M121" i="2" s="1"/>
  <c r="Q125" i="2"/>
  <c r="K125" i="2"/>
  <c r="K129" i="2"/>
  <c r="Q129" i="2"/>
  <c r="Q133" i="2"/>
  <c r="K133" i="2"/>
  <c r="Q137" i="2"/>
  <c r="K137" i="2"/>
  <c r="M137" i="2" s="1"/>
  <c r="K141" i="2"/>
  <c r="Q141" i="2"/>
  <c r="Q145" i="2"/>
  <c r="K145" i="2"/>
  <c r="K149" i="2"/>
  <c r="Q149" i="2"/>
  <c r="Q153" i="2"/>
  <c r="K153" i="2"/>
  <c r="M153" i="2" s="1"/>
  <c r="Q157" i="2"/>
  <c r="K157" i="2"/>
  <c r="M157" i="2" s="1"/>
  <c r="K161" i="2"/>
  <c r="Q161" i="2"/>
  <c r="Q165" i="2"/>
  <c r="K165" i="2"/>
  <c r="Q169" i="2"/>
  <c r="K169" i="2"/>
  <c r="M169" i="2" s="1"/>
  <c r="K173" i="2"/>
  <c r="Q173" i="2"/>
  <c r="Q177" i="2"/>
  <c r="K177" i="2"/>
  <c r="K181" i="2"/>
  <c r="Q181" i="2"/>
  <c r="P6" i="2"/>
  <c r="J6" i="2"/>
  <c r="L6" i="2" s="1"/>
  <c r="P10" i="2"/>
  <c r="J10" i="2"/>
  <c r="P14" i="2"/>
  <c r="J14" i="2"/>
  <c r="P18" i="2"/>
  <c r="J18" i="2"/>
  <c r="P22" i="2"/>
  <c r="J22" i="2"/>
  <c r="L22" i="2" s="1"/>
  <c r="P26" i="2"/>
  <c r="J26" i="2"/>
  <c r="P30" i="2"/>
  <c r="J30" i="2"/>
  <c r="P34" i="2"/>
  <c r="J34" i="2"/>
  <c r="P38" i="2"/>
  <c r="J38" i="2"/>
  <c r="L38" i="2" s="1"/>
  <c r="P42" i="2"/>
  <c r="J42" i="2"/>
  <c r="P46" i="2"/>
  <c r="J46" i="2"/>
  <c r="P50" i="2"/>
  <c r="J50" i="2"/>
  <c r="P54" i="2"/>
  <c r="J54" i="2"/>
  <c r="L54" i="2" s="1"/>
  <c r="P58" i="2"/>
  <c r="J58" i="2"/>
  <c r="P62" i="2"/>
  <c r="J62" i="2"/>
  <c r="P66" i="2"/>
  <c r="J66" i="2"/>
  <c r="L66" i="2" s="1"/>
  <c r="P70" i="2"/>
  <c r="J70" i="2"/>
  <c r="L70" i="2" s="1"/>
  <c r="P74" i="2"/>
  <c r="J74" i="2"/>
  <c r="P78" i="2"/>
  <c r="J78" i="2"/>
  <c r="P82" i="2"/>
  <c r="J82" i="2"/>
  <c r="P86" i="2"/>
  <c r="J86" i="2"/>
  <c r="L86" i="2" s="1"/>
  <c r="P90" i="2"/>
  <c r="J90" i="2"/>
  <c r="P94" i="2"/>
  <c r="J94" i="2"/>
  <c r="P98" i="2"/>
  <c r="J98" i="2"/>
  <c r="P102" i="2"/>
  <c r="J102" i="2"/>
  <c r="L102" i="2" s="1"/>
  <c r="P106" i="2"/>
  <c r="J106" i="2"/>
  <c r="P110" i="2"/>
  <c r="J110" i="2"/>
  <c r="P114" i="2"/>
  <c r="J114" i="2"/>
  <c r="L114" i="2" s="1"/>
  <c r="P118" i="2"/>
  <c r="J118" i="2"/>
  <c r="L118" i="2" s="1"/>
  <c r="P122" i="2"/>
  <c r="J122" i="2"/>
  <c r="P126" i="2"/>
  <c r="J126" i="2"/>
  <c r="P130" i="2"/>
  <c r="J130" i="2"/>
  <c r="P134" i="2"/>
  <c r="J134" i="2"/>
  <c r="L134" i="2" s="1"/>
  <c r="P138" i="2"/>
  <c r="J138" i="2"/>
  <c r="P142" i="2"/>
  <c r="J142" i="2"/>
  <c r="P146" i="2"/>
  <c r="J146" i="2"/>
  <c r="P150" i="2"/>
  <c r="J150" i="2"/>
  <c r="L150" i="2" s="1"/>
  <c r="P154" i="2"/>
  <c r="J154" i="2"/>
  <c r="P158" i="2"/>
  <c r="J158" i="2"/>
  <c r="P162" i="2"/>
  <c r="J162" i="2"/>
  <c r="P166" i="2"/>
  <c r="J166" i="2"/>
  <c r="L166" i="2" s="1"/>
  <c r="P170" i="2"/>
  <c r="J170" i="2"/>
  <c r="L170" i="2" s="1"/>
  <c r="P174" i="2"/>
  <c r="J174" i="2"/>
  <c r="P178" i="2"/>
  <c r="J178" i="2"/>
  <c r="L178" i="2" s="1"/>
  <c r="P182" i="2"/>
  <c r="J182" i="2"/>
  <c r="L182" i="2" s="1"/>
  <c r="P9" i="2"/>
  <c r="J9" i="2"/>
  <c r="P25" i="2"/>
  <c r="J25" i="2"/>
  <c r="P49" i="2"/>
  <c r="J49" i="2"/>
  <c r="J65" i="2"/>
  <c r="P65" i="2"/>
  <c r="J85" i="2"/>
  <c r="P85" i="2"/>
  <c r="J101" i="2"/>
  <c r="P101" i="2"/>
  <c r="J121" i="2"/>
  <c r="P121" i="2"/>
  <c r="L121" i="2" s="1"/>
  <c r="J137" i="2"/>
  <c r="P137" i="2"/>
  <c r="J153" i="2"/>
  <c r="P153" i="2"/>
  <c r="J177" i="2"/>
  <c r="P177" i="2"/>
  <c r="Q6" i="2"/>
  <c r="K6" i="2"/>
  <c r="M6" i="2" s="1"/>
  <c r="Q10" i="2"/>
  <c r="K10" i="2"/>
  <c r="M10" i="2" s="1"/>
  <c r="Q14" i="2"/>
  <c r="K14" i="2"/>
  <c r="Q18" i="2"/>
  <c r="K18" i="2"/>
  <c r="Q22" i="2"/>
  <c r="K22" i="2"/>
  <c r="Q26" i="2"/>
  <c r="K26" i="2"/>
  <c r="M26" i="2" s="1"/>
  <c r="Q30" i="2"/>
  <c r="K30" i="2"/>
  <c r="Q34" i="2"/>
  <c r="K34" i="2"/>
  <c r="Q38" i="2"/>
  <c r="K38" i="2"/>
  <c r="M38" i="2" s="1"/>
  <c r="Q42" i="2"/>
  <c r="K42" i="2"/>
  <c r="M42" i="2" s="1"/>
  <c r="Q46" i="2"/>
  <c r="K46" i="2"/>
  <c r="Q50" i="2"/>
  <c r="K50" i="2"/>
  <c r="Q54" i="2"/>
  <c r="K54" i="2"/>
  <c r="M54" i="2" s="1"/>
  <c r="Q58" i="2"/>
  <c r="K58" i="2"/>
  <c r="M58" i="2" s="1"/>
  <c r="Q62" i="2"/>
  <c r="K62" i="2"/>
  <c r="Q66" i="2"/>
  <c r="K66" i="2"/>
  <c r="M66" i="2" s="1"/>
  <c r="Q70" i="2"/>
  <c r="K70" i="2"/>
  <c r="Q74" i="2"/>
  <c r="K74" i="2"/>
  <c r="M74" i="2" s="1"/>
  <c r="Q78" i="2"/>
  <c r="K78" i="2"/>
  <c r="Q82" i="2"/>
  <c r="K82" i="2"/>
  <c r="Q86" i="2"/>
  <c r="K86" i="2"/>
  <c r="Q90" i="2"/>
  <c r="K90" i="2"/>
  <c r="Q94" i="2"/>
  <c r="K94" i="2"/>
  <c r="Q98" i="2"/>
  <c r="K98" i="2"/>
  <c r="Q102" i="2"/>
  <c r="K102" i="2"/>
  <c r="Q106" i="2"/>
  <c r="K106" i="2"/>
  <c r="Q110" i="2"/>
  <c r="K110" i="2"/>
  <c r="Q114" i="2"/>
  <c r="K114" i="2"/>
  <c r="Q118" i="2"/>
  <c r="K118" i="2"/>
  <c r="M118" i="2" s="1"/>
  <c r="Q122" i="2"/>
  <c r="K122" i="2"/>
  <c r="Q126" i="2"/>
  <c r="K126" i="2"/>
  <c r="Q130" i="2"/>
  <c r="K130" i="2"/>
  <c r="Q134" i="2"/>
  <c r="K134" i="2"/>
  <c r="Q138" i="2"/>
  <c r="K138" i="2"/>
  <c r="Q142" i="2"/>
  <c r="K142" i="2"/>
  <c r="Q146" i="2"/>
  <c r="K146" i="2"/>
  <c r="Q150" i="2"/>
  <c r="K150" i="2"/>
  <c r="Q154" i="2"/>
  <c r="K154" i="2"/>
  <c r="M154" i="2" s="1"/>
  <c r="Q158" i="2"/>
  <c r="K158" i="2"/>
  <c r="M158" i="2" s="1"/>
  <c r="Q162" i="2"/>
  <c r="K162" i="2"/>
  <c r="Q166" i="2"/>
  <c r="K166" i="2"/>
  <c r="Q170" i="2"/>
  <c r="K170" i="2"/>
  <c r="M170" i="2" s="1"/>
  <c r="Q174" i="2"/>
  <c r="K174" i="2"/>
  <c r="M174" i="2" s="1"/>
  <c r="Q178" i="2"/>
  <c r="K178" i="2"/>
  <c r="Q182" i="2"/>
  <c r="K182" i="2"/>
  <c r="P17" i="2"/>
  <c r="J17" i="2"/>
  <c r="L17" i="2" s="1"/>
  <c r="P37" i="2"/>
  <c r="J37" i="2"/>
  <c r="P53" i="2"/>
  <c r="J53" i="2"/>
  <c r="J69" i="2"/>
  <c r="P69" i="2"/>
  <c r="J81" i="2"/>
  <c r="P81" i="2"/>
  <c r="J97" i="2"/>
  <c r="P97" i="2"/>
  <c r="J117" i="2"/>
  <c r="P117" i="2"/>
  <c r="J133" i="2"/>
  <c r="P133" i="2"/>
  <c r="L133" i="2" s="1"/>
  <c r="J149" i="2"/>
  <c r="P149" i="2"/>
  <c r="J157" i="2"/>
  <c r="L157" i="2" s="1"/>
  <c r="P157" i="2"/>
  <c r="J173" i="2"/>
  <c r="L173" i="2" s="1"/>
  <c r="P173" i="2"/>
  <c r="P7" i="2"/>
  <c r="J7" i="2"/>
  <c r="P11" i="2"/>
  <c r="J11" i="2"/>
  <c r="L11" i="2" s="1"/>
  <c r="P15" i="2"/>
  <c r="J15" i="2"/>
  <c r="P19" i="2"/>
  <c r="J19" i="2"/>
  <c r="P23" i="2"/>
  <c r="J23" i="2"/>
  <c r="L23" i="2" s="1"/>
  <c r="P27" i="2"/>
  <c r="J27" i="2"/>
  <c r="L27" i="2" s="1"/>
  <c r="P31" i="2"/>
  <c r="J31" i="2"/>
  <c r="P35" i="2"/>
  <c r="J35" i="2"/>
  <c r="P39" i="2"/>
  <c r="J39" i="2"/>
  <c r="P43" i="2"/>
  <c r="J43" i="2"/>
  <c r="L43" i="2" s="1"/>
  <c r="P47" i="2"/>
  <c r="J47" i="2"/>
  <c r="P51" i="2"/>
  <c r="J51" i="2"/>
  <c r="P55" i="2"/>
  <c r="J55" i="2"/>
  <c r="P59" i="2"/>
  <c r="J59" i="2"/>
  <c r="L59" i="2" s="1"/>
  <c r="P63" i="2"/>
  <c r="J63" i="2"/>
  <c r="P67" i="2"/>
  <c r="J67" i="2"/>
  <c r="P71" i="2"/>
  <c r="J71" i="2"/>
  <c r="L71" i="2" s="1"/>
  <c r="P75" i="2"/>
  <c r="J75" i="2"/>
  <c r="L75" i="2" s="1"/>
  <c r="P79" i="2"/>
  <c r="J79" i="2"/>
  <c r="P83" i="2"/>
  <c r="J83" i="2"/>
  <c r="P87" i="2"/>
  <c r="J87" i="2"/>
  <c r="L87" i="2" s="1"/>
  <c r="P91" i="2"/>
  <c r="J91" i="2"/>
  <c r="L91" i="2" s="1"/>
  <c r="P95" i="2"/>
  <c r="J95" i="2"/>
  <c r="P99" i="2"/>
  <c r="J99" i="2"/>
  <c r="P103" i="2"/>
  <c r="J103" i="2"/>
  <c r="L103" i="2" s="1"/>
  <c r="P107" i="2"/>
  <c r="J107" i="2"/>
  <c r="L107" i="2" s="1"/>
  <c r="P111" i="2"/>
  <c r="J111" i="2"/>
  <c r="P115" i="2"/>
  <c r="J115" i="2"/>
  <c r="L115" i="2" s="1"/>
  <c r="P119" i="2"/>
  <c r="J119" i="2"/>
  <c r="L119" i="2" s="1"/>
  <c r="P123" i="2"/>
  <c r="J123" i="2"/>
  <c r="P127" i="2"/>
  <c r="J127" i="2"/>
  <c r="P131" i="2"/>
  <c r="J131" i="2"/>
  <c r="P135" i="2"/>
  <c r="J135" i="2"/>
  <c r="L135" i="2" s="1"/>
  <c r="P139" i="2"/>
  <c r="J139" i="2"/>
  <c r="L139" i="2" s="1"/>
  <c r="P143" i="2"/>
  <c r="J143" i="2"/>
  <c r="P147" i="2"/>
  <c r="J147" i="2"/>
  <c r="P151" i="2"/>
  <c r="J151" i="2"/>
  <c r="L151" i="2" s="1"/>
  <c r="P155" i="2"/>
  <c r="J155" i="2"/>
  <c r="L155" i="2" s="1"/>
  <c r="P159" i="2"/>
  <c r="J159" i="2"/>
  <c r="L159" i="2" s="1"/>
  <c r="P163" i="2"/>
  <c r="J163" i="2"/>
  <c r="P167" i="2"/>
  <c r="J167" i="2"/>
  <c r="P171" i="2"/>
  <c r="J171" i="2"/>
  <c r="L171" i="2" s="1"/>
  <c r="P175" i="2"/>
  <c r="J175" i="2"/>
  <c r="L175" i="2" s="1"/>
  <c r="P179" i="2"/>
  <c r="J179" i="2"/>
  <c r="P183" i="2"/>
  <c r="J183" i="2"/>
  <c r="L183" i="2" s="1"/>
  <c r="P21" i="2"/>
  <c r="J21" i="2"/>
  <c r="L21" i="2" s="1"/>
  <c r="P41" i="2"/>
  <c r="J41" i="2"/>
  <c r="J57" i="2"/>
  <c r="P57" i="2"/>
  <c r="L57" i="2" s="1"/>
  <c r="J73" i="2"/>
  <c r="P73" i="2"/>
  <c r="L73" i="2" s="1"/>
  <c r="J93" i="2"/>
  <c r="P93" i="2"/>
  <c r="J109" i="2"/>
  <c r="P109" i="2"/>
  <c r="J125" i="2"/>
  <c r="P125" i="2"/>
  <c r="J145" i="2"/>
  <c r="P145" i="2"/>
  <c r="J181" i="2"/>
  <c r="P181" i="2"/>
  <c r="Q7" i="2"/>
  <c r="K7" i="2"/>
  <c r="K11" i="2"/>
  <c r="Q11" i="2"/>
  <c r="M11" i="2" s="1"/>
  <c r="K15" i="2"/>
  <c r="Q15" i="2"/>
  <c r="M15" i="2" s="1"/>
  <c r="Q19" i="2"/>
  <c r="K19" i="2"/>
  <c r="M19" i="2" s="1"/>
  <c r="K23" i="2"/>
  <c r="Q23" i="2"/>
  <c r="Q27" i="2"/>
  <c r="K27" i="2"/>
  <c r="Q31" i="2"/>
  <c r="K31" i="2"/>
  <c r="M31" i="2" s="1"/>
  <c r="K35" i="2"/>
  <c r="Q35" i="2"/>
  <c r="K39" i="2"/>
  <c r="Q39" i="2"/>
  <c r="K43" i="2"/>
  <c r="Q43" i="2"/>
  <c r="K47" i="2"/>
  <c r="Q47" i="2"/>
  <c r="M47" i="2" s="1"/>
  <c r="Q51" i="2"/>
  <c r="K51" i="2"/>
  <c r="M51" i="2" s="1"/>
  <c r="K55" i="2"/>
  <c r="Q55" i="2"/>
  <c r="Q59" i="2"/>
  <c r="K59" i="2"/>
  <c r="Q63" i="2"/>
  <c r="K63" i="2"/>
  <c r="M63" i="2" s="1"/>
  <c r="Q67" i="2"/>
  <c r="K67" i="2"/>
  <c r="M67" i="2" s="1"/>
  <c r="Q71" i="2"/>
  <c r="K71" i="2"/>
  <c r="K75" i="2"/>
  <c r="Q75" i="2"/>
  <c r="Q79" i="2"/>
  <c r="K79" i="2"/>
  <c r="M79" i="2" s="1"/>
  <c r="Q83" i="2"/>
  <c r="K83" i="2"/>
  <c r="M83" i="2" s="1"/>
  <c r="K87" i="2"/>
  <c r="Q87" i="2"/>
  <c r="Q91" i="2"/>
  <c r="K91" i="2"/>
  <c r="Q95" i="2"/>
  <c r="K95" i="2"/>
  <c r="M95" i="2" s="1"/>
  <c r="Q99" i="2"/>
  <c r="K99" i="2"/>
  <c r="M99" i="2" s="1"/>
  <c r="Q103" i="2"/>
  <c r="K103" i="2"/>
  <c r="K107" i="2"/>
  <c r="Q107" i="2"/>
  <c r="Q111" i="2"/>
  <c r="K111" i="2"/>
  <c r="M111" i="2" s="1"/>
  <c r="Q115" i="2"/>
  <c r="K115" i="2"/>
  <c r="M115" i="2" s="1"/>
  <c r="K119" i="2"/>
  <c r="Q119" i="2"/>
  <c r="Q123" i="2"/>
  <c r="K123" i="2"/>
  <c r="Q127" i="2"/>
  <c r="K127" i="2"/>
  <c r="M127" i="2" s="1"/>
  <c r="Q131" i="2"/>
  <c r="K131" i="2"/>
  <c r="M131" i="2" s="1"/>
  <c r="Q135" i="2"/>
  <c r="K135" i="2"/>
  <c r="K139" i="2"/>
  <c r="Q139" i="2"/>
  <c r="Q143" i="2"/>
  <c r="K143" i="2"/>
  <c r="M143" i="2" s="1"/>
  <c r="Q147" i="2"/>
  <c r="K147" i="2"/>
  <c r="M147" i="2" s="1"/>
  <c r="K151" i="2"/>
  <c r="Q151" i="2"/>
  <c r="Q155" i="2"/>
  <c r="K155" i="2"/>
  <c r="Q159" i="2"/>
  <c r="K159" i="2"/>
  <c r="M159" i="2" s="1"/>
  <c r="Q163" i="2"/>
  <c r="K163" i="2"/>
  <c r="M163" i="2" s="1"/>
  <c r="Q167" i="2"/>
  <c r="K167" i="2"/>
  <c r="M167" i="2" s="1"/>
  <c r="K171" i="2"/>
  <c r="M171" i="2" s="1"/>
  <c r="Q171" i="2"/>
  <c r="Q175" i="2"/>
  <c r="K175" i="2"/>
  <c r="M175" i="2" s="1"/>
  <c r="Q179" i="2"/>
  <c r="K179" i="2"/>
  <c r="M179" i="2" s="1"/>
  <c r="K183" i="2"/>
  <c r="Q183" i="2"/>
  <c r="P33" i="2"/>
  <c r="J33" i="2"/>
  <c r="J165" i="2"/>
  <c r="P165" i="2"/>
  <c r="P8" i="2"/>
  <c r="J8" i="2"/>
  <c r="L8" i="2" s="1"/>
  <c r="J12" i="2"/>
  <c r="P12" i="2"/>
  <c r="J16" i="2"/>
  <c r="P16" i="2"/>
  <c r="P20" i="2"/>
  <c r="J20" i="2"/>
  <c r="L20" i="2" s="1"/>
  <c r="J24" i="2"/>
  <c r="P24" i="2"/>
  <c r="J28" i="2"/>
  <c r="P28" i="2"/>
  <c r="J32" i="2"/>
  <c r="P32" i="2"/>
  <c r="J36" i="2"/>
  <c r="P36" i="2"/>
  <c r="L36" i="2" s="1"/>
  <c r="J40" i="2"/>
  <c r="P40" i="2"/>
  <c r="J44" i="2"/>
  <c r="P44" i="2"/>
  <c r="J48" i="2"/>
  <c r="P48" i="2"/>
  <c r="J52" i="2"/>
  <c r="P52" i="2"/>
  <c r="J56" i="2"/>
  <c r="P56" i="2"/>
  <c r="L56" i="2" s="1"/>
  <c r="J60" i="2"/>
  <c r="P60" i="2"/>
  <c r="J64" i="2"/>
  <c r="P64" i="2"/>
  <c r="J68" i="2"/>
  <c r="P68" i="2"/>
  <c r="L68" i="2" s="1"/>
  <c r="J72" i="2"/>
  <c r="P72" i="2"/>
  <c r="J76" i="2"/>
  <c r="P76" i="2"/>
  <c r="J80" i="2"/>
  <c r="P80" i="2"/>
  <c r="J84" i="2"/>
  <c r="P84" i="2"/>
  <c r="L84" i="2" s="1"/>
  <c r="J88" i="2"/>
  <c r="P88" i="2"/>
  <c r="L88" i="2" s="1"/>
  <c r="J92" i="2"/>
  <c r="P92" i="2"/>
  <c r="J96" i="2"/>
  <c r="P96" i="2"/>
  <c r="J100" i="2"/>
  <c r="P100" i="2"/>
  <c r="L100" i="2" s="1"/>
  <c r="J104" i="2"/>
  <c r="P104" i="2"/>
  <c r="J108" i="2"/>
  <c r="P108" i="2"/>
  <c r="J112" i="2"/>
  <c r="P112" i="2"/>
  <c r="J116" i="2"/>
  <c r="P116" i="2"/>
  <c r="L116" i="2" s="1"/>
  <c r="J120" i="2"/>
  <c r="P120" i="2"/>
  <c r="J124" i="2"/>
  <c r="P124" i="2"/>
  <c r="J128" i="2"/>
  <c r="P128" i="2"/>
  <c r="J132" i="2"/>
  <c r="P132" i="2"/>
  <c r="J136" i="2"/>
  <c r="P136" i="2"/>
  <c r="L136" i="2" s="1"/>
  <c r="J140" i="2"/>
  <c r="P140" i="2"/>
  <c r="J144" i="2"/>
  <c r="P144" i="2"/>
  <c r="J148" i="2"/>
  <c r="P148" i="2"/>
  <c r="L148" i="2" s="1"/>
  <c r="J152" i="2"/>
  <c r="P152" i="2"/>
  <c r="J156" i="2"/>
  <c r="P156" i="2"/>
  <c r="L156" i="2" s="1"/>
  <c r="J160" i="2"/>
  <c r="P160" i="2"/>
  <c r="J164" i="2"/>
  <c r="L164" i="2" s="1"/>
  <c r="P164" i="2"/>
  <c r="J168" i="2"/>
  <c r="P168" i="2"/>
  <c r="J172" i="2"/>
  <c r="P172" i="2"/>
  <c r="J176" i="2"/>
  <c r="P176" i="2"/>
  <c r="J180" i="2"/>
  <c r="P180" i="2"/>
  <c r="J184" i="2"/>
  <c r="P184" i="2"/>
  <c r="Q8" i="2"/>
  <c r="K8" i="2"/>
  <c r="Q12" i="2"/>
  <c r="K12" i="2"/>
  <c r="Q16" i="2"/>
  <c r="K16" i="2"/>
  <c r="M16" i="2" s="1"/>
  <c r="Q20" i="2"/>
  <c r="K20" i="2"/>
  <c r="M20" i="2" s="1"/>
  <c r="Q24" i="2"/>
  <c r="K24" i="2"/>
  <c r="Q28" i="2"/>
  <c r="K28" i="2"/>
  <c r="K32" i="2"/>
  <c r="Q32" i="2"/>
  <c r="M32" i="2" s="1"/>
  <c r="K36" i="2"/>
  <c r="Q36" i="2"/>
  <c r="M36" i="2" s="1"/>
  <c r="K40" i="2"/>
  <c r="Q40" i="2"/>
  <c r="K44" i="2"/>
  <c r="Q44" i="2"/>
  <c r="K48" i="2"/>
  <c r="Q48" i="2"/>
  <c r="M48" i="2" s="1"/>
  <c r="K52" i="2"/>
  <c r="Q52" i="2"/>
  <c r="K56" i="2"/>
  <c r="Q56" i="2"/>
  <c r="K60" i="2"/>
  <c r="Q60" i="2"/>
  <c r="K64" i="2"/>
  <c r="Q64" i="2"/>
  <c r="M64" i="2" s="1"/>
  <c r="K68" i="2"/>
  <c r="Q68" i="2"/>
  <c r="M68" i="2" s="1"/>
  <c r="K72" i="2"/>
  <c r="Q72" i="2"/>
  <c r="K76" i="2"/>
  <c r="Q76" i="2"/>
  <c r="K80" i="2"/>
  <c r="Q80" i="2"/>
  <c r="M80" i="2" s="1"/>
  <c r="K84" i="2"/>
  <c r="Q84" i="2"/>
  <c r="M84" i="2" s="1"/>
  <c r="K88" i="2"/>
  <c r="Q88" i="2"/>
  <c r="K92" i="2"/>
  <c r="M92" i="2" s="1"/>
  <c r="Q92" i="2"/>
  <c r="K96" i="2"/>
  <c r="Q96" i="2"/>
  <c r="M96" i="2" s="1"/>
  <c r="K100" i="2"/>
  <c r="Q100" i="2"/>
  <c r="M100" i="2" s="1"/>
  <c r="K104" i="2"/>
  <c r="Q104" i="2"/>
  <c r="M104" i="2" s="1"/>
  <c r="K108" i="2"/>
  <c r="Q108" i="2"/>
  <c r="K112" i="2"/>
  <c r="Q112" i="2"/>
  <c r="K116" i="2"/>
  <c r="Q116" i="2"/>
  <c r="M116" i="2" s="1"/>
  <c r="K120" i="2"/>
  <c r="Q120" i="2"/>
  <c r="K124" i="2"/>
  <c r="M124" i="2" s="1"/>
  <c r="Q124" i="2"/>
  <c r="K128" i="2"/>
  <c r="Q128" i="2"/>
  <c r="M128" i="2" s="1"/>
  <c r="K132" i="2"/>
  <c r="Q132" i="2"/>
  <c r="K136" i="2"/>
  <c r="Q136" i="2"/>
  <c r="K140" i="2"/>
  <c r="Q140" i="2"/>
  <c r="M140" i="2" s="1"/>
  <c r="K144" i="2"/>
  <c r="Q144" i="2"/>
  <c r="M144" i="2" s="1"/>
  <c r="K148" i="2"/>
  <c r="Q148" i="2"/>
  <c r="K152" i="2"/>
  <c r="Q152" i="2"/>
  <c r="K156" i="2"/>
  <c r="Q156" i="2"/>
  <c r="K160" i="2"/>
  <c r="M160" i="2" s="1"/>
  <c r="Q160" i="2"/>
  <c r="K164" i="2"/>
  <c r="Q164" i="2"/>
  <c r="K168" i="2"/>
  <c r="Q168" i="2"/>
  <c r="K172" i="2"/>
  <c r="M172" i="2" s="1"/>
  <c r="Q172" i="2"/>
  <c r="K176" i="2"/>
  <c r="Q176" i="2"/>
  <c r="K180" i="2"/>
  <c r="Q180" i="2"/>
  <c r="K184" i="2"/>
  <c r="Q184" i="2"/>
  <c r="L167" i="2"/>
  <c r="M123" i="2"/>
  <c r="L14" i="2"/>
  <c r="L16" i="2"/>
  <c r="L18" i="2"/>
  <c r="L30" i="2"/>
  <c r="L32" i="2"/>
  <c r="L34" i="2"/>
  <c r="L35" i="2"/>
  <c r="L46" i="2"/>
  <c r="L49" i="2"/>
  <c r="L50" i="2"/>
  <c r="L51" i="2"/>
  <c r="L53" i="2"/>
  <c r="L61" i="2"/>
  <c r="L62" i="2"/>
  <c r="L64" i="2"/>
  <c r="L67" i="2"/>
  <c r="L69" i="2"/>
  <c r="L77" i="2"/>
  <c r="L78" i="2"/>
  <c r="L13" i="2"/>
  <c r="L19" i="2"/>
  <c r="L25" i="2"/>
  <c r="L33" i="2"/>
  <c r="M69" i="2"/>
  <c r="M17" i="2"/>
  <c r="M18" i="2"/>
  <c r="M21" i="2"/>
  <c r="M22" i="2"/>
  <c r="M27" i="2"/>
  <c r="M33" i="2"/>
  <c r="M34" i="2"/>
  <c r="M37" i="2"/>
  <c r="M43" i="2"/>
  <c r="M44" i="2"/>
  <c r="M49" i="2"/>
  <c r="M50" i="2"/>
  <c r="M59" i="2"/>
  <c r="M60" i="2"/>
  <c r="M65" i="2"/>
  <c r="M70" i="2"/>
  <c r="L80" i="2"/>
  <c r="L82" i="2"/>
  <c r="L83" i="2"/>
  <c r="L94" i="2"/>
  <c r="L96" i="2"/>
  <c r="L98" i="2"/>
  <c r="L99" i="2"/>
  <c r="L101" i="2"/>
  <c r="L117" i="2"/>
  <c r="L125" i="2"/>
  <c r="L126" i="2"/>
  <c r="L128" i="2"/>
  <c r="L129" i="2"/>
  <c r="L130" i="2"/>
  <c r="L131" i="2"/>
  <c r="L142" i="2"/>
  <c r="L144" i="2"/>
  <c r="L145" i="2"/>
  <c r="L146" i="2"/>
  <c r="L147" i="2"/>
  <c r="L149" i="2"/>
  <c r="L158" i="2"/>
  <c r="L160" i="2"/>
  <c r="L162" i="2"/>
  <c r="L163" i="2"/>
  <c r="L165" i="2"/>
  <c r="M75" i="2"/>
  <c r="M81" i="2"/>
  <c r="M82" i="2"/>
  <c r="M85" i="2"/>
  <c r="M86" i="2"/>
  <c r="M91" i="2"/>
  <c r="M97" i="2"/>
  <c r="M98" i="2"/>
  <c r="M101" i="2"/>
  <c r="M102" i="2"/>
  <c r="M107" i="2"/>
  <c r="M108" i="2"/>
  <c r="M117" i="2"/>
  <c r="M129" i="2"/>
  <c r="M130" i="2"/>
  <c r="M133" i="2"/>
  <c r="M134" i="2"/>
  <c r="M139" i="2"/>
  <c r="M145" i="2"/>
  <c r="M146" i="2"/>
  <c r="M149" i="2"/>
  <c r="M150" i="2"/>
  <c r="M155" i="2"/>
  <c r="M156" i="2"/>
  <c r="M161" i="2"/>
  <c r="M162" i="2"/>
  <c r="M164" i="2"/>
  <c r="M165" i="2"/>
  <c r="M166" i="2"/>
  <c r="L5" i="2"/>
  <c r="L7" i="2"/>
  <c r="M5" i="2"/>
  <c r="M9" i="2"/>
  <c r="M12" i="2"/>
  <c r="L4" i="2"/>
  <c r="D4" i="2"/>
  <c r="C32" i="1"/>
  <c r="L137" i="2" l="1"/>
  <c r="L123" i="2"/>
  <c r="M76" i="2"/>
  <c r="M28" i="2"/>
  <c r="L48" i="2"/>
  <c r="L104" i="2"/>
  <c r="L122" i="2"/>
  <c r="M138" i="2"/>
  <c r="M122" i="2"/>
  <c r="M106" i="2"/>
  <c r="M90" i="2"/>
  <c r="M88" i="2"/>
  <c r="L60" i="2"/>
  <c r="M13" i="2"/>
  <c r="L124" i="2"/>
  <c r="M71" i="2"/>
  <c r="L41" i="2"/>
  <c r="L106" i="2"/>
  <c r="L90" i="2"/>
  <c r="L42" i="2"/>
  <c r="L120" i="2"/>
  <c r="M35" i="2"/>
  <c r="L81" i="2"/>
  <c r="L89" i="2"/>
  <c r="L110" i="2"/>
  <c r="M136" i="2"/>
  <c r="M24" i="2"/>
  <c r="M8" i="2"/>
  <c r="L140" i="2"/>
  <c r="L92" i="2"/>
  <c r="L76" i="2"/>
  <c r="M151" i="2"/>
  <c r="M135" i="2"/>
  <c r="M103" i="2"/>
  <c r="M87" i="2"/>
  <c r="M7" i="2"/>
  <c r="L143" i="2"/>
  <c r="L127" i="2"/>
  <c r="L111" i="2"/>
  <c r="L95" i="2"/>
  <c r="L79" i="2"/>
  <c r="L63" i="2"/>
  <c r="L47" i="2"/>
  <c r="L31" i="2"/>
  <c r="L15" i="2"/>
  <c r="L37" i="2"/>
  <c r="M142" i="2"/>
  <c r="M126" i="2"/>
  <c r="M110" i="2"/>
  <c r="M94" i="2"/>
  <c r="M78" i="2"/>
  <c r="M62" i="2"/>
  <c r="M46" i="2"/>
  <c r="M30" i="2"/>
  <c r="M14" i="2"/>
  <c r="L9" i="2"/>
  <c r="L154" i="2"/>
  <c r="L138" i="2"/>
  <c r="L74" i="2"/>
  <c r="L58" i="2"/>
  <c r="L26" i="2"/>
  <c r="L10" i="2"/>
  <c r="M125" i="2"/>
  <c r="M93" i="2"/>
  <c r="M61" i="2"/>
  <c r="M29" i="2"/>
  <c r="L45" i="2"/>
  <c r="L112" i="2"/>
  <c r="L44" i="2"/>
  <c r="M119" i="2"/>
  <c r="L85" i="2"/>
  <c r="M45" i="2"/>
  <c r="M148" i="2"/>
  <c r="M132" i="2"/>
  <c r="M52" i="2"/>
  <c r="L152" i="2"/>
  <c r="L72" i="2"/>
  <c r="L40" i="2"/>
  <c r="L24" i="2"/>
  <c r="L93" i="2"/>
  <c r="L65" i="2"/>
  <c r="L141" i="2"/>
  <c r="M152" i="2"/>
  <c r="L132" i="2"/>
  <c r="L52" i="2"/>
  <c r="L55" i="2"/>
  <c r="L39" i="2"/>
  <c r="M182" i="2"/>
  <c r="M72" i="2"/>
  <c r="L108" i="2"/>
  <c r="L12" i="2"/>
  <c r="M39" i="2"/>
  <c r="L105" i="2"/>
  <c r="M56" i="2"/>
  <c r="M55" i="2"/>
  <c r="L109" i="2"/>
  <c r="L97" i="2"/>
  <c r="L153" i="2"/>
  <c r="M109" i="2"/>
  <c r="M77" i="2"/>
  <c r="M120" i="2"/>
  <c r="M40" i="2"/>
  <c r="L28" i="2"/>
  <c r="M23" i="2"/>
  <c r="M141" i="2"/>
  <c r="L161" i="2"/>
  <c r="L169" i="2"/>
  <c r="L113" i="2"/>
  <c r="M168" i="2"/>
  <c r="L172" i="2"/>
  <c r="M180" i="2"/>
  <c r="L184" i="2"/>
  <c r="L168" i="2"/>
  <c r="L181" i="2"/>
  <c r="M184" i="2"/>
  <c r="M173" i="2"/>
  <c r="M112" i="2"/>
  <c r="L180" i="2"/>
  <c r="M181" i="2"/>
  <c r="M183" i="2"/>
  <c r="L179" i="2"/>
  <c r="M178" i="2"/>
  <c r="M114" i="2"/>
  <c r="L174" i="2"/>
  <c r="M113" i="2"/>
  <c r="M4" i="2"/>
  <c r="M500" i="1"/>
  <c r="M499" i="1"/>
  <c r="M498" i="1"/>
  <c r="M497" i="1"/>
  <c r="M496" i="1"/>
  <c r="M495" i="1"/>
  <c r="M494" i="1"/>
  <c r="M493" i="1"/>
  <c r="M492" i="1"/>
  <c r="M491" i="1"/>
  <c r="M490" i="1"/>
  <c r="M489" i="1"/>
  <c r="M488" i="1"/>
  <c r="M487" i="1"/>
  <c r="M486" i="1"/>
  <c r="M485" i="1"/>
  <c r="M484" i="1"/>
  <c r="M483" i="1"/>
  <c r="M482" i="1"/>
  <c r="M481" i="1"/>
  <c r="M480" i="1"/>
  <c r="M479" i="1"/>
  <c r="M478" i="1"/>
  <c r="M477" i="1"/>
  <c r="M476" i="1"/>
  <c r="M475" i="1"/>
  <c r="M474" i="1"/>
  <c r="M473" i="1"/>
  <c r="M472" i="1"/>
  <c r="M471" i="1"/>
  <c r="M470" i="1"/>
  <c r="M469" i="1"/>
  <c r="M468" i="1"/>
  <c r="M467" i="1"/>
  <c r="M466" i="1"/>
  <c r="M465" i="1"/>
  <c r="M464" i="1"/>
  <c r="M463" i="1"/>
  <c r="M462" i="1"/>
  <c r="M461" i="1"/>
  <c r="M460" i="1"/>
  <c r="M459" i="1"/>
  <c r="M458" i="1"/>
  <c r="M457" i="1"/>
  <c r="M456" i="1"/>
  <c r="M455" i="1"/>
  <c r="M454" i="1"/>
  <c r="M453" i="1"/>
  <c r="M452" i="1"/>
  <c r="M451" i="1"/>
  <c r="M450" i="1"/>
  <c r="M449" i="1"/>
  <c r="M448" i="1"/>
  <c r="M447" i="1"/>
  <c r="M446" i="1"/>
  <c r="M445" i="1"/>
  <c r="M444" i="1"/>
  <c r="M443" i="1"/>
  <c r="M442" i="1"/>
  <c r="M441" i="1"/>
  <c r="M440" i="1"/>
  <c r="M439" i="1"/>
  <c r="M438" i="1"/>
  <c r="M437" i="1"/>
  <c r="M436" i="1"/>
  <c r="M435" i="1"/>
  <c r="M434" i="1"/>
  <c r="M433" i="1"/>
  <c r="M432" i="1"/>
  <c r="M431" i="1"/>
  <c r="M430" i="1"/>
  <c r="M429" i="1"/>
  <c r="M428" i="1"/>
  <c r="M427" i="1"/>
  <c r="M426" i="1"/>
  <c r="M425" i="1"/>
  <c r="M424" i="1"/>
  <c r="M423" i="1"/>
  <c r="M422" i="1"/>
  <c r="M421" i="1"/>
  <c r="M420" i="1"/>
  <c r="M419" i="1"/>
  <c r="M418" i="1"/>
  <c r="M417" i="1"/>
  <c r="M416" i="1"/>
  <c r="M415" i="1"/>
  <c r="M414" i="1"/>
  <c r="M413" i="1"/>
  <c r="M412" i="1"/>
  <c r="M411" i="1"/>
  <c r="M410" i="1"/>
  <c r="M409" i="1"/>
  <c r="M408" i="1"/>
  <c r="M407" i="1"/>
  <c r="M406" i="1"/>
  <c r="M405" i="1"/>
  <c r="M404" i="1"/>
  <c r="M403" i="1"/>
  <c r="M402" i="1"/>
  <c r="M401" i="1"/>
  <c r="M400" i="1"/>
  <c r="M399" i="1"/>
  <c r="M398" i="1"/>
  <c r="M397" i="1"/>
  <c r="M396" i="1"/>
  <c r="M395" i="1"/>
  <c r="M394" i="1"/>
  <c r="M393" i="1"/>
  <c r="M392" i="1"/>
  <c r="M391" i="1"/>
  <c r="M390" i="1"/>
  <c r="M389" i="1"/>
  <c r="M388" i="1"/>
  <c r="M387" i="1"/>
  <c r="M386" i="1"/>
  <c r="M385" i="1"/>
  <c r="M384" i="1"/>
  <c r="M383" i="1"/>
  <c r="M382" i="1"/>
  <c r="M381" i="1"/>
  <c r="M380" i="1"/>
  <c r="M379" i="1"/>
  <c r="M378" i="1"/>
  <c r="M377" i="1"/>
  <c r="M376" i="1"/>
  <c r="M375" i="1"/>
  <c r="M374" i="1"/>
  <c r="M373" i="1"/>
  <c r="M372" i="1"/>
  <c r="M371" i="1"/>
  <c r="M370" i="1"/>
  <c r="M369" i="1"/>
  <c r="M368" i="1"/>
  <c r="M367" i="1"/>
  <c r="M366" i="1"/>
  <c r="M365" i="1"/>
  <c r="M364" i="1"/>
  <c r="M363" i="1"/>
  <c r="M362" i="1"/>
  <c r="M361" i="1"/>
  <c r="M360" i="1"/>
  <c r="M359" i="1"/>
  <c r="M358" i="1"/>
  <c r="M357" i="1"/>
  <c r="M356" i="1"/>
  <c r="M355" i="1"/>
  <c r="M354" i="1"/>
  <c r="M353" i="1"/>
  <c r="M352" i="1"/>
  <c r="M351" i="1"/>
  <c r="M350" i="1"/>
  <c r="M349" i="1"/>
  <c r="M348" i="1"/>
  <c r="M347" i="1"/>
  <c r="M346" i="1"/>
  <c r="M345" i="1"/>
  <c r="M344" i="1"/>
  <c r="M343" i="1"/>
  <c r="M342" i="1"/>
  <c r="M341" i="1"/>
  <c r="M340" i="1"/>
  <c r="M339" i="1"/>
  <c r="M338" i="1"/>
  <c r="M337" i="1"/>
  <c r="M336" i="1"/>
  <c r="M335" i="1"/>
  <c r="M334" i="1"/>
  <c r="M333" i="1"/>
  <c r="M332" i="1"/>
  <c r="M331" i="1"/>
  <c r="M330" i="1"/>
  <c r="M329" i="1"/>
  <c r="M328" i="1"/>
  <c r="M327" i="1"/>
  <c r="M326" i="1"/>
  <c r="M325" i="1"/>
  <c r="M324" i="1"/>
  <c r="M323" i="1"/>
  <c r="M322" i="1"/>
  <c r="M321" i="1"/>
  <c r="M320" i="1"/>
  <c r="M319" i="1"/>
  <c r="M318" i="1"/>
  <c r="M317" i="1"/>
  <c r="M316" i="1"/>
  <c r="M315" i="1"/>
  <c r="M314" i="1"/>
  <c r="M313" i="1"/>
  <c r="M312" i="1"/>
  <c r="M311" i="1"/>
  <c r="M310" i="1"/>
  <c r="M309" i="1"/>
  <c r="M308" i="1"/>
  <c r="M307" i="1"/>
  <c r="M306" i="1"/>
  <c r="M305"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4"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L456" i="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L346" i="1"/>
  <c r="L345" i="1"/>
  <c r="L344" i="1"/>
  <c r="L343" i="1"/>
  <c r="L342" i="1"/>
  <c r="L341" i="1"/>
  <c r="L340" i="1"/>
  <c r="L339" i="1"/>
  <c r="L338" i="1"/>
  <c r="L337" i="1"/>
  <c r="L336" i="1"/>
  <c r="L335" i="1"/>
  <c r="L334" i="1"/>
  <c r="L333" i="1"/>
  <c r="L332" i="1"/>
  <c r="L331" i="1"/>
  <c r="L330" i="1"/>
  <c r="L329" i="1"/>
  <c r="L328" i="1"/>
  <c r="L327" i="1"/>
  <c r="L326" i="1"/>
  <c r="L325" i="1"/>
  <c r="L324" i="1"/>
  <c r="L323" i="1"/>
  <c r="L322" i="1"/>
  <c r="L321" i="1"/>
  <c r="L320" i="1"/>
  <c r="L319" i="1"/>
  <c r="L318" i="1"/>
  <c r="L317" i="1"/>
  <c r="L316" i="1"/>
  <c r="L315" i="1"/>
  <c r="L314" i="1"/>
  <c r="L313" i="1"/>
  <c r="L312" i="1"/>
  <c r="L311" i="1"/>
  <c r="L310" i="1"/>
  <c r="L309" i="1"/>
  <c r="L308" i="1"/>
  <c r="L307" i="1"/>
  <c r="L306" i="1"/>
  <c r="L305" i="1"/>
  <c r="L304" i="1"/>
  <c r="L303" i="1"/>
  <c r="L302" i="1"/>
  <c r="L301" i="1"/>
  <c r="L300" i="1"/>
  <c r="L299" i="1"/>
  <c r="L298" i="1"/>
  <c r="L297" i="1"/>
  <c r="L296" i="1"/>
  <c r="L295" i="1"/>
  <c r="L294" i="1"/>
  <c r="L293" i="1"/>
  <c r="L292" i="1"/>
  <c r="L291" i="1"/>
  <c r="L290" i="1"/>
  <c r="L289" i="1"/>
  <c r="L288" i="1"/>
  <c r="L287" i="1"/>
  <c r="L286" i="1"/>
  <c r="L285" i="1"/>
  <c r="L284" i="1"/>
  <c r="L283" i="1"/>
  <c r="L282" i="1"/>
  <c r="L281" i="1"/>
  <c r="L280" i="1"/>
  <c r="L279" i="1"/>
  <c r="L278" i="1"/>
  <c r="L277" i="1"/>
  <c r="L276" i="1"/>
  <c r="L275" i="1"/>
  <c r="L274" i="1"/>
  <c r="L273" i="1"/>
  <c r="L272" i="1"/>
  <c r="L271" i="1"/>
  <c r="L270" i="1"/>
  <c r="L269" i="1"/>
  <c r="L268" i="1"/>
  <c r="L267" i="1"/>
  <c r="L266" i="1"/>
  <c r="L265" i="1"/>
  <c r="L264" i="1"/>
  <c r="L263" i="1"/>
  <c r="L262" i="1"/>
  <c r="L261" i="1"/>
  <c r="L260" i="1"/>
  <c r="L259" i="1"/>
  <c r="L258" i="1"/>
  <c r="L257" i="1"/>
  <c r="L256" i="1"/>
  <c r="L255" i="1"/>
  <c r="L254" i="1"/>
  <c r="L253" i="1"/>
  <c r="L252" i="1"/>
  <c r="L251" i="1"/>
  <c r="L250" i="1"/>
  <c r="L249" i="1"/>
  <c r="L248" i="1"/>
  <c r="L247" i="1"/>
  <c r="L246" i="1"/>
  <c r="L245" i="1"/>
  <c r="L244" i="1"/>
  <c r="L243" i="1"/>
  <c r="L242" i="1"/>
  <c r="L241" i="1"/>
  <c r="L240" i="1"/>
  <c r="L239" i="1"/>
  <c r="L238" i="1"/>
  <c r="L237" i="1"/>
  <c r="L236" i="1"/>
  <c r="L235" i="1"/>
  <c r="L234" i="1"/>
  <c r="L233" i="1"/>
  <c r="L232" i="1"/>
  <c r="L231" i="1"/>
  <c r="L230" i="1"/>
  <c r="L229" i="1"/>
  <c r="L228" i="1"/>
  <c r="L227" i="1"/>
  <c r="L226" i="1"/>
  <c r="L225" i="1"/>
  <c r="L224" i="1"/>
  <c r="L223" i="1"/>
  <c r="L222" i="1"/>
  <c r="L221" i="1"/>
  <c r="L220" i="1"/>
  <c r="L219" i="1"/>
  <c r="L218" i="1"/>
  <c r="L217" i="1"/>
  <c r="L216" i="1"/>
  <c r="L215" i="1"/>
  <c r="L214" i="1"/>
  <c r="L213" i="1"/>
  <c r="L212" i="1"/>
  <c r="L211" i="1"/>
  <c r="L210" i="1"/>
  <c r="L209" i="1"/>
  <c r="L208" i="1"/>
  <c r="L207" i="1"/>
  <c r="L206" i="1"/>
  <c r="L205" i="1"/>
  <c r="L204" i="1"/>
  <c r="L203" i="1"/>
  <c r="L202" i="1"/>
  <c r="L201" i="1"/>
  <c r="L200" i="1"/>
  <c r="L199" i="1"/>
  <c r="L198" i="1"/>
  <c r="L197" i="1"/>
  <c r="L196" i="1"/>
  <c r="L195" i="1"/>
  <c r="L194" i="1"/>
  <c r="L193" i="1"/>
  <c r="L192" i="1"/>
  <c r="L191" i="1"/>
  <c r="L190" i="1"/>
  <c r="L189" i="1"/>
  <c r="L188" i="1"/>
  <c r="L187" i="1"/>
  <c r="L186" i="1"/>
  <c r="L185" i="1"/>
  <c r="L184" i="1"/>
  <c r="L183" i="1"/>
  <c r="L182" i="1"/>
  <c r="L181" i="1"/>
  <c r="L180" i="1"/>
  <c r="L179" i="1"/>
  <c r="L178" i="1"/>
  <c r="L177" i="1"/>
  <c r="L176" i="1"/>
  <c r="L175" i="1"/>
  <c r="L174" i="1"/>
  <c r="L173" i="1"/>
  <c r="L172" i="1"/>
  <c r="L171" i="1"/>
  <c r="L170" i="1"/>
  <c r="L169" i="1"/>
  <c r="L168" i="1"/>
  <c r="L167" i="1"/>
  <c r="L166" i="1"/>
  <c r="L165" i="1"/>
  <c r="L164" i="1"/>
  <c r="L163" i="1"/>
  <c r="L162" i="1"/>
  <c r="L161" i="1"/>
  <c r="L160" i="1"/>
  <c r="L159" i="1"/>
  <c r="L158" i="1"/>
  <c r="L157" i="1"/>
  <c r="L156" i="1"/>
  <c r="L155" i="1"/>
  <c r="L154" i="1"/>
  <c r="L153" i="1"/>
  <c r="L152" i="1"/>
  <c r="L151" i="1"/>
  <c r="L150" i="1"/>
  <c r="L149" i="1"/>
  <c r="L148" i="1"/>
  <c r="L147" i="1"/>
  <c r="L146" i="1"/>
  <c r="L145" i="1"/>
  <c r="L144" i="1"/>
  <c r="L143" i="1"/>
  <c r="L142" i="1"/>
  <c r="L141" i="1"/>
  <c r="L140" i="1"/>
  <c r="L139" i="1"/>
  <c r="L138" i="1"/>
  <c r="L137" i="1"/>
  <c r="L136" i="1"/>
  <c r="L135" i="1"/>
  <c r="L134" i="1"/>
  <c r="L133" i="1"/>
  <c r="L132" i="1"/>
  <c r="L131" i="1"/>
  <c r="L130" i="1"/>
  <c r="L129" i="1"/>
  <c r="L128" i="1"/>
  <c r="L127" i="1"/>
  <c r="L126" i="1"/>
  <c r="L125" i="1"/>
  <c r="L124" i="1"/>
  <c r="L123" i="1"/>
  <c r="L122" i="1"/>
  <c r="L121" i="1"/>
  <c r="L120" i="1"/>
  <c r="L119" i="1"/>
  <c r="L118" i="1"/>
  <c r="L117" i="1"/>
  <c r="L116" i="1"/>
  <c r="L115" i="1"/>
  <c r="L114" i="1"/>
  <c r="L113" i="1"/>
  <c r="L112" i="1"/>
  <c r="L111" i="1"/>
  <c r="L110" i="1"/>
  <c r="L109" i="1"/>
  <c r="L108" i="1"/>
  <c r="L107" i="1"/>
  <c r="L106" i="1"/>
  <c r="L105" i="1"/>
  <c r="L104" i="1"/>
  <c r="L103" i="1"/>
  <c r="L102" i="1"/>
  <c r="L101" i="1"/>
  <c r="L100" i="1"/>
  <c r="L99" i="1"/>
  <c r="L98" i="1"/>
  <c r="L97" i="1"/>
  <c r="L96" i="1"/>
  <c r="L95" i="1"/>
  <c r="L94" i="1"/>
  <c r="L93" i="1"/>
  <c r="L92" i="1"/>
  <c r="L91" i="1"/>
  <c r="L90" i="1"/>
  <c r="L89" i="1"/>
  <c r="L88" i="1"/>
  <c r="L87" i="1"/>
  <c r="L86" i="1"/>
  <c r="L85" i="1"/>
  <c r="L84" i="1"/>
  <c r="L83" i="1"/>
  <c r="L82" i="1"/>
  <c r="L81" i="1"/>
  <c r="L80" i="1"/>
  <c r="L79" i="1"/>
  <c r="L78" i="1"/>
  <c r="L77" i="1"/>
  <c r="L76" i="1"/>
  <c r="L75" i="1"/>
  <c r="L74" i="1"/>
  <c r="L73" i="1"/>
  <c r="L72" i="1"/>
  <c r="L71" i="1"/>
  <c r="L70" i="1"/>
  <c r="L69" i="1"/>
  <c r="L68" i="1"/>
  <c r="L67" i="1"/>
  <c r="L66" i="1"/>
  <c r="L65" i="1"/>
  <c r="L64" i="1"/>
  <c r="L63" i="1"/>
  <c r="L62" i="1"/>
  <c r="L61" i="1"/>
  <c r="L60" i="1"/>
  <c r="L59" i="1"/>
  <c r="L58" i="1"/>
  <c r="L57" i="1"/>
  <c r="L56" i="1"/>
  <c r="L55" i="1"/>
  <c r="L54" i="1"/>
  <c r="L53" i="1"/>
  <c r="L52" i="1"/>
  <c r="L51" i="1"/>
  <c r="L50" i="1"/>
  <c r="L49" i="1"/>
  <c r="L48" i="1"/>
  <c r="L47" i="1"/>
  <c r="L46" i="1"/>
  <c r="L45" i="1"/>
  <c r="L44" i="1"/>
  <c r="L43" i="1"/>
  <c r="L42" i="1"/>
  <c r="L41" i="1"/>
  <c r="L40" i="1"/>
  <c r="L39" i="1"/>
  <c r="L38" i="1"/>
  <c r="L37" i="1"/>
  <c r="L36" i="1"/>
  <c r="L35" i="1"/>
  <c r="L34" i="1"/>
  <c r="L33" i="1"/>
  <c r="L32" i="1"/>
  <c r="L31" i="1"/>
  <c r="L30" i="1"/>
  <c r="L29" i="1"/>
  <c r="L28" i="1"/>
  <c r="L27" i="1"/>
  <c r="L26" i="1"/>
  <c r="L25" i="1"/>
  <c r="L24" i="1"/>
  <c r="L23" i="1"/>
  <c r="L22" i="1"/>
  <c r="L21" i="1"/>
  <c r="L20" i="1"/>
  <c r="L19" i="1"/>
  <c r="L18" i="1"/>
  <c r="L17" i="1"/>
  <c r="L16" i="1"/>
  <c r="L15" i="1"/>
  <c r="L14" i="1"/>
  <c r="L13" i="1"/>
  <c r="L12" i="1"/>
  <c r="L11" i="1"/>
  <c r="L10" i="1"/>
  <c r="L9" i="1"/>
  <c r="L8" i="1"/>
  <c r="L7" i="1"/>
  <c r="L6" i="1"/>
  <c r="L5" i="1"/>
  <c r="L4" i="1"/>
  <c r="L3" i="1"/>
  <c r="L2" i="1"/>
  <c r="K500" i="1"/>
  <c r="K499" i="1"/>
  <c r="K498" i="1"/>
  <c r="K497" i="1"/>
  <c r="K496" i="1"/>
  <c r="K495" i="1"/>
  <c r="K494" i="1"/>
  <c r="K493" i="1"/>
  <c r="K492" i="1"/>
  <c r="K491" i="1"/>
  <c r="K490" i="1"/>
  <c r="K489" i="1"/>
  <c r="K488" i="1"/>
  <c r="K487" i="1"/>
  <c r="K486" i="1"/>
  <c r="K485" i="1"/>
  <c r="K484" i="1"/>
  <c r="K483" i="1"/>
  <c r="K482" i="1"/>
  <c r="K481" i="1"/>
  <c r="K480" i="1"/>
  <c r="K479" i="1"/>
  <c r="K478" i="1"/>
  <c r="K477" i="1"/>
  <c r="K476" i="1"/>
  <c r="K475" i="1"/>
  <c r="K474" i="1"/>
  <c r="K473" i="1"/>
  <c r="K472" i="1"/>
  <c r="K471" i="1"/>
  <c r="K470" i="1"/>
  <c r="K469" i="1"/>
  <c r="K468" i="1"/>
  <c r="K467" i="1"/>
  <c r="K466" i="1"/>
  <c r="K465" i="1"/>
  <c r="K464" i="1"/>
  <c r="K463" i="1"/>
  <c r="K462" i="1"/>
  <c r="K461" i="1"/>
  <c r="K460" i="1"/>
  <c r="K459" i="1"/>
  <c r="K458" i="1"/>
  <c r="K457" i="1"/>
  <c r="K456" i="1"/>
  <c r="K455" i="1"/>
  <c r="K454" i="1"/>
  <c r="K453" i="1"/>
  <c r="K452" i="1"/>
  <c r="K451" i="1"/>
  <c r="K450" i="1"/>
  <c r="K449" i="1"/>
  <c r="K448" i="1"/>
  <c r="K447" i="1"/>
  <c r="K446" i="1"/>
  <c r="K445" i="1"/>
  <c r="K444" i="1"/>
  <c r="K443" i="1"/>
  <c r="K442" i="1"/>
  <c r="K441" i="1"/>
  <c r="K440" i="1"/>
  <c r="K439" i="1"/>
  <c r="K438" i="1"/>
  <c r="K437" i="1"/>
  <c r="K436" i="1"/>
  <c r="K435" i="1"/>
  <c r="K434" i="1"/>
  <c r="K433" i="1"/>
  <c r="K432" i="1"/>
  <c r="K431" i="1"/>
  <c r="K430" i="1"/>
  <c r="K429" i="1"/>
  <c r="K428" i="1"/>
  <c r="K427" i="1"/>
  <c r="K426" i="1"/>
  <c r="K425" i="1"/>
  <c r="K424" i="1"/>
  <c r="K423" i="1"/>
  <c r="K422" i="1"/>
  <c r="K421" i="1"/>
  <c r="K420" i="1"/>
  <c r="K419" i="1"/>
  <c r="K418" i="1"/>
  <c r="K417" i="1"/>
  <c r="K416" i="1"/>
  <c r="K415" i="1"/>
  <c r="K414" i="1"/>
  <c r="K413" i="1"/>
  <c r="K412" i="1"/>
  <c r="K411" i="1"/>
  <c r="K410" i="1"/>
  <c r="K409" i="1"/>
  <c r="K408" i="1"/>
  <c r="K407" i="1"/>
  <c r="K406" i="1"/>
  <c r="K405" i="1"/>
  <c r="K404" i="1"/>
  <c r="K403" i="1"/>
  <c r="K402" i="1"/>
  <c r="K401" i="1"/>
  <c r="K400" i="1"/>
  <c r="K399" i="1"/>
  <c r="K398" i="1"/>
  <c r="K397" i="1"/>
  <c r="K396" i="1"/>
  <c r="K395" i="1"/>
  <c r="K394" i="1"/>
  <c r="K393" i="1"/>
  <c r="K392" i="1"/>
  <c r="K391" i="1"/>
  <c r="K390" i="1"/>
  <c r="K389" i="1"/>
  <c r="K388" i="1"/>
  <c r="K387" i="1"/>
  <c r="K386" i="1"/>
  <c r="K385" i="1"/>
  <c r="K384" i="1"/>
  <c r="K383" i="1"/>
  <c r="K382" i="1"/>
  <c r="K381" i="1"/>
  <c r="K380" i="1"/>
  <c r="K379" i="1"/>
  <c r="K378" i="1"/>
  <c r="K377" i="1"/>
  <c r="K376" i="1"/>
  <c r="K375" i="1"/>
  <c r="K374" i="1"/>
  <c r="K373" i="1"/>
  <c r="K372" i="1"/>
  <c r="K371" i="1"/>
  <c r="K370" i="1"/>
  <c r="K369" i="1"/>
  <c r="K368" i="1"/>
  <c r="K367" i="1"/>
  <c r="K366" i="1"/>
  <c r="K365" i="1"/>
  <c r="K364" i="1"/>
  <c r="K363" i="1"/>
  <c r="K362" i="1"/>
  <c r="K361" i="1"/>
  <c r="K360" i="1"/>
  <c r="K359" i="1"/>
  <c r="K358" i="1"/>
  <c r="K357" i="1"/>
  <c r="K356" i="1"/>
  <c r="K355" i="1"/>
  <c r="K354" i="1"/>
  <c r="K353" i="1"/>
  <c r="K352" i="1"/>
  <c r="K351" i="1"/>
  <c r="K350" i="1"/>
  <c r="K349" i="1"/>
  <c r="K348" i="1"/>
  <c r="K347" i="1"/>
  <c r="K346" i="1"/>
  <c r="K345" i="1"/>
  <c r="K344" i="1"/>
  <c r="K343" i="1"/>
  <c r="K342" i="1"/>
  <c r="K341" i="1"/>
  <c r="K340" i="1"/>
  <c r="K339" i="1"/>
  <c r="K338" i="1"/>
  <c r="K337" i="1"/>
  <c r="K336" i="1"/>
  <c r="K335" i="1"/>
  <c r="K334" i="1"/>
  <c r="K333" i="1"/>
  <c r="K332" i="1"/>
  <c r="K331" i="1"/>
  <c r="K330" i="1"/>
  <c r="K329" i="1"/>
  <c r="K328" i="1"/>
  <c r="K327" i="1"/>
  <c r="K326" i="1"/>
  <c r="K325" i="1"/>
  <c r="K324" i="1"/>
  <c r="K323" i="1"/>
  <c r="K322" i="1"/>
  <c r="K321" i="1"/>
  <c r="K320" i="1"/>
  <c r="K319" i="1"/>
  <c r="K318" i="1"/>
  <c r="K317" i="1"/>
  <c r="K316" i="1"/>
  <c r="K315" i="1"/>
  <c r="K314" i="1"/>
  <c r="K313" i="1"/>
  <c r="K312" i="1"/>
  <c r="K311" i="1"/>
  <c r="K310" i="1"/>
  <c r="K309" i="1"/>
  <c r="K308" i="1"/>
  <c r="K307" i="1"/>
  <c r="K306" i="1"/>
  <c r="K305" i="1"/>
  <c r="K304" i="1"/>
  <c r="K303" i="1"/>
  <c r="K302" i="1"/>
  <c r="K301" i="1"/>
  <c r="K300" i="1"/>
  <c r="K299" i="1"/>
  <c r="K298" i="1"/>
  <c r="K297" i="1"/>
  <c r="K296" i="1"/>
  <c r="K295" i="1"/>
  <c r="K294" i="1"/>
  <c r="K293" i="1"/>
  <c r="K292" i="1"/>
  <c r="K291" i="1"/>
  <c r="K290" i="1"/>
  <c r="K289" i="1"/>
  <c r="K288" i="1"/>
  <c r="K287" i="1"/>
  <c r="K286" i="1"/>
  <c r="K285" i="1"/>
  <c r="K284" i="1"/>
  <c r="K283" i="1"/>
  <c r="K282" i="1"/>
  <c r="K281" i="1"/>
  <c r="K280" i="1"/>
  <c r="K279" i="1"/>
  <c r="K278" i="1"/>
  <c r="K277" i="1"/>
  <c r="K276" i="1"/>
  <c r="K275" i="1"/>
  <c r="K274" i="1"/>
  <c r="K273" i="1"/>
  <c r="K272" i="1"/>
  <c r="K271" i="1"/>
  <c r="K270" i="1"/>
  <c r="K269" i="1"/>
  <c r="K268" i="1"/>
  <c r="K267" i="1"/>
  <c r="K266" i="1"/>
  <c r="K265" i="1"/>
  <c r="K264" i="1"/>
  <c r="K263" i="1"/>
  <c r="K262" i="1"/>
  <c r="K261" i="1"/>
  <c r="K260" i="1"/>
  <c r="K259" i="1"/>
  <c r="K258" i="1"/>
  <c r="K257" i="1"/>
  <c r="K256" i="1"/>
  <c r="K255" i="1"/>
  <c r="K254" i="1"/>
  <c r="K253" i="1"/>
  <c r="K252" i="1"/>
  <c r="K251" i="1"/>
  <c r="K250" i="1"/>
  <c r="K249" i="1"/>
  <c r="K248" i="1"/>
  <c r="K247" i="1"/>
  <c r="K246" i="1"/>
  <c r="K245" i="1"/>
  <c r="K244" i="1"/>
  <c r="K243" i="1"/>
  <c r="K242" i="1"/>
  <c r="K241" i="1"/>
  <c r="K240" i="1"/>
  <c r="K239" i="1"/>
  <c r="K238" i="1"/>
  <c r="K237" i="1"/>
  <c r="K236" i="1"/>
  <c r="K235" i="1"/>
  <c r="K234" i="1"/>
  <c r="K233" i="1"/>
  <c r="K232" i="1"/>
  <c r="K231" i="1"/>
  <c r="K230" i="1"/>
  <c r="K229" i="1"/>
  <c r="K228" i="1"/>
  <c r="K227" i="1"/>
  <c r="K226" i="1"/>
  <c r="K225" i="1"/>
  <c r="K224" i="1"/>
  <c r="K223" i="1"/>
  <c r="K222" i="1"/>
  <c r="K221" i="1"/>
  <c r="K220" i="1"/>
  <c r="K219" i="1"/>
  <c r="K218" i="1"/>
  <c r="K217" i="1"/>
  <c r="K216" i="1"/>
  <c r="K215" i="1"/>
  <c r="K214" i="1"/>
  <c r="K213" i="1"/>
  <c r="K212" i="1"/>
  <c r="K211" i="1"/>
  <c r="K210" i="1"/>
  <c r="K209" i="1"/>
  <c r="K208" i="1"/>
  <c r="K207" i="1"/>
  <c r="K206" i="1"/>
  <c r="K205" i="1"/>
  <c r="K204" i="1"/>
  <c r="K203" i="1"/>
  <c r="K202" i="1"/>
  <c r="K201" i="1"/>
  <c r="K200" i="1"/>
  <c r="K199" i="1"/>
  <c r="K198" i="1"/>
  <c r="K197" i="1"/>
  <c r="K196" i="1"/>
  <c r="K195" i="1"/>
  <c r="K194" i="1"/>
  <c r="K193" i="1"/>
  <c r="K192" i="1"/>
  <c r="K191" i="1"/>
  <c r="K190" i="1"/>
  <c r="K189" i="1"/>
  <c r="K188" i="1"/>
  <c r="K187" i="1"/>
  <c r="K186" i="1"/>
  <c r="K185" i="1"/>
  <c r="K184" i="1"/>
  <c r="K183" i="1"/>
  <c r="K182" i="1"/>
  <c r="K181" i="1"/>
  <c r="K180" i="1"/>
  <c r="K179" i="1"/>
  <c r="K178" i="1"/>
  <c r="K177" i="1"/>
  <c r="K176" i="1"/>
  <c r="K175" i="1"/>
  <c r="K174" i="1"/>
  <c r="K173" i="1"/>
  <c r="K172" i="1"/>
  <c r="K171" i="1"/>
  <c r="K170" i="1"/>
  <c r="K169" i="1"/>
  <c r="K168" i="1"/>
  <c r="K167" i="1"/>
  <c r="K166" i="1"/>
  <c r="K165" i="1"/>
  <c r="K164" i="1"/>
  <c r="K163" i="1"/>
  <c r="K162" i="1"/>
  <c r="K161" i="1"/>
  <c r="K160" i="1"/>
  <c r="K159" i="1"/>
  <c r="K158" i="1"/>
  <c r="K157" i="1"/>
  <c r="K156" i="1"/>
  <c r="K155" i="1"/>
  <c r="K154" i="1"/>
  <c r="K153" i="1"/>
  <c r="K152" i="1"/>
  <c r="K151" i="1"/>
  <c r="K150" i="1"/>
  <c r="K149" i="1"/>
  <c r="K148" i="1"/>
  <c r="K147" i="1"/>
  <c r="K146" i="1"/>
  <c r="K145" i="1"/>
  <c r="K144" i="1"/>
  <c r="K143" i="1"/>
  <c r="K142" i="1"/>
  <c r="K141" i="1"/>
  <c r="K140" i="1"/>
  <c r="K139" i="1"/>
  <c r="K138" i="1"/>
  <c r="K137" i="1"/>
  <c r="K136" i="1"/>
  <c r="K135" i="1"/>
  <c r="K134" i="1"/>
  <c r="K133" i="1"/>
  <c r="K132" i="1"/>
  <c r="K131" i="1"/>
  <c r="K130" i="1"/>
  <c r="K129" i="1"/>
  <c r="K128" i="1"/>
  <c r="K127" i="1"/>
  <c r="K126" i="1"/>
  <c r="K125" i="1"/>
  <c r="K124" i="1"/>
  <c r="K123" i="1"/>
  <c r="K122" i="1"/>
  <c r="K121" i="1"/>
  <c r="K120" i="1"/>
  <c r="K119" i="1"/>
  <c r="K118" i="1"/>
  <c r="K117" i="1"/>
  <c r="K116" i="1"/>
  <c r="K115" i="1"/>
  <c r="K114" i="1"/>
  <c r="K113" i="1"/>
  <c r="K112" i="1"/>
  <c r="K111" i="1"/>
  <c r="K110" i="1"/>
  <c r="K109" i="1"/>
  <c r="K108" i="1"/>
  <c r="K107" i="1"/>
  <c r="K106" i="1"/>
  <c r="K105" i="1"/>
  <c r="K104" i="1"/>
  <c r="K103" i="1"/>
  <c r="K102" i="1"/>
  <c r="K101" i="1"/>
  <c r="K100" i="1"/>
  <c r="K99" i="1"/>
  <c r="K98" i="1"/>
  <c r="K97" i="1"/>
  <c r="K96" i="1"/>
  <c r="K95" i="1"/>
  <c r="K94" i="1"/>
  <c r="K93" i="1"/>
  <c r="K92" i="1"/>
  <c r="K91" i="1"/>
  <c r="K90" i="1"/>
  <c r="K89" i="1"/>
  <c r="K88" i="1"/>
  <c r="K87" i="1"/>
  <c r="K86" i="1"/>
  <c r="K85" i="1"/>
  <c r="K84" i="1"/>
  <c r="K83" i="1"/>
  <c r="K82" i="1"/>
  <c r="K81" i="1"/>
  <c r="K80" i="1"/>
  <c r="K79" i="1"/>
  <c r="K78" i="1"/>
  <c r="K77" i="1"/>
  <c r="K76" i="1"/>
  <c r="K75" i="1"/>
  <c r="K74" i="1"/>
  <c r="K73" i="1"/>
  <c r="K72" i="1"/>
  <c r="K71" i="1"/>
  <c r="K70" i="1"/>
  <c r="K69" i="1"/>
  <c r="K68" i="1"/>
  <c r="K67" i="1"/>
  <c r="K66" i="1"/>
  <c r="K65" i="1"/>
  <c r="K64" i="1"/>
  <c r="K63" i="1"/>
  <c r="K62" i="1"/>
  <c r="K61" i="1"/>
  <c r="K60" i="1"/>
  <c r="K59" i="1"/>
  <c r="K58" i="1"/>
  <c r="K57" i="1"/>
  <c r="K56" i="1"/>
  <c r="K55" i="1"/>
  <c r="K54" i="1"/>
  <c r="K53" i="1"/>
  <c r="K52" i="1"/>
  <c r="K51" i="1"/>
  <c r="K50" i="1"/>
  <c r="K49" i="1"/>
  <c r="K48" i="1"/>
  <c r="K47" i="1"/>
  <c r="K46" i="1"/>
  <c r="K45" i="1"/>
  <c r="K44" i="1"/>
  <c r="K43" i="1"/>
  <c r="K42" i="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K2" i="1"/>
  <c r="J500" i="1"/>
  <c r="J499" i="1"/>
  <c r="J498" i="1"/>
  <c r="J497" i="1"/>
  <c r="J496" i="1"/>
  <c r="J495" i="1"/>
  <c r="J494" i="1"/>
  <c r="J493" i="1"/>
  <c r="J492" i="1"/>
  <c r="J491" i="1"/>
  <c r="J490" i="1"/>
  <c r="J489" i="1"/>
  <c r="J488" i="1"/>
  <c r="J487" i="1"/>
  <c r="J486" i="1"/>
  <c r="J485" i="1"/>
  <c r="J484" i="1"/>
  <c r="J483" i="1"/>
  <c r="J482" i="1"/>
  <c r="J481" i="1"/>
  <c r="J480" i="1"/>
  <c r="J479" i="1"/>
  <c r="J478" i="1"/>
  <c r="J477" i="1"/>
  <c r="J476" i="1"/>
  <c r="J475" i="1"/>
  <c r="J474" i="1"/>
  <c r="J473" i="1"/>
  <c r="J472" i="1"/>
  <c r="J471" i="1"/>
  <c r="J470" i="1"/>
  <c r="J469" i="1"/>
  <c r="J468" i="1"/>
  <c r="J467" i="1"/>
  <c r="J466" i="1"/>
  <c r="J465" i="1"/>
  <c r="J464" i="1"/>
  <c r="J463" i="1"/>
  <c r="J462" i="1"/>
  <c r="J461" i="1"/>
  <c r="J460" i="1"/>
  <c r="J459" i="1"/>
  <c r="J458" i="1"/>
  <c r="J457" i="1"/>
  <c r="J456" i="1"/>
  <c r="J455" i="1"/>
  <c r="J454" i="1"/>
  <c r="J453" i="1"/>
  <c r="J452" i="1"/>
  <c r="J451" i="1"/>
  <c r="J450" i="1"/>
  <c r="J449" i="1"/>
  <c r="J448" i="1"/>
  <c r="J447" i="1"/>
  <c r="J446" i="1"/>
  <c r="J445" i="1"/>
  <c r="J444" i="1"/>
  <c r="J443" i="1"/>
  <c r="J442" i="1"/>
  <c r="J441" i="1"/>
  <c r="J440" i="1"/>
  <c r="J439" i="1"/>
  <c r="J438" i="1"/>
  <c r="J437" i="1"/>
  <c r="J436" i="1"/>
  <c r="J435" i="1"/>
  <c r="J434" i="1"/>
  <c r="J433" i="1"/>
  <c r="J432" i="1"/>
  <c r="J431" i="1"/>
  <c r="J430" i="1"/>
  <c r="J429" i="1"/>
  <c r="J428" i="1"/>
  <c r="J427" i="1"/>
  <c r="J426" i="1"/>
  <c r="J425" i="1"/>
  <c r="J424" i="1"/>
  <c r="J423" i="1"/>
  <c r="J422" i="1"/>
  <c r="J421" i="1"/>
  <c r="J420" i="1"/>
  <c r="J419" i="1"/>
  <c r="J418" i="1"/>
  <c r="J417" i="1"/>
  <c r="J416" i="1"/>
  <c r="J415" i="1"/>
  <c r="J414" i="1"/>
  <c r="J413" i="1"/>
  <c r="J412" i="1"/>
  <c r="J411" i="1"/>
  <c r="J410" i="1"/>
  <c r="J409" i="1"/>
  <c r="J408" i="1"/>
  <c r="J407" i="1"/>
  <c r="J406" i="1"/>
  <c r="J405" i="1"/>
  <c r="J404" i="1"/>
  <c r="J403" i="1"/>
  <c r="J402" i="1"/>
  <c r="J401" i="1"/>
  <c r="J400" i="1"/>
  <c r="J399" i="1"/>
  <c r="J398" i="1"/>
  <c r="J397" i="1"/>
  <c r="J396" i="1"/>
  <c r="J395" i="1"/>
  <c r="J394" i="1"/>
  <c r="J393" i="1"/>
  <c r="J392" i="1"/>
  <c r="J391" i="1"/>
  <c r="J390" i="1"/>
  <c r="J389" i="1"/>
  <c r="J388" i="1"/>
  <c r="J387" i="1"/>
  <c r="J386" i="1"/>
  <c r="J385" i="1"/>
  <c r="J384" i="1"/>
  <c r="J383" i="1"/>
  <c r="J382" i="1"/>
  <c r="J381" i="1"/>
  <c r="J380" i="1"/>
  <c r="J379" i="1"/>
  <c r="J378" i="1"/>
  <c r="J377" i="1"/>
  <c r="J376" i="1"/>
  <c r="J375" i="1"/>
  <c r="J374" i="1"/>
  <c r="J373" i="1"/>
  <c r="J372" i="1"/>
  <c r="J371" i="1"/>
  <c r="J370" i="1"/>
  <c r="J369" i="1"/>
  <c r="J368" i="1"/>
  <c r="J367" i="1"/>
  <c r="J366" i="1"/>
  <c r="J365" i="1"/>
  <c r="J364" i="1"/>
  <c r="J363" i="1"/>
  <c r="J362" i="1"/>
  <c r="J361" i="1"/>
  <c r="J360" i="1"/>
  <c r="J359" i="1"/>
  <c r="J358" i="1"/>
  <c r="J357" i="1"/>
  <c r="J356" i="1"/>
  <c r="J355" i="1"/>
  <c r="J354" i="1"/>
  <c r="J353" i="1"/>
  <c r="J352" i="1"/>
  <c r="J351" i="1"/>
  <c r="J350" i="1"/>
  <c r="J349" i="1"/>
  <c r="J348" i="1"/>
  <c r="J347" i="1"/>
  <c r="J346" i="1"/>
  <c r="J345" i="1"/>
  <c r="J344" i="1"/>
  <c r="J343" i="1"/>
  <c r="J342" i="1"/>
  <c r="J341" i="1"/>
  <c r="J340" i="1"/>
  <c r="J339" i="1"/>
  <c r="J338" i="1"/>
  <c r="J337" i="1"/>
  <c r="J336" i="1"/>
  <c r="J335" i="1"/>
  <c r="J334" i="1"/>
  <c r="J333" i="1"/>
  <c r="J332" i="1"/>
  <c r="J331" i="1"/>
  <c r="J330" i="1"/>
  <c r="J329" i="1"/>
  <c r="J328" i="1"/>
  <c r="J327" i="1"/>
  <c r="J326" i="1"/>
  <c r="J325" i="1"/>
  <c r="J324" i="1"/>
  <c r="J323" i="1"/>
  <c r="J322" i="1"/>
  <c r="J321" i="1"/>
  <c r="J320" i="1"/>
  <c r="J319" i="1"/>
  <c r="J318" i="1"/>
  <c r="J317" i="1"/>
  <c r="J316" i="1"/>
  <c r="J315" i="1"/>
  <c r="J314" i="1"/>
  <c r="J313" i="1"/>
  <c r="J312" i="1"/>
  <c r="J311" i="1"/>
  <c r="J310" i="1"/>
  <c r="J309" i="1"/>
  <c r="J308" i="1"/>
  <c r="J307" i="1"/>
  <c r="J306" i="1"/>
  <c r="J305" i="1"/>
  <c r="J304" i="1"/>
  <c r="J303" i="1"/>
  <c r="J302" i="1"/>
  <c r="J301" i="1"/>
  <c r="J300" i="1"/>
  <c r="J299" i="1"/>
  <c r="J298" i="1"/>
  <c r="J297" i="1"/>
  <c r="J296" i="1"/>
  <c r="J295" i="1"/>
  <c r="J294" i="1"/>
  <c r="J293" i="1"/>
  <c r="J292" i="1"/>
  <c r="J291" i="1"/>
  <c r="J290" i="1"/>
  <c r="J289" i="1"/>
  <c r="J288" i="1"/>
  <c r="J287" i="1"/>
  <c r="J286" i="1"/>
  <c r="J285" i="1"/>
  <c r="J284" i="1"/>
  <c r="J283" i="1"/>
  <c r="J282" i="1"/>
  <c r="J281" i="1"/>
  <c r="J280" i="1"/>
  <c r="J279" i="1"/>
  <c r="J278" i="1"/>
  <c r="J277" i="1"/>
  <c r="J276" i="1"/>
  <c r="J275" i="1"/>
  <c r="J274" i="1"/>
  <c r="J273" i="1"/>
  <c r="J272" i="1"/>
  <c r="J271" i="1"/>
  <c r="J270" i="1"/>
  <c r="J269" i="1"/>
  <c r="J268" i="1"/>
  <c r="J267" i="1"/>
  <c r="J266" i="1"/>
  <c r="J265" i="1"/>
  <c r="J264" i="1"/>
  <c r="J263" i="1"/>
  <c r="J262" i="1"/>
  <c r="J261" i="1"/>
  <c r="J260" i="1"/>
  <c r="J259" i="1"/>
  <c r="J258" i="1"/>
  <c r="J257" i="1"/>
  <c r="J256" i="1"/>
  <c r="J255" i="1"/>
  <c r="J254" i="1"/>
  <c r="J253" i="1"/>
  <c r="J252" i="1"/>
  <c r="J251" i="1"/>
  <c r="J250" i="1"/>
  <c r="J249" i="1"/>
  <c r="J248" i="1"/>
  <c r="J247" i="1"/>
  <c r="J246" i="1"/>
  <c r="J245" i="1"/>
  <c r="J244" i="1"/>
  <c r="J243" i="1"/>
  <c r="J242" i="1"/>
  <c r="J241" i="1"/>
  <c r="J240" i="1"/>
  <c r="J239" i="1"/>
  <c r="J238" i="1"/>
  <c r="J237" i="1"/>
  <c r="J236" i="1"/>
  <c r="J235" i="1"/>
  <c r="J234" i="1"/>
  <c r="J233" i="1"/>
  <c r="J232" i="1"/>
  <c r="J231" i="1"/>
  <c r="J230" i="1"/>
  <c r="J229" i="1"/>
  <c r="J228" i="1"/>
  <c r="J227" i="1"/>
  <c r="J226" i="1"/>
  <c r="J225" i="1"/>
  <c r="J224" i="1"/>
  <c r="J223" i="1"/>
  <c r="J222" i="1"/>
  <c r="J221" i="1"/>
  <c r="J220" i="1"/>
  <c r="J219" i="1"/>
  <c r="J218" i="1"/>
  <c r="J217" i="1"/>
  <c r="J216" i="1"/>
  <c r="J215" i="1"/>
  <c r="J214" i="1"/>
  <c r="J213" i="1"/>
  <c r="J212" i="1"/>
  <c r="J211" i="1"/>
  <c r="J210" i="1"/>
  <c r="J209" i="1"/>
  <c r="J208" i="1"/>
  <c r="J207" i="1"/>
  <c r="J206" i="1"/>
  <c r="J205" i="1"/>
  <c r="J204" i="1"/>
  <c r="J203" i="1"/>
  <c r="J202" i="1"/>
  <c r="J201" i="1"/>
  <c r="J200" i="1"/>
  <c r="J199" i="1"/>
  <c r="J198" i="1"/>
  <c r="J197" i="1"/>
  <c r="J196" i="1"/>
  <c r="J195" i="1"/>
  <c r="J194" i="1"/>
  <c r="J193" i="1"/>
  <c r="J192" i="1"/>
  <c r="J191" i="1"/>
  <c r="J190" i="1"/>
  <c r="J189" i="1"/>
  <c r="J188" i="1"/>
  <c r="J187" i="1"/>
  <c r="J186" i="1"/>
  <c r="J185" i="1"/>
  <c r="J184" i="1"/>
  <c r="J183" i="1"/>
  <c r="J182" i="1"/>
  <c r="J181" i="1"/>
  <c r="J180" i="1"/>
  <c r="J179" i="1"/>
  <c r="J178" i="1"/>
  <c r="J177" i="1"/>
  <c r="J176" i="1"/>
  <c r="J175" i="1"/>
  <c r="J174" i="1"/>
  <c r="J173" i="1"/>
  <c r="J172" i="1"/>
  <c r="J171" i="1"/>
  <c r="J170" i="1"/>
  <c r="J169" i="1"/>
  <c r="J168" i="1"/>
  <c r="J167" i="1"/>
  <c r="J166" i="1"/>
  <c r="J165" i="1"/>
  <c r="J164" i="1"/>
  <c r="J163" i="1"/>
  <c r="J162" i="1"/>
  <c r="J161" i="1"/>
  <c r="J160" i="1"/>
  <c r="J159" i="1"/>
  <c r="J158" i="1"/>
  <c r="J157" i="1"/>
  <c r="J156" i="1"/>
  <c r="J155" i="1"/>
  <c r="J154" i="1"/>
  <c r="J153" i="1"/>
  <c r="J152" i="1"/>
  <c r="J151" i="1"/>
  <c r="J150" i="1"/>
  <c r="J149" i="1"/>
  <c r="J148" i="1"/>
  <c r="J147" i="1"/>
  <c r="J146" i="1"/>
  <c r="J145" i="1"/>
  <c r="J144" i="1"/>
  <c r="J143" i="1"/>
  <c r="J142" i="1"/>
  <c r="J141" i="1"/>
  <c r="J140" i="1"/>
  <c r="J139" i="1"/>
  <c r="J138" i="1"/>
  <c r="J137" i="1"/>
  <c r="J136" i="1"/>
  <c r="J135" i="1"/>
  <c r="J134" i="1"/>
  <c r="J133" i="1"/>
  <c r="J132" i="1"/>
  <c r="J131" i="1"/>
  <c r="J130" i="1"/>
  <c r="J129" i="1"/>
  <c r="J128" i="1"/>
  <c r="J127" i="1"/>
  <c r="J126" i="1"/>
  <c r="J125" i="1"/>
  <c r="J124" i="1"/>
  <c r="J123" i="1"/>
  <c r="J122" i="1"/>
  <c r="J121" i="1"/>
  <c r="J120" i="1"/>
  <c r="J119" i="1"/>
  <c r="J118" i="1"/>
  <c r="J117" i="1"/>
  <c r="J116" i="1"/>
  <c r="J115" i="1"/>
  <c r="J114" i="1"/>
  <c r="J113" i="1"/>
  <c r="J112" i="1"/>
  <c r="J111" i="1"/>
  <c r="J110" i="1"/>
  <c r="J109" i="1"/>
  <c r="J108" i="1"/>
  <c r="J107" i="1"/>
  <c r="J106" i="1"/>
  <c r="J105" i="1"/>
  <c r="J104" i="1"/>
  <c r="J103" i="1"/>
  <c r="J102" i="1"/>
  <c r="J101" i="1"/>
  <c r="J100" i="1"/>
  <c r="J99" i="1"/>
  <c r="J98" i="1"/>
  <c r="J97" i="1"/>
  <c r="J96" i="1"/>
  <c r="J95" i="1"/>
  <c r="J94" i="1"/>
  <c r="J93" i="1"/>
  <c r="J92" i="1"/>
  <c r="J91" i="1"/>
  <c r="J90" i="1"/>
  <c r="J89" i="1"/>
  <c r="J88" i="1"/>
  <c r="J87" i="1"/>
  <c r="J86" i="1"/>
  <c r="J85" i="1"/>
  <c r="J84" i="1"/>
  <c r="J83" i="1"/>
  <c r="J82" i="1"/>
  <c r="J81" i="1"/>
  <c r="J80" i="1"/>
  <c r="J79" i="1"/>
  <c r="J78" i="1"/>
  <c r="J77" i="1"/>
  <c r="J76" i="1"/>
  <c r="J75" i="1"/>
  <c r="J74" i="1"/>
  <c r="J73" i="1"/>
  <c r="J72" i="1"/>
  <c r="J71" i="1"/>
  <c r="J70" i="1"/>
  <c r="J69" i="1"/>
  <c r="J68" i="1"/>
  <c r="J67" i="1"/>
  <c r="J66" i="1"/>
  <c r="J65" i="1"/>
  <c r="J64" i="1"/>
  <c r="J63" i="1"/>
  <c r="J62" i="1"/>
  <c r="J61" i="1"/>
  <c r="J60" i="1"/>
  <c r="J59" i="1"/>
  <c r="J58" i="1"/>
  <c r="J57" i="1"/>
  <c r="J56" i="1"/>
  <c r="J55" i="1"/>
  <c r="J54" i="1"/>
  <c r="J53" i="1"/>
  <c r="J52" i="1"/>
  <c r="J51" i="1"/>
  <c r="J50" i="1"/>
  <c r="J49" i="1"/>
  <c r="J48" i="1"/>
  <c r="J47" i="1"/>
  <c r="J46" i="1"/>
  <c r="J45" i="1"/>
  <c r="J44" i="1"/>
  <c r="J43" i="1"/>
  <c r="J42" i="1"/>
  <c r="J41" i="1"/>
  <c r="J40" i="1"/>
  <c r="J39" i="1"/>
  <c r="J38" i="1"/>
  <c r="J37" i="1"/>
  <c r="J36" i="1"/>
  <c r="J35" i="1"/>
  <c r="J34" i="1"/>
  <c r="J33" i="1"/>
  <c r="J32" i="1"/>
  <c r="J31" i="1"/>
  <c r="J30" i="1"/>
  <c r="J29" i="1"/>
  <c r="J28" i="1"/>
  <c r="J27" i="1"/>
  <c r="J26" i="1"/>
  <c r="J25" i="1"/>
  <c r="J24" i="1"/>
  <c r="J23" i="1"/>
  <c r="J22" i="1"/>
  <c r="J21" i="1"/>
  <c r="J20" i="1"/>
  <c r="J19" i="1"/>
  <c r="J18" i="1"/>
  <c r="J17" i="1"/>
  <c r="J16" i="1"/>
  <c r="J15" i="1"/>
  <c r="J14" i="1"/>
  <c r="J13" i="1"/>
  <c r="J12" i="1"/>
  <c r="J11" i="1"/>
  <c r="J10" i="1"/>
  <c r="J9" i="1"/>
  <c r="J8" i="1"/>
  <c r="J7" i="1"/>
  <c r="J6" i="1"/>
  <c r="J5" i="1"/>
  <c r="J4" i="1"/>
  <c r="J3" i="1"/>
  <c r="J2" i="1"/>
  <c r="H2" i="1"/>
  <c r="D2" i="1"/>
  <c r="B7" i="1"/>
  <c r="A502" i="3"/>
  <c r="A501" i="3"/>
  <c r="A500" i="3"/>
  <c r="A499" i="3"/>
  <c r="A498" i="3"/>
  <c r="A497" i="3"/>
  <c r="A496" i="3"/>
  <c r="A495" i="3"/>
  <c r="A494" i="3"/>
  <c r="A493" i="3"/>
  <c r="A492" i="3"/>
  <c r="A491" i="3"/>
  <c r="A490" i="3"/>
  <c r="A489" i="3"/>
  <c r="A488" i="3"/>
  <c r="A487" i="3"/>
  <c r="A486" i="3"/>
  <c r="A485" i="3"/>
  <c r="A484" i="3"/>
  <c r="A483" i="3"/>
  <c r="A482" i="3"/>
  <c r="A481" i="3"/>
  <c r="A480" i="3"/>
  <c r="A479" i="3"/>
  <c r="A478" i="3"/>
  <c r="A477" i="3"/>
  <c r="A476" i="3"/>
  <c r="A475" i="3"/>
  <c r="A474" i="3"/>
  <c r="A473" i="3"/>
  <c r="A472" i="3"/>
  <c r="A471" i="3"/>
  <c r="A470" i="3"/>
  <c r="A469" i="3"/>
  <c r="A468" i="3"/>
  <c r="A467" i="3"/>
  <c r="A466" i="3"/>
  <c r="A465" i="3"/>
  <c r="A464" i="3"/>
  <c r="A463" i="3"/>
  <c r="A462" i="3"/>
  <c r="A461" i="3"/>
  <c r="A460" i="3"/>
  <c r="A459" i="3"/>
  <c r="A458" i="3"/>
  <c r="A457" i="3"/>
  <c r="A456" i="3"/>
  <c r="A455" i="3"/>
  <c r="A454" i="3"/>
  <c r="A453" i="3"/>
  <c r="A452" i="3"/>
  <c r="A451" i="3"/>
  <c r="A450" i="3"/>
  <c r="A449" i="3"/>
  <c r="A448" i="3"/>
  <c r="A447" i="3"/>
  <c r="A446" i="3"/>
  <c r="A445" i="3"/>
  <c r="A444" i="3"/>
  <c r="A443" i="3"/>
  <c r="A442" i="3"/>
  <c r="A441" i="3"/>
  <c r="A440" i="3"/>
  <c r="A439" i="3"/>
  <c r="A438" i="3"/>
  <c r="A437" i="3"/>
  <c r="A436" i="3"/>
  <c r="A435" i="3"/>
  <c r="A434" i="3"/>
  <c r="A433" i="3"/>
  <c r="A432" i="3"/>
  <c r="A431" i="3"/>
  <c r="A430" i="3"/>
  <c r="A429" i="3"/>
  <c r="A428" i="3"/>
  <c r="A427" i="3"/>
  <c r="A426" i="3"/>
  <c r="A425" i="3"/>
  <c r="A424" i="3"/>
  <c r="A423" i="3"/>
  <c r="A422" i="3"/>
  <c r="A421" i="3"/>
  <c r="A420" i="3"/>
  <c r="A419" i="3"/>
  <c r="A418" i="3"/>
  <c r="A417" i="3"/>
  <c r="A416" i="3"/>
  <c r="A415" i="3"/>
  <c r="A414" i="3"/>
  <c r="A413" i="3"/>
  <c r="A412" i="3"/>
  <c r="A411" i="3"/>
  <c r="A410" i="3"/>
  <c r="A409" i="3"/>
  <c r="A408" i="3"/>
  <c r="A407" i="3"/>
  <c r="A406" i="3"/>
  <c r="A405" i="3"/>
  <c r="A404" i="3"/>
  <c r="A403" i="3"/>
  <c r="A402" i="3"/>
  <c r="A401" i="3"/>
  <c r="A400" i="3"/>
  <c r="A399" i="3"/>
  <c r="A398" i="3"/>
  <c r="A397" i="3"/>
  <c r="A396" i="3"/>
  <c r="A395" i="3"/>
  <c r="A394" i="3"/>
  <c r="A393" i="3"/>
  <c r="A392" i="3"/>
  <c r="A391" i="3"/>
  <c r="A390" i="3"/>
  <c r="A389" i="3"/>
  <c r="A388" i="3"/>
  <c r="A387" i="3"/>
  <c r="A386" i="3"/>
  <c r="A385" i="3"/>
  <c r="A384" i="3"/>
  <c r="A383" i="3"/>
  <c r="A382" i="3"/>
  <c r="A381" i="3"/>
  <c r="A380" i="3"/>
  <c r="A379" i="3"/>
  <c r="A378" i="3"/>
  <c r="A377" i="3"/>
  <c r="A376" i="3"/>
  <c r="A375" i="3"/>
  <c r="A374" i="3"/>
  <c r="A373" i="3"/>
  <c r="A372" i="3"/>
  <c r="A371" i="3"/>
  <c r="A370" i="3"/>
  <c r="A369" i="3"/>
  <c r="A368" i="3"/>
  <c r="A367" i="3"/>
  <c r="A366" i="3"/>
  <c r="A365" i="3"/>
  <c r="A364" i="3"/>
  <c r="A363" i="3"/>
  <c r="A362" i="3"/>
  <c r="A361" i="3"/>
  <c r="A360" i="3"/>
  <c r="A359" i="3"/>
  <c r="A358" i="3"/>
  <c r="A357" i="3"/>
  <c r="A356" i="3"/>
  <c r="A355" i="3"/>
  <c r="A354" i="3"/>
  <c r="A353" i="3"/>
  <c r="A352" i="3"/>
  <c r="A351" i="3"/>
  <c r="A350" i="3"/>
  <c r="A349" i="3"/>
  <c r="A348" i="3"/>
  <c r="A347" i="3"/>
  <c r="A346" i="3"/>
  <c r="A345" i="3"/>
  <c r="A344" i="3"/>
  <c r="A343" i="3"/>
  <c r="A342" i="3"/>
  <c r="A341" i="3"/>
  <c r="A340" i="3"/>
  <c r="A339" i="3"/>
  <c r="A338" i="3"/>
  <c r="A337" i="3"/>
  <c r="A336" i="3"/>
  <c r="A335" i="3"/>
  <c r="A334" i="3"/>
  <c r="A333" i="3"/>
  <c r="A332" i="3"/>
  <c r="A331" i="3"/>
  <c r="A330" i="3"/>
  <c r="A329" i="3"/>
  <c r="A328" i="3"/>
  <c r="A327" i="3"/>
  <c r="A326" i="3"/>
  <c r="A325" i="3"/>
  <c r="A324" i="3"/>
  <c r="A323" i="3"/>
  <c r="A322" i="3"/>
  <c r="A321" i="3"/>
  <c r="A320" i="3"/>
  <c r="A319" i="3"/>
  <c r="A318" i="3"/>
  <c r="A317" i="3"/>
  <c r="A316" i="3"/>
  <c r="A315" i="3"/>
  <c r="A314" i="3"/>
  <c r="A313" i="3"/>
  <c r="A312" i="3"/>
  <c r="A311" i="3"/>
  <c r="A310" i="3"/>
  <c r="A309" i="3"/>
  <c r="A308" i="3"/>
  <c r="A307" i="3"/>
  <c r="A306" i="3"/>
  <c r="A305" i="3"/>
  <c r="A304" i="3"/>
  <c r="A303" i="3"/>
  <c r="A302" i="3"/>
  <c r="A301" i="3"/>
  <c r="A300" i="3"/>
  <c r="A299" i="3"/>
  <c r="A298" i="3"/>
  <c r="A297" i="3"/>
  <c r="A296" i="3"/>
  <c r="A295" i="3"/>
  <c r="A294" i="3"/>
  <c r="A293" i="3"/>
  <c r="A292" i="3"/>
  <c r="A291" i="3"/>
  <c r="A290" i="3"/>
  <c r="A289" i="3"/>
  <c r="A288" i="3"/>
  <c r="A287" i="3"/>
  <c r="A286" i="3"/>
  <c r="A285" i="3"/>
  <c r="A284" i="3"/>
  <c r="A283" i="3"/>
  <c r="A282" i="3"/>
  <c r="A281" i="3"/>
  <c r="A280" i="3"/>
  <c r="A279" i="3"/>
  <c r="A278" i="3"/>
  <c r="A277" i="3"/>
  <c r="A276" i="3"/>
  <c r="A275" i="3"/>
  <c r="A274" i="3"/>
  <c r="A273" i="3"/>
  <c r="A272" i="3"/>
  <c r="A271" i="3"/>
  <c r="A270" i="3"/>
  <c r="A269" i="3"/>
  <c r="A268" i="3"/>
  <c r="A267" i="3"/>
  <c r="A266" i="3"/>
  <c r="A265" i="3"/>
  <c r="A264" i="3"/>
  <c r="A263" i="3"/>
  <c r="A262" i="3"/>
  <c r="A261" i="3"/>
  <c r="A260" i="3"/>
  <c r="A259" i="3"/>
  <c r="A258" i="3"/>
  <c r="A257" i="3"/>
  <c r="A256" i="3"/>
  <c r="A255" i="3"/>
  <c r="A254" i="3"/>
  <c r="A253" i="3"/>
  <c r="A252" i="3"/>
  <c r="A251" i="3"/>
  <c r="A250" i="3"/>
  <c r="A249" i="3"/>
  <c r="A248" i="3"/>
  <c r="A247" i="3"/>
  <c r="A246" i="3"/>
  <c r="A245" i="3"/>
  <c r="A244" i="3"/>
  <c r="A243" i="3"/>
  <c r="A242" i="3"/>
  <c r="A241" i="3"/>
  <c r="A240" i="3"/>
  <c r="A239" i="3"/>
  <c r="A238" i="3"/>
  <c r="A237" i="3"/>
  <c r="A236" i="3"/>
  <c r="A235" i="3"/>
  <c r="A234" i="3"/>
  <c r="A233" i="3"/>
  <c r="A232" i="3"/>
  <c r="A231" i="3"/>
  <c r="A230" i="3"/>
  <c r="A229" i="3"/>
  <c r="A228" i="3"/>
  <c r="A227" i="3"/>
  <c r="A226" i="3"/>
  <c r="A225" i="3"/>
  <c r="A224" i="3"/>
  <c r="A223" i="3"/>
  <c r="A222" i="3"/>
  <c r="A221" i="3"/>
  <c r="A220" i="3"/>
  <c r="A219" i="3"/>
  <c r="A218" i="3"/>
  <c r="A217" i="3"/>
  <c r="A216" i="3"/>
  <c r="A215" i="3"/>
  <c r="A214" i="3"/>
  <c r="A213" i="3"/>
  <c r="A212" i="3"/>
  <c r="A211" i="3"/>
  <c r="A210" i="3"/>
  <c r="A209" i="3"/>
  <c r="A208" i="3"/>
  <c r="A207" i="3"/>
  <c r="A206" i="3"/>
  <c r="A205" i="3"/>
  <c r="A204" i="3"/>
  <c r="A203" i="3"/>
  <c r="A202" i="3"/>
  <c r="A201" i="3"/>
  <c r="A200" i="3"/>
  <c r="A199" i="3"/>
  <c r="A198" i="3"/>
  <c r="A197" i="3"/>
  <c r="A196" i="3"/>
  <c r="A195" i="3"/>
  <c r="A194" i="3"/>
  <c r="A193" i="3"/>
  <c r="A192" i="3"/>
  <c r="A191" i="3"/>
  <c r="A190" i="3"/>
  <c r="A189" i="3"/>
  <c r="A188" i="3"/>
  <c r="A187" i="3"/>
  <c r="A186" i="3"/>
  <c r="A185" i="3"/>
  <c r="A184" i="3"/>
  <c r="A183" i="3"/>
  <c r="A182" i="3"/>
  <c r="A181" i="3"/>
  <c r="A180" i="3"/>
  <c r="A179" i="3"/>
  <c r="A178" i="3"/>
  <c r="A177" i="3"/>
  <c r="A176" i="3"/>
  <c r="A175" i="3"/>
  <c r="A174" i="3"/>
  <c r="A173" i="3"/>
  <c r="A172" i="3"/>
  <c r="A171" i="3"/>
  <c r="A170" i="3"/>
  <c r="A169" i="3"/>
  <c r="A168" i="3"/>
  <c r="A167" i="3"/>
  <c r="A166" i="3"/>
  <c r="A165" i="3"/>
  <c r="A164" i="3"/>
  <c r="A163" i="3"/>
  <c r="A162" i="3"/>
  <c r="A161" i="3"/>
  <c r="A160" i="3"/>
  <c r="A159" i="3"/>
  <c r="A158" i="3"/>
  <c r="A157" i="3"/>
  <c r="A156" i="3"/>
  <c r="A155" i="3"/>
  <c r="A154" i="3"/>
  <c r="A153" i="3"/>
  <c r="A152" i="3"/>
  <c r="A151" i="3"/>
  <c r="A150" i="3"/>
  <c r="A149" i="3"/>
  <c r="A148" i="3"/>
  <c r="A147" i="3"/>
  <c r="A146" i="3"/>
  <c r="A145" i="3"/>
  <c r="A144" i="3"/>
  <c r="A143" i="3"/>
  <c r="A142" i="3"/>
  <c r="A141" i="3"/>
  <c r="A140" i="3"/>
  <c r="A139" i="3"/>
  <c r="A138" i="3"/>
  <c r="A137" i="3"/>
  <c r="A136" i="3"/>
  <c r="A135" i="3"/>
  <c r="A134" i="3"/>
  <c r="A133" i="3"/>
  <c r="A132" i="3"/>
  <c r="A131" i="3"/>
  <c r="A130" i="3"/>
  <c r="A129" i="3"/>
  <c r="A128" i="3"/>
  <c r="A127" i="3"/>
  <c r="A126" i="3"/>
  <c r="A125" i="3"/>
  <c r="A124" i="3"/>
  <c r="A123" i="3"/>
  <c r="A122" i="3"/>
  <c r="A121" i="3"/>
  <c r="A120" i="3"/>
  <c r="A119" i="3"/>
  <c r="A118" i="3"/>
  <c r="A117" i="3"/>
  <c r="A116" i="3"/>
  <c r="A115" i="3"/>
  <c r="A114" i="3"/>
  <c r="A113" i="3"/>
  <c r="A112" i="3"/>
  <c r="A111" i="3"/>
  <c r="A110" i="3"/>
  <c r="A109" i="3"/>
  <c r="A108" i="3"/>
  <c r="A107" i="3"/>
  <c r="A106" i="3"/>
  <c r="A105" i="3"/>
  <c r="A104" i="3"/>
  <c r="A103" i="3"/>
  <c r="A102" i="3"/>
  <c r="A101" i="3"/>
  <c r="A100" i="3"/>
  <c r="A99" i="3"/>
  <c r="A98" i="3"/>
  <c r="A97" i="3"/>
  <c r="A96" i="3"/>
  <c r="A95" i="3"/>
  <c r="A94" i="3"/>
  <c r="A93" i="3"/>
  <c r="A92" i="3"/>
  <c r="A91" i="3"/>
  <c r="A90" i="3"/>
  <c r="A89" i="3"/>
  <c r="A88" i="3"/>
  <c r="A87" i="3"/>
  <c r="A86" i="3"/>
  <c r="A85" i="3"/>
  <c r="A84" i="3"/>
  <c r="A83" i="3"/>
  <c r="A82" i="3"/>
  <c r="A81" i="3"/>
  <c r="A80" i="3"/>
  <c r="A79" i="3"/>
  <c r="A78" i="3"/>
  <c r="A77" i="3"/>
  <c r="A76" i="3"/>
  <c r="A75" i="3"/>
  <c r="A74" i="3"/>
  <c r="A73" i="3"/>
  <c r="A72" i="3"/>
  <c r="A71" i="3"/>
  <c r="A70" i="3"/>
  <c r="A69" i="3"/>
  <c r="A68" i="3"/>
  <c r="A67" i="3"/>
  <c r="A66" i="3"/>
  <c r="A65" i="3"/>
  <c r="A64" i="3"/>
  <c r="A63" i="3"/>
  <c r="A62" i="3"/>
  <c r="A61" i="3"/>
  <c r="A60" i="3"/>
  <c r="A59" i="3"/>
  <c r="A58" i="3"/>
  <c r="A57" i="3"/>
  <c r="A56" i="3"/>
  <c r="A55" i="3"/>
  <c r="A54" i="3"/>
  <c r="C2" i="1"/>
  <c r="D3" i="1"/>
  <c r="E1002" i="2"/>
  <c r="E1001" i="2"/>
  <c r="E1000" i="2"/>
  <c r="E999" i="2"/>
  <c r="E998" i="2"/>
  <c r="E997" i="2"/>
  <c r="E996" i="2"/>
  <c r="E995" i="2"/>
  <c r="E994" i="2"/>
  <c r="E993" i="2"/>
  <c r="E992" i="2"/>
  <c r="E991" i="2"/>
  <c r="E990" i="2"/>
  <c r="E989" i="2"/>
  <c r="E988" i="2"/>
  <c r="E987" i="2"/>
  <c r="E986" i="2"/>
  <c r="E985" i="2"/>
  <c r="E984" i="2"/>
  <c r="E983" i="2"/>
  <c r="E982" i="2"/>
  <c r="E981" i="2"/>
  <c r="E980" i="2"/>
  <c r="E979" i="2"/>
  <c r="E978" i="2"/>
  <c r="E977" i="2"/>
  <c r="E976" i="2"/>
  <c r="E975" i="2"/>
  <c r="E974" i="2"/>
  <c r="E973" i="2"/>
  <c r="E972" i="2"/>
  <c r="E971" i="2"/>
  <c r="E970" i="2"/>
  <c r="E969" i="2"/>
  <c r="E968" i="2"/>
  <c r="E967" i="2"/>
  <c r="E966" i="2"/>
  <c r="E965" i="2"/>
  <c r="E964" i="2"/>
  <c r="E963" i="2"/>
  <c r="E962" i="2"/>
  <c r="E961" i="2"/>
  <c r="E960" i="2"/>
  <c r="E959" i="2"/>
  <c r="E958" i="2"/>
  <c r="E957" i="2"/>
  <c r="E956" i="2"/>
  <c r="E955" i="2"/>
  <c r="E954" i="2"/>
  <c r="E953" i="2"/>
  <c r="E952" i="2"/>
  <c r="E951" i="2"/>
  <c r="E950" i="2"/>
  <c r="E949" i="2"/>
  <c r="E948" i="2"/>
  <c r="E947" i="2"/>
  <c r="E946" i="2"/>
  <c r="E945" i="2"/>
  <c r="E944" i="2"/>
  <c r="E943" i="2"/>
  <c r="E942" i="2"/>
  <c r="E941" i="2"/>
  <c r="E940" i="2"/>
  <c r="E939" i="2"/>
  <c r="E938" i="2"/>
  <c r="E937" i="2"/>
  <c r="E936" i="2"/>
  <c r="E935" i="2"/>
  <c r="E934" i="2"/>
  <c r="E933" i="2"/>
  <c r="E932" i="2"/>
  <c r="E931" i="2"/>
  <c r="E930" i="2"/>
  <c r="E929" i="2"/>
  <c r="E928" i="2"/>
  <c r="E927" i="2"/>
  <c r="E926" i="2"/>
  <c r="E925" i="2"/>
  <c r="E924" i="2"/>
  <c r="E923" i="2"/>
  <c r="E922" i="2"/>
  <c r="E921" i="2"/>
  <c r="E920" i="2"/>
  <c r="E919" i="2"/>
  <c r="E918" i="2"/>
  <c r="E917" i="2"/>
  <c r="E916" i="2"/>
  <c r="E915" i="2"/>
  <c r="E914" i="2"/>
  <c r="E913" i="2"/>
  <c r="E912" i="2"/>
  <c r="E911" i="2"/>
  <c r="E910" i="2"/>
  <c r="E909" i="2"/>
  <c r="E908" i="2"/>
  <c r="E907" i="2"/>
  <c r="E906" i="2"/>
  <c r="E905" i="2"/>
  <c r="E904" i="2"/>
  <c r="E903" i="2"/>
  <c r="E902" i="2"/>
  <c r="E901" i="2"/>
  <c r="E900" i="2"/>
  <c r="E899" i="2"/>
  <c r="E898" i="2"/>
  <c r="E897" i="2"/>
  <c r="E896" i="2"/>
  <c r="E895" i="2"/>
  <c r="E894" i="2"/>
  <c r="E893" i="2"/>
  <c r="E892" i="2"/>
  <c r="E891" i="2"/>
  <c r="E890" i="2"/>
  <c r="E889" i="2"/>
  <c r="E888" i="2"/>
  <c r="E887" i="2"/>
  <c r="E886" i="2"/>
  <c r="E885" i="2"/>
  <c r="E884" i="2"/>
  <c r="E883" i="2"/>
  <c r="E882" i="2"/>
  <c r="E881" i="2"/>
  <c r="E880" i="2"/>
  <c r="E879" i="2"/>
  <c r="E878" i="2"/>
  <c r="E877" i="2"/>
  <c r="E876" i="2"/>
  <c r="E875" i="2"/>
  <c r="E874" i="2"/>
  <c r="E873" i="2"/>
  <c r="E872" i="2"/>
  <c r="E871" i="2"/>
  <c r="E870" i="2"/>
  <c r="E869" i="2"/>
  <c r="E868" i="2"/>
  <c r="E867" i="2"/>
  <c r="E866" i="2"/>
  <c r="E865" i="2"/>
  <c r="E864" i="2"/>
  <c r="E863" i="2"/>
  <c r="E862" i="2"/>
  <c r="E861" i="2"/>
  <c r="E860" i="2"/>
  <c r="E859" i="2"/>
  <c r="E858" i="2"/>
  <c r="E857" i="2"/>
  <c r="E856" i="2"/>
  <c r="E855" i="2"/>
  <c r="E854" i="2"/>
  <c r="E853" i="2"/>
  <c r="E852" i="2"/>
  <c r="E851" i="2"/>
  <c r="E850" i="2"/>
  <c r="E849" i="2"/>
  <c r="E848" i="2"/>
  <c r="E847" i="2"/>
  <c r="E846" i="2"/>
  <c r="E845" i="2"/>
  <c r="E844" i="2"/>
  <c r="E843" i="2"/>
  <c r="E842" i="2"/>
  <c r="E841" i="2"/>
  <c r="E840" i="2"/>
  <c r="E839" i="2"/>
  <c r="E838" i="2"/>
  <c r="E837" i="2"/>
  <c r="E836" i="2"/>
  <c r="E835" i="2"/>
  <c r="E834" i="2"/>
  <c r="E833" i="2"/>
  <c r="E832" i="2"/>
  <c r="E831" i="2"/>
  <c r="E830" i="2"/>
  <c r="E829" i="2"/>
  <c r="E828" i="2"/>
  <c r="E827" i="2"/>
  <c r="E826" i="2"/>
  <c r="E825" i="2"/>
  <c r="E824" i="2"/>
  <c r="E823" i="2"/>
  <c r="E822" i="2"/>
  <c r="E821" i="2"/>
  <c r="E820" i="2"/>
  <c r="E819" i="2"/>
  <c r="E818" i="2"/>
  <c r="E817" i="2"/>
  <c r="E816" i="2"/>
  <c r="E815" i="2"/>
  <c r="E814" i="2"/>
  <c r="E813" i="2"/>
  <c r="E812" i="2"/>
  <c r="E811" i="2"/>
  <c r="E810" i="2"/>
  <c r="E809" i="2"/>
  <c r="E808" i="2"/>
  <c r="E807" i="2"/>
  <c r="E806" i="2"/>
  <c r="E805" i="2"/>
  <c r="E804" i="2"/>
  <c r="E803" i="2"/>
  <c r="E802" i="2"/>
  <c r="E801" i="2"/>
  <c r="E800" i="2"/>
  <c r="E799" i="2"/>
  <c r="E798" i="2"/>
  <c r="E797" i="2"/>
  <c r="E796" i="2"/>
  <c r="E795" i="2"/>
  <c r="E794" i="2"/>
  <c r="E793" i="2"/>
  <c r="E792" i="2"/>
  <c r="E791" i="2"/>
  <c r="E790" i="2"/>
  <c r="E789" i="2"/>
  <c r="E788" i="2"/>
  <c r="E787" i="2"/>
  <c r="E786" i="2"/>
  <c r="E785" i="2"/>
  <c r="E784" i="2"/>
  <c r="E783" i="2"/>
  <c r="E782" i="2"/>
  <c r="E781" i="2"/>
  <c r="E780" i="2"/>
  <c r="E779" i="2"/>
  <c r="E778" i="2"/>
  <c r="E777" i="2"/>
  <c r="E776" i="2"/>
  <c r="E775" i="2"/>
  <c r="E774" i="2"/>
  <c r="E773" i="2"/>
  <c r="E772" i="2"/>
  <c r="E771" i="2"/>
  <c r="E770" i="2"/>
  <c r="E769" i="2"/>
  <c r="E768" i="2"/>
  <c r="E767" i="2"/>
  <c r="E766" i="2"/>
  <c r="E765" i="2"/>
  <c r="E764" i="2"/>
  <c r="E763" i="2"/>
  <c r="E762" i="2"/>
  <c r="E761" i="2"/>
  <c r="E760" i="2"/>
  <c r="E759" i="2"/>
  <c r="E758" i="2"/>
  <c r="E757" i="2"/>
  <c r="E756" i="2"/>
  <c r="E755" i="2"/>
  <c r="E754" i="2"/>
  <c r="E753" i="2"/>
  <c r="E752" i="2"/>
  <c r="E751" i="2"/>
  <c r="E750" i="2"/>
  <c r="E749" i="2"/>
  <c r="E748" i="2"/>
  <c r="E747" i="2"/>
  <c r="E746" i="2"/>
  <c r="E745" i="2"/>
  <c r="E744" i="2"/>
  <c r="E743" i="2"/>
  <c r="E742" i="2"/>
  <c r="E741" i="2"/>
  <c r="E740" i="2"/>
  <c r="E739" i="2"/>
  <c r="E738" i="2"/>
  <c r="E737" i="2"/>
  <c r="E736" i="2"/>
  <c r="E735" i="2"/>
  <c r="E734" i="2"/>
  <c r="E733" i="2"/>
  <c r="E732" i="2"/>
  <c r="E731" i="2"/>
  <c r="E730" i="2"/>
  <c r="E729" i="2"/>
  <c r="E728" i="2"/>
  <c r="E727" i="2"/>
  <c r="E726" i="2"/>
  <c r="E725" i="2"/>
  <c r="E724" i="2"/>
  <c r="E723" i="2"/>
  <c r="E722" i="2"/>
  <c r="E721" i="2"/>
  <c r="E720" i="2"/>
  <c r="E719" i="2"/>
  <c r="E718" i="2"/>
  <c r="E717" i="2"/>
  <c r="E716" i="2"/>
  <c r="E715" i="2"/>
  <c r="E714" i="2"/>
  <c r="E713" i="2"/>
  <c r="E712" i="2"/>
  <c r="E711" i="2"/>
  <c r="E710" i="2"/>
  <c r="E709" i="2"/>
  <c r="E708" i="2"/>
  <c r="E707" i="2"/>
  <c r="E706" i="2"/>
  <c r="E705" i="2"/>
  <c r="E704" i="2"/>
  <c r="E703" i="2"/>
  <c r="E702" i="2"/>
  <c r="E701" i="2"/>
  <c r="E700" i="2"/>
  <c r="E699" i="2"/>
  <c r="E698" i="2"/>
  <c r="E697" i="2"/>
  <c r="E696" i="2"/>
  <c r="E695" i="2"/>
  <c r="E694" i="2"/>
  <c r="E693" i="2"/>
  <c r="E692" i="2"/>
  <c r="E691" i="2"/>
  <c r="E690" i="2"/>
  <c r="E689" i="2"/>
  <c r="E688" i="2"/>
  <c r="E687" i="2"/>
  <c r="E686" i="2"/>
  <c r="E685" i="2"/>
  <c r="E684" i="2"/>
  <c r="E683" i="2"/>
  <c r="E682" i="2"/>
  <c r="E681" i="2"/>
  <c r="E680" i="2"/>
  <c r="E679" i="2"/>
  <c r="E678" i="2"/>
  <c r="E677" i="2"/>
  <c r="E676" i="2"/>
  <c r="E675" i="2"/>
  <c r="E674" i="2"/>
  <c r="E673" i="2"/>
  <c r="E672" i="2"/>
  <c r="E671" i="2"/>
  <c r="E670" i="2"/>
  <c r="E669" i="2"/>
  <c r="E668" i="2"/>
  <c r="E667" i="2"/>
  <c r="E666" i="2"/>
  <c r="E665" i="2"/>
  <c r="E664" i="2"/>
  <c r="E663" i="2"/>
  <c r="E662" i="2"/>
  <c r="E661" i="2"/>
  <c r="E660" i="2"/>
  <c r="E659" i="2"/>
  <c r="E658" i="2"/>
  <c r="E657" i="2"/>
  <c r="E656" i="2"/>
  <c r="E655" i="2"/>
  <c r="E654" i="2"/>
  <c r="E653" i="2"/>
  <c r="E652" i="2"/>
  <c r="E651" i="2"/>
  <c r="E650" i="2"/>
  <c r="E649" i="2"/>
  <c r="E648" i="2"/>
  <c r="E647" i="2"/>
  <c r="E646" i="2"/>
  <c r="E645" i="2"/>
  <c r="E644" i="2"/>
  <c r="E643" i="2"/>
  <c r="E642" i="2"/>
  <c r="E641" i="2"/>
  <c r="E640" i="2"/>
  <c r="E639" i="2"/>
  <c r="E638" i="2"/>
  <c r="E637" i="2"/>
  <c r="E636" i="2"/>
  <c r="E635" i="2"/>
  <c r="E634" i="2"/>
  <c r="E633" i="2"/>
  <c r="E632" i="2"/>
  <c r="E631" i="2"/>
  <c r="E630" i="2"/>
  <c r="E629" i="2"/>
  <c r="E628" i="2"/>
  <c r="E627" i="2"/>
  <c r="E626" i="2"/>
  <c r="E625" i="2"/>
  <c r="E624" i="2"/>
  <c r="E623" i="2"/>
  <c r="E622" i="2"/>
  <c r="E621" i="2"/>
  <c r="E620" i="2"/>
  <c r="E619" i="2"/>
  <c r="E618" i="2"/>
  <c r="E617" i="2"/>
  <c r="E616" i="2"/>
  <c r="E615" i="2"/>
  <c r="E614" i="2"/>
  <c r="E613" i="2"/>
  <c r="E612" i="2"/>
  <c r="E611" i="2"/>
  <c r="E610" i="2"/>
  <c r="E609" i="2"/>
  <c r="E608" i="2"/>
  <c r="E607" i="2"/>
  <c r="E606" i="2"/>
  <c r="E605" i="2"/>
  <c r="E604" i="2"/>
  <c r="E603" i="2"/>
  <c r="E602" i="2"/>
  <c r="E601" i="2"/>
  <c r="E600" i="2"/>
  <c r="E599" i="2"/>
  <c r="E598" i="2"/>
  <c r="E597" i="2"/>
  <c r="E596" i="2"/>
  <c r="E595" i="2"/>
  <c r="E594" i="2"/>
  <c r="E593" i="2"/>
  <c r="E592" i="2"/>
  <c r="E591" i="2"/>
  <c r="E590" i="2"/>
  <c r="E589" i="2"/>
  <c r="E588" i="2"/>
  <c r="E587" i="2"/>
  <c r="E586" i="2"/>
  <c r="E585" i="2"/>
  <c r="E584" i="2"/>
  <c r="E583" i="2"/>
  <c r="E582" i="2"/>
  <c r="E581" i="2"/>
  <c r="E580" i="2"/>
  <c r="E579" i="2"/>
  <c r="E578" i="2"/>
  <c r="E577" i="2"/>
  <c r="E576" i="2"/>
  <c r="E575" i="2"/>
  <c r="E574" i="2"/>
  <c r="E573" i="2"/>
  <c r="E572" i="2"/>
  <c r="E571" i="2"/>
  <c r="E570" i="2"/>
  <c r="E569" i="2"/>
  <c r="E568" i="2"/>
  <c r="E567" i="2"/>
  <c r="E566" i="2"/>
  <c r="E565" i="2"/>
  <c r="E564" i="2"/>
  <c r="E563" i="2"/>
  <c r="E562" i="2"/>
  <c r="E561" i="2"/>
  <c r="E560" i="2"/>
  <c r="E559" i="2"/>
  <c r="E558" i="2"/>
  <c r="E557" i="2"/>
  <c r="E556" i="2"/>
  <c r="E555" i="2"/>
  <c r="E554" i="2"/>
  <c r="E553" i="2"/>
  <c r="E552" i="2"/>
  <c r="E551" i="2"/>
  <c r="E550" i="2"/>
  <c r="E549" i="2"/>
  <c r="E548" i="2"/>
  <c r="E547" i="2"/>
  <c r="E546" i="2"/>
  <c r="E545" i="2"/>
  <c r="E544" i="2"/>
  <c r="E543" i="2"/>
  <c r="E542" i="2"/>
  <c r="E541" i="2"/>
  <c r="E540" i="2"/>
  <c r="E539" i="2"/>
  <c r="E538" i="2"/>
  <c r="E537" i="2"/>
  <c r="E536" i="2"/>
  <c r="E535" i="2"/>
  <c r="E534" i="2"/>
  <c r="E533" i="2"/>
  <c r="E532" i="2"/>
  <c r="E531" i="2"/>
  <c r="E530" i="2"/>
  <c r="E529" i="2"/>
  <c r="E528" i="2"/>
  <c r="E527" i="2"/>
  <c r="E526" i="2"/>
  <c r="E525" i="2"/>
  <c r="E524" i="2"/>
  <c r="E523" i="2"/>
  <c r="E522" i="2"/>
  <c r="E521" i="2"/>
  <c r="E520" i="2"/>
  <c r="E519" i="2"/>
  <c r="E518" i="2"/>
  <c r="E517" i="2"/>
  <c r="E516" i="2"/>
  <c r="E515" i="2"/>
  <c r="E514" i="2"/>
  <c r="E513" i="2"/>
  <c r="E512" i="2"/>
  <c r="E511" i="2"/>
  <c r="E510" i="2"/>
  <c r="E509" i="2"/>
  <c r="E508" i="2"/>
  <c r="E507" i="2"/>
  <c r="E506" i="2"/>
  <c r="E505" i="2"/>
  <c r="E504" i="2"/>
  <c r="E503" i="2"/>
  <c r="E502" i="2"/>
  <c r="E501" i="2"/>
  <c r="E500" i="2"/>
  <c r="E499" i="2"/>
  <c r="E498" i="2"/>
  <c r="E497" i="2"/>
  <c r="E496" i="2"/>
  <c r="E495" i="2"/>
  <c r="E494" i="2"/>
  <c r="E493" i="2"/>
  <c r="E492" i="2"/>
  <c r="E491" i="2"/>
  <c r="E490" i="2"/>
  <c r="E489" i="2"/>
  <c r="E488" i="2"/>
  <c r="E487" i="2"/>
  <c r="E486" i="2"/>
  <c r="E485" i="2"/>
  <c r="E484" i="2"/>
  <c r="E483" i="2"/>
  <c r="E482" i="2"/>
  <c r="E481" i="2"/>
  <c r="E480" i="2"/>
  <c r="E479" i="2"/>
  <c r="E478" i="2"/>
  <c r="E477" i="2"/>
  <c r="E476" i="2"/>
  <c r="E475" i="2"/>
  <c r="E474" i="2"/>
  <c r="E473" i="2"/>
  <c r="E472" i="2"/>
  <c r="E471" i="2"/>
  <c r="E470" i="2"/>
  <c r="E469" i="2"/>
  <c r="E468" i="2"/>
  <c r="E467" i="2"/>
  <c r="E466" i="2"/>
  <c r="E465" i="2"/>
  <c r="E464" i="2"/>
  <c r="E463" i="2"/>
  <c r="E462" i="2"/>
  <c r="E461" i="2"/>
  <c r="E460" i="2"/>
  <c r="E459" i="2"/>
  <c r="E458" i="2"/>
  <c r="E457" i="2"/>
  <c r="E456" i="2"/>
  <c r="E455" i="2"/>
  <c r="E454" i="2"/>
  <c r="E453" i="2"/>
  <c r="E452" i="2"/>
  <c r="E451" i="2"/>
  <c r="E450" i="2"/>
  <c r="E449" i="2"/>
  <c r="E448" i="2"/>
  <c r="E447" i="2"/>
  <c r="E446" i="2"/>
  <c r="E445" i="2"/>
  <c r="E444" i="2"/>
  <c r="E443" i="2"/>
  <c r="E442" i="2"/>
  <c r="E441" i="2"/>
  <c r="E440" i="2"/>
  <c r="E439" i="2"/>
  <c r="E438" i="2"/>
  <c r="E437" i="2"/>
  <c r="E436" i="2"/>
  <c r="E435" i="2"/>
  <c r="E434" i="2"/>
  <c r="E433" i="2"/>
  <c r="E432" i="2"/>
  <c r="E431" i="2"/>
  <c r="E430" i="2"/>
  <c r="E429" i="2"/>
  <c r="E428" i="2"/>
  <c r="E427" i="2"/>
  <c r="E426" i="2"/>
  <c r="E425" i="2"/>
  <c r="E424" i="2"/>
  <c r="E423" i="2"/>
  <c r="E422" i="2"/>
  <c r="E421" i="2"/>
  <c r="E420" i="2"/>
  <c r="E419" i="2"/>
  <c r="E418" i="2"/>
  <c r="E417" i="2"/>
  <c r="E416" i="2"/>
  <c r="E415" i="2"/>
  <c r="E414" i="2"/>
  <c r="E413" i="2"/>
  <c r="E412" i="2"/>
  <c r="E411" i="2"/>
  <c r="E410" i="2"/>
  <c r="E409" i="2"/>
  <c r="E408" i="2"/>
  <c r="E407" i="2"/>
  <c r="E406" i="2"/>
  <c r="E405" i="2"/>
  <c r="E404" i="2"/>
  <c r="E403" i="2"/>
  <c r="E402" i="2"/>
  <c r="E401" i="2"/>
  <c r="E400" i="2"/>
  <c r="E399" i="2"/>
  <c r="E398" i="2"/>
  <c r="E397" i="2"/>
  <c r="E396" i="2"/>
  <c r="E395" i="2"/>
  <c r="E394" i="2"/>
  <c r="E393" i="2"/>
  <c r="E392" i="2"/>
  <c r="E391" i="2"/>
  <c r="E390" i="2"/>
  <c r="E389" i="2"/>
  <c r="E388" i="2"/>
  <c r="E387" i="2"/>
  <c r="E386" i="2"/>
  <c r="E385" i="2"/>
  <c r="E384" i="2"/>
  <c r="E383" i="2"/>
  <c r="E382" i="2"/>
  <c r="E381" i="2"/>
  <c r="E380" i="2"/>
  <c r="E379" i="2"/>
  <c r="E378" i="2"/>
  <c r="E377" i="2"/>
  <c r="E376" i="2"/>
  <c r="E375" i="2"/>
  <c r="E374" i="2"/>
  <c r="E373" i="2"/>
  <c r="E372" i="2"/>
  <c r="E371" i="2"/>
  <c r="E370" i="2"/>
  <c r="E369" i="2"/>
  <c r="E368" i="2"/>
  <c r="E367" i="2"/>
  <c r="E366" i="2"/>
  <c r="E365" i="2"/>
  <c r="E364" i="2"/>
  <c r="E363" i="2"/>
  <c r="E362" i="2"/>
  <c r="E361" i="2"/>
  <c r="E360" i="2"/>
  <c r="E359" i="2"/>
  <c r="E358" i="2"/>
  <c r="E357" i="2"/>
  <c r="E356" i="2"/>
  <c r="E355" i="2"/>
  <c r="E354" i="2"/>
  <c r="E353" i="2"/>
  <c r="E352" i="2"/>
  <c r="E351" i="2"/>
  <c r="E350" i="2"/>
  <c r="E349" i="2"/>
  <c r="E348" i="2"/>
  <c r="E347" i="2"/>
  <c r="E346" i="2"/>
  <c r="E345" i="2"/>
  <c r="E344" i="2"/>
  <c r="E343" i="2"/>
  <c r="E342" i="2"/>
  <c r="E341" i="2"/>
  <c r="E340" i="2"/>
  <c r="E339" i="2"/>
  <c r="E338" i="2"/>
  <c r="E337" i="2"/>
  <c r="E336" i="2"/>
  <c r="E335" i="2"/>
  <c r="E334" i="2"/>
  <c r="E333" i="2"/>
  <c r="E332" i="2"/>
  <c r="E331" i="2"/>
  <c r="E330" i="2"/>
  <c r="E329" i="2"/>
  <c r="E328" i="2"/>
  <c r="E327" i="2"/>
  <c r="E326" i="2"/>
  <c r="E325" i="2"/>
  <c r="E324" i="2"/>
  <c r="E323" i="2"/>
  <c r="E322" i="2"/>
  <c r="E321" i="2"/>
  <c r="E320" i="2"/>
  <c r="E319" i="2"/>
  <c r="E318" i="2"/>
  <c r="E317" i="2"/>
  <c r="E316" i="2"/>
  <c r="E315" i="2"/>
  <c r="E314" i="2"/>
  <c r="E313" i="2"/>
  <c r="E312" i="2"/>
  <c r="E311" i="2"/>
  <c r="E310" i="2"/>
  <c r="E309" i="2"/>
  <c r="E308" i="2"/>
  <c r="E307" i="2"/>
  <c r="E306" i="2"/>
  <c r="E305" i="2"/>
  <c r="E304" i="2"/>
  <c r="E303" i="2"/>
  <c r="E302" i="2"/>
  <c r="E301" i="2"/>
  <c r="E300" i="2"/>
  <c r="E299" i="2"/>
  <c r="E298" i="2"/>
  <c r="E297" i="2"/>
  <c r="E296" i="2"/>
  <c r="E295" i="2"/>
  <c r="E294" i="2"/>
  <c r="E293" i="2"/>
  <c r="E292" i="2"/>
  <c r="E291" i="2"/>
  <c r="E290" i="2"/>
  <c r="E289" i="2"/>
  <c r="E288" i="2"/>
  <c r="E287" i="2"/>
  <c r="E286" i="2"/>
  <c r="E285" i="2"/>
  <c r="E284" i="2"/>
  <c r="E283" i="2"/>
  <c r="E282" i="2"/>
  <c r="E281" i="2"/>
  <c r="E280" i="2"/>
  <c r="E279" i="2"/>
  <c r="E278" i="2"/>
  <c r="E277" i="2"/>
  <c r="E276" i="2"/>
  <c r="E275" i="2"/>
  <c r="E274" i="2"/>
  <c r="E273" i="2"/>
  <c r="E272" i="2"/>
  <c r="E271" i="2"/>
  <c r="E270" i="2"/>
  <c r="E269" i="2"/>
  <c r="E268" i="2"/>
  <c r="E267" i="2"/>
  <c r="E266" i="2"/>
  <c r="E265" i="2"/>
  <c r="E264" i="2"/>
  <c r="E263" i="2"/>
  <c r="E262" i="2"/>
  <c r="E261" i="2"/>
  <c r="E260" i="2"/>
  <c r="E259" i="2"/>
  <c r="E258" i="2"/>
  <c r="E257" i="2"/>
  <c r="E256" i="2"/>
  <c r="E255" i="2"/>
  <c r="E254" i="2"/>
  <c r="E253" i="2"/>
  <c r="E252" i="2"/>
  <c r="E251" i="2"/>
  <c r="E250" i="2"/>
  <c r="E249" i="2"/>
  <c r="E248" i="2"/>
  <c r="E247" i="2"/>
  <c r="E246" i="2"/>
  <c r="E245" i="2"/>
  <c r="E244" i="2"/>
  <c r="E243" i="2"/>
  <c r="E242" i="2"/>
  <c r="E241" i="2"/>
  <c r="E240" i="2"/>
  <c r="E239" i="2"/>
  <c r="E238" i="2"/>
  <c r="E237" i="2"/>
  <c r="E236" i="2"/>
  <c r="E235" i="2"/>
  <c r="E234" i="2"/>
  <c r="E233" i="2"/>
  <c r="E232" i="2"/>
  <c r="E231" i="2"/>
  <c r="E230" i="2"/>
  <c r="E229" i="2"/>
  <c r="E228" i="2"/>
  <c r="E227" i="2"/>
  <c r="E226" i="2"/>
  <c r="E225" i="2"/>
  <c r="E224" i="2"/>
  <c r="E223" i="2"/>
  <c r="E222" i="2"/>
  <c r="E221" i="2"/>
  <c r="E220" i="2"/>
  <c r="E219" i="2"/>
  <c r="E218" i="2"/>
  <c r="E217" i="2"/>
  <c r="E216" i="2"/>
  <c r="E215" i="2"/>
  <c r="E214" i="2"/>
  <c r="E213" i="2"/>
  <c r="E212" i="2"/>
  <c r="E211" i="2"/>
  <c r="E210" i="2"/>
  <c r="E209" i="2"/>
  <c r="E208" i="2"/>
  <c r="E207" i="2"/>
  <c r="E206" i="2"/>
  <c r="E205" i="2"/>
  <c r="E204" i="2"/>
  <c r="E203" i="2"/>
  <c r="E202" i="2"/>
  <c r="E201" i="2"/>
  <c r="E200" i="2"/>
  <c r="E199" i="2"/>
  <c r="E198" i="2"/>
  <c r="E197" i="2"/>
  <c r="E196" i="2"/>
  <c r="E195" i="2"/>
  <c r="E194" i="2"/>
  <c r="E193" i="2"/>
  <c r="E192" i="2"/>
  <c r="E191" i="2"/>
  <c r="E190" i="2"/>
  <c r="E189" i="2"/>
  <c r="E188" i="2"/>
  <c r="E187" i="2"/>
  <c r="E186" i="2"/>
  <c r="E185" i="2"/>
  <c r="E184" i="2"/>
  <c r="E183" i="2"/>
  <c r="E182" i="2"/>
  <c r="E181" i="2"/>
  <c r="E180" i="2"/>
  <c r="E179" i="2"/>
  <c r="E178" i="2"/>
  <c r="E177" i="2"/>
  <c r="E176" i="2"/>
  <c r="E175" i="2"/>
  <c r="E174" i="2"/>
  <c r="E173" i="2"/>
  <c r="E172" i="2"/>
  <c r="E171" i="2"/>
  <c r="E170" i="2"/>
  <c r="E169" i="2"/>
  <c r="E168" i="2"/>
  <c r="E167" i="2"/>
  <c r="E166" i="2"/>
  <c r="E165" i="2"/>
  <c r="E164" i="2"/>
  <c r="E163" i="2"/>
  <c r="E162" i="2"/>
  <c r="E161" i="2"/>
  <c r="E160" i="2"/>
  <c r="E159" i="2"/>
  <c r="E158" i="2"/>
  <c r="E157" i="2"/>
  <c r="E156" i="2"/>
  <c r="E155" i="2"/>
  <c r="E154" i="2"/>
  <c r="E153" i="2"/>
  <c r="E152" i="2"/>
  <c r="E151" i="2"/>
  <c r="E150" i="2"/>
  <c r="E149" i="2"/>
  <c r="E148" i="2"/>
  <c r="E147" i="2"/>
  <c r="E146" i="2"/>
  <c r="E145" i="2"/>
  <c r="E144" i="2"/>
  <c r="E143" i="2"/>
  <c r="E142" i="2"/>
  <c r="E141" i="2"/>
  <c r="E140" i="2"/>
  <c r="E139" i="2"/>
  <c r="E138" i="2"/>
  <c r="E137" i="2"/>
  <c r="E136" i="2"/>
  <c r="E135" i="2"/>
  <c r="E134" i="2"/>
  <c r="E133" i="2"/>
  <c r="E132" i="2"/>
  <c r="E131" i="2"/>
  <c r="E130" i="2"/>
  <c r="E129" i="2"/>
  <c r="E128" i="2"/>
  <c r="E127" i="2"/>
  <c r="E126" i="2"/>
  <c r="E125" i="2"/>
  <c r="E124" i="2"/>
  <c r="E123" i="2"/>
  <c r="E122" i="2"/>
  <c r="E121" i="2"/>
  <c r="E120" i="2"/>
  <c r="E119" i="2"/>
  <c r="E118" i="2"/>
  <c r="E117" i="2"/>
  <c r="E116" i="2"/>
  <c r="E115" i="2"/>
  <c r="E114" i="2"/>
  <c r="E113" i="2"/>
  <c r="E112" i="2"/>
  <c r="E111" i="2"/>
  <c r="E110" i="2"/>
  <c r="E109" i="2"/>
  <c r="E108" i="2"/>
  <c r="E107" i="2"/>
  <c r="E106" i="2"/>
  <c r="E105" i="2"/>
  <c r="E104" i="2"/>
  <c r="E103" i="2"/>
  <c r="E102" i="2"/>
  <c r="E101" i="2"/>
  <c r="E100" i="2"/>
  <c r="E99" i="2"/>
  <c r="E98" i="2"/>
  <c r="E97" i="2"/>
  <c r="E96" i="2"/>
  <c r="E95" i="2"/>
  <c r="E94" i="2"/>
  <c r="E93" i="2"/>
  <c r="E92" i="2"/>
  <c r="E91" i="2"/>
  <c r="E90" i="2"/>
  <c r="E89" i="2"/>
  <c r="E88" i="2"/>
  <c r="E87" i="2"/>
  <c r="E86" i="2"/>
  <c r="E85" i="2"/>
  <c r="E84" i="2"/>
  <c r="E83" i="2"/>
  <c r="E82" i="2"/>
  <c r="E81" i="2"/>
  <c r="E80" i="2"/>
  <c r="E79" i="2"/>
  <c r="E78"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7" i="2"/>
  <c r="E6" i="2"/>
  <c r="E5" i="2"/>
  <c r="D1002" i="2"/>
  <c r="C1002" i="2"/>
  <c r="D1001" i="2"/>
  <c r="C1001" i="2"/>
  <c r="D1000" i="2"/>
  <c r="C1000" i="2"/>
  <c r="D999" i="2"/>
  <c r="C999" i="2"/>
  <c r="D998" i="2"/>
  <c r="C998" i="2"/>
  <c r="D997" i="2"/>
  <c r="C997" i="2"/>
  <c r="D996" i="2"/>
  <c r="C996" i="2"/>
  <c r="D995" i="2"/>
  <c r="C995" i="2"/>
  <c r="D994" i="2"/>
  <c r="C994" i="2"/>
  <c r="D993" i="2"/>
  <c r="C993" i="2"/>
  <c r="D992" i="2"/>
  <c r="C992" i="2"/>
  <c r="D991" i="2"/>
  <c r="C991" i="2"/>
  <c r="D990" i="2"/>
  <c r="C990" i="2"/>
  <c r="D989" i="2"/>
  <c r="C989" i="2"/>
  <c r="D988" i="2"/>
  <c r="C988" i="2"/>
  <c r="D987" i="2"/>
  <c r="C987" i="2"/>
  <c r="D986" i="2"/>
  <c r="C986" i="2"/>
  <c r="D985" i="2"/>
  <c r="C985" i="2"/>
  <c r="D984" i="2"/>
  <c r="C984" i="2"/>
  <c r="D983" i="2"/>
  <c r="C983" i="2"/>
  <c r="D982" i="2"/>
  <c r="C982" i="2"/>
  <c r="D981" i="2"/>
  <c r="C981" i="2"/>
  <c r="D980" i="2"/>
  <c r="C980" i="2"/>
  <c r="D979" i="2"/>
  <c r="C979" i="2"/>
  <c r="D978" i="2"/>
  <c r="C978" i="2"/>
  <c r="D977" i="2"/>
  <c r="C977" i="2"/>
  <c r="D976" i="2"/>
  <c r="C976" i="2"/>
  <c r="D975" i="2"/>
  <c r="C975" i="2"/>
  <c r="D974" i="2"/>
  <c r="C974" i="2"/>
  <c r="D973" i="2"/>
  <c r="C973" i="2"/>
  <c r="D972" i="2"/>
  <c r="C972" i="2"/>
  <c r="D971" i="2"/>
  <c r="C971" i="2"/>
  <c r="D970" i="2"/>
  <c r="C970" i="2"/>
  <c r="D969" i="2"/>
  <c r="C969" i="2"/>
  <c r="D968" i="2"/>
  <c r="C968" i="2"/>
  <c r="D967" i="2"/>
  <c r="C967" i="2"/>
  <c r="D966" i="2"/>
  <c r="C966" i="2"/>
  <c r="D965" i="2"/>
  <c r="C965" i="2"/>
  <c r="D964" i="2"/>
  <c r="C964" i="2"/>
  <c r="D963" i="2"/>
  <c r="C963" i="2"/>
  <c r="D962" i="2"/>
  <c r="C962" i="2"/>
  <c r="D961" i="2"/>
  <c r="C961" i="2"/>
  <c r="D960" i="2"/>
  <c r="C960" i="2"/>
  <c r="D959" i="2"/>
  <c r="C959" i="2"/>
  <c r="D958" i="2"/>
  <c r="C958" i="2"/>
  <c r="D957" i="2"/>
  <c r="C957" i="2"/>
  <c r="D956" i="2"/>
  <c r="C956" i="2"/>
  <c r="D955" i="2"/>
  <c r="C955" i="2"/>
  <c r="D954" i="2"/>
  <c r="C954" i="2"/>
  <c r="D953" i="2"/>
  <c r="C953" i="2"/>
  <c r="D952" i="2"/>
  <c r="C952" i="2"/>
  <c r="D951" i="2"/>
  <c r="C951" i="2"/>
  <c r="D950" i="2"/>
  <c r="C950" i="2"/>
  <c r="D949" i="2"/>
  <c r="C949" i="2"/>
  <c r="D948" i="2"/>
  <c r="C948" i="2"/>
  <c r="D947" i="2"/>
  <c r="C947" i="2"/>
  <c r="D946" i="2"/>
  <c r="C946" i="2"/>
  <c r="D945" i="2"/>
  <c r="C945" i="2"/>
  <c r="D944" i="2"/>
  <c r="C944" i="2"/>
  <c r="D943" i="2"/>
  <c r="C943" i="2"/>
  <c r="D942" i="2"/>
  <c r="C942" i="2"/>
  <c r="D941" i="2"/>
  <c r="C941" i="2"/>
  <c r="D940" i="2"/>
  <c r="C940" i="2"/>
  <c r="D939" i="2"/>
  <c r="C939" i="2"/>
  <c r="D938" i="2"/>
  <c r="C938" i="2"/>
  <c r="D937" i="2"/>
  <c r="C937" i="2"/>
  <c r="D936" i="2"/>
  <c r="C936" i="2"/>
  <c r="D935" i="2"/>
  <c r="C935" i="2"/>
  <c r="D934" i="2"/>
  <c r="C934" i="2"/>
  <c r="D933" i="2"/>
  <c r="C933" i="2"/>
  <c r="D932" i="2"/>
  <c r="C932" i="2"/>
  <c r="D931" i="2"/>
  <c r="C931" i="2"/>
  <c r="D930" i="2"/>
  <c r="C930" i="2"/>
  <c r="D929" i="2"/>
  <c r="C929" i="2"/>
  <c r="D928" i="2"/>
  <c r="C928" i="2"/>
  <c r="D927" i="2"/>
  <c r="C927" i="2"/>
  <c r="D926" i="2"/>
  <c r="C926" i="2"/>
  <c r="D925" i="2"/>
  <c r="C925" i="2"/>
  <c r="D924" i="2"/>
  <c r="C924" i="2"/>
  <c r="D923" i="2"/>
  <c r="C923" i="2"/>
  <c r="D922" i="2"/>
  <c r="C922" i="2"/>
  <c r="D921" i="2"/>
  <c r="C921" i="2"/>
  <c r="D920" i="2"/>
  <c r="C920" i="2"/>
  <c r="D919" i="2"/>
  <c r="C919" i="2"/>
  <c r="D918" i="2"/>
  <c r="C918" i="2"/>
  <c r="D917" i="2"/>
  <c r="C917" i="2"/>
  <c r="D916" i="2"/>
  <c r="C916" i="2"/>
  <c r="D915" i="2"/>
  <c r="C915" i="2"/>
  <c r="D914" i="2"/>
  <c r="C914" i="2"/>
  <c r="D913" i="2"/>
  <c r="C913" i="2"/>
  <c r="D912" i="2"/>
  <c r="C912" i="2"/>
  <c r="D911" i="2"/>
  <c r="C911" i="2"/>
  <c r="D910" i="2"/>
  <c r="C910" i="2"/>
  <c r="D909" i="2"/>
  <c r="C909" i="2"/>
  <c r="D908" i="2"/>
  <c r="C908" i="2"/>
  <c r="D907" i="2"/>
  <c r="C907" i="2"/>
  <c r="D906" i="2"/>
  <c r="C906" i="2"/>
  <c r="D905" i="2"/>
  <c r="C905" i="2"/>
  <c r="D904" i="2"/>
  <c r="C904" i="2"/>
  <c r="D903" i="2"/>
  <c r="C903" i="2"/>
  <c r="D902" i="2"/>
  <c r="C902" i="2"/>
  <c r="D901" i="2"/>
  <c r="C901" i="2"/>
  <c r="D900" i="2"/>
  <c r="C900" i="2"/>
  <c r="D899" i="2"/>
  <c r="C899" i="2"/>
  <c r="D898" i="2"/>
  <c r="C898" i="2"/>
  <c r="D897" i="2"/>
  <c r="C897" i="2"/>
  <c r="D896" i="2"/>
  <c r="C896" i="2"/>
  <c r="D895" i="2"/>
  <c r="C895" i="2"/>
  <c r="D894" i="2"/>
  <c r="C894" i="2"/>
  <c r="D893" i="2"/>
  <c r="C893" i="2"/>
  <c r="D892" i="2"/>
  <c r="C892" i="2"/>
  <c r="D891" i="2"/>
  <c r="C891" i="2"/>
  <c r="D890" i="2"/>
  <c r="C890" i="2"/>
  <c r="D889" i="2"/>
  <c r="C889" i="2"/>
  <c r="D888" i="2"/>
  <c r="C888" i="2"/>
  <c r="D887" i="2"/>
  <c r="C887" i="2"/>
  <c r="D886" i="2"/>
  <c r="C886" i="2"/>
  <c r="D885" i="2"/>
  <c r="C885" i="2"/>
  <c r="D884" i="2"/>
  <c r="C884" i="2"/>
  <c r="D883" i="2"/>
  <c r="C883" i="2"/>
  <c r="D882" i="2"/>
  <c r="C882" i="2"/>
  <c r="D881" i="2"/>
  <c r="C881" i="2"/>
  <c r="D880" i="2"/>
  <c r="C880" i="2"/>
  <c r="D879" i="2"/>
  <c r="C879" i="2"/>
  <c r="D878" i="2"/>
  <c r="C878" i="2"/>
  <c r="D877" i="2"/>
  <c r="C877" i="2"/>
  <c r="D876" i="2"/>
  <c r="C876" i="2"/>
  <c r="D875" i="2"/>
  <c r="C875" i="2"/>
  <c r="D874" i="2"/>
  <c r="C874" i="2"/>
  <c r="D873" i="2"/>
  <c r="C873" i="2"/>
  <c r="D872" i="2"/>
  <c r="C872" i="2"/>
  <c r="D871" i="2"/>
  <c r="C871" i="2"/>
  <c r="D870" i="2"/>
  <c r="C870" i="2"/>
  <c r="D869" i="2"/>
  <c r="C869" i="2"/>
  <c r="D868" i="2"/>
  <c r="C868" i="2"/>
  <c r="D867" i="2"/>
  <c r="C867" i="2"/>
  <c r="D866" i="2"/>
  <c r="C866" i="2"/>
  <c r="D865" i="2"/>
  <c r="C865" i="2"/>
  <c r="D864" i="2"/>
  <c r="C864" i="2"/>
  <c r="D863" i="2"/>
  <c r="C863" i="2"/>
  <c r="D862" i="2"/>
  <c r="C862" i="2"/>
  <c r="D861" i="2"/>
  <c r="C861" i="2"/>
  <c r="D860" i="2"/>
  <c r="C860" i="2"/>
  <c r="D859" i="2"/>
  <c r="C859" i="2"/>
  <c r="D858" i="2"/>
  <c r="C858" i="2"/>
  <c r="D857" i="2"/>
  <c r="C857" i="2"/>
  <c r="D856" i="2"/>
  <c r="C856" i="2"/>
  <c r="D855" i="2"/>
  <c r="C855" i="2"/>
  <c r="D854" i="2"/>
  <c r="C854" i="2"/>
  <c r="D853" i="2"/>
  <c r="C853" i="2"/>
  <c r="D852" i="2"/>
  <c r="C852" i="2"/>
  <c r="D851" i="2"/>
  <c r="C851" i="2"/>
  <c r="D850" i="2"/>
  <c r="C850" i="2"/>
  <c r="D849" i="2"/>
  <c r="C849" i="2"/>
  <c r="D848" i="2"/>
  <c r="C848" i="2"/>
  <c r="D847" i="2"/>
  <c r="C847" i="2"/>
  <c r="D846" i="2"/>
  <c r="C846" i="2"/>
  <c r="D845" i="2"/>
  <c r="C845" i="2"/>
  <c r="D844" i="2"/>
  <c r="C844" i="2"/>
  <c r="D843" i="2"/>
  <c r="C843" i="2"/>
  <c r="D842" i="2"/>
  <c r="C842" i="2"/>
  <c r="D841" i="2"/>
  <c r="C841" i="2"/>
  <c r="D840" i="2"/>
  <c r="C840" i="2"/>
  <c r="D839" i="2"/>
  <c r="C839" i="2"/>
  <c r="D838" i="2"/>
  <c r="C838" i="2"/>
  <c r="D837" i="2"/>
  <c r="C837" i="2"/>
  <c r="D836" i="2"/>
  <c r="C836" i="2"/>
  <c r="D835" i="2"/>
  <c r="C835" i="2"/>
  <c r="D834" i="2"/>
  <c r="C834" i="2"/>
  <c r="D833" i="2"/>
  <c r="C833" i="2"/>
  <c r="D832" i="2"/>
  <c r="C832" i="2"/>
  <c r="D831" i="2"/>
  <c r="C831" i="2"/>
  <c r="D830" i="2"/>
  <c r="C830" i="2"/>
  <c r="D829" i="2"/>
  <c r="C829" i="2"/>
  <c r="D828" i="2"/>
  <c r="C828" i="2"/>
  <c r="D827" i="2"/>
  <c r="C827" i="2"/>
  <c r="D826" i="2"/>
  <c r="C826" i="2"/>
  <c r="D825" i="2"/>
  <c r="C825" i="2"/>
  <c r="D824" i="2"/>
  <c r="C824" i="2"/>
  <c r="D823" i="2"/>
  <c r="C823" i="2"/>
  <c r="D822" i="2"/>
  <c r="C822" i="2"/>
  <c r="D821" i="2"/>
  <c r="C821" i="2"/>
  <c r="D820" i="2"/>
  <c r="C820" i="2"/>
  <c r="D819" i="2"/>
  <c r="C819" i="2"/>
  <c r="D818" i="2"/>
  <c r="C818" i="2"/>
  <c r="D817" i="2"/>
  <c r="C817" i="2"/>
  <c r="D816" i="2"/>
  <c r="C816" i="2"/>
  <c r="D815" i="2"/>
  <c r="C815" i="2"/>
  <c r="D814" i="2"/>
  <c r="C814" i="2"/>
  <c r="D813" i="2"/>
  <c r="C813" i="2"/>
  <c r="D812" i="2"/>
  <c r="C812" i="2"/>
  <c r="D811" i="2"/>
  <c r="C811" i="2"/>
  <c r="D810" i="2"/>
  <c r="C810" i="2"/>
  <c r="D809" i="2"/>
  <c r="C809" i="2"/>
  <c r="D808" i="2"/>
  <c r="C808" i="2"/>
  <c r="D807" i="2"/>
  <c r="C807" i="2"/>
  <c r="D806" i="2"/>
  <c r="C806" i="2"/>
  <c r="D805" i="2"/>
  <c r="C805" i="2"/>
  <c r="D804" i="2"/>
  <c r="C804" i="2"/>
  <c r="D803" i="2"/>
  <c r="C803" i="2"/>
  <c r="D802" i="2"/>
  <c r="C802" i="2"/>
  <c r="D801" i="2"/>
  <c r="C801" i="2"/>
  <c r="D800" i="2"/>
  <c r="C800" i="2"/>
  <c r="D799" i="2"/>
  <c r="C799" i="2"/>
  <c r="D798" i="2"/>
  <c r="C798" i="2"/>
  <c r="D797" i="2"/>
  <c r="C797" i="2"/>
  <c r="D796" i="2"/>
  <c r="C796" i="2"/>
  <c r="D795" i="2"/>
  <c r="C795" i="2"/>
  <c r="D794" i="2"/>
  <c r="C794" i="2"/>
  <c r="D793" i="2"/>
  <c r="C793" i="2"/>
  <c r="D792" i="2"/>
  <c r="C792" i="2"/>
  <c r="D791" i="2"/>
  <c r="C791" i="2"/>
  <c r="D790" i="2"/>
  <c r="C790" i="2"/>
  <c r="D789" i="2"/>
  <c r="C789" i="2"/>
  <c r="D788" i="2"/>
  <c r="C788" i="2"/>
  <c r="D787" i="2"/>
  <c r="C787" i="2"/>
  <c r="D786" i="2"/>
  <c r="C786" i="2"/>
  <c r="D785" i="2"/>
  <c r="C785" i="2"/>
  <c r="D784" i="2"/>
  <c r="C784" i="2"/>
  <c r="D783" i="2"/>
  <c r="C783" i="2"/>
  <c r="D782" i="2"/>
  <c r="C782" i="2"/>
  <c r="D781" i="2"/>
  <c r="C781" i="2"/>
  <c r="D780" i="2"/>
  <c r="C780" i="2"/>
  <c r="D779" i="2"/>
  <c r="C779" i="2"/>
  <c r="D778" i="2"/>
  <c r="C778" i="2"/>
  <c r="D777" i="2"/>
  <c r="C777" i="2"/>
  <c r="D776" i="2"/>
  <c r="C776" i="2"/>
  <c r="D775" i="2"/>
  <c r="C775" i="2"/>
  <c r="D774" i="2"/>
  <c r="C774" i="2"/>
  <c r="D773" i="2"/>
  <c r="C773" i="2"/>
  <c r="D772" i="2"/>
  <c r="C772" i="2"/>
  <c r="D771" i="2"/>
  <c r="C771" i="2"/>
  <c r="D770" i="2"/>
  <c r="C770" i="2"/>
  <c r="D769" i="2"/>
  <c r="C769" i="2"/>
  <c r="D768" i="2"/>
  <c r="C768" i="2"/>
  <c r="D767" i="2"/>
  <c r="C767" i="2"/>
  <c r="D766" i="2"/>
  <c r="C766" i="2"/>
  <c r="D765" i="2"/>
  <c r="C765" i="2"/>
  <c r="D764" i="2"/>
  <c r="C764" i="2"/>
  <c r="D763" i="2"/>
  <c r="C763" i="2"/>
  <c r="D762" i="2"/>
  <c r="C762" i="2"/>
  <c r="D761" i="2"/>
  <c r="C761" i="2"/>
  <c r="D760" i="2"/>
  <c r="C760" i="2"/>
  <c r="D759" i="2"/>
  <c r="C759" i="2"/>
  <c r="D758" i="2"/>
  <c r="C758" i="2"/>
  <c r="D757" i="2"/>
  <c r="C757" i="2"/>
  <c r="D756" i="2"/>
  <c r="C756" i="2"/>
  <c r="D755" i="2"/>
  <c r="C755" i="2"/>
  <c r="D754" i="2"/>
  <c r="C754" i="2"/>
  <c r="D753" i="2"/>
  <c r="C753" i="2"/>
  <c r="D752" i="2"/>
  <c r="C752" i="2"/>
  <c r="D751" i="2"/>
  <c r="C751" i="2"/>
  <c r="D750" i="2"/>
  <c r="C750" i="2"/>
  <c r="D749" i="2"/>
  <c r="C749" i="2"/>
  <c r="D748" i="2"/>
  <c r="C748" i="2"/>
  <c r="D747" i="2"/>
  <c r="C747" i="2"/>
  <c r="D746" i="2"/>
  <c r="C746" i="2"/>
  <c r="D745" i="2"/>
  <c r="C745" i="2"/>
  <c r="D744" i="2"/>
  <c r="C744" i="2"/>
  <c r="D743" i="2"/>
  <c r="C743" i="2"/>
  <c r="D742" i="2"/>
  <c r="C742" i="2"/>
  <c r="D741" i="2"/>
  <c r="C741" i="2"/>
  <c r="D740" i="2"/>
  <c r="C740" i="2"/>
  <c r="D739" i="2"/>
  <c r="C739" i="2"/>
  <c r="D738" i="2"/>
  <c r="C738" i="2"/>
  <c r="D737" i="2"/>
  <c r="C737" i="2"/>
  <c r="D736" i="2"/>
  <c r="C736" i="2"/>
  <c r="D735" i="2"/>
  <c r="C735" i="2"/>
  <c r="D734" i="2"/>
  <c r="C734" i="2"/>
  <c r="D733" i="2"/>
  <c r="C733" i="2"/>
  <c r="D732" i="2"/>
  <c r="C732" i="2"/>
  <c r="D731" i="2"/>
  <c r="C731" i="2"/>
  <c r="D730" i="2"/>
  <c r="C730" i="2"/>
  <c r="D729" i="2"/>
  <c r="C729" i="2"/>
  <c r="D728" i="2"/>
  <c r="C728" i="2"/>
  <c r="D727" i="2"/>
  <c r="C727" i="2"/>
  <c r="D726" i="2"/>
  <c r="C726" i="2"/>
  <c r="D725" i="2"/>
  <c r="C725" i="2"/>
  <c r="D724" i="2"/>
  <c r="C724" i="2"/>
  <c r="D723" i="2"/>
  <c r="C723" i="2"/>
  <c r="D722" i="2"/>
  <c r="C722" i="2"/>
  <c r="D721" i="2"/>
  <c r="C721" i="2"/>
  <c r="D720" i="2"/>
  <c r="C720" i="2"/>
  <c r="D719" i="2"/>
  <c r="C719" i="2"/>
  <c r="D718" i="2"/>
  <c r="C718" i="2"/>
  <c r="D717" i="2"/>
  <c r="C717" i="2"/>
  <c r="D716" i="2"/>
  <c r="C716" i="2"/>
  <c r="D715" i="2"/>
  <c r="C715" i="2"/>
  <c r="D714" i="2"/>
  <c r="C714" i="2"/>
  <c r="D713" i="2"/>
  <c r="C713" i="2"/>
  <c r="D712" i="2"/>
  <c r="C712" i="2"/>
  <c r="D711" i="2"/>
  <c r="C711" i="2"/>
  <c r="D710" i="2"/>
  <c r="C710" i="2"/>
  <c r="D709" i="2"/>
  <c r="C709" i="2"/>
  <c r="D708" i="2"/>
  <c r="C708" i="2"/>
  <c r="D707" i="2"/>
  <c r="C707" i="2"/>
  <c r="D706" i="2"/>
  <c r="C706" i="2"/>
  <c r="D705" i="2"/>
  <c r="C705" i="2"/>
  <c r="D704" i="2"/>
  <c r="C704" i="2"/>
  <c r="D703" i="2"/>
  <c r="C703" i="2"/>
  <c r="D702" i="2"/>
  <c r="C702" i="2"/>
  <c r="D701" i="2"/>
  <c r="C701" i="2"/>
  <c r="D700" i="2"/>
  <c r="C700" i="2"/>
  <c r="D699" i="2"/>
  <c r="C699" i="2"/>
  <c r="D698" i="2"/>
  <c r="C698" i="2"/>
  <c r="D697" i="2"/>
  <c r="C697" i="2"/>
  <c r="D696" i="2"/>
  <c r="C696" i="2"/>
  <c r="D695" i="2"/>
  <c r="C695" i="2"/>
  <c r="D694" i="2"/>
  <c r="C694" i="2"/>
  <c r="D693" i="2"/>
  <c r="C693" i="2"/>
  <c r="D692" i="2"/>
  <c r="C692" i="2"/>
  <c r="D691" i="2"/>
  <c r="C691" i="2"/>
  <c r="D690" i="2"/>
  <c r="C690" i="2"/>
  <c r="D689" i="2"/>
  <c r="C689" i="2"/>
  <c r="D688" i="2"/>
  <c r="C688" i="2"/>
  <c r="D687" i="2"/>
  <c r="C687" i="2"/>
  <c r="D686" i="2"/>
  <c r="C686" i="2"/>
  <c r="D685" i="2"/>
  <c r="C685" i="2"/>
  <c r="D684" i="2"/>
  <c r="C684" i="2"/>
  <c r="D683" i="2"/>
  <c r="C683" i="2"/>
  <c r="D682" i="2"/>
  <c r="C682" i="2"/>
  <c r="D681" i="2"/>
  <c r="C681" i="2"/>
  <c r="D680" i="2"/>
  <c r="C680" i="2"/>
  <c r="D679" i="2"/>
  <c r="C679" i="2"/>
  <c r="D678" i="2"/>
  <c r="C678" i="2"/>
  <c r="D677" i="2"/>
  <c r="C677" i="2"/>
  <c r="D676" i="2"/>
  <c r="C676" i="2"/>
  <c r="D675" i="2"/>
  <c r="C675" i="2"/>
  <c r="D674" i="2"/>
  <c r="C674" i="2"/>
  <c r="D673" i="2"/>
  <c r="C673" i="2"/>
  <c r="D672" i="2"/>
  <c r="C672" i="2"/>
  <c r="D671" i="2"/>
  <c r="C671" i="2"/>
  <c r="D670" i="2"/>
  <c r="C670" i="2"/>
  <c r="D669" i="2"/>
  <c r="C669" i="2"/>
  <c r="D668" i="2"/>
  <c r="C668" i="2"/>
  <c r="D667" i="2"/>
  <c r="C667" i="2"/>
  <c r="D666" i="2"/>
  <c r="C666" i="2"/>
  <c r="D665" i="2"/>
  <c r="C665" i="2"/>
  <c r="D664" i="2"/>
  <c r="C664" i="2"/>
  <c r="D663" i="2"/>
  <c r="C663" i="2"/>
  <c r="D662" i="2"/>
  <c r="C662" i="2"/>
  <c r="D661" i="2"/>
  <c r="C661" i="2"/>
  <c r="D660" i="2"/>
  <c r="C660" i="2"/>
  <c r="D659" i="2"/>
  <c r="C659" i="2"/>
  <c r="D658" i="2"/>
  <c r="C658" i="2"/>
  <c r="D657" i="2"/>
  <c r="C657" i="2"/>
  <c r="D656" i="2"/>
  <c r="C656" i="2"/>
  <c r="D655" i="2"/>
  <c r="C655" i="2"/>
  <c r="D654" i="2"/>
  <c r="C654" i="2"/>
  <c r="D653" i="2"/>
  <c r="C653" i="2"/>
  <c r="D652" i="2"/>
  <c r="C652" i="2"/>
  <c r="D651" i="2"/>
  <c r="C651" i="2"/>
  <c r="D650" i="2"/>
  <c r="C650" i="2"/>
  <c r="D649" i="2"/>
  <c r="C649" i="2"/>
  <c r="D648" i="2"/>
  <c r="C648" i="2"/>
  <c r="D647" i="2"/>
  <c r="C647" i="2"/>
  <c r="D646" i="2"/>
  <c r="C646" i="2"/>
  <c r="D645" i="2"/>
  <c r="C645" i="2"/>
  <c r="D644" i="2"/>
  <c r="C644" i="2"/>
  <c r="D643" i="2"/>
  <c r="C643" i="2"/>
  <c r="D642" i="2"/>
  <c r="C642" i="2"/>
  <c r="D641" i="2"/>
  <c r="C641" i="2"/>
  <c r="D640" i="2"/>
  <c r="C640" i="2"/>
  <c r="D639" i="2"/>
  <c r="C639" i="2"/>
  <c r="D638" i="2"/>
  <c r="C638" i="2"/>
  <c r="D637" i="2"/>
  <c r="C637" i="2"/>
  <c r="D636" i="2"/>
  <c r="C636" i="2"/>
  <c r="D635" i="2"/>
  <c r="C635" i="2"/>
  <c r="D634" i="2"/>
  <c r="C634" i="2"/>
  <c r="D633" i="2"/>
  <c r="C633" i="2"/>
  <c r="D632" i="2"/>
  <c r="C632" i="2"/>
  <c r="D631" i="2"/>
  <c r="C631" i="2"/>
  <c r="D630" i="2"/>
  <c r="C630" i="2"/>
  <c r="D629" i="2"/>
  <c r="C629" i="2"/>
  <c r="D628" i="2"/>
  <c r="C628" i="2"/>
  <c r="D627" i="2"/>
  <c r="C627" i="2"/>
  <c r="D626" i="2"/>
  <c r="C626" i="2"/>
  <c r="D625" i="2"/>
  <c r="C625" i="2"/>
  <c r="D624" i="2"/>
  <c r="C624" i="2"/>
  <c r="D623" i="2"/>
  <c r="C623" i="2"/>
  <c r="D622" i="2"/>
  <c r="C622" i="2"/>
  <c r="D621" i="2"/>
  <c r="C621" i="2"/>
  <c r="D620" i="2"/>
  <c r="C620" i="2"/>
  <c r="D619" i="2"/>
  <c r="C619" i="2"/>
  <c r="D618" i="2"/>
  <c r="C618" i="2"/>
  <c r="D617" i="2"/>
  <c r="C617" i="2"/>
  <c r="D616" i="2"/>
  <c r="C616" i="2"/>
  <c r="D615" i="2"/>
  <c r="C615" i="2"/>
  <c r="D614" i="2"/>
  <c r="C614" i="2"/>
  <c r="D613" i="2"/>
  <c r="C613" i="2"/>
  <c r="D612" i="2"/>
  <c r="C612" i="2"/>
  <c r="D611" i="2"/>
  <c r="C611" i="2"/>
  <c r="D610" i="2"/>
  <c r="C610" i="2"/>
  <c r="D609" i="2"/>
  <c r="C609" i="2"/>
  <c r="D608" i="2"/>
  <c r="C608" i="2"/>
  <c r="D607" i="2"/>
  <c r="C607" i="2"/>
  <c r="D606" i="2"/>
  <c r="C606" i="2"/>
  <c r="D605" i="2"/>
  <c r="C605" i="2"/>
  <c r="D604" i="2"/>
  <c r="C604" i="2"/>
  <c r="D603" i="2"/>
  <c r="C603" i="2"/>
  <c r="D602" i="2"/>
  <c r="C602" i="2"/>
  <c r="D601" i="2"/>
  <c r="C601" i="2"/>
  <c r="D600" i="2"/>
  <c r="C600" i="2"/>
  <c r="D599" i="2"/>
  <c r="C599" i="2"/>
  <c r="D598" i="2"/>
  <c r="C598" i="2"/>
  <c r="D597" i="2"/>
  <c r="C597" i="2"/>
  <c r="D596" i="2"/>
  <c r="C596" i="2"/>
  <c r="D595" i="2"/>
  <c r="C595" i="2"/>
  <c r="D594" i="2"/>
  <c r="C594" i="2"/>
  <c r="D593" i="2"/>
  <c r="C593" i="2"/>
  <c r="D592" i="2"/>
  <c r="C592" i="2"/>
  <c r="D591" i="2"/>
  <c r="C591" i="2"/>
  <c r="D590" i="2"/>
  <c r="C590" i="2"/>
  <c r="D589" i="2"/>
  <c r="C589" i="2"/>
  <c r="D588" i="2"/>
  <c r="C588" i="2"/>
  <c r="D587" i="2"/>
  <c r="C587" i="2"/>
  <c r="D586" i="2"/>
  <c r="C586" i="2"/>
  <c r="D585" i="2"/>
  <c r="C585" i="2"/>
  <c r="D584" i="2"/>
  <c r="C584" i="2"/>
  <c r="D583" i="2"/>
  <c r="C583" i="2"/>
  <c r="D582" i="2"/>
  <c r="C582" i="2"/>
  <c r="D581" i="2"/>
  <c r="C581" i="2"/>
  <c r="D580" i="2"/>
  <c r="C580" i="2"/>
  <c r="D579" i="2"/>
  <c r="C579" i="2"/>
  <c r="D578" i="2"/>
  <c r="C578" i="2"/>
  <c r="D577" i="2"/>
  <c r="C577" i="2"/>
  <c r="D576" i="2"/>
  <c r="C576" i="2"/>
  <c r="D575" i="2"/>
  <c r="C575" i="2"/>
  <c r="D574" i="2"/>
  <c r="C574" i="2"/>
  <c r="D573" i="2"/>
  <c r="C573" i="2"/>
  <c r="D572" i="2"/>
  <c r="C572" i="2"/>
  <c r="D571" i="2"/>
  <c r="C571" i="2"/>
  <c r="D570" i="2"/>
  <c r="C570" i="2"/>
  <c r="D569" i="2"/>
  <c r="C569" i="2"/>
  <c r="D568" i="2"/>
  <c r="C568" i="2"/>
  <c r="D567" i="2"/>
  <c r="C567" i="2"/>
  <c r="D566" i="2"/>
  <c r="C566" i="2"/>
  <c r="D565" i="2"/>
  <c r="C565" i="2"/>
  <c r="D564" i="2"/>
  <c r="C564" i="2"/>
  <c r="D563" i="2"/>
  <c r="C563" i="2"/>
  <c r="D562" i="2"/>
  <c r="C562" i="2"/>
  <c r="D561" i="2"/>
  <c r="C561" i="2"/>
  <c r="D560" i="2"/>
  <c r="C560" i="2"/>
  <c r="D559" i="2"/>
  <c r="C559" i="2"/>
  <c r="D558" i="2"/>
  <c r="C558" i="2"/>
  <c r="D557" i="2"/>
  <c r="C557" i="2"/>
  <c r="D556" i="2"/>
  <c r="C556" i="2"/>
  <c r="D555" i="2"/>
  <c r="C555" i="2"/>
  <c r="D554" i="2"/>
  <c r="C554" i="2"/>
  <c r="D553" i="2"/>
  <c r="C553" i="2"/>
  <c r="D552" i="2"/>
  <c r="C552" i="2"/>
  <c r="D551" i="2"/>
  <c r="C551" i="2"/>
  <c r="D550" i="2"/>
  <c r="C550" i="2"/>
  <c r="D549" i="2"/>
  <c r="C549" i="2"/>
  <c r="D548" i="2"/>
  <c r="C548" i="2"/>
  <c r="D547" i="2"/>
  <c r="C547" i="2"/>
  <c r="D546" i="2"/>
  <c r="C546" i="2"/>
  <c r="D545" i="2"/>
  <c r="C545" i="2"/>
  <c r="D544" i="2"/>
  <c r="C544" i="2"/>
  <c r="D543" i="2"/>
  <c r="C543" i="2"/>
  <c r="D542" i="2"/>
  <c r="C542" i="2"/>
  <c r="D541" i="2"/>
  <c r="C541" i="2"/>
  <c r="D540" i="2"/>
  <c r="C540" i="2"/>
  <c r="D539" i="2"/>
  <c r="C539" i="2"/>
  <c r="D538" i="2"/>
  <c r="C538" i="2"/>
  <c r="D537" i="2"/>
  <c r="C537" i="2"/>
  <c r="D536" i="2"/>
  <c r="C536" i="2"/>
  <c r="D535" i="2"/>
  <c r="C535" i="2"/>
  <c r="D534" i="2"/>
  <c r="C534" i="2"/>
  <c r="D533" i="2"/>
  <c r="C533" i="2"/>
  <c r="D532" i="2"/>
  <c r="C532" i="2"/>
  <c r="D531" i="2"/>
  <c r="C531" i="2"/>
  <c r="D530" i="2"/>
  <c r="C530" i="2"/>
  <c r="D529" i="2"/>
  <c r="C529" i="2"/>
  <c r="D528" i="2"/>
  <c r="C528" i="2"/>
  <c r="D527" i="2"/>
  <c r="C527" i="2"/>
  <c r="D526" i="2"/>
  <c r="C526" i="2"/>
  <c r="D525" i="2"/>
  <c r="C525" i="2"/>
  <c r="D524" i="2"/>
  <c r="C524" i="2"/>
  <c r="D523" i="2"/>
  <c r="C523" i="2"/>
  <c r="D522" i="2"/>
  <c r="C522" i="2"/>
  <c r="D521" i="2"/>
  <c r="C521" i="2"/>
  <c r="D520" i="2"/>
  <c r="C520" i="2"/>
  <c r="D519" i="2"/>
  <c r="C519" i="2"/>
  <c r="D518" i="2"/>
  <c r="C518" i="2"/>
  <c r="D517" i="2"/>
  <c r="C517" i="2"/>
  <c r="D516" i="2"/>
  <c r="C516" i="2"/>
  <c r="D515" i="2"/>
  <c r="C515" i="2"/>
  <c r="D514" i="2"/>
  <c r="C514" i="2"/>
  <c r="D513" i="2"/>
  <c r="C513" i="2"/>
  <c r="D512" i="2"/>
  <c r="C512" i="2"/>
  <c r="D511" i="2"/>
  <c r="C511" i="2"/>
  <c r="D510" i="2"/>
  <c r="C510" i="2"/>
  <c r="D509" i="2"/>
  <c r="C509" i="2"/>
  <c r="D508" i="2"/>
  <c r="C508" i="2"/>
  <c r="D507" i="2"/>
  <c r="C507" i="2"/>
  <c r="D506" i="2"/>
  <c r="C506" i="2"/>
  <c r="D505" i="2"/>
  <c r="C505" i="2"/>
  <c r="D504" i="2"/>
  <c r="C504" i="2"/>
  <c r="D503" i="2"/>
  <c r="C503" i="2"/>
  <c r="D502" i="2"/>
  <c r="C502" i="2"/>
  <c r="D501" i="2"/>
  <c r="C501" i="2"/>
  <c r="D500" i="2"/>
  <c r="C500" i="2"/>
  <c r="D499" i="2"/>
  <c r="C499" i="2"/>
  <c r="D498" i="2"/>
  <c r="C498" i="2"/>
  <c r="D497" i="2"/>
  <c r="C497" i="2"/>
  <c r="D496" i="2"/>
  <c r="C496" i="2"/>
  <c r="D495" i="2"/>
  <c r="C495" i="2"/>
  <c r="D494" i="2"/>
  <c r="C494" i="2"/>
  <c r="D493" i="2"/>
  <c r="C493" i="2"/>
  <c r="D492" i="2"/>
  <c r="C492" i="2"/>
  <c r="D491" i="2"/>
  <c r="C491" i="2"/>
  <c r="D490" i="2"/>
  <c r="C490" i="2"/>
  <c r="D489" i="2"/>
  <c r="C489" i="2"/>
  <c r="D488" i="2"/>
  <c r="C488" i="2"/>
  <c r="D487" i="2"/>
  <c r="C487" i="2"/>
  <c r="D486" i="2"/>
  <c r="C486" i="2"/>
  <c r="D485" i="2"/>
  <c r="C485" i="2"/>
  <c r="D484" i="2"/>
  <c r="C484" i="2"/>
  <c r="D483" i="2"/>
  <c r="C483" i="2"/>
  <c r="D482" i="2"/>
  <c r="C482" i="2"/>
  <c r="D481" i="2"/>
  <c r="C481" i="2"/>
  <c r="D480" i="2"/>
  <c r="C480" i="2"/>
  <c r="D479" i="2"/>
  <c r="C479" i="2"/>
  <c r="D478" i="2"/>
  <c r="C478" i="2"/>
  <c r="D477" i="2"/>
  <c r="C477" i="2"/>
  <c r="D476" i="2"/>
  <c r="C476" i="2"/>
  <c r="D475" i="2"/>
  <c r="C475" i="2"/>
  <c r="D474" i="2"/>
  <c r="C474" i="2"/>
  <c r="D473" i="2"/>
  <c r="C473" i="2"/>
  <c r="D472" i="2"/>
  <c r="C472" i="2"/>
  <c r="D471" i="2"/>
  <c r="C471" i="2"/>
  <c r="D470" i="2"/>
  <c r="C470" i="2"/>
  <c r="D469" i="2"/>
  <c r="C469" i="2"/>
  <c r="D468" i="2"/>
  <c r="C468" i="2"/>
  <c r="D467" i="2"/>
  <c r="C467" i="2"/>
  <c r="D466" i="2"/>
  <c r="C466" i="2"/>
  <c r="D465" i="2"/>
  <c r="C465" i="2"/>
  <c r="D464" i="2"/>
  <c r="C464" i="2"/>
  <c r="D463" i="2"/>
  <c r="C463" i="2"/>
  <c r="D462" i="2"/>
  <c r="C462" i="2"/>
  <c r="D461" i="2"/>
  <c r="C461" i="2"/>
  <c r="D460" i="2"/>
  <c r="C460" i="2"/>
  <c r="D459" i="2"/>
  <c r="C459" i="2"/>
  <c r="D458" i="2"/>
  <c r="C458" i="2"/>
  <c r="D457" i="2"/>
  <c r="C457" i="2"/>
  <c r="D456" i="2"/>
  <c r="C456" i="2"/>
  <c r="D455" i="2"/>
  <c r="C455" i="2"/>
  <c r="D454" i="2"/>
  <c r="C454" i="2"/>
  <c r="D453" i="2"/>
  <c r="C453" i="2"/>
  <c r="D452" i="2"/>
  <c r="C452" i="2"/>
  <c r="D451" i="2"/>
  <c r="C451" i="2"/>
  <c r="D450" i="2"/>
  <c r="C450" i="2"/>
  <c r="D449" i="2"/>
  <c r="C449" i="2"/>
  <c r="D448" i="2"/>
  <c r="C448" i="2"/>
  <c r="D447" i="2"/>
  <c r="C447" i="2"/>
  <c r="D446" i="2"/>
  <c r="C446" i="2"/>
  <c r="D445" i="2"/>
  <c r="C445" i="2"/>
  <c r="D444" i="2"/>
  <c r="C444" i="2"/>
  <c r="D443" i="2"/>
  <c r="C443" i="2"/>
  <c r="D442" i="2"/>
  <c r="C442" i="2"/>
  <c r="D441" i="2"/>
  <c r="C441" i="2"/>
  <c r="D440" i="2"/>
  <c r="C440" i="2"/>
  <c r="D439" i="2"/>
  <c r="C439" i="2"/>
  <c r="D438" i="2"/>
  <c r="C438" i="2"/>
  <c r="D437" i="2"/>
  <c r="C437" i="2"/>
  <c r="D436" i="2"/>
  <c r="C436" i="2"/>
  <c r="D435" i="2"/>
  <c r="C435" i="2"/>
  <c r="D434" i="2"/>
  <c r="C434" i="2"/>
  <c r="D433" i="2"/>
  <c r="C433" i="2"/>
  <c r="D432" i="2"/>
  <c r="C432" i="2"/>
  <c r="D431" i="2"/>
  <c r="C431" i="2"/>
  <c r="D430" i="2"/>
  <c r="C430" i="2"/>
  <c r="D429" i="2"/>
  <c r="C429" i="2"/>
  <c r="D428" i="2"/>
  <c r="C428" i="2"/>
  <c r="D427" i="2"/>
  <c r="C427" i="2"/>
  <c r="D426" i="2"/>
  <c r="C426" i="2"/>
  <c r="D425" i="2"/>
  <c r="C425" i="2"/>
  <c r="D424" i="2"/>
  <c r="C424" i="2"/>
  <c r="D423" i="2"/>
  <c r="C423" i="2"/>
  <c r="D422" i="2"/>
  <c r="C422" i="2"/>
  <c r="D421" i="2"/>
  <c r="C421" i="2"/>
  <c r="D420" i="2"/>
  <c r="C420" i="2"/>
  <c r="D419" i="2"/>
  <c r="C419" i="2"/>
  <c r="D418" i="2"/>
  <c r="C418" i="2"/>
  <c r="D417" i="2"/>
  <c r="C417" i="2"/>
  <c r="D416" i="2"/>
  <c r="C416" i="2"/>
  <c r="D415" i="2"/>
  <c r="C415" i="2"/>
  <c r="D414" i="2"/>
  <c r="C414" i="2"/>
  <c r="D413" i="2"/>
  <c r="C413" i="2"/>
  <c r="D412" i="2"/>
  <c r="C412" i="2"/>
  <c r="D411" i="2"/>
  <c r="C411" i="2"/>
  <c r="D410" i="2"/>
  <c r="C410" i="2"/>
  <c r="D409" i="2"/>
  <c r="C409" i="2"/>
  <c r="D408" i="2"/>
  <c r="C408" i="2"/>
  <c r="D407" i="2"/>
  <c r="C407" i="2"/>
  <c r="D406" i="2"/>
  <c r="C406" i="2"/>
  <c r="D405" i="2"/>
  <c r="C405" i="2"/>
  <c r="D404" i="2"/>
  <c r="C404" i="2"/>
  <c r="D403" i="2"/>
  <c r="C403" i="2"/>
  <c r="D402" i="2"/>
  <c r="C402" i="2"/>
  <c r="D401" i="2"/>
  <c r="C401" i="2"/>
  <c r="D400" i="2"/>
  <c r="C400" i="2"/>
  <c r="D399" i="2"/>
  <c r="C399" i="2"/>
  <c r="D398" i="2"/>
  <c r="C398" i="2"/>
  <c r="D397" i="2"/>
  <c r="C397" i="2"/>
  <c r="D396" i="2"/>
  <c r="C396" i="2"/>
  <c r="D395" i="2"/>
  <c r="C395" i="2"/>
  <c r="D394" i="2"/>
  <c r="C394" i="2"/>
  <c r="D393" i="2"/>
  <c r="C393" i="2"/>
  <c r="D392" i="2"/>
  <c r="C392" i="2"/>
  <c r="D391" i="2"/>
  <c r="C391" i="2"/>
  <c r="D390" i="2"/>
  <c r="C390" i="2"/>
  <c r="D389" i="2"/>
  <c r="C389" i="2"/>
  <c r="D388" i="2"/>
  <c r="C388" i="2"/>
  <c r="D387" i="2"/>
  <c r="C387" i="2"/>
  <c r="D386" i="2"/>
  <c r="C386" i="2"/>
  <c r="D385" i="2"/>
  <c r="C385" i="2"/>
  <c r="D384" i="2"/>
  <c r="C384" i="2"/>
  <c r="D383" i="2"/>
  <c r="C383" i="2"/>
  <c r="D382" i="2"/>
  <c r="C382" i="2"/>
  <c r="D381" i="2"/>
  <c r="C381" i="2"/>
  <c r="D380" i="2"/>
  <c r="C380" i="2"/>
  <c r="D379" i="2"/>
  <c r="C379" i="2"/>
  <c r="D378" i="2"/>
  <c r="C378" i="2"/>
  <c r="D377" i="2"/>
  <c r="C377" i="2"/>
  <c r="D376" i="2"/>
  <c r="C376" i="2"/>
  <c r="D375" i="2"/>
  <c r="C375" i="2"/>
  <c r="D374" i="2"/>
  <c r="C374" i="2"/>
  <c r="D373" i="2"/>
  <c r="C373" i="2"/>
  <c r="D372" i="2"/>
  <c r="C372" i="2"/>
  <c r="D371" i="2"/>
  <c r="C371" i="2"/>
  <c r="D370" i="2"/>
  <c r="C370" i="2"/>
  <c r="D369" i="2"/>
  <c r="C369" i="2"/>
  <c r="D368" i="2"/>
  <c r="C368" i="2"/>
  <c r="D367" i="2"/>
  <c r="C367" i="2"/>
  <c r="D366" i="2"/>
  <c r="C366" i="2"/>
  <c r="D365" i="2"/>
  <c r="C365" i="2"/>
  <c r="D364" i="2"/>
  <c r="C364" i="2"/>
  <c r="D363" i="2"/>
  <c r="C363" i="2"/>
  <c r="D362" i="2"/>
  <c r="C362" i="2"/>
  <c r="D361" i="2"/>
  <c r="C361" i="2"/>
  <c r="D360" i="2"/>
  <c r="C360" i="2"/>
  <c r="D359" i="2"/>
  <c r="C359" i="2"/>
  <c r="D358" i="2"/>
  <c r="C358" i="2"/>
  <c r="D357" i="2"/>
  <c r="C357" i="2"/>
  <c r="D356" i="2"/>
  <c r="C356" i="2"/>
  <c r="D355" i="2"/>
  <c r="C355" i="2"/>
  <c r="D354" i="2"/>
  <c r="C354" i="2"/>
  <c r="D353" i="2"/>
  <c r="C353" i="2"/>
  <c r="D352" i="2"/>
  <c r="C352" i="2"/>
  <c r="D351" i="2"/>
  <c r="C351" i="2"/>
  <c r="D350" i="2"/>
  <c r="C350" i="2"/>
  <c r="D349" i="2"/>
  <c r="C349" i="2"/>
  <c r="D348" i="2"/>
  <c r="C348" i="2"/>
  <c r="D347" i="2"/>
  <c r="C347" i="2"/>
  <c r="D346" i="2"/>
  <c r="C346" i="2"/>
  <c r="D345" i="2"/>
  <c r="C345" i="2"/>
  <c r="D344" i="2"/>
  <c r="C344" i="2"/>
  <c r="D343" i="2"/>
  <c r="C343" i="2"/>
  <c r="D342" i="2"/>
  <c r="C342" i="2"/>
  <c r="D341" i="2"/>
  <c r="C341" i="2"/>
  <c r="D340" i="2"/>
  <c r="C340" i="2"/>
  <c r="D339" i="2"/>
  <c r="C339" i="2"/>
  <c r="D338" i="2"/>
  <c r="C338" i="2"/>
  <c r="D337" i="2"/>
  <c r="C337" i="2"/>
  <c r="D336" i="2"/>
  <c r="C336" i="2"/>
  <c r="D335" i="2"/>
  <c r="C335" i="2"/>
  <c r="D334" i="2"/>
  <c r="C334" i="2"/>
  <c r="D333" i="2"/>
  <c r="C333" i="2"/>
  <c r="D332" i="2"/>
  <c r="C332" i="2"/>
  <c r="D331" i="2"/>
  <c r="C331" i="2"/>
  <c r="D330" i="2"/>
  <c r="C330" i="2"/>
  <c r="D329" i="2"/>
  <c r="C329" i="2"/>
  <c r="D328" i="2"/>
  <c r="C328" i="2"/>
  <c r="D327" i="2"/>
  <c r="C327" i="2"/>
  <c r="D326" i="2"/>
  <c r="C326" i="2"/>
  <c r="D325" i="2"/>
  <c r="C325" i="2"/>
  <c r="D324" i="2"/>
  <c r="C324" i="2"/>
  <c r="D323" i="2"/>
  <c r="C323" i="2"/>
  <c r="D322" i="2"/>
  <c r="C322" i="2"/>
  <c r="D321" i="2"/>
  <c r="C321" i="2"/>
  <c r="D320" i="2"/>
  <c r="C320" i="2"/>
  <c r="D319" i="2"/>
  <c r="C319" i="2"/>
  <c r="D318" i="2"/>
  <c r="C318" i="2"/>
  <c r="D317" i="2"/>
  <c r="C317" i="2"/>
  <c r="D316" i="2"/>
  <c r="C316" i="2"/>
  <c r="D315" i="2"/>
  <c r="C315" i="2"/>
  <c r="D314" i="2"/>
  <c r="C314" i="2"/>
  <c r="D313" i="2"/>
  <c r="C313" i="2"/>
  <c r="D312" i="2"/>
  <c r="C312" i="2"/>
  <c r="D311" i="2"/>
  <c r="C311" i="2"/>
  <c r="D310" i="2"/>
  <c r="C310" i="2"/>
  <c r="D309" i="2"/>
  <c r="C309" i="2"/>
  <c r="D308" i="2"/>
  <c r="C308" i="2"/>
  <c r="D307" i="2"/>
  <c r="C307" i="2"/>
  <c r="D306" i="2"/>
  <c r="C306" i="2"/>
  <c r="D305" i="2"/>
  <c r="C305" i="2"/>
  <c r="D304" i="2"/>
  <c r="C304" i="2"/>
  <c r="D303" i="2"/>
  <c r="C303" i="2"/>
  <c r="D302" i="2"/>
  <c r="C302" i="2"/>
  <c r="D301" i="2"/>
  <c r="C301" i="2"/>
  <c r="D300" i="2"/>
  <c r="C300" i="2"/>
  <c r="D299" i="2"/>
  <c r="C299" i="2"/>
  <c r="D298" i="2"/>
  <c r="C298" i="2"/>
  <c r="D297" i="2"/>
  <c r="C297" i="2"/>
  <c r="D296" i="2"/>
  <c r="C296" i="2"/>
  <c r="D295" i="2"/>
  <c r="C295" i="2"/>
  <c r="D294" i="2"/>
  <c r="C294" i="2"/>
  <c r="D293" i="2"/>
  <c r="C293" i="2"/>
  <c r="D292" i="2"/>
  <c r="C292" i="2"/>
  <c r="D291" i="2"/>
  <c r="C291" i="2"/>
  <c r="D290" i="2"/>
  <c r="C290" i="2"/>
  <c r="D289" i="2"/>
  <c r="C289" i="2"/>
  <c r="D288" i="2"/>
  <c r="C288" i="2"/>
  <c r="D287" i="2"/>
  <c r="C287" i="2"/>
  <c r="D286" i="2"/>
  <c r="C286" i="2"/>
  <c r="D285" i="2"/>
  <c r="C285" i="2"/>
  <c r="D284" i="2"/>
  <c r="C284" i="2"/>
  <c r="D283" i="2"/>
  <c r="C283" i="2"/>
  <c r="D282" i="2"/>
  <c r="C282" i="2"/>
  <c r="D281" i="2"/>
  <c r="C281" i="2"/>
  <c r="D280" i="2"/>
  <c r="C280" i="2"/>
  <c r="D279" i="2"/>
  <c r="C279" i="2"/>
  <c r="D278" i="2"/>
  <c r="C278" i="2"/>
  <c r="D277" i="2"/>
  <c r="C277" i="2"/>
  <c r="D276" i="2"/>
  <c r="C276" i="2"/>
  <c r="D275" i="2"/>
  <c r="C275" i="2"/>
  <c r="D274" i="2"/>
  <c r="C274" i="2"/>
  <c r="D273" i="2"/>
  <c r="C273" i="2"/>
  <c r="D272" i="2"/>
  <c r="C272" i="2"/>
  <c r="D271" i="2"/>
  <c r="C271" i="2"/>
  <c r="D270" i="2"/>
  <c r="C270" i="2"/>
  <c r="D269" i="2"/>
  <c r="C269" i="2"/>
  <c r="D268" i="2"/>
  <c r="C268" i="2"/>
  <c r="D267" i="2"/>
  <c r="C267" i="2"/>
  <c r="D266" i="2"/>
  <c r="C266" i="2"/>
  <c r="D265" i="2"/>
  <c r="C265" i="2"/>
  <c r="D264" i="2"/>
  <c r="C264" i="2"/>
  <c r="D263" i="2"/>
  <c r="C263" i="2"/>
  <c r="D262" i="2"/>
  <c r="C262" i="2"/>
  <c r="D261" i="2"/>
  <c r="C261" i="2"/>
  <c r="D260" i="2"/>
  <c r="C260" i="2"/>
  <c r="D259" i="2"/>
  <c r="C259" i="2"/>
  <c r="D258" i="2"/>
  <c r="C258" i="2"/>
  <c r="D257" i="2"/>
  <c r="C257" i="2"/>
  <c r="D256" i="2"/>
  <c r="C256" i="2"/>
  <c r="D255" i="2"/>
  <c r="C255" i="2"/>
  <c r="D254" i="2"/>
  <c r="C254" i="2"/>
  <c r="D253" i="2"/>
  <c r="C253" i="2"/>
  <c r="D252" i="2"/>
  <c r="C252" i="2"/>
  <c r="D251" i="2"/>
  <c r="C251" i="2"/>
  <c r="D250" i="2"/>
  <c r="C250" i="2"/>
  <c r="D249" i="2"/>
  <c r="C249" i="2"/>
  <c r="D248" i="2"/>
  <c r="C248" i="2"/>
  <c r="D247" i="2"/>
  <c r="C247" i="2"/>
  <c r="D246" i="2"/>
  <c r="C246" i="2"/>
  <c r="D245" i="2"/>
  <c r="C245" i="2"/>
  <c r="D244" i="2"/>
  <c r="C244" i="2"/>
  <c r="D243" i="2"/>
  <c r="C243" i="2"/>
  <c r="D242" i="2"/>
  <c r="C242" i="2"/>
  <c r="D241" i="2"/>
  <c r="C241" i="2"/>
  <c r="D240" i="2"/>
  <c r="C240" i="2"/>
  <c r="D239" i="2"/>
  <c r="C239" i="2"/>
  <c r="D238" i="2"/>
  <c r="C238" i="2"/>
  <c r="D237" i="2"/>
  <c r="C237" i="2"/>
  <c r="D236" i="2"/>
  <c r="C236" i="2"/>
  <c r="D235" i="2"/>
  <c r="C235" i="2"/>
  <c r="D234" i="2"/>
  <c r="C234" i="2"/>
  <c r="D233" i="2"/>
  <c r="C233" i="2"/>
  <c r="D232" i="2"/>
  <c r="C232" i="2"/>
  <c r="D231" i="2"/>
  <c r="C231" i="2"/>
  <c r="D230" i="2"/>
  <c r="C230" i="2"/>
  <c r="D229" i="2"/>
  <c r="C229" i="2"/>
  <c r="D228" i="2"/>
  <c r="C228" i="2"/>
  <c r="D227" i="2"/>
  <c r="C227" i="2"/>
  <c r="D226" i="2"/>
  <c r="C226" i="2"/>
  <c r="D225" i="2"/>
  <c r="C225" i="2"/>
  <c r="D224" i="2"/>
  <c r="C224" i="2"/>
  <c r="D223" i="2"/>
  <c r="C223" i="2"/>
  <c r="D222" i="2"/>
  <c r="C222" i="2"/>
  <c r="D221" i="2"/>
  <c r="C221" i="2"/>
  <c r="D220" i="2"/>
  <c r="C220" i="2"/>
  <c r="D219" i="2"/>
  <c r="C219" i="2"/>
  <c r="D218" i="2"/>
  <c r="C218" i="2"/>
  <c r="D217" i="2"/>
  <c r="C217" i="2"/>
  <c r="D216" i="2"/>
  <c r="C216" i="2"/>
  <c r="D215" i="2"/>
  <c r="C215" i="2"/>
  <c r="D214" i="2"/>
  <c r="C214" i="2"/>
  <c r="D213" i="2"/>
  <c r="C213" i="2"/>
  <c r="D212" i="2"/>
  <c r="C212" i="2"/>
  <c r="D211" i="2"/>
  <c r="C211" i="2"/>
  <c r="D210" i="2"/>
  <c r="C210" i="2"/>
  <c r="D209" i="2"/>
  <c r="C209" i="2"/>
  <c r="D208" i="2"/>
  <c r="C208" i="2"/>
  <c r="D207" i="2"/>
  <c r="C207" i="2"/>
  <c r="D206" i="2"/>
  <c r="C206" i="2"/>
  <c r="D205" i="2"/>
  <c r="C205" i="2"/>
  <c r="D204" i="2"/>
  <c r="C204" i="2"/>
  <c r="D203" i="2"/>
  <c r="C203" i="2"/>
  <c r="D202" i="2"/>
  <c r="C202" i="2"/>
  <c r="D201" i="2"/>
  <c r="C201" i="2"/>
  <c r="D200" i="2"/>
  <c r="C200" i="2"/>
  <c r="D199" i="2"/>
  <c r="C199" i="2"/>
  <c r="D198" i="2"/>
  <c r="C198" i="2"/>
  <c r="D197" i="2"/>
  <c r="C197" i="2"/>
  <c r="D196" i="2"/>
  <c r="C196" i="2"/>
  <c r="D195" i="2"/>
  <c r="C195" i="2"/>
  <c r="D194" i="2"/>
  <c r="C194" i="2"/>
  <c r="D193" i="2"/>
  <c r="C193" i="2"/>
  <c r="D192" i="2"/>
  <c r="C192" i="2"/>
  <c r="D191" i="2"/>
  <c r="C191" i="2"/>
  <c r="D190" i="2"/>
  <c r="C190" i="2"/>
  <c r="D189" i="2"/>
  <c r="C189" i="2"/>
  <c r="D188" i="2"/>
  <c r="C188" i="2"/>
  <c r="D187" i="2"/>
  <c r="C187" i="2"/>
  <c r="D186" i="2"/>
  <c r="C186" i="2"/>
  <c r="D185" i="2"/>
  <c r="C185" i="2"/>
  <c r="D184" i="2"/>
  <c r="C184" i="2"/>
  <c r="D183" i="2"/>
  <c r="C183" i="2"/>
  <c r="D182" i="2"/>
  <c r="C182" i="2"/>
  <c r="D181" i="2"/>
  <c r="C181" i="2"/>
  <c r="D180" i="2"/>
  <c r="C180" i="2"/>
  <c r="D179" i="2"/>
  <c r="C179" i="2"/>
  <c r="D178" i="2"/>
  <c r="C178" i="2"/>
  <c r="D177" i="2"/>
  <c r="C177" i="2"/>
  <c r="D176" i="2"/>
  <c r="C176" i="2"/>
  <c r="D175" i="2"/>
  <c r="C175" i="2"/>
  <c r="D174" i="2"/>
  <c r="C174" i="2"/>
  <c r="D173" i="2"/>
  <c r="C173" i="2"/>
  <c r="D172" i="2"/>
  <c r="C172" i="2"/>
  <c r="D171" i="2"/>
  <c r="C171" i="2"/>
  <c r="D170" i="2"/>
  <c r="C170" i="2"/>
  <c r="D169" i="2"/>
  <c r="C169" i="2"/>
  <c r="D168" i="2"/>
  <c r="C168" i="2"/>
  <c r="D167" i="2"/>
  <c r="C167" i="2"/>
  <c r="D166" i="2"/>
  <c r="C166" i="2"/>
  <c r="D165" i="2"/>
  <c r="C165" i="2"/>
  <c r="D164" i="2"/>
  <c r="C164" i="2"/>
  <c r="D163" i="2"/>
  <c r="C163" i="2"/>
  <c r="D162" i="2"/>
  <c r="C162" i="2"/>
  <c r="D161" i="2"/>
  <c r="C161" i="2"/>
  <c r="D160" i="2"/>
  <c r="C160" i="2"/>
  <c r="D159" i="2"/>
  <c r="C159" i="2"/>
  <c r="D158" i="2"/>
  <c r="C158" i="2"/>
  <c r="D157" i="2"/>
  <c r="C157" i="2"/>
  <c r="D156" i="2"/>
  <c r="C156" i="2"/>
  <c r="D155" i="2"/>
  <c r="C155" i="2"/>
  <c r="D154" i="2"/>
  <c r="C154" i="2"/>
  <c r="D153" i="2"/>
  <c r="C153" i="2"/>
  <c r="D152" i="2"/>
  <c r="C152" i="2"/>
  <c r="D151" i="2"/>
  <c r="C151" i="2"/>
  <c r="D150" i="2"/>
  <c r="C150" i="2"/>
  <c r="D149" i="2"/>
  <c r="C149" i="2"/>
  <c r="D148" i="2"/>
  <c r="C148" i="2"/>
  <c r="D147" i="2"/>
  <c r="C147" i="2"/>
  <c r="D146" i="2"/>
  <c r="C146" i="2"/>
  <c r="D145" i="2"/>
  <c r="C145" i="2"/>
  <c r="D144" i="2"/>
  <c r="C144" i="2"/>
  <c r="D143" i="2"/>
  <c r="C143" i="2"/>
  <c r="D142" i="2"/>
  <c r="C142" i="2"/>
  <c r="D141" i="2"/>
  <c r="C141" i="2"/>
  <c r="D140" i="2"/>
  <c r="C140" i="2"/>
  <c r="D139" i="2"/>
  <c r="C139" i="2"/>
  <c r="D138" i="2"/>
  <c r="C138" i="2"/>
  <c r="D137" i="2"/>
  <c r="C137" i="2"/>
  <c r="D136" i="2"/>
  <c r="C136" i="2"/>
  <c r="D135" i="2"/>
  <c r="C135" i="2"/>
  <c r="D134" i="2"/>
  <c r="C134" i="2"/>
  <c r="D133" i="2"/>
  <c r="C133" i="2"/>
  <c r="D132" i="2"/>
  <c r="C132" i="2"/>
  <c r="D131" i="2"/>
  <c r="C131" i="2"/>
  <c r="D130" i="2"/>
  <c r="C130" i="2"/>
  <c r="D129" i="2"/>
  <c r="C129" i="2"/>
  <c r="D128" i="2"/>
  <c r="C128" i="2"/>
  <c r="D127" i="2"/>
  <c r="C127" i="2"/>
  <c r="D126" i="2"/>
  <c r="C126" i="2"/>
  <c r="D125" i="2"/>
  <c r="C125" i="2"/>
  <c r="D124" i="2"/>
  <c r="C124" i="2"/>
  <c r="D123" i="2"/>
  <c r="C123" i="2"/>
  <c r="D122" i="2"/>
  <c r="C122" i="2"/>
  <c r="D121" i="2"/>
  <c r="C121" i="2"/>
  <c r="D120" i="2"/>
  <c r="C120" i="2"/>
  <c r="D119" i="2"/>
  <c r="C119" i="2"/>
  <c r="D118" i="2"/>
  <c r="C118" i="2"/>
  <c r="D117" i="2"/>
  <c r="C117" i="2"/>
  <c r="D116" i="2"/>
  <c r="C116" i="2"/>
  <c r="D115" i="2"/>
  <c r="C115" i="2"/>
  <c r="D114" i="2"/>
  <c r="C114" i="2"/>
  <c r="D113" i="2"/>
  <c r="C113" i="2"/>
  <c r="D112" i="2"/>
  <c r="C112" i="2"/>
  <c r="D111" i="2"/>
  <c r="C111" i="2"/>
  <c r="D110" i="2"/>
  <c r="C110" i="2"/>
  <c r="D109" i="2"/>
  <c r="C109" i="2"/>
  <c r="D108" i="2"/>
  <c r="C108" i="2"/>
  <c r="D107" i="2"/>
  <c r="C107" i="2"/>
  <c r="D106" i="2"/>
  <c r="C106" i="2"/>
  <c r="D105" i="2"/>
  <c r="C105" i="2"/>
  <c r="D104" i="2"/>
  <c r="C104" i="2"/>
  <c r="D103" i="2"/>
  <c r="C103" i="2"/>
  <c r="D102" i="2"/>
  <c r="C102" i="2"/>
  <c r="D101" i="2"/>
  <c r="C101" i="2"/>
  <c r="D100" i="2"/>
  <c r="C100" i="2"/>
  <c r="D99" i="2"/>
  <c r="C99" i="2"/>
  <c r="D98" i="2"/>
  <c r="C98" i="2"/>
  <c r="D97" i="2"/>
  <c r="C97" i="2"/>
  <c r="D96" i="2"/>
  <c r="C96" i="2"/>
  <c r="D95" i="2"/>
  <c r="C95" i="2"/>
  <c r="D94" i="2"/>
  <c r="C94" i="2"/>
  <c r="D93" i="2"/>
  <c r="C93" i="2"/>
  <c r="D92" i="2"/>
  <c r="C92" i="2"/>
  <c r="D91" i="2"/>
  <c r="C91" i="2"/>
  <c r="D90" i="2"/>
  <c r="C90" i="2"/>
  <c r="D89" i="2"/>
  <c r="C89" i="2"/>
  <c r="D88" i="2"/>
  <c r="C88" i="2"/>
  <c r="D87" i="2"/>
  <c r="C87" i="2"/>
  <c r="D86" i="2"/>
  <c r="C86" i="2"/>
  <c r="D85" i="2"/>
  <c r="C85" i="2"/>
  <c r="D84" i="2"/>
  <c r="C84" i="2"/>
  <c r="D83" i="2"/>
  <c r="C83" i="2"/>
  <c r="D82" i="2"/>
  <c r="C82" i="2"/>
  <c r="D81" i="2"/>
  <c r="C81" i="2"/>
  <c r="D80" i="2"/>
  <c r="C80" i="2"/>
  <c r="D79" i="2"/>
  <c r="C79" i="2"/>
  <c r="D78" i="2"/>
  <c r="C78" i="2"/>
  <c r="D77" i="2"/>
  <c r="C77" i="2"/>
  <c r="D76" i="2"/>
  <c r="C76" i="2"/>
  <c r="D75" i="2"/>
  <c r="C75" i="2"/>
  <c r="D74" i="2"/>
  <c r="C74" i="2"/>
  <c r="D73" i="2"/>
  <c r="C73" i="2"/>
  <c r="D72" i="2"/>
  <c r="C72" i="2"/>
  <c r="D71" i="2"/>
  <c r="C71" i="2"/>
  <c r="D70" i="2"/>
  <c r="C70" i="2"/>
  <c r="D69" i="2"/>
  <c r="C69" i="2"/>
  <c r="D68" i="2"/>
  <c r="C68" i="2"/>
  <c r="D67" i="2"/>
  <c r="C67" i="2"/>
  <c r="D66" i="2"/>
  <c r="C66" i="2"/>
  <c r="D65" i="2"/>
  <c r="C65" i="2"/>
  <c r="D64" i="2"/>
  <c r="C64" i="2"/>
  <c r="D63" i="2"/>
  <c r="C63" i="2"/>
  <c r="D62" i="2"/>
  <c r="C62" i="2"/>
  <c r="D61" i="2"/>
  <c r="C61" i="2"/>
  <c r="D60" i="2"/>
  <c r="C60" i="2"/>
  <c r="D59" i="2"/>
  <c r="C59" i="2"/>
  <c r="D58" i="2"/>
  <c r="C58" i="2"/>
  <c r="D57" i="2"/>
  <c r="C57" i="2"/>
  <c r="D56" i="2"/>
  <c r="C56" i="2"/>
  <c r="D55" i="2"/>
  <c r="C55" i="2"/>
  <c r="D54" i="2"/>
  <c r="C54" i="2"/>
  <c r="D53" i="2"/>
  <c r="C53" i="2"/>
  <c r="D52" i="2"/>
  <c r="C52" i="2"/>
  <c r="D51" i="2"/>
  <c r="C51" i="2"/>
  <c r="D50" i="2"/>
  <c r="C50" i="2"/>
  <c r="D49" i="2"/>
  <c r="C49" i="2"/>
  <c r="D48" i="2"/>
  <c r="C48" i="2"/>
  <c r="D47" i="2"/>
  <c r="C47" i="2"/>
  <c r="D46" i="2"/>
  <c r="C46" i="2"/>
  <c r="D45" i="2"/>
  <c r="C45" i="2"/>
  <c r="D44" i="2"/>
  <c r="C44" i="2"/>
  <c r="D43" i="2"/>
  <c r="C43" i="2"/>
  <c r="D42" i="2"/>
  <c r="C42" i="2"/>
  <c r="D41" i="2"/>
  <c r="C41" i="2"/>
  <c r="D40" i="2"/>
  <c r="C40" i="2"/>
  <c r="D39" i="2"/>
  <c r="C39" i="2"/>
  <c r="D38" i="2"/>
  <c r="C38" i="2"/>
  <c r="D37" i="2"/>
  <c r="C37" i="2"/>
  <c r="D36" i="2"/>
  <c r="C36" i="2"/>
  <c r="D35" i="2"/>
  <c r="C35" i="2"/>
  <c r="D34" i="2"/>
  <c r="C34" i="2"/>
  <c r="D33" i="2"/>
  <c r="C33" i="2"/>
  <c r="D32" i="2"/>
  <c r="C32" i="2"/>
  <c r="D31" i="2"/>
  <c r="C31" i="2"/>
  <c r="D30" i="2"/>
  <c r="C30" i="2"/>
  <c r="D29" i="2"/>
  <c r="C29" i="2"/>
  <c r="D28" i="2"/>
  <c r="C28" i="2"/>
  <c r="D27" i="2"/>
  <c r="C27" i="2"/>
  <c r="D26" i="2"/>
  <c r="C26" i="2"/>
  <c r="D25" i="2"/>
  <c r="C25" i="2"/>
  <c r="D24" i="2"/>
  <c r="C24" i="2"/>
  <c r="D23" i="2"/>
  <c r="C23" i="2"/>
  <c r="D22" i="2"/>
  <c r="C22" i="2"/>
  <c r="D21" i="2"/>
  <c r="C21" i="2"/>
  <c r="D20" i="2"/>
  <c r="C20" i="2"/>
  <c r="D19" i="2"/>
  <c r="C19" i="2"/>
  <c r="D18" i="2"/>
  <c r="C18" i="2"/>
  <c r="D17" i="2"/>
  <c r="C17" i="2"/>
  <c r="D16" i="2"/>
  <c r="C16" i="2"/>
  <c r="D15" i="2"/>
  <c r="C15" i="2"/>
  <c r="D14" i="2"/>
  <c r="C14" i="2"/>
  <c r="D13" i="2"/>
  <c r="C13" i="2"/>
  <c r="D12" i="2"/>
  <c r="C12" i="2"/>
  <c r="D11" i="2"/>
  <c r="C11" i="2"/>
  <c r="D10" i="2"/>
  <c r="C10" i="2"/>
  <c r="D9" i="2"/>
  <c r="C9" i="2"/>
  <c r="D8" i="2"/>
  <c r="C8" i="2"/>
  <c r="D7" i="2"/>
  <c r="C7" i="2"/>
  <c r="D6" i="2"/>
  <c r="C6" i="2"/>
  <c r="D5" i="2"/>
  <c r="C5" i="2"/>
  <c r="B1002" i="2"/>
  <c r="B1001" i="2"/>
  <c r="B1000" i="2"/>
  <c r="B999" i="2"/>
  <c r="B998" i="2"/>
  <c r="B997" i="2"/>
  <c r="B996" i="2"/>
  <c r="B995" i="2"/>
  <c r="B994" i="2"/>
  <c r="B993" i="2"/>
  <c r="B992" i="2"/>
  <c r="B991" i="2"/>
  <c r="B990" i="2"/>
  <c r="B989" i="2"/>
  <c r="B988" i="2"/>
  <c r="B987" i="2"/>
  <c r="B986" i="2"/>
  <c r="B985" i="2"/>
  <c r="B984" i="2"/>
  <c r="B983" i="2"/>
  <c r="B982" i="2"/>
  <c r="B981" i="2"/>
  <c r="B980" i="2"/>
  <c r="B979" i="2"/>
  <c r="B978" i="2"/>
  <c r="B977" i="2"/>
  <c r="B976" i="2"/>
  <c r="B975" i="2"/>
  <c r="B974" i="2"/>
  <c r="B973" i="2"/>
  <c r="B972" i="2"/>
  <c r="B971" i="2"/>
  <c r="B970" i="2"/>
  <c r="B969" i="2"/>
  <c r="B968" i="2"/>
  <c r="B967" i="2"/>
  <c r="B966" i="2"/>
  <c r="B965" i="2"/>
  <c r="B964" i="2"/>
  <c r="B963" i="2"/>
  <c r="B962" i="2"/>
  <c r="B961" i="2"/>
  <c r="B960" i="2"/>
  <c r="B959" i="2"/>
  <c r="B958" i="2"/>
  <c r="B957" i="2"/>
  <c r="B956" i="2"/>
  <c r="B955" i="2"/>
  <c r="B954" i="2"/>
  <c r="B953" i="2"/>
  <c r="B952" i="2"/>
  <c r="B951" i="2"/>
  <c r="B950" i="2"/>
  <c r="B949" i="2"/>
  <c r="B948" i="2"/>
  <c r="B947" i="2"/>
  <c r="B946" i="2"/>
  <c r="B945" i="2"/>
  <c r="B944" i="2"/>
  <c r="B943" i="2"/>
  <c r="B942" i="2"/>
  <c r="B941" i="2"/>
  <c r="B940" i="2"/>
  <c r="B939" i="2"/>
  <c r="B938" i="2"/>
  <c r="B937" i="2"/>
  <c r="B936" i="2"/>
  <c r="B935" i="2"/>
  <c r="B934" i="2"/>
  <c r="B933" i="2"/>
  <c r="B932" i="2"/>
  <c r="B931" i="2"/>
  <c r="B930" i="2"/>
  <c r="B929" i="2"/>
  <c r="B928" i="2"/>
  <c r="B927" i="2"/>
  <c r="B926" i="2"/>
  <c r="B925" i="2"/>
  <c r="B924" i="2"/>
  <c r="B923" i="2"/>
  <c r="B922" i="2"/>
  <c r="B921" i="2"/>
  <c r="B920" i="2"/>
  <c r="B919" i="2"/>
  <c r="B918" i="2"/>
  <c r="B917" i="2"/>
  <c r="B916" i="2"/>
  <c r="B915" i="2"/>
  <c r="B914" i="2"/>
  <c r="B913" i="2"/>
  <c r="B912" i="2"/>
  <c r="B911" i="2"/>
  <c r="B910" i="2"/>
  <c r="B909" i="2"/>
  <c r="B908" i="2"/>
  <c r="B907" i="2"/>
  <c r="B906" i="2"/>
  <c r="B905" i="2"/>
  <c r="B904" i="2"/>
  <c r="B903" i="2"/>
  <c r="B902" i="2"/>
  <c r="B901" i="2"/>
  <c r="B900" i="2"/>
  <c r="B899" i="2"/>
  <c r="B898" i="2"/>
  <c r="B897" i="2"/>
  <c r="B896" i="2"/>
  <c r="B895" i="2"/>
  <c r="B894" i="2"/>
  <c r="B893" i="2"/>
  <c r="B892" i="2"/>
  <c r="B891" i="2"/>
  <c r="B890" i="2"/>
  <c r="B889" i="2"/>
  <c r="B888" i="2"/>
  <c r="B887" i="2"/>
  <c r="B886" i="2"/>
  <c r="B885" i="2"/>
  <c r="B884" i="2"/>
  <c r="B883" i="2"/>
  <c r="B882" i="2"/>
  <c r="B881" i="2"/>
  <c r="B880" i="2"/>
  <c r="B879" i="2"/>
  <c r="B878" i="2"/>
  <c r="B877" i="2"/>
  <c r="B876" i="2"/>
  <c r="B875" i="2"/>
  <c r="B874" i="2"/>
  <c r="B873" i="2"/>
  <c r="B872" i="2"/>
  <c r="B871" i="2"/>
  <c r="B870" i="2"/>
  <c r="B869" i="2"/>
  <c r="B868" i="2"/>
  <c r="B867" i="2"/>
  <c r="B866" i="2"/>
  <c r="B865" i="2"/>
  <c r="B864" i="2"/>
  <c r="B863" i="2"/>
  <c r="B862" i="2"/>
  <c r="B861" i="2"/>
  <c r="B860" i="2"/>
  <c r="B859" i="2"/>
  <c r="B858" i="2"/>
  <c r="B857" i="2"/>
  <c r="B856" i="2"/>
  <c r="B855" i="2"/>
  <c r="B854" i="2"/>
  <c r="B853" i="2"/>
  <c r="B852" i="2"/>
  <c r="B851" i="2"/>
  <c r="B850" i="2"/>
  <c r="B849" i="2"/>
  <c r="B848" i="2"/>
  <c r="B847" i="2"/>
  <c r="B846" i="2"/>
  <c r="B845" i="2"/>
  <c r="B844" i="2"/>
  <c r="B843" i="2"/>
  <c r="B842" i="2"/>
  <c r="B841" i="2"/>
  <c r="B840" i="2"/>
  <c r="B839" i="2"/>
  <c r="B838" i="2"/>
  <c r="B837" i="2"/>
  <c r="B836" i="2"/>
  <c r="B835" i="2"/>
  <c r="B834" i="2"/>
  <c r="B833" i="2"/>
  <c r="B832" i="2"/>
  <c r="B831" i="2"/>
  <c r="B830" i="2"/>
  <c r="B829" i="2"/>
  <c r="B828" i="2"/>
  <c r="B827" i="2"/>
  <c r="B826" i="2"/>
  <c r="B825" i="2"/>
  <c r="B824" i="2"/>
  <c r="B823" i="2"/>
  <c r="B822" i="2"/>
  <c r="B821" i="2"/>
  <c r="B820" i="2"/>
  <c r="B819" i="2"/>
  <c r="B818" i="2"/>
  <c r="B817" i="2"/>
  <c r="B816" i="2"/>
  <c r="B815" i="2"/>
  <c r="B814" i="2"/>
  <c r="B813" i="2"/>
  <c r="B812" i="2"/>
  <c r="B811" i="2"/>
  <c r="B810" i="2"/>
  <c r="B809" i="2"/>
  <c r="B808" i="2"/>
  <c r="B807" i="2"/>
  <c r="B806" i="2"/>
  <c r="B805" i="2"/>
  <c r="B804" i="2"/>
  <c r="B803" i="2"/>
  <c r="B802" i="2"/>
  <c r="B801" i="2"/>
  <c r="B800" i="2"/>
  <c r="B799" i="2"/>
  <c r="B798" i="2"/>
  <c r="B797" i="2"/>
  <c r="B796" i="2"/>
  <c r="B795" i="2"/>
  <c r="B794" i="2"/>
  <c r="B793" i="2"/>
  <c r="B792" i="2"/>
  <c r="B791" i="2"/>
  <c r="B790" i="2"/>
  <c r="B789" i="2"/>
  <c r="B788" i="2"/>
  <c r="B787" i="2"/>
  <c r="B786" i="2"/>
  <c r="B785" i="2"/>
  <c r="B784" i="2"/>
  <c r="B783" i="2"/>
  <c r="B782" i="2"/>
  <c r="B781" i="2"/>
  <c r="B780" i="2"/>
  <c r="B779" i="2"/>
  <c r="B778" i="2"/>
  <c r="B777" i="2"/>
  <c r="B776" i="2"/>
  <c r="B775" i="2"/>
  <c r="B774" i="2"/>
  <c r="B773" i="2"/>
  <c r="B772" i="2"/>
  <c r="B771" i="2"/>
  <c r="B770" i="2"/>
  <c r="B769" i="2"/>
  <c r="B768" i="2"/>
  <c r="B767" i="2"/>
  <c r="B766" i="2"/>
  <c r="B765" i="2"/>
  <c r="B764" i="2"/>
  <c r="B763" i="2"/>
  <c r="B762" i="2"/>
  <c r="B761" i="2"/>
  <c r="B760" i="2"/>
  <c r="B759" i="2"/>
  <c r="B758" i="2"/>
  <c r="B757" i="2"/>
  <c r="B756" i="2"/>
  <c r="B755" i="2"/>
  <c r="B754" i="2"/>
  <c r="B753" i="2"/>
  <c r="B752" i="2"/>
  <c r="B751" i="2"/>
  <c r="B750" i="2"/>
  <c r="B749" i="2"/>
  <c r="B748" i="2"/>
  <c r="B747" i="2"/>
  <c r="B746" i="2"/>
  <c r="B745" i="2"/>
  <c r="B744" i="2"/>
  <c r="B743" i="2"/>
  <c r="B742" i="2"/>
  <c r="B741" i="2"/>
  <c r="B740" i="2"/>
  <c r="B739" i="2"/>
  <c r="B738" i="2"/>
  <c r="B737" i="2"/>
  <c r="B736" i="2"/>
  <c r="B735" i="2"/>
  <c r="B734" i="2"/>
  <c r="B733" i="2"/>
  <c r="B732" i="2"/>
  <c r="B731" i="2"/>
  <c r="B730" i="2"/>
  <c r="B729" i="2"/>
  <c r="B728" i="2"/>
  <c r="B727" i="2"/>
  <c r="B726" i="2"/>
  <c r="B725" i="2"/>
  <c r="B724" i="2"/>
  <c r="B723" i="2"/>
  <c r="B722" i="2"/>
  <c r="B721" i="2"/>
  <c r="B720" i="2"/>
  <c r="B719" i="2"/>
  <c r="B718" i="2"/>
  <c r="B717" i="2"/>
  <c r="B716" i="2"/>
  <c r="B715" i="2"/>
  <c r="B714" i="2"/>
  <c r="B713" i="2"/>
  <c r="B712" i="2"/>
  <c r="B711" i="2"/>
  <c r="B710" i="2"/>
  <c r="B709" i="2"/>
  <c r="B708" i="2"/>
  <c r="B707" i="2"/>
  <c r="B706" i="2"/>
  <c r="B705" i="2"/>
  <c r="B704" i="2"/>
  <c r="B703" i="2"/>
  <c r="B702" i="2"/>
  <c r="B701" i="2"/>
  <c r="B700" i="2"/>
  <c r="B699" i="2"/>
  <c r="B698" i="2"/>
  <c r="B697" i="2"/>
  <c r="B696" i="2"/>
  <c r="B695" i="2"/>
  <c r="B694" i="2"/>
  <c r="B693" i="2"/>
  <c r="B692" i="2"/>
  <c r="B691" i="2"/>
  <c r="B690" i="2"/>
  <c r="B689" i="2"/>
  <c r="B688" i="2"/>
  <c r="B687" i="2"/>
  <c r="B686" i="2"/>
  <c r="B685" i="2"/>
  <c r="B684" i="2"/>
  <c r="B683" i="2"/>
  <c r="B682" i="2"/>
  <c r="B681" i="2"/>
  <c r="B680" i="2"/>
  <c r="B679" i="2"/>
  <c r="B678" i="2"/>
  <c r="B677" i="2"/>
  <c r="B676" i="2"/>
  <c r="B675" i="2"/>
  <c r="B674" i="2"/>
  <c r="B673" i="2"/>
  <c r="B672" i="2"/>
  <c r="B671" i="2"/>
  <c r="B670" i="2"/>
  <c r="B669" i="2"/>
  <c r="B668" i="2"/>
  <c r="B667" i="2"/>
  <c r="B666" i="2"/>
  <c r="B665" i="2"/>
  <c r="B664" i="2"/>
  <c r="B663" i="2"/>
  <c r="B662" i="2"/>
  <c r="B661" i="2"/>
  <c r="B660" i="2"/>
  <c r="B659" i="2"/>
  <c r="B658" i="2"/>
  <c r="B657" i="2"/>
  <c r="B656" i="2"/>
  <c r="B655" i="2"/>
  <c r="B654" i="2"/>
  <c r="B653" i="2"/>
  <c r="B652" i="2"/>
  <c r="B651" i="2"/>
  <c r="B650" i="2"/>
  <c r="B649" i="2"/>
  <c r="B648" i="2"/>
  <c r="B647" i="2"/>
  <c r="B646" i="2"/>
  <c r="B645" i="2"/>
  <c r="B644" i="2"/>
  <c r="B643" i="2"/>
  <c r="B642" i="2"/>
  <c r="B641" i="2"/>
  <c r="B640" i="2"/>
  <c r="B639" i="2"/>
  <c r="B638" i="2"/>
  <c r="B637" i="2"/>
  <c r="B636" i="2"/>
  <c r="B635" i="2"/>
  <c r="B634" i="2"/>
  <c r="B633" i="2"/>
  <c r="B632" i="2"/>
  <c r="B631" i="2"/>
  <c r="B630" i="2"/>
  <c r="B629" i="2"/>
  <c r="B628" i="2"/>
  <c r="B627" i="2"/>
  <c r="B626" i="2"/>
  <c r="B625" i="2"/>
  <c r="B624" i="2"/>
  <c r="B623" i="2"/>
  <c r="B622" i="2"/>
  <c r="B621" i="2"/>
  <c r="B620" i="2"/>
  <c r="B619" i="2"/>
  <c r="B618" i="2"/>
  <c r="B617" i="2"/>
  <c r="B616" i="2"/>
  <c r="B615" i="2"/>
  <c r="B614" i="2"/>
  <c r="B613" i="2"/>
  <c r="B612" i="2"/>
  <c r="B611" i="2"/>
  <c r="B610" i="2"/>
  <c r="B609" i="2"/>
  <c r="B608" i="2"/>
  <c r="B607" i="2"/>
  <c r="B606" i="2"/>
  <c r="B605" i="2"/>
  <c r="B604" i="2"/>
  <c r="B603" i="2"/>
  <c r="B602" i="2"/>
  <c r="B601" i="2"/>
  <c r="B600" i="2"/>
  <c r="B599" i="2"/>
  <c r="B598" i="2"/>
  <c r="B597" i="2"/>
  <c r="B596" i="2"/>
  <c r="B595" i="2"/>
  <c r="B594" i="2"/>
  <c r="B593" i="2"/>
  <c r="B592" i="2"/>
  <c r="B591" i="2"/>
  <c r="B590" i="2"/>
  <c r="B589" i="2"/>
  <c r="B588" i="2"/>
  <c r="B587" i="2"/>
  <c r="B586" i="2"/>
  <c r="B585" i="2"/>
  <c r="B584" i="2"/>
  <c r="B583" i="2"/>
  <c r="B582" i="2"/>
  <c r="B581" i="2"/>
  <c r="B580" i="2"/>
  <c r="B579" i="2"/>
  <c r="B578" i="2"/>
  <c r="B577" i="2"/>
  <c r="B576" i="2"/>
  <c r="B575" i="2"/>
  <c r="B574" i="2"/>
  <c r="B573" i="2"/>
  <c r="B572" i="2"/>
  <c r="B571" i="2"/>
  <c r="B570" i="2"/>
  <c r="B569" i="2"/>
  <c r="B568" i="2"/>
  <c r="B567" i="2"/>
  <c r="B566" i="2"/>
  <c r="B565" i="2"/>
  <c r="B564" i="2"/>
  <c r="B563" i="2"/>
  <c r="B562" i="2"/>
  <c r="B561" i="2"/>
  <c r="B560" i="2"/>
  <c r="B559" i="2"/>
  <c r="B558" i="2"/>
  <c r="B557" i="2"/>
  <c r="B556" i="2"/>
  <c r="B555" i="2"/>
  <c r="B554" i="2"/>
  <c r="B553" i="2"/>
  <c r="B552" i="2"/>
  <c r="B551" i="2"/>
  <c r="B550" i="2"/>
  <c r="B549" i="2"/>
  <c r="B548" i="2"/>
  <c r="B547" i="2"/>
  <c r="B546" i="2"/>
  <c r="B545" i="2"/>
  <c r="B544" i="2"/>
  <c r="B543" i="2"/>
  <c r="B542" i="2"/>
  <c r="B541" i="2"/>
  <c r="B540" i="2"/>
  <c r="B539" i="2"/>
  <c r="B538" i="2"/>
  <c r="B537" i="2"/>
  <c r="B536" i="2"/>
  <c r="B535" i="2"/>
  <c r="B534" i="2"/>
  <c r="B533" i="2"/>
  <c r="B532" i="2"/>
  <c r="B531" i="2"/>
  <c r="B530" i="2"/>
  <c r="B529" i="2"/>
  <c r="B528" i="2"/>
  <c r="B527" i="2"/>
  <c r="B526" i="2"/>
  <c r="B525" i="2"/>
  <c r="B524" i="2"/>
  <c r="B523" i="2"/>
  <c r="B522" i="2"/>
  <c r="B521" i="2"/>
  <c r="B520" i="2"/>
  <c r="B519" i="2"/>
  <c r="B518" i="2"/>
  <c r="B517" i="2"/>
  <c r="B516" i="2"/>
  <c r="B515" i="2"/>
  <c r="B514" i="2"/>
  <c r="B513" i="2"/>
  <c r="B512" i="2"/>
  <c r="B511" i="2"/>
  <c r="B510" i="2"/>
  <c r="B509" i="2"/>
  <c r="B508" i="2"/>
  <c r="B507" i="2"/>
  <c r="B506" i="2"/>
  <c r="B505" i="2"/>
  <c r="B504" i="2"/>
  <c r="B503" i="2"/>
  <c r="B502" i="2"/>
  <c r="B501" i="2"/>
  <c r="B500" i="2"/>
  <c r="B499" i="2"/>
  <c r="B498" i="2"/>
  <c r="B497" i="2"/>
  <c r="B496" i="2"/>
  <c r="B495" i="2"/>
  <c r="B494" i="2"/>
  <c r="B493" i="2"/>
  <c r="B492" i="2"/>
  <c r="B491" i="2"/>
  <c r="B490" i="2"/>
  <c r="B489" i="2"/>
  <c r="B488" i="2"/>
  <c r="B487" i="2"/>
  <c r="B486" i="2"/>
  <c r="B485" i="2"/>
  <c r="B484" i="2"/>
  <c r="B483" i="2"/>
  <c r="B482" i="2"/>
  <c r="B481" i="2"/>
  <c r="B480" i="2"/>
  <c r="B479" i="2"/>
  <c r="B478" i="2"/>
  <c r="B477" i="2"/>
  <c r="B476" i="2"/>
  <c r="B475" i="2"/>
  <c r="B474" i="2"/>
  <c r="B473" i="2"/>
  <c r="B472" i="2"/>
  <c r="B471" i="2"/>
  <c r="B470" i="2"/>
  <c r="B469" i="2"/>
  <c r="B468" i="2"/>
  <c r="B467" i="2"/>
  <c r="B466" i="2"/>
  <c r="B465" i="2"/>
  <c r="B464" i="2"/>
  <c r="B463" i="2"/>
  <c r="B462" i="2"/>
  <c r="B461" i="2"/>
  <c r="B460" i="2"/>
  <c r="B459" i="2"/>
  <c r="B458" i="2"/>
  <c r="B457" i="2"/>
  <c r="B456" i="2"/>
  <c r="B455" i="2"/>
  <c r="B454" i="2"/>
  <c r="B453" i="2"/>
  <c r="B452" i="2"/>
  <c r="B451" i="2"/>
  <c r="B450" i="2"/>
  <c r="B449" i="2"/>
  <c r="B448" i="2"/>
  <c r="B447" i="2"/>
  <c r="B446" i="2"/>
  <c r="B445" i="2"/>
  <c r="B444" i="2"/>
  <c r="B443" i="2"/>
  <c r="B442" i="2"/>
  <c r="B441" i="2"/>
  <c r="B440" i="2"/>
  <c r="B439" i="2"/>
  <c r="B438" i="2"/>
  <c r="B437" i="2"/>
  <c r="B436" i="2"/>
  <c r="B435" i="2"/>
  <c r="B434" i="2"/>
  <c r="B433" i="2"/>
  <c r="B432" i="2"/>
  <c r="B431" i="2"/>
  <c r="B430" i="2"/>
  <c r="B429" i="2"/>
  <c r="B428" i="2"/>
  <c r="B427" i="2"/>
  <c r="B426" i="2"/>
  <c r="B425" i="2"/>
  <c r="B424" i="2"/>
  <c r="B423" i="2"/>
  <c r="B422" i="2"/>
  <c r="B421" i="2"/>
  <c r="B420" i="2"/>
  <c r="B419" i="2"/>
  <c r="B418" i="2"/>
  <c r="B417" i="2"/>
  <c r="B416" i="2"/>
  <c r="B415" i="2"/>
  <c r="B414" i="2"/>
  <c r="B413" i="2"/>
  <c r="B412" i="2"/>
  <c r="B411" i="2"/>
  <c r="B410" i="2"/>
  <c r="B409" i="2"/>
  <c r="B408" i="2"/>
  <c r="B407" i="2"/>
  <c r="B406" i="2"/>
  <c r="B405" i="2"/>
  <c r="B404" i="2"/>
  <c r="B403" i="2"/>
  <c r="B402" i="2"/>
  <c r="B401" i="2"/>
  <c r="B400" i="2"/>
  <c r="B399" i="2"/>
  <c r="B398" i="2"/>
  <c r="B397" i="2"/>
  <c r="B396" i="2"/>
  <c r="B395" i="2"/>
  <c r="B394" i="2"/>
  <c r="B393" i="2"/>
  <c r="B392" i="2"/>
  <c r="B391" i="2"/>
  <c r="B390" i="2"/>
  <c r="B389" i="2"/>
  <c r="B388" i="2"/>
  <c r="B387" i="2"/>
  <c r="B386" i="2"/>
  <c r="B385" i="2"/>
  <c r="B384" i="2"/>
  <c r="B383" i="2"/>
  <c r="B382" i="2"/>
  <c r="B381" i="2"/>
  <c r="B380" i="2"/>
  <c r="B379" i="2"/>
  <c r="B378" i="2"/>
  <c r="B377" i="2"/>
  <c r="B376" i="2"/>
  <c r="B375" i="2"/>
  <c r="B374" i="2"/>
  <c r="B373" i="2"/>
  <c r="B372" i="2"/>
  <c r="B371" i="2"/>
  <c r="B370" i="2"/>
  <c r="B369" i="2"/>
  <c r="B368" i="2"/>
  <c r="B367" i="2"/>
  <c r="B366" i="2"/>
  <c r="B365" i="2"/>
  <c r="B364" i="2"/>
  <c r="B363" i="2"/>
  <c r="B362" i="2"/>
  <c r="B361" i="2"/>
  <c r="B360" i="2"/>
  <c r="B359" i="2"/>
  <c r="B358" i="2"/>
  <c r="B357" i="2"/>
  <c r="B356" i="2"/>
  <c r="B355" i="2"/>
  <c r="B354" i="2"/>
  <c r="B353" i="2"/>
  <c r="B352" i="2"/>
  <c r="B351" i="2"/>
  <c r="B350" i="2"/>
  <c r="B349" i="2"/>
  <c r="B348" i="2"/>
  <c r="B347" i="2"/>
  <c r="B346" i="2"/>
  <c r="B345" i="2"/>
  <c r="B344" i="2"/>
  <c r="B343" i="2"/>
  <c r="B342" i="2"/>
  <c r="B341" i="2"/>
  <c r="B340" i="2"/>
  <c r="B339" i="2"/>
  <c r="B338" i="2"/>
  <c r="B337" i="2"/>
  <c r="B336" i="2"/>
  <c r="B335" i="2"/>
  <c r="B334" i="2"/>
  <c r="B333" i="2"/>
  <c r="B332" i="2"/>
  <c r="B331" i="2"/>
  <c r="B330" i="2"/>
  <c r="B329" i="2"/>
  <c r="B328" i="2"/>
  <c r="B327" i="2"/>
  <c r="B326" i="2"/>
  <c r="B325" i="2"/>
  <c r="B324" i="2"/>
  <c r="B323" i="2"/>
  <c r="B322" i="2"/>
  <c r="B321" i="2"/>
  <c r="B320" i="2"/>
  <c r="B319" i="2"/>
  <c r="B318" i="2"/>
  <c r="B317" i="2"/>
  <c r="B316" i="2"/>
  <c r="B315" i="2"/>
  <c r="B314" i="2"/>
  <c r="B313" i="2"/>
  <c r="B312" i="2"/>
  <c r="B311" i="2"/>
  <c r="B310" i="2"/>
  <c r="B309" i="2"/>
  <c r="B308" i="2"/>
  <c r="B307" i="2"/>
  <c r="B306" i="2"/>
  <c r="B305" i="2"/>
  <c r="B304" i="2"/>
  <c r="B303" i="2"/>
  <c r="B302" i="2"/>
  <c r="B301" i="2"/>
  <c r="B300" i="2"/>
  <c r="B299" i="2"/>
  <c r="B298" i="2"/>
  <c r="B297" i="2"/>
  <c r="B296" i="2"/>
  <c r="B295" i="2"/>
  <c r="B294" i="2"/>
  <c r="B293" i="2"/>
  <c r="B292" i="2"/>
  <c r="B291" i="2"/>
  <c r="B290" i="2"/>
  <c r="B289" i="2"/>
  <c r="B288" i="2"/>
  <c r="B287" i="2"/>
  <c r="B286" i="2"/>
  <c r="B285" i="2"/>
  <c r="B284" i="2"/>
  <c r="B283" i="2"/>
  <c r="B282" i="2"/>
  <c r="B281" i="2"/>
  <c r="B280" i="2"/>
  <c r="B279" i="2"/>
  <c r="B278" i="2"/>
  <c r="B277" i="2"/>
  <c r="B276" i="2"/>
  <c r="B275" i="2"/>
  <c r="B274" i="2"/>
  <c r="B273" i="2"/>
  <c r="B272" i="2"/>
  <c r="B271" i="2"/>
  <c r="B270" i="2"/>
  <c r="B269" i="2"/>
  <c r="B268" i="2"/>
  <c r="B267" i="2"/>
  <c r="B266" i="2"/>
  <c r="B265" i="2"/>
  <c r="B264" i="2"/>
  <c r="B263" i="2"/>
  <c r="B262" i="2"/>
  <c r="B261" i="2"/>
  <c r="B260" i="2"/>
  <c r="B259" i="2"/>
  <c r="B258" i="2"/>
  <c r="B257" i="2"/>
  <c r="B256" i="2"/>
  <c r="B255" i="2"/>
  <c r="B254" i="2"/>
  <c r="B253" i="2"/>
  <c r="B252" i="2"/>
  <c r="B251" i="2"/>
  <c r="B250" i="2"/>
  <c r="B249" i="2"/>
  <c r="B248" i="2"/>
  <c r="B247" i="2"/>
  <c r="B246" i="2"/>
  <c r="B245" i="2"/>
  <c r="B244" i="2"/>
  <c r="B243" i="2"/>
  <c r="B242" i="2"/>
  <c r="B241" i="2"/>
  <c r="B240" i="2"/>
  <c r="B239" i="2"/>
  <c r="B238" i="2"/>
  <c r="B237" i="2"/>
  <c r="B236" i="2"/>
  <c r="B235" i="2"/>
  <c r="B234" i="2"/>
  <c r="B233" i="2"/>
  <c r="B232" i="2"/>
  <c r="B231" i="2"/>
  <c r="B230" i="2"/>
  <c r="B229" i="2"/>
  <c r="B228" i="2"/>
  <c r="B227" i="2"/>
  <c r="B226" i="2"/>
  <c r="B225" i="2"/>
  <c r="B224" i="2"/>
  <c r="B223" i="2"/>
  <c r="B222" i="2"/>
  <c r="B221" i="2"/>
  <c r="B220" i="2"/>
  <c r="B219" i="2"/>
  <c r="B218" i="2"/>
  <c r="B217" i="2"/>
  <c r="B216" i="2"/>
  <c r="B215" i="2"/>
  <c r="B214" i="2"/>
  <c r="B213" i="2"/>
  <c r="B212" i="2"/>
  <c r="B211" i="2"/>
  <c r="B210" i="2"/>
  <c r="B209" i="2"/>
  <c r="B208" i="2"/>
  <c r="B207" i="2"/>
  <c r="B206" i="2"/>
  <c r="B205" i="2"/>
  <c r="B204" i="2"/>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7" i="2"/>
  <c r="B6" i="2"/>
  <c r="B5" i="2"/>
  <c r="E4" i="2"/>
  <c r="A1002" i="2"/>
  <c r="A1001" i="2"/>
  <c r="A1000" i="2"/>
  <c r="A999" i="2"/>
  <c r="A998" i="2"/>
  <c r="A997" i="2"/>
  <c r="A996" i="2"/>
  <c r="A995" i="2"/>
  <c r="A994" i="2"/>
  <c r="A993" i="2"/>
  <c r="A992" i="2"/>
  <c r="A991" i="2"/>
  <c r="A990" i="2"/>
  <c r="A989" i="2"/>
  <c r="A988" i="2"/>
  <c r="A987" i="2"/>
  <c r="A986" i="2"/>
  <c r="A985" i="2"/>
  <c r="A984" i="2"/>
  <c r="A983" i="2"/>
  <c r="A982" i="2"/>
  <c r="A981" i="2"/>
  <c r="A980" i="2"/>
  <c r="A979" i="2"/>
  <c r="A978" i="2"/>
  <c r="A977" i="2"/>
  <c r="A976" i="2"/>
  <c r="A975" i="2"/>
  <c r="A974" i="2"/>
  <c r="A973" i="2"/>
  <c r="A972" i="2"/>
  <c r="A971" i="2"/>
  <c r="A970" i="2"/>
  <c r="A969" i="2"/>
  <c r="A968" i="2"/>
  <c r="A967" i="2"/>
  <c r="A966" i="2"/>
  <c r="A965" i="2"/>
  <c r="A964" i="2"/>
  <c r="A963" i="2"/>
  <c r="A962" i="2"/>
  <c r="A961" i="2"/>
  <c r="A960" i="2"/>
  <c r="A959" i="2"/>
  <c r="A958" i="2"/>
  <c r="A957" i="2"/>
  <c r="A956" i="2"/>
  <c r="A955" i="2"/>
  <c r="A954" i="2"/>
  <c r="A953" i="2"/>
  <c r="A952" i="2"/>
  <c r="A951" i="2"/>
  <c r="A950" i="2"/>
  <c r="A949" i="2"/>
  <c r="A948" i="2"/>
  <c r="A947" i="2"/>
  <c r="A946" i="2"/>
  <c r="A945" i="2"/>
  <c r="A944" i="2"/>
  <c r="A943" i="2"/>
  <c r="A942" i="2"/>
  <c r="A941" i="2"/>
  <c r="A940" i="2"/>
  <c r="A939" i="2"/>
  <c r="A938" i="2"/>
  <c r="A937" i="2"/>
  <c r="A936" i="2"/>
  <c r="A935" i="2"/>
  <c r="A934" i="2"/>
  <c r="A933" i="2"/>
  <c r="A932" i="2"/>
  <c r="A931" i="2"/>
  <c r="A930" i="2"/>
  <c r="A929" i="2"/>
  <c r="A928" i="2"/>
  <c r="A927" i="2"/>
  <c r="A926" i="2"/>
  <c r="A925" i="2"/>
  <c r="A924" i="2"/>
  <c r="A923" i="2"/>
  <c r="A922" i="2"/>
  <c r="A921" i="2"/>
  <c r="A920" i="2"/>
  <c r="A919" i="2"/>
  <c r="A918" i="2"/>
  <c r="A917" i="2"/>
  <c r="A916" i="2"/>
  <c r="A915" i="2"/>
  <c r="A914" i="2"/>
  <c r="A913" i="2"/>
  <c r="A912" i="2"/>
  <c r="A911" i="2"/>
  <c r="A910" i="2"/>
  <c r="A909" i="2"/>
  <c r="A908" i="2"/>
  <c r="A907" i="2"/>
  <c r="A906" i="2"/>
  <c r="A905" i="2"/>
  <c r="A904" i="2"/>
  <c r="A903" i="2"/>
  <c r="A902" i="2"/>
  <c r="A901" i="2"/>
  <c r="A900" i="2"/>
  <c r="A899" i="2"/>
  <c r="A898" i="2"/>
  <c r="A897" i="2"/>
  <c r="A896" i="2"/>
  <c r="A895" i="2"/>
  <c r="A894" i="2"/>
  <c r="A893" i="2"/>
  <c r="A892" i="2"/>
  <c r="A891" i="2"/>
  <c r="A890" i="2"/>
  <c r="A889" i="2"/>
  <c r="A888" i="2"/>
  <c r="A887" i="2"/>
  <c r="A886" i="2"/>
  <c r="A885" i="2"/>
  <c r="A884" i="2"/>
  <c r="A883" i="2"/>
  <c r="A882" i="2"/>
  <c r="A881" i="2"/>
  <c r="A880" i="2"/>
  <c r="A879" i="2"/>
  <c r="A878" i="2"/>
  <c r="A877" i="2"/>
  <c r="A876" i="2"/>
  <c r="A875" i="2"/>
  <c r="A874" i="2"/>
  <c r="A873" i="2"/>
  <c r="A872" i="2"/>
  <c r="A871" i="2"/>
  <c r="A870" i="2"/>
  <c r="A869" i="2"/>
  <c r="A868" i="2"/>
  <c r="A867" i="2"/>
  <c r="A866" i="2"/>
  <c r="A865" i="2"/>
  <c r="A864" i="2"/>
  <c r="A863" i="2"/>
  <c r="A862" i="2"/>
  <c r="A861" i="2"/>
  <c r="A860" i="2"/>
  <c r="A859" i="2"/>
  <c r="A858" i="2"/>
  <c r="A857" i="2"/>
  <c r="A856" i="2"/>
  <c r="A855" i="2"/>
  <c r="A854" i="2"/>
  <c r="A853" i="2"/>
  <c r="A852" i="2"/>
  <c r="A851" i="2"/>
  <c r="A850" i="2"/>
  <c r="A849" i="2"/>
  <c r="A848" i="2"/>
  <c r="A847" i="2"/>
  <c r="A846" i="2"/>
  <c r="A845" i="2"/>
  <c r="A844" i="2"/>
  <c r="A843" i="2"/>
  <c r="A842" i="2"/>
  <c r="A841" i="2"/>
  <c r="A840" i="2"/>
  <c r="A839" i="2"/>
  <c r="A838" i="2"/>
  <c r="A837" i="2"/>
  <c r="A836" i="2"/>
  <c r="A835" i="2"/>
  <c r="A834" i="2"/>
  <c r="A833" i="2"/>
  <c r="A832" i="2"/>
  <c r="A831" i="2"/>
  <c r="A830" i="2"/>
  <c r="A829" i="2"/>
  <c r="A828" i="2"/>
  <c r="A827" i="2"/>
  <c r="A826" i="2"/>
  <c r="A825" i="2"/>
  <c r="A824" i="2"/>
  <c r="A823" i="2"/>
  <c r="A822" i="2"/>
  <c r="A821" i="2"/>
  <c r="A820" i="2"/>
  <c r="A819" i="2"/>
  <c r="A818" i="2"/>
  <c r="A817" i="2"/>
  <c r="A816" i="2"/>
  <c r="A815" i="2"/>
  <c r="A814" i="2"/>
  <c r="A813" i="2"/>
  <c r="A812" i="2"/>
  <c r="A811" i="2"/>
  <c r="A810" i="2"/>
  <c r="A809" i="2"/>
  <c r="A808" i="2"/>
  <c r="A807" i="2"/>
  <c r="A806" i="2"/>
  <c r="A805" i="2"/>
  <c r="A804" i="2"/>
  <c r="A803" i="2"/>
  <c r="A802" i="2"/>
  <c r="A801" i="2"/>
  <c r="A800" i="2"/>
  <c r="A799" i="2"/>
  <c r="A798" i="2"/>
  <c r="A797" i="2"/>
  <c r="A796" i="2"/>
  <c r="A795" i="2"/>
  <c r="A794" i="2"/>
  <c r="A793" i="2"/>
  <c r="A792" i="2"/>
  <c r="A791" i="2"/>
  <c r="A790" i="2"/>
  <c r="A789" i="2"/>
  <c r="A788" i="2"/>
  <c r="A787" i="2"/>
  <c r="A786" i="2"/>
  <c r="A785" i="2"/>
  <c r="A784" i="2"/>
  <c r="A783" i="2"/>
  <c r="A782" i="2"/>
  <c r="A781" i="2"/>
  <c r="A780" i="2"/>
  <c r="A779" i="2"/>
  <c r="A778" i="2"/>
  <c r="A777" i="2"/>
  <c r="A776" i="2"/>
  <c r="A775" i="2"/>
  <c r="A774" i="2"/>
  <c r="A773" i="2"/>
  <c r="A772" i="2"/>
  <c r="A771" i="2"/>
  <c r="A770" i="2"/>
  <c r="A769" i="2"/>
  <c r="A768" i="2"/>
  <c r="A767" i="2"/>
  <c r="A766" i="2"/>
  <c r="A765" i="2"/>
  <c r="A764" i="2"/>
  <c r="A763" i="2"/>
  <c r="A762" i="2"/>
  <c r="A761" i="2"/>
  <c r="A760" i="2"/>
  <c r="A759" i="2"/>
  <c r="A758" i="2"/>
  <c r="A757" i="2"/>
  <c r="A756" i="2"/>
  <c r="A755" i="2"/>
  <c r="A754" i="2"/>
  <c r="A753" i="2"/>
  <c r="A752" i="2"/>
  <c r="A751" i="2"/>
  <c r="A750" i="2"/>
  <c r="A749" i="2"/>
  <c r="A748" i="2"/>
  <c r="A747" i="2"/>
  <c r="A746" i="2"/>
  <c r="A745" i="2"/>
  <c r="A744" i="2"/>
  <c r="A743" i="2"/>
  <c r="A742" i="2"/>
  <c r="A741" i="2"/>
  <c r="A740" i="2"/>
  <c r="A739" i="2"/>
  <c r="A738" i="2"/>
  <c r="A737" i="2"/>
  <c r="A736" i="2"/>
  <c r="A735" i="2"/>
  <c r="A734" i="2"/>
  <c r="A733" i="2"/>
  <c r="A732" i="2"/>
  <c r="A731" i="2"/>
  <c r="A730" i="2"/>
  <c r="A729" i="2"/>
  <c r="A728" i="2"/>
  <c r="A727" i="2"/>
  <c r="A726" i="2"/>
  <c r="A725" i="2"/>
  <c r="A724" i="2"/>
  <c r="A723" i="2"/>
  <c r="A722" i="2"/>
  <c r="A721" i="2"/>
  <c r="A720" i="2"/>
  <c r="A719" i="2"/>
  <c r="A718" i="2"/>
  <c r="A717" i="2"/>
  <c r="A716" i="2"/>
  <c r="A715" i="2"/>
  <c r="A714" i="2"/>
  <c r="A713" i="2"/>
  <c r="A712" i="2"/>
  <c r="A711" i="2"/>
  <c r="A710" i="2"/>
  <c r="A709" i="2"/>
  <c r="A708" i="2"/>
  <c r="A707" i="2"/>
  <c r="A706" i="2"/>
  <c r="A705" i="2"/>
  <c r="A704" i="2"/>
  <c r="A703" i="2"/>
  <c r="A702" i="2"/>
  <c r="A701" i="2"/>
  <c r="A700" i="2"/>
  <c r="A699" i="2"/>
  <c r="A698" i="2"/>
  <c r="A697" i="2"/>
  <c r="A696" i="2"/>
  <c r="A695" i="2"/>
  <c r="A694" i="2"/>
  <c r="A693" i="2"/>
  <c r="A692" i="2"/>
  <c r="A691" i="2"/>
  <c r="A690" i="2"/>
  <c r="A689" i="2"/>
  <c r="A688" i="2"/>
  <c r="A687" i="2"/>
  <c r="A686" i="2"/>
  <c r="A685" i="2"/>
  <c r="A684" i="2"/>
  <c r="A683" i="2"/>
  <c r="A682" i="2"/>
  <c r="A681" i="2"/>
  <c r="A680" i="2"/>
  <c r="A679" i="2"/>
  <c r="A678" i="2"/>
  <c r="A677" i="2"/>
  <c r="A676" i="2"/>
  <c r="A675" i="2"/>
  <c r="A674" i="2"/>
  <c r="A673" i="2"/>
  <c r="A672" i="2"/>
  <c r="A671" i="2"/>
  <c r="A670" i="2"/>
  <c r="A669" i="2"/>
  <c r="A668" i="2"/>
  <c r="A667" i="2"/>
  <c r="A666" i="2"/>
  <c r="A665" i="2"/>
  <c r="A664" i="2"/>
  <c r="A663" i="2"/>
  <c r="A662" i="2"/>
  <c r="A661" i="2"/>
  <c r="A660" i="2"/>
  <c r="A659" i="2"/>
  <c r="A658" i="2"/>
  <c r="A657" i="2"/>
  <c r="A656" i="2"/>
  <c r="A655" i="2"/>
  <c r="A654" i="2"/>
  <c r="A653" i="2"/>
  <c r="A652" i="2"/>
  <c r="A651" i="2"/>
  <c r="A650" i="2"/>
  <c r="A649" i="2"/>
  <c r="A648" i="2"/>
  <c r="A647" i="2"/>
  <c r="A646" i="2"/>
  <c r="A645" i="2"/>
  <c r="A644" i="2"/>
  <c r="A643" i="2"/>
  <c r="A642" i="2"/>
  <c r="A641" i="2"/>
  <c r="A640" i="2"/>
  <c r="A639" i="2"/>
  <c r="A638" i="2"/>
  <c r="A637" i="2"/>
  <c r="A636" i="2"/>
  <c r="A635" i="2"/>
  <c r="A634" i="2"/>
  <c r="A633" i="2"/>
  <c r="A632" i="2"/>
  <c r="A631" i="2"/>
  <c r="A630" i="2"/>
  <c r="A629" i="2"/>
  <c r="A628" i="2"/>
  <c r="A627" i="2"/>
  <c r="A626" i="2"/>
  <c r="A625" i="2"/>
  <c r="A624" i="2"/>
  <c r="A623" i="2"/>
  <c r="A622" i="2"/>
  <c r="A621" i="2"/>
  <c r="A620" i="2"/>
  <c r="A619" i="2"/>
  <c r="A618" i="2"/>
  <c r="A617" i="2"/>
  <c r="A616" i="2"/>
  <c r="A615" i="2"/>
  <c r="A614" i="2"/>
  <c r="A613" i="2"/>
  <c r="A612" i="2"/>
  <c r="A611" i="2"/>
  <c r="A610" i="2"/>
  <c r="A609" i="2"/>
  <c r="A608" i="2"/>
  <c r="A607" i="2"/>
  <c r="A606" i="2"/>
  <c r="A605" i="2"/>
  <c r="A604" i="2"/>
  <c r="A603" i="2"/>
  <c r="A602" i="2"/>
  <c r="A601" i="2"/>
  <c r="A600" i="2"/>
  <c r="A599" i="2"/>
  <c r="A598" i="2"/>
  <c r="A597" i="2"/>
  <c r="A596" i="2"/>
  <c r="A595" i="2"/>
  <c r="A594" i="2"/>
  <c r="A593" i="2"/>
  <c r="A592" i="2"/>
  <c r="A591" i="2"/>
  <c r="A590" i="2"/>
  <c r="A589" i="2"/>
  <c r="A588" i="2"/>
  <c r="A587" i="2"/>
  <c r="A586" i="2"/>
  <c r="A585" i="2"/>
  <c r="A584" i="2"/>
  <c r="A583" i="2"/>
  <c r="A582" i="2"/>
  <c r="A581" i="2"/>
  <c r="A580" i="2"/>
  <c r="A579" i="2"/>
  <c r="A578" i="2"/>
  <c r="A577" i="2"/>
  <c r="A576" i="2"/>
  <c r="A575" i="2"/>
  <c r="A574" i="2"/>
  <c r="A573" i="2"/>
  <c r="A572" i="2"/>
  <c r="A571" i="2"/>
  <c r="A570" i="2"/>
  <c r="A569" i="2"/>
  <c r="A568" i="2"/>
  <c r="A567" i="2"/>
  <c r="A566" i="2"/>
  <c r="A565" i="2"/>
  <c r="A564" i="2"/>
  <c r="A563" i="2"/>
  <c r="A562" i="2"/>
  <c r="A561" i="2"/>
  <c r="A560" i="2"/>
  <c r="A559" i="2"/>
  <c r="A558" i="2"/>
  <c r="A557" i="2"/>
  <c r="A556" i="2"/>
  <c r="A555" i="2"/>
  <c r="A554" i="2"/>
  <c r="A553" i="2"/>
  <c r="A552" i="2"/>
  <c r="A551" i="2"/>
  <c r="A550" i="2"/>
  <c r="A549" i="2"/>
  <c r="A548" i="2"/>
  <c r="A547" i="2"/>
  <c r="A546" i="2"/>
  <c r="A545" i="2"/>
  <c r="A544" i="2"/>
  <c r="A543" i="2"/>
  <c r="A542" i="2"/>
  <c r="A541" i="2"/>
  <c r="A540" i="2"/>
  <c r="A539" i="2"/>
  <c r="A538" i="2"/>
  <c r="A537" i="2"/>
  <c r="A536" i="2"/>
  <c r="A535" i="2"/>
  <c r="A534" i="2"/>
  <c r="A533" i="2"/>
  <c r="A532" i="2"/>
  <c r="A531" i="2"/>
  <c r="A530" i="2"/>
  <c r="A529" i="2"/>
  <c r="A528" i="2"/>
  <c r="A527" i="2"/>
  <c r="A526" i="2"/>
  <c r="A525" i="2"/>
  <c r="A524" i="2"/>
  <c r="A523" i="2"/>
  <c r="A522" i="2"/>
  <c r="A521" i="2"/>
  <c r="A520" i="2"/>
  <c r="A519" i="2"/>
  <c r="A518" i="2"/>
  <c r="A517" i="2"/>
  <c r="A516" i="2"/>
  <c r="A515" i="2"/>
  <c r="A514" i="2"/>
  <c r="A513" i="2"/>
  <c r="A512" i="2"/>
  <c r="A511" i="2"/>
  <c r="A510" i="2"/>
  <c r="A509" i="2"/>
  <c r="A508" i="2"/>
  <c r="A507" i="2"/>
  <c r="A506" i="2"/>
  <c r="A505" i="2"/>
  <c r="A504" i="2"/>
  <c r="A503" i="2"/>
  <c r="A502" i="2"/>
  <c r="A501" i="2"/>
  <c r="A500" i="2"/>
  <c r="A499" i="2"/>
  <c r="A498" i="2"/>
  <c r="A497" i="2"/>
  <c r="A496" i="2"/>
  <c r="A495" i="2"/>
  <c r="A494" i="2"/>
  <c r="A493" i="2"/>
  <c r="A492" i="2"/>
  <c r="A491" i="2"/>
  <c r="A490" i="2"/>
  <c r="A489" i="2"/>
  <c r="A488" i="2"/>
  <c r="A487" i="2"/>
  <c r="A486" i="2"/>
  <c r="A485" i="2"/>
  <c r="A484" i="2"/>
  <c r="A483" i="2"/>
  <c r="A482" i="2"/>
  <c r="A481" i="2"/>
  <c r="A480" i="2"/>
  <c r="A479" i="2"/>
  <c r="A478" i="2"/>
  <c r="A477" i="2"/>
  <c r="A476" i="2"/>
  <c r="A475" i="2"/>
  <c r="A474" i="2"/>
  <c r="A473" i="2"/>
  <c r="A472" i="2"/>
  <c r="A471" i="2"/>
  <c r="A470" i="2"/>
  <c r="A469" i="2"/>
  <c r="A468" i="2"/>
  <c r="A467" i="2"/>
  <c r="A466" i="2"/>
  <c r="A465" i="2"/>
  <c r="A464" i="2"/>
  <c r="A463" i="2"/>
  <c r="A462" i="2"/>
  <c r="A461" i="2"/>
  <c r="A460" i="2"/>
  <c r="A459" i="2"/>
  <c r="A458" i="2"/>
  <c r="A457" i="2"/>
  <c r="A456" i="2"/>
  <c r="A455" i="2"/>
  <c r="A454" i="2"/>
  <c r="A453" i="2"/>
  <c r="A452" i="2"/>
  <c r="A451" i="2"/>
  <c r="A450" i="2"/>
  <c r="A449" i="2"/>
  <c r="A448" i="2"/>
  <c r="A447" i="2"/>
  <c r="A446" i="2"/>
  <c r="A445" i="2"/>
  <c r="A444" i="2"/>
  <c r="A443" i="2"/>
  <c r="A442" i="2"/>
  <c r="A441" i="2"/>
  <c r="A440" i="2"/>
  <c r="A439" i="2"/>
  <c r="A438" i="2"/>
  <c r="A437" i="2"/>
  <c r="A436" i="2"/>
  <c r="A435" i="2"/>
  <c r="A434" i="2"/>
  <c r="A433" i="2"/>
  <c r="A432" i="2"/>
  <c r="A431" i="2"/>
  <c r="A430" i="2"/>
  <c r="A429" i="2"/>
  <c r="A428" i="2"/>
  <c r="A427" i="2"/>
  <c r="A426" i="2"/>
  <c r="A425" i="2"/>
  <c r="A424" i="2"/>
  <c r="A423" i="2"/>
  <c r="A422" i="2"/>
  <c r="A421" i="2"/>
  <c r="A420" i="2"/>
  <c r="A419" i="2"/>
  <c r="A418" i="2"/>
  <c r="A417" i="2"/>
  <c r="A416" i="2"/>
  <c r="A415" i="2"/>
  <c r="A414" i="2"/>
  <c r="A413" i="2"/>
  <c r="A412" i="2"/>
  <c r="A411" i="2"/>
  <c r="A410" i="2"/>
  <c r="A409" i="2"/>
  <c r="A408" i="2"/>
  <c r="A407" i="2"/>
  <c r="A406" i="2"/>
  <c r="A405" i="2"/>
  <c r="A404" i="2"/>
  <c r="A403" i="2"/>
  <c r="A402" i="2"/>
  <c r="A401" i="2"/>
  <c r="A400" i="2"/>
  <c r="A399" i="2"/>
  <c r="A398" i="2"/>
  <c r="A397" i="2"/>
  <c r="A396" i="2"/>
  <c r="A395" i="2"/>
  <c r="A394" i="2"/>
  <c r="A393" i="2"/>
  <c r="A392" i="2"/>
  <c r="A391" i="2"/>
  <c r="A390" i="2"/>
  <c r="A389" i="2"/>
  <c r="A388" i="2"/>
  <c r="A387" i="2"/>
  <c r="A386" i="2"/>
  <c r="A385" i="2"/>
  <c r="A384" i="2"/>
  <c r="A383" i="2"/>
  <c r="A382" i="2"/>
  <c r="A381" i="2"/>
  <c r="A380" i="2"/>
  <c r="A379" i="2"/>
  <c r="A378" i="2"/>
  <c r="A377" i="2"/>
  <c r="A376" i="2"/>
  <c r="A375" i="2"/>
  <c r="A374" i="2"/>
  <c r="A373" i="2"/>
  <c r="A372" i="2"/>
  <c r="A371" i="2"/>
  <c r="A370" i="2"/>
  <c r="A369" i="2"/>
  <c r="A368" i="2"/>
  <c r="A367" i="2"/>
  <c r="A366" i="2"/>
  <c r="A365" i="2"/>
  <c r="A364" i="2"/>
  <c r="A363" i="2"/>
  <c r="A362" i="2"/>
  <c r="A361" i="2"/>
  <c r="A360" i="2"/>
  <c r="A359" i="2"/>
  <c r="A358" i="2"/>
  <c r="A357" i="2"/>
  <c r="A356" i="2"/>
  <c r="A355" i="2"/>
  <c r="A354" i="2"/>
  <c r="A353" i="2"/>
  <c r="A352" i="2"/>
  <c r="A351" i="2"/>
  <c r="A350" i="2"/>
  <c r="A349" i="2"/>
  <c r="A348" i="2"/>
  <c r="A347" i="2"/>
  <c r="A346" i="2"/>
  <c r="A345" i="2"/>
  <c r="A344" i="2"/>
  <c r="A343" i="2"/>
  <c r="A342" i="2"/>
  <c r="A341" i="2"/>
  <c r="A340" i="2"/>
  <c r="A339" i="2"/>
  <c r="A338" i="2"/>
  <c r="A337" i="2"/>
  <c r="A336" i="2"/>
  <c r="A335" i="2"/>
  <c r="A334" i="2"/>
  <c r="A333" i="2"/>
  <c r="A332" i="2"/>
  <c r="A331" i="2"/>
  <c r="A330" i="2"/>
  <c r="A329" i="2"/>
  <c r="A328" i="2"/>
  <c r="A327" i="2"/>
  <c r="A326" i="2"/>
  <c r="A325" i="2"/>
  <c r="A324" i="2"/>
  <c r="A323" i="2"/>
  <c r="A322" i="2"/>
  <c r="A321" i="2"/>
  <c r="A320" i="2"/>
  <c r="A319" i="2"/>
  <c r="A318" i="2"/>
  <c r="A317" i="2"/>
  <c r="A316" i="2"/>
  <c r="A315" i="2"/>
  <c r="A314" i="2"/>
  <c r="A313" i="2"/>
  <c r="A312" i="2"/>
  <c r="A311" i="2"/>
  <c r="A310" i="2"/>
  <c r="A309" i="2"/>
  <c r="A308" i="2"/>
  <c r="A307" i="2"/>
  <c r="A306" i="2"/>
  <c r="A305" i="2"/>
  <c r="A304" i="2"/>
  <c r="A303" i="2"/>
  <c r="A302" i="2"/>
  <c r="A301" i="2"/>
  <c r="A300" i="2"/>
  <c r="A299" i="2"/>
  <c r="A298" i="2"/>
  <c r="A297" i="2"/>
  <c r="A296" i="2"/>
  <c r="A295" i="2"/>
  <c r="A294" i="2"/>
  <c r="A293" i="2"/>
  <c r="A292" i="2"/>
  <c r="A291" i="2"/>
  <c r="A290" i="2"/>
  <c r="A289" i="2"/>
  <c r="A288" i="2"/>
  <c r="A287" i="2"/>
  <c r="A286" i="2"/>
  <c r="A285" i="2"/>
  <c r="A284" i="2"/>
  <c r="A283" i="2"/>
  <c r="A282" i="2"/>
  <c r="A281" i="2"/>
  <c r="A280" i="2"/>
  <c r="A279" i="2"/>
  <c r="A278" i="2"/>
  <c r="A277" i="2"/>
  <c r="A276" i="2"/>
  <c r="A275" i="2"/>
  <c r="A274" i="2"/>
  <c r="A273" i="2"/>
  <c r="A272" i="2"/>
  <c r="A271" i="2"/>
  <c r="A270" i="2"/>
  <c r="A269" i="2"/>
  <c r="A268" i="2"/>
  <c r="A267" i="2"/>
  <c r="A266" i="2"/>
  <c r="A265" i="2"/>
  <c r="A264" i="2"/>
  <c r="A263" i="2"/>
  <c r="A262" i="2"/>
  <c r="A261" i="2"/>
  <c r="A260" i="2"/>
  <c r="A259" i="2"/>
  <c r="A258" i="2"/>
  <c r="A257" i="2"/>
  <c r="A256" i="2"/>
  <c r="A255" i="2"/>
  <c r="A254" i="2"/>
  <c r="A253" i="2"/>
  <c r="A252" i="2"/>
  <c r="A251" i="2"/>
  <c r="A250" i="2"/>
  <c r="A249" i="2"/>
  <c r="A248" i="2"/>
  <c r="A247" i="2"/>
  <c r="A246" i="2"/>
  <c r="A245" i="2"/>
  <c r="A244" i="2"/>
  <c r="A243" i="2"/>
  <c r="A242" i="2"/>
  <c r="A241" i="2"/>
  <c r="A240" i="2"/>
  <c r="A239" i="2"/>
  <c r="A238" i="2"/>
  <c r="A237" i="2"/>
  <c r="A236" i="2"/>
  <c r="A235" i="2"/>
  <c r="A234" i="2"/>
  <c r="A233" i="2"/>
  <c r="A232" i="2"/>
  <c r="A231" i="2"/>
  <c r="A230" i="2"/>
  <c r="A229" i="2"/>
  <c r="A228" i="2"/>
  <c r="A227" i="2"/>
  <c r="A226" i="2"/>
  <c r="A225" i="2"/>
  <c r="A224" i="2"/>
  <c r="A223" i="2"/>
  <c r="A222" i="2"/>
  <c r="A221" i="2"/>
  <c r="A220" i="2"/>
  <c r="A219" i="2"/>
  <c r="A218" i="2"/>
  <c r="A217" i="2"/>
  <c r="A216" i="2"/>
  <c r="A215" i="2"/>
  <c r="A214" i="2"/>
  <c r="A213" i="2"/>
  <c r="A212" i="2"/>
  <c r="A211" i="2"/>
  <c r="A210" i="2"/>
  <c r="A209" i="2"/>
  <c r="A208" i="2"/>
  <c r="A207" i="2"/>
  <c r="A206" i="2"/>
  <c r="A205" i="2"/>
  <c r="A204" i="2"/>
  <c r="A203" i="2"/>
  <c r="A202" i="2"/>
  <c r="A201" i="2"/>
  <c r="A200" i="2"/>
  <c r="A199" i="2"/>
  <c r="A198" i="2"/>
  <c r="A197" i="2"/>
  <c r="A196" i="2"/>
  <c r="A195" i="2"/>
  <c r="A194" i="2"/>
  <c r="A193" i="2"/>
  <c r="A192" i="2"/>
  <c r="A191" i="2"/>
  <c r="A190" i="2"/>
  <c r="A189" i="2"/>
  <c r="A188" i="2"/>
  <c r="A187" i="2"/>
  <c r="A186" i="2"/>
  <c r="A185" i="2"/>
  <c r="A184" i="2"/>
  <c r="A183" i="2"/>
  <c r="A182" i="2"/>
  <c r="A181" i="2"/>
  <c r="A180" i="2"/>
  <c r="A179" i="2"/>
  <c r="A178" i="2"/>
  <c r="A177" i="2"/>
  <c r="A176" i="2"/>
  <c r="A175" i="2"/>
  <c r="A174" i="2"/>
  <c r="A173" i="2"/>
  <c r="A172" i="2"/>
  <c r="A171" i="2"/>
  <c r="A170" i="2"/>
  <c r="A169" i="2"/>
  <c r="A168" i="2"/>
  <c r="A167" i="2"/>
  <c r="A166" i="2"/>
  <c r="A165" i="2"/>
  <c r="A164" i="2"/>
  <c r="A163" i="2"/>
  <c r="A162" i="2"/>
  <c r="A161" i="2"/>
  <c r="A160" i="2"/>
  <c r="A159" i="2"/>
  <c r="A158" i="2"/>
  <c r="A157" i="2"/>
  <c r="A156" i="2"/>
  <c r="A155" i="2"/>
  <c r="A154" i="2"/>
  <c r="A153" i="2"/>
  <c r="A152" i="2"/>
  <c r="A151" i="2"/>
  <c r="A150" i="2"/>
  <c r="A149" i="2"/>
  <c r="A148" i="2"/>
  <c r="A147" i="2"/>
  <c r="A146" i="2"/>
  <c r="A145" i="2"/>
  <c r="A144" i="2"/>
  <c r="A143" i="2"/>
  <c r="A142" i="2"/>
  <c r="A141" i="2"/>
  <c r="A140" i="2"/>
  <c r="A139" i="2"/>
  <c r="A138" i="2"/>
  <c r="A137" i="2"/>
  <c r="A136" i="2"/>
  <c r="A135" i="2"/>
  <c r="A134" i="2"/>
  <c r="A133" i="2"/>
  <c r="A132" i="2"/>
  <c r="A131" i="2"/>
  <c r="A130" i="2"/>
  <c r="A129" i="2"/>
  <c r="A128" i="2"/>
  <c r="A127" i="2"/>
  <c r="A126" i="2"/>
  <c r="A125" i="2"/>
  <c r="A124" i="2"/>
  <c r="A123" i="2"/>
  <c r="A122" i="2"/>
  <c r="A121" i="2"/>
  <c r="A120" i="2"/>
  <c r="A119" i="2"/>
  <c r="A118" i="2"/>
  <c r="A117" i="2"/>
  <c r="A116" i="2"/>
  <c r="A115" i="2"/>
  <c r="A114" i="2"/>
  <c r="A113" i="2"/>
  <c r="A112" i="2"/>
  <c r="A111" i="2"/>
  <c r="A110" i="2"/>
  <c r="A109" i="2"/>
  <c r="A108" i="2"/>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 r="A29" i="2"/>
  <c r="A28" i="2"/>
  <c r="A27" i="2"/>
  <c r="A26" i="2"/>
  <c r="A25" i="2"/>
  <c r="A24" i="2"/>
  <c r="A23" i="2"/>
  <c r="A22" i="2"/>
  <c r="A21" i="2"/>
  <c r="A20" i="2"/>
  <c r="A19" i="2"/>
  <c r="A18" i="2"/>
  <c r="A17" i="2"/>
  <c r="A16" i="2"/>
  <c r="A15" i="2"/>
  <c r="A14" i="2"/>
  <c r="A13" i="2"/>
  <c r="A12" i="2"/>
  <c r="A11" i="2"/>
  <c r="A10" i="2"/>
  <c r="A9" i="2"/>
  <c r="A8" i="2"/>
  <c r="A7" i="2"/>
  <c r="A6" i="2"/>
  <c r="A5" i="2"/>
  <c r="A4" i="2"/>
  <c r="B2" i="1"/>
  <c r="H500" i="1"/>
  <c r="I500" i="1" s="1"/>
  <c r="H499" i="1"/>
  <c r="I499" i="1" s="1"/>
  <c r="H498" i="1"/>
  <c r="I498" i="1" s="1"/>
  <c r="H497" i="1"/>
  <c r="I497" i="1" s="1"/>
  <c r="H496" i="1"/>
  <c r="I496" i="1" s="1"/>
  <c r="H495" i="1"/>
  <c r="I495" i="1" s="1"/>
  <c r="H494" i="1"/>
  <c r="I494" i="1" s="1"/>
  <c r="H493" i="1"/>
  <c r="I493" i="1" s="1"/>
  <c r="H492" i="1"/>
  <c r="I492" i="1" s="1"/>
  <c r="H491" i="1"/>
  <c r="I491" i="1" s="1"/>
  <c r="H490" i="1"/>
  <c r="I490" i="1" s="1"/>
  <c r="H489" i="1"/>
  <c r="I489" i="1" s="1"/>
  <c r="H488" i="1"/>
  <c r="I488" i="1" s="1"/>
  <c r="H487" i="1"/>
  <c r="I487" i="1" s="1"/>
  <c r="H486" i="1"/>
  <c r="I486" i="1" s="1"/>
  <c r="H485" i="1"/>
  <c r="I485" i="1" s="1"/>
  <c r="H484" i="1"/>
  <c r="I484" i="1" s="1"/>
  <c r="H483" i="1"/>
  <c r="I483" i="1" s="1"/>
  <c r="H482" i="1"/>
  <c r="I482" i="1" s="1"/>
  <c r="H481" i="1"/>
  <c r="I481" i="1" s="1"/>
  <c r="H480" i="1"/>
  <c r="I480" i="1" s="1"/>
  <c r="H479" i="1"/>
  <c r="I479" i="1" s="1"/>
  <c r="H478" i="1"/>
  <c r="I478" i="1" s="1"/>
  <c r="H477" i="1"/>
  <c r="I477" i="1" s="1"/>
  <c r="H476" i="1"/>
  <c r="I476" i="1" s="1"/>
  <c r="H475" i="1"/>
  <c r="I475" i="1" s="1"/>
  <c r="H474" i="1"/>
  <c r="I474" i="1" s="1"/>
  <c r="H473" i="1"/>
  <c r="I473" i="1" s="1"/>
  <c r="H472" i="1"/>
  <c r="I472" i="1" s="1"/>
  <c r="H471" i="1"/>
  <c r="I471" i="1" s="1"/>
  <c r="H470" i="1"/>
  <c r="I470" i="1" s="1"/>
  <c r="H469" i="1"/>
  <c r="I469" i="1" s="1"/>
  <c r="H468" i="1"/>
  <c r="I468" i="1" s="1"/>
  <c r="H467" i="1"/>
  <c r="I467" i="1" s="1"/>
  <c r="H466" i="1"/>
  <c r="I466" i="1" s="1"/>
  <c r="H465" i="1"/>
  <c r="I465" i="1" s="1"/>
  <c r="H464" i="1"/>
  <c r="I464" i="1" s="1"/>
  <c r="H463" i="1"/>
  <c r="I463" i="1" s="1"/>
  <c r="H462" i="1"/>
  <c r="I462" i="1" s="1"/>
  <c r="H461" i="1"/>
  <c r="I461" i="1" s="1"/>
  <c r="H460" i="1"/>
  <c r="I460" i="1" s="1"/>
  <c r="H459" i="1"/>
  <c r="I459" i="1" s="1"/>
  <c r="H458" i="1"/>
  <c r="I458" i="1" s="1"/>
  <c r="H457" i="1"/>
  <c r="I457" i="1" s="1"/>
  <c r="H456" i="1"/>
  <c r="I456" i="1" s="1"/>
  <c r="H455" i="1"/>
  <c r="I455" i="1" s="1"/>
  <c r="H454" i="1"/>
  <c r="I454" i="1" s="1"/>
  <c r="H453" i="1"/>
  <c r="I453" i="1" s="1"/>
  <c r="H452" i="1"/>
  <c r="I452" i="1" s="1"/>
  <c r="H451" i="1"/>
  <c r="I451" i="1" s="1"/>
  <c r="H450" i="1"/>
  <c r="I450" i="1" s="1"/>
  <c r="H449" i="1"/>
  <c r="I449" i="1" s="1"/>
  <c r="H448" i="1"/>
  <c r="I448" i="1" s="1"/>
  <c r="H447" i="1"/>
  <c r="I447" i="1" s="1"/>
  <c r="H446" i="1"/>
  <c r="I446" i="1" s="1"/>
  <c r="H445" i="1"/>
  <c r="I445" i="1" s="1"/>
  <c r="H444" i="1"/>
  <c r="I444" i="1" s="1"/>
  <c r="H443" i="1"/>
  <c r="I443" i="1" s="1"/>
  <c r="H442" i="1"/>
  <c r="I442" i="1" s="1"/>
  <c r="H441" i="1"/>
  <c r="I441" i="1" s="1"/>
  <c r="H440" i="1"/>
  <c r="I440" i="1" s="1"/>
  <c r="H439" i="1"/>
  <c r="I439" i="1" s="1"/>
  <c r="H438" i="1"/>
  <c r="I438" i="1" s="1"/>
  <c r="H437" i="1"/>
  <c r="I437" i="1" s="1"/>
  <c r="H436" i="1"/>
  <c r="I436" i="1" s="1"/>
  <c r="H435" i="1"/>
  <c r="I435" i="1" s="1"/>
  <c r="H434" i="1"/>
  <c r="I434" i="1" s="1"/>
  <c r="H433" i="1"/>
  <c r="I433" i="1" s="1"/>
  <c r="H432" i="1"/>
  <c r="I432" i="1" s="1"/>
  <c r="H431" i="1"/>
  <c r="I431" i="1" s="1"/>
  <c r="H430" i="1"/>
  <c r="I430" i="1" s="1"/>
  <c r="H429" i="1"/>
  <c r="I429" i="1" s="1"/>
  <c r="H428" i="1"/>
  <c r="I428" i="1" s="1"/>
  <c r="H427" i="1"/>
  <c r="I427" i="1" s="1"/>
  <c r="H426" i="1"/>
  <c r="I426" i="1" s="1"/>
  <c r="H425" i="1"/>
  <c r="I425" i="1" s="1"/>
  <c r="H424" i="1"/>
  <c r="I424" i="1" s="1"/>
  <c r="H423" i="1"/>
  <c r="I423" i="1" s="1"/>
  <c r="H422" i="1"/>
  <c r="I422" i="1" s="1"/>
  <c r="H421" i="1"/>
  <c r="I421" i="1" s="1"/>
  <c r="H420" i="1"/>
  <c r="I420" i="1" s="1"/>
  <c r="H419" i="1"/>
  <c r="I419" i="1" s="1"/>
  <c r="H418" i="1"/>
  <c r="I418" i="1" s="1"/>
  <c r="H417" i="1"/>
  <c r="I417" i="1" s="1"/>
  <c r="H416" i="1"/>
  <c r="I416" i="1" s="1"/>
  <c r="H415" i="1"/>
  <c r="I415" i="1" s="1"/>
  <c r="H414" i="1"/>
  <c r="I414" i="1" s="1"/>
  <c r="H413" i="1"/>
  <c r="I413" i="1" s="1"/>
  <c r="H412" i="1"/>
  <c r="I412" i="1" s="1"/>
  <c r="H411" i="1"/>
  <c r="I411" i="1" s="1"/>
  <c r="H410" i="1"/>
  <c r="I410" i="1" s="1"/>
  <c r="H409" i="1"/>
  <c r="I409" i="1" s="1"/>
  <c r="H408" i="1"/>
  <c r="I408" i="1" s="1"/>
  <c r="H407" i="1"/>
  <c r="I407" i="1" s="1"/>
  <c r="H406" i="1"/>
  <c r="I406" i="1" s="1"/>
  <c r="H405" i="1"/>
  <c r="I405" i="1" s="1"/>
  <c r="H404" i="1"/>
  <c r="I404" i="1" s="1"/>
  <c r="H403" i="1"/>
  <c r="I403" i="1" s="1"/>
  <c r="H402" i="1"/>
  <c r="I402" i="1" s="1"/>
  <c r="H401" i="1"/>
  <c r="I401" i="1" s="1"/>
  <c r="H400" i="1"/>
  <c r="I400" i="1" s="1"/>
  <c r="H399" i="1"/>
  <c r="I399" i="1" s="1"/>
  <c r="H398" i="1"/>
  <c r="I398" i="1" s="1"/>
  <c r="H397" i="1"/>
  <c r="I397" i="1" s="1"/>
  <c r="H396" i="1"/>
  <c r="I396" i="1" s="1"/>
  <c r="H395" i="1"/>
  <c r="I395" i="1" s="1"/>
  <c r="H394" i="1"/>
  <c r="I394" i="1" s="1"/>
  <c r="H393" i="1"/>
  <c r="I393" i="1" s="1"/>
  <c r="H392" i="1"/>
  <c r="I392" i="1" s="1"/>
  <c r="H391" i="1"/>
  <c r="I391" i="1" s="1"/>
  <c r="H390" i="1"/>
  <c r="I390" i="1" s="1"/>
  <c r="H389" i="1"/>
  <c r="I389" i="1" s="1"/>
  <c r="H388" i="1"/>
  <c r="I388" i="1" s="1"/>
  <c r="H387" i="1"/>
  <c r="I387" i="1" s="1"/>
  <c r="H386" i="1"/>
  <c r="I386" i="1" s="1"/>
  <c r="H385" i="1"/>
  <c r="I385" i="1" s="1"/>
  <c r="H384" i="1"/>
  <c r="I384" i="1" s="1"/>
  <c r="H383" i="1"/>
  <c r="I383" i="1" s="1"/>
  <c r="H382" i="1"/>
  <c r="I382" i="1" s="1"/>
  <c r="H381" i="1"/>
  <c r="I381" i="1" s="1"/>
  <c r="H380" i="1"/>
  <c r="I380" i="1" s="1"/>
  <c r="H379" i="1"/>
  <c r="I379" i="1" s="1"/>
  <c r="H378" i="1"/>
  <c r="I378" i="1" s="1"/>
  <c r="H377" i="1"/>
  <c r="I377" i="1" s="1"/>
  <c r="H376" i="1"/>
  <c r="I376" i="1" s="1"/>
  <c r="H375" i="1"/>
  <c r="I375" i="1" s="1"/>
  <c r="H374" i="1"/>
  <c r="I374" i="1" s="1"/>
  <c r="H373" i="1"/>
  <c r="I373" i="1" s="1"/>
  <c r="H372" i="1"/>
  <c r="I372" i="1" s="1"/>
  <c r="H371" i="1"/>
  <c r="I371" i="1" s="1"/>
  <c r="H370" i="1"/>
  <c r="I370" i="1" s="1"/>
  <c r="H369" i="1"/>
  <c r="I369" i="1" s="1"/>
  <c r="H368" i="1"/>
  <c r="I368" i="1" s="1"/>
  <c r="H367" i="1"/>
  <c r="I367" i="1" s="1"/>
  <c r="H366" i="1"/>
  <c r="I366" i="1" s="1"/>
  <c r="H365" i="1"/>
  <c r="I365" i="1" s="1"/>
  <c r="H364" i="1"/>
  <c r="I364" i="1" s="1"/>
  <c r="H363" i="1"/>
  <c r="I363" i="1" s="1"/>
  <c r="H362" i="1"/>
  <c r="I362" i="1" s="1"/>
  <c r="H361" i="1"/>
  <c r="I361" i="1" s="1"/>
  <c r="H360" i="1"/>
  <c r="I360" i="1" s="1"/>
  <c r="H359" i="1"/>
  <c r="I359" i="1" s="1"/>
  <c r="H358" i="1"/>
  <c r="I358" i="1" s="1"/>
  <c r="H357" i="1"/>
  <c r="I357" i="1" s="1"/>
  <c r="H356" i="1"/>
  <c r="I356" i="1" s="1"/>
  <c r="H355" i="1"/>
  <c r="I355" i="1" s="1"/>
  <c r="H354" i="1"/>
  <c r="I354" i="1" s="1"/>
  <c r="H353" i="1"/>
  <c r="I353" i="1" s="1"/>
  <c r="H352" i="1"/>
  <c r="I352" i="1" s="1"/>
  <c r="H351" i="1"/>
  <c r="I351" i="1" s="1"/>
  <c r="H350" i="1"/>
  <c r="I350" i="1" s="1"/>
  <c r="H349" i="1"/>
  <c r="I349" i="1" s="1"/>
  <c r="H348" i="1"/>
  <c r="I348" i="1" s="1"/>
  <c r="H347" i="1"/>
  <c r="I347" i="1" s="1"/>
  <c r="H346" i="1"/>
  <c r="I346" i="1" s="1"/>
  <c r="H345" i="1"/>
  <c r="I345" i="1" s="1"/>
  <c r="H344" i="1"/>
  <c r="I344" i="1" s="1"/>
  <c r="H343" i="1"/>
  <c r="I343" i="1" s="1"/>
  <c r="H342" i="1"/>
  <c r="I342" i="1" s="1"/>
  <c r="H341" i="1"/>
  <c r="I341" i="1" s="1"/>
  <c r="H340" i="1"/>
  <c r="I340" i="1" s="1"/>
  <c r="H339" i="1"/>
  <c r="I339" i="1" s="1"/>
  <c r="H338" i="1"/>
  <c r="I338" i="1" s="1"/>
  <c r="H337" i="1"/>
  <c r="I337" i="1" s="1"/>
  <c r="H336" i="1"/>
  <c r="I336" i="1" s="1"/>
  <c r="H335" i="1"/>
  <c r="I335" i="1" s="1"/>
  <c r="H334" i="1"/>
  <c r="I334" i="1" s="1"/>
  <c r="H333" i="1"/>
  <c r="I333" i="1" s="1"/>
  <c r="H332" i="1"/>
  <c r="I332" i="1" s="1"/>
  <c r="H331" i="1"/>
  <c r="I331" i="1" s="1"/>
  <c r="H330" i="1"/>
  <c r="I330" i="1" s="1"/>
  <c r="H329" i="1"/>
  <c r="I329" i="1" s="1"/>
  <c r="H328" i="1"/>
  <c r="I328" i="1" s="1"/>
  <c r="H327" i="1"/>
  <c r="I327" i="1" s="1"/>
  <c r="H326" i="1"/>
  <c r="I326" i="1" s="1"/>
  <c r="H325" i="1"/>
  <c r="I325" i="1" s="1"/>
  <c r="H324" i="1"/>
  <c r="I324" i="1" s="1"/>
  <c r="H323" i="1"/>
  <c r="I323" i="1" s="1"/>
  <c r="H322" i="1"/>
  <c r="I322" i="1" s="1"/>
  <c r="H321" i="1"/>
  <c r="I321" i="1" s="1"/>
  <c r="H320" i="1"/>
  <c r="I320" i="1" s="1"/>
  <c r="H319" i="1"/>
  <c r="I319" i="1" s="1"/>
  <c r="H318" i="1"/>
  <c r="I318" i="1" s="1"/>
  <c r="H317" i="1"/>
  <c r="I317" i="1" s="1"/>
  <c r="H316" i="1"/>
  <c r="I316" i="1" s="1"/>
  <c r="H315" i="1"/>
  <c r="I315" i="1" s="1"/>
  <c r="H314" i="1"/>
  <c r="I314" i="1" s="1"/>
  <c r="H313" i="1"/>
  <c r="I313" i="1" s="1"/>
  <c r="H312" i="1"/>
  <c r="I312" i="1" s="1"/>
  <c r="H311" i="1"/>
  <c r="I311" i="1" s="1"/>
  <c r="H310" i="1"/>
  <c r="I310" i="1" s="1"/>
  <c r="H309" i="1"/>
  <c r="I309" i="1" s="1"/>
  <c r="H308" i="1"/>
  <c r="I308" i="1" s="1"/>
  <c r="H307" i="1"/>
  <c r="I307" i="1" s="1"/>
  <c r="H306" i="1"/>
  <c r="I306" i="1" s="1"/>
  <c r="H305" i="1"/>
  <c r="I305" i="1" s="1"/>
  <c r="H304" i="1"/>
  <c r="I304" i="1" s="1"/>
  <c r="H303" i="1"/>
  <c r="I303" i="1" s="1"/>
  <c r="H302" i="1"/>
  <c r="I302" i="1" s="1"/>
  <c r="H301" i="1"/>
  <c r="I301" i="1" s="1"/>
  <c r="H300" i="1"/>
  <c r="I300" i="1" s="1"/>
  <c r="H299" i="1"/>
  <c r="I299" i="1" s="1"/>
  <c r="H298" i="1"/>
  <c r="I298" i="1" s="1"/>
  <c r="H297" i="1"/>
  <c r="I297" i="1" s="1"/>
  <c r="H296" i="1"/>
  <c r="I296" i="1" s="1"/>
  <c r="H295" i="1"/>
  <c r="I295" i="1" s="1"/>
  <c r="H294" i="1"/>
  <c r="I294" i="1" s="1"/>
  <c r="H293" i="1"/>
  <c r="I293" i="1" s="1"/>
  <c r="H292" i="1"/>
  <c r="I292" i="1" s="1"/>
  <c r="H291" i="1"/>
  <c r="I291" i="1" s="1"/>
  <c r="H290" i="1"/>
  <c r="I290" i="1" s="1"/>
  <c r="H289" i="1"/>
  <c r="I289" i="1" s="1"/>
  <c r="H288" i="1"/>
  <c r="I288" i="1" s="1"/>
  <c r="H287" i="1"/>
  <c r="I287" i="1" s="1"/>
  <c r="H286" i="1"/>
  <c r="I286" i="1" s="1"/>
  <c r="H285" i="1"/>
  <c r="I285" i="1" s="1"/>
  <c r="H284" i="1"/>
  <c r="I284" i="1" s="1"/>
  <c r="H283" i="1"/>
  <c r="I283" i="1" s="1"/>
  <c r="H282" i="1"/>
  <c r="I282" i="1" s="1"/>
  <c r="H281" i="1"/>
  <c r="I281" i="1" s="1"/>
  <c r="H280" i="1"/>
  <c r="I280" i="1" s="1"/>
  <c r="H279" i="1"/>
  <c r="I279" i="1" s="1"/>
  <c r="H278" i="1"/>
  <c r="I278" i="1" s="1"/>
  <c r="H277" i="1"/>
  <c r="I277" i="1" s="1"/>
  <c r="H276" i="1"/>
  <c r="I276" i="1" s="1"/>
  <c r="H275" i="1"/>
  <c r="I275" i="1" s="1"/>
  <c r="H274" i="1"/>
  <c r="I274" i="1" s="1"/>
  <c r="H273" i="1"/>
  <c r="I273" i="1" s="1"/>
  <c r="H272" i="1"/>
  <c r="I272" i="1" s="1"/>
  <c r="H271" i="1"/>
  <c r="I271" i="1" s="1"/>
  <c r="H270" i="1"/>
  <c r="I270" i="1" s="1"/>
  <c r="H269" i="1"/>
  <c r="I269" i="1" s="1"/>
  <c r="H268" i="1"/>
  <c r="I268" i="1" s="1"/>
  <c r="H267" i="1"/>
  <c r="I267" i="1" s="1"/>
  <c r="H266" i="1"/>
  <c r="I266" i="1" s="1"/>
  <c r="H265" i="1"/>
  <c r="I265" i="1" s="1"/>
  <c r="H264" i="1"/>
  <c r="I264" i="1" s="1"/>
  <c r="H263" i="1"/>
  <c r="I263" i="1" s="1"/>
  <c r="H262" i="1"/>
  <c r="I262" i="1" s="1"/>
  <c r="H261" i="1"/>
  <c r="I261" i="1" s="1"/>
  <c r="H260" i="1"/>
  <c r="I260" i="1" s="1"/>
  <c r="H259" i="1"/>
  <c r="I259" i="1" s="1"/>
  <c r="H258" i="1"/>
  <c r="I258" i="1" s="1"/>
  <c r="H257" i="1"/>
  <c r="I257" i="1" s="1"/>
  <c r="H256" i="1"/>
  <c r="I256" i="1" s="1"/>
  <c r="H255" i="1"/>
  <c r="I255" i="1" s="1"/>
  <c r="H254" i="1"/>
  <c r="I254" i="1" s="1"/>
  <c r="H253" i="1"/>
  <c r="I253" i="1" s="1"/>
  <c r="H252" i="1"/>
  <c r="I252" i="1" s="1"/>
  <c r="H251" i="1"/>
  <c r="I251" i="1" s="1"/>
  <c r="H250" i="1"/>
  <c r="I250" i="1" s="1"/>
  <c r="H249" i="1"/>
  <c r="I249" i="1" s="1"/>
  <c r="H248" i="1"/>
  <c r="I248" i="1" s="1"/>
  <c r="H247" i="1"/>
  <c r="I247" i="1" s="1"/>
  <c r="H246" i="1"/>
  <c r="I246" i="1" s="1"/>
  <c r="H245" i="1"/>
  <c r="I245" i="1" s="1"/>
  <c r="H244" i="1"/>
  <c r="I244" i="1" s="1"/>
  <c r="H243" i="1"/>
  <c r="I243" i="1" s="1"/>
  <c r="H242" i="1"/>
  <c r="I242" i="1" s="1"/>
  <c r="H241" i="1"/>
  <c r="I241" i="1" s="1"/>
  <c r="H240" i="1"/>
  <c r="I240" i="1" s="1"/>
  <c r="H239" i="1"/>
  <c r="I239" i="1" s="1"/>
  <c r="H238" i="1"/>
  <c r="I238" i="1" s="1"/>
  <c r="H237" i="1"/>
  <c r="I237" i="1" s="1"/>
  <c r="H236" i="1"/>
  <c r="I236" i="1" s="1"/>
  <c r="H235" i="1"/>
  <c r="I235" i="1" s="1"/>
  <c r="H234" i="1"/>
  <c r="I234" i="1" s="1"/>
  <c r="H233" i="1"/>
  <c r="I233" i="1" s="1"/>
  <c r="H232" i="1"/>
  <c r="I232" i="1" s="1"/>
  <c r="H231" i="1"/>
  <c r="I231" i="1" s="1"/>
  <c r="H230" i="1"/>
  <c r="I230" i="1" s="1"/>
  <c r="H229" i="1"/>
  <c r="I229" i="1" s="1"/>
  <c r="H228" i="1"/>
  <c r="I228" i="1" s="1"/>
  <c r="H227" i="1"/>
  <c r="I227" i="1" s="1"/>
  <c r="H226" i="1"/>
  <c r="I226" i="1" s="1"/>
  <c r="H225" i="1"/>
  <c r="I225" i="1" s="1"/>
  <c r="H224" i="1"/>
  <c r="I224" i="1" s="1"/>
  <c r="H223" i="1"/>
  <c r="I223" i="1" s="1"/>
  <c r="H222" i="1"/>
  <c r="I222" i="1" s="1"/>
  <c r="H221" i="1"/>
  <c r="I221" i="1" s="1"/>
  <c r="H220" i="1"/>
  <c r="I220" i="1" s="1"/>
  <c r="H219" i="1"/>
  <c r="I219" i="1" s="1"/>
  <c r="H218" i="1"/>
  <c r="I218" i="1" s="1"/>
  <c r="H217" i="1"/>
  <c r="I217" i="1" s="1"/>
  <c r="H216" i="1"/>
  <c r="I216" i="1" s="1"/>
  <c r="H215" i="1"/>
  <c r="I215" i="1" s="1"/>
  <c r="H214" i="1"/>
  <c r="I214" i="1" s="1"/>
  <c r="H213" i="1"/>
  <c r="I213" i="1" s="1"/>
  <c r="H212" i="1"/>
  <c r="I212" i="1" s="1"/>
  <c r="H211" i="1"/>
  <c r="I211" i="1" s="1"/>
  <c r="H210" i="1"/>
  <c r="I210" i="1" s="1"/>
  <c r="H209" i="1"/>
  <c r="I209" i="1" s="1"/>
  <c r="H208" i="1"/>
  <c r="I208" i="1" s="1"/>
  <c r="H207" i="1"/>
  <c r="I207" i="1" s="1"/>
  <c r="H206" i="1"/>
  <c r="I206" i="1" s="1"/>
  <c r="H205" i="1"/>
  <c r="I205" i="1" s="1"/>
  <c r="H204" i="1"/>
  <c r="I204" i="1" s="1"/>
  <c r="H203" i="1"/>
  <c r="I203" i="1" s="1"/>
  <c r="H202" i="1"/>
  <c r="I202" i="1" s="1"/>
  <c r="H201" i="1"/>
  <c r="I201" i="1" s="1"/>
  <c r="H200" i="1"/>
  <c r="I200" i="1" s="1"/>
  <c r="H199" i="1"/>
  <c r="I199" i="1" s="1"/>
  <c r="H198" i="1"/>
  <c r="I198" i="1" s="1"/>
  <c r="H197" i="1"/>
  <c r="I197" i="1" s="1"/>
  <c r="H196" i="1"/>
  <c r="I196" i="1" s="1"/>
  <c r="H195" i="1"/>
  <c r="I195" i="1" s="1"/>
  <c r="H194" i="1"/>
  <c r="I194" i="1" s="1"/>
  <c r="H193" i="1"/>
  <c r="I193" i="1" s="1"/>
  <c r="H192" i="1"/>
  <c r="I192" i="1" s="1"/>
  <c r="H191" i="1"/>
  <c r="I191" i="1" s="1"/>
  <c r="H190" i="1"/>
  <c r="I190" i="1" s="1"/>
  <c r="H189" i="1"/>
  <c r="I189" i="1" s="1"/>
  <c r="H188" i="1"/>
  <c r="I188" i="1" s="1"/>
  <c r="H187" i="1"/>
  <c r="I187" i="1" s="1"/>
  <c r="H186" i="1"/>
  <c r="I186" i="1" s="1"/>
  <c r="H185" i="1"/>
  <c r="I185" i="1" s="1"/>
  <c r="H184" i="1"/>
  <c r="I184" i="1" s="1"/>
  <c r="H183" i="1"/>
  <c r="I183" i="1" s="1"/>
  <c r="H182" i="1"/>
  <c r="I182" i="1" s="1"/>
  <c r="H181" i="1"/>
  <c r="I181" i="1" s="1"/>
  <c r="H180" i="1"/>
  <c r="I180" i="1" s="1"/>
  <c r="H179" i="1"/>
  <c r="I179" i="1" s="1"/>
  <c r="H178" i="1"/>
  <c r="I178" i="1" s="1"/>
  <c r="H177" i="1"/>
  <c r="I177" i="1" s="1"/>
  <c r="H176" i="1"/>
  <c r="I176" i="1" s="1"/>
  <c r="H175" i="1"/>
  <c r="I175" i="1" s="1"/>
  <c r="H174" i="1"/>
  <c r="I174" i="1" s="1"/>
  <c r="H173" i="1"/>
  <c r="I173" i="1" s="1"/>
  <c r="H172" i="1"/>
  <c r="I172" i="1" s="1"/>
  <c r="H171" i="1"/>
  <c r="I171" i="1" s="1"/>
  <c r="H170" i="1"/>
  <c r="I170" i="1" s="1"/>
  <c r="H169" i="1"/>
  <c r="I169" i="1" s="1"/>
  <c r="H168" i="1"/>
  <c r="I168" i="1" s="1"/>
  <c r="H167" i="1"/>
  <c r="I167" i="1" s="1"/>
  <c r="H166" i="1"/>
  <c r="I166" i="1" s="1"/>
  <c r="H165" i="1"/>
  <c r="I165" i="1" s="1"/>
  <c r="H164" i="1"/>
  <c r="I164" i="1" s="1"/>
  <c r="H163" i="1"/>
  <c r="I163" i="1" s="1"/>
  <c r="H162" i="1"/>
  <c r="I162" i="1" s="1"/>
  <c r="H161" i="1"/>
  <c r="I161" i="1" s="1"/>
  <c r="H160" i="1"/>
  <c r="I160" i="1" s="1"/>
  <c r="H159" i="1"/>
  <c r="I159" i="1" s="1"/>
  <c r="H158" i="1"/>
  <c r="I158" i="1" s="1"/>
  <c r="H157" i="1"/>
  <c r="I157" i="1" s="1"/>
  <c r="H156" i="1"/>
  <c r="I156" i="1" s="1"/>
  <c r="H155" i="1"/>
  <c r="I155" i="1" s="1"/>
  <c r="H154" i="1"/>
  <c r="I154" i="1" s="1"/>
  <c r="H153" i="1"/>
  <c r="I153" i="1" s="1"/>
  <c r="H152" i="1"/>
  <c r="I152" i="1" s="1"/>
  <c r="H151" i="1"/>
  <c r="I151" i="1" s="1"/>
  <c r="H150" i="1"/>
  <c r="I150" i="1" s="1"/>
  <c r="H149" i="1"/>
  <c r="I149" i="1" s="1"/>
  <c r="H148" i="1"/>
  <c r="I148" i="1" s="1"/>
  <c r="H147" i="1"/>
  <c r="I147" i="1" s="1"/>
  <c r="H146" i="1"/>
  <c r="I146" i="1" s="1"/>
  <c r="H145" i="1"/>
  <c r="I145" i="1" s="1"/>
  <c r="H144" i="1"/>
  <c r="I144" i="1" s="1"/>
  <c r="H143" i="1"/>
  <c r="I143" i="1" s="1"/>
  <c r="H142" i="1"/>
  <c r="I142" i="1" s="1"/>
  <c r="H141" i="1"/>
  <c r="I141" i="1" s="1"/>
  <c r="H140" i="1"/>
  <c r="I140" i="1" s="1"/>
  <c r="H139" i="1"/>
  <c r="I139" i="1" s="1"/>
  <c r="H138" i="1"/>
  <c r="I138" i="1" s="1"/>
  <c r="H137" i="1"/>
  <c r="I137" i="1" s="1"/>
  <c r="H136" i="1"/>
  <c r="I136" i="1" s="1"/>
  <c r="H135" i="1"/>
  <c r="I135" i="1" s="1"/>
  <c r="H134" i="1"/>
  <c r="I134" i="1" s="1"/>
  <c r="H133" i="1"/>
  <c r="I133" i="1" s="1"/>
  <c r="H132" i="1"/>
  <c r="I132" i="1" s="1"/>
  <c r="H131" i="1"/>
  <c r="I131" i="1" s="1"/>
  <c r="H130" i="1"/>
  <c r="I130" i="1" s="1"/>
  <c r="H129" i="1"/>
  <c r="I129" i="1" s="1"/>
  <c r="H128" i="1"/>
  <c r="I128" i="1" s="1"/>
  <c r="H127" i="1"/>
  <c r="I127" i="1" s="1"/>
  <c r="H126" i="1"/>
  <c r="I126" i="1" s="1"/>
  <c r="H125" i="1"/>
  <c r="I125" i="1" s="1"/>
  <c r="H124" i="1"/>
  <c r="I124" i="1" s="1"/>
  <c r="H123" i="1"/>
  <c r="I123" i="1" s="1"/>
  <c r="H122" i="1"/>
  <c r="I122" i="1" s="1"/>
  <c r="H121" i="1"/>
  <c r="I121" i="1" s="1"/>
  <c r="H120" i="1"/>
  <c r="I120" i="1" s="1"/>
  <c r="H119" i="1"/>
  <c r="I119" i="1" s="1"/>
  <c r="H118" i="1"/>
  <c r="I118" i="1" s="1"/>
  <c r="H117" i="1"/>
  <c r="I117" i="1" s="1"/>
  <c r="H116" i="1"/>
  <c r="I116" i="1" s="1"/>
  <c r="H115" i="1"/>
  <c r="I115" i="1" s="1"/>
  <c r="H114" i="1"/>
  <c r="I114" i="1" s="1"/>
  <c r="H113" i="1"/>
  <c r="I113" i="1" s="1"/>
  <c r="H112" i="1"/>
  <c r="I112" i="1" s="1"/>
  <c r="H111" i="1"/>
  <c r="I111" i="1" s="1"/>
  <c r="H110" i="1"/>
  <c r="I110" i="1" s="1"/>
  <c r="H109" i="1"/>
  <c r="I109" i="1" s="1"/>
  <c r="H108" i="1"/>
  <c r="I108" i="1" s="1"/>
  <c r="H107" i="1"/>
  <c r="I107" i="1" s="1"/>
  <c r="H106" i="1"/>
  <c r="I106" i="1" s="1"/>
  <c r="H105" i="1"/>
  <c r="I105" i="1" s="1"/>
  <c r="H104" i="1"/>
  <c r="I104" i="1" s="1"/>
  <c r="H103" i="1"/>
  <c r="I103" i="1" s="1"/>
  <c r="H102" i="1"/>
  <c r="I102" i="1" s="1"/>
  <c r="H101" i="1"/>
  <c r="I101" i="1" s="1"/>
  <c r="H100" i="1"/>
  <c r="I100" i="1" s="1"/>
  <c r="H99" i="1"/>
  <c r="I99" i="1" s="1"/>
  <c r="H98" i="1"/>
  <c r="I98" i="1" s="1"/>
  <c r="H97" i="1"/>
  <c r="I97" i="1" s="1"/>
  <c r="H96" i="1"/>
  <c r="I96" i="1" s="1"/>
  <c r="H95" i="1"/>
  <c r="I95" i="1" s="1"/>
  <c r="H94" i="1"/>
  <c r="I94" i="1" s="1"/>
  <c r="H93" i="1"/>
  <c r="I93" i="1" s="1"/>
  <c r="H92" i="1"/>
  <c r="I92" i="1" s="1"/>
  <c r="H91" i="1"/>
  <c r="I91" i="1" s="1"/>
  <c r="H90" i="1"/>
  <c r="I90" i="1" s="1"/>
  <c r="H89" i="1"/>
  <c r="I89" i="1" s="1"/>
  <c r="H88" i="1"/>
  <c r="I88" i="1" s="1"/>
  <c r="H87" i="1"/>
  <c r="I87" i="1" s="1"/>
  <c r="H86" i="1"/>
  <c r="I86" i="1" s="1"/>
  <c r="H85" i="1"/>
  <c r="I85" i="1" s="1"/>
  <c r="H84" i="1"/>
  <c r="I84" i="1" s="1"/>
  <c r="H83" i="1"/>
  <c r="I83" i="1" s="1"/>
  <c r="H82" i="1"/>
  <c r="I82" i="1" s="1"/>
  <c r="H81" i="1"/>
  <c r="I81" i="1" s="1"/>
  <c r="H80" i="1"/>
  <c r="I80" i="1" s="1"/>
  <c r="H79" i="1"/>
  <c r="I79" i="1" s="1"/>
  <c r="H78" i="1"/>
  <c r="I78" i="1" s="1"/>
  <c r="H77" i="1"/>
  <c r="I77" i="1" s="1"/>
  <c r="H76" i="1"/>
  <c r="I76" i="1" s="1"/>
  <c r="H75" i="1"/>
  <c r="I75" i="1" s="1"/>
  <c r="H74" i="1"/>
  <c r="I74" i="1" s="1"/>
  <c r="H73" i="1"/>
  <c r="I73" i="1" s="1"/>
  <c r="H72" i="1"/>
  <c r="I72" i="1" s="1"/>
  <c r="H71" i="1"/>
  <c r="I71" i="1" s="1"/>
  <c r="H70" i="1"/>
  <c r="I70" i="1" s="1"/>
  <c r="H69" i="1"/>
  <c r="I69" i="1" s="1"/>
  <c r="H68" i="1"/>
  <c r="I68" i="1" s="1"/>
  <c r="H67" i="1"/>
  <c r="I67" i="1" s="1"/>
  <c r="H66" i="1"/>
  <c r="I66" i="1" s="1"/>
  <c r="H65" i="1"/>
  <c r="I65" i="1" s="1"/>
  <c r="H64" i="1"/>
  <c r="I64" i="1" s="1"/>
  <c r="H63" i="1"/>
  <c r="I63" i="1" s="1"/>
  <c r="H62" i="1"/>
  <c r="I62" i="1" s="1"/>
  <c r="H61" i="1"/>
  <c r="I61" i="1" s="1"/>
  <c r="H60" i="1"/>
  <c r="I60" i="1" s="1"/>
  <c r="H59" i="1"/>
  <c r="I59" i="1" s="1"/>
  <c r="H58" i="1"/>
  <c r="I58" i="1" s="1"/>
  <c r="H57" i="1"/>
  <c r="I57" i="1" s="1"/>
  <c r="H56" i="1"/>
  <c r="I56" i="1" s="1"/>
  <c r="H55" i="1"/>
  <c r="I55" i="1" s="1"/>
  <c r="H54" i="1"/>
  <c r="I54" i="1" s="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H16" i="1"/>
  <c r="H15" i="1"/>
  <c r="H14" i="1"/>
  <c r="H13" i="1"/>
  <c r="H12" i="1"/>
  <c r="H11" i="1"/>
  <c r="H10" i="1"/>
  <c r="H9" i="1"/>
  <c r="H8" i="1"/>
  <c r="H7" i="1"/>
  <c r="H6" i="1"/>
  <c r="H5" i="1"/>
  <c r="H4" i="1"/>
  <c r="H3" i="1"/>
  <c r="E500" i="1"/>
  <c r="E499" i="1"/>
  <c r="E498" i="1"/>
  <c r="E497" i="1"/>
  <c r="E496" i="1"/>
  <c r="E495" i="1"/>
  <c r="E494" i="1"/>
  <c r="E493" i="1"/>
  <c r="E492" i="1"/>
  <c r="E491" i="1"/>
  <c r="E490" i="1"/>
  <c r="E489" i="1"/>
  <c r="E488" i="1"/>
  <c r="E487" i="1"/>
  <c r="E486" i="1"/>
  <c r="E485" i="1"/>
  <c r="E484" i="1"/>
  <c r="E483" i="1"/>
  <c r="E482" i="1"/>
  <c r="E481" i="1"/>
  <c r="E480" i="1"/>
  <c r="E479" i="1"/>
  <c r="E478" i="1"/>
  <c r="E477" i="1"/>
  <c r="E476" i="1"/>
  <c r="E475" i="1"/>
  <c r="E474" i="1"/>
  <c r="E473" i="1"/>
  <c r="E472" i="1"/>
  <c r="E471" i="1"/>
  <c r="E470" i="1"/>
  <c r="E469" i="1"/>
  <c r="E468" i="1"/>
  <c r="E467" i="1"/>
  <c r="E466" i="1"/>
  <c r="E465" i="1"/>
  <c r="E464" i="1"/>
  <c r="E463" i="1"/>
  <c r="E462" i="1"/>
  <c r="E461" i="1"/>
  <c r="E460" i="1"/>
  <c r="E459" i="1"/>
  <c r="E458" i="1"/>
  <c r="E457" i="1"/>
  <c r="E456" i="1"/>
  <c r="E455" i="1"/>
  <c r="E454" i="1"/>
  <c r="E453" i="1"/>
  <c r="E452" i="1"/>
  <c r="E451" i="1"/>
  <c r="E450" i="1"/>
  <c r="E449" i="1"/>
  <c r="E448" i="1"/>
  <c r="E447" i="1"/>
  <c r="E446" i="1"/>
  <c r="E445" i="1"/>
  <c r="E444" i="1"/>
  <c r="E443" i="1"/>
  <c r="E442" i="1"/>
  <c r="E441" i="1"/>
  <c r="E440" i="1"/>
  <c r="E439" i="1"/>
  <c r="E438" i="1"/>
  <c r="E437" i="1"/>
  <c r="E436" i="1"/>
  <c r="E435" i="1"/>
  <c r="E434" i="1"/>
  <c r="E433" i="1"/>
  <c r="E432" i="1"/>
  <c r="E431" i="1"/>
  <c r="E430" i="1"/>
  <c r="E429" i="1"/>
  <c r="E428" i="1"/>
  <c r="E427" i="1"/>
  <c r="E426" i="1"/>
  <c r="E425" i="1"/>
  <c r="E424" i="1"/>
  <c r="E423" i="1"/>
  <c r="E422" i="1"/>
  <c r="E421" i="1"/>
  <c r="E420" i="1"/>
  <c r="E419" i="1"/>
  <c r="E418" i="1"/>
  <c r="E417" i="1"/>
  <c r="E416" i="1"/>
  <c r="E415" i="1"/>
  <c r="E414" i="1"/>
  <c r="E413" i="1"/>
  <c r="E412" i="1"/>
  <c r="E411" i="1"/>
  <c r="E410" i="1"/>
  <c r="E409" i="1"/>
  <c r="E408" i="1"/>
  <c r="E407" i="1"/>
  <c r="E406" i="1"/>
  <c r="E405" i="1"/>
  <c r="E404" i="1"/>
  <c r="E403" i="1"/>
  <c r="E402" i="1"/>
  <c r="E401" i="1"/>
  <c r="E400" i="1"/>
  <c r="E399" i="1"/>
  <c r="E398" i="1"/>
  <c r="E397" i="1"/>
  <c r="E396" i="1"/>
  <c r="E395" i="1"/>
  <c r="E394" i="1"/>
  <c r="E393" i="1"/>
  <c r="E392" i="1"/>
  <c r="E391" i="1"/>
  <c r="E390" i="1"/>
  <c r="E389" i="1"/>
  <c r="E388" i="1"/>
  <c r="E387" i="1"/>
  <c r="E386" i="1"/>
  <c r="E385" i="1"/>
  <c r="E384" i="1"/>
  <c r="E383" i="1"/>
  <c r="E382" i="1"/>
  <c r="E381" i="1"/>
  <c r="E380" i="1"/>
  <c r="E379" i="1"/>
  <c r="E378" i="1"/>
  <c r="E377" i="1"/>
  <c r="E376" i="1"/>
  <c r="E375" i="1"/>
  <c r="E374" i="1"/>
  <c r="E373" i="1"/>
  <c r="E372" i="1"/>
  <c r="E371" i="1"/>
  <c r="E370" i="1"/>
  <c r="E369" i="1"/>
  <c r="E368" i="1"/>
  <c r="E367" i="1"/>
  <c r="E366" i="1"/>
  <c r="E365" i="1"/>
  <c r="E364" i="1"/>
  <c r="E363" i="1"/>
  <c r="E362" i="1"/>
  <c r="E361" i="1"/>
  <c r="E360" i="1"/>
  <c r="E359" i="1"/>
  <c r="E358" i="1"/>
  <c r="E357" i="1"/>
  <c r="E356" i="1"/>
  <c r="E355" i="1"/>
  <c r="E354" i="1"/>
  <c r="E353" i="1"/>
  <c r="E352" i="1"/>
  <c r="E351" i="1"/>
  <c r="E350" i="1"/>
  <c r="E349" i="1"/>
  <c r="E348" i="1"/>
  <c r="E347" i="1"/>
  <c r="E346" i="1"/>
  <c r="E345" i="1"/>
  <c r="E344" i="1"/>
  <c r="E343" i="1"/>
  <c r="E342" i="1"/>
  <c r="E341" i="1"/>
  <c r="E340" i="1"/>
  <c r="E339" i="1"/>
  <c r="E338" i="1"/>
  <c r="E337" i="1"/>
  <c r="E336" i="1"/>
  <c r="E335" i="1"/>
  <c r="E334" i="1"/>
  <c r="E333" i="1"/>
  <c r="E332" i="1"/>
  <c r="E331" i="1"/>
  <c r="E330" i="1"/>
  <c r="E329" i="1"/>
  <c r="E328" i="1"/>
  <c r="E327" i="1"/>
  <c r="E326" i="1"/>
  <c r="E325" i="1"/>
  <c r="E324" i="1"/>
  <c r="E323" i="1"/>
  <c r="E322" i="1"/>
  <c r="E321" i="1"/>
  <c r="E320" i="1"/>
  <c r="E319" i="1"/>
  <c r="E318" i="1"/>
  <c r="E317" i="1"/>
  <c r="E316" i="1"/>
  <c r="E315" i="1"/>
  <c r="E314" i="1"/>
  <c r="E313" i="1"/>
  <c r="E312" i="1"/>
  <c r="E311" i="1"/>
  <c r="E310" i="1"/>
  <c r="E309" i="1"/>
  <c r="E308" i="1"/>
  <c r="E307" i="1"/>
  <c r="E306" i="1"/>
  <c r="E305" i="1"/>
  <c r="E304" i="1"/>
  <c r="E303" i="1"/>
  <c r="E302" i="1"/>
  <c r="E301" i="1"/>
  <c r="E300" i="1"/>
  <c r="E299" i="1"/>
  <c r="E298" i="1"/>
  <c r="E297" i="1"/>
  <c r="E296" i="1"/>
  <c r="E295" i="1"/>
  <c r="E294" i="1"/>
  <c r="E293" i="1"/>
  <c r="E292" i="1"/>
  <c r="E291" i="1"/>
  <c r="E290" i="1"/>
  <c r="E289" i="1"/>
  <c r="E288" i="1"/>
  <c r="E287" i="1"/>
  <c r="E286" i="1"/>
  <c r="E285" i="1"/>
  <c r="E284" i="1"/>
  <c r="E283" i="1"/>
  <c r="E282" i="1"/>
  <c r="E281" i="1"/>
  <c r="E280" i="1"/>
  <c r="E279" i="1"/>
  <c r="E278" i="1"/>
  <c r="E277" i="1"/>
  <c r="E276" i="1"/>
  <c r="E275" i="1"/>
  <c r="E274" i="1"/>
  <c r="E273" i="1"/>
  <c r="E272" i="1"/>
  <c r="E271" i="1"/>
  <c r="E270" i="1"/>
  <c r="E269" i="1"/>
  <c r="E268" i="1"/>
  <c r="E267" i="1"/>
  <c r="E266" i="1"/>
  <c r="E265" i="1"/>
  <c r="E264" i="1"/>
  <c r="E263" i="1"/>
  <c r="E262" i="1"/>
  <c r="E261" i="1"/>
  <c r="E260" i="1"/>
  <c r="E259" i="1"/>
  <c r="E258" i="1"/>
  <c r="E257" i="1"/>
  <c r="E256" i="1"/>
  <c r="E255" i="1"/>
  <c r="E254" i="1"/>
  <c r="E253" i="1"/>
  <c r="E252" i="1"/>
  <c r="E251" i="1"/>
  <c r="E250" i="1"/>
  <c r="E249" i="1"/>
  <c r="E248" i="1"/>
  <c r="E247" i="1"/>
  <c r="E246" i="1"/>
  <c r="E245" i="1"/>
  <c r="E244" i="1"/>
  <c r="E243" i="1"/>
  <c r="E242" i="1"/>
  <c r="E241" i="1"/>
  <c r="E240" i="1"/>
  <c r="E239" i="1"/>
  <c r="E238" i="1"/>
  <c r="E237" i="1"/>
  <c r="E236" i="1"/>
  <c r="E235" i="1"/>
  <c r="E234" i="1"/>
  <c r="E233" i="1"/>
  <c r="E232" i="1"/>
  <c r="E231" i="1"/>
  <c r="E230" i="1"/>
  <c r="E229" i="1"/>
  <c r="E228" i="1"/>
  <c r="E227" i="1"/>
  <c r="E226" i="1"/>
  <c r="E225" i="1"/>
  <c r="E224" i="1"/>
  <c r="E223" i="1"/>
  <c r="E222" i="1"/>
  <c r="E221" i="1"/>
  <c r="E220" i="1"/>
  <c r="E219" i="1"/>
  <c r="E218" i="1"/>
  <c r="E217"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2" i="1"/>
  <c r="E181" i="1"/>
  <c r="E180"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8" i="1"/>
  <c r="E147" i="1"/>
  <c r="E146" i="1"/>
  <c r="E145" i="1"/>
  <c r="E144" i="1"/>
  <c r="E143" i="1"/>
  <c r="E142" i="1"/>
  <c r="E141" i="1"/>
  <c r="E140" i="1"/>
  <c r="E139" i="1"/>
  <c r="E138" i="1"/>
  <c r="E137" i="1"/>
  <c r="E136" i="1"/>
  <c r="E135"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4" i="1"/>
  <c r="E43" i="1"/>
  <c r="E42" i="1"/>
  <c r="E41" i="1"/>
  <c r="E40" i="1"/>
  <c r="E39" i="1"/>
  <c r="E38" i="1"/>
  <c r="E37" i="1"/>
  <c r="E36" i="1"/>
  <c r="E35" i="1"/>
  <c r="E34" i="1"/>
  <c r="E33" i="1"/>
  <c r="E32" i="1"/>
  <c r="E31" i="1"/>
  <c r="E30" i="1"/>
  <c r="E29" i="1"/>
  <c r="E28" i="1"/>
  <c r="E27" i="1"/>
  <c r="E26" i="1"/>
  <c r="E25" i="1"/>
  <c r="E24" i="1"/>
  <c r="E23" i="1"/>
  <c r="E22" i="1"/>
  <c r="E21" i="1"/>
  <c r="E20" i="1"/>
  <c r="E19" i="1"/>
  <c r="E18" i="1"/>
  <c r="E17" i="1"/>
  <c r="E16" i="1"/>
  <c r="E15" i="1"/>
  <c r="E14" i="1"/>
  <c r="E13" i="1"/>
  <c r="E12" i="1"/>
  <c r="E11" i="1"/>
  <c r="E10" i="1"/>
  <c r="E9" i="1"/>
  <c r="E8" i="1"/>
  <c r="E7" i="1"/>
  <c r="E6" i="1"/>
  <c r="E5" i="1"/>
  <c r="E4" i="1"/>
  <c r="E3" i="1"/>
  <c r="E2" i="1"/>
  <c r="F500" i="1"/>
  <c r="G500" i="1" s="1"/>
  <c r="F499" i="1"/>
  <c r="G499" i="1" s="1"/>
  <c r="F498" i="1"/>
  <c r="G498" i="1" s="1"/>
  <c r="F497" i="1"/>
  <c r="G497" i="1" s="1"/>
  <c r="F496" i="1"/>
  <c r="G496" i="1" s="1"/>
  <c r="F495" i="1"/>
  <c r="G495" i="1" s="1"/>
  <c r="F494" i="1"/>
  <c r="G494" i="1" s="1"/>
  <c r="F493" i="1"/>
  <c r="G493" i="1" s="1"/>
  <c r="F492" i="1"/>
  <c r="G492" i="1" s="1"/>
  <c r="F491" i="1"/>
  <c r="G491" i="1" s="1"/>
  <c r="F490" i="1"/>
  <c r="G490" i="1" s="1"/>
  <c r="F489" i="1"/>
  <c r="G489" i="1" s="1"/>
  <c r="F488" i="1"/>
  <c r="G488" i="1" s="1"/>
  <c r="F487" i="1"/>
  <c r="G487" i="1" s="1"/>
  <c r="F486" i="1"/>
  <c r="G486" i="1" s="1"/>
  <c r="F485" i="1"/>
  <c r="G485" i="1" s="1"/>
  <c r="F484" i="1"/>
  <c r="G484" i="1" s="1"/>
  <c r="F483" i="1"/>
  <c r="G483" i="1" s="1"/>
  <c r="F482" i="1"/>
  <c r="G482" i="1" s="1"/>
  <c r="F481" i="1"/>
  <c r="G481" i="1" s="1"/>
  <c r="F480" i="1"/>
  <c r="G480" i="1" s="1"/>
  <c r="F479" i="1"/>
  <c r="G479" i="1" s="1"/>
  <c r="F478" i="1"/>
  <c r="G478" i="1" s="1"/>
  <c r="F477" i="1"/>
  <c r="G477" i="1" s="1"/>
  <c r="F476" i="1"/>
  <c r="G476" i="1" s="1"/>
  <c r="F475" i="1"/>
  <c r="G475" i="1" s="1"/>
  <c r="F474" i="1"/>
  <c r="G474" i="1" s="1"/>
  <c r="F473" i="1"/>
  <c r="G473" i="1" s="1"/>
  <c r="F472" i="1"/>
  <c r="G472" i="1" s="1"/>
  <c r="F471" i="1"/>
  <c r="G471" i="1" s="1"/>
  <c r="F470" i="1"/>
  <c r="G470" i="1" s="1"/>
  <c r="F469" i="1"/>
  <c r="G469" i="1" s="1"/>
  <c r="F468" i="1"/>
  <c r="G468" i="1" s="1"/>
  <c r="F467" i="1"/>
  <c r="G467" i="1" s="1"/>
  <c r="F466" i="1"/>
  <c r="G466" i="1" s="1"/>
  <c r="F465" i="1"/>
  <c r="G465" i="1" s="1"/>
  <c r="F464" i="1"/>
  <c r="G464" i="1" s="1"/>
  <c r="F463" i="1"/>
  <c r="G463" i="1" s="1"/>
  <c r="F462" i="1"/>
  <c r="G462" i="1" s="1"/>
  <c r="F461" i="1"/>
  <c r="G461" i="1" s="1"/>
  <c r="F460" i="1"/>
  <c r="G460" i="1" s="1"/>
  <c r="F459" i="1"/>
  <c r="G459" i="1" s="1"/>
  <c r="F458" i="1"/>
  <c r="G458" i="1" s="1"/>
  <c r="F457" i="1"/>
  <c r="G457" i="1" s="1"/>
  <c r="F456" i="1"/>
  <c r="G456" i="1" s="1"/>
  <c r="F455" i="1"/>
  <c r="G455" i="1" s="1"/>
  <c r="F454" i="1"/>
  <c r="G454" i="1" s="1"/>
  <c r="F453" i="1"/>
  <c r="G453" i="1" s="1"/>
  <c r="F452" i="1"/>
  <c r="G452" i="1" s="1"/>
  <c r="F451" i="1"/>
  <c r="G451" i="1" s="1"/>
  <c r="F450" i="1"/>
  <c r="G450" i="1" s="1"/>
  <c r="F449" i="1"/>
  <c r="G449" i="1" s="1"/>
  <c r="F448" i="1"/>
  <c r="G448" i="1" s="1"/>
  <c r="F447" i="1"/>
  <c r="G447" i="1" s="1"/>
  <c r="F446" i="1"/>
  <c r="G446" i="1" s="1"/>
  <c r="F445" i="1"/>
  <c r="G445" i="1" s="1"/>
  <c r="F444" i="1"/>
  <c r="G444" i="1" s="1"/>
  <c r="F443" i="1"/>
  <c r="G443" i="1" s="1"/>
  <c r="F442" i="1"/>
  <c r="G442" i="1" s="1"/>
  <c r="F441" i="1"/>
  <c r="G441" i="1" s="1"/>
  <c r="F440" i="1"/>
  <c r="G440" i="1" s="1"/>
  <c r="F439" i="1"/>
  <c r="G439" i="1" s="1"/>
  <c r="F438" i="1"/>
  <c r="G438" i="1" s="1"/>
  <c r="F437" i="1"/>
  <c r="G437" i="1" s="1"/>
  <c r="F436" i="1"/>
  <c r="G436" i="1" s="1"/>
  <c r="F435" i="1"/>
  <c r="G435" i="1" s="1"/>
  <c r="F434" i="1"/>
  <c r="G434" i="1" s="1"/>
  <c r="F433" i="1"/>
  <c r="G433" i="1" s="1"/>
  <c r="F432" i="1"/>
  <c r="G432" i="1" s="1"/>
  <c r="F431" i="1"/>
  <c r="G431" i="1" s="1"/>
  <c r="F430" i="1"/>
  <c r="G430" i="1" s="1"/>
  <c r="F429" i="1"/>
  <c r="G429" i="1" s="1"/>
  <c r="F428" i="1"/>
  <c r="G428" i="1" s="1"/>
  <c r="F427" i="1"/>
  <c r="G427" i="1" s="1"/>
  <c r="F426" i="1"/>
  <c r="G426" i="1" s="1"/>
  <c r="F425" i="1"/>
  <c r="G425" i="1" s="1"/>
  <c r="F424" i="1"/>
  <c r="G424" i="1" s="1"/>
  <c r="F423" i="1"/>
  <c r="G423" i="1" s="1"/>
  <c r="F422" i="1"/>
  <c r="G422" i="1" s="1"/>
  <c r="F421" i="1"/>
  <c r="G421" i="1" s="1"/>
  <c r="F420" i="1"/>
  <c r="G420" i="1" s="1"/>
  <c r="F419" i="1"/>
  <c r="G419" i="1" s="1"/>
  <c r="F418" i="1"/>
  <c r="G418" i="1" s="1"/>
  <c r="F417" i="1"/>
  <c r="G417" i="1" s="1"/>
  <c r="F416" i="1"/>
  <c r="G416" i="1" s="1"/>
  <c r="F415" i="1"/>
  <c r="G415" i="1" s="1"/>
  <c r="F414" i="1"/>
  <c r="G414" i="1" s="1"/>
  <c r="F413" i="1"/>
  <c r="G413" i="1" s="1"/>
  <c r="F412" i="1"/>
  <c r="G412" i="1" s="1"/>
  <c r="F411" i="1"/>
  <c r="G411" i="1" s="1"/>
  <c r="F410" i="1"/>
  <c r="G410" i="1" s="1"/>
  <c r="F409" i="1"/>
  <c r="G409" i="1" s="1"/>
  <c r="F408" i="1"/>
  <c r="G408" i="1" s="1"/>
  <c r="F407" i="1"/>
  <c r="G407" i="1" s="1"/>
  <c r="F406" i="1"/>
  <c r="G406" i="1" s="1"/>
  <c r="F405" i="1"/>
  <c r="G405" i="1" s="1"/>
  <c r="F404" i="1"/>
  <c r="G404" i="1" s="1"/>
  <c r="F403" i="1"/>
  <c r="G403" i="1" s="1"/>
  <c r="F402" i="1"/>
  <c r="G402" i="1" s="1"/>
  <c r="F401" i="1"/>
  <c r="G401" i="1" s="1"/>
  <c r="F400" i="1"/>
  <c r="G400" i="1" s="1"/>
  <c r="F399" i="1"/>
  <c r="G399" i="1" s="1"/>
  <c r="F398" i="1"/>
  <c r="G398" i="1" s="1"/>
  <c r="F397" i="1"/>
  <c r="G397" i="1" s="1"/>
  <c r="F396" i="1"/>
  <c r="G396" i="1" s="1"/>
  <c r="F395" i="1"/>
  <c r="G395" i="1" s="1"/>
  <c r="F394" i="1"/>
  <c r="G394" i="1" s="1"/>
  <c r="F393" i="1"/>
  <c r="G393" i="1" s="1"/>
  <c r="F392" i="1"/>
  <c r="G392" i="1" s="1"/>
  <c r="F391" i="1"/>
  <c r="G391" i="1" s="1"/>
  <c r="F390" i="1"/>
  <c r="G390" i="1" s="1"/>
  <c r="F389" i="1"/>
  <c r="G389" i="1" s="1"/>
  <c r="F388" i="1"/>
  <c r="G388" i="1" s="1"/>
  <c r="F387" i="1"/>
  <c r="G387" i="1" s="1"/>
  <c r="F386" i="1"/>
  <c r="G386" i="1" s="1"/>
  <c r="F385" i="1"/>
  <c r="G385" i="1" s="1"/>
  <c r="F384" i="1"/>
  <c r="G384" i="1" s="1"/>
  <c r="F383" i="1"/>
  <c r="G383" i="1" s="1"/>
  <c r="F382" i="1"/>
  <c r="G382" i="1" s="1"/>
  <c r="F381" i="1"/>
  <c r="G381" i="1" s="1"/>
  <c r="F380" i="1"/>
  <c r="G380" i="1" s="1"/>
  <c r="F379" i="1"/>
  <c r="G379" i="1" s="1"/>
  <c r="F378" i="1"/>
  <c r="G378" i="1" s="1"/>
  <c r="F377" i="1"/>
  <c r="G377" i="1" s="1"/>
  <c r="F376" i="1"/>
  <c r="G376" i="1" s="1"/>
  <c r="F375" i="1"/>
  <c r="G375" i="1" s="1"/>
  <c r="F374" i="1"/>
  <c r="G374" i="1" s="1"/>
  <c r="F373" i="1"/>
  <c r="G373" i="1" s="1"/>
  <c r="F372" i="1"/>
  <c r="G372" i="1" s="1"/>
  <c r="F371" i="1"/>
  <c r="G371" i="1" s="1"/>
  <c r="F370" i="1"/>
  <c r="G370" i="1" s="1"/>
  <c r="F369" i="1"/>
  <c r="G369" i="1" s="1"/>
  <c r="F368" i="1"/>
  <c r="G368" i="1" s="1"/>
  <c r="F367" i="1"/>
  <c r="G367" i="1" s="1"/>
  <c r="F366" i="1"/>
  <c r="G366" i="1" s="1"/>
  <c r="F365" i="1"/>
  <c r="G365" i="1" s="1"/>
  <c r="F364" i="1"/>
  <c r="G364" i="1" s="1"/>
  <c r="F363" i="1"/>
  <c r="G363" i="1" s="1"/>
  <c r="F362" i="1"/>
  <c r="G362" i="1" s="1"/>
  <c r="F361" i="1"/>
  <c r="G361" i="1" s="1"/>
  <c r="F360" i="1"/>
  <c r="G360" i="1" s="1"/>
  <c r="F359" i="1"/>
  <c r="G359" i="1" s="1"/>
  <c r="F358" i="1"/>
  <c r="G358" i="1" s="1"/>
  <c r="F357" i="1"/>
  <c r="G357" i="1" s="1"/>
  <c r="F356" i="1"/>
  <c r="G356" i="1" s="1"/>
  <c r="F355" i="1"/>
  <c r="G355" i="1" s="1"/>
  <c r="F354" i="1"/>
  <c r="G354" i="1" s="1"/>
  <c r="F353" i="1"/>
  <c r="G353" i="1" s="1"/>
  <c r="F352" i="1"/>
  <c r="G352" i="1" s="1"/>
  <c r="F351" i="1"/>
  <c r="G351" i="1" s="1"/>
  <c r="F350" i="1"/>
  <c r="G350" i="1" s="1"/>
  <c r="F349" i="1"/>
  <c r="G349" i="1" s="1"/>
  <c r="F348" i="1"/>
  <c r="G348" i="1" s="1"/>
  <c r="F347" i="1"/>
  <c r="G347" i="1" s="1"/>
  <c r="F346" i="1"/>
  <c r="G346" i="1" s="1"/>
  <c r="F345" i="1"/>
  <c r="G345" i="1" s="1"/>
  <c r="F344" i="1"/>
  <c r="G344" i="1" s="1"/>
  <c r="F343" i="1"/>
  <c r="G343" i="1" s="1"/>
  <c r="F342" i="1"/>
  <c r="G342" i="1" s="1"/>
  <c r="F341" i="1"/>
  <c r="G341" i="1" s="1"/>
  <c r="F340" i="1"/>
  <c r="G340" i="1" s="1"/>
  <c r="F339" i="1"/>
  <c r="G339" i="1" s="1"/>
  <c r="F338" i="1"/>
  <c r="G338" i="1" s="1"/>
  <c r="F337" i="1"/>
  <c r="G337" i="1" s="1"/>
  <c r="F336" i="1"/>
  <c r="G336" i="1" s="1"/>
  <c r="F335" i="1"/>
  <c r="G335" i="1" s="1"/>
  <c r="F334" i="1"/>
  <c r="G334" i="1" s="1"/>
  <c r="F333" i="1"/>
  <c r="G333" i="1" s="1"/>
  <c r="F332" i="1"/>
  <c r="G332" i="1" s="1"/>
  <c r="F331" i="1"/>
  <c r="G331" i="1" s="1"/>
  <c r="F330" i="1"/>
  <c r="G330" i="1" s="1"/>
  <c r="F329" i="1"/>
  <c r="G329" i="1" s="1"/>
  <c r="F328" i="1"/>
  <c r="G328" i="1" s="1"/>
  <c r="F327" i="1"/>
  <c r="G327" i="1" s="1"/>
  <c r="F326" i="1"/>
  <c r="G326" i="1" s="1"/>
  <c r="F325" i="1"/>
  <c r="G325" i="1" s="1"/>
  <c r="F324" i="1"/>
  <c r="G324" i="1" s="1"/>
  <c r="F323" i="1"/>
  <c r="G323" i="1" s="1"/>
  <c r="F322" i="1"/>
  <c r="G322" i="1" s="1"/>
  <c r="F321" i="1"/>
  <c r="G321" i="1" s="1"/>
  <c r="F320" i="1"/>
  <c r="G320" i="1" s="1"/>
  <c r="F319" i="1"/>
  <c r="G319" i="1" s="1"/>
  <c r="F318" i="1"/>
  <c r="G318" i="1" s="1"/>
  <c r="F317" i="1"/>
  <c r="G317" i="1" s="1"/>
  <c r="F316" i="1"/>
  <c r="G316" i="1" s="1"/>
  <c r="F315" i="1"/>
  <c r="G315" i="1" s="1"/>
  <c r="F314" i="1"/>
  <c r="G314" i="1" s="1"/>
  <c r="F313" i="1"/>
  <c r="G313" i="1" s="1"/>
  <c r="F312" i="1"/>
  <c r="G312" i="1" s="1"/>
  <c r="F311" i="1"/>
  <c r="G311" i="1" s="1"/>
  <c r="F310" i="1"/>
  <c r="G310" i="1" s="1"/>
  <c r="F309" i="1"/>
  <c r="G309" i="1" s="1"/>
  <c r="F308" i="1"/>
  <c r="G308" i="1" s="1"/>
  <c r="F307" i="1"/>
  <c r="G307" i="1" s="1"/>
  <c r="F306" i="1"/>
  <c r="G306" i="1" s="1"/>
  <c r="F305" i="1"/>
  <c r="G305" i="1" s="1"/>
  <c r="F304" i="1"/>
  <c r="G304" i="1" s="1"/>
  <c r="F303" i="1"/>
  <c r="G303" i="1" s="1"/>
  <c r="F302" i="1"/>
  <c r="G302" i="1" s="1"/>
  <c r="F301" i="1"/>
  <c r="G301" i="1" s="1"/>
  <c r="F300" i="1"/>
  <c r="G300" i="1" s="1"/>
  <c r="F299" i="1"/>
  <c r="G299" i="1" s="1"/>
  <c r="F298" i="1"/>
  <c r="G298" i="1" s="1"/>
  <c r="F297" i="1"/>
  <c r="G297" i="1" s="1"/>
  <c r="F296" i="1"/>
  <c r="G296" i="1" s="1"/>
  <c r="F295" i="1"/>
  <c r="G295" i="1" s="1"/>
  <c r="F294" i="1"/>
  <c r="G294" i="1" s="1"/>
  <c r="F293" i="1"/>
  <c r="G293" i="1" s="1"/>
  <c r="F292" i="1"/>
  <c r="G292" i="1" s="1"/>
  <c r="F291" i="1"/>
  <c r="G291" i="1" s="1"/>
  <c r="F290" i="1"/>
  <c r="G290" i="1" s="1"/>
  <c r="F289" i="1"/>
  <c r="G289" i="1" s="1"/>
  <c r="F288" i="1"/>
  <c r="G288" i="1" s="1"/>
  <c r="F287" i="1"/>
  <c r="G287" i="1" s="1"/>
  <c r="F286" i="1"/>
  <c r="G286" i="1" s="1"/>
  <c r="F285" i="1"/>
  <c r="G285" i="1" s="1"/>
  <c r="F284" i="1"/>
  <c r="G284" i="1" s="1"/>
  <c r="F283" i="1"/>
  <c r="G283" i="1" s="1"/>
  <c r="F282" i="1"/>
  <c r="G282" i="1" s="1"/>
  <c r="F281" i="1"/>
  <c r="G281" i="1" s="1"/>
  <c r="F280" i="1"/>
  <c r="G280" i="1" s="1"/>
  <c r="F279" i="1"/>
  <c r="G279" i="1" s="1"/>
  <c r="F278" i="1"/>
  <c r="G278" i="1" s="1"/>
  <c r="F277" i="1"/>
  <c r="G277" i="1" s="1"/>
  <c r="F276" i="1"/>
  <c r="G276" i="1" s="1"/>
  <c r="F275" i="1"/>
  <c r="G275" i="1" s="1"/>
  <c r="F274" i="1"/>
  <c r="G274" i="1" s="1"/>
  <c r="F273" i="1"/>
  <c r="G273" i="1" s="1"/>
  <c r="F272" i="1"/>
  <c r="G272" i="1" s="1"/>
  <c r="F271" i="1"/>
  <c r="G271" i="1" s="1"/>
  <c r="F270" i="1"/>
  <c r="G270" i="1" s="1"/>
  <c r="F269" i="1"/>
  <c r="G269" i="1" s="1"/>
  <c r="F268" i="1"/>
  <c r="G268" i="1" s="1"/>
  <c r="F267" i="1"/>
  <c r="G267" i="1" s="1"/>
  <c r="F266" i="1"/>
  <c r="G266" i="1" s="1"/>
  <c r="F265" i="1"/>
  <c r="G265" i="1" s="1"/>
  <c r="F264" i="1"/>
  <c r="G264" i="1" s="1"/>
  <c r="F263" i="1"/>
  <c r="G263" i="1" s="1"/>
  <c r="F262" i="1"/>
  <c r="G262" i="1" s="1"/>
  <c r="F261" i="1"/>
  <c r="G261" i="1" s="1"/>
  <c r="F260" i="1"/>
  <c r="G260" i="1" s="1"/>
  <c r="F259" i="1"/>
  <c r="G259" i="1" s="1"/>
  <c r="F258" i="1"/>
  <c r="G258" i="1" s="1"/>
  <c r="F257" i="1"/>
  <c r="G257" i="1" s="1"/>
  <c r="F256" i="1"/>
  <c r="G256" i="1" s="1"/>
  <c r="F255" i="1"/>
  <c r="G255" i="1" s="1"/>
  <c r="F254" i="1"/>
  <c r="G254" i="1" s="1"/>
  <c r="F253" i="1"/>
  <c r="G253" i="1" s="1"/>
  <c r="F252" i="1"/>
  <c r="G252" i="1" s="1"/>
  <c r="F251" i="1"/>
  <c r="G251" i="1" s="1"/>
  <c r="F250" i="1"/>
  <c r="G250" i="1" s="1"/>
  <c r="F249" i="1"/>
  <c r="G249" i="1" s="1"/>
  <c r="F248" i="1"/>
  <c r="G248" i="1" s="1"/>
  <c r="F247" i="1"/>
  <c r="G247" i="1" s="1"/>
  <c r="F246" i="1"/>
  <c r="G246" i="1" s="1"/>
  <c r="F245" i="1"/>
  <c r="G245" i="1" s="1"/>
  <c r="F244" i="1"/>
  <c r="G244" i="1" s="1"/>
  <c r="F243" i="1"/>
  <c r="G243" i="1" s="1"/>
  <c r="F242" i="1"/>
  <c r="G242" i="1" s="1"/>
  <c r="F241" i="1"/>
  <c r="G241" i="1" s="1"/>
  <c r="F240" i="1"/>
  <c r="G240" i="1" s="1"/>
  <c r="F239" i="1"/>
  <c r="G239" i="1" s="1"/>
  <c r="F238" i="1"/>
  <c r="G238" i="1" s="1"/>
  <c r="F237" i="1"/>
  <c r="G237" i="1" s="1"/>
  <c r="F236" i="1"/>
  <c r="G236" i="1" s="1"/>
  <c r="F235" i="1"/>
  <c r="G235" i="1" s="1"/>
  <c r="F234" i="1"/>
  <c r="G234" i="1" s="1"/>
  <c r="F233" i="1"/>
  <c r="G233" i="1" s="1"/>
  <c r="F232" i="1"/>
  <c r="G232" i="1" s="1"/>
  <c r="F231" i="1"/>
  <c r="G231" i="1" s="1"/>
  <c r="F230" i="1"/>
  <c r="G230" i="1" s="1"/>
  <c r="F229" i="1"/>
  <c r="G229" i="1" s="1"/>
  <c r="F228" i="1"/>
  <c r="G228" i="1" s="1"/>
  <c r="F227" i="1"/>
  <c r="G227" i="1" s="1"/>
  <c r="F226" i="1"/>
  <c r="G226" i="1" s="1"/>
  <c r="F225" i="1"/>
  <c r="G225" i="1" s="1"/>
  <c r="F224" i="1"/>
  <c r="G224" i="1" s="1"/>
  <c r="F223" i="1"/>
  <c r="G223" i="1" s="1"/>
  <c r="F222" i="1"/>
  <c r="G222" i="1" s="1"/>
  <c r="F221" i="1"/>
  <c r="G221" i="1" s="1"/>
  <c r="F220" i="1"/>
  <c r="G220" i="1" s="1"/>
  <c r="F219" i="1"/>
  <c r="G219" i="1" s="1"/>
  <c r="F218" i="1"/>
  <c r="G218" i="1" s="1"/>
  <c r="F217" i="1"/>
  <c r="G217" i="1" s="1"/>
  <c r="F216" i="1"/>
  <c r="G216" i="1" s="1"/>
  <c r="F215" i="1"/>
  <c r="G215" i="1" s="1"/>
  <c r="F214" i="1"/>
  <c r="G214" i="1" s="1"/>
  <c r="F213" i="1"/>
  <c r="G213" i="1" s="1"/>
  <c r="F212" i="1"/>
  <c r="G212" i="1" s="1"/>
  <c r="F211" i="1"/>
  <c r="G211" i="1" s="1"/>
  <c r="F210" i="1"/>
  <c r="G210" i="1" s="1"/>
  <c r="F209" i="1"/>
  <c r="G209" i="1" s="1"/>
  <c r="F208" i="1"/>
  <c r="G208" i="1" s="1"/>
  <c r="F207" i="1"/>
  <c r="G207" i="1" s="1"/>
  <c r="F206" i="1"/>
  <c r="G206" i="1" s="1"/>
  <c r="F205" i="1"/>
  <c r="G205" i="1" s="1"/>
  <c r="F204" i="1"/>
  <c r="G204" i="1" s="1"/>
  <c r="F203" i="1"/>
  <c r="G203" i="1" s="1"/>
  <c r="F202" i="1"/>
  <c r="G202" i="1" s="1"/>
  <c r="F201" i="1"/>
  <c r="G201" i="1" s="1"/>
  <c r="F200" i="1"/>
  <c r="G200" i="1" s="1"/>
  <c r="F199" i="1"/>
  <c r="G199" i="1" s="1"/>
  <c r="F198" i="1"/>
  <c r="G198" i="1" s="1"/>
  <c r="F197" i="1"/>
  <c r="G197" i="1" s="1"/>
  <c r="F196" i="1"/>
  <c r="G196" i="1" s="1"/>
  <c r="F195" i="1"/>
  <c r="G195" i="1" s="1"/>
  <c r="F194" i="1"/>
  <c r="G194" i="1" s="1"/>
  <c r="F193" i="1"/>
  <c r="G193" i="1" s="1"/>
  <c r="F192" i="1"/>
  <c r="G192" i="1" s="1"/>
  <c r="F191" i="1"/>
  <c r="G191" i="1" s="1"/>
  <c r="F190" i="1"/>
  <c r="G190" i="1" s="1"/>
  <c r="F189" i="1"/>
  <c r="G189" i="1" s="1"/>
  <c r="F188" i="1"/>
  <c r="G188" i="1" s="1"/>
  <c r="F187" i="1"/>
  <c r="G187" i="1" s="1"/>
  <c r="F186" i="1"/>
  <c r="G186" i="1" s="1"/>
  <c r="F185" i="1"/>
  <c r="G185" i="1" s="1"/>
  <c r="F184" i="1"/>
  <c r="G184" i="1" s="1"/>
  <c r="F183" i="1"/>
  <c r="G183" i="1" s="1"/>
  <c r="F182" i="1"/>
  <c r="G182" i="1" s="1"/>
  <c r="F181" i="1"/>
  <c r="G181" i="1" s="1"/>
  <c r="F180" i="1"/>
  <c r="G180" i="1" s="1"/>
  <c r="F179" i="1"/>
  <c r="G179" i="1" s="1"/>
  <c r="F178" i="1"/>
  <c r="G178" i="1" s="1"/>
  <c r="F177" i="1"/>
  <c r="G177" i="1" s="1"/>
  <c r="F176" i="1"/>
  <c r="G176" i="1" s="1"/>
  <c r="F175" i="1"/>
  <c r="G175" i="1" s="1"/>
  <c r="F174" i="1"/>
  <c r="G174" i="1" s="1"/>
  <c r="F173" i="1"/>
  <c r="G173" i="1" s="1"/>
  <c r="F172" i="1"/>
  <c r="G172" i="1" s="1"/>
  <c r="F171" i="1"/>
  <c r="G171" i="1" s="1"/>
  <c r="F170" i="1"/>
  <c r="G170" i="1" s="1"/>
  <c r="F169" i="1"/>
  <c r="G169" i="1" s="1"/>
  <c r="F168" i="1"/>
  <c r="G168" i="1" s="1"/>
  <c r="F167" i="1"/>
  <c r="G167" i="1" s="1"/>
  <c r="F166" i="1"/>
  <c r="G166" i="1" s="1"/>
  <c r="F165" i="1"/>
  <c r="G165" i="1" s="1"/>
  <c r="F164" i="1"/>
  <c r="G164" i="1" s="1"/>
  <c r="F163" i="1"/>
  <c r="G163" i="1" s="1"/>
  <c r="F162" i="1"/>
  <c r="G162" i="1" s="1"/>
  <c r="F161" i="1"/>
  <c r="G161" i="1" s="1"/>
  <c r="F160" i="1"/>
  <c r="G160" i="1" s="1"/>
  <c r="F159" i="1"/>
  <c r="G159" i="1" s="1"/>
  <c r="F158" i="1"/>
  <c r="G158" i="1" s="1"/>
  <c r="F157" i="1"/>
  <c r="G157" i="1" s="1"/>
  <c r="F156" i="1"/>
  <c r="G156" i="1" s="1"/>
  <c r="F155" i="1"/>
  <c r="G155" i="1" s="1"/>
  <c r="F154" i="1"/>
  <c r="G154" i="1" s="1"/>
  <c r="F153" i="1"/>
  <c r="G153" i="1" s="1"/>
  <c r="F152" i="1"/>
  <c r="G152" i="1" s="1"/>
  <c r="F151" i="1"/>
  <c r="G151" i="1" s="1"/>
  <c r="F150" i="1"/>
  <c r="G150" i="1" s="1"/>
  <c r="F149" i="1"/>
  <c r="G149" i="1" s="1"/>
  <c r="F148" i="1"/>
  <c r="G148" i="1" s="1"/>
  <c r="F147" i="1"/>
  <c r="G147" i="1" s="1"/>
  <c r="F146" i="1"/>
  <c r="G146" i="1" s="1"/>
  <c r="F145" i="1"/>
  <c r="G145" i="1" s="1"/>
  <c r="F144" i="1"/>
  <c r="G144" i="1" s="1"/>
  <c r="F143" i="1"/>
  <c r="G143" i="1" s="1"/>
  <c r="F142" i="1"/>
  <c r="G142" i="1" s="1"/>
  <c r="F141" i="1"/>
  <c r="G141" i="1" s="1"/>
  <c r="F140" i="1"/>
  <c r="G140" i="1" s="1"/>
  <c r="F139" i="1"/>
  <c r="G139" i="1" s="1"/>
  <c r="F138" i="1"/>
  <c r="G138" i="1" s="1"/>
  <c r="F137" i="1"/>
  <c r="G137" i="1" s="1"/>
  <c r="F136" i="1"/>
  <c r="G136" i="1" s="1"/>
  <c r="F135" i="1"/>
  <c r="G135" i="1" s="1"/>
  <c r="F134" i="1"/>
  <c r="G134" i="1" s="1"/>
  <c r="F133" i="1"/>
  <c r="G133" i="1" s="1"/>
  <c r="F132" i="1"/>
  <c r="G132" i="1" s="1"/>
  <c r="F131" i="1"/>
  <c r="G131" i="1" s="1"/>
  <c r="F130" i="1"/>
  <c r="G130" i="1" s="1"/>
  <c r="F129" i="1"/>
  <c r="G129" i="1" s="1"/>
  <c r="F128" i="1"/>
  <c r="G128" i="1" s="1"/>
  <c r="F127" i="1"/>
  <c r="G127" i="1" s="1"/>
  <c r="F126" i="1"/>
  <c r="G126" i="1" s="1"/>
  <c r="F125" i="1"/>
  <c r="G125" i="1" s="1"/>
  <c r="F124" i="1"/>
  <c r="G124" i="1" s="1"/>
  <c r="F123" i="1"/>
  <c r="G123" i="1" s="1"/>
  <c r="F122" i="1"/>
  <c r="G122" i="1" s="1"/>
  <c r="F121" i="1"/>
  <c r="G121" i="1" s="1"/>
  <c r="F120" i="1"/>
  <c r="G120" i="1" s="1"/>
  <c r="F119" i="1"/>
  <c r="G119" i="1" s="1"/>
  <c r="F118" i="1"/>
  <c r="G118" i="1" s="1"/>
  <c r="F117" i="1"/>
  <c r="G117" i="1" s="1"/>
  <c r="F116" i="1"/>
  <c r="G116" i="1" s="1"/>
  <c r="F115" i="1"/>
  <c r="G115" i="1" s="1"/>
  <c r="F114" i="1"/>
  <c r="G114" i="1" s="1"/>
  <c r="F113" i="1"/>
  <c r="G113" i="1" s="1"/>
  <c r="F112" i="1"/>
  <c r="G112" i="1" s="1"/>
  <c r="F111" i="1"/>
  <c r="G111" i="1" s="1"/>
  <c r="F110" i="1"/>
  <c r="G110" i="1" s="1"/>
  <c r="F109" i="1"/>
  <c r="G109" i="1" s="1"/>
  <c r="F108" i="1"/>
  <c r="G108" i="1" s="1"/>
  <c r="F107" i="1"/>
  <c r="G107" i="1" s="1"/>
  <c r="F106" i="1"/>
  <c r="G106" i="1" s="1"/>
  <c r="F105" i="1"/>
  <c r="G105" i="1" s="1"/>
  <c r="F104" i="1"/>
  <c r="G104" i="1" s="1"/>
  <c r="F103" i="1"/>
  <c r="G103" i="1" s="1"/>
  <c r="F102" i="1"/>
  <c r="G102" i="1" s="1"/>
  <c r="F101" i="1"/>
  <c r="G101" i="1" s="1"/>
  <c r="F100" i="1"/>
  <c r="G100" i="1" s="1"/>
  <c r="F99" i="1"/>
  <c r="G99" i="1" s="1"/>
  <c r="F98" i="1"/>
  <c r="G98" i="1" s="1"/>
  <c r="F97" i="1"/>
  <c r="G97" i="1" s="1"/>
  <c r="F96" i="1"/>
  <c r="G96" i="1" s="1"/>
  <c r="F95" i="1"/>
  <c r="G95" i="1" s="1"/>
  <c r="F94" i="1"/>
  <c r="G94" i="1" s="1"/>
  <c r="F93" i="1"/>
  <c r="G93" i="1" s="1"/>
  <c r="F92" i="1"/>
  <c r="G92" i="1" s="1"/>
  <c r="F91" i="1"/>
  <c r="G91" i="1" s="1"/>
  <c r="F90" i="1"/>
  <c r="G90" i="1" s="1"/>
  <c r="F89" i="1"/>
  <c r="G89" i="1" s="1"/>
  <c r="F88" i="1"/>
  <c r="G88" i="1" s="1"/>
  <c r="F87" i="1"/>
  <c r="G87" i="1" s="1"/>
  <c r="F86" i="1"/>
  <c r="G86" i="1" s="1"/>
  <c r="F85" i="1"/>
  <c r="G85" i="1" s="1"/>
  <c r="F84" i="1"/>
  <c r="G84" i="1" s="1"/>
  <c r="F83" i="1"/>
  <c r="G83" i="1" s="1"/>
  <c r="F82" i="1"/>
  <c r="G82" i="1" s="1"/>
  <c r="F81" i="1"/>
  <c r="G81" i="1" s="1"/>
  <c r="F80" i="1"/>
  <c r="G80" i="1" s="1"/>
  <c r="F79" i="1"/>
  <c r="G79" i="1" s="1"/>
  <c r="F78" i="1"/>
  <c r="G78" i="1" s="1"/>
  <c r="F77" i="1"/>
  <c r="G77" i="1" s="1"/>
  <c r="F76" i="1"/>
  <c r="G76" i="1" s="1"/>
  <c r="F75" i="1"/>
  <c r="G75" i="1" s="1"/>
  <c r="F74" i="1"/>
  <c r="G74" i="1" s="1"/>
  <c r="F73" i="1"/>
  <c r="G73" i="1" s="1"/>
  <c r="F72" i="1"/>
  <c r="G72" i="1" s="1"/>
  <c r="F71" i="1"/>
  <c r="G71" i="1" s="1"/>
  <c r="F70" i="1"/>
  <c r="G70" i="1" s="1"/>
  <c r="F69" i="1"/>
  <c r="G69" i="1" s="1"/>
  <c r="F68" i="1"/>
  <c r="G68" i="1" s="1"/>
  <c r="F67" i="1"/>
  <c r="G67" i="1" s="1"/>
  <c r="F66" i="1"/>
  <c r="G66" i="1" s="1"/>
  <c r="F65" i="1"/>
  <c r="G65" i="1" s="1"/>
  <c r="F64" i="1"/>
  <c r="G64" i="1" s="1"/>
  <c r="F63" i="1"/>
  <c r="G63" i="1" s="1"/>
  <c r="F62" i="1"/>
  <c r="G62" i="1" s="1"/>
  <c r="F61" i="1"/>
  <c r="G61" i="1" s="1"/>
  <c r="F60" i="1"/>
  <c r="G60" i="1" s="1"/>
  <c r="F59" i="1"/>
  <c r="G59" i="1" s="1"/>
  <c r="F58" i="1"/>
  <c r="G58" i="1" s="1"/>
  <c r="F57" i="1"/>
  <c r="G57" i="1" s="1"/>
  <c r="F56" i="1"/>
  <c r="G56" i="1" s="1"/>
  <c r="F55" i="1"/>
  <c r="G55" i="1" s="1"/>
  <c r="F54" i="1"/>
  <c r="G54" i="1" s="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F3" i="1"/>
  <c r="F2" i="1"/>
  <c r="D500" i="1"/>
  <c r="D499" i="1"/>
  <c r="D498" i="1"/>
  <c r="D497" i="1"/>
  <c r="D496" i="1"/>
  <c r="D495" i="1"/>
  <c r="D494" i="1"/>
  <c r="D493" i="1"/>
  <c r="D492" i="1"/>
  <c r="D491" i="1"/>
  <c r="D490" i="1"/>
  <c r="D489" i="1"/>
  <c r="D488" i="1"/>
  <c r="D487" i="1"/>
  <c r="D486" i="1"/>
  <c r="D485" i="1"/>
  <c r="D484" i="1"/>
  <c r="D483" i="1"/>
  <c r="D482" i="1"/>
  <c r="D481" i="1"/>
  <c r="D480" i="1"/>
  <c r="D479" i="1"/>
  <c r="D478" i="1"/>
  <c r="D477" i="1"/>
  <c r="D476" i="1"/>
  <c r="D475" i="1"/>
  <c r="D474" i="1"/>
  <c r="D473" i="1"/>
  <c r="D472" i="1"/>
  <c r="D471" i="1"/>
  <c r="D470" i="1"/>
  <c r="D469" i="1"/>
  <c r="D468" i="1"/>
  <c r="D467" i="1"/>
  <c r="D466" i="1"/>
  <c r="D465" i="1"/>
  <c r="D464" i="1"/>
  <c r="D463" i="1"/>
  <c r="D462" i="1"/>
  <c r="D461" i="1"/>
  <c r="D460" i="1"/>
  <c r="D459" i="1"/>
  <c r="D458" i="1"/>
  <c r="D457" i="1"/>
  <c r="D456" i="1"/>
  <c r="D455" i="1"/>
  <c r="D454" i="1"/>
  <c r="D453" i="1"/>
  <c r="D452" i="1"/>
  <c r="D451" i="1"/>
  <c r="D450" i="1"/>
  <c r="D449" i="1"/>
  <c r="D448" i="1"/>
  <c r="D447" i="1"/>
  <c r="D446" i="1"/>
  <c r="D445" i="1"/>
  <c r="D444" i="1"/>
  <c r="D443" i="1"/>
  <c r="D442" i="1"/>
  <c r="D441" i="1"/>
  <c r="D440" i="1"/>
  <c r="D439" i="1"/>
  <c r="D438" i="1"/>
  <c r="D437" i="1"/>
  <c r="D436" i="1"/>
  <c r="D435" i="1"/>
  <c r="D434" i="1"/>
  <c r="D433" i="1"/>
  <c r="D432" i="1"/>
  <c r="D431" i="1"/>
  <c r="D430" i="1"/>
  <c r="D429" i="1"/>
  <c r="D428" i="1"/>
  <c r="D427" i="1"/>
  <c r="D426" i="1"/>
  <c r="D425" i="1"/>
  <c r="D424" i="1"/>
  <c r="D423" i="1"/>
  <c r="D422" i="1"/>
  <c r="D421" i="1"/>
  <c r="D420" i="1"/>
  <c r="D419" i="1"/>
  <c r="D418" i="1"/>
  <c r="D417" i="1"/>
  <c r="D416" i="1"/>
  <c r="D415" i="1"/>
  <c r="D414" i="1"/>
  <c r="D413" i="1"/>
  <c r="D412" i="1"/>
  <c r="D411" i="1"/>
  <c r="D410" i="1"/>
  <c r="D409" i="1"/>
  <c r="D408" i="1"/>
  <c r="D407" i="1"/>
  <c r="D406" i="1"/>
  <c r="D405" i="1"/>
  <c r="D404" i="1"/>
  <c r="D403" i="1"/>
  <c r="D402" i="1"/>
  <c r="D401" i="1"/>
  <c r="D400" i="1"/>
  <c r="D399" i="1"/>
  <c r="D398" i="1"/>
  <c r="D397" i="1"/>
  <c r="D396" i="1"/>
  <c r="D395" i="1"/>
  <c r="D394" i="1"/>
  <c r="D393" i="1"/>
  <c r="D392" i="1"/>
  <c r="D391" i="1"/>
  <c r="D390" i="1"/>
  <c r="D389" i="1"/>
  <c r="D388" i="1"/>
  <c r="D387" i="1"/>
  <c r="D386" i="1"/>
  <c r="D385" i="1"/>
  <c r="D384" i="1"/>
  <c r="D383" i="1"/>
  <c r="D382" i="1"/>
  <c r="D381" i="1"/>
  <c r="D380" i="1"/>
  <c r="D379" i="1"/>
  <c r="D378" i="1"/>
  <c r="D377" i="1"/>
  <c r="D376" i="1"/>
  <c r="D375" i="1"/>
  <c r="D374" i="1"/>
  <c r="D373" i="1"/>
  <c r="D372" i="1"/>
  <c r="D371" i="1"/>
  <c r="D370" i="1"/>
  <c r="D369" i="1"/>
  <c r="D368" i="1"/>
  <c r="D367" i="1"/>
  <c r="D366" i="1"/>
  <c r="D365" i="1"/>
  <c r="D364" i="1"/>
  <c r="D363" i="1"/>
  <c r="D362" i="1"/>
  <c r="D361" i="1"/>
  <c r="D360" i="1"/>
  <c r="D359" i="1"/>
  <c r="D358" i="1"/>
  <c r="D357" i="1"/>
  <c r="D356" i="1"/>
  <c r="D355" i="1"/>
  <c r="D354" i="1"/>
  <c r="D353" i="1"/>
  <c r="D352" i="1"/>
  <c r="D351" i="1"/>
  <c r="D350" i="1"/>
  <c r="D349" i="1"/>
  <c r="D348" i="1"/>
  <c r="D347" i="1"/>
  <c r="D346" i="1"/>
  <c r="D345" i="1"/>
  <c r="D344" i="1"/>
  <c r="D343" i="1"/>
  <c r="D342" i="1"/>
  <c r="D341" i="1"/>
  <c r="D340" i="1"/>
  <c r="D339" i="1"/>
  <c r="D338" i="1"/>
  <c r="D337" i="1"/>
  <c r="D336" i="1"/>
  <c r="D335" i="1"/>
  <c r="D334" i="1"/>
  <c r="D333" i="1"/>
  <c r="D332" i="1"/>
  <c r="D331" i="1"/>
  <c r="D330" i="1"/>
  <c r="D329" i="1"/>
  <c r="D328" i="1"/>
  <c r="D327" i="1"/>
  <c r="D326" i="1"/>
  <c r="D325" i="1"/>
  <c r="D324" i="1"/>
  <c r="D323" i="1"/>
  <c r="D322" i="1"/>
  <c r="D321" i="1"/>
  <c r="D320" i="1"/>
  <c r="D319" i="1"/>
  <c r="D318" i="1"/>
  <c r="D317" i="1"/>
  <c r="D316" i="1"/>
  <c r="D315" i="1"/>
  <c r="D314" i="1"/>
  <c r="D313" i="1"/>
  <c r="D312" i="1"/>
  <c r="D311" i="1"/>
  <c r="D310" i="1"/>
  <c r="D309" i="1"/>
  <c r="D308" i="1"/>
  <c r="D307" i="1"/>
  <c r="D306" i="1"/>
  <c r="D305" i="1"/>
  <c r="D304" i="1"/>
  <c r="D303" i="1"/>
  <c r="D302" i="1"/>
  <c r="D301" i="1"/>
  <c r="D300" i="1"/>
  <c r="D299" i="1"/>
  <c r="D298" i="1"/>
  <c r="D297" i="1"/>
  <c r="D296" i="1"/>
  <c r="D295" i="1"/>
  <c r="D294" i="1"/>
  <c r="D293" i="1"/>
  <c r="D292" i="1"/>
  <c r="D291" i="1"/>
  <c r="D290" i="1"/>
  <c r="D289" i="1"/>
  <c r="D288" i="1"/>
  <c r="D287" i="1"/>
  <c r="D286" i="1"/>
  <c r="D285" i="1"/>
  <c r="D284" i="1"/>
  <c r="D283" i="1"/>
  <c r="D282" i="1"/>
  <c r="D281" i="1"/>
  <c r="D280" i="1"/>
  <c r="D279" i="1"/>
  <c r="D278" i="1"/>
  <c r="D277" i="1"/>
  <c r="D276" i="1"/>
  <c r="D275" i="1"/>
  <c r="D274" i="1"/>
  <c r="D273" i="1"/>
  <c r="D272" i="1"/>
  <c r="D271" i="1"/>
  <c r="D270" i="1"/>
  <c r="D269" i="1"/>
  <c r="D268" i="1"/>
  <c r="D267" i="1"/>
  <c r="D266" i="1"/>
  <c r="D265" i="1"/>
  <c r="D264" i="1"/>
  <c r="D263" i="1"/>
  <c r="D262" i="1"/>
  <c r="D261" i="1"/>
  <c r="D260" i="1"/>
  <c r="D259" i="1"/>
  <c r="D258" i="1"/>
  <c r="D257" i="1"/>
  <c r="D256" i="1"/>
  <c r="D255" i="1"/>
  <c r="D254" i="1"/>
  <c r="D253" i="1"/>
  <c r="D252" i="1"/>
  <c r="D251" i="1"/>
  <c r="D250" i="1"/>
  <c r="D249" i="1"/>
  <c r="D248" i="1"/>
  <c r="D247" i="1"/>
  <c r="D246" i="1"/>
  <c r="D245" i="1"/>
  <c r="D244" i="1"/>
  <c r="D243" i="1"/>
  <c r="D242" i="1"/>
  <c r="D241" i="1"/>
  <c r="D240" i="1"/>
  <c r="D239" i="1"/>
  <c r="D238" i="1"/>
  <c r="D237" i="1"/>
  <c r="D236" i="1"/>
  <c r="D235" i="1"/>
  <c r="D234" i="1"/>
  <c r="D233" i="1"/>
  <c r="D232" i="1"/>
  <c r="D231" i="1"/>
  <c r="D230" i="1"/>
  <c r="D229" i="1"/>
  <c r="D228" i="1"/>
  <c r="D227" i="1"/>
  <c r="D226" i="1"/>
  <c r="D225" i="1"/>
  <c r="D224" i="1"/>
  <c r="D223" i="1"/>
  <c r="D222" i="1"/>
  <c r="D221" i="1"/>
  <c r="D220" i="1"/>
  <c r="D219" i="1"/>
  <c r="D218" i="1"/>
  <c r="D217" i="1"/>
  <c r="D216" i="1"/>
  <c r="D215" i="1"/>
  <c r="D214" i="1"/>
  <c r="D213" i="1"/>
  <c r="D212" i="1"/>
  <c r="D211" i="1"/>
  <c r="D210" i="1"/>
  <c r="D209" i="1"/>
  <c r="D208" i="1"/>
  <c r="D207" i="1"/>
  <c r="D206" i="1"/>
  <c r="D205" i="1"/>
  <c r="D204" i="1"/>
  <c r="D203" i="1"/>
  <c r="D202" i="1"/>
  <c r="D201" i="1"/>
  <c r="D200" i="1"/>
  <c r="D199" i="1"/>
  <c r="D198" i="1"/>
  <c r="D197" i="1"/>
  <c r="D196" i="1"/>
  <c r="D195" i="1"/>
  <c r="D194" i="1"/>
  <c r="D193" i="1"/>
  <c r="D192" i="1"/>
  <c r="D191"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D136" i="1"/>
  <c r="D135" i="1"/>
  <c r="D134" i="1"/>
  <c r="D133" i="1"/>
  <c r="D132" i="1"/>
  <c r="D131" i="1"/>
  <c r="D130" i="1"/>
  <c r="D129" i="1"/>
  <c r="D128" i="1"/>
  <c r="D127" i="1"/>
  <c r="D126" i="1"/>
  <c r="D125" i="1"/>
  <c r="D124" i="1"/>
  <c r="D123" i="1"/>
  <c r="D122" i="1"/>
  <c r="D121" i="1"/>
  <c r="D120" i="1"/>
  <c r="D119" i="1"/>
  <c r="D118" i="1"/>
  <c r="D117" i="1"/>
  <c r="D116" i="1"/>
  <c r="D115" i="1"/>
  <c r="D114" i="1"/>
  <c r="D113" i="1"/>
  <c r="D112" i="1"/>
  <c r="D111" i="1"/>
  <c r="D110" i="1"/>
  <c r="D109" i="1"/>
  <c r="D108" i="1"/>
  <c r="D107" i="1"/>
  <c r="D106" i="1"/>
  <c r="D105" i="1"/>
  <c r="D104" i="1"/>
  <c r="D103" i="1"/>
  <c r="D102" i="1"/>
  <c r="D101" i="1"/>
  <c r="D100" i="1"/>
  <c r="D99" i="1"/>
  <c r="D98" i="1"/>
  <c r="D97" i="1"/>
  <c r="D96" i="1"/>
  <c r="D95" i="1"/>
  <c r="D94" i="1"/>
  <c r="D93" i="1"/>
  <c r="D92" i="1"/>
  <c r="D91" i="1"/>
  <c r="D90" i="1"/>
  <c r="D89" i="1"/>
  <c r="D88" i="1"/>
  <c r="D87" i="1"/>
  <c r="D86" i="1"/>
  <c r="D85" i="1"/>
  <c r="D84" i="1"/>
  <c r="D83" i="1"/>
  <c r="D82" i="1"/>
  <c r="D81" i="1"/>
  <c r="D80" i="1"/>
  <c r="D79" i="1"/>
  <c r="D78" i="1"/>
  <c r="D77" i="1"/>
  <c r="D76" i="1"/>
  <c r="D75" i="1"/>
  <c r="D74" i="1"/>
  <c r="D73" i="1"/>
  <c r="D72" i="1"/>
  <c r="D71" i="1"/>
  <c r="D70" i="1"/>
  <c r="D69" i="1"/>
  <c r="D68" i="1"/>
  <c r="D67" i="1"/>
  <c r="D66" i="1"/>
  <c r="D65" i="1"/>
  <c r="D64" i="1"/>
  <c r="D63" i="1"/>
  <c r="D62" i="1"/>
  <c r="D61" i="1"/>
  <c r="D60" i="1"/>
  <c r="D59" i="1"/>
  <c r="D58" i="1"/>
  <c r="D57" i="1"/>
  <c r="D56" i="1"/>
  <c r="D55" i="1"/>
  <c r="D54" i="1"/>
  <c r="D53" i="1"/>
  <c r="D52" i="1"/>
  <c r="D51" i="1"/>
  <c r="D50" i="1"/>
  <c r="D49" i="1"/>
  <c r="D48" i="1"/>
  <c r="D47" i="1"/>
  <c r="D46" i="1"/>
  <c r="D45" i="1"/>
  <c r="D44" i="1"/>
  <c r="D43" i="1"/>
  <c r="D42" i="1"/>
  <c r="D41" i="1"/>
  <c r="D40" i="1"/>
  <c r="D39" i="1"/>
  <c r="D38" i="1"/>
  <c r="D37" i="1"/>
  <c r="D36" i="1"/>
  <c r="D35" i="1"/>
  <c r="D34" i="1"/>
  <c r="D33" i="1"/>
  <c r="D32" i="1"/>
  <c r="D31" i="1"/>
  <c r="D30" i="1"/>
  <c r="D29" i="1"/>
  <c r="D28" i="1"/>
  <c r="D27" i="1"/>
  <c r="D26" i="1"/>
  <c r="D25" i="1"/>
  <c r="D24" i="1"/>
  <c r="D23" i="1"/>
  <c r="D22" i="1"/>
  <c r="D21" i="1"/>
  <c r="D20" i="1"/>
  <c r="D19" i="1"/>
  <c r="D18" i="1"/>
  <c r="D17" i="1"/>
  <c r="D16" i="1"/>
  <c r="D15" i="1"/>
  <c r="D14" i="1"/>
  <c r="D13" i="1"/>
  <c r="D12" i="1"/>
  <c r="D11" i="1"/>
  <c r="D10" i="1"/>
  <c r="D9" i="1"/>
  <c r="D8" i="1"/>
  <c r="D7" i="1"/>
  <c r="D6" i="1"/>
  <c r="D5" i="1"/>
  <c r="D4" i="1"/>
  <c r="C500" i="1"/>
  <c r="C499" i="1"/>
  <c r="C498" i="1"/>
  <c r="C497" i="1"/>
  <c r="C496" i="1"/>
  <c r="C495" i="1"/>
  <c r="C494" i="1"/>
  <c r="C493" i="1"/>
  <c r="C492" i="1"/>
  <c r="C491" i="1"/>
  <c r="C490" i="1"/>
  <c r="C489" i="1"/>
  <c r="C488" i="1"/>
  <c r="C487" i="1"/>
  <c r="C486" i="1"/>
  <c r="C485" i="1"/>
  <c r="C484" i="1"/>
  <c r="C483" i="1"/>
  <c r="C482" i="1"/>
  <c r="C481" i="1"/>
  <c r="C480" i="1"/>
  <c r="C479" i="1"/>
  <c r="C478" i="1"/>
  <c r="C477" i="1"/>
  <c r="C476" i="1"/>
  <c r="C475" i="1"/>
  <c r="C474" i="1"/>
  <c r="C473" i="1"/>
  <c r="C472" i="1"/>
  <c r="C471" i="1"/>
  <c r="C470" i="1"/>
  <c r="C469" i="1"/>
  <c r="C468" i="1"/>
  <c r="C467" i="1"/>
  <c r="C466" i="1"/>
  <c r="C465" i="1"/>
  <c r="C464" i="1"/>
  <c r="C463" i="1"/>
  <c r="C462" i="1"/>
  <c r="C461" i="1"/>
  <c r="C460" i="1"/>
  <c r="C459" i="1"/>
  <c r="C458" i="1"/>
  <c r="C457" i="1"/>
  <c r="C456" i="1"/>
  <c r="C455" i="1"/>
  <c r="C454" i="1"/>
  <c r="C453" i="1"/>
  <c r="C452" i="1"/>
  <c r="C451" i="1"/>
  <c r="C450" i="1"/>
  <c r="C449" i="1"/>
  <c r="C448" i="1"/>
  <c r="C447" i="1"/>
  <c r="C446" i="1"/>
  <c r="C445" i="1"/>
  <c r="C444" i="1"/>
  <c r="C443" i="1"/>
  <c r="C442" i="1"/>
  <c r="C441" i="1"/>
  <c r="C440" i="1"/>
  <c r="C439" i="1"/>
  <c r="C438" i="1"/>
  <c r="C437" i="1"/>
  <c r="C436" i="1"/>
  <c r="C435" i="1"/>
  <c r="C434" i="1"/>
  <c r="C433" i="1"/>
  <c r="C432" i="1"/>
  <c r="C431" i="1"/>
  <c r="C430" i="1"/>
  <c r="C429" i="1"/>
  <c r="C428" i="1"/>
  <c r="C427" i="1"/>
  <c r="C426" i="1"/>
  <c r="C425" i="1"/>
  <c r="C424" i="1"/>
  <c r="C423" i="1"/>
  <c r="C422" i="1"/>
  <c r="C421" i="1"/>
  <c r="C420" i="1"/>
  <c r="C419" i="1"/>
  <c r="C418" i="1"/>
  <c r="C417" i="1"/>
  <c r="C416" i="1"/>
  <c r="C415" i="1"/>
  <c r="C414" i="1"/>
  <c r="C413" i="1"/>
  <c r="C412" i="1"/>
  <c r="C411" i="1"/>
  <c r="C410" i="1"/>
  <c r="C409" i="1"/>
  <c r="C408" i="1"/>
  <c r="C407" i="1"/>
  <c r="C406" i="1"/>
  <c r="C405" i="1"/>
  <c r="C404" i="1"/>
  <c r="C403" i="1"/>
  <c r="C402" i="1"/>
  <c r="C401" i="1"/>
  <c r="C400" i="1"/>
  <c r="C399" i="1"/>
  <c r="C398" i="1"/>
  <c r="C397" i="1"/>
  <c r="C396" i="1"/>
  <c r="C395" i="1"/>
  <c r="C394" i="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39" i="1"/>
  <c r="C338" i="1"/>
  <c r="C337" i="1"/>
  <c r="C336" i="1"/>
  <c r="C335" i="1"/>
  <c r="C334" i="1"/>
  <c r="C333" i="1"/>
  <c r="C332" i="1"/>
  <c r="C331" i="1"/>
  <c r="C330" i="1"/>
  <c r="C329" i="1"/>
  <c r="C328"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70" i="1"/>
  <c r="C269" i="1"/>
  <c r="C268" i="1"/>
  <c r="C267" i="1"/>
  <c r="C266" i="1"/>
  <c r="C265" i="1"/>
  <c r="C264" i="1"/>
  <c r="C263" i="1"/>
  <c r="C262"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204" i="1"/>
  <c r="C203" i="1"/>
  <c r="C202" i="1"/>
  <c r="C201" i="1"/>
  <c r="C200" i="1"/>
  <c r="C199" i="1"/>
  <c r="C198" i="1"/>
  <c r="C197"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C169" i="1"/>
  <c r="C168" i="1"/>
  <c r="C167" i="1"/>
  <c r="C166" i="1"/>
  <c r="C165" i="1"/>
  <c r="C164" i="1"/>
  <c r="C163" i="1"/>
  <c r="C162" i="1"/>
  <c r="C161" i="1"/>
  <c r="C160" i="1"/>
  <c r="C159" i="1"/>
  <c r="C158" i="1"/>
  <c r="C157" i="1"/>
  <c r="C156" i="1"/>
  <c r="C155" i="1"/>
  <c r="C154" i="1"/>
  <c r="C153" i="1"/>
  <c r="C152" i="1"/>
  <c r="C151" i="1"/>
  <c r="C150" i="1"/>
  <c r="C149" i="1"/>
  <c r="C148" i="1"/>
  <c r="C147" i="1"/>
  <c r="C146" i="1"/>
  <c r="C145" i="1"/>
  <c r="C144" i="1"/>
  <c r="C143" i="1"/>
  <c r="C142" i="1"/>
  <c r="C141" i="1"/>
  <c r="C140" i="1"/>
  <c r="C139" i="1"/>
  <c r="C138" i="1"/>
  <c r="C137" i="1"/>
  <c r="C136" i="1"/>
  <c r="C135" i="1"/>
  <c r="C134" i="1"/>
  <c r="C133" i="1"/>
  <c r="C132" i="1"/>
  <c r="C131" i="1"/>
  <c r="C130" i="1"/>
  <c r="C129" i="1"/>
  <c r="C128" i="1"/>
  <c r="C127" i="1"/>
  <c r="C126" i="1"/>
  <c r="C125" i="1"/>
  <c r="C124" i="1"/>
  <c r="C123" i="1"/>
  <c r="C122" i="1"/>
  <c r="C121" i="1"/>
  <c r="C120" i="1"/>
  <c r="C119" i="1"/>
  <c r="C118" i="1"/>
  <c r="C117" i="1"/>
  <c r="C116" i="1"/>
  <c r="C115" i="1"/>
  <c r="C114" i="1"/>
  <c r="C113" i="1"/>
  <c r="C112" i="1"/>
  <c r="C111" i="1"/>
  <c r="C110" i="1"/>
  <c r="C109" i="1"/>
  <c r="C108" i="1"/>
  <c r="C107" i="1"/>
  <c r="C106"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8" i="1"/>
  <c r="C67" i="1"/>
  <c r="C66" i="1"/>
  <c r="C65" i="1"/>
  <c r="C64" i="1"/>
  <c r="C63" i="1"/>
  <c r="C62" i="1"/>
  <c r="C61" i="1"/>
  <c r="C60" i="1"/>
  <c r="C59" i="1"/>
  <c r="C58" i="1"/>
  <c r="C57" i="1"/>
  <c r="C56" i="1"/>
  <c r="C55" i="1"/>
  <c r="C54" i="1"/>
  <c r="C53" i="1"/>
  <c r="C52" i="1"/>
  <c r="C51" i="1"/>
  <c r="C50" i="1"/>
  <c r="C49" i="1"/>
  <c r="C48" i="1"/>
  <c r="C47" i="1"/>
  <c r="C46" i="1"/>
  <c r="C45" i="1"/>
  <c r="C44" i="1"/>
  <c r="C43" i="1"/>
  <c r="C42" i="1"/>
  <c r="C41" i="1"/>
  <c r="C40" i="1"/>
  <c r="C39" i="1"/>
  <c r="C38" i="1"/>
  <c r="C37" i="1"/>
  <c r="C36" i="1"/>
  <c r="C35" i="1"/>
  <c r="C34" i="1"/>
  <c r="C33" i="1"/>
  <c r="C31" i="1"/>
  <c r="C30" i="1"/>
  <c r="C29" i="1"/>
  <c r="C28" i="1"/>
  <c r="C27" i="1"/>
  <c r="C26" i="1"/>
  <c r="C25" i="1"/>
  <c r="C24" i="1"/>
  <c r="C23" i="1"/>
  <c r="C22" i="1"/>
  <c r="C21" i="1"/>
  <c r="C20" i="1"/>
  <c r="C19" i="1"/>
  <c r="C18" i="1"/>
  <c r="C17" i="1"/>
  <c r="C16" i="1"/>
  <c r="C15" i="1"/>
  <c r="C14" i="1"/>
  <c r="C13" i="1"/>
  <c r="C12" i="1"/>
  <c r="C11" i="1"/>
  <c r="C10" i="1"/>
  <c r="C9" i="1"/>
  <c r="C8" i="1"/>
  <c r="C7" i="1"/>
  <c r="C6" i="1"/>
  <c r="C5" i="1"/>
  <c r="C4" i="1"/>
  <c r="C3"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B346" i="1"/>
  <c r="B345" i="1"/>
  <c r="B344" i="1"/>
  <c r="B343" i="1"/>
  <c r="B342" i="1"/>
  <c r="B341" i="1"/>
  <c r="B340" i="1"/>
  <c r="B339" i="1"/>
  <c r="B338" i="1"/>
  <c r="B337" i="1"/>
  <c r="B336" i="1"/>
  <c r="B335" i="1"/>
  <c r="B334" i="1"/>
  <c r="B333" i="1"/>
  <c r="B332" i="1"/>
  <c r="B331" i="1"/>
  <c r="B330" i="1"/>
  <c r="B329" i="1"/>
  <c r="B328" i="1"/>
  <c r="B327" i="1"/>
  <c r="B326" i="1"/>
  <c r="B325" i="1"/>
  <c r="B324" i="1"/>
  <c r="B323" i="1"/>
  <c r="B322" i="1"/>
  <c r="B321" i="1"/>
  <c r="B320" i="1"/>
  <c r="B319" i="1"/>
  <c r="B318" i="1"/>
  <c r="B317" i="1"/>
  <c r="B316" i="1"/>
  <c r="B315" i="1"/>
  <c r="B314" i="1"/>
  <c r="B313" i="1"/>
  <c r="B312" i="1"/>
  <c r="B311" i="1"/>
  <c r="B310" i="1"/>
  <c r="B309" i="1"/>
  <c r="B308" i="1"/>
  <c r="B307" i="1"/>
  <c r="B306" i="1"/>
  <c r="B305" i="1"/>
  <c r="B304" i="1"/>
  <c r="B303" i="1"/>
  <c r="B302" i="1"/>
  <c r="B301" i="1"/>
  <c r="B300" i="1"/>
  <c r="B299" i="1"/>
  <c r="B298" i="1"/>
  <c r="B297" i="1"/>
  <c r="B296" i="1"/>
  <c r="B295" i="1"/>
  <c r="B294" i="1"/>
  <c r="B293" i="1"/>
  <c r="B292" i="1"/>
  <c r="B291" i="1"/>
  <c r="B290" i="1"/>
  <c r="B289" i="1"/>
  <c r="B288" i="1"/>
  <c r="B287" i="1"/>
  <c r="B286" i="1"/>
  <c r="B285" i="1"/>
  <c r="B284" i="1"/>
  <c r="B283" i="1"/>
  <c r="B282" i="1"/>
  <c r="B281" i="1"/>
  <c r="B280" i="1"/>
  <c r="B279" i="1"/>
  <c r="B278" i="1"/>
  <c r="B277" i="1"/>
  <c r="B276" i="1"/>
  <c r="B275" i="1"/>
  <c r="B274" i="1"/>
  <c r="B273" i="1"/>
  <c r="B272" i="1"/>
  <c r="B271" i="1"/>
  <c r="B270" i="1"/>
  <c r="B269" i="1"/>
  <c r="B268" i="1"/>
  <c r="B267" i="1"/>
  <c r="B266" i="1"/>
  <c r="B265" i="1"/>
  <c r="B264" i="1"/>
  <c r="B263" i="1"/>
  <c r="B262" i="1"/>
  <c r="B261" i="1"/>
  <c r="B260" i="1"/>
  <c r="B259" i="1"/>
  <c r="B258" i="1"/>
  <c r="B257" i="1"/>
  <c r="B256" i="1"/>
  <c r="B255" i="1"/>
  <c r="B254" i="1"/>
  <c r="B253" i="1"/>
  <c r="B252" i="1"/>
  <c r="B251" i="1"/>
  <c r="B250" i="1"/>
  <c r="B249" i="1"/>
  <c r="B248" i="1"/>
  <c r="B247" i="1"/>
  <c r="B246" i="1"/>
  <c r="B245" i="1"/>
  <c r="B244" i="1"/>
  <c r="B243" i="1"/>
  <c r="B242" i="1"/>
  <c r="B241" i="1"/>
  <c r="B240" i="1"/>
  <c r="B239" i="1"/>
  <c r="B238" i="1"/>
  <c r="B237" i="1"/>
  <c r="B236" i="1"/>
  <c r="B235" i="1"/>
  <c r="B234" i="1"/>
  <c r="B233" i="1"/>
  <c r="B232" i="1"/>
  <c r="B231" i="1"/>
  <c r="B230" i="1"/>
  <c r="B229" i="1"/>
  <c r="B228" i="1"/>
  <c r="B227" i="1"/>
  <c r="B226" i="1"/>
  <c r="B225" i="1"/>
  <c r="B224" i="1"/>
  <c r="B223" i="1"/>
  <c r="B222" i="1"/>
  <c r="B221" i="1"/>
  <c r="B220" i="1"/>
  <c r="B219" i="1"/>
  <c r="B218" i="1"/>
  <c r="B217" i="1"/>
  <c r="B216" i="1"/>
  <c r="B215" i="1"/>
  <c r="B214" i="1"/>
  <c r="B213" i="1"/>
  <c r="B212" i="1"/>
  <c r="B211" i="1"/>
  <c r="B210" i="1"/>
  <c r="B209" i="1"/>
  <c r="B208" i="1"/>
  <c r="B207" i="1"/>
  <c r="B206" i="1"/>
  <c r="B205" i="1"/>
  <c r="B204" i="1"/>
  <c r="B203" i="1"/>
  <c r="B202" i="1"/>
  <c r="B201" i="1"/>
  <c r="B200" i="1"/>
  <c r="B199" i="1"/>
  <c r="B198" i="1"/>
  <c r="B197" i="1"/>
  <c r="B196" i="1"/>
  <c r="B195" i="1"/>
  <c r="B194" i="1"/>
  <c r="B193" i="1"/>
  <c r="B192" i="1"/>
  <c r="B191" i="1"/>
  <c r="B190" i="1"/>
  <c r="B189" i="1"/>
  <c r="B188" i="1"/>
  <c r="B187" i="1"/>
  <c r="B186" i="1"/>
  <c r="B185" i="1"/>
  <c r="B184" i="1"/>
  <c r="B183" i="1"/>
  <c r="B182" i="1"/>
  <c r="B181" i="1"/>
  <c r="B180" i="1"/>
  <c r="B179" i="1"/>
  <c r="B178" i="1"/>
  <c r="B177" i="1"/>
  <c r="B176" i="1"/>
  <c r="B175" i="1"/>
  <c r="B174" i="1"/>
  <c r="B173" i="1"/>
  <c r="B172" i="1"/>
  <c r="B171" i="1"/>
  <c r="B170" i="1"/>
  <c r="B169" i="1"/>
  <c r="B168" i="1"/>
  <c r="B167" i="1"/>
  <c r="B166" i="1"/>
  <c r="B165" i="1"/>
  <c r="B164" i="1"/>
  <c r="B163" i="1"/>
  <c r="B162" i="1"/>
  <c r="B161" i="1"/>
  <c r="B160" i="1"/>
  <c r="B159" i="1"/>
  <c r="B158" i="1"/>
  <c r="B157" i="1"/>
  <c r="B156" i="1"/>
  <c r="B155" i="1"/>
  <c r="B154" i="1"/>
  <c r="B153" i="1"/>
  <c r="B152" i="1"/>
  <c r="B151" i="1"/>
  <c r="B150" i="1"/>
  <c r="B149" i="1"/>
  <c r="B148" i="1"/>
  <c r="B147" i="1"/>
  <c r="B146" i="1"/>
  <c r="B145" i="1"/>
  <c r="B144" i="1"/>
  <c r="B143" i="1"/>
  <c r="B142" i="1"/>
  <c r="B141" i="1"/>
  <c r="B140" i="1"/>
  <c r="B139" i="1"/>
  <c r="B138" i="1"/>
  <c r="B137" i="1"/>
  <c r="B136" i="1"/>
  <c r="B135" i="1"/>
  <c r="B134" i="1"/>
  <c r="B133"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6" i="1"/>
  <c r="B105" i="1"/>
  <c r="B104" i="1"/>
  <c r="B103" i="1"/>
  <c r="B102" i="1"/>
  <c r="B101" i="1"/>
  <c r="B100" i="1"/>
  <c r="B99" i="1"/>
  <c r="B98" i="1"/>
  <c r="B97" i="1"/>
  <c r="B96" i="1"/>
  <c r="B95" i="1"/>
  <c r="B94" i="1"/>
  <c r="B93" i="1"/>
  <c r="B92" i="1"/>
  <c r="B91" i="1"/>
  <c r="B90" i="1"/>
  <c r="B89" i="1"/>
  <c r="B88" i="1"/>
  <c r="B87" i="1"/>
  <c r="B86" i="1"/>
  <c r="B85" i="1"/>
  <c r="B84" i="1"/>
  <c r="B83" i="1"/>
  <c r="B82" i="1"/>
  <c r="B81" i="1"/>
  <c r="B80" i="1"/>
  <c r="B79" i="1"/>
  <c r="B78" i="1"/>
  <c r="B77" i="1"/>
  <c r="B76" i="1"/>
  <c r="B75" i="1"/>
  <c r="B74" i="1"/>
  <c r="B73" i="1"/>
  <c r="B72" i="1"/>
  <c r="B71" i="1"/>
  <c r="B70" i="1"/>
  <c r="B69" i="1"/>
  <c r="B68" i="1"/>
  <c r="B67" i="1"/>
  <c r="B66" i="1"/>
  <c r="B65" i="1"/>
  <c r="B64" i="1"/>
  <c r="B63" i="1"/>
  <c r="B62" i="1"/>
  <c r="B61" i="1"/>
  <c r="B60" i="1"/>
  <c r="B59" i="1"/>
  <c r="B58" i="1"/>
  <c r="B57" i="1"/>
  <c r="B56" i="1"/>
  <c r="B55" i="1"/>
  <c r="B54" i="1"/>
  <c r="B53" i="1"/>
  <c r="B52" i="1"/>
  <c r="B51" i="1"/>
  <c r="B50" i="1"/>
  <c r="B49" i="1"/>
  <c r="B48" i="1"/>
  <c r="B47" i="1"/>
  <c r="B46" i="1"/>
  <c r="B45" i="1"/>
  <c r="B44" i="1"/>
  <c r="B43" i="1"/>
  <c r="B42" i="1"/>
  <c r="B41" i="1"/>
  <c r="B40" i="1"/>
  <c r="B39" i="1"/>
  <c r="B38" i="1"/>
  <c r="B37" i="1"/>
  <c r="B36" i="1"/>
  <c r="B35" i="1"/>
  <c r="B34" i="1"/>
  <c r="B33" i="1"/>
  <c r="B32" i="1"/>
  <c r="B31" i="1"/>
  <c r="B30" i="1"/>
  <c r="B29" i="1"/>
  <c r="B28" i="1"/>
  <c r="B27" i="1"/>
  <c r="B26" i="1"/>
  <c r="B25" i="1"/>
  <c r="B24" i="1"/>
  <c r="B23" i="1"/>
  <c r="B22" i="1"/>
  <c r="B21" i="1"/>
  <c r="B20" i="1"/>
  <c r="B19" i="1"/>
  <c r="B18" i="1"/>
  <c r="B17" i="1"/>
  <c r="B16" i="1"/>
  <c r="B15" i="1"/>
  <c r="B14" i="1"/>
  <c r="B13" i="1"/>
  <c r="B12" i="1"/>
  <c r="B11" i="1"/>
  <c r="B10" i="1"/>
  <c r="B9" i="1"/>
  <c r="B8" i="1"/>
  <c r="B6" i="1"/>
  <c r="B5" i="1"/>
  <c r="B4" i="1"/>
  <c r="B3" i="1"/>
  <c r="U68" i="2" l="1"/>
  <c r="T68" i="2"/>
  <c r="U140" i="2"/>
  <c r="T140" i="2"/>
  <c r="U228" i="2"/>
  <c r="T228" i="2"/>
  <c r="U316" i="2"/>
  <c r="T316" i="2"/>
  <c r="U420" i="2"/>
  <c r="T420" i="2"/>
  <c r="U508" i="2"/>
  <c r="T508" i="2"/>
  <c r="U580" i="2"/>
  <c r="T580" i="2"/>
  <c r="U652" i="2"/>
  <c r="T652" i="2"/>
  <c r="U740" i="2"/>
  <c r="T740" i="2"/>
  <c r="U820" i="2"/>
  <c r="T820" i="2"/>
  <c r="U924" i="2"/>
  <c r="T924" i="2"/>
  <c r="U5" i="2"/>
  <c r="T5" i="2"/>
  <c r="T13" i="2"/>
  <c r="U13" i="2"/>
  <c r="U21" i="2"/>
  <c r="T21" i="2"/>
  <c r="T29" i="2"/>
  <c r="U29" i="2"/>
  <c r="U37" i="2"/>
  <c r="T37" i="2"/>
  <c r="T45" i="2"/>
  <c r="U45" i="2"/>
  <c r="U53" i="2"/>
  <c r="T53" i="2"/>
  <c r="U61" i="2"/>
  <c r="T61" i="2"/>
  <c r="U69" i="2"/>
  <c r="T69" i="2"/>
  <c r="U77" i="2"/>
  <c r="T77" i="2"/>
  <c r="U85" i="2"/>
  <c r="T85" i="2"/>
  <c r="U93" i="2"/>
  <c r="T93" i="2"/>
  <c r="U101" i="2"/>
  <c r="T101" i="2"/>
  <c r="U109" i="2"/>
  <c r="T109" i="2"/>
  <c r="U117" i="2"/>
  <c r="T117" i="2"/>
  <c r="U125" i="2"/>
  <c r="T125" i="2"/>
  <c r="U133" i="2"/>
  <c r="T133" i="2"/>
  <c r="U141" i="2"/>
  <c r="T141" i="2"/>
  <c r="U149" i="2"/>
  <c r="T149" i="2"/>
  <c r="U157" i="2"/>
  <c r="T157" i="2"/>
  <c r="U165" i="2"/>
  <c r="T165" i="2"/>
  <c r="U173" i="2"/>
  <c r="T173" i="2"/>
  <c r="U181" i="2"/>
  <c r="T181" i="2"/>
  <c r="U189" i="2"/>
  <c r="T189" i="2"/>
  <c r="U197" i="2"/>
  <c r="T197" i="2"/>
  <c r="U205" i="2"/>
  <c r="T205" i="2"/>
  <c r="U213" i="2"/>
  <c r="T213" i="2"/>
  <c r="U221" i="2"/>
  <c r="T221" i="2"/>
  <c r="U229" i="2"/>
  <c r="T229" i="2"/>
  <c r="U237" i="2"/>
  <c r="T237" i="2"/>
  <c r="U245" i="2"/>
  <c r="T245" i="2"/>
  <c r="U253" i="2"/>
  <c r="T253" i="2"/>
  <c r="U261" i="2"/>
  <c r="T261" i="2"/>
  <c r="U269" i="2"/>
  <c r="T269" i="2"/>
  <c r="U277" i="2"/>
  <c r="T277" i="2"/>
  <c r="U285" i="2"/>
  <c r="T285" i="2"/>
  <c r="U293" i="2"/>
  <c r="T293" i="2"/>
  <c r="U301" i="2"/>
  <c r="T301" i="2"/>
  <c r="U309" i="2"/>
  <c r="T309" i="2"/>
  <c r="U317" i="2"/>
  <c r="T317" i="2"/>
  <c r="U325" i="2"/>
  <c r="T325" i="2"/>
  <c r="U333" i="2"/>
  <c r="T333" i="2"/>
  <c r="U341" i="2"/>
  <c r="T341" i="2"/>
  <c r="U349" i="2"/>
  <c r="T349" i="2"/>
  <c r="U357" i="2"/>
  <c r="T357" i="2"/>
  <c r="U365" i="2"/>
  <c r="T365" i="2"/>
  <c r="U373" i="2"/>
  <c r="T373" i="2"/>
  <c r="U381" i="2"/>
  <c r="T381" i="2"/>
  <c r="U389" i="2"/>
  <c r="T389" i="2"/>
  <c r="U397" i="2"/>
  <c r="T397" i="2"/>
  <c r="U405" i="2"/>
  <c r="T405" i="2"/>
  <c r="U413" i="2"/>
  <c r="T413" i="2"/>
  <c r="U421" i="2"/>
  <c r="T421" i="2"/>
  <c r="U429" i="2"/>
  <c r="T429" i="2"/>
  <c r="U437" i="2"/>
  <c r="T437" i="2"/>
  <c r="U445" i="2"/>
  <c r="T445" i="2"/>
  <c r="U453" i="2"/>
  <c r="T453" i="2"/>
  <c r="U461" i="2"/>
  <c r="T461" i="2"/>
  <c r="U469" i="2"/>
  <c r="T469" i="2"/>
  <c r="U477" i="2"/>
  <c r="T477" i="2"/>
  <c r="U485" i="2"/>
  <c r="T485" i="2"/>
  <c r="U493" i="2"/>
  <c r="T493" i="2"/>
  <c r="U501" i="2"/>
  <c r="T501" i="2"/>
  <c r="U509" i="2"/>
  <c r="T509" i="2"/>
  <c r="U517" i="2"/>
  <c r="T517" i="2"/>
  <c r="U525" i="2"/>
  <c r="T525" i="2"/>
  <c r="U533" i="2"/>
  <c r="T533" i="2"/>
  <c r="U541" i="2"/>
  <c r="T541" i="2"/>
  <c r="U549" i="2"/>
  <c r="T549" i="2"/>
  <c r="U557" i="2"/>
  <c r="T557" i="2"/>
  <c r="U565" i="2"/>
  <c r="T565" i="2"/>
  <c r="U573" i="2"/>
  <c r="T573" i="2"/>
  <c r="U581" i="2"/>
  <c r="T581" i="2"/>
  <c r="U589" i="2"/>
  <c r="T589" i="2"/>
  <c r="U597" i="2"/>
  <c r="T597" i="2"/>
  <c r="U605" i="2"/>
  <c r="T605" i="2"/>
  <c r="U613" i="2"/>
  <c r="T613" i="2"/>
  <c r="U621" i="2"/>
  <c r="T621" i="2"/>
  <c r="U629" i="2"/>
  <c r="T629" i="2"/>
  <c r="U637" i="2"/>
  <c r="T637" i="2"/>
  <c r="U645" i="2"/>
  <c r="T645" i="2"/>
  <c r="U653" i="2"/>
  <c r="T653" i="2"/>
  <c r="U661" i="2"/>
  <c r="T661" i="2"/>
  <c r="U669" i="2"/>
  <c r="T669" i="2"/>
  <c r="U677" i="2"/>
  <c r="T677" i="2"/>
  <c r="U685" i="2"/>
  <c r="T685" i="2"/>
  <c r="U693" i="2"/>
  <c r="T693" i="2"/>
  <c r="U701" i="2"/>
  <c r="T701" i="2"/>
  <c r="U709" i="2"/>
  <c r="T709" i="2"/>
  <c r="U717" i="2"/>
  <c r="T717" i="2"/>
  <c r="U725" i="2"/>
  <c r="T725" i="2"/>
  <c r="U733" i="2"/>
  <c r="T733" i="2"/>
  <c r="U741" i="2"/>
  <c r="T741" i="2"/>
  <c r="U749" i="2"/>
  <c r="T749" i="2"/>
  <c r="U757" i="2"/>
  <c r="T757" i="2"/>
  <c r="U765" i="2"/>
  <c r="T765" i="2"/>
  <c r="U773" i="2"/>
  <c r="T773" i="2"/>
  <c r="U781" i="2"/>
  <c r="T781" i="2"/>
  <c r="U789" i="2"/>
  <c r="T789" i="2"/>
  <c r="U797" i="2"/>
  <c r="T797" i="2"/>
  <c r="U805" i="2"/>
  <c r="T805" i="2"/>
  <c r="U813" i="2"/>
  <c r="T813" i="2"/>
  <c r="U821" i="2"/>
  <c r="T821" i="2"/>
  <c r="U829" i="2"/>
  <c r="T829" i="2"/>
  <c r="U837" i="2"/>
  <c r="T837" i="2"/>
  <c r="U845" i="2"/>
  <c r="T845" i="2"/>
  <c r="U853" i="2"/>
  <c r="T853" i="2"/>
  <c r="U861" i="2"/>
  <c r="T861" i="2"/>
  <c r="U869" i="2"/>
  <c r="T869" i="2"/>
  <c r="U877" i="2"/>
  <c r="T877" i="2"/>
  <c r="U885" i="2"/>
  <c r="T885" i="2"/>
  <c r="U893" i="2"/>
  <c r="T893" i="2"/>
  <c r="U901" i="2"/>
  <c r="T901" i="2"/>
  <c r="U909" i="2"/>
  <c r="T909" i="2"/>
  <c r="U917" i="2"/>
  <c r="T917" i="2"/>
  <c r="U925" i="2"/>
  <c r="T925" i="2"/>
  <c r="U933" i="2"/>
  <c r="T933" i="2"/>
  <c r="U941" i="2"/>
  <c r="T941" i="2"/>
  <c r="U949" i="2"/>
  <c r="T949" i="2"/>
  <c r="U957" i="2"/>
  <c r="T957" i="2"/>
  <c r="U965" i="2"/>
  <c r="T965" i="2"/>
  <c r="U973" i="2"/>
  <c r="T973" i="2"/>
  <c r="U981" i="2"/>
  <c r="T981" i="2"/>
  <c r="U989" i="2"/>
  <c r="T989" i="2"/>
  <c r="U997" i="2"/>
  <c r="T997" i="2"/>
  <c r="O2" i="2"/>
  <c r="U4" i="2"/>
  <c r="T4" i="2"/>
  <c r="U52" i="2"/>
  <c r="T52" i="2"/>
  <c r="U108" i="2"/>
  <c r="T108" i="2"/>
  <c r="U164" i="2"/>
  <c r="T164" i="2"/>
  <c r="U212" i="2"/>
  <c r="T212" i="2"/>
  <c r="U276" i="2"/>
  <c r="T276" i="2"/>
  <c r="U348" i="2"/>
  <c r="T348" i="2"/>
  <c r="U388" i="2"/>
  <c r="T388" i="2"/>
  <c r="U444" i="2"/>
  <c r="T444" i="2"/>
  <c r="U492" i="2"/>
  <c r="T492" i="2"/>
  <c r="U548" i="2"/>
  <c r="T548" i="2"/>
  <c r="U604" i="2"/>
  <c r="T604" i="2"/>
  <c r="U668" i="2"/>
  <c r="T668" i="2"/>
  <c r="U708" i="2"/>
  <c r="T708" i="2"/>
  <c r="U764" i="2"/>
  <c r="T764" i="2"/>
  <c r="U812" i="2"/>
  <c r="T812" i="2"/>
  <c r="U868" i="2"/>
  <c r="T868" i="2"/>
  <c r="U932" i="2"/>
  <c r="T932" i="2"/>
  <c r="U980" i="2"/>
  <c r="T980" i="2"/>
  <c r="U6" i="2"/>
  <c r="T6" i="2"/>
  <c r="U14" i="2"/>
  <c r="T14" i="2"/>
  <c r="U22" i="2"/>
  <c r="T22" i="2"/>
  <c r="U30" i="2"/>
  <c r="T30" i="2"/>
  <c r="U38" i="2"/>
  <c r="T38" i="2"/>
  <c r="U46" i="2"/>
  <c r="T46" i="2"/>
  <c r="U54" i="2"/>
  <c r="T54" i="2"/>
  <c r="U62" i="2"/>
  <c r="T62" i="2"/>
  <c r="U70" i="2"/>
  <c r="T70" i="2"/>
  <c r="U78" i="2"/>
  <c r="T78" i="2"/>
  <c r="U86" i="2"/>
  <c r="T86" i="2"/>
  <c r="U94" i="2"/>
  <c r="T94" i="2"/>
  <c r="U102" i="2"/>
  <c r="T102" i="2"/>
  <c r="U110" i="2"/>
  <c r="T110" i="2"/>
  <c r="U118" i="2"/>
  <c r="T118" i="2"/>
  <c r="U126" i="2"/>
  <c r="T126" i="2"/>
  <c r="U134" i="2"/>
  <c r="T134" i="2"/>
  <c r="U142" i="2"/>
  <c r="T142" i="2"/>
  <c r="U150" i="2"/>
  <c r="T150" i="2"/>
  <c r="U158" i="2"/>
  <c r="T158" i="2"/>
  <c r="U166" i="2"/>
  <c r="T166" i="2"/>
  <c r="U174" i="2"/>
  <c r="T174" i="2"/>
  <c r="U182" i="2"/>
  <c r="T182" i="2"/>
  <c r="U190" i="2"/>
  <c r="T190" i="2"/>
  <c r="U198" i="2"/>
  <c r="T198" i="2"/>
  <c r="U206" i="2"/>
  <c r="T206" i="2"/>
  <c r="U214" i="2"/>
  <c r="T214" i="2"/>
  <c r="U222" i="2"/>
  <c r="T222" i="2"/>
  <c r="U230" i="2"/>
  <c r="T230" i="2"/>
  <c r="U238" i="2"/>
  <c r="T238" i="2"/>
  <c r="U246" i="2"/>
  <c r="T246" i="2"/>
  <c r="U254" i="2"/>
  <c r="T254" i="2"/>
  <c r="U262" i="2"/>
  <c r="T262" i="2"/>
  <c r="U270" i="2"/>
  <c r="T270" i="2"/>
  <c r="U278" i="2"/>
  <c r="T278" i="2"/>
  <c r="U286" i="2"/>
  <c r="T286" i="2"/>
  <c r="U294" i="2"/>
  <c r="T294" i="2"/>
  <c r="U302" i="2"/>
  <c r="T302" i="2"/>
  <c r="U310" i="2"/>
  <c r="T310" i="2"/>
  <c r="U318" i="2"/>
  <c r="T318" i="2"/>
  <c r="U326" i="2"/>
  <c r="T326" i="2"/>
  <c r="U334" i="2"/>
  <c r="T334" i="2"/>
  <c r="U342" i="2"/>
  <c r="T342" i="2"/>
  <c r="U350" i="2"/>
  <c r="T350" i="2"/>
  <c r="U358" i="2"/>
  <c r="T358" i="2"/>
  <c r="U366" i="2"/>
  <c r="T366" i="2"/>
  <c r="U374" i="2"/>
  <c r="T374" i="2"/>
  <c r="U382" i="2"/>
  <c r="T382" i="2"/>
  <c r="U390" i="2"/>
  <c r="T390" i="2"/>
  <c r="U398" i="2"/>
  <c r="T398" i="2"/>
  <c r="U406" i="2"/>
  <c r="T406" i="2"/>
  <c r="U414" i="2"/>
  <c r="T414" i="2"/>
  <c r="U422" i="2"/>
  <c r="T422" i="2"/>
  <c r="U430" i="2"/>
  <c r="T430" i="2"/>
  <c r="U438" i="2"/>
  <c r="T438" i="2"/>
  <c r="U446" i="2"/>
  <c r="T446" i="2"/>
  <c r="U454" i="2"/>
  <c r="T454" i="2"/>
  <c r="U462" i="2"/>
  <c r="T462" i="2"/>
  <c r="U470" i="2"/>
  <c r="T470" i="2"/>
  <c r="U478" i="2"/>
  <c r="T478" i="2"/>
  <c r="U486" i="2"/>
  <c r="T486" i="2"/>
  <c r="U494" i="2"/>
  <c r="T494" i="2"/>
  <c r="U502" i="2"/>
  <c r="T502" i="2"/>
  <c r="U510" i="2"/>
  <c r="T510" i="2"/>
  <c r="U518" i="2"/>
  <c r="T518" i="2"/>
  <c r="U526" i="2"/>
  <c r="T526" i="2"/>
  <c r="U534" i="2"/>
  <c r="T534" i="2"/>
  <c r="U542" i="2"/>
  <c r="T542" i="2"/>
  <c r="U550" i="2"/>
  <c r="T550" i="2"/>
  <c r="U558" i="2"/>
  <c r="T558" i="2"/>
  <c r="U566" i="2"/>
  <c r="T566" i="2"/>
  <c r="U574" i="2"/>
  <c r="T574" i="2"/>
  <c r="U582" i="2"/>
  <c r="T582" i="2"/>
  <c r="U590" i="2"/>
  <c r="T590" i="2"/>
  <c r="U598" i="2"/>
  <c r="T598" i="2"/>
  <c r="U606" i="2"/>
  <c r="T606" i="2"/>
  <c r="U614" i="2"/>
  <c r="T614" i="2"/>
  <c r="U622" i="2"/>
  <c r="T622" i="2"/>
  <c r="U630" i="2"/>
  <c r="T630" i="2"/>
  <c r="U638" i="2"/>
  <c r="T638" i="2"/>
  <c r="U646" i="2"/>
  <c r="T646" i="2"/>
  <c r="U654" i="2"/>
  <c r="T654" i="2"/>
  <c r="U662" i="2"/>
  <c r="T662" i="2"/>
  <c r="U670" i="2"/>
  <c r="T670" i="2"/>
  <c r="U678" i="2"/>
  <c r="T678" i="2"/>
  <c r="U686" i="2"/>
  <c r="T686" i="2"/>
  <c r="U694" i="2"/>
  <c r="T694" i="2"/>
  <c r="U702" i="2"/>
  <c r="T702" i="2"/>
  <c r="U710" i="2"/>
  <c r="T710" i="2"/>
  <c r="U718" i="2"/>
  <c r="T718" i="2"/>
  <c r="U726" i="2"/>
  <c r="T726" i="2"/>
  <c r="U734" i="2"/>
  <c r="T734" i="2"/>
  <c r="U742" i="2"/>
  <c r="T742" i="2"/>
  <c r="U750" i="2"/>
  <c r="T750" i="2"/>
  <c r="U758" i="2"/>
  <c r="T758" i="2"/>
  <c r="U766" i="2"/>
  <c r="T766" i="2"/>
  <c r="U774" i="2"/>
  <c r="T774" i="2"/>
  <c r="U782" i="2"/>
  <c r="T782" i="2"/>
  <c r="U790" i="2"/>
  <c r="T790" i="2"/>
  <c r="U798" i="2"/>
  <c r="T798" i="2"/>
  <c r="U806" i="2"/>
  <c r="T806" i="2"/>
  <c r="U814" i="2"/>
  <c r="T814" i="2"/>
  <c r="U822" i="2"/>
  <c r="T822" i="2"/>
  <c r="U830" i="2"/>
  <c r="T830" i="2"/>
  <c r="U838" i="2"/>
  <c r="T838" i="2"/>
  <c r="U846" i="2"/>
  <c r="T846" i="2"/>
  <c r="U854" i="2"/>
  <c r="T854" i="2"/>
  <c r="U862" i="2"/>
  <c r="T862" i="2"/>
  <c r="U870" i="2"/>
  <c r="T870" i="2"/>
  <c r="U878" i="2"/>
  <c r="T878" i="2"/>
  <c r="U886" i="2"/>
  <c r="T886" i="2"/>
  <c r="U894" i="2"/>
  <c r="T894" i="2"/>
  <c r="U902" i="2"/>
  <c r="T902" i="2"/>
  <c r="U910" i="2"/>
  <c r="T910" i="2"/>
  <c r="U918" i="2"/>
  <c r="T918" i="2"/>
  <c r="U926" i="2"/>
  <c r="T926" i="2"/>
  <c r="U934" i="2"/>
  <c r="T934" i="2"/>
  <c r="U942" i="2"/>
  <c r="T942" i="2"/>
  <c r="U950" i="2"/>
  <c r="T950" i="2"/>
  <c r="U958" i="2"/>
  <c r="T958" i="2"/>
  <c r="U966" i="2"/>
  <c r="T966" i="2"/>
  <c r="U974" i="2"/>
  <c r="T974" i="2"/>
  <c r="U982" i="2"/>
  <c r="T982" i="2"/>
  <c r="U990" i="2"/>
  <c r="T990" i="2"/>
  <c r="U998" i="2"/>
  <c r="T998" i="2"/>
  <c r="U20" i="2"/>
  <c r="T20" i="2"/>
  <c r="U76" i="2"/>
  <c r="T76" i="2"/>
  <c r="U124" i="2"/>
  <c r="T124" i="2"/>
  <c r="U180" i="2"/>
  <c r="T180" i="2"/>
  <c r="U236" i="2"/>
  <c r="T236" i="2"/>
  <c r="U268" i="2"/>
  <c r="T268" i="2"/>
  <c r="U332" i="2"/>
  <c r="T332" i="2"/>
  <c r="U372" i="2"/>
  <c r="T372" i="2"/>
  <c r="U428" i="2"/>
  <c r="T428" i="2"/>
  <c r="U476" i="2"/>
  <c r="T476" i="2"/>
  <c r="U532" i="2"/>
  <c r="T532" i="2"/>
  <c r="U588" i="2"/>
  <c r="T588" i="2"/>
  <c r="U636" i="2"/>
  <c r="T636" i="2"/>
  <c r="U692" i="2"/>
  <c r="T692" i="2"/>
  <c r="U748" i="2"/>
  <c r="T748" i="2"/>
  <c r="U796" i="2"/>
  <c r="T796" i="2"/>
  <c r="U860" i="2"/>
  <c r="T860" i="2"/>
  <c r="U908" i="2"/>
  <c r="T908" i="2"/>
  <c r="U972" i="2"/>
  <c r="T972" i="2"/>
  <c r="U7" i="2"/>
  <c r="T7" i="2"/>
  <c r="U23" i="2"/>
  <c r="T23" i="2"/>
  <c r="U39" i="2"/>
  <c r="T39" i="2"/>
  <c r="U55" i="2"/>
  <c r="T55" i="2"/>
  <c r="U71" i="2"/>
  <c r="T71" i="2"/>
  <c r="U87" i="2"/>
  <c r="T87" i="2"/>
  <c r="U103" i="2"/>
  <c r="T103" i="2"/>
  <c r="U111" i="2"/>
  <c r="T111" i="2"/>
  <c r="U127" i="2"/>
  <c r="T127" i="2"/>
  <c r="U143" i="2"/>
  <c r="T143" i="2"/>
  <c r="U167" i="2"/>
  <c r="T167" i="2"/>
  <c r="U183" i="2"/>
  <c r="T183" i="2"/>
  <c r="U199" i="2"/>
  <c r="T199" i="2"/>
  <c r="U215" i="2"/>
  <c r="T215" i="2"/>
  <c r="U231" i="2"/>
  <c r="T231" i="2"/>
  <c r="U247" i="2"/>
  <c r="T247" i="2"/>
  <c r="U263" i="2"/>
  <c r="T263" i="2"/>
  <c r="U279" i="2"/>
  <c r="T279" i="2"/>
  <c r="U295" i="2"/>
  <c r="T295" i="2"/>
  <c r="U311" i="2"/>
  <c r="T311" i="2"/>
  <c r="U327" i="2"/>
  <c r="T327" i="2"/>
  <c r="U343" i="2"/>
  <c r="T343" i="2"/>
  <c r="U359" i="2"/>
  <c r="T359" i="2"/>
  <c r="U375" i="2"/>
  <c r="T375" i="2"/>
  <c r="U383" i="2"/>
  <c r="T383" i="2"/>
  <c r="U399" i="2"/>
  <c r="T399" i="2"/>
  <c r="U415" i="2"/>
  <c r="T415" i="2"/>
  <c r="U431" i="2"/>
  <c r="T431" i="2"/>
  <c r="U447" i="2"/>
  <c r="T447" i="2"/>
  <c r="U463" i="2"/>
  <c r="T463" i="2"/>
  <c r="U479" i="2"/>
  <c r="T479" i="2"/>
  <c r="U503" i="2"/>
  <c r="T503" i="2"/>
  <c r="U519" i="2"/>
  <c r="T519" i="2"/>
  <c r="U535" i="2"/>
  <c r="T535" i="2"/>
  <c r="U551" i="2"/>
  <c r="T551" i="2"/>
  <c r="U567" i="2"/>
  <c r="T567" i="2"/>
  <c r="U583" i="2"/>
  <c r="T583" i="2"/>
  <c r="U599" i="2"/>
  <c r="T599" i="2"/>
  <c r="U615" i="2"/>
  <c r="T615" i="2"/>
  <c r="U639" i="2"/>
  <c r="T639" i="2"/>
  <c r="U655" i="2"/>
  <c r="T655" i="2"/>
  <c r="U671" i="2"/>
  <c r="T671" i="2"/>
  <c r="U687" i="2"/>
  <c r="T687" i="2"/>
  <c r="U703" i="2"/>
  <c r="T703" i="2"/>
  <c r="U719" i="2"/>
  <c r="T719" i="2"/>
  <c r="U743" i="2"/>
  <c r="T743" i="2"/>
  <c r="U759" i="2"/>
  <c r="T759" i="2"/>
  <c r="U775" i="2"/>
  <c r="T775" i="2"/>
  <c r="U791" i="2"/>
  <c r="T791" i="2"/>
  <c r="U807" i="2"/>
  <c r="T807" i="2"/>
  <c r="U823" i="2"/>
  <c r="T823" i="2"/>
  <c r="U839" i="2"/>
  <c r="T839" i="2"/>
  <c r="U855" i="2"/>
  <c r="T855" i="2"/>
  <c r="U871" i="2"/>
  <c r="T871" i="2"/>
  <c r="U887" i="2"/>
  <c r="T887" i="2"/>
  <c r="U903" i="2"/>
  <c r="T903" i="2"/>
  <c r="U919" i="2"/>
  <c r="T919" i="2"/>
  <c r="U935" i="2"/>
  <c r="T935" i="2"/>
  <c r="U951" i="2"/>
  <c r="T951" i="2"/>
  <c r="U967" i="2"/>
  <c r="T967" i="2"/>
  <c r="U983" i="2"/>
  <c r="T983" i="2"/>
  <c r="U999" i="2"/>
  <c r="T999" i="2"/>
  <c r="U28" i="2"/>
  <c r="T28" i="2"/>
  <c r="U84" i="2"/>
  <c r="T84" i="2"/>
  <c r="U132" i="2"/>
  <c r="T132" i="2"/>
  <c r="U188" i="2"/>
  <c r="T188" i="2"/>
  <c r="U244" i="2"/>
  <c r="T244" i="2"/>
  <c r="U292" i="2"/>
  <c r="T292" i="2"/>
  <c r="U324" i="2"/>
  <c r="T324" i="2"/>
  <c r="U380" i="2"/>
  <c r="T380" i="2"/>
  <c r="U436" i="2"/>
  <c r="T436" i="2"/>
  <c r="U484" i="2"/>
  <c r="T484" i="2"/>
  <c r="U540" i="2"/>
  <c r="T540" i="2"/>
  <c r="U596" i="2"/>
  <c r="T596" i="2"/>
  <c r="U644" i="2"/>
  <c r="T644" i="2"/>
  <c r="U700" i="2"/>
  <c r="T700" i="2"/>
  <c r="U756" i="2"/>
  <c r="T756" i="2"/>
  <c r="U804" i="2"/>
  <c r="T804" i="2"/>
  <c r="U852" i="2"/>
  <c r="T852" i="2"/>
  <c r="U892" i="2"/>
  <c r="T892" i="2"/>
  <c r="U956" i="2"/>
  <c r="T956" i="2"/>
  <c r="U15" i="2"/>
  <c r="T15" i="2"/>
  <c r="U31" i="2"/>
  <c r="T31" i="2"/>
  <c r="U47" i="2"/>
  <c r="T47" i="2"/>
  <c r="U63" i="2"/>
  <c r="T63" i="2"/>
  <c r="U79" i="2"/>
  <c r="T79" i="2"/>
  <c r="U95" i="2"/>
  <c r="T95" i="2"/>
  <c r="U119" i="2"/>
  <c r="T119" i="2"/>
  <c r="U135" i="2"/>
  <c r="T135" i="2"/>
  <c r="U151" i="2"/>
  <c r="T151" i="2"/>
  <c r="U159" i="2"/>
  <c r="T159" i="2"/>
  <c r="U175" i="2"/>
  <c r="T175" i="2"/>
  <c r="U191" i="2"/>
  <c r="T191" i="2"/>
  <c r="U207" i="2"/>
  <c r="T207" i="2"/>
  <c r="U223" i="2"/>
  <c r="T223" i="2"/>
  <c r="U239" i="2"/>
  <c r="T239" i="2"/>
  <c r="U255" i="2"/>
  <c r="T255" i="2"/>
  <c r="U271" i="2"/>
  <c r="T271" i="2"/>
  <c r="U287" i="2"/>
  <c r="T287" i="2"/>
  <c r="U303" i="2"/>
  <c r="T303" i="2"/>
  <c r="U319" i="2"/>
  <c r="T319" i="2"/>
  <c r="U335" i="2"/>
  <c r="T335" i="2"/>
  <c r="U351" i="2"/>
  <c r="T351" i="2"/>
  <c r="U367" i="2"/>
  <c r="T367" i="2"/>
  <c r="U391" i="2"/>
  <c r="T391" i="2"/>
  <c r="U407" i="2"/>
  <c r="T407" i="2"/>
  <c r="U423" i="2"/>
  <c r="T423" i="2"/>
  <c r="U439" i="2"/>
  <c r="T439" i="2"/>
  <c r="U455" i="2"/>
  <c r="T455" i="2"/>
  <c r="U471" i="2"/>
  <c r="T471" i="2"/>
  <c r="U487" i="2"/>
  <c r="T487" i="2"/>
  <c r="U495" i="2"/>
  <c r="T495" i="2"/>
  <c r="U511" i="2"/>
  <c r="T511" i="2"/>
  <c r="U527" i="2"/>
  <c r="T527" i="2"/>
  <c r="U543" i="2"/>
  <c r="T543" i="2"/>
  <c r="U559" i="2"/>
  <c r="T559" i="2"/>
  <c r="U575" i="2"/>
  <c r="T575" i="2"/>
  <c r="U591" i="2"/>
  <c r="T591" i="2"/>
  <c r="U607" i="2"/>
  <c r="T607" i="2"/>
  <c r="U623" i="2"/>
  <c r="T623" i="2"/>
  <c r="U631" i="2"/>
  <c r="T631" i="2"/>
  <c r="U647" i="2"/>
  <c r="T647" i="2"/>
  <c r="U663" i="2"/>
  <c r="T663" i="2"/>
  <c r="U679" i="2"/>
  <c r="T679" i="2"/>
  <c r="U695" i="2"/>
  <c r="T695" i="2"/>
  <c r="U711" i="2"/>
  <c r="T711" i="2"/>
  <c r="U727" i="2"/>
  <c r="T727" i="2"/>
  <c r="U735" i="2"/>
  <c r="T735" i="2"/>
  <c r="U751" i="2"/>
  <c r="T751" i="2"/>
  <c r="U767" i="2"/>
  <c r="T767" i="2"/>
  <c r="U783" i="2"/>
  <c r="T783" i="2"/>
  <c r="U799" i="2"/>
  <c r="T799" i="2"/>
  <c r="U815" i="2"/>
  <c r="T815" i="2"/>
  <c r="U831" i="2"/>
  <c r="T831" i="2"/>
  <c r="U847" i="2"/>
  <c r="T847" i="2"/>
  <c r="U863" i="2"/>
  <c r="T863" i="2"/>
  <c r="U879" i="2"/>
  <c r="T879" i="2"/>
  <c r="U895" i="2"/>
  <c r="T895" i="2"/>
  <c r="U911" i="2"/>
  <c r="T911" i="2"/>
  <c r="U927" i="2"/>
  <c r="T927" i="2"/>
  <c r="U943" i="2"/>
  <c r="T943" i="2"/>
  <c r="U959" i="2"/>
  <c r="T959" i="2"/>
  <c r="U975" i="2"/>
  <c r="T975" i="2"/>
  <c r="U991" i="2"/>
  <c r="T991" i="2"/>
  <c r="U8" i="2"/>
  <c r="T8" i="2"/>
  <c r="U16" i="2"/>
  <c r="T16" i="2"/>
  <c r="U24" i="2"/>
  <c r="T24" i="2"/>
  <c r="U32" i="2"/>
  <c r="T32" i="2"/>
  <c r="U40" i="2"/>
  <c r="T40" i="2"/>
  <c r="U48" i="2"/>
  <c r="T48" i="2"/>
  <c r="U56" i="2"/>
  <c r="T56" i="2"/>
  <c r="U64" i="2"/>
  <c r="T64" i="2"/>
  <c r="U72" i="2"/>
  <c r="T72" i="2"/>
  <c r="U80" i="2"/>
  <c r="T80" i="2"/>
  <c r="U88" i="2"/>
  <c r="T88" i="2"/>
  <c r="U96" i="2"/>
  <c r="T96" i="2"/>
  <c r="U104" i="2"/>
  <c r="T104" i="2"/>
  <c r="U112" i="2"/>
  <c r="T112" i="2"/>
  <c r="U120" i="2"/>
  <c r="T120" i="2"/>
  <c r="U128" i="2"/>
  <c r="T128" i="2"/>
  <c r="U136" i="2"/>
  <c r="T136" i="2"/>
  <c r="U144" i="2"/>
  <c r="T144" i="2"/>
  <c r="U152" i="2"/>
  <c r="T152" i="2"/>
  <c r="U160" i="2"/>
  <c r="T160" i="2"/>
  <c r="U168" i="2"/>
  <c r="T168" i="2"/>
  <c r="U176" i="2"/>
  <c r="T176" i="2"/>
  <c r="U184" i="2"/>
  <c r="T184" i="2"/>
  <c r="U192" i="2"/>
  <c r="T192" i="2"/>
  <c r="U200" i="2"/>
  <c r="T200" i="2"/>
  <c r="U208" i="2"/>
  <c r="T208" i="2"/>
  <c r="U216" i="2"/>
  <c r="T216" i="2"/>
  <c r="U224" i="2"/>
  <c r="T224" i="2"/>
  <c r="U232" i="2"/>
  <c r="T232" i="2"/>
  <c r="U240" i="2"/>
  <c r="T240" i="2"/>
  <c r="U248" i="2"/>
  <c r="T248" i="2"/>
  <c r="U256" i="2"/>
  <c r="T256" i="2"/>
  <c r="U264" i="2"/>
  <c r="T264" i="2"/>
  <c r="U272" i="2"/>
  <c r="T272" i="2"/>
  <c r="U280" i="2"/>
  <c r="T280" i="2"/>
  <c r="U288" i="2"/>
  <c r="T288" i="2"/>
  <c r="U296" i="2"/>
  <c r="T296" i="2"/>
  <c r="U304" i="2"/>
  <c r="T304" i="2"/>
  <c r="U312" i="2"/>
  <c r="T312" i="2"/>
  <c r="U320" i="2"/>
  <c r="T320" i="2"/>
  <c r="U328" i="2"/>
  <c r="T328" i="2"/>
  <c r="U336" i="2"/>
  <c r="T336" i="2"/>
  <c r="U344" i="2"/>
  <c r="T344" i="2"/>
  <c r="U352" i="2"/>
  <c r="T352" i="2"/>
  <c r="U360" i="2"/>
  <c r="T360" i="2"/>
  <c r="U368" i="2"/>
  <c r="T368" i="2"/>
  <c r="U376" i="2"/>
  <c r="T376" i="2"/>
  <c r="U384" i="2"/>
  <c r="T384" i="2"/>
  <c r="U392" i="2"/>
  <c r="T392" i="2"/>
  <c r="U400" i="2"/>
  <c r="T400" i="2"/>
  <c r="U408" i="2"/>
  <c r="T408" i="2"/>
  <c r="U416" i="2"/>
  <c r="T416" i="2"/>
  <c r="U424" i="2"/>
  <c r="T424" i="2"/>
  <c r="U432" i="2"/>
  <c r="T432" i="2"/>
  <c r="U440" i="2"/>
  <c r="T440" i="2"/>
  <c r="U448" i="2"/>
  <c r="T448" i="2"/>
  <c r="U456" i="2"/>
  <c r="T456" i="2"/>
  <c r="U464" i="2"/>
  <c r="T464" i="2"/>
  <c r="U472" i="2"/>
  <c r="T472" i="2"/>
  <c r="U480" i="2"/>
  <c r="T480" i="2"/>
  <c r="U488" i="2"/>
  <c r="T488" i="2"/>
  <c r="U496" i="2"/>
  <c r="T496" i="2"/>
  <c r="U504" i="2"/>
  <c r="T504" i="2"/>
  <c r="U512" i="2"/>
  <c r="T512" i="2"/>
  <c r="U520" i="2"/>
  <c r="T520" i="2"/>
  <c r="U528" i="2"/>
  <c r="T528" i="2"/>
  <c r="U536" i="2"/>
  <c r="T536" i="2"/>
  <c r="U544" i="2"/>
  <c r="T544" i="2"/>
  <c r="U552" i="2"/>
  <c r="T552" i="2"/>
  <c r="U560" i="2"/>
  <c r="T560" i="2"/>
  <c r="U568" i="2"/>
  <c r="T568" i="2"/>
  <c r="U576" i="2"/>
  <c r="T576" i="2"/>
  <c r="U584" i="2"/>
  <c r="T584" i="2"/>
  <c r="U592" i="2"/>
  <c r="T592" i="2"/>
  <c r="U600" i="2"/>
  <c r="T600" i="2"/>
  <c r="U608" i="2"/>
  <c r="T608" i="2"/>
  <c r="U616" i="2"/>
  <c r="T616" i="2"/>
  <c r="U624" i="2"/>
  <c r="T624" i="2"/>
  <c r="U632" i="2"/>
  <c r="T632" i="2"/>
  <c r="U640" i="2"/>
  <c r="T640" i="2"/>
  <c r="U648" i="2"/>
  <c r="T648" i="2"/>
  <c r="U656" i="2"/>
  <c r="T656" i="2"/>
  <c r="U664" i="2"/>
  <c r="T664" i="2"/>
  <c r="U672" i="2"/>
  <c r="T672" i="2"/>
  <c r="U680" i="2"/>
  <c r="T680" i="2"/>
  <c r="U688" i="2"/>
  <c r="T688" i="2"/>
  <c r="U696" i="2"/>
  <c r="T696" i="2"/>
  <c r="U704" i="2"/>
  <c r="T704" i="2"/>
  <c r="U712" i="2"/>
  <c r="T712" i="2"/>
  <c r="U720" i="2"/>
  <c r="T720" i="2"/>
  <c r="U728" i="2"/>
  <c r="T728" i="2"/>
  <c r="U736" i="2"/>
  <c r="T736" i="2"/>
  <c r="U744" i="2"/>
  <c r="T744" i="2"/>
  <c r="U752" i="2"/>
  <c r="T752" i="2"/>
  <c r="U760" i="2"/>
  <c r="T760" i="2"/>
  <c r="U768" i="2"/>
  <c r="T768" i="2"/>
  <c r="U776" i="2"/>
  <c r="T776" i="2"/>
  <c r="U784" i="2"/>
  <c r="T784" i="2"/>
  <c r="U792" i="2"/>
  <c r="T792" i="2"/>
  <c r="U800" i="2"/>
  <c r="T800" i="2"/>
  <c r="U808" i="2"/>
  <c r="T808" i="2"/>
  <c r="U816" i="2"/>
  <c r="T816" i="2"/>
  <c r="U824" i="2"/>
  <c r="T824" i="2"/>
  <c r="U832" i="2"/>
  <c r="T832" i="2"/>
  <c r="U840" i="2"/>
  <c r="T840" i="2"/>
  <c r="U848" i="2"/>
  <c r="T848" i="2"/>
  <c r="U856" i="2"/>
  <c r="T856" i="2"/>
  <c r="U864" i="2"/>
  <c r="T864" i="2"/>
  <c r="U872" i="2"/>
  <c r="T872" i="2"/>
  <c r="U880" i="2"/>
  <c r="T880" i="2"/>
  <c r="U888" i="2"/>
  <c r="T888" i="2"/>
  <c r="U896" i="2"/>
  <c r="T896" i="2"/>
  <c r="U904" i="2"/>
  <c r="T904" i="2"/>
  <c r="U912" i="2"/>
  <c r="T912" i="2"/>
  <c r="U920" i="2"/>
  <c r="T920" i="2"/>
  <c r="U928" i="2"/>
  <c r="T928" i="2"/>
  <c r="U936" i="2"/>
  <c r="T936" i="2"/>
  <c r="U944" i="2"/>
  <c r="T944" i="2"/>
  <c r="U952" i="2"/>
  <c r="T952" i="2"/>
  <c r="U960" i="2"/>
  <c r="T960" i="2"/>
  <c r="U968" i="2"/>
  <c r="T968" i="2"/>
  <c r="U976" i="2"/>
  <c r="T976" i="2"/>
  <c r="U984" i="2"/>
  <c r="T984" i="2"/>
  <c r="U992" i="2"/>
  <c r="T992" i="2"/>
  <c r="U1000" i="2"/>
  <c r="T1000" i="2"/>
  <c r="U12" i="2"/>
  <c r="T12" i="2"/>
  <c r="U60" i="2"/>
  <c r="T60" i="2"/>
  <c r="U116" i="2"/>
  <c r="T116" i="2"/>
  <c r="U172" i="2"/>
  <c r="T172" i="2"/>
  <c r="U220" i="2"/>
  <c r="T220" i="2"/>
  <c r="U284" i="2"/>
  <c r="T284" i="2"/>
  <c r="U340" i="2"/>
  <c r="T340" i="2"/>
  <c r="U396" i="2"/>
  <c r="T396" i="2"/>
  <c r="U452" i="2"/>
  <c r="T452" i="2"/>
  <c r="U500" i="2"/>
  <c r="T500" i="2"/>
  <c r="U556" i="2"/>
  <c r="T556" i="2"/>
  <c r="U612" i="2"/>
  <c r="T612" i="2"/>
  <c r="U660" i="2"/>
  <c r="T660" i="2"/>
  <c r="U716" i="2"/>
  <c r="T716" i="2"/>
  <c r="U772" i="2"/>
  <c r="T772" i="2"/>
  <c r="U828" i="2"/>
  <c r="T828" i="2"/>
  <c r="U876" i="2"/>
  <c r="T876" i="2"/>
  <c r="U916" i="2"/>
  <c r="T916" i="2"/>
  <c r="U964" i="2"/>
  <c r="T964" i="2"/>
  <c r="T25" i="2"/>
  <c r="U25" i="2"/>
  <c r="U49" i="2"/>
  <c r="T49" i="2"/>
  <c r="U81" i="2"/>
  <c r="T81" i="2"/>
  <c r="U113" i="2"/>
  <c r="T113" i="2"/>
  <c r="U137" i="2"/>
  <c r="T137" i="2"/>
  <c r="U161" i="2"/>
  <c r="T161" i="2"/>
  <c r="U185" i="2"/>
  <c r="T185" i="2"/>
  <c r="U217" i="2"/>
  <c r="T217" i="2"/>
  <c r="U249" i="2"/>
  <c r="T249" i="2"/>
  <c r="U273" i="2"/>
  <c r="T273" i="2"/>
  <c r="U313" i="2"/>
  <c r="T313" i="2"/>
  <c r="U353" i="2"/>
  <c r="T353" i="2"/>
  <c r="U377" i="2"/>
  <c r="T377" i="2"/>
  <c r="U401" i="2"/>
  <c r="T401" i="2"/>
  <c r="U457" i="2"/>
  <c r="T457" i="2"/>
  <c r="U497" i="2"/>
  <c r="T497" i="2"/>
  <c r="U521" i="2"/>
  <c r="T521" i="2"/>
  <c r="U561" i="2"/>
  <c r="T561" i="2"/>
  <c r="U585" i="2"/>
  <c r="T585" i="2"/>
  <c r="U609" i="2"/>
  <c r="T609" i="2"/>
  <c r="U641" i="2"/>
  <c r="T641" i="2"/>
  <c r="U673" i="2"/>
  <c r="T673" i="2"/>
  <c r="U705" i="2"/>
  <c r="T705" i="2"/>
  <c r="U737" i="2"/>
  <c r="T737" i="2"/>
  <c r="U769" i="2"/>
  <c r="T769" i="2"/>
  <c r="U801" i="2"/>
  <c r="T801" i="2"/>
  <c r="U825" i="2"/>
  <c r="T825" i="2"/>
  <c r="U849" i="2"/>
  <c r="T849" i="2"/>
  <c r="U873" i="2"/>
  <c r="T873" i="2"/>
  <c r="U897" i="2"/>
  <c r="T897" i="2"/>
  <c r="U921" i="2"/>
  <c r="T921" i="2"/>
  <c r="U961" i="2"/>
  <c r="T961" i="2"/>
  <c r="U993" i="2"/>
  <c r="T993" i="2"/>
  <c r="U44" i="2"/>
  <c r="T44" i="2"/>
  <c r="U100" i="2"/>
  <c r="T100" i="2"/>
  <c r="U156" i="2"/>
  <c r="T156" i="2"/>
  <c r="U196" i="2"/>
  <c r="T196" i="2"/>
  <c r="U252" i="2"/>
  <c r="T252" i="2"/>
  <c r="U300" i="2"/>
  <c r="T300" i="2"/>
  <c r="U364" i="2"/>
  <c r="T364" i="2"/>
  <c r="U412" i="2"/>
  <c r="T412" i="2"/>
  <c r="U468" i="2"/>
  <c r="T468" i="2"/>
  <c r="U524" i="2"/>
  <c r="T524" i="2"/>
  <c r="U572" i="2"/>
  <c r="T572" i="2"/>
  <c r="U628" i="2"/>
  <c r="T628" i="2"/>
  <c r="U684" i="2"/>
  <c r="T684" i="2"/>
  <c r="U732" i="2"/>
  <c r="T732" i="2"/>
  <c r="U788" i="2"/>
  <c r="T788" i="2"/>
  <c r="U844" i="2"/>
  <c r="T844" i="2"/>
  <c r="U900" i="2"/>
  <c r="T900" i="2"/>
  <c r="U948" i="2"/>
  <c r="T948" i="2"/>
  <c r="U996" i="2"/>
  <c r="T996" i="2"/>
  <c r="T9" i="2"/>
  <c r="U9" i="2"/>
  <c r="U33" i="2"/>
  <c r="T33" i="2"/>
  <c r="T57" i="2"/>
  <c r="U57" i="2"/>
  <c r="U73" i="2"/>
  <c r="T73" i="2"/>
  <c r="U105" i="2"/>
  <c r="T105" i="2"/>
  <c r="U129" i="2"/>
  <c r="T129" i="2"/>
  <c r="U153" i="2"/>
  <c r="T153" i="2"/>
  <c r="U177" i="2"/>
  <c r="T177" i="2"/>
  <c r="U201" i="2"/>
  <c r="T201" i="2"/>
  <c r="U225" i="2"/>
  <c r="T225" i="2"/>
  <c r="U241" i="2"/>
  <c r="T241" i="2"/>
  <c r="U265" i="2"/>
  <c r="T265" i="2"/>
  <c r="U289" i="2"/>
  <c r="T289" i="2"/>
  <c r="U305" i="2"/>
  <c r="T305" i="2"/>
  <c r="U329" i="2"/>
  <c r="T329" i="2"/>
  <c r="U345" i="2"/>
  <c r="T345" i="2"/>
  <c r="U361" i="2"/>
  <c r="T361" i="2"/>
  <c r="U385" i="2"/>
  <c r="T385" i="2"/>
  <c r="U409" i="2"/>
  <c r="T409" i="2"/>
  <c r="U425" i="2"/>
  <c r="T425" i="2"/>
  <c r="U441" i="2"/>
  <c r="T441" i="2"/>
  <c r="U465" i="2"/>
  <c r="T465" i="2"/>
  <c r="U481" i="2"/>
  <c r="T481" i="2"/>
  <c r="U505" i="2"/>
  <c r="T505" i="2"/>
  <c r="U529" i="2"/>
  <c r="T529" i="2"/>
  <c r="U545" i="2"/>
  <c r="T545" i="2"/>
  <c r="U569" i="2"/>
  <c r="T569" i="2"/>
  <c r="U593" i="2"/>
  <c r="T593" i="2"/>
  <c r="U617" i="2"/>
  <c r="T617" i="2"/>
  <c r="U633" i="2"/>
  <c r="T633" i="2"/>
  <c r="U657" i="2"/>
  <c r="T657" i="2"/>
  <c r="U681" i="2"/>
  <c r="T681" i="2"/>
  <c r="U697" i="2"/>
  <c r="T697" i="2"/>
  <c r="U721" i="2"/>
  <c r="T721" i="2"/>
  <c r="U745" i="2"/>
  <c r="T745" i="2"/>
  <c r="U761" i="2"/>
  <c r="T761" i="2"/>
  <c r="U785" i="2"/>
  <c r="T785" i="2"/>
  <c r="U809" i="2"/>
  <c r="T809" i="2"/>
  <c r="U833" i="2"/>
  <c r="T833" i="2"/>
  <c r="U857" i="2"/>
  <c r="T857" i="2"/>
  <c r="U889" i="2"/>
  <c r="T889" i="2"/>
  <c r="U913" i="2"/>
  <c r="T913" i="2"/>
  <c r="U937" i="2"/>
  <c r="T937" i="2"/>
  <c r="U953" i="2"/>
  <c r="T953" i="2"/>
  <c r="U977" i="2"/>
  <c r="T977" i="2"/>
  <c r="U1001" i="2"/>
  <c r="T1001" i="2"/>
  <c r="U10" i="2"/>
  <c r="T10" i="2"/>
  <c r="U18" i="2"/>
  <c r="T18" i="2"/>
  <c r="U26" i="2"/>
  <c r="T26" i="2"/>
  <c r="U34" i="2"/>
  <c r="T34" i="2"/>
  <c r="U42" i="2"/>
  <c r="T42" i="2"/>
  <c r="U50" i="2"/>
  <c r="T50" i="2"/>
  <c r="U58" i="2"/>
  <c r="T58" i="2"/>
  <c r="U66" i="2"/>
  <c r="T66" i="2"/>
  <c r="U74" i="2"/>
  <c r="T74" i="2"/>
  <c r="U82" i="2"/>
  <c r="T82" i="2"/>
  <c r="U90" i="2"/>
  <c r="T90" i="2"/>
  <c r="U98" i="2"/>
  <c r="T98" i="2"/>
  <c r="U106" i="2"/>
  <c r="T106" i="2"/>
  <c r="U114" i="2"/>
  <c r="T114" i="2"/>
  <c r="U122" i="2"/>
  <c r="T122" i="2"/>
  <c r="U130" i="2"/>
  <c r="T130" i="2"/>
  <c r="U138" i="2"/>
  <c r="T138" i="2"/>
  <c r="U146" i="2"/>
  <c r="T146" i="2"/>
  <c r="U154" i="2"/>
  <c r="T154" i="2"/>
  <c r="U162" i="2"/>
  <c r="T162" i="2"/>
  <c r="U170" i="2"/>
  <c r="T170" i="2"/>
  <c r="U178" i="2"/>
  <c r="T178" i="2"/>
  <c r="U186" i="2"/>
  <c r="T186" i="2"/>
  <c r="U194" i="2"/>
  <c r="T194" i="2"/>
  <c r="U202" i="2"/>
  <c r="T202" i="2"/>
  <c r="U210" i="2"/>
  <c r="T210" i="2"/>
  <c r="U218" i="2"/>
  <c r="T218" i="2"/>
  <c r="U226" i="2"/>
  <c r="T226" i="2"/>
  <c r="U234" i="2"/>
  <c r="T234" i="2"/>
  <c r="U242" i="2"/>
  <c r="T242" i="2"/>
  <c r="U250" i="2"/>
  <c r="T250" i="2"/>
  <c r="U258" i="2"/>
  <c r="T258" i="2"/>
  <c r="U266" i="2"/>
  <c r="T266" i="2"/>
  <c r="U274" i="2"/>
  <c r="T274" i="2"/>
  <c r="U282" i="2"/>
  <c r="T282" i="2"/>
  <c r="U290" i="2"/>
  <c r="T290" i="2"/>
  <c r="U298" i="2"/>
  <c r="T298" i="2"/>
  <c r="U306" i="2"/>
  <c r="T306" i="2"/>
  <c r="U314" i="2"/>
  <c r="T314" i="2"/>
  <c r="U322" i="2"/>
  <c r="T322" i="2"/>
  <c r="U330" i="2"/>
  <c r="T330" i="2"/>
  <c r="U338" i="2"/>
  <c r="T338" i="2"/>
  <c r="U346" i="2"/>
  <c r="T346" i="2"/>
  <c r="U354" i="2"/>
  <c r="T354" i="2"/>
  <c r="U362" i="2"/>
  <c r="T362" i="2"/>
  <c r="U370" i="2"/>
  <c r="T370" i="2"/>
  <c r="U378" i="2"/>
  <c r="T378" i="2"/>
  <c r="U386" i="2"/>
  <c r="T386" i="2"/>
  <c r="U394" i="2"/>
  <c r="T394" i="2"/>
  <c r="U402" i="2"/>
  <c r="T402" i="2"/>
  <c r="U410" i="2"/>
  <c r="T410" i="2"/>
  <c r="U418" i="2"/>
  <c r="T418" i="2"/>
  <c r="U426" i="2"/>
  <c r="T426" i="2"/>
  <c r="U434" i="2"/>
  <c r="T434" i="2"/>
  <c r="U442" i="2"/>
  <c r="T442" i="2"/>
  <c r="U450" i="2"/>
  <c r="T450" i="2"/>
  <c r="U458" i="2"/>
  <c r="T458" i="2"/>
  <c r="U466" i="2"/>
  <c r="T466" i="2"/>
  <c r="U474" i="2"/>
  <c r="T474" i="2"/>
  <c r="U482" i="2"/>
  <c r="T482" i="2"/>
  <c r="U490" i="2"/>
  <c r="T490" i="2"/>
  <c r="U498" i="2"/>
  <c r="T498" i="2"/>
  <c r="U506" i="2"/>
  <c r="T506" i="2"/>
  <c r="U514" i="2"/>
  <c r="T514" i="2"/>
  <c r="U522" i="2"/>
  <c r="T522" i="2"/>
  <c r="U530" i="2"/>
  <c r="T530" i="2"/>
  <c r="U538" i="2"/>
  <c r="T538" i="2"/>
  <c r="U546" i="2"/>
  <c r="T546" i="2"/>
  <c r="U554" i="2"/>
  <c r="T554" i="2"/>
  <c r="U562" i="2"/>
  <c r="T562" i="2"/>
  <c r="U570" i="2"/>
  <c r="T570" i="2"/>
  <c r="U578" i="2"/>
  <c r="T578" i="2"/>
  <c r="U586" i="2"/>
  <c r="T586" i="2"/>
  <c r="U594" i="2"/>
  <c r="T594" i="2"/>
  <c r="U602" i="2"/>
  <c r="T602" i="2"/>
  <c r="U610" i="2"/>
  <c r="T610" i="2"/>
  <c r="U618" i="2"/>
  <c r="T618" i="2"/>
  <c r="U626" i="2"/>
  <c r="T626" i="2"/>
  <c r="U634" i="2"/>
  <c r="T634" i="2"/>
  <c r="U642" i="2"/>
  <c r="T642" i="2"/>
  <c r="U650" i="2"/>
  <c r="T650" i="2"/>
  <c r="U658" i="2"/>
  <c r="T658" i="2"/>
  <c r="U666" i="2"/>
  <c r="T666" i="2"/>
  <c r="U674" i="2"/>
  <c r="T674" i="2"/>
  <c r="T682" i="2"/>
  <c r="U682" i="2"/>
  <c r="U690" i="2"/>
  <c r="T690" i="2"/>
  <c r="U698" i="2"/>
  <c r="T698" i="2"/>
  <c r="U706" i="2"/>
  <c r="T706" i="2"/>
  <c r="U714" i="2"/>
  <c r="T714" i="2"/>
  <c r="U722" i="2"/>
  <c r="T722" i="2"/>
  <c r="U730" i="2"/>
  <c r="T730" i="2"/>
  <c r="U738" i="2"/>
  <c r="T738" i="2"/>
  <c r="T746" i="2"/>
  <c r="U746" i="2"/>
  <c r="U754" i="2"/>
  <c r="T754" i="2"/>
  <c r="U762" i="2"/>
  <c r="T762" i="2"/>
  <c r="U770" i="2"/>
  <c r="T770" i="2"/>
  <c r="U778" i="2"/>
  <c r="T778" i="2"/>
  <c r="U786" i="2"/>
  <c r="T786" i="2"/>
  <c r="U794" i="2"/>
  <c r="T794" i="2"/>
  <c r="U802" i="2"/>
  <c r="T802" i="2"/>
  <c r="U810" i="2"/>
  <c r="T810" i="2"/>
  <c r="U818" i="2"/>
  <c r="T818" i="2"/>
  <c r="U826" i="2"/>
  <c r="T826" i="2"/>
  <c r="U834" i="2"/>
  <c r="T834" i="2"/>
  <c r="U842" i="2"/>
  <c r="T842" i="2"/>
  <c r="U850" i="2"/>
  <c r="T850" i="2"/>
  <c r="U858" i="2"/>
  <c r="T858" i="2"/>
  <c r="U866" i="2"/>
  <c r="T866" i="2"/>
  <c r="U874" i="2"/>
  <c r="T874" i="2"/>
  <c r="U882" i="2"/>
  <c r="T882" i="2"/>
  <c r="U890" i="2"/>
  <c r="T890" i="2"/>
  <c r="U898" i="2"/>
  <c r="T898" i="2"/>
  <c r="U906" i="2"/>
  <c r="T906" i="2"/>
  <c r="U914" i="2"/>
  <c r="T914" i="2"/>
  <c r="U922" i="2"/>
  <c r="T922" i="2"/>
  <c r="U930" i="2"/>
  <c r="T930" i="2"/>
  <c r="T938" i="2"/>
  <c r="U938" i="2"/>
  <c r="U946" i="2"/>
  <c r="T946" i="2"/>
  <c r="U954" i="2"/>
  <c r="T954" i="2"/>
  <c r="U962" i="2"/>
  <c r="T962" i="2"/>
  <c r="U970" i="2"/>
  <c r="T970" i="2"/>
  <c r="U978" i="2"/>
  <c r="T978" i="2"/>
  <c r="U986" i="2"/>
  <c r="T986" i="2"/>
  <c r="U994" i="2"/>
  <c r="T994" i="2"/>
  <c r="T1002" i="2"/>
  <c r="U1002" i="2"/>
  <c r="U36" i="2"/>
  <c r="T36" i="2"/>
  <c r="U92" i="2"/>
  <c r="T92" i="2"/>
  <c r="U148" i="2"/>
  <c r="T148" i="2"/>
  <c r="U204" i="2"/>
  <c r="T204" i="2"/>
  <c r="U260" i="2"/>
  <c r="T260" i="2"/>
  <c r="U308" i="2"/>
  <c r="T308" i="2"/>
  <c r="U356" i="2"/>
  <c r="T356" i="2"/>
  <c r="U404" i="2"/>
  <c r="T404" i="2"/>
  <c r="U460" i="2"/>
  <c r="T460" i="2"/>
  <c r="U516" i="2"/>
  <c r="T516" i="2"/>
  <c r="U564" i="2"/>
  <c r="T564" i="2"/>
  <c r="U620" i="2"/>
  <c r="T620" i="2"/>
  <c r="U676" i="2"/>
  <c r="T676" i="2"/>
  <c r="U724" i="2"/>
  <c r="T724" i="2"/>
  <c r="U780" i="2"/>
  <c r="T780" i="2"/>
  <c r="U836" i="2"/>
  <c r="T836" i="2"/>
  <c r="U884" i="2"/>
  <c r="T884" i="2"/>
  <c r="U940" i="2"/>
  <c r="T940" i="2"/>
  <c r="U988" i="2"/>
  <c r="T988" i="2"/>
  <c r="U17" i="2"/>
  <c r="T17" i="2"/>
  <c r="T41" i="2"/>
  <c r="U41" i="2"/>
  <c r="U65" i="2"/>
  <c r="T65" i="2"/>
  <c r="U89" i="2"/>
  <c r="T89" i="2"/>
  <c r="U97" i="2"/>
  <c r="T97" i="2"/>
  <c r="U121" i="2"/>
  <c r="T121" i="2"/>
  <c r="U145" i="2"/>
  <c r="T145" i="2"/>
  <c r="U169" i="2"/>
  <c r="T169" i="2"/>
  <c r="U193" i="2"/>
  <c r="T193" i="2"/>
  <c r="U209" i="2"/>
  <c r="T209" i="2"/>
  <c r="U233" i="2"/>
  <c r="T233" i="2"/>
  <c r="U257" i="2"/>
  <c r="T257" i="2"/>
  <c r="U281" i="2"/>
  <c r="T281" i="2"/>
  <c r="U297" i="2"/>
  <c r="T297" i="2"/>
  <c r="U321" i="2"/>
  <c r="T321" i="2"/>
  <c r="U337" i="2"/>
  <c r="T337" i="2"/>
  <c r="U369" i="2"/>
  <c r="T369" i="2"/>
  <c r="U393" i="2"/>
  <c r="T393" i="2"/>
  <c r="U417" i="2"/>
  <c r="T417" i="2"/>
  <c r="U433" i="2"/>
  <c r="T433" i="2"/>
  <c r="U449" i="2"/>
  <c r="T449" i="2"/>
  <c r="U473" i="2"/>
  <c r="T473" i="2"/>
  <c r="U489" i="2"/>
  <c r="T489" i="2"/>
  <c r="U513" i="2"/>
  <c r="T513" i="2"/>
  <c r="U537" i="2"/>
  <c r="T537" i="2"/>
  <c r="U553" i="2"/>
  <c r="T553" i="2"/>
  <c r="U577" i="2"/>
  <c r="T577" i="2"/>
  <c r="U601" i="2"/>
  <c r="T601" i="2"/>
  <c r="U625" i="2"/>
  <c r="T625" i="2"/>
  <c r="U649" i="2"/>
  <c r="T649" i="2"/>
  <c r="U665" i="2"/>
  <c r="T665" i="2"/>
  <c r="U689" i="2"/>
  <c r="T689" i="2"/>
  <c r="U713" i="2"/>
  <c r="T713" i="2"/>
  <c r="U729" i="2"/>
  <c r="T729" i="2"/>
  <c r="U753" i="2"/>
  <c r="T753" i="2"/>
  <c r="U777" i="2"/>
  <c r="T777" i="2"/>
  <c r="U793" i="2"/>
  <c r="T793" i="2"/>
  <c r="U817" i="2"/>
  <c r="T817" i="2"/>
  <c r="U841" i="2"/>
  <c r="T841" i="2"/>
  <c r="U865" i="2"/>
  <c r="T865" i="2"/>
  <c r="U881" i="2"/>
  <c r="T881" i="2"/>
  <c r="U905" i="2"/>
  <c r="T905" i="2"/>
  <c r="U929" i="2"/>
  <c r="T929" i="2"/>
  <c r="U945" i="2"/>
  <c r="T945" i="2"/>
  <c r="U969" i="2"/>
  <c r="T969" i="2"/>
  <c r="U985" i="2"/>
  <c r="T985" i="2"/>
  <c r="U11" i="2"/>
  <c r="T11" i="2"/>
  <c r="U19" i="2"/>
  <c r="T19" i="2"/>
  <c r="U27" i="2"/>
  <c r="T27" i="2"/>
  <c r="U35" i="2"/>
  <c r="T35" i="2"/>
  <c r="U43" i="2"/>
  <c r="T43" i="2"/>
  <c r="U51" i="2"/>
  <c r="T51" i="2"/>
  <c r="U59" i="2"/>
  <c r="T59" i="2"/>
  <c r="U67" i="2"/>
  <c r="T67" i="2"/>
  <c r="U75" i="2"/>
  <c r="T75" i="2"/>
  <c r="U83" i="2"/>
  <c r="T83" i="2"/>
  <c r="T91" i="2"/>
  <c r="U91" i="2"/>
  <c r="U99" i="2"/>
  <c r="T99" i="2"/>
  <c r="T107" i="2"/>
  <c r="U107" i="2"/>
  <c r="U115" i="2"/>
  <c r="T115" i="2"/>
  <c r="U123" i="2"/>
  <c r="T123" i="2"/>
  <c r="U131" i="2"/>
  <c r="T131" i="2"/>
  <c r="T139" i="2"/>
  <c r="U139" i="2"/>
  <c r="U147" i="2"/>
  <c r="T147" i="2"/>
  <c r="T155" i="2"/>
  <c r="U155" i="2"/>
  <c r="U163" i="2"/>
  <c r="T163" i="2"/>
  <c r="U171" i="2"/>
  <c r="T171" i="2"/>
  <c r="U179" i="2"/>
  <c r="T179" i="2"/>
  <c r="U187" i="2"/>
  <c r="T187" i="2"/>
  <c r="U195" i="2"/>
  <c r="T195" i="2"/>
  <c r="T203" i="2"/>
  <c r="U203" i="2"/>
  <c r="U211" i="2"/>
  <c r="T211" i="2"/>
  <c r="T219" i="2"/>
  <c r="U219" i="2"/>
  <c r="U227" i="2"/>
  <c r="T227" i="2"/>
  <c r="T235" i="2"/>
  <c r="U235" i="2"/>
  <c r="U243" i="2"/>
  <c r="T243" i="2"/>
  <c r="U251" i="2"/>
  <c r="T251" i="2"/>
  <c r="U259" i="2"/>
  <c r="T259" i="2"/>
  <c r="T267" i="2"/>
  <c r="U267" i="2"/>
  <c r="U275" i="2"/>
  <c r="T275" i="2"/>
  <c r="U283" i="2"/>
  <c r="T283" i="2"/>
  <c r="U291" i="2"/>
  <c r="T291" i="2"/>
  <c r="T299" i="2"/>
  <c r="U299" i="2"/>
  <c r="U307" i="2"/>
  <c r="T307" i="2"/>
  <c r="U315" i="2"/>
  <c r="T315" i="2"/>
  <c r="U323" i="2"/>
  <c r="T323" i="2"/>
  <c r="T331" i="2"/>
  <c r="U331" i="2"/>
  <c r="U339" i="2"/>
  <c r="T339" i="2"/>
  <c r="T347" i="2"/>
  <c r="U347" i="2"/>
  <c r="U355" i="2"/>
  <c r="T355" i="2"/>
  <c r="U363" i="2"/>
  <c r="T363" i="2"/>
  <c r="U371" i="2"/>
  <c r="T371" i="2"/>
  <c r="T379" i="2"/>
  <c r="U379" i="2"/>
  <c r="U387" i="2"/>
  <c r="T387" i="2"/>
  <c r="U395" i="2"/>
  <c r="T395" i="2"/>
  <c r="U403" i="2"/>
  <c r="T403" i="2"/>
  <c r="T411" i="2"/>
  <c r="U411" i="2"/>
  <c r="U419" i="2"/>
  <c r="T419" i="2"/>
  <c r="U427" i="2"/>
  <c r="T427" i="2"/>
  <c r="U435" i="2"/>
  <c r="T435" i="2"/>
  <c r="T443" i="2"/>
  <c r="U443" i="2"/>
  <c r="U451" i="2"/>
  <c r="T451" i="2"/>
  <c r="T459" i="2"/>
  <c r="U459" i="2"/>
  <c r="U467" i="2"/>
  <c r="T467" i="2"/>
  <c r="T475" i="2"/>
  <c r="U475" i="2"/>
  <c r="U483" i="2"/>
  <c r="T483" i="2"/>
  <c r="U491" i="2"/>
  <c r="T491" i="2"/>
  <c r="U499" i="2"/>
  <c r="T499" i="2"/>
  <c r="T507" i="2"/>
  <c r="U507" i="2"/>
  <c r="U515" i="2"/>
  <c r="T515" i="2"/>
  <c r="U523" i="2"/>
  <c r="T523" i="2"/>
  <c r="U531" i="2"/>
  <c r="T531" i="2"/>
  <c r="T539" i="2"/>
  <c r="U539" i="2"/>
  <c r="U547" i="2"/>
  <c r="T547" i="2"/>
  <c r="T555" i="2"/>
  <c r="U555" i="2"/>
  <c r="U563" i="2"/>
  <c r="T563" i="2"/>
  <c r="U571" i="2"/>
  <c r="T571" i="2"/>
  <c r="U579" i="2"/>
  <c r="T579" i="2"/>
  <c r="T587" i="2"/>
  <c r="U587" i="2"/>
  <c r="U595" i="2"/>
  <c r="T595" i="2"/>
  <c r="U603" i="2"/>
  <c r="T603" i="2"/>
  <c r="U611" i="2"/>
  <c r="T611" i="2"/>
  <c r="T619" i="2"/>
  <c r="U619" i="2"/>
  <c r="U627" i="2"/>
  <c r="T627" i="2"/>
  <c r="U635" i="2"/>
  <c r="T635" i="2"/>
  <c r="U643" i="2"/>
  <c r="T643" i="2"/>
  <c r="T651" i="2"/>
  <c r="U651" i="2"/>
  <c r="U659" i="2"/>
  <c r="T659" i="2"/>
  <c r="U667" i="2"/>
  <c r="T667" i="2"/>
  <c r="U675" i="2"/>
  <c r="T675" i="2"/>
  <c r="U683" i="2"/>
  <c r="T683" i="2"/>
  <c r="U691" i="2"/>
  <c r="T691" i="2"/>
  <c r="U699" i="2"/>
  <c r="T699" i="2"/>
  <c r="U707" i="2"/>
  <c r="T707" i="2"/>
  <c r="U715" i="2"/>
  <c r="T715" i="2"/>
  <c r="U723" i="2"/>
  <c r="T723" i="2"/>
  <c r="U731" i="2"/>
  <c r="T731" i="2"/>
  <c r="U739" i="2"/>
  <c r="T739" i="2"/>
  <c r="U747" i="2"/>
  <c r="T747" i="2"/>
  <c r="U755" i="2"/>
  <c r="T755" i="2"/>
  <c r="U763" i="2"/>
  <c r="T763" i="2"/>
  <c r="U771" i="2"/>
  <c r="T771" i="2"/>
  <c r="U779" i="2"/>
  <c r="T779" i="2"/>
  <c r="U787" i="2"/>
  <c r="T787" i="2"/>
  <c r="U795" i="2"/>
  <c r="T795" i="2"/>
  <c r="U803" i="2"/>
  <c r="T803" i="2"/>
  <c r="U811" i="2"/>
  <c r="T811" i="2"/>
  <c r="U819" i="2"/>
  <c r="T819" i="2"/>
  <c r="U827" i="2"/>
  <c r="T827" i="2"/>
  <c r="U835" i="2"/>
  <c r="T835" i="2"/>
  <c r="U843" i="2"/>
  <c r="T843" i="2"/>
  <c r="U851" i="2"/>
  <c r="T851" i="2"/>
  <c r="U859" i="2"/>
  <c r="T859" i="2"/>
  <c r="U867" i="2"/>
  <c r="T867" i="2"/>
  <c r="U875" i="2"/>
  <c r="T875" i="2"/>
  <c r="U883" i="2"/>
  <c r="T883" i="2"/>
  <c r="U891" i="2"/>
  <c r="T891" i="2"/>
  <c r="U899" i="2"/>
  <c r="T899" i="2"/>
  <c r="U907" i="2"/>
  <c r="T907" i="2"/>
  <c r="U915" i="2"/>
  <c r="T915" i="2"/>
  <c r="U923" i="2"/>
  <c r="T923" i="2"/>
  <c r="U931" i="2"/>
  <c r="T931" i="2"/>
  <c r="U939" i="2"/>
  <c r="T939" i="2"/>
  <c r="U947" i="2"/>
  <c r="T947" i="2"/>
  <c r="U955" i="2"/>
  <c r="T955" i="2"/>
  <c r="U963" i="2"/>
  <c r="T963" i="2"/>
  <c r="U971" i="2"/>
  <c r="T971" i="2"/>
  <c r="U979" i="2"/>
  <c r="T979" i="2"/>
  <c r="U987" i="2"/>
  <c r="T987" i="2"/>
  <c r="U995" i="2"/>
  <c r="T995" i="2"/>
  <c r="L11" i="3"/>
  <c r="J10" i="3"/>
  <c r="L6" i="3"/>
  <c r="N8" i="3"/>
  <c r="N10" i="3"/>
  <c r="M9" i="3"/>
  <c r="M11" i="3"/>
  <c r="L8" i="3"/>
  <c r="K11" i="3"/>
  <c r="N11" i="3"/>
  <c r="N7" i="3"/>
  <c r="L10" i="3"/>
  <c r="K7" i="3"/>
  <c r="M7" i="3"/>
  <c r="N9" i="3"/>
  <c r="M6" i="3"/>
  <c r="K9" i="3"/>
  <c r="K6" i="3"/>
  <c r="M8" i="3"/>
  <c r="L7" i="3"/>
  <c r="K8" i="3"/>
  <c r="M10" i="3"/>
  <c r="L9" i="3"/>
  <c r="K10" i="3"/>
  <c r="N6" i="3"/>
  <c r="L5" i="3"/>
  <c r="N5" i="3"/>
  <c r="K4" i="3"/>
  <c r="N4" i="3"/>
  <c r="M4" i="3"/>
  <c r="M5" i="3"/>
  <c r="L4" i="3"/>
  <c r="K5" i="3"/>
  <c r="M55" i="3"/>
  <c r="K55" i="3"/>
  <c r="N55" i="3"/>
  <c r="L55" i="3"/>
  <c r="N87" i="3"/>
  <c r="M87" i="3"/>
  <c r="L87" i="3"/>
  <c r="K87" i="3"/>
  <c r="N119" i="3"/>
  <c r="M119" i="3"/>
  <c r="L119" i="3"/>
  <c r="K119" i="3"/>
  <c r="N159" i="3"/>
  <c r="M159" i="3"/>
  <c r="L159" i="3"/>
  <c r="K159" i="3"/>
  <c r="N191" i="3"/>
  <c r="M191" i="3"/>
  <c r="L191" i="3"/>
  <c r="K191" i="3"/>
  <c r="N223" i="3"/>
  <c r="M223" i="3"/>
  <c r="L223" i="3"/>
  <c r="K223" i="3"/>
  <c r="N255" i="3"/>
  <c r="M255" i="3"/>
  <c r="L255" i="3"/>
  <c r="K255" i="3"/>
  <c r="N287" i="3"/>
  <c r="M287" i="3"/>
  <c r="L287" i="3"/>
  <c r="K287" i="3"/>
  <c r="N319" i="3"/>
  <c r="M319" i="3"/>
  <c r="K319" i="3"/>
  <c r="L319" i="3"/>
  <c r="N359" i="3"/>
  <c r="M359" i="3"/>
  <c r="L359" i="3"/>
  <c r="K359" i="3"/>
  <c r="K391" i="3"/>
  <c r="M391" i="3"/>
  <c r="N391" i="3"/>
  <c r="L391" i="3"/>
  <c r="N431" i="3"/>
  <c r="M431" i="3"/>
  <c r="L431" i="3"/>
  <c r="K431" i="3"/>
  <c r="N479" i="3"/>
  <c r="M479" i="3"/>
  <c r="L479" i="3"/>
  <c r="K479" i="3"/>
  <c r="L72" i="3"/>
  <c r="K72" i="3"/>
  <c r="N72" i="3"/>
  <c r="M72" i="3"/>
  <c r="M96" i="3"/>
  <c r="L96" i="3"/>
  <c r="N96" i="3"/>
  <c r="K96" i="3"/>
  <c r="L120" i="3"/>
  <c r="K120" i="3"/>
  <c r="N120" i="3"/>
  <c r="M120" i="3"/>
  <c r="N144" i="3"/>
  <c r="M144" i="3"/>
  <c r="L144" i="3"/>
  <c r="K144" i="3"/>
  <c r="L168" i="3"/>
  <c r="M168" i="3"/>
  <c r="K168" i="3"/>
  <c r="N168" i="3"/>
  <c r="M192" i="3"/>
  <c r="L192" i="3"/>
  <c r="N192" i="3"/>
  <c r="K192" i="3"/>
  <c r="L216" i="3"/>
  <c r="K216" i="3"/>
  <c r="M216" i="3"/>
  <c r="N216" i="3"/>
  <c r="K240" i="3"/>
  <c r="N240" i="3"/>
  <c r="M240" i="3"/>
  <c r="L240" i="3"/>
  <c r="M272" i="3"/>
  <c r="L272" i="3"/>
  <c r="K272" i="3"/>
  <c r="N272" i="3"/>
  <c r="K296" i="3"/>
  <c r="M296" i="3"/>
  <c r="L296" i="3"/>
  <c r="N296" i="3"/>
  <c r="K320" i="3"/>
  <c r="M320" i="3"/>
  <c r="N320" i="3"/>
  <c r="L320" i="3"/>
  <c r="M344" i="3"/>
  <c r="L344" i="3"/>
  <c r="N344" i="3"/>
  <c r="K344" i="3"/>
  <c r="M368" i="3"/>
  <c r="L368" i="3"/>
  <c r="N368" i="3"/>
  <c r="K368" i="3"/>
  <c r="M392" i="3"/>
  <c r="L392" i="3"/>
  <c r="N392" i="3"/>
  <c r="K392" i="3"/>
  <c r="M416" i="3"/>
  <c r="L416" i="3"/>
  <c r="N416" i="3"/>
  <c r="K416" i="3"/>
  <c r="M440" i="3"/>
  <c r="L440" i="3"/>
  <c r="N440" i="3"/>
  <c r="K440" i="3"/>
  <c r="M472" i="3"/>
  <c r="L472" i="3"/>
  <c r="N472" i="3"/>
  <c r="K472" i="3"/>
  <c r="M496" i="3"/>
  <c r="L496" i="3"/>
  <c r="N496" i="3"/>
  <c r="K496" i="3"/>
  <c r="N79" i="3"/>
  <c r="M79" i="3"/>
  <c r="L79" i="3"/>
  <c r="K79" i="3"/>
  <c r="N111" i="3"/>
  <c r="M111" i="3"/>
  <c r="L111" i="3"/>
  <c r="K111" i="3"/>
  <c r="N151" i="3"/>
  <c r="M151" i="3"/>
  <c r="L151" i="3"/>
  <c r="K151" i="3"/>
  <c r="N183" i="3"/>
  <c r="M183" i="3"/>
  <c r="L183" i="3"/>
  <c r="K183" i="3"/>
  <c r="N215" i="3"/>
  <c r="M215" i="3"/>
  <c r="L215" i="3"/>
  <c r="K215" i="3"/>
  <c r="N239" i="3"/>
  <c r="M239" i="3"/>
  <c r="L239" i="3"/>
  <c r="K239" i="3"/>
  <c r="N271" i="3"/>
  <c r="M271" i="3"/>
  <c r="L271" i="3"/>
  <c r="K271" i="3"/>
  <c r="N303" i="3"/>
  <c r="M303" i="3"/>
  <c r="K303" i="3"/>
  <c r="L303" i="3"/>
  <c r="L335" i="3"/>
  <c r="K335" i="3"/>
  <c r="N335" i="3"/>
  <c r="M335" i="3"/>
  <c r="N367" i="3"/>
  <c r="M367" i="3"/>
  <c r="L367" i="3"/>
  <c r="K367" i="3"/>
  <c r="L399" i="3"/>
  <c r="K399" i="3"/>
  <c r="M399" i="3"/>
  <c r="N399" i="3"/>
  <c r="N415" i="3"/>
  <c r="M415" i="3"/>
  <c r="L415" i="3"/>
  <c r="K415" i="3"/>
  <c r="K447" i="3"/>
  <c r="N447" i="3"/>
  <c r="M447" i="3"/>
  <c r="L447" i="3"/>
  <c r="M471" i="3"/>
  <c r="L471" i="3"/>
  <c r="K471" i="3"/>
  <c r="N471" i="3"/>
  <c r="N256" i="3"/>
  <c r="M256" i="3"/>
  <c r="L256" i="3"/>
  <c r="K256" i="3"/>
  <c r="N57" i="3"/>
  <c r="M57" i="3"/>
  <c r="L57" i="3"/>
  <c r="K57" i="3"/>
  <c r="N65" i="3"/>
  <c r="M65" i="3"/>
  <c r="L65" i="3"/>
  <c r="K65" i="3"/>
  <c r="N73" i="3"/>
  <c r="M73" i="3"/>
  <c r="L73" i="3"/>
  <c r="K73" i="3"/>
  <c r="N81" i="3"/>
  <c r="M81" i="3"/>
  <c r="L81" i="3"/>
  <c r="K81" i="3"/>
  <c r="N89" i="3"/>
  <c r="M89" i="3"/>
  <c r="L89" i="3"/>
  <c r="K89" i="3"/>
  <c r="N97" i="3"/>
  <c r="M97" i="3"/>
  <c r="L97" i="3"/>
  <c r="K97" i="3"/>
  <c r="N105" i="3"/>
  <c r="M105" i="3"/>
  <c r="L105" i="3"/>
  <c r="K105" i="3"/>
  <c r="N113" i="3"/>
  <c r="M113" i="3"/>
  <c r="L113" i="3"/>
  <c r="K113" i="3"/>
  <c r="N121" i="3"/>
  <c r="M121" i="3"/>
  <c r="L121" i="3"/>
  <c r="K121" i="3"/>
  <c r="N129" i="3"/>
  <c r="M129" i="3"/>
  <c r="L129" i="3"/>
  <c r="K129" i="3"/>
  <c r="N137" i="3"/>
  <c r="M137" i="3"/>
  <c r="L137" i="3"/>
  <c r="K137" i="3"/>
  <c r="N145" i="3"/>
  <c r="M145" i="3"/>
  <c r="L145" i="3"/>
  <c r="K145" i="3"/>
  <c r="N153" i="3"/>
  <c r="M153" i="3"/>
  <c r="L153" i="3"/>
  <c r="K153" i="3"/>
  <c r="N161" i="3"/>
  <c r="M161" i="3"/>
  <c r="L161" i="3"/>
  <c r="K161" i="3"/>
  <c r="N169" i="3"/>
  <c r="M169" i="3"/>
  <c r="L169" i="3"/>
  <c r="K169" i="3"/>
  <c r="N177" i="3"/>
  <c r="M177" i="3"/>
  <c r="L177" i="3"/>
  <c r="K177" i="3"/>
  <c r="N185" i="3"/>
  <c r="M185" i="3"/>
  <c r="L185" i="3"/>
  <c r="K185" i="3"/>
  <c r="N193" i="3"/>
  <c r="M193" i="3"/>
  <c r="L193" i="3"/>
  <c r="K193" i="3"/>
  <c r="N201" i="3"/>
  <c r="M201" i="3"/>
  <c r="L201" i="3"/>
  <c r="K201" i="3"/>
  <c r="N209" i="3"/>
  <c r="M209" i="3"/>
  <c r="L209" i="3"/>
  <c r="K209" i="3"/>
  <c r="N217" i="3"/>
  <c r="M217" i="3"/>
  <c r="L217" i="3"/>
  <c r="K217" i="3"/>
  <c r="N225" i="3"/>
  <c r="M225" i="3"/>
  <c r="L225" i="3"/>
  <c r="K225" i="3"/>
  <c r="N233" i="3"/>
  <c r="M233" i="3"/>
  <c r="L233" i="3"/>
  <c r="K233" i="3"/>
  <c r="N241" i="3"/>
  <c r="M241" i="3"/>
  <c r="L241" i="3"/>
  <c r="K241" i="3"/>
  <c r="N249" i="3"/>
  <c r="M249" i="3"/>
  <c r="L249" i="3"/>
  <c r="K249" i="3"/>
  <c r="N257" i="3"/>
  <c r="M257" i="3"/>
  <c r="L257" i="3"/>
  <c r="K257" i="3"/>
  <c r="N265" i="3"/>
  <c r="M265" i="3"/>
  <c r="L265" i="3"/>
  <c r="K265" i="3"/>
  <c r="N273" i="3"/>
  <c r="M273" i="3"/>
  <c r="L273" i="3"/>
  <c r="K273" i="3"/>
  <c r="N281" i="3"/>
  <c r="M281" i="3"/>
  <c r="L281" i="3"/>
  <c r="K281" i="3"/>
  <c r="N289" i="3"/>
  <c r="M289" i="3"/>
  <c r="L289" i="3"/>
  <c r="K289" i="3"/>
  <c r="N297" i="3"/>
  <c r="M297" i="3"/>
  <c r="L297" i="3"/>
  <c r="K297" i="3"/>
  <c r="N305" i="3"/>
  <c r="M305" i="3"/>
  <c r="L305" i="3"/>
  <c r="K305" i="3"/>
  <c r="N313" i="3"/>
  <c r="M313" i="3"/>
  <c r="L313" i="3"/>
  <c r="K313" i="3"/>
  <c r="N321" i="3"/>
  <c r="M321" i="3"/>
  <c r="L321" i="3"/>
  <c r="K321" i="3"/>
  <c r="N329" i="3"/>
  <c r="M329" i="3"/>
  <c r="K329" i="3"/>
  <c r="L329" i="3"/>
  <c r="K337" i="3"/>
  <c r="L337" i="3"/>
  <c r="M337" i="3"/>
  <c r="N337" i="3"/>
  <c r="K345" i="3"/>
  <c r="N345" i="3"/>
  <c r="M345" i="3"/>
  <c r="L345" i="3"/>
  <c r="K353" i="3"/>
  <c r="N353" i="3"/>
  <c r="M353" i="3"/>
  <c r="L353" i="3"/>
  <c r="K361" i="3"/>
  <c r="L361" i="3"/>
  <c r="M361" i="3"/>
  <c r="N361" i="3"/>
  <c r="K369" i="3"/>
  <c r="M369" i="3"/>
  <c r="L369" i="3"/>
  <c r="N369" i="3"/>
  <c r="K377" i="3"/>
  <c r="N377" i="3"/>
  <c r="M377" i="3"/>
  <c r="L377" i="3"/>
  <c r="K385" i="3"/>
  <c r="N385" i="3"/>
  <c r="M385" i="3"/>
  <c r="L385" i="3"/>
  <c r="K393" i="3"/>
  <c r="N393" i="3"/>
  <c r="M393" i="3"/>
  <c r="L393" i="3"/>
  <c r="K401" i="3"/>
  <c r="N401" i="3"/>
  <c r="L401" i="3"/>
  <c r="M401" i="3"/>
  <c r="K409" i="3"/>
  <c r="L409" i="3"/>
  <c r="N409" i="3"/>
  <c r="M409" i="3"/>
  <c r="K417" i="3"/>
  <c r="N417" i="3"/>
  <c r="L417" i="3"/>
  <c r="M417" i="3"/>
  <c r="K425" i="3"/>
  <c r="L425" i="3"/>
  <c r="N425" i="3"/>
  <c r="M425" i="3"/>
  <c r="K433" i="3"/>
  <c r="M433" i="3"/>
  <c r="L433" i="3"/>
  <c r="N433" i="3"/>
  <c r="K441" i="3"/>
  <c r="N441" i="3"/>
  <c r="M441" i="3"/>
  <c r="L441" i="3"/>
  <c r="K449" i="3"/>
  <c r="N449" i="3"/>
  <c r="M449" i="3"/>
  <c r="L449" i="3"/>
  <c r="K457" i="3"/>
  <c r="N457" i="3"/>
  <c r="L457" i="3"/>
  <c r="M457" i="3"/>
  <c r="K465" i="3"/>
  <c r="N465" i="3"/>
  <c r="M465" i="3"/>
  <c r="L465" i="3"/>
  <c r="K473" i="3"/>
  <c r="M473" i="3"/>
  <c r="L473" i="3"/>
  <c r="N473" i="3"/>
  <c r="K481" i="3"/>
  <c r="L481" i="3"/>
  <c r="M481" i="3"/>
  <c r="N481" i="3"/>
  <c r="K489" i="3"/>
  <c r="L489" i="3"/>
  <c r="M489" i="3"/>
  <c r="N489" i="3"/>
  <c r="K497" i="3"/>
  <c r="M497" i="3"/>
  <c r="L497" i="3"/>
  <c r="N497" i="3"/>
  <c r="N127" i="3"/>
  <c r="M127" i="3"/>
  <c r="L127" i="3"/>
  <c r="K127" i="3"/>
  <c r="N63" i="3"/>
  <c r="M63" i="3"/>
  <c r="L63" i="3"/>
  <c r="K63" i="3"/>
  <c r="N95" i="3"/>
  <c r="M95" i="3"/>
  <c r="L95" i="3"/>
  <c r="K95" i="3"/>
  <c r="N135" i="3"/>
  <c r="M135" i="3"/>
  <c r="L135" i="3"/>
  <c r="K135" i="3"/>
  <c r="N167" i="3"/>
  <c r="M167" i="3"/>
  <c r="L167" i="3"/>
  <c r="K167" i="3"/>
  <c r="N199" i="3"/>
  <c r="M199" i="3"/>
  <c r="L199" i="3"/>
  <c r="K199" i="3"/>
  <c r="N231" i="3"/>
  <c r="M231" i="3"/>
  <c r="L231" i="3"/>
  <c r="K231" i="3"/>
  <c r="N263" i="3"/>
  <c r="M263" i="3"/>
  <c r="L263" i="3"/>
  <c r="K263" i="3"/>
  <c r="N295" i="3"/>
  <c r="M295" i="3"/>
  <c r="L295" i="3"/>
  <c r="K295" i="3"/>
  <c r="N327" i="3"/>
  <c r="M327" i="3"/>
  <c r="L327" i="3"/>
  <c r="K327" i="3"/>
  <c r="N351" i="3"/>
  <c r="M351" i="3"/>
  <c r="L351" i="3"/>
  <c r="K351" i="3"/>
  <c r="N375" i="3"/>
  <c r="L375" i="3"/>
  <c r="K375" i="3"/>
  <c r="M375" i="3"/>
  <c r="M407" i="3"/>
  <c r="L407" i="3"/>
  <c r="K407" i="3"/>
  <c r="N407" i="3"/>
  <c r="L439" i="3"/>
  <c r="K439" i="3"/>
  <c r="N439" i="3"/>
  <c r="M439" i="3"/>
  <c r="K455" i="3"/>
  <c r="N455" i="3"/>
  <c r="M455" i="3"/>
  <c r="L455" i="3"/>
  <c r="N487" i="3"/>
  <c r="M487" i="3"/>
  <c r="K487" i="3"/>
  <c r="L487" i="3"/>
  <c r="L64" i="3"/>
  <c r="N64" i="3"/>
  <c r="M64" i="3"/>
  <c r="K64" i="3"/>
  <c r="L88" i="3"/>
  <c r="K88" i="3"/>
  <c r="N88" i="3"/>
  <c r="M88" i="3"/>
  <c r="N112" i="3"/>
  <c r="M112" i="3"/>
  <c r="L112" i="3"/>
  <c r="K112" i="3"/>
  <c r="L136" i="3"/>
  <c r="K136" i="3"/>
  <c r="N136" i="3"/>
  <c r="M136" i="3"/>
  <c r="M160" i="3"/>
  <c r="L160" i="3"/>
  <c r="N160" i="3"/>
  <c r="K160" i="3"/>
  <c r="L200" i="3"/>
  <c r="K200" i="3"/>
  <c r="N200" i="3"/>
  <c r="M200" i="3"/>
  <c r="M224" i="3"/>
  <c r="N224" i="3"/>
  <c r="L224" i="3"/>
  <c r="K224" i="3"/>
  <c r="L248" i="3"/>
  <c r="M248" i="3"/>
  <c r="K248" i="3"/>
  <c r="N248" i="3"/>
  <c r="L280" i="3"/>
  <c r="K280" i="3"/>
  <c r="M280" i="3"/>
  <c r="N280" i="3"/>
  <c r="K304" i="3"/>
  <c r="N304" i="3"/>
  <c r="M304" i="3"/>
  <c r="L304" i="3"/>
  <c r="K328" i="3"/>
  <c r="M328" i="3"/>
  <c r="L328" i="3"/>
  <c r="N328" i="3"/>
  <c r="M360" i="3"/>
  <c r="L360" i="3"/>
  <c r="N360" i="3"/>
  <c r="K360" i="3"/>
  <c r="M384" i="3"/>
  <c r="L384" i="3"/>
  <c r="N384" i="3"/>
  <c r="K384" i="3"/>
  <c r="M408" i="3"/>
  <c r="L408" i="3"/>
  <c r="N408" i="3"/>
  <c r="K408" i="3"/>
  <c r="M432" i="3"/>
  <c r="L432" i="3"/>
  <c r="N432" i="3"/>
  <c r="K432" i="3"/>
  <c r="M456" i="3"/>
  <c r="L456" i="3"/>
  <c r="N456" i="3"/>
  <c r="K456" i="3"/>
  <c r="M480" i="3"/>
  <c r="L480" i="3"/>
  <c r="N480" i="3"/>
  <c r="K480" i="3"/>
  <c r="N58" i="3"/>
  <c r="K58" i="3"/>
  <c r="M58" i="3"/>
  <c r="L58" i="3"/>
  <c r="N74" i="3"/>
  <c r="L74" i="3"/>
  <c r="M74" i="3"/>
  <c r="K74" i="3"/>
  <c r="K82" i="3"/>
  <c r="N82" i="3"/>
  <c r="M82" i="3"/>
  <c r="L82" i="3"/>
  <c r="K98" i="3"/>
  <c r="N98" i="3"/>
  <c r="M98" i="3"/>
  <c r="L98" i="3"/>
  <c r="K114" i="3"/>
  <c r="N114" i="3"/>
  <c r="M114" i="3"/>
  <c r="L114" i="3"/>
  <c r="K130" i="3"/>
  <c r="M130" i="3"/>
  <c r="N130" i="3"/>
  <c r="L130" i="3"/>
  <c r="K146" i="3"/>
  <c r="N146" i="3"/>
  <c r="M146" i="3"/>
  <c r="L146" i="3"/>
  <c r="K162" i="3"/>
  <c r="N162" i="3"/>
  <c r="M162" i="3"/>
  <c r="L162" i="3"/>
  <c r="K178" i="3"/>
  <c r="L178" i="3"/>
  <c r="N178" i="3"/>
  <c r="M178" i="3"/>
  <c r="K194" i="3"/>
  <c r="N194" i="3"/>
  <c r="M194" i="3"/>
  <c r="L194" i="3"/>
  <c r="K210" i="3"/>
  <c r="N210" i="3"/>
  <c r="M210" i="3"/>
  <c r="L210" i="3"/>
  <c r="K226" i="3"/>
  <c r="N226" i="3"/>
  <c r="M226" i="3"/>
  <c r="L226" i="3"/>
  <c r="K242" i="3"/>
  <c r="L242" i="3"/>
  <c r="N242" i="3"/>
  <c r="M242" i="3"/>
  <c r="K258" i="3"/>
  <c r="N258" i="3"/>
  <c r="M258" i="3"/>
  <c r="L258" i="3"/>
  <c r="K274" i="3"/>
  <c r="L274" i="3"/>
  <c r="N274" i="3"/>
  <c r="M274" i="3"/>
  <c r="N282" i="3"/>
  <c r="L282" i="3"/>
  <c r="M282" i="3"/>
  <c r="K282" i="3"/>
  <c r="K298" i="3"/>
  <c r="N298" i="3"/>
  <c r="L298" i="3"/>
  <c r="M298" i="3"/>
  <c r="K306" i="3"/>
  <c r="L306" i="3"/>
  <c r="M306" i="3"/>
  <c r="N306" i="3"/>
  <c r="K322" i="3"/>
  <c r="L322" i="3"/>
  <c r="N322" i="3"/>
  <c r="M322" i="3"/>
  <c r="M338" i="3"/>
  <c r="L338" i="3"/>
  <c r="N338" i="3"/>
  <c r="K338" i="3"/>
  <c r="M362" i="3"/>
  <c r="L362" i="3"/>
  <c r="N362" i="3"/>
  <c r="K362" i="3"/>
  <c r="M378" i="3"/>
  <c r="L378" i="3"/>
  <c r="K378" i="3"/>
  <c r="N378" i="3"/>
  <c r="M394" i="3"/>
  <c r="L394" i="3"/>
  <c r="N394" i="3"/>
  <c r="K394" i="3"/>
  <c r="M410" i="3"/>
  <c r="L410" i="3"/>
  <c r="N410" i="3"/>
  <c r="K410" i="3"/>
  <c r="M426" i="3"/>
  <c r="L426" i="3"/>
  <c r="N426" i="3"/>
  <c r="K426" i="3"/>
  <c r="M434" i="3"/>
  <c r="L434" i="3"/>
  <c r="K434" i="3"/>
  <c r="N434" i="3"/>
  <c r="M450" i="3"/>
  <c r="L450" i="3"/>
  <c r="K450" i="3"/>
  <c r="N450" i="3"/>
  <c r="M458" i="3"/>
  <c r="L458" i="3"/>
  <c r="N458" i="3"/>
  <c r="K458" i="3"/>
  <c r="M474" i="3"/>
  <c r="L474" i="3"/>
  <c r="N474" i="3"/>
  <c r="K474" i="3"/>
  <c r="M482" i="3"/>
  <c r="L482" i="3"/>
  <c r="N482" i="3"/>
  <c r="K482" i="3"/>
  <c r="M490" i="3"/>
  <c r="L490" i="3"/>
  <c r="N490" i="3"/>
  <c r="K490" i="3"/>
  <c r="N67" i="3"/>
  <c r="M67" i="3"/>
  <c r="L67" i="3"/>
  <c r="K67" i="3"/>
  <c r="N83" i="3"/>
  <c r="M83" i="3"/>
  <c r="L83" i="3"/>
  <c r="K83" i="3"/>
  <c r="N99" i="3"/>
  <c r="M99" i="3"/>
  <c r="L99" i="3"/>
  <c r="K99" i="3"/>
  <c r="N115" i="3"/>
  <c r="M115" i="3"/>
  <c r="L115" i="3"/>
  <c r="K115" i="3"/>
  <c r="N131" i="3"/>
  <c r="M131" i="3"/>
  <c r="L131" i="3"/>
  <c r="K131" i="3"/>
  <c r="N147" i="3"/>
  <c r="M147" i="3"/>
  <c r="L147" i="3"/>
  <c r="K147" i="3"/>
  <c r="N163" i="3"/>
  <c r="M163" i="3"/>
  <c r="L163" i="3"/>
  <c r="K163" i="3"/>
  <c r="N179" i="3"/>
  <c r="M179" i="3"/>
  <c r="L179" i="3"/>
  <c r="K179" i="3"/>
  <c r="N195" i="3"/>
  <c r="M195" i="3"/>
  <c r="L195" i="3"/>
  <c r="K195" i="3"/>
  <c r="N211" i="3"/>
  <c r="M211" i="3"/>
  <c r="L211" i="3"/>
  <c r="K211" i="3"/>
  <c r="N227" i="3"/>
  <c r="M227" i="3"/>
  <c r="L227" i="3"/>
  <c r="K227" i="3"/>
  <c r="N243" i="3"/>
  <c r="M243" i="3"/>
  <c r="L243" i="3"/>
  <c r="K243" i="3"/>
  <c r="N259" i="3"/>
  <c r="M259" i="3"/>
  <c r="L259" i="3"/>
  <c r="K259" i="3"/>
  <c r="N275" i="3"/>
  <c r="M275" i="3"/>
  <c r="L275" i="3"/>
  <c r="K275" i="3"/>
  <c r="N291" i="3"/>
  <c r="M291" i="3"/>
  <c r="L291" i="3"/>
  <c r="K291" i="3"/>
  <c r="N307" i="3"/>
  <c r="M307" i="3"/>
  <c r="L307" i="3"/>
  <c r="K307" i="3"/>
  <c r="N323" i="3"/>
  <c r="M323" i="3"/>
  <c r="L323" i="3"/>
  <c r="K323" i="3"/>
  <c r="M339" i="3"/>
  <c r="L339" i="3"/>
  <c r="K339" i="3"/>
  <c r="N339" i="3"/>
  <c r="M355" i="3"/>
  <c r="L355" i="3"/>
  <c r="K355" i="3"/>
  <c r="N355" i="3"/>
  <c r="M371" i="3"/>
  <c r="L371" i="3"/>
  <c r="K371" i="3"/>
  <c r="N371" i="3"/>
  <c r="M387" i="3"/>
  <c r="L387" i="3"/>
  <c r="K387" i="3"/>
  <c r="N387" i="3"/>
  <c r="M403" i="3"/>
  <c r="L403" i="3"/>
  <c r="K403" i="3"/>
  <c r="N403" i="3"/>
  <c r="M419" i="3"/>
  <c r="L419" i="3"/>
  <c r="K419" i="3"/>
  <c r="N419" i="3"/>
  <c r="M435" i="3"/>
  <c r="L435" i="3"/>
  <c r="K435" i="3"/>
  <c r="N435" i="3"/>
  <c r="M451" i="3"/>
  <c r="L451" i="3"/>
  <c r="K451" i="3"/>
  <c r="N451" i="3"/>
  <c r="M467" i="3"/>
  <c r="L467" i="3"/>
  <c r="K467" i="3"/>
  <c r="N467" i="3"/>
  <c r="M483" i="3"/>
  <c r="L483" i="3"/>
  <c r="K483" i="3"/>
  <c r="N483" i="3"/>
  <c r="M491" i="3"/>
  <c r="L491" i="3"/>
  <c r="K491" i="3"/>
  <c r="N491" i="3"/>
  <c r="M60" i="3"/>
  <c r="N60" i="3"/>
  <c r="L60" i="3"/>
  <c r="K60" i="3"/>
  <c r="N68" i="3"/>
  <c r="M68" i="3"/>
  <c r="K68" i="3"/>
  <c r="L68" i="3"/>
  <c r="N76" i="3"/>
  <c r="M76" i="3"/>
  <c r="L76" i="3"/>
  <c r="K76" i="3"/>
  <c r="N84" i="3"/>
  <c r="M84" i="3"/>
  <c r="K84" i="3"/>
  <c r="L84" i="3"/>
  <c r="M92" i="3"/>
  <c r="L92" i="3"/>
  <c r="N92" i="3"/>
  <c r="K92" i="3"/>
  <c r="N100" i="3"/>
  <c r="M100" i="3"/>
  <c r="L100" i="3"/>
  <c r="K100" i="3"/>
  <c r="N108" i="3"/>
  <c r="M108" i="3"/>
  <c r="L108" i="3"/>
  <c r="K108" i="3"/>
  <c r="N116" i="3"/>
  <c r="M116" i="3"/>
  <c r="K116" i="3"/>
  <c r="L116" i="3"/>
  <c r="N124" i="3"/>
  <c r="L124" i="3"/>
  <c r="M124" i="3"/>
  <c r="K124" i="3"/>
  <c r="N132" i="3"/>
  <c r="M132" i="3"/>
  <c r="L132" i="3"/>
  <c r="K132" i="3"/>
  <c r="N140" i="3"/>
  <c r="M140" i="3"/>
  <c r="L140" i="3"/>
  <c r="K140" i="3"/>
  <c r="N148" i="3"/>
  <c r="M148" i="3"/>
  <c r="K148" i="3"/>
  <c r="L148" i="3"/>
  <c r="M156" i="3"/>
  <c r="L156" i="3"/>
  <c r="K156" i="3"/>
  <c r="N156" i="3"/>
  <c r="N164" i="3"/>
  <c r="M164" i="3"/>
  <c r="L164" i="3"/>
  <c r="K164" i="3"/>
  <c r="N172" i="3"/>
  <c r="M172" i="3"/>
  <c r="L172" i="3"/>
  <c r="K172" i="3"/>
  <c r="N180" i="3"/>
  <c r="M180" i="3"/>
  <c r="K180" i="3"/>
  <c r="L180" i="3"/>
  <c r="K188" i="3"/>
  <c r="M188" i="3"/>
  <c r="L188" i="3"/>
  <c r="N188" i="3"/>
  <c r="N196" i="3"/>
  <c r="M196" i="3"/>
  <c r="L196" i="3"/>
  <c r="K196" i="3"/>
  <c r="N204" i="3"/>
  <c r="K204" i="3"/>
  <c r="M204" i="3"/>
  <c r="L204" i="3"/>
  <c r="N212" i="3"/>
  <c r="M212" i="3"/>
  <c r="K212" i="3"/>
  <c r="L212" i="3"/>
  <c r="K220" i="3"/>
  <c r="N220" i="3"/>
  <c r="M220" i="3"/>
  <c r="L220" i="3"/>
  <c r="N228" i="3"/>
  <c r="M228" i="3"/>
  <c r="L228" i="3"/>
  <c r="K228" i="3"/>
  <c r="N236" i="3"/>
  <c r="M236" i="3"/>
  <c r="K236" i="3"/>
  <c r="L236" i="3"/>
  <c r="N244" i="3"/>
  <c r="M244" i="3"/>
  <c r="K244" i="3"/>
  <c r="L244" i="3"/>
  <c r="K252" i="3"/>
  <c r="N252" i="3"/>
  <c r="M252" i="3"/>
  <c r="L252" i="3"/>
  <c r="N260" i="3"/>
  <c r="M260" i="3"/>
  <c r="K260" i="3"/>
  <c r="L260" i="3"/>
  <c r="K268" i="3"/>
  <c r="N268" i="3"/>
  <c r="M268" i="3"/>
  <c r="L268" i="3"/>
  <c r="N276" i="3"/>
  <c r="M276" i="3"/>
  <c r="K276" i="3"/>
  <c r="L276" i="3"/>
  <c r="K284" i="3"/>
  <c r="N284" i="3"/>
  <c r="M284" i="3"/>
  <c r="L284" i="3"/>
  <c r="K292" i="3"/>
  <c r="N292" i="3"/>
  <c r="M292" i="3"/>
  <c r="L292" i="3"/>
  <c r="K300" i="3"/>
  <c r="M300" i="3"/>
  <c r="N300" i="3"/>
  <c r="L300" i="3"/>
  <c r="K308" i="3"/>
  <c r="N308" i="3"/>
  <c r="M308" i="3"/>
  <c r="L308" i="3"/>
  <c r="K316" i="3"/>
  <c r="L316" i="3"/>
  <c r="M316" i="3"/>
  <c r="N316" i="3"/>
  <c r="K324" i="3"/>
  <c r="N324" i="3"/>
  <c r="M324" i="3"/>
  <c r="L324" i="3"/>
  <c r="K332" i="3"/>
  <c r="L332" i="3"/>
  <c r="N332" i="3"/>
  <c r="M332" i="3"/>
  <c r="M340" i="3"/>
  <c r="L340" i="3"/>
  <c r="N340" i="3"/>
  <c r="K340" i="3"/>
  <c r="M348" i="3"/>
  <c r="L348" i="3"/>
  <c r="K348" i="3"/>
  <c r="N348" i="3"/>
  <c r="M356" i="3"/>
  <c r="L356" i="3"/>
  <c r="N356" i="3"/>
  <c r="K356" i="3"/>
  <c r="M364" i="3"/>
  <c r="L364" i="3"/>
  <c r="N364" i="3"/>
  <c r="K364" i="3"/>
  <c r="M372" i="3"/>
  <c r="L372" i="3"/>
  <c r="N372" i="3"/>
  <c r="K372" i="3"/>
  <c r="M380" i="3"/>
  <c r="L380" i="3"/>
  <c r="N380" i="3"/>
  <c r="K380" i="3"/>
  <c r="M388" i="3"/>
  <c r="L388" i="3"/>
  <c r="N388" i="3"/>
  <c r="K388" i="3"/>
  <c r="M396" i="3"/>
  <c r="L396" i="3"/>
  <c r="N396" i="3"/>
  <c r="K396" i="3"/>
  <c r="M404" i="3"/>
  <c r="L404" i="3"/>
  <c r="N404" i="3"/>
  <c r="K404" i="3"/>
  <c r="M412" i="3"/>
  <c r="L412" i="3"/>
  <c r="K412" i="3"/>
  <c r="N412" i="3"/>
  <c r="M420" i="3"/>
  <c r="L420" i="3"/>
  <c r="N420" i="3"/>
  <c r="K420" i="3"/>
  <c r="M428" i="3"/>
  <c r="L428" i="3"/>
  <c r="N428" i="3"/>
  <c r="K428" i="3"/>
  <c r="M436" i="3"/>
  <c r="L436" i="3"/>
  <c r="N436" i="3"/>
  <c r="K436" i="3"/>
  <c r="M444" i="3"/>
  <c r="L444" i="3"/>
  <c r="N444" i="3"/>
  <c r="K444" i="3"/>
  <c r="M452" i="3"/>
  <c r="L452" i="3"/>
  <c r="N452" i="3"/>
  <c r="K452" i="3"/>
  <c r="M460" i="3"/>
  <c r="L460" i="3"/>
  <c r="K460" i="3"/>
  <c r="N460" i="3"/>
  <c r="M468" i="3"/>
  <c r="L468" i="3"/>
  <c r="N468" i="3"/>
  <c r="K468" i="3"/>
  <c r="M476" i="3"/>
  <c r="L476" i="3"/>
  <c r="K476" i="3"/>
  <c r="N476" i="3"/>
  <c r="M484" i="3"/>
  <c r="L484" i="3"/>
  <c r="N484" i="3"/>
  <c r="K484" i="3"/>
  <c r="M492" i="3"/>
  <c r="L492" i="3"/>
  <c r="N492" i="3"/>
  <c r="K492" i="3"/>
  <c r="M500" i="3"/>
  <c r="L500" i="3"/>
  <c r="N500" i="3"/>
  <c r="K500" i="3"/>
  <c r="N71" i="3"/>
  <c r="M71" i="3"/>
  <c r="L71" i="3"/>
  <c r="K71" i="3"/>
  <c r="N103" i="3"/>
  <c r="M103" i="3"/>
  <c r="L103" i="3"/>
  <c r="K103" i="3"/>
  <c r="N143" i="3"/>
  <c r="M143" i="3"/>
  <c r="L143" i="3"/>
  <c r="K143" i="3"/>
  <c r="N175" i="3"/>
  <c r="M175" i="3"/>
  <c r="L175" i="3"/>
  <c r="K175" i="3"/>
  <c r="N207" i="3"/>
  <c r="M207" i="3"/>
  <c r="L207" i="3"/>
  <c r="K207" i="3"/>
  <c r="N247" i="3"/>
  <c r="M247" i="3"/>
  <c r="L247" i="3"/>
  <c r="K247" i="3"/>
  <c r="N279" i="3"/>
  <c r="M279" i="3"/>
  <c r="L279" i="3"/>
  <c r="K279" i="3"/>
  <c r="N311" i="3"/>
  <c r="M311" i="3"/>
  <c r="L311" i="3"/>
  <c r="K311" i="3"/>
  <c r="M343" i="3"/>
  <c r="L343" i="3"/>
  <c r="K343" i="3"/>
  <c r="N343" i="3"/>
  <c r="N383" i="3"/>
  <c r="M383" i="3"/>
  <c r="L383" i="3"/>
  <c r="K383" i="3"/>
  <c r="N423" i="3"/>
  <c r="M423" i="3"/>
  <c r="L423" i="3"/>
  <c r="K423" i="3"/>
  <c r="L463" i="3"/>
  <c r="K463" i="3"/>
  <c r="M463" i="3"/>
  <c r="N463" i="3"/>
  <c r="N495" i="3"/>
  <c r="M495" i="3"/>
  <c r="L495" i="3"/>
  <c r="K495" i="3"/>
  <c r="L56" i="3"/>
  <c r="K56" i="3"/>
  <c r="N56" i="3"/>
  <c r="M56" i="3"/>
  <c r="M80" i="3"/>
  <c r="K80" i="3"/>
  <c r="N80" i="3"/>
  <c r="L80" i="3"/>
  <c r="L104" i="3"/>
  <c r="K104" i="3"/>
  <c r="N104" i="3"/>
  <c r="M104" i="3"/>
  <c r="M128" i="3"/>
  <c r="K128" i="3"/>
  <c r="N128" i="3"/>
  <c r="L128" i="3"/>
  <c r="L152" i="3"/>
  <c r="K152" i="3"/>
  <c r="N152" i="3"/>
  <c r="M152" i="3"/>
  <c r="K176" i="3"/>
  <c r="N176" i="3"/>
  <c r="M176" i="3"/>
  <c r="L176" i="3"/>
  <c r="L184" i="3"/>
  <c r="K184" i="3"/>
  <c r="M184" i="3"/>
  <c r="N184" i="3"/>
  <c r="K208" i="3"/>
  <c r="N208" i="3"/>
  <c r="M208" i="3"/>
  <c r="L208" i="3"/>
  <c r="L232" i="3"/>
  <c r="M232" i="3"/>
  <c r="K232" i="3"/>
  <c r="N232" i="3"/>
  <c r="L264" i="3"/>
  <c r="M264" i="3"/>
  <c r="K264" i="3"/>
  <c r="N264" i="3"/>
  <c r="M288" i="3"/>
  <c r="N288" i="3"/>
  <c r="L288" i="3"/>
  <c r="K288" i="3"/>
  <c r="K312" i="3"/>
  <c r="M312" i="3"/>
  <c r="L312" i="3"/>
  <c r="N312" i="3"/>
  <c r="M336" i="3"/>
  <c r="L336" i="3"/>
  <c r="N336" i="3"/>
  <c r="K336" i="3"/>
  <c r="M352" i="3"/>
  <c r="L352" i="3"/>
  <c r="N352" i="3"/>
  <c r="K352" i="3"/>
  <c r="M376" i="3"/>
  <c r="L376" i="3"/>
  <c r="N376" i="3"/>
  <c r="K376" i="3"/>
  <c r="M400" i="3"/>
  <c r="L400" i="3"/>
  <c r="N400" i="3"/>
  <c r="K400" i="3"/>
  <c r="M424" i="3"/>
  <c r="L424" i="3"/>
  <c r="N424" i="3"/>
  <c r="K424" i="3"/>
  <c r="M448" i="3"/>
  <c r="L448" i="3"/>
  <c r="N448" i="3"/>
  <c r="K448" i="3"/>
  <c r="M464" i="3"/>
  <c r="L464" i="3"/>
  <c r="N464" i="3"/>
  <c r="K464" i="3"/>
  <c r="M488" i="3"/>
  <c r="L488" i="3"/>
  <c r="N488" i="3"/>
  <c r="K488" i="3"/>
  <c r="K66" i="3"/>
  <c r="N66" i="3"/>
  <c r="M66" i="3"/>
  <c r="L66" i="3"/>
  <c r="N90" i="3"/>
  <c r="L90" i="3"/>
  <c r="K90" i="3"/>
  <c r="M90" i="3"/>
  <c r="N106" i="3"/>
  <c r="M106" i="3"/>
  <c r="L106" i="3"/>
  <c r="K106" i="3"/>
  <c r="N122" i="3"/>
  <c r="L122" i="3"/>
  <c r="M122" i="3"/>
  <c r="K122" i="3"/>
  <c r="N138" i="3"/>
  <c r="M138" i="3"/>
  <c r="L138" i="3"/>
  <c r="K138" i="3"/>
  <c r="N154" i="3"/>
  <c r="L154" i="3"/>
  <c r="K154" i="3"/>
  <c r="M154" i="3"/>
  <c r="N170" i="3"/>
  <c r="M170" i="3"/>
  <c r="L170" i="3"/>
  <c r="K170" i="3"/>
  <c r="N186" i="3"/>
  <c r="L186" i="3"/>
  <c r="K186" i="3"/>
  <c r="M186" i="3"/>
  <c r="N202" i="3"/>
  <c r="M202" i="3"/>
  <c r="L202" i="3"/>
  <c r="K202" i="3"/>
  <c r="N218" i="3"/>
  <c r="L218" i="3"/>
  <c r="M218" i="3"/>
  <c r="K218" i="3"/>
  <c r="N234" i="3"/>
  <c r="M234" i="3"/>
  <c r="L234" i="3"/>
  <c r="K234" i="3"/>
  <c r="N250" i="3"/>
  <c r="L250" i="3"/>
  <c r="M250" i="3"/>
  <c r="K250" i="3"/>
  <c r="N266" i="3"/>
  <c r="L266" i="3"/>
  <c r="K266" i="3"/>
  <c r="M266" i="3"/>
  <c r="L290" i="3"/>
  <c r="K290" i="3"/>
  <c r="M290" i="3"/>
  <c r="N290" i="3"/>
  <c r="K314" i="3"/>
  <c r="N314" i="3"/>
  <c r="M314" i="3"/>
  <c r="L314" i="3"/>
  <c r="K330" i="3"/>
  <c r="N330" i="3"/>
  <c r="M330" i="3"/>
  <c r="L330" i="3"/>
  <c r="M346" i="3"/>
  <c r="L346" i="3"/>
  <c r="N346" i="3"/>
  <c r="K346" i="3"/>
  <c r="M354" i="3"/>
  <c r="L354" i="3"/>
  <c r="K354" i="3"/>
  <c r="N354" i="3"/>
  <c r="M370" i="3"/>
  <c r="L370" i="3"/>
  <c r="N370" i="3"/>
  <c r="K370" i="3"/>
  <c r="M386" i="3"/>
  <c r="L386" i="3"/>
  <c r="K386" i="3"/>
  <c r="N386" i="3"/>
  <c r="M402" i="3"/>
  <c r="L402" i="3"/>
  <c r="N402" i="3"/>
  <c r="K402" i="3"/>
  <c r="M418" i="3"/>
  <c r="L418" i="3"/>
  <c r="K418" i="3"/>
  <c r="N418" i="3"/>
  <c r="M442" i="3"/>
  <c r="L442" i="3"/>
  <c r="N442" i="3"/>
  <c r="K442" i="3"/>
  <c r="M466" i="3"/>
  <c r="L466" i="3"/>
  <c r="N466" i="3"/>
  <c r="K466" i="3"/>
  <c r="M498" i="3"/>
  <c r="L498" i="3"/>
  <c r="N498" i="3"/>
  <c r="K498" i="3"/>
  <c r="N59" i="3"/>
  <c r="M59" i="3"/>
  <c r="L59" i="3"/>
  <c r="K59" i="3"/>
  <c r="N75" i="3"/>
  <c r="M75" i="3"/>
  <c r="L75" i="3"/>
  <c r="K75" i="3"/>
  <c r="N91" i="3"/>
  <c r="M91" i="3"/>
  <c r="L91" i="3"/>
  <c r="K91" i="3"/>
  <c r="N107" i="3"/>
  <c r="M107" i="3"/>
  <c r="L107" i="3"/>
  <c r="K107" i="3"/>
  <c r="N123" i="3"/>
  <c r="M123" i="3"/>
  <c r="L123" i="3"/>
  <c r="K123" i="3"/>
  <c r="N139" i="3"/>
  <c r="M139" i="3"/>
  <c r="L139" i="3"/>
  <c r="K139" i="3"/>
  <c r="N155" i="3"/>
  <c r="M155" i="3"/>
  <c r="L155" i="3"/>
  <c r="K155" i="3"/>
  <c r="N171" i="3"/>
  <c r="M171" i="3"/>
  <c r="L171" i="3"/>
  <c r="K171" i="3"/>
  <c r="N187" i="3"/>
  <c r="M187" i="3"/>
  <c r="L187" i="3"/>
  <c r="K187" i="3"/>
  <c r="N203" i="3"/>
  <c r="M203" i="3"/>
  <c r="L203" i="3"/>
  <c r="K203" i="3"/>
  <c r="N219" i="3"/>
  <c r="M219" i="3"/>
  <c r="L219" i="3"/>
  <c r="K219" i="3"/>
  <c r="N235" i="3"/>
  <c r="M235" i="3"/>
  <c r="L235" i="3"/>
  <c r="K235" i="3"/>
  <c r="N251" i="3"/>
  <c r="M251" i="3"/>
  <c r="L251" i="3"/>
  <c r="K251" i="3"/>
  <c r="N267" i="3"/>
  <c r="M267" i="3"/>
  <c r="L267" i="3"/>
  <c r="K267" i="3"/>
  <c r="N283" i="3"/>
  <c r="M283" i="3"/>
  <c r="L283" i="3"/>
  <c r="K283" i="3"/>
  <c r="N299" i="3"/>
  <c r="M299" i="3"/>
  <c r="L299" i="3"/>
  <c r="K299" i="3"/>
  <c r="N315" i="3"/>
  <c r="M315" i="3"/>
  <c r="L315" i="3"/>
  <c r="K315" i="3"/>
  <c r="N331" i="3"/>
  <c r="M331" i="3"/>
  <c r="L331" i="3"/>
  <c r="K331" i="3"/>
  <c r="M347" i="3"/>
  <c r="L347" i="3"/>
  <c r="K347" i="3"/>
  <c r="N347" i="3"/>
  <c r="M363" i="3"/>
  <c r="L363" i="3"/>
  <c r="K363" i="3"/>
  <c r="N363" i="3"/>
  <c r="M379" i="3"/>
  <c r="L379" i="3"/>
  <c r="K379" i="3"/>
  <c r="N379" i="3"/>
  <c r="M395" i="3"/>
  <c r="L395" i="3"/>
  <c r="K395" i="3"/>
  <c r="N395" i="3"/>
  <c r="M411" i="3"/>
  <c r="L411" i="3"/>
  <c r="K411" i="3"/>
  <c r="N411" i="3"/>
  <c r="M427" i="3"/>
  <c r="L427" i="3"/>
  <c r="K427" i="3"/>
  <c r="N427" i="3"/>
  <c r="M443" i="3"/>
  <c r="L443" i="3"/>
  <c r="K443" i="3"/>
  <c r="N443" i="3"/>
  <c r="M459" i="3"/>
  <c r="L459" i="3"/>
  <c r="K459" i="3"/>
  <c r="N459" i="3"/>
  <c r="M475" i="3"/>
  <c r="L475" i="3"/>
  <c r="K475" i="3"/>
  <c r="N475" i="3"/>
  <c r="M499" i="3"/>
  <c r="L499" i="3"/>
  <c r="K499" i="3"/>
  <c r="N499" i="3"/>
  <c r="N61" i="3"/>
  <c r="M61" i="3"/>
  <c r="L61" i="3"/>
  <c r="K61" i="3"/>
  <c r="N69" i="3"/>
  <c r="M69" i="3"/>
  <c r="L69" i="3"/>
  <c r="K69" i="3"/>
  <c r="N77" i="3"/>
  <c r="M77" i="3"/>
  <c r="L77" i="3"/>
  <c r="K77" i="3"/>
  <c r="N85" i="3"/>
  <c r="M85" i="3"/>
  <c r="L85" i="3"/>
  <c r="K85" i="3"/>
  <c r="N93" i="3"/>
  <c r="M93" i="3"/>
  <c r="L93" i="3"/>
  <c r="K93" i="3"/>
  <c r="N101" i="3"/>
  <c r="M101" i="3"/>
  <c r="L101" i="3"/>
  <c r="K101" i="3"/>
  <c r="N109" i="3"/>
  <c r="M109" i="3"/>
  <c r="L109" i="3"/>
  <c r="K109" i="3"/>
  <c r="N117" i="3"/>
  <c r="M117" i="3"/>
  <c r="L117" i="3"/>
  <c r="K117" i="3"/>
  <c r="N125" i="3"/>
  <c r="M125" i="3"/>
  <c r="L125" i="3"/>
  <c r="K125" i="3"/>
  <c r="N133" i="3"/>
  <c r="M133" i="3"/>
  <c r="L133" i="3"/>
  <c r="K133" i="3"/>
  <c r="N141" i="3"/>
  <c r="M141" i="3"/>
  <c r="L141" i="3"/>
  <c r="K141" i="3"/>
  <c r="N149" i="3"/>
  <c r="M149" i="3"/>
  <c r="L149" i="3"/>
  <c r="K149" i="3"/>
  <c r="N157" i="3"/>
  <c r="M157" i="3"/>
  <c r="L157" i="3"/>
  <c r="K157" i="3"/>
  <c r="N165" i="3"/>
  <c r="M165" i="3"/>
  <c r="L165" i="3"/>
  <c r="K165" i="3"/>
  <c r="N173" i="3"/>
  <c r="M173" i="3"/>
  <c r="L173" i="3"/>
  <c r="K173" i="3"/>
  <c r="N181" i="3"/>
  <c r="M181" i="3"/>
  <c r="L181" i="3"/>
  <c r="K181" i="3"/>
  <c r="N189" i="3"/>
  <c r="M189" i="3"/>
  <c r="L189" i="3"/>
  <c r="K189" i="3"/>
  <c r="N197" i="3"/>
  <c r="M197" i="3"/>
  <c r="L197" i="3"/>
  <c r="K197" i="3"/>
  <c r="N205" i="3"/>
  <c r="M205" i="3"/>
  <c r="L205" i="3"/>
  <c r="K205" i="3"/>
  <c r="N213" i="3"/>
  <c r="M213" i="3"/>
  <c r="L213" i="3"/>
  <c r="K213" i="3"/>
  <c r="N221" i="3"/>
  <c r="M221" i="3"/>
  <c r="L221" i="3"/>
  <c r="K221" i="3"/>
  <c r="N229" i="3"/>
  <c r="M229" i="3"/>
  <c r="L229" i="3"/>
  <c r="K229" i="3"/>
  <c r="N237" i="3"/>
  <c r="M237" i="3"/>
  <c r="L237" i="3"/>
  <c r="K237" i="3"/>
  <c r="N245" i="3"/>
  <c r="M245" i="3"/>
  <c r="L245" i="3"/>
  <c r="K245" i="3"/>
  <c r="N253" i="3"/>
  <c r="M253" i="3"/>
  <c r="L253" i="3"/>
  <c r="K253" i="3"/>
  <c r="N261" i="3"/>
  <c r="M261" i="3"/>
  <c r="L261" i="3"/>
  <c r="K261" i="3"/>
  <c r="N269" i="3"/>
  <c r="M269" i="3"/>
  <c r="L269" i="3"/>
  <c r="K269" i="3"/>
  <c r="N277" i="3"/>
  <c r="M277" i="3"/>
  <c r="L277" i="3"/>
  <c r="K277" i="3"/>
  <c r="N285" i="3"/>
  <c r="M285" i="3"/>
  <c r="L285" i="3"/>
  <c r="K285" i="3"/>
  <c r="N293" i="3"/>
  <c r="M293" i="3"/>
  <c r="K293" i="3"/>
  <c r="L293" i="3"/>
  <c r="N301" i="3"/>
  <c r="M301" i="3"/>
  <c r="L301" i="3"/>
  <c r="K301" i="3"/>
  <c r="N309" i="3"/>
  <c r="M309" i="3"/>
  <c r="K309" i="3"/>
  <c r="L309" i="3"/>
  <c r="N317" i="3"/>
  <c r="M317" i="3"/>
  <c r="L317" i="3"/>
  <c r="K317" i="3"/>
  <c r="N325" i="3"/>
  <c r="M325" i="3"/>
  <c r="K325" i="3"/>
  <c r="L325" i="3"/>
  <c r="N333" i="3"/>
  <c r="M333" i="3"/>
  <c r="L333" i="3"/>
  <c r="K333" i="3"/>
  <c r="N341" i="3"/>
  <c r="M341" i="3"/>
  <c r="K341" i="3"/>
  <c r="L341" i="3"/>
  <c r="N349" i="3"/>
  <c r="M349" i="3"/>
  <c r="L349" i="3"/>
  <c r="K349" i="3"/>
  <c r="N357" i="3"/>
  <c r="M357" i="3"/>
  <c r="L357" i="3"/>
  <c r="K357" i="3"/>
  <c r="N365" i="3"/>
  <c r="M365" i="3"/>
  <c r="K365" i="3"/>
  <c r="L365" i="3"/>
  <c r="N373" i="3"/>
  <c r="M373" i="3"/>
  <c r="L373" i="3"/>
  <c r="K373" i="3"/>
  <c r="N381" i="3"/>
  <c r="M381" i="3"/>
  <c r="L381" i="3"/>
  <c r="K381" i="3"/>
  <c r="N389" i="3"/>
  <c r="M389" i="3"/>
  <c r="L389" i="3"/>
  <c r="K389" i="3"/>
  <c r="N397" i="3"/>
  <c r="M397" i="3"/>
  <c r="L397" i="3"/>
  <c r="K397" i="3"/>
  <c r="N405" i="3"/>
  <c r="M405" i="3"/>
  <c r="K405" i="3"/>
  <c r="L405" i="3"/>
  <c r="N413" i="3"/>
  <c r="M413" i="3"/>
  <c r="L413" i="3"/>
  <c r="K413" i="3"/>
  <c r="N421" i="3"/>
  <c r="M421" i="3"/>
  <c r="K421" i="3"/>
  <c r="L421" i="3"/>
  <c r="N429" i="3"/>
  <c r="M429" i="3"/>
  <c r="K429" i="3"/>
  <c r="L429" i="3"/>
  <c r="N437" i="3"/>
  <c r="M437" i="3"/>
  <c r="L437" i="3"/>
  <c r="K437" i="3"/>
  <c r="N445" i="3"/>
  <c r="M445" i="3"/>
  <c r="L445" i="3"/>
  <c r="K445" i="3"/>
  <c r="N453" i="3"/>
  <c r="M453" i="3"/>
  <c r="L453" i="3"/>
  <c r="K453" i="3"/>
  <c r="N461" i="3"/>
  <c r="M461" i="3"/>
  <c r="L461" i="3"/>
  <c r="K461" i="3"/>
  <c r="N469" i="3"/>
  <c r="M469" i="3"/>
  <c r="L469" i="3"/>
  <c r="K469" i="3"/>
  <c r="N477" i="3"/>
  <c r="M477" i="3"/>
  <c r="K477" i="3"/>
  <c r="L477" i="3"/>
  <c r="N485" i="3"/>
  <c r="M485" i="3"/>
  <c r="K485" i="3"/>
  <c r="L485" i="3"/>
  <c r="N493" i="3"/>
  <c r="M493" i="3"/>
  <c r="K493" i="3"/>
  <c r="L493" i="3"/>
  <c r="M501" i="3"/>
  <c r="N501" i="3"/>
  <c r="L501" i="3"/>
  <c r="K501" i="3"/>
  <c r="L54" i="3"/>
  <c r="K54" i="3"/>
  <c r="N54" i="3"/>
  <c r="M54" i="3"/>
  <c r="M62" i="3"/>
  <c r="L62" i="3"/>
  <c r="K62" i="3"/>
  <c r="N62" i="3"/>
  <c r="M70" i="3"/>
  <c r="K70" i="3"/>
  <c r="N70" i="3"/>
  <c r="L70" i="3"/>
  <c r="M78" i="3"/>
  <c r="L78" i="3"/>
  <c r="K78" i="3"/>
  <c r="N78" i="3"/>
  <c r="L86" i="3"/>
  <c r="K86" i="3"/>
  <c r="N86" i="3"/>
  <c r="M86" i="3"/>
  <c r="M94" i="3"/>
  <c r="L94" i="3"/>
  <c r="K94" i="3"/>
  <c r="N94" i="3"/>
  <c r="N102" i="3"/>
  <c r="M102" i="3"/>
  <c r="L102" i="3"/>
  <c r="K102" i="3"/>
  <c r="M110" i="3"/>
  <c r="L110" i="3"/>
  <c r="K110" i="3"/>
  <c r="N110" i="3"/>
  <c r="K118" i="3"/>
  <c r="N118" i="3"/>
  <c r="M118" i="3"/>
  <c r="L118" i="3"/>
  <c r="M126" i="3"/>
  <c r="L126" i="3"/>
  <c r="K126" i="3"/>
  <c r="N126" i="3"/>
  <c r="N134" i="3"/>
  <c r="L134" i="3"/>
  <c r="M134" i="3"/>
  <c r="K134" i="3"/>
  <c r="M142" i="3"/>
  <c r="L142" i="3"/>
  <c r="K142" i="3"/>
  <c r="N142" i="3"/>
  <c r="L150" i="3"/>
  <c r="K150" i="3"/>
  <c r="N150" i="3"/>
  <c r="M150" i="3"/>
  <c r="M158" i="3"/>
  <c r="N158" i="3"/>
  <c r="L158" i="3"/>
  <c r="K158" i="3"/>
  <c r="N166" i="3"/>
  <c r="M166" i="3"/>
  <c r="L166" i="3"/>
  <c r="K166" i="3"/>
  <c r="M174" i="3"/>
  <c r="L174" i="3"/>
  <c r="N174" i="3"/>
  <c r="K174" i="3"/>
  <c r="L182" i="3"/>
  <c r="K182" i="3"/>
  <c r="N182" i="3"/>
  <c r="M182" i="3"/>
  <c r="M190" i="3"/>
  <c r="L190" i="3"/>
  <c r="K190" i="3"/>
  <c r="N190" i="3"/>
  <c r="N198" i="3"/>
  <c r="M198" i="3"/>
  <c r="L198" i="3"/>
  <c r="K198" i="3"/>
  <c r="M206" i="3"/>
  <c r="N206" i="3"/>
  <c r="L206" i="3"/>
  <c r="K206" i="3"/>
  <c r="L214" i="3"/>
  <c r="K214" i="3"/>
  <c r="N214" i="3"/>
  <c r="M214" i="3"/>
  <c r="M222" i="3"/>
  <c r="N222" i="3"/>
  <c r="L222" i="3"/>
  <c r="K222" i="3"/>
  <c r="N230" i="3"/>
  <c r="M230" i="3"/>
  <c r="L230" i="3"/>
  <c r="K230" i="3"/>
  <c r="M238" i="3"/>
  <c r="N238" i="3"/>
  <c r="L238" i="3"/>
  <c r="K238" i="3"/>
  <c r="M246" i="3"/>
  <c r="L246" i="3"/>
  <c r="K246" i="3"/>
  <c r="N246" i="3"/>
  <c r="M254" i="3"/>
  <c r="N254" i="3"/>
  <c r="L254" i="3"/>
  <c r="K254" i="3"/>
  <c r="N262" i="3"/>
  <c r="M262" i="3"/>
  <c r="L262" i="3"/>
  <c r="K262" i="3"/>
  <c r="M270" i="3"/>
  <c r="N270" i="3"/>
  <c r="L270" i="3"/>
  <c r="K270" i="3"/>
  <c r="M278" i="3"/>
  <c r="L278" i="3"/>
  <c r="K278" i="3"/>
  <c r="N278" i="3"/>
  <c r="M286" i="3"/>
  <c r="N286" i="3"/>
  <c r="L286" i="3"/>
  <c r="K286" i="3"/>
  <c r="K294" i="3"/>
  <c r="N294" i="3"/>
  <c r="M294" i="3"/>
  <c r="L294" i="3"/>
  <c r="K302" i="3"/>
  <c r="N302" i="3"/>
  <c r="M302" i="3"/>
  <c r="L302" i="3"/>
  <c r="K310" i="3"/>
  <c r="M310" i="3"/>
  <c r="N310" i="3"/>
  <c r="L310" i="3"/>
  <c r="K318" i="3"/>
  <c r="N318" i="3"/>
  <c r="M318" i="3"/>
  <c r="L318" i="3"/>
  <c r="K326" i="3"/>
  <c r="L326" i="3"/>
  <c r="M326" i="3"/>
  <c r="N326" i="3"/>
  <c r="M334" i="3"/>
  <c r="L334" i="3"/>
  <c r="K334" i="3"/>
  <c r="N334" i="3"/>
  <c r="M342" i="3"/>
  <c r="L342" i="3"/>
  <c r="K342" i="3"/>
  <c r="N342" i="3"/>
  <c r="M350" i="3"/>
  <c r="L350" i="3"/>
  <c r="K350" i="3"/>
  <c r="N350" i="3"/>
  <c r="M358" i="3"/>
  <c r="L358" i="3"/>
  <c r="K358" i="3"/>
  <c r="N358" i="3"/>
  <c r="M366" i="3"/>
  <c r="L366" i="3"/>
  <c r="K366" i="3"/>
  <c r="N366" i="3"/>
  <c r="M374" i="3"/>
  <c r="L374" i="3"/>
  <c r="K374" i="3"/>
  <c r="N374" i="3"/>
  <c r="M382" i="3"/>
  <c r="L382" i="3"/>
  <c r="K382" i="3"/>
  <c r="N382" i="3"/>
  <c r="M390" i="3"/>
  <c r="L390" i="3"/>
  <c r="K390" i="3"/>
  <c r="N390" i="3"/>
  <c r="M398" i="3"/>
  <c r="L398" i="3"/>
  <c r="K398" i="3"/>
  <c r="N398" i="3"/>
  <c r="M406" i="3"/>
  <c r="L406" i="3"/>
  <c r="K406" i="3"/>
  <c r="N406" i="3"/>
  <c r="M414" i="3"/>
  <c r="L414" i="3"/>
  <c r="K414" i="3"/>
  <c r="N414" i="3"/>
  <c r="M422" i="3"/>
  <c r="L422" i="3"/>
  <c r="K422" i="3"/>
  <c r="N422" i="3"/>
  <c r="M430" i="3"/>
  <c r="L430" i="3"/>
  <c r="K430" i="3"/>
  <c r="N430" i="3"/>
  <c r="M438" i="3"/>
  <c r="L438" i="3"/>
  <c r="K438" i="3"/>
  <c r="N438" i="3"/>
  <c r="M446" i="3"/>
  <c r="L446" i="3"/>
  <c r="K446" i="3"/>
  <c r="N446" i="3"/>
  <c r="M454" i="3"/>
  <c r="L454" i="3"/>
  <c r="K454" i="3"/>
  <c r="N454" i="3"/>
  <c r="M462" i="3"/>
  <c r="L462" i="3"/>
  <c r="K462" i="3"/>
  <c r="N462" i="3"/>
  <c r="M470" i="3"/>
  <c r="L470" i="3"/>
  <c r="K470" i="3"/>
  <c r="N470" i="3"/>
  <c r="M478" i="3"/>
  <c r="L478" i="3"/>
  <c r="K478" i="3"/>
  <c r="N478" i="3"/>
  <c r="M486" i="3"/>
  <c r="L486" i="3"/>
  <c r="K486" i="3"/>
  <c r="N486" i="3"/>
  <c r="M494" i="3"/>
  <c r="L494" i="3"/>
  <c r="K494" i="3"/>
  <c r="N494" i="3"/>
  <c r="M502" i="3"/>
  <c r="L502" i="3"/>
  <c r="N502" i="3"/>
  <c r="K502" i="3"/>
  <c r="G9" i="3"/>
  <c r="I6" i="3"/>
  <c r="H7" i="3"/>
  <c r="H13" i="3"/>
  <c r="I13" i="3"/>
  <c r="J12" i="3"/>
  <c r="J9" i="3"/>
  <c r="I9" i="3"/>
  <c r="G8" i="3"/>
  <c r="H11" i="3"/>
  <c r="H6" i="3"/>
  <c r="G11" i="3"/>
  <c r="J13" i="3"/>
  <c r="J8" i="3"/>
  <c r="I7" i="3"/>
  <c r="G12" i="3"/>
  <c r="I10" i="3"/>
  <c r="G6" i="3"/>
  <c r="I11" i="3"/>
  <c r="H8" i="3"/>
  <c r="G10" i="3"/>
  <c r="H12" i="3"/>
  <c r="J11" i="3"/>
  <c r="H10" i="3"/>
  <c r="J6" i="3"/>
  <c r="I12" i="3"/>
  <c r="G7" i="3"/>
  <c r="J7" i="3"/>
  <c r="I8" i="3"/>
  <c r="H9" i="3"/>
  <c r="G13" i="3"/>
  <c r="D10" i="3"/>
  <c r="B13" i="3"/>
  <c r="C9" i="3"/>
  <c r="B8" i="3"/>
  <c r="AE10" i="3"/>
  <c r="D7" i="3"/>
  <c r="C8" i="3"/>
  <c r="AE13" i="3"/>
  <c r="AD13" i="3"/>
  <c r="AD12" i="3"/>
  <c r="B7" i="3"/>
  <c r="AE11" i="3"/>
  <c r="AD11" i="3"/>
  <c r="AE8" i="3"/>
  <c r="AD10" i="3"/>
  <c r="D9" i="3"/>
  <c r="AE9" i="3"/>
  <c r="D13" i="3"/>
  <c r="AD9" i="3"/>
  <c r="AD8" i="3"/>
  <c r="D8" i="3"/>
  <c r="AE7" i="3"/>
  <c r="D12" i="3"/>
  <c r="AD7" i="3"/>
  <c r="C13" i="3"/>
  <c r="AE12" i="3"/>
  <c r="C7" i="3"/>
  <c r="D11" i="3"/>
  <c r="C11" i="3"/>
  <c r="C12" i="3"/>
  <c r="C10" i="3"/>
  <c r="B10" i="3"/>
  <c r="B12" i="3"/>
  <c r="B11" i="3"/>
  <c r="E13" i="3"/>
  <c r="B9" i="3"/>
  <c r="AE6" i="3"/>
  <c r="AD6" i="3"/>
  <c r="C6" i="3"/>
  <c r="B6" i="3"/>
  <c r="D6" i="3"/>
  <c r="H5" i="3"/>
  <c r="I5" i="3"/>
  <c r="J5" i="3"/>
  <c r="G5" i="3"/>
  <c r="D55" i="3"/>
  <c r="J55" i="3"/>
  <c r="B55" i="3"/>
  <c r="I55" i="3"/>
  <c r="H55" i="3"/>
  <c r="AE55" i="3"/>
  <c r="AD55" i="3"/>
  <c r="E55" i="3"/>
  <c r="AC55" i="3"/>
  <c r="C55" i="3"/>
  <c r="AB55" i="3"/>
  <c r="O55" i="3"/>
  <c r="G55" i="3"/>
  <c r="F55" i="3"/>
  <c r="D87" i="3"/>
  <c r="J87" i="3"/>
  <c r="B87" i="3"/>
  <c r="I87" i="3"/>
  <c r="H87" i="3"/>
  <c r="F87" i="3"/>
  <c r="E87" i="3"/>
  <c r="AE87" i="3"/>
  <c r="C87" i="3"/>
  <c r="AD87" i="3"/>
  <c r="AC87" i="3"/>
  <c r="AB87" i="3"/>
  <c r="G87" i="3"/>
  <c r="O87" i="3"/>
  <c r="D111" i="3"/>
  <c r="J111" i="3"/>
  <c r="B111" i="3"/>
  <c r="O111" i="3"/>
  <c r="E111" i="3"/>
  <c r="C111" i="3"/>
  <c r="I111" i="3"/>
  <c r="AE111" i="3"/>
  <c r="H111" i="3"/>
  <c r="AD111" i="3"/>
  <c r="G111" i="3"/>
  <c r="F111" i="3"/>
  <c r="AC111" i="3"/>
  <c r="AB111" i="3"/>
  <c r="H135" i="3"/>
  <c r="D135" i="3"/>
  <c r="B135" i="3"/>
  <c r="J135" i="3"/>
  <c r="I135" i="3"/>
  <c r="G135" i="3"/>
  <c r="F135" i="3"/>
  <c r="E135" i="3"/>
  <c r="AE135" i="3"/>
  <c r="C135" i="3"/>
  <c r="AD135" i="3"/>
  <c r="O135" i="3"/>
  <c r="AC135" i="3"/>
  <c r="AB135" i="3"/>
  <c r="C159" i="3"/>
  <c r="H159" i="3"/>
  <c r="O159" i="3"/>
  <c r="G159" i="3"/>
  <c r="J159" i="3"/>
  <c r="I159" i="3"/>
  <c r="F159" i="3"/>
  <c r="E159" i="3"/>
  <c r="B159" i="3"/>
  <c r="AE159" i="3"/>
  <c r="AD159" i="3"/>
  <c r="D159" i="3"/>
  <c r="AC159" i="3"/>
  <c r="AB159" i="3"/>
  <c r="C191" i="3"/>
  <c r="H191" i="3"/>
  <c r="O191" i="3"/>
  <c r="G191" i="3"/>
  <c r="J191" i="3"/>
  <c r="E191" i="3"/>
  <c r="D191" i="3"/>
  <c r="B191" i="3"/>
  <c r="AE191" i="3"/>
  <c r="AD191" i="3"/>
  <c r="I191" i="3"/>
  <c r="AC191" i="3"/>
  <c r="F191" i="3"/>
  <c r="AB191" i="3"/>
  <c r="H207" i="3"/>
  <c r="O207" i="3"/>
  <c r="G207" i="3"/>
  <c r="F207" i="3"/>
  <c r="E207" i="3"/>
  <c r="I207" i="3"/>
  <c r="D207" i="3"/>
  <c r="J207" i="3"/>
  <c r="B207" i="3"/>
  <c r="AB207" i="3"/>
  <c r="AE207" i="3"/>
  <c r="C207" i="3"/>
  <c r="AD207" i="3"/>
  <c r="AC207" i="3"/>
  <c r="E239" i="3"/>
  <c r="D239" i="3"/>
  <c r="J239" i="3"/>
  <c r="B239" i="3"/>
  <c r="O239" i="3"/>
  <c r="I239" i="3"/>
  <c r="H239" i="3"/>
  <c r="C239" i="3"/>
  <c r="AB239" i="3"/>
  <c r="AD239" i="3"/>
  <c r="AC239" i="3"/>
  <c r="F239" i="3"/>
  <c r="G239" i="3"/>
  <c r="AE239" i="3"/>
  <c r="E263" i="3"/>
  <c r="D263" i="3"/>
  <c r="J263" i="3"/>
  <c r="B263" i="3"/>
  <c r="I263" i="3"/>
  <c r="H263" i="3"/>
  <c r="G263" i="3"/>
  <c r="F263" i="3"/>
  <c r="O263" i="3"/>
  <c r="AB263" i="3"/>
  <c r="AD263" i="3"/>
  <c r="AC263" i="3"/>
  <c r="C263" i="3"/>
  <c r="AE263" i="3"/>
  <c r="I287" i="3"/>
  <c r="F287" i="3"/>
  <c r="C287" i="3"/>
  <c r="B287" i="3"/>
  <c r="J287" i="3"/>
  <c r="H287" i="3"/>
  <c r="G287" i="3"/>
  <c r="E287" i="3"/>
  <c r="D287" i="3"/>
  <c r="AB287" i="3"/>
  <c r="AD287" i="3"/>
  <c r="O287" i="3"/>
  <c r="AC287" i="3"/>
  <c r="AE287" i="3"/>
  <c r="I311" i="3"/>
  <c r="H311" i="3"/>
  <c r="F311" i="3"/>
  <c r="O311" i="3"/>
  <c r="C311" i="3"/>
  <c r="B311" i="3"/>
  <c r="J311" i="3"/>
  <c r="G311" i="3"/>
  <c r="E311" i="3"/>
  <c r="D311" i="3"/>
  <c r="AB311" i="3"/>
  <c r="AD311" i="3"/>
  <c r="AC311" i="3"/>
  <c r="AE311" i="3"/>
  <c r="H335" i="3"/>
  <c r="O335" i="3"/>
  <c r="F335" i="3"/>
  <c r="E335" i="3"/>
  <c r="D335" i="3"/>
  <c r="C335" i="3"/>
  <c r="J335" i="3"/>
  <c r="G335" i="3"/>
  <c r="B335" i="3"/>
  <c r="AB335" i="3"/>
  <c r="I335" i="3"/>
  <c r="AD335" i="3"/>
  <c r="AC335" i="3"/>
  <c r="AE335" i="3"/>
  <c r="F367" i="3"/>
  <c r="C367" i="3"/>
  <c r="E367" i="3"/>
  <c r="I367" i="3"/>
  <c r="H367" i="3"/>
  <c r="D367" i="3"/>
  <c r="O367" i="3"/>
  <c r="J367" i="3"/>
  <c r="G367" i="3"/>
  <c r="B367" i="3"/>
  <c r="AB367" i="3"/>
  <c r="AE367" i="3"/>
  <c r="AD367" i="3"/>
  <c r="AC367" i="3"/>
  <c r="O391" i="3"/>
  <c r="G391" i="3"/>
  <c r="D391" i="3"/>
  <c r="C391" i="3"/>
  <c r="J391" i="3"/>
  <c r="I391" i="3"/>
  <c r="E391" i="3"/>
  <c r="B391" i="3"/>
  <c r="H391" i="3"/>
  <c r="F391" i="3"/>
  <c r="AB391" i="3"/>
  <c r="AE391" i="3"/>
  <c r="AD391" i="3"/>
  <c r="AC391" i="3"/>
  <c r="O415" i="3"/>
  <c r="G415" i="3"/>
  <c r="D415" i="3"/>
  <c r="I415" i="3"/>
  <c r="E415" i="3"/>
  <c r="J415" i="3"/>
  <c r="H415" i="3"/>
  <c r="C415" i="3"/>
  <c r="B415" i="3"/>
  <c r="F415" i="3"/>
  <c r="AB415" i="3"/>
  <c r="AE415" i="3"/>
  <c r="AD415" i="3"/>
  <c r="AC415" i="3"/>
  <c r="J439" i="3"/>
  <c r="B439" i="3"/>
  <c r="O439" i="3"/>
  <c r="G439" i="3"/>
  <c r="D439" i="3"/>
  <c r="F439" i="3"/>
  <c r="E439" i="3"/>
  <c r="I439" i="3"/>
  <c r="H439" i="3"/>
  <c r="C439" i="3"/>
  <c r="AB439" i="3"/>
  <c r="AE439" i="3"/>
  <c r="AC439" i="3"/>
  <c r="AD439" i="3"/>
  <c r="F463" i="3"/>
  <c r="J463" i="3"/>
  <c r="B463" i="3"/>
  <c r="G463" i="3"/>
  <c r="I463" i="3"/>
  <c r="D463" i="3"/>
  <c r="C463" i="3"/>
  <c r="O463" i="3"/>
  <c r="H463" i="3"/>
  <c r="E463" i="3"/>
  <c r="AB463" i="3"/>
  <c r="AE463" i="3"/>
  <c r="AD463" i="3"/>
  <c r="AC463" i="3"/>
  <c r="F471" i="3"/>
  <c r="J471" i="3"/>
  <c r="B471" i="3"/>
  <c r="E471" i="3"/>
  <c r="G471" i="3"/>
  <c r="H471" i="3"/>
  <c r="D471" i="3"/>
  <c r="I471" i="3"/>
  <c r="O471" i="3"/>
  <c r="AB471" i="3"/>
  <c r="C471" i="3"/>
  <c r="AC471" i="3"/>
  <c r="AE471" i="3"/>
  <c r="AD471" i="3"/>
  <c r="H487" i="3"/>
  <c r="F487" i="3"/>
  <c r="E487" i="3"/>
  <c r="J487" i="3"/>
  <c r="B487" i="3"/>
  <c r="G487" i="3"/>
  <c r="D487" i="3"/>
  <c r="I487" i="3"/>
  <c r="C487" i="3"/>
  <c r="O487" i="3"/>
  <c r="AD487" i="3"/>
  <c r="AB487" i="3"/>
  <c r="AE487" i="3"/>
  <c r="AC487" i="3"/>
  <c r="D71" i="3"/>
  <c r="J71" i="3"/>
  <c r="B71" i="3"/>
  <c r="I71" i="3"/>
  <c r="H71" i="3"/>
  <c r="C71" i="3"/>
  <c r="O71" i="3"/>
  <c r="AE71" i="3"/>
  <c r="AD71" i="3"/>
  <c r="G71" i="3"/>
  <c r="AC71" i="3"/>
  <c r="F71" i="3"/>
  <c r="AB71" i="3"/>
  <c r="E71" i="3"/>
  <c r="D95" i="3"/>
  <c r="J95" i="3"/>
  <c r="B95" i="3"/>
  <c r="O95" i="3"/>
  <c r="E95" i="3"/>
  <c r="C95" i="3"/>
  <c r="H95" i="3"/>
  <c r="G95" i="3"/>
  <c r="AE95" i="3"/>
  <c r="F95" i="3"/>
  <c r="AD95" i="3"/>
  <c r="I95" i="3"/>
  <c r="AC95" i="3"/>
  <c r="AB95" i="3"/>
  <c r="D119" i="3"/>
  <c r="J119" i="3"/>
  <c r="B119" i="3"/>
  <c r="I119" i="3"/>
  <c r="H119" i="3"/>
  <c r="AE119" i="3"/>
  <c r="AD119" i="3"/>
  <c r="AC119" i="3"/>
  <c r="E119" i="3"/>
  <c r="AB119" i="3"/>
  <c r="G119" i="3"/>
  <c r="F119" i="3"/>
  <c r="O119" i="3"/>
  <c r="C119" i="3"/>
  <c r="C143" i="3"/>
  <c r="H143" i="3"/>
  <c r="I143" i="3"/>
  <c r="F143" i="3"/>
  <c r="J143" i="3"/>
  <c r="G143" i="3"/>
  <c r="E143" i="3"/>
  <c r="AE143" i="3"/>
  <c r="D143" i="3"/>
  <c r="AD143" i="3"/>
  <c r="B143" i="3"/>
  <c r="O143" i="3"/>
  <c r="AC143" i="3"/>
  <c r="AB143" i="3"/>
  <c r="C167" i="3"/>
  <c r="H167" i="3"/>
  <c r="O167" i="3"/>
  <c r="G167" i="3"/>
  <c r="D167" i="3"/>
  <c r="B167" i="3"/>
  <c r="AE167" i="3"/>
  <c r="AD167" i="3"/>
  <c r="E167" i="3"/>
  <c r="AC167" i="3"/>
  <c r="AB167" i="3"/>
  <c r="J167" i="3"/>
  <c r="I167" i="3"/>
  <c r="F167" i="3"/>
  <c r="C183" i="3"/>
  <c r="H183" i="3"/>
  <c r="O183" i="3"/>
  <c r="G183" i="3"/>
  <c r="J183" i="3"/>
  <c r="F183" i="3"/>
  <c r="AE183" i="3"/>
  <c r="AD183" i="3"/>
  <c r="I183" i="3"/>
  <c r="AC183" i="3"/>
  <c r="AB183" i="3"/>
  <c r="E183" i="3"/>
  <c r="D183" i="3"/>
  <c r="B183" i="3"/>
  <c r="H199" i="3"/>
  <c r="O199" i="3"/>
  <c r="G199" i="3"/>
  <c r="F199" i="3"/>
  <c r="E199" i="3"/>
  <c r="I199" i="3"/>
  <c r="D199" i="3"/>
  <c r="J199" i="3"/>
  <c r="AB199" i="3"/>
  <c r="C199" i="3"/>
  <c r="B199" i="3"/>
  <c r="AC199" i="3"/>
  <c r="AE199" i="3"/>
  <c r="AD199" i="3"/>
  <c r="H223" i="3"/>
  <c r="O223" i="3"/>
  <c r="G223" i="3"/>
  <c r="F223" i="3"/>
  <c r="E223" i="3"/>
  <c r="I223" i="3"/>
  <c r="D223" i="3"/>
  <c r="J223" i="3"/>
  <c r="AB223" i="3"/>
  <c r="C223" i="3"/>
  <c r="AD223" i="3"/>
  <c r="AC223" i="3"/>
  <c r="AE223" i="3"/>
  <c r="B223" i="3"/>
  <c r="E247" i="3"/>
  <c r="D247" i="3"/>
  <c r="J247" i="3"/>
  <c r="B247" i="3"/>
  <c r="F247" i="3"/>
  <c r="C247" i="3"/>
  <c r="O247" i="3"/>
  <c r="G247" i="3"/>
  <c r="AB247" i="3"/>
  <c r="H247" i="3"/>
  <c r="AD247" i="3"/>
  <c r="AC247" i="3"/>
  <c r="I247" i="3"/>
  <c r="AE247" i="3"/>
  <c r="E271" i="3"/>
  <c r="D271" i="3"/>
  <c r="J271" i="3"/>
  <c r="B271" i="3"/>
  <c r="O271" i="3"/>
  <c r="I271" i="3"/>
  <c r="H271" i="3"/>
  <c r="AB271" i="3"/>
  <c r="G271" i="3"/>
  <c r="AD271" i="3"/>
  <c r="F271" i="3"/>
  <c r="AC271" i="3"/>
  <c r="C271" i="3"/>
  <c r="AE271" i="3"/>
  <c r="I295" i="3"/>
  <c r="F295" i="3"/>
  <c r="H295" i="3"/>
  <c r="G295" i="3"/>
  <c r="O295" i="3"/>
  <c r="D295" i="3"/>
  <c r="J295" i="3"/>
  <c r="B295" i="3"/>
  <c r="C295" i="3"/>
  <c r="AB295" i="3"/>
  <c r="E295" i="3"/>
  <c r="AD295" i="3"/>
  <c r="AC295" i="3"/>
  <c r="AE295" i="3"/>
  <c r="I319" i="3"/>
  <c r="H319" i="3"/>
  <c r="F319" i="3"/>
  <c r="E319" i="3"/>
  <c r="D319" i="3"/>
  <c r="O319" i="3"/>
  <c r="C319" i="3"/>
  <c r="B319" i="3"/>
  <c r="G319" i="3"/>
  <c r="J319" i="3"/>
  <c r="AB319" i="3"/>
  <c r="AD319" i="3"/>
  <c r="AC319" i="3"/>
  <c r="AE319" i="3"/>
  <c r="H343" i="3"/>
  <c r="E343" i="3"/>
  <c r="C343" i="3"/>
  <c r="I343" i="3"/>
  <c r="G343" i="3"/>
  <c r="F343" i="3"/>
  <c r="D343" i="3"/>
  <c r="O343" i="3"/>
  <c r="J343" i="3"/>
  <c r="B343" i="3"/>
  <c r="AB343" i="3"/>
  <c r="AD343" i="3"/>
  <c r="AC343" i="3"/>
  <c r="AE343" i="3"/>
  <c r="F359" i="3"/>
  <c r="C359" i="3"/>
  <c r="J359" i="3"/>
  <c r="G359" i="3"/>
  <c r="H359" i="3"/>
  <c r="E359" i="3"/>
  <c r="B359" i="3"/>
  <c r="O359" i="3"/>
  <c r="I359" i="3"/>
  <c r="D359" i="3"/>
  <c r="AB359" i="3"/>
  <c r="AD359" i="3"/>
  <c r="AC359" i="3"/>
  <c r="AE359" i="3"/>
  <c r="O383" i="3"/>
  <c r="G383" i="3"/>
  <c r="D383" i="3"/>
  <c r="J383" i="3"/>
  <c r="I383" i="3"/>
  <c r="E383" i="3"/>
  <c r="H383" i="3"/>
  <c r="C383" i="3"/>
  <c r="F383" i="3"/>
  <c r="B383" i="3"/>
  <c r="AB383" i="3"/>
  <c r="AE383" i="3"/>
  <c r="AD383" i="3"/>
  <c r="AC383" i="3"/>
  <c r="O407" i="3"/>
  <c r="G407" i="3"/>
  <c r="D407" i="3"/>
  <c r="C407" i="3"/>
  <c r="J407" i="3"/>
  <c r="H407" i="3"/>
  <c r="F407" i="3"/>
  <c r="E407" i="3"/>
  <c r="I407" i="3"/>
  <c r="B407" i="3"/>
  <c r="AB407" i="3"/>
  <c r="AC407" i="3"/>
  <c r="AD407" i="3"/>
  <c r="AE407" i="3"/>
  <c r="O431" i="3"/>
  <c r="G431" i="3"/>
  <c r="D431" i="3"/>
  <c r="I431" i="3"/>
  <c r="E431" i="3"/>
  <c r="C431" i="3"/>
  <c r="B431" i="3"/>
  <c r="J431" i="3"/>
  <c r="H431" i="3"/>
  <c r="AB431" i="3"/>
  <c r="AE431" i="3"/>
  <c r="AD431" i="3"/>
  <c r="F431" i="3"/>
  <c r="AC431" i="3"/>
  <c r="F455" i="3"/>
  <c r="J455" i="3"/>
  <c r="B455" i="3"/>
  <c r="E455" i="3"/>
  <c r="H455" i="3"/>
  <c r="C455" i="3"/>
  <c r="O455" i="3"/>
  <c r="I455" i="3"/>
  <c r="D455" i="3"/>
  <c r="G455" i="3"/>
  <c r="AB455" i="3"/>
  <c r="AE455" i="3"/>
  <c r="AD455" i="3"/>
  <c r="AC455" i="3"/>
  <c r="H479" i="3"/>
  <c r="F479" i="3"/>
  <c r="J479" i="3"/>
  <c r="B479" i="3"/>
  <c r="G479" i="3"/>
  <c r="O479" i="3"/>
  <c r="C479" i="3"/>
  <c r="E479" i="3"/>
  <c r="I479" i="3"/>
  <c r="D479" i="3"/>
  <c r="AD479" i="3"/>
  <c r="AB479" i="3"/>
  <c r="AE479" i="3"/>
  <c r="AC479" i="3"/>
  <c r="F56" i="3"/>
  <c r="D56" i="3"/>
  <c r="G56" i="3"/>
  <c r="E56" i="3"/>
  <c r="AB56" i="3"/>
  <c r="J56" i="3"/>
  <c r="O56" i="3"/>
  <c r="I56" i="3"/>
  <c r="B56" i="3"/>
  <c r="H56" i="3"/>
  <c r="C56" i="3"/>
  <c r="AC56" i="3"/>
  <c r="AD56" i="3"/>
  <c r="AE56" i="3"/>
  <c r="F64" i="3"/>
  <c r="D64" i="3"/>
  <c r="J64" i="3"/>
  <c r="B64" i="3"/>
  <c r="AB64" i="3"/>
  <c r="O64" i="3"/>
  <c r="G64" i="3"/>
  <c r="I64" i="3"/>
  <c r="AE64" i="3"/>
  <c r="E64" i="3"/>
  <c r="H64" i="3"/>
  <c r="AD64" i="3"/>
  <c r="AC64" i="3"/>
  <c r="C64" i="3"/>
  <c r="F72" i="3"/>
  <c r="D72" i="3"/>
  <c r="G72" i="3"/>
  <c r="E72" i="3"/>
  <c r="B72" i="3"/>
  <c r="AB72" i="3"/>
  <c r="O72" i="3"/>
  <c r="J72" i="3"/>
  <c r="I72" i="3"/>
  <c r="H72" i="3"/>
  <c r="C72" i="3"/>
  <c r="AC72" i="3"/>
  <c r="AD72" i="3"/>
  <c r="AE72" i="3"/>
  <c r="F80" i="3"/>
  <c r="D80" i="3"/>
  <c r="J80" i="3"/>
  <c r="E80" i="3"/>
  <c r="AB80" i="3"/>
  <c r="C80" i="3"/>
  <c r="B80" i="3"/>
  <c r="AC80" i="3"/>
  <c r="G80" i="3"/>
  <c r="O80" i="3"/>
  <c r="AE80" i="3"/>
  <c r="I80" i="3"/>
  <c r="H80" i="3"/>
  <c r="AD80" i="3"/>
  <c r="F88" i="3"/>
  <c r="D88" i="3"/>
  <c r="G88" i="3"/>
  <c r="E88" i="3"/>
  <c r="H88" i="3"/>
  <c r="AB88" i="3"/>
  <c r="C88" i="3"/>
  <c r="B88" i="3"/>
  <c r="J88" i="3"/>
  <c r="I88" i="3"/>
  <c r="O88" i="3"/>
  <c r="AD88" i="3"/>
  <c r="AC88" i="3"/>
  <c r="AE88" i="3"/>
  <c r="F96" i="3"/>
  <c r="D96" i="3"/>
  <c r="J96" i="3"/>
  <c r="H96" i="3"/>
  <c r="AB96" i="3"/>
  <c r="G96" i="3"/>
  <c r="E96" i="3"/>
  <c r="AE96" i="3"/>
  <c r="O96" i="3"/>
  <c r="AC96" i="3"/>
  <c r="AD96" i="3"/>
  <c r="I96" i="3"/>
  <c r="C96" i="3"/>
  <c r="B96" i="3"/>
  <c r="F104" i="3"/>
  <c r="D104" i="3"/>
  <c r="G104" i="3"/>
  <c r="E104" i="3"/>
  <c r="J104" i="3"/>
  <c r="AB104" i="3"/>
  <c r="I104" i="3"/>
  <c r="H104" i="3"/>
  <c r="O104" i="3"/>
  <c r="AE104" i="3"/>
  <c r="AD104" i="3"/>
  <c r="AC104" i="3"/>
  <c r="C104" i="3"/>
  <c r="B104" i="3"/>
  <c r="F112" i="3"/>
  <c r="D112" i="3"/>
  <c r="J112" i="3"/>
  <c r="AB112" i="3"/>
  <c r="I112" i="3"/>
  <c r="H112" i="3"/>
  <c r="C112" i="3"/>
  <c r="O112" i="3"/>
  <c r="B112" i="3"/>
  <c r="AE112" i="3"/>
  <c r="AD112" i="3"/>
  <c r="AC112" i="3"/>
  <c r="G112" i="3"/>
  <c r="E112" i="3"/>
  <c r="F120" i="3"/>
  <c r="D120" i="3"/>
  <c r="G120" i="3"/>
  <c r="E120" i="3"/>
  <c r="AB120" i="3"/>
  <c r="J120" i="3"/>
  <c r="C120" i="3"/>
  <c r="B120" i="3"/>
  <c r="O120" i="3"/>
  <c r="AE120" i="3"/>
  <c r="AD120" i="3"/>
  <c r="AC120" i="3"/>
  <c r="H120" i="3"/>
  <c r="I120" i="3"/>
  <c r="F128" i="3"/>
  <c r="D128" i="3"/>
  <c r="J128" i="3"/>
  <c r="I128" i="3"/>
  <c r="C128" i="3"/>
  <c r="AB128" i="3"/>
  <c r="B128" i="3"/>
  <c r="AC128" i="3"/>
  <c r="H128" i="3"/>
  <c r="AE128" i="3"/>
  <c r="AD128" i="3"/>
  <c r="O128" i="3"/>
  <c r="E128" i="3"/>
  <c r="G128" i="3"/>
  <c r="E136" i="3"/>
  <c r="J136" i="3"/>
  <c r="B136" i="3"/>
  <c r="H136" i="3"/>
  <c r="I136" i="3"/>
  <c r="G136" i="3"/>
  <c r="AB136" i="3"/>
  <c r="O136" i="3"/>
  <c r="F136" i="3"/>
  <c r="AE136" i="3"/>
  <c r="AD136" i="3"/>
  <c r="AC136" i="3"/>
  <c r="D136" i="3"/>
  <c r="C136" i="3"/>
  <c r="E144" i="3"/>
  <c r="J144" i="3"/>
  <c r="B144" i="3"/>
  <c r="I144" i="3"/>
  <c r="F144" i="3"/>
  <c r="O144" i="3"/>
  <c r="C144" i="3"/>
  <c r="AB144" i="3"/>
  <c r="AE144" i="3"/>
  <c r="AC144" i="3"/>
  <c r="AD144" i="3"/>
  <c r="H144" i="3"/>
  <c r="G144" i="3"/>
  <c r="D144" i="3"/>
  <c r="E152" i="3"/>
  <c r="J152" i="3"/>
  <c r="B152" i="3"/>
  <c r="I152" i="3"/>
  <c r="H152" i="3"/>
  <c r="F152" i="3"/>
  <c r="D152" i="3"/>
  <c r="C152" i="3"/>
  <c r="O152" i="3"/>
  <c r="AB152" i="3"/>
  <c r="G152" i="3"/>
  <c r="AE152" i="3"/>
  <c r="AD152" i="3"/>
  <c r="AC152" i="3"/>
  <c r="E160" i="3"/>
  <c r="J160" i="3"/>
  <c r="B160" i="3"/>
  <c r="I160" i="3"/>
  <c r="H160" i="3"/>
  <c r="G160" i="3"/>
  <c r="AB160" i="3"/>
  <c r="O160" i="3"/>
  <c r="F160" i="3"/>
  <c r="D160" i="3"/>
  <c r="AC160" i="3"/>
  <c r="AE160" i="3"/>
  <c r="AD160" i="3"/>
  <c r="C160" i="3"/>
  <c r="E168" i="3"/>
  <c r="J168" i="3"/>
  <c r="B168" i="3"/>
  <c r="I168" i="3"/>
  <c r="O168" i="3"/>
  <c r="C168" i="3"/>
  <c r="D168" i="3"/>
  <c r="AB168" i="3"/>
  <c r="H168" i="3"/>
  <c r="G168" i="3"/>
  <c r="F168" i="3"/>
  <c r="AC168" i="3"/>
  <c r="AE168" i="3"/>
  <c r="AD168" i="3"/>
  <c r="E176" i="3"/>
  <c r="J176" i="3"/>
  <c r="B176" i="3"/>
  <c r="I176" i="3"/>
  <c r="F176" i="3"/>
  <c r="O176" i="3"/>
  <c r="C176" i="3"/>
  <c r="H176" i="3"/>
  <c r="G176" i="3"/>
  <c r="AB176" i="3"/>
  <c r="D176" i="3"/>
  <c r="AE176" i="3"/>
  <c r="AD176" i="3"/>
  <c r="AC176" i="3"/>
  <c r="E184" i="3"/>
  <c r="J184" i="3"/>
  <c r="B184" i="3"/>
  <c r="I184" i="3"/>
  <c r="H184" i="3"/>
  <c r="F184" i="3"/>
  <c r="O184" i="3"/>
  <c r="G184" i="3"/>
  <c r="AB184" i="3"/>
  <c r="D184" i="3"/>
  <c r="C184" i="3"/>
  <c r="AD184" i="3"/>
  <c r="AC184" i="3"/>
  <c r="AE184" i="3"/>
  <c r="J192" i="3"/>
  <c r="I192" i="3"/>
  <c r="O192" i="3"/>
  <c r="E192" i="3"/>
  <c r="B192" i="3"/>
  <c r="H192" i="3"/>
  <c r="G192" i="3"/>
  <c r="F192" i="3"/>
  <c r="D192" i="3"/>
  <c r="C192" i="3"/>
  <c r="AB192" i="3"/>
  <c r="AE192" i="3"/>
  <c r="AC192" i="3"/>
  <c r="AD192" i="3"/>
  <c r="J200" i="3"/>
  <c r="B200" i="3"/>
  <c r="I200" i="3"/>
  <c r="H200" i="3"/>
  <c r="O200" i="3"/>
  <c r="G200" i="3"/>
  <c r="F200" i="3"/>
  <c r="D200" i="3"/>
  <c r="C200" i="3"/>
  <c r="AE200" i="3"/>
  <c r="AD200" i="3"/>
  <c r="AC200" i="3"/>
  <c r="AB200" i="3"/>
  <c r="E200" i="3"/>
  <c r="J208" i="3"/>
  <c r="B208" i="3"/>
  <c r="I208" i="3"/>
  <c r="H208" i="3"/>
  <c r="O208" i="3"/>
  <c r="G208" i="3"/>
  <c r="F208" i="3"/>
  <c r="AB208" i="3"/>
  <c r="C208" i="3"/>
  <c r="E208" i="3"/>
  <c r="D208" i="3"/>
  <c r="AE208" i="3"/>
  <c r="AD208" i="3"/>
  <c r="AC208" i="3"/>
  <c r="J216" i="3"/>
  <c r="B216" i="3"/>
  <c r="I216" i="3"/>
  <c r="H216" i="3"/>
  <c r="O216" i="3"/>
  <c r="G216" i="3"/>
  <c r="F216" i="3"/>
  <c r="D216" i="3"/>
  <c r="E216" i="3"/>
  <c r="AE216" i="3"/>
  <c r="C216" i="3"/>
  <c r="AB216" i="3"/>
  <c r="AD216" i="3"/>
  <c r="AC216" i="3"/>
  <c r="J224" i="3"/>
  <c r="B224" i="3"/>
  <c r="I224" i="3"/>
  <c r="H224" i="3"/>
  <c r="O224" i="3"/>
  <c r="G224" i="3"/>
  <c r="F224" i="3"/>
  <c r="C224" i="3"/>
  <c r="D224" i="3"/>
  <c r="AE224" i="3"/>
  <c r="AC224" i="3"/>
  <c r="AB224" i="3"/>
  <c r="E224" i="3"/>
  <c r="AD224" i="3"/>
  <c r="J232" i="3"/>
  <c r="B232" i="3"/>
  <c r="I232" i="3"/>
  <c r="H232" i="3"/>
  <c r="O232" i="3"/>
  <c r="G232" i="3"/>
  <c r="F232" i="3"/>
  <c r="AE232" i="3"/>
  <c r="E232" i="3"/>
  <c r="AD232" i="3"/>
  <c r="D232" i="3"/>
  <c r="AC232" i="3"/>
  <c r="C232" i="3"/>
  <c r="AB232" i="3"/>
  <c r="O240" i="3"/>
  <c r="G240" i="3"/>
  <c r="F240" i="3"/>
  <c r="D240" i="3"/>
  <c r="J240" i="3"/>
  <c r="I240" i="3"/>
  <c r="H240" i="3"/>
  <c r="E240" i="3"/>
  <c r="AE240" i="3"/>
  <c r="C240" i="3"/>
  <c r="B240" i="3"/>
  <c r="AD240" i="3"/>
  <c r="AB240" i="3"/>
  <c r="AC240" i="3"/>
  <c r="O248" i="3"/>
  <c r="G248" i="3"/>
  <c r="F248" i="3"/>
  <c r="D248" i="3"/>
  <c r="C248" i="3"/>
  <c r="B248" i="3"/>
  <c r="J248" i="3"/>
  <c r="E248" i="3"/>
  <c r="I248" i="3"/>
  <c r="AE248" i="3"/>
  <c r="H248" i="3"/>
  <c r="AC248" i="3"/>
  <c r="AB248" i="3"/>
  <c r="AD248" i="3"/>
  <c r="O256" i="3"/>
  <c r="G256" i="3"/>
  <c r="F256" i="3"/>
  <c r="D256" i="3"/>
  <c r="H256" i="3"/>
  <c r="E256" i="3"/>
  <c r="C256" i="3"/>
  <c r="B256" i="3"/>
  <c r="J256" i="3"/>
  <c r="AE256" i="3"/>
  <c r="I256" i="3"/>
  <c r="AC256" i="3"/>
  <c r="AD256" i="3"/>
  <c r="AB256" i="3"/>
  <c r="O264" i="3"/>
  <c r="G264" i="3"/>
  <c r="F264" i="3"/>
  <c r="D264" i="3"/>
  <c r="J264" i="3"/>
  <c r="I264" i="3"/>
  <c r="H264" i="3"/>
  <c r="E264" i="3"/>
  <c r="C264" i="3"/>
  <c r="B264" i="3"/>
  <c r="AE264" i="3"/>
  <c r="AD264" i="3"/>
  <c r="AB264" i="3"/>
  <c r="AC264" i="3"/>
  <c r="O272" i="3"/>
  <c r="G272" i="3"/>
  <c r="F272" i="3"/>
  <c r="D272" i="3"/>
  <c r="J272" i="3"/>
  <c r="I272" i="3"/>
  <c r="H272" i="3"/>
  <c r="B272" i="3"/>
  <c r="E272" i="3"/>
  <c r="C272" i="3"/>
  <c r="AE272" i="3"/>
  <c r="AD272" i="3"/>
  <c r="AC272" i="3"/>
  <c r="AB272" i="3"/>
  <c r="C280" i="3"/>
  <c r="H280" i="3"/>
  <c r="O280" i="3"/>
  <c r="E280" i="3"/>
  <c r="D280" i="3"/>
  <c r="F280" i="3"/>
  <c r="B280" i="3"/>
  <c r="G280" i="3"/>
  <c r="I280" i="3"/>
  <c r="AE280" i="3"/>
  <c r="J280" i="3"/>
  <c r="AB280" i="3"/>
  <c r="AD280" i="3"/>
  <c r="AC280" i="3"/>
  <c r="C288" i="3"/>
  <c r="H288" i="3"/>
  <c r="J288" i="3"/>
  <c r="I288" i="3"/>
  <c r="F288" i="3"/>
  <c r="G288" i="3"/>
  <c r="E288" i="3"/>
  <c r="D288" i="3"/>
  <c r="B288" i="3"/>
  <c r="AE288" i="3"/>
  <c r="AC288" i="3"/>
  <c r="AB288" i="3"/>
  <c r="AD288" i="3"/>
  <c r="O288" i="3"/>
  <c r="C296" i="3"/>
  <c r="H296" i="3"/>
  <c r="O296" i="3"/>
  <c r="E296" i="3"/>
  <c r="D296" i="3"/>
  <c r="B296" i="3"/>
  <c r="J296" i="3"/>
  <c r="F296" i="3"/>
  <c r="I296" i="3"/>
  <c r="AE296" i="3"/>
  <c r="G296" i="3"/>
  <c r="AD296" i="3"/>
  <c r="AC296" i="3"/>
  <c r="AB296" i="3"/>
  <c r="C304" i="3"/>
  <c r="H304" i="3"/>
  <c r="J304" i="3"/>
  <c r="I304" i="3"/>
  <c r="G304" i="3"/>
  <c r="F304" i="3"/>
  <c r="O304" i="3"/>
  <c r="E304" i="3"/>
  <c r="B304" i="3"/>
  <c r="AE304" i="3"/>
  <c r="D304" i="3"/>
  <c r="AB304" i="3"/>
  <c r="AD304" i="3"/>
  <c r="AC304" i="3"/>
  <c r="C312" i="3"/>
  <c r="J312" i="3"/>
  <c r="B312" i="3"/>
  <c r="H312" i="3"/>
  <c r="I312" i="3"/>
  <c r="O312" i="3"/>
  <c r="G312" i="3"/>
  <c r="D312" i="3"/>
  <c r="AE312" i="3"/>
  <c r="F312" i="3"/>
  <c r="E312" i="3"/>
  <c r="AC312" i="3"/>
  <c r="AB312" i="3"/>
  <c r="AD312" i="3"/>
  <c r="C320" i="3"/>
  <c r="J320" i="3"/>
  <c r="B320" i="3"/>
  <c r="H320" i="3"/>
  <c r="E320" i="3"/>
  <c r="O320" i="3"/>
  <c r="D320" i="3"/>
  <c r="I320" i="3"/>
  <c r="G320" i="3"/>
  <c r="F320" i="3"/>
  <c r="AE320" i="3"/>
  <c r="AD320" i="3"/>
  <c r="AC320" i="3"/>
  <c r="AB320" i="3"/>
  <c r="J328" i="3"/>
  <c r="B328" i="3"/>
  <c r="D328" i="3"/>
  <c r="C328" i="3"/>
  <c r="I328" i="3"/>
  <c r="H328" i="3"/>
  <c r="G328" i="3"/>
  <c r="F328" i="3"/>
  <c r="E328" i="3"/>
  <c r="AE328" i="3"/>
  <c r="AD328" i="3"/>
  <c r="O328" i="3"/>
  <c r="AC328" i="3"/>
  <c r="AB328" i="3"/>
  <c r="J336" i="3"/>
  <c r="B336" i="3"/>
  <c r="I336" i="3"/>
  <c r="H336" i="3"/>
  <c r="G336" i="3"/>
  <c r="E336" i="3"/>
  <c r="O336" i="3"/>
  <c r="F336" i="3"/>
  <c r="D336" i="3"/>
  <c r="C336" i="3"/>
  <c r="AE336" i="3"/>
  <c r="AB336" i="3"/>
  <c r="AC336" i="3"/>
  <c r="AD336" i="3"/>
  <c r="J344" i="3"/>
  <c r="B344" i="3"/>
  <c r="O344" i="3"/>
  <c r="G344" i="3"/>
  <c r="F344" i="3"/>
  <c r="E344" i="3"/>
  <c r="D344" i="3"/>
  <c r="C344" i="3"/>
  <c r="I344" i="3"/>
  <c r="H344" i="3"/>
  <c r="AE344" i="3"/>
  <c r="AB344" i="3"/>
  <c r="AC344" i="3"/>
  <c r="AD344" i="3"/>
  <c r="H352" i="3"/>
  <c r="C352" i="3"/>
  <c r="I352" i="3"/>
  <c r="F352" i="3"/>
  <c r="O352" i="3"/>
  <c r="B352" i="3"/>
  <c r="G352" i="3"/>
  <c r="E352" i="3"/>
  <c r="D352" i="3"/>
  <c r="J352" i="3"/>
  <c r="AC352" i="3"/>
  <c r="AB352" i="3"/>
  <c r="AE352" i="3"/>
  <c r="AD352" i="3"/>
  <c r="H360" i="3"/>
  <c r="E360" i="3"/>
  <c r="G360" i="3"/>
  <c r="C360" i="3"/>
  <c r="I360" i="3"/>
  <c r="F360" i="3"/>
  <c r="B360" i="3"/>
  <c r="J360" i="3"/>
  <c r="D360" i="3"/>
  <c r="O360" i="3"/>
  <c r="AE360" i="3"/>
  <c r="AD360" i="3"/>
  <c r="AC360" i="3"/>
  <c r="AB360" i="3"/>
  <c r="H368" i="3"/>
  <c r="E368" i="3"/>
  <c r="B368" i="3"/>
  <c r="I368" i="3"/>
  <c r="J368" i="3"/>
  <c r="G368" i="3"/>
  <c r="D368" i="3"/>
  <c r="F368" i="3"/>
  <c r="C368" i="3"/>
  <c r="O368" i="3"/>
  <c r="AC368" i="3"/>
  <c r="AB368" i="3"/>
  <c r="AE368" i="3"/>
  <c r="AD368" i="3"/>
  <c r="I376" i="3"/>
  <c r="B376" i="3"/>
  <c r="G376" i="3"/>
  <c r="J376" i="3"/>
  <c r="E376" i="3"/>
  <c r="H376" i="3"/>
  <c r="O376" i="3"/>
  <c r="F376" i="3"/>
  <c r="D376" i="3"/>
  <c r="C376" i="3"/>
  <c r="AE376" i="3"/>
  <c r="AD376" i="3"/>
  <c r="AC376" i="3"/>
  <c r="AB376" i="3"/>
  <c r="I384" i="3"/>
  <c r="H384" i="3"/>
  <c r="E384" i="3"/>
  <c r="G384" i="3"/>
  <c r="O384" i="3"/>
  <c r="C384" i="3"/>
  <c r="F384" i="3"/>
  <c r="D384" i="3"/>
  <c r="B384" i="3"/>
  <c r="J384" i="3"/>
  <c r="AE384" i="3"/>
  <c r="AD384" i="3"/>
  <c r="AC384" i="3"/>
  <c r="AB384" i="3"/>
  <c r="I392" i="3"/>
  <c r="F392" i="3"/>
  <c r="G392" i="3"/>
  <c r="J392" i="3"/>
  <c r="D392" i="3"/>
  <c r="C392" i="3"/>
  <c r="B392" i="3"/>
  <c r="O392" i="3"/>
  <c r="H392" i="3"/>
  <c r="E392" i="3"/>
  <c r="AE392" i="3"/>
  <c r="AD392" i="3"/>
  <c r="AC392" i="3"/>
  <c r="AB392" i="3"/>
  <c r="I400" i="3"/>
  <c r="F400" i="3"/>
  <c r="E400" i="3"/>
  <c r="B400" i="3"/>
  <c r="G400" i="3"/>
  <c r="D400" i="3"/>
  <c r="C400" i="3"/>
  <c r="O400" i="3"/>
  <c r="J400" i="3"/>
  <c r="H400" i="3"/>
  <c r="AE400" i="3"/>
  <c r="AD400" i="3"/>
  <c r="AC400" i="3"/>
  <c r="AB400" i="3"/>
  <c r="I408" i="3"/>
  <c r="F408" i="3"/>
  <c r="G408" i="3"/>
  <c r="H408" i="3"/>
  <c r="E408" i="3"/>
  <c r="D408" i="3"/>
  <c r="C408" i="3"/>
  <c r="O408" i="3"/>
  <c r="J408" i="3"/>
  <c r="B408" i="3"/>
  <c r="AE408" i="3"/>
  <c r="AD408" i="3"/>
  <c r="AC408" i="3"/>
  <c r="AB408" i="3"/>
  <c r="I416" i="3"/>
  <c r="F416" i="3"/>
  <c r="E416" i="3"/>
  <c r="B416" i="3"/>
  <c r="O416" i="3"/>
  <c r="J416" i="3"/>
  <c r="H416" i="3"/>
  <c r="G416" i="3"/>
  <c r="D416" i="3"/>
  <c r="C416" i="3"/>
  <c r="AC416" i="3"/>
  <c r="AB416" i="3"/>
  <c r="AE416" i="3"/>
  <c r="AD416" i="3"/>
  <c r="I424" i="3"/>
  <c r="F424" i="3"/>
  <c r="G424" i="3"/>
  <c r="C424" i="3"/>
  <c r="J424" i="3"/>
  <c r="H424" i="3"/>
  <c r="E424" i="3"/>
  <c r="B424" i="3"/>
  <c r="D424" i="3"/>
  <c r="O424" i="3"/>
  <c r="AE424" i="3"/>
  <c r="AD424" i="3"/>
  <c r="AC424" i="3"/>
  <c r="AB424" i="3"/>
  <c r="I432" i="3"/>
  <c r="F432" i="3"/>
  <c r="E432" i="3"/>
  <c r="B432" i="3"/>
  <c r="D432" i="3"/>
  <c r="J432" i="3"/>
  <c r="H432" i="3"/>
  <c r="C432" i="3"/>
  <c r="G432" i="3"/>
  <c r="O432" i="3"/>
  <c r="AB432" i="3"/>
  <c r="AE432" i="3"/>
  <c r="AD432" i="3"/>
  <c r="AC432" i="3"/>
  <c r="D440" i="3"/>
  <c r="I440" i="3"/>
  <c r="G440" i="3"/>
  <c r="F440" i="3"/>
  <c r="O440" i="3"/>
  <c r="B440" i="3"/>
  <c r="J440" i="3"/>
  <c r="C440" i="3"/>
  <c r="H440" i="3"/>
  <c r="E440" i="3"/>
  <c r="AE440" i="3"/>
  <c r="AD440" i="3"/>
  <c r="AC440" i="3"/>
  <c r="AB440" i="3"/>
  <c r="D448" i="3"/>
  <c r="I448" i="3"/>
  <c r="F448" i="3"/>
  <c r="B448" i="3"/>
  <c r="H448" i="3"/>
  <c r="C448" i="3"/>
  <c r="E448" i="3"/>
  <c r="O448" i="3"/>
  <c r="G448" i="3"/>
  <c r="J448" i="3"/>
  <c r="AE448" i="3"/>
  <c r="AC448" i="3"/>
  <c r="AD448" i="3"/>
  <c r="AB448" i="3"/>
  <c r="H456" i="3"/>
  <c r="D456" i="3"/>
  <c r="B456" i="3"/>
  <c r="I456" i="3"/>
  <c r="G456" i="3"/>
  <c r="C456" i="3"/>
  <c r="O456" i="3"/>
  <c r="E456" i="3"/>
  <c r="F456" i="3"/>
  <c r="J456" i="3"/>
  <c r="AE456" i="3"/>
  <c r="AD456" i="3"/>
  <c r="AB456" i="3"/>
  <c r="AC456" i="3"/>
  <c r="H464" i="3"/>
  <c r="D464" i="3"/>
  <c r="G464" i="3"/>
  <c r="C464" i="3"/>
  <c r="J464" i="3"/>
  <c r="E464" i="3"/>
  <c r="B464" i="3"/>
  <c r="O464" i="3"/>
  <c r="F464" i="3"/>
  <c r="I464" i="3"/>
  <c r="AE464" i="3"/>
  <c r="AD464" i="3"/>
  <c r="AC464" i="3"/>
  <c r="AB464" i="3"/>
  <c r="J472" i="3"/>
  <c r="B472" i="3"/>
  <c r="H472" i="3"/>
  <c r="D472" i="3"/>
  <c r="O472" i="3"/>
  <c r="C472" i="3"/>
  <c r="G472" i="3"/>
  <c r="F472" i="3"/>
  <c r="E472" i="3"/>
  <c r="I472" i="3"/>
  <c r="AE472" i="3"/>
  <c r="AD472" i="3"/>
  <c r="AC472" i="3"/>
  <c r="AB472" i="3"/>
  <c r="J480" i="3"/>
  <c r="B480" i="3"/>
  <c r="H480" i="3"/>
  <c r="D480" i="3"/>
  <c r="F480" i="3"/>
  <c r="E480" i="3"/>
  <c r="O480" i="3"/>
  <c r="I480" i="3"/>
  <c r="C480" i="3"/>
  <c r="G480" i="3"/>
  <c r="AD480" i="3"/>
  <c r="AC480" i="3"/>
  <c r="AE480" i="3"/>
  <c r="AB480" i="3"/>
  <c r="J488" i="3"/>
  <c r="B488" i="3"/>
  <c r="H488" i="3"/>
  <c r="O488" i="3"/>
  <c r="G488" i="3"/>
  <c r="D488" i="3"/>
  <c r="I488" i="3"/>
  <c r="E488" i="3"/>
  <c r="C488" i="3"/>
  <c r="F488" i="3"/>
  <c r="AD488" i="3"/>
  <c r="AC488" i="3"/>
  <c r="AB488" i="3"/>
  <c r="AE488" i="3"/>
  <c r="J496" i="3"/>
  <c r="B496" i="3"/>
  <c r="H496" i="3"/>
  <c r="O496" i="3"/>
  <c r="G496" i="3"/>
  <c r="D496" i="3"/>
  <c r="I496" i="3"/>
  <c r="F496" i="3"/>
  <c r="E496" i="3"/>
  <c r="C496" i="3"/>
  <c r="AD496" i="3"/>
  <c r="AC496" i="3"/>
  <c r="AB496" i="3"/>
  <c r="AE496" i="3"/>
  <c r="D63" i="3"/>
  <c r="J63" i="3"/>
  <c r="B63" i="3"/>
  <c r="O63" i="3"/>
  <c r="E63" i="3"/>
  <c r="C63" i="3"/>
  <c r="AE63" i="3"/>
  <c r="AD63" i="3"/>
  <c r="G63" i="3"/>
  <c r="AC63" i="3"/>
  <c r="F63" i="3"/>
  <c r="I63" i="3"/>
  <c r="AB63" i="3"/>
  <c r="H63" i="3"/>
  <c r="D79" i="3"/>
  <c r="J79" i="3"/>
  <c r="B79" i="3"/>
  <c r="O79" i="3"/>
  <c r="E79" i="3"/>
  <c r="C79" i="3"/>
  <c r="F79" i="3"/>
  <c r="AE79" i="3"/>
  <c r="AD79" i="3"/>
  <c r="I79" i="3"/>
  <c r="H79" i="3"/>
  <c r="G79" i="3"/>
  <c r="AC79" i="3"/>
  <c r="AB79" i="3"/>
  <c r="D103" i="3"/>
  <c r="J103" i="3"/>
  <c r="B103" i="3"/>
  <c r="I103" i="3"/>
  <c r="H103" i="3"/>
  <c r="G103" i="3"/>
  <c r="AE103" i="3"/>
  <c r="F103" i="3"/>
  <c r="AD103" i="3"/>
  <c r="O103" i="3"/>
  <c r="AC103" i="3"/>
  <c r="C103" i="3"/>
  <c r="AB103" i="3"/>
  <c r="E103" i="3"/>
  <c r="D127" i="3"/>
  <c r="J127" i="3"/>
  <c r="B127" i="3"/>
  <c r="O127" i="3"/>
  <c r="E127" i="3"/>
  <c r="C127" i="3"/>
  <c r="AE127" i="3"/>
  <c r="AD127" i="3"/>
  <c r="I127" i="3"/>
  <c r="H127" i="3"/>
  <c r="F127" i="3"/>
  <c r="G127" i="3"/>
  <c r="AC127" i="3"/>
  <c r="AB127" i="3"/>
  <c r="C151" i="3"/>
  <c r="H151" i="3"/>
  <c r="O151" i="3"/>
  <c r="G151" i="3"/>
  <c r="J151" i="3"/>
  <c r="F151" i="3"/>
  <c r="B151" i="3"/>
  <c r="E151" i="3"/>
  <c r="D151" i="3"/>
  <c r="AE151" i="3"/>
  <c r="AD151" i="3"/>
  <c r="I151" i="3"/>
  <c r="AC151" i="3"/>
  <c r="AB151" i="3"/>
  <c r="C175" i="3"/>
  <c r="H175" i="3"/>
  <c r="O175" i="3"/>
  <c r="G175" i="3"/>
  <c r="F175" i="3"/>
  <c r="D175" i="3"/>
  <c r="I175" i="3"/>
  <c r="E175" i="3"/>
  <c r="B175" i="3"/>
  <c r="AE175" i="3"/>
  <c r="AD175" i="3"/>
  <c r="AC175" i="3"/>
  <c r="J175" i="3"/>
  <c r="AB175" i="3"/>
  <c r="H215" i="3"/>
  <c r="O215" i="3"/>
  <c r="G215" i="3"/>
  <c r="F215" i="3"/>
  <c r="E215" i="3"/>
  <c r="I215" i="3"/>
  <c r="D215" i="3"/>
  <c r="AB215" i="3"/>
  <c r="C215" i="3"/>
  <c r="AD215" i="3"/>
  <c r="B215" i="3"/>
  <c r="AC215" i="3"/>
  <c r="AE215" i="3"/>
  <c r="J215" i="3"/>
  <c r="H231" i="3"/>
  <c r="O231" i="3"/>
  <c r="G231" i="3"/>
  <c r="F231" i="3"/>
  <c r="E231" i="3"/>
  <c r="I231" i="3"/>
  <c r="D231" i="3"/>
  <c r="C231" i="3"/>
  <c r="J231" i="3"/>
  <c r="AB231" i="3"/>
  <c r="B231" i="3"/>
  <c r="AD231" i="3"/>
  <c r="AC231" i="3"/>
  <c r="AE231" i="3"/>
  <c r="E255" i="3"/>
  <c r="D255" i="3"/>
  <c r="J255" i="3"/>
  <c r="B255" i="3"/>
  <c r="H255" i="3"/>
  <c r="G255" i="3"/>
  <c r="F255" i="3"/>
  <c r="C255" i="3"/>
  <c r="O255" i="3"/>
  <c r="I255" i="3"/>
  <c r="AB255" i="3"/>
  <c r="AD255" i="3"/>
  <c r="AC255" i="3"/>
  <c r="AE255" i="3"/>
  <c r="I279" i="3"/>
  <c r="F279" i="3"/>
  <c r="H279" i="3"/>
  <c r="G279" i="3"/>
  <c r="O279" i="3"/>
  <c r="D279" i="3"/>
  <c r="B279" i="3"/>
  <c r="E279" i="3"/>
  <c r="AB279" i="3"/>
  <c r="C279" i="3"/>
  <c r="AD279" i="3"/>
  <c r="AC279" i="3"/>
  <c r="AE279" i="3"/>
  <c r="J279" i="3"/>
  <c r="I303" i="3"/>
  <c r="F303" i="3"/>
  <c r="C303" i="3"/>
  <c r="B303" i="3"/>
  <c r="J303" i="3"/>
  <c r="H303" i="3"/>
  <c r="G303" i="3"/>
  <c r="E303" i="3"/>
  <c r="D303" i="3"/>
  <c r="AB303" i="3"/>
  <c r="AD303" i="3"/>
  <c r="AC303" i="3"/>
  <c r="O303" i="3"/>
  <c r="AE303" i="3"/>
  <c r="I327" i="3"/>
  <c r="H327" i="3"/>
  <c r="F327" i="3"/>
  <c r="J327" i="3"/>
  <c r="G327" i="3"/>
  <c r="E327" i="3"/>
  <c r="D327" i="3"/>
  <c r="O327" i="3"/>
  <c r="C327" i="3"/>
  <c r="AB327" i="3"/>
  <c r="AD327" i="3"/>
  <c r="AC327" i="3"/>
  <c r="B327" i="3"/>
  <c r="AE327" i="3"/>
  <c r="H351" i="3"/>
  <c r="E351" i="3"/>
  <c r="I351" i="3"/>
  <c r="F351" i="3"/>
  <c r="D351" i="3"/>
  <c r="C351" i="3"/>
  <c r="O351" i="3"/>
  <c r="B351" i="3"/>
  <c r="J351" i="3"/>
  <c r="G351" i="3"/>
  <c r="AB351" i="3"/>
  <c r="AE351" i="3"/>
  <c r="AD351" i="3"/>
  <c r="AC351" i="3"/>
  <c r="O375" i="3"/>
  <c r="G375" i="3"/>
  <c r="F375" i="3"/>
  <c r="C375" i="3"/>
  <c r="H375" i="3"/>
  <c r="J375" i="3"/>
  <c r="E375" i="3"/>
  <c r="B375" i="3"/>
  <c r="I375" i="3"/>
  <c r="D375" i="3"/>
  <c r="AB375" i="3"/>
  <c r="AE375" i="3"/>
  <c r="AD375" i="3"/>
  <c r="AC375" i="3"/>
  <c r="O399" i="3"/>
  <c r="G399" i="3"/>
  <c r="D399" i="3"/>
  <c r="I399" i="3"/>
  <c r="E399" i="3"/>
  <c r="F399" i="3"/>
  <c r="C399" i="3"/>
  <c r="J399" i="3"/>
  <c r="H399" i="3"/>
  <c r="B399" i="3"/>
  <c r="AB399" i="3"/>
  <c r="AE399" i="3"/>
  <c r="AD399" i="3"/>
  <c r="AC399" i="3"/>
  <c r="O423" i="3"/>
  <c r="G423" i="3"/>
  <c r="D423" i="3"/>
  <c r="C423" i="3"/>
  <c r="J423" i="3"/>
  <c r="B423" i="3"/>
  <c r="I423" i="3"/>
  <c r="H423" i="3"/>
  <c r="E423" i="3"/>
  <c r="F423" i="3"/>
  <c r="AB423" i="3"/>
  <c r="AE423" i="3"/>
  <c r="AD423" i="3"/>
  <c r="AC423" i="3"/>
  <c r="J447" i="3"/>
  <c r="B447" i="3"/>
  <c r="O447" i="3"/>
  <c r="G447" i="3"/>
  <c r="I447" i="3"/>
  <c r="E447" i="3"/>
  <c r="H447" i="3"/>
  <c r="C447" i="3"/>
  <c r="F447" i="3"/>
  <c r="D447" i="3"/>
  <c r="AB447" i="3"/>
  <c r="AE447" i="3"/>
  <c r="AD447" i="3"/>
  <c r="AC447" i="3"/>
  <c r="H495" i="3"/>
  <c r="F495" i="3"/>
  <c r="E495" i="3"/>
  <c r="J495" i="3"/>
  <c r="B495" i="3"/>
  <c r="G495" i="3"/>
  <c r="O495" i="3"/>
  <c r="I495" i="3"/>
  <c r="D495" i="3"/>
  <c r="C495" i="3"/>
  <c r="AD495" i="3"/>
  <c r="AB495" i="3"/>
  <c r="AC495" i="3"/>
  <c r="AE495" i="3"/>
  <c r="H57" i="3"/>
  <c r="F57" i="3"/>
  <c r="C57" i="3"/>
  <c r="B57" i="3"/>
  <c r="O57" i="3"/>
  <c r="AE57" i="3"/>
  <c r="J57" i="3"/>
  <c r="AD57" i="3"/>
  <c r="I57" i="3"/>
  <c r="AC57" i="3"/>
  <c r="AB57" i="3"/>
  <c r="D57" i="3"/>
  <c r="G57" i="3"/>
  <c r="E57" i="3"/>
  <c r="H65" i="3"/>
  <c r="F65" i="3"/>
  <c r="I65" i="3"/>
  <c r="G65" i="3"/>
  <c r="O65" i="3"/>
  <c r="B65" i="3"/>
  <c r="AE65" i="3"/>
  <c r="AD65" i="3"/>
  <c r="C65" i="3"/>
  <c r="AB65" i="3"/>
  <c r="J65" i="3"/>
  <c r="AC65" i="3"/>
  <c r="E65" i="3"/>
  <c r="D65" i="3"/>
  <c r="H73" i="3"/>
  <c r="F73" i="3"/>
  <c r="C73" i="3"/>
  <c r="B73" i="3"/>
  <c r="D73" i="3"/>
  <c r="AE73" i="3"/>
  <c r="O73" i="3"/>
  <c r="AD73" i="3"/>
  <c r="E73" i="3"/>
  <c r="AB73" i="3"/>
  <c r="AC73" i="3"/>
  <c r="J73" i="3"/>
  <c r="I73" i="3"/>
  <c r="G73" i="3"/>
  <c r="H81" i="3"/>
  <c r="F81" i="3"/>
  <c r="I81" i="3"/>
  <c r="G81" i="3"/>
  <c r="D81" i="3"/>
  <c r="C81" i="3"/>
  <c r="AE81" i="3"/>
  <c r="O81" i="3"/>
  <c r="B81" i="3"/>
  <c r="AD81" i="3"/>
  <c r="E81" i="3"/>
  <c r="AB81" i="3"/>
  <c r="AC81" i="3"/>
  <c r="J81" i="3"/>
  <c r="H89" i="3"/>
  <c r="F89" i="3"/>
  <c r="C89" i="3"/>
  <c r="B89" i="3"/>
  <c r="G89" i="3"/>
  <c r="E89" i="3"/>
  <c r="AE89" i="3"/>
  <c r="D89" i="3"/>
  <c r="AD89" i="3"/>
  <c r="I89" i="3"/>
  <c r="AC89" i="3"/>
  <c r="AB89" i="3"/>
  <c r="O89" i="3"/>
  <c r="J89" i="3"/>
  <c r="H97" i="3"/>
  <c r="F97" i="3"/>
  <c r="I97" i="3"/>
  <c r="G97" i="3"/>
  <c r="J97" i="3"/>
  <c r="E97" i="3"/>
  <c r="AE97" i="3"/>
  <c r="D97" i="3"/>
  <c r="AD97" i="3"/>
  <c r="AB97" i="3"/>
  <c r="C97" i="3"/>
  <c r="O97" i="3"/>
  <c r="B97" i="3"/>
  <c r="AC97" i="3"/>
  <c r="H105" i="3"/>
  <c r="F105" i="3"/>
  <c r="C105" i="3"/>
  <c r="B105" i="3"/>
  <c r="J105" i="3"/>
  <c r="I105" i="3"/>
  <c r="AE105" i="3"/>
  <c r="G105" i="3"/>
  <c r="AD105" i="3"/>
  <c r="E105" i="3"/>
  <c r="AC105" i="3"/>
  <c r="AB105" i="3"/>
  <c r="D105" i="3"/>
  <c r="O105" i="3"/>
  <c r="H113" i="3"/>
  <c r="F113" i="3"/>
  <c r="I113" i="3"/>
  <c r="G113" i="3"/>
  <c r="AE113" i="3"/>
  <c r="J113" i="3"/>
  <c r="AD113" i="3"/>
  <c r="AB113" i="3"/>
  <c r="B113" i="3"/>
  <c r="E113" i="3"/>
  <c r="D113" i="3"/>
  <c r="C113" i="3"/>
  <c r="AC113" i="3"/>
  <c r="O113" i="3"/>
  <c r="H121" i="3"/>
  <c r="F121" i="3"/>
  <c r="C121" i="3"/>
  <c r="B121" i="3"/>
  <c r="O121" i="3"/>
  <c r="AE121" i="3"/>
  <c r="J121" i="3"/>
  <c r="AD121" i="3"/>
  <c r="I121" i="3"/>
  <c r="AB121" i="3"/>
  <c r="G121" i="3"/>
  <c r="E121" i="3"/>
  <c r="AC121" i="3"/>
  <c r="D121" i="3"/>
  <c r="H129" i="3"/>
  <c r="F129" i="3"/>
  <c r="I129" i="3"/>
  <c r="G129" i="3"/>
  <c r="E129" i="3"/>
  <c r="D129" i="3"/>
  <c r="C129" i="3"/>
  <c r="AE129" i="3"/>
  <c r="B129" i="3"/>
  <c r="AD129" i="3"/>
  <c r="AB129" i="3"/>
  <c r="J129" i="3"/>
  <c r="AC129" i="3"/>
  <c r="O129" i="3"/>
  <c r="O137" i="3"/>
  <c r="G137" i="3"/>
  <c r="D137" i="3"/>
  <c r="H137" i="3"/>
  <c r="E137" i="3"/>
  <c r="J137" i="3"/>
  <c r="I137" i="3"/>
  <c r="B137" i="3"/>
  <c r="AE137" i="3"/>
  <c r="AD137" i="3"/>
  <c r="AC137" i="3"/>
  <c r="AB137" i="3"/>
  <c r="F137" i="3"/>
  <c r="C137" i="3"/>
  <c r="O145" i="3"/>
  <c r="G145" i="3"/>
  <c r="D145" i="3"/>
  <c r="C145" i="3"/>
  <c r="E145" i="3"/>
  <c r="H145" i="3"/>
  <c r="F145" i="3"/>
  <c r="AE145" i="3"/>
  <c r="B145" i="3"/>
  <c r="AD145" i="3"/>
  <c r="AB145" i="3"/>
  <c r="J145" i="3"/>
  <c r="I145" i="3"/>
  <c r="AC145" i="3"/>
  <c r="O153" i="3"/>
  <c r="G153" i="3"/>
  <c r="D153" i="3"/>
  <c r="C153" i="3"/>
  <c r="H153" i="3"/>
  <c r="E153" i="3"/>
  <c r="I153" i="3"/>
  <c r="F153" i="3"/>
  <c r="B153" i="3"/>
  <c r="AE153" i="3"/>
  <c r="AD153" i="3"/>
  <c r="J153" i="3"/>
  <c r="AC153" i="3"/>
  <c r="AB153" i="3"/>
  <c r="O161" i="3"/>
  <c r="G161" i="3"/>
  <c r="D161" i="3"/>
  <c r="C161" i="3"/>
  <c r="J161" i="3"/>
  <c r="H161" i="3"/>
  <c r="B161" i="3"/>
  <c r="AE161" i="3"/>
  <c r="AD161" i="3"/>
  <c r="AB161" i="3"/>
  <c r="I161" i="3"/>
  <c r="F161" i="3"/>
  <c r="E161" i="3"/>
  <c r="AC161" i="3"/>
  <c r="O169" i="3"/>
  <c r="G169" i="3"/>
  <c r="D169" i="3"/>
  <c r="C169" i="3"/>
  <c r="J169" i="3"/>
  <c r="F169" i="3"/>
  <c r="E169" i="3"/>
  <c r="B169" i="3"/>
  <c r="AE169" i="3"/>
  <c r="AD169" i="3"/>
  <c r="AC169" i="3"/>
  <c r="AB169" i="3"/>
  <c r="I169" i="3"/>
  <c r="H169" i="3"/>
  <c r="O177" i="3"/>
  <c r="G177" i="3"/>
  <c r="D177" i="3"/>
  <c r="C177" i="3"/>
  <c r="E177" i="3"/>
  <c r="J177" i="3"/>
  <c r="I177" i="3"/>
  <c r="AE177" i="3"/>
  <c r="AD177" i="3"/>
  <c r="AB177" i="3"/>
  <c r="H177" i="3"/>
  <c r="F177" i="3"/>
  <c r="B177" i="3"/>
  <c r="AC177" i="3"/>
  <c r="O185" i="3"/>
  <c r="G185" i="3"/>
  <c r="D185" i="3"/>
  <c r="C185" i="3"/>
  <c r="H185" i="3"/>
  <c r="E185" i="3"/>
  <c r="B185" i="3"/>
  <c r="AE185" i="3"/>
  <c r="J185" i="3"/>
  <c r="AD185" i="3"/>
  <c r="I185" i="3"/>
  <c r="AB185" i="3"/>
  <c r="F185" i="3"/>
  <c r="AC185" i="3"/>
  <c r="D193" i="3"/>
  <c r="C193" i="3"/>
  <c r="J193" i="3"/>
  <c r="I193" i="3"/>
  <c r="B193" i="3"/>
  <c r="H193" i="3"/>
  <c r="O193" i="3"/>
  <c r="AE193" i="3"/>
  <c r="AD193" i="3"/>
  <c r="AB193" i="3"/>
  <c r="G193" i="3"/>
  <c r="F193" i="3"/>
  <c r="E193" i="3"/>
  <c r="AC193" i="3"/>
  <c r="D201" i="3"/>
  <c r="C201" i="3"/>
  <c r="J201" i="3"/>
  <c r="B201" i="3"/>
  <c r="I201" i="3"/>
  <c r="H201" i="3"/>
  <c r="O201" i="3"/>
  <c r="G201" i="3"/>
  <c r="AB201" i="3"/>
  <c r="F201" i="3"/>
  <c r="E201" i="3"/>
  <c r="AC201" i="3"/>
  <c r="AD201" i="3"/>
  <c r="AE201" i="3"/>
  <c r="D209" i="3"/>
  <c r="C209" i="3"/>
  <c r="J209" i="3"/>
  <c r="B209" i="3"/>
  <c r="I209" i="3"/>
  <c r="H209" i="3"/>
  <c r="F209" i="3"/>
  <c r="G209" i="3"/>
  <c r="AB209" i="3"/>
  <c r="E209" i="3"/>
  <c r="AE209" i="3"/>
  <c r="O209" i="3"/>
  <c r="AD209" i="3"/>
  <c r="AC209" i="3"/>
  <c r="D217" i="3"/>
  <c r="C217" i="3"/>
  <c r="J217" i="3"/>
  <c r="B217" i="3"/>
  <c r="I217" i="3"/>
  <c r="H217" i="3"/>
  <c r="O217" i="3"/>
  <c r="AB217" i="3"/>
  <c r="AE217" i="3"/>
  <c r="G217" i="3"/>
  <c r="AD217" i="3"/>
  <c r="F217" i="3"/>
  <c r="E217" i="3"/>
  <c r="AC217" i="3"/>
  <c r="D225" i="3"/>
  <c r="C225" i="3"/>
  <c r="J225" i="3"/>
  <c r="B225" i="3"/>
  <c r="I225" i="3"/>
  <c r="H225" i="3"/>
  <c r="F225" i="3"/>
  <c r="AB225" i="3"/>
  <c r="O225" i="3"/>
  <c r="AE225" i="3"/>
  <c r="G225" i="3"/>
  <c r="AD225" i="3"/>
  <c r="E225" i="3"/>
  <c r="AC225" i="3"/>
  <c r="D233" i="3"/>
  <c r="C233" i="3"/>
  <c r="J233" i="3"/>
  <c r="B233" i="3"/>
  <c r="I233" i="3"/>
  <c r="H233" i="3"/>
  <c r="E233" i="3"/>
  <c r="AB233" i="3"/>
  <c r="G233" i="3"/>
  <c r="F233" i="3"/>
  <c r="AE233" i="3"/>
  <c r="O233" i="3"/>
  <c r="AD233" i="3"/>
  <c r="AC233" i="3"/>
  <c r="I241" i="3"/>
  <c r="H241" i="3"/>
  <c r="F241" i="3"/>
  <c r="J241" i="3"/>
  <c r="G241" i="3"/>
  <c r="E241" i="3"/>
  <c r="B241" i="3"/>
  <c r="D241" i="3"/>
  <c r="AB241" i="3"/>
  <c r="C241" i="3"/>
  <c r="O241" i="3"/>
  <c r="AE241" i="3"/>
  <c r="AD241" i="3"/>
  <c r="AC241" i="3"/>
  <c r="I249" i="3"/>
  <c r="H249" i="3"/>
  <c r="F249" i="3"/>
  <c r="O249" i="3"/>
  <c r="C249" i="3"/>
  <c r="B249" i="3"/>
  <c r="J249" i="3"/>
  <c r="E249" i="3"/>
  <c r="D249" i="3"/>
  <c r="AB249" i="3"/>
  <c r="AE249" i="3"/>
  <c r="AD249" i="3"/>
  <c r="AC249" i="3"/>
  <c r="G249" i="3"/>
  <c r="I257" i="3"/>
  <c r="H257" i="3"/>
  <c r="F257" i="3"/>
  <c r="E257" i="3"/>
  <c r="D257" i="3"/>
  <c r="O257" i="3"/>
  <c r="C257" i="3"/>
  <c r="B257" i="3"/>
  <c r="G257" i="3"/>
  <c r="AB257" i="3"/>
  <c r="AE257" i="3"/>
  <c r="AD257" i="3"/>
  <c r="J257" i="3"/>
  <c r="AC257" i="3"/>
  <c r="I265" i="3"/>
  <c r="H265" i="3"/>
  <c r="F265" i="3"/>
  <c r="J265" i="3"/>
  <c r="G265" i="3"/>
  <c r="E265" i="3"/>
  <c r="D265" i="3"/>
  <c r="C265" i="3"/>
  <c r="O265" i="3"/>
  <c r="B265" i="3"/>
  <c r="AB265" i="3"/>
  <c r="AE265" i="3"/>
  <c r="AD265" i="3"/>
  <c r="AC265" i="3"/>
  <c r="I273" i="3"/>
  <c r="H273" i="3"/>
  <c r="F273" i="3"/>
  <c r="J273" i="3"/>
  <c r="G273" i="3"/>
  <c r="E273" i="3"/>
  <c r="D273" i="3"/>
  <c r="B273" i="3"/>
  <c r="AB273" i="3"/>
  <c r="C273" i="3"/>
  <c r="AE273" i="3"/>
  <c r="AD273" i="3"/>
  <c r="AC273" i="3"/>
  <c r="O273" i="3"/>
  <c r="E281" i="3"/>
  <c r="J281" i="3"/>
  <c r="B281" i="3"/>
  <c r="H281" i="3"/>
  <c r="G281" i="3"/>
  <c r="F281" i="3"/>
  <c r="D281" i="3"/>
  <c r="C281" i="3"/>
  <c r="AB281" i="3"/>
  <c r="I281" i="3"/>
  <c r="AE281" i="3"/>
  <c r="AD281" i="3"/>
  <c r="O281" i="3"/>
  <c r="AC281" i="3"/>
  <c r="E289" i="3"/>
  <c r="J289" i="3"/>
  <c r="B289" i="3"/>
  <c r="G289" i="3"/>
  <c r="F289" i="3"/>
  <c r="C289" i="3"/>
  <c r="O289" i="3"/>
  <c r="I289" i="3"/>
  <c r="H289" i="3"/>
  <c r="AB289" i="3"/>
  <c r="AE289" i="3"/>
  <c r="AD289" i="3"/>
  <c r="AC289" i="3"/>
  <c r="D289" i="3"/>
  <c r="E297" i="3"/>
  <c r="J297" i="3"/>
  <c r="B297" i="3"/>
  <c r="H297" i="3"/>
  <c r="F297" i="3"/>
  <c r="D297" i="3"/>
  <c r="C297" i="3"/>
  <c r="O297" i="3"/>
  <c r="G297" i="3"/>
  <c r="I297" i="3"/>
  <c r="AB297" i="3"/>
  <c r="AE297" i="3"/>
  <c r="AD297" i="3"/>
  <c r="AC297" i="3"/>
  <c r="E305" i="3"/>
  <c r="J305" i="3"/>
  <c r="B305" i="3"/>
  <c r="G305" i="3"/>
  <c r="F305" i="3"/>
  <c r="O305" i="3"/>
  <c r="D305" i="3"/>
  <c r="C305" i="3"/>
  <c r="H305" i="3"/>
  <c r="AB305" i="3"/>
  <c r="I305" i="3"/>
  <c r="AE305" i="3"/>
  <c r="AD305" i="3"/>
  <c r="AC305" i="3"/>
  <c r="E313" i="3"/>
  <c r="D313" i="3"/>
  <c r="J313" i="3"/>
  <c r="B313" i="3"/>
  <c r="I313" i="3"/>
  <c r="H313" i="3"/>
  <c r="G313" i="3"/>
  <c r="F313" i="3"/>
  <c r="C313" i="3"/>
  <c r="O313" i="3"/>
  <c r="AB313" i="3"/>
  <c r="AE313" i="3"/>
  <c r="AD313" i="3"/>
  <c r="AC313" i="3"/>
  <c r="E321" i="3"/>
  <c r="D321" i="3"/>
  <c r="J321" i="3"/>
  <c r="B321" i="3"/>
  <c r="C321" i="3"/>
  <c r="O321" i="3"/>
  <c r="I321" i="3"/>
  <c r="F321" i="3"/>
  <c r="AB321" i="3"/>
  <c r="AE321" i="3"/>
  <c r="AD321" i="3"/>
  <c r="H321" i="3"/>
  <c r="G321" i="3"/>
  <c r="AC321" i="3"/>
  <c r="D329" i="3"/>
  <c r="H329" i="3"/>
  <c r="G329" i="3"/>
  <c r="O329" i="3"/>
  <c r="F329" i="3"/>
  <c r="E329" i="3"/>
  <c r="B329" i="3"/>
  <c r="J329" i="3"/>
  <c r="I329" i="3"/>
  <c r="C329" i="3"/>
  <c r="AB329" i="3"/>
  <c r="AE329" i="3"/>
  <c r="AD329" i="3"/>
  <c r="AC329" i="3"/>
  <c r="D337" i="3"/>
  <c r="O337" i="3"/>
  <c r="F337" i="3"/>
  <c r="E337" i="3"/>
  <c r="C337" i="3"/>
  <c r="B337" i="3"/>
  <c r="I337" i="3"/>
  <c r="J337" i="3"/>
  <c r="H337" i="3"/>
  <c r="G337" i="3"/>
  <c r="AB337" i="3"/>
  <c r="AE337" i="3"/>
  <c r="AD337" i="3"/>
  <c r="AC337" i="3"/>
  <c r="D345" i="3"/>
  <c r="I345" i="3"/>
  <c r="G345" i="3"/>
  <c r="E345" i="3"/>
  <c r="O345" i="3"/>
  <c r="C345" i="3"/>
  <c r="B345" i="3"/>
  <c r="J345" i="3"/>
  <c r="H345" i="3"/>
  <c r="F345" i="3"/>
  <c r="AB345" i="3"/>
  <c r="AE345" i="3"/>
  <c r="AD345" i="3"/>
  <c r="AC345" i="3"/>
  <c r="J353" i="3"/>
  <c r="B353" i="3"/>
  <c r="O353" i="3"/>
  <c r="G353" i="3"/>
  <c r="I353" i="3"/>
  <c r="E353" i="3"/>
  <c r="F353" i="3"/>
  <c r="D353" i="3"/>
  <c r="H353" i="3"/>
  <c r="C353" i="3"/>
  <c r="AB353" i="3"/>
  <c r="AE353" i="3"/>
  <c r="AC353" i="3"/>
  <c r="AD353" i="3"/>
  <c r="J361" i="3"/>
  <c r="B361" i="3"/>
  <c r="O361" i="3"/>
  <c r="G361" i="3"/>
  <c r="D361" i="3"/>
  <c r="H361" i="3"/>
  <c r="F361" i="3"/>
  <c r="C361" i="3"/>
  <c r="I361" i="3"/>
  <c r="AB361" i="3"/>
  <c r="E361" i="3"/>
  <c r="AD361" i="3"/>
  <c r="AC361" i="3"/>
  <c r="AE361" i="3"/>
  <c r="J369" i="3"/>
  <c r="B369" i="3"/>
  <c r="O369" i="3"/>
  <c r="G369" i="3"/>
  <c r="I369" i="3"/>
  <c r="E369" i="3"/>
  <c r="H369" i="3"/>
  <c r="D369" i="3"/>
  <c r="C369" i="3"/>
  <c r="AB369" i="3"/>
  <c r="AE369" i="3"/>
  <c r="AD369" i="3"/>
  <c r="F369" i="3"/>
  <c r="AC369" i="3"/>
  <c r="C377" i="3"/>
  <c r="O377" i="3"/>
  <c r="F377" i="3"/>
  <c r="B377" i="3"/>
  <c r="H377" i="3"/>
  <c r="D377" i="3"/>
  <c r="J377" i="3"/>
  <c r="I377" i="3"/>
  <c r="G377" i="3"/>
  <c r="E377" i="3"/>
  <c r="AB377" i="3"/>
  <c r="AE377" i="3"/>
  <c r="AD377" i="3"/>
  <c r="AC377" i="3"/>
  <c r="C385" i="3"/>
  <c r="D385" i="3"/>
  <c r="I385" i="3"/>
  <c r="F385" i="3"/>
  <c r="B385" i="3"/>
  <c r="O385" i="3"/>
  <c r="J385" i="3"/>
  <c r="H385" i="3"/>
  <c r="E385" i="3"/>
  <c r="G385" i="3"/>
  <c r="AB385" i="3"/>
  <c r="AE385" i="3"/>
  <c r="AD385" i="3"/>
  <c r="AC385" i="3"/>
  <c r="C393" i="3"/>
  <c r="H393" i="3"/>
  <c r="G393" i="3"/>
  <c r="D393" i="3"/>
  <c r="J393" i="3"/>
  <c r="E393" i="3"/>
  <c r="B393" i="3"/>
  <c r="I393" i="3"/>
  <c r="F393" i="3"/>
  <c r="O393" i="3"/>
  <c r="AB393" i="3"/>
  <c r="AE393" i="3"/>
  <c r="AD393" i="3"/>
  <c r="AC393" i="3"/>
  <c r="C401" i="3"/>
  <c r="H401" i="3"/>
  <c r="B401" i="3"/>
  <c r="I401" i="3"/>
  <c r="F401" i="3"/>
  <c r="E401" i="3"/>
  <c r="J401" i="3"/>
  <c r="D401" i="3"/>
  <c r="G401" i="3"/>
  <c r="O401" i="3"/>
  <c r="AB401" i="3"/>
  <c r="AE401" i="3"/>
  <c r="AD401" i="3"/>
  <c r="AC401" i="3"/>
  <c r="C409" i="3"/>
  <c r="H409" i="3"/>
  <c r="G409" i="3"/>
  <c r="D409" i="3"/>
  <c r="I409" i="3"/>
  <c r="F409" i="3"/>
  <c r="O409" i="3"/>
  <c r="E409" i="3"/>
  <c r="J409" i="3"/>
  <c r="B409" i="3"/>
  <c r="AB409" i="3"/>
  <c r="AE409" i="3"/>
  <c r="AD409" i="3"/>
  <c r="AC409" i="3"/>
  <c r="C417" i="3"/>
  <c r="H417" i="3"/>
  <c r="B417" i="3"/>
  <c r="I417" i="3"/>
  <c r="O417" i="3"/>
  <c r="J417" i="3"/>
  <c r="G417" i="3"/>
  <c r="F417" i="3"/>
  <c r="AB417" i="3"/>
  <c r="AE417" i="3"/>
  <c r="E417" i="3"/>
  <c r="D417" i="3"/>
  <c r="AD417" i="3"/>
  <c r="AC417" i="3"/>
  <c r="C425" i="3"/>
  <c r="H425" i="3"/>
  <c r="G425" i="3"/>
  <c r="D425" i="3"/>
  <c r="B425" i="3"/>
  <c r="J425" i="3"/>
  <c r="O425" i="3"/>
  <c r="I425" i="3"/>
  <c r="F425" i="3"/>
  <c r="E425" i="3"/>
  <c r="AB425" i="3"/>
  <c r="AD425" i="3"/>
  <c r="AC425" i="3"/>
  <c r="AE425" i="3"/>
  <c r="C433" i="3"/>
  <c r="H433" i="3"/>
  <c r="B433" i="3"/>
  <c r="I433" i="3"/>
  <c r="E433" i="3"/>
  <c r="J433" i="3"/>
  <c r="O433" i="3"/>
  <c r="F433" i="3"/>
  <c r="G433" i="3"/>
  <c r="D433" i="3"/>
  <c r="AB433" i="3"/>
  <c r="AE433" i="3"/>
  <c r="AD433" i="3"/>
  <c r="AC433" i="3"/>
  <c r="F441" i="3"/>
  <c r="C441" i="3"/>
  <c r="H441" i="3"/>
  <c r="O441" i="3"/>
  <c r="D441" i="3"/>
  <c r="G441" i="3"/>
  <c r="I441" i="3"/>
  <c r="E441" i="3"/>
  <c r="J441" i="3"/>
  <c r="B441" i="3"/>
  <c r="AB441" i="3"/>
  <c r="AD441" i="3"/>
  <c r="AC441" i="3"/>
  <c r="AE441" i="3"/>
  <c r="F449" i="3"/>
  <c r="C449" i="3"/>
  <c r="B449" i="3"/>
  <c r="I449" i="3"/>
  <c r="H449" i="3"/>
  <c r="D449" i="3"/>
  <c r="J449" i="3"/>
  <c r="G449" i="3"/>
  <c r="O449" i="3"/>
  <c r="AB449" i="3"/>
  <c r="E449" i="3"/>
  <c r="AE449" i="3"/>
  <c r="AD449" i="3"/>
  <c r="AC449" i="3"/>
  <c r="J457" i="3"/>
  <c r="B457" i="3"/>
  <c r="F457" i="3"/>
  <c r="I457" i="3"/>
  <c r="E457" i="3"/>
  <c r="H457" i="3"/>
  <c r="C457" i="3"/>
  <c r="G457" i="3"/>
  <c r="O457" i="3"/>
  <c r="D457" i="3"/>
  <c r="AB457" i="3"/>
  <c r="AE457" i="3"/>
  <c r="AD457" i="3"/>
  <c r="AC457" i="3"/>
  <c r="J465" i="3"/>
  <c r="B465" i="3"/>
  <c r="F465" i="3"/>
  <c r="O465" i="3"/>
  <c r="D465" i="3"/>
  <c r="I465" i="3"/>
  <c r="E465" i="3"/>
  <c r="H465" i="3"/>
  <c r="G465" i="3"/>
  <c r="C465" i="3"/>
  <c r="AB465" i="3"/>
  <c r="AE465" i="3"/>
  <c r="AD465" i="3"/>
  <c r="AC465" i="3"/>
  <c r="D473" i="3"/>
  <c r="J473" i="3"/>
  <c r="B473" i="3"/>
  <c r="F473" i="3"/>
  <c r="O473" i="3"/>
  <c r="I473" i="3"/>
  <c r="G473" i="3"/>
  <c r="H473" i="3"/>
  <c r="E473" i="3"/>
  <c r="C473" i="3"/>
  <c r="AB473" i="3"/>
  <c r="AE473" i="3"/>
  <c r="AD473" i="3"/>
  <c r="AC473" i="3"/>
  <c r="D481" i="3"/>
  <c r="J481" i="3"/>
  <c r="B481" i="3"/>
  <c r="F481" i="3"/>
  <c r="E481" i="3"/>
  <c r="H481" i="3"/>
  <c r="I481" i="3"/>
  <c r="O481" i="3"/>
  <c r="C481" i="3"/>
  <c r="G481" i="3"/>
  <c r="AD481" i="3"/>
  <c r="AB481" i="3"/>
  <c r="AC481" i="3"/>
  <c r="AE481" i="3"/>
  <c r="D489" i="3"/>
  <c r="J489" i="3"/>
  <c r="B489" i="3"/>
  <c r="I489" i="3"/>
  <c r="F489" i="3"/>
  <c r="G489" i="3"/>
  <c r="O489" i="3"/>
  <c r="C489" i="3"/>
  <c r="H489" i="3"/>
  <c r="E489" i="3"/>
  <c r="AD489" i="3"/>
  <c r="AB489" i="3"/>
  <c r="AE489" i="3"/>
  <c r="AC489" i="3"/>
  <c r="D497" i="3"/>
  <c r="J497" i="3"/>
  <c r="B497" i="3"/>
  <c r="I497" i="3"/>
  <c r="F497" i="3"/>
  <c r="O497" i="3"/>
  <c r="G497" i="3"/>
  <c r="H497" i="3"/>
  <c r="E497" i="3"/>
  <c r="C497" i="3"/>
  <c r="AD497" i="3"/>
  <c r="AB497" i="3"/>
  <c r="AE497" i="3"/>
  <c r="AC497" i="3"/>
  <c r="J58" i="3"/>
  <c r="B58" i="3"/>
  <c r="H58" i="3"/>
  <c r="I58" i="3"/>
  <c r="AB58" i="3"/>
  <c r="F58" i="3"/>
  <c r="AE58" i="3"/>
  <c r="E58" i="3"/>
  <c r="AD58" i="3"/>
  <c r="C58" i="3"/>
  <c r="D58" i="3"/>
  <c r="AC58" i="3"/>
  <c r="O58" i="3"/>
  <c r="G58" i="3"/>
  <c r="J66" i="3"/>
  <c r="B66" i="3"/>
  <c r="H66" i="3"/>
  <c r="O66" i="3"/>
  <c r="E66" i="3"/>
  <c r="D66" i="3"/>
  <c r="AB66" i="3"/>
  <c r="I66" i="3"/>
  <c r="G66" i="3"/>
  <c r="C66" i="3"/>
  <c r="F66" i="3"/>
  <c r="AE66" i="3"/>
  <c r="AD66" i="3"/>
  <c r="AC66" i="3"/>
  <c r="J74" i="3"/>
  <c r="B74" i="3"/>
  <c r="H74" i="3"/>
  <c r="I74" i="3"/>
  <c r="D74" i="3"/>
  <c r="AB74" i="3"/>
  <c r="O74" i="3"/>
  <c r="C74" i="3"/>
  <c r="AE74" i="3"/>
  <c r="E74" i="3"/>
  <c r="G74" i="3"/>
  <c r="AD74" i="3"/>
  <c r="F74" i="3"/>
  <c r="AC74" i="3"/>
  <c r="J82" i="3"/>
  <c r="B82" i="3"/>
  <c r="H82" i="3"/>
  <c r="O82" i="3"/>
  <c r="E82" i="3"/>
  <c r="D82" i="3"/>
  <c r="F82" i="3"/>
  <c r="AB82" i="3"/>
  <c r="C82" i="3"/>
  <c r="AE82" i="3"/>
  <c r="I82" i="3"/>
  <c r="G82" i="3"/>
  <c r="AC82" i="3"/>
  <c r="AD82" i="3"/>
  <c r="J90" i="3"/>
  <c r="B90" i="3"/>
  <c r="H90" i="3"/>
  <c r="I90" i="3"/>
  <c r="F90" i="3"/>
  <c r="AB90" i="3"/>
  <c r="E90" i="3"/>
  <c r="D90" i="3"/>
  <c r="AE90" i="3"/>
  <c r="AD90" i="3"/>
  <c r="C90" i="3"/>
  <c r="AC90" i="3"/>
  <c r="G90" i="3"/>
  <c r="O90" i="3"/>
  <c r="J98" i="3"/>
  <c r="B98" i="3"/>
  <c r="H98" i="3"/>
  <c r="O98" i="3"/>
  <c r="E98" i="3"/>
  <c r="D98" i="3"/>
  <c r="I98" i="3"/>
  <c r="AB98" i="3"/>
  <c r="G98" i="3"/>
  <c r="F98" i="3"/>
  <c r="AE98" i="3"/>
  <c r="C98" i="3"/>
  <c r="AD98" i="3"/>
  <c r="AC98" i="3"/>
  <c r="J106" i="3"/>
  <c r="B106" i="3"/>
  <c r="H106" i="3"/>
  <c r="I106" i="3"/>
  <c r="AB106" i="3"/>
  <c r="G106" i="3"/>
  <c r="F106" i="3"/>
  <c r="AE106" i="3"/>
  <c r="O106" i="3"/>
  <c r="AD106" i="3"/>
  <c r="E106" i="3"/>
  <c r="AC106" i="3"/>
  <c r="D106" i="3"/>
  <c r="C106" i="3"/>
  <c r="J114" i="3"/>
  <c r="B114" i="3"/>
  <c r="H114" i="3"/>
  <c r="O114" i="3"/>
  <c r="E114" i="3"/>
  <c r="D114" i="3"/>
  <c r="AB114" i="3"/>
  <c r="I114" i="3"/>
  <c r="AE114" i="3"/>
  <c r="G114" i="3"/>
  <c r="F114" i="3"/>
  <c r="AC114" i="3"/>
  <c r="AD114" i="3"/>
  <c r="C114" i="3"/>
  <c r="J122" i="3"/>
  <c r="B122" i="3"/>
  <c r="H122" i="3"/>
  <c r="I122" i="3"/>
  <c r="G122" i="3"/>
  <c r="C122" i="3"/>
  <c r="AB122" i="3"/>
  <c r="O122" i="3"/>
  <c r="D122" i="3"/>
  <c r="AE122" i="3"/>
  <c r="AD122" i="3"/>
  <c r="AC122" i="3"/>
  <c r="F122" i="3"/>
  <c r="E122" i="3"/>
  <c r="J130" i="3"/>
  <c r="B130" i="3"/>
  <c r="H130" i="3"/>
  <c r="O130" i="3"/>
  <c r="E130" i="3"/>
  <c r="D130" i="3"/>
  <c r="C130" i="3"/>
  <c r="I130" i="3"/>
  <c r="AB130" i="3"/>
  <c r="G130" i="3"/>
  <c r="F130" i="3"/>
  <c r="AE130" i="3"/>
  <c r="AD130" i="3"/>
  <c r="AC130" i="3"/>
  <c r="I138" i="3"/>
  <c r="F138" i="3"/>
  <c r="O138" i="3"/>
  <c r="D138" i="3"/>
  <c r="B138" i="3"/>
  <c r="J138" i="3"/>
  <c r="H138" i="3"/>
  <c r="AB138" i="3"/>
  <c r="G138" i="3"/>
  <c r="E138" i="3"/>
  <c r="C138" i="3"/>
  <c r="AE138" i="3"/>
  <c r="AD138" i="3"/>
  <c r="AC138" i="3"/>
  <c r="I146" i="3"/>
  <c r="F146" i="3"/>
  <c r="E146" i="3"/>
  <c r="C146" i="3"/>
  <c r="D146" i="3"/>
  <c r="B146" i="3"/>
  <c r="AB146" i="3"/>
  <c r="O146" i="3"/>
  <c r="J146" i="3"/>
  <c r="AE146" i="3"/>
  <c r="H146" i="3"/>
  <c r="G146" i="3"/>
  <c r="AD146" i="3"/>
  <c r="AC146" i="3"/>
  <c r="I154" i="3"/>
  <c r="F154" i="3"/>
  <c r="E154" i="3"/>
  <c r="G154" i="3"/>
  <c r="C154" i="3"/>
  <c r="J154" i="3"/>
  <c r="H154" i="3"/>
  <c r="AB154" i="3"/>
  <c r="O154" i="3"/>
  <c r="D154" i="3"/>
  <c r="AE154" i="3"/>
  <c r="B154" i="3"/>
  <c r="AD154" i="3"/>
  <c r="AC154" i="3"/>
  <c r="I162" i="3"/>
  <c r="F162" i="3"/>
  <c r="E162" i="3"/>
  <c r="J162" i="3"/>
  <c r="G162" i="3"/>
  <c r="B162" i="3"/>
  <c r="O162" i="3"/>
  <c r="AB162" i="3"/>
  <c r="D162" i="3"/>
  <c r="H162" i="3"/>
  <c r="AE162" i="3"/>
  <c r="C162" i="3"/>
  <c r="AD162" i="3"/>
  <c r="AC162" i="3"/>
  <c r="I170" i="3"/>
  <c r="F170" i="3"/>
  <c r="E170" i="3"/>
  <c r="J170" i="3"/>
  <c r="H170" i="3"/>
  <c r="G170" i="3"/>
  <c r="D170" i="3"/>
  <c r="O170" i="3"/>
  <c r="AB170" i="3"/>
  <c r="B170" i="3"/>
  <c r="C170" i="3"/>
  <c r="AE170" i="3"/>
  <c r="AD170" i="3"/>
  <c r="AC170" i="3"/>
  <c r="I178" i="3"/>
  <c r="F178" i="3"/>
  <c r="E178" i="3"/>
  <c r="C178" i="3"/>
  <c r="O178" i="3"/>
  <c r="H178" i="3"/>
  <c r="AB178" i="3"/>
  <c r="G178" i="3"/>
  <c r="B178" i="3"/>
  <c r="D178" i="3"/>
  <c r="J178" i="3"/>
  <c r="AE178" i="3"/>
  <c r="AD178" i="3"/>
  <c r="AC178" i="3"/>
  <c r="I186" i="3"/>
  <c r="F186" i="3"/>
  <c r="E186" i="3"/>
  <c r="G186" i="3"/>
  <c r="C186" i="3"/>
  <c r="H186" i="3"/>
  <c r="D186" i="3"/>
  <c r="B186" i="3"/>
  <c r="J186" i="3"/>
  <c r="AB186" i="3"/>
  <c r="AE186" i="3"/>
  <c r="AD186" i="3"/>
  <c r="AC186" i="3"/>
  <c r="O186" i="3"/>
  <c r="F194" i="3"/>
  <c r="E194" i="3"/>
  <c r="D194" i="3"/>
  <c r="C194" i="3"/>
  <c r="B194" i="3"/>
  <c r="O194" i="3"/>
  <c r="J194" i="3"/>
  <c r="I194" i="3"/>
  <c r="G194" i="3"/>
  <c r="H194" i="3"/>
  <c r="AB194" i="3"/>
  <c r="AE194" i="3"/>
  <c r="AD194" i="3"/>
  <c r="AC194" i="3"/>
  <c r="F202" i="3"/>
  <c r="E202" i="3"/>
  <c r="D202" i="3"/>
  <c r="C202" i="3"/>
  <c r="B202" i="3"/>
  <c r="O202" i="3"/>
  <c r="J202" i="3"/>
  <c r="G202" i="3"/>
  <c r="AE202" i="3"/>
  <c r="H202" i="3"/>
  <c r="I202" i="3"/>
  <c r="AD202" i="3"/>
  <c r="AC202" i="3"/>
  <c r="AB202" i="3"/>
  <c r="F210" i="3"/>
  <c r="E210" i="3"/>
  <c r="D210" i="3"/>
  <c r="C210" i="3"/>
  <c r="B210" i="3"/>
  <c r="O210" i="3"/>
  <c r="J210" i="3"/>
  <c r="I210" i="3"/>
  <c r="AE210" i="3"/>
  <c r="AB210" i="3"/>
  <c r="H210" i="3"/>
  <c r="G210" i="3"/>
  <c r="AC210" i="3"/>
  <c r="AD210" i="3"/>
  <c r="F226" i="3"/>
  <c r="E226" i="3"/>
  <c r="D226" i="3"/>
  <c r="C226" i="3"/>
  <c r="B226" i="3"/>
  <c r="O226" i="3"/>
  <c r="J226" i="3"/>
  <c r="H226" i="3"/>
  <c r="G226" i="3"/>
  <c r="AE226" i="3"/>
  <c r="AB226" i="3"/>
  <c r="I226" i="3"/>
  <c r="AD226" i="3"/>
  <c r="AC226" i="3"/>
  <c r="C234" i="3"/>
  <c r="J234" i="3"/>
  <c r="H234" i="3"/>
  <c r="G234" i="3"/>
  <c r="F234" i="3"/>
  <c r="E234" i="3"/>
  <c r="O234" i="3"/>
  <c r="D234" i="3"/>
  <c r="B234" i="3"/>
  <c r="AE234" i="3"/>
  <c r="AB234" i="3"/>
  <c r="I234" i="3"/>
  <c r="AD234" i="3"/>
  <c r="AC234" i="3"/>
  <c r="C242" i="3"/>
  <c r="J242" i="3"/>
  <c r="B242" i="3"/>
  <c r="H242" i="3"/>
  <c r="I242" i="3"/>
  <c r="G242" i="3"/>
  <c r="F242" i="3"/>
  <c r="E242" i="3"/>
  <c r="AE242" i="3"/>
  <c r="AB242" i="3"/>
  <c r="O242" i="3"/>
  <c r="D242" i="3"/>
  <c r="AC242" i="3"/>
  <c r="AD242" i="3"/>
  <c r="C250" i="3"/>
  <c r="J250" i="3"/>
  <c r="B250" i="3"/>
  <c r="H250" i="3"/>
  <c r="I250" i="3"/>
  <c r="G250" i="3"/>
  <c r="D250" i="3"/>
  <c r="E250" i="3"/>
  <c r="AE250" i="3"/>
  <c r="AB250" i="3"/>
  <c r="AC250" i="3"/>
  <c r="O250" i="3"/>
  <c r="F250" i="3"/>
  <c r="AD250" i="3"/>
  <c r="C258" i="3"/>
  <c r="J258" i="3"/>
  <c r="B258" i="3"/>
  <c r="H258" i="3"/>
  <c r="E258" i="3"/>
  <c r="O258" i="3"/>
  <c r="D258" i="3"/>
  <c r="I258" i="3"/>
  <c r="F258" i="3"/>
  <c r="AE258" i="3"/>
  <c r="AB258" i="3"/>
  <c r="G258" i="3"/>
  <c r="AD258" i="3"/>
  <c r="AC258" i="3"/>
  <c r="C266" i="3"/>
  <c r="J266" i="3"/>
  <c r="B266" i="3"/>
  <c r="H266" i="3"/>
  <c r="G266" i="3"/>
  <c r="F266" i="3"/>
  <c r="E266" i="3"/>
  <c r="O266" i="3"/>
  <c r="D266" i="3"/>
  <c r="I266" i="3"/>
  <c r="AE266" i="3"/>
  <c r="AB266" i="3"/>
  <c r="AD266" i="3"/>
  <c r="AC266" i="3"/>
  <c r="C274" i="3"/>
  <c r="J274" i="3"/>
  <c r="B274" i="3"/>
  <c r="H274" i="3"/>
  <c r="I274" i="3"/>
  <c r="G274" i="3"/>
  <c r="F274" i="3"/>
  <c r="E274" i="3"/>
  <c r="AE274" i="3"/>
  <c r="O274" i="3"/>
  <c r="AB274" i="3"/>
  <c r="AC274" i="3"/>
  <c r="AD274" i="3"/>
  <c r="D274" i="3"/>
  <c r="O282" i="3"/>
  <c r="G282" i="3"/>
  <c r="D282" i="3"/>
  <c r="I282" i="3"/>
  <c r="H282" i="3"/>
  <c r="E282" i="3"/>
  <c r="J282" i="3"/>
  <c r="F282" i="3"/>
  <c r="C282" i="3"/>
  <c r="B282" i="3"/>
  <c r="AE282" i="3"/>
  <c r="AB282" i="3"/>
  <c r="AD282" i="3"/>
  <c r="AC282" i="3"/>
  <c r="O290" i="3"/>
  <c r="G290" i="3"/>
  <c r="D290" i="3"/>
  <c r="C290" i="3"/>
  <c r="B290" i="3"/>
  <c r="J290" i="3"/>
  <c r="I290" i="3"/>
  <c r="E290" i="3"/>
  <c r="AE290" i="3"/>
  <c r="H290" i="3"/>
  <c r="AB290" i="3"/>
  <c r="F290" i="3"/>
  <c r="AD290" i="3"/>
  <c r="AC290" i="3"/>
  <c r="O298" i="3"/>
  <c r="G298" i="3"/>
  <c r="D298" i="3"/>
  <c r="I298" i="3"/>
  <c r="H298" i="3"/>
  <c r="E298" i="3"/>
  <c r="J298" i="3"/>
  <c r="F298" i="3"/>
  <c r="C298" i="3"/>
  <c r="B298" i="3"/>
  <c r="AE298" i="3"/>
  <c r="AB298" i="3"/>
  <c r="AD298" i="3"/>
  <c r="AC298" i="3"/>
  <c r="O306" i="3"/>
  <c r="G306" i="3"/>
  <c r="D306" i="3"/>
  <c r="C306" i="3"/>
  <c r="B306" i="3"/>
  <c r="J306" i="3"/>
  <c r="I306" i="3"/>
  <c r="H306" i="3"/>
  <c r="F306" i="3"/>
  <c r="E306" i="3"/>
  <c r="AE306" i="3"/>
  <c r="AB306" i="3"/>
  <c r="AD306" i="3"/>
  <c r="AC306" i="3"/>
  <c r="O314" i="3"/>
  <c r="G314" i="3"/>
  <c r="F314" i="3"/>
  <c r="D314" i="3"/>
  <c r="J314" i="3"/>
  <c r="I314" i="3"/>
  <c r="H314" i="3"/>
  <c r="E314" i="3"/>
  <c r="C314" i="3"/>
  <c r="AE314" i="3"/>
  <c r="AB314" i="3"/>
  <c r="B314" i="3"/>
  <c r="AC314" i="3"/>
  <c r="AD314" i="3"/>
  <c r="O322" i="3"/>
  <c r="G322" i="3"/>
  <c r="F322" i="3"/>
  <c r="D322" i="3"/>
  <c r="B322" i="3"/>
  <c r="J322" i="3"/>
  <c r="I322" i="3"/>
  <c r="H322" i="3"/>
  <c r="E322" i="3"/>
  <c r="C322" i="3"/>
  <c r="AE322" i="3"/>
  <c r="AB322" i="3"/>
  <c r="AD322" i="3"/>
  <c r="AC322" i="3"/>
  <c r="F330" i="3"/>
  <c r="C330" i="3"/>
  <c r="B330" i="3"/>
  <c r="J330" i="3"/>
  <c r="I330" i="3"/>
  <c r="G330" i="3"/>
  <c r="D330" i="3"/>
  <c r="O330" i="3"/>
  <c r="H330" i="3"/>
  <c r="E330" i="3"/>
  <c r="AE330" i="3"/>
  <c r="AB330" i="3"/>
  <c r="AD330" i="3"/>
  <c r="AC330" i="3"/>
  <c r="F338" i="3"/>
  <c r="J338" i="3"/>
  <c r="I338" i="3"/>
  <c r="H338" i="3"/>
  <c r="G338" i="3"/>
  <c r="D338" i="3"/>
  <c r="E338" i="3"/>
  <c r="C338" i="3"/>
  <c r="B338" i="3"/>
  <c r="O338" i="3"/>
  <c r="AE338" i="3"/>
  <c r="AB338" i="3"/>
  <c r="AC338" i="3"/>
  <c r="AD338" i="3"/>
  <c r="F346" i="3"/>
  <c r="C346" i="3"/>
  <c r="O346" i="3"/>
  <c r="D346" i="3"/>
  <c r="B346" i="3"/>
  <c r="J346" i="3"/>
  <c r="H346" i="3"/>
  <c r="I346" i="3"/>
  <c r="G346" i="3"/>
  <c r="E346" i="3"/>
  <c r="AE346" i="3"/>
  <c r="AB346" i="3"/>
  <c r="AD346" i="3"/>
  <c r="AC346" i="3"/>
  <c r="D354" i="3"/>
  <c r="I354" i="3"/>
  <c r="F354" i="3"/>
  <c r="B354" i="3"/>
  <c r="G354" i="3"/>
  <c r="E354" i="3"/>
  <c r="O354" i="3"/>
  <c r="J354" i="3"/>
  <c r="H354" i="3"/>
  <c r="C354" i="3"/>
  <c r="AB354" i="3"/>
  <c r="AE354" i="3"/>
  <c r="AD354" i="3"/>
  <c r="AC354" i="3"/>
  <c r="D362" i="3"/>
  <c r="I362" i="3"/>
  <c r="G362" i="3"/>
  <c r="H362" i="3"/>
  <c r="F362" i="3"/>
  <c r="C362" i="3"/>
  <c r="B362" i="3"/>
  <c r="O362" i="3"/>
  <c r="J362" i="3"/>
  <c r="E362" i="3"/>
  <c r="AE362" i="3"/>
  <c r="AD362" i="3"/>
  <c r="AC362" i="3"/>
  <c r="AB362" i="3"/>
  <c r="D370" i="3"/>
  <c r="I370" i="3"/>
  <c r="F370" i="3"/>
  <c r="B370" i="3"/>
  <c r="J370" i="3"/>
  <c r="H370" i="3"/>
  <c r="E370" i="3"/>
  <c r="C370" i="3"/>
  <c r="O370" i="3"/>
  <c r="G370" i="3"/>
  <c r="AB370" i="3"/>
  <c r="AD370" i="3"/>
  <c r="AC370" i="3"/>
  <c r="AE370" i="3"/>
  <c r="E378" i="3"/>
  <c r="J378" i="3"/>
  <c r="G378" i="3"/>
  <c r="F378" i="3"/>
  <c r="B378" i="3"/>
  <c r="C378" i="3"/>
  <c r="I378" i="3"/>
  <c r="H378" i="3"/>
  <c r="D378" i="3"/>
  <c r="AE378" i="3"/>
  <c r="AD378" i="3"/>
  <c r="O378" i="3"/>
  <c r="AC378" i="3"/>
  <c r="AB378" i="3"/>
  <c r="E386" i="3"/>
  <c r="H386" i="3"/>
  <c r="D386" i="3"/>
  <c r="C386" i="3"/>
  <c r="J386" i="3"/>
  <c r="F386" i="3"/>
  <c r="B386" i="3"/>
  <c r="G386" i="3"/>
  <c r="O386" i="3"/>
  <c r="I386" i="3"/>
  <c r="AB386" i="3"/>
  <c r="AE386" i="3"/>
  <c r="AD386" i="3"/>
  <c r="AC386" i="3"/>
  <c r="E394" i="3"/>
  <c r="J394" i="3"/>
  <c r="B394" i="3"/>
  <c r="O394" i="3"/>
  <c r="D394" i="3"/>
  <c r="I394" i="3"/>
  <c r="F394" i="3"/>
  <c r="C394" i="3"/>
  <c r="G394" i="3"/>
  <c r="H394" i="3"/>
  <c r="AE394" i="3"/>
  <c r="AD394" i="3"/>
  <c r="AC394" i="3"/>
  <c r="AB394" i="3"/>
  <c r="E402" i="3"/>
  <c r="J402" i="3"/>
  <c r="B402" i="3"/>
  <c r="I402" i="3"/>
  <c r="F402" i="3"/>
  <c r="G402" i="3"/>
  <c r="D402" i="3"/>
  <c r="O402" i="3"/>
  <c r="C402" i="3"/>
  <c r="H402" i="3"/>
  <c r="AB402" i="3"/>
  <c r="AC402" i="3"/>
  <c r="AD402" i="3"/>
  <c r="AE402" i="3"/>
  <c r="E410" i="3"/>
  <c r="J410" i="3"/>
  <c r="B410" i="3"/>
  <c r="O410" i="3"/>
  <c r="D410" i="3"/>
  <c r="H410" i="3"/>
  <c r="G410" i="3"/>
  <c r="I410" i="3"/>
  <c r="C410" i="3"/>
  <c r="F410" i="3"/>
  <c r="AE410" i="3"/>
  <c r="AB410" i="3"/>
  <c r="AC410" i="3"/>
  <c r="AD410" i="3"/>
  <c r="E418" i="3"/>
  <c r="J418" i="3"/>
  <c r="B418" i="3"/>
  <c r="I418" i="3"/>
  <c r="F418" i="3"/>
  <c r="O418" i="3"/>
  <c r="H418" i="3"/>
  <c r="C418" i="3"/>
  <c r="G418" i="3"/>
  <c r="D418" i="3"/>
  <c r="AB418" i="3"/>
  <c r="AE418" i="3"/>
  <c r="AD418" i="3"/>
  <c r="AC418" i="3"/>
  <c r="E426" i="3"/>
  <c r="J426" i="3"/>
  <c r="B426" i="3"/>
  <c r="O426" i="3"/>
  <c r="D426" i="3"/>
  <c r="C426" i="3"/>
  <c r="I426" i="3"/>
  <c r="F426" i="3"/>
  <c r="H426" i="3"/>
  <c r="G426" i="3"/>
  <c r="AE426" i="3"/>
  <c r="AC426" i="3"/>
  <c r="AB426" i="3"/>
  <c r="AD426" i="3"/>
  <c r="E434" i="3"/>
  <c r="J434" i="3"/>
  <c r="B434" i="3"/>
  <c r="I434" i="3"/>
  <c r="F434" i="3"/>
  <c r="D434" i="3"/>
  <c r="G434" i="3"/>
  <c r="C434" i="3"/>
  <c r="O434" i="3"/>
  <c r="H434" i="3"/>
  <c r="AB434" i="3"/>
  <c r="AD434" i="3"/>
  <c r="AC434" i="3"/>
  <c r="AE434" i="3"/>
  <c r="H442" i="3"/>
  <c r="E442" i="3"/>
  <c r="O442" i="3"/>
  <c r="D442" i="3"/>
  <c r="G442" i="3"/>
  <c r="B442" i="3"/>
  <c r="J442" i="3"/>
  <c r="I442" i="3"/>
  <c r="F442" i="3"/>
  <c r="C442" i="3"/>
  <c r="AE442" i="3"/>
  <c r="AD442" i="3"/>
  <c r="AC442" i="3"/>
  <c r="AB442" i="3"/>
  <c r="H450" i="3"/>
  <c r="E450" i="3"/>
  <c r="J450" i="3"/>
  <c r="F450" i="3"/>
  <c r="I450" i="3"/>
  <c r="C450" i="3"/>
  <c r="B450" i="3"/>
  <c r="O450" i="3"/>
  <c r="G450" i="3"/>
  <c r="D450" i="3"/>
  <c r="AB450" i="3"/>
  <c r="AE450" i="3"/>
  <c r="AD450" i="3"/>
  <c r="AC450" i="3"/>
  <c r="D458" i="3"/>
  <c r="H458" i="3"/>
  <c r="F458" i="3"/>
  <c r="B458" i="3"/>
  <c r="I458" i="3"/>
  <c r="C458" i="3"/>
  <c r="E458" i="3"/>
  <c r="J458" i="3"/>
  <c r="O458" i="3"/>
  <c r="G458" i="3"/>
  <c r="AE458" i="3"/>
  <c r="AD458" i="3"/>
  <c r="AC458" i="3"/>
  <c r="AB458" i="3"/>
  <c r="D466" i="3"/>
  <c r="H466" i="3"/>
  <c r="G466" i="3"/>
  <c r="J466" i="3"/>
  <c r="E466" i="3"/>
  <c r="F466" i="3"/>
  <c r="B466" i="3"/>
  <c r="I466" i="3"/>
  <c r="O466" i="3"/>
  <c r="C466" i="3"/>
  <c r="AB466" i="3"/>
  <c r="AC466" i="3"/>
  <c r="AD466" i="3"/>
  <c r="AE466" i="3"/>
  <c r="F474" i="3"/>
  <c r="D474" i="3"/>
  <c r="H474" i="3"/>
  <c r="I474" i="3"/>
  <c r="C474" i="3"/>
  <c r="O474" i="3"/>
  <c r="B474" i="3"/>
  <c r="G474" i="3"/>
  <c r="J474" i="3"/>
  <c r="E474" i="3"/>
  <c r="AE474" i="3"/>
  <c r="AB474" i="3"/>
  <c r="AD474" i="3"/>
  <c r="AC474" i="3"/>
  <c r="F482" i="3"/>
  <c r="D482" i="3"/>
  <c r="H482" i="3"/>
  <c r="C482" i="3"/>
  <c r="J482" i="3"/>
  <c r="E482" i="3"/>
  <c r="B482" i="3"/>
  <c r="G482" i="3"/>
  <c r="O482" i="3"/>
  <c r="I482" i="3"/>
  <c r="AE482" i="3"/>
  <c r="AB482" i="3"/>
  <c r="AD482" i="3"/>
  <c r="AC482" i="3"/>
  <c r="F490" i="3"/>
  <c r="D490" i="3"/>
  <c r="C490" i="3"/>
  <c r="H490" i="3"/>
  <c r="B490" i="3"/>
  <c r="G490" i="3"/>
  <c r="E490" i="3"/>
  <c r="I490" i="3"/>
  <c r="O490" i="3"/>
  <c r="J490" i="3"/>
  <c r="AE490" i="3"/>
  <c r="AD490" i="3"/>
  <c r="AC490" i="3"/>
  <c r="AB490" i="3"/>
  <c r="F498" i="3"/>
  <c r="D498" i="3"/>
  <c r="C498" i="3"/>
  <c r="H498" i="3"/>
  <c r="B498" i="3"/>
  <c r="O498" i="3"/>
  <c r="G498" i="3"/>
  <c r="I498" i="3"/>
  <c r="E498" i="3"/>
  <c r="J498" i="3"/>
  <c r="AE498" i="3"/>
  <c r="AD498" i="3"/>
  <c r="AC498" i="3"/>
  <c r="AB498" i="3"/>
  <c r="F218" i="3"/>
  <c r="E218" i="3"/>
  <c r="D218" i="3"/>
  <c r="C218" i="3"/>
  <c r="B218" i="3"/>
  <c r="O218" i="3"/>
  <c r="J218" i="3"/>
  <c r="H218" i="3"/>
  <c r="AE218" i="3"/>
  <c r="I218" i="3"/>
  <c r="AB218" i="3"/>
  <c r="G218" i="3"/>
  <c r="AC218" i="3"/>
  <c r="AD218" i="3"/>
  <c r="D59" i="3"/>
  <c r="J59" i="3"/>
  <c r="B59" i="3"/>
  <c r="G59" i="3"/>
  <c r="F59" i="3"/>
  <c r="AE59" i="3"/>
  <c r="AD59" i="3"/>
  <c r="H59" i="3"/>
  <c r="O59" i="3"/>
  <c r="E59" i="3"/>
  <c r="I59" i="3"/>
  <c r="AB59" i="3"/>
  <c r="C59" i="3"/>
  <c r="AC59" i="3"/>
  <c r="D67" i="3"/>
  <c r="J67" i="3"/>
  <c r="B67" i="3"/>
  <c r="C67" i="3"/>
  <c r="O67" i="3"/>
  <c r="AE67" i="3"/>
  <c r="AD67" i="3"/>
  <c r="AB67" i="3"/>
  <c r="G67" i="3"/>
  <c r="I67" i="3"/>
  <c r="AC67" i="3"/>
  <c r="H67" i="3"/>
  <c r="F67" i="3"/>
  <c r="E67" i="3"/>
  <c r="D75" i="3"/>
  <c r="J75" i="3"/>
  <c r="B75" i="3"/>
  <c r="G75" i="3"/>
  <c r="F75" i="3"/>
  <c r="C75" i="3"/>
  <c r="O75" i="3"/>
  <c r="AE75" i="3"/>
  <c r="AD75" i="3"/>
  <c r="I75" i="3"/>
  <c r="H75" i="3"/>
  <c r="AC75" i="3"/>
  <c r="AB75" i="3"/>
  <c r="E75" i="3"/>
  <c r="D83" i="3"/>
  <c r="J83" i="3"/>
  <c r="B83" i="3"/>
  <c r="F83" i="3"/>
  <c r="E83" i="3"/>
  <c r="AE83" i="3"/>
  <c r="C83" i="3"/>
  <c r="AD83" i="3"/>
  <c r="I83" i="3"/>
  <c r="O83" i="3"/>
  <c r="AC83" i="3"/>
  <c r="AB83" i="3"/>
  <c r="H83" i="3"/>
  <c r="G83" i="3"/>
  <c r="D91" i="3"/>
  <c r="J91" i="3"/>
  <c r="B91" i="3"/>
  <c r="G91" i="3"/>
  <c r="F91" i="3"/>
  <c r="H91" i="3"/>
  <c r="E91" i="3"/>
  <c r="AE91" i="3"/>
  <c r="C91" i="3"/>
  <c r="AD91" i="3"/>
  <c r="O91" i="3"/>
  <c r="I91" i="3"/>
  <c r="AC91" i="3"/>
  <c r="AB91" i="3"/>
  <c r="D99" i="3"/>
  <c r="J99" i="3"/>
  <c r="B99" i="3"/>
  <c r="H99" i="3"/>
  <c r="G99" i="3"/>
  <c r="AE99" i="3"/>
  <c r="F99" i="3"/>
  <c r="AD99" i="3"/>
  <c r="C99" i="3"/>
  <c r="AB99" i="3"/>
  <c r="O99" i="3"/>
  <c r="AC99" i="3"/>
  <c r="I99" i="3"/>
  <c r="E99" i="3"/>
  <c r="D107" i="3"/>
  <c r="J107" i="3"/>
  <c r="B107" i="3"/>
  <c r="G107" i="3"/>
  <c r="F107" i="3"/>
  <c r="I107" i="3"/>
  <c r="AE107" i="3"/>
  <c r="H107" i="3"/>
  <c r="AD107" i="3"/>
  <c r="C107" i="3"/>
  <c r="O107" i="3"/>
  <c r="AC107" i="3"/>
  <c r="AB107" i="3"/>
  <c r="E107" i="3"/>
  <c r="D115" i="3"/>
  <c r="J115" i="3"/>
  <c r="B115" i="3"/>
  <c r="I115" i="3"/>
  <c r="AE115" i="3"/>
  <c r="H115" i="3"/>
  <c r="AD115" i="3"/>
  <c r="F115" i="3"/>
  <c r="E115" i="3"/>
  <c r="AB115" i="3"/>
  <c r="C115" i="3"/>
  <c r="AC115" i="3"/>
  <c r="O115" i="3"/>
  <c r="G115" i="3"/>
  <c r="D123" i="3"/>
  <c r="J123" i="3"/>
  <c r="B123" i="3"/>
  <c r="G123" i="3"/>
  <c r="F123" i="3"/>
  <c r="O123" i="3"/>
  <c r="E123" i="3"/>
  <c r="C123" i="3"/>
  <c r="AE123" i="3"/>
  <c r="AD123" i="3"/>
  <c r="H123" i="3"/>
  <c r="I123" i="3"/>
  <c r="AB123" i="3"/>
  <c r="AC123" i="3"/>
  <c r="D131" i="3"/>
  <c r="J131" i="3"/>
  <c r="B131" i="3"/>
  <c r="I131" i="3"/>
  <c r="H131" i="3"/>
  <c r="AE131" i="3"/>
  <c r="G131" i="3"/>
  <c r="AD131" i="3"/>
  <c r="O131" i="3"/>
  <c r="F131" i="3"/>
  <c r="C131" i="3"/>
  <c r="E131" i="3"/>
  <c r="AC131" i="3"/>
  <c r="AB131" i="3"/>
  <c r="C139" i="3"/>
  <c r="H139" i="3"/>
  <c r="I139" i="3"/>
  <c r="J139" i="3"/>
  <c r="G139" i="3"/>
  <c r="AE139" i="3"/>
  <c r="O139" i="3"/>
  <c r="AD139" i="3"/>
  <c r="F139" i="3"/>
  <c r="E139" i="3"/>
  <c r="AC139" i="3"/>
  <c r="AB139" i="3"/>
  <c r="D139" i="3"/>
  <c r="B139" i="3"/>
  <c r="C147" i="3"/>
  <c r="H147" i="3"/>
  <c r="O147" i="3"/>
  <c r="G147" i="3"/>
  <c r="B147" i="3"/>
  <c r="F147" i="3"/>
  <c r="E147" i="3"/>
  <c r="D147" i="3"/>
  <c r="I147" i="3"/>
  <c r="AE147" i="3"/>
  <c r="AD147" i="3"/>
  <c r="J147" i="3"/>
  <c r="AB147" i="3"/>
  <c r="AC147" i="3"/>
  <c r="C155" i="3"/>
  <c r="H155" i="3"/>
  <c r="O155" i="3"/>
  <c r="G155" i="3"/>
  <c r="E155" i="3"/>
  <c r="B155" i="3"/>
  <c r="J155" i="3"/>
  <c r="D155" i="3"/>
  <c r="AE155" i="3"/>
  <c r="AD155" i="3"/>
  <c r="F155" i="3"/>
  <c r="AC155" i="3"/>
  <c r="AB155" i="3"/>
  <c r="I155" i="3"/>
  <c r="C163" i="3"/>
  <c r="H163" i="3"/>
  <c r="O163" i="3"/>
  <c r="G163" i="3"/>
  <c r="I163" i="3"/>
  <c r="E163" i="3"/>
  <c r="D163" i="3"/>
  <c r="B163" i="3"/>
  <c r="AE163" i="3"/>
  <c r="AD163" i="3"/>
  <c r="F163" i="3"/>
  <c r="AB163" i="3"/>
  <c r="AC163" i="3"/>
  <c r="J163" i="3"/>
  <c r="C171" i="3"/>
  <c r="H171" i="3"/>
  <c r="O171" i="3"/>
  <c r="G171" i="3"/>
  <c r="I171" i="3"/>
  <c r="J171" i="3"/>
  <c r="F171" i="3"/>
  <c r="AE171" i="3"/>
  <c r="AD171" i="3"/>
  <c r="B171" i="3"/>
  <c r="AC171" i="3"/>
  <c r="E171" i="3"/>
  <c r="D171" i="3"/>
  <c r="AB171" i="3"/>
  <c r="C179" i="3"/>
  <c r="H179" i="3"/>
  <c r="O179" i="3"/>
  <c r="G179" i="3"/>
  <c r="B179" i="3"/>
  <c r="D179" i="3"/>
  <c r="AE179" i="3"/>
  <c r="AD179" i="3"/>
  <c r="J179" i="3"/>
  <c r="AB179" i="3"/>
  <c r="AC179" i="3"/>
  <c r="I179" i="3"/>
  <c r="F179" i="3"/>
  <c r="E179" i="3"/>
  <c r="C187" i="3"/>
  <c r="H187" i="3"/>
  <c r="O187" i="3"/>
  <c r="G187" i="3"/>
  <c r="E187" i="3"/>
  <c r="B187" i="3"/>
  <c r="J187" i="3"/>
  <c r="I187" i="3"/>
  <c r="F187" i="3"/>
  <c r="AE187" i="3"/>
  <c r="AD187" i="3"/>
  <c r="D187" i="3"/>
  <c r="AB187" i="3"/>
  <c r="AC187" i="3"/>
  <c r="H195" i="3"/>
  <c r="O195" i="3"/>
  <c r="G195" i="3"/>
  <c r="F195" i="3"/>
  <c r="E195" i="3"/>
  <c r="D195" i="3"/>
  <c r="B195" i="3"/>
  <c r="AB195" i="3"/>
  <c r="J195" i="3"/>
  <c r="I195" i="3"/>
  <c r="C195" i="3"/>
  <c r="AE195" i="3"/>
  <c r="AD195" i="3"/>
  <c r="AC195" i="3"/>
  <c r="H203" i="3"/>
  <c r="O203" i="3"/>
  <c r="G203" i="3"/>
  <c r="F203" i="3"/>
  <c r="E203" i="3"/>
  <c r="D203" i="3"/>
  <c r="I203" i="3"/>
  <c r="AB203" i="3"/>
  <c r="C203" i="3"/>
  <c r="AC203" i="3"/>
  <c r="B203" i="3"/>
  <c r="J203" i="3"/>
  <c r="AE203" i="3"/>
  <c r="AD203" i="3"/>
  <c r="H211" i="3"/>
  <c r="O211" i="3"/>
  <c r="G211" i="3"/>
  <c r="F211" i="3"/>
  <c r="E211" i="3"/>
  <c r="D211" i="3"/>
  <c r="C211" i="3"/>
  <c r="AB211" i="3"/>
  <c r="J211" i="3"/>
  <c r="I211" i="3"/>
  <c r="B211" i="3"/>
  <c r="AD211" i="3"/>
  <c r="AC211" i="3"/>
  <c r="AE211" i="3"/>
  <c r="H219" i="3"/>
  <c r="O219" i="3"/>
  <c r="G219" i="3"/>
  <c r="F219" i="3"/>
  <c r="E219" i="3"/>
  <c r="D219" i="3"/>
  <c r="C219" i="3"/>
  <c r="AB219" i="3"/>
  <c r="B219" i="3"/>
  <c r="I219" i="3"/>
  <c r="J219" i="3"/>
  <c r="AE219" i="3"/>
  <c r="AD219" i="3"/>
  <c r="AC219" i="3"/>
  <c r="H227" i="3"/>
  <c r="O227" i="3"/>
  <c r="G227" i="3"/>
  <c r="F227" i="3"/>
  <c r="E227" i="3"/>
  <c r="D227" i="3"/>
  <c r="J227" i="3"/>
  <c r="C227" i="3"/>
  <c r="AB227" i="3"/>
  <c r="B227" i="3"/>
  <c r="AE227" i="3"/>
  <c r="AC227" i="3"/>
  <c r="AD227" i="3"/>
  <c r="I227" i="3"/>
  <c r="E235" i="3"/>
  <c r="D235" i="3"/>
  <c r="J235" i="3"/>
  <c r="B235" i="3"/>
  <c r="G235" i="3"/>
  <c r="F235" i="3"/>
  <c r="C235" i="3"/>
  <c r="O235" i="3"/>
  <c r="H235" i="3"/>
  <c r="I235" i="3"/>
  <c r="AB235" i="3"/>
  <c r="AD235" i="3"/>
  <c r="AC235" i="3"/>
  <c r="AE235" i="3"/>
  <c r="E243" i="3"/>
  <c r="D243" i="3"/>
  <c r="J243" i="3"/>
  <c r="B243" i="3"/>
  <c r="I243" i="3"/>
  <c r="H243" i="3"/>
  <c r="G243" i="3"/>
  <c r="F243" i="3"/>
  <c r="C243" i="3"/>
  <c r="O243" i="3"/>
  <c r="AB243" i="3"/>
  <c r="AE243" i="3"/>
  <c r="AD243" i="3"/>
  <c r="AC243" i="3"/>
  <c r="E251" i="3"/>
  <c r="D251" i="3"/>
  <c r="J251" i="3"/>
  <c r="B251" i="3"/>
  <c r="I251" i="3"/>
  <c r="H251" i="3"/>
  <c r="O251" i="3"/>
  <c r="G251" i="3"/>
  <c r="AB251" i="3"/>
  <c r="C251" i="3"/>
  <c r="F251" i="3"/>
  <c r="AE251" i="3"/>
  <c r="AD251" i="3"/>
  <c r="AC251" i="3"/>
  <c r="E259" i="3"/>
  <c r="D259" i="3"/>
  <c r="J259" i="3"/>
  <c r="B259" i="3"/>
  <c r="C259" i="3"/>
  <c r="O259" i="3"/>
  <c r="I259" i="3"/>
  <c r="F259" i="3"/>
  <c r="AB259" i="3"/>
  <c r="H259" i="3"/>
  <c r="G259" i="3"/>
  <c r="AC259" i="3"/>
  <c r="AE259" i="3"/>
  <c r="AD259" i="3"/>
  <c r="E267" i="3"/>
  <c r="D267" i="3"/>
  <c r="J267" i="3"/>
  <c r="B267" i="3"/>
  <c r="G267" i="3"/>
  <c r="F267" i="3"/>
  <c r="C267" i="3"/>
  <c r="O267" i="3"/>
  <c r="I267" i="3"/>
  <c r="AB267" i="3"/>
  <c r="AC267" i="3"/>
  <c r="H267" i="3"/>
  <c r="AD267" i="3"/>
  <c r="AE267" i="3"/>
  <c r="E275" i="3"/>
  <c r="D275" i="3"/>
  <c r="J275" i="3"/>
  <c r="B275" i="3"/>
  <c r="I275" i="3"/>
  <c r="H275" i="3"/>
  <c r="G275" i="3"/>
  <c r="F275" i="3"/>
  <c r="C275" i="3"/>
  <c r="AB275" i="3"/>
  <c r="O275" i="3"/>
  <c r="AD275" i="3"/>
  <c r="AC275" i="3"/>
  <c r="AE275" i="3"/>
  <c r="I283" i="3"/>
  <c r="F283" i="3"/>
  <c r="E283" i="3"/>
  <c r="O283" i="3"/>
  <c r="D283" i="3"/>
  <c r="B283" i="3"/>
  <c r="J283" i="3"/>
  <c r="H283" i="3"/>
  <c r="G283" i="3"/>
  <c r="C283" i="3"/>
  <c r="AB283" i="3"/>
  <c r="AE283" i="3"/>
  <c r="AD283" i="3"/>
  <c r="AC283" i="3"/>
  <c r="I291" i="3"/>
  <c r="F291" i="3"/>
  <c r="J291" i="3"/>
  <c r="G291" i="3"/>
  <c r="D291" i="3"/>
  <c r="C291" i="3"/>
  <c r="B291" i="3"/>
  <c r="O291" i="3"/>
  <c r="E291" i="3"/>
  <c r="AB291" i="3"/>
  <c r="H291" i="3"/>
  <c r="AE291" i="3"/>
  <c r="AC291" i="3"/>
  <c r="AD291" i="3"/>
  <c r="I299" i="3"/>
  <c r="F299" i="3"/>
  <c r="E299" i="3"/>
  <c r="O299" i="3"/>
  <c r="D299" i="3"/>
  <c r="B299" i="3"/>
  <c r="J299" i="3"/>
  <c r="H299" i="3"/>
  <c r="G299" i="3"/>
  <c r="C299" i="3"/>
  <c r="AB299" i="3"/>
  <c r="AE299" i="3"/>
  <c r="AD299" i="3"/>
  <c r="AC299" i="3"/>
  <c r="I307" i="3"/>
  <c r="F307" i="3"/>
  <c r="J307" i="3"/>
  <c r="H307" i="3"/>
  <c r="G307" i="3"/>
  <c r="O307" i="3"/>
  <c r="E307" i="3"/>
  <c r="D307" i="3"/>
  <c r="AB307" i="3"/>
  <c r="C307" i="3"/>
  <c r="AE307" i="3"/>
  <c r="AD307" i="3"/>
  <c r="B307" i="3"/>
  <c r="AC307" i="3"/>
  <c r="I315" i="3"/>
  <c r="H315" i="3"/>
  <c r="F315" i="3"/>
  <c r="J315" i="3"/>
  <c r="G315" i="3"/>
  <c r="E315" i="3"/>
  <c r="D315" i="3"/>
  <c r="C315" i="3"/>
  <c r="B315" i="3"/>
  <c r="AB315" i="3"/>
  <c r="O315" i="3"/>
  <c r="AE315" i="3"/>
  <c r="AC315" i="3"/>
  <c r="AD315" i="3"/>
  <c r="I323" i="3"/>
  <c r="H323" i="3"/>
  <c r="F323" i="3"/>
  <c r="B323" i="3"/>
  <c r="J323" i="3"/>
  <c r="O323" i="3"/>
  <c r="G323" i="3"/>
  <c r="C323" i="3"/>
  <c r="AB323" i="3"/>
  <c r="E323" i="3"/>
  <c r="D323" i="3"/>
  <c r="AD323" i="3"/>
  <c r="AC323" i="3"/>
  <c r="AE323" i="3"/>
  <c r="H331" i="3"/>
  <c r="G331" i="3"/>
  <c r="O331" i="3"/>
  <c r="F331" i="3"/>
  <c r="E331" i="3"/>
  <c r="D331" i="3"/>
  <c r="B331" i="3"/>
  <c r="J331" i="3"/>
  <c r="I331" i="3"/>
  <c r="C331" i="3"/>
  <c r="AB331" i="3"/>
  <c r="AC331" i="3"/>
  <c r="AE331" i="3"/>
  <c r="AD331" i="3"/>
  <c r="H339" i="3"/>
  <c r="E339" i="3"/>
  <c r="D339" i="3"/>
  <c r="C339" i="3"/>
  <c r="B339" i="3"/>
  <c r="I339" i="3"/>
  <c r="O339" i="3"/>
  <c r="J339" i="3"/>
  <c r="AB339" i="3"/>
  <c r="AD339" i="3"/>
  <c r="AC339" i="3"/>
  <c r="G339" i="3"/>
  <c r="F339" i="3"/>
  <c r="AE339" i="3"/>
  <c r="H347" i="3"/>
  <c r="E347" i="3"/>
  <c r="B347" i="3"/>
  <c r="J347" i="3"/>
  <c r="I347" i="3"/>
  <c r="F347" i="3"/>
  <c r="C347" i="3"/>
  <c r="D347" i="3"/>
  <c r="O347" i="3"/>
  <c r="AB347" i="3"/>
  <c r="AC347" i="3"/>
  <c r="G347" i="3"/>
  <c r="AE347" i="3"/>
  <c r="AD347" i="3"/>
  <c r="F355" i="3"/>
  <c r="C355" i="3"/>
  <c r="B355" i="3"/>
  <c r="I355" i="3"/>
  <c r="G355" i="3"/>
  <c r="E355" i="3"/>
  <c r="J355" i="3"/>
  <c r="H355" i="3"/>
  <c r="D355" i="3"/>
  <c r="O355" i="3"/>
  <c r="AB355" i="3"/>
  <c r="AC355" i="3"/>
  <c r="AE355" i="3"/>
  <c r="AD355" i="3"/>
  <c r="F363" i="3"/>
  <c r="C363" i="3"/>
  <c r="H363" i="3"/>
  <c r="O363" i="3"/>
  <c r="D363" i="3"/>
  <c r="I363" i="3"/>
  <c r="G363" i="3"/>
  <c r="B363" i="3"/>
  <c r="J363" i="3"/>
  <c r="E363" i="3"/>
  <c r="AB363" i="3"/>
  <c r="AC363" i="3"/>
  <c r="AE363" i="3"/>
  <c r="AD363" i="3"/>
  <c r="F371" i="3"/>
  <c r="C371" i="3"/>
  <c r="B371" i="3"/>
  <c r="I371" i="3"/>
  <c r="J371" i="3"/>
  <c r="H371" i="3"/>
  <c r="E371" i="3"/>
  <c r="O371" i="3"/>
  <c r="G371" i="3"/>
  <c r="D371" i="3"/>
  <c r="AB371" i="3"/>
  <c r="AE371" i="3"/>
  <c r="AD371" i="3"/>
  <c r="AC371" i="3"/>
  <c r="O379" i="3"/>
  <c r="G379" i="3"/>
  <c r="E379" i="3"/>
  <c r="B379" i="3"/>
  <c r="D379" i="3"/>
  <c r="F379" i="3"/>
  <c r="C379" i="3"/>
  <c r="I379" i="3"/>
  <c r="J379" i="3"/>
  <c r="AB379" i="3"/>
  <c r="AC379" i="3"/>
  <c r="AE379" i="3"/>
  <c r="AD379" i="3"/>
  <c r="H379" i="3"/>
  <c r="O387" i="3"/>
  <c r="G387" i="3"/>
  <c r="C387" i="3"/>
  <c r="I387" i="3"/>
  <c r="B387" i="3"/>
  <c r="J387" i="3"/>
  <c r="H387" i="3"/>
  <c r="F387" i="3"/>
  <c r="D387" i="3"/>
  <c r="E387" i="3"/>
  <c r="AB387" i="3"/>
  <c r="AE387" i="3"/>
  <c r="AC387" i="3"/>
  <c r="AD387" i="3"/>
  <c r="O395" i="3"/>
  <c r="G395" i="3"/>
  <c r="D395" i="3"/>
  <c r="H395" i="3"/>
  <c r="J395" i="3"/>
  <c r="E395" i="3"/>
  <c r="C395" i="3"/>
  <c r="F395" i="3"/>
  <c r="B395" i="3"/>
  <c r="I395" i="3"/>
  <c r="AB395" i="3"/>
  <c r="AC395" i="3"/>
  <c r="AE395" i="3"/>
  <c r="AD395" i="3"/>
  <c r="O403" i="3"/>
  <c r="G403" i="3"/>
  <c r="D403" i="3"/>
  <c r="F403" i="3"/>
  <c r="B403" i="3"/>
  <c r="H403" i="3"/>
  <c r="E403" i="3"/>
  <c r="I403" i="3"/>
  <c r="C403" i="3"/>
  <c r="J403" i="3"/>
  <c r="AB403" i="3"/>
  <c r="AE403" i="3"/>
  <c r="AD403" i="3"/>
  <c r="AC403" i="3"/>
  <c r="O411" i="3"/>
  <c r="G411" i="3"/>
  <c r="D411" i="3"/>
  <c r="H411" i="3"/>
  <c r="I411" i="3"/>
  <c r="F411" i="3"/>
  <c r="J411" i="3"/>
  <c r="E411" i="3"/>
  <c r="B411" i="3"/>
  <c r="C411" i="3"/>
  <c r="AB411" i="3"/>
  <c r="AC411" i="3"/>
  <c r="AE411" i="3"/>
  <c r="AD411" i="3"/>
  <c r="O419" i="3"/>
  <c r="G419" i="3"/>
  <c r="D419" i="3"/>
  <c r="F419" i="3"/>
  <c r="B419" i="3"/>
  <c r="J419" i="3"/>
  <c r="I419" i="3"/>
  <c r="H419" i="3"/>
  <c r="C419" i="3"/>
  <c r="E419" i="3"/>
  <c r="AB419" i="3"/>
  <c r="AC419" i="3"/>
  <c r="AE419" i="3"/>
  <c r="AD419" i="3"/>
  <c r="O427" i="3"/>
  <c r="G427" i="3"/>
  <c r="D427" i="3"/>
  <c r="H427" i="3"/>
  <c r="C427" i="3"/>
  <c r="J427" i="3"/>
  <c r="I427" i="3"/>
  <c r="E427" i="3"/>
  <c r="B427" i="3"/>
  <c r="F427" i="3"/>
  <c r="AB427" i="3"/>
  <c r="AC427" i="3"/>
  <c r="AE427" i="3"/>
  <c r="AD427" i="3"/>
  <c r="O435" i="3"/>
  <c r="G435" i="3"/>
  <c r="H435" i="3"/>
  <c r="D435" i="3"/>
  <c r="F435" i="3"/>
  <c r="B435" i="3"/>
  <c r="E435" i="3"/>
  <c r="I435" i="3"/>
  <c r="J435" i="3"/>
  <c r="C435" i="3"/>
  <c r="AB435" i="3"/>
  <c r="AE435" i="3"/>
  <c r="AD435" i="3"/>
  <c r="AC435" i="3"/>
  <c r="J443" i="3"/>
  <c r="B443" i="3"/>
  <c r="O443" i="3"/>
  <c r="G443" i="3"/>
  <c r="H443" i="3"/>
  <c r="F443" i="3"/>
  <c r="C443" i="3"/>
  <c r="E443" i="3"/>
  <c r="D443" i="3"/>
  <c r="I443" i="3"/>
  <c r="AB443" i="3"/>
  <c r="AC443" i="3"/>
  <c r="AE443" i="3"/>
  <c r="AD443" i="3"/>
  <c r="J451" i="3"/>
  <c r="B451" i="3"/>
  <c r="O451" i="3"/>
  <c r="G451" i="3"/>
  <c r="F451" i="3"/>
  <c r="C451" i="3"/>
  <c r="I451" i="3"/>
  <c r="D451" i="3"/>
  <c r="H451" i="3"/>
  <c r="E451" i="3"/>
  <c r="AB451" i="3"/>
  <c r="AE451" i="3"/>
  <c r="AC451" i="3"/>
  <c r="AD451" i="3"/>
  <c r="F459" i="3"/>
  <c r="J459" i="3"/>
  <c r="B459" i="3"/>
  <c r="C459" i="3"/>
  <c r="I459" i="3"/>
  <c r="H459" i="3"/>
  <c r="D459" i="3"/>
  <c r="G459" i="3"/>
  <c r="O459" i="3"/>
  <c r="E459" i="3"/>
  <c r="AB459" i="3"/>
  <c r="AC459" i="3"/>
  <c r="AD459" i="3"/>
  <c r="AE459" i="3"/>
  <c r="F467" i="3"/>
  <c r="J467" i="3"/>
  <c r="B467" i="3"/>
  <c r="H467" i="3"/>
  <c r="O467" i="3"/>
  <c r="D467" i="3"/>
  <c r="E467" i="3"/>
  <c r="I467" i="3"/>
  <c r="G467" i="3"/>
  <c r="C467" i="3"/>
  <c r="AB467" i="3"/>
  <c r="AE467" i="3"/>
  <c r="AD467" i="3"/>
  <c r="AC467" i="3"/>
  <c r="H475" i="3"/>
  <c r="F475" i="3"/>
  <c r="J475" i="3"/>
  <c r="B475" i="3"/>
  <c r="G475" i="3"/>
  <c r="E475" i="3"/>
  <c r="C475" i="3"/>
  <c r="I475" i="3"/>
  <c r="O475" i="3"/>
  <c r="D475" i="3"/>
  <c r="AD475" i="3"/>
  <c r="AB475" i="3"/>
  <c r="AC475" i="3"/>
  <c r="AE475" i="3"/>
  <c r="H483" i="3"/>
  <c r="F483" i="3"/>
  <c r="E483" i="3"/>
  <c r="J483" i="3"/>
  <c r="B483" i="3"/>
  <c r="D483" i="3"/>
  <c r="O483" i="3"/>
  <c r="G483" i="3"/>
  <c r="C483" i="3"/>
  <c r="I483" i="3"/>
  <c r="AD483" i="3"/>
  <c r="AB483" i="3"/>
  <c r="AC483" i="3"/>
  <c r="AE483" i="3"/>
  <c r="H491" i="3"/>
  <c r="F491" i="3"/>
  <c r="E491" i="3"/>
  <c r="J491" i="3"/>
  <c r="B491" i="3"/>
  <c r="D491" i="3"/>
  <c r="O491" i="3"/>
  <c r="G491" i="3"/>
  <c r="I491" i="3"/>
  <c r="C491" i="3"/>
  <c r="AD491" i="3"/>
  <c r="AB491" i="3"/>
  <c r="AC491" i="3"/>
  <c r="AE491" i="3"/>
  <c r="H499" i="3"/>
  <c r="F499" i="3"/>
  <c r="E499" i="3"/>
  <c r="J499" i="3"/>
  <c r="B499" i="3"/>
  <c r="D499" i="3"/>
  <c r="O499" i="3"/>
  <c r="I499" i="3"/>
  <c r="G499" i="3"/>
  <c r="C499" i="3"/>
  <c r="AD499" i="3"/>
  <c r="AB499" i="3"/>
  <c r="AC499" i="3"/>
  <c r="AE499" i="3"/>
  <c r="F68" i="3"/>
  <c r="D68" i="3"/>
  <c r="I68" i="3"/>
  <c r="H68" i="3"/>
  <c r="B68" i="3"/>
  <c r="AB68" i="3"/>
  <c r="O68" i="3"/>
  <c r="E68" i="3"/>
  <c r="AD68" i="3"/>
  <c r="C68" i="3"/>
  <c r="AC68" i="3"/>
  <c r="G68" i="3"/>
  <c r="AE68" i="3"/>
  <c r="J68" i="3"/>
  <c r="F84" i="3"/>
  <c r="D84" i="3"/>
  <c r="I84" i="3"/>
  <c r="H84" i="3"/>
  <c r="E84" i="3"/>
  <c r="AB84" i="3"/>
  <c r="C84" i="3"/>
  <c r="B84" i="3"/>
  <c r="J84" i="3"/>
  <c r="AD84" i="3"/>
  <c r="O84" i="3"/>
  <c r="G84" i="3"/>
  <c r="AC84" i="3"/>
  <c r="AE84" i="3"/>
  <c r="F100" i="3"/>
  <c r="D100" i="3"/>
  <c r="I100" i="3"/>
  <c r="H100" i="3"/>
  <c r="J100" i="3"/>
  <c r="AB100" i="3"/>
  <c r="G100" i="3"/>
  <c r="E100" i="3"/>
  <c r="AD100" i="3"/>
  <c r="AC100" i="3"/>
  <c r="B100" i="3"/>
  <c r="C100" i="3"/>
  <c r="O100" i="3"/>
  <c r="AE100" i="3"/>
  <c r="F116" i="3"/>
  <c r="D116" i="3"/>
  <c r="I116" i="3"/>
  <c r="H116" i="3"/>
  <c r="AB116" i="3"/>
  <c r="J116" i="3"/>
  <c r="AD116" i="3"/>
  <c r="E116" i="3"/>
  <c r="O116" i="3"/>
  <c r="AC116" i="3"/>
  <c r="B116" i="3"/>
  <c r="G116" i="3"/>
  <c r="C116" i="3"/>
  <c r="AE116" i="3"/>
  <c r="F132" i="3"/>
  <c r="D132" i="3"/>
  <c r="I132" i="3"/>
  <c r="H132" i="3"/>
  <c r="G132" i="3"/>
  <c r="O132" i="3"/>
  <c r="AB132" i="3"/>
  <c r="AD132" i="3"/>
  <c r="J132" i="3"/>
  <c r="AC132" i="3"/>
  <c r="E132" i="3"/>
  <c r="C132" i="3"/>
  <c r="B132" i="3"/>
  <c r="AE132" i="3"/>
  <c r="E148" i="3"/>
  <c r="J148" i="3"/>
  <c r="B148" i="3"/>
  <c r="I148" i="3"/>
  <c r="H148" i="3"/>
  <c r="G148" i="3"/>
  <c r="F148" i="3"/>
  <c r="AB148" i="3"/>
  <c r="O148" i="3"/>
  <c r="AD148" i="3"/>
  <c r="D148" i="3"/>
  <c r="AC148" i="3"/>
  <c r="AE148" i="3"/>
  <c r="C148" i="3"/>
  <c r="E164" i="3"/>
  <c r="J164" i="3"/>
  <c r="B164" i="3"/>
  <c r="I164" i="3"/>
  <c r="G164" i="3"/>
  <c r="D164" i="3"/>
  <c r="H164" i="3"/>
  <c r="F164" i="3"/>
  <c r="C164" i="3"/>
  <c r="AB164" i="3"/>
  <c r="AD164" i="3"/>
  <c r="O164" i="3"/>
  <c r="AC164" i="3"/>
  <c r="AE164" i="3"/>
  <c r="E188" i="3"/>
  <c r="J188" i="3"/>
  <c r="B188" i="3"/>
  <c r="I188" i="3"/>
  <c r="D188" i="3"/>
  <c r="H188" i="3"/>
  <c r="F188" i="3"/>
  <c r="AB188" i="3"/>
  <c r="C188" i="3"/>
  <c r="AE188" i="3"/>
  <c r="G188" i="3"/>
  <c r="O188" i="3"/>
  <c r="AD188" i="3"/>
  <c r="AC188" i="3"/>
  <c r="J204" i="3"/>
  <c r="B204" i="3"/>
  <c r="I204" i="3"/>
  <c r="H204" i="3"/>
  <c r="O204" i="3"/>
  <c r="G204" i="3"/>
  <c r="F204" i="3"/>
  <c r="C204" i="3"/>
  <c r="E204" i="3"/>
  <c r="D204" i="3"/>
  <c r="AE204" i="3"/>
  <c r="AB204" i="3"/>
  <c r="AD204" i="3"/>
  <c r="AC204" i="3"/>
  <c r="J220" i="3"/>
  <c r="B220" i="3"/>
  <c r="I220" i="3"/>
  <c r="H220" i="3"/>
  <c r="O220" i="3"/>
  <c r="G220" i="3"/>
  <c r="F220" i="3"/>
  <c r="C220" i="3"/>
  <c r="E220" i="3"/>
  <c r="AE220" i="3"/>
  <c r="AD220" i="3"/>
  <c r="AC220" i="3"/>
  <c r="AB220" i="3"/>
  <c r="D220" i="3"/>
  <c r="O236" i="3"/>
  <c r="G236" i="3"/>
  <c r="F236" i="3"/>
  <c r="D236" i="3"/>
  <c r="E236" i="3"/>
  <c r="C236" i="3"/>
  <c r="B236" i="3"/>
  <c r="J236" i="3"/>
  <c r="AE236" i="3"/>
  <c r="I236" i="3"/>
  <c r="AD236" i="3"/>
  <c r="AC236" i="3"/>
  <c r="AB236" i="3"/>
  <c r="H236" i="3"/>
  <c r="O252" i="3"/>
  <c r="G252" i="3"/>
  <c r="F252" i="3"/>
  <c r="D252" i="3"/>
  <c r="J252" i="3"/>
  <c r="I252" i="3"/>
  <c r="H252" i="3"/>
  <c r="E252" i="3"/>
  <c r="C252" i="3"/>
  <c r="AE252" i="3"/>
  <c r="B252" i="3"/>
  <c r="AD252" i="3"/>
  <c r="AC252" i="3"/>
  <c r="AB252" i="3"/>
  <c r="O268" i="3"/>
  <c r="G268" i="3"/>
  <c r="F268" i="3"/>
  <c r="D268" i="3"/>
  <c r="E268" i="3"/>
  <c r="C268" i="3"/>
  <c r="B268" i="3"/>
  <c r="H268" i="3"/>
  <c r="J268" i="3"/>
  <c r="I268" i="3"/>
  <c r="AE268" i="3"/>
  <c r="AD268" i="3"/>
  <c r="AC268" i="3"/>
  <c r="AB268" i="3"/>
  <c r="C284" i="3"/>
  <c r="H284" i="3"/>
  <c r="B284" i="3"/>
  <c r="I284" i="3"/>
  <c r="O284" i="3"/>
  <c r="J284" i="3"/>
  <c r="G284" i="3"/>
  <c r="E284" i="3"/>
  <c r="AE284" i="3"/>
  <c r="AD284" i="3"/>
  <c r="AC284" i="3"/>
  <c r="F284" i="3"/>
  <c r="AB284" i="3"/>
  <c r="D284" i="3"/>
  <c r="C300" i="3"/>
  <c r="H300" i="3"/>
  <c r="B300" i="3"/>
  <c r="I300" i="3"/>
  <c r="O300" i="3"/>
  <c r="J300" i="3"/>
  <c r="G300" i="3"/>
  <c r="F300" i="3"/>
  <c r="D300" i="3"/>
  <c r="AE300" i="3"/>
  <c r="AD300" i="3"/>
  <c r="AC300" i="3"/>
  <c r="AB300" i="3"/>
  <c r="E300" i="3"/>
  <c r="C316" i="3"/>
  <c r="J316" i="3"/>
  <c r="B316" i="3"/>
  <c r="H316" i="3"/>
  <c r="I316" i="3"/>
  <c r="G316" i="3"/>
  <c r="F316" i="3"/>
  <c r="E316" i="3"/>
  <c r="O316" i="3"/>
  <c r="D316" i="3"/>
  <c r="AE316" i="3"/>
  <c r="AD316" i="3"/>
  <c r="AC316" i="3"/>
  <c r="AB316" i="3"/>
  <c r="J332" i="3"/>
  <c r="B332" i="3"/>
  <c r="C332" i="3"/>
  <c r="I332" i="3"/>
  <c r="H332" i="3"/>
  <c r="O332" i="3"/>
  <c r="F332" i="3"/>
  <c r="D332" i="3"/>
  <c r="G332" i="3"/>
  <c r="AE332" i="3"/>
  <c r="E332" i="3"/>
  <c r="AD332" i="3"/>
  <c r="AC332" i="3"/>
  <c r="AB332" i="3"/>
  <c r="J348" i="3"/>
  <c r="B348" i="3"/>
  <c r="O348" i="3"/>
  <c r="G348" i="3"/>
  <c r="H348" i="3"/>
  <c r="I348" i="3"/>
  <c r="F348" i="3"/>
  <c r="D348" i="3"/>
  <c r="E348" i="3"/>
  <c r="C348" i="3"/>
  <c r="AE348" i="3"/>
  <c r="AD348" i="3"/>
  <c r="AC348" i="3"/>
  <c r="AB348" i="3"/>
  <c r="H364" i="3"/>
  <c r="E364" i="3"/>
  <c r="O364" i="3"/>
  <c r="D364" i="3"/>
  <c r="I364" i="3"/>
  <c r="G364" i="3"/>
  <c r="C364" i="3"/>
  <c r="F364" i="3"/>
  <c r="B364" i="3"/>
  <c r="J364" i="3"/>
  <c r="AC364" i="3"/>
  <c r="AB364" i="3"/>
  <c r="AE364" i="3"/>
  <c r="AD364" i="3"/>
  <c r="I380" i="3"/>
  <c r="J380" i="3"/>
  <c r="O380" i="3"/>
  <c r="F380" i="3"/>
  <c r="C380" i="3"/>
  <c r="G380" i="3"/>
  <c r="E380" i="3"/>
  <c r="B380" i="3"/>
  <c r="H380" i="3"/>
  <c r="D380" i="3"/>
  <c r="AD380" i="3"/>
  <c r="AC380" i="3"/>
  <c r="AE380" i="3"/>
  <c r="AB380" i="3"/>
  <c r="I396" i="3"/>
  <c r="F396" i="3"/>
  <c r="H396" i="3"/>
  <c r="O396" i="3"/>
  <c r="D396" i="3"/>
  <c r="E396" i="3"/>
  <c r="C396" i="3"/>
  <c r="G396" i="3"/>
  <c r="J396" i="3"/>
  <c r="B396" i="3"/>
  <c r="AE396" i="3"/>
  <c r="AD396" i="3"/>
  <c r="AC396" i="3"/>
  <c r="AB396" i="3"/>
  <c r="I412" i="3"/>
  <c r="F412" i="3"/>
  <c r="H412" i="3"/>
  <c r="O412" i="3"/>
  <c r="D412" i="3"/>
  <c r="J412" i="3"/>
  <c r="G412" i="3"/>
  <c r="E412" i="3"/>
  <c r="C412" i="3"/>
  <c r="B412" i="3"/>
  <c r="AE412" i="3"/>
  <c r="AD412" i="3"/>
  <c r="AC412" i="3"/>
  <c r="AB412" i="3"/>
  <c r="I420" i="3"/>
  <c r="F420" i="3"/>
  <c r="C420" i="3"/>
  <c r="J420" i="3"/>
  <c r="B420" i="3"/>
  <c r="H420" i="3"/>
  <c r="O420" i="3"/>
  <c r="E420" i="3"/>
  <c r="G420" i="3"/>
  <c r="D420" i="3"/>
  <c r="AC420" i="3"/>
  <c r="AB420" i="3"/>
  <c r="AE420" i="3"/>
  <c r="AD420" i="3"/>
  <c r="D436" i="3"/>
  <c r="I436" i="3"/>
  <c r="C436" i="3"/>
  <c r="J436" i="3"/>
  <c r="F436" i="3"/>
  <c r="O436" i="3"/>
  <c r="H436" i="3"/>
  <c r="B436" i="3"/>
  <c r="E436" i="3"/>
  <c r="G436" i="3"/>
  <c r="AC436" i="3"/>
  <c r="AB436" i="3"/>
  <c r="AE436" i="3"/>
  <c r="AD436" i="3"/>
  <c r="D452" i="3"/>
  <c r="I452" i="3"/>
  <c r="C452" i="3"/>
  <c r="J452" i="3"/>
  <c r="H452" i="3"/>
  <c r="E452" i="3"/>
  <c r="F452" i="3"/>
  <c r="B452" i="3"/>
  <c r="O452" i="3"/>
  <c r="G452" i="3"/>
  <c r="AC452" i="3"/>
  <c r="AB452" i="3"/>
  <c r="AE452" i="3"/>
  <c r="AD452" i="3"/>
  <c r="H468" i="3"/>
  <c r="D468" i="3"/>
  <c r="O468" i="3"/>
  <c r="E468" i="3"/>
  <c r="J468" i="3"/>
  <c r="F468" i="3"/>
  <c r="C468" i="3"/>
  <c r="I468" i="3"/>
  <c r="G468" i="3"/>
  <c r="B468" i="3"/>
  <c r="AC468" i="3"/>
  <c r="AB468" i="3"/>
  <c r="AE468" i="3"/>
  <c r="AD468" i="3"/>
  <c r="J476" i="3"/>
  <c r="B476" i="3"/>
  <c r="H476" i="3"/>
  <c r="D476" i="3"/>
  <c r="F476" i="3"/>
  <c r="I476" i="3"/>
  <c r="C476" i="3"/>
  <c r="G476" i="3"/>
  <c r="O476" i="3"/>
  <c r="E476" i="3"/>
  <c r="AE476" i="3"/>
  <c r="AD476" i="3"/>
  <c r="AC476" i="3"/>
  <c r="AB476" i="3"/>
  <c r="J484" i="3"/>
  <c r="B484" i="3"/>
  <c r="H484" i="3"/>
  <c r="O484" i="3"/>
  <c r="G484" i="3"/>
  <c r="D484" i="3"/>
  <c r="F484" i="3"/>
  <c r="E484" i="3"/>
  <c r="C484" i="3"/>
  <c r="I484" i="3"/>
  <c r="AD484" i="3"/>
  <c r="AC484" i="3"/>
  <c r="AB484" i="3"/>
  <c r="AE484" i="3"/>
  <c r="J500" i="3"/>
  <c r="B500" i="3"/>
  <c r="H500" i="3"/>
  <c r="O500" i="3"/>
  <c r="G500" i="3"/>
  <c r="D500" i="3"/>
  <c r="F500" i="3"/>
  <c r="I500" i="3"/>
  <c r="E500" i="3"/>
  <c r="C500" i="3"/>
  <c r="AE500" i="3"/>
  <c r="AD500" i="3"/>
  <c r="AC500" i="3"/>
  <c r="AB500" i="3"/>
  <c r="AD5" i="3"/>
  <c r="D5" i="3"/>
  <c r="AC5" i="3"/>
  <c r="AB5" i="3"/>
  <c r="C5" i="3"/>
  <c r="AE5" i="3"/>
  <c r="B5" i="3"/>
  <c r="AE4" i="3"/>
  <c r="C4" i="3"/>
  <c r="AB4" i="3"/>
  <c r="D4" i="3"/>
  <c r="B4" i="3"/>
  <c r="AC4" i="3"/>
  <c r="AD4" i="3"/>
  <c r="H61" i="3"/>
  <c r="F61" i="3"/>
  <c r="J61" i="3"/>
  <c r="O61" i="3"/>
  <c r="B61" i="3"/>
  <c r="AE61" i="3"/>
  <c r="AD61" i="3"/>
  <c r="I61" i="3"/>
  <c r="G61" i="3"/>
  <c r="AC61" i="3"/>
  <c r="E61" i="3"/>
  <c r="AB61" i="3"/>
  <c r="D61" i="3"/>
  <c r="C61" i="3"/>
  <c r="H69" i="3"/>
  <c r="F69" i="3"/>
  <c r="E69" i="3"/>
  <c r="O69" i="3"/>
  <c r="D69" i="3"/>
  <c r="B69" i="3"/>
  <c r="AE69" i="3"/>
  <c r="AD69" i="3"/>
  <c r="G69" i="3"/>
  <c r="C69" i="3"/>
  <c r="J69" i="3"/>
  <c r="I69" i="3"/>
  <c r="AC69" i="3"/>
  <c r="AB69" i="3"/>
  <c r="H77" i="3"/>
  <c r="F77" i="3"/>
  <c r="J77" i="3"/>
  <c r="D77" i="3"/>
  <c r="C77" i="3"/>
  <c r="AE77" i="3"/>
  <c r="O77" i="3"/>
  <c r="B77" i="3"/>
  <c r="AD77" i="3"/>
  <c r="AC77" i="3"/>
  <c r="I77" i="3"/>
  <c r="AB77" i="3"/>
  <c r="G77" i="3"/>
  <c r="E77" i="3"/>
  <c r="H85" i="3"/>
  <c r="F85" i="3"/>
  <c r="E85" i="3"/>
  <c r="O85" i="3"/>
  <c r="D85" i="3"/>
  <c r="G85" i="3"/>
  <c r="C85" i="3"/>
  <c r="AE85" i="3"/>
  <c r="B85" i="3"/>
  <c r="AD85" i="3"/>
  <c r="I85" i="3"/>
  <c r="J85" i="3"/>
  <c r="AC85" i="3"/>
  <c r="AB85" i="3"/>
  <c r="H93" i="3"/>
  <c r="F93" i="3"/>
  <c r="J93" i="3"/>
  <c r="G93" i="3"/>
  <c r="E93" i="3"/>
  <c r="AE93" i="3"/>
  <c r="D93" i="3"/>
  <c r="AD93" i="3"/>
  <c r="I93" i="3"/>
  <c r="O93" i="3"/>
  <c r="AC93" i="3"/>
  <c r="C93" i="3"/>
  <c r="AB93" i="3"/>
  <c r="B93" i="3"/>
  <c r="H101" i="3"/>
  <c r="F101" i="3"/>
  <c r="E101" i="3"/>
  <c r="O101" i="3"/>
  <c r="D101" i="3"/>
  <c r="J101" i="3"/>
  <c r="I101" i="3"/>
  <c r="AE101" i="3"/>
  <c r="G101" i="3"/>
  <c r="AD101" i="3"/>
  <c r="C101" i="3"/>
  <c r="AC101" i="3"/>
  <c r="AB101" i="3"/>
  <c r="B101" i="3"/>
  <c r="H109" i="3"/>
  <c r="F109" i="3"/>
  <c r="J109" i="3"/>
  <c r="I109" i="3"/>
  <c r="AE109" i="3"/>
  <c r="G109" i="3"/>
  <c r="AD109" i="3"/>
  <c r="B109" i="3"/>
  <c r="AC109" i="3"/>
  <c r="O109" i="3"/>
  <c r="E109" i="3"/>
  <c r="AB109" i="3"/>
  <c r="D109" i="3"/>
  <c r="C109" i="3"/>
  <c r="H117" i="3"/>
  <c r="F117" i="3"/>
  <c r="E117" i="3"/>
  <c r="O117" i="3"/>
  <c r="D117" i="3"/>
  <c r="AE117" i="3"/>
  <c r="J117" i="3"/>
  <c r="AD117" i="3"/>
  <c r="B117" i="3"/>
  <c r="I117" i="3"/>
  <c r="G117" i="3"/>
  <c r="C117" i="3"/>
  <c r="AC117" i="3"/>
  <c r="AB117" i="3"/>
  <c r="H125" i="3"/>
  <c r="F125" i="3"/>
  <c r="J125" i="3"/>
  <c r="I125" i="3"/>
  <c r="G125" i="3"/>
  <c r="AE125" i="3"/>
  <c r="E125" i="3"/>
  <c r="AD125" i="3"/>
  <c r="O125" i="3"/>
  <c r="AC125" i="3"/>
  <c r="D125" i="3"/>
  <c r="AB125" i="3"/>
  <c r="C125" i="3"/>
  <c r="B125" i="3"/>
  <c r="H133" i="3"/>
  <c r="F133" i="3"/>
  <c r="E133" i="3"/>
  <c r="O133" i="3"/>
  <c r="D133" i="3"/>
  <c r="C133" i="3"/>
  <c r="AE133" i="3"/>
  <c r="AD133" i="3"/>
  <c r="J133" i="3"/>
  <c r="I133" i="3"/>
  <c r="G133" i="3"/>
  <c r="B133" i="3"/>
  <c r="AB133" i="3"/>
  <c r="AC133" i="3"/>
  <c r="O141" i="3"/>
  <c r="G141" i="3"/>
  <c r="D141" i="3"/>
  <c r="E141" i="3"/>
  <c r="B141" i="3"/>
  <c r="J141" i="3"/>
  <c r="I141" i="3"/>
  <c r="AE141" i="3"/>
  <c r="H141" i="3"/>
  <c r="AD141" i="3"/>
  <c r="AC141" i="3"/>
  <c r="AB141" i="3"/>
  <c r="F141" i="3"/>
  <c r="C141" i="3"/>
  <c r="O149" i="3"/>
  <c r="G149" i="3"/>
  <c r="D149" i="3"/>
  <c r="C149" i="3"/>
  <c r="I149" i="3"/>
  <c r="J149" i="3"/>
  <c r="H149" i="3"/>
  <c r="E149" i="3"/>
  <c r="B149" i="3"/>
  <c r="AE149" i="3"/>
  <c r="AD149" i="3"/>
  <c r="F149" i="3"/>
  <c r="AC149" i="3"/>
  <c r="AB149" i="3"/>
  <c r="O157" i="3"/>
  <c r="G157" i="3"/>
  <c r="D157" i="3"/>
  <c r="C157" i="3"/>
  <c r="B157" i="3"/>
  <c r="E157" i="3"/>
  <c r="F157" i="3"/>
  <c r="AE157" i="3"/>
  <c r="AD157" i="3"/>
  <c r="AC157" i="3"/>
  <c r="I157" i="3"/>
  <c r="H157" i="3"/>
  <c r="J157" i="3"/>
  <c r="AB157" i="3"/>
  <c r="O165" i="3"/>
  <c r="G165" i="3"/>
  <c r="D165" i="3"/>
  <c r="C165" i="3"/>
  <c r="F165" i="3"/>
  <c r="B165" i="3"/>
  <c r="J165" i="3"/>
  <c r="I165" i="3"/>
  <c r="H165" i="3"/>
  <c r="AE165" i="3"/>
  <c r="AD165" i="3"/>
  <c r="E165" i="3"/>
  <c r="AB165" i="3"/>
  <c r="AC165" i="3"/>
  <c r="O173" i="3"/>
  <c r="G173" i="3"/>
  <c r="D173" i="3"/>
  <c r="C173" i="3"/>
  <c r="I173" i="3"/>
  <c r="F173" i="3"/>
  <c r="AE173" i="3"/>
  <c r="AD173" i="3"/>
  <c r="J173" i="3"/>
  <c r="AC173" i="3"/>
  <c r="E173" i="3"/>
  <c r="H173" i="3"/>
  <c r="AB173" i="3"/>
  <c r="B173" i="3"/>
  <c r="O181" i="3"/>
  <c r="G181" i="3"/>
  <c r="D181" i="3"/>
  <c r="C181" i="3"/>
  <c r="I181" i="3"/>
  <c r="H181" i="3"/>
  <c r="F181" i="3"/>
  <c r="E181" i="3"/>
  <c r="AE181" i="3"/>
  <c r="AD181" i="3"/>
  <c r="J181" i="3"/>
  <c r="B181" i="3"/>
  <c r="AC181" i="3"/>
  <c r="AB181" i="3"/>
  <c r="O189" i="3"/>
  <c r="G189" i="3"/>
  <c r="D189" i="3"/>
  <c r="C189" i="3"/>
  <c r="B189" i="3"/>
  <c r="J189" i="3"/>
  <c r="AE189" i="3"/>
  <c r="H189" i="3"/>
  <c r="I189" i="3"/>
  <c r="AD189" i="3"/>
  <c r="F189" i="3"/>
  <c r="AC189" i="3"/>
  <c r="E189" i="3"/>
  <c r="AB189" i="3"/>
  <c r="D197" i="3"/>
  <c r="C197" i="3"/>
  <c r="J197" i="3"/>
  <c r="B197" i="3"/>
  <c r="I197" i="3"/>
  <c r="H197" i="3"/>
  <c r="E197" i="3"/>
  <c r="F197" i="3"/>
  <c r="AB197" i="3"/>
  <c r="O197" i="3"/>
  <c r="G197" i="3"/>
  <c r="AE197" i="3"/>
  <c r="AD197" i="3"/>
  <c r="AC197" i="3"/>
  <c r="D205" i="3"/>
  <c r="C205" i="3"/>
  <c r="J205" i="3"/>
  <c r="B205" i="3"/>
  <c r="I205" i="3"/>
  <c r="H205" i="3"/>
  <c r="E205" i="3"/>
  <c r="F205" i="3"/>
  <c r="AB205" i="3"/>
  <c r="AD205" i="3"/>
  <c r="AC205" i="3"/>
  <c r="O205" i="3"/>
  <c r="G205" i="3"/>
  <c r="AE205" i="3"/>
  <c r="D213" i="3"/>
  <c r="C213" i="3"/>
  <c r="J213" i="3"/>
  <c r="B213" i="3"/>
  <c r="I213" i="3"/>
  <c r="H213" i="3"/>
  <c r="E213" i="3"/>
  <c r="O213" i="3"/>
  <c r="AB213" i="3"/>
  <c r="G213" i="3"/>
  <c r="AE213" i="3"/>
  <c r="F213" i="3"/>
  <c r="AC213" i="3"/>
  <c r="AD213" i="3"/>
  <c r="D221" i="3"/>
  <c r="C221" i="3"/>
  <c r="J221" i="3"/>
  <c r="B221" i="3"/>
  <c r="I221" i="3"/>
  <c r="H221" i="3"/>
  <c r="E221" i="3"/>
  <c r="O221" i="3"/>
  <c r="G221" i="3"/>
  <c r="AB221" i="3"/>
  <c r="F221" i="3"/>
  <c r="AD221" i="3"/>
  <c r="AC221" i="3"/>
  <c r="AE221" i="3"/>
  <c r="D229" i="3"/>
  <c r="C229" i="3"/>
  <c r="J229" i="3"/>
  <c r="B229" i="3"/>
  <c r="I229" i="3"/>
  <c r="H229" i="3"/>
  <c r="E229" i="3"/>
  <c r="G229" i="3"/>
  <c r="AB229" i="3"/>
  <c r="O229" i="3"/>
  <c r="AC229" i="3"/>
  <c r="F229" i="3"/>
  <c r="AE229" i="3"/>
  <c r="AD229" i="3"/>
  <c r="I237" i="3"/>
  <c r="H237" i="3"/>
  <c r="F237" i="3"/>
  <c r="D237" i="3"/>
  <c r="O237" i="3"/>
  <c r="C237" i="3"/>
  <c r="B237" i="3"/>
  <c r="E237" i="3"/>
  <c r="J237" i="3"/>
  <c r="G237" i="3"/>
  <c r="AB237" i="3"/>
  <c r="AD237" i="3"/>
  <c r="AC237" i="3"/>
  <c r="AE237" i="3"/>
  <c r="I245" i="3"/>
  <c r="H245" i="3"/>
  <c r="F245" i="3"/>
  <c r="G245" i="3"/>
  <c r="E245" i="3"/>
  <c r="D245" i="3"/>
  <c r="O245" i="3"/>
  <c r="C245" i="3"/>
  <c r="B245" i="3"/>
  <c r="J245" i="3"/>
  <c r="AB245" i="3"/>
  <c r="AE245" i="3"/>
  <c r="AD245" i="3"/>
  <c r="AC245" i="3"/>
  <c r="I253" i="3"/>
  <c r="H253" i="3"/>
  <c r="F253" i="3"/>
  <c r="J253" i="3"/>
  <c r="G253" i="3"/>
  <c r="E253" i="3"/>
  <c r="D253" i="3"/>
  <c r="B253" i="3"/>
  <c r="C253" i="3"/>
  <c r="AB253" i="3"/>
  <c r="O253" i="3"/>
  <c r="AE253" i="3"/>
  <c r="AC253" i="3"/>
  <c r="AD253" i="3"/>
  <c r="I261" i="3"/>
  <c r="H261" i="3"/>
  <c r="F261" i="3"/>
  <c r="B261" i="3"/>
  <c r="J261" i="3"/>
  <c r="G261" i="3"/>
  <c r="C261" i="3"/>
  <c r="O261" i="3"/>
  <c r="D261" i="3"/>
  <c r="AB261" i="3"/>
  <c r="AD261" i="3"/>
  <c r="AE261" i="3"/>
  <c r="AC261" i="3"/>
  <c r="E261" i="3"/>
  <c r="I269" i="3"/>
  <c r="H269" i="3"/>
  <c r="F269" i="3"/>
  <c r="D269" i="3"/>
  <c r="O269" i="3"/>
  <c r="C269" i="3"/>
  <c r="B269" i="3"/>
  <c r="J269" i="3"/>
  <c r="AB269" i="3"/>
  <c r="G269" i="3"/>
  <c r="AD269" i="3"/>
  <c r="E269" i="3"/>
  <c r="AE269" i="3"/>
  <c r="AC269" i="3"/>
  <c r="E277" i="3"/>
  <c r="J277" i="3"/>
  <c r="B277" i="3"/>
  <c r="O277" i="3"/>
  <c r="D277" i="3"/>
  <c r="C277" i="3"/>
  <c r="I277" i="3"/>
  <c r="H277" i="3"/>
  <c r="G277" i="3"/>
  <c r="F277" i="3"/>
  <c r="AB277" i="3"/>
  <c r="AE277" i="3"/>
  <c r="AD277" i="3"/>
  <c r="AC277" i="3"/>
  <c r="E285" i="3"/>
  <c r="J285" i="3"/>
  <c r="B285" i="3"/>
  <c r="I285" i="3"/>
  <c r="H285" i="3"/>
  <c r="F285" i="3"/>
  <c r="C285" i="3"/>
  <c r="O285" i="3"/>
  <c r="D285" i="3"/>
  <c r="AB285" i="3"/>
  <c r="G285" i="3"/>
  <c r="AE285" i="3"/>
  <c r="AD285" i="3"/>
  <c r="AC285" i="3"/>
  <c r="E293" i="3"/>
  <c r="J293" i="3"/>
  <c r="B293" i="3"/>
  <c r="O293" i="3"/>
  <c r="D293" i="3"/>
  <c r="C293" i="3"/>
  <c r="I293" i="3"/>
  <c r="H293" i="3"/>
  <c r="G293" i="3"/>
  <c r="F293" i="3"/>
  <c r="AB293" i="3"/>
  <c r="AC293" i="3"/>
  <c r="AD293" i="3"/>
  <c r="AE293" i="3"/>
  <c r="E301" i="3"/>
  <c r="J301" i="3"/>
  <c r="B301" i="3"/>
  <c r="I301" i="3"/>
  <c r="H301" i="3"/>
  <c r="F301" i="3"/>
  <c r="O301" i="3"/>
  <c r="AB301" i="3"/>
  <c r="G301" i="3"/>
  <c r="D301" i="3"/>
  <c r="C301" i="3"/>
  <c r="AD301" i="3"/>
  <c r="AC301" i="3"/>
  <c r="AE301" i="3"/>
  <c r="E309" i="3"/>
  <c r="D309" i="3"/>
  <c r="J309" i="3"/>
  <c r="B309" i="3"/>
  <c r="F309" i="3"/>
  <c r="C309" i="3"/>
  <c r="O309" i="3"/>
  <c r="I309" i="3"/>
  <c r="H309" i="3"/>
  <c r="G309" i="3"/>
  <c r="AB309" i="3"/>
  <c r="AE309" i="3"/>
  <c r="AD309" i="3"/>
  <c r="AC309" i="3"/>
  <c r="E317" i="3"/>
  <c r="D317" i="3"/>
  <c r="J317" i="3"/>
  <c r="B317" i="3"/>
  <c r="H317" i="3"/>
  <c r="G317" i="3"/>
  <c r="F317" i="3"/>
  <c r="C317" i="3"/>
  <c r="O317" i="3"/>
  <c r="I317" i="3"/>
  <c r="AB317" i="3"/>
  <c r="AE317" i="3"/>
  <c r="AD317" i="3"/>
  <c r="AC317" i="3"/>
  <c r="E325" i="3"/>
  <c r="D325" i="3"/>
  <c r="J325" i="3"/>
  <c r="B325" i="3"/>
  <c r="I325" i="3"/>
  <c r="H325" i="3"/>
  <c r="G325" i="3"/>
  <c r="O325" i="3"/>
  <c r="F325" i="3"/>
  <c r="AB325" i="3"/>
  <c r="C325" i="3"/>
  <c r="AD325" i="3"/>
  <c r="AE325" i="3"/>
  <c r="AC325" i="3"/>
  <c r="D333" i="3"/>
  <c r="G333" i="3"/>
  <c r="O333" i="3"/>
  <c r="F333" i="3"/>
  <c r="E333" i="3"/>
  <c r="C333" i="3"/>
  <c r="J333" i="3"/>
  <c r="I333" i="3"/>
  <c r="H333" i="3"/>
  <c r="B333" i="3"/>
  <c r="AB333" i="3"/>
  <c r="AE333" i="3"/>
  <c r="AD333" i="3"/>
  <c r="AC333" i="3"/>
  <c r="D341" i="3"/>
  <c r="E341" i="3"/>
  <c r="C341" i="3"/>
  <c r="B341" i="3"/>
  <c r="J341" i="3"/>
  <c r="H341" i="3"/>
  <c r="O341" i="3"/>
  <c r="I341" i="3"/>
  <c r="G341" i="3"/>
  <c r="F341" i="3"/>
  <c r="AB341" i="3"/>
  <c r="AE341" i="3"/>
  <c r="AD341" i="3"/>
  <c r="AC341" i="3"/>
  <c r="D349" i="3"/>
  <c r="I349" i="3"/>
  <c r="O349" i="3"/>
  <c r="E349" i="3"/>
  <c r="J349" i="3"/>
  <c r="H349" i="3"/>
  <c r="G349" i="3"/>
  <c r="F349" i="3"/>
  <c r="B349" i="3"/>
  <c r="C349" i="3"/>
  <c r="AB349" i="3"/>
  <c r="AD349" i="3"/>
  <c r="AC349" i="3"/>
  <c r="AE349" i="3"/>
  <c r="J357" i="3"/>
  <c r="B357" i="3"/>
  <c r="O357" i="3"/>
  <c r="G357" i="3"/>
  <c r="F357" i="3"/>
  <c r="C357" i="3"/>
  <c r="H357" i="3"/>
  <c r="E357" i="3"/>
  <c r="D357" i="3"/>
  <c r="I357" i="3"/>
  <c r="AB357" i="3"/>
  <c r="AE357" i="3"/>
  <c r="AD357" i="3"/>
  <c r="AC357" i="3"/>
  <c r="J365" i="3"/>
  <c r="B365" i="3"/>
  <c r="O365" i="3"/>
  <c r="G365" i="3"/>
  <c r="H365" i="3"/>
  <c r="I365" i="3"/>
  <c r="F365" i="3"/>
  <c r="D365" i="3"/>
  <c r="E365" i="3"/>
  <c r="C365" i="3"/>
  <c r="AB365" i="3"/>
  <c r="AD365" i="3"/>
  <c r="AC365" i="3"/>
  <c r="AE365" i="3"/>
  <c r="J373" i="3"/>
  <c r="B373" i="3"/>
  <c r="O373" i="3"/>
  <c r="G373" i="3"/>
  <c r="F373" i="3"/>
  <c r="C373" i="3"/>
  <c r="I373" i="3"/>
  <c r="E373" i="3"/>
  <c r="H373" i="3"/>
  <c r="D373" i="3"/>
  <c r="AB373" i="3"/>
  <c r="AD373" i="3"/>
  <c r="AC373" i="3"/>
  <c r="AE373" i="3"/>
  <c r="C381" i="3"/>
  <c r="E381" i="3"/>
  <c r="J381" i="3"/>
  <c r="H381" i="3"/>
  <c r="I381" i="3"/>
  <c r="G381" i="3"/>
  <c r="D381" i="3"/>
  <c r="O381" i="3"/>
  <c r="F381" i="3"/>
  <c r="B381" i="3"/>
  <c r="AB381" i="3"/>
  <c r="AD381" i="3"/>
  <c r="AC381" i="3"/>
  <c r="AE381" i="3"/>
  <c r="C389" i="3"/>
  <c r="B389" i="3"/>
  <c r="H389" i="3"/>
  <c r="J389" i="3"/>
  <c r="F389" i="3"/>
  <c r="E389" i="3"/>
  <c r="O389" i="3"/>
  <c r="G389" i="3"/>
  <c r="AB389" i="3"/>
  <c r="I389" i="3"/>
  <c r="D389" i="3"/>
  <c r="AE389" i="3"/>
  <c r="AD389" i="3"/>
  <c r="AC389" i="3"/>
  <c r="C397" i="3"/>
  <c r="H397" i="3"/>
  <c r="O397" i="3"/>
  <c r="E397" i="3"/>
  <c r="J397" i="3"/>
  <c r="F397" i="3"/>
  <c r="D397" i="3"/>
  <c r="I397" i="3"/>
  <c r="B397" i="3"/>
  <c r="G397" i="3"/>
  <c r="AB397" i="3"/>
  <c r="AD397" i="3"/>
  <c r="AC397" i="3"/>
  <c r="AE397" i="3"/>
  <c r="C405" i="3"/>
  <c r="H405" i="3"/>
  <c r="J405" i="3"/>
  <c r="F405" i="3"/>
  <c r="G405" i="3"/>
  <c r="E405" i="3"/>
  <c r="B405" i="3"/>
  <c r="O405" i="3"/>
  <c r="I405" i="3"/>
  <c r="D405" i="3"/>
  <c r="AB405" i="3"/>
  <c r="AC405" i="3"/>
  <c r="AE405" i="3"/>
  <c r="AD405" i="3"/>
  <c r="C413" i="3"/>
  <c r="H413" i="3"/>
  <c r="O413" i="3"/>
  <c r="E413" i="3"/>
  <c r="I413" i="3"/>
  <c r="G413" i="3"/>
  <c r="D413" i="3"/>
  <c r="B413" i="3"/>
  <c r="J413" i="3"/>
  <c r="F413" i="3"/>
  <c r="AB413" i="3"/>
  <c r="AD413" i="3"/>
  <c r="AC413" i="3"/>
  <c r="AE413" i="3"/>
  <c r="C421" i="3"/>
  <c r="H421" i="3"/>
  <c r="J421" i="3"/>
  <c r="F421" i="3"/>
  <c r="O421" i="3"/>
  <c r="B421" i="3"/>
  <c r="I421" i="3"/>
  <c r="E421" i="3"/>
  <c r="D421" i="3"/>
  <c r="G421" i="3"/>
  <c r="AB421" i="3"/>
  <c r="AE421" i="3"/>
  <c r="AD421" i="3"/>
  <c r="AC421" i="3"/>
  <c r="C429" i="3"/>
  <c r="H429" i="3"/>
  <c r="O429" i="3"/>
  <c r="E429" i="3"/>
  <c r="D429" i="3"/>
  <c r="J429" i="3"/>
  <c r="G429" i="3"/>
  <c r="F429" i="3"/>
  <c r="I429" i="3"/>
  <c r="B429" i="3"/>
  <c r="AB429" i="3"/>
  <c r="AD429" i="3"/>
  <c r="AC429" i="3"/>
  <c r="AE429" i="3"/>
  <c r="F437" i="3"/>
  <c r="C437" i="3"/>
  <c r="J437" i="3"/>
  <c r="G437" i="3"/>
  <c r="E437" i="3"/>
  <c r="O437" i="3"/>
  <c r="H437" i="3"/>
  <c r="D437" i="3"/>
  <c r="I437" i="3"/>
  <c r="B437" i="3"/>
  <c r="AB437" i="3"/>
  <c r="AD437" i="3"/>
  <c r="AC437" i="3"/>
  <c r="AE437" i="3"/>
  <c r="F445" i="3"/>
  <c r="C445" i="3"/>
  <c r="E445" i="3"/>
  <c r="H445" i="3"/>
  <c r="B445" i="3"/>
  <c r="O445" i="3"/>
  <c r="I445" i="3"/>
  <c r="G445" i="3"/>
  <c r="D445" i="3"/>
  <c r="J445" i="3"/>
  <c r="AB445" i="3"/>
  <c r="AD445" i="3"/>
  <c r="AC445" i="3"/>
  <c r="AE445" i="3"/>
  <c r="F453" i="3"/>
  <c r="C453" i="3"/>
  <c r="J453" i="3"/>
  <c r="G453" i="3"/>
  <c r="I453" i="3"/>
  <c r="D453" i="3"/>
  <c r="H453" i="3"/>
  <c r="E453" i="3"/>
  <c r="B453" i="3"/>
  <c r="O453" i="3"/>
  <c r="AB453" i="3"/>
  <c r="AE453" i="3"/>
  <c r="AD453" i="3"/>
  <c r="AC453" i="3"/>
  <c r="J461" i="3"/>
  <c r="B461" i="3"/>
  <c r="F461" i="3"/>
  <c r="G461" i="3"/>
  <c r="C461" i="3"/>
  <c r="I461" i="3"/>
  <c r="D461" i="3"/>
  <c r="H461" i="3"/>
  <c r="E461" i="3"/>
  <c r="O461" i="3"/>
  <c r="AB461" i="3"/>
  <c r="AD461" i="3"/>
  <c r="AC461" i="3"/>
  <c r="AE461" i="3"/>
  <c r="J469" i="3"/>
  <c r="B469" i="3"/>
  <c r="F469" i="3"/>
  <c r="H469" i="3"/>
  <c r="E469" i="3"/>
  <c r="I469" i="3"/>
  <c r="C469" i="3"/>
  <c r="G469" i="3"/>
  <c r="D469" i="3"/>
  <c r="O469" i="3"/>
  <c r="AB469" i="3"/>
  <c r="AE469" i="3"/>
  <c r="AD469" i="3"/>
  <c r="AC469" i="3"/>
  <c r="D477" i="3"/>
  <c r="J477" i="3"/>
  <c r="B477" i="3"/>
  <c r="F477" i="3"/>
  <c r="I477" i="3"/>
  <c r="E477" i="3"/>
  <c r="G477" i="3"/>
  <c r="C477" i="3"/>
  <c r="O477" i="3"/>
  <c r="H477" i="3"/>
  <c r="AD477" i="3"/>
  <c r="AB477" i="3"/>
  <c r="AE477" i="3"/>
  <c r="AC477" i="3"/>
  <c r="D485" i="3"/>
  <c r="J485" i="3"/>
  <c r="B485" i="3"/>
  <c r="I485" i="3"/>
  <c r="F485" i="3"/>
  <c r="H485" i="3"/>
  <c r="C485" i="3"/>
  <c r="E485" i="3"/>
  <c r="G485" i="3"/>
  <c r="O485" i="3"/>
  <c r="AD485" i="3"/>
  <c r="AB485" i="3"/>
  <c r="AE485" i="3"/>
  <c r="AC485" i="3"/>
  <c r="D493" i="3"/>
  <c r="J493" i="3"/>
  <c r="B493" i="3"/>
  <c r="I493" i="3"/>
  <c r="F493" i="3"/>
  <c r="H493" i="3"/>
  <c r="C493" i="3"/>
  <c r="G493" i="3"/>
  <c r="O493" i="3"/>
  <c r="E493" i="3"/>
  <c r="AD493" i="3"/>
  <c r="AB493" i="3"/>
  <c r="AE493" i="3"/>
  <c r="AC493" i="3"/>
  <c r="D501" i="3"/>
  <c r="J501" i="3"/>
  <c r="B501" i="3"/>
  <c r="I501" i="3"/>
  <c r="F501" i="3"/>
  <c r="H501" i="3"/>
  <c r="C501" i="3"/>
  <c r="O501" i="3"/>
  <c r="E501" i="3"/>
  <c r="G501" i="3"/>
  <c r="AD501" i="3"/>
  <c r="AB501" i="3"/>
  <c r="AE501" i="3"/>
  <c r="AC501" i="3"/>
  <c r="F60" i="3"/>
  <c r="D60" i="3"/>
  <c r="O60" i="3"/>
  <c r="C60" i="3"/>
  <c r="B60" i="3"/>
  <c r="AB60" i="3"/>
  <c r="J60" i="3"/>
  <c r="E60" i="3"/>
  <c r="AE60" i="3"/>
  <c r="I60" i="3"/>
  <c r="AD60" i="3"/>
  <c r="AC60" i="3"/>
  <c r="H60" i="3"/>
  <c r="G60" i="3"/>
  <c r="F76" i="3"/>
  <c r="D76" i="3"/>
  <c r="O76" i="3"/>
  <c r="C76" i="3"/>
  <c r="B76" i="3"/>
  <c r="E76" i="3"/>
  <c r="AB76" i="3"/>
  <c r="H76" i="3"/>
  <c r="G76" i="3"/>
  <c r="AE76" i="3"/>
  <c r="AD76" i="3"/>
  <c r="AC76" i="3"/>
  <c r="J76" i="3"/>
  <c r="I76" i="3"/>
  <c r="F92" i="3"/>
  <c r="D92" i="3"/>
  <c r="O92" i="3"/>
  <c r="C92" i="3"/>
  <c r="B92" i="3"/>
  <c r="H92" i="3"/>
  <c r="AB92" i="3"/>
  <c r="G92" i="3"/>
  <c r="E92" i="3"/>
  <c r="J92" i="3"/>
  <c r="I92" i="3"/>
  <c r="AE92" i="3"/>
  <c r="AD92" i="3"/>
  <c r="AC92" i="3"/>
  <c r="F108" i="3"/>
  <c r="D108" i="3"/>
  <c r="O108" i="3"/>
  <c r="C108" i="3"/>
  <c r="B108" i="3"/>
  <c r="J108" i="3"/>
  <c r="AB108" i="3"/>
  <c r="I108" i="3"/>
  <c r="H108" i="3"/>
  <c r="AE108" i="3"/>
  <c r="G108" i="3"/>
  <c r="E108" i="3"/>
  <c r="AD108" i="3"/>
  <c r="AC108" i="3"/>
  <c r="F124" i="3"/>
  <c r="D124" i="3"/>
  <c r="O124" i="3"/>
  <c r="C124" i="3"/>
  <c r="B124" i="3"/>
  <c r="H124" i="3"/>
  <c r="AB124" i="3"/>
  <c r="G124" i="3"/>
  <c r="E124" i="3"/>
  <c r="AE124" i="3"/>
  <c r="AD124" i="3"/>
  <c r="J124" i="3"/>
  <c r="AC124" i="3"/>
  <c r="I124" i="3"/>
  <c r="E140" i="3"/>
  <c r="J140" i="3"/>
  <c r="B140" i="3"/>
  <c r="H140" i="3"/>
  <c r="F140" i="3"/>
  <c r="I140" i="3"/>
  <c r="D140" i="3"/>
  <c r="AB140" i="3"/>
  <c r="C140" i="3"/>
  <c r="O140" i="3"/>
  <c r="G140" i="3"/>
  <c r="AE140" i="3"/>
  <c r="AD140" i="3"/>
  <c r="AC140" i="3"/>
  <c r="E156" i="3"/>
  <c r="J156" i="3"/>
  <c r="B156" i="3"/>
  <c r="I156" i="3"/>
  <c r="D156" i="3"/>
  <c r="O156" i="3"/>
  <c r="AB156" i="3"/>
  <c r="H156" i="3"/>
  <c r="G156" i="3"/>
  <c r="F156" i="3"/>
  <c r="AE156" i="3"/>
  <c r="AD156" i="3"/>
  <c r="AC156" i="3"/>
  <c r="C156" i="3"/>
  <c r="E172" i="3"/>
  <c r="J172" i="3"/>
  <c r="B172" i="3"/>
  <c r="I172" i="3"/>
  <c r="G172" i="3"/>
  <c r="O172" i="3"/>
  <c r="H172" i="3"/>
  <c r="AB172" i="3"/>
  <c r="F172" i="3"/>
  <c r="D172" i="3"/>
  <c r="C172" i="3"/>
  <c r="AE172" i="3"/>
  <c r="AD172" i="3"/>
  <c r="AC172" i="3"/>
  <c r="E180" i="3"/>
  <c r="J180" i="3"/>
  <c r="B180" i="3"/>
  <c r="I180" i="3"/>
  <c r="F180" i="3"/>
  <c r="D180" i="3"/>
  <c r="C180" i="3"/>
  <c r="H180" i="3"/>
  <c r="AB180" i="3"/>
  <c r="G180" i="3"/>
  <c r="AD180" i="3"/>
  <c r="AC180" i="3"/>
  <c r="O180" i="3"/>
  <c r="AE180" i="3"/>
  <c r="J196" i="3"/>
  <c r="B196" i="3"/>
  <c r="I196" i="3"/>
  <c r="H196" i="3"/>
  <c r="O196" i="3"/>
  <c r="G196" i="3"/>
  <c r="F196" i="3"/>
  <c r="C196" i="3"/>
  <c r="D196" i="3"/>
  <c r="AC196" i="3"/>
  <c r="AB196" i="3"/>
  <c r="AE196" i="3"/>
  <c r="AD196" i="3"/>
  <c r="E196" i="3"/>
  <c r="J212" i="3"/>
  <c r="B212" i="3"/>
  <c r="I212" i="3"/>
  <c r="H212" i="3"/>
  <c r="O212" i="3"/>
  <c r="G212" i="3"/>
  <c r="F212" i="3"/>
  <c r="C212" i="3"/>
  <c r="AE212" i="3"/>
  <c r="AD212" i="3"/>
  <c r="AC212" i="3"/>
  <c r="AB212" i="3"/>
  <c r="D212" i="3"/>
  <c r="E212" i="3"/>
  <c r="J228" i="3"/>
  <c r="B228" i="3"/>
  <c r="I228" i="3"/>
  <c r="H228" i="3"/>
  <c r="O228" i="3"/>
  <c r="G228" i="3"/>
  <c r="F228" i="3"/>
  <c r="C228" i="3"/>
  <c r="AE228" i="3"/>
  <c r="E228" i="3"/>
  <c r="AD228" i="3"/>
  <c r="AC228" i="3"/>
  <c r="AB228" i="3"/>
  <c r="D228" i="3"/>
  <c r="O244" i="3"/>
  <c r="G244" i="3"/>
  <c r="F244" i="3"/>
  <c r="D244" i="3"/>
  <c r="I244" i="3"/>
  <c r="H244" i="3"/>
  <c r="E244" i="3"/>
  <c r="C244" i="3"/>
  <c r="J244" i="3"/>
  <c r="B244" i="3"/>
  <c r="AE244" i="3"/>
  <c r="AD244" i="3"/>
  <c r="AC244" i="3"/>
  <c r="AB244" i="3"/>
  <c r="O260" i="3"/>
  <c r="G260" i="3"/>
  <c r="F260" i="3"/>
  <c r="D260" i="3"/>
  <c r="B260" i="3"/>
  <c r="J260" i="3"/>
  <c r="I260" i="3"/>
  <c r="H260" i="3"/>
  <c r="E260" i="3"/>
  <c r="AE260" i="3"/>
  <c r="C260" i="3"/>
  <c r="AD260" i="3"/>
  <c r="AC260" i="3"/>
  <c r="AB260" i="3"/>
  <c r="H276" i="3"/>
  <c r="G276" i="3"/>
  <c r="F276" i="3"/>
  <c r="D276" i="3"/>
  <c r="J276" i="3"/>
  <c r="I276" i="3"/>
  <c r="E276" i="3"/>
  <c r="C276" i="3"/>
  <c r="B276" i="3"/>
  <c r="AE276" i="3"/>
  <c r="AD276" i="3"/>
  <c r="AC276" i="3"/>
  <c r="AB276" i="3"/>
  <c r="O276" i="3"/>
  <c r="C292" i="3"/>
  <c r="H292" i="3"/>
  <c r="G292" i="3"/>
  <c r="F292" i="3"/>
  <c r="D292" i="3"/>
  <c r="I292" i="3"/>
  <c r="E292" i="3"/>
  <c r="B292" i="3"/>
  <c r="O292" i="3"/>
  <c r="J292" i="3"/>
  <c r="AE292" i="3"/>
  <c r="AD292" i="3"/>
  <c r="AC292" i="3"/>
  <c r="AB292" i="3"/>
  <c r="C308" i="3"/>
  <c r="H308" i="3"/>
  <c r="G308" i="3"/>
  <c r="F308" i="3"/>
  <c r="O308" i="3"/>
  <c r="E308" i="3"/>
  <c r="D308" i="3"/>
  <c r="B308" i="3"/>
  <c r="I308" i="3"/>
  <c r="J308" i="3"/>
  <c r="AE308" i="3"/>
  <c r="AD308" i="3"/>
  <c r="AC308" i="3"/>
  <c r="AB308" i="3"/>
  <c r="C324" i="3"/>
  <c r="J324" i="3"/>
  <c r="B324" i="3"/>
  <c r="H324" i="3"/>
  <c r="I324" i="3"/>
  <c r="G324" i="3"/>
  <c r="F324" i="3"/>
  <c r="E324" i="3"/>
  <c r="D324" i="3"/>
  <c r="O324" i="3"/>
  <c r="AE324" i="3"/>
  <c r="AD324" i="3"/>
  <c r="AC324" i="3"/>
  <c r="AB324" i="3"/>
  <c r="J340" i="3"/>
  <c r="B340" i="3"/>
  <c r="I340" i="3"/>
  <c r="H340" i="3"/>
  <c r="G340" i="3"/>
  <c r="O340" i="3"/>
  <c r="F340" i="3"/>
  <c r="D340" i="3"/>
  <c r="E340" i="3"/>
  <c r="C340" i="3"/>
  <c r="AE340" i="3"/>
  <c r="AD340" i="3"/>
  <c r="AC340" i="3"/>
  <c r="AB340" i="3"/>
  <c r="H356" i="3"/>
  <c r="E356" i="3"/>
  <c r="J356" i="3"/>
  <c r="F356" i="3"/>
  <c r="G356" i="3"/>
  <c r="D356" i="3"/>
  <c r="O356" i="3"/>
  <c r="B356" i="3"/>
  <c r="C356" i="3"/>
  <c r="I356" i="3"/>
  <c r="AC356" i="3"/>
  <c r="AB356" i="3"/>
  <c r="AE356" i="3"/>
  <c r="AD356" i="3"/>
  <c r="H372" i="3"/>
  <c r="E372" i="3"/>
  <c r="J372" i="3"/>
  <c r="F372" i="3"/>
  <c r="I372" i="3"/>
  <c r="D372" i="3"/>
  <c r="O372" i="3"/>
  <c r="G372" i="3"/>
  <c r="C372" i="3"/>
  <c r="B372" i="3"/>
  <c r="AC372" i="3"/>
  <c r="AB372" i="3"/>
  <c r="AE372" i="3"/>
  <c r="AD372" i="3"/>
  <c r="I388" i="3"/>
  <c r="G388" i="3"/>
  <c r="D388" i="3"/>
  <c r="H388" i="3"/>
  <c r="F388" i="3"/>
  <c r="O388" i="3"/>
  <c r="J388" i="3"/>
  <c r="E388" i="3"/>
  <c r="C388" i="3"/>
  <c r="B388" i="3"/>
  <c r="AC388" i="3"/>
  <c r="AB388" i="3"/>
  <c r="AE388" i="3"/>
  <c r="AD388" i="3"/>
  <c r="I404" i="3"/>
  <c r="F404" i="3"/>
  <c r="C404" i="3"/>
  <c r="J404" i="3"/>
  <c r="G404" i="3"/>
  <c r="E404" i="3"/>
  <c r="O404" i="3"/>
  <c r="H404" i="3"/>
  <c r="D404" i="3"/>
  <c r="AC404" i="3"/>
  <c r="AB404" i="3"/>
  <c r="B404" i="3"/>
  <c r="AE404" i="3"/>
  <c r="AD404" i="3"/>
  <c r="I428" i="3"/>
  <c r="F428" i="3"/>
  <c r="H428" i="3"/>
  <c r="O428" i="3"/>
  <c r="D428" i="3"/>
  <c r="C428" i="3"/>
  <c r="J428" i="3"/>
  <c r="E428" i="3"/>
  <c r="G428" i="3"/>
  <c r="B428" i="3"/>
  <c r="AC428" i="3"/>
  <c r="AB428" i="3"/>
  <c r="AE428" i="3"/>
  <c r="AD428" i="3"/>
  <c r="D444" i="3"/>
  <c r="I444" i="3"/>
  <c r="H444" i="3"/>
  <c r="O444" i="3"/>
  <c r="E444" i="3"/>
  <c r="G444" i="3"/>
  <c r="B444" i="3"/>
  <c r="C444" i="3"/>
  <c r="J444" i="3"/>
  <c r="F444" i="3"/>
  <c r="AE444" i="3"/>
  <c r="AC444" i="3"/>
  <c r="AD444" i="3"/>
  <c r="AB444" i="3"/>
  <c r="H460" i="3"/>
  <c r="D460" i="3"/>
  <c r="J460" i="3"/>
  <c r="F460" i="3"/>
  <c r="I460" i="3"/>
  <c r="C460" i="3"/>
  <c r="B460" i="3"/>
  <c r="G460" i="3"/>
  <c r="E460" i="3"/>
  <c r="O460" i="3"/>
  <c r="AE460" i="3"/>
  <c r="AC460" i="3"/>
  <c r="AB460" i="3"/>
  <c r="AD460" i="3"/>
  <c r="J492" i="3"/>
  <c r="B492" i="3"/>
  <c r="H492" i="3"/>
  <c r="O492" i="3"/>
  <c r="G492" i="3"/>
  <c r="D492" i="3"/>
  <c r="F492" i="3"/>
  <c r="E492" i="3"/>
  <c r="I492" i="3"/>
  <c r="C492" i="3"/>
  <c r="AB492" i="3"/>
  <c r="AD492" i="3"/>
  <c r="AC492" i="3"/>
  <c r="AE492" i="3"/>
  <c r="J54" i="3"/>
  <c r="B54" i="3"/>
  <c r="H54" i="3"/>
  <c r="C54" i="3"/>
  <c r="AB54" i="3"/>
  <c r="I54" i="3"/>
  <c r="G54" i="3"/>
  <c r="AC54" i="3"/>
  <c r="O54" i="3"/>
  <c r="AE54" i="3"/>
  <c r="AD54" i="3"/>
  <c r="F54" i="3"/>
  <c r="E54" i="3"/>
  <c r="D54" i="3"/>
  <c r="J62" i="3"/>
  <c r="B62" i="3"/>
  <c r="H62" i="3"/>
  <c r="G62" i="3"/>
  <c r="F62" i="3"/>
  <c r="AB62" i="3"/>
  <c r="AC62" i="3"/>
  <c r="I62" i="3"/>
  <c r="O62" i="3"/>
  <c r="C62" i="3"/>
  <c r="AE62" i="3"/>
  <c r="E62" i="3"/>
  <c r="AD62" i="3"/>
  <c r="D62" i="3"/>
  <c r="J70" i="3"/>
  <c r="B70" i="3"/>
  <c r="H70" i="3"/>
  <c r="C70" i="3"/>
  <c r="D70" i="3"/>
  <c r="AB70" i="3"/>
  <c r="O70" i="3"/>
  <c r="AD70" i="3"/>
  <c r="G70" i="3"/>
  <c r="I70" i="3"/>
  <c r="AE70" i="3"/>
  <c r="AC70" i="3"/>
  <c r="F70" i="3"/>
  <c r="E70" i="3"/>
  <c r="J78" i="3"/>
  <c r="B78" i="3"/>
  <c r="H78" i="3"/>
  <c r="G78" i="3"/>
  <c r="F78" i="3"/>
  <c r="D78" i="3"/>
  <c r="AB78" i="3"/>
  <c r="O78" i="3"/>
  <c r="C78" i="3"/>
  <c r="AC78" i="3"/>
  <c r="AE78" i="3"/>
  <c r="AD78" i="3"/>
  <c r="I78" i="3"/>
  <c r="E78" i="3"/>
  <c r="J86" i="3"/>
  <c r="B86" i="3"/>
  <c r="H86" i="3"/>
  <c r="C86" i="3"/>
  <c r="F86" i="3"/>
  <c r="AB86" i="3"/>
  <c r="E86" i="3"/>
  <c r="D86" i="3"/>
  <c r="O86" i="3"/>
  <c r="AD86" i="3"/>
  <c r="AE86" i="3"/>
  <c r="AC86" i="3"/>
  <c r="I86" i="3"/>
  <c r="G86" i="3"/>
  <c r="J94" i="3"/>
  <c r="B94" i="3"/>
  <c r="H94" i="3"/>
  <c r="G94" i="3"/>
  <c r="F94" i="3"/>
  <c r="I94" i="3"/>
  <c r="AB94" i="3"/>
  <c r="E94" i="3"/>
  <c r="D94" i="3"/>
  <c r="C94" i="3"/>
  <c r="AC94" i="3"/>
  <c r="O94" i="3"/>
  <c r="AE94" i="3"/>
  <c r="AD94" i="3"/>
  <c r="J102" i="3"/>
  <c r="B102" i="3"/>
  <c r="H102" i="3"/>
  <c r="C102" i="3"/>
  <c r="I102" i="3"/>
  <c r="AB102" i="3"/>
  <c r="G102" i="3"/>
  <c r="F102" i="3"/>
  <c r="E102" i="3"/>
  <c r="D102" i="3"/>
  <c r="O102" i="3"/>
  <c r="AE102" i="3"/>
  <c r="AD102" i="3"/>
  <c r="AC102" i="3"/>
  <c r="J110" i="3"/>
  <c r="B110" i="3"/>
  <c r="H110" i="3"/>
  <c r="G110" i="3"/>
  <c r="F110" i="3"/>
  <c r="AB110" i="3"/>
  <c r="I110" i="3"/>
  <c r="E110" i="3"/>
  <c r="AC110" i="3"/>
  <c r="D110" i="3"/>
  <c r="C110" i="3"/>
  <c r="O110" i="3"/>
  <c r="AE110" i="3"/>
  <c r="AD110" i="3"/>
  <c r="J118" i="3"/>
  <c r="B118" i="3"/>
  <c r="H118" i="3"/>
  <c r="C118" i="3"/>
  <c r="AB118" i="3"/>
  <c r="I118" i="3"/>
  <c r="G118" i="3"/>
  <c r="AD118" i="3"/>
  <c r="F118" i="3"/>
  <c r="E118" i="3"/>
  <c r="AE118" i="3"/>
  <c r="D118" i="3"/>
  <c r="AC118" i="3"/>
  <c r="O118" i="3"/>
  <c r="J126" i="3"/>
  <c r="B126" i="3"/>
  <c r="H126" i="3"/>
  <c r="G126" i="3"/>
  <c r="F126" i="3"/>
  <c r="O126" i="3"/>
  <c r="E126" i="3"/>
  <c r="AB126" i="3"/>
  <c r="AC126" i="3"/>
  <c r="I126" i="3"/>
  <c r="D126" i="3"/>
  <c r="C126" i="3"/>
  <c r="AE126" i="3"/>
  <c r="AD126" i="3"/>
  <c r="J134" i="3"/>
  <c r="B134" i="3"/>
  <c r="H134" i="3"/>
  <c r="C134" i="3"/>
  <c r="E134" i="3"/>
  <c r="AB134" i="3"/>
  <c r="D134" i="3"/>
  <c r="AD134" i="3"/>
  <c r="I134" i="3"/>
  <c r="O134" i="3"/>
  <c r="AE134" i="3"/>
  <c r="AC134" i="3"/>
  <c r="G134" i="3"/>
  <c r="F134" i="3"/>
  <c r="I142" i="3"/>
  <c r="F142" i="3"/>
  <c r="B142" i="3"/>
  <c r="J142" i="3"/>
  <c r="H142" i="3"/>
  <c r="C142" i="3"/>
  <c r="AB142" i="3"/>
  <c r="AC142" i="3"/>
  <c r="E142" i="3"/>
  <c r="D142" i="3"/>
  <c r="O142" i="3"/>
  <c r="G142" i="3"/>
  <c r="AE142" i="3"/>
  <c r="AD142" i="3"/>
  <c r="I150" i="3"/>
  <c r="F150" i="3"/>
  <c r="E150" i="3"/>
  <c r="H150" i="3"/>
  <c r="O150" i="3"/>
  <c r="AB150" i="3"/>
  <c r="J150" i="3"/>
  <c r="G150" i="3"/>
  <c r="D150" i="3"/>
  <c r="C150" i="3"/>
  <c r="AE150" i="3"/>
  <c r="B150" i="3"/>
  <c r="AD150" i="3"/>
  <c r="AC150" i="3"/>
  <c r="I158" i="3"/>
  <c r="F158" i="3"/>
  <c r="E158" i="3"/>
  <c r="O158" i="3"/>
  <c r="B158" i="3"/>
  <c r="G158" i="3"/>
  <c r="D158" i="3"/>
  <c r="C158" i="3"/>
  <c r="AB158" i="3"/>
  <c r="H158" i="3"/>
  <c r="J158" i="3"/>
  <c r="AC158" i="3"/>
  <c r="AD158" i="3"/>
  <c r="AE158" i="3"/>
  <c r="I166" i="3"/>
  <c r="F166" i="3"/>
  <c r="E166" i="3"/>
  <c r="D166" i="3"/>
  <c r="O166" i="3"/>
  <c r="B166" i="3"/>
  <c r="J166" i="3"/>
  <c r="AB166" i="3"/>
  <c r="H166" i="3"/>
  <c r="C166" i="3"/>
  <c r="G166" i="3"/>
  <c r="AE166" i="3"/>
  <c r="AD166" i="3"/>
  <c r="AC166" i="3"/>
  <c r="I174" i="3"/>
  <c r="F174" i="3"/>
  <c r="E174" i="3"/>
  <c r="H174" i="3"/>
  <c r="D174" i="3"/>
  <c r="C174" i="3"/>
  <c r="B174" i="3"/>
  <c r="AB174" i="3"/>
  <c r="J174" i="3"/>
  <c r="G174" i="3"/>
  <c r="AC174" i="3"/>
  <c r="AD174" i="3"/>
  <c r="O174" i="3"/>
  <c r="AE174" i="3"/>
  <c r="I182" i="3"/>
  <c r="F182" i="3"/>
  <c r="E182" i="3"/>
  <c r="H182" i="3"/>
  <c r="J182" i="3"/>
  <c r="G182" i="3"/>
  <c r="D182" i="3"/>
  <c r="AB182" i="3"/>
  <c r="C182" i="3"/>
  <c r="B182" i="3"/>
  <c r="O182" i="3"/>
  <c r="AD182" i="3"/>
  <c r="AE182" i="3"/>
  <c r="AC182" i="3"/>
  <c r="I190" i="3"/>
  <c r="F190" i="3"/>
  <c r="E190" i="3"/>
  <c r="O190" i="3"/>
  <c r="B190" i="3"/>
  <c r="C190" i="3"/>
  <c r="G190" i="3"/>
  <c r="AB190" i="3"/>
  <c r="D190" i="3"/>
  <c r="H190" i="3"/>
  <c r="AC190" i="3"/>
  <c r="AE190" i="3"/>
  <c r="J190" i="3"/>
  <c r="AD190" i="3"/>
  <c r="F198" i="3"/>
  <c r="E198" i="3"/>
  <c r="D198" i="3"/>
  <c r="C198" i="3"/>
  <c r="J198" i="3"/>
  <c r="G198" i="3"/>
  <c r="B198" i="3"/>
  <c r="H198" i="3"/>
  <c r="AD198" i="3"/>
  <c r="O198" i="3"/>
  <c r="AC198" i="3"/>
  <c r="I198" i="3"/>
  <c r="AB198" i="3"/>
  <c r="AE198" i="3"/>
  <c r="F206" i="3"/>
  <c r="E206" i="3"/>
  <c r="D206" i="3"/>
  <c r="C206" i="3"/>
  <c r="J206" i="3"/>
  <c r="G206" i="3"/>
  <c r="B206" i="3"/>
  <c r="O206" i="3"/>
  <c r="I206" i="3"/>
  <c r="H206" i="3"/>
  <c r="AE206" i="3"/>
  <c r="AD206" i="3"/>
  <c r="AC206" i="3"/>
  <c r="AB206" i="3"/>
  <c r="F214" i="3"/>
  <c r="E214" i="3"/>
  <c r="D214" i="3"/>
  <c r="C214" i="3"/>
  <c r="J214" i="3"/>
  <c r="G214" i="3"/>
  <c r="B214" i="3"/>
  <c r="O214" i="3"/>
  <c r="H214" i="3"/>
  <c r="AE214" i="3"/>
  <c r="I214" i="3"/>
  <c r="AD214" i="3"/>
  <c r="AB214" i="3"/>
  <c r="AC214" i="3"/>
  <c r="F222" i="3"/>
  <c r="E222" i="3"/>
  <c r="D222" i="3"/>
  <c r="C222" i="3"/>
  <c r="J222" i="3"/>
  <c r="G222" i="3"/>
  <c r="B222" i="3"/>
  <c r="AE222" i="3"/>
  <c r="O222" i="3"/>
  <c r="I222" i="3"/>
  <c r="H222" i="3"/>
  <c r="AD222" i="3"/>
  <c r="AC222" i="3"/>
  <c r="AB222" i="3"/>
  <c r="F230" i="3"/>
  <c r="E230" i="3"/>
  <c r="D230" i="3"/>
  <c r="C230" i="3"/>
  <c r="J230" i="3"/>
  <c r="G230" i="3"/>
  <c r="B230" i="3"/>
  <c r="O230" i="3"/>
  <c r="AE230" i="3"/>
  <c r="I230" i="3"/>
  <c r="H230" i="3"/>
  <c r="AD230" i="3"/>
  <c r="AC230" i="3"/>
  <c r="AB230" i="3"/>
  <c r="C238" i="3"/>
  <c r="J238" i="3"/>
  <c r="B238" i="3"/>
  <c r="H238" i="3"/>
  <c r="O238" i="3"/>
  <c r="D238" i="3"/>
  <c r="I238" i="3"/>
  <c r="F238" i="3"/>
  <c r="AE238" i="3"/>
  <c r="AD238" i="3"/>
  <c r="G238" i="3"/>
  <c r="E238" i="3"/>
  <c r="AC238" i="3"/>
  <c r="AB238" i="3"/>
  <c r="C246" i="3"/>
  <c r="J246" i="3"/>
  <c r="B246" i="3"/>
  <c r="H246" i="3"/>
  <c r="F246" i="3"/>
  <c r="E246" i="3"/>
  <c r="O246" i="3"/>
  <c r="D246" i="3"/>
  <c r="G246" i="3"/>
  <c r="I246" i="3"/>
  <c r="AE246" i="3"/>
  <c r="AD246" i="3"/>
  <c r="AC246" i="3"/>
  <c r="AB246" i="3"/>
  <c r="C254" i="3"/>
  <c r="J254" i="3"/>
  <c r="B254" i="3"/>
  <c r="H254" i="3"/>
  <c r="I254" i="3"/>
  <c r="G254" i="3"/>
  <c r="F254" i="3"/>
  <c r="E254" i="3"/>
  <c r="D254" i="3"/>
  <c r="O254" i="3"/>
  <c r="AE254" i="3"/>
  <c r="AD254" i="3"/>
  <c r="AB254" i="3"/>
  <c r="AC254" i="3"/>
  <c r="C262" i="3"/>
  <c r="J262" i="3"/>
  <c r="B262" i="3"/>
  <c r="H262" i="3"/>
  <c r="I262" i="3"/>
  <c r="G262" i="3"/>
  <c r="F262" i="3"/>
  <c r="AE262" i="3"/>
  <c r="AD262" i="3"/>
  <c r="AC262" i="3"/>
  <c r="AB262" i="3"/>
  <c r="O262" i="3"/>
  <c r="E262" i="3"/>
  <c r="D262" i="3"/>
  <c r="C270" i="3"/>
  <c r="J270" i="3"/>
  <c r="B270" i="3"/>
  <c r="H270" i="3"/>
  <c r="O270" i="3"/>
  <c r="D270" i="3"/>
  <c r="I270" i="3"/>
  <c r="E270" i="3"/>
  <c r="G270" i="3"/>
  <c r="AE270" i="3"/>
  <c r="F270" i="3"/>
  <c r="AD270" i="3"/>
  <c r="AC270" i="3"/>
  <c r="AB270" i="3"/>
  <c r="O278" i="3"/>
  <c r="G278" i="3"/>
  <c r="D278" i="3"/>
  <c r="J278" i="3"/>
  <c r="H278" i="3"/>
  <c r="I278" i="3"/>
  <c r="F278" i="3"/>
  <c r="B278" i="3"/>
  <c r="AE278" i="3"/>
  <c r="E278" i="3"/>
  <c r="C278" i="3"/>
  <c r="AD278" i="3"/>
  <c r="AB278" i="3"/>
  <c r="AC278" i="3"/>
  <c r="O286" i="3"/>
  <c r="G286" i="3"/>
  <c r="D286" i="3"/>
  <c r="F286" i="3"/>
  <c r="E286" i="3"/>
  <c r="B286" i="3"/>
  <c r="H286" i="3"/>
  <c r="C286" i="3"/>
  <c r="J286" i="3"/>
  <c r="I286" i="3"/>
  <c r="AE286" i="3"/>
  <c r="AD286" i="3"/>
  <c r="AC286" i="3"/>
  <c r="AB286" i="3"/>
  <c r="O294" i="3"/>
  <c r="G294" i="3"/>
  <c r="D294" i="3"/>
  <c r="J294" i="3"/>
  <c r="H294" i="3"/>
  <c r="I294" i="3"/>
  <c r="F294" i="3"/>
  <c r="E294" i="3"/>
  <c r="AE294" i="3"/>
  <c r="C294" i="3"/>
  <c r="B294" i="3"/>
  <c r="AD294" i="3"/>
  <c r="AC294" i="3"/>
  <c r="AB294" i="3"/>
  <c r="O302" i="3"/>
  <c r="G302" i="3"/>
  <c r="D302" i="3"/>
  <c r="F302" i="3"/>
  <c r="E302" i="3"/>
  <c r="B302" i="3"/>
  <c r="C302" i="3"/>
  <c r="H302" i="3"/>
  <c r="J302" i="3"/>
  <c r="I302" i="3"/>
  <c r="AE302" i="3"/>
  <c r="AD302" i="3"/>
  <c r="AC302" i="3"/>
  <c r="AB302" i="3"/>
  <c r="O310" i="3"/>
  <c r="G310" i="3"/>
  <c r="F310" i="3"/>
  <c r="D310" i="3"/>
  <c r="C310" i="3"/>
  <c r="B310" i="3"/>
  <c r="J310" i="3"/>
  <c r="E310" i="3"/>
  <c r="AE310" i="3"/>
  <c r="AD310" i="3"/>
  <c r="I310" i="3"/>
  <c r="H310" i="3"/>
  <c r="AB310" i="3"/>
  <c r="AC310" i="3"/>
  <c r="O318" i="3"/>
  <c r="G318" i="3"/>
  <c r="F318" i="3"/>
  <c r="D318" i="3"/>
  <c r="H318" i="3"/>
  <c r="E318" i="3"/>
  <c r="C318" i="3"/>
  <c r="B318" i="3"/>
  <c r="J318" i="3"/>
  <c r="I318" i="3"/>
  <c r="AE318" i="3"/>
  <c r="AD318" i="3"/>
  <c r="AB318" i="3"/>
  <c r="AC318" i="3"/>
  <c r="O326" i="3"/>
  <c r="G326" i="3"/>
  <c r="F326" i="3"/>
  <c r="D326" i="3"/>
  <c r="J326" i="3"/>
  <c r="I326" i="3"/>
  <c r="H326" i="3"/>
  <c r="E326" i="3"/>
  <c r="C326" i="3"/>
  <c r="B326" i="3"/>
  <c r="AE326" i="3"/>
  <c r="AD326" i="3"/>
  <c r="AC326" i="3"/>
  <c r="AB326" i="3"/>
  <c r="F334" i="3"/>
  <c r="B334" i="3"/>
  <c r="J334" i="3"/>
  <c r="I334" i="3"/>
  <c r="H334" i="3"/>
  <c r="O334" i="3"/>
  <c r="E334" i="3"/>
  <c r="G334" i="3"/>
  <c r="D334" i="3"/>
  <c r="C334" i="3"/>
  <c r="AE334" i="3"/>
  <c r="AD334" i="3"/>
  <c r="AC334" i="3"/>
  <c r="AB334" i="3"/>
  <c r="F342" i="3"/>
  <c r="G342" i="3"/>
  <c r="J342" i="3"/>
  <c r="I342" i="3"/>
  <c r="H342" i="3"/>
  <c r="E342" i="3"/>
  <c r="O342" i="3"/>
  <c r="C342" i="3"/>
  <c r="D342" i="3"/>
  <c r="B342" i="3"/>
  <c r="AE342" i="3"/>
  <c r="AD342" i="3"/>
  <c r="AC342" i="3"/>
  <c r="AB342" i="3"/>
  <c r="F350" i="3"/>
  <c r="C350" i="3"/>
  <c r="H350" i="3"/>
  <c r="G350" i="3"/>
  <c r="E350" i="3"/>
  <c r="D350" i="3"/>
  <c r="O350" i="3"/>
  <c r="J350" i="3"/>
  <c r="I350" i="3"/>
  <c r="B350" i="3"/>
  <c r="AE350" i="3"/>
  <c r="AD350" i="3"/>
  <c r="AB350" i="3"/>
  <c r="AC350" i="3"/>
  <c r="D358" i="3"/>
  <c r="I358" i="3"/>
  <c r="C358" i="3"/>
  <c r="J358" i="3"/>
  <c r="G358" i="3"/>
  <c r="F358" i="3"/>
  <c r="B358" i="3"/>
  <c r="H358" i="3"/>
  <c r="E358" i="3"/>
  <c r="O358" i="3"/>
  <c r="AD358" i="3"/>
  <c r="AC358" i="3"/>
  <c r="AB358" i="3"/>
  <c r="AE358" i="3"/>
  <c r="D366" i="3"/>
  <c r="I366" i="3"/>
  <c r="H366" i="3"/>
  <c r="O366" i="3"/>
  <c r="E366" i="3"/>
  <c r="J366" i="3"/>
  <c r="G366" i="3"/>
  <c r="C366" i="3"/>
  <c r="F366" i="3"/>
  <c r="B366" i="3"/>
  <c r="AE366" i="3"/>
  <c r="AD366" i="3"/>
  <c r="AB366" i="3"/>
  <c r="AC366" i="3"/>
  <c r="D374" i="3"/>
  <c r="I374" i="3"/>
  <c r="C374" i="3"/>
  <c r="J374" i="3"/>
  <c r="H374" i="3"/>
  <c r="F374" i="3"/>
  <c r="O374" i="3"/>
  <c r="G374" i="3"/>
  <c r="B374" i="3"/>
  <c r="E374" i="3"/>
  <c r="AD374" i="3"/>
  <c r="AC374" i="3"/>
  <c r="AE374" i="3"/>
  <c r="AB374" i="3"/>
  <c r="E382" i="3"/>
  <c r="I382" i="3"/>
  <c r="O382" i="3"/>
  <c r="F382" i="3"/>
  <c r="G382" i="3"/>
  <c r="J382" i="3"/>
  <c r="D382" i="3"/>
  <c r="H382" i="3"/>
  <c r="C382" i="3"/>
  <c r="B382" i="3"/>
  <c r="AD382" i="3"/>
  <c r="AC382" i="3"/>
  <c r="AB382" i="3"/>
  <c r="AE382" i="3"/>
  <c r="E390" i="3"/>
  <c r="J390" i="3"/>
  <c r="G390" i="3"/>
  <c r="C390" i="3"/>
  <c r="I390" i="3"/>
  <c r="D390" i="3"/>
  <c r="B390" i="3"/>
  <c r="H390" i="3"/>
  <c r="F390" i="3"/>
  <c r="O390" i="3"/>
  <c r="AD390" i="3"/>
  <c r="AC390" i="3"/>
  <c r="AB390" i="3"/>
  <c r="AE390" i="3"/>
  <c r="E398" i="3"/>
  <c r="J398" i="3"/>
  <c r="B398" i="3"/>
  <c r="H398" i="3"/>
  <c r="F398" i="3"/>
  <c r="D398" i="3"/>
  <c r="I398" i="3"/>
  <c r="G398" i="3"/>
  <c r="C398" i="3"/>
  <c r="O398" i="3"/>
  <c r="AB398" i="3"/>
  <c r="AD398" i="3"/>
  <c r="AE398" i="3"/>
  <c r="AC398" i="3"/>
  <c r="E406" i="3"/>
  <c r="J406" i="3"/>
  <c r="B406" i="3"/>
  <c r="G406" i="3"/>
  <c r="C406" i="3"/>
  <c r="H406" i="3"/>
  <c r="F406" i="3"/>
  <c r="I406" i="3"/>
  <c r="D406" i="3"/>
  <c r="O406" i="3"/>
  <c r="AD406" i="3"/>
  <c r="AC406" i="3"/>
  <c r="AE406" i="3"/>
  <c r="AB406" i="3"/>
  <c r="E414" i="3"/>
  <c r="J414" i="3"/>
  <c r="B414" i="3"/>
  <c r="H414" i="3"/>
  <c r="O414" i="3"/>
  <c r="I414" i="3"/>
  <c r="G414" i="3"/>
  <c r="D414" i="3"/>
  <c r="C414" i="3"/>
  <c r="F414" i="3"/>
  <c r="AD414" i="3"/>
  <c r="AC414" i="3"/>
  <c r="AE414" i="3"/>
  <c r="AB414" i="3"/>
  <c r="E422" i="3"/>
  <c r="J422" i="3"/>
  <c r="B422" i="3"/>
  <c r="G422" i="3"/>
  <c r="C422" i="3"/>
  <c r="I422" i="3"/>
  <c r="O422" i="3"/>
  <c r="F422" i="3"/>
  <c r="D422" i="3"/>
  <c r="H422" i="3"/>
  <c r="AD422" i="3"/>
  <c r="AC422" i="3"/>
  <c r="AB422" i="3"/>
  <c r="AE422" i="3"/>
  <c r="E430" i="3"/>
  <c r="J430" i="3"/>
  <c r="B430" i="3"/>
  <c r="H430" i="3"/>
  <c r="D430" i="3"/>
  <c r="O430" i="3"/>
  <c r="G430" i="3"/>
  <c r="I430" i="3"/>
  <c r="C430" i="3"/>
  <c r="F430" i="3"/>
  <c r="AE430" i="3"/>
  <c r="AD430" i="3"/>
  <c r="AC430" i="3"/>
  <c r="AB430" i="3"/>
  <c r="H438" i="3"/>
  <c r="E438" i="3"/>
  <c r="G438" i="3"/>
  <c r="C438" i="3"/>
  <c r="F438" i="3"/>
  <c r="O438" i="3"/>
  <c r="J438" i="3"/>
  <c r="D438" i="3"/>
  <c r="B438" i="3"/>
  <c r="I438" i="3"/>
  <c r="AD438" i="3"/>
  <c r="AC438" i="3"/>
  <c r="AE438" i="3"/>
  <c r="AB438" i="3"/>
  <c r="H446" i="3"/>
  <c r="E446" i="3"/>
  <c r="B446" i="3"/>
  <c r="I446" i="3"/>
  <c r="G446" i="3"/>
  <c r="C446" i="3"/>
  <c r="O446" i="3"/>
  <c r="J446" i="3"/>
  <c r="D446" i="3"/>
  <c r="F446" i="3"/>
  <c r="AD446" i="3"/>
  <c r="AC446" i="3"/>
  <c r="AB446" i="3"/>
  <c r="AE446" i="3"/>
  <c r="H454" i="3"/>
  <c r="I454" i="3"/>
  <c r="O454" i="3"/>
  <c r="E454" i="3"/>
  <c r="G454" i="3"/>
  <c r="C454" i="3"/>
  <c r="D454" i="3"/>
  <c r="B454" i="3"/>
  <c r="J454" i="3"/>
  <c r="F454" i="3"/>
  <c r="AD454" i="3"/>
  <c r="AC454" i="3"/>
  <c r="AE454" i="3"/>
  <c r="AB454" i="3"/>
  <c r="D462" i="3"/>
  <c r="H462" i="3"/>
  <c r="C462" i="3"/>
  <c r="J462" i="3"/>
  <c r="I462" i="3"/>
  <c r="E462" i="3"/>
  <c r="F462" i="3"/>
  <c r="G462" i="3"/>
  <c r="B462" i="3"/>
  <c r="O462" i="3"/>
  <c r="AB462" i="3"/>
  <c r="AE462" i="3"/>
  <c r="AD462" i="3"/>
  <c r="AC462" i="3"/>
  <c r="D470" i="3"/>
  <c r="H470" i="3"/>
  <c r="I470" i="3"/>
  <c r="O470" i="3"/>
  <c r="E470" i="3"/>
  <c r="F470" i="3"/>
  <c r="G470" i="3"/>
  <c r="C470" i="3"/>
  <c r="J470" i="3"/>
  <c r="B470" i="3"/>
  <c r="AD470" i="3"/>
  <c r="AC470" i="3"/>
  <c r="AE470" i="3"/>
  <c r="AB470" i="3"/>
  <c r="F478" i="3"/>
  <c r="D478" i="3"/>
  <c r="H478" i="3"/>
  <c r="I478" i="3"/>
  <c r="C478" i="3"/>
  <c r="O478" i="3"/>
  <c r="J478" i="3"/>
  <c r="E478" i="3"/>
  <c r="G478" i="3"/>
  <c r="B478" i="3"/>
  <c r="AB478" i="3"/>
  <c r="AE478" i="3"/>
  <c r="AD478" i="3"/>
  <c r="AC478" i="3"/>
  <c r="F486" i="3"/>
  <c r="D486" i="3"/>
  <c r="C486" i="3"/>
  <c r="H486" i="3"/>
  <c r="J486" i="3"/>
  <c r="E486" i="3"/>
  <c r="B486" i="3"/>
  <c r="O486" i="3"/>
  <c r="I486" i="3"/>
  <c r="G486" i="3"/>
  <c r="AB486" i="3"/>
  <c r="AD486" i="3"/>
  <c r="AC486" i="3"/>
  <c r="AE486" i="3"/>
  <c r="F494" i="3"/>
  <c r="D494" i="3"/>
  <c r="C494" i="3"/>
  <c r="H494" i="3"/>
  <c r="J494" i="3"/>
  <c r="E494" i="3"/>
  <c r="O494" i="3"/>
  <c r="G494" i="3"/>
  <c r="B494" i="3"/>
  <c r="I494" i="3"/>
  <c r="AB494" i="3"/>
  <c r="AE494" i="3"/>
  <c r="AD494" i="3"/>
  <c r="AC494" i="3"/>
  <c r="O502" i="3"/>
  <c r="F502" i="3"/>
  <c r="D502" i="3"/>
  <c r="C502" i="3"/>
  <c r="H502" i="3"/>
  <c r="J502" i="3"/>
  <c r="E502" i="3"/>
  <c r="I502" i="3"/>
  <c r="G502" i="3"/>
  <c r="B502" i="3"/>
  <c r="AB502" i="3"/>
  <c r="AD502" i="3"/>
  <c r="AC502" i="3"/>
  <c r="AE502" i="3"/>
  <c r="Z61" i="3"/>
  <c r="Y61" i="3"/>
  <c r="X61" i="3"/>
  <c r="AA61" i="3"/>
  <c r="W61" i="3"/>
  <c r="V61" i="3"/>
  <c r="Z69" i="3"/>
  <c r="Y69" i="3"/>
  <c r="W69" i="3"/>
  <c r="AA69" i="3"/>
  <c r="X69" i="3"/>
  <c r="V69" i="3"/>
  <c r="Z77" i="3"/>
  <c r="Y77" i="3"/>
  <c r="V77" i="3"/>
  <c r="W77" i="3"/>
  <c r="AA77" i="3"/>
  <c r="X77" i="3"/>
  <c r="Z85" i="3"/>
  <c r="Y85" i="3"/>
  <c r="AA85" i="3"/>
  <c r="X85" i="3"/>
  <c r="W85" i="3"/>
  <c r="V85" i="3"/>
  <c r="Z93" i="3"/>
  <c r="Y93" i="3"/>
  <c r="AA93" i="3"/>
  <c r="X93" i="3"/>
  <c r="W93" i="3"/>
  <c r="V93" i="3"/>
  <c r="Z101" i="3"/>
  <c r="Y101" i="3"/>
  <c r="X101" i="3"/>
  <c r="W101" i="3"/>
  <c r="AA101" i="3"/>
  <c r="V101" i="3"/>
  <c r="Z109" i="3"/>
  <c r="Y109" i="3"/>
  <c r="AA109" i="3"/>
  <c r="W109" i="3"/>
  <c r="V109" i="3"/>
  <c r="X109" i="3"/>
  <c r="Z117" i="3"/>
  <c r="Y117" i="3"/>
  <c r="X117" i="3"/>
  <c r="AA117" i="3"/>
  <c r="W117" i="3"/>
  <c r="V117" i="3"/>
  <c r="Z125" i="3"/>
  <c r="Y125" i="3"/>
  <c r="X125" i="3"/>
  <c r="AA125" i="3"/>
  <c r="W125" i="3"/>
  <c r="V125" i="3"/>
  <c r="Z133" i="3"/>
  <c r="Y133" i="3"/>
  <c r="X133" i="3"/>
  <c r="AA133" i="3"/>
  <c r="W133" i="3"/>
  <c r="V133" i="3"/>
  <c r="Z141" i="3"/>
  <c r="Y141" i="3"/>
  <c r="X141" i="3"/>
  <c r="AA141" i="3"/>
  <c r="W141" i="3"/>
  <c r="V141" i="3"/>
  <c r="Z149" i="3"/>
  <c r="Y149" i="3"/>
  <c r="X149" i="3"/>
  <c r="AA149" i="3"/>
  <c r="W149" i="3"/>
  <c r="V149" i="3"/>
  <c r="Z157" i="3"/>
  <c r="Y157" i="3"/>
  <c r="X157" i="3"/>
  <c r="AA157" i="3"/>
  <c r="W157" i="3"/>
  <c r="V157" i="3"/>
  <c r="Z165" i="3"/>
  <c r="Y165" i="3"/>
  <c r="X165" i="3"/>
  <c r="AA165" i="3"/>
  <c r="V165" i="3"/>
  <c r="W165" i="3"/>
  <c r="Z173" i="3"/>
  <c r="Y173" i="3"/>
  <c r="X173" i="3"/>
  <c r="AA173" i="3"/>
  <c r="W173" i="3"/>
  <c r="V173" i="3"/>
  <c r="Z181" i="3"/>
  <c r="Y181" i="3"/>
  <c r="X181" i="3"/>
  <c r="AA181" i="3"/>
  <c r="W181" i="3"/>
  <c r="V181" i="3"/>
  <c r="Z189" i="3"/>
  <c r="Y189" i="3"/>
  <c r="X189" i="3"/>
  <c r="AA189" i="3"/>
  <c r="W189" i="3"/>
  <c r="V189" i="3"/>
  <c r="Z197" i="3"/>
  <c r="Y197" i="3"/>
  <c r="X197" i="3"/>
  <c r="AA197" i="3"/>
  <c r="W197" i="3"/>
  <c r="V197" i="3"/>
  <c r="Z205" i="3"/>
  <c r="Y205" i="3"/>
  <c r="X205" i="3"/>
  <c r="AA205" i="3"/>
  <c r="W205" i="3"/>
  <c r="V205" i="3"/>
  <c r="Z213" i="3"/>
  <c r="Y213" i="3"/>
  <c r="X213" i="3"/>
  <c r="AA213" i="3"/>
  <c r="W213" i="3"/>
  <c r="V213" i="3"/>
  <c r="Z221" i="3"/>
  <c r="Y221" i="3"/>
  <c r="X221" i="3"/>
  <c r="AA221" i="3"/>
  <c r="W221" i="3"/>
  <c r="V221" i="3"/>
  <c r="Z229" i="3"/>
  <c r="Y229" i="3"/>
  <c r="X229" i="3"/>
  <c r="AA229" i="3"/>
  <c r="V229" i="3"/>
  <c r="W229" i="3"/>
  <c r="Z237" i="3"/>
  <c r="Y237" i="3"/>
  <c r="X237" i="3"/>
  <c r="AA237" i="3"/>
  <c r="W237" i="3"/>
  <c r="V237" i="3"/>
  <c r="Z245" i="3"/>
  <c r="Y245" i="3"/>
  <c r="X245" i="3"/>
  <c r="AA245" i="3"/>
  <c r="W245" i="3"/>
  <c r="V245" i="3"/>
  <c r="Z253" i="3"/>
  <c r="Y253" i="3"/>
  <c r="X253" i="3"/>
  <c r="AA253" i="3"/>
  <c r="W253" i="3"/>
  <c r="V253" i="3"/>
  <c r="Z261" i="3"/>
  <c r="Y261" i="3"/>
  <c r="X261" i="3"/>
  <c r="AA261" i="3"/>
  <c r="W261" i="3"/>
  <c r="V261" i="3"/>
  <c r="AA269" i="3"/>
  <c r="Z269" i="3"/>
  <c r="X269" i="3"/>
  <c r="V269" i="3"/>
  <c r="W269" i="3"/>
  <c r="Y269" i="3"/>
  <c r="AA277" i="3"/>
  <c r="Z277" i="3"/>
  <c r="X277" i="3"/>
  <c r="V277" i="3"/>
  <c r="W277" i="3"/>
  <c r="Y277" i="3"/>
  <c r="AA285" i="3"/>
  <c r="Z285" i="3"/>
  <c r="X285" i="3"/>
  <c r="V285" i="3"/>
  <c r="Y285" i="3"/>
  <c r="W285" i="3"/>
  <c r="AA293" i="3"/>
  <c r="Z293" i="3"/>
  <c r="X293" i="3"/>
  <c r="V293" i="3"/>
  <c r="W293" i="3"/>
  <c r="Y293" i="3"/>
  <c r="AA301" i="3"/>
  <c r="Z301" i="3"/>
  <c r="X301" i="3"/>
  <c r="V301" i="3"/>
  <c r="Y301" i="3"/>
  <c r="W301" i="3"/>
  <c r="AA309" i="3"/>
  <c r="Z309" i="3"/>
  <c r="X309" i="3"/>
  <c r="V309" i="3"/>
  <c r="W309" i="3"/>
  <c r="Y309" i="3"/>
  <c r="AA317" i="3"/>
  <c r="Z317" i="3"/>
  <c r="X317" i="3"/>
  <c r="V317" i="3"/>
  <c r="Y317" i="3"/>
  <c r="W317" i="3"/>
  <c r="AA325" i="3"/>
  <c r="Z325" i="3"/>
  <c r="X325" i="3"/>
  <c r="V325" i="3"/>
  <c r="Y325" i="3"/>
  <c r="W325" i="3"/>
  <c r="AA333" i="3"/>
  <c r="Z333" i="3"/>
  <c r="X333" i="3"/>
  <c r="V333" i="3"/>
  <c r="Y333" i="3"/>
  <c r="W333" i="3"/>
  <c r="AA341" i="3"/>
  <c r="Z341" i="3"/>
  <c r="X341" i="3"/>
  <c r="V341" i="3"/>
  <c r="W341" i="3"/>
  <c r="Y341" i="3"/>
  <c r="AA349" i="3"/>
  <c r="Z349" i="3"/>
  <c r="X349" i="3"/>
  <c r="V349" i="3"/>
  <c r="Y349" i="3"/>
  <c r="W349" i="3"/>
  <c r="AA357" i="3"/>
  <c r="Z357" i="3"/>
  <c r="X357" i="3"/>
  <c r="V357" i="3"/>
  <c r="W357" i="3"/>
  <c r="Y357" i="3"/>
  <c r="AA365" i="3"/>
  <c r="Z365" i="3"/>
  <c r="X365" i="3"/>
  <c r="V365" i="3"/>
  <c r="Y365" i="3"/>
  <c r="W365" i="3"/>
  <c r="V373" i="3"/>
  <c r="AA373" i="3"/>
  <c r="Y373" i="3"/>
  <c r="X373" i="3"/>
  <c r="Z373" i="3"/>
  <c r="W373" i="3"/>
  <c r="V381" i="3"/>
  <c r="Z381" i="3"/>
  <c r="AA381" i="3"/>
  <c r="Y381" i="3"/>
  <c r="W381" i="3"/>
  <c r="X381" i="3"/>
  <c r="V389" i="3"/>
  <c r="AA389" i="3"/>
  <c r="X389" i="3"/>
  <c r="W389" i="3"/>
  <c r="Z389" i="3"/>
  <c r="Y389" i="3"/>
  <c r="V397" i="3"/>
  <c r="AA397" i="3"/>
  <c r="X397" i="3"/>
  <c r="W397" i="3"/>
  <c r="Z397" i="3"/>
  <c r="Y397" i="3"/>
  <c r="V405" i="3"/>
  <c r="AA405" i="3"/>
  <c r="X405" i="3"/>
  <c r="W405" i="3"/>
  <c r="Z405" i="3"/>
  <c r="Y405" i="3"/>
  <c r="X413" i="3"/>
  <c r="W413" i="3"/>
  <c r="Z413" i="3"/>
  <c r="Y413" i="3"/>
  <c r="V413" i="3"/>
  <c r="AA413" i="3"/>
  <c r="AA421" i="3"/>
  <c r="Z421" i="3"/>
  <c r="X421" i="3"/>
  <c r="Y421" i="3"/>
  <c r="V421" i="3"/>
  <c r="W421" i="3"/>
  <c r="AA429" i="3"/>
  <c r="Z429" i="3"/>
  <c r="Y429" i="3"/>
  <c r="X429" i="3"/>
  <c r="V429" i="3"/>
  <c r="W429" i="3"/>
  <c r="AA437" i="3"/>
  <c r="Z437" i="3"/>
  <c r="W437" i="3"/>
  <c r="V437" i="3"/>
  <c r="X437" i="3"/>
  <c r="Y437" i="3"/>
  <c r="AA445" i="3"/>
  <c r="Z445" i="3"/>
  <c r="X445" i="3"/>
  <c r="Y445" i="3"/>
  <c r="W445" i="3"/>
  <c r="V445" i="3"/>
  <c r="AA453" i="3"/>
  <c r="Z453" i="3"/>
  <c r="X453" i="3"/>
  <c r="Y453" i="3"/>
  <c r="W453" i="3"/>
  <c r="V453" i="3"/>
  <c r="AA461" i="3"/>
  <c r="Z461" i="3"/>
  <c r="Y461" i="3"/>
  <c r="X461" i="3"/>
  <c r="V461" i="3"/>
  <c r="W461" i="3"/>
  <c r="AA469" i="3"/>
  <c r="Z469" i="3"/>
  <c r="W469" i="3"/>
  <c r="V469" i="3"/>
  <c r="Y469" i="3"/>
  <c r="X469" i="3"/>
  <c r="AA477" i="3"/>
  <c r="Z477" i="3"/>
  <c r="Y477" i="3"/>
  <c r="W477" i="3"/>
  <c r="X477" i="3"/>
  <c r="V477" i="3"/>
  <c r="AA485" i="3"/>
  <c r="Z485" i="3"/>
  <c r="X485" i="3"/>
  <c r="W485" i="3"/>
  <c r="V485" i="3"/>
  <c r="Y485" i="3"/>
  <c r="AA493" i="3"/>
  <c r="Z493" i="3"/>
  <c r="Y493" i="3"/>
  <c r="X493" i="3"/>
  <c r="V493" i="3"/>
  <c r="W493" i="3"/>
  <c r="AA501" i="3"/>
  <c r="Z501" i="3"/>
  <c r="W501" i="3"/>
  <c r="V501" i="3"/>
  <c r="Y501" i="3"/>
  <c r="X501" i="3"/>
  <c r="Z70" i="3"/>
  <c r="W70" i="3"/>
  <c r="V70" i="3"/>
  <c r="Y70" i="3"/>
  <c r="AA70" i="3"/>
  <c r="X70" i="3"/>
  <c r="Z94" i="3"/>
  <c r="W94" i="3"/>
  <c r="V94" i="3"/>
  <c r="AA94" i="3"/>
  <c r="Y94" i="3"/>
  <c r="X94" i="3"/>
  <c r="Z110" i="3"/>
  <c r="W110" i="3"/>
  <c r="V110" i="3"/>
  <c r="X110" i="3"/>
  <c r="AA110" i="3"/>
  <c r="Y110" i="3"/>
  <c r="Z134" i="3"/>
  <c r="W134" i="3"/>
  <c r="V134" i="3"/>
  <c r="AA134" i="3"/>
  <c r="X134" i="3"/>
  <c r="Y134" i="3"/>
  <c r="Z158" i="3"/>
  <c r="W158" i="3"/>
  <c r="V158" i="3"/>
  <c r="X158" i="3"/>
  <c r="AA158" i="3"/>
  <c r="Y158" i="3"/>
  <c r="Z174" i="3"/>
  <c r="W174" i="3"/>
  <c r="V174" i="3"/>
  <c r="AA174" i="3"/>
  <c r="Y174" i="3"/>
  <c r="X174" i="3"/>
  <c r="Z198" i="3"/>
  <c r="W198" i="3"/>
  <c r="V198" i="3"/>
  <c r="AA198" i="3"/>
  <c r="X198" i="3"/>
  <c r="Y198" i="3"/>
  <c r="Z222" i="3"/>
  <c r="W222" i="3"/>
  <c r="V222" i="3"/>
  <c r="X222" i="3"/>
  <c r="AA222" i="3"/>
  <c r="Y222" i="3"/>
  <c r="Z246" i="3"/>
  <c r="W246" i="3"/>
  <c r="V246" i="3"/>
  <c r="AA246" i="3"/>
  <c r="X246" i="3"/>
  <c r="Y246" i="3"/>
  <c r="AA270" i="3"/>
  <c r="Z270" i="3"/>
  <c r="X270" i="3"/>
  <c r="Y270" i="3"/>
  <c r="V270" i="3"/>
  <c r="W270" i="3"/>
  <c r="AA294" i="3"/>
  <c r="Z294" i="3"/>
  <c r="X294" i="3"/>
  <c r="Y294" i="3"/>
  <c r="V294" i="3"/>
  <c r="W294" i="3"/>
  <c r="AA318" i="3"/>
  <c r="Z318" i="3"/>
  <c r="X318" i="3"/>
  <c r="Y318" i="3"/>
  <c r="V318" i="3"/>
  <c r="W318" i="3"/>
  <c r="AA334" i="3"/>
  <c r="Z334" i="3"/>
  <c r="X334" i="3"/>
  <c r="Y334" i="3"/>
  <c r="V334" i="3"/>
  <c r="W334" i="3"/>
  <c r="AA358" i="3"/>
  <c r="Z358" i="3"/>
  <c r="X358" i="3"/>
  <c r="Y358" i="3"/>
  <c r="V358" i="3"/>
  <c r="W358" i="3"/>
  <c r="V382" i="3"/>
  <c r="W382" i="3"/>
  <c r="Z382" i="3"/>
  <c r="X382" i="3"/>
  <c r="Y382" i="3"/>
  <c r="AA382" i="3"/>
  <c r="V398" i="3"/>
  <c r="AA398" i="3"/>
  <c r="Z398" i="3"/>
  <c r="X398" i="3"/>
  <c r="Y398" i="3"/>
  <c r="W398" i="3"/>
  <c r="X414" i="3"/>
  <c r="W414" i="3"/>
  <c r="AA414" i="3"/>
  <c r="Y414" i="3"/>
  <c r="V414" i="3"/>
  <c r="Z414" i="3"/>
  <c r="AA438" i="3"/>
  <c r="Z438" i="3"/>
  <c r="Y438" i="3"/>
  <c r="W438" i="3"/>
  <c r="V438" i="3"/>
  <c r="X438" i="3"/>
  <c r="AA462" i="3"/>
  <c r="Y462" i="3"/>
  <c r="X462" i="3"/>
  <c r="Z462" i="3"/>
  <c r="V462" i="3"/>
  <c r="W462" i="3"/>
  <c r="AA494" i="3"/>
  <c r="Y494" i="3"/>
  <c r="Z494" i="3"/>
  <c r="W494" i="3"/>
  <c r="V494" i="3"/>
  <c r="X494" i="3"/>
  <c r="Z71" i="3"/>
  <c r="AA71" i="3"/>
  <c r="Y71" i="3"/>
  <c r="W71" i="3"/>
  <c r="X71" i="3"/>
  <c r="V71" i="3"/>
  <c r="Z95" i="3"/>
  <c r="AA95" i="3"/>
  <c r="Y95" i="3"/>
  <c r="W95" i="3"/>
  <c r="X95" i="3"/>
  <c r="V95" i="3"/>
  <c r="Z119" i="3"/>
  <c r="AA119" i="3"/>
  <c r="Y119" i="3"/>
  <c r="W119" i="3"/>
  <c r="V119" i="3"/>
  <c r="X119" i="3"/>
  <c r="Z143" i="3"/>
  <c r="AA143" i="3"/>
  <c r="Y143" i="3"/>
  <c r="W143" i="3"/>
  <c r="V143" i="3"/>
  <c r="X143" i="3"/>
  <c r="Z167" i="3"/>
  <c r="AA167" i="3"/>
  <c r="Y167" i="3"/>
  <c r="W167" i="3"/>
  <c r="V167" i="3"/>
  <c r="X167" i="3"/>
  <c r="Z191" i="3"/>
  <c r="AA191" i="3"/>
  <c r="Y191" i="3"/>
  <c r="W191" i="3"/>
  <c r="V191" i="3"/>
  <c r="X191" i="3"/>
  <c r="Z215" i="3"/>
  <c r="AA215" i="3"/>
  <c r="Y215" i="3"/>
  <c r="W215" i="3"/>
  <c r="V215" i="3"/>
  <c r="X215" i="3"/>
  <c r="Z239" i="3"/>
  <c r="AA239" i="3"/>
  <c r="Y239" i="3"/>
  <c r="W239" i="3"/>
  <c r="V239" i="3"/>
  <c r="X239" i="3"/>
  <c r="AA271" i="3"/>
  <c r="Z271" i="3"/>
  <c r="X271" i="3"/>
  <c r="Y271" i="3"/>
  <c r="W271" i="3"/>
  <c r="V271" i="3"/>
  <c r="AA303" i="3"/>
  <c r="Z303" i="3"/>
  <c r="X303" i="3"/>
  <c r="W303" i="3"/>
  <c r="V303" i="3"/>
  <c r="Y303" i="3"/>
  <c r="AA335" i="3"/>
  <c r="Z335" i="3"/>
  <c r="X335" i="3"/>
  <c r="Y335" i="3"/>
  <c r="W335" i="3"/>
  <c r="V335" i="3"/>
  <c r="AA359" i="3"/>
  <c r="Z359" i="3"/>
  <c r="X359" i="3"/>
  <c r="Y359" i="3"/>
  <c r="W359" i="3"/>
  <c r="V359" i="3"/>
  <c r="V383" i="3"/>
  <c r="Y383" i="3"/>
  <c r="X383" i="3"/>
  <c r="AA383" i="3"/>
  <c r="W383" i="3"/>
  <c r="Z383" i="3"/>
  <c r="V407" i="3"/>
  <c r="AA407" i="3"/>
  <c r="W407" i="3"/>
  <c r="Z407" i="3"/>
  <c r="Y407" i="3"/>
  <c r="X407" i="3"/>
  <c r="AA447" i="3"/>
  <c r="Z447" i="3"/>
  <c r="X447" i="3"/>
  <c r="W447" i="3"/>
  <c r="V447" i="3"/>
  <c r="Y447" i="3"/>
  <c r="Y487" i="3"/>
  <c r="X487" i="3"/>
  <c r="V487" i="3"/>
  <c r="AA487" i="3"/>
  <c r="Z487" i="3"/>
  <c r="W487" i="3"/>
  <c r="Z56" i="3"/>
  <c r="AA56" i="3"/>
  <c r="X56" i="3"/>
  <c r="W56" i="3"/>
  <c r="V56" i="3"/>
  <c r="Y56" i="3"/>
  <c r="Z80" i="3"/>
  <c r="AA80" i="3"/>
  <c r="Y80" i="3"/>
  <c r="X80" i="3"/>
  <c r="W80" i="3"/>
  <c r="V80" i="3"/>
  <c r="Z96" i="3"/>
  <c r="AA96" i="3"/>
  <c r="X96" i="3"/>
  <c r="W96" i="3"/>
  <c r="Y96" i="3"/>
  <c r="V96" i="3"/>
  <c r="Z112" i="3"/>
  <c r="AA112" i="3"/>
  <c r="Y112" i="3"/>
  <c r="W112" i="3"/>
  <c r="V112" i="3"/>
  <c r="X112" i="3"/>
  <c r="Z128" i="3"/>
  <c r="AA128" i="3"/>
  <c r="Y128" i="3"/>
  <c r="X128" i="3"/>
  <c r="V128" i="3"/>
  <c r="W128" i="3"/>
  <c r="Z152" i="3"/>
  <c r="AA152" i="3"/>
  <c r="Y152" i="3"/>
  <c r="W152" i="3"/>
  <c r="X152" i="3"/>
  <c r="V152" i="3"/>
  <c r="Z168" i="3"/>
  <c r="AA168" i="3"/>
  <c r="Y168" i="3"/>
  <c r="X168" i="3"/>
  <c r="W168" i="3"/>
  <c r="V168" i="3"/>
  <c r="Z192" i="3"/>
  <c r="AA192" i="3"/>
  <c r="Y192" i="3"/>
  <c r="X192" i="3"/>
  <c r="V192" i="3"/>
  <c r="W192" i="3"/>
  <c r="Z208" i="3"/>
  <c r="AA208" i="3"/>
  <c r="Y208" i="3"/>
  <c r="X208" i="3"/>
  <c r="V208" i="3"/>
  <c r="W208" i="3"/>
  <c r="Z224" i="3"/>
  <c r="AA224" i="3"/>
  <c r="Y224" i="3"/>
  <c r="X224" i="3"/>
  <c r="V224" i="3"/>
  <c r="W224" i="3"/>
  <c r="Z248" i="3"/>
  <c r="AA248" i="3"/>
  <c r="Y248" i="3"/>
  <c r="V248" i="3"/>
  <c r="X248" i="3"/>
  <c r="W248" i="3"/>
  <c r="Z264" i="3"/>
  <c r="AA264" i="3"/>
  <c r="Y264" i="3"/>
  <c r="X264" i="3"/>
  <c r="W264" i="3"/>
  <c r="V264" i="3"/>
  <c r="AA280" i="3"/>
  <c r="Z280" i="3"/>
  <c r="X280" i="3"/>
  <c r="W280" i="3"/>
  <c r="V280" i="3"/>
  <c r="Y280" i="3"/>
  <c r="AA296" i="3"/>
  <c r="Z296" i="3"/>
  <c r="X296" i="3"/>
  <c r="W296" i="3"/>
  <c r="V296" i="3"/>
  <c r="Y296" i="3"/>
  <c r="AA312" i="3"/>
  <c r="Z312" i="3"/>
  <c r="X312" i="3"/>
  <c r="W312" i="3"/>
  <c r="V312" i="3"/>
  <c r="Y312" i="3"/>
  <c r="AA328" i="3"/>
  <c r="Z328" i="3"/>
  <c r="X328" i="3"/>
  <c r="W328" i="3"/>
  <c r="V328" i="3"/>
  <c r="Y328" i="3"/>
  <c r="AA352" i="3"/>
  <c r="Z352" i="3"/>
  <c r="X352" i="3"/>
  <c r="W352" i="3"/>
  <c r="V352" i="3"/>
  <c r="Y352" i="3"/>
  <c r="AA368" i="3"/>
  <c r="Z368" i="3"/>
  <c r="X368" i="3"/>
  <c r="W368" i="3"/>
  <c r="V368" i="3"/>
  <c r="Y368" i="3"/>
  <c r="V384" i="3"/>
  <c r="AA384" i="3"/>
  <c r="Z384" i="3"/>
  <c r="X384" i="3"/>
  <c r="Y384" i="3"/>
  <c r="W384" i="3"/>
  <c r="V400" i="3"/>
  <c r="AA400" i="3"/>
  <c r="Y400" i="3"/>
  <c r="X400" i="3"/>
  <c r="Z400" i="3"/>
  <c r="W400" i="3"/>
  <c r="X416" i="3"/>
  <c r="W416" i="3"/>
  <c r="V416" i="3"/>
  <c r="Z416" i="3"/>
  <c r="Y416" i="3"/>
  <c r="AA416" i="3"/>
  <c r="V440" i="3"/>
  <c r="X440" i="3"/>
  <c r="W440" i="3"/>
  <c r="Z440" i="3"/>
  <c r="AA440" i="3"/>
  <c r="Y440" i="3"/>
  <c r="V456" i="3"/>
  <c r="AA456" i="3"/>
  <c r="Y456" i="3"/>
  <c r="W456" i="3"/>
  <c r="Z456" i="3"/>
  <c r="X456" i="3"/>
  <c r="V472" i="3"/>
  <c r="X472" i="3"/>
  <c r="W472" i="3"/>
  <c r="AA472" i="3"/>
  <c r="Y472" i="3"/>
  <c r="Z472" i="3"/>
  <c r="V496" i="3"/>
  <c r="Z496" i="3"/>
  <c r="Y496" i="3"/>
  <c r="W496" i="3"/>
  <c r="AA496" i="3"/>
  <c r="X496" i="3"/>
  <c r="Z79" i="3"/>
  <c r="AA79" i="3"/>
  <c r="Y79" i="3"/>
  <c r="W79" i="3"/>
  <c r="X79" i="3"/>
  <c r="V79" i="3"/>
  <c r="Z103" i="3"/>
  <c r="AA103" i="3"/>
  <c r="Y103" i="3"/>
  <c r="W103" i="3"/>
  <c r="X103" i="3"/>
  <c r="V103" i="3"/>
  <c r="Z127" i="3"/>
  <c r="AA127" i="3"/>
  <c r="Y127" i="3"/>
  <c r="W127" i="3"/>
  <c r="V127" i="3"/>
  <c r="X127" i="3"/>
  <c r="Z151" i="3"/>
  <c r="AA151" i="3"/>
  <c r="Y151" i="3"/>
  <c r="W151" i="3"/>
  <c r="V151" i="3"/>
  <c r="X151" i="3"/>
  <c r="Z175" i="3"/>
  <c r="AA175" i="3"/>
  <c r="Y175" i="3"/>
  <c r="W175" i="3"/>
  <c r="V175" i="3"/>
  <c r="X175" i="3"/>
  <c r="Z199" i="3"/>
  <c r="AA199" i="3"/>
  <c r="Y199" i="3"/>
  <c r="W199" i="3"/>
  <c r="V199" i="3"/>
  <c r="X199" i="3"/>
  <c r="Z223" i="3"/>
  <c r="AA223" i="3"/>
  <c r="Y223" i="3"/>
  <c r="W223" i="3"/>
  <c r="V223" i="3"/>
  <c r="X223" i="3"/>
  <c r="Z247" i="3"/>
  <c r="AA247" i="3"/>
  <c r="Y247" i="3"/>
  <c r="W247" i="3"/>
  <c r="V247" i="3"/>
  <c r="X247" i="3"/>
  <c r="Z263" i="3"/>
  <c r="AA263" i="3"/>
  <c r="Y263" i="3"/>
  <c r="W263" i="3"/>
  <c r="V263" i="3"/>
  <c r="X263" i="3"/>
  <c r="AA287" i="3"/>
  <c r="Z287" i="3"/>
  <c r="X287" i="3"/>
  <c r="W287" i="3"/>
  <c r="Y287" i="3"/>
  <c r="V287" i="3"/>
  <c r="AA319" i="3"/>
  <c r="Z319" i="3"/>
  <c r="X319" i="3"/>
  <c r="V319" i="3"/>
  <c r="Y319" i="3"/>
  <c r="W319" i="3"/>
  <c r="AA343" i="3"/>
  <c r="Z343" i="3"/>
  <c r="X343" i="3"/>
  <c r="Y343" i="3"/>
  <c r="W343" i="3"/>
  <c r="V343" i="3"/>
  <c r="AA367" i="3"/>
  <c r="Z367" i="3"/>
  <c r="X367" i="3"/>
  <c r="W367" i="3"/>
  <c r="V367" i="3"/>
  <c r="Y367" i="3"/>
  <c r="V391" i="3"/>
  <c r="AA391" i="3"/>
  <c r="X391" i="3"/>
  <c r="W391" i="3"/>
  <c r="Z391" i="3"/>
  <c r="Y391" i="3"/>
  <c r="X415" i="3"/>
  <c r="W415" i="3"/>
  <c r="AA415" i="3"/>
  <c r="V415" i="3"/>
  <c r="Y415" i="3"/>
  <c r="Z415" i="3"/>
  <c r="W431" i="3"/>
  <c r="V431" i="3"/>
  <c r="Z431" i="3"/>
  <c r="Y431" i="3"/>
  <c r="AA431" i="3"/>
  <c r="X431" i="3"/>
  <c r="Y455" i="3"/>
  <c r="X455" i="3"/>
  <c r="V455" i="3"/>
  <c r="AA455" i="3"/>
  <c r="W455" i="3"/>
  <c r="Z455" i="3"/>
  <c r="Z471" i="3"/>
  <c r="V471" i="3"/>
  <c r="W471" i="3"/>
  <c r="AA471" i="3"/>
  <c r="Y471" i="3"/>
  <c r="X471" i="3"/>
  <c r="Z64" i="3"/>
  <c r="AA64" i="3"/>
  <c r="W64" i="3"/>
  <c r="Y64" i="3"/>
  <c r="V64" i="3"/>
  <c r="X64" i="3"/>
  <c r="Z72" i="3"/>
  <c r="AA72" i="3"/>
  <c r="V72" i="3"/>
  <c r="Y72" i="3"/>
  <c r="X72" i="3"/>
  <c r="W72" i="3"/>
  <c r="Z88" i="3"/>
  <c r="AA88" i="3"/>
  <c r="Y88" i="3"/>
  <c r="X88" i="3"/>
  <c r="V88" i="3"/>
  <c r="W88" i="3"/>
  <c r="Z104" i="3"/>
  <c r="AA104" i="3"/>
  <c r="Y104" i="3"/>
  <c r="W104" i="3"/>
  <c r="V104" i="3"/>
  <c r="X104" i="3"/>
  <c r="Z120" i="3"/>
  <c r="AA120" i="3"/>
  <c r="Y120" i="3"/>
  <c r="V120" i="3"/>
  <c r="X120" i="3"/>
  <c r="W120" i="3"/>
  <c r="Z136" i="3"/>
  <c r="AA136" i="3"/>
  <c r="Y136" i="3"/>
  <c r="X136" i="3"/>
  <c r="W136" i="3"/>
  <c r="V136" i="3"/>
  <c r="Z144" i="3"/>
  <c r="AA144" i="3"/>
  <c r="Y144" i="3"/>
  <c r="X144" i="3"/>
  <c r="V144" i="3"/>
  <c r="W144" i="3"/>
  <c r="Z160" i="3"/>
  <c r="AA160" i="3"/>
  <c r="Y160" i="3"/>
  <c r="X160" i="3"/>
  <c r="V160" i="3"/>
  <c r="W160" i="3"/>
  <c r="Z176" i="3"/>
  <c r="AA176" i="3"/>
  <c r="Y176" i="3"/>
  <c r="X176" i="3"/>
  <c r="V176" i="3"/>
  <c r="W176" i="3"/>
  <c r="Z184" i="3"/>
  <c r="AA184" i="3"/>
  <c r="Y184" i="3"/>
  <c r="V184" i="3"/>
  <c r="X184" i="3"/>
  <c r="W184" i="3"/>
  <c r="Z200" i="3"/>
  <c r="AA200" i="3"/>
  <c r="Y200" i="3"/>
  <c r="X200" i="3"/>
  <c r="W200" i="3"/>
  <c r="V200" i="3"/>
  <c r="Z216" i="3"/>
  <c r="AA216" i="3"/>
  <c r="Y216" i="3"/>
  <c r="W216" i="3"/>
  <c r="X216" i="3"/>
  <c r="V216" i="3"/>
  <c r="Z232" i="3"/>
  <c r="AA232" i="3"/>
  <c r="Y232" i="3"/>
  <c r="X232" i="3"/>
  <c r="W232" i="3"/>
  <c r="V232" i="3"/>
  <c r="Z240" i="3"/>
  <c r="AA240" i="3"/>
  <c r="Y240" i="3"/>
  <c r="X240" i="3"/>
  <c r="V240" i="3"/>
  <c r="W240" i="3"/>
  <c r="Z256" i="3"/>
  <c r="AA256" i="3"/>
  <c r="Y256" i="3"/>
  <c r="X256" i="3"/>
  <c r="V256" i="3"/>
  <c r="W256" i="3"/>
  <c r="AA272" i="3"/>
  <c r="Z272" i="3"/>
  <c r="X272" i="3"/>
  <c r="W272" i="3"/>
  <c r="V272" i="3"/>
  <c r="Y272" i="3"/>
  <c r="AA288" i="3"/>
  <c r="Z288" i="3"/>
  <c r="X288" i="3"/>
  <c r="W288" i="3"/>
  <c r="V288" i="3"/>
  <c r="Y288" i="3"/>
  <c r="AA304" i="3"/>
  <c r="Z304" i="3"/>
  <c r="X304" i="3"/>
  <c r="W304" i="3"/>
  <c r="V304" i="3"/>
  <c r="Y304" i="3"/>
  <c r="AA320" i="3"/>
  <c r="Z320" i="3"/>
  <c r="X320" i="3"/>
  <c r="W320" i="3"/>
  <c r="V320" i="3"/>
  <c r="Y320" i="3"/>
  <c r="AA336" i="3"/>
  <c r="Z336" i="3"/>
  <c r="X336" i="3"/>
  <c r="W336" i="3"/>
  <c r="V336" i="3"/>
  <c r="Y336" i="3"/>
  <c r="AA344" i="3"/>
  <c r="Z344" i="3"/>
  <c r="X344" i="3"/>
  <c r="W344" i="3"/>
  <c r="V344" i="3"/>
  <c r="Y344" i="3"/>
  <c r="AA360" i="3"/>
  <c r="Z360" i="3"/>
  <c r="X360" i="3"/>
  <c r="W360" i="3"/>
  <c r="V360" i="3"/>
  <c r="Y360" i="3"/>
  <c r="V376" i="3"/>
  <c r="AA376" i="3"/>
  <c r="Z376" i="3"/>
  <c r="X376" i="3"/>
  <c r="Y376" i="3"/>
  <c r="W376" i="3"/>
  <c r="V392" i="3"/>
  <c r="AA392" i="3"/>
  <c r="Y392" i="3"/>
  <c r="X392" i="3"/>
  <c r="Z392" i="3"/>
  <c r="W392" i="3"/>
  <c r="X408" i="3"/>
  <c r="W408" i="3"/>
  <c r="V408" i="3"/>
  <c r="AA408" i="3"/>
  <c r="Z408" i="3"/>
  <c r="Y408" i="3"/>
  <c r="V424" i="3"/>
  <c r="AA424" i="3"/>
  <c r="Y424" i="3"/>
  <c r="X424" i="3"/>
  <c r="W424" i="3"/>
  <c r="Z424" i="3"/>
  <c r="V432" i="3"/>
  <c r="Z432" i="3"/>
  <c r="Y432" i="3"/>
  <c r="W432" i="3"/>
  <c r="AA432" i="3"/>
  <c r="X432" i="3"/>
  <c r="V448" i="3"/>
  <c r="AA448" i="3"/>
  <c r="Z448" i="3"/>
  <c r="Y448" i="3"/>
  <c r="W448" i="3"/>
  <c r="X448" i="3"/>
  <c r="V464" i="3"/>
  <c r="Z464" i="3"/>
  <c r="Y464" i="3"/>
  <c r="W464" i="3"/>
  <c r="X464" i="3"/>
  <c r="AA464" i="3"/>
  <c r="V480" i="3"/>
  <c r="AA480" i="3"/>
  <c r="Y480" i="3"/>
  <c r="X480" i="3"/>
  <c r="W480" i="3"/>
  <c r="Z480" i="3"/>
  <c r="V488" i="3"/>
  <c r="AA488" i="3"/>
  <c r="Y488" i="3"/>
  <c r="Z488" i="3"/>
  <c r="X488" i="3"/>
  <c r="W488" i="3"/>
  <c r="Z57" i="3"/>
  <c r="X57" i="3"/>
  <c r="W57" i="3"/>
  <c r="V57" i="3"/>
  <c r="AA57" i="3"/>
  <c r="Y57" i="3"/>
  <c r="Z65" i="3"/>
  <c r="X65" i="3"/>
  <c r="W65" i="3"/>
  <c r="V65" i="3"/>
  <c r="AA65" i="3"/>
  <c r="Y65" i="3"/>
  <c r="Z73" i="3"/>
  <c r="X73" i="3"/>
  <c r="W73" i="3"/>
  <c r="Y73" i="3"/>
  <c r="V73" i="3"/>
  <c r="AA73" i="3"/>
  <c r="Z81" i="3"/>
  <c r="X81" i="3"/>
  <c r="W81" i="3"/>
  <c r="AA81" i="3"/>
  <c r="V81" i="3"/>
  <c r="Y81" i="3"/>
  <c r="Z89" i="3"/>
  <c r="X89" i="3"/>
  <c r="W89" i="3"/>
  <c r="AA89" i="3"/>
  <c r="Y89" i="3"/>
  <c r="V89" i="3"/>
  <c r="Z97" i="3"/>
  <c r="X97" i="3"/>
  <c r="W97" i="3"/>
  <c r="Y97" i="3"/>
  <c r="V97" i="3"/>
  <c r="AA97" i="3"/>
  <c r="Z105" i="3"/>
  <c r="X105" i="3"/>
  <c r="W105" i="3"/>
  <c r="V105" i="3"/>
  <c r="AA105" i="3"/>
  <c r="Y105" i="3"/>
  <c r="Z113" i="3"/>
  <c r="X113" i="3"/>
  <c r="W113" i="3"/>
  <c r="V113" i="3"/>
  <c r="AA113" i="3"/>
  <c r="Y113" i="3"/>
  <c r="Z121" i="3"/>
  <c r="X121" i="3"/>
  <c r="W121" i="3"/>
  <c r="Y121" i="3"/>
  <c r="V121" i="3"/>
  <c r="AA121" i="3"/>
  <c r="Z129" i="3"/>
  <c r="X129" i="3"/>
  <c r="W129" i="3"/>
  <c r="V129" i="3"/>
  <c r="AA129" i="3"/>
  <c r="Y129" i="3"/>
  <c r="Z137" i="3"/>
  <c r="X137" i="3"/>
  <c r="W137" i="3"/>
  <c r="Y137" i="3"/>
  <c r="V137" i="3"/>
  <c r="AA137" i="3"/>
  <c r="Z145" i="3"/>
  <c r="X145" i="3"/>
  <c r="W145" i="3"/>
  <c r="V145" i="3"/>
  <c r="Y145" i="3"/>
  <c r="AA145" i="3"/>
  <c r="Z153" i="3"/>
  <c r="X153" i="3"/>
  <c r="W153" i="3"/>
  <c r="Y153" i="3"/>
  <c r="V153" i="3"/>
  <c r="AA153" i="3"/>
  <c r="Z161" i="3"/>
  <c r="X161" i="3"/>
  <c r="W161" i="3"/>
  <c r="V161" i="3"/>
  <c r="AA161" i="3"/>
  <c r="Y161" i="3"/>
  <c r="Z169" i="3"/>
  <c r="X169" i="3"/>
  <c r="W169" i="3"/>
  <c r="Y169" i="3"/>
  <c r="V169" i="3"/>
  <c r="AA169" i="3"/>
  <c r="Z177" i="3"/>
  <c r="X177" i="3"/>
  <c r="W177" i="3"/>
  <c r="V177" i="3"/>
  <c r="AA177" i="3"/>
  <c r="Y177" i="3"/>
  <c r="Z185" i="3"/>
  <c r="X185" i="3"/>
  <c r="W185" i="3"/>
  <c r="Y185" i="3"/>
  <c r="V185" i="3"/>
  <c r="AA185" i="3"/>
  <c r="Z193" i="3"/>
  <c r="X193" i="3"/>
  <c r="W193" i="3"/>
  <c r="V193" i="3"/>
  <c r="AA193" i="3"/>
  <c r="Y193" i="3"/>
  <c r="Z201" i="3"/>
  <c r="X201" i="3"/>
  <c r="W201" i="3"/>
  <c r="Y201" i="3"/>
  <c r="V201" i="3"/>
  <c r="AA201" i="3"/>
  <c r="Z209" i="3"/>
  <c r="X209" i="3"/>
  <c r="W209" i="3"/>
  <c r="V209" i="3"/>
  <c r="Y209" i="3"/>
  <c r="AA209" i="3"/>
  <c r="Z217" i="3"/>
  <c r="X217" i="3"/>
  <c r="W217" i="3"/>
  <c r="Y217" i="3"/>
  <c r="V217" i="3"/>
  <c r="AA217" i="3"/>
  <c r="Z225" i="3"/>
  <c r="X225" i="3"/>
  <c r="W225" i="3"/>
  <c r="V225" i="3"/>
  <c r="AA225" i="3"/>
  <c r="Y225" i="3"/>
  <c r="Z233" i="3"/>
  <c r="X233" i="3"/>
  <c r="W233" i="3"/>
  <c r="Y233" i="3"/>
  <c r="V233" i="3"/>
  <c r="AA233" i="3"/>
  <c r="Z241" i="3"/>
  <c r="X241" i="3"/>
  <c r="W241" i="3"/>
  <c r="V241" i="3"/>
  <c r="AA241" i="3"/>
  <c r="Y241" i="3"/>
  <c r="Z249" i="3"/>
  <c r="X249" i="3"/>
  <c r="W249" i="3"/>
  <c r="Y249" i="3"/>
  <c r="V249" i="3"/>
  <c r="AA249" i="3"/>
  <c r="Z257" i="3"/>
  <c r="X257" i="3"/>
  <c r="W257" i="3"/>
  <c r="V257" i="3"/>
  <c r="AA257" i="3"/>
  <c r="Y257" i="3"/>
  <c r="Z265" i="3"/>
  <c r="X265" i="3"/>
  <c r="W265" i="3"/>
  <c r="Y265" i="3"/>
  <c r="V265" i="3"/>
  <c r="AA265" i="3"/>
  <c r="AA273" i="3"/>
  <c r="Z273" i="3"/>
  <c r="X273" i="3"/>
  <c r="W273" i="3"/>
  <c r="Y273" i="3"/>
  <c r="V273" i="3"/>
  <c r="AA281" i="3"/>
  <c r="Z281" i="3"/>
  <c r="X281" i="3"/>
  <c r="W281" i="3"/>
  <c r="Y281" i="3"/>
  <c r="V281" i="3"/>
  <c r="AA289" i="3"/>
  <c r="Z289" i="3"/>
  <c r="X289" i="3"/>
  <c r="W289" i="3"/>
  <c r="Y289" i="3"/>
  <c r="V289" i="3"/>
  <c r="AA297" i="3"/>
  <c r="Z297" i="3"/>
  <c r="X297" i="3"/>
  <c r="W297" i="3"/>
  <c r="Y297" i="3"/>
  <c r="V297" i="3"/>
  <c r="AA305" i="3"/>
  <c r="Z305" i="3"/>
  <c r="X305" i="3"/>
  <c r="W305" i="3"/>
  <c r="V305" i="3"/>
  <c r="Y305" i="3"/>
  <c r="AA313" i="3"/>
  <c r="Z313" i="3"/>
  <c r="X313" i="3"/>
  <c r="W313" i="3"/>
  <c r="Y313" i="3"/>
  <c r="V313" i="3"/>
  <c r="AA321" i="3"/>
  <c r="Z321" i="3"/>
  <c r="X321" i="3"/>
  <c r="W321" i="3"/>
  <c r="V321" i="3"/>
  <c r="Y321" i="3"/>
  <c r="AA329" i="3"/>
  <c r="Z329" i="3"/>
  <c r="X329" i="3"/>
  <c r="W329" i="3"/>
  <c r="Y329" i="3"/>
  <c r="V329" i="3"/>
  <c r="AA337" i="3"/>
  <c r="Z337" i="3"/>
  <c r="X337" i="3"/>
  <c r="W337" i="3"/>
  <c r="Y337" i="3"/>
  <c r="V337" i="3"/>
  <c r="AA345" i="3"/>
  <c r="Z345" i="3"/>
  <c r="X345" i="3"/>
  <c r="W345" i="3"/>
  <c r="Y345" i="3"/>
  <c r="V345" i="3"/>
  <c r="AA353" i="3"/>
  <c r="Z353" i="3"/>
  <c r="X353" i="3"/>
  <c r="W353" i="3"/>
  <c r="Y353" i="3"/>
  <c r="V353" i="3"/>
  <c r="AA361" i="3"/>
  <c r="Z361" i="3"/>
  <c r="X361" i="3"/>
  <c r="W361" i="3"/>
  <c r="Y361" i="3"/>
  <c r="V361" i="3"/>
  <c r="AA369" i="3"/>
  <c r="Z369" i="3"/>
  <c r="X369" i="3"/>
  <c r="W369" i="3"/>
  <c r="Y369" i="3"/>
  <c r="V369" i="3"/>
  <c r="V377" i="3"/>
  <c r="Z377" i="3"/>
  <c r="Y377" i="3"/>
  <c r="X377" i="3"/>
  <c r="AA377" i="3"/>
  <c r="W377" i="3"/>
  <c r="V385" i="3"/>
  <c r="Z385" i="3"/>
  <c r="AA385" i="3"/>
  <c r="X385" i="3"/>
  <c r="Y385" i="3"/>
  <c r="W385" i="3"/>
  <c r="V393" i="3"/>
  <c r="AA393" i="3"/>
  <c r="Y393" i="3"/>
  <c r="Z393" i="3"/>
  <c r="X393" i="3"/>
  <c r="W393" i="3"/>
  <c r="V401" i="3"/>
  <c r="AA401" i="3"/>
  <c r="Y401" i="3"/>
  <c r="X401" i="3"/>
  <c r="W401" i="3"/>
  <c r="Z401" i="3"/>
  <c r="X409" i="3"/>
  <c r="W409" i="3"/>
  <c r="Z409" i="3"/>
  <c r="Y409" i="3"/>
  <c r="AA409" i="3"/>
  <c r="V409" i="3"/>
  <c r="X417" i="3"/>
  <c r="W417" i="3"/>
  <c r="Z417" i="3"/>
  <c r="Y417" i="3"/>
  <c r="V417" i="3"/>
  <c r="AA417" i="3"/>
  <c r="W425" i="3"/>
  <c r="V425" i="3"/>
  <c r="AA425" i="3"/>
  <c r="Z425" i="3"/>
  <c r="Y425" i="3"/>
  <c r="X425" i="3"/>
  <c r="W433" i="3"/>
  <c r="V433" i="3"/>
  <c r="Z433" i="3"/>
  <c r="AA433" i="3"/>
  <c r="X433" i="3"/>
  <c r="Y433" i="3"/>
  <c r="W441" i="3"/>
  <c r="V441" i="3"/>
  <c r="AA441" i="3"/>
  <c r="Z441" i="3"/>
  <c r="X441" i="3"/>
  <c r="Y441" i="3"/>
  <c r="W449" i="3"/>
  <c r="V449" i="3"/>
  <c r="Y449" i="3"/>
  <c r="X449" i="3"/>
  <c r="AA449" i="3"/>
  <c r="Z449" i="3"/>
  <c r="W457" i="3"/>
  <c r="V457" i="3"/>
  <c r="Z457" i="3"/>
  <c r="AA457" i="3"/>
  <c r="Y457" i="3"/>
  <c r="X457" i="3"/>
  <c r="W465" i="3"/>
  <c r="V465" i="3"/>
  <c r="Z465" i="3"/>
  <c r="AA465" i="3"/>
  <c r="Y465" i="3"/>
  <c r="X465" i="3"/>
  <c r="W473" i="3"/>
  <c r="V473" i="3"/>
  <c r="AA473" i="3"/>
  <c r="Z473" i="3"/>
  <c r="X473" i="3"/>
  <c r="Y473" i="3"/>
  <c r="W481" i="3"/>
  <c r="V481" i="3"/>
  <c r="Y481" i="3"/>
  <c r="X481" i="3"/>
  <c r="Z481" i="3"/>
  <c r="AA481" i="3"/>
  <c r="W489" i="3"/>
  <c r="V489" i="3"/>
  <c r="AA489" i="3"/>
  <c r="Y489" i="3"/>
  <c r="X489" i="3"/>
  <c r="Z489" i="3"/>
  <c r="W497" i="3"/>
  <c r="V497" i="3"/>
  <c r="Z497" i="3"/>
  <c r="Y497" i="3"/>
  <c r="X497" i="3"/>
  <c r="AA497" i="3"/>
  <c r="Z54" i="3"/>
  <c r="W54" i="3"/>
  <c r="V54" i="3"/>
  <c r="X54" i="3"/>
  <c r="AA54" i="3"/>
  <c r="Y54" i="3"/>
  <c r="Z86" i="3"/>
  <c r="W86" i="3"/>
  <c r="V86" i="3"/>
  <c r="AA86" i="3"/>
  <c r="X86" i="3"/>
  <c r="Y86" i="3"/>
  <c r="Z118" i="3"/>
  <c r="W118" i="3"/>
  <c r="V118" i="3"/>
  <c r="AA118" i="3"/>
  <c r="X118" i="3"/>
  <c r="Y118" i="3"/>
  <c r="Z150" i="3"/>
  <c r="W150" i="3"/>
  <c r="V150" i="3"/>
  <c r="AA150" i="3"/>
  <c r="X150" i="3"/>
  <c r="Y150" i="3"/>
  <c r="Z182" i="3"/>
  <c r="W182" i="3"/>
  <c r="V182" i="3"/>
  <c r="AA182" i="3"/>
  <c r="X182" i="3"/>
  <c r="Y182" i="3"/>
  <c r="Z206" i="3"/>
  <c r="W206" i="3"/>
  <c r="V206" i="3"/>
  <c r="AA206" i="3"/>
  <c r="Y206" i="3"/>
  <c r="X206" i="3"/>
  <c r="Z230" i="3"/>
  <c r="W230" i="3"/>
  <c r="V230" i="3"/>
  <c r="AA230" i="3"/>
  <c r="X230" i="3"/>
  <c r="Y230" i="3"/>
  <c r="Z254" i="3"/>
  <c r="W254" i="3"/>
  <c r="V254" i="3"/>
  <c r="Y254" i="3"/>
  <c r="AA254" i="3"/>
  <c r="X254" i="3"/>
  <c r="AA278" i="3"/>
  <c r="Z278" i="3"/>
  <c r="X278" i="3"/>
  <c r="Y278" i="3"/>
  <c r="V278" i="3"/>
  <c r="W278" i="3"/>
  <c r="AA310" i="3"/>
  <c r="Z310" i="3"/>
  <c r="X310" i="3"/>
  <c r="Y310" i="3"/>
  <c r="V310" i="3"/>
  <c r="W310" i="3"/>
  <c r="AA342" i="3"/>
  <c r="Z342" i="3"/>
  <c r="X342" i="3"/>
  <c r="Y342" i="3"/>
  <c r="V342" i="3"/>
  <c r="W342" i="3"/>
  <c r="W374" i="3"/>
  <c r="V374" i="3"/>
  <c r="Z374" i="3"/>
  <c r="AA374" i="3"/>
  <c r="Y374" i="3"/>
  <c r="X374" i="3"/>
  <c r="V406" i="3"/>
  <c r="AA406" i="3"/>
  <c r="Z406" i="3"/>
  <c r="X406" i="3"/>
  <c r="Y406" i="3"/>
  <c r="W406" i="3"/>
  <c r="AA430" i="3"/>
  <c r="Y430" i="3"/>
  <c r="Z430" i="3"/>
  <c r="W430" i="3"/>
  <c r="X430" i="3"/>
  <c r="V430" i="3"/>
  <c r="AA454" i="3"/>
  <c r="V454" i="3"/>
  <c r="Z454" i="3"/>
  <c r="X454" i="3"/>
  <c r="Y454" i="3"/>
  <c r="W454" i="3"/>
  <c r="AA478" i="3"/>
  <c r="X478" i="3"/>
  <c r="W478" i="3"/>
  <c r="V478" i="3"/>
  <c r="Z478" i="3"/>
  <c r="Y478" i="3"/>
  <c r="AA502" i="3"/>
  <c r="Z502" i="3"/>
  <c r="Y502" i="3"/>
  <c r="W502" i="3"/>
  <c r="X502" i="3"/>
  <c r="V502" i="3"/>
  <c r="Z55" i="3"/>
  <c r="AA55" i="3"/>
  <c r="Y55" i="3"/>
  <c r="W55" i="3"/>
  <c r="X55" i="3"/>
  <c r="V55" i="3"/>
  <c r="AA279" i="3"/>
  <c r="Z279" i="3"/>
  <c r="X279" i="3"/>
  <c r="Y279" i="3"/>
  <c r="W279" i="3"/>
  <c r="V279" i="3"/>
  <c r="AA295" i="3"/>
  <c r="Z295" i="3"/>
  <c r="X295" i="3"/>
  <c r="Y295" i="3"/>
  <c r="V295" i="3"/>
  <c r="W295" i="3"/>
  <c r="AA327" i="3"/>
  <c r="Z327" i="3"/>
  <c r="X327" i="3"/>
  <c r="Y327" i="3"/>
  <c r="W327" i="3"/>
  <c r="V327" i="3"/>
  <c r="AA351" i="3"/>
  <c r="Z351" i="3"/>
  <c r="X351" i="3"/>
  <c r="Y351" i="3"/>
  <c r="W351" i="3"/>
  <c r="V351" i="3"/>
  <c r="V375" i="3"/>
  <c r="Y375" i="3"/>
  <c r="X375" i="3"/>
  <c r="Z375" i="3"/>
  <c r="W375" i="3"/>
  <c r="AA375" i="3"/>
  <c r="V399" i="3"/>
  <c r="AA399" i="3"/>
  <c r="W399" i="3"/>
  <c r="Y399" i="3"/>
  <c r="X399" i="3"/>
  <c r="Z399" i="3"/>
  <c r="Y423" i="3"/>
  <c r="X423" i="3"/>
  <c r="V423" i="3"/>
  <c r="Z423" i="3"/>
  <c r="AA423" i="3"/>
  <c r="W423" i="3"/>
  <c r="Z439" i="3"/>
  <c r="W439" i="3"/>
  <c r="V439" i="3"/>
  <c r="Y439" i="3"/>
  <c r="X439" i="3"/>
  <c r="AA439" i="3"/>
  <c r="W463" i="3"/>
  <c r="V463" i="3"/>
  <c r="Y463" i="3"/>
  <c r="X463" i="3"/>
  <c r="AA463" i="3"/>
  <c r="Z463" i="3"/>
  <c r="W495" i="3"/>
  <c r="V495" i="3"/>
  <c r="X495" i="3"/>
  <c r="AA495" i="3"/>
  <c r="Z495" i="3"/>
  <c r="Y495" i="3"/>
  <c r="Z66" i="3"/>
  <c r="AA66" i="3"/>
  <c r="X66" i="3"/>
  <c r="Y66" i="3"/>
  <c r="W66" i="3"/>
  <c r="V66" i="3"/>
  <c r="Z82" i="3"/>
  <c r="AA82" i="3"/>
  <c r="X82" i="3"/>
  <c r="V82" i="3"/>
  <c r="Y82" i="3"/>
  <c r="W82" i="3"/>
  <c r="Z98" i="3"/>
  <c r="AA98" i="3"/>
  <c r="X98" i="3"/>
  <c r="Y98" i="3"/>
  <c r="V98" i="3"/>
  <c r="W98" i="3"/>
  <c r="Z114" i="3"/>
  <c r="AA114" i="3"/>
  <c r="X114" i="3"/>
  <c r="W114" i="3"/>
  <c r="Y114" i="3"/>
  <c r="V114" i="3"/>
  <c r="Z130" i="3"/>
  <c r="AA130" i="3"/>
  <c r="X130" i="3"/>
  <c r="W130" i="3"/>
  <c r="Y130" i="3"/>
  <c r="V130" i="3"/>
  <c r="Z146" i="3"/>
  <c r="AA146" i="3"/>
  <c r="X146" i="3"/>
  <c r="W146" i="3"/>
  <c r="Y146" i="3"/>
  <c r="V146" i="3"/>
  <c r="Z162" i="3"/>
  <c r="AA162" i="3"/>
  <c r="X162" i="3"/>
  <c r="W162" i="3"/>
  <c r="Y162" i="3"/>
  <c r="V162" i="3"/>
  <c r="Z170" i="3"/>
  <c r="AA170" i="3"/>
  <c r="X170" i="3"/>
  <c r="W170" i="3"/>
  <c r="Y170" i="3"/>
  <c r="V170" i="3"/>
  <c r="Z186" i="3"/>
  <c r="AA186" i="3"/>
  <c r="X186" i="3"/>
  <c r="W186" i="3"/>
  <c r="Y186" i="3"/>
  <c r="V186" i="3"/>
  <c r="Z202" i="3"/>
  <c r="AA202" i="3"/>
  <c r="X202" i="3"/>
  <c r="W202" i="3"/>
  <c r="Y202" i="3"/>
  <c r="V202" i="3"/>
  <c r="Z218" i="3"/>
  <c r="AA218" i="3"/>
  <c r="X218" i="3"/>
  <c r="W218" i="3"/>
  <c r="Y218" i="3"/>
  <c r="V218" i="3"/>
  <c r="Z242" i="3"/>
  <c r="AA242" i="3"/>
  <c r="X242" i="3"/>
  <c r="W242" i="3"/>
  <c r="Y242" i="3"/>
  <c r="V242" i="3"/>
  <c r="Z258" i="3"/>
  <c r="AA258" i="3"/>
  <c r="X258" i="3"/>
  <c r="W258" i="3"/>
  <c r="Y258" i="3"/>
  <c r="V258" i="3"/>
  <c r="AA274" i="3"/>
  <c r="Z274" i="3"/>
  <c r="X274" i="3"/>
  <c r="W274" i="3"/>
  <c r="V274" i="3"/>
  <c r="Y274" i="3"/>
  <c r="AA290" i="3"/>
  <c r="Z290" i="3"/>
  <c r="X290" i="3"/>
  <c r="Y290" i="3"/>
  <c r="V290" i="3"/>
  <c r="W290" i="3"/>
  <c r="AA306" i="3"/>
  <c r="Z306" i="3"/>
  <c r="X306" i="3"/>
  <c r="V306" i="3"/>
  <c r="Y306" i="3"/>
  <c r="W306" i="3"/>
  <c r="AA322" i="3"/>
  <c r="Z322" i="3"/>
  <c r="X322" i="3"/>
  <c r="Y322" i="3"/>
  <c r="W322" i="3"/>
  <c r="V322" i="3"/>
  <c r="AA338" i="3"/>
  <c r="Z338" i="3"/>
  <c r="X338" i="3"/>
  <c r="Y338" i="3"/>
  <c r="W338" i="3"/>
  <c r="V338" i="3"/>
  <c r="AA354" i="3"/>
  <c r="Z354" i="3"/>
  <c r="X354" i="3"/>
  <c r="Y354" i="3"/>
  <c r="W354" i="3"/>
  <c r="V354" i="3"/>
  <c r="V378" i="3"/>
  <c r="W378" i="3"/>
  <c r="AA378" i="3"/>
  <c r="Z378" i="3"/>
  <c r="Y378" i="3"/>
  <c r="X378" i="3"/>
  <c r="V394" i="3"/>
  <c r="AA394" i="3"/>
  <c r="W394" i="3"/>
  <c r="Y394" i="3"/>
  <c r="X394" i="3"/>
  <c r="Z394" i="3"/>
  <c r="X410" i="3"/>
  <c r="W410" i="3"/>
  <c r="AA410" i="3"/>
  <c r="Y410" i="3"/>
  <c r="Z410" i="3"/>
  <c r="V410" i="3"/>
  <c r="X426" i="3"/>
  <c r="W426" i="3"/>
  <c r="Z426" i="3"/>
  <c r="Y426" i="3"/>
  <c r="AA426" i="3"/>
  <c r="V426" i="3"/>
  <c r="X442" i="3"/>
  <c r="W442" i="3"/>
  <c r="AA442" i="3"/>
  <c r="Z442" i="3"/>
  <c r="V442" i="3"/>
  <c r="Y442" i="3"/>
  <c r="X466" i="3"/>
  <c r="W466" i="3"/>
  <c r="V466" i="3"/>
  <c r="AA466" i="3"/>
  <c r="Y466" i="3"/>
  <c r="Z466" i="3"/>
  <c r="X498" i="3"/>
  <c r="W498" i="3"/>
  <c r="V498" i="3"/>
  <c r="Y498" i="3"/>
  <c r="AA498" i="3"/>
  <c r="Z498" i="3"/>
  <c r="Z59" i="3"/>
  <c r="V59" i="3"/>
  <c r="W59" i="3"/>
  <c r="X59" i="3"/>
  <c r="AA59" i="3"/>
  <c r="Y59" i="3"/>
  <c r="Z67" i="3"/>
  <c r="V67" i="3"/>
  <c r="Y67" i="3"/>
  <c r="X67" i="3"/>
  <c r="W67" i="3"/>
  <c r="AA67" i="3"/>
  <c r="Z75" i="3"/>
  <c r="V75" i="3"/>
  <c r="AA75" i="3"/>
  <c r="Y75" i="3"/>
  <c r="X75" i="3"/>
  <c r="W75" i="3"/>
  <c r="Z83" i="3"/>
  <c r="V83" i="3"/>
  <c r="Y83" i="3"/>
  <c r="X83" i="3"/>
  <c r="AA83" i="3"/>
  <c r="W83" i="3"/>
  <c r="Z91" i="3"/>
  <c r="V91" i="3"/>
  <c r="AA91" i="3"/>
  <c r="X91" i="3"/>
  <c r="W91" i="3"/>
  <c r="Y91" i="3"/>
  <c r="Z99" i="3"/>
  <c r="V99" i="3"/>
  <c r="AA99" i="3"/>
  <c r="Y99" i="3"/>
  <c r="W99" i="3"/>
  <c r="X99" i="3"/>
  <c r="Z107" i="3"/>
  <c r="V107" i="3"/>
  <c r="Y107" i="3"/>
  <c r="X107" i="3"/>
  <c r="W107" i="3"/>
  <c r="AA107" i="3"/>
  <c r="Z115" i="3"/>
  <c r="V115" i="3"/>
  <c r="AA115" i="3"/>
  <c r="Y115" i="3"/>
  <c r="W115" i="3"/>
  <c r="X115" i="3"/>
  <c r="Z123" i="3"/>
  <c r="V123" i="3"/>
  <c r="AA123" i="3"/>
  <c r="Y123" i="3"/>
  <c r="X123" i="3"/>
  <c r="W123" i="3"/>
  <c r="Z131" i="3"/>
  <c r="V131" i="3"/>
  <c r="AA131" i="3"/>
  <c r="Y131" i="3"/>
  <c r="W131" i="3"/>
  <c r="X131" i="3"/>
  <c r="Z139" i="3"/>
  <c r="V139" i="3"/>
  <c r="AA139" i="3"/>
  <c r="X139" i="3"/>
  <c r="Y139" i="3"/>
  <c r="W139" i="3"/>
  <c r="Z147" i="3"/>
  <c r="V147" i="3"/>
  <c r="AA147" i="3"/>
  <c r="Y147" i="3"/>
  <c r="W147" i="3"/>
  <c r="X147" i="3"/>
  <c r="Z155" i="3"/>
  <c r="V155" i="3"/>
  <c r="AA155" i="3"/>
  <c r="Y155" i="3"/>
  <c r="X155" i="3"/>
  <c r="W155" i="3"/>
  <c r="Z163" i="3"/>
  <c r="V163" i="3"/>
  <c r="AA163" i="3"/>
  <c r="Y163" i="3"/>
  <c r="W163" i="3"/>
  <c r="X163" i="3"/>
  <c r="Z171" i="3"/>
  <c r="V171" i="3"/>
  <c r="AA171" i="3"/>
  <c r="W171" i="3"/>
  <c r="Y171" i="3"/>
  <c r="X171" i="3"/>
  <c r="Z179" i="3"/>
  <c r="V179" i="3"/>
  <c r="AA179" i="3"/>
  <c r="Y179" i="3"/>
  <c r="W179" i="3"/>
  <c r="X179" i="3"/>
  <c r="Z187" i="3"/>
  <c r="V187" i="3"/>
  <c r="AA187" i="3"/>
  <c r="Y187" i="3"/>
  <c r="X187" i="3"/>
  <c r="W187" i="3"/>
  <c r="Z195" i="3"/>
  <c r="V195" i="3"/>
  <c r="AA195" i="3"/>
  <c r="Y195" i="3"/>
  <c r="W195" i="3"/>
  <c r="X195" i="3"/>
  <c r="Z203" i="3"/>
  <c r="V203" i="3"/>
  <c r="AA203" i="3"/>
  <c r="X203" i="3"/>
  <c r="Y203" i="3"/>
  <c r="W203" i="3"/>
  <c r="Z211" i="3"/>
  <c r="V211" i="3"/>
  <c r="AA211" i="3"/>
  <c r="Y211" i="3"/>
  <c r="W211" i="3"/>
  <c r="X211" i="3"/>
  <c r="Z219" i="3"/>
  <c r="V219" i="3"/>
  <c r="AA219" i="3"/>
  <c r="Y219" i="3"/>
  <c r="X219" i="3"/>
  <c r="W219" i="3"/>
  <c r="Z227" i="3"/>
  <c r="V227" i="3"/>
  <c r="AA227" i="3"/>
  <c r="Y227" i="3"/>
  <c r="W227" i="3"/>
  <c r="X227" i="3"/>
  <c r="Z235" i="3"/>
  <c r="V235" i="3"/>
  <c r="AA235" i="3"/>
  <c r="W235" i="3"/>
  <c r="Y235" i="3"/>
  <c r="X235" i="3"/>
  <c r="Z243" i="3"/>
  <c r="V243" i="3"/>
  <c r="AA243" i="3"/>
  <c r="Y243" i="3"/>
  <c r="W243" i="3"/>
  <c r="X243" i="3"/>
  <c r="Z251" i="3"/>
  <c r="V251" i="3"/>
  <c r="AA251" i="3"/>
  <c r="Y251" i="3"/>
  <c r="X251" i="3"/>
  <c r="W251" i="3"/>
  <c r="Z259" i="3"/>
  <c r="V259" i="3"/>
  <c r="AA259" i="3"/>
  <c r="Y259" i="3"/>
  <c r="W259" i="3"/>
  <c r="X259" i="3"/>
  <c r="AA267" i="3"/>
  <c r="Z267" i="3"/>
  <c r="X267" i="3"/>
  <c r="Y267" i="3"/>
  <c r="W267" i="3"/>
  <c r="V267" i="3"/>
  <c r="AA275" i="3"/>
  <c r="Z275" i="3"/>
  <c r="X275" i="3"/>
  <c r="Y275" i="3"/>
  <c r="W275" i="3"/>
  <c r="V275" i="3"/>
  <c r="AA283" i="3"/>
  <c r="Z283" i="3"/>
  <c r="X283" i="3"/>
  <c r="Y283" i="3"/>
  <c r="W283" i="3"/>
  <c r="V283" i="3"/>
  <c r="AA291" i="3"/>
  <c r="Z291" i="3"/>
  <c r="X291" i="3"/>
  <c r="Y291" i="3"/>
  <c r="W291" i="3"/>
  <c r="V291" i="3"/>
  <c r="AA299" i="3"/>
  <c r="Z299" i="3"/>
  <c r="X299" i="3"/>
  <c r="Y299" i="3"/>
  <c r="W299" i="3"/>
  <c r="V299" i="3"/>
  <c r="AA307" i="3"/>
  <c r="Z307" i="3"/>
  <c r="X307" i="3"/>
  <c r="Y307" i="3"/>
  <c r="W307" i="3"/>
  <c r="V307" i="3"/>
  <c r="AA315" i="3"/>
  <c r="Z315" i="3"/>
  <c r="X315" i="3"/>
  <c r="Y315" i="3"/>
  <c r="W315" i="3"/>
  <c r="V315" i="3"/>
  <c r="AA323" i="3"/>
  <c r="Z323" i="3"/>
  <c r="X323" i="3"/>
  <c r="Y323" i="3"/>
  <c r="W323" i="3"/>
  <c r="V323" i="3"/>
  <c r="AA331" i="3"/>
  <c r="Z331" i="3"/>
  <c r="X331" i="3"/>
  <c r="Y331" i="3"/>
  <c r="W331" i="3"/>
  <c r="V331" i="3"/>
  <c r="AA339" i="3"/>
  <c r="Z339" i="3"/>
  <c r="X339" i="3"/>
  <c r="Y339" i="3"/>
  <c r="W339" i="3"/>
  <c r="V339" i="3"/>
  <c r="AA347" i="3"/>
  <c r="Z347" i="3"/>
  <c r="X347" i="3"/>
  <c r="Y347" i="3"/>
  <c r="W347" i="3"/>
  <c r="V347" i="3"/>
  <c r="AA355" i="3"/>
  <c r="Z355" i="3"/>
  <c r="X355" i="3"/>
  <c r="Y355" i="3"/>
  <c r="W355" i="3"/>
  <c r="V355" i="3"/>
  <c r="AA363" i="3"/>
  <c r="Z363" i="3"/>
  <c r="X363" i="3"/>
  <c r="Y363" i="3"/>
  <c r="W363" i="3"/>
  <c r="V363" i="3"/>
  <c r="AA371" i="3"/>
  <c r="Y371" i="3"/>
  <c r="Z371" i="3"/>
  <c r="X371" i="3"/>
  <c r="V371" i="3"/>
  <c r="W371" i="3"/>
  <c r="V379" i="3"/>
  <c r="Y379" i="3"/>
  <c r="X379" i="3"/>
  <c r="AA379" i="3"/>
  <c r="Z379" i="3"/>
  <c r="W379" i="3"/>
  <c r="V387" i="3"/>
  <c r="AA387" i="3"/>
  <c r="Z387" i="3"/>
  <c r="Y387" i="3"/>
  <c r="W387" i="3"/>
  <c r="X387" i="3"/>
  <c r="V395" i="3"/>
  <c r="AA395" i="3"/>
  <c r="Z395" i="3"/>
  <c r="Y395" i="3"/>
  <c r="W395" i="3"/>
  <c r="X395" i="3"/>
  <c r="V403" i="3"/>
  <c r="AA403" i="3"/>
  <c r="Z403" i="3"/>
  <c r="Y403" i="3"/>
  <c r="W403" i="3"/>
  <c r="X403" i="3"/>
  <c r="X411" i="3"/>
  <c r="W411" i="3"/>
  <c r="AA411" i="3"/>
  <c r="Z411" i="3"/>
  <c r="Y411" i="3"/>
  <c r="V411" i="3"/>
  <c r="Y419" i="3"/>
  <c r="X419" i="3"/>
  <c r="Z419" i="3"/>
  <c r="W419" i="3"/>
  <c r="AA419" i="3"/>
  <c r="V419" i="3"/>
  <c r="Y427" i="3"/>
  <c r="X427" i="3"/>
  <c r="Z427" i="3"/>
  <c r="AA427" i="3"/>
  <c r="W427" i="3"/>
  <c r="V427" i="3"/>
  <c r="Y435" i="3"/>
  <c r="X435" i="3"/>
  <c r="AA435" i="3"/>
  <c r="Z435" i="3"/>
  <c r="V435" i="3"/>
  <c r="W435" i="3"/>
  <c r="Y443" i="3"/>
  <c r="X443" i="3"/>
  <c r="W443" i="3"/>
  <c r="V443" i="3"/>
  <c r="AA443" i="3"/>
  <c r="Z443" i="3"/>
  <c r="Y451" i="3"/>
  <c r="X451" i="3"/>
  <c r="W451" i="3"/>
  <c r="V451" i="3"/>
  <c r="Z451" i="3"/>
  <c r="AA451" i="3"/>
  <c r="Y459" i="3"/>
  <c r="X459" i="3"/>
  <c r="Z459" i="3"/>
  <c r="V459" i="3"/>
  <c r="AA459" i="3"/>
  <c r="W459" i="3"/>
  <c r="Y467" i="3"/>
  <c r="X467" i="3"/>
  <c r="AA467" i="3"/>
  <c r="Z467" i="3"/>
  <c r="V467" i="3"/>
  <c r="W467" i="3"/>
  <c r="Y475" i="3"/>
  <c r="X475" i="3"/>
  <c r="W475" i="3"/>
  <c r="V475" i="3"/>
  <c r="AA475" i="3"/>
  <c r="Z475" i="3"/>
  <c r="Y483" i="3"/>
  <c r="X483" i="3"/>
  <c r="V483" i="3"/>
  <c r="AA483" i="3"/>
  <c r="Z483" i="3"/>
  <c r="W483" i="3"/>
  <c r="Y491" i="3"/>
  <c r="X491" i="3"/>
  <c r="Z491" i="3"/>
  <c r="AA491" i="3"/>
  <c r="W491" i="3"/>
  <c r="V491" i="3"/>
  <c r="Y499" i="3"/>
  <c r="X499" i="3"/>
  <c r="AA499" i="3"/>
  <c r="Z499" i="3"/>
  <c r="V499" i="3"/>
  <c r="W499" i="3"/>
  <c r="Z62" i="3"/>
  <c r="W62" i="3"/>
  <c r="V62" i="3"/>
  <c r="Y62" i="3"/>
  <c r="AA62" i="3"/>
  <c r="X62" i="3"/>
  <c r="Z78" i="3"/>
  <c r="W78" i="3"/>
  <c r="V78" i="3"/>
  <c r="Y78" i="3"/>
  <c r="AA78" i="3"/>
  <c r="X78" i="3"/>
  <c r="Z102" i="3"/>
  <c r="W102" i="3"/>
  <c r="V102" i="3"/>
  <c r="Y102" i="3"/>
  <c r="X102" i="3"/>
  <c r="AA102" i="3"/>
  <c r="Z126" i="3"/>
  <c r="W126" i="3"/>
  <c r="V126" i="3"/>
  <c r="Y126" i="3"/>
  <c r="AA126" i="3"/>
  <c r="X126" i="3"/>
  <c r="Z142" i="3"/>
  <c r="W142" i="3"/>
  <c r="V142" i="3"/>
  <c r="AA142" i="3"/>
  <c r="Y142" i="3"/>
  <c r="X142" i="3"/>
  <c r="Z166" i="3"/>
  <c r="W166" i="3"/>
  <c r="V166" i="3"/>
  <c r="AA166" i="3"/>
  <c r="X166" i="3"/>
  <c r="Y166" i="3"/>
  <c r="Z190" i="3"/>
  <c r="W190" i="3"/>
  <c r="V190" i="3"/>
  <c r="Y190" i="3"/>
  <c r="AA190" i="3"/>
  <c r="X190" i="3"/>
  <c r="Z214" i="3"/>
  <c r="W214" i="3"/>
  <c r="V214" i="3"/>
  <c r="AA214" i="3"/>
  <c r="X214" i="3"/>
  <c r="Y214" i="3"/>
  <c r="Z238" i="3"/>
  <c r="W238" i="3"/>
  <c r="V238" i="3"/>
  <c r="AA238" i="3"/>
  <c r="Y238" i="3"/>
  <c r="X238" i="3"/>
  <c r="Z262" i="3"/>
  <c r="W262" i="3"/>
  <c r="V262" i="3"/>
  <c r="AA262" i="3"/>
  <c r="X262" i="3"/>
  <c r="Y262" i="3"/>
  <c r="AA286" i="3"/>
  <c r="Z286" i="3"/>
  <c r="X286" i="3"/>
  <c r="Y286" i="3"/>
  <c r="V286" i="3"/>
  <c r="W286" i="3"/>
  <c r="AA302" i="3"/>
  <c r="Z302" i="3"/>
  <c r="X302" i="3"/>
  <c r="Y302" i="3"/>
  <c r="V302" i="3"/>
  <c r="W302" i="3"/>
  <c r="AA326" i="3"/>
  <c r="Z326" i="3"/>
  <c r="X326" i="3"/>
  <c r="Y326" i="3"/>
  <c r="V326" i="3"/>
  <c r="W326" i="3"/>
  <c r="AA350" i="3"/>
  <c r="Z350" i="3"/>
  <c r="X350" i="3"/>
  <c r="Y350" i="3"/>
  <c r="V350" i="3"/>
  <c r="W350" i="3"/>
  <c r="AA366" i="3"/>
  <c r="Z366" i="3"/>
  <c r="X366" i="3"/>
  <c r="Y366" i="3"/>
  <c r="V366" i="3"/>
  <c r="W366" i="3"/>
  <c r="V390" i="3"/>
  <c r="AA390" i="3"/>
  <c r="Z390" i="3"/>
  <c r="X390" i="3"/>
  <c r="W390" i="3"/>
  <c r="Y390" i="3"/>
  <c r="AA422" i="3"/>
  <c r="V422" i="3"/>
  <c r="W422" i="3"/>
  <c r="Y422" i="3"/>
  <c r="Z422" i="3"/>
  <c r="X422" i="3"/>
  <c r="AA446" i="3"/>
  <c r="X446" i="3"/>
  <c r="W446" i="3"/>
  <c r="Y446" i="3"/>
  <c r="V446" i="3"/>
  <c r="Z446" i="3"/>
  <c r="AA470" i="3"/>
  <c r="Z470" i="3"/>
  <c r="Y470" i="3"/>
  <c r="W470" i="3"/>
  <c r="X470" i="3"/>
  <c r="V470" i="3"/>
  <c r="AA486" i="3"/>
  <c r="V486" i="3"/>
  <c r="Z486" i="3"/>
  <c r="X486" i="3"/>
  <c r="W486" i="3"/>
  <c r="Y486" i="3"/>
  <c r="Z63" i="3"/>
  <c r="AA63" i="3"/>
  <c r="Y63" i="3"/>
  <c r="W63" i="3"/>
  <c r="X63" i="3"/>
  <c r="V63" i="3"/>
  <c r="Z87" i="3"/>
  <c r="AA87" i="3"/>
  <c r="Y87" i="3"/>
  <c r="W87" i="3"/>
  <c r="V87" i="3"/>
  <c r="X87" i="3"/>
  <c r="Z111" i="3"/>
  <c r="AA111" i="3"/>
  <c r="Y111" i="3"/>
  <c r="W111" i="3"/>
  <c r="V111" i="3"/>
  <c r="X111" i="3"/>
  <c r="Z135" i="3"/>
  <c r="AA135" i="3"/>
  <c r="Y135" i="3"/>
  <c r="W135" i="3"/>
  <c r="V135" i="3"/>
  <c r="X135" i="3"/>
  <c r="Z159" i="3"/>
  <c r="AA159" i="3"/>
  <c r="Y159" i="3"/>
  <c r="W159" i="3"/>
  <c r="V159" i="3"/>
  <c r="X159" i="3"/>
  <c r="Z183" i="3"/>
  <c r="AA183" i="3"/>
  <c r="Y183" i="3"/>
  <c r="W183" i="3"/>
  <c r="V183" i="3"/>
  <c r="X183" i="3"/>
  <c r="Z207" i="3"/>
  <c r="AA207" i="3"/>
  <c r="Y207" i="3"/>
  <c r="W207" i="3"/>
  <c r="V207" i="3"/>
  <c r="X207" i="3"/>
  <c r="Z231" i="3"/>
  <c r="AA231" i="3"/>
  <c r="Y231" i="3"/>
  <c r="W231" i="3"/>
  <c r="V231" i="3"/>
  <c r="X231" i="3"/>
  <c r="Z255" i="3"/>
  <c r="AA255" i="3"/>
  <c r="Y255" i="3"/>
  <c r="W255" i="3"/>
  <c r="V255" i="3"/>
  <c r="X255" i="3"/>
  <c r="AA311" i="3"/>
  <c r="Z311" i="3"/>
  <c r="X311" i="3"/>
  <c r="V311" i="3"/>
  <c r="Y311" i="3"/>
  <c r="W311" i="3"/>
  <c r="AA479" i="3"/>
  <c r="Z479" i="3"/>
  <c r="X479" i="3"/>
  <c r="Y479" i="3"/>
  <c r="W479" i="3"/>
  <c r="V479" i="3"/>
  <c r="Z58" i="3"/>
  <c r="AA58" i="3"/>
  <c r="X58" i="3"/>
  <c r="Y58" i="3"/>
  <c r="W58" i="3"/>
  <c r="V58" i="3"/>
  <c r="Z74" i="3"/>
  <c r="AA74" i="3"/>
  <c r="X74" i="3"/>
  <c r="W74" i="3"/>
  <c r="Y74" i="3"/>
  <c r="V74" i="3"/>
  <c r="Z90" i="3"/>
  <c r="AA90" i="3"/>
  <c r="X90" i="3"/>
  <c r="Y90" i="3"/>
  <c r="W90" i="3"/>
  <c r="V90" i="3"/>
  <c r="Z106" i="3"/>
  <c r="AA106" i="3"/>
  <c r="X106" i="3"/>
  <c r="Y106" i="3"/>
  <c r="W106" i="3"/>
  <c r="V106" i="3"/>
  <c r="Z122" i="3"/>
  <c r="AA122" i="3"/>
  <c r="X122" i="3"/>
  <c r="W122" i="3"/>
  <c r="Y122" i="3"/>
  <c r="V122" i="3"/>
  <c r="Z138" i="3"/>
  <c r="AA138" i="3"/>
  <c r="X138" i="3"/>
  <c r="W138" i="3"/>
  <c r="Y138" i="3"/>
  <c r="V138" i="3"/>
  <c r="Z154" i="3"/>
  <c r="AA154" i="3"/>
  <c r="X154" i="3"/>
  <c r="W154" i="3"/>
  <c r="Y154" i="3"/>
  <c r="V154" i="3"/>
  <c r="Z178" i="3"/>
  <c r="AA178" i="3"/>
  <c r="X178" i="3"/>
  <c r="W178" i="3"/>
  <c r="Y178" i="3"/>
  <c r="V178" i="3"/>
  <c r="Z194" i="3"/>
  <c r="AA194" i="3"/>
  <c r="X194" i="3"/>
  <c r="W194" i="3"/>
  <c r="Y194" i="3"/>
  <c r="V194" i="3"/>
  <c r="Z210" i="3"/>
  <c r="AA210" i="3"/>
  <c r="X210" i="3"/>
  <c r="W210" i="3"/>
  <c r="Y210" i="3"/>
  <c r="V210" i="3"/>
  <c r="Z226" i="3"/>
  <c r="AA226" i="3"/>
  <c r="X226" i="3"/>
  <c r="W226" i="3"/>
  <c r="Y226" i="3"/>
  <c r="V226" i="3"/>
  <c r="Z234" i="3"/>
  <c r="AA234" i="3"/>
  <c r="X234" i="3"/>
  <c r="W234" i="3"/>
  <c r="Y234" i="3"/>
  <c r="V234" i="3"/>
  <c r="Z250" i="3"/>
  <c r="AA250" i="3"/>
  <c r="X250" i="3"/>
  <c r="W250" i="3"/>
  <c r="Y250" i="3"/>
  <c r="V250" i="3"/>
  <c r="AA266" i="3"/>
  <c r="Z266" i="3"/>
  <c r="X266" i="3"/>
  <c r="Y266" i="3"/>
  <c r="W266" i="3"/>
  <c r="V266" i="3"/>
  <c r="AA282" i="3"/>
  <c r="Z282" i="3"/>
  <c r="X282" i="3"/>
  <c r="W282" i="3"/>
  <c r="Y282" i="3"/>
  <c r="V282" i="3"/>
  <c r="AA298" i="3"/>
  <c r="Z298" i="3"/>
  <c r="X298" i="3"/>
  <c r="W298" i="3"/>
  <c r="V298" i="3"/>
  <c r="Y298" i="3"/>
  <c r="AA314" i="3"/>
  <c r="Z314" i="3"/>
  <c r="X314" i="3"/>
  <c r="Y314" i="3"/>
  <c r="W314" i="3"/>
  <c r="V314" i="3"/>
  <c r="AA330" i="3"/>
  <c r="Z330" i="3"/>
  <c r="X330" i="3"/>
  <c r="Y330" i="3"/>
  <c r="W330" i="3"/>
  <c r="V330" i="3"/>
  <c r="AA346" i="3"/>
  <c r="Z346" i="3"/>
  <c r="X346" i="3"/>
  <c r="Y346" i="3"/>
  <c r="W346" i="3"/>
  <c r="V346" i="3"/>
  <c r="AA362" i="3"/>
  <c r="Z362" i="3"/>
  <c r="X362" i="3"/>
  <c r="W362" i="3"/>
  <c r="V362" i="3"/>
  <c r="Y362" i="3"/>
  <c r="AA370" i="3"/>
  <c r="Z370" i="3"/>
  <c r="X370" i="3"/>
  <c r="V370" i="3"/>
  <c r="Y370" i="3"/>
  <c r="W370" i="3"/>
  <c r="V386" i="3"/>
  <c r="AA386" i="3"/>
  <c r="W386" i="3"/>
  <c r="X386" i="3"/>
  <c r="Y386" i="3"/>
  <c r="Z386" i="3"/>
  <c r="V402" i="3"/>
  <c r="AA402" i="3"/>
  <c r="W402" i="3"/>
  <c r="Y402" i="3"/>
  <c r="X402" i="3"/>
  <c r="Z402" i="3"/>
  <c r="X418" i="3"/>
  <c r="W418" i="3"/>
  <c r="AA418" i="3"/>
  <c r="Y418" i="3"/>
  <c r="Z418" i="3"/>
  <c r="V418" i="3"/>
  <c r="X434" i="3"/>
  <c r="W434" i="3"/>
  <c r="V434" i="3"/>
  <c r="Y434" i="3"/>
  <c r="Z434" i="3"/>
  <c r="AA434" i="3"/>
  <c r="X450" i="3"/>
  <c r="W450" i="3"/>
  <c r="AA450" i="3"/>
  <c r="Y450" i="3"/>
  <c r="V450" i="3"/>
  <c r="Z450" i="3"/>
  <c r="X458" i="3"/>
  <c r="W458" i="3"/>
  <c r="Z458" i="3"/>
  <c r="Y458" i="3"/>
  <c r="AA458" i="3"/>
  <c r="V458" i="3"/>
  <c r="X474" i="3"/>
  <c r="W474" i="3"/>
  <c r="AA474" i="3"/>
  <c r="Z474" i="3"/>
  <c r="Y474" i="3"/>
  <c r="V474" i="3"/>
  <c r="X482" i="3"/>
  <c r="W482" i="3"/>
  <c r="AA482" i="3"/>
  <c r="Y482" i="3"/>
  <c r="Z482" i="3"/>
  <c r="V482" i="3"/>
  <c r="X490" i="3"/>
  <c r="W490" i="3"/>
  <c r="Z490" i="3"/>
  <c r="Y490" i="3"/>
  <c r="V490" i="3"/>
  <c r="AA490" i="3"/>
  <c r="Z60" i="3"/>
  <c r="Y60" i="3"/>
  <c r="X60" i="3"/>
  <c r="V60" i="3"/>
  <c r="AA60" i="3"/>
  <c r="W60" i="3"/>
  <c r="Z68" i="3"/>
  <c r="Y68" i="3"/>
  <c r="X68" i="3"/>
  <c r="V68" i="3"/>
  <c r="W68" i="3"/>
  <c r="AA68" i="3"/>
  <c r="Z76" i="3"/>
  <c r="Y76" i="3"/>
  <c r="X76" i="3"/>
  <c r="V76" i="3"/>
  <c r="AA76" i="3"/>
  <c r="W76" i="3"/>
  <c r="Z84" i="3"/>
  <c r="Y84" i="3"/>
  <c r="X84" i="3"/>
  <c r="V84" i="3"/>
  <c r="AA84" i="3"/>
  <c r="W84" i="3"/>
  <c r="Z92" i="3"/>
  <c r="Y92" i="3"/>
  <c r="X92" i="3"/>
  <c r="V92" i="3"/>
  <c r="W92" i="3"/>
  <c r="AA92" i="3"/>
  <c r="Z100" i="3"/>
  <c r="Y100" i="3"/>
  <c r="X100" i="3"/>
  <c r="V100" i="3"/>
  <c r="AA100" i="3"/>
  <c r="W100" i="3"/>
  <c r="Z108" i="3"/>
  <c r="Y108" i="3"/>
  <c r="X108" i="3"/>
  <c r="V108" i="3"/>
  <c r="W108" i="3"/>
  <c r="AA108" i="3"/>
  <c r="Z116" i="3"/>
  <c r="Y116" i="3"/>
  <c r="X116" i="3"/>
  <c r="V116" i="3"/>
  <c r="W116" i="3"/>
  <c r="AA116" i="3"/>
  <c r="Z124" i="3"/>
  <c r="Y124" i="3"/>
  <c r="X124" i="3"/>
  <c r="V124" i="3"/>
  <c r="AA124" i="3"/>
  <c r="W124" i="3"/>
  <c r="Z132" i="3"/>
  <c r="Y132" i="3"/>
  <c r="X132" i="3"/>
  <c r="V132" i="3"/>
  <c r="W132" i="3"/>
  <c r="AA132" i="3"/>
  <c r="Z140" i="3"/>
  <c r="Y140" i="3"/>
  <c r="X140" i="3"/>
  <c r="V140" i="3"/>
  <c r="AA140" i="3"/>
  <c r="W140" i="3"/>
  <c r="Z148" i="3"/>
  <c r="Y148" i="3"/>
  <c r="X148" i="3"/>
  <c r="V148" i="3"/>
  <c r="W148" i="3"/>
  <c r="AA148" i="3"/>
  <c r="Z156" i="3"/>
  <c r="Y156" i="3"/>
  <c r="X156" i="3"/>
  <c r="V156" i="3"/>
  <c r="AA156" i="3"/>
  <c r="W156" i="3"/>
  <c r="Z164" i="3"/>
  <c r="Y164" i="3"/>
  <c r="X164" i="3"/>
  <c r="V164" i="3"/>
  <c r="W164" i="3"/>
  <c r="AA164" i="3"/>
  <c r="Z172" i="3"/>
  <c r="Y172" i="3"/>
  <c r="X172" i="3"/>
  <c r="V172" i="3"/>
  <c r="AA172" i="3"/>
  <c r="W172" i="3"/>
  <c r="Z180" i="3"/>
  <c r="Y180" i="3"/>
  <c r="X180" i="3"/>
  <c r="V180" i="3"/>
  <c r="W180" i="3"/>
  <c r="AA180" i="3"/>
  <c r="Z188" i="3"/>
  <c r="Y188" i="3"/>
  <c r="X188" i="3"/>
  <c r="V188" i="3"/>
  <c r="AA188" i="3"/>
  <c r="W188" i="3"/>
  <c r="Z196" i="3"/>
  <c r="Y196" i="3"/>
  <c r="X196" i="3"/>
  <c r="V196" i="3"/>
  <c r="W196" i="3"/>
  <c r="AA196" i="3"/>
  <c r="Z204" i="3"/>
  <c r="Y204" i="3"/>
  <c r="X204" i="3"/>
  <c r="V204" i="3"/>
  <c r="AA204" i="3"/>
  <c r="W204" i="3"/>
  <c r="Z212" i="3"/>
  <c r="Y212" i="3"/>
  <c r="X212" i="3"/>
  <c r="V212" i="3"/>
  <c r="W212" i="3"/>
  <c r="AA212" i="3"/>
  <c r="Z220" i="3"/>
  <c r="Y220" i="3"/>
  <c r="X220" i="3"/>
  <c r="V220" i="3"/>
  <c r="AA220" i="3"/>
  <c r="W220" i="3"/>
  <c r="Z228" i="3"/>
  <c r="Y228" i="3"/>
  <c r="X228" i="3"/>
  <c r="V228" i="3"/>
  <c r="W228" i="3"/>
  <c r="AA228" i="3"/>
  <c r="Z236" i="3"/>
  <c r="Y236" i="3"/>
  <c r="X236" i="3"/>
  <c r="V236" i="3"/>
  <c r="AA236" i="3"/>
  <c r="W236" i="3"/>
  <c r="Z244" i="3"/>
  <c r="Y244" i="3"/>
  <c r="X244" i="3"/>
  <c r="V244" i="3"/>
  <c r="W244" i="3"/>
  <c r="AA244" i="3"/>
  <c r="Z252" i="3"/>
  <c r="Y252" i="3"/>
  <c r="X252" i="3"/>
  <c r="V252" i="3"/>
  <c r="AA252" i="3"/>
  <c r="W252" i="3"/>
  <c r="Z260" i="3"/>
  <c r="Y260" i="3"/>
  <c r="X260" i="3"/>
  <c r="V260" i="3"/>
  <c r="W260" i="3"/>
  <c r="AA260" i="3"/>
  <c r="AA268" i="3"/>
  <c r="Z268" i="3"/>
  <c r="X268" i="3"/>
  <c r="Y268" i="3"/>
  <c r="V268" i="3"/>
  <c r="W268" i="3"/>
  <c r="AA276" i="3"/>
  <c r="Z276" i="3"/>
  <c r="X276" i="3"/>
  <c r="Y276" i="3"/>
  <c r="W276" i="3"/>
  <c r="V276" i="3"/>
  <c r="AA284" i="3"/>
  <c r="Z284" i="3"/>
  <c r="X284" i="3"/>
  <c r="Y284" i="3"/>
  <c r="W284" i="3"/>
  <c r="V284" i="3"/>
  <c r="AA292" i="3"/>
  <c r="Z292" i="3"/>
  <c r="X292" i="3"/>
  <c r="Y292" i="3"/>
  <c r="W292" i="3"/>
  <c r="V292" i="3"/>
  <c r="AA300" i="3"/>
  <c r="Z300" i="3"/>
  <c r="X300" i="3"/>
  <c r="Y300" i="3"/>
  <c r="V300" i="3"/>
  <c r="W300" i="3"/>
  <c r="AA308" i="3"/>
  <c r="Z308" i="3"/>
  <c r="X308" i="3"/>
  <c r="Y308" i="3"/>
  <c r="W308" i="3"/>
  <c r="V308" i="3"/>
  <c r="AA316" i="3"/>
  <c r="Z316" i="3"/>
  <c r="X316" i="3"/>
  <c r="Y316" i="3"/>
  <c r="V316" i="3"/>
  <c r="W316" i="3"/>
  <c r="AA324" i="3"/>
  <c r="Z324" i="3"/>
  <c r="X324" i="3"/>
  <c r="Y324" i="3"/>
  <c r="W324" i="3"/>
  <c r="V324" i="3"/>
  <c r="AA332" i="3"/>
  <c r="Z332" i="3"/>
  <c r="X332" i="3"/>
  <c r="Y332" i="3"/>
  <c r="V332" i="3"/>
  <c r="W332" i="3"/>
  <c r="AA340" i="3"/>
  <c r="Z340" i="3"/>
  <c r="X340" i="3"/>
  <c r="Y340" i="3"/>
  <c r="W340" i="3"/>
  <c r="V340" i="3"/>
  <c r="AA348" i="3"/>
  <c r="Z348" i="3"/>
  <c r="X348" i="3"/>
  <c r="Y348" i="3"/>
  <c r="W348" i="3"/>
  <c r="V348" i="3"/>
  <c r="AA356" i="3"/>
  <c r="Z356" i="3"/>
  <c r="X356" i="3"/>
  <c r="Y356" i="3"/>
  <c r="W356" i="3"/>
  <c r="V356" i="3"/>
  <c r="AA364" i="3"/>
  <c r="Z364" i="3"/>
  <c r="X364" i="3"/>
  <c r="Y364" i="3"/>
  <c r="V364" i="3"/>
  <c r="W364" i="3"/>
  <c r="Z372" i="3"/>
  <c r="AA372" i="3"/>
  <c r="Y372" i="3"/>
  <c r="X372" i="3"/>
  <c r="W372" i="3"/>
  <c r="V372" i="3"/>
  <c r="V380" i="3"/>
  <c r="AA380" i="3"/>
  <c r="Z380" i="3"/>
  <c r="X380" i="3"/>
  <c r="Y380" i="3"/>
  <c r="W380" i="3"/>
  <c r="V388" i="3"/>
  <c r="AA388" i="3"/>
  <c r="Z388" i="3"/>
  <c r="Y388" i="3"/>
  <c r="X388" i="3"/>
  <c r="W388" i="3"/>
  <c r="V396" i="3"/>
  <c r="AA396" i="3"/>
  <c r="Z396" i="3"/>
  <c r="X396" i="3"/>
  <c r="W396" i="3"/>
  <c r="Y396" i="3"/>
  <c r="V404" i="3"/>
  <c r="AA404" i="3"/>
  <c r="Z404" i="3"/>
  <c r="W404" i="3"/>
  <c r="Y404" i="3"/>
  <c r="X404" i="3"/>
  <c r="X412" i="3"/>
  <c r="W412" i="3"/>
  <c r="V412" i="3"/>
  <c r="AA412" i="3"/>
  <c r="Y412" i="3"/>
  <c r="Z412" i="3"/>
  <c r="Z420" i="3"/>
  <c r="Y420" i="3"/>
  <c r="X420" i="3"/>
  <c r="W420" i="3"/>
  <c r="V420" i="3"/>
  <c r="AA420" i="3"/>
  <c r="Z428" i="3"/>
  <c r="Y428" i="3"/>
  <c r="V428" i="3"/>
  <c r="X428" i="3"/>
  <c r="AA428" i="3"/>
  <c r="W428" i="3"/>
  <c r="Z436" i="3"/>
  <c r="Y436" i="3"/>
  <c r="AA436" i="3"/>
  <c r="X436" i="3"/>
  <c r="W436" i="3"/>
  <c r="V436" i="3"/>
  <c r="Z444" i="3"/>
  <c r="Y444" i="3"/>
  <c r="AA444" i="3"/>
  <c r="W444" i="3"/>
  <c r="V444" i="3"/>
  <c r="X444" i="3"/>
  <c r="Z452" i="3"/>
  <c r="Y452" i="3"/>
  <c r="X452" i="3"/>
  <c r="W452" i="3"/>
  <c r="AA452" i="3"/>
  <c r="V452" i="3"/>
  <c r="Z460" i="3"/>
  <c r="Y460" i="3"/>
  <c r="V460" i="3"/>
  <c r="AA460" i="3"/>
  <c r="W460" i="3"/>
  <c r="X460" i="3"/>
  <c r="Z468" i="3"/>
  <c r="Y468" i="3"/>
  <c r="AA468" i="3"/>
  <c r="W468" i="3"/>
  <c r="V468" i="3"/>
  <c r="X468" i="3"/>
  <c r="Z476" i="3"/>
  <c r="Y476" i="3"/>
  <c r="AA476" i="3"/>
  <c r="W476" i="3"/>
  <c r="X476" i="3"/>
  <c r="V476" i="3"/>
  <c r="Z484" i="3"/>
  <c r="Y484" i="3"/>
  <c r="X484" i="3"/>
  <c r="W484" i="3"/>
  <c r="AA484" i="3"/>
  <c r="V484" i="3"/>
  <c r="Z492" i="3"/>
  <c r="Y492" i="3"/>
  <c r="V492" i="3"/>
  <c r="AA492" i="3"/>
  <c r="X492" i="3"/>
  <c r="W492" i="3"/>
  <c r="Z500" i="3"/>
  <c r="Y500" i="3"/>
  <c r="AA500" i="3"/>
  <c r="V500" i="3"/>
  <c r="X500" i="3"/>
  <c r="W500" i="3"/>
  <c r="G4" i="3"/>
  <c r="Y8" i="3"/>
  <c r="J4" i="3"/>
  <c r="Y13" i="3"/>
  <c r="H4" i="3"/>
  <c r="I4" i="3"/>
  <c r="G32" i="1"/>
  <c r="G40" i="1"/>
  <c r="G48" i="1"/>
  <c r="I35" i="1"/>
  <c r="I43" i="1"/>
  <c r="I51" i="1"/>
  <c r="G33" i="1"/>
  <c r="G41" i="1"/>
  <c r="G49" i="1"/>
  <c r="I36" i="1"/>
  <c r="I44" i="1"/>
  <c r="I52" i="1"/>
  <c r="G34" i="1"/>
  <c r="G42" i="1"/>
  <c r="G50" i="1"/>
  <c r="I37" i="1"/>
  <c r="I29" i="1"/>
  <c r="I53" i="1"/>
  <c r="I45" i="1"/>
  <c r="G43" i="1"/>
  <c r="I30" i="1"/>
  <c r="G36" i="1"/>
  <c r="G44" i="1"/>
  <c r="G52" i="1"/>
  <c r="I31" i="1"/>
  <c r="I39" i="1"/>
  <c r="I47" i="1"/>
  <c r="I38" i="1"/>
  <c r="G29" i="1"/>
  <c r="G37" i="1"/>
  <c r="G45" i="1"/>
  <c r="G53" i="1"/>
  <c r="I32" i="1"/>
  <c r="I40" i="1"/>
  <c r="I48" i="1"/>
  <c r="G35" i="1"/>
  <c r="I46" i="1"/>
  <c r="G30" i="1"/>
  <c r="G38" i="1"/>
  <c r="G46" i="1"/>
  <c r="I33" i="1"/>
  <c r="I41" i="1"/>
  <c r="I49" i="1"/>
  <c r="G51" i="1"/>
  <c r="G31" i="1"/>
  <c r="G39" i="1"/>
  <c r="G47" i="1"/>
  <c r="I34" i="1"/>
  <c r="I42" i="1"/>
  <c r="I50" i="1"/>
  <c r="Q331" i="3"/>
  <c r="Q452" i="3"/>
  <c r="Q67" i="3"/>
  <c r="Q171" i="3"/>
  <c r="Q57" i="3"/>
  <c r="Q113" i="3"/>
  <c r="Q209" i="3"/>
  <c r="Q217" i="3"/>
  <c r="Q369" i="3"/>
  <c r="Q433" i="3"/>
  <c r="Q163" i="3"/>
  <c r="Q235" i="3"/>
  <c r="Q315" i="3"/>
  <c r="Q90" i="3"/>
  <c r="Q218" i="3"/>
  <c r="Q282" i="3"/>
  <c r="Q418" i="3"/>
  <c r="G15" i="1"/>
  <c r="G23" i="1"/>
  <c r="I17" i="1"/>
  <c r="I25" i="1"/>
  <c r="Q100" i="3"/>
  <c r="Q347" i="3"/>
  <c r="G16" i="1"/>
  <c r="G24" i="1"/>
  <c r="I10" i="1"/>
  <c r="I18" i="1"/>
  <c r="I26" i="1"/>
  <c r="Q162" i="3"/>
  <c r="Q354" i="3"/>
  <c r="G17" i="1"/>
  <c r="G25" i="1"/>
  <c r="I11" i="1"/>
  <c r="I19" i="1"/>
  <c r="I27" i="1"/>
  <c r="Q364" i="3"/>
  <c r="G10" i="1"/>
  <c r="G18" i="1"/>
  <c r="G26" i="1"/>
  <c r="I12" i="1"/>
  <c r="I20" i="1"/>
  <c r="I28" i="1"/>
  <c r="Q186" i="3"/>
  <c r="G11" i="1"/>
  <c r="G19" i="1"/>
  <c r="G27" i="1"/>
  <c r="I13" i="1"/>
  <c r="I21" i="1"/>
  <c r="Q409" i="3"/>
  <c r="G12" i="1"/>
  <c r="G20" i="1"/>
  <c r="G28" i="1"/>
  <c r="I14" i="1"/>
  <c r="I22" i="1"/>
  <c r="Q227" i="3"/>
  <c r="G13" i="1"/>
  <c r="G21" i="1"/>
  <c r="I15" i="1"/>
  <c r="I23" i="1"/>
  <c r="Q75" i="3"/>
  <c r="Q442" i="3"/>
  <c r="G14" i="1"/>
  <c r="G22" i="1"/>
  <c r="I16" i="1"/>
  <c r="I24" i="1"/>
  <c r="Q78" i="3"/>
  <c r="Q134" i="3"/>
  <c r="Q182" i="3"/>
  <c r="Q238" i="3"/>
  <c r="Q286" i="3"/>
  <c r="Q350" i="3"/>
  <c r="Q398" i="3"/>
  <c r="Q438" i="3"/>
  <c r="Q502" i="3"/>
  <c r="Q55" i="3"/>
  <c r="Q63" i="3"/>
  <c r="Q71" i="3"/>
  <c r="Q79" i="3"/>
  <c r="Q87" i="3"/>
  <c r="Q95" i="3"/>
  <c r="Q103" i="3"/>
  <c r="Q111" i="3"/>
  <c r="Q119" i="3"/>
  <c r="Q127" i="3"/>
  <c r="Q143" i="3"/>
  <c r="Q151" i="3"/>
  <c r="Q159" i="3"/>
  <c r="Q167" i="3"/>
  <c r="Q175" i="3"/>
  <c r="Q183" i="3"/>
  <c r="Q191" i="3"/>
  <c r="Q199" i="3"/>
  <c r="Q207" i="3"/>
  <c r="Q215" i="3"/>
  <c r="Q223" i="3"/>
  <c r="Q231" i="3"/>
  <c r="Q239" i="3"/>
  <c r="Q247" i="3"/>
  <c r="Q255" i="3"/>
  <c r="Q271" i="3"/>
  <c r="Q279" i="3"/>
  <c r="Q287" i="3"/>
  <c r="Q295" i="3"/>
  <c r="Q303" i="3"/>
  <c r="Q311" i="3"/>
  <c r="Q319" i="3"/>
  <c r="Q327" i="3"/>
  <c r="Q335" i="3"/>
  <c r="Q343" i="3"/>
  <c r="Q351" i="3"/>
  <c r="Q359" i="3"/>
  <c r="Q367" i="3"/>
  <c r="Q375" i="3"/>
  <c r="Q383" i="3"/>
  <c r="Q391" i="3"/>
  <c r="Q399" i="3"/>
  <c r="Q407" i="3"/>
  <c r="Q415" i="3"/>
  <c r="Q423" i="3"/>
  <c r="Q431" i="3"/>
  <c r="Q439" i="3"/>
  <c r="Q447" i="3"/>
  <c r="Q455" i="3"/>
  <c r="Q463" i="3"/>
  <c r="Q471" i="3"/>
  <c r="Q479" i="3"/>
  <c r="Q487" i="3"/>
  <c r="Q495" i="3"/>
  <c r="Q86" i="3"/>
  <c r="Q142" i="3"/>
  <c r="Q198" i="3"/>
  <c r="Q246" i="3"/>
  <c r="Q302" i="3"/>
  <c r="Q358" i="3"/>
  <c r="Q414" i="3"/>
  <c r="Q478" i="3"/>
  <c r="Q56" i="3"/>
  <c r="Q64" i="3"/>
  <c r="Q72" i="3"/>
  <c r="Q80" i="3"/>
  <c r="Q88" i="3"/>
  <c r="Q96" i="3"/>
  <c r="Q104" i="3"/>
  <c r="Q112" i="3"/>
  <c r="Q120" i="3"/>
  <c r="Q128" i="3"/>
  <c r="Q136" i="3"/>
  <c r="Q144" i="3"/>
  <c r="Q152" i="3"/>
  <c r="Q160" i="3"/>
  <c r="Q168" i="3"/>
  <c r="Q176" i="3"/>
  <c r="Q184" i="3"/>
  <c r="Q192" i="3"/>
  <c r="Q200" i="3"/>
  <c r="Q208" i="3"/>
  <c r="Q216" i="3"/>
  <c r="Q224" i="3"/>
  <c r="Q232" i="3"/>
  <c r="Q240" i="3"/>
  <c r="Q248" i="3"/>
  <c r="Q256" i="3"/>
  <c r="Q264" i="3"/>
  <c r="Q272" i="3"/>
  <c r="Q280" i="3"/>
  <c r="Q288" i="3"/>
  <c r="Q296" i="3"/>
  <c r="Q304" i="3"/>
  <c r="Q312" i="3"/>
  <c r="Q320" i="3"/>
  <c r="Q328" i="3"/>
  <c r="Q336" i="3"/>
  <c r="Q344" i="3"/>
  <c r="Q352" i="3"/>
  <c r="Q360" i="3"/>
  <c r="Q368" i="3"/>
  <c r="Q376" i="3"/>
  <c r="Q384" i="3"/>
  <c r="Q392" i="3"/>
  <c r="Q400" i="3"/>
  <c r="Q408" i="3"/>
  <c r="Q416" i="3"/>
  <c r="Q424" i="3"/>
  <c r="Q432" i="3"/>
  <c r="Q440" i="3"/>
  <c r="Q448" i="3"/>
  <c r="Q456" i="3"/>
  <c r="Q464" i="3"/>
  <c r="Q472" i="3"/>
  <c r="Q480" i="3"/>
  <c r="Q488" i="3"/>
  <c r="Q496" i="3"/>
  <c r="Q102" i="3"/>
  <c r="Q166" i="3"/>
  <c r="Q222" i="3"/>
  <c r="Q278" i="3"/>
  <c r="Q334" i="3"/>
  <c r="Q382" i="3"/>
  <c r="Q454" i="3"/>
  <c r="Q62" i="3"/>
  <c r="Q110" i="3"/>
  <c r="Q158" i="3"/>
  <c r="Q214" i="3"/>
  <c r="Q270" i="3"/>
  <c r="Q326" i="3"/>
  <c r="Q374" i="3"/>
  <c r="Q430" i="3"/>
  <c r="Q486" i="3"/>
  <c r="Q94" i="3"/>
  <c r="Q150" i="3"/>
  <c r="Q206" i="3"/>
  <c r="Q262" i="3"/>
  <c r="Q310" i="3"/>
  <c r="Q366" i="3"/>
  <c r="Q422" i="3"/>
  <c r="Q470" i="3"/>
  <c r="Q25" i="3"/>
  <c r="Q65" i="3"/>
  <c r="Q89" i="3"/>
  <c r="Q145" i="3"/>
  <c r="Q169" i="3"/>
  <c r="Q193" i="3"/>
  <c r="Q241" i="3"/>
  <c r="Q265" i="3"/>
  <c r="Q297" i="3"/>
  <c r="Q135" i="3"/>
  <c r="Q263" i="3"/>
  <c r="Q70" i="3"/>
  <c r="Q126" i="3"/>
  <c r="Q190" i="3"/>
  <c r="Q230" i="3"/>
  <c r="Q294" i="3"/>
  <c r="Q342" i="3"/>
  <c r="Q406" i="3"/>
  <c r="Q446" i="3"/>
  <c r="Q494" i="3"/>
  <c r="Q81" i="3"/>
  <c r="Q105" i="3"/>
  <c r="Q137" i="3"/>
  <c r="Q161" i="3"/>
  <c r="Q185" i="3"/>
  <c r="Q233" i="3"/>
  <c r="Q273" i="3"/>
  <c r="Q289" i="3"/>
  <c r="Q345" i="3"/>
  <c r="Q129" i="3"/>
  <c r="Q20" i="3"/>
  <c r="Q28" i="3"/>
  <c r="Q36" i="3"/>
  <c r="Q44" i="3"/>
  <c r="Q52" i="3"/>
  <c r="Q60" i="3"/>
  <c r="Q68" i="3"/>
  <c r="Q76" i="3"/>
  <c r="Q84" i="3"/>
  <c r="Q92" i="3"/>
  <c r="Q108" i="3"/>
  <c r="Q116" i="3"/>
  <c r="Q124" i="3"/>
  <c r="Q132" i="3"/>
  <c r="Q140" i="3"/>
  <c r="Q148" i="3"/>
  <c r="Q156" i="3"/>
  <c r="Q164" i="3"/>
  <c r="Q172" i="3"/>
  <c r="Q180" i="3"/>
  <c r="Q188" i="3"/>
  <c r="Q196" i="3"/>
  <c r="Q204" i="3"/>
  <c r="Q212" i="3"/>
  <c r="Q220" i="3"/>
  <c r="Q228" i="3"/>
  <c r="Q236" i="3"/>
  <c r="Q244" i="3"/>
  <c r="Q252" i="3"/>
  <c r="Q260" i="3"/>
  <c r="Q268" i="3"/>
  <c r="Q276" i="3"/>
  <c r="Q284" i="3"/>
  <c r="Q292" i="3"/>
  <c r="Q308" i="3"/>
  <c r="Q316" i="3"/>
  <c r="Q324" i="3"/>
  <c r="Q332" i="3"/>
  <c r="Q340" i="3"/>
  <c r="Q348" i="3"/>
  <c r="Q356" i="3"/>
  <c r="Q372" i="3"/>
  <c r="Q380" i="3"/>
  <c r="Q388" i="3"/>
  <c r="Q396" i="3"/>
  <c r="Q404" i="3"/>
  <c r="Q412" i="3"/>
  <c r="Q420" i="3"/>
  <c r="Q428" i="3"/>
  <c r="Q436" i="3"/>
  <c r="Q444" i="3"/>
  <c r="Q460" i="3"/>
  <c r="Q468" i="3"/>
  <c r="Q476" i="3"/>
  <c r="Q484" i="3"/>
  <c r="Q492" i="3"/>
  <c r="Q500" i="3"/>
  <c r="Q300" i="3"/>
  <c r="Q54" i="3"/>
  <c r="Q118" i="3"/>
  <c r="Q174" i="3"/>
  <c r="Q254" i="3"/>
  <c r="Q318" i="3"/>
  <c r="Q390" i="3"/>
  <c r="Q462" i="3"/>
  <c r="Q73" i="3"/>
  <c r="Q97" i="3"/>
  <c r="Q121" i="3"/>
  <c r="Q153" i="3"/>
  <c r="Q177" i="3"/>
  <c r="Q201" i="3"/>
  <c r="Q225" i="3"/>
  <c r="Q249" i="3"/>
  <c r="Q281" i="3"/>
  <c r="Q353" i="3"/>
  <c r="Q257" i="3"/>
  <c r="Q61" i="3"/>
  <c r="Q69" i="3"/>
  <c r="Q77" i="3"/>
  <c r="Q85" i="3"/>
  <c r="Q93" i="3"/>
  <c r="Q101" i="3"/>
  <c r="Q109" i="3"/>
  <c r="Q117" i="3"/>
  <c r="Q125" i="3"/>
  <c r="Q133" i="3"/>
  <c r="Q141" i="3"/>
  <c r="Q149" i="3"/>
  <c r="Q157" i="3"/>
  <c r="Q165" i="3"/>
  <c r="Q173" i="3"/>
  <c r="Q181" i="3"/>
  <c r="Q189" i="3"/>
  <c r="Q197" i="3"/>
  <c r="Q205" i="3"/>
  <c r="Q213" i="3"/>
  <c r="Q221" i="3"/>
  <c r="Q229" i="3"/>
  <c r="Q237" i="3"/>
  <c r="Q245" i="3"/>
  <c r="Q253" i="3"/>
  <c r="Q261" i="3"/>
  <c r="Q269" i="3"/>
  <c r="Q277" i="3"/>
  <c r="Q285" i="3"/>
  <c r="Q293" i="3"/>
  <c r="Q301" i="3"/>
  <c r="Q309" i="3"/>
  <c r="Q317" i="3"/>
  <c r="Q325" i="3"/>
  <c r="Q333" i="3"/>
  <c r="Q341" i="3"/>
  <c r="Q349" i="3"/>
  <c r="Q357" i="3"/>
  <c r="Q365" i="3"/>
  <c r="Q373" i="3"/>
  <c r="Q381" i="3"/>
  <c r="Q389" i="3"/>
  <c r="Q397" i="3"/>
  <c r="Q405" i="3"/>
  <c r="Q413" i="3"/>
  <c r="Q421" i="3"/>
  <c r="Q429" i="3"/>
  <c r="Q437" i="3"/>
  <c r="Q445" i="3"/>
  <c r="Q453" i="3"/>
  <c r="Q461" i="3"/>
  <c r="Q469" i="3"/>
  <c r="Q477" i="3"/>
  <c r="Q485" i="3"/>
  <c r="Q493" i="3"/>
  <c r="Q501" i="3"/>
  <c r="Q313" i="3"/>
  <c r="Q329" i="3"/>
  <c r="Q337" i="3"/>
  <c r="Q361" i="3"/>
  <c r="Q377" i="3"/>
  <c r="Q385" i="3"/>
  <c r="Q393" i="3"/>
  <c r="Q401" i="3"/>
  <c r="Q417" i="3"/>
  <c r="Q425" i="3"/>
  <c r="Q441" i="3"/>
  <c r="Q449" i="3"/>
  <c r="Q457" i="3"/>
  <c r="Q473" i="3"/>
  <c r="Q481" i="3"/>
  <c r="Q489" i="3"/>
  <c r="Q497" i="3"/>
  <c r="Q305" i="3"/>
  <c r="Q58" i="3"/>
  <c r="Q66" i="3"/>
  <c r="Q74" i="3"/>
  <c r="Q82" i="3"/>
  <c r="Q98" i="3"/>
  <c r="Q106" i="3"/>
  <c r="Q114" i="3"/>
  <c r="Q122" i="3"/>
  <c r="Q130" i="3"/>
  <c r="Q138" i="3"/>
  <c r="Q146" i="3"/>
  <c r="Q154" i="3"/>
  <c r="Q170" i="3"/>
  <c r="Q178" i="3"/>
  <c r="Q194" i="3"/>
  <c r="Q202" i="3"/>
  <c r="Q210" i="3"/>
  <c r="Q226" i="3"/>
  <c r="Q234" i="3"/>
  <c r="Q242" i="3"/>
  <c r="Q250" i="3"/>
  <c r="Q258" i="3"/>
  <c r="Q266" i="3"/>
  <c r="Q274" i="3"/>
  <c r="Q290" i="3"/>
  <c r="Q298" i="3"/>
  <c r="Q306" i="3"/>
  <c r="Q314" i="3"/>
  <c r="Q322" i="3"/>
  <c r="Q330" i="3"/>
  <c r="Q338" i="3"/>
  <c r="Q346" i="3"/>
  <c r="Q362" i="3"/>
  <c r="Q370" i="3"/>
  <c r="Q378" i="3"/>
  <c r="Q386" i="3"/>
  <c r="Q394" i="3"/>
  <c r="Q402" i="3"/>
  <c r="Q410" i="3"/>
  <c r="Q426" i="3"/>
  <c r="Q434" i="3"/>
  <c r="Q450" i="3"/>
  <c r="Q458" i="3"/>
  <c r="Q466" i="3"/>
  <c r="Q474" i="3"/>
  <c r="Q482" i="3"/>
  <c r="Q490" i="3"/>
  <c r="Q498" i="3"/>
  <c r="Q465" i="3"/>
  <c r="Q59" i="3"/>
  <c r="Q83" i="3"/>
  <c r="Q91" i="3"/>
  <c r="Q99" i="3"/>
  <c r="Q107" i="3"/>
  <c r="Q115" i="3"/>
  <c r="Q123" i="3"/>
  <c r="Q131" i="3"/>
  <c r="Q139" i="3"/>
  <c r="Q147" i="3"/>
  <c r="Q155" i="3"/>
  <c r="Q179" i="3"/>
  <c r="Q187" i="3"/>
  <c r="Q195" i="3"/>
  <c r="Q203" i="3"/>
  <c r="Q211" i="3"/>
  <c r="Q219" i="3"/>
  <c r="Q243" i="3"/>
  <c r="Q259" i="3"/>
  <c r="Q267" i="3"/>
  <c r="Q275" i="3"/>
  <c r="Q283" i="3"/>
  <c r="Q291" i="3"/>
  <c r="Q299" i="3"/>
  <c r="Q307" i="3"/>
  <c r="Q323" i="3"/>
  <c r="Q339" i="3"/>
  <c r="Q355" i="3"/>
  <c r="Q363" i="3"/>
  <c r="Q371" i="3"/>
  <c r="Q379" i="3"/>
  <c r="Q387" i="3"/>
  <c r="Q395" i="3"/>
  <c r="Q403" i="3"/>
  <c r="Q411" i="3"/>
  <c r="Q419" i="3"/>
  <c r="Q427" i="3"/>
  <c r="Q435" i="3"/>
  <c r="Q443" i="3"/>
  <c r="Q451" i="3"/>
  <c r="Q459" i="3"/>
  <c r="Q467" i="3"/>
  <c r="Q483" i="3"/>
  <c r="Q491" i="3"/>
  <c r="Q499" i="3"/>
  <c r="Q251" i="3"/>
  <c r="Q321" i="3"/>
  <c r="Q475" i="3"/>
  <c r="T247" i="3"/>
  <c r="Q14" i="3"/>
  <c r="Q22" i="3"/>
  <c r="Q30" i="3"/>
  <c r="Q38" i="3"/>
  <c r="Q39" i="3"/>
  <c r="Q47" i="3"/>
  <c r="U59" i="3"/>
  <c r="T59" i="3"/>
  <c r="S59" i="3"/>
  <c r="R59" i="3"/>
  <c r="U67" i="3"/>
  <c r="T67" i="3"/>
  <c r="S67" i="3"/>
  <c r="R67" i="3"/>
  <c r="U75" i="3"/>
  <c r="T75" i="3"/>
  <c r="S75" i="3"/>
  <c r="R75" i="3"/>
  <c r="U83" i="3"/>
  <c r="T83" i="3"/>
  <c r="S83" i="3"/>
  <c r="R83" i="3"/>
  <c r="U91" i="3"/>
  <c r="T91" i="3"/>
  <c r="S91" i="3"/>
  <c r="R91" i="3"/>
  <c r="U99" i="3"/>
  <c r="T99" i="3"/>
  <c r="S99" i="3"/>
  <c r="R99" i="3"/>
  <c r="U107" i="3"/>
  <c r="T107" i="3"/>
  <c r="S107" i="3"/>
  <c r="R107" i="3"/>
  <c r="U115" i="3"/>
  <c r="T115" i="3"/>
  <c r="S115" i="3"/>
  <c r="R115" i="3"/>
  <c r="U123" i="3"/>
  <c r="T123" i="3"/>
  <c r="S123" i="3"/>
  <c r="R123" i="3"/>
  <c r="U131" i="3"/>
  <c r="T131" i="3"/>
  <c r="S131" i="3"/>
  <c r="R131" i="3"/>
  <c r="U139" i="3"/>
  <c r="T139" i="3"/>
  <c r="S139" i="3"/>
  <c r="R139" i="3"/>
  <c r="U147" i="3"/>
  <c r="T147" i="3"/>
  <c r="S147" i="3"/>
  <c r="R147" i="3"/>
  <c r="U155" i="3"/>
  <c r="T155" i="3"/>
  <c r="S155" i="3"/>
  <c r="R155" i="3"/>
  <c r="U163" i="3"/>
  <c r="T163" i="3"/>
  <c r="S163" i="3"/>
  <c r="R163" i="3"/>
  <c r="U171" i="3"/>
  <c r="T171" i="3"/>
  <c r="S171" i="3"/>
  <c r="R171" i="3"/>
  <c r="U179" i="3"/>
  <c r="T179" i="3"/>
  <c r="S179" i="3"/>
  <c r="R179" i="3"/>
  <c r="U187" i="3"/>
  <c r="T187" i="3"/>
  <c r="S187" i="3"/>
  <c r="R187" i="3"/>
  <c r="U195" i="3"/>
  <c r="T195" i="3"/>
  <c r="S195" i="3"/>
  <c r="R195" i="3"/>
  <c r="U203" i="3"/>
  <c r="T203" i="3"/>
  <c r="S203" i="3"/>
  <c r="R203" i="3"/>
  <c r="U211" i="3"/>
  <c r="T211" i="3"/>
  <c r="S211" i="3"/>
  <c r="R211" i="3"/>
  <c r="U219" i="3"/>
  <c r="T219" i="3"/>
  <c r="S219" i="3"/>
  <c r="R219" i="3"/>
  <c r="U227" i="3"/>
  <c r="T227" i="3"/>
  <c r="S227" i="3"/>
  <c r="R227" i="3"/>
  <c r="U243" i="3"/>
  <c r="T243" i="3"/>
  <c r="S243" i="3"/>
  <c r="R243" i="3"/>
  <c r="U251" i="3"/>
  <c r="T251" i="3"/>
  <c r="S251" i="3"/>
  <c r="R251" i="3"/>
  <c r="U259" i="3"/>
  <c r="T259" i="3"/>
  <c r="S259" i="3"/>
  <c r="R259" i="3"/>
  <c r="U267" i="3"/>
  <c r="T267" i="3"/>
  <c r="R267" i="3"/>
  <c r="S267" i="3"/>
  <c r="U275" i="3"/>
  <c r="T275" i="3"/>
  <c r="S275" i="3"/>
  <c r="R275" i="3"/>
  <c r="U283" i="3"/>
  <c r="T283" i="3"/>
  <c r="S283" i="3"/>
  <c r="R283" i="3"/>
  <c r="U291" i="3"/>
  <c r="T291" i="3"/>
  <c r="R291" i="3"/>
  <c r="S291" i="3"/>
  <c r="U299" i="3"/>
  <c r="T299" i="3"/>
  <c r="S299" i="3"/>
  <c r="R299" i="3"/>
  <c r="U307" i="3"/>
  <c r="T307" i="3"/>
  <c r="S307" i="3"/>
  <c r="R307" i="3"/>
  <c r="U315" i="3"/>
  <c r="T315" i="3"/>
  <c r="S315" i="3"/>
  <c r="R315" i="3"/>
  <c r="U323" i="3"/>
  <c r="T323" i="3"/>
  <c r="R323" i="3"/>
  <c r="S323" i="3"/>
  <c r="T331" i="3"/>
  <c r="U331" i="3"/>
  <c r="S331" i="3"/>
  <c r="R331" i="3"/>
  <c r="T339" i="3"/>
  <c r="U339" i="3"/>
  <c r="S339" i="3"/>
  <c r="R339" i="3"/>
  <c r="T347" i="3"/>
  <c r="U347" i="3"/>
  <c r="R347" i="3"/>
  <c r="S347" i="3"/>
  <c r="T355" i="3"/>
  <c r="U355" i="3"/>
  <c r="S355" i="3"/>
  <c r="R355" i="3"/>
  <c r="T363" i="3"/>
  <c r="U363" i="3"/>
  <c r="R363" i="3"/>
  <c r="S363" i="3"/>
  <c r="T371" i="3"/>
  <c r="U371" i="3"/>
  <c r="S371" i="3"/>
  <c r="R371" i="3"/>
  <c r="T379" i="3"/>
  <c r="U379" i="3"/>
  <c r="S379" i="3"/>
  <c r="R379" i="3"/>
  <c r="T387" i="3"/>
  <c r="U387" i="3"/>
  <c r="S387" i="3"/>
  <c r="R387" i="3"/>
  <c r="T395" i="3"/>
  <c r="U395" i="3"/>
  <c r="R395" i="3"/>
  <c r="S395" i="3"/>
  <c r="T403" i="3"/>
  <c r="U403" i="3"/>
  <c r="S403" i="3"/>
  <c r="R403" i="3"/>
  <c r="T411" i="3"/>
  <c r="U411" i="3"/>
  <c r="S411" i="3"/>
  <c r="R411" i="3"/>
  <c r="T419" i="3"/>
  <c r="U419" i="3"/>
  <c r="S419" i="3"/>
  <c r="R419" i="3"/>
  <c r="T427" i="3"/>
  <c r="U427" i="3"/>
  <c r="S427" i="3"/>
  <c r="R427" i="3"/>
  <c r="T435" i="3"/>
  <c r="U435" i="3"/>
  <c r="S435" i="3"/>
  <c r="R435" i="3"/>
  <c r="T443" i="3"/>
  <c r="U443" i="3"/>
  <c r="S443" i="3"/>
  <c r="R443" i="3"/>
  <c r="T451" i="3"/>
  <c r="U451" i="3"/>
  <c r="S451" i="3"/>
  <c r="R451" i="3"/>
  <c r="T459" i="3"/>
  <c r="U459" i="3"/>
  <c r="S459" i="3"/>
  <c r="R459" i="3"/>
  <c r="T467" i="3"/>
  <c r="U467" i="3"/>
  <c r="S467" i="3"/>
  <c r="R467" i="3"/>
  <c r="T475" i="3"/>
  <c r="U475" i="3"/>
  <c r="S475" i="3"/>
  <c r="R475" i="3"/>
  <c r="T483" i="3"/>
  <c r="U483" i="3"/>
  <c r="S483" i="3"/>
  <c r="R483" i="3"/>
  <c r="T491" i="3"/>
  <c r="U491" i="3"/>
  <c r="S491" i="3"/>
  <c r="R491" i="3"/>
  <c r="T499" i="3"/>
  <c r="U499" i="3"/>
  <c r="S499" i="3"/>
  <c r="R499" i="3"/>
  <c r="U66" i="3"/>
  <c r="T66" i="3"/>
  <c r="S66" i="3"/>
  <c r="R66" i="3"/>
  <c r="U74" i="3"/>
  <c r="T74" i="3"/>
  <c r="R74" i="3"/>
  <c r="S74" i="3"/>
  <c r="U82" i="3"/>
  <c r="T82" i="3"/>
  <c r="R82" i="3"/>
  <c r="S82" i="3"/>
  <c r="U90" i="3"/>
  <c r="T90" i="3"/>
  <c r="S90" i="3"/>
  <c r="R90" i="3"/>
  <c r="U98" i="3"/>
  <c r="T98" i="3"/>
  <c r="R98" i="3"/>
  <c r="S98" i="3"/>
  <c r="U106" i="3"/>
  <c r="T106" i="3"/>
  <c r="S106" i="3"/>
  <c r="R106" i="3"/>
  <c r="U114" i="3"/>
  <c r="T114" i="3"/>
  <c r="R114" i="3"/>
  <c r="S114" i="3"/>
  <c r="U122" i="3"/>
  <c r="T122" i="3"/>
  <c r="R122" i="3"/>
  <c r="S122" i="3"/>
  <c r="U130" i="3"/>
  <c r="T130" i="3"/>
  <c r="S130" i="3"/>
  <c r="R130" i="3"/>
  <c r="U138" i="3"/>
  <c r="T138" i="3"/>
  <c r="R138" i="3"/>
  <c r="S138" i="3"/>
  <c r="U146" i="3"/>
  <c r="T146" i="3"/>
  <c r="R146" i="3"/>
  <c r="S146" i="3"/>
  <c r="U154" i="3"/>
  <c r="T154" i="3"/>
  <c r="S154" i="3"/>
  <c r="R154" i="3"/>
  <c r="U162" i="3"/>
  <c r="T162" i="3"/>
  <c r="R162" i="3"/>
  <c r="S162" i="3"/>
  <c r="U170" i="3"/>
  <c r="T170" i="3"/>
  <c r="S170" i="3"/>
  <c r="R170" i="3"/>
  <c r="U178" i="3"/>
  <c r="T178" i="3"/>
  <c r="R178" i="3"/>
  <c r="S178" i="3"/>
  <c r="U186" i="3"/>
  <c r="T186" i="3"/>
  <c r="R186" i="3"/>
  <c r="S186" i="3"/>
  <c r="U194" i="3"/>
  <c r="T194" i="3"/>
  <c r="S194" i="3"/>
  <c r="R194" i="3"/>
  <c r="U202" i="3"/>
  <c r="T202" i="3"/>
  <c r="R202" i="3"/>
  <c r="S202" i="3"/>
  <c r="U210" i="3"/>
  <c r="T210" i="3"/>
  <c r="R210" i="3"/>
  <c r="S210" i="3"/>
  <c r="U218" i="3"/>
  <c r="T218" i="3"/>
  <c r="S218" i="3"/>
  <c r="R218" i="3"/>
  <c r="U226" i="3"/>
  <c r="T226" i="3"/>
  <c r="R226" i="3"/>
  <c r="S226" i="3"/>
  <c r="U234" i="3"/>
  <c r="T234" i="3"/>
  <c r="S234" i="3"/>
  <c r="R234" i="3"/>
  <c r="U242" i="3"/>
  <c r="T242" i="3"/>
  <c r="R242" i="3"/>
  <c r="S242" i="3"/>
  <c r="U250" i="3"/>
  <c r="T250" i="3"/>
  <c r="R250" i="3"/>
  <c r="S250" i="3"/>
  <c r="U258" i="3"/>
  <c r="T258" i="3"/>
  <c r="S258" i="3"/>
  <c r="R258" i="3"/>
  <c r="U266" i="3"/>
  <c r="T266" i="3"/>
  <c r="S266" i="3"/>
  <c r="R266" i="3"/>
  <c r="U274" i="3"/>
  <c r="T274" i="3"/>
  <c r="R274" i="3"/>
  <c r="S274" i="3"/>
  <c r="U282" i="3"/>
  <c r="T282" i="3"/>
  <c r="S282" i="3"/>
  <c r="R282" i="3"/>
  <c r="U290" i="3"/>
  <c r="T290" i="3"/>
  <c r="S290" i="3"/>
  <c r="R290" i="3"/>
  <c r="U298" i="3"/>
  <c r="T298" i="3"/>
  <c r="S298" i="3"/>
  <c r="R298" i="3"/>
  <c r="U306" i="3"/>
  <c r="T306" i="3"/>
  <c r="S306" i="3"/>
  <c r="R306" i="3"/>
  <c r="U314" i="3"/>
  <c r="T314" i="3"/>
  <c r="S314" i="3"/>
  <c r="R314" i="3"/>
  <c r="U322" i="3"/>
  <c r="T322" i="3"/>
  <c r="S322" i="3"/>
  <c r="R322" i="3"/>
  <c r="T330" i="3"/>
  <c r="U330" i="3"/>
  <c r="S330" i="3"/>
  <c r="R330" i="3"/>
  <c r="T338" i="3"/>
  <c r="U338" i="3"/>
  <c r="S338" i="3"/>
  <c r="R338" i="3"/>
  <c r="T346" i="3"/>
  <c r="U346" i="3"/>
  <c r="S346" i="3"/>
  <c r="R346" i="3"/>
  <c r="T354" i="3"/>
  <c r="U354" i="3"/>
  <c r="S354" i="3"/>
  <c r="R354" i="3"/>
  <c r="T362" i="3"/>
  <c r="U362" i="3"/>
  <c r="S362" i="3"/>
  <c r="R362" i="3"/>
  <c r="T370" i="3"/>
  <c r="U370" i="3"/>
  <c r="S370" i="3"/>
  <c r="R370" i="3"/>
  <c r="T378" i="3"/>
  <c r="U378" i="3"/>
  <c r="S378" i="3"/>
  <c r="R378" i="3"/>
  <c r="T386" i="3"/>
  <c r="U386" i="3"/>
  <c r="S386" i="3"/>
  <c r="R386" i="3"/>
  <c r="T394" i="3"/>
  <c r="U394" i="3"/>
  <c r="S394" i="3"/>
  <c r="R394" i="3"/>
  <c r="T402" i="3"/>
  <c r="U402" i="3"/>
  <c r="S402" i="3"/>
  <c r="R402" i="3"/>
  <c r="T410" i="3"/>
  <c r="U410" i="3"/>
  <c r="S410" i="3"/>
  <c r="R410" i="3"/>
  <c r="T418" i="3"/>
  <c r="U418" i="3"/>
  <c r="S418" i="3"/>
  <c r="R418" i="3"/>
  <c r="T426" i="3"/>
  <c r="U426" i="3"/>
  <c r="S426" i="3"/>
  <c r="R426" i="3"/>
  <c r="T434" i="3"/>
  <c r="U434" i="3"/>
  <c r="S434" i="3"/>
  <c r="R434" i="3"/>
  <c r="T442" i="3"/>
  <c r="U442" i="3"/>
  <c r="S442" i="3"/>
  <c r="R442" i="3"/>
  <c r="T450" i="3"/>
  <c r="U450" i="3"/>
  <c r="S450" i="3"/>
  <c r="R450" i="3"/>
  <c r="T458" i="3"/>
  <c r="U458" i="3"/>
  <c r="S458" i="3"/>
  <c r="R458" i="3"/>
  <c r="T466" i="3"/>
  <c r="U466" i="3"/>
  <c r="S466" i="3"/>
  <c r="R466" i="3"/>
  <c r="T474" i="3"/>
  <c r="U474" i="3"/>
  <c r="S474" i="3"/>
  <c r="R474" i="3"/>
  <c r="T482" i="3"/>
  <c r="U482" i="3"/>
  <c r="S482" i="3"/>
  <c r="R482" i="3"/>
  <c r="T490" i="3"/>
  <c r="U490" i="3"/>
  <c r="S490" i="3"/>
  <c r="R490" i="3"/>
  <c r="T498" i="3"/>
  <c r="U498" i="3"/>
  <c r="S498" i="3"/>
  <c r="R498" i="3"/>
  <c r="U235" i="3"/>
  <c r="T235" i="3"/>
  <c r="S235" i="3"/>
  <c r="R235" i="3"/>
  <c r="U60" i="3"/>
  <c r="T60" i="3"/>
  <c r="S60" i="3"/>
  <c r="R60" i="3"/>
  <c r="U68" i="3"/>
  <c r="T68" i="3"/>
  <c r="S68" i="3"/>
  <c r="R68" i="3"/>
  <c r="U76" i="3"/>
  <c r="T76" i="3"/>
  <c r="S76" i="3"/>
  <c r="R76" i="3"/>
  <c r="U84" i="3"/>
  <c r="T84" i="3"/>
  <c r="S84" i="3"/>
  <c r="R84" i="3"/>
  <c r="U92" i="3"/>
  <c r="T92" i="3"/>
  <c r="S92" i="3"/>
  <c r="R92" i="3"/>
  <c r="U100" i="3"/>
  <c r="T100" i="3"/>
  <c r="S100" i="3"/>
  <c r="R100" i="3"/>
  <c r="U108" i="3"/>
  <c r="T108" i="3"/>
  <c r="S108" i="3"/>
  <c r="R108" i="3"/>
  <c r="U116" i="3"/>
  <c r="T116" i="3"/>
  <c r="S116" i="3"/>
  <c r="R116" i="3"/>
  <c r="U124" i="3"/>
  <c r="T124" i="3"/>
  <c r="S124" i="3"/>
  <c r="R124" i="3"/>
  <c r="U132" i="3"/>
  <c r="T132" i="3"/>
  <c r="S132" i="3"/>
  <c r="R132" i="3"/>
  <c r="U140" i="3"/>
  <c r="T140" i="3"/>
  <c r="S140" i="3"/>
  <c r="R140" i="3"/>
  <c r="U148" i="3"/>
  <c r="T148" i="3"/>
  <c r="S148" i="3"/>
  <c r="R148" i="3"/>
  <c r="U156" i="3"/>
  <c r="T156" i="3"/>
  <c r="S156" i="3"/>
  <c r="R156" i="3"/>
  <c r="U164" i="3"/>
  <c r="T164" i="3"/>
  <c r="S164" i="3"/>
  <c r="R164" i="3"/>
  <c r="U172" i="3"/>
  <c r="T172" i="3"/>
  <c r="S172" i="3"/>
  <c r="R172" i="3"/>
  <c r="U180" i="3"/>
  <c r="T180" i="3"/>
  <c r="S180" i="3"/>
  <c r="R180" i="3"/>
  <c r="U188" i="3"/>
  <c r="T188" i="3"/>
  <c r="S188" i="3"/>
  <c r="R188" i="3"/>
  <c r="U196" i="3"/>
  <c r="T196" i="3"/>
  <c r="S196" i="3"/>
  <c r="R196" i="3"/>
  <c r="U204" i="3"/>
  <c r="T204" i="3"/>
  <c r="S204" i="3"/>
  <c r="R204" i="3"/>
  <c r="U212" i="3"/>
  <c r="T212" i="3"/>
  <c r="S212" i="3"/>
  <c r="R212" i="3"/>
  <c r="U220" i="3"/>
  <c r="T220" i="3"/>
  <c r="S220" i="3"/>
  <c r="R220" i="3"/>
  <c r="U228" i="3"/>
  <c r="T228" i="3"/>
  <c r="S228" i="3"/>
  <c r="R228" i="3"/>
  <c r="U236" i="3"/>
  <c r="T236" i="3"/>
  <c r="S236" i="3"/>
  <c r="R236" i="3"/>
  <c r="U244" i="3"/>
  <c r="T244" i="3"/>
  <c r="S244" i="3"/>
  <c r="R244" i="3"/>
  <c r="U252" i="3"/>
  <c r="T252" i="3"/>
  <c r="S252" i="3"/>
  <c r="R252" i="3"/>
  <c r="U260" i="3"/>
  <c r="T260" i="3"/>
  <c r="S260" i="3"/>
  <c r="R260" i="3"/>
  <c r="U268" i="3"/>
  <c r="T268" i="3"/>
  <c r="S268" i="3"/>
  <c r="R268" i="3"/>
  <c r="U276" i="3"/>
  <c r="T276" i="3"/>
  <c r="R276" i="3"/>
  <c r="S276" i="3"/>
  <c r="U284" i="3"/>
  <c r="T284" i="3"/>
  <c r="S284" i="3"/>
  <c r="R284" i="3"/>
  <c r="U292" i="3"/>
  <c r="T292" i="3"/>
  <c r="R292" i="3"/>
  <c r="S292" i="3"/>
  <c r="U300" i="3"/>
  <c r="T300" i="3"/>
  <c r="R300" i="3"/>
  <c r="S300" i="3"/>
  <c r="U308" i="3"/>
  <c r="T308" i="3"/>
  <c r="S308" i="3"/>
  <c r="R308" i="3"/>
  <c r="U316" i="3"/>
  <c r="T316" i="3"/>
  <c r="S316" i="3"/>
  <c r="R316" i="3"/>
  <c r="U324" i="3"/>
  <c r="T324" i="3"/>
  <c r="S324" i="3"/>
  <c r="R324" i="3"/>
  <c r="U332" i="3"/>
  <c r="S332" i="3"/>
  <c r="T332" i="3"/>
  <c r="R332" i="3"/>
  <c r="U340" i="3"/>
  <c r="S340" i="3"/>
  <c r="T340" i="3"/>
  <c r="R340" i="3"/>
  <c r="U348" i="3"/>
  <c r="T348" i="3"/>
  <c r="S348" i="3"/>
  <c r="R348" i="3"/>
  <c r="U356" i="3"/>
  <c r="S356" i="3"/>
  <c r="T356" i="3"/>
  <c r="R356" i="3"/>
  <c r="U364" i="3"/>
  <c r="S364" i="3"/>
  <c r="T364" i="3"/>
  <c r="R364" i="3"/>
  <c r="U372" i="3"/>
  <c r="T372" i="3"/>
  <c r="S372" i="3"/>
  <c r="R372" i="3"/>
  <c r="U380" i="3"/>
  <c r="S380" i="3"/>
  <c r="T380" i="3"/>
  <c r="R380" i="3"/>
  <c r="U388" i="3"/>
  <c r="T388" i="3"/>
  <c r="S388" i="3"/>
  <c r="R388" i="3"/>
  <c r="U396" i="3"/>
  <c r="S396" i="3"/>
  <c r="T396" i="3"/>
  <c r="R396" i="3"/>
  <c r="U404" i="3"/>
  <c r="S404" i="3"/>
  <c r="T404" i="3"/>
  <c r="R404" i="3"/>
  <c r="U412" i="3"/>
  <c r="T412" i="3"/>
  <c r="S412" i="3"/>
  <c r="R412" i="3"/>
  <c r="U420" i="3"/>
  <c r="S420" i="3"/>
  <c r="T420" i="3"/>
  <c r="R420" i="3"/>
  <c r="U428" i="3"/>
  <c r="T428" i="3"/>
  <c r="S428" i="3"/>
  <c r="R428" i="3"/>
  <c r="U436" i="3"/>
  <c r="S436" i="3"/>
  <c r="T436" i="3"/>
  <c r="R436" i="3"/>
  <c r="U444" i="3"/>
  <c r="T444" i="3"/>
  <c r="S444" i="3"/>
  <c r="R444" i="3"/>
  <c r="U452" i="3"/>
  <c r="S452" i="3"/>
  <c r="R452" i="3"/>
  <c r="T452" i="3"/>
  <c r="U460" i="3"/>
  <c r="S460" i="3"/>
  <c r="T460" i="3"/>
  <c r="R460" i="3"/>
  <c r="U468" i="3"/>
  <c r="T468" i="3"/>
  <c r="S468" i="3"/>
  <c r="R468" i="3"/>
  <c r="U476" i="3"/>
  <c r="S476" i="3"/>
  <c r="T476" i="3"/>
  <c r="R476" i="3"/>
  <c r="U484" i="3"/>
  <c r="S484" i="3"/>
  <c r="R484" i="3"/>
  <c r="T484" i="3"/>
  <c r="U492" i="3"/>
  <c r="S492" i="3"/>
  <c r="T492" i="3"/>
  <c r="R492" i="3"/>
  <c r="U500" i="3"/>
  <c r="T500" i="3"/>
  <c r="S500" i="3"/>
  <c r="R500" i="3"/>
  <c r="Q29" i="3"/>
  <c r="Q45" i="3"/>
  <c r="U54" i="3"/>
  <c r="S54" i="3"/>
  <c r="T54" i="3"/>
  <c r="R54" i="3"/>
  <c r="U62" i="3"/>
  <c r="S62" i="3"/>
  <c r="T62" i="3"/>
  <c r="R62" i="3"/>
  <c r="U70" i="3"/>
  <c r="S70" i="3"/>
  <c r="T70" i="3"/>
  <c r="R70" i="3"/>
  <c r="U78" i="3"/>
  <c r="S78" i="3"/>
  <c r="T78" i="3"/>
  <c r="R78" i="3"/>
  <c r="U86" i="3"/>
  <c r="S86" i="3"/>
  <c r="T86" i="3"/>
  <c r="R86" i="3"/>
  <c r="U94" i="3"/>
  <c r="S94" i="3"/>
  <c r="T94" i="3"/>
  <c r="R94" i="3"/>
  <c r="U102" i="3"/>
  <c r="S102" i="3"/>
  <c r="T102" i="3"/>
  <c r="R102" i="3"/>
  <c r="U110" i="3"/>
  <c r="S110" i="3"/>
  <c r="T110" i="3"/>
  <c r="R110" i="3"/>
  <c r="U118" i="3"/>
  <c r="S118" i="3"/>
  <c r="T118" i="3"/>
  <c r="R118" i="3"/>
  <c r="U126" i="3"/>
  <c r="S126" i="3"/>
  <c r="T126" i="3"/>
  <c r="R126" i="3"/>
  <c r="U134" i="3"/>
  <c r="S134" i="3"/>
  <c r="T134" i="3"/>
  <c r="R134" i="3"/>
  <c r="U142" i="3"/>
  <c r="S142" i="3"/>
  <c r="T142" i="3"/>
  <c r="R142" i="3"/>
  <c r="U150" i="3"/>
  <c r="S150" i="3"/>
  <c r="T150" i="3"/>
  <c r="R150" i="3"/>
  <c r="U158" i="3"/>
  <c r="S158" i="3"/>
  <c r="T158" i="3"/>
  <c r="R158" i="3"/>
  <c r="U166" i="3"/>
  <c r="S166" i="3"/>
  <c r="T166" i="3"/>
  <c r="R166" i="3"/>
  <c r="U174" i="3"/>
  <c r="S174" i="3"/>
  <c r="T174" i="3"/>
  <c r="R174" i="3"/>
  <c r="U182" i="3"/>
  <c r="S182" i="3"/>
  <c r="T182" i="3"/>
  <c r="R182" i="3"/>
  <c r="U190" i="3"/>
  <c r="S190" i="3"/>
  <c r="T190" i="3"/>
  <c r="R190" i="3"/>
  <c r="U198" i="3"/>
  <c r="S198" i="3"/>
  <c r="T198" i="3"/>
  <c r="R198" i="3"/>
  <c r="U206" i="3"/>
  <c r="S206" i="3"/>
  <c r="T206" i="3"/>
  <c r="R206" i="3"/>
  <c r="U214" i="3"/>
  <c r="S214" i="3"/>
  <c r="T214" i="3"/>
  <c r="R214" i="3"/>
  <c r="U222" i="3"/>
  <c r="S222" i="3"/>
  <c r="T222" i="3"/>
  <c r="R222" i="3"/>
  <c r="U230" i="3"/>
  <c r="S230" i="3"/>
  <c r="T230" i="3"/>
  <c r="R230" i="3"/>
  <c r="U238" i="3"/>
  <c r="S238" i="3"/>
  <c r="T238" i="3"/>
  <c r="R238" i="3"/>
  <c r="U246" i="3"/>
  <c r="S246" i="3"/>
  <c r="T246" i="3"/>
  <c r="R246" i="3"/>
  <c r="U254" i="3"/>
  <c r="S254" i="3"/>
  <c r="T254" i="3"/>
  <c r="R254" i="3"/>
  <c r="U262" i="3"/>
  <c r="S262" i="3"/>
  <c r="T262" i="3"/>
  <c r="R262" i="3"/>
  <c r="U270" i="3"/>
  <c r="S270" i="3"/>
  <c r="T270" i="3"/>
  <c r="R270" i="3"/>
  <c r="U278" i="3"/>
  <c r="S278" i="3"/>
  <c r="T278" i="3"/>
  <c r="R278" i="3"/>
  <c r="U286" i="3"/>
  <c r="S286" i="3"/>
  <c r="T286" i="3"/>
  <c r="R286" i="3"/>
  <c r="U294" i="3"/>
  <c r="S294" i="3"/>
  <c r="T294" i="3"/>
  <c r="R294" i="3"/>
  <c r="U302" i="3"/>
  <c r="S302" i="3"/>
  <c r="T302" i="3"/>
  <c r="R302" i="3"/>
  <c r="U310" i="3"/>
  <c r="S310" i="3"/>
  <c r="T310" i="3"/>
  <c r="R310" i="3"/>
  <c r="U318" i="3"/>
  <c r="S318" i="3"/>
  <c r="T318" i="3"/>
  <c r="R318" i="3"/>
  <c r="U326" i="3"/>
  <c r="S326" i="3"/>
  <c r="T326" i="3"/>
  <c r="R326" i="3"/>
  <c r="U334" i="3"/>
  <c r="S334" i="3"/>
  <c r="T334" i="3"/>
  <c r="R334" i="3"/>
  <c r="U342" i="3"/>
  <c r="S342" i="3"/>
  <c r="T342" i="3"/>
  <c r="R342" i="3"/>
  <c r="U350" i="3"/>
  <c r="S350" i="3"/>
  <c r="T350" i="3"/>
  <c r="R350" i="3"/>
  <c r="U358" i="3"/>
  <c r="S358" i="3"/>
  <c r="T358" i="3"/>
  <c r="R358" i="3"/>
  <c r="U366" i="3"/>
  <c r="S366" i="3"/>
  <c r="T366" i="3"/>
  <c r="R366" i="3"/>
  <c r="U374" i="3"/>
  <c r="T374" i="3"/>
  <c r="S374" i="3"/>
  <c r="R374" i="3"/>
  <c r="U382" i="3"/>
  <c r="S382" i="3"/>
  <c r="T382" i="3"/>
  <c r="R382" i="3"/>
  <c r="U390" i="3"/>
  <c r="S390" i="3"/>
  <c r="T390" i="3"/>
  <c r="R390" i="3"/>
  <c r="U398" i="3"/>
  <c r="S398" i="3"/>
  <c r="T398" i="3"/>
  <c r="R398" i="3"/>
  <c r="U406" i="3"/>
  <c r="T406" i="3"/>
  <c r="S406" i="3"/>
  <c r="R406" i="3"/>
  <c r="U414" i="3"/>
  <c r="T414" i="3"/>
  <c r="S414" i="3"/>
  <c r="R414" i="3"/>
  <c r="U422" i="3"/>
  <c r="T422" i="3"/>
  <c r="S422" i="3"/>
  <c r="R422" i="3"/>
  <c r="U430" i="3"/>
  <c r="T430" i="3"/>
  <c r="S430" i="3"/>
  <c r="R430" i="3"/>
  <c r="U438" i="3"/>
  <c r="T438" i="3"/>
  <c r="S438" i="3"/>
  <c r="R438" i="3"/>
  <c r="U446" i="3"/>
  <c r="T446" i="3"/>
  <c r="S446" i="3"/>
  <c r="R446" i="3"/>
  <c r="U454" i="3"/>
  <c r="T454" i="3"/>
  <c r="S454" i="3"/>
  <c r="R454" i="3"/>
  <c r="U462" i="3"/>
  <c r="T462" i="3"/>
  <c r="S462" i="3"/>
  <c r="R462" i="3"/>
  <c r="U470" i="3"/>
  <c r="T470" i="3"/>
  <c r="S470" i="3"/>
  <c r="R470" i="3"/>
  <c r="U478" i="3"/>
  <c r="T478" i="3"/>
  <c r="S478" i="3"/>
  <c r="R478" i="3"/>
  <c r="U486" i="3"/>
  <c r="T486" i="3"/>
  <c r="S486" i="3"/>
  <c r="R486" i="3"/>
  <c r="U494" i="3"/>
  <c r="T494" i="3"/>
  <c r="S494" i="3"/>
  <c r="R494" i="3"/>
  <c r="U502" i="3"/>
  <c r="T502" i="3"/>
  <c r="S502" i="3"/>
  <c r="R502" i="3"/>
  <c r="Q19" i="3"/>
  <c r="R38" i="3"/>
  <c r="U61" i="3"/>
  <c r="S61" i="3"/>
  <c r="T61" i="3"/>
  <c r="R61" i="3"/>
  <c r="U85" i="3"/>
  <c r="T85" i="3"/>
  <c r="S85" i="3"/>
  <c r="R85" i="3"/>
  <c r="U117" i="3"/>
  <c r="T117" i="3"/>
  <c r="S117" i="3"/>
  <c r="R117" i="3"/>
  <c r="U141" i="3"/>
  <c r="T141" i="3"/>
  <c r="S141" i="3"/>
  <c r="R141" i="3"/>
  <c r="U165" i="3"/>
  <c r="T165" i="3"/>
  <c r="S165" i="3"/>
  <c r="R165" i="3"/>
  <c r="U189" i="3"/>
  <c r="T189" i="3"/>
  <c r="S189" i="3"/>
  <c r="R189" i="3"/>
  <c r="U221" i="3"/>
  <c r="T221" i="3"/>
  <c r="S221" i="3"/>
  <c r="R221" i="3"/>
  <c r="U245" i="3"/>
  <c r="T245" i="3"/>
  <c r="S245" i="3"/>
  <c r="R245" i="3"/>
  <c r="U269" i="3"/>
  <c r="T269" i="3"/>
  <c r="S269" i="3"/>
  <c r="R269" i="3"/>
  <c r="U293" i="3"/>
  <c r="T293" i="3"/>
  <c r="S293" i="3"/>
  <c r="R293" i="3"/>
  <c r="U317" i="3"/>
  <c r="S317" i="3"/>
  <c r="T317" i="3"/>
  <c r="R317" i="3"/>
  <c r="U341" i="3"/>
  <c r="S341" i="3"/>
  <c r="T341" i="3"/>
  <c r="R341" i="3"/>
  <c r="U373" i="3"/>
  <c r="T373" i="3"/>
  <c r="S373" i="3"/>
  <c r="R373" i="3"/>
  <c r="U397" i="3"/>
  <c r="S397" i="3"/>
  <c r="T397" i="3"/>
  <c r="R397" i="3"/>
  <c r="U421" i="3"/>
  <c r="S421" i="3"/>
  <c r="T421" i="3"/>
  <c r="R421" i="3"/>
  <c r="U445" i="3"/>
  <c r="T445" i="3"/>
  <c r="S445" i="3"/>
  <c r="R445" i="3"/>
  <c r="U485" i="3"/>
  <c r="S485" i="3"/>
  <c r="T485" i="3"/>
  <c r="R485" i="3"/>
  <c r="U55" i="3"/>
  <c r="T55" i="3"/>
  <c r="R55" i="3"/>
  <c r="S55" i="3"/>
  <c r="U63" i="3"/>
  <c r="T63" i="3"/>
  <c r="S63" i="3"/>
  <c r="R63" i="3"/>
  <c r="U71" i="3"/>
  <c r="T71" i="3"/>
  <c r="S71" i="3"/>
  <c r="R71" i="3"/>
  <c r="U79" i="3"/>
  <c r="S79" i="3"/>
  <c r="R79" i="3"/>
  <c r="T79" i="3"/>
  <c r="U87" i="3"/>
  <c r="S87" i="3"/>
  <c r="R87" i="3"/>
  <c r="T87" i="3"/>
  <c r="U95" i="3"/>
  <c r="T95" i="3"/>
  <c r="R95" i="3"/>
  <c r="S95" i="3"/>
  <c r="U103" i="3"/>
  <c r="T103" i="3"/>
  <c r="R103" i="3"/>
  <c r="S103" i="3"/>
  <c r="U111" i="3"/>
  <c r="S111" i="3"/>
  <c r="R111" i="3"/>
  <c r="T111" i="3"/>
  <c r="U119" i="3"/>
  <c r="T119" i="3"/>
  <c r="R119" i="3"/>
  <c r="S119" i="3"/>
  <c r="T127" i="3"/>
  <c r="S127" i="3"/>
  <c r="R127" i="3"/>
  <c r="U127" i="3"/>
  <c r="U135" i="3"/>
  <c r="T135" i="3"/>
  <c r="S135" i="3"/>
  <c r="R135" i="3"/>
  <c r="U143" i="3"/>
  <c r="T143" i="3"/>
  <c r="S143" i="3"/>
  <c r="R143" i="3"/>
  <c r="U151" i="3"/>
  <c r="T151" i="3"/>
  <c r="S151" i="3"/>
  <c r="R151" i="3"/>
  <c r="T159" i="3"/>
  <c r="R159" i="3"/>
  <c r="U159" i="3"/>
  <c r="S159" i="3"/>
  <c r="U167" i="3"/>
  <c r="T167" i="3"/>
  <c r="R167" i="3"/>
  <c r="S167" i="3"/>
  <c r="U175" i="3"/>
  <c r="S175" i="3"/>
  <c r="R175" i="3"/>
  <c r="T175" i="3"/>
  <c r="U183" i="3"/>
  <c r="T183" i="3"/>
  <c r="R183" i="3"/>
  <c r="S183" i="3"/>
  <c r="U191" i="3"/>
  <c r="T191" i="3"/>
  <c r="S191" i="3"/>
  <c r="R191" i="3"/>
  <c r="U199" i="3"/>
  <c r="T199" i="3"/>
  <c r="S199" i="3"/>
  <c r="R199" i="3"/>
  <c r="U207" i="3"/>
  <c r="T207" i="3"/>
  <c r="S207" i="3"/>
  <c r="R207" i="3"/>
  <c r="U215" i="3"/>
  <c r="T215" i="3"/>
  <c r="S215" i="3"/>
  <c r="R215" i="3"/>
  <c r="U223" i="3"/>
  <c r="T223" i="3"/>
  <c r="R223" i="3"/>
  <c r="S223" i="3"/>
  <c r="U231" i="3"/>
  <c r="T231" i="3"/>
  <c r="R231" i="3"/>
  <c r="S231" i="3"/>
  <c r="U239" i="3"/>
  <c r="T239" i="3"/>
  <c r="S239" i="3"/>
  <c r="R239" i="3"/>
  <c r="U247" i="3"/>
  <c r="R247" i="3"/>
  <c r="S247" i="3"/>
  <c r="T255" i="3"/>
  <c r="S255" i="3"/>
  <c r="R255" i="3"/>
  <c r="U255" i="3"/>
  <c r="U263" i="3"/>
  <c r="T263" i="3"/>
  <c r="S263" i="3"/>
  <c r="R263" i="3"/>
  <c r="U271" i="3"/>
  <c r="S271" i="3"/>
  <c r="T271" i="3"/>
  <c r="R271" i="3"/>
  <c r="U279" i="3"/>
  <c r="S279" i="3"/>
  <c r="R279" i="3"/>
  <c r="T279" i="3"/>
  <c r="T287" i="3"/>
  <c r="S287" i="3"/>
  <c r="U287" i="3"/>
  <c r="R287" i="3"/>
  <c r="U295" i="3"/>
  <c r="T295" i="3"/>
  <c r="S295" i="3"/>
  <c r="R295" i="3"/>
  <c r="U303" i="3"/>
  <c r="S303" i="3"/>
  <c r="T303" i="3"/>
  <c r="R303" i="3"/>
  <c r="U311" i="3"/>
  <c r="S311" i="3"/>
  <c r="T311" i="3"/>
  <c r="R311" i="3"/>
  <c r="S319" i="3"/>
  <c r="U319" i="3"/>
  <c r="T319" i="3"/>
  <c r="R319" i="3"/>
  <c r="U327" i="3"/>
  <c r="T327" i="3"/>
  <c r="S327" i="3"/>
  <c r="R327" i="3"/>
  <c r="T335" i="3"/>
  <c r="U335" i="3"/>
  <c r="S335" i="3"/>
  <c r="R335" i="3"/>
  <c r="T343" i="3"/>
  <c r="U343" i="3"/>
  <c r="S343" i="3"/>
  <c r="R343" i="3"/>
  <c r="U351" i="3"/>
  <c r="T351" i="3"/>
  <c r="S351" i="3"/>
  <c r="R351" i="3"/>
  <c r="T359" i="3"/>
  <c r="U359" i="3"/>
  <c r="S359" i="3"/>
  <c r="R359" i="3"/>
  <c r="U367" i="3"/>
  <c r="T367" i="3"/>
  <c r="S367" i="3"/>
  <c r="R367" i="3"/>
  <c r="U375" i="3"/>
  <c r="T375" i="3"/>
  <c r="S375" i="3"/>
  <c r="R375" i="3"/>
  <c r="T383" i="3"/>
  <c r="S383" i="3"/>
  <c r="U383" i="3"/>
  <c r="R383" i="3"/>
  <c r="U391" i="3"/>
  <c r="S391" i="3"/>
  <c r="R391" i="3"/>
  <c r="T391" i="3"/>
  <c r="T399" i="3"/>
  <c r="U399" i="3"/>
  <c r="R399" i="3"/>
  <c r="S399" i="3"/>
  <c r="T407" i="3"/>
  <c r="U407" i="3"/>
  <c r="S407" i="3"/>
  <c r="R407" i="3"/>
  <c r="T415" i="3"/>
  <c r="R415" i="3"/>
  <c r="U415" i="3"/>
  <c r="S415" i="3"/>
  <c r="U423" i="3"/>
  <c r="T423" i="3"/>
  <c r="R423" i="3"/>
  <c r="S423" i="3"/>
  <c r="T431" i="3"/>
  <c r="U431" i="3"/>
  <c r="S431" i="3"/>
  <c r="R431" i="3"/>
  <c r="T439" i="3"/>
  <c r="U439" i="3"/>
  <c r="R439" i="3"/>
  <c r="S439" i="3"/>
  <c r="T447" i="3"/>
  <c r="U447" i="3"/>
  <c r="R447" i="3"/>
  <c r="S447" i="3"/>
  <c r="U455" i="3"/>
  <c r="T455" i="3"/>
  <c r="S455" i="3"/>
  <c r="R455" i="3"/>
  <c r="T463" i="3"/>
  <c r="U463" i="3"/>
  <c r="R463" i="3"/>
  <c r="S463" i="3"/>
  <c r="T471" i="3"/>
  <c r="U471" i="3"/>
  <c r="S471" i="3"/>
  <c r="R471" i="3"/>
  <c r="T479" i="3"/>
  <c r="U479" i="3"/>
  <c r="R479" i="3"/>
  <c r="S479" i="3"/>
  <c r="T487" i="3"/>
  <c r="U487" i="3"/>
  <c r="R487" i="3"/>
  <c r="S487" i="3"/>
  <c r="T495" i="3"/>
  <c r="U495" i="3"/>
  <c r="S495" i="3"/>
  <c r="R495" i="3"/>
  <c r="Q26" i="3"/>
  <c r="T39" i="3"/>
  <c r="U58" i="3"/>
  <c r="T58" i="3"/>
  <c r="R58" i="3"/>
  <c r="S58" i="3"/>
  <c r="U77" i="3"/>
  <c r="T77" i="3"/>
  <c r="S77" i="3"/>
  <c r="R77" i="3"/>
  <c r="U101" i="3"/>
  <c r="T101" i="3"/>
  <c r="S101" i="3"/>
  <c r="R101" i="3"/>
  <c r="U125" i="3"/>
  <c r="T125" i="3"/>
  <c r="S125" i="3"/>
  <c r="R125" i="3"/>
  <c r="U157" i="3"/>
  <c r="T157" i="3"/>
  <c r="S157" i="3"/>
  <c r="R157" i="3"/>
  <c r="U181" i="3"/>
  <c r="T181" i="3"/>
  <c r="S181" i="3"/>
  <c r="R181" i="3"/>
  <c r="U205" i="3"/>
  <c r="T205" i="3"/>
  <c r="S205" i="3"/>
  <c r="R205" i="3"/>
  <c r="U229" i="3"/>
  <c r="T229" i="3"/>
  <c r="S229" i="3"/>
  <c r="R229" i="3"/>
  <c r="U253" i="3"/>
  <c r="T253" i="3"/>
  <c r="S253" i="3"/>
  <c r="R253" i="3"/>
  <c r="U277" i="3"/>
  <c r="T277" i="3"/>
  <c r="S277" i="3"/>
  <c r="R277" i="3"/>
  <c r="U301" i="3"/>
  <c r="T301" i="3"/>
  <c r="S301" i="3"/>
  <c r="R301" i="3"/>
  <c r="U325" i="3"/>
  <c r="S325" i="3"/>
  <c r="T325" i="3"/>
  <c r="R325" i="3"/>
  <c r="U357" i="3"/>
  <c r="S357" i="3"/>
  <c r="T357" i="3"/>
  <c r="R357" i="3"/>
  <c r="U381" i="3"/>
  <c r="S381" i="3"/>
  <c r="T381" i="3"/>
  <c r="R381" i="3"/>
  <c r="U405" i="3"/>
  <c r="S405" i="3"/>
  <c r="T405" i="3"/>
  <c r="R405" i="3"/>
  <c r="U429" i="3"/>
  <c r="T429" i="3"/>
  <c r="S429" i="3"/>
  <c r="R429" i="3"/>
  <c r="U453" i="3"/>
  <c r="S453" i="3"/>
  <c r="T453" i="3"/>
  <c r="R453" i="3"/>
  <c r="U469" i="3"/>
  <c r="T469" i="3"/>
  <c r="S469" i="3"/>
  <c r="R469" i="3"/>
  <c r="U501" i="3"/>
  <c r="T501" i="3"/>
  <c r="S501" i="3"/>
  <c r="R501" i="3"/>
  <c r="T56" i="3"/>
  <c r="U56" i="3"/>
  <c r="S56" i="3"/>
  <c r="R56" i="3"/>
  <c r="U64" i="3"/>
  <c r="T64" i="3"/>
  <c r="S64" i="3"/>
  <c r="R64" i="3"/>
  <c r="U72" i="3"/>
  <c r="T72" i="3"/>
  <c r="R72" i="3"/>
  <c r="S72" i="3"/>
  <c r="U80" i="3"/>
  <c r="T80" i="3"/>
  <c r="S80" i="3"/>
  <c r="R80" i="3"/>
  <c r="T88" i="3"/>
  <c r="U88" i="3"/>
  <c r="S88" i="3"/>
  <c r="R88" i="3"/>
  <c r="U96" i="3"/>
  <c r="T96" i="3"/>
  <c r="S96" i="3"/>
  <c r="R96" i="3"/>
  <c r="U104" i="3"/>
  <c r="T104" i="3"/>
  <c r="S104" i="3"/>
  <c r="R104" i="3"/>
  <c r="U112" i="3"/>
  <c r="T112" i="3"/>
  <c r="S112" i="3"/>
  <c r="R112" i="3"/>
  <c r="T120" i="3"/>
  <c r="U120" i="3"/>
  <c r="S120" i="3"/>
  <c r="R120" i="3"/>
  <c r="U128" i="3"/>
  <c r="T128" i="3"/>
  <c r="S128" i="3"/>
  <c r="R128" i="3"/>
  <c r="U136" i="3"/>
  <c r="T136" i="3"/>
  <c r="R136" i="3"/>
  <c r="S136" i="3"/>
  <c r="U144" i="3"/>
  <c r="T144" i="3"/>
  <c r="R144" i="3"/>
  <c r="S144" i="3"/>
  <c r="T152" i="3"/>
  <c r="U152" i="3"/>
  <c r="S152" i="3"/>
  <c r="R152" i="3"/>
  <c r="U160" i="3"/>
  <c r="T160" i="3"/>
  <c r="S160" i="3"/>
  <c r="R160" i="3"/>
  <c r="U168" i="3"/>
  <c r="T168" i="3"/>
  <c r="S168" i="3"/>
  <c r="R168" i="3"/>
  <c r="U176" i="3"/>
  <c r="T176" i="3"/>
  <c r="S176" i="3"/>
  <c r="R176" i="3"/>
  <c r="T184" i="3"/>
  <c r="U184" i="3"/>
  <c r="S184" i="3"/>
  <c r="R184" i="3"/>
  <c r="U192" i="3"/>
  <c r="T192" i="3"/>
  <c r="S192" i="3"/>
  <c r="R192" i="3"/>
  <c r="U200" i="3"/>
  <c r="T200" i="3"/>
  <c r="S200" i="3"/>
  <c r="R200" i="3"/>
  <c r="U208" i="3"/>
  <c r="T208" i="3"/>
  <c r="R208" i="3"/>
  <c r="S208" i="3"/>
  <c r="T216" i="3"/>
  <c r="U216" i="3"/>
  <c r="S216" i="3"/>
  <c r="R216" i="3"/>
  <c r="U224" i="3"/>
  <c r="T224" i="3"/>
  <c r="S224" i="3"/>
  <c r="R224" i="3"/>
  <c r="U232" i="3"/>
  <c r="T232" i="3"/>
  <c r="S232" i="3"/>
  <c r="R232" i="3"/>
  <c r="U240" i="3"/>
  <c r="T240" i="3"/>
  <c r="S240" i="3"/>
  <c r="R240" i="3"/>
  <c r="T248" i="3"/>
  <c r="U248" i="3"/>
  <c r="S248" i="3"/>
  <c r="R248" i="3"/>
  <c r="U256" i="3"/>
  <c r="T256" i="3"/>
  <c r="S256" i="3"/>
  <c r="R256" i="3"/>
  <c r="U264" i="3"/>
  <c r="T264" i="3"/>
  <c r="S264" i="3"/>
  <c r="R264" i="3"/>
  <c r="U272" i="3"/>
  <c r="T272" i="3"/>
  <c r="S272" i="3"/>
  <c r="R272" i="3"/>
  <c r="T280" i="3"/>
  <c r="S280" i="3"/>
  <c r="U280" i="3"/>
  <c r="R280" i="3"/>
  <c r="U288" i="3"/>
  <c r="T288" i="3"/>
  <c r="S288" i="3"/>
  <c r="R288" i="3"/>
  <c r="U296" i="3"/>
  <c r="T296" i="3"/>
  <c r="S296" i="3"/>
  <c r="R296" i="3"/>
  <c r="U304" i="3"/>
  <c r="T304" i="3"/>
  <c r="S304" i="3"/>
  <c r="R304" i="3"/>
  <c r="T312" i="3"/>
  <c r="U312" i="3"/>
  <c r="S312" i="3"/>
  <c r="R312" i="3"/>
  <c r="U320" i="3"/>
  <c r="T320" i="3"/>
  <c r="S320" i="3"/>
  <c r="R320" i="3"/>
  <c r="U328" i="3"/>
  <c r="T328" i="3"/>
  <c r="R328" i="3"/>
  <c r="S328" i="3"/>
  <c r="U336" i="3"/>
  <c r="T336" i="3"/>
  <c r="R336" i="3"/>
  <c r="S336" i="3"/>
  <c r="T344" i="3"/>
  <c r="S344" i="3"/>
  <c r="U344" i="3"/>
  <c r="R344" i="3"/>
  <c r="U352" i="3"/>
  <c r="R352" i="3"/>
  <c r="T352" i="3"/>
  <c r="S352" i="3"/>
  <c r="T360" i="3"/>
  <c r="U360" i="3"/>
  <c r="S360" i="3"/>
  <c r="R360" i="3"/>
  <c r="U368" i="3"/>
  <c r="T368" i="3"/>
  <c r="R368" i="3"/>
  <c r="S368" i="3"/>
  <c r="S376" i="3"/>
  <c r="T376" i="3"/>
  <c r="R376" i="3"/>
  <c r="U376" i="3"/>
  <c r="T384" i="3"/>
  <c r="U384" i="3"/>
  <c r="R384" i="3"/>
  <c r="S384" i="3"/>
  <c r="U392" i="3"/>
  <c r="T392" i="3"/>
  <c r="S392" i="3"/>
  <c r="R392" i="3"/>
  <c r="U400" i="3"/>
  <c r="T400" i="3"/>
  <c r="R400" i="3"/>
  <c r="S400" i="3"/>
  <c r="T408" i="3"/>
  <c r="S408" i="3"/>
  <c r="R408" i="3"/>
  <c r="U408" i="3"/>
  <c r="U416" i="3"/>
  <c r="T416" i="3"/>
  <c r="R416" i="3"/>
  <c r="S416" i="3"/>
  <c r="U424" i="3"/>
  <c r="T424" i="3"/>
  <c r="R424" i="3"/>
  <c r="S424" i="3"/>
  <c r="U432" i="3"/>
  <c r="T432" i="3"/>
  <c r="S432" i="3"/>
  <c r="R432" i="3"/>
  <c r="T440" i="3"/>
  <c r="R440" i="3"/>
  <c r="U440" i="3"/>
  <c r="S440" i="3"/>
  <c r="U448" i="3"/>
  <c r="T448" i="3"/>
  <c r="R448" i="3"/>
  <c r="S448" i="3"/>
  <c r="T456" i="3"/>
  <c r="U456" i="3"/>
  <c r="R456" i="3"/>
  <c r="S456" i="3"/>
  <c r="T464" i="3"/>
  <c r="U464" i="3"/>
  <c r="R464" i="3"/>
  <c r="S464" i="3"/>
  <c r="T472" i="3"/>
  <c r="U472" i="3"/>
  <c r="S472" i="3"/>
  <c r="R472" i="3"/>
  <c r="T480" i="3"/>
  <c r="U480" i="3"/>
  <c r="R480" i="3"/>
  <c r="S480" i="3"/>
  <c r="T488" i="3"/>
  <c r="U488" i="3"/>
  <c r="R488" i="3"/>
  <c r="S488" i="3"/>
  <c r="T496" i="3"/>
  <c r="U496" i="3"/>
  <c r="S496" i="3"/>
  <c r="R496" i="3"/>
  <c r="U15" i="3"/>
  <c r="T46" i="3"/>
  <c r="R52" i="3"/>
  <c r="U69" i="3"/>
  <c r="S69" i="3"/>
  <c r="T69" i="3"/>
  <c r="R69" i="3"/>
  <c r="U93" i="3"/>
  <c r="T93" i="3"/>
  <c r="S93" i="3"/>
  <c r="R93" i="3"/>
  <c r="U109" i="3"/>
  <c r="T109" i="3"/>
  <c r="S109" i="3"/>
  <c r="R109" i="3"/>
  <c r="U133" i="3"/>
  <c r="T133" i="3"/>
  <c r="S133" i="3"/>
  <c r="R133" i="3"/>
  <c r="U149" i="3"/>
  <c r="T149" i="3"/>
  <c r="S149" i="3"/>
  <c r="R149" i="3"/>
  <c r="U173" i="3"/>
  <c r="T173" i="3"/>
  <c r="S173" i="3"/>
  <c r="R173" i="3"/>
  <c r="U197" i="3"/>
  <c r="T197" i="3"/>
  <c r="S197" i="3"/>
  <c r="R197" i="3"/>
  <c r="U213" i="3"/>
  <c r="T213" i="3"/>
  <c r="S213" i="3"/>
  <c r="R213" i="3"/>
  <c r="U237" i="3"/>
  <c r="T237" i="3"/>
  <c r="S237" i="3"/>
  <c r="R237" i="3"/>
  <c r="U261" i="3"/>
  <c r="T261" i="3"/>
  <c r="S261" i="3"/>
  <c r="R261" i="3"/>
  <c r="U285" i="3"/>
  <c r="T285" i="3"/>
  <c r="S285" i="3"/>
  <c r="R285" i="3"/>
  <c r="U309" i="3"/>
  <c r="T309" i="3"/>
  <c r="R309" i="3"/>
  <c r="S309" i="3"/>
  <c r="U333" i="3"/>
  <c r="S333" i="3"/>
  <c r="T333" i="3"/>
  <c r="R333" i="3"/>
  <c r="U349" i="3"/>
  <c r="T349" i="3"/>
  <c r="S349" i="3"/>
  <c r="R349" i="3"/>
  <c r="U365" i="3"/>
  <c r="S365" i="3"/>
  <c r="T365" i="3"/>
  <c r="R365" i="3"/>
  <c r="U389" i="3"/>
  <c r="S389" i="3"/>
  <c r="T389" i="3"/>
  <c r="R389" i="3"/>
  <c r="U413" i="3"/>
  <c r="T413" i="3"/>
  <c r="S413" i="3"/>
  <c r="R413" i="3"/>
  <c r="U437" i="3"/>
  <c r="S437" i="3"/>
  <c r="T437" i="3"/>
  <c r="R437" i="3"/>
  <c r="U461" i="3"/>
  <c r="S461" i="3"/>
  <c r="T461" i="3"/>
  <c r="R461" i="3"/>
  <c r="U477" i="3"/>
  <c r="S477" i="3"/>
  <c r="T477" i="3"/>
  <c r="R477" i="3"/>
  <c r="U493" i="3"/>
  <c r="S493" i="3"/>
  <c r="T493" i="3"/>
  <c r="R493" i="3"/>
  <c r="U57" i="3"/>
  <c r="T57" i="3"/>
  <c r="S57" i="3"/>
  <c r="R57" i="3"/>
  <c r="U65" i="3"/>
  <c r="T65" i="3"/>
  <c r="S65" i="3"/>
  <c r="R65" i="3"/>
  <c r="U73" i="3"/>
  <c r="T73" i="3"/>
  <c r="S73" i="3"/>
  <c r="R73" i="3"/>
  <c r="U81" i="3"/>
  <c r="T81" i="3"/>
  <c r="S81" i="3"/>
  <c r="R81" i="3"/>
  <c r="U89" i="3"/>
  <c r="T89" i="3"/>
  <c r="S89" i="3"/>
  <c r="R89" i="3"/>
  <c r="U97" i="3"/>
  <c r="T97" i="3"/>
  <c r="S97" i="3"/>
  <c r="R97" i="3"/>
  <c r="U105" i="3"/>
  <c r="T105" i="3"/>
  <c r="S105" i="3"/>
  <c r="R105" i="3"/>
  <c r="U113" i="3"/>
  <c r="T113" i="3"/>
  <c r="S113" i="3"/>
  <c r="R113" i="3"/>
  <c r="U121" i="3"/>
  <c r="T121" i="3"/>
  <c r="S121" i="3"/>
  <c r="R121" i="3"/>
  <c r="U129" i="3"/>
  <c r="T129" i="3"/>
  <c r="S129" i="3"/>
  <c r="R129" i="3"/>
  <c r="U137" i="3"/>
  <c r="T137" i="3"/>
  <c r="S137" i="3"/>
  <c r="R137" i="3"/>
  <c r="U145" i="3"/>
  <c r="T145" i="3"/>
  <c r="S145" i="3"/>
  <c r="R145" i="3"/>
  <c r="U153" i="3"/>
  <c r="T153" i="3"/>
  <c r="S153" i="3"/>
  <c r="R153" i="3"/>
  <c r="U161" i="3"/>
  <c r="T161" i="3"/>
  <c r="S161" i="3"/>
  <c r="R161" i="3"/>
  <c r="U169" i="3"/>
  <c r="T169" i="3"/>
  <c r="S169" i="3"/>
  <c r="R169" i="3"/>
  <c r="U177" i="3"/>
  <c r="T177" i="3"/>
  <c r="S177" i="3"/>
  <c r="R177" i="3"/>
  <c r="U185" i="3"/>
  <c r="T185" i="3"/>
  <c r="S185" i="3"/>
  <c r="R185" i="3"/>
  <c r="U193" i="3"/>
  <c r="T193" i="3"/>
  <c r="S193" i="3"/>
  <c r="R193" i="3"/>
  <c r="U201" i="3"/>
  <c r="T201" i="3"/>
  <c r="S201" i="3"/>
  <c r="R201" i="3"/>
  <c r="U209" i="3"/>
  <c r="T209" i="3"/>
  <c r="S209" i="3"/>
  <c r="R209" i="3"/>
  <c r="U217" i="3"/>
  <c r="T217" i="3"/>
  <c r="S217" i="3"/>
  <c r="R217" i="3"/>
  <c r="U225" i="3"/>
  <c r="T225" i="3"/>
  <c r="S225" i="3"/>
  <c r="R225" i="3"/>
  <c r="U233" i="3"/>
  <c r="T233" i="3"/>
  <c r="S233" i="3"/>
  <c r="R233" i="3"/>
  <c r="U241" i="3"/>
  <c r="T241" i="3"/>
  <c r="S241" i="3"/>
  <c r="R241" i="3"/>
  <c r="U249" i="3"/>
  <c r="T249" i="3"/>
  <c r="S249" i="3"/>
  <c r="R249" i="3"/>
  <c r="U257" i="3"/>
  <c r="T257" i="3"/>
  <c r="S257" i="3"/>
  <c r="R257" i="3"/>
  <c r="U265" i="3"/>
  <c r="T265" i="3"/>
  <c r="R265" i="3"/>
  <c r="S265" i="3"/>
  <c r="U273" i="3"/>
  <c r="T273" i="3"/>
  <c r="R273" i="3"/>
  <c r="S273" i="3"/>
  <c r="U281" i="3"/>
  <c r="T281" i="3"/>
  <c r="S281" i="3"/>
  <c r="R281" i="3"/>
  <c r="U289" i="3"/>
  <c r="T289" i="3"/>
  <c r="S289" i="3"/>
  <c r="R289" i="3"/>
  <c r="U297" i="3"/>
  <c r="T297" i="3"/>
  <c r="S297" i="3"/>
  <c r="R297" i="3"/>
  <c r="U305" i="3"/>
  <c r="T305" i="3"/>
  <c r="R305" i="3"/>
  <c r="S305" i="3"/>
  <c r="U313" i="3"/>
  <c r="T313" i="3"/>
  <c r="R313" i="3"/>
  <c r="S313" i="3"/>
  <c r="U321" i="3"/>
  <c r="T321" i="3"/>
  <c r="R321" i="3"/>
  <c r="S321" i="3"/>
  <c r="T329" i="3"/>
  <c r="U329" i="3"/>
  <c r="R329" i="3"/>
  <c r="S329" i="3"/>
  <c r="T337" i="3"/>
  <c r="U337" i="3"/>
  <c r="R337" i="3"/>
  <c r="S337" i="3"/>
  <c r="T345" i="3"/>
  <c r="U345" i="3"/>
  <c r="R345" i="3"/>
  <c r="S345" i="3"/>
  <c r="T353" i="3"/>
  <c r="U353" i="3"/>
  <c r="R353" i="3"/>
  <c r="S353" i="3"/>
  <c r="T361" i="3"/>
  <c r="U361" i="3"/>
  <c r="R361" i="3"/>
  <c r="S361" i="3"/>
  <c r="T369" i="3"/>
  <c r="U369" i="3"/>
  <c r="R369" i="3"/>
  <c r="S369" i="3"/>
  <c r="T377" i="3"/>
  <c r="U377" i="3"/>
  <c r="R377" i="3"/>
  <c r="S377" i="3"/>
  <c r="T385" i="3"/>
  <c r="U385" i="3"/>
  <c r="R385" i="3"/>
  <c r="S385" i="3"/>
  <c r="T393" i="3"/>
  <c r="U393" i="3"/>
  <c r="R393" i="3"/>
  <c r="S393" i="3"/>
  <c r="T401" i="3"/>
  <c r="U401" i="3"/>
  <c r="R401" i="3"/>
  <c r="S401" i="3"/>
  <c r="T409" i="3"/>
  <c r="U409" i="3"/>
  <c r="S409" i="3"/>
  <c r="R409" i="3"/>
  <c r="T417" i="3"/>
  <c r="U417" i="3"/>
  <c r="R417" i="3"/>
  <c r="S417" i="3"/>
  <c r="T425" i="3"/>
  <c r="U425" i="3"/>
  <c r="R425" i="3"/>
  <c r="S425" i="3"/>
  <c r="T433" i="3"/>
  <c r="U433" i="3"/>
  <c r="R433" i="3"/>
  <c r="S433" i="3"/>
  <c r="T441" i="3"/>
  <c r="U441" i="3"/>
  <c r="R441" i="3"/>
  <c r="S441" i="3"/>
  <c r="T449" i="3"/>
  <c r="U449" i="3"/>
  <c r="R449" i="3"/>
  <c r="S449" i="3"/>
  <c r="T457" i="3"/>
  <c r="U457" i="3"/>
  <c r="R457" i="3"/>
  <c r="S457" i="3"/>
  <c r="T465" i="3"/>
  <c r="U465" i="3"/>
  <c r="R465" i="3"/>
  <c r="S465" i="3"/>
  <c r="T473" i="3"/>
  <c r="U473" i="3"/>
  <c r="S473" i="3"/>
  <c r="R473" i="3"/>
  <c r="T481" i="3"/>
  <c r="U481" i="3"/>
  <c r="R481" i="3"/>
  <c r="S481" i="3"/>
  <c r="T489" i="3"/>
  <c r="U489" i="3"/>
  <c r="R489" i="3"/>
  <c r="S489" i="3"/>
  <c r="T497" i="3"/>
  <c r="U497" i="3"/>
  <c r="R497" i="3"/>
  <c r="S497" i="3"/>
  <c r="U14" i="3"/>
  <c r="S20" i="3"/>
  <c r="S28" i="3"/>
  <c r="T29" i="3"/>
  <c r="R35" i="3"/>
  <c r="S36" i="3"/>
  <c r="S44" i="3"/>
  <c r="T45" i="3"/>
  <c r="U46" i="3"/>
  <c r="S52" i="3"/>
  <c r="U16" i="3"/>
  <c r="U24" i="3"/>
  <c r="R42" i="3"/>
  <c r="U20" i="3"/>
  <c r="T20" i="3"/>
  <c r="U28" i="3"/>
  <c r="U36" i="3"/>
  <c r="T52" i="3"/>
  <c r="U21" i="3"/>
  <c r="U29" i="3"/>
  <c r="T32" i="3"/>
  <c r="S15" i="3"/>
  <c r="S23" i="3"/>
  <c r="T23" i="3"/>
  <c r="U17" i="3"/>
  <c r="R17" i="3"/>
  <c r="R25" i="3"/>
  <c r="U49" i="3"/>
  <c r="R49" i="3"/>
  <c r="S18" i="3"/>
  <c r="R18" i="3"/>
  <c r="S26" i="3"/>
  <c r="U50" i="3"/>
  <c r="R50" i="3"/>
  <c r="S42" i="3"/>
  <c r="S19" i="3"/>
  <c r="S35" i="3"/>
  <c r="T43" i="3"/>
  <c r="T16" i="3"/>
  <c r="G2" i="1"/>
  <c r="I4" i="1"/>
  <c r="I5" i="1"/>
  <c r="G4" i="1"/>
  <c r="I6" i="1"/>
  <c r="G6" i="1"/>
  <c r="I8" i="1"/>
  <c r="G7" i="1"/>
  <c r="G8" i="1"/>
  <c r="G9" i="1"/>
  <c r="G5" i="1"/>
  <c r="I3" i="1"/>
  <c r="G3" i="1"/>
  <c r="I7" i="1"/>
  <c r="I9" i="1"/>
  <c r="I2" i="1"/>
  <c r="F10" i="3" l="1"/>
  <c r="O9" i="3"/>
  <c r="E11" i="3"/>
  <c r="O11" i="3"/>
  <c r="F7" i="3"/>
  <c r="AA7" i="3" s="1"/>
  <c r="F12" i="3"/>
  <c r="F8" i="3"/>
  <c r="AA8" i="3" s="1"/>
  <c r="E6" i="3"/>
  <c r="Z6" i="3" s="1"/>
  <c r="O6" i="3"/>
  <c r="F11" i="3"/>
  <c r="AA11" i="3" s="1"/>
  <c r="E8" i="3"/>
  <c r="Z8" i="3" s="1"/>
  <c r="O8" i="3"/>
  <c r="E7" i="3"/>
  <c r="Z7" i="3" s="1"/>
  <c r="O7" i="3"/>
  <c r="E12" i="3"/>
  <c r="O12" i="3"/>
  <c r="F13" i="3"/>
  <c r="O13" i="3"/>
  <c r="E10" i="3"/>
  <c r="Z10" i="3" s="1"/>
  <c r="O10" i="3"/>
  <c r="E9" i="3"/>
  <c r="Z9" i="3" s="1"/>
  <c r="F9" i="3"/>
  <c r="F6" i="3"/>
  <c r="AA6" i="3" s="1"/>
  <c r="E5" i="3"/>
  <c r="Z5" i="3" s="1"/>
  <c r="F5" i="3"/>
  <c r="AA5" i="3" s="1"/>
  <c r="O5" i="3"/>
  <c r="V5" i="3"/>
  <c r="Y11" i="3"/>
  <c r="X4" i="3"/>
  <c r="X6" i="3"/>
  <c r="W13" i="3"/>
  <c r="Y4" i="3"/>
  <c r="V6" i="3"/>
  <c r="V8" i="3"/>
  <c r="W10" i="3"/>
  <c r="X12" i="3"/>
  <c r="V9" i="3"/>
  <c r="V4" i="3"/>
  <c r="Y9" i="3"/>
  <c r="W12" i="3"/>
  <c r="Z11" i="3"/>
  <c r="X7" i="3"/>
  <c r="Y10" i="3"/>
  <c r="W9" i="3"/>
  <c r="W5" i="3"/>
  <c r="X13" i="3"/>
  <c r="Y12" i="3"/>
  <c r="W6" i="3"/>
  <c r="Y5" i="3"/>
  <c r="X10" i="3"/>
  <c r="V12" i="3"/>
  <c r="V13" i="3"/>
  <c r="V10" i="3"/>
  <c r="W7" i="3"/>
  <c r="V11" i="3"/>
  <c r="X5" i="3"/>
  <c r="X11" i="3"/>
  <c r="Q13" i="3"/>
  <c r="AA12" i="3"/>
  <c r="X8" i="3"/>
  <c r="W8" i="3"/>
  <c r="W11" i="3"/>
  <c r="W4" i="3"/>
  <c r="X9" i="3"/>
  <c r="V7" i="3"/>
  <c r="Y6" i="3"/>
  <c r="Y7" i="3"/>
  <c r="T13" i="3"/>
  <c r="O4" i="3"/>
  <c r="E1" i="3"/>
  <c r="Z12" i="3"/>
  <c r="U13" i="3"/>
  <c r="R33" i="3"/>
  <c r="U44" i="3"/>
  <c r="R41" i="3"/>
  <c r="U32" i="3"/>
  <c r="T47" i="3"/>
  <c r="R32" i="3"/>
  <c r="U38" i="3"/>
  <c r="T41" i="3"/>
  <c r="R44" i="3"/>
  <c r="S46" i="3"/>
  <c r="U43" i="3"/>
  <c r="Q50" i="3"/>
  <c r="R51" i="3"/>
  <c r="T37" i="3"/>
  <c r="R45" i="3"/>
  <c r="T42" i="3"/>
  <c r="T51" i="3"/>
  <c r="S39" i="3"/>
  <c r="U39" i="3"/>
  <c r="U42" i="3"/>
  <c r="S51" i="3"/>
  <c r="T34" i="3"/>
  <c r="Q33" i="3"/>
  <c r="T49" i="3"/>
  <c r="S53" i="3"/>
  <c r="T38" i="3"/>
  <c r="U34" i="3"/>
  <c r="U51" i="3"/>
  <c r="R40" i="3"/>
  <c r="S37" i="3"/>
  <c r="S38" i="3"/>
  <c r="U37" i="3"/>
  <c r="S34" i="3"/>
  <c r="T50" i="3"/>
  <c r="T35" i="3"/>
  <c r="U48" i="3"/>
  <c r="T44" i="3"/>
  <c r="T53" i="3"/>
  <c r="R43" i="3"/>
  <c r="S33" i="3"/>
  <c r="R36" i="3"/>
  <c r="T48" i="3"/>
  <c r="R37" i="3"/>
  <c r="T40" i="3"/>
  <c r="U35" i="3"/>
  <c r="T33" i="3"/>
  <c r="U47" i="3"/>
  <c r="S49" i="3"/>
  <c r="S41" i="3"/>
  <c r="Q34" i="3"/>
  <c r="Q49" i="3"/>
  <c r="U41" i="3"/>
  <c r="U33" i="3"/>
  <c r="S45" i="3"/>
  <c r="S32" i="3"/>
  <c r="R53" i="3"/>
  <c r="R47" i="3"/>
  <c r="R34" i="3"/>
  <c r="R46" i="3"/>
  <c r="T36" i="3"/>
  <c r="Q35" i="3"/>
  <c r="Q53" i="3"/>
  <c r="Q46" i="3"/>
  <c r="S31" i="3"/>
  <c r="Q51" i="3"/>
  <c r="U45" i="3"/>
  <c r="T31" i="3"/>
  <c r="S47" i="3"/>
  <c r="U52" i="3"/>
  <c r="S43" i="3"/>
  <c r="Q43" i="3"/>
  <c r="Q12" i="3"/>
  <c r="Q41" i="3"/>
  <c r="Q40" i="3"/>
  <c r="S50" i="3"/>
  <c r="R48" i="3"/>
  <c r="R39" i="3"/>
  <c r="R31" i="3"/>
  <c r="Q32" i="3"/>
  <c r="U31" i="3"/>
  <c r="S48" i="3"/>
  <c r="S40" i="3"/>
  <c r="U53" i="3"/>
  <c r="Q42" i="3"/>
  <c r="Q37" i="3"/>
  <c r="Z13" i="3"/>
  <c r="U40" i="3"/>
  <c r="Q48" i="3"/>
  <c r="R7" i="3"/>
  <c r="U8" i="3"/>
  <c r="U7" i="3"/>
  <c r="U9" i="3"/>
  <c r="Q10" i="3"/>
  <c r="Q31" i="3"/>
  <c r="T7" i="3"/>
  <c r="AA9" i="3"/>
  <c r="AA10" i="3"/>
  <c r="T8" i="3"/>
  <c r="S8" i="3"/>
  <c r="S7" i="3"/>
  <c r="Q7" i="3"/>
  <c r="T10" i="3"/>
  <c r="U18" i="3"/>
  <c r="R28" i="3"/>
  <c r="U27" i="3"/>
  <c r="R8" i="3"/>
  <c r="Q8" i="3"/>
  <c r="S17" i="3"/>
  <c r="U23" i="3"/>
  <c r="S22" i="3"/>
  <c r="R27" i="3"/>
  <c r="T22" i="3"/>
  <c r="R21" i="3"/>
  <c r="R22" i="3"/>
  <c r="R20" i="3"/>
  <c r="T9" i="3"/>
  <c r="U22" i="3"/>
  <c r="S12" i="3"/>
  <c r="S25" i="3"/>
  <c r="T24" i="3"/>
  <c r="T15" i="3"/>
  <c r="T14" i="3"/>
  <c r="S14" i="3"/>
  <c r="U19" i="3"/>
  <c r="T21" i="3"/>
  <c r="T30" i="3"/>
  <c r="S13" i="3"/>
  <c r="S30" i="3"/>
  <c r="R30" i="3"/>
  <c r="R26" i="3"/>
  <c r="S27" i="3"/>
  <c r="U30" i="3"/>
  <c r="R19" i="3"/>
  <c r="U26" i="3"/>
  <c r="S29" i="3"/>
  <c r="R12" i="3"/>
  <c r="R14" i="3"/>
  <c r="T26" i="3"/>
  <c r="T18" i="3"/>
  <c r="T27" i="3"/>
  <c r="T19" i="3"/>
  <c r="AA13" i="3"/>
  <c r="Q15" i="3"/>
  <c r="T25" i="3"/>
  <c r="T17" i="3"/>
  <c r="Q21" i="3"/>
  <c r="Q16" i="3"/>
  <c r="U25" i="3"/>
  <c r="R13" i="3"/>
  <c r="T28" i="3"/>
  <c r="T12" i="3"/>
  <c r="S21" i="3"/>
  <c r="U12" i="3"/>
  <c r="Q27" i="3"/>
  <c r="R24" i="3"/>
  <c r="R16" i="3"/>
  <c r="R29" i="3"/>
  <c r="Q24" i="3"/>
  <c r="Q23" i="3"/>
  <c r="R23" i="3"/>
  <c r="R15" i="3"/>
  <c r="Q18" i="3"/>
  <c r="S24" i="3"/>
  <c r="S16" i="3"/>
  <c r="Q17" i="3"/>
  <c r="S6" i="3"/>
  <c r="Q6" i="3"/>
  <c r="T6" i="3"/>
  <c r="R6" i="3"/>
  <c r="U6" i="3" l="1"/>
  <c r="R5" i="3"/>
  <c r="U10" i="3"/>
  <c r="T5" i="3"/>
  <c r="Q5" i="3"/>
  <c r="U5" i="3"/>
  <c r="S10" i="3"/>
  <c r="S5" i="3"/>
  <c r="R11" i="3"/>
  <c r="Q11" i="3"/>
  <c r="R9" i="3"/>
  <c r="Q9" i="3"/>
  <c r="R10" i="3"/>
  <c r="S9" i="3"/>
  <c r="S11" i="3"/>
  <c r="T11" i="3"/>
  <c r="U11" i="3"/>
  <c r="F4" i="3"/>
  <c r="AA4" i="3" s="1"/>
  <c r="E4" i="3"/>
  <c r="Z4" i="3" s="1"/>
  <c r="Q4" i="3"/>
  <c r="U4" i="3"/>
  <c r="T4" i="3"/>
  <c r="S4" i="3"/>
  <c r="R4"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Sheng-Lin Wu</author>
  </authors>
  <commentList>
    <comment ref="E1" authorId="0" shapeId="0" xr:uid="{6C9043FF-FFEF-402B-A9E1-A0C549883C28}">
      <text>
        <r>
          <rPr>
            <sz val="9"/>
            <color indexed="81"/>
            <rFont val="Tahoma"/>
            <charset val="1"/>
          </rPr>
          <t xml:space="preserve">- per Deployment is the total Request/Limit of the deployment
(i.e., per Pod Request/Limit * replicas) 
</t>
        </r>
      </text>
    </comment>
    <comment ref="L1" authorId="0" shapeId="0" xr:uid="{9C9DDB76-1B7C-4F39-8E94-552BE05F4046}">
      <text>
        <r>
          <rPr>
            <sz val="9"/>
            <color indexed="81"/>
            <rFont val="Tahoma"/>
            <family val="2"/>
          </rPr>
          <t>Global minimum limit.
The final Recommended Limit won't be lower than this global minimum limit.</t>
        </r>
      </text>
    </comment>
    <comment ref="L3" authorId="0" shapeId="0" xr:uid="{5F54DDD4-1B22-48DF-BEA3-6DE65E49C8A3}">
      <text>
        <r>
          <rPr>
            <b/>
            <sz val="9"/>
            <color indexed="81"/>
            <rFont val="Tahoma"/>
            <family val="2"/>
          </rPr>
          <t xml:space="preserve">Recommended CPU/Mem Limit </t>
        </r>
        <r>
          <rPr>
            <sz val="9"/>
            <color indexed="81"/>
            <rFont val="Tahoma"/>
            <family val="2"/>
          </rPr>
          <t>is the largest number of below values:
  1. Federator.ai recommended limit ($P/$Q)
  2. Limit lower bound based on current ($R/$S)
  3. Global minimum limit ($L$2/$M$2)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Sheng-Lin Wu</author>
  </authors>
  <commentList>
    <comment ref="I1" authorId="0" shapeId="0" xr:uid="{5C5F492B-9DB0-4AAD-86F5-DA7146819643}">
      <text>
        <r>
          <rPr>
            <sz val="9"/>
            <color indexed="81"/>
            <rFont val="Tahoma"/>
            <family val="2"/>
          </rPr>
          <t>Global minimum limit.
The final Recommended Limit won't be lower than this global minimum limit.</t>
        </r>
      </text>
    </comment>
    <comment ref="I3" authorId="0" shapeId="0" xr:uid="{33267491-2D5B-482E-B19B-62757C2F33FA}">
      <text>
        <r>
          <rPr>
            <b/>
            <sz val="9"/>
            <color indexed="81"/>
            <rFont val="Tahoma"/>
            <family val="2"/>
          </rPr>
          <t xml:space="preserve">Recommended CPU/Mem Limit </t>
        </r>
        <r>
          <rPr>
            <sz val="9"/>
            <color indexed="81"/>
            <rFont val="Tahoma"/>
            <family val="2"/>
          </rPr>
          <t>is the largest number of below values:
  1. Federator.ai recommended limit ($P/$Q)
  2. Limit lower bound based on current ($R/$S)
  3. Global minimum limit ($L$2/$M$2)</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Sheng-Lin Wu</author>
  </authors>
  <commentList>
    <comment ref="A1" authorId="0" shapeId="0" xr:uid="{DB1CD822-4F26-4911-80A3-344C8F626DEF}">
      <text>
        <r>
          <rPr>
            <sz val="9"/>
            <color indexed="81"/>
            <rFont val="Tahoma"/>
            <family val="2"/>
          </rPr>
          <t xml:space="preserve">By setting the CPU and memory utilization goals, the "Recommended Node Number" column recommends the number of nodes for each node group that can meet the desired CPU and memory utilization goals.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9F153DE-C363-41FE-9BEA-FC3CA7DED332}" keepAlive="1" name="Query - deployment-raw" description="Connection to the 'deployment-raw' query in the workbook." type="5" refreshedVersion="8" background="1" refreshOnLoad="1" saveData="1">
    <dbPr connection="Provider=Microsoft.Mashup.OleDb.1;Data Source=$Workbook$;Location=deployment-raw;Extended Properties=&quot;&quot;" command="SELECT * FROM [deployment-raw]"/>
  </connection>
  <connection id="2" xr16:uid="{E9CCF43E-8C42-4973-BC22-AE8B559ED21F}" keepAlive="1" name="Query - namespace-raw" description="Connection to the 'namespace-raw' query in the workbook." type="5" refreshedVersion="8" background="1" saveData="1">
    <dbPr connection="Provider=Microsoft.Mashup.OleDb.1;Data Source=$Workbook$;Location=namespace-raw;Extended Properties=&quot;&quot;" command="SELECT * FROM [namespace-raw]"/>
  </connection>
  <connection id="3" xr16:uid="{94FE06AE-F633-4CB1-8AE9-2D2BCE716217}" keepAlive="1" name="Query - node-raw" description="Connection to the 'node-raw' query in the workbook." type="5" refreshedVersion="8" background="1" refreshOnLoad="1" saveData="1">
    <dbPr connection="Provider=Microsoft.Mashup.OleDb.1;Data Source=$Workbook$;Location=node-raw;Extended Properties=&quot;&quot;" command="SELECT * FROM [node-raw]"/>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<sst xmlns="http://schemas.openxmlformats.org/spreadsheetml/2006/main" count="184" uniqueCount="118">
  <si>
    <t>Deployment</t>
  </si>
  <si>
    <t>Replicas</t>
  </si>
  <si>
    <t>Node Pool</t>
  </si>
  <si>
    <t>Number</t>
  </si>
  <si>
    <t>Average
CPU Utilization</t>
  </si>
  <si>
    <t>Average
MEM Utilization</t>
  </si>
  <si>
    <t>Memory
(MiB)</t>
  </si>
  <si>
    <t>Column1</t>
  </si>
  <si>
    <t>Column2</t>
  </si>
  <si>
    <t>Column3</t>
  </si>
  <si>
    <t>Column4</t>
  </si>
  <si>
    <t>Column5</t>
  </si>
  <si>
    <t>Column6</t>
  </si>
  <si>
    <t>Column7</t>
  </si>
  <si>
    <t>Column8</t>
  </si>
  <si>
    <t>Column9</t>
  </si>
  <si>
    <t>Column10</t>
  </si>
  <si>
    <t>Column11</t>
  </si>
  <si>
    <t>Column12</t>
  </si>
  <si>
    <t>Node Name</t>
  </si>
  <si>
    <t>Label</t>
  </si>
  <si>
    <t>CPU
(mcores)</t>
  </si>
  <si>
    <t>Kind</t>
  </si>
  <si>
    <t>Namespace</t>
  </si>
  <si>
    <t>Column13</t>
  </si>
  <si>
    <t>Node CPU
(mcores)</t>
  </si>
  <si>
    <t>Node Memory
(MiB)</t>
  </si>
  <si>
    <r>
      <t xml:space="preserve">Recommended
CPU </t>
    </r>
    <r>
      <rPr>
        <b/>
        <sz val="11"/>
        <color theme="7" tint="-0.499984740745262"/>
        <rFont val="Calibri"/>
        <family val="2"/>
      </rPr>
      <t>Limits</t>
    </r>
  </si>
  <si>
    <r>
      <t xml:space="preserve">Recommended
Memory </t>
    </r>
    <r>
      <rPr>
        <b/>
        <sz val="11"/>
        <color theme="7" tint="-0.499984740745262"/>
        <rFont val="Calibri"/>
        <family val="2"/>
      </rPr>
      <t>Limits</t>
    </r>
  </si>
  <si>
    <r>
      <t xml:space="preserve">Target CPU Utilization
(based on current </t>
    </r>
    <r>
      <rPr>
        <b/>
        <sz val="11"/>
        <color theme="9" tint="-0.499984740745262"/>
        <rFont val="Calibri"/>
        <family val="2"/>
      </rPr>
      <t>Request</t>
    </r>
    <r>
      <rPr>
        <b/>
        <sz val="11"/>
        <color theme="1"/>
        <rFont val="Calibri"/>
        <family val="2"/>
      </rPr>
      <t>)</t>
    </r>
  </si>
  <si>
    <r>
      <t xml:space="preserve">Target Memory Utilization
(based on current </t>
    </r>
    <r>
      <rPr>
        <b/>
        <sz val="11"/>
        <color theme="9" tint="-0.499984740745262"/>
        <rFont val="Calibri"/>
        <family val="2"/>
      </rPr>
      <t>Request</t>
    </r>
    <r>
      <rPr>
        <b/>
        <sz val="11"/>
        <color theme="1"/>
        <rFont val="Calibri"/>
        <family val="2"/>
      </rPr>
      <t>)</t>
    </r>
  </si>
  <si>
    <r>
      <t xml:space="preserve">Target CPU Utilization
(based on current </t>
    </r>
    <r>
      <rPr>
        <b/>
        <sz val="11"/>
        <color theme="7" tint="-0.499984740745262"/>
        <rFont val="Calibri"/>
        <family val="2"/>
      </rPr>
      <t>Limit</t>
    </r>
    <r>
      <rPr>
        <b/>
        <sz val="11"/>
        <color theme="1"/>
        <rFont val="Calibri"/>
        <family val="2"/>
      </rPr>
      <t>)</t>
    </r>
  </si>
  <si>
    <r>
      <t xml:space="preserve">Target Memory Utilization
(based on current </t>
    </r>
    <r>
      <rPr>
        <b/>
        <sz val="11"/>
        <color theme="7" tint="-0.499984740745262"/>
        <rFont val="Calibri"/>
        <family val="2"/>
      </rPr>
      <t>Limit</t>
    </r>
    <r>
      <rPr>
        <b/>
        <sz val="11"/>
        <color theme="1"/>
        <rFont val="Calibri"/>
        <family val="2"/>
      </rPr>
      <t>)</t>
    </r>
  </si>
  <si>
    <t>CPU Utilization</t>
  </si>
  <si>
    <t>Memory Utilization</t>
  </si>
  <si>
    <t>Disk Capacity</t>
  </si>
  <si>
    <t>Disk I/O Utilization</t>
  </si>
  <si>
    <t>Network Receive Bytes
(Bytes/min)</t>
  </si>
  <si>
    <t>Network Transmit Bytes
(Bytes/min)</t>
  </si>
  <si>
    <t>CPU Allocatable
(mcores)</t>
  </si>
  <si>
    <t>Memory Aallocatable
(MiB)</t>
  </si>
  <si>
    <t>Recommended
Node Number</t>
  </si>
  <si>
    <t>CPU</t>
  </si>
  <si>
    <t>Memory</t>
  </si>
  <si>
    <r>
      <t xml:space="preserve">Cost Reduction
(based on </t>
    </r>
    <r>
      <rPr>
        <b/>
        <sz val="11"/>
        <color rgb="FFC00000"/>
        <rFont val="Calibri"/>
        <family val="2"/>
        <scheme val="minor"/>
      </rPr>
      <t>Target</t>
    </r>
    <r>
      <rPr>
        <b/>
        <sz val="11"/>
        <color theme="1"/>
        <rFont val="Calibri"/>
        <family val="2"/>
        <scheme val="minor"/>
      </rPr>
      <t xml:space="preserve"> Node Number)</t>
    </r>
  </si>
  <si>
    <r>
      <rPr>
        <b/>
        <sz val="11"/>
        <color rgb="FFC00000"/>
        <rFont val="Calibri"/>
        <family val="2"/>
        <scheme val="minor"/>
      </rPr>
      <t xml:space="preserve">Target </t>
    </r>
    <r>
      <rPr>
        <b/>
        <sz val="11"/>
        <color theme="1"/>
        <rFont val="Calibri"/>
        <family val="2"/>
        <scheme val="minor"/>
      </rPr>
      <t>Resource
Utilization Goal</t>
    </r>
  </si>
  <si>
    <t>CPU Utlization 
(based on Node CPU Usage)</t>
  </si>
  <si>
    <t>Memory Utlization 
(based on Node Memory Usage)</t>
  </si>
  <si>
    <t>CPU Limit Lower Bound
(% of Current Limit)</t>
  </si>
  <si>
    <t>Memory Limit Lower Bound
(% of Current Limit)</t>
  </si>
  <si>
    <t>Column14</t>
  </si>
  <si>
    <t>Column15</t>
  </si>
  <si>
    <r>
      <rPr>
        <b/>
        <sz val="11"/>
        <color theme="4"/>
        <rFont val="Calibri"/>
        <family val="2"/>
        <scheme val="minor"/>
      </rPr>
      <t>Current</t>
    </r>
    <r>
      <rPr>
        <b/>
        <sz val="11"/>
        <color theme="1"/>
        <rFont val="Calibri"/>
        <family val="2"/>
        <scheme val="minor"/>
      </rPr>
      <t xml:space="preserve">
CPU Request
(mcores)</t>
    </r>
  </si>
  <si>
    <r>
      <rPr>
        <b/>
        <sz val="11"/>
        <color theme="4"/>
        <rFont val="Calibri"/>
        <family val="2"/>
        <scheme val="minor"/>
      </rPr>
      <t>Current</t>
    </r>
    <r>
      <rPr>
        <b/>
        <sz val="11"/>
        <color theme="1"/>
        <rFont val="Calibri"/>
        <family val="2"/>
        <scheme val="minor"/>
      </rPr>
      <t xml:space="preserve">
Memory Request
(MiB)</t>
    </r>
  </si>
  <si>
    <r>
      <rPr>
        <b/>
        <sz val="11"/>
        <color theme="4"/>
        <rFont val="Calibri"/>
        <family val="2"/>
        <scheme val="minor"/>
      </rPr>
      <t>Current</t>
    </r>
    <r>
      <rPr>
        <b/>
        <sz val="11"/>
        <color theme="1"/>
        <rFont val="Calibri"/>
        <family val="2"/>
        <scheme val="minor"/>
      </rPr>
      <t xml:space="preserve">
CPU Limit
(mcores)</t>
    </r>
  </si>
  <si>
    <r>
      <rPr>
        <b/>
        <sz val="11"/>
        <color theme="4"/>
        <rFont val="Calibri"/>
        <family val="2"/>
        <scheme val="minor"/>
      </rPr>
      <t>Current</t>
    </r>
    <r>
      <rPr>
        <b/>
        <sz val="11"/>
        <color theme="1"/>
        <rFont val="Calibri"/>
        <family val="2"/>
        <scheme val="minor"/>
      </rPr>
      <t xml:space="preserve">
Memory Limit
(MiB)</t>
    </r>
  </si>
  <si>
    <t>Column16</t>
  </si>
  <si>
    <t>(In past days):</t>
  </si>
  <si>
    <r>
      <rPr>
        <b/>
        <sz val="11"/>
        <color rgb="FFC00000"/>
        <rFont val="Calibri"/>
        <family val="2"/>
      </rPr>
      <t>Target</t>
    </r>
    <r>
      <rPr>
        <b/>
        <sz val="11"/>
        <color theme="1"/>
        <rFont val="Calibri"/>
        <family val="2"/>
      </rPr>
      <t xml:space="preserve">
Node Number</t>
    </r>
  </si>
  <si>
    <r>
      <rPr>
        <b/>
        <sz val="11"/>
        <color theme="1" tint="0.34998626667073579"/>
        <rFont val="Calibri"/>
        <family val="2"/>
        <scheme val="minor"/>
      </rPr>
      <t>Federator.ai Recommended</t>
    </r>
    <r>
      <rPr>
        <b/>
        <sz val="11"/>
        <color theme="1"/>
        <rFont val="Calibri"/>
        <family val="2"/>
        <scheme val="minor"/>
      </rPr>
      <t xml:space="preserve">
</t>
    </r>
    <r>
      <rPr>
        <b/>
        <sz val="11"/>
        <color theme="1" tint="0.34998626667073579"/>
        <rFont val="Calibri"/>
        <family val="2"/>
        <scheme val="minor"/>
      </rPr>
      <t>CPU Limit
(mcores)</t>
    </r>
  </si>
  <si>
    <r>
      <rPr>
        <b/>
        <sz val="11"/>
        <color theme="1" tint="0.34998626667073579"/>
        <rFont val="Calibri"/>
        <family val="2"/>
        <scheme val="minor"/>
      </rPr>
      <t>Federator.ai Recommended</t>
    </r>
    <r>
      <rPr>
        <b/>
        <sz val="11"/>
        <color theme="1"/>
        <rFont val="Calibri"/>
        <family val="2"/>
        <scheme val="minor"/>
      </rPr>
      <t xml:space="preserve">
</t>
    </r>
    <r>
      <rPr>
        <b/>
        <sz val="11"/>
        <color theme="1" tint="0.34998626667073579"/>
        <rFont val="Calibri"/>
        <family val="2"/>
        <scheme val="minor"/>
      </rPr>
      <t>Memory Limit
(MiB)</t>
    </r>
  </si>
  <si>
    <r>
      <t>Additional Headroom 
(</t>
    </r>
    <r>
      <rPr>
        <b/>
        <sz val="12"/>
        <color rgb="FFC00000"/>
        <rFont val="Calibri"/>
        <family val="2"/>
        <scheme val="minor"/>
      </rPr>
      <t>Extra</t>
    </r>
    <r>
      <rPr>
        <b/>
        <sz val="11"/>
        <color theme="3" tint="0.14999847407452621"/>
        <rFont val="Calibri"/>
        <family val="2"/>
        <scheme val="minor"/>
      </rPr>
      <t xml:space="preserve"> % of CPU Limit)</t>
    </r>
  </si>
  <si>
    <r>
      <t>Additional Headroom 
(</t>
    </r>
    <r>
      <rPr>
        <b/>
        <sz val="12"/>
        <color rgb="FFC00000"/>
        <rFont val="Calibri"/>
        <family val="2"/>
        <scheme val="minor"/>
      </rPr>
      <t>Extra</t>
    </r>
    <r>
      <rPr>
        <b/>
        <sz val="11"/>
        <color theme="3" tint="0.14999847407452621"/>
        <rFont val="Calibri"/>
        <family val="2"/>
        <scheme val="minor"/>
      </rPr>
      <t xml:space="preserve"> % of Mem Limit)</t>
    </r>
  </si>
  <si>
    <t>CPU Limit Lower Bound
based on Current
(mcores)</t>
  </si>
  <si>
    <t xml:space="preserve"> Memory Limit Lower Bound
based on Current
(MiB)</t>
  </si>
  <si>
    <r>
      <rPr>
        <b/>
        <sz val="11"/>
        <color theme="1" tint="0.14999847407452621"/>
        <rFont val="Calibri"/>
        <family val="2"/>
        <scheme val="minor"/>
      </rPr>
      <t>Maximum</t>
    </r>
    <r>
      <rPr>
        <b/>
        <sz val="11"/>
        <color theme="1"/>
        <rFont val="Calibri"/>
        <family val="2"/>
        <scheme val="minor"/>
      </rPr>
      <t xml:space="preserve">
</t>
    </r>
    <r>
      <rPr>
        <b/>
        <sz val="11"/>
        <color theme="1" tint="0.34998626667073579"/>
        <rFont val="Calibri"/>
        <family val="2"/>
        <scheme val="minor"/>
      </rPr>
      <t>CPU Usage
(mcores)</t>
    </r>
  </si>
  <si>
    <r>
      <rPr>
        <b/>
        <sz val="11"/>
        <color theme="1" tint="0.14999847407452621"/>
        <rFont val="Calibri"/>
        <family val="2"/>
        <scheme val="minor"/>
      </rPr>
      <t>Maximum</t>
    </r>
    <r>
      <rPr>
        <b/>
        <sz val="11"/>
        <color theme="1"/>
        <rFont val="Calibri"/>
        <family val="2"/>
        <scheme val="minor"/>
      </rPr>
      <t xml:space="preserve">
</t>
    </r>
    <r>
      <rPr>
        <b/>
        <sz val="11"/>
        <color theme="1" tint="0.34998626667073579"/>
        <rFont val="Calibri"/>
        <family val="2"/>
        <scheme val="minor"/>
      </rPr>
      <t>Memory Usage
(MiB)</t>
    </r>
  </si>
  <si>
    <t>Minimum CPU Limit
per replica (mcores)</t>
  </si>
  <si>
    <t>Minimum Memory Limit
per replica (MiB)</t>
  </si>
  <si>
    <r>
      <rPr>
        <b/>
        <u/>
        <sz val="12"/>
        <rFont val="Calibri"/>
        <family val="2"/>
        <scheme val="minor"/>
      </rPr>
      <t>Final</t>
    </r>
    <r>
      <rPr>
        <b/>
        <sz val="12"/>
        <rFont val="Calibri"/>
        <family val="2"/>
        <scheme val="minor"/>
      </rPr>
      <t xml:space="preserve">
</t>
    </r>
    <r>
      <rPr>
        <b/>
        <sz val="11"/>
        <color theme="9" tint="-0.249977111117893"/>
        <rFont val="Calibri"/>
        <family val="2"/>
        <scheme val="minor"/>
      </rPr>
      <t>Recommended</t>
    </r>
    <r>
      <rPr>
        <b/>
        <sz val="11"/>
        <color theme="1"/>
        <rFont val="Calibri"/>
        <family val="2"/>
        <scheme val="minor"/>
      </rPr>
      <t xml:space="preserve">
CPU Request
(mcores)</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</si>
  <si>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Memory Request
(MiB)</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</si>
  <si>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CPU Limit
(mcores)</t>
    </r>
  </si>
  <si>
    <r>
      <rPr>
        <b/>
        <u/>
        <sz val="12"/>
        <rFont val="Calibri"/>
        <family val="2"/>
        <scheme val="minor"/>
      </rPr>
      <t>Final</t>
    </r>
    <r>
      <rPr>
        <b/>
        <sz val="11"/>
        <color theme="9" tint="-0.249977111117893"/>
        <rFont val="Calibri"/>
        <family val="2"/>
        <scheme val="minor"/>
      </rPr>
      <t xml:space="preserve">
Recommended</t>
    </r>
    <r>
      <rPr>
        <b/>
        <sz val="11"/>
        <color theme="1"/>
        <rFont val="Calibri"/>
        <family val="2"/>
        <scheme val="minor"/>
      </rPr>
      <t xml:space="preserve">
Memory Limit
(MiB)</t>
    </r>
  </si>
  <si>
    <r>
      <t xml:space="preserve">Recommended
CPU </t>
    </r>
    <r>
      <rPr>
        <b/>
        <sz val="11"/>
        <color theme="8" tint="-0.499984740745262"/>
        <rFont val="Calibri"/>
        <family val="2"/>
      </rPr>
      <t>Requests</t>
    </r>
  </si>
  <si>
    <r>
      <t xml:space="preserve">Recommended
Memory </t>
    </r>
    <r>
      <rPr>
        <b/>
        <sz val="11"/>
        <color theme="8" tint="-0.499984740745262"/>
        <rFont val="Calibri"/>
        <family val="2"/>
      </rPr>
      <t>Requests</t>
    </r>
  </si>
  <si>
    <r>
      <rPr>
        <b/>
        <sz val="11"/>
        <color rgb="FFC00000"/>
        <rFont val="Calibri"/>
        <family val="2"/>
      </rPr>
      <t>Target</t>
    </r>
    <r>
      <rPr>
        <b/>
        <sz val="11"/>
        <color theme="1"/>
        <rFont val="Calibri"/>
        <family val="2"/>
      </rPr>
      <t xml:space="preserve"> CPU Utilization
(based on recommended </t>
    </r>
    <r>
      <rPr>
        <b/>
        <sz val="11"/>
        <color theme="8" tint="-0.499984740745262"/>
        <rFont val="Calibri"/>
        <family val="2"/>
      </rPr>
      <t>Request</t>
    </r>
    <r>
      <rPr>
        <b/>
        <sz val="11"/>
        <color theme="1"/>
        <rFont val="Calibri"/>
        <family val="2"/>
      </rPr>
      <t>)</t>
    </r>
  </si>
  <si>
    <r>
      <rPr>
        <b/>
        <sz val="11"/>
        <color rgb="FFC00000"/>
        <rFont val="Calibri"/>
        <family val="2"/>
      </rPr>
      <t>Target</t>
    </r>
    <r>
      <rPr>
        <b/>
        <sz val="11"/>
        <color theme="1"/>
        <rFont val="Calibri"/>
        <family val="2"/>
      </rPr>
      <t xml:space="preserve"> Memory Utilization
(based on recommended </t>
    </r>
    <r>
      <rPr>
        <b/>
        <sz val="11"/>
        <color theme="8" tint="-0.499984740745262"/>
        <rFont val="Calibri"/>
        <family val="2"/>
      </rPr>
      <t>Request</t>
    </r>
    <r>
      <rPr>
        <b/>
        <sz val="11"/>
        <color theme="1"/>
        <rFont val="Calibri"/>
        <family val="2"/>
      </rPr>
      <t>)</t>
    </r>
  </si>
  <si>
    <r>
      <t xml:space="preserve">Current
CPU </t>
    </r>
    <r>
      <rPr>
        <b/>
        <sz val="11"/>
        <color theme="8" tint="-0.499984740745262"/>
        <rFont val="Calibri"/>
        <family val="2"/>
      </rPr>
      <t>Requests</t>
    </r>
  </si>
  <si>
    <r>
      <t xml:space="preserve">Current
Memory </t>
    </r>
    <r>
      <rPr>
        <b/>
        <sz val="11"/>
        <color theme="8" tint="-0.499984740745262"/>
        <rFont val="Calibri"/>
        <family val="2"/>
      </rPr>
      <t>Requests</t>
    </r>
  </si>
  <si>
    <r>
      <t xml:space="preserve">Current
CPU </t>
    </r>
    <r>
      <rPr>
        <b/>
        <sz val="11"/>
        <color theme="7" tint="-0.499984740745262"/>
        <rFont val="Calibri"/>
        <family val="2"/>
      </rPr>
      <t>Limits</t>
    </r>
  </si>
  <si>
    <r>
      <t xml:space="preserve">Current
Memory </t>
    </r>
    <r>
      <rPr>
        <b/>
        <sz val="11"/>
        <color theme="7" tint="-0.499984740745262"/>
        <rFont val="Calibri"/>
        <family val="2"/>
      </rPr>
      <t>Limits</t>
    </r>
  </si>
  <si>
    <r>
      <rPr>
        <b/>
        <sz val="11"/>
        <color rgb="FFC00000"/>
        <rFont val="Calibri"/>
        <family val="2"/>
      </rPr>
      <t xml:space="preserve">Target </t>
    </r>
    <r>
      <rPr>
        <b/>
        <sz val="11"/>
        <color theme="1"/>
        <rFont val="Calibri"/>
        <family val="2"/>
      </rPr>
      <t xml:space="preserve">CPU Utilization
(based on recommended </t>
    </r>
    <r>
      <rPr>
        <b/>
        <sz val="11"/>
        <color theme="7" tint="-0.499984740745262"/>
        <rFont val="Calibri"/>
        <family val="2"/>
      </rPr>
      <t>Limit</t>
    </r>
    <r>
      <rPr>
        <b/>
        <sz val="11"/>
        <color theme="1"/>
        <rFont val="Calibri"/>
        <family val="2"/>
      </rPr>
      <t>)</t>
    </r>
  </si>
  <si>
    <r>
      <rPr>
        <b/>
        <sz val="11"/>
        <color rgb="FFC00000"/>
        <rFont val="Calibri"/>
        <family val="2"/>
      </rPr>
      <t>Target</t>
    </r>
    <r>
      <rPr>
        <b/>
        <sz val="11"/>
        <color theme="1"/>
        <rFont val="Calibri"/>
        <family val="2"/>
      </rPr>
      <t xml:space="preserve"> Memory Utilization
(based on recommended </t>
    </r>
    <r>
      <rPr>
        <b/>
        <sz val="11"/>
        <color theme="7" tint="-0.499984740745262"/>
        <rFont val="Calibri"/>
        <family val="2"/>
      </rPr>
      <t>Limit</t>
    </r>
    <r>
      <rPr>
        <b/>
        <sz val="11"/>
        <color theme="1"/>
        <rFont val="Calibri"/>
        <family val="2"/>
      </rPr>
      <t>)</t>
    </r>
  </si>
  <si>
    <t>Display CPU/Memory per</t>
  </si>
  <si>
    <r>
      <rPr>
        <b/>
        <sz val="11"/>
        <color rgb="FF002060"/>
        <rFont val="Calibri"/>
        <family val="2"/>
        <scheme val="minor"/>
      </rPr>
      <t xml:space="preserve">User Input
</t>
    </r>
    <r>
      <rPr>
        <b/>
        <sz val="11"/>
        <color rgb="FFC00000"/>
        <rFont val="Calibri"/>
        <family val="2"/>
        <scheme val="minor"/>
      </rPr>
      <t>per-replica</t>
    </r>
    <r>
      <rPr>
        <b/>
        <sz val="11"/>
        <color rgb="FF002060"/>
        <rFont val="Calibri"/>
        <family val="2"/>
        <scheme val="minor"/>
      </rPr>
      <t xml:space="preserve">
CPU Limit</t>
    </r>
    <r>
      <rPr>
        <b/>
        <sz val="11"/>
        <color theme="1" tint="0.34998626667073579"/>
        <rFont val="Calibri"/>
        <family val="2"/>
        <scheme val="minor"/>
      </rPr>
      <t xml:space="preserve">
(mcores)</t>
    </r>
  </si>
  <si>
    <r>
      <rPr>
        <b/>
        <sz val="11"/>
        <color rgb="FF002060"/>
        <rFont val="Calibri"/>
        <family val="2"/>
        <scheme val="minor"/>
      </rPr>
      <t xml:space="preserve">User Input
</t>
    </r>
    <r>
      <rPr>
        <b/>
        <sz val="11"/>
        <color rgb="FFC00000"/>
        <rFont val="Calibri"/>
        <family val="2"/>
        <scheme val="minor"/>
      </rPr>
      <t>per-replica</t>
    </r>
    <r>
      <rPr>
        <b/>
        <sz val="11"/>
        <color rgb="FF002060"/>
        <rFont val="Calibri"/>
        <family val="2"/>
        <scheme val="minor"/>
      </rPr>
      <t xml:space="preserve">
Memory Limit</t>
    </r>
    <r>
      <rPr>
        <b/>
        <sz val="11"/>
        <color theme="1" tint="0.34998626667073579"/>
        <rFont val="Calibri"/>
        <family val="2"/>
        <scheme val="minor"/>
      </rPr>
      <t xml:space="preserve">
(MiB)</t>
    </r>
  </si>
  <si>
    <t>Column17</t>
  </si>
  <si>
    <t>Column18</t>
  </si>
  <si>
    <t>Column19</t>
  </si>
  <si>
    <t>Column20</t>
  </si>
  <si>
    <t>Node Affinity/Selector</t>
  </si>
  <si>
    <r>
      <rPr>
        <b/>
        <sz val="11"/>
        <color theme="4"/>
        <rFont val="Calibri"/>
        <family val="2"/>
        <scheme val="minor"/>
      </rPr>
      <t xml:space="preserve">Current </t>
    </r>
    <r>
      <rPr>
        <b/>
        <sz val="11"/>
        <color theme="1" tint="0.34998626667073579"/>
        <rFont val="Calibri"/>
        <family val="2"/>
        <scheme val="minor"/>
      </rPr>
      <t>Quota</t>
    </r>
    <r>
      <rPr>
        <b/>
        <sz val="11"/>
        <color theme="1"/>
        <rFont val="Calibri"/>
        <family val="2"/>
        <scheme val="minor"/>
      </rPr>
      <t xml:space="preserve">
CPU Request
(mcores)</t>
    </r>
  </si>
  <si>
    <r>
      <rPr>
        <b/>
        <sz val="11"/>
        <color theme="4"/>
        <rFont val="Calibri"/>
        <family val="2"/>
        <scheme val="minor"/>
      </rPr>
      <t xml:space="preserve">Current </t>
    </r>
    <r>
      <rPr>
        <b/>
        <sz val="11"/>
        <color theme="1" tint="0.34998626667073579"/>
        <rFont val="Calibri"/>
        <family val="2"/>
        <scheme val="minor"/>
      </rPr>
      <t>Quota</t>
    </r>
    <r>
      <rPr>
        <b/>
        <sz val="11"/>
        <color theme="1"/>
        <rFont val="Calibri"/>
        <family val="2"/>
        <scheme val="minor"/>
      </rPr>
      <t xml:space="preserve">
Memory Request
(MiB)</t>
    </r>
  </si>
  <si>
    <r>
      <rPr>
        <b/>
        <sz val="11"/>
        <color theme="4"/>
        <rFont val="Calibri"/>
        <family val="2"/>
        <scheme val="minor"/>
      </rPr>
      <t xml:space="preserve">Current </t>
    </r>
    <r>
      <rPr>
        <b/>
        <sz val="11"/>
        <color theme="1" tint="0.34998626667073579"/>
        <rFont val="Calibri"/>
        <family val="2"/>
        <scheme val="minor"/>
      </rPr>
      <t>Quota</t>
    </r>
    <r>
      <rPr>
        <b/>
        <sz val="11"/>
        <color theme="1"/>
        <rFont val="Calibri"/>
        <family val="2"/>
        <scheme val="minor"/>
      </rPr>
      <t xml:space="preserve">
CPU Limit
(mcores)</t>
    </r>
  </si>
  <si>
    <r>
      <rPr>
        <b/>
        <sz val="11"/>
        <color theme="4"/>
        <rFont val="Calibri"/>
        <family val="2"/>
        <scheme val="minor"/>
      </rPr>
      <t xml:space="preserve">Current </t>
    </r>
    <r>
      <rPr>
        <b/>
        <sz val="11"/>
        <color theme="1" tint="0.34998626667073579"/>
        <rFont val="Calibri"/>
        <family val="2"/>
        <scheme val="minor"/>
      </rPr>
      <t>Quota</t>
    </r>
    <r>
      <rPr>
        <b/>
        <sz val="11"/>
        <color theme="1"/>
        <rFont val="Calibri"/>
        <family val="2"/>
        <scheme val="minor"/>
      </rPr>
      <t xml:space="preserve">
Memory Limit
(MiB)</t>
    </r>
  </si>
  <si>
    <t>Column21</t>
  </si>
  <si>
    <t>1.1.2</t>
  </si>
  <si>
    <t>0</t>
  </si>
  <si>
    <t/>
  </si>
  <si>
    <t>agatha</t>
  </si>
  <si>
    <t>apollo-api</t>
  </si>
  <si>
    <t>apollo-capacity-api</t>
  </si>
  <si>
    <t>apollo-coverage-api</t>
  </si>
  <si>
    <t>apollo-general-api</t>
  </si>
  <si>
    <t>apollo-throughput-api</t>
  </si>
  <si>
    <t>apollo-ttc-ftc-api</t>
  </si>
  <si>
    <t>papi-internal</t>
  </si>
  <si>
    <t>papi-pilot</t>
  </si>
  <si>
    <t>papi-portal</t>
  </si>
  <si>
    <t>papi-ws</t>
  </si>
  <si>
    <t>papi-ztp</t>
  </si>
  <si>
    <t>papi</t>
  </si>
  <si>
    <t>rasa-action</t>
  </si>
  <si>
    <t>rasa-prod</t>
  </si>
  <si>
    <t>rasa-x</t>
  </si>
  <si>
    <t>papi-integration</t>
  </si>
  <si>
    <t xml:space="preserve"> </t>
  </si>
  <si>
    <t>1.1.4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</si>
</sst>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7"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ont>
    <font>
      <b/>
      <sz val="11"/>
      <color theme="1"/>
      <name val="Calibri"/>
    </font>
    <font>
      <sz val="11"/>
      <color rgb="FF006100"/>
      <name val="Calibri"/>
      <family val="2"/>
      <scheme val="minor"/>
    </font>
    <font>
      <b/>
      <sz val="11"/>
      <color theme="1"/>
      <name val="Calibri"/>
      <family val="2"/>
      <scheme val="minor"/>
    </font>
    <font>
      <b/>
      <sz val="11"/>
      <color theme="1"/>
      <name val="Calibri"/>
      <family val="2"/>
    </font>
    <font>
      <sz val="11"/>
      <color theme="3" tint="0.34998626667073579"/>
      <name val="Calibri"/>
      <family val="2"/>
      <scheme val="minor"/>
    </font>
    <font>
      <b/>
      <sz val="11"/>
      <color theme="9" tint="-0.499984740745262"/>
      <name val="Calibri"/>
      <family val="2"/>
    </font>
    <font>
      <b/>
      <sz val="11"/>
      <color theme="7" tint="-0.499984740745262"/>
      <name val="Calibri"/>
      <family val="2"/>
    </font>
    <font>
      <sz val="11"/>
      <color theme="7" tint="-0.499984740745262"/>
      <name val="Calibri"/>
      <family val="2"/>
    </font>
    <font>
      <b/>
      <sz val="11"/>
      <color rgb="FF000000"/>
      <name val="Calibri"/>
      <family val="2"/>
      <scheme val="minor"/>
    </font>
    <font>
      <sz val="11"/>
      <color rgb="FF000000"/>
      <name val="Calibri"/>
      <family val="2"/>
      <scheme val="minor"/>
    </font>
    <font>
      <sz val="8"/>
      <name val="Calibri"/>
      <scheme val="minor"/>
    </font>
    <font>
      <sz val="11"/>
      <color theme="1"/>
      <name val="Calibri"/>
      <family val="2"/>
    </font>
    <font>
      <sz val="11"/>
      <color rgb="FF385623"/>
      <name val="Calibri"/>
      <family val="2"/>
    </font>
    <font>
      <sz val="11"/>
      <color rgb="FF9C5700"/>
      <name val="Calibri"/>
      <family val="2"/>
      <scheme val="minor"/>
    </font>
    <font>
      <b/>
      <sz val="12"/>
      <color theme="4"/>
      <name val="Calibri"/>
      <family val="2"/>
    </font>
    <font>
      <b/>
      <sz val="12"/>
      <color theme="1"/>
      <name val="Calibri"/>
      <family val="2"/>
      <scheme val="minor"/>
    </font>
    <font>
      <b/>
      <sz val="12"/>
      <color theme="4"/>
      <name val="Calibri"/>
      <family val="2"/>
      <scheme val="minor"/>
    </font>
    <font>
      <b/>
      <sz val="11"/>
      <color rgb="FFC00000"/>
      <name val="Calibri"/>
      <family val="2"/>
    </font>
    <font>
      <b/>
      <sz val="11"/>
      <color rgb="FFC00000"/>
      <name val="Calibri"/>
      <family val="2"/>
      <scheme val="minor"/>
    </font>
    <font>
      <sz val="11"/>
      <color theme="7" tint="-0.499984740745262"/>
      <name val="Calibri"/>
      <family val="2"/>
      <scheme val="minor"/>
    </font>
    <font>
      <sz val="9"/>
      <color indexed="81"/>
      <name val="Tahoma"/>
      <family val="2"/>
    </font>
    <font>
      <sz val="11"/>
      <color theme="0" tint="-0.499984740745262"/>
      <name val="Calibri"/>
      <family val="2"/>
    </font>
    <font>
      <sz val="11"/>
      <color theme="0" tint="-0.499984740745262"/>
      <name val="Calibri"/>
      <family val="2"/>
      <scheme val="minor"/>
    </font>
    <font>
      <sz val="11"/>
      <color theme="9" tint="-0.249977111117893"/>
      <name val="Calibri"/>
      <family val="2"/>
      <scheme val="minor"/>
    </font>
    <font>
      <sz val="11"/>
      <color theme="4" tint="-0.249977111117893"/>
      <name val="Calibri"/>
      <family val="2"/>
      <scheme val="minor"/>
    </font>
    <font>
      <sz val="12"/>
      <color theme="4" tint="-0.249977111117893"/>
      <name val="Calibri"/>
      <family val="2"/>
    </font>
    <font>
      <b/>
      <sz val="11"/>
      <color theme="3" tint="0.14999847407452621"/>
      <name val="Calibri"/>
      <family val="2"/>
      <scheme val="minor"/>
    </font>
    <font>
      <sz val="11"/>
      <color theme="1" tint="0.34998626667073579"/>
      <name val="Calibri"/>
      <family val="2"/>
    </font>
    <font>
      <sz val="11"/>
      <color theme="1" tint="0.34998626667073579"/>
      <name val="Calibri"/>
      <family val="2"/>
      <scheme val="minor"/>
    </font>
    <font>
      <b/>
      <sz val="9"/>
      <color indexed="81"/>
      <name val="Tahoma"/>
      <family val="2"/>
    </font>
    <font>
      <b/>
      <sz val="11"/>
      <color theme="4"/>
      <name val="Calibri"/>
      <family val="2"/>
      <scheme val="minor"/>
    </font>
    <font>
      <b/>
      <sz val="11"/>
      <color theme="9" tint="-0.249977111117893"/>
      <name val="Calibri"/>
      <family val="2"/>
      <scheme val="minor"/>
    </font>
    <font>
      <b/>
      <sz val="11"/>
      <color theme="1" tint="0.34998626667073579"/>
      <name val="Calibri"/>
      <family val="2"/>
      <scheme val="minor"/>
    </font>
    <font>
      <i/>
      <sz val="11"/>
      <color theme="1" tint="0.499984740745262"/>
      <name val="Calibri"/>
      <family val="2"/>
      <scheme val="minor"/>
    </font>
    <font>
      <sz val="11"/>
      <color theme="1" tint="0.499984740745262"/>
      <name val="Calibri"/>
      <family val="2"/>
      <scheme val="minor"/>
    </font>
    <font>
      <sz val="11"/>
      <name val="Calibri"/>
      <family val="2"/>
      <scheme val="minor"/>
    </font>
    <font>
      <sz val="11"/>
      <color theme="0" tint="-0.14999847407452621"/>
      <name val="Calibri"/>
      <family val="2"/>
      <scheme val="minor"/>
    </font>
    <font>
      <b/>
      <sz val="12"/>
      <color rgb="FFC00000"/>
      <name val="Calibri"/>
      <family val="2"/>
      <scheme val="minor"/>
    </font>
    <font>
      <b/>
      <sz val="11"/>
      <color theme="1" tint="0.14999847407452621"/>
      <name val="Calibri"/>
      <family val="2"/>
      <scheme val="minor"/>
    </font>
    <font>
      <b/>
      <sz val="12"/>
      <name val="Calibri"/>
      <family val="2"/>
      <scheme val="minor"/>
    </font>
    <font>
      <b/>
      <u/>
      <sz val="12"/>
      <name val="Calibri"/>
      <family val="2"/>
      <scheme val="minor"/>
    </font>
    <font>
      <b/>
      <sz val="11"/>
      <color theme="8" tint="-0.499984740745262"/>
      <name val="Calibri"/>
      <family val="2"/>
    </font>
    <font>
      <sz val="11"/>
      <color theme="8" tint="-0.499984740745262"/>
      <name val="Calibri"/>
      <family val="2"/>
    </font>
    <font>
      <sz val="11"/>
      <color theme="8" tint="-0.499984740745262"/>
      <name val="Calibri"/>
      <family val="2"/>
      <scheme val="minor"/>
    </font>
    <font>
      <sz val="9"/>
      <color indexed="81"/>
      <name val="Tahoma"/>
      <charset val="1"/>
    </font>
    <font>
      <b/>
      <u/>
      <sz val="12"/>
      <color rgb="FFFF0000"/>
      <name val="Calibri"/>
      <family val="2"/>
      <scheme val="minor"/>
    </font>
    <font>
      <b/>
      <sz val="10"/>
      <color theme="3" tint="0.14999847407452621"/>
      <name val="Calibri"/>
      <family val="2"/>
      <scheme val="minor"/>
    </font>
    <font>
      <sz val="11"/>
      <color theme="1" tint="0.249977111117893"/>
      <name val="Calibri"/>
      <family val="2"/>
      <scheme val="minor"/>
    </font>
    <font>
      <sz val="11"/>
      <color theme="2" tint="-4.9989318521683403E-2"/>
      <name val="Calibri"/>
      <family val="2"/>
      <scheme val="minor"/>
    </font>
    <font>
      <sz val="11"/>
      <color rgb="FF002060"/>
      <name val="Calibri"/>
      <family val="2"/>
      <scheme val="minor"/>
    </font>
    <font>
      <b/>
      <sz val="11"/>
      <color rgb="FF002060"/>
      <name val="Calibri"/>
      <family val="2"/>
      <scheme val="minor"/>
    </font>
  </fonts>
  <fills count="28">
    <fill>
      <patternFill patternType="none"/>
    </fill>
    <fill>
      <patternFill patternType="gray125"/>
    </fill>
    <fill>
      <patternFill patternType="solid">
        <fgColor rgb="FFD9E2F3"/>
        <bgColor rgb="FFD9E2F3"/>
      </patternFill>
    </fill>
    <fill>
      <patternFill patternType="solid">
        <fgColor rgb="FFD6DCE4"/>
        <bgColor rgb="FFD6DCE4"/>
      </patternFill>
    </fill>
    <fill>
      <patternFill patternType="solid">
        <fgColor rgb="FFFEF2CB"/>
        <bgColor rgb="FFFEF2CB"/>
      </patternFill>
    </fill>
    <fill>
      <patternFill patternType="solid">
        <fgColor rgb="FFC6EFCE"/>
      </patternFill>
    </fill>
    <fill>
      <patternFill patternType="solid">
        <fgColor theme="8" tint="0.59999389629810485"/>
        <bgColor indexed="64"/>
      </patternFill>
    </fill>
    <fill>
      <patternFill patternType="solid">
        <fgColor theme="9" tint="0.79998168889431442"/>
        <bgColor rgb="FFD9E2F3"/>
      </patternFill>
    </fill>
    <fill>
      <patternFill patternType="solid">
        <fgColor rgb="FFFFEB9C"/>
      </patternFill>
    </fill>
    <fill>
      <patternFill patternType="solid">
        <fgColor theme="8" tint="0.39997558519241921"/>
        <bgColor indexed="64"/>
      </patternFill>
    </fill>
    <fill>
      <patternFill patternType="solid">
        <fgColor rgb="FFFEF2CB"/>
        <bgColor indexed="64"/>
      </patternFill>
    </fill>
    <fill>
      <patternFill patternType="solid">
        <fgColor theme="5" tint="0.39997558519241921"/>
        <bgColor indexed="64"/>
      </patternFill>
    </fill>
    <fill>
      <patternFill patternType="solid">
        <fgColor theme="2" tint="-4.9989318521683403E-2"/>
        <bgColor indexed="64"/>
      </patternFill>
    </fill>
    <fill>
      <patternFill patternType="solid">
        <fgColor theme="2" tint="-4.9989318521683403E-2"/>
        <bgColor rgb="FFF2F2F2"/>
      </patternFill>
    </fill>
    <fill>
      <patternFill patternType="solid">
        <fgColor theme="2" tint="-4.9989318521683403E-2"/>
        <bgColor rgb="FFD9E2F3"/>
      </patternFill>
    </fill>
    <fill>
      <patternFill patternType="solid">
        <fgColor theme="2" tint="-4.9989318521683403E-2"/>
        <bgColor rgb="FFFFFFFF"/>
      </patternFill>
    </fill>
    <fill>
      <patternFill patternType="solid">
        <fgColor theme="0" tint="-0.14999847407452621"/>
        <bgColor indexed="64"/>
      </patternFill>
    </fill>
    <fill>
      <patternFill patternType="solid">
        <fgColor theme="4" tint="0.59999389629810485"/>
        <bgColor indexed="65"/>
      </patternFill>
    </fill>
    <fill>
      <patternFill patternType="solid">
        <fgColor theme="7" tint="-0.249977111117893"/>
        <bgColor indexed="64"/>
      </patternFill>
    </fill>
    <fill>
      <patternFill patternType="solid">
        <fgColor theme="8" tint="0.79998168889431442"/>
        <bgColor indexed="64"/>
      </patternFill>
    </fill>
    <fill>
      <patternFill patternType="solid">
        <fgColor theme="5" tint="0.79998168889431442"/>
        <bgColor rgb="FFFFFFFF"/>
      </patternFill>
    </fill>
    <fill>
      <patternFill patternType="solid">
        <fgColor theme="5" tint="0.79998168889431442"/>
        <bgColor indexed="64"/>
      </patternFill>
    </fill>
    <fill>
      <patternFill patternType="solid">
        <fgColor theme="6" tint="0.79998168889431442"/>
        <bgColor rgb="FFD6DCE4"/>
      </patternFill>
    </fill>
    <fill>
      <patternFill patternType="solid">
        <fgColor theme="6" tint="0.79998168889431442"/>
        <bgColor indexed="64"/>
      </patternFill>
    </fill>
    <fill>
      <patternFill patternType="solid">
        <fgColor theme="5" tint="0.79998168889431442"/>
        <bgColor rgb="FFFEF2CB"/>
      </patternFill>
    </fill>
    <fill>
      <patternFill patternType="solid">
        <fgColor theme="4" tint="0.79998168889431442"/>
        <bgColor rgb="FFD9E2F3"/>
      </patternFill>
    </fill>
    <fill>
      <patternFill patternType="solid">
        <fgColor theme="2" tint="-0.249977111117893"/>
        <bgColor indexed="64"/>
      </patternFill>
    </fill>
    <fill>
      <patternFill patternType="solid">
        <fgColor theme="0" tint="-4.9989318521683403E-2"/>
        <bgColor indexed="64"/>
      </patternFill>
    </fill>
  </fills>
  <borders count="104">
    <border>
      <left/>
      <right/>
      <top/>
      <bottom/>
      <diagonal/>
    </border>
    <border>
      <left style="thin">
        <color rgb="FFBFBFBF"/>
      </left>
      <right style="thin">
        <color rgb="FFBFBFBF"/>
      </right>
      <top style="thin">
        <color rgb="FFBFBFBF"/>
      </top>
      <bottom style="thick">
        <color rgb="FF2F5496"/>
      </bottom>
      <diagonal/>
    </border>
    <border>
      <left style="thin">
        <color rgb="FFBFBFBF"/>
      </left>
      <right style="thin">
        <color rgb="FFBFBFBF"/>
      </right>
      <top/>
      <bottom style="thin">
        <color rgb="FFBFBFBF"/>
      </bottom>
      <diagonal/>
    </border>
    <border>
      <left style="thin">
        <color rgb="FFBFBFBF"/>
      </left>
      <right style="thin">
        <color rgb="FFBFBFBF"/>
      </right>
      <top style="thin">
        <color rgb="FFBFBFBF"/>
      </top>
      <bottom style="thin">
        <color rgb="FFBFBFBF"/>
      </bottom>
      <diagonal/>
    </border>
    <border>
      <left style="thin">
        <color rgb="FFA5A5A5"/>
      </left>
      <right style="thin">
        <color rgb="FFA5A5A5"/>
      </right>
      <top style="thin">
        <color rgb="FFA5A5A5"/>
      </top>
      <bottom style="thick">
        <color rgb="FF2F5496"/>
      </bottom>
      <diagonal/>
    </border>
    <border>
      <left style="thin">
        <color rgb="FFA5A5A5"/>
      </left>
      <right style="thin">
        <color rgb="FFA5A5A5"/>
      </right>
      <top/>
      <bottom style="thin">
        <color rgb="FFA5A5A5"/>
      </bottom>
      <diagonal/>
    </border>
    <border>
      <left style="thin">
        <color rgb="FFA5A5A5"/>
      </left>
      <right style="thin">
        <color rgb="FFA5A5A5"/>
      </right>
      <top style="thin">
        <color rgb="FFA5A5A5"/>
      </top>
      <bottom style="thin">
        <color rgb="FFA5A5A5"/>
      </bottom>
      <diagonal/>
    </border>
    <border>
      <left style="thin">
        <color rgb="FFA5A5A5"/>
      </left>
      <right/>
      <top/>
      <bottom style="thin">
        <color rgb="FFA5A5A5"/>
      </bottom>
      <diagonal/>
    </border>
    <border>
      <left style="thin">
        <color rgb="FFA5A5A5"/>
      </left>
      <right/>
      <top style="thin">
        <color rgb="FFA5A5A5"/>
      </top>
      <bottom style="thin">
        <color rgb="FFA5A5A5"/>
      </bottom>
      <diagonal/>
    </border>
    <border>
      <left/>
      <right style="thin">
        <color rgb="FFA5A5A5"/>
      </right>
      <top style="thin">
        <color rgb="FFA5A5A5"/>
      </top>
      <bottom style="thick">
        <color rgb="FF2F5496"/>
      </bottom>
      <diagonal/>
    </border>
    <border>
      <left/>
      <right style="thin">
        <color rgb="FFA5A5A5"/>
      </right>
      <top/>
      <bottom style="thin">
        <color rgb="FFA5A5A5"/>
      </bottom>
      <diagonal/>
    </border>
    <border>
      <left style="thick">
        <color theme="4" tint="-0.499984740745262"/>
      </left>
      <right style="thick">
        <color theme="4" tint="-0.499984740745262"/>
      </right>
      <top style="thick">
        <color theme="4" tint="-0.499984740745262"/>
      </top>
      <bottom style="thick">
        <color rgb="FF2F5496"/>
      </bottom>
      <diagonal/>
    </border>
    <border>
      <left style="thick">
        <color theme="4" tint="-0.499984740745262"/>
      </left>
      <right style="thick">
        <color theme="4" tint="-0.499984740745262"/>
      </right>
      <top style="thin">
        <color rgb="FFA5A5A5"/>
      </top>
      <bottom style="thin">
        <color rgb="FFA5A5A5"/>
      </bottom>
      <diagonal/>
    </border>
    <border>
      <left style="thick">
        <color rgb="FFC00000"/>
      </left>
      <right style="thick">
        <color rgb="FFC00000"/>
      </right>
      <top style="thick">
        <color rgb="FFC00000"/>
      </top>
      <bottom style="thick">
        <color rgb="FF2F5496"/>
      </bottom>
      <diagonal/>
    </border>
    <border>
      <left style="thick">
        <color rgb="FFC00000"/>
      </left>
      <right style="thick">
        <color rgb="FFC00000"/>
      </right>
      <top style="thin">
        <color rgb="FFA5A5A5"/>
      </top>
      <bottom style="thin">
        <color rgb="FFA5A5A5"/>
      </bottom>
      <diagonal/>
    </border>
    <border>
      <left style="medium">
        <color theme="4" tint="-0.499984740745262"/>
      </left>
      <right style="thin">
        <color rgb="FFA5A5A5"/>
      </right>
      <top/>
      <bottom style="thin">
        <color rgb="FFA5A5A5"/>
      </bottom>
      <diagonal/>
    </border>
    <border>
      <left style="medium">
        <color theme="4" tint="-0.499984740745262"/>
      </left>
      <right style="thin">
        <color rgb="FFA5A5A5"/>
      </right>
      <top style="thin">
        <color rgb="FFA5A5A5"/>
      </top>
      <bottom style="thin">
        <color rgb="FFA5A5A5"/>
      </bottom>
      <diagonal/>
    </border>
    <border>
      <left style="thin">
        <color rgb="FFA5A5A5"/>
      </left>
      <right style="medium">
        <color theme="4" tint="-0.499984740745262"/>
      </right>
      <top/>
      <bottom style="thin">
        <color rgb="FFA5A5A5"/>
      </bottom>
      <diagonal/>
    </border>
    <border>
      <left style="thin">
        <color rgb="FFA5A5A5"/>
      </left>
      <right style="medium">
        <color theme="4" tint="-0.499984740745262"/>
      </right>
      <top style="thin">
        <color rgb="FFA5A5A5"/>
      </top>
      <bottom style="thin">
        <color rgb="FFA5A5A5"/>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medium">
        <color theme="4" tint="-0.24994659260841701"/>
      </right>
      <top/>
      <bottom/>
      <diagonal/>
    </border>
    <border>
      <left/>
      <right style="thin">
        <color rgb="FFBFBFBF"/>
      </right>
      <top style="thin">
        <color rgb="FFBFBFBF"/>
      </top>
      <bottom style="thick">
        <color rgb="FF2F5496"/>
      </bottom>
      <diagonal/>
    </border>
    <border>
      <left style="thin">
        <color rgb="FFBFBFBF"/>
      </left>
      <right style="medium">
        <color theme="4" tint="-0.499984740745262"/>
      </right>
      <top style="thin">
        <color rgb="FFBFBFBF"/>
      </top>
      <bottom style="thick">
        <color rgb="FF2F5496"/>
      </bottom>
      <diagonal/>
    </border>
    <border>
      <left style="medium">
        <color theme="4" tint="-0.499984740745262"/>
      </left>
      <right style="medium">
        <color theme="4" tint="-0.499984740745262"/>
      </right>
      <top style="thin">
        <color rgb="FFBFBFBF"/>
      </top>
      <bottom style="thick">
        <color rgb="FF2F5496"/>
      </bottom>
      <diagonal/>
    </border>
    <border>
      <left style="medium">
        <color indexed="64"/>
      </left>
      <right style="medium">
        <color indexed="64"/>
      </right>
      <top style="medium">
        <color indexed="64"/>
      </top>
      <bottom style="medium">
        <color indexed="64"/>
      </bottom>
      <diagonal/>
    </border>
    <border>
      <left style="medium">
        <color theme="4" tint="-0.499984740745262"/>
      </left>
      <right style="thin">
        <color theme="0" tint="-0.24994659260841701"/>
      </right>
      <top style="thick">
        <color rgb="FF2F5496"/>
      </top>
      <bottom style="thin">
        <color theme="0" tint="-0.24994659260841701"/>
      </bottom>
      <diagonal/>
    </border>
    <border>
      <left style="thin">
        <color theme="0" tint="-0.24994659260841701"/>
      </left>
      <right style="thin">
        <color theme="0" tint="-0.24994659260841701"/>
      </right>
      <top style="thick">
        <color rgb="FF2F5496"/>
      </top>
      <bottom style="thin">
        <color theme="0" tint="-0.24994659260841701"/>
      </bottom>
      <diagonal/>
    </border>
    <border>
      <left style="thin">
        <color theme="0" tint="-0.24994659260841701"/>
      </left>
      <right style="medium">
        <color theme="4" tint="-0.499984740745262"/>
      </right>
      <top style="thick">
        <color rgb="FF2F5496"/>
      </top>
      <bottom style="thin">
        <color theme="0" tint="-0.24994659260841701"/>
      </bottom>
      <diagonal/>
    </border>
    <border>
      <left style="medium">
        <color theme="4"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medium">
        <color theme="4" tint="-0.499984740745262"/>
      </right>
      <top style="thin">
        <color theme="0" tint="-0.24994659260841701"/>
      </top>
      <bottom style="thin">
        <color theme="0" tint="-0.24994659260841701"/>
      </bottom>
      <diagonal/>
    </border>
    <border>
      <left/>
      <right style="thin">
        <color rgb="FFBFBFBF"/>
      </right>
      <top style="thick">
        <color rgb="FF2F5496"/>
      </top>
      <bottom style="thin">
        <color theme="0" tint="-0.24994659260841701"/>
      </bottom>
      <diagonal/>
    </border>
    <border>
      <left/>
      <right style="thin">
        <color rgb="FFBFBFBF"/>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rgb="FFBFBFBF"/>
      </left>
      <right style="medium">
        <color theme="4" tint="-0.499984740745262"/>
      </right>
      <top style="thick">
        <color rgb="FF2F5496"/>
      </top>
      <bottom style="thin">
        <color theme="0" tint="-0.24994659260841701"/>
      </bottom>
      <diagonal/>
    </border>
    <border>
      <left style="thin">
        <color rgb="FFBFBFBF"/>
      </left>
      <right style="medium">
        <color theme="4" tint="-0.499984740745262"/>
      </right>
      <top style="thin">
        <color theme="0" tint="-0.24994659260841701"/>
      </top>
      <bottom style="thin">
        <color theme="0" tint="-0.24994659260841701"/>
      </bottom>
      <diagonal/>
    </border>
    <border>
      <left/>
      <right style="medium">
        <color theme="4" tint="-0.499984740745262"/>
      </right>
      <top style="thin">
        <color theme="0" tint="-0.24994659260841701"/>
      </top>
      <bottom style="thin">
        <color theme="0" tint="-0.24994659260841701"/>
      </bottom>
      <diagonal/>
    </border>
    <border>
      <left style="medium">
        <color theme="4" tint="-0.499984740745262"/>
      </left>
      <right style="medium">
        <color theme="4" tint="-0.499984740745262"/>
      </right>
      <top style="thick">
        <color rgb="FF2F5496"/>
      </top>
      <bottom style="thin">
        <color theme="0" tint="-0.24994659260841701"/>
      </bottom>
      <diagonal/>
    </border>
    <border>
      <left style="medium">
        <color theme="4" tint="-0.499984740745262"/>
      </left>
      <right style="medium">
        <color theme="4" tint="-0.499984740745262"/>
      </right>
      <top style="thin">
        <color theme="0" tint="-0.24994659260841701"/>
      </top>
      <bottom style="thin">
        <color theme="0" tint="-0.24994659260841701"/>
      </bottom>
      <diagonal/>
    </border>
    <border>
      <left style="medium">
        <color indexed="64"/>
      </left>
      <right style="medium">
        <color indexed="64"/>
      </right>
      <top style="medium">
        <color indexed="64"/>
      </top>
      <bottom/>
      <diagonal/>
    </border>
    <border>
      <left style="thin">
        <color rgb="FFA5A5A5"/>
      </left>
      <right style="thin">
        <color rgb="FFA5A5A5"/>
      </right>
      <top style="thick">
        <color theme="4" tint="-0.24994659260841701"/>
      </top>
      <bottom style="thick">
        <color rgb="FF2F5496"/>
      </bottom>
      <diagonal/>
    </border>
    <border>
      <left style="thin">
        <color rgb="FFA5A5A5"/>
      </left>
      <right style="medium">
        <color theme="4" tint="-0.24994659260841701"/>
      </right>
      <top style="thick">
        <color theme="4" tint="-0.24994659260841701"/>
      </top>
      <bottom style="thick">
        <color rgb="FF2F5496"/>
      </bottom>
      <diagonal/>
    </border>
    <border>
      <left/>
      <right style="thin">
        <color rgb="FFA5A5A5"/>
      </right>
      <top style="thick">
        <color theme="4" tint="-0.24994659260841701"/>
      </top>
      <bottom style="thick">
        <color rgb="FF2F5496"/>
      </bottom>
      <diagonal/>
    </border>
    <border>
      <left style="thin">
        <color rgb="FFA5A5A5"/>
      </left>
      <right/>
      <top style="thick">
        <color theme="4" tint="-0.24994659260841701"/>
      </top>
      <bottom style="thick">
        <color rgb="FF2F5496"/>
      </bottom>
      <diagonal/>
    </border>
    <border>
      <left/>
      <right style="thick">
        <color theme="4" tint="-0.499984740745262"/>
      </right>
      <top style="thick">
        <color theme="4" tint="-0.24994659260841701"/>
      </top>
      <bottom style="thick">
        <color rgb="FF2F5496"/>
      </bottom>
      <diagonal/>
    </border>
    <border>
      <left style="medium">
        <color rgb="FF002060"/>
      </left>
      <right style="thin">
        <color rgb="FFA5A5A5"/>
      </right>
      <top style="medium">
        <color rgb="FF002060"/>
      </top>
      <bottom/>
      <diagonal/>
    </border>
    <border>
      <left style="thin">
        <color rgb="FFA5A5A5"/>
      </left>
      <right style="medium">
        <color theme="4" tint="-0.499984740745262"/>
      </right>
      <top style="medium">
        <color rgb="FF002060"/>
      </top>
      <bottom/>
      <diagonal/>
    </border>
    <border>
      <left style="medium">
        <color rgb="FF002060"/>
      </left>
      <right style="thin">
        <color rgb="FFA5A5A5"/>
      </right>
      <top style="thin">
        <color rgb="FFA5A5A5"/>
      </top>
      <bottom style="thin">
        <color rgb="FFA5A5A5"/>
      </bottom>
      <diagonal/>
    </border>
    <border>
      <left style="thin">
        <color theme="0" tint="-0.34998626667073579"/>
      </left>
      <right style="thin">
        <color theme="0" tint="-0.34998626667073579"/>
      </right>
      <top/>
      <bottom style="thin">
        <color theme="0" tint="-0.34998626667073579"/>
      </bottom>
      <diagonal/>
    </border>
    <border>
      <left style="thin">
        <color rgb="FFBFBFBF"/>
      </left>
      <right style="thin">
        <color rgb="FFBFBFBF"/>
      </right>
      <top style="thick">
        <color theme="4" tint="-0.24994659260841701"/>
      </top>
      <bottom style="thick">
        <color theme="4" tint="-0.499984740745262"/>
      </bottom>
      <diagonal/>
    </border>
    <border>
      <left style="medium">
        <color theme="4" tint="-0.24994659260841701"/>
      </left>
      <right style="thin">
        <color rgb="FFBFBFBF"/>
      </right>
      <top style="thick">
        <color theme="4" tint="-0.24994659260841701"/>
      </top>
      <bottom style="thick">
        <color theme="4" tint="-0.499984740745262"/>
      </bottom>
      <diagonal/>
    </border>
    <border>
      <left style="thin">
        <color rgb="FFBFBFBF"/>
      </left>
      <right style="medium">
        <color theme="4" tint="-0.24994659260841701"/>
      </right>
      <top style="thick">
        <color theme="4" tint="-0.24994659260841701"/>
      </top>
      <bottom style="thick">
        <color theme="4" tint="-0.499984740745262"/>
      </bottom>
      <diagonal/>
    </border>
    <border>
      <left style="thin">
        <color theme="0" tint="-0.34998626667073579"/>
      </left>
      <right style="medium">
        <color theme="4" tint="-0.24994659260841701"/>
      </right>
      <top/>
      <bottom style="thin">
        <color theme="0" tint="-0.34998626667073579"/>
      </bottom>
      <diagonal/>
    </border>
    <border>
      <left/>
      <right/>
      <top/>
      <bottom style="thick">
        <color theme="4" tint="-0.24994659260841701"/>
      </bottom>
      <diagonal/>
    </border>
    <border>
      <left style="thin">
        <color rgb="FFA5A5A5"/>
      </left>
      <right style="thin">
        <color rgb="FFA5A5A5"/>
      </right>
      <top/>
      <bottom style="thick">
        <color theme="4" tint="-0.499984740745262"/>
      </bottom>
      <diagonal/>
    </border>
    <border>
      <left style="thin">
        <color rgb="FFA5A5A5"/>
      </left>
      <right/>
      <top/>
      <bottom style="thick">
        <color theme="4" tint="-0.499984740745262"/>
      </bottom>
      <diagonal/>
    </border>
    <border>
      <left style="medium">
        <color theme="4" tint="-0.499984740745262"/>
      </left>
      <right style="thin">
        <color rgb="FFA5A5A5"/>
      </right>
      <top/>
      <bottom style="thick">
        <color theme="4" tint="-0.499984740745262"/>
      </bottom>
      <diagonal/>
    </border>
    <border>
      <left style="medium">
        <color theme="4" tint="-0.499984740745262"/>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rgb="FF002060"/>
      </right>
      <top style="thin">
        <color theme="0" tint="-0.34998626667073579"/>
      </top>
      <bottom style="thin">
        <color theme="0" tint="-0.34998626667073579"/>
      </bottom>
      <diagonal/>
    </border>
    <border>
      <left style="medium">
        <color theme="4" tint="-0.499984740745262"/>
      </left>
      <right style="thin">
        <color theme="0" tint="-0.34998626667073579"/>
      </right>
      <top/>
      <bottom style="thin">
        <color theme="0" tint="-0.34998626667073579"/>
      </bottom>
      <diagonal/>
    </border>
    <border>
      <left style="thin">
        <color theme="0" tint="-0.34998626667073579"/>
      </left>
      <right style="medium">
        <color rgb="FF002060"/>
      </right>
      <top/>
      <bottom style="thin">
        <color theme="0" tint="-0.34998626667073579"/>
      </bottom>
      <diagonal/>
    </border>
    <border>
      <left style="medium">
        <color rgb="FF002060"/>
      </left>
      <right style="thin">
        <color theme="0" tint="-0.34998626667073579"/>
      </right>
      <top style="thin">
        <color theme="0" tint="-0.34998626667073579"/>
      </top>
      <bottom style="thin">
        <color theme="0" tint="-0.34998626667073579"/>
      </bottom>
      <diagonal/>
    </border>
    <border>
      <left style="medium">
        <color theme="4" tint="-0.499984740745262"/>
      </left>
      <right style="thin">
        <color theme="0" tint="-0.34998626667073579"/>
      </right>
      <top/>
      <bottom style="thick">
        <color theme="4" tint="-0.499984740745262"/>
      </bottom>
      <diagonal/>
    </border>
    <border>
      <left style="thin">
        <color theme="0" tint="-0.34998626667073579"/>
      </left>
      <right style="medium">
        <color rgb="FF002060"/>
      </right>
      <top/>
      <bottom style="thick">
        <color theme="4" tint="-0.499984740745262"/>
      </bottom>
      <diagonal/>
    </border>
    <border>
      <left style="thin">
        <color theme="0"/>
      </left>
      <right style="thin">
        <color theme="0"/>
      </right>
      <top/>
      <bottom/>
      <diagonal/>
    </border>
    <border>
      <left style="medium">
        <color rgb="FF002060"/>
      </left>
      <right style="thin">
        <color theme="0" tint="-0.34998626667073579"/>
      </right>
      <top style="medium">
        <color rgb="FF002060"/>
      </top>
      <bottom style="thin">
        <color theme="0" tint="-0.34998626667073579"/>
      </bottom>
      <diagonal/>
    </border>
    <border>
      <left style="thin">
        <color theme="0" tint="-0.34998626667073579"/>
      </left>
      <right style="medium">
        <color rgb="FF002060"/>
      </right>
      <top style="medium">
        <color rgb="FF002060"/>
      </top>
      <bottom style="thin">
        <color theme="0" tint="-0.34998626667073579"/>
      </bottom>
      <diagonal/>
    </border>
    <border>
      <left style="medium">
        <color rgb="FF002060"/>
      </left>
      <right style="thin">
        <color theme="0" tint="-0.34998626667073579"/>
      </right>
      <top/>
      <bottom style="thin">
        <color theme="0" tint="-0.34998626667073579"/>
      </bottom>
      <diagonal/>
    </border>
    <border>
      <left style="medium">
        <color rgb="FF002060"/>
      </left>
      <right style="thin">
        <color theme="0" tint="-0.34998626667073579"/>
      </right>
      <top style="thin">
        <color theme="0" tint="-0.34998626667073579"/>
      </top>
      <bottom style="thick">
        <color rgb="FF002060"/>
      </bottom>
      <diagonal/>
    </border>
    <border>
      <left style="thin">
        <color theme="0" tint="-0.34998626667073579"/>
      </left>
      <right style="medium">
        <color rgb="FF002060"/>
      </right>
      <top style="thin">
        <color theme="0" tint="-0.34998626667073579"/>
      </top>
      <bottom style="thick">
        <color rgb="FF002060"/>
      </bottom>
      <diagonal/>
    </border>
    <border>
      <left style="thin">
        <color rgb="FFA5A5A5"/>
      </left>
      <right style="medium">
        <color theme="4" tint="-0.24994659260841701"/>
      </right>
      <top/>
      <bottom style="thin">
        <color rgb="FFA5A5A5"/>
      </bottom>
      <diagonal/>
    </border>
    <border>
      <left/>
      <right/>
      <top/>
      <bottom style="thin">
        <color rgb="FFA5A5A5"/>
      </bottom>
      <diagonal/>
    </border>
    <border>
      <left style="thick">
        <color theme="4" tint="-0.499984740745262"/>
      </left>
      <right style="thick">
        <color theme="4" tint="-0.499984740745262"/>
      </right>
      <top/>
      <bottom style="thin">
        <color rgb="FFA5A5A5"/>
      </bottom>
      <diagonal/>
    </border>
    <border>
      <left style="thick">
        <color rgb="FFC00000"/>
      </left>
      <right style="thick">
        <color rgb="FFC00000"/>
      </right>
      <top/>
      <bottom style="thin">
        <color rgb="FFA5A5A5"/>
      </bottom>
      <diagonal/>
    </border>
    <border>
      <left style="medium">
        <color theme="4" tint="-0.24994659260841701"/>
      </left>
      <right style="thin">
        <color theme="0" tint="-0.34998626667073579"/>
      </right>
      <top/>
      <bottom style="thin">
        <color theme="0" tint="-0.34998626667073579"/>
      </bottom>
      <diagonal/>
    </border>
    <border>
      <left style="thin">
        <color rgb="FFA5A5A5"/>
      </left>
      <right style="medium">
        <color rgb="FF002060"/>
      </right>
      <top style="medium">
        <color rgb="FF002060"/>
      </top>
      <bottom/>
      <diagonal/>
    </border>
    <border>
      <left style="thin">
        <color rgb="FFA5A5A5"/>
      </left>
      <right style="medium">
        <color rgb="FF002060"/>
      </right>
      <top style="thin">
        <color rgb="FFA5A5A5"/>
      </top>
      <bottom style="thin">
        <color rgb="FFA5A5A5"/>
      </bottom>
      <diagonal/>
    </border>
    <border>
      <left style="medium">
        <color rgb="FF002060"/>
      </left>
      <right style="thin">
        <color rgb="FFA5A5A5"/>
      </right>
      <top/>
      <bottom style="thick">
        <color theme="4" tint="-0.499984740745262"/>
      </bottom>
      <diagonal/>
    </border>
    <border>
      <left style="thin">
        <color rgb="FFA5A5A5"/>
      </left>
      <right style="medium">
        <color rgb="FF002060"/>
      </right>
      <top/>
      <bottom style="thick">
        <color theme="4" tint="-0.499984740745262"/>
      </bottom>
      <diagonal/>
    </border>
    <border>
      <left style="medium">
        <color rgb="FF002060"/>
      </left>
      <right style="thin">
        <color rgb="FFA5A5A5"/>
      </right>
      <top/>
      <bottom style="thin">
        <color rgb="FFA5A5A5"/>
      </bottom>
      <diagonal/>
    </border>
    <border>
      <left style="thin">
        <color rgb="FFA5A5A5"/>
      </left>
      <right style="medium">
        <color rgb="FF002060"/>
      </right>
      <top/>
      <bottom style="thin">
        <color rgb="FFA5A5A5"/>
      </bottom>
      <diagonal/>
    </border>
    <border>
      <left style="thin">
        <color theme="8" tint="0.79998168889431442"/>
      </left>
      <right style="medium">
        <color rgb="FF002060"/>
      </right>
      <top style="medium">
        <color theme="4" tint="-0.499984740745262"/>
      </top>
      <bottom style="thin">
        <color theme="0" tint="-0.34998626667073579"/>
      </bottom>
      <diagonal/>
    </border>
    <border>
      <left style="thin">
        <color rgb="FFA5A5A5"/>
      </left>
      <right style="medium">
        <color theme="4" tint="-0.499984740745262"/>
      </right>
      <top/>
      <bottom style="thick">
        <color theme="4" tint="-0.499984740745262"/>
      </bottom>
      <diagonal/>
    </border>
    <border>
      <left/>
      <right style="thin">
        <color rgb="FFA5A5A5"/>
      </right>
      <top style="medium">
        <color rgb="FF002060"/>
      </top>
      <bottom/>
      <diagonal/>
    </border>
    <border>
      <left/>
      <right style="thin">
        <color rgb="FFA5A5A5"/>
      </right>
      <top style="thin">
        <color rgb="FFA5A5A5"/>
      </top>
      <bottom style="medium">
        <color rgb="FF002060"/>
      </bottom>
      <diagonal/>
    </border>
    <border>
      <left/>
      <right style="thin">
        <color theme="0"/>
      </right>
      <top/>
      <bottom/>
      <diagonal/>
    </border>
    <border>
      <left/>
      <right style="thin">
        <color theme="8" tint="0.79998168889431442"/>
      </right>
      <top style="medium">
        <color theme="4" tint="-0.499984740745262"/>
      </top>
      <bottom style="thin">
        <color theme="0" tint="-0.34998626667073579"/>
      </bottom>
      <diagonal/>
    </border>
    <border>
      <left style="thin">
        <color rgb="FFA5A5A5"/>
      </left>
      <right style="medium">
        <color theme="4" tint="-0.499984740745262"/>
      </right>
      <top style="thin">
        <color rgb="FFA5A5A5"/>
      </top>
      <bottom style="medium">
        <color rgb="FF002060"/>
      </bottom>
      <diagonal/>
    </border>
    <border>
      <left/>
      <right/>
      <top/>
      <bottom style="medium">
        <color theme="4" tint="-0.499984740745262"/>
      </bottom>
      <diagonal/>
    </border>
    <border>
      <left style="medium">
        <color theme="4" tint="-0.499984740745262"/>
      </left>
      <right/>
      <top style="medium">
        <color rgb="FF002060"/>
      </top>
      <bottom style="thin">
        <color theme="0" tint="-0.34998626667073579"/>
      </bottom>
      <diagonal/>
    </border>
    <border>
      <left style="medium">
        <color theme="4" tint="-0.499984740745262"/>
      </left>
      <right/>
      <top style="thin">
        <color theme="0" tint="-0.34998626667073579"/>
      </top>
      <bottom style="medium">
        <color theme="4" tint="-0.499984740745262"/>
      </bottom>
      <diagonal/>
    </border>
    <border>
      <left style="medium">
        <color theme="4" tint="-0.499984740745262"/>
      </left>
      <right/>
      <top style="thick">
        <color theme="0" tint="-4.9989318521683403E-2"/>
      </top>
      <bottom/>
      <diagonal/>
    </border>
    <border>
      <left/>
      <right/>
      <top style="thick">
        <color theme="0" tint="-4.9989318521683403E-2"/>
      </top>
      <bottom/>
      <diagonal/>
    </border>
    <border>
      <left/>
      <right style="medium">
        <color theme="4" tint="-0.499984740745262"/>
      </right>
      <top/>
      <bottom/>
      <diagonal/>
    </border>
    <border>
      <left style="medium">
        <color theme="4" tint="-0.499984740745262"/>
      </left>
      <right/>
      <top/>
      <bottom style="medium">
        <color theme="4" tint="-0.499984740745262"/>
      </bottom>
      <diagonal/>
    </border>
    <border>
      <left/>
      <right style="medium">
        <color theme="4" tint="-0.499984740745262"/>
      </right>
      <top/>
      <bottom style="medium">
        <color theme="4" tint="-0.499984740745262"/>
      </bottom>
      <diagonal/>
    </border>
    <border>
      <left/>
      <right/>
      <top style="thick">
        <color theme="0" tint="-4.9989318521683403E-2"/>
      </top>
      <bottom style="medium">
        <color theme="4" tint="-0.499984740745262"/>
      </bottom>
      <diagonal/>
    </border>
    <border>
      <left style="medium">
        <color rgb="FF002060"/>
      </left>
      <right/>
      <top style="thick">
        <color theme="0" tint="-4.9989318521683403E-2"/>
      </top>
      <bottom/>
      <diagonal/>
    </border>
    <border>
      <left style="medium">
        <color rgb="FF002060"/>
      </left>
      <right/>
      <top style="thick">
        <color theme="4" tint="-0.499984740745262"/>
      </top>
      <bottom style="thin">
        <color theme="0" tint="-0.34998626667073579"/>
      </bottom>
      <diagonal/>
    </border>
    <border>
      <left style="thin">
        <color theme="4" tint="-0.499984740745262"/>
      </left>
      <right style="medium">
        <color theme="4" tint="-0.499984740745262"/>
      </right>
      <top/>
      <bottom style="thin">
        <color theme="0" tint="-0.34998626667073579"/>
      </bottom>
      <diagonal/>
    </border>
    <border>
      <left style="medium">
        <color theme="4" tint="-0.499984740745262"/>
      </left>
      <right/>
      <top/>
      <bottom style="thin">
        <color theme="0" tint="-0.34998626667073579"/>
      </bottom>
      <diagonal/>
    </border>
    <border>
      <left style="thin">
        <color theme="0" tint="-0.14993743705557422"/>
      </left>
      <right style="thin">
        <color theme="0" tint="-0.14993743705557422"/>
      </right>
      <top style="thin">
        <color theme="0" tint="-0.14996795556505021"/>
      </top>
      <bottom style="thin">
        <color theme="0" tint="-0.14996795556505021"/>
      </bottom>
      <diagonal/>
    </border>
    <border>
      <left style="thin">
        <color theme="0" tint="-0.14993743705557422"/>
      </left>
      <right style="thin">
        <color theme="0" tint="-0.14993743705557422"/>
      </right>
      <top/>
      <bottom style="thin">
        <color theme="0" tint="-0.14996795556505021"/>
      </bottom>
      <diagonal/>
    </border>
    <border>
      <left style="thin">
        <color theme="0" tint="-0.14993743705557422"/>
      </left>
      <right style="thin">
        <color theme="0" tint="-0.14993743705557422"/>
      </right>
      <top style="thin">
        <color theme="0" tint="-0.14996795556505021"/>
      </top>
      <bottom style="double">
        <color indexed="64"/>
      </bottom>
      <diagonal/>
    </border>
  </borders>
  <cellStyleXfs count="4">
    <xf numFmtId="0" fontId="0" fillId="0" borderId="0"/>
    <xf numFmtId="0" fontId="7" fillId="5" borderId="0" applyNumberFormat="0" applyBorder="0" applyAlignment="0" applyProtection="0"/>
    <xf numFmtId="0" fontId="19" fillId="8" borderId="0" applyNumberFormat="0" applyBorder="0" applyAlignment="0" applyProtection="0"/>
    <xf numFmtId="0" fontId="1" fillId="17" borderId="0" applyNumberFormat="0" applyBorder="0" applyAlignment="0" applyProtection="0"/>
  </cellStyleXfs>
  <cellXfs count="220">
    <xf numFmtId="0" fontId="0" fillId="0" borderId="0" xfId="0"/>
    <xf numFmtId="0" fontId="6" fillId="2" borderId="1" xfId="0" applyFont="1" applyFill="1" applyBorder="1" applyAlignment="1">
      <alignment horizontal="center" vertical="center"/>
    </xf>
    <xf numFmtId="0" fontId="5" fillId="0" borderId="0" xfId="0" applyFont="1" applyAlignment="1">
      <alignment vertical="center"/>
    </xf>
    <xf numFmtId="0" fontId="5" fillId="0" borderId="2" xfId="0" applyFont="1" applyBorder="1"/>
    <xf numFmtId="0" fontId="5" fillId="0" borderId="3" xfId="0" applyFont="1" applyBorder="1"/>
    <xf numFmtId="0" fontId="9" fillId="2" borderId="1" xfId="0" applyFont="1" applyFill="1" applyBorder="1" applyAlignment="1">
      <alignment horizontal="center" vertical="center" wrapText="1"/>
    </xf>
    <xf numFmtId="0" fontId="9" fillId="2" borderId="4" xfId="0" applyFont="1" applyFill="1" applyBorder="1" applyAlignment="1">
      <alignment horizontal="center" vertical="center" wrapText="1"/>
    </xf>
    <xf numFmtId="0" fontId="10" fillId="0" borderId="0" xfId="0" applyFont="1"/>
    <xf numFmtId="0" fontId="9" fillId="7" borderId="4"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3" fillId="0" borderId="0" xfId="0" applyFont="1" applyAlignment="1">
      <alignment vertical="center"/>
    </xf>
    <xf numFmtId="3" fontId="9" fillId="2" borderId="1" xfId="0" applyNumberFormat="1" applyFont="1" applyFill="1" applyBorder="1" applyAlignment="1">
      <alignment horizontal="center" vertical="center" wrapText="1"/>
    </xf>
    <xf numFmtId="0" fontId="2" fillId="0" borderId="0" xfId="0" applyFont="1"/>
    <xf numFmtId="0" fontId="9" fillId="2" borderId="22" xfId="0" applyFont="1" applyFill="1" applyBorder="1" applyAlignment="1">
      <alignment horizontal="center" vertical="center"/>
    </xf>
    <xf numFmtId="0" fontId="9" fillId="2" borderId="21" xfId="0" applyFont="1" applyFill="1" applyBorder="1" applyAlignment="1">
      <alignment horizontal="center" vertical="center" wrapText="1"/>
    </xf>
    <xf numFmtId="0" fontId="9" fillId="2" borderId="22" xfId="0" applyFont="1" applyFill="1" applyBorder="1" applyAlignment="1">
      <alignment horizontal="center" vertical="center" wrapText="1"/>
    </xf>
    <xf numFmtId="0" fontId="6" fillId="2" borderId="23" xfId="0" applyFont="1" applyFill="1" applyBorder="1" applyAlignment="1">
      <alignment horizontal="center" vertical="center"/>
    </xf>
    <xf numFmtId="10" fontId="6" fillId="2" borderId="21" xfId="0" applyNumberFormat="1" applyFont="1" applyFill="1" applyBorder="1" applyAlignment="1">
      <alignment horizontal="center" vertical="center"/>
    </xf>
    <xf numFmtId="0" fontId="6" fillId="2" borderId="22" xfId="0" applyFont="1" applyFill="1" applyBorder="1" applyAlignment="1">
      <alignment horizontal="center" vertical="center"/>
    </xf>
    <xf numFmtId="3" fontId="9" fillId="2" borderId="22" xfId="0" applyNumberFormat="1" applyFont="1" applyFill="1" applyBorder="1" applyAlignment="1">
      <alignment horizontal="center" vertical="center" wrapText="1"/>
    </xf>
    <xf numFmtId="49" fontId="8" fillId="9" borderId="24" xfId="0" applyNumberFormat="1" applyFont="1" applyFill="1" applyBorder="1" applyAlignment="1">
      <alignment horizontal="center" vertical="center"/>
    </xf>
    <xf numFmtId="0" fontId="9" fillId="2" borderId="11" xfId="0" applyFont="1" applyFill="1" applyBorder="1" applyAlignment="1">
      <alignment horizontal="center" vertical="center" wrapText="1"/>
    </xf>
    <xf numFmtId="0" fontId="8" fillId="11" borderId="13" xfId="1" applyFont="1" applyFill="1" applyBorder="1" applyAlignment="1">
      <alignment horizontal="center" vertical="center" wrapText="1"/>
    </xf>
    <xf numFmtId="0" fontId="0" fillId="12" borderId="0" xfId="0" applyFill="1"/>
    <xf numFmtId="0" fontId="5" fillId="12" borderId="0" xfId="0" applyFont="1" applyFill="1" applyAlignment="1">
      <alignment vertical="center"/>
    </xf>
    <xf numFmtId="0" fontId="5" fillId="14" borderId="1" xfId="0" applyFont="1" applyFill="1" applyBorder="1" applyAlignment="1">
      <alignment vertical="center"/>
    </xf>
    <xf numFmtId="0" fontId="5" fillId="13" borderId="37" xfId="0" applyFont="1" applyFill="1" applyBorder="1" applyAlignment="1">
      <alignment horizontal="center"/>
    </xf>
    <xf numFmtId="0" fontId="5" fillId="13" borderId="38" xfId="0" applyFont="1" applyFill="1" applyBorder="1" applyAlignment="1">
      <alignment horizontal="center"/>
    </xf>
    <xf numFmtId="0" fontId="0" fillId="12" borderId="38" xfId="0" applyFill="1" applyBorder="1" applyAlignment="1">
      <alignment horizontal="center"/>
    </xf>
    <xf numFmtId="0" fontId="9" fillId="13" borderId="34" xfId="0" applyFont="1" applyFill="1" applyBorder="1"/>
    <xf numFmtId="0" fontId="9" fillId="13" borderId="35" xfId="0" applyFont="1" applyFill="1" applyBorder="1"/>
    <xf numFmtId="0" fontId="8" fillId="12" borderId="36" xfId="0" applyFont="1" applyFill="1" applyBorder="1"/>
    <xf numFmtId="0" fontId="14" fillId="12" borderId="5" xfId="0" applyFont="1" applyFill="1" applyBorder="1" applyAlignment="1">
      <alignment horizontal="left" vertical="center"/>
    </xf>
    <xf numFmtId="0" fontId="15" fillId="12" borderId="5" xfId="0" applyFont="1" applyFill="1" applyBorder="1" applyAlignment="1">
      <alignment horizontal="center" vertical="center"/>
    </xf>
    <xf numFmtId="3" fontId="15" fillId="15" borderId="7" xfId="0" applyNumberFormat="1" applyFont="1" applyFill="1" applyBorder="1" applyAlignment="1">
      <alignment horizontal="center" vertical="center"/>
    </xf>
    <xf numFmtId="0" fontId="14" fillId="12" borderId="6" xfId="0" applyFont="1" applyFill="1" applyBorder="1" applyAlignment="1">
      <alignment horizontal="left" vertical="center"/>
    </xf>
    <xf numFmtId="0" fontId="15" fillId="12" borderId="6" xfId="0" applyFont="1" applyFill="1" applyBorder="1" applyAlignment="1">
      <alignment horizontal="center" vertical="center"/>
    </xf>
    <xf numFmtId="3" fontId="15" fillId="15" borderId="8" xfId="0" applyNumberFormat="1" applyFont="1" applyFill="1" applyBorder="1" applyAlignment="1">
      <alignment horizontal="center" vertical="center"/>
    </xf>
    <xf numFmtId="0" fontId="4" fillId="12" borderId="6" xfId="0" applyFont="1" applyFill="1" applyBorder="1" applyAlignment="1">
      <alignment horizontal="left" vertical="center"/>
    </xf>
    <xf numFmtId="0" fontId="3" fillId="12" borderId="6" xfId="0" applyFont="1" applyFill="1" applyBorder="1" applyAlignment="1">
      <alignment horizontal="center" vertical="center"/>
    </xf>
    <xf numFmtId="3" fontId="3" fillId="12" borderId="8" xfId="0" applyNumberFormat="1" applyFont="1" applyFill="1" applyBorder="1" applyAlignment="1">
      <alignment vertical="center"/>
    </xf>
    <xf numFmtId="0" fontId="2" fillId="16" borderId="0" xfId="0" applyFont="1" applyFill="1"/>
    <xf numFmtId="0" fontId="21" fillId="16" borderId="0" xfId="0" applyFont="1" applyFill="1"/>
    <xf numFmtId="9" fontId="22" fillId="10" borderId="39" xfId="2" applyNumberFormat="1" applyFont="1" applyFill="1" applyBorder="1" applyAlignment="1">
      <alignment horizontal="center" vertical="center"/>
    </xf>
    <xf numFmtId="0" fontId="9" fillId="2" borderId="40" xfId="0" applyFont="1" applyFill="1" applyBorder="1" applyAlignment="1">
      <alignment horizontal="center" vertical="center"/>
    </xf>
    <xf numFmtId="0" fontId="9" fillId="2" borderId="40" xfId="0" applyFont="1" applyFill="1" applyBorder="1" applyAlignment="1">
      <alignment horizontal="center" vertical="center" wrapText="1"/>
    </xf>
    <xf numFmtId="0" fontId="6" fillId="2" borderId="40" xfId="0" applyFont="1" applyFill="1" applyBorder="1" applyAlignment="1">
      <alignment horizontal="center" vertical="center"/>
    </xf>
    <xf numFmtId="0" fontId="6" fillId="2" borderId="40" xfId="0" applyFont="1" applyFill="1" applyBorder="1" applyAlignment="1">
      <alignment horizontal="center" vertical="center" wrapText="1"/>
    </xf>
    <xf numFmtId="0" fontId="6" fillId="2" borderId="41" xfId="0" applyFont="1" applyFill="1" applyBorder="1" applyAlignment="1">
      <alignment horizontal="center" vertical="center" wrapText="1"/>
    </xf>
    <xf numFmtId="0" fontId="9" fillId="2" borderId="43" xfId="0" applyFont="1" applyFill="1" applyBorder="1" applyAlignment="1">
      <alignment horizontal="center" vertical="center" wrapText="1"/>
    </xf>
    <xf numFmtId="0" fontId="9" fillId="2" borderId="44" xfId="0" applyFont="1" applyFill="1" applyBorder="1" applyAlignment="1">
      <alignment horizontal="center" vertical="center" wrapText="1"/>
    </xf>
    <xf numFmtId="0" fontId="8" fillId="6" borderId="40" xfId="1" applyFont="1" applyFill="1" applyBorder="1" applyAlignment="1">
      <alignment horizontal="center" vertical="center" wrapText="1"/>
    </xf>
    <xf numFmtId="0" fontId="8" fillId="6" borderId="43" xfId="1" applyFont="1" applyFill="1" applyBorder="1" applyAlignment="1">
      <alignment horizontal="center" vertical="center" wrapText="1"/>
    </xf>
    <xf numFmtId="3" fontId="5" fillId="13" borderId="31" xfId="0" applyNumberFormat="1" applyFont="1" applyFill="1" applyBorder="1" applyAlignment="1">
      <alignment horizontal="center"/>
    </xf>
    <xf numFmtId="3" fontId="5" fillId="13" borderId="32" xfId="0" applyNumberFormat="1" applyFont="1" applyFill="1" applyBorder="1" applyAlignment="1">
      <alignment horizontal="center"/>
    </xf>
    <xf numFmtId="3" fontId="0" fillId="12" borderId="33" xfId="0" applyNumberFormat="1" applyFill="1" applyBorder="1" applyAlignment="1">
      <alignment horizontal="center"/>
    </xf>
    <xf numFmtId="3" fontId="5" fillId="13" borderId="34" xfId="0" applyNumberFormat="1" applyFont="1" applyFill="1" applyBorder="1" applyAlignment="1">
      <alignment horizontal="center"/>
    </xf>
    <xf numFmtId="3" fontId="5" fillId="13" borderId="35" xfId="0" applyNumberFormat="1" applyFont="1" applyFill="1" applyBorder="1" applyAlignment="1">
      <alignment horizontal="center"/>
    </xf>
    <xf numFmtId="3" fontId="0" fillId="12" borderId="36" xfId="0" applyNumberFormat="1" applyFill="1" applyBorder="1" applyAlignment="1">
      <alignment horizontal="center"/>
    </xf>
    <xf numFmtId="3" fontId="20" fillId="4" borderId="12" xfId="0" applyNumberFormat="1" applyFont="1" applyFill="1" applyBorder="1" applyAlignment="1">
      <alignment horizontal="right" indent="1"/>
    </xf>
    <xf numFmtId="10" fontId="18" fillId="0" borderId="10" xfId="0" applyNumberFormat="1" applyFont="1" applyBorder="1" applyAlignment="1">
      <alignment horizontal="right" indent="1"/>
    </xf>
    <xf numFmtId="10" fontId="13" fillId="0" borderId="5" xfId="0" applyNumberFormat="1" applyFont="1" applyBorder="1" applyAlignment="1">
      <alignment horizontal="right" indent="1"/>
    </xf>
    <xf numFmtId="10" fontId="17" fillId="3" borderId="7" xfId="0" applyNumberFormat="1" applyFont="1" applyFill="1" applyBorder="1" applyAlignment="1">
      <alignment horizontal="right" indent="1"/>
    </xf>
    <xf numFmtId="0" fontId="20" fillId="4" borderId="12" xfId="0" applyFont="1" applyFill="1" applyBorder="1" applyAlignment="1">
      <alignment horizontal="right" indent="1"/>
    </xf>
    <xf numFmtId="0" fontId="2" fillId="0" borderId="0" xfId="0" applyFont="1" applyAlignment="1">
      <alignment horizontal="right" indent="1"/>
    </xf>
    <xf numFmtId="0" fontId="21" fillId="10" borderId="0" xfId="0" applyFont="1" applyFill="1" applyAlignment="1">
      <alignment horizontal="right" indent="1"/>
    </xf>
    <xf numFmtId="0" fontId="2" fillId="16" borderId="0" xfId="0" applyFont="1" applyFill="1" applyAlignment="1">
      <alignment horizontal="right" indent="1"/>
    </xf>
    <xf numFmtId="10" fontId="2" fillId="16" borderId="0" xfId="0" applyNumberFormat="1" applyFont="1" applyFill="1" applyAlignment="1">
      <alignment horizontal="right" indent="1"/>
    </xf>
    <xf numFmtId="3" fontId="2" fillId="16" borderId="0" xfId="0" applyNumberFormat="1" applyFont="1" applyFill="1" applyAlignment="1">
      <alignment horizontal="right" indent="1"/>
    </xf>
    <xf numFmtId="0" fontId="28" fillId="16" borderId="0" xfId="0" applyFont="1" applyFill="1"/>
    <xf numFmtId="0" fontId="29" fillId="16" borderId="0" xfId="0" applyFont="1" applyFill="1"/>
    <xf numFmtId="49" fontId="8" fillId="0" borderId="19" xfId="0" applyNumberFormat="1" applyFont="1" applyBorder="1"/>
    <xf numFmtId="49" fontId="8" fillId="0" borderId="0" xfId="0" applyNumberFormat="1" applyFont="1"/>
    <xf numFmtId="0" fontId="2" fillId="0" borderId="0" xfId="0" applyFont="1" applyAlignment="1">
      <alignment horizontal="center"/>
    </xf>
    <xf numFmtId="0" fontId="28" fillId="0" borderId="0" xfId="0" applyFont="1" applyAlignment="1">
      <alignment horizontal="right" indent="1"/>
    </xf>
    <xf numFmtId="0" fontId="28" fillId="0" borderId="20" xfId="0" applyFont="1" applyBorder="1" applyAlignment="1">
      <alignment horizontal="right" indent="1"/>
    </xf>
    <xf numFmtId="0" fontId="30" fillId="0" borderId="0" xfId="0" applyFont="1" applyAlignment="1">
      <alignment horizontal="right" indent="1"/>
    </xf>
    <xf numFmtId="3" fontId="32" fillId="18" borderId="45" xfId="3" applyNumberFormat="1" applyFont="1" applyFill="1" applyBorder="1" applyAlignment="1">
      <alignment horizontal="center" vertical="center" wrapText="1"/>
    </xf>
    <xf numFmtId="3" fontId="32" fillId="18" borderId="46" xfId="3" applyNumberFormat="1" applyFont="1" applyFill="1" applyBorder="1" applyAlignment="1">
      <alignment horizontal="center" vertical="center" wrapText="1"/>
    </xf>
    <xf numFmtId="3" fontId="2" fillId="0" borderId="0" xfId="0" applyNumberFormat="1" applyFont="1" applyAlignment="1">
      <alignment horizontal="right" indent="1"/>
    </xf>
    <xf numFmtId="10" fontId="2" fillId="0" borderId="0" xfId="0" applyNumberFormat="1" applyFont="1" applyAlignment="1">
      <alignment horizontal="right" indent="1"/>
    </xf>
    <xf numFmtId="10" fontId="33" fillId="0" borderId="48" xfId="0" applyNumberFormat="1" applyFont="1" applyBorder="1"/>
    <xf numFmtId="3" fontId="34" fillId="0" borderId="48" xfId="0" applyNumberFormat="1" applyFont="1" applyBorder="1"/>
    <xf numFmtId="0" fontId="6" fillId="2" borderId="49" xfId="0" applyFont="1" applyFill="1" applyBorder="1" applyAlignment="1">
      <alignment horizontal="center" vertical="center"/>
    </xf>
    <xf numFmtId="3" fontId="9" fillId="2" borderId="49" xfId="0" applyNumberFormat="1" applyFont="1" applyFill="1" applyBorder="1" applyAlignment="1">
      <alignment horizontal="center" vertical="center" wrapText="1"/>
    </xf>
    <xf numFmtId="10" fontId="6" fillId="2" borderId="50" xfId="0" applyNumberFormat="1" applyFont="1" applyFill="1" applyBorder="1" applyAlignment="1">
      <alignment horizontal="center" vertical="center"/>
    </xf>
    <xf numFmtId="3" fontId="9" fillId="2" borderId="51" xfId="0" applyNumberFormat="1" applyFont="1" applyFill="1" applyBorder="1" applyAlignment="1">
      <alignment horizontal="center" vertical="center" wrapText="1"/>
    </xf>
    <xf numFmtId="3" fontId="34" fillId="0" borderId="52" xfId="0" applyNumberFormat="1" applyFont="1" applyBorder="1"/>
    <xf numFmtId="0" fontId="28" fillId="16" borderId="53" xfId="0" applyFont="1" applyFill="1" applyBorder="1"/>
    <xf numFmtId="0" fontId="8" fillId="2" borderId="54" xfId="0" applyFont="1" applyFill="1" applyBorder="1" applyAlignment="1">
      <alignment horizontal="center" vertical="center"/>
    </xf>
    <xf numFmtId="0" fontId="8" fillId="2" borderId="55" xfId="0" applyFont="1" applyFill="1" applyBorder="1" applyAlignment="1">
      <alignment horizontal="center" vertical="center"/>
    </xf>
    <xf numFmtId="0" fontId="8" fillId="2" borderId="56" xfId="0" applyFont="1" applyFill="1" applyBorder="1" applyAlignment="1">
      <alignment horizontal="center" vertical="center" wrapText="1"/>
    </xf>
    <xf numFmtId="0" fontId="8" fillId="2" borderId="54" xfId="0" applyFont="1" applyFill="1" applyBorder="1" applyAlignment="1">
      <alignment horizontal="center" vertical="center" wrapText="1"/>
    </xf>
    <xf numFmtId="0" fontId="8" fillId="2" borderId="55" xfId="0" applyFont="1" applyFill="1" applyBorder="1" applyAlignment="1">
      <alignment horizontal="center" vertical="center" wrapText="1"/>
    </xf>
    <xf numFmtId="3" fontId="34" fillId="15" borderId="15" xfId="0" applyNumberFormat="1" applyFont="1" applyFill="1" applyBorder="1" applyAlignment="1">
      <alignment horizontal="right" vertical="center" indent="1"/>
    </xf>
    <xf numFmtId="3" fontId="34" fillId="15" borderId="5" xfId="0" applyNumberFormat="1" applyFont="1" applyFill="1" applyBorder="1" applyAlignment="1">
      <alignment horizontal="right" vertical="center" indent="1"/>
    </xf>
    <xf numFmtId="3" fontId="34" fillId="15" borderId="7" xfId="0" applyNumberFormat="1" applyFont="1" applyFill="1" applyBorder="1" applyAlignment="1">
      <alignment horizontal="right" vertical="center" indent="1"/>
    </xf>
    <xf numFmtId="3" fontId="34" fillId="12" borderId="16" xfId="0" applyNumberFormat="1" applyFont="1" applyFill="1" applyBorder="1" applyAlignment="1">
      <alignment horizontal="right" vertical="center" indent="1"/>
    </xf>
    <xf numFmtId="3" fontId="34" fillId="12" borderId="6" xfId="0" applyNumberFormat="1" applyFont="1" applyFill="1" applyBorder="1" applyAlignment="1">
      <alignment horizontal="right" vertical="center" indent="1"/>
    </xf>
    <xf numFmtId="3" fontId="34" fillId="12" borderId="8" xfId="0" applyNumberFormat="1" applyFont="1" applyFill="1" applyBorder="1" applyAlignment="1">
      <alignment horizontal="right" vertical="center" indent="1"/>
    </xf>
    <xf numFmtId="0" fontId="8" fillId="2" borderId="62" xfId="0" applyFont="1" applyFill="1" applyBorder="1" applyAlignment="1">
      <alignment horizontal="center" vertical="center" wrapText="1"/>
    </xf>
    <xf numFmtId="0" fontId="8" fillId="2" borderId="63" xfId="0" applyFont="1" applyFill="1" applyBorder="1" applyAlignment="1">
      <alignment horizontal="center" vertical="center" wrapText="1"/>
    </xf>
    <xf numFmtId="3" fontId="28" fillId="0" borderId="64" xfId="0" applyNumberFormat="1" applyFont="1" applyBorder="1" applyAlignment="1">
      <alignment horizontal="center" vertical="center"/>
    </xf>
    <xf numFmtId="3" fontId="32" fillId="18" borderId="65" xfId="3" applyNumberFormat="1" applyFont="1" applyFill="1" applyBorder="1" applyAlignment="1">
      <alignment horizontal="center" vertical="center" wrapText="1"/>
    </xf>
    <xf numFmtId="3" fontId="32" fillId="18" borderId="66" xfId="3" applyNumberFormat="1" applyFont="1" applyFill="1" applyBorder="1" applyAlignment="1">
      <alignment horizontal="center" vertical="center" wrapText="1"/>
    </xf>
    <xf numFmtId="3" fontId="8" fillId="2" borderId="68" xfId="0" applyNumberFormat="1" applyFont="1" applyFill="1" applyBorder="1" applyAlignment="1">
      <alignment horizontal="center" vertical="center" wrapText="1"/>
    </xf>
    <xf numFmtId="3" fontId="8" fillId="2" borderId="69" xfId="0" applyNumberFormat="1" applyFont="1" applyFill="1" applyBorder="1" applyAlignment="1">
      <alignment horizontal="center" vertical="center" wrapText="1"/>
    </xf>
    <xf numFmtId="0" fontId="8" fillId="0" borderId="48" xfId="0" applyFont="1" applyBorder="1"/>
    <xf numFmtId="3" fontId="17" fillId="0" borderId="10" xfId="0" applyNumberFormat="1" applyFont="1" applyBorder="1" applyAlignment="1">
      <alignment horizontal="center"/>
    </xf>
    <xf numFmtId="3" fontId="17" fillId="0" borderId="5" xfId="0" applyNumberFormat="1" applyFont="1" applyBorder="1" applyAlignment="1">
      <alignment horizontal="center"/>
    </xf>
    <xf numFmtId="3" fontId="17" fillId="0" borderId="5" xfId="0" applyNumberFormat="1" applyFont="1" applyBorder="1" applyAlignment="1">
      <alignment horizontal="right" indent="1"/>
    </xf>
    <xf numFmtId="10" fontId="27" fillId="0" borderId="5" xfId="0" applyNumberFormat="1" applyFont="1" applyBorder="1" applyAlignment="1">
      <alignment horizontal="right" indent="1"/>
    </xf>
    <xf numFmtId="10" fontId="27" fillId="0" borderId="70" xfId="0" applyNumberFormat="1" applyFont="1" applyBorder="1" applyAlignment="1">
      <alignment horizontal="right" indent="1"/>
    </xf>
    <xf numFmtId="3" fontId="13" fillId="0" borderId="5" xfId="0" applyNumberFormat="1" applyFont="1" applyBorder="1" applyAlignment="1">
      <alignment horizontal="right" indent="1"/>
    </xf>
    <xf numFmtId="3" fontId="13" fillId="0" borderId="7" xfId="0" applyNumberFormat="1" applyFont="1" applyBorder="1" applyAlignment="1">
      <alignment horizontal="right" indent="1"/>
    </xf>
    <xf numFmtId="3" fontId="13" fillId="0" borderId="71" xfId="0" applyNumberFormat="1" applyFont="1" applyBorder="1" applyAlignment="1">
      <alignment horizontal="right" indent="1"/>
    </xf>
    <xf numFmtId="3" fontId="31" fillId="0" borderId="71" xfId="0" applyNumberFormat="1" applyFont="1" applyBorder="1" applyAlignment="1">
      <alignment horizontal="right" indent="1"/>
    </xf>
    <xf numFmtId="3" fontId="20" fillId="4" borderId="72" xfId="0" applyNumberFormat="1" applyFont="1" applyFill="1" applyBorder="1" applyAlignment="1">
      <alignment horizontal="right" indent="1"/>
    </xf>
    <xf numFmtId="10" fontId="17" fillId="3" borderId="5" xfId="0" applyNumberFormat="1" applyFont="1" applyFill="1" applyBorder="1" applyAlignment="1">
      <alignment horizontal="right" indent="1"/>
    </xf>
    <xf numFmtId="10" fontId="33" fillId="0" borderId="74" xfId="0" applyNumberFormat="1" applyFont="1" applyBorder="1"/>
    <xf numFmtId="3" fontId="41" fillId="16" borderId="0" xfId="0" applyNumberFormat="1" applyFont="1" applyFill="1"/>
    <xf numFmtId="0" fontId="42" fillId="16" borderId="0" xfId="0" applyFont="1" applyFill="1"/>
    <xf numFmtId="3" fontId="41" fillId="20" borderId="15" xfId="0" applyNumberFormat="1" applyFont="1" applyFill="1" applyBorder="1" applyAlignment="1">
      <alignment horizontal="right" vertical="center" indent="1"/>
    </xf>
    <xf numFmtId="3" fontId="41" fillId="20" borderId="5" xfId="0" applyNumberFormat="1" applyFont="1" applyFill="1" applyBorder="1" applyAlignment="1">
      <alignment horizontal="right" vertical="center" indent="1"/>
    </xf>
    <xf numFmtId="3" fontId="41" fillId="21" borderId="5" xfId="0" applyNumberFormat="1" applyFont="1" applyFill="1" applyBorder="1" applyAlignment="1">
      <alignment horizontal="right" vertical="center" indent="1"/>
    </xf>
    <xf numFmtId="3" fontId="41" fillId="21" borderId="17" xfId="0" applyNumberFormat="1" applyFont="1" applyFill="1" applyBorder="1" applyAlignment="1">
      <alignment horizontal="right" vertical="center" indent="1"/>
    </xf>
    <xf numFmtId="3" fontId="41" fillId="21" borderId="16" xfId="0" applyNumberFormat="1" applyFont="1" applyFill="1" applyBorder="1" applyAlignment="1">
      <alignment horizontal="right" vertical="center" indent="1"/>
    </xf>
    <xf numFmtId="3" fontId="41" fillId="21" borderId="6" xfId="0" applyNumberFormat="1" applyFont="1" applyFill="1" applyBorder="1" applyAlignment="1">
      <alignment horizontal="right" vertical="center" indent="1"/>
    </xf>
    <xf numFmtId="3" fontId="41" fillId="21" borderId="18" xfId="0" applyNumberFormat="1" applyFont="1" applyFill="1" applyBorder="1" applyAlignment="1">
      <alignment horizontal="right" vertical="center" indent="1"/>
    </xf>
    <xf numFmtId="3" fontId="32" fillId="18" borderId="75" xfId="3" applyNumberFormat="1" applyFont="1" applyFill="1" applyBorder="1" applyAlignment="1">
      <alignment horizontal="center" vertical="center" wrapText="1"/>
    </xf>
    <xf numFmtId="0" fontId="38" fillId="2" borderId="77" xfId="0" applyFont="1" applyFill="1" applyBorder="1" applyAlignment="1">
      <alignment horizontal="center" vertical="center" wrapText="1"/>
    </xf>
    <xf numFmtId="0" fontId="38" fillId="2" borderId="78" xfId="0" applyFont="1" applyFill="1" applyBorder="1" applyAlignment="1">
      <alignment horizontal="center" vertical="center" wrapText="1"/>
    </xf>
    <xf numFmtId="3" fontId="40" fillId="19" borderId="81" xfId="0" applyNumberFormat="1" applyFont="1" applyFill="1" applyBorder="1" applyAlignment="1">
      <alignment horizontal="center" vertical="center"/>
    </xf>
    <xf numFmtId="3" fontId="33" fillId="13" borderId="25" xfId="0" applyNumberFormat="1" applyFont="1" applyFill="1" applyBorder="1" applyAlignment="1">
      <alignment horizontal="right" indent="1"/>
    </xf>
    <xf numFmtId="3" fontId="33" fillId="13" borderId="26" xfId="0" applyNumberFormat="1" applyFont="1" applyFill="1" applyBorder="1" applyAlignment="1">
      <alignment horizontal="right" indent="1"/>
    </xf>
    <xf numFmtId="10" fontId="34" fillId="12" borderId="25" xfId="0" applyNumberFormat="1" applyFont="1" applyFill="1" applyBorder="1" applyAlignment="1">
      <alignment horizontal="right" indent="1"/>
    </xf>
    <xf numFmtId="10" fontId="34" fillId="12" borderId="26" xfId="0" applyNumberFormat="1" applyFont="1" applyFill="1" applyBorder="1" applyAlignment="1">
      <alignment horizontal="right" indent="1"/>
    </xf>
    <xf numFmtId="3" fontId="34" fillId="12" borderId="26" xfId="0" applyNumberFormat="1" applyFont="1" applyFill="1" applyBorder="1" applyAlignment="1">
      <alignment horizontal="right" indent="1"/>
    </xf>
    <xf numFmtId="3" fontId="34" fillId="12" borderId="27" xfId="0" applyNumberFormat="1" applyFont="1" applyFill="1" applyBorder="1" applyAlignment="1">
      <alignment horizontal="right" indent="1"/>
    </xf>
    <xf numFmtId="3" fontId="33" fillId="13" borderId="28" xfId="0" applyNumberFormat="1" applyFont="1" applyFill="1" applyBorder="1" applyAlignment="1">
      <alignment horizontal="right" indent="1"/>
    </xf>
    <xf numFmtId="3" fontId="33" fillId="13" borderId="29" xfId="0" applyNumberFormat="1" applyFont="1" applyFill="1" applyBorder="1" applyAlignment="1">
      <alignment horizontal="right" indent="1"/>
    </xf>
    <xf numFmtId="10" fontId="34" fillId="12" borderId="28" xfId="0" applyNumberFormat="1" applyFont="1" applyFill="1" applyBorder="1" applyAlignment="1">
      <alignment horizontal="right" indent="1"/>
    </xf>
    <xf numFmtId="10" fontId="34" fillId="12" borderId="29" xfId="0" applyNumberFormat="1" applyFont="1" applyFill="1" applyBorder="1" applyAlignment="1">
      <alignment horizontal="right" indent="1"/>
    </xf>
    <xf numFmtId="3" fontId="34" fillId="12" borderId="29" xfId="0" applyNumberFormat="1" applyFont="1" applyFill="1" applyBorder="1" applyAlignment="1">
      <alignment horizontal="right" indent="1"/>
    </xf>
    <xf numFmtId="3" fontId="34" fillId="12" borderId="30" xfId="0" applyNumberFormat="1" applyFont="1" applyFill="1" applyBorder="1" applyAlignment="1">
      <alignment horizontal="right" indent="1"/>
    </xf>
    <xf numFmtId="3" fontId="34" fillId="12" borderId="28" xfId="0" applyNumberFormat="1" applyFont="1" applyFill="1" applyBorder="1" applyAlignment="1">
      <alignment horizontal="right" indent="1"/>
    </xf>
    <xf numFmtId="0" fontId="34" fillId="12" borderId="29" xfId="0" applyFont="1" applyFill="1" applyBorder="1" applyAlignment="1">
      <alignment horizontal="right" indent="1"/>
    </xf>
    <xf numFmtId="3" fontId="34" fillId="12" borderId="29" xfId="0" applyNumberFormat="1" applyFont="1" applyFill="1" applyBorder="1"/>
    <xf numFmtId="10" fontId="34" fillId="12" borderId="28" xfId="0" applyNumberFormat="1" applyFont="1" applyFill="1" applyBorder="1"/>
    <xf numFmtId="0" fontId="34" fillId="12" borderId="29" xfId="0" applyFont="1" applyFill="1" applyBorder="1"/>
    <xf numFmtId="3" fontId="34" fillId="12" borderId="30" xfId="0" applyNumberFormat="1" applyFont="1" applyFill="1" applyBorder="1"/>
    <xf numFmtId="0" fontId="25" fillId="0" borderId="0" xfId="0" applyFont="1" applyAlignment="1">
      <alignment horizontal="right" indent="1"/>
    </xf>
    <xf numFmtId="10" fontId="33" fillId="22" borderId="26" xfId="0" applyNumberFormat="1" applyFont="1" applyFill="1" applyBorder="1" applyAlignment="1">
      <alignment horizontal="right" vertical="center" indent="1"/>
    </xf>
    <xf numFmtId="10" fontId="33" fillId="22" borderId="29" xfId="0" applyNumberFormat="1" applyFont="1" applyFill="1" applyBorder="1" applyAlignment="1">
      <alignment horizontal="right" vertical="center" indent="1"/>
    </xf>
    <xf numFmtId="10" fontId="34" fillId="23" borderId="29" xfId="0" applyNumberFormat="1" applyFont="1" applyFill="1" applyBorder="1" applyAlignment="1">
      <alignment horizontal="right" vertical="center" indent="1"/>
    </xf>
    <xf numFmtId="10" fontId="34" fillId="23" borderId="29" xfId="0" applyNumberFormat="1" applyFont="1" applyFill="1" applyBorder="1" applyAlignment="1">
      <alignment vertical="center"/>
    </xf>
    <xf numFmtId="10" fontId="33" fillId="22" borderId="27" xfId="0" applyNumberFormat="1" applyFont="1" applyFill="1" applyBorder="1" applyAlignment="1">
      <alignment horizontal="right" indent="1"/>
    </xf>
    <xf numFmtId="10" fontId="33" fillId="22" borderId="30" xfId="0" applyNumberFormat="1" applyFont="1" applyFill="1" applyBorder="1" applyAlignment="1">
      <alignment horizontal="right" indent="1"/>
    </xf>
    <xf numFmtId="10" fontId="34" fillId="23" borderId="30" xfId="0" applyNumberFormat="1" applyFont="1" applyFill="1" applyBorder="1" applyAlignment="1">
      <alignment horizontal="right" indent="1"/>
    </xf>
    <xf numFmtId="10" fontId="34" fillId="23" borderId="30" xfId="0" applyNumberFormat="1" applyFont="1" applyFill="1" applyBorder="1"/>
    <xf numFmtId="9" fontId="22" fillId="10" borderId="61" xfId="2" applyNumberFormat="1" applyFont="1" applyFill="1" applyBorder="1" applyAlignment="1">
      <alignment horizontal="center" vertical="center"/>
    </xf>
    <xf numFmtId="9" fontId="22" fillId="10" borderId="58" xfId="2" applyNumberFormat="1" applyFont="1" applyFill="1" applyBorder="1" applyAlignment="1">
      <alignment horizontal="center" vertical="center"/>
    </xf>
    <xf numFmtId="9" fontId="22" fillId="10" borderId="47" xfId="2" applyNumberFormat="1" applyFont="1" applyFill="1" applyBorder="1" applyAlignment="1">
      <alignment horizontal="center" vertical="center"/>
    </xf>
    <xf numFmtId="10" fontId="17" fillId="24" borderId="73" xfId="0" applyNumberFormat="1" applyFont="1" applyFill="1" applyBorder="1" applyAlignment="1">
      <alignment horizontal="right" indent="1"/>
    </xf>
    <xf numFmtId="10" fontId="17" fillId="24" borderId="14" xfId="0" applyNumberFormat="1" applyFont="1" applyFill="1" applyBorder="1" applyAlignment="1">
      <alignment horizontal="right" indent="1"/>
    </xf>
    <xf numFmtId="0" fontId="2" fillId="21" borderId="0" xfId="0" applyFont="1" applyFill="1" applyAlignment="1">
      <alignment horizontal="right" indent="1"/>
    </xf>
    <xf numFmtId="3" fontId="40" fillId="0" borderId="59" xfId="0" applyNumberFormat="1" applyFont="1" applyBorder="1" applyAlignment="1">
      <alignment horizontal="right" vertical="center" indent="1"/>
    </xf>
    <xf numFmtId="3" fontId="40" fillId="0" borderId="60" xfId="0" applyNumberFormat="1" applyFont="1" applyBorder="1" applyAlignment="1">
      <alignment horizontal="right" vertical="center" indent="1"/>
    </xf>
    <xf numFmtId="3" fontId="40" fillId="0" borderId="67" xfId="0" applyNumberFormat="1" applyFont="1" applyBorder="1" applyAlignment="1">
      <alignment horizontal="right" vertical="center" indent="1"/>
    </xf>
    <xf numFmtId="3" fontId="40" fillId="15" borderId="79" xfId="0" applyNumberFormat="1" applyFont="1" applyFill="1" applyBorder="1" applyAlignment="1">
      <alignment horizontal="right" vertical="center" indent="1"/>
    </xf>
    <xf numFmtId="3" fontId="40" fillId="15" borderId="80" xfId="0" applyNumberFormat="1" applyFont="1" applyFill="1" applyBorder="1" applyAlignment="1">
      <alignment horizontal="right" vertical="center" indent="1"/>
    </xf>
    <xf numFmtId="3" fontId="40" fillId="0" borderId="57" xfId="0" applyNumberFormat="1" applyFont="1" applyBorder="1" applyAlignment="1">
      <alignment horizontal="right" vertical="center" indent="1"/>
    </xf>
    <xf numFmtId="3" fontId="40" fillId="0" borderId="58" xfId="0" applyNumberFormat="1" applyFont="1" applyBorder="1" applyAlignment="1">
      <alignment horizontal="right" vertical="center" indent="1"/>
    </xf>
    <xf numFmtId="3" fontId="40" fillId="0" borderId="61" xfId="0" applyNumberFormat="1" applyFont="1" applyBorder="1" applyAlignment="1">
      <alignment horizontal="right" vertical="center" indent="1"/>
    </xf>
    <xf numFmtId="3" fontId="40" fillId="12" borderId="47" xfId="0" applyNumberFormat="1" applyFont="1" applyFill="1" applyBorder="1" applyAlignment="1">
      <alignment horizontal="right" vertical="center" indent="1"/>
    </xf>
    <xf numFmtId="3" fontId="40" fillId="12" borderId="76" xfId="0" applyNumberFormat="1" applyFont="1" applyFill="1" applyBorder="1" applyAlignment="1">
      <alignment horizontal="right" vertical="center" indent="1"/>
    </xf>
    <xf numFmtId="0" fontId="8" fillId="2" borderId="82" xfId="0" applyFont="1" applyFill="1" applyBorder="1" applyAlignment="1">
      <alignment horizontal="center" vertical="center" wrapText="1"/>
    </xf>
    <xf numFmtId="0" fontId="9" fillId="25" borderId="40" xfId="0" applyFont="1" applyFill="1" applyBorder="1" applyAlignment="1">
      <alignment horizontal="center" vertical="center" wrapText="1"/>
    </xf>
    <xf numFmtId="0" fontId="9" fillId="25" borderId="42" xfId="0" applyFont="1" applyFill="1" applyBorder="1" applyAlignment="1">
      <alignment horizontal="center" vertical="center" wrapText="1"/>
    </xf>
    <xf numFmtId="3" fontId="48" fillId="0" borderId="10" xfId="0" applyNumberFormat="1" applyFont="1" applyBorder="1" applyAlignment="1">
      <alignment horizontal="right" indent="1"/>
    </xf>
    <xf numFmtId="0" fontId="49" fillId="0" borderId="0" xfId="0" applyFont="1" applyAlignment="1">
      <alignment horizontal="right" indent="1"/>
    </xf>
    <xf numFmtId="3" fontId="48" fillId="0" borderId="5" xfId="0" applyNumberFormat="1" applyFont="1" applyBorder="1" applyAlignment="1">
      <alignment horizontal="right" indent="1"/>
    </xf>
    <xf numFmtId="3" fontId="48" fillId="0" borderId="71" xfId="0" applyNumberFormat="1" applyFont="1" applyBorder="1" applyAlignment="1">
      <alignment horizontal="right" indent="1"/>
    </xf>
    <xf numFmtId="10" fontId="48" fillId="0" borderId="5" xfId="0" applyNumberFormat="1" applyFont="1" applyBorder="1" applyAlignment="1">
      <alignment horizontal="right" indent="1"/>
    </xf>
    <xf numFmtId="3" fontId="32" fillId="18" borderId="83" xfId="3" applyNumberFormat="1" applyFont="1" applyFill="1" applyBorder="1" applyAlignment="1">
      <alignment horizontal="center" vertical="center" wrapText="1"/>
    </xf>
    <xf numFmtId="3" fontId="22" fillId="10" borderId="84" xfId="2" applyNumberFormat="1" applyFont="1" applyFill="1" applyBorder="1" applyAlignment="1">
      <alignment horizontal="center" vertical="center"/>
    </xf>
    <xf numFmtId="3" fontId="3" fillId="0" borderId="85" xfId="0" applyNumberFormat="1" applyFont="1" applyBorder="1" applyAlignment="1">
      <alignment horizontal="center" vertical="center"/>
    </xf>
    <xf numFmtId="3" fontId="39" fillId="19" borderId="86" xfId="0" applyNumberFormat="1" applyFont="1" applyFill="1" applyBorder="1" applyAlignment="1">
      <alignment horizontal="center" vertical="center"/>
    </xf>
    <xf numFmtId="3" fontId="22" fillId="10" borderId="87" xfId="2" applyNumberFormat="1" applyFont="1" applyFill="1" applyBorder="1" applyAlignment="1">
      <alignment horizontal="center" vertical="center"/>
    </xf>
    <xf numFmtId="0" fontId="3" fillId="12" borderId="0" xfId="0" applyFont="1" applyFill="1" applyAlignment="1">
      <alignment horizontal="center" vertical="center"/>
    </xf>
    <xf numFmtId="0" fontId="3" fillId="12" borderId="88" xfId="0" applyFont="1" applyFill="1" applyBorder="1" applyAlignment="1">
      <alignment horizontal="center" vertical="center"/>
    </xf>
    <xf numFmtId="0" fontId="51" fillId="16" borderId="0" xfId="0" applyFont="1" applyFill="1"/>
    <xf numFmtId="3" fontId="52" fillId="26" borderId="89" xfId="3" applyNumberFormat="1" applyFont="1" applyFill="1" applyBorder="1" applyAlignment="1">
      <alignment horizontal="center" vertical="center" wrapText="1"/>
    </xf>
    <xf numFmtId="9" fontId="36" fillId="10" borderId="90" xfId="2" applyNumberFormat="1" applyFont="1" applyFill="1" applyBorder="1" applyAlignment="1">
      <alignment horizontal="center" vertical="center"/>
    </xf>
    <xf numFmtId="3" fontId="34" fillId="12" borderId="92" xfId="0" applyNumberFormat="1" applyFont="1" applyFill="1" applyBorder="1" applyAlignment="1">
      <alignment horizontal="right" vertical="center" indent="1"/>
    </xf>
    <xf numFmtId="3" fontId="25" fillId="12" borderId="93" xfId="0" applyNumberFormat="1" applyFont="1" applyFill="1" applyBorder="1" applyAlignment="1">
      <alignment horizontal="right" vertical="center" indent="1"/>
    </xf>
    <xf numFmtId="3" fontId="3" fillId="12" borderId="94" xfId="0" applyNumberFormat="1" applyFont="1" applyFill="1" applyBorder="1" applyAlignment="1">
      <alignment horizontal="right" vertical="center" indent="1"/>
    </xf>
    <xf numFmtId="3" fontId="3" fillId="12" borderId="88" xfId="0" applyNumberFormat="1" applyFont="1" applyFill="1" applyBorder="1" applyAlignment="1">
      <alignment horizontal="right" vertical="center" indent="1"/>
    </xf>
    <xf numFmtId="3" fontId="34" fillId="12" borderId="88" xfId="0" applyNumberFormat="1" applyFont="1" applyFill="1" applyBorder="1" applyAlignment="1">
      <alignment horizontal="right" vertical="center" indent="1"/>
    </xf>
    <xf numFmtId="3" fontId="25" fillId="12" borderId="95" xfId="0" applyNumberFormat="1" applyFont="1" applyFill="1" applyBorder="1" applyAlignment="1">
      <alignment horizontal="right" vertical="center" indent="1"/>
    </xf>
    <xf numFmtId="0" fontId="53" fillId="12" borderId="88" xfId="0" applyFont="1" applyFill="1" applyBorder="1" applyAlignment="1">
      <alignment horizontal="left" vertical="center"/>
    </xf>
    <xf numFmtId="0" fontId="54" fillId="12" borderId="0" xfId="0" applyFont="1" applyFill="1" applyAlignment="1">
      <alignment horizontal="left" vertical="top"/>
    </xf>
    <xf numFmtId="3" fontId="55" fillId="10" borderId="59" xfId="0" applyNumberFormat="1" applyFont="1" applyFill="1" applyBorder="1" applyAlignment="1">
      <alignment horizontal="right" vertical="center" indent="1"/>
    </xf>
    <xf numFmtId="3" fontId="55" fillId="0" borderId="57" xfId="0" applyNumberFormat="1" applyFont="1" applyBorder="1" applyAlignment="1">
      <alignment horizontal="right" vertical="center" indent="1"/>
    </xf>
    <xf numFmtId="3" fontId="55" fillId="10" borderId="60" xfId="0" applyNumberFormat="1" applyFont="1" applyFill="1" applyBorder="1" applyAlignment="1">
      <alignment horizontal="right" vertical="center" indent="1"/>
    </xf>
    <xf numFmtId="3" fontId="55" fillId="0" borderId="58" xfId="0" applyNumberFormat="1" applyFont="1" applyBorder="1" applyAlignment="1">
      <alignment horizontal="right" vertical="center" indent="1"/>
    </xf>
    <xf numFmtId="9" fontId="22" fillId="10" borderId="8" xfId="2" applyNumberFormat="1" applyFont="1" applyFill="1" applyBorder="1" applyAlignment="1">
      <alignment horizontal="center" vertical="center"/>
    </xf>
    <xf numFmtId="3" fontId="34" fillId="12" borderId="96" xfId="0" applyNumberFormat="1" applyFont="1" applyFill="1" applyBorder="1" applyAlignment="1">
      <alignment horizontal="right" vertical="center" indent="1"/>
    </xf>
    <xf numFmtId="3" fontId="34" fillId="12" borderId="94" xfId="0" applyNumberFormat="1" applyFont="1" applyFill="1" applyBorder="1" applyAlignment="1">
      <alignment horizontal="right" vertical="center" indent="1"/>
    </xf>
    <xf numFmtId="3" fontId="34" fillId="12" borderId="97" xfId="0" applyNumberFormat="1" applyFont="1" applyFill="1" applyBorder="1" applyAlignment="1">
      <alignment horizontal="right" vertical="center" indent="1"/>
    </xf>
    <xf numFmtId="3" fontId="55" fillId="10" borderId="98" xfId="0" applyNumberFormat="1" applyFont="1" applyFill="1" applyBorder="1" applyAlignment="1">
      <alignment horizontal="right" vertical="center" indent="1"/>
    </xf>
    <xf numFmtId="3" fontId="55" fillId="10" borderId="99" xfId="0" applyNumberFormat="1" applyFont="1" applyFill="1" applyBorder="1" applyAlignment="1">
      <alignment horizontal="right" vertical="center" indent="1"/>
    </xf>
    <xf numFmtId="3" fontId="55" fillId="10" borderId="100" xfId="0" applyNumberFormat="1" applyFont="1" applyFill="1" applyBorder="1" applyAlignment="1">
      <alignment horizontal="right" vertical="center" indent="1"/>
    </xf>
    <xf numFmtId="0" fontId="0" fillId="27" borderId="101" xfId="0" applyFill="1" applyBorder="1"/>
    <xf numFmtId="0" fontId="0" fillId="27" borderId="102" xfId="0" applyFill="1" applyBorder="1"/>
    <xf numFmtId="0" fontId="8" fillId="2" borderId="103" xfId="0" applyFont="1" applyFill="1" applyBorder="1" applyAlignment="1">
      <alignment horizontal="center" vertical="center"/>
    </xf>
    <xf numFmtId="3" fontId="34" fillId="12" borderId="91" xfId="0" applyNumberFormat="1" applyFont="1" applyFill="1" applyBorder="1" applyAlignment="1">
      <alignment horizontal="left" vertical="top"/>
    </xf>
    <xf numFmtId="3" fontId="34" fillId="12" borderId="92" xfId="0" applyNumberFormat="1" applyFont="1" applyFill="1" applyBorder="1" applyAlignment="1">
      <alignment horizontal="left" vertical="top"/>
    </xf>
    <xf numFmtId="49" fontId="8" fillId="9" borderId="0" xfId="0" applyNumberFormat="1" applyFont="1" applyFill="1" applyAlignment="1">
      <alignment horizontal="center" vertical="center" wrapText="1"/>
    </xf>
    <xf numFmtId="49" fontId="8" fillId="9" borderId="0" xfId="0" applyNumberFormat="1" applyFont="1" applyFill="1" applyAlignment="1">
      <alignment horizontal="center" vertical="center"/>
    </xf>
  </cellXfs>
  <cellStyles count="4">
    <cellStyle name="40% - Accent1" xfId="3" builtinId="31"/>
    <cellStyle name="Good" xfId="1" builtinId="26"/>
    <cellStyle name="Neutral" xfId="2" builtinId="28"/>
    <cellStyle name="Normal" xfId="0" builtinId="0"/>
  </cellStyles>
  <dxfs count="11">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color theme="5" tint="-0.499984740745262"/>
      </font>
    </dxf>
    <dxf>
      <font>
        <strike val="0"/>
        <color theme="5" tint="-0.499984740745262"/>
      </font>
    </dxf>
  </dxfs>
  <tableStyles count="0" defaultTableStyle="TableStyleMedium2" defaultPivotStyle="PivotStyleLight16"/>
  <colors>
    <mruColors>
      <color rgb="FFFEF2CB"/>
      <color rgb="FFF8CD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sheetMetadata" Target="metadata.xml"/><Relationship Id="rId10" Type="http://customschemas.google.com/relationships/workbookmetadata" Target="metadata"/><Relationship Id="rId4" Type="http://schemas.openxmlformats.org/officeDocument/2006/relationships/worksheet" Target="worksheets/sheet4.xml"/><Relationship Id="rId14" Type="http://schemas.openxmlformats.org/officeDocument/2006/relationships/sharedStrings" Target="sharedString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3" xr16:uid="{9E6555AB-DAB7-431F-8C99-D764DD77B048}" autoFormatId="16" applyNumberFormats="0" applyBorderFormats="0" applyFontFormats="0" applyPatternFormats="0" applyAlignmentFormats="0" applyWidthHeightFormats="0">
  <queryTableRefresh nextId="13">
    <queryTableFields count="12">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3" refreshOnLoad="1" connectionId="1" xr16:uid="{F2D7D9FF-EF09-4244-83AB-713B03022654}" autoFormatId="16" applyNumberFormats="0" applyBorderFormats="0" applyFontFormats="0" applyPatternFormats="0" applyAlignmentFormats="0" applyWidthHeightFormats="0">
  <queryTableRefresh nextId="22">
    <queryTableFields count="21">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19" name="Column19" tableColumnId="19"/>
      <queryTableField id="20" name="Column20" tableColumnId="20"/>
      <queryTableField id="21" name="Column21" tableColumnId="2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5991E6E8-2885-49E9-88F1-68975061D8B4}" autoFormatId="16" applyNumberFormats="0" applyBorderFormats="0" applyFontFormats="0" applyPatternFormats="0" applyAlignmentFormats="0" applyWidthHeightFormats="0">
  <queryTableRefresh nextId="19">
    <queryTableFields count="18">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C31CC83-B77A-4DE6-A856-B60572C32C40}" name="node_raw" displayName="node_raw" ref="A1:L2" tableType="queryTable" insertRow="1" totalsRowShown="0">
  <autoFilter ref="A1:L2" xr:uid="{BC31CC83-B77A-4DE6-A856-B60572C32C40}"/>
  <tableColumns count="12">
    <tableColumn id="1" xr3:uid="{EBD8B6B3-ACFC-4AA3-8DCC-17E39FD4045C}" uniqueName="1" name="Column1" queryTableFieldId="1"/>
    <tableColumn id="2" xr3:uid="{B75F213B-1DB7-4812-84B9-2F5E471F4D99}" uniqueName="2" name="Column2" queryTableFieldId="2"/>
    <tableColumn id="3" xr3:uid="{AE741049-CD95-428A-A281-EB65FD1C0F71}" uniqueName="3" name="Column3" queryTableFieldId="3"/>
    <tableColumn id="4" xr3:uid="{F1C93E5F-54D9-4F96-8048-00CF84DC80A9}" uniqueName="4" name="Column4" queryTableFieldId="4"/>
    <tableColumn id="5" xr3:uid="{6E7BE320-85F8-485D-9F91-57B80B345F8D}" uniqueName="5" name="Column5" queryTableFieldId="5"/>
    <tableColumn id="6" xr3:uid="{8B54BAA6-ADC8-4CA9-9583-E87EA756A1CE}" uniqueName="6" name="Column6" queryTableFieldId="6"/>
    <tableColumn id="7" xr3:uid="{5694F95A-61E9-4FB1-B86A-9160953BACF6}" uniqueName="7" name="Column7" queryTableFieldId="7"/>
    <tableColumn id="8" xr3:uid="{8A865ADF-898B-4161-A1C5-95BAEF343208}" uniqueName="8" name="Column8" queryTableFieldId="8"/>
    <tableColumn id="9" xr3:uid="{2AD43299-A900-4FCC-BF24-BBEB3A1DB184}" uniqueName="9" name="Column9" queryTableFieldId="9"/>
    <tableColumn id="10" xr3:uid="{48136480-81D8-4D90-9640-F65B07008F61}" uniqueName="10" name="Column10" queryTableFieldId="10"/>
    <tableColumn id="11" xr3:uid="{F468A4F1-32B9-454D-8819-5E060506C550}" uniqueName="11" name="Column11" queryTableFieldId="11"/>
    <tableColumn id="12" xr3:uid="{2914CCF1-3B1A-4079-95F8-C5842EEB46CE}" uniqueName="12" name="Column12" queryTableFieldId="1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81E1FE8-EB99-459F-B5D3-B3860D81537E}" name="deployment_raw" displayName="deployment_raw" ref="A2:U4" tableType="queryTable" totalsRowShown="0">
  <autoFilter ref="A2:U4" xr:uid="{881E1FE8-EB99-459F-B5D3-B3860D81537E}"/>
  <tableColumns count="21">
    <tableColumn id="1" xr3:uid="{B798DB88-01F9-48D4-9402-2A7464C0BBD2}" uniqueName="1" name="Column1" queryTableFieldId="1" dataDxfId="8"/>
    <tableColumn id="2" xr3:uid="{76B0291C-1159-4563-BCBC-D9AFAF01896C}" uniqueName="2" name="Column2" queryTableFieldId="2" dataDxfId="7"/>
    <tableColumn id="3" xr3:uid="{A4CA6731-4904-4443-BA05-37F884E94806}" uniqueName="3" name="Column3" queryTableFieldId="3" dataDxfId="6"/>
    <tableColumn id="4" xr3:uid="{C6BC4B36-7D50-42B5-A690-4A02FDCAC4FA}" uniqueName="4" name="Column4" queryTableFieldId="4" dataDxfId="5"/>
    <tableColumn id="5" xr3:uid="{16BE10AF-49BB-46DA-931F-DF4E1AADB82B}" uniqueName="5" name="Column5" queryTableFieldId="5"/>
    <tableColumn id="6" xr3:uid="{B7E26273-5D5B-403F-9787-E8191F3D3363}" uniqueName="6" name="Column6" queryTableFieldId="6"/>
    <tableColumn id="7" xr3:uid="{96C394B4-47FD-43DF-BFBB-83F0A1EB855D}" uniqueName="7" name="Column7" queryTableFieldId="7"/>
    <tableColumn id="8" xr3:uid="{F90188AD-18C7-45AF-91B7-2226729A9548}" uniqueName="8" name="Column8" queryTableFieldId="8"/>
    <tableColumn id="9" xr3:uid="{D16331D6-5B64-493F-862A-650A4A15A1F1}" uniqueName="9" name="Column9" queryTableFieldId="9"/>
    <tableColumn id="10" xr3:uid="{2D92AC47-9B24-44FB-95D5-0978E4120F8E}" uniqueName="10" name="Column10" queryTableFieldId="10"/>
    <tableColumn id="11" xr3:uid="{CDFF3AB6-F7F5-4C35-8256-444FD09C6BCA}" uniqueName="11" name="Column11" queryTableFieldId="11"/>
    <tableColumn id="12" xr3:uid="{F4B9F290-092C-418F-8F7D-1B33339C258F}" uniqueName="12" name="Column12" queryTableFieldId="12"/>
    <tableColumn id="13" xr3:uid="{5C437417-0A5A-4DD3-A25A-6F58A9559BA6}" uniqueName="13" name="Column13" queryTableFieldId="13"/>
    <tableColumn id="14" xr3:uid="{5909834C-62ED-467F-9E60-834A96B38D9D}" uniqueName="14" name="Column14" queryTableFieldId="14" dataDxfId="4"/>
    <tableColumn id="15" xr3:uid="{1D7B2EBE-9168-4B69-AD00-28F632AF68B5}" uniqueName="15" name="Column15" queryTableFieldId="15" dataDxfId="3"/>
    <tableColumn id="16" xr3:uid="{F83CAE01-818E-4227-8312-54BA9374941A}" uniqueName="16" name="Column16" queryTableFieldId="16"/>
    <tableColumn id="17" xr3:uid="{EA8C1520-3857-4C83-A269-1374BFC6F23A}" uniqueName="17" name="Column17" queryTableFieldId="17"/>
    <tableColumn id="18" xr3:uid="{8F956F44-234D-4C68-A1BA-F40441CC0086}" uniqueName="18" name="Column18" queryTableFieldId="18"/>
    <tableColumn id="19" xr3:uid="{8087DC98-FF7D-4FC4-8B50-0042C5934444}" uniqueName="19" name="Column19" queryTableFieldId="19"/>
    <tableColumn id="20" xr3:uid="{4BF92554-F468-4B6F-8352-04890D2A3706}" uniqueName="20" name="Column20" queryTableFieldId="20"/>
    <tableColumn id="21" xr3:uid="{D7765FB0-8C42-42D5-9C54-55E710C26E86}" uniqueName="21" name="Column21"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802BB8D-BC42-4AE7-907F-73218A11044A}" name="namespace_raw" displayName="namespace_raw" ref="A2:R4" tableType="queryTable" totalsRowShown="0">
  <autoFilter ref="A2:R4" xr:uid="{E802BB8D-BC42-4AE7-907F-73218A11044A}"/>
  <tableColumns count="18">
    <tableColumn id="1" xr3:uid="{2F904AF3-5508-42BE-BA19-DEB0D902D610}" uniqueName="1" name="Column1" queryTableFieldId="1" dataDxfId="2"/>
    <tableColumn id="2" xr3:uid="{407F0795-5CF7-4073-9126-012A0DBF1E4A}" uniqueName="2" name="Column2" queryTableFieldId="2" dataDxfId="1"/>
    <tableColumn id="3" xr3:uid="{FFDE9B20-F2D8-4425-9140-9B70B626C849}" uniqueName="3" name="Column3" queryTableFieldId="3" dataDxfId="0"/>
    <tableColumn id="4" xr3:uid="{F3EF52F4-F3D9-4091-8E56-901718686957}" uniqueName="4" name="Column4" queryTableFieldId="4"/>
    <tableColumn id="5" xr3:uid="{A366DAF0-A476-496E-809A-83331A3D7048}" uniqueName="5" name="Column5" queryTableFieldId="5"/>
    <tableColumn id="6" xr3:uid="{9F147B62-425B-43DC-BDF9-D2DDBDF39B49}" uniqueName="6" name="Column6" queryTableFieldId="6"/>
    <tableColumn id="7" xr3:uid="{3E843447-E2DD-4DD2-977F-19AA5C1AFD18}" uniqueName="7" name="Column7" queryTableFieldId="7"/>
    <tableColumn id="8" xr3:uid="{8E8D47A8-9261-4669-897C-DEA058C5617E}" uniqueName="8" name="Column8" queryTableFieldId="8"/>
    <tableColumn id="9" xr3:uid="{89D4AEF3-7B2A-423D-8741-B65899836BC2}" uniqueName="9" name="Column9" queryTableFieldId="9"/>
    <tableColumn id="10" xr3:uid="{0455D48E-935F-4B53-9A0B-713A27F1B86D}" uniqueName="10" name="Column10" queryTableFieldId="10"/>
    <tableColumn id="11" xr3:uid="{13B066B3-5FC0-4C74-AA6A-9A3647D67B20}" uniqueName="11" name="Column11" queryTableFieldId="11"/>
    <tableColumn id="12" xr3:uid="{2A1B6FF6-F5A1-4A58-9252-B47F1410BFF1}" uniqueName="12" name="Column12" queryTableFieldId="12"/>
    <tableColumn id="13" xr3:uid="{255F6BCF-E843-4E9F-A847-6A6151A5BF01}" uniqueName="13" name="Column13" queryTableFieldId="13"/>
    <tableColumn id="14" xr3:uid="{08DE7A00-9F7F-483F-9C23-D355A249D502}" uniqueName="14" name="Column14" queryTableFieldId="14"/>
    <tableColumn id="15" xr3:uid="{F88CD747-07B3-43A2-BFE0-21268B8F0D42}" uniqueName="15" name="Column15" queryTableFieldId="15"/>
    <tableColumn id="16" xr3:uid="{C749C214-BE8C-48A0-B1A4-2108AB3374E5}" uniqueName="16" name="Column16" queryTableFieldId="16"/>
    <tableColumn id="17" xr3:uid="{5AFBC363-FEC1-4033-A67F-774216C0C6D6}" uniqueName="17" name="Column17" queryTableFieldId="17"/>
    <tableColumn id="18" xr3:uid="{67B04509-1DDA-4497-A52A-2C4AE95C3320}" uniqueName="18" name="Column18" queryTableFieldId="18"/>
  </tableColumns>
  <tableStyleInfo name="TableStyleMedium7"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00"/>
  <sheetViews>
    <sheetView topLeftCell="B1" zoomScaleNormal="100" workbookViewId="0">
      <pane xSplit="2" ySplit="1" topLeftCell="D2" activePane="bottomRight" state="frozen"/>
      <selection activeCell="B1" sqref="B1"/>
      <selection pane="topRight" activeCell="D1" sqref="D1"/>
      <selection pane="bottomLeft" activeCell="B2" sqref="B2"/>
      <selection pane="bottomRight" activeCell="E14" sqref="E14"/>
    </sheetView>
  </sheetViews>
  <sheetFormatPr defaultColWidth="14.42578125" defaultRowHeight="15" customHeight="1" x14ac:dyDescent="0.25"/>
  <cols>
    <col min="1" max="1" width="4.42578125" hidden="1" customWidth="1"/>
    <col min="2" max="2" width="51.42578125" style="31" customWidth="1"/>
    <col min="3" max="3" width="20" style="28" customWidth="1"/>
    <col min="4" max="4" width="16.85546875" style="55" customWidth="1"/>
    <col min="5" max="5" width="22.140625" style="58" customWidth="1"/>
    <col min="6" max="6" width="15.7109375" style="145" customWidth="1"/>
    <col min="7" max="7" width="16" style="155" customWidth="1"/>
    <col min="8" max="8" width="15.7109375" style="147" customWidth="1"/>
    <col min="9" max="9" width="18.140625" style="159" customWidth="1"/>
    <col min="10" max="10" width="18" style="148" customWidth="1"/>
    <col min="11" max="11" width="18.42578125" style="149" customWidth="1"/>
    <col min="12" max="12" width="22.7109375" style="147" customWidth="1"/>
    <col min="13" max="13" width="23" style="150" customWidth="1"/>
    <col min="14" max="27" width="8.7109375" customWidth="1"/>
  </cols>
  <sheetData>
    <row r="1" spans="1:27" s="23" customFormat="1" ht="36" customHeight="1" thickBot="1" x14ac:dyDescent="0.3">
      <c r="A1" s="25"/>
      <c r="B1" s="13" t="s">
        <v>19</v>
      </c>
      <c r="C1" s="16" t="s">
        <v>20</v>
      </c>
      <c r="D1" s="14" t="s">
        <v>39</v>
      </c>
      <c r="E1" s="15" t="s">
        <v>40</v>
      </c>
      <c r="F1" s="14" t="s">
        <v>21</v>
      </c>
      <c r="G1" s="1" t="s">
        <v>33</v>
      </c>
      <c r="H1" s="5" t="s">
        <v>6</v>
      </c>
      <c r="I1" s="18" t="s">
        <v>34</v>
      </c>
      <c r="J1" s="17" t="s">
        <v>35</v>
      </c>
      <c r="K1" s="1" t="s">
        <v>36</v>
      </c>
      <c r="L1" s="11" t="s">
        <v>37</v>
      </c>
      <c r="M1" s="19" t="s">
        <v>38</v>
      </c>
      <c r="N1" s="24"/>
      <c r="O1" s="24"/>
      <c r="P1" s="24"/>
      <c r="Q1" s="24"/>
      <c r="R1" s="24"/>
      <c r="S1" s="24"/>
      <c r="T1" s="24"/>
      <c r="U1" s="24"/>
      <c r="V1" s="24"/>
      <c r="W1" s="24"/>
      <c r="X1" s="24"/>
      <c r="Y1" s="24"/>
      <c r="Z1" s="24"/>
      <c r="AA1" s="24"/>
    </row>
    <row r="2" spans="1:27" ht="15.75" thickTop="1" x14ac:dyDescent="0.25">
      <c r="A2" s="3">
        <v>5</v>
      </c>
      <c r="B2" s="29" t="str">
        <f>IF(ISNONTEXT(node_raw[[#This Row],[Column1]]), "", node_raw[[#This Row],[Column1]])</f>
        <v/>
      </c>
      <c r="C2" s="26" t="str">
        <f>IF(ISNONTEXT(node_raw[[#This Row],[Column2]]), "", node_raw[[#This Row],[Column2]])</f>
        <v/>
      </c>
      <c r="D2" s="53" t="str">
        <f>IF(ISNUMBER(node_raw[[#This Row],[Column3]]), node_raw[[#This Row],[Column3]],"")</f>
        <v/>
      </c>
      <c r="E2" s="56" t="str">
        <f>IF(ISNUMBER(node_raw[[#This Row],[Column4]]), node_raw[[#This Row],[Column4]]/1048576,"")</f>
        <v/>
      </c>
      <c r="F2" s="133" t="str">
        <f>IF(ISNUMBER(node_raw[[#This Row],[Column5]]), node_raw[[#This Row],[Column5]],"")</f>
        <v/>
      </c>
      <c r="G2" s="152" t="str">
        <f>IF(ISNUMBER(F2), F2/D2, "")</f>
        <v/>
      </c>
      <c r="H2" s="134" t="str">
        <f>IF(ISNUMBER(node_raw[[#This Row],[Column6]]), node_raw[[#This Row],[Column6]]/1048576,"")</f>
        <v/>
      </c>
      <c r="I2" s="156" t="str">
        <f>IF(ISNUMBER(H2), H2/E2, "")</f>
        <v/>
      </c>
      <c r="J2" s="135" t="str">
        <f>IF(ISNONTEXT(node_raw[[#This Row],[Column7]]), "", node_raw[[#This Row],[Column7]]/100)</f>
        <v/>
      </c>
      <c r="K2" s="136" t="str">
        <f>IF(ISNONTEXT(node_raw[[#This Row],[Column8]]), "", node_raw[[#This Row],[Column8]]/100)</f>
        <v/>
      </c>
      <c r="L2" s="137" t="str">
        <f>IF(ISNONTEXT(node_raw[[#This Row],[Column9]]), "", node_raw[[#This Row],[Column9]]/1)</f>
        <v/>
      </c>
      <c r="M2" s="138" t="str">
        <f>IF(ISNONTEXT(node_raw[[#This Row],[Column10]]), "", node_raw[[#This Row],[Column10]]/1)</f>
        <v/>
      </c>
    </row>
    <row r="3" spans="1:27" x14ac:dyDescent="0.25">
      <c r="A3" s="4">
        <v>6</v>
      </c>
      <c r="B3" s="30" t="str">
        <f>IF(ISNONTEXT(node_raw[[#This Row],[Column1]]), "", node_raw[[#This Row],[Column1]])</f>
        <v/>
      </c>
      <c r="C3" s="27" t="str">
        <f>IF(ISNONTEXT(node_raw[[#This Row],[Column2]]), "", node_raw[[#This Row],[Column2]])</f>
        <v/>
      </c>
      <c r="D3" s="54" t="str">
        <f>IF(ISNUMBER(node_raw[[#This Row],[Column3]]), node_raw[[#This Row],[Column3]],"")</f>
        <v/>
      </c>
      <c r="E3" s="57" t="str">
        <f>IF(ISNUMBER(node_raw[[#This Row],[Column4]]), node_raw[[#This Row],[Column4]]/1048576,"")</f>
        <v/>
      </c>
      <c r="F3" s="139" t="str">
        <f>IF(ISNUMBER(node_raw[[#This Row],[Column5]]), node_raw[[#This Row],[Column5]],"")</f>
        <v/>
      </c>
      <c r="G3" s="153" t="str">
        <f>IF(ISNUMBER(F3), F3/D3, "")</f>
        <v/>
      </c>
      <c r="H3" s="140" t="str">
        <f>IF(ISNUMBER(node_raw[[#This Row],[Column6]]), node_raw[[#This Row],[Column6]]/1048576,"")</f>
        <v/>
      </c>
      <c r="I3" s="157" t="str">
        <f t="shared" ref="I3:I66" si="0">IF(ISNUMBER(H3), H3/E3, "")</f>
        <v/>
      </c>
      <c r="J3" s="141" t="str">
        <f>IF(ISNONTEXT(node_raw[[#This Row],[Column7]]), "", node_raw[[#This Row],[Column7]]/100)</f>
        <v/>
      </c>
      <c r="K3" s="142" t="str">
        <f>IF(ISNONTEXT(node_raw[[#This Row],[Column8]]), "", node_raw[[#This Row],[Column8]]/100)</f>
        <v/>
      </c>
      <c r="L3" s="143" t="str">
        <f>IF(ISNONTEXT(node_raw[[#This Row],[Column9]]), "", node_raw[[#This Row],[Column9]]/1)</f>
        <v/>
      </c>
      <c r="M3" s="144" t="str">
        <f>IF(ISNONTEXT(node_raw[[#This Row],[Column10]]), "", node_raw[[#This Row],[Column10]]/1)</f>
        <v/>
      </c>
    </row>
    <row r="4" spans="1:27" x14ac:dyDescent="0.25">
      <c r="A4" s="4">
        <v>7</v>
      </c>
      <c r="B4" s="30" t="str">
        <f>IF(ISNONTEXT(node_raw[[#This Row],[Column1]]), "", node_raw[[#This Row],[Column1]])</f>
        <v/>
      </c>
      <c r="C4" s="27" t="str">
        <f>IF(ISNONTEXT(node_raw[[#This Row],[Column2]]), "", node_raw[[#This Row],[Column2]])</f>
        <v/>
      </c>
      <c r="D4" s="54" t="str">
        <f>IF(ISNUMBER(node_raw[[#This Row],[Column3]]), node_raw[[#This Row],[Column3]],"")</f>
        <v/>
      </c>
      <c r="E4" s="57" t="str">
        <f>IF(ISNUMBER(node_raw[[#This Row],[Column4]]), node_raw[[#This Row],[Column4]]/1048576,"")</f>
        <v/>
      </c>
      <c r="F4" s="139" t="str">
        <f>IF(ISNUMBER(node_raw[[#This Row],[Column5]]), node_raw[[#This Row],[Column5]],"")</f>
        <v/>
      </c>
      <c r="G4" s="153" t="str">
        <f t="shared" ref="G4:G66" si="1">IF(ISNUMBER(F4), F4/D4, "")</f>
        <v/>
      </c>
      <c r="H4" s="140" t="str">
        <f>IF(ISNUMBER(node_raw[[#This Row],[Column6]]), node_raw[[#This Row],[Column6]]/1048576,"")</f>
        <v/>
      </c>
      <c r="I4" s="157" t="str">
        <f t="shared" si="0"/>
        <v/>
      </c>
      <c r="J4" s="141" t="str">
        <f>IF(ISNONTEXT(node_raw[[#This Row],[Column7]]), "", node_raw[[#This Row],[Column7]]/100)</f>
        <v/>
      </c>
      <c r="K4" s="142" t="str">
        <f>IF(ISNONTEXT(node_raw[[#This Row],[Column8]]), "", node_raw[[#This Row],[Column8]]/100)</f>
        <v/>
      </c>
      <c r="L4" s="143" t="str">
        <f>IF(ISNONTEXT(node_raw[[#This Row],[Column9]]), "", node_raw[[#This Row],[Column9]]/1)</f>
        <v/>
      </c>
      <c r="M4" s="144" t="str">
        <f>IF(ISNONTEXT(node_raw[[#This Row],[Column10]]), "", node_raw[[#This Row],[Column10]]/1)</f>
        <v/>
      </c>
    </row>
    <row r="5" spans="1:27" x14ac:dyDescent="0.25">
      <c r="A5" s="4">
        <v>8</v>
      </c>
      <c r="B5" s="30" t="str">
        <f>IF(ISNONTEXT(node_raw[[#This Row],[Column1]]), "", node_raw[[#This Row],[Column1]])</f>
        <v/>
      </c>
      <c r="C5" s="27" t="str">
        <f>IF(ISNONTEXT(node_raw[[#This Row],[Column2]]), "", node_raw[[#This Row],[Column2]])</f>
        <v/>
      </c>
      <c r="D5" s="54" t="str">
        <f>IF(ISNUMBER(node_raw[[#This Row],[Column3]]), node_raw[[#This Row],[Column3]],"")</f>
        <v/>
      </c>
      <c r="E5" s="57" t="str">
        <f>IF(ISNUMBER(node_raw[[#This Row],[Column4]]), node_raw[[#This Row],[Column4]]/1048576,"")</f>
        <v/>
      </c>
      <c r="F5" s="139" t="str">
        <f>IF(ISNUMBER(node_raw[[#This Row],[Column5]]), node_raw[[#This Row],[Column5]],"")</f>
        <v/>
      </c>
      <c r="G5" s="153" t="str">
        <f t="shared" si="1"/>
        <v/>
      </c>
      <c r="H5" s="140" t="str">
        <f>IF(ISNUMBER(node_raw[[#This Row],[Column6]]), node_raw[[#This Row],[Column6]]/1048576,"")</f>
        <v/>
      </c>
      <c r="I5" s="157" t="str">
        <f t="shared" si="0"/>
        <v/>
      </c>
      <c r="J5" s="141" t="str">
        <f>IF(ISNONTEXT(node_raw[[#This Row],[Column7]]), "", node_raw[[#This Row],[Column7]]/100)</f>
        <v/>
      </c>
      <c r="K5" s="142" t="str">
        <f>IF(ISNONTEXT(node_raw[[#This Row],[Column8]]), "", node_raw[[#This Row],[Column8]]/100)</f>
        <v/>
      </c>
      <c r="L5" s="143" t="str">
        <f>IF(ISNONTEXT(node_raw[[#This Row],[Column9]]), "", node_raw[[#This Row],[Column9]]/1)</f>
        <v/>
      </c>
      <c r="M5" s="144" t="str">
        <f>IF(ISNONTEXT(node_raw[[#This Row],[Column10]]), "", node_raw[[#This Row],[Column10]]/1)</f>
        <v/>
      </c>
    </row>
    <row r="6" spans="1:27" x14ac:dyDescent="0.25">
      <c r="A6" s="4">
        <v>9</v>
      </c>
      <c r="B6" s="30" t="str">
        <f>IF(ISNONTEXT(node_raw[[#This Row],[Column1]]), "", node_raw[[#This Row],[Column1]])</f>
        <v/>
      </c>
      <c r="C6" s="27" t="str">
        <f>IF(ISNONTEXT(node_raw[[#This Row],[Column2]]), "", node_raw[[#This Row],[Column2]])</f>
        <v/>
      </c>
      <c r="D6" s="54" t="str">
        <f>IF(ISNUMBER(node_raw[[#This Row],[Column3]]), node_raw[[#This Row],[Column3]],"")</f>
        <v/>
      </c>
      <c r="E6" s="57" t="str">
        <f>IF(ISNUMBER(node_raw[[#This Row],[Column4]]), node_raw[[#This Row],[Column4]]/1048576,"")</f>
        <v/>
      </c>
      <c r="F6" s="139" t="str">
        <f>IF(ISNUMBER(node_raw[[#This Row],[Column5]]), node_raw[[#This Row],[Column5]],"")</f>
        <v/>
      </c>
      <c r="G6" s="153" t="str">
        <f t="shared" si="1"/>
        <v/>
      </c>
      <c r="H6" s="140" t="str">
        <f>IF(ISNUMBER(node_raw[[#This Row],[Column6]]), node_raw[[#This Row],[Column6]]/1048576,"")</f>
        <v/>
      </c>
      <c r="I6" s="157" t="str">
        <f t="shared" si="0"/>
        <v/>
      </c>
      <c r="J6" s="141" t="str">
        <f>IF(ISNONTEXT(node_raw[[#This Row],[Column7]]), "", node_raw[[#This Row],[Column7]]/100)</f>
        <v/>
      </c>
      <c r="K6" s="142" t="str">
        <f>IF(ISNONTEXT(node_raw[[#This Row],[Column8]]), "", node_raw[[#This Row],[Column8]]/100)</f>
        <v/>
      </c>
      <c r="L6" s="143" t="str">
        <f>IF(ISNONTEXT(node_raw[[#This Row],[Column9]]), "", node_raw[[#This Row],[Column9]]/1)</f>
        <v/>
      </c>
      <c r="M6" s="144" t="str">
        <f>IF(ISNONTEXT(node_raw[[#This Row],[Column10]]), "", node_raw[[#This Row],[Column10]]/1)</f>
        <v/>
      </c>
    </row>
    <row r="7" spans="1:27" x14ac:dyDescent="0.25">
      <c r="A7" s="4">
        <v>10</v>
      </c>
      <c r="B7" s="30" t="str">
        <f>IF(ISNONTEXT(node_raw[[#This Row],[Column1]]), "", node_raw[[#This Row],[Column1]])</f>
        <v/>
      </c>
      <c r="C7" s="27" t="str">
        <f>IF(ISNONTEXT(node_raw[[#This Row],[Column2]]), "", node_raw[[#This Row],[Column2]])</f>
        <v/>
      </c>
      <c r="D7" s="54" t="str">
        <f>IF(ISNUMBER(node_raw[[#This Row],[Column3]]), node_raw[[#This Row],[Column3]],"")</f>
        <v/>
      </c>
      <c r="E7" s="57" t="str">
        <f>IF(ISNUMBER(node_raw[[#This Row],[Column4]]), node_raw[[#This Row],[Column4]]/1048576,"")</f>
        <v/>
      </c>
      <c r="F7" s="139" t="str">
        <f>IF(ISNUMBER(node_raw[[#This Row],[Column5]]), node_raw[[#This Row],[Column5]],"")</f>
        <v/>
      </c>
      <c r="G7" s="153" t="str">
        <f t="shared" si="1"/>
        <v/>
      </c>
      <c r="H7" s="140" t="str">
        <f>IF(ISNUMBER(node_raw[[#This Row],[Column6]]), node_raw[[#This Row],[Column6]]/1048576,"")</f>
        <v/>
      </c>
      <c r="I7" s="157" t="str">
        <f t="shared" si="0"/>
        <v/>
      </c>
      <c r="J7" s="141" t="str">
        <f>IF(ISNONTEXT(node_raw[[#This Row],[Column7]]), "", node_raw[[#This Row],[Column7]]/100)</f>
        <v/>
      </c>
      <c r="K7" s="142" t="str">
        <f>IF(ISNONTEXT(node_raw[[#This Row],[Column8]]), "", node_raw[[#This Row],[Column8]]/100)</f>
        <v/>
      </c>
      <c r="L7" s="143" t="str">
        <f>IF(ISNONTEXT(node_raw[[#This Row],[Column9]]), "", node_raw[[#This Row],[Column9]]/1)</f>
        <v/>
      </c>
      <c r="M7" s="144" t="str">
        <f>IF(ISNONTEXT(node_raw[[#This Row],[Column10]]), "", node_raw[[#This Row],[Column10]]/1)</f>
        <v/>
      </c>
    </row>
    <row r="8" spans="1:27" x14ac:dyDescent="0.25">
      <c r="A8" s="4">
        <v>11</v>
      </c>
      <c r="B8" s="30" t="str">
        <f>IF(ISNONTEXT(node_raw[[#This Row],[Column1]]), "", node_raw[[#This Row],[Column1]])</f>
        <v/>
      </c>
      <c r="C8" s="27" t="str">
        <f>IF(ISNONTEXT(node_raw[[#This Row],[Column2]]), "", node_raw[[#This Row],[Column2]])</f>
        <v/>
      </c>
      <c r="D8" s="54" t="str">
        <f>IF(ISNUMBER(node_raw[[#This Row],[Column3]]), node_raw[[#This Row],[Column3]],"")</f>
        <v/>
      </c>
      <c r="E8" s="57" t="str">
        <f>IF(ISNUMBER(node_raw[[#This Row],[Column4]]), node_raw[[#This Row],[Column4]]/1048576,"")</f>
        <v/>
      </c>
      <c r="F8" s="139" t="str">
        <f>IF(ISNUMBER(node_raw[[#This Row],[Column5]]), node_raw[[#This Row],[Column5]],"")</f>
        <v/>
      </c>
      <c r="G8" s="153" t="str">
        <f t="shared" si="1"/>
        <v/>
      </c>
      <c r="H8" s="140" t="str">
        <f>IF(ISNUMBER(node_raw[[#This Row],[Column6]]), node_raw[[#This Row],[Column6]]/1048576,"")</f>
        <v/>
      </c>
      <c r="I8" s="157" t="str">
        <f t="shared" si="0"/>
        <v/>
      </c>
      <c r="J8" s="141" t="str">
        <f>IF(ISNONTEXT(node_raw[[#This Row],[Column7]]), "", node_raw[[#This Row],[Column7]]/100)</f>
        <v/>
      </c>
      <c r="K8" s="142" t="str">
        <f>IF(ISNONTEXT(node_raw[[#This Row],[Column8]]), "", node_raw[[#This Row],[Column8]]/100)</f>
        <v/>
      </c>
      <c r="L8" s="143" t="str">
        <f>IF(ISNONTEXT(node_raw[[#This Row],[Column9]]), "", node_raw[[#This Row],[Column9]]/1)</f>
        <v/>
      </c>
      <c r="M8" s="144" t="str">
        <f>IF(ISNONTEXT(node_raw[[#This Row],[Column10]]), "", node_raw[[#This Row],[Column10]]/1)</f>
        <v/>
      </c>
    </row>
    <row r="9" spans="1:27" x14ac:dyDescent="0.25">
      <c r="A9" s="4">
        <v>12</v>
      </c>
      <c r="B9" s="30" t="str">
        <f>IF(ISNONTEXT(node_raw[[#This Row],[Column1]]), "", node_raw[[#This Row],[Column1]])</f>
        <v/>
      </c>
      <c r="C9" s="27" t="str">
        <f>IF(ISNONTEXT(node_raw[[#This Row],[Column2]]), "", node_raw[[#This Row],[Column2]])</f>
        <v/>
      </c>
      <c r="D9" s="54" t="str">
        <f>IF(ISNUMBER(node_raw[[#This Row],[Column3]]), node_raw[[#This Row],[Column3]],"")</f>
        <v/>
      </c>
      <c r="E9" s="57" t="str">
        <f>IF(ISNUMBER(node_raw[[#This Row],[Column4]]), node_raw[[#This Row],[Column4]]/1048576,"")</f>
        <v/>
      </c>
      <c r="F9" s="139" t="str">
        <f>IF(ISNUMBER(node_raw[[#This Row],[Column5]]), node_raw[[#This Row],[Column5]],"")</f>
        <v/>
      </c>
      <c r="G9" s="153" t="str">
        <f t="shared" si="1"/>
        <v/>
      </c>
      <c r="H9" s="140" t="str">
        <f>IF(ISNUMBER(node_raw[[#This Row],[Column6]]), node_raw[[#This Row],[Column6]]/1048576,"")</f>
        <v/>
      </c>
      <c r="I9" s="157" t="str">
        <f t="shared" si="0"/>
        <v/>
      </c>
      <c r="J9" s="141" t="str">
        <f>IF(ISNONTEXT(node_raw[[#This Row],[Column7]]), "", node_raw[[#This Row],[Column7]]/100)</f>
        <v/>
      </c>
      <c r="K9" s="142" t="str">
        <f>IF(ISNONTEXT(node_raw[[#This Row],[Column8]]), "", node_raw[[#This Row],[Column8]]/100)</f>
        <v/>
      </c>
      <c r="L9" s="143" t="str">
        <f>IF(ISNONTEXT(node_raw[[#This Row],[Column9]]), "", node_raw[[#This Row],[Column9]]/1)</f>
        <v/>
      </c>
      <c r="M9" s="144" t="str">
        <f>IF(ISNONTEXT(node_raw[[#This Row],[Column10]]), "", node_raw[[#This Row],[Column10]]/1)</f>
        <v/>
      </c>
    </row>
    <row r="10" spans="1:27" x14ac:dyDescent="0.25">
      <c r="A10" s="4">
        <v>13</v>
      </c>
      <c r="B10" s="30" t="str">
        <f>IF(ISNONTEXT(node_raw[[#This Row],[Column1]]), "", node_raw[[#This Row],[Column1]])</f>
        <v/>
      </c>
      <c r="C10" s="27" t="str">
        <f>IF(ISNONTEXT(node_raw[[#This Row],[Column2]]), "", node_raw[[#This Row],[Column2]])</f>
        <v/>
      </c>
      <c r="D10" s="54" t="str">
        <f>IF(ISNUMBER(node_raw[[#This Row],[Column3]]), node_raw[[#This Row],[Column3]],"")</f>
        <v/>
      </c>
      <c r="E10" s="57" t="str">
        <f>IF(ISNUMBER(node_raw[[#This Row],[Column4]]), node_raw[[#This Row],[Column4]]/1048576,"")</f>
        <v/>
      </c>
      <c r="F10" s="139" t="str">
        <f>IF(ISNUMBER(node_raw[[#This Row],[Column5]]), node_raw[[#This Row],[Column5]],"")</f>
        <v/>
      </c>
      <c r="G10" s="153" t="str">
        <f t="shared" si="1"/>
        <v/>
      </c>
      <c r="H10" s="140" t="str">
        <f>IF(ISNUMBER(node_raw[[#This Row],[Column6]]), node_raw[[#This Row],[Column6]]/1048576,"")</f>
        <v/>
      </c>
      <c r="I10" s="157" t="str">
        <f t="shared" si="0"/>
        <v/>
      </c>
      <c r="J10" s="141" t="str">
        <f>IF(ISNONTEXT(node_raw[[#This Row],[Column7]]), "", node_raw[[#This Row],[Column7]]/100)</f>
        <v/>
      </c>
      <c r="K10" s="142" t="str">
        <f>IF(ISNONTEXT(node_raw[[#This Row],[Column8]]), "", node_raw[[#This Row],[Column8]]/100)</f>
        <v/>
      </c>
      <c r="L10" s="143" t="str">
        <f>IF(ISNONTEXT(node_raw[[#This Row],[Column9]]), "", node_raw[[#This Row],[Column9]]/1)</f>
        <v/>
      </c>
      <c r="M10" s="144" t="str">
        <f>IF(ISNONTEXT(node_raw[[#This Row],[Column10]]), "", node_raw[[#This Row],[Column10]]/1)</f>
        <v/>
      </c>
    </row>
    <row r="11" spans="1:27" x14ac:dyDescent="0.25">
      <c r="A11" s="4">
        <v>14</v>
      </c>
      <c r="B11" s="30" t="str">
        <f>IF(ISNONTEXT(node_raw[[#This Row],[Column1]]), "", node_raw[[#This Row],[Column1]])</f>
        <v/>
      </c>
      <c r="C11" s="27" t="str">
        <f>IF(ISNONTEXT(node_raw[[#This Row],[Column2]]), "", node_raw[[#This Row],[Column2]])</f>
        <v/>
      </c>
      <c r="D11" s="54" t="str">
        <f>IF(ISNUMBER(node_raw[[#This Row],[Column3]]), node_raw[[#This Row],[Column3]],"")</f>
        <v/>
      </c>
      <c r="E11" s="57" t="str">
        <f>IF(ISNUMBER(node_raw[[#This Row],[Column4]]), node_raw[[#This Row],[Column4]]/1048576,"")</f>
        <v/>
      </c>
      <c r="F11" s="139" t="str">
        <f>IF(ISNUMBER(node_raw[[#This Row],[Column5]]), node_raw[[#This Row],[Column5]],"")</f>
        <v/>
      </c>
      <c r="G11" s="153" t="str">
        <f t="shared" si="1"/>
        <v/>
      </c>
      <c r="H11" s="140" t="str">
        <f>IF(ISNUMBER(node_raw[[#This Row],[Column6]]), node_raw[[#This Row],[Column6]]/1048576,"")</f>
        <v/>
      </c>
      <c r="I11" s="157" t="str">
        <f t="shared" si="0"/>
        <v/>
      </c>
      <c r="J11" s="141" t="str">
        <f>IF(ISNONTEXT(node_raw[[#This Row],[Column7]]), "", node_raw[[#This Row],[Column7]]/100)</f>
        <v/>
      </c>
      <c r="K11" s="142" t="str">
        <f>IF(ISNONTEXT(node_raw[[#This Row],[Column8]]), "", node_raw[[#This Row],[Column8]]/100)</f>
        <v/>
      </c>
      <c r="L11" s="143" t="str">
        <f>IF(ISNONTEXT(node_raw[[#This Row],[Column9]]), "", node_raw[[#This Row],[Column9]]/1)</f>
        <v/>
      </c>
      <c r="M11" s="144" t="str">
        <f>IF(ISNONTEXT(node_raw[[#This Row],[Column10]]), "", node_raw[[#This Row],[Column10]]/1)</f>
        <v/>
      </c>
    </row>
    <row r="12" spans="1:27" x14ac:dyDescent="0.25">
      <c r="A12" s="4">
        <v>15</v>
      </c>
      <c r="B12" s="30" t="str">
        <f>IF(ISNONTEXT(node_raw[[#This Row],[Column1]]), "", node_raw[[#This Row],[Column1]])</f>
        <v/>
      </c>
      <c r="C12" s="27" t="str">
        <f>IF(ISNONTEXT(node_raw[[#This Row],[Column2]]), "", node_raw[[#This Row],[Column2]])</f>
        <v/>
      </c>
      <c r="D12" s="54" t="str">
        <f>IF(ISNUMBER(node_raw[[#This Row],[Column3]]), node_raw[[#This Row],[Column3]],"")</f>
        <v/>
      </c>
      <c r="E12" s="57" t="str">
        <f>IF(ISNUMBER(node_raw[[#This Row],[Column4]]), node_raw[[#This Row],[Column4]]/1048576,"")</f>
        <v/>
      </c>
      <c r="F12" s="139" t="str">
        <f>IF(ISNUMBER(node_raw[[#This Row],[Column5]]), node_raw[[#This Row],[Column5]],"")</f>
        <v/>
      </c>
      <c r="G12" s="153" t="str">
        <f t="shared" si="1"/>
        <v/>
      </c>
      <c r="H12" s="140" t="str">
        <f>IF(ISNUMBER(node_raw[[#This Row],[Column6]]), node_raw[[#This Row],[Column6]]/1048576,"")</f>
        <v/>
      </c>
      <c r="I12" s="157" t="str">
        <f t="shared" si="0"/>
        <v/>
      </c>
      <c r="J12" s="141" t="str">
        <f>IF(ISNONTEXT(node_raw[[#This Row],[Column7]]), "", node_raw[[#This Row],[Column7]]/100)</f>
        <v/>
      </c>
      <c r="K12" s="142" t="str">
        <f>IF(ISNONTEXT(node_raw[[#This Row],[Column8]]), "", node_raw[[#This Row],[Column8]]/100)</f>
        <v/>
      </c>
      <c r="L12" s="143" t="str">
        <f>IF(ISNONTEXT(node_raw[[#This Row],[Column9]]), "", node_raw[[#This Row],[Column9]]/1)</f>
        <v/>
      </c>
      <c r="M12" s="144" t="str">
        <f>IF(ISNONTEXT(node_raw[[#This Row],[Column10]]), "", node_raw[[#This Row],[Column10]]/1)</f>
        <v/>
      </c>
    </row>
    <row r="13" spans="1:27" x14ac:dyDescent="0.25">
      <c r="A13" s="4">
        <v>16</v>
      </c>
      <c r="B13" s="30" t="str">
        <f>IF(ISNONTEXT(node_raw[[#This Row],[Column1]]), "", node_raw[[#This Row],[Column1]])</f>
        <v/>
      </c>
      <c r="C13" s="27" t="str">
        <f>IF(ISNONTEXT(node_raw[[#This Row],[Column2]]), "", node_raw[[#This Row],[Column2]])</f>
        <v/>
      </c>
      <c r="D13" s="54" t="str">
        <f>IF(ISNUMBER(node_raw[[#This Row],[Column3]]), node_raw[[#This Row],[Column3]],"")</f>
        <v/>
      </c>
      <c r="E13" s="57" t="str">
        <f>IF(ISNUMBER(node_raw[[#This Row],[Column4]]), node_raw[[#This Row],[Column4]]/1048576,"")</f>
        <v/>
      </c>
      <c r="F13" s="139" t="str">
        <f>IF(ISNUMBER(node_raw[[#This Row],[Column5]]), node_raw[[#This Row],[Column5]],"")</f>
        <v/>
      </c>
      <c r="G13" s="153" t="str">
        <f t="shared" si="1"/>
        <v/>
      </c>
      <c r="H13" s="140" t="str">
        <f>IF(ISNUMBER(node_raw[[#This Row],[Column6]]), node_raw[[#This Row],[Column6]]/1048576,"")</f>
        <v/>
      </c>
      <c r="I13" s="157" t="str">
        <f t="shared" si="0"/>
        <v/>
      </c>
      <c r="J13" s="141" t="str">
        <f>IF(ISNONTEXT(node_raw[[#This Row],[Column7]]), "", node_raw[[#This Row],[Column7]]/100)</f>
        <v/>
      </c>
      <c r="K13" s="142" t="str">
        <f>IF(ISNONTEXT(node_raw[[#This Row],[Column8]]), "", node_raw[[#This Row],[Column8]]/100)</f>
        <v/>
      </c>
      <c r="L13" s="143" t="str">
        <f>IF(ISNONTEXT(node_raw[[#This Row],[Column9]]), "", node_raw[[#This Row],[Column9]]/1)</f>
        <v/>
      </c>
      <c r="M13" s="144" t="str">
        <f>IF(ISNONTEXT(node_raw[[#This Row],[Column10]]), "", node_raw[[#This Row],[Column10]]/1)</f>
        <v/>
      </c>
    </row>
    <row r="14" spans="1:27" x14ac:dyDescent="0.25">
      <c r="A14" s="4">
        <v>17</v>
      </c>
      <c r="B14" s="30" t="str">
        <f>IF(ISNONTEXT(node_raw[[#This Row],[Column1]]), "", node_raw[[#This Row],[Column1]])</f>
        <v/>
      </c>
      <c r="C14" s="27" t="str">
        <f>IF(ISNONTEXT(node_raw[[#This Row],[Column2]]), "", node_raw[[#This Row],[Column2]])</f>
        <v/>
      </c>
      <c r="D14" s="54" t="str">
        <f>IF(ISNUMBER(node_raw[[#This Row],[Column3]]), node_raw[[#This Row],[Column3]],"")</f>
        <v/>
      </c>
      <c r="E14" s="57" t="str">
        <f>IF(ISNUMBER(node_raw[[#This Row],[Column4]]), node_raw[[#This Row],[Column4]]/1048576,"")</f>
        <v/>
      </c>
      <c r="F14" s="139" t="str">
        <f>IF(ISNUMBER(node_raw[[#This Row],[Column5]]), node_raw[[#This Row],[Column5]],"")</f>
        <v/>
      </c>
      <c r="G14" s="153" t="str">
        <f t="shared" si="1"/>
        <v/>
      </c>
      <c r="H14" s="140" t="str">
        <f>IF(ISNUMBER(node_raw[[#This Row],[Column6]]), node_raw[[#This Row],[Column6]]/1048576,"")</f>
        <v/>
      </c>
      <c r="I14" s="157" t="str">
        <f t="shared" si="0"/>
        <v/>
      </c>
      <c r="J14" s="141" t="str">
        <f>IF(ISNONTEXT(node_raw[[#This Row],[Column7]]), "", node_raw[[#This Row],[Column7]]/100)</f>
        <v/>
      </c>
      <c r="K14" s="142" t="str">
        <f>IF(ISNONTEXT(node_raw[[#This Row],[Column8]]), "", node_raw[[#This Row],[Column8]]/100)</f>
        <v/>
      </c>
      <c r="L14" s="143" t="str">
        <f>IF(ISNONTEXT(node_raw[[#This Row],[Column9]]), "", node_raw[[#This Row],[Column9]]/1)</f>
        <v/>
      </c>
      <c r="M14" s="144" t="str">
        <f>IF(ISNONTEXT(node_raw[[#This Row],[Column10]]), "", node_raw[[#This Row],[Column10]]/1)</f>
        <v/>
      </c>
    </row>
    <row r="15" spans="1:27" x14ac:dyDescent="0.25">
      <c r="A15" s="4">
        <v>18</v>
      </c>
      <c r="B15" s="30" t="str">
        <f>IF(ISNONTEXT(node_raw[[#This Row],[Column1]]), "", node_raw[[#This Row],[Column1]])</f>
        <v/>
      </c>
      <c r="C15" s="27" t="str">
        <f>IF(ISNONTEXT(node_raw[[#This Row],[Column2]]), "", node_raw[[#This Row],[Column2]])</f>
        <v/>
      </c>
      <c r="D15" s="54" t="str">
        <f>IF(ISNUMBER(node_raw[[#This Row],[Column3]]), node_raw[[#This Row],[Column3]],"")</f>
        <v/>
      </c>
      <c r="E15" s="57" t="str">
        <f>IF(ISNUMBER(node_raw[[#This Row],[Column4]]), node_raw[[#This Row],[Column4]]/1048576,"")</f>
        <v/>
      </c>
      <c r="F15" s="139" t="str">
        <f>IF(ISNUMBER(node_raw[[#This Row],[Column5]]), node_raw[[#This Row],[Column5]],"")</f>
        <v/>
      </c>
      <c r="G15" s="153" t="str">
        <f t="shared" si="1"/>
        <v/>
      </c>
      <c r="H15" s="140" t="str">
        <f>IF(ISNUMBER(node_raw[[#This Row],[Column6]]), node_raw[[#This Row],[Column6]]/1048576,"")</f>
        <v/>
      </c>
      <c r="I15" s="157" t="str">
        <f t="shared" si="0"/>
        <v/>
      </c>
      <c r="J15" s="141" t="str">
        <f>IF(ISNONTEXT(node_raw[[#This Row],[Column7]]), "", node_raw[[#This Row],[Column7]]/100)</f>
        <v/>
      </c>
      <c r="K15" s="142" t="str">
        <f>IF(ISNONTEXT(node_raw[[#This Row],[Column8]]), "", node_raw[[#This Row],[Column8]]/100)</f>
        <v/>
      </c>
      <c r="L15" s="143" t="str">
        <f>IF(ISNONTEXT(node_raw[[#This Row],[Column9]]), "", node_raw[[#This Row],[Column9]]/1)</f>
        <v/>
      </c>
      <c r="M15" s="144" t="str">
        <f>IF(ISNONTEXT(node_raw[[#This Row],[Column10]]), "", node_raw[[#This Row],[Column10]]/1)</f>
        <v/>
      </c>
    </row>
    <row r="16" spans="1:27" x14ac:dyDescent="0.25">
      <c r="A16" s="4">
        <v>19</v>
      </c>
      <c r="B16" s="30" t="str">
        <f>IF(ISNONTEXT(node_raw[[#This Row],[Column1]]), "", node_raw[[#This Row],[Column1]])</f>
        <v/>
      </c>
      <c r="C16" s="27" t="str">
        <f>IF(ISNONTEXT(node_raw[[#This Row],[Column2]]), "", node_raw[[#This Row],[Column2]])</f>
        <v/>
      </c>
      <c r="D16" s="54" t="str">
        <f>IF(ISNUMBER(node_raw[[#This Row],[Column3]]), node_raw[[#This Row],[Column3]],"")</f>
        <v/>
      </c>
      <c r="E16" s="57" t="str">
        <f>IF(ISNUMBER(node_raw[[#This Row],[Column4]]), node_raw[[#This Row],[Column4]]/1048576,"")</f>
        <v/>
      </c>
      <c r="F16" s="139" t="str">
        <f>IF(ISNUMBER(node_raw[[#This Row],[Column5]]), node_raw[[#This Row],[Column5]],"")</f>
        <v/>
      </c>
      <c r="G16" s="153" t="str">
        <f t="shared" si="1"/>
        <v/>
      </c>
      <c r="H16" s="140" t="str">
        <f>IF(ISNUMBER(node_raw[[#This Row],[Column6]]), node_raw[[#This Row],[Column6]]/1048576,"")</f>
        <v/>
      </c>
      <c r="I16" s="157" t="str">
        <f t="shared" si="0"/>
        <v/>
      </c>
      <c r="J16" s="141" t="str">
        <f>IF(ISNONTEXT(node_raw[[#This Row],[Column7]]), "", node_raw[[#This Row],[Column7]]/100)</f>
        <v/>
      </c>
      <c r="K16" s="142" t="str">
        <f>IF(ISNONTEXT(node_raw[[#This Row],[Column8]]), "", node_raw[[#This Row],[Column8]]/100)</f>
        <v/>
      </c>
      <c r="L16" s="143" t="str">
        <f>IF(ISNONTEXT(node_raw[[#This Row],[Column9]]), "", node_raw[[#This Row],[Column9]]/1)</f>
        <v/>
      </c>
      <c r="M16" s="144" t="str">
        <f>IF(ISNONTEXT(node_raw[[#This Row],[Column10]]), "", node_raw[[#This Row],[Column10]]/1)</f>
        <v/>
      </c>
    </row>
    <row r="17" spans="1:13" x14ac:dyDescent="0.25">
      <c r="A17" s="4">
        <v>20</v>
      </c>
      <c r="B17" s="30" t="str">
        <f>IF(ISNONTEXT(node_raw[[#This Row],[Column1]]), "", node_raw[[#This Row],[Column1]])</f>
        <v/>
      </c>
      <c r="C17" s="27" t="str">
        <f>IF(ISNONTEXT(node_raw[[#This Row],[Column2]]), "", node_raw[[#This Row],[Column2]])</f>
        <v/>
      </c>
      <c r="D17" s="54" t="str">
        <f>IF(ISNUMBER(node_raw[[#This Row],[Column3]]), node_raw[[#This Row],[Column3]],"")</f>
        <v/>
      </c>
      <c r="E17" s="57" t="str">
        <f>IF(ISNUMBER(node_raw[[#This Row],[Column4]]), node_raw[[#This Row],[Column4]]/1048576,"")</f>
        <v/>
      </c>
      <c r="F17" s="139" t="str">
        <f>IF(ISNUMBER(node_raw[[#This Row],[Column5]]), node_raw[[#This Row],[Column5]],"")</f>
        <v/>
      </c>
      <c r="G17" s="153" t="str">
        <f t="shared" si="1"/>
        <v/>
      </c>
      <c r="H17" s="140" t="str">
        <f>IF(ISNUMBER(node_raw[[#This Row],[Column6]]), node_raw[[#This Row],[Column6]]/1048576,"")</f>
        <v/>
      </c>
      <c r="I17" s="157" t="str">
        <f t="shared" si="0"/>
        <v/>
      </c>
      <c r="J17" s="141" t="str">
        <f>IF(ISNONTEXT(node_raw[[#This Row],[Column7]]), "", node_raw[[#This Row],[Column7]]/100)</f>
        <v/>
      </c>
      <c r="K17" s="142" t="str">
        <f>IF(ISNONTEXT(node_raw[[#This Row],[Column8]]), "", node_raw[[#This Row],[Column8]]/100)</f>
        <v/>
      </c>
      <c r="L17" s="143" t="str">
        <f>IF(ISNONTEXT(node_raw[[#This Row],[Column9]]), "", node_raw[[#This Row],[Column9]]/1)</f>
        <v/>
      </c>
      <c r="M17" s="144" t="str">
        <f>IF(ISNONTEXT(node_raw[[#This Row],[Column10]]), "", node_raw[[#This Row],[Column10]]/1)</f>
        <v/>
      </c>
    </row>
    <row r="18" spans="1:13" x14ac:dyDescent="0.25">
      <c r="A18" s="4">
        <v>21</v>
      </c>
      <c r="B18" s="30" t="str">
        <f>IF(ISNONTEXT(node_raw[[#This Row],[Column1]]), "", node_raw[[#This Row],[Column1]])</f>
        <v/>
      </c>
      <c r="C18" s="27" t="str">
        <f>IF(ISNONTEXT(node_raw[[#This Row],[Column2]]), "", node_raw[[#This Row],[Column2]])</f>
        <v/>
      </c>
      <c r="D18" s="54" t="str">
        <f>IF(ISNUMBER(node_raw[[#This Row],[Column3]]), node_raw[[#This Row],[Column3]],"")</f>
        <v/>
      </c>
      <c r="E18" s="57" t="str">
        <f>IF(ISNUMBER(node_raw[[#This Row],[Column4]]), node_raw[[#This Row],[Column4]]/1048576,"")</f>
        <v/>
      </c>
      <c r="F18" s="139" t="str">
        <f>IF(ISNUMBER(node_raw[[#This Row],[Column5]]), node_raw[[#This Row],[Column5]],"")</f>
        <v/>
      </c>
      <c r="G18" s="153" t="str">
        <f t="shared" si="1"/>
        <v/>
      </c>
      <c r="H18" s="140" t="str">
        <f>IF(ISNUMBER(node_raw[[#This Row],[Column6]]), node_raw[[#This Row],[Column6]]/1048576,"")</f>
        <v/>
      </c>
      <c r="I18" s="157" t="str">
        <f t="shared" si="0"/>
        <v/>
      </c>
      <c r="J18" s="141" t="str">
        <f>IF(ISNONTEXT(node_raw[[#This Row],[Column7]]), "", node_raw[[#This Row],[Column7]]/100)</f>
        <v/>
      </c>
      <c r="K18" s="142" t="str">
        <f>IF(ISNONTEXT(node_raw[[#This Row],[Column8]]), "", node_raw[[#This Row],[Column8]]/100)</f>
        <v/>
      </c>
      <c r="L18" s="143" t="str">
        <f>IF(ISNONTEXT(node_raw[[#This Row],[Column9]]), "", node_raw[[#This Row],[Column9]]/1)</f>
        <v/>
      </c>
      <c r="M18" s="144" t="str">
        <f>IF(ISNONTEXT(node_raw[[#This Row],[Column10]]), "", node_raw[[#This Row],[Column10]]/1)</f>
        <v/>
      </c>
    </row>
    <row r="19" spans="1:13" x14ac:dyDescent="0.25">
      <c r="A19" s="4">
        <v>22</v>
      </c>
      <c r="B19" s="30" t="str">
        <f>IF(ISNONTEXT(node_raw[[#This Row],[Column1]]), "", node_raw[[#This Row],[Column1]])</f>
        <v/>
      </c>
      <c r="C19" s="27" t="str">
        <f>IF(ISNONTEXT(node_raw[[#This Row],[Column2]]), "", node_raw[[#This Row],[Column2]])</f>
        <v/>
      </c>
      <c r="D19" s="54" t="str">
        <f>IF(ISNUMBER(node_raw[[#This Row],[Column3]]), node_raw[[#This Row],[Column3]],"")</f>
        <v/>
      </c>
      <c r="E19" s="57" t="str">
        <f>IF(ISNUMBER(node_raw[[#This Row],[Column4]]), node_raw[[#This Row],[Column4]]/1048576,"")</f>
        <v/>
      </c>
      <c r="F19" s="139" t="str">
        <f>IF(ISNUMBER(node_raw[[#This Row],[Column5]]), node_raw[[#This Row],[Column5]],"")</f>
        <v/>
      </c>
      <c r="G19" s="153" t="str">
        <f t="shared" si="1"/>
        <v/>
      </c>
      <c r="H19" s="140" t="str">
        <f>IF(ISNUMBER(node_raw[[#This Row],[Column6]]), node_raw[[#This Row],[Column6]]/1048576,"")</f>
        <v/>
      </c>
      <c r="I19" s="157" t="str">
        <f t="shared" si="0"/>
        <v/>
      </c>
      <c r="J19" s="141" t="str">
        <f>IF(ISNONTEXT(node_raw[[#This Row],[Column7]]), "", node_raw[[#This Row],[Column7]]/100)</f>
        <v/>
      </c>
      <c r="K19" s="142" t="str">
        <f>IF(ISNONTEXT(node_raw[[#This Row],[Column8]]), "", node_raw[[#This Row],[Column8]]/100)</f>
        <v/>
      </c>
      <c r="L19" s="143" t="str">
        <f>IF(ISNONTEXT(node_raw[[#This Row],[Column9]]), "", node_raw[[#This Row],[Column9]]/1)</f>
        <v/>
      </c>
      <c r="M19" s="144" t="str">
        <f>IF(ISNONTEXT(node_raw[[#This Row],[Column10]]), "", node_raw[[#This Row],[Column10]]/1)</f>
        <v/>
      </c>
    </row>
    <row r="20" spans="1:13" x14ac:dyDescent="0.25">
      <c r="A20" s="4">
        <v>23</v>
      </c>
      <c r="B20" s="30" t="str">
        <f>IF(ISNONTEXT(node_raw[[#This Row],[Column1]]), "", node_raw[[#This Row],[Column1]])</f>
        <v/>
      </c>
      <c r="C20" s="27" t="str">
        <f>IF(ISNONTEXT(node_raw[[#This Row],[Column2]]), "", node_raw[[#This Row],[Column2]])</f>
        <v/>
      </c>
      <c r="D20" s="54" t="str">
        <f>IF(ISNUMBER(node_raw[[#This Row],[Column3]]), node_raw[[#This Row],[Column3]],"")</f>
        <v/>
      </c>
      <c r="E20" s="57" t="str">
        <f>IF(ISNUMBER(node_raw[[#This Row],[Column4]]), node_raw[[#This Row],[Column4]]/1048576,"")</f>
        <v/>
      </c>
      <c r="F20" s="139" t="str">
        <f>IF(ISNUMBER(node_raw[[#This Row],[Column5]]), node_raw[[#This Row],[Column5]],"")</f>
        <v/>
      </c>
      <c r="G20" s="153" t="str">
        <f t="shared" si="1"/>
        <v/>
      </c>
      <c r="H20" s="140" t="str">
        <f>IF(ISNUMBER(node_raw[[#This Row],[Column6]]), node_raw[[#This Row],[Column6]]/1048576,"")</f>
        <v/>
      </c>
      <c r="I20" s="157" t="str">
        <f t="shared" si="0"/>
        <v/>
      </c>
      <c r="J20" s="141" t="str">
        <f>IF(ISNONTEXT(node_raw[[#This Row],[Column7]]), "", node_raw[[#This Row],[Column7]]/100)</f>
        <v/>
      </c>
      <c r="K20" s="142" t="str">
        <f>IF(ISNONTEXT(node_raw[[#This Row],[Column8]]), "", node_raw[[#This Row],[Column8]]/100)</f>
        <v/>
      </c>
      <c r="L20" s="143" t="str">
        <f>IF(ISNONTEXT(node_raw[[#This Row],[Column9]]), "", node_raw[[#This Row],[Column9]]/1)</f>
        <v/>
      </c>
      <c r="M20" s="144" t="str">
        <f>IF(ISNONTEXT(node_raw[[#This Row],[Column10]]), "", node_raw[[#This Row],[Column10]]/1)</f>
        <v/>
      </c>
    </row>
    <row r="21" spans="1:13" ht="15.75" customHeight="1" x14ac:dyDescent="0.25">
      <c r="A21" s="4">
        <v>24</v>
      </c>
      <c r="B21" s="30" t="str">
        <f>IF(ISNONTEXT(node_raw[[#This Row],[Column1]]), "", node_raw[[#This Row],[Column1]])</f>
        <v/>
      </c>
      <c r="C21" s="27" t="str">
        <f>IF(ISNONTEXT(node_raw[[#This Row],[Column2]]), "", node_raw[[#This Row],[Column2]])</f>
        <v/>
      </c>
      <c r="D21" s="54" t="str">
        <f>IF(ISNUMBER(node_raw[[#This Row],[Column3]]), node_raw[[#This Row],[Column3]],"")</f>
        <v/>
      </c>
      <c r="E21" s="57" t="str">
        <f>IF(ISNUMBER(node_raw[[#This Row],[Column4]]), node_raw[[#This Row],[Column4]]/1048576,"")</f>
        <v/>
      </c>
      <c r="F21" s="139" t="str">
        <f>IF(ISNUMBER(node_raw[[#This Row],[Column5]]), node_raw[[#This Row],[Column5]],"")</f>
        <v/>
      </c>
      <c r="G21" s="153" t="str">
        <f t="shared" si="1"/>
        <v/>
      </c>
      <c r="H21" s="140" t="str">
        <f>IF(ISNUMBER(node_raw[[#This Row],[Column6]]), node_raw[[#This Row],[Column6]]/1048576,"")</f>
        <v/>
      </c>
      <c r="I21" s="157" t="str">
        <f t="shared" si="0"/>
        <v/>
      </c>
      <c r="J21" s="141" t="str">
        <f>IF(ISNONTEXT(node_raw[[#This Row],[Column7]]), "", node_raw[[#This Row],[Column7]]/100)</f>
        <v/>
      </c>
      <c r="K21" s="142" t="str">
        <f>IF(ISNONTEXT(node_raw[[#This Row],[Column8]]), "", node_raw[[#This Row],[Column8]]/100)</f>
        <v/>
      </c>
      <c r="L21" s="143" t="str">
        <f>IF(ISNONTEXT(node_raw[[#This Row],[Column9]]), "", node_raw[[#This Row],[Column9]]/1)</f>
        <v/>
      </c>
      <c r="M21" s="144" t="str">
        <f>IF(ISNONTEXT(node_raw[[#This Row],[Column10]]), "", node_raw[[#This Row],[Column10]]/1)</f>
        <v/>
      </c>
    </row>
    <row r="22" spans="1:13" ht="15.75" customHeight="1" x14ac:dyDescent="0.25">
      <c r="A22" s="4">
        <v>25</v>
      </c>
      <c r="B22" s="30" t="str">
        <f>IF(ISNONTEXT(node_raw[[#This Row],[Column1]]), "", node_raw[[#This Row],[Column1]])</f>
        <v/>
      </c>
      <c r="C22" s="27" t="str">
        <f>IF(ISNONTEXT(node_raw[[#This Row],[Column2]]), "", node_raw[[#This Row],[Column2]])</f>
        <v/>
      </c>
      <c r="D22" s="54" t="str">
        <f>IF(ISNUMBER(node_raw[[#This Row],[Column3]]), node_raw[[#This Row],[Column3]],"")</f>
        <v/>
      </c>
      <c r="E22" s="57" t="str">
        <f>IF(ISNUMBER(node_raw[[#This Row],[Column4]]), node_raw[[#This Row],[Column4]]/1048576,"")</f>
        <v/>
      </c>
      <c r="F22" s="139" t="str">
        <f>IF(ISNUMBER(node_raw[[#This Row],[Column5]]), node_raw[[#This Row],[Column5]],"")</f>
        <v/>
      </c>
      <c r="G22" s="153" t="str">
        <f t="shared" si="1"/>
        <v/>
      </c>
      <c r="H22" s="140" t="str">
        <f>IF(ISNUMBER(node_raw[[#This Row],[Column6]]), node_raw[[#This Row],[Column6]]/1048576,"")</f>
        <v/>
      </c>
      <c r="I22" s="157" t="str">
        <f t="shared" si="0"/>
        <v/>
      </c>
      <c r="J22" s="141" t="str">
        <f>IF(ISNONTEXT(node_raw[[#This Row],[Column7]]), "", node_raw[[#This Row],[Column7]]/100)</f>
        <v/>
      </c>
      <c r="K22" s="142" t="str">
        <f>IF(ISNONTEXT(node_raw[[#This Row],[Column8]]), "", node_raw[[#This Row],[Column8]]/100)</f>
        <v/>
      </c>
      <c r="L22" s="143" t="str">
        <f>IF(ISNONTEXT(node_raw[[#This Row],[Column9]]), "", node_raw[[#This Row],[Column9]]/1)</f>
        <v/>
      </c>
      <c r="M22" s="144" t="str">
        <f>IF(ISNONTEXT(node_raw[[#This Row],[Column10]]), "", node_raw[[#This Row],[Column10]]/1)</f>
        <v/>
      </c>
    </row>
    <row r="23" spans="1:13" ht="15.75" customHeight="1" x14ac:dyDescent="0.25">
      <c r="A23" s="4">
        <v>26</v>
      </c>
      <c r="B23" s="30" t="str">
        <f>IF(ISNONTEXT(node_raw[[#This Row],[Column1]]), "", node_raw[[#This Row],[Column1]])</f>
        <v/>
      </c>
      <c r="C23" s="27" t="str">
        <f>IF(ISNONTEXT(node_raw[[#This Row],[Column2]]), "", node_raw[[#This Row],[Column2]])</f>
        <v/>
      </c>
      <c r="D23" s="54" t="str">
        <f>IF(ISNUMBER(node_raw[[#This Row],[Column3]]), node_raw[[#This Row],[Column3]],"")</f>
        <v/>
      </c>
      <c r="E23" s="57" t="str">
        <f>IF(ISNUMBER(node_raw[[#This Row],[Column4]]), node_raw[[#This Row],[Column4]]/1048576,"")</f>
        <v/>
      </c>
      <c r="F23" s="139" t="str">
        <f>IF(ISNUMBER(node_raw[[#This Row],[Column5]]), node_raw[[#This Row],[Column5]],"")</f>
        <v/>
      </c>
      <c r="G23" s="153" t="str">
        <f t="shared" si="1"/>
        <v/>
      </c>
      <c r="H23" s="140" t="str">
        <f>IF(ISNUMBER(node_raw[[#This Row],[Column6]]), node_raw[[#This Row],[Column6]]/1048576,"")</f>
        <v/>
      </c>
      <c r="I23" s="157" t="str">
        <f t="shared" si="0"/>
        <v/>
      </c>
      <c r="J23" s="141" t="str">
        <f>IF(ISNONTEXT(node_raw[[#This Row],[Column7]]), "", node_raw[[#This Row],[Column7]]/100)</f>
        <v/>
      </c>
      <c r="K23" s="142" t="str">
        <f>IF(ISNONTEXT(node_raw[[#This Row],[Column8]]), "", node_raw[[#This Row],[Column8]]/100)</f>
        <v/>
      </c>
      <c r="L23" s="143" t="str">
        <f>IF(ISNONTEXT(node_raw[[#This Row],[Column9]]), "", node_raw[[#This Row],[Column9]]/1)</f>
        <v/>
      </c>
      <c r="M23" s="144" t="str">
        <f>IF(ISNONTEXT(node_raw[[#This Row],[Column10]]), "", node_raw[[#This Row],[Column10]]/1)</f>
        <v/>
      </c>
    </row>
    <row r="24" spans="1:13" ht="15.75" customHeight="1" x14ac:dyDescent="0.25">
      <c r="A24" s="4">
        <v>27</v>
      </c>
      <c r="B24" s="30" t="str">
        <f>IF(ISNONTEXT(node_raw[[#This Row],[Column1]]), "", node_raw[[#This Row],[Column1]])</f>
        <v/>
      </c>
      <c r="C24" s="27" t="str">
        <f>IF(ISNONTEXT(node_raw[[#This Row],[Column2]]), "", node_raw[[#This Row],[Column2]])</f>
        <v/>
      </c>
      <c r="D24" s="54" t="str">
        <f>IF(ISNUMBER(node_raw[[#This Row],[Column3]]), node_raw[[#This Row],[Column3]],"")</f>
        <v/>
      </c>
      <c r="E24" s="57" t="str">
        <f>IF(ISNUMBER(node_raw[[#This Row],[Column4]]), node_raw[[#This Row],[Column4]]/1048576,"")</f>
        <v/>
      </c>
      <c r="F24" s="139" t="str">
        <f>IF(ISNUMBER(node_raw[[#This Row],[Column5]]), node_raw[[#This Row],[Column5]],"")</f>
        <v/>
      </c>
      <c r="G24" s="153" t="str">
        <f t="shared" si="1"/>
        <v/>
      </c>
      <c r="H24" s="140" t="str">
        <f>IF(ISNUMBER(node_raw[[#This Row],[Column6]]), node_raw[[#This Row],[Column6]]/1048576,"")</f>
        <v/>
      </c>
      <c r="I24" s="157" t="str">
        <f t="shared" si="0"/>
        <v/>
      </c>
      <c r="J24" s="141" t="str">
        <f>IF(ISNONTEXT(node_raw[[#This Row],[Column7]]), "", node_raw[[#This Row],[Column7]]/100)</f>
        <v/>
      </c>
      <c r="K24" s="142" t="str">
        <f>IF(ISNONTEXT(node_raw[[#This Row],[Column8]]), "", node_raw[[#This Row],[Column8]]/100)</f>
        <v/>
      </c>
      <c r="L24" s="143" t="str">
        <f>IF(ISNONTEXT(node_raw[[#This Row],[Column9]]), "", node_raw[[#This Row],[Column9]]/1)</f>
        <v/>
      </c>
      <c r="M24" s="144" t="str">
        <f>IF(ISNONTEXT(node_raw[[#This Row],[Column10]]), "", node_raw[[#This Row],[Column10]]/1)</f>
        <v/>
      </c>
    </row>
    <row r="25" spans="1:13" ht="15.75" customHeight="1" x14ac:dyDescent="0.25">
      <c r="A25" s="4">
        <v>28</v>
      </c>
      <c r="B25" s="30" t="str">
        <f>IF(ISNONTEXT(node_raw[[#This Row],[Column1]]), "", node_raw[[#This Row],[Column1]])</f>
        <v/>
      </c>
      <c r="C25" s="27" t="str">
        <f>IF(ISNONTEXT(node_raw[[#This Row],[Column2]]), "", node_raw[[#This Row],[Column2]])</f>
        <v/>
      </c>
      <c r="D25" s="54" t="str">
        <f>IF(ISNUMBER(node_raw[[#This Row],[Column3]]), node_raw[[#This Row],[Column3]],"")</f>
        <v/>
      </c>
      <c r="E25" s="57" t="str">
        <f>IF(ISNUMBER(node_raw[[#This Row],[Column4]]), node_raw[[#This Row],[Column4]]/1048576,"")</f>
        <v/>
      </c>
      <c r="F25" s="139" t="str">
        <f>IF(ISNUMBER(node_raw[[#This Row],[Column5]]), node_raw[[#This Row],[Column5]],"")</f>
        <v/>
      </c>
      <c r="G25" s="153" t="str">
        <f t="shared" si="1"/>
        <v/>
      </c>
      <c r="H25" s="140" t="str">
        <f>IF(ISNUMBER(node_raw[[#This Row],[Column6]]), node_raw[[#This Row],[Column6]]/1048576,"")</f>
        <v/>
      </c>
      <c r="I25" s="157" t="str">
        <f t="shared" si="0"/>
        <v/>
      </c>
      <c r="J25" s="141" t="str">
        <f>IF(ISNONTEXT(node_raw[[#This Row],[Column7]]), "", node_raw[[#This Row],[Column7]]/100)</f>
        <v/>
      </c>
      <c r="K25" s="142" t="str">
        <f>IF(ISNONTEXT(node_raw[[#This Row],[Column8]]), "", node_raw[[#This Row],[Column8]]/100)</f>
        <v/>
      </c>
      <c r="L25" s="143" t="str">
        <f>IF(ISNONTEXT(node_raw[[#This Row],[Column9]]), "", node_raw[[#This Row],[Column9]]/1)</f>
        <v/>
      </c>
      <c r="M25" s="144" t="str">
        <f>IF(ISNONTEXT(node_raw[[#This Row],[Column10]]), "", node_raw[[#This Row],[Column10]]/1)</f>
        <v/>
      </c>
    </row>
    <row r="26" spans="1:13" ht="15.75" customHeight="1" x14ac:dyDescent="0.25">
      <c r="A26" s="4">
        <v>29</v>
      </c>
      <c r="B26" s="30" t="str">
        <f>IF(ISNONTEXT(node_raw[[#This Row],[Column1]]), "", node_raw[[#This Row],[Column1]])</f>
        <v/>
      </c>
      <c r="C26" s="27" t="str">
        <f>IF(ISNONTEXT(node_raw[[#This Row],[Column2]]), "", node_raw[[#This Row],[Column2]])</f>
        <v/>
      </c>
      <c r="D26" s="54" t="str">
        <f>IF(ISNUMBER(node_raw[[#This Row],[Column3]]), node_raw[[#This Row],[Column3]],"")</f>
        <v/>
      </c>
      <c r="E26" s="57" t="str">
        <f>IF(ISNUMBER(node_raw[[#This Row],[Column4]]), node_raw[[#This Row],[Column4]]/1048576,"")</f>
        <v/>
      </c>
      <c r="F26" s="139" t="str">
        <f>IF(ISNUMBER(node_raw[[#This Row],[Column5]]), node_raw[[#This Row],[Column5]],"")</f>
        <v/>
      </c>
      <c r="G26" s="153" t="str">
        <f t="shared" si="1"/>
        <v/>
      </c>
      <c r="H26" s="140" t="str">
        <f>IF(ISNUMBER(node_raw[[#This Row],[Column6]]), node_raw[[#This Row],[Column6]]/1048576,"")</f>
        <v/>
      </c>
      <c r="I26" s="157" t="str">
        <f t="shared" si="0"/>
        <v/>
      </c>
      <c r="J26" s="141" t="str">
        <f>IF(ISNONTEXT(node_raw[[#This Row],[Column7]]), "", node_raw[[#This Row],[Column7]]/100)</f>
        <v/>
      </c>
      <c r="K26" s="142" t="str">
        <f>IF(ISNONTEXT(node_raw[[#This Row],[Column8]]), "", node_raw[[#This Row],[Column8]]/100)</f>
        <v/>
      </c>
      <c r="L26" s="143" t="str">
        <f>IF(ISNONTEXT(node_raw[[#This Row],[Column9]]), "", node_raw[[#This Row],[Column9]]/1)</f>
        <v/>
      </c>
      <c r="M26" s="144" t="str">
        <f>IF(ISNONTEXT(node_raw[[#This Row],[Column10]]), "", node_raw[[#This Row],[Column10]]/1)</f>
        <v/>
      </c>
    </row>
    <row r="27" spans="1:13" ht="15.75" customHeight="1" x14ac:dyDescent="0.25">
      <c r="A27" s="4">
        <v>30</v>
      </c>
      <c r="B27" s="30" t="str">
        <f>IF(ISNONTEXT(node_raw[[#This Row],[Column1]]), "", node_raw[[#This Row],[Column1]])</f>
        <v/>
      </c>
      <c r="C27" s="27" t="str">
        <f>IF(ISNONTEXT(node_raw[[#This Row],[Column2]]), "", node_raw[[#This Row],[Column2]])</f>
        <v/>
      </c>
      <c r="D27" s="54" t="str">
        <f>IF(ISNUMBER(node_raw[[#This Row],[Column3]]), node_raw[[#This Row],[Column3]],"")</f>
        <v/>
      </c>
      <c r="E27" s="57" t="str">
        <f>IF(ISNUMBER(node_raw[[#This Row],[Column4]]), node_raw[[#This Row],[Column4]]/1048576,"")</f>
        <v/>
      </c>
      <c r="F27" s="139" t="str">
        <f>IF(ISNUMBER(node_raw[[#This Row],[Column5]]), node_raw[[#This Row],[Column5]],"")</f>
        <v/>
      </c>
      <c r="G27" s="153" t="str">
        <f t="shared" si="1"/>
        <v/>
      </c>
      <c r="H27" s="140" t="str">
        <f>IF(ISNUMBER(node_raw[[#This Row],[Column6]]), node_raw[[#This Row],[Column6]]/1048576,"")</f>
        <v/>
      </c>
      <c r="I27" s="157" t="str">
        <f t="shared" si="0"/>
        <v/>
      </c>
      <c r="J27" s="141" t="str">
        <f>IF(ISNONTEXT(node_raw[[#This Row],[Column7]]), "", node_raw[[#This Row],[Column7]]/100)</f>
        <v/>
      </c>
      <c r="K27" s="142" t="str">
        <f>IF(ISNONTEXT(node_raw[[#This Row],[Column8]]), "", node_raw[[#This Row],[Column8]]/100)</f>
        <v/>
      </c>
      <c r="L27" s="143" t="str">
        <f>IF(ISNONTEXT(node_raw[[#This Row],[Column9]]), "", node_raw[[#This Row],[Column9]]/1)</f>
        <v/>
      </c>
      <c r="M27" s="144" t="str">
        <f>IF(ISNONTEXT(node_raw[[#This Row],[Column10]]), "", node_raw[[#This Row],[Column10]]/1)</f>
        <v/>
      </c>
    </row>
    <row r="28" spans="1:13" ht="15.75" customHeight="1" x14ac:dyDescent="0.25">
      <c r="A28" s="4">
        <v>31</v>
      </c>
      <c r="B28" s="30" t="str">
        <f>IF(ISNONTEXT(node_raw[[#This Row],[Column1]]), "", node_raw[[#This Row],[Column1]])</f>
        <v/>
      </c>
      <c r="C28" s="27" t="str">
        <f>IF(ISNONTEXT(node_raw[[#This Row],[Column2]]), "", node_raw[[#This Row],[Column2]])</f>
        <v/>
      </c>
      <c r="D28" s="54" t="str">
        <f>IF(ISNUMBER(node_raw[[#This Row],[Column3]]), node_raw[[#This Row],[Column3]],"")</f>
        <v/>
      </c>
      <c r="E28" s="57" t="str">
        <f>IF(ISNUMBER(node_raw[[#This Row],[Column4]]), node_raw[[#This Row],[Column4]]/1048576,"")</f>
        <v/>
      </c>
      <c r="F28" s="139" t="str">
        <f>IF(ISNUMBER(node_raw[[#This Row],[Column5]]), node_raw[[#This Row],[Column5]],"")</f>
        <v/>
      </c>
      <c r="G28" s="153" t="str">
        <f t="shared" si="1"/>
        <v/>
      </c>
      <c r="H28" s="140" t="str">
        <f>IF(ISNUMBER(node_raw[[#This Row],[Column6]]), node_raw[[#This Row],[Column6]]/1048576,"")</f>
        <v/>
      </c>
      <c r="I28" s="157" t="str">
        <f t="shared" si="0"/>
        <v/>
      </c>
      <c r="J28" s="141" t="str">
        <f>IF(ISNONTEXT(node_raw[[#This Row],[Column7]]), "", node_raw[[#This Row],[Column7]]/100)</f>
        <v/>
      </c>
      <c r="K28" s="142" t="str">
        <f>IF(ISNONTEXT(node_raw[[#This Row],[Column8]]), "", node_raw[[#This Row],[Column8]]/100)</f>
        <v/>
      </c>
      <c r="L28" s="143" t="str">
        <f>IF(ISNONTEXT(node_raw[[#This Row],[Column9]]), "", node_raw[[#This Row],[Column9]]/1)</f>
        <v/>
      </c>
      <c r="M28" s="144" t="str">
        <f>IF(ISNONTEXT(node_raw[[#This Row],[Column10]]), "", node_raw[[#This Row],[Column10]]/1)</f>
        <v/>
      </c>
    </row>
    <row r="29" spans="1:13" ht="15.75" customHeight="1" x14ac:dyDescent="0.25">
      <c r="B29" s="30" t="str">
        <f>IF(ISNONTEXT(node_raw[[#This Row],[Column1]]), "", node_raw[[#This Row],[Column1]])</f>
        <v/>
      </c>
      <c r="C29" s="27" t="str">
        <f>IF(ISNONTEXT(node_raw[[#This Row],[Column2]]), "", node_raw[[#This Row],[Column2]])</f>
        <v/>
      </c>
      <c r="D29" s="54" t="str">
        <f>IF(ISNUMBER(node_raw[[#This Row],[Column3]]), node_raw[[#This Row],[Column3]],"")</f>
        <v/>
      </c>
      <c r="E29" s="57" t="str">
        <f>IF(ISNUMBER(node_raw[[#This Row],[Column4]]), node_raw[[#This Row],[Column4]]/1048576,"")</f>
        <v/>
      </c>
      <c r="F29" s="139" t="str">
        <f>IF(ISNUMBER(node_raw[[#This Row],[Column5]]), node_raw[[#This Row],[Column5]],"")</f>
        <v/>
      </c>
      <c r="G29" s="153" t="str">
        <f t="shared" si="1"/>
        <v/>
      </c>
      <c r="H29" s="140" t="str">
        <f>IF(ISNUMBER(node_raw[[#This Row],[Column6]]), node_raw[[#This Row],[Column6]]/1048576,"")</f>
        <v/>
      </c>
      <c r="I29" s="157" t="str">
        <f t="shared" si="0"/>
        <v/>
      </c>
      <c r="J29" s="141" t="str">
        <f>IF(ISNONTEXT(node_raw[[#This Row],[Column7]]), "", node_raw[[#This Row],[Column7]]/100)</f>
        <v/>
      </c>
      <c r="K29" s="142" t="str">
        <f>IF(ISNONTEXT(node_raw[[#This Row],[Column8]]), "", node_raw[[#This Row],[Column8]]/100)</f>
        <v/>
      </c>
      <c r="L29" s="143" t="str">
        <f>IF(ISNONTEXT(node_raw[[#This Row],[Column9]]), "", node_raw[[#This Row],[Column9]]/1)</f>
        <v/>
      </c>
      <c r="M29" s="144" t="str">
        <f>IF(ISNONTEXT(node_raw[[#This Row],[Column10]]), "", node_raw[[#This Row],[Column10]]/1)</f>
        <v/>
      </c>
    </row>
    <row r="30" spans="1:13" ht="15.75" customHeight="1" x14ac:dyDescent="0.25">
      <c r="B30" s="30" t="str">
        <f>IF(ISNONTEXT(node_raw[[#This Row],[Column1]]), "", node_raw[[#This Row],[Column1]])</f>
        <v/>
      </c>
      <c r="C30" s="27" t="str">
        <f>IF(ISNONTEXT(node_raw[[#This Row],[Column2]]), "", node_raw[[#This Row],[Column2]])</f>
        <v/>
      </c>
      <c r="D30" s="54" t="str">
        <f>IF(ISNUMBER(node_raw[[#This Row],[Column3]]), node_raw[[#This Row],[Column3]],"")</f>
        <v/>
      </c>
      <c r="E30" s="57" t="str">
        <f>IF(ISNUMBER(node_raw[[#This Row],[Column4]]), node_raw[[#This Row],[Column4]]/1048576,"")</f>
        <v/>
      </c>
      <c r="F30" s="139" t="str">
        <f>IF(ISNUMBER(node_raw[[#This Row],[Column5]]), node_raw[[#This Row],[Column5]],"")</f>
        <v/>
      </c>
      <c r="G30" s="153" t="str">
        <f t="shared" si="1"/>
        <v/>
      </c>
      <c r="H30" s="140" t="str">
        <f>IF(ISNUMBER(node_raw[[#This Row],[Column6]]), node_raw[[#This Row],[Column6]]/1048576,"")</f>
        <v/>
      </c>
      <c r="I30" s="157" t="str">
        <f t="shared" si="0"/>
        <v/>
      </c>
      <c r="J30" s="141" t="str">
        <f>IF(ISNONTEXT(node_raw[[#This Row],[Column7]]), "", node_raw[[#This Row],[Column7]]/100)</f>
        <v/>
      </c>
      <c r="K30" s="142" t="str">
        <f>IF(ISNONTEXT(node_raw[[#This Row],[Column8]]), "", node_raw[[#This Row],[Column8]]/100)</f>
        <v/>
      </c>
      <c r="L30" s="143" t="str">
        <f>IF(ISNONTEXT(node_raw[[#This Row],[Column9]]), "", node_raw[[#This Row],[Column9]]/1)</f>
        <v/>
      </c>
      <c r="M30" s="144" t="str">
        <f>IF(ISNONTEXT(node_raw[[#This Row],[Column10]]), "", node_raw[[#This Row],[Column10]]/1)</f>
        <v/>
      </c>
    </row>
    <row r="31" spans="1:13" ht="15.75" customHeight="1" x14ac:dyDescent="0.25">
      <c r="B31" s="30" t="str">
        <f>IF(ISNONTEXT(node_raw[[#This Row],[Column1]]), "", node_raw[[#This Row],[Column1]])</f>
        <v/>
      </c>
      <c r="C31" s="27" t="str">
        <f>IF(ISNONTEXT(node_raw[[#This Row],[Column2]]), "", node_raw[[#This Row],[Column2]])</f>
        <v/>
      </c>
      <c r="D31" s="54" t="str">
        <f>IF(ISNUMBER(node_raw[[#This Row],[Column3]]), node_raw[[#This Row],[Column3]],"")</f>
        <v/>
      </c>
      <c r="E31" s="57" t="str">
        <f>IF(ISNUMBER(node_raw[[#This Row],[Column4]]), node_raw[[#This Row],[Column4]]/1048576,"")</f>
        <v/>
      </c>
      <c r="F31" s="139" t="str">
        <f>IF(ISNUMBER(node_raw[[#This Row],[Column5]]), node_raw[[#This Row],[Column5]],"")</f>
        <v/>
      </c>
      <c r="G31" s="153" t="str">
        <f t="shared" si="1"/>
        <v/>
      </c>
      <c r="H31" s="140" t="str">
        <f>IF(ISNUMBER(node_raw[[#This Row],[Column6]]), node_raw[[#This Row],[Column6]]/1048576,"")</f>
        <v/>
      </c>
      <c r="I31" s="157" t="str">
        <f t="shared" si="0"/>
        <v/>
      </c>
      <c r="J31" s="141" t="str">
        <f>IF(ISNONTEXT(node_raw[[#This Row],[Column7]]), "", node_raw[[#This Row],[Column7]]/100)</f>
        <v/>
      </c>
      <c r="K31" s="142" t="str">
        <f>IF(ISNONTEXT(node_raw[[#This Row],[Column8]]), "", node_raw[[#This Row],[Column8]]/100)</f>
        <v/>
      </c>
      <c r="L31" s="143" t="str">
        <f>IF(ISNONTEXT(node_raw[[#This Row],[Column9]]), "", node_raw[[#This Row],[Column9]]/1)</f>
        <v/>
      </c>
      <c r="M31" s="144" t="str">
        <f>IF(ISNONTEXT(node_raw[[#This Row],[Column10]]), "", node_raw[[#This Row],[Column10]]/1)</f>
        <v/>
      </c>
    </row>
    <row r="32" spans="1:13" ht="15.75" customHeight="1" x14ac:dyDescent="0.25">
      <c r="B32" s="30" t="str">
        <f>IF(ISNONTEXT(node_raw[[#This Row],[Column1]]), "", node_raw[[#This Row],[Column1]])</f>
        <v/>
      </c>
      <c r="C32" s="27" t="str">
        <f>IF(ISNONTEXT(node_raw[[#This Row],[Column2]]), "", node_raw[[#This Row],[Column2]])</f>
        <v/>
      </c>
      <c r="D32" s="54" t="str">
        <f>IF(ISNUMBER(node_raw[[#This Row],[Column3]]), node_raw[[#This Row],[Column3]],"")</f>
        <v/>
      </c>
      <c r="E32" s="57" t="str">
        <f>IF(ISNUMBER(node_raw[[#This Row],[Column4]]), node_raw[[#This Row],[Column4]]/1048576,"")</f>
        <v/>
      </c>
      <c r="F32" s="139" t="str">
        <f>IF(ISNUMBER(node_raw[[#This Row],[Column5]]), node_raw[[#This Row],[Column5]],"")</f>
        <v/>
      </c>
      <c r="G32" s="153" t="str">
        <f t="shared" si="1"/>
        <v/>
      </c>
      <c r="H32" s="140" t="str">
        <f>IF(ISNUMBER(node_raw[[#This Row],[Column6]]), node_raw[[#This Row],[Column6]]/1048576,"")</f>
        <v/>
      </c>
      <c r="I32" s="157" t="str">
        <f t="shared" si="0"/>
        <v/>
      </c>
      <c r="J32" s="141" t="str">
        <f>IF(ISNONTEXT(node_raw[[#This Row],[Column7]]), "", node_raw[[#This Row],[Column7]]/100)</f>
        <v/>
      </c>
      <c r="K32" s="142" t="str">
        <f>IF(ISNONTEXT(node_raw[[#This Row],[Column8]]), "", node_raw[[#This Row],[Column8]]/100)</f>
        <v/>
      </c>
      <c r="L32" s="143" t="str">
        <f>IF(ISNONTEXT(node_raw[[#This Row],[Column9]]), "", node_raw[[#This Row],[Column9]]/1)</f>
        <v/>
      </c>
      <c r="M32" s="144" t="str">
        <f>IF(ISNONTEXT(node_raw[[#This Row],[Column10]]), "", node_raw[[#This Row],[Column10]]/1)</f>
        <v/>
      </c>
    </row>
    <row r="33" spans="2:13" ht="15.75" customHeight="1" x14ac:dyDescent="0.25">
      <c r="B33" s="30" t="str">
        <f>IF(ISNONTEXT(node_raw[[#This Row],[Column1]]), "", node_raw[[#This Row],[Column1]])</f>
        <v/>
      </c>
      <c r="C33" s="27" t="str">
        <f>IF(ISNONTEXT(node_raw[[#This Row],[Column2]]), "", node_raw[[#This Row],[Column2]])</f>
        <v/>
      </c>
      <c r="D33" s="54" t="str">
        <f>IF(ISNUMBER(node_raw[[#This Row],[Column3]]), node_raw[[#This Row],[Column3]],"")</f>
        <v/>
      </c>
      <c r="E33" s="57" t="str">
        <f>IF(ISNUMBER(node_raw[[#This Row],[Column4]]), node_raw[[#This Row],[Column4]]/1048576,"")</f>
        <v/>
      </c>
      <c r="F33" s="139" t="str">
        <f>IF(ISNUMBER(node_raw[[#This Row],[Column5]]), node_raw[[#This Row],[Column5]],"")</f>
        <v/>
      </c>
      <c r="G33" s="153" t="str">
        <f t="shared" si="1"/>
        <v/>
      </c>
      <c r="H33" s="140" t="str">
        <f>IF(ISNUMBER(node_raw[[#This Row],[Column6]]), node_raw[[#This Row],[Column6]]/1048576,"")</f>
        <v/>
      </c>
      <c r="I33" s="157" t="str">
        <f t="shared" si="0"/>
        <v/>
      </c>
      <c r="J33" s="141" t="str">
        <f>IF(ISNONTEXT(node_raw[[#This Row],[Column7]]), "", node_raw[[#This Row],[Column7]]/100)</f>
        <v/>
      </c>
      <c r="K33" s="142" t="str">
        <f>IF(ISNONTEXT(node_raw[[#This Row],[Column8]]), "", node_raw[[#This Row],[Column8]]/100)</f>
        <v/>
      </c>
      <c r="L33" s="143" t="str">
        <f>IF(ISNONTEXT(node_raw[[#This Row],[Column9]]), "", node_raw[[#This Row],[Column9]]/1)</f>
        <v/>
      </c>
      <c r="M33" s="144" t="str">
        <f>IF(ISNONTEXT(node_raw[[#This Row],[Column10]]), "", node_raw[[#This Row],[Column10]]/1)</f>
        <v/>
      </c>
    </row>
    <row r="34" spans="2:13" ht="15.75" customHeight="1" x14ac:dyDescent="0.25">
      <c r="B34" s="30" t="str">
        <f>IF(ISNONTEXT(node_raw[[#This Row],[Column1]]), "", node_raw[[#This Row],[Column1]])</f>
        <v/>
      </c>
      <c r="C34" s="27" t="str">
        <f>IF(ISNONTEXT(node_raw[[#This Row],[Column2]]), "", node_raw[[#This Row],[Column2]])</f>
        <v/>
      </c>
      <c r="D34" s="54" t="str">
        <f>IF(ISNUMBER(node_raw[[#This Row],[Column3]]), node_raw[[#This Row],[Column3]],"")</f>
        <v/>
      </c>
      <c r="E34" s="57" t="str">
        <f>IF(ISNUMBER(node_raw[[#This Row],[Column4]]), node_raw[[#This Row],[Column4]]/1048576,"")</f>
        <v/>
      </c>
      <c r="F34" s="139" t="str">
        <f>IF(ISNUMBER(node_raw[[#This Row],[Column5]]), node_raw[[#This Row],[Column5]],"")</f>
        <v/>
      </c>
      <c r="G34" s="153" t="str">
        <f t="shared" si="1"/>
        <v/>
      </c>
      <c r="H34" s="140" t="str">
        <f>IF(ISNUMBER(node_raw[[#This Row],[Column6]]), node_raw[[#This Row],[Column6]]/1048576,"")</f>
        <v/>
      </c>
      <c r="I34" s="157" t="str">
        <f t="shared" si="0"/>
        <v/>
      </c>
      <c r="J34" s="141" t="str">
        <f>IF(ISNONTEXT(node_raw[[#This Row],[Column7]]), "", node_raw[[#This Row],[Column7]]/100)</f>
        <v/>
      </c>
      <c r="K34" s="142" t="str">
        <f>IF(ISNONTEXT(node_raw[[#This Row],[Column8]]), "", node_raw[[#This Row],[Column8]]/100)</f>
        <v/>
      </c>
      <c r="L34" s="143" t="str">
        <f>IF(ISNONTEXT(node_raw[[#This Row],[Column9]]), "", node_raw[[#This Row],[Column9]]/1)</f>
        <v/>
      </c>
      <c r="M34" s="144" t="str">
        <f>IF(ISNONTEXT(node_raw[[#This Row],[Column10]]), "", node_raw[[#This Row],[Column10]]/1)</f>
        <v/>
      </c>
    </row>
    <row r="35" spans="2:13" ht="15.75" customHeight="1" x14ac:dyDescent="0.25">
      <c r="B35" s="30" t="str">
        <f>IF(ISNONTEXT(node_raw[[#This Row],[Column1]]), "", node_raw[[#This Row],[Column1]])</f>
        <v/>
      </c>
      <c r="C35" s="27" t="str">
        <f>IF(ISNONTEXT(node_raw[[#This Row],[Column2]]), "", node_raw[[#This Row],[Column2]])</f>
        <v/>
      </c>
      <c r="D35" s="54" t="str">
        <f>IF(ISNUMBER(node_raw[[#This Row],[Column3]]), node_raw[[#This Row],[Column3]],"")</f>
        <v/>
      </c>
      <c r="E35" s="57" t="str">
        <f>IF(ISNUMBER(node_raw[[#This Row],[Column4]]), node_raw[[#This Row],[Column4]]/1048576,"")</f>
        <v/>
      </c>
      <c r="F35" s="139" t="str">
        <f>IF(ISNUMBER(node_raw[[#This Row],[Column5]]), node_raw[[#This Row],[Column5]],"")</f>
        <v/>
      </c>
      <c r="G35" s="153" t="str">
        <f t="shared" si="1"/>
        <v/>
      </c>
      <c r="H35" s="140" t="str">
        <f>IF(ISNUMBER(node_raw[[#This Row],[Column6]]), node_raw[[#This Row],[Column6]]/1048576,"")</f>
        <v/>
      </c>
      <c r="I35" s="157" t="str">
        <f t="shared" si="0"/>
        <v/>
      </c>
      <c r="J35" s="141" t="str">
        <f>IF(ISNONTEXT(node_raw[[#This Row],[Column7]]), "", node_raw[[#This Row],[Column7]]/100)</f>
        <v/>
      </c>
      <c r="K35" s="142" t="str">
        <f>IF(ISNONTEXT(node_raw[[#This Row],[Column8]]), "", node_raw[[#This Row],[Column8]]/100)</f>
        <v/>
      </c>
      <c r="L35" s="143" t="str">
        <f>IF(ISNONTEXT(node_raw[[#This Row],[Column9]]), "", node_raw[[#This Row],[Column9]]/1)</f>
        <v/>
      </c>
      <c r="M35" s="144" t="str">
        <f>IF(ISNONTEXT(node_raw[[#This Row],[Column10]]), "", node_raw[[#This Row],[Column10]]/1)</f>
        <v/>
      </c>
    </row>
    <row r="36" spans="2:13" ht="15.75" customHeight="1" x14ac:dyDescent="0.25">
      <c r="B36" s="30" t="str">
        <f>IF(ISNONTEXT(node_raw[[#This Row],[Column1]]), "", node_raw[[#This Row],[Column1]])</f>
        <v/>
      </c>
      <c r="C36" s="27" t="str">
        <f>IF(ISNONTEXT(node_raw[[#This Row],[Column2]]), "", node_raw[[#This Row],[Column2]])</f>
        <v/>
      </c>
      <c r="D36" s="54" t="str">
        <f>IF(ISNUMBER(node_raw[[#This Row],[Column3]]), node_raw[[#This Row],[Column3]],"")</f>
        <v/>
      </c>
      <c r="E36" s="57" t="str">
        <f>IF(ISNUMBER(node_raw[[#This Row],[Column4]]), node_raw[[#This Row],[Column4]]/1048576,"")</f>
        <v/>
      </c>
      <c r="F36" s="139" t="str">
        <f>IF(ISNUMBER(node_raw[[#This Row],[Column5]]), node_raw[[#This Row],[Column5]],"")</f>
        <v/>
      </c>
      <c r="G36" s="153" t="str">
        <f t="shared" si="1"/>
        <v/>
      </c>
      <c r="H36" s="140" t="str">
        <f>IF(ISNUMBER(node_raw[[#This Row],[Column6]]), node_raw[[#This Row],[Column6]]/1048576,"")</f>
        <v/>
      </c>
      <c r="I36" s="157" t="str">
        <f t="shared" si="0"/>
        <v/>
      </c>
      <c r="J36" s="141" t="str">
        <f>IF(ISNONTEXT(node_raw[[#This Row],[Column7]]), "", node_raw[[#This Row],[Column7]]/100)</f>
        <v/>
      </c>
      <c r="K36" s="142" t="str">
        <f>IF(ISNONTEXT(node_raw[[#This Row],[Column8]]), "", node_raw[[#This Row],[Column8]]/100)</f>
        <v/>
      </c>
      <c r="L36" s="143" t="str">
        <f>IF(ISNONTEXT(node_raw[[#This Row],[Column9]]), "", node_raw[[#This Row],[Column9]]/1)</f>
        <v/>
      </c>
      <c r="M36" s="144" t="str">
        <f>IF(ISNONTEXT(node_raw[[#This Row],[Column10]]), "", node_raw[[#This Row],[Column10]]/1)</f>
        <v/>
      </c>
    </row>
    <row r="37" spans="2:13" ht="15.75" customHeight="1" x14ac:dyDescent="0.25">
      <c r="B37" s="30" t="str">
        <f>IF(ISNONTEXT(node_raw[[#This Row],[Column1]]), "", node_raw[[#This Row],[Column1]])</f>
        <v/>
      </c>
      <c r="C37" s="27" t="str">
        <f>IF(ISNONTEXT(node_raw[[#This Row],[Column2]]), "", node_raw[[#This Row],[Column2]])</f>
        <v/>
      </c>
      <c r="D37" s="54" t="str">
        <f>IF(ISNUMBER(node_raw[[#This Row],[Column3]]), node_raw[[#This Row],[Column3]],"")</f>
        <v/>
      </c>
      <c r="E37" s="57" t="str">
        <f>IF(ISNUMBER(node_raw[[#This Row],[Column4]]), node_raw[[#This Row],[Column4]]/1048576,"")</f>
        <v/>
      </c>
      <c r="F37" s="139" t="str">
        <f>IF(ISNUMBER(node_raw[[#This Row],[Column5]]), node_raw[[#This Row],[Column5]],"")</f>
        <v/>
      </c>
      <c r="G37" s="153" t="str">
        <f t="shared" si="1"/>
        <v/>
      </c>
      <c r="H37" s="140" t="str">
        <f>IF(ISNUMBER(node_raw[[#This Row],[Column6]]), node_raw[[#This Row],[Column6]]/1048576,"")</f>
        <v/>
      </c>
      <c r="I37" s="157" t="str">
        <f t="shared" si="0"/>
        <v/>
      </c>
      <c r="J37" s="141" t="str">
        <f>IF(ISNONTEXT(node_raw[[#This Row],[Column7]]), "", node_raw[[#This Row],[Column7]]/100)</f>
        <v/>
      </c>
      <c r="K37" s="142" t="str">
        <f>IF(ISNONTEXT(node_raw[[#This Row],[Column8]]), "", node_raw[[#This Row],[Column8]]/100)</f>
        <v/>
      </c>
      <c r="L37" s="143" t="str">
        <f>IF(ISNONTEXT(node_raw[[#This Row],[Column9]]), "", node_raw[[#This Row],[Column9]]/1)</f>
        <v/>
      </c>
      <c r="M37" s="144" t="str">
        <f>IF(ISNONTEXT(node_raw[[#This Row],[Column10]]), "", node_raw[[#This Row],[Column10]]/1)</f>
        <v/>
      </c>
    </row>
    <row r="38" spans="2:13" ht="15.75" customHeight="1" x14ac:dyDescent="0.25">
      <c r="B38" s="30" t="str">
        <f>IF(ISNONTEXT(node_raw[[#This Row],[Column1]]), "", node_raw[[#This Row],[Column1]])</f>
        <v/>
      </c>
      <c r="C38" s="27" t="str">
        <f>IF(ISNONTEXT(node_raw[[#This Row],[Column2]]), "", node_raw[[#This Row],[Column2]])</f>
        <v/>
      </c>
      <c r="D38" s="54" t="str">
        <f>IF(ISNUMBER(node_raw[[#This Row],[Column3]]), node_raw[[#This Row],[Column3]],"")</f>
        <v/>
      </c>
      <c r="E38" s="57" t="str">
        <f>IF(ISNUMBER(node_raw[[#This Row],[Column4]]), node_raw[[#This Row],[Column4]]/1048576,"")</f>
        <v/>
      </c>
      <c r="F38" s="139" t="str">
        <f>IF(ISNUMBER(node_raw[[#This Row],[Column5]]), node_raw[[#This Row],[Column5]],"")</f>
        <v/>
      </c>
      <c r="G38" s="153" t="str">
        <f t="shared" si="1"/>
        <v/>
      </c>
      <c r="H38" s="140" t="str">
        <f>IF(ISNUMBER(node_raw[[#This Row],[Column6]]), node_raw[[#This Row],[Column6]]/1048576,"")</f>
        <v/>
      </c>
      <c r="I38" s="157" t="str">
        <f t="shared" si="0"/>
        <v/>
      </c>
      <c r="J38" s="141" t="str">
        <f>IF(ISNONTEXT(node_raw[[#This Row],[Column7]]), "", node_raw[[#This Row],[Column7]]/100)</f>
        <v/>
      </c>
      <c r="K38" s="142" t="str">
        <f>IF(ISNONTEXT(node_raw[[#This Row],[Column8]]), "", node_raw[[#This Row],[Column8]]/100)</f>
        <v/>
      </c>
      <c r="L38" s="143" t="str">
        <f>IF(ISNONTEXT(node_raw[[#This Row],[Column9]]), "", node_raw[[#This Row],[Column9]]/1)</f>
        <v/>
      </c>
      <c r="M38" s="144" t="str">
        <f>IF(ISNONTEXT(node_raw[[#This Row],[Column10]]), "", node_raw[[#This Row],[Column10]]/1)</f>
        <v/>
      </c>
    </row>
    <row r="39" spans="2:13" ht="15.75" customHeight="1" x14ac:dyDescent="0.25">
      <c r="B39" s="30" t="str">
        <f>IF(ISNONTEXT(node_raw[[#This Row],[Column1]]), "", node_raw[[#This Row],[Column1]])</f>
        <v/>
      </c>
      <c r="C39" s="27" t="str">
        <f>IF(ISNONTEXT(node_raw[[#This Row],[Column2]]), "", node_raw[[#This Row],[Column2]])</f>
        <v/>
      </c>
      <c r="D39" s="54" t="str">
        <f>IF(ISNUMBER(node_raw[[#This Row],[Column3]]), node_raw[[#This Row],[Column3]],"")</f>
        <v/>
      </c>
      <c r="E39" s="57" t="str">
        <f>IF(ISNUMBER(node_raw[[#This Row],[Column4]]), node_raw[[#This Row],[Column4]]/1048576,"")</f>
        <v/>
      </c>
      <c r="F39" s="139" t="str">
        <f>IF(ISNUMBER(node_raw[[#This Row],[Column5]]), node_raw[[#This Row],[Column5]],"")</f>
        <v/>
      </c>
      <c r="G39" s="153" t="str">
        <f t="shared" si="1"/>
        <v/>
      </c>
      <c r="H39" s="140" t="str">
        <f>IF(ISNUMBER(node_raw[[#This Row],[Column6]]), node_raw[[#This Row],[Column6]]/1048576,"")</f>
        <v/>
      </c>
      <c r="I39" s="157" t="str">
        <f t="shared" si="0"/>
        <v/>
      </c>
      <c r="J39" s="141" t="str">
        <f>IF(ISNONTEXT(node_raw[[#This Row],[Column7]]), "", node_raw[[#This Row],[Column7]]/100)</f>
        <v/>
      </c>
      <c r="K39" s="142" t="str">
        <f>IF(ISNONTEXT(node_raw[[#This Row],[Column8]]), "", node_raw[[#This Row],[Column8]]/100)</f>
        <v/>
      </c>
      <c r="L39" s="143" t="str">
        <f>IF(ISNONTEXT(node_raw[[#This Row],[Column9]]), "", node_raw[[#This Row],[Column9]]/1)</f>
        <v/>
      </c>
      <c r="M39" s="144" t="str">
        <f>IF(ISNONTEXT(node_raw[[#This Row],[Column10]]), "", node_raw[[#This Row],[Column10]]/1)</f>
        <v/>
      </c>
    </row>
    <row r="40" spans="2:13" ht="15.75" customHeight="1" x14ac:dyDescent="0.25">
      <c r="B40" s="30" t="str">
        <f>IF(ISNONTEXT(node_raw[[#This Row],[Column1]]), "", node_raw[[#This Row],[Column1]])</f>
        <v/>
      </c>
      <c r="C40" s="27" t="str">
        <f>IF(ISNONTEXT(node_raw[[#This Row],[Column2]]), "", node_raw[[#This Row],[Column2]])</f>
        <v/>
      </c>
      <c r="D40" s="54" t="str">
        <f>IF(ISNUMBER(node_raw[[#This Row],[Column3]]), node_raw[[#This Row],[Column3]],"")</f>
        <v/>
      </c>
      <c r="E40" s="57" t="str">
        <f>IF(ISNUMBER(node_raw[[#This Row],[Column4]]), node_raw[[#This Row],[Column4]]/1048576,"")</f>
        <v/>
      </c>
      <c r="F40" s="139" t="str">
        <f>IF(ISNUMBER(node_raw[[#This Row],[Column5]]), node_raw[[#This Row],[Column5]],"")</f>
        <v/>
      </c>
      <c r="G40" s="153" t="str">
        <f t="shared" si="1"/>
        <v/>
      </c>
      <c r="H40" s="140" t="str">
        <f>IF(ISNUMBER(node_raw[[#This Row],[Column6]]), node_raw[[#This Row],[Column6]]/1048576,"")</f>
        <v/>
      </c>
      <c r="I40" s="157" t="str">
        <f t="shared" si="0"/>
        <v/>
      </c>
      <c r="J40" s="141" t="str">
        <f>IF(ISNONTEXT(node_raw[[#This Row],[Column7]]), "", node_raw[[#This Row],[Column7]]/100)</f>
        <v/>
      </c>
      <c r="K40" s="142" t="str">
        <f>IF(ISNONTEXT(node_raw[[#This Row],[Column8]]), "", node_raw[[#This Row],[Column8]]/100)</f>
        <v/>
      </c>
      <c r="L40" s="143" t="str">
        <f>IF(ISNONTEXT(node_raw[[#This Row],[Column9]]), "", node_raw[[#This Row],[Column9]]/1)</f>
        <v/>
      </c>
      <c r="M40" s="144" t="str">
        <f>IF(ISNONTEXT(node_raw[[#This Row],[Column10]]), "", node_raw[[#This Row],[Column10]]/1)</f>
        <v/>
      </c>
    </row>
    <row r="41" spans="2:13" ht="15.75" customHeight="1" x14ac:dyDescent="0.25">
      <c r="B41" s="30" t="str">
        <f>IF(ISNONTEXT(node_raw[[#This Row],[Column1]]), "", node_raw[[#This Row],[Column1]])</f>
        <v/>
      </c>
      <c r="C41" s="27" t="str">
        <f>IF(ISNONTEXT(node_raw[[#This Row],[Column2]]), "", node_raw[[#This Row],[Column2]])</f>
        <v/>
      </c>
      <c r="D41" s="54" t="str">
        <f>IF(ISNUMBER(node_raw[[#This Row],[Column3]]), node_raw[[#This Row],[Column3]],"")</f>
        <v/>
      </c>
      <c r="E41" s="57" t="str">
        <f>IF(ISNUMBER(node_raw[[#This Row],[Column4]]), node_raw[[#This Row],[Column4]]/1048576,"")</f>
        <v/>
      </c>
      <c r="F41" s="139" t="str">
        <f>IF(ISNUMBER(node_raw[[#This Row],[Column5]]), node_raw[[#This Row],[Column5]],"")</f>
        <v/>
      </c>
      <c r="G41" s="153" t="str">
        <f t="shared" si="1"/>
        <v/>
      </c>
      <c r="H41" s="140" t="str">
        <f>IF(ISNUMBER(node_raw[[#This Row],[Column6]]), node_raw[[#This Row],[Column6]]/1048576,"")</f>
        <v/>
      </c>
      <c r="I41" s="157" t="str">
        <f t="shared" si="0"/>
        <v/>
      </c>
      <c r="J41" s="141" t="str">
        <f>IF(ISNONTEXT(node_raw[[#This Row],[Column7]]), "", node_raw[[#This Row],[Column7]]/100)</f>
        <v/>
      </c>
      <c r="K41" s="142" t="str">
        <f>IF(ISNONTEXT(node_raw[[#This Row],[Column8]]), "", node_raw[[#This Row],[Column8]]/100)</f>
        <v/>
      </c>
      <c r="L41" s="143" t="str">
        <f>IF(ISNONTEXT(node_raw[[#This Row],[Column9]]), "", node_raw[[#This Row],[Column9]]/1)</f>
        <v/>
      </c>
      <c r="M41" s="144" t="str">
        <f>IF(ISNONTEXT(node_raw[[#This Row],[Column10]]), "", node_raw[[#This Row],[Column10]]/1)</f>
        <v/>
      </c>
    </row>
    <row r="42" spans="2:13" ht="15.75" customHeight="1" x14ac:dyDescent="0.25">
      <c r="B42" s="30" t="str">
        <f>IF(ISNONTEXT(node_raw[[#This Row],[Column1]]), "", node_raw[[#This Row],[Column1]])</f>
        <v/>
      </c>
      <c r="C42" s="27" t="str">
        <f>IF(ISNONTEXT(node_raw[[#This Row],[Column2]]), "", node_raw[[#This Row],[Column2]])</f>
        <v/>
      </c>
      <c r="D42" s="54" t="str">
        <f>IF(ISNUMBER(node_raw[[#This Row],[Column3]]), node_raw[[#This Row],[Column3]],"")</f>
        <v/>
      </c>
      <c r="E42" s="57" t="str">
        <f>IF(ISNUMBER(node_raw[[#This Row],[Column4]]), node_raw[[#This Row],[Column4]]/1048576,"")</f>
        <v/>
      </c>
      <c r="F42" s="139" t="str">
        <f>IF(ISNUMBER(node_raw[[#This Row],[Column5]]), node_raw[[#This Row],[Column5]],"")</f>
        <v/>
      </c>
      <c r="G42" s="153" t="str">
        <f t="shared" si="1"/>
        <v/>
      </c>
      <c r="H42" s="140" t="str">
        <f>IF(ISNUMBER(node_raw[[#This Row],[Column6]]), node_raw[[#This Row],[Column6]]/1048576,"")</f>
        <v/>
      </c>
      <c r="I42" s="157" t="str">
        <f t="shared" si="0"/>
        <v/>
      </c>
      <c r="J42" s="141" t="str">
        <f>IF(ISNONTEXT(node_raw[[#This Row],[Column7]]), "", node_raw[[#This Row],[Column7]]/100)</f>
        <v/>
      </c>
      <c r="K42" s="142" t="str">
        <f>IF(ISNONTEXT(node_raw[[#This Row],[Column8]]), "", node_raw[[#This Row],[Column8]]/100)</f>
        <v/>
      </c>
      <c r="L42" s="143" t="str">
        <f>IF(ISNONTEXT(node_raw[[#This Row],[Column9]]), "", node_raw[[#This Row],[Column9]]/1)</f>
        <v/>
      </c>
      <c r="M42" s="144" t="str">
        <f>IF(ISNONTEXT(node_raw[[#This Row],[Column10]]), "", node_raw[[#This Row],[Column10]]/1)</f>
        <v/>
      </c>
    </row>
    <row r="43" spans="2:13" ht="15.75" customHeight="1" x14ac:dyDescent="0.25">
      <c r="B43" s="30" t="str">
        <f>IF(ISNONTEXT(node_raw[[#This Row],[Column1]]), "", node_raw[[#This Row],[Column1]])</f>
        <v/>
      </c>
      <c r="C43" s="27" t="str">
        <f>IF(ISNONTEXT(node_raw[[#This Row],[Column2]]), "", node_raw[[#This Row],[Column2]])</f>
        <v/>
      </c>
      <c r="D43" s="54" t="str">
        <f>IF(ISNUMBER(node_raw[[#This Row],[Column3]]), node_raw[[#This Row],[Column3]],"")</f>
        <v/>
      </c>
      <c r="E43" s="57" t="str">
        <f>IF(ISNUMBER(node_raw[[#This Row],[Column4]]), node_raw[[#This Row],[Column4]]/1048576,"")</f>
        <v/>
      </c>
      <c r="F43" s="139" t="str">
        <f>IF(ISNUMBER(node_raw[[#This Row],[Column5]]), node_raw[[#This Row],[Column5]],"")</f>
        <v/>
      </c>
      <c r="G43" s="153" t="str">
        <f t="shared" si="1"/>
        <v/>
      </c>
      <c r="H43" s="140" t="str">
        <f>IF(ISNUMBER(node_raw[[#This Row],[Column6]]), node_raw[[#This Row],[Column6]]/1048576,"")</f>
        <v/>
      </c>
      <c r="I43" s="157" t="str">
        <f t="shared" si="0"/>
        <v/>
      </c>
      <c r="J43" s="141" t="str">
        <f>IF(ISNONTEXT(node_raw[[#This Row],[Column7]]), "", node_raw[[#This Row],[Column7]]/100)</f>
        <v/>
      </c>
      <c r="K43" s="142" t="str">
        <f>IF(ISNONTEXT(node_raw[[#This Row],[Column8]]), "", node_raw[[#This Row],[Column8]]/100)</f>
        <v/>
      </c>
      <c r="L43" s="143" t="str">
        <f>IF(ISNONTEXT(node_raw[[#This Row],[Column9]]), "", node_raw[[#This Row],[Column9]]/1)</f>
        <v/>
      </c>
      <c r="M43" s="144" t="str">
        <f>IF(ISNONTEXT(node_raw[[#This Row],[Column10]]), "", node_raw[[#This Row],[Column10]]/1)</f>
        <v/>
      </c>
    </row>
    <row r="44" spans="2:13" ht="15.75" customHeight="1" x14ac:dyDescent="0.25">
      <c r="B44" s="30" t="str">
        <f>IF(ISNONTEXT(node_raw[[#This Row],[Column1]]), "", node_raw[[#This Row],[Column1]])</f>
        <v/>
      </c>
      <c r="C44" s="27" t="str">
        <f>IF(ISNONTEXT(node_raw[[#This Row],[Column2]]), "", node_raw[[#This Row],[Column2]])</f>
        <v/>
      </c>
      <c r="D44" s="54" t="str">
        <f>IF(ISNUMBER(node_raw[[#This Row],[Column3]]), node_raw[[#This Row],[Column3]],"")</f>
        <v/>
      </c>
      <c r="E44" s="57" t="str">
        <f>IF(ISNUMBER(node_raw[[#This Row],[Column4]]), node_raw[[#This Row],[Column4]]/1048576,"")</f>
        <v/>
      </c>
      <c r="F44" s="139" t="str">
        <f>IF(ISNUMBER(node_raw[[#This Row],[Column5]]), node_raw[[#This Row],[Column5]],"")</f>
        <v/>
      </c>
      <c r="G44" s="153" t="str">
        <f t="shared" si="1"/>
        <v/>
      </c>
      <c r="H44" s="140" t="str">
        <f>IF(ISNUMBER(node_raw[[#This Row],[Column6]]), node_raw[[#This Row],[Column6]]/1048576,"")</f>
        <v/>
      </c>
      <c r="I44" s="157" t="str">
        <f t="shared" si="0"/>
        <v/>
      </c>
      <c r="J44" s="141" t="str">
        <f>IF(ISNONTEXT(node_raw[[#This Row],[Column7]]), "", node_raw[[#This Row],[Column7]]/100)</f>
        <v/>
      </c>
      <c r="K44" s="142" t="str">
        <f>IF(ISNONTEXT(node_raw[[#This Row],[Column8]]), "", node_raw[[#This Row],[Column8]]/100)</f>
        <v/>
      </c>
      <c r="L44" s="143" t="str">
        <f>IF(ISNONTEXT(node_raw[[#This Row],[Column9]]), "", node_raw[[#This Row],[Column9]]/1)</f>
        <v/>
      </c>
      <c r="M44" s="144" t="str">
        <f>IF(ISNONTEXT(node_raw[[#This Row],[Column10]]), "", node_raw[[#This Row],[Column10]]/1)</f>
        <v/>
      </c>
    </row>
    <row r="45" spans="2:13" ht="15.75" customHeight="1" x14ac:dyDescent="0.25">
      <c r="B45" s="30" t="str">
        <f>IF(ISNONTEXT(node_raw[[#This Row],[Column1]]), "", node_raw[[#This Row],[Column1]])</f>
        <v/>
      </c>
      <c r="C45" s="27" t="str">
        <f>IF(ISNONTEXT(node_raw[[#This Row],[Column2]]), "", node_raw[[#This Row],[Column2]])</f>
        <v/>
      </c>
      <c r="D45" s="54" t="str">
        <f>IF(ISNUMBER(node_raw[[#This Row],[Column3]]), node_raw[[#This Row],[Column3]],"")</f>
        <v/>
      </c>
      <c r="E45" s="57" t="str">
        <f>IF(ISNUMBER(node_raw[[#This Row],[Column4]]), node_raw[[#This Row],[Column4]]/1048576,"")</f>
        <v/>
      </c>
      <c r="F45" s="139" t="str">
        <f>IF(ISNUMBER(node_raw[[#This Row],[Column5]]), node_raw[[#This Row],[Column5]],"")</f>
        <v/>
      </c>
      <c r="G45" s="153" t="str">
        <f t="shared" si="1"/>
        <v/>
      </c>
      <c r="H45" s="140" t="str">
        <f>IF(ISNUMBER(node_raw[[#This Row],[Column6]]), node_raw[[#This Row],[Column6]]/1048576,"")</f>
        <v/>
      </c>
      <c r="I45" s="157" t="str">
        <f t="shared" si="0"/>
        <v/>
      </c>
      <c r="J45" s="141" t="str">
        <f>IF(ISNONTEXT(node_raw[[#This Row],[Column7]]), "", node_raw[[#This Row],[Column7]]/100)</f>
        <v/>
      </c>
      <c r="K45" s="142" t="str">
        <f>IF(ISNONTEXT(node_raw[[#This Row],[Column8]]), "", node_raw[[#This Row],[Column8]]/100)</f>
        <v/>
      </c>
      <c r="L45" s="143" t="str">
        <f>IF(ISNONTEXT(node_raw[[#This Row],[Column9]]), "", node_raw[[#This Row],[Column9]]/1)</f>
        <v/>
      </c>
      <c r="M45" s="144" t="str">
        <f>IF(ISNONTEXT(node_raw[[#This Row],[Column10]]), "", node_raw[[#This Row],[Column10]]/1)</f>
        <v/>
      </c>
    </row>
    <row r="46" spans="2:13" ht="15.75" customHeight="1" x14ac:dyDescent="0.25">
      <c r="B46" s="30" t="str">
        <f>IF(ISNONTEXT(node_raw[[#This Row],[Column1]]), "", node_raw[[#This Row],[Column1]])</f>
        <v/>
      </c>
      <c r="C46" s="27" t="str">
        <f>IF(ISNONTEXT(node_raw[[#This Row],[Column2]]), "", node_raw[[#This Row],[Column2]])</f>
        <v/>
      </c>
      <c r="D46" s="54" t="str">
        <f>IF(ISNUMBER(node_raw[[#This Row],[Column3]]), node_raw[[#This Row],[Column3]],"")</f>
        <v/>
      </c>
      <c r="E46" s="57" t="str">
        <f>IF(ISNUMBER(node_raw[[#This Row],[Column4]]), node_raw[[#This Row],[Column4]]/1048576,"")</f>
        <v/>
      </c>
      <c r="F46" s="139" t="str">
        <f>IF(ISNUMBER(node_raw[[#This Row],[Column5]]), node_raw[[#This Row],[Column5]],"")</f>
        <v/>
      </c>
      <c r="G46" s="153" t="str">
        <f t="shared" si="1"/>
        <v/>
      </c>
      <c r="H46" s="140" t="str">
        <f>IF(ISNUMBER(node_raw[[#This Row],[Column6]]), node_raw[[#This Row],[Column6]]/1048576,"")</f>
        <v/>
      </c>
      <c r="I46" s="157" t="str">
        <f t="shared" si="0"/>
        <v/>
      </c>
      <c r="J46" s="141" t="str">
        <f>IF(ISNONTEXT(node_raw[[#This Row],[Column7]]), "", node_raw[[#This Row],[Column7]]/100)</f>
        <v/>
      </c>
      <c r="K46" s="142" t="str">
        <f>IF(ISNONTEXT(node_raw[[#This Row],[Column8]]), "", node_raw[[#This Row],[Column8]]/100)</f>
        <v/>
      </c>
      <c r="L46" s="143" t="str">
        <f>IF(ISNONTEXT(node_raw[[#This Row],[Column9]]), "", node_raw[[#This Row],[Column9]]/1)</f>
        <v/>
      </c>
      <c r="M46" s="144" t="str">
        <f>IF(ISNONTEXT(node_raw[[#This Row],[Column10]]), "", node_raw[[#This Row],[Column10]]/1)</f>
        <v/>
      </c>
    </row>
    <row r="47" spans="2:13" ht="15.75" customHeight="1" x14ac:dyDescent="0.25">
      <c r="B47" s="30" t="str">
        <f>IF(ISNONTEXT(node_raw[[#This Row],[Column1]]), "", node_raw[[#This Row],[Column1]])</f>
        <v/>
      </c>
      <c r="C47" s="27" t="str">
        <f>IF(ISNONTEXT(node_raw[[#This Row],[Column2]]), "", node_raw[[#This Row],[Column2]])</f>
        <v/>
      </c>
      <c r="D47" s="54" t="str">
        <f>IF(ISNUMBER(node_raw[[#This Row],[Column3]]), node_raw[[#This Row],[Column3]],"")</f>
        <v/>
      </c>
      <c r="E47" s="57" t="str">
        <f>IF(ISNUMBER(node_raw[[#This Row],[Column4]]), node_raw[[#This Row],[Column4]]/1048576,"")</f>
        <v/>
      </c>
      <c r="F47" s="139" t="str">
        <f>IF(ISNUMBER(node_raw[[#This Row],[Column5]]), node_raw[[#This Row],[Column5]],"")</f>
        <v/>
      </c>
      <c r="G47" s="153" t="str">
        <f t="shared" si="1"/>
        <v/>
      </c>
      <c r="H47" s="140" t="str">
        <f>IF(ISNUMBER(node_raw[[#This Row],[Column6]]), node_raw[[#This Row],[Column6]]/1048576,"")</f>
        <v/>
      </c>
      <c r="I47" s="157" t="str">
        <f t="shared" si="0"/>
        <v/>
      </c>
      <c r="J47" s="141" t="str">
        <f>IF(ISNONTEXT(node_raw[[#This Row],[Column7]]), "", node_raw[[#This Row],[Column7]]/100)</f>
        <v/>
      </c>
      <c r="K47" s="142" t="str">
        <f>IF(ISNONTEXT(node_raw[[#This Row],[Column8]]), "", node_raw[[#This Row],[Column8]]/100)</f>
        <v/>
      </c>
      <c r="L47" s="143" t="str">
        <f>IF(ISNONTEXT(node_raw[[#This Row],[Column9]]), "", node_raw[[#This Row],[Column9]]/1)</f>
        <v/>
      </c>
      <c r="M47" s="144" t="str">
        <f>IF(ISNONTEXT(node_raw[[#This Row],[Column10]]), "", node_raw[[#This Row],[Column10]]/1)</f>
        <v/>
      </c>
    </row>
    <row r="48" spans="2:13" ht="15.75" customHeight="1" x14ac:dyDescent="0.25">
      <c r="B48" s="30" t="str">
        <f>IF(ISNONTEXT(node_raw[[#This Row],[Column1]]), "", node_raw[[#This Row],[Column1]])</f>
        <v/>
      </c>
      <c r="C48" s="27" t="str">
        <f>IF(ISNONTEXT(node_raw[[#This Row],[Column2]]), "", node_raw[[#This Row],[Column2]])</f>
        <v/>
      </c>
      <c r="D48" s="54" t="str">
        <f>IF(ISNUMBER(node_raw[[#This Row],[Column3]]), node_raw[[#This Row],[Column3]],"")</f>
        <v/>
      </c>
      <c r="E48" s="57" t="str">
        <f>IF(ISNUMBER(node_raw[[#This Row],[Column4]]), node_raw[[#This Row],[Column4]]/1048576,"")</f>
        <v/>
      </c>
      <c r="F48" s="139" t="str">
        <f>IF(ISNUMBER(node_raw[[#This Row],[Column5]]), node_raw[[#This Row],[Column5]],"")</f>
        <v/>
      </c>
      <c r="G48" s="153" t="str">
        <f t="shared" si="1"/>
        <v/>
      </c>
      <c r="H48" s="140" t="str">
        <f>IF(ISNUMBER(node_raw[[#This Row],[Column6]]), node_raw[[#This Row],[Column6]]/1048576,"")</f>
        <v/>
      </c>
      <c r="I48" s="157" t="str">
        <f t="shared" si="0"/>
        <v/>
      </c>
      <c r="J48" s="141" t="str">
        <f>IF(ISNONTEXT(node_raw[[#This Row],[Column7]]), "", node_raw[[#This Row],[Column7]]/100)</f>
        <v/>
      </c>
      <c r="K48" s="142" t="str">
        <f>IF(ISNONTEXT(node_raw[[#This Row],[Column8]]), "", node_raw[[#This Row],[Column8]]/100)</f>
        <v/>
      </c>
      <c r="L48" s="143" t="str">
        <f>IF(ISNONTEXT(node_raw[[#This Row],[Column9]]), "", node_raw[[#This Row],[Column9]]/1)</f>
        <v/>
      </c>
      <c r="M48" s="144" t="str">
        <f>IF(ISNONTEXT(node_raw[[#This Row],[Column10]]), "", node_raw[[#This Row],[Column10]]/1)</f>
        <v/>
      </c>
    </row>
    <row r="49" spans="2:13" ht="15.75" customHeight="1" x14ac:dyDescent="0.25">
      <c r="B49" s="30" t="str">
        <f>IF(ISNONTEXT(node_raw[[#This Row],[Column1]]), "", node_raw[[#This Row],[Column1]])</f>
        <v/>
      </c>
      <c r="C49" s="27" t="str">
        <f>IF(ISNONTEXT(node_raw[[#This Row],[Column2]]), "", node_raw[[#This Row],[Column2]])</f>
        <v/>
      </c>
      <c r="D49" s="54" t="str">
        <f>IF(ISNUMBER(node_raw[[#This Row],[Column3]]), node_raw[[#This Row],[Column3]],"")</f>
        <v/>
      </c>
      <c r="E49" s="57" t="str">
        <f>IF(ISNUMBER(node_raw[[#This Row],[Column4]]), node_raw[[#This Row],[Column4]]/1048576,"")</f>
        <v/>
      </c>
      <c r="F49" s="139" t="str">
        <f>IF(ISNUMBER(node_raw[[#This Row],[Column5]]), node_raw[[#This Row],[Column5]],"")</f>
        <v/>
      </c>
      <c r="G49" s="153" t="str">
        <f t="shared" si="1"/>
        <v/>
      </c>
      <c r="H49" s="140" t="str">
        <f>IF(ISNUMBER(node_raw[[#This Row],[Column6]]), node_raw[[#This Row],[Column6]]/1048576,"")</f>
        <v/>
      </c>
      <c r="I49" s="157" t="str">
        <f t="shared" si="0"/>
        <v/>
      </c>
      <c r="J49" s="141" t="str">
        <f>IF(ISNONTEXT(node_raw[[#This Row],[Column7]]), "", node_raw[[#This Row],[Column7]]/100)</f>
        <v/>
      </c>
      <c r="K49" s="142" t="str">
        <f>IF(ISNONTEXT(node_raw[[#This Row],[Column8]]), "", node_raw[[#This Row],[Column8]]/100)</f>
        <v/>
      </c>
      <c r="L49" s="143" t="str">
        <f>IF(ISNONTEXT(node_raw[[#This Row],[Column9]]), "", node_raw[[#This Row],[Column9]]/1)</f>
        <v/>
      </c>
      <c r="M49" s="144" t="str">
        <f>IF(ISNONTEXT(node_raw[[#This Row],[Column10]]), "", node_raw[[#This Row],[Column10]]/1)</f>
        <v/>
      </c>
    </row>
    <row r="50" spans="2:13" ht="15.75" customHeight="1" x14ac:dyDescent="0.25">
      <c r="B50" s="30" t="str">
        <f>IF(ISNONTEXT(node_raw[[#This Row],[Column1]]), "", node_raw[[#This Row],[Column1]])</f>
        <v/>
      </c>
      <c r="C50" s="27" t="str">
        <f>IF(ISNONTEXT(node_raw[[#This Row],[Column2]]), "", node_raw[[#This Row],[Column2]])</f>
        <v/>
      </c>
      <c r="D50" s="54" t="str">
        <f>IF(ISNUMBER(node_raw[[#This Row],[Column3]]), node_raw[[#This Row],[Column3]],"")</f>
        <v/>
      </c>
      <c r="E50" s="57" t="str">
        <f>IF(ISNUMBER(node_raw[[#This Row],[Column4]]), node_raw[[#This Row],[Column4]]/1048576,"")</f>
        <v/>
      </c>
      <c r="F50" s="139" t="str">
        <f>IF(ISNUMBER(node_raw[[#This Row],[Column5]]), node_raw[[#This Row],[Column5]],"")</f>
        <v/>
      </c>
      <c r="G50" s="153" t="str">
        <f t="shared" si="1"/>
        <v/>
      </c>
      <c r="H50" s="140" t="str">
        <f>IF(ISNUMBER(node_raw[[#This Row],[Column6]]), node_raw[[#This Row],[Column6]]/1048576,"")</f>
        <v/>
      </c>
      <c r="I50" s="157" t="str">
        <f t="shared" si="0"/>
        <v/>
      </c>
      <c r="J50" s="141" t="str">
        <f>IF(ISNONTEXT(node_raw[[#This Row],[Column7]]), "", node_raw[[#This Row],[Column7]]/100)</f>
        <v/>
      </c>
      <c r="K50" s="142" t="str">
        <f>IF(ISNONTEXT(node_raw[[#This Row],[Column8]]), "", node_raw[[#This Row],[Column8]]/100)</f>
        <v/>
      </c>
      <c r="L50" s="143" t="str">
        <f>IF(ISNONTEXT(node_raw[[#This Row],[Column9]]), "", node_raw[[#This Row],[Column9]]/1)</f>
        <v/>
      </c>
      <c r="M50" s="144" t="str">
        <f>IF(ISNONTEXT(node_raw[[#This Row],[Column10]]), "", node_raw[[#This Row],[Column10]]/1)</f>
        <v/>
      </c>
    </row>
    <row r="51" spans="2:13" ht="15.75" customHeight="1" x14ac:dyDescent="0.25">
      <c r="B51" s="30" t="str">
        <f>IF(ISNONTEXT(node_raw[[#This Row],[Column1]]), "", node_raw[[#This Row],[Column1]])</f>
        <v/>
      </c>
      <c r="C51" s="27" t="str">
        <f>IF(ISNONTEXT(node_raw[[#This Row],[Column2]]), "", node_raw[[#This Row],[Column2]])</f>
        <v/>
      </c>
      <c r="D51" s="54" t="str">
        <f>IF(ISNUMBER(node_raw[[#This Row],[Column3]]), node_raw[[#This Row],[Column3]],"")</f>
        <v/>
      </c>
      <c r="E51" s="57" t="str">
        <f>IF(ISNUMBER(node_raw[[#This Row],[Column4]]), node_raw[[#This Row],[Column4]]/1048576,"")</f>
        <v/>
      </c>
      <c r="F51" s="139" t="str">
        <f>IF(ISNUMBER(node_raw[[#This Row],[Column5]]), node_raw[[#This Row],[Column5]],"")</f>
        <v/>
      </c>
      <c r="G51" s="153" t="str">
        <f t="shared" si="1"/>
        <v/>
      </c>
      <c r="H51" s="140" t="str">
        <f>IF(ISNUMBER(node_raw[[#This Row],[Column6]]), node_raw[[#This Row],[Column6]]/1048576,"")</f>
        <v/>
      </c>
      <c r="I51" s="157" t="str">
        <f t="shared" si="0"/>
        <v/>
      </c>
      <c r="J51" s="141" t="str">
        <f>IF(ISNONTEXT(node_raw[[#This Row],[Column7]]), "", node_raw[[#This Row],[Column7]]/100)</f>
        <v/>
      </c>
      <c r="K51" s="142" t="str">
        <f>IF(ISNONTEXT(node_raw[[#This Row],[Column8]]), "", node_raw[[#This Row],[Column8]]/100)</f>
        <v/>
      </c>
      <c r="L51" s="143" t="str">
        <f>IF(ISNONTEXT(node_raw[[#This Row],[Column9]]), "", node_raw[[#This Row],[Column9]]/1)</f>
        <v/>
      </c>
      <c r="M51" s="144" t="str">
        <f>IF(ISNONTEXT(node_raw[[#This Row],[Column10]]), "", node_raw[[#This Row],[Column10]]/1)</f>
        <v/>
      </c>
    </row>
    <row r="52" spans="2:13" ht="15.75" customHeight="1" x14ac:dyDescent="0.25">
      <c r="B52" s="30" t="str">
        <f>IF(ISNONTEXT(node_raw[[#This Row],[Column1]]), "", node_raw[[#This Row],[Column1]])</f>
        <v/>
      </c>
      <c r="C52" s="27" t="str">
        <f>IF(ISNONTEXT(node_raw[[#This Row],[Column2]]), "", node_raw[[#This Row],[Column2]])</f>
        <v/>
      </c>
      <c r="D52" s="54" t="str">
        <f>IF(ISNUMBER(node_raw[[#This Row],[Column3]]), node_raw[[#This Row],[Column3]],"")</f>
        <v/>
      </c>
      <c r="E52" s="57" t="str">
        <f>IF(ISNUMBER(node_raw[[#This Row],[Column4]]), node_raw[[#This Row],[Column4]]/1048576,"")</f>
        <v/>
      </c>
      <c r="F52" s="139" t="str">
        <f>IF(ISNUMBER(node_raw[[#This Row],[Column5]]), node_raw[[#This Row],[Column5]],"")</f>
        <v/>
      </c>
      <c r="G52" s="153" t="str">
        <f t="shared" si="1"/>
        <v/>
      </c>
      <c r="H52" s="140" t="str">
        <f>IF(ISNUMBER(node_raw[[#This Row],[Column6]]), node_raw[[#This Row],[Column6]]/1048576,"")</f>
        <v/>
      </c>
      <c r="I52" s="157" t="str">
        <f t="shared" si="0"/>
        <v/>
      </c>
      <c r="J52" s="141" t="str">
        <f>IF(ISNONTEXT(node_raw[[#This Row],[Column7]]), "", node_raw[[#This Row],[Column7]]/100)</f>
        <v/>
      </c>
      <c r="K52" s="142" t="str">
        <f>IF(ISNONTEXT(node_raw[[#This Row],[Column8]]), "", node_raw[[#This Row],[Column8]]/100)</f>
        <v/>
      </c>
      <c r="L52" s="143" t="str">
        <f>IF(ISNONTEXT(node_raw[[#This Row],[Column9]]), "", node_raw[[#This Row],[Column9]]/1)</f>
        <v/>
      </c>
      <c r="M52" s="144" t="str">
        <f>IF(ISNONTEXT(node_raw[[#This Row],[Column10]]), "", node_raw[[#This Row],[Column10]]/1)</f>
        <v/>
      </c>
    </row>
    <row r="53" spans="2:13" ht="15.75" customHeight="1" x14ac:dyDescent="0.25">
      <c r="B53" s="30" t="str">
        <f>IF(ISNONTEXT(node_raw[[#This Row],[Column1]]), "", node_raw[[#This Row],[Column1]])</f>
        <v/>
      </c>
      <c r="C53" s="27" t="str">
        <f>IF(ISNONTEXT(node_raw[[#This Row],[Column2]]), "", node_raw[[#This Row],[Column2]])</f>
        <v/>
      </c>
      <c r="D53" s="54" t="str">
        <f>IF(ISNUMBER(node_raw[[#This Row],[Column3]]), node_raw[[#This Row],[Column3]],"")</f>
        <v/>
      </c>
      <c r="E53" s="57" t="str">
        <f>IF(ISNUMBER(node_raw[[#This Row],[Column4]]), node_raw[[#This Row],[Column4]]/1048576,"")</f>
        <v/>
      </c>
      <c r="F53" s="139" t="str">
        <f>IF(ISNUMBER(node_raw[[#This Row],[Column5]]), node_raw[[#This Row],[Column5]],"")</f>
        <v/>
      </c>
      <c r="G53" s="153" t="str">
        <f t="shared" si="1"/>
        <v/>
      </c>
      <c r="H53" s="140" t="str">
        <f>IF(ISNUMBER(node_raw[[#This Row],[Column6]]), node_raw[[#This Row],[Column6]]/1048576,"")</f>
        <v/>
      </c>
      <c r="I53" s="157" t="str">
        <f t="shared" si="0"/>
        <v/>
      </c>
      <c r="J53" s="141" t="str">
        <f>IF(ISNONTEXT(node_raw[[#This Row],[Column7]]), "", node_raw[[#This Row],[Column7]]/100)</f>
        <v/>
      </c>
      <c r="K53" s="142" t="str">
        <f>IF(ISNONTEXT(node_raw[[#This Row],[Column8]]), "", node_raw[[#This Row],[Column8]]/100)</f>
        <v/>
      </c>
      <c r="L53" s="143" t="str">
        <f>IF(ISNONTEXT(node_raw[[#This Row],[Column9]]), "", node_raw[[#This Row],[Column9]]/1)</f>
        <v/>
      </c>
      <c r="M53" s="144" t="str">
        <f>IF(ISNONTEXT(node_raw[[#This Row],[Column10]]), "", node_raw[[#This Row],[Column10]]/1)</f>
        <v/>
      </c>
    </row>
    <row r="54" spans="2:13" ht="15.75" customHeight="1" x14ac:dyDescent="0.25">
      <c r="B54" s="30" t="str">
        <f>IF(ISNONTEXT(node_raw[[#This Row],[Column1]]), "", node_raw[[#This Row],[Column1]])</f>
        <v/>
      </c>
      <c r="C54" s="27" t="str">
        <f>IF(ISNONTEXT(node_raw[[#This Row],[Column2]]), "", node_raw[[#This Row],[Column2]])</f>
        <v/>
      </c>
      <c r="D54" s="54" t="str">
        <f>IF(ISNUMBER(node_raw[[#This Row],[Column3]]), node_raw[[#This Row],[Column3]],"")</f>
        <v/>
      </c>
      <c r="E54" s="57" t="str">
        <f>IF(ISNUMBER(node_raw[[#This Row],[Column4]]), node_raw[[#This Row],[Column4]]/1048576,"")</f>
        <v/>
      </c>
      <c r="F54" s="139" t="str">
        <f>IF(ISNUMBER(node_raw[[#This Row],[Column5]]), node_raw[[#This Row],[Column5]],"")</f>
        <v/>
      </c>
      <c r="G54" s="153" t="str">
        <f t="shared" si="1"/>
        <v/>
      </c>
      <c r="H54" s="140" t="str">
        <f>IF(ISNUMBER(node_raw[[#This Row],[Column6]]), node_raw[[#This Row],[Column6]]/1048576,"")</f>
        <v/>
      </c>
      <c r="I54" s="157" t="str">
        <f t="shared" si="0"/>
        <v/>
      </c>
      <c r="J54" s="141" t="str">
        <f>IF(ISNONTEXT(node_raw[[#This Row],[Column7]]), "", node_raw[[#This Row],[Column7]]/100)</f>
        <v/>
      </c>
      <c r="K54" s="142" t="str">
        <f>IF(ISNONTEXT(node_raw[[#This Row],[Column8]]), "", node_raw[[#This Row],[Column8]]/100)</f>
        <v/>
      </c>
      <c r="L54" s="143" t="str">
        <f>IF(ISNONTEXT(node_raw[[#This Row],[Column9]]), "", node_raw[[#This Row],[Column9]]/1)</f>
        <v/>
      </c>
      <c r="M54" s="144" t="str">
        <f>IF(ISNONTEXT(node_raw[[#This Row],[Column10]]), "", node_raw[[#This Row],[Column10]]/1)</f>
        <v/>
      </c>
    </row>
    <row r="55" spans="2:13" ht="15.75" customHeight="1" x14ac:dyDescent="0.25">
      <c r="B55" s="30" t="str">
        <f>IF(ISNONTEXT(node_raw[[#This Row],[Column1]]), "", node_raw[[#This Row],[Column1]])</f>
        <v/>
      </c>
      <c r="C55" s="27" t="str">
        <f>IF(ISNONTEXT(node_raw[[#This Row],[Column2]]), "", node_raw[[#This Row],[Column2]])</f>
        <v/>
      </c>
      <c r="D55" s="54" t="str">
        <f>IF(ISNUMBER(node_raw[[#This Row],[Column3]]), node_raw[[#This Row],[Column3]],"")</f>
        <v/>
      </c>
      <c r="E55" s="57" t="str">
        <f>IF(ISNUMBER(node_raw[[#This Row],[Column4]]), node_raw[[#This Row],[Column4]]/1048576,"")</f>
        <v/>
      </c>
      <c r="F55" s="139" t="str">
        <f>IF(ISNUMBER(node_raw[[#This Row],[Column5]]), node_raw[[#This Row],[Column5]],"")</f>
        <v/>
      </c>
      <c r="G55" s="153" t="str">
        <f t="shared" si="1"/>
        <v/>
      </c>
      <c r="H55" s="140" t="str">
        <f>IF(ISNUMBER(node_raw[[#This Row],[Column6]]), node_raw[[#This Row],[Column6]]/1048576,"")</f>
        <v/>
      </c>
      <c r="I55" s="157" t="str">
        <f t="shared" si="0"/>
        <v/>
      </c>
      <c r="J55" s="141" t="str">
        <f>IF(ISNONTEXT(node_raw[[#This Row],[Column7]]), "", node_raw[[#This Row],[Column7]]/100)</f>
        <v/>
      </c>
      <c r="K55" s="142" t="str">
        <f>IF(ISNONTEXT(node_raw[[#This Row],[Column8]]), "", node_raw[[#This Row],[Column8]]/100)</f>
        <v/>
      </c>
      <c r="L55" s="143" t="str">
        <f>IF(ISNONTEXT(node_raw[[#This Row],[Column9]]), "", node_raw[[#This Row],[Column9]]/1)</f>
        <v/>
      </c>
      <c r="M55" s="144" t="str">
        <f>IF(ISNONTEXT(node_raw[[#This Row],[Column10]]), "", node_raw[[#This Row],[Column10]]/1)</f>
        <v/>
      </c>
    </row>
    <row r="56" spans="2:13" ht="15.75" customHeight="1" x14ac:dyDescent="0.25">
      <c r="B56" s="30" t="str">
        <f>IF(ISNONTEXT(node_raw[[#This Row],[Column1]]), "", node_raw[[#This Row],[Column1]])</f>
        <v/>
      </c>
      <c r="C56" s="27" t="str">
        <f>IF(ISNONTEXT(node_raw[[#This Row],[Column2]]), "", node_raw[[#This Row],[Column2]])</f>
        <v/>
      </c>
      <c r="D56" s="54" t="str">
        <f>IF(ISNUMBER(node_raw[[#This Row],[Column3]]), node_raw[[#This Row],[Column3]],"")</f>
        <v/>
      </c>
      <c r="E56" s="57" t="str">
        <f>IF(ISNUMBER(node_raw[[#This Row],[Column4]]), node_raw[[#This Row],[Column4]]/1048576,"")</f>
        <v/>
      </c>
      <c r="F56" s="139" t="str">
        <f>IF(ISNUMBER(node_raw[[#This Row],[Column5]]), node_raw[[#This Row],[Column5]],"")</f>
        <v/>
      </c>
      <c r="G56" s="153" t="str">
        <f t="shared" si="1"/>
        <v/>
      </c>
      <c r="H56" s="140" t="str">
        <f>IF(ISNUMBER(node_raw[[#This Row],[Column6]]), node_raw[[#This Row],[Column6]]/1048576,"")</f>
        <v/>
      </c>
      <c r="I56" s="157" t="str">
        <f t="shared" si="0"/>
        <v/>
      </c>
      <c r="J56" s="141" t="str">
        <f>IF(ISNONTEXT(node_raw[[#This Row],[Column7]]), "", node_raw[[#This Row],[Column7]]/100)</f>
        <v/>
      </c>
      <c r="K56" s="142" t="str">
        <f>IF(ISNONTEXT(node_raw[[#This Row],[Column8]]), "", node_raw[[#This Row],[Column8]]/100)</f>
        <v/>
      </c>
      <c r="L56" s="143" t="str">
        <f>IF(ISNONTEXT(node_raw[[#This Row],[Column9]]), "", node_raw[[#This Row],[Column9]]/1)</f>
        <v/>
      </c>
      <c r="M56" s="144" t="str">
        <f>IF(ISNONTEXT(node_raw[[#This Row],[Column10]]), "", node_raw[[#This Row],[Column10]]/1)</f>
        <v/>
      </c>
    </row>
    <row r="57" spans="2:13" ht="15.75" customHeight="1" x14ac:dyDescent="0.25">
      <c r="B57" s="30" t="str">
        <f>IF(ISNONTEXT(node_raw[[#This Row],[Column1]]), "", node_raw[[#This Row],[Column1]])</f>
        <v/>
      </c>
      <c r="C57" s="27" t="str">
        <f>IF(ISNONTEXT(node_raw[[#This Row],[Column2]]), "", node_raw[[#This Row],[Column2]])</f>
        <v/>
      </c>
      <c r="D57" s="54" t="str">
        <f>IF(ISNUMBER(node_raw[[#This Row],[Column3]]), node_raw[[#This Row],[Column3]],"")</f>
        <v/>
      </c>
      <c r="E57" s="57" t="str">
        <f>IF(ISNUMBER(node_raw[[#This Row],[Column4]]), node_raw[[#This Row],[Column4]]/1048576,"")</f>
        <v/>
      </c>
      <c r="F57" s="139" t="str">
        <f>IF(ISNUMBER(node_raw[[#This Row],[Column5]]), node_raw[[#This Row],[Column5]],"")</f>
        <v/>
      </c>
      <c r="G57" s="153" t="str">
        <f t="shared" si="1"/>
        <v/>
      </c>
      <c r="H57" s="140" t="str">
        <f>IF(ISNUMBER(node_raw[[#This Row],[Column6]]), node_raw[[#This Row],[Column6]]/1048576,"")</f>
        <v/>
      </c>
      <c r="I57" s="157" t="str">
        <f t="shared" si="0"/>
        <v/>
      </c>
      <c r="J57" s="141" t="str">
        <f>IF(ISNONTEXT(node_raw[[#This Row],[Column7]]), "", node_raw[[#This Row],[Column7]]/100)</f>
        <v/>
      </c>
      <c r="K57" s="142" t="str">
        <f>IF(ISNONTEXT(node_raw[[#This Row],[Column8]]), "", node_raw[[#This Row],[Column8]]/100)</f>
        <v/>
      </c>
      <c r="L57" s="143" t="str">
        <f>IF(ISNONTEXT(node_raw[[#This Row],[Column9]]), "", node_raw[[#This Row],[Column9]]/1)</f>
        <v/>
      </c>
      <c r="M57" s="144" t="str">
        <f>IF(ISNONTEXT(node_raw[[#This Row],[Column10]]), "", node_raw[[#This Row],[Column10]]/1)</f>
        <v/>
      </c>
    </row>
    <row r="58" spans="2:13" ht="15.75" customHeight="1" x14ac:dyDescent="0.25">
      <c r="B58" s="30" t="str">
        <f>IF(ISNONTEXT(node_raw[[#This Row],[Column1]]), "", node_raw[[#This Row],[Column1]])</f>
        <v/>
      </c>
      <c r="C58" s="27" t="str">
        <f>IF(ISNONTEXT(node_raw[[#This Row],[Column2]]), "", node_raw[[#This Row],[Column2]])</f>
        <v/>
      </c>
      <c r="D58" s="54" t="str">
        <f>IF(ISNUMBER(node_raw[[#This Row],[Column3]]), node_raw[[#This Row],[Column3]],"")</f>
        <v/>
      </c>
      <c r="E58" s="57" t="str">
        <f>IF(ISNUMBER(node_raw[[#This Row],[Column4]]), node_raw[[#This Row],[Column4]]/1048576,"")</f>
        <v/>
      </c>
      <c r="F58" s="139" t="str">
        <f>IF(ISNUMBER(node_raw[[#This Row],[Column5]]), node_raw[[#This Row],[Column5]],"")</f>
        <v/>
      </c>
      <c r="G58" s="153" t="str">
        <f t="shared" si="1"/>
        <v/>
      </c>
      <c r="H58" s="140" t="str">
        <f>IF(ISNUMBER(node_raw[[#This Row],[Column6]]), node_raw[[#This Row],[Column6]]/1048576,"")</f>
        <v/>
      </c>
      <c r="I58" s="157" t="str">
        <f t="shared" si="0"/>
        <v/>
      </c>
      <c r="J58" s="141" t="str">
        <f>IF(ISNONTEXT(node_raw[[#This Row],[Column7]]), "", node_raw[[#This Row],[Column7]]/100)</f>
        <v/>
      </c>
      <c r="K58" s="142" t="str">
        <f>IF(ISNONTEXT(node_raw[[#This Row],[Column8]]), "", node_raw[[#This Row],[Column8]]/100)</f>
        <v/>
      </c>
      <c r="L58" s="143" t="str">
        <f>IF(ISNONTEXT(node_raw[[#This Row],[Column9]]), "", node_raw[[#This Row],[Column9]]/1)</f>
        <v/>
      </c>
      <c r="M58" s="144" t="str">
        <f>IF(ISNONTEXT(node_raw[[#This Row],[Column10]]), "", node_raw[[#This Row],[Column10]]/1)</f>
        <v/>
      </c>
    </row>
    <row r="59" spans="2:13" ht="15.75" customHeight="1" x14ac:dyDescent="0.25">
      <c r="B59" s="30" t="str">
        <f>IF(ISNONTEXT(node_raw[[#This Row],[Column1]]), "", node_raw[[#This Row],[Column1]])</f>
        <v/>
      </c>
      <c r="C59" s="27" t="str">
        <f>IF(ISNONTEXT(node_raw[[#This Row],[Column2]]), "", node_raw[[#This Row],[Column2]])</f>
        <v/>
      </c>
      <c r="D59" s="54" t="str">
        <f>IF(ISNUMBER(node_raw[[#This Row],[Column3]]), node_raw[[#This Row],[Column3]],"")</f>
        <v/>
      </c>
      <c r="E59" s="57" t="str">
        <f>IF(ISNUMBER(node_raw[[#This Row],[Column4]]), node_raw[[#This Row],[Column4]]/1048576,"")</f>
        <v/>
      </c>
      <c r="F59" s="139" t="str">
        <f>IF(ISNUMBER(node_raw[[#This Row],[Column5]]), node_raw[[#This Row],[Column5]],"")</f>
        <v/>
      </c>
      <c r="G59" s="153" t="str">
        <f t="shared" si="1"/>
        <v/>
      </c>
      <c r="H59" s="140" t="str">
        <f>IF(ISNUMBER(node_raw[[#This Row],[Column6]]), node_raw[[#This Row],[Column6]]/1048576,"")</f>
        <v/>
      </c>
      <c r="I59" s="157" t="str">
        <f t="shared" si="0"/>
        <v/>
      </c>
      <c r="J59" s="141" t="str">
        <f>IF(ISNONTEXT(node_raw[[#This Row],[Column7]]), "", node_raw[[#This Row],[Column7]]/100)</f>
        <v/>
      </c>
      <c r="K59" s="142" t="str">
        <f>IF(ISNONTEXT(node_raw[[#This Row],[Column8]]), "", node_raw[[#This Row],[Column8]]/100)</f>
        <v/>
      </c>
      <c r="L59" s="143" t="str">
        <f>IF(ISNONTEXT(node_raw[[#This Row],[Column9]]), "", node_raw[[#This Row],[Column9]]/1)</f>
        <v/>
      </c>
      <c r="M59" s="144" t="str">
        <f>IF(ISNONTEXT(node_raw[[#This Row],[Column10]]), "", node_raw[[#This Row],[Column10]]/1)</f>
        <v/>
      </c>
    </row>
    <row r="60" spans="2:13" ht="15.75" customHeight="1" x14ac:dyDescent="0.25">
      <c r="B60" s="30" t="str">
        <f>IF(ISNONTEXT(node_raw[[#This Row],[Column1]]), "", node_raw[[#This Row],[Column1]])</f>
        <v/>
      </c>
      <c r="C60" s="27" t="str">
        <f>IF(ISNONTEXT(node_raw[[#This Row],[Column2]]), "", node_raw[[#This Row],[Column2]])</f>
        <v/>
      </c>
      <c r="D60" s="54" t="str">
        <f>IF(ISNUMBER(node_raw[[#This Row],[Column3]]), node_raw[[#This Row],[Column3]],"")</f>
        <v/>
      </c>
      <c r="E60" s="57" t="str">
        <f>IF(ISNUMBER(node_raw[[#This Row],[Column4]]), node_raw[[#This Row],[Column4]]/1048576,"")</f>
        <v/>
      </c>
      <c r="F60" s="139" t="str">
        <f>IF(ISNUMBER(node_raw[[#This Row],[Column5]]), node_raw[[#This Row],[Column5]],"")</f>
        <v/>
      </c>
      <c r="G60" s="153" t="str">
        <f t="shared" si="1"/>
        <v/>
      </c>
      <c r="H60" s="140" t="str">
        <f>IF(ISNUMBER(node_raw[[#This Row],[Column6]]), node_raw[[#This Row],[Column6]]/1048576,"")</f>
        <v/>
      </c>
      <c r="I60" s="157" t="str">
        <f t="shared" si="0"/>
        <v/>
      </c>
      <c r="J60" s="141" t="str">
        <f>IF(ISNONTEXT(node_raw[[#This Row],[Column7]]), "", node_raw[[#This Row],[Column7]]/100)</f>
        <v/>
      </c>
      <c r="K60" s="142" t="str">
        <f>IF(ISNONTEXT(node_raw[[#This Row],[Column8]]), "", node_raw[[#This Row],[Column8]]/100)</f>
        <v/>
      </c>
      <c r="L60" s="143" t="str">
        <f>IF(ISNONTEXT(node_raw[[#This Row],[Column9]]), "", node_raw[[#This Row],[Column9]]/1)</f>
        <v/>
      </c>
      <c r="M60" s="144" t="str">
        <f>IF(ISNONTEXT(node_raw[[#This Row],[Column10]]), "", node_raw[[#This Row],[Column10]]/1)</f>
        <v/>
      </c>
    </row>
    <row r="61" spans="2:13" ht="15.75" customHeight="1" x14ac:dyDescent="0.25">
      <c r="B61" s="30" t="str">
        <f>IF(ISNONTEXT(node_raw[[#This Row],[Column1]]), "", node_raw[[#This Row],[Column1]])</f>
        <v/>
      </c>
      <c r="C61" s="27" t="str">
        <f>IF(ISNONTEXT(node_raw[[#This Row],[Column2]]), "", node_raw[[#This Row],[Column2]])</f>
        <v/>
      </c>
      <c r="D61" s="54" t="str">
        <f>IF(ISNUMBER(node_raw[[#This Row],[Column3]]), node_raw[[#This Row],[Column3]],"")</f>
        <v/>
      </c>
      <c r="E61" s="57" t="str">
        <f>IF(ISNUMBER(node_raw[[#This Row],[Column4]]), node_raw[[#This Row],[Column4]]/1048576,"")</f>
        <v/>
      </c>
      <c r="F61" s="139" t="str">
        <f>IF(ISNUMBER(node_raw[[#This Row],[Column5]]), node_raw[[#This Row],[Column5]],"")</f>
        <v/>
      </c>
      <c r="G61" s="153" t="str">
        <f t="shared" si="1"/>
        <v/>
      </c>
      <c r="H61" s="140" t="str">
        <f>IF(ISNUMBER(node_raw[[#This Row],[Column6]]), node_raw[[#This Row],[Column6]]/1048576,"")</f>
        <v/>
      </c>
      <c r="I61" s="157" t="str">
        <f t="shared" si="0"/>
        <v/>
      </c>
      <c r="J61" s="141" t="str">
        <f>IF(ISNONTEXT(node_raw[[#This Row],[Column7]]), "", node_raw[[#This Row],[Column7]]/100)</f>
        <v/>
      </c>
      <c r="K61" s="142" t="str">
        <f>IF(ISNONTEXT(node_raw[[#This Row],[Column8]]), "", node_raw[[#This Row],[Column8]]/100)</f>
        <v/>
      </c>
      <c r="L61" s="143" t="str">
        <f>IF(ISNONTEXT(node_raw[[#This Row],[Column9]]), "", node_raw[[#This Row],[Column9]]/1)</f>
        <v/>
      </c>
      <c r="M61" s="144" t="str">
        <f>IF(ISNONTEXT(node_raw[[#This Row],[Column10]]), "", node_raw[[#This Row],[Column10]]/1)</f>
        <v/>
      </c>
    </row>
    <row r="62" spans="2:13" ht="15.75" customHeight="1" x14ac:dyDescent="0.25">
      <c r="B62" s="30" t="str">
        <f>IF(ISNONTEXT(node_raw[[#This Row],[Column1]]), "", node_raw[[#This Row],[Column1]])</f>
        <v/>
      </c>
      <c r="C62" s="27" t="str">
        <f>IF(ISNONTEXT(node_raw[[#This Row],[Column2]]), "", node_raw[[#This Row],[Column2]])</f>
        <v/>
      </c>
      <c r="D62" s="54" t="str">
        <f>IF(ISNUMBER(node_raw[[#This Row],[Column3]]), node_raw[[#This Row],[Column3]],"")</f>
        <v/>
      </c>
      <c r="E62" s="57" t="str">
        <f>IF(ISNUMBER(node_raw[[#This Row],[Column4]]), node_raw[[#This Row],[Column4]]/1048576,"")</f>
        <v/>
      </c>
      <c r="F62" s="139" t="str">
        <f>IF(ISNUMBER(node_raw[[#This Row],[Column5]]), node_raw[[#This Row],[Column5]],"")</f>
        <v/>
      </c>
      <c r="G62" s="153" t="str">
        <f t="shared" si="1"/>
        <v/>
      </c>
      <c r="H62" s="140" t="str">
        <f>IF(ISNUMBER(node_raw[[#This Row],[Column6]]), node_raw[[#This Row],[Column6]]/1048576,"")</f>
        <v/>
      </c>
      <c r="I62" s="157" t="str">
        <f t="shared" si="0"/>
        <v/>
      </c>
      <c r="J62" s="141" t="str">
        <f>IF(ISNONTEXT(node_raw[[#This Row],[Column7]]), "", node_raw[[#This Row],[Column7]]/100)</f>
        <v/>
      </c>
      <c r="K62" s="142" t="str">
        <f>IF(ISNONTEXT(node_raw[[#This Row],[Column8]]), "", node_raw[[#This Row],[Column8]]/100)</f>
        <v/>
      </c>
      <c r="L62" s="143" t="str">
        <f>IF(ISNONTEXT(node_raw[[#This Row],[Column9]]), "", node_raw[[#This Row],[Column9]]/1)</f>
        <v/>
      </c>
      <c r="M62" s="144" t="str">
        <f>IF(ISNONTEXT(node_raw[[#This Row],[Column10]]), "", node_raw[[#This Row],[Column10]]/1)</f>
        <v/>
      </c>
    </row>
    <row r="63" spans="2:13" ht="15.75" customHeight="1" x14ac:dyDescent="0.25">
      <c r="B63" s="30" t="str">
        <f>IF(ISNONTEXT(node_raw[[#This Row],[Column1]]), "", node_raw[[#This Row],[Column1]])</f>
        <v/>
      </c>
      <c r="C63" s="27" t="str">
        <f>IF(ISNONTEXT(node_raw[[#This Row],[Column2]]), "", node_raw[[#This Row],[Column2]])</f>
        <v/>
      </c>
      <c r="D63" s="54" t="str">
        <f>IF(ISNUMBER(node_raw[[#This Row],[Column3]]), node_raw[[#This Row],[Column3]],"")</f>
        <v/>
      </c>
      <c r="E63" s="57" t="str">
        <f>IF(ISNUMBER(node_raw[[#This Row],[Column4]]), node_raw[[#This Row],[Column4]]/1048576,"")</f>
        <v/>
      </c>
      <c r="F63" s="139" t="str">
        <f>IF(ISNUMBER(node_raw[[#This Row],[Column5]]), node_raw[[#This Row],[Column5]],"")</f>
        <v/>
      </c>
      <c r="G63" s="153" t="str">
        <f t="shared" si="1"/>
        <v/>
      </c>
      <c r="H63" s="140" t="str">
        <f>IF(ISNUMBER(node_raw[[#This Row],[Column6]]), node_raw[[#This Row],[Column6]]/1048576,"")</f>
        <v/>
      </c>
      <c r="I63" s="157" t="str">
        <f t="shared" si="0"/>
        <v/>
      </c>
      <c r="J63" s="141" t="str">
        <f>IF(ISNONTEXT(node_raw[[#This Row],[Column7]]), "", node_raw[[#This Row],[Column7]]/100)</f>
        <v/>
      </c>
      <c r="K63" s="142" t="str">
        <f>IF(ISNONTEXT(node_raw[[#This Row],[Column8]]), "", node_raw[[#This Row],[Column8]]/100)</f>
        <v/>
      </c>
      <c r="L63" s="143" t="str">
        <f>IF(ISNONTEXT(node_raw[[#This Row],[Column9]]), "", node_raw[[#This Row],[Column9]]/1)</f>
        <v/>
      </c>
      <c r="M63" s="144" t="str">
        <f>IF(ISNONTEXT(node_raw[[#This Row],[Column10]]), "", node_raw[[#This Row],[Column10]]/1)</f>
        <v/>
      </c>
    </row>
    <row r="64" spans="2:13" ht="15.75" customHeight="1" x14ac:dyDescent="0.25">
      <c r="B64" s="30" t="str">
        <f>IF(ISNONTEXT(node_raw[[#This Row],[Column1]]), "", node_raw[[#This Row],[Column1]])</f>
        <v/>
      </c>
      <c r="C64" s="27" t="str">
        <f>IF(ISNONTEXT(node_raw[[#This Row],[Column2]]), "", node_raw[[#This Row],[Column2]])</f>
        <v/>
      </c>
      <c r="D64" s="54" t="str">
        <f>IF(ISNUMBER(node_raw[[#This Row],[Column3]]), node_raw[[#This Row],[Column3]],"")</f>
        <v/>
      </c>
      <c r="E64" s="57" t="str">
        <f>IF(ISNUMBER(node_raw[[#This Row],[Column4]]), node_raw[[#This Row],[Column4]]/1048576,"")</f>
        <v/>
      </c>
      <c r="F64" s="139" t="str">
        <f>IF(ISNUMBER(node_raw[[#This Row],[Column5]]), node_raw[[#This Row],[Column5]],"")</f>
        <v/>
      </c>
      <c r="G64" s="153" t="str">
        <f t="shared" si="1"/>
        <v/>
      </c>
      <c r="H64" s="140" t="str">
        <f>IF(ISNUMBER(node_raw[[#This Row],[Column6]]), node_raw[[#This Row],[Column6]]/1048576,"")</f>
        <v/>
      </c>
      <c r="I64" s="157" t="str">
        <f t="shared" si="0"/>
        <v/>
      </c>
      <c r="J64" s="141" t="str">
        <f>IF(ISNONTEXT(node_raw[[#This Row],[Column7]]), "", node_raw[[#This Row],[Column7]]/100)</f>
        <v/>
      </c>
      <c r="K64" s="142" t="str">
        <f>IF(ISNONTEXT(node_raw[[#This Row],[Column8]]), "", node_raw[[#This Row],[Column8]]/100)</f>
        <v/>
      </c>
      <c r="L64" s="143" t="str">
        <f>IF(ISNONTEXT(node_raw[[#This Row],[Column9]]), "", node_raw[[#This Row],[Column9]]/1)</f>
        <v/>
      </c>
      <c r="M64" s="144" t="str">
        <f>IF(ISNONTEXT(node_raw[[#This Row],[Column10]]), "", node_raw[[#This Row],[Column10]]/1)</f>
        <v/>
      </c>
    </row>
    <row r="65" spans="2:13" ht="15.75" customHeight="1" x14ac:dyDescent="0.25">
      <c r="B65" s="30" t="str">
        <f>IF(ISNONTEXT(node_raw[[#This Row],[Column1]]), "", node_raw[[#This Row],[Column1]])</f>
        <v/>
      </c>
      <c r="C65" s="27" t="str">
        <f>IF(ISNONTEXT(node_raw[[#This Row],[Column2]]), "", node_raw[[#This Row],[Column2]])</f>
        <v/>
      </c>
      <c r="D65" s="54" t="str">
        <f>IF(ISNUMBER(node_raw[[#This Row],[Column3]]), node_raw[[#This Row],[Column3]],"")</f>
        <v/>
      </c>
      <c r="E65" s="57" t="str">
        <f>IF(ISNUMBER(node_raw[[#This Row],[Column4]]), node_raw[[#This Row],[Column4]]/1048576,"")</f>
        <v/>
      </c>
      <c r="F65" s="139" t="str">
        <f>IF(ISNUMBER(node_raw[[#This Row],[Column5]]), node_raw[[#This Row],[Column5]],"")</f>
        <v/>
      </c>
      <c r="G65" s="153" t="str">
        <f t="shared" si="1"/>
        <v/>
      </c>
      <c r="H65" s="140" t="str">
        <f>IF(ISNUMBER(node_raw[[#This Row],[Column6]]), node_raw[[#This Row],[Column6]]/1048576,"")</f>
        <v/>
      </c>
      <c r="I65" s="157" t="str">
        <f t="shared" si="0"/>
        <v/>
      </c>
      <c r="J65" s="141" t="str">
        <f>IF(ISNONTEXT(node_raw[[#This Row],[Column7]]), "", node_raw[[#This Row],[Column7]]/100)</f>
        <v/>
      </c>
      <c r="K65" s="142" t="str">
        <f>IF(ISNONTEXT(node_raw[[#This Row],[Column8]]), "", node_raw[[#This Row],[Column8]]/100)</f>
        <v/>
      </c>
      <c r="L65" s="143" t="str">
        <f>IF(ISNONTEXT(node_raw[[#This Row],[Column9]]), "", node_raw[[#This Row],[Column9]]/1)</f>
        <v/>
      </c>
      <c r="M65" s="144" t="str">
        <f>IF(ISNONTEXT(node_raw[[#This Row],[Column10]]), "", node_raw[[#This Row],[Column10]]/1)</f>
        <v/>
      </c>
    </row>
    <row r="66" spans="2:13" ht="15.75" customHeight="1" x14ac:dyDescent="0.25">
      <c r="B66" s="30" t="str">
        <f>IF(ISNONTEXT(node_raw[[#This Row],[Column1]]), "", node_raw[[#This Row],[Column1]])</f>
        <v/>
      </c>
      <c r="C66" s="27" t="str">
        <f>IF(ISNONTEXT(node_raw[[#This Row],[Column2]]), "", node_raw[[#This Row],[Column2]])</f>
        <v/>
      </c>
      <c r="D66" s="54" t="str">
        <f>IF(ISNUMBER(node_raw[[#This Row],[Column3]]), node_raw[[#This Row],[Column3]],"")</f>
        <v/>
      </c>
      <c r="E66" s="57" t="str">
        <f>IF(ISNUMBER(node_raw[[#This Row],[Column4]]), node_raw[[#This Row],[Column4]]/1048576,"")</f>
        <v/>
      </c>
      <c r="F66" s="139" t="str">
        <f>IF(ISNUMBER(node_raw[[#This Row],[Column5]]), node_raw[[#This Row],[Column5]],"")</f>
        <v/>
      </c>
      <c r="G66" s="153" t="str">
        <f t="shared" si="1"/>
        <v/>
      </c>
      <c r="H66" s="140" t="str">
        <f>IF(ISNUMBER(node_raw[[#This Row],[Column6]]), node_raw[[#This Row],[Column6]]/1048576,"")</f>
        <v/>
      </c>
      <c r="I66" s="157" t="str">
        <f t="shared" si="0"/>
        <v/>
      </c>
      <c r="J66" s="141" t="str">
        <f>IF(ISNONTEXT(node_raw[[#This Row],[Column7]]), "", node_raw[[#This Row],[Column7]]/100)</f>
        <v/>
      </c>
      <c r="K66" s="142" t="str">
        <f>IF(ISNONTEXT(node_raw[[#This Row],[Column8]]), "", node_raw[[#This Row],[Column8]]/100)</f>
        <v/>
      </c>
      <c r="L66" s="143" t="str">
        <f>IF(ISNONTEXT(node_raw[[#This Row],[Column9]]), "", node_raw[[#This Row],[Column9]]/1)</f>
        <v/>
      </c>
      <c r="M66" s="144" t="str">
        <f>IF(ISNONTEXT(node_raw[[#This Row],[Column10]]), "", node_raw[[#This Row],[Column10]]/1)</f>
        <v/>
      </c>
    </row>
    <row r="67" spans="2:13" ht="15.75" customHeight="1" x14ac:dyDescent="0.25">
      <c r="B67" s="30" t="str">
        <f>IF(ISNONTEXT(node_raw[[#This Row],[Column1]]), "", node_raw[[#This Row],[Column1]])</f>
        <v/>
      </c>
      <c r="C67" s="27" t="str">
        <f>IF(ISNONTEXT(node_raw[[#This Row],[Column2]]), "", node_raw[[#This Row],[Column2]])</f>
        <v/>
      </c>
      <c r="D67" s="54" t="str">
        <f>IF(ISNUMBER(node_raw[[#This Row],[Column3]]), node_raw[[#This Row],[Column3]],"")</f>
        <v/>
      </c>
      <c r="E67" s="57" t="str">
        <f>IF(ISNUMBER(node_raw[[#This Row],[Column4]]), node_raw[[#This Row],[Column4]]/1048576,"")</f>
        <v/>
      </c>
      <c r="F67" s="139" t="str">
        <f>IF(ISNUMBER(node_raw[[#This Row],[Column5]]), node_raw[[#This Row],[Column5]],"")</f>
        <v/>
      </c>
      <c r="G67" s="153" t="str">
        <f t="shared" ref="G67:G130" si="2">IF(ISNUMBER(F67), F67/D67, "")</f>
        <v/>
      </c>
      <c r="H67" s="140" t="str">
        <f>IF(ISNUMBER(node_raw[[#This Row],[Column6]]), node_raw[[#This Row],[Column6]]/1048576,"")</f>
        <v/>
      </c>
      <c r="I67" s="157" t="str">
        <f t="shared" ref="I67:I130" si="3">IF(ISNUMBER(H67), H67/E67, "")</f>
        <v/>
      </c>
      <c r="J67" s="141" t="str">
        <f>IF(ISNONTEXT(node_raw[[#This Row],[Column7]]), "", node_raw[[#This Row],[Column7]]/100)</f>
        <v/>
      </c>
      <c r="K67" s="142" t="str">
        <f>IF(ISNONTEXT(node_raw[[#This Row],[Column8]]), "", node_raw[[#This Row],[Column8]]/100)</f>
        <v/>
      </c>
      <c r="L67" s="143" t="str">
        <f>IF(ISNONTEXT(node_raw[[#This Row],[Column9]]), "", node_raw[[#This Row],[Column9]]/1)</f>
        <v/>
      </c>
      <c r="M67" s="144" t="str">
        <f>IF(ISNONTEXT(node_raw[[#This Row],[Column10]]), "", node_raw[[#This Row],[Column10]]/1)</f>
        <v/>
      </c>
    </row>
    <row r="68" spans="2:13" ht="15.75" customHeight="1" x14ac:dyDescent="0.25">
      <c r="B68" s="30" t="str">
        <f>IF(ISNONTEXT(node_raw[[#This Row],[Column1]]), "", node_raw[[#This Row],[Column1]])</f>
        <v/>
      </c>
      <c r="C68" s="27" t="str">
        <f>IF(ISNONTEXT(node_raw[[#This Row],[Column2]]), "", node_raw[[#This Row],[Column2]])</f>
        <v/>
      </c>
      <c r="D68" s="54" t="str">
        <f>IF(ISNUMBER(node_raw[[#This Row],[Column3]]), node_raw[[#This Row],[Column3]],"")</f>
        <v/>
      </c>
      <c r="E68" s="57" t="str">
        <f>IF(ISNUMBER(node_raw[[#This Row],[Column4]]), node_raw[[#This Row],[Column4]]/1048576,"")</f>
        <v/>
      </c>
      <c r="F68" s="139" t="str">
        <f>IF(ISNUMBER(node_raw[[#This Row],[Column5]]), node_raw[[#This Row],[Column5]],"")</f>
        <v/>
      </c>
      <c r="G68" s="153" t="str">
        <f t="shared" si="2"/>
        <v/>
      </c>
      <c r="H68" s="140" t="str">
        <f>IF(ISNUMBER(node_raw[[#This Row],[Column6]]), node_raw[[#This Row],[Column6]]/1048576,"")</f>
        <v/>
      </c>
      <c r="I68" s="157" t="str">
        <f t="shared" si="3"/>
        <v/>
      </c>
      <c r="J68" s="141" t="str">
        <f>IF(ISNONTEXT(node_raw[[#This Row],[Column7]]), "", node_raw[[#This Row],[Column7]]/100)</f>
        <v/>
      </c>
      <c r="K68" s="142" t="str">
        <f>IF(ISNONTEXT(node_raw[[#This Row],[Column8]]), "", node_raw[[#This Row],[Column8]]/100)</f>
        <v/>
      </c>
      <c r="L68" s="143" t="str">
        <f>IF(ISNONTEXT(node_raw[[#This Row],[Column9]]), "", node_raw[[#This Row],[Column9]]/1)</f>
        <v/>
      </c>
      <c r="M68" s="144" t="str">
        <f>IF(ISNONTEXT(node_raw[[#This Row],[Column10]]), "", node_raw[[#This Row],[Column10]]/1)</f>
        <v/>
      </c>
    </row>
    <row r="69" spans="2:13" ht="15.75" customHeight="1" x14ac:dyDescent="0.25">
      <c r="B69" s="30" t="str">
        <f>IF(ISNONTEXT(node_raw[[#This Row],[Column1]]), "", node_raw[[#This Row],[Column1]])</f>
        <v/>
      </c>
      <c r="C69" s="27" t="str">
        <f>IF(ISNONTEXT(node_raw[[#This Row],[Column2]]), "", node_raw[[#This Row],[Column2]])</f>
        <v/>
      </c>
      <c r="D69" s="54" t="str">
        <f>IF(ISNUMBER(node_raw[[#This Row],[Column3]]), node_raw[[#This Row],[Column3]],"")</f>
        <v/>
      </c>
      <c r="E69" s="57" t="str">
        <f>IF(ISNUMBER(node_raw[[#This Row],[Column4]]), node_raw[[#This Row],[Column4]]/1048576,"")</f>
        <v/>
      </c>
      <c r="F69" s="139" t="str">
        <f>IF(ISNUMBER(node_raw[[#This Row],[Column5]]), node_raw[[#This Row],[Column5]],"")</f>
        <v/>
      </c>
      <c r="G69" s="153" t="str">
        <f t="shared" si="2"/>
        <v/>
      </c>
      <c r="H69" s="140" t="str">
        <f>IF(ISNUMBER(node_raw[[#This Row],[Column6]]), node_raw[[#This Row],[Column6]]/1048576,"")</f>
        <v/>
      </c>
      <c r="I69" s="157" t="str">
        <f t="shared" si="3"/>
        <v/>
      </c>
      <c r="J69" s="141" t="str">
        <f>IF(ISNONTEXT(node_raw[[#This Row],[Column7]]), "", node_raw[[#This Row],[Column7]]/100)</f>
        <v/>
      </c>
      <c r="K69" s="142" t="str">
        <f>IF(ISNONTEXT(node_raw[[#This Row],[Column8]]), "", node_raw[[#This Row],[Column8]]/100)</f>
        <v/>
      </c>
      <c r="L69" s="143" t="str">
        <f>IF(ISNONTEXT(node_raw[[#This Row],[Column9]]), "", node_raw[[#This Row],[Column9]]/1)</f>
        <v/>
      </c>
      <c r="M69" s="144" t="str">
        <f>IF(ISNONTEXT(node_raw[[#This Row],[Column10]]), "", node_raw[[#This Row],[Column10]]/1)</f>
        <v/>
      </c>
    </row>
    <row r="70" spans="2:13" ht="15.75" customHeight="1" x14ac:dyDescent="0.25">
      <c r="B70" s="30" t="str">
        <f>IF(ISNONTEXT(node_raw[[#This Row],[Column1]]), "", node_raw[[#This Row],[Column1]])</f>
        <v/>
      </c>
      <c r="C70" s="27" t="str">
        <f>IF(ISNONTEXT(node_raw[[#This Row],[Column2]]), "", node_raw[[#This Row],[Column2]])</f>
        <v/>
      </c>
      <c r="D70" s="54" t="str">
        <f>IF(ISNUMBER(node_raw[[#This Row],[Column3]]), node_raw[[#This Row],[Column3]],"")</f>
        <v/>
      </c>
      <c r="E70" s="57" t="str">
        <f>IF(ISNUMBER(node_raw[[#This Row],[Column4]]), node_raw[[#This Row],[Column4]]/1048576,"")</f>
        <v/>
      </c>
      <c r="F70" s="139" t="str">
        <f>IF(ISNUMBER(node_raw[[#This Row],[Column5]]), node_raw[[#This Row],[Column5]],"")</f>
        <v/>
      </c>
      <c r="G70" s="153" t="str">
        <f t="shared" si="2"/>
        <v/>
      </c>
      <c r="H70" s="140" t="str">
        <f>IF(ISNUMBER(node_raw[[#This Row],[Column6]]), node_raw[[#This Row],[Column6]]/1048576,"")</f>
        <v/>
      </c>
      <c r="I70" s="157" t="str">
        <f t="shared" si="3"/>
        <v/>
      </c>
      <c r="J70" s="141" t="str">
        <f>IF(ISNONTEXT(node_raw[[#This Row],[Column7]]), "", node_raw[[#This Row],[Column7]]/100)</f>
        <v/>
      </c>
      <c r="K70" s="142" t="str">
        <f>IF(ISNONTEXT(node_raw[[#This Row],[Column8]]), "", node_raw[[#This Row],[Column8]]/100)</f>
        <v/>
      </c>
      <c r="L70" s="143" t="str">
        <f>IF(ISNONTEXT(node_raw[[#This Row],[Column9]]), "", node_raw[[#This Row],[Column9]]/1)</f>
        <v/>
      </c>
      <c r="M70" s="144" t="str">
        <f>IF(ISNONTEXT(node_raw[[#This Row],[Column10]]), "", node_raw[[#This Row],[Column10]]/1)</f>
        <v/>
      </c>
    </row>
    <row r="71" spans="2:13" ht="15.75" customHeight="1" x14ac:dyDescent="0.25">
      <c r="B71" s="30" t="str">
        <f>IF(ISNONTEXT(node_raw[[#This Row],[Column1]]), "", node_raw[[#This Row],[Column1]])</f>
        <v/>
      </c>
      <c r="C71" s="27" t="str">
        <f>IF(ISNONTEXT(node_raw[[#This Row],[Column2]]), "", node_raw[[#This Row],[Column2]])</f>
        <v/>
      </c>
      <c r="D71" s="54" t="str">
        <f>IF(ISNUMBER(node_raw[[#This Row],[Column3]]), node_raw[[#This Row],[Column3]],"")</f>
        <v/>
      </c>
      <c r="E71" s="57" t="str">
        <f>IF(ISNUMBER(node_raw[[#This Row],[Column4]]), node_raw[[#This Row],[Column4]]/1048576,"")</f>
        <v/>
      </c>
      <c r="F71" s="139" t="str">
        <f>IF(ISNUMBER(node_raw[[#This Row],[Column5]]), node_raw[[#This Row],[Column5]],"")</f>
        <v/>
      </c>
      <c r="G71" s="153" t="str">
        <f t="shared" si="2"/>
        <v/>
      </c>
      <c r="H71" s="140" t="str">
        <f>IF(ISNUMBER(node_raw[[#This Row],[Column6]]), node_raw[[#This Row],[Column6]]/1048576,"")</f>
        <v/>
      </c>
      <c r="I71" s="157" t="str">
        <f t="shared" si="3"/>
        <v/>
      </c>
      <c r="J71" s="141" t="str">
        <f>IF(ISNONTEXT(node_raw[[#This Row],[Column7]]), "", node_raw[[#This Row],[Column7]]/100)</f>
        <v/>
      </c>
      <c r="K71" s="142" t="str">
        <f>IF(ISNONTEXT(node_raw[[#This Row],[Column8]]), "", node_raw[[#This Row],[Column8]]/100)</f>
        <v/>
      </c>
      <c r="L71" s="143" t="str">
        <f>IF(ISNONTEXT(node_raw[[#This Row],[Column9]]), "", node_raw[[#This Row],[Column9]]/1)</f>
        <v/>
      </c>
      <c r="M71" s="144" t="str">
        <f>IF(ISNONTEXT(node_raw[[#This Row],[Column10]]), "", node_raw[[#This Row],[Column10]]/1)</f>
        <v/>
      </c>
    </row>
    <row r="72" spans="2:13" ht="15.75" customHeight="1" x14ac:dyDescent="0.25">
      <c r="B72" s="30" t="str">
        <f>IF(ISNONTEXT(node_raw[[#This Row],[Column1]]), "", node_raw[[#This Row],[Column1]])</f>
        <v/>
      </c>
      <c r="C72" s="27" t="str">
        <f>IF(ISNONTEXT(node_raw[[#This Row],[Column2]]), "", node_raw[[#This Row],[Column2]])</f>
        <v/>
      </c>
      <c r="D72" s="54" t="str">
        <f>IF(ISNUMBER(node_raw[[#This Row],[Column3]]), node_raw[[#This Row],[Column3]],"")</f>
        <v/>
      </c>
      <c r="E72" s="57" t="str">
        <f>IF(ISNUMBER(node_raw[[#This Row],[Column4]]), node_raw[[#This Row],[Column4]]/1048576,"")</f>
        <v/>
      </c>
      <c r="F72" s="139" t="str">
        <f>IF(ISNUMBER(node_raw[[#This Row],[Column5]]), node_raw[[#This Row],[Column5]],"")</f>
        <v/>
      </c>
      <c r="G72" s="153" t="str">
        <f t="shared" si="2"/>
        <v/>
      </c>
      <c r="H72" s="140" t="str">
        <f>IF(ISNUMBER(node_raw[[#This Row],[Column6]]), node_raw[[#This Row],[Column6]]/1048576,"")</f>
        <v/>
      </c>
      <c r="I72" s="157" t="str">
        <f t="shared" si="3"/>
        <v/>
      </c>
      <c r="J72" s="141" t="str">
        <f>IF(ISNONTEXT(node_raw[[#This Row],[Column7]]), "", node_raw[[#This Row],[Column7]]/100)</f>
        <v/>
      </c>
      <c r="K72" s="142" t="str">
        <f>IF(ISNONTEXT(node_raw[[#This Row],[Column8]]), "", node_raw[[#This Row],[Column8]]/100)</f>
        <v/>
      </c>
      <c r="L72" s="143" t="str">
        <f>IF(ISNONTEXT(node_raw[[#This Row],[Column9]]), "", node_raw[[#This Row],[Column9]]/1)</f>
        <v/>
      </c>
      <c r="M72" s="144" t="str">
        <f>IF(ISNONTEXT(node_raw[[#This Row],[Column10]]), "", node_raw[[#This Row],[Column10]]/1)</f>
        <v/>
      </c>
    </row>
    <row r="73" spans="2:13" ht="15.75" customHeight="1" x14ac:dyDescent="0.25">
      <c r="B73" s="30" t="str">
        <f>IF(ISNONTEXT(node_raw[[#This Row],[Column1]]), "", node_raw[[#This Row],[Column1]])</f>
        <v/>
      </c>
      <c r="C73" s="27" t="str">
        <f>IF(ISNONTEXT(node_raw[[#This Row],[Column2]]), "", node_raw[[#This Row],[Column2]])</f>
        <v/>
      </c>
      <c r="D73" s="54" t="str">
        <f>IF(ISNUMBER(node_raw[[#This Row],[Column3]]), node_raw[[#This Row],[Column3]],"")</f>
        <v/>
      </c>
      <c r="E73" s="57" t="str">
        <f>IF(ISNUMBER(node_raw[[#This Row],[Column4]]), node_raw[[#This Row],[Column4]]/1048576,"")</f>
        <v/>
      </c>
      <c r="F73" s="139" t="str">
        <f>IF(ISNUMBER(node_raw[[#This Row],[Column5]]), node_raw[[#This Row],[Column5]],"")</f>
        <v/>
      </c>
      <c r="G73" s="153" t="str">
        <f t="shared" si="2"/>
        <v/>
      </c>
      <c r="H73" s="140" t="str">
        <f>IF(ISNUMBER(node_raw[[#This Row],[Column6]]), node_raw[[#This Row],[Column6]]/1048576,"")</f>
        <v/>
      </c>
      <c r="I73" s="157" t="str">
        <f t="shared" si="3"/>
        <v/>
      </c>
      <c r="J73" s="141" t="str">
        <f>IF(ISNONTEXT(node_raw[[#This Row],[Column7]]), "", node_raw[[#This Row],[Column7]]/100)</f>
        <v/>
      </c>
      <c r="K73" s="142" t="str">
        <f>IF(ISNONTEXT(node_raw[[#This Row],[Column8]]), "", node_raw[[#This Row],[Column8]]/100)</f>
        <v/>
      </c>
      <c r="L73" s="143" t="str">
        <f>IF(ISNONTEXT(node_raw[[#This Row],[Column9]]), "", node_raw[[#This Row],[Column9]]/1)</f>
        <v/>
      </c>
      <c r="M73" s="144" t="str">
        <f>IF(ISNONTEXT(node_raw[[#This Row],[Column10]]), "", node_raw[[#This Row],[Column10]]/1)</f>
        <v/>
      </c>
    </row>
    <row r="74" spans="2:13" ht="15.75" customHeight="1" x14ac:dyDescent="0.25">
      <c r="B74" s="30" t="str">
        <f>IF(ISNONTEXT(node_raw[[#This Row],[Column1]]), "", node_raw[[#This Row],[Column1]])</f>
        <v/>
      </c>
      <c r="C74" s="27" t="str">
        <f>IF(ISNONTEXT(node_raw[[#This Row],[Column2]]), "", node_raw[[#This Row],[Column2]])</f>
        <v/>
      </c>
      <c r="D74" s="54" t="str">
        <f>IF(ISNUMBER(node_raw[[#This Row],[Column3]]), node_raw[[#This Row],[Column3]],"")</f>
        <v/>
      </c>
      <c r="E74" s="57" t="str">
        <f>IF(ISNUMBER(node_raw[[#This Row],[Column4]]), node_raw[[#This Row],[Column4]]/1048576,"")</f>
        <v/>
      </c>
      <c r="F74" s="139" t="str">
        <f>IF(ISNUMBER(node_raw[[#This Row],[Column5]]), node_raw[[#This Row],[Column5]],"")</f>
        <v/>
      </c>
      <c r="G74" s="153" t="str">
        <f t="shared" si="2"/>
        <v/>
      </c>
      <c r="H74" s="140" t="str">
        <f>IF(ISNUMBER(node_raw[[#This Row],[Column6]]), node_raw[[#This Row],[Column6]]/1048576,"")</f>
        <v/>
      </c>
      <c r="I74" s="157" t="str">
        <f t="shared" si="3"/>
        <v/>
      </c>
      <c r="J74" s="141" t="str">
        <f>IF(ISNONTEXT(node_raw[[#This Row],[Column7]]), "", node_raw[[#This Row],[Column7]]/100)</f>
        <v/>
      </c>
      <c r="K74" s="142" t="str">
        <f>IF(ISNONTEXT(node_raw[[#This Row],[Column8]]), "", node_raw[[#This Row],[Column8]]/100)</f>
        <v/>
      </c>
      <c r="L74" s="143" t="str">
        <f>IF(ISNONTEXT(node_raw[[#This Row],[Column9]]), "", node_raw[[#This Row],[Column9]]/1)</f>
        <v/>
      </c>
      <c r="M74" s="144" t="str">
        <f>IF(ISNONTEXT(node_raw[[#This Row],[Column10]]), "", node_raw[[#This Row],[Column10]]/1)</f>
        <v/>
      </c>
    </row>
    <row r="75" spans="2:13" ht="15.75" customHeight="1" x14ac:dyDescent="0.25">
      <c r="B75" s="30" t="str">
        <f>IF(ISNONTEXT(node_raw[[#This Row],[Column1]]), "", node_raw[[#This Row],[Column1]])</f>
        <v/>
      </c>
      <c r="C75" s="27" t="str">
        <f>IF(ISNONTEXT(node_raw[[#This Row],[Column2]]), "", node_raw[[#This Row],[Column2]])</f>
        <v/>
      </c>
      <c r="D75" s="54" t="str">
        <f>IF(ISNUMBER(node_raw[[#This Row],[Column3]]), node_raw[[#This Row],[Column3]],"")</f>
        <v/>
      </c>
      <c r="E75" s="57" t="str">
        <f>IF(ISNUMBER(node_raw[[#This Row],[Column4]]), node_raw[[#This Row],[Column4]]/1048576,"")</f>
        <v/>
      </c>
      <c r="F75" s="139" t="str">
        <f>IF(ISNUMBER(node_raw[[#This Row],[Column5]]), node_raw[[#This Row],[Column5]],"")</f>
        <v/>
      </c>
      <c r="G75" s="153" t="str">
        <f t="shared" si="2"/>
        <v/>
      </c>
      <c r="H75" s="140" t="str">
        <f>IF(ISNUMBER(node_raw[[#This Row],[Column6]]), node_raw[[#This Row],[Column6]]/1048576,"")</f>
        <v/>
      </c>
      <c r="I75" s="157" t="str">
        <f t="shared" si="3"/>
        <v/>
      </c>
      <c r="J75" s="141" t="str">
        <f>IF(ISNONTEXT(node_raw[[#This Row],[Column7]]), "", node_raw[[#This Row],[Column7]]/100)</f>
        <v/>
      </c>
      <c r="K75" s="142" t="str">
        <f>IF(ISNONTEXT(node_raw[[#This Row],[Column8]]), "", node_raw[[#This Row],[Column8]]/100)</f>
        <v/>
      </c>
      <c r="L75" s="143" t="str">
        <f>IF(ISNONTEXT(node_raw[[#This Row],[Column9]]), "", node_raw[[#This Row],[Column9]]/1)</f>
        <v/>
      </c>
      <c r="M75" s="144" t="str">
        <f>IF(ISNONTEXT(node_raw[[#This Row],[Column10]]), "", node_raw[[#This Row],[Column10]]/1)</f>
        <v/>
      </c>
    </row>
    <row r="76" spans="2:13" ht="15.75" customHeight="1" x14ac:dyDescent="0.25">
      <c r="B76" s="30" t="str">
        <f>IF(ISNONTEXT(node_raw[[#This Row],[Column1]]), "", node_raw[[#This Row],[Column1]])</f>
        <v/>
      </c>
      <c r="C76" s="27" t="str">
        <f>IF(ISNONTEXT(node_raw[[#This Row],[Column2]]), "", node_raw[[#This Row],[Column2]])</f>
        <v/>
      </c>
      <c r="D76" s="54" t="str">
        <f>IF(ISNUMBER(node_raw[[#This Row],[Column3]]), node_raw[[#This Row],[Column3]],"")</f>
        <v/>
      </c>
      <c r="E76" s="57" t="str">
        <f>IF(ISNUMBER(node_raw[[#This Row],[Column4]]), node_raw[[#This Row],[Column4]]/1048576,"")</f>
        <v/>
      </c>
      <c r="F76" s="139" t="str">
        <f>IF(ISNUMBER(node_raw[[#This Row],[Column5]]), node_raw[[#This Row],[Column5]],"")</f>
        <v/>
      </c>
      <c r="G76" s="153" t="str">
        <f t="shared" si="2"/>
        <v/>
      </c>
      <c r="H76" s="140" t="str">
        <f>IF(ISNUMBER(node_raw[[#This Row],[Column6]]), node_raw[[#This Row],[Column6]]/1048576,"")</f>
        <v/>
      </c>
      <c r="I76" s="157" t="str">
        <f t="shared" si="3"/>
        <v/>
      </c>
      <c r="J76" s="141" t="str">
        <f>IF(ISNONTEXT(node_raw[[#This Row],[Column7]]), "", node_raw[[#This Row],[Column7]]/100)</f>
        <v/>
      </c>
      <c r="K76" s="142" t="str">
        <f>IF(ISNONTEXT(node_raw[[#This Row],[Column8]]), "", node_raw[[#This Row],[Column8]]/100)</f>
        <v/>
      </c>
      <c r="L76" s="143" t="str">
        <f>IF(ISNONTEXT(node_raw[[#This Row],[Column9]]), "", node_raw[[#This Row],[Column9]]/1)</f>
        <v/>
      </c>
      <c r="M76" s="144" t="str">
        <f>IF(ISNONTEXT(node_raw[[#This Row],[Column10]]), "", node_raw[[#This Row],[Column10]]/1)</f>
        <v/>
      </c>
    </row>
    <row r="77" spans="2:13" ht="15.75" customHeight="1" x14ac:dyDescent="0.25">
      <c r="B77" s="30" t="str">
        <f>IF(ISNONTEXT(node_raw[[#This Row],[Column1]]), "", node_raw[[#This Row],[Column1]])</f>
        <v/>
      </c>
      <c r="C77" s="27" t="str">
        <f>IF(ISNONTEXT(node_raw[[#This Row],[Column2]]), "", node_raw[[#This Row],[Column2]])</f>
        <v/>
      </c>
      <c r="D77" s="54" t="str">
        <f>IF(ISNUMBER(node_raw[[#This Row],[Column3]]), node_raw[[#This Row],[Column3]],"")</f>
        <v/>
      </c>
      <c r="E77" s="57" t="str">
        <f>IF(ISNUMBER(node_raw[[#This Row],[Column4]]), node_raw[[#This Row],[Column4]]/1048576,"")</f>
        <v/>
      </c>
      <c r="F77" s="139" t="str">
        <f>IF(ISNUMBER(node_raw[[#This Row],[Column5]]), node_raw[[#This Row],[Column5]],"")</f>
        <v/>
      </c>
      <c r="G77" s="153" t="str">
        <f t="shared" si="2"/>
        <v/>
      </c>
      <c r="H77" s="140" t="str">
        <f>IF(ISNUMBER(node_raw[[#This Row],[Column6]]), node_raw[[#This Row],[Column6]]/1048576,"")</f>
        <v/>
      </c>
      <c r="I77" s="157" t="str">
        <f t="shared" si="3"/>
        <v/>
      </c>
      <c r="J77" s="141" t="str">
        <f>IF(ISNONTEXT(node_raw[[#This Row],[Column7]]), "", node_raw[[#This Row],[Column7]]/100)</f>
        <v/>
      </c>
      <c r="K77" s="142" t="str">
        <f>IF(ISNONTEXT(node_raw[[#This Row],[Column8]]), "", node_raw[[#This Row],[Column8]]/100)</f>
        <v/>
      </c>
      <c r="L77" s="143" t="str">
        <f>IF(ISNONTEXT(node_raw[[#This Row],[Column9]]), "", node_raw[[#This Row],[Column9]]/1)</f>
        <v/>
      </c>
      <c r="M77" s="144" t="str">
        <f>IF(ISNONTEXT(node_raw[[#This Row],[Column10]]), "", node_raw[[#This Row],[Column10]]/1)</f>
        <v/>
      </c>
    </row>
    <row r="78" spans="2:13" ht="15.75" customHeight="1" x14ac:dyDescent="0.25">
      <c r="B78" s="30" t="str">
        <f>IF(ISNONTEXT(node_raw[[#This Row],[Column1]]), "", node_raw[[#This Row],[Column1]])</f>
        <v/>
      </c>
      <c r="C78" s="27" t="str">
        <f>IF(ISNONTEXT(node_raw[[#This Row],[Column2]]), "", node_raw[[#This Row],[Column2]])</f>
        <v/>
      </c>
      <c r="D78" s="54" t="str">
        <f>IF(ISNUMBER(node_raw[[#This Row],[Column3]]), node_raw[[#This Row],[Column3]],"")</f>
        <v/>
      </c>
      <c r="E78" s="57" t="str">
        <f>IF(ISNUMBER(node_raw[[#This Row],[Column4]]), node_raw[[#This Row],[Column4]]/1048576,"")</f>
        <v/>
      </c>
      <c r="F78" s="139" t="str">
        <f>IF(ISNUMBER(node_raw[[#This Row],[Column5]]), node_raw[[#This Row],[Column5]],"")</f>
        <v/>
      </c>
      <c r="G78" s="153" t="str">
        <f t="shared" si="2"/>
        <v/>
      </c>
      <c r="H78" s="140" t="str">
        <f>IF(ISNUMBER(node_raw[[#This Row],[Column6]]), node_raw[[#This Row],[Column6]]/1048576,"")</f>
        <v/>
      </c>
      <c r="I78" s="157" t="str">
        <f t="shared" si="3"/>
        <v/>
      </c>
      <c r="J78" s="141" t="str">
        <f>IF(ISNONTEXT(node_raw[[#This Row],[Column7]]), "", node_raw[[#This Row],[Column7]]/100)</f>
        <v/>
      </c>
      <c r="K78" s="142" t="str">
        <f>IF(ISNONTEXT(node_raw[[#This Row],[Column8]]), "", node_raw[[#This Row],[Column8]]/100)</f>
        <v/>
      </c>
      <c r="L78" s="143" t="str">
        <f>IF(ISNONTEXT(node_raw[[#This Row],[Column9]]), "", node_raw[[#This Row],[Column9]]/1)</f>
        <v/>
      </c>
      <c r="M78" s="144" t="str">
        <f>IF(ISNONTEXT(node_raw[[#This Row],[Column10]]), "", node_raw[[#This Row],[Column10]]/1)</f>
        <v/>
      </c>
    </row>
    <row r="79" spans="2:13" ht="15.75" customHeight="1" x14ac:dyDescent="0.25">
      <c r="B79" s="30" t="str">
        <f>IF(ISNONTEXT(node_raw[[#This Row],[Column1]]), "", node_raw[[#This Row],[Column1]])</f>
        <v/>
      </c>
      <c r="C79" s="27" t="str">
        <f>IF(ISNONTEXT(node_raw[[#This Row],[Column2]]), "", node_raw[[#This Row],[Column2]])</f>
        <v/>
      </c>
      <c r="D79" s="54" t="str">
        <f>IF(ISNUMBER(node_raw[[#This Row],[Column3]]), node_raw[[#This Row],[Column3]],"")</f>
        <v/>
      </c>
      <c r="E79" s="57" t="str">
        <f>IF(ISNUMBER(node_raw[[#This Row],[Column4]]), node_raw[[#This Row],[Column4]]/1048576,"")</f>
        <v/>
      </c>
      <c r="F79" s="139" t="str">
        <f>IF(ISNUMBER(node_raw[[#This Row],[Column5]]), node_raw[[#This Row],[Column5]],"")</f>
        <v/>
      </c>
      <c r="G79" s="153" t="str">
        <f t="shared" si="2"/>
        <v/>
      </c>
      <c r="H79" s="140" t="str">
        <f>IF(ISNUMBER(node_raw[[#This Row],[Column6]]), node_raw[[#This Row],[Column6]]/1048576,"")</f>
        <v/>
      </c>
      <c r="I79" s="157" t="str">
        <f t="shared" si="3"/>
        <v/>
      </c>
      <c r="J79" s="141" t="str">
        <f>IF(ISNONTEXT(node_raw[[#This Row],[Column7]]), "", node_raw[[#This Row],[Column7]]/100)</f>
        <v/>
      </c>
      <c r="K79" s="142" t="str">
        <f>IF(ISNONTEXT(node_raw[[#This Row],[Column8]]), "", node_raw[[#This Row],[Column8]]/100)</f>
        <v/>
      </c>
      <c r="L79" s="143" t="str">
        <f>IF(ISNONTEXT(node_raw[[#This Row],[Column9]]), "", node_raw[[#This Row],[Column9]]/1)</f>
        <v/>
      </c>
      <c r="M79" s="144" t="str">
        <f>IF(ISNONTEXT(node_raw[[#This Row],[Column10]]), "", node_raw[[#This Row],[Column10]]/1)</f>
        <v/>
      </c>
    </row>
    <row r="80" spans="2:13" ht="15.75" customHeight="1" x14ac:dyDescent="0.25">
      <c r="B80" s="30" t="str">
        <f>IF(ISNONTEXT(node_raw[[#This Row],[Column1]]), "", node_raw[[#This Row],[Column1]])</f>
        <v/>
      </c>
      <c r="C80" s="27" t="str">
        <f>IF(ISNONTEXT(node_raw[[#This Row],[Column2]]), "", node_raw[[#This Row],[Column2]])</f>
        <v/>
      </c>
      <c r="D80" s="54" t="str">
        <f>IF(ISNUMBER(node_raw[[#This Row],[Column3]]), node_raw[[#This Row],[Column3]],"")</f>
        <v/>
      </c>
      <c r="E80" s="57" t="str">
        <f>IF(ISNUMBER(node_raw[[#This Row],[Column4]]), node_raw[[#This Row],[Column4]]/1048576,"")</f>
        <v/>
      </c>
      <c r="F80" s="139" t="str">
        <f>IF(ISNUMBER(node_raw[[#This Row],[Column5]]), node_raw[[#This Row],[Column5]],"")</f>
        <v/>
      </c>
      <c r="G80" s="153" t="str">
        <f t="shared" si="2"/>
        <v/>
      </c>
      <c r="H80" s="140" t="str">
        <f>IF(ISNUMBER(node_raw[[#This Row],[Column6]]), node_raw[[#This Row],[Column6]]/1048576,"")</f>
        <v/>
      </c>
      <c r="I80" s="157" t="str">
        <f t="shared" si="3"/>
        <v/>
      </c>
      <c r="J80" s="141" t="str">
        <f>IF(ISNONTEXT(node_raw[[#This Row],[Column7]]), "", node_raw[[#This Row],[Column7]]/100)</f>
        <v/>
      </c>
      <c r="K80" s="142" t="str">
        <f>IF(ISNONTEXT(node_raw[[#This Row],[Column8]]), "", node_raw[[#This Row],[Column8]]/100)</f>
        <v/>
      </c>
      <c r="L80" s="143" t="str">
        <f>IF(ISNONTEXT(node_raw[[#This Row],[Column9]]), "", node_raw[[#This Row],[Column9]]/1)</f>
        <v/>
      </c>
      <c r="M80" s="144" t="str">
        <f>IF(ISNONTEXT(node_raw[[#This Row],[Column10]]), "", node_raw[[#This Row],[Column10]]/1)</f>
        <v/>
      </c>
    </row>
    <row r="81" spans="2:13" ht="15.75" customHeight="1" x14ac:dyDescent="0.25">
      <c r="B81" s="30" t="str">
        <f>IF(ISNONTEXT(node_raw[[#This Row],[Column1]]), "", node_raw[[#This Row],[Column1]])</f>
        <v/>
      </c>
      <c r="C81" s="27" t="str">
        <f>IF(ISNONTEXT(node_raw[[#This Row],[Column2]]), "", node_raw[[#This Row],[Column2]])</f>
        <v/>
      </c>
      <c r="D81" s="54" t="str">
        <f>IF(ISNUMBER(node_raw[[#This Row],[Column3]]), node_raw[[#This Row],[Column3]],"")</f>
        <v/>
      </c>
      <c r="E81" s="57" t="str">
        <f>IF(ISNUMBER(node_raw[[#This Row],[Column4]]), node_raw[[#This Row],[Column4]]/1048576,"")</f>
        <v/>
      </c>
      <c r="F81" s="139" t="str">
        <f>IF(ISNUMBER(node_raw[[#This Row],[Column5]]), node_raw[[#This Row],[Column5]],"")</f>
        <v/>
      </c>
      <c r="G81" s="153" t="str">
        <f t="shared" si="2"/>
        <v/>
      </c>
      <c r="H81" s="140" t="str">
        <f>IF(ISNUMBER(node_raw[[#This Row],[Column6]]), node_raw[[#This Row],[Column6]]/1048576,"")</f>
        <v/>
      </c>
      <c r="I81" s="157" t="str">
        <f t="shared" si="3"/>
        <v/>
      </c>
      <c r="J81" s="141" t="str">
        <f>IF(ISNONTEXT(node_raw[[#This Row],[Column7]]), "", node_raw[[#This Row],[Column7]]/100)</f>
        <v/>
      </c>
      <c r="K81" s="142" t="str">
        <f>IF(ISNONTEXT(node_raw[[#This Row],[Column8]]), "", node_raw[[#This Row],[Column8]]/100)</f>
        <v/>
      </c>
      <c r="L81" s="143" t="str">
        <f>IF(ISNONTEXT(node_raw[[#This Row],[Column9]]), "", node_raw[[#This Row],[Column9]]/1)</f>
        <v/>
      </c>
      <c r="M81" s="144" t="str">
        <f>IF(ISNONTEXT(node_raw[[#This Row],[Column10]]), "", node_raw[[#This Row],[Column10]]/1)</f>
        <v/>
      </c>
    </row>
    <row r="82" spans="2:13" ht="15.75" customHeight="1" x14ac:dyDescent="0.25">
      <c r="B82" s="30" t="str">
        <f>IF(ISNONTEXT(node_raw[[#This Row],[Column1]]), "", node_raw[[#This Row],[Column1]])</f>
        <v/>
      </c>
      <c r="C82" s="27" t="str">
        <f>IF(ISNONTEXT(node_raw[[#This Row],[Column2]]), "", node_raw[[#This Row],[Column2]])</f>
        <v/>
      </c>
      <c r="D82" s="54" t="str">
        <f>IF(ISNUMBER(node_raw[[#This Row],[Column3]]), node_raw[[#This Row],[Column3]],"")</f>
        <v/>
      </c>
      <c r="E82" s="57" t="str">
        <f>IF(ISNUMBER(node_raw[[#This Row],[Column4]]), node_raw[[#This Row],[Column4]]/1048576,"")</f>
        <v/>
      </c>
      <c r="F82" s="139" t="str">
        <f>IF(ISNUMBER(node_raw[[#This Row],[Column5]]), node_raw[[#This Row],[Column5]],"")</f>
        <v/>
      </c>
      <c r="G82" s="153" t="str">
        <f t="shared" si="2"/>
        <v/>
      </c>
      <c r="H82" s="140" t="str">
        <f>IF(ISNUMBER(node_raw[[#This Row],[Column6]]), node_raw[[#This Row],[Column6]]/1048576,"")</f>
        <v/>
      </c>
      <c r="I82" s="157" t="str">
        <f t="shared" si="3"/>
        <v/>
      </c>
      <c r="J82" s="141" t="str">
        <f>IF(ISNONTEXT(node_raw[[#This Row],[Column7]]), "", node_raw[[#This Row],[Column7]]/100)</f>
        <v/>
      </c>
      <c r="K82" s="142" t="str">
        <f>IF(ISNONTEXT(node_raw[[#This Row],[Column8]]), "", node_raw[[#This Row],[Column8]]/100)</f>
        <v/>
      </c>
      <c r="L82" s="143" t="str">
        <f>IF(ISNONTEXT(node_raw[[#This Row],[Column9]]), "", node_raw[[#This Row],[Column9]]/1)</f>
        <v/>
      </c>
      <c r="M82" s="144" t="str">
        <f>IF(ISNONTEXT(node_raw[[#This Row],[Column10]]), "", node_raw[[#This Row],[Column10]]/1)</f>
        <v/>
      </c>
    </row>
    <row r="83" spans="2:13" ht="15.75" customHeight="1" x14ac:dyDescent="0.25">
      <c r="B83" s="30" t="str">
        <f>IF(ISNONTEXT(node_raw[[#This Row],[Column1]]), "", node_raw[[#This Row],[Column1]])</f>
        <v/>
      </c>
      <c r="C83" s="27" t="str">
        <f>IF(ISNONTEXT(node_raw[[#This Row],[Column2]]), "", node_raw[[#This Row],[Column2]])</f>
        <v/>
      </c>
      <c r="D83" s="54" t="str">
        <f>IF(ISNUMBER(node_raw[[#This Row],[Column3]]), node_raw[[#This Row],[Column3]],"")</f>
        <v/>
      </c>
      <c r="E83" s="57" t="str">
        <f>IF(ISNUMBER(node_raw[[#This Row],[Column4]]), node_raw[[#This Row],[Column4]]/1048576,"")</f>
        <v/>
      </c>
      <c r="F83" s="139" t="str">
        <f>IF(ISNUMBER(node_raw[[#This Row],[Column5]]), node_raw[[#This Row],[Column5]],"")</f>
        <v/>
      </c>
      <c r="G83" s="153" t="str">
        <f t="shared" si="2"/>
        <v/>
      </c>
      <c r="H83" s="140" t="str">
        <f>IF(ISNUMBER(node_raw[[#This Row],[Column6]]), node_raw[[#This Row],[Column6]]/1048576,"")</f>
        <v/>
      </c>
      <c r="I83" s="157" t="str">
        <f t="shared" si="3"/>
        <v/>
      </c>
      <c r="J83" s="141" t="str">
        <f>IF(ISNONTEXT(node_raw[[#This Row],[Column7]]), "", node_raw[[#This Row],[Column7]]/100)</f>
        <v/>
      </c>
      <c r="K83" s="142" t="str">
        <f>IF(ISNONTEXT(node_raw[[#This Row],[Column8]]), "", node_raw[[#This Row],[Column8]]/100)</f>
        <v/>
      </c>
      <c r="L83" s="143" t="str">
        <f>IF(ISNONTEXT(node_raw[[#This Row],[Column9]]), "", node_raw[[#This Row],[Column9]]/1)</f>
        <v/>
      </c>
      <c r="M83" s="144" t="str">
        <f>IF(ISNONTEXT(node_raw[[#This Row],[Column10]]), "", node_raw[[#This Row],[Column10]]/1)</f>
        <v/>
      </c>
    </row>
    <row r="84" spans="2:13" ht="15.75" customHeight="1" x14ac:dyDescent="0.25">
      <c r="B84" s="30" t="str">
        <f>IF(ISNONTEXT(node_raw[[#This Row],[Column1]]), "", node_raw[[#This Row],[Column1]])</f>
        <v/>
      </c>
      <c r="C84" s="27" t="str">
        <f>IF(ISNONTEXT(node_raw[[#This Row],[Column2]]), "", node_raw[[#This Row],[Column2]])</f>
        <v/>
      </c>
      <c r="D84" s="54" t="str">
        <f>IF(ISNUMBER(node_raw[[#This Row],[Column3]]), node_raw[[#This Row],[Column3]],"")</f>
        <v/>
      </c>
      <c r="E84" s="57" t="str">
        <f>IF(ISNUMBER(node_raw[[#This Row],[Column4]]), node_raw[[#This Row],[Column4]]/1048576,"")</f>
        <v/>
      </c>
      <c r="F84" s="139" t="str">
        <f>IF(ISNUMBER(node_raw[[#This Row],[Column5]]), node_raw[[#This Row],[Column5]],"")</f>
        <v/>
      </c>
      <c r="G84" s="153" t="str">
        <f t="shared" si="2"/>
        <v/>
      </c>
      <c r="H84" s="140" t="str">
        <f>IF(ISNUMBER(node_raw[[#This Row],[Column6]]), node_raw[[#This Row],[Column6]]/1048576,"")</f>
        <v/>
      </c>
      <c r="I84" s="157" t="str">
        <f t="shared" si="3"/>
        <v/>
      </c>
      <c r="J84" s="141" t="str">
        <f>IF(ISNONTEXT(node_raw[[#This Row],[Column7]]), "", node_raw[[#This Row],[Column7]]/100)</f>
        <v/>
      </c>
      <c r="K84" s="142" t="str">
        <f>IF(ISNONTEXT(node_raw[[#This Row],[Column8]]), "", node_raw[[#This Row],[Column8]]/100)</f>
        <v/>
      </c>
      <c r="L84" s="143" t="str">
        <f>IF(ISNONTEXT(node_raw[[#This Row],[Column9]]), "", node_raw[[#This Row],[Column9]]/1)</f>
        <v/>
      </c>
      <c r="M84" s="144" t="str">
        <f>IF(ISNONTEXT(node_raw[[#This Row],[Column10]]), "", node_raw[[#This Row],[Column10]]/1)</f>
        <v/>
      </c>
    </row>
    <row r="85" spans="2:13" ht="15.75" customHeight="1" x14ac:dyDescent="0.25">
      <c r="B85" s="30" t="str">
        <f>IF(ISNONTEXT(node_raw[[#This Row],[Column1]]), "", node_raw[[#This Row],[Column1]])</f>
        <v/>
      </c>
      <c r="C85" s="27" t="str">
        <f>IF(ISNONTEXT(node_raw[[#This Row],[Column2]]), "", node_raw[[#This Row],[Column2]])</f>
        <v/>
      </c>
      <c r="D85" s="54" t="str">
        <f>IF(ISNUMBER(node_raw[[#This Row],[Column3]]), node_raw[[#This Row],[Column3]],"")</f>
        <v/>
      </c>
      <c r="E85" s="57" t="str">
        <f>IF(ISNUMBER(node_raw[[#This Row],[Column4]]), node_raw[[#This Row],[Column4]]/1048576,"")</f>
        <v/>
      </c>
      <c r="F85" s="139" t="str">
        <f>IF(ISNUMBER(node_raw[[#This Row],[Column5]]), node_raw[[#This Row],[Column5]],"")</f>
        <v/>
      </c>
      <c r="G85" s="153" t="str">
        <f t="shared" si="2"/>
        <v/>
      </c>
      <c r="H85" s="140" t="str">
        <f>IF(ISNUMBER(node_raw[[#This Row],[Column6]]), node_raw[[#This Row],[Column6]]/1048576,"")</f>
        <v/>
      </c>
      <c r="I85" s="157" t="str">
        <f t="shared" si="3"/>
        <v/>
      </c>
      <c r="J85" s="141" t="str">
        <f>IF(ISNONTEXT(node_raw[[#This Row],[Column7]]), "", node_raw[[#This Row],[Column7]]/100)</f>
        <v/>
      </c>
      <c r="K85" s="142" t="str">
        <f>IF(ISNONTEXT(node_raw[[#This Row],[Column8]]), "", node_raw[[#This Row],[Column8]]/100)</f>
        <v/>
      </c>
      <c r="L85" s="143" t="str">
        <f>IF(ISNONTEXT(node_raw[[#This Row],[Column9]]), "", node_raw[[#This Row],[Column9]]/1)</f>
        <v/>
      </c>
      <c r="M85" s="144" t="str">
        <f>IF(ISNONTEXT(node_raw[[#This Row],[Column10]]), "", node_raw[[#This Row],[Column10]]/1)</f>
        <v/>
      </c>
    </row>
    <row r="86" spans="2:13" ht="15.75" customHeight="1" x14ac:dyDescent="0.25">
      <c r="B86" s="30" t="str">
        <f>IF(ISNONTEXT(node_raw[[#This Row],[Column1]]), "", node_raw[[#This Row],[Column1]])</f>
        <v/>
      </c>
      <c r="C86" s="27" t="str">
        <f>IF(ISNONTEXT(node_raw[[#This Row],[Column2]]), "", node_raw[[#This Row],[Column2]])</f>
        <v/>
      </c>
      <c r="D86" s="54" t="str">
        <f>IF(ISNUMBER(node_raw[[#This Row],[Column3]]), node_raw[[#This Row],[Column3]],"")</f>
        <v/>
      </c>
      <c r="E86" s="57" t="str">
        <f>IF(ISNUMBER(node_raw[[#This Row],[Column4]]), node_raw[[#This Row],[Column4]]/1048576,"")</f>
        <v/>
      </c>
      <c r="F86" s="139" t="str">
        <f>IF(ISNUMBER(node_raw[[#This Row],[Column5]]), node_raw[[#This Row],[Column5]],"")</f>
        <v/>
      </c>
      <c r="G86" s="153" t="str">
        <f t="shared" si="2"/>
        <v/>
      </c>
      <c r="H86" s="140" t="str">
        <f>IF(ISNUMBER(node_raw[[#This Row],[Column6]]), node_raw[[#This Row],[Column6]]/1048576,"")</f>
        <v/>
      </c>
      <c r="I86" s="157" t="str">
        <f t="shared" si="3"/>
        <v/>
      </c>
      <c r="J86" s="141" t="str">
        <f>IF(ISNONTEXT(node_raw[[#This Row],[Column7]]), "", node_raw[[#This Row],[Column7]]/100)</f>
        <v/>
      </c>
      <c r="K86" s="142" t="str">
        <f>IF(ISNONTEXT(node_raw[[#This Row],[Column8]]), "", node_raw[[#This Row],[Column8]]/100)</f>
        <v/>
      </c>
      <c r="L86" s="143" t="str">
        <f>IF(ISNONTEXT(node_raw[[#This Row],[Column9]]), "", node_raw[[#This Row],[Column9]]/1)</f>
        <v/>
      </c>
      <c r="M86" s="144" t="str">
        <f>IF(ISNONTEXT(node_raw[[#This Row],[Column10]]), "", node_raw[[#This Row],[Column10]]/1)</f>
        <v/>
      </c>
    </row>
    <row r="87" spans="2:13" ht="15.75" customHeight="1" x14ac:dyDescent="0.25">
      <c r="B87" s="30" t="str">
        <f>IF(ISNONTEXT(node_raw[[#This Row],[Column1]]), "", node_raw[[#This Row],[Column1]])</f>
        <v/>
      </c>
      <c r="C87" s="27" t="str">
        <f>IF(ISNONTEXT(node_raw[[#This Row],[Column2]]), "", node_raw[[#This Row],[Column2]])</f>
        <v/>
      </c>
      <c r="D87" s="54" t="str">
        <f>IF(ISNUMBER(node_raw[[#This Row],[Column3]]), node_raw[[#This Row],[Column3]],"")</f>
        <v/>
      </c>
      <c r="E87" s="57" t="str">
        <f>IF(ISNUMBER(node_raw[[#This Row],[Column4]]), node_raw[[#This Row],[Column4]]/1048576,"")</f>
        <v/>
      </c>
      <c r="F87" s="139" t="str">
        <f>IF(ISNUMBER(node_raw[[#This Row],[Column5]]), node_raw[[#This Row],[Column5]],"")</f>
        <v/>
      </c>
      <c r="G87" s="153" t="str">
        <f t="shared" si="2"/>
        <v/>
      </c>
      <c r="H87" s="140" t="str">
        <f>IF(ISNUMBER(node_raw[[#This Row],[Column6]]), node_raw[[#This Row],[Column6]]/1048576,"")</f>
        <v/>
      </c>
      <c r="I87" s="157" t="str">
        <f t="shared" si="3"/>
        <v/>
      </c>
      <c r="J87" s="141" t="str">
        <f>IF(ISNONTEXT(node_raw[[#This Row],[Column7]]), "", node_raw[[#This Row],[Column7]]/100)</f>
        <v/>
      </c>
      <c r="K87" s="142" t="str">
        <f>IF(ISNONTEXT(node_raw[[#This Row],[Column8]]), "", node_raw[[#This Row],[Column8]]/100)</f>
        <v/>
      </c>
      <c r="L87" s="143" t="str">
        <f>IF(ISNONTEXT(node_raw[[#This Row],[Column9]]), "", node_raw[[#This Row],[Column9]]/1)</f>
        <v/>
      </c>
      <c r="M87" s="144" t="str">
        <f>IF(ISNONTEXT(node_raw[[#This Row],[Column10]]), "", node_raw[[#This Row],[Column10]]/1)</f>
        <v/>
      </c>
    </row>
    <row r="88" spans="2:13" ht="15.75" customHeight="1" x14ac:dyDescent="0.25">
      <c r="B88" s="30" t="str">
        <f>IF(ISNONTEXT(node_raw[[#This Row],[Column1]]), "", node_raw[[#This Row],[Column1]])</f>
        <v/>
      </c>
      <c r="C88" s="27" t="str">
        <f>IF(ISNONTEXT(node_raw[[#This Row],[Column2]]), "", node_raw[[#This Row],[Column2]])</f>
        <v/>
      </c>
      <c r="D88" s="54" t="str">
        <f>IF(ISNUMBER(node_raw[[#This Row],[Column3]]), node_raw[[#This Row],[Column3]],"")</f>
        <v/>
      </c>
      <c r="E88" s="57" t="str">
        <f>IF(ISNUMBER(node_raw[[#This Row],[Column4]]), node_raw[[#This Row],[Column4]]/1048576,"")</f>
        <v/>
      </c>
      <c r="F88" s="139" t="str">
        <f>IF(ISNUMBER(node_raw[[#This Row],[Column5]]), node_raw[[#This Row],[Column5]],"")</f>
        <v/>
      </c>
      <c r="G88" s="153" t="str">
        <f t="shared" si="2"/>
        <v/>
      </c>
      <c r="H88" s="140" t="str">
        <f>IF(ISNUMBER(node_raw[[#This Row],[Column6]]), node_raw[[#This Row],[Column6]]/1048576,"")</f>
        <v/>
      </c>
      <c r="I88" s="157" t="str">
        <f t="shared" si="3"/>
        <v/>
      </c>
      <c r="J88" s="141" t="str">
        <f>IF(ISNONTEXT(node_raw[[#This Row],[Column7]]), "", node_raw[[#This Row],[Column7]]/100)</f>
        <v/>
      </c>
      <c r="K88" s="142" t="str">
        <f>IF(ISNONTEXT(node_raw[[#This Row],[Column8]]), "", node_raw[[#This Row],[Column8]]/100)</f>
        <v/>
      </c>
      <c r="L88" s="143" t="str">
        <f>IF(ISNONTEXT(node_raw[[#This Row],[Column9]]), "", node_raw[[#This Row],[Column9]]/1)</f>
        <v/>
      </c>
      <c r="M88" s="144" t="str">
        <f>IF(ISNONTEXT(node_raw[[#This Row],[Column10]]), "", node_raw[[#This Row],[Column10]]/1)</f>
        <v/>
      </c>
    </row>
    <row r="89" spans="2:13" ht="15.75" customHeight="1" x14ac:dyDescent="0.25">
      <c r="B89" s="30" t="str">
        <f>IF(ISNONTEXT(node_raw[[#This Row],[Column1]]), "", node_raw[[#This Row],[Column1]])</f>
        <v/>
      </c>
      <c r="C89" s="27" t="str">
        <f>IF(ISNONTEXT(node_raw[[#This Row],[Column2]]), "", node_raw[[#This Row],[Column2]])</f>
        <v/>
      </c>
      <c r="D89" s="54" t="str">
        <f>IF(ISNUMBER(node_raw[[#This Row],[Column3]]), node_raw[[#This Row],[Column3]],"")</f>
        <v/>
      </c>
      <c r="E89" s="57" t="str">
        <f>IF(ISNUMBER(node_raw[[#This Row],[Column4]]), node_raw[[#This Row],[Column4]]/1048576,"")</f>
        <v/>
      </c>
      <c r="F89" s="139" t="str">
        <f>IF(ISNUMBER(node_raw[[#This Row],[Column5]]), node_raw[[#This Row],[Column5]],"")</f>
        <v/>
      </c>
      <c r="G89" s="153" t="str">
        <f t="shared" si="2"/>
        <v/>
      </c>
      <c r="H89" s="140" t="str">
        <f>IF(ISNUMBER(node_raw[[#This Row],[Column6]]), node_raw[[#This Row],[Column6]]/1048576,"")</f>
        <v/>
      </c>
      <c r="I89" s="157" t="str">
        <f t="shared" si="3"/>
        <v/>
      </c>
      <c r="J89" s="141" t="str">
        <f>IF(ISNONTEXT(node_raw[[#This Row],[Column7]]), "", node_raw[[#This Row],[Column7]]/100)</f>
        <v/>
      </c>
      <c r="K89" s="142" t="str">
        <f>IF(ISNONTEXT(node_raw[[#This Row],[Column8]]), "", node_raw[[#This Row],[Column8]]/100)</f>
        <v/>
      </c>
      <c r="L89" s="143" t="str">
        <f>IF(ISNONTEXT(node_raw[[#This Row],[Column9]]), "", node_raw[[#This Row],[Column9]]/1)</f>
        <v/>
      </c>
      <c r="M89" s="144" t="str">
        <f>IF(ISNONTEXT(node_raw[[#This Row],[Column10]]), "", node_raw[[#This Row],[Column10]]/1)</f>
        <v/>
      </c>
    </row>
    <row r="90" spans="2:13" ht="15.75" customHeight="1" x14ac:dyDescent="0.25">
      <c r="B90" s="30" t="str">
        <f>IF(ISNONTEXT(node_raw[[#This Row],[Column1]]), "", node_raw[[#This Row],[Column1]])</f>
        <v/>
      </c>
      <c r="C90" s="27" t="str">
        <f>IF(ISNONTEXT(node_raw[[#This Row],[Column2]]), "", node_raw[[#This Row],[Column2]])</f>
        <v/>
      </c>
      <c r="D90" s="54" t="str">
        <f>IF(ISNUMBER(node_raw[[#This Row],[Column3]]), node_raw[[#This Row],[Column3]],"")</f>
        <v/>
      </c>
      <c r="E90" s="57" t="str">
        <f>IF(ISNUMBER(node_raw[[#This Row],[Column4]]), node_raw[[#This Row],[Column4]]/1048576,"")</f>
        <v/>
      </c>
      <c r="F90" s="139" t="str">
        <f>IF(ISNUMBER(node_raw[[#This Row],[Column5]]), node_raw[[#This Row],[Column5]],"")</f>
        <v/>
      </c>
      <c r="G90" s="153" t="str">
        <f t="shared" si="2"/>
        <v/>
      </c>
      <c r="H90" s="140" t="str">
        <f>IF(ISNUMBER(node_raw[[#This Row],[Column6]]), node_raw[[#This Row],[Column6]]/1048576,"")</f>
        <v/>
      </c>
      <c r="I90" s="157" t="str">
        <f t="shared" si="3"/>
        <v/>
      </c>
      <c r="J90" s="141" t="str">
        <f>IF(ISNONTEXT(node_raw[[#This Row],[Column7]]), "", node_raw[[#This Row],[Column7]]/100)</f>
        <v/>
      </c>
      <c r="K90" s="142" t="str">
        <f>IF(ISNONTEXT(node_raw[[#This Row],[Column8]]), "", node_raw[[#This Row],[Column8]]/100)</f>
        <v/>
      </c>
      <c r="L90" s="143" t="str">
        <f>IF(ISNONTEXT(node_raw[[#This Row],[Column9]]), "", node_raw[[#This Row],[Column9]]/1)</f>
        <v/>
      </c>
      <c r="M90" s="144" t="str">
        <f>IF(ISNONTEXT(node_raw[[#This Row],[Column10]]), "", node_raw[[#This Row],[Column10]]/1)</f>
        <v/>
      </c>
    </row>
    <row r="91" spans="2:13" ht="15.75" customHeight="1" x14ac:dyDescent="0.25">
      <c r="B91" s="30" t="str">
        <f>IF(ISNONTEXT(node_raw[[#This Row],[Column1]]), "", node_raw[[#This Row],[Column1]])</f>
        <v/>
      </c>
      <c r="C91" s="27" t="str">
        <f>IF(ISNONTEXT(node_raw[[#This Row],[Column2]]), "", node_raw[[#This Row],[Column2]])</f>
        <v/>
      </c>
      <c r="D91" s="54" t="str">
        <f>IF(ISNUMBER(node_raw[[#This Row],[Column3]]), node_raw[[#This Row],[Column3]],"")</f>
        <v/>
      </c>
      <c r="E91" s="57" t="str">
        <f>IF(ISNUMBER(node_raw[[#This Row],[Column4]]), node_raw[[#This Row],[Column4]]/1048576,"")</f>
        <v/>
      </c>
      <c r="F91" s="139" t="str">
        <f>IF(ISNUMBER(node_raw[[#This Row],[Column5]]), node_raw[[#This Row],[Column5]],"")</f>
        <v/>
      </c>
      <c r="G91" s="153" t="str">
        <f t="shared" si="2"/>
        <v/>
      </c>
      <c r="H91" s="140" t="str">
        <f>IF(ISNUMBER(node_raw[[#This Row],[Column6]]), node_raw[[#This Row],[Column6]]/1048576,"")</f>
        <v/>
      </c>
      <c r="I91" s="157" t="str">
        <f t="shared" si="3"/>
        <v/>
      </c>
      <c r="J91" s="141" t="str">
        <f>IF(ISNONTEXT(node_raw[[#This Row],[Column7]]), "", node_raw[[#This Row],[Column7]]/100)</f>
        <v/>
      </c>
      <c r="K91" s="142" t="str">
        <f>IF(ISNONTEXT(node_raw[[#This Row],[Column8]]), "", node_raw[[#This Row],[Column8]]/100)</f>
        <v/>
      </c>
      <c r="L91" s="143" t="str">
        <f>IF(ISNONTEXT(node_raw[[#This Row],[Column9]]), "", node_raw[[#This Row],[Column9]]/1)</f>
        <v/>
      </c>
      <c r="M91" s="144" t="str">
        <f>IF(ISNONTEXT(node_raw[[#This Row],[Column10]]), "", node_raw[[#This Row],[Column10]]/1)</f>
        <v/>
      </c>
    </row>
    <row r="92" spans="2:13" ht="15.75" customHeight="1" x14ac:dyDescent="0.25">
      <c r="B92" s="30" t="str">
        <f>IF(ISNONTEXT(node_raw[[#This Row],[Column1]]), "", node_raw[[#This Row],[Column1]])</f>
        <v/>
      </c>
      <c r="C92" s="27" t="str">
        <f>IF(ISNONTEXT(node_raw[[#This Row],[Column2]]), "", node_raw[[#This Row],[Column2]])</f>
        <v/>
      </c>
      <c r="D92" s="54" t="str">
        <f>IF(ISNUMBER(node_raw[[#This Row],[Column3]]), node_raw[[#This Row],[Column3]],"")</f>
        <v/>
      </c>
      <c r="E92" s="57" t="str">
        <f>IF(ISNUMBER(node_raw[[#This Row],[Column4]]), node_raw[[#This Row],[Column4]]/1048576,"")</f>
        <v/>
      </c>
      <c r="F92" s="139" t="str">
        <f>IF(ISNUMBER(node_raw[[#This Row],[Column5]]), node_raw[[#This Row],[Column5]],"")</f>
        <v/>
      </c>
      <c r="G92" s="153" t="str">
        <f t="shared" si="2"/>
        <v/>
      </c>
      <c r="H92" s="140" t="str">
        <f>IF(ISNUMBER(node_raw[[#This Row],[Column6]]), node_raw[[#This Row],[Column6]]/1048576,"")</f>
        <v/>
      </c>
      <c r="I92" s="157" t="str">
        <f t="shared" si="3"/>
        <v/>
      </c>
      <c r="J92" s="141" t="str">
        <f>IF(ISNONTEXT(node_raw[[#This Row],[Column7]]), "", node_raw[[#This Row],[Column7]]/100)</f>
        <v/>
      </c>
      <c r="K92" s="142" t="str">
        <f>IF(ISNONTEXT(node_raw[[#This Row],[Column8]]), "", node_raw[[#This Row],[Column8]]/100)</f>
        <v/>
      </c>
      <c r="L92" s="143" t="str">
        <f>IF(ISNONTEXT(node_raw[[#This Row],[Column9]]), "", node_raw[[#This Row],[Column9]]/1)</f>
        <v/>
      </c>
      <c r="M92" s="144" t="str">
        <f>IF(ISNONTEXT(node_raw[[#This Row],[Column10]]), "", node_raw[[#This Row],[Column10]]/1)</f>
        <v/>
      </c>
    </row>
    <row r="93" spans="2:13" ht="15.75" customHeight="1" x14ac:dyDescent="0.25">
      <c r="B93" s="30" t="str">
        <f>IF(ISNONTEXT(node_raw[[#This Row],[Column1]]), "", node_raw[[#This Row],[Column1]])</f>
        <v/>
      </c>
      <c r="C93" s="27" t="str">
        <f>IF(ISNONTEXT(node_raw[[#This Row],[Column2]]), "", node_raw[[#This Row],[Column2]])</f>
        <v/>
      </c>
      <c r="D93" s="54" t="str">
        <f>IF(ISNUMBER(node_raw[[#This Row],[Column3]]), node_raw[[#This Row],[Column3]],"")</f>
        <v/>
      </c>
      <c r="E93" s="57" t="str">
        <f>IF(ISNUMBER(node_raw[[#This Row],[Column4]]), node_raw[[#This Row],[Column4]]/1048576,"")</f>
        <v/>
      </c>
      <c r="F93" s="139" t="str">
        <f>IF(ISNUMBER(node_raw[[#This Row],[Column5]]), node_raw[[#This Row],[Column5]],"")</f>
        <v/>
      </c>
      <c r="G93" s="153" t="str">
        <f t="shared" si="2"/>
        <v/>
      </c>
      <c r="H93" s="140" t="str">
        <f>IF(ISNUMBER(node_raw[[#This Row],[Column6]]), node_raw[[#This Row],[Column6]]/1048576,"")</f>
        <v/>
      </c>
      <c r="I93" s="157" t="str">
        <f t="shared" si="3"/>
        <v/>
      </c>
      <c r="J93" s="141" t="str">
        <f>IF(ISNONTEXT(node_raw[[#This Row],[Column7]]), "", node_raw[[#This Row],[Column7]]/100)</f>
        <v/>
      </c>
      <c r="K93" s="142" t="str">
        <f>IF(ISNONTEXT(node_raw[[#This Row],[Column8]]), "", node_raw[[#This Row],[Column8]]/100)</f>
        <v/>
      </c>
      <c r="L93" s="143" t="str">
        <f>IF(ISNONTEXT(node_raw[[#This Row],[Column9]]), "", node_raw[[#This Row],[Column9]]/1)</f>
        <v/>
      </c>
      <c r="M93" s="144" t="str">
        <f>IF(ISNONTEXT(node_raw[[#This Row],[Column10]]), "", node_raw[[#This Row],[Column10]]/1)</f>
        <v/>
      </c>
    </row>
    <row r="94" spans="2:13" ht="15.75" customHeight="1" x14ac:dyDescent="0.25">
      <c r="B94" s="30" t="str">
        <f>IF(ISNONTEXT(node_raw[[#This Row],[Column1]]), "", node_raw[[#This Row],[Column1]])</f>
        <v/>
      </c>
      <c r="C94" s="27" t="str">
        <f>IF(ISNONTEXT(node_raw[[#This Row],[Column2]]), "", node_raw[[#This Row],[Column2]])</f>
        <v/>
      </c>
      <c r="D94" s="54" t="str">
        <f>IF(ISNUMBER(node_raw[[#This Row],[Column3]]), node_raw[[#This Row],[Column3]],"")</f>
        <v/>
      </c>
      <c r="E94" s="57" t="str">
        <f>IF(ISNUMBER(node_raw[[#This Row],[Column4]]), node_raw[[#This Row],[Column4]]/1048576,"")</f>
        <v/>
      </c>
      <c r="F94" s="139" t="str">
        <f>IF(ISNUMBER(node_raw[[#This Row],[Column5]]), node_raw[[#This Row],[Column5]],"")</f>
        <v/>
      </c>
      <c r="G94" s="153" t="str">
        <f t="shared" si="2"/>
        <v/>
      </c>
      <c r="H94" s="140" t="str">
        <f>IF(ISNUMBER(node_raw[[#This Row],[Column6]]), node_raw[[#This Row],[Column6]]/1048576,"")</f>
        <v/>
      </c>
      <c r="I94" s="157" t="str">
        <f t="shared" si="3"/>
        <v/>
      </c>
      <c r="J94" s="141" t="str">
        <f>IF(ISNONTEXT(node_raw[[#This Row],[Column7]]), "", node_raw[[#This Row],[Column7]]/100)</f>
        <v/>
      </c>
      <c r="K94" s="142" t="str">
        <f>IF(ISNONTEXT(node_raw[[#This Row],[Column8]]), "", node_raw[[#This Row],[Column8]]/100)</f>
        <v/>
      </c>
      <c r="L94" s="143" t="str">
        <f>IF(ISNONTEXT(node_raw[[#This Row],[Column9]]), "", node_raw[[#This Row],[Column9]]/1)</f>
        <v/>
      </c>
      <c r="M94" s="144" t="str">
        <f>IF(ISNONTEXT(node_raw[[#This Row],[Column10]]), "", node_raw[[#This Row],[Column10]]/1)</f>
        <v/>
      </c>
    </row>
    <row r="95" spans="2:13" ht="15.75" customHeight="1" x14ac:dyDescent="0.25">
      <c r="B95" s="30" t="str">
        <f>IF(ISNONTEXT(node_raw[[#This Row],[Column1]]), "", node_raw[[#This Row],[Column1]])</f>
        <v/>
      </c>
      <c r="C95" s="27" t="str">
        <f>IF(ISNONTEXT(node_raw[[#This Row],[Column2]]), "", node_raw[[#This Row],[Column2]])</f>
        <v/>
      </c>
      <c r="D95" s="54" t="str">
        <f>IF(ISNUMBER(node_raw[[#This Row],[Column3]]), node_raw[[#This Row],[Column3]],"")</f>
        <v/>
      </c>
      <c r="E95" s="57" t="str">
        <f>IF(ISNUMBER(node_raw[[#This Row],[Column4]]), node_raw[[#This Row],[Column4]]/1048576,"")</f>
        <v/>
      </c>
      <c r="F95" s="139" t="str">
        <f>IF(ISNUMBER(node_raw[[#This Row],[Column5]]), node_raw[[#This Row],[Column5]],"")</f>
        <v/>
      </c>
      <c r="G95" s="153" t="str">
        <f t="shared" si="2"/>
        <v/>
      </c>
      <c r="H95" s="140" t="str">
        <f>IF(ISNUMBER(node_raw[[#This Row],[Column6]]), node_raw[[#This Row],[Column6]]/1048576,"")</f>
        <v/>
      </c>
      <c r="I95" s="157" t="str">
        <f t="shared" si="3"/>
        <v/>
      </c>
      <c r="J95" s="141" t="str">
        <f>IF(ISNONTEXT(node_raw[[#This Row],[Column7]]), "", node_raw[[#This Row],[Column7]]/100)</f>
        <v/>
      </c>
      <c r="K95" s="142" t="str">
        <f>IF(ISNONTEXT(node_raw[[#This Row],[Column8]]), "", node_raw[[#This Row],[Column8]]/100)</f>
        <v/>
      </c>
      <c r="L95" s="143" t="str">
        <f>IF(ISNONTEXT(node_raw[[#This Row],[Column9]]), "", node_raw[[#This Row],[Column9]]/1)</f>
        <v/>
      </c>
      <c r="M95" s="144" t="str">
        <f>IF(ISNONTEXT(node_raw[[#This Row],[Column10]]), "", node_raw[[#This Row],[Column10]]/1)</f>
        <v/>
      </c>
    </row>
    <row r="96" spans="2:13" ht="15.75" customHeight="1" x14ac:dyDescent="0.25">
      <c r="B96" s="30" t="str">
        <f>IF(ISNONTEXT(node_raw[[#This Row],[Column1]]), "", node_raw[[#This Row],[Column1]])</f>
        <v/>
      </c>
      <c r="C96" s="27" t="str">
        <f>IF(ISNONTEXT(node_raw[[#This Row],[Column2]]), "", node_raw[[#This Row],[Column2]])</f>
        <v/>
      </c>
      <c r="D96" s="54" t="str">
        <f>IF(ISNUMBER(node_raw[[#This Row],[Column3]]), node_raw[[#This Row],[Column3]],"")</f>
        <v/>
      </c>
      <c r="E96" s="57" t="str">
        <f>IF(ISNUMBER(node_raw[[#This Row],[Column4]]), node_raw[[#This Row],[Column4]]/1048576,"")</f>
        <v/>
      </c>
      <c r="F96" s="139" t="str">
        <f>IF(ISNUMBER(node_raw[[#This Row],[Column5]]), node_raw[[#This Row],[Column5]],"")</f>
        <v/>
      </c>
      <c r="G96" s="153" t="str">
        <f t="shared" si="2"/>
        <v/>
      </c>
      <c r="H96" s="140" t="str">
        <f>IF(ISNUMBER(node_raw[[#This Row],[Column6]]), node_raw[[#This Row],[Column6]]/1048576,"")</f>
        <v/>
      </c>
      <c r="I96" s="157" t="str">
        <f t="shared" si="3"/>
        <v/>
      </c>
      <c r="J96" s="141" t="str">
        <f>IF(ISNONTEXT(node_raw[[#This Row],[Column7]]), "", node_raw[[#This Row],[Column7]]/100)</f>
        <v/>
      </c>
      <c r="K96" s="142" t="str">
        <f>IF(ISNONTEXT(node_raw[[#This Row],[Column8]]), "", node_raw[[#This Row],[Column8]]/100)</f>
        <v/>
      </c>
      <c r="L96" s="143" t="str">
        <f>IF(ISNONTEXT(node_raw[[#This Row],[Column9]]), "", node_raw[[#This Row],[Column9]]/1)</f>
        <v/>
      </c>
      <c r="M96" s="144" t="str">
        <f>IF(ISNONTEXT(node_raw[[#This Row],[Column10]]), "", node_raw[[#This Row],[Column10]]/1)</f>
        <v/>
      </c>
    </row>
    <row r="97" spans="2:13" ht="15.75" customHeight="1" x14ac:dyDescent="0.25">
      <c r="B97" s="30" t="str">
        <f>IF(ISNONTEXT(node_raw[[#This Row],[Column1]]), "", node_raw[[#This Row],[Column1]])</f>
        <v/>
      </c>
      <c r="C97" s="27" t="str">
        <f>IF(ISNONTEXT(node_raw[[#This Row],[Column2]]), "", node_raw[[#This Row],[Column2]])</f>
        <v/>
      </c>
      <c r="D97" s="54" t="str">
        <f>IF(ISNUMBER(node_raw[[#This Row],[Column3]]), node_raw[[#This Row],[Column3]],"")</f>
        <v/>
      </c>
      <c r="E97" s="57" t="str">
        <f>IF(ISNUMBER(node_raw[[#This Row],[Column4]]), node_raw[[#This Row],[Column4]]/1048576,"")</f>
        <v/>
      </c>
      <c r="F97" s="139" t="str">
        <f>IF(ISNUMBER(node_raw[[#This Row],[Column5]]), node_raw[[#This Row],[Column5]],"")</f>
        <v/>
      </c>
      <c r="G97" s="153" t="str">
        <f t="shared" si="2"/>
        <v/>
      </c>
      <c r="H97" s="140" t="str">
        <f>IF(ISNUMBER(node_raw[[#This Row],[Column6]]), node_raw[[#This Row],[Column6]]/1048576,"")</f>
        <v/>
      </c>
      <c r="I97" s="157" t="str">
        <f t="shared" si="3"/>
        <v/>
      </c>
      <c r="J97" s="141" t="str">
        <f>IF(ISNONTEXT(node_raw[[#This Row],[Column7]]), "", node_raw[[#This Row],[Column7]]/100)</f>
        <v/>
      </c>
      <c r="K97" s="142" t="str">
        <f>IF(ISNONTEXT(node_raw[[#This Row],[Column8]]), "", node_raw[[#This Row],[Column8]]/100)</f>
        <v/>
      </c>
      <c r="L97" s="143" t="str">
        <f>IF(ISNONTEXT(node_raw[[#This Row],[Column9]]), "", node_raw[[#This Row],[Column9]]/1)</f>
        <v/>
      </c>
      <c r="M97" s="144" t="str">
        <f>IF(ISNONTEXT(node_raw[[#This Row],[Column10]]), "", node_raw[[#This Row],[Column10]]/1)</f>
        <v/>
      </c>
    </row>
    <row r="98" spans="2:13" ht="15.75" customHeight="1" x14ac:dyDescent="0.25">
      <c r="B98" s="30" t="str">
        <f>IF(ISNONTEXT(node_raw[[#This Row],[Column1]]), "", node_raw[[#This Row],[Column1]])</f>
        <v/>
      </c>
      <c r="C98" s="27" t="str">
        <f>IF(ISNONTEXT(node_raw[[#This Row],[Column2]]), "", node_raw[[#This Row],[Column2]])</f>
        <v/>
      </c>
      <c r="D98" s="54" t="str">
        <f>IF(ISNUMBER(node_raw[[#This Row],[Column3]]), node_raw[[#This Row],[Column3]],"")</f>
        <v/>
      </c>
      <c r="E98" s="57" t="str">
        <f>IF(ISNUMBER(node_raw[[#This Row],[Column4]]), node_raw[[#This Row],[Column4]]/1048576,"")</f>
        <v/>
      </c>
      <c r="F98" s="139" t="str">
        <f>IF(ISNUMBER(node_raw[[#This Row],[Column5]]), node_raw[[#This Row],[Column5]],"")</f>
        <v/>
      </c>
      <c r="G98" s="153" t="str">
        <f t="shared" si="2"/>
        <v/>
      </c>
      <c r="H98" s="140" t="str">
        <f>IF(ISNUMBER(node_raw[[#This Row],[Column6]]), node_raw[[#This Row],[Column6]]/1048576,"")</f>
        <v/>
      </c>
      <c r="I98" s="157" t="str">
        <f t="shared" si="3"/>
        <v/>
      </c>
      <c r="J98" s="141" t="str">
        <f>IF(ISNONTEXT(node_raw[[#This Row],[Column7]]), "", node_raw[[#This Row],[Column7]]/100)</f>
        <v/>
      </c>
      <c r="K98" s="142" t="str">
        <f>IF(ISNONTEXT(node_raw[[#This Row],[Column8]]), "", node_raw[[#This Row],[Column8]]/100)</f>
        <v/>
      </c>
      <c r="L98" s="143" t="str">
        <f>IF(ISNONTEXT(node_raw[[#This Row],[Column9]]), "", node_raw[[#This Row],[Column9]]/1)</f>
        <v/>
      </c>
      <c r="M98" s="144" t="str">
        <f>IF(ISNONTEXT(node_raw[[#This Row],[Column10]]), "", node_raw[[#This Row],[Column10]]/1)</f>
        <v/>
      </c>
    </row>
    <row r="99" spans="2:13" ht="15.75" customHeight="1" x14ac:dyDescent="0.25">
      <c r="B99" s="30" t="str">
        <f>IF(ISNONTEXT(node_raw[[#This Row],[Column1]]), "", node_raw[[#This Row],[Column1]])</f>
        <v/>
      </c>
      <c r="C99" s="27" t="str">
        <f>IF(ISNONTEXT(node_raw[[#This Row],[Column2]]), "", node_raw[[#This Row],[Column2]])</f>
        <v/>
      </c>
      <c r="D99" s="54" t="str">
        <f>IF(ISNUMBER(node_raw[[#This Row],[Column3]]), node_raw[[#This Row],[Column3]],"")</f>
        <v/>
      </c>
      <c r="E99" s="57" t="str">
        <f>IF(ISNUMBER(node_raw[[#This Row],[Column4]]), node_raw[[#This Row],[Column4]]/1048576,"")</f>
        <v/>
      </c>
      <c r="F99" s="139" t="str">
        <f>IF(ISNUMBER(node_raw[[#This Row],[Column5]]), node_raw[[#This Row],[Column5]],"")</f>
        <v/>
      </c>
      <c r="G99" s="153" t="str">
        <f t="shared" si="2"/>
        <v/>
      </c>
      <c r="H99" s="140" t="str">
        <f>IF(ISNUMBER(node_raw[[#This Row],[Column6]]), node_raw[[#This Row],[Column6]]/1048576,"")</f>
        <v/>
      </c>
      <c r="I99" s="157" t="str">
        <f t="shared" si="3"/>
        <v/>
      </c>
      <c r="J99" s="141" t="str">
        <f>IF(ISNONTEXT(node_raw[[#This Row],[Column7]]), "", node_raw[[#This Row],[Column7]]/100)</f>
        <v/>
      </c>
      <c r="K99" s="142" t="str">
        <f>IF(ISNONTEXT(node_raw[[#This Row],[Column8]]), "", node_raw[[#This Row],[Column8]]/100)</f>
        <v/>
      </c>
      <c r="L99" s="143" t="str">
        <f>IF(ISNONTEXT(node_raw[[#This Row],[Column9]]), "", node_raw[[#This Row],[Column9]]/1)</f>
        <v/>
      </c>
      <c r="M99" s="144" t="str">
        <f>IF(ISNONTEXT(node_raw[[#This Row],[Column10]]), "", node_raw[[#This Row],[Column10]]/1)</f>
        <v/>
      </c>
    </row>
    <row r="100" spans="2:13" ht="15.75" customHeight="1" x14ac:dyDescent="0.25">
      <c r="B100" s="30" t="str">
        <f>IF(ISNONTEXT(node_raw[[#This Row],[Column1]]), "", node_raw[[#This Row],[Column1]])</f>
        <v/>
      </c>
      <c r="C100" s="27" t="str">
        <f>IF(ISNONTEXT(node_raw[[#This Row],[Column2]]), "", node_raw[[#This Row],[Column2]])</f>
        <v/>
      </c>
      <c r="D100" s="54" t="str">
        <f>IF(ISNUMBER(node_raw[[#This Row],[Column3]]), node_raw[[#This Row],[Column3]],"")</f>
        <v/>
      </c>
      <c r="E100" s="57" t="str">
        <f>IF(ISNUMBER(node_raw[[#This Row],[Column4]]), node_raw[[#This Row],[Column4]]/1048576,"")</f>
        <v/>
      </c>
      <c r="F100" s="139" t="str">
        <f>IF(ISNUMBER(node_raw[[#This Row],[Column5]]), node_raw[[#This Row],[Column5]],"")</f>
        <v/>
      </c>
      <c r="G100" s="153" t="str">
        <f t="shared" si="2"/>
        <v/>
      </c>
      <c r="H100" s="140" t="str">
        <f>IF(ISNUMBER(node_raw[[#This Row],[Column6]]), node_raw[[#This Row],[Column6]]/1048576,"")</f>
        <v/>
      </c>
      <c r="I100" s="157" t="str">
        <f t="shared" si="3"/>
        <v/>
      </c>
      <c r="J100" s="141" t="str">
        <f>IF(ISNONTEXT(node_raw[[#This Row],[Column7]]), "", node_raw[[#This Row],[Column7]]/100)</f>
        <v/>
      </c>
      <c r="K100" s="142" t="str">
        <f>IF(ISNONTEXT(node_raw[[#This Row],[Column8]]), "", node_raw[[#This Row],[Column8]]/100)</f>
        <v/>
      </c>
      <c r="L100" s="143" t="str">
        <f>IF(ISNONTEXT(node_raw[[#This Row],[Column9]]), "", node_raw[[#This Row],[Column9]]/1)</f>
        <v/>
      </c>
      <c r="M100" s="144" t="str">
        <f>IF(ISNONTEXT(node_raw[[#This Row],[Column10]]), "", node_raw[[#This Row],[Column10]]/1)</f>
        <v/>
      </c>
    </row>
    <row r="101" spans="2:13" ht="15.75" customHeight="1" x14ac:dyDescent="0.25">
      <c r="B101" s="30" t="str">
        <f>IF(ISNONTEXT(node_raw[[#This Row],[Column1]]), "", node_raw[[#This Row],[Column1]])</f>
        <v/>
      </c>
      <c r="C101" s="27" t="str">
        <f>IF(ISNONTEXT(node_raw[[#This Row],[Column2]]), "", node_raw[[#This Row],[Column2]])</f>
        <v/>
      </c>
      <c r="D101" s="54" t="str">
        <f>IF(ISNUMBER(node_raw[[#This Row],[Column3]]), node_raw[[#This Row],[Column3]],"")</f>
        <v/>
      </c>
      <c r="E101" s="57" t="str">
        <f>IF(ISNUMBER(node_raw[[#This Row],[Column4]]), node_raw[[#This Row],[Column4]]/1048576,"")</f>
        <v/>
      </c>
      <c r="F101" s="139" t="str">
        <f>IF(ISNUMBER(node_raw[[#This Row],[Column5]]), node_raw[[#This Row],[Column5]],"")</f>
        <v/>
      </c>
      <c r="G101" s="153" t="str">
        <f t="shared" si="2"/>
        <v/>
      </c>
      <c r="H101" s="140" t="str">
        <f>IF(ISNUMBER(node_raw[[#This Row],[Column6]]), node_raw[[#This Row],[Column6]]/1048576,"")</f>
        <v/>
      </c>
      <c r="I101" s="157" t="str">
        <f t="shared" si="3"/>
        <v/>
      </c>
      <c r="J101" s="141" t="str">
        <f>IF(ISNONTEXT(node_raw[[#This Row],[Column7]]), "", node_raw[[#This Row],[Column7]]/100)</f>
        <v/>
      </c>
      <c r="K101" s="142" t="str">
        <f>IF(ISNONTEXT(node_raw[[#This Row],[Column8]]), "", node_raw[[#This Row],[Column8]]/100)</f>
        <v/>
      </c>
      <c r="L101" s="143" t="str">
        <f>IF(ISNONTEXT(node_raw[[#This Row],[Column9]]), "", node_raw[[#This Row],[Column9]]/1)</f>
        <v/>
      </c>
      <c r="M101" s="144" t="str">
        <f>IF(ISNONTEXT(node_raw[[#This Row],[Column10]]), "", node_raw[[#This Row],[Column10]]/1)</f>
        <v/>
      </c>
    </row>
    <row r="102" spans="2:13" ht="15.75" customHeight="1" x14ac:dyDescent="0.25">
      <c r="B102" s="30" t="str">
        <f>IF(ISNONTEXT(node_raw[[#This Row],[Column1]]), "", node_raw[[#This Row],[Column1]])</f>
        <v/>
      </c>
      <c r="C102" s="27" t="str">
        <f>IF(ISNONTEXT(node_raw[[#This Row],[Column2]]), "", node_raw[[#This Row],[Column2]])</f>
        <v/>
      </c>
      <c r="D102" s="54" t="str">
        <f>IF(ISNUMBER(node_raw[[#This Row],[Column3]]), node_raw[[#This Row],[Column3]],"")</f>
        <v/>
      </c>
      <c r="E102" s="57" t="str">
        <f>IF(ISNUMBER(node_raw[[#This Row],[Column4]]), node_raw[[#This Row],[Column4]]/1048576,"")</f>
        <v/>
      </c>
      <c r="F102" s="139" t="str">
        <f>IF(ISNUMBER(node_raw[[#This Row],[Column5]]), node_raw[[#This Row],[Column5]],"")</f>
        <v/>
      </c>
      <c r="G102" s="153" t="str">
        <f t="shared" si="2"/>
        <v/>
      </c>
      <c r="H102" s="140" t="str">
        <f>IF(ISNUMBER(node_raw[[#This Row],[Column6]]), node_raw[[#This Row],[Column6]]/1048576,"")</f>
        <v/>
      </c>
      <c r="I102" s="157" t="str">
        <f t="shared" si="3"/>
        <v/>
      </c>
      <c r="J102" s="141" t="str">
        <f>IF(ISNONTEXT(node_raw[[#This Row],[Column7]]), "", node_raw[[#This Row],[Column7]]/100)</f>
        <v/>
      </c>
      <c r="K102" s="142" t="str">
        <f>IF(ISNONTEXT(node_raw[[#This Row],[Column8]]), "", node_raw[[#This Row],[Column8]]/100)</f>
        <v/>
      </c>
      <c r="L102" s="143" t="str">
        <f>IF(ISNONTEXT(node_raw[[#This Row],[Column9]]), "", node_raw[[#This Row],[Column9]]/1)</f>
        <v/>
      </c>
      <c r="M102" s="144" t="str">
        <f>IF(ISNONTEXT(node_raw[[#This Row],[Column10]]), "", node_raw[[#This Row],[Column10]]/1)</f>
        <v/>
      </c>
    </row>
    <row r="103" spans="2:13" ht="15.75" customHeight="1" x14ac:dyDescent="0.25">
      <c r="B103" s="30" t="str">
        <f>IF(ISNONTEXT(node_raw[[#This Row],[Column1]]), "", node_raw[[#This Row],[Column1]])</f>
        <v/>
      </c>
      <c r="C103" s="27" t="str">
        <f>IF(ISNONTEXT(node_raw[[#This Row],[Column2]]), "", node_raw[[#This Row],[Column2]])</f>
        <v/>
      </c>
      <c r="D103" s="54" t="str">
        <f>IF(ISNUMBER(node_raw[[#This Row],[Column3]]), node_raw[[#This Row],[Column3]],"")</f>
        <v/>
      </c>
      <c r="E103" s="57" t="str">
        <f>IF(ISNUMBER(node_raw[[#This Row],[Column4]]), node_raw[[#This Row],[Column4]]/1048576,"")</f>
        <v/>
      </c>
      <c r="F103" s="139" t="str">
        <f>IF(ISNUMBER(node_raw[[#This Row],[Column5]]), node_raw[[#This Row],[Column5]],"")</f>
        <v/>
      </c>
      <c r="G103" s="153" t="str">
        <f t="shared" si="2"/>
        <v/>
      </c>
      <c r="H103" s="140" t="str">
        <f>IF(ISNUMBER(node_raw[[#This Row],[Column6]]), node_raw[[#This Row],[Column6]]/1048576,"")</f>
        <v/>
      </c>
      <c r="I103" s="157" t="str">
        <f t="shared" si="3"/>
        <v/>
      </c>
      <c r="J103" s="141" t="str">
        <f>IF(ISNONTEXT(node_raw[[#This Row],[Column7]]), "", node_raw[[#This Row],[Column7]]/100)</f>
        <v/>
      </c>
      <c r="K103" s="142" t="str">
        <f>IF(ISNONTEXT(node_raw[[#This Row],[Column8]]), "", node_raw[[#This Row],[Column8]]/100)</f>
        <v/>
      </c>
      <c r="L103" s="143" t="str">
        <f>IF(ISNONTEXT(node_raw[[#This Row],[Column9]]), "", node_raw[[#This Row],[Column9]]/1)</f>
        <v/>
      </c>
      <c r="M103" s="144" t="str">
        <f>IF(ISNONTEXT(node_raw[[#This Row],[Column10]]), "", node_raw[[#This Row],[Column10]]/1)</f>
        <v/>
      </c>
    </row>
    <row r="104" spans="2:13" ht="15.75" customHeight="1" x14ac:dyDescent="0.25">
      <c r="B104" s="30" t="str">
        <f>IF(ISNONTEXT(node_raw[[#This Row],[Column1]]), "", node_raw[[#This Row],[Column1]])</f>
        <v/>
      </c>
      <c r="C104" s="27" t="str">
        <f>IF(ISNONTEXT(node_raw[[#This Row],[Column2]]), "", node_raw[[#This Row],[Column2]])</f>
        <v/>
      </c>
      <c r="D104" s="54" t="str">
        <f>IF(ISNUMBER(node_raw[[#This Row],[Column3]]), node_raw[[#This Row],[Column3]],"")</f>
        <v/>
      </c>
      <c r="E104" s="57" t="str">
        <f>IF(ISNUMBER(node_raw[[#This Row],[Column4]]), node_raw[[#This Row],[Column4]]/1048576,"")</f>
        <v/>
      </c>
      <c r="F104" s="139" t="str">
        <f>IF(ISNUMBER(node_raw[[#This Row],[Column5]]), node_raw[[#This Row],[Column5]],"")</f>
        <v/>
      </c>
      <c r="G104" s="153" t="str">
        <f t="shared" si="2"/>
        <v/>
      </c>
      <c r="H104" s="140" t="str">
        <f>IF(ISNUMBER(node_raw[[#This Row],[Column6]]), node_raw[[#This Row],[Column6]]/1048576,"")</f>
        <v/>
      </c>
      <c r="I104" s="157" t="str">
        <f t="shared" si="3"/>
        <v/>
      </c>
      <c r="J104" s="141" t="str">
        <f>IF(ISNONTEXT(node_raw[[#This Row],[Column7]]), "", node_raw[[#This Row],[Column7]]/100)</f>
        <v/>
      </c>
      <c r="K104" s="142" t="str">
        <f>IF(ISNONTEXT(node_raw[[#This Row],[Column8]]), "", node_raw[[#This Row],[Column8]]/100)</f>
        <v/>
      </c>
      <c r="L104" s="143" t="str">
        <f>IF(ISNONTEXT(node_raw[[#This Row],[Column9]]), "", node_raw[[#This Row],[Column9]]/1)</f>
        <v/>
      </c>
      <c r="M104" s="144" t="str">
        <f>IF(ISNONTEXT(node_raw[[#This Row],[Column10]]), "", node_raw[[#This Row],[Column10]]/1)</f>
        <v/>
      </c>
    </row>
    <row r="105" spans="2:13" ht="15.75" customHeight="1" x14ac:dyDescent="0.25">
      <c r="B105" s="30" t="str">
        <f>IF(ISNONTEXT(node_raw[[#This Row],[Column1]]), "", node_raw[[#This Row],[Column1]])</f>
        <v/>
      </c>
      <c r="C105" s="27" t="str">
        <f>IF(ISNONTEXT(node_raw[[#This Row],[Column2]]), "", node_raw[[#This Row],[Column2]])</f>
        <v/>
      </c>
      <c r="D105" s="54" t="str">
        <f>IF(ISNUMBER(node_raw[[#This Row],[Column3]]), node_raw[[#This Row],[Column3]],"")</f>
        <v/>
      </c>
      <c r="E105" s="57" t="str">
        <f>IF(ISNUMBER(node_raw[[#This Row],[Column4]]), node_raw[[#This Row],[Column4]]/1048576,"")</f>
        <v/>
      </c>
      <c r="F105" s="139" t="str">
        <f>IF(ISNUMBER(node_raw[[#This Row],[Column5]]), node_raw[[#This Row],[Column5]],"")</f>
        <v/>
      </c>
      <c r="G105" s="153" t="str">
        <f t="shared" si="2"/>
        <v/>
      </c>
      <c r="H105" s="140" t="str">
        <f>IF(ISNUMBER(node_raw[[#This Row],[Column6]]), node_raw[[#This Row],[Column6]]/1048576,"")</f>
        <v/>
      </c>
      <c r="I105" s="157" t="str">
        <f t="shared" si="3"/>
        <v/>
      </c>
      <c r="J105" s="141" t="str">
        <f>IF(ISNONTEXT(node_raw[[#This Row],[Column7]]), "", node_raw[[#This Row],[Column7]]/100)</f>
        <v/>
      </c>
      <c r="K105" s="142" t="str">
        <f>IF(ISNONTEXT(node_raw[[#This Row],[Column8]]), "", node_raw[[#This Row],[Column8]]/100)</f>
        <v/>
      </c>
      <c r="L105" s="143" t="str">
        <f>IF(ISNONTEXT(node_raw[[#This Row],[Column9]]), "", node_raw[[#This Row],[Column9]]/1)</f>
        <v/>
      </c>
      <c r="M105" s="144" t="str">
        <f>IF(ISNONTEXT(node_raw[[#This Row],[Column10]]), "", node_raw[[#This Row],[Column10]]/1)</f>
        <v/>
      </c>
    </row>
    <row r="106" spans="2:13" ht="15.75" customHeight="1" x14ac:dyDescent="0.25">
      <c r="B106" s="30" t="str">
        <f>IF(ISNONTEXT(node_raw[[#This Row],[Column1]]), "", node_raw[[#This Row],[Column1]])</f>
        <v/>
      </c>
      <c r="C106" s="27" t="str">
        <f>IF(ISNONTEXT(node_raw[[#This Row],[Column2]]), "", node_raw[[#This Row],[Column2]])</f>
        <v/>
      </c>
      <c r="D106" s="54" t="str">
        <f>IF(ISNUMBER(node_raw[[#This Row],[Column3]]), node_raw[[#This Row],[Column3]],"")</f>
        <v/>
      </c>
      <c r="E106" s="57" t="str">
        <f>IF(ISNUMBER(node_raw[[#This Row],[Column4]]), node_raw[[#This Row],[Column4]]/1048576,"")</f>
        <v/>
      </c>
      <c r="F106" s="139" t="str">
        <f>IF(ISNUMBER(node_raw[[#This Row],[Column5]]), node_raw[[#This Row],[Column5]],"")</f>
        <v/>
      </c>
      <c r="G106" s="153" t="str">
        <f t="shared" si="2"/>
        <v/>
      </c>
      <c r="H106" s="140" t="str">
        <f>IF(ISNUMBER(node_raw[[#This Row],[Column6]]), node_raw[[#This Row],[Column6]]/1048576,"")</f>
        <v/>
      </c>
      <c r="I106" s="157" t="str">
        <f t="shared" si="3"/>
        <v/>
      </c>
      <c r="J106" s="141" t="str">
        <f>IF(ISNONTEXT(node_raw[[#This Row],[Column7]]), "", node_raw[[#This Row],[Column7]]/100)</f>
        <v/>
      </c>
      <c r="K106" s="142" t="str">
        <f>IF(ISNONTEXT(node_raw[[#This Row],[Column8]]), "", node_raw[[#This Row],[Column8]]/100)</f>
        <v/>
      </c>
      <c r="L106" s="143" t="str">
        <f>IF(ISNONTEXT(node_raw[[#This Row],[Column9]]), "", node_raw[[#This Row],[Column9]]/1)</f>
        <v/>
      </c>
      <c r="M106" s="144" t="str">
        <f>IF(ISNONTEXT(node_raw[[#This Row],[Column10]]), "", node_raw[[#This Row],[Column10]]/1)</f>
        <v/>
      </c>
    </row>
    <row r="107" spans="2:13" ht="15.75" customHeight="1" x14ac:dyDescent="0.25">
      <c r="B107" s="30" t="str">
        <f>IF(ISNONTEXT(node_raw[[#This Row],[Column1]]), "", node_raw[[#This Row],[Column1]])</f>
        <v/>
      </c>
      <c r="C107" s="27" t="str">
        <f>IF(ISNONTEXT(node_raw[[#This Row],[Column2]]), "", node_raw[[#This Row],[Column2]])</f>
        <v/>
      </c>
      <c r="D107" s="54" t="str">
        <f>IF(ISNUMBER(node_raw[[#This Row],[Column3]]), node_raw[[#This Row],[Column3]],"")</f>
        <v/>
      </c>
      <c r="E107" s="57" t="str">
        <f>IF(ISNUMBER(node_raw[[#This Row],[Column4]]), node_raw[[#This Row],[Column4]]/1048576,"")</f>
        <v/>
      </c>
      <c r="F107" s="139" t="str">
        <f>IF(ISNUMBER(node_raw[[#This Row],[Column5]]), node_raw[[#This Row],[Column5]],"")</f>
        <v/>
      </c>
      <c r="G107" s="153" t="str">
        <f t="shared" si="2"/>
        <v/>
      </c>
      <c r="H107" s="140" t="str">
        <f>IF(ISNUMBER(node_raw[[#This Row],[Column6]]), node_raw[[#This Row],[Column6]]/1048576,"")</f>
        <v/>
      </c>
      <c r="I107" s="157" t="str">
        <f t="shared" si="3"/>
        <v/>
      </c>
      <c r="J107" s="141" t="str">
        <f>IF(ISNONTEXT(node_raw[[#This Row],[Column7]]), "", node_raw[[#This Row],[Column7]]/100)</f>
        <v/>
      </c>
      <c r="K107" s="142" t="str">
        <f>IF(ISNONTEXT(node_raw[[#This Row],[Column8]]), "", node_raw[[#This Row],[Column8]]/100)</f>
        <v/>
      </c>
      <c r="L107" s="143" t="str">
        <f>IF(ISNONTEXT(node_raw[[#This Row],[Column9]]), "", node_raw[[#This Row],[Column9]]/1)</f>
        <v/>
      </c>
      <c r="M107" s="144" t="str">
        <f>IF(ISNONTEXT(node_raw[[#This Row],[Column10]]), "", node_raw[[#This Row],[Column10]]/1)</f>
        <v/>
      </c>
    </row>
    <row r="108" spans="2:13" ht="15.75" customHeight="1" x14ac:dyDescent="0.25">
      <c r="B108" s="30" t="str">
        <f>IF(ISNONTEXT(node_raw[[#This Row],[Column1]]), "", node_raw[[#This Row],[Column1]])</f>
        <v/>
      </c>
      <c r="C108" s="27" t="str">
        <f>IF(ISNONTEXT(node_raw[[#This Row],[Column2]]), "", node_raw[[#This Row],[Column2]])</f>
        <v/>
      </c>
      <c r="D108" s="54" t="str">
        <f>IF(ISNUMBER(node_raw[[#This Row],[Column3]]), node_raw[[#This Row],[Column3]],"")</f>
        <v/>
      </c>
      <c r="E108" s="57" t="str">
        <f>IF(ISNUMBER(node_raw[[#This Row],[Column4]]), node_raw[[#This Row],[Column4]]/1048576,"")</f>
        <v/>
      </c>
      <c r="F108" s="139" t="str">
        <f>IF(ISNUMBER(node_raw[[#This Row],[Column5]]), node_raw[[#This Row],[Column5]],"")</f>
        <v/>
      </c>
      <c r="G108" s="153" t="str">
        <f t="shared" si="2"/>
        <v/>
      </c>
      <c r="H108" s="140" t="str">
        <f>IF(ISNUMBER(node_raw[[#This Row],[Column6]]), node_raw[[#This Row],[Column6]]/1048576,"")</f>
        <v/>
      </c>
      <c r="I108" s="157" t="str">
        <f t="shared" si="3"/>
        <v/>
      </c>
      <c r="J108" s="141" t="str">
        <f>IF(ISNONTEXT(node_raw[[#This Row],[Column7]]), "", node_raw[[#This Row],[Column7]]/100)</f>
        <v/>
      </c>
      <c r="K108" s="142" t="str">
        <f>IF(ISNONTEXT(node_raw[[#This Row],[Column8]]), "", node_raw[[#This Row],[Column8]]/100)</f>
        <v/>
      </c>
      <c r="L108" s="143" t="str">
        <f>IF(ISNONTEXT(node_raw[[#This Row],[Column9]]), "", node_raw[[#This Row],[Column9]]/1)</f>
        <v/>
      </c>
      <c r="M108" s="144" t="str">
        <f>IF(ISNONTEXT(node_raw[[#This Row],[Column10]]), "", node_raw[[#This Row],[Column10]]/1)</f>
        <v/>
      </c>
    </row>
    <row r="109" spans="2:13" ht="15.75" customHeight="1" x14ac:dyDescent="0.25">
      <c r="B109" s="30" t="str">
        <f>IF(ISNONTEXT(node_raw[[#This Row],[Column1]]), "", node_raw[[#This Row],[Column1]])</f>
        <v/>
      </c>
      <c r="C109" s="27" t="str">
        <f>IF(ISNONTEXT(node_raw[[#This Row],[Column2]]), "", node_raw[[#This Row],[Column2]])</f>
        <v/>
      </c>
      <c r="D109" s="54" t="str">
        <f>IF(ISNUMBER(node_raw[[#This Row],[Column3]]), node_raw[[#This Row],[Column3]],"")</f>
        <v/>
      </c>
      <c r="E109" s="57" t="str">
        <f>IF(ISNUMBER(node_raw[[#This Row],[Column4]]), node_raw[[#This Row],[Column4]]/1048576,"")</f>
        <v/>
      </c>
      <c r="F109" s="139" t="str">
        <f>IF(ISNUMBER(node_raw[[#This Row],[Column5]]), node_raw[[#This Row],[Column5]],"")</f>
        <v/>
      </c>
      <c r="G109" s="153" t="str">
        <f t="shared" si="2"/>
        <v/>
      </c>
      <c r="H109" s="140" t="str">
        <f>IF(ISNUMBER(node_raw[[#This Row],[Column6]]), node_raw[[#This Row],[Column6]]/1048576,"")</f>
        <v/>
      </c>
      <c r="I109" s="157" t="str">
        <f t="shared" si="3"/>
        <v/>
      </c>
      <c r="J109" s="141" t="str">
        <f>IF(ISNONTEXT(node_raw[[#This Row],[Column7]]), "", node_raw[[#This Row],[Column7]]/100)</f>
        <v/>
      </c>
      <c r="K109" s="142" t="str">
        <f>IF(ISNONTEXT(node_raw[[#This Row],[Column8]]), "", node_raw[[#This Row],[Column8]]/100)</f>
        <v/>
      </c>
      <c r="L109" s="143" t="str">
        <f>IF(ISNONTEXT(node_raw[[#This Row],[Column9]]), "", node_raw[[#This Row],[Column9]]/1)</f>
        <v/>
      </c>
      <c r="M109" s="144" t="str">
        <f>IF(ISNONTEXT(node_raw[[#This Row],[Column10]]), "", node_raw[[#This Row],[Column10]]/1)</f>
        <v/>
      </c>
    </row>
    <row r="110" spans="2:13" ht="15.75" customHeight="1" x14ac:dyDescent="0.25">
      <c r="B110" s="30" t="str">
        <f>IF(ISNONTEXT(node_raw[[#This Row],[Column1]]), "", node_raw[[#This Row],[Column1]])</f>
        <v/>
      </c>
      <c r="C110" s="27" t="str">
        <f>IF(ISNONTEXT(node_raw[[#This Row],[Column2]]), "", node_raw[[#This Row],[Column2]])</f>
        <v/>
      </c>
      <c r="D110" s="54" t="str">
        <f>IF(ISNUMBER(node_raw[[#This Row],[Column3]]), node_raw[[#This Row],[Column3]],"")</f>
        <v/>
      </c>
      <c r="E110" s="57" t="str">
        <f>IF(ISNUMBER(node_raw[[#This Row],[Column4]]), node_raw[[#This Row],[Column4]]/1048576,"")</f>
        <v/>
      </c>
      <c r="F110" s="139" t="str">
        <f>IF(ISNUMBER(node_raw[[#This Row],[Column5]]), node_raw[[#This Row],[Column5]],"")</f>
        <v/>
      </c>
      <c r="G110" s="153" t="str">
        <f t="shared" si="2"/>
        <v/>
      </c>
      <c r="H110" s="140" t="str">
        <f>IF(ISNUMBER(node_raw[[#This Row],[Column6]]), node_raw[[#This Row],[Column6]]/1048576,"")</f>
        <v/>
      </c>
      <c r="I110" s="157" t="str">
        <f t="shared" si="3"/>
        <v/>
      </c>
      <c r="J110" s="141" t="str">
        <f>IF(ISNONTEXT(node_raw[[#This Row],[Column7]]), "", node_raw[[#This Row],[Column7]]/100)</f>
        <v/>
      </c>
      <c r="K110" s="142" t="str">
        <f>IF(ISNONTEXT(node_raw[[#This Row],[Column8]]), "", node_raw[[#This Row],[Column8]]/100)</f>
        <v/>
      </c>
      <c r="L110" s="143" t="str">
        <f>IF(ISNONTEXT(node_raw[[#This Row],[Column9]]), "", node_raw[[#This Row],[Column9]]/1)</f>
        <v/>
      </c>
      <c r="M110" s="144" t="str">
        <f>IF(ISNONTEXT(node_raw[[#This Row],[Column10]]), "", node_raw[[#This Row],[Column10]]/1)</f>
        <v/>
      </c>
    </row>
    <row r="111" spans="2:13" ht="15.75" customHeight="1" x14ac:dyDescent="0.25">
      <c r="B111" s="30" t="str">
        <f>IF(ISNONTEXT(node_raw[[#This Row],[Column1]]), "", node_raw[[#This Row],[Column1]])</f>
        <v/>
      </c>
      <c r="C111" s="27" t="str">
        <f>IF(ISNONTEXT(node_raw[[#This Row],[Column2]]), "", node_raw[[#This Row],[Column2]])</f>
        <v/>
      </c>
      <c r="D111" s="54" t="str">
        <f>IF(ISNUMBER(node_raw[[#This Row],[Column3]]), node_raw[[#This Row],[Column3]],"")</f>
        <v/>
      </c>
      <c r="E111" s="57" t="str">
        <f>IF(ISNUMBER(node_raw[[#This Row],[Column4]]), node_raw[[#This Row],[Column4]]/1048576,"")</f>
        <v/>
      </c>
      <c r="F111" s="139" t="str">
        <f>IF(ISNUMBER(node_raw[[#This Row],[Column5]]), node_raw[[#This Row],[Column5]],"")</f>
        <v/>
      </c>
      <c r="G111" s="153" t="str">
        <f t="shared" si="2"/>
        <v/>
      </c>
      <c r="H111" s="140" t="str">
        <f>IF(ISNUMBER(node_raw[[#This Row],[Column6]]), node_raw[[#This Row],[Column6]]/1048576,"")</f>
        <v/>
      </c>
      <c r="I111" s="157" t="str">
        <f t="shared" si="3"/>
        <v/>
      </c>
      <c r="J111" s="141" t="str">
        <f>IF(ISNONTEXT(node_raw[[#This Row],[Column7]]), "", node_raw[[#This Row],[Column7]]/100)</f>
        <v/>
      </c>
      <c r="K111" s="142" t="str">
        <f>IF(ISNONTEXT(node_raw[[#This Row],[Column8]]), "", node_raw[[#This Row],[Column8]]/100)</f>
        <v/>
      </c>
      <c r="L111" s="143" t="str">
        <f>IF(ISNONTEXT(node_raw[[#This Row],[Column9]]), "", node_raw[[#This Row],[Column9]]/1)</f>
        <v/>
      </c>
      <c r="M111" s="144" t="str">
        <f>IF(ISNONTEXT(node_raw[[#This Row],[Column10]]), "", node_raw[[#This Row],[Column10]]/1)</f>
        <v/>
      </c>
    </row>
    <row r="112" spans="2:13" ht="15.75" customHeight="1" x14ac:dyDescent="0.25">
      <c r="B112" s="30" t="str">
        <f>IF(ISNONTEXT(node_raw[[#This Row],[Column1]]), "", node_raw[[#This Row],[Column1]])</f>
        <v/>
      </c>
      <c r="C112" s="27" t="str">
        <f>IF(ISNONTEXT(node_raw[[#This Row],[Column2]]), "", node_raw[[#This Row],[Column2]])</f>
        <v/>
      </c>
      <c r="D112" s="54" t="str">
        <f>IF(ISNUMBER(node_raw[[#This Row],[Column3]]), node_raw[[#This Row],[Column3]],"")</f>
        <v/>
      </c>
      <c r="E112" s="57" t="str">
        <f>IF(ISNUMBER(node_raw[[#This Row],[Column4]]), node_raw[[#This Row],[Column4]]/1048576,"")</f>
        <v/>
      </c>
      <c r="F112" s="139" t="str">
        <f>IF(ISNUMBER(node_raw[[#This Row],[Column5]]), node_raw[[#This Row],[Column5]],"")</f>
        <v/>
      </c>
      <c r="G112" s="153" t="str">
        <f t="shared" si="2"/>
        <v/>
      </c>
      <c r="H112" s="140" t="str">
        <f>IF(ISNUMBER(node_raw[[#This Row],[Column6]]), node_raw[[#This Row],[Column6]]/1048576,"")</f>
        <v/>
      </c>
      <c r="I112" s="157" t="str">
        <f t="shared" si="3"/>
        <v/>
      </c>
      <c r="J112" s="141" t="str">
        <f>IF(ISNONTEXT(node_raw[[#This Row],[Column7]]), "", node_raw[[#This Row],[Column7]]/100)</f>
        <v/>
      </c>
      <c r="K112" s="142" t="str">
        <f>IF(ISNONTEXT(node_raw[[#This Row],[Column8]]), "", node_raw[[#This Row],[Column8]]/100)</f>
        <v/>
      </c>
      <c r="L112" s="143" t="str">
        <f>IF(ISNONTEXT(node_raw[[#This Row],[Column9]]), "", node_raw[[#This Row],[Column9]]/1)</f>
        <v/>
      </c>
      <c r="M112" s="144" t="str">
        <f>IF(ISNONTEXT(node_raw[[#This Row],[Column10]]), "", node_raw[[#This Row],[Column10]]/1)</f>
        <v/>
      </c>
    </row>
    <row r="113" spans="2:13" ht="15.75" customHeight="1" x14ac:dyDescent="0.25">
      <c r="B113" s="30" t="str">
        <f>IF(ISNONTEXT(node_raw[[#This Row],[Column1]]), "", node_raw[[#This Row],[Column1]])</f>
        <v/>
      </c>
      <c r="C113" s="27" t="str">
        <f>IF(ISNONTEXT(node_raw[[#This Row],[Column2]]), "", node_raw[[#This Row],[Column2]])</f>
        <v/>
      </c>
      <c r="D113" s="54" t="str">
        <f>IF(ISNUMBER(node_raw[[#This Row],[Column3]]), node_raw[[#This Row],[Column3]],"")</f>
        <v/>
      </c>
      <c r="E113" s="57" t="str">
        <f>IF(ISNUMBER(node_raw[[#This Row],[Column4]]), node_raw[[#This Row],[Column4]]/1048576,"")</f>
        <v/>
      </c>
      <c r="F113" s="139" t="str">
        <f>IF(ISNUMBER(node_raw[[#This Row],[Column5]]), node_raw[[#This Row],[Column5]],"")</f>
        <v/>
      </c>
      <c r="G113" s="153" t="str">
        <f t="shared" si="2"/>
        <v/>
      </c>
      <c r="H113" s="140" t="str">
        <f>IF(ISNUMBER(node_raw[[#This Row],[Column6]]), node_raw[[#This Row],[Column6]]/1048576,"")</f>
        <v/>
      </c>
      <c r="I113" s="157" t="str">
        <f t="shared" si="3"/>
        <v/>
      </c>
      <c r="J113" s="141" t="str">
        <f>IF(ISNONTEXT(node_raw[[#This Row],[Column7]]), "", node_raw[[#This Row],[Column7]]/100)</f>
        <v/>
      </c>
      <c r="K113" s="142" t="str">
        <f>IF(ISNONTEXT(node_raw[[#This Row],[Column8]]), "", node_raw[[#This Row],[Column8]]/100)</f>
        <v/>
      </c>
      <c r="L113" s="143" t="str">
        <f>IF(ISNONTEXT(node_raw[[#This Row],[Column9]]), "", node_raw[[#This Row],[Column9]]/1)</f>
        <v/>
      </c>
      <c r="M113" s="144" t="str">
        <f>IF(ISNONTEXT(node_raw[[#This Row],[Column10]]), "", node_raw[[#This Row],[Column10]]/1)</f>
        <v/>
      </c>
    </row>
    <row r="114" spans="2:13" ht="15.75" customHeight="1" x14ac:dyDescent="0.25">
      <c r="B114" s="30" t="str">
        <f>IF(ISNONTEXT(node_raw[[#This Row],[Column1]]), "", node_raw[[#This Row],[Column1]])</f>
        <v/>
      </c>
      <c r="C114" s="27" t="str">
        <f>IF(ISNONTEXT(node_raw[[#This Row],[Column2]]), "", node_raw[[#This Row],[Column2]])</f>
        <v/>
      </c>
      <c r="D114" s="54" t="str">
        <f>IF(ISNUMBER(node_raw[[#This Row],[Column3]]), node_raw[[#This Row],[Column3]],"")</f>
        <v/>
      </c>
      <c r="E114" s="57" t="str">
        <f>IF(ISNUMBER(node_raw[[#This Row],[Column4]]), node_raw[[#This Row],[Column4]]/1048576,"")</f>
        <v/>
      </c>
      <c r="F114" s="139" t="str">
        <f>IF(ISNUMBER(node_raw[[#This Row],[Column5]]), node_raw[[#This Row],[Column5]],"")</f>
        <v/>
      </c>
      <c r="G114" s="153" t="str">
        <f t="shared" si="2"/>
        <v/>
      </c>
      <c r="H114" s="140" t="str">
        <f>IF(ISNUMBER(node_raw[[#This Row],[Column6]]), node_raw[[#This Row],[Column6]]/1048576,"")</f>
        <v/>
      </c>
      <c r="I114" s="157" t="str">
        <f t="shared" si="3"/>
        <v/>
      </c>
      <c r="J114" s="141" t="str">
        <f>IF(ISNONTEXT(node_raw[[#This Row],[Column7]]), "", node_raw[[#This Row],[Column7]]/100)</f>
        <v/>
      </c>
      <c r="K114" s="142" t="str">
        <f>IF(ISNONTEXT(node_raw[[#This Row],[Column8]]), "", node_raw[[#This Row],[Column8]]/100)</f>
        <v/>
      </c>
      <c r="L114" s="143" t="str">
        <f>IF(ISNONTEXT(node_raw[[#This Row],[Column9]]), "", node_raw[[#This Row],[Column9]]/1)</f>
        <v/>
      </c>
      <c r="M114" s="144" t="str">
        <f>IF(ISNONTEXT(node_raw[[#This Row],[Column10]]), "", node_raw[[#This Row],[Column10]]/1)</f>
        <v/>
      </c>
    </row>
    <row r="115" spans="2:13" ht="15.75" customHeight="1" x14ac:dyDescent="0.25">
      <c r="B115" s="30" t="str">
        <f>IF(ISNONTEXT(node_raw[[#This Row],[Column1]]), "", node_raw[[#This Row],[Column1]])</f>
        <v/>
      </c>
      <c r="C115" s="27" t="str">
        <f>IF(ISNONTEXT(node_raw[[#This Row],[Column2]]), "", node_raw[[#This Row],[Column2]])</f>
        <v/>
      </c>
      <c r="D115" s="54" t="str">
        <f>IF(ISNUMBER(node_raw[[#This Row],[Column3]]), node_raw[[#This Row],[Column3]],"")</f>
        <v/>
      </c>
      <c r="E115" s="57" t="str">
        <f>IF(ISNUMBER(node_raw[[#This Row],[Column4]]), node_raw[[#This Row],[Column4]]/1048576,"")</f>
        <v/>
      </c>
      <c r="F115" s="139" t="str">
        <f>IF(ISNUMBER(node_raw[[#This Row],[Column5]]), node_raw[[#This Row],[Column5]],"")</f>
        <v/>
      </c>
      <c r="G115" s="153" t="str">
        <f t="shared" si="2"/>
        <v/>
      </c>
      <c r="H115" s="140" t="str">
        <f>IF(ISNUMBER(node_raw[[#This Row],[Column6]]), node_raw[[#This Row],[Column6]]/1048576,"")</f>
        <v/>
      </c>
      <c r="I115" s="157" t="str">
        <f t="shared" si="3"/>
        <v/>
      </c>
      <c r="J115" s="141" t="str">
        <f>IF(ISNONTEXT(node_raw[[#This Row],[Column7]]), "", node_raw[[#This Row],[Column7]]/100)</f>
        <v/>
      </c>
      <c r="K115" s="142" t="str">
        <f>IF(ISNONTEXT(node_raw[[#This Row],[Column8]]), "", node_raw[[#This Row],[Column8]]/100)</f>
        <v/>
      </c>
      <c r="L115" s="143" t="str">
        <f>IF(ISNONTEXT(node_raw[[#This Row],[Column9]]), "", node_raw[[#This Row],[Column9]]/1)</f>
        <v/>
      </c>
      <c r="M115" s="144" t="str">
        <f>IF(ISNONTEXT(node_raw[[#This Row],[Column10]]), "", node_raw[[#This Row],[Column10]]/1)</f>
        <v/>
      </c>
    </row>
    <row r="116" spans="2:13" ht="15.75" customHeight="1" x14ac:dyDescent="0.25">
      <c r="B116" s="30" t="str">
        <f>IF(ISNONTEXT(node_raw[[#This Row],[Column1]]), "", node_raw[[#This Row],[Column1]])</f>
        <v/>
      </c>
      <c r="C116" s="27" t="str">
        <f>IF(ISNONTEXT(node_raw[[#This Row],[Column2]]), "", node_raw[[#This Row],[Column2]])</f>
        <v/>
      </c>
      <c r="D116" s="54" t="str">
        <f>IF(ISNUMBER(node_raw[[#This Row],[Column3]]), node_raw[[#This Row],[Column3]],"")</f>
        <v/>
      </c>
      <c r="E116" s="57" t="str">
        <f>IF(ISNUMBER(node_raw[[#This Row],[Column4]]), node_raw[[#This Row],[Column4]]/1048576,"")</f>
        <v/>
      </c>
      <c r="F116" s="139" t="str">
        <f>IF(ISNUMBER(node_raw[[#This Row],[Column5]]), node_raw[[#This Row],[Column5]],"")</f>
        <v/>
      </c>
      <c r="G116" s="153" t="str">
        <f t="shared" si="2"/>
        <v/>
      </c>
      <c r="H116" s="140" t="str">
        <f>IF(ISNUMBER(node_raw[[#This Row],[Column6]]), node_raw[[#This Row],[Column6]]/1048576,"")</f>
        <v/>
      </c>
      <c r="I116" s="157" t="str">
        <f t="shared" si="3"/>
        <v/>
      </c>
      <c r="J116" s="141" t="str">
        <f>IF(ISNONTEXT(node_raw[[#This Row],[Column7]]), "", node_raw[[#This Row],[Column7]]/100)</f>
        <v/>
      </c>
      <c r="K116" s="142" t="str">
        <f>IF(ISNONTEXT(node_raw[[#This Row],[Column8]]), "", node_raw[[#This Row],[Column8]]/100)</f>
        <v/>
      </c>
      <c r="L116" s="143" t="str">
        <f>IF(ISNONTEXT(node_raw[[#This Row],[Column9]]), "", node_raw[[#This Row],[Column9]]/1)</f>
        <v/>
      </c>
      <c r="M116" s="144" t="str">
        <f>IF(ISNONTEXT(node_raw[[#This Row],[Column10]]), "", node_raw[[#This Row],[Column10]]/1)</f>
        <v/>
      </c>
    </row>
    <row r="117" spans="2:13" ht="15.75" customHeight="1" x14ac:dyDescent="0.25">
      <c r="B117" s="30" t="str">
        <f>IF(ISNONTEXT(node_raw[[#This Row],[Column1]]), "", node_raw[[#This Row],[Column1]])</f>
        <v/>
      </c>
      <c r="C117" s="27" t="str">
        <f>IF(ISNONTEXT(node_raw[[#This Row],[Column2]]), "", node_raw[[#This Row],[Column2]])</f>
        <v/>
      </c>
      <c r="D117" s="54" t="str">
        <f>IF(ISNUMBER(node_raw[[#This Row],[Column3]]), node_raw[[#This Row],[Column3]],"")</f>
        <v/>
      </c>
      <c r="E117" s="57" t="str">
        <f>IF(ISNUMBER(node_raw[[#This Row],[Column4]]), node_raw[[#This Row],[Column4]]/1048576,"")</f>
        <v/>
      </c>
      <c r="F117" s="139" t="str">
        <f>IF(ISNUMBER(node_raw[[#This Row],[Column5]]), node_raw[[#This Row],[Column5]],"")</f>
        <v/>
      </c>
      <c r="G117" s="153" t="str">
        <f t="shared" si="2"/>
        <v/>
      </c>
      <c r="H117" s="140" t="str">
        <f>IF(ISNUMBER(node_raw[[#This Row],[Column6]]), node_raw[[#This Row],[Column6]]/1048576,"")</f>
        <v/>
      </c>
      <c r="I117" s="157" t="str">
        <f t="shared" si="3"/>
        <v/>
      </c>
      <c r="J117" s="141" t="str">
        <f>IF(ISNONTEXT(node_raw[[#This Row],[Column7]]), "", node_raw[[#This Row],[Column7]]/100)</f>
        <v/>
      </c>
      <c r="K117" s="142" t="str">
        <f>IF(ISNONTEXT(node_raw[[#This Row],[Column8]]), "", node_raw[[#This Row],[Column8]]/100)</f>
        <v/>
      </c>
      <c r="L117" s="143" t="str">
        <f>IF(ISNONTEXT(node_raw[[#This Row],[Column9]]), "", node_raw[[#This Row],[Column9]]/1)</f>
        <v/>
      </c>
      <c r="M117" s="144" t="str">
        <f>IF(ISNONTEXT(node_raw[[#This Row],[Column10]]), "", node_raw[[#This Row],[Column10]]/1)</f>
        <v/>
      </c>
    </row>
    <row r="118" spans="2:13" ht="15.75" customHeight="1" x14ac:dyDescent="0.25">
      <c r="B118" s="30" t="str">
        <f>IF(ISNONTEXT(node_raw[[#This Row],[Column1]]), "", node_raw[[#This Row],[Column1]])</f>
        <v/>
      </c>
      <c r="C118" s="27" t="str">
        <f>IF(ISNONTEXT(node_raw[[#This Row],[Column2]]), "", node_raw[[#This Row],[Column2]])</f>
        <v/>
      </c>
      <c r="D118" s="54" t="str">
        <f>IF(ISNUMBER(node_raw[[#This Row],[Column3]]), node_raw[[#This Row],[Column3]],"")</f>
        <v/>
      </c>
      <c r="E118" s="57" t="str">
        <f>IF(ISNUMBER(node_raw[[#This Row],[Column4]]), node_raw[[#This Row],[Column4]]/1048576,"")</f>
        <v/>
      </c>
      <c r="F118" s="139" t="str">
        <f>IF(ISNUMBER(node_raw[[#This Row],[Column5]]), node_raw[[#This Row],[Column5]],"")</f>
        <v/>
      </c>
      <c r="G118" s="153" t="str">
        <f t="shared" si="2"/>
        <v/>
      </c>
      <c r="H118" s="140" t="str">
        <f>IF(ISNUMBER(node_raw[[#This Row],[Column6]]), node_raw[[#This Row],[Column6]]/1048576,"")</f>
        <v/>
      </c>
      <c r="I118" s="157" t="str">
        <f t="shared" si="3"/>
        <v/>
      </c>
      <c r="J118" s="141" t="str">
        <f>IF(ISNONTEXT(node_raw[[#This Row],[Column7]]), "", node_raw[[#This Row],[Column7]]/100)</f>
        <v/>
      </c>
      <c r="K118" s="142" t="str">
        <f>IF(ISNONTEXT(node_raw[[#This Row],[Column8]]), "", node_raw[[#This Row],[Column8]]/100)</f>
        <v/>
      </c>
      <c r="L118" s="143" t="str">
        <f>IF(ISNONTEXT(node_raw[[#This Row],[Column9]]), "", node_raw[[#This Row],[Column9]]/1)</f>
        <v/>
      </c>
      <c r="M118" s="144" t="str">
        <f>IF(ISNONTEXT(node_raw[[#This Row],[Column10]]), "", node_raw[[#This Row],[Column10]]/1)</f>
        <v/>
      </c>
    </row>
    <row r="119" spans="2:13" ht="15.75" customHeight="1" x14ac:dyDescent="0.25">
      <c r="B119" s="30" t="str">
        <f>IF(ISNONTEXT(node_raw[[#This Row],[Column1]]), "", node_raw[[#This Row],[Column1]])</f>
        <v/>
      </c>
      <c r="C119" s="27" t="str">
        <f>IF(ISNONTEXT(node_raw[[#This Row],[Column2]]), "", node_raw[[#This Row],[Column2]])</f>
        <v/>
      </c>
      <c r="D119" s="54" t="str">
        <f>IF(ISNUMBER(node_raw[[#This Row],[Column3]]), node_raw[[#This Row],[Column3]],"")</f>
        <v/>
      </c>
      <c r="E119" s="57" t="str">
        <f>IF(ISNUMBER(node_raw[[#This Row],[Column4]]), node_raw[[#This Row],[Column4]]/1048576,"")</f>
        <v/>
      </c>
      <c r="F119" s="139" t="str">
        <f>IF(ISNUMBER(node_raw[[#This Row],[Column5]]), node_raw[[#This Row],[Column5]],"")</f>
        <v/>
      </c>
      <c r="G119" s="153" t="str">
        <f t="shared" si="2"/>
        <v/>
      </c>
      <c r="H119" s="140" t="str">
        <f>IF(ISNUMBER(node_raw[[#This Row],[Column6]]), node_raw[[#This Row],[Column6]]/1048576,"")</f>
        <v/>
      </c>
      <c r="I119" s="157" t="str">
        <f t="shared" si="3"/>
        <v/>
      </c>
      <c r="J119" s="141" t="str">
        <f>IF(ISNONTEXT(node_raw[[#This Row],[Column7]]), "", node_raw[[#This Row],[Column7]]/100)</f>
        <v/>
      </c>
      <c r="K119" s="142" t="str">
        <f>IF(ISNONTEXT(node_raw[[#This Row],[Column8]]), "", node_raw[[#This Row],[Column8]]/100)</f>
        <v/>
      </c>
      <c r="L119" s="143" t="str">
        <f>IF(ISNONTEXT(node_raw[[#This Row],[Column9]]), "", node_raw[[#This Row],[Column9]]/1)</f>
        <v/>
      </c>
      <c r="M119" s="144" t="str">
        <f>IF(ISNONTEXT(node_raw[[#This Row],[Column10]]), "", node_raw[[#This Row],[Column10]]/1)</f>
        <v/>
      </c>
    </row>
    <row r="120" spans="2:13" ht="15.75" customHeight="1" x14ac:dyDescent="0.25">
      <c r="B120" s="30" t="str">
        <f>IF(ISNONTEXT(node_raw[[#This Row],[Column1]]), "", node_raw[[#This Row],[Column1]])</f>
        <v/>
      </c>
      <c r="C120" s="27" t="str">
        <f>IF(ISNONTEXT(node_raw[[#This Row],[Column2]]), "", node_raw[[#This Row],[Column2]])</f>
        <v/>
      </c>
      <c r="D120" s="54" t="str">
        <f>IF(ISNUMBER(node_raw[[#This Row],[Column3]]), node_raw[[#This Row],[Column3]],"")</f>
        <v/>
      </c>
      <c r="E120" s="57" t="str">
        <f>IF(ISNUMBER(node_raw[[#This Row],[Column4]]), node_raw[[#This Row],[Column4]]/1048576,"")</f>
        <v/>
      </c>
      <c r="F120" s="139" t="str">
        <f>IF(ISNUMBER(node_raw[[#This Row],[Column5]]), node_raw[[#This Row],[Column5]],"")</f>
        <v/>
      </c>
      <c r="G120" s="153" t="str">
        <f t="shared" si="2"/>
        <v/>
      </c>
      <c r="H120" s="140" t="str">
        <f>IF(ISNUMBER(node_raw[[#This Row],[Column6]]), node_raw[[#This Row],[Column6]]/1048576,"")</f>
        <v/>
      </c>
      <c r="I120" s="157" t="str">
        <f t="shared" si="3"/>
        <v/>
      </c>
      <c r="J120" s="141" t="str">
        <f>IF(ISNONTEXT(node_raw[[#This Row],[Column7]]), "", node_raw[[#This Row],[Column7]]/100)</f>
        <v/>
      </c>
      <c r="K120" s="142" t="str">
        <f>IF(ISNONTEXT(node_raw[[#This Row],[Column8]]), "", node_raw[[#This Row],[Column8]]/100)</f>
        <v/>
      </c>
      <c r="L120" s="143" t="str">
        <f>IF(ISNONTEXT(node_raw[[#This Row],[Column9]]), "", node_raw[[#This Row],[Column9]]/1)</f>
        <v/>
      </c>
      <c r="M120" s="144" t="str">
        <f>IF(ISNONTEXT(node_raw[[#This Row],[Column10]]), "", node_raw[[#This Row],[Column10]]/1)</f>
        <v/>
      </c>
    </row>
    <row r="121" spans="2:13" ht="15.75" customHeight="1" x14ac:dyDescent="0.25">
      <c r="B121" s="30" t="str">
        <f>IF(ISNONTEXT(node_raw[[#This Row],[Column1]]), "", node_raw[[#This Row],[Column1]])</f>
        <v/>
      </c>
      <c r="C121" s="27" t="str">
        <f>IF(ISNONTEXT(node_raw[[#This Row],[Column2]]), "", node_raw[[#This Row],[Column2]])</f>
        <v/>
      </c>
      <c r="D121" s="54" t="str">
        <f>IF(ISNUMBER(node_raw[[#This Row],[Column3]]), node_raw[[#This Row],[Column3]],"")</f>
        <v/>
      </c>
      <c r="E121" s="57" t="str">
        <f>IF(ISNUMBER(node_raw[[#This Row],[Column4]]), node_raw[[#This Row],[Column4]]/1048576,"")</f>
        <v/>
      </c>
      <c r="F121" s="139" t="str">
        <f>IF(ISNUMBER(node_raw[[#This Row],[Column5]]), node_raw[[#This Row],[Column5]],"")</f>
        <v/>
      </c>
      <c r="G121" s="153" t="str">
        <f t="shared" si="2"/>
        <v/>
      </c>
      <c r="H121" s="140" t="str">
        <f>IF(ISNUMBER(node_raw[[#This Row],[Column6]]), node_raw[[#This Row],[Column6]]/1048576,"")</f>
        <v/>
      </c>
      <c r="I121" s="157" t="str">
        <f t="shared" si="3"/>
        <v/>
      </c>
      <c r="J121" s="141" t="str">
        <f>IF(ISNONTEXT(node_raw[[#This Row],[Column7]]), "", node_raw[[#This Row],[Column7]]/100)</f>
        <v/>
      </c>
      <c r="K121" s="142" t="str">
        <f>IF(ISNONTEXT(node_raw[[#This Row],[Column8]]), "", node_raw[[#This Row],[Column8]]/100)</f>
        <v/>
      </c>
      <c r="L121" s="143" t="str">
        <f>IF(ISNONTEXT(node_raw[[#This Row],[Column9]]), "", node_raw[[#This Row],[Column9]]/1)</f>
        <v/>
      </c>
      <c r="M121" s="144" t="str">
        <f>IF(ISNONTEXT(node_raw[[#This Row],[Column10]]), "", node_raw[[#This Row],[Column10]]/1)</f>
        <v/>
      </c>
    </row>
    <row r="122" spans="2:13" ht="15.75" customHeight="1" x14ac:dyDescent="0.25">
      <c r="B122" s="30" t="str">
        <f>IF(ISNONTEXT(node_raw[[#This Row],[Column1]]), "", node_raw[[#This Row],[Column1]])</f>
        <v/>
      </c>
      <c r="C122" s="27" t="str">
        <f>IF(ISNONTEXT(node_raw[[#This Row],[Column2]]), "", node_raw[[#This Row],[Column2]])</f>
        <v/>
      </c>
      <c r="D122" s="54" t="str">
        <f>IF(ISNUMBER(node_raw[[#This Row],[Column3]]), node_raw[[#This Row],[Column3]],"")</f>
        <v/>
      </c>
      <c r="E122" s="57" t="str">
        <f>IF(ISNUMBER(node_raw[[#This Row],[Column4]]), node_raw[[#This Row],[Column4]]/1048576,"")</f>
        <v/>
      </c>
      <c r="F122" s="139" t="str">
        <f>IF(ISNUMBER(node_raw[[#This Row],[Column5]]), node_raw[[#This Row],[Column5]],"")</f>
        <v/>
      </c>
      <c r="G122" s="153" t="str">
        <f t="shared" si="2"/>
        <v/>
      </c>
      <c r="H122" s="140" t="str">
        <f>IF(ISNUMBER(node_raw[[#This Row],[Column6]]), node_raw[[#This Row],[Column6]]/1048576,"")</f>
        <v/>
      </c>
      <c r="I122" s="157" t="str">
        <f t="shared" si="3"/>
        <v/>
      </c>
      <c r="J122" s="141" t="str">
        <f>IF(ISNONTEXT(node_raw[[#This Row],[Column7]]), "", node_raw[[#This Row],[Column7]]/100)</f>
        <v/>
      </c>
      <c r="K122" s="142" t="str">
        <f>IF(ISNONTEXT(node_raw[[#This Row],[Column8]]), "", node_raw[[#This Row],[Column8]]/100)</f>
        <v/>
      </c>
      <c r="L122" s="143" t="str">
        <f>IF(ISNONTEXT(node_raw[[#This Row],[Column9]]), "", node_raw[[#This Row],[Column9]]/1)</f>
        <v/>
      </c>
      <c r="M122" s="144" t="str">
        <f>IF(ISNONTEXT(node_raw[[#This Row],[Column10]]), "", node_raw[[#This Row],[Column10]]/1)</f>
        <v/>
      </c>
    </row>
    <row r="123" spans="2:13" ht="15.75" customHeight="1" x14ac:dyDescent="0.25">
      <c r="B123" s="30" t="str">
        <f>IF(ISNONTEXT(node_raw[[#This Row],[Column1]]), "", node_raw[[#This Row],[Column1]])</f>
        <v/>
      </c>
      <c r="C123" s="27" t="str">
        <f>IF(ISNONTEXT(node_raw[[#This Row],[Column2]]), "", node_raw[[#This Row],[Column2]])</f>
        <v/>
      </c>
      <c r="D123" s="54" t="str">
        <f>IF(ISNUMBER(node_raw[[#This Row],[Column3]]), node_raw[[#This Row],[Column3]],"")</f>
        <v/>
      </c>
      <c r="E123" s="57" t="str">
        <f>IF(ISNUMBER(node_raw[[#This Row],[Column4]]), node_raw[[#This Row],[Column4]]/1048576,"")</f>
        <v/>
      </c>
      <c r="F123" s="139" t="str">
        <f>IF(ISNUMBER(node_raw[[#This Row],[Column5]]), node_raw[[#This Row],[Column5]],"")</f>
        <v/>
      </c>
      <c r="G123" s="153" t="str">
        <f t="shared" si="2"/>
        <v/>
      </c>
      <c r="H123" s="140" t="str">
        <f>IF(ISNUMBER(node_raw[[#This Row],[Column6]]), node_raw[[#This Row],[Column6]]/1048576,"")</f>
        <v/>
      </c>
      <c r="I123" s="157" t="str">
        <f t="shared" si="3"/>
        <v/>
      </c>
      <c r="J123" s="141" t="str">
        <f>IF(ISNONTEXT(node_raw[[#This Row],[Column7]]), "", node_raw[[#This Row],[Column7]]/100)</f>
        <v/>
      </c>
      <c r="K123" s="142" t="str">
        <f>IF(ISNONTEXT(node_raw[[#This Row],[Column8]]), "", node_raw[[#This Row],[Column8]]/100)</f>
        <v/>
      </c>
      <c r="L123" s="143" t="str">
        <f>IF(ISNONTEXT(node_raw[[#This Row],[Column9]]), "", node_raw[[#This Row],[Column9]]/1)</f>
        <v/>
      </c>
      <c r="M123" s="144" t="str">
        <f>IF(ISNONTEXT(node_raw[[#This Row],[Column10]]), "", node_raw[[#This Row],[Column10]]/1)</f>
        <v/>
      </c>
    </row>
    <row r="124" spans="2:13" ht="15.75" customHeight="1" x14ac:dyDescent="0.25">
      <c r="B124" s="30" t="str">
        <f>IF(ISNONTEXT(node_raw[[#This Row],[Column1]]), "", node_raw[[#This Row],[Column1]])</f>
        <v/>
      </c>
      <c r="C124" s="27" t="str">
        <f>IF(ISNONTEXT(node_raw[[#This Row],[Column2]]), "", node_raw[[#This Row],[Column2]])</f>
        <v/>
      </c>
      <c r="D124" s="54" t="str">
        <f>IF(ISNUMBER(node_raw[[#This Row],[Column3]]), node_raw[[#This Row],[Column3]],"")</f>
        <v/>
      </c>
      <c r="E124" s="57" t="str">
        <f>IF(ISNUMBER(node_raw[[#This Row],[Column4]]), node_raw[[#This Row],[Column4]]/1048576,"")</f>
        <v/>
      </c>
      <c r="F124" s="139" t="str">
        <f>IF(ISNUMBER(node_raw[[#This Row],[Column5]]), node_raw[[#This Row],[Column5]],"")</f>
        <v/>
      </c>
      <c r="G124" s="153" t="str">
        <f t="shared" si="2"/>
        <v/>
      </c>
      <c r="H124" s="140" t="str">
        <f>IF(ISNUMBER(node_raw[[#This Row],[Column6]]), node_raw[[#This Row],[Column6]]/1048576,"")</f>
        <v/>
      </c>
      <c r="I124" s="157" t="str">
        <f t="shared" si="3"/>
        <v/>
      </c>
      <c r="J124" s="141" t="str">
        <f>IF(ISNONTEXT(node_raw[[#This Row],[Column7]]), "", node_raw[[#This Row],[Column7]]/100)</f>
        <v/>
      </c>
      <c r="K124" s="142" t="str">
        <f>IF(ISNONTEXT(node_raw[[#This Row],[Column8]]), "", node_raw[[#This Row],[Column8]]/100)</f>
        <v/>
      </c>
      <c r="L124" s="143" t="str">
        <f>IF(ISNONTEXT(node_raw[[#This Row],[Column9]]), "", node_raw[[#This Row],[Column9]]/1)</f>
        <v/>
      </c>
      <c r="M124" s="144" t="str">
        <f>IF(ISNONTEXT(node_raw[[#This Row],[Column10]]), "", node_raw[[#This Row],[Column10]]/1)</f>
        <v/>
      </c>
    </row>
    <row r="125" spans="2:13" ht="15.75" customHeight="1" x14ac:dyDescent="0.25">
      <c r="B125" s="30" t="str">
        <f>IF(ISNONTEXT(node_raw[[#This Row],[Column1]]), "", node_raw[[#This Row],[Column1]])</f>
        <v/>
      </c>
      <c r="C125" s="27" t="str">
        <f>IF(ISNONTEXT(node_raw[[#This Row],[Column2]]), "", node_raw[[#This Row],[Column2]])</f>
        <v/>
      </c>
      <c r="D125" s="54" t="str">
        <f>IF(ISNUMBER(node_raw[[#This Row],[Column3]]), node_raw[[#This Row],[Column3]],"")</f>
        <v/>
      </c>
      <c r="E125" s="57" t="str">
        <f>IF(ISNUMBER(node_raw[[#This Row],[Column4]]), node_raw[[#This Row],[Column4]]/1048576,"")</f>
        <v/>
      </c>
      <c r="F125" s="139" t="str">
        <f>IF(ISNUMBER(node_raw[[#This Row],[Column5]]), node_raw[[#This Row],[Column5]],"")</f>
        <v/>
      </c>
      <c r="G125" s="153" t="str">
        <f t="shared" si="2"/>
        <v/>
      </c>
      <c r="H125" s="140" t="str">
        <f>IF(ISNUMBER(node_raw[[#This Row],[Column6]]), node_raw[[#This Row],[Column6]]/1048576,"")</f>
        <v/>
      </c>
      <c r="I125" s="157" t="str">
        <f t="shared" si="3"/>
        <v/>
      </c>
      <c r="J125" s="141" t="str">
        <f>IF(ISNONTEXT(node_raw[[#This Row],[Column7]]), "", node_raw[[#This Row],[Column7]]/100)</f>
        <v/>
      </c>
      <c r="K125" s="142" t="str">
        <f>IF(ISNONTEXT(node_raw[[#This Row],[Column8]]), "", node_raw[[#This Row],[Column8]]/100)</f>
        <v/>
      </c>
      <c r="L125" s="143" t="str">
        <f>IF(ISNONTEXT(node_raw[[#This Row],[Column9]]), "", node_raw[[#This Row],[Column9]]/1)</f>
        <v/>
      </c>
      <c r="M125" s="144" t="str">
        <f>IF(ISNONTEXT(node_raw[[#This Row],[Column10]]), "", node_raw[[#This Row],[Column10]]/1)</f>
        <v/>
      </c>
    </row>
    <row r="126" spans="2:13" ht="15.75" customHeight="1" x14ac:dyDescent="0.25">
      <c r="B126" s="30" t="str">
        <f>IF(ISNONTEXT(node_raw[[#This Row],[Column1]]), "", node_raw[[#This Row],[Column1]])</f>
        <v/>
      </c>
      <c r="C126" s="27" t="str">
        <f>IF(ISNONTEXT(node_raw[[#This Row],[Column2]]), "", node_raw[[#This Row],[Column2]])</f>
        <v/>
      </c>
      <c r="D126" s="54" t="str">
        <f>IF(ISNUMBER(node_raw[[#This Row],[Column3]]), node_raw[[#This Row],[Column3]],"")</f>
        <v/>
      </c>
      <c r="E126" s="57" t="str">
        <f>IF(ISNUMBER(node_raw[[#This Row],[Column4]]), node_raw[[#This Row],[Column4]]/1048576,"")</f>
        <v/>
      </c>
      <c r="F126" s="139" t="str">
        <f>IF(ISNUMBER(node_raw[[#This Row],[Column5]]), node_raw[[#This Row],[Column5]],"")</f>
        <v/>
      </c>
      <c r="G126" s="153" t="str">
        <f t="shared" si="2"/>
        <v/>
      </c>
      <c r="H126" s="140" t="str">
        <f>IF(ISNUMBER(node_raw[[#This Row],[Column6]]), node_raw[[#This Row],[Column6]]/1048576,"")</f>
        <v/>
      </c>
      <c r="I126" s="157" t="str">
        <f t="shared" si="3"/>
        <v/>
      </c>
      <c r="J126" s="141" t="str">
        <f>IF(ISNONTEXT(node_raw[[#This Row],[Column7]]), "", node_raw[[#This Row],[Column7]]/100)</f>
        <v/>
      </c>
      <c r="K126" s="142" t="str">
        <f>IF(ISNONTEXT(node_raw[[#This Row],[Column8]]), "", node_raw[[#This Row],[Column8]]/100)</f>
        <v/>
      </c>
      <c r="L126" s="143" t="str">
        <f>IF(ISNONTEXT(node_raw[[#This Row],[Column9]]), "", node_raw[[#This Row],[Column9]]/1)</f>
        <v/>
      </c>
      <c r="M126" s="144" t="str">
        <f>IF(ISNONTEXT(node_raw[[#This Row],[Column10]]), "", node_raw[[#This Row],[Column10]]/1)</f>
        <v/>
      </c>
    </row>
    <row r="127" spans="2:13" ht="15.75" customHeight="1" x14ac:dyDescent="0.25">
      <c r="B127" s="30" t="str">
        <f>IF(ISNONTEXT(node_raw[[#This Row],[Column1]]), "", node_raw[[#This Row],[Column1]])</f>
        <v/>
      </c>
      <c r="C127" s="27" t="str">
        <f>IF(ISNONTEXT(node_raw[[#This Row],[Column2]]), "", node_raw[[#This Row],[Column2]])</f>
        <v/>
      </c>
      <c r="D127" s="54" t="str">
        <f>IF(ISNUMBER(node_raw[[#This Row],[Column3]]), node_raw[[#This Row],[Column3]],"")</f>
        <v/>
      </c>
      <c r="E127" s="57" t="str">
        <f>IF(ISNUMBER(node_raw[[#This Row],[Column4]]), node_raw[[#This Row],[Column4]]/1048576,"")</f>
        <v/>
      </c>
      <c r="F127" s="139" t="str">
        <f>IF(ISNUMBER(node_raw[[#This Row],[Column5]]), node_raw[[#This Row],[Column5]],"")</f>
        <v/>
      </c>
      <c r="G127" s="153" t="str">
        <f t="shared" si="2"/>
        <v/>
      </c>
      <c r="H127" s="140" t="str">
        <f>IF(ISNUMBER(node_raw[[#This Row],[Column6]]), node_raw[[#This Row],[Column6]]/1048576,"")</f>
        <v/>
      </c>
      <c r="I127" s="157" t="str">
        <f t="shared" si="3"/>
        <v/>
      </c>
      <c r="J127" s="141" t="str">
        <f>IF(ISNONTEXT(node_raw[[#This Row],[Column7]]), "", node_raw[[#This Row],[Column7]]/100)</f>
        <v/>
      </c>
      <c r="K127" s="142" t="str">
        <f>IF(ISNONTEXT(node_raw[[#This Row],[Column8]]), "", node_raw[[#This Row],[Column8]]/100)</f>
        <v/>
      </c>
      <c r="L127" s="143" t="str">
        <f>IF(ISNONTEXT(node_raw[[#This Row],[Column9]]), "", node_raw[[#This Row],[Column9]]/1)</f>
        <v/>
      </c>
      <c r="M127" s="144" t="str">
        <f>IF(ISNONTEXT(node_raw[[#This Row],[Column10]]), "", node_raw[[#This Row],[Column10]]/1)</f>
        <v/>
      </c>
    </row>
    <row r="128" spans="2:13" ht="15.75" customHeight="1" x14ac:dyDescent="0.25">
      <c r="B128" s="30" t="str">
        <f>IF(ISNONTEXT(node_raw[[#This Row],[Column1]]), "", node_raw[[#This Row],[Column1]])</f>
        <v/>
      </c>
      <c r="C128" s="27" t="str">
        <f>IF(ISNONTEXT(node_raw[[#This Row],[Column2]]), "", node_raw[[#This Row],[Column2]])</f>
        <v/>
      </c>
      <c r="D128" s="54" t="str">
        <f>IF(ISNUMBER(node_raw[[#This Row],[Column3]]), node_raw[[#This Row],[Column3]],"")</f>
        <v/>
      </c>
      <c r="E128" s="57" t="str">
        <f>IF(ISNUMBER(node_raw[[#This Row],[Column4]]), node_raw[[#This Row],[Column4]]/1048576,"")</f>
        <v/>
      </c>
      <c r="F128" s="139" t="str">
        <f>IF(ISNUMBER(node_raw[[#This Row],[Column5]]), node_raw[[#This Row],[Column5]],"")</f>
        <v/>
      </c>
      <c r="G128" s="153" t="str">
        <f t="shared" si="2"/>
        <v/>
      </c>
      <c r="H128" s="140" t="str">
        <f>IF(ISNUMBER(node_raw[[#This Row],[Column6]]), node_raw[[#This Row],[Column6]]/1048576,"")</f>
        <v/>
      </c>
      <c r="I128" s="157" t="str">
        <f t="shared" si="3"/>
        <v/>
      </c>
      <c r="J128" s="141" t="str">
        <f>IF(ISNONTEXT(node_raw[[#This Row],[Column7]]), "", node_raw[[#This Row],[Column7]]/100)</f>
        <v/>
      </c>
      <c r="K128" s="142" t="str">
        <f>IF(ISNONTEXT(node_raw[[#This Row],[Column8]]), "", node_raw[[#This Row],[Column8]]/100)</f>
        <v/>
      </c>
      <c r="L128" s="143" t="str">
        <f>IF(ISNONTEXT(node_raw[[#This Row],[Column9]]), "", node_raw[[#This Row],[Column9]]/1)</f>
        <v/>
      </c>
      <c r="M128" s="144" t="str">
        <f>IF(ISNONTEXT(node_raw[[#This Row],[Column10]]), "", node_raw[[#This Row],[Column10]]/1)</f>
        <v/>
      </c>
    </row>
    <row r="129" spans="2:13" ht="15.75" customHeight="1" x14ac:dyDescent="0.25">
      <c r="B129" s="30" t="str">
        <f>IF(ISNONTEXT(node_raw[[#This Row],[Column1]]), "", node_raw[[#This Row],[Column1]])</f>
        <v/>
      </c>
      <c r="C129" s="27" t="str">
        <f>IF(ISNONTEXT(node_raw[[#This Row],[Column2]]), "", node_raw[[#This Row],[Column2]])</f>
        <v/>
      </c>
      <c r="D129" s="54" t="str">
        <f>IF(ISNUMBER(node_raw[[#This Row],[Column3]]), node_raw[[#This Row],[Column3]],"")</f>
        <v/>
      </c>
      <c r="E129" s="57" t="str">
        <f>IF(ISNUMBER(node_raw[[#This Row],[Column4]]), node_raw[[#This Row],[Column4]]/1048576,"")</f>
        <v/>
      </c>
      <c r="F129" s="139" t="str">
        <f>IF(ISNUMBER(node_raw[[#This Row],[Column5]]), node_raw[[#This Row],[Column5]],"")</f>
        <v/>
      </c>
      <c r="G129" s="153" t="str">
        <f t="shared" si="2"/>
        <v/>
      </c>
      <c r="H129" s="140" t="str">
        <f>IF(ISNUMBER(node_raw[[#This Row],[Column6]]), node_raw[[#This Row],[Column6]]/1048576,"")</f>
        <v/>
      </c>
      <c r="I129" s="157" t="str">
        <f t="shared" si="3"/>
        <v/>
      </c>
      <c r="J129" s="141" t="str">
        <f>IF(ISNONTEXT(node_raw[[#This Row],[Column7]]), "", node_raw[[#This Row],[Column7]]/100)</f>
        <v/>
      </c>
      <c r="K129" s="142" t="str">
        <f>IF(ISNONTEXT(node_raw[[#This Row],[Column8]]), "", node_raw[[#This Row],[Column8]]/100)</f>
        <v/>
      </c>
      <c r="L129" s="143" t="str">
        <f>IF(ISNONTEXT(node_raw[[#This Row],[Column9]]), "", node_raw[[#This Row],[Column9]]/1)</f>
        <v/>
      </c>
      <c r="M129" s="144" t="str">
        <f>IF(ISNONTEXT(node_raw[[#This Row],[Column10]]), "", node_raw[[#This Row],[Column10]]/1)</f>
        <v/>
      </c>
    </row>
    <row r="130" spans="2:13" ht="15.75" customHeight="1" x14ac:dyDescent="0.25">
      <c r="B130" s="30" t="str">
        <f>IF(ISNONTEXT(node_raw[[#This Row],[Column1]]), "", node_raw[[#This Row],[Column1]])</f>
        <v/>
      </c>
      <c r="C130" s="27" t="str">
        <f>IF(ISNONTEXT(node_raw[[#This Row],[Column2]]), "", node_raw[[#This Row],[Column2]])</f>
        <v/>
      </c>
      <c r="D130" s="54" t="str">
        <f>IF(ISNUMBER(node_raw[[#This Row],[Column3]]), node_raw[[#This Row],[Column3]],"")</f>
        <v/>
      </c>
      <c r="E130" s="57" t="str">
        <f>IF(ISNUMBER(node_raw[[#This Row],[Column4]]), node_raw[[#This Row],[Column4]]/1048576,"")</f>
        <v/>
      </c>
      <c r="F130" s="139" t="str">
        <f>IF(ISNUMBER(node_raw[[#This Row],[Column5]]), node_raw[[#This Row],[Column5]],"")</f>
        <v/>
      </c>
      <c r="G130" s="153" t="str">
        <f t="shared" si="2"/>
        <v/>
      </c>
      <c r="H130" s="140" t="str">
        <f>IF(ISNUMBER(node_raw[[#This Row],[Column6]]), node_raw[[#This Row],[Column6]]/1048576,"")</f>
        <v/>
      </c>
      <c r="I130" s="157" t="str">
        <f t="shared" si="3"/>
        <v/>
      </c>
      <c r="J130" s="141" t="str">
        <f>IF(ISNONTEXT(node_raw[[#This Row],[Column7]]), "", node_raw[[#This Row],[Column7]]/100)</f>
        <v/>
      </c>
      <c r="K130" s="142" t="str">
        <f>IF(ISNONTEXT(node_raw[[#This Row],[Column8]]), "", node_raw[[#This Row],[Column8]]/100)</f>
        <v/>
      </c>
      <c r="L130" s="143" t="str">
        <f>IF(ISNONTEXT(node_raw[[#This Row],[Column9]]), "", node_raw[[#This Row],[Column9]]/1)</f>
        <v/>
      </c>
      <c r="M130" s="144" t="str">
        <f>IF(ISNONTEXT(node_raw[[#This Row],[Column10]]), "", node_raw[[#This Row],[Column10]]/1)</f>
        <v/>
      </c>
    </row>
    <row r="131" spans="2:13" ht="15.75" customHeight="1" x14ac:dyDescent="0.25">
      <c r="B131" s="30" t="str">
        <f>IF(ISNONTEXT(node_raw[[#This Row],[Column1]]), "", node_raw[[#This Row],[Column1]])</f>
        <v/>
      </c>
      <c r="C131" s="27" t="str">
        <f>IF(ISNONTEXT(node_raw[[#This Row],[Column2]]), "", node_raw[[#This Row],[Column2]])</f>
        <v/>
      </c>
      <c r="D131" s="54" t="str">
        <f>IF(ISNUMBER(node_raw[[#This Row],[Column3]]), node_raw[[#This Row],[Column3]],"")</f>
        <v/>
      </c>
      <c r="E131" s="57" t="str">
        <f>IF(ISNUMBER(node_raw[[#This Row],[Column4]]), node_raw[[#This Row],[Column4]]/1048576,"")</f>
        <v/>
      </c>
      <c r="F131" s="139" t="str">
        <f>IF(ISNUMBER(node_raw[[#This Row],[Column5]]), node_raw[[#This Row],[Column5]],"")</f>
        <v/>
      </c>
      <c r="G131" s="153" t="str">
        <f t="shared" ref="G131:G194" si="4">IF(ISNUMBER(F131), F131/D131, "")</f>
        <v/>
      </c>
      <c r="H131" s="140" t="str">
        <f>IF(ISNUMBER(node_raw[[#This Row],[Column6]]), node_raw[[#This Row],[Column6]]/1048576,"")</f>
        <v/>
      </c>
      <c r="I131" s="157" t="str">
        <f t="shared" ref="I131:I194" si="5">IF(ISNUMBER(H131), H131/E131, "")</f>
        <v/>
      </c>
      <c r="J131" s="141" t="str">
        <f>IF(ISNONTEXT(node_raw[[#This Row],[Column7]]), "", node_raw[[#This Row],[Column7]]/100)</f>
        <v/>
      </c>
      <c r="K131" s="142" t="str">
        <f>IF(ISNONTEXT(node_raw[[#This Row],[Column8]]), "", node_raw[[#This Row],[Column8]]/100)</f>
        <v/>
      </c>
      <c r="L131" s="143" t="str">
        <f>IF(ISNONTEXT(node_raw[[#This Row],[Column9]]), "", node_raw[[#This Row],[Column9]]/1)</f>
        <v/>
      </c>
      <c r="M131" s="144" t="str">
        <f>IF(ISNONTEXT(node_raw[[#This Row],[Column10]]), "", node_raw[[#This Row],[Column10]]/1)</f>
        <v/>
      </c>
    </row>
    <row r="132" spans="2:13" ht="15.75" customHeight="1" x14ac:dyDescent="0.25">
      <c r="B132" s="30" t="str">
        <f>IF(ISNONTEXT(node_raw[[#This Row],[Column1]]), "", node_raw[[#This Row],[Column1]])</f>
        <v/>
      </c>
      <c r="C132" s="27" t="str">
        <f>IF(ISNONTEXT(node_raw[[#This Row],[Column2]]), "", node_raw[[#This Row],[Column2]])</f>
        <v/>
      </c>
      <c r="D132" s="54" t="str">
        <f>IF(ISNUMBER(node_raw[[#This Row],[Column3]]), node_raw[[#This Row],[Column3]],"")</f>
        <v/>
      </c>
      <c r="E132" s="57" t="str">
        <f>IF(ISNUMBER(node_raw[[#This Row],[Column4]]), node_raw[[#This Row],[Column4]]/1048576,"")</f>
        <v/>
      </c>
      <c r="F132" s="139" t="str">
        <f>IF(ISNUMBER(node_raw[[#This Row],[Column5]]), node_raw[[#This Row],[Column5]],"")</f>
        <v/>
      </c>
      <c r="G132" s="153" t="str">
        <f t="shared" si="4"/>
        <v/>
      </c>
      <c r="H132" s="140" t="str">
        <f>IF(ISNUMBER(node_raw[[#This Row],[Column6]]), node_raw[[#This Row],[Column6]]/1048576,"")</f>
        <v/>
      </c>
      <c r="I132" s="157" t="str">
        <f t="shared" si="5"/>
        <v/>
      </c>
      <c r="J132" s="141" t="str">
        <f>IF(ISNONTEXT(node_raw[[#This Row],[Column7]]), "", node_raw[[#This Row],[Column7]]/100)</f>
        <v/>
      </c>
      <c r="K132" s="142" t="str">
        <f>IF(ISNONTEXT(node_raw[[#This Row],[Column8]]), "", node_raw[[#This Row],[Column8]]/100)</f>
        <v/>
      </c>
      <c r="L132" s="143" t="str">
        <f>IF(ISNONTEXT(node_raw[[#This Row],[Column9]]), "", node_raw[[#This Row],[Column9]]/1)</f>
        <v/>
      </c>
      <c r="M132" s="144" t="str">
        <f>IF(ISNONTEXT(node_raw[[#This Row],[Column10]]), "", node_raw[[#This Row],[Column10]]/1)</f>
        <v/>
      </c>
    </row>
    <row r="133" spans="2:13" ht="15.75" customHeight="1" x14ac:dyDescent="0.25">
      <c r="B133" s="30" t="str">
        <f>IF(ISNONTEXT(node_raw[[#This Row],[Column1]]), "", node_raw[[#This Row],[Column1]])</f>
        <v/>
      </c>
      <c r="C133" s="27" t="str">
        <f>IF(ISNONTEXT(node_raw[[#This Row],[Column2]]), "", node_raw[[#This Row],[Column2]])</f>
        <v/>
      </c>
      <c r="D133" s="54" t="str">
        <f>IF(ISNUMBER(node_raw[[#This Row],[Column3]]), node_raw[[#This Row],[Column3]],"")</f>
        <v/>
      </c>
      <c r="E133" s="57" t="str">
        <f>IF(ISNUMBER(node_raw[[#This Row],[Column4]]), node_raw[[#This Row],[Column4]]/1048576,"")</f>
        <v/>
      </c>
      <c r="F133" s="139" t="str">
        <f>IF(ISNUMBER(node_raw[[#This Row],[Column5]]), node_raw[[#This Row],[Column5]],"")</f>
        <v/>
      </c>
      <c r="G133" s="153" t="str">
        <f t="shared" si="4"/>
        <v/>
      </c>
      <c r="H133" s="140" t="str">
        <f>IF(ISNUMBER(node_raw[[#This Row],[Column6]]), node_raw[[#This Row],[Column6]]/1048576,"")</f>
        <v/>
      </c>
      <c r="I133" s="157" t="str">
        <f t="shared" si="5"/>
        <v/>
      </c>
      <c r="J133" s="141" t="str">
        <f>IF(ISNONTEXT(node_raw[[#This Row],[Column7]]), "", node_raw[[#This Row],[Column7]]/100)</f>
        <v/>
      </c>
      <c r="K133" s="142" t="str">
        <f>IF(ISNONTEXT(node_raw[[#This Row],[Column8]]), "", node_raw[[#This Row],[Column8]]/100)</f>
        <v/>
      </c>
      <c r="L133" s="143" t="str">
        <f>IF(ISNONTEXT(node_raw[[#This Row],[Column9]]), "", node_raw[[#This Row],[Column9]]/1)</f>
        <v/>
      </c>
      <c r="M133" s="144" t="str">
        <f>IF(ISNONTEXT(node_raw[[#This Row],[Column10]]), "", node_raw[[#This Row],[Column10]]/1)</f>
        <v/>
      </c>
    </row>
    <row r="134" spans="2:13" ht="15.75" customHeight="1" x14ac:dyDescent="0.25">
      <c r="B134" s="30" t="str">
        <f>IF(ISNONTEXT(node_raw[[#This Row],[Column1]]), "", node_raw[[#This Row],[Column1]])</f>
        <v/>
      </c>
      <c r="C134" s="27" t="str">
        <f>IF(ISNONTEXT(node_raw[[#This Row],[Column2]]), "", node_raw[[#This Row],[Column2]])</f>
        <v/>
      </c>
      <c r="D134" s="54" t="str">
        <f>IF(ISNUMBER(node_raw[[#This Row],[Column3]]), node_raw[[#This Row],[Column3]],"")</f>
        <v/>
      </c>
      <c r="E134" s="57" t="str">
        <f>IF(ISNUMBER(node_raw[[#This Row],[Column4]]), node_raw[[#This Row],[Column4]]/1048576,"")</f>
        <v/>
      </c>
      <c r="F134" s="139" t="str">
        <f>IF(ISNUMBER(node_raw[[#This Row],[Column5]]), node_raw[[#This Row],[Column5]],"")</f>
        <v/>
      </c>
      <c r="G134" s="153" t="str">
        <f t="shared" si="4"/>
        <v/>
      </c>
      <c r="H134" s="140" t="str">
        <f>IF(ISNUMBER(node_raw[[#This Row],[Column6]]), node_raw[[#This Row],[Column6]]/1048576,"")</f>
        <v/>
      </c>
      <c r="I134" s="157" t="str">
        <f t="shared" si="5"/>
        <v/>
      </c>
      <c r="J134" s="141" t="str">
        <f>IF(ISNONTEXT(node_raw[[#This Row],[Column7]]), "", node_raw[[#This Row],[Column7]]/100)</f>
        <v/>
      </c>
      <c r="K134" s="142" t="str">
        <f>IF(ISNONTEXT(node_raw[[#This Row],[Column8]]), "", node_raw[[#This Row],[Column8]]/100)</f>
        <v/>
      </c>
      <c r="L134" s="143" t="str">
        <f>IF(ISNONTEXT(node_raw[[#This Row],[Column9]]), "", node_raw[[#This Row],[Column9]]/1)</f>
        <v/>
      </c>
      <c r="M134" s="144" t="str">
        <f>IF(ISNONTEXT(node_raw[[#This Row],[Column10]]), "", node_raw[[#This Row],[Column10]]/1)</f>
        <v/>
      </c>
    </row>
    <row r="135" spans="2:13" ht="15.75" customHeight="1" x14ac:dyDescent="0.25">
      <c r="B135" s="30" t="str">
        <f>IF(ISNONTEXT(node_raw[[#This Row],[Column1]]), "", node_raw[[#This Row],[Column1]])</f>
        <v/>
      </c>
      <c r="C135" s="27" t="str">
        <f>IF(ISNONTEXT(node_raw[[#This Row],[Column2]]), "", node_raw[[#This Row],[Column2]])</f>
        <v/>
      </c>
      <c r="D135" s="54" t="str">
        <f>IF(ISNUMBER(node_raw[[#This Row],[Column3]]), node_raw[[#This Row],[Column3]],"")</f>
        <v/>
      </c>
      <c r="E135" s="57" t="str">
        <f>IF(ISNUMBER(node_raw[[#This Row],[Column4]]), node_raw[[#This Row],[Column4]]/1048576,"")</f>
        <v/>
      </c>
      <c r="F135" s="139" t="str">
        <f>IF(ISNUMBER(node_raw[[#This Row],[Column5]]), node_raw[[#This Row],[Column5]],"")</f>
        <v/>
      </c>
      <c r="G135" s="153" t="str">
        <f t="shared" si="4"/>
        <v/>
      </c>
      <c r="H135" s="140" t="str">
        <f>IF(ISNUMBER(node_raw[[#This Row],[Column6]]), node_raw[[#This Row],[Column6]]/1048576,"")</f>
        <v/>
      </c>
      <c r="I135" s="157" t="str">
        <f t="shared" si="5"/>
        <v/>
      </c>
      <c r="J135" s="141" t="str">
        <f>IF(ISNONTEXT(node_raw[[#This Row],[Column7]]), "", node_raw[[#This Row],[Column7]]/100)</f>
        <v/>
      </c>
      <c r="K135" s="142" t="str">
        <f>IF(ISNONTEXT(node_raw[[#This Row],[Column8]]), "", node_raw[[#This Row],[Column8]]/100)</f>
        <v/>
      </c>
      <c r="L135" s="143" t="str">
        <f>IF(ISNONTEXT(node_raw[[#This Row],[Column9]]), "", node_raw[[#This Row],[Column9]]/1)</f>
        <v/>
      </c>
      <c r="M135" s="144" t="str">
        <f>IF(ISNONTEXT(node_raw[[#This Row],[Column10]]), "", node_raw[[#This Row],[Column10]]/1)</f>
        <v/>
      </c>
    </row>
    <row r="136" spans="2:13" ht="15.75" customHeight="1" x14ac:dyDescent="0.25">
      <c r="B136" s="30" t="str">
        <f>IF(ISNONTEXT(node_raw[[#This Row],[Column1]]), "", node_raw[[#This Row],[Column1]])</f>
        <v/>
      </c>
      <c r="C136" s="27" t="str">
        <f>IF(ISNONTEXT(node_raw[[#This Row],[Column2]]), "", node_raw[[#This Row],[Column2]])</f>
        <v/>
      </c>
      <c r="D136" s="54" t="str">
        <f>IF(ISNUMBER(node_raw[[#This Row],[Column3]]), node_raw[[#This Row],[Column3]],"")</f>
        <v/>
      </c>
      <c r="E136" s="57" t="str">
        <f>IF(ISNUMBER(node_raw[[#This Row],[Column4]]), node_raw[[#This Row],[Column4]]/1048576,"")</f>
        <v/>
      </c>
      <c r="F136" s="139" t="str">
        <f>IF(ISNUMBER(node_raw[[#This Row],[Column5]]), node_raw[[#This Row],[Column5]],"")</f>
        <v/>
      </c>
      <c r="G136" s="153" t="str">
        <f t="shared" si="4"/>
        <v/>
      </c>
      <c r="H136" s="140" t="str">
        <f>IF(ISNUMBER(node_raw[[#This Row],[Column6]]), node_raw[[#This Row],[Column6]]/1048576,"")</f>
        <v/>
      </c>
      <c r="I136" s="157" t="str">
        <f t="shared" si="5"/>
        <v/>
      </c>
      <c r="J136" s="141" t="str">
        <f>IF(ISNONTEXT(node_raw[[#This Row],[Column7]]), "", node_raw[[#This Row],[Column7]]/100)</f>
        <v/>
      </c>
      <c r="K136" s="142" t="str">
        <f>IF(ISNONTEXT(node_raw[[#This Row],[Column8]]), "", node_raw[[#This Row],[Column8]]/100)</f>
        <v/>
      </c>
      <c r="L136" s="143" t="str">
        <f>IF(ISNONTEXT(node_raw[[#This Row],[Column9]]), "", node_raw[[#This Row],[Column9]]/1)</f>
        <v/>
      </c>
      <c r="M136" s="144" t="str">
        <f>IF(ISNONTEXT(node_raw[[#This Row],[Column10]]), "", node_raw[[#This Row],[Column10]]/1)</f>
        <v/>
      </c>
    </row>
    <row r="137" spans="2:13" ht="15.75" customHeight="1" x14ac:dyDescent="0.25">
      <c r="B137" s="30" t="str">
        <f>IF(ISNONTEXT(node_raw[[#This Row],[Column1]]), "", node_raw[[#This Row],[Column1]])</f>
        <v/>
      </c>
      <c r="C137" s="27" t="str">
        <f>IF(ISNONTEXT(node_raw[[#This Row],[Column2]]), "", node_raw[[#This Row],[Column2]])</f>
        <v/>
      </c>
      <c r="D137" s="54" t="str">
        <f>IF(ISNUMBER(node_raw[[#This Row],[Column3]]), node_raw[[#This Row],[Column3]],"")</f>
        <v/>
      </c>
      <c r="E137" s="57" t="str">
        <f>IF(ISNUMBER(node_raw[[#This Row],[Column4]]), node_raw[[#This Row],[Column4]]/1048576,"")</f>
        <v/>
      </c>
      <c r="F137" s="139" t="str">
        <f>IF(ISNUMBER(node_raw[[#This Row],[Column5]]), node_raw[[#This Row],[Column5]],"")</f>
        <v/>
      </c>
      <c r="G137" s="153" t="str">
        <f t="shared" si="4"/>
        <v/>
      </c>
      <c r="H137" s="140" t="str">
        <f>IF(ISNUMBER(node_raw[[#This Row],[Column6]]), node_raw[[#This Row],[Column6]]/1048576,"")</f>
        <v/>
      </c>
      <c r="I137" s="157" t="str">
        <f t="shared" si="5"/>
        <v/>
      </c>
      <c r="J137" s="141" t="str">
        <f>IF(ISNONTEXT(node_raw[[#This Row],[Column7]]), "", node_raw[[#This Row],[Column7]]/100)</f>
        <v/>
      </c>
      <c r="K137" s="142" t="str">
        <f>IF(ISNONTEXT(node_raw[[#This Row],[Column8]]), "", node_raw[[#This Row],[Column8]]/100)</f>
        <v/>
      </c>
      <c r="L137" s="143" t="str">
        <f>IF(ISNONTEXT(node_raw[[#This Row],[Column9]]), "", node_raw[[#This Row],[Column9]]/1)</f>
        <v/>
      </c>
      <c r="M137" s="144" t="str">
        <f>IF(ISNONTEXT(node_raw[[#This Row],[Column10]]), "", node_raw[[#This Row],[Column10]]/1)</f>
        <v/>
      </c>
    </row>
    <row r="138" spans="2:13" ht="15.75" customHeight="1" x14ac:dyDescent="0.25">
      <c r="B138" s="30" t="str">
        <f>IF(ISNONTEXT(node_raw[[#This Row],[Column1]]), "", node_raw[[#This Row],[Column1]])</f>
        <v/>
      </c>
      <c r="C138" s="27" t="str">
        <f>IF(ISNONTEXT(node_raw[[#This Row],[Column2]]), "", node_raw[[#This Row],[Column2]])</f>
        <v/>
      </c>
      <c r="D138" s="54" t="str">
        <f>IF(ISNUMBER(node_raw[[#This Row],[Column3]]), node_raw[[#This Row],[Column3]],"")</f>
        <v/>
      </c>
      <c r="E138" s="57" t="str">
        <f>IF(ISNUMBER(node_raw[[#This Row],[Column4]]), node_raw[[#This Row],[Column4]]/1048576,"")</f>
        <v/>
      </c>
      <c r="F138" s="139" t="str">
        <f>IF(ISNUMBER(node_raw[[#This Row],[Column5]]), node_raw[[#This Row],[Column5]],"")</f>
        <v/>
      </c>
      <c r="G138" s="153" t="str">
        <f t="shared" si="4"/>
        <v/>
      </c>
      <c r="H138" s="140" t="str">
        <f>IF(ISNUMBER(node_raw[[#This Row],[Column6]]), node_raw[[#This Row],[Column6]]/1048576,"")</f>
        <v/>
      </c>
      <c r="I138" s="157" t="str">
        <f t="shared" si="5"/>
        <v/>
      </c>
      <c r="J138" s="141" t="str">
        <f>IF(ISNONTEXT(node_raw[[#This Row],[Column7]]), "", node_raw[[#This Row],[Column7]]/100)</f>
        <v/>
      </c>
      <c r="K138" s="142" t="str">
        <f>IF(ISNONTEXT(node_raw[[#This Row],[Column8]]), "", node_raw[[#This Row],[Column8]]/100)</f>
        <v/>
      </c>
      <c r="L138" s="143" t="str">
        <f>IF(ISNONTEXT(node_raw[[#This Row],[Column9]]), "", node_raw[[#This Row],[Column9]]/1)</f>
        <v/>
      </c>
      <c r="M138" s="144" t="str">
        <f>IF(ISNONTEXT(node_raw[[#This Row],[Column10]]), "", node_raw[[#This Row],[Column10]]/1)</f>
        <v/>
      </c>
    </row>
    <row r="139" spans="2:13" ht="15.75" customHeight="1" x14ac:dyDescent="0.25">
      <c r="B139" s="30" t="str">
        <f>IF(ISNONTEXT(node_raw[[#This Row],[Column1]]), "", node_raw[[#This Row],[Column1]])</f>
        <v/>
      </c>
      <c r="C139" s="27" t="str">
        <f>IF(ISNONTEXT(node_raw[[#This Row],[Column2]]), "", node_raw[[#This Row],[Column2]])</f>
        <v/>
      </c>
      <c r="D139" s="54" t="str">
        <f>IF(ISNUMBER(node_raw[[#This Row],[Column3]]), node_raw[[#This Row],[Column3]],"")</f>
        <v/>
      </c>
      <c r="E139" s="57" t="str">
        <f>IF(ISNUMBER(node_raw[[#This Row],[Column4]]), node_raw[[#This Row],[Column4]]/1048576,"")</f>
        <v/>
      </c>
      <c r="F139" s="139" t="str">
        <f>IF(ISNUMBER(node_raw[[#This Row],[Column5]]), node_raw[[#This Row],[Column5]],"")</f>
        <v/>
      </c>
      <c r="G139" s="153" t="str">
        <f t="shared" si="4"/>
        <v/>
      </c>
      <c r="H139" s="140" t="str">
        <f>IF(ISNUMBER(node_raw[[#This Row],[Column6]]), node_raw[[#This Row],[Column6]]/1048576,"")</f>
        <v/>
      </c>
      <c r="I139" s="157" t="str">
        <f t="shared" si="5"/>
        <v/>
      </c>
      <c r="J139" s="141" t="str">
        <f>IF(ISNONTEXT(node_raw[[#This Row],[Column7]]), "", node_raw[[#This Row],[Column7]]/100)</f>
        <v/>
      </c>
      <c r="K139" s="142" t="str">
        <f>IF(ISNONTEXT(node_raw[[#This Row],[Column8]]), "", node_raw[[#This Row],[Column8]]/100)</f>
        <v/>
      </c>
      <c r="L139" s="143" t="str">
        <f>IF(ISNONTEXT(node_raw[[#This Row],[Column9]]), "", node_raw[[#This Row],[Column9]]/1)</f>
        <v/>
      </c>
      <c r="M139" s="144" t="str">
        <f>IF(ISNONTEXT(node_raw[[#This Row],[Column10]]), "", node_raw[[#This Row],[Column10]]/1)</f>
        <v/>
      </c>
    </row>
    <row r="140" spans="2:13" ht="15.75" customHeight="1" x14ac:dyDescent="0.25">
      <c r="B140" s="30" t="str">
        <f>IF(ISNONTEXT(node_raw[[#This Row],[Column1]]), "", node_raw[[#This Row],[Column1]])</f>
        <v/>
      </c>
      <c r="C140" s="27" t="str">
        <f>IF(ISNONTEXT(node_raw[[#This Row],[Column2]]), "", node_raw[[#This Row],[Column2]])</f>
        <v/>
      </c>
      <c r="D140" s="54" t="str">
        <f>IF(ISNUMBER(node_raw[[#This Row],[Column3]]), node_raw[[#This Row],[Column3]],"")</f>
        <v/>
      </c>
      <c r="E140" s="57" t="str">
        <f>IF(ISNUMBER(node_raw[[#This Row],[Column4]]), node_raw[[#This Row],[Column4]]/1048576,"")</f>
        <v/>
      </c>
      <c r="F140" s="139" t="str">
        <f>IF(ISNUMBER(node_raw[[#This Row],[Column5]]), node_raw[[#This Row],[Column5]],"")</f>
        <v/>
      </c>
      <c r="G140" s="153" t="str">
        <f t="shared" si="4"/>
        <v/>
      </c>
      <c r="H140" s="140" t="str">
        <f>IF(ISNUMBER(node_raw[[#This Row],[Column6]]), node_raw[[#This Row],[Column6]]/1048576,"")</f>
        <v/>
      </c>
      <c r="I140" s="157" t="str">
        <f t="shared" si="5"/>
        <v/>
      </c>
      <c r="J140" s="141" t="str">
        <f>IF(ISNONTEXT(node_raw[[#This Row],[Column7]]), "", node_raw[[#This Row],[Column7]]/100)</f>
        <v/>
      </c>
      <c r="K140" s="142" t="str">
        <f>IF(ISNONTEXT(node_raw[[#This Row],[Column8]]), "", node_raw[[#This Row],[Column8]]/100)</f>
        <v/>
      </c>
      <c r="L140" s="143" t="str">
        <f>IF(ISNONTEXT(node_raw[[#This Row],[Column9]]), "", node_raw[[#This Row],[Column9]]/1)</f>
        <v/>
      </c>
      <c r="M140" s="144" t="str">
        <f>IF(ISNONTEXT(node_raw[[#This Row],[Column10]]), "", node_raw[[#This Row],[Column10]]/1)</f>
        <v/>
      </c>
    </row>
    <row r="141" spans="2:13" ht="15.75" customHeight="1" x14ac:dyDescent="0.25">
      <c r="B141" s="30" t="str">
        <f>IF(ISNONTEXT(node_raw[[#This Row],[Column1]]), "", node_raw[[#This Row],[Column1]])</f>
        <v/>
      </c>
      <c r="C141" s="27" t="str">
        <f>IF(ISNONTEXT(node_raw[[#This Row],[Column2]]), "", node_raw[[#This Row],[Column2]])</f>
        <v/>
      </c>
      <c r="D141" s="54" t="str">
        <f>IF(ISNUMBER(node_raw[[#This Row],[Column3]]), node_raw[[#This Row],[Column3]],"")</f>
        <v/>
      </c>
      <c r="E141" s="57" t="str">
        <f>IF(ISNUMBER(node_raw[[#This Row],[Column4]]), node_raw[[#This Row],[Column4]]/1048576,"")</f>
        <v/>
      </c>
      <c r="F141" s="139" t="str">
        <f>IF(ISNUMBER(node_raw[[#This Row],[Column5]]), node_raw[[#This Row],[Column5]],"")</f>
        <v/>
      </c>
      <c r="G141" s="153" t="str">
        <f t="shared" si="4"/>
        <v/>
      </c>
      <c r="H141" s="140" t="str">
        <f>IF(ISNUMBER(node_raw[[#This Row],[Column6]]), node_raw[[#This Row],[Column6]]/1048576,"")</f>
        <v/>
      </c>
      <c r="I141" s="157" t="str">
        <f t="shared" si="5"/>
        <v/>
      </c>
      <c r="J141" s="141" t="str">
        <f>IF(ISNONTEXT(node_raw[[#This Row],[Column7]]), "", node_raw[[#This Row],[Column7]]/100)</f>
        <v/>
      </c>
      <c r="K141" s="142" t="str">
        <f>IF(ISNONTEXT(node_raw[[#This Row],[Column8]]), "", node_raw[[#This Row],[Column8]]/100)</f>
        <v/>
      </c>
      <c r="L141" s="143" t="str">
        <f>IF(ISNONTEXT(node_raw[[#This Row],[Column9]]), "", node_raw[[#This Row],[Column9]]/1)</f>
        <v/>
      </c>
      <c r="M141" s="144" t="str">
        <f>IF(ISNONTEXT(node_raw[[#This Row],[Column10]]), "", node_raw[[#This Row],[Column10]]/1)</f>
        <v/>
      </c>
    </row>
    <row r="142" spans="2:13" ht="15.75" customHeight="1" x14ac:dyDescent="0.25">
      <c r="B142" s="30" t="str">
        <f>IF(ISNONTEXT(node_raw[[#This Row],[Column1]]), "", node_raw[[#This Row],[Column1]])</f>
        <v/>
      </c>
      <c r="C142" s="27" t="str">
        <f>IF(ISNONTEXT(node_raw[[#This Row],[Column2]]), "", node_raw[[#This Row],[Column2]])</f>
        <v/>
      </c>
      <c r="D142" s="54" t="str">
        <f>IF(ISNUMBER(node_raw[[#This Row],[Column3]]), node_raw[[#This Row],[Column3]],"")</f>
        <v/>
      </c>
      <c r="E142" s="57" t="str">
        <f>IF(ISNUMBER(node_raw[[#This Row],[Column4]]), node_raw[[#This Row],[Column4]]/1048576,"")</f>
        <v/>
      </c>
      <c r="F142" s="139" t="str">
        <f>IF(ISNUMBER(node_raw[[#This Row],[Column5]]), node_raw[[#This Row],[Column5]],"")</f>
        <v/>
      </c>
      <c r="G142" s="153" t="str">
        <f t="shared" si="4"/>
        <v/>
      </c>
      <c r="H142" s="140" t="str">
        <f>IF(ISNUMBER(node_raw[[#This Row],[Column6]]), node_raw[[#This Row],[Column6]]/1048576,"")</f>
        <v/>
      </c>
      <c r="I142" s="157" t="str">
        <f t="shared" si="5"/>
        <v/>
      </c>
      <c r="J142" s="141" t="str">
        <f>IF(ISNONTEXT(node_raw[[#This Row],[Column7]]), "", node_raw[[#This Row],[Column7]]/100)</f>
        <v/>
      </c>
      <c r="K142" s="142" t="str">
        <f>IF(ISNONTEXT(node_raw[[#This Row],[Column8]]), "", node_raw[[#This Row],[Column8]]/100)</f>
        <v/>
      </c>
      <c r="L142" s="143" t="str">
        <f>IF(ISNONTEXT(node_raw[[#This Row],[Column9]]), "", node_raw[[#This Row],[Column9]]/1)</f>
        <v/>
      </c>
      <c r="M142" s="144" t="str">
        <f>IF(ISNONTEXT(node_raw[[#This Row],[Column10]]), "", node_raw[[#This Row],[Column10]]/1)</f>
        <v/>
      </c>
    </row>
    <row r="143" spans="2:13" ht="15.75" customHeight="1" x14ac:dyDescent="0.25">
      <c r="B143" s="30" t="str">
        <f>IF(ISNONTEXT(node_raw[[#This Row],[Column1]]), "", node_raw[[#This Row],[Column1]])</f>
        <v/>
      </c>
      <c r="C143" s="27" t="str">
        <f>IF(ISNONTEXT(node_raw[[#This Row],[Column2]]), "", node_raw[[#This Row],[Column2]])</f>
        <v/>
      </c>
      <c r="D143" s="54" t="str">
        <f>IF(ISNUMBER(node_raw[[#This Row],[Column3]]), node_raw[[#This Row],[Column3]],"")</f>
        <v/>
      </c>
      <c r="E143" s="57" t="str">
        <f>IF(ISNUMBER(node_raw[[#This Row],[Column4]]), node_raw[[#This Row],[Column4]]/1048576,"")</f>
        <v/>
      </c>
      <c r="F143" s="139" t="str">
        <f>IF(ISNUMBER(node_raw[[#This Row],[Column5]]), node_raw[[#This Row],[Column5]],"")</f>
        <v/>
      </c>
      <c r="G143" s="153" t="str">
        <f t="shared" si="4"/>
        <v/>
      </c>
      <c r="H143" s="140" t="str">
        <f>IF(ISNUMBER(node_raw[[#This Row],[Column6]]), node_raw[[#This Row],[Column6]]/1048576,"")</f>
        <v/>
      </c>
      <c r="I143" s="157" t="str">
        <f t="shared" si="5"/>
        <v/>
      </c>
      <c r="J143" s="141" t="str">
        <f>IF(ISNONTEXT(node_raw[[#This Row],[Column7]]), "", node_raw[[#This Row],[Column7]]/100)</f>
        <v/>
      </c>
      <c r="K143" s="142" t="str">
        <f>IF(ISNONTEXT(node_raw[[#This Row],[Column8]]), "", node_raw[[#This Row],[Column8]]/100)</f>
        <v/>
      </c>
      <c r="L143" s="143" t="str">
        <f>IF(ISNONTEXT(node_raw[[#This Row],[Column9]]), "", node_raw[[#This Row],[Column9]]/1)</f>
        <v/>
      </c>
      <c r="M143" s="144" t="str">
        <f>IF(ISNONTEXT(node_raw[[#This Row],[Column10]]), "", node_raw[[#This Row],[Column10]]/1)</f>
        <v/>
      </c>
    </row>
    <row r="144" spans="2:13" ht="15.75" customHeight="1" x14ac:dyDescent="0.25">
      <c r="B144" s="30" t="str">
        <f>IF(ISNONTEXT(node_raw[[#This Row],[Column1]]), "", node_raw[[#This Row],[Column1]])</f>
        <v/>
      </c>
      <c r="C144" s="27" t="str">
        <f>IF(ISNONTEXT(node_raw[[#This Row],[Column2]]), "", node_raw[[#This Row],[Column2]])</f>
        <v/>
      </c>
      <c r="D144" s="54" t="str">
        <f>IF(ISNUMBER(node_raw[[#This Row],[Column3]]), node_raw[[#This Row],[Column3]],"")</f>
        <v/>
      </c>
      <c r="E144" s="57" t="str">
        <f>IF(ISNUMBER(node_raw[[#This Row],[Column4]]), node_raw[[#This Row],[Column4]]/1048576,"")</f>
        <v/>
      </c>
      <c r="F144" s="139" t="str">
        <f>IF(ISNUMBER(node_raw[[#This Row],[Column5]]), node_raw[[#This Row],[Column5]],"")</f>
        <v/>
      </c>
      <c r="G144" s="153" t="str">
        <f t="shared" si="4"/>
        <v/>
      </c>
      <c r="H144" s="140" t="str">
        <f>IF(ISNUMBER(node_raw[[#This Row],[Column6]]), node_raw[[#This Row],[Column6]]/1048576,"")</f>
        <v/>
      </c>
      <c r="I144" s="157" t="str">
        <f t="shared" si="5"/>
        <v/>
      </c>
      <c r="J144" s="141" t="str">
        <f>IF(ISNONTEXT(node_raw[[#This Row],[Column7]]), "", node_raw[[#This Row],[Column7]]/100)</f>
        <v/>
      </c>
      <c r="K144" s="142" t="str">
        <f>IF(ISNONTEXT(node_raw[[#This Row],[Column8]]), "", node_raw[[#This Row],[Column8]]/100)</f>
        <v/>
      </c>
      <c r="L144" s="143" t="str">
        <f>IF(ISNONTEXT(node_raw[[#This Row],[Column9]]), "", node_raw[[#This Row],[Column9]]/1)</f>
        <v/>
      </c>
      <c r="M144" s="144" t="str">
        <f>IF(ISNONTEXT(node_raw[[#This Row],[Column10]]), "", node_raw[[#This Row],[Column10]]/1)</f>
        <v/>
      </c>
    </row>
    <row r="145" spans="2:13" ht="15.75" customHeight="1" x14ac:dyDescent="0.25">
      <c r="B145" s="30" t="str">
        <f>IF(ISNONTEXT(node_raw[[#This Row],[Column1]]), "", node_raw[[#This Row],[Column1]])</f>
        <v/>
      </c>
      <c r="C145" s="27" t="str">
        <f>IF(ISNONTEXT(node_raw[[#This Row],[Column2]]), "", node_raw[[#This Row],[Column2]])</f>
        <v/>
      </c>
      <c r="D145" s="54" t="str">
        <f>IF(ISNUMBER(node_raw[[#This Row],[Column3]]), node_raw[[#This Row],[Column3]],"")</f>
        <v/>
      </c>
      <c r="E145" s="57" t="str">
        <f>IF(ISNUMBER(node_raw[[#This Row],[Column4]]), node_raw[[#This Row],[Column4]]/1048576,"")</f>
        <v/>
      </c>
      <c r="F145" s="139" t="str">
        <f>IF(ISNUMBER(node_raw[[#This Row],[Column5]]), node_raw[[#This Row],[Column5]],"")</f>
        <v/>
      </c>
      <c r="G145" s="153" t="str">
        <f t="shared" si="4"/>
        <v/>
      </c>
      <c r="H145" s="140" t="str">
        <f>IF(ISNUMBER(node_raw[[#This Row],[Column6]]), node_raw[[#This Row],[Column6]]/1048576,"")</f>
        <v/>
      </c>
      <c r="I145" s="157" t="str">
        <f t="shared" si="5"/>
        <v/>
      </c>
      <c r="J145" s="141" t="str">
        <f>IF(ISNONTEXT(node_raw[[#This Row],[Column7]]), "", node_raw[[#This Row],[Column7]]/100)</f>
        <v/>
      </c>
      <c r="K145" s="142" t="str">
        <f>IF(ISNONTEXT(node_raw[[#This Row],[Column8]]), "", node_raw[[#This Row],[Column8]]/100)</f>
        <v/>
      </c>
      <c r="L145" s="143" t="str">
        <f>IF(ISNONTEXT(node_raw[[#This Row],[Column9]]), "", node_raw[[#This Row],[Column9]]/1)</f>
        <v/>
      </c>
      <c r="M145" s="144" t="str">
        <f>IF(ISNONTEXT(node_raw[[#This Row],[Column10]]), "", node_raw[[#This Row],[Column10]]/1)</f>
        <v/>
      </c>
    </row>
    <row r="146" spans="2:13" ht="15.75" customHeight="1" x14ac:dyDescent="0.25">
      <c r="B146" s="30" t="str">
        <f>IF(ISNONTEXT(node_raw[[#This Row],[Column1]]), "", node_raw[[#This Row],[Column1]])</f>
        <v/>
      </c>
      <c r="C146" s="27" t="str">
        <f>IF(ISNONTEXT(node_raw[[#This Row],[Column2]]), "", node_raw[[#This Row],[Column2]])</f>
        <v/>
      </c>
      <c r="D146" s="54" t="str">
        <f>IF(ISNUMBER(node_raw[[#This Row],[Column3]]), node_raw[[#This Row],[Column3]],"")</f>
        <v/>
      </c>
      <c r="E146" s="57" t="str">
        <f>IF(ISNUMBER(node_raw[[#This Row],[Column4]]), node_raw[[#This Row],[Column4]]/1048576,"")</f>
        <v/>
      </c>
      <c r="F146" s="139" t="str">
        <f>IF(ISNUMBER(node_raw[[#This Row],[Column5]]), node_raw[[#This Row],[Column5]],"")</f>
        <v/>
      </c>
      <c r="G146" s="153" t="str">
        <f t="shared" si="4"/>
        <v/>
      </c>
      <c r="H146" s="140" t="str">
        <f>IF(ISNUMBER(node_raw[[#This Row],[Column6]]), node_raw[[#This Row],[Column6]]/1048576,"")</f>
        <v/>
      </c>
      <c r="I146" s="157" t="str">
        <f t="shared" si="5"/>
        <v/>
      </c>
      <c r="J146" s="141" t="str">
        <f>IF(ISNONTEXT(node_raw[[#This Row],[Column7]]), "", node_raw[[#This Row],[Column7]]/100)</f>
        <v/>
      </c>
      <c r="K146" s="142" t="str">
        <f>IF(ISNONTEXT(node_raw[[#This Row],[Column8]]), "", node_raw[[#This Row],[Column8]]/100)</f>
        <v/>
      </c>
      <c r="L146" s="143" t="str">
        <f>IF(ISNONTEXT(node_raw[[#This Row],[Column9]]), "", node_raw[[#This Row],[Column9]]/1)</f>
        <v/>
      </c>
      <c r="M146" s="144" t="str">
        <f>IF(ISNONTEXT(node_raw[[#This Row],[Column10]]), "", node_raw[[#This Row],[Column10]]/1)</f>
        <v/>
      </c>
    </row>
    <row r="147" spans="2:13" ht="15.75" customHeight="1" x14ac:dyDescent="0.25">
      <c r="B147" s="30" t="str">
        <f>IF(ISNONTEXT(node_raw[[#This Row],[Column1]]), "", node_raw[[#This Row],[Column1]])</f>
        <v/>
      </c>
      <c r="C147" s="27" t="str">
        <f>IF(ISNONTEXT(node_raw[[#This Row],[Column2]]), "", node_raw[[#This Row],[Column2]])</f>
        <v/>
      </c>
      <c r="D147" s="54" t="str">
        <f>IF(ISNUMBER(node_raw[[#This Row],[Column3]]), node_raw[[#This Row],[Column3]],"")</f>
        <v/>
      </c>
      <c r="E147" s="57" t="str">
        <f>IF(ISNUMBER(node_raw[[#This Row],[Column4]]), node_raw[[#This Row],[Column4]]/1048576,"")</f>
        <v/>
      </c>
      <c r="F147" s="139" t="str">
        <f>IF(ISNUMBER(node_raw[[#This Row],[Column5]]), node_raw[[#This Row],[Column5]],"")</f>
        <v/>
      </c>
      <c r="G147" s="153" t="str">
        <f t="shared" si="4"/>
        <v/>
      </c>
      <c r="H147" s="140" t="str">
        <f>IF(ISNUMBER(node_raw[[#This Row],[Column6]]), node_raw[[#This Row],[Column6]]/1048576,"")</f>
        <v/>
      </c>
      <c r="I147" s="157" t="str">
        <f t="shared" si="5"/>
        <v/>
      </c>
      <c r="J147" s="141" t="str">
        <f>IF(ISNONTEXT(node_raw[[#This Row],[Column7]]), "", node_raw[[#This Row],[Column7]]/100)</f>
        <v/>
      </c>
      <c r="K147" s="142" t="str">
        <f>IF(ISNONTEXT(node_raw[[#This Row],[Column8]]), "", node_raw[[#This Row],[Column8]]/100)</f>
        <v/>
      </c>
      <c r="L147" s="143" t="str">
        <f>IF(ISNONTEXT(node_raw[[#This Row],[Column9]]), "", node_raw[[#This Row],[Column9]]/1)</f>
        <v/>
      </c>
      <c r="M147" s="144" t="str">
        <f>IF(ISNONTEXT(node_raw[[#This Row],[Column10]]), "", node_raw[[#This Row],[Column10]]/1)</f>
        <v/>
      </c>
    </row>
    <row r="148" spans="2:13" ht="15.75" customHeight="1" x14ac:dyDescent="0.25">
      <c r="B148" s="30" t="str">
        <f>IF(ISNONTEXT(node_raw[[#This Row],[Column1]]), "", node_raw[[#This Row],[Column1]])</f>
        <v/>
      </c>
      <c r="C148" s="27" t="str">
        <f>IF(ISNONTEXT(node_raw[[#This Row],[Column2]]), "", node_raw[[#This Row],[Column2]])</f>
        <v/>
      </c>
      <c r="D148" s="54" t="str">
        <f>IF(ISNUMBER(node_raw[[#This Row],[Column3]]), node_raw[[#This Row],[Column3]],"")</f>
        <v/>
      </c>
      <c r="E148" s="57" t="str">
        <f>IF(ISNUMBER(node_raw[[#This Row],[Column4]]), node_raw[[#This Row],[Column4]]/1048576,"")</f>
        <v/>
      </c>
      <c r="F148" s="139" t="str">
        <f>IF(ISNUMBER(node_raw[[#This Row],[Column5]]), node_raw[[#This Row],[Column5]],"")</f>
        <v/>
      </c>
      <c r="G148" s="153" t="str">
        <f t="shared" si="4"/>
        <v/>
      </c>
      <c r="H148" s="140" t="str">
        <f>IF(ISNUMBER(node_raw[[#This Row],[Column6]]), node_raw[[#This Row],[Column6]]/1048576,"")</f>
        <v/>
      </c>
      <c r="I148" s="157" t="str">
        <f t="shared" si="5"/>
        <v/>
      </c>
      <c r="J148" s="141" t="str">
        <f>IF(ISNONTEXT(node_raw[[#This Row],[Column7]]), "", node_raw[[#This Row],[Column7]]/100)</f>
        <v/>
      </c>
      <c r="K148" s="142" t="str">
        <f>IF(ISNONTEXT(node_raw[[#This Row],[Column8]]), "", node_raw[[#This Row],[Column8]]/100)</f>
        <v/>
      </c>
      <c r="L148" s="143" t="str">
        <f>IF(ISNONTEXT(node_raw[[#This Row],[Column9]]), "", node_raw[[#This Row],[Column9]]/1)</f>
        <v/>
      </c>
      <c r="M148" s="144" t="str">
        <f>IF(ISNONTEXT(node_raw[[#This Row],[Column10]]), "", node_raw[[#This Row],[Column10]]/1)</f>
        <v/>
      </c>
    </row>
    <row r="149" spans="2:13" ht="15.75" customHeight="1" x14ac:dyDescent="0.25">
      <c r="B149" s="30" t="str">
        <f>IF(ISNONTEXT(node_raw[[#This Row],[Column1]]), "", node_raw[[#This Row],[Column1]])</f>
        <v/>
      </c>
      <c r="C149" s="27" t="str">
        <f>IF(ISNONTEXT(node_raw[[#This Row],[Column2]]), "", node_raw[[#This Row],[Column2]])</f>
        <v/>
      </c>
      <c r="D149" s="54" t="str">
        <f>IF(ISNUMBER(node_raw[[#This Row],[Column3]]), node_raw[[#This Row],[Column3]],"")</f>
        <v/>
      </c>
      <c r="E149" s="57" t="str">
        <f>IF(ISNUMBER(node_raw[[#This Row],[Column4]]), node_raw[[#This Row],[Column4]]/1048576,"")</f>
        <v/>
      </c>
      <c r="F149" s="139" t="str">
        <f>IF(ISNUMBER(node_raw[[#This Row],[Column5]]), node_raw[[#This Row],[Column5]],"")</f>
        <v/>
      </c>
      <c r="G149" s="153" t="str">
        <f t="shared" si="4"/>
        <v/>
      </c>
      <c r="H149" s="140" t="str">
        <f>IF(ISNUMBER(node_raw[[#This Row],[Column6]]), node_raw[[#This Row],[Column6]]/1048576,"")</f>
        <v/>
      </c>
      <c r="I149" s="157" t="str">
        <f t="shared" si="5"/>
        <v/>
      </c>
      <c r="J149" s="141" t="str">
        <f>IF(ISNONTEXT(node_raw[[#This Row],[Column7]]), "", node_raw[[#This Row],[Column7]]/100)</f>
        <v/>
      </c>
      <c r="K149" s="142" t="str">
        <f>IF(ISNONTEXT(node_raw[[#This Row],[Column8]]), "", node_raw[[#This Row],[Column8]]/100)</f>
        <v/>
      </c>
      <c r="L149" s="143" t="str">
        <f>IF(ISNONTEXT(node_raw[[#This Row],[Column9]]), "", node_raw[[#This Row],[Column9]]/1)</f>
        <v/>
      </c>
      <c r="M149" s="144" t="str">
        <f>IF(ISNONTEXT(node_raw[[#This Row],[Column10]]), "", node_raw[[#This Row],[Column10]]/1)</f>
        <v/>
      </c>
    </row>
    <row r="150" spans="2:13" ht="15.75" customHeight="1" x14ac:dyDescent="0.25">
      <c r="B150" s="30" t="str">
        <f>IF(ISNONTEXT(node_raw[[#This Row],[Column1]]), "", node_raw[[#This Row],[Column1]])</f>
        <v/>
      </c>
      <c r="C150" s="27" t="str">
        <f>IF(ISNONTEXT(node_raw[[#This Row],[Column2]]), "", node_raw[[#This Row],[Column2]])</f>
        <v/>
      </c>
      <c r="D150" s="54" t="str">
        <f>IF(ISNUMBER(node_raw[[#This Row],[Column3]]), node_raw[[#This Row],[Column3]],"")</f>
        <v/>
      </c>
      <c r="E150" s="57" t="str">
        <f>IF(ISNUMBER(node_raw[[#This Row],[Column4]]), node_raw[[#This Row],[Column4]]/1048576,"")</f>
        <v/>
      </c>
      <c r="F150" s="139" t="str">
        <f>IF(ISNUMBER(node_raw[[#This Row],[Column5]]), node_raw[[#This Row],[Column5]],"")</f>
        <v/>
      </c>
      <c r="G150" s="153" t="str">
        <f t="shared" si="4"/>
        <v/>
      </c>
      <c r="H150" s="140" t="str">
        <f>IF(ISNUMBER(node_raw[[#This Row],[Column6]]), node_raw[[#This Row],[Column6]]/1048576,"")</f>
        <v/>
      </c>
      <c r="I150" s="157" t="str">
        <f t="shared" si="5"/>
        <v/>
      </c>
      <c r="J150" s="141" t="str">
        <f>IF(ISNONTEXT(node_raw[[#This Row],[Column7]]), "", node_raw[[#This Row],[Column7]]/100)</f>
        <v/>
      </c>
      <c r="K150" s="142" t="str">
        <f>IF(ISNONTEXT(node_raw[[#This Row],[Column8]]), "", node_raw[[#This Row],[Column8]]/100)</f>
        <v/>
      </c>
      <c r="L150" s="143" t="str">
        <f>IF(ISNONTEXT(node_raw[[#This Row],[Column9]]), "", node_raw[[#This Row],[Column9]]/1)</f>
        <v/>
      </c>
      <c r="M150" s="144" t="str">
        <f>IF(ISNONTEXT(node_raw[[#This Row],[Column10]]), "", node_raw[[#This Row],[Column10]]/1)</f>
        <v/>
      </c>
    </row>
    <row r="151" spans="2:13" ht="15.75" customHeight="1" x14ac:dyDescent="0.25">
      <c r="B151" s="30" t="str">
        <f>IF(ISNONTEXT(node_raw[[#This Row],[Column1]]), "", node_raw[[#This Row],[Column1]])</f>
        <v/>
      </c>
      <c r="C151" s="27" t="str">
        <f>IF(ISNONTEXT(node_raw[[#This Row],[Column2]]), "", node_raw[[#This Row],[Column2]])</f>
        <v/>
      </c>
      <c r="D151" s="54" t="str">
        <f>IF(ISNUMBER(node_raw[[#This Row],[Column3]]), node_raw[[#This Row],[Column3]],"")</f>
        <v/>
      </c>
      <c r="E151" s="57" t="str">
        <f>IF(ISNUMBER(node_raw[[#This Row],[Column4]]), node_raw[[#This Row],[Column4]]/1048576,"")</f>
        <v/>
      </c>
      <c r="F151" s="139" t="str">
        <f>IF(ISNUMBER(node_raw[[#This Row],[Column5]]), node_raw[[#This Row],[Column5]],"")</f>
        <v/>
      </c>
      <c r="G151" s="153" t="str">
        <f t="shared" si="4"/>
        <v/>
      </c>
      <c r="H151" s="140" t="str">
        <f>IF(ISNUMBER(node_raw[[#This Row],[Column6]]), node_raw[[#This Row],[Column6]]/1048576,"")</f>
        <v/>
      </c>
      <c r="I151" s="157" t="str">
        <f t="shared" si="5"/>
        <v/>
      </c>
      <c r="J151" s="141" t="str">
        <f>IF(ISNONTEXT(node_raw[[#This Row],[Column7]]), "", node_raw[[#This Row],[Column7]]/100)</f>
        <v/>
      </c>
      <c r="K151" s="142" t="str">
        <f>IF(ISNONTEXT(node_raw[[#This Row],[Column8]]), "", node_raw[[#This Row],[Column8]]/100)</f>
        <v/>
      </c>
      <c r="L151" s="143" t="str">
        <f>IF(ISNONTEXT(node_raw[[#This Row],[Column9]]), "", node_raw[[#This Row],[Column9]]/1)</f>
        <v/>
      </c>
      <c r="M151" s="144" t="str">
        <f>IF(ISNONTEXT(node_raw[[#This Row],[Column10]]), "", node_raw[[#This Row],[Column10]]/1)</f>
        <v/>
      </c>
    </row>
    <row r="152" spans="2:13" ht="15.75" customHeight="1" x14ac:dyDescent="0.25">
      <c r="B152" s="30" t="str">
        <f>IF(ISNONTEXT(node_raw[[#This Row],[Column1]]), "", node_raw[[#This Row],[Column1]])</f>
        <v/>
      </c>
      <c r="C152" s="27" t="str">
        <f>IF(ISNONTEXT(node_raw[[#This Row],[Column2]]), "", node_raw[[#This Row],[Column2]])</f>
        <v/>
      </c>
      <c r="D152" s="54" t="str">
        <f>IF(ISNUMBER(node_raw[[#This Row],[Column3]]), node_raw[[#This Row],[Column3]],"")</f>
        <v/>
      </c>
      <c r="E152" s="57" t="str">
        <f>IF(ISNUMBER(node_raw[[#This Row],[Column4]]), node_raw[[#This Row],[Column4]]/1048576,"")</f>
        <v/>
      </c>
      <c r="F152" s="139" t="str">
        <f>IF(ISNUMBER(node_raw[[#This Row],[Column5]]), node_raw[[#This Row],[Column5]],"")</f>
        <v/>
      </c>
      <c r="G152" s="153" t="str">
        <f t="shared" si="4"/>
        <v/>
      </c>
      <c r="H152" s="140" t="str">
        <f>IF(ISNUMBER(node_raw[[#This Row],[Column6]]), node_raw[[#This Row],[Column6]]/1048576,"")</f>
        <v/>
      </c>
      <c r="I152" s="157" t="str">
        <f t="shared" si="5"/>
        <v/>
      </c>
      <c r="J152" s="141" t="str">
        <f>IF(ISNONTEXT(node_raw[[#This Row],[Column7]]), "", node_raw[[#This Row],[Column7]]/100)</f>
        <v/>
      </c>
      <c r="K152" s="142" t="str">
        <f>IF(ISNONTEXT(node_raw[[#This Row],[Column8]]), "", node_raw[[#This Row],[Column8]]/100)</f>
        <v/>
      </c>
      <c r="L152" s="143" t="str">
        <f>IF(ISNONTEXT(node_raw[[#This Row],[Column9]]), "", node_raw[[#This Row],[Column9]]/1)</f>
        <v/>
      </c>
      <c r="M152" s="144" t="str">
        <f>IF(ISNONTEXT(node_raw[[#This Row],[Column10]]), "", node_raw[[#This Row],[Column10]]/1)</f>
        <v/>
      </c>
    </row>
    <row r="153" spans="2:13" ht="15.75" customHeight="1" x14ac:dyDescent="0.25">
      <c r="B153" s="30" t="str">
        <f>IF(ISNONTEXT(node_raw[[#This Row],[Column1]]), "", node_raw[[#This Row],[Column1]])</f>
        <v/>
      </c>
      <c r="C153" s="27" t="str">
        <f>IF(ISNONTEXT(node_raw[[#This Row],[Column2]]), "", node_raw[[#This Row],[Column2]])</f>
        <v/>
      </c>
      <c r="D153" s="54" t="str">
        <f>IF(ISNUMBER(node_raw[[#This Row],[Column3]]), node_raw[[#This Row],[Column3]],"")</f>
        <v/>
      </c>
      <c r="E153" s="57" t="str">
        <f>IF(ISNUMBER(node_raw[[#This Row],[Column4]]), node_raw[[#This Row],[Column4]]/1048576,"")</f>
        <v/>
      </c>
      <c r="F153" s="139" t="str">
        <f>IF(ISNUMBER(node_raw[[#This Row],[Column5]]), node_raw[[#This Row],[Column5]],"")</f>
        <v/>
      </c>
      <c r="G153" s="153" t="str">
        <f t="shared" si="4"/>
        <v/>
      </c>
      <c r="H153" s="140" t="str">
        <f>IF(ISNUMBER(node_raw[[#This Row],[Column6]]), node_raw[[#This Row],[Column6]]/1048576,"")</f>
        <v/>
      </c>
      <c r="I153" s="157" t="str">
        <f t="shared" si="5"/>
        <v/>
      </c>
      <c r="J153" s="141" t="str">
        <f>IF(ISNONTEXT(node_raw[[#This Row],[Column7]]), "", node_raw[[#This Row],[Column7]]/100)</f>
        <v/>
      </c>
      <c r="K153" s="142" t="str">
        <f>IF(ISNONTEXT(node_raw[[#This Row],[Column8]]), "", node_raw[[#This Row],[Column8]]/100)</f>
        <v/>
      </c>
      <c r="L153" s="143" t="str">
        <f>IF(ISNONTEXT(node_raw[[#This Row],[Column9]]), "", node_raw[[#This Row],[Column9]]/1)</f>
        <v/>
      </c>
      <c r="M153" s="144" t="str">
        <f>IF(ISNONTEXT(node_raw[[#This Row],[Column10]]), "", node_raw[[#This Row],[Column10]]/1)</f>
        <v/>
      </c>
    </row>
    <row r="154" spans="2:13" ht="15.75" customHeight="1" x14ac:dyDescent="0.25">
      <c r="B154" s="30" t="str">
        <f>IF(ISNONTEXT(node_raw[[#This Row],[Column1]]), "", node_raw[[#This Row],[Column1]])</f>
        <v/>
      </c>
      <c r="C154" s="27" t="str">
        <f>IF(ISNONTEXT(node_raw[[#This Row],[Column2]]), "", node_raw[[#This Row],[Column2]])</f>
        <v/>
      </c>
      <c r="D154" s="54" t="str">
        <f>IF(ISNUMBER(node_raw[[#This Row],[Column3]]), node_raw[[#This Row],[Column3]],"")</f>
        <v/>
      </c>
      <c r="E154" s="57" t="str">
        <f>IF(ISNUMBER(node_raw[[#This Row],[Column4]]), node_raw[[#This Row],[Column4]]/1048576,"")</f>
        <v/>
      </c>
      <c r="F154" s="139" t="str">
        <f>IF(ISNUMBER(node_raw[[#This Row],[Column5]]), node_raw[[#This Row],[Column5]],"")</f>
        <v/>
      </c>
      <c r="G154" s="153" t="str">
        <f t="shared" si="4"/>
        <v/>
      </c>
      <c r="H154" s="140" t="str">
        <f>IF(ISNUMBER(node_raw[[#This Row],[Column6]]), node_raw[[#This Row],[Column6]]/1048576,"")</f>
        <v/>
      </c>
      <c r="I154" s="157" t="str">
        <f t="shared" si="5"/>
        <v/>
      </c>
      <c r="J154" s="141" t="str">
        <f>IF(ISNONTEXT(node_raw[[#This Row],[Column7]]), "", node_raw[[#This Row],[Column7]]/100)</f>
        <v/>
      </c>
      <c r="K154" s="142" t="str">
        <f>IF(ISNONTEXT(node_raw[[#This Row],[Column8]]), "", node_raw[[#This Row],[Column8]]/100)</f>
        <v/>
      </c>
      <c r="L154" s="143" t="str">
        <f>IF(ISNONTEXT(node_raw[[#This Row],[Column9]]), "", node_raw[[#This Row],[Column9]]/1)</f>
        <v/>
      </c>
      <c r="M154" s="144" t="str">
        <f>IF(ISNONTEXT(node_raw[[#This Row],[Column10]]), "", node_raw[[#This Row],[Column10]]/1)</f>
        <v/>
      </c>
    </row>
    <row r="155" spans="2:13" ht="15.75" customHeight="1" x14ac:dyDescent="0.25">
      <c r="B155" s="30" t="str">
        <f>IF(ISNONTEXT(node_raw[[#This Row],[Column1]]), "", node_raw[[#This Row],[Column1]])</f>
        <v/>
      </c>
      <c r="C155" s="27" t="str">
        <f>IF(ISNONTEXT(node_raw[[#This Row],[Column2]]), "", node_raw[[#This Row],[Column2]])</f>
        <v/>
      </c>
      <c r="D155" s="54" t="str">
        <f>IF(ISNUMBER(node_raw[[#This Row],[Column3]]), node_raw[[#This Row],[Column3]],"")</f>
        <v/>
      </c>
      <c r="E155" s="57" t="str">
        <f>IF(ISNUMBER(node_raw[[#This Row],[Column4]]), node_raw[[#This Row],[Column4]]/1048576,"")</f>
        <v/>
      </c>
      <c r="F155" s="139" t="str">
        <f>IF(ISNUMBER(node_raw[[#This Row],[Column5]]), node_raw[[#This Row],[Column5]],"")</f>
        <v/>
      </c>
      <c r="G155" s="153" t="str">
        <f t="shared" si="4"/>
        <v/>
      </c>
      <c r="H155" s="140" t="str">
        <f>IF(ISNUMBER(node_raw[[#This Row],[Column6]]), node_raw[[#This Row],[Column6]]/1048576,"")</f>
        <v/>
      </c>
      <c r="I155" s="157" t="str">
        <f t="shared" si="5"/>
        <v/>
      </c>
      <c r="J155" s="141" t="str">
        <f>IF(ISNONTEXT(node_raw[[#This Row],[Column7]]), "", node_raw[[#This Row],[Column7]]/100)</f>
        <v/>
      </c>
      <c r="K155" s="142" t="str">
        <f>IF(ISNONTEXT(node_raw[[#This Row],[Column8]]), "", node_raw[[#This Row],[Column8]]/100)</f>
        <v/>
      </c>
      <c r="L155" s="143" t="str">
        <f>IF(ISNONTEXT(node_raw[[#This Row],[Column9]]), "", node_raw[[#This Row],[Column9]]/1)</f>
        <v/>
      </c>
      <c r="M155" s="144" t="str">
        <f>IF(ISNONTEXT(node_raw[[#This Row],[Column10]]), "", node_raw[[#This Row],[Column10]]/1)</f>
        <v/>
      </c>
    </row>
    <row r="156" spans="2:13" ht="15.75" customHeight="1" x14ac:dyDescent="0.25">
      <c r="B156" s="30" t="str">
        <f>IF(ISNONTEXT(node_raw[[#This Row],[Column1]]), "", node_raw[[#This Row],[Column1]])</f>
        <v/>
      </c>
      <c r="C156" s="27" t="str">
        <f>IF(ISNONTEXT(node_raw[[#This Row],[Column2]]), "", node_raw[[#This Row],[Column2]])</f>
        <v/>
      </c>
      <c r="D156" s="54" t="str">
        <f>IF(ISNUMBER(node_raw[[#This Row],[Column3]]), node_raw[[#This Row],[Column3]],"")</f>
        <v/>
      </c>
      <c r="E156" s="57" t="str">
        <f>IF(ISNUMBER(node_raw[[#This Row],[Column4]]), node_raw[[#This Row],[Column4]]/1048576,"")</f>
        <v/>
      </c>
      <c r="F156" s="139" t="str">
        <f>IF(ISNUMBER(node_raw[[#This Row],[Column5]]), node_raw[[#This Row],[Column5]],"")</f>
        <v/>
      </c>
      <c r="G156" s="153" t="str">
        <f t="shared" si="4"/>
        <v/>
      </c>
      <c r="H156" s="140" t="str">
        <f>IF(ISNUMBER(node_raw[[#This Row],[Column6]]), node_raw[[#This Row],[Column6]]/1048576,"")</f>
        <v/>
      </c>
      <c r="I156" s="157" t="str">
        <f t="shared" si="5"/>
        <v/>
      </c>
      <c r="J156" s="141" t="str">
        <f>IF(ISNONTEXT(node_raw[[#This Row],[Column7]]), "", node_raw[[#This Row],[Column7]]/100)</f>
        <v/>
      </c>
      <c r="K156" s="142" t="str">
        <f>IF(ISNONTEXT(node_raw[[#This Row],[Column8]]), "", node_raw[[#This Row],[Column8]]/100)</f>
        <v/>
      </c>
      <c r="L156" s="143" t="str">
        <f>IF(ISNONTEXT(node_raw[[#This Row],[Column9]]), "", node_raw[[#This Row],[Column9]]/1)</f>
        <v/>
      </c>
      <c r="M156" s="144" t="str">
        <f>IF(ISNONTEXT(node_raw[[#This Row],[Column10]]), "", node_raw[[#This Row],[Column10]]/1)</f>
        <v/>
      </c>
    </row>
    <row r="157" spans="2:13" ht="15.75" customHeight="1" x14ac:dyDescent="0.25">
      <c r="B157" s="30" t="str">
        <f>IF(ISNONTEXT(node_raw[[#This Row],[Column1]]), "", node_raw[[#This Row],[Column1]])</f>
        <v/>
      </c>
      <c r="C157" s="27" t="str">
        <f>IF(ISNONTEXT(node_raw[[#This Row],[Column2]]), "", node_raw[[#This Row],[Column2]])</f>
        <v/>
      </c>
      <c r="D157" s="54" t="str">
        <f>IF(ISNUMBER(node_raw[[#This Row],[Column3]]), node_raw[[#This Row],[Column3]],"")</f>
        <v/>
      </c>
      <c r="E157" s="57" t="str">
        <f>IF(ISNUMBER(node_raw[[#This Row],[Column4]]), node_raw[[#This Row],[Column4]]/1048576,"")</f>
        <v/>
      </c>
      <c r="F157" s="139" t="str">
        <f>IF(ISNUMBER(node_raw[[#This Row],[Column5]]), node_raw[[#This Row],[Column5]],"")</f>
        <v/>
      </c>
      <c r="G157" s="153" t="str">
        <f t="shared" si="4"/>
        <v/>
      </c>
      <c r="H157" s="140" t="str">
        <f>IF(ISNUMBER(node_raw[[#This Row],[Column6]]), node_raw[[#This Row],[Column6]]/1048576,"")</f>
        <v/>
      </c>
      <c r="I157" s="157" t="str">
        <f t="shared" si="5"/>
        <v/>
      </c>
      <c r="J157" s="141" t="str">
        <f>IF(ISNONTEXT(node_raw[[#This Row],[Column7]]), "", node_raw[[#This Row],[Column7]]/100)</f>
        <v/>
      </c>
      <c r="K157" s="142" t="str">
        <f>IF(ISNONTEXT(node_raw[[#This Row],[Column8]]), "", node_raw[[#This Row],[Column8]]/100)</f>
        <v/>
      </c>
      <c r="L157" s="143" t="str">
        <f>IF(ISNONTEXT(node_raw[[#This Row],[Column9]]), "", node_raw[[#This Row],[Column9]]/1)</f>
        <v/>
      </c>
      <c r="M157" s="144" t="str">
        <f>IF(ISNONTEXT(node_raw[[#This Row],[Column10]]), "", node_raw[[#This Row],[Column10]]/1)</f>
        <v/>
      </c>
    </row>
    <row r="158" spans="2:13" ht="15.75" customHeight="1" x14ac:dyDescent="0.25">
      <c r="B158" s="30" t="str">
        <f>IF(ISNONTEXT(node_raw[[#This Row],[Column1]]), "", node_raw[[#This Row],[Column1]])</f>
        <v/>
      </c>
      <c r="C158" s="27" t="str">
        <f>IF(ISNONTEXT(node_raw[[#This Row],[Column2]]), "", node_raw[[#This Row],[Column2]])</f>
        <v/>
      </c>
      <c r="D158" s="54" t="str">
        <f>IF(ISNUMBER(node_raw[[#This Row],[Column3]]), node_raw[[#This Row],[Column3]],"")</f>
        <v/>
      </c>
      <c r="E158" s="57" t="str">
        <f>IF(ISNUMBER(node_raw[[#This Row],[Column4]]), node_raw[[#This Row],[Column4]]/1048576,"")</f>
        <v/>
      </c>
      <c r="F158" s="139" t="str">
        <f>IF(ISNUMBER(node_raw[[#This Row],[Column5]]), node_raw[[#This Row],[Column5]],"")</f>
        <v/>
      </c>
      <c r="G158" s="153" t="str">
        <f t="shared" si="4"/>
        <v/>
      </c>
      <c r="H158" s="140" t="str">
        <f>IF(ISNUMBER(node_raw[[#This Row],[Column6]]), node_raw[[#This Row],[Column6]]/1048576,"")</f>
        <v/>
      </c>
      <c r="I158" s="157" t="str">
        <f t="shared" si="5"/>
        <v/>
      </c>
      <c r="J158" s="141" t="str">
        <f>IF(ISNONTEXT(node_raw[[#This Row],[Column7]]), "", node_raw[[#This Row],[Column7]]/100)</f>
        <v/>
      </c>
      <c r="K158" s="142" t="str">
        <f>IF(ISNONTEXT(node_raw[[#This Row],[Column8]]), "", node_raw[[#This Row],[Column8]]/100)</f>
        <v/>
      </c>
      <c r="L158" s="143" t="str">
        <f>IF(ISNONTEXT(node_raw[[#This Row],[Column9]]), "", node_raw[[#This Row],[Column9]]/1)</f>
        <v/>
      </c>
      <c r="M158" s="144" t="str">
        <f>IF(ISNONTEXT(node_raw[[#This Row],[Column10]]), "", node_raw[[#This Row],[Column10]]/1)</f>
        <v/>
      </c>
    </row>
    <row r="159" spans="2:13" ht="15.75" customHeight="1" x14ac:dyDescent="0.25">
      <c r="B159" s="30" t="str">
        <f>IF(ISNONTEXT(node_raw[[#This Row],[Column1]]), "", node_raw[[#This Row],[Column1]])</f>
        <v/>
      </c>
      <c r="C159" s="27" t="str">
        <f>IF(ISNONTEXT(node_raw[[#This Row],[Column2]]), "", node_raw[[#This Row],[Column2]])</f>
        <v/>
      </c>
      <c r="D159" s="54" t="str">
        <f>IF(ISNUMBER(node_raw[[#This Row],[Column3]]), node_raw[[#This Row],[Column3]],"")</f>
        <v/>
      </c>
      <c r="E159" s="57" t="str">
        <f>IF(ISNUMBER(node_raw[[#This Row],[Column4]]), node_raw[[#This Row],[Column4]]/1048576,"")</f>
        <v/>
      </c>
      <c r="F159" s="139" t="str">
        <f>IF(ISNUMBER(node_raw[[#This Row],[Column5]]), node_raw[[#This Row],[Column5]],"")</f>
        <v/>
      </c>
      <c r="G159" s="153" t="str">
        <f t="shared" si="4"/>
        <v/>
      </c>
      <c r="H159" s="140" t="str">
        <f>IF(ISNUMBER(node_raw[[#This Row],[Column6]]), node_raw[[#This Row],[Column6]]/1048576,"")</f>
        <v/>
      </c>
      <c r="I159" s="157" t="str">
        <f t="shared" si="5"/>
        <v/>
      </c>
      <c r="J159" s="141" t="str">
        <f>IF(ISNONTEXT(node_raw[[#This Row],[Column7]]), "", node_raw[[#This Row],[Column7]]/100)</f>
        <v/>
      </c>
      <c r="K159" s="142" t="str">
        <f>IF(ISNONTEXT(node_raw[[#This Row],[Column8]]), "", node_raw[[#This Row],[Column8]]/100)</f>
        <v/>
      </c>
      <c r="L159" s="143" t="str">
        <f>IF(ISNONTEXT(node_raw[[#This Row],[Column9]]), "", node_raw[[#This Row],[Column9]]/1)</f>
        <v/>
      </c>
      <c r="M159" s="144" t="str">
        <f>IF(ISNONTEXT(node_raw[[#This Row],[Column10]]), "", node_raw[[#This Row],[Column10]]/1)</f>
        <v/>
      </c>
    </row>
    <row r="160" spans="2:13" ht="15.75" customHeight="1" x14ac:dyDescent="0.25">
      <c r="B160" s="30" t="str">
        <f>IF(ISNONTEXT(node_raw[[#This Row],[Column1]]), "", node_raw[[#This Row],[Column1]])</f>
        <v/>
      </c>
      <c r="C160" s="27" t="str">
        <f>IF(ISNONTEXT(node_raw[[#This Row],[Column2]]), "", node_raw[[#This Row],[Column2]])</f>
        <v/>
      </c>
      <c r="D160" s="54" t="str">
        <f>IF(ISNUMBER(node_raw[[#This Row],[Column3]]), node_raw[[#This Row],[Column3]],"")</f>
        <v/>
      </c>
      <c r="E160" s="57" t="str">
        <f>IF(ISNUMBER(node_raw[[#This Row],[Column4]]), node_raw[[#This Row],[Column4]]/1048576,"")</f>
        <v/>
      </c>
      <c r="F160" s="139" t="str">
        <f>IF(ISNUMBER(node_raw[[#This Row],[Column5]]), node_raw[[#This Row],[Column5]],"")</f>
        <v/>
      </c>
      <c r="G160" s="153" t="str">
        <f t="shared" si="4"/>
        <v/>
      </c>
      <c r="H160" s="140" t="str">
        <f>IF(ISNUMBER(node_raw[[#This Row],[Column6]]), node_raw[[#This Row],[Column6]]/1048576,"")</f>
        <v/>
      </c>
      <c r="I160" s="157" t="str">
        <f t="shared" si="5"/>
        <v/>
      </c>
      <c r="J160" s="141" t="str">
        <f>IF(ISNONTEXT(node_raw[[#This Row],[Column7]]), "", node_raw[[#This Row],[Column7]]/100)</f>
        <v/>
      </c>
      <c r="K160" s="142" t="str">
        <f>IF(ISNONTEXT(node_raw[[#This Row],[Column8]]), "", node_raw[[#This Row],[Column8]]/100)</f>
        <v/>
      </c>
      <c r="L160" s="143" t="str">
        <f>IF(ISNONTEXT(node_raw[[#This Row],[Column9]]), "", node_raw[[#This Row],[Column9]]/1)</f>
        <v/>
      </c>
      <c r="M160" s="144" t="str">
        <f>IF(ISNONTEXT(node_raw[[#This Row],[Column10]]), "", node_raw[[#This Row],[Column10]]/1)</f>
        <v/>
      </c>
    </row>
    <row r="161" spans="2:13" ht="15.75" customHeight="1" x14ac:dyDescent="0.25">
      <c r="B161" s="30" t="str">
        <f>IF(ISNONTEXT(node_raw[[#This Row],[Column1]]), "", node_raw[[#This Row],[Column1]])</f>
        <v/>
      </c>
      <c r="C161" s="27" t="str">
        <f>IF(ISNONTEXT(node_raw[[#This Row],[Column2]]), "", node_raw[[#This Row],[Column2]])</f>
        <v/>
      </c>
      <c r="D161" s="54" t="str">
        <f>IF(ISNUMBER(node_raw[[#This Row],[Column3]]), node_raw[[#This Row],[Column3]],"")</f>
        <v/>
      </c>
      <c r="E161" s="57" t="str">
        <f>IF(ISNUMBER(node_raw[[#This Row],[Column4]]), node_raw[[#This Row],[Column4]]/1048576,"")</f>
        <v/>
      </c>
      <c r="F161" s="139" t="str">
        <f>IF(ISNUMBER(node_raw[[#This Row],[Column5]]), node_raw[[#This Row],[Column5]],"")</f>
        <v/>
      </c>
      <c r="G161" s="153" t="str">
        <f t="shared" si="4"/>
        <v/>
      </c>
      <c r="H161" s="140" t="str">
        <f>IF(ISNUMBER(node_raw[[#This Row],[Column6]]), node_raw[[#This Row],[Column6]]/1048576,"")</f>
        <v/>
      </c>
      <c r="I161" s="157" t="str">
        <f t="shared" si="5"/>
        <v/>
      </c>
      <c r="J161" s="141" t="str">
        <f>IF(ISNONTEXT(node_raw[[#This Row],[Column7]]), "", node_raw[[#This Row],[Column7]]/100)</f>
        <v/>
      </c>
      <c r="K161" s="142" t="str">
        <f>IF(ISNONTEXT(node_raw[[#This Row],[Column8]]), "", node_raw[[#This Row],[Column8]]/100)</f>
        <v/>
      </c>
      <c r="L161" s="143" t="str">
        <f>IF(ISNONTEXT(node_raw[[#This Row],[Column9]]), "", node_raw[[#This Row],[Column9]]/1)</f>
        <v/>
      </c>
      <c r="M161" s="144" t="str">
        <f>IF(ISNONTEXT(node_raw[[#This Row],[Column10]]), "", node_raw[[#This Row],[Column10]]/1)</f>
        <v/>
      </c>
    </row>
    <row r="162" spans="2:13" ht="15.75" customHeight="1" x14ac:dyDescent="0.25">
      <c r="B162" s="30" t="str">
        <f>IF(ISNONTEXT(node_raw[[#This Row],[Column1]]), "", node_raw[[#This Row],[Column1]])</f>
        <v/>
      </c>
      <c r="C162" s="27" t="str">
        <f>IF(ISNONTEXT(node_raw[[#This Row],[Column2]]), "", node_raw[[#This Row],[Column2]])</f>
        <v/>
      </c>
      <c r="D162" s="54" t="str">
        <f>IF(ISNUMBER(node_raw[[#This Row],[Column3]]), node_raw[[#This Row],[Column3]],"")</f>
        <v/>
      </c>
      <c r="E162" s="57" t="str">
        <f>IF(ISNUMBER(node_raw[[#This Row],[Column4]]), node_raw[[#This Row],[Column4]]/1048576,"")</f>
        <v/>
      </c>
      <c r="F162" s="139" t="str">
        <f>IF(ISNUMBER(node_raw[[#This Row],[Column5]]), node_raw[[#This Row],[Column5]],"")</f>
        <v/>
      </c>
      <c r="G162" s="153" t="str">
        <f t="shared" si="4"/>
        <v/>
      </c>
      <c r="H162" s="140" t="str">
        <f>IF(ISNUMBER(node_raw[[#This Row],[Column6]]), node_raw[[#This Row],[Column6]]/1048576,"")</f>
        <v/>
      </c>
      <c r="I162" s="157" t="str">
        <f t="shared" si="5"/>
        <v/>
      </c>
      <c r="J162" s="141" t="str">
        <f>IF(ISNONTEXT(node_raw[[#This Row],[Column7]]), "", node_raw[[#This Row],[Column7]]/100)</f>
        <v/>
      </c>
      <c r="K162" s="142" t="str">
        <f>IF(ISNONTEXT(node_raw[[#This Row],[Column8]]), "", node_raw[[#This Row],[Column8]]/100)</f>
        <v/>
      </c>
      <c r="L162" s="143" t="str">
        <f>IF(ISNONTEXT(node_raw[[#This Row],[Column9]]), "", node_raw[[#This Row],[Column9]]/1)</f>
        <v/>
      </c>
      <c r="M162" s="144" t="str">
        <f>IF(ISNONTEXT(node_raw[[#This Row],[Column10]]), "", node_raw[[#This Row],[Column10]]/1)</f>
        <v/>
      </c>
    </row>
    <row r="163" spans="2:13" ht="15.75" customHeight="1" x14ac:dyDescent="0.25">
      <c r="B163" s="30" t="str">
        <f>IF(ISNONTEXT(node_raw[[#This Row],[Column1]]), "", node_raw[[#This Row],[Column1]])</f>
        <v/>
      </c>
      <c r="C163" s="27" t="str">
        <f>IF(ISNONTEXT(node_raw[[#This Row],[Column2]]), "", node_raw[[#This Row],[Column2]])</f>
        <v/>
      </c>
      <c r="D163" s="54" t="str">
        <f>IF(ISNUMBER(node_raw[[#This Row],[Column3]]), node_raw[[#This Row],[Column3]],"")</f>
        <v/>
      </c>
      <c r="E163" s="57" t="str">
        <f>IF(ISNUMBER(node_raw[[#This Row],[Column4]]), node_raw[[#This Row],[Column4]]/1048576,"")</f>
        <v/>
      </c>
      <c r="F163" s="139" t="str">
        <f>IF(ISNUMBER(node_raw[[#This Row],[Column5]]), node_raw[[#This Row],[Column5]],"")</f>
        <v/>
      </c>
      <c r="G163" s="153" t="str">
        <f t="shared" si="4"/>
        <v/>
      </c>
      <c r="H163" s="140" t="str">
        <f>IF(ISNUMBER(node_raw[[#This Row],[Column6]]), node_raw[[#This Row],[Column6]]/1048576,"")</f>
        <v/>
      </c>
      <c r="I163" s="157" t="str">
        <f t="shared" si="5"/>
        <v/>
      </c>
      <c r="J163" s="141" t="str">
        <f>IF(ISNONTEXT(node_raw[[#This Row],[Column7]]), "", node_raw[[#This Row],[Column7]]/100)</f>
        <v/>
      </c>
      <c r="K163" s="142" t="str">
        <f>IF(ISNONTEXT(node_raw[[#This Row],[Column8]]), "", node_raw[[#This Row],[Column8]]/100)</f>
        <v/>
      </c>
      <c r="L163" s="143" t="str">
        <f>IF(ISNONTEXT(node_raw[[#This Row],[Column9]]), "", node_raw[[#This Row],[Column9]]/1)</f>
        <v/>
      </c>
      <c r="M163" s="144" t="str">
        <f>IF(ISNONTEXT(node_raw[[#This Row],[Column10]]), "", node_raw[[#This Row],[Column10]]/1)</f>
        <v/>
      </c>
    </row>
    <row r="164" spans="2:13" ht="15.75" customHeight="1" x14ac:dyDescent="0.25">
      <c r="B164" s="30" t="str">
        <f>IF(ISNONTEXT(node_raw[[#This Row],[Column1]]), "", node_raw[[#This Row],[Column1]])</f>
        <v/>
      </c>
      <c r="C164" s="27" t="str">
        <f>IF(ISNONTEXT(node_raw[[#This Row],[Column2]]), "", node_raw[[#This Row],[Column2]])</f>
        <v/>
      </c>
      <c r="D164" s="54" t="str">
        <f>IF(ISNUMBER(node_raw[[#This Row],[Column3]]), node_raw[[#This Row],[Column3]],"")</f>
        <v/>
      </c>
      <c r="E164" s="57" t="str">
        <f>IF(ISNUMBER(node_raw[[#This Row],[Column4]]), node_raw[[#This Row],[Column4]]/1048576,"")</f>
        <v/>
      </c>
      <c r="F164" s="139" t="str">
        <f>IF(ISNUMBER(node_raw[[#This Row],[Column5]]), node_raw[[#This Row],[Column5]],"")</f>
        <v/>
      </c>
      <c r="G164" s="153" t="str">
        <f t="shared" si="4"/>
        <v/>
      </c>
      <c r="H164" s="140" t="str">
        <f>IF(ISNUMBER(node_raw[[#This Row],[Column6]]), node_raw[[#This Row],[Column6]]/1048576,"")</f>
        <v/>
      </c>
      <c r="I164" s="157" t="str">
        <f t="shared" si="5"/>
        <v/>
      </c>
      <c r="J164" s="141" t="str">
        <f>IF(ISNONTEXT(node_raw[[#This Row],[Column7]]), "", node_raw[[#This Row],[Column7]]/100)</f>
        <v/>
      </c>
      <c r="K164" s="142" t="str">
        <f>IF(ISNONTEXT(node_raw[[#This Row],[Column8]]), "", node_raw[[#This Row],[Column8]]/100)</f>
        <v/>
      </c>
      <c r="L164" s="143" t="str">
        <f>IF(ISNONTEXT(node_raw[[#This Row],[Column9]]), "", node_raw[[#This Row],[Column9]]/1)</f>
        <v/>
      </c>
      <c r="M164" s="144" t="str">
        <f>IF(ISNONTEXT(node_raw[[#This Row],[Column10]]), "", node_raw[[#This Row],[Column10]]/1)</f>
        <v/>
      </c>
    </row>
    <row r="165" spans="2:13" ht="15.75" customHeight="1" x14ac:dyDescent="0.25">
      <c r="B165" s="30" t="str">
        <f>IF(ISNONTEXT(node_raw[[#This Row],[Column1]]), "", node_raw[[#This Row],[Column1]])</f>
        <v/>
      </c>
      <c r="C165" s="27" t="str">
        <f>IF(ISNONTEXT(node_raw[[#This Row],[Column2]]), "", node_raw[[#This Row],[Column2]])</f>
        <v/>
      </c>
      <c r="D165" s="54" t="str">
        <f>IF(ISNUMBER(node_raw[[#This Row],[Column3]]), node_raw[[#This Row],[Column3]],"")</f>
        <v/>
      </c>
      <c r="E165" s="57" t="str">
        <f>IF(ISNUMBER(node_raw[[#This Row],[Column4]]), node_raw[[#This Row],[Column4]]/1048576,"")</f>
        <v/>
      </c>
      <c r="F165" s="139" t="str">
        <f>IF(ISNUMBER(node_raw[[#This Row],[Column5]]), node_raw[[#This Row],[Column5]],"")</f>
        <v/>
      </c>
      <c r="G165" s="153" t="str">
        <f t="shared" si="4"/>
        <v/>
      </c>
      <c r="H165" s="140" t="str">
        <f>IF(ISNUMBER(node_raw[[#This Row],[Column6]]), node_raw[[#This Row],[Column6]]/1048576,"")</f>
        <v/>
      </c>
      <c r="I165" s="157" t="str">
        <f t="shared" si="5"/>
        <v/>
      </c>
      <c r="J165" s="141" t="str">
        <f>IF(ISNONTEXT(node_raw[[#This Row],[Column7]]), "", node_raw[[#This Row],[Column7]]/100)</f>
        <v/>
      </c>
      <c r="K165" s="142" t="str">
        <f>IF(ISNONTEXT(node_raw[[#This Row],[Column8]]), "", node_raw[[#This Row],[Column8]]/100)</f>
        <v/>
      </c>
      <c r="L165" s="143" t="str">
        <f>IF(ISNONTEXT(node_raw[[#This Row],[Column9]]), "", node_raw[[#This Row],[Column9]]/1)</f>
        <v/>
      </c>
      <c r="M165" s="144" t="str">
        <f>IF(ISNONTEXT(node_raw[[#This Row],[Column10]]), "", node_raw[[#This Row],[Column10]]/1)</f>
        <v/>
      </c>
    </row>
    <row r="166" spans="2:13" ht="15.75" customHeight="1" x14ac:dyDescent="0.25">
      <c r="B166" s="30" t="str">
        <f>IF(ISNONTEXT(node_raw[[#This Row],[Column1]]), "", node_raw[[#This Row],[Column1]])</f>
        <v/>
      </c>
      <c r="C166" s="27" t="str">
        <f>IF(ISNONTEXT(node_raw[[#This Row],[Column2]]), "", node_raw[[#This Row],[Column2]])</f>
        <v/>
      </c>
      <c r="D166" s="54" t="str">
        <f>IF(ISNUMBER(node_raw[[#This Row],[Column3]]), node_raw[[#This Row],[Column3]],"")</f>
        <v/>
      </c>
      <c r="E166" s="57" t="str">
        <f>IF(ISNUMBER(node_raw[[#This Row],[Column4]]), node_raw[[#This Row],[Column4]]/1048576,"")</f>
        <v/>
      </c>
      <c r="F166" s="139" t="str">
        <f>IF(ISNUMBER(node_raw[[#This Row],[Column5]]), node_raw[[#This Row],[Column5]],"")</f>
        <v/>
      </c>
      <c r="G166" s="153" t="str">
        <f t="shared" si="4"/>
        <v/>
      </c>
      <c r="H166" s="140" t="str">
        <f>IF(ISNUMBER(node_raw[[#This Row],[Column6]]), node_raw[[#This Row],[Column6]]/1048576,"")</f>
        <v/>
      </c>
      <c r="I166" s="157" t="str">
        <f t="shared" si="5"/>
        <v/>
      </c>
      <c r="J166" s="141" t="str">
        <f>IF(ISNONTEXT(node_raw[[#This Row],[Column7]]), "", node_raw[[#This Row],[Column7]]/100)</f>
        <v/>
      </c>
      <c r="K166" s="142" t="str">
        <f>IF(ISNONTEXT(node_raw[[#This Row],[Column8]]), "", node_raw[[#This Row],[Column8]]/100)</f>
        <v/>
      </c>
      <c r="L166" s="143" t="str">
        <f>IF(ISNONTEXT(node_raw[[#This Row],[Column9]]), "", node_raw[[#This Row],[Column9]]/1)</f>
        <v/>
      </c>
      <c r="M166" s="144" t="str">
        <f>IF(ISNONTEXT(node_raw[[#This Row],[Column10]]), "", node_raw[[#This Row],[Column10]]/1)</f>
        <v/>
      </c>
    </row>
    <row r="167" spans="2:13" ht="15.75" customHeight="1" x14ac:dyDescent="0.25">
      <c r="B167" s="30" t="str">
        <f>IF(ISNONTEXT(node_raw[[#This Row],[Column1]]), "", node_raw[[#This Row],[Column1]])</f>
        <v/>
      </c>
      <c r="C167" s="27" t="str">
        <f>IF(ISNONTEXT(node_raw[[#This Row],[Column2]]), "", node_raw[[#This Row],[Column2]])</f>
        <v/>
      </c>
      <c r="D167" s="54" t="str">
        <f>IF(ISNUMBER(node_raw[[#This Row],[Column3]]), node_raw[[#This Row],[Column3]],"")</f>
        <v/>
      </c>
      <c r="E167" s="57" t="str">
        <f>IF(ISNUMBER(node_raw[[#This Row],[Column4]]), node_raw[[#This Row],[Column4]]/1048576,"")</f>
        <v/>
      </c>
      <c r="F167" s="139" t="str">
        <f>IF(ISNUMBER(node_raw[[#This Row],[Column5]]), node_raw[[#This Row],[Column5]],"")</f>
        <v/>
      </c>
      <c r="G167" s="153" t="str">
        <f t="shared" si="4"/>
        <v/>
      </c>
      <c r="H167" s="140" t="str">
        <f>IF(ISNUMBER(node_raw[[#This Row],[Column6]]), node_raw[[#This Row],[Column6]]/1048576,"")</f>
        <v/>
      </c>
      <c r="I167" s="157" t="str">
        <f t="shared" si="5"/>
        <v/>
      </c>
      <c r="J167" s="141" t="str">
        <f>IF(ISNONTEXT(node_raw[[#This Row],[Column7]]), "", node_raw[[#This Row],[Column7]]/100)</f>
        <v/>
      </c>
      <c r="K167" s="142" t="str">
        <f>IF(ISNONTEXT(node_raw[[#This Row],[Column8]]), "", node_raw[[#This Row],[Column8]]/100)</f>
        <v/>
      </c>
      <c r="L167" s="143" t="str">
        <f>IF(ISNONTEXT(node_raw[[#This Row],[Column9]]), "", node_raw[[#This Row],[Column9]]/1)</f>
        <v/>
      </c>
      <c r="M167" s="144" t="str">
        <f>IF(ISNONTEXT(node_raw[[#This Row],[Column10]]), "", node_raw[[#This Row],[Column10]]/1)</f>
        <v/>
      </c>
    </row>
    <row r="168" spans="2:13" ht="15.75" customHeight="1" x14ac:dyDescent="0.25">
      <c r="B168" s="30" t="str">
        <f>IF(ISNONTEXT(node_raw[[#This Row],[Column1]]), "", node_raw[[#This Row],[Column1]])</f>
        <v/>
      </c>
      <c r="C168" s="27" t="str">
        <f>IF(ISNONTEXT(node_raw[[#This Row],[Column2]]), "", node_raw[[#This Row],[Column2]])</f>
        <v/>
      </c>
      <c r="D168" s="54" t="str">
        <f>IF(ISNUMBER(node_raw[[#This Row],[Column3]]), node_raw[[#This Row],[Column3]],"")</f>
        <v/>
      </c>
      <c r="E168" s="57" t="str">
        <f>IF(ISNUMBER(node_raw[[#This Row],[Column4]]), node_raw[[#This Row],[Column4]]/1048576,"")</f>
        <v/>
      </c>
      <c r="F168" s="139" t="str">
        <f>IF(ISNUMBER(node_raw[[#This Row],[Column5]]), node_raw[[#This Row],[Column5]],"")</f>
        <v/>
      </c>
      <c r="G168" s="153" t="str">
        <f t="shared" si="4"/>
        <v/>
      </c>
      <c r="H168" s="140" t="str">
        <f>IF(ISNUMBER(node_raw[[#This Row],[Column6]]), node_raw[[#This Row],[Column6]]/1048576,"")</f>
        <v/>
      </c>
      <c r="I168" s="157" t="str">
        <f t="shared" si="5"/>
        <v/>
      </c>
      <c r="J168" s="141" t="str">
        <f>IF(ISNONTEXT(node_raw[[#This Row],[Column7]]), "", node_raw[[#This Row],[Column7]]/100)</f>
        <v/>
      </c>
      <c r="K168" s="142" t="str">
        <f>IF(ISNONTEXT(node_raw[[#This Row],[Column8]]), "", node_raw[[#This Row],[Column8]]/100)</f>
        <v/>
      </c>
      <c r="L168" s="143" t="str">
        <f>IF(ISNONTEXT(node_raw[[#This Row],[Column9]]), "", node_raw[[#This Row],[Column9]]/1)</f>
        <v/>
      </c>
      <c r="M168" s="144" t="str">
        <f>IF(ISNONTEXT(node_raw[[#This Row],[Column10]]), "", node_raw[[#This Row],[Column10]]/1)</f>
        <v/>
      </c>
    </row>
    <row r="169" spans="2:13" ht="15.75" customHeight="1" x14ac:dyDescent="0.25">
      <c r="B169" s="30" t="str">
        <f>IF(ISNONTEXT(node_raw[[#This Row],[Column1]]), "", node_raw[[#This Row],[Column1]])</f>
        <v/>
      </c>
      <c r="C169" s="27" t="str">
        <f>IF(ISNONTEXT(node_raw[[#This Row],[Column2]]), "", node_raw[[#This Row],[Column2]])</f>
        <v/>
      </c>
      <c r="D169" s="54" t="str">
        <f>IF(ISNUMBER(node_raw[[#This Row],[Column3]]), node_raw[[#This Row],[Column3]],"")</f>
        <v/>
      </c>
      <c r="E169" s="57" t="str">
        <f>IF(ISNUMBER(node_raw[[#This Row],[Column4]]), node_raw[[#This Row],[Column4]]/1048576,"")</f>
        <v/>
      </c>
      <c r="F169" s="139" t="str">
        <f>IF(ISNUMBER(node_raw[[#This Row],[Column5]]), node_raw[[#This Row],[Column5]],"")</f>
        <v/>
      </c>
      <c r="G169" s="153" t="str">
        <f t="shared" si="4"/>
        <v/>
      </c>
      <c r="H169" s="140" t="str">
        <f>IF(ISNUMBER(node_raw[[#This Row],[Column6]]), node_raw[[#This Row],[Column6]]/1048576,"")</f>
        <v/>
      </c>
      <c r="I169" s="157" t="str">
        <f t="shared" si="5"/>
        <v/>
      </c>
      <c r="J169" s="141" t="str">
        <f>IF(ISNONTEXT(node_raw[[#This Row],[Column7]]), "", node_raw[[#This Row],[Column7]]/100)</f>
        <v/>
      </c>
      <c r="K169" s="142" t="str">
        <f>IF(ISNONTEXT(node_raw[[#This Row],[Column8]]), "", node_raw[[#This Row],[Column8]]/100)</f>
        <v/>
      </c>
      <c r="L169" s="143" t="str">
        <f>IF(ISNONTEXT(node_raw[[#This Row],[Column9]]), "", node_raw[[#This Row],[Column9]]/1)</f>
        <v/>
      </c>
      <c r="M169" s="144" t="str">
        <f>IF(ISNONTEXT(node_raw[[#This Row],[Column10]]), "", node_raw[[#This Row],[Column10]]/1)</f>
        <v/>
      </c>
    </row>
    <row r="170" spans="2:13" ht="15.75" customHeight="1" x14ac:dyDescent="0.25">
      <c r="B170" s="30" t="str">
        <f>IF(ISNONTEXT(node_raw[[#This Row],[Column1]]), "", node_raw[[#This Row],[Column1]])</f>
        <v/>
      </c>
      <c r="C170" s="27" t="str">
        <f>IF(ISNONTEXT(node_raw[[#This Row],[Column2]]), "", node_raw[[#This Row],[Column2]])</f>
        <v/>
      </c>
      <c r="D170" s="54" t="str">
        <f>IF(ISNUMBER(node_raw[[#This Row],[Column3]]), node_raw[[#This Row],[Column3]],"")</f>
        <v/>
      </c>
      <c r="E170" s="57" t="str">
        <f>IF(ISNUMBER(node_raw[[#This Row],[Column4]]), node_raw[[#This Row],[Column4]]/1048576,"")</f>
        <v/>
      </c>
      <c r="F170" s="139" t="str">
        <f>IF(ISNUMBER(node_raw[[#This Row],[Column5]]), node_raw[[#This Row],[Column5]],"")</f>
        <v/>
      </c>
      <c r="G170" s="153" t="str">
        <f t="shared" si="4"/>
        <v/>
      </c>
      <c r="H170" s="140" t="str">
        <f>IF(ISNUMBER(node_raw[[#This Row],[Column6]]), node_raw[[#This Row],[Column6]]/1048576,"")</f>
        <v/>
      </c>
      <c r="I170" s="157" t="str">
        <f t="shared" si="5"/>
        <v/>
      </c>
      <c r="J170" s="141" t="str">
        <f>IF(ISNONTEXT(node_raw[[#This Row],[Column7]]), "", node_raw[[#This Row],[Column7]]/100)</f>
        <v/>
      </c>
      <c r="K170" s="142" t="str">
        <f>IF(ISNONTEXT(node_raw[[#This Row],[Column8]]), "", node_raw[[#This Row],[Column8]]/100)</f>
        <v/>
      </c>
      <c r="L170" s="143" t="str">
        <f>IF(ISNONTEXT(node_raw[[#This Row],[Column9]]), "", node_raw[[#This Row],[Column9]]/1)</f>
        <v/>
      </c>
      <c r="M170" s="144" t="str">
        <f>IF(ISNONTEXT(node_raw[[#This Row],[Column10]]), "", node_raw[[#This Row],[Column10]]/1)</f>
        <v/>
      </c>
    </row>
    <row r="171" spans="2:13" ht="15.75" customHeight="1" x14ac:dyDescent="0.25">
      <c r="B171" s="30" t="str">
        <f>IF(ISNONTEXT(node_raw[[#This Row],[Column1]]), "", node_raw[[#This Row],[Column1]])</f>
        <v/>
      </c>
      <c r="C171" s="27" t="str">
        <f>IF(ISNONTEXT(node_raw[[#This Row],[Column2]]), "", node_raw[[#This Row],[Column2]])</f>
        <v/>
      </c>
      <c r="D171" s="54" t="str">
        <f>IF(ISNUMBER(node_raw[[#This Row],[Column3]]), node_raw[[#This Row],[Column3]],"")</f>
        <v/>
      </c>
      <c r="E171" s="57" t="str">
        <f>IF(ISNUMBER(node_raw[[#This Row],[Column4]]), node_raw[[#This Row],[Column4]]/1048576,"")</f>
        <v/>
      </c>
      <c r="F171" s="139" t="str">
        <f>IF(ISNUMBER(node_raw[[#This Row],[Column5]]), node_raw[[#This Row],[Column5]],"")</f>
        <v/>
      </c>
      <c r="G171" s="153" t="str">
        <f t="shared" si="4"/>
        <v/>
      </c>
      <c r="H171" s="140" t="str">
        <f>IF(ISNUMBER(node_raw[[#This Row],[Column6]]), node_raw[[#This Row],[Column6]]/1048576,"")</f>
        <v/>
      </c>
      <c r="I171" s="157" t="str">
        <f t="shared" si="5"/>
        <v/>
      </c>
      <c r="J171" s="141" t="str">
        <f>IF(ISNONTEXT(node_raw[[#This Row],[Column7]]), "", node_raw[[#This Row],[Column7]]/100)</f>
        <v/>
      </c>
      <c r="K171" s="142" t="str">
        <f>IF(ISNONTEXT(node_raw[[#This Row],[Column8]]), "", node_raw[[#This Row],[Column8]]/100)</f>
        <v/>
      </c>
      <c r="L171" s="143" t="str">
        <f>IF(ISNONTEXT(node_raw[[#This Row],[Column9]]), "", node_raw[[#This Row],[Column9]]/1)</f>
        <v/>
      </c>
      <c r="M171" s="144" t="str">
        <f>IF(ISNONTEXT(node_raw[[#This Row],[Column10]]), "", node_raw[[#This Row],[Column10]]/1)</f>
        <v/>
      </c>
    </row>
    <row r="172" spans="2:13" ht="15.75" customHeight="1" x14ac:dyDescent="0.25">
      <c r="B172" s="30" t="str">
        <f>IF(ISNONTEXT(node_raw[[#This Row],[Column1]]), "", node_raw[[#This Row],[Column1]])</f>
        <v/>
      </c>
      <c r="C172" s="27" t="str">
        <f>IF(ISNONTEXT(node_raw[[#This Row],[Column2]]), "", node_raw[[#This Row],[Column2]])</f>
        <v/>
      </c>
      <c r="D172" s="54" t="str">
        <f>IF(ISNUMBER(node_raw[[#This Row],[Column3]]), node_raw[[#This Row],[Column3]],"")</f>
        <v/>
      </c>
      <c r="E172" s="57" t="str">
        <f>IF(ISNUMBER(node_raw[[#This Row],[Column4]]), node_raw[[#This Row],[Column4]]/1048576,"")</f>
        <v/>
      </c>
      <c r="F172" s="139" t="str">
        <f>IF(ISNUMBER(node_raw[[#This Row],[Column5]]), node_raw[[#This Row],[Column5]],"")</f>
        <v/>
      </c>
      <c r="G172" s="153" t="str">
        <f t="shared" si="4"/>
        <v/>
      </c>
      <c r="H172" s="140" t="str">
        <f>IF(ISNUMBER(node_raw[[#This Row],[Column6]]), node_raw[[#This Row],[Column6]]/1048576,"")</f>
        <v/>
      </c>
      <c r="I172" s="157" t="str">
        <f t="shared" si="5"/>
        <v/>
      </c>
      <c r="J172" s="141" t="str">
        <f>IF(ISNONTEXT(node_raw[[#This Row],[Column7]]), "", node_raw[[#This Row],[Column7]]/100)</f>
        <v/>
      </c>
      <c r="K172" s="142" t="str">
        <f>IF(ISNONTEXT(node_raw[[#This Row],[Column8]]), "", node_raw[[#This Row],[Column8]]/100)</f>
        <v/>
      </c>
      <c r="L172" s="143" t="str">
        <f>IF(ISNONTEXT(node_raw[[#This Row],[Column9]]), "", node_raw[[#This Row],[Column9]]/1)</f>
        <v/>
      </c>
      <c r="M172" s="144" t="str">
        <f>IF(ISNONTEXT(node_raw[[#This Row],[Column10]]), "", node_raw[[#This Row],[Column10]]/1)</f>
        <v/>
      </c>
    </row>
    <row r="173" spans="2:13" ht="15.75" customHeight="1" x14ac:dyDescent="0.25">
      <c r="B173" s="30" t="str">
        <f>IF(ISNONTEXT(node_raw[[#This Row],[Column1]]), "", node_raw[[#This Row],[Column1]])</f>
        <v/>
      </c>
      <c r="C173" s="27" t="str">
        <f>IF(ISNONTEXT(node_raw[[#This Row],[Column2]]), "", node_raw[[#This Row],[Column2]])</f>
        <v/>
      </c>
      <c r="D173" s="54" t="str">
        <f>IF(ISNUMBER(node_raw[[#This Row],[Column3]]), node_raw[[#This Row],[Column3]],"")</f>
        <v/>
      </c>
      <c r="E173" s="57" t="str">
        <f>IF(ISNUMBER(node_raw[[#This Row],[Column4]]), node_raw[[#This Row],[Column4]]/1048576,"")</f>
        <v/>
      </c>
      <c r="F173" s="139" t="str">
        <f>IF(ISNUMBER(node_raw[[#This Row],[Column5]]), node_raw[[#This Row],[Column5]],"")</f>
        <v/>
      </c>
      <c r="G173" s="153" t="str">
        <f t="shared" si="4"/>
        <v/>
      </c>
      <c r="H173" s="140" t="str">
        <f>IF(ISNUMBER(node_raw[[#This Row],[Column6]]), node_raw[[#This Row],[Column6]]/1048576,"")</f>
        <v/>
      </c>
      <c r="I173" s="157" t="str">
        <f t="shared" si="5"/>
        <v/>
      </c>
      <c r="J173" s="141" t="str">
        <f>IF(ISNONTEXT(node_raw[[#This Row],[Column7]]), "", node_raw[[#This Row],[Column7]]/100)</f>
        <v/>
      </c>
      <c r="K173" s="142" t="str">
        <f>IF(ISNONTEXT(node_raw[[#This Row],[Column8]]), "", node_raw[[#This Row],[Column8]]/100)</f>
        <v/>
      </c>
      <c r="L173" s="143" t="str">
        <f>IF(ISNONTEXT(node_raw[[#This Row],[Column9]]), "", node_raw[[#This Row],[Column9]]/1)</f>
        <v/>
      </c>
      <c r="M173" s="144" t="str">
        <f>IF(ISNONTEXT(node_raw[[#This Row],[Column10]]), "", node_raw[[#This Row],[Column10]]/1)</f>
        <v/>
      </c>
    </row>
    <row r="174" spans="2:13" ht="15.75" customHeight="1" x14ac:dyDescent="0.25">
      <c r="B174" s="30" t="str">
        <f>IF(ISNONTEXT(node_raw[[#This Row],[Column1]]), "", node_raw[[#This Row],[Column1]])</f>
        <v/>
      </c>
      <c r="C174" s="27" t="str">
        <f>IF(ISNONTEXT(node_raw[[#This Row],[Column2]]), "", node_raw[[#This Row],[Column2]])</f>
        <v/>
      </c>
      <c r="D174" s="54" t="str">
        <f>IF(ISNUMBER(node_raw[[#This Row],[Column3]]), node_raw[[#This Row],[Column3]],"")</f>
        <v/>
      </c>
      <c r="E174" s="57" t="str">
        <f>IF(ISNUMBER(node_raw[[#This Row],[Column4]]), node_raw[[#This Row],[Column4]]/1048576,"")</f>
        <v/>
      </c>
      <c r="F174" s="139" t="str">
        <f>IF(ISNUMBER(node_raw[[#This Row],[Column5]]), node_raw[[#This Row],[Column5]],"")</f>
        <v/>
      </c>
      <c r="G174" s="153" t="str">
        <f t="shared" si="4"/>
        <v/>
      </c>
      <c r="H174" s="140" t="str">
        <f>IF(ISNUMBER(node_raw[[#This Row],[Column6]]), node_raw[[#This Row],[Column6]]/1048576,"")</f>
        <v/>
      </c>
      <c r="I174" s="157" t="str">
        <f t="shared" si="5"/>
        <v/>
      </c>
      <c r="J174" s="141" t="str">
        <f>IF(ISNONTEXT(node_raw[[#This Row],[Column7]]), "", node_raw[[#This Row],[Column7]]/100)</f>
        <v/>
      </c>
      <c r="K174" s="142" t="str">
        <f>IF(ISNONTEXT(node_raw[[#This Row],[Column8]]), "", node_raw[[#This Row],[Column8]]/100)</f>
        <v/>
      </c>
      <c r="L174" s="143" t="str">
        <f>IF(ISNONTEXT(node_raw[[#This Row],[Column9]]), "", node_raw[[#This Row],[Column9]]/1)</f>
        <v/>
      </c>
      <c r="M174" s="144" t="str">
        <f>IF(ISNONTEXT(node_raw[[#This Row],[Column10]]), "", node_raw[[#This Row],[Column10]]/1)</f>
        <v/>
      </c>
    </row>
    <row r="175" spans="2:13" ht="15.75" customHeight="1" x14ac:dyDescent="0.25">
      <c r="B175" s="30" t="str">
        <f>IF(ISNONTEXT(node_raw[[#This Row],[Column1]]), "", node_raw[[#This Row],[Column1]])</f>
        <v/>
      </c>
      <c r="C175" s="27" t="str">
        <f>IF(ISNONTEXT(node_raw[[#This Row],[Column2]]), "", node_raw[[#This Row],[Column2]])</f>
        <v/>
      </c>
      <c r="D175" s="54" t="str">
        <f>IF(ISNUMBER(node_raw[[#This Row],[Column3]]), node_raw[[#This Row],[Column3]],"")</f>
        <v/>
      </c>
      <c r="E175" s="57" t="str">
        <f>IF(ISNUMBER(node_raw[[#This Row],[Column4]]), node_raw[[#This Row],[Column4]]/1048576,"")</f>
        <v/>
      </c>
      <c r="F175" s="139" t="str">
        <f>IF(ISNUMBER(node_raw[[#This Row],[Column5]]), node_raw[[#This Row],[Column5]],"")</f>
        <v/>
      </c>
      <c r="G175" s="153" t="str">
        <f t="shared" si="4"/>
        <v/>
      </c>
      <c r="H175" s="140" t="str">
        <f>IF(ISNUMBER(node_raw[[#This Row],[Column6]]), node_raw[[#This Row],[Column6]]/1048576,"")</f>
        <v/>
      </c>
      <c r="I175" s="157" t="str">
        <f t="shared" si="5"/>
        <v/>
      </c>
      <c r="J175" s="141" t="str">
        <f>IF(ISNONTEXT(node_raw[[#This Row],[Column7]]), "", node_raw[[#This Row],[Column7]]/100)</f>
        <v/>
      </c>
      <c r="K175" s="142" t="str">
        <f>IF(ISNONTEXT(node_raw[[#This Row],[Column8]]), "", node_raw[[#This Row],[Column8]]/100)</f>
        <v/>
      </c>
      <c r="L175" s="143" t="str">
        <f>IF(ISNONTEXT(node_raw[[#This Row],[Column9]]), "", node_raw[[#This Row],[Column9]]/1)</f>
        <v/>
      </c>
      <c r="M175" s="144" t="str">
        <f>IF(ISNONTEXT(node_raw[[#This Row],[Column10]]), "", node_raw[[#This Row],[Column10]]/1)</f>
        <v/>
      </c>
    </row>
    <row r="176" spans="2:13" ht="15.75" customHeight="1" x14ac:dyDescent="0.25">
      <c r="B176" s="30" t="str">
        <f>IF(ISNONTEXT(node_raw[[#This Row],[Column1]]), "", node_raw[[#This Row],[Column1]])</f>
        <v/>
      </c>
      <c r="C176" s="27" t="str">
        <f>IF(ISNONTEXT(node_raw[[#This Row],[Column2]]), "", node_raw[[#This Row],[Column2]])</f>
        <v/>
      </c>
      <c r="D176" s="54" t="str">
        <f>IF(ISNUMBER(node_raw[[#This Row],[Column3]]), node_raw[[#This Row],[Column3]],"")</f>
        <v/>
      </c>
      <c r="E176" s="57" t="str">
        <f>IF(ISNUMBER(node_raw[[#This Row],[Column4]]), node_raw[[#This Row],[Column4]]/1048576,"")</f>
        <v/>
      </c>
      <c r="F176" s="139" t="str">
        <f>IF(ISNUMBER(node_raw[[#This Row],[Column5]]), node_raw[[#This Row],[Column5]],"")</f>
        <v/>
      </c>
      <c r="G176" s="153" t="str">
        <f t="shared" si="4"/>
        <v/>
      </c>
      <c r="H176" s="140" t="str">
        <f>IF(ISNUMBER(node_raw[[#This Row],[Column6]]), node_raw[[#This Row],[Column6]]/1048576,"")</f>
        <v/>
      </c>
      <c r="I176" s="157" t="str">
        <f t="shared" si="5"/>
        <v/>
      </c>
      <c r="J176" s="141" t="str">
        <f>IF(ISNONTEXT(node_raw[[#This Row],[Column7]]), "", node_raw[[#This Row],[Column7]]/100)</f>
        <v/>
      </c>
      <c r="K176" s="142" t="str">
        <f>IF(ISNONTEXT(node_raw[[#This Row],[Column8]]), "", node_raw[[#This Row],[Column8]]/100)</f>
        <v/>
      </c>
      <c r="L176" s="143" t="str">
        <f>IF(ISNONTEXT(node_raw[[#This Row],[Column9]]), "", node_raw[[#This Row],[Column9]]/1)</f>
        <v/>
      </c>
      <c r="M176" s="144" t="str">
        <f>IF(ISNONTEXT(node_raw[[#This Row],[Column10]]), "", node_raw[[#This Row],[Column10]]/1)</f>
        <v/>
      </c>
    </row>
    <row r="177" spans="2:13" ht="15.75" customHeight="1" x14ac:dyDescent="0.25">
      <c r="B177" s="30" t="str">
        <f>IF(ISNONTEXT(node_raw[[#This Row],[Column1]]), "", node_raw[[#This Row],[Column1]])</f>
        <v/>
      </c>
      <c r="C177" s="27" t="str">
        <f>IF(ISNONTEXT(node_raw[[#This Row],[Column2]]), "", node_raw[[#This Row],[Column2]])</f>
        <v/>
      </c>
      <c r="D177" s="54" t="str">
        <f>IF(ISNUMBER(node_raw[[#This Row],[Column3]]), node_raw[[#This Row],[Column3]],"")</f>
        <v/>
      </c>
      <c r="E177" s="57" t="str">
        <f>IF(ISNUMBER(node_raw[[#This Row],[Column4]]), node_raw[[#This Row],[Column4]]/1048576,"")</f>
        <v/>
      </c>
      <c r="F177" s="139" t="str">
        <f>IF(ISNUMBER(node_raw[[#This Row],[Column5]]), node_raw[[#This Row],[Column5]],"")</f>
        <v/>
      </c>
      <c r="G177" s="153" t="str">
        <f t="shared" si="4"/>
        <v/>
      </c>
      <c r="H177" s="140" t="str">
        <f>IF(ISNUMBER(node_raw[[#This Row],[Column6]]), node_raw[[#This Row],[Column6]]/1048576,"")</f>
        <v/>
      </c>
      <c r="I177" s="157" t="str">
        <f t="shared" si="5"/>
        <v/>
      </c>
      <c r="J177" s="141" t="str">
        <f>IF(ISNONTEXT(node_raw[[#This Row],[Column7]]), "", node_raw[[#This Row],[Column7]]/100)</f>
        <v/>
      </c>
      <c r="K177" s="142" t="str">
        <f>IF(ISNONTEXT(node_raw[[#This Row],[Column8]]), "", node_raw[[#This Row],[Column8]]/100)</f>
        <v/>
      </c>
      <c r="L177" s="143" t="str">
        <f>IF(ISNONTEXT(node_raw[[#This Row],[Column9]]), "", node_raw[[#This Row],[Column9]]/1)</f>
        <v/>
      </c>
      <c r="M177" s="144" t="str">
        <f>IF(ISNONTEXT(node_raw[[#This Row],[Column10]]), "", node_raw[[#This Row],[Column10]]/1)</f>
        <v/>
      </c>
    </row>
    <row r="178" spans="2:13" ht="15.75" customHeight="1" x14ac:dyDescent="0.25">
      <c r="B178" s="30" t="str">
        <f>IF(ISNONTEXT(node_raw[[#This Row],[Column1]]), "", node_raw[[#This Row],[Column1]])</f>
        <v/>
      </c>
      <c r="C178" s="27" t="str">
        <f>IF(ISNONTEXT(node_raw[[#This Row],[Column2]]), "", node_raw[[#This Row],[Column2]])</f>
        <v/>
      </c>
      <c r="D178" s="54" t="str">
        <f>IF(ISNUMBER(node_raw[[#This Row],[Column3]]), node_raw[[#This Row],[Column3]],"")</f>
        <v/>
      </c>
      <c r="E178" s="57" t="str">
        <f>IF(ISNUMBER(node_raw[[#This Row],[Column4]]), node_raw[[#This Row],[Column4]]/1048576,"")</f>
        <v/>
      </c>
      <c r="F178" s="139" t="str">
        <f>IF(ISNUMBER(node_raw[[#This Row],[Column5]]), node_raw[[#This Row],[Column5]],"")</f>
        <v/>
      </c>
      <c r="G178" s="153" t="str">
        <f t="shared" si="4"/>
        <v/>
      </c>
      <c r="H178" s="140" t="str">
        <f>IF(ISNUMBER(node_raw[[#This Row],[Column6]]), node_raw[[#This Row],[Column6]]/1048576,"")</f>
        <v/>
      </c>
      <c r="I178" s="157" t="str">
        <f t="shared" si="5"/>
        <v/>
      </c>
      <c r="J178" s="141" t="str">
        <f>IF(ISNONTEXT(node_raw[[#This Row],[Column7]]), "", node_raw[[#This Row],[Column7]]/100)</f>
        <v/>
      </c>
      <c r="K178" s="142" t="str">
        <f>IF(ISNONTEXT(node_raw[[#This Row],[Column8]]), "", node_raw[[#This Row],[Column8]]/100)</f>
        <v/>
      </c>
      <c r="L178" s="143" t="str">
        <f>IF(ISNONTEXT(node_raw[[#This Row],[Column9]]), "", node_raw[[#This Row],[Column9]]/1)</f>
        <v/>
      </c>
      <c r="M178" s="144" t="str">
        <f>IF(ISNONTEXT(node_raw[[#This Row],[Column10]]), "", node_raw[[#This Row],[Column10]]/1)</f>
        <v/>
      </c>
    </row>
    <row r="179" spans="2:13" ht="15.75" customHeight="1" x14ac:dyDescent="0.25">
      <c r="B179" s="30" t="str">
        <f>IF(ISNONTEXT(node_raw[[#This Row],[Column1]]), "", node_raw[[#This Row],[Column1]])</f>
        <v/>
      </c>
      <c r="C179" s="27" t="str">
        <f>IF(ISNONTEXT(node_raw[[#This Row],[Column2]]), "", node_raw[[#This Row],[Column2]])</f>
        <v/>
      </c>
      <c r="D179" s="54" t="str">
        <f>IF(ISNUMBER(node_raw[[#This Row],[Column3]]), node_raw[[#This Row],[Column3]],"")</f>
        <v/>
      </c>
      <c r="E179" s="57" t="str">
        <f>IF(ISNUMBER(node_raw[[#This Row],[Column4]]), node_raw[[#This Row],[Column4]]/1048576,"")</f>
        <v/>
      </c>
      <c r="F179" s="139" t="str">
        <f>IF(ISNUMBER(node_raw[[#This Row],[Column5]]), node_raw[[#This Row],[Column5]],"")</f>
        <v/>
      </c>
      <c r="G179" s="153" t="str">
        <f t="shared" si="4"/>
        <v/>
      </c>
      <c r="H179" s="140" t="str">
        <f>IF(ISNUMBER(node_raw[[#This Row],[Column6]]), node_raw[[#This Row],[Column6]]/1048576,"")</f>
        <v/>
      </c>
      <c r="I179" s="157" t="str">
        <f t="shared" si="5"/>
        <v/>
      </c>
      <c r="J179" s="141" t="str">
        <f>IF(ISNONTEXT(node_raw[[#This Row],[Column7]]), "", node_raw[[#This Row],[Column7]]/100)</f>
        <v/>
      </c>
      <c r="K179" s="142" t="str">
        <f>IF(ISNONTEXT(node_raw[[#This Row],[Column8]]), "", node_raw[[#This Row],[Column8]]/100)</f>
        <v/>
      </c>
      <c r="L179" s="143" t="str">
        <f>IF(ISNONTEXT(node_raw[[#This Row],[Column9]]), "", node_raw[[#This Row],[Column9]]/1)</f>
        <v/>
      </c>
      <c r="M179" s="144" t="str">
        <f>IF(ISNONTEXT(node_raw[[#This Row],[Column10]]), "", node_raw[[#This Row],[Column10]]/1)</f>
        <v/>
      </c>
    </row>
    <row r="180" spans="2:13" ht="15.75" customHeight="1" x14ac:dyDescent="0.25">
      <c r="B180" s="30" t="str">
        <f>IF(ISNONTEXT(node_raw[[#This Row],[Column1]]), "", node_raw[[#This Row],[Column1]])</f>
        <v/>
      </c>
      <c r="C180" s="27" t="str">
        <f>IF(ISNONTEXT(node_raw[[#This Row],[Column2]]), "", node_raw[[#This Row],[Column2]])</f>
        <v/>
      </c>
      <c r="D180" s="54" t="str">
        <f>IF(ISNUMBER(node_raw[[#This Row],[Column3]]), node_raw[[#This Row],[Column3]],"")</f>
        <v/>
      </c>
      <c r="E180" s="57" t="str">
        <f>IF(ISNUMBER(node_raw[[#This Row],[Column4]]), node_raw[[#This Row],[Column4]]/1048576,"")</f>
        <v/>
      </c>
      <c r="F180" s="139" t="str">
        <f>IF(ISNUMBER(node_raw[[#This Row],[Column5]]), node_raw[[#This Row],[Column5]],"")</f>
        <v/>
      </c>
      <c r="G180" s="153" t="str">
        <f t="shared" si="4"/>
        <v/>
      </c>
      <c r="H180" s="140" t="str">
        <f>IF(ISNUMBER(node_raw[[#This Row],[Column6]]), node_raw[[#This Row],[Column6]]/1048576,"")</f>
        <v/>
      </c>
      <c r="I180" s="157" t="str">
        <f t="shared" si="5"/>
        <v/>
      </c>
      <c r="J180" s="141" t="str">
        <f>IF(ISNONTEXT(node_raw[[#This Row],[Column7]]), "", node_raw[[#This Row],[Column7]]/100)</f>
        <v/>
      </c>
      <c r="K180" s="142" t="str">
        <f>IF(ISNONTEXT(node_raw[[#This Row],[Column8]]), "", node_raw[[#This Row],[Column8]]/100)</f>
        <v/>
      </c>
      <c r="L180" s="143" t="str">
        <f>IF(ISNONTEXT(node_raw[[#This Row],[Column9]]), "", node_raw[[#This Row],[Column9]]/1)</f>
        <v/>
      </c>
      <c r="M180" s="144" t="str">
        <f>IF(ISNONTEXT(node_raw[[#This Row],[Column10]]), "", node_raw[[#This Row],[Column10]]/1)</f>
        <v/>
      </c>
    </row>
    <row r="181" spans="2:13" ht="15.75" customHeight="1" x14ac:dyDescent="0.25">
      <c r="B181" s="30" t="str">
        <f>IF(ISNONTEXT(node_raw[[#This Row],[Column1]]), "", node_raw[[#This Row],[Column1]])</f>
        <v/>
      </c>
      <c r="C181" s="27" t="str">
        <f>IF(ISNONTEXT(node_raw[[#This Row],[Column2]]), "", node_raw[[#This Row],[Column2]])</f>
        <v/>
      </c>
      <c r="D181" s="54" t="str">
        <f>IF(ISNUMBER(node_raw[[#This Row],[Column3]]), node_raw[[#This Row],[Column3]],"")</f>
        <v/>
      </c>
      <c r="E181" s="57" t="str">
        <f>IF(ISNUMBER(node_raw[[#This Row],[Column4]]), node_raw[[#This Row],[Column4]]/1048576,"")</f>
        <v/>
      </c>
      <c r="F181" s="139" t="str">
        <f>IF(ISNUMBER(node_raw[[#This Row],[Column5]]), node_raw[[#This Row],[Column5]],"")</f>
        <v/>
      </c>
      <c r="G181" s="153" t="str">
        <f t="shared" si="4"/>
        <v/>
      </c>
      <c r="H181" s="140" t="str">
        <f>IF(ISNUMBER(node_raw[[#This Row],[Column6]]), node_raw[[#This Row],[Column6]]/1048576,"")</f>
        <v/>
      </c>
      <c r="I181" s="157" t="str">
        <f t="shared" si="5"/>
        <v/>
      </c>
      <c r="J181" s="141" t="str">
        <f>IF(ISNONTEXT(node_raw[[#This Row],[Column7]]), "", node_raw[[#This Row],[Column7]]/100)</f>
        <v/>
      </c>
      <c r="K181" s="142" t="str">
        <f>IF(ISNONTEXT(node_raw[[#This Row],[Column8]]), "", node_raw[[#This Row],[Column8]]/100)</f>
        <v/>
      </c>
      <c r="L181" s="143" t="str">
        <f>IF(ISNONTEXT(node_raw[[#This Row],[Column9]]), "", node_raw[[#This Row],[Column9]]/1)</f>
        <v/>
      </c>
      <c r="M181" s="144" t="str">
        <f>IF(ISNONTEXT(node_raw[[#This Row],[Column10]]), "", node_raw[[#This Row],[Column10]]/1)</f>
        <v/>
      </c>
    </row>
    <row r="182" spans="2:13" ht="15.75" customHeight="1" x14ac:dyDescent="0.25">
      <c r="B182" s="30" t="str">
        <f>IF(ISNONTEXT(node_raw[[#This Row],[Column1]]), "", node_raw[[#This Row],[Column1]])</f>
        <v/>
      </c>
      <c r="C182" s="27" t="str">
        <f>IF(ISNONTEXT(node_raw[[#This Row],[Column2]]), "", node_raw[[#This Row],[Column2]])</f>
        <v/>
      </c>
      <c r="D182" s="54" t="str">
        <f>IF(ISNUMBER(node_raw[[#This Row],[Column3]]), node_raw[[#This Row],[Column3]],"")</f>
        <v/>
      </c>
      <c r="E182" s="57" t="str">
        <f>IF(ISNUMBER(node_raw[[#This Row],[Column4]]), node_raw[[#This Row],[Column4]]/1048576,"")</f>
        <v/>
      </c>
      <c r="F182" s="139" t="str">
        <f>IF(ISNUMBER(node_raw[[#This Row],[Column5]]), node_raw[[#This Row],[Column5]],"")</f>
        <v/>
      </c>
      <c r="G182" s="153" t="str">
        <f t="shared" si="4"/>
        <v/>
      </c>
      <c r="H182" s="140" t="str">
        <f>IF(ISNUMBER(node_raw[[#This Row],[Column6]]), node_raw[[#This Row],[Column6]]/1048576,"")</f>
        <v/>
      </c>
      <c r="I182" s="157" t="str">
        <f t="shared" si="5"/>
        <v/>
      </c>
      <c r="J182" s="141" t="str">
        <f>IF(ISNONTEXT(node_raw[[#This Row],[Column7]]), "", node_raw[[#This Row],[Column7]]/100)</f>
        <v/>
      </c>
      <c r="K182" s="142" t="str">
        <f>IF(ISNONTEXT(node_raw[[#This Row],[Column8]]), "", node_raw[[#This Row],[Column8]]/100)</f>
        <v/>
      </c>
      <c r="L182" s="143" t="str">
        <f>IF(ISNONTEXT(node_raw[[#This Row],[Column9]]), "", node_raw[[#This Row],[Column9]]/1)</f>
        <v/>
      </c>
      <c r="M182" s="144" t="str">
        <f>IF(ISNONTEXT(node_raw[[#This Row],[Column10]]), "", node_raw[[#This Row],[Column10]]/1)</f>
        <v/>
      </c>
    </row>
    <row r="183" spans="2:13" ht="15.75" customHeight="1" x14ac:dyDescent="0.25">
      <c r="B183" s="30" t="str">
        <f>IF(ISNONTEXT(node_raw[[#This Row],[Column1]]), "", node_raw[[#This Row],[Column1]])</f>
        <v/>
      </c>
      <c r="C183" s="27" t="str">
        <f>IF(ISNONTEXT(node_raw[[#This Row],[Column2]]), "", node_raw[[#This Row],[Column2]])</f>
        <v/>
      </c>
      <c r="D183" s="54" t="str">
        <f>IF(ISNUMBER(node_raw[[#This Row],[Column3]]), node_raw[[#This Row],[Column3]],"")</f>
        <v/>
      </c>
      <c r="E183" s="57" t="str">
        <f>IF(ISNUMBER(node_raw[[#This Row],[Column4]]), node_raw[[#This Row],[Column4]]/1048576,"")</f>
        <v/>
      </c>
      <c r="F183" s="139" t="str">
        <f>IF(ISNUMBER(node_raw[[#This Row],[Column5]]), node_raw[[#This Row],[Column5]],"")</f>
        <v/>
      </c>
      <c r="G183" s="153" t="str">
        <f t="shared" si="4"/>
        <v/>
      </c>
      <c r="H183" s="140" t="str">
        <f>IF(ISNUMBER(node_raw[[#This Row],[Column6]]), node_raw[[#This Row],[Column6]]/1048576,"")</f>
        <v/>
      </c>
      <c r="I183" s="157" t="str">
        <f t="shared" si="5"/>
        <v/>
      </c>
      <c r="J183" s="141" t="str">
        <f>IF(ISNONTEXT(node_raw[[#This Row],[Column7]]), "", node_raw[[#This Row],[Column7]]/100)</f>
        <v/>
      </c>
      <c r="K183" s="142" t="str">
        <f>IF(ISNONTEXT(node_raw[[#This Row],[Column8]]), "", node_raw[[#This Row],[Column8]]/100)</f>
        <v/>
      </c>
      <c r="L183" s="143" t="str">
        <f>IF(ISNONTEXT(node_raw[[#This Row],[Column9]]), "", node_raw[[#This Row],[Column9]]/1)</f>
        <v/>
      </c>
      <c r="M183" s="144" t="str">
        <f>IF(ISNONTEXT(node_raw[[#This Row],[Column10]]), "", node_raw[[#This Row],[Column10]]/1)</f>
        <v/>
      </c>
    </row>
    <row r="184" spans="2:13" ht="15.75" customHeight="1" x14ac:dyDescent="0.25">
      <c r="B184" s="30" t="str">
        <f>IF(ISNONTEXT(node_raw[[#This Row],[Column1]]), "", node_raw[[#This Row],[Column1]])</f>
        <v/>
      </c>
      <c r="C184" s="27" t="str">
        <f>IF(ISNONTEXT(node_raw[[#This Row],[Column2]]), "", node_raw[[#This Row],[Column2]])</f>
        <v/>
      </c>
      <c r="D184" s="54" t="str">
        <f>IF(ISNUMBER(node_raw[[#This Row],[Column3]]), node_raw[[#This Row],[Column3]],"")</f>
        <v/>
      </c>
      <c r="E184" s="57" t="str">
        <f>IF(ISNUMBER(node_raw[[#This Row],[Column4]]), node_raw[[#This Row],[Column4]]/1048576,"")</f>
        <v/>
      </c>
      <c r="F184" s="139" t="str">
        <f>IF(ISNUMBER(node_raw[[#This Row],[Column5]]), node_raw[[#This Row],[Column5]],"")</f>
        <v/>
      </c>
      <c r="G184" s="153" t="str">
        <f t="shared" si="4"/>
        <v/>
      </c>
      <c r="H184" s="140" t="str">
        <f>IF(ISNUMBER(node_raw[[#This Row],[Column6]]), node_raw[[#This Row],[Column6]]/1048576,"")</f>
        <v/>
      </c>
      <c r="I184" s="157" t="str">
        <f t="shared" si="5"/>
        <v/>
      </c>
      <c r="J184" s="141" t="str">
        <f>IF(ISNONTEXT(node_raw[[#This Row],[Column7]]), "", node_raw[[#This Row],[Column7]]/100)</f>
        <v/>
      </c>
      <c r="K184" s="142" t="str">
        <f>IF(ISNONTEXT(node_raw[[#This Row],[Column8]]), "", node_raw[[#This Row],[Column8]]/100)</f>
        <v/>
      </c>
      <c r="L184" s="143" t="str">
        <f>IF(ISNONTEXT(node_raw[[#This Row],[Column9]]), "", node_raw[[#This Row],[Column9]]/1)</f>
        <v/>
      </c>
      <c r="M184" s="144" t="str">
        <f>IF(ISNONTEXT(node_raw[[#This Row],[Column10]]), "", node_raw[[#This Row],[Column10]]/1)</f>
        <v/>
      </c>
    </row>
    <row r="185" spans="2:13" ht="15.75" customHeight="1" x14ac:dyDescent="0.25">
      <c r="B185" s="30" t="str">
        <f>IF(ISNONTEXT(node_raw[[#This Row],[Column1]]), "", node_raw[[#This Row],[Column1]])</f>
        <v/>
      </c>
      <c r="C185" s="27" t="str">
        <f>IF(ISNONTEXT(node_raw[[#This Row],[Column2]]), "", node_raw[[#This Row],[Column2]])</f>
        <v/>
      </c>
      <c r="D185" s="54" t="str">
        <f>IF(ISNUMBER(node_raw[[#This Row],[Column3]]), node_raw[[#This Row],[Column3]],"")</f>
        <v/>
      </c>
      <c r="E185" s="57" t="str">
        <f>IF(ISNUMBER(node_raw[[#This Row],[Column4]]), node_raw[[#This Row],[Column4]]/1048576,"")</f>
        <v/>
      </c>
      <c r="F185" s="139" t="str">
        <f>IF(ISNUMBER(node_raw[[#This Row],[Column5]]), node_raw[[#This Row],[Column5]],"")</f>
        <v/>
      </c>
      <c r="G185" s="153" t="str">
        <f t="shared" si="4"/>
        <v/>
      </c>
      <c r="H185" s="140" t="str">
        <f>IF(ISNUMBER(node_raw[[#This Row],[Column6]]), node_raw[[#This Row],[Column6]]/1048576,"")</f>
        <v/>
      </c>
      <c r="I185" s="157" t="str">
        <f t="shared" si="5"/>
        <v/>
      </c>
      <c r="J185" s="141" t="str">
        <f>IF(ISNONTEXT(node_raw[[#This Row],[Column7]]), "", node_raw[[#This Row],[Column7]]/100)</f>
        <v/>
      </c>
      <c r="K185" s="142" t="str">
        <f>IF(ISNONTEXT(node_raw[[#This Row],[Column8]]), "", node_raw[[#This Row],[Column8]]/100)</f>
        <v/>
      </c>
      <c r="L185" s="143" t="str">
        <f>IF(ISNONTEXT(node_raw[[#This Row],[Column9]]), "", node_raw[[#This Row],[Column9]]/1)</f>
        <v/>
      </c>
      <c r="M185" s="144" t="str">
        <f>IF(ISNONTEXT(node_raw[[#This Row],[Column10]]), "", node_raw[[#This Row],[Column10]]/1)</f>
        <v/>
      </c>
    </row>
    <row r="186" spans="2:13" ht="15.75" customHeight="1" x14ac:dyDescent="0.25">
      <c r="B186" s="30" t="str">
        <f>IF(ISNONTEXT(node_raw[[#This Row],[Column1]]), "", node_raw[[#This Row],[Column1]])</f>
        <v/>
      </c>
      <c r="C186" s="27" t="str">
        <f>IF(ISNONTEXT(node_raw[[#This Row],[Column2]]), "", node_raw[[#This Row],[Column2]])</f>
        <v/>
      </c>
      <c r="D186" s="54" t="str">
        <f>IF(ISNUMBER(node_raw[[#This Row],[Column3]]), node_raw[[#This Row],[Column3]],"")</f>
        <v/>
      </c>
      <c r="E186" s="57" t="str">
        <f>IF(ISNUMBER(node_raw[[#This Row],[Column4]]), node_raw[[#This Row],[Column4]]/1048576,"")</f>
        <v/>
      </c>
      <c r="F186" s="139" t="str">
        <f>IF(ISNUMBER(node_raw[[#This Row],[Column5]]), node_raw[[#This Row],[Column5]],"")</f>
        <v/>
      </c>
      <c r="G186" s="153" t="str">
        <f t="shared" si="4"/>
        <v/>
      </c>
      <c r="H186" s="140" t="str">
        <f>IF(ISNUMBER(node_raw[[#This Row],[Column6]]), node_raw[[#This Row],[Column6]]/1048576,"")</f>
        <v/>
      </c>
      <c r="I186" s="157" t="str">
        <f t="shared" si="5"/>
        <v/>
      </c>
      <c r="J186" s="141" t="str">
        <f>IF(ISNONTEXT(node_raw[[#This Row],[Column7]]), "", node_raw[[#This Row],[Column7]]/100)</f>
        <v/>
      </c>
      <c r="K186" s="142" t="str">
        <f>IF(ISNONTEXT(node_raw[[#This Row],[Column8]]), "", node_raw[[#This Row],[Column8]]/100)</f>
        <v/>
      </c>
      <c r="L186" s="143" t="str">
        <f>IF(ISNONTEXT(node_raw[[#This Row],[Column9]]), "", node_raw[[#This Row],[Column9]]/1)</f>
        <v/>
      </c>
      <c r="M186" s="144" t="str">
        <f>IF(ISNONTEXT(node_raw[[#This Row],[Column10]]), "", node_raw[[#This Row],[Column10]]/1)</f>
        <v/>
      </c>
    </row>
    <row r="187" spans="2:13" ht="15.75" customHeight="1" x14ac:dyDescent="0.25">
      <c r="B187" s="30" t="str">
        <f>IF(ISNONTEXT(node_raw[[#This Row],[Column1]]), "", node_raw[[#This Row],[Column1]])</f>
        <v/>
      </c>
      <c r="C187" s="27" t="str">
        <f>IF(ISNONTEXT(node_raw[[#This Row],[Column2]]), "", node_raw[[#This Row],[Column2]])</f>
        <v/>
      </c>
      <c r="D187" s="54" t="str">
        <f>IF(ISNUMBER(node_raw[[#This Row],[Column3]]), node_raw[[#This Row],[Column3]],"")</f>
        <v/>
      </c>
      <c r="E187" s="57" t="str">
        <f>IF(ISNUMBER(node_raw[[#This Row],[Column4]]), node_raw[[#This Row],[Column4]]/1048576,"")</f>
        <v/>
      </c>
      <c r="F187" s="139" t="str">
        <f>IF(ISNUMBER(node_raw[[#This Row],[Column5]]), node_raw[[#This Row],[Column5]],"")</f>
        <v/>
      </c>
      <c r="G187" s="153" t="str">
        <f t="shared" si="4"/>
        <v/>
      </c>
      <c r="H187" s="140" t="str">
        <f>IF(ISNUMBER(node_raw[[#This Row],[Column6]]), node_raw[[#This Row],[Column6]]/1048576,"")</f>
        <v/>
      </c>
      <c r="I187" s="157" t="str">
        <f t="shared" si="5"/>
        <v/>
      </c>
      <c r="J187" s="141" t="str">
        <f>IF(ISNONTEXT(node_raw[[#This Row],[Column7]]), "", node_raw[[#This Row],[Column7]]/100)</f>
        <v/>
      </c>
      <c r="K187" s="142" t="str">
        <f>IF(ISNONTEXT(node_raw[[#This Row],[Column8]]), "", node_raw[[#This Row],[Column8]]/100)</f>
        <v/>
      </c>
      <c r="L187" s="143" t="str">
        <f>IF(ISNONTEXT(node_raw[[#This Row],[Column9]]), "", node_raw[[#This Row],[Column9]]/1)</f>
        <v/>
      </c>
      <c r="M187" s="144" t="str">
        <f>IF(ISNONTEXT(node_raw[[#This Row],[Column10]]), "", node_raw[[#This Row],[Column10]]/1)</f>
        <v/>
      </c>
    </row>
    <row r="188" spans="2:13" ht="15.75" customHeight="1" x14ac:dyDescent="0.25">
      <c r="B188" s="30" t="str">
        <f>IF(ISNONTEXT(node_raw[[#This Row],[Column1]]), "", node_raw[[#This Row],[Column1]])</f>
        <v/>
      </c>
      <c r="C188" s="27" t="str">
        <f>IF(ISNONTEXT(node_raw[[#This Row],[Column2]]), "", node_raw[[#This Row],[Column2]])</f>
        <v/>
      </c>
      <c r="D188" s="54" t="str">
        <f>IF(ISNUMBER(node_raw[[#This Row],[Column3]]), node_raw[[#This Row],[Column3]],"")</f>
        <v/>
      </c>
      <c r="E188" s="57" t="str">
        <f>IF(ISNUMBER(node_raw[[#This Row],[Column4]]), node_raw[[#This Row],[Column4]]/1048576,"")</f>
        <v/>
      </c>
      <c r="F188" s="139" t="str">
        <f>IF(ISNUMBER(node_raw[[#This Row],[Column5]]), node_raw[[#This Row],[Column5]],"")</f>
        <v/>
      </c>
      <c r="G188" s="153" t="str">
        <f t="shared" si="4"/>
        <v/>
      </c>
      <c r="H188" s="140" t="str">
        <f>IF(ISNUMBER(node_raw[[#This Row],[Column6]]), node_raw[[#This Row],[Column6]]/1048576,"")</f>
        <v/>
      </c>
      <c r="I188" s="157" t="str">
        <f t="shared" si="5"/>
        <v/>
      </c>
      <c r="J188" s="141" t="str">
        <f>IF(ISNONTEXT(node_raw[[#This Row],[Column7]]), "", node_raw[[#This Row],[Column7]]/100)</f>
        <v/>
      </c>
      <c r="K188" s="142" t="str">
        <f>IF(ISNONTEXT(node_raw[[#This Row],[Column8]]), "", node_raw[[#This Row],[Column8]]/100)</f>
        <v/>
      </c>
      <c r="L188" s="143" t="str">
        <f>IF(ISNONTEXT(node_raw[[#This Row],[Column9]]), "", node_raw[[#This Row],[Column9]]/1)</f>
        <v/>
      </c>
      <c r="M188" s="144" t="str">
        <f>IF(ISNONTEXT(node_raw[[#This Row],[Column10]]), "", node_raw[[#This Row],[Column10]]/1)</f>
        <v/>
      </c>
    </row>
    <row r="189" spans="2:13" ht="15.75" customHeight="1" x14ac:dyDescent="0.25">
      <c r="B189" s="30" t="str">
        <f>IF(ISNONTEXT(node_raw[[#This Row],[Column1]]), "", node_raw[[#This Row],[Column1]])</f>
        <v/>
      </c>
      <c r="C189" s="27" t="str">
        <f>IF(ISNONTEXT(node_raw[[#This Row],[Column2]]), "", node_raw[[#This Row],[Column2]])</f>
        <v/>
      </c>
      <c r="D189" s="54" t="str">
        <f>IF(ISNUMBER(node_raw[[#This Row],[Column3]]), node_raw[[#This Row],[Column3]],"")</f>
        <v/>
      </c>
      <c r="E189" s="57" t="str">
        <f>IF(ISNUMBER(node_raw[[#This Row],[Column4]]), node_raw[[#This Row],[Column4]]/1048576,"")</f>
        <v/>
      </c>
      <c r="F189" s="139" t="str">
        <f>IF(ISNUMBER(node_raw[[#This Row],[Column5]]), node_raw[[#This Row],[Column5]],"")</f>
        <v/>
      </c>
      <c r="G189" s="153" t="str">
        <f t="shared" si="4"/>
        <v/>
      </c>
      <c r="H189" s="140" t="str">
        <f>IF(ISNUMBER(node_raw[[#This Row],[Column6]]), node_raw[[#This Row],[Column6]]/1048576,"")</f>
        <v/>
      </c>
      <c r="I189" s="157" t="str">
        <f t="shared" si="5"/>
        <v/>
      </c>
      <c r="J189" s="141" t="str">
        <f>IF(ISNONTEXT(node_raw[[#This Row],[Column7]]), "", node_raw[[#This Row],[Column7]]/100)</f>
        <v/>
      </c>
      <c r="K189" s="142" t="str">
        <f>IF(ISNONTEXT(node_raw[[#This Row],[Column8]]), "", node_raw[[#This Row],[Column8]]/100)</f>
        <v/>
      </c>
      <c r="L189" s="143" t="str">
        <f>IF(ISNONTEXT(node_raw[[#This Row],[Column9]]), "", node_raw[[#This Row],[Column9]]/1)</f>
        <v/>
      </c>
      <c r="M189" s="144" t="str">
        <f>IF(ISNONTEXT(node_raw[[#This Row],[Column10]]), "", node_raw[[#This Row],[Column10]]/1)</f>
        <v/>
      </c>
    </row>
    <row r="190" spans="2:13" ht="15.75" customHeight="1" x14ac:dyDescent="0.25">
      <c r="B190" s="30" t="str">
        <f>IF(ISNONTEXT(node_raw[[#This Row],[Column1]]), "", node_raw[[#This Row],[Column1]])</f>
        <v/>
      </c>
      <c r="C190" s="27" t="str">
        <f>IF(ISNONTEXT(node_raw[[#This Row],[Column2]]), "", node_raw[[#This Row],[Column2]])</f>
        <v/>
      </c>
      <c r="D190" s="54" t="str">
        <f>IF(ISNUMBER(node_raw[[#This Row],[Column3]]), node_raw[[#This Row],[Column3]],"")</f>
        <v/>
      </c>
      <c r="E190" s="57" t="str">
        <f>IF(ISNUMBER(node_raw[[#This Row],[Column4]]), node_raw[[#This Row],[Column4]]/1048576,"")</f>
        <v/>
      </c>
      <c r="F190" s="139" t="str">
        <f>IF(ISNUMBER(node_raw[[#This Row],[Column5]]), node_raw[[#This Row],[Column5]],"")</f>
        <v/>
      </c>
      <c r="G190" s="153" t="str">
        <f t="shared" si="4"/>
        <v/>
      </c>
      <c r="H190" s="140" t="str">
        <f>IF(ISNUMBER(node_raw[[#This Row],[Column6]]), node_raw[[#This Row],[Column6]]/1048576,"")</f>
        <v/>
      </c>
      <c r="I190" s="157" t="str">
        <f t="shared" si="5"/>
        <v/>
      </c>
      <c r="J190" s="141" t="str">
        <f>IF(ISNONTEXT(node_raw[[#This Row],[Column7]]), "", node_raw[[#This Row],[Column7]]/100)</f>
        <v/>
      </c>
      <c r="K190" s="142" t="str">
        <f>IF(ISNONTEXT(node_raw[[#This Row],[Column8]]), "", node_raw[[#This Row],[Column8]]/100)</f>
        <v/>
      </c>
      <c r="L190" s="143" t="str">
        <f>IF(ISNONTEXT(node_raw[[#This Row],[Column9]]), "", node_raw[[#This Row],[Column9]]/1)</f>
        <v/>
      </c>
      <c r="M190" s="144" t="str">
        <f>IF(ISNONTEXT(node_raw[[#This Row],[Column10]]), "", node_raw[[#This Row],[Column10]]/1)</f>
        <v/>
      </c>
    </row>
    <row r="191" spans="2:13" ht="15.75" customHeight="1" x14ac:dyDescent="0.25">
      <c r="B191" s="30" t="str">
        <f>IF(ISNONTEXT(node_raw[[#This Row],[Column1]]), "", node_raw[[#This Row],[Column1]])</f>
        <v/>
      </c>
      <c r="C191" s="27" t="str">
        <f>IF(ISNONTEXT(node_raw[[#This Row],[Column2]]), "", node_raw[[#This Row],[Column2]])</f>
        <v/>
      </c>
      <c r="D191" s="54" t="str">
        <f>IF(ISNUMBER(node_raw[[#This Row],[Column3]]), node_raw[[#This Row],[Column3]],"")</f>
        <v/>
      </c>
      <c r="E191" s="57" t="str">
        <f>IF(ISNUMBER(node_raw[[#This Row],[Column4]]), node_raw[[#This Row],[Column4]]/1048576,"")</f>
        <v/>
      </c>
      <c r="F191" s="139" t="str">
        <f>IF(ISNUMBER(node_raw[[#This Row],[Column5]]), node_raw[[#This Row],[Column5]],"")</f>
        <v/>
      </c>
      <c r="G191" s="153" t="str">
        <f t="shared" si="4"/>
        <v/>
      </c>
      <c r="H191" s="140" t="str">
        <f>IF(ISNUMBER(node_raw[[#This Row],[Column6]]), node_raw[[#This Row],[Column6]]/1048576,"")</f>
        <v/>
      </c>
      <c r="I191" s="157" t="str">
        <f t="shared" si="5"/>
        <v/>
      </c>
      <c r="J191" s="141" t="str">
        <f>IF(ISNONTEXT(node_raw[[#This Row],[Column7]]), "", node_raw[[#This Row],[Column7]]/100)</f>
        <v/>
      </c>
      <c r="K191" s="142" t="str">
        <f>IF(ISNONTEXT(node_raw[[#This Row],[Column8]]), "", node_raw[[#This Row],[Column8]]/100)</f>
        <v/>
      </c>
      <c r="L191" s="143" t="str">
        <f>IF(ISNONTEXT(node_raw[[#This Row],[Column9]]), "", node_raw[[#This Row],[Column9]]/1)</f>
        <v/>
      </c>
      <c r="M191" s="144" t="str">
        <f>IF(ISNONTEXT(node_raw[[#This Row],[Column10]]), "", node_raw[[#This Row],[Column10]]/1)</f>
        <v/>
      </c>
    </row>
    <row r="192" spans="2:13" ht="15.75" customHeight="1" x14ac:dyDescent="0.25">
      <c r="B192" s="30" t="str">
        <f>IF(ISNONTEXT(node_raw[[#This Row],[Column1]]), "", node_raw[[#This Row],[Column1]])</f>
        <v/>
      </c>
      <c r="C192" s="27" t="str">
        <f>IF(ISNONTEXT(node_raw[[#This Row],[Column2]]), "", node_raw[[#This Row],[Column2]])</f>
        <v/>
      </c>
      <c r="D192" s="54" t="str">
        <f>IF(ISNUMBER(node_raw[[#This Row],[Column3]]), node_raw[[#This Row],[Column3]],"")</f>
        <v/>
      </c>
      <c r="E192" s="57" t="str">
        <f>IF(ISNUMBER(node_raw[[#This Row],[Column4]]), node_raw[[#This Row],[Column4]]/1048576,"")</f>
        <v/>
      </c>
      <c r="F192" s="139" t="str">
        <f>IF(ISNUMBER(node_raw[[#This Row],[Column5]]), node_raw[[#This Row],[Column5]],"")</f>
        <v/>
      </c>
      <c r="G192" s="153" t="str">
        <f t="shared" si="4"/>
        <v/>
      </c>
      <c r="H192" s="140" t="str">
        <f>IF(ISNUMBER(node_raw[[#This Row],[Column6]]), node_raw[[#This Row],[Column6]]/1048576,"")</f>
        <v/>
      </c>
      <c r="I192" s="157" t="str">
        <f t="shared" si="5"/>
        <v/>
      </c>
      <c r="J192" s="141" t="str">
        <f>IF(ISNONTEXT(node_raw[[#This Row],[Column7]]), "", node_raw[[#This Row],[Column7]]/100)</f>
        <v/>
      </c>
      <c r="K192" s="142" t="str">
        <f>IF(ISNONTEXT(node_raw[[#This Row],[Column8]]), "", node_raw[[#This Row],[Column8]]/100)</f>
        <v/>
      </c>
      <c r="L192" s="143" t="str">
        <f>IF(ISNONTEXT(node_raw[[#This Row],[Column9]]), "", node_raw[[#This Row],[Column9]]/1)</f>
        <v/>
      </c>
      <c r="M192" s="144" t="str">
        <f>IF(ISNONTEXT(node_raw[[#This Row],[Column10]]), "", node_raw[[#This Row],[Column10]]/1)</f>
        <v/>
      </c>
    </row>
    <row r="193" spans="2:13" ht="15.75" customHeight="1" x14ac:dyDescent="0.25">
      <c r="B193" s="30" t="str">
        <f>IF(ISNONTEXT(node_raw[[#This Row],[Column1]]), "", node_raw[[#This Row],[Column1]])</f>
        <v/>
      </c>
      <c r="C193" s="27" t="str">
        <f>IF(ISNONTEXT(node_raw[[#This Row],[Column2]]), "", node_raw[[#This Row],[Column2]])</f>
        <v/>
      </c>
      <c r="D193" s="54" t="str">
        <f>IF(ISNUMBER(node_raw[[#This Row],[Column3]]), node_raw[[#This Row],[Column3]],"")</f>
        <v/>
      </c>
      <c r="E193" s="57" t="str">
        <f>IF(ISNUMBER(node_raw[[#This Row],[Column4]]), node_raw[[#This Row],[Column4]]/1048576,"")</f>
        <v/>
      </c>
      <c r="F193" s="139" t="str">
        <f>IF(ISNUMBER(node_raw[[#This Row],[Column5]]), node_raw[[#This Row],[Column5]],"")</f>
        <v/>
      </c>
      <c r="G193" s="153" t="str">
        <f t="shared" si="4"/>
        <v/>
      </c>
      <c r="H193" s="140" t="str">
        <f>IF(ISNUMBER(node_raw[[#This Row],[Column6]]), node_raw[[#This Row],[Column6]]/1048576,"")</f>
        <v/>
      </c>
      <c r="I193" s="157" t="str">
        <f t="shared" si="5"/>
        <v/>
      </c>
      <c r="J193" s="141" t="str">
        <f>IF(ISNONTEXT(node_raw[[#This Row],[Column7]]), "", node_raw[[#This Row],[Column7]]/100)</f>
        <v/>
      </c>
      <c r="K193" s="142" t="str">
        <f>IF(ISNONTEXT(node_raw[[#This Row],[Column8]]), "", node_raw[[#This Row],[Column8]]/100)</f>
        <v/>
      </c>
      <c r="L193" s="143" t="str">
        <f>IF(ISNONTEXT(node_raw[[#This Row],[Column9]]), "", node_raw[[#This Row],[Column9]]/1)</f>
        <v/>
      </c>
      <c r="M193" s="144" t="str">
        <f>IF(ISNONTEXT(node_raw[[#This Row],[Column10]]), "", node_raw[[#This Row],[Column10]]/1)</f>
        <v/>
      </c>
    </row>
    <row r="194" spans="2:13" ht="15.75" customHeight="1" x14ac:dyDescent="0.25">
      <c r="B194" s="30" t="str">
        <f>IF(ISNONTEXT(node_raw[[#This Row],[Column1]]), "", node_raw[[#This Row],[Column1]])</f>
        <v/>
      </c>
      <c r="C194" s="27" t="str">
        <f>IF(ISNONTEXT(node_raw[[#This Row],[Column2]]), "", node_raw[[#This Row],[Column2]])</f>
        <v/>
      </c>
      <c r="D194" s="54" t="str">
        <f>IF(ISNUMBER(node_raw[[#This Row],[Column3]]), node_raw[[#This Row],[Column3]],"")</f>
        <v/>
      </c>
      <c r="E194" s="57" t="str">
        <f>IF(ISNUMBER(node_raw[[#This Row],[Column4]]), node_raw[[#This Row],[Column4]]/1048576,"")</f>
        <v/>
      </c>
      <c r="F194" s="139" t="str">
        <f>IF(ISNUMBER(node_raw[[#This Row],[Column5]]), node_raw[[#This Row],[Column5]],"")</f>
        <v/>
      </c>
      <c r="G194" s="153" t="str">
        <f t="shared" si="4"/>
        <v/>
      </c>
      <c r="H194" s="140" t="str">
        <f>IF(ISNUMBER(node_raw[[#This Row],[Column6]]), node_raw[[#This Row],[Column6]]/1048576,"")</f>
        <v/>
      </c>
      <c r="I194" s="157" t="str">
        <f t="shared" si="5"/>
        <v/>
      </c>
      <c r="J194" s="141" t="str">
        <f>IF(ISNONTEXT(node_raw[[#This Row],[Column7]]), "", node_raw[[#This Row],[Column7]]/100)</f>
        <v/>
      </c>
      <c r="K194" s="142" t="str">
        <f>IF(ISNONTEXT(node_raw[[#This Row],[Column8]]), "", node_raw[[#This Row],[Column8]]/100)</f>
        <v/>
      </c>
      <c r="L194" s="143" t="str">
        <f>IF(ISNONTEXT(node_raw[[#This Row],[Column9]]), "", node_raw[[#This Row],[Column9]]/1)</f>
        <v/>
      </c>
      <c r="M194" s="144" t="str">
        <f>IF(ISNONTEXT(node_raw[[#This Row],[Column10]]), "", node_raw[[#This Row],[Column10]]/1)</f>
        <v/>
      </c>
    </row>
    <row r="195" spans="2:13" ht="15.75" customHeight="1" x14ac:dyDescent="0.25">
      <c r="B195" s="30" t="str">
        <f>IF(ISNONTEXT(node_raw[[#This Row],[Column1]]), "", node_raw[[#This Row],[Column1]])</f>
        <v/>
      </c>
      <c r="C195" s="27" t="str">
        <f>IF(ISNONTEXT(node_raw[[#This Row],[Column2]]), "", node_raw[[#This Row],[Column2]])</f>
        <v/>
      </c>
      <c r="D195" s="54" t="str">
        <f>IF(ISNUMBER(node_raw[[#This Row],[Column3]]), node_raw[[#This Row],[Column3]],"")</f>
        <v/>
      </c>
      <c r="E195" s="57" t="str">
        <f>IF(ISNUMBER(node_raw[[#This Row],[Column4]]), node_raw[[#This Row],[Column4]]/1048576,"")</f>
        <v/>
      </c>
      <c r="F195" s="139" t="str">
        <f>IF(ISNUMBER(node_raw[[#This Row],[Column5]]), node_raw[[#This Row],[Column5]],"")</f>
        <v/>
      </c>
      <c r="G195" s="153" t="str">
        <f t="shared" ref="G195:G258" si="6">IF(ISNUMBER(F195), F195/D195, "")</f>
        <v/>
      </c>
      <c r="H195" s="140" t="str">
        <f>IF(ISNUMBER(node_raw[[#This Row],[Column6]]), node_raw[[#This Row],[Column6]]/1048576,"")</f>
        <v/>
      </c>
      <c r="I195" s="157" t="str">
        <f t="shared" ref="I195:I258" si="7">IF(ISNUMBER(H195), H195/E195, "")</f>
        <v/>
      </c>
      <c r="J195" s="141" t="str">
        <f>IF(ISNONTEXT(node_raw[[#This Row],[Column7]]), "", node_raw[[#This Row],[Column7]]/100)</f>
        <v/>
      </c>
      <c r="K195" s="142" t="str">
        <f>IF(ISNONTEXT(node_raw[[#This Row],[Column8]]), "", node_raw[[#This Row],[Column8]]/100)</f>
        <v/>
      </c>
      <c r="L195" s="143" t="str">
        <f>IF(ISNONTEXT(node_raw[[#This Row],[Column9]]), "", node_raw[[#This Row],[Column9]]/1)</f>
        <v/>
      </c>
      <c r="M195" s="144" t="str">
        <f>IF(ISNONTEXT(node_raw[[#This Row],[Column10]]), "", node_raw[[#This Row],[Column10]]/1)</f>
        <v/>
      </c>
    </row>
    <row r="196" spans="2:13" ht="15.75" customHeight="1" x14ac:dyDescent="0.25">
      <c r="B196" s="30" t="str">
        <f>IF(ISNONTEXT(node_raw[[#This Row],[Column1]]), "", node_raw[[#This Row],[Column1]])</f>
        <v/>
      </c>
      <c r="C196" s="27" t="str">
        <f>IF(ISNONTEXT(node_raw[[#This Row],[Column2]]), "", node_raw[[#This Row],[Column2]])</f>
        <v/>
      </c>
      <c r="D196" s="54" t="str">
        <f>IF(ISNUMBER(node_raw[[#This Row],[Column3]]), node_raw[[#This Row],[Column3]],"")</f>
        <v/>
      </c>
      <c r="E196" s="57" t="str">
        <f>IF(ISNUMBER(node_raw[[#This Row],[Column4]]), node_raw[[#This Row],[Column4]]/1048576,"")</f>
        <v/>
      </c>
      <c r="F196" s="139" t="str">
        <f>IF(ISNUMBER(node_raw[[#This Row],[Column5]]), node_raw[[#This Row],[Column5]],"")</f>
        <v/>
      </c>
      <c r="G196" s="153" t="str">
        <f t="shared" si="6"/>
        <v/>
      </c>
      <c r="H196" s="140" t="str">
        <f>IF(ISNUMBER(node_raw[[#This Row],[Column6]]), node_raw[[#This Row],[Column6]]/1048576,"")</f>
        <v/>
      </c>
      <c r="I196" s="157" t="str">
        <f t="shared" si="7"/>
        <v/>
      </c>
      <c r="J196" s="141" t="str">
        <f>IF(ISNONTEXT(node_raw[[#This Row],[Column7]]), "", node_raw[[#This Row],[Column7]]/100)</f>
        <v/>
      </c>
      <c r="K196" s="142" t="str">
        <f>IF(ISNONTEXT(node_raw[[#This Row],[Column8]]), "", node_raw[[#This Row],[Column8]]/100)</f>
        <v/>
      </c>
      <c r="L196" s="143" t="str">
        <f>IF(ISNONTEXT(node_raw[[#This Row],[Column9]]), "", node_raw[[#This Row],[Column9]]/1)</f>
        <v/>
      </c>
      <c r="M196" s="144" t="str">
        <f>IF(ISNONTEXT(node_raw[[#This Row],[Column10]]), "", node_raw[[#This Row],[Column10]]/1)</f>
        <v/>
      </c>
    </row>
    <row r="197" spans="2:13" ht="15.75" customHeight="1" x14ac:dyDescent="0.25">
      <c r="B197" s="30" t="str">
        <f>IF(ISNONTEXT(node_raw[[#This Row],[Column1]]), "", node_raw[[#This Row],[Column1]])</f>
        <v/>
      </c>
      <c r="C197" s="27" t="str">
        <f>IF(ISNONTEXT(node_raw[[#This Row],[Column2]]), "", node_raw[[#This Row],[Column2]])</f>
        <v/>
      </c>
      <c r="D197" s="54" t="str">
        <f>IF(ISNUMBER(node_raw[[#This Row],[Column3]]), node_raw[[#This Row],[Column3]],"")</f>
        <v/>
      </c>
      <c r="E197" s="57" t="str">
        <f>IF(ISNUMBER(node_raw[[#This Row],[Column4]]), node_raw[[#This Row],[Column4]]/1048576,"")</f>
        <v/>
      </c>
      <c r="F197" s="139" t="str">
        <f>IF(ISNUMBER(node_raw[[#This Row],[Column5]]), node_raw[[#This Row],[Column5]],"")</f>
        <v/>
      </c>
      <c r="G197" s="153" t="str">
        <f t="shared" si="6"/>
        <v/>
      </c>
      <c r="H197" s="140" t="str">
        <f>IF(ISNUMBER(node_raw[[#This Row],[Column6]]), node_raw[[#This Row],[Column6]]/1048576,"")</f>
        <v/>
      </c>
      <c r="I197" s="157" t="str">
        <f t="shared" si="7"/>
        <v/>
      </c>
      <c r="J197" s="141" t="str">
        <f>IF(ISNONTEXT(node_raw[[#This Row],[Column7]]), "", node_raw[[#This Row],[Column7]]/100)</f>
        <v/>
      </c>
      <c r="K197" s="142" t="str">
        <f>IF(ISNONTEXT(node_raw[[#This Row],[Column8]]), "", node_raw[[#This Row],[Column8]]/100)</f>
        <v/>
      </c>
      <c r="L197" s="143" t="str">
        <f>IF(ISNONTEXT(node_raw[[#This Row],[Column9]]), "", node_raw[[#This Row],[Column9]]/1)</f>
        <v/>
      </c>
      <c r="M197" s="144" t="str">
        <f>IF(ISNONTEXT(node_raw[[#This Row],[Column10]]), "", node_raw[[#This Row],[Column10]]/1)</f>
        <v/>
      </c>
    </row>
    <row r="198" spans="2:13" ht="15.75" customHeight="1" x14ac:dyDescent="0.25">
      <c r="B198" s="30" t="str">
        <f>IF(ISNONTEXT(node_raw[[#This Row],[Column1]]), "", node_raw[[#This Row],[Column1]])</f>
        <v/>
      </c>
      <c r="C198" s="27" t="str">
        <f>IF(ISNONTEXT(node_raw[[#This Row],[Column2]]), "", node_raw[[#This Row],[Column2]])</f>
        <v/>
      </c>
      <c r="D198" s="54" t="str">
        <f>IF(ISNUMBER(node_raw[[#This Row],[Column3]]), node_raw[[#This Row],[Column3]],"")</f>
        <v/>
      </c>
      <c r="E198" s="57" t="str">
        <f>IF(ISNUMBER(node_raw[[#This Row],[Column4]]), node_raw[[#This Row],[Column4]]/1048576,"")</f>
        <v/>
      </c>
      <c r="F198" s="139" t="str">
        <f>IF(ISNUMBER(node_raw[[#This Row],[Column5]]), node_raw[[#This Row],[Column5]],"")</f>
        <v/>
      </c>
      <c r="G198" s="153" t="str">
        <f t="shared" si="6"/>
        <v/>
      </c>
      <c r="H198" s="140" t="str">
        <f>IF(ISNUMBER(node_raw[[#This Row],[Column6]]), node_raw[[#This Row],[Column6]]/1048576,"")</f>
        <v/>
      </c>
      <c r="I198" s="157" t="str">
        <f t="shared" si="7"/>
        <v/>
      </c>
      <c r="J198" s="141" t="str">
        <f>IF(ISNONTEXT(node_raw[[#This Row],[Column7]]), "", node_raw[[#This Row],[Column7]]/100)</f>
        <v/>
      </c>
      <c r="K198" s="142" t="str">
        <f>IF(ISNONTEXT(node_raw[[#This Row],[Column8]]), "", node_raw[[#This Row],[Column8]]/100)</f>
        <v/>
      </c>
      <c r="L198" s="143" t="str">
        <f>IF(ISNONTEXT(node_raw[[#This Row],[Column9]]), "", node_raw[[#This Row],[Column9]]/1)</f>
        <v/>
      </c>
      <c r="M198" s="144" t="str">
        <f>IF(ISNONTEXT(node_raw[[#This Row],[Column10]]), "", node_raw[[#This Row],[Column10]]/1)</f>
        <v/>
      </c>
    </row>
    <row r="199" spans="2:13" ht="15.75" customHeight="1" x14ac:dyDescent="0.25">
      <c r="B199" s="30" t="str">
        <f>IF(ISNONTEXT(node_raw[[#This Row],[Column1]]), "", node_raw[[#This Row],[Column1]])</f>
        <v/>
      </c>
      <c r="C199" s="27" t="str">
        <f>IF(ISNONTEXT(node_raw[[#This Row],[Column2]]), "", node_raw[[#This Row],[Column2]])</f>
        <v/>
      </c>
      <c r="D199" s="54" t="str">
        <f>IF(ISNUMBER(node_raw[[#This Row],[Column3]]), node_raw[[#This Row],[Column3]],"")</f>
        <v/>
      </c>
      <c r="E199" s="57" t="str">
        <f>IF(ISNUMBER(node_raw[[#This Row],[Column4]]), node_raw[[#This Row],[Column4]]/1048576,"")</f>
        <v/>
      </c>
      <c r="F199" s="139" t="str">
        <f>IF(ISNUMBER(node_raw[[#This Row],[Column5]]), node_raw[[#This Row],[Column5]],"")</f>
        <v/>
      </c>
      <c r="G199" s="153" t="str">
        <f t="shared" si="6"/>
        <v/>
      </c>
      <c r="H199" s="140" t="str">
        <f>IF(ISNUMBER(node_raw[[#This Row],[Column6]]), node_raw[[#This Row],[Column6]]/1048576,"")</f>
        <v/>
      </c>
      <c r="I199" s="157" t="str">
        <f t="shared" si="7"/>
        <v/>
      </c>
      <c r="J199" s="141" t="str">
        <f>IF(ISNONTEXT(node_raw[[#This Row],[Column7]]), "", node_raw[[#This Row],[Column7]]/100)</f>
        <v/>
      </c>
      <c r="K199" s="142" t="str">
        <f>IF(ISNONTEXT(node_raw[[#This Row],[Column8]]), "", node_raw[[#This Row],[Column8]]/100)</f>
        <v/>
      </c>
      <c r="L199" s="143" t="str">
        <f>IF(ISNONTEXT(node_raw[[#This Row],[Column9]]), "", node_raw[[#This Row],[Column9]]/1)</f>
        <v/>
      </c>
      <c r="M199" s="144" t="str">
        <f>IF(ISNONTEXT(node_raw[[#This Row],[Column10]]), "", node_raw[[#This Row],[Column10]]/1)</f>
        <v/>
      </c>
    </row>
    <row r="200" spans="2:13" ht="15.75" customHeight="1" x14ac:dyDescent="0.25">
      <c r="B200" s="30" t="str">
        <f>IF(ISNONTEXT(node_raw[[#This Row],[Column1]]), "", node_raw[[#This Row],[Column1]])</f>
        <v/>
      </c>
      <c r="C200" s="27" t="str">
        <f>IF(ISNONTEXT(node_raw[[#This Row],[Column2]]), "", node_raw[[#This Row],[Column2]])</f>
        <v/>
      </c>
      <c r="D200" s="54" t="str">
        <f>IF(ISNUMBER(node_raw[[#This Row],[Column3]]), node_raw[[#This Row],[Column3]],"")</f>
        <v/>
      </c>
      <c r="E200" s="57" t="str">
        <f>IF(ISNUMBER(node_raw[[#This Row],[Column4]]), node_raw[[#This Row],[Column4]]/1048576,"")</f>
        <v/>
      </c>
      <c r="F200" s="139" t="str">
        <f>IF(ISNUMBER(node_raw[[#This Row],[Column5]]), node_raw[[#This Row],[Column5]],"")</f>
        <v/>
      </c>
      <c r="G200" s="153" t="str">
        <f t="shared" si="6"/>
        <v/>
      </c>
      <c r="H200" s="140" t="str">
        <f>IF(ISNUMBER(node_raw[[#This Row],[Column6]]), node_raw[[#This Row],[Column6]]/1048576,"")</f>
        <v/>
      </c>
      <c r="I200" s="157" t="str">
        <f t="shared" si="7"/>
        <v/>
      </c>
      <c r="J200" s="141" t="str">
        <f>IF(ISNONTEXT(node_raw[[#This Row],[Column7]]), "", node_raw[[#This Row],[Column7]]/100)</f>
        <v/>
      </c>
      <c r="K200" s="142" t="str">
        <f>IF(ISNONTEXT(node_raw[[#This Row],[Column8]]), "", node_raw[[#This Row],[Column8]]/100)</f>
        <v/>
      </c>
      <c r="L200" s="143" t="str">
        <f>IF(ISNONTEXT(node_raw[[#This Row],[Column9]]), "", node_raw[[#This Row],[Column9]]/1)</f>
        <v/>
      </c>
      <c r="M200" s="144" t="str">
        <f>IF(ISNONTEXT(node_raw[[#This Row],[Column10]]), "", node_raw[[#This Row],[Column10]]/1)</f>
        <v/>
      </c>
    </row>
    <row r="201" spans="2:13" ht="15.75" customHeight="1" x14ac:dyDescent="0.25">
      <c r="B201" s="30" t="str">
        <f>IF(ISNONTEXT(node_raw[[#This Row],[Column1]]), "", node_raw[[#This Row],[Column1]])</f>
        <v/>
      </c>
      <c r="C201" s="27" t="str">
        <f>IF(ISNONTEXT(node_raw[[#This Row],[Column2]]), "", node_raw[[#This Row],[Column2]])</f>
        <v/>
      </c>
      <c r="D201" s="54" t="str">
        <f>IF(ISNUMBER(node_raw[[#This Row],[Column3]]), node_raw[[#This Row],[Column3]],"")</f>
        <v/>
      </c>
      <c r="E201" s="57" t="str">
        <f>IF(ISNUMBER(node_raw[[#This Row],[Column4]]), node_raw[[#This Row],[Column4]]/1048576,"")</f>
        <v/>
      </c>
      <c r="F201" s="139" t="str">
        <f>IF(ISNUMBER(node_raw[[#This Row],[Column5]]), node_raw[[#This Row],[Column5]],"")</f>
        <v/>
      </c>
      <c r="G201" s="153" t="str">
        <f t="shared" si="6"/>
        <v/>
      </c>
      <c r="H201" s="140" t="str">
        <f>IF(ISNUMBER(node_raw[[#This Row],[Column6]]), node_raw[[#This Row],[Column6]]/1048576,"")</f>
        <v/>
      </c>
      <c r="I201" s="157" t="str">
        <f t="shared" si="7"/>
        <v/>
      </c>
      <c r="J201" s="141" t="str">
        <f>IF(ISNONTEXT(node_raw[[#This Row],[Column7]]), "", node_raw[[#This Row],[Column7]]/100)</f>
        <v/>
      </c>
      <c r="K201" s="142" t="str">
        <f>IF(ISNONTEXT(node_raw[[#This Row],[Column8]]), "", node_raw[[#This Row],[Column8]]/100)</f>
        <v/>
      </c>
      <c r="L201" s="143" t="str">
        <f>IF(ISNONTEXT(node_raw[[#This Row],[Column9]]), "", node_raw[[#This Row],[Column9]]/1)</f>
        <v/>
      </c>
      <c r="M201" s="144" t="str">
        <f>IF(ISNONTEXT(node_raw[[#This Row],[Column10]]), "", node_raw[[#This Row],[Column10]]/1)</f>
        <v/>
      </c>
    </row>
    <row r="202" spans="2:13" ht="15.75" customHeight="1" x14ac:dyDescent="0.25">
      <c r="B202" s="30" t="str">
        <f>IF(ISNONTEXT(node_raw[[#This Row],[Column1]]), "", node_raw[[#This Row],[Column1]])</f>
        <v/>
      </c>
      <c r="C202" s="27" t="str">
        <f>IF(ISNONTEXT(node_raw[[#This Row],[Column2]]), "", node_raw[[#This Row],[Column2]])</f>
        <v/>
      </c>
      <c r="D202" s="54" t="str">
        <f>IF(ISNUMBER(node_raw[[#This Row],[Column3]]), node_raw[[#This Row],[Column3]],"")</f>
        <v/>
      </c>
      <c r="E202" s="57" t="str">
        <f>IF(ISNUMBER(node_raw[[#This Row],[Column4]]), node_raw[[#This Row],[Column4]]/1048576,"")</f>
        <v/>
      </c>
      <c r="F202" s="139" t="str">
        <f>IF(ISNUMBER(node_raw[[#This Row],[Column5]]), node_raw[[#This Row],[Column5]],"")</f>
        <v/>
      </c>
      <c r="G202" s="153" t="str">
        <f t="shared" si="6"/>
        <v/>
      </c>
      <c r="H202" s="140" t="str">
        <f>IF(ISNUMBER(node_raw[[#This Row],[Column6]]), node_raw[[#This Row],[Column6]]/1048576,"")</f>
        <v/>
      </c>
      <c r="I202" s="157" t="str">
        <f t="shared" si="7"/>
        <v/>
      </c>
      <c r="J202" s="141" t="str">
        <f>IF(ISNONTEXT(node_raw[[#This Row],[Column7]]), "", node_raw[[#This Row],[Column7]]/100)</f>
        <v/>
      </c>
      <c r="K202" s="142" t="str">
        <f>IF(ISNONTEXT(node_raw[[#This Row],[Column8]]), "", node_raw[[#This Row],[Column8]]/100)</f>
        <v/>
      </c>
      <c r="L202" s="143" t="str">
        <f>IF(ISNONTEXT(node_raw[[#This Row],[Column9]]), "", node_raw[[#This Row],[Column9]]/1)</f>
        <v/>
      </c>
      <c r="M202" s="144" t="str">
        <f>IF(ISNONTEXT(node_raw[[#This Row],[Column10]]), "", node_raw[[#This Row],[Column10]]/1)</f>
        <v/>
      </c>
    </row>
    <row r="203" spans="2:13" ht="15.75" customHeight="1" x14ac:dyDescent="0.25">
      <c r="B203" s="30" t="str">
        <f>IF(ISNONTEXT(node_raw[[#This Row],[Column1]]), "", node_raw[[#This Row],[Column1]])</f>
        <v/>
      </c>
      <c r="C203" s="27" t="str">
        <f>IF(ISNONTEXT(node_raw[[#This Row],[Column2]]), "", node_raw[[#This Row],[Column2]])</f>
        <v/>
      </c>
      <c r="D203" s="54" t="str">
        <f>IF(ISNUMBER(node_raw[[#This Row],[Column3]]), node_raw[[#This Row],[Column3]],"")</f>
        <v/>
      </c>
      <c r="E203" s="57" t="str">
        <f>IF(ISNUMBER(node_raw[[#This Row],[Column4]]), node_raw[[#This Row],[Column4]]/1048576,"")</f>
        <v/>
      </c>
      <c r="F203" s="139" t="str">
        <f>IF(ISNUMBER(node_raw[[#This Row],[Column5]]), node_raw[[#This Row],[Column5]],"")</f>
        <v/>
      </c>
      <c r="G203" s="153" t="str">
        <f t="shared" si="6"/>
        <v/>
      </c>
      <c r="H203" s="140" t="str">
        <f>IF(ISNUMBER(node_raw[[#This Row],[Column6]]), node_raw[[#This Row],[Column6]]/1048576,"")</f>
        <v/>
      </c>
      <c r="I203" s="157" t="str">
        <f t="shared" si="7"/>
        <v/>
      </c>
      <c r="J203" s="141" t="str">
        <f>IF(ISNONTEXT(node_raw[[#This Row],[Column7]]), "", node_raw[[#This Row],[Column7]]/100)</f>
        <v/>
      </c>
      <c r="K203" s="142" t="str">
        <f>IF(ISNONTEXT(node_raw[[#This Row],[Column8]]), "", node_raw[[#This Row],[Column8]]/100)</f>
        <v/>
      </c>
      <c r="L203" s="143" t="str">
        <f>IF(ISNONTEXT(node_raw[[#This Row],[Column9]]), "", node_raw[[#This Row],[Column9]]/1)</f>
        <v/>
      </c>
      <c r="M203" s="144" t="str">
        <f>IF(ISNONTEXT(node_raw[[#This Row],[Column10]]), "", node_raw[[#This Row],[Column10]]/1)</f>
        <v/>
      </c>
    </row>
    <row r="204" spans="2:13" ht="15.75" customHeight="1" x14ac:dyDescent="0.25">
      <c r="B204" s="30" t="str">
        <f>IF(ISNONTEXT(node_raw[[#This Row],[Column1]]), "", node_raw[[#This Row],[Column1]])</f>
        <v/>
      </c>
      <c r="C204" s="27" t="str">
        <f>IF(ISNONTEXT(node_raw[[#This Row],[Column2]]), "", node_raw[[#This Row],[Column2]])</f>
        <v/>
      </c>
      <c r="D204" s="54" t="str">
        <f>IF(ISNUMBER(node_raw[[#This Row],[Column3]]), node_raw[[#This Row],[Column3]],"")</f>
        <v/>
      </c>
      <c r="E204" s="57" t="str">
        <f>IF(ISNUMBER(node_raw[[#This Row],[Column4]]), node_raw[[#This Row],[Column4]]/1048576,"")</f>
        <v/>
      </c>
      <c r="F204" s="139" t="str">
        <f>IF(ISNUMBER(node_raw[[#This Row],[Column5]]), node_raw[[#This Row],[Column5]],"")</f>
        <v/>
      </c>
      <c r="G204" s="153" t="str">
        <f t="shared" si="6"/>
        <v/>
      </c>
      <c r="H204" s="140" t="str">
        <f>IF(ISNUMBER(node_raw[[#This Row],[Column6]]), node_raw[[#This Row],[Column6]]/1048576,"")</f>
        <v/>
      </c>
      <c r="I204" s="157" t="str">
        <f t="shared" si="7"/>
        <v/>
      </c>
      <c r="J204" s="141" t="str">
        <f>IF(ISNONTEXT(node_raw[[#This Row],[Column7]]), "", node_raw[[#This Row],[Column7]]/100)</f>
        <v/>
      </c>
      <c r="K204" s="142" t="str">
        <f>IF(ISNONTEXT(node_raw[[#This Row],[Column8]]), "", node_raw[[#This Row],[Column8]]/100)</f>
        <v/>
      </c>
      <c r="L204" s="143" t="str">
        <f>IF(ISNONTEXT(node_raw[[#This Row],[Column9]]), "", node_raw[[#This Row],[Column9]]/1)</f>
        <v/>
      </c>
      <c r="M204" s="144" t="str">
        <f>IF(ISNONTEXT(node_raw[[#This Row],[Column10]]), "", node_raw[[#This Row],[Column10]]/1)</f>
        <v/>
      </c>
    </row>
    <row r="205" spans="2:13" ht="15.75" customHeight="1" x14ac:dyDescent="0.25">
      <c r="B205" s="30" t="str">
        <f>IF(ISNONTEXT(node_raw[[#This Row],[Column1]]), "", node_raw[[#This Row],[Column1]])</f>
        <v/>
      </c>
      <c r="C205" s="27" t="str">
        <f>IF(ISNONTEXT(node_raw[[#This Row],[Column2]]), "", node_raw[[#This Row],[Column2]])</f>
        <v/>
      </c>
      <c r="D205" s="54" t="str">
        <f>IF(ISNUMBER(node_raw[[#This Row],[Column3]]), node_raw[[#This Row],[Column3]],"")</f>
        <v/>
      </c>
      <c r="E205" s="57" t="str">
        <f>IF(ISNUMBER(node_raw[[#This Row],[Column4]]), node_raw[[#This Row],[Column4]]/1048576,"")</f>
        <v/>
      </c>
      <c r="F205" s="139" t="str">
        <f>IF(ISNUMBER(node_raw[[#This Row],[Column5]]), node_raw[[#This Row],[Column5]],"")</f>
        <v/>
      </c>
      <c r="G205" s="153" t="str">
        <f t="shared" si="6"/>
        <v/>
      </c>
      <c r="H205" s="140" t="str">
        <f>IF(ISNUMBER(node_raw[[#This Row],[Column6]]), node_raw[[#This Row],[Column6]]/1048576,"")</f>
        <v/>
      </c>
      <c r="I205" s="157" t="str">
        <f t="shared" si="7"/>
        <v/>
      </c>
      <c r="J205" s="141" t="str">
        <f>IF(ISNONTEXT(node_raw[[#This Row],[Column7]]), "", node_raw[[#This Row],[Column7]]/100)</f>
        <v/>
      </c>
      <c r="K205" s="142" t="str">
        <f>IF(ISNONTEXT(node_raw[[#This Row],[Column8]]), "", node_raw[[#This Row],[Column8]]/100)</f>
        <v/>
      </c>
      <c r="L205" s="143" t="str">
        <f>IF(ISNONTEXT(node_raw[[#This Row],[Column9]]), "", node_raw[[#This Row],[Column9]]/1)</f>
        <v/>
      </c>
      <c r="M205" s="144" t="str">
        <f>IF(ISNONTEXT(node_raw[[#This Row],[Column10]]), "", node_raw[[#This Row],[Column10]]/1)</f>
        <v/>
      </c>
    </row>
    <row r="206" spans="2:13" ht="15.75" customHeight="1" x14ac:dyDescent="0.25">
      <c r="B206" s="30" t="str">
        <f>IF(ISNONTEXT(node_raw[[#This Row],[Column1]]), "", node_raw[[#This Row],[Column1]])</f>
        <v/>
      </c>
      <c r="C206" s="27" t="str">
        <f>IF(ISNONTEXT(node_raw[[#This Row],[Column2]]), "", node_raw[[#This Row],[Column2]])</f>
        <v/>
      </c>
      <c r="D206" s="54" t="str">
        <f>IF(ISNUMBER(node_raw[[#This Row],[Column3]]), node_raw[[#This Row],[Column3]],"")</f>
        <v/>
      </c>
      <c r="E206" s="57" t="str">
        <f>IF(ISNUMBER(node_raw[[#This Row],[Column4]]), node_raw[[#This Row],[Column4]]/1048576,"")</f>
        <v/>
      </c>
      <c r="F206" s="139" t="str">
        <f>IF(ISNUMBER(node_raw[[#This Row],[Column5]]), node_raw[[#This Row],[Column5]],"")</f>
        <v/>
      </c>
      <c r="G206" s="153" t="str">
        <f t="shared" si="6"/>
        <v/>
      </c>
      <c r="H206" s="140" t="str">
        <f>IF(ISNUMBER(node_raw[[#This Row],[Column6]]), node_raw[[#This Row],[Column6]]/1048576,"")</f>
        <v/>
      </c>
      <c r="I206" s="157" t="str">
        <f t="shared" si="7"/>
        <v/>
      </c>
      <c r="J206" s="141" t="str">
        <f>IF(ISNONTEXT(node_raw[[#This Row],[Column7]]), "", node_raw[[#This Row],[Column7]]/100)</f>
        <v/>
      </c>
      <c r="K206" s="142" t="str">
        <f>IF(ISNONTEXT(node_raw[[#This Row],[Column8]]), "", node_raw[[#This Row],[Column8]]/100)</f>
        <v/>
      </c>
      <c r="L206" s="143" t="str">
        <f>IF(ISNONTEXT(node_raw[[#This Row],[Column9]]), "", node_raw[[#This Row],[Column9]]/1)</f>
        <v/>
      </c>
      <c r="M206" s="144" t="str">
        <f>IF(ISNONTEXT(node_raw[[#This Row],[Column10]]), "", node_raw[[#This Row],[Column10]]/1)</f>
        <v/>
      </c>
    </row>
    <row r="207" spans="2:13" ht="15.75" customHeight="1" x14ac:dyDescent="0.25">
      <c r="B207" s="30" t="str">
        <f>IF(ISNONTEXT(node_raw[[#This Row],[Column1]]), "", node_raw[[#This Row],[Column1]])</f>
        <v/>
      </c>
      <c r="C207" s="27" t="str">
        <f>IF(ISNONTEXT(node_raw[[#This Row],[Column2]]), "", node_raw[[#This Row],[Column2]])</f>
        <v/>
      </c>
      <c r="D207" s="54" t="str">
        <f>IF(ISNUMBER(node_raw[[#This Row],[Column3]]), node_raw[[#This Row],[Column3]],"")</f>
        <v/>
      </c>
      <c r="E207" s="57" t="str">
        <f>IF(ISNUMBER(node_raw[[#This Row],[Column4]]), node_raw[[#This Row],[Column4]]/1048576,"")</f>
        <v/>
      </c>
      <c r="F207" s="139" t="str">
        <f>IF(ISNUMBER(node_raw[[#This Row],[Column5]]), node_raw[[#This Row],[Column5]],"")</f>
        <v/>
      </c>
      <c r="G207" s="153" t="str">
        <f t="shared" si="6"/>
        <v/>
      </c>
      <c r="H207" s="140" t="str">
        <f>IF(ISNUMBER(node_raw[[#This Row],[Column6]]), node_raw[[#This Row],[Column6]]/1048576,"")</f>
        <v/>
      </c>
      <c r="I207" s="157" t="str">
        <f t="shared" si="7"/>
        <v/>
      </c>
      <c r="J207" s="141" t="str">
        <f>IF(ISNONTEXT(node_raw[[#This Row],[Column7]]), "", node_raw[[#This Row],[Column7]]/100)</f>
        <v/>
      </c>
      <c r="K207" s="142" t="str">
        <f>IF(ISNONTEXT(node_raw[[#This Row],[Column8]]), "", node_raw[[#This Row],[Column8]]/100)</f>
        <v/>
      </c>
      <c r="L207" s="143" t="str">
        <f>IF(ISNONTEXT(node_raw[[#This Row],[Column9]]), "", node_raw[[#This Row],[Column9]]/1)</f>
        <v/>
      </c>
      <c r="M207" s="144" t="str">
        <f>IF(ISNONTEXT(node_raw[[#This Row],[Column10]]), "", node_raw[[#This Row],[Column10]]/1)</f>
        <v/>
      </c>
    </row>
    <row r="208" spans="2:13" ht="15.75" customHeight="1" x14ac:dyDescent="0.25">
      <c r="B208" s="30" t="str">
        <f>IF(ISNONTEXT(node_raw[[#This Row],[Column1]]), "", node_raw[[#This Row],[Column1]])</f>
        <v/>
      </c>
      <c r="C208" s="27" t="str">
        <f>IF(ISNONTEXT(node_raw[[#This Row],[Column2]]), "", node_raw[[#This Row],[Column2]])</f>
        <v/>
      </c>
      <c r="D208" s="54" t="str">
        <f>IF(ISNUMBER(node_raw[[#This Row],[Column3]]), node_raw[[#This Row],[Column3]],"")</f>
        <v/>
      </c>
      <c r="E208" s="57" t="str">
        <f>IF(ISNUMBER(node_raw[[#This Row],[Column4]]), node_raw[[#This Row],[Column4]]/1048576,"")</f>
        <v/>
      </c>
      <c r="F208" s="139" t="str">
        <f>IF(ISNUMBER(node_raw[[#This Row],[Column5]]), node_raw[[#This Row],[Column5]],"")</f>
        <v/>
      </c>
      <c r="G208" s="153" t="str">
        <f t="shared" si="6"/>
        <v/>
      </c>
      <c r="H208" s="140" t="str">
        <f>IF(ISNUMBER(node_raw[[#This Row],[Column6]]), node_raw[[#This Row],[Column6]]/1048576,"")</f>
        <v/>
      </c>
      <c r="I208" s="157" t="str">
        <f t="shared" si="7"/>
        <v/>
      </c>
      <c r="J208" s="141" t="str">
        <f>IF(ISNONTEXT(node_raw[[#This Row],[Column7]]), "", node_raw[[#This Row],[Column7]]/100)</f>
        <v/>
      </c>
      <c r="K208" s="142" t="str">
        <f>IF(ISNONTEXT(node_raw[[#This Row],[Column8]]), "", node_raw[[#This Row],[Column8]]/100)</f>
        <v/>
      </c>
      <c r="L208" s="143" t="str">
        <f>IF(ISNONTEXT(node_raw[[#This Row],[Column9]]), "", node_raw[[#This Row],[Column9]]/1)</f>
        <v/>
      </c>
      <c r="M208" s="144" t="str">
        <f>IF(ISNONTEXT(node_raw[[#This Row],[Column10]]), "", node_raw[[#This Row],[Column10]]/1)</f>
        <v/>
      </c>
    </row>
    <row r="209" spans="2:13" ht="15.75" customHeight="1" x14ac:dyDescent="0.25">
      <c r="B209" s="30" t="str">
        <f>IF(ISNONTEXT(node_raw[[#This Row],[Column1]]), "", node_raw[[#This Row],[Column1]])</f>
        <v/>
      </c>
      <c r="C209" s="27" t="str">
        <f>IF(ISNONTEXT(node_raw[[#This Row],[Column2]]), "", node_raw[[#This Row],[Column2]])</f>
        <v/>
      </c>
      <c r="D209" s="54" t="str">
        <f>IF(ISNUMBER(node_raw[[#This Row],[Column3]]), node_raw[[#This Row],[Column3]],"")</f>
        <v/>
      </c>
      <c r="E209" s="57" t="str">
        <f>IF(ISNUMBER(node_raw[[#This Row],[Column4]]), node_raw[[#This Row],[Column4]]/1048576,"")</f>
        <v/>
      </c>
      <c r="F209" s="139" t="str">
        <f>IF(ISNUMBER(node_raw[[#This Row],[Column5]]), node_raw[[#This Row],[Column5]],"")</f>
        <v/>
      </c>
      <c r="G209" s="153" t="str">
        <f t="shared" si="6"/>
        <v/>
      </c>
      <c r="H209" s="140" t="str">
        <f>IF(ISNUMBER(node_raw[[#This Row],[Column6]]), node_raw[[#This Row],[Column6]]/1048576,"")</f>
        <v/>
      </c>
      <c r="I209" s="157" t="str">
        <f t="shared" si="7"/>
        <v/>
      </c>
      <c r="J209" s="141" t="str">
        <f>IF(ISNONTEXT(node_raw[[#This Row],[Column7]]), "", node_raw[[#This Row],[Column7]]/100)</f>
        <v/>
      </c>
      <c r="K209" s="142" t="str">
        <f>IF(ISNONTEXT(node_raw[[#This Row],[Column8]]), "", node_raw[[#This Row],[Column8]]/100)</f>
        <v/>
      </c>
      <c r="L209" s="143" t="str">
        <f>IF(ISNONTEXT(node_raw[[#This Row],[Column9]]), "", node_raw[[#This Row],[Column9]]/1)</f>
        <v/>
      </c>
      <c r="M209" s="144" t="str">
        <f>IF(ISNONTEXT(node_raw[[#This Row],[Column10]]), "", node_raw[[#This Row],[Column10]]/1)</f>
        <v/>
      </c>
    </row>
    <row r="210" spans="2:13" ht="15.75" customHeight="1" x14ac:dyDescent="0.25">
      <c r="B210" s="30" t="str">
        <f>IF(ISNONTEXT(node_raw[[#This Row],[Column1]]), "", node_raw[[#This Row],[Column1]])</f>
        <v/>
      </c>
      <c r="C210" s="27" t="str">
        <f>IF(ISNONTEXT(node_raw[[#This Row],[Column2]]), "", node_raw[[#This Row],[Column2]])</f>
        <v/>
      </c>
      <c r="D210" s="54" t="str">
        <f>IF(ISNUMBER(node_raw[[#This Row],[Column3]]), node_raw[[#This Row],[Column3]],"")</f>
        <v/>
      </c>
      <c r="E210" s="57" t="str">
        <f>IF(ISNUMBER(node_raw[[#This Row],[Column4]]), node_raw[[#This Row],[Column4]]/1048576,"")</f>
        <v/>
      </c>
      <c r="F210" s="139" t="str">
        <f>IF(ISNUMBER(node_raw[[#This Row],[Column5]]), node_raw[[#This Row],[Column5]],"")</f>
        <v/>
      </c>
      <c r="G210" s="153" t="str">
        <f t="shared" si="6"/>
        <v/>
      </c>
      <c r="H210" s="140" t="str">
        <f>IF(ISNUMBER(node_raw[[#This Row],[Column6]]), node_raw[[#This Row],[Column6]]/1048576,"")</f>
        <v/>
      </c>
      <c r="I210" s="157" t="str">
        <f t="shared" si="7"/>
        <v/>
      </c>
      <c r="J210" s="141" t="str">
        <f>IF(ISNONTEXT(node_raw[[#This Row],[Column7]]), "", node_raw[[#This Row],[Column7]]/100)</f>
        <v/>
      </c>
      <c r="K210" s="142" t="str">
        <f>IF(ISNONTEXT(node_raw[[#This Row],[Column8]]), "", node_raw[[#This Row],[Column8]]/100)</f>
        <v/>
      </c>
      <c r="L210" s="143" t="str">
        <f>IF(ISNONTEXT(node_raw[[#This Row],[Column9]]), "", node_raw[[#This Row],[Column9]]/1)</f>
        <v/>
      </c>
      <c r="M210" s="144" t="str">
        <f>IF(ISNONTEXT(node_raw[[#This Row],[Column10]]), "", node_raw[[#This Row],[Column10]]/1)</f>
        <v/>
      </c>
    </row>
    <row r="211" spans="2:13" ht="15.75" customHeight="1" x14ac:dyDescent="0.25">
      <c r="B211" s="30" t="str">
        <f>IF(ISNONTEXT(node_raw[[#This Row],[Column1]]), "", node_raw[[#This Row],[Column1]])</f>
        <v/>
      </c>
      <c r="C211" s="27" t="str">
        <f>IF(ISNONTEXT(node_raw[[#This Row],[Column2]]), "", node_raw[[#This Row],[Column2]])</f>
        <v/>
      </c>
      <c r="D211" s="54" t="str">
        <f>IF(ISNUMBER(node_raw[[#This Row],[Column3]]), node_raw[[#This Row],[Column3]],"")</f>
        <v/>
      </c>
      <c r="E211" s="57" t="str">
        <f>IF(ISNUMBER(node_raw[[#This Row],[Column4]]), node_raw[[#This Row],[Column4]]/1048576,"")</f>
        <v/>
      </c>
      <c r="F211" s="139" t="str">
        <f>IF(ISNUMBER(node_raw[[#This Row],[Column5]]), node_raw[[#This Row],[Column5]],"")</f>
        <v/>
      </c>
      <c r="G211" s="153" t="str">
        <f t="shared" si="6"/>
        <v/>
      </c>
      <c r="H211" s="140" t="str">
        <f>IF(ISNUMBER(node_raw[[#This Row],[Column6]]), node_raw[[#This Row],[Column6]]/1048576,"")</f>
        <v/>
      </c>
      <c r="I211" s="157" t="str">
        <f t="shared" si="7"/>
        <v/>
      </c>
      <c r="J211" s="141" t="str">
        <f>IF(ISNONTEXT(node_raw[[#This Row],[Column7]]), "", node_raw[[#This Row],[Column7]]/100)</f>
        <v/>
      </c>
      <c r="K211" s="142" t="str">
        <f>IF(ISNONTEXT(node_raw[[#This Row],[Column8]]), "", node_raw[[#This Row],[Column8]]/100)</f>
        <v/>
      </c>
      <c r="L211" s="143" t="str">
        <f>IF(ISNONTEXT(node_raw[[#This Row],[Column9]]), "", node_raw[[#This Row],[Column9]]/1)</f>
        <v/>
      </c>
      <c r="M211" s="144" t="str">
        <f>IF(ISNONTEXT(node_raw[[#This Row],[Column10]]), "", node_raw[[#This Row],[Column10]]/1)</f>
        <v/>
      </c>
    </row>
    <row r="212" spans="2:13" ht="15.75" customHeight="1" x14ac:dyDescent="0.25">
      <c r="B212" s="30" t="str">
        <f>IF(ISNONTEXT(node_raw[[#This Row],[Column1]]), "", node_raw[[#This Row],[Column1]])</f>
        <v/>
      </c>
      <c r="C212" s="27" t="str">
        <f>IF(ISNONTEXT(node_raw[[#This Row],[Column2]]), "", node_raw[[#This Row],[Column2]])</f>
        <v/>
      </c>
      <c r="D212" s="54" t="str">
        <f>IF(ISNUMBER(node_raw[[#This Row],[Column3]]), node_raw[[#This Row],[Column3]],"")</f>
        <v/>
      </c>
      <c r="E212" s="57" t="str">
        <f>IF(ISNUMBER(node_raw[[#This Row],[Column4]]), node_raw[[#This Row],[Column4]]/1048576,"")</f>
        <v/>
      </c>
      <c r="F212" s="139" t="str">
        <f>IF(ISNUMBER(node_raw[[#This Row],[Column5]]), node_raw[[#This Row],[Column5]],"")</f>
        <v/>
      </c>
      <c r="G212" s="153" t="str">
        <f t="shared" si="6"/>
        <v/>
      </c>
      <c r="H212" s="140" t="str">
        <f>IF(ISNUMBER(node_raw[[#This Row],[Column6]]), node_raw[[#This Row],[Column6]]/1048576,"")</f>
        <v/>
      </c>
      <c r="I212" s="157" t="str">
        <f t="shared" si="7"/>
        <v/>
      </c>
      <c r="J212" s="141" t="str">
        <f>IF(ISNONTEXT(node_raw[[#This Row],[Column7]]), "", node_raw[[#This Row],[Column7]]/100)</f>
        <v/>
      </c>
      <c r="K212" s="142" t="str">
        <f>IF(ISNONTEXT(node_raw[[#This Row],[Column8]]), "", node_raw[[#This Row],[Column8]]/100)</f>
        <v/>
      </c>
      <c r="L212" s="143" t="str">
        <f>IF(ISNONTEXT(node_raw[[#This Row],[Column9]]), "", node_raw[[#This Row],[Column9]]/1)</f>
        <v/>
      </c>
      <c r="M212" s="144" t="str">
        <f>IF(ISNONTEXT(node_raw[[#This Row],[Column10]]), "", node_raw[[#This Row],[Column10]]/1)</f>
        <v/>
      </c>
    </row>
    <row r="213" spans="2:13" ht="15.75" customHeight="1" x14ac:dyDescent="0.25">
      <c r="B213" s="30" t="str">
        <f>IF(ISNONTEXT(node_raw[[#This Row],[Column1]]), "", node_raw[[#This Row],[Column1]])</f>
        <v/>
      </c>
      <c r="C213" s="27" t="str">
        <f>IF(ISNONTEXT(node_raw[[#This Row],[Column2]]), "", node_raw[[#This Row],[Column2]])</f>
        <v/>
      </c>
      <c r="D213" s="54" t="str">
        <f>IF(ISNUMBER(node_raw[[#This Row],[Column3]]), node_raw[[#This Row],[Column3]],"")</f>
        <v/>
      </c>
      <c r="E213" s="57" t="str">
        <f>IF(ISNUMBER(node_raw[[#This Row],[Column4]]), node_raw[[#This Row],[Column4]]/1048576,"")</f>
        <v/>
      </c>
      <c r="F213" s="139" t="str">
        <f>IF(ISNUMBER(node_raw[[#This Row],[Column5]]), node_raw[[#This Row],[Column5]],"")</f>
        <v/>
      </c>
      <c r="G213" s="153" t="str">
        <f t="shared" si="6"/>
        <v/>
      </c>
      <c r="H213" s="140" t="str">
        <f>IF(ISNUMBER(node_raw[[#This Row],[Column6]]), node_raw[[#This Row],[Column6]]/1048576,"")</f>
        <v/>
      </c>
      <c r="I213" s="157" t="str">
        <f t="shared" si="7"/>
        <v/>
      </c>
      <c r="J213" s="141" t="str">
        <f>IF(ISNONTEXT(node_raw[[#This Row],[Column7]]), "", node_raw[[#This Row],[Column7]]/100)</f>
        <v/>
      </c>
      <c r="K213" s="142" t="str">
        <f>IF(ISNONTEXT(node_raw[[#This Row],[Column8]]), "", node_raw[[#This Row],[Column8]]/100)</f>
        <v/>
      </c>
      <c r="L213" s="143" t="str">
        <f>IF(ISNONTEXT(node_raw[[#This Row],[Column9]]), "", node_raw[[#This Row],[Column9]]/1)</f>
        <v/>
      </c>
      <c r="M213" s="144" t="str">
        <f>IF(ISNONTEXT(node_raw[[#This Row],[Column10]]), "", node_raw[[#This Row],[Column10]]/1)</f>
        <v/>
      </c>
    </row>
    <row r="214" spans="2:13" ht="15.75" customHeight="1" x14ac:dyDescent="0.25">
      <c r="B214" s="30" t="str">
        <f>IF(ISNONTEXT(node_raw[[#This Row],[Column1]]), "", node_raw[[#This Row],[Column1]])</f>
        <v/>
      </c>
      <c r="C214" s="27" t="str">
        <f>IF(ISNONTEXT(node_raw[[#This Row],[Column2]]), "", node_raw[[#This Row],[Column2]])</f>
        <v/>
      </c>
      <c r="D214" s="54" t="str">
        <f>IF(ISNUMBER(node_raw[[#This Row],[Column3]]), node_raw[[#This Row],[Column3]],"")</f>
        <v/>
      </c>
      <c r="E214" s="57" t="str">
        <f>IF(ISNUMBER(node_raw[[#This Row],[Column4]]), node_raw[[#This Row],[Column4]]/1048576,"")</f>
        <v/>
      </c>
      <c r="F214" s="139" t="str">
        <f>IF(ISNUMBER(node_raw[[#This Row],[Column5]]), node_raw[[#This Row],[Column5]],"")</f>
        <v/>
      </c>
      <c r="G214" s="153" t="str">
        <f t="shared" si="6"/>
        <v/>
      </c>
      <c r="H214" s="140" t="str">
        <f>IF(ISNUMBER(node_raw[[#This Row],[Column6]]), node_raw[[#This Row],[Column6]]/1048576,"")</f>
        <v/>
      </c>
      <c r="I214" s="157" t="str">
        <f t="shared" si="7"/>
        <v/>
      </c>
      <c r="J214" s="141" t="str">
        <f>IF(ISNONTEXT(node_raw[[#This Row],[Column7]]), "", node_raw[[#This Row],[Column7]]/100)</f>
        <v/>
      </c>
      <c r="K214" s="142" t="str">
        <f>IF(ISNONTEXT(node_raw[[#This Row],[Column8]]), "", node_raw[[#This Row],[Column8]]/100)</f>
        <v/>
      </c>
      <c r="L214" s="143" t="str">
        <f>IF(ISNONTEXT(node_raw[[#This Row],[Column9]]), "", node_raw[[#This Row],[Column9]]/1)</f>
        <v/>
      </c>
      <c r="M214" s="144" t="str">
        <f>IF(ISNONTEXT(node_raw[[#This Row],[Column10]]), "", node_raw[[#This Row],[Column10]]/1)</f>
        <v/>
      </c>
    </row>
    <row r="215" spans="2:13" ht="15.75" customHeight="1" x14ac:dyDescent="0.25">
      <c r="B215" s="30" t="str">
        <f>IF(ISNONTEXT(node_raw[[#This Row],[Column1]]), "", node_raw[[#This Row],[Column1]])</f>
        <v/>
      </c>
      <c r="C215" s="27" t="str">
        <f>IF(ISNONTEXT(node_raw[[#This Row],[Column2]]), "", node_raw[[#This Row],[Column2]])</f>
        <v/>
      </c>
      <c r="D215" s="54" t="str">
        <f>IF(ISNUMBER(node_raw[[#This Row],[Column3]]), node_raw[[#This Row],[Column3]],"")</f>
        <v/>
      </c>
      <c r="E215" s="57" t="str">
        <f>IF(ISNUMBER(node_raw[[#This Row],[Column4]]), node_raw[[#This Row],[Column4]]/1048576,"")</f>
        <v/>
      </c>
      <c r="F215" s="139" t="str">
        <f>IF(ISNUMBER(node_raw[[#This Row],[Column5]]), node_raw[[#This Row],[Column5]],"")</f>
        <v/>
      </c>
      <c r="G215" s="153" t="str">
        <f t="shared" si="6"/>
        <v/>
      </c>
      <c r="H215" s="140" t="str">
        <f>IF(ISNUMBER(node_raw[[#This Row],[Column6]]), node_raw[[#This Row],[Column6]]/1048576,"")</f>
        <v/>
      </c>
      <c r="I215" s="157" t="str">
        <f t="shared" si="7"/>
        <v/>
      </c>
      <c r="J215" s="141" t="str">
        <f>IF(ISNONTEXT(node_raw[[#This Row],[Column7]]), "", node_raw[[#This Row],[Column7]]/100)</f>
        <v/>
      </c>
      <c r="K215" s="142" t="str">
        <f>IF(ISNONTEXT(node_raw[[#This Row],[Column8]]), "", node_raw[[#This Row],[Column8]]/100)</f>
        <v/>
      </c>
      <c r="L215" s="143" t="str">
        <f>IF(ISNONTEXT(node_raw[[#This Row],[Column9]]), "", node_raw[[#This Row],[Column9]]/1)</f>
        <v/>
      </c>
      <c r="M215" s="144" t="str">
        <f>IF(ISNONTEXT(node_raw[[#This Row],[Column10]]), "", node_raw[[#This Row],[Column10]]/1)</f>
        <v/>
      </c>
    </row>
    <row r="216" spans="2:13" ht="15.75" customHeight="1" x14ac:dyDescent="0.25">
      <c r="B216" s="30" t="str">
        <f>IF(ISNONTEXT(node_raw[[#This Row],[Column1]]), "", node_raw[[#This Row],[Column1]])</f>
        <v/>
      </c>
      <c r="C216" s="27" t="str">
        <f>IF(ISNONTEXT(node_raw[[#This Row],[Column2]]), "", node_raw[[#This Row],[Column2]])</f>
        <v/>
      </c>
      <c r="D216" s="54" t="str">
        <f>IF(ISNUMBER(node_raw[[#This Row],[Column3]]), node_raw[[#This Row],[Column3]],"")</f>
        <v/>
      </c>
      <c r="E216" s="57" t="str">
        <f>IF(ISNUMBER(node_raw[[#This Row],[Column4]]), node_raw[[#This Row],[Column4]]/1048576,"")</f>
        <v/>
      </c>
      <c r="F216" s="139" t="str">
        <f>IF(ISNUMBER(node_raw[[#This Row],[Column5]]), node_raw[[#This Row],[Column5]],"")</f>
        <v/>
      </c>
      <c r="G216" s="153" t="str">
        <f t="shared" si="6"/>
        <v/>
      </c>
      <c r="H216" s="140" t="str">
        <f>IF(ISNUMBER(node_raw[[#This Row],[Column6]]), node_raw[[#This Row],[Column6]]/1048576,"")</f>
        <v/>
      </c>
      <c r="I216" s="157" t="str">
        <f t="shared" si="7"/>
        <v/>
      </c>
      <c r="J216" s="141" t="str">
        <f>IF(ISNONTEXT(node_raw[[#This Row],[Column7]]), "", node_raw[[#This Row],[Column7]]/100)</f>
        <v/>
      </c>
      <c r="K216" s="142" t="str">
        <f>IF(ISNONTEXT(node_raw[[#This Row],[Column8]]), "", node_raw[[#This Row],[Column8]]/100)</f>
        <v/>
      </c>
      <c r="L216" s="143" t="str">
        <f>IF(ISNONTEXT(node_raw[[#This Row],[Column9]]), "", node_raw[[#This Row],[Column9]]/1)</f>
        <v/>
      </c>
      <c r="M216" s="144" t="str">
        <f>IF(ISNONTEXT(node_raw[[#This Row],[Column10]]), "", node_raw[[#This Row],[Column10]]/1)</f>
        <v/>
      </c>
    </row>
    <row r="217" spans="2:13" ht="15.75" customHeight="1" x14ac:dyDescent="0.25">
      <c r="B217" s="30" t="str">
        <f>IF(ISNONTEXT(node_raw[[#This Row],[Column1]]), "", node_raw[[#This Row],[Column1]])</f>
        <v/>
      </c>
      <c r="C217" s="27" t="str">
        <f>IF(ISNONTEXT(node_raw[[#This Row],[Column2]]), "", node_raw[[#This Row],[Column2]])</f>
        <v/>
      </c>
      <c r="D217" s="54" t="str">
        <f>IF(ISNUMBER(node_raw[[#This Row],[Column3]]), node_raw[[#This Row],[Column3]],"")</f>
        <v/>
      </c>
      <c r="E217" s="57" t="str">
        <f>IF(ISNUMBER(node_raw[[#This Row],[Column4]]), node_raw[[#This Row],[Column4]]/1048576,"")</f>
        <v/>
      </c>
      <c r="F217" s="139" t="str">
        <f>IF(ISNUMBER(node_raw[[#This Row],[Column5]]), node_raw[[#This Row],[Column5]],"")</f>
        <v/>
      </c>
      <c r="G217" s="153" t="str">
        <f t="shared" si="6"/>
        <v/>
      </c>
      <c r="H217" s="140" t="str">
        <f>IF(ISNUMBER(node_raw[[#This Row],[Column6]]), node_raw[[#This Row],[Column6]]/1048576,"")</f>
        <v/>
      </c>
      <c r="I217" s="157" t="str">
        <f t="shared" si="7"/>
        <v/>
      </c>
      <c r="J217" s="141" t="str">
        <f>IF(ISNONTEXT(node_raw[[#This Row],[Column7]]), "", node_raw[[#This Row],[Column7]]/100)</f>
        <v/>
      </c>
      <c r="K217" s="142" t="str">
        <f>IF(ISNONTEXT(node_raw[[#This Row],[Column8]]), "", node_raw[[#This Row],[Column8]]/100)</f>
        <v/>
      </c>
      <c r="L217" s="143" t="str">
        <f>IF(ISNONTEXT(node_raw[[#This Row],[Column9]]), "", node_raw[[#This Row],[Column9]]/1)</f>
        <v/>
      </c>
      <c r="M217" s="144" t="str">
        <f>IF(ISNONTEXT(node_raw[[#This Row],[Column10]]), "", node_raw[[#This Row],[Column10]]/1)</f>
        <v/>
      </c>
    </row>
    <row r="218" spans="2:13" ht="15.75" customHeight="1" x14ac:dyDescent="0.25">
      <c r="B218" s="30" t="str">
        <f>IF(ISNONTEXT(node_raw[[#This Row],[Column1]]), "", node_raw[[#This Row],[Column1]])</f>
        <v/>
      </c>
      <c r="C218" s="27" t="str">
        <f>IF(ISNONTEXT(node_raw[[#This Row],[Column2]]), "", node_raw[[#This Row],[Column2]])</f>
        <v/>
      </c>
      <c r="D218" s="54" t="str">
        <f>IF(ISNUMBER(node_raw[[#This Row],[Column3]]), node_raw[[#This Row],[Column3]],"")</f>
        <v/>
      </c>
      <c r="E218" s="57" t="str">
        <f>IF(ISNUMBER(node_raw[[#This Row],[Column4]]), node_raw[[#This Row],[Column4]]/1048576,"")</f>
        <v/>
      </c>
      <c r="F218" s="139" t="str">
        <f>IF(ISNUMBER(node_raw[[#This Row],[Column5]]), node_raw[[#This Row],[Column5]],"")</f>
        <v/>
      </c>
      <c r="G218" s="153" t="str">
        <f t="shared" si="6"/>
        <v/>
      </c>
      <c r="H218" s="140" t="str">
        <f>IF(ISNUMBER(node_raw[[#This Row],[Column6]]), node_raw[[#This Row],[Column6]]/1048576,"")</f>
        <v/>
      </c>
      <c r="I218" s="157" t="str">
        <f t="shared" si="7"/>
        <v/>
      </c>
      <c r="J218" s="141" t="str">
        <f>IF(ISNONTEXT(node_raw[[#This Row],[Column7]]), "", node_raw[[#This Row],[Column7]]/100)</f>
        <v/>
      </c>
      <c r="K218" s="142" t="str">
        <f>IF(ISNONTEXT(node_raw[[#This Row],[Column8]]), "", node_raw[[#This Row],[Column8]]/100)</f>
        <v/>
      </c>
      <c r="L218" s="143" t="str">
        <f>IF(ISNONTEXT(node_raw[[#This Row],[Column9]]), "", node_raw[[#This Row],[Column9]]/1)</f>
        <v/>
      </c>
      <c r="M218" s="144" t="str">
        <f>IF(ISNONTEXT(node_raw[[#This Row],[Column10]]), "", node_raw[[#This Row],[Column10]]/1)</f>
        <v/>
      </c>
    </row>
    <row r="219" spans="2:13" ht="15.75" customHeight="1" x14ac:dyDescent="0.25">
      <c r="B219" s="30" t="str">
        <f>IF(ISNONTEXT(node_raw[[#This Row],[Column1]]), "", node_raw[[#This Row],[Column1]])</f>
        <v/>
      </c>
      <c r="C219" s="27" t="str">
        <f>IF(ISNONTEXT(node_raw[[#This Row],[Column2]]), "", node_raw[[#This Row],[Column2]])</f>
        <v/>
      </c>
      <c r="D219" s="54" t="str">
        <f>IF(ISNUMBER(node_raw[[#This Row],[Column3]]), node_raw[[#This Row],[Column3]],"")</f>
        <v/>
      </c>
      <c r="E219" s="57" t="str">
        <f>IF(ISNUMBER(node_raw[[#This Row],[Column4]]), node_raw[[#This Row],[Column4]]/1048576,"")</f>
        <v/>
      </c>
      <c r="F219" s="139" t="str">
        <f>IF(ISNUMBER(node_raw[[#This Row],[Column5]]), node_raw[[#This Row],[Column5]],"")</f>
        <v/>
      </c>
      <c r="G219" s="153" t="str">
        <f t="shared" si="6"/>
        <v/>
      </c>
      <c r="H219" s="140" t="str">
        <f>IF(ISNUMBER(node_raw[[#This Row],[Column6]]), node_raw[[#This Row],[Column6]]/1048576,"")</f>
        <v/>
      </c>
      <c r="I219" s="157" t="str">
        <f t="shared" si="7"/>
        <v/>
      </c>
      <c r="J219" s="141" t="str">
        <f>IF(ISNONTEXT(node_raw[[#This Row],[Column7]]), "", node_raw[[#This Row],[Column7]]/100)</f>
        <v/>
      </c>
      <c r="K219" s="142" t="str">
        <f>IF(ISNONTEXT(node_raw[[#This Row],[Column8]]), "", node_raw[[#This Row],[Column8]]/100)</f>
        <v/>
      </c>
      <c r="L219" s="143" t="str">
        <f>IF(ISNONTEXT(node_raw[[#This Row],[Column9]]), "", node_raw[[#This Row],[Column9]]/1)</f>
        <v/>
      </c>
      <c r="M219" s="144" t="str">
        <f>IF(ISNONTEXT(node_raw[[#This Row],[Column10]]), "", node_raw[[#This Row],[Column10]]/1)</f>
        <v/>
      </c>
    </row>
    <row r="220" spans="2:13" ht="15.75" customHeight="1" x14ac:dyDescent="0.25">
      <c r="B220" s="30" t="str">
        <f>IF(ISNONTEXT(node_raw[[#This Row],[Column1]]), "", node_raw[[#This Row],[Column1]])</f>
        <v/>
      </c>
      <c r="C220" s="27" t="str">
        <f>IF(ISNONTEXT(node_raw[[#This Row],[Column2]]), "", node_raw[[#This Row],[Column2]])</f>
        <v/>
      </c>
      <c r="D220" s="54" t="str">
        <f>IF(ISNUMBER(node_raw[[#This Row],[Column3]]), node_raw[[#This Row],[Column3]],"")</f>
        <v/>
      </c>
      <c r="E220" s="57" t="str">
        <f>IF(ISNUMBER(node_raw[[#This Row],[Column4]]), node_raw[[#This Row],[Column4]]/1048576,"")</f>
        <v/>
      </c>
      <c r="F220" s="139" t="str">
        <f>IF(ISNUMBER(node_raw[[#This Row],[Column5]]), node_raw[[#This Row],[Column5]],"")</f>
        <v/>
      </c>
      <c r="G220" s="153" t="str">
        <f t="shared" si="6"/>
        <v/>
      </c>
      <c r="H220" s="140" t="str">
        <f>IF(ISNUMBER(node_raw[[#This Row],[Column6]]), node_raw[[#This Row],[Column6]]/1048576,"")</f>
        <v/>
      </c>
      <c r="I220" s="157" t="str">
        <f t="shared" si="7"/>
        <v/>
      </c>
      <c r="J220" s="141" t="str">
        <f>IF(ISNONTEXT(node_raw[[#This Row],[Column7]]), "", node_raw[[#This Row],[Column7]]/100)</f>
        <v/>
      </c>
      <c r="K220" s="142" t="str">
        <f>IF(ISNONTEXT(node_raw[[#This Row],[Column8]]), "", node_raw[[#This Row],[Column8]]/100)</f>
        <v/>
      </c>
      <c r="L220" s="143" t="str">
        <f>IF(ISNONTEXT(node_raw[[#This Row],[Column9]]), "", node_raw[[#This Row],[Column9]]/1)</f>
        <v/>
      </c>
      <c r="M220" s="144" t="str">
        <f>IF(ISNONTEXT(node_raw[[#This Row],[Column10]]), "", node_raw[[#This Row],[Column10]]/1)</f>
        <v/>
      </c>
    </row>
    <row r="221" spans="2:13" ht="15.75" customHeight="1" x14ac:dyDescent="0.25">
      <c r="B221" s="30" t="str">
        <f>IF(ISNONTEXT(node_raw[[#This Row],[Column1]]), "", node_raw[[#This Row],[Column1]])</f>
        <v/>
      </c>
      <c r="C221" s="27" t="str">
        <f>IF(ISNONTEXT(node_raw[[#This Row],[Column2]]), "", node_raw[[#This Row],[Column2]])</f>
        <v/>
      </c>
      <c r="D221" s="54" t="str">
        <f>IF(ISNUMBER(node_raw[[#This Row],[Column3]]), node_raw[[#This Row],[Column3]],"")</f>
        <v/>
      </c>
      <c r="E221" s="57" t="str">
        <f>IF(ISNUMBER(node_raw[[#This Row],[Column4]]), node_raw[[#This Row],[Column4]]/1048576,"")</f>
        <v/>
      </c>
      <c r="F221" s="139" t="str">
        <f>IF(ISNUMBER(node_raw[[#This Row],[Column5]]), node_raw[[#This Row],[Column5]],"")</f>
        <v/>
      </c>
      <c r="G221" s="153" t="str">
        <f t="shared" si="6"/>
        <v/>
      </c>
      <c r="H221" s="140" t="str">
        <f>IF(ISNUMBER(node_raw[[#This Row],[Column6]]), node_raw[[#This Row],[Column6]]/1048576,"")</f>
        <v/>
      </c>
      <c r="I221" s="157" t="str">
        <f t="shared" si="7"/>
        <v/>
      </c>
      <c r="J221" s="141" t="str">
        <f>IF(ISNONTEXT(node_raw[[#This Row],[Column7]]), "", node_raw[[#This Row],[Column7]]/100)</f>
        <v/>
      </c>
      <c r="K221" s="142" t="str">
        <f>IF(ISNONTEXT(node_raw[[#This Row],[Column8]]), "", node_raw[[#This Row],[Column8]]/100)</f>
        <v/>
      </c>
      <c r="L221" s="143" t="str">
        <f>IF(ISNONTEXT(node_raw[[#This Row],[Column9]]), "", node_raw[[#This Row],[Column9]]/1)</f>
        <v/>
      </c>
      <c r="M221" s="144" t="str">
        <f>IF(ISNONTEXT(node_raw[[#This Row],[Column10]]), "", node_raw[[#This Row],[Column10]]/1)</f>
        <v/>
      </c>
    </row>
    <row r="222" spans="2:13" ht="15.75" customHeight="1" x14ac:dyDescent="0.25">
      <c r="B222" s="30" t="str">
        <f>IF(ISNONTEXT(node_raw[[#This Row],[Column1]]), "", node_raw[[#This Row],[Column1]])</f>
        <v/>
      </c>
      <c r="C222" s="27" t="str">
        <f>IF(ISNONTEXT(node_raw[[#This Row],[Column2]]), "", node_raw[[#This Row],[Column2]])</f>
        <v/>
      </c>
      <c r="D222" s="54" t="str">
        <f>IF(ISNUMBER(node_raw[[#This Row],[Column3]]), node_raw[[#This Row],[Column3]],"")</f>
        <v/>
      </c>
      <c r="E222" s="57" t="str">
        <f>IF(ISNUMBER(node_raw[[#This Row],[Column4]]), node_raw[[#This Row],[Column4]]/1048576,"")</f>
        <v/>
      </c>
      <c r="F222" s="139" t="str">
        <f>IF(ISNUMBER(node_raw[[#This Row],[Column5]]), node_raw[[#This Row],[Column5]],"")</f>
        <v/>
      </c>
      <c r="G222" s="153" t="str">
        <f t="shared" si="6"/>
        <v/>
      </c>
      <c r="H222" s="140" t="str">
        <f>IF(ISNUMBER(node_raw[[#This Row],[Column6]]), node_raw[[#This Row],[Column6]]/1048576,"")</f>
        <v/>
      </c>
      <c r="I222" s="157" t="str">
        <f t="shared" si="7"/>
        <v/>
      </c>
      <c r="J222" s="141" t="str">
        <f>IF(ISNONTEXT(node_raw[[#This Row],[Column7]]), "", node_raw[[#This Row],[Column7]]/100)</f>
        <v/>
      </c>
      <c r="K222" s="142" t="str">
        <f>IF(ISNONTEXT(node_raw[[#This Row],[Column8]]), "", node_raw[[#This Row],[Column8]]/100)</f>
        <v/>
      </c>
      <c r="L222" s="143" t="str">
        <f>IF(ISNONTEXT(node_raw[[#This Row],[Column9]]), "", node_raw[[#This Row],[Column9]]/1)</f>
        <v/>
      </c>
      <c r="M222" s="144" t="str">
        <f>IF(ISNONTEXT(node_raw[[#This Row],[Column10]]), "", node_raw[[#This Row],[Column10]]/1)</f>
        <v/>
      </c>
    </row>
    <row r="223" spans="2:13" ht="15.75" customHeight="1" x14ac:dyDescent="0.25">
      <c r="B223" s="30" t="str">
        <f>IF(ISNONTEXT(node_raw[[#This Row],[Column1]]), "", node_raw[[#This Row],[Column1]])</f>
        <v/>
      </c>
      <c r="C223" s="27" t="str">
        <f>IF(ISNONTEXT(node_raw[[#This Row],[Column2]]), "", node_raw[[#This Row],[Column2]])</f>
        <v/>
      </c>
      <c r="D223" s="54" t="str">
        <f>IF(ISNUMBER(node_raw[[#This Row],[Column3]]), node_raw[[#This Row],[Column3]],"")</f>
        <v/>
      </c>
      <c r="E223" s="57" t="str">
        <f>IF(ISNUMBER(node_raw[[#This Row],[Column4]]), node_raw[[#This Row],[Column4]]/1048576,"")</f>
        <v/>
      </c>
      <c r="F223" s="139" t="str">
        <f>IF(ISNUMBER(node_raw[[#This Row],[Column5]]), node_raw[[#This Row],[Column5]],"")</f>
        <v/>
      </c>
      <c r="G223" s="153" t="str">
        <f t="shared" si="6"/>
        <v/>
      </c>
      <c r="H223" s="140" t="str">
        <f>IF(ISNUMBER(node_raw[[#This Row],[Column6]]), node_raw[[#This Row],[Column6]]/1048576,"")</f>
        <v/>
      </c>
      <c r="I223" s="157" t="str">
        <f t="shared" si="7"/>
        <v/>
      </c>
      <c r="J223" s="141" t="str">
        <f>IF(ISNONTEXT(node_raw[[#This Row],[Column7]]), "", node_raw[[#This Row],[Column7]]/100)</f>
        <v/>
      </c>
      <c r="K223" s="142" t="str">
        <f>IF(ISNONTEXT(node_raw[[#This Row],[Column8]]), "", node_raw[[#This Row],[Column8]]/100)</f>
        <v/>
      </c>
      <c r="L223" s="143" t="str">
        <f>IF(ISNONTEXT(node_raw[[#This Row],[Column9]]), "", node_raw[[#This Row],[Column9]]/1)</f>
        <v/>
      </c>
      <c r="M223" s="144" t="str">
        <f>IF(ISNONTEXT(node_raw[[#This Row],[Column10]]), "", node_raw[[#This Row],[Column10]]/1)</f>
        <v/>
      </c>
    </row>
    <row r="224" spans="2:13" ht="15.75" customHeight="1" x14ac:dyDescent="0.25">
      <c r="B224" s="30" t="str">
        <f>IF(ISNONTEXT(node_raw[[#This Row],[Column1]]), "", node_raw[[#This Row],[Column1]])</f>
        <v/>
      </c>
      <c r="C224" s="27" t="str">
        <f>IF(ISNONTEXT(node_raw[[#This Row],[Column2]]), "", node_raw[[#This Row],[Column2]])</f>
        <v/>
      </c>
      <c r="D224" s="54" t="str">
        <f>IF(ISNUMBER(node_raw[[#This Row],[Column3]]), node_raw[[#This Row],[Column3]],"")</f>
        <v/>
      </c>
      <c r="E224" s="57" t="str">
        <f>IF(ISNUMBER(node_raw[[#This Row],[Column4]]), node_raw[[#This Row],[Column4]]/1048576,"")</f>
        <v/>
      </c>
      <c r="F224" s="139" t="str">
        <f>IF(ISNUMBER(node_raw[[#This Row],[Column5]]), node_raw[[#This Row],[Column5]],"")</f>
        <v/>
      </c>
      <c r="G224" s="153" t="str">
        <f t="shared" si="6"/>
        <v/>
      </c>
      <c r="H224" s="140" t="str">
        <f>IF(ISNUMBER(node_raw[[#This Row],[Column6]]), node_raw[[#This Row],[Column6]]/1048576,"")</f>
        <v/>
      </c>
      <c r="I224" s="157" t="str">
        <f t="shared" si="7"/>
        <v/>
      </c>
      <c r="J224" s="141" t="str">
        <f>IF(ISNONTEXT(node_raw[[#This Row],[Column7]]), "", node_raw[[#This Row],[Column7]]/100)</f>
        <v/>
      </c>
      <c r="K224" s="142" t="str">
        <f>IF(ISNONTEXT(node_raw[[#This Row],[Column8]]), "", node_raw[[#This Row],[Column8]]/100)</f>
        <v/>
      </c>
      <c r="L224" s="143" t="str">
        <f>IF(ISNONTEXT(node_raw[[#This Row],[Column9]]), "", node_raw[[#This Row],[Column9]]/1)</f>
        <v/>
      </c>
      <c r="M224" s="144" t="str">
        <f>IF(ISNONTEXT(node_raw[[#This Row],[Column10]]), "", node_raw[[#This Row],[Column10]]/1)</f>
        <v/>
      </c>
    </row>
    <row r="225" spans="2:13" ht="15.75" customHeight="1" x14ac:dyDescent="0.25">
      <c r="B225" s="30" t="str">
        <f>IF(ISNONTEXT(node_raw[[#This Row],[Column1]]), "", node_raw[[#This Row],[Column1]])</f>
        <v/>
      </c>
      <c r="C225" s="27" t="str">
        <f>IF(ISNONTEXT(node_raw[[#This Row],[Column2]]), "", node_raw[[#This Row],[Column2]])</f>
        <v/>
      </c>
      <c r="D225" s="54" t="str">
        <f>IF(ISNUMBER(node_raw[[#This Row],[Column3]]), node_raw[[#This Row],[Column3]],"")</f>
        <v/>
      </c>
      <c r="E225" s="57" t="str">
        <f>IF(ISNUMBER(node_raw[[#This Row],[Column4]]), node_raw[[#This Row],[Column4]]/1048576,"")</f>
        <v/>
      </c>
      <c r="F225" s="139" t="str">
        <f>IF(ISNUMBER(node_raw[[#This Row],[Column5]]), node_raw[[#This Row],[Column5]],"")</f>
        <v/>
      </c>
      <c r="G225" s="153" t="str">
        <f t="shared" si="6"/>
        <v/>
      </c>
      <c r="H225" s="140" t="str">
        <f>IF(ISNUMBER(node_raw[[#This Row],[Column6]]), node_raw[[#This Row],[Column6]]/1048576,"")</f>
        <v/>
      </c>
      <c r="I225" s="157" t="str">
        <f t="shared" si="7"/>
        <v/>
      </c>
      <c r="J225" s="141" t="str">
        <f>IF(ISNONTEXT(node_raw[[#This Row],[Column7]]), "", node_raw[[#This Row],[Column7]]/100)</f>
        <v/>
      </c>
      <c r="K225" s="142" t="str">
        <f>IF(ISNONTEXT(node_raw[[#This Row],[Column8]]), "", node_raw[[#This Row],[Column8]]/100)</f>
        <v/>
      </c>
      <c r="L225" s="143" t="str">
        <f>IF(ISNONTEXT(node_raw[[#This Row],[Column9]]), "", node_raw[[#This Row],[Column9]]/1)</f>
        <v/>
      </c>
      <c r="M225" s="144" t="str">
        <f>IF(ISNONTEXT(node_raw[[#This Row],[Column10]]), "", node_raw[[#This Row],[Column10]]/1)</f>
        <v/>
      </c>
    </row>
    <row r="226" spans="2:13" ht="15.75" customHeight="1" x14ac:dyDescent="0.25">
      <c r="B226" s="30" t="str">
        <f>IF(ISNONTEXT(node_raw[[#This Row],[Column1]]), "", node_raw[[#This Row],[Column1]])</f>
        <v/>
      </c>
      <c r="C226" s="27" t="str">
        <f>IF(ISNONTEXT(node_raw[[#This Row],[Column2]]), "", node_raw[[#This Row],[Column2]])</f>
        <v/>
      </c>
      <c r="D226" s="54" t="str">
        <f>IF(ISNUMBER(node_raw[[#This Row],[Column3]]), node_raw[[#This Row],[Column3]],"")</f>
        <v/>
      </c>
      <c r="E226" s="57" t="str">
        <f>IF(ISNUMBER(node_raw[[#This Row],[Column4]]), node_raw[[#This Row],[Column4]]/1048576,"")</f>
        <v/>
      </c>
      <c r="F226" s="139" t="str">
        <f>IF(ISNUMBER(node_raw[[#This Row],[Column5]]), node_raw[[#This Row],[Column5]],"")</f>
        <v/>
      </c>
      <c r="G226" s="153" t="str">
        <f t="shared" si="6"/>
        <v/>
      </c>
      <c r="H226" s="140" t="str">
        <f>IF(ISNUMBER(node_raw[[#This Row],[Column6]]), node_raw[[#This Row],[Column6]]/1048576,"")</f>
        <v/>
      </c>
      <c r="I226" s="157" t="str">
        <f t="shared" si="7"/>
        <v/>
      </c>
      <c r="J226" s="141" t="str">
        <f>IF(ISNONTEXT(node_raw[[#This Row],[Column7]]), "", node_raw[[#This Row],[Column7]]/100)</f>
        <v/>
      </c>
      <c r="K226" s="142" t="str">
        <f>IF(ISNONTEXT(node_raw[[#This Row],[Column8]]), "", node_raw[[#This Row],[Column8]]/100)</f>
        <v/>
      </c>
      <c r="L226" s="143" t="str">
        <f>IF(ISNONTEXT(node_raw[[#This Row],[Column9]]), "", node_raw[[#This Row],[Column9]]/1)</f>
        <v/>
      </c>
      <c r="M226" s="144" t="str">
        <f>IF(ISNONTEXT(node_raw[[#This Row],[Column10]]), "", node_raw[[#This Row],[Column10]]/1)</f>
        <v/>
      </c>
    </row>
    <row r="227" spans="2:13" ht="15.75" customHeight="1" x14ac:dyDescent="0.25">
      <c r="B227" s="30" t="str">
        <f>IF(ISNONTEXT(node_raw[[#This Row],[Column1]]), "", node_raw[[#This Row],[Column1]])</f>
        <v/>
      </c>
      <c r="C227" s="27" t="str">
        <f>IF(ISNONTEXT(node_raw[[#This Row],[Column2]]), "", node_raw[[#This Row],[Column2]])</f>
        <v/>
      </c>
      <c r="D227" s="54" t="str">
        <f>IF(ISNUMBER(node_raw[[#This Row],[Column3]]), node_raw[[#This Row],[Column3]],"")</f>
        <v/>
      </c>
      <c r="E227" s="57" t="str">
        <f>IF(ISNUMBER(node_raw[[#This Row],[Column4]]), node_raw[[#This Row],[Column4]]/1048576,"")</f>
        <v/>
      </c>
      <c r="F227" s="139" t="str">
        <f>IF(ISNUMBER(node_raw[[#This Row],[Column5]]), node_raw[[#This Row],[Column5]],"")</f>
        <v/>
      </c>
      <c r="G227" s="153" t="str">
        <f t="shared" si="6"/>
        <v/>
      </c>
      <c r="H227" s="140" t="str">
        <f>IF(ISNUMBER(node_raw[[#This Row],[Column6]]), node_raw[[#This Row],[Column6]]/1048576,"")</f>
        <v/>
      </c>
      <c r="I227" s="157" t="str">
        <f t="shared" si="7"/>
        <v/>
      </c>
      <c r="J227" s="141" t="str">
        <f>IF(ISNONTEXT(node_raw[[#This Row],[Column7]]), "", node_raw[[#This Row],[Column7]]/100)</f>
        <v/>
      </c>
      <c r="K227" s="142" t="str">
        <f>IF(ISNONTEXT(node_raw[[#This Row],[Column8]]), "", node_raw[[#This Row],[Column8]]/100)</f>
        <v/>
      </c>
      <c r="L227" s="143" t="str">
        <f>IF(ISNONTEXT(node_raw[[#This Row],[Column9]]), "", node_raw[[#This Row],[Column9]]/1)</f>
        <v/>
      </c>
      <c r="M227" s="144" t="str">
        <f>IF(ISNONTEXT(node_raw[[#This Row],[Column10]]), "", node_raw[[#This Row],[Column10]]/1)</f>
        <v/>
      </c>
    </row>
    <row r="228" spans="2:13" ht="15.75" customHeight="1" x14ac:dyDescent="0.25">
      <c r="B228" s="30" t="str">
        <f>IF(ISNONTEXT(node_raw[[#This Row],[Column1]]), "", node_raw[[#This Row],[Column1]])</f>
        <v/>
      </c>
      <c r="C228" s="27" t="str">
        <f>IF(ISNONTEXT(node_raw[[#This Row],[Column2]]), "", node_raw[[#This Row],[Column2]])</f>
        <v/>
      </c>
      <c r="D228" s="54" t="str">
        <f>IF(ISNUMBER(node_raw[[#This Row],[Column3]]), node_raw[[#This Row],[Column3]],"")</f>
        <v/>
      </c>
      <c r="E228" s="57" t="str">
        <f>IF(ISNUMBER(node_raw[[#This Row],[Column4]]), node_raw[[#This Row],[Column4]]/1048576,"")</f>
        <v/>
      </c>
      <c r="F228" s="139" t="str">
        <f>IF(ISNUMBER(node_raw[[#This Row],[Column5]]), node_raw[[#This Row],[Column5]],"")</f>
        <v/>
      </c>
      <c r="G228" s="153" t="str">
        <f t="shared" si="6"/>
        <v/>
      </c>
      <c r="H228" s="140" t="str">
        <f>IF(ISNUMBER(node_raw[[#This Row],[Column6]]), node_raw[[#This Row],[Column6]]/1048576,"")</f>
        <v/>
      </c>
      <c r="I228" s="157" t="str">
        <f t="shared" si="7"/>
        <v/>
      </c>
      <c r="J228" s="141" t="str">
        <f>IF(ISNONTEXT(node_raw[[#This Row],[Column7]]), "", node_raw[[#This Row],[Column7]]/100)</f>
        <v/>
      </c>
      <c r="K228" s="142" t="str">
        <f>IF(ISNONTEXT(node_raw[[#This Row],[Column8]]), "", node_raw[[#This Row],[Column8]]/100)</f>
        <v/>
      </c>
      <c r="L228" s="143" t="str">
        <f>IF(ISNONTEXT(node_raw[[#This Row],[Column9]]), "", node_raw[[#This Row],[Column9]]/1)</f>
        <v/>
      </c>
      <c r="M228" s="144" t="str">
        <f>IF(ISNONTEXT(node_raw[[#This Row],[Column10]]), "", node_raw[[#This Row],[Column10]]/1)</f>
        <v/>
      </c>
    </row>
    <row r="229" spans="2:13" ht="15.75" customHeight="1" x14ac:dyDescent="0.25">
      <c r="B229" s="30" t="str">
        <f>IF(ISNONTEXT(node_raw[[#This Row],[Column1]]), "", node_raw[[#This Row],[Column1]])</f>
        <v/>
      </c>
      <c r="C229" s="27" t="str">
        <f>IF(ISNONTEXT(node_raw[[#This Row],[Column2]]), "", node_raw[[#This Row],[Column2]])</f>
        <v/>
      </c>
      <c r="D229" s="54" t="str">
        <f>IF(ISNUMBER(node_raw[[#This Row],[Column3]]), node_raw[[#This Row],[Column3]],"")</f>
        <v/>
      </c>
      <c r="E229" s="57" t="str">
        <f>IF(ISNUMBER(node_raw[[#This Row],[Column4]]), node_raw[[#This Row],[Column4]]/1048576,"")</f>
        <v/>
      </c>
      <c r="F229" s="139" t="str">
        <f>IF(ISNUMBER(node_raw[[#This Row],[Column5]]), node_raw[[#This Row],[Column5]],"")</f>
        <v/>
      </c>
      <c r="G229" s="153" t="str">
        <f t="shared" si="6"/>
        <v/>
      </c>
      <c r="H229" s="140" t="str">
        <f>IF(ISNUMBER(node_raw[[#This Row],[Column6]]), node_raw[[#This Row],[Column6]]/1048576,"")</f>
        <v/>
      </c>
      <c r="I229" s="157" t="str">
        <f t="shared" si="7"/>
        <v/>
      </c>
      <c r="J229" s="141" t="str">
        <f>IF(ISNONTEXT(node_raw[[#This Row],[Column7]]), "", node_raw[[#This Row],[Column7]]/100)</f>
        <v/>
      </c>
      <c r="K229" s="142" t="str">
        <f>IF(ISNONTEXT(node_raw[[#This Row],[Column8]]), "", node_raw[[#This Row],[Column8]]/100)</f>
        <v/>
      </c>
      <c r="L229" s="143" t="str">
        <f>IF(ISNONTEXT(node_raw[[#This Row],[Column9]]), "", node_raw[[#This Row],[Column9]]/1)</f>
        <v/>
      </c>
      <c r="M229" s="144" t="str">
        <f>IF(ISNONTEXT(node_raw[[#This Row],[Column10]]), "", node_raw[[#This Row],[Column10]]/1)</f>
        <v/>
      </c>
    </row>
    <row r="230" spans="2:13" ht="15.75" customHeight="1" x14ac:dyDescent="0.25">
      <c r="B230" s="30" t="str">
        <f>IF(ISNONTEXT(node_raw[[#This Row],[Column1]]), "", node_raw[[#This Row],[Column1]])</f>
        <v/>
      </c>
      <c r="C230" s="27" t="str">
        <f>IF(ISNONTEXT(node_raw[[#This Row],[Column2]]), "", node_raw[[#This Row],[Column2]])</f>
        <v/>
      </c>
      <c r="D230" s="54" t="str">
        <f>IF(ISNUMBER(node_raw[[#This Row],[Column3]]), node_raw[[#This Row],[Column3]],"")</f>
        <v/>
      </c>
      <c r="E230" s="57" t="str">
        <f>IF(ISNUMBER(node_raw[[#This Row],[Column4]]), node_raw[[#This Row],[Column4]]/1048576,"")</f>
        <v/>
      </c>
      <c r="F230" s="139" t="str">
        <f>IF(ISNUMBER(node_raw[[#This Row],[Column5]]), node_raw[[#This Row],[Column5]],"")</f>
        <v/>
      </c>
      <c r="G230" s="153" t="str">
        <f t="shared" si="6"/>
        <v/>
      </c>
      <c r="H230" s="140" t="str">
        <f>IF(ISNUMBER(node_raw[[#This Row],[Column6]]), node_raw[[#This Row],[Column6]]/1048576,"")</f>
        <v/>
      </c>
      <c r="I230" s="157" t="str">
        <f t="shared" si="7"/>
        <v/>
      </c>
      <c r="J230" s="141" t="str">
        <f>IF(ISNONTEXT(node_raw[[#This Row],[Column7]]), "", node_raw[[#This Row],[Column7]]/100)</f>
        <v/>
      </c>
      <c r="K230" s="142" t="str">
        <f>IF(ISNONTEXT(node_raw[[#This Row],[Column8]]), "", node_raw[[#This Row],[Column8]]/100)</f>
        <v/>
      </c>
      <c r="L230" s="143" t="str">
        <f>IF(ISNONTEXT(node_raw[[#This Row],[Column9]]), "", node_raw[[#This Row],[Column9]]/1)</f>
        <v/>
      </c>
      <c r="M230" s="144" t="str">
        <f>IF(ISNONTEXT(node_raw[[#This Row],[Column10]]), "", node_raw[[#This Row],[Column10]]/1)</f>
        <v/>
      </c>
    </row>
    <row r="231" spans="2:13" ht="15.75" customHeight="1" x14ac:dyDescent="0.25">
      <c r="B231" s="30" t="str">
        <f>IF(ISNONTEXT(node_raw[[#This Row],[Column1]]), "", node_raw[[#This Row],[Column1]])</f>
        <v/>
      </c>
      <c r="C231" s="27" t="str">
        <f>IF(ISNONTEXT(node_raw[[#This Row],[Column2]]), "", node_raw[[#This Row],[Column2]])</f>
        <v/>
      </c>
      <c r="D231" s="54" t="str">
        <f>IF(ISNUMBER(node_raw[[#This Row],[Column3]]), node_raw[[#This Row],[Column3]],"")</f>
        <v/>
      </c>
      <c r="E231" s="57" t="str">
        <f>IF(ISNUMBER(node_raw[[#This Row],[Column4]]), node_raw[[#This Row],[Column4]]/1048576,"")</f>
        <v/>
      </c>
      <c r="F231" s="139" t="str">
        <f>IF(ISNUMBER(node_raw[[#This Row],[Column5]]), node_raw[[#This Row],[Column5]],"")</f>
        <v/>
      </c>
      <c r="G231" s="153" t="str">
        <f t="shared" si="6"/>
        <v/>
      </c>
      <c r="H231" s="140" t="str">
        <f>IF(ISNUMBER(node_raw[[#This Row],[Column6]]), node_raw[[#This Row],[Column6]]/1048576,"")</f>
        <v/>
      </c>
      <c r="I231" s="157" t="str">
        <f t="shared" si="7"/>
        <v/>
      </c>
      <c r="J231" s="141" t="str">
        <f>IF(ISNONTEXT(node_raw[[#This Row],[Column7]]), "", node_raw[[#This Row],[Column7]]/100)</f>
        <v/>
      </c>
      <c r="K231" s="142" t="str">
        <f>IF(ISNONTEXT(node_raw[[#This Row],[Column8]]), "", node_raw[[#This Row],[Column8]]/100)</f>
        <v/>
      </c>
      <c r="L231" s="143" t="str">
        <f>IF(ISNONTEXT(node_raw[[#This Row],[Column9]]), "", node_raw[[#This Row],[Column9]]/1)</f>
        <v/>
      </c>
      <c r="M231" s="144" t="str">
        <f>IF(ISNONTEXT(node_raw[[#This Row],[Column10]]), "", node_raw[[#This Row],[Column10]]/1)</f>
        <v/>
      </c>
    </row>
    <row r="232" spans="2:13" ht="15.75" customHeight="1" x14ac:dyDescent="0.25">
      <c r="B232" s="30" t="str">
        <f>IF(ISNONTEXT(node_raw[[#This Row],[Column1]]), "", node_raw[[#This Row],[Column1]])</f>
        <v/>
      </c>
      <c r="C232" s="27" t="str">
        <f>IF(ISNONTEXT(node_raw[[#This Row],[Column2]]), "", node_raw[[#This Row],[Column2]])</f>
        <v/>
      </c>
      <c r="D232" s="54" t="str">
        <f>IF(ISNUMBER(node_raw[[#This Row],[Column3]]), node_raw[[#This Row],[Column3]],"")</f>
        <v/>
      </c>
      <c r="E232" s="57" t="str">
        <f>IF(ISNUMBER(node_raw[[#This Row],[Column4]]), node_raw[[#This Row],[Column4]]/1048576,"")</f>
        <v/>
      </c>
      <c r="F232" s="139" t="str">
        <f>IF(ISNUMBER(node_raw[[#This Row],[Column5]]), node_raw[[#This Row],[Column5]],"")</f>
        <v/>
      </c>
      <c r="G232" s="153" t="str">
        <f t="shared" si="6"/>
        <v/>
      </c>
      <c r="H232" s="140" t="str">
        <f>IF(ISNUMBER(node_raw[[#This Row],[Column6]]), node_raw[[#This Row],[Column6]]/1048576,"")</f>
        <v/>
      </c>
      <c r="I232" s="157" t="str">
        <f t="shared" si="7"/>
        <v/>
      </c>
      <c r="J232" s="141" t="str">
        <f>IF(ISNONTEXT(node_raw[[#This Row],[Column7]]), "", node_raw[[#This Row],[Column7]]/100)</f>
        <v/>
      </c>
      <c r="K232" s="142" t="str">
        <f>IF(ISNONTEXT(node_raw[[#This Row],[Column8]]), "", node_raw[[#This Row],[Column8]]/100)</f>
        <v/>
      </c>
      <c r="L232" s="143" t="str">
        <f>IF(ISNONTEXT(node_raw[[#This Row],[Column9]]), "", node_raw[[#This Row],[Column9]]/1)</f>
        <v/>
      </c>
      <c r="M232" s="144" t="str">
        <f>IF(ISNONTEXT(node_raw[[#This Row],[Column10]]), "", node_raw[[#This Row],[Column10]]/1)</f>
        <v/>
      </c>
    </row>
    <row r="233" spans="2:13" ht="15.75" customHeight="1" x14ac:dyDescent="0.25">
      <c r="B233" s="30" t="str">
        <f>IF(ISNONTEXT(node_raw[[#This Row],[Column1]]), "", node_raw[[#This Row],[Column1]])</f>
        <v/>
      </c>
      <c r="C233" s="27" t="str">
        <f>IF(ISNONTEXT(node_raw[[#This Row],[Column2]]), "", node_raw[[#This Row],[Column2]])</f>
        <v/>
      </c>
      <c r="D233" s="54" t="str">
        <f>IF(ISNUMBER(node_raw[[#This Row],[Column3]]), node_raw[[#This Row],[Column3]],"")</f>
        <v/>
      </c>
      <c r="E233" s="57" t="str">
        <f>IF(ISNUMBER(node_raw[[#This Row],[Column4]]), node_raw[[#This Row],[Column4]]/1048576,"")</f>
        <v/>
      </c>
      <c r="F233" s="139" t="str">
        <f>IF(ISNUMBER(node_raw[[#This Row],[Column5]]), node_raw[[#This Row],[Column5]],"")</f>
        <v/>
      </c>
      <c r="G233" s="153" t="str">
        <f t="shared" si="6"/>
        <v/>
      </c>
      <c r="H233" s="140" t="str">
        <f>IF(ISNUMBER(node_raw[[#This Row],[Column6]]), node_raw[[#This Row],[Column6]]/1048576,"")</f>
        <v/>
      </c>
      <c r="I233" s="157" t="str">
        <f t="shared" si="7"/>
        <v/>
      </c>
      <c r="J233" s="141" t="str">
        <f>IF(ISNONTEXT(node_raw[[#This Row],[Column7]]), "", node_raw[[#This Row],[Column7]]/100)</f>
        <v/>
      </c>
      <c r="K233" s="142" t="str">
        <f>IF(ISNONTEXT(node_raw[[#This Row],[Column8]]), "", node_raw[[#This Row],[Column8]]/100)</f>
        <v/>
      </c>
      <c r="L233" s="143" t="str">
        <f>IF(ISNONTEXT(node_raw[[#This Row],[Column9]]), "", node_raw[[#This Row],[Column9]]/1)</f>
        <v/>
      </c>
      <c r="M233" s="144" t="str">
        <f>IF(ISNONTEXT(node_raw[[#This Row],[Column10]]), "", node_raw[[#This Row],[Column10]]/1)</f>
        <v/>
      </c>
    </row>
    <row r="234" spans="2:13" ht="15.75" customHeight="1" x14ac:dyDescent="0.25">
      <c r="B234" s="30" t="str">
        <f>IF(ISNONTEXT(node_raw[[#This Row],[Column1]]), "", node_raw[[#This Row],[Column1]])</f>
        <v/>
      </c>
      <c r="C234" s="27" t="str">
        <f>IF(ISNONTEXT(node_raw[[#This Row],[Column2]]), "", node_raw[[#This Row],[Column2]])</f>
        <v/>
      </c>
      <c r="D234" s="54" t="str">
        <f>IF(ISNUMBER(node_raw[[#This Row],[Column3]]), node_raw[[#This Row],[Column3]],"")</f>
        <v/>
      </c>
      <c r="E234" s="57" t="str">
        <f>IF(ISNUMBER(node_raw[[#This Row],[Column4]]), node_raw[[#This Row],[Column4]]/1048576,"")</f>
        <v/>
      </c>
      <c r="F234" s="139" t="str">
        <f>IF(ISNUMBER(node_raw[[#This Row],[Column5]]), node_raw[[#This Row],[Column5]],"")</f>
        <v/>
      </c>
      <c r="G234" s="153" t="str">
        <f t="shared" si="6"/>
        <v/>
      </c>
      <c r="H234" s="140" t="str">
        <f>IF(ISNUMBER(node_raw[[#This Row],[Column6]]), node_raw[[#This Row],[Column6]]/1048576,"")</f>
        <v/>
      </c>
      <c r="I234" s="157" t="str">
        <f t="shared" si="7"/>
        <v/>
      </c>
      <c r="J234" s="141" t="str">
        <f>IF(ISNONTEXT(node_raw[[#This Row],[Column7]]), "", node_raw[[#This Row],[Column7]]/100)</f>
        <v/>
      </c>
      <c r="K234" s="142" t="str">
        <f>IF(ISNONTEXT(node_raw[[#This Row],[Column8]]), "", node_raw[[#This Row],[Column8]]/100)</f>
        <v/>
      </c>
      <c r="L234" s="143" t="str">
        <f>IF(ISNONTEXT(node_raw[[#This Row],[Column9]]), "", node_raw[[#This Row],[Column9]]/1)</f>
        <v/>
      </c>
      <c r="M234" s="144" t="str">
        <f>IF(ISNONTEXT(node_raw[[#This Row],[Column10]]), "", node_raw[[#This Row],[Column10]]/1)</f>
        <v/>
      </c>
    </row>
    <row r="235" spans="2:13" ht="15.75" customHeight="1" x14ac:dyDescent="0.25">
      <c r="B235" s="30" t="str">
        <f>IF(ISNONTEXT(node_raw[[#This Row],[Column1]]), "", node_raw[[#This Row],[Column1]])</f>
        <v/>
      </c>
      <c r="C235" s="27" t="str">
        <f>IF(ISNONTEXT(node_raw[[#This Row],[Column2]]), "", node_raw[[#This Row],[Column2]])</f>
        <v/>
      </c>
      <c r="D235" s="54" t="str">
        <f>IF(ISNUMBER(node_raw[[#This Row],[Column3]]), node_raw[[#This Row],[Column3]],"")</f>
        <v/>
      </c>
      <c r="E235" s="57" t="str">
        <f>IF(ISNUMBER(node_raw[[#This Row],[Column4]]), node_raw[[#This Row],[Column4]]/1048576,"")</f>
        <v/>
      </c>
      <c r="F235" s="139" t="str">
        <f>IF(ISNUMBER(node_raw[[#This Row],[Column5]]), node_raw[[#This Row],[Column5]],"")</f>
        <v/>
      </c>
      <c r="G235" s="153" t="str">
        <f t="shared" si="6"/>
        <v/>
      </c>
      <c r="H235" s="140" t="str">
        <f>IF(ISNUMBER(node_raw[[#This Row],[Column6]]), node_raw[[#This Row],[Column6]]/1048576,"")</f>
        <v/>
      </c>
      <c r="I235" s="157" t="str">
        <f t="shared" si="7"/>
        <v/>
      </c>
      <c r="J235" s="141" t="str">
        <f>IF(ISNONTEXT(node_raw[[#This Row],[Column7]]), "", node_raw[[#This Row],[Column7]]/100)</f>
        <v/>
      </c>
      <c r="K235" s="142" t="str">
        <f>IF(ISNONTEXT(node_raw[[#This Row],[Column8]]), "", node_raw[[#This Row],[Column8]]/100)</f>
        <v/>
      </c>
      <c r="L235" s="143" t="str">
        <f>IF(ISNONTEXT(node_raw[[#This Row],[Column9]]), "", node_raw[[#This Row],[Column9]]/1)</f>
        <v/>
      </c>
      <c r="M235" s="144" t="str">
        <f>IF(ISNONTEXT(node_raw[[#This Row],[Column10]]), "", node_raw[[#This Row],[Column10]]/1)</f>
        <v/>
      </c>
    </row>
    <row r="236" spans="2:13" ht="15.75" customHeight="1" x14ac:dyDescent="0.25">
      <c r="B236" s="30" t="str">
        <f>IF(ISNONTEXT(node_raw[[#This Row],[Column1]]), "", node_raw[[#This Row],[Column1]])</f>
        <v/>
      </c>
      <c r="C236" s="27" t="str">
        <f>IF(ISNONTEXT(node_raw[[#This Row],[Column2]]), "", node_raw[[#This Row],[Column2]])</f>
        <v/>
      </c>
      <c r="D236" s="54" t="str">
        <f>IF(ISNUMBER(node_raw[[#This Row],[Column3]]), node_raw[[#This Row],[Column3]],"")</f>
        <v/>
      </c>
      <c r="E236" s="57" t="str">
        <f>IF(ISNUMBER(node_raw[[#This Row],[Column4]]), node_raw[[#This Row],[Column4]]/1048576,"")</f>
        <v/>
      </c>
      <c r="F236" s="139" t="str">
        <f>IF(ISNUMBER(node_raw[[#This Row],[Column5]]), node_raw[[#This Row],[Column5]],"")</f>
        <v/>
      </c>
      <c r="G236" s="153" t="str">
        <f t="shared" si="6"/>
        <v/>
      </c>
      <c r="H236" s="140" t="str">
        <f>IF(ISNUMBER(node_raw[[#This Row],[Column6]]), node_raw[[#This Row],[Column6]]/1048576,"")</f>
        <v/>
      </c>
      <c r="I236" s="157" t="str">
        <f t="shared" si="7"/>
        <v/>
      </c>
      <c r="J236" s="141" t="str">
        <f>IF(ISNONTEXT(node_raw[[#This Row],[Column7]]), "", node_raw[[#This Row],[Column7]]/100)</f>
        <v/>
      </c>
      <c r="K236" s="142" t="str">
        <f>IF(ISNONTEXT(node_raw[[#This Row],[Column8]]), "", node_raw[[#This Row],[Column8]]/100)</f>
        <v/>
      </c>
      <c r="L236" s="143" t="str">
        <f>IF(ISNONTEXT(node_raw[[#This Row],[Column9]]), "", node_raw[[#This Row],[Column9]]/1)</f>
        <v/>
      </c>
      <c r="M236" s="144" t="str">
        <f>IF(ISNONTEXT(node_raw[[#This Row],[Column10]]), "", node_raw[[#This Row],[Column10]]/1)</f>
        <v/>
      </c>
    </row>
    <row r="237" spans="2:13" ht="15.75" customHeight="1" x14ac:dyDescent="0.25">
      <c r="B237" s="30" t="str">
        <f>IF(ISNONTEXT(node_raw[[#This Row],[Column1]]), "", node_raw[[#This Row],[Column1]])</f>
        <v/>
      </c>
      <c r="C237" s="27" t="str">
        <f>IF(ISNONTEXT(node_raw[[#This Row],[Column2]]), "", node_raw[[#This Row],[Column2]])</f>
        <v/>
      </c>
      <c r="D237" s="54" t="str">
        <f>IF(ISNUMBER(node_raw[[#This Row],[Column3]]), node_raw[[#This Row],[Column3]],"")</f>
        <v/>
      </c>
      <c r="E237" s="57" t="str">
        <f>IF(ISNUMBER(node_raw[[#This Row],[Column4]]), node_raw[[#This Row],[Column4]]/1048576,"")</f>
        <v/>
      </c>
      <c r="F237" s="139" t="str">
        <f>IF(ISNUMBER(node_raw[[#This Row],[Column5]]), node_raw[[#This Row],[Column5]],"")</f>
        <v/>
      </c>
      <c r="G237" s="153" t="str">
        <f t="shared" si="6"/>
        <v/>
      </c>
      <c r="H237" s="140" t="str">
        <f>IF(ISNUMBER(node_raw[[#This Row],[Column6]]), node_raw[[#This Row],[Column6]]/1048576,"")</f>
        <v/>
      </c>
      <c r="I237" s="157" t="str">
        <f t="shared" si="7"/>
        <v/>
      </c>
      <c r="J237" s="141" t="str">
        <f>IF(ISNONTEXT(node_raw[[#This Row],[Column7]]), "", node_raw[[#This Row],[Column7]]/100)</f>
        <v/>
      </c>
      <c r="K237" s="142" t="str">
        <f>IF(ISNONTEXT(node_raw[[#This Row],[Column8]]), "", node_raw[[#This Row],[Column8]]/100)</f>
        <v/>
      </c>
      <c r="L237" s="143" t="str">
        <f>IF(ISNONTEXT(node_raw[[#This Row],[Column9]]), "", node_raw[[#This Row],[Column9]]/1)</f>
        <v/>
      </c>
      <c r="M237" s="144" t="str">
        <f>IF(ISNONTEXT(node_raw[[#This Row],[Column10]]), "", node_raw[[#This Row],[Column10]]/1)</f>
        <v/>
      </c>
    </row>
    <row r="238" spans="2:13" ht="15.75" customHeight="1" x14ac:dyDescent="0.25">
      <c r="B238" s="30" t="str">
        <f>IF(ISNONTEXT(node_raw[[#This Row],[Column1]]), "", node_raw[[#This Row],[Column1]])</f>
        <v/>
      </c>
      <c r="C238" s="27" t="str">
        <f>IF(ISNONTEXT(node_raw[[#This Row],[Column2]]), "", node_raw[[#This Row],[Column2]])</f>
        <v/>
      </c>
      <c r="D238" s="54" t="str">
        <f>IF(ISNUMBER(node_raw[[#This Row],[Column3]]), node_raw[[#This Row],[Column3]],"")</f>
        <v/>
      </c>
      <c r="E238" s="57" t="str">
        <f>IF(ISNUMBER(node_raw[[#This Row],[Column4]]), node_raw[[#This Row],[Column4]]/1048576,"")</f>
        <v/>
      </c>
      <c r="F238" s="139" t="str">
        <f>IF(ISNUMBER(node_raw[[#This Row],[Column5]]), node_raw[[#This Row],[Column5]],"")</f>
        <v/>
      </c>
      <c r="G238" s="153" t="str">
        <f t="shared" si="6"/>
        <v/>
      </c>
      <c r="H238" s="140" t="str">
        <f>IF(ISNUMBER(node_raw[[#This Row],[Column6]]), node_raw[[#This Row],[Column6]]/1048576,"")</f>
        <v/>
      </c>
      <c r="I238" s="157" t="str">
        <f t="shared" si="7"/>
        <v/>
      </c>
      <c r="J238" s="141" t="str">
        <f>IF(ISNONTEXT(node_raw[[#This Row],[Column7]]), "", node_raw[[#This Row],[Column7]]/100)</f>
        <v/>
      </c>
      <c r="K238" s="142" t="str">
        <f>IF(ISNONTEXT(node_raw[[#This Row],[Column8]]), "", node_raw[[#This Row],[Column8]]/100)</f>
        <v/>
      </c>
      <c r="L238" s="143" t="str">
        <f>IF(ISNONTEXT(node_raw[[#This Row],[Column9]]), "", node_raw[[#This Row],[Column9]]/1)</f>
        <v/>
      </c>
      <c r="M238" s="144" t="str">
        <f>IF(ISNONTEXT(node_raw[[#This Row],[Column10]]), "", node_raw[[#This Row],[Column10]]/1)</f>
        <v/>
      </c>
    </row>
    <row r="239" spans="2:13" ht="15.75" customHeight="1" x14ac:dyDescent="0.25">
      <c r="B239" s="30" t="str">
        <f>IF(ISNONTEXT(node_raw[[#This Row],[Column1]]), "", node_raw[[#This Row],[Column1]])</f>
        <v/>
      </c>
      <c r="C239" s="27" t="str">
        <f>IF(ISNONTEXT(node_raw[[#This Row],[Column2]]), "", node_raw[[#This Row],[Column2]])</f>
        <v/>
      </c>
      <c r="D239" s="54" t="str">
        <f>IF(ISNUMBER(node_raw[[#This Row],[Column3]]), node_raw[[#This Row],[Column3]],"")</f>
        <v/>
      </c>
      <c r="E239" s="57" t="str">
        <f>IF(ISNUMBER(node_raw[[#This Row],[Column4]]), node_raw[[#This Row],[Column4]]/1048576,"")</f>
        <v/>
      </c>
      <c r="F239" s="139" t="str">
        <f>IF(ISNUMBER(node_raw[[#This Row],[Column5]]), node_raw[[#This Row],[Column5]],"")</f>
        <v/>
      </c>
      <c r="G239" s="153" t="str">
        <f t="shared" si="6"/>
        <v/>
      </c>
      <c r="H239" s="140" t="str">
        <f>IF(ISNUMBER(node_raw[[#This Row],[Column6]]), node_raw[[#This Row],[Column6]]/1048576,"")</f>
        <v/>
      </c>
      <c r="I239" s="157" t="str">
        <f t="shared" si="7"/>
        <v/>
      </c>
      <c r="J239" s="141" t="str">
        <f>IF(ISNONTEXT(node_raw[[#This Row],[Column7]]), "", node_raw[[#This Row],[Column7]]/100)</f>
        <v/>
      </c>
      <c r="K239" s="142" t="str">
        <f>IF(ISNONTEXT(node_raw[[#This Row],[Column8]]), "", node_raw[[#This Row],[Column8]]/100)</f>
        <v/>
      </c>
      <c r="L239" s="143" t="str">
        <f>IF(ISNONTEXT(node_raw[[#This Row],[Column9]]), "", node_raw[[#This Row],[Column9]]/1)</f>
        <v/>
      </c>
      <c r="M239" s="144" t="str">
        <f>IF(ISNONTEXT(node_raw[[#This Row],[Column10]]), "", node_raw[[#This Row],[Column10]]/1)</f>
        <v/>
      </c>
    </row>
    <row r="240" spans="2:13" ht="15.75" customHeight="1" x14ac:dyDescent="0.25">
      <c r="B240" s="30" t="str">
        <f>IF(ISNONTEXT(node_raw[[#This Row],[Column1]]), "", node_raw[[#This Row],[Column1]])</f>
        <v/>
      </c>
      <c r="C240" s="27" t="str">
        <f>IF(ISNONTEXT(node_raw[[#This Row],[Column2]]), "", node_raw[[#This Row],[Column2]])</f>
        <v/>
      </c>
      <c r="D240" s="54" t="str">
        <f>IF(ISNUMBER(node_raw[[#This Row],[Column3]]), node_raw[[#This Row],[Column3]],"")</f>
        <v/>
      </c>
      <c r="E240" s="57" t="str">
        <f>IF(ISNUMBER(node_raw[[#This Row],[Column4]]), node_raw[[#This Row],[Column4]]/1048576,"")</f>
        <v/>
      </c>
      <c r="F240" s="139" t="str">
        <f>IF(ISNUMBER(node_raw[[#This Row],[Column5]]), node_raw[[#This Row],[Column5]],"")</f>
        <v/>
      </c>
      <c r="G240" s="153" t="str">
        <f t="shared" si="6"/>
        <v/>
      </c>
      <c r="H240" s="140" t="str">
        <f>IF(ISNUMBER(node_raw[[#This Row],[Column6]]), node_raw[[#This Row],[Column6]]/1048576,"")</f>
        <v/>
      </c>
      <c r="I240" s="157" t="str">
        <f t="shared" si="7"/>
        <v/>
      </c>
      <c r="J240" s="141" t="str">
        <f>IF(ISNONTEXT(node_raw[[#This Row],[Column7]]), "", node_raw[[#This Row],[Column7]]/100)</f>
        <v/>
      </c>
      <c r="K240" s="142" t="str">
        <f>IF(ISNONTEXT(node_raw[[#This Row],[Column8]]), "", node_raw[[#This Row],[Column8]]/100)</f>
        <v/>
      </c>
      <c r="L240" s="143" t="str">
        <f>IF(ISNONTEXT(node_raw[[#This Row],[Column9]]), "", node_raw[[#This Row],[Column9]]/1)</f>
        <v/>
      </c>
      <c r="M240" s="144" t="str">
        <f>IF(ISNONTEXT(node_raw[[#This Row],[Column10]]), "", node_raw[[#This Row],[Column10]]/1)</f>
        <v/>
      </c>
    </row>
    <row r="241" spans="2:13" ht="15.75" customHeight="1" x14ac:dyDescent="0.25">
      <c r="B241" s="30" t="str">
        <f>IF(ISNONTEXT(node_raw[[#This Row],[Column1]]), "", node_raw[[#This Row],[Column1]])</f>
        <v/>
      </c>
      <c r="C241" s="27" t="str">
        <f>IF(ISNONTEXT(node_raw[[#This Row],[Column2]]), "", node_raw[[#This Row],[Column2]])</f>
        <v/>
      </c>
      <c r="D241" s="54" t="str">
        <f>IF(ISNUMBER(node_raw[[#This Row],[Column3]]), node_raw[[#This Row],[Column3]],"")</f>
        <v/>
      </c>
      <c r="E241" s="57" t="str">
        <f>IF(ISNUMBER(node_raw[[#This Row],[Column4]]), node_raw[[#This Row],[Column4]]/1048576,"")</f>
        <v/>
      </c>
      <c r="F241" s="139" t="str">
        <f>IF(ISNUMBER(node_raw[[#This Row],[Column5]]), node_raw[[#This Row],[Column5]],"")</f>
        <v/>
      </c>
      <c r="G241" s="153" t="str">
        <f t="shared" si="6"/>
        <v/>
      </c>
      <c r="H241" s="140" t="str">
        <f>IF(ISNUMBER(node_raw[[#This Row],[Column6]]), node_raw[[#This Row],[Column6]]/1048576,"")</f>
        <v/>
      </c>
      <c r="I241" s="157" t="str">
        <f t="shared" si="7"/>
        <v/>
      </c>
      <c r="J241" s="141" t="str">
        <f>IF(ISNONTEXT(node_raw[[#This Row],[Column7]]), "", node_raw[[#This Row],[Column7]]/100)</f>
        <v/>
      </c>
      <c r="K241" s="142" t="str">
        <f>IF(ISNONTEXT(node_raw[[#This Row],[Column8]]), "", node_raw[[#This Row],[Column8]]/100)</f>
        <v/>
      </c>
      <c r="L241" s="143" t="str">
        <f>IF(ISNONTEXT(node_raw[[#This Row],[Column9]]), "", node_raw[[#This Row],[Column9]]/1)</f>
        <v/>
      </c>
      <c r="M241" s="144" t="str">
        <f>IF(ISNONTEXT(node_raw[[#This Row],[Column10]]), "", node_raw[[#This Row],[Column10]]/1)</f>
        <v/>
      </c>
    </row>
    <row r="242" spans="2:13" ht="15.75" customHeight="1" x14ac:dyDescent="0.25">
      <c r="B242" s="30" t="str">
        <f>IF(ISNONTEXT(node_raw[[#This Row],[Column1]]), "", node_raw[[#This Row],[Column1]])</f>
        <v/>
      </c>
      <c r="C242" s="27" t="str">
        <f>IF(ISNONTEXT(node_raw[[#This Row],[Column2]]), "", node_raw[[#This Row],[Column2]])</f>
        <v/>
      </c>
      <c r="D242" s="54" t="str">
        <f>IF(ISNUMBER(node_raw[[#This Row],[Column3]]), node_raw[[#This Row],[Column3]],"")</f>
        <v/>
      </c>
      <c r="E242" s="57" t="str">
        <f>IF(ISNUMBER(node_raw[[#This Row],[Column4]]), node_raw[[#This Row],[Column4]]/1048576,"")</f>
        <v/>
      </c>
      <c r="F242" s="139" t="str">
        <f>IF(ISNUMBER(node_raw[[#This Row],[Column5]]), node_raw[[#This Row],[Column5]],"")</f>
        <v/>
      </c>
      <c r="G242" s="153" t="str">
        <f t="shared" si="6"/>
        <v/>
      </c>
      <c r="H242" s="140" t="str">
        <f>IF(ISNUMBER(node_raw[[#This Row],[Column6]]), node_raw[[#This Row],[Column6]]/1048576,"")</f>
        <v/>
      </c>
      <c r="I242" s="157" t="str">
        <f t="shared" si="7"/>
        <v/>
      </c>
      <c r="J242" s="141" t="str">
        <f>IF(ISNONTEXT(node_raw[[#This Row],[Column7]]), "", node_raw[[#This Row],[Column7]]/100)</f>
        <v/>
      </c>
      <c r="K242" s="142" t="str">
        <f>IF(ISNONTEXT(node_raw[[#This Row],[Column8]]), "", node_raw[[#This Row],[Column8]]/100)</f>
        <v/>
      </c>
      <c r="L242" s="143" t="str">
        <f>IF(ISNONTEXT(node_raw[[#This Row],[Column9]]), "", node_raw[[#This Row],[Column9]]/1)</f>
        <v/>
      </c>
      <c r="M242" s="144" t="str">
        <f>IF(ISNONTEXT(node_raw[[#This Row],[Column10]]), "", node_raw[[#This Row],[Column10]]/1)</f>
        <v/>
      </c>
    </row>
    <row r="243" spans="2:13" ht="15.75" customHeight="1" x14ac:dyDescent="0.25">
      <c r="B243" s="30" t="str">
        <f>IF(ISNONTEXT(node_raw[[#This Row],[Column1]]), "", node_raw[[#This Row],[Column1]])</f>
        <v/>
      </c>
      <c r="C243" s="27" t="str">
        <f>IF(ISNONTEXT(node_raw[[#This Row],[Column2]]), "", node_raw[[#This Row],[Column2]])</f>
        <v/>
      </c>
      <c r="D243" s="54" t="str">
        <f>IF(ISNUMBER(node_raw[[#This Row],[Column3]]), node_raw[[#This Row],[Column3]],"")</f>
        <v/>
      </c>
      <c r="E243" s="57" t="str">
        <f>IF(ISNUMBER(node_raw[[#This Row],[Column4]]), node_raw[[#This Row],[Column4]]/1048576,"")</f>
        <v/>
      </c>
      <c r="F243" s="139" t="str">
        <f>IF(ISNUMBER(node_raw[[#This Row],[Column5]]), node_raw[[#This Row],[Column5]],"")</f>
        <v/>
      </c>
      <c r="G243" s="153" t="str">
        <f t="shared" si="6"/>
        <v/>
      </c>
      <c r="H243" s="140" t="str">
        <f>IF(ISNUMBER(node_raw[[#This Row],[Column6]]), node_raw[[#This Row],[Column6]]/1048576,"")</f>
        <v/>
      </c>
      <c r="I243" s="157" t="str">
        <f t="shared" si="7"/>
        <v/>
      </c>
      <c r="J243" s="141" t="str">
        <f>IF(ISNONTEXT(node_raw[[#This Row],[Column7]]), "", node_raw[[#This Row],[Column7]]/100)</f>
        <v/>
      </c>
      <c r="K243" s="142" t="str">
        <f>IF(ISNONTEXT(node_raw[[#This Row],[Column8]]), "", node_raw[[#This Row],[Column8]]/100)</f>
        <v/>
      </c>
      <c r="L243" s="143" t="str">
        <f>IF(ISNONTEXT(node_raw[[#This Row],[Column9]]), "", node_raw[[#This Row],[Column9]]/1)</f>
        <v/>
      </c>
      <c r="M243" s="144" t="str">
        <f>IF(ISNONTEXT(node_raw[[#This Row],[Column10]]), "", node_raw[[#This Row],[Column10]]/1)</f>
        <v/>
      </c>
    </row>
    <row r="244" spans="2:13" ht="15.75" customHeight="1" x14ac:dyDescent="0.25">
      <c r="B244" s="30" t="str">
        <f>IF(ISNONTEXT(node_raw[[#This Row],[Column1]]), "", node_raw[[#This Row],[Column1]])</f>
        <v/>
      </c>
      <c r="C244" s="27" t="str">
        <f>IF(ISNONTEXT(node_raw[[#This Row],[Column2]]), "", node_raw[[#This Row],[Column2]])</f>
        <v/>
      </c>
      <c r="D244" s="54" t="str">
        <f>IF(ISNUMBER(node_raw[[#This Row],[Column3]]), node_raw[[#This Row],[Column3]],"")</f>
        <v/>
      </c>
      <c r="E244" s="57" t="str">
        <f>IF(ISNUMBER(node_raw[[#This Row],[Column4]]), node_raw[[#This Row],[Column4]]/1048576,"")</f>
        <v/>
      </c>
      <c r="F244" s="139" t="str">
        <f>IF(ISNUMBER(node_raw[[#This Row],[Column5]]), node_raw[[#This Row],[Column5]],"")</f>
        <v/>
      </c>
      <c r="G244" s="153" t="str">
        <f t="shared" si="6"/>
        <v/>
      </c>
      <c r="H244" s="140" t="str">
        <f>IF(ISNUMBER(node_raw[[#This Row],[Column6]]), node_raw[[#This Row],[Column6]]/1048576,"")</f>
        <v/>
      </c>
      <c r="I244" s="157" t="str">
        <f t="shared" si="7"/>
        <v/>
      </c>
      <c r="J244" s="141" t="str">
        <f>IF(ISNONTEXT(node_raw[[#This Row],[Column7]]), "", node_raw[[#This Row],[Column7]]/100)</f>
        <v/>
      </c>
      <c r="K244" s="142" t="str">
        <f>IF(ISNONTEXT(node_raw[[#This Row],[Column8]]), "", node_raw[[#This Row],[Column8]]/100)</f>
        <v/>
      </c>
      <c r="L244" s="143" t="str">
        <f>IF(ISNONTEXT(node_raw[[#This Row],[Column9]]), "", node_raw[[#This Row],[Column9]]/1)</f>
        <v/>
      </c>
      <c r="M244" s="144" t="str">
        <f>IF(ISNONTEXT(node_raw[[#This Row],[Column10]]), "", node_raw[[#This Row],[Column10]]/1)</f>
        <v/>
      </c>
    </row>
    <row r="245" spans="2:13" ht="15.75" customHeight="1" x14ac:dyDescent="0.25">
      <c r="B245" s="30" t="str">
        <f>IF(ISNONTEXT(node_raw[[#This Row],[Column1]]), "", node_raw[[#This Row],[Column1]])</f>
        <v/>
      </c>
      <c r="C245" s="27" t="str">
        <f>IF(ISNONTEXT(node_raw[[#This Row],[Column2]]), "", node_raw[[#This Row],[Column2]])</f>
        <v/>
      </c>
      <c r="D245" s="54" t="str">
        <f>IF(ISNUMBER(node_raw[[#This Row],[Column3]]), node_raw[[#This Row],[Column3]],"")</f>
        <v/>
      </c>
      <c r="E245" s="57" t="str">
        <f>IF(ISNUMBER(node_raw[[#This Row],[Column4]]), node_raw[[#This Row],[Column4]]/1048576,"")</f>
        <v/>
      </c>
      <c r="F245" s="139" t="str">
        <f>IF(ISNUMBER(node_raw[[#This Row],[Column5]]), node_raw[[#This Row],[Column5]],"")</f>
        <v/>
      </c>
      <c r="G245" s="153" t="str">
        <f t="shared" si="6"/>
        <v/>
      </c>
      <c r="H245" s="140" t="str">
        <f>IF(ISNUMBER(node_raw[[#This Row],[Column6]]), node_raw[[#This Row],[Column6]]/1048576,"")</f>
        <v/>
      </c>
      <c r="I245" s="157" t="str">
        <f t="shared" si="7"/>
        <v/>
      </c>
      <c r="J245" s="141" t="str">
        <f>IF(ISNONTEXT(node_raw[[#This Row],[Column7]]), "", node_raw[[#This Row],[Column7]]/100)</f>
        <v/>
      </c>
      <c r="K245" s="142" t="str">
        <f>IF(ISNONTEXT(node_raw[[#This Row],[Column8]]), "", node_raw[[#This Row],[Column8]]/100)</f>
        <v/>
      </c>
      <c r="L245" s="143" t="str">
        <f>IF(ISNONTEXT(node_raw[[#This Row],[Column9]]), "", node_raw[[#This Row],[Column9]]/1)</f>
        <v/>
      </c>
      <c r="M245" s="144" t="str">
        <f>IF(ISNONTEXT(node_raw[[#This Row],[Column10]]), "", node_raw[[#This Row],[Column10]]/1)</f>
        <v/>
      </c>
    </row>
    <row r="246" spans="2:13" ht="15.75" customHeight="1" x14ac:dyDescent="0.25">
      <c r="B246" s="30" t="str">
        <f>IF(ISNONTEXT(node_raw[[#This Row],[Column1]]), "", node_raw[[#This Row],[Column1]])</f>
        <v/>
      </c>
      <c r="C246" s="27" t="str">
        <f>IF(ISNONTEXT(node_raw[[#This Row],[Column2]]), "", node_raw[[#This Row],[Column2]])</f>
        <v/>
      </c>
      <c r="D246" s="54" t="str">
        <f>IF(ISNUMBER(node_raw[[#This Row],[Column3]]), node_raw[[#This Row],[Column3]],"")</f>
        <v/>
      </c>
      <c r="E246" s="57" t="str">
        <f>IF(ISNUMBER(node_raw[[#This Row],[Column4]]), node_raw[[#This Row],[Column4]]/1048576,"")</f>
        <v/>
      </c>
      <c r="F246" s="139" t="str">
        <f>IF(ISNUMBER(node_raw[[#This Row],[Column5]]), node_raw[[#This Row],[Column5]],"")</f>
        <v/>
      </c>
      <c r="G246" s="153" t="str">
        <f t="shared" si="6"/>
        <v/>
      </c>
      <c r="H246" s="140" t="str">
        <f>IF(ISNUMBER(node_raw[[#This Row],[Column6]]), node_raw[[#This Row],[Column6]]/1048576,"")</f>
        <v/>
      </c>
      <c r="I246" s="157" t="str">
        <f t="shared" si="7"/>
        <v/>
      </c>
      <c r="J246" s="141" t="str">
        <f>IF(ISNONTEXT(node_raw[[#This Row],[Column7]]), "", node_raw[[#This Row],[Column7]]/100)</f>
        <v/>
      </c>
      <c r="K246" s="142" t="str">
        <f>IF(ISNONTEXT(node_raw[[#This Row],[Column8]]), "", node_raw[[#This Row],[Column8]]/100)</f>
        <v/>
      </c>
      <c r="L246" s="143" t="str">
        <f>IF(ISNONTEXT(node_raw[[#This Row],[Column9]]), "", node_raw[[#This Row],[Column9]]/1)</f>
        <v/>
      </c>
      <c r="M246" s="144" t="str">
        <f>IF(ISNONTEXT(node_raw[[#This Row],[Column10]]), "", node_raw[[#This Row],[Column10]]/1)</f>
        <v/>
      </c>
    </row>
    <row r="247" spans="2:13" ht="15.75" customHeight="1" x14ac:dyDescent="0.25">
      <c r="B247" s="30" t="str">
        <f>IF(ISNONTEXT(node_raw[[#This Row],[Column1]]), "", node_raw[[#This Row],[Column1]])</f>
        <v/>
      </c>
      <c r="C247" s="27" t="str">
        <f>IF(ISNONTEXT(node_raw[[#This Row],[Column2]]), "", node_raw[[#This Row],[Column2]])</f>
        <v/>
      </c>
      <c r="D247" s="54" t="str">
        <f>IF(ISNUMBER(node_raw[[#This Row],[Column3]]), node_raw[[#This Row],[Column3]],"")</f>
        <v/>
      </c>
      <c r="E247" s="57" t="str">
        <f>IF(ISNUMBER(node_raw[[#This Row],[Column4]]), node_raw[[#This Row],[Column4]]/1048576,"")</f>
        <v/>
      </c>
      <c r="F247" s="139" t="str">
        <f>IF(ISNUMBER(node_raw[[#This Row],[Column5]]), node_raw[[#This Row],[Column5]],"")</f>
        <v/>
      </c>
      <c r="G247" s="153" t="str">
        <f t="shared" si="6"/>
        <v/>
      </c>
      <c r="H247" s="140" t="str">
        <f>IF(ISNUMBER(node_raw[[#This Row],[Column6]]), node_raw[[#This Row],[Column6]]/1048576,"")</f>
        <v/>
      </c>
      <c r="I247" s="157" t="str">
        <f t="shared" si="7"/>
        <v/>
      </c>
      <c r="J247" s="141" t="str">
        <f>IF(ISNONTEXT(node_raw[[#This Row],[Column7]]), "", node_raw[[#This Row],[Column7]]/100)</f>
        <v/>
      </c>
      <c r="K247" s="142" t="str">
        <f>IF(ISNONTEXT(node_raw[[#This Row],[Column8]]), "", node_raw[[#This Row],[Column8]]/100)</f>
        <v/>
      </c>
      <c r="L247" s="143" t="str">
        <f>IF(ISNONTEXT(node_raw[[#This Row],[Column9]]), "", node_raw[[#This Row],[Column9]]/1)</f>
        <v/>
      </c>
      <c r="M247" s="144" t="str">
        <f>IF(ISNONTEXT(node_raw[[#This Row],[Column10]]), "", node_raw[[#This Row],[Column10]]/1)</f>
        <v/>
      </c>
    </row>
    <row r="248" spans="2:13" ht="15.75" customHeight="1" x14ac:dyDescent="0.25">
      <c r="B248" s="30" t="str">
        <f>IF(ISNONTEXT(node_raw[[#This Row],[Column1]]), "", node_raw[[#This Row],[Column1]])</f>
        <v/>
      </c>
      <c r="C248" s="27" t="str">
        <f>IF(ISNONTEXT(node_raw[[#This Row],[Column2]]), "", node_raw[[#This Row],[Column2]])</f>
        <v/>
      </c>
      <c r="D248" s="54" t="str">
        <f>IF(ISNUMBER(node_raw[[#This Row],[Column3]]), node_raw[[#This Row],[Column3]],"")</f>
        <v/>
      </c>
      <c r="E248" s="57" t="str">
        <f>IF(ISNUMBER(node_raw[[#This Row],[Column4]]), node_raw[[#This Row],[Column4]]/1048576,"")</f>
        <v/>
      </c>
      <c r="F248" s="139" t="str">
        <f>IF(ISNUMBER(node_raw[[#This Row],[Column5]]), node_raw[[#This Row],[Column5]],"")</f>
        <v/>
      </c>
      <c r="G248" s="153" t="str">
        <f t="shared" si="6"/>
        <v/>
      </c>
      <c r="H248" s="140" t="str">
        <f>IF(ISNUMBER(node_raw[[#This Row],[Column6]]), node_raw[[#This Row],[Column6]]/1048576,"")</f>
        <v/>
      </c>
      <c r="I248" s="157" t="str">
        <f t="shared" si="7"/>
        <v/>
      </c>
      <c r="J248" s="141" t="str">
        <f>IF(ISNONTEXT(node_raw[[#This Row],[Column7]]), "", node_raw[[#This Row],[Column7]]/100)</f>
        <v/>
      </c>
      <c r="K248" s="142" t="str">
        <f>IF(ISNONTEXT(node_raw[[#This Row],[Column8]]), "", node_raw[[#This Row],[Column8]]/100)</f>
        <v/>
      </c>
      <c r="L248" s="143" t="str">
        <f>IF(ISNONTEXT(node_raw[[#This Row],[Column9]]), "", node_raw[[#This Row],[Column9]]/1)</f>
        <v/>
      </c>
      <c r="M248" s="144" t="str">
        <f>IF(ISNONTEXT(node_raw[[#This Row],[Column10]]), "", node_raw[[#This Row],[Column10]]/1)</f>
        <v/>
      </c>
    </row>
    <row r="249" spans="2:13" ht="15.75" customHeight="1" x14ac:dyDescent="0.25">
      <c r="B249" s="30" t="str">
        <f>IF(ISNONTEXT(node_raw[[#This Row],[Column1]]), "", node_raw[[#This Row],[Column1]])</f>
        <v/>
      </c>
      <c r="C249" s="27" t="str">
        <f>IF(ISNONTEXT(node_raw[[#This Row],[Column2]]), "", node_raw[[#This Row],[Column2]])</f>
        <v/>
      </c>
      <c r="D249" s="54" t="str">
        <f>IF(ISNUMBER(node_raw[[#This Row],[Column3]]), node_raw[[#This Row],[Column3]],"")</f>
        <v/>
      </c>
      <c r="E249" s="57" t="str">
        <f>IF(ISNUMBER(node_raw[[#This Row],[Column4]]), node_raw[[#This Row],[Column4]]/1048576,"")</f>
        <v/>
      </c>
      <c r="F249" s="139" t="str">
        <f>IF(ISNUMBER(node_raw[[#This Row],[Column5]]), node_raw[[#This Row],[Column5]],"")</f>
        <v/>
      </c>
      <c r="G249" s="153" t="str">
        <f t="shared" si="6"/>
        <v/>
      </c>
      <c r="H249" s="140" t="str">
        <f>IF(ISNUMBER(node_raw[[#This Row],[Column6]]), node_raw[[#This Row],[Column6]]/1048576,"")</f>
        <v/>
      </c>
      <c r="I249" s="157" t="str">
        <f t="shared" si="7"/>
        <v/>
      </c>
      <c r="J249" s="141" t="str">
        <f>IF(ISNONTEXT(node_raw[[#This Row],[Column7]]), "", node_raw[[#This Row],[Column7]]/100)</f>
        <v/>
      </c>
      <c r="K249" s="142" t="str">
        <f>IF(ISNONTEXT(node_raw[[#This Row],[Column8]]), "", node_raw[[#This Row],[Column8]]/100)</f>
        <v/>
      </c>
      <c r="L249" s="143" t="str">
        <f>IF(ISNONTEXT(node_raw[[#This Row],[Column9]]), "", node_raw[[#This Row],[Column9]]/1)</f>
        <v/>
      </c>
      <c r="M249" s="144" t="str">
        <f>IF(ISNONTEXT(node_raw[[#This Row],[Column10]]), "", node_raw[[#This Row],[Column10]]/1)</f>
        <v/>
      </c>
    </row>
    <row r="250" spans="2:13" ht="15.75" customHeight="1" x14ac:dyDescent="0.25">
      <c r="B250" s="30" t="str">
        <f>IF(ISNONTEXT(node_raw[[#This Row],[Column1]]), "", node_raw[[#This Row],[Column1]])</f>
        <v/>
      </c>
      <c r="C250" s="27" t="str">
        <f>IF(ISNONTEXT(node_raw[[#This Row],[Column2]]), "", node_raw[[#This Row],[Column2]])</f>
        <v/>
      </c>
      <c r="D250" s="54" t="str">
        <f>IF(ISNUMBER(node_raw[[#This Row],[Column3]]), node_raw[[#This Row],[Column3]],"")</f>
        <v/>
      </c>
      <c r="E250" s="57" t="str">
        <f>IF(ISNUMBER(node_raw[[#This Row],[Column4]]), node_raw[[#This Row],[Column4]]/1048576,"")</f>
        <v/>
      </c>
      <c r="F250" s="139" t="str">
        <f>IF(ISNUMBER(node_raw[[#This Row],[Column5]]), node_raw[[#This Row],[Column5]],"")</f>
        <v/>
      </c>
      <c r="G250" s="153" t="str">
        <f t="shared" si="6"/>
        <v/>
      </c>
      <c r="H250" s="140" t="str">
        <f>IF(ISNUMBER(node_raw[[#This Row],[Column6]]), node_raw[[#This Row],[Column6]]/1048576,"")</f>
        <v/>
      </c>
      <c r="I250" s="157" t="str">
        <f t="shared" si="7"/>
        <v/>
      </c>
      <c r="J250" s="141" t="str">
        <f>IF(ISNONTEXT(node_raw[[#This Row],[Column7]]), "", node_raw[[#This Row],[Column7]]/100)</f>
        <v/>
      </c>
      <c r="K250" s="142" t="str">
        <f>IF(ISNONTEXT(node_raw[[#This Row],[Column8]]), "", node_raw[[#This Row],[Column8]]/100)</f>
        <v/>
      </c>
      <c r="L250" s="143" t="str">
        <f>IF(ISNONTEXT(node_raw[[#This Row],[Column9]]), "", node_raw[[#This Row],[Column9]]/1)</f>
        <v/>
      </c>
      <c r="M250" s="144" t="str">
        <f>IF(ISNONTEXT(node_raw[[#This Row],[Column10]]), "", node_raw[[#This Row],[Column10]]/1)</f>
        <v/>
      </c>
    </row>
    <row r="251" spans="2:13" ht="15.75" customHeight="1" x14ac:dyDescent="0.25">
      <c r="B251" s="30" t="str">
        <f>IF(ISNONTEXT(node_raw[[#This Row],[Column1]]), "", node_raw[[#This Row],[Column1]])</f>
        <v/>
      </c>
      <c r="C251" s="27" t="str">
        <f>IF(ISNONTEXT(node_raw[[#This Row],[Column2]]), "", node_raw[[#This Row],[Column2]])</f>
        <v/>
      </c>
      <c r="D251" s="54" t="str">
        <f>IF(ISNUMBER(node_raw[[#This Row],[Column3]]), node_raw[[#This Row],[Column3]],"")</f>
        <v/>
      </c>
      <c r="E251" s="57" t="str">
        <f>IF(ISNUMBER(node_raw[[#This Row],[Column4]]), node_raw[[#This Row],[Column4]]/1048576,"")</f>
        <v/>
      </c>
      <c r="F251" s="139" t="str">
        <f>IF(ISNUMBER(node_raw[[#This Row],[Column5]]), node_raw[[#This Row],[Column5]],"")</f>
        <v/>
      </c>
      <c r="G251" s="153" t="str">
        <f t="shared" si="6"/>
        <v/>
      </c>
      <c r="H251" s="140" t="str">
        <f>IF(ISNUMBER(node_raw[[#This Row],[Column6]]), node_raw[[#This Row],[Column6]]/1048576,"")</f>
        <v/>
      </c>
      <c r="I251" s="157" t="str">
        <f t="shared" si="7"/>
        <v/>
      </c>
      <c r="J251" s="141" t="str">
        <f>IF(ISNONTEXT(node_raw[[#This Row],[Column7]]), "", node_raw[[#This Row],[Column7]]/100)</f>
        <v/>
      </c>
      <c r="K251" s="142" t="str">
        <f>IF(ISNONTEXT(node_raw[[#This Row],[Column8]]), "", node_raw[[#This Row],[Column8]]/100)</f>
        <v/>
      </c>
      <c r="L251" s="143" t="str">
        <f>IF(ISNONTEXT(node_raw[[#This Row],[Column9]]), "", node_raw[[#This Row],[Column9]]/1)</f>
        <v/>
      </c>
      <c r="M251" s="144" t="str">
        <f>IF(ISNONTEXT(node_raw[[#This Row],[Column10]]), "", node_raw[[#This Row],[Column10]]/1)</f>
        <v/>
      </c>
    </row>
    <row r="252" spans="2:13" ht="15.75" customHeight="1" x14ac:dyDescent="0.25">
      <c r="B252" s="30" t="str">
        <f>IF(ISNONTEXT(node_raw[[#This Row],[Column1]]), "", node_raw[[#This Row],[Column1]])</f>
        <v/>
      </c>
      <c r="C252" s="27" t="str">
        <f>IF(ISNONTEXT(node_raw[[#This Row],[Column2]]), "", node_raw[[#This Row],[Column2]])</f>
        <v/>
      </c>
      <c r="D252" s="54" t="str">
        <f>IF(ISNUMBER(node_raw[[#This Row],[Column3]]), node_raw[[#This Row],[Column3]],"")</f>
        <v/>
      </c>
      <c r="E252" s="57" t="str">
        <f>IF(ISNUMBER(node_raw[[#This Row],[Column4]]), node_raw[[#This Row],[Column4]]/1048576,"")</f>
        <v/>
      </c>
      <c r="F252" s="139" t="str">
        <f>IF(ISNUMBER(node_raw[[#This Row],[Column5]]), node_raw[[#This Row],[Column5]],"")</f>
        <v/>
      </c>
      <c r="G252" s="153" t="str">
        <f t="shared" si="6"/>
        <v/>
      </c>
      <c r="H252" s="140" t="str">
        <f>IF(ISNUMBER(node_raw[[#This Row],[Column6]]), node_raw[[#This Row],[Column6]]/1048576,"")</f>
        <v/>
      </c>
      <c r="I252" s="157" t="str">
        <f t="shared" si="7"/>
        <v/>
      </c>
      <c r="J252" s="141" t="str">
        <f>IF(ISNONTEXT(node_raw[[#This Row],[Column7]]), "", node_raw[[#This Row],[Column7]]/100)</f>
        <v/>
      </c>
      <c r="K252" s="142" t="str">
        <f>IF(ISNONTEXT(node_raw[[#This Row],[Column8]]), "", node_raw[[#This Row],[Column8]]/100)</f>
        <v/>
      </c>
      <c r="L252" s="143" t="str">
        <f>IF(ISNONTEXT(node_raw[[#This Row],[Column9]]), "", node_raw[[#This Row],[Column9]]/1)</f>
        <v/>
      </c>
      <c r="M252" s="144" t="str">
        <f>IF(ISNONTEXT(node_raw[[#This Row],[Column10]]), "", node_raw[[#This Row],[Column10]]/1)</f>
        <v/>
      </c>
    </row>
    <row r="253" spans="2:13" ht="15.75" customHeight="1" x14ac:dyDescent="0.25">
      <c r="B253" s="30" t="str">
        <f>IF(ISNONTEXT(node_raw[[#This Row],[Column1]]), "", node_raw[[#This Row],[Column1]])</f>
        <v/>
      </c>
      <c r="C253" s="27" t="str">
        <f>IF(ISNONTEXT(node_raw[[#This Row],[Column2]]), "", node_raw[[#This Row],[Column2]])</f>
        <v/>
      </c>
      <c r="D253" s="54" t="str">
        <f>IF(ISNUMBER(node_raw[[#This Row],[Column3]]), node_raw[[#This Row],[Column3]],"")</f>
        <v/>
      </c>
      <c r="E253" s="57" t="str">
        <f>IF(ISNUMBER(node_raw[[#This Row],[Column4]]), node_raw[[#This Row],[Column4]]/1048576,"")</f>
        <v/>
      </c>
      <c r="F253" s="139" t="str">
        <f>IF(ISNUMBER(node_raw[[#This Row],[Column5]]), node_raw[[#This Row],[Column5]],"")</f>
        <v/>
      </c>
      <c r="G253" s="153" t="str">
        <f t="shared" si="6"/>
        <v/>
      </c>
      <c r="H253" s="140" t="str">
        <f>IF(ISNUMBER(node_raw[[#This Row],[Column6]]), node_raw[[#This Row],[Column6]]/1048576,"")</f>
        <v/>
      </c>
      <c r="I253" s="157" t="str">
        <f t="shared" si="7"/>
        <v/>
      </c>
      <c r="J253" s="141" t="str">
        <f>IF(ISNONTEXT(node_raw[[#This Row],[Column7]]), "", node_raw[[#This Row],[Column7]]/100)</f>
        <v/>
      </c>
      <c r="K253" s="142" t="str">
        <f>IF(ISNONTEXT(node_raw[[#This Row],[Column8]]), "", node_raw[[#This Row],[Column8]]/100)</f>
        <v/>
      </c>
      <c r="L253" s="143" t="str">
        <f>IF(ISNONTEXT(node_raw[[#This Row],[Column9]]), "", node_raw[[#This Row],[Column9]]/1)</f>
        <v/>
      </c>
      <c r="M253" s="144" t="str">
        <f>IF(ISNONTEXT(node_raw[[#This Row],[Column10]]), "", node_raw[[#This Row],[Column10]]/1)</f>
        <v/>
      </c>
    </row>
    <row r="254" spans="2:13" ht="15.75" customHeight="1" x14ac:dyDescent="0.25">
      <c r="B254" s="30" t="str">
        <f>IF(ISNONTEXT(node_raw[[#This Row],[Column1]]), "", node_raw[[#This Row],[Column1]])</f>
        <v/>
      </c>
      <c r="C254" s="27" t="str">
        <f>IF(ISNONTEXT(node_raw[[#This Row],[Column2]]), "", node_raw[[#This Row],[Column2]])</f>
        <v/>
      </c>
      <c r="D254" s="54" t="str">
        <f>IF(ISNUMBER(node_raw[[#This Row],[Column3]]), node_raw[[#This Row],[Column3]],"")</f>
        <v/>
      </c>
      <c r="E254" s="57" t="str">
        <f>IF(ISNUMBER(node_raw[[#This Row],[Column4]]), node_raw[[#This Row],[Column4]]/1048576,"")</f>
        <v/>
      </c>
      <c r="F254" s="139" t="str">
        <f>IF(ISNUMBER(node_raw[[#This Row],[Column5]]), node_raw[[#This Row],[Column5]],"")</f>
        <v/>
      </c>
      <c r="G254" s="153" t="str">
        <f t="shared" si="6"/>
        <v/>
      </c>
      <c r="H254" s="140" t="str">
        <f>IF(ISNUMBER(node_raw[[#This Row],[Column6]]), node_raw[[#This Row],[Column6]]/1048576,"")</f>
        <v/>
      </c>
      <c r="I254" s="157" t="str">
        <f t="shared" si="7"/>
        <v/>
      </c>
      <c r="J254" s="141" t="str">
        <f>IF(ISNONTEXT(node_raw[[#This Row],[Column7]]), "", node_raw[[#This Row],[Column7]]/100)</f>
        <v/>
      </c>
      <c r="K254" s="142" t="str">
        <f>IF(ISNONTEXT(node_raw[[#This Row],[Column8]]), "", node_raw[[#This Row],[Column8]]/100)</f>
        <v/>
      </c>
      <c r="L254" s="143" t="str">
        <f>IF(ISNONTEXT(node_raw[[#This Row],[Column9]]), "", node_raw[[#This Row],[Column9]]/1)</f>
        <v/>
      </c>
      <c r="M254" s="144" t="str">
        <f>IF(ISNONTEXT(node_raw[[#This Row],[Column10]]), "", node_raw[[#This Row],[Column10]]/1)</f>
        <v/>
      </c>
    </row>
    <row r="255" spans="2:13" ht="15.75" customHeight="1" x14ac:dyDescent="0.25">
      <c r="B255" s="30" t="str">
        <f>IF(ISNONTEXT(node_raw[[#This Row],[Column1]]), "", node_raw[[#This Row],[Column1]])</f>
        <v/>
      </c>
      <c r="C255" s="27" t="str">
        <f>IF(ISNONTEXT(node_raw[[#This Row],[Column2]]), "", node_raw[[#This Row],[Column2]])</f>
        <v/>
      </c>
      <c r="D255" s="54" t="str">
        <f>IF(ISNUMBER(node_raw[[#This Row],[Column3]]), node_raw[[#This Row],[Column3]],"")</f>
        <v/>
      </c>
      <c r="E255" s="57" t="str">
        <f>IF(ISNUMBER(node_raw[[#This Row],[Column4]]), node_raw[[#This Row],[Column4]]/1048576,"")</f>
        <v/>
      </c>
      <c r="F255" s="139" t="str">
        <f>IF(ISNUMBER(node_raw[[#This Row],[Column5]]), node_raw[[#This Row],[Column5]],"")</f>
        <v/>
      </c>
      <c r="G255" s="153" t="str">
        <f t="shared" si="6"/>
        <v/>
      </c>
      <c r="H255" s="140" t="str">
        <f>IF(ISNUMBER(node_raw[[#This Row],[Column6]]), node_raw[[#This Row],[Column6]]/1048576,"")</f>
        <v/>
      </c>
      <c r="I255" s="157" t="str">
        <f t="shared" si="7"/>
        <v/>
      </c>
      <c r="J255" s="141" t="str">
        <f>IF(ISNONTEXT(node_raw[[#This Row],[Column7]]), "", node_raw[[#This Row],[Column7]]/100)</f>
        <v/>
      </c>
      <c r="K255" s="142" t="str">
        <f>IF(ISNONTEXT(node_raw[[#This Row],[Column8]]), "", node_raw[[#This Row],[Column8]]/100)</f>
        <v/>
      </c>
      <c r="L255" s="143" t="str">
        <f>IF(ISNONTEXT(node_raw[[#This Row],[Column9]]), "", node_raw[[#This Row],[Column9]]/1)</f>
        <v/>
      </c>
      <c r="M255" s="144" t="str">
        <f>IF(ISNONTEXT(node_raw[[#This Row],[Column10]]), "", node_raw[[#This Row],[Column10]]/1)</f>
        <v/>
      </c>
    </row>
    <row r="256" spans="2:13" ht="15.75" customHeight="1" x14ac:dyDescent="0.25">
      <c r="B256" s="30" t="str">
        <f>IF(ISNONTEXT(node_raw[[#This Row],[Column1]]), "", node_raw[[#This Row],[Column1]])</f>
        <v/>
      </c>
      <c r="C256" s="27" t="str">
        <f>IF(ISNONTEXT(node_raw[[#This Row],[Column2]]), "", node_raw[[#This Row],[Column2]])</f>
        <v/>
      </c>
      <c r="D256" s="54" t="str">
        <f>IF(ISNUMBER(node_raw[[#This Row],[Column3]]), node_raw[[#This Row],[Column3]],"")</f>
        <v/>
      </c>
      <c r="E256" s="57" t="str">
        <f>IF(ISNUMBER(node_raw[[#This Row],[Column4]]), node_raw[[#This Row],[Column4]]/1048576,"")</f>
        <v/>
      </c>
      <c r="F256" s="139" t="str">
        <f>IF(ISNUMBER(node_raw[[#This Row],[Column5]]), node_raw[[#This Row],[Column5]],"")</f>
        <v/>
      </c>
      <c r="G256" s="153" t="str">
        <f t="shared" si="6"/>
        <v/>
      </c>
      <c r="H256" s="140" t="str">
        <f>IF(ISNUMBER(node_raw[[#This Row],[Column6]]), node_raw[[#This Row],[Column6]]/1048576,"")</f>
        <v/>
      </c>
      <c r="I256" s="157" t="str">
        <f t="shared" si="7"/>
        <v/>
      </c>
      <c r="J256" s="141" t="str">
        <f>IF(ISNONTEXT(node_raw[[#This Row],[Column7]]), "", node_raw[[#This Row],[Column7]]/100)</f>
        <v/>
      </c>
      <c r="K256" s="142" t="str">
        <f>IF(ISNONTEXT(node_raw[[#This Row],[Column8]]), "", node_raw[[#This Row],[Column8]]/100)</f>
        <v/>
      </c>
      <c r="L256" s="143" t="str">
        <f>IF(ISNONTEXT(node_raw[[#This Row],[Column9]]), "", node_raw[[#This Row],[Column9]]/1)</f>
        <v/>
      </c>
      <c r="M256" s="144" t="str">
        <f>IF(ISNONTEXT(node_raw[[#This Row],[Column10]]), "", node_raw[[#This Row],[Column10]]/1)</f>
        <v/>
      </c>
    </row>
    <row r="257" spans="2:13" ht="15.75" customHeight="1" x14ac:dyDescent="0.25">
      <c r="B257" s="30" t="str">
        <f>IF(ISNONTEXT(node_raw[[#This Row],[Column1]]), "", node_raw[[#This Row],[Column1]])</f>
        <v/>
      </c>
      <c r="C257" s="27" t="str">
        <f>IF(ISNONTEXT(node_raw[[#This Row],[Column2]]), "", node_raw[[#This Row],[Column2]])</f>
        <v/>
      </c>
      <c r="D257" s="54" t="str">
        <f>IF(ISNUMBER(node_raw[[#This Row],[Column3]]), node_raw[[#This Row],[Column3]],"")</f>
        <v/>
      </c>
      <c r="E257" s="57" t="str">
        <f>IF(ISNUMBER(node_raw[[#This Row],[Column4]]), node_raw[[#This Row],[Column4]]/1048576,"")</f>
        <v/>
      </c>
      <c r="F257" s="139" t="str">
        <f>IF(ISNUMBER(node_raw[[#This Row],[Column5]]), node_raw[[#This Row],[Column5]],"")</f>
        <v/>
      </c>
      <c r="G257" s="153" t="str">
        <f t="shared" si="6"/>
        <v/>
      </c>
      <c r="H257" s="140" t="str">
        <f>IF(ISNUMBER(node_raw[[#This Row],[Column6]]), node_raw[[#This Row],[Column6]]/1048576,"")</f>
        <v/>
      </c>
      <c r="I257" s="157" t="str">
        <f t="shared" si="7"/>
        <v/>
      </c>
      <c r="J257" s="141" t="str">
        <f>IF(ISNONTEXT(node_raw[[#This Row],[Column7]]), "", node_raw[[#This Row],[Column7]]/100)</f>
        <v/>
      </c>
      <c r="K257" s="142" t="str">
        <f>IF(ISNONTEXT(node_raw[[#This Row],[Column8]]), "", node_raw[[#This Row],[Column8]]/100)</f>
        <v/>
      </c>
      <c r="L257" s="143" t="str">
        <f>IF(ISNONTEXT(node_raw[[#This Row],[Column9]]), "", node_raw[[#This Row],[Column9]]/1)</f>
        <v/>
      </c>
      <c r="M257" s="144" t="str">
        <f>IF(ISNONTEXT(node_raw[[#This Row],[Column10]]), "", node_raw[[#This Row],[Column10]]/1)</f>
        <v/>
      </c>
    </row>
    <row r="258" spans="2:13" ht="15.75" customHeight="1" x14ac:dyDescent="0.25">
      <c r="B258" s="30" t="str">
        <f>IF(ISNONTEXT(node_raw[[#This Row],[Column1]]), "", node_raw[[#This Row],[Column1]])</f>
        <v/>
      </c>
      <c r="C258" s="27" t="str">
        <f>IF(ISNONTEXT(node_raw[[#This Row],[Column2]]), "", node_raw[[#This Row],[Column2]])</f>
        <v/>
      </c>
      <c r="D258" s="54" t="str">
        <f>IF(ISNUMBER(node_raw[[#This Row],[Column3]]), node_raw[[#This Row],[Column3]],"")</f>
        <v/>
      </c>
      <c r="E258" s="57" t="str">
        <f>IF(ISNUMBER(node_raw[[#This Row],[Column4]]), node_raw[[#This Row],[Column4]]/1048576,"")</f>
        <v/>
      </c>
      <c r="F258" s="139" t="str">
        <f>IF(ISNUMBER(node_raw[[#This Row],[Column5]]), node_raw[[#This Row],[Column5]],"")</f>
        <v/>
      </c>
      <c r="G258" s="153" t="str">
        <f t="shared" si="6"/>
        <v/>
      </c>
      <c r="H258" s="140" t="str">
        <f>IF(ISNUMBER(node_raw[[#This Row],[Column6]]), node_raw[[#This Row],[Column6]]/1048576,"")</f>
        <v/>
      </c>
      <c r="I258" s="157" t="str">
        <f t="shared" si="7"/>
        <v/>
      </c>
      <c r="J258" s="141" t="str">
        <f>IF(ISNONTEXT(node_raw[[#This Row],[Column7]]), "", node_raw[[#This Row],[Column7]]/100)</f>
        <v/>
      </c>
      <c r="K258" s="142" t="str">
        <f>IF(ISNONTEXT(node_raw[[#This Row],[Column8]]), "", node_raw[[#This Row],[Column8]]/100)</f>
        <v/>
      </c>
      <c r="L258" s="143" t="str">
        <f>IF(ISNONTEXT(node_raw[[#This Row],[Column9]]), "", node_raw[[#This Row],[Column9]]/1)</f>
        <v/>
      </c>
      <c r="M258" s="144" t="str">
        <f>IF(ISNONTEXT(node_raw[[#This Row],[Column10]]), "", node_raw[[#This Row],[Column10]]/1)</f>
        <v/>
      </c>
    </row>
    <row r="259" spans="2:13" ht="15.75" customHeight="1" x14ac:dyDescent="0.25">
      <c r="B259" s="30" t="str">
        <f>IF(ISNONTEXT(node_raw[[#This Row],[Column1]]), "", node_raw[[#This Row],[Column1]])</f>
        <v/>
      </c>
      <c r="C259" s="27" t="str">
        <f>IF(ISNONTEXT(node_raw[[#This Row],[Column2]]), "", node_raw[[#This Row],[Column2]])</f>
        <v/>
      </c>
      <c r="D259" s="54" t="str">
        <f>IF(ISNUMBER(node_raw[[#This Row],[Column3]]), node_raw[[#This Row],[Column3]],"")</f>
        <v/>
      </c>
      <c r="E259" s="57" t="str">
        <f>IF(ISNUMBER(node_raw[[#This Row],[Column4]]), node_raw[[#This Row],[Column4]]/1048576,"")</f>
        <v/>
      </c>
      <c r="F259" s="139" t="str">
        <f>IF(ISNUMBER(node_raw[[#This Row],[Column5]]), node_raw[[#This Row],[Column5]],"")</f>
        <v/>
      </c>
      <c r="G259" s="153" t="str">
        <f t="shared" ref="G259:G322" si="8">IF(ISNUMBER(F259), F259/D259, "")</f>
        <v/>
      </c>
      <c r="H259" s="140" t="str">
        <f>IF(ISNUMBER(node_raw[[#This Row],[Column6]]), node_raw[[#This Row],[Column6]]/1048576,"")</f>
        <v/>
      </c>
      <c r="I259" s="157" t="str">
        <f t="shared" ref="I259:I322" si="9">IF(ISNUMBER(H259), H259/E259, "")</f>
        <v/>
      </c>
      <c r="J259" s="141" t="str">
        <f>IF(ISNONTEXT(node_raw[[#This Row],[Column7]]), "", node_raw[[#This Row],[Column7]]/100)</f>
        <v/>
      </c>
      <c r="K259" s="142" t="str">
        <f>IF(ISNONTEXT(node_raw[[#This Row],[Column8]]), "", node_raw[[#This Row],[Column8]]/100)</f>
        <v/>
      </c>
      <c r="L259" s="143" t="str">
        <f>IF(ISNONTEXT(node_raw[[#This Row],[Column9]]), "", node_raw[[#This Row],[Column9]]/1)</f>
        <v/>
      </c>
      <c r="M259" s="144" t="str">
        <f>IF(ISNONTEXT(node_raw[[#This Row],[Column10]]), "", node_raw[[#This Row],[Column10]]/1)</f>
        <v/>
      </c>
    </row>
    <row r="260" spans="2:13" ht="15.75" customHeight="1" x14ac:dyDescent="0.25">
      <c r="B260" s="30" t="str">
        <f>IF(ISNONTEXT(node_raw[[#This Row],[Column1]]), "", node_raw[[#This Row],[Column1]])</f>
        <v/>
      </c>
      <c r="C260" s="27" t="str">
        <f>IF(ISNONTEXT(node_raw[[#This Row],[Column2]]), "", node_raw[[#This Row],[Column2]])</f>
        <v/>
      </c>
      <c r="D260" s="54" t="str">
        <f>IF(ISNUMBER(node_raw[[#This Row],[Column3]]), node_raw[[#This Row],[Column3]],"")</f>
        <v/>
      </c>
      <c r="E260" s="57" t="str">
        <f>IF(ISNUMBER(node_raw[[#This Row],[Column4]]), node_raw[[#This Row],[Column4]]/1048576,"")</f>
        <v/>
      </c>
      <c r="F260" s="139" t="str">
        <f>IF(ISNUMBER(node_raw[[#This Row],[Column5]]), node_raw[[#This Row],[Column5]],"")</f>
        <v/>
      </c>
      <c r="G260" s="153" t="str">
        <f t="shared" si="8"/>
        <v/>
      </c>
      <c r="H260" s="140" t="str">
        <f>IF(ISNUMBER(node_raw[[#This Row],[Column6]]), node_raw[[#This Row],[Column6]]/1048576,"")</f>
        <v/>
      </c>
      <c r="I260" s="157" t="str">
        <f t="shared" si="9"/>
        <v/>
      </c>
      <c r="J260" s="141" t="str">
        <f>IF(ISNONTEXT(node_raw[[#This Row],[Column7]]), "", node_raw[[#This Row],[Column7]]/100)</f>
        <v/>
      </c>
      <c r="K260" s="142" t="str">
        <f>IF(ISNONTEXT(node_raw[[#This Row],[Column8]]), "", node_raw[[#This Row],[Column8]]/100)</f>
        <v/>
      </c>
      <c r="L260" s="143" t="str">
        <f>IF(ISNONTEXT(node_raw[[#This Row],[Column9]]), "", node_raw[[#This Row],[Column9]]/1)</f>
        <v/>
      </c>
      <c r="M260" s="144" t="str">
        <f>IF(ISNONTEXT(node_raw[[#This Row],[Column10]]), "", node_raw[[#This Row],[Column10]]/1)</f>
        <v/>
      </c>
    </row>
    <row r="261" spans="2:13" ht="15.75" customHeight="1" x14ac:dyDescent="0.25">
      <c r="B261" s="30" t="str">
        <f>IF(ISNONTEXT(node_raw[[#This Row],[Column1]]), "", node_raw[[#This Row],[Column1]])</f>
        <v/>
      </c>
      <c r="C261" s="27" t="str">
        <f>IF(ISNONTEXT(node_raw[[#This Row],[Column2]]), "", node_raw[[#This Row],[Column2]])</f>
        <v/>
      </c>
      <c r="D261" s="54" t="str">
        <f>IF(ISNUMBER(node_raw[[#This Row],[Column3]]), node_raw[[#This Row],[Column3]],"")</f>
        <v/>
      </c>
      <c r="E261" s="57" t="str">
        <f>IF(ISNUMBER(node_raw[[#This Row],[Column4]]), node_raw[[#This Row],[Column4]]/1048576,"")</f>
        <v/>
      </c>
      <c r="F261" s="139" t="str">
        <f>IF(ISNUMBER(node_raw[[#This Row],[Column5]]), node_raw[[#This Row],[Column5]],"")</f>
        <v/>
      </c>
      <c r="G261" s="153" t="str">
        <f t="shared" si="8"/>
        <v/>
      </c>
      <c r="H261" s="140" t="str">
        <f>IF(ISNUMBER(node_raw[[#This Row],[Column6]]), node_raw[[#This Row],[Column6]]/1048576,"")</f>
        <v/>
      </c>
      <c r="I261" s="157" t="str">
        <f t="shared" si="9"/>
        <v/>
      </c>
      <c r="J261" s="141" t="str">
        <f>IF(ISNONTEXT(node_raw[[#This Row],[Column7]]), "", node_raw[[#This Row],[Column7]]/100)</f>
        <v/>
      </c>
      <c r="K261" s="142" t="str">
        <f>IF(ISNONTEXT(node_raw[[#This Row],[Column8]]), "", node_raw[[#This Row],[Column8]]/100)</f>
        <v/>
      </c>
      <c r="L261" s="143" t="str">
        <f>IF(ISNONTEXT(node_raw[[#This Row],[Column9]]), "", node_raw[[#This Row],[Column9]]/1)</f>
        <v/>
      </c>
      <c r="M261" s="144" t="str">
        <f>IF(ISNONTEXT(node_raw[[#This Row],[Column10]]), "", node_raw[[#This Row],[Column10]]/1)</f>
        <v/>
      </c>
    </row>
    <row r="262" spans="2:13" ht="15.75" customHeight="1" x14ac:dyDescent="0.25">
      <c r="B262" s="30" t="str">
        <f>IF(ISNONTEXT(node_raw[[#This Row],[Column1]]), "", node_raw[[#This Row],[Column1]])</f>
        <v/>
      </c>
      <c r="C262" s="27" t="str">
        <f>IF(ISNONTEXT(node_raw[[#This Row],[Column2]]), "", node_raw[[#This Row],[Column2]])</f>
        <v/>
      </c>
      <c r="D262" s="54" t="str">
        <f>IF(ISNUMBER(node_raw[[#This Row],[Column3]]), node_raw[[#This Row],[Column3]],"")</f>
        <v/>
      </c>
      <c r="E262" s="57" t="str">
        <f>IF(ISNUMBER(node_raw[[#This Row],[Column4]]), node_raw[[#This Row],[Column4]]/1048576,"")</f>
        <v/>
      </c>
      <c r="F262" s="139" t="str">
        <f>IF(ISNUMBER(node_raw[[#This Row],[Column5]]), node_raw[[#This Row],[Column5]],"")</f>
        <v/>
      </c>
      <c r="G262" s="153" t="str">
        <f t="shared" si="8"/>
        <v/>
      </c>
      <c r="H262" s="140" t="str">
        <f>IF(ISNUMBER(node_raw[[#This Row],[Column6]]), node_raw[[#This Row],[Column6]]/1048576,"")</f>
        <v/>
      </c>
      <c r="I262" s="157" t="str">
        <f t="shared" si="9"/>
        <v/>
      </c>
      <c r="J262" s="141" t="str">
        <f>IF(ISNONTEXT(node_raw[[#This Row],[Column7]]), "", node_raw[[#This Row],[Column7]]/100)</f>
        <v/>
      </c>
      <c r="K262" s="142" t="str">
        <f>IF(ISNONTEXT(node_raw[[#This Row],[Column8]]), "", node_raw[[#This Row],[Column8]]/100)</f>
        <v/>
      </c>
      <c r="L262" s="143" t="str">
        <f>IF(ISNONTEXT(node_raw[[#This Row],[Column9]]), "", node_raw[[#This Row],[Column9]]/1)</f>
        <v/>
      </c>
      <c r="M262" s="144" t="str">
        <f>IF(ISNONTEXT(node_raw[[#This Row],[Column10]]), "", node_raw[[#This Row],[Column10]]/1)</f>
        <v/>
      </c>
    </row>
    <row r="263" spans="2:13" ht="15.75" customHeight="1" x14ac:dyDescent="0.25">
      <c r="B263" s="30" t="str">
        <f>IF(ISNONTEXT(node_raw[[#This Row],[Column1]]), "", node_raw[[#This Row],[Column1]])</f>
        <v/>
      </c>
      <c r="C263" s="27" t="str">
        <f>IF(ISNONTEXT(node_raw[[#This Row],[Column2]]), "", node_raw[[#This Row],[Column2]])</f>
        <v/>
      </c>
      <c r="D263" s="54" t="str">
        <f>IF(ISNUMBER(node_raw[[#This Row],[Column3]]), node_raw[[#This Row],[Column3]],"")</f>
        <v/>
      </c>
      <c r="E263" s="57" t="str">
        <f>IF(ISNUMBER(node_raw[[#This Row],[Column4]]), node_raw[[#This Row],[Column4]]/1048576,"")</f>
        <v/>
      </c>
      <c r="F263" s="139" t="str">
        <f>IF(ISNUMBER(node_raw[[#This Row],[Column5]]), node_raw[[#This Row],[Column5]],"")</f>
        <v/>
      </c>
      <c r="G263" s="153" t="str">
        <f t="shared" si="8"/>
        <v/>
      </c>
      <c r="H263" s="140" t="str">
        <f>IF(ISNUMBER(node_raw[[#This Row],[Column6]]), node_raw[[#This Row],[Column6]]/1048576,"")</f>
        <v/>
      </c>
      <c r="I263" s="157" t="str">
        <f t="shared" si="9"/>
        <v/>
      </c>
      <c r="J263" s="141" t="str">
        <f>IF(ISNONTEXT(node_raw[[#This Row],[Column7]]), "", node_raw[[#This Row],[Column7]]/100)</f>
        <v/>
      </c>
      <c r="K263" s="142" t="str">
        <f>IF(ISNONTEXT(node_raw[[#This Row],[Column8]]), "", node_raw[[#This Row],[Column8]]/100)</f>
        <v/>
      </c>
      <c r="L263" s="143" t="str">
        <f>IF(ISNONTEXT(node_raw[[#This Row],[Column9]]), "", node_raw[[#This Row],[Column9]]/1)</f>
        <v/>
      </c>
      <c r="M263" s="144" t="str">
        <f>IF(ISNONTEXT(node_raw[[#This Row],[Column10]]), "", node_raw[[#This Row],[Column10]]/1)</f>
        <v/>
      </c>
    </row>
    <row r="264" spans="2:13" ht="15.75" customHeight="1" x14ac:dyDescent="0.25">
      <c r="B264" s="30" t="str">
        <f>IF(ISNONTEXT(node_raw[[#This Row],[Column1]]), "", node_raw[[#This Row],[Column1]])</f>
        <v/>
      </c>
      <c r="C264" s="27" t="str">
        <f>IF(ISNONTEXT(node_raw[[#This Row],[Column2]]), "", node_raw[[#This Row],[Column2]])</f>
        <v/>
      </c>
      <c r="D264" s="54" t="str">
        <f>IF(ISNUMBER(node_raw[[#This Row],[Column3]]), node_raw[[#This Row],[Column3]],"")</f>
        <v/>
      </c>
      <c r="E264" s="57" t="str">
        <f>IF(ISNUMBER(node_raw[[#This Row],[Column4]]), node_raw[[#This Row],[Column4]]/1048576,"")</f>
        <v/>
      </c>
      <c r="F264" s="139" t="str">
        <f>IF(ISNUMBER(node_raw[[#This Row],[Column5]]), node_raw[[#This Row],[Column5]],"")</f>
        <v/>
      </c>
      <c r="G264" s="153" t="str">
        <f t="shared" si="8"/>
        <v/>
      </c>
      <c r="H264" s="140" t="str">
        <f>IF(ISNUMBER(node_raw[[#This Row],[Column6]]), node_raw[[#This Row],[Column6]]/1048576,"")</f>
        <v/>
      </c>
      <c r="I264" s="157" t="str">
        <f t="shared" si="9"/>
        <v/>
      </c>
      <c r="J264" s="141" t="str">
        <f>IF(ISNONTEXT(node_raw[[#This Row],[Column7]]), "", node_raw[[#This Row],[Column7]]/100)</f>
        <v/>
      </c>
      <c r="K264" s="142" t="str">
        <f>IF(ISNONTEXT(node_raw[[#This Row],[Column8]]), "", node_raw[[#This Row],[Column8]]/100)</f>
        <v/>
      </c>
      <c r="L264" s="143" t="str">
        <f>IF(ISNONTEXT(node_raw[[#This Row],[Column9]]), "", node_raw[[#This Row],[Column9]]/1)</f>
        <v/>
      </c>
      <c r="M264" s="144" t="str">
        <f>IF(ISNONTEXT(node_raw[[#This Row],[Column10]]), "", node_raw[[#This Row],[Column10]]/1)</f>
        <v/>
      </c>
    </row>
    <row r="265" spans="2:13" ht="15.75" customHeight="1" x14ac:dyDescent="0.25">
      <c r="B265" s="30" t="str">
        <f>IF(ISNONTEXT(node_raw[[#This Row],[Column1]]), "", node_raw[[#This Row],[Column1]])</f>
        <v/>
      </c>
      <c r="C265" s="27" t="str">
        <f>IF(ISNONTEXT(node_raw[[#This Row],[Column2]]), "", node_raw[[#This Row],[Column2]])</f>
        <v/>
      </c>
      <c r="D265" s="54" t="str">
        <f>IF(ISNUMBER(node_raw[[#This Row],[Column3]]), node_raw[[#This Row],[Column3]],"")</f>
        <v/>
      </c>
      <c r="E265" s="57" t="str">
        <f>IF(ISNUMBER(node_raw[[#This Row],[Column4]]), node_raw[[#This Row],[Column4]]/1048576,"")</f>
        <v/>
      </c>
      <c r="F265" s="139" t="str">
        <f>IF(ISNUMBER(node_raw[[#This Row],[Column5]]), node_raw[[#This Row],[Column5]],"")</f>
        <v/>
      </c>
      <c r="G265" s="153" t="str">
        <f t="shared" si="8"/>
        <v/>
      </c>
      <c r="H265" s="140" t="str">
        <f>IF(ISNUMBER(node_raw[[#This Row],[Column6]]), node_raw[[#This Row],[Column6]]/1048576,"")</f>
        <v/>
      </c>
      <c r="I265" s="157" t="str">
        <f t="shared" si="9"/>
        <v/>
      </c>
      <c r="J265" s="141" t="str">
        <f>IF(ISNONTEXT(node_raw[[#This Row],[Column7]]), "", node_raw[[#This Row],[Column7]]/100)</f>
        <v/>
      </c>
      <c r="K265" s="142" t="str">
        <f>IF(ISNONTEXT(node_raw[[#This Row],[Column8]]), "", node_raw[[#This Row],[Column8]]/100)</f>
        <v/>
      </c>
      <c r="L265" s="143" t="str">
        <f>IF(ISNONTEXT(node_raw[[#This Row],[Column9]]), "", node_raw[[#This Row],[Column9]]/1)</f>
        <v/>
      </c>
      <c r="M265" s="144" t="str">
        <f>IF(ISNONTEXT(node_raw[[#This Row],[Column10]]), "", node_raw[[#This Row],[Column10]]/1)</f>
        <v/>
      </c>
    </row>
    <row r="266" spans="2:13" ht="15.75" customHeight="1" x14ac:dyDescent="0.25">
      <c r="B266" s="30" t="str">
        <f>IF(ISNONTEXT(node_raw[[#This Row],[Column1]]), "", node_raw[[#This Row],[Column1]])</f>
        <v/>
      </c>
      <c r="C266" s="27" t="str">
        <f>IF(ISNONTEXT(node_raw[[#This Row],[Column2]]), "", node_raw[[#This Row],[Column2]])</f>
        <v/>
      </c>
      <c r="D266" s="54" t="str">
        <f>IF(ISNUMBER(node_raw[[#This Row],[Column3]]), node_raw[[#This Row],[Column3]],"")</f>
        <v/>
      </c>
      <c r="E266" s="57" t="str">
        <f>IF(ISNUMBER(node_raw[[#This Row],[Column4]]), node_raw[[#This Row],[Column4]]/1048576,"")</f>
        <v/>
      </c>
      <c r="F266" s="139" t="str">
        <f>IF(ISNUMBER(node_raw[[#This Row],[Column5]]), node_raw[[#This Row],[Column5]],"")</f>
        <v/>
      </c>
      <c r="G266" s="153" t="str">
        <f t="shared" si="8"/>
        <v/>
      </c>
      <c r="H266" s="140" t="str">
        <f>IF(ISNUMBER(node_raw[[#This Row],[Column6]]), node_raw[[#This Row],[Column6]]/1048576,"")</f>
        <v/>
      </c>
      <c r="I266" s="157" t="str">
        <f t="shared" si="9"/>
        <v/>
      </c>
      <c r="J266" s="141" t="str">
        <f>IF(ISNONTEXT(node_raw[[#This Row],[Column7]]), "", node_raw[[#This Row],[Column7]]/100)</f>
        <v/>
      </c>
      <c r="K266" s="142" t="str">
        <f>IF(ISNONTEXT(node_raw[[#This Row],[Column8]]), "", node_raw[[#This Row],[Column8]]/100)</f>
        <v/>
      </c>
      <c r="L266" s="143" t="str">
        <f>IF(ISNONTEXT(node_raw[[#This Row],[Column9]]), "", node_raw[[#This Row],[Column9]]/1)</f>
        <v/>
      </c>
      <c r="M266" s="144" t="str">
        <f>IF(ISNONTEXT(node_raw[[#This Row],[Column10]]), "", node_raw[[#This Row],[Column10]]/1)</f>
        <v/>
      </c>
    </row>
    <row r="267" spans="2:13" ht="15.75" customHeight="1" x14ac:dyDescent="0.25">
      <c r="B267" s="30" t="str">
        <f>IF(ISNONTEXT(node_raw[[#This Row],[Column1]]), "", node_raw[[#This Row],[Column1]])</f>
        <v/>
      </c>
      <c r="C267" s="27" t="str">
        <f>IF(ISNONTEXT(node_raw[[#This Row],[Column2]]), "", node_raw[[#This Row],[Column2]])</f>
        <v/>
      </c>
      <c r="D267" s="54" t="str">
        <f>IF(ISNUMBER(node_raw[[#This Row],[Column3]]), node_raw[[#This Row],[Column3]],"")</f>
        <v/>
      </c>
      <c r="E267" s="57" t="str">
        <f>IF(ISNUMBER(node_raw[[#This Row],[Column4]]), node_raw[[#This Row],[Column4]]/1048576,"")</f>
        <v/>
      </c>
      <c r="F267" s="139" t="str">
        <f>IF(ISNUMBER(node_raw[[#This Row],[Column5]]), node_raw[[#This Row],[Column5]],"")</f>
        <v/>
      </c>
      <c r="G267" s="153" t="str">
        <f t="shared" si="8"/>
        <v/>
      </c>
      <c r="H267" s="140" t="str">
        <f>IF(ISNUMBER(node_raw[[#This Row],[Column6]]), node_raw[[#This Row],[Column6]]/1048576,"")</f>
        <v/>
      </c>
      <c r="I267" s="157" t="str">
        <f t="shared" si="9"/>
        <v/>
      </c>
      <c r="J267" s="141" t="str">
        <f>IF(ISNONTEXT(node_raw[[#This Row],[Column7]]), "", node_raw[[#This Row],[Column7]]/100)</f>
        <v/>
      </c>
      <c r="K267" s="142" t="str">
        <f>IF(ISNONTEXT(node_raw[[#This Row],[Column8]]), "", node_raw[[#This Row],[Column8]]/100)</f>
        <v/>
      </c>
      <c r="L267" s="143" t="str">
        <f>IF(ISNONTEXT(node_raw[[#This Row],[Column9]]), "", node_raw[[#This Row],[Column9]]/1)</f>
        <v/>
      </c>
      <c r="M267" s="144" t="str">
        <f>IF(ISNONTEXT(node_raw[[#This Row],[Column10]]), "", node_raw[[#This Row],[Column10]]/1)</f>
        <v/>
      </c>
    </row>
    <row r="268" spans="2:13" ht="15.75" customHeight="1" x14ac:dyDescent="0.25">
      <c r="B268" s="30" t="str">
        <f>IF(ISNONTEXT(node_raw[[#This Row],[Column1]]), "", node_raw[[#This Row],[Column1]])</f>
        <v/>
      </c>
      <c r="C268" s="27" t="str">
        <f>IF(ISNONTEXT(node_raw[[#This Row],[Column2]]), "", node_raw[[#This Row],[Column2]])</f>
        <v/>
      </c>
      <c r="D268" s="54" t="str">
        <f>IF(ISNUMBER(node_raw[[#This Row],[Column3]]), node_raw[[#This Row],[Column3]],"")</f>
        <v/>
      </c>
      <c r="E268" s="57" t="str">
        <f>IF(ISNUMBER(node_raw[[#This Row],[Column4]]), node_raw[[#This Row],[Column4]]/1048576,"")</f>
        <v/>
      </c>
      <c r="F268" s="139" t="str">
        <f>IF(ISNUMBER(node_raw[[#This Row],[Column5]]), node_raw[[#This Row],[Column5]],"")</f>
        <v/>
      </c>
      <c r="G268" s="153" t="str">
        <f t="shared" si="8"/>
        <v/>
      </c>
      <c r="H268" s="140" t="str">
        <f>IF(ISNUMBER(node_raw[[#This Row],[Column6]]), node_raw[[#This Row],[Column6]]/1048576,"")</f>
        <v/>
      </c>
      <c r="I268" s="157" t="str">
        <f t="shared" si="9"/>
        <v/>
      </c>
      <c r="J268" s="141" t="str">
        <f>IF(ISNONTEXT(node_raw[[#This Row],[Column7]]), "", node_raw[[#This Row],[Column7]]/100)</f>
        <v/>
      </c>
      <c r="K268" s="142" t="str">
        <f>IF(ISNONTEXT(node_raw[[#This Row],[Column8]]), "", node_raw[[#This Row],[Column8]]/100)</f>
        <v/>
      </c>
      <c r="L268" s="143" t="str">
        <f>IF(ISNONTEXT(node_raw[[#This Row],[Column9]]), "", node_raw[[#This Row],[Column9]]/1)</f>
        <v/>
      </c>
      <c r="M268" s="144" t="str">
        <f>IF(ISNONTEXT(node_raw[[#This Row],[Column10]]), "", node_raw[[#This Row],[Column10]]/1)</f>
        <v/>
      </c>
    </row>
    <row r="269" spans="2:13" ht="15.75" customHeight="1" x14ac:dyDescent="0.25">
      <c r="B269" s="30" t="str">
        <f>IF(ISNONTEXT(node_raw[[#This Row],[Column1]]), "", node_raw[[#This Row],[Column1]])</f>
        <v/>
      </c>
      <c r="C269" s="27" t="str">
        <f>IF(ISNONTEXT(node_raw[[#This Row],[Column2]]), "", node_raw[[#This Row],[Column2]])</f>
        <v/>
      </c>
      <c r="D269" s="54" t="str">
        <f>IF(ISNUMBER(node_raw[[#This Row],[Column3]]), node_raw[[#This Row],[Column3]],"")</f>
        <v/>
      </c>
      <c r="E269" s="57" t="str">
        <f>IF(ISNUMBER(node_raw[[#This Row],[Column4]]), node_raw[[#This Row],[Column4]]/1048576,"")</f>
        <v/>
      </c>
      <c r="F269" s="139" t="str">
        <f>IF(ISNUMBER(node_raw[[#This Row],[Column5]]), node_raw[[#This Row],[Column5]],"")</f>
        <v/>
      </c>
      <c r="G269" s="153" t="str">
        <f t="shared" si="8"/>
        <v/>
      </c>
      <c r="H269" s="140" t="str">
        <f>IF(ISNUMBER(node_raw[[#This Row],[Column6]]), node_raw[[#This Row],[Column6]]/1048576,"")</f>
        <v/>
      </c>
      <c r="I269" s="157" t="str">
        <f t="shared" si="9"/>
        <v/>
      </c>
      <c r="J269" s="141" t="str">
        <f>IF(ISNONTEXT(node_raw[[#This Row],[Column7]]), "", node_raw[[#This Row],[Column7]]/100)</f>
        <v/>
      </c>
      <c r="K269" s="142" t="str">
        <f>IF(ISNONTEXT(node_raw[[#This Row],[Column8]]), "", node_raw[[#This Row],[Column8]]/100)</f>
        <v/>
      </c>
      <c r="L269" s="143" t="str">
        <f>IF(ISNONTEXT(node_raw[[#This Row],[Column9]]), "", node_raw[[#This Row],[Column9]]/1)</f>
        <v/>
      </c>
      <c r="M269" s="144" t="str">
        <f>IF(ISNONTEXT(node_raw[[#This Row],[Column10]]), "", node_raw[[#This Row],[Column10]]/1)</f>
        <v/>
      </c>
    </row>
    <row r="270" spans="2:13" ht="15.75" customHeight="1" x14ac:dyDescent="0.25">
      <c r="B270" s="30" t="str">
        <f>IF(ISNONTEXT(node_raw[[#This Row],[Column1]]), "", node_raw[[#This Row],[Column1]])</f>
        <v/>
      </c>
      <c r="C270" s="27" t="str">
        <f>IF(ISNONTEXT(node_raw[[#This Row],[Column2]]), "", node_raw[[#This Row],[Column2]])</f>
        <v/>
      </c>
      <c r="D270" s="54" t="str">
        <f>IF(ISNUMBER(node_raw[[#This Row],[Column3]]), node_raw[[#This Row],[Column3]],"")</f>
        <v/>
      </c>
      <c r="E270" s="57" t="str">
        <f>IF(ISNUMBER(node_raw[[#This Row],[Column4]]), node_raw[[#This Row],[Column4]]/1048576,"")</f>
        <v/>
      </c>
      <c r="F270" s="139" t="str">
        <f>IF(ISNUMBER(node_raw[[#This Row],[Column5]]), node_raw[[#This Row],[Column5]],"")</f>
        <v/>
      </c>
      <c r="G270" s="153" t="str">
        <f t="shared" si="8"/>
        <v/>
      </c>
      <c r="H270" s="140" t="str">
        <f>IF(ISNUMBER(node_raw[[#This Row],[Column6]]), node_raw[[#This Row],[Column6]]/1048576,"")</f>
        <v/>
      </c>
      <c r="I270" s="157" t="str">
        <f t="shared" si="9"/>
        <v/>
      </c>
      <c r="J270" s="141" t="str">
        <f>IF(ISNONTEXT(node_raw[[#This Row],[Column7]]), "", node_raw[[#This Row],[Column7]]/100)</f>
        <v/>
      </c>
      <c r="K270" s="142" t="str">
        <f>IF(ISNONTEXT(node_raw[[#This Row],[Column8]]), "", node_raw[[#This Row],[Column8]]/100)</f>
        <v/>
      </c>
      <c r="L270" s="143" t="str">
        <f>IF(ISNONTEXT(node_raw[[#This Row],[Column9]]), "", node_raw[[#This Row],[Column9]]/1)</f>
        <v/>
      </c>
      <c r="M270" s="144" t="str">
        <f>IF(ISNONTEXT(node_raw[[#This Row],[Column10]]), "", node_raw[[#This Row],[Column10]]/1)</f>
        <v/>
      </c>
    </row>
    <row r="271" spans="2:13" ht="15.75" customHeight="1" x14ac:dyDescent="0.25">
      <c r="B271" s="30" t="str">
        <f>IF(ISNONTEXT(node_raw[[#This Row],[Column1]]), "", node_raw[[#This Row],[Column1]])</f>
        <v/>
      </c>
      <c r="C271" s="27" t="str">
        <f>IF(ISNONTEXT(node_raw[[#This Row],[Column2]]), "", node_raw[[#This Row],[Column2]])</f>
        <v/>
      </c>
      <c r="D271" s="54" t="str">
        <f>IF(ISNUMBER(node_raw[[#This Row],[Column3]]), node_raw[[#This Row],[Column3]],"")</f>
        <v/>
      </c>
      <c r="E271" s="57" t="str">
        <f>IF(ISNUMBER(node_raw[[#This Row],[Column4]]), node_raw[[#This Row],[Column4]]/1048576,"")</f>
        <v/>
      </c>
      <c r="F271" s="139" t="str">
        <f>IF(ISNUMBER(node_raw[[#This Row],[Column5]]), node_raw[[#This Row],[Column5]],"")</f>
        <v/>
      </c>
      <c r="G271" s="153" t="str">
        <f t="shared" si="8"/>
        <v/>
      </c>
      <c r="H271" s="140" t="str">
        <f>IF(ISNUMBER(node_raw[[#This Row],[Column6]]), node_raw[[#This Row],[Column6]]/1048576,"")</f>
        <v/>
      </c>
      <c r="I271" s="157" t="str">
        <f t="shared" si="9"/>
        <v/>
      </c>
      <c r="J271" s="141" t="str">
        <f>IF(ISNONTEXT(node_raw[[#This Row],[Column7]]), "", node_raw[[#This Row],[Column7]]/100)</f>
        <v/>
      </c>
      <c r="K271" s="142" t="str">
        <f>IF(ISNONTEXT(node_raw[[#This Row],[Column8]]), "", node_raw[[#This Row],[Column8]]/100)</f>
        <v/>
      </c>
      <c r="L271" s="143" t="str">
        <f>IF(ISNONTEXT(node_raw[[#This Row],[Column9]]), "", node_raw[[#This Row],[Column9]]/1)</f>
        <v/>
      </c>
      <c r="M271" s="144" t="str">
        <f>IF(ISNONTEXT(node_raw[[#This Row],[Column10]]), "", node_raw[[#This Row],[Column10]]/1)</f>
        <v/>
      </c>
    </row>
    <row r="272" spans="2:13" ht="15.75" customHeight="1" x14ac:dyDescent="0.25">
      <c r="B272" s="30" t="str">
        <f>IF(ISNONTEXT(node_raw[[#This Row],[Column1]]), "", node_raw[[#This Row],[Column1]])</f>
        <v/>
      </c>
      <c r="C272" s="27" t="str">
        <f>IF(ISNONTEXT(node_raw[[#This Row],[Column2]]), "", node_raw[[#This Row],[Column2]])</f>
        <v/>
      </c>
      <c r="D272" s="54" t="str">
        <f>IF(ISNUMBER(node_raw[[#This Row],[Column3]]), node_raw[[#This Row],[Column3]],"")</f>
        <v/>
      </c>
      <c r="E272" s="57" t="str">
        <f>IF(ISNUMBER(node_raw[[#This Row],[Column4]]), node_raw[[#This Row],[Column4]]/1048576,"")</f>
        <v/>
      </c>
      <c r="F272" s="139" t="str">
        <f>IF(ISNUMBER(node_raw[[#This Row],[Column5]]), node_raw[[#This Row],[Column5]],"")</f>
        <v/>
      </c>
      <c r="G272" s="153" t="str">
        <f t="shared" si="8"/>
        <v/>
      </c>
      <c r="H272" s="140" t="str">
        <f>IF(ISNUMBER(node_raw[[#This Row],[Column6]]), node_raw[[#This Row],[Column6]]/1048576,"")</f>
        <v/>
      </c>
      <c r="I272" s="157" t="str">
        <f t="shared" si="9"/>
        <v/>
      </c>
      <c r="J272" s="141" t="str">
        <f>IF(ISNONTEXT(node_raw[[#This Row],[Column7]]), "", node_raw[[#This Row],[Column7]]/100)</f>
        <v/>
      </c>
      <c r="K272" s="142" t="str">
        <f>IF(ISNONTEXT(node_raw[[#This Row],[Column8]]), "", node_raw[[#This Row],[Column8]]/100)</f>
        <v/>
      </c>
      <c r="L272" s="143" t="str">
        <f>IF(ISNONTEXT(node_raw[[#This Row],[Column9]]), "", node_raw[[#This Row],[Column9]]/1)</f>
        <v/>
      </c>
      <c r="M272" s="144" t="str">
        <f>IF(ISNONTEXT(node_raw[[#This Row],[Column10]]), "", node_raw[[#This Row],[Column10]]/1)</f>
        <v/>
      </c>
    </row>
    <row r="273" spans="2:13" ht="15.75" customHeight="1" x14ac:dyDescent="0.25">
      <c r="B273" s="30" t="str">
        <f>IF(ISNONTEXT(node_raw[[#This Row],[Column1]]), "", node_raw[[#This Row],[Column1]])</f>
        <v/>
      </c>
      <c r="C273" s="27" t="str">
        <f>IF(ISNONTEXT(node_raw[[#This Row],[Column2]]), "", node_raw[[#This Row],[Column2]])</f>
        <v/>
      </c>
      <c r="D273" s="54" t="str">
        <f>IF(ISNUMBER(node_raw[[#This Row],[Column3]]), node_raw[[#This Row],[Column3]],"")</f>
        <v/>
      </c>
      <c r="E273" s="57" t="str">
        <f>IF(ISNUMBER(node_raw[[#This Row],[Column4]]), node_raw[[#This Row],[Column4]]/1048576,"")</f>
        <v/>
      </c>
      <c r="F273" s="139" t="str">
        <f>IF(ISNUMBER(node_raw[[#This Row],[Column5]]), node_raw[[#This Row],[Column5]],"")</f>
        <v/>
      </c>
      <c r="G273" s="153" t="str">
        <f t="shared" si="8"/>
        <v/>
      </c>
      <c r="H273" s="140" t="str">
        <f>IF(ISNUMBER(node_raw[[#This Row],[Column6]]), node_raw[[#This Row],[Column6]]/1048576,"")</f>
        <v/>
      </c>
      <c r="I273" s="157" t="str">
        <f t="shared" si="9"/>
        <v/>
      </c>
      <c r="J273" s="141" t="str">
        <f>IF(ISNONTEXT(node_raw[[#This Row],[Column7]]), "", node_raw[[#This Row],[Column7]]/100)</f>
        <v/>
      </c>
      <c r="K273" s="142" t="str">
        <f>IF(ISNONTEXT(node_raw[[#This Row],[Column8]]), "", node_raw[[#This Row],[Column8]]/100)</f>
        <v/>
      </c>
      <c r="L273" s="143" t="str">
        <f>IF(ISNONTEXT(node_raw[[#This Row],[Column9]]), "", node_raw[[#This Row],[Column9]]/1)</f>
        <v/>
      </c>
      <c r="M273" s="144" t="str">
        <f>IF(ISNONTEXT(node_raw[[#This Row],[Column10]]), "", node_raw[[#This Row],[Column10]]/1)</f>
        <v/>
      </c>
    </row>
    <row r="274" spans="2:13" ht="15.75" customHeight="1" x14ac:dyDescent="0.25">
      <c r="B274" s="30" t="str">
        <f>IF(ISNONTEXT(node_raw[[#This Row],[Column1]]), "", node_raw[[#This Row],[Column1]])</f>
        <v/>
      </c>
      <c r="C274" s="27" t="str">
        <f>IF(ISNONTEXT(node_raw[[#This Row],[Column2]]), "", node_raw[[#This Row],[Column2]])</f>
        <v/>
      </c>
      <c r="D274" s="54" t="str">
        <f>IF(ISNUMBER(node_raw[[#This Row],[Column3]]), node_raw[[#This Row],[Column3]],"")</f>
        <v/>
      </c>
      <c r="E274" s="57" t="str">
        <f>IF(ISNUMBER(node_raw[[#This Row],[Column4]]), node_raw[[#This Row],[Column4]]/1048576,"")</f>
        <v/>
      </c>
      <c r="F274" s="139" t="str">
        <f>IF(ISNUMBER(node_raw[[#This Row],[Column5]]), node_raw[[#This Row],[Column5]],"")</f>
        <v/>
      </c>
      <c r="G274" s="153" t="str">
        <f t="shared" si="8"/>
        <v/>
      </c>
      <c r="H274" s="140" t="str">
        <f>IF(ISNUMBER(node_raw[[#This Row],[Column6]]), node_raw[[#This Row],[Column6]]/1048576,"")</f>
        <v/>
      </c>
      <c r="I274" s="157" t="str">
        <f t="shared" si="9"/>
        <v/>
      </c>
      <c r="J274" s="141" t="str">
        <f>IF(ISNONTEXT(node_raw[[#This Row],[Column7]]), "", node_raw[[#This Row],[Column7]]/100)</f>
        <v/>
      </c>
      <c r="K274" s="142" t="str">
        <f>IF(ISNONTEXT(node_raw[[#This Row],[Column8]]), "", node_raw[[#This Row],[Column8]]/100)</f>
        <v/>
      </c>
      <c r="L274" s="143" t="str">
        <f>IF(ISNONTEXT(node_raw[[#This Row],[Column9]]), "", node_raw[[#This Row],[Column9]]/1)</f>
        <v/>
      </c>
      <c r="M274" s="144" t="str">
        <f>IF(ISNONTEXT(node_raw[[#This Row],[Column10]]), "", node_raw[[#This Row],[Column10]]/1)</f>
        <v/>
      </c>
    </row>
    <row r="275" spans="2:13" ht="15.75" customHeight="1" x14ac:dyDescent="0.25">
      <c r="B275" s="30" t="str">
        <f>IF(ISNONTEXT(node_raw[[#This Row],[Column1]]), "", node_raw[[#This Row],[Column1]])</f>
        <v/>
      </c>
      <c r="C275" s="27" t="str">
        <f>IF(ISNONTEXT(node_raw[[#This Row],[Column2]]), "", node_raw[[#This Row],[Column2]])</f>
        <v/>
      </c>
      <c r="D275" s="54" t="str">
        <f>IF(ISNUMBER(node_raw[[#This Row],[Column3]]), node_raw[[#This Row],[Column3]],"")</f>
        <v/>
      </c>
      <c r="E275" s="57" t="str">
        <f>IF(ISNUMBER(node_raw[[#This Row],[Column4]]), node_raw[[#This Row],[Column4]]/1048576,"")</f>
        <v/>
      </c>
      <c r="F275" s="139" t="str">
        <f>IF(ISNUMBER(node_raw[[#This Row],[Column5]]), node_raw[[#This Row],[Column5]],"")</f>
        <v/>
      </c>
      <c r="G275" s="153" t="str">
        <f t="shared" si="8"/>
        <v/>
      </c>
      <c r="H275" s="140" t="str">
        <f>IF(ISNUMBER(node_raw[[#This Row],[Column6]]), node_raw[[#This Row],[Column6]]/1048576,"")</f>
        <v/>
      </c>
      <c r="I275" s="157" t="str">
        <f t="shared" si="9"/>
        <v/>
      </c>
      <c r="J275" s="141" t="str">
        <f>IF(ISNONTEXT(node_raw[[#This Row],[Column7]]), "", node_raw[[#This Row],[Column7]]/100)</f>
        <v/>
      </c>
      <c r="K275" s="142" t="str">
        <f>IF(ISNONTEXT(node_raw[[#This Row],[Column8]]), "", node_raw[[#This Row],[Column8]]/100)</f>
        <v/>
      </c>
      <c r="L275" s="143" t="str">
        <f>IF(ISNONTEXT(node_raw[[#This Row],[Column9]]), "", node_raw[[#This Row],[Column9]]/1)</f>
        <v/>
      </c>
      <c r="M275" s="144" t="str">
        <f>IF(ISNONTEXT(node_raw[[#This Row],[Column10]]), "", node_raw[[#This Row],[Column10]]/1)</f>
        <v/>
      </c>
    </row>
    <row r="276" spans="2:13" ht="15.75" customHeight="1" x14ac:dyDescent="0.25">
      <c r="B276" s="30" t="str">
        <f>IF(ISNONTEXT(node_raw[[#This Row],[Column1]]), "", node_raw[[#This Row],[Column1]])</f>
        <v/>
      </c>
      <c r="C276" s="27" t="str">
        <f>IF(ISNONTEXT(node_raw[[#This Row],[Column2]]), "", node_raw[[#This Row],[Column2]])</f>
        <v/>
      </c>
      <c r="D276" s="54" t="str">
        <f>IF(ISNUMBER(node_raw[[#This Row],[Column3]]), node_raw[[#This Row],[Column3]],"")</f>
        <v/>
      </c>
      <c r="E276" s="57" t="str">
        <f>IF(ISNUMBER(node_raw[[#This Row],[Column4]]), node_raw[[#This Row],[Column4]]/1048576,"")</f>
        <v/>
      </c>
      <c r="F276" s="139" t="str">
        <f>IF(ISNUMBER(node_raw[[#This Row],[Column5]]), node_raw[[#This Row],[Column5]],"")</f>
        <v/>
      </c>
      <c r="G276" s="153" t="str">
        <f t="shared" si="8"/>
        <v/>
      </c>
      <c r="H276" s="140" t="str">
        <f>IF(ISNUMBER(node_raw[[#This Row],[Column6]]), node_raw[[#This Row],[Column6]]/1048576,"")</f>
        <v/>
      </c>
      <c r="I276" s="157" t="str">
        <f t="shared" si="9"/>
        <v/>
      </c>
      <c r="J276" s="141" t="str">
        <f>IF(ISNONTEXT(node_raw[[#This Row],[Column7]]), "", node_raw[[#This Row],[Column7]]/100)</f>
        <v/>
      </c>
      <c r="K276" s="142" t="str">
        <f>IF(ISNONTEXT(node_raw[[#This Row],[Column8]]), "", node_raw[[#This Row],[Column8]]/100)</f>
        <v/>
      </c>
      <c r="L276" s="143" t="str">
        <f>IF(ISNONTEXT(node_raw[[#This Row],[Column9]]), "", node_raw[[#This Row],[Column9]]/1)</f>
        <v/>
      </c>
      <c r="M276" s="144" t="str">
        <f>IF(ISNONTEXT(node_raw[[#This Row],[Column10]]), "", node_raw[[#This Row],[Column10]]/1)</f>
        <v/>
      </c>
    </row>
    <row r="277" spans="2:13" ht="15.75" customHeight="1" x14ac:dyDescent="0.25">
      <c r="B277" s="30" t="str">
        <f>IF(ISNONTEXT(node_raw[[#This Row],[Column1]]), "", node_raw[[#This Row],[Column1]])</f>
        <v/>
      </c>
      <c r="C277" s="27" t="str">
        <f>IF(ISNONTEXT(node_raw[[#This Row],[Column2]]), "", node_raw[[#This Row],[Column2]])</f>
        <v/>
      </c>
      <c r="D277" s="54" t="str">
        <f>IF(ISNUMBER(node_raw[[#This Row],[Column3]]), node_raw[[#This Row],[Column3]],"")</f>
        <v/>
      </c>
      <c r="E277" s="57" t="str">
        <f>IF(ISNUMBER(node_raw[[#This Row],[Column4]]), node_raw[[#This Row],[Column4]]/1048576,"")</f>
        <v/>
      </c>
      <c r="F277" s="139" t="str">
        <f>IF(ISNUMBER(node_raw[[#This Row],[Column5]]), node_raw[[#This Row],[Column5]],"")</f>
        <v/>
      </c>
      <c r="G277" s="153" t="str">
        <f t="shared" si="8"/>
        <v/>
      </c>
      <c r="H277" s="140" t="str">
        <f>IF(ISNUMBER(node_raw[[#This Row],[Column6]]), node_raw[[#This Row],[Column6]]/1048576,"")</f>
        <v/>
      </c>
      <c r="I277" s="157" t="str">
        <f t="shared" si="9"/>
        <v/>
      </c>
      <c r="J277" s="141" t="str">
        <f>IF(ISNONTEXT(node_raw[[#This Row],[Column7]]), "", node_raw[[#This Row],[Column7]]/100)</f>
        <v/>
      </c>
      <c r="K277" s="142" t="str">
        <f>IF(ISNONTEXT(node_raw[[#This Row],[Column8]]), "", node_raw[[#This Row],[Column8]]/100)</f>
        <v/>
      </c>
      <c r="L277" s="143" t="str">
        <f>IF(ISNONTEXT(node_raw[[#This Row],[Column9]]), "", node_raw[[#This Row],[Column9]]/1)</f>
        <v/>
      </c>
      <c r="M277" s="144" t="str">
        <f>IF(ISNONTEXT(node_raw[[#This Row],[Column10]]), "", node_raw[[#This Row],[Column10]]/1)</f>
        <v/>
      </c>
    </row>
    <row r="278" spans="2:13" ht="15.75" customHeight="1" x14ac:dyDescent="0.25">
      <c r="B278" s="30" t="str">
        <f>IF(ISNONTEXT(node_raw[[#This Row],[Column1]]), "", node_raw[[#This Row],[Column1]])</f>
        <v/>
      </c>
      <c r="C278" s="27" t="str">
        <f>IF(ISNONTEXT(node_raw[[#This Row],[Column2]]), "", node_raw[[#This Row],[Column2]])</f>
        <v/>
      </c>
      <c r="D278" s="54" t="str">
        <f>IF(ISNUMBER(node_raw[[#This Row],[Column3]]), node_raw[[#This Row],[Column3]],"")</f>
        <v/>
      </c>
      <c r="E278" s="57" t="str">
        <f>IF(ISNUMBER(node_raw[[#This Row],[Column4]]), node_raw[[#This Row],[Column4]]/1048576,"")</f>
        <v/>
      </c>
      <c r="F278" s="139" t="str">
        <f>IF(ISNUMBER(node_raw[[#This Row],[Column5]]), node_raw[[#This Row],[Column5]],"")</f>
        <v/>
      </c>
      <c r="G278" s="153" t="str">
        <f t="shared" si="8"/>
        <v/>
      </c>
      <c r="H278" s="140" t="str">
        <f>IF(ISNUMBER(node_raw[[#This Row],[Column6]]), node_raw[[#This Row],[Column6]]/1048576,"")</f>
        <v/>
      </c>
      <c r="I278" s="157" t="str">
        <f t="shared" si="9"/>
        <v/>
      </c>
      <c r="J278" s="141" t="str">
        <f>IF(ISNONTEXT(node_raw[[#This Row],[Column7]]), "", node_raw[[#This Row],[Column7]]/100)</f>
        <v/>
      </c>
      <c r="K278" s="142" t="str">
        <f>IF(ISNONTEXT(node_raw[[#This Row],[Column8]]), "", node_raw[[#This Row],[Column8]]/100)</f>
        <v/>
      </c>
      <c r="L278" s="143" t="str">
        <f>IF(ISNONTEXT(node_raw[[#This Row],[Column9]]), "", node_raw[[#This Row],[Column9]]/1)</f>
        <v/>
      </c>
      <c r="M278" s="144" t="str">
        <f>IF(ISNONTEXT(node_raw[[#This Row],[Column10]]), "", node_raw[[#This Row],[Column10]]/1)</f>
        <v/>
      </c>
    </row>
    <row r="279" spans="2:13" ht="15.75" customHeight="1" x14ac:dyDescent="0.25">
      <c r="B279" s="30" t="str">
        <f>IF(ISNONTEXT(node_raw[[#This Row],[Column1]]), "", node_raw[[#This Row],[Column1]])</f>
        <v/>
      </c>
      <c r="C279" s="27" t="str">
        <f>IF(ISNONTEXT(node_raw[[#This Row],[Column2]]), "", node_raw[[#This Row],[Column2]])</f>
        <v/>
      </c>
      <c r="D279" s="54" t="str">
        <f>IF(ISNUMBER(node_raw[[#This Row],[Column3]]), node_raw[[#This Row],[Column3]],"")</f>
        <v/>
      </c>
      <c r="E279" s="57" t="str">
        <f>IF(ISNUMBER(node_raw[[#This Row],[Column4]]), node_raw[[#This Row],[Column4]]/1048576,"")</f>
        <v/>
      </c>
      <c r="F279" s="139" t="str">
        <f>IF(ISNUMBER(node_raw[[#This Row],[Column5]]), node_raw[[#This Row],[Column5]],"")</f>
        <v/>
      </c>
      <c r="G279" s="153" t="str">
        <f t="shared" si="8"/>
        <v/>
      </c>
      <c r="H279" s="140" t="str">
        <f>IF(ISNUMBER(node_raw[[#This Row],[Column6]]), node_raw[[#This Row],[Column6]]/1048576,"")</f>
        <v/>
      </c>
      <c r="I279" s="157" t="str">
        <f t="shared" si="9"/>
        <v/>
      </c>
      <c r="J279" s="141" t="str">
        <f>IF(ISNONTEXT(node_raw[[#This Row],[Column7]]), "", node_raw[[#This Row],[Column7]]/100)</f>
        <v/>
      </c>
      <c r="K279" s="142" t="str">
        <f>IF(ISNONTEXT(node_raw[[#This Row],[Column8]]), "", node_raw[[#This Row],[Column8]]/100)</f>
        <v/>
      </c>
      <c r="L279" s="143" t="str">
        <f>IF(ISNONTEXT(node_raw[[#This Row],[Column9]]), "", node_raw[[#This Row],[Column9]]/1)</f>
        <v/>
      </c>
      <c r="M279" s="144" t="str">
        <f>IF(ISNONTEXT(node_raw[[#This Row],[Column10]]), "", node_raw[[#This Row],[Column10]]/1)</f>
        <v/>
      </c>
    </row>
    <row r="280" spans="2:13" ht="15.75" customHeight="1" x14ac:dyDescent="0.25">
      <c r="B280" s="30" t="str">
        <f>IF(ISNONTEXT(node_raw[[#This Row],[Column1]]), "", node_raw[[#This Row],[Column1]])</f>
        <v/>
      </c>
      <c r="C280" s="27" t="str">
        <f>IF(ISNONTEXT(node_raw[[#This Row],[Column2]]), "", node_raw[[#This Row],[Column2]])</f>
        <v/>
      </c>
      <c r="D280" s="54" t="str">
        <f>IF(ISNUMBER(node_raw[[#This Row],[Column3]]), node_raw[[#This Row],[Column3]],"")</f>
        <v/>
      </c>
      <c r="E280" s="57" t="str">
        <f>IF(ISNUMBER(node_raw[[#This Row],[Column4]]), node_raw[[#This Row],[Column4]]/1048576,"")</f>
        <v/>
      </c>
      <c r="F280" s="139" t="str">
        <f>IF(ISNUMBER(node_raw[[#This Row],[Column5]]), node_raw[[#This Row],[Column5]],"")</f>
        <v/>
      </c>
      <c r="G280" s="153" t="str">
        <f t="shared" si="8"/>
        <v/>
      </c>
      <c r="H280" s="140" t="str">
        <f>IF(ISNUMBER(node_raw[[#This Row],[Column6]]), node_raw[[#This Row],[Column6]]/1048576,"")</f>
        <v/>
      </c>
      <c r="I280" s="157" t="str">
        <f t="shared" si="9"/>
        <v/>
      </c>
      <c r="J280" s="141" t="str">
        <f>IF(ISNONTEXT(node_raw[[#This Row],[Column7]]), "", node_raw[[#This Row],[Column7]]/100)</f>
        <v/>
      </c>
      <c r="K280" s="142" t="str">
        <f>IF(ISNONTEXT(node_raw[[#This Row],[Column8]]), "", node_raw[[#This Row],[Column8]]/100)</f>
        <v/>
      </c>
      <c r="L280" s="143" t="str">
        <f>IF(ISNONTEXT(node_raw[[#This Row],[Column9]]), "", node_raw[[#This Row],[Column9]]/1)</f>
        <v/>
      </c>
      <c r="M280" s="144" t="str">
        <f>IF(ISNONTEXT(node_raw[[#This Row],[Column10]]), "", node_raw[[#This Row],[Column10]]/1)</f>
        <v/>
      </c>
    </row>
    <row r="281" spans="2:13" ht="15.75" customHeight="1" x14ac:dyDescent="0.25">
      <c r="B281" s="30" t="str">
        <f>IF(ISNONTEXT(node_raw[[#This Row],[Column1]]), "", node_raw[[#This Row],[Column1]])</f>
        <v/>
      </c>
      <c r="C281" s="27" t="str">
        <f>IF(ISNONTEXT(node_raw[[#This Row],[Column2]]), "", node_raw[[#This Row],[Column2]])</f>
        <v/>
      </c>
      <c r="D281" s="54" t="str">
        <f>IF(ISNUMBER(node_raw[[#This Row],[Column3]]), node_raw[[#This Row],[Column3]],"")</f>
        <v/>
      </c>
      <c r="E281" s="57" t="str">
        <f>IF(ISNUMBER(node_raw[[#This Row],[Column4]]), node_raw[[#This Row],[Column4]]/1048576,"")</f>
        <v/>
      </c>
      <c r="F281" s="139" t="str">
        <f>IF(ISNUMBER(node_raw[[#This Row],[Column5]]), node_raw[[#This Row],[Column5]],"")</f>
        <v/>
      </c>
      <c r="G281" s="153" t="str">
        <f t="shared" si="8"/>
        <v/>
      </c>
      <c r="H281" s="140" t="str">
        <f>IF(ISNUMBER(node_raw[[#This Row],[Column6]]), node_raw[[#This Row],[Column6]]/1048576,"")</f>
        <v/>
      </c>
      <c r="I281" s="157" t="str">
        <f t="shared" si="9"/>
        <v/>
      </c>
      <c r="J281" s="141" t="str">
        <f>IF(ISNONTEXT(node_raw[[#This Row],[Column7]]), "", node_raw[[#This Row],[Column7]]/100)</f>
        <v/>
      </c>
      <c r="K281" s="142" t="str">
        <f>IF(ISNONTEXT(node_raw[[#This Row],[Column8]]), "", node_raw[[#This Row],[Column8]]/100)</f>
        <v/>
      </c>
      <c r="L281" s="143" t="str">
        <f>IF(ISNONTEXT(node_raw[[#This Row],[Column9]]), "", node_raw[[#This Row],[Column9]]/1)</f>
        <v/>
      </c>
      <c r="M281" s="144" t="str">
        <f>IF(ISNONTEXT(node_raw[[#This Row],[Column10]]), "", node_raw[[#This Row],[Column10]]/1)</f>
        <v/>
      </c>
    </row>
    <row r="282" spans="2:13" ht="15.75" customHeight="1" x14ac:dyDescent="0.25">
      <c r="B282" s="30" t="str">
        <f>IF(ISNONTEXT(node_raw[[#This Row],[Column1]]), "", node_raw[[#This Row],[Column1]])</f>
        <v/>
      </c>
      <c r="C282" s="27" t="str">
        <f>IF(ISNONTEXT(node_raw[[#This Row],[Column2]]), "", node_raw[[#This Row],[Column2]])</f>
        <v/>
      </c>
      <c r="D282" s="54" t="str">
        <f>IF(ISNUMBER(node_raw[[#This Row],[Column3]]), node_raw[[#This Row],[Column3]],"")</f>
        <v/>
      </c>
      <c r="E282" s="57" t="str">
        <f>IF(ISNUMBER(node_raw[[#This Row],[Column4]]), node_raw[[#This Row],[Column4]]/1048576,"")</f>
        <v/>
      </c>
      <c r="F282" s="139" t="str">
        <f>IF(ISNUMBER(node_raw[[#This Row],[Column5]]), node_raw[[#This Row],[Column5]],"")</f>
        <v/>
      </c>
      <c r="G282" s="153" t="str">
        <f t="shared" si="8"/>
        <v/>
      </c>
      <c r="H282" s="140" t="str">
        <f>IF(ISNUMBER(node_raw[[#This Row],[Column6]]), node_raw[[#This Row],[Column6]]/1048576,"")</f>
        <v/>
      </c>
      <c r="I282" s="157" t="str">
        <f t="shared" si="9"/>
        <v/>
      </c>
      <c r="J282" s="141" t="str">
        <f>IF(ISNONTEXT(node_raw[[#This Row],[Column7]]), "", node_raw[[#This Row],[Column7]]/100)</f>
        <v/>
      </c>
      <c r="K282" s="142" t="str">
        <f>IF(ISNONTEXT(node_raw[[#This Row],[Column8]]), "", node_raw[[#This Row],[Column8]]/100)</f>
        <v/>
      </c>
      <c r="L282" s="143" t="str">
        <f>IF(ISNONTEXT(node_raw[[#This Row],[Column9]]), "", node_raw[[#This Row],[Column9]]/1)</f>
        <v/>
      </c>
      <c r="M282" s="144" t="str">
        <f>IF(ISNONTEXT(node_raw[[#This Row],[Column10]]), "", node_raw[[#This Row],[Column10]]/1)</f>
        <v/>
      </c>
    </row>
    <row r="283" spans="2:13" ht="15.75" customHeight="1" x14ac:dyDescent="0.25">
      <c r="B283" s="30" t="str">
        <f>IF(ISNONTEXT(node_raw[[#This Row],[Column1]]), "", node_raw[[#This Row],[Column1]])</f>
        <v/>
      </c>
      <c r="C283" s="27" t="str">
        <f>IF(ISNONTEXT(node_raw[[#This Row],[Column2]]), "", node_raw[[#This Row],[Column2]])</f>
        <v/>
      </c>
      <c r="D283" s="54" t="str">
        <f>IF(ISNUMBER(node_raw[[#This Row],[Column3]]), node_raw[[#This Row],[Column3]],"")</f>
        <v/>
      </c>
      <c r="E283" s="57" t="str">
        <f>IF(ISNUMBER(node_raw[[#This Row],[Column4]]), node_raw[[#This Row],[Column4]]/1048576,"")</f>
        <v/>
      </c>
      <c r="F283" s="139" t="str">
        <f>IF(ISNUMBER(node_raw[[#This Row],[Column5]]), node_raw[[#This Row],[Column5]],"")</f>
        <v/>
      </c>
      <c r="G283" s="153" t="str">
        <f t="shared" si="8"/>
        <v/>
      </c>
      <c r="H283" s="140" t="str">
        <f>IF(ISNUMBER(node_raw[[#This Row],[Column6]]), node_raw[[#This Row],[Column6]]/1048576,"")</f>
        <v/>
      </c>
      <c r="I283" s="157" t="str">
        <f t="shared" si="9"/>
        <v/>
      </c>
      <c r="J283" s="141" t="str">
        <f>IF(ISNONTEXT(node_raw[[#This Row],[Column7]]), "", node_raw[[#This Row],[Column7]]/100)</f>
        <v/>
      </c>
      <c r="K283" s="142" t="str">
        <f>IF(ISNONTEXT(node_raw[[#This Row],[Column8]]), "", node_raw[[#This Row],[Column8]]/100)</f>
        <v/>
      </c>
      <c r="L283" s="143" t="str">
        <f>IF(ISNONTEXT(node_raw[[#This Row],[Column9]]), "", node_raw[[#This Row],[Column9]]/1)</f>
        <v/>
      </c>
      <c r="M283" s="144" t="str">
        <f>IF(ISNONTEXT(node_raw[[#This Row],[Column10]]), "", node_raw[[#This Row],[Column10]]/1)</f>
        <v/>
      </c>
    </row>
    <row r="284" spans="2:13" ht="15.75" customHeight="1" x14ac:dyDescent="0.25">
      <c r="B284" s="30" t="str">
        <f>IF(ISNONTEXT(node_raw[[#This Row],[Column1]]), "", node_raw[[#This Row],[Column1]])</f>
        <v/>
      </c>
      <c r="C284" s="27" t="str">
        <f>IF(ISNONTEXT(node_raw[[#This Row],[Column2]]), "", node_raw[[#This Row],[Column2]])</f>
        <v/>
      </c>
      <c r="D284" s="54" t="str">
        <f>IF(ISNUMBER(node_raw[[#This Row],[Column3]]), node_raw[[#This Row],[Column3]],"")</f>
        <v/>
      </c>
      <c r="E284" s="57" t="str">
        <f>IF(ISNUMBER(node_raw[[#This Row],[Column4]]), node_raw[[#This Row],[Column4]]/1048576,"")</f>
        <v/>
      </c>
      <c r="F284" s="139" t="str">
        <f>IF(ISNUMBER(node_raw[[#This Row],[Column5]]), node_raw[[#This Row],[Column5]],"")</f>
        <v/>
      </c>
      <c r="G284" s="153" t="str">
        <f t="shared" si="8"/>
        <v/>
      </c>
      <c r="H284" s="140" t="str">
        <f>IF(ISNUMBER(node_raw[[#This Row],[Column6]]), node_raw[[#This Row],[Column6]]/1048576,"")</f>
        <v/>
      </c>
      <c r="I284" s="157" t="str">
        <f t="shared" si="9"/>
        <v/>
      </c>
      <c r="J284" s="141" t="str">
        <f>IF(ISNONTEXT(node_raw[[#This Row],[Column7]]), "", node_raw[[#This Row],[Column7]]/100)</f>
        <v/>
      </c>
      <c r="K284" s="142" t="str">
        <f>IF(ISNONTEXT(node_raw[[#This Row],[Column8]]), "", node_raw[[#This Row],[Column8]]/100)</f>
        <v/>
      </c>
      <c r="L284" s="143" t="str">
        <f>IF(ISNONTEXT(node_raw[[#This Row],[Column9]]), "", node_raw[[#This Row],[Column9]]/1)</f>
        <v/>
      </c>
      <c r="M284" s="144" t="str">
        <f>IF(ISNONTEXT(node_raw[[#This Row],[Column10]]), "", node_raw[[#This Row],[Column10]]/1)</f>
        <v/>
      </c>
    </row>
    <row r="285" spans="2:13" ht="15.75" customHeight="1" x14ac:dyDescent="0.25">
      <c r="B285" s="30" t="str">
        <f>IF(ISNONTEXT(node_raw[[#This Row],[Column1]]), "", node_raw[[#This Row],[Column1]])</f>
        <v/>
      </c>
      <c r="C285" s="27" t="str">
        <f>IF(ISNONTEXT(node_raw[[#This Row],[Column2]]), "", node_raw[[#This Row],[Column2]])</f>
        <v/>
      </c>
      <c r="D285" s="54" t="str">
        <f>IF(ISNUMBER(node_raw[[#This Row],[Column3]]), node_raw[[#This Row],[Column3]],"")</f>
        <v/>
      </c>
      <c r="E285" s="57" t="str">
        <f>IF(ISNUMBER(node_raw[[#This Row],[Column4]]), node_raw[[#This Row],[Column4]]/1048576,"")</f>
        <v/>
      </c>
      <c r="F285" s="139" t="str">
        <f>IF(ISNUMBER(node_raw[[#This Row],[Column5]]), node_raw[[#This Row],[Column5]],"")</f>
        <v/>
      </c>
      <c r="G285" s="153" t="str">
        <f t="shared" si="8"/>
        <v/>
      </c>
      <c r="H285" s="140" t="str">
        <f>IF(ISNUMBER(node_raw[[#This Row],[Column6]]), node_raw[[#This Row],[Column6]]/1048576,"")</f>
        <v/>
      </c>
      <c r="I285" s="157" t="str">
        <f t="shared" si="9"/>
        <v/>
      </c>
      <c r="J285" s="141" t="str">
        <f>IF(ISNONTEXT(node_raw[[#This Row],[Column7]]), "", node_raw[[#This Row],[Column7]]/100)</f>
        <v/>
      </c>
      <c r="K285" s="142" t="str">
        <f>IF(ISNONTEXT(node_raw[[#This Row],[Column8]]), "", node_raw[[#This Row],[Column8]]/100)</f>
        <v/>
      </c>
      <c r="L285" s="143" t="str">
        <f>IF(ISNONTEXT(node_raw[[#This Row],[Column9]]), "", node_raw[[#This Row],[Column9]]/1)</f>
        <v/>
      </c>
      <c r="M285" s="144" t="str">
        <f>IF(ISNONTEXT(node_raw[[#This Row],[Column10]]), "", node_raw[[#This Row],[Column10]]/1)</f>
        <v/>
      </c>
    </row>
    <row r="286" spans="2:13" ht="15.75" customHeight="1" x14ac:dyDescent="0.25">
      <c r="B286" s="30" t="str">
        <f>IF(ISNONTEXT(node_raw[[#This Row],[Column1]]), "", node_raw[[#This Row],[Column1]])</f>
        <v/>
      </c>
      <c r="C286" s="27" t="str">
        <f>IF(ISNONTEXT(node_raw[[#This Row],[Column2]]), "", node_raw[[#This Row],[Column2]])</f>
        <v/>
      </c>
      <c r="D286" s="54" t="str">
        <f>IF(ISNUMBER(node_raw[[#This Row],[Column3]]), node_raw[[#This Row],[Column3]],"")</f>
        <v/>
      </c>
      <c r="E286" s="57" t="str">
        <f>IF(ISNUMBER(node_raw[[#This Row],[Column4]]), node_raw[[#This Row],[Column4]]/1048576,"")</f>
        <v/>
      </c>
      <c r="F286" s="139" t="str">
        <f>IF(ISNUMBER(node_raw[[#This Row],[Column5]]), node_raw[[#This Row],[Column5]],"")</f>
        <v/>
      </c>
      <c r="G286" s="153" t="str">
        <f t="shared" si="8"/>
        <v/>
      </c>
      <c r="H286" s="140" t="str">
        <f>IF(ISNUMBER(node_raw[[#This Row],[Column6]]), node_raw[[#This Row],[Column6]]/1048576,"")</f>
        <v/>
      </c>
      <c r="I286" s="157" t="str">
        <f t="shared" si="9"/>
        <v/>
      </c>
      <c r="J286" s="141" t="str">
        <f>IF(ISNONTEXT(node_raw[[#This Row],[Column7]]), "", node_raw[[#This Row],[Column7]]/100)</f>
        <v/>
      </c>
      <c r="K286" s="142" t="str">
        <f>IF(ISNONTEXT(node_raw[[#This Row],[Column8]]), "", node_raw[[#This Row],[Column8]]/100)</f>
        <v/>
      </c>
      <c r="L286" s="143" t="str">
        <f>IF(ISNONTEXT(node_raw[[#This Row],[Column9]]), "", node_raw[[#This Row],[Column9]]/1)</f>
        <v/>
      </c>
      <c r="M286" s="144" t="str">
        <f>IF(ISNONTEXT(node_raw[[#This Row],[Column10]]), "", node_raw[[#This Row],[Column10]]/1)</f>
        <v/>
      </c>
    </row>
    <row r="287" spans="2:13" ht="15.75" customHeight="1" x14ac:dyDescent="0.25">
      <c r="B287" s="30" t="str">
        <f>IF(ISNONTEXT(node_raw[[#This Row],[Column1]]), "", node_raw[[#This Row],[Column1]])</f>
        <v/>
      </c>
      <c r="C287" s="27" t="str">
        <f>IF(ISNONTEXT(node_raw[[#This Row],[Column2]]), "", node_raw[[#This Row],[Column2]])</f>
        <v/>
      </c>
      <c r="D287" s="54" t="str">
        <f>IF(ISNUMBER(node_raw[[#This Row],[Column3]]), node_raw[[#This Row],[Column3]],"")</f>
        <v/>
      </c>
      <c r="E287" s="57" t="str">
        <f>IF(ISNUMBER(node_raw[[#This Row],[Column4]]), node_raw[[#This Row],[Column4]]/1048576,"")</f>
        <v/>
      </c>
      <c r="F287" s="139" t="str">
        <f>IF(ISNUMBER(node_raw[[#This Row],[Column5]]), node_raw[[#This Row],[Column5]],"")</f>
        <v/>
      </c>
      <c r="G287" s="153" t="str">
        <f t="shared" si="8"/>
        <v/>
      </c>
      <c r="H287" s="140" t="str">
        <f>IF(ISNUMBER(node_raw[[#This Row],[Column6]]), node_raw[[#This Row],[Column6]]/1048576,"")</f>
        <v/>
      </c>
      <c r="I287" s="157" t="str">
        <f t="shared" si="9"/>
        <v/>
      </c>
      <c r="J287" s="141" t="str">
        <f>IF(ISNONTEXT(node_raw[[#This Row],[Column7]]), "", node_raw[[#This Row],[Column7]]/100)</f>
        <v/>
      </c>
      <c r="K287" s="142" t="str">
        <f>IF(ISNONTEXT(node_raw[[#This Row],[Column8]]), "", node_raw[[#This Row],[Column8]]/100)</f>
        <v/>
      </c>
      <c r="L287" s="143" t="str">
        <f>IF(ISNONTEXT(node_raw[[#This Row],[Column9]]), "", node_raw[[#This Row],[Column9]]/1)</f>
        <v/>
      </c>
      <c r="M287" s="144" t="str">
        <f>IF(ISNONTEXT(node_raw[[#This Row],[Column10]]), "", node_raw[[#This Row],[Column10]]/1)</f>
        <v/>
      </c>
    </row>
    <row r="288" spans="2:13" ht="15.75" customHeight="1" x14ac:dyDescent="0.25">
      <c r="B288" s="30" t="str">
        <f>IF(ISNONTEXT(node_raw[[#This Row],[Column1]]), "", node_raw[[#This Row],[Column1]])</f>
        <v/>
      </c>
      <c r="C288" s="27" t="str">
        <f>IF(ISNONTEXT(node_raw[[#This Row],[Column2]]), "", node_raw[[#This Row],[Column2]])</f>
        <v/>
      </c>
      <c r="D288" s="54" t="str">
        <f>IF(ISNUMBER(node_raw[[#This Row],[Column3]]), node_raw[[#This Row],[Column3]],"")</f>
        <v/>
      </c>
      <c r="E288" s="57" t="str">
        <f>IF(ISNUMBER(node_raw[[#This Row],[Column4]]), node_raw[[#This Row],[Column4]]/1048576,"")</f>
        <v/>
      </c>
      <c r="F288" s="139" t="str">
        <f>IF(ISNUMBER(node_raw[[#This Row],[Column5]]), node_raw[[#This Row],[Column5]],"")</f>
        <v/>
      </c>
      <c r="G288" s="153" t="str">
        <f t="shared" si="8"/>
        <v/>
      </c>
      <c r="H288" s="140" t="str">
        <f>IF(ISNUMBER(node_raw[[#This Row],[Column6]]), node_raw[[#This Row],[Column6]]/1048576,"")</f>
        <v/>
      </c>
      <c r="I288" s="157" t="str">
        <f t="shared" si="9"/>
        <v/>
      </c>
      <c r="J288" s="141" t="str">
        <f>IF(ISNONTEXT(node_raw[[#This Row],[Column7]]), "", node_raw[[#This Row],[Column7]]/100)</f>
        <v/>
      </c>
      <c r="K288" s="142" t="str">
        <f>IF(ISNONTEXT(node_raw[[#This Row],[Column8]]), "", node_raw[[#This Row],[Column8]]/100)</f>
        <v/>
      </c>
      <c r="L288" s="143" t="str">
        <f>IF(ISNONTEXT(node_raw[[#This Row],[Column9]]), "", node_raw[[#This Row],[Column9]]/1)</f>
        <v/>
      </c>
      <c r="M288" s="144" t="str">
        <f>IF(ISNONTEXT(node_raw[[#This Row],[Column10]]), "", node_raw[[#This Row],[Column10]]/1)</f>
        <v/>
      </c>
    </row>
    <row r="289" spans="2:13" ht="15.75" customHeight="1" x14ac:dyDescent="0.25">
      <c r="B289" s="30" t="str">
        <f>IF(ISNONTEXT(node_raw[[#This Row],[Column1]]), "", node_raw[[#This Row],[Column1]])</f>
        <v/>
      </c>
      <c r="C289" s="27" t="str">
        <f>IF(ISNONTEXT(node_raw[[#This Row],[Column2]]), "", node_raw[[#This Row],[Column2]])</f>
        <v/>
      </c>
      <c r="D289" s="54" t="str">
        <f>IF(ISNUMBER(node_raw[[#This Row],[Column3]]), node_raw[[#This Row],[Column3]],"")</f>
        <v/>
      </c>
      <c r="E289" s="57" t="str">
        <f>IF(ISNUMBER(node_raw[[#This Row],[Column4]]), node_raw[[#This Row],[Column4]]/1048576,"")</f>
        <v/>
      </c>
      <c r="F289" s="139" t="str">
        <f>IF(ISNUMBER(node_raw[[#This Row],[Column5]]), node_raw[[#This Row],[Column5]],"")</f>
        <v/>
      </c>
      <c r="G289" s="153" t="str">
        <f t="shared" si="8"/>
        <v/>
      </c>
      <c r="H289" s="140" t="str">
        <f>IF(ISNUMBER(node_raw[[#This Row],[Column6]]), node_raw[[#This Row],[Column6]]/1048576,"")</f>
        <v/>
      </c>
      <c r="I289" s="157" t="str">
        <f t="shared" si="9"/>
        <v/>
      </c>
      <c r="J289" s="141" t="str">
        <f>IF(ISNONTEXT(node_raw[[#This Row],[Column7]]), "", node_raw[[#This Row],[Column7]]/100)</f>
        <v/>
      </c>
      <c r="K289" s="142" t="str">
        <f>IF(ISNONTEXT(node_raw[[#This Row],[Column8]]), "", node_raw[[#This Row],[Column8]]/100)</f>
        <v/>
      </c>
      <c r="L289" s="143" t="str">
        <f>IF(ISNONTEXT(node_raw[[#This Row],[Column9]]), "", node_raw[[#This Row],[Column9]]/1)</f>
        <v/>
      </c>
      <c r="M289" s="144" t="str">
        <f>IF(ISNONTEXT(node_raw[[#This Row],[Column10]]), "", node_raw[[#This Row],[Column10]]/1)</f>
        <v/>
      </c>
    </row>
    <row r="290" spans="2:13" ht="15.75" customHeight="1" x14ac:dyDescent="0.25">
      <c r="B290" s="30" t="str">
        <f>IF(ISNONTEXT(node_raw[[#This Row],[Column1]]), "", node_raw[[#This Row],[Column1]])</f>
        <v/>
      </c>
      <c r="C290" s="27" t="str">
        <f>IF(ISNONTEXT(node_raw[[#This Row],[Column2]]), "", node_raw[[#This Row],[Column2]])</f>
        <v/>
      </c>
      <c r="D290" s="54" t="str">
        <f>IF(ISNUMBER(node_raw[[#This Row],[Column3]]), node_raw[[#This Row],[Column3]],"")</f>
        <v/>
      </c>
      <c r="E290" s="57" t="str">
        <f>IF(ISNUMBER(node_raw[[#This Row],[Column4]]), node_raw[[#This Row],[Column4]]/1048576,"")</f>
        <v/>
      </c>
      <c r="F290" s="139" t="str">
        <f>IF(ISNUMBER(node_raw[[#This Row],[Column5]]), node_raw[[#This Row],[Column5]],"")</f>
        <v/>
      </c>
      <c r="G290" s="153" t="str">
        <f t="shared" si="8"/>
        <v/>
      </c>
      <c r="H290" s="140" t="str">
        <f>IF(ISNUMBER(node_raw[[#This Row],[Column6]]), node_raw[[#This Row],[Column6]]/1048576,"")</f>
        <v/>
      </c>
      <c r="I290" s="157" t="str">
        <f t="shared" si="9"/>
        <v/>
      </c>
      <c r="J290" s="141" t="str">
        <f>IF(ISNONTEXT(node_raw[[#This Row],[Column7]]), "", node_raw[[#This Row],[Column7]]/100)</f>
        <v/>
      </c>
      <c r="K290" s="142" t="str">
        <f>IF(ISNONTEXT(node_raw[[#This Row],[Column8]]), "", node_raw[[#This Row],[Column8]]/100)</f>
        <v/>
      </c>
      <c r="L290" s="143" t="str">
        <f>IF(ISNONTEXT(node_raw[[#This Row],[Column9]]), "", node_raw[[#This Row],[Column9]]/1)</f>
        <v/>
      </c>
      <c r="M290" s="144" t="str">
        <f>IF(ISNONTEXT(node_raw[[#This Row],[Column10]]), "", node_raw[[#This Row],[Column10]]/1)</f>
        <v/>
      </c>
    </row>
    <row r="291" spans="2:13" ht="15.75" customHeight="1" x14ac:dyDescent="0.25">
      <c r="B291" s="30" t="str">
        <f>IF(ISNONTEXT(node_raw[[#This Row],[Column1]]), "", node_raw[[#This Row],[Column1]])</f>
        <v/>
      </c>
      <c r="C291" s="27" t="str">
        <f>IF(ISNONTEXT(node_raw[[#This Row],[Column2]]), "", node_raw[[#This Row],[Column2]])</f>
        <v/>
      </c>
      <c r="D291" s="54" t="str">
        <f>IF(ISNUMBER(node_raw[[#This Row],[Column3]]), node_raw[[#This Row],[Column3]],"")</f>
        <v/>
      </c>
      <c r="E291" s="57" t="str">
        <f>IF(ISNUMBER(node_raw[[#This Row],[Column4]]), node_raw[[#This Row],[Column4]]/1048576,"")</f>
        <v/>
      </c>
      <c r="F291" s="139" t="str">
        <f>IF(ISNUMBER(node_raw[[#This Row],[Column5]]), node_raw[[#This Row],[Column5]],"")</f>
        <v/>
      </c>
      <c r="G291" s="153" t="str">
        <f t="shared" si="8"/>
        <v/>
      </c>
      <c r="H291" s="140" t="str">
        <f>IF(ISNUMBER(node_raw[[#This Row],[Column6]]), node_raw[[#This Row],[Column6]]/1048576,"")</f>
        <v/>
      </c>
      <c r="I291" s="157" t="str">
        <f t="shared" si="9"/>
        <v/>
      </c>
      <c r="J291" s="141" t="str">
        <f>IF(ISNONTEXT(node_raw[[#This Row],[Column7]]), "", node_raw[[#This Row],[Column7]]/100)</f>
        <v/>
      </c>
      <c r="K291" s="142" t="str">
        <f>IF(ISNONTEXT(node_raw[[#This Row],[Column8]]), "", node_raw[[#This Row],[Column8]]/100)</f>
        <v/>
      </c>
      <c r="L291" s="143" t="str">
        <f>IF(ISNONTEXT(node_raw[[#This Row],[Column9]]), "", node_raw[[#This Row],[Column9]]/1)</f>
        <v/>
      </c>
      <c r="M291" s="144" t="str">
        <f>IF(ISNONTEXT(node_raw[[#This Row],[Column10]]), "", node_raw[[#This Row],[Column10]]/1)</f>
        <v/>
      </c>
    </row>
    <row r="292" spans="2:13" ht="15.75" customHeight="1" x14ac:dyDescent="0.25">
      <c r="B292" s="30" t="str">
        <f>IF(ISNONTEXT(node_raw[[#This Row],[Column1]]), "", node_raw[[#This Row],[Column1]])</f>
        <v/>
      </c>
      <c r="C292" s="27" t="str">
        <f>IF(ISNONTEXT(node_raw[[#This Row],[Column2]]), "", node_raw[[#This Row],[Column2]])</f>
        <v/>
      </c>
      <c r="D292" s="54" t="str">
        <f>IF(ISNUMBER(node_raw[[#This Row],[Column3]]), node_raw[[#This Row],[Column3]],"")</f>
        <v/>
      </c>
      <c r="E292" s="57" t="str">
        <f>IF(ISNUMBER(node_raw[[#This Row],[Column4]]), node_raw[[#This Row],[Column4]]/1048576,"")</f>
        <v/>
      </c>
      <c r="F292" s="139" t="str">
        <f>IF(ISNUMBER(node_raw[[#This Row],[Column5]]), node_raw[[#This Row],[Column5]],"")</f>
        <v/>
      </c>
      <c r="G292" s="153" t="str">
        <f t="shared" si="8"/>
        <v/>
      </c>
      <c r="H292" s="140" t="str">
        <f>IF(ISNUMBER(node_raw[[#This Row],[Column6]]), node_raw[[#This Row],[Column6]]/1048576,"")</f>
        <v/>
      </c>
      <c r="I292" s="157" t="str">
        <f t="shared" si="9"/>
        <v/>
      </c>
      <c r="J292" s="141" t="str">
        <f>IF(ISNONTEXT(node_raw[[#This Row],[Column7]]), "", node_raw[[#This Row],[Column7]]/100)</f>
        <v/>
      </c>
      <c r="K292" s="142" t="str">
        <f>IF(ISNONTEXT(node_raw[[#This Row],[Column8]]), "", node_raw[[#This Row],[Column8]]/100)</f>
        <v/>
      </c>
      <c r="L292" s="143" t="str">
        <f>IF(ISNONTEXT(node_raw[[#This Row],[Column9]]), "", node_raw[[#This Row],[Column9]]/1)</f>
        <v/>
      </c>
      <c r="M292" s="144" t="str">
        <f>IF(ISNONTEXT(node_raw[[#This Row],[Column10]]), "", node_raw[[#This Row],[Column10]]/1)</f>
        <v/>
      </c>
    </row>
    <row r="293" spans="2:13" ht="15.75" customHeight="1" x14ac:dyDescent="0.25">
      <c r="B293" s="30" t="str">
        <f>IF(ISNONTEXT(node_raw[[#This Row],[Column1]]), "", node_raw[[#This Row],[Column1]])</f>
        <v/>
      </c>
      <c r="C293" s="27" t="str">
        <f>IF(ISNONTEXT(node_raw[[#This Row],[Column2]]), "", node_raw[[#This Row],[Column2]])</f>
        <v/>
      </c>
      <c r="D293" s="54" t="str">
        <f>IF(ISNUMBER(node_raw[[#This Row],[Column3]]), node_raw[[#This Row],[Column3]],"")</f>
        <v/>
      </c>
      <c r="E293" s="57" t="str">
        <f>IF(ISNUMBER(node_raw[[#This Row],[Column4]]), node_raw[[#This Row],[Column4]]/1048576,"")</f>
        <v/>
      </c>
      <c r="F293" s="139" t="str">
        <f>IF(ISNUMBER(node_raw[[#This Row],[Column5]]), node_raw[[#This Row],[Column5]],"")</f>
        <v/>
      </c>
      <c r="G293" s="153" t="str">
        <f t="shared" si="8"/>
        <v/>
      </c>
      <c r="H293" s="140" t="str">
        <f>IF(ISNUMBER(node_raw[[#This Row],[Column6]]), node_raw[[#This Row],[Column6]]/1048576,"")</f>
        <v/>
      </c>
      <c r="I293" s="157" t="str">
        <f t="shared" si="9"/>
        <v/>
      </c>
      <c r="J293" s="141" t="str">
        <f>IF(ISNONTEXT(node_raw[[#This Row],[Column7]]), "", node_raw[[#This Row],[Column7]]/100)</f>
        <v/>
      </c>
      <c r="K293" s="142" t="str">
        <f>IF(ISNONTEXT(node_raw[[#This Row],[Column8]]), "", node_raw[[#This Row],[Column8]]/100)</f>
        <v/>
      </c>
      <c r="L293" s="143" t="str">
        <f>IF(ISNONTEXT(node_raw[[#This Row],[Column9]]), "", node_raw[[#This Row],[Column9]]/1)</f>
        <v/>
      </c>
      <c r="M293" s="144" t="str">
        <f>IF(ISNONTEXT(node_raw[[#This Row],[Column10]]), "", node_raw[[#This Row],[Column10]]/1)</f>
        <v/>
      </c>
    </row>
    <row r="294" spans="2:13" ht="15.75" customHeight="1" x14ac:dyDescent="0.25">
      <c r="B294" s="30" t="str">
        <f>IF(ISNONTEXT(node_raw[[#This Row],[Column1]]), "", node_raw[[#This Row],[Column1]])</f>
        <v/>
      </c>
      <c r="C294" s="27" t="str">
        <f>IF(ISNONTEXT(node_raw[[#This Row],[Column2]]), "", node_raw[[#This Row],[Column2]])</f>
        <v/>
      </c>
      <c r="D294" s="54" t="str">
        <f>IF(ISNUMBER(node_raw[[#This Row],[Column3]]), node_raw[[#This Row],[Column3]],"")</f>
        <v/>
      </c>
      <c r="E294" s="57" t="str">
        <f>IF(ISNUMBER(node_raw[[#This Row],[Column4]]), node_raw[[#This Row],[Column4]]/1048576,"")</f>
        <v/>
      </c>
      <c r="F294" s="139" t="str">
        <f>IF(ISNUMBER(node_raw[[#This Row],[Column5]]), node_raw[[#This Row],[Column5]],"")</f>
        <v/>
      </c>
      <c r="G294" s="153" t="str">
        <f t="shared" si="8"/>
        <v/>
      </c>
      <c r="H294" s="140" t="str">
        <f>IF(ISNUMBER(node_raw[[#This Row],[Column6]]), node_raw[[#This Row],[Column6]]/1048576,"")</f>
        <v/>
      </c>
      <c r="I294" s="157" t="str">
        <f t="shared" si="9"/>
        <v/>
      </c>
      <c r="J294" s="141" t="str">
        <f>IF(ISNONTEXT(node_raw[[#This Row],[Column7]]), "", node_raw[[#This Row],[Column7]]/100)</f>
        <v/>
      </c>
      <c r="K294" s="142" t="str">
        <f>IF(ISNONTEXT(node_raw[[#This Row],[Column8]]), "", node_raw[[#This Row],[Column8]]/100)</f>
        <v/>
      </c>
      <c r="L294" s="143" t="str">
        <f>IF(ISNONTEXT(node_raw[[#This Row],[Column9]]), "", node_raw[[#This Row],[Column9]]/1)</f>
        <v/>
      </c>
      <c r="M294" s="144" t="str">
        <f>IF(ISNONTEXT(node_raw[[#This Row],[Column10]]), "", node_raw[[#This Row],[Column10]]/1)</f>
        <v/>
      </c>
    </row>
    <row r="295" spans="2:13" ht="15.75" customHeight="1" x14ac:dyDescent="0.25">
      <c r="B295" s="30" t="str">
        <f>IF(ISNONTEXT(node_raw[[#This Row],[Column1]]), "", node_raw[[#This Row],[Column1]])</f>
        <v/>
      </c>
      <c r="C295" s="27" t="str">
        <f>IF(ISNONTEXT(node_raw[[#This Row],[Column2]]), "", node_raw[[#This Row],[Column2]])</f>
        <v/>
      </c>
      <c r="D295" s="54" t="str">
        <f>IF(ISNUMBER(node_raw[[#This Row],[Column3]]), node_raw[[#This Row],[Column3]],"")</f>
        <v/>
      </c>
      <c r="E295" s="57" t="str">
        <f>IF(ISNUMBER(node_raw[[#This Row],[Column4]]), node_raw[[#This Row],[Column4]]/1048576,"")</f>
        <v/>
      </c>
      <c r="F295" s="139" t="str">
        <f>IF(ISNUMBER(node_raw[[#This Row],[Column5]]), node_raw[[#This Row],[Column5]],"")</f>
        <v/>
      </c>
      <c r="G295" s="153" t="str">
        <f t="shared" si="8"/>
        <v/>
      </c>
      <c r="H295" s="140" t="str">
        <f>IF(ISNUMBER(node_raw[[#This Row],[Column6]]), node_raw[[#This Row],[Column6]]/1048576,"")</f>
        <v/>
      </c>
      <c r="I295" s="157" t="str">
        <f t="shared" si="9"/>
        <v/>
      </c>
      <c r="J295" s="141" t="str">
        <f>IF(ISNONTEXT(node_raw[[#This Row],[Column7]]), "", node_raw[[#This Row],[Column7]]/100)</f>
        <v/>
      </c>
      <c r="K295" s="142" t="str">
        <f>IF(ISNONTEXT(node_raw[[#This Row],[Column8]]), "", node_raw[[#This Row],[Column8]]/100)</f>
        <v/>
      </c>
      <c r="L295" s="143" t="str">
        <f>IF(ISNONTEXT(node_raw[[#This Row],[Column9]]), "", node_raw[[#This Row],[Column9]]/1)</f>
        <v/>
      </c>
      <c r="M295" s="144" t="str">
        <f>IF(ISNONTEXT(node_raw[[#This Row],[Column10]]), "", node_raw[[#This Row],[Column10]]/1)</f>
        <v/>
      </c>
    </row>
    <row r="296" spans="2:13" ht="15.75" customHeight="1" x14ac:dyDescent="0.25">
      <c r="B296" s="30" t="str">
        <f>IF(ISNONTEXT(node_raw[[#This Row],[Column1]]), "", node_raw[[#This Row],[Column1]])</f>
        <v/>
      </c>
      <c r="C296" s="27" t="str">
        <f>IF(ISNONTEXT(node_raw[[#This Row],[Column2]]), "", node_raw[[#This Row],[Column2]])</f>
        <v/>
      </c>
      <c r="D296" s="54" t="str">
        <f>IF(ISNUMBER(node_raw[[#This Row],[Column3]]), node_raw[[#This Row],[Column3]],"")</f>
        <v/>
      </c>
      <c r="E296" s="57" t="str">
        <f>IF(ISNUMBER(node_raw[[#This Row],[Column4]]), node_raw[[#This Row],[Column4]]/1048576,"")</f>
        <v/>
      </c>
      <c r="F296" s="139" t="str">
        <f>IF(ISNUMBER(node_raw[[#This Row],[Column5]]), node_raw[[#This Row],[Column5]],"")</f>
        <v/>
      </c>
      <c r="G296" s="153" t="str">
        <f t="shared" si="8"/>
        <v/>
      </c>
      <c r="H296" s="140" t="str">
        <f>IF(ISNUMBER(node_raw[[#This Row],[Column6]]), node_raw[[#This Row],[Column6]]/1048576,"")</f>
        <v/>
      </c>
      <c r="I296" s="157" t="str">
        <f t="shared" si="9"/>
        <v/>
      </c>
      <c r="J296" s="141" t="str">
        <f>IF(ISNONTEXT(node_raw[[#This Row],[Column7]]), "", node_raw[[#This Row],[Column7]]/100)</f>
        <v/>
      </c>
      <c r="K296" s="142" t="str">
        <f>IF(ISNONTEXT(node_raw[[#This Row],[Column8]]), "", node_raw[[#This Row],[Column8]]/100)</f>
        <v/>
      </c>
      <c r="L296" s="143" t="str">
        <f>IF(ISNONTEXT(node_raw[[#This Row],[Column9]]), "", node_raw[[#This Row],[Column9]]/1)</f>
        <v/>
      </c>
      <c r="M296" s="144" t="str">
        <f>IF(ISNONTEXT(node_raw[[#This Row],[Column10]]), "", node_raw[[#This Row],[Column10]]/1)</f>
        <v/>
      </c>
    </row>
    <row r="297" spans="2:13" ht="15.75" customHeight="1" x14ac:dyDescent="0.25">
      <c r="B297" s="30" t="str">
        <f>IF(ISNONTEXT(node_raw[[#This Row],[Column1]]), "", node_raw[[#This Row],[Column1]])</f>
        <v/>
      </c>
      <c r="C297" s="27" t="str">
        <f>IF(ISNONTEXT(node_raw[[#This Row],[Column2]]), "", node_raw[[#This Row],[Column2]])</f>
        <v/>
      </c>
      <c r="D297" s="54" t="str">
        <f>IF(ISNUMBER(node_raw[[#This Row],[Column3]]), node_raw[[#This Row],[Column3]],"")</f>
        <v/>
      </c>
      <c r="E297" s="57" t="str">
        <f>IF(ISNUMBER(node_raw[[#This Row],[Column4]]), node_raw[[#This Row],[Column4]]/1048576,"")</f>
        <v/>
      </c>
      <c r="F297" s="139" t="str">
        <f>IF(ISNUMBER(node_raw[[#This Row],[Column5]]), node_raw[[#This Row],[Column5]],"")</f>
        <v/>
      </c>
      <c r="G297" s="153" t="str">
        <f t="shared" si="8"/>
        <v/>
      </c>
      <c r="H297" s="140" t="str">
        <f>IF(ISNUMBER(node_raw[[#This Row],[Column6]]), node_raw[[#This Row],[Column6]]/1048576,"")</f>
        <v/>
      </c>
      <c r="I297" s="157" t="str">
        <f t="shared" si="9"/>
        <v/>
      </c>
      <c r="J297" s="141" t="str">
        <f>IF(ISNONTEXT(node_raw[[#This Row],[Column7]]), "", node_raw[[#This Row],[Column7]]/100)</f>
        <v/>
      </c>
      <c r="K297" s="142" t="str">
        <f>IF(ISNONTEXT(node_raw[[#This Row],[Column8]]), "", node_raw[[#This Row],[Column8]]/100)</f>
        <v/>
      </c>
      <c r="L297" s="143" t="str">
        <f>IF(ISNONTEXT(node_raw[[#This Row],[Column9]]), "", node_raw[[#This Row],[Column9]]/1)</f>
        <v/>
      </c>
      <c r="M297" s="144" t="str">
        <f>IF(ISNONTEXT(node_raw[[#This Row],[Column10]]), "", node_raw[[#This Row],[Column10]]/1)</f>
        <v/>
      </c>
    </row>
    <row r="298" spans="2:13" ht="15.75" customHeight="1" x14ac:dyDescent="0.25">
      <c r="B298" s="30" t="str">
        <f>IF(ISNONTEXT(node_raw[[#This Row],[Column1]]), "", node_raw[[#This Row],[Column1]])</f>
        <v/>
      </c>
      <c r="C298" s="27" t="str">
        <f>IF(ISNONTEXT(node_raw[[#This Row],[Column2]]), "", node_raw[[#This Row],[Column2]])</f>
        <v/>
      </c>
      <c r="D298" s="54" t="str">
        <f>IF(ISNUMBER(node_raw[[#This Row],[Column3]]), node_raw[[#This Row],[Column3]],"")</f>
        <v/>
      </c>
      <c r="E298" s="57" t="str">
        <f>IF(ISNUMBER(node_raw[[#This Row],[Column4]]), node_raw[[#This Row],[Column4]]/1048576,"")</f>
        <v/>
      </c>
      <c r="F298" s="139" t="str">
        <f>IF(ISNUMBER(node_raw[[#This Row],[Column5]]), node_raw[[#This Row],[Column5]],"")</f>
        <v/>
      </c>
      <c r="G298" s="153" t="str">
        <f t="shared" si="8"/>
        <v/>
      </c>
      <c r="H298" s="140" t="str">
        <f>IF(ISNUMBER(node_raw[[#This Row],[Column6]]), node_raw[[#This Row],[Column6]]/1048576,"")</f>
        <v/>
      </c>
      <c r="I298" s="157" t="str">
        <f t="shared" si="9"/>
        <v/>
      </c>
      <c r="J298" s="141" t="str">
        <f>IF(ISNONTEXT(node_raw[[#This Row],[Column7]]), "", node_raw[[#This Row],[Column7]]/100)</f>
        <v/>
      </c>
      <c r="K298" s="142" t="str">
        <f>IF(ISNONTEXT(node_raw[[#This Row],[Column8]]), "", node_raw[[#This Row],[Column8]]/100)</f>
        <v/>
      </c>
      <c r="L298" s="143" t="str">
        <f>IF(ISNONTEXT(node_raw[[#This Row],[Column9]]), "", node_raw[[#This Row],[Column9]]/1)</f>
        <v/>
      </c>
      <c r="M298" s="144" t="str">
        <f>IF(ISNONTEXT(node_raw[[#This Row],[Column10]]), "", node_raw[[#This Row],[Column10]]/1)</f>
        <v/>
      </c>
    </row>
    <row r="299" spans="2:13" ht="15.75" customHeight="1" x14ac:dyDescent="0.25">
      <c r="B299" s="30" t="str">
        <f>IF(ISNONTEXT(node_raw[[#This Row],[Column1]]), "", node_raw[[#This Row],[Column1]])</f>
        <v/>
      </c>
      <c r="C299" s="27" t="str">
        <f>IF(ISNONTEXT(node_raw[[#This Row],[Column2]]), "", node_raw[[#This Row],[Column2]])</f>
        <v/>
      </c>
      <c r="D299" s="54" t="str">
        <f>IF(ISNUMBER(node_raw[[#This Row],[Column3]]), node_raw[[#This Row],[Column3]],"")</f>
        <v/>
      </c>
      <c r="E299" s="57" t="str">
        <f>IF(ISNUMBER(node_raw[[#This Row],[Column4]]), node_raw[[#This Row],[Column4]]/1048576,"")</f>
        <v/>
      </c>
      <c r="F299" s="139" t="str">
        <f>IF(ISNUMBER(node_raw[[#This Row],[Column5]]), node_raw[[#This Row],[Column5]],"")</f>
        <v/>
      </c>
      <c r="G299" s="153" t="str">
        <f t="shared" si="8"/>
        <v/>
      </c>
      <c r="H299" s="140" t="str">
        <f>IF(ISNUMBER(node_raw[[#This Row],[Column6]]), node_raw[[#This Row],[Column6]]/1048576,"")</f>
        <v/>
      </c>
      <c r="I299" s="157" t="str">
        <f t="shared" si="9"/>
        <v/>
      </c>
      <c r="J299" s="141" t="str">
        <f>IF(ISNONTEXT(node_raw[[#This Row],[Column7]]), "", node_raw[[#This Row],[Column7]]/100)</f>
        <v/>
      </c>
      <c r="K299" s="142" t="str">
        <f>IF(ISNONTEXT(node_raw[[#This Row],[Column8]]), "", node_raw[[#This Row],[Column8]]/100)</f>
        <v/>
      </c>
      <c r="L299" s="143" t="str">
        <f>IF(ISNONTEXT(node_raw[[#This Row],[Column9]]), "", node_raw[[#This Row],[Column9]]/1)</f>
        <v/>
      </c>
      <c r="M299" s="144" t="str">
        <f>IF(ISNONTEXT(node_raw[[#This Row],[Column10]]), "", node_raw[[#This Row],[Column10]]/1)</f>
        <v/>
      </c>
    </row>
    <row r="300" spans="2:13" ht="15.75" customHeight="1" x14ac:dyDescent="0.25">
      <c r="B300" s="30" t="str">
        <f>IF(ISNONTEXT(node_raw[[#This Row],[Column1]]), "", node_raw[[#This Row],[Column1]])</f>
        <v/>
      </c>
      <c r="C300" s="27" t="str">
        <f>IF(ISNONTEXT(node_raw[[#This Row],[Column2]]), "", node_raw[[#This Row],[Column2]])</f>
        <v/>
      </c>
      <c r="D300" s="54" t="str">
        <f>IF(ISNUMBER(node_raw[[#This Row],[Column3]]), node_raw[[#This Row],[Column3]],"")</f>
        <v/>
      </c>
      <c r="E300" s="57" t="str">
        <f>IF(ISNUMBER(node_raw[[#This Row],[Column4]]), node_raw[[#This Row],[Column4]]/1048576,"")</f>
        <v/>
      </c>
      <c r="F300" s="139" t="str">
        <f>IF(ISNUMBER(node_raw[[#This Row],[Column5]]), node_raw[[#This Row],[Column5]],"")</f>
        <v/>
      </c>
      <c r="G300" s="153" t="str">
        <f t="shared" si="8"/>
        <v/>
      </c>
      <c r="H300" s="140" t="str">
        <f>IF(ISNUMBER(node_raw[[#This Row],[Column6]]), node_raw[[#This Row],[Column6]]/1048576,"")</f>
        <v/>
      </c>
      <c r="I300" s="157" t="str">
        <f t="shared" si="9"/>
        <v/>
      </c>
      <c r="J300" s="141" t="str">
        <f>IF(ISNONTEXT(node_raw[[#This Row],[Column7]]), "", node_raw[[#This Row],[Column7]]/100)</f>
        <v/>
      </c>
      <c r="K300" s="142" t="str">
        <f>IF(ISNONTEXT(node_raw[[#This Row],[Column8]]), "", node_raw[[#This Row],[Column8]]/100)</f>
        <v/>
      </c>
      <c r="L300" s="143" t="str">
        <f>IF(ISNONTEXT(node_raw[[#This Row],[Column9]]), "", node_raw[[#This Row],[Column9]]/1)</f>
        <v/>
      </c>
      <c r="M300" s="144" t="str">
        <f>IF(ISNONTEXT(node_raw[[#This Row],[Column10]]), "", node_raw[[#This Row],[Column10]]/1)</f>
        <v/>
      </c>
    </row>
    <row r="301" spans="2:13" ht="15.75" customHeight="1" x14ac:dyDescent="0.25">
      <c r="B301" s="30" t="str">
        <f>IF(ISNONTEXT(node_raw[[#This Row],[Column1]]), "", node_raw[[#This Row],[Column1]])</f>
        <v/>
      </c>
      <c r="C301" s="27" t="str">
        <f>IF(ISNONTEXT(node_raw[[#This Row],[Column2]]), "", node_raw[[#This Row],[Column2]])</f>
        <v/>
      </c>
      <c r="D301" s="54" t="str">
        <f>IF(ISNUMBER(node_raw[[#This Row],[Column3]]), node_raw[[#This Row],[Column3]],"")</f>
        <v/>
      </c>
      <c r="E301" s="57" t="str">
        <f>IF(ISNUMBER(node_raw[[#This Row],[Column4]]), node_raw[[#This Row],[Column4]]/1048576,"")</f>
        <v/>
      </c>
      <c r="F301" s="139" t="str">
        <f>IF(ISNUMBER(node_raw[[#This Row],[Column5]]), node_raw[[#This Row],[Column5]],"")</f>
        <v/>
      </c>
      <c r="G301" s="153" t="str">
        <f t="shared" si="8"/>
        <v/>
      </c>
      <c r="H301" s="140" t="str">
        <f>IF(ISNUMBER(node_raw[[#This Row],[Column6]]), node_raw[[#This Row],[Column6]]/1048576,"")</f>
        <v/>
      </c>
      <c r="I301" s="157" t="str">
        <f t="shared" si="9"/>
        <v/>
      </c>
      <c r="J301" s="141" t="str">
        <f>IF(ISNONTEXT(node_raw[[#This Row],[Column7]]), "", node_raw[[#This Row],[Column7]]/100)</f>
        <v/>
      </c>
      <c r="K301" s="142" t="str">
        <f>IF(ISNONTEXT(node_raw[[#This Row],[Column8]]), "", node_raw[[#This Row],[Column8]]/100)</f>
        <v/>
      </c>
      <c r="L301" s="143" t="str">
        <f>IF(ISNONTEXT(node_raw[[#This Row],[Column9]]), "", node_raw[[#This Row],[Column9]]/1)</f>
        <v/>
      </c>
      <c r="M301" s="144" t="str">
        <f>IF(ISNONTEXT(node_raw[[#This Row],[Column10]]), "", node_raw[[#This Row],[Column10]]/1)</f>
        <v/>
      </c>
    </row>
    <row r="302" spans="2:13" ht="15.75" customHeight="1" x14ac:dyDescent="0.25">
      <c r="B302" s="30" t="str">
        <f>IF(ISNONTEXT(node_raw[[#This Row],[Column1]]), "", node_raw[[#This Row],[Column1]])</f>
        <v/>
      </c>
      <c r="C302" s="27" t="str">
        <f>IF(ISNONTEXT(node_raw[[#This Row],[Column2]]), "", node_raw[[#This Row],[Column2]])</f>
        <v/>
      </c>
      <c r="D302" s="54" t="str">
        <f>IF(ISNUMBER(node_raw[[#This Row],[Column3]]), node_raw[[#This Row],[Column3]],"")</f>
        <v/>
      </c>
      <c r="E302" s="57" t="str">
        <f>IF(ISNUMBER(node_raw[[#This Row],[Column4]]), node_raw[[#This Row],[Column4]]/1048576,"")</f>
        <v/>
      </c>
      <c r="F302" s="139" t="str">
        <f>IF(ISNUMBER(node_raw[[#This Row],[Column5]]), node_raw[[#This Row],[Column5]],"")</f>
        <v/>
      </c>
      <c r="G302" s="153" t="str">
        <f t="shared" si="8"/>
        <v/>
      </c>
      <c r="H302" s="140" t="str">
        <f>IF(ISNUMBER(node_raw[[#This Row],[Column6]]), node_raw[[#This Row],[Column6]]/1048576,"")</f>
        <v/>
      </c>
      <c r="I302" s="157" t="str">
        <f t="shared" si="9"/>
        <v/>
      </c>
      <c r="J302" s="141" t="str">
        <f>IF(ISNONTEXT(node_raw[[#This Row],[Column7]]), "", node_raw[[#This Row],[Column7]]/100)</f>
        <v/>
      </c>
      <c r="K302" s="142" t="str">
        <f>IF(ISNONTEXT(node_raw[[#This Row],[Column8]]), "", node_raw[[#This Row],[Column8]]/100)</f>
        <v/>
      </c>
      <c r="L302" s="143" t="str">
        <f>IF(ISNONTEXT(node_raw[[#This Row],[Column9]]), "", node_raw[[#This Row],[Column9]]/1)</f>
        <v/>
      </c>
      <c r="M302" s="144" t="str">
        <f>IF(ISNONTEXT(node_raw[[#This Row],[Column10]]), "", node_raw[[#This Row],[Column10]]/1)</f>
        <v/>
      </c>
    </row>
    <row r="303" spans="2:13" ht="15.75" customHeight="1" x14ac:dyDescent="0.25">
      <c r="B303" s="30" t="str">
        <f>IF(ISNONTEXT(node_raw[[#This Row],[Column1]]), "", node_raw[[#This Row],[Column1]])</f>
        <v/>
      </c>
      <c r="C303" s="27" t="str">
        <f>IF(ISNONTEXT(node_raw[[#This Row],[Column2]]), "", node_raw[[#This Row],[Column2]])</f>
        <v/>
      </c>
      <c r="D303" s="54" t="str">
        <f>IF(ISNUMBER(node_raw[[#This Row],[Column3]]), node_raw[[#This Row],[Column3]],"")</f>
        <v/>
      </c>
      <c r="E303" s="57" t="str">
        <f>IF(ISNUMBER(node_raw[[#This Row],[Column4]]), node_raw[[#This Row],[Column4]]/1048576,"")</f>
        <v/>
      </c>
      <c r="F303" s="139" t="str">
        <f>IF(ISNUMBER(node_raw[[#This Row],[Column5]]), node_raw[[#This Row],[Column5]],"")</f>
        <v/>
      </c>
      <c r="G303" s="153" t="str">
        <f t="shared" si="8"/>
        <v/>
      </c>
      <c r="H303" s="140" t="str">
        <f>IF(ISNUMBER(node_raw[[#This Row],[Column6]]), node_raw[[#This Row],[Column6]]/1048576,"")</f>
        <v/>
      </c>
      <c r="I303" s="157" t="str">
        <f t="shared" si="9"/>
        <v/>
      </c>
      <c r="J303" s="141" t="str">
        <f>IF(ISNONTEXT(node_raw[[#This Row],[Column7]]), "", node_raw[[#This Row],[Column7]]/100)</f>
        <v/>
      </c>
      <c r="K303" s="142" t="str">
        <f>IF(ISNONTEXT(node_raw[[#This Row],[Column8]]), "", node_raw[[#This Row],[Column8]]/100)</f>
        <v/>
      </c>
      <c r="L303" s="143" t="str">
        <f>IF(ISNONTEXT(node_raw[[#This Row],[Column9]]), "", node_raw[[#This Row],[Column9]]/1)</f>
        <v/>
      </c>
      <c r="M303" s="144" t="str">
        <f>IF(ISNONTEXT(node_raw[[#This Row],[Column10]]), "", node_raw[[#This Row],[Column10]]/1)</f>
        <v/>
      </c>
    </row>
    <row r="304" spans="2:13" ht="15.75" customHeight="1" x14ac:dyDescent="0.25">
      <c r="B304" s="30" t="str">
        <f>IF(ISNONTEXT(node_raw[[#This Row],[Column1]]), "", node_raw[[#This Row],[Column1]])</f>
        <v/>
      </c>
      <c r="C304" s="27" t="str">
        <f>IF(ISNONTEXT(node_raw[[#This Row],[Column2]]), "", node_raw[[#This Row],[Column2]])</f>
        <v/>
      </c>
      <c r="D304" s="54" t="str">
        <f>IF(ISNUMBER(node_raw[[#This Row],[Column3]]), node_raw[[#This Row],[Column3]],"")</f>
        <v/>
      </c>
      <c r="E304" s="57" t="str">
        <f>IF(ISNUMBER(node_raw[[#This Row],[Column4]]), node_raw[[#This Row],[Column4]]/1048576,"")</f>
        <v/>
      </c>
      <c r="F304" s="139" t="str">
        <f>IF(ISNUMBER(node_raw[[#This Row],[Column5]]), node_raw[[#This Row],[Column5]],"")</f>
        <v/>
      </c>
      <c r="G304" s="153" t="str">
        <f t="shared" si="8"/>
        <v/>
      </c>
      <c r="H304" s="140" t="str">
        <f>IF(ISNUMBER(node_raw[[#This Row],[Column6]]), node_raw[[#This Row],[Column6]]/1048576,"")</f>
        <v/>
      </c>
      <c r="I304" s="157" t="str">
        <f t="shared" si="9"/>
        <v/>
      </c>
      <c r="J304" s="141" t="str">
        <f>IF(ISNONTEXT(node_raw[[#This Row],[Column7]]), "", node_raw[[#This Row],[Column7]]/100)</f>
        <v/>
      </c>
      <c r="K304" s="142" t="str">
        <f>IF(ISNONTEXT(node_raw[[#This Row],[Column8]]), "", node_raw[[#This Row],[Column8]]/100)</f>
        <v/>
      </c>
      <c r="L304" s="143" t="str">
        <f>IF(ISNONTEXT(node_raw[[#This Row],[Column9]]), "", node_raw[[#This Row],[Column9]]/1)</f>
        <v/>
      </c>
      <c r="M304" s="144" t="str">
        <f>IF(ISNONTEXT(node_raw[[#This Row],[Column10]]), "", node_raw[[#This Row],[Column10]]/1)</f>
        <v/>
      </c>
    </row>
    <row r="305" spans="2:13" ht="15.75" customHeight="1" x14ac:dyDescent="0.25">
      <c r="B305" s="30" t="str">
        <f>IF(ISNONTEXT(node_raw[[#This Row],[Column1]]), "", node_raw[[#This Row],[Column1]])</f>
        <v/>
      </c>
      <c r="C305" s="27" t="str">
        <f>IF(ISNONTEXT(node_raw[[#This Row],[Column2]]), "", node_raw[[#This Row],[Column2]])</f>
        <v/>
      </c>
      <c r="D305" s="54" t="str">
        <f>IF(ISNUMBER(node_raw[[#This Row],[Column3]]), node_raw[[#This Row],[Column3]],"")</f>
        <v/>
      </c>
      <c r="E305" s="57" t="str">
        <f>IF(ISNUMBER(node_raw[[#This Row],[Column4]]), node_raw[[#This Row],[Column4]]/1048576,"")</f>
        <v/>
      </c>
      <c r="F305" s="139" t="str">
        <f>IF(ISNUMBER(node_raw[[#This Row],[Column5]]), node_raw[[#This Row],[Column5]],"")</f>
        <v/>
      </c>
      <c r="G305" s="153" t="str">
        <f t="shared" si="8"/>
        <v/>
      </c>
      <c r="H305" s="140" t="str">
        <f>IF(ISNUMBER(node_raw[[#This Row],[Column6]]), node_raw[[#This Row],[Column6]]/1048576,"")</f>
        <v/>
      </c>
      <c r="I305" s="157" t="str">
        <f t="shared" si="9"/>
        <v/>
      </c>
      <c r="J305" s="141" t="str">
        <f>IF(ISNONTEXT(node_raw[[#This Row],[Column7]]), "", node_raw[[#This Row],[Column7]]/100)</f>
        <v/>
      </c>
      <c r="K305" s="142" t="str">
        <f>IF(ISNONTEXT(node_raw[[#This Row],[Column8]]), "", node_raw[[#This Row],[Column8]]/100)</f>
        <v/>
      </c>
      <c r="L305" s="143" t="str">
        <f>IF(ISNONTEXT(node_raw[[#This Row],[Column9]]), "", node_raw[[#This Row],[Column9]]/1)</f>
        <v/>
      </c>
      <c r="M305" s="144" t="str">
        <f>IF(ISNONTEXT(node_raw[[#This Row],[Column10]]), "", node_raw[[#This Row],[Column10]]/1)</f>
        <v/>
      </c>
    </row>
    <row r="306" spans="2:13" ht="15.75" customHeight="1" x14ac:dyDescent="0.25">
      <c r="B306" s="30" t="str">
        <f>IF(ISNONTEXT(node_raw[[#This Row],[Column1]]), "", node_raw[[#This Row],[Column1]])</f>
        <v/>
      </c>
      <c r="C306" s="27" t="str">
        <f>IF(ISNONTEXT(node_raw[[#This Row],[Column2]]), "", node_raw[[#This Row],[Column2]])</f>
        <v/>
      </c>
      <c r="D306" s="54" t="str">
        <f>IF(ISNUMBER(node_raw[[#This Row],[Column3]]), node_raw[[#This Row],[Column3]],"")</f>
        <v/>
      </c>
      <c r="E306" s="57" t="str">
        <f>IF(ISNUMBER(node_raw[[#This Row],[Column4]]), node_raw[[#This Row],[Column4]]/1048576,"")</f>
        <v/>
      </c>
      <c r="F306" s="139" t="str">
        <f>IF(ISNUMBER(node_raw[[#This Row],[Column5]]), node_raw[[#This Row],[Column5]],"")</f>
        <v/>
      </c>
      <c r="G306" s="153" t="str">
        <f t="shared" si="8"/>
        <v/>
      </c>
      <c r="H306" s="140" t="str">
        <f>IF(ISNUMBER(node_raw[[#This Row],[Column6]]), node_raw[[#This Row],[Column6]]/1048576,"")</f>
        <v/>
      </c>
      <c r="I306" s="157" t="str">
        <f t="shared" si="9"/>
        <v/>
      </c>
      <c r="J306" s="141" t="str">
        <f>IF(ISNONTEXT(node_raw[[#This Row],[Column7]]), "", node_raw[[#This Row],[Column7]]/100)</f>
        <v/>
      </c>
      <c r="K306" s="142" t="str">
        <f>IF(ISNONTEXT(node_raw[[#This Row],[Column8]]), "", node_raw[[#This Row],[Column8]]/100)</f>
        <v/>
      </c>
      <c r="L306" s="143" t="str">
        <f>IF(ISNONTEXT(node_raw[[#This Row],[Column9]]), "", node_raw[[#This Row],[Column9]]/1)</f>
        <v/>
      </c>
      <c r="M306" s="144" t="str">
        <f>IF(ISNONTEXT(node_raw[[#This Row],[Column10]]), "", node_raw[[#This Row],[Column10]]/1)</f>
        <v/>
      </c>
    </row>
    <row r="307" spans="2:13" ht="15.75" customHeight="1" x14ac:dyDescent="0.25">
      <c r="B307" s="30" t="str">
        <f>IF(ISNONTEXT(node_raw[[#This Row],[Column1]]), "", node_raw[[#This Row],[Column1]])</f>
        <v/>
      </c>
      <c r="C307" s="27" t="str">
        <f>IF(ISNONTEXT(node_raw[[#This Row],[Column2]]), "", node_raw[[#This Row],[Column2]])</f>
        <v/>
      </c>
      <c r="D307" s="54" t="str">
        <f>IF(ISNUMBER(node_raw[[#This Row],[Column3]]), node_raw[[#This Row],[Column3]],"")</f>
        <v/>
      </c>
      <c r="E307" s="57" t="str">
        <f>IF(ISNUMBER(node_raw[[#This Row],[Column4]]), node_raw[[#This Row],[Column4]]/1048576,"")</f>
        <v/>
      </c>
      <c r="F307" s="139" t="str">
        <f>IF(ISNUMBER(node_raw[[#This Row],[Column5]]), node_raw[[#This Row],[Column5]],"")</f>
        <v/>
      </c>
      <c r="G307" s="153" t="str">
        <f t="shared" si="8"/>
        <v/>
      </c>
      <c r="H307" s="140" t="str">
        <f>IF(ISNUMBER(node_raw[[#This Row],[Column6]]), node_raw[[#This Row],[Column6]]/1048576,"")</f>
        <v/>
      </c>
      <c r="I307" s="157" t="str">
        <f t="shared" si="9"/>
        <v/>
      </c>
      <c r="J307" s="141" t="str">
        <f>IF(ISNONTEXT(node_raw[[#This Row],[Column7]]), "", node_raw[[#This Row],[Column7]]/100)</f>
        <v/>
      </c>
      <c r="K307" s="142" t="str">
        <f>IF(ISNONTEXT(node_raw[[#This Row],[Column8]]), "", node_raw[[#This Row],[Column8]]/100)</f>
        <v/>
      </c>
      <c r="L307" s="143" t="str">
        <f>IF(ISNONTEXT(node_raw[[#This Row],[Column9]]), "", node_raw[[#This Row],[Column9]]/1)</f>
        <v/>
      </c>
      <c r="M307" s="144" t="str">
        <f>IF(ISNONTEXT(node_raw[[#This Row],[Column10]]), "", node_raw[[#This Row],[Column10]]/1)</f>
        <v/>
      </c>
    </row>
    <row r="308" spans="2:13" ht="15.75" customHeight="1" x14ac:dyDescent="0.25">
      <c r="B308" s="30" t="str">
        <f>IF(ISNONTEXT(node_raw[[#This Row],[Column1]]), "", node_raw[[#This Row],[Column1]])</f>
        <v/>
      </c>
      <c r="C308" s="27" t="str">
        <f>IF(ISNONTEXT(node_raw[[#This Row],[Column2]]), "", node_raw[[#This Row],[Column2]])</f>
        <v/>
      </c>
      <c r="D308" s="54" t="str">
        <f>IF(ISNUMBER(node_raw[[#This Row],[Column3]]), node_raw[[#This Row],[Column3]],"")</f>
        <v/>
      </c>
      <c r="E308" s="57" t="str">
        <f>IF(ISNUMBER(node_raw[[#This Row],[Column4]]), node_raw[[#This Row],[Column4]]/1048576,"")</f>
        <v/>
      </c>
      <c r="F308" s="139" t="str">
        <f>IF(ISNUMBER(node_raw[[#This Row],[Column5]]), node_raw[[#This Row],[Column5]],"")</f>
        <v/>
      </c>
      <c r="G308" s="153" t="str">
        <f t="shared" si="8"/>
        <v/>
      </c>
      <c r="H308" s="140" t="str">
        <f>IF(ISNUMBER(node_raw[[#This Row],[Column6]]), node_raw[[#This Row],[Column6]]/1048576,"")</f>
        <v/>
      </c>
      <c r="I308" s="157" t="str">
        <f t="shared" si="9"/>
        <v/>
      </c>
      <c r="J308" s="141" t="str">
        <f>IF(ISNONTEXT(node_raw[[#This Row],[Column7]]), "", node_raw[[#This Row],[Column7]]/100)</f>
        <v/>
      </c>
      <c r="K308" s="142" t="str">
        <f>IF(ISNONTEXT(node_raw[[#This Row],[Column8]]), "", node_raw[[#This Row],[Column8]]/100)</f>
        <v/>
      </c>
      <c r="L308" s="143" t="str">
        <f>IF(ISNONTEXT(node_raw[[#This Row],[Column9]]), "", node_raw[[#This Row],[Column9]]/1)</f>
        <v/>
      </c>
      <c r="M308" s="144" t="str">
        <f>IF(ISNONTEXT(node_raw[[#This Row],[Column10]]), "", node_raw[[#This Row],[Column10]]/1)</f>
        <v/>
      </c>
    </row>
    <row r="309" spans="2:13" ht="15.75" customHeight="1" x14ac:dyDescent="0.25">
      <c r="B309" s="30" t="str">
        <f>IF(ISNONTEXT(node_raw[[#This Row],[Column1]]), "", node_raw[[#This Row],[Column1]])</f>
        <v/>
      </c>
      <c r="C309" s="27" t="str">
        <f>IF(ISNONTEXT(node_raw[[#This Row],[Column2]]), "", node_raw[[#This Row],[Column2]])</f>
        <v/>
      </c>
      <c r="D309" s="54" t="str">
        <f>IF(ISNUMBER(node_raw[[#This Row],[Column3]]), node_raw[[#This Row],[Column3]],"")</f>
        <v/>
      </c>
      <c r="E309" s="57" t="str">
        <f>IF(ISNUMBER(node_raw[[#This Row],[Column4]]), node_raw[[#This Row],[Column4]]/1048576,"")</f>
        <v/>
      </c>
      <c r="F309" s="139" t="str">
        <f>IF(ISNUMBER(node_raw[[#This Row],[Column5]]), node_raw[[#This Row],[Column5]],"")</f>
        <v/>
      </c>
      <c r="G309" s="153" t="str">
        <f t="shared" si="8"/>
        <v/>
      </c>
      <c r="H309" s="140" t="str">
        <f>IF(ISNUMBER(node_raw[[#This Row],[Column6]]), node_raw[[#This Row],[Column6]]/1048576,"")</f>
        <v/>
      </c>
      <c r="I309" s="157" t="str">
        <f t="shared" si="9"/>
        <v/>
      </c>
      <c r="J309" s="141" t="str">
        <f>IF(ISNONTEXT(node_raw[[#This Row],[Column7]]), "", node_raw[[#This Row],[Column7]]/100)</f>
        <v/>
      </c>
      <c r="K309" s="142" t="str">
        <f>IF(ISNONTEXT(node_raw[[#This Row],[Column8]]), "", node_raw[[#This Row],[Column8]]/100)</f>
        <v/>
      </c>
      <c r="L309" s="143" t="str">
        <f>IF(ISNONTEXT(node_raw[[#This Row],[Column9]]), "", node_raw[[#This Row],[Column9]]/1)</f>
        <v/>
      </c>
      <c r="M309" s="144" t="str">
        <f>IF(ISNONTEXT(node_raw[[#This Row],[Column10]]), "", node_raw[[#This Row],[Column10]]/1)</f>
        <v/>
      </c>
    </row>
    <row r="310" spans="2:13" ht="15.75" customHeight="1" x14ac:dyDescent="0.25">
      <c r="B310" s="30" t="str">
        <f>IF(ISNONTEXT(node_raw[[#This Row],[Column1]]), "", node_raw[[#This Row],[Column1]])</f>
        <v/>
      </c>
      <c r="C310" s="27" t="str">
        <f>IF(ISNONTEXT(node_raw[[#This Row],[Column2]]), "", node_raw[[#This Row],[Column2]])</f>
        <v/>
      </c>
      <c r="D310" s="54" t="str">
        <f>IF(ISNUMBER(node_raw[[#This Row],[Column3]]), node_raw[[#This Row],[Column3]],"")</f>
        <v/>
      </c>
      <c r="E310" s="57" t="str">
        <f>IF(ISNUMBER(node_raw[[#This Row],[Column4]]), node_raw[[#This Row],[Column4]]/1048576,"")</f>
        <v/>
      </c>
      <c r="F310" s="139" t="str">
        <f>IF(ISNUMBER(node_raw[[#This Row],[Column5]]), node_raw[[#This Row],[Column5]],"")</f>
        <v/>
      </c>
      <c r="G310" s="153" t="str">
        <f t="shared" si="8"/>
        <v/>
      </c>
      <c r="H310" s="140" t="str">
        <f>IF(ISNUMBER(node_raw[[#This Row],[Column6]]), node_raw[[#This Row],[Column6]]/1048576,"")</f>
        <v/>
      </c>
      <c r="I310" s="157" t="str">
        <f t="shared" si="9"/>
        <v/>
      </c>
      <c r="J310" s="141" t="str">
        <f>IF(ISNONTEXT(node_raw[[#This Row],[Column7]]), "", node_raw[[#This Row],[Column7]]/100)</f>
        <v/>
      </c>
      <c r="K310" s="142" t="str">
        <f>IF(ISNONTEXT(node_raw[[#This Row],[Column8]]), "", node_raw[[#This Row],[Column8]]/100)</f>
        <v/>
      </c>
      <c r="L310" s="143" t="str">
        <f>IF(ISNONTEXT(node_raw[[#This Row],[Column9]]), "", node_raw[[#This Row],[Column9]]/1)</f>
        <v/>
      </c>
      <c r="M310" s="144" t="str">
        <f>IF(ISNONTEXT(node_raw[[#This Row],[Column10]]), "", node_raw[[#This Row],[Column10]]/1)</f>
        <v/>
      </c>
    </row>
    <row r="311" spans="2:13" ht="15.75" customHeight="1" x14ac:dyDescent="0.25">
      <c r="B311" s="30" t="str">
        <f>IF(ISNONTEXT(node_raw[[#This Row],[Column1]]), "", node_raw[[#This Row],[Column1]])</f>
        <v/>
      </c>
      <c r="C311" s="27" t="str">
        <f>IF(ISNONTEXT(node_raw[[#This Row],[Column2]]), "", node_raw[[#This Row],[Column2]])</f>
        <v/>
      </c>
      <c r="D311" s="54" t="str">
        <f>IF(ISNUMBER(node_raw[[#This Row],[Column3]]), node_raw[[#This Row],[Column3]],"")</f>
        <v/>
      </c>
      <c r="E311" s="57" t="str">
        <f>IF(ISNUMBER(node_raw[[#This Row],[Column4]]), node_raw[[#This Row],[Column4]]/1048576,"")</f>
        <v/>
      </c>
      <c r="F311" s="139" t="str">
        <f>IF(ISNUMBER(node_raw[[#This Row],[Column5]]), node_raw[[#This Row],[Column5]],"")</f>
        <v/>
      </c>
      <c r="G311" s="153" t="str">
        <f t="shared" si="8"/>
        <v/>
      </c>
      <c r="H311" s="140" t="str">
        <f>IF(ISNUMBER(node_raw[[#This Row],[Column6]]), node_raw[[#This Row],[Column6]]/1048576,"")</f>
        <v/>
      </c>
      <c r="I311" s="157" t="str">
        <f t="shared" si="9"/>
        <v/>
      </c>
      <c r="J311" s="141" t="str">
        <f>IF(ISNONTEXT(node_raw[[#This Row],[Column7]]), "", node_raw[[#This Row],[Column7]]/100)</f>
        <v/>
      </c>
      <c r="K311" s="142" t="str">
        <f>IF(ISNONTEXT(node_raw[[#This Row],[Column8]]), "", node_raw[[#This Row],[Column8]]/100)</f>
        <v/>
      </c>
      <c r="L311" s="143" t="str">
        <f>IF(ISNONTEXT(node_raw[[#This Row],[Column9]]), "", node_raw[[#This Row],[Column9]]/1)</f>
        <v/>
      </c>
      <c r="M311" s="144" t="str">
        <f>IF(ISNONTEXT(node_raw[[#This Row],[Column10]]), "", node_raw[[#This Row],[Column10]]/1)</f>
        <v/>
      </c>
    </row>
    <row r="312" spans="2:13" ht="15.75" customHeight="1" x14ac:dyDescent="0.25">
      <c r="B312" s="30" t="str">
        <f>IF(ISNONTEXT(node_raw[[#This Row],[Column1]]), "", node_raw[[#This Row],[Column1]])</f>
        <v/>
      </c>
      <c r="C312" s="27" t="str">
        <f>IF(ISNONTEXT(node_raw[[#This Row],[Column2]]), "", node_raw[[#This Row],[Column2]])</f>
        <v/>
      </c>
      <c r="D312" s="54" t="str">
        <f>IF(ISNUMBER(node_raw[[#This Row],[Column3]]), node_raw[[#This Row],[Column3]],"")</f>
        <v/>
      </c>
      <c r="E312" s="57" t="str">
        <f>IF(ISNUMBER(node_raw[[#This Row],[Column4]]), node_raw[[#This Row],[Column4]]/1048576,"")</f>
        <v/>
      </c>
      <c r="F312" s="139" t="str">
        <f>IF(ISNUMBER(node_raw[[#This Row],[Column5]]), node_raw[[#This Row],[Column5]],"")</f>
        <v/>
      </c>
      <c r="G312" s="153" t="str">
        <f t="shared" si="8"/>
        <v/>
      </c>
      <c r="H312" s="140" t="str">
        <f>IF(ISNUMBER(node_raw[[#This Row],[Column6]]), node_raw[[#This Row],[Column6]]/1048576,"")</f>
        <v/>
      </c>
      <c r="I312" s="157" t="str">
        <f t="shared" si="9"/>
        <v/>
      </c>
      <c r="J312" s="141" t="str">
        <f>IF(ISNONTEXT(node_raw[[#This Row],[Column7]]), "", node_raw[[#This Row],[Column7]]/100)</f>
        <v/>
      </c>
      <c r="K312" s="142" t="str">
        <f>IF(ISNONTEXT(node_raw[[#This Row],[Column8]]), "", node_raw[[#This Row],[Column8]]/100)</f>
        <v/>
      </c>
      <c r="L312" s="143" t="str">
        <f>IF(ISNONTEXT(node_raw[[#This Row],[Column9]]), "", node_raw[[#This Row],[Column9]]/1)</f>
        <v/>
      </c>
      <c r="M312" s="144" t="str">
        <f>IF(ISNONTEXT(node_raw[[#This Row],[Column10]]), "", node_raw[[#This Row],[Column10]]/1)</f>
        <v/>
      </c>
    </row>
    <row r="313" spans="2:13" ht="15.75" customHeight="1" x14ac:dyDescent="0.25">
      <c r="B313" s="30" t="str">
        <f>IF(ISNONTEXT(node_raw[[#This Row],[Column1]]), "", node_raw[[#This Row],[Column1]])</f>
        <v/>
      </c>
      <c r="C313" s="27" t="str">
        <f>IF(ISNONTEXT(node_raw[[#This Row],[Column2]]), "", node_raw[[#This Row],[Column2]])</f>
        <v/>
      </c>
      <c r="D313" s="54" t="str">
        <f>IF(ISNUMBER(node_raw[[#This Row],[Column3]]), node_raw[[#This Row],[Column3]],"")</f>
        <v/>
      </c>
      <c r="E313" s="57" t="str">
        <f>IF(ISNUMBER(node_raw[[#This Row],[Column4]]), node_raw[[#This Row],[Column4]]/1048576,"")</f>
        <v/>
      </c>
      <c r="F313" s="139" t="str">
        <f>IF(ISNUMBER(node_raw[[#This Row],[Column5]]), node_raw[[#This Row],[Column5]],"")</f>
        <v/>
      </c>
      <c r="G313" s="153" t="str">
        <f t="shared" si="8"/>
        <v/>
      </c>
      <c r="H313" s="140" t="str">
        <f>IF(ISNUMBER(node_raw[[#This Row],[Column6]]), node_raw[[#This Row],[Column6]]/1048576,"")</f>
        <v/>
      </c>
      <c r="I313" s="157" t="str">
        <f t="shared" si="9"/>
        <v/>
      </c>
      <c r="J313" s="141" t="str">
        <f>IF(ISNONTEXT(node_raw[[#This Row],[Column7]]), "", node_raw[[#This Row],[Column7]]/100)</f>
        <v/>
      </c>
      <c r="K313" s="142" t="str">
        <f>IF(ISNONTEXT(node_raw[[#This Row],[Column8]]), "", node_raw[[#This Row],[Column8]]/100)</f>
        <v/>
      </c>
      <c r="L313" s="143" t="str">
        <f>IF(ISNONTEXT(node_raw[[#This Row],[Column9]]), "", node_raw[[#This Row],[Column9]]/1)</f>
        <v/>
      </c>
      <c r="M313" s="144" t="str">
        <f>IF(ISNONTEXT(node_raw[[#This Row],[Column10]]), "", node_raw[[#This Row],[Column10]]/1)</f>
        <v/>
      </c>
    </row>
    <row r="314" spans="2:13" ht="15.75" customHeight="1" x14ac:dyDescent="0.25">
      <c r="B314" s="30" t="str">
        <f>IF(ISNONTEXT(node_raw[[#This Row],[Column1]]), "", node_raw[[#This Row],[Column1]])</f>
        <v/>
      </c>
      <c r="C314" s="27" t="str">
        <f>IF(ISNONTEXT(node_raw[[#This Row],[Column2]]), "", node_raw[[#This Row],[Column2]])</f>
        <v/>
      </c>
      <c r="D314" s="54" t="str">
        <f>IF(ISNUMBER(node_raw[[#This Row],[Column3]]), node_raw[[#This Row],[Column3]],"")</f>
        <v/>
      </c>
      <c r="E314" s="57" t="str">
        <f>IF(ISNUMBER(node_raw[[#This Row],[Column4]]), node_raw[[#This Row],[Column4]]/1048576,"")</f>
        <v/>
      </c>
      <c r="F314" s="139" t="str">
        <f>IF(ISNUMBER(node_raw[[#This Row],[Column5]]), node_raw[[#This Row],[Column5]],"")</f>
        <v/>
      </c>
      <c r="G314" s="153" t="str">
        <f t="shared" si="8"/>
        <v/>
      </c>
      <c r="H314" s="140" t="str">
        <f>IF(ISNUMBER(node_raw[[#This Row],[Column6]]), node_raw[[#This Row],[Column6]]/1048576,"")</f>
        <v/>
      </c>
      <c r="I314" s="157" t="str">
        <f t="shared" si="9"/>
        <v/>
      </c>
      <c r="J314" s="141" t="str">
        <f>IF(ISNONTEXT(node_raw[[#This Row],[Column7]]), "", node_raw[[#This Row],[Column7]]/100)</f>
        <v/>
      </c>
      <c r="K314" s="142" t="str">
        <f>IF(ISNONTEXT(node_raw[[#This Row],[Column8]]), "", node_raw[[#This Row],[Column8]]/100)</f>
        <v/>
      </c>
      <c r="L314" s="143" t="str">
        <f>IF(ISNONTEXT(node_raw[[#This Row],[Column9]]), "", node_raw[[#This Row],[Column9]]/1)</f>
        <v/>
      </c>
      <c r="M314" s="144" t="str">
        <f>IF(ISNONTEXT(node_raw[[#This Row],[Column10]]), "", node_raw[[#This Row],[Column10]]/1)</f>
        <v/>
      </c>
    </row>
    <row r="315" spans="2:13" ht="15.75" customHeight="1" x14ac:dyDescent="0.25">
      <c r="B315" s="30" t="str">
        <f>IF(ISNONTEXT(node_raw[[#This Row],[Column1]]), "", node_raw[[#This Row],[Column1]])</f>
        <v/>
      </c>
      <c r="C315" s="27" t="str">
        <f>IF(ISNONTEXT(node_raw[[#This Row],[Column2]]), "", node_raw[[#This Row],[Column2]])</f>
        <v/>
      </c>
      <c r="D315" s="54" t="str">
        <f>IF(ISNUMBER(node_raw[[#This Row],[Column3]]), node_raw[[#This Row],[Column3]],"")</f>
        <v/>
      </c>
      <c r="E315" s="57" t="str">
        <f>IF(ISNUMBER(node_raw[[#This Row],[Column4]]), node_raw[[#This Row],[Column4]]/1048576,"")</f>
        <v/>
      </c>
      <c r="F315" s="139" t="str">
        <f>IF(ISNUMBER(node_raw[[#This Row],[Column5]]), node_raw[[#This Row],[Column5]],"")</f>
        <v/>
      </c>
      <c r="G315" s="153" t="str">
        <f t="shared" si="8"/>
        <v/>
      </c>
      <c r="H315" s="140" t="str">
        <f>IF(ISNUMBER(node_raw[[#This Row],[Column6]]), node_raw[[#This Row],[Column6]]/1048576,"")</f>
        <v/>
      </c>
      <c r="I315" s="157" t="str">
        <f t="shared" si="9"/>
        <v/>
      </c>
      <c r="J315" s="141" t="str">
        <f>IF(ISNONTEXT(node_raw[[#This Row],[Column7]]), "", node_raw[[#This Row],[Column7]]/100)</f>
        <v/>
      </c>
      <c r="K315" s="142" t="str">
        <f>IF(ISNONTEXT(node_raw[[#This Row],[Column8]]), "", node_raw[[#This Row],[Column8]]/100)</f>
        <v/>
      </c>
      <c r="L315" s="143" t="str">
        <f>IF(ISNONTEXT(node_raw[[#This Row],[Column9]]), "", node_raw[[#This Row],[Column9]]/1)</f>
        <v/>
      </c>
      <c r="M315" s="144" t="str">
        <f>IF(ISNONTEXT(node_raw[[#This Row],[Column10]]), "", node_raw[[#This Row],[Column10]]/1)</f>
        <v/>
      </c>
    </row>
    <row r="316" spans="2:13" ht="15.75" customHeight="1" x14ac:dyDescent="0.25">
      <c r="B316" s="30" t="str">
        <f>IF(ISNONTEXT(node_raw[[#This Row],[Column1]]), "", node_raw[[#This Row],[Column1]])</f>
        <v/>
      </c>
      <c r="C316" s="27" t="str">
        <f>IF(ISNONTEXT(node_raw[[#This Row],[Column2]]), "", node_raw[[#This Row],[Column2]])</f>
        <v/>
      </c>
      <c r="D316" s="54" t="str">
        <f>IF(ISNUMBER(node_raw[[#This Row],[Column3]]), node_raw[[#This Row],[Column3]],"")</f>
        <v/>
      </c>
      <c r="E316" s="57" t="str">
        <f>IF(ISNUMBER(node_raw[[#This Row],[Column4]]), node_raw[[#This Row],[Column4]]/1048576,"")</f>
        <v/>
      </c>
      <c r="F316" s="139" t="str">
        <f>IF(ISNUMBER(node_raw[[#This Row],[Column5]]), node_raw[[#This Row],[Column5]],"")</f>
        <v/>
      </c>
      <c r="G316" s="153" t="str">
        <f t="shared" si="8"/>
        <v/>
      </c>
      <c r="H316" s="140" t="str">
        <f>IF(ISNUMBER(node_raw[[#This Row],[Column6]]), node_raw[[#This Row],[Column6]]/1048576,"")</f>
        <v/>
      </c>
      <c r="I316" s="157" t="str">
        <f t="shared" si="9"/>
        <v/>
      </c>
      <c r="J316" s="141" t="str">
        <f>IF(ISNONTEXT(node_raw[[#This Row],[Column7]]), "", node_raw[[#This Row],[Column7]]/100)</f>
        <v/>
      </c>
      <c r="K316" s="142" t="str">
        <f>IF(ISNONTEXT(node_raw[[#This Row],[Column8]]), "", node_raw[[#This Row],[Column8]]/100)</f>
        <v/>
      </c>
      <c r="L316" s="143" t="str">
        <f>IF(ISNONTEXT(node_raw[[#This Row],[Column9]]), "", node_raw[[#This Row],[Column9]]/1)</f>
        <v/>
      </c>
      <c r="M316" s="144" t="str">
        <f>IF(ISNONTEXT(node_raw[[#This Row],[Column10]]), "", node_raw[[#This Row],[Column10]]/1)</f>
        <v/>
      </c>
    </row>
    <row r="317" spans="2:13" ht="15.75" customHeight="1" x14ac:dyDescent="0.25">
      <c r="B317" s="30" t="str">
        <f>IF(ISNONTEXT(node_raw[[#This Row],[Column1]]), "", node_raw[[#This Row],[Column1]])</f>
        <v/>
      </c>
      <c r="C317" s="27" t="str">
        <f>IF(ISNONTEXT(node_raw[[#This Row],[Column2]]), "", node_raw[[#This Row],[Column2]])</f>
        <v/>
      </c>
      <c r="D317" s="54" t="str">
        <f>IF(ISNUMBER(node_raw[[#This Row],[Column3]]), node_raw[[#This Row],[Column3]],"")</f>
        <v/>
      </c>
      <c r="E317" s="57" t="str">
        <f>IF(ISNUMBER(node_raw[[#This Row],[Column4]]), node_raw[[#This Row],[Column4]]/1048576,"")</f>
        <v/>
      </c>
      <c r="F317" s="139" t="str">
        <f>IF(ISNUMBER(node_raw[[#This Row],[Column5]]), node_raw[[#This Row],[Column5]],"")</f>
        <v/>
      </c>
      <c r="G317" s="153" t="str">
        <f t="shared" si="8"/>
        <v/>
      </c>
      <c r="H317" s="140" t="str">
        <f>IF(ISNUMBER(node_raw[[#This Row],[Column6]]), node_raw[[#This Row],[Column6]]/1048576,"")</f>
        <v/>
      </c>
      <c r="I317" s="157" t="str">
        <f t="shared" si="9"/>
        <v/>
      </c>
      <c r="J317" s="141" t="str">
        <f>IF(ISNONTEXT(node_raw[[#This Row],[Column7]]), "", node_raw[[#This Row],[Column7]]/100)</f>
        <v/>
      </c>
      <c r="K317" s="142" t="str">
        <f>IF(ISNONTEXT(node_raw[[#This Row],[Column8]]), "", node_raw[[#This Row],[Column8]]/100)</f>
        <v/>
      </c>
      <c r="L317" s="143" t="str">
        <f>IF(ISNONTEXT(node_raw[[#This Row],[Column9]]), "", node_raw[[#This Row],[Column9]]/1)</f>
        <v/>
      </c>
      <c r="M317" s="144" t="str">
        <f>IF(ISNONTEXT(node_raw[[#This Row],[Column10]]), "", node_raw[[#This Row],[Column10]]/1)</f>
        <v/>
      </c>
    </row>
    <row r="318" spans="2:13" ht="15.75" customHeight="1" x14ac:dyDescent="0.25">
      <c r="B318" s="30" t="str">
        <f>IF(ISNONTEXT(node_raw[[#This Row],[Column1]]), "", node_raw[[#This Row],[Column1]])</f>
        <v/>
      </c>
      <c r="C318" s="27" t="str">
        <f>IF(ISNONTEXT(node_raw[[#This Row],[Column2]]), "", node_raw[[#This Row],[Column2]])</f>
        <v/>
      </c>
      <c r="D318" s="54" t="str">
        <f>IF(ISNUMBER(node_raw[[#This Row],[Column3]]), node_raw[[#This Row],[Column3]],"")</f>
        <v/>
      </c>
      <c r="E318" s="57" t="str">
        <f>IF(ISNUMBER(node_raw[[#This Row],[Column4]]), node_raw[[#This Row],[Column4]]/1048576,"")</f>
        <v/>
      </c>
      <c r="F318" s="139" t="str">
        <f>IF(ISNUMBER(node_raw[[#This Row],[Column5]]), node_raw[[#This Row],[Column5]],"")</f>
        <v/>
      </c>
      <c r="G318" s="153" t="str">
        <f t="shared" si="8"/>
        <v/>
      </c>
      <c r="H318" s="140" t="str">
        <f>IF(ISNUMBER(node_raw[[#This Row],[Column6]]), node_raw[[#This Row],[Column6]]/1048576,"")</f>
        <v/>
      </c>
      <c r="I318" s="157" t="str">
        <f t="shared" si="9"/>
        <v/>
      </c>
      <c r="J318" s="141" t="str">
        <f>IF(ISNONTEXT(node_raw[[#This Row],[Column7]]), "", node_raw[[#This Row],[Column7]]/100)</f>
        <v/>
      </c>
      <c r="K318" s="142" t="str">
        <f>IF(ISNONTEXT(node_raw[[#This Row],[Column8]]), "", node_raw[[#This Row],[Column8]]/100)</f>
        <v/>
      </c>
      <c r="L318" s="143" t="str">
        <f>IF(ISNONTEXT(node_raw[[#This Row],[Column9]]), "", node_raw[[#This Row],[Column9]]/1)</f>
        <v/>
      </c>
      <c r="M318" s="144" t="str">
        <f>IF(ISNONTEXT(node_raw[[#This Row],[Column10]]), "", node_raw[[#This Row],[Column10]]/1)</f>
        <v/>
      </c>
    </row>
    <row r="319" spans="2:13" ht="15.75" customHeight="1" x14ac:dyDescent="0.25">
      <c r="B319" s="30" t="str">
        <f>IF(ISNONTEXT(node_raw[[#This Row],[Column1]]), "", node_raw[[#This Row],[Column1]])</f>
        <v/>
      </c>
      <c r="C319" s="27" t="str">
        <f>IF(ISNONTEXT(node_raw[[#This Row],[Column2]]), "", node_raw[[#This Row],[Column2]])</f>
        <v/>
      </c>
      <c r="D319" s="54" t="str">
        <f>IF(ISNUMBER(node_raw[[#This Row],[Column3]]), node_raw[[#This Row],[Column3]],"")</f>
        <v/>
      </c>
      <c r="E319" s="57" t="str">
        <f>IF(ISNUMBER(node_raw[[#This Row],[Column4]]), node_raw[[#This Row],[Column4]]/1048576,"")</f>
        <v/>
      </c>
      <c r="F319" s="139" t="str">
        <f>IF(ISNUMBER(node_raw[[#This Row],[Column5]]), node_raw[[#This Row],[Column5]],"")</f>
        <v/>
      </c>
      <c r="G319" s="153" t="str">
        <f t="shared" si="8"/>
        <v/>
      </c>
      <c r="H319" s="140" t="str">
        <f>IF(ISNUMBER(node_raw[[#This Row],[Column6]]), node_raw[[#This Row],[Column6]]/1048576,"")</f>
        <v/>
      </c>
      <c r="I319" s="157" t="str">
        <f t="shared" si="9"/>
        <v/>
      </c>
      <c r="J319" s="141" t="str">
        <f>IF(ISNONTEXT(node_raw[[#This Row],[Column7]]), "", node_raw[[#This Row],[Column7]]/100)</f>
        <v/>
      </c>
      <c r="K319" s="142" t="str">
        <f>IF(ISNONTEXT(node_raw[[#This Row],[Column8]]), "", node_raw[[#This Row],[Column8]]/100)</f>
        <v/>
      </c>
      <c r="L319" s="143" t="str">
        <f>IF(ISNONTEXT(node_raw[[#This Row],[Column9]]), "", node_raw[[#This Row],[Column9]]/1)</f>
        <v/>
      </c>
      <c r="M319" s="144" t="str">
        <f>IF(ISNONTEXT(node_raw[[#This Row],[Column10]]), "", node_raw[[#This Row],[Column10]]/1)</f>
        <v/>
      </c>
    </row>
    <row r="320" spans="2:13" ht="15.75" customHeight="1" x14ac:dyDescent="0.25">
      <c r="B320" s="30" t="str">
        <f>IF(ISNONTEXT(node_raw[[#This Row],[Column1]]), "", node_raw[[#This Row],[Column1]])</f>
        <v/>
      </c>
      <c r="C320" s="27" t="str">
        <f>IF(ISNONTEXT(node_raw[[#This Row],[Column2]]), "", node_raw[[#This Row],[Column2]])</f>
        <v/>
      </c>
      <c r="D320" s="54" t="str">
        <f>IF(ISNUMBER(node_raw[[#This Row],[Column3]]), node_raw[[#This Row],[Column3]],"")</f>
        <v/>
      </c>
      <c r="E320" s="57" t="str">
        <f>IF(ISNUMBER(node_raw[[#This Row],[Column4]]), node_raw[[#This Row],[Column4]]/1048576,"")</f>
        <v/>
      </c>
      <c r="F320" s="139" t="str">
        <f>IF(ISNUMBER(node_raw[[#This Row],[Column5]]), node_raw[[#This Row],[Column5]],"")</f>
        <v/>
      </c>
      <c r="G320" s="153" t="str">
        <f t="shared" si="8"/>
        <v/>
      </c>
      <c r="H320" s="140" t="str">
        <f>IF(ISNUMBER(node_raw[[#This Row],[Column6]]), node_raw[[#This Row],[Column6]]/1048576,"")</f>
        <v/>
      </c>
      <c r="I320" s="157" t="str">
        <f t="shared" si="9"/>
        <v/>
      </c>
      <c r="J320" s="141" t="str">
        <f>IF(ISNONTEXT(node_raw[[#This Row],[Column7]]), "", node_raw[[#This Row],[Column7]]/100)</f>
        <v/>
      </c>
      <c r="K320" s="142" t="str">
        <f>IF(ISNONTEXT(node_raw[[#This Row],[Column8]]), "", node_raw[[#This Row],[Column8]]/100)</f>
        <v/>
      </c>
      <c r="L320" s="143" t="str">
        <f>IF(ISNONTEXT(node_raw[[#This Row],[Column9]]), "", node_raw[[#This Row],[Column9]]/1)</f>
        <v/>
      </c>
      <c r="M320" s="144" t="str">
        <f>IF(ISNONTEXT(node_raw[[#This Row],[Column10]]), "", node_raw[[#This Row],[Column10]]/1)</f>
        <v/>
      </c>
    </row>
    <row r="321" spans="2:13" ht="15.75" customHeight="1" x14ac:dyDescent="0.25">
      <c r="B321" s="30" t="str">
        <f>IF(ISNONTEXT(node_raw[[#This Row],[Column1]]), "", node_raw[[#This Row],[Column1]])</f>
        <v/>
      </c>
      <c r="C321" s="27" t="str">
        <f>IF(ISNONTEXT(node_raw[[#This Row],[Column2]]), "", node_raw[[#This Row],[Column2]])</f>
        <v/>
      </c>
      <c r="D321" s="54" t="str">
        <f>IF(ISNUMBER(node_raw[[#This Row],[Column3]]), node_raw[[#This Row],[Column3]],"")</f>
        <v/>
      </c>
      <c r="E321" s="57" t="str">
        <f>IF(ISNUMBER(node_raw[[#This Row],[Column4]]), node_raw[[#This Row],[Column4]]/1048576,"")</f>
        <v/>
      </c>
      <c r="F321" s="139" t="str">
        <f>IF(ISNUMBER(node_raw[[#This Row],[Column5]]), node_raw[[#This Row],[Column5]],"")</f>
        <v/>
      </c>
      <c r="G321" s="153" t="str">
        <f t="shared" si="8"/>
        <v/>
      </c>
      <c r="H321" s="140" t="str">
        <f>IF(ISNUMBER(node_raw[[#This Row],[Column6]]), node_raw[[#This Row],[Column6]]/1048576,"")</f>
        <v/>
      </c>
      <c r="I321" s="157" t="str">
        <f t="shared" si="9"/>
        <v/>
      </c>
      <c r="J321" s="141" t="str">
        <f>IF(ISNONTEXT(node_raw[[#This Row],[Column7]]), "", node_raw[[#This Row],[Column7]]/100)</f>
        <v/>
      </c>
      <c r="K321" s="142" t="str">
        <f>IF(ISNONTEXT(node_raw[[#This Row],[Column8]]), "", node_raw[[#This Row],[Column8]]/100)</f>
        <v/>
      </c>
      <c r="L321" s="143" t="str">
        <f>IF(ISNONTEXT(node_raw[[#This Row],[Column9]]), "", node_raw[[#This Row],[Column9]]/1)</f>
        <v/>
      </c>
      <c r="M321" s="144" t="str">
        <f>IF(ISNONTEXT(node_raw[[#This Row],[Column10]]), "", node_raw[[#This Row],[Column10]]/1)</f>
        <v/>
      </c>
    </row>
    <row r="322" spans="2:13" ht="15.75" customHeight="1" x14ac:dyDescent="0.25">
      <c r="B322" s="30" t="str">
        <f>IF(ISNONTEXT(node_raw[[#This Row],[Column1]]), "", node_raw[[#This Row],[Column1]])</f>
        <v/>
      </c>
      <c r="C322" s="27" t="str">
        <f>IF(ISNONTEXT(node_raw[[#This Row],[Column2]]), "", node_raw[[#This Row],[Column2]])</f>
        <v/>
      </c>
      <c r="D322" s="54" t="str">
        <f>IF(ISNUMBER(node_raw[[#This Row],[Column3]]), node_raw[[#This Row],[Column3]],"")</f>
        <v/>
      </c>
      <c r="E322" s="57" t="str">
        <f>IF(ISNUMBER(node_raw[[#This Row],[Column4]]), node_raw[[#This Row],[Column4]]/1048576,"")</f>
        <v/>
      </c>
      <c r="F322" s="139" t="str">
        <f>IF(ISNUMBER(node_raw[[#This Row],[Column5]]), node_raw[[#This Row],[Column5]],"")</f>
        <v/>
      </c>
      <c r="G322" s="153" t="str">
        <f t="shared" si="8"/>
        <v/>
      </c>
      <c r="H322" s="140" t="str">
        <f>IF(ISNUMBER(node_raw[[#This Row],[Column6]]), node_raw[[#This Row],[Column6]]/1048576,"")</f>
        <v/>
      </c>
      <c r="I322" s="157" t="str">
        <f t="shared" si="9"/>
        <v/>
      </c>
      <c r="J322" s="141" t="str">
        <f>IF(ISNONTEXT(node_raw[[#This Row],[Column7]]), "", node_raw[[#This Row],[Column7]]/100)</f>
        <v/>
      </c>
      <c r="K322" s="142" t="str">
        <f>IF(ISNONTEXT(node_raw[[#This Row],[Column8]]), "", node_raw[[#This Row],[Column8]]/100)</f>
        <v/>
      </c>
      <c r="L322" s="143" t="str">
        <f>IF(ISNONTEXT(node_raw[[#This Row],[Column9]]), "", node_raw[[#This Row],[Column9]]/1)</f>
        <v/>
      </c>
      <c r="M322" s="144" t="str">
        <f>IF(ISNONTEXT(node_raw[[#This Row],[Column10]]), "", node_raw[[#This Row],[Column10]]/1)</f>
        <v/>
      </c>
    </row>
    <row r="323" spans="2:13" ht="15.75" customHeight="1" x14ac:dyDescent="0.25">
      <c r="B323" s="30" t="str">
        <f>IF(ISNONTEXT(node_raw[[#This Row],[Column1]]), "", node_raw[[#This Row],[Column1]])</f>
        <v/>
      </c>
      <c r="C323" s="27" t="str">
        <f>IF(ISNONTEXT(node_raw[[#This Row],[Column2]]), "", node_raw[[#This Row],[Column2]])</f>
        <v/>
      </c>
      <c r="D323" s="54" t="str">
        <f>IF(ISNUMBER(node_raw[[#This Row],[Column3]]), node_raw[[#This Row],[Column3]],"")</f>
        <v/>
      </c>
      <c r="E323" s="57" t="str">
        <f>IF(ISNUMBER(node_raw[[#This Row],[Column4]]), node_raw[[#This Row],[Column4]]/1048576,"")</f>
        <v/>
      </c>
      <c r="F323" s="139" t="str">
        <f>IF(ISNUMBER(node_raw[[#This Row],[Column5]]), node_raw[[#This Row],[Column5]],"")</f>
        <v/>
      </c>
      <c r="G323" s="153" t="str">
        <f t="shared" ref="G323:G386" si="10">IF(ISNUMBER(F323), F323/D323, "")</f>
        <v/>
      </c>
      <c r="H323" s="140" t="str">
        <f>IF(ISNUMBER(node_raw[[#This Row],[Column6]]), node_raw[[#This Row],[Column6]]/1048576,"")</f>
        <v/>
      </c>
      <c r="I323" s="157" t="str">
        <f t="shared" ref="I323:I386" si="11">IF(ISNUMBER(H323), H323/E323, "")</f>
        <v/>
      </c>
      <c r="J323" s="141" t="str">
        <f>IF(ISNONTEXT(node_raw[[#This Row],[Column7]]), "", node_raw[[#This Row],[Column7]]/100)</f>
        <v/>
      </c>
      <c r="K323" s="142" t="str">
        <f>IF(ISNONTEXT(node_raw[[#This Row],[Column8]]), "", node_raw[[#This Row],[Column8]]/100)</f>
        <v/>
      </c>
      <c r="L323" s="143" t="str">
        <f>IF(ISNONTEXT(node_raw[[#This Row],[Column9]]), "", node_raw[[#This Row],[Column9]]/1)</f>
        <v/>
      </c>
      <c r="M323" s="144" t="str">
        <f>IF(ISNONTEXT(node_raw[[#This Row],[Column10]]), "", node_raw[[#This Row],[Column10]]/1)</f>
        <v/>
      </c>
    </row>
    <row r="324" spans="2:13" ht="15.75" customHeight="1" x14ac:dyDescent="0.25">
      <c r="B324" s="30" t="str">
        <f>IF(ISNONTEXT(node_raw[[#This Row],[Column1]]), "", node_raw[[#This Row],[Column1]])</f>
        <v/>
      </c>
      <c r="C324" s="27" t="str">
        <f>IF(ISNONTEXT(node_raw[[#This Row],[Column2]]), "", node_raw[[#This Row],[Column2]])</f>
        <v/>
      </c>
      <c r="D324" s="54" t="str">
        <f>IF(ISNUMBER(node_raw[[#This Row],[Column3]]), node_raw[[#This Row],[Column3]],"")</f>
        <v/>
      </c>
      <c r="E324" s="57" t="str">
        <f>IF(ISNUMBER(node_raw[[#This Row],[Column4]]), node_raw[[#This Row],[Column4]]/1048576,"")</f>
        <v/>
      </c>
      <c r="F324" s="139" t="str">
        <f>IF(ISNUMBER(node_raw[[#This Row],[Column5]]), node_raw[[#This Row],[Column5]],"")</f>
        <v/>
      </c>
      <c r="G324" s="153" t="str">
        <f t="shared" si="10"/>
        <v/>
      </c>
      <c r="H324" s="140" t="str">
        <f>IF(ISNUMBER(node_raw[[#This Row],[Column6]]), node_raw[[#This Row],[Column6]]/1048576,"")</f>
        <v/>
      </c>
      <c r="I324" s="157" t="str">
        <f t="shared" si="11"/>
        <v/>
      </c>
      <c r="J324" s="141" t="str">
        <f>IF(ISNONTEXT(node_raw[[#This Row],[Column7]]), "", node_raw[[#This Row],[Column7]]/100)</f>
        <v/>
      </c>
      <c r="K324" s="142" t="str">
        <f>IF(ISNONTEXT(node_raw[[#This Row],[Column8]]), "", node_raw[[#This Row],[Column8]]/100)</f>
        <v/>
      </c>
      <c r="L324" s="143" t="str">
        <f>IF(ISNONTEXT(node_raw[[#This Row],[Column9]]), "", node_raw[[#This Row],[Column9]]/1)</f>
        <v/>
      </c>
      <c r="M324" s="144" t="str">
        <f>IF(ISNONTEXT(node_raw[[#This Row],[Column10]]), "", node_raw[[#This Row],[Column10]]/1)</f>
        <v/>
      </c>
    </row>
    <row r="325" spans="2:13" ht="15.75" customHeight="1" x14ac:dyDescent="0.25">
      <c r="B325" s="30" t="str">
        <f>IF(ISNONTEXT(node_raw[[#This Row],[Column1]]), "", node_raw[[#This Row],[Column1]])</f>
        <v/>
      </c>
      <c r="C325" s="27" t="str">
        <f>IF(ISNONTEXT(node_raw[[#This Row],[Column2]]), "", node_raw[[#This Row],[Column2]])</f>
        <v/>
      </c>
      <c r="D325" s="54" t="str">
        <f>IF(ISNUMBER(node_raw[[#This Row],[Column3]]), node_raw[[#This Row],[Column3]],"")</f>
        <v/>
      </c>
      <c r="E325" s="57" t="str">
        <f>IF(ISNUMBER(node_raw[[#This Row],[Column4]]), node_raw[[#This Row],[Column4]]/1048576,"")</f>
        <v/>
      </c>
      <c r="F325" s="139" t="str">
        <f>IF(ISNUMBER(node_raw[[#This Row],[Column5]]), node_raw[[#This Row],[Column5]],"")</f>
        <v/>
      </c>
      <c r="G325" s="153" t="str">
        <f t="shared" si="10"/>
        <v/>
      </c>
      <c r="H325" s="140" t="str">
        <f>IF(ISNUMBER(node_raw[[#This Row],[Column6]]), node_raw[[#This Row],[Column6]]/1048576,"")</f>
        <v/>
      </c>
      <c r="I325" s="157" t="str">
        <f t="shared" si="11"/>
        <v/>
      </c>
      <c r="J325" s="141" t="str">
        <f>IF(ISNONTEXT(node_raw[[#This Row],[Column7]]), "", node_raw[[#This Row],[Column7]]/100)</f>
        <v/>
      </c>
      <c r="K325" s="142" t="str">
        <f>IF(ISNONTEXT(node_raw[[#This Row],[Column8]]), "", node_raw[[#This Row],[Column8]]/100)</f>
        <v/>
      </c>
      <c r="L325" s="143" t="str">
        <f>IF(ISNONTEXT(node_raw[[#This Row],[Column9]]), "", node_raw[[#This Row],[Column9]]/1)</f>
        <v/>
      </c>
      <c r="M325" s="144" t="str">
        <f>IF(ISNONTEXT(node_raw[[#This Row],[Column10]]), "", node_raw[[#This Row],[Column10]]/1)</f>
        <v/>
      </c>
    </row>
    <row r="326" spans="2:13" ht="15.75" customHeight="1" x14ac:dyDescent="0.25">
      <c r="B326" s="30" t="str">
        <f>IF(ISNONTEXT(node_raw[[#This Row],[Column1]]), "", node_raw[[#This Row],[Column1]])</f>
        <v/>
      </c>
      <c r="C326" s="27" t="str">
        <f>IF(ISNONTEXT(node_raw[[#This Row],[Column2]]), "", node_raw[[#This Row],[Column2]])</f>
        <v/>
      </c>
      <c r="D326" s="54" t="str">
        <f>IF(ISNUMBER(node_raw[[#This Row],[Column3]]), node_raw[[#This Row],[Column3]],"")</f>
        <v/>
      </c>
      <c r="E326" s="57" t="str">
        <f>IF(ISNUMBER(node_raw[[#This Row],[Column4]]), node_raw[[#This Row],[Column4]]/1048576,"")</f>
        <v/>
      </c>
      <c r="F326" s="139" t="str">
        <f>IF(ISNUMBER(node_raw[[#This Row],[Column5]]), node_raw[[#This Row],[Column5]],"")</f>
        <v/>
      </c>
      <c r="G326" s="153" t="str">
        <f t="shared" si="10"/>
        <v/>
      </c>
      <c r="H326" s="140" t="str">
        <f>IF(ISNUMBER(node_raw[[#This Row],[Column6]]), node_raw[[#This Row],[Column6]]/1048576,"")</f>
        <v/>
      </c>
      <c r="I326" s="157" t="str">
        <f t="shared" si="11"/>
        <v/>
      </c>
      <c r="J326" s="141" t="str">
        <f>IF(ISNONTEXT(node_raw[[#This Row],[Column7]]), "", node_raw[[#This Row],[Column7]]/100)</f>
        <v/>
      </c>
      <c r="K326" s="142" t="str">
        <f>IF(ISNONTEXT(node_raw[[#This Row],[Column8]]), "", node_raw[[#This Row],[Column8]]/100)</f>
        <v/>
      </c>
      <c r="L326" s="143" t="str">
        <f>IF(ISNONTEXT(node_raw[[#This Row],[Column9]]), "", node_raw[[#This Row],[Column9]]/1)</f>
        <v/>
      </c>
      <c r="M326" s="144" t="str">
        <f>IF(ISNONTEXT(node_raw[[#This Row],[Column10]]), "", node_raw[[#This Row],[Column10]]/1)</f>
        <v/>
      </c>
    </row>
    <row r="327" spans="2:13" ht="15.75" customHeight="1" x14ac:dyDescent="0.25">
      <c r="B327" s="30" t="str">
        <f>IF(ISNONTEXT(node_raw[[#This Row],[Column1]]), "", node_raw[[#This Row],[Column1]])</f>
        <v/>
      </c>
      <c r="C327" s="27" t="str">
        <f>IF(ISNONTEXT(node_raw[[#This Row],[Column2]]), "", node_raw[[#This Row],[Column2]])</f>
        <v/>
      </c>
      <c r="D327" s="54" t="str">
        <f>IF(ISNUMBER(node_raw[[#This Row],[Column3]]), node_raw[[#This Row],[Column3]],"")</f>
        <v/>
      </c>
      <c r="E327" s="57" t="str">
        <f>IF(ISNUMBER(node_raw[[#This Row],[Column4]]), node_raw[[#This Row],[Column4]]/1048576,"")</f>
        <v/>
      </c>
      <c r="F327" s="139" t="str">
        <f>IF(ISNUMBER(node_raw[[#This Row],[Column5]]), node_raw[[#This Row],[Column5]],"")</f>
        <v/>
      </c>
      <c r="G327" s="153" t="str">
        <f t="shared" si="10"/>
        <v/>
      </c>
      <c r="H327" s="140" t="str">
        <f>IF(ISNUMBER(node_raw[[#This Row],[Column6]]), node_raw[[#This Row],[Column6]]/1048576,"")</f>
        <v/>
      </c>
      <c r="I327" s="157" t="str">
        <f t="shared" si="11"/>
        <v/>
      </c>
      <c r="J327" s="141" t="str">
        <f>IF(ISNONTEXT(node_raw[[#This Row],[Column7]]), "", node_raw[[#This Row],[Column7]]/100)</f>
        <v/>
      </c>
      <c r="K327" s="142" t="str">
        <f>IF(ISNONTEXT(node_raw[[#This Row],[Column8]]), "", node_raw[[#This Row],[Column8]]/100)</f>
        <v/>
      </c>
      <c r="L327" s="143" t="str">
        <f>IF(ISNONTEXT(node_raw[[#This Row],[Column9]]), "", node_raw[[#This Row],[Column9]]/1)</f>
        <v/>
      </c>
      <c r="M327" s="144" t="str">
        <f>IF(ISNONTEXT(node_raw[[#This Row],[Column10]]), "", node_raw[[#This Row],[Column10]]/1)</f>
        <v/>
      </c>
    </row>
    <row r="328" spans="2:13" ht="15.75" customHeight="1" x14ac:dyDescent="0.25">
      <c r="B328" s="30" t="str">
        <f>IF(ISNONTEXT(node_raw[[#This Row],[Column1]]), "", node_raw[[#This Row],[Column1]])</f>
        <v/>
      </c>
      <c r="C328" s="27" t="str">
        <f>IF(ISNONTEXT(node_raw[[#This Row],[Column2]]), "", node_raw[[#This Row],[Column2]])</f>
        <v/>
      </c>
      <c r="D328" s="54" t="str">
        <f>IF(ISNUMBER(node_raw[[#This Row],[Column3]]), node_raw[[#This Row],[Column3]],"")</f>
        <v/>
      </c>
      <c r="E328" s="57" t="str">
        <f>IF(ISNUMBER(node_raw[[#This Row],[Column4]]), node_raw[[#This Row],[Column4]]/1048576,"")</f>
        <v/>
      </c>
      <c r="F328" s="139" t="str">
        <f>IF(ISNUMBER(node_raw[[#This Row],[Column5]]), node_raw[[#This Row],[Column5]],"")</f>
        <v/>
      </c>
      <c r="G328" s="153" t="str">
        <f t="shared" si="10"/>
        <v/>
      </c>
      <c r="H328" s="140" t="str">
        <f>IF(ISNUMBER(node_raw[[#This Row],[Column6]]), node_raw[[#This Row],[Column6]]/1048576,"")</f>
        <v/>
      </c>
      <c r="I328" s="157" t="str">
        <f t="shared" si="11"/>
        <v/>
      </c>
      <c r="J328" s="141" t="str">
        <f>IF(ISNONTEXT(node_raw[[#This Row],[Column7]]), "", node_raw[[#This Row],[Column7]]/100)</f>
        <v/>
      </c>
      <c r="K328" s="142" t="str">
        <f>IF(ISNONTEXT(node_raw[[#This Row],[Column8]]), "", node_raw[[#This Row],[Column8]]/100)</f>
        <v/>
      </c>
      <c r="L328" s="143" t="str">
        <f>IF(ISNONTEXT(node_raw[[#This Row],[Column9]]), "", node_raw[[#This Row],[Column9]]/1)</f>
        <v/>
      </c>
      <c r="M328" s="144" t="str">
        <f>IF(ISNONTEXT(node_raw[[#This Row],[Column10]]), "", node_raw[[#This Row],[Column10]]/1)</f>
        <v/>
      </c>
    </row>
    <row r="329" spans="2:13" ht="15.75" customHeight="1" x14ac:dyDescent="0.25">
      <c r="B329" s="30" t="str">
        <f>IF(ISNONTEXT(node_raw[[#This Row],[Column1]]), "", node_raw[[#This Row],[Column1]])</f>
        <v/>
      </c>
      <c r="C329" s="27" t="str">
        <f>IF(ISNONTEXT(node_raw[[#This Row],[Column2]]), "", node_raw[[#This Row],[Column2]])</f>
        <v/>
      </c>
      <c r="D329" s="54" t="str">
        <f>IF(ISNUMBER(node_raw[[#This Row],[Column3]]), node_raw[[#This Row],[Column3]],"")</f>
        <v/>
      </c>
      <c r="E329" s="57" t="str">
        <f>IF(ISNUMBER(node_raw[[#This Row],[Column4]]), node_raw[[#This Row],[Column4]]/1048576,"")</f>
        <v/>
      </c>
      <c r="F329" s="139" t="str">
        <f>IF(ISNUMBER(node_raw[[#This Row],[Column5]]), node_raw[[#This Row],[Column5]],"")</f>
        <v/>
      </c>
      <c r="G329" s="153" t="str">
        <f t="shared" si="10"/>
        <v/>
      </c>
      <c r="H329" s="140" t="str">
        <f>IF(ISNUMBER(node_raw[[#This Row],[Column6]]), node_raw[[#This Row],[Column6]]/1048576,"")</f>
        <v/>
      </c>
      <c r="I329" s="157" t="str">
        <f t="shared" si="11"/>
        <v/>
      </c>
      <c r="J329" s="141" t="str">
        <f>IF(ISNONTEXT(node_raw[[#This Row],[Column7]]), "", node_raw[[#This Row],[Column7]]/100)</f>
        <v/>
      </c>
      <c r="K329" s="142" t="str">
        <f>IF(ISNONTEXT(node_raw[[#This Row],[Column8]]), "", node_raw[[#This Row],[Column8]]/100)</f>
        <v/>
      </c>
      <c r="L329" s="143" t="str">
        <f>IF(ISNONTEXT(node_raw[[#This Row],[Column9]]), "", node_raw[[#This Row],[Column9]]/1)</f>
        <v/>
      </c>
      <c r="M329" s="144" t="str">
        <f>IF(ISNONTEXT(node_raw[[#This Row],[Column10]]), "", node_raw[[#This Row],[Column10]]/1)</f>
        <v/>
      </c>
    </row>
    <row r="330" spans="2:13" ht="15.75" customHeight="1" x14ac:dyDescent="0.25">
      <c r="B330" s="30" t="str">
        <f>IF(ISNONTEXT(node_raw[[#This Row],[Column1]]), "", node_raw[[#This Row],[Column1]])</f>
        <v/>
      </c>
      <c r="C330" s="27" t="str">
        <f>IF(ISNONTEXT(node_raw[[#This Row],[Column2]]), "", node_raw[[#This Row],[Column2]])</f>
        <v/>
      </c>
      <c r="D330" s="54" t="str">
        <f>IF(ISNUMBER(node_raw[[#This Row],[Column3]]), node_raw[[#This Row],[Column3]],"")</f>
        <v/>
      </c>
      <c r="E330" s="57" t="str">
        <f>IF(ISNUMBER(node_raw[[#This Row],[Column4]]), node_raw[[#This Row],[Column4]]/1048576,"")</f>
        <v/>
      </c>
      <c r="F330" s="139" t="str">
        <f>IF(ISNUMBER(node_raw[[#This Row],[Column5]]), node_raw[[#This Row],[Column5]],"")</f>
        <v/>
      </c>
      <c r="G330" s="153" t="str">
        <f t="shared" si="10"/>
        <v/>
      </c>
      <c r="H330" s="140" t="str">
        <f>IF(ISNUMBER(node_raw[[#This Row],[Column6]]), node_raw[[#This Row],[Column6]]/1048576,"")</f>
        <v/>
      </c>
      <c r="I330" s="157" t="str">
        <f t="shared" si="11"/>
        <v/>
      </c>
      <c r="J330" s="141" t="str">
        <f>IF(ISNONTEXT(node_raw[[#This Row],[Column7]]), "", node_raw[[#This Row],[Column7]]/100)</f>
        <v/>
      </c>
      <c r="K330" s="142" t="str">
        <f>IF(ISNONTEXT(node_raw[[#This Row],[Column8]]), "", node_raw[[#This Row],[Column8]]/100)</f>
        <v/>
      </c>
      <c r="L330" s="143" t="str">
        <f>IF(ISNONTEXT(node_raw[[#This Row],[Column9]]), "", node_raw[[#This Row],[Column9]]/1)</f>
        <v/>
      </c>
      <c r="M330" s="144" t="str">
        <f>IF(ISNONTEXT(node_raw[[#This Row],[Column10]]), "", node_raw[[#This Row],[Column10]]/1)</f>
        <v/>
      </c>
    </row>
    <row r="331" spans="2:13" ht="15.75" customHeight="1" x14ac:dyDescent="0.25">
      <c r="B331" s="30" t="str">
        <f>IF(ISNONTEXT(node_raw[[#This Row],[Column1]]), "", node_raw[[#This Row],[Column1]])</f>
        <v/>
      </c>
      <c r="C331" s="27" t="str">
        <f>IF(ISNONTEXT(node_raw[[#This Row],[Column2]]), "", node_raw[[#This Row],[Column2]])</f>
        <v/>
      </c>
      <c r="D331" s="54" t="str">
        <f>IF(ISNUMBER(node_raw[[#This Row],[Column3]]), node_raw[[#This Row],[Column3]],"")</f>
        <v/>
      </c>
      <c r="E331" s="57" t="str">
        <f>IF(ISNUMBER(node_raw[[#This Row],[Column4]]), node_raw[[#This Row],[Column4]]/1048576,"")</f>
        <v/>
      </c>
      <c r="F331" s="139" t="str">
        <f>IF(ISNUMBER(node_raw[[#This Row],[Column5]]), node_raw[[#This Row],[Column5]],"")</f>
        <v/>
      </c>
      <c r="G331" s="153" t="str">
        <f t="shared" si="10"/>
        <v/>
      </c>
      <c r="H331" s="140" t="str">
        <f>IF(ISNUMBER(node_raw[[#This Row],[Column6]]), node_raw[[#This Row],[Column6]]/1048576,"")</f>
        <v/>
      </c>
      <c r="I331" s="157" t="str">
        <f t="shared" si="11"/>
        <v/>
      </c>
      <c r="J331" s="141" t="str">
        <f>IF(ISNONTEXT(node_raw[[#This Row],[Column7]]), "", node_raw[[#This Row],[Column7]]/100)</f>
        <v/>
      </c>
      <c r="K331" s="142" t="str">
        <f>IF(ISNONTEXT(node_raw[[#This Row],[Column8]]), "", node_raw[[#This Row],[Column8]]/100)</f>
        <v/>
      </c>
      <c r="L331" s="143" t="str">
        <f>IF(ISNONTEXT(node_raw[[#This Row],[Column9]]), "", node_raw[[#This Row],[Column9]]/1)</f>
        <v/>
      </c>
      <c r="M331" s="144" t="str">
        <f>IF(ISNONTEXT(node_raw[[#This Row],[Column10]]), "", node_raw[[#This Row],[Column10]]/1)</f>
        <v/>
      </c>
    </row>
    <row r="332" spans="2:13" ht="15.75" customHeight="1" x14ac:dyDescent="0.25">
      <c r="B332" s="30" t="str">
        <f>IF(ISNONTEXT(node_raw[[#This Row],[Column1]]), "", node_raw[[#This Row],[Column1]])</f>
        <v/>
      </c>
      <c r="C332" s="27" t="str">
        <f>IF(ISNONTEXT(node_raw[[#This Row],[Column2]]), "", node_raw[[#This Row],[Column2]])</f>
        <v/>
      </c>
      <c r="D332" s="54" t="str">
        <f>IF(ISNUMBER(node_raw[[#This Row],[Column3]]), node_raw[[#This Row],[Column3]],"")</f>
        <v/>
      </c>
      <c r="E332" s="57" t="str">
        <f>IF(ISNUMBER(node_raw[[#This Row],[Column4]]), node_raw[[#This Row],[Column4]]/1048576,"")</f>
        <v/>
      </c>
      <c r="F332" s="139" t="str">
        <f>IF(ISNUMBER(node_raw[[#This Row],[Column5]]), node_raw[[#This Row],[Column5]],"")</f>
        <v/>
      </c>
      <c r="G332" s="153" t="str">
        <f t="shared" si="10"/>
        <v/>
      </c>
      <c r="H332" s="140" t="str">
        <f>IF(ISNUMBER(node_raw[[#This Row],[Column6]]), node_raw[[#This Row],[Column6]]/1048576,"")</f>
        <v/>
      </c>
      <c r="I332" s="157" t="str">
        <f t="shared" si="11"/>
        <v/>
      </c>
      <c r="J332" s="141" t="str">
        <f>IF(ISNONTEXT(node_raw[[#This Row],[Column7]]), "", node_raw[[#This Row],[Column7]]/100)</f>
        <v/>
      </c>
      <c r="K332" s="142" t="str">
        <f>IF(ISNONTEXT(node_raw[[#This Row],[Column8]]), "", node_raw[[#This Row],[Column8]]/100)</f>
        <v/>
      </c>
      <c r="L332" s="143" t="str">
        <f>IF(ISNONTEXT(node_raw[[#This Row],[Column9]]), "", node_raw[[#This Row],[Column9]]/1)</f>
        <v/>
      </c>
      <c r="M332" s="144" t="str">
        <f>IF(ISNONTEXT(node_raw[[#This Row],[Column10]]), "", node_raw[[#This Row],[Column10]]/1)</f>
        <v/>
      </c>
    </row>
    <row r="333" spans="2:13" ht="15.75" customHeight="1" x14ac:dyDescent="0.25">
      <c r="B333" s="30" t="str">
        <f>IF(ISNONTEXT(node_raw[[#This Row],[Column1]]), "", node_raw[[#This Row],[Column1]])</f>
        <v/>
      </c>
      <c r="C333" s="27" t="str">
        <f>IF(ISNONTEXT(node_raw[[#This Row],[Column2]]), "", node_raw[[#This Row],[Column2]])</f>
        <v/>
      </c>
      <c r="D333" s="54" t="str">
        <f>IF(ISNUMBER(node_raw[[#This Row],[Column3]]), node_raw[[#This Row],[Column3]],"")</f>
        <v/>
      </c>
      <c r="E333" s="57" t="str">
        <f>IF(ISNUMBER(node_raw[[#This Row],[Column4]]), node_raw[[#This Row],[Column4]]/1048576,"")</f>
        <v/>
      </c>
      <c r="F333" s="139" t="str">
        <f>IF(ISNUMBER(node_raw[[#This Row],[Column5]]), node_raw[[#This Row],[Column5]],"")</f>
        <v/>
      </c>
      <c r="G333" s="153" t="str">
        <f t="shared" si="10"/>
        <v/>
      </c>
      <c r="H333" s="140" t="str">
        <f>IF(ISNUMBER(node_raw[[#This Row],[Column6]]), node_raw[[#This Row],[Column6]]/1048576,"")</f>
        <v/>
      </c>
      <c r="I333" s="157" t="str">
        <f t="shared" si="11"/>
        <v/>
      </c>
      <c r="J333" s="141" t="str">
        <f>IF(ISNONTEXT(node_raw[[#This Row],[Column7]]), "", node_raw[[#This Row],[Column7]]/100)</f>
        <v/>
      </c>
      <c r="K333" s="142" t="str">
        <f>IF(ISNONTEXT(node_raw[[#This Row],[Column8]]), "", node_raw[[#This Row],[Column8]]/100)</f>
        <v/>
      </c>
      <c r="L333" s="143" t="str">
        <f>IF(ISNONTEXT(node_raw[[#This Row],[Column9]]), "", node_raw[[#This Row],[Column9]]/1)</f>
        <v/>
      </c>
      <c r="M333" s="144" t="str">
        <f>IF(ISNONTEXT(node_raw[[#This Row],[Column10]]), "", node_raw[[#This Row],[Column10]]/1)</f>
        <v/>
      </c>
    </row>
    <row r="334" spans="2:13" ht="15.75" customHeight="1" x14ac:dyDescent="0.25">
      <c r="B334" s="30" t="str">
        <f>IF(ISNONTEXT(node_raw[[#This Row],[Column1]]), "", node_raw[[#This Row],[Column1]])</f>
        <v/>
      </c>
      <c r="C334" s="27" t="str">
        <f>IF(ISNONTEXT(node_raw[[#This Row],[Column2]]), "", node_raw[[#This Row],[Column2]])</f>
        <v/>
      </c>
      <c r="D334" s="54" t="str">
        <f>IF(ISNUMBER(node_raw[[#This Row],[Column3]]), node_raw[[#This Row],[Column3]],"")</f>
        <v/>
      </c>
      <c r="E334" s="57" t="str">
        <f>IF(ISNUMBER(node_raw[[#This Row],[Column4]]), node_raw[[#This Row],[Column4]]/1048576,"")</f>
        <v/>
      </c>
      <c r="F334" s="139" t="str">
        <f>IF(ISNUMBER(node_raw[[#This Row],[Column5]]), node_raw[[#This Row],[Column5]],"")</f>
        <v/>
      </c>
      <c r="G334" s="153" t="str">
        <f t="shared" si="10"/>
        <v/>
      </c>
      <c r="H334" s="140" t="str">
        <f>IF(ISNUMBER(node_raw[[#This Row],[Column6]]), node_raw[[#This Row],[Column6]]/1048576,"")</f>
        <v/>
      </c>
      <c r="I334" s="157" t="str">
        <f t="shared" si="11"/>
        <v/>
      </c>
      <c r="J334" s="141" t="str">
        <f>IF(ISNONTEXT(node_raw[[#This Row],[Column7]]), "", node_raw[[#This Row],[Column7]]/100)</f>
        <v/>
      </c>
      <c r="K334" s="142" t="str">
        <f>IF(ISNONTEXT(node_raw[[#This Row],[Column8]]), "", node_raw[[#This Row],[Column8]]/100)</f>
        <v/>
      </c>
      <c r="L334" s="143" t="str">
        <f>IF(ISNONTEXT(node_raw[[#This Row],[Column9]]), "", node_raw[[#This Row],[Column9]]/1)</f>
        <v/>
      </c>
      <c r="M334" s="144" t="str">
        <f>IF(ISNONTEXT(node_raw[[#This Row],[Column10]]), "", node_raw[[#This Row],[Column10]]/1)</f>
        <v/>
      </c>
    </row>
    <row r="335" spans="2:13" ht="15.75" customHeight="1" x14ac:dyDescent="0.25">
      <c r="B335" s="30" t="str">
        <f>IF(ISNONTEXT(node_raw[[#This Row],[Column1]]), "", node_raw[[#This Row],[Column1]])</f>
        <v/>
      </c>
      <c r="C335" s="27" t="str">
        <f>IF(ISNONTEXT(node_raw[[#This Row],[Column2]]), "", node_raw[[#This Row],[Column2]])</f>
        <v/>
      </c>
      <c r="D335" s="54" t="str">
        <f>IF(ISNUMBER(node_raw[[#This Row],[Column3]]), node_raw[[#This Row],[Column3]],"")</f>
        <v/>
      </c>
      <c r="E335" s="57" t="str">
        <f>IF(ISNUMBER(node_raw[[#This Row],[Column4]]), node_raw[[#This Row],[Column4]]/1048576,"")</f>
        <v/>
      </c>
      <c r="F335" s="139" t="str">
        <f>IF(ISNUMBER(node_raw[[#This Row],[Column5]]), node_raw[[#This Row],[Column5]],"")</f>
        <v/>
      </c>
      <c r="G335" s="153" t="str">
        <f t="shared" si="10"/>
        <v/>
      </c>
      <c r="H335" s="140" t="str">
        <f>IF(ISNUMBER(node_raw[[#This Row],[Column6]]), node_raw[[#This Row],[Column6]]/1048576,"")</f>
        <v/>
      </c>
      <c r="I335" s="157" t="str">
        <f t="shared" si="11"/>
        <v/>
      </c>
      <c r="J335" s="141" t="str">
        <f>IF(ISNONTEXT(node_raw[[#This Row],[Column7]]), "", node_raw[[#This Row],[Column7]]/100)</f>
        <v/>
      </c>
      <c r="K335" s="142" t="str">
        <f>IF(ISNONTEXT(node_raw[[#This Row],[Column8]]), "", node_raw[[#This Row],[Column8]]/100)</f>
        <v/>
      </c>
      <c r="L335" s="143" t="str">
        <f>IF(ISNONTEXT(node_raw[[#This Row],[Column9]]), "", node_raw[[#This Row],[Column9]]/1)</f>
        <v/>
      </c>
      <c r="M335" s="144" t="str">
        <f>IF(ISNONTEXT(node_raw[[#This Row],[Column10]]), "", node_raw[[#This Row],[Column10]]/1)</f>
        <v/>
      </c>
    </row>
    <row r="336" spans="2:13" ht="15.75" customHeight="1" x14ac:dyDescent="0.25">
      <c r="B336" s="30" t="str">
        <f>IF(ISNONTEXT(node_raw[[#This Row],[Column1]]), "", node_raw[[#This Row],[Column1]])</f>
        <v/>
      </c>
      <c r="C336" s="27" t="str">
        <f>IF(ISNONTEXT(node_raw[[#This Row],[Column2]]), "", node_raw[[#This Row],[Column2]])</f>
        <v/>
      </c>
      <c r="D336" s="54" t="str">
        <f>IF(ISNUMBER(node_raw[[#This Row],[Column3]]), node_raw[[#This Row],[Column3]],"")</f>
        <v/>
      </c>
      <c r="E336" s="57" t="str">
        <f>IF(ISNUMBER(node_raw[[#This Row],[Column4]]), node_raw[[#This Row],[Column4]]/1048576,"")</f>
        <v/>
      </c>
      <c r="F336" s="139" t="str">
        <f>IF(ISNUMBER(node_raw[[#This Row],[Column5]]), node_raw[[#This Row],[Column5]],"")</f>
        <v/>
      </c>
      <c r="G336" s="153" t="str">
        <f t="shared" si="10"/>
        <v/>
      </c>
      <c r="H336" s="140" t="str">
        <f>IF(ISNUMBER(node_raw[[#This Row],[Column6]]), node_raw[[#This Row],[Column6]]/1048576,"")</f>
        <v/>
      </c>
      <c r="I336" s="157" t="str">
        <f t="shared" si="11"/>
        <v/>
      </c>
      <c r="J336" s="141" t="str">
        <f>IF(ISNONTEXT(node_raw[[#This Row],[Column7]]), "", node_raw[[#This Row],[Column7]]/100)</f>
        <v/>
      </c>
      <c r="K336" s="142" t="str">
        <f>IF(ISNONTEXT(node_raw[[#This Row],[Column8]]), "", node_raw[[#This Row],[Column8]]/100)</f>
        <v/>
      </c>
      <c r="L336" s="143" t="str">
        <f>IF(ISNONTEXT(node_raw[[#This Row],[Column9]]), "", node_raw[[#This Row],[Column9]]/1)</f>
        <v/>
      </c>
      <c r="M336" s="144" t="str">
        <f>IF(ISNONTEXT(node_raw[[#This Row],[Column10]]), "", node_raw[[#This Row],[Column10]]/1)</f>
        <v/>
      </c>
    </row>
    <row r="337" spans="2:13" ht="15.75" customHeight="1" x14ac:dyDescent="0.25">
      <c r="B337" s="30" t="str">
        <f>IF(ISNONTEXT(node_raw[[#This Row],[Column1]]), "", node_raw[[#This Row],[Column1]])</f>
        <v/>
      </c>
      <c r="C337" s="27" t="str">
        <f>IF(ISNONTEXT(node_raw[[#This Row],[Column2]]), "", node_raw[[#This Row],[Column2]])</f>
        <v/>
      </c>
      <c r="D337" s="54" t="str">
        <f>IF(ISNUMBER(node_raw[[#This Row],[Column3]]), node_raw[[#This Row],[Column3]],"")</f>
        <v/>
      </c>
      <c r="E337" s="57" t="str">
        <f>IF(ISNUMBER(node_raw[[#This Row],[Column4]]), node_raw[[#This Row],[Column4]]/1048576,"")</f>
        <v/>
      </c>
      <c r="F337" s="139" t="str">
        <f>IF(ISNUMBER(node_raw[[#This Row],[Column5]]), node_raw[[#This Row],[Column5]],"")</f>
        <v/>
      </c>
      <c r="G337" s="153" t="str">
        <f t="shared" si="10"/>
        <v/>
      </c>
      <c r="H337" s="140" t="str">
        <f>IF(ISNUMBER(node_raw[[#This Row],[Column6]]), node_raw[[#This Row],[Column6]]/1048576,"")</f>
        <v/>
      </c>
      <c r="I337" s="157" t="str">
        <f t="shared" si="11"/>
        <v/>
      </c>
      <c r="J337" s="141" t="str">
        <f>IF(ISNONTEXT(node_raw[[#This Row],[Column7]]), "", node_raw[[#This Row],[Column7]]/100)</f>
        <v/>
      </c>
      <c r="K337" s="142" t="str">
        <f>IF(ISNONTEXT(node_raw[[#This Row],[Column8]]), "", node_raw[[#This Row],[Column8]]/100)</f>
        <v/>
      </c>
      <c r="L337" s="143" t="str">
        <f>IF(ISNONTEXT(node_raw[[#This Row],[Column9]]), "", node_raw[[#This Row],[Column9]]/1)</f>
        <v/>
      </c>
      <c r="M337" s="144" t="str">
        <f>IF(ISNONTEXT(node_raw[[#This Row],[Column10]]), "", node_raw[[#This Row],[Column10]]/1)</f>
        <v/>
      </c>
    </row>
    <row r="338" spans="2:13" ht="15.75" customHeight="1" x14ac:dyDescent="0.25">
      <c r="B338" s="30" t="str">
        <f>IF(ISNONTEXT(node_raw[[#This Row],[Column1]]), "", node_raw[[#This Row],[Column1]])</f>
        <v/>
      </c>
      <c r="C338" s="27" t="str">
        <f>IF(ISNONTEXT(node_raw[[#This Row],[Column2]]), "", node_raw[[#This Row],[Column2]])</f>
        <v/>
      </c>
      <c r="D338" s="54" t="str">
        <f>IF(ISNUMBER(node_raw[[#This Row],[Column3]]), node_raw[[#This Row],[Column3]],"")</f>
        <v/>
      </c>
      <c r="E338" s="57" t="str">
        <f>IF(ISNUMBER(node_raw[[#This Row],[Column4]]), node_raw[[#This Row],[Column4]]/1048576,"")</f>
        <v/>
      </c>
      <c r="F338" s="139" t="str">
        <f>IF(ISNUMBER(node_raw[[#This Row],[Column5]]), node_raw[[#This Row],[Column5]],"")</f>
        <v/>
      </c>
      <c r="G338" s="153" t="str">
        <f t="shared" si="10"/>
        <v/>
      </c>
      <c r="H338" s="140" t="str">
        <f>IF(ISNUMBER(node_raw[[#This Row],[Column6]]), node_raw[[#This Row],[Column6]]/1048576,"")</f>
        <v/>
      </c>
      <c r="I338" s="157" t="str">
        <f t="shared" si="11"/>
        <v/>
      </c>
      <c r="J338" s="141" t="str">
        <f>IF(ISNONTEXT(node_raw[[#This Row],[Column7]]), "", node_raw[[#This Row],[Column7]]/100)</f>
        <v/>
      </c>
      <c r="K338" s="142" t="str">
        <f>IF(ISNONTEXT(node_raw[[#This Row],[Column8]]), "", node_raw[[#This Row],[Column8]]/100)</f>
        <v/>
      </c>
      <c r="L338" s="143" t="str">
        <f>IF(ISNONTEXT(node_raw[[#This Row],[Column9]]), "", node_raw[[#This Row],[Column9]]/1)</f>
        <v/>
      </c>
      <c r="M338" s="144" t="str">
        <f>IF(ISNONTEXT(node_raw[[#This Row],[Column10]]), "", node_raw[[#This Row],[Column10]]/1)</f>
        <v/>
      </c>
    </row>
    <row r="339" spans="2:13" ht="15.75" customHeight="1" x14ac:dyDescent="0.25">
      <c r="B339" s="30" t="str">
        <f>IF(ISNONTEXT(node_raw[[#This Row],[Column1]]), "", node_raw[[#This Row],[Column1]])</f>
        <v/>
      </c>
      <c r="C339" s="27" t="str">
        <f>IF(ISNONTEXT(node_raw[[#This Row],[Column2]]), "", node_raw[[#This Row],[Column2]])</f>
        <v/>
      </c>
      <c r="D339" s="54" t="str">
        <f>IF(ISNUMBER(node_raw[[#This Row],[Column3]]), node_raw[[#This Row],[Column3]],"")</f>
        <v/>
      </c>
      <c r="E339" s="57" t="str">
        <f>IF(ISNUMBER(node_raw[[#This Row],[Column4]]), node_raw[[#This Row],[Column4]]/1048576,"")</f>
        <v/>
      </c>
      <c r="F339" s="139" t="str">
        <f>IF(ISNUMBER(node_raw[[#This Row],[Column5]]), node_raw[[#This Row],[Column5]],"")</f>
        <v/>
      </c>
      <c r="G339" s="153" t="str">
        <f t="shared" si="10"/>
        <v/>
      </c>
      <c r="H339" s="140" t="str">
        <f>IF(ISNUMBER(node_raw[[#This Row],[Column6]]), node_raw[[#This Row],[Column6]]/1048576,"")</f>
        <v/>
      </c>
      <c r="I339" s="157" t="str">
        <f t="shared" si="11"/>
        <v/>
      </c>
      <c r="J339" s="141" t="str">
        <f>IF(ISNONTEXT(node_raw[[#This Row],[Column7]]), "", node_raw[[#This Row],[Column7]]/100)</f>
        <v/>
      </c>
      <c r="K339" s="142" t="str">
        <f>IF(ISNONTEXT(node_raw[[#This Row],[Column8]]), "", node_raw[[#This Row],[Column8]]/100)</f>
        <v/>
      </c>
      <c r="L339" s="143" t="str">
        <f>IF(ISNONTEXT(node_raw[[#This Row],[Column9]]), "", node_raw[[#This Row],[Column9]]/1)</f>
        <v/>
      </c>
      <c r="M339" s="144" t="str">
        <f>IF(ISNONTEXT(node_raw[[#This Row],[Column10]]), "", node_raw[[#This Row],[Column10]]/1)</f>
        <v/>
      </c>
    </row>
    <row r="340" spans="2:13" ht="15.75" customHeight="1" x14ac:dyDescent="0.25">
      <c r="B340" s="30" t="str">
        <f>IF(ISNONTEXT(node_raw[[#This Row],[Column1]]), "", node_raw[[#This Row],[Column1]])</f>
        <v/>
      </c>
      <c r="C340" s="27" t="str">
        <f>IF(ISNONTEXT(node_raw[[#This Row],[Column2]]), "", node_raw[[#This Row],[Column2]])</f>
        <v/>
      </c>
      <c r="D340" s="54" t="str">
        <f>IF(ISNUMBER(node_raw[[#This Row],[Column3]]), node_raw[[#This Row],[Column3]],"")</f>
        <v/>
      </c>
      <c r="E340" s="57" t="str">
        <f>IF(ISNUMBER(node_raw[[#This Row],[Column4]]), node_raw[[#This Row],[Column4]]/1048576,"")</f>
        <v/>
      </c>
      <c r="F340" s="139" t="str">
        <f>IF(ISNUMBER(node_raw[[#This Row],[Column5]]), node_raw[[#This Row],[Column5]],"")</f>
        <v/>
      </c>
      <c r="G340" s="153" t="str">
        <f t="shared" si="10"/>
        <v/>
      </c>
      <c r="H340" s="140" t="str">
        <f>IF(ISNUMBER(node_raw[[#This Row],[Column6]]), node_raw[[#This Row],[Column6]]/1048576,"")</f>
        <v/>
      </c>
      <c r="I340" s="157" t="str">
        <f t="shared" si="11"/>
        <v/>
      </c>
      <c r="J340" s="141" t="str">
        <f>IF(ISNONTEXT(node_raw[[#This Row],[Column7]]), "", node_raw[[#This Row],[Column7]]/100)</f>
        <v/>
      </c>
      <c r="K340" s="142" t="str">
        <f>IF(ISNONTEXT(node_raw[[#This Row],[Column8]]), "", node_raw[[#This Row],[Column8]]/100)</f>
        <v/>
      </c>
      <c r="L340" s="143" t="str">
        <f>IF(ISNONTEXT(node_raw[[#This Row],[Column9]]), "", node_raw[[#This Row],[Column9]]/1)</f>
        <v/>
      </c>
      <c r="M340" s="144" t="str">
        <f>IF(ISNONTEXT(node_raw[[#This Row],[Column10]]), "", node_raw[[#This Row],[Column10]]/1)</f>
        <v/>
      </c>
    </row>
    <row r="341" spans="2:13" ht="15.75" customHeight="1" x14ac:dyDescent="0.25">
      <c r="B341" s="30" t="str">
        <f>IF(ISNONTEXT(node_raw[[#This Row],[Column1]]), "", node_raw[[#This Row],[Column1]])</f>
        <v/>
      </c>
      <c r="C341" s="27" t="str">
        <f>IF(ISNONTEXT(node_raw[[#This Row],[Column2]]), "", node_raw[[#This Row],[Column2]])</f>
        <v/>
      </c>
      <c r="D341" s="54" t="str">
        <f>IF(ISNUMBER(node_raw[[#This Row],[Column3]]), node_raw[[#This Row],[Column3]],"")</f>
        <v/>
      </c>
      <c r="E341" s="57" t="str">
        <f>IF(ISNUMBER(node_raw[[#This Row],[Column4]]), node_raw[[#This Row],[Column4]]/1048576,"")</f>
        <v/>
      </c>
      <c r="F341" s="139" t="str">
        <f>IF(ISNUMBER(node_raw[[#This Row],[Column5]]), node_raw[[#This Row],[Column5]],"")</f>
        <v/>
      </c>
      <c r="G341" s="153" t="str">
        <f t="shared" si="10"/>
        <v/>
      </c>
      <c r="H341" s="140" t="str">
        <f>IF(ISNUMBER(node_raw[[#This Row],[Column6]]), node_raw[[#This Row],[Column6]]/1048576,"")</f>
        <v/>
      </c>
      <c r="I341" s="157" t="str">
        <f t="shared" si="11"/>
        <v/>
      </c>
      <c r="J341" s="141" t="str">
        <f>IF(ISNONTEXT(node_raw[[#This Row],[Column7]]), "", node_raw[[#This Row],[Column7]]/100)</f>
        <v/>
      </c>
      <c r="K341" s="142" t="str">
        <f>IF(ISNONTEXT(node_raw[[#This Row],[Column8]]), "", node_raw[[#This Row],[Column8]]/100)</f>
        <v/>
      </c>
      <c r="L341" s="143" t="str">
        <f>IF(ISNONTEXT(node_raw[[#This Row],[Column9]]), "", node_raw[[#This Row],[Column9]]/1)</f>
        <v/>
      </c>
      <c r="M341" s="144" t="str">
        <f>IF(ISNONTEXT(node_raw[[#This Row],[Column10]]), "", node_raw[[#This Row],[Column10]]/1)</f>
        <v/>
      </c>
    </row>
    <row r="342" spans="2:13" ht="15.75" customHeight="1" x14ac:dyDescent="0.25">
      <c r="B342" s="30" t="str">
        <f>IF(ISNONTEXT(node_raw[[#This Row],[Column1]]), "", node_raw[[#This Row],[Column1]])</f>
        <v/>
      </c>
      <c r="C342" s="27" t="str">
        <f>IF(ISNONTEXT(node_raw[[#This Row],[Column2]]), "", node_raw[[#This Row],[Column2]])</f>
        <v/>
      </c>
      <c r="D342" s="54" t="str">
        <f>IF(ISNUMBER(node_raw[[#This Row],[Column3]]), node_raw[[#This Row],[Column3]],"")</f>
        <v/>
      </c>
      <c r="E342" s="57" t="str">
        <f>IF(ISNUMBER(node_raw[[#This Row],[Column4]]), node_raw[[#This Row],[Column4]]/1048576,"")</f>
        <v/>
      </c>
      <c r="F342" s="139" t="str">
        <f>IF(ISNUMBER(node_raw[[#This Row],[Column5]]), node_raw[[#This Row],[Column5]],"")</f>
        <v/>
      </c>
      <c r="G342" s="153" t="str">
        <f t="shared" si="10"/>
        <v/>
      </c>
      <c r="H342" s="140" t="str">
        <f>IF(ISNUMBER(node_raw[[#This Row],[Column6]]), node_raw[[#This Row],[Column6]]/1048576,"")</f>
        <v/>
      </c>
      <c r="I342" s="157" t="str">
        <f t="shared" si="11"/>
        <v/>
      </c>
      <c r="J342" s="141" t="str">
        <f>IF(ISNONTEXT(node_raw[[#This Row],[Column7]]), "", node_raw[[#This Row],[Column7]]/100)</f>
        <v/>
      </c>
      <c r="K342" s="142" t="str">
        <f>IF(ISNONTEXT(node_raw[[#This Row],[Column8]]), "", node_raw[[#This Row],[Column8]]/100)</f>
        <v/>
      </c>
      <c r="L342" s="143" t="str">
        <f>IF(ISNONTEXT(node_raw[[#This Row],[Column9]]), "", node_raw[[#This Row],[Column9]]/1)</f>
        <v/>
      </c>
      <c r="M342" s="144" t="str">
        <f>IF(ISNONTEXT(node_raw[[#This Row],[Column10]]), "", node_raw[[#This Row],[Column10]]/1)</f>
        <v/>
      </c>
    </row>
    <row r="343" spans="2:13" ht="15.75" customHeight="1" x14ac:dyDescent="0.25">
      <c r="B343" s="30" t="str">
        <f>IF(ISNONTEXT(node_raw[[#This Row],[Column1]]), "", node_raw[[#This Row],[Column1]])</f>
        <v/>
      </c>
      <c r="C343" s="27" t="str">
        <f>IF(ISNONTEXT(node_raw[[#This Row],[Column2]]), "", node_raw[[#This Row],[Column2]])</f>
        <v/>
      </c>
      <c r="D343" s="54" t="str">
        <f>IF(ISNUMBER(node_raw[[#This Row],[Column3]]), node_raw[[#This Row],[Column3]],"")</f>
        <v/>
      </c>
      <c r="E343" s="57" t="str">
        <f>IF(ISNUMBER(node_raw[[#This Row],[Column4]]), node_raw[[#This Row],[Column4]]/1048576,"")</f>
        <v/>
      </c>
      <c r="F343" s="139" t="str">
        <f>IF(ISNUMBER(node_raw[[#This Row],[Column5]]), node_raw[[#This Row],[Column5]],"")</f>
        <v/>
      </c>
      <c r="G343" s="153" t="str">
        <f t="shared" si="10"/>
        <v/>
      </c>
      <c r="H343" s="140" t="str">
        <f>IF(ISNUMBER(node_raw[[#This Row],[Column6]]), node_raw[[#This Row],[Column6]]/1048576,"")</f>
        <v/>
      </c>
      <c r="I343" s="157" t="str">
        <f t="shared" si="11"/>
        <v/>
      </c>
      <c r="J343" s="141" t="str">
        <f>IF(ISNONTEXT(node_raw[[#This Row],[Column7]]), "", node_raw[[#This Row],[Column7]]/100)</f>
        <v/>
      </c>
      <c r="K343" s="142" t="str">
        <f>IF(ISNONTEXT(node_raw[[#This Row],[Column8]]), "", node_raw[[#This Row],[Column8]]/100)</f>
        <v/>
      </c>
      <c r="L343" s="143" t="str">
        <f>IF(ISNONTEXT(node_raw[[#This Row],[Column9]]), "", node_raw[[#This Row],[Column9]]/1)</f>
        <v/>
      </c>
      <c r="M343" s="144" t="str">
        <f>IF(ISNONTEXT(node_raw[[#This Row],[Column10]]), "", node_raw[[#This Row],[Column10]]/1)</f>
        <v/>
      </c>
    </row>
    <row r="344" spans="2:13" ht="15.75" customHeight="1" x14ac:dyDescent="0.25">
      <c r="B344" s="30" t="str">
        <f>IF(ISNONTEXT(node_raw[[#This Row],[Column1]]), "", node_raw[[#This Row],[Column1]])</f>
        <v/>
      </c>
      <c r="C344" s="27" t="str">
        <f>IF(ISNONTEXT(node_raw[[#This Row],[Column2]]), "", node_raw[[#This Row],[Column2]])</f>
        <v/>
      </c>
      <c r="D344" s="54" t="str">
        <f>IF(ISNUMBER(node_raw[[#This Row],[Column3]]), node_raw[[#This Row],[Column3]],"")</f>
        <v/>
      </c>
      <c r="E344" s="57" t="str">
        <f>IF(ISNUMBER(node_raw[[#This Row],[Column4]]), node_raw[[#This Row],[Column4]]/1048576,"")</f>
        <v/>
      </c>
      <c r="F344" s="139" t="str">
        <f>IF(ISNUMBER(node_raw[[#This Row],[Column5]]), node_raw[[#This Row],[Column5]],"")</f>
        <v/>
      </c>
      <c r="G344" s="153" t="str">
        <f t="shared" si="10"/>
        <v/>
      </c>
      <c r="H344" s="140" t="str">
        <f>IF(ISNUMBER(node_raw[[#This Row],[Column6]]), node_raw[[#This Row],[Column6]]/1048576,"")</f>
        <v/>
      </c>
      <c r="I344" s="157" t="str">
        <f t="shared" si="11"/>
        <v/>
      </c>
      <c r="J344" s="141" t="str">
        <f>IF(ISNONTEXT(node_raw[[#This Row],[Column7]]), "", node_raw[[#This Row],[Column7]]/100)</f>
        <v/>
      </c>
      <c r="K344" s="142" t="str">
        <f>IF(ISNONTEXT(node_raw[[#This Row],[Column8]]), "", node_raw[[#This Row],[Column8]]/100)</f>
        <v/>
      </c>
      <c r="L344" s="143" t="str">
        <f>IF(ISNONTEXT(node_raw[[#This Row],[Column9]]), "", node_raw[[#This Row],[Column9]]/1)</f>
        <v/>
      </c>
      <c r="M344" s="144" t="str">
        <f>IF(ISNONTEXT(node_raw[[#This Row],[Column10]]), "", node_raw[[#This Row],[Column10]]/1)</f>
        <v/>
      </c>
    </row>
    <row r="345" spans="2:13" ht="15.75" customHeight="1" x14ac:dyDescent="0.25">
      <c r="B345" s="30" t="str">
        <f>IF(ISNONTEXT(node_raw[[#This Row],[Column1]]), "", node_raw[[#This Row],[Column1]])</f>
        <v/>
      </c>
      <c r="C345" s="27" t="str">
        <f>IF(ISNONTEXT(node_raw[[#This Row],[Column2]]), "", node_raw[[#This Row],[Column2]])</f>
        <v/>
      </c>
      <c r="D345" s="54" t="str">
        <f>IF(ISNUMBER(node_raw[[#This Row],[Column3]]), node_raw[[#This Row],[Column3]],"")</f>
        <v/>
      </c>
      <c r="E345" s="57" t="str">
        <f>IF(ISNUMBER(node_raw[[#This Row],[Column4]]), node_raw[[#This Row],[Column4]]/1048576,"")</f>
        <v/>
      </c>
      <c r="F345" s="139" t="str">
        <f>IF(ISNUMBER(node_raw[[#This Row],[Column5]]), node_raw[[#This Row],[Column5]],"")</f>
        <v/>
      </c>
      <c r="G345" s="153" t="str">
        <f t="shared" si="10"/>
        <v/>
      </c>
      <c r="H345" s="140" t="str">
        <f>IF(ISNUMBER(node_raw[[#This Row],[Column6]]), node_raw[[#This Row],[Column6]]/1048576,"")</f>
        <v/>
      </c>
      <c r="I345" s="157" t="str">
        <f t="shared" si="11"/>
        <v/>
      </c>
      <c r="J345" s="141" t="str">
        <f>IF(ISNONTEXT(node_raw[[#This Row],[Column7]]), "", node_raw[[#This Row],[Column7]]/100)</f>
        <v/>
      </c>
      <c r="K345" s="142" t="str">
        <f>IF(ISNONTEXT(node_raw[[#This Row],[Column8]]), "", node_raw[[#This Row],[Column8]]/100)</f>
        <v/>
      </c>
      <c r="L345" s="143" t="str">
        <f>IF(ISNONTEXT(node_raw[[#This Row],[Column9]]), "", node_raw[[#This Row],[Column9]]/1)</f>
        <v/>
      </c>
      <c r="M345" s="144" t="str">
        <f>IF(ISNONTEXT(node_raw[[#This Row],[Column10]]), "", node_raw[[#This Row],[Column10]]/1)</f>
        <v/>
      </c>
    </row>
    <row r="346" spans="2:13" ht="15.75" customHeight="1" x14ac:dyDescent="0.25">
      <c r="B346" s="30" t="str">
        <f>IF(ISNONTEXT(node_raw[[#This Row],[Column1]]), "", node_raw[[#This Row],[Column1]])</f>
        <v/>
      </c>
      <c r="C346" s="27" t="str">
        <f>IF(ISNONTEXT(node_raw[[#This Row],[Column2]]), "", node_raw[[#This Row],[Column2]])</f>
        <v/>
      </c>
      <c r="D346" s="54" t="str">
        <f>IF(ISNUMBER(node_raw[[#This Row],[Column3]]), node_raw[[#This Row],[Column3]],"")</f>
        <v/>
      </c>
      <c r="E346" s="57" t="str">
        <f>IF(ISNUMBER(node_raw[[#This Row],[Column4]]), node_raw[[#This Row],[Column4]]/1048576,"")</f>
        <v/>
      </c>
      <c r="F346" s="139" t="str">
        <f>IF(ISNUMBER(node_raw[[#This Row],[Column5]]), node_raw[[#This Row],[Column5]],"")</f>
        <v/>
      </c>
      <c r="G346" s="153" t="str">
        <f t="shared" si="10"/>
        <v/>
      </c>
      <c r="H346" s="140" t="str">
        <f>IF(ISNUMBER(node_raw[[#This Row],[Column6]]), node_raw[[#This Row],[Column6]]/1048576,"")</f>
        <v/>
      </c>
      <c r="I346" s="157" t="str">
        <f t="shared" si="11"/>
        <v/>
      </c>
      <c r="J346" s="141" t="str">
        <f>IF(ISNONTEXT(node_raw[[#This Row],[Column7]]), "", node_raw[[#This Row],[Column7]]/100)</f>
        <v/>
      </c>
      <c r="K346" s="142" t="str">
        <f>IF(ISNONTEXT(node_raw[[#This Row],[Column8]]), "", node_raw[[#This Row],[Column8]]/100)</f>
        <v/>
      </c>
      <c r="L346" s="143" t="str">
        <f>IF(ISNONTEXT(node_raw[[#This Row],[Column9]]), "", node_raw[[#This Row],[Column9]]/1)</f>
        <v/>
      </c>
      <c r="M346" s="144" t="str">
        <f>IF(ISNONTEXT(node_raw[[#This Row],[Column10]]), "", node_raw[[#This Row],[Column10]]/1)</f>
        <v/>
      </c>
    </row>
    <row r="347" spans="2:13" ht="15.75" customHeight="1" x14ac:dyDescent="0.25">
      <c r="B347" s="30" t="str">
        <f>IF(ISNONTEXT(node_raw[[#This Row],[Column1]]), "", node_raw[[#This Row],[Column1]])</f>
        <v/>
      </c>
      <c r="C347" s="27" t="str">
        <f>IF(ISNONTEXT(node_raw[[#This Row],[Column2]]), "", node_raw[[#This Row],[Column2]])</f>
        <v/>
      </c>
      <c r="D347" s="54" t="str">
        <f>IF(ISNUMBER(node_raw[[#This Row],[Column3]]), node_raw[[#This Row],[Column3]],"")</f>
        <v/>
      </c>
      <c r="E347" s="57" t="str">
        <f>IF(ISNUMBER(node_raw[[#This Row],[Column4]]), node_raw[[#This Row],[Column4]]/1048576,"")</f>
        <v/>
      </c>
      <c r="F347" s="139" t="str">
        <f>IF(ISNUMBER(node_raw[[#This Row],[Column5]]), node_raw[[#This Row],[Column5]],"")</f>
        <v/>
      </c>
      <c r="G347" s="153" t="str">
        <f t="shared" si="10"/>
        <v/>
      </c>
      <c r="H347" s="140" t="str">
        <f>IF(ISNUMBER(node_raw[[#This Row],[Column6]]), node_raw[[#This Row],[Column6]]/1048576,"")</f>
        <v/>
      </c>
      <c r="I347" s="157" t="str">
        <f t="shared" si="11"/>
        <v/>
      </c>
      <c r="J347" s="141" t="str">
        <f>IF(ISNONTEXT(node_raw[[#This Row],[Column7]]), "", node_raw[[#This Row],[Column7]]/100)</f>
        <v/>
      </c>
      <c r="K347" s="142" t="str">
        <f>IF(ISNONTEXT(node_raw[[#This Row],[Column8]]), "", node_raw[[#This Row],[Column8]]/100)</f>
        <v/>
      </c>
      <c r="L347" s="143" t="str">
        <f>IF(ISNONTEXT(node_raw[[#This Row],[Column9]]), "", node_raw[[#This Row],[Column9]]/1)</f>
        <v/>
      </c>
      <c r="M347" s="144" t="str">
        <f>IF(ISNONTEXT(node_raw[[#This Row],[Column10]]), "", node_raw[[#This Row],[Column10]]/1)</f>
        <v/>
      </c>
    </row>
    <row r="348" spans="2:13" ht="15.75" customHeight="1" x14ac:dyDescent="0.25">
      <c r="B348" s="30" t="str">
        <f>IF(ISNONTEXT(node_raw[[#This Row],[Column1]]), "", node_raw[[#This Row],[Column1]])</f>
        <v/>
      </c>
      <c r="C348" s="27" t="str">
        <f>IF(ISNONTEXT(node_raw[[#This Row],[Column2]]), "", node_raw[[#This Row],[Column2]])</f>
        <v/>
      </c>
      <c r="D348" s="54" t="str">
        <f>IF(ISNUMBER(node_raw[[#This Row],[Column3]]), node_raw[[#This Row],[Column3]],"")</f>
        <v/>
      </c>
      <c r="E348" s="57" t="str">
        <f>IF(ISNUMBER(node_raw[[#This Row],[Column4]]), node_raw[[#This Row],[Column4]]/1048576,"")</f>
        <v/>
      </c>
      <c r="F348" s="139" t="str">
        <f>IF(ISNUMBER(node_raw[[#This Row],[Column5]]), node_raw[[#This Row],[Column5]],"")</f>
        <v/>
      </c>
      <c r="G348" s="153" t="str">
        <f t="shared" si="10"/>
        <v/>
      </c>
      <c r="H348" s="140" t="str">
        <f>IF(ISNUMBER(node_raw[[#This Row],[Column6]]), node_raw[[#This Row],[Column6]]/1048576,"")</f>
        <v/>
      </c>
      <c r="I348" s="157" t="str">
        <f t="shared" si="11"/>
        <v/>
      </c>
      <c r="J348" s="141" t="str">
        <f>IF(ISNONTEXT(node_raw[[#This Row],[Column7]]), "", node_raw[[#This Row],[Column7]]/100)</f>
        <v/>
      </c>
      <c r="K348" s="142" t="str">
        <f>IF(ISNONTEXT(node_raw[[#This Row],[Column8]]), "", node_raw[[#This Row],[Column8]]/100)</f>
        <v/>
      </c>
      <c r="L348" s="143" t="str">
        <f>IF(ISNONTEXT(node_raw[[#This Row],[Column9]]), "", node_raw[[#This Row],[Column9]]/1)</f>
        <v/>
      </c>
      <c r="M348" s="144" t="str">
        <f>IF(ISNONTEXT(node_raw[[#This Row],[Column10]]), "", node_raw[[#This Row],[Column10]]/1)</f>
        <v/>
      </c>
    </row>
    <row r="349" spans="2:13" ht="15.75" customHeight="1" x14ac:dyDescent="0.25">
      <c r="B349" s="30" t="str">
        <f>IF(ISNONTEXT(node_raw[[#This Row],[Column1]]), "", node_raw[[#This Row],[Column1]])</f>
        <v/>
      </c>
      <c r="C349" s="27" t="str">
        <f>IF(ISNONTEXT(node_raw[[#This Row],[Column2]]), "", node_raw[[#This Row],[Column2]])</f>
        <v/>
      </c>
      <c r="D349" s="54" t="str">
        <f>IF(ISNUMBER(node_raw[[#This Row],[Column3]]), node_raw[[#This Row],[Column3]],"")</f>
        <v/>
      </c>
      <c r="E349" s="57" t="str">
        <f>IF(ISNUMBER(node_raw[[#This Row],[Column4]]), node_raw[[#This Row],[Column4]]/1048576,"")</f>
        <v/>
      </c>
      <c r="F349" s="139" t="str">
        <f>IF(ISNUMBER(node_raw[[#This Row],[Column5]]), node_raw[[#This Row],[Column5]],"")</f>
        <v/>
      </c>
      <c r="G349" s="153" t="str">
        <f t="shared" si="10"/>
        <v/>
      </c>
      <c r="H349" s="140" t="str">
        <f>IF(ISNUMBER(node_raw[[#This Row],[Column6]]), node_raw[[#This Row],[Column6]]/1048576,"")</f>
        <v/>
      </c>
      <c r="I349" s="157" t="str">
        <f t="shared" si="11"/>
        <v/>
      </c>
      <c r="J349" s="141" t="str">
        <f>IF(ISNONTEXT(node_raw[[#This Row],[Column7]]), "", node_raw[[#This Row],[Column7]]/100)</f>
        <v/>
      </c>
      <c r="K349" s="142" t="str">
        <f>IF(ISNONTEXT(node_raw[[#This Row],[Column8]]), "", node_raw[[#This Row],[Column8]]/100)</f>
        <v/>
      </c>
      <c r="L349" s="143" t="str">
        <f>IF(ISNONTEXT(node_raw[[#This Row],[Column9]]), "", node_raw[[#This Row],[Column9]]/1)</f>
        <v/>
      </c>
      <c r="M349" s="144" t="str">
        <f>IF(ISNONTEXT(node_raw[[#This Row],[Column10]]), "", node_raw[[#This Row],[Column10]]/1)</f>
        <v/>
      </c>
    </row>
    <row r="350" spans="2:13" ht="15.75" customHeight="1" x14ac:dyDescent="0.25">
      <c r="B350" s="30" t="str">
        <f>IF(ISNONTEXT(node_raw[[#This Row],[Column1]]), "", node_raw[[#This Row],[Column1]])</f>
        <v/>
      </c>
      <c r="C350" s="27" t="str">
        <f>IF(ISNONTEXT(node_raw[[#This Row],[Column2]]), "", node_raw[[#This Row],[Column2]])</f>
        <v/>
      </c>
      <c r="D350" s="54" t="str">
        <f>IF(ISNUMBER(node_raw[[#This Row],[Column3]]), node_raw[[#This Row],[Column3]],"")</f>
        <v/>
      </c>
      <c r="E350" s="57" t="str">
        <f>IF(ISNUMBER(node_raw[[#This Row],[Column4]]), node_raw[[#This Row],[Column4]]/1048576,"")</f>
        <v/>
      </c>
      <c r="F350" s="139" t="str">
        <f>IF(ISNUMBER(node_raw[[#This Row],[Column5]]), node_raw[[#This Row],[Column5]],"")</f>
        <v/>
      </c>
      <c r="G350" s="153" t="str">
        <f t="shared" si="10"/>
        <v/>
      </c>
      <c r="H350" s="140" t="str">
        <f>IF(ISNUMBER(node_raw[[#This Row],[Column6]]), node_raw[[#This Row],[Column6]]/1048576,"")</f>
        <v/>
      </c>
      <c r="I350" s="157" t="str">
        <f t="shared" si="11"/>
        <v/>
      </c>
      <c r="J350" s="141" t="str">
        <f>IF(ISNONTEXT(node_raw[[#This Row],[Column7]]), "", node_raw[[#This Row],[Column7]]/100)</f>
        <v/>
      </c>
      <c r="K350" s="142" t="str">
        <f>IF(ISNONTEXT(node_raw[[#This Row],[Column8]]), "", node_raw[[#This Row],[Column8]]/100)</f>
        <v/>
      </c>
      <c r="L350" s="143" t="str">
        <f>IF(ISNONTEXT(node_raw[[#This Row],[Column9]]), "", node_raw[[#This Row],[Column9]]/1)</f>
        <v/>
      </c>
      <c r="M350" s="144" t="str">
        <f>IF(ISNONTEXT(node_raw[[#This Row],[Column10]]), "", node_raw[[#This Row],[Column10]]/1)</f>
        <v/>
      </c>
    </row>
    <row r="351" spans="2:13" ht="15.75" customHeight="1" x14ac:dyDescent="0.25">
      <c r="B351" s="30" t="str">
        <f>IF(ISNONTEXT(node_raw[[#This Row],[Column1]]), "", node_raw[[#This Row],[Column1]])</f>
        <v/>
      </c>
      <c r="C351" s="27" t="str">
        <f>IF(ISNONTEXT(node_raw[[#This Row],[Column2]]), "", node_raw[[#This Row],[Column2]])</f>
        <v/>
      </c>
      <c r="D351" s="54" t="str">
        <f>IF(ISNUMBER(node_raw[[#This Row],[Column3]]), node_raw[[#This Row],[Column3]],"")</f>
        <v/>
      </c>
      <c r="E351" s="57" t="str">
        <f>IF(ISNUMBER(node_raw[[#This Row],[Column4]]), node_raw[[#This Row],[Column4]]/1048576,"")</f>
        <v/>
      </c>
      <c r="F351" s="139" t="str">
        <f>IF(ISNUMBER(node_raw[[#This Row],[Column5]]), node_raw[[#This Row],[Column5]],"")</f>
        <v/>
      </c>
      <c r="G351" s="153" t="str">
        <f t="shared" si="10"/>
        <v/>
      </c>
      <c r="H351" s="140" t="str">
        <f>IF(ISNUMBER(node_raw[[#This Row],[Column6]]), node_raw[[#This Row],[Column6]]/1048576,"")</f>
        <v/>
      </c>
      <c r="I351" s="157" t="str">
        <f t="shared" si="11"/>
        <v/>
      </c>
      <c r="J351" s="141" t="str">
        <f>IF(ISNONTEXT(node_raw[[#This Row],[Column7]]), "", node_raw[[#This Row],[Column7]]/100)</f>
        <v/>
      </c>
      <c r="K351" s="142" t="str">
        <f>IF(ISNONTEXT(node_raw[[#This Row],[Column8]]), "", node_raw[[#This Row],[Column8]]/100)</f>
        <v/>
      </c>
      <c r="L351" s="143" t="str">
        <f>IF(ISNONTEXT(node_raw[[#This Row],[Column9]]), "", node_raw[[#This Row],[Column9]]/1)</f>
        <v/>
      </c>
      <c r="M351" s="144" t="str">
        <f>IF(ISNONTEXT(node_raw[[#This Row],[Column10]]), "", node_raw[[#This Row],[Column10]]/1)</f>
        <v/>
      </c>
    </row>
    <row r="352" spans="2:13" ht="15.75" customHeight="1" x14ac:dyDescent="0.25">
      <c r="B352" s="30" t="str">
        <f>IF(ISNONTEXT(node_raw[[#This Row],[Column1]]), "", node_raw[[#This Row],[Column1]])</f>
        <v/>
      </c>
      <c r="C352" s="27" t="str">
        <f>IF(ISNONTEXT(node_raw[[#This Row],[Column2]]), "", node_raw[[#This Row],[Column2]])</f>
        <v/>
      </c>
      <c r="D352" s="54" t="str">
        <f>IF(ISNUMBER(node_raw[[#This Row],[Column3]]), node_raw[[#This Row],[Column3]],"")</f>
        <v/>
      </c>
      <c r="E352" s="57" t="str">
        <f>IF(ISNUMBER(node_raw[[#This Row],[Column4]]), node_raw[[#This Row],[Column4]]/1048576,"")</f>
        <v/>
      </c>
      <c r="F352" s="139" t="str">
        <f>IF(ISNUMBER(node_raw[[#This Row],[Column5]]), node_raw[[#This Row],[Column5]],"")</f>
        <v/>
      </c>
      <c r="G352" s="153" t="str">
        <f t="shared" si="10"/>
        <v/>
      </c>
      <c r="H352" s="140" t="str">
        <f>IF(ISNUMBER(node_raw[[#This Row],[Column6]]), node_raw[[#This Row],[Column6]]/1048576,"")</f>
        <v/>
      </c>
      <c r="I352" s="157" t="str">
        <f t="shared" si="11"/>
        <v/>
      </c>
      <c r="J352" s="141" t="str">
        <f>IF(ISNONTEXT(node_raw[[#This Row],[Column7]]), "", node_raw[[#This Row],[Column7]]/100)</f>
        <v/>
      </c>
      <c r="K352" s="142" t="str">
        <f>IF(ISNONTEXT(node_raw[[#This Row],[Column8]]), "", node_raw[[#This Row],[Column8]]/100)</f>
        <v/>
      </c>
      <c r="L352" s="143" t="str">
        <f>IF(ISNONTEXT(node_raw[[#This Row],[Column9]]), "", node_raw[[#This Row],[Column9]]/1)</f>
        <v/>
      </c>
      <c r="M352" s="144" t="str">
        <f>IF(ISNONTEXT(node_raw[[#This Row],[Column10]]), "", node_raw[[#This Row],[Column10]]/1)</f>
        <v/>
      </c>
    </row>
    <row r="353" spans="2:13" ht="15.75" customHeight="1" x14ac:dyDescent="0.25">
      <c r="B353" s="30" t="str">
        <f>IF(ISNONTEXT(node_raw[[#This Row],[Column1]]), "", node_raw[[#This Row],[Column1]])</f>
        <v/>
      </c>
      <c r="C353" s="27" t="str">
        <f>IF(ISNONTEXT(node_raw[[#This Row],[Column2]]), "", node_raw[[#This Row],[Column2]])</f>
        <v/>
      </c>
      <c r="D353" s="54" t="str">
        <f>IF(ISNUMBER(node_raw[[#This Row],[Column3]]), node_raw[[#This Row],[Column3]],"")</f>
        <v/>
      </c>
      <c r="E353" s="57" t="str">
        <f>IF(ISNUMBER(node_raw[[#This Row],[Column4]]), node_raw[[#This Row],[Column4]]/1048576,"")</f>
        <v/>
      </c>
      <c r="F353" s="139" t="str">
        <f>IF(ISNUMBER(node_raw[[#This Row],[Column5]]), node_raw[[#This Row],[Column5]],"")</f>
        <v/>
      </c>
      <c r="G353" s="153" t="str">
        <f t="shared" si="10"/>
        <v/>
      </c>
      <c r="H353" s="140" t="str">
        <f>IF(ISNUMBER(node_raw[[#This Row],[Column6]]), node_raw[[#This Row],[Column6]]/1048576,"")</f>
        <v/>
      </c>
      <c r="I353" s="157" t="str">
        <f t="shared" si="11"/>
        <v/>
      </c>
      <c r="J353" s="141" t="str">
        <f>IF(ISNONTEXT(node_raw[[#This Row],[Column7]]), "", node_raw[[#This Row],[Column7]]/100)</f>
        <v/>
      </c>
      <c r="K353" s="142" t="str">
        <f>IF(ISNONTEXT(node_raw[[#This Row],[Column8]]), "", node_raw[[#This Row],[Column8]]/100)</f>
        <v/>
      </c>
      <c r="L353" s="143" t="str">
        <f>IF(ISNONTEXT(node_raw[[#This Row],[Column9]]), "", node_raw[[#This Row],[Column9]]/1)</f>
        <v/>
      </c>
      <c r="M353" s="144" t="str">
        <f>IF(ISNONTEXT(node_raw[[#This Row],[Column10]]), "", node_raw[[#This Row],[Column10]]/1)</f>
        <v/>
      </c>
    </row>
    <row r="354" spans="2:13" ht="15.75" customHeight="1" x14ac:dyDescent="0.25">
      <c r="B354" s="30" t="str">
        <f>IF(ISNONTEXT(node_raw[[#This Row],[Column1]]), "", node_raw[[#This Row],[Column1]])</f>
        <v/>
      </c>
      <c r="C354" s="27" t="str">
        <f>IF(ISNONTEXT(node_raw[[#This Row],[Column2]]), "", node_raw[[#This Row],[Column2]])</f>
        <v/>
      </c>
      <c r="D354" s="54" t="str">
        <f>IF(ISNUMBER(node_raw[[#This Row],[Column3]]), node_raw[[#This Row],[Column3]],"")</f>
        <v/>
      </c>
      <c r="E354" s="57" t="str">
        <f>IF(ISNUMBER(node_raw[[#This Row],[Column4]]), node_raw[[#This Row],[Column4]]/1048576,"")</f>
        <v/>
      </c>
      <c r="F354" s="139" t="str">
        <f>IF(ISNUMBER(node_raw[[#This Row],[Column5]]), node_raw[[#This Row],[Column5]],"")</f>
        <v/>
      </c>
      <c r="G354" s="153" t="str">
        <f t="shared" si="10"/>
        <v/>
      </c>
      <c r="H354" s="140" t="str">
        <f>IF(ISNUMBER(node_raw[[#This Row],[Column6]]), node_raw[[#This Row],[Column6]]/1048576,"")</f>
        <v/>
      </c>
      <c r="I354" s="157" t="str">
        <f t="shared" si="11"/>
        <v/>
      </c>
      <c r="J354" s="141" t="str">
        <f>IF(ISNONTEXT(node_raw[[#This Row],[Column7]]), "", node_raw[[#This Row],[Column7]]/100)</f>
        <v/>
      </c>
      <c r="K354" s="142" t="str">
        <f>IF(ISNONTEXT(node_raw[[#This Row],[Column8]]), "", node_raw[[#This Row],[Column8]]/100)</f>
        <v/>
      </c>
      <c r="L354" s="143" t="str">
        <f>IF(ISNONTEXT(node_raw[[#This Row],[Column9]]), "", node_raw[[#This Row],[Column9]]/1)</f>
        <v/>
      </c>
      <c r="M354" s="144" t="str">
        <f>IF(ISNONTEXT(node_raw[[#This Row],[Column10]]), "", node_raw[[#This Row],[Column10]]/1)</f>
        <v/>
      </c>
    </row>
    <row r="355" spans="2:13" ht="15.75" customHeight="1" x14ac:dyDescent="0.25">
      <c r="B355" s="30" t="str">
        <f>IF(ISNONTEXT(node_raw[[#This Row],[Column1]]), "", node_raw[[#This Row],[Column1]])</f>
        <v/>
      </c>
      <c r="C355" s="27" t="str">
        <f>IF(ISNONTEXT(node_raw[[#This Row],[Column2]]), "", node_raw[[#This Row],[Column2]])</f>
        <v/>
      </c>
      <c r="D355" s="54" t="str">
        <f>IF(ISNUMBER(node_raw[[#This Row],[Column3]]), node_raw[[#This Row],[Column3]],"")</f>
        <v/>
      </c>
      <c r="E355" s="57" t="str">
        <f>IF(ISNUMBER(node_raw[[#This Row],[Column4]]), node_raw[[#This Row],[Column4]]/1048576,"")</f>
        <v/>
      </c>
      <c r="F355" s="139" t="str">
        <f>IF(ISNUMBER(node_raw[[#This Row],[Column5]]), node_raw[[#This Row],[Column5]],"")</f>
        <v/>
      </c>
      <c r="G355" s="153" t="str">
        <f t="shared" si="10"/>
        <v/>
      </c>
      <c r="H355" s="140" t="str">
        <f>IF(ISNUMBER(node_raw[[#This Row],[Column6]]), node_raw[[#This Row],[Column6]]/1048576,"")</f>
        <v/>
      </c>
      <c r="I355" s="157" t="str">
        <f t="shared" si="11"/>
        <v/>
      </c>
      <c r="J355" s="141" t="str">
        <f>IF(ISNONTEXT(node_raw[[#This Row],[Column7]]), "", node_raw[[#This Row],[Column7]]/100)</f>
        <v/>
      </c>
      <c r="K355" s="142" t="str">
        <f>IF(ISNONTEXT(node_raw[[#This Row],[Column8]]), "", node_raw[[#This Row],[Column8]]/100)</f>
        <v/>
      </c>
      <c r="L355" s="143" t="str">
        <f>IF(ISNONTEXT(node_raw[[#This Row],[Column9]]), "", node_raw[[#This Row],[Column9]]/1)</f>
        <v/>
      </c>
      <c r="M355" s="144" t="str">
        <f>IF(ISNONTEXT(node_raw[[#This Row],[Column10]]), "", node_raw[[#This Row],[Column10]]/1)</f>
        <v/>
      </c>
    </row>
    <row r="356" spans="2:13" ht="15.75" customHeight="1" x14ac:dyDescent="0.25">
      <c r="B356" s="30" t="str">
        <f>IF(ISNONTEXT(node_raw[[#This Row],[Column1]]), "", node_raw[[#This Row],[Column1]])</f>
        <v/>
      </c>
      <c r="C356" s="27" t="str">
        <f>IF(ISNONTEXT(node_raw[[#This Row],[Column2]]), "", node_raw[[#This Row],[Column2]])</f>
        <v/>
      </c>
      <c r="D356" s="54" t="str">
        <f>IF(ISNUMBER(node_raw[[#This Row],[Column3]]), node_raw[[#This Row],[Column3]],"")</f>
        <v/>
      </c>
      <c r="E356" s="57" t="str">
        <f>IF(ISNUMBER(node_raw[[#This Row],[Column4]]), node_raw[[#This Row],[Column4]]/1048576,"")</f>
        <v/>
      </c>
      <c r="F356" s="139" t="str">
        <f>IF(ISNUMBER(node_raw[[#This Row],[Column5]]), node_raw[[#This Row],[Column5]],"")</f>
        <v/>
      </c>
      <c r="G356" s="153" t="str">
        <f t="shared" si="10"/>
        <v/>
      </c>
      <c r="H356" s="140" t="str">
        <f>IF(ISNUMBER(node_raw[[#This Row],[Column6]]), node_raw[[#This Row],[Column6]]/1048576,"")</f>
        <v/>
      </c>
      <c r="I356" s="157" t="str">
        <f t="shared" si="11"/>
        <v/>
      </c>
      <c r="J356" s="141" t="str">
        <f>IF(ISNONTEXT(node_raw[[#This Row],[Column7]]), "", node_raw[[#This Row],[Column7]]/100)</f>
        <v/>
      </c>
      <c r="K356" s="142" t="str">
        <f>IF(ISNONTEXT(node_raw[[#This Row],[Column8]]), "", node_raw[[#This Row],[Column8]]/100)</f>
        <v/>
      </c>
      <c r="L356" s="143" t="str">
        <f>IF(ISNONTEXT(node_raw[[#This Row],[Column9]]), "", node_raw[[#This Row],[Column9]]/1)</f>
        <v/>
      </c>
      <c r="M356" s="144" t="str">
        <f>IF(ISNONTEXT(node_raw[[#This Row],[Column10]]), "", node_raw[[#This Row],[Column10]]/1)</f>
        <v/>
      </c>
    </row>
    <row r="357" spans="2:13" ht="15.75" customHeight="1" x14ac:dyDescent="0.25">
      <c r="B357" s="30" t="str">
        <f>IF(ISNONTEXT(node_raw[[#This Row],[Column1]]), "", node_raw[[#This Row],[Column1]])</f>
        <v/>
      </c>
      <c r="C357" s="27" t="str">
        <f>IF(ISNONTEXT(node_raw[[#This Row],[Column2]]), "", node_raw[[#This Row],[Column2]])</f>
        <v/>
      </c>
      <c r="D357" s="54" t="str">
        <f>IF(ISNUMBER(node_raw[[#This Row],[Column3]]), node_raw[[#This Row],[Column3]],"")</f>
        <v/>
      </c>
      <c r="E357" s="57" t="str">
        <f>IF(ISNUMBER(node_raw[[#This Row],[Column4]]), node_raw[[#This Row],[Column4]]/1048576,"")</f>
        <v/>
      </c>
      <c r="F357" s="139" t="str">
        <f>IF(ISNUMBER(node_raw[[#This Row],[Column5]]), node_raw[[#This Row],[Column5]],"")</f>
        <v/>
      </c>
      <c r="G357" s="153" t="str">
        <f t="shared" si="10"/>
        <v/>
      </c>
      <c r="H357" s="140" t="str">
        <f>IF(ISNUMBER(node_raw[[#This Row],[Column6]]), node_raw[[#This Row],[Column6]]/1048576,"")</f>
        <v/>
      </c>
      <c r="I357" s="157" t="str">
        <f t="shared" si="11"/>
        <v/>
      </c>
      <c r="J357" s="141" t="str">
        <f>IF(ISNONTEXT(node_raw[[#This Row],[Column7]]), "", node_raw[[#This Row],[Column7]]/100)</f>
        <v/>
      </c>
      <c r="K357" s="142" t="str">
        <f>IF(ISNONTEXT(node_raw[[#This Row],[Column8]]), "", node_raw[[#This Row],[Column8]]/100)</f>
        <v/>
      </c>
      <c r="L357" s="143" t="str">
        <f>IF(ISNONTEXT(node_raw[[#This Row],[Column9]]), "", node_raw[[#This Row],[Column9]]/1)</f>
        <v/>
      </c>
      <c r="M357" s="144" t="str">
        <f>IF(ISNONTEXT(node_raw[[#This Row],[Column10]]), "", node_raw[[#This Row],[Column10]]/1)</f>
        <v/>
      </c>
    </row>
    <row r="358" spans="2:13" ht="15.75" customHeight="1" x14ac:dyDescent="0.25">
      <c r="B358" s="30" t="str">
        <f>IF(ISNONTEXT(node_raw[[#This Row],[Column1]]), "", node_raw[[#This Row],[Column1]])</f>
        <v/>
      </c>
      <c r="C358" s="27" t="str">
        <f>IF(ISNONTEXT(node_raw[[#This Row],[Column2]]), "", node_raw[[#This Row],[Column2]])</f>
        <v/>
      </c>
      <c r="D358" s="54" t="str">
        <f>IF(ISNUMBER(node_raw[[#This Row],[Column3]]), node_raw[[#This Row],[Column3]],"")</f>
        <v/>
      </c>
      <c r="E358" s="57" t="str">
        <f>IF(ISNUMBER(node_raw[[#This Row],[Column4]]), node_raw[[#This Row],[Column4]]/1048576,"")</f>
        <v/>
      </c>
      <c r="F358" s="139" t="str">
        <f>IF(ISNUMBER(node_raw[[#This Row],[Column5]]), node_raw[[#This Row],[Column5]],"")</f>
        <v/>
      </c>
      <c r="G358" s="153" t="str">
        <f t="shared" si="10"/>
        <v/>
      </c>
      <c r="H358" s="140" t="str">
        <f>IF(ISNUMBER(node_raw[[#This Row],[Column6]]), node_raw[[#This Row],[Column6]]/1048576,"")</f>
        <v/>
      </c>
      <c r="I358" s="157" t="str">
        <f t="shared" si="11"/>
        <v/>
      </c>
      <c r="J358" s="141" t="str">
        <f>IF(ISNONTEXT(node_raw[[#This Row],[Column7]]), "", node_raw[[#This Row],[Column7]]/100)</f>
        <v/>
      </c>
      <c r="K358" s="142" t="str">
        <f>IF(ISNONTEXT(node_raw[[#This Row],[Column8]]), "", node_raw[[#This Row],[Column8]]/100)</f>
        <v/>
      </c>
      <c r="L358" s="143" t="str">
        <f>IF(ISNONTEXT(node_raw[[#This Row],[Column9]]), "", node_raw[[#This Row],[Column9]]/1)</f>
        <v/>
      </c>
      <c r="M358" s="144" t="str">
        <f>IF(ISNONTEXT(node_raw[[#This Row],[Column10]]), "", node_raw[[#This Row],[Column10]]/1)</f>
        <v/>
      </c>
    </row>
    <row r="359" spans="2:13" ht="15.75" customHeight="1" x14ac:dyDescent="0.25">
      <c r="B359" s="30" t="str">
        <f>IF(ISNONTEXT(node_raw[[#This Row],[Column1]]), "", node_raw[[#This Row],[Column1]])</f>
        <v/>
      </c>
      <c r="C359" s="27" t="str">
        <f>IF(ISNONTEXT(node_raw[[#This Row],[Column2]]), "", node_raw[[#This Row],[Column2]])</f>
        <v/>
      </c>
      <c r="D359" s="54" t="str">
        <f>IF(ISNUMBER(node_raw[[#This Row],[Column3]]), node_raw[[#This Row],[Column3]],"")</f>
        <v/>
      </c>
      <c r="E359" s="57" t="str">
        <f>IF(ISNUMBER(node_raw[[#This Row],[Column4]]), node_raw[[#This Row],[Column4]]/1048576,"")</f>
        <v/>
      </c>
      <c r="F359" s="139" t="str">
        <f>IF(ISNUMBER(node_raw[[#This Row],[Column5]]), node_raw[[#This Row],[Column5]],"")</f>
        <v/>
      </c>
      <c r="G359" s="153" t="str">
        <f t="shared" si="10"/>
        <v/>
      </c>
      <c r="H359" s="140" t="str">
        <f>IF(ISNUMBER(node_raw[[#This Row],[Column6]]), node_raw[[#This Row],[Column6]]/1048576,"")</f>
        <v/>
      </c>
      <c r="I359" s="157" t="str">
        <f t="shared" si="11"/>
        <v/>
      </c>
      <c r="J359" s="141" t="str">
        <f>IF(ISNONTEXT(node_raw[[#This Row],[Column7]]), "", node_raw[[#This Row],[Column7]]/100)</f>
        <v/>
      </c>
      <c r="K359" s="142" t="str">
        <f>IF(ISNONTEXT(node_raw[[#This Row],[Column8]]), "", node_raw[[#This Row],[Column8]]/100)</f>
        <v/>
      </c>
      <c r="L359" s="143" t="str">
        <f>IF(ISNONTEXT(node_raw[[#This Row],[Column9]]), "", node_raw[[#This Row],[Column9]]/1)</f>
        <v/>
      </c>
      <c r="M359" s="144" t="str">
        <f>IF(ISNONTEXT(node_raw[[#This Row],[Column10]]), "", node_raw[[#This Row],[Column10]]/1)</f>
        <v/>
      </c>
    </row>
    <row r="360" spans="2:13" ht="15.75" customHeight="1" x14ac:dyDescent="0.25">
      <c r="B360" s="30" t="str">
        <f>IF(ISNONTEXT(node_raw[[#This Row],[Column1]]), "", node_raw[[#This Row],[Column1]])</f>
        <v/>
      </c>
      <c r="C360" s="27" t="str">
        <f>IF(ISNONTEXT(node_raw[[#This Row],[Column2]]), "", node_raw[[#This Row],[Column2]])</f>
        <v/>
      </c>
      <c r="D360" s="54" t="str">
        <f>IF(ISNUMBER(node_raw[[#This Row],[Column3]]), node_raw[[#This Row],[Column3]],"")</f>
        <v/>
      </c>
      <c r="E360" s="57" t="str">
        <f>IF(ISNUMBER(node_raw[[#This Row],[Column4]]), node_raw[[#This Row],[Column4]]/1048576,"")</f>
        <v/>
      </c>
      <c r="F360" s="139" t="str">
        <f>IF(ISNUMBER(node_raw[[#This Row],[Column5]]), node_raw[[#This Row],[Column5]],"")</f>
        <v/>
      </c>
      <c r="G360" s="153" t="str">
        <f t="shared" si="10"/>
        <v/>
      </c>
      <c r="H360" s="140" t="str">
        <f>IF(ISNUMBER(node_raw[[#This Row],[Column6]]), node_raw[[#This Row],[Column6]]/1048576,"")</f>
        <v/>
      </c>
      <c r="I360" s="157" t="str">
        <f t="shared" si="11"/>
        <v/>
      </c>
      <c r="J360" s="141" t="str">
        <f>IF(ISNONTEXT(node_raw[[#This Row],[Column7]]), "", node_raw[[#This Row],[Column7]]/100)</f>
        <v/>
      </c>
      <c r="K360" s="142" t="str">
        <f>IF(ISNONTEXT(node_raw[[#This Row],[Column8]]), "", node_raw[[#This Row],[Column8]]/100)</f>
        <v/>
      </c>
      <c r="L360" s="143" t="str">
        <f>IF(ISNONTEXT(node_raw[[#This Row],[Column9]]), "", node_raw[[#This Row],[Column9]]/1)</f>
        <v/>
      </c>
      <c r="M360" s="144" t="str">
        <f>IF(ISNONTEXT(node_raw[[#This Row],[Column10]]), "", node_raw[[#This Row],[Column10]]/1)</f>
        <v/>
      </c>
    </row>
    <row r="361" spans="2:13" ht="15.75" customHeight="1" x14ac:dyDescent="0.25">
      <c r="B361" s="30" t="str">
        <f>IF(ISNONTEXT(node_raw[[#This Row],[Column1]]), "", node_raw[[#This Row],[Column1]])</f>
        <v/>
      </c>
      <c r="C361" s="27" t="str">
        <f>IF(ISNONTEXT(node_raw[[#This Row],[Column2]]), "", node_raw[[#This Row],[Column2]])</f>
        <v/>
      </c>
      <c r="D361" s="54" t="str">
        <f>IF(ISNUMBER(node_raw[[#This Row],[Column3]]), node_raw[[#This Row],[Column3]],"")</f>
        <v/>
      </c>
      <c r="E361" s="57" t="str">
        <f>IF(ISNUMBER(node_raw[[#This Row],[Column4]]), node_raw[[#This Row],[Column4]]/1048576,"")</f>
        <v/>
      </c>
      <c r="F361" s="139" t="str">
        <f>IF(ISNUMBER(node_raw[[#This Row],[Column5]]), node_raw[[#This Row],[Column5]],"")</f>
        <v/>
      </c>
      <c r="G361" s="153" t="str">
        <f t="shared" si="10"/>
        <v/>
      </c>
      <c r="H361" s="140" t="str">
        <f>IF(ISNUMBER(node_raw[[#This Row],[Column6]]), node_raw[[#This Row],[Column6]]/1048576,"")</f>
        <v/>
      </c>
      <c r="I361" s="157" t="str">
        <f t="shared" si="11"/>
        <v/>
      </c>
      <c r="J361" s="141" t="str">
        <f>IF(ISNONTEXT(node_raw[[#This Row],[Column7]]), "", node_raw[[#This Row],[Column7]]/100)</f>
        <v/>
      </c>
      <c r="K361" s="142" t="str">
        <f>IF(ISNONTEXT(node_raw[[#This Row],[Column8]]), "", node_raw[[#This Row],[Column8]]/100)</f>
        <v/>
      </c>
      <c r="L361" s="143" t="str">
        <f>IF(ISNONTEXT(node_raw[[#This Row],[Column9]]), "", node_raw[[#This Row],[Column9]]/1)</f>
        <v/>
      </c>
      <c r="M361" s="144" t="str">
        <f>IF(ISNONTEXT(node_raw[[#This Row],[Column10]]), "", node_raw[[#This Row],[Column10]]/1)</f>
        <v/>
      </c>
    </row>
    <row r="362" spans="2:13" ht="15.75" customHeight="1" x14ac:dyDescent="0.25">
      <c r="B362" s="30" t="str">
        <f>IF(ISNONTEXT(node_raw[[#This Row],[Column1]]), "", node_raw[[#This Row],[Column1]])</f>
        <v/>
      </c>
      <c r="C362" s="27" t="str">
        <f>IF(ISNONTEXT(node_raw[[#This Row],[Column2]]), "", node_raw[[#This Row],[Column2]])</f>
        <v/>
      </c>
      <c r="D362" s="54" t="str">
        <f>IF(ISNUMBER(node_raw[[#This Row],[Column3]]), node_raw[[#This Row],[Column3]],"")</f>
        <v/>
      </c>
      <c r="E362" s="57" t="str">
        <f>IF(ISNUMBER(node_raw[[#This Row],[Column4]]), node_raw[[#This Row],[Column4]]/1048576,"")</f>
        <v/>
      </c>
      <c r="F362" s="139" t="str">
        <f>IF(ISNUMBER(node_raw[[#This Row],[Column5]]), node_raw[[#This Row],[Column5]],"")</f>
        <v/>
      </c>
      <c r="G362" s="153" t="str">
        <f t="shared" si="10"/>
        <v/>
      </c>
      <c r="H362" s="140" t="str">
        <f>IF(ISNUMBER(node_raw[[#This Row],[Column6]]), node_raw[[#This Row],[Column6]]/1048576,"")</f>
        <v/>
      </c>
      <c r="I362" s="157" t="str">
        <f t="shared" si="11"/>
        <v/>
      </c>
      <c r="J362" s="141" t="str">
        <f>IF(ISNONTEXT(node_raw[[#This Row],[Column7]]), "", node_raw[[#This Row],[Column7]]/100)</f>
        <v/>
      </c>
      <c r="K362" s="142" t="str">
        <f>IF(ISNONTEXT(node_raw[[#This Row],[Column8]]), "", node_raw[[#This Row],[Column8]]/100)</f>
        <v/>
      </c>
      <c r="L362" s="143" t="str">
        <f>IF(ISNONTEXT(node_raw[[#This Row],[Column9]]), "", node_raw[[#This Row],[Column9]]/1)</f>
        <v/>
      </c>
      <c r="M362" s="144" t="str">
        <f>IF(ISNONTEXT(node_raw[[#This Row],[Column10]]), "", node_raw[[#This Row],[Column10]]/1)</f>
        <v/>
      </c>
    </row>
    <row r="363" spans="2:13" ht="15.75" customHeight="1" x14ac:dyDescent="0.25">
      <c r="B363" s="30" t="str">
        <f>IF(ISNONTEXT(node_raw[[#This Row],[Column1]]), "", node_raw[[#This Row],[Column1]])</f>
        <v/>
      </c>
      <c r="C363" s="27" t="str">
        <f>IF(ISNONTEXT(node_raw[[#This Row],[Column2]]), "", node_raw[[#This Row],[Column2]])</f>
        <v/>
      </c>
      <c r="D363" s="54" t="str">
        <f>IF(ISNUMBER(node_raw[[#This Row],[Column3]]), node_raw[[#This Row],[Column3]],"")</f>
        <v/>
      </c>
      <c r="E363" s="57" t="str">
        <f>IF(ISNUMBER(node_raw[[#This Row],[Column4]]), node_raw[[#This Row],[Column4]]/1048576,"")</f>
        <v/>
      </c>
      <c r="F363" s="139" t="str">
        <f>IF(ISNUMBER(node_raw[[#This Row],[Column5]]), node_raw[[#This Row],[Column5]],"")</f>
        <v/>
      </c>
      <c r="G363" s="153" t="str">
        <f t="shared" si="10"/>
        <v/>
      </c>
      <c r="H363" s="140" t="str">
        <f>IF(ISNUMBER(node_raw[[#This Row],[Column6]]), node_raw[[#This Row],[Column6]]/1048576,"")</f>
        <v/>
      </c>
      <c r="I363" s="157" t="str">
        <f t="shared" si="11"/>
        <v/>
      </c>
      <c r="J363" s="141" t="str">
        <f>IF(ISNONTEXT(node_raw[[#This Row],[Column7]]), "", node_raw[[#This Row],[Column7]]/100)</f>
        <v/>
      </c>
      <c r="K363" s="142" t="str">
        <f>IF(ISNONTEXT(node_raw[[#This Row],[Column8]]), "", node_raw[[#This Row],[Column8]]/100)</f>
        <v/>
      </c>
      <c r="L363" s="143" t="str">
        <f>IF(ISNONTEXT(node_raw[[#This Row],[Column9]]), "", node_raw[[#This Row],[Column9]]/1)</f>
        <v/>
      </c>
      <c r="M363" s="144" t="str">
        <f>IF(ISNONTEXT(node_raw[[#This Row],[Column10]]), "", node_raw[[#This Row],[Column10]]/1)</f>
        <v/>
      </c>
    </row>
    <row r="364" spans="2:13" ht="15.75" customHeight="1" x14ac:dyDescent="0.25">
      <c r="B364" s="30" t="str">
        <f>IF(ISNONTEXT(node_raw[[#This Row],[Column1]]), "", node_raw[[#This Row],[Column1]])</f>
        <v/>
      </c>
      <c r="C364" s="27" t="str">
        <f>IF(ISNONTEXT(node_raw[[#This Row],[Column2]]), "", node_raw[[#This Row],[Column2]])</f>
        <v/>
      </c>
      <c r="D364" s="54" t="str">
        <f>IF(ISNUMBER(node_raw[[#This Row],[Column3]]), node_raw[[#This Row],[Column3]],"")</f>
        <v/>
      </c>
      <c r="E364" s="57" t="str">
        <f>IF(ISNUMBER(node_raw[[#This Row],[Column4]]), node_raw[[#This Row],[Column4]]/1048576,"")</f>
        <v/>
      </c>
      <c r="F364" s="139" t="str">
        <f>IF(ISNUMBER(node_raw[[#This Row],[Column5]]), node_raw[[#This Row],[Column5]],"")</f>
        <v/>
      </c>
      <c r="G364" s="153" t="str">
        <f t="shared" si="10"/>
        <v/>
      </c>
      <c r="H364" s="140" t="str">
        <f>IF(ISNUMBER(node_raw[[#This Row],[Column6]]), node_raw[[#This Row],[Column6]]/1048576,"")</f>
        <v/>
      </c>
      <c r="I364" s="157" t="str">
        <f t="shared" si="11"/>
        <v/>
      </c>
      <c r="J364" s="141" t="str">
        <f>IF(ISNONTEXT(node_raw[[#This Row],[Column7]]), "", node_raw[[#This Row],[Column7]]/100)</f>
        <v/>
      </c>
      <c r="K364" s="142" t="str">
        <f>IF(ISNONTEXT(node_raw[[#This Row],[Column8]]), "", node_raw[[#This Row],[Column8]]/100)</f>
        <v/>
      </c>
      <c r="L364" s="143" t="str">
        <f>IF(ISNONTEXT(node_raw[[#This Row],[Column9]]), "", node_raw[[#This Row],[Column9]]/1)</f>
        <v/>
      </c>
      <c r="M364" s="144" t="str">
        <f>IF(ISNONTEXT(node_raw[[#This Row],[Column10]]), "", node_raw[[#This Row],[Column10]]/1)</f>
        <v/>
      </c>
    </row>
    <row r="365" spans="2:13" ht="15.75" customHeight="1" x14ac:dyDescent="0.25">
      <c r="B365" s="30" t="str">
        <f>IF(ISNONTEXT(node_raw[[#This Row],[Column1]]), "", node_raw[[#This Row],[Column1]])</f>
        <v/>
      </c>
      <c r="C365" s="27" t="str">
        <f>IF(ISNONTEXT(node_raw[[#This Row],[Column2]]), "", node_raw[[#This Row],[Column2]])</f>
        <v/>
      </c>
      <c r="D365" s="54" t="str">
        <f>IF(ISNUMBER(node_raw[[#This Row],[Column3]]), node_raw[[#This Row],[Column3]],"")</f>
        <v/>
      </c>
      <c r="E365" s="57" t="str">
        <f>IF(ISNUMBER(node_raw[[#This Row],[Column4]]), node_raw[[#This Row],[Column4]]/1048576,"")</f>
        <v/>
      </c>
      <c r="F365" s="139" t="str">
        <f>IF(ISNUMBER(node_raw[[#This Row],[Column5]]), node_raw[[#This Row],[Column5]],"")</f>
        <v/>
      </c>
      <c r="G365" s="153" t="str">
        <f t="shared" si="10"/>
        <v/>
      </c>
      <c r="H365" s="140" t="str">
        <f>IF(ISNUMBER(node_raw[[#This Row],[Column6]]), node_raw[[#This Row],[Column6]]/1048576,"")</f>
        <v/>
      </c>
      <c r="I365" s="157" t="str">
        <f t="shared" si="11"/>
        <v/>
      </c>
      <c r="J365" s="141" t="str">
        <f>IF(ISNONTEXT(node_raw[[#This Row],[Column7]]), "", node_raw[[#This Row],[Column7]]/100)</f>
        <v/>
      </c>
      <c r="K365" s="142" t="str">
        <f>IF(ISNONTEXT(node_raw[[#This Row],[Column8]]), "", node_raw[[#This Row],[Column8]]/100)</f>
        <v/>
      </c>
      <c r="L365" s="143" t="str">
        <f>IF(ISNONTEXT(node_raw[[#This Row],[Column9]]), "", node_raw[[#This Row],[Column9]]/1)</f>
        <v/>
      </c>
      <c r="M365" s="144" t="str">
        <f>IF(ISNONTEXT(node_raw[[#This Row],[Column10]]), "", node_raw[[#This Row],[Column10]]/1)</f>
        <v/>
      </c>
    </row>
    <row r="366" spans="2:13" ht="15.75" customHeight="1" x14ac:dyDescent="0.25">
      <c r="B366" s="30" t="str">
        <f>IF(ISNONTEXT(node_raw[[#This Row],[Column1]]), "", node_raw[[#This Row],[Column1]])</f>
        <v/>
      </c>
      <c r="C366" s="27" t="str">
        <f>IF(ISNONTEXT(node_raw[[#This Row],[Column2]]), "", node_raw[[#This Row],[Column2]])</f>
        <v/>
      </c>
      <c r="D366" s="54" t="str">
        <f>IF(ISNUMBER(node_raw[[#This Row],[Column3]]), node_raw[[#This Row],[Column3]],"")</f>
        <v/>
      </c>
      <c r="E366" s="57" t="str">
        <f>IF(ISNUMBER(node_raw[[#This Row],[Column4]]), node_raw[[#This Row],[Column4]]/1048576,"")</f>
        <v/>
      </c>
      <c r="F366" s="139" t="str">
        <f>IF(ISNUMBER(node_raw[[#This Row],[Column5]]), node_raw[[#This Row],[Column5]],"")</f>
        <v/>
      </c>
      <c r="G366" s="153" t="str">
        <f t="shared" si="10"/>
        <v/>
      </c>
      <c r="H366" s="140" t="str">
        <f>IF(ISNUMBER(node_raw[[#This Row],[Column6]]), node_raw[[#This Row],[Column6]]/1048576,"")</f>
        <v/>
      </c>
      <c r="I366" s="157" t="str">
        <f t="shared" si="11"/>
        <v/>
      </c>
      <c r="J366" s="141" t="str">
        <f>IF(ISNONTEXT(node_raw[[#This Row],[Column7]]), "", node_raw[[#This Row],[Column7]]/100)</f>
        <v/>
      </c>
      <c r="K366" s="142" t="str">
        <f>IF(ISNONTEXT(node_raw[[#This Row],[Column8]]), "", node_raw[[#This Row],[Column8]]/100)</f>
        <v/>
      </c>
      <c r="L366" s="143" t="str">
        <f>IF(ISNONTEXT(node_raw[[#This Row],[Column9]]), "", node_raw[[#This Row],[Column9]]/1)</f>
        <v/>
      </c>
      <c r="M366" s="144" t="str">
        <f>IF(ISNONTEXT(node_raw[[#This Row],[Column10]]), "", node_raw[[#This Row],[Column10]]/1)</f>
        <v/>
      </c>
    </row>
    <row r="367" spans="2:13" ht="15.75" customHeight="1" x14ac:dyDescent="0.25">
      <c r="B367" s="30" t="str">
        <f>IF(ISNONTEXT(node_raw[[#This Row],[Column1]]), "", node_raw[[#This Row],[Column1]])</f>
        <v/>
      </c>
      <c r="C367" s="27" t="str">
        <f>IF(ISNONTEXT(node_raw[[#This Row],[Column2]]), "", node_raw[[#This Row],[Column2]])</f>
        <v/>
      </c>
      <c r="D367" s="54" t="str">
        <f>IF(ISNUMBER(node_raw[[#This Row],[Column3]]), node_raw[[#This Row],[Column3]],"")</f>
        <v/>
      </c>
      <c r="E367" s="57" t="str">
        <f>IF(ISNUMBER(node_raw[[#This Row],[Column4]]), node_raw[[#This Row],[Column4]]/1048576,"")</f>
        <v/>
      </c>
      <c r="F367" s="139" t="str">
        <f>IF(ISNUMBER(node_raw[[#This Row],[Column5]]), node_raw[[#This Row],[Column5]],"")</f>
        <v/>
      </c>
      <c r="G367" s="153" t="str">
        <f t="shared" si="10"/>
        <v/>
      </c>
      <c r="H367" s="140" t="str">
        <f>IF(ISNUMBER(node_raw[[#This Row],[Column6]]), node_raw[[#This Row],[Column6]]/1048576,"")</f>
        <v/>
      </c>
      <c r="I367" s="157" t="str">
        <f t="shared" si="11"/>
        <v/>
      </c>
      <c r="J367" s="141" t="str">
        <f>IF(ISNONTEXT(node_raw[[#This Row],[Column7]]), "", node_raw[[#This Row],[Column7]]/100)</f>
        <v/>
      </c>
      <c r="K367" s="142" t="str">
        <f>IF(ISNONTEXT(node_raw[[#This Row],[Column8]]), "", node_raw[[#This Row],[Column8]]/100)</f>
        <v/>
      </c>
      <c r="L367" s="143" t="str">
        <f>IF(ISNONTEXT(node_raw[[#This Row],[Column9]]), "", node_raw[[#This Row],[Column9]]/1)</f>
        <v/>
      </c>
      <c r="M367" s="144" t="str">
        <f>IF(ISNONTEXT(node_raw[[#This Row],[Column10]]), "", node_raw[[#This Row],[Column10]]/1)</f>
        <v/>
      </c>
    </row>
    <row r="368" spans="2:13" ht="15.75" customHeight="1" x14ac:dyDescent="0.25">
      <c r="B368" s="30" t="str">
        <f>IF(ISNONTEXT(node_raw[[#This Row],[Column1]]), "", node_raw[[#This Row],[Column1]])</f>
        <v/>
      </c>
      <c r="C368" s="27" t="str">
        <f>IF(ISNONTEXT(node_raw[[#This Row],[Column2]]), "", node_raw[[#This Row],[Column2]])</f>
        <v/>
      </c>
      <c r="D368" s="54" t="str">
        <f>IF(ISNUMBER(node_raw[[#This Row],[Column3]]), node_raw[[#This Row],[Column3]],"")</f>
        <v/>
      </c>
      <c r="E368" s="57" t="str">
        <f>IF(ISNUMBER(node_raw[[#This Row],[Column4]]), node_raw[[#This Row],[Column4]]/1048576,"")</f>
        <v/>
      </c>
      <c r="F368" s="139" t="str">
        <f>IF(ISNUMBER(node_raw[[#This Row],[Column5]]), node_raw[[#This Row],[Column5]],"")</f>
        <v/>
      </c>
      <c r="G368" s="153" t="str">
        <f t="shared" si="10"/>
        <v/>
      </c>
      <c r="H368" s="140" t="str">
        <f>IF(ISNUMBER(node_raw[[#This Row],[Column6]]), node_raw[[#This Row],[Column6]]/1048576,"")</f>
        <v/>
      </c>
      <c r="I368" s="157" t="str">
        <f t="shared" si="11"/>
        <v/>
      </c>
      <c r="J368" s="141" t="str">
        <f>IF(ISNONTEXT(node_raw[[#This Row],[Column7]]), "", node_raw[[#This Row],[Column7]]/100)</f>
        <v/>
      </c>
      <c r="K368" s="142" t="str">
        <f>IF(ISNONTEXT(node_raw[[#This Row],[Column8]]), "", node_raw[[#This Row],[Column8]]/100)</f>
        <v/>
      </c>
      <c r="L368" s="143" t="str">
        <f>IF(ISNONTEXT(node_raw[[#This Row],[Column9]]), "", node_raw[[#This Row],[Column9]]/1)</f>
        <v/>
      </c>
      <c r="M368" s="144" t="str">
        <f>IF(ISNONTEXT(node_raw[[#This Row],[Column10]]), "", node_raw[[#This Row],[Column10]]/1)</f>
        <v/>
      </c>
    </row>
    <row r="369" spans="2:13" ht="15.75" customHeight="1" x14ac:dyDescent="0.25">
      <c r="B369" s="30" t="str">
        <f>IF(ISNONTEXT(node_raw[[#This Row],[Column1]]), "", node_raw[[#This Row],[Column1]])</f>
        <v/>
      </c>
      <c r="C369" s="27" t="str">
        <f>IF(ISNONTEXT(node_raw[[#This Row],[Column2]]), "", node_raw[[#This Row],[Column2]])</f>
        <v/>
      </c>
      <c r="D369" s="54" t="str">
        <f>IF(ISNUMBER(node_raw[[#This Row],[Column3]]), node_raw[[#This Row],[Column3]],"")</f>
        <v/>
      </c>
      <c r="E369" s="57" t="str">
        <f>IF(ISNUMBER(node_raw[[#This Row],[Column4]]), node_raw[[#This Row],[Column4]]/1048576,"")</f>
        <v/>
      </c>
      <c r="F369" s="139" t="str">
        <f>IF(ISNUMBER(node_raw[[#This Row],[Column5]]), node_raw[[#This Row],[Column5]],"")</f>
        <v/>
      </c>
      <c r="G369" s="153" t="str">
        <f t="shared" si="10"/>
        <v/>
      </c>
      <c r="H369" s="140" t="str">
        <f>IF(ISNUMBER(node_raw[[#This Row],[Column6]]), node_raw[[#This Row],[Column6]]/1048576,"")</f>
        <v/>
      </c>
      <c r="I369" s="157" t="str">
        <f t="shared" si="11"/>
        <v/>
      </c>
      <c r="J369" s="141" t="str">
        <f>IF(ISNONTEXT(node_raw[[#This Row],[Column7]]), "", node_raw[[#This Row],[Column7]]/100)</f>
        <v/>
      </c>
      <c r="K369" s="142" t="str">
        <f>IF(ISNONTEXT(node_raw[[#This Row],[Column8]]), "", node_raw[[#This Row],[Column8]]/100)</f>
        <v/>
      </c>
      <c r="L369" s="143" t="str">
        <f>IF(ISNONTEXT(node_raw[[#This Row],[Column9]]), "", node_raw[[#This Row],[Column9]]/1)</f>
        <v/>
      </c>
      <c r="M369" s="144" t="str">
        <f>IF(ISNONTEXT(node_raw[[#This Row],[Column10]]), "", node_raw[[#This Row],[Column10]]/1)</f>
        <v/>
      </c>
    </row>
    <row r="370" spans="2:13" ht="15.75" customHeight="1" x14ac:dyDescent="0.25">
      <c r="B370" s="30" t="str">
        <f>IF(ISNONTEXT(node_raw[[#This Row],[Column1]]), "", node_raw[[#This Row],[Column1]])</f>
        <v/>
      </c>
      <c r="C370" s="27" t="str">
        <f>IF(ISNONTEXT(node_raw[[#This Row],[Column2]]), "", node_raw[[#This Row],[Column2]])</f>
        <v/>
      </c>
      <c r="D370" s="54" t="str">
        <f>IF(ISNUMBER(node_raw[[#This Row],[Column3]]), node_raw[[#This Row],[Column3]],"")</f>
        <v/>
      </c>
      <c r="E370" s="57" t="str">
        <f>IF(ISNUMBER(node_raw[[#This Row],[Column4]]), node_raw[[#This Row],[Column4]]/1048576,"")</f>
        <v/>
      </c>
      <c r="F370" s="139" t="str">
        <f>IF(ISNUMBER(node_raw[[#This Row],[Column5]]), node_raw[[#This Row],[Column5]],"")</f>
        <v/>
      </c>
      <c r="G370" s="153" t="str">
        <f t="shared" si="10"/>
        <v/>
      </c>
      <c r="H370" s="140" t="str">
        <f>IF(ISNUMBER(node_raw[[#This Row],[Column6]]), node_raw[[#This Row],[Column6]]/1048576,"")</f>
        <v/>
      </c>
      <c r="I370" s="157" t="str">
        <f t="shared" si="11"/>
        <v/>
      </c>
      <c r="J370" s="141" t="str">
        <f>IF(ISNONTEXT(node_raw[[#This Row],[Column7]]), "", node_raw[[#This Row],[Column7]]/100)</f>
        <v/>
      </c>
      <c r="K370" s="142" t="str">
        <f>IF(ISNONTEXT(node_raw[[#This Row],[Column8]]), "", node_raw[[#This Row],[Column8]]/100)</f>
        <v/>
      </c>
      <c r="L370" s="143" t="str">
        <f>IF(ISNONTEXT(node_raw[[#This Row],[Column9]]), "", node_raw[[#This Row],[Column9]]/1)</f>
        <v/>
      </c>
      <c r="M370" s="144" t="str">
        <f>IF(ISNONTEXT(node_raw[[#This Row],[Column10]]), "", node_raw[[#This Row],[Column10]]/1)</f>
        <v/>
      </c>
    </row>
    <row r="371" spans="2:13" ht="15.75" customHeight="1" x14ac:dyDescent="0.25">
      <c r="B371" s="30" t="str">
        <f>IF(ISNONTEXT(node_raw[[#This Row],[Column1]]), "", node_raw[[#This Row],[Column1]])</f>
        <v/>
      </c>
      <c r="C371" s="27" t="str">
        <f>IF(ISNONTEXT(node_raw[[#This Row],[Column2]]), "", node_raw[[#This Row],[Column2]])</f>
        <v/>
      </c>
      <c r="D371" s="54" t="str">
        <f>IF(ISNUMBER(node_raw[[#This Row],[Column3]]), node_raw[[#This Row],[Column3]],"")</f>
        <v/>
      </c>
      <c r="E371" s="57" t="str">
        <f>IF(ISNUMBER(node_raw[[#This Row],[Column4]]), node_raw[[#This Row],[Column4]]/1048576,"")</f>
        <v/>
      </c>
      <c r="F371" s="139" t="str">
        <f>IF(ISNUMBER(node_raw[[#This Row],[Column5]]), node_raw[[#This Row],[Column5]],"")</f>
        <v/>
      </c>
      <c r="G371" s="153" t="str">
        <f t="shared" si="10"/>
        <v/>
      </c>
      <c r="H371" s="140" t="str">
        <f>IF(ISNUMBER(node_raw[[#This Row],[Column6]]), node_raw[[#This Row],[Column6]]/1048576,"")</f>
        <v/>
      </c>
      <c r="I371" s="157" t="str">
        <f t="shared" si="11"/>
        <v/>
      </c>
      <c r="J371" s="141" t="str">
        <f>IF(ISNONTEXT(node_raw[[#This Row],[Column7]]), "", node_raw[[#This Row],[Column7]]/100)</f>
        <v/>
      </c>
      <c r="K371" s="142" t="str">
        <f>IF(ISNONTEXT(node_raw[[#This Row],[Column8]]), "", node_raw[[#This Row],[Column8]]/100)</f>
        <v/>
      </c>
      <c r="L371" s="143" t="str">
        <f>IF(ISNONTEXT(node_raw[[#This Row],[Column9]]), "", node_raw[[#This Row],[Column9]]/1)</f>
        <v/>
      </c>
      <c r="M371" s="144" t="str">
        <f>IF(ISNONTEXT(node_raw[[#This Row],[Column10]]), "", node_raw[[#This Row],[Column10]]/1)</f>
        <v/>
      </c>
    </row>
    <row r="372" spans="2:13" ht="15.75" customHeight="1" x14ac:dyDescent="0.25">
      <c r="B372" s="30" t="str">
        <f>IF(ISNONTEXT(node_raw[[#This Row],[Column1]]), "", node_raw[[#This Row],[Column1]])</f>
        <v/>
      </c>
      <c r="C372" s="27" t="str">
        <f>IF(ISNONTEXT(node_raw[[#This Row],[Column2]]), "", node_raw[[#This Row],[Column2]])</f>
        <v/>
      </c>
      <c r="D372" s="54" t="str">
        <f>IF(ISNUMBER(node_raw[[#This Row],[Column3]]), node_raw[[#This Row],[Column3]],"")</f>
        <v/>
      </c>
      <c r="E372" s="57" t="str">
        <f>IF(ISNUMBER(node_raw[[#This Row],[Column4]]), node_raw[[#This Row],[Column4]]/1048576,"")</f>
        <v/>
      </c>
      <c r="F372" s="139" t="str">
        <f>IF(ISNUMBER(node_raw[[#This Row],[Column5]]), node_raw[[#This Row],[Column5]],"")</f>
        <v/>
      </c>
      <c r="G372" s="153" t="str">
        <f t="shared" si="10"/>
        <v/>
      </c>
      <c r="H372" s="140" t="str">
        <f>IF(ISNUMBER(node_raw[[#This Row],[Column6]]), node_raw[[#This Row],[Column6]]/1048576,"")</f>
        <v/>
      </c>
      <c r="I372" s="157" t="str">
        <f t="shared" si="11"/>
        <v/>
      </c>
      <c r="J372" s="141" t="str">
        <f>IF(ISNONTEXT(node_raw[[#This Row],[Column7]]), "", node_raw[[#This Row],[Column7]]/100)</f>
        <v/>
      </c>
      <c r="K372" s="142" t="str">
        <f>IF(ISNONTEXT(node_raw[[#This Row],[Column8]]), "", node_raw[[#This Row],[Column8]]/100)</f>
        <v/>
      </c>
      <c r="L372" s="143" t="str">
        <f>IF(ISNONTEXT(node_raw[[#This Row],[Column9]]), "", node_raw[[#This Row],[Column9]]/1)</f>
        <v/>
      </c>
      <c r="M372" s="144" t="str">
        <f>IF(ISNONTEXT(node_raw[[#This Row],[Column10]]), "", node_raw[[#This Row],[Column10]]/1)</f>
        <v/>
      </c>
    </row>
    <row r="373" spans="2:13" ht="15.75" customHeight="1" x14ac:dyDescent="0.25">
      <c r="B373" s="30" t="str">
        <f>IF(ISNONTEXT(node_raw[[#This Row],[Column1]]), "", node_raw[[#This Row],[Column1]])</f>
        <v/>
      </c>
      <c r="C373" s="27" t="str">
        <f>IF(ISNONTEXT(node_raw[[#This Row],[Column2]]), "", node_raw[[#This Row],[Column2]])</f>
        <v/>
      </c>
      <c r="D373" s="54" t="str">
        <f>IF(ISNUMBER(node_raw[[#This Row],[Column3]]), node_raw[[#This Row],[Column3]],"")</f>
        <v/>
      </c>
      <c r="E373" s="57" t="str">
        <f>IF(ISNUMBER(node_raw[[#This Row],[Column4]]), node_raw[[#This Row],[Column4]]/1048576,"")</f>
        <v/>
      </c>
      <c r="F373" s="139" t="str">
        <f>IF(ISNUMBER(node_raw[[#This Row],[Column5]]), node_raw[[#This Row],[Column5]],"")</f>
        <v/>
      </c>
      <c r="G373" s="153" t="str">
        <f t="shared" si="10"/>
        <v/>
      </c>
      <c r="H373" s="140" t="str">
        <f>IF(ISNUMBER(node_raw[[#This Row],[Column6]]), node_raw[[#This Row],[Column6]]/1048576,"")</f>
        <v/>
      </c>
      <c r="I373" s="157" t="str">
        <f t="shared" si="11"/>
        <v/>
      </c>
      <c r="J373" s="141" t="str">
        <f>IF(ISNONTEXT(node_raw[[#This Row],[Column7]]), "", node_raw[[#This Row],[Column7]]/100)</f>
        <v/>
      </c>
      <c r="K373" s="142" t="str">
        <f>IF(ISNONTEXT(node_raw[[#This Row],[Column8]]), "", node_raw[[#This Row],[Column8]]/100)</f>
        <v/>
      </c>
      <c r="L373" s="143" t="str">
        <f>IF(ISNONTEXT(node_raw[[#This Row],[Column9]]), "", node_raw[[#This Row],[Column9]]/1)</f>
        <v/>
      </c>
      <c r="M373" s="144" t="str">
        <f>IF(ISNONTEXT(node_raw[[#This Row],[Column10]]), "", node_raw[[#This Row],[Column10]]/1)</f>
        <v/>
      </c>
    </row>
    <row r="374" spans="2:13" ht="15.75" customHeight="1" x14ac:dyDescent="0.25">
      <c r="B374" s="30" t="str">
        <f>IF(ISNONTEXT(node_raw[[#This Row],[Column1]]), "", node_raw[[#This Row],[Column1]])</f>
        <v/>
      </c>
      <c r="C374" s="27" t="str">
        <f>IF(ISNONTEXT(node_raw[[#This Row],[Column2]]), "", node_raw[[#This Row],[Column2]])</f>
        <v/>
      </c>
      <c r="D374" s="54" t="str">
        <f>IF(ISNUMBER(node_raw[[#This Row],[Column3]]), node_raw[[#This Row],[Column3]],"")</f>
        <v/>
      </c>
      <c r="E374" s="57" t="str">
        <f>IF(ISNUMBER(node_raw[[#This Row],[Column4]]), node_raw[[#This Row],[Column4]]/1048576,"")</f>
        <v/>
      </c>
      <c r="F374" s="139" t="str">
        <f>IF(ISNUMBER(node_raw[[#This Row],[Column5]]), node_raw[[#This Row],[Column5]],"")</f>
        <v/>
      </c>
      <c r="G374" s="153" t="str">
        <f t="shared" si="10"/>
        <v/>
      </c>
      <c r="H374" s="140" t="str">
        <f>IF(ISNUMBER(node_raw[[#This Row],[Column6]]), node_raw[[#This Row],[Column6]]/1048576,"")</f>
        <v/>
      </c>
      <c r="I374" s="157" t="str">
        <f t="shared" si="11"/>
        <v/>
      </c>
      <c r="J374" s="141" t="str">
        <f>IF(ISNONTEXT(node_raw[[#This Row],[Column7]]), "", node_raw[[#This Row],[Column7]]/100)</f>
        <v/>
      </c>
      <c r="K374" s="142" t="str">
        <f>IF(ISNONTEXT(node_raw[[#This Row],[Column8]]), "", node_raw[[#This Row],[Column8]]/100)</f>
        <v/>
      </c>
      <c r="L374" s="143" t="str">
        <f>IF(ISNONTEXT(node_raw[[#This Row],[Column9]]), "", node_raw[[#This Row],[Column9]]/1)</f>
        <v/>
      </c>
      <c r="M374" s="144" t="str">
        <f>IF(ISNONTEXT(node_raw[[#This Row],[Column10]]), "", node_raw[[#This Row],[Column10]]/1)</f>
        <v/>
      </c>
    </row>
    <row r="375" spans="2:13" ht="15.75" customHeight="1" x14ac:dyDescent="0.25">
      <c r="B375" s="30" t="str">
        <f>IF(ISNONTEXT(node_raw[[#This Row],[Column1]]), "", node_raw[[#This Row],[Column1]])</f>
        <v/>
      </c>
      <c r="C375" s="27" t="str">
        <f>IF(ISNONTEXT(node_raw[[#This Row],[Column2]]), "", node_raw[[#This Row],[Column2]])</f>
        <v/>
      </c>
      <c r="D375" s="54" t="str">
        <f>IF(ISNUMBER(node_raw[[#This Row],[Column3]]), node_raw[[#This Row],[Column3]],"")</f>
        <v/>
      </c>
      <c r="E375" s="57" t="str">
        <f>IF(ISNUMBER(node_raw[[#This Row],[Column4]]), node_raw[[#This Row],[Column4]]/1048576,"")</f>
        <v/>
      </c>
      <c r="F375" s="139" t="str">
        <f>IF(ISNUMBER(node_raw[[#This Row],[Column5]]), node_raw[[#This Row],[Column5]],"")</f>
        <v/>
      </c>
      <c r="G375" s="153" t="str">
        <f t="shared" si="10"/>
        <v/>
      </c>
      <c r="H375" s="140" t="str">
        <f>IF(ISNUMBER(node_raw[[#This Row],[Column6]]), node_raw[[#This Row],[Column6]]/1048576,"")</f>
        <v/>
      </c>
      <c r="I375" s="157" t="str">
        <f t="shared" si="11"/>
        <v/>
      </c>
      <c r="J375" s="141" t="str">
        <f>IF(ISNONTEXT(node_raw[[#This Row],[Column7]]), "", node_raw[[#This Row],[Column7]]/100)</f>
        <v/>
      </c>
      <c r="K375" s="142" t="str">
        <f>IF(ISNONTEXT(node_raw[[#This Row],[Column8]]), "", node_raw[[#This Row],[Column8]]/100)</f>
        <v/>
      </c>
      <c r="L375" s="143" t="str">
        <f>IF(ISNONTEXT(node_raw[[#This Row],[Column9]]), "", node_raw[[#This Row],[Column9]]/1)</f>
        <v/>
      </c>
      <c r="M375" s="144" t="str">
        <f>IF(ISNONTEXT(node_raw[[#This Row],[Column10]]), "", node_raw[[#This Row],[Column10]]/1)</f>
        <v/>
      </c>
    </row>
    <row r="376" spans="2:13" ht="15.75" customHeight="1" x14ac:dyDescent="0.25">
      <c r="B376" s="30" t="str">
        <f>IF(ISNONTEXT(node_raw[[#This Row],[Column1]]), "", node_raw[[#This Row],[Column1]])</f>
        <v/>
      </c>
      <c r="C376" s="27" t="str">
        <f>IF(ISNONTEXT(node_raw[[#This Row],[Column2]]), "", node_raw[[#This Row],[Column2]])</f>
        <v/>
      </c>
      <c r="D376" s="54" t="str">
        <f>IF(ISNUMBER(node_raw[[#This Row],[Column3]]), node_raw[[#This Row],[Column3]],"")</f>
        <v/>
      </c>
      <c r="E376" s="57" t="str">
        <f>IF(ISNUMBER(node_raw[[#This Row],[Column4]]), node_raw[[#This Row],[Column4]]/1048576,"")</f>
        <v/>
      </c>
      <c r="F376" s="139" t="str">
        <f>IF(ISNUMBER(node_raw[[#This Row],[Column5]]), node_raw[[#This Row],[Column5]],"")</f>
        <v/>
      </c>
      <c r="G376" s="153" t="str">
        <f t="shared" si="10"/>
        <v/>
      </c>
      <c r="H376" s="140" t="str">
        <f>IF(ISNUMBER(node_raw[[#This Row],[Column6]]), node_raw[[#This Row],[Column6]]/1048576,"")</f>
        <v/>
      </c>
      <c r="I376" s="157" t="str">
        <f t="shared" si="11"/>
        <v/>
      </c>
      <c r="J376" s="141" t="str">
        <f>IF(ISNONTEXT(node_raw[[#This Row],[Column7]]), "", node_raw[[#This Row],[Column7]]/100)</f>
        <v/>
      </c>
      <c r="K376" s="142" t="str">
        <f>IF(ISNONTEXT(node_raw[[#This Row],[Column8]]), "", node_raw[[#This Row],[Column8]]/100)</f>
        <v/>
      </c>
      <c r="L376" s="143" t="str">
        <f>IF(ISNONTEXT(node_raw[[#This Row],[Column9]]), "", node_raw[[#This Row],[Column9]]/1)</f>
        <v/>
      </c>
      <c r="M376" s="144" t="str">
        <f>IF(ISNONTEXT(node_raw[[#This Row],[Column10]]), "", node_raw[[#This Row],[Column10]]/1)</f>
        <v/>
      </c>
    </row>
    <row r="377" spans="2:13" ht="15.75" customHeight="1" x14ac:dyDescent="0.25">
      <c r="B377" s="30" t="str">
        <f>IF(ISNONTEXT(node_raw[[#This Row],[Column1]]), "", node_raw[[#This Row],[Column1]])</f>
        <v/>
      </c>
      <c r="C377" s="27" t="str">
        <f>IF(ISNONTEXT(node_raw[[#This Row],[Column2]]), "", node_raw[[#This Row],[Column2]])</f>
        <v/>
      </c>
      <c r="D377" s="54" t="str">
        <f>IF(ISNUMBER(node_raw[[#This Row],[Column3]]), node_raw[[#This Row],[Column3]],"")</f>
        <v/>
      </c>
      <c r="E377" s="57" t="str">
        <f>IF(ISNUMBER(node_raw[[#This Row],[Column4]]), node_raw[[#This Row],[Column4]]/1048576,"")</f>
        <v/>
      </c>
      <c r="F377" s="139" t="str">
        <f>IF(ISNUMBER(node_raw[[#This Row],[Column5]]), node_raw[[#This Row],[Column5]],"")</f>
        <v/>
      </c>
      <c r="G377" s="153" t="str">
        <f t="shared" si="10"/>
        <v/>
      </c>
      <c r="H377" s="140" t="str">
        <f>IF(ISNUMBER(node_raw[[#This Row],[Column6]]), node_raw[[#This Row],[Column6]]/1048576,"")</f>
        <v/>
      </c>
      <c r="I377" s="157" t="str">
        <f t="shared" si="11"/>
        <v/>
      </c>
      <c r="J377" s="141" t="str">
        <f>IF(ISNONTEXT(node_raw[[#This Row],[Column7]]), "", node_raw[[#This Row],[Column7]]/100)</f>
        <v/>
      </c>
      <c r="K377" s="142" t="str">
        <f>IF(ISNONTEXT(node_raw[[#This Row],[Column8]]), "", node_raw[[#This Row],[Column8]]/100)</f>
        <v/>
      </c>
      <c r="L377" s="143" t="str">
        <f>IF(ISNONTEXT(node_raw[[#This Row],[Column9]]), "", node_raw[[#This Row],[Column9]]/1)</f>
        <v/>
      </c>
      <c r="M377" s="144" t="str">
        <f>IF(ISNONTEXT(node_raw[[#This Row],[Column10]]), "", node_raw[[#This Row],[Column10]]/1)</f>
        <v/>
      </c>
    </row>
    <row r="378" spans="2:13" ht="15.75" customHeight="1" x14ac:dyDescent="0.25">
      <c r="B378" s="30" t="str">
        <f>IF(ISNONTEXT(node_raw[[#This Row],[Column1]]), "", node_raw[[#This Row],[Column1]])</f>
        <v/>
      </c>
      <c r="C378" s="27" t="str">
        <f>IF(ISNONTEXT(node_raw[[#This Row],[Column2]]), "", node_raw[[#This Row],[Column2]])</f>
        <v/>
      </c>
      <c r="D378" s="54" t="str">
        <f>IF(ISNUMBER(node_raw[[#This Row],[Column3]]), node_raw[[#This Row],[Column3]],"")</f>
        <v/>
      </c>
      <c r="E378" s="57" t="str">
        <f>IF(ISNUMBER(node_raw[[#This Row],[Column4]]), node_raw[[#This Row],[Column4]]/1048576,"")</f>
        <v/>
      </c>
      <c r="F378" s="139" t="str">
        <f>IF(ISNUMBER(node_raw[[#This Row],[Column5]]), node_raw[[#This Row],[Column5]],"")</f>
        <v/>
      </c>
      <c r="G378" s="153" t="str">
        <f t="shared" si="10"/>
        <v/>
      </c>
      <c r="H378" s="140" t="str">
        <f>IF(ISNUMBER(node_raw[[#This Row],[Column6]]), node_raw[[#This Row],[Column6]]/1048576,"")</f>
        <v/>
      </c>
      <c r="I378" s="157" t="str">
        <f t="shared" si="11"/>
        <v/>
      </c>
      <c r="J378" s="141" t="str">
        <f>IF(ISNONTEXT(node_raw[[#This Row],[Column7]]), "", node_raw[[#This Row],[Column7]]/100)</f>
        <v/>
      </c>
      <c r="K378" s="142" t="str">
        <f>IF(ISNONTEXT(node_raw[[#This Row],[Column8]]), "", node_raw[[#This Row],[Column8]]/100)</f>
        <v/>
      </c>
      <c r="L378" s="143" t="str">
        <f>IF(ISNONTEXT(node_raw[[#This Row],[Column9]]), "", node_raw[[#This Row],[Column9]]/1)</f>
        <v/>
      </c>
      <c r="M378" s="144" t="str">
        <f>IF(ISNONTEXT(node_raw[[#This Row],[Column10]]), "", node_raw[[#This Row],[Column10]]/1)</f>
        <v/>
      </c>
    </row>
    <row r="379" spans="2:13" ht="15.75" customHeight="1" x14ac:dyDescent="0.25">
      <c r="B379" s="30" t="str">
        <f>IF(ISNONTEXT(node_raw[[#This Row],[Column1]]), "", node_raw[[#This Row],[Column1]])</f>
        <v/>
      </c>
      <c r="C379" s="27" t="str">
        <f>IF(ISNONTEXT(node_raw[[#This Row],[Column2]]), "", node_raw[[#This Row],[Column2]])</f>
        <v/>
      </c>
      <c r="D379" s="54" t="str">
        <f>IF(ISNUMBER(node_raw[[#This Row],[Column3]]), node_raw[[#This Row],[Column3]],"")</f>
        <v/>
      </c>
      <c r="E379" s="57" t="str">
        <f>IF(ISNUMBER(node_raw[[#This Row],[Column4]]), node_raw[[#This Row],[Column4]]/1048576,"")</f>
        <v/>
      </c>
      <c r="F379" s="139" t="str">
        <f>IF(ISNUMBER(node_raw[[#This Row],[Column5]]), node_raw[[#This Row],[Column5]],"")</f>
        <v/>
      </c>
      <c r="G379" s="153" t="str">
        <f t="shared" si="10"/>
        <v/>
      </c>
      <c r="H379" s="140" t="str">
        <f>IF(ISNUMBER(node_raw[[#This Row],[Column6]]), node_raw[[#This Row],[Column6]]/1048576,"")</f>
        <v/>
      </c>
      <c r="I379" s="157" t="str">
        <f t="shared" si="11"/>
        <v/>
      </c>
      <c r="J379" s="141" t="str">
        <f>IF(ISNONTEXT(node_raw[[#This Row],[Column7]]), "", node_raw[[#This Row],[Column7]]/100)</f>
        <v/>
      </c>
      <c r="K379" s="142" t="str">
        <f>IF(ISNONTEXT(node_raw[[#This Row],[Column8]]), "", node_raw[[#This Row],[Column8]]/100)</f>
        <v/>
      </c>
      <c r="L379" s="143" t="str">
        <f>IF(ISNONTEXT(node_raw[[#This Row],[Column9]]), "", node_raw[[#This Row],[Column9]]/1)</f>
        <v/>
      </c>
      <c r="M379" s="144" t="str">
        <f>IF(ISNONTEXT(node_raw[[#This Row],[Column10]]), "", node_raw[[#This Row],[Column10]]/1)</f>
        <v/>
      </c>
    </row>
    <row r="380" spans="2:13" ht="15.75" customHeight="1" x14ac:dyDescent="0.25">
      <c r="B380" s="30" t="str">
        <f>IF(ISNONTEXT(node_raw[[#This Row],[Column1]]), "", node_raw[[#This Row],[Column1]])</f>
        <v/>
      </c>
      <c r="C380" s="27" t="str">
        <f>IF(ISNONTEXT(node_raw[[#This Row],[Column2]]), "", node_raw[[#This Row],[Column2]])</f>
        <v/>
      </c>
      <c r="D380" s="54" t="str">
        <f>IF(ISNUMBER(node_raw[[#This Row],[Column3]]), node_raw[[#This Row],[Column3]],"")</f>
        <v/>
      </c>
      <c r="E380" s="57" t="str">
        <f>IF(ISNUMBER(node_raw[[#This Row],[Column4]]), node_raw[[#This Row],[Column4]]/1048576,"")</f>
        <v/>
      </c>
      <c r="F380" s="139" t="str">
        <f>IF(ISNUMBER(node_raw[[#This Row],[Column5]]), node_raw[[#This Row],[Column5]],"")</f>
        <v/>
      </c>
      <c r="G380" s="153" t="str">
        <f t="shared" si="10"/>
        <v/>
      </c>
      <c r="H380" s="140" t="str">
        <f>IF(ISNUMBER(node_raw[[#This Row],[Column6]]), node_raw[[#This Row],[Column6]]/1048576,"")</f>
        <v/>
      </c>
      <c r="I380" s="157" t="str">
        <f t="shared" si="11"/>
        <v/>
      </c>
      <c r="J380" s="141" t="str">
        <f>IF(ISNONTEXT(node_raw[[#This Row],[Column7]]), "", node_raw[[#This Row],[Column7]]/100)</f>
        <v/>
      </c>
      <c r="K380" s="142" t="str">
        <f>IF(ISNONTEXT(node_raw[[#This Row],[Column8]]), "", node_raw[[#This Row],[Column8]]/100)</f>
        <v/>
      </c>
      <c r="L380" s="143" t="str">
        <f>IF(ISNONTEXT(node_raw[[#This Row],[Column9]]), "", node_raw[[#This Row],[Column9]]/1)</f>
        <v/>
      </c>
      <c r="M380" s="144" t="str">
        <f>IF(ISNONTEXT(node_raw[[#This Row],[Column10]]), "", node_raw[[#This Row],[Column10]]/1)</f>
        <v/>
      </c>
    </row>
    <row r="381" spans="2:13" ht="15.75" customHeight="1" x14ac:dyDescent="0.25">
      <c r="B381" s="30" t="str">
        <f>IF(ISNONTEXT(node_raw[[#This Row],[Column1]]), "", node_raw[[#This Row],[Column1]])</f>
        <v/>
      </c>
      <c r="C381" s="27" t="str">
        <f>IF(ISNONTEXT(node_raw[[#This Row],[Column2]]), "", node_raw[[#This Row],[Column2]])</f>
        <v/>
      </c>
      <c r="D381" s="54" t="str">
        <f>IF(ISNUMBER(node_raw[[#This Row],[Column3]]), node_raw[[#This Row],[Column3]],"")</f>
        <v/>
      </c>
      <c r="E381" s="57" t="str">
        <f>IF(ISNUMBER(node_raw[[#This Row],[Column4]]), node_raw[[#This Row],[Column4]]/1048576,"")</f>
        <v/>
      </c>
      <c r="F381" s="139" t="str">
        <f>IF(ISNUMBER(node_raw[[#This Row],[Column5]]), node_raw[[#This Row],[Column5]],"")</f>
        <v/>
      </c>
      <c r="G381" s="153" t="str">
        <f t="shared" si="10"/>
        <v/>
      </c>
      <c r="H381" s="140" t="str">
        <f>IF(ISNUMBER(node_raw[[#This Row],[Column6]]), node_raw[[#This Row],[Column6]]/1048576,"")</f>
        <v/>
      </c>
      <c r="I381" s="157" t="str">
        <f t="shared" si="11"/>
        <v/>
      </c>
      <c r="J381" s="141" t="str">
        <f>IF(ISNONTEXT(node_raw[[#This Row],[Column7]]), "", node_raw[[#This Row],[Column7]]/100)</f>
        <v/>
      </c>
      <c r="K381" s="142" t="str">
        <f>IF(ISNONTEXT(node_raw[[#This Row],[Column8]]), "", node_raw[[#This Row],[Column8]]/100)</f>
        <v/>
      </c>
      <c r="L381" s="143" t="str">
        <f>IF(ISNONTEXT(node_raw[[#This Row],[Column9]]), "", node_raw[[#This Row],[Column9]]/1)</f>
        <v/>
      </c>
      <c r="M381" s="144" t="str">
        <f>IF(ISNONTEXT(node_raw[[#This Row],[Column10]]), "", node_raw[[#This Row],[Column10]]/1)</f>
        <v/>
      </c>
    </row>
    <row r="382" spans="2:13" ht="15.75" customHeight="1" x14ac:dyDescent="0.25">
      <c r="B382" s="30" t="str">
        <f>IF(ISNONTEXT(node_raw[[#This Row],[Column1]]), "", node_raw[[#This Row],[Column1]])</f>
        <v/>
      </c>
      <c r="C382" s="27" t="str">
        <f>IF(ISNONTEXT(node_raw[[#This Row],[Column2]]), "", node_raw[[#This Row],[Column2]])</f>
        <v/>
      </c>
      <c r="D382" s="54" t="str">
        <f>IF(ISNUMBER(node_raw[[#This Row],[Column3]]), node_raw[[#This Row],[Column3]],"")</f>
        <v/>
      </c>
      <c r="E382" s="57" t="str">
        <f>IF(ISNUMBER(node_raw[[#This Row],[Column4]]), node_raw[[#This Row],[Column4]]/1048576,"")</f>
        <v/>
      </c>
      <c r="F382" s="139" t="str">
        <f>IF(ISNUMBER(node_raw[[#This Row],[Column5]]), node_raw[[#This Row],[Column5]],"")</f>
        <v/>
      </c>
      <c r="G382" s="153" t="str">
        <f t="shared" si="10"/>
        <v/>
      </c>
      <c r="H382" s="140" t="str">
        <f>IF(ISNUMBER(node_raw[[#This Row],[Column6]]), node_raw[[#This Row],[Column6]]/1048576,"")</f>
        <v/>
      </c>
      <c r="I382" s="157" t="str">
        <f t="shared" si="11"/>
        <v/>
      </c>
      <c r="J382" s="141" t="str">
        <f>IF(ISNONTEXT(node_raw[[#This Row],[Column7]]), "", node_raw[[#This Row],[Column7]]/100)</f>
        <v/>
      </c>
      <c r="K382" s="142" t="str">
        <f>IF(ISNONTEXT(node_raw[[#This Row],[Column8]]), "", node_raw[[#This Row],[Column8]]/100)</f>
        <v/>
      </c>
      <c r="L382" s="143" t="str">
        <f>IF(ISNONTEXT(node_raw[[#This Row],[Column9]]), "", node_raw[[#This Row],[Column9]]/1)</f>
        <v/>
      </c>
      <c r="M382" s="144" t="str">
        <f>IF(ISNONTEXT(node_raw[[#This Row],[Column10]]), "", node_raw[[#This Row],[Column10]]/1)</f>
        <v/>
      </c>
    </row>
    <row r="383" spans="2:13" ht="15.75" customHeight="1" x14ac:dyDescent="0.25">
      <c r="B383" s="30" t="str">
        <f>IF(ISNONTEXT(node_raw[[#This Row],[Column1]]), "", node_raw[[#This Row],[Column1]])</f>
        <v/>
      </c>
      <c r="C383" s="27" t="str">
        <f>IF(ISNONTEXT(node_raw[[#This Row],[Column2]]), "", node_raw[[#This Row],[Column2]])</f>
        <v/>
      </c>
      <c r="D383" s="54" t="str">
        <f>IF(ISNUMBER(node_raw[[#This Row],[Column3]]), node_raw[[#This Row],[Column3]],"")</f>
        <v/>
      </c>
      <c r="E383" s="57" t="str">
        <f>IF(ISNUMBER(node_raw[[#This Row],[Column4]]), node_raw[[#This Row],[Column4]]/1048576,"")</f>
        <v/>
      </c>
      <c r="F383" s="139" t="str">
        <f>IF(ISNUMBER(node_raw[[#This Row],[Column5]]), node_raw[[#This Row],[Column5]],"")</f>
        <v/>
      </c>
      <c r="G383" s="153" t="str">
        <f t="shared" si="10"/>
        <v/>
      </c>
      <c r="H383" s="140" t="str">
        <f>IF(ISNUMBER(node_raw[[#This Row],[Column6]]), node_raw[[#This Row],[Column6]]/1048576,"")</f>
        <v/>
      </c>
      <c r="I383" s="157" t="str">
        <f t="shared" si="11"/>
        <v/>
      </c>
      <c r="J383" s="141" t="str">
        <f>IF(ISNONTEXT(node_raw[[#This Row],[Column7]]), "", node_raw[[#This Row],[Column7]]/100)</f>
        <v/>
      </c>
      <c r="K383" s="142" t="str">
        <f>IF(ISNONTEXT(node_raw[[#This Row],[Column8]]), "", node_raw[[#This Row],[Column8]]/100)</f>
        <v/>
      </c>
      <c r="L383" s="143" t="str">
        <f>IF(ISNONTEXT(node_raw[[#This Row],[Column9]]), "", node_raw[[#This Row],[Column9]]/1)</f>
        <v/>
      </c>
      <c r="M383" s="144" t="str">
        <f>IF(ISNONTEXT(node_raw[[#This Row],[Column10]]), "", node_raw[[#This Row],[Column10]]/1)</f>
        <v/>
      </c>
    </row>
    <row r="384" spans="2:13" ht="15.75" customHeight="1" x14ac:dyDescent="0.25">
      <c r="B384" s="30" t="str">
        <f>IF(ISNONTEXT(node_raw[[#This Row],[Column1]]), "", node_raw[[#This Row],[Column1]])</f>
        <v/>
      </c>
      <c r="C384" s="27" t="str">
        <f>IF(ISNONTEXT(node_raw[[#This Row],[Column2]]), "", node_raw[[#This Row],[Column2]])</f>
        <v/>
      </c>
      <c r="D384" s="54" t="str">
        <f>IF(ISNUMBER(node_raw[[#This Row],[Column3]]), node_raw[[#This Row],[Column3]],"")</f>
        <v/>
      </c>
      <c r="E384" s="57" t="str">
        <f>IF(ISNUMBER(node_raw[[#This Row],[Column4]]), node_raw[[#This Row],[Column4]]/1048576,"")</f>
        <v/>
      </c>
      <c r="F384" s="139" t="str">
        <f>IF(ISNUMBER(node_raw[[#This Row],[Column5]]), node_raw[[#This Row],[Column5]],"")</f>
        <v/>
      </c>
      <c r="G384" s="153" t="str">
        <f t="shared" si="10"/>
        <v/>
      </c>
      <c r="H384" s="140" t="str">
        <f>IF(ISNUMBER(node_raw[[#This Row],[Column6]]), node_raw[[#This Row],[Column6]]/1048576,"")</f>
        <v/>
      </c>
      <c r="I384" s="157" t="str">
        <f t="shared" si="11"/>
        <v/>
      </c>
      <c r="J384" s="141" t="str">
        <f>IF(ISNONTEXT(node_raw[[#This Row],[Column7]]), "", node_raw[[#This Row],[Column7]]/100)</f>
        <v/>
      </c>
      <c r="K384" s="142" t="str">
        <f>IF(ISNONTEXT(node_raw[[#This Row],[Column8]]), "", node_raw[[#This Row],[Column8]]/100)</f>
        <v/>
      </c>
      <c r="L384" s="143" t="str">
        <f>IF(ISNONTEXT(node_raw[[#This Row],[Column9]]), "", node_raw[[#This Row],[Column9]]/1)</f>
        <v/>
      </c>
      <c r="M384" s="144" t="str">
        <f>IF(ISNONTEXT(node_raw[[#This Row],[Column10]]), "", node_raw[[#This Row],[Column10]]/1)</f>
        <v/>
      </c>
    </row>
    <row r="385" spans="2:13" ht="15.75" customHeight="1" x14ac:dyDescent="0.25">
      <c r="B385" s="30" t="str">
        <f>IF(ISNONTEXT(node_raw[[#This Row],[Column1]]), "", node_raw[[#This Row],[Column1]])</f>
        <v/>
      </c>
      <c r="C385" s="27" t="str">
        <f>IF(ISNONTEXT(node_raw[[#This Row],[Column2]]), "", node_raw[[#This Row],[Column2]])</f>
        <v/>
      </c>
      <c r="D385" s="54" t="str">
        <f>IF(ISNUMBER(node_raw[[#This Row],[Column3]]), node_raw[[#This Row],[Column3]],"")</f>
        <v/>
      </c>
      <c r="E385" s="57" t="str">
        <f>IF(ISNUMBER(node_raw[[#This Row],[Column4]]), node_raw[[#This Row],[Column4]]/1048576,"")</f>
        <v/>
      </c>
      <c r="F385" s="139" t="str">
        <f>IF(ISNUMBER(node_raw[[#This Row],[Column5]]), node_raw[[#This Row],[Column5]],"")</f>
        <v/>
      </c>
      <c r="G385" s="153" t="str">
        <f t="shared" si="10"/>
        <v/>
      </c>
      <c r="H385" s="140" t="str">
        <f>IF(ISNUMBER(node_raw[[#This Row],[Column6]]), node_raw[[#This Row],[Column6]]/1048576,"")</f>
        <v/>
      </c>
      <c r="I385" s="157" t="str">
        <f t="shared" si="11"/>
        <v/>
      </c>
      <c r="J385" s="141" t="str">
        <f>IF(ISNONTEXT(node_raw[[#This Row],[Column7]]), "", node_raw[[#This Row],[Column7]]/100)</f>
        <v/>
      </c>
      <c r="K385" s="142" t="str">
        <f>IF(ISNONTEXT(node_raw[[#This Row],[Column8]]), "", node_raw[[#This Row],[Column8]]/100)</f>
        <v/>
      </c>
      <c r="L385" s="143" t="str">
        <f>IF(ISNONTEXT(node_raw[[#This Row],[Column9]]), "", node_raw[[#This Row],[Column9]]/1)</f>
        <v/>
      </c>
      <c r="M385" s="144" t="str">
        <f>IF(ISNONTEXT(node_raw[[#This Row],[Column10]]), "", node_raw[[#This Row],[Column10]]/1)</f>
        <v/>
      </c>
    </row>
    <row r="386" spans="2:13" ht="15.75" customHeight="1" x14ac:dyDescent="0.25">
      <c r="B386" s="30" t="str">
        <f>IF(ISNONTEXT(node_raw[[#This Row],[Column1]]), "", node_raw[[#This Row],[Column1]])</f>
        <v/>
      </c>
      <c r="C386" s="27" t="str">
        <f>IF(ISNONTEXT(node_raw[[#This Row],[Column2]]), "", node_raw[[#This Row],[Column2]])</f>
        <v/>
      </c>
      <c r="D386" s="54" t="str">
        <f>IF(ISNUMBER(node_raw[[#This Row],[Column3]]), node_raw[[#This Row],[Column3]],"")</f>
        <v/>
      </c>
      <c r="E386" s="57" t="str">
        <f>IF(ISNUMBER(node_raw[[#This Row],[Column4]]), node_raw[[#This Row],[Column4]]/1048576,"")</f>
        <v/>
      </c>
      <c r="F386" s="139" t="str">
        <f>IF(ISNUMBER(node_raw[[#This Row],[Column5]]), node_raw[[#This Row],[Column5]],"")</f>
        <v/>
      </c>
      <c r="G386" s="153" t="str">
        <f t="shared" si="10"/>
        <v/>
      </c>
      <c r="H386" s="140" t="str">
        <f>IF(ISNUMBER(node_raw[[#This Row],[Column6]]), node_raw[[#This Row],[Column6]]/1048576,"")</f>
        <v/>
      </c>
      <c r="I386" s="157" t="str">
        <f t="shared" si="11"/>
        <v/>
      </c>
      <c r="J386" s="141" t="str">
        <f>IF(ISNONTEXT(node_raw[[#This Row],[Column7]]), "", node_raw[[#This Row],[Column7]]/100)</f>
        <v/>
      </c>
      <c r="K386" s="142" t="str">
        <f>IF(ISNONTEXT(node_raw[[#This Row],[Column8]]), "", node_raw[[#This Row],[Column8]]/100)</f>
        <v/>
      </c>
      <c r="L386" s="143" t="str">
        <f>IF(ISNONTEXT(node_raw[[#This Row],[Column9]]), "", node_raw[[#This Row],[Column9]]/1)</f>
        <v/>
      </c>
      <c r="M386" s="144" t="str">
        <f>IF(ISNONTEXT(node_raw[[#This Row],[Column10]]), "", node_raw[[#This Row],[Column10]]/1)</f>
        <v/>
      </c>
    </row>
    <row r="387" spans="2:13" ht="15.75" customHeight="1" x14ac:dyDescent="0.25">
      <c r="B387" s="30" t="str">
        <f>IF(ISNONTEXT(node_raw[[#This Row],[Column1]]), "", node_raw[[#This Row],[Column1]])</f>
        <v/>
      </c>
      <c r="C387" s="27" t="str">
        <f>IF(ISNONTEXT(node_raw[[#This Row],[Column2]]), "", node_raw[[#This Row],[Column2]])</f>
        <v/>
      </c>
      <c r="D387" s="54" t="str">
        <f>IF(ISNUMBER(node_raw[[#This Row],[Column3]]), node_raw[[#This Row],[Column3]],"")</f>
        <v/>
      </c>
      <c r="E387" s="57" t="str">
        <f>IF(ISNUMBER(node_raw[[#This Row],[Column4]]), node_raw[[#This Row],[Column4]]/1048576,"")</f>
        <v/>
      </c>
      <c r="F387" s="139" t="str">
        <f>IF(ISNUMBER(node_raw[[#This Row],[Column5]]), node_raw[[#This Row],[Column5]],"")</f>
        <v/>
      </c>
      <c r="G387" s="153" t="str">
        <f t="shared" ref="G387:G450" si="12">IF(ISNUMBER(F387), F387/D387, "")</f>
        <v/>
      </c>
      <c r="H387" s="140" t="str">
        <f>IF(ISNUMBER(node_raw[[#This Row],[Column6]]), node_raw[[#This Row],[Column6]]/1048576,"")</f>
        <v/>
      </c>
      <c r="I387" s="157" t="str">
        <f t="shared" ref="I387:I450" si="13">IF(ISNUMBER(H387), H387/E387, "")</f>
        <v/>
      </c>
      <c r="J387" s="141" t="str">
        <f>IF(ISNONTEXT(node_raw[[#This Row],[Column7]]), "", node_raw[[#This Row],[Column7]]/100)</f>
        <v/>
      </c>
      <c r="K387" s="142" t="str">
        <f>IF(ISNONTEXT(node_raw[[#This Row],[Column8]]), "", node_raw[[#This Row],[Column8]]/100)</f>
        <v/>
      </c>
      <c r="L387" s="143" t="str">
        <f>IF(ISNONTEXT(node_raw[[#This Row],[Column9]]), "", node_raw[[#This Row],[Column9]]/1)</f>
        <v/>
      </c>
      <c r="M387" s="144" t="str">
        <f>IF(ISNONTEXT(node_raw[[#This Row],[Column10]]), "", node_raw[[#This Row],[Column10]]/1)</f>
        <v/>
      </c>
    </row>
    <row r="388" spans="2:13" ht="15.75" customHeight="1" x14ac:dyDescent="0.25">
      <c r="B388" s="30" t="str">
        <f>IF(ISNONTEXT(node_raw[[#This Row],[Column1]]), "", node_raw[[#This Row],[Column1]])</f>
        <v/>
      </c>
      <c r="C388" s="27" t="str">
        <f>IF(ISNONTEXT(node_raw[[#This Row],[Column2]]), "", node_raw[[#This Row],[Column2]])</f>
        <v/>
      </c>
      <c r="D388" s="54" t="str">
        <f>IF(ISNUMBER(node_raw[[#This Row],[Column3]]), node_raw[[#This Row],[Column3]],"")</f>
        <v/>
      </c>
      <c r="E388" s="57" t="str">
        <f>IF(ISNUMBER(node_raw[[#This Row],[Column4]]), node_raw[[#This Row],[Column4]]/1048576,"")</f>
        <v/>
      </c>
      <c r="F388" s="139" t="str">
        <f>IF(ISNUMBER(node_raw[[#This Row],[Column5]]), node_raw[[#This Row],[Column5]],"")</f>
        <v/>
      </c>
      <c r="G388" s="153" t="str">
        <f t="shared" si="12"/>
        <v/>
      </c>
      <c r="H388" s="140" t="str">
        <f>IF(ISNUMBER(node_raw[[#This Row],[Column6]]), node_raw[[#This Row],[Column6]]/1048576,"")</f>
        <v/>
      </c>
      <c r="I388" s="157" t="str">
        <f t="shared" si="13"/>
        <v/>
      </c>
      <c r="J388" s="141" t="str">
        <f>IF(ISNONTEXT(node_raw[[#This Row],[Column7]]), "", node_raw[[#This Row],[Column7]]/100)</f>
        <v/>
      </c>
      <c r="K388" s="142" t="str">
        <f>IF(ISNONTEXT(node_raw[[#This Row],[Column8]]), "", node_raw[[#This Row],[Column8]]/100)</f>
        <v/>
      </c>
      <c r="L388" s="143" t="str">
        <f>IF(ISNONTEXT(node_raw[[#This Row],[Column9]]), "", node_raw[[#This Row],[Column9]]/1)</f>
        <v/>
      </c>
      <c r="M388" s="144" t="str">
        <f>IF(ISNONTEXT(node_raw[[#This Row],[Column10]]), "", node_raw[[#This Row],[Column10]]/1)</f>
        <v/>
      </c>
    </row>
    <row r="389" spans="2:13" ht="15.75" customHeight="1" x14ac:dyDescent="0.25">
      <c r="B389" s="30" t="str">
        <f>IF(ISNONTEXT(node_raw[[#This Row],[Column1]]), "", node_raw[[#This Row],[Column1]])</f>
        <v/>
      </c>
      <c r="C389" s="27" t="str">
        <f>IF(ISNONTEXT(node_raw[[#This Row],[Column2]]), "", node_raw[[#This Row],[Column2]])</f>
        <v/>
      </c>
      <c r="D389" s="54" t="str">
        <f>IF(ISNUMBER(node_raw[[#This Row],[Column3]]), node_raw[[#This Row],[Column3]],"")</f>
        <v/>
      </c>
      <c r="E389" s="57" t="str">
        <f>IF(ISNUMBER(node_raw[[#This Row],[Column4]]), node_raw[[#This Row],[Column4]]/1048576,"")</f>
        <v/>
      </c>
      <c r="F389" s="139" t="str">
        <f>IF(ISNUMBER(node_raw[[#This Row],[Column5]]), node_raw[[#This Row],[Column5]],"")</f>
        <v/>
      </c>
      <c r="G389" s="153" t="str">
        <f t="shared" si="12"/>
        <v/>
      </c>
      <c r="H389" s="140" t="str">
        <f>IF(ISNUMBER(node_raw[[#This Row],[Column6]]), node_raw[[#This Row],[Column6]]/1048576,"")</f>
        <v/>
      </c>
      <c r="I389" s="157" t="str">
        <f t="shared" si="13"/>
        <v/>
      </c>
      <c r="J389" s="141" t="str">
        <f>IF(ISNONTEXT(node_raw[[#This Row],[Column7]]), "", node_raw[[#This Row],[Column7]]/100)</f>
        <v/>
      </c>
      <c r="K389" s="142" t="str">
        <f>IF(ISNONTEXT(node_raw[[#This Row],[Column8]]), "", node_raw[[#This Row],[Column8]]/100)</f>
        <v/>
      </c>
      <c r="L389" s="143" t="str">
        <f>IF(ISNONTEXT(node_raw[[#This Row],[Column9]]), "", node_raw[[#This Row],[Column9]]/1)</f>
        <v/>
      </c>
      <c r="M389" s="144" t="str">
        <f>IF(ISNONTEXT(node_raw[[#This Row],[Column10]]), "", node_raw[[#This Row],[Column10]]/1)</f>
        <v/>
      </c>
    </row>
    <row r="390" spans="2:13" ht="15.75" customHeight="1" x14ac:dyDescent="0.25">
      <c r="B390" s="30" t="str">
        <f>IF(ISNONTEXT(node_raw[[#This Row],[Column1]]), "", node_raw[[#This Row],[Column1]])</f>
        <v/>
      </c>
      <c r="C390" s="27" t="str">
        <f>IF(ISNONTEXT(node_raw[[#This Row],[Column2]]), "", node_raw[[#This Row],[Column2]])</f>
        <v/>
      </c>
      <c r="D390" s="54" t="str">
        <f>IF(ISNUMBER(node_raw[[#This Row],[Column3]]), node_raw[[#This Row],[Column3]],"")</f>
        <v/>
      </c>
      <c r="E390" s="57" t="str">
        <f>IF(ISNUMBER(node_raw[[#This Row],[Column4]]), node_raw[[#This Row],[Column4]]/1048576,"")</f>
        <v/>
      </c>
      <c r="F390" s="139" t="str">
        <f>IF(ISNUMBER(node_raw[[#This Row],[Column5]]), node_raw[[#This Row],[Column5]],"")</f>
        <v/>
      </c>
      <c r="G390" s="153" t="str">
        <f t="shared" si="12"/>
        <v/>
      </c>
      <c r="H390" s="140" t="str">
        <f>IF(ISNUMBER(node_raw[[#This Row],[Column6]]), node_raw[[#This Row],[Column6]]/1048576,"")</f>
        <v/>
      </c>
      <c r="I390" s="157" t="str">
        <f t="shared" si="13"/>
        <v/>
      </c>
      <c r="J390" s="141" t="str">
        <f>IF(ISNONTEXT(node_raw[[#This Row],[Column7]]), "", node_raw[[#This Row],[Column7]]/100)</f>
        <v/>
      </c>
      <c r="K390" s="142" t="str">
        <f>IF(ISNONTEXT(node_raw[[#This Row],[Column8]]), "", node_raw[[#This Row],[Column8]]/100)</f>
        <v/>
      </c>
      <c r="L390" s="143" t="str">
        <f>IF(ISNONTEXT(node_raw[[#This Row],[Column9]]), "", node_raw[[#This Row],[Column9]]/1)</f>
        <v/>
      </c>
      <c r="M390" s="144" t="str">
        <f>IF(ISNONTEXT(node_raw[[#This Row],[Column10]]), "", node_raw[[#This Row],[Column10]]/1)</f>
        <v/>
      </c>
    </row>
    <row r="391" spans="2:13" ht="15.75" customHeight="1" x14ac:dyDescent="0.25">
      <c r="B391" s="30" t="str">
        <f>IF(ISNONTEXT(node_raw[[#This Row],[Column1]]), "", node_raw[[#This Row],[Column1]])</f>
        <v/>
      </c>
      <c r="C391" s="27" t="str">
        <f>IF(ISNONTEXT(node_raw[[#This Row],[Column2]]), "", node_raw[[#This Row],[Column2]])</f>
        <v/>
      </c>
      <c r="D391" s="54" t="str">
        <f>IF(ISNUMBER(node_raw[[#This Row],[Column3]]), node_raw[[#This Row],[Column3]],"")</f>
        <v/>
      </c>
      <c r="E391" s="57" t="str">
        <f>IF(ISNUMBER(node_raw[[#This Row],[Column4]]), node_raw[[#This Row],[Column4]]/1048576,"")</f>
        <v/>
      </c>
      <c r="F391" s="139" t="str">
        <f>IF(ISNUMBER(node_raw[[#This Row],[Column5]]), node_raw[[#This Row],[Column5]],"")</f>
        <v/>
      </c>
      <c r="G391" s="153" t="str">
        <f t="shared" si="12"/>
        <v/>
      </c>
      <c r="H391" s="140" t="str">
        <f>IF(ISNUMBER(node_raw[[#This Row],[Column6]]), node_raw[[#This Row],[Column6]]/1048576,"")</f>
        <v/>
      </c>
      <c r="I391" s="157" t="str">
        <f t="shared" si="13"/>
        <v/>
      </c>
      <c r="J391" s="141" t="str">
        <f>IF(ISNONTEXT(node_raw[[#This Row],[Column7]]), "", node_raw[[#This Row],[Column7]]/100)</f>
        <v/>
      </c>
      <c r="K391" s="142" t="str">
        <f>IF(ISNONTEXT(node_raw[[#This Row],[Column8]]), "", node_raw[[#This Row],[Column8]]/100)</f>
        <v/>
      </c>
      <c r="L391" s="143" t="str">
        <f>IF(ISNONTEXT(node_raw[[#This Row],[Column9]]), "", node_raw[[#This Row],[Column9]]/1)</f>
        <v/>
      </c>
      <c r="M391" s="144" t="str">
        <f>IF(ISNONTEXT(node_raw[[#This Row],[Column10]]), "", node_raw[[#This Row],[Column10]]/1)</f>
        <v/>
      </c>
    </row>
    <row r="392" spans="2:13" ht="15.75" customHeight="1" x14ac:dyDescent="0.25">
      <c r="B392" s="30" t="str">
        <f>IF(ISNONTEXT(node_raw[[#This Row],[Column1]]), "", node_raw[[#This Row],[Column1]])</f>
        <v/>
      </c>
      <c r="C392" s="27" t="str">
        <f>IF(ISNONTEXT(node_raw[[#This Row],[Column2]]), "", node_raw[[#This Row],[Column2]])</f>
        <v/>
      </c>
      <c r="D392" s="54" t="str">
        <f>IF(ISNUMBER(node_raw[[#This Row],[Column3]]), node_raw[[#This Row],[Column3]],"")</f>
        <v/>
      </c>
      <c r="E392" s="57" t="str">
        <f>IF(ISNUMBER(node_raw[[#This Row],[Column4]]), node_raw[[#This Row],[Column4]]/1048576,"")</f>
        <v/>
      </c>
      <c r="F392" s="139" t="str">
        <f>IF(ISNUMBER(node_raw[[#This Row],[Column5]]), node_raw[[#This Row],[Column5]],"")</f>
        <v/>
      </c>
      <c r="G392" s="153" t="str">
        <f t="shared" si="12"/>
        <v/>
      </c>
      <c r="H392" s="140" t="str">
        <f>IF(ISNUMBER(node_raw[[#This Row],[Column6]]), node_raw[[#This Row],[Column6]]/1048576,"")</f>
        <v/>
      </c>
      <c r="I392" s="157" t="str">
        <f t="shared" si="13"/>
        <v/>
      </c>
      <c r="J392" s="141" t="str">
        <f>IF(ISNONTEXT(node_raw[[#This Row],[Column7]]), "", node_raw[[#This Row],[Column7]]/100)</f>
        <v/>
      </c>
      <c r="K392" s="142" t="str">
        <f>IF(ISNONTEXT(node_raw[[#This Row],[Column8]]), "", node_raw[[#This Row],[Column8]]/100)</f>
        <v/>
      </c>
      <c r="L392" s="143" t="str">
        <f>IF(ISNONTEXT(node_raw[[#This Row],[Column9]]), "", node_raw[[#This Row],[Column9]]/1)</f>
        <v/>
      </c>
      <c r="M392" s="144" t="str">
        <f>IF(ISNONTEXT(node_raw[[#This Row],[Column10]]), "", node_raw[[#This Row],[Column10]]/1)</f>
        <v/>
      </c>
    </row>
    <row r="393" spans="2:13" ht="15.75" customHeight="1" x14ac:dyDescent="0.25">
      <c r="B393" s="30" t="str">
        <f>IF(ISNONTEXT(node_raw[[#This Row],[Column1]]), "", node_raw[[#This Row],[Column1]])</f>
        <v/>
      </c>
      <c r="C393" s="27" t="str">
        <f>IF(ISNONTEXT(node_raw[[#This Row],[Column2]]), "", node_raw[[#This Row],[Column2]])</f>
        <v/>
      </c>
      <c r="D393" s="54" t="str">
        <f>IF(ISNUMBER(node_raw[[#This Row],[Column3]]), node_raw[[#This Row],[Column3]],"")</f>
        <v/>
      </c>
      <c r="E393" s="57" t="str">
        <f>IF(ISNUMBER(node_raw[[#This Row],[Column4]]), node_raw[[#This Row],[Column4]]/1048576,"")</f>
        <v/>
      </c>
      <c r="F393" s="139" t="str">
        <f>IF(ISNUMBER(node_raw[[#This Row],[Column5]]), node_raw[[#This Row],[Column5]],"")</f>
        <v/>
      </c>
      <c r="G393" s="153" t="str">
        <f t="shared" si="12"/>
        <v/>
      </c>
      <c r="H393" s="140" t="str">
        <f>IF(ISNUMBER(node_raw[[#This Row],[Column6]]), node_raw[[#This Row],[Column6]]/1048576,"")</f>
        <v/>
      </c>
      <c r="I393" s="157" t="str">
        <f t="shared" si="13"/>
        <v/>
      </c>
      <c r="J393" s="141" t="str">
        <f>IF(ISNONTEXT(node_raw[[#This Row],[Column7]]), "", node_raw[[#This Row],[Column7]]/100)</f>
        <v/>
      </c>
      <c r="K393" s="142" t="str">
        <f>IF(ISNONTEXT(node_raw[[#This Row],[Column8]]), "", node_raw[[#This Row],[Column8]]/100)</f>
        <v/>
      </c>
      <c r="L393" s="143" t="str">
        <f>IF(ISNONTEXT(node_raw[[#This Row],[Column9]]), "", node_raw[[#This Row],[Column9]]/1)</f>
        <v/>
      </c>
      <c r="M393" s="144" t="str">
        <f>IF(ISNONTEXT(node_raw[[#This Row],[Column10]]), "", node_raw[[#This Row],[Column10]]/1)</f>
        <v/>
      </c>
    </row>
    <row r="394" spans="2:13" ht="15.75" customHeight="1" x14ac:dyDescent="0.25">
      <c r="B394" s="30" t="str">
        <f>IF(ISNONTEXT(node_raw[[#This Row],[Column1]]), "", node_raw[[#This Row],[Column1]])</f>
        <v/>
      </c>
      <c r="C394" s="27" t="str">
        <f>IF(ISNONTEXT(node_raw[[#This Row],[Column2]]), "", node_raw[[#This Row],[Column2]])</f>
        <v/>
      </c>
      <c r="D394" s="54" t="str">
        <f>IF(ISNUMBER(node_raw[[#This Row],[Column3]]), node_raw[[#This Row],[Column3]],"")</f>
        <v/>
      </c>
      <c r="E394" s="57" t="str">
        <f>IF(ISNUMBER(node_raw[[#This Row],[Column4]]), node_raw[[#This Row],[Column4]]/1048576,"")</f>
        <v/>
      </c>
      <c r="F394" s="139" t="str">
        <f>IF(ISNUMBER(node_raw[[#This Row],[Column5]]), node_raw[[#This Row],[Column5]],"")</f>
        <v/>
      </c>
      <c r="G394" s="153" t="str">
        <f t="shared" si="12"/>
        <v/>
      </c>
      <c r="H394" s="140" t="str">
        <f>IF(ISNUMBER(node_raw[[#This Row],[Column6]]), node_raw[[#This Row],[Column6]]/1048576,"")</f>
        <v/>
      </c>
      <c r="I394" s="157" t="str">
        <f t="shared" si="13"/>
        <v/>
      </c>
      <c r="J394" s="141" t="str">
        <f>IF(ISNONTEXT(node_raw[[#This Row],[Column7]]), "", node_raw[[#This Row],[Column7]]/100)</f>
        <v/>
      </c>
      <c r="K394" s="142" t="str">
        <f>IF(ISNONTEXT(node_raw[[#This Row],[Column8]]), "", node_raw[[#This Row],[Column8]]/100)</f>
        <v/>
      </c>
      <c r="L394" s="143" t="str">
        <f>IF(ISNONTEXT(node_raw[[#This Row],[Column9]]), "", node_raw[[#This Row],[Column9]]/1)</f>
        <v/>
      </c>
      <c r="M394" s="144" t="str">
        <f>IF(ISNONTEXT(node_raw[[#This Row],[Column10]]), "", node_raw[[#This Row],[Column10]]/1)</f>
        <v/>
      </c>
    </row>
    <row r="395" spans="2:13" ht="15.75" customHeight="1" x14ac:dyDescent="0.25">
      <c r="B395" s="30" t="str">
        <f>IF(ISNONTEXT(node_raw[[#This Row],[Column1]]), "", node_raw[[#This Row],[Column1]])</f>
        <v/>
      </c>
      <c r="C395" s="27" t="str">
        <f>IF(ISNONTEXT(node_raw[[#This Row],[Column2]]), "", node_raw[[#This Row],[Column2]])</f>
        <v/>
      </c>
      <c r="D395" s="54" t="str">
        <f>IF(ISNUMBER(node_raw[[#This Row],[Column3]]), node_raw[[#This Row],[Column3]],"")</f>
        <v/>
      </c>
      <c r="E395" s="57" t="str">
        <f>IF(ISNUMBER(node_raw[[#This Row],[Column4]]), node_raw[[#This Row],[Column4]]/1048576,"")</f>
        <v/>
      </c>
      <c r="F395" s="139" t="str">
        <f>IF(ISNUMBER(node_raw[[#This Row],[Column5]]), node_raw[[#This Row],[Column5]],"")</f>
        <v/>
      </c>
      <c r="G395" s="153" t="str">
        <f t="shared" si="12"/>
        <v/>
      </c>
      <c r="H395" s="140" t="str">
        <f>IF(ISNUMBER(node_raw[[#This Row],[Column6]]), node_raw[[#This Row],[Column6]]/1048576,"")</f>
        <v/>
      </c>
      <c r="I395" s="157" t="str">
        <f t="shared" si="13"/>
        <v/>
      </c>
      <c r="J395" s="141" t="str">
        <f>IF(ISNONTEXT(node_raw[[#This Row],[Column7]]), "", node_raw[[#This Row],[Column7]]/100)</f>
        <v/>
      </c>
      <c r="K395" s="142" t="str">
        <f>IF(ISNONTEXT(node_raw[[#This Row],[Column8]]), "", node_raw[[#This Row],[Column8]]/100)</f>
        <v/>
      </c>
      <c r="L395" s="143" t="str">
        <f>IF(ISNONTEXT(node_raw[[#This Row],[Column9]]), "", node_raw[[#This Row],[Column9]]/1)</f>
        <v/>
      </c>
      <c r="M395" s="144" t="str">
        <f>IF(ISNONTEXT(node_raw[[#This Row],[Column10]]), "", node_raw[[#This Row],[Column10]]/1)</f>
        <v/>
      </c>
    </row>
    <row r="396" spans="2:13" ht="15.75" customHeight="1" x14ac:dyDescent="0.25">
      <c r="B396" s="30" t="str">
        <f>IF(ISNONTEXT(node_raw[[#This Row],[Column1]]), "", node_raw[[#This Row],[Column1]])</f>
        <v/>
      </c>
      <c r="C396" s="27" t="str">
        <f>IF(ISNONTEXT(node_raw[[#This Row],[Column2]]), "", node_raw[[#This Row],[Column2]])</f>
        <v/>
      </c>
      <c r="D396" s="54" t="str">
        <f>IF(ISNUMBER(node_raw[[#This Row],[Column3]]), node_raw[[#This Row],[Column3]],"")</f>
        <v/>
      </c>
      <c r="E396" s="57" t="str">
        <f>IF(ISNUMBER(node_raw[[#This Row],[Column4]]), node_raw[[#This Row],[Column4]]/1048576,"")</f>
        <v/>
      </c>
      <c r="F396" s="139" t="str">
        <f>IF(ISNUMBER(node_raw[[#This Row],[Column5]]), node_raw[[#This Row],[Column5]],"")</f>
        <v/>
      </c>
      <c r="G396" s="153" t="str">
        <f t="shared" si="12"/>
        <v/>
      </c>
      <c r="H396" s="140" t="str">
        <f>IF(ISNUMBER(node_raw[[#This Row],[Column6]]), node_raw[[#This Row],[Column6]]/1048576,"")</f>
        <v/>
      </c>
      <c r="I396" s="157" t="str">
        <f t="shared" si="13"/>
        <v/>
      </c>
      <c r="J396" s="141" t="str">
        <f>IF(ISNONTEXT(node_raw[[#This Row],[Column7]]), "", node_raw[[#This Row],[Column7]]/100)</f>
        <v/>
      </c>
      <c r="K396" s="142" t="str">
        <f>IF(ISNONTEXT(node_raw[[#This Row],[Column8]]), "", node_raw[[#This Row],[Column8]]/100)</f>
        <v/>
      </c>
      <c r="L396" s="143" t="str">
        <f>IF(ISNONTEXT(node_raw[[#This Row],[Column9]]), "", node_raw[[#This Row],[Column9]]/1)</f>
        <v/>
      </c>
      <c r="M396" s="144" t="str">
        <f>IF(ISNONTEXT(node_raw[[#This Row],[Column10]]), "", node_raw[[#This Row],[Column10]]/1)</f>
        <v/>
      </c>
    </row>
    <row r="397" spans="2:13" ht="15.75" customHeight="1" x14ac:dyDescent="0.25">
      <c r="B397" s="30" t="str">
        <f>IF(ISNONTEXT(node_raw[[#This Row],[Column1]]), "", node_raw[[#This Row],[Column1]])</f>
        <v/>
      </c>
      <c r="C397" s="27" t="str">
        <f>IF(ISNONTEXT(node_raw[[#This Row],[Column2]]), "", node_raw[[#This Row],[Column2]])</f>
        <v/>
      </c>
      <c r="D397" s="54" t="str">
        <f>IF(ISNUMBER(node_raw[[#This Row],[Column3]]), node_raw[[#This Row],[Column3]],"")</f>
        <v/>
      </c>
      <c r="E397" s="57" t="str">
        <f>IF(ISNUMBER(node_raw[[#This Row],[Column4]]), node_raw[[#This Row],[Column4]]/1048576,"")</f>
        <v/>
      </c>
      <c r="F397" s="139" t="str">
        <f>IF(ISNUMBER(node_raw[[#This Row],[Column5]]), node_raw[[#This Row],[Column5]],"")</f>
        <v/>
      </c>
      <c r="G397" s="153" t="str">
        <f t="shared" si="12"/>
        <v/>
      </c>
      <c r="H397" s="140" t="str">
        <f>IF(ISNUMBER(node_raw[[#This Row],[Column6]]), node_raw[[#This Row],[Column6]]/1048576,"")</f>
        <v/>
      </c>
      <c r="I397" s="157" t="str">
        <f t="shared" si="13"/>
        <v/>
      </c>
      <c r="J397" s="141" t="str">
        <f>IF(ISNONTEXT(node_raw[[#This Row],[Column7]]), "", node_raw[[#This Row],[Column7]]/100)</f>
        <v/>
      </c>
      <c r="K397" s="142" t="str">
        <f>IF(ISNONTEXT(node_raw[[#This Row],[Column8]]), "", node_raw[[#This Row],[Column8]]/100)</f>
        <v/>
      </c>
      <c r="L397" s="143" t="str">
        <f>IF(ISNONTEXT(node_raw[[#This Row],[Column9]]), "", node_raw[[#This Row],[Column9]]/1)</f>
        <v/>
      </c>
      <c r="M397" s="144" t="str">
        <f>IF(ISNONTEXT(node_raw[[#This Row],[Column10]]), "", node_raw[[#This Row],[Column10]]/1)</f>
        <v/>
      </c>
    </row>
    <row r="398" spans="2:13" ht="15.75" customHeight="1" x14ac:dyDescent="0.25">
      <c r="B398" s="30" t="str">
        <f>IF(ISNONTEXT(node_raw[[#This Row],[Column1]]), "", node_raw[[#This Row],[Column1]])</f>
        <v/>
      </c>
      <c r="C398" s="27" t="str">
        <f>IF(ISNONTEXT(node_raw[[#This Row],[Column2]]), "", node_raw[[#This Row],[Column2]])</f>
        <v/>
      </c>
      <c r="D398" s="54" t="str">
        <f>IF(ISNUMBER(node_raw[[#This Row],[Column3]]), node_raw[[#This Row],[Column3]],"")</f>
        <v/>
      </c>
      <c r="E398" s="57" t="str">
        <f>IF(ISNUMBER(node_raw[[#This Row],[Column4]]), node_raw[[#This Row],[Column4]]/1048576,"")</f>
        <v/>
      </c>
      <c r="F398" s="139" t="str">
        <f>IF(ISNUMBER(node_raw[[#This Row],[Column5]]), node_raw[[#This Row],[Column5]],"")</f>
        <v/>
      </c>
      <c r="G398" s="153" t="str">
        <f t="shared" si="12"/>
        <v/>
      </c>
      <c r="H398" s="140" t="str">
        <f>IF(ISNUMBER(node_raw[[#This Row],[Column6]]), node_raw[[#This Row],[Column6]]/1048576,"")</f>
        <v/>
      </c>
      <c r="I398" s="157" t="str">
        <f t="shared" si="13"/>
        <v/>
      </c>
      <c r="J398" s="141" t="str">
        <f>IF(ISNONTEXT(node_raw[[#This Row],[Column7]]), "", node_raw[[#This Row],[Column7]]/100)</f>
        <v/>
      </c>
      <c r="K398" s="142" t="str">
        <f>IF(ISNONTEXT(node_raw[[#This Row],[Column8]]), "", node_raw[[#This Row],[Column8]]/100)</f>
        <v/>
      </c>
      <c r="L398" s="143" t="str">
        <f>IF(ISNONTEXT(node_raw[[#This Row],[Column9]]), "", node_raw[[#This Row],[Column9]]/1)</f>
        <v/>
      </c>
      <c r="M398" s="144" t="str">
        <f>IF(ISNONTEXT(node_raw[[#This Row],[Column10]]), "", node_raw[[#This Row],[Column10]]/1)</f>
        <v/>
      </c>
    </row>
    <row r="399" spans="2:13" ht="15.75" customHeight="1" x14ac:dyDescent="0.25">
      <c r="B399" s="30" t="str">
        <f>IF(ISNONTEXT(node_raw[[#This Row],[Column1]]), "", node_raw[[#This Row],[Column1]])</f>
        <v/>
      </c>
      <c r="C399" s="27" t="str">
        <f>IF(ISNONTEXT(node_raw[[#This Row],[Column2]]), "", node_raw[[#This Row],[Column2]])</f>
        <v/>
      </c>
      <c r="D399" s="54" t="str">
        <f>IF(ISNUMBER(node_raw[[#This Row],[Column3]]), node_raw[[#This Row],[Column3]],"")</f>
        <v/>
      </c>
      <c r="E399" s="57" t="str">
        <f>IF(ISNUMBER(node_raw[[#This Row],[Column4]]), node_raw[[#This Row],[Column4]]/1048576,"")</f>
        <v/>
      </c>
      <c r="F399" s="139" t="str">
        <f>IF(ISNUMBER(node_raw[[#This Row],[Column5]]), node_raw[[#This Row],[Column5]],"")</f>
        <v/>
      </c>
      <c r="G399" s="153" t="str">
        <f t="shared" si="12"/>
        <v/>
      </c>
      <c r="H399" s="140" t="str">
        <f>IF(ISNUMBER(node_raw[[#This Row],[Column6]]), node_raw[[#This Row],[Column6]]/1048576,"")</f>
        <v/>
      </c>
      <c r="I399" s="157" t="str">
        <f t="shared" si="13"/>
        <v/>
      </c>
      <c r="J399" s="141" t="str">
        <f>IF(ISNONTEXT(node_raw[[#This Row],[Column7]]), "", node_raw[[#This Row],[Column7]]/100)</f>
        <v/>
      </c>
      <c r="K399" s="142" t="str">
        <f>IF(ISNONTEXT(node_raw[[#This Row],[Column8]]), "", node_raw[[#This Row],[Column8]]/100)</f>
        <v/>
      </c>
      <c r="L399" s="143" t="str">
        <f>IF(ISNONTEXT(node_raw[[#This Row],[Column9]]), "", node_raw[[#This Row],[Column9]]/1)</f>
        <v/>
      </c>
      <c r="M399" s="144" t="str">
        <f>IF(ISNONTEXT(node_raw[[#This Row],[Column10]]), "", node_raw[[#This Row],[Column10]]/1)</f>
        <v/>
      </c>
    </row>
    <row r="400" spans="2:13" ht="15.75" customHeight="1" x14ac:dyDescent="0.25">
      <c r="B400" s="30" t="str">
        <f>IF(ISNONTEXT(node_raw[[#This Row],[Column1]]), "", node_raw[[#This Row],[Column1]])</f>
        <v/>
      </c>
      <c r="C400" s="27" t="str">
        <f>IF(ISNONTEXT(node_raw[[#This Row],[Column2]]), "", node_raw[[#This Row],[Column2]])</f>
        <v/>
      </c>
      <c r="D400" s="54" t="str">
        <f>IF(ISNUMBER(node_raw[[#This Row],[Column3]]), node_raw[[#This Row],[Column3]],"")</f>
        <v/>
      </c>
      <c r="E400" s="57" t="str">
        <f>IF(ISNUMBER(node_raw[[#This Row],[Column4]]), node_raw[[#This Row],[Column4]]/1048576,"")</f>
        <v/>
      </c>
      <c r="F400" s="139" t="str">
        <f>IF(ISNUMBER(node_raw[[#This Row],[Column5]]), node_raw[[#This Row],[Column5]],"")</f>
        <v/>
      </c>
      <c r="G400" s="153" t="str">
        <f t="shared" si="12"/>
        <v/>
      </c>
      <c r="H400" s="140" t="str">
        <f>IF(ISNUMBER(node_raw[[#This Row],[Column6]]), node_raw[[#This Row],[Column6]]/1048576,"")</f>
        <v/>
      </c>
      <c r="I400" s="157" t="str">
        <f t="shared" si="13"/>
        <v/>
      </c>
      <c r="J400" s="141" t="str">
        <f>IF(ISNONTEXT(node_raw[[#This Row],[Column7]]), "", node_raw[[#This Row],[Column7]]/100)</f>
        <v/>
      </c>
      <c r="K400" s="142" t="str">
        <f>IF(ISNONTEXT(node_raw[[#This Row],[Column8]]), "", node_raw[[#This Row],[Column8]]/100)</f>
        <v/>
      </c>
      <c r="L400" s="143" t="str">
        <f>IF(ISNONTEXT(node_raw[[#This Row],[Column9]]), "", node_raw[[#This Row],[Column9]]/1)</f>
        <v/>
      </c>
      <c r="M400" s="144" t="str">
        <f>IF(ISNONTEXT(node_raw[[#This Row],[Column10]]), "", node_raw[[#This Row],[Column10]]/1)</f>
        <v/>
      </c>
    </row>
    <row r="401" spans="2:13" ht="15.75" customHeight="1" x14ac:dyDescent="0.25">
      <c r="B401" s="30" t="str">
        <f>IF(ISNONTEXT(node_raw[[#This Row],[Column1]]), "", node_raw[[#This Row],[Column1]])</f>
        <v/>
      </c>
      <c r="C401" s="27" t="str">
        <f>IF(ISNONTEXT(node_raw[[#This Row],[Column2]]), "", node_raw[[#This Row],[Column2]])</f>
        <v/>
      </c>
      <c r="D401" s="54" t="str">
        <f>IF(ISNUMBER(node_raw[[#This Row],[Column3]]), node_raw[[#This Row],[Column3]],"")</f>
        <v/>
      </c>
      <c r="E401" s="57" t="str">
        <f>IF(ISNUMBER(node_raw[[#This Row],[Column4]]), node_raw[[#This Row],[Column4]]/1048576,"")</f>
        <v/>
      </c>
      <c r="F401" s="139" t="str">
        <f>IF(ISNUMBER(node_raw[[#This Row],[Column5]]), node_raw[[#This Row],[Column5]],"")</f>
        <v/>
      </c>
      <c r="G401" s="153" t="str">
        <f t="shared" si="12"/>
        <v/>
      </c>
      <c r="H401" s="140" t="str">
        <f>IF(ISNUMBER(node_raw[[#This Row],[Column6]]), node_raw[[#This Row],[Column6]]/1048576,"")</f>
        <v/>
      </c>
      <c r="I401" s="157" t="str">
        <f t="shared" si="13"/>
        <v/>
      </c>
      <c r="J401" s="141" t="str">
        <f>IF(ISNONTEXT(node_raw[[#This Row],[Column7]]), "", node_raw[[#This Row],[Column7]]/100)</f>
        <v/>
      </c>
      <c r="K401" s="142" t="str">
        <f>IF(ISNONTEXT(node_raw[[#This Row],[Column8]]), "", node_raw[[#This Row],[Column8]]/100)</f>
        <v/>
      </c>
      <c r="L401" s="143" t="str">
        <f>IF(ISNONTEXT(node_raw[[#This Row],[Column9]]), "", node_raw[[#This Row],[Column9]]/1)</f>
        <v/>
      </c>
      <c r="M401" s="144" t="str">
        <f>IF(ISNONTEXT(node_raw[[#This Row],[Column10]]), "", node_raw[[#This Row],[Column10]]/1)</f>
        <v/>
      </c>
    </row>
    <row r="402" spans="2:13" ht="15.75" customHeight="1" x14ac:dyDescent="0.25">
      <c r="B402" s="30" t="str">
        <f>IF(ISNONTEXT(node_raw[[#This Row],[Column1]]), "", node_raw[[#This Row],[Column1]])</f>
        <v/>
      </c>
      <c r="C402" s="27" t="str">
        <f>IF(ISNONTEXT(node_raw[[#This Row],[Column2]]), "", node_raw[[#This Row],[Column2]])</f>
        <v/>
      </c>
      <c r="D402" s="54" t="str">
        <f>IF(ISNUMBER(node_raw[[#This Row],[Column3]]), node_raw[[#This Row],[Column3]],"")</f>
        <v/>
      </c>
      <c r="E402" s="57" t="str">
        <f>IF(ISNUMBER(node_raw[[#This Row],[Column4]]), node_raw[[#This Row],[Column4]]/1048576,"")</f>
        <v/>
      </c>
      <c r="F402" s="139" t="str">
        <f>IF(ISNUMBER(node_raw[[#This Row],[Column5]]), node_raw[[#This Row],[Column5]],"")</f>
        <v/>
      </c>
      <c r="G402" s="153" t="str">
        <f t="shared" si="12"/>
        <v/>
      </c>
      <c r="H402" s="140" t="str">
        <f>IF(ISNUMBER(node_raw[[#This Row],[Column6]]), node_raw[[#This Row],[Column6]]/1048576,"")</f>
        <v/>
      </c>
      <c r="I402" s="157" t="str">
        <f t="shared" si="13"/>
        <v/>
      </c>
      <c r="J402" s="141" t="str">
        <f>IF(ISNONTEXT(node_raw[[#This Row],[Column7]]), "", node_raw[[#This Row],[Column7]]/100)</f>
        <v/>
      </c>
      <c r="K402" s="142" t="str">
        <f>IF(ISNONTEXT(node_raw[[#This Row],[Column8]]), "", node_raw[[#This Row],[Column8]]/100)</f>
        <v/>
      </c>
      <c r="L402" s="143" t="str">
        <f>IF(ISNONTEXT(node_raw[[#This Row],[Column9]]), "", node_raw[[#This Row],[Column9]]/1)</f>
        <v/>
      </c>
      <c r="M402" s="144" t="str">
        <f>IF(ISNONTEXT(node_raw[[#This Row],[Column10]]), "", node_raw[[#This Row],[Column10]]/1)</f>
        <v/>
      </c>
    </row>
    <row r="403" spans="2:13" ht="15.75" customHeight="1" x14ac:dyDescent="0.25">
      <c r="B403" s="30" t="str">
        <f>IF(ISNONTEXT(node_raw[[#This Row],[Column1]]), "", node_raw[[#This Row],[Column1]])</f>
        <v/>
      </c>
      <c r="C403" s="27" t="str">
        <f>IF(ISNONTEXT(node_raw[[#This Row],[Column2]]), "", node_raw[[#This Row],[Column2]])</f>
        <v/>
      </c>
      <c r="D403" s="54" t="str">
        <f>IF(ISNUMBER(node_raw[[#This Row],[Column3]]), node_raw[[#This Row],[Column3]],"")</f>
        <v/>
      </c>
      <c r="E403" s="57" t="str">
        <f>IF(ISNUMBER(node_raw[[#This Row],[Column4]]), node_raw[[#This Row],[Column4]]/1048576,"")</f>
        <v/>
      </c>
      <c r="F403" s="139" t="str">
        <f>IF(ISNUMBER(node_raw[[#This Row],[Column5]]), node_raw[[#This Row],[Column5]],"")</f>
        <v/>
      </c>
      <c r="G403" s="153" t="str">
        <f t="shared" si="12"/>
        <v/>
      </c>
      <c r="H403" s="140" t="str">
        <f>IF(ISNUMBER(node_raw[[#This Row],[Column6]]), node_raw[[#This Row],[Column6]]/1048576,"")</f>
        <v/>
      </c>
      <c r="I403" s="157" t="str">
        <f t="shared" si="13"/>
        <v/>
      </c>
      <c r="J403" s="141" t="str">
        <f>IF(ISNONTEXT(node_raw[[#This Row],[Column7]]), "", node_raw[[#This Row],[Column7]]/100)</f>
        <v/>
      </c>
      <c r="K403" s="142" t="str">
        <f>IF(ISNONTEXT(node_raw[[#This Row],[Column8]]), "", node_raw[[#This Row],[Column8]]/100)</f>
        <v/>
      </c>
      <c r="L403" s="143" t="str">
        <f>IF(ISNONTEXT(node_raw[[#This Row],[Column9]]), "", node_raw[[#This Row],[Column9]]/1)</f>
        <v/>
      </c>
      <c r="M403" s="144" t="str">
        <f>IF(ISNONTEXT(node_raw[[#This Row],[Column10]]), "", node_raw[[#This Row],[Column10]]/1)</f>
        <v/>
      </c>
    </row>
    <row r="404" spans="2:13" ht="15.75" customHeight="1" x14ac:dyDescent="0.25">
      <c r="B404" s="30" t="str">
        <f>IF(ISNONTEXT(node_raw[[#This Row],[Column1]]), "", node_raw[[#This Row],[Column1]])</f>
        <v/>
      </c>
      <c r="C404" s="27" t="str">
        <f>IF(ISNONTEXT(node_raw[[#This Row],[Column2]]), "", node_raw[[#This Row],[Column2]])</f>
        <v/>
      </c>
      <c r="D404" s="54" t="str">
        <f>IF(ISNUMBER(node_raw[[#This Row],[Column3]]), node_raw[[#This Row],[Column3]],"")</f>
        <v/>
      </c>
      <c r="E404" s="57" t="str">
        <f>IF(ISNUMBER(node_raw[[#This Row],[Column4]]), node_raw[[#This Row],[Column4]]/1048576,"")</f>
        <v/>
      </c>
      <c r="F404" s="139" t="str">
        <f>IF(ISNUMBER(node_raw[[#This Row],[Column5]]), node_raw[[#This Row],[Column5]],"")</f>
        <v/>
      </c>
      <c r="G404" s="153" t="str">
        <f t="shared" si="12"/>
        <v/>
      </c>
      <c r="H404" s="140" t="str">
        <f>IF(ISNUMBER(node_raw[[#This Row],[Column6]]), node_raw[[#This Row],[Column6]]/1048576,"")</f>
        <v/>
      </c>
      <c r="I404" s="157" t="str">
        <f t="shared" si="13"/>
        <v/>
      </c>
      <c r="J404" s="141" t="str">
        <f>IF(ISNONTEXT(node_raw[[#This Row],[Column7]]), "", node_raw[[#This Row],[Column7]]/100)</f>
        <v/>
      </c>
      <c r="K404" s="142" t="str">
        <f>IF(ISNONTEXT(node_raw[[#This Row],[Column8]]), "", node_raw[[#This Row],[Column8]]/100)</f>
        <v/>
      </c>
      <c r="L404" s="143" t="str">
        <f>IF(ISNONTEXT(node_raw[[#This Row],[Column9]]), "", node_raw[[#This Row],[Column9]]/1)</f>
        <v/>
      </c>
      <c r="M404" s="144" t="str">
        <f>IF(ISNONTEXT(node_raw[[#This Row],[Column10]]), "", node_raw[[#This Row],[Column10]]/1)</f>
        <v/>
      </c>
    </row>
    <row r="405" spans="2:13" ht="15.75" customHeight="1" x14ac:dyDescent="0.25">
      <c r="B405" s="30" t="str">
        <f>IF(ISNONTEXT(node_raw[[#This Row],[Column1]]), "", node_raw[[#This Row],[Column1]])</f>
        <v/>
      </c>
      <c r="C405" s="27" t="str">
        <f>IF(ISNONTEXT(node_raw[[#This Row],[Column2]]), "", node_raw[[#This Row],[Column2]])</f>
        <v/>
      </c>
      <c r="D405" s="54" t="str">
        <f>IF(ISNUMBER(node_raw[[#This Row],[Column3]]), node_raw[[#This Row],[Column3]],"")</f>
        <v/>
      </c>
      <c r="E405" s="57" t="str">
        <f>IF(ISNUMBER(node_raw[[#This Row],[Column4]]), node_raw[[#This Row],[Column4]]/1048576,"")</f>
        <v/>
      </c>
      <c r="F405" s="139" t="str">
        <f>IF(ISNUMBER(node_raw[[#This Row],[Column5]]), node_raw[[#This Row],[Column5]],"")</f>
        <v/>
      </c>
      <c r="G405" s="153" t="str">
        <f t="shared" si="12"/>
        <v/>
      </c>
      <c r="H405" s="140" t="str">
        <f>IF(ISNUMBER(node_raw[[#This Row],[Column6]]), node_raw[[#This Row],[Column6]]/1048576,"")</f>
        <v/>
      </c>
      <c r="I405" s="157" t="str">
        <f t="shared" si="13"/>
        <v/>
      </c>
      <c r="J405" s="141" t="str">
        <f>IF(ISNONTEXT(node_raw[[#This Row],[Column7]]), "", node_raw[[#This Row],[Column7]]/100)</f>
        <v/>
      </c>
      <c r="K405" s="142" t="str">
        <f>IF(ISNONTEXT(node_raw[[#This Row],[Column8]]), "", node_raw[[#This Row],[Column8]]/100)</f>
        <v/>
      </c>
      <c r="L405" s="143" t="str">
        <f>IF(ISNONTEXT(node_raw[[#This Row],[Column9]]), "", node_raw[[#This Row],[Column9]]/1)</f>
        <v/>
      </c>
      <c r="M405" s="144" t="str">
        <f>IF(ISNONTEXT(node_raw[[#This Row],[Column10]]), "", node_raw[[#This Row],[Column10]]/1)</f>
        <v/>
      </c>
    </row>
    <row r="406" spans="2:13" ht="15.75" customHeight="1" x14ac:dyDescent="0.25">
      <c r="B406" s="30" t="str">
        <f>IF(ISNONTEXT(node_raw[[#This Row],[Column1]]), "", node_raw[[#This Row],[Column1]])</f>
        <v/>
      </c>
      <c r="C406" s="27" t="str">
        <f>IF(ISNONTEXT(node_raw[[#This Row],[Column2]]), "", node_raw[[#This Row],[Column2]])</f>
        <v/>
      </c>
      <c r="D406" s="54" t="str">
        <f>IF(ISNUMBER(node_raw[[#This Row],[Column3]]), node_raw[[#This Row],[Column3]],"")</f>
        <v/>
      </c>
      <c r="E406" s="57" t="str">
        <f>IF(ISNUMBER(node_raw[[#This Row],[Column4]]), node_raw[[#This Row],[Column4]]/1048576,"")</f>
        <v/>
      </c>
      <c r="F406" s="139" t="str">
        <f>IF(ISNUMBER(node_raw[[#This Row],[Column5]]), node_raw[[#This Row],[Column5]],"")</f>
        <v/>
      </c>
      <c r="G406" s="153" t="str">
        <f t="shared" si="12"/>
        <v/>
      </c>
      <c r="H406" s="140" t="str">
        <f>IF(ISNUMBER(node_raw[[#This Row],[Column6]]), node_raw[[#This Row],[Column6]]/1048576,"")</f>
        <v/>
      </c>
      <c r="I406" s="157" t="str">
        <f t="shared" si="13"/>
        <v/>
      </c>
      <c r="J406" s="141" t="str">
        <f>IF(ISNONTEXT(node_raw[[#This Row],[Column7]]), "", node_raw[[#This Row],[Column7]]/100)</f>
        <v/>
      </c>
      <c r="K406" s="142" t="str">
        <f>IF(ISNONTEXT(node_raw[[#This Row],[Column8]]), "", node_raw[[#This Row],[Column8]]/100)</f>
        <v/>
      </c>
      <c r="L406" s="143" t="str">
        <f>IF(ISNONTEXT(node_raw[[#This Row],[Column9]]), "", node_raw[[#This Row],[Column9]]/1)</f>
        <v/>
      </c>
      <c r="M406" s="144" t="str">
        <f>IF(ISNONTEXT(node_raw[[#This Row],[Column10]]), "", node_raw[[#This Row],[Column10]]/1)</f>
        <v/>
      </c>
    </row>
    <row r="407" spans="2:13" ht="15.75" customHeight="1" x14ac:dyDescent="0.25">
      <c r="B407" s="30" t="str">
        <f>IF(ISNONTEXT(node_raw[[#This Row],[Column1]]), "", node_raw[[#This Row],[Column1]])</f>
        <v/>
      </c>
      <c r="C407" s="27" t="str">
        <f>IF(ISNONTEXT(node_raw[[#This Row],[Column2]]), "", node_raw[[#This Row],[Column2]])</f>
        <v/>
      </c>
      <c r="D407" s="54" t="str">
        <f>IF(ISNUMBER(node_raw[[#This Row],[Column3]]), node_raw[[#This Row],[Column3]],"")</f>
        <v/>
      </c>
      <c r="E407" s="57" t="str">
        <f>IF(ISNUMBER(node_raw[[#This Row],[Column4]]), node_raw[[#This Row],[Column4]]/1048576,"")</f>
        <v/>
      </c>
      <c r="F407" s="139" t="str">
        <f>IF(ISNUMBER(node_raw[[#This Row],[Column5]]), node_raw[[#This Row],[Column5]],"")</f>
        <v/>
      </c>
      <c r="G407" s="153" t="str">
        <f t="shared" si="12"/>
        <v/>
      </c>
      <c r="H407" s="140" t="str">
        <f>IF(ISNUMBER(node_raw[[#This Row],[Column6]]), node_raw[[#This Row],[Column6]]/1048576,"")</f>
        <v/>
      </c>
      <c r="I407" s="157" t="str">
        <f t="shared" si="13"/>
        <v/>
      </c>
      <c r="J407" s="141" t="str">
        <f>IF(ISNONTEXT(node_raw[[#This Row],[Column7]]), "", node_raw[[#This Row],[Column7]]/100)</f>
        <v/>
      </c>
      <c r="K407" s="142" t="str">
        <f>IF(ISNONTEXT(node_raw[[#This Row],[Column8]]), "", node_raw[[#This Row],[Column8]]/100)</f>
        <v/>
      </c>
      <c r="L407" s="143" t="str">
        <f>IF(ISNONTEXT(node_raw[[#This Row],[Column9]]), "", node_raw[[#This Row],[Column9]]/1)</f>
        <v/>
      </c>
      <c r="M407" s="144" t="str">
        <f>IF(ISNONTEXT(node_raw[[#This Row],[Column10]]), "", node_raw[[#This Row],[Column10]]/1)</f>
        <v/>
      </c>
    </row>
    <row r="408" spans="2:13" ht="15.75" customHeight="1" x14ac:dyDescent="0.25">
      <c r="B408" s="30" t="str">
        <f>IF(ISNONTEXT(node_raw[[#This Row],[Column1]]), "", node_raw[[#This Row],[Column1]])</f>
        <v/>
      </c>
      <c r="C408" s="27" t="str">
        <f>IF(ISNONTEXT(node_raw[[#This Row],[Column2]]), "", node_raw[[#This Row],[Column2]])</f>
        <v/>
      </c>
      <c r="D408" s="54" t="str">
        <f>IF(ISNUMBER(node_raw[[#This Row],[Column3]]), node_raw[[#This Row],[Column3]],"")</f>
        <v/>
      </c>
      <c r="E408" s="57" t="str">
        <f>IF(ISNUMBER(node_raw[[#This Row],[Column4]]), node_raw[[#This Row],[Column4]]/1048576,"")</f>
        <v/>
      </c>
      <c r="F408" s="139" t="str">
        <f>IF(ISNUMBER(node_raw[[#This Row],[Column5]]), node_raw[[#This Row],[Column5]],"")</f>
        <v/>
      </c>
      <c r="G408" s="153" t="str">
        <f t="shared" si="12"/>
        <v/>
      </c>
      <c r="H408" s="140" t="str">
        <f>IF(ISNUMBER(node_raw[[#This Row],[Column6]]), node_raw[[#This Row],[Column6]]/1048576,"")</f>
        <v/>
      </c>
      <c r="I408" s="157" t="str">
        <f t="shared" si="13"/>
        <v/>
      </c>
      <c r="J408" s="141" t="str">
        <f>IF(ISNONTEXT(node_raw[[#This Row],[Column7]]), "", node_raw[[#This Row],[Column7]]/100)</f>
        <v/>
      </c>
      <c r="K408" s="142" t="str">
        <f>IF(ISNONTEXT(node_raw[[#This Row],[Column8]]), "", node_raw[[#This Row],[Column8]]/100)</f>
        <v/>
      </c>
      <c r="L408" s="143" t="str">
        <f>IF(ISNONTEXT(node_raw[[#This Row],[Column9]]), "", node_raw[[#This Row],[Column9]]/1)</f>
        <v/>
      </c>
      <c r="M408" s="144" t="str">
        <f>IF(ISNONTEXT(node_raw[[#This Row],[Column10]]), "", node_raw[[#This Row],[Column10]]/1)</f>
        <v/>
      </c>
    </row>
    <row r="409" spans="2:13" ht="15.75" customHeight="1" x14ac:dyDescent="0.25">
      <c r="B409" s="30" t="str">
        <f>IF(ISNONTEXT(node_raw[[#This Row],[Column1]]), "", node_raw[[#This Row],[Column1]])</f>
        <v/>
      </c>
      <c r="C409" s="27" t="str">
        <f>IF(ISNONTEXT(node_raw[[#This Row],[Column2]]), "", node_raw[[#This Row],[Column2]])</f>
        <v/>
      </c>
      <c r="D409" s="54" t="str">
        <f>IF(ISNUMBER(node_raw[[#This Row],[Column3]]), node_raw[[#This Row],[Column3]],"")</f>
        <v/>
      </c>
      <c r="E409" s="57" t="str">
        <f>IF(ISNUMBER(node_raw[[#This Row],[Column4]]), node_raw[[#This Row],[Column4]]/1048576,"")</f>
        <v/>
      </c>
      <c r="F409" s="139" t="str">
        <f>IF(ISNUMBER(node_raw[[#This Row],[Column5]]), node_raw[[#This Row],[Column5]],"")</f>
        <v/>
      </c>
      <c r="G409" s="153" t="str">
        <f t="shared" si="12"/>
        <v/>
      </c>
      <c r="H409" s="140" t="str">
        <f>IF(ISNUMBER(node_raw[[#This Row],[Column6]]), node_raw[[#This Row],[Column6]]/1048576,"")</f>
        <v/>
      </c>
      <c r="I409" s="157" t="str">
        <f t="shared" si="13"/>
        <v/>
      </c>
      <c r="J409" s="141" t="str">
        <f>IF(ISNONTEXT(node_raw[[#This Row],[Column7]]), "", node_raw[[#This Row],[Column7]]/100)</f>
        <v/>
      </c>
      <c r="K409" s="142" t="str">
        <f>IF(ISNONTEXT(node_raw[[#This Row],[Column8]]), "", node_raw[[#This Row],[Column8]]/100)</f>
        <v/>
      </c>
      <c r="L409" s="143" t="str">
        <f>IF(ISNONTEXT(node_raw[[#This Row],[Column9]]), "", node_raw[[#This Row],[Column9]]/1)</f>
        <v/>
      </c>
      <c r="M409" s="144" t="str">
        <f>IF(ISNONTEXT(node_raw[[#This Row],[Column10]]), "", node_raw[[#This Row],[Column10]]/1)</f>
        <v/>
      </c>
    </row>
    <row r="410" spans="2:13" ht="15.75" customHeight="1" x14ac:dyDescent="0.25">
      <c r="B410" s="30" t="str">
        <f>IF(ISNONTEXT(node_raw[[#This Row],[Column1]]), "", node_raw[[#This Row],[Column1]])</f>
        <v/>
      </c>
      <c r="C410" s="27" t="str">
        <f>IF(ISNONTEXT(node_raw[[#This Row],[Column2]]), "", node_raw[[#This Row],[Column2]])</f>
        <v/>
      </c>
      <c r="D410" s="54" t="str">
        <f>IF(ISNUMBER(node_raw[[#This Row],[Column3]]), node_raw[[#This Row],[Column3]],"")</f>
        <v/>
      </c>
      <c r="E410" s="57" t="str">
        <f>IF(ISNUMBER(node_raw[[#This Row],[Column4]]), node_raw[[#This Row],[Column4]]/1048576,"")</f>
        <v/>
      </c>
      <c r="F410" s="139" t="str">
        <f>IF(ISNUMBER(node_raw[[#This Row],[Column5]]), node_raw[[#This Row],[Column5]],"")</f>
        <v/>
      </c>
      <c r="G410" s="153" t="str">
        <f t="shared" si="12"/>
        <v/>
      </c>
      <c r="H410" s="140" t="str">
        <f>IF(ISNUMBER(node_raw[[#This Row],[Column6]]), node_raw[[#This Row],[Column6]]/1048576,"")</f>
        <v/>
      </c>
      <c r="I410" s="157" t="str">
        <f t="shared" si="13"/>
        <v/>
      </c>
      <c r="J410" s="141" t="str">
        <f>IF(ISNONTEXT(node_raw[[#This Row],[Column7]]), "", node_raw[[#This Row],[Column7]]/100)</f>
        <v/>
      </c>
      <c r="K410" s="142" t="str">
        <f>IF(ISNONTEXT(node_raw[[#This Row],[Column8]]), "", node_raw[[#This Row],[Column8]]/100)</f>
        <v/>
      </c>
      <c r="L410" s="143" t="str">
        <f>IF(ISNONTEXT(node_raw[[#This Row],[Column9]]), "", node_raw[[#This Row],[Column9]]/1)</f>
        <v/>
      </c>
      <c r="M410" s="144" t="str">
        <f>IF(ISNONTEXT(node_raw[[#This Row],[Column10]]), "", node_raw[[#This Row],[Column10]]/1)</f>
        <v/>
      </c>
    </row>
    <row r="411" spans="2:13" ht="15.75" customHeight="1" x14ac:dyDescent="0.25">
      <c r="B411" s="30" t="str">
        <f>IF(ISNONTEXT(node_raw[[#This Row],[Column1]]), "", node_raw[[#This Row],[Column1]])</f>
        <v/>
      </c>
      <c r="C411" s="27" t="str">
        <f>IF(ISNONTEXT(node_raw[[#This Row],[Column2]]), "", node_raw[[#This Row],[Column2]])</f>
        <v/>
      </c>
      <c r="D411" s="54" t="str">
        <f>IF(ISNUMBER(node_raw[[#This Row],[Column3]]), node_raw[[#This Row],[Column3]],"")</f>
        <v/>
      </c>
      <c r="E411" s="57" t="str">
        <f>IF(ISNUMBER(node_raw[[#This Row],[Column4]]), node_raw[[#This Row],[Column4]]/1048576,"")</f>
        <v/>
      </c>
      <c r="F411" s="139" t="str">
        <f>IF(ISNUMBER(node_raw[[#This Row],[Column5]]), node_raw[[#This Row],[Column5]],"")</f>
        <v/>
      </c>
      <c r="G411" s="153" t="str">
        <f t="shared" si="12"/>
        <v/>
      </c>
      <c r="H411" s="140" t="str">
        <f>IF(ISNUMBER(node_raw[[#This Row],[Column6]]), node_raw[[#This Row],[Column6]]/1048576,"")</f>
        <v/>
      </c>
      <c r="I411" s="157" t="str">
        <f t="shared" si="13"/>
        <v/>
      </c>
      <c r="J411" s="141" t="str">
        <f>IF(ISNONTEXT(node_raw[[#This Row],[Column7]]), "", node_raw[[#This Row],[Column7]]/100)</f>
        <v/>
      </c>
      <c r="K411" s="142" t="str">
        <f>IF(ISNONTEXT(node_raw[[#This Row],[Column8]]), "", node_raw[[#This Row],[Column8]]/100)</f>
        <v/>
      </c>
      <c r="L411" s="143" t="str">
        <f>IF(ISNONTEXT(node_raw[[#This Row],[Column9]]), "", node_raw[[#This Row],[Column9]]/1)</f>
        <v/>
      </c>
      <c r="M411" s="144" t="str">
        <f>IF(ISNONTEXT(node_raw[[#This Row],[Column10]]), "", node_raw[[#This Row],[Column10]]/1)</f>
        <v/>
      </c>
    </row>
    <row r="412" spans="2:13" ht="15.75" customHeight="1" x14ac:dyDescent="0.25">
      <c r="B412" s="30" t="str">
        <f>IF(ISNONTEXT(node_raw[[#This Row],[Column1]]), "", node_raw[[#This Row],[Column1]])</f>
        <v/>
      </c>
      <c r="C412" s="27" t="str">
        <f>IF(ISNONTEXT(node_raw[[#This Row],[Column2]]), "", node_raw[[#This Row],[Column2]])</f>
        <v/>
      </c>
      <c r="D412" s="54" t="str">
        <f>IF(ISNUMBER(node_raw[[#This Row],[Column3]]), node_raw[[#This Row],[Column3]],"")</f>
        <v/>
      </c>
      <c r="E412" s="57" t="str">
        <f>IF(ISNUMBER(node_raw[[#This Row],[Column4]]), node_raw[[#This Row],[Column4]]/1048576,"")</f>
        <v/>
      </c>
      <c r="F412" s="139" t="str">
        <f>IF(ISNUMBER(node_raw[[#This Row],[Column5]]), node_raw[[#This Row],[Column5]],"")</f>
        <v/>
      </c>
      <c r="G412" s="153" t="str">
        <f t="shared" si="12"/>
        <v/>
      </c>
      <c r="H412" s="140" t="str">
        <f>IF(ISNUMBER(node_raw[[#This Row],[Column6]]), node_raw[[#This Row],[Column6]]/1048576,"")</f>
        <v/>
      </c>
      <c r="I412" s="157" t="str">
        <f t="shared" si="13"/>
        <v/>
      </c>
      <c r="J412" s="141" t="str">
        <f>IF(ISNONTEXT(node_raw[[#This Row],[Column7]]), "", node_raw[[#This Row],[Column7]]/100)</f>
        <v/>
      </c>
      <c r="K412" s="142" t="str">
        <f>IF(ISNONTEXT(node_raw[[#This Row],[Column8]]), "", node_raw[[#This Row],[Column8]]/100)</f>
        <v/>
      </c>
      <c r="L412" s="143" t="str">
        <f>IF(ISNONTEXT(node_raw[[#This Row],[Column9]]), "", node_raw[[#This Row],[Column9]]/1)</f>
        <v/>
      </c>
      <c r="M412" s="144" t="str">
        <f>IF(ISNONTEXT(node_raw[[#This Row],[Column10]]), "", node_raw[[#This Row],[Column10]]/1)</f>
        <v/>
      </c>
    </row>
    <row r="413" spans="2:13" ht="15.75" customHeight="1" x14ac:dyDescent="0.25">
      <c r="B413" s="30" t="str">
        <f>IF(ISNONTEXT(node_raw[[#This Row],[Column1]]), "", node_raw[[#This Row],[Column1]])</f>
        <v/>
      </c>
      <c r="C413" s="27" t="str">
        <f>IF(ISNONTEXT(node_raw[[#This Row],[Column2]]), "", node_raw[[#This Row],[Column2]])</f>
        <v/>
      </c>
      <c r="D413" s="54" t="str">
        <f>IF(ISNUMBER(node_raw[[#This Row],[Column3]]), node_raw[[#This Row],[Column3]],"")</f>
        <v/>
      </c>
      <c r="E413" s="57" t="str">
        <f>IF(ISNUMBER(node_raw[[#This Row],[Column4]]), node_raw[[#This Row],[Column4]]/1048576,"")</f>
        <v/>
      </c>
      <c r="F413" s="139" t="str">
        <f>IF(ISNUMBER(node_raw[[#This Row],[Column5]]), node_raw[[#This Row],[Column5]],"")</f>
        <v/>
      </c>
      <c r="G413" s="153" t="str">
        <f t="shared" si="12"/>
        <v/>
      </c>
      <c r="H413" s="140" t="str">
        <f>IF(ISNUMBER(node_raw[[#This Row],[Column6]]), node_raw[[#This Row],[Column6]]/1048576,"")</f>
        <v/>
      </c>
      <c r="I413" s="157" t="str">
        <f t="shared" si="13"/>
        <v/>
      </c>
      <c r="J413" s="141" t="str">
        <f>IF(ISNONTEXT(node_raw[[#This Row],[Column7]]), "", node_raw[[#This Row],[Column7]]/100)</f>
        <v/>
      </c>
      <c r="K413" s="142" t="str">
        <f>IF(ISNONTEXT(node_raw[[#This Row],[Column8]]), "", node_raw[[#This Row],[Column8]]/100)</f>
        <v/>
      </c>
      <c r="L413" s="143" t="str">
        <f>IF(ISNONTEXT(node_raw[[#This Row],[Column9]]), "", node_raw[[#This Row],[Column9]]/1)</f>
        <v/>
      </c>
      <c r="M413" s="144" t="str">
        <f>IF(ISNONTEXT(node_raw[[#This Row],[Column10]]), "", node_raw[[#This Row],[Column10]]/1)</f>
        <v/>
      </c>
    </row>
    <row r="414" spans="2:13" ht="15.75" customHeight="1" x14ac:dyDescent="0.25">
      <c r="B414" s="30" t="str">
        <f>IF(ISNONTEXT(node_raw[[#This Row],[Column1]]), "", node_raw[[#This Row],[Column1]])</f>
        <v/>
      </c>
      <c r="C414" s="27" t="str">
        <f>IF(ISNONTEXT(node_raw[[#This Row],[Column2]]), "", node_raw[[#This Row],[Column2]])</f>
        <v/>
      </c>
      <c r="D414" s="54" t="str">
        <f>IF(ISNUMBER(node_raw[[#This Row],[Column3]]), node_raw[[#This Row],[Column3]],"")</f>
        <v/>
      </c>
      <c r="E414" s="57" t="str">
        <f>IF(ISNUMBER(node_raw[[#This Row],[Column4]]), node_raw[[#This Row],[Column4]]/1048576,"")</f>
        <v/>
      </c>
      <c r="F414" s="139" t="str">
        <f>IF(ISNUMBER(node_raw[[#This Row],[Column5]]), node_raw[[#This Row],[Column5]],"")</f>
        <v/>
      </c>
      <c r="G414" s="153" t="str">
        <f t="shared" si="12"/>
        <v/>
      </c>
      <c r="H414" s="140" t="str">
        <f>IF(ISNUMBER(node_raw[[#This Row],[Column6]]), node_raw[[#This Row],[Column6]]/1048576,"")</f>
        <v/>
      </c>
      <c r="I414" s="157" t="str">
        <f t="shared" si="13"/>
        <v/>
      </c>
      <c r="J414" s="141" t="str">
        <f>IF(ISNONTEXT(node_raw[[#This Row],[Column7]]), "", node_raw[[#This Row],[Column7]]/100)</f>
        <v/>
      </c>
      <c r="K414" s="142" t="str">
        <f>IF(ISNONTEXT(node_raw[[#This Row],[Column8]]), "", node_raw[[#This Row],[Column8]]/100)</f>
        <v/>
      </c>
      <c r="L414" s="143" t="str">
        <f>IF(ISNONTEXT(node_raw[[#This Row],[Column9]]), "", node_raw[[#This Row],[Column9]]/1)</f>
        <v/>
      </c>
      <c r="M414" s="144" t="str">
        <f>IF(ISNONTEXT(node_raw[[#This Row],[Column10]]), "", node_raw[[#This Row],[Column10]]/1)</f>
        <v/>
      </c>
    </row>
    <row r="415" spans="2:13" ht="15.75" customHeight="1" x14ac:dyDescent="0.25">
      <c r="B415" s="30" t="str">
        <f>IF(ISNONTEXT(node_raw[[#This Row],[Column1]]), "", node_raw[[#This Row],[Column1]])</f>
        <v/>
      </c>
      <c r="C415" s="27" t="str">
        <f>IF(ISNONTEXT(node_raw[[#This Row],[Column2]]), "", node_raw[[#This Row],[Column2]])</f>
        <v/>
      </c>
      <c r="D415" s="54" t="str">
        <f>IF(ISNUMBER(node_raw[[#This Row],[Column3]]), node_raw[[#This Row],[Column3]],"")</f>
        <v/>
      </c>
      <c r="E415" s="57" t="str">
        <f>IF(ISNUMBER(node_raw[[#This Row],[Column4]]), node_raw[[#This Row],[Column4]]/1048576,"")</f>
        <v/>
      </c>
      <c r="F415" s="139" t="str">
        <f>IF(ISNUMBER(node_raw[[#This Row],[Column5]]), node_raw[[#This Row],[Column5]],"")</f>
        <v/>
      </c>
      <c r="G415" s="153" t="str">
        <f t="shared" si="12"/>
        <v/>
      </c>
      <c r="H415" s="140" t="str">
        <f>IF(ISNUMBER(node_raw[[#This Row],[Column6]]), node_raw[[#This Row],[Column6]]/1048576,"")</f>
        <v/>
      </c>
      <c r="I415" s="157" t="str">
        <f t="shared" si="13"/>
        <v/>
      </c>
      <c r="J415" s="141" t="str">
        <f>IF(ISNONTEXT(node_raw[[#This Row],[Column7]]), "", node_raw[[#This Row],[Column7]]/100)</f>
        <v/>
      </c>
      <c r="K415" s="142" t="str">
        <f>IF(ISNONTEXT(node_raw[[#This Row],[Column8]]), "", node_raw[[#This Row],[Column8]]/100)</f>
        <v/>
      </c>
      <c r="L415" s="143" t="str">
        <f>IF(ISNONTEXT(node_raw[[#This Row],[Column9]]), "", node_raw[[#This Row],[Column9]]/1)</f>
        <v/>
      </c>
      <c r="M415" s="144" t="str">
        <f>IF(ISNONTEXT(node_raw[[#This Row],[Column10]]), "", node_raw[[#This Row],[Column10]]/1)</f>
        <v/>
      </c>
    </row>
    <row r="416" spans="2:13" ht="15.75" customHeight="1" x14ac:dyDescent="0.25">
      <c r="B416" s="30" t="str">
        <f>IF(ISNONTEXT(node_raw[[#This Row],[Column1]]), "", node_raw[[#This Row],[Column1]])</f>
        <v/>
      </c>
      <c r="C416" s="27" t="str">
        <f>IF(ISNONTEXT(node_raw[[#This Row],[Column2]]), "", node_raw[[#This Row],[Column2]])</f>
        <v/>
      </c>
      <c r="D416" s="54" t="str">
        <f>IF(ISNUMBER(node_raw[[#This Row],[Column3]]), node_raw[[#This Row],[Column3]],"")</f>
        <v/>
      </c>
      <c r="E416" s="57" t="str">
        <f>IF(ISNUMBER(node_raw[[#This Row],[Column4]]), node_raw[[#This Row],[Column4]]/1048576,"")</f>
        <v/>
      </c>
      <c r="F416" s="139" t="str">
        <f>IF(ISNUMBER(node_raw[[#This Row],[Column5]]), node_raw[[#This Row],[Column5]],"")</f>
        <v/>
      </c>
      <c r="G416" s="153" t="str">
        <f t="shared" si="12"/>
        <v/>
      </c>
      <c r="H416" s="140" t="str">
        <f>IF(ISNUMBER(node_raw[[#This Row],[Column6]]), node_raw[[#This Row],[Column6]]/1048576,"")</f>
        <v/>
      </c>
      <c r="I416" s="157" t="str">
        <f t="shared" si="13"/>
        <v/>
      </c>
      <c r="J416" s="141" t="str">
        <f>IF(ISNONTEXT(node_raw[[#This Row],[Column7]]), "", node_raw[[#This Row],[Column7]]/100)</f>
        <v/>
      </c>
      <c r="K416" s="142" t="str">
        <f>IF(ISNONTEXT(node_raw[[#This Row],[Column8]]), "", node_raw[[#This Row],[Column8]]/100)</f>
        <v/>
      </c>
      <c r="L416" s="143" t="str">
        <f>IF(ISNONTEXT(node_raw[[#This Row],[Column9]]), "", node_raw[[#This Row],[Column9]]/1)</f>
        <v/>
      </c>
      <c r="M416" s="144" t="str">
        <f>IF(ISNONTEXT(node_raw[[#This Row],[Column10]]), "", node_raw[[#This Row],[Column10]]/1)</f>
        <v/>
      </c>
    </row>
    <row r="417" spans="2:13" ht="15.75" customHeight="1" x14ac:dyDescent="0.25">
      <c r="B417" s="30" t="str">
        <f>IF(ISNONTEXT(node_raw[[#This Row],[Column1]]), "", node_raw[[#This Row],[Column1]])</f>
        <v/>
      </c>
      <c r="C417" s="27" t="str">
        <f>IF(ISNONTEXT(node_raw[[#This Row],[Column2]]), "", node_raw[[#This Row],[Column2]])</f>
        <v/>
      </c>
      <c r="D417" s="54" t="str">
        <f>IF(ISNUMBER(node_raw[[#This Row],[Column3]]), node_raw[[#This Row],[Column3]],"")</f>
        <v/>
      </c>
      <c r="E417" s="57" t="str">
        <f>IF(ISNUMBER(node_raw[[#This Row],[Column4]]), node_raw[[#This Row],[Column4]]/1048576,"")</f>
        <v/>
      </c>
      <c r="F417" s="139" t="str">
        <f>IF(ISNUMBER(node_raw[[#This Row],[Column5]]), node_raw[[#This Row],[Column5]],"")</f>
        <v/>
      </c>
      <c r="G417" s="153" t="str">
        <f t="shared" si="12"/>
        <v/>
      </c>
      <c r="H417" s="140" t="str">
        <f>IF(ISNUMBER(node_raw[[#This Row],[Column6]]), node_raw[[#This Row],[Column6]]/1048576,"")</f>
        <v/>
      </c>
      <c r="I417" s="157" t="str">
        <f t="shared" si="13"/>
        <v/>
      </c>
      <c r="J417" s="141" t="str">
        <f>IF(ISNONTEXT(node_raw[[#This Row],[Column7]]), "", node_raw[[#This Row],[Column7]]/100)</f>
        <v/>
      </c>
      <c r="K417" s="142" t="str">
        <f>IF(ISNONTEXT(node_raw[[#This Row],[Column8]]), "", node_raw[[#This Row],[Column8]]/100)</f>
        <v/>
      </c>
      <c r="L417" s="143" t="str">
        <f>IF(ISNONTEXT(node_raw[[#This Row],[Column9]]), "", node_raw[[#This Row],[Column9]]/1)</f>
        <v/>
      </c>
      <c r="M417" s="144" t="str">
        <f>IF(ISNONTEXT(node_raw[[#This Row],[Column10]]), "", node_raw[[#This Row],[Column10]]/1)</f>
        <v/>
      </c>
    </row>
    <row r="418" spans="2:13" ht="15.75" customHeight="1" x14ac:dyDescent="0.25">
      <c r="B418" s="30" t="str">
        <f>IF(ISNONTEXT(node_raw[[#This Row],[Column1]]), "", node_raw[[#This Row],[Column1]])</f>
        <v/>
      </c>
      <c r="C418" s="27" t="str">
        <f>IF(ISNONTEXT(node_raw[[#This Row],[Column2]]), "", node_raw[[#This Row],[Column2]])</f>
        <v/>
      </c>
      <c r="D418" s="54" t="str">
        <f>IF(ISNUMBER(node_raw[[#This Row],[Column3]]), node_raw[[#This Row],[Column3]],"")</f>
        <v/>
      </c>
      <c r="E418" s="57" t="str">
        <f>IF(ISNUMBER(node_raw[[#This Row],[Column4]]), node_raw[[#This Row],[Column4]]/1048576,"")</f>
        <v/>
      </c>
      <c r="F418" s="139" t="str">
        <f>IF(ISNUMBER(node_raw[[#This Row],[Column5]]), node_raw[[#This Row],[Column5]],"")</f>
        <v/>
      </c>
      <c r="G418" s="153" t="str">
        <f t="shared" si="12"/>
        <v/>
      </c>
      <c r="H418" s="140" t="str">
        <f>IF(ISNUMBER(node_raw[[#This Row],[Column6]]), node_raw[[#This Row],[Column6]]/1048576,"")</f>
        <v/>
      </c>
      <c r="I418" s="157" t="str">
        <f t="shared" si="13"/>
        <v/>
      </c>
      <c r="J418" s="141" t="str">
        <f>IF(ISNONTEXT(node_raw[[#This Row],[Column7]]), "", node_raw[[#This Row],[Column7]]/100)</f>
        <v/>
      </c>
      <c r="K418" s="142" t="str">
        <f>IF(ISNONTEXT(node_raw[[#This Row],[Column8]]), "", node_raw[[#This Row],[Column8]]/100)</f>
        <v/>
      </c>
      <c r="L418" s="143" t="str">
        <f>IF(ISNONTEXT(node_raw[[#This Row],[Column9]]), "", node_raw[[#This Row],[Column9]]/1)</f>
        <v/>
      </c>
      <c r="M418" s="144" t="str">
        <f>IF(ISNONTEXT(node_raw[[#This Row],[Column10]]), "", node_raw[[#This Row],[Column10]]/1)</f>
        <v/>
      </c>
    </row>
    <row r="419" spans="2:13" ht="15.75" customHeight="1" x14ac:dyDescent="0.25">
      <c r="B419" s="30" t="str">
        <f>IF(ISNONTEXT(node_raw[[#This Row],[Column1]]), "", node_raw[[#This Row],[Column1]])</f>
        <v/>
      </c>
      <c r="C419" s="27" t="str">
        <f>IF(ISNONTEXT(node_raw[[#This Row],[Column2]]), "", node_raw[[#This Row],[Column2]])</f>
        <v/>
      </c>
      <c r="D419" s="54" t="str">
        <f>IF(ISNUMBER(node_raw[[#This Row],[Column3]]), node_raw[[#This Row],[Column3]],"")</f>
        <v/>
      </c>
      <c r="E419" s="57" t="str">
        <f>IF(ISNUMBER(node_raw[[#This Row],[Column4]]), node_raw[[#This Row],[Column4]]/1048576,"")</f>
        <v/>
      </c>
      <c r="F419" s="139" t="str">
        <f>IF(ISNUMBER(node_raw[[#This Row],[Column5]]), node_raw[[#This Row],[Column5]],"")</f>
        <v/>
      </c>
      <c r="G419" s="153" t="str">
        <f t="shared" si="12"/>
        <v/>
      </c>
      <c r="H419" s="140" t="str">
        <f>IF(ISNUMBER(node_raw[[#This Row],[Column6]]), node_raw[[#This Row],[Column6]]/1048576,"")</f>
        <v/>
      </c>
      <c r="I419" s="157" t="str">
        <f t="shared" si="13"/>
        <v/>
      </c>
      <c r="J419" s="141" t="str">
        <f>IF(ISNONTEXT(node_raw[[#This Row],[Column7]]), "", node_raw[[#This Row],[Column7]]/100)</f>
        <v/>
      </c>
      <c r="K419" s="142" t="str">
        <f>IF(ISNONTEXT(node_raw[[#This Row],[Column8]]), "", node_raw[[#This Row],[Column8]]/100)</f>
        <v/>
      </c>
      <c r="L419" s="143" t="str">
        <f>IF(ISNONTEXT(node_raw[[#This Row],[Column9]]), "", node_raw[[#This Row],[Column9]]/1)</f>
        <v/>
      </c>
      <c r="M419" s="144" t="str">
        <f>IF(ISNONTEXT(node_raw[[#This Row],[Column10]]), "", node_raw[[#This Row],[Column10]]/1)</f>
        <v/>
      </c>
    </row>
    <row r="420" spans="2:13" ht="15.75" customHeight="1" x14ac:dyDescent="0.25">
      <c r="B420" s="30" t="str">
        <f>IF(ISNONTEXT(node_raw[[#This Row],[Column1]]), "", node_raw[[#This Row],[Column1]])</f>
        <v/>
      </c>
      <c r="C420" s="27" t="str">
        <f>IF(ISNONTEXT(node_raw[[#This Row],[Column2]]), "", node_raw[[#This Row],[Column2]])</f>
        <v/>
      </c>
      <c r="D420" s="54" t="str">
        <f>IF(ISNUMBER(node_raw[[#This Row],[Column3]]), node_raw[[#This Row],[Column3]],"")</f>
        <v/>
      </c>
      <c r="E420" s="57" t="str">
        <f>IF(ISNUMBER(node_raw[[#This Row],[Column4]]), node_raw[[#This Row],[Column4]]/1048576,"")</f>
        <v/>
      </c>
      <c r="F420" s="139" t="str">
        <f>IF(ISNUMBER(node_raw[[#This Row],[Column5]]), node_raw[[#This Row],[Column5]],"")</f>
        <v/>
      </c>
      <c r="G420" s="153" t="str">
        <f t="shared" si="12"/>
        <v/>
      </c>
      <c r="H420" s="140" t="str">
        <f>IF(ISNUMBER(node_raw[[#This Row],[Column6]]), node_raw[[#This Row],[Column6]]/1048576,"")</f>
        <v/>
      </c>
      <c r="I420" s="157" t="str">
        <f t="shared" si="13"/>
        <v/>
      </c>
      <c r="J420" s="141" t="str">
        <f>IF(ISNONTEXT(node_raw[[#This Row],[Column7]]), "", node_raw[[#This Row],[Column7]]/100)</f>
        <v/>
      </c>
      <c r="K420" s="142" t="str">
        <f>IF(ISNONTEXT(node_raw[[#This Row],[Column8]]), "", node_raw[[#This Row],[Column8]]/100)</f>
        <v/>
      </c>
      <c r="L420" s="143" t="str">
        <f>IF(ISNONTEXT(node_raw[[#This Row],[Column9]]), "", node_raw[[#This Row],[Column9]]/1)</f>
        <v/>
      </c>
      <c r="M420" s="144" t="str">
        <f>IF(ISNONTEXT(node_raw[[#This Row],[Column10]]), "", node_raw[[#This Row],[Column10]]/1)</f>
        <v/>
      </c>
    </row>
    <row r="421" spans="2:13" ht="15.75" customHeight="1" x14ac:dyDescent="0.25">
      <c r="B421" s="30" t="str">
        <f>IF(ISNONTEXT(node_raw[[#This Row],[Column1]]), "", node_raw[[#This Row],[Column1]])</f>
        <v/>
      </c>
      <c r="C421" s="27" t="str">
        <f>IF(ISNONTEXT(node_raw[[#This Row],[Column2]]), "", node_raw[[#This Row],[Column2]])</f>
        <v/>
      </c>
      <c r="D421" s="54" t="str">
        <f>IF(ISNUMBER(node_raw[[#This Row],[Column3]]), node_raw[[#This Row],[Column3]],"")</f>
        <v/>
      </c>
      <c r="E421" s="57" t="str">
        <f>IF(ISNUMBER(node_raw[[#This Row],[Column4]]), node_raw[[#This Row],[Column4]]/1048576,"")</f>
        <v/>
      </c>
      <c r="F421" s="139" t="str">
        <f>IF(ISNUMBER(node_raw[[#This Row],[Column5]]), node_raw[[#This Row],[Column5]],"")</f>
        <v/>
      </c>
      <c r="G421" s="153" t="str">
        <f t="shared" si="12"/>
        <v/>
      </c>
      <c r="H421" s="140" t="str">
        <f>IF(ISNUMBER(node_raw[[#This Row],[Column6]]), node_raw[[#This Row],[Column6]]/1048576,"")</f>
        <v/>
      </c>
      <c r="I421" s="157" t="str">
        <f t="shared" si="13"/>
        <v/>
      </c>
      <c r="J421" s="141" t="str">
        <f>IF(ISNONTEXT(node_raw[[#This Row],[Column7]]), "", node_raw[[#This Row],[Column7]]/100)</f>
        <v/>
      </c>
      <c r="K421" s="142" t="str">
        <f>IF(ISNONTEXT(node_raw[[#This Row],[Column8]]), "", node_raw[[#This Row],[Column8]]/100)</f>
        <v/>
      </c>
      <c r="L421" s="143" t="str">
        <f>IF(ISNONTEXT(node_raw[[#This Row],[Column9]]), "", node_raw[[#This Row],[Column9]]/1)</f>
        <v/>
      </c>
      <c r="M421" s="144" t="str">
        <f>IF(ISNONTEXT(node_raw[[#This Row],[Column10]]), "", node_raw[[#This Row],[Column10]]/1)</f>
        <v/>
      </c>
    </row>
    <row r="422" spans="2:13" ht="15.75" customHeight="1" x14ac:dyDescent="0.25">
      <c r="B422" s="30" t="str">
        <f>IF(ISNONTEXT(node_raw[[#This Row],[Column1]]), "", node_raw[[#This Row],[Column1]])</f>
        <v/>
      </c>
      <c r="C422" s="27" t="str">
        <f>IF(ISNONTEXT(node_raw[[#This Row],[Column2]]), "", node_raw[[#This Row],[Column2]])</f>
        <v/>
      </c>
      <c r="D422" s="54" t="str">
        <f>IF(ISNUMBER(node_raw[[#This Row],[Column3]]), node_raw[[#This Row],[Column3]],"")</f>
        <v/>
      </c>
      <c r="E422" s="57" t="str">
        <f>IF(ISNUMBER(node_raw[[#This Row],[Column4]]), node_raw[[#This Row],[Column4]]/1048576,"")</f>
        <v/>
      </c>
      <c r="F422" s="139" t="str">
        <f>IF(ISNUMBER(node_raw[[#This Row],[Column5]]), node_raw[[#This Row],[Column5]],"")</f>
        <v/>
      </c>
      <c r="G422" s="153" t="str">
        <f t="shared" si="12"/>
        <v/>
      </c>
      <c r="H422" s="140" t="str">
        <f>IF(ISNUMBER(node_raw[[#This Row],[Column6]]), node_raw[[#This Row],[Column6]]/1048576,"")</f>
        <v/>
      </c>
      <c r="I422" s="157" t="str">
        <f t="shared" si="13"/>
        <v/>
      </c>
      <c r="J422" s="141" t="str">
        <f>IF(ISNONTEXT(node_raw[[#This Row],[Column7]]), "", node_raw[[#This Row],[Column7]]/100)</f>
        <v/>
      </c>
      <c r="K422" s="142" t="str">
        <f>IF(ISNONTEXT(node_raw[[#This Row],[Column8]]), "", node_raw[[#This Row],[Column8]]/100)</f>
        <v/>
      </c>
      <c r="L422" s="143" t="str">
        <f>IF(ISNONTEXT(node_raw[[#This Row],[Column9]]), "", node_raw[[#This Row],[Column9]]/1)</f>
        <v/>
      </c>
      <c r="M422" s="144" t="str">
        <f>IF(ISNONTEXT(node_raw[[#This Row],[Column10]]), "", node_raw[[#This Row],[Column10]]/1)</f>
        <v/>
      </c>
    </row>
    <row r="423" spans="2:13" ht="15.75" customHeight="1" x14ac:dyDescent="0.25">
      <c r="B423" s="30" t="str">
        <f>IF(ISNONTEXT(node_raw[[#This Row],[Column1]]), "", node_raw[[#This Row],[Column1]])</f>
        <v/>
      </c>
      <c r="C423" s="27" t="str">
        <f>IF(ISNONTEXT(node_raw[[#This Row],[Column2]]), "", node_raw[[#This Row],[Column2]])</f>
        <v/>
      </c>
      <c r="D423" s="54" t="str">
        <f>IF(ISNUMBER(node_raw[[#This Row],[Column3]]), node_raw[[#This Row],[Column3]],"")</f>
        <v/>
      </c>
      <c r="E423" s="57" t="str">
        <f>IF(ISNUMBER(node_raw[[#This Row],[Column4]]), node_raw[[#This Row],[Column4]]/1048576,"")</f>
        <v/>
      </c>
      <c r="F423" s="139" t="str">
        <f>IF(ISNUMBER(node_raw[[#This Row],[Column5]]), node_raw[[#This Row],[Column5]],"")</f>
        <v/>
      </c>
      <c r="G423" s="153" t="str">
        <f t="shared" si="12"/>
        <v/>
      </c>
      <c r="H423" s="140" t="str">
        <f>IF(ISNUMBER(node_raw[[#This Row],[Column6]]), node_raw[[#This Row],[Column6]]/1048576,"")</f>
        <v/>
      </c>
      <c r="I423" s="157" t="str">
        <f t="shared" si="13"/>
        <v/>
      </c>
      <c r="J423" s="141" t="str">
        <f>IF(ISNONTEXT(node_raw[[#This Row],[Column7]]), "", node_raw[[#This Row],[Column7]]/100)</f>
        <v/>
      </c>
      <c r="K423" s="142" t="str">
        <f>IF(ISNONTEXT(node_raw[[#This Row],[Column8]]), "", node_raw[[#This Row],[Column8]]/100)</f>
        <v/>
      </c>
      <c r="L423" s="143" t="str">
        <f>IF(ISNONTEXT(node_raw[[#This Row],[Column9]]), "", node_raw[[#This Row],[Column9]]/1)</f>
        <v/>
      </c>
      <c r="M423" s="144" t="str">
        <f>IF(ISNONTEXT(node_raw[[#This Row],[Column10]]), "", node_raw[[#This Row],[Column10]]/1)</f>
        <v/>
      </c>
    </row>
    <row r="424" spans="2:13" ht="15.75" customHeight="1" x14ac:dyDescent="0.25">
      <c r="B424" s="30" t="str">
        <f>IF(ISNONTEXT(node_raw[[#This Row],[Column1]]), "", node_raw[[#This Row],[Column1]])</f>
        <v/>
      </c>
      <c r="C424" s="27" t="str">
        <f>IF(ISNONTEXT(node_raw[[#This Row],[Column2]]), "", node_raw[[#This Row],[Column2]])</f>
        <v/>
      </c>
      <c r="D424" s="54" t="str">
        <f>IF(ISNUMBER(node_raw[[#This Row],[Column3]]), node_raw[[#This Row],[Column3]],"")</f>
        <v/>
      </c>
      <c r="E424" s="57" t="str">
        <f>IF(ISNUMBER(node_raw[[#This Row],[Column4]]), node_raw[[#This Row],[Column4]]/1048576,"")</f>
        <v/>
      </c>
      <c r="F424" s="139" t="str">
        <f>IF(ISNUMBER(node_raw[[#This Row],[Column5]]), node_raw[[#This Row],[Column5]],"")</f>
        <v/>
      </c>
      <c r="G424" s="153" t="str">
        <f t="shared" si="12"/>
        <v/>
      </c>
      <c r="H424" s="140" t="str">
        <f>IF(ISNUMBER(node_raw[[#This Row],[Column6]]), node_raw[[#This Row],[Column6]]/1048576,"")</f>
        <v/>
      </c>
      <c r="I424" s="157" t="str">
        <f t="shared" si="13"/>
        <v/>
      </c>
      <c r="J424" s="141" t="str">
        <f>IF(ISNONTEXT(node_raw[[#This Row],[Column7]]), "", node_raw[[#This Row],[Column7]]/100)</f>
        <v/>
      </c>
      <c r="K424" s="142" t="str">
        <f>IF(ISNONTEXT(node_raw[[#This Row],[Column8]]), "", node_raw[[#This Row],[Column8]]/100)</f>
        <v/>
      </c>
      <c r="L424" s="143" t="str">
        <f>IF(ISNONTEXT(node_raw[[#This Row],[Column9]]), "", node_raw[[#This Row],[Column9]]/1)</f>
        <v/>
      </c>
      <c r="M424" s="144" t="str">
        <f>IF(ISNONTEXT(node_raw[[#This Row],[Column10]]), "", node_raw[[#This Row],[Column10]]/1)</f>
        <v/>
      </c>
    </row>
    <row r="425" spans="2:13" ht="15.75" customHeight="1" x14ac:dyDescent="0.25">
      <c r="B425" s="30" t="str">
        <f>IF(ISNONTEXT(node_raw[[#This Row],[Column1]]), "", node_raw[[#This Row],[Column1]])</f>
        <v/>
      </c>
      <c r="C425" s="27" t="str">
        <f>IF(ISNONTEXT(node_raw[[#This Row],[Column2]]), "", node_raw[[#This Row],[Column2]])</f>
        <v/>
      </c>
      <c r="D425" s="54" t="str">
        <f>IF(ISNUMBER(node_raw[[#This Row],[Column3]]), node_raw[[#This Row],[Column3]],"")</f>
        <v/>
      </c>
      <c r="E425" s="57" t="str">
        <f>IF(ISNUMBER(node_raw[[#This Row],[Column4]]), node_raw[[#This Row],[Column4]]/1048576,"")</f>
        <v/>
      </c>
      <c r="F425" s="139" t="str">
        <f>IF(ISNUMBER(node_raw[[#This Row],[Column5]]), node_raw[[#This Row],[Column5]],"")</f>
        <v/>
      </c>
      <c r="G425" s="153" t="str">
        <f t="shared" si="12"/>
        <v/>
      </c>
      <c r="H425" s="140" t="str">
        <f>IF(ISNUMBER(node_raw[[#This Row],[Column6]]), node_raw[[#This Row],[Column6]]/1048576,"")</f>
        <v/>
      </c>
      <c r="I425" s="157" t="str">
        <f t="shared" si="13"/>
        <v/>
      </c>
      <c r="J425" s="141" t="str">
        <f>IF(ISNONTEXT(node_raw[[#This Row],[Column7]]), "", node_raw[[#This Row],[Column7]]/100)</f>
        <v/>
      </c>
      <c r="K425" s="142" t="str">
        <f>IF(ISNONTEXT(node_raw[[#This Row],[Column8]]), "", node_raw[[#This Row],[Column8]]/100)</f>
        <v/>
      </c>
      <c r="L425" s="143" t="str">
        <f>IF(ISNONTEXT(node_raw[[#This Row],[Column9]]), "", node_raw[[#This Row],[Column9]]/1)</f>
        <v/>
      </c>
      <c r="M425" s="144" t="str">
        <f>IF(ISNONTEXT(node_raw[[#This Row],[Column10]]), "", node_raw[[#This Row],[Column10]]/1)</f>
        <v/>
      </c>
    </row>
    <row r="426" spans="2:13" ht="15.75" customHeight="1" x14ac:dyDescent="0.25">
      <c r="B426" s="30" t="str">
        <f>IF(ISNONTEXT(node_raw[[#This Row],[Column1]]), "", node_raw[[#This Row],[Column1]])</f>
        <v/>
      </c>
      <c r="C426" s="27" t="str">
        <f>IF(ISNONTEXT(node_raw[[#This Row],[Column2]]), "", node_raw[[#This Row],[Column2]])</f>
        <v/>
      </c>
      <c r="D426" s="54" t="str">
        <f>IF(ISNUMBER(node_raw[[#This Row],[Column3]]), node_raw[[#This Row],[Column3]],"")</f>
        <v/>
      </c>
      <c r="E426" s="57" t="str">
        <f>IF(ISNUMBER(node_raw[[#This Row],[Column4]]), node_raw[[#This Row],[Column4]]/1048576,"")</f>
        <v/>
      </c>
      <c r="F426" s="139" t="str">
        <f>IF(ISNUMBER(node_raw[[#This Row],[Column5]]), node_raw[[#This Row],[Column5]],"")</f>
        <v/>
      </c>
      <c r="G426" s="153" t="str">
        <f t="shared" si="12"/>
        <v/>
      </c>
      <c r="H426" s="140" t="str">
        <f>IF(ISNUMBER(node_raw[[#This Row],[Column6]]), node_raw[[#This Row],[Column6]]/1048576,"")</f>
        <v/>
      </c>
      <c r="I426" s="157" t="str">
        <f t="shared" si="13"/>
        <v/>
      </c>
      <c r="J426" s="141" t="str">
        <f>IF(ISNONTEXT(node_raw[[#This Row],[Column7]]), "", node_raw[[#This Row],[Column7]]/100)</f>
        <v/>
      </c>
      <c r="K426" s="142" t="str">
        <f>IF(ISNONTEXT(node_raw[[#This Row],[Column8]]), "", node_raw[[#This Row],[Column8]]/100)</f>
        <v/>
      </c>
      <c r="L426" s="143" t="str">
        <f>IF(ISNONTEXT(node_raw[[#This Row],[Column9]]), "", node_raw[[#This Row],[Column9]]/1)</f>
        <v/>
      </c>
      <c r="M426" s="144" t="str">
        <f>IF(ISNONTEXT(node_raw[[#This Row],[Column10]]), "", node_raw[[#This Row],[Column10]]/1)</f>
        <v/>
      </c>
    </row>
    <row r="427" spans="2:13" ht="15.75" customHeight="1" x14ac:dyDescent="0.25">
      <c r="B427" s="30" t="str">
        <f>IF(ISNONTEXT(node_raw[[#This Row],[Column1]]), "", node_raw[[#This Row],[Column1]])</f>
        <v/>
      </c>
      <c r="C427" s="27" t="str">
        <f>IF(ISNONTEXT(node_raw[[#This Row],[Column2]]), "", node_raw[[#This Row],[Column2]])</f>
        <v/>
      </c>
      <c r="D427" s="54" t="str">
        <f>IF(ISNUMBER(node_raw[[#This Row],[Column3]]), node_raw[[#This Row],[Column3]],"")</f>
        <v/>
      </c>
      <c r="E427" s="57" t="str">
        <f>IF(ISNUMBER(node_raw[[#This Row],[Column4]]), node_raw[[#This Row],[Column4]]/1048576,"")</f>
        <v/>
      </c>
      <c r="F427" s="139" t="str">
        <f>IF(ISNUMBER(node_raw[[#This Row],[Column5]]), node_raw[[#This Row],[Column5]],"")</f>
        <v/>
      </c>
      <c r="G427" s="153" t="str">
        <f t="shared" si="12"/>
        <v/>
      </c>
      <c r="H427" s="140" t="str">
        <f>IF(ISNUMBER(node_raw[[#This Row],[Column6]]), node_raw[[#This Row],[Column6]]/1048576,"")</f>
        <v/>
      </c>
      <c r="I427" s="157" t="str">
        <f t="shared" si="13"/>
        <v/>
      </c>
      <c r="J427" s="141" t="str">
        <f>IF(ISNONTEXT(node_raw[[#This Row],[Column7]]), "", node_raw[[#This Row],[Column7]]/100)</f>
        <v/>
      </c>
      <c r="K427" s="142" t="str">
        <f>IF(ISNONTEXT(node_raw[[#This Row],[Column8]]), "", node_raw[[#This Row],[Column8]]/100)</f>
        <v/>
      </c>
      <c r="L427" s="143" t="str">
        <f>IF(ISNONTEXT(node_raw[[#This Row],[Column9]]), "", node_raw[[#This Row],[Column9]]/1)</f>
        <v/>
      </c>
      <c r="M427" s="144" t="str">
        <f>IF(ISNONTEXT(node_raw[[#This Row],[Column10]]), "", node_raw[[#This Row],[Column10]]/1)</f>
        <v/>
      </c>
    </row>
    <row r="428" spans="2:13" ht="15.75" customHeight="1" x14ac:dyDescent="0.25">
      <c r="B428" s="30" t="str">
        <f>IF(ISNONTEXT(node_raw[[#This Row],[Column1]]), "", node_raw[[#This Row],[Column1]])</f>
        <v/>
      </c>
      <c r="C428" s="27" t="str">
        <f>IF(ISNONTEXT(node_raw[[#This Row],[Column2]]), "", node_raw[[#This Row],[Column2]])</f>
        <v/>
      </c>
      <c r="D428" s="54" t="str">
        <f>IF(ISNUMBER(node_raw[[#This Row],[Column3]]), node_raw[[#This Row],[Column3]],"")</f>
        <v/>
      </c>
      <c r="E428" s="57" t="str">
        <f>IF(ISNUMBER(node_raw[[#This Row],[Column4]]), node_raw[[#This Row],[Column4]]/1048576,"")</f>
        <v/>
      </c>
      <c r="F428" s="139" t="str">
        <f>IF(ISNUMBER(node_raw[[#This Row],[Column5]]), node_raw[[#This Row],[Column5]],"")</f>
        <v/>
      </c>
      <c r="G428" s="153" t="str">
        <f t="shared" si="12"/>
        <v/>
      </c>
      <c r="H428" s="140" t="str">
        <f>IF(ISNUMBER(node_raw[[#This Row],[Column6]]), node_raw[[#This Row],[Column6]]/1048576,"")</f>
        <v/>
      </c>
      <c r="I428" s="157" t="str">
        <f t="shared" si="13"/>
        <v/>
      </c>
      <c r="J428" s="141" t="str">
        <f>IF(ISNONTEXT(node_raw[[#This Row],[Column7]]), "", node_raw[[#This Row],[Column7]]/100)</f>
        <v/>
      </c>
      <c r="K428" s="142" t="str">
        <f>IF(ISNONTEXT(node_raw[[#This Row],[Column8]]), "", node_raw[[#This Row],[Column8]]/100)</f>
        <v/>
      </c>
      <c r="L428" s="143" t="str">
        <f>IF(ISNONTEXT(node_raw[[#This Row],[Column9]]), "", node_raw[[#This Row],[Column9]]/1)</f>
        <v/>
      </c>
      <c r="M428" s="144" t="str">
        <f>IF(ISNONTEXT(node_raw[[#This Row],[Column10]]), "", node_raw[[#This Row],[Column10]]/1)</f>
        <v/>
      </c>
    </row>
    <row r="429" spans="2:13" ht="15.75" customHeight="1" x14ac:dyDescent="0.25">
      <c r="B429" s="30" t="str">
        <f>IF(ISNONTEXT(node_raw[[#This Row],[Column1]]), "", node_raw[[#This Row],[Column1]])</f>
        <v/>
      </c>
      <c r="C429" s="27" t="str">
        <f>IF(ISNONTEXT(node_raw[[#This Row],[Column2]]), "", node_raw[[#This Row],[Column2]])</f>
        <v/>
      </c>
      <c r="D429" s="54" t="str">
        <f>IF(ISNUMBER(node_raw[[#This Row],[Column3]]), node_raw[[#This Row],[Column3]],"")</f>
        <v/>
      </c>
      <c r="E429" s="57" t="str">
        <f>IF(ISNUMBER(node_raw[[#This Row],[Column4]]), node_raw[[#This Row],[Column4]]/1048576,"")</f>
        <v/>
      </c>
      <c r="F429" s="139" t="str">
        <f>IF(ISNUMBER(node_raw[[#This Row],[Column5]]), node_raw[[#This Row],[Column5]],"")</f>
        <v/>
      </c>
      <c r="G429" s="153" t="str">
        <f t="shared" si="12"/>
        <v/>
      </c>
      <c r="H429" s="140" t="str">
        <f>IF(ISNUMBER(node_raw[[#This Row],[Column6]]), node_raw[[#This Row],[Column6]]/1048576,"")</f>
        <v/>
      </c>
      <c r="I429" s="157" t="str">
        <f t="shared" si="13"/>
        <v/>
      </c>
      <c r="J429" s="141" t="str">
        <f>IF(ISNONTEXT(node_raw[[#This Row],[Column7]]), "", node_raw[[#This Row],[Column7]]/100)</f>
        <v/>
      </c>
      <c r="K429" s="142" t="str">
        <f>IF(ISNONTEXT(node_raw[[#This Row],[Column8]]), "", node_raw[[#This Row],[Column8]]/100)</f>
        <v/>
      </c>
      <c r="L429" s="143" t="str">
        <f>IF(ISNONTEXT(node_raw[[#This Row],[Column9]]), "", node_raw[[#This Row],[Column9]]/1)</f>
        <v/>
      </c>
      <c r="M429" s="144" t="str">
        <f>IF(ISNONTEXT(node_raw[[#This Row],[Column10]]), "", node_raw[[#This Row],[Column10]]/1)</f>
        <v/>
      </c>
    </row>
    <row r="430" spans="2:13" ht="15.75" customHeight="1" x14ac:dyDescent="0.25">
      <c r="B430" s="30" t="str">
        <f>IF(ISNONTEXT(node_raw[[#This Row],[Column1]]), "", node_raw[[#This Row],[Column1]])</f>
        <v/>
      </c>
      <c r="C430" s="27" t="str">
        <f>IF(ISNONTEXT(node_raw[[#This Row],[Column2]]), "", node_raw[[#This Row],[Column2]])</f>
        <v/>
      </c>
      <c r="D430" s="54" t="str">
        <f>IF(ISNUMBER(node_raw[[#This Row],[Column3]]), node_raw[[#This Row],[Column3]],"")</f>
        <v/>
      </c>
      <c r="E430" s="57" t="str">
        <f>IF(ISNUMBER(node_raw[[#This Row],[Column4]]), node_raw[[#This Row],[Column4]]/1048576,"")</f>
        <v/>
      </c>
      <c r="F430" s="139" t="str">
        <f>IF(ISNUMBER(node_raw[[#This Row],[Column5]]), node_raw[[#This Row],[Column5]],"")</f>
        <v/>
      </c>
      <c r="G430" s="153" t="str">
        <f t="shared" si="12"/>
        <v/>
      </c>
      <c r="H430" s="140" t="str">
        <f>IF(ISNUMBER(node_raw[[#This Row],[Column6]]), node_raw[[#This Row],[Column6]]/1048576,"")</f>
        <v/>
      </c>
      <c r="I430" s="157" t="str">
        <f t="shared" si="13"/>
        <v/>
      </c>
      <c r="J430" s="141" t="str">
        <f>IF(ISNONTEXT(node_raw[[#This Row],[Column7]]), "", node_raw[[#This Row],[Column7]]/100)</f>
        <v/>
      </c>
      <c r="K430" s="142" t="str">
        <f>IF(ISNONTEXT(node_raw[[#This Row],[Column8]]), "", node_raw[[#This Row],[Column8]]/100)</f>
        <v/>
      </c>
      <c r="L430" s="143" t="str">
        <f>IF(ISNONTEXT(node_raw[[#This Row],[Column9]]), "", node_raw[[#This Row],[Column9]]/1)</f>
        <v/>
      </c>
      <c r="M430" s="144" t="str">
        <f>IF(ISNONTEXT(node_raw[[#This Row],[Column10]]), "", node_raw[[#This Row],[Column10]]/1)</f>
        <v/>
      </c>
    </row>
    <row r="431" spans="2:13" ht="15.75" customHeight="1" x14ac:dyDescent="0.25">
      <c r="B431" s="30" t="str">
        <f>IF(ISNONTEXT(node_raw[[#This Row],[Column1]]), "", node_raw[[#This Row],[Column1]])</f>
        <v/>
      </c>
      <c r="C431" s="27" t="str">
        <f>IF(ISNONTEXT(node_raw[[#This Row],[Column2]]), "", node_raw[[#This Row],[Column2]])</f>
        <v/>
      </c>
      <c r="D431" s="54" t="str">
        <f>IF(ISNUMBER(node_raw[[#This Row],[Column3]]), node_raw[[#This Row],[Column3]],"")</f>
        <v/>
      </c>
      <c r="E431" s="57" t="str">
        <f>IF(ISNUMBER(node_raw[[#This Row],[Column4]]), node_raw[[#This Row],[Column4]]/1048576,"")</f>
        <v/>
      </c>
      <c r="F431" s="139" t="str">
        <f>IF(ISNUMBER(node_raw[[#This Row],[Column5]]), node_raw[[#This Row],[Column5]],"")</f>
        <v/>
      </c>
      <c r="G431" s="153" t="str">
        <f t="shared" si="12"/>
        <v/>
      </c>
      <c r="H431" s="140" t="str">
        <f>IF(ISNUMBER(node_raw[[#This Row],[Column6]]), node_raw[[#This Row],[Column6]]/1048576,"")</f>
        <v/>
      </c>
      <c r="I431" s="157" t="str">
        <f t="shared" si="13"/>
        <v/>
      </c>
      <c r="J431" s="141" t="str">
        <f>IF(ISNONTEXT(node_raw[[#This Row],[Column7]]), "", node_raw[[#This Row],[Column7]]/100)</f>
        <v/>
      </c>
      <c r="K431" s="142" t="str">
        <f>IF(ISNONTEXT(node_raw[[#This Row],[Column8]]), "", node_raw[[#This Row],[Column8]]/100)</f>
        <v/>
      </c>
      <c r="L431" s="143" t="str">
        <f>IF(ISNONTEXT(node_raw[[#This Row],[Column9]]), "", node_raw[[#This Row],[Column9]]/1)</f>
        <v/>
      </c>
      <c r="M431" s="144" t="str">
        <f>IF(ISNONTEXT(node_raw[[#This Row],[Column10]]), "", node_raw[[#This Row],[Column10]]/1)</f>
        <v/>
      </c>
    </row>
    <row r="432" spans="2:13" ht="15.75" customHeight="1" x14ac:dyDescent="0.25">
      <c r="B432" s="30" t="str">
        <f>IF(ISNONTEXT(node_raw[[#This Row],[Column1]]), "", node_raw[[#This Row],[Column1]])</f>
        <v/>
      </c>
      <c r="C432" s="27" t="str">
        <f>IF(ISNONTEXT(node_raw[[#This Row],[Column2]]), "", node_raw[[#This Row],[Column2]])</f>
        <v/>
      </c>
      <c r="D432" s="54" t="str">
        <f>IF(ISNUMBER(node_raw[[#This Row],[Column3]]), node_raw[[#This Row],[Column3]],"")</f>
        <v/>
      </c>
      <c r="E432" s="57" t="str">
        <f>IF(ISNUMBER(node_raw[[#This Row],[Column4]]), node_raw[[#This Row],[Column4]]/1048576,"")</f>
        <v/>
      </c>
      <c r="F432" s="139" t="str">
        <f>IF(ISNUMBER(node_raw[[#This Row],[Column5]]), node_raw[[#This Row],[Column5]],"")</f>
        <v/>
      </c>
      <c r="G432" s="153" t="str">
        <f t="shared" si="12"/>
        <v/>
      </c>
      <c r="H432" s="140" t="str">
        <f>IF(ISNUMBER(node_raw[[#This Row],[Column6]]), node_raw[[#This Row],[Column6]]/1048576,"")</f>
        <v/>
      </c>
      <c r="I432" s="157" t="str">
        <f t="shared" si="13"/>
        <v/>
      </c>
      <c r="J432" s="141" t="str">
        <f>IF(ISNONTEXT(node_raw[[#This Row],[Column7]]), "", node_raw[[#This Row],[Column7]]/100)</f>
        <v/>
      </c>
      <c r="K432" s="142" t="str">
        <f>IF(ISNONTEXT(node_raw[[#This Row],[Column8]]), "", node_raw[[#This Row],[Column8]]/100)</f>
        <v/>
      </c>
      <c r="L432" s="143" t="str">
        <f>IF(ISNONTEXT(node_raw[[#This Row],[Column9]]), "", node_raw[[#This Row],[Column9]]/1)</f>
        <v/>
      </c>
      <c r="M432" s="144" t="str">
        <f>IF(ISNONTEXT(node_raw[[#This Row],[Column10]]), "", node_raw[[#This Row],[Column10]]/1)</f>
        <v/>
      </c>
    </row>
    <row r="433" spans="2:13" ht="15.75" customHeight="1" x14ac:dyDescent="0.25">
      <c r="B433" s="30" t="str">
        <f>IF(ISNONTEXT(node_raw[[#This Row],[Column1]]), "", node_raw[[#This Row],[Column1]])</f>
        <v/>
      </c>
      <c r="C433" s="27" t="str">
        <f>IF(ISNONTEXT(node_raw[[#This Row],[Column2]]), "", node_raw[[#This Row],[Column2]])</f>
        <v/>
      </c>
      <c r="D433" s="54" t="str">
        <f>IF(ISNUMBER(node_raw[[#This Row],[Column3]]), node_raw[[#This Row],[Column3]],"")</f>
        <v/>
      </c>
      <c r="E433" s="57" t="str">
        <f>IF(ISNUMBER(node_raw[[#This Row],[Column4]]), node_raw[[#This Row],[Column4]]/1048576,"")</f>
        <v/>
      </c>
      <c r="F433" s="139" t="str">
        <f>IF(ISNUMBER(node_raw[[#This Row],[Column5]]), node_raw[[#This Row],[Column5]],"")</f>
        <v/>
      </c>
      <c r="G433" s="153" t="str">
        <f t="shared" si="12"/>
        <v/>
      </c>
      <c r="H433" s="140" t="str">
        <f>IF(ISNUMBER(node_raw[[#This Row],[Column6]]), node_raw[[#This Row],[Column6]]/1048576,"")</f>
        <v/>
      </c>
      <c r="I433" s="157" t="str">
        <f t="shared" si="13"/>
        <v/>
      </c>
      <c r="J433" s="141" t="str">
        <f>IF(ISNONTEXT(node_raw[[#This Row],[Column7]]), "", node_raw[[#This Row],[Column7]]/100)</f>
        <v/>
      </c>
      <c r="K433" s="142" t="str">
        <f>IF(ISNONTEXT(node_raw[[#This Row],[Column8]]), "", node_raw[[#This Row],[Column8]]/100)</f>
        <v/>
      </c>
      <c r="L433" s="143" t="str">
        <f>IF(ISNONTEXT(node_raw[[#This Row],[Column9]]), "", node_raw[[#This Row],[Column9]]/1)</f>
        <v/>
      </c>
      <c r="M433" s="144" t="str">
        <f>IF(ISNONTEXT(node_raw[[#This Row],[Column10]]), "", node_raw[[#This Row],[Column10]]/1)</f>
        <v/>
      </c>
    </row>
    <row r="434" spans="2:13" ht="15.75" customHeight="1" x14ac:dyDescent="0.25">
      <c r="B434" s="30" t="str">
        <f>IF(ISNONTEXT(node_raw[[#This Row],[Column1]]), "", node_raw[[#This Row],[Column1]])</f>
        <v/>
      </c>
      <c r="C434" s="27" t="str">
        <f>IF(ISNONTEXT(node_raw[[#This Row],[Column2]]), "", node_raw[[#This Row],[Column2]])</f>
        <v/>
      </c>
      <c r="D434" s="54" t="str">
        <f>IF(ISNUMBER(node_raw[[#This Row],[Column3]]), node_raw[[#This Row],[Column3]],"")</f>
        <v/>
      </c>
      <c r="E434" s="57" t="str">
        <f>IF(ISNUMBER(node_raw[[#This Row],[Column4]]), node_raw[[#This Row],[Column4]]/1048576,"")</f>
        <v/>
      </c>
      <c r="F434" s="139" t="str">
        <f>IF(ISNUMBER(node_raw[[#This Row],[Column5]]), node_raw[[#This Row],[Column5]],"")</f>
        <v/>
      </c>
      <c r="G434" s="153" t="str">
        <f t="shared" si="12"/>
        <v/>
      </c>
      <c r="H434" s="140" t="str">
        <f>IF(ISNUMBER(node_raw[[#This Row],[Column6]]), node_raw[[#This Row],[Column6]]/1048576,"")</f>
        <v/>
      </c>
      <c r="I434" s="157" t="str">
        <f t="shared" si="13"/>
        <v/>
      </c>
      <c r="J434" s="141" t="str">
        <f>IF(ISNONTEXT(node_raw[[#This Row],[Column7]]), "", node_raw[[#This Row],[Column7]]/100)</f>
        <v/>
      </c>
      <c r="K434" s="142" t="str">
        <f>IF(ISNONTEXT(node_raw[[#This Row],[Column8]]), "", node_raw[[#This Row],[Column8]]/100)</f>
        <v/>
      </c>
      <c r="L434" s="143" t="str">
        <f>IF(ISNONTEXT(node_raw[[#This Row],[Column9]]), "", node_raw[[#This Row],[Column9]]/1)</f>
        <v/>
      </c>
      <c r="M434" s="144" t="str">
        <f>IF(ISNONTEXT(node_raw[[#This Row],[Column10]]), "", node_raw[[#This Row],[Column10]]/1)</f>
        <v/>
      </c>
    </row>
    <row r="435" spans="2:13" ht="15.75" customHeight="1" x14ac:dyDescent="0.25">
      <c r="B435" s="30" t="str">
        <f>IF(ISNONTEXT(node_raw[[#This Row],[Column1]]), "", node_raw[[#This Row],[Column1]])</f>
        <v/>
      </c>
      <c r="C435" s="27" t="str">
        <f>IF(ISNONTEXT(node_raw[[#This Row],[Column2]]), "", node_raw[[#This Row],[Column2]])</f>
        <v/>
      </c>
      <c r="D435" s="54" t="str">
        <f>IF(ISNUMBER(node_raw[[#This Row],[Column3]]), node_raw[[#This Row],[Column3]],"")</f>
        <v/>
      </c>
      <c r="E435" s="57" t="str">
        <f>IF(ISNUMBER(node_raw[[#This Row],[Column4]]), node_raw[[#This Row],[Column4]]/1048576,"")</f>
        <v/>
      </c>
      <c r="F435" s="139" t="str">
        <f>IF(ISNUMBER(node_raw[[#This Row],[Column5]]), node_raw[[#This Row],[Column5]],"")</f>
        <v/>
      </c>
      <c r="G435" s="153" t="str">
        <f t="shared" si="12"/>
        <v/>
      </c>
      <c r="H435" s="140" t="str">
        <f>IF(ISNUMBER(node_raw[[#This Row],[Column6]]), node_raw[[#This Row],[Column6]]/1048576,"")</f>
        <v/>
      </c>
      <c r="I435" s="157" t="str">
        <f t="shared" si="13"/>
        <v/>
      </c>
      <c r="J435" s="141" t="str">
        <f>IF(ISNONTEXT(node_raw[[#This Row],[Column7]]), "", node_raw[[#This Row],[Column7]]/100)</f>
        <v/>
      </c>
      <c r="K435" s="142" t="str">
        <f>IF(ISNONTEXT(node_raw[[#This Row],[Column8]]), "", node_raw[[#This Row],[Column8]]/100)</f>
        <v/>
      </c>
      <c r="L435" s="143" t="str">
        <f>IF(ISNONTEXT(node_raw[[#This Row],[Column9]]), "", node_raw[[#This Row],[Column9]]/1)</f>
        <v/>
      </c>
      <c r="M435" s="144" t="str">
        <f>IF(ISNONTEXT(node_raw[[#This Row],[Column10]]), "", node_raw[[#This Row],[Column10]]/1)</f>
        <v/>
      </c>
    </row>
    <row r="436" spans="2:13" ht="15.75" customHeight="1" x14ac:dyDescent="0.25">
      <c r="B436" s="30" t="str">
        <f>IF(ISNONTEXT(node_raw[[#This Row],[Column1]]), "", node_raw[[#This Row],[Column1]])</f>
        <v/>
      </c>
      <c r="C436" s="27" t="str">
        <f>IF(ISNONTEXT(node_raw[[#This Row],[Column2]]), "", node_raw[[#This Row],[Column2]])</f>
        <v/>
      </c>
      <c r="D436" s="54" t="str">
        <f>IF(ISNUMBER(node_raw[[#This Row],[Column3]]), node_raw[[#This Row],[Column3]],"")</f>
        <v/>
      </c>
      <c r="E436" s="57" t="str">
        <f>IF(ISNUMBER(node_raw[[#This Row],[Column4]]), node_raw[[#This Row],[Column4]]/1048576,"")</f>
        <v/>
      </c>
      <c r="F436" s="139" t="str">
        <f>IF(ISNUMBER(node_raw[[#This Row],[Column5]]), node_raw[[#This Row],[Column5]],"")</f>
        <v/>
      </c>
      <c r="G436" s="153" t="str">
        <f t="shared" si="12"/>
        <v/>
      </c>
      <c r="H436" s="140" t="str">
        <f>IF(ISNUMBER(node_raw[[#This Row],[Column6]]), node_raw[[#This Row],[Column6]]/1048576,"")</f>
        <v/>
      </c>
      <c r="I436" s="157" t="str">
        <f t="shared" si="13"/>
        <v/>
      </c>
      <c r="J436" s="141" t="str">
        <f>IF(ISNONTEXT(node_raw[[#This Row],[Column7]]), "", node_raw[[#This Row],[Column7]]/100)</f>
        <v/>
      </c>
      <c r="K436" s="142" t="str">
        <f>IF(ISNONTEXT(node_raw[[#This Row],[Column8]]), "", node_raw[[#This Row],[Column8]]/100)</f>
        <v/>
      </c>
      <c r="L436" s="143" t="str">
        <f>IF(ISNONTEXT(node_raw[[#This Row],[Column9]]), "", node_raw[[#This Row],[Column9]]/1)</f>
        <v/>
      </c>
      <c r="M436" s="144" t="str">
        <f>IF(ISNONTEXT(node_raw[[#This Row],[Column10]]), "", node_raw[[#This Row],[Column10]]/1)</f>
        <v/>
      </c>
    </row>
    <row r="437" spans="2:13" ht="15.75" customHeight="1" x14ac:dyDescent="0.25">
      <c r="B437" s="30" t="str">
        <f>IF(ISNONTEXT(node_raw[[#This Row],[Column1]]), "", node_raw[[#This Row],[Column1]])</f>
        <v/>
      </c>
      <c r="C437" s="27" t="str">
        <f>IF(ISNONTEXT(node_raw[[#This Row],[Column2]]), "", node_raw[[#This Row],[Column2]])</f>
        <v/>
      </c>
      <c r="D437" s="54" t="str">
        <f>IF(ISNUMBER(node_raw[[#This Row],[Column3]]), node_raw[[#This Row],[Column3]],"")</f>
        <v/>
      </c>
      <c r="E437" s="57" t="str">
        <f>IF(ISNUMBER(node_raw[[#This Row],[Column4]]), node_raw[[#This Row],[Column4]]/1048576,"")</f>
        <v/>
      </c>
      <c r="F437" s="139" t="str">
        <f>IF(ISNUMBER(node_raw[[#This Row],[Column5]]), node_raw[[#This Row],[Column5]],"")</f>
        <v/>
      </c>
      <c r="G437" s="153" t="str">
        <f t="shared" si="12"/>
        <v/>
      </c>
      <c r="H437" s="140" t="str">
        <f>IF(ISNUMBER(node_raw[[#This Row],[Column6]]), node_raw[[#This Row],[Column6]]/1048576,"")</f>
        <v/>
      </c>
      <c r="I437" s="157" t="str">
        <f t="shared" si="13"/>
        <v/>
      </c>
      <c r="J437" s="141" t="str">
        <f>IF(ISNONTEXT(node_raw[[#This Row],[Column7]]), "", node_raw[[#This Row],[Column7]]/100)</f>
        <v/>
      </c>
      <c r="K437" s="142" t="str">
        <f>IF(ISNONTEXT(node_raw[[#This Row],[Column8]]), "", node_raw[[#This Row],[Column8]]/100)</f>
        <v/>
      </c>
      <c r="L437" s="143" t="str">
        <f>IF(ISNONTEXT(node_raw[[#This Row],[Column9]]), "", node_raw[[#This Row],[Column9]]/1)</f>
        <v/>
      </c>
      <c r="M437" s="144" t="str">
        <f>IF(ISNONTEXT(node_raw[[#This Row],[Column10]]), "", node_raw[[#This Row],[Column10]]/1)</f>
        <v/>
      </c>
    </row>
    <row r="438" spans="2:13" ht="15.75" customHeight="1" x14ac:dyDescent="0.25">
      <c r="B438" s="30" t="str">
        <f>IF(ISNONTEXT(node_raw[[#This Row],[Column1]]), "", node_raw[[#This Row],[Column1]])</f>
        <v/>
      </c>
      <c r="C438" s="27" t="str">
        <f>IF(ISNONTEXT(node_raw[[#This Row],[Column2]]), "", node_raw[[#This Row],[Column2]])</f>
        <v/>
      </c>
      <c r="D438" s="54" t="str">
        <f>IF(ISNUMBER(node_raw[[#This Row],[Column3]]), node_raw[[#This Row],[Column3]],"")</f>
        <v/>
      </c>
      <c r="E438" s="57" t="str">
        <f>IF(ISNUMBER(node_raw[[#This Row],[Column4]]), node_raw[[#This Row],[Column4]]/1048576,"")</f>
        <v/>
      </c>
      <c r="F438" s="139" t="str">
        <f>IF(ISNUMBER(node_raw[[#This Row],[Column5]]), node_raw[[#This Row],[Column5]],"")</f>
        <v/>
      </c>
      <c r="G438" s="153" t="str">
        <f t="shared" si="12"/>
        <v/>
      </c>
      <c r="H438" s="140" t="str">
        <f>IF(ISNUMBER(node_raw[[#This Row],[Column6]]), node_raw[[#This Row],[Column6]]/1048576,"")</f>
        <v/>
      </c>
      <c r="I438" s="157" t="str">
        <f t="shared" si="13"/>
        <v/>
      </c>
      <c r="J438" s="141" t="str">
        <f>IF(ISNONTEXT(node_raw[[#This Row],[Column7]]), "", node_raw[[#This Row],[Column7]]/100)</f>
        <v/>
      </c>
      <c r="K438" s="142" t="str">
        <f>IF(ISNONTEXT(node_raw[[#This Row],[Column8]]), "", node_raw[[#This Row],[Column8]]/100)</f>
        <v/>
      </c>
      <c r="L438" s="143" t="str">
        <f>IF(ISNONTEXT(node_raw[[#This Row],[Column9]]), "", node_raw[[#This Row],[Column9]]/1)</f>
        <v/>
      </c>
      <c r="M438" s="144" t="str">
        <f>IF(ISNONTEXT(node_raw[[#This Row],[Column10]]), "", node_raw[[#This Row],[Column10]]/1)</f>
        <v/>
      </c>
    </row>
    <row r="439" spans="2:13" ht="15.75" customHeight="1" x14ac:dyDescent="0.25">
      <c r="B439" s="30" t="str">
        <f>IF(ISNONTEXT(node_raw[[#This Row],[Column1]]), "", node_raw[[#This Row],[Column1]])</f>
        <v/>
      </c>
      <c r="C439" s="27" t="str">
        <f>IF(ISNONTEXT(node_raw[[#This Row],[Column2]]), "", node_raw[[#This Row],[Column2]])</f>
        <v/>
      </c>
      <c r="D439" s="54" t="str">
        <f>IF(ISNUMBER(node_raw[[#This Row],[Column3]]), node_raw[[#This Row],[Column3]],"")</f>
        <v/>
      </c>
      <c r="E439" s="57" t="str">
        <f>IF(ISNUMBER(node_raw[[#This Row],[Column4]]), node_raw[[#This Row],[Column4]]/1048576,"")</f>
        <v/>
      </c>
      <c r="F439" s="139" t="str">
        <f>IF(ISNUMBER(node_raw[[#This Row],[Column5]]), node_raw[[#This Row],[Column5]],"")</f>
        <v/>
      </c>
      <c r="G439" s="153" t="str">
        <f t="shared" si="12"/>
        <v/>
      </c>
      <c r="H439" s="140" t="str">
        <f>IF(ISNUMBER(node_raw[[#This Row],[Column6]]), node_raw[[#This Row],[Column6]]/1048576,"")</f>
        <v/>
      </c>
      <c r="I439" s="157" t="str">
        <f t="shared" si="13"/>
        <v/>
      </c>
      <c r="J439" s="141" t="str">
        <f>IF(ISNONTEXT(node_raw[[#This Row],[Column7]]), "", node_raw[[#This Row],[Column7]]/100)</f>
        <v/>
      </c>
      <c r="K439" s="142" t="str">
        <f>IF(ISNONTEXT(node_raw[[#This Row],[Column8]]), "", node_raw[[#This Row],[Column8]]/100)</f>
        <v/>
      </c>
      <c r="L439" s="143" t="str">
        <f>IF(ISNONTEXT(node_raw[[#This Row],[Column9]]), "", node_raw[[#This Row],[Column9]]/1)</f>
        <v/>
      </c>
      <c r="M439" s="144" t="str">
        <f>IF(ISNONTEXT(node_raw[[#This Row],[Column10]]), "", node_raw[[#This Row],[Column10]]/1)</f>
        <v/>
      </c>
    </row>
    <row r="440" spans="2:13" ht="15.75" customHeight="1" x14ac:dyDescent="0.25">
      <c r="B440" s="30" t="str">
        <f>IF(ISNONTEXT(node_raw[[#This Row],[Column1]]), "", node_raw[[#This Row],[Column1]])</f>
        <v/>
      </c>
      <c r="C440" s="27" t="str">
        <f>IF(ISNONTEXT(node_raw[[#This Row],[Column2]]), "", node_raw[[#This Row],[Column2]])</f>
        <v/>
      </c>
      <c r="D440" s="54" t="str">
        <f>IF(ISNUMBER(node_raw[[#This Row],[Column3]]), node_raw[[#This Row],[Column3]],"")</f>
        <v/>
      </c>
      <c r="E440" s="57" t="str">
        <f>IF(ISNUMBER(node_raw[[#This Row],[Column4]]), node_raw[[#This Row],[Column4]]/1048576,"")</f>
        <v/>
      </c>
      <c r="F440" s="139" t="str">
        <f>IF(ISNUMBER(node_raw[[#This Row],[Column5]]), node_raw[[#This Row],[Column5]],"")</f>
        <v/>
      </c>
      <c r="G440" s="153" t="str">
        <f t="shared" si="12"/>
        <v/>
      </c>
      <c r="H440" s="140" t="str">
        <f>IF(ISNUMBER(node_raw[[#This Row],[Column6]]), node_raw[[#This Row],[Column6]]/1048576,"")</f>
        <v/>
      </c>
      <c r="I440" s="157" t="str">
        <f t="shared" si="13"/>
        <v/>
      </c>
      <c r="J440" s="141" t="str">
        <f>IF(ISNONTEXT(node_raw[[#This Row],[Column7]]), "", node_raw[[#This Row],[Column7]]/100)</f>
        <v/>
      </c>
      <c r="K440" s="142" t="str">
        <f>IF(ISNONTEXT(node_raw[[#This Row],[Column8]]), "", node_raw[[#This Row],[Column8]]/100)</f>
        <v/>
      </c>
      <c r="L440" s="143" t="str">
        <f>IF(ISNONTEXT(node_raw[[#This Row],[Column9]]), "", node_raw[[#This Row],[Column9]]/1)</f>
        <v/>
      </c>
      <c r="M440" s="144" t="str">
        <f>IF(ISNONTEXT(node_raw[[#This Row],[Column10]]), "", node_raw[[#This Row],[Column10]]/1)</f>
        <v/>
      </c>
    </row>
    <row r="441" spans="2:13" ht="15.75" customHeight="1" x14ac:dyDescent="0.25">
      <c r="B441" s="30" t="str">
        <f>IF(ISNONTEXT(node_raw[[#This Row],[Column1]]), "", node_raw[[#This Row],[Column1]])</f>
        <v/>
      </c>
      <c r="C441" s="27" t="str">
        <f>IF(ISNONTEXT(node_raw[[#This Row],[Column2]]), "", node_raw[[#This Row],[Column2]])</f>
        <v/>
      </c>
      <c r="D441" s="54" t="str">
        <f>IF(ISNUMBER(node_raw[[#This Row],[Column3]]), node_raw[[#This Row],[Column3]],"")</f>
        <v/>
      </c>
      <c r="E441" s="57" t="str">
        <f>IF(ISNUMBER(node_raw[[#This Row],[Column4]]), node_raw[[#This Row],[Column4]]/1048576,"")</f>
        <v/>
      </c>
      <c r="F441" s="139" t="str">
        <f>IF(ISNUMBER(node_raw[[#This Row],[Column5]]), node_raw[[#This Row],[Column5]],"")</f>
        <v/>
      </c>
      <c r="G441" s="153" t="str">
        <f t="shared" si="12"/>
        <v/>
      </c>
      <c r="H441" s="140" t="str">
        <f>IF(ISNUMBER(node_raw[[#This Row],[Column6]]), node_raw[[#This Row],[Column6]]/1048576,"")</f>
        <v/>
      </c>
      <c r="I441" s="157" t="str">
        <f t="shared" si="13"/>
        <v/>
      </c>
      <c r="J441" s="141" t="str">
        <f>IF(ISNONTEXT(node_raw[[#This Row],[Column7]]), "", node_raw[[#This Row],[Column7]]/100)</f>
        <v/>
      </c>
      <c r="K441" s="142" t="str">
        <f>IF(ISNONTEXT(node_raw[[#This Row],[Column8]]), "", node_raw[[#This Row],[Column8]]/100)</f>
        <v/>
      </c>
      <c r="L441" s="143" t="str">
        <f>IF(ISNONTEXT(node_raw[[#This Row],[Column9]]), "", node_raw[[#This Row],[Column9]]/1)</f>
        <v/>
      </c>
      <c r="M441" s="144" t="str">
        <f>IF(ISNONTEXT(node_raw[[#This Row],[Column10]]), "", node_raw[[#This Row],[Column10]]/1)</f>
        <v/>
      </c>
    </row>
    <row r="442" spans="2:13" ht="15.75" customHeight="1" x14ac:dyDescent="0.25">
      <c r="B442" s="30" t="str">
        <f>IF(ISNONTEXT(node_raw[[#This Row],[Column1]]), "", node_raw[[#This Row],[Column1]])</f>
        <v/>
      </c>
      <c r="C442" s="27" t="str">
        <f>IF(ISNONTEXT(node_raw[[#This Row],[Column2]]), "", node_raw[[#This Row],[Column2]])</f>
        <v/>
      </c>
      <c r="D442" s="54" t="str">
        <f>IF(ISNUMBER(node_raw[[#This Row],[Column3]]), node_raw[[#This Row],[Column3]],"")</f>
        <v/>
      </c>
      <c r="E442" s="57" t="str">
        <f>IF(ISNUMBER(node_raw[[#This Row],[Column4]]), node_raw[[#This Row],[Column4]]/1048576,"")</f>
        <v/>
      </c>
      <c r="F442" s="139" t="str">
        <f>IF(ISNUMBER(node_raw[[#This Row],[Column5]]), node_raw[[#This Row],[Column5]],"")</f>
        <v/>
      </c>
      <c r="G442" s="153" t="str">
        <f t="shared" si="12"/>
        <v/>
      </c>
      <c r="H442" s="140" t="str">
        <f>IF(ISNUMBER(node_raw[[#This Row],[Column6]]), node_raw[[#This Row],[Column6]]/1048576,"")</f>
        <v/>
      </c>
      <c r="I442" s="157" t="str">
        <f t="shared" si="13"/>
        <v/>
      </c>
      <c r="J442" s="141" t="str">
        <f>IF(ISNONTEXT(node_raw[[#This Row],[Column7]]), "", node_raw[[#This Row],[Column7]]/100)</f>
        <v/>
      </c>
      <c r="K442" s="142" t="str">
        <f>IF(ISNONTEXT(node_raw[[#This Row],[Column8]]), "", node_raw[[#This Row],[Column8]]/100)</f>
        <v/>
      </c>
      <c r="L442" s="143" t="str">
        <f>IF(ISNONTEXT(node_raw[[#This Row],[Column9]]), "", node_raw[[#This Row],[Column9]]/1)</f>
        <v/>
      </c>
      <c r="M442" s="144" t="str">
        <f>IF(ISNONTEXT(node_raw[[#This Row],[Column10]]), "", node_raw[[#This Row],[Column10]]/1)</f>
        <v/>
      </c>
    </row>
    <row r="443" spans="2:13" ht="15.75" customHeight="1" x14ac:dyDescent="0.25">
      <c r="B443" s="30" t="str">
        <f>IF(ISNONTEXT(node_raw[[#This Row],[Column1]]), "", node_raw[[#This Row],[Column1]])</f>
        <v/>
      </c>
      <c r="C443" s="27" t="str">
        <f>IF(ISNONTEXT(node_raw[[#This Row],[Column2]]), "", node_raw[[#This Row],[Column2]])</f>
        <v/>
      </c>
      <c r="D443" s="54" t="str">
        <f>IF(ISNUMBER(node_raw[[#This Row],[Column3]]), node_raw[[#This Row],[Column3]],"")</f>
        <v/>
      </c>
      <c r="E443" s="57" t="str">
        <f>IF(ISNUMBER(node_raw[[#This Row],[Column4]]), node_raw[[#This Row],[Column4]]/1048576,"")</f>
        <v/>
      </c>
      <c r="F443" s="139" t="str">
        <f>IF(ISNUMBER(node_raw[[#This Row],[Column5]]), node_raw[[#This Row],[Column5]],"")</f>
        <v/>
      </c>
      <c r="G443" s="153" t="str">
        <f t="shared" si="12"/>
        <v/>
      </c>
      <c r="H443" s="140" t="str">
        <f>IF(ISNUMBER(node_raw[[#This Row],[Column6]]), node_raw[[#This Row],[Column6]]/1048576,"")</f>
        <v/>
      </c>
      <c r="I443" s="157" t="str">
        <f t="shared" si="13"/>
        <v/>
      </c>
      <c r="J443" s="141" t="str">
        <f>IF(ISNONTEXT(node_raw[[#This Row],[Column7]]), "", node_raw[[#This Row],[Column7]]/100)</f>
        <v/>
      </c>
      <c r="K443" s="142" t="str">
        <f>IF(ISNONTEXT(node_raw[[#This Row],[Column8]]), "", node_raw[[#This Row],[Column8]]/100)</f>
        <v/>
      </c>
      <c r="L443" s="143" t="str">
        <f>IF(ISNONTEXT(node_raw[[#This Row],[Column9]]), "", node_raw[[#This Row],[Column9]]/1)</f>
        <v/>
      </c>
      <c r="M443" s="144" t="str">
        <f>IF(ISNONTEXT(node_raw[[#This Row],[Column10]]), "", node_raw[[#This Row],[Column10]]/1)</f>
        <v/>
      </c>
    </row>
    <row r="444" spans="2:13" ht="15.75" customHeight="1" x14ac:dyDescent="0.25">
      <c r="B444" s="30" t="str">
        <f>IF(ISNONTEXT(node_raw[[#This Row],[Column1]]), "", node_raw[[#This Row],[Column1]])</f>
        <v/>
      </c>
      <c r="C444" s="27" t="str">
        <f>IF(ISNONTEXT(node_raw[[#This Row],[Column2]]), "", node_raw[[#This Row],[Column2]])</f>
        <v/>
      </c>
      <c r="D444" s="54" t="str">
        <f>IF(ISNUMBER(node_raw[[#This Row],[Column3]]), node_raw[[#This Row],[Column3]],"")</f>
        <v/>
      </c>
      <c r="E444" s="57" t="str">
        <f>IF(ISNUMBER(node_raw[[#This Row],[Column4]]), node_raw[[#This Row],[Column4]]/1048576,"")</f>
        <v/>
      </c>
      <c r="F444" s="139" t="str">
        <f>IF(ISNUMBER(node_raw[[#This Row],[Column5]]), node_raw[[#This Row],[Column5]],"")</f>
        <v/>
      </c>
      <c r="G444" s="153" t="str">
        <f t="shared" si="12"/>
        <v/>
      </c>
      <c r="H444" s="140" t="str">
        <f>IF(ISNUMBER(node_raw[[#This Row],[Column6]]), node_raw[[#This Row],[Column6]]/1048576,"")</f>
        <v/>
      </c>
      <c r="I444" s="157" t="str">
        <f t="shared" si="13"/>
        <v/>
      </c>
      <c r="J444" s="141" t="str">
        <f>IF(ISNONTEXT(node_raw[[#This Row],[Column7]]), "", node_raw[[#This Row],[Column7]]/100)</f>
        <v/>
      </c>
      <c r="K444" s="142" t="str">
        <f>IF(ISNONTEXT(node_raw[[#This Row],[Column8]]), "", node_raw[[#This Row],[Column8]]/100)</f>
        <v/>
      </c>
      <c r="L444" s="143" t="str">
        <f>IF(ISNONTEXT(node_raw[[#This Row],[Column9]]), "", node_raw[[#This Row],[Column9]]/1)</f>
        <v/>
      </c>
      <c r="M444" s="144" t="str">
        <f>IF(ISNONTEXT(node_raw[[#This Row],[Column10]]), "", node_raw[[#This Row],[Column10]]/1)</f>
        <v/>
      </c>
    </row>
    <row r="445" spans="2:13" ht="15.75" customHeight="1" x14ac:dyDescent="0.25">
      <c r="B445" s="30" t="str">
        <f>IF(ISNONTEXT(node_raw[[#This Row],[Column1]]), "", node_raw[[#This Row],[Column1]])</f>
        <v/>
      </c>
      <c r="C445" s="27" t="str">
        <f>IF(ISNONTEXT(node_raw[[#This Row],[Column2]]), "", node_raw[[#This Row],[Column2]])</f>
        <v/>
      </c>
      <c r="D445" s="54" t="str">
        <f>IF(ISNUMBER(node_raw[[#This Row],[Column3]]), node_raw[[#This Row],[Column3]],"")</f>
        <v/>
      </c>
      <c r="E445" s="57" t="str">
        <f>IF(ISNUMBER(node_raw[[#This Row],[Column4]]), node_raw[[#This Row],[Column4]]/1048576,"")</f>
        <v/>
      </c>
      <c r="F445" s="139" t="str">
        <f>IF(ISNUMBER(node_raw[[#This Row],[Column5]]), node_raw[[#This Row],[Column5]],"")</f>
        <v/>
      </c>
      <c r="G445" s="153" t="str">
        <f t="shared" si="12"/>
        <v/>
      </c>
      <c r="H445" s="140" t="str">
        <f>IF(ISNUMBER(node_raw[[#This Row],[Column6]]), node_raw[[#This Row],[Column6]]/1048576,"")</f>
        <v/>
      </c>
      <c r="I445" s="157" t="str">
        <f t="shared" si="13"/>
        <v/>
      </c>
      <c r="J445" s="141" t="str">
        <f>IF(ISNONTEXT(node_raw[[#This Row],[Column7]]), "", node_raw[[#This Row],[Column7]]/100)</f>
        <v/>
      </c>
      <c r="K445" s="142" t="str">
        <f>IF(ISNONTEXT(node_raw[[#This Row],[Column8]]), "", node_raw[[#This Row],[Column8]]/100)</f>
        <v/>
      </c>
      <c r="L445" s="143" t="str">
        <f>IF(ISNONTEXT(node_raw[[#This Row],[Column9]]), "", node_raw[[#This Row],[Column9]]/1)</f>
        <v/>
      </c>
      <c r="M445" s="144" t="str">
        <f>IF(ISNONTEXT(node_raw[[#This Row],[Column10]]), "", node_raw[[#This Row],[Column10]]/1)</f>
        <v/>
      </c>
    </row>
    <row r="446" spans="2:13" ht="15.75" customHeight="1" x14ac:dyDescent="0.25">
      <c r="B446" s="30" t="str">
        <f>IF(ISNONTEXT(node_raw[[#This Row],[Column1]]), "", node_raw[[#This Row],[Column1]])</f>
        <v/>
      </c>
      <c r="C446" s="27" t="str">
        <f>IF(ISNONTEXT(node_raw[[#This Row],[Column2]]), "", node_raw[[#This Row],[Column2]])</f>
        <v/>
      </c>
      <c r="D446" s="54" t="str">
        <f>IF(ISNUMBER(node_raw[[#This Row],[Column3]]), node_raw[[#This Row],[Column3]],"")</f>
        <v/>
      </c>
      <c r="E446" s="57" t="str">
        <f>IF(ISNUMBER(node_raw[[#This Row],[Column4]]), node_raw[[#This Row],[Column4]]/1048576,"")</f>
        <v/>
      </c>
      <c r="F446" s="139" t="str">
        <f>IF(ISNUMBER(node_raw[[#This Row],[Column5]]), node_raw[[#This Row],[Column5]],"")</f>
        <v/>
      </c>
      <c r="G446" s="153" t="str">
        <f t="shared" si="12"/>
        <v/>
      </c>
      <c r="H446" s="140" t="str">
        <f>IF(ISNUMBER(node_raw[[#This Row],[Column6]]), node_raw[[#This Row],[Column6]]/1048576,"")</f>
        <v/>
      </c>
      <c r="I446" s="157" t="str">
        <f t="shared" si="13"/>
        <v/>
      </c>
      <c r="J446" s="141" t="str">
        <f>IF(ISNONTEXT(node_raw[[#This Row],[Column7]]), "", node_raw[[#This Row],[Column7]]/100)</f>
        <v/>
      </c>
      <c r="K446" s="142" t="str">
        <f>IF(ISNONTEXT(node_raw[[#This Row],[Column8]]), "", node_raw[[#This Row],[Column8]]/100)</f>
        <v/>
      </c>
      <c r="L446" s="143" t="str">
        <f>IF(ISNONTEXT(node_raw[[#This Row],[Column9]]), "", node_raw[[#This Row],[Column9]]/1)</f>
        <v/>
      </c>
      <c r="M446" s="144" t="str">
        <f>IF(ISNONTEXT(node_raw[[#This Row],[Column10]]), "", node_raw[[#This Row],[Column10]]/1)</f>
        <v/>
      </c>
    </row>
    <row r="447" spans="2:13" ht="15.75" customHeight="1" x14ac:dyDescent="0.25">
      <c r="B447" s="30" t="str">
        <f>IF(ISNONTEXT(node_raw[[#This Row],[Column1]]), "", node_raw[[#This Row],[Column1]])</f>
        <v/>
      </c>
      <c r="C447" s="27" t="str">
        <f>IF(ISNONTEXT(node_raw[[#This Row],[Column2]]), "", node_raw[[#This Row],[Column2]])</f>
        <v/>
      </c>
      <c r="D447" s="54" t="str">
        <f>IF(ISNUMBER(node_raw[[#This Row],[Column3]]), node_raw[[#This Row],[Column3]],"")</f>
        <v/>
      </c>
      <c r="E447" s="57" t="str">
        <f>IF(ISNUMBER(node_raw[[#This Row],[Column4]]), node_raw[[#This Row],[Column4]]/1048576,"")</f>
        <v/>
      </c>
      <c r="F447" s="139" t="str">
        <f>IF(ISNUMBER(node_raw[[#This Row],[Column5]]), node_raw[[#This Row],[Column5]],"")</f>
        <v/>
      </c>
      <c r="G447" s="153" t="str">
        <f t="shared" si="12"/>
        <v/>
      </c>
      <c r="H447" s="140" t="str">
        <f>IF(ISNUMBER(node_raw[[#This Row],[Column6]]), node_raw[[#This Row],[Column6]]/1048576,"")</f>
        <v/>
      </c>
      <c r="I447" s="157" t="str">
        <f t="shared" si="13"/>
        <v/>
      </c>
      <c r="J447" s="141" t="str">
        <f>IF(ISNONTEXT(node_raw[[#This Row],[Column7]]), "", node_raw[[#This Row],[Column7]]/100)</f>
        <v/>
      </c>
      <c r="K447" s="142" t="str">
        <f>IF(ISNONTEXT(node_raw[[#This Row],[Column8]]), "", node_raw[[#This Row],[Column8]]/100)</f>
        <v/>
      </c>
      <c r="L447" s="143" t="str">
        <f>IF(ISNONTEXT(node_raw[[#This Row],[Column9]]), "", node_raw[[#This Row],[Column9]]/1)</f>
        <v/>
      </c>
      <c r="M447" s="144" t="str">
        <f>IF(ISNONTEXT(node_raw[[#This Row],[Column10]]), "", node_raw[[#This Row],[Column10]]/1)</f>
        <v/>
      </c>
    </row>
    <row r="448" spans="2:13" ht="15.75" customHeight="1" x14ac:dyDescent="0.25">
      <c r="B448" s="30" t="str">
        <f>IF(ISNONTEXT(node_raw[[#This Row],[Column1]]), "", node_raw[[#This Row],[Column1]])</f>
        <v/>
      </c>
      <c r="C448" s="27" t="str">
        <f>IF(ISNONTEXT(node_raw[[#This Row],[Column2]]), "", node_raw[[#This Row],[Column2]])</f>
        <v/>
      </c>
      <c r="D448" s="54" t="str">
        <f>IF(ISNUMBER(node_raw[[#This Row],[Column3]]), node_raw[[#This Row],[Column3]],"")</f>
        <v/>
      </c>
      <c r="E448" s="57" t="str">
        <f>IF(ISNUMBER(node_raw[[#This Row],[Column4]]), node_raw[[#This Row],[Column4]]/1048576,"")</f>
        <v/>
      </c>
      <c r="F448" s="139" t="str">
        <f>IF(ISNUMBER(node_raw[[#This Row],[Column5]]), node_raw[[#This Row],[Column5]],"")</f>
        <v/>
      </c>
      <c r="G448" s="153" t="str">
        <f t="shared" si="12"/>
        <v/>
      </c>
      <c r="H448" s="140" t="str">
        <f>IF(ISNUMBER(node_raw[[#This Row],[Column6]]), node_raw[[#This Row],[Column6]]/1048576,"")</f>
        <v/>
      </c>
      <c r="I448" s="157" t="str">
        <f t="shared" si="13"/>
        <v/>
      </c>
      <c r="J448" s="141" t="str">
        <f>IF(ISNONTEXT(node_raw[[#This Row],[Column7]]), "", node_raw[[#This Row],[Column7]]/100)</f>
        <v/>
      </c>
      <c r="K448" s="142" t="str">
        <f>IF(ISNONTEXT(node_raw[[#This Row],[Column8]]), "", node_raw[[#This Row],[Column8]]/100)</f>
        <v/>
      </c>
      <c r="L448" s="143" t="str">
        <f>IF(ISNONTEXT(node_raw[[#This Row],[Column9]]), "", node_raw[[#This Row],[Column9]]/1)</f>
        <v/>
      </c>
      <c r="M448" s="144" t="str">
        <f>IF(ISNONTEXT(node_raw[[#This Row],[Column10]]), "", node_raw[[#This Row],[Column10]]/1)</f>
        <v/>
      </c>
    </row>
    <row r="449" spans="2:13" ht="15.75" customHeight="1" x14ac:dyDescent="0.25">
      <c r="B449" s="30" t="str">
        <f>IF(ISNONTEXT(node_raw[[#This Row],[Column1]]), "", node_raw[[#This Row],[Column1]])</f>
        <v/>
      </c>
      <c r="C449" s="27" t="str">
        <f>IF(ISNONTEXT(node_raw[[#This Row],[Column2]]), "", node_raw[[#This Row],[Column2]])</f>
        <v/>
      </c>
      <c r="D449" s="54" t="str">
        <f>IF(ISNUMBER(node_raw[[#This Row],[Column3]]), node_raw[[#This Row],[Column3]],"")</f>
        <v/>
      </c>
      <c r="E449" s="57" t="str">
        <f>IF(ISNUMBER(node_raw[[#This Row],[Column4]]), node_raw[[#This Row],[Column4]]/1048576,"")</f>
        <v/>
      </c>
      <c r="F449" s="139" t="str">
        <f>IF(ISNUMBER(node_raw[[#This Row],[Column5]]), node_raw[[#This Row],[Column5]],"")</f>
        <v/>
      </c>
      <c r="G449" s="153" t="str">
        <f t="shared" si="12"/>
        <v/>
      </c>
      <c r="H449" s="140" t="str">
        <f>IF(ISNUMBER(node_raw[[#This Row],[Column6]]), node_raw[[#This Row],[Column6]]/1048576,"")</f>
        <v/>
      </c>
      <c r="I449" s="157" t="str">
        <f t="shared" si="13"/>
        <v/>
      </c>
      <c r="J449" s="141" t="str">
        <f>IF(ISNONTEXT(node_raw[[#This Row],[Column7]]), "", node_raw[[#This Row],[Column7]]/100)</f>
        <v/>
      </c>
      <c r="K449" s="142" t="str">
        <f>IF(ISNONTEXT(node_raw[[#This Row],[Column8]]), "", node_raw[[#This Row],[Column8]]/100)</f>
        <v/>
      </c>
      <c r="L449" s="143" t="str">
        <f>IF(ISNONTEXT(node_raw[[#This Row],[Column9]]), "", node_raw[[#This Row],[Column9]]/1)</f>
        <v/>
      </c>
      <c r="M449" s="144" t="str">
        <f>IF(ISNONTEXT(node_raw[[#This Row],[Column10]]), "", node_raw[[#This Row],[Column10]]/1)</f>
        <v/>
      </c>
    </row>
    <row r="450" spans="2:13" ht="15.75" customHeight="1" x14ac:dyDescent="0.25">
      <c r="B450" s="30" t="str">
        <f>IF(ISNONTEXT(node_raw[[#This Row],[Column1]]), "", node_raw[[#This Row],[Column1]])</f>
        <v/>
      </c>
      <c r="C450" s="27" t="str">
        <f>IF(ISNONTEXT(node_raw[[#This Row],[Column2]]), "", node_raw[[#This Row],[Column2]])</f>
        <v/>
      </c>
      <c r="D450" s="54" t="str">
        <f>IF(ISNUMBER(node_raw[[#This Row],[Column3]]), node_raw[[#This Row],[Column3]],"")</f>
        <v/>
      </c>
      <c r="E450" s="57" t="str">
        <f>IF(ISNUMBER(node_raw[[#This Row],[Column4]]), node_raw[[#This Row],[Column4]]/1048576,"")</f>
        <v/>
      </c>
      <c r="F450" s="139" t="str">
        <f>IF(ISNUMBER(node_raw[[#This Row],[Column5]]), node_raw[[#This Row],[Column5]],"")</f>
        <v/>
      </c>
      <c r="G450" s="153" t="str">
        <f t="shared" si="12"/>
        <v/>
      </c>
      <c r="H450" s="140" t="str">
        <f>IF(ISNUMBER(node_raw[[#This Row],[Column6]]), node_raw[[#This Row],[Column6]]/1048576,"")</f>
        <v/>
      </c>
      <c r="I450" s="157" t="str">
        <f t="shared" si="13"/>
        <v/>
      </c>
      <c r="J450" s="141" t="str">
        <f>IF(ISNONTEXT(node_raw[[#This Row],[Column7]]), "", node_raw[[#This Row],[Column7]]/100)</f>
        <v/>
      </c>
      <c r="K450" s="142" t="str">
        <f>IF(ISNONTEXT(node_raw[[#This Row],[Column8]]), "", node_raw[[#This Row],[Column8]]/100)</f>
        <v/>
      </c>
      <c r="L450" s="143" t="str">
        <f>IF(ISNONTEXT(node_raw[[#This Row],[Column9]]), "", node_raw[[#This Row],[Column9]]/1)</f>
        <v/>
      </c>
      <c r="M450" s="144" t="str">
        <f>IF(ISNONTEXT(node_raw[[#This Row],[Column10]]), "", node_raw[[#This Row],[Column10]]/1)</f>
        <v/>
      </c>
    </row>
    <row r="451" spans="2:13" ht="15.75" customHeight="1" x14ac:dyDescent="0.25">
      <c r="B451" s="30" t="str">
        <f>IF(ISNONTEXT(node_raw[[#This Row],[Column1]]), "", node_raw[[#This Row],[Column1]])</f>
        <v/>
      </c>
      <c r="C451" s="27" t="str">
        <f>IF(ISNONTEXT(node_raw[[#This Row],[Column2]]), "", node_raw[[#This Row],[Column2]])</f>
        <v/>
      </c>
      <c r="D451" s="54" t="str">
        <f>IF(ISNUMBER(node_raw[[#This Row],[Column3]]), node_raw[[#This Row],[Column3]],"")</f>
        <v/>
      </c>
      <c r="E451" s="57" t="str">
        <f>IF(ISNUMBER(node_raw[[#This Row],[Column4]]), node_raw[[#This Row],[Column4]]/1048576,"")</f>
        <v/>
      </c>
      <c r="F451" s="139" t="str">
        <f>IF(ISNUMBER(node_raw[[#This Row],[Column5]]), node_raw[[#This Row],[Column5]],"")</f>
        <v/>
      </c>
      <c r="G451" s="153" t="str">
        <f t="shared" ref="G451:G500" si="14">IF(ISNUMBER(F451), F451/D451, "")</f>
        <v/>
      </c>
      <c r="H451" s="140" t="str">
        <f>IF(ISNUMBER(node_raw[[#This Row],[Column6]]), node_raw[[#This Row],[Column6]]/1048576,"")</f>
        <v/>
      </c>
      <c r="I451" s="157" t="str">
        <f t="shared" ref="I451:I500" si="15">IF(ISNUMBER(H451), H451/E451, "")</f>
        <v/>
      </c>
      <c r="J451" s="141" t="str">
        <f>IF(ISNONTEXT(node_raw[[#This Row],[Column7]]), "", node_raw[[#This Row],[Column7]]/100)</f>
        <v/>
      </c>
      <c r="K451" s="142" t="str">
        <f>IF(ISNONTEXT(node_raw[[#This Row],[Column8]]), "", node_raw[[#This Row],[Column8]]/100)</f>
        <v/>
      </c>
      <c r="L451" s="143" t="str">
        <f>IF(ISNONTEXT(node_raw[[#This Row],[Column9]]), "", node_raw[[#This Row],[Column9]]/1)</f>
        <v/>
      </c>
      <c r="M451" s="144" t="str">
        <f>IF(ISNONTEXT(node_raw[[#This Row],[Column10]]), "", node_raw[[#This Row],[Column10]]/1)</f>
        <v/>
      </c>
    </row>
    <row r="452" spans="2:13" ht="15.75" customHeight="1" x14ac:dyDescent="0.25">
      <c r="B452" s="30" t="str">
        <f>IF(ISNONTEXT(node_raw[[#This Row],[Column1]]), "", node_raw[[#This Row],[Column1]])</f>
        <v/>
      </c>
      <c r="C452" s="27" t="str">
        <f>IF(ISNONTEXT(node_raw[[#This Row],[Column2]]), "", node_raw[[#This Row],[Column2]])</f>
        <v/>
      </c>
      <c r="D452" s="54" t="str">
        <f>IF(ISNUMBER(node_raw[[#This Row],[Column3]]), node_raw[[#This Row],[Column3]],"")</f>
        <v/>
      </c>
      <c r="E452" s="57" t="str">
        <f>IF(ISNUMBER(node_raw[[#This Row],[Column4]]), node_raw[[#This Row],[Column4]]/1048576,"")</f>
        <v/>
      </c>
      <c r="F452" s="139" t="str">
        <f>IF(ISNUMBER(node_raw[[#This Row],[Column5]]), node_raw[[#This Row],[Column5]],"")</f>
        <v/>
      </c>
      <c r="G452" s="153" t="str">
        <f t="shared" si="14"/>
        <v/>
      </c>
      <c r="H452" s="140" t="str">
        <f>IF(ISNUMBER(node_raw[[#This Row],[Column6]]), node_raw[[#This Row],[Column6]]/1048576,"")</f>
        <v/>
      </c>
      <c r="I452" s="157" t="str">
        <f t="shared" si="15"/>
        <v/>
      </c>
      <c r="J452" s="141" t="str">
        <f>IF(ISNONTEXT(node_raw[[#This Row],[Column7]]), "", node_raw[[#This Row],[Column7]]/100)</f>
        <v/>
      </c>
      <c r="K452" s="142" t="str">
        <f>IF(ISNONTEXT(node_raw[[#This Row],[Column8]]), "", node_raw[[#This Row],[Column8]]/100)</f>
        <v/>
      </c>
      <c r="L452" s="143" t="str">
        <f>IF(ISNONTEXT(node_raw[[#This Row],[Column9]]), "", node_raw[[#This Row],[Column9]]/1)</f>
        <v/>
      </c>
      <c r="M452" s="144" t="str">
        <f>IF(ISNONTEXT(node_raw[[#This Row],[Column10]]), "", node_raw[[#This Row],[Column10]]/1)</f>
        <v/>
      </c>
    </row>
    <row r="453" spans="2:13" ht="15.75" customHeight="1" x14ac:dyDescent="0.25">
      <c r="B453" s="30" t="str">
        <f>IF(ISNONTEXT(node_raw[[#This Row],[Column1]]), "", node_raw[[#This Row],[Column1]])</f>
        <v/>
      </c>
      <c r="C453" s="27" t="str">
        <f>IF(ISNONTEXT(node_raw[[#This Row],[Column2]]), "", node_raw[[#This Row],[Column2]])</f>
        <v/>
      </c>
      <c r="D453" s="54" t="str">
        <f>IF(ISNUMBER(node_raw[[#This Row],[Column3]]), node_raw[[#This Row],[Column3]],"")</f>
        <v/>
      </c>
      <c r="E453" s="57" t="str">
        <f>IF(ISNUMBER(node_raw[[#This Row],[Column4]]), node_raw[[#This Row],[Column4]]/1048576,"")</f>
        <v/>
      </c>
      <c r="F453" s="139" t="str">
        <f>IF(ISNUMBER(node_raw[[#This Row],[Column5]]), node_raw[[#This Row],[Column5]],"")</f>
        <v/>
      </c>
      <c r="G453" s="153" t="str">
        <f t="shared" si="14"/>
        <v/>
      </c>
      <c r="H453" s="140" t="str">
        <f>IF(ISNUMBER(node_raw[[#This Row],[Column6]]), node_raw[[#This Row],[Column6]]/1048576,"")</f>
        <v/>
      </c>
      <c r="I453" s="157" t="str">
        <f t="shared" si="15"/>
        <v/>
      </c>
      <c r="J453" s="141" t="str">
        <f>IF(ISNONTEXT(node_raw[[#This Row],[Column7]]), "", node_raw[[#This Row],[Column7]]/100)</f>
        <v/>
      </c>
      <c r="K453" s="142" t="str">
        <f>IF(ISNONTEXT(node_raw[[#This Row],[Column8]]), "", node_raw[[#This Row],[Column8]]/100)</f>
        <v/>
      </c>
      <c r="L453" s="143" t="str">
        <f>IF(ISNONTEXT(node_raw[[#This Row],[Column9]]), "", node_raw[[#This Row],[Column9]]/1)</f>
        <v/>
      </c>
      <c r="M453" s="144" t="str">
        <f>IF(ISNONTEXT(node_raw[[#This Row],[Column10]]), "", node_raw[[#This Row],[Column10]]/1)</f>
        <v/>
      </c>
    </row>
    <row r="454" spans="2:13" ht="15.75" customHeight="1" x14ac:dyDescent="0.25">
      <c r="B454" s="30" t="str">
        <f>IF(ISNONTEXT(node_raw[[#This Row],[Column1]]), "", node_raw[[#This Row],[Column1]])</f>
        <v/>
      </c>
      <c r="C454" s="27" t="str">
        <f>IF(ISNONTEXT(node_raw[[#This Row],[Column2]]), "", node_raw[[#This Row],[Column2]])</f>
        <v/>
      </c>
      <c r="D454" s="54" t="str">
        <f>IF(ISNUMBER(node_raw[[#This Row],[Column3]]), node_raw[[#This Row],[Column3]],"")</f>
        <v/>
      </c>
      <c r="E454" s="57" t="str">
        <f>IF(ISNUMBER(node_raw[[#This Row],[Column4]]), node_raw[[#This Row],[Column4]]/1048576,"")</f>
        <v/>
      </c>
      <c r="F454" s="139" t="str">
        <f>IF(ISNUMBER(node_raw[[#This Row],[Column5]]), node_raw[[#This Row],[Column5]],"")</f>
        <v/>
      </c>
      <c r="G454" s="153" t="str">
        <f t="shared" si="14"/>
        <v/>
      </c>
      <c r="H454" s="140" t="str">
        <f>IF(ISNUMBER(node_raw[[#This Row],[Column6]]), node_raw[[#This Row],[Column6]]/1048576,"")</f>
        <v/>
      </c>
      <c r="I454" s="157" t="str">
        <f t="shared" si="15"/>
        <v/>
      </c>
      <c r="J454" s="141" t="str">
        <f>IF(ISNONTEXT(node_raw[[#This Row],[Column7]]), "", node_raw[[#This Row],[Column7]]/100)</f>
        <v/>
      </c>
      <c r="K454" s="142" t="str">
        <f>IF(ISNONTEXT(node_raw[[#This Row],[Column8]]), "", node_raw[[#This Row],[Column8]]/100)</f>
        <v/>
      </c>
      <c r="L454" s="143" t="str">
        <f>IF(ISNONTEXT(node_raw[[#This Row],[Column9]]), "", node_raw[[#This Row],[Column9]]/1)</f>
        <v/>
      </c>
      <c r="M454" s="144" t="str">
        <f>IF(ISNONTEXT(node_raw[[#This Row],[Column10]]), "", node_raw[[#This Row],[Column10]]/1)</f>
        <v/>
      </c>
    </row>
    <row r="455" spans="2:13" ht="15.75" customHeight="1" x14ac:dyDescent="0.25">
      <c r="B455" s="30" t="str">
        <f>IF(ISNONTEXT(node_raw[[#This Row],[Column1]]), "", node_raw[[#This Row],[Column1]])</f>
        <v/>
      </c>
      <c r="C455" s="27" t="str">
        <f>IF(ISNONTEXT(node_raw[[#This Row],[Column2]]), "", node_raw[[#This Row],[Column2]])</f>
        <v/>
      </c>
      <c r="D455" s="54" t="str">
        <f>IF(ISNUMBER(node_raw[[#This Row],[Column3]]), node_raw[[#This Row],[Column3]],"")</f>
        <v/>
      </c>
      <c r="E455" s="57" t="str">
        <f>IF(ISNUMBER(node_raw[[#This Row],[Column4]]), node_raw[[#This Row],[Column4]]/1048576,"")</f>
        <v/>
      </c>
      <c r="F455" s="139" t="str">
        <f>IF(ISNUMBER(node_raw[[#This Row],[Column5]]), node_raw[[#This Row],[Column5]],"")</f>
        <v/>
      </c>
      <c r="G455" s="153" t="str">
        <f t="shared" si="14"/>
        <v/>
      </c>
      <c r="H455" s="140" t="str">
        <f>IF(ISNUMBER(node_raw[[#This Row],[Column6]]), node_raw[[#This Row],[Column6]]/1048576,"")</f>
        <v/>
      </c>
      <c r="I455" s="157" t="str">
        <f t="shared" si="15"/>
        <v/>
      </c>
      <c r="J455" s="141" t="str">
        <f>IF(ISNONTEXT(node_raw[[#This Row],[Column7]]), "", node_raw[[#This Row],[Column7]]/100)</f>
        <v/>
      </c>
      <c r="K455" s="142" t="str">
        <f>IF(ISNONTEXT(node_raw[[#This Row],[Column8]]), "", node_raw[[#This Row],[Column8]]/100)</f>
        <v/>
      </c>
      <c r="L455" s="143" t="str">
        <f>IF(ISNONTEXT(node_raw[[#This Row],[Column9]]), "", node_raw[[#This Row],[Column9]]/1)</f>
        <v/>
      </c>
      <c r="M455" s="144" t="str">
        <f>IF(ISNONTEXT(node_raw[[#This Row],[Column10]]), "", node_raw[[#This Row],[Column10]]/1)</f>
        <v/>
      </c>
    </row>
    <row r="456" spans="2:13" ht="15.75" customHeight="1" x14ac:dyDescent="0.25">
      <c r="B456" s="30" t="str">
        <f>IF(ISNONTEXT(node_raw[[#This Row],[Column1]]), "", node_raw[[#This Row],[Column1]])</f>
        <v/>
      </c>
      <c r="C456" s="27" t="str">
        <f>IF(ISNONTEXT(node_raw[[#This Row],[Column2]]), "", node_raw[[#This Row],[Column2]])</f>
        <v/>
      </c>
      <c r="D456" s="54" t="str">
        <f>IF(ISNUMBER(node_raw[[#This Row],[Column3]]), node_raw[[#This Row],[Column3]],"")</f>
        <v/>
      </c>
      <c r="E456" s="57" t="str">
        <f>IF(ISNUMBER(node_raw[[#This Row],[Column4]]), node_raw[[#This Row],[Column4]]/1048576,"")</f>
        <v/>
      </c>
      <c r="F456" s="139" t="str">
        <f>IF(ISNUMBER(node_raw[[#This Row],[Column5]]), node_raw[[#This Row],[Column5]],"")</f>
        <v/>
      </c>
      <c r="G456" s="153" t="str">
        <f t="shared" si="14"/>
        <v/>
      </c>
      <c r="H456" s="140" t="str">
        <f>IF(ISNUMBER(node_raw[[#This Row],[Column6]]), node_raw[[#This Row],[Column6]]/1048576,"")</f>
        <v/>
      </c>
      <c r="I456" s="157" t="str">
        <f t="shared" si="15"/>
        <v/>
      </c>
      <c r="J456" s="141" t="str">
        <f>IF(ISNONTEXT(node_raw[[#This Row],[Column7]]), "", node_raw[[#This Row],[Column7]]/100)</f>
        <v/>
      </c>
      <c r="K456" s="142" t="str">
        <f>IF(ISNONTEXT(node_raw[[#This Row],[Column8]]), "", node_raw[[#This Row],[Column8]]/100)</f>
        <v/>
      </c>
      <c r="L456" s="143" t="str">
        <f>IF(ISNONTEXT(node_raw[[#This Row],[Column9]]), "", node_raw[[#This Row],[Column9]]/1)</f>
        <v/>
      </c>
      <c r="M456" s="144" t="str">
        <f>IF(ISNONTEXT(node_raw[[#This Row],[Column10]]), "", node_raw[[#This Row],[Column10]]/1)</f>
        <v/>
      </c>
    </row>
    <row r="457" spans="2:13" ht="15.75" customHeight="1" x14ac:dyDescent="0.25">
      <c r="B457" s="30" t="str">
        <f>IF(ISNONTEXT(node_raw[[#This Row],[Column1]]), "", node_raw[[#This Row],[Column1]])</f>
        <v/>
      </c>
      <c r="C457" s="27" t="str">
        <f>IF(ISNONTEXT(node_raw[[#This Row],[Column2]]), "", node_raw[[#This Row],[Column2]])</f>
        <v/>
      </c>
      <c r="D457" s="54" t="str">
        <f>IF(ISNUMBER(node_raw[[#This Row],[Column3]]), node_raw[[#This Row],[Column3]],"")</f>
        <v/>
      </c>
      <c r="E457" s="57" t="str">
        <f>IF(ISNUMBER(node_raw[[#This Row],[Column4]]), node_raw[[#This Row],[Column4]]/1048576,"")</f>
        <v/>
      </c>
      <c r="F457" s="139" t="str">
        <f>IF(ISNUMBER(node_raw[[#This Row],[Column5]]), node_raw[[#This Row],[Column5]],"")</f>
        <v/>
      </c>
      <c r="G457" s="153" t="str">
        <f t="shared" si="14"/>
        <v/>
      </c>
      <c r="H457" s="140" t="str">
        <f>IF(ISNUMBER(node_raw[[#This Row],[Column6]]), node_raw[[#This Row],[Column6]]/1048576,"")</f>
        <v/>
      </c>
      <c r="I457" s="157" t="str">
        <f t="shared" si="15"/>
        <v/>
      </c>
      <c r="J457" s="141" t="str">
        <f>IF(ISNONTEXT(node_raw[[#This Row],[Column7]]), "", node_raw[[#This Row],[Column7]]/100)</f>
        <v/>
      </c>
      <c r="K457" s="142" t="str">
        <f>IF(ISNONTEXT(node_raw[[#This Row],[Column8]]), "", node_raw[[#This Row],[Column8]]/100)</f>
        <v/>
      </c>
      <c r="L457" s="143" t="str">
        <f>IF(ISNONTEXT(node_raw[[#This Row],[Column9]]), "", node_raw[[#This Row],[Column9]]/1)</f>
        <v/>
      </c>
      <c r="M457" s="144" t="str">
        <f>IF(ISNONTEXT(node_raw[[#This Row],[Column10]]), "", node_raw[[#This Row],[Column10]]/1)</f>
        <v/>
      </c>
    </row>
    <row r="458" spans="2:13" ht="15.75" customHeight="1" x14ac:dyDescent="0.25">
      <c r="B458" s="30" t="str">
        <f>IF(ISNONTEXT(node_raw[[#This Row],[Column1]]), "", node_raw[[#This Row],[Column1]])</f>
        <v/>
      </c>
      <c r="C458" s="27" t="str">
        <f>IF(ISNONTEXT(node_raw[[#This Row],[Column2]]), "", node_raw[[#This Row],[Column2]])</f>
        <v/>
      </c>
      <c r="D458" s="54" t="str">
        <f>IF(ISNUMBER(node_raw[[#This Row],[Column3]]), node_raw[[#This Row],[Column3]],"")</f>
        <v/>
      </c>
      <c r="E458" s="57" t="str">
        <f>IF(ISNUMBER(node_raw[[#This Row],[Column4]]), node_raw[[#This Row],[Column4]]/1048576,"")</f>
        <v/>
      </c>
      <c r="F458" s="139" t="str">
        <f>IF(ISNUMBER(node_raw[[#This Row],[Column5]]), node_raw[[#This Row],[Column5]],"")</f>
        <v/>
      </c>
      <c r="G458" s="153" t="str">
        <f t="shared" si="14"/>
        <v/>
      </c>
      <c r="H458" s="140" t="str">
        <f>IF(ISNUMBER(node_raw[[#This Row],[Column6]]), node_raw[[#This Row],[Column6]]/1048576,"")</f>
        <v/>
      </c>
      <c r="I458" s="157" t="str">
        <f t="shared" si="15"/>
        <v/>
      </c>
      <c r="J458" s="141" t="str">
        <f>IF(ISNONTEXT(node_raw[[#This Row],[Column7]]), "", node_raw[[#This Row],[Column7]]/100)</f>
        <v/>
      </c>
      <c r="K458" s="142" t="str">
        <f>IF(ISNONTEXT(node_raw[[#This Row],[Column8]]), "", node_raw[[#This Row],[Column8]]/100)</f>
        <v/>
      </c>
      <c r="L458" s="143" t="str">
        <f>IF(ISNONTEXT(node_raw[[#This Row],[Column9]]), "", node_raw[[#This Row],[Column9]]/1)</f>
        <v/>
      </c>
      <c r="M458" s="144" t="str">
        <f>IF(ISNONTEXT(node_raw[[#This Row],[Column10]]), "", node_raw[[#This Row],[Column10]]/1)</f>
        <v/>
      </c>
    </row>
    <row r="459" spans="2:13" ht="15.75" customHeight="1" x14ac:dyDescent="0.25">
      <c r="B459" s="30" t="str">
        <f>IF(ISNONTEXT(node_raw[[#This Row],[Column1]]), "", node_raw[[#This Row],[Column1]])</f>
        <v/>
      </c>
      <c r="C459" s="27" t="str">
        <f>IF(ISNONTEXT(node_raw[[#This Row],[Column2]]), "", node_raw[[#This Row],[Column2]])</f>
        <v/>
      </c>
      <c r="D459" s="54" t="str">
        <f>IF(ISNUMBER(node_raw[[#This Row],[Column3]]), node_raw[[#This Row],[Column3]],"")</f>
        <v/>
      </c>
      <c r="E459" s="57" t="str">
        <f>IF(ISNUMBER(node_raw[[#This Row],[Column4]]), node_raw[[#This Row],[Column4]]/1048576,"")</f>
        <v/>
      </c>
      <c r="F459" s="139" t="str">
        <f>IF(ISNUMBER(node_raw[[#This Row],[Column5]]), node_raw[[#This Row],[Column5]],"")</f>
        <v/>
      </c>
      <c r="G459" s="153" t="str">
        <f t="shared" si="14"/>
        <v/>
      </c>
      <c r="H459" s="140" t="str">
        <f>IF(ISNUMBER(node_raw[[#This Row],[Column6]]), node_raw[[#This Row],[Column6]]/1048576,"")</f>
        <v/>
      </c>
      <c r="I459" s="157" t="str">
        <f t="shared" si="15"/>
        <v/>
      </c>
      <c r="J459" s="141" t="str">
        <f>IF(ISNONTEXT(node_raw[[#This Row],[Column7]]), "", node_raw[[#This Row],[Column7]]/100)</f>
        <v/>
      </c>
      <c r="K459" s="142" t="str">
        <f>IF(ISNONTEXT(node_raw[[#This Row],[Column8]]), "", node_raw[[#This Row],[Column8]]/100)</f>
        <v/>
      </c>
      <c r="L459" s="143" t="str">
        <f>IF(ISNONTEXT(node_raw[[#This Row],[Column9]]), "", node_raw[[#This Row],[Column9]]/1)</f>
        <v/>
      </c>
      <c r="M459" s="144" t="str">
        <f>IF(ISNONTEXT(node_raw[[#This Row],[Column10]]), "", node_raw[[#This Row],[Column10]]/1)</f>
        <v/>
      </c>
    </row>
    <row r="460" spans="2:13" ht="15.75" customHeight="1" x14ac:dyDescent="0.25">
      <c r="B460" s="30" t="str">
        <f>IF(ISNONTEXT(node_raw[[#This Row],[Column1]]), "", node_raw[[#This Row],[Column1]])</f>
        <v/>
      </c>
      <c r="C460" s="27" t="str">
        <f>IF(ISNONTEXT(node_raw[[#This Row],[Column2]]), "", node_raw[[#This Row],[Column2]])</f>
        <v/>
      </c>
      <c r="D460" s="54" t="str">
        <f>IF(ISNUMBER(node_raw[[#This Row],[Column3]]), node_raw[[#This Row],[Column3]],"")</f>
        <v/>
      </c>
      <c r="E460" s="57" t="str">
        <f>IF(ISNUMBER(node_raw[[#This Row],[Column4]]), node_raw[[#This Row],[Column4]]/1048576,"")</f>
        <v/>
      </c>
      <c r="F460" s="139" t="str">
        <f>IF(ISNUMBER(node_raw[[#This Row],[Column5]]), node_raw[[#This Row],[Column5]],"")</f>
        <v/>
      </c>
      <c r="G460" s="153" t="str">
        <f t="shared" si="14"/>
        <v/>
      </c>
      <c r="H460" s="140" t="str">
        <f>IF(ISNUMBER(node_raw[[#This Row],[Column6]]), node_raw[[#This Row],[Column6]]/1048576,"")</f>
        <v/>
      </c>
      <c r="I460" s="157" t="str">
        <f t="shared" si="15"/>
        <v/>
      </c>
      <c r="J460" s="141" t="str">
        <f>IF(ISNONTEXT(node_raw[[#This Row],[Column7]]), "", node_raw[[#This Row],[Column7]]/100)</f>
        <v/>
      </c>
      <c r="K460" s="142" t="str">
        <f>IF(ISNONTEXT(node_raw[[#This Row],[Column8]]), "", node_raw[[#This Row],[Column8]]/100)</f>
        <v/>
      </c>
      <c r="L460" s="143" t="str">
        <f>IF(ISNONTEXT(node_raw[[#This Row],[Column9]]), "", node_raw[[#This Row],[Column9]]/1)</f>
        <v/>
      </c>
      <c r="M460" s="144" t="str">
        <f>IF(ISNONTEXT(node_raw[[#This Row],[Column10]]), "", node_raw[[#This Row],[Column10]]/1)</f>
        <v/>
      </c>
    </row>
    <row r="461" spans="2:13" ht="15.75" customHeight="1" x14ac:dyDescent="0.25">
      <c r="B461" s="30" t="str">
        <f>IF(ISNONTEXT(node_raw[[#This Row],[Column1]]), "", node_raw[[#This Row],[Column1]])</f>
        <v/>
      </c>
      <c r="C461" s="27" t="str">
        <f>IF(ISNONTEXT(node_raw[[#This Row],[Column2]]), "", node_raw[[#This Row],[Column2]])</f>
        <v/>
      </c>
      <c r="D461" s="54" t="str">
        <f>IF(ISNUMBER(node_raw[[#This Row],[Column3]]), node_raw[[#This Row],[Column3]],"")</f>
        <v/>
      </c>
      <c r="E461" s="57" t="str">
        <f>IF(ISNUMBER(node_raw[[#This Row],[Column4]]), node_raw[[#This Row],[Column4]]/1048576,"")</f>
        <v/>
      </c>
      <c r="F461" s="139" t="str">
        <f>IF(ISNUMBER(node_raw[[#This Row],[Column5]]), node_raw[[#This Row],[Column5]],"")</f>
        <v/>
      </c>
      <c r="G461" s="153" t="str">
        <f t="shared" si="14"/>
        <v/>
      </c>
      <c r="H461" s="140" t="str">
        <f>IF(ISNUMBER(node_raw[[#This Row],[Column6]]), node_raw[[#This Row],[Column6]]/1048576,"")</f>
        <v/>
      </c>
      <c r="I461" s="157" t="str">
        <f t="shared" si="15"/>
        <v/>
      </c>
      <c r="J461" s="141" t="str">
        <f>IF(ISNONTEXT(node_raw[[#This Row],[Column7]]), "", node_raw[[#This Row],[Column7]]/100)</f>
        <v/>
      </c>
      <c r="K461" s="142" t="str">
        <f>IF(ISNONTEXT(node_raw[[#This Row],[Column8]]), "", node_raw[[#This Row],[Column8]]/100)</f>
        <v/>
      </c>
      <c r="L461" s="143" t="str">
        <f>IF(ISNONTEXT(node_raw[[#This Row],[Column9]]), "", node_raw[[#This Row],[Column9]]/1)</f>
        <v/>
      </c>
      <c r="M461" s="144" t="str">
        <f>IF(ISNONTEXT(node_raw[[#This Row],[Column10]]), "", node_raw[[#This Row],[Column10]]/1)</f>
        <v/>
      </c>
    </row>
    <row r="462" spans="2:13" ht="15.75" customHeight="1" x14ac:dyDescent="0.25">
      <c r="B462" s="30" t="str">
        <f>IF(ISNONTEXT(node_raw[[#This Row],[Column1]]), "", node_raw[[#This Row],[Column1]])</f>
        <v/>
      </c>
      <c r="C462" s="27" t="str">
        <f>IF(ISNONTEXT(node_raw[[#This Row],[Column2]]), "", node_raw[[#This Row],[Column2]])</f>
        <v/>
      </c>
      <c r="D462" s="54" t="str">
        <f>IF(ISNUMBER(node_raw[[#This Row],[Column3]]), node_raw[[#This Row],[Column3]],"")</f>
        <v/>
      </c>
      <c r="E462" s="57" t="str">
        <f>IF(ISNUMBER(node_raw[[#This Row],[Column4]]), node_raw[[#This Row],[Column4]]/1048576,"")</f>
        <v/>
      </c>
      <c r="F462" s="139" t="str">
        <f>IF(ISNUMBER(node_raw[[#This Row],[Column5]]), node_raw[[#This Row],[Column5]],"")</f>
        <v/>
      </c>
      <c r="G462" s="153" t="str">
        <f t="shared" si="14"/>
        <v/>
      </c>
      <c r="H462" s="140" t="str">
        <f>IF(ISNUMBER(node_raw[[#This Row],[Column6]]), node_raw[[#This Row],[Column6]]/1048576,"")</f>
        <v/>
      </c>
      <c r="I462" s="157" t="str">
        <f t="shared" si="15"/>
        <v/>
      </c>
      <c r="J462" s="141" t="str">
        <f>IF(ISNONTEXT(node_raw[[#This Row],[Column7]]), "", node_raw[[#This Row],[Column7]]/100)</f>
        <v/>
      </c>
      <c r="K462" s="142" t="str">
        <f>IF(ISNONTEXT(node_raw[[#This Row],[Column8]]), "", node_raw[[#This Row],[Column8]]/100)</f>
        <v/>
      </c>
      <c r="L462" s="143" t="str">
        <f>IF(ISNONTEXT(node_raw[[#This Row],[Column9]]), "", node_raw[[#This Row],[Column9]]/1)</f>
        <v/>
      </c>
      <c r="M462" s="144" t="str">
        <f>IF(ISNONTEXT(node_raw[[#This Row],[Column10]]), "", node_raw[[#This Row],[Column10]]/1)</f>
        <v/>
      </c>
    </row>
    <row r="463" spans="2:13" ht="15.75" customHeight="1" x14ac:dyDescent="0.25">
      <c r="B463" s="30" t="str">
        <f>IF(ISNONTEXT(node_raw[[#This Row],[Column1]]), "", node_raw[[#This Row],[Column1]])</f>
        <v/>
      </c>
      <c r="C463" s="27" t="str">
        <f>IF(ISNONTEXT(node_raw[[#This Row],[Column2]]), "", node_raw[[#This Row],[Column2]])</f>
        <v/>
      </c>
      <c r="D463" s="54" t="str">
        <f>IF(ISNUMBER(node_raw[[#This Row],[Column3]]), node_raw[[#This Row],[Column3]],"")</f>
        <v/>
      </c>
      <c r="E463" s="57" t="str">
        <f>IF(ISNUMBER(node_raw[[#This Row],[Column4]]), node_raw[[#This Row],[Column4]]/1048576,"")</f>
        <v/>
      </c>
      <c r="F463" s="139" t="str">
        <f>IF(ISNUMBER(node_raw[[#This Row],[Column5]]), node_raw[[#This Row],[Column5]],"")</f>
        <v/>
      </c>
      <c r="G463" s="153" t="str">
        <f t="shared" si="14"/>
        <v/>
      </c>
      <c r="H463" s="140" t="str">
        <f>IF(ISNUMBER(node_raw[[#This Row],[Column6]]), node_raw[[#This Row],[Column6]]/1048576,"")</f>
        <v/>
      </c>
      <c r="I463" s="157" t="str">
        <f t="shared" si="15"/>
        <v/>
      </c>
      <c r="J463" s="141" t="str">
        <f>IF(ISNONTEXT(node_raw[[#This Row],[Column7]]), "", node_raw[[#This Row],[Column7]]/100)</f>
        <v/>
      </c>
      <c r="K463" s="142" t="str">
        <f>IF(ISNONTEXT(node_raw[[#This Row],[Column8]]), "", node_raw[[#This Row],[Column8]]/100)</f>
        <v/>
      </c>
      <c r="L463" s="143" t="str">
        <f>IF(ISNONTEXT(node_raw[[#This Row],[Column9]]), "", node_raw[[#This Row],[Column9]]/1)</f>
        <v/>
      </c>
      <c r="M463" s="144" t="str">
        <f>IF(ISNONTEXT(node_raw[[#This Row],[Column10]]), "", node_raw[[#This Row],[Column10]]/1)</f>
        <v/>
      </c>
    </row>
    <row r="464" spans="2:13" ht="15.75" customHeight="1" x14ac:dyDescent="0.25">
      <c r="B464" s="30" t="str">
        <f>IF(ISNONTEXT(node_raw[[#This Row],[Column1]]), "", node_raw[[#This Row],[Column1]])</f>
        <v/>
      </c>
      <c r="C464" s="27" t="str">
        <f>IF(ISNONTEXT(node_raw[[#This Row],[Column2]]), "", node_raw[[#This Row],[Column2]])</f>
        <v/>
      </c>
      <c r="D464" s="54" t="str">
        <f>IF(ISNUMBER(node_raw[[#This Row],[Column3]]), node_raw[[#This Row],[Column3]],"")</f>
        <v/>
      </c>
      <c r="E464" s="57" t="str">
        <f>IF(ISNUMBER(node_raw[[#This Row],[Column4]]), node_raw[[#This Row],[Column4]]/1048576,"")</f>
        <v/>
      </c>
      <c r="F464" s="139" t="str">
        <f>IF(ISNUMBER(node_raw[[#This Row],[Column5]]), node_raw[[#This Row],[Column5]],"")</f>
        <v/>
      </c>
      <c r="G464" s="153" t="str">
        <f t="shared" si="14"/>
        <v/>
      </c>
      <c r="H464" s="140" t="str">
        <f>IF(ISNUMBER(node_raw[[#This Row],[Column6]]), node_raw[[#This Row],[Column6]]/1048576,"")</f>
        <v/>
      </c>
      <c r="I464" s="157" t="str">
        <f t="shared" si="15"/>
        <v/>
      </c>
      <c r="J464" s="141" t="str">
        <f>IF(ISNONTEXT(node_raw[[#This Row],[Column7]]), "", node_raw[[#This Row],[Column7]]/100)</f>
        <v/>
      </c>
      <c r="K464" s="142" t="str">
        <f>IF(ISNONTEXT(node_raw[[#This Row],[Column8]]), "", node_raw[[#This Row],[Column8]]/100)</f>
        <v/>
      </c>
      <c r="L464" s="143" t="str">
        <f>IF(ISNONTEXT(node_raw[[#This Row],[Column9]]), "", node_raw[[#This Row],[Column9]]/1)</f>
        <v/>
      </c>
      <c r="M464" s="144" t="str">
        <f>IF(ISNONTEXT(node_raw[[#This Row],[Column10]]), "", node_raw[[#This Row],[Column10]]/1)</f>
        <v/>
      </c>
    </row>
    <row r="465" spans="2:13" ht="15.75" customHeight="1" x14ac:dyDescent="0.25">
      <c r="B465" s="30" t="str">
        <f>IF(ISNONTEXT(node_raw[[#This Row],[Column1]]), "", node_raw[[#This Row],[Column1]])</f>
        <v/>
      </c>
      <c r="C465" s="27" t="str">
        <f>IF(ISNONTEXT(node_raw[[#This Row],[Column2]]), "", node_raw[[#This Row],[Column2]])</f>
        <v/>
      </c>
      <c r="D465" s="54" t="str">
        <f>IF(ISNUMBER(node_raw[[#This Row],[Column3]]), node_raw[[#This Row],[Column3]],"")</f>
        <v/>
      </c>
      <c r="E465" s="57" t="str">
        <f>IF(ISNUMBER(node_raw[[#This Row],[Column4]]), node_raw[[#This Row],[Column4]]/1048576,"")</f>
        <v/>
      </c>
      <c r="F465" s="139" t="str">
        <f>IF(ISNUMBER(node_raw[[#This Row],[Column5]]), node_raw[[#This Row],[Column5]],"")</f>
        <v/>
      </c>
      <c r="G465" s="153" t="str">
        <f t="shared" si="14"/>
        <v/>
      </c>
      <c r="H465" s="140" t="str">
        <f>IF(ISNUMBER(node_raw[[#This Row],[Column6]]), node_raw[[#This Row],[Column6]]/1048576,"")</f>
        <v/>
      </c>
      <c r="I465" s="157" t="str">
        <f t="shared" si="15"/>
        <v/>
      </c>
      <c r="J465" s="141" t="str">
        <f>IF(ISNONTEXT(node_raw[[#This Row],[Column7]]), "", node_raw[[#This Row],[Column7]]/100)</f>
        <v/>
      </c>
      <c r="K465" s="142" t="str">
        <f>IF(ISNONTEXT(node_raw[[#This Row],[Column8]]), "", node_raw[[#This Row],[Column8]]/100)</f>
        <v/>
      </c>
      <c r="L465" s="143" t="str">
        <f>IF(ISNONTEXT(node_raw[[#This Row],[Column9]]), "", node_raw[[#This Row],[Column9]]/1)</f>
        <v/>
      </c>
      <c r="M465" s="144" t="str">
        <f>IF(ISNONTEXT(node_raw[[#This Row],[Column10]]), "", node_raw[[#This Row],[Column10]]/1)</f>
        <v/>
      </c>
    </row>
    <row r="466" spans="2:13" ht="15.75" customHeight="1" x14ac:dyDescent="0.25">
      <c r="B466" s="30" t="str">
        <f>IF(ISNONTEXT(node_raw[[#This Row],[Column1]]), "", node_raw[[#This Row],[Column1]])</f>
        <v/>
      </c>
      <c r="C466" s="27" t="str">
        <f>IF(ISNONTEXT(node_raw[[#This Row],[Column2]]), "", node_raw[[#This Row],[Column2]])</f>
        <v/>
      </c>
      <c r="D466" s="54" t="str">
        <f>IF(ISNUMBER(node_raw[[#This Row],[Column3]]), node_raw[[#This Row],[Column3]],"")</f>
        <v/>
      </c>
      <c r="E466" s="57" t="str">
        <f>IF(ISNUMBER(node_raw[[#This Row],[Column4]]), node_raw[[#This Row],[Column4]]/1048576,"")</f>
        <v/>
      </c>
      <c r="F466" s="139" t="str">
        <f>IF(ISNUMBER(node_raw[[#This Row],[Column5]]), node_raw[[#This Row],[Column5]],"")</f>
        <v/>
      </c>
      <c r="G466" s="153" t="str">
        <f t="shared" si="14"/>
        <v/>
      </c>
      <c r="H466" s="140" t="str">
        <f>IF(ISNUMBER(node_raw[[#This Row],[Column6]]), node_raw[[#This Row],[Column6]]/1048576,"")</f>
        <v/>
      </c>
      <c r="I466" s="157" t="str">
        <f t="shared" si="15"/>
        <v/>
      </c>
      <c r="J466" s="141" t="str">
        <f>IF(ISNONTEXT(node_raw[[#This Row],[Column7]]), "", node_raw[[#This Row],[Column7]]/100)</f>
        <v/>
      </c>
      <c r="K466" s="142" t="str">
        <f>IF(ISNONTEXT(node_raw[[#This Row],[Column8]]), "", node_raw[[#This Row],[Column8]]/100)</f>
        <v/>
      </c>
      <c r="L466" s="143" t="str">
        <f>IF(ISNONTEXT(node_raw[[#This Row],[Column9]]), "", node_raw[[#This Row],[Column9]]/1)</f>
        <v/>
      </c>
      <c r="M466" s="144" t="str">
        <f>IF(ISNONTEXT(node_raw[[#This Row],[Column10]]), "", node_raw[[#This Row],[Column10]]/1)</f>
        <v/>
      </c>
    </row>
    <row r="467" spans="2:13" ht="15.75" customHeight="1" x14ac:dyDescent="0.25">
      <c r="B467" s="30" t="str">
        <f>IF(ISNONTEXT(node_raw[[#This Row],[Column1]]), "", node_raw[[#This Row],[Column1]])</f>
        <v/>
      </c>
      <c r="C467" s="27" t="str">
        <f>IF(ISNONTEXT(node_raw[[#This Row],[Column2]]), "", node_raw[[#This Row],[Column2]])</f>
        <v/>
      </c>
      <c r="D467" s="54" t="str">
        <f>IF(ISNUMBER(node_raw[[#This Row],[Column3]]), node_raw[[#This Row],[Column3]],"")</f>
        <v/>
      </c>
      <c r="E467" s="57" t="str">
        <f>IF(ISNUMBER(node_raw[[#This Row],[Column4]]), node_raw[[#This Row],[Column4]]/1048576,"")</f>
        <v/>
      </c>
      <c r="F467" s="139" t="str">
        <f>IF(ISNUMBER(node_raw[[#This Row],[Column5]]), node_raw[[#This Row],[Column5]],"")</f>
        <v/>
      </c>
      <c r="G467" s="153" t="str">
        <f t="shared" si="14"/>
        <v/>
      </c>
      <c r="H467" s="140" t="str">
        <f>IF(ISNUMBER(node_raw[[#This Row],[Column6]]), node_raw[[#This Row],[Column6]]/1048576,"")</f>
        <v/>
      </c>
      <c r="I467" s="157" t="str">
        <f t="shared" si="15"/>
        <v/>
      </c>
      <c r="J467" s="141" t="str">
        <f>IF(ISNONTEXT(node_raw[[#This Row],[Column7]]), "", node_raw[[#This Row],[Column7]]/100)</f>
        <v/>
      </c>
      <c r="K467" s="142" t="str">
        <f>IF(ISNONTEXT(node_raw[[#This Row],[Column8]]), "", node_raw[[#This Row],[Column8]]/100)</f>
        <v/>
      </c>
      <c r="L467" s="143" t="str">
        <f>IF(ISNONTEXT(node_raw[[#This Row],[Column9]]), "", node_raw[[#This Row],[Column9]]/1)</f>
        <v/>
      </c>
      <c r="M467" s="144" t="str">
        <f>IF(ISNONTEXT(node_raw[[#This Row],[Column10]]), "", node_raw[[#This Row],[Column10]]/1)</f>
        <v/>
      </c>
    </row>
    <row r="468" spans="2:13" ht="15.75" customHeight="1" x14ac:dyDescent="0.25">
      <c r="B468" s="30" t="str">
        <f>IF(ISNONTEXT(node_raw[[#This Row],[Column1]]), "", node_raw[[#This Row],[Column1]])</f>
        <v/>
      </c>
      <c r="C468" s="27" t="str">
        <f>IF(ISNONTEXT(node_raw[[#This Row],[Column2]]), "", node_raw[[#This Row],[Column2]])</f>
        <v/>
      </c>
      <c r="D468" s="54" t="str">
        <f>IF(ISNUMBER(node_raw[[#This Row],[Column3]]), node_raw[[#This Row],[Column3]],"")</f>
        <v/>
      </c>
      <c r="E468" s="57" t="str">
        <f>IF(ISNUMBER(node_raw[[#This Row],[Column4]]), node_raw[[#This Row],[Column4]]/1048576,"")</f>
        <v/>
      </c>
      <c r="F468" s="139" t="str">
        <f>IF(ISNUMBER(node_raw[[#This Row],[Column5]]), node_raw[[#This Row],[Column5]],"")</f>
        <v/>
      </c>
      <c r="G468" s="153" t="str">
        <f t="shared" si="14"/>
        <v/>
      </c>
      <c r="H468" s="140" t="str">
        <f>IF(ISNUMBER(node_raw[[#This Row],[Column6]]), node_raw[[#This Row],[Column6]]/1048576,"")</f>
        <v/>
      </c>
      <c r="I468" s="157" t="str">
        <f t="shared" si="15"/>
        <v/>
      </c>
      <c r="J468" s="141" t="str">
        <f>IF(ISNONTEXT(node_raw[[#This Row],[Column7]]), "", node_raw[[#This Row],[Column7]]/100)</f>
        <v/>
      </c>
      <c r="K468" s="142" t="str">
        <f>IF(ISNONTEXT(node_raw[[#This Row],[Column8]]), "", node_raw[[#This Row],[Column8]]/100)</f>
        <v/>
      </c>
      <c r="L468" s="143" t="str">
        <f>IF(ISNONTEXT(node_raw[[#This Row],[Column9]]), "", node_raw[[#This Row],[Column9]]/1)</f>
        <v/>
      </c>
      <c r="M468" s="144" t="str">
        <f>IF(ISNONTEXT(node_raw[[#This Row],[Column10]]), "", node_raw[[#This Row],[Column10]]/1)</f>
        <v/>
      </c>
    </row>
    <row r="469" spans="2:13" ht="15.75" customHeight="1" x14ac:dyDescent="0.25">
      <c r="B469" s="30" t="str">
        <f>IF(ISNONTEXT(node_raw[[#This Row],[Column1]]), "", node_raw[[#This Row],[Column1]])</f>
        <v/>
      </c>
      <c r="C469" s="27" t="str">
        <f>IF(ISNONTEXT(node_raw[[#This Row],[Column2]]), "", node_raw[[#This Row],[Column2]])</f>
        <v/>
      </c>
      <c r="D469" s="54" t="str">
        <f>IF(ISNUMBER(node_raw[[#This Row],[Column3]]), node_raw[[#This Row],[Column3]],"")</f>
        <v/>
      </c>
      <c r="E469" s="57" t="str">
        <f>IF(ISNUMBER(node_raw[[#This Row],[Column4]]), node_raw[[#This Row],[Column4]]/1048576,"")</f>
        <v/>
      </c>
      <c r="F469" s="139" t="str">
        <f>IF(ISNUMBER(node_raw[[#This Row],[Column5]]), node_raw[[#This Row],[Column5]],"")</f>
        <v/>
      </c>
      <c r="G469" s="153" t="str">
        <f t="shared" si="14"/>
        <v/>
      </c>
      <c r="H469" s="140" t="str">
        <f>IF(ISNUMBER(node_raw[[#This Row],[Column6]]), node_raw[[#This Row],[Column6]]/1048576,"")</f>
        <v/>
      </c>
      <c r="I469" s="157" t="str">
        <f t="shared" si="15"/>
        <v/>
      </c>
      <c r="J469" s="141" t="str">
        <f>IF(ISNONTEXT(node_raw[[#This Row],[Column7]]), "", node_raw[[#This Row],[Column7]]/100)</f>
        <v/>
      </c>
      <c r="K469" s="142" t="str">
        <f>IF(ISNONTEXT(node_raw[[#This Row],[Column8]]), "", node_raw[[#This Row],[Column8]]/100)</f>
        <v/>
      </c>
      <c r="L469" s="143" t="str">
        <f>IF(ISNONTEXT(node_raw[[#This Row],[Column9]]), "", node_raw[[#This Row],[Column9]]/1)</f>
        <v/>
      </c>
      <c r="M469" s="144" t="str">
        <f>IF(ISNONTEXT(node_raw[[#This Row],[Column10]]), "", node_raw[[#This Row],[Column10]]/1)</f>
        <v/>
      </c>
    </row>
    <row r="470" spans="2:13" ht="15.75" customHeight="1" x14ac:dyDescent="0.25">
      <c r="B470" s="30" t="str">
        <f>IF(ISNONTEXT(node_raw[[#This Row],[Column1]]), "", node_raw[[#This Row],[Column1]])</f>
        <v/>
      </c>
      <c r="C470" s="27" t="str">
        <f>IF(ISNONTEXT(node_raw[[#This Row],[Column2]]), "", node_raw[[#This Row],[Column2]])</f>
        <v/>
      </c>
      <c r="D470" s="54" t="str">
        <f>IF(ISNUMBER(node_raw[[#This Row],[Column3]]), node_raw[[#This Row],[Column3]],"")</f>
        <v/>
      </c>
      <c r="E470" s="57" t="str">
        <f>IF(ISNUMBER(node_raw[[#This Row],[Column4]]), node_raw[[#This Row],[Column4]]/1048576,"")</f>
        <v/>
      </c>
      <c r="F470" s="139" t="str">
        <f>IF(ISNUMBER(node_raw[[#This Row],[Column5]]), node_raw[[#This Row],[Column5]],"")</f>
        <v/>
      </c>
      <c r="G470" s="153" t="str">
        <f t="shared" si="14"/>
        <v/>
      </c>
      <c r="H470" s="140" t="str">
        <f>IF(ISNUMBER(node_raw[[#This Row],[Column6]]), node_raw[[#This Row],[Column6]]/1048576,"")</f>
        <v/>
      </c>
      <c r="I470" s="157" t="str">
        <f t="shared" si="15"/>
        <v/>
      </c>
      <c r="J470" s="141" t="str">
        <f>IF(ISNONTEXT(node_raw[[#This Row],[Column7]]), "", node_raw[[#This Row],[Column7]]/100)</f>
        <v/>
      </c>
      <c r="K470" s="142" t="str">
        <f>IF(ISNONTEXT(node_raw[[#This Row],[Column8]]), "", node_raw[[#This Row],[Column8]]/100)</f>
        <v/>
      </c>
      <c r="L470" s="143" t="str">
        <f>IF(ISNONTEXT(node_raw[[#This Row],[Column9]]), "", node_raw[[#This Row],[Column9]]/1)</f>
        <v/>
      </c>
      <c r="M470" s="144" t="str">
        <f>IF(ISNONTEXT(node_raw[[#This Row],[Column10]]), "", node_raw[[#This Row],[Column10]]/1)</f>
        <v/>
      </c>
    </row>
    <row r="471" spans="2:13" ht="15.75" customHeight="1" x14ac:dyDescent="0.25">
      <c r="B471" s="30" t="str">
        <f>IF(ISNONTEXT(node_raw[[#This Row],[Column1]]), "", node_raw[[#This Row],[Column1]])</f>
        <v/>
      </c>
      <c r="C471" s="27" t="str">
        <f>IF(ISNONTEXT(node_raw[[#This Row],[Column2]]), "", node_raw[[#This Row],[Column2]])</f>
        <v/>
      </c>
      <c r="D471" s="54" t="str">
        <f>IF(ISNUMBER(node_raw[[#This Row],[Column3]]), node_raw[[#This Row],[Column3]],"")</f>
        <v/>
      </c>
      <c r="E471" s="57" t="str">
        <f>IF(ISNUMBER(node_raw[[#This Row],[Column4]]), node_raw[[#This Row],[Column4]]/1048576,"")</f>
        <v/>
      </c>
      <c r="F471" s="139" t="str">
        <f>IF(ISNUMBER(node_raw[[#This Row],[Column5]]), node_raw[[#This Row],[Column5]],"")</f>
        <v/>
      </c>
      <c r="G471" s="153" t="str">
        <f t="shared" si="14"/>
        <v/>
      </c>
      <c r="H471" s="140" t="str">
        <f>IF(ISNUMBER(node_raw[[#This Row],[Column6]]), node_raw[[#This Row],[Column6]]/1048576,"")</f>
        <v/>
      </c>
      <c r="I471" s="157" t="str">
        <f t="shared" si="15"/>
        <v/>
      </c>
      <c r="J471" s="141" t="str">
        <f>IF(ISNONTEXT(node_raw[[#This Row],[Column7]]), "", node_raw[[#This Row],[Column7]]/100)</f>
        <v/>
      </c>
      <c r="K471" s="142" t="str">
        <f>IF(ISNONTEXT(node_raw[[#This Row],[Column8]]), "", node_raw[[#This Row],[Column8]]/100)</f>
        <v/>
      </c>
      <c r="L471" s="143" t="str">
        <f>IF(ISNONTEXT(node_raw[[#This Row],[Column9]]), "", node_raw[[#This Row],[Column9]]/1)</f>
        <v/>
      </c>
      <c r="M471" s="144" t="str">
        <f>IF(ISNONTEXT(node_raw[[#This Row],[Column10]]), "", node_raw[[#This Row],[Column10]]/1)</f>
        <v/>
      </c>
    </row>
    <row r="472" spans="2:13" ht="15.75" customHeight="1" x14ac:dyDescent="0.25">
      <c r="B472" s="30" t="str">
        <f>IF(ISNONTEXT(node_raw[[#This Row],[Column1]]), "", node_raw[[#This Row],[Column1]])</f>
        <v/>
      </c>
      <c r="C472" s="27" t="str">
        <f>IF(ISNONTEXT(node_raw[[#This Row],[Column2]]), "", node_raw[[#This Row],[Column2]])</f>
        <v/>
      </c>
      <c r="D472" s="54" t="str">
        <f>IF(ISNUMBER(node_raw[[#This Row],[Column3]]), node_raw[[#This Row],[Column3]],"")</f>
        <v/>
      </c>
      <c r="E472" s="57" t="str">
        <f>IF(ISNUMBER(node_raw[[#This Row],[Column4]]), node_raw[[#This Row],[Column4]]/1048576,"")</f>
        <v/>
      </c>
      <c r="F472" s="139" t="str">
        <f>IF(ISNUMBER(node_raw[[#This Row],[Column5]]), node_raw[[#This Row],[Column5]],"")</f>
        <v/>
      </c>
      <c r="G472" s="153" t="str">
        <f t="shared" si="14"/>
        <v/>
      </c>
      <c r="H472" s="140" t="str">
        <f>IF(ISNUMBER(node_raw[[#This Row],[Column6]]), node_raw[[#This Row],[Column6]]/1048576,"")</f>
        <v/>
      </c>
      <c r="I472" s="157" t="str">
        <f t="shared" si="15"/>
        <v/>
      </c>
      <c r="J472" s="141" t="str">
        <f>IF(ISNONTEXT(node_raw[[#This Row],[Column7]]), "", node_raw[[#This Row],[Column7]]/100)</f>
        <v/>
      </c>
      <c r="K472" s="142" t="str">
        <f>IF(ISNONTEXT(node_raw[[#This Row],[Column8]]), "", node_raw[[#This Row],[Column8]]/100)</f>
        <v/>
      </c>
      <c r="L472" s="143" t="str">
        <f>IF(ISNONTEXT(node_raw[[#This Row],[Column9]]), "", node_raw[[#This Row],[Column9]]/1)</f>
        <v/>
      </c>
      <c r="M472" s="144" t="str">
        <f>IF(ISNONTEXT(node_raw[[#This Row],[Column10]]), "", node_raw[[#This Row],[Column10]]/1)</f>
        <v/>
      </c>
    </row>
    <row r="473" spans="2:13" ht="15.75" customHeight="1" x14ac:dyDescent="0.25">
      <c r="B473" s="30" t="str">
        <f>IF(ISNONTEXT(node_raw[[#This Row],[Column1]]), "", node_raw[[#This Row],[Column1]])</f>
        <v/>
      </c>
      <c r="C473" s="27" t="str">
        <f>IF(ISNONTEXT(node_raw[[#This Row],[Column2]]), "", node_raw[[#This Row],[Column2]])</f>
        <v/>
      </c>
      <c r="D473" s="54" t="str">
        <f>IF(ISNUMBER(node_raw[[#This Row],[Column3]]), node_raw[[#This Row],[Column3]],"")</f>
        <v/>
      </c>
      <c r="E473" s="57" t="str">
        <f>IF(ISNUMBER(node_raw[[#This Row],[Column4]]), node_raw[[#This Row],[Column4]]/1048576,"")</f>
        <v/>
      </c>
      <c r="F473" s="139" t="str">
        <f>IF(ISNUMBER(node_raw[[#This Row],[Column5]]), node_raw[[#This Row],[Column5]],"")</f>
        <v/>
      </c>
      <c r="G473" s="153" t="str">
        <f t="shared" si="14"/>
        <v/>
      </c>
      <c r="H473" s="140" t="str">
        <f>IF(ISNUMBER(node_raw[[#This Row],[Column6]]), node_raw[[#This Row],[Column6]]/1048576,"")</f>
        <v/>
      </c>
      <c r="I473" s="157" t="str">
        <f t="shared" si="15"/>
        <v/>
      </c>
      <c r="J473" s="141" t="str">
        <f>IF(ISNONTEXT(node_raw[[#This Row],[Column7]]), "", node_raw[[#This Row],[Column7]]/100)</f>
        <v/>
      </c>
      <c r="K473" s="142" t="str">
        <f>IF(ISNONTEXT(node_raw[[#This Row],[Column8]]), "", node_raw[[#This Row],[Column8]]/100)</f>
        <v/>
      </c>
      <c r="L473" s="143" t="str">
        <f>IF(ISNONTEXT(node_raw[[#This Row],[Column9]]), "", node_raw[[#This Row],[Column9]]/1)</f>
        <v/>
      </c>
      <c r="M473" s="144" t="str">
        <f>IF(ISNONTEXT(node_raw[[#This Row],[Column10]]), "", node_raw[[#This Row],[Column10]]/1)</f>
        <v/>
      </c>
    </row>
    <row r="474" spans="2:13" ht="15.75" customHeight="1" x14ac:dyDescent="0.25">
      <c r="B474" s="30" t="str">
        <f>IF(ISNONTEXT(node_raw[[#This Row],[Column1]]), "", node_raw[[#This Row],[Column1]])</f>
        <v/>
      </c>
      <c r="C474" s="27" t="str">
        <f>IF(ISNONTEXT(node_raw[[#This Row],[Column2]]), "", node_raw[[#This Row],[Column2]])</f>
        <v/>
      </c>
      <c r="D474" s="54" t="str">
        <f>IF(ISNUMBER(node_raw[[#This Row],[Column3]]), node_raw[[#This Row],[Column3]],"")</f>
        <v/>
      </c>
      <c r="E474" s="57" t="str">
        <f>IF(ISNUMBER(node_raw[[#This Row],[Column4]]), node_raw[[#This Row],[Column4]]/1048576,"")</f>
        <v/>
      </c>
      <c r="F474" s="139" t="str">
        <f>IF(ISNUMBER(node_raw[[#This Row],[Column5]]), node_raw[[#This Row],[Column5]],"")</f>
        <v/>
      </c>
      <c r="G474" s="153" t="str">
        <f t="shared" si="14"/>
        <v/>
      </c>
      <c r="H474" s="140" t="str">
        <f>IF(ISNUMBER(node_raw[[#This Row],[Column6]]), node_raw[[#This Row],[Column6]]/1048576,"")</f>
        <v/>
      </c>
      <c r="I474" s="157" t="str">
        <f t="shared" si="15"/>
        <v/>
      </c>
      <c r="J474" s="141" t="str">
        <f>IF(ISNONTEXT(node_raw[[#This Row],[Column7]]), "", node_raw[[#This Row],[Column7]]/100)</f>
        <v/>
      </c>
      <c r="K474" s="142" t="str">
        <f>IF(ISNONTEXT(node_raw[[#This Row],[Column8]]), "", node_raw[[#This Row],[Column8]]/100)</f>
        <v/>
      </c>
      <c r="L474" s="143" t="str">
        <f>IF(ISNONTEXT(node_raw[[#This Row],[Column9]]), "", node_raw[[#This Row],[Column9]]/1)</f>
        <v/>
      </c>
      <c r="M474" s="144" t="str">
        <f>IF(ISNONTEXT(node_raw[[#This Row],[Column10]]), "", node_raw[[#This Row],[Column10]]/1)</f>
        <v/>
      </c>
    </row>
    <row r="475" spans="2:13" ht="15.75" customHeight="1" x14ac:dyDescent="0.25">
      <c r="B475" s="30" t="str">
        <f>IF(ISNONTEXT(node_raw[[#This Row],[Column1]]), "", node_raw[[#This Row],[Column1]])</f>
        <v/>
      </c>
      <c r="C475" s="27" t="str">
        <f>IF(ISNONTEXT(node_raw[[#This Row],[Column2]]), "", node_raw[[#This Row],[Column2]])</f>
        <v/>
      </c>
      <c r="D475" s="54" t="str">
        <f>IF(ISNUMBER(node_raw[[#This Row],[Column3]]), node_raw[[#This Row],[Column3]],"")</f>
        <v/>
      </c>
      <c r="E475" s="57" t="str">
        <f>IF(ISNUMBER(node_raw[[#This Row],[Column4]]), node_raw[[#This Row],[Column4]]/1048576,"")</f>
        <v/>
      </c>
      <c r="F475" s="139" t="str">
        <f>IF(ISNUMBER(node_raw[[#This Row],[Column5]]), node_raw[[#This Row],[Column5]],"")</f>
        <v/>
      </c>
      <c r="G475" s="153" t="str">
        <f t="shared" si="14"/>
        <v/>
      </c>
      <c r="H475" s="140" t="str">
        <f>IF(ISNUMBER(node_raw[[#This Row],[Column6]]), node_raw[[#This Row],[Column6]]/1048576,"")</f>
        <v/>
      </c>
      <c r="I475" s="157" t="str">
        <f t="shared" si="15"/>
        <v/>
      </c>
      <c r="J475" s="141" t="str">
        <f>IF(ISNONTEXT(node_raw[[#This Row],[Column7]]), "", node_raw[[#This Row],[Column7]]/100)</f>
        <v/>
      </c>
      <c r="K475" s="142" t="str">
        <f>IF(ISNONTEXT(node_raw[[#This Row],[Column8]]), "", node_raw[[#This Row],[Column8]]/100)</f>
        <v/>
      </c>
      <c r="L475" s="143" t="str">
        <f>IF(ISNONTEXT(node_raw[[#This Row],[Column9]]), "", node_raw[[#This Row],[Column9]]/1)</f>
        <v/>
      </c>
      <c r="M475" s="144" t="str">
        <f>IF(ISNONTEXT(node_raw[[#This Row],[Column10]]), "", node_raw[[#This Row],[Column10]]/1)</f>
        <v/>
      </c>
    </row>
    <row r="476" spans="2:13" ht="15.75" customHeight="1" x14ac:dyDescent="0.25">
      <c r="B476" s="30" t="str">
        <f>IF(ISNONTEXT(node_raw[[#This Row],[Column1]]), "", node_raw[[#This Row],[Column1]])</f>
        <v/>
      </c>
      <c r="C476" s="27" t="str">
        <f>IF(ISNONTEXT(node_raw[[#This Row],[Column2]]), "", node_raw[[#This Row],[Column2]])</f>
        <v/>
      </c>
      <c r="D476" s="54" t="str">
        <f>IF(ISNUMBER(node_raw[[#This Row],[Column3]]), node_raw[[#This Row],[Column3]],"")</f>
        <v/>
      </c>
      <c r="E476" s="57" t="str">
        <f>IF(ISNUMBER(node_raw[[#This Row],[Column4]]), node_raw[[#This Row],[Column4]]/1048576,"")</f>
        <v/>
      </c>
      <c r="F476" s="139" t="str">
        <f>IF(ISNUMBER(node_raw[[#This Row],[Column5]]), node_raw[[#This Row],[Column5]],"")</f>
        <v/>
      </c>
      <c r="G476" s="153" t="str">
        <f t="shared" si="14"/>
        <v/>
      </c>
      <c r="H476" s="140" t="str">
        <f>IF(ISNUMBER(node_raw[[#This Row],[Column6]]), node_raw[[#This Row],[Column6]]/1048576,"")</f>
        <v/>
      </c>
      <c r="I476" s="157" t="str">
        <f t="shared" si="15"/>
        <v/>
      </c>
      <c r="J476" s="141" t="str">
        <f>IF(ISNONTEXT(node_raw[[#This Row],[Column7]]), "", node_raw[[#This Row],[Column7]]/100)</f>
        <v/>
      </c>
      <c r="K476" s="142" t="str">
        <f>IF(ISNONTEXT(node_raw[[#This Row],[Column8]]), "", node_raw[[#This Row],[Column8]]/100)</f>
        <v/>
      </c>
      <c r="L476" s="143" t="str">
        <f>IF(ISNONTEXT(node_raw[[#This Row],[Column9]]), "", node_raw[[#This Row],[Column9]]/1)</f>
        <v/>
      </c>
      <c r="M476" s="144" t="str">
        <f>IF(ISNONTEXT(node_raw[[#This Row],[Column10]]), "", node_raw[[#This Row],[Column10]]/1)</f>
        <v/>
      </c>
    </row>
    <row r="477" spans="2:13" ht="15.75" customHeight="1" x14ac:dyDescent="0.25">
      <c r="B477" s="30" t="str">
        <f>IF(ISNONTEXT(node_raw[[#This Row],[Column1]]), "", node_raw[[#This Row],[Column1]])</f>
        <v/>
      </c>
      <c r="C477" s="27" t="str">
        <f>IF(ISNONTEXT(node_raw[[#This Row],[Column2]]), "", node_raw[[#This Row],[Column2]])</f>
        <v/>
      </c>
      <c r="D477" s="54" t="str">
        <f>IF(ISNUMBER(node_raw[[#This Row],[Column3]]), node_raw[[#This Row],[Column3]],"")</f>
        <v/>
      </c>
      <c r="E477" s="57" t="str">
        <f>IF(ISNUMBER(node_raw[[#This Row],[Column4]]), node_raw[[#This Row],[Column4]]/1048576,"")</f>
        <v/>
      </c>
      <c r="F477" s="139" t="str">
        <f>IF(ISNUMBER(node_raw[[#This Row],[Column5]]), node_raw[[#This Row],[Column5]],"")</f>
        <v/>
      </c>
      <c r="G477" s="153" t="str">
        <f t="shared" si="14"/>
        <v/>
      </c>
      <c r="H477" s="140" t="str">
        <f>IF(ISNUMBER(node_raw[[#This Row],[Column6]]), node_raw[[#This Row],[Column6]]/1048576,"")</f>
        <v/>
      </c>
      <c r="I477" s="157" t="str">
        <f t="shared" si="15"/>
        <v/>
      </c>
      <c r="J477" s="141" t="str">
        <f>IF(ISNONTEXT(node_raw[[#This Row],[Column7]]), "", node_raw[[#This Row],[Column7]]/100)</f>
        <v/>
      </c>
      <c r="K477" s="142" t="str">
        <f>IF(ISNONTEXT(node_raw[[#This Row],[Column8]]), "", node_raw[[#This Row],[Column8]]/100)</f>
        <v/>
      </c>
      <c r="L477" s="143" t="str">
        <f>IF(ISNONTEXT(node_raw[[#This Row],[Column9]]), "", node_raw[[#This Row],[Column9]]/1)</f>
        <v/>
      </c>
      <c r="M477" s="144" t="str">
        <f>IF(ISNONTEXT(node_raw[[#This Row],[Column10]]), "", node_raw[[#This Row],[Column10]]/1)</f>
        <v/>
      </c>
    </row>
    <row r="478" spans="2:13" ht="15.75" customHeight="1" x14ac:dyDescent="0.25">
      <c r="B478" s="30" t="str">
        <f>IF(ISNONTEXT(node_raw[[#This Row],[Column1]]), "", node_raw[[#This Row],[Column1]])</f>
        <v/>
      </c>
      <c r="C478" s="27" t="str">
        <f>IF(ISNONTEXT(node_raw[[#This Row],[Column2]]), "", node_raw[[#This Row],[Column2]])</f>
        <v/>
      </c>
      <c r="D478" s="54" t="str">
        <f>IF(ISNUMBER(node_raw[[#This Row],[Column3]]), node_raw[[#This Row],[Column3]],"")</f>
        <v/>
      </c>
      <c r="E478" s="57" t="str">
        <f>IF(ISNUMBER(node_raw[[#This Row],[Column4]]), node_raw[[#This Row],[Column4]]/1048576,"")</f>
        <v/>
      </c>
      <c r="F478" s="139" t="str">
        <f>IF(ISNUMBER(node_raw[[#This Row],[Column5]]), node_raw[[#This Row],[Column5]],"")</f>
        <v/>
      </c>
      <c r="G478" s="153" t="str">
        <f t="shared" si="14"/>
        <v/>
      </c>
      <c r="H478" s="140" t="str">
        <f>IF(ISNUMBER(node_raw[[#This Row],[Column6]]), node_raw[[#This Row],[Column6]]/1048576,"")</f>
        <v/>
      </c>
      <c r="I478" s="157" t="str">
        <f t="shared" si="15"/>
        <v/>
      </c>
      <c r="J478" s="141" t="str">
        <f>IF(ISNONTEXT(node_raw[[#This Row],[Column7]]), "", node_raw[[#This Row],[Column7]]/100)</f>
        <v/>
      </c>
      <c r="K478" s="142" t="str">
        <f>IF(ISNONTEXT(node_raw[[#This Row],[Column8]]), "", node_raw[[#This Row],[Column8]]/100)</f>
        <v/>
      </c>
      <c r="L478" s="143" t="str">
        <f>IF(ISNONTEXT(node_raw[[#This Row],[Column9]]), "", node_raw[[#This Row],[Column9]]/1)</f>
        <v/>
      </c>
      <c r="M478" s="144" t="str">
        <f>IF(ISNONTEXT(node_raw[[#This Row],[Column10]]), "", node_raw[[#This Row],[Column10]]/1)</f>
        <v/>
      </c>
    </row>
    <row r="479" spans="2:13" ht="15.75" customHeight="1" x14ac:dyDescent="0.25">
      <c r="B479" s="30" t="str">
        <f>IF(ISNONTEXT(node_raw[[#This Row],[Column1]]), "", node_raw[[#This Row],[Column1]])</f>
        <v/>
      </c>
      <c r="C479" s="27" t="str">
        <f>IF(ISNONTEXT(node_raw[[#This Row],[Column2]]), "", node_raw[[#This Row],[Column2]])</f>
        <v/>
      </c>
      <c r="D479" s="54" t="str">
        <f>IF(ISNUMBER(node_raw[[#This Row],[Column3]]), node_raw[[#This Row],[Column3]],"")</f>
        <v/>
      </c>
      <c r="E479" s="57" t="str">
        <f>IF(ISNUMBER(node_raw[[#This Row],[Column4]]), node_raw[[#This Row],[Column4]]/1048576,"")</f>
        <v/>
      </c>
      <c r="F479" s="139" t="str">
        <f>IF(ISNUMBER(node_raw[[#This Row],[Column5]]), node_raw[[#This Row],[Column5]],"")</f>
        <v/>
      </c>
      <c r="G479" s="153" t="str">
        <f t="shared" si="14"/>
        <v/>
      </c>
      <c r="H479" s="140" t="str">
        <f>IF(ISNUMBER(node_raw[[#This Row],[Column6]]), node_raw[[#This Row],[Column6]]/1048576,"")</f>
        <v/>
      </c>
      <c r="I479" s="157" t="str">
        <f t="shared" si="15"/>
        <v/>
      </c>
      <c r="J479" s="141" t="str">
        <f>IF(ISNONTEXT(node_raw[[#This Row],[Column7]]), "", node_raw[[#This Row],[Column7]]/100)</f>
        <v/>
      </c>
      <c r="K479" s="142" t="str">
        <f>IF(ISNONTEXT(node_raw[[#This Row],[Column8]]), "", node_raw[[#This Row],[Column8]]/100)</f>
        <v/>
      </c>
      <c r="L479" s="143" t="str">
        <f>IF(ISNONTEXT(node_raw[[#This Row],[Column9]]), "", node_raw[[#This Row],[Column9]]/1)</f>
        <v/>
      </c>
      <c r="M479" s="144" t="str">
        <f>IF(ISNONTEXT(node_raw[[#This Row],[Column10]]), "", node_raw[[#This Row],[Column10]]/1)</f>
        <v/>
      </c>
    </row>
    <row r="480" spans="2:13" ht="15.75" customHeight="1" x14ac:dyDescent="0.25">
      <c r="B480" s="30" t="str">
        <f>IF(ISNONTEXT(node_raw[[#This Row],[Column1]]), "", node_raw[[#This Row],[Column1]])</f>
        <v/>
      </c>
      <c r="C480" s="27" t="str">
        <f>IF(ISNONTEXT(node_raw[[#This Row],[Column2]]), "", node_raw[[#This Row],[Column2]])</f>
        <v/>
      </c>
      <c r="D480" s="54" t="str">
        <f>IF(ISNUMBER(node_raw[[#This Row],[Column3]]), node_raw[[#This Row],[Column3]],"")</f>
        <v/>
      </c>
      <c r="E480" s="57" t="str">
        <f>IF(ISNUMBER(node_raw[[#This Row],[Column4]]), node_raw[[#This Row],[Column4]]/1048576,"")</f>
        <v/>
      </c>
      <c r="F480" s="139" t="str">
        <f>IF(ISNUMBER(node_raw[[#This Row],[Column5]]), node_raw[[#This Row],[Column5]],"")</f>
        <v/>
      </c>
      <c r="G480" s="153" t="str">
        <f t="shared" si="14"/>
        <v/>
      </c>
      <c r="H480" s="140" t="str">
        <f>IF(ISNUMBER(node_raw[[#This Row],[Column6]]), node_raw[[#This Row],[Column6]]/1048576,"")</f>
        <v/>
      </c>
      <c r="I480" s="157" t="str">
        <f t="shared" si="15"/>
        <v/>
      </c>
      <c r="J480" s="141" t="str">
        <f>IF(ISNONTEXT(node_raw[[#This Row],[Column7]]), "", node_raw[[#This Row],[Column7]]/100)</f>
        <v/>
      </c>
      <c r="K480" s="142" t="str">
        <f>IF(ISNONTEXT(node_raw[[#This Row],[Column8]]), "", node_raw[[#This Row],[Column8]]/100)</f>
        <v/>
      </c>
      <c r="L480" s="143" t="str">
        <f>IF(ISNONTEXT(node_raw[[#This Row],[Column9]]), "", node_raw[[#This Row],[Column9]]/1)</f>
        <v/>
      </c>
      <c r="M480" s="144" t="str">
        <f>IF(ISNONTEXT(node_raw[[#This Row],[Column10]]), "", node_raw[[#This Row],[Column10]]/1)</f>
        <v/>
      </c>
    </row>
    <row r="481" spans="2:13" ht="15.75" customHeight="1" x14ac:dyDescent="0.25">
      <c r="B481" s="30" t="str">
        <f>IF(ISNONTEXT(node_raw[[#This Row],[Column1]]), "", node_raw[[#This Row],[Column1]])</f>
        <v/>
      </c>
      <c r="C481" s="27" t="str">
        <f>IF(ISNONTEXT(node_raw[[#This Row],[Column2]]), "", node_raw[[#This Row],[Column2]])</f>
        <v/>
      </c>
      <c r="D481" s="54" t="str">
        <f>IF(ISNUMBER(node_raw[[#This Row],[Column3]]), node_raw[[#This Row],[Column3]],"")</f>
        <v/>
      </c>
      <c r="E481" s="57" t="str">
        <f>IF(ISNUMBER(node_raw[[#This Row],[Column4]]), node_raw[[#This Row],[Column4]]/1048576,"")</f>
        <v/>
      </c>
      <c r="F481" s="139" t="str">
        <f>IF(ISNUMBER(node_raw[[#This Row],[Column5]]), node_raw[[#This Row],[Column5]],"")</f>
        <v/>
      </c>
      <c r="G481" s="153" t="str">
        <f t="shared" si="14"/>
        <v/>
      </c>
      <c r="H481" s="140" t="str">
        <f>IF(ISNUMBER(node_raw[[#This Row],[Column6]]), node_raw[[#This Row],[Column6]]/1048576,"")</f>
        <v/>
      </c>
      <c r="I481" s="157" t="str">
        <f t="shared" si="15"/>
        <v/>
      </c>
      <c r="J481" s="141" t="str">
        <f>IF(ISNONTEXT(node_raw[[#This Row],[Column7]]), "", node_raw[[#This Row],[Column7]]/100)</f>
        <v/>
      </c>
      <c r="K481" s="142" t="str">
        <f>IF(ISNONTEXT(node_raw[[#This Row],[Column8]]), "", node_raw[[#This Row],[Column8]]/100)</f>
        <v/>
      </c>
      <c r="L481" s="143" t="str">
        <f>IF(ISNONTEXT(node_raw[[#This Row],[Column9]]), "", node_raw[[#This Row],[Column9]]/1)</f>
        <v/>
      </c>
      <c r="M481" s="144" t="str">
        <f>IF(ISNONTEXT(node_raw[[#This Row],[Column10]]), "", node_raw[[#This Row],[Column10]]/1)</f>
        <v/>
      </c>
    </row>
    <row r="482" spans="2:13" ht="15.75" customHeight="1" x14ac:dyDescent="0.25">
      <c r="B482" s="30" t="str">
        <f>IF(ISNONTEXT(node_raw[[#This Row],[Column1]]), "", node_raw[[#This Row],[Column1]])</f>
        <v/>
      </c>
      <c r="C482" s="27" t="str">
        <f>IF(ISNONTEXT(node_raw[[#This Row],[Column2]]), "", node_raw[[#This Row],[Column2]])</f>
        <v/>
      </c>
      <c r="D482" s="54" t="str">
        <f>IF(ISNUMBER(node_raw[[#This Row],[Column3]]), node_raw[[#This Row],[Column3]],"")</f>
        <v/>
      </c>
      <c r="E482" s="57" t="str">
        <f>IF(ISNUMBER(node_raw[[#This Row],[Column4]]), node_raw[[#This Row],[Column4]]/1048576,"")</f>
        <v/>
      </c>
      <c r="F482" s="139" t="str">
        <f>IF(ISNUMBER(node_raw[[#This Row],[Column5]]), node_raw[[#This Row],[Column5]],"")</f>
        <v/>
      </c>
      <c r="G482" s="153" t="str">
        <f t="shared" si="14"/>
        <v/>
      </c>
      <c r="H482" s="140" t="str">
        <f>IF(ISNUMBER(node_raw[[#This Row],[Column6]]), node_raw[[#This Row],[Column6]]/1048576,"")</f>
        <v/>
      </c>
      <c r="I482" s="157" t="str">
        <f t="shared" si="15"/>
        <v/>
      </c>
      <c r="J482" s="141" t="str">
        <f>IF(ISNONTEXT(node_raw[[#This Row],[Column7]]), "", node_raw[[#This Row],[Column7]]/100)</f>
        <v/>
      </c>
      <c r="K482" s="142" t="str">
        <f>IF(ISNONTEXT(node_raw[[#This Row],[Column8]]), "", node_raw[[#This Row],[Column8]]/100)</f>
        <v/>
      </c>
      <c r="L482" s="143" t="str">
        <f>IF(ISNONTEXT(node_raw[[#This Row],[Column9]]), "", node_raw[[#This Row],[Column9]]/1)</f>
        <v/>
      </c>
      <c r="M482" s="144" t="str">
        <f>IF(ISNONTEXT(node_raw[[#This Row],[Column10]]), "", node_raw[[#This Row],[Column10]]/1)</f>
        <v/>
      </c>
    </row>
    <row r="483" spans="2:13" ht="15.75" customHeight="1" x14ac:dyDescent="0.25">
      <c r="B483" s="30" t="str">
        <f>IF(ISNONTEXT(node_raw[[#This Row],[Column1]]), "", node_raw[[#This Row],[Column1]])</f>
        <v/>
      </c>
      <c r="C483" s="27" t="str">
        <f>IF(ISNONTEXT(node_raw[[#This Row],[Column2]]), "", node_raw[[#This Row],[Column2]])</f>
        <v/>
      </c>
      <c r="D483" s="54" t="str">
        <f>IF(ISNUMBER(node_raw[[#This Row],[Column3]]), node_raw[[#This Row],[Column3]],"")</f>
        <v/>
      </c>
      <c r="E483" s="57" t="str">
        <f>IF(ISNUMBER(node_raw[[#This Row],[Column4]]), node_raw[[#This Row],[Column4]]/1048576,"")</f>
        <v/>
      </c>
      <c r="F483" s="139" t="str">
        <f>IF(ISNUMBER(node_raw[[#This Row],[Column5]]), node_raw[[#This Row],[Column5]],"")</f>
        <v/>
      </c>
      <c r="G483" s="153" t="str">
        <f t="shared" si="14"/>
        <v/>
      </c>
      <c r="H483" s="140" t="str">
        <f>IF(ISNUMBER(node_raw[[#This Row],[Column6]]), node_raw[[#This Row],[Column6]]/1048576,"")</f>
        <v/>
      </c>
      <c r="I483" s="157" t="str">
        <f t="shared" si="15"/>
        <v/>
      </c>
      <c r="J483" s="141" t="str">
        <f>IF(ISNONTEXT(node_raw[[#This Row],[Column7]]), "", node_raw[[#This Row],[Column7]]/100)</f>
        <v/>
      </c>
      <c r="K483" s="142" t="str">
        <f>IF(ISNONTEXT(node_raw[[#This Row],[Column8]]), "", node_raw[[#This Row],[Column8]]/100)</f>
        <v/>
      </c>
      <c r="L483" s="143" t="str">
        <f>IF(ISNONTEXT(node_raw[[#This Row],[Column9]]), "", node_raw[[#This Row],[Column9]]/1)</f>
        <v/>
      </c>
      <c r="M483" s="144" t="str">
        <f>IF(ISNONTEXT(node_raw[[#This Row],[Column10]]), "", node_raw[[#This Row],[Column10]]/1)</f>
        <v/>
      </c>
    </row>
    <row r="484" spans="2:13" ht="15.75" customHeight="1" x14ac:dyDescent="0.25">
      <c r="B484" s="30" t="str">
        <f>IF(ISNONTEXT(node_raw[[#This Row],[Column1]]), "", node_raw[[#This Row],[Column1]])</f>
        <v/>
      </c>
      <c r="C484" s="27" t="str">
        <f>IF(ISNONTEXT(node_raw[[#This Row],[Column2]]), "", node_raw[[#This Row],[Column2]])</f>
        <v/>
      </c>
      <c r="D484" s="54" t="str">
        <f>IF(ISNUMBER(node_raw[[#This Row],[Column3]]), node_raw[[#This Row],[Column3]],"")</f>
        <v/>
      </c>
      <c r="E484" s="57" t="str">
        <f>IF(ISNUMBER(node_raw[[#This Row],[Column4]]), node_raw[[#This Row],[Column4]]/1048576,"")</f>
        <v/>
      </c>
      <c r="F484" s="139" t="str">
        <f>IF(ISNUMBER(node_raw[[#This Row],[Column5]]), node_raw[[#This Row],[Column5]],"")</f>
        <v/>
      </c>
      <c r="G484" s="153" t="str">
        <f t="shared" si="14"/>
        <v/>
      </c>
      <c r="H484" s="140" t="str">
        <f>IF(ISNUMBER(node_raw[[#This Row],[Column6]]), node_raw[[#This Row],[Column6]]/1048576,"")</f>
        <v/>
      </c>
      <c r="I484" s="157" t="str">
        <f t="shared" si="15"/>
        <v/>
      </c>
      <c r="J484" s="141" t="str">
        <f>IF(ISNONTEXT(node_raw[[#This Row],[Column7]]), "", node_raw[[#This Row],[Column7]]/100)</f>
        <v/>
      </c>
      <c r="K484" s="142" t="str">
        <f>IF(ISNONTEXT(node_raw[[#This Row],[Column8]]), "", node_raw[[#This Row],[Column8]]/100)</f>
        <v/>
      </c>
      <c r="L484" s="143" t="str">
        <f>IF(ISNONTEXT(node_raw[[#This Row],[Column9]]), "", node_raw[[#This Row],[Column9]]/1)</f>
        <v/>
      </c>
      <c r="M484" s="144" t="str">
        <f>IF(ISNONTEXT(node_raw[[#This Row],[Column10]]), "", node_raw[[#This Row],[Column10]]/1)</f>
        <v/>
      </c>
    </row>
    <row r="485" spans="2:13" ht="15.75" customHeight="1" x14ac:dyDescent="0.25">
      <c r="B485" s="30" t="str">
        <f>IF(ISNONTEXT(node_raw[[#This Row],[Column1]]), "", node_raw[[#This Row],[Column1]])</f>
        <v/>
      </c>
      <c r="C485" s="27" t="str">
        <f>IF(ISNONTEXT(node_raw[[#This Row],[Column2]]), "", node_raw[[#This Row],[Column2]])</f>
        <v/>
      </c>
      <c r="D485" s="54" t="str">
        <f>IF(ISNUMBER(node_raw[[#This Row],[Column3]]), node_raw[[#This Row],[Column3]],"")</f>
        <v/>
      </c>
      <c r="E485" s="57" t="str">
        <f>IF(ISNUMBER(node_raw[[#This Row],[Column4]]), node_raw[[#This Row],[Column4]]/1048576,"")</f>
        <v/>
      </c>
      <c r="F485" s="139" t="str">
        <f>IF(ISNUMBER(node_raw[[#This Row],[Column5]]), node_raw[[#This Row],[Column5]],"")</f>
        <v/>
      </c>
      <c r="G485" s="153" t="str">
        <f t="shared" si="14"/>
        <v/>
      </c>
      <c r="H485" s="140" t="str">
        <f>IF(ISNUMBER(node_raw[[#This Row],[Column6]]), node_raw[[#This Row],[Column6]]/1048576,"")</f>
        <v/>
      </c>
      <c r="I485" s="157" t="str">
        <f t="shared" si="15"/>
        <v/>
      </c>
      <c r="J485" s="141" t="str">
        <f>IF(ISNONTEXT(node_raw[[#This Row],[Column7]]), "", node_raw[[#This Row],[Column7]]/100)</f>
        <v/>
      </c>
      <c r="K485" s="142" t="str">
        <f>IF(ISNONTEXT(node_raw[[#This Row],[Column8]]), "", node_raw[[#This Row],[Column8]]/100)</f>
        <v/>
      </c>
      <c r="L485" s="143" t="str">
        <f>IF(ISNONTEXT(node_raw[[#This Row],[Column9]]), "", node_raw[[#This Row],[Column9]]/1)</f>
        <v/>
      </c>
      <c r="M485" s="144" t="str">
        <f>IF(ISNONTEXT(node_raw[[#This Row],[Column10]]), "", node_raw[[#This Row],[Column10]]/1)</f>
        <v/>
      </c>
    </row>
    <row r="486" spans="2:13" ht="15.75" customHeight="1" x14ac:dyDescent="0.25">
      <c r="B486" s="30" t="str">
        <f>IF(ISNONTEXT(node_raw[[#This Row],[Column1]]), "", node_raw[[#This Row],[Column1]])</f>
        <v/>
      </c>
      <c r="C486" s="27" t="str">
        <f>IF(ISNONTEXT(node_raw[[#This Row],[Column2]]), "", node_raw[[#This Row],[Column2]])</f>
        <v/>
      </c>
      <c r="D486" s="54" t="str">
        <f>IF(ISNUMBER(node_raw[[#This Row],[Column3]]), node_raw[[#This Row],[Column3]],"")</f>
        <v/>
      </c>
      <c r="E486" s="57" t="str">
        <f>IF(ISNUMBER(node_raw[[#This Row],[Column4]]), node_raw[[#This Row],[Column4]]/1048576,"")</f>
        <v/>
      </c>
      <c r="F486" s="139" t="str">
        <f>IF(ISNUMBER(node_raw[[#This Row],[Column5]]), node_raw[[#This Row],[Column5]],"")</f>
        <v/>
      </c>
      <c r="G486" s="153" t="str">
        <f t="shared" si="14"/>
        <v/>
      </c>
      <c r="H486" s="140" t="str">
        <f>IF(ISNUMBER(node_raw[[#This Row],[Column6]]), node_raw[[#This Row],[Column6]]/1048576,"")</f>
        <v/>
      </c>
      <c r="I486" s="157" t="str">
        <f t="shared" si="15"/>
        <v/>
      </c>
      <c r="J486" s="141" t="str">
        <f>IF(ISNONTEXT(node_raw[[#This Row],[Column7]]), "", node_raw[[#This Row],[Column7]]/100)</f>
        <v/>
      </c>
      <c r="K486" s="142" t="str">
        <f>IF(ISNONTEXT(node_raw[[#This Row],[Column8]]), "", node_raw[[#This Row],[Column8]]/100)</f>
        <v/>
      </c>
      <c r="L486" s="143" t="str">
        <f>IF(ISNONTEXT(node_raw[[#This Row],[Column9]]), "", node_raw[[#This Row],[Column9]]/1)</f>
        <v/>
      </c>
      <c r="M486" s="144" t="str">
        <f>IF(ISNONTEXT(node_raw[[#This Row],[Column10]]), "", node_raw[[#This Row],[Column10]]/1)</f>
        <v/>
      </c>
    </row>
    <row r="487" spans="2:13" ht="15.75" customHeight="1" x14ac:dyDescent="0.25">
      <c r="B487" s="30" t="str">
        <f>IF(ISNONTEXT(node_raw[[#This Row],[Column1]]), "", node_raw[[#This Row],[Column1]])</f>
        <v/>
      </c>
      <c r="C487" s="27" t="str">
        <f>IF(ISNONTEXT(node_raw[[#This Row],[Column2]]), "", node_raw[[#This Row],[Column2]])</f>
        <v/>
      </c>
      <c r="D487" s="54" t="str">
        <f>IF(ISNUMBER(node_raw[[#This Row],[Column3]]), node_raw[[#This Row],[Column3]],"")</f>
        <v/>
      </c>
      <c r="E487" s="57" t="str">
        <f>IF(ISNUMBER(node_raw[[#This Row],[Column4]]), node_raw[[#This Row],[Column4]]/1048576,"")</f>
        <v/>
      </c>
      <c r="F487" s="139" t="str">
        <f>IF(ISNUMBER(node_raw[[#This Row],[Column5]]), node_raw[[#This Row],[Column5]],"")</f>
        <v/>
      </c>
      <c r="G487" s="153" t="str">
        <f t="shared" si="14"/>
        <v/>
      </c>
      <c r="H487" s="140" t="str">
        <f>IF(ISNUMBER(node_raw[[#This Row],[Column6]]), node_raw[[#This Row],[Column6]]/1048576,"")</f>
        <v/>
      </c>
      <c r="I487" s="157" t="str">
        <f t="shared" si="15"/>
        <v/>
      </c>
      <c r="J487" s="141" t="str">
        <f>IF(ISNONTEXT(node_raw[[#This Row],[Column7]]), "", node_raw[[#This Row],[Column7]]/100)</f>
        <v/>
      </c>
      <c r="K487" s="142" t="str">
        <f>IF(ISNONTEXT(node_raw[[#This Row],[Column8]]), "", node_raw[[#This Row],[Column8]]/100)</f>
        <v/>
      </c>
      <c r="L487" s="143" t="str">
        <f>IF(ISNONTEXT(node_raw[[#This Row],[Column9]]), "", node_raw[[#This Row],[Column9]]/1)</f>
        <v/>
      </c>
      <c r="M487" s="144" t="str">
        <f>IF(ISNONTEXT(node_raw[[#This Row],[Column10]]), "", node_raw[[#This Row],[Column10]]/1)</f>
        <v/>
      </c>
    </row>
    <row r="488" spans="2:13" ht="15.75" customHeight="1" x14ac:dyDescent="0.25">
      <c r="B488" s="30" t="str">
        <f>IF(ISNONTEXT(node_raw[[#This Row],[Column1]]), "", node_raw[[#This Row],[Column1]])</f>
        <v/>
      </c>
      <c r="C488" s="27" t="str">
        <f>IF(ISNONTEXT(node_raw[[#This Row],[Column2]]), "", node_raw[[#This Row],[Column2]])</f>
        <v/>
      </c>
      <c r="D488" s="54" t="str">
        <f>IF(ISNUMBER(node_raw[[#This Row],[Column3]]), node_raw[[#This Row],[Column3]],"")</f>
        <v/>
      </c>
      <c r="E488" s="57" t="str">
        <f>IF(ISNUMBER(node_raw[[#This Row],[Column4]]), node_raw[[#This Row],[Column4]]/1048576,"")</f>
        <v/>
      </c>
      <c r="F488" s="139" t="str">
        <f>IF(ISNUMBER(node_raw[[#This Row],[Column5]]), node_raw[[#This Row],[Column5]],"")</f>
        <v/>
      </c>
      <c r="G488" s="153" t="str">
        <f t="shared" si="14"/>
        <v/>
      </c>
      <c r="H488" s="140" t="str">
        <f>IF(ISNUMBER(node_raw[[#This Row],[Column6]]), node_raw[[#This Row],[Column6]]/1048576,"")</f>
        <v/>
      </c>
      <c r="I488" s="157" t="str">
        <f t="shared" si="15"/>
        <v/>
      </c>
      <c r="J488" s="141" t="str">
        <f>IF(ISNONTEXT(node_raw[[#This Row],[Column7]]), "", node_raw[[#This Row],[Column7]]/100)</f>
        <v/>
      </c>
      <c r="K488" s="142" t="str">
        <f>IF(ISNONTEXT(node_raw[[#This Row],[Column8]]), "", node_raw[[#This Row],[Column8]]/100)</f>
        <v/>
      </c>
      <c r="L488" s="143" t="str">
        <f>IF(ISNONTEXT(node_raw[[#This Row],[Column9]]), "", node_raw[[#This Row],[Column9]]/1)</f>
        <v/>
      </c>
      <c r="M488" s="144" t="str">
        <f>IF(ISNONTEXT(node_raw[[#This Row],[Column10]]), "", node_raw[[#This Row],[Column10]]/1)</f>
        <v/>
      </c>
    </row>
    <row r="489" spans="2:13" ht="15.75" customHeight="1" x14ac:dyDescent="0.25">
      <c r="B489" s="30" t="str">
        <f>IF(ISNONTEXT(node_raw[[#This Row],[Column1]]), "", node_raw[[#This Row],[Column1]])</f>
        <v/>
      </c>
      <c r="C489" s="27" t="str">
        <f>IF(ISNONTEXT(node_raw[[#This Row],[Column2]]), "", node_raw[[#This Row],[Column2]])</f>
        <v/>
      </c>
      <c r="D489" s="54" t="str">
        <f>IF(ISNUMBER(node_raw[[#This Row],[Column3]]), node_raw[[#This Row],[Column3]],"")</f>
        <v/>
      </c>
      <c r="E489" s="57" t="str">
        <f>IF(ISNUMBER(node_raw[[#This Row],[Column4]]), node_raw[[#This Row],[Column4]]/1048576,"")</f>
        <v/>
      </c>
      <c r="F489" s="139" t="str">
        <f>IF(ISNUMBER(node_raw[[#This Row],[Column5]]), node_raw[[#This Row],[Column5]],"")</f>
        <v/>
      </c>
      <c r="G489" s="153" t="str">
        <f t="shared" si="14"/>
        <v/>
      </c>
      <c r="H489" s="140" t="str">
        <f>IF(ISNUMBER(node_raw[[#This Row],[Column6]]), node_raw[[#This Row],[Column6]]/1048576,"")</f>
        <v/>
      </c>
      <c r="I489" s="157" t="str">
        <f t="shared" si="15"/>
        <v/>
      </c>
      <c r="J489" s="141" t="str">
        <f>IF(ISNONTEXT(node_raw[[#This Row],[Column7]]), "", node_raw[[#This Row],[Column7]]/100)</f>
        <v/>
      </c>
      <c r="K489" s="142" t="str">
        <f>IF(ISNONTEXT(node_raw[[#This Row],[Column8]]), "", node_raw[[#This Row],[Column8]]/100)</f>
        <v/>
      </c>
      <c r="L489" s="143" t="str">
        <f>IF(ISNONTEXT(node_raw[[#This Row],[Column9]]), "", node_raw[[#This Row],[Column9]]/1)</f>
        <v/>
      </c>
      <c r="M489" s="144" t="str">
        <f>IF(ISNONTEXT(node_raw[[#This Row],[Column10]]), "", node_raw[[#This Row],[Column10]]/1)</f>
        <v/>
      </c>
    </row>
    <row r="490" spans="2:13" ht="15.75" customHeight="1" x14ac:dyDescent="0.25">
      <c r="B490" s="30" t="str">
        <f>IF(ISNONTEXT(node_raw[[#This Row],[Column1]]), "", node_raw[[#This Row],[Column1]])</f>
        <v/>
      </c>
      <c r="C490" s="27" t="str">
        <f>IF(ISNONTEXT(node_raw[[#This Row],[Column2]]), "", node_raw[[#This Row],[Column2]])</f>
        <v/>
      </c>
      <c r="D490" s="54" t="str">
        <f>IF(ISNUMBER(node_raw[[#This Row],[Column3]]), node_raw[[#This Row],[Column3]],"")</f>
        <v/>
      </c>
      <c r="E490" s="57" t="str">
        <f>IF(ISNUMBER(node_raw[[#This Row],[Column4]]), node_raw[[#This Row],[Column4]]/1048576,"")</f>
        <v/>
      </c>
      <c r="F490" s="139" t="str">
        <f>IF(ISNUMBER(node_raw[[#This Row],[Column5]]), node_raw[[#This Row],[Column5]],"")</f>
        <v/>
      </c>
      <c r="G490" s="153" t="str">
        <f t="shared" si="14"/>
        <v/>
      </c>
      <c r="H490" s="140" t="str">
        <f>IF(ISNUMBER(node_raw[[#This Row],[Column6]]), node_raw[[#This Row],[Column6]]/1048576,"")</f>
        <v/>
      </c>
      <c r="I490" s="157" t="str">
        <f t="shared" si="15"/>
        <v/>
      </c>
      <c r="J490" s="141" t="str">
        <f>IF(ISNONTEXT(node_raw[[#This Row],[Column7]]), "", node_raw[[#This Row],[Column7]]/100)</f>
        <v/>
      </c>
      <c r="K490" s="142" t="str">
        <f>IF(ISNONTEXT(node_raw[[#This Row],[Column8]]), "", node_raw[[#This Row],[Column8]]/100)</f>
        <v/>
      </c>
      <c r="L490" s="143" t="str">
        <f>IF(ISNONTEXT(node_raw[[#This Row],[Column9]]), "", node_raw[[#This Row],[Column9]]/1)</f>
        <v/>
      </c>
      <c r="M490" s="144" t="str">
        <f>IF(ISNONTEXT(node_raw[[#This Row],[Column10]]), "", node_raw[[#This Row],[Column10]]/1)</f>
        <v/>
      </c>
    </row>
    <row r="491" spans="2:13" ht="15.75" customHeight="1" x14ac:dyDescent="0.25">
      <c r="B491" s="30" t="str">
        <f>IF(ISNONTEXT(node_raw[[#This Row],[Column1]]), "", node_raw[[#This Row],[Column1]])</f>
        <v/>
      </c>
      <c r="C491" s="27" t="str">
        <f>IF(ISNONTEXT(node_raw[[#This Row],[Column2]]), "", node_raw[[#This Row],[Column2]])</f>
        <v/>
      </c>
      <c r="D491" s="54" t="str">
        <f>IF(ISNUMBER(node_raw[[#This Row],[Column3]]), node_raw[[#This Row],[Column3]],"")</f>
        <v/>
      </c>
      <c r="E491" s="57" t="str">
        <f>IF(ISNUMBER(node_raw[[#This Row],[Column4]]), node_raw[[#This Row],[Column4]]/1048576,"")</f>
        <v/>
      </c>
      <c r="F491" s="139" t="str">
        <f>IF(ISNUMBER(node_raw[[#This Row],[Column5]]), node_raw[[#This Row],[Column5]],"")</f>
        <v/>
      </c>
      <c r="G491" s="153" t="str">
        <f t="shared" si="14"/>
        <v/>
      </c>
      <c r="H491" s="140" t="str">
        <f>IF(ISNUMBER(node_raw[[#This Row],[Column6]]), node_raw[[#This Row],[Column6]]/1048576,"")</f>
        <v/>
      </c>
      <c r="I491" s="157" t="str">
        <f t="shared" si="15"/>
        <v/>
      </c>
      <c r="J491" s="141" t="str">
        <f>IF(ISNONTEXT(node_raw[[#This Row],[Column7]]), "", node_raw[[#This Row],[Column7]]/100)</f>
        <v/>
      </c>
      <c r="K491" s="142" t="str">
        <f>IF(ISNONTEXT(node_raw[[#This Row],[Column8]]), "", node_raw[[#This Row],[Column8]]/100)</f>
        <v/>
      </c>
      <c r="L491" s="143" t="str">
        <f>IF(ISNONTEXT(node_raw[[#This Row],[Column9]]), "", node_raw[[#This Row],[Column9]]/1)</f>
        <v/>
      </c>
      <c r="M491" s="144" t="str">
        <f>IF(ISNONTEXT(node_raw[[#This Row],[Column10]]), "", node_raw[[#This Row],[Column10]]/1)</f>
        <v/>
      </c>
    </row>
    <row r="492" spans="2:13" ht="15.75" customHeight="1" x14ac:dyDescent="0.25">
      <c r="B492" s="30" t="str">
        <f>IF(ISNONTEXT(node_raw[[#This Row],[Column1]]), "", node_raw[[#This Row],[Column1]])</f>
        <v/>
      </c>
      <c r="C492" s="27" t="str">
        <f>IF(ISNONTEXT(node_raw[[#This Row],[Column2]]), "", node_raw[[#This Row],[Column2]])</f>
        <v/>
      </c>
      <c r="D492" s="54" t="str">
        <f>IF(ISNUMBER(node_raw[[#This Row],[Column3]]), node_raw[[#This Row],[Column3]],"")</f>
        <v/>
      </c>
      <c r="E492" s="57" t="str">
        <f>IF(ISNUMBER(node_raw[[#This Row],[Column4]]), node_raw[[#This Row],[Column4]]/1048576,"")</f>
        <v/>
      </c>
      <c r="F492" s="139" t="str">
        <f>IF(ISNUMBER(node_raw[[#This Row],[Column5]]), node_raw[[#This Row],[Column5]],"")</f>
        <v/>
      </c>
      <c r="G492" s="153" t="str">
        <f t="shared" si="14"/>
        <v/>
      </c>
      <c r="H492" s="140" t="str">
        <f>IF(ISNUMBER(node_raw[[#This Row],[Column6]]), node_raw[[#This Row],[Column6]]/1048576,"")</f>
        <v/>
      </c>
      <c r="I492" s="157" t="str">
        <f t="shared" si="15"/>
        <v/>
      </c>
      <c r="J492" s="141" t="str">
        <f>IF(ISNONTEXT(node_raw[[#This Row],[Column7]]), "", node_raw[[#This Row],[Column7]]/100)</f>
        <v/>
      </c>
      <c r="K492" s="142" t="str">
        <f>IF(ISNONTEXT(node_raw[[#This Row],[Column8]]), "", node_raw[[#This Row],[Column8]]/100)</f>
        <v/>
      </c>
      <c r="L492" s="143" t="str">
        <f>IF(ISNONTEXT(node_raw[[#This Row],[Column9]]), "", node_raw[[#This Row],[Column9]]/1)</f>
        <v/>
      </c>
      <c r="M492" s="144" t="str">
        <f>IF(ISNONTEXT(node_raw[[#This Row],[Column10]]), "", node_raw[[#This Row],[Column10]]/1)</f>
        <v/>
      </c>
    </row>
    <row r="493" spans="2:13" ht="15.75" customHeight="1" x14ac:dyDescent="0.25">
      <c r="B493" s="30" t="str">
        <f>IF(ISNONTEXT(node_raw[[#This Row],[Column1]]), "", node_raw[[#This Row],[Column1]])</f>
        <v/>
      </c>
      <c r="C493" s="27" t="str">
        <f>IF(ISNONTEXT(node_raw[[#This Row],[Column2]]), "", node_raw[[#This Row],[Column2]])</f>
        <v/>
      </c>
      <c r="D493" s="54" t="str">
        <f>IF(ISNUMBER(node_raw[[#This Row],[Column3]]), node_raw[[#This Row],[Column3]],"")</f>
        <v/>
      </c>
      <c r="E493" s="57" t="str">
        <f>IF(ISNUMBER(node_raw[[#This Row],[Column4]]), node_raw[[#This Row],[Column4]]/1048576,"")</f>
        <v/>
      </c>
      <c r="F493" s="139" t="str">
        <f>IF(ISNUMBER(node_raw[[#This Row],[Column5]]), node_raw[[#This Row],[Column5]],"")</f>
        <v/>
      </c>
      <c r="G493" s="153" t="str">
        <f t="shared" si="14"/>
        <v/>
      </c>
      <c r="H493" s="140" t="str">
        <f>IF(ISNUMBER(node_raw[[#This Row],[Column6]]), node_raw[[#This Row],[Column6]]/1048576,"")</f>
        <v/>
      </c>
      <c r="I493" s="157" t="str">
        <f t="shared" si="15"/>
        <v/>
      </c>
      <c r="J493" s="141" t="str">
        <f>IF(ISNONTEXT(node_raw[[#This Row],[Column7]]), "", node_raw[[#This Row],[Column7]]/100)</f>
        <v/>
      </c>
      <c r="K493" s="142" t="str">
        <f>IF(ISNONTEXT(node_raw[[#This Row],[Column8]]), "", node_raw[[#This Row],[Column8]]/100)</f>
        <v/>
      </c>
      <c r="L493" s="143" t="str">
        <f>IF(ISNONTEXT(node_raw[[#This Row],[Column9]]), "", node_raw[[#This Row],[Column9]]/1)</f>
        <v/>
      </c>
      <c r="M493" s="144" t="str">
        <f>IF(ISNONTEXT(node_raw[[#This Row],[Column10]]), "", node_raw[[#This Row],[Column10]]/1)</f>
        <v/>
      </c>
    </row>
    <row r="494" spans="2:13" ht="15.75" customHeight="1" x14ac:dyDescent="0.25">
      <c r="B494" s="30" t="str">
        <f>IF(ISNONTEXT(node_raw[[#This Row],[Column1]]), "", node_raw[[#This Row],[Column1]])</f>
        <v/>
      </c>
      <c r="C494" s="27" t="str">
        <f>IF(ISNONTEXT(node_raw[[#This Row],[Column2]]), "", node_raw[[#This Row],[Column2]])</f>
        <v/>
      </c>
      <c r="D494" s="54" t="str">
        <f>IF(ISNUMBER(node_raw[[#This Row],[Column3]]), node_raw[[#This Row],[Column3]],"")</f>
        <v/>
      </c>
      <c r="E494" s="57" t="str">
        <f>IF(ISNUMBER(node_raw[[#This Row],[Column4]]), node_raw[[#This Row],[Column4]]/1048576,"")</f>
        <v/>
      </c>
      <c r="F494" s="139" t="str">
        <f>IF(ISNUMBER(node_raw[[#This Row],[Column5]]), node_raw[[#This Row],[Column5]],"")</f>
        <v/>
      </c>
      <c r="G494" s="153" t="str">
        <f t="shared" si="14"/>
        <v/>
      </c>
      <c r="H494" s="140" t="str">
        <f>IF(ISNUMBER(node_raw[[#This Row],[Column6]]), node_raw[[#This Row],[Column6]]/1048576,"")</f>
        <v/>
      </c>
      <c r="I494" s="157" t="str">
        <f t="shared" si="15"/>
        <v/>
      </c>
      <c r="J494" s="141" t="str">
        <f>IF(ISNONTEXT(node_raw[[#This Row],[Column7]]), "", node_raw[[#This Row],[Column7]]/100)</f>
        <v/>
      </c>
      <c r="K494" s="142" t="str">
        <f>IF(ISNONTEXT(node_raw[[#This Row],[Column8]]), "", node_raw[[#This Row],[Column8]]/100)</f>
        <v/>
      </c>
      <c r="L494" s="143" t="str">
        <f>IF(ISNONTEXT(node_raw[[#This Row],[Column9]]), "", node_raw[[#This Row],[Column9]]/1)</f>
        <v/>
      </c>
      <c r="M494" s="144" t="str">
        <f>IF(ISNONTEXT(node_raw[[#This Row],[Column10]]), "", node_raw[[#This Row],[Column10]]/1)</f>
        <v/>
      </c>
    </row>
    <row r="495" spans="2:13" ht="15.75" customHeight="1" x14ac:dyDescent="0.25">
      <c r="B495" s="30" t="str">
        <f>IF(ISNONTEXT(node_raw[[#This Row],[Column1]]), "", node_raw[[#This Row],[Column1]])</f>
        <v/>
      </c>
      <c r="C495" s="27" t="str">
        <f>IF(ISNONTEXT(node_raw[[#This Row],[Column2]]), "", node_raw[[#This Row],[Column2]])</f>
        <v/>
      </c>
      <c r="D495" s="54" t="str">
        <f>IF(ISNUMBER(node_raw[[#This Row],[Column3]]), node_raw[[#This Row],[Column3]],"")</f>
        <v/>
      </c>
      <c r="E495" s="57" t="str">
        <f>IF(ISNUMBER(node_raw[[#This Row],[Column4]]), node_raw[[#This Row],[Column4]]/1048576,"")</f>
        <v/>
      </c>
      <c r="F495" s="139" t="str">
        <f>IF(ISNUMBER(node_raw[[#This Row],[Column5]]), node_raw[[#This Row],[Column5]],"")</f>
        <v/>
      </c>
      <c r="G495" s="153" t="str">
        <f t="shared" si="14"/>
        <v/>
      </c>
      <c r="H495" s="140" t="str">
        <f>IF(ISNUMBER(node_raw[[#This Row],[Column6]]), node_raw[[#This Row],[Column6]]/1048576,"")</f>
        <v/>
      </c>
      <c r="I495" s="157" t="str">
        <f t="shared" si="15"/>
        <v/>
      </c>
      <c r="J495" s="141" t="str">
        <f>IF(ISNONTEXT(node_raw[[#This Row],[Column7]]), "", node_raw[[#This Row],[Column7]]/100)</f>
        <v/>
      </c>
      <c r="K495" s="142" t="str">
        <f>IF(ISNONTEXT(node_raw[[#This Row],[Column8]]), "", node_raw[[#This Row],[Column8]]/100)</f>
        <v/>
      </c>
      <c r="L495" s="143" t="str">
        <f>IF(ISNONTEXT(node_raw[[#This Row],[Column9]]), "", node_raw[[#This Row],[Column9]]/1)</f>
        <v/>
      </c>
      <c r="M495" s="144" t="str">
        <f>IF(ISNONTEXT(node_raw[[#This Row],[Column10]]), "", node_raw[[#This Row],[Column10]]/1)</f>
        <v/>
      </c>
    </row>
    <row r="496" spans="2:13" ht="15.75" customHeight="1" x14ac:dyDescent="0.25">
      <c r="B496" s="30" t="str">
        <f>IF(ISNONTEXT(node_raw[[#This Row],[Column1]]), "", node_raw[[#This Row],[Column1]])</f>
        <v/>
      </c>
      <c r="C496" s="27" t="str">
        <f>IF(ISNONTEXT(node_raw[[#This Row],[Column2]]), "", node_raw[[#This Row],[Column2]])</f>
        <v/>
      </c>
      <c r="D496" s="54" t="str">
        <f>IF(ISNUMBER(node_raw[[#This Row],[Column3]]), node_raw[[#This Row],[Column3]],"")</f>
        <v/>
      </c>
      <c r="E496" s="57" t="str">
        <f>IF(ISNUMBER(node_raw[[#This Row],[Column4]]), node_raw[[#This Row],[Column4]]/1048576,"")</f>
        <v/>
      </c>
      <c r="F496" s="139" t="str">
        <f>IF(ISNUMBER(node_raw[[#This Row],[Column5]]), node_raw[[#This Row],[Column5]],"")</f>
        <v/>
      </c>
      <c r="G496" s="153" t="str">
        <f t="shared" si="14"/>
        <v/>
      </c>
      <c r="H496" s="140" t="str">
        <f>IF(ISNUMBER(node_raw[[#This Row],[Column6]]), node_raw[[#This Row],[Column6]]/1048576,"")</f>
        <v/>
      </c>
      <c r="I496" s="157" t="str">
        <f t="shared" si="15"/>
        <v/>
      </c>
      <c r="J496" s="141" t="str">
        <f>IF(ISNONTEXT(node_raw[[#This Row],[Column7]]), "", node_raw[[#This Row],[Column7]]/100)</f>
        <v/>
      </c>
      <c r="K496" s="142" t="str">
        <f>IF(ISNONTEXT(node_raw[[#This Row],[Column8]]), "", node_raw[[#This Row],[Column8]]/100)</f>
        <v/>
      </c>
      <c r="L496" s="143" t="str">
        <f>IF(ISNONTEXT(node_raw[[#This Row],[Column9]]), "", node_raw[[#This Row],[Column9]]/1)</f>
        <v/>
      </c>
      <c r="M496" s="144" t="str">
        <f>IF(ISNONTEXT(node_raw[[#This Row],[Column10]]), "", node_raw[[#This Row],[Column10]]/1)</f>
        <v/>
      </c>
    </row>
    <row r="497" spans="2:13" ht="15.75" customHeight="1" x14ac:dyDescent="0.25">
      <c r="B497" s="30" t="str">
        <f>IF(ISNONTEXT(node_raw[[#This Row],[Column1]]), "", node_raw[[#This Row],[Column1]])</f>
        <v/>
      </c>
      <c r="C497" s="27" t="str">
        <f>IF(ISNONTEXT(node_raw[[#This Row],[Column2]]), "", node_raw[[#This Row],[Column2]])</f>
        <v/>
      </c>
      <c r="D497" s="54" t="str">
        <f>IF(ISNUMBER(node_raw[[#This Row],[Column3]]), node_raw[[#This Row],[Column3]],"")</f>
        <v/>
      </c>
      <c r="E497" s="57" t="str">
        <f>IF(ISNUMBER(node_raw[[#This Row],[Column4]]), node_raw[[#This Row],[Column4]]/1048576,"")</f>
        <v/>
      </c>
      <c r="F497" s="139" t="str">
        <f>IF(ISNUMBER(node_raw[[#This Row],[Column5]]), node_raw[[#This Row],[Column5]],"")</f>
        <v/>
      </c>
      <c r="G497" s="153" t="str">
        <f t="shared" si="14"/>
        <v/>
      </c>
      <c r="H497" s="140" t="str">
        <f>IF(ISNUMBER(node_raw[[#This Row],[Column6]]), node_raw[[#This Row],[Column6]]/1048576,"")</f>
        <v/>
      </c>
      <c r="I497" s="157" t="str">
        <f t="shared" si="15"/>
        <v/>
      </c>
      <c r="J497" s="141" t="str">
        <f>IF(ISNONTEXT(node_raw[[#This Row],[Column7]]), "", node_raw[[#This Row],[Column7]]/100)</f>
        <v/>
      </c>
      <c r="K497" s="142" t="str">
        <f>IF(ISNONTEXT(node_raw[[#This Row],[Column8]]), "", node_raw[[#This Row],[Column8]]/100)</f>
        <v/>
      </c>
      <c r="L497" s="143" t="str">
        <f>IF(ISNONTEXT(node_raw[[#This Row],[Column9]]), "", node_raw[[#This Row],[Column9]]/1)</f>
        <v/>
      </c>
      <c r="M497" s="144" t="str">
        <f>IF(ISNONTEXT(node_raw[[#This Row],[Column10]]), "", node_raw[[#This Row],[Column10]]/1)</f>
        <v/>
      </c>
    </row>
    <row r="498" spans="2:13" ht="15.75" customHeight="1" x14ac:dyDescent="0.25">
      <c r="B498" s="30" t="str">
        <f>IF(ISNONTEXT(node_raw[[#This Row],[Column1]]), "", node_raw[[#This Row],[Column1]])</f>
        <v/>
      </c>
      <c r="C498" s="27" t="str">
        <f>IF(ISNONTEXT(node_raw[[#This Row],[Column2]]), "", node_raw[[#This Row],[Column2]])</f>
        <v/>
      </c>
      <c r="D498" s="54" t="str">
        <f>IF(ISNUMBER(node_raw[[#This Row],[Column3]]), node_raw[[#This Row],[Column3]],"")</f>
        <v/>
      </c>
      <c r="E498" s="57" t="str">
        <f>IF(ISNUMBER(node_raw[[#This Row],[Column4]]), node_raw[[#This Row],[Column4]]/1048576,"")</f>
        <v/>
      </c>
      <c r="F498" s="139" t="str">
        <f>IF(ISNUMBER(node_raw[[#This Row],[Column5]]), node_raw[[#This Row],[Column5]],"")</f>
        <v/>
      </c>
      <c r="G498" s="153" t="str">
        <f t="shared" si="14"/>
        <v/>
      </c>
      <c r="H498" s="140" t="str">
        <f>IF(ISNUMBER(node_raw[[#This Row],[Column6]]), node_raw[[#This Row],[Column6]]/1048576,"")</f>
        <v/>
      </c>
      <c r="I498" s="157" t="str">
        <f t="shared" si="15"/>
        <v/>
      </c>
      <c r="J498" s="141" t="str">
        <f>IF(ISNONTEXT(node_raw[[#This Row],[Column7]]), "", node_raw[[#This Row],[Column7]]/100)</f>
        <v/>
      </c>
      <c r="K498" s="142" t="str">
        <f>IF(ISNONTEXT(node_raw[[#This Row],[Column8]]), "", node_raw[[#This Row],[Column8]]/100)</f>
        <v/>
      </c>
      <c r="L498" s="143" t="str">
        <f>IF(ISNONTEXT(node_raw[[#This Row],[Column9]]), "", node_raw[[#This Row],[Column9]]/1)</f>
        <v/>
      </c>
      <c r="M498" s="144" t="str">
        <f>IF(ISNONTEXT(node_raw[[#This Row],[Column10]]), "", node_raw[[#This Row],[Column10]]/1)</f>
        <v/>
      </c>
    </row>
    <row r="499" spans="2:13" ht="15.75" customHeight="1" x14ac:dyDescent="0.25">
      <c r="B499" s="30" t="str">
        <f>IF(ISNONTEXT(node_raw[[#This Row],[Column1]]), "", node_raw[[#This Row],[Column1]])</f>
        <v/>
      </c>
      <c r="C499" s="27" t="str">
        <f>IF(ISNONTEXT(node_raw[[#This Row],[Column2]]), "", node_raw[[#This Row],[Column2]])</f>
        <v/>
      </c>
      <c r="D499" s="54" t="str">
        <f>IF(ISNUMBER(node_raw[[#This Row],[Column3]]), node_raw[[#This Row],[Column3]],"")</f>
        <v/>
      </c>
      <c r="E499" s="57" t="str">
        <f>IF(ISNUMBER(node_raw[[#This Row],[Column4]]), node_raw[[#This Row],[Column4]]/1048576,"")</f>
        <v/>
      </c>
      <c r="F499" s="139" t="str">
        <f>IF(ISNUMBER(node_raw[[#This Row],[Column5]]), node_raw[[#This Row],[Column5]],"")</f>
        <v/>
      </c>
      <c r="G499" s="153" t="str">
        <f t="shared" si="14"/>
        <v/>
      </c>
      <c r="H499" s="140" t="str">
        <f>IF(ISNUMBER(node_raw[[#This Row],[Column6]]), node_raw[[#This Row],[Column6]]/1048576,"")</f>
        <v/>
      </c>
      <c r="I499" s="157" t="str">
        <f t="shared" si="15"/>
        <v/>
      </c>
      <c r="J499" s="141" t="str">
        <f>IF(ISNONTEXT(node_raw[[#This Row],[Column7]]), "", node_raw[[#This Row],[Column7]]/100)</f>
        <v/>
      </c>
      <c r="K499" s="142" t="str">
        <f>IF(ISNONTEXT(node_raw[[#This Row],[Column8]]), "", node_raw[[#This Row],[Column8]]/100)</f>
        <v/>
      </c>
      <c r="L499" s="143" t="str">
        <f>IF(ISNONTEXT(node_raw[[#This Row],[Column9]]), "", node_raw[[#This Row],[Column9]]/1)</f>
        <v/>
      </c>
      <c r="M499" s="144" t="str">
        <f>IF(ISNONTEXT(node_raw[[#This Row],[Column10]]), "", node_raw[[#This Row],[Column10]]/1)</f>
        <v/>
      </c>
    </row>
    <row r="500" spans="2:13" ht="15.75" customHeight="1" x14ac:dyDescent="0.25">
      <c r="B500" s="30" t="str">
        <f>IF(ISNONTEXT(node_raw[[#This Row],[Column1]]), "", node_raw[[#This Row],[Column1]])</f>
        <v/>
      </c>
      <c r="C500" s="27" t="str">
        <f>IF(ISNONTEXT(node_raw[[#This Row],[Column2]]), "", node_raw[[#This Row],[Column2]])</f>
        <v/>
      </c>
      <c r="D500" s="54" t="str">
        <f>IF(ISNUMBER(node_raw[[#This Row],[Column3]]), node_raw[[#This Row],[Column3]],"")</f>
        <v/>
      </c>
      <c r="E500" s="57" t="str">
        <f>IF(ISNUMBER(node_raw[[#This Row],[Column4]]), node_raw[[#This Row],[Column4]]/1048576,"")</f>
        <v/>
      </c>
      <c r="F500" s="139" t="str">
        <f>IF(ISNUMBER(node_raw[[#This Row],[Column5]]), node_raw[[#This Row],[Column5]],"")</f>
        <v/>
      </c>
      <c r="G500" s="153" t="str">
        <f t="shared" si="14"/>
        <v/>
      </c>
      <c r="H500" s="140" t="str">
        <f>IF(ISNUMBER(node_raw[[#This Row],[Column6]]), node_raw[[#This Row],[Column6]]/1048576,"")</f>
        <v/>
      </c>
      <c r="I500" s="157" t="str">
        <f t="shared" si="15"/>
        <v/>
      </c>
      <c r="J500" s="141" t="str">
        <f>IF(ISNONTEXT(node_raw[[#This Row],[Column7]]), "", node_raw[[#This Row],[Column7]]/100)</f>
        <v/>
      </c>
      <c r="K500" s="142" t="str">
        <f>IF(ISNONTEXT(node_raw[[#This Row],[Column8]]), "", node_raw[[#This Row],[Column8]]/100)</f>
        <v/>
      </c>
      <c r="L500" s="143" t="str">
        <f>IF(ISNONTEXT(node_raw[[#This Row],[Column9]]), "", node_raw[[#This Row],[Column9]]/1)</f>
        <v/>
      </c>
      <c r="M500" s="144" t="str">
        <f>IF(ISNONTEXT(node_raw[[#This Row],[Column10]]), "", node_raw[[#This Row],[Column10]]/1)</f>
        <v/>
      </c>
    </row>
    <row r="501" spans="2:13" ht="15.75" customHeight="1" x14ac:dyDescent="0.25">
      <c r="G501" s="154"/>
      <c r="H501" s="143"/>
      <c r="I501" s="158"/>
      <c r="J501" s="141"/>
      <c r="K501" s="146"/>
      <c r="L501" s="143"/>
      <c r="M501" s="144"/>
    </row>
    <row r="502" spans="2:13" ht="15.75" customHeight="1" x14ac:dyDescent="0.25"/>
    <row r="503" spans="2:13" ht="15.75" customHeight="1" x14ac:dyDescent="0.25"/>
    <row r="504" spans="2:13" ht="15.75" customHeight="1" x14ac:dyDescent="0.25"/>
    <row r="505" spans="2:13" ht="15.75" customHeight="1" x14ac:dyDescent="0.25"/>
    <row r="506" spans="2:13" ht="15.75" customHeight="1" x14ac:dyDescent="0.25"/>
    <row r="507" spans="2:13" ht="15.75" customHeight="1" x14ac:dyDescent="0.25"/>
    <row r="508" spans="2:13" ht="15.75" customHeight="1" x14ac:dyDescent="0.25"/>
    <row r="509" spans="2:13" ht="15.75" customHeight="1" x14ac:dyDescent="0.25"/>
    <row r="510" spans="2:13" ht="15.75" customHeight="1" x14ac:dyDescent="0.25"/>
    <row r="511" spans="2:13" ht="15.75" customHeight="1" x14ac:dyDescent="0.25"/>
    <row r="512" spans="2:13"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I1" xr:uid="{00000000-0009-0000-0000-000000000000}"/>
  <pageMargins left="0.7" right="0.7" top="0.75" bottom="0.75" header="0" footer="0"/>
  <pageSetup orientation="landscape" r:id="rId1"/>
  <headerFooter>
    <oddFooter>&amp;C_x000D_&amp;1#&amp;"Calibri"&amp;7&amp;K000000 Juniper Business Use Only</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U1002"/>
  <sheetViews>
    <sheetView tabSelected="1" zoomScaleNormal="100" workbookViewId="0">
      <pane xSplit="1" ySplit="3" topLeftCell="N4" activePane="bottomRight" state="frozen"/>
      <selection pane="topRight" activeCell="B1" sqref="B1"/>
      <selection pane="bottomLeft" activeCell="A4" sqref="A4"/>
      <selection pane="bottomRight" activeCell="R95" sqref="R95"/>
    </sheetView>
  </sheetViews>
  <sheetFormatPr defaultColWidth="14.42578125" defaultRowHeight="15" customHeight="1" x14ac:dyDescent="0.25"/>
  <cols>
    <col min="1" max="1" width="38.7109375" style="38" customWidth="1"/>
    <col min="2" max="2" width="16.42578125" style="39" customWidth="1"/>
    <col min="3" max="3" width="16.7109375" style="39" customWidth="1"/>
    <col min="4" max="4" width="18.85546875" style="39" customWidth="1"/>
    <col min="5" max="5" width="13.7109375" style="40" customWidth="1"/>
    <col min="6" max="6" width="18.28515625" style="97" customWidth="1"/>
    <col min="7" max="7" width="18.42578125" style="98" customWidth="1"/>
    <col min="8" max="8" width="22" style="98" customWidth="1"/>
    <col min="9" max="9" width="22.85546875" style="99" customWidth="1"/>
    <col min="10" max="10" width="18.28515625" style="126" customWidth="1"/>
    <col min="11" max="11" width="18.42578125" style="127" customWidth="1"/>
    <col min="12" max="12" width="22.7109375" style="127" customWidth="1"/>
    <col min="13" max="13" width="22.7109375" style="128" customWidth="1"/>
    <col min="14" max="14" width="18.28515625" style="171" customWidth="1"/>
    <col min="15" max="15" width="18.28515625" style="172" customWidth="1"/>
    <col min="16" max="16" width="22.7109375" style="173" customWidth="1"/>
    <col min="17" max="17" width="22.7109375" style="172" customWidth="1"/>
    <col min="18" max="18" width="25.85546875" style="174" customWidth="1"/>
    <col min="19" max="19" width="25.85546875" style="175" customWidth="1"/>
    <col min="20" max="20" width="18.28515625" style="203" customWidth="1"/>
    <col min="21" max="21" width="18.28515625" style="205" customWidth="1"/>
    <col min="22" max="26" width="8.7109375" style="10" customWidth="1"/>
    <col min="27" max="16384" width="14.42578125" style="10"/>
  </cols>
  <sheetData>
    <row r="1" spans="1:21" ht="39.75" customHeight="1" thickTop="1" thickBot="1" x14ac:dyDescent="0.3">
      <c r="A1" s="201" t="str">
        <f>IF(ISNUMBER(VALUE('deployment-raw'!D3)),_xlfn.CONCAT('deployment-raw'!A3, ", ", 'deployment-raw'!B3),"")</f>
        <v>1.1.4, 0</v>
      </c>
      <c r="B1" s="189"/>
      <c r="C1" s="189"/>
      <c r="D1" s="189"/>
      <c r="E1" s="192" t="s">
        <v>83</v>
      </c>
      <c r="F1" s="216" t="str">
        <f>IF(ISNUMBER(VALUE('deployment-raw'!D3)),_xlfn.CONCAT("Granularity:  ", 'deployment-raw'!D3),"")</f>
        <v>Granularity:  0</v>
      </c>
      <c r="G1" s="217"/>
      <c r="H1" s="194"/>
      <c r="I1" s="194"/>
      <c r="J1" s="194"/>
      <c r="K1" s="194"/>
      <c r="L1" s="184" t="s">
        <v>67</v>
      </c>
      <c r="M1" s="78" t="s">
        <v>68</v>
      </c>
      <c r="N1" s="186"/>
      <c r="O1" s="102"/>
      <c r="P1" s="103" t="s">
        <v>61</v>
      </c>
      <c r="Q1" s="104" t="s">
        <v>62</v>
      </c>
      <c r="R1" s="77" t="s">
        <v>48</v>
      </c>
      <c r="S1" s="129" t="s">
        <v>49</v>
      </c>
      <c r="T1" s="209"/>
      <c r="U1" s="194"/>
    </row>
    <row r="2" spans="1:21" ht="24.75" customHeight="1" thickTop="1" thickBot="1" x14ac:dyDescent="0.3">
      <c r="A2" s="200" t="str">
        <f>IF(ISNUMBER(VALUE('deployment-raw'!D3)),_xlfn.CONCAT("Cluster:  ", 'deployment-raw'!C3),"")</f>
        <v xml:space="preserve">Cluster:   </v>
      </c>
      <c r="B2" s="190"/>
      <c r="C2" s="190"/>
      <c r="D2" s="190"/>
      <c r="E2" s="193" t="s">
        <v>0</v>
      </c>
      <c r="F2" s="196"/>
      <c r="G2" s="197"/>
      <c r="H2" s="198"/>
      <c r="I2" s="198"/>
      <c r="J2" s="198"/>
      <c r="K2" s="199"/>
      <c r="L2" s="185">
        <v>50</v>
      </c>
      <c r="M2" s="188">
        <v>25</v>
      </c>
      <c r="N2" s="187" t="s">
        <v>57</v>
      </c>
      <c r="O2" s="132" t="str">
        <f>IF(deployment!A4&lt;&gt;"", MAX('deployment-raw'!P:P),"")</f>
        <v/>
      </c>
      <c r="P2" s="160">
        <v>0</v>
      </c>
      <c r="Q2" s="161">
        <v>0</v>
      </c>
      <c r="R2" s="162">
        <v>0</v>
      </c>
      <c r="S2" s="206">
        <v>0</v>
      </c>
      <c r="T2" s="208"/>
      <c r="U2" s="207"/>
    </row>
    <row r="3" spans="1:21" ht="59.25" customHeight="1" thickBot="1" x14ac:dyDescent="0.3">
      <c r="A3" s="89" t="s">
        <v>0</v>
      </c>
      <c r="B3" s="89" t="s">
        <v>22</v>
      </c>
      <c r="C3" s="89" t="s">
        <v>23</v>
      </c>
      <c r="D3" s="92" t="s">
        <v>90</v>
      </c>
      <c r="E3" s="90" t="s">
        <v>1</v>
      </c>
      <c r="F3" s="91" t="s">
        <v>52</v>
      </c>
      <c r="G3" s="92" t="s">
        <v>53</v>
      </c>
      <c r="H3" s="92" t="s">
        <v>54</v>
      </c>
      <c r="I3" s="93" t="s">
        <v>55</v>
      </c>
      <c r="J3" s="91" t="s">
        <v>69</v>
      </c>
      <c r="K3" s="92" t="s">
        <v>70</v>
      </c>
      <c r="L3" s="92" t="s">
        <v>71</v>
      </c>
      <c r="M3" s="176" t="s">
        <v>72</v>
      </c>
      <c r="N3" s="100" t="s">
        <v>65</v>
      </c>
      <c r="O3" s="101" t="s">
        <v>66</v>
      </c>
      <c r="P3" s="105" t="s">
        <v>59</v>
      </c>
      <c r="Q3" s="106" t="s">
        <v>60</v>
      </c>
      <c r="R3" s="130" t="s">
        <v>63</v>
      </c>
      <c r="S3" s="131" t="s">
        <v>64</v>
      </c>
      <c r="T3" s="100" t="s">
        <v>84</v>
      </c>
      <c r="U3" s="101" t="s">
        <v>85</v>
      </c>
    </row>
    <row r="4" spans="1:21" ht="15.75" thickTop="1" x14ac:dyDescent="0.25">
      <c r="A4" s="32" t="str">
        <f>IF(ISNONTEXT(deployment_raw[[#This Row],[Column1]]), "", deployment_raw[[#This Row],[Column1]])</f>
        <v/>
      </c>
      <c r="B4" s="33" t="str">
        <f>IF(ISNONTEXT(deployment_raw[[#This Row],[Column2]]), "", deployment_raw[[#This Row],[Column2]])</f>
        <v/>
      </c>
      <c r="C4" s="33" t="str">
        <f>IF(ISNONTEXT(deployment_raw[[#This Row],[Column3]]), "", deployment_raw[[#This Row],[Column3]])</f>
        <v/>
      </c>
      <c r="D4" s="33" t="str">
        <f>IF(ISNONTEXT(deployment_raw[[#This Row],[Column4]]), "", deployment_raw[[#This Row],[Column4]])</f>
        <v/>
      </c>
      <c r="E4" s="34" t="str">
        <f>IF(ISNUMBER(deployment_raw[[#This Row],[Column5]]), deployment_raw[[#This Row],[Column5]],"")</f>
        <v/>
      </c>
      <c r="F4" s="94" t="str">
        <f>IF(ISNUMBER(deployment_raw[[#This Row],[Column6]]), (deployment_raw[[#This Row],[Column6]] * IF($E$2="Deployment",deployment_raw[[#This Row],[Column5]],1)),"")</f>
        <v/>
      </c>
      <c r="G4" s="95" t="str">
        <f>IF(ISNUMBER(deployment_raw[[#This Row],[Column7]]), (deployment_raw[[#This Row],[Column7]] * IF($E$2="Deployment",deployment_raw[[#This Row],[Column5]],1))/1048576,"")</f>
        <v/>
      </c>
      <c r="H4" s="95" t="str">
        <f>IF(ISNUMBER(deployment_raw[[#This Row],[Column8]]), (deployment_raw[[#This Row],[Column8]]  * IF($E$2="Deployment",deployment_raw[[#This Row],[Column5]],1)),"")</f>
        <v/>
      </c>
      <c r="I4" s="96" t="str">
        <f>IF(ISNUMBER(deployment_raw[[#This Row],[Column9]]), (deployment_raw[[#This Row],[Column9]] * IF($E$2="Deployment",deployment_raw[[#This Row],[Column5]],1))/1048576,"")</f>
        <v/>
      </c>
      <c r="J4" s="122" t="str">
        <f>IF(ISNUMBER(deployment_raw[[#This Row],[Column10]]), (MIN(IF(N4&lt;&gt;"",N4,9999999999999)*1.1,deployment_raw[[#This Row],[Column10]] * IF($E$2="Deployment",deployment_raw[[#This Row],[Column5]],1))),"")</f>
        <v/>
      </c>
      <c r="K4" s="123" t="str">
        <f>IF(ISNUMBER(deployment_raw[[#This Row],[Column11]]), (MIN(IF(O4&lt;&gt;"",O4,9999999999999)*1.1,deployment_raw[[#This Row],[Column11]] * IF($E$2="Deployment",deployment_raw[[#This Row],[Column5]],1)/1048576)),"")</f>
        <v/>
      </c>
      <c r="L4" s="124" t="str">
        <f>IF(ISNUMBER(deployment_raw[[#This Row],[Column8]]),IF(OR(deployment_raw[[#This Row],[Column5]] &lt;&gt; 0,$E$2 &lt;&gt; "Deployment"), MAX(J4, P4, R4, ($L$2 * IF($E$2="Deployment",deployment_raw[[#This Row],[Column5]],1)),IF(T4&lt;&gt;"",VALUE(T4) * IF($E$2="Deployment",deployment_raw[[#This Row],[Column5]],1),0)), 0),"")</f>
        <v/>
      </c>
      <c r="M4" s="125" t="str">
        <f>IF(ISNUMBER(deployment_raw[[#This Row],[Column9]]),IF(OR(deployment_raw[[#This Row],[Column5]] &lt;&gt; 0,$E$2&lt;&gt;"Deployment"), MAX(K4, Q4, S4, ($M$2 * IF($E$2="Deployment",deployment_raw[[#This Row],[Column5]],1)),IF(U4&lt;&gt;"",VALUE(U4) * IF($E$2="Deployment",deployment_raw[[#This Row],[Column5]],1),0)), 0),"")</f>
        <v/>
      </c>
      <c r="N4" s="166" t="str">
        <f>IF(ISNUMBER(deployment_raw[[#This Row],[Column14]]), deployment_raw[[#This Row],[Column14]]/IF(OR($E$2="Deployment",deployment_raw[[#This Row],[Column5]]=0),1,deployment_raw[[#This Row],[Column5]]),"")</f>
        <v/>
      </c>
      <c r="O4" s="167" t="str">
        <f>IF(ISNUMBER(deployment_raw[[#This Row],[Column15]]), deployment_raw[[#This Row],[Column15]]/IF(OR($E$2="Deployment",deployment_raw[[#This Row],[Column5]]=0),1,deployment_raw[[#This Row],[Column5]])/1048576,"")</f>
        <v/>
      </c>
      <c r="P4" s="168" t="str">
        <f>IF(ISNUMBER(deployment_raw[[#This Row],[Column12]]), (MIN(IF(N4&lt;&gt;"",N4,9999999999999)*1.1,deployment_raw[[#This Row],[Column12]] * IF($E$2="Deployment",deployment_raw[[#This Row],[Column5]],1))*(1+$P$2)),"")</f>
        <v/>
      </c>
      <c r="Q4" s="167" t="str">
        <f>IF(ISNUMBER(deployment_raw[[#This Row],[Column13]]), (MIN(IF(O4&lt;&gt;"",O4,9999999999999)*1.1,deployment_raw[[#This Row],[Column13]] * IF($E$2="Deployment",deployment_raw[[#This Row],[Column5]],1)*(1+$Q$2)/1048576)),"")</f>
        <v/>
      </c>
      <c r="R4" s="169" t="str">
        <f>IF(ISNUMBER(deployment_raw[[#This Row],[Column8]]), (H4  * IF(N4&lt;&gt;0,$R$2,1)),"")</f>
        <v/>
      </c>
      <c r="S4" s="170" t="str">
        <f>IF(ISNUMBER(deployment_raw[[#This Row],[Column8]]), (I4  * IF(O4&lt;&gt;0,$S$2,1)),"")</f>
        <v/>
      </c>
      <c r="T4" s="210" t="str">
        <f>IF(AND(A4&lt;&gt;"",_xlfn.IFNA(MATCH(A4,'dynamic resource application '!$A$2:$A$100, 0),0)&lt;&gt;0), H4/(IF($E$2="Deployment",E4,1)),"")</f>
        <v/>
      </c>
      <c r="U4" s="211" t="str">
        <f>IF(AND(A4&lt;&gt;"",_xlfn.IFNA(MATCH(A4,'dynamic resource application '!$A$2:$A$100, 0),0)&lt;&gt;0), I4/(IF($E$2="Deployment",E4,1)),"")</f>
        <v/>
      </c>
    </row>
    <row r="5" spans="1:21" x14ac:dyDescent="0.25">
      <c r="A5" s="35" t="str">
        <f>IF(ISNONTEXT(deployment_raw[[#This Row],[Column1]]), "", deployment_raw[[#This Row],[Column1]])</f>
        <v/>
      </c>
      <c r="B5" s="36" t="str">
        <f>IF(ISNONTEXT(deployment_raw[[#This Row],[Column2]]), "", deployment_raw[[#This Row],[Column2]])</f>
        <v/>
      </c>
      <c r="C5" s="36" t="str">
        <f>IF(ISNONTEXT(deployment_raw[[#This Row],[Column3]]), "", deployment_raw[[#This Row],[Column3]])</f>
        <v/>
      </c>
      <c r="D5" s="36" t="str">
        <f>IF(ISNONTEXT(deployment_raw[[#This Row],[Column4]]), "", deployment_raw[[#This Row],[Column4]])</f>
        <v/>
      </c>
      <c r="E5" s="37" t="str">
        <f>IF(ISNUMBER(deployment_raw[[#This Row],[Column5]]), deployment_raw[[#This Row],[Column5]],"")</f>
        <v/>
      </c>
      <c r="F5" s="94" t="str">
        <f>IF(ISNUMBER(deployment_raw[[#This Row],[Column6]]), (deployment_raw[[#This Row],[Column6]] * IF($E$2="Deployment",deployment_raw[[#This Row],[Column5]],1)),"")</f>
        <v/>
      </c>
      <c r="G5" s="95" t="str">
        <f>IF(ISNUMBER(deployment_raw[[#This Row],[Column7]]), (deployment_raw[[#This Row],[Column7]] * IF($E$2="Deployment",deployment_raw[[#This Row],[Column5]],1))/1048576,"")</f>
        <v/>
      </c>
      <c r="H5" s="95" t="str">
        <f>IF(ISNUMBER(deployment_raw[[#This Row],[Column8]]), (deployment_raw[[#This Row],[Column8]]  * IF($E$2="Deployment",deployment_raw[[#This Row],[Column5]],1)),"")</f>
        <v/>
      </c>
      <c r="I5" s="96" t="str">
        <f>IF(ISNUMBER(deployment_raw[[#This Row],[Column9]]), (deployment_raw[[#This Row],[Column9]] * IF($E$2="Deployment",deployment_raw[[#This Row],[Column5]],1))/1048576,"")</f>
        <v/>
      </c>
      <c r="J5" s="122" t="str">
        <f>IF(ISNUMBER(deployment_raw[[#This Row],[Column10]]), (MIN(IF(N5&lt;&gt;"",N5,9999999999999)*1.1,deployment_raw[[#This Row],[Column10]] * IF($E$2="Deployment",deployment_raw[[#This Row],[Column5]],1))),"")</f>
        <v/>
      </c>
      <c r="K5" s="123" t="str">
        <f>IF(ISNUMBER(deployment_raw[[#This Row],[Column11]]), (MIN(IF(O5&lt;&gt;"",O5,9999999999999)*1.1,deployment_raw[[#This Row],[Column11]] * IF($E$2="Deployment",deployment_raw[[#This Row],[Column5]],1)/1048576)),"")</f>
        <v/>
      </c>
      <c r="L5" s="124" t="str">
        <f>IF(ISNUMBER(deployment_raw[[#This Row],[Column8]]),IF(OR(deployment_raw[[#This Row],[Column5]] &lt;&gt; 0,$E$2 &lt;&gt; "Deployment"), MAX(J5, P5, R5, ($L$2 * IF($E$2="Deployment",deployment_raw[[#This Row],[Column5]],1)),IF(T5&lt;&gt;"",VALUE(T5) * IF($E$2="Deployment",deployment_raw[[#This Row],[Column5]],1),0)), 0),"")</f>
        <v/>
      </c>
      <c r="M5" s="125" t="str">
        <f>IF(ISNUMBER(deployment_raw[[#This Row],[Column9]]),IF(OR(deployment_raw[[#This Row],[Column5]] &lt;&gt; 0,$E$2&lt;&gt;"Deployment"), MAX(K5, Q5, S5, ($M$2 * IF($E$2="Deployment",deployment_raw[[#This Row],[Column5]],1)),IF(U5&lt;&gt;"",VALUE(U5) * IF($E$2="Deployment",deployment_raw[[#This Row],[Column5]],1),0)), 0),"")</f>
        <v/>
      </c>
      <c r="N5" s="166" t="str">
        <f>IF(ISNUMBER(deployment_raw[[#This Row],[Column14]]), deployment_raw[[#This Row],[Column14]]/IF(OR($E$2="Deployment",deployment_raw[[#This Row],[Column5]]=0),1,deployment_raw[[#This Row],[Column5]]),"")</f>
        <v/>
      </c>
      <c r="O5" s="167" t="str">
        <f>IF(ISNUMBER(deployment_raw[[#This Row],[Column15]]), deployment_raw[[#This Row],[Column15]]/IF(OR($E$2="Deployment",deployment_raw[[#This Row],[Column5]]=0),1,deployment_raw[[#This Row],[Column5]])/1048576,"")</f>
        <v/>
      </c>
      <c r="P5" s="168" t="str">
        <f>IF(ISNUMBER(deployment_raw[[#This Row],[Column12]]), (MIN(IF(N5&lt;&gt;"",N5,9999999999999)*1.1,deployment_raw[[#This Row],[Column12]] * IF($E$2="Deployment",deployment_raw[[#This Row],[Column5]],1))*(1+$P$2)),"")</f>
        <v/>
      </c>
      <c r="Q5" s="167" t="str">
        <f>IF(ISNUMBER(deployment_raw[[#This Row],[Column13]]), (MIN(IF(O5&lt;&gt;"",O5,9999999999999)*1.1,deployment_raw[[#This Row],[Column13]] * IF($E$2="Deployment",deployment_raw[[#This Row],[Column5]],1)*(1+$Q$2)/1048576)),"")</f>
        <v/>
      </c>
      <c r="R5" s="169" t="str">
        <f>IF(ISNUMBER(deployment_raw[[#This Row],[Column8]]), (H5  * IF(N5&lt;&gt;0,$R$2,1)),"")</f>
        <v/>
      </c>
      <c r="S5" s="170" t="str">
        <f>IF(ISNUMBER(deployment_raw[[#This Row],[Column8]]), (I5  * IF(O5&lt;&gt;0,$S$2,1)),"")</f>
        <v/>
      </c>
      <c r="T5" s="212" t="str">
        <f>IF(AND(A5&lt;&gt;"",_xlfn.IFNA(MATCH(A5,'dynamic resource application '!$A$2:$A$100, 0),0)&lt;&gt;0), H5/(IF($E$2="Deployment",E5,1)),"")</f>
        <v/>
      </c>
      <c r="U5" s="211" t="str">
        <f>IF(AND(A5&lt;&gt;"",_xlfn.IFNA(MATCH(A5,'dynamic resource application '!$A$2:$A$100, 0),0)&lt;&gt;0), I5/(IF($E$2="Deployment",E5,1)),"")</f>
        <v/>
      </c>
    </row>
    <row r="6" spans="1:21" x14ac:dyDescent="0.25">
      <c r="A6" s="35" t="str">
        <f>IF(ISNONTEXT(deployment_raw[[#This Row],[Column1]]), "", deployment_raw[[#This Row],[Column1]])</f>
        <v/>
      </c>
      <c r="B6" s="36" t="str">
        <f>IF(ISNONTEXT(deployment_raw[[#This Row],[Column2]]), "", deployment_raw[[#This Row],[Column2]])</f>
        <v/>
      </c>
      <c r="C6" s="36" t="str">
        <f>IF(ISNONTEXT(deployment_raw[[#This Row],[Column3]]), "", deployment_raw[[#This Row],[Column3]])</f>
        <v/>
      </c>
      <c r="D6" s="36" t="str">
        <f>IF(ISNONTEXT(deployment_raw[[#This Row],[Column4]]), "", deployment_raw[[#This Row],[Column4]])</f>
        <v/>
      </c>
      <c r="E6" s="37" t="str">
        <f>IF(ISNUMBER(deployment_raw[[#This Row],[Column5]]), deployment_raw[[#This Row],[Column5]],"")</f>
        <v/>
      </c>
      <c r="F6" s="94" t="str">
        <f>IF(ISNUMBER(deployment_raw[[#This Row],[Column6]]), (deployment_raw[[#This Row],[Column6]] * IF($E$2="Deployment",deployment_raw[[#This Row],[Column5]],1)),"")</f>
        <v/>
      </c>
      <c r="G6" s="95" t="str">
        <f>IF(ISNUMBER(deployment_raw[[#This Row],[Column7]]), (deployment_raw[[#This Row],[Column7]] * IF($E$2="Deployment",deployment_raw[[#This Row],[Column5]],1))/1048576,"")</f>
        <v/>
      </c>
      <c r="H6" s="95" t="str">
        <f>IF(ISNUMBER(deployment_raw[[#This Row],[Column8]]), (deployment_raw[[#This Row],[Column8]]  * IF($E$2="Deployment",deployment_raw[[#This Row],[Column5]],1)),"")</f>
        <v/>
      </c>
      <c r="I6" s="96" t="str">
        <f>IF(ISNUMBER(deployment_raw[[#This Row],[Column9]]), (deployment_raw[[#This Row],[Column9]] * IF($E$2="Deployment",deployment_raw[[#This Row],[Column5]],1))/1048576,"")</f>
        <v/>
      </c>
      <c r="J6" s="122" t="str">
        <f>IF(ISNUMBER(deployment_raw[[#This Row],[Column10]]), (MIN(IF(N6&lt;&gt;"",N6,9999999999999)*1.1,deployment_raw[[#This Row],[Column10]] * IF($E$2="Deployment",deployment_raw[[#This Row],[Column5]],1))),"")</f>
        <v/>
      </c>
      <c r="K6" s="123" t="str">
        <f>IF(ISNUMBER(deployment_raw[[#This Row],[Column11]]), (MIN(IF(O6&lt;&gt;"",O6,9999999999999)*1.1,deployment_raw[[#This Row],[Column11]] * IF($E$2="Deployment",deployment_raw[[#This Row],[Column5]],1)/1048576)),"")</f>
        <v/>
      </c>
      <c r="L6" s="124" t="str">
        <f>IF(ISNUMBER(deployment_raw[[#This Row],[Column8]]),IF(OR(deployment_raw[[#This Row],[Column5]] &lt;&gt; 0,$E$2 &lt;&gt; "Deployment"), MAX(J6, P6, R6, ($L$2 * IF($E$2="Deployment",deployment_raw[[#This Row],[Column5]],1)),IF(T6&lt;&gt;"",VALUE(T6) * IF($E$2="Deployment",deployment_raw[[#This Row],[Column5]],1),0)), 0),"")</f>
        <v/>
      </c>
      <c r="M6" s="125" t="str">
        <f>IF(ISNUMBER(deployment_raw[[#This Row],[Column9]]),IF(OR(deployment_raw[[#This Row],[Column5]] &lt;&gt; 0,$E$2&lt;&gt;"Deployment"), MAX(K6, Q6, S6, ($M$2 * IF($E$2="Deployment",deployment_raw[[#This Row],[Column5]],1)),IF(U6&lt;&gt;"",VALUE(U6) * IF($E$2="Deployment",deployment_raw[[#This Row],[Column5]],1),0)), 0),"")</f>
        <v/>
      </c>
      <c r="N6" s="166" t="str">
        <f>IF(ISNUMBER(deployment_raw[[#This Row],[Column14]]), deployment_raw[[#This Row],[Column14]]/IF(OR($E$2="Deployment",deployment_raw[[#This Row],[Column5]]=0),1,deployment_raw[[#This Row],[Column5]]),"")</f>
        <v/>
      </c>
      <c r="O6" s="167" t="str">
        <f>IF(ISNUMBER(deployment_raw[[#This Row],[Column15]]), deployment_raw[[#This Row],[Column15]]/IF(OR($E$2="Deployment",deployment_raw[[#This Row],[Column5]]=0),1,deployment_raw[[#This Row],[Column5]])/1048576,"")</f>
        <v/>
      </c>
      <c r="P6" s="168" t="str">
        <f>IF(ISNUMBER(deployment_raw[[#This Row],[Column12]]), (MIN(IF(N6&lt;&gt;"",N6,9999999999999)*1.1,deployment_raw[[#This Row],[Column12]] * IF($E$2="Deployment",deployment_raw[[#This Row],[Column5]],1))*(1+$P$2)),"")</f>
        <v/>
      </c>
      <c r="Q6" s="167" t="str">
        <f>IF(ISNUMBER(deployment_raw[[#This Row],[Column13]]), (MIN(IF(O6&lt;&gt;"",O6,9999999999999)*1.1,deployment_raw[[#This Row],[Column13]] * IF($E$2="Deployment",deployment_raw[[#This Row],[Column5]],1)*(1+$Q$2)/1048576)),"")</f>
        <v/>
      </c>
      <c r="R6" s="169" t="str">
        <f>IF(ISNUMBER(deployment_raw[[#This Row],[Column8]]), (H6  * IF(N6&lt;&gt;0,$R$2,1)),"")</f>
        <v/>
      </c>
      <c r="S6" s="170" t="str">
        <f>IF(ISNUMBER(deployment_raw[[#This Row],[Column8]]), (I6  * IF(O6&lt;&gt;0,$S$2,1)),"")</f>
        <v/>
      </c>
      <c r="T6" s="202" t="str">
        <f>IF(AND(A6&lt;&gt;"",_xlfn.IFNA(MATCH(A6,'dynamic resource application '!$A$2:$A$100, 0),0)&lt;&gt;0), H6/(IF($E$2="Deployment",E6,1)),"")</f>
        <v/>
      </c>
      <c r="U6" s="211" t="str">
        <f>IF(AND(A6&lt;&gt;"",_xlfn.IFNA(MATCH(A6,'dynamic resource application '!$A$2:$A$100, 0),0)&lt;&gt;0), I6/(IF($E$2="Deployment",E6,1)),"")</f>
        <v/>
      </c>
    </row>
    <row r="7" spans="1:21" x14ac:dyDescent="0.25">
      <c r="A7" s="35" t="str">
        <f>IF(ISNONTEXT(deployment_raw[[#This Row],[Column1]]), "", deployment_raw[[#This Row],[Column1]])</f>
        <v/>
      </c>
      <c r="B7" s="36" t="str">
        <f>IF(ISNONTEXT(deployment_raw[[#This Row],[Column2]]), "", deployment_raw[[#This Row],[Column2]])</f>
        <v/>
      </c>
      <c r="C7" s="36" t="str">
        <f>IF(ISNONTEXT(deployment_raw[[#This Row],[Column3]]), "", deployment_raw[[#This Row],[Column3]])</f>
        <v/>
      </c>
      <c r="D7" s="36" t="str">
        <f>IF(ISNONTEXT(deployment_raw[[#This Row],[Column4]]), "", deployment_raw[[#This Row],[Column4]])</f>
        <v/>
      </c>
      <c r="E7" s="37" t="str">
        <f>IF(ISNUMBER(deployment_raw[[#This Row],[Column5]]), deployment_raw[[#This Row],[Column5]],"")</f>
        <v/>
      </c>
      <c r="F7" s="94" t="str">
        <f>IF(ISNUMBER(deployment_raw[[#This Row],[Column6]]), (deployment_raw[[#This Row],[Column6]] * IF($E$2="Deployment",deployment_raw[[#This Row],[Column5]],1)),"")</f>
        <v/>
      </c>
      <c r="G7" s="95" t="str">
        <f>IF(ISNUMBER(deployment_raw[[#This Row],[Column7]]), (deployment_raw[[#This Row],[Column7]] * IF($E$2="Deployment",deployment_raw[[#This Row],[Column5]],1))/1048576,"")</f>
        <v/>
      </c>
      <c r="H7" s="95" t="str">
        <f>IF(ISNUMBER(deployment_raw[[#This Row],[Column8]]), (deployment_raw[[#This Row],[Column8]]  * IF($E$2="Deployment",deployment_raw[[#This Row],[Column5]],1)),"")</f>
        <v/>
      </c>
      <c r="I7" s="96" t="str">
        <f>IF(ISNUMBER(deployment_raw[[#This Row],[Column9]]), (deployment_raw[[#This Row],[Column9]] * IF($E$2="Deployment",deployment_raw[[#This Row],[Column5]],1))/1048576,"")</f>
        <v/>
      </c>
      <c r="J7" s="122" t="str">
        <f>IF(ISNUMBER(deployment_raw[[#This Row],[Column10]]), (MIN(IF(N7&lt;&gt;"",N7,9999999999999)*1.1,deployment_raw[[#This Row],[Column10]] * IF($E$2="Deployment",deployment_raw[[#This Row],[Column5]],1))),"")</f>
        <v/>
      </c>
      <c r="K7" s="123" t="str">
        <f>IF(ISNUMBER(deployment_raw[[#This Row],[Column11]]), (MIN(IF(O7&lt;&gt;"",O7,9999999999999)*1.1,deployment_raw[[#This Row],[Column11]] * IF($E$2="Deployment",deployment_raw[[#This Row],[Column5]],1)/1048576)),"")</f>
        <v/>
      </c>
      <c r="L7" s="124" t="str">
        <f>IF(ISNUMBER(deployment_raw[[#This Row],[Column8]]),IF(OR(deployment_raw[[#This Row],[Column5]] &lt;&gt; 0,$E$2 &lt;&gt; "Deployment"), MAX(J7, P7, R7, ($L$2 * IF($E$2="Deployment",deployment_raw[[#This Row],[Column5]],1)),IF(T7&lt;&gt;"",VALUE(T7) * IF($E$2="Deployment",deployment_raw[[#This Row],[Column5]],1),0)), 0),"")</f>
        <v/>
      </c>
      <c r="M7" s="125" t="str">
        <f>IF(ISNUMBER(deployment_raw[[#This Row],[Column9]]),IF(OR(deployment_raw[[#This Row],[Column5]] &lt;&gt; 0,$E$2&lt;&gt;"Deployment"), MAX(K7, Q7, S7, ($M$2 * IF($E$2="Deployment",deployment_raw[[#This Row],[Column5]],1)),IF(U7&lt;&gt;"",VALUE(U7) * IF($E$2="Deployment",deployment_raw[[#This Row],[Column5]],1),0)), 0),"")</f>
        <v/>
      </c>
      <c r="N7" s="166" t="str">
        <f>IF(ISNUMBER(deployment_raw[[#This Row],[Column14]]), deployment_raw[[#This Row],[Column14]]/IF(OR($E$2="Deployment",deployment_raw[[#This Row],[Column5]]=0),1,deployment_raw[[#This Row],[Column5]]),"")</f>
        <v/>
      </c>
      <c r="O7" s="167" t="str">
        <f>IF(ISNUMBER(deployment_raw[[#This Row],[Column15]]), deployment_raw[[#This Row],[Column15]]/IF(OR($E$2="Deployment",deployment_raw[[#This Row],[Column5]]=0),1,deployment_raw[[#This Row],[Column5]])/1048576,"")</f>
        <v/>
      </c>
      <c r="P7" s="168" t="str">
        <f>IF(ISNUMBER(deployment_raw[[#This Row],[Column12]]), (MIN(IF(N7&lt;&gt;"",N7,9999999999999)*1.1,deployment_raw[[#This Row],[Column12]] * IF($E$2="Deployment",deployment_raw[[#This Row],[Column5]],1))*(1+$P$2)),"")</f>
        <v/>
      </c>
      <c r="Q7" s="167" t="str">
        <f>IF(ISNUMBER(deployment_raw[[#This Row],[Column13]]), (MIN(IF(O7&lt;&gt;"",O7,9999999999999)*1.1,deployment_raw[[#This Row],[Column13]] * IF($E$2="Deployment",deployment_raw[[#This Row],[Column5]],1)*(1+$Q$2)/1048576)),"")</f>
        <v/>
      </c>
      <c r="R7" s="169" t="str">
        <f>IF(ISNUMBER(deployment_raw[[#This Row],[Column8]]), (H7  * IF(N7&lt;&gt;0,$R$2,1)),"")</f>
        <v/>
      </c>
      <c r="S7" s="170" t="str">
        <f>IF(ISNUMBER(deployment_raw[[#This Row],[Column8]]), (I7  * IF(O7&lt;&gt;0,$S$2,1)),"")</f>
        <v/>
      </c>
      <c r="T7" s="202" t="str">
        <f>IF(AND(A7&lt;&gt;"",_xlfn.IFNA(MATCH(A7,'dynamic resource application '!$A$2:$A$100, 0),0)&lt;&gt;0), H7/(IF($E$2="Deployment",E7,1)),"")</f>
        <v/>
      </c>
      <c r="U7" s="211" t="str">
        <f>IF(AND(A7&lt;&gt;"",_xlfn.IFNA(MATCH(A7,'dynamic resource application '!$A$2:$A$100, 0),0)&lt;&gt;0), I7/(IF($E$2="Deployment",E7,1)),"")</f>
        <v/>
      </c>
    </row>
    <row r="8" spans="1:21" x14ac:dyDescent="0.25">
      <c r="A8" s="35" t="str">
        <f>IF(ISNONTEXT(deployment_raw[[#This Row],[Column1]]), "", deployment_raw[[#This Row],[Column1]])</f>
        <v/>
      </c>
      <c r="B8" s="36" t="str">
        <f>IF(ISNONTEXT(deployment_raw[[#This Row],[Column2]]), "", deployment_raw[[#This Row],[Column2]])</f>
        <v/>
      </c>
      <c r="C8" s="36" t="str">
        <f>IF(ISNONTEXT(deployment_raw[[#This Row],[Column3]]), "", deployment_raw[[#This Row],[Column3]])</f>
        <v/>
      </c>
      <c r="D8" s="36" t="str">
        <f>IF(ISNONTEXT(deployment_raw[[#This Row],[Column4]]), "", deployment_raw[[#This Row],[Column4]])</f>
        <v/>
      </c>
      <c r="E8" s="37" t="str">
        <f>IF(ISNUMBER(deployment_raw[[#This Row],[Column5]]), deployment_raw[[#This Row],[Column5]],"")</f>
        <v/>
      </c>
      <c r="F8" s="94" t="str">
        <f>IF(ISNUMBER(deployment_raw[[#This Row],[Column6]]), (deployment_raw[[#This Row],[Column6]] * IF($E$2="Deployment",deployment_raw[[#This Row],[Column5]],1)),"")</f>
        <v/>
      </c>
      <c r="G8" s="95" t="str">
        <f>IF(ISNUMBER(deployment_raw[[#This Row],[Column7]]), (deployment_raw[[#This Row],[Column7]] * IF($E$2="Deployment",deployment_raw[[#This Row],[Column5]],1))/1048576,"")</f>
        <v/>
      </c>
      <c r="H8" s="95" t="str">
        <f>IF(ISNUMBER(deployment_raw[[#This Row],[Column8]]), (deployment_raw[[#This Row],[Column8]]  * IF($E$2="Deployment",deployment_raw[[#This Row],[Column5]],1)),"")</f>
        <v/>
      </c>
      <c r="I8" s="96" t="str">
        <f>IF(ISNUMBER(deployment_raw[[#This Row],[Column9]]), (deployment_raw[[#This Row],[Column9]] * IF($E$2="Deployment",deployment_raw[[#This Row],[Column5]],1))/1048576,"")</f>
        <v/>
      </c>
      <c r="J8" s="122" t="str">
        <f>IF(ISNUMBER(deployment_raw[[#This Row],[Column10]]), (MIN(IF(N8&lt;&gt;"",N8,9999999999999)*1.1,deployment_raw[[#This Row],[Column10]] * IF($E$2="Deployment",deployment_raw[[#This Row],[Column5]],1))),"")</f>
        <v/>
      </c>
      <c r="K8" s="123" t="str">
        <f>IF(ISNUMBER(deployment_raw[[#This Row],[Column11]]), (MIN(IF(O8&lt;&gt;"",O8,9999999999999)*1.1,deployment_raw[[#This Row],[Column11]] * IF($E$2="Deployment",deployment_raw[[#This Row],[Column5]],1)/1048576)),"")</f>
        <v/>
      </c>
      <c r="L8" s="124" t="str">
        <f>IF(ISNUMBER(deployment_raw[[#This Row],[Column8]]),IF(OR(deployment_raw[[#This Row],[Column5]] &lt;&gt; 0,$E$2 &lt;&gt; "Deployment"), MAX(J8, P8, R8, ($L$2 * IF($E$2="Deployment",deployment_raw[[#This Row],[Column5]],1)),IF(T8&lt;&gt;"",VALUE(T8) * IF($E$2="Deployment",deployment_raw[[#This Row],[Column5]],1),0)), 0),"")</f>
        <v/>
      </c>
      <c r="M8" s="125" t="str">
        <f>IF(ISNUMBER(deployment_raw[[#This Row],[Column9]]),IF(OR(deployment_raw[[#This Row],[Column5]] &lt;&gt; 0,$E$2&lt;&gt;"Deployment"), MAX(K8, Q8, S8, ($M$2 * IF($E$2="Deployment",deployment_raw[[#This Row],[Column5]],1)),IF(U8&lt;&gt;"",VALUE(U8) * IF($E$2="Deployment",deployment_raw[[#This Row],[Column5]],1),0)), 0),"")</f>
        <v/>
      </c>
      <c r="N8" s="166" t="str">
        <f>IF(ISNUMBER(deployment_raw[[#This Row],[Column14]]), deployment_raw[[#This Row],[Column14]]/IF(OR($E$2="Deployment",deployment_raw[[#This Row],[Column5]]=0),1,deployment_raw[[#This Row],[Column5]]),"")</f>
        <v/>
      </c>
      <c r="O8" s="167" t="str">
        <f>IF(ISNUMBER(deployment_raw[[#This Row],[Column15]]), deployment_raw[[#This Row],[Column15]]/IF(OR($E$2="Deployment",deployment_raw[[#This Row],[Column5]]=0),1,deployment_raw[[#This Row],[Column5]])/1048576,"")</f>
        <v/>
      </c>
      <c r="P8" s="168" t="str">
        <f>IF(ISNUMBER(deployment_raw[[#This Row],[Column12]]), (MIN(IF(N8&lt;&gt;"",N8,9999999999999)*1.1,deployment_raw[[#This Row],[Column12]] * IF($E$2="Deployment",deployment_raw[[#This Row],[Column5]],1))*(1+$P$2)),"")</f>
        <v/>
      </c>
      <c r="Q8" s="167" t="str">
        <f>IF(ISNUMBER(deployment_raw[[#This Row],[Column13]]), (MIN(IF(O8&lt;&gt;"",O8,9999999999999)*1.1,deployment_raw[[#This Row],[Column13]] * IF($E$2="Deployment",deployment_raw[[#This Row],[Column5]],1)*(1+$Q$2)/1048576)),"")</f>
        <v/>
      </c>
      <c r="R8" s="169" t="str">
        <f>IF(ISNUMBER(deployment_raw[[#This Row],[Column8]]), (H8  * IF(N8&lt;&gt;0,$R$2,1)),"")</f>
        <v/>
      </c>
      <c r="S8" s="170" t="str">
        <f>IF(ISNUMBER(deployment_raw[[#This Row],[Column8]]), (I8  * IF(O8&lt;&gt;0,$S$2,1)),"")</f>
        <v/>
      </c>
      <c r="T8" s="202" t="str">
        <f>IF(AND(A8&lt;&gt;"",_xlfn.IFNA(MATCH(A8,'dynamic resource application '!$A$2:$A$100, 0),0)&lt;&gt;0), H8/(IF($E$2="Deployment",E8,1)),"")</f>
        <v/>
      </c>
      <c r="U8" s="211" t="str">
        <f>IF(AND(A8&lt;&gt;"",_xlfn.IFNA(MATCH(A8,'dynamic resource application '!$A$2:$A$100, 0),0)&lt;&gt;0), I8/(IF($E$2="Deployment",E8,1)),"")</f>
        <v/>
      </c>
    </row>
    <row r="9" spans="1:21" x14ac:dyDescent="0.25">
      <c r="A9" s="35" t="str">
        <f>IF(ISNONTEXT(deployment_raw[[#This Row],[Column1]]), "", deployment_raw[[#This Row],[Column1]])</f>
        <v/>
      </c>
      <c r="B9" s="36" t="str">
        <f>IF(ISNONTEXT(deployment_raw[[#This Row],[Column2]]), "", deployment_raw[[#This Row],[Column2]])</f>
        <v/>
      </c>
      <c r="C9" s="36" t="str">
        <f>IF(ISNONTEXT(deployment_raw[[#This Row],[Column3]]), "", deployment_raw[[#This Row],[Column3]])</f>
        <v/>
      </c>
      <c r="D9" s="36" t="str">
        <f>IF(ISNONTEXT(deployment_raw[[#This Row],[Column4]]), "", deployment_raw[[#This Row],[Column4]])</f>
        <v/>
      </c>
      <c r="E9" s="37" t="str">
        <f>IF(ISNUMBER(deployment_raw[[#This Row],[Column5]]), deployment_raw[[#This Row],[Column5]],"")</f>
        <v/>
      </c>
      <c r="F9" s="94" t="str">
        <f>IF(ISNUMBER(deployment_raw[[#This Row],[Column6]]), (deployment_raw[[#This Row],[Column6]] * IF($E$2="Deployment",deployment_raw[[#This Row],[Column5]],1)),"")</f>
        <v/>
      </c>
      <c r="G9" s="95" t="str">
        <f>IF(ISNUMBER(deployment_raw[[#This Row],[Column7]]), (deployment_raw[[#This Row],[Column7]] * IF($E$2="Deployment",deployment_raw[[#This Row],[Column5]],1))/1048576,"")</f>
        <v/>
      </c>
      <c r="H9" s="95" t="str">
        <f>IF(ISNUMBER(deployment_raw[[#This Row],[Column8]]), (deployment_raw[[#This Row],[Column8]]  * IF($E$2="Deployment",deployment_raw[[#This Row],[Column5]],1)),"")</f>
        <v/>
      </c>
      <c r="I9" s="96" t="str">
        <f>IF(ISNUMBER(deployment_raw[[#This Row],[Column9]]), (deployment_raw[[#This Row],[Column9]] * IF($E$2="Deployment",deployment_raw[[#This Row],[Column5]],1))/1048576,"")</f>
        <v/>
      </c>
      <c r="J9" s="122" t="str">
        <f>IF(ISNUMBER(deployment_raw[[#This Row],[Column10]]), (MIN(IF(N9&lt;&gt;"",N9,9999999999999)*1.1,deployment_raw[[#This Row],[Column10]] * IF($E$2="Deployment",deployment_raw[[#This Row],[Column5]],1))),"")</f>
        <v/>
      </c>
      <c r="K9" s="123" t="str">
        <f>IF(ISNUMBER(deployment_raw[[#This Row],[Column11]]), (MIN(IF(O9&lt;&gt;"",O9,9999999999999)*1.1,deployment_raw[[#This Row],[Column11]] * IF($E$2="Deployment",deployment_raw[[#This Row],[Column5]],1)/1048576)),"")</f>
        <v/>
      </c>
      <c r="L9" s="124" t="str">
        <f>IF(ISNUMBER(deployment_raw[[#This Row],[Column8]]),IF(OR(deployment_raw[[#This Row],[Column5]] &lt;&gt; 0,$E$2 &lt;&gt; "Deployment"), MAX(J9, P9, R9, ($L$2 * IF($E$2="Deployment",deployment_raw[[#This Row],[Column5]],1)),IF(T9&lt;&gt;"",VALUE(T9) * IF($E$2="Deployment",deployment_raw[[#This Row],[Column5]],1),0)), 0),"")</f>
        <v/>
      </c>
      <c r="M9" s="125" t="str">
        <f>IF(ISNUMBER(deployment_raw[[#This Row],[Column9]]),IF(OR(deployment_raw[[#This Row],[Column5]] &lt;&gt; 0,$E$2&lt;&gt;"Deployment"), MAX(K9, Q9, S9, ($M$2 * IF($E$2="Deployment",deployment_raw[[#This Row],[Column5]],1)),IF(U9&lt;&gt;"",VALUE(U9) * IF($E$2="Deployment",deployment_raw[[#This Row],[Column5]],1),0)), 0),"")</f>
        <v/>
      </c>
      <c r="N9" s="166" t="str">
        <f>IF(ISNUMBER(deployment_raw[[#This Row],[Column14]]), deployment_raw[[#This Row],[Column14]]/IF(OR($E$2="Deployment",deployment_raw[[#This Row],[Column5]]=0),1,deployment_raw[[#This Row],[Column5]]),"")</f>
        <v/>
      </c>
      <c r="O9" s="167" t="str">
        <f>IF(ISNUMBER(deployment_raw[[#This Row],[Column15]]), deployment_raw[[#This Row],[Column15]]/IF(OR($E$2="Deployment",deployment_raw[[#This Row],[Column5]]=0),1,deployment_raw[[#This Row],[Column5]])/1048576,"")</f>
        <v/>
      </c>
      <c r="P9" s="168" t="str">
        <f>IF(ISNUMBER(deployment_raw[[#This Row],[Column12]]), (MIN(IF(N9&lt;&gt;"",N9,9999999999999)*1.1,deployment_raw[[#This Row],[Column12]] * IF($E$2="Deployment",deployment_raw[[#This Row],[Column5]],1))*(1+$P$2)),"")</f>
        <v/>
      </c>
      <c r="Q9" s="167" t="str">
        <f>IF(ISNUMBER(deployment_raw[[#This Row],[Column13]]), (MIN(IF(O9&lt;&gt;"",O9,9999999999999)*1.1,deployment_raw[[#This Row],[Column13]] * IF($E$2="Deployment",deployment_raw[[#This Row],[Column5]],1)*(1+$Q$2)/1048576)),"")</f>
        <v/>
      </c>
      <c r="R9" s="169" t="str">
        <f>IF(ISNUMBER(deployment_raw[[#This Row],[Column8]]), (H9  * IF(N9&lt;&gt;0,$R$2,1)),"")</f>
        <v/>
      </c>
      <c r="S9" s="170" t="str">
        <f>IF(ISNUMBER(deployment_raw[[#This Row],[Column8]]), (I9  * IF(O9&lt;&gt;0,$S$2,1)),"")</f>
        <v/>
      </c>
      <c r="T9" s="202" t="str">
        <f>IF(AND(A9&lt;&gt;"",_xlfn.IFNA(MATCH(A9,'dynamic resource application '!$A$2:$A$100, 0),0)&lt;&gt;0), H9/(IF($E$2="Deployment",E9,1)),"")</f>
        <v/>
      </c>
      <c r="U9" s="211" t="str">
        <f>IF(AND(A9&lt;&gt;"",_xlfn.IFNA(MATCH(A9,'dynamic resource application '!$A$2:$A$100, 0),0)&lt;&gt;0), I9/(IF($E$2="Deployment",E9,1)),"")</f>
        <v/>
      </c>
    </row>
    <row r="10" spans="1:21" x14ac:dyDescent="0.25">
      <c r="A10" s="35" t="str">
        <f>IF(ISNONTEXT(deployment_raw[[#This Row],[Column1]]), "", deployment_raw[[#This Row],[Column1]])</f>
        <v/>
      </c>
      <c r="B10" s="36" t="str">
        <f>IF(ISNONTEXT(deployment_raw[[#This Row],[Column2]]), "", deployment_raw[[#This Row],[Column2]])</f>
        <v/>
      </c>
      <c r="C10" s="36" t="str">
        <f>IF(ISNONTEXT(deployment_raw[[#This Row],[Column3]]), "", deployment_raw[[#This Row],[Column3]])</f>
        <v/>
      </c>
      <c r="D10" s="36" t="str">
        <f>IF(ISNONTEXT(deployment_raw[[#This Row],[Column4]]), "", deployment_raw[[#This Row],[Column4]])</f>
        <v/>
      </c>
      <c r="E10" s="37" t="str">
        <f>IF(ISNUMBER(deployment_raw[[#This Row],[Column5]]), deployment_raw[[#This Row],[Column5]],"")</f>
        <v/>
      </c>
      <c r="F10" s="94" t="str">
        <f>IF(ISNUMBER(deployment_raw[[#This Row],[Column6]]), (deployment_raw[[#This Row],[Column6]] * IF($E$2="Deployment",deployment_raw[[#This Row],[Column5]],1)),"")</f>
        <v/>
      </c>
      <c r="G10" s="95" t="str">
        <f>IF(ISNUMBER(deployment_raw[[#This Row],[Column7]]), (deployment_raw[[#This Row],[Column7]] * IF($E$2="Deployment",deployment_raw[[#This Row],[Column5]],1))/1048576,"")</f>
        <v/>
      </c>
      <c r="H10" s="95" t="str">
        <f>IF(ISNUMBER(deployment_raw[[#This Row],[Column8]]), (deployment_raw[[#This Row],[Column8]]  * IF($E$2="Deployment",deployment_raw[[#This Row],[Column5]],1)),"")</f>
        <v/>
      </c>
      <c r="I10" s="96" t="str">
        <f>IF(ISNUMBER(deployment_raw[[#This Row],[Column9]]), (deployment_raw[[#This Row],[Column9]] * IF($E$2="Deployment",deployment_raw[[#This Row],[Column5]],1))/1048576,"")</f>
        <v/>
      </c>
      <c r="J10" s="122" t="str">
        <f>IF(ISNUMBER(deployment_raw[[#This Row],[Column10]]), (MIN(IF(N10&lt;&gt;"",N10,9999999999999)*1.1,deployment_raw[[#This Row],[Column10]] * IF($E$2="Deployment",deployment_raw[[#This Row],[Column5]],1))),"")</f>
        <v/>
      </c>
      <c r="K10" s="123" t="str">
        <f>IF(ISNUMBER(deployment_raw[[#This Row],[Column11]]), (MIN(IF(O10&lt;&gt;"",O10,9999999999999)*1.1,deployment_raw[[#This Row],[Column11]] * IF($E$2="Deployment",deployment_raw[[#This Row],[Column5]],1)/1048576)),"")</f>
        <v/>
      </c>
      <c r="L10" s="124" t="str">
        <f>IF(ISNUMBER(deployment_raw[[#This Row],[Column8]]),IF(OR(deployment_raw[[#This Row],[Column5]] &lt;&gt; 0,$E$2 &lt;&gt; "Deployment"), MAX(J10, P10, R10, ($L$2 * IF($E$2="Deployment",deployment_raw[[#This Row],[Column5]],1)),IF(T10&lt;&gt;"",VALUE(T10) * IF($E$2="Deployment",deployment_raw[[#This Row],[Column5]],1),0)), 0),"")</f>
        <v/>
      </c>
      <c r="M10" s="125" t="str">
        <f>IF(ISNUMBER(deployment_raw[[#This Row],[Column9]]),IF(OR(deployment_raw[[#This Row],[Column5]] &lt;&gt; 0,$E$2&lt;&gt;"Deployment"), MAX(K10, Q10, S10, ($M$2 * IF($E$2="Deployment",deployment_raw[[#This Row],[Column5]],1)),IF(U10&lt;&gt;"",VALUE(U10) * IF($E$2="Deployment",deployment_raw[[#This Row],[Column5]],1),0)), 0),"")</f>
        <v/>
      </c>
      <c r="N10" s="166" t="str">
        <f>IF(ISNUMBER(deployment_raw[[#This Row],[Column14]]), deployment_raw[[#This Row],[Column14]]/IF(OR($E$2="Deployment",deployment_raw[[#This Row],[Column5]]=0),1,deployment_raw[[#This Row],[Column5]]),"")</f>
        <v/>
      </c>
      <c r="O10" s="167" t="str">
        <f>IF(ISNUMBER(deployment_raw[[#This Row],[Column15]]), deployment_raw[[#This Row],[Column15]]/IF(OR($E$2="Deployment",deployment_raw[[#This Row],[Column5]]=0),1,deployment_raw[[#This Row],[Column5]])/1048576,"")</f>
        <v/>
      </c>
      <c r="P10" s="168" t="str">
        <f>IF(ISNUMBER(deployment_raw[[#This Row],[Column12]]), (MIN(IF(N10&lt;&gt;"",N10,9999999999999)*1.1,deployment_raw[[#This Row],[Column12]] * IF($E$2="Deployment",deployment_raw[[#This Row],[Column5]],1))*(1+$P$2)),"")</f>
        <v/>
      </c>
      <c r="Q10" s="167" t="str">
        <f>IF(ISNUMBER(deployment_raw[[#This Row],[Column13]]), (MIN(IF(O10&lt;&gt;"",O10,9999999999999)*1.1,deployment_raw[[#This Row],[Column13]] * IF($E$2="Deployment",deployment_raw[[#This Row],[Column5]],1)*(1+$Q$2)/1048576)),"")</f>
        <v/>
      </c>
      <c r="R10" s="169" t="str">
        <f>IF(ISNUMBER(deployment_raw[[#This Row],[Column8]]), (H10  * IF(N10&lt;&gt;0,$R$2,1)),"")</f>
        <v/>
      </c>
      <c r="S10" s="170" t="str">
        <f>IF(ISNUMBER(deployment_raw[[#This Row],[Column8]]), (I10  * IF(O10&lt;&gt;0,$S$2,1)),"")</f>
        <v/>
      </c>
      <c r="T10" s="202" t="str">
        <f>IF(AND(A10&lt;&gt;"",_xlfn.IFNA(MATCH(A10,'dynamic resource application '!$A$2:$A$100, 0),0)&lt;&gt;0), H10/(IF($E$2="Deployment",E10,1)),"")</f>
        <v/>
      </c>
      <c r="U10" s="211" t="str">
        <f>IF(AND(A10&lt;&gt;"",_xlfn.IFNA(MATCH(A10,'dynamic resource application '!$A$2:$A$100, 0),0)&lt;&gt;0), I10/(IF($E$2="Deployment",E10,1)),"")</f>
        <v/>
      </c>
    </row>
    <row r="11" spans="1:21" x14ac:dyDescent="0.25">
      <c r="A11" s="35" t="str">
        <f>IF(ISNONTEXT(deployment_raw[[#This Row],[Column1]]), "", deployment_raw[[#This Row],[Column1]])</f>
        <v/>
      </c>
      <c r="B11" s="36" t="str">
        <f>IF(ISNONTEXT(deployment_raw[[#This Row],[Column2]]), "", deployment_raw[[#This Row],[Column2]])</f>
        <v/>
      </c>
      <c r="C11" s="36" t="str">
        <f>IF(ISNONTEXT(deployment_raw[[#This Row],[Column3]]), "", deployment_raw[[#This Row],[Column3]])</f>
        <v/>
      </c>
      <c r="D11" s="36" t="str">
        <f>IF(ISNONTEXT(deployment_raw[[#This Row],[Column4]]), "", deployment_raw[[#This Row],[Column4]])</f>
        <v/>
      </c>
      <c r="E11" s="37" t="str">
        <f>IF(ISNUMBER(deployment_raw[[#This Row],[Column5]]), deployment_raw[[#This Row],[Column5]],"")</f>
        <v/>
      </c>
      <c r="F11" s="94" t="str">
        <f>IF(ISNUMBER(deployment_raw[[#This Row],[Column6]]), (deployment_raw[[#This Row],[Column6]] * IF($E$2="Deployment",deployment_raw[[#This Row],[Column5]],1)),"")</f>
        <v/>
      </c>
      <c r="G11" s="95" t="str">
        <f>IF(ISNUMBER(deployment_raw[[#This Row],[Column7]]), (deployment_raw[[#This Row],[Column7]] * IF($E$2="Deployment",deployment_raw[[#This Row],[Column5]],1))/1048576,"")</f>
        <v/>
      </c>
      <c r="H11" s="95" t="str">
        <f>IF(ISNUMBER(deployment_raw[[#This Row],[Column8]]), (deployment_raw[[#This Row],[Column8]]  * IF($E$2="Deployment",deployment_raw[[#This Row],[Column5]],1)),"")</f>
        <v/>
      </c>
      <c r="I11" s="96" t="str">
        <f>IF(ISNUMBER(deployment_raw[[#This Row],[Column9]]), (deployment_raw[[#This Row],[Column9]] * IF($E$2="Deployment",deployment_raw[[#This Row],[Column5]],1))/1048576,"")</f>
        <v/>
      </c>
      <c r="J11" s="122" t="str">
        <f>IF(ISNUMBER(deployment_raw[[#This Row],[Column10]]), (MIN(IF(N11&lt;&gt;"",N11,9999999999999)*1.1,deployment_raw[[#This Row],[Column10]] * IF($E$2="Deployment",deployment_raw[[#This Row],[Column5]],1))),"")</f>
        <v/>
      </c>
      <c r="K11" s="123" t="str">
        <f>IF(ISNUMBER(deployment_raw[[#This Row],[Column11]]), (MIN(IF(O11&lt;&gt;"",O11,9999999999999)*1.1,deployment_raw[[#This Row],[Column11]] * IF($E$2="Deployment",deployment_raw[[#This Row],[Column5]],1)/1048576)),"")</f>
        <v/>
      </c>
      <c r="L11" s="124" t="str">
        <f>IF(ISNUMBER(deployment_raw[[#This Row],[Column8]]),IF(OR(deployment_raw[[#This Row],[Column5]] &lt;&gt; 0,$E$2 &lt;&gt; "Deployment"), MAX(J11, P11, R11, ($L$2 * IF($E$2="Deployment",deployment_raw[[#This Row],[Column5]],1)),IF(T11&lt;&gt;"",VALUE(T11) * IF($E$2="Deployment",deployment_raw[[#This Row],[Column5]],1),0)), 0),"")</f>
        <v/>
      </c>
      <c r="M11" s="125" t="str">
        <f>IF(ISNUMBER(deployment_raw[[#This Row],[Column9]]),IF(OR(deployment_raw[[#This Row],[Column5]] &lt;&gt; 0,$E$2&lt;&gt;"Deployment"), MAX(K11, Q11, S11, ($M$2 * IF($E$2="Deployment",deployment_raw[[#This Row],[Column5]],1)),IF(U11&lt;&gt;"",VALUE(U11) * IF($E$2="Deployment",deployment_raw[[#This Row],[Column5]],1),0)), 0),"")</f>
        <v/>
      </c>
      <c r="N11" s="166" t="str">
        <f>IF(ISNUMBER(deployment_raw[[#This Row],[Column14]]), deployment_raw[[#This Row],[Column14]]/IF(OR($E$2="Deployment",deployment_raw[[#This Row],[Column5]]=0),1,deployment_raw[[#This Row],[Column5]]),"")</f>
        <v/>
      </c>
      <c r="O11" s="167" t="str">
        <f>IF(ISNUMBER(deployment_raw[[#This Row],[Column15]]), deployment_raw[[#This Row],[Column15]]/IF(OR($E$2="Deployment",deployment_raw[[#This Row],[Column5]]=0),1,deployment_raw[[#This Row],[Column5]])/1048576,"")</f>
        <v/>
      </c>
      <c r="P11" s="168" t="str">
        <f>IF(ISNUMBER(deployment_raw[[#This Row],[Column12]]), (MIN(IF(N11&lt;&gt;"",N11,9999999999999)*1.1,deployment_raw[[#This Row],[Column12]] * IF($E$2="Deployment",deployment_raw[[#This Row],[Column5]],1))*(1+$P$2)),"")</f>
        <v/>
      </c>
      <c r="Q11" s="167" t="str">
        <f>IF(ISNUMBER(deployment_raw[[#This Row],[Column13]]), (MIN(IF(O11&lt;&gt;"",O11,9999999999999)*1.1,deployment_raw[[#This Row],[Column13]] * IF($E$2="Deployment",deployment_raw[[#This Row],[Column5]],1)*(1+$Q$2)/1048576)),"")</f>
        <v/>
      </c>
      <c r="R11" s="169" t="str">
        <f>IF(ISNUMBER(deployment_raw[[#This Row],[Column8]]), (H11  * IF(N11&lt;&gt;0,$R$2,1)),"")</f>
        <v/>
      </c>
      <c r="S11" s="170" t="str">
        <f>IF(ISNUMBER(deployment_raw[[#This Row],[Column8]]), (I11  * IF(O11&lt;&gt;0,$S$2,1)),"")</f>
        <v/>
      </c>
      <c r="T11" s="202" t="str">
        <f>IF(AND(A11&lt;&gt;"",_xlfn.IFNA(MATCH(A11,'dynamic resource application '!$A$2:$A$100, 0),0)&lt;&gt;0), H11/(IF($E$2="Deployment",E11,1)),"")</f>
        <v/>
      </c>
      <c r="U11" s="211" t="str">
        <f>IF(AND(A11&lt;&gt;"",_xlfn.IFNA(MATCH(A11,'dynamic resource application '!$A$2:$A$100, 0),0)&lt;&gt;0), I11/(IF($E$2="Deployment",E11,1)),"")</f>
        <v/>
      </c>
    </row>
    <row r="12" spans="1:21" x14ac:dyDescent="0.25">
      <c r="A12" s="35" t="str">
        <f>IF(ISNONTEXT(deployment_raw[[#This Row],[Column1]]), "", deployment_raw[[#This Row],[Column1]])</f>
        <v/>
      </c>
      <c r="B12" s="36" t="str">
        <f>IF(ISNONTEXT(deployment_raw[[#This Row],[Column2]]), "", deployment_raw[[#This Row],[Column2]])</f>
        <v/>
      </c>
      <c r="C12" s="36" t="str">
        <f>IF(ISNONTEXT(deployment_raw[[#This Row],[Column3]]), "", deployment_raw[[#This Row],[Column3]])</f>
        <v/>
      </c>
      <c r="D12" s="36" t="str">
        <f>IF(ISNONTEXT(deployment_raw[[#This Row],[Column4]]), "", deployment_raw[[#This Row],[Column4]])</f>
        <v/>
      </c>
      <c r="E12" s="37" t="str">
        <f>IF(ISNUMBER(deployment_raw[[#This Row],[Column5]]), deployment_raw[[#This Row],[Column5]],"")</f>
        <v/>
      </c>
      <c r="F12" s="94" t="str">
        <f>IF(ISNUMBER(deployment_raw[[#This Row],[Column6]]), (deployment_raw[[#This Row],[Column6]] * IF($E$2="Deployment",deployment_raw[[#This Row],[Column5]],1)),"")</f>
        <v/>
      </c>
      <c r="G12" s="95" t="str">
        <f>IF(ISNUMBER(deployment_raw[[#This Row],[Column7]]), (deployment_raw[[#This Row],[Column7]] * IF($E$2="Deployment",deployment_raw[[#This Row],[Column5]],1))/1048576,"")</f>
        <v/>
      </c>
      <c r="H12" s="95" t="str">
        <f>IF(ISNUMBER(deployment_raw[[#This Row],[Column8]]), (deployment_raw[[#This Row],[Column8]]  * IF($E$2="Deployment",deployment_raw[[#This Row],[Column5]],1)),"")</f>
        <v/>
      </c>
      <c r="I12" s="96" t="str">
        <f>IF(ISNUMBER(deployment_raw[[#This Row],[Column9]]), (deployment_raw[[#This Row],[Column9]] * IF($E$2="Deployment",deployment_raw[[#This Row],[Column5]],1))/1048576,"")</f>
        <v/>
      </c>
      <c r="J12" s="122" t="str">
        <f>IF(ISNUMBER(deployment_raw[[#This Row],[Column10]]), (MIN(IF(N12&lt;&gt;"",N12,9999999999999)*1.1,deployment_raw[[#This Row],[Column10]] * IF($E$2="Deployment",deployment_raw[[#This Row],[Column5]],1))),"")</f>
        <v/>
      </c>
      <c r="K12" s="123" t="str">
        <f>IF(ISNUMBER(deployment_raw[[#This Row],[Column11]]), (MIN(IF(O12&lt;&gt;"",O12,9999999999999)*1.1,deployment_raw[[#This Row],[Column11]] * IF($E$2="Deployment",deployment_raw[[#This Row],[Column5]],1)/1048576)),"")</f>
        <v/>
      </c>
      <c r="L12" s="124" t="str">
        <f>IF(ISNUMBER(deployment_raw[[#This Row],[Column8]]),IF(OR(deployment_raw[[#This Row],[Column5]] &lt;&gt; 0,$E$2 &lt;&gt; "Deployment"), MAX(J12, P12, R12, ($L$2 * IF($E$2="Deployment",deployment_raw[[#This Row],[Column5]],1)),IF(T12&lt;&gt;"",VALUE(T12) * IF($E$2="Deployment",deployment_raw[[#This Row],[Column5]],1),0)), 0),"")</f>
        <v/>
      </c>
      <c r="M12" s="125" t="str">
        <f>IF(ISNUMBER(deployment_raw[[#This Row],[Column9]]),IF(OR(deployment_raw[[#This Row],[Column5]] &lt;&gt; 0,$E$2&lt;&gt;"Deployment"), MAX(K12, Q12, S12, ($M$2 * IF($E$2="Deployment",deployment_raw[[#This Row],[Column5]],1)),IF(U12&lt;&gt;"",VALUE(U12) * IF($E$2="Deployment",deployment_raw[[#This Row],[Column5]],1),0)), 0),"")</f>
        <v/>
      </c>
      <c r="N12" s="166" t="str">
        <f>IF(ISNUMBER(deployment_raw[[#This Row],[Column14]]), deployment_raw[[#This Row],[Column14]]/IF(OR($E$2="Deployment",deployment_raw[[#This Row],[Column5]]=0),1,deployment_raw[[#This Row],[Column5]]),"")</f>
        <v/>
      </c>
      <c r="O12" s="167" t="str">
        <f>IF(ISNUMBER(deployment_raw[[#This Row],[Column15]]), deployment_raw[[#This Row],[Column15]]/IF(OR($E$2="Deployment",deployment_raw[[#This Row],[Column5]]=0),1,deployment_raw[[#This Row],[Column5]])/1048576,"")</f>
        <v/>
      </c>
      <c r="P12" s="168" t="str">
        <f>IF(ISNUMBER(deployment_raw[[#This Row],[Column12]]), (MIN(IF(N12&lt;&gt;"",N12,9999999999999)*1.1,deployment_raw[[#This Row],[Column12]] * IF($E$2="Deployment",deployment_raw[[#This Row],[Column5]],1))*(1+$P$2)),"")</f>
        <v/>
      </c>
      <c r="Q12" s="167" t="str">
        <f>IF(ISNUMBER(deployment_raw[[#This Row],[Column13]]), (MIN(IF(O12&lt;&gt;"",O12,9999999999999)*1.1,deployment_raw[[#This Row],[Column13]] * IF($E$2="Deployment",deployment_raw[[#This Row],[Column5]],1)*(1+$Q$2)/1048576)),"")</f>
        <v/>
      </c>
      <c r="R12" s="169" t="str">
        <f>IF(ISNUMBER(deployment_raw[[#This Row],[Column8]]), (H12  * IF(N12&lt;&gt;0,$R$2,1)),"")</f>
        <v/>
      </c>
      <c r="S12" s="170" t="str">
        <f>IF(ISNUMBER(deployment_raw[[#This Row],[Column8]]), (I12  * IF(O12&lt;&gt;0,$S$2,1)),"")</f>
        <v/>
      </c>
      <c r="T12" s="202" t="str">
        <f>IF(AND(A12&lt;&gt;"",_xlfn.IFNA(MATCH(A12,'dynamic resource application '!$A$2:$A$100, 0),0)&lt;&gt;0), H12/(IF($E$2="Deployment",E12,1)),"")</f>
        <v/>
      </c>
      <c r="U12" s="211" t="str">
        <f>IF(AND(A12&lt;&gt;"",_xlfn.IFNA(MATCH(A12,'dynamic resource application '!$A$2:$A$100, 0),0)&lt;&gt;0), I12/(IF($E$2="Deployment",E12,1)),"")</f>
        <v/>
      </c>
    </row>
    <row r="13" spans="1:21" x14ac:dyDescent="0.25">
      <c r="A13" s="35" t="str">
        <f>IF(ISNONTEXT(deployment_raw[[#This Row],[Column1]]), "", deployment_raw[[#This Row],[Column1]])</f>
        <v/>
      </c>
      <c r="B13" s="36" t="str">
        <f>IF(ISNONTEXT(deployment_raw[[#This Row],[Column2]]), "", deployment_raw[[#This Row],[Column2]])</f>
        <v/>
      </c>
      <c r="C13" s="36" t="str">
        <f>IF(ISNONTEXT(deployment_raw[[#This Row],[Column3]]), "", deployment_raw[[#This Row],[Column3]])</f>
        <v/>
      </c>
      <c r="D13" s="36" t="str">
        <f>IF(ISNONTEXT(deployment_raw[[#This Row],[Column4]]), "", deployment_raw[[#This Row],[Column4]])</f>
        <v/>
      </c>
      <c r="E13" s="37" t="str">
        <f>IF(ISNUMBER(deployment_raw[[#This Row],[Column5]]), deployment_raw[[#This Row],[Column5]],"")</f>
        <v/>
      </c>
      <c r="F13" s="94" t="str">
        <f>IF(ISNUMBER(deployment_raw[[#This Row],[Column6]]), (deployment_raw[[#This Row],[Column6]] * IF($E$2="Deployment",deployment_raw[[#This Row],[Column5]],1)),"")</f>
        <v/>
      </c>
      <c r="G13" s="95" t="str">
        <f>IF(ISNUMBER(deployment_raw[[#This Row],[Column7]]), (deployment_raw[[#This Row],[Column7]] * IF($E$2="Deployment",deployment_raw[[#This Row],[Column5]],1))/1048576,"")</f>
        <v/>
      </c>
      <c r="H13" s="95" t="str">
        <f>IF(ISNUMBER(deployment_raw[[#This Row],[Column8]]), (deployment_raw[[#This Row],[Column8]]  * IF($E$2="Deployment",deployment_raw[[#This Row],[Column5]],1)),"")</f>
        <v/>
      </c>
      <c r="I13" s="96" t="str">
        <f>IF(ISNUMBER(deployment_raw[[#This Row],[Column9]]), (deployment_raw[[#This Row],[Column9]] * IF($E$2="Deployment",deployment_raw[[#This Row],[Column5]],1))/1048576,"")</f>
        <v/>
      </c>
      <c r="J13" s="122" t="str">
        <f>IF(ISNUMBER(deployment_raw[[#This Row],[Column10]]), (MIN(IF(N13&lt;&gt;"",N13,9999999999999)*1.1,deployment_raw[[#This Row],[Column10]] * IF($E$2="Deployment",deployment_raw[[#This Row],[Column5]],1))),"")</f>
        <v/>
      </c>
      <c r="K13" s="123" t="str">
        <f>IF(ISNUMBER(deployment_raw[[#This Row],[Column11]]), (MIN(IF(O13&lt;&gt;"",O13,9999999999999)*1.1,deployment_raw[[#This Row],[Column11]] * IF($E$2="Deployment",deployment_raw[[#This Row],[Column5]],1)/1048576)),"")</f>
        <v/>
      </c>
      <c r="L13" s="124" t="str">
        <f>IF(ISNUMBER(deployment_raw[[#This Row],[Column8]]),IF(OR(deployment_raw[[#This Row],[Column5]] &lt;&gt; 0,$E$2 &lt;&gt; "Deployment"), MAX(J13, P13, R13, ($L$2 * IF($E$2="Deployment",deployment_raw[[#This Row],[Column5]],1)),IF(T13&lt;&gt;"",VALUE(T13) * IF($E$2="Deployment",deployment_raw[[#This Row],[Column5]],1),0)), 0),"")</f>
        <v/>
      </c>
      <c r="M13" s="125" t="str">
        <f>IF(ISNUMBER(deployment_raw[[#This Row],[Column9]]),IF(OR(deployment_raw[[#This Row],[Column5]] &lt;&gt; 0,$E$2&lt;&gt;"Deployment"), MAX(K13, Q13, S13, ($M$2 * IF($E$2="Deployment",deployment_raw[[#This Row],[Column5]],1)),IF(U13&lt;&gt;"",VALUE(U13) * IF($E$2="Deployment",deployment_raw[[#This Row],[Column5]],1),0)), 0),"")</f>
        <v/>
      </c>
      <c r="N13" s="166" t="str">
        <f>IF(ISNUMBER(deployment_raw[[#This Row],[Column14]]), deployment_raw[[#This Row],[Column14]]/IF(OR($E$2="Deployment",deployment_raw[[#This Row],[Column5]]=0),1,deployment_raw[[#This Row],[Column5]]),"")</f>
        <v/>
      </c>
      <c r="O13" s="167" t="str">
        <f>IF(ISNUMBER(deployment_raw[[#This Row],[Column15]]), deployment_raw[[#This Row],[Column15]]/IF(OR($E$2="Deployment",deployment_raw[[#This Row],[Column5]]=0),1,deployment_raw[[#This Row],[Column5]])/1048576,"")</f>
        <v/>
      </c>
      <c r="P13" s="168" t="str">
        <f>IF(ISNUMBER(deployment_raw[[#This Row],[Column12]]), (MIN(IF(N13&lt;&gt;"",N13,9999999999999)*1.1,deployment_raw[[#This Row],[Column12]] * IF($E$2="Deployment",deployment_raw[[#This Row],[Column5]],1))*(1+$P$2)),"")</f>
        <v/>
      </c>
      <c r="Q13" s="167" t="str">
        <f>IF(ISNUMBER(deployment_raw[[#This Row],[Column13]]), (MIN(IF(O13&lt;&gt;"",O13,9999999999999)*1.1,deployment_raw[[#This Row],[Column13]] * IF($E$2="Deployment",deployment_raw[[#This Row],[Column5]],1)*(1+$Q$2)/1048576)),"")</f>
        <v/>
      </c>
      <c r="R13" s="169" t="str">
        <f>IF(ISNUMBER(deployment_raw[[#This Row],[Column8]]), (H13  * IF(N13&lt;&gt;0,$R$2,1)),"")</f>
        <v/>
      </c>
      <c r="S13" s="170" t="str">
        <f>IF(ISNUMBER(deployment_raw[[#This Row],[Column8]]), (I13  * IF(O13&lt;&gt;0,$S$2,1)),"")</f>
        <v/>
      </c>
      <c r="T13" s="202" t="str">
        <f>IF(AND(A13&lt;&gt;"",_xlfn.IFNA(MATCH(A13,'dynamic resource application '!$A$2:$A$100, 0),0)&lt;&gt;0), H13/(IF($E$2="Deployment",E13,1)),"")</f>
        <v/>
      </c>
      <c r="U13" s="211" t="str">
        <f>IF(AND(A13&lt;&gt;"",_xlfn.IFNA(MATCH(A13,'dynamic resource application '!$A$2:$A$100, 0),0)&lt;&gt;0), I13/(IF($E$2="Deployment",E13,1)),"")</f>
        <v/>
      </c>
    </row>
    <row r="14" spans="1:21" x14ac:dyDescent="0.25">
      <c r="A14" s="35" t="str">
        <f>IF(ISNONTEXT(deployment_raw[[#This Row],[Column1]]), "", deployment_raw[[#This Row],[Column1]])</f>
        <v/>
      </c>
      <c r="B14" s="36" t="str">
        <f>IF(ISNONTEXT(deployment_raw[[#This Row],[Column2]]), "", deployment_raw[[#This Row],[Column2]])</f>
        <v/>
      </c>
      <c r="C14" s="36" t="str">
        <f>IF(ISNONTEXT(deployment_raw[[#This Row],[Column3]]), "", deployment_raw[[#This Row],[Column3]])</f>
        <v/>
      </c>
      <c r="D14" s="36" t="str">
        <f>IF(ISNONTEXT(deployment_raw[[#This Row],[Column4]]), "", deployment_raw[[#This Row],[Column4]])</f>
        <v/>
      </c>
      <c r="E14" s="37" t="str">
        <f>IF(ISNUMBER(deployment_raw[[#This Row],[Column5]]), deployment_raw[[#This Row],[Column5]],"")</f>
        <v/>
      </c>
      <c r="F14" s="94" t="str">
        <f>IF(ISNUMBER(deployment_raw[[#This Row],[Column6]]), (deployment_raw[[#This Row],[Column6]] * IF($E$2="Deployment",deployment_raw[[#This Row],[Column5]],1)),"")</f>
        <v/>
      </c>
      <c r="G14" s="95" t="str">
        <f>IF(ISNUMBER(deployment_raw[[#This Row],[Column7]]), (deployment_raw[[#This Row],[Column7]] * IF($E$2="Deployment",deployment_raw[[#This Row],[Column5]],1))/1048576,"")</f>
        <v/>
      </c>
      <c r="H14" s="95" t="str">
        <f>IF(ISNUMBER(deployment_raw[[#This Row],[Column8]]), (deployment_raw[[#This Row],[Column8]]  * IF($E$2="Deployment",deployment_raw[[#This Row],[Column5]],1)),"")</f>
        <v/>
      </c>
      <c r="I14" s="96" t="str">
        <f>IF(ISNUMBER(deployment_raw[[#This Row],[Column9]]), (deployment_raw[[#This Row],[Column9]] * IF($E$2="Deployment",deployment_raw[[#This Row],[Column5]],1))/1048576,"")</f>
        <v/>
      </c>
      <c r="J14" s="122" t="str">
        <f>IF(ISNUMBER(deployment_raw[[#This Row],[Column10]]), (MIN(IF(N14&lt;&gt;"",N14,9999999999999)*1.1,deployment_raw[[#This Row],[Column10]] * IF($E$2="Deployment",deployment_raw[[#This Row],[Column5]],1))),"")</f>
        <v/>
      </c>
      <c r="K14" s="123" t="str">
        <f>IF(ISNUMBER(deployment_raw[[#This Row],[Column11]]), (MIN(IF(O14&lt;&gt;"",O14,9999999999999)*1.1,deployment_raw[[#This Row],[Column11]] * IF($E$2="Deployment",deployment_raw[[#This Row],[Column5]],1)/1048576)),"")</f>
        <v/>
      </c>
      <c r="L14" s="124" t="str">
        <f>IF(ISNUMBER(deployment_raw[[#This Row],[Column8]]),IF(OR(deployment_raw[[#This Row],[Column5]] &lt;&gt; 0,$E$2 &lt;&gt; "Deployment"), MAX(J14, P14, R14, ($L$2 * IF($E$2="Deployment",deployment_raw[[#This Row],[Column5]],1)),IF(T14&lt;&gt;"",VALUE(T14) * IF($E$2="Deployment",deployment_raw[[#This Row],[Column5]],1),0)), 0),"")</f>
        <v/>
      </c>
      <c r="M14" s="125" t="str">
        <f>IF(ISNUMBER(deployment_raw[[#This Row],[Column9]]),IF(OR(deployment_raw[[#This Row],[Column5]] &lt;&gt; 0,$E$2&lt;&gt;"Deployment"), MAX(K14, Q14, S14, ($M$2 * IF($E$2="Deployment",deployment_raw[[#This Row],[Column5]],1)),IF(U14&lt;&gt;"",VALUE(U14) * IF($E$2="Deployment",deployment_raw[[#This Row],[Column5]],1),0)), 0),"")</f>
        <v/>
      </c>
      <c r="N14" s="166" t="str">
        <f>IF(ISNUMBER(deployment_raw[[#This Row],[Column14]]), deployment_raw[[#This Row],[Column14]]/IF(OR($E$2="Deployment",deployment_raw[[#This Row],[Column5]]=0),1,deployment_raw[[#This Row],[Column5]]),"")</f>
        <v/>
      </c>
      <c r="O14" s="167" t="str">
        <f>IF(ISNUMBER(deployment_raw[[#This Row],[Column15]]), deployment_raw[[#This Row],[Column15]]/IF(OR($E$2="Deployment",deployment_raw[[#This Row],[Column5]]=0),1,deployment_raw[[#This Row],[Column5]])/1048576,"")</f>
        <v/>
      </c>
      <c r="P14" s="168" t="str">
        <f>IF(ISNUMBER(deployment_raw[[#This Row],[Column12]]), (MIN(IF(N14&lt;&gt;"",N14,9999999999999)*1.1,deployment_raw[[#This Row],[Column12]] * IF($E$2="Deployment",deployment_raw[[#This Row],[Column5]],1))*(1+$P$2)),"")</f>
        <v/>
      </c>
      <c r="Q14" s="167" t="str">
        <f>IF(ISNUMBER(deployment_raw[[#This Row],[Column13]]), (MIN(IF(O14&lt;&gt;"",O14,9999999999999)*1.1,deployment_raw[[#This Row],[Column13]] * IF($E$2="Deployment",deployment_raw[[#This Row],[Column5]],1)*(1+$Q$2)/1048576)),"")</f>
        <v/>
      </c>
      <c r="R14" s="169" t="str">
        <f>IF(ISNUMBER(deployment_raw[[#This Row],[Column8]]), (H14  * IF(N14&lt;&gt;0,$R$2,1)),"")</f>
        <v/>
      </c>
      <c r="S14" s="170" t="str">
        <f>IF(ISNUMBER(deployment_raw[[#This Row],[Column8]]), (I14  * IF(O14&lt;&gt;0,$S$2,1)),"")</f>
        <v/>
      </c>
      <c r="T14" s="202" t="str">
        <f>IF(AND(A14&lt;&gt;"",_xlfn.IFNA(MATCH(A14,'dynamic resource application '!$A$2:$A$100, 0),0)&lt;&gt;0), H14/(IF($E$2="Deployment",E14,1)),"")</f>
        <v/>
      </c>
      <c r="U14" s="211" t="str">
        <f>IF(AND(A14&lt;&gt;"",_xlfn.IFNA(MATCH(A14,'dynamic resource application '!$A$2:$A$100, 0),0)&lt;&gt;0), I14/(IF($E$2="Deployment",E14,1)),"")</f>
        <v/>
      </c>
    </row>
    <row r="15" spans="1:21" x14ac:dyDescent="0.25">
      <c r="A15" s="35" t="str">
        <f>IF(ISNONTEXT(deployment_raw[[#This Row],[Column1]]), "", deployment_raw[[#This Row],[Column1]])</f>
        <v/>
      </c>
      <c r="B15" s="36" t="str">
        <f>IF(ISNONTEXT(deployment_raw[[#This Row],[Column2]]), "", deployment_raw[[#This Row],[Column2]])</f>
        <v/>
      </c>
      <c r="C15" s="36" t="str">
        <f>IF(ISNONTEXT(deployment_raw[[#This Row],[Column3]]), "", deployment_raw[[#This Row],[Column3]])</f>
        <v/>
      </c>
      <c r="D15" s="36" t="str">
        <f>IF(ISNONTEXT(deployment_raw[[#This Row],[Column4]]), "", deployment_raw[[#This Row],[Column4]])</f>
        <v/>
      </c>
      <c r="E15" s="37" t="str">
        <f>IF(ISNUMBER(deployment_raw[[#This Row],[Column5]]), deployment_raw[[#This Row],[Column5]],"")</f>
        <v/>
      </c>
      <c r="F15" s="94" t="str">
        <f>IF(ISNUMBER(deployment_raw[[#This Row],[Column6]]), (deployment_raw[[#This Row],[Column6]] * IF($E$2="Deployment",deployment_raw[[#This Row],[Column5]],1)),"")</f>
        <v/>
      </c>
      <c r="G15" s="95" t="str">
        <f>IF(ISNUMBER(deployment_raw[[#This Row],[Column7]]), (deployment_raw[[#This Row],[Column7]] * IF($E$2="Deployment",deployment_raw[[#This Row],[Column5]],1))/1048576,"")</f>
        <v/>
      </c>
      <c r="H15" s="95" t="str">
        <f>IF(ISNUMBER(deployment_raw[[#This Row],[Column8]]), (deployment_raw[[#This Row],[Column8]]  * IF($E$2="Deployment",deployment_raw[[#This Row],[Column5]],1)),"")</f>
        <v/>
      </c>
      <c r="I15" s="96" t="str">
        <f>IF(ISNUMBER(deployment_raw[[#This Row],[Column9]]), (deployment_raw[[#This Row],[Column9]] * IF($E$2="Deployment",deployment_raw[[#This Row],[Column5]],1))/1048576,"")</f>
        <v/>
      </c>
      <c r="J15" s="122" t="str">
        <f>IF(ISNUMBER(deployment_raw[[#This Row],[Column10]]), (MIN(IF(N15&lt;&gt;"",N15,9999999999999)*1.1,deployment_raw[[#This Row],[Column10]] * IF($E$2="Deployment",deployment_raw[[#This Row],[Column5]],1))),"")</f>
        <v/>
      </c>
      <c r="K15" s="123" t="str">
        <f>IF(ISNUMBER(deployment_raw[[#This Row],[Column11]]), (MIN(IF(O15&lt;&gt;"",O15,9999999999999)*1.1,deployment_raw[[#This Row],[Column11]] * IF($E$2="Deployment",deployment_raw[[#This Row],[Column5]],1)/1048576)),"")</f>
        <v/>
      </c>
      <c r="L15" s="124" t="str">
        <f>IF(ISNUMBER(deployment_raw[[#This Row],[Column8]]),IF(OR(deployment_raw[[#This Row],[Column5]] &lt;&gt; 0,$E$2 &lt;&gt; "Deployment"), MAX(J15, P15, R15, ($L$2 * IF($E$2="Deployment",deployment_raw[[#This Row],[Column5]],1)),IF(T15&lt;&gt;"",VALUE(T15) * IF($E$2="Deployment",deployment_raw[[#This Row],[Column5]],1),0)), 0),"")</f>
        <v/>
      </c>
      <c r="M15" s="125" t="str">
        <f>IF(ISNUMBER(deployment_raw[[#This Row],[Column9]]),IF(OR(deployment_raw[[#This Row],[Column5]] &lt;&gt; 0,$E$2&lt;&gt;"Deployment"), MAX(K15, Q15, S15, ($M$2 * IF($E$2="Deployment",deployment_raw[[#This Row],[Column5]],1)),IF(U15&lt;&gt;"",VALUE(U15) * IF($E$2="Deployment",deployment_raw[[#This Row],[Column5]],1),0)), 0),"")</f>
        <v/>
      </c>
      <c r="N15" s="166" t="str">
        <f>IF(ISNUMBER(deployment_raw[[#This Row],[Column14]]), deployment_raw[[#This Row],[Column14]]/IF(OR($E$2="Deployment",deployment_raw[[#This Row],[Column5]]=0),1,deployment_raw[[#This Row],[Column5]]),"")</f>
        <v/>
      </c>
      <c r="O15" s="167" t="str">
        <f>IF(ISNUMBER(deployment_raw[[#This Row],[Column15]]), deployment_raw[[#This Row],[Column15]]/IF(OR($E$2="Deployment",deployment_raw[[#This Row],[Column5]]=0),1,deployment_raw[[#This Row],[Column5]])/1048576,"")</f>
        <v/>
      </c>
      <c r="P15" s="168" t="str">
        <f>IF(ISNUMBER(deployment_raw[[#This Row],[Column12]]), (MIN(IF(N15&lt;&gt;"",N15,9999999999999)*1.1,deployment_raw[[#This Row],[Column12]] * IF($E$2="Deployment",deployment_raw[[#This Row],[Column5]],1))*(1+$P$2)),"")</f>
        <v/>
      </c>
      <c r="Q15" s="167" t="str">
        <f>IF(ISNUMBER(deployment_raw[[#This Row],[Column13]]), (MIN(IF(O15&lt;&gt;"",O15,9999999999999)*1.1,deployment_raw[[#This Row],[Column13]] * IF($E$2="Deployment",deployment_raw[[#This Row],[Column5]],1)*(1+$Q$2)/1048576)),"")</f>
        <v/>
      </c>
      <c r="R15" s="169" t="str">
        <f>IF(ISNUMBER(deployment_raw[[#This Row],[Column8]]), (H15  * IF(N15&lt;&gt;0,$R$2,1)),"")</f>
        <v/>
      </c>
      <c r="S15" s="170" t="str">
        <f>IF(ISNUMBER(deployment_raw[[#This Row],[Column8]]), (I15  * IF(O15&lt;&gt;0,$S$2,1)),"")</f>
        <v/>
      </c>
      <c r="T15" s="202" t="str">
        <f>IF(AND(A15&lt;&gt;"",_xlfn.IFNA(MATCH(A15,'dynamic resource application '!$A$2:$A$100, 0),0)&lt;&gt;0), H15/(IF($E$2="Deployment",E15,1)),"")</f>
        <v/>
      </c>
      <c r="U15" s="211" t="str">
        <f>IF(AND(A15&lt;&gt;"",_xlfn.IFNA(MATCH(A15,'dynamic resource application '!$A$2:$A$100, 0),0)&lt;&gt;0), I15/(IF($E$2="Deployment",E15,1)),"")</f>
        <v/>
      </c>
    </row>
    <row r="16" spans="1:21" x14ac:dyDescent="0.25">
      <c r="A16" s="35" t="str">
        <f>IF(ISNONTEXT(deployment_raw[[#This Row],[Column1]]), "", deployment_raw[[#This Row],[Column1]])</f>
        <v/>
      </c>
      <c r="B16" s="36" t="str">
        <f>IF(ISNONTEXT(deployment_raw[[#This Row],[Column2]]), "", deployment_raw[[#This Row],[Column2]])</f>
        <v/>
      </c>
      <c r="C16" s="36" t="str">
        <f>IF(ISNONTEXT(deployment_raw[[#This Row],[Column3]]), "", deployment_raw[[#This Row],[Column3]])</f>
        <v/>
      </c>
      <c r="D16" s="36" t="str">
        <f>IF(ISNONTEXT(deployment_raw[[#This Row],[Column4]]), "", deployment_raw[[#This Row],[Column4]])</f>
        <v/>
      </c>
      <c r="E16" s="37" t="str">
        <f>IF(ISNUMBER(deployment_raw[[#This Row],[Column5]]), deployment_raw[[#This Row],[Column5]],"")</f>
        <v/>
      </c>
      <c r="F16" s="94" t="str">
        <f>IF(ISNUMBER(deployment_raw[[#This Row],[Column6]]), (deployment_raw[[#This Row],[Column6]] * IF($E$2="Deployment",deployment_raw[[#This Row],[Column5]],1)),"")</f>
        <v/>
      </c>
      <c r="G16" s="95" t="str">
        <f>IF(ISNUMBER(deployment_raw[[#This Row],[Column7]]), (deployment_raw[[#This Row],[Column7]] * IF($E$2="Deployment",deployment_raw[[#This Row],[Column5]],1))/1048576,"")</f>
        <v/>
      </c>
      <c r="H16" s="95" t="str">
        <f>IF(ISNUMBER(deployment_raw[[#This Row],[Column8]]), (deployment_raw[[#This Row],[Column8]]  * IF($E$2="Deployment",deployment_raw[[#This Row],[Column5]],1)),"")</f>
        <v/>
      </c>
      <c r="I16" s="96" t="str">
        <f>IF(ISNUMBER(deployment_raw[[#This Row],[Column9]]), (deployment_raw[[#This Row],[Column9]] * IF($E$2="Deployment",deployment_raw[[#This Row],[Column5]],1))/1048576,"")</f>
        <v/>
      </c>
      <c r="J16" s="122" t="str">
        <f>IF(ISNUMBER(deployment_raw[[#This Row],[Column10]]), (MIN(IF(N16&lt;&gt;"",N16,9999999999999)*1.1,deployment_raw[[#This Row],[Column10]] * IF($E$2="Deployment",deployment_raw[[#This Row],[Column5]],1))),"")</f>
        <v/>
      </c>
      <c r="K16" s="123" t="str">
        <f>IF(ISNUMBER(deployment_raw[[#This Row],[Column11]]), (MIN(IF(O16&lt;&gt;"",O16,9999999999999)*1.1,deployment_raw[[#This Row],[Column11]] * IF($E$2="Deployment",deployment_raw[[#This Row],[Column5]],1)/1048576)),"")</f>
        <v/>
      </c>
      <c r="L16" s="124" t="str">
        <f>IF(ISNUMBER(deployment_raw[[#This Row],[Column8]]),IF(OR(deployment_raw[[#This Row],[Column5]] &lt;&gt; 0,$E$2 &lt;&gt; "Deployment"), MAX(J16, P16, R16, ($L$2 * IF($E$2="Deployment",deployment_raw[[#This Row],[Column5]],1)),IF(T16&lt;&gt;"",VALUE(T16) * IF($E$2="Deployment",deployment_raw[[#This Row],[Column5]],1),0)), 0),"")</f>
        <v/>
      </c>
      <c r="M16" s="125" t="str">
        <f>IF(ISNUMBER(deployment_raw[[#This Row],[Column9]]),IF(OR(deployment_raw[[#This Row],[Column5]] &lt;&gt; 0,$E$2&lt;&gt;"Deployment"), MAX(K16, Q16, S16, ($M$2 * IF($E$2="Deployment",deployment_raw[[#This Row],[Column5]],1)),IF(U16&lt;&gt;"",VALUE(U16) * IF($E$2="Deployment",deployment_raw[[#This Row],[Column5]],1),0)), 0),"")</f>
        <v/>
      </c>
      <c r="N16" s="166" t="str">
        <f>IF(ISNUMBER(deployment_raw[[#This Row],[Column14]]), deployment_raw[[#This Row],[Column14]]/IF(OR($E$2="Deployment",deployment_raw[[#This Row],[Column5]]=0),1,deployment_raw[[#This Row],[Column5]]),"")</f>
        <v/>
      </c>
      <c r="O16" s="167" t="str">
        <f>IF(ISNUMBER(deployment_raw[[#This Row],[Column15]]), deployment_raw[[#This Row],[Column15]]/IF(OR($E$2="Deployment",deployment_raw[[#This Row],[Column5]]=0),1,deployment_raw[[#This Row],[Column5]])/1048576,"")</f>
        <v/>
      </c>
      <c r="P16" s="168" t="str">
        <f>IF(ISNUMBER(deployment_raw[[#This Row],[Column12]]), (MIN(IF(N16&lt;&gt;"",N16,9999999999999)*1.1,deployment_raw[[#This Row],[Column12]] * IF($E$2="Deployment",deployment_raw[[#This Row],[Column5]],1))*(1+$P$2)),"")</f>
        <v/>
      </c>
      <c r="Q16" s="167" t="str">
        <f>IF(ISNUMBER(deployment_raw[[#This Row],[Column13]]), (MIN(IF(O16&lt;&gt;"",O16,9999999999999)*1.1,deployment_raw[[#This Row],[Column13]] * IF($E$2="Deployment",deployment_raw[[#This Row],[Column5]],1)*(1+$Q$2)/1048576)),"")</f>
        <v/>
      </c>
      <c r="R16" s="169" t="str">
        <f>IF(ISNUMBER(deployment_raw[[#This Row],[Column8]]), (H16  * IF(N16&lt;&gt;0,$R$2,1)),"")</f>
        <v/>
      </c>
      <c r="S16" s="170" t="str">
        <f>IF(ISNUMBER(deployment_raw[[#This Row],[Column8]]), (I16  * IF(O16&lt;&gt;0,$S$2,1)),"")</f>
        <v/>
      </c>
      <c r="T16" s="202" t="str">
        <f>IF(AND(A16&lt;&gt;"",_xlfn.IFNA(MATCH(A16,'dynamic resource application '!$A$2:$A$100, 0),0)&lt;&gt;0), H16/(IF($E$2="Deployment",E16,1)),"")</f>
        <v/>
      </c>
      <c r="U16" s="211" t="str">
        <f>IF(AND(A16&lt;&gt;"",_xlfn.IFNA(MATCH(A16,'dynamic resource application '!$A$2:$A$100, 0),0)&lt;&gt;0), I16/(IF($E$2="Deployment",E16,1)),"")</f>
        <v/>
      </c>
    </row>
    <row r="17" spans="1:21" x14ac:dyDescent="0.25">
      <c r="A17" s="35" t="str">
        <f>IF(ISNONTEXT(deployment_raw[[#This Row],[Column1]]), "", deployment_raw[[#This Row],[Column1]])</f>
        <v/>
      </c>
      <c r="B17" s="36" t="str">
        <f>IF(ISNONTEXT(deployment_raw[[#This Row],[Column2]]), "", deployment_raw[[#This Row],[Column2]])</f>
        <v/>
      </c>
      <c r="C17" s="36" t="str">
        <f>IF(ISNONTEXT(deployment_raw[[#This Row],[Column3]]), "", deployment_raw[[#This Row],[Column3]])</f>
        <v/>
      </c>
      <c r="D17" s="36" t="str">
        <f>IF(ISNONTEXT(deployment_raw[[#This Row],[Column4]]), "", deployment_raw[[#This Row],[Column4]])</f>
        <v/>
      </c>
      <c r="E17" s="37" t="str">
        <f>IF(ISNUMBER(deployment_raw[[#This Row],[Column5]]), deployment_raw[[#This Row],[Column5]],"")</f>
        <v/>
      </c>
      <c r="F17" s="94" t="str">
        <f>IF(ISNUMBER(deployment_raw[[#This Row],[Column6]]), (deployment_raw[[#This Row],[Column6]] * IF($E$2="Deployment",deployment_raw[[#This Row],[Column5]],1)),"")</f>
        <v/>
      </c>
      <c r="G17" s="95" t="str">
        <f>IF(ISNUMBER(deployment_raw[[#This Row],[Column7]]), (deployment_raw[[#This Row],[Column7]] * IF($E$2="Deployment",deployment_raw[[#This Row],[Column5]],1))/1048576,"")</f>
        <v/>
      </c>
      <c r="H17" s="95" t="str">
        <f>IF(ISNUMBER(deployment_raw[[#This Row],[Column8]]), (deployment_raw[[#This Row],[Column8]]  * IF($E$2="Deployment",deployment_raw[[#This Row],[Column5]],1)),"")</f>
        <v/>
      </c>
      <c r="I17" s="96" t="str">
        <f>IF(ISNUMBER(deployment_raw[[#This Row],[Column9]]), (deployment_raw[[#This Row],[Column9]] * IF($E$2="Deployment",deployment_raw[[#This Row],[Column5]],1))/1048576,"")</f>
        <v/>
      </c>
      <c r="J17" s="122" t="str">
        <f>IF(ISNUMBER(deployment_raw[[#This Row],[Column10]]), (MIN(IF(N17&lt;&gt;"",N17,9999999999999)*1.1,deployment_raw[[#This Row],[Column10]] * IF($E$2="Deployment",deployment_raw[[#This Row],[Column5]],1))),"")</f>
        <v/>
      </c>
      <c r="K17" s="123" t="str">
        <f>IF(ISNUMBER(deployment_raw[[#This Row],[Column11]]), (MIN(IF(O17&lt;&gt;"",O17,9999999999999)*1.1,deployment_raw[[#This Row],[Column11]] * IF($E$2="Deployment",deployment_raw[[#This Row],[Column5]],1)/1048576)),"")</f>
        <v/>
      </c>
      <c r="L17" s="124" t="str">
        <f>IF(ISNUMBER(deployment_raw[[#This Row],[Column8]]),IF(OR(deployment_raw[[#This Row],[Column5]] &lt;&gt; 0,$E$2 &lt;&gt; "Deployment"), MAX(J17, P17, R17, ($L$2 * IF($E$2="Deployment",deployment_raw[[#This Row],[Column5]],1)),IF(T17&lt;&gt;"",VALUE(T17) * IF($E$2="Deployment",deployment_raw[[#This Row],[Column5]],1),0)), 0),"")</f>
        <v/>
      </c>
      <c r="M17" s="125" t="str">
        <f>IF(ISNUMBER(deployment_raw[[#This Row],[Column9]]),IF(OR(deployment_raw[[#This Row],[Column5]] &lt;&gt; 0,$E$2&lt;&gt;"Deployment"), MAX(K17, Q17, S17, ($M$2 * IF($E$2="Deployment",deployment_raw[[#This Row],[Column5]],1)),IF(U17&lt;&gt;"",VALUE(U17) * IF($E$2="Deployment",deployment_raw[[#This Row],[Column5]],1),0)), 0),"")</f>
        <v/>
      </c>
      <c r="N17" s="166" t="str">
        <f>IF(ISNUMBER(deployment_raw[[#This Row],[Column14]]), deployment_raw[[#This Row],[Column14]]/IF(OR($E$2="Deployment",deployment_raw[[#This Row],[Column5]]=0),1,deployment_raw[[#This Row],[Column5]]),"")</f>
        <v/>
      </c>
      <c r="O17" s="167" t="str">
        <f>IF(ISNUMBER(deployment_raw[[#This Row],[Column15]]), deployment_raw[[#This Row],[Column15]]/IF(OR($E$2="Deployment",deployment_raw[[#This Row],[Column5]]=0),1,deployment_raw[[#This Row],[Column5]])/1048576,"")</f>
        <v/>
      </c>
      <c r="P17" s="168" t="str">
        <f>IF(ISNUMBER(deployment_raw[[#This Row],[Column12]]), (MIN(IF(N17&lt;&gt;"",N17,9999999999999)*1.1,deployment_raw[[#This Row],[Column12]] * IF($E$2="Deployment",deployment_raw[[#This Row],[Column5]],1))*(1+$P$2)),"")</f>
        <v/>
      </c>
      <c r="Q17" s="167" t="str">
        <f>IF(ISNUMBER(deployment_raw[[#This Row],[Column13]]), (MIN(IF(O17&lt;&gt;"",O17,9999999999999)*1.1,deployment_raw[[#This Row],[Column13]] * IF($E$2="Deployment",deployment_raw[[#This Row],[Column5]],1)*(1+$Q$2)/1048576)),"")</f>
        <v/>
      </c>
      <c r="R17" s="169" t="str">
        <f>IF(ISNUMBER(deployment_raw[[#This Row],[Column8]]), (H17  * IF(N17&lt;&gt;0,$R$2,1)),"")</f>
        <v/>
      </c>
      <c r="S17" s="170" t="str">
        <f>IF(ISNUMBER(deployment_raw[[#This Row],[Column8]]), (I17  * IF(O17&lt;&gt;0,$S$2,1)),"")</f>
        <v/>
      </c>
      <c r="T17" s="202" t="str">
        <f>IF(AND(A17&lt;&gt;"",_xlfn.IFNA(MATCH(A17,'dynamic resource application '!$A$2:$A$100, 0),0)&lt;&gt;0), H17/(IF($E$2="Deployment",E17,1)),"")</f>
        <v/>
      </c>
      <c r="U17" s="211" t="str">
        <f>IF(AND(A17&lt;&gt;"",_xlfn.IFNA(MATCH(A17,'dynamic resource application '!$A$2:$A$100, 0),0)&lt;&gt;0), I17/(IF($E$2="Deployment",E17,1)),"")</f>
        <v/>
      </c>
    </row>
    <row r="18" spans="1:21" x14ac:dyDescent="0.25">
      <c r="A18" s="35" t="str">
        <f>IF(ISNONTEXT(deployment_raw[[#This Row],[Column1]]), "", deployment_raw[[#This Row],[Column1]])</f>
        <v/>
      </c>
      <c r="B18" s="36" t="str">
        <f>IF(ISNONTEXT(deployment_raw[[#This Row],[Column2]]), "", deployment_raw[[#This Row],[Column2]])</f>
        <v/>
      </c>
      <c r="C18" s="36" t="str">
        <f>IF(ISNONTEXT(deployment_raw[[#This Row],[Column3]]), "", deployment_raw[[#This Row],[Column3]])</f>
        <v/>
      </c>
      <c r="D18" s="36" t="str">
        <f>IF(ISNONTEXT(deployment_raw[[#This Row],[Column4]]), "", deployment_raw[[#This Row],[Column4]])</f>
        <v/>
      </c>
      <c r="E18" s="37" t="str">
        <f>IF(ISNUMBER(deployment_raw[[#This Row],[Column5]]), deployment_raw[[#This Row],[Column5]],"")</f>
        <v/>
      </c>
      <c r="F18" s="94" t="str">
        <f>IF(ISNUMBER(deployment_raw[[#This Row],[Column6]]), (deployment_raw[[#This Row],[Column6]] * IF($E$2="Deployment",deployment_raw[[#This Row],[Column5]],1)),"")</f>
        <v/>
      </c>
      <c r="G18" s="95" t="str">
        <f>IF(ISNUMBER(deployment_raw[[#This Row],[Column7]]), (deployment_raw[[#This Row],[Column7]] * IF($E$2="Deployment",deployment_raw[[#This Row],[Column5]],1))/1048576,"")</f>
        <v/>
      </c>
      <c r="H18" s="95" t="str">
        <f>IF(ISNUMBER(deployment_raw[[#This Row],[Column8]]), (deployment_raw[[#This Row],[Column8]]  * IF($E$2="Deployment",deployment_raw[[#This Row],[Column5]],1)),"")</f>
        <v/>
      </c>
      <c r="I18" s="96" t="str">
        <f>IF(ISNUMBER(deployment_raw[[#This Row],[Column9]]), (deployment_raw[[#This Row],[Column9]] * IF($E$2="Deployment",deployment_raw[[#This Row],[Column5]],1))/1048576,"")</f>
        <v/>
      </c>
      <c r="J18" s="122" t="str">
        <f>IF(ISNUMBER(deployment_raw[[#This Row],[Column10]]), (MIN(IF(N18&lt;&gt;"",N18,9999999999999)*1.1,deployment_raw[[#This Row],[Column10]] * IF($E$2="Deployment",deployment_raw[[#This Row],[Column5]],1))),"")</f>
        <v/>
      </c>
      <c r="K18" s="123" t="str">
        <f>IF(ISNUMBER(deployment_raw[[#This Row],[Column11]]), (MIN(IF(O18&lt;&gt;"",O18,9999999999999)*1.1,deployment_raw[[#This Row],[Column11]] * IF($E$2="Deployment",deployment_raw[[#This Row],[Column5]],1)/1048576)),"")</f>
        <v/>
      </c>
      <c r="L18" s="124" t="str">
        <f>IF(ISNUMBER(deployment_raw[[#This Row],[Column8]]),IF(OR(deployment_raw[[#This Row],[Column5]] &lt;&gt; 0,$E$2 &lt;&gt; "Deployment"), MAX(J18, P18, R18, ($L$2 * IF($E$2="Deployment",deployment_raw[[#This Row],[Column5]],1)),IF(T18&lt;&gt;"",VALUE(T18) * IF($E$2="Deployment",deployment_raw[[#This Row],[Column5]],1),0)), 0),"")</f>
        <v/>
      </c>
      <c r="M18" s="125" t="str">
        <f>IF(ISNUMBER(deployment_raw[[#This Row],[Column9]]),IF(OR(deployment_raw[[#This Row],[Column5]] &lt;&gt; 0,$E$2&lt;&gt;"Deployment"), MAX(K18, Q18, S18, ($M$2 * IF($E$2="Deployment",deployment_raw[[#This Row],[Column5]],1)),IF(U18&lt;&gt;"",VALUE(U18) * IF($E$2="Deployment",deployment_raw[[#This Row],[Column5]],1),0)), 0),"")</f>
        <v/>
      </c>
      <c r="N18" s="166" t="str">
        <f>IF(ISNUMBER(deployment_raw[[#This Row],[Column14]]), deployment_raw[[#This Row],[Column14]]/IF(OR($E$2="Deployment",deployment_raw[[#This Row],[Column5]]=0),1,deployment_raw[[#This Row],[Column5]]),"")</f>
        <v/>
      </c>
      <c r="O18" s="167" t="str">
        <f>IF(ISNUMBER(deployment_raw[[#This Row],[Column15]]), deployment_raw[[#This Row],[Column15]]/IF(OR($E$2="Deployment",deployment_raw[[#This Row],[Column5]]=0),1,deployment_raw[[#This Row],[Column5]])/1048576,"")</f>
        <v/>
      </c>
      <c r="P18" s="168" t="str">
        <f>IF(ISNUMBER(deployment_raw[[#This Row],[Column12]]), (MIN(IF(N18&lt;&gt;"",N18,9999999999999)*1.1,deployment_raw[[#This Row],[Column12]] * IF($E$2="Deployment",deployment_raw[[#This Row],[Column5]],1))*(1+$P$2)),"")</f>
        <v/>
      </c>
      <c r="Q18" s="167" t="str">
        <f>IF(ISNUMBER(deployment_raw[[#This Row],[Column13]]), (MIN(IF(O18&lt;&gt;"",O18,9999999999999)*1.1,deployment_raw[[#This Row],[Column13]] * IF($E$2="Deployment",deployment_raw[[#This Row],[Column5]],1)*(1+$Q$2)/1048576)),"")</f>
        <v/>
      </c>
      <c r="R18" s="169" t="str">
        <f>IF(ISNUMBER(deployment_raw[[#This Row],[Column8]]), (H18  * IF(N18&lt;&gt;0,$R$2,1)),"")</f>
        <v/>
      </c>
      <c r="S18" s="170" t="str">
        <f>IF(ISNUMBER(deployment_raw[[#This Row],[Column8]]), (I18  * IF(O18&lt;&gt;0,$S$2,1)),"")</f>
        <v/>
      </c>
      <c r="T18" s="202" t="str">
        <f>IF(AND(A18&lt;&gt;"",_xlfn.IFNA(MATCH(A18,'dynamic resource application '!$A$2:$A$100, 0),0)&lt;&gt;0), H18/(IF($E$2="Deployment",E18,1)),"")</f>
        <v/>
      </c>
      <c r="U18" s="211" t="str">
        <f>IF(AND(A18&lt;&gt;"",_xlfn.IFNA(MATCH(A18,'dynamic resource application '!$A$2:$A$100, 0),0)&lt;&gt;0), I18/(IF($E$2="Deployment",E18,1)),"")</f>
        <v/>
      </c>
    </row>
    <row r="19" spans="1:21" x14ac:dyDescent="0.25">
      <c r="A19" s="35" t="str">
        <f>IF(ISNONTEXT(deployment_raw[[#This Row],[Column1]]), "", deployment_raw[[#This Row],[Column1]])</f>
        <v/>
      </c>
      <c r="B19" s="36" t="str">
        <f>IF(ISNONTEXT(deployment_raw[[#This Row],[Column2]]), "", deployment_raw[[#This Row],[Column2]])</f>
        <v/>
      </c>
      <c r="C19" s="36" t="str">
        <f>IF(ISNONTEXT(deployment_raw[[#This Row],[Column3]]), "", deployment_raw[[#This Row],[Column3]])</f>
        <v/>
      </c>
      <c r="D19" s="36" t="str">
        <f>IF(ISNONTEXT(deployment_raw[[#This Row],[Column4]]), "", deployment_raw[[#This Row],[Column4]])</f>
        <v/>
      </c>
      <c r="E19" s="37" t="str">
        <f>IF(ISNUMBER(deployment_raw[[#This Row],[Column5]]), deployment_raw[[#This Row],[Column5]],"")</f>
        <v/>
      </c>
      <c r="F19" s="94" t="str">
        <f>IF(ISNUMBER(deployment_raw[[#This Row],[Column6]]), (deployment_raw[[#This Row],[Column6]] * IF($E$2="Deployment",deployment_raw[[#This Row],[Column5]],1)),"")</f>
        <v/>
      </c>
      <c r="G19" s="95" t="str">
        <f>IF(ISNUMBER(deployment_raw[[#This Row],[Column7]]), (deployment_raw[[#This Row],[Column7]] * IF($E$2="Deployment",deployment_raw[[#This Row],[Column5]],1))/1048576,"")</f>
        <v/>
      </c>
      <c r="H19" s="95" t="str">
        <f>IF(ISNUMBER(deployment_raw[[#This Row],[Column8]]), (deployment_raw[[#This Row],[Column8]]  * IF($E$2="Deployment",deployment_raw[[#This Row],[Column5]],1)),"")</f>
        <v/>
      </c>
      <c r="I19" s="96" t="str">
        <f>IF(ISNUMBER(deployment_raw[[#This Row],[Column9]]), (deployment_raw[[#This Row],[Column9]] * IF($E$2="Deployment",deployment_raw[[#This Row],[Column5]],1))/1048576,"")</f>
        <v/>
      </c>
      <c r="J19" s="122" t="str">
        <f>IF(ISNUMBER(deployment_raw[[#This Row],[Column10]]), (MIN(IF(N19&lt;&gt;"",N19,9999999999999)*1.1,deployment_raw[[#This Row],[Column10]] * IF($E$2="Deployment",deployment_raw[[#This Row],[Column5]],1))),"")</f>
        <v/>
      </c>
      <c r="K19" s="123" t="str">
        <f>IF(ISNUMBER(deployment_raw[[#This Row],[Column11]]), (MIN(IF(O19&lt;&gt;"",O19,9999999999999)*1.1,deployment_raw[[#This Row],[Column11]] * IF($E$2="Deployment",deployment_raw[[#This Row],[Column5]],1)/1048576)),"")</f>
        <v/>
      </c>
      <c r="L19" s="124" t="str">
        <f>IF(ISNUMBER(deployment_raw[[#This Row],[Column8]]),IF(OR(deployment_raw[[#This Row],[Column5]] &lt;&gt; 0,$E$2 &lt;&gt; "Deployment"), MAX(J19, P19, R19, ($L$2 * IF($E$2="Deployment",deployment_raw[[#This Row],[Column5]],1)),IF(T19&lt;&gt;"",VALUE(T19) * IF($E$2="Deployment",deployment_raw[[#This Row],[Column5]],1),0)), 0),"")</f>
        <v/>
      </c>
      <c r="M19" s="125" t="str">
        <f>IF(ISNUMBER(deployment_raw[[#This Row],[Column9]]),IF(OR(deployment_raw[[#This Row],[Column5]] &lt;&gt; 0,$E$2&lt;&gt;"Deployment"), MAX(K19, Q19, S19, ($M$2 * IF($E$2="Deployment",deployment_raw[[#This Row],[Column5]],1)),IF(U19&lt;&gt;"",VALUE(U19) * IF($E$2="Deployment",deployment_raw[[#This Row],[Column5]],1),0)), 0),"")</f>
        <v/>
      </c>
      <c r="N19" s="166" t="str">
        <f>IF(ISNUMBER(deployment_raw[[#This Row],[Column14]]), deployment_raw[[#This Row],[Column14]]/IF(OR($E$2="Deployment",deployment_raw[[#This Row],[Column5]]=0),1,deployment_raw[[#This Row],[Column5]]),"")</f>
        <v/>
      </c>
      <c r="O19" s="167" t="str">
        <f>IF(ISNUMBER(deployment_raw[[#This Row],[Column15]]), deployment_raw[[#This Row],[Column15]]/IF(OR($E$2="Deployment",deployment_raw[[#This Row],[Column5]]=0),1,deployment_raw[[#This Row],[Column5]])/1048576,"")</f>
        <v/>
      </c>
      <c r="P19" s="168" t="str">
        <f>IF(ISNUMBER(deployment_raw[[#This Row],[Column12]]), (MIN(IF(N19&lt;&gt;"",N19,9999999999999)*1.1,deployment_raw[[#This Row],[Column12]] * IF($E$2="Deployment",deployment_raw[[#This Row],[Column5]],1))*(1+$P$2)),"")</f>
        <v/>
      </c>
      <c r="Q19" s="167" t="str">
        <f>IF(ISNUMBER(deployment_raw[[#This Row],[Column13]]), (MIN(IF(O19&lt;&gt;"",O19,9999999999999)*1.1,deployment_raw[[#This Row],[Column13]] * IF($E$2="Deployment",deployment_raw[[#This Row],[Column5]],1)*(1+$Q$2)/1048576)),"")</f>
        <v/>
      </c>
      <c r="R19" s="169" t="str">
        <f>IF(ISNUMBER(deployment_raw[[#This Row],[Column8]]), (H19  * IF(N19&lt;&gt;0,$R$2,1)),"")</f>
        <v/>
      </c>
      <c r="S19" s="170" t="str">
        <f>IF(ISNUMBER(deployment_raw[[#This Row],[Column8]]), (I19  * IF(O19&lt;&gt;0,$S$2,1)),"")</f>
        <v/>
      </c>
      <c r="T19" s="202" t="str">
        <f>IF(AND(A19&lt;&gt;"",_xlfn.IFNA(MATCH(A19,'dynamic resource application '!$A$2:$A$100, 0),0)&lt;&gt;0), H19/(IF($E$2="Deployment",E19,1)),"")</f>
        <v/>
      </c>
      <c r="U19" s="211" t="str">
        <f>IF(AND(A19&lt;&gt;"",_xlfn.IFNA(MATCH(A19,'dynamic resource application '!$A$2:$A$100, 0),0)&lt;&gt;0), I19/(IF($E$2="Deployment",E19,1)),"")</f>
        <v/>
      </c>
    </row>
    <row r="20" spans="1:21" ht="15.75" customHeight="1" x14ac:dyDescent="0.25">
      <c r="A20" s="35" t="str">
        <f>IF(ISNONTEXT(deployment_raw[[#This Row],[Column1]]), "", deployment_raw[[#This Row],[Column1]])</f>
        <v/>
      </c>
      <c r="B20" s="36" t="str">
        <f>IF(ISNONTEXT(deployment_raw[[#This Row],[Column2]]), "", deployment_raw[[#This Row],[Column2]])</f>
        <v/>
      </c>
      <c r="C20" s="36" t="str">
        <f>IF(ISNONTEXT(deployment_raw[[#This Row],[Column3]]), "", deployment_raw[[#This Row],[Column3]])</f>
        <v/>
      </c>
      <c r="D20" s="36" t="str">
        <f>IF(ISNONTEXT(deployment_raw[[#This Row],[Column4]]), "", deployment_raw[[#This Row],[Column4]])</f>
        <v/>
      </c>
      <c r="E20" s="37" t="str">
        <f>IF(ISNUMBER(deployment_raw[[#This Row],[Column5]]), deployment_raw[[#This Row],[Column5]],"")</f>
        <v/>
      </c>
      <c r="F20" s="94" t="str">
        <f>IF(ISNUMBER(deployment_raw[[#This Row],[Column6]]), (deployment_raw[[#This Row],[Column6]] * IF($E$2="Deployment",deployment_raw[[#This Row],[Column5]],1)),"")</f>
        <v/>
      </c>
      <c r="G20" s="95" t="str">
        <f>IF(ISNUMBER(deployment_raw[[#This Row],[Column7]]), (deployment_raw[[#This Row],[Column7]] * IF($E$2="Deployment",deployment_raw[[#This Row],[Column5]],1))/1048576,"")</f>
        <v/>
      </c>
      <c r="H20" s="95" t="str">
        <f>IF(ISNUMBER(deployment_raw[[#This Row],[Column8]]), (deployment_raw[[#This Row],[Column8]]  * IF($E$2="Deployment",deployment_raw[[#This Row],[Column5]],1)),"")</f>
        <v/>
      </c>
      <c r="I20" s="96" t="str">
        <f>IF(ISNUMBER(deployment_raw[[#This Row],[Column9]]), (deployment_raw[[#This Row],[Column9]] * IF($E$2="Deployment",deployment_raw[[#This Row],[Column5]],1))/1048576,"")</f>
        <v/>
      </c>
      <c r="J20" s="122" t="str">
        <f>IF(ISNUMBER(deployment_raw[[#This Row],[Column10]]), (MIN(IF(N20&lt;&gt;"",N20,9999999999999)*1.1,deployment_raw[[#This Row],[Column10]] * IF($E$2="Deployment",deployment_raw[[#This Row],[Column5]],1))),"")</f>
        <v/>
      </c>
      <c r="K20" s="123" t="str">
        <f>IF(ISNUMBER(deployment_raw[[#This Row],[Column11]]), (MIN(IF(O20&lt;&gt;"",O20,9999999999999)*1.1,deployment_raw[[#This Row],[Column11]] * IF($E$2="Deployment",deployment_raw[[#This Row],[Column5]],1)/1048576)),"")</f>
        <v/>
      </c>
      <c r="L20" s="124" t="str">
        <f>IF(ISNUMBER(deployment_raw[[#This Row],[Column8]]),IF(OR(deployment_raw[[#This Row],[Column5]] &lt;&gt; 0,$E$2 &lt;&gt; "Deployment"), MAX(J20, P20, R20, ($L$2 * IF($E$2="Deployment",deployment_raw[[#This Row],[Column5]],1)),IF(T20&lt;&gt;"",VALUE(T20) * IF($E$2="Deployment",deployment_raw[[#This Row],[Column5]],1),0)), 0),"")</f>
        <v/>
      </c>
      <c r="M20" s="125" t="str">
        <f>IF(ISNUMBER(deployment_raw[[#This Row],[Column9]]),IF(OR(deployment_raw[[#This Row],[Column5]] &lt;&gt; 0,$E$2&lt;&gt;"Deployment"), MAX(K20, Q20, S20, ($M$2 * IF($E$2="Deployment",deployment_raw[[#This Row],[Column5]],1)),IF(U20&lt;&gt;"",VALUE(U20) * IF($E$2="Deployment",deployment_raw[[#This Row],[Column5]],1),0)), 0),"")</f>
        <v/>
      </c>
      <c r="N20" s="166" t="str">
        <f>IF(ISNUMBER(deployment_raw[[#This Row],[Column14]]), deployment_raw[[#This Row],[Column14]]/IF(OR($E$2="Deployment",deployment_raw[[#This Row],[Column5]]=0),1,deployment_raw[[#This Row],[Column5]]),"")</f>
        <v/>
      </c>
      <c r="O20" s="167" t="str">
        <f>IF(ISNUMBER(deployment_raw[[#This Row],[Column15]]), deployment_raw[[#This Row],[Column15]]/IF(OR($E$2="Deployment",deployment_raw[[#This Row],[Column5]]=0),1,deployment_raw[[#This Row],[Column5]])/1048576,"")</f>
        <v/>
      </c>
      <c r="P20" s="168" t="str">
        <f>IF(ISNUMBER(deployment_raw[[#This Row],[Column12]]), (MIN(IF(N20&lt;&gt;"",N20,9999999999999)*1.1,deployment_raw[[#This Row],[Column12]] * IF($E$2="Deployment",deployment_raw[[#This Row],[Column5]],1))*(1+$P$2)),"")</f>
        <v/>
      </c>
      <c r="Q20" s="167" t="str">
        <f>IF(ISNUMBER(deployment_raw[[#This Row],[Column13]]), (MIN(IF(O20&lt;&gt;"",O20,9999999999999)*1.1,deployment_raw[[#This Row],[Column13]] * IF($E$2="Deployment",deployment_raw[[#This Row],[Column5]],1)*(1+$Q$2)/1048576)),"")</f>
        <v/>
      </c>
      <c r="R20" s="169" t="str">
        <f>IF(ISNUMBER(deployment_raw[[#This Row],[Column8]]), (H20  * IF(N20&lt;&gt;0,$R$2,1)),"")</f>
        <v/>
      </c>
      <c r="S20" s="170" t="str">
        <f>IF(ISNUMBER(deployment_raw[[#This Row],[Column8]]), (I20  * IF(O20&lt;&gt;0,$S$2,1)),"")</f>
        <v/>
      </c>
      <c r="T20" s="202" t="str">
        <f>IF(AND(A20&lt;&gt;"",_xlfn.IFNA(MATCH(A20,'dynamic resource application '!$A$2:$A$100, 0),0)&lt;&gt;0), H20/(IF($E$2="Deployment",E20,1)),"")</f>
        <v/>
      </c>
      <c r="U20" s="211" t="str">
        <f>IF(AND(A20&lt;&gt;"",_xlfn.IFNA(MATCH(A20,'dynamic resource application '!$A$2:$A$100, 0),0)&lt;&gt;0), I20/(IF($E$2="Deployment",E20,1)),"")</f>
        <v/>
      </c>
    </row>
    <row r="21" spans="1:21" ht="15.75" customHeight="1" x14ac:dyDescent="0.25">
      <c r="A21" s="35" t="str">
        <f>IF(ISNONTEXT(deployment_raw[[#This Row],[Column1]]), "", deployment_raw[[#This Row],[Column1]])</f>
        <v/>
      </c>
      <c r="B21" s="36" t="str">
        <f>IF(ISNONTEXT(deployment_raw[[#This Row],[Column2]]), "", deployment_raw[[#This Row],[Column2]])</f>
        <v/>
      </c>
      <c r="C21" s="36" t="str">
        <f>IF(ISNONTEXT(deployment_raw[[#This Row],[Column3]]), "", deployment_raw[[#This Row],[Column3]])</f>
        <v/>
      </c>
      <c r="D21" s="36" t="str">
        <f>IF(ISNONTEXT(deployment_raw[[#This Row],[Column4]]), "", deployment_raw[[#This Row],[Column4]])</f>
        <v/>
      </c>
      <c r="E21" s="37" t="str">
        <f>IF(ISNUMBER(deployment_raw[[#This Row],[Column5]]), deployment_raw[[#This Row],[Column5]],"")</f>
        <v/>
      </c>
      <c r="F21" s="94" t="str">
        <f>IF(ISNUMBER(deployment_raw[[#This Row],[Column6]]), (deployment_raw[[#This Row],[Column6]] * IF($E$2="Deployment",deployment_raw[[#This Row],[Column5]],1)),"")</f>
        <v/>
      </c>
      <c r="G21" s="95" t="str">
        <f>IF(ISNUMBER(deployment_raw[[#This Row],[Column7]]), (deployment_raw[[#This Row],[Column7]] * IF($E$2="Deployment",deployment_raw[[#This Row],[Column5]],1))/1048576,"")</f>
        <v/>
      </c>
      <c r="H21" s="95" t="str">
        <f>IF(ISNUMBER(deployment_raw[[#This Row],[Column8]]), (deployment_raw[[#This Row],[Column8]]  * IF($E$2="Deployment",deployment_raw[[#This Row],[Column5]],1)),"")</f>
        <v/>
      </c>
      <c r="I21" s="96" t="str">
        <f>IF(ISNUMBER(deployment_raw[[#This Row],[Column9]]), (deployment_raw[[#This Row],[Column9]] * IF($E$2="Deployment",deployment_raw[[#This Row],[Column5]],1))/1048576,"")</f>
        <v/>
      </c>
      <c r="J21" s="122" t="str">
        <f>IF(ISNUMBER(deployment_raw[[#This Row],[Column10]]), (MIN(IF(N21&lt;&gt;"",N21,9999999999999)*1.1,deployment_raw[[#This Row],[Column10]] * IF($E$2="Deployment",deployment_raw[[#This Row],[Column5]],1))),"")</f>
        <v/>
      </c>
      <c r="K21" s="123" t="str">
        <f>IF(ISNUMBER(deployment_raw[[#This Row],[Column11]]), (MIN(IF(O21&lt;&gt;"",O21,9999999999999)*1.1,deployment_raw[[#This Row],[Column11]] * IF($E$2="Deployment",deployment_raw[[#This Row],[Column5]],1)/1048576)),"")</f>
        <v/>
      </c>
      <c r="L21" s="124" t="str">
        <f>IF(ISNUMBER(deployment_raw[[#This Row],[Column8]]),IF(OR(deployment_raw[[#This Row],[Column5]] &lt;&gt; 0,$E$2 &lt;&gt; "Deployment"), MAX(J21, P21, R21, ($L$2 * IF($E$2="Deployment",deployment_raw[[#This Row],[Column5]],1)),IF(T21&lt;&gt;"",VALUE(T21) * IF($E$2="Deployment",deployment_raw[[#This Row],[Column5]],1),0)), 0),"")</f>
        <v/>
      </c>
      <c r="M21" s="125" t="str">
        <f>IF(ISNUMBER(deployment_raw[[#This Row],[Column9]]),IF(OR(deployment_raw[[#This Row],[Column5]] &lt;&gt; 0,$E$2&lt;&gt;"Deployment"), MAX(K21, Q21, S21, ($M$2 * IF($E$2="Deployment",deployment_raw[[#This Row],[Column5]],1)),IF(U21&lt;&gt;"",VALUE(U21) * IF($E$2="Deployment",deployment_raw[[#This Row],[Column5]],1),0)), 0),"")</f>
        <v/>
      </c>
      <c r="N21" s="166" t="str">
        <f>IF(ISNUMBER(deployment_raw[[#This Row],[Column14]]), deployment_raw[[#This Row],[Column14]]/IF(OR($E$2="Deployment",deployment_raw[[#This Row],[Column5]]=0),1,deployment_raw[[#This Row],[Column5]]),"")</f>
        <v/>
      </c>
      <c r="O21" s="167" t="str">
        <f>IF(ISNUMBER(deployment_raw[[#This Row],[Column15]]), deployment_raw[[#This Row],[Column15]]/IF(OR($E$2="Deployment",deployment_raw[[#This Row],[Column5]]=0),1,deployment_raw[[#This Row],[Column5]])/1048576,"")</f>
        <v/>
      </c>
      <c r="P21" s="168" t="str">
        <f>IF(ISNUMBER(deployment_raw[[#This Row],[Column12]]), (MIN(IF(N21&lt;&gt;"",N21,9999999999999)*1.1,deployment_raw[[#This Row],[Column12]] * IF($E$2="Deployment",deployment_raw[[#This Row],[Column5]],1))*(1+$P$2)),"")</f>
        <v/>
      </c>
      <c r="Q21" s="167" t="str">
        <f>IF(ISNUMBER(deployment_raw[[#This Row],[Column13]]), (MIN(IF(O21&lt;&gt;"",O21,9999999999999)*1.1,deployment_raw[[#This Row],[Column13]] * IF($E$2="Deployment",deployment_raw[[#This Row],[Column5]],1)*(1+$Q$2)/1048576)),"")</f>
        <v/>
      </c>
      <c r="R21" s="169" t="str">
        <f>IF(ISNUMBER(deployment_raw[[#This Row],[Column8]]), (H21  * IF(N21&lt;&gt;0,$R$2,1)),"")</f>
        <v/>
      </c>
      <c r="S21" s="170" t="str">
        <f>IF(ISNUMBER(deployment_raw[[#This Row],[Column8]]), (I21  * IF(O21&lt;&gt;0,$S$2,1)),"")</f>
        <v/>
      </c>
      <c r="T21" s="202" t="str">
        <f>IF(AND(A21&lt;&gt;"",_xlfn.IFNA(MATCH(A21,'dynamic resource application '!$A$2:$A$100, 0),0)&lt;&gt;0), H21/(IF($E$2="Deployment",E21,1)),"")</f>
        <v/>
      </c>
      <c r="U21" s="211" t="str">
        <f>IF(AND(A21&lt;&gt;"",_xlfn.IFNA(MATCH(A21,'dynamic resource application '!$A$2:$A$100, 0),0)&lt;&gt;0), I21/(IF($E$2="Deployment",E21,1)),"")</f>
        <v/>
      </c>
    </row>
    <row r="22" spans="1:21" ht="15.75" customHeight="1" x14ac:dyDescent="0.25">
      <c r="A22" s="35" t="str">
        <f>IF(ISNONTEXT(deployment_raw[[#This Row],[Column1]]), "", deployment_raw[[#This Row],[Column1]])</f>
        <v/>
      </c>
      <c r="B22" s="36" t="str">
        <f>IF(ISNONTEXT(deployment_raw[[#This Row],[Column2]]), "", deployment_raw[[#This Row],[Column2]])</f>
        <v/>
      </c>
      <c r="C22" s="36" t="str">
        <f>IF(ISNONTEXT(deployment_raw[[#This Row],[Column3]]), "", deployment_raw[[#This Row],[Column3]])</f>
        <v/>
      </c>
      <c r="D22" s="36" t="str">
        <f>IF(ISNONTEXT(deployment_raw[[#This Row],[Column4]]), "", deployment_raw[[#This Row],[Column4]])</f>
        <v/>
      </c>
      <c r="E22" s="37" t="str">
        <f>IF(ISNUMBER(deployment_raw[[#This Row],[Column5]]), deployment_raw[[#This Row],[Column5]],"")</f>
        <v/>
      </c>
      <c r="F22" s="94" t="str">
        <f>IF(ISNUMBER(deployment_raw[[#This Row],[Column6]]), (deployment_raw[[#This Row],[Column6]] * IF($E$2="Deployment",deployment_raw[[#This Row],[Column5]],1)),"")</f>
        <v/>
      </c>
      <c r="G22" s="95" t="str">
        <f>IF(ISNUMBER(deployment_raw[[#This Row],[Column7]]), (deployment_raw[[#This Row],[Column7]] * IF($E$2="Deployment",deployment_raw[[#This Row],[Column5]],1))/1048576,"")</f>
        <v/>
      </c>
      <c r="H22" s="95" t="str">
        <f>IF(ISNUMBER(deployment_raw[[#This Row],[Column8]]), (deployment_raw[[#This Row],[Column8]]  * IF($E$2="Deployment",deployment_raw[[#This Row],[Column5]],1)),"")</f>
        <v/>
      </c>
      <c r="I22" s="96" t="str">
        <f>IF(ISNUMBER(deployment_raw[[#This Row],[Column9]]), (deployment_raw[[#This Row],[Column9]] * IF($E$2="Deployment",deployment_raw[[#This Row],[Column5]],1))/1048576,"")</f>
        <v/>
      </c>
      <c r="J22" s="122" t="str">
        <f>IF(ISNUMBER(deployment_raw[[#This Row],[Column10]]), (MIN(IF(N22&lt;&gt;"",N22,9999999999999)*1.1,deployment_raw[[#This Row],[Column10]] * IF($E$2="Deployment",deployment_raw[[#This Row],[Column5]],1))),"")</f>
        <v/>
      </c>
      <c r="K22" s="123" t="str">
        <f>IF(ISNUMBER(deployment_raw[[#This Row],[Column11]]), (MIN(IF(O22&lt;&gt;"",O22,9999999999999)*1.1,deployment_raw[[#This Row],[Column11]] * IF($E$2="Deployment",deployment_raw[[#This Row],[Column5]],1)/1048576)),"")</f>
        <v/>
      </c>
      <c r="L22" s="124" t="str">
        <f>IF(ISNUMBER(deployment_raw[[#This Row],[Column8]]),IF(OR(deployment_raw[[#This Row],[Column5]] &lt;&gt; 0,$E$2 &lt;&gt; "Deployment"), MAX(J22, P22, R22, ($L$2 * IF($E$2="Deployment",deployment_raw[[#This Row],[Column5]],1)),IF(T22&lt;&gt;"",VALUE(T22) * IF($E$2="Deployment",deployment_raw[[#This Row],[Column5]],1),0)), 0),"")</f>
        <v/>
      </c>
      <c r="M22" s="125" t="str">
        <f>IF(ISNUMBER(deployment_raw[[#This Row],[Column9]]),IF(OR(deployment_raw[[#This Row],[Column5]] &lt;&gt; 0,$E$2&lt;&gt;"Deployment"), MAX(K22, Q22, S22, ($M$2 * IF($E$2="Deployment",deployment_raw[[#This Row],[Column5]],1)),IF(U22&lt;&gt;"",VALUE(U22) * IF($E$2="Deployment",deployment_raw[[#This Row],[Column5]],1),0)), 0),"")</f>
        <v/>
      </c>
      <c r="N22" s="166" t="str">
        <f>IF(ISNUMBER(deployment_raw[[#This Row],[Column14]]), deployment_raw[[#This Row],[Column14]]/IF(OR($E$2="Deployment",deployment_raw[[#This Row],[Column5]]=0),1,deployment_raw[[#This Row],[Column5]]),"")</f>
        <v/>
      </c>
      <c r="O22" s="167" t="str">
        <f>IF(ISNUMBER(deployment_raw[[#This Row],[Column15]]), deployment_raw[[#This Row],[Column15]]/IF(OR($E$2="Deployment",deployment_raw[[#This Row],[Column5]]=0),1,deployment_raw[[#This Row],[Column5]])/1048576,"")</f>
        <v/>
      </c>
      <c r="P22" s="168" t="str">
        <f>IF(ISNUMBER(deployment_raw[[#This Row],[Column12]]), (MIN(IF(N22&lt;&gt;"",N22,9999999999999)*1.1,deployment_raw[[#This Row],[Column12]] * IF($E$2="Deployment",deployment_raw[[#This Row],[Column5]],1))*(1+$P$2)),"")</f>
        <v/>
      </c>
      <c r="Q22" s="167" t="str">
        <f>IF(ISNUMBER(deployment_raw[[#This Row],[Column13]]), (MIN(IF(O22&lt;&gt;"",O22,9999999999999)*1.1,deployment_raw[[#This Row],[Column13]] * IF($E$2="Deployment",deployment_raw[[#This Row],[Column5]],1)*(1+$Q$2)/1048576)),"")</f>
        <v/>
      </c>
      <c r="R22" s="169" t="str">
        <f>IF(ISNUMBER(deployment_raw[[#This Row],[Column8]]), (H22  * IF(N22&lt;&gt;0,$R$2,1)),"")</f>
        <v/>
      </c>
      <c r="S22" s="170" t="str">
        <f>IF(ISNUMBER(deployment_raw[[#This Row],[Column8]]), (I22  * IF(O22&lt;&gt;0,$S$2,1)),"")</f>
        <v/>
      </c>
      <c r="T22" s="202" t="str">
        <f>IF(AND(A22&lt;&gt;"",_xlfn.IFNA(MATCH(A22,'dynamic resource application '!$A$2:$A$100, 0),0)&lt;&gt;0), H22/(IF($E$2="Deployment",E22,1)),"")</f>
        <v/>
      </c>
      <c r="U22" s="211" t="str">
        <f>IF(AND(A22&lt;&gt;"",_xlfn.IFNA(MATCH(A22,'dynamic resource application '!$A$2:$A$100, 0),0)&lt;&gt;0), I22/(IF($E$2="Deployment",E22,1)),"")</f>
        <v/>
      </c>
    </row>
    <row r="23" spans="1:21" ht="15.75" customHeight="1" x14ac:dyDescent="0.25">
      <c r="A23" s="35" t="str">
        <f>IF(ISNONTEXT(deployment_raw[[#This Row],[Column1]]), "", deployment_raw[[#This Row],[Column1]])</f>
        <v/>
      </c>
      <c r="B23" s="36" t="str">
        <f>IF(ISNONTEXT(deployment_raw[[#This Row],[Column2]]), "", deployment_raw[[#This Row],[Column2]])</f>
        <v/>
      </c>
      <c r="C23" s="36" t="str">
        <f>IF(ISNONTEXT(deployment_raw[[#This Row],[Column3]]), "", deployment_raw[[#This Row],[Column3]])</f>
        <v/>
      </c>
      <c r="D23" s="36" t="str">
        <f>IF(ISNONTEXT(deployment_raw[[#This Row],[Column4]]), "", deployment_raw[[#This Row],[Column4]])</f>
        <v/>
      </c>
      <c r="E23" s="37" t="str">
        <f>IF(ISNUMBER(deployment_raw[[#This Row],[Column5]]), deployment_raw[[#This Row],[Column5]],"")</f>
        <v/>
      </c>
      <c r="F23" s="94" t="str">
        <f>IF(ISNUMBER(deployment_raw[[#This Row],[Column6]]), (deployment_raw[[#This Row],[Column6]] * IF($E$2="Deployment",deployment_raw[[#This Row],[Column5]],1)),"")</f>
        <v/>
      </c>
      <c r="G23" s="95" t="str">
        <f>IF(ISNUMBER(deployment_raw[[#This Row],[Column7]]), (deployment_raw[[#This Row],[Column7]] * IF($E$2="Deployment",deployment_raw[[#This Row],[Column5]],1))/1048576,"")</f>
        <v/>
      </c>
      <c r="H23" s="95" t="str">
        <f>IF(ISNUMBER(deployment_raw[[#This Row],[Column8]]), (deployment_raw[[#This Row],[Column8]]  * IF($E$2="Deployment",deployment_raw[[#This Row],[Column5]],1)),"")</f>
        <v/>
      </c>
      <c r="I23" s="96" t="str">
        <f>IF(ISNUMBER(deployment_raw[[#This Row],[Column9]]), (deployment_raw[[#This Row],[Column9]] * IF($E$2="Deployment",deployment_raw[[#This Row],[Column5]],1))/1048576,"")</f>
        <v/>
      </c>
      <c r="J23" s="122" t="str">
        <f>IF(ISNUMBER(deployment_raw[[#This Row],[Column10]]), (MIN(IF(N23&lt;&gt;"",N23,9999999999999)*1.1,deployment_raw[[#This Row],[Column10]] * IF($E$2="Deployment",deployment_raw[[#This Row],[Column5]],1))),"")</f>
        <v/>
      </c>
      <c r="K23" s="123" t="str">
        <f>IF(ISNUMBER(deployment_raw[[#This Row],[Column11]]), (MIN(IF(O23&lt;&gt;"",O23,9999999999999)*1.1,deployment_raw[[#This Row],[Column11]] * IF($E$2="Deployment",deployment_raw[[#This Row],[Column5]],1)/1048576)),"")</f>
        <v/>
      </c>
      <c r="L23" s="124" t="str">
        <f>IF(ISNUMBER(deployment_raw[[#This Row],[Column8]]),IF(OR(deployment_raw[[#This Row],[Column5]] &lt;&gt; 0,$E$2 &lt;&gt; "Deployment"), MAX(J23, P23, R23, ($L$2 * IF($E$2="Deployment",deployment_raw[[#This Row],[Column5]],1)),IF(T23&lt;&gt;"",VALUE(T23) * IF($E$2="Deployment",deployment_raw[[#This Row],[Column5]],1),0)), 0),"")</f>
        <v/>
      </c>
      <c r="M23" s="125" t="str">
        <f>IF(ISNUMBER(deployment_raw[[#This Row],[Column9]]),IF(OR(deployment_raw[[#This Row],[Column5]] &lt;&gt; 0,$E$2&lt;&gt;"Deployment"), MAX(K23, Q23, S23, ($M$2 * IF($E$2="Deployment",deployment_raw[[#This Row],[Column5]],1)),IF(U23&lt;&gt;"",VALUE(U23) * IF($E$2="Deployment",deployment_raw[[#This Row],[Column5]],1),0)), 0),"")</f>
        <v/>
      </c>
      <c r="N23" s="166" t="str">
        <f>IF(ISNUMBER(deployment_raw[[#This Row],[Column14]]), deployment_raw[[#This Row],[Column14]]/IF(OR($E$2="Deployment",deployment_raw[[#This Row],[Column5]]=0),1,deployment_raw[[#This Row],[Column5]]),"")</f>
        <v/>
      </c>
      <c r="O23" s="167" t="str">
        <f>IF(ISNUMBER(deployment_raw[[#This Row],[Column15]]), deployment_raw[[#This Row],[Column15]]/IF(OR($E$2="Deployment",deployment_raw[[#This Row],[Column5]]=0),1,deployment_raw[[#This Row],[Column5]])/1048576,"")</f>
        <v/>
      </c>
      <c r="P23" s="168" t="str">
        <f>IF(ISNUMBER(deployment_raw[[#This Row],[Column12]]), (MIN(IF(N23&lt;&gt;"",N23,9999999999999)*1.1,deployment_raw[[#This Row],[Column12]] * IF($E$2="Deployment",deployment_raw[[#This Row],[Column5]],1))*(1+$P$2)),"")</f>
        <v/>
      </c>
      <c r="Q23" s="167" t="str">
        <f>IF(ISNUMBER(deployment_raw[[#This Row],[Column13]]), (MIN(IF(O23&lt;&gt;"",O23,9999999999999)*1.1,deployment_raw[[#This Row],[Column13]] * IF($E$2="Deployment",deployment_raw[[#This Row],[Column5]],1)*(1+$Q$2)/1048576)),"")</f>
        <v/>
      </c>
      <c r="R23" s="169" t="str">
        <f>IF(ISNUMBER(deployment_raw[[#This Row],[Column8]]), (H23  * IF(N23&lt;&gt;0,$R$2,1)),"")</f>
        <v/>
      </c>
      <c r="S23" s="170" t="str">
        <f>IF(ISNUMBER(deployment_raw[[#This Row],[Column8]]), (I23  * IF(O23&lt;&gt;0,$S$2,1)),"")</f>
        <v/>
      </c>
      <c r="T23" s="202" t="str">
        <f>IF(AND(A23&lt;&gt;"",_xlfn.IFNA(MATCH(A23,'dynamic resource application '!$A$2:$A$100, 0),0)&lt;&gt;0), H23/(IF($E$2="Deployment",E23,1)),"")</f>
        <v/>
      </c>
      <c r="U23" s="211" t="str">
        <f>IF(AND(A23&lt;&gt;"",_xlfn.IFNA(MATCH(A23,'dynamic resource application '!$A$2:$A$100, 0),0)&lt;&gt;0), I23/(IF($E$2="Deployment",E23,1)),"")</f>
        <v/>
      </c>
    </row>
    <row r="24" spans="1:21" ht="15.75" customHeight="1" x14ac:dyDescent="0.25">
      <c r="A24" s="35" t="str">
        <f>IF(ISNONTEXT(deployment_raw[[#This Row],[Column1]]), "", deployment_raw[[#This Row],[Column1]])</f>
        <v/>
      </c>
      <c r="B24" s="36" t="str">
        <f>IF(ISNONTEXT(deployment_raw[[#This Row],[Column2]]), "", deployment_raw[[#This Row],[Column2]])</f>
        <v/>
      </c>
      <c r="C24" s="36" t="str">
        <f>IF(ISNONTEXT(deployment_raw[[#This Row],[Column3]]), "", deployment_raw[[#This Row],[Column3]])</f>
        <v/>
      </c>
      <c r="D24" s="36" t="str">
        <f>IF(ISNONTEXT(deployment_raw[[#This Row],[Column4]]), "", deployment_raw[[#This Row],[Column4]])</f>
        <v/>
      </c>
      <c r="E24" s="37" t="str">
        <f>IF(ISNUMBER(deployment_raw[[#This Row],[Column5]]), deployment_raw[[#This Row],[Column5]],"")</f>
        <v/>
      </c>
      <c r="F24" s="94" t="str">
        <f>IF(ISNUMBER(deployment_raw[[#This Row],[Column6]]), (deployment_raw[[#This Row],[Column6]] * IF($E$2="Deployment",deployment_raw[[#This Row],[Column5]],1)),"")</f>
        <v/>
      </c>
      <c r="G24" s="95" t="str">
        <f>IF(ISNUMBER(deployment_raw[[#This Row],[Column7]]), (deployment_raw[[#This Row],[Column7]] * IF($E$2="Deployment",deployment_raw[[#This Row],[Column5]],1))/1048576,"")</f>
        <v/>
      </c>
      <c r="H24" s="95" t="str">
        <f>IF(ISNUMBER(deployment_raw[[#This Row],[Column8]]), (deployment_raw[[#This Row],[Column8]]  * IF($E$2="Deployment",deployment_raw[[#This Row],[Column5]],1)),"")</f>
        <v/>
      </c>
      <c r="I24" s="96" t="str">
        <f>IF(ISNUMBER(deployment_raw[[#This Row],[Column9]]), (deployment_raw[[#This Row],[Column9]] * IF($E$2="Deployment",deployment_raw[[#This Row],[Column5]],1))/1048576,"")</f>
        <v/>
      </c>
      <c r="J24" s="122" t="str">
        <f>IF(ISNUMBER(deployment_raw[[#This Row],[Column10]]), (MIN(IF(N24&lt;&gt;"",N24,9999999999999)*1.1,deployment_raw[[#This Row],[Column10]] * IF($E$2="Deployment",deployment_raw[[#This Row],[Column5]],1))),"")</f>
        <v/>
      </c>
      <c r="K24" s="123" t="str">
        <f>IF(ISNUMBER(deployment_raw[[#This Row],[Column11]]), (MIN(IF(O24&lt;&gt;"",O24,9999999999999)*1.1,deployment_raw[[#This Row],[Column11]] * IF($E$2="Deployment",deployment_raw[[#This Row],[Column5]],1)/1048576)),"")</f>
        <v/>
      </c>
      <c r="L24" s="124" t="str">
        <f>IF(ISNUMBER(deployment_raw[[#This Row],[Column8]]),IF(OR(deployment_raw[[#This Row],[Column5]] &lt;&gt; 0,$E$2 &lt;&gt; "Deployment"), MAX(J24, P24, R24, ($L$2 * IF($E$2="Deployment",deployment_raw[[#This Row],[Column5]],1)),IF(T24&lt;&gt;"",VALUE(T24) * IF($E$2="Deployment",deployment_raw[[#This Row],[Column5]],1),0)), 0),"")</f>
        <v/>
      </c>
      <c r="M24" s="125" t="str">
        <f>IF(ISNUMBER(deployment_raw[[#This Row],[Column9]]),IF(OR(deployment_raw[[#This Row],[Column5]] &lt;&gt; 0,$E$2&lt;&gt;"Deployment"), MAX(K24, Q24, S24, ($M$2 * IF($E$2="Deployment",deployment_raw[[#This Row],[Column5]],1)),IF(U24&lt;&gt;"",VALUE(U24) * IF($E$2="Deployment",deployment_raw[[#This Row],[Column5]],1),0)), 0),"")</f>
        <v/>
      </c>
      <c r="N24" s="166" t="str">
        <f>IF(ISNUMBER(deployment_raw[[#This Row],[Column14]]), deployment_raw[[#This Row],[Column14]]/IF(OR($E$2="Deployment",deployment_raw[[#This Row],[Column5]]=0),1,deployment_raw[[#This Row],[Column5]]),"")</f>
        <v/>
      </c>
      <c r="O24" s="167" t="str">
        <f>IF(ISNUMBER(deployment_raw[[#This Row],[Column15]]), deployment_raw[[#This Row],[Column15]]/IF(OR($E$2="Deployment",deployment_raw[[#This Row],[Column5]]=0),1,deployment_raw[[#This Row],[Column5]])/1048576,"")</f>
        <v/>
      </c>
      <c r="P24" s="168" t="str">
        <f>IF(ISNUMBER(deployment_raw[[#This Row],[Column12]]), (MIN(IF(N24&lt;&gt;"",N24,9999999999999)*1.1,deployment_raw[[#This Row],[Column12]] * IF($E$2="Deployment",deployment_raw[[#This Row],[Column5]],1))*(1+$P$2)),"")</f>
        <v/>
      </c>
      <c r="Q24" s="167" t="str">
        <f>IF(ISNUMBER(deployment_raw[[#This Row],[Column13]]), (MIN(IF(O24&lt;&gt;"",O24,9999999999999)*1.1,deployment_raw[[#This Row],[Column13]] * IF($E$2="Deployment",deployment_raw[[#This Row],[Column5]],1)*(1+$Q$2)/1048576)),"")</f>
        <v/>
      </c>
      <c r="R24" s="169" t="str">
        <f>IF(ISNUMBER(deployment_raw[[#This Row],[Column8]]), (H24  * IF(N24&lt;&gt;0,$R$2,1)),"")</f>
        <v/>
      </c>
      <c r="S24" s="170" t="str">
        <f>IF(ISNUMBER(deployment_raw[[#This Row],[Column8]]), (I24  * IF(O24&lt;&gt;0,$S$2,1)),"")</f>
        <v/>
      </c>
      <c r="T24" s="202" t="str">
        <f>IF(AND(A24&lt;&gt;"",_xlfn.IFNA(MATCH(A24,'dynamic resource application '!$A$2:$A$100, 0),0)&lt;&gt;0), H24/(IF($E$2="Deployment",E24,1)),"")</f>
        <v/>
      </c>
      <c r="U24" s="211" t="str">
        <f>IF(AND(A24&lt;&gt;"",_xlfn.IFNA(MATCH(A24,'dynamic resource application '!$A$2:$A$100, 0),0)&lt;&gt;0), I24/(IF($E$2="Deployment",E24,1)),"")</f>
        <v/>
      </c>
    </row>
    <row r="25" spans="1:21" ht="15.75" customHeight="1" x14ac:dyDescent="0.25">
      <c r="A25" s="35" t="str">
        <f>IF(ISNONTEXT(deployment_raw[[#This Row],[Column1]]), "", deployment_raw[[#This Row],[Column1]])</f>
        <v/>
      </c>
      <c r="B25" s="36" t="str">
        <f>IF(ISNONTEXT(deployment_raw[[#This Row],[Column2]]), "", deployment_raw[[#This Row],[Column2]])</f>
        <v/>
      </c>
      <c r="C25" s="36" t="str">
        <f>IF(ISNONTEXT(deployment_raw[[#This Row],[Column3]]), "", deployment_raw[[#This Row],[Column3]])</f>
        <v/>
      </c>
      <c r="D25" s="36" t="str">
        <f>IF(ISNONTEXT(deployment_raw[[#This Row],[Column4]]), "", deployment_raw[[#This Row],[Column4]])</f>
        <v/>
      </c>
      <c r="E25" s="37" t="str">
        <f>IF(ISNUMBER(deployment_raw[[#This Row],[Column5]]), deployment_raw[[#This Row],[Column5]],"")</f>
        <v/>
      </c>
      <c r="F25" s="94" t="str">
        <f>IF(ISNUMBER(deployment_raw[[#This Row],[Column6]]), (deployment_raw[[#This Row],[Column6]] * IF($E$2="Deployment",deployment_raw[[#This Row],[Column5]],1)),"")</f>
        <v/>
      </c>
      <c r="G25" s="95" t="str">
        <f>IF(ISNUMBER(deployment_raw[[#This Row],[Column7]]), (deployment_raw[[#This Row],[Column7]] * IF($E$2="Deployment",deployment_raw[[#This Row],[Column5]],1))/1048576,"")</f>
        <v/>
      </c>
      <c r="H25" s="95" t="str">
        <f>IF(ISNUMBER(deployment_raw[[#This Row],[Column8]]), (deployment_raw[[#This Row],[Column8]]  * IF($E$2="Deployment",deployment_raw[[#This Row],[Column5]],1)),"")</f>
        <v/>
      </c>
      <c r="I25" s="96" t="str">
        <f>IF(ISNUMBER(deployment_raw[[#This Row],[Column9]]), (deployment_raw[[#This Row],[Column9]] * IF($E$2="Deployment",deployment_raw[[#This Row],[Column5]],1))/1048576,"")</f>
        <v/>
      </c>
      <c r="J25" s="122" t="str">
        <f>IF(ISNUMBER(deployment_raw[[#This Row],[Column10]]), (MIN(IF(N25&lt;&gt;"",N25,9999999999999)*1.1,deployment_raw[[#This Row],[Column10]] * IF($E$2="Deployment",deployment_raw[[#This Row],[Column5]],1))),"")</f>
        <v/>
      </c>
      <c r="K25" s="123" t="str">
        <f>IF(ISNUMBER(deployment_raw[[#This Row],[Column11]]), (MIN(IF(O25&lt;&gt;"",O25,9999999999999)*1.1,deployment_raw[[#This Row],[Column11]] * IF($E$2="Deployment",deployment_raw[[#This Row],[Column5]],1)/1048576)),"")</f>
        <v/>
      </c>
      <c r="L25" s="124" t="str">
        <f>IF(ISNUMBER(deployment_raw[[#This Row],[Column8]]),IF(OR(deployment_raw[[#This Row],[Column5]] &lt;&gt; 0,$E$2 &lt;&gt; "Deployment"), MAX(J25, P25, R25, ($L$2 * IF($E$2="Deployment",deployment_raw[[#This Row],[Column5]],1)),IF(T25&lt;&gt;"",VALUE(T25) * IF($E$2="Deployment",deployment_raw[[#This Row],[Column5]],1),0)), 0),"")</f>
        <v/>
      </c>
      <c r="M25" s="125" t="str">
        <f>IF(ISNUMBER(deployment_raw[[#This Row],[Column9]]),IF(OR(deployment_raw[[#This Row],[Column5]] &lt;&gt; 0,$E$2&lt;&gt;"Deployment"), MAX(K25, Q25, S25, ($M$2 * IF($E$2="Deployment",deployment_raw[[#This Row],[Column5]],1)),IF(U25&lt;&gt;"",VALUE(U25) * IF($E$2="Deployment",deployment_raw[[#This Row],[Column5]],1),0)), 0),"")</f>
        <v/>
      </c>
      <c r="N25" s="166" t="str">
        <f>IF(ISNUMBER(deployment_raw[[#This Row],[Column14]]), deployment_raw[[#This Row],[Column14]]/IF(OR($E$2="Deployment",deployment_raw[[#This Row],[Column5]]=0),1,deployment_raw[[#This Row],[Column5]]),"")</f>
        <v/>
      </c>
      <c r="O25" s="167" t="str">
        <f>IF(ISNUMBER(deployment_raw[[#This Row],[Column15]]), deployment_raw[[#This Row],[Column15]]/IF(OR($E$2="Deployment",deployment_raw[[#This Row],[Column5]]=0),1,deployment_raw[[#This Row],[Column5]])/1048576,"")</f>
        <v/>
      </c>
      <c r="P25" s="168" t="str">
        <f>IF(ISNUMBER(deployment_raw[[#This Row],[Column12]]), (MIN(IF(N25&lt;&gt;"",N25,9999999999999)*1.1,deployment_raw[[#This Row],[Column12]] * IF($E$2="Deployment",deployment_raw[[#This Row],[Column5]],1))*(1+$P$2)),"")</f>
        <v/>
      </c>
      <c r="Q25" s="167" t="str">
        <f>IF(ISNUMBER(deployment_raw[[#This Row],[Column13]]), (MIN(IF(O25&lt;&gt;"",O25,9999999999999)*1.1,deployment_raw[[#This Row],[Column13]] * IF($E$2="Deployment",deployment_raw[[#This Row],[Column5]],1)*(1+$Q$2)/1048576)),"")</f>
        <v/>
      </c>
      <c r="R25" s="169" t="str">
        <f>IF(ISNUMBER(deployment_raw[[#This Row],[Column8]]), (H25  * IF(N25&lt;&gt;0,$R$2,1)),"")</f>
        <v/>
      </c>
      <c r="S25" s="170" t="str">
        <f>IF(ISNUMBER(deployment_raw[[#This Row],[Column8]]), (I25  * IF(O25&lt;&gt;0,$S$2,1)),"")</f>
        <v/>
      </c>
      <c r="T25" s="202" t="str">
        <f>IF(AND(A25&lt;&gt;"",_xlfn.IFNA(MATCH(A25,'dynamic resource application '!$A$2:$A$100, 0),0)&lt;&gt;0), H25/(IF($E$2="Deployment",E25,1)),"")</f>
        <v/>
      </c>
      <c r="U25" s="211" t="str">
        <f>IF(AND(A25&lt;&gt;"",_xlfn.IFNA(MATCH(A25,'dynamic resource application '!$A$2:$A$100, 0),0)&lt;&gt;0), I25/(IF($E$2="Deployment",E25,1)),"")</f>
        <v/>
      </c>
    </row>
    <row r="26" spans="1:21" ht="15.75" customHeight="1" x14ac:dyDescent="0.25">
      <c r="A26" s="35" t="str">
        <f>IF(ISNONTEXT(deployment_raw[[#This Row],[Column1]]), "", deployment_raw[[#This Row],[Column1]])</f>
        <v/>
      </c>
      <c r="B26" s="36" t="str">
        <f>IF(ISNONTEXT(deployment_raw[[#This Row],[Column2]]), "", deployment_raw[[#This Row],[Column2]])</f>
        <v/>
      </c>
      <c r="C26" s="36" t="str">
        <f>IF(ISNONTEXT(deployment_raw[[#This Row],[Column3]]), "", deployment_raw[[#This Row],[Column3]])</f>
        <v/>
      </c>
      <c r="D26" s="36" t="str">
        <f>IF(ISNONTEXT(deployment_raw[[#This Row],[Column4]]), "", deployment_raw[[#This Row],[Column4]])</f>
        <v/>
      </c>
      <c r="E26" s="37" t="str">
        <f>IF(ISNUMBER(deployment_raw[[#This Row],[Column5]]), deployment_raw[[#This Row],[Column5]],"")</f>
        <v/>
      </c>
      <c r="F26" s="94" t="str">
        <f>IF(ISNUMBER(deployment_raw[[#This Row],[Column6]]), (deployment_raw[[#This Row],[Column6]] * IF($E$2="Deployment",deployment_raw[[#This Row],[Column5]],1)),"")</f>
        <v/>
      </c>
      <c r="G26" s="95" t="str">
        <f>IF(ISNUMBER(deployment_raw[[#This Row],[Column7]]), (deployment_raw[[#This Row],[Column7]] * IF($E$2="Deployment",deployment_raw[[#This Row],[Column5]],1))/1048576,"")</f>
        <v/>
      </c>
      <c r="H26" s="95" t="str">
        <f>IF(ISNUMBER(deployment_raw[[#This Row],[Column8]]), (deployment_raw[[#This Row],[Column8]]  * IF($E$2="Deployment",deployment_raw[[#This Row],[Column5]],1)),"")</f>
        <v/>
      </c>
      <c r="I26" s="96" t="str">
        <f>IF(ISNUMBER(deployment_raw[[#This Row],[Column9]]), (deployment_raw[[#This Row],[Column9]] * IF($E$2="Deployment",deployment_raw[[#This Row],[Column5]],1))/1048576,"")</f>
        <v/>
      </c>
      <c r="J26" s="122" t="str">
        <f>IF(ISNUMBER(deployment_raw[[#This Row],[Column10]]), (MIN(IF(N26&lt;&gt;"",N26,9999999999999)*1.1,deployment_raw[[#This Row],[Column10]] * IF($E$2="Deployment",deployment_raw[[#This Row],[Column5]],1))),"")</f>
        <v/>
      </c>
      <c r="K26" s="123" t="str">
        <f>IF(ISNUMBER(deployment_raw[[#This Row],[Column11]]), (MIN(IF(O26&lt;&gt;"",O26,9999999999999)*1.1,deployment_raw[[#This Row],[Column11]] * IF($E$2="Deployment",deployment_raw[[#This Row],[Column5]],1)/1048576)),"")</f>
        <v/>
      </c>
      <c r="L26" s="124" t="str">
        <f>IF(ISNUMBER(deployment_raw[[#This Row],[Column8]]),IF(OR(deployment_raw[[#This Row],[Column5]] &lt;&gt; 0,$E$2 &lt;&gt; "Deployment"), MAX(J26, P26, R26, ($L$2 * IF($E$2="Deployment",deployment_raw[[#This Row],[Column5]],1)),IF(T26&lt;&gt;"",VALUE(T26) * IF($E$2="Deployment",deployment_raw[[#This Row],[Column5]],1),0)), 0),"")</f>
        <v/>
      </c>
      <c r="M26" s="125" t="str">
        <f>IF(ISNUMBER(deployment_raw[[#This Row],[Column9]]),IF(OR(deployment_raw[[#This Row],[Column5]] &lt;&gt; 0,$E$2&lt;&gt;"Deployment"), MAX(K26, Q26, S26, ($M$2 * IF($E$2="Deployment",deployment_raw[[#This Row],[Column5]],1)),IF(U26&lt;&gt;"",VALUE(U26) * IF($E$2="Deployment",deployment_raw[[#This Row],[Column5]],1),0)), 0),"")</f>
        <v/>
      </c>
      <c r="N26" s="166" t="str">
        <f>IF(ISNUMBER(deployment_raw[[#This Row],[Column14]]), deployment_raw[[#This Row],[Column14]]/IF(OR($E$2="Deployment",deployment_raw[[#This Row],[Column5]]=0),1,deployment_raw[[#This Row],[Column5]]),"")</f>
        <v/>
      </c>
      <c r="O26" s="167" t="str">
        <f>IF(ISNUMBER(deployment_raw[[#This Row],[Column15]]), deployment_raw[[#This Row],[Column15]]/IF(OR($E$2="Deployment",deployment_raw[[#This Row],[Column5]]=0),1,deployment_raw[[#This Row],[Column5]])/1048576,"")</f>
        <v/>
      </c>
      <c r="P26" s="168" t="str">
        <f>IF(ISNUMBER(deployment_raw[[#This Row],[Column12]]), (MIN(IF(N26&lt;&gt;"",N26,9999999999999)*1.1,deployment_raw[[#This Row],[Column12]] * IF($E$2="Deployment",deployment_raw[[#This Row],[Column5]],1))*(1+$P$2)),"")</f>
        <v/>
      </c>
      <c r="Q26" s="167" t="str">
        <f>IF(ISNUMBER(deployment_raw[[#This Row],[Column13]]), (MIN(IF(O26&lt;&gt;"",O26,9999999999999)*1.1,deployment_raw[[#This Row],[Column13]] * IF($E$2="Deployment",deployment_raw[[#This Row],[Column5]],1)*(1+$Q$2)/1048576)),"")</f>
        <v/>
      </c>
      <c r="R26" s="169" t="str">
        <f>IF(ISNUMBER(deployment_raw[[#This Row],[Column8]]), (H26  * IF(N26&lt;&gt;0,$R$2,1)),"")</f>
        <v/>
      </c>
      <c r="S26" s="170" t="str">
        <f>IF(ISNUMBER(deployment_raw[[#This Row],[Column8]]), (I26  * IF(O26&lt;&gt;0,$S$2,1)),"")</f>
        <v/>
      </c>
      <c r="T26" s="202" t="str">
        <f>IF(AND(A26&lt;&gt;"",_xlfn.IFNA(MATCH(A26,'dynamic resource application '!$A$2:$A$100, 0),0)&lt;&gt;0), H26/(IF($E$2="Deployment",E26,1)),"")</f>
        <v/>
      </c>
      <c r="U26" s="211" t="str">
        <f>IF(AND(A26&lt;&gt;"",_xlfn.IFNA(MATCH(A26,'dynamic resource application '!$A$2:$A$100, 0),0)&lt;&gt;0), I26/(IF($E$2="Deployment",E26,1)),"")</f>
        <v/>
      </c>
    </row>
    <row r="27" spans="1:21" ht="15.75" customHeight="1" x14ac:dyDescent="0.25">
      <c r="A27" s="35" t="str">
        <f>IF(ISNONTEXT(deployment_raw[[#This Row],[Column1]]), "", deployment_raw[[#This Row],[Column1]])</f>
        <v/>
      </c>
      <c r="B27" s="36" t="str">
        <f>IF(ISNONTEXT(deployment_raw[[#This Row],[Column2]]), "", deployment_raw[[#This Row],[Column2]])</f>
        <v/>
      </c>
      <c r="C27" s="36" t="str">
        <f>IF(ISNONTEXT(deployment_raw[[#This Row],[Column3]]), "", deployment_raw[[#This Row],[Column3]])</f>
        <v/>
      </c>
      <c r="D27" s="36" t="str">
        <f>IF(ISNONTEXT(deployment_raw[[#This Row],[Column4]]), "", deployment_raw[[#This Row],[Column4]])</f>
        <v/>
      </c>
      <c r="E27" s="37" t="str">
        <f>IF(ISNUMBER(deployment_raw[[#This Row],[Column5]]), deployment_raw[[#This Row],[Column5]],"")</f>
        <v/>
      </c>
      <c r="F27" s="94" t="str">
        <f>IF(ISNUMBER(deployment_raw[[#This Row],[Column6]]), (deployment_raw[[#This Row],[Column6]] * IF($E$2="Deployment",deployment_raw[[#This Row],[Column5]],1)),"")</f>
        <v/>
      </c>
      <c r="G27" s="95" t="str">
        <f>IF(ISNUMBER(deployment_raw[[#This Row],[Column7]]), (deployment_raw[[#This Row],[Column7]] * IF($E$2="Deployment",deployment_raw[[#This Row],[Column5]],1))/1048576,"")</f>
        <v/>
      </c>
      <c r="H27" s="95" t="str">
        <f>IF(ISNUMBER(deployment_raw[[#This Row],[Column8]]), (deployment_raw[[#This Row],[Column8]]  * IF($E$2="Deployment",deployment_raw[[#This Row],[Column5]],1)),"")</f>
        <v/>
      </c>
      <c r="I27" s="96" t="str">
        <f>IF(ISNUMBER(deployment_raw[[#This Row],[Column9]]), (deployment_raw[[#This Row],[Column9]] * IF($E$2="Deployment",deployment_raw[[#This Row],[Column5]],1))/1048576,"")</f>
        <v/>
      </c>
      <c r="J27" s="122" t="str">
        <f>IF(ISNUMBER(deployment_raw[[#This Row],[Column10]]), (MIN(IF(N27&lt;&gt;"",N27,9999999999999)*1.1,deployment_raw[[#This Row],[Column10]] * IF($E$2="Deployment",deployment_raw[[#This Row],[Column5]],1))),"")</f>
        <v/>
      </c>
      <c r="K27" s="123" t="str">
        <f>IF(ISNUMBER(deployment_raw[[#This Row],[Column11]]), (MIN(IF(O27&lt;&gt;"",O27,9999999999999)*1.1,deployment_raw[[#This Row],[Column11]] * IF($E$2="Deployment",deployment_raw[[#This Row],[Column5]],1)/1048576)),"")</f>
        <v/>
      </c>
      <c r="L27" s="124" t="str">
        <f>IF(ISNUMBER(deployment_raw[[#This Row],[Column8]]),IF(OR(deployment_raw[[#This Row],[Column5]] &lt;&gt; 0,$E$2 &lt;&gt; "Deployment"), MAX(J27, P27, R27, ($L$2 * IF($E$2="Deployment",deployment_raw[[#This Row],[Column5]],1)),IF(T27&lt;&gt;"",VALUE(T27) * IF($E$2="Deployment",deployment_raw[[#This Row],[Column5]],1),0)), 0),"")</f>
        <v/>
      </c>
      <c r="M27" s="125" t="str">
        <f>IF(ISNUMBER(deployment_raw[[#This Row],[Column9]]),IF(OR(deployment_raw[[#This Row],[Column5]] &lt;&gt; 0,$E$2&lt;&gt;"Deployment"), MAX(K27, Q27, S27, ($M$2 * IF($E$2="Deployment",deployment_raw[[#This Row],[Column5]],1)),IF(U27&lt;&gt;"",VALUE(U27) * IF($E$2="Deployment",deployment_raw[[#This Row],[Column5]],1),0)), 0),"")</f>
        <v/>
      </c>
      <c r="N27" s="166" t="str">
        <f>IF(ISNUMBER(deployment_raw[[#This Row],[Column14]]), deployment_raw[[#This Row],[Column14]]/IF(OR($E$2="Deployment",deployment_raw[[#This Row],[Column5]]=0),1,deployment_raw[[#This Row],[Column5]]),"")</f>
        <v/>
      </c>
      <c r="O27" s="167" t="str">
        <f>IF(ISNUMBER(deployment_raw[[#This Row],[Column15]]), deployment_raw[[#This Row],[Column15]]/IF(OR($E$2="Deployment",deployment_raw[[#This Row],[Column5]]=0),1,deployment_raw[[#This Row],[Column5]])/1048576,"")</f>
        <v/>
      </c>
      <c r="P27" s="168" t="str">
        <f>IF(ISNUMBER(deployment_raw[[#This Row],[Column12]]), (MIN(IF(N27&lt;&gt;"",N27,9999999999999)*1.1,deployment_raw[[#This Row],[Column12]] * IF($E$2="Deployment",deployment_raw[[#This Row],[Column5]],1))*(1+$P$2)),"")</f>
        <v/>
      </c>
      <c r="Q27" s="167" t="str">
        <f>IF(ISNUMBER(deployment_raw[[#This Row],[Column13]]), (MIN(IF(O27&lt;&gt;"",O27,9999999999999)*1.1,deployment_raw[[#This Row],[Column13]] * IF($E$2="Deployment",deployment_raw[[#This Row],[Column5]],1)*(1+$Q$2)/1048576)),"")</f>
        <v/>
      </c>
      <c r="R27" s="169" t="str">
        <f>IF(ISNUMBER(deployment_raw[[#This Row],[Column8]]), (H27  * IF(N27&lt;&gt;0,$R$2,1)),"")</f>
        <v/>
      </c>
      <c r="S27" s="170" t="str">
        <f>IF(ISNUMBER(deployment_raw[[#This Row],[Column8]]), (I27  * IF(O27&lt;&gt;0,$S$2,1)),"")</f>
        <v/>
      </c>
      <c r="T27" s="202" t="str">
        <f>IF(AND(A27&lt;&gt;"",_xlfn.IFNA(MATCH(A27,'dynamic resource application '!$A$2:$A$100, 0),0)&lt;&gt;0), H27/(IF($E$2="Deployment",E27,1)),"")</f>
        <v/>
      </c>
      <c r="U27" s="211" t="str">
        <f>IF(AND(A27&lt;&gt;"",_xlfn.IFNA(MATCH(A27,'dynamic resource application '!$A$2:$A$100, 0),0)&lt;&gt;0), I27/(IF($E$2="Deployment",E27,1)),"")</f>
        <v/>
      </c>
    </row>
    <row r="28" spans="1:21" ht="15.75" customHeight="1" x14ac:dyDescent="0.25">
      <c r="A28" s="35" t="str">
        <f>IF(ISNONTEXT(deployment_raw[[#This Row],[Column1]]), "", deployment_raw[[#This Row],[Column1]])</f>
        <v/>
      </c>
      <c r="B28" s="36" t="str">
        <f>IF(ISNONTEXT(deployment_raw[[#This Row],[Column2]]), "", deployment_raw[[#This Row],[Column2]])</f>
        <v/>
      </c>
      <c r="C28" s="36" t="str">
        <f>IF(ISNONTEXT(deployment_raw[[#This Row],[Column3]]), "", deployment_raw[[#This Row],[Column3]])</f>
        <v/>
      </c>
      <c r="D28" s="36" t="str">
        <f>IF(ISNONTEXT(deployment_raw[[#This Row],[Column4]]), "", deployment_raw[[#This Row],[Column4]])</f>
        <v/>
      </c>
      <c r="E28" s="37" t="str">
        <f>IF(ISNUMBER(deployment_raw[[#This Row],[Column5]]), deployment_raw[[#This Row],[Column5]],"")</f>
        <v/>
      </c>
      <c r="F28" s="94" t="str">
        <f>IF(ISNUMBER(deployment_raw[[#This Row],[Column6]]), (deployment_raw[[#This Row],[Column6]] * IF($E$2="Deployment",deployment_raw[[#This Row],[Column5]],1)),"")</f>
        <v/>
      </c>
      <c r="G28" s="95" t="str">
        <f>IF(ISNUMBER(deployment_raw[[#This Row],[Column7]]), (deployment_raw[[#This Row],[Column7]] * IF($E$2="Deployment",deployment_raw[[#This Row],[Column5]],1))/1048576,"")</f>
        <v/>
      </c>
      <c r="H28" s="95" t="str">
        <f>IF(ISNUMBER(deployment_raw[[#This Row],[Column8]]), (deployment_raw[[#This Row],[Column8]]  * IF($E$2="Deployment",deployment_raw[[#This Row],[Column5]],1)),"")</f>
        <v/>
      </c>
      <c r="I28" s="96" t="str">
        <f>IF(ISNUMBER(deployment_raw[[#This Row],[Column9]]), (deployment_raw[[#This Row],[Column9]] * IF($E$2="Deployment",deployment_raw[[#This Row],[Column5]],1))/1048576,"")</f>
        <v/>
      </c>
      <c r="J28" s="122" t="str">
        <f>IF(ISNUMBER(deployment_raw[[#This Row],[Column10]]), (MIN(IF(N28&lt;&gt;"",N28,9999999999999)*1.1,deployment_raw[[#This Row],[Column10]] * IF($E$2="Deployment",deployment_raw[[#This Row],[Column5]],1))),"")</f>
        <v/>
      </c>
      <c r="K28" s="123" t="str">
        <f>IF(ISNUMBER(deployment_raw[[#This Row],[Column11]]), (MIN(IF(O28&lt;&gt;"",O28,9999999999999)*1.1,deployment_raw[[#This Row],[Column11]] * IF($E$2="Deployment",deployment_raw[[#This Row],[Column5]],1)/1048576)),"")</f>
        <v/>
      </c>
      <c r="L28" s="124" t="str">
        <f>IF(ISNUMBER(deployment_raw[[#This Row],[Column8]]),IF(OR(deployment_raw[[#This Row],[Column5]] &lt;&gt; 0,$E$2 &lt;&gt; "Deployment"), MAX(J28, P28, R28, ($L$2 * IF($E$2="Deployment",deployment_raw[[#This Row],[Column5]],1)),IF(T28&lt;&gt;"",VALUE(T28) * IF($E$2="Deployment",deployment_raw[[#This Row],[Column5]],1),0)), 0),"")</f>
        <v/>
      </c>
      <c r="M28" s="125" t="str">
        <f>IF(ISNUMBER(deployment_raw[[#This Row],[Column9]]),IF(OR(deployment_raw[[#This Row],[Column5]] &lt;&gt; 0,$E$2&lt;&gt;"Deployment"), MAX(K28, Q28, S28, ($M$2 * IF($E$2="Deployment",deployment_raw[[#This Row],[Column5]],1)),IF(U28&lt;&gt;"",VALUE(U28) * IF($E$2="Deployment",deployment_raw[[#This Row],[Column5]],1),0)), 0),"")</f>
        <v/>
      </c>
      <c r="N28" s="166" t="str">
        <f>IF(ISNUMBER(deployment_raw[[#This Row],[Column14]]), deployment_raw[[#This Row],[Column14]]/IF(OR($E$2="Deployment",deployment_raw[[#This Row],[Column5]]=0),1,deployment_raw[[#This Row],[Column5]]),"")</f>
        <v/>
      </c>
      <c r="O28" s="167" t="str">
        <f>IF(ISNUMBER(deployment_raw[[#This Row],[Column15]]), deployment_raw[[#This Row],[Column15]]/IF(OR($E$2="Deployment",deployment_raw[[#This Row],[Column5]]=0),1,deployment_raw[[#This Row],[Column5]])/1048576,"")</f>
        <v/>
      </c>
      <c r="P28" s="168" t="str">
        <f>IF(ISNUMBER(deployment_raw[[#This Row],[Column12]]), (MIN(IF(N28&lt;&gt;"",N28,9999999999999)*1.1,deployment_raw[[#This Row],[Column12]] * IF($E$2="Deployment",deployment_raw[[#This Row],[Column5]],1))*(1+$P$2)),"")</f>
        <v/>
      </c>
      <c r="Q28" s="167" t="str">
        <f>IF(ISNUMBER(deployment_raw[[#This Row],[Column13]]), (MIN(IF(O28&lt;&gt;"",O28,9999999999999)*1.1,deployment_raw[[#This Row],[Column13]] * IF($E$2="Deployment",deployment_raw[[#This Row],[Column5]],1)*(1+$Q$2)/1048576)),"")</f>
        <v/>
      </c>
      <c r="R28" s="169" t="str">
        <f>IF(ISNUMBER(deployment_raw[[#This Row],[Column8]]), (H28  * IF(N28&lt;&gt;0,$R$2,1)),"")</f>
        <v/>
      </c>
      <c r="S28" s="170" t="str">
        <f>IF(ISNUMBER(deployment_raw[[#This Row],[Column8]]), (I28  * IF(O28&lt;&gt;0,$S$2,1)),"")</f>
        <v/>
      </c>
      <c r="T28" s="202" t="str">
        <f>IF(AND(A28&lt;&gt;"",_xlfn.IFNA(MATCH(A28,'dynamic resource application '!$A$2:$A$100, 0),0)&lt;&gt;0), H28/(IF($E$2="Deployment",E28,1)),"")</f>
        <v/>
      </c>
      <c r="U28" s="211" t="str">
        <f>IF(AND(A28&lt;&gt;"",_xlfn.IFNA(MATCH(A28,'dynamic resource application '!$A$2:$A$100, 0),0)&lt;&gt;0), I28/(IF($E$2="Deployment",E28,1)),"")</f>
        <v/>
      </c>
    </row>
    <row r="29" spans="1:21" ht="15.75" customHeight="1" x14ac:dyDescent="0.25">
      <c r="A29" s="35" t="str">
        <f>IF(ISNONTEXT(deployment_raw[[#This Row],[Column1]]), "", deployment_raw[[#This Row],[Column1]])</f>
        <v/>
      </c>
      <c r="B29" s="36" t="str">
        <f>IF(ISNONTEXT(deployment_raw[[#This Row],[Column2]]), "", deployment_raw[[#This Row],[Column2]])</f>
        <v/>
      </c>
      <c r="C29" s="36" t="str">
        <f>IF(ISNONTEXT(deployment_raw[[#This Row],[Column3]]), "", deployment_raw[[#This Row],[Column3]])</f>
        <v/>
      </c>
      <c r="D29" s="36" t="str">
        <f>IF(ISNONTEXT(deployment_raw[[#This Row],[Column4]]), "", deployment_raw[[#This Row],[Column4]])</f>
        <v/>
      </c>
      <c r="E29" s="37" t="str">
        <f>IF(ISNUMBER(deployment_raw[[#This Row],[Column5]]), deployment_raw[[#This Row],[Column5]],"")</f>
        <v/>
      </c>
      <c r="F29" s="94" t="str">
        <f>IF(ISNUMBER(deployment_raw[[#This Row],[Column6]]), (deployment_raw[[#This Row],[Column6]] * IF($E$2="Deployment",deployment_raw[[#This Row],[Column5]],1)),"")</f>
        <v/>
      </c>
      <c r="G29" s="95" t="str">
        <f>IF(ISNUMBER(deployment_raw[[#This Row],[Column7]]), (deployment_raw[[#This Row],[Column7]] * IF($E$2="Deployment",deployment_raw[[#This Row],[Column5]],1))/1048576,"")</f>
        <v/>
      </c>
      <c r="H29" s="95" t="str">
        <f>IF(ISNUMBER(deployment_raw[[#This Row],[Column8]]), (deployment_raw[[#This Row],[Column8]]  * IF($E$2="Deployment",deployment_raw[[#This Row],[Column5]],1)),"")</f>
        <v/>
      </c>
      <c r="I29" s="96" t="str">
        <f>IF(ISNUMBER(deployment_raw[[#This Row],[Column9]]), (deployment_raw[[#This Row],[Column9]] * IF($E$2="Deployment",deployment_raw[[#This Row],[Column5]],1))/1048576,"")</f>
        <v/>
      </c>
      <c r="J29" s="122" t="str">
        <f>IF(ISNUMBER(deployment_raw[[#This Row],[Column10]]), (MIN(IF(N29&lt;&gt;"",N29,9999999999999)*1.1,deployment_raw[[#This Row],[Column10]] * IF($E$2="Deployment",deployment_raw[[#This Row],[Column5]],1))),"")</f>
        <v/>
      </c>
      <c r="K29" s="123" t="str">
        <f>IF(ISNUMBER(deployment_raw[[#This Row],[Column11]]), (MIN(IF(O29&lt;&gt;"",O29,9999999999999)*1.1,deployment_raw[[#This Row],[Column11]] * IF($E$2="Deployment",deployment_raw[[#This Row],[Column5]],1)/1048576)),"")</f>
        <v/>
      </c>
      <c r="L29" s="124" t="str">
        <f>IF(ISNUMBER(deployment_raw[[#This Row],[Column8]]),IF(OR(deployment_raw[[#This Row],[Column5]] &lt;&gt; 0,$E$2 &lt;&gt; "Deployment"), MAX(J29, P29, R29, ($L$2 * IF($E$2="Deployment",deployment_raw[[#This Row],[Column5]],1)),IF(T29&lt;&gt;"",VALUE(T29) * IF($E$2="Deployment",deployment_raw[[#This Row],[Column5]],1),0)), 0),"")</f>
        <v/>
      </c>
      <c r="M29" s="125" t="str">
        <f>IF(ISNUMBER(deployment_raw[[#This Row],[Column9]]),IF(OR(deployment_raw[[#This Row],[Column5]] &lt;&gt; 0,$E$2&lt;&gt;"Deployment"), MAX(K29, Q29, S29, ($M$2 * IF($E$2="Deployment",deployment_raw[[#This Row],[Column5]],1)),IF(U29&lt;&gt;"",VALUE(U29) * IF($E$2="Deployment",deployment_raw[[#This Row],[Column5]],1),0)), 0),"")</f>
        <v/>
      </c>
      <c r="N29" s="166" t="str">
        <f>IF(ISNUMBER(deployment_raw[[#This Row],[Column14]]), deployment_raw[[#This Row],[Column14]]/IF(OR($E$2="Deployment",deployment_raw[[#This Row],[Column5]]=0),1,deployment_raw[[#This Row],[Column5]]),"")</f>
        <v/>
      </c>
      <c r="O29" s="167" t="str">
        <f>IF(ISNUMBER(deployment_raw[[#This Row],[Column15]]), deployment_raw[[#This Row],[Column15]]/IF(OR($E$2="Deployment",deployment_raw[[#This Row],[Column5]]=0),1,deployment_raw[[#This Row],[Column5]])/1048576,"")</f>
        <v/>
      </c>
      <c r="P29" s="168" t="str">
        <f>IF(ISNUMBER(deployment_raw[[#This Row],[Column12]]), (MIN(IF(N29&lt;&gt;"",N29,9999999999999)*1.1,deployment_raw[[#This Row],[Column12]] * IF($E$2="Deployment",deployment_raw[[#This Row],[Column5]],1))*(1+$P$2)),"")</f>
        <v/>
      </c>
      <c r="Q29" s="167" t="str">
        <f>IF(ISNUMBER(deployment_raw[[#This Row],[Column13]]), (MIN(IF(O29&lt;&gt;"",O29,9999999999999)*1.1,deployment_raw[[#This Row],[Column13]] * IF($E$2="Deployment",deployment_raw[[#This Row],[Column5]],1)*(1+$Q$2)/1048576)),"")</f>
        <v/>
      </c>
      <c r="R29" s="169" t="str">
        <f>IF(ISNUMBER(deployment_raw[[#This Row],[Column8]]), (H29  * IF(N29&lt;&gt;0,$R$2,1)),"")</f>
        <v/>
      </c>
      <c r="S29" s="170" t="str">
        <f>IF(ISNUMBER(deployment_raw[[#This Row],[Column8]]), (I29  * IF(O29&lt;&gt;0,$S$2,1)),"")</f>
        <v/>
      </c>
      <c r="T29" s="202" t="str">
        <f>IF(AND(A29&lt;&gt;"",_xlfn.IFNA(MATCH(A29,'dynamic resource application '!$A$2:$A$100, 0),0)&lt;&gt;0), H29/(IF($E$2="Deployment",E29,1)),"")</f>
        <v/>
      </c>
      <c r="U29" s="211" t="str">
        <f>IF(AND(A29&lt;&gt;"",_xlfn.IFNA(MATCH(A29,'dynamic resource application '!$A$2:$A$100, 0),0)&lt;&gt;0), I29/(IF($E$2="Deployment",E29,1)),"")</f>
        <v/>
      </c>
    </row>
    <row r="30" spans="1:21" ht="15.75" customHeight="1" x14ac:dyDescent="0.25">
      <c r="A30" s="35" t="str">
        <f>IF(ISNONTEXT(deployment_raw[[#This Row],[Column1]]), "", deployment_raw[[#This Row],[Column1]])</f>
        <v/>
      </c>
      <c r="B30" s="36" t="str">
        <f>IF(ISNONTEXT(deployment_raw[[#This Row],[Column2]]), "", deployment_raw[[#This Row],[Column2]])</f>
        <v/>
      </c>
      <c r="C30" s="36" t="str">
        <f>IF(ISNONTEXT(deployment_raw[[#This Row],[Column3]]), "", deployment_raw[[#This Row],[Column3]])</f>
        <v/>
      </c>
      <c r="D30" s="36" t="str">
        <f>IF(ISNONTEXT(deployment_raw[[#This Row],[Column4]]), "", deployment_raw[[#This Row],[Column4]])</f>
        <v/>
      </c>
      <c r="E30" s="37" t="str">
        <f>IF(ISNUMBER(deployment_raw[[#This Row],[Column5]]), deployment_raw[[#This Row],[Column5]],"")</f>
        <v/>
      </c>
      <c r="F30" s="94" t="str">
        <f>IF(ISNUMBER(deployment_raw[[#This Row],[Column6]]), (deployment_raw[[#This Row],[Column6]] * IF($E$2="Deployment",deployment_raw[[#This Row],[Column5]],1)),"")</f>
        <v/>
      </c>
      <c r="G30" s="95" t="str">
        <f>IF(ISNUMBER(deployment_raw[[#This Row],[Column7]]), (deployment_raw[[#This Row],[Column7]] * IF($E$2="Deployment",deployment_raw[[#This Row],[Column5]],1))/1048576,"")</f>
        <v/>
      </c>
      <c r="H30" s="95" t="str">
        <f>IF(ISNUMBER(deployment_raw[[#This Row],[Column8]]), (deployment_raw[[#This Row],[Column8]]  * IF($E$2="Deployment",deployment_raw[[#This Row],[Column5]],1)),"")</f>
        <v/>
      </c>
      <c r="I30" s="96" t="str">
        <f>IF(ISNUMBER(deployment_raw[[#This Row],[Column9]]), (deployment_raw[[#This Row],[Column9]] * IF($E$2="Deployment",deployment_raw[[#This Row],[Column5]],1))/1048576,"")</f>
        <v/>
      </c>
      <c r="J30" s="122" t="str">
        <f>IF(ISNUMBER(deployment_raw[[#This Row],[Column10]]), (MIN(IF(N30&lt;&gt;"",N30,9999999999999)*1.1,deployment_raw[[#This Row],[Column10]] * IF($E$2="Deployment",deployment_raw[[#This Row],[Column5]],1))),"")</f>
        <v/>
      </c>
      <c r="K30" s="123" t="str">
        <f>IF(ISNUMBER(deployment_raw[[#This Row],[Column11]]), (MIN(IF(O30&lt;&gt;"",O30,9999999999999)*1.1,deployment_raw[[#This Row],[Column11]] * IF($E$2="Deployment",deployment_raw[[#This Row],[Column5]],1)/1048576)),"")</f>
        <v/>
      </c>
      <c r="L30" s="124" t="str">
        <f>IF(ISNUMBER(deployment_raw[[#This Row],[Column8]]),IF(OR(deployment_raw[[#This Row],[Column5]] &lt;&gt; 0,$E$2 &lt;&gt; "Deployment"), MAX(J30, P30, R30, ($L$2 * IF($E$2="Deployment",deployment_raw[[#This Row],[Column5]],1)),IF(T30&lt;&gt;"",VALUE(T30) * IF($E$2="Deployment",deployment_raw[[#This Row],[Column5]],1),0)), 0),"")</f>
        <v/>
      </c>
      <c r="M30" s="125" t="str">
        <f>IF(ISNUMBER(deployment_raw[[#This Row],[Column9]]),IF(OR(deployment_raw[[#This Row],[Column5]] &lt;&gt; 0,$E$2&lt;&gt;"Deployment"), MAX(K30, Q30, S30, ($M$2 * IF($E$2="Deployment",deployment_raw[[#This Row],[Column5]],1)),IF(U30&lt;&gt;"",VALUE(U30) * IF($E$2="Deployment",deployment_raw[[#This Row],[Column5]],1),0)), 0),"")</f>
        <v/>
      </c>
      <c r="N30" s="166" t="str">
        <f>IF(ISNUMBER(deployment_raw[[#This Row],[Column14]]), deployment_raw[[#This Row],[Column14]]/IF(OR($E$2="Deployment",deployment_raw[[#This Row],[Column5]]=0),1,deployment_raw[[#This Row],[Column5]]),"")</f>
        <v/>
      </c>
      <c r="O30" s="167" t="str">
        <f>IF(ISNUMBER(deployment_raw[[#This Row],[Column15]]), deployment_raw[[#This Row],[Column15]]/IF(OR($E$2="Deployment",deployment_raw[[#This Row],[Column5]]=0),1,deployment_raw[[#This Row],[Column5]])/1048576,"")</f>
        <v/>
      </c>
      <c r="P30" s="168" t="str">
        <f>IF(ISNUMBER(deployment_raw[[#This Row],[Column12]]), (MIN(IF(N30&lt;&gt;"",N30,9999999999999)*1.1,deployment_raw[[#This Row],[Column12]] * IF($E$2="Deployment",deployment_raw[[#This Row],[Column5]],1))*(1+$P$2)),"")</f>
        <v/>
      </c>
      <c r="Q30" s="167" t="str">
        <f>IF(ISNUMBER(deployment_raw[[#This Row],[Column13]]), (MIN(IF(O30&lt;&gt;"",O30,9999999999999)*1.1,deployment_raw[[#This Row],[Column13]] * IF($E$2="Deployment",deployment_raw[[#This Row],[Column5]],1)*(1+$Q$2)/1048576)),"")</f>
        <v/>
      </c>
      <c r="R30" s="169" t="str">
        <f>IF(ISNUMBER(deployment_raw[[#This Row],[Column8]]), (H30  * IF(N30&lt;&gt;0,$R$2,1)),"")</f>
        <v/>
      </c>
      <c r="S30" s="170" t="str">
        <f>IF(ISNUMBER(deployment_raw[[#This Row],[Column8]]), (I30  * IF(O30&lt;&gt;0,$S$2,1)),"")</f>
        <v/>
      </c>
      <c r="T30" s="202" t="str">
        <f>IF(AND(A30&lt;&gt;"",_xlfn.IFNA(MATCH(A30,'dynamic resource application '!$A$2:$A$100, 0),0)&lt;&gt;0), H30/(IF($E$2="Deployment",E30,1)),"")</f>
        <v/>
      </c>
      <c r="U30" s="211" t="str">
        <f>IF(AND(A30&lt;&gt;"",_xlfn.IFNA(MATCH(A30,'dynamic resource application '!$A$2:$A$100, 0),0)&lt;&gt;0), I30/(IF($E$2="Deployment",E30,1)),"")</f>
        <v/>
      </c>
    </row>
    <row r="31" spans="1:21" ht="15.75" customHeight="1" x14ac:dyDescent="0.25">
      <c r="A31" s="35" t="str">
        <f>IF(ISNONTEXT(deployment_raw[[#This Row],[Column1]]), "", deployment_raw[[#This Row],[Column1]])</f>
        <v/>
      </c>
      <c r="B31" s="36" t="str">
        <f>IF(ISNONTEXT(deployment_raw[[#This Row],[Column2]]), "", deployment_raw[[#This Row],[Column2]])</f>
        <v/>
      </c>
      <c r="C31" s="36" t="str">
        <f>IF(ISNONTEXT(deployment_raw[[#This Row],[Column3]]), "", deployment_raw[[#This Row],[Column3]])</f>
        <v/>
      </c>
      <c r="D31" s="36" t="str">
        <f>IF(ISNONTEXT(deployment_raw[[#This Row],[Column4]]), "", deployment_raw[[#This Row],[Column4]])</f>
        <v/>
      </c>
      <c r="E31" s="37" t="str">
        <f>IF(ISNUMBER(deployment_raw[[#This Row],[Column5]]), deployment_raw[[#This Row],[Column5]],"")</f>
        <v/>
      </c>
      <c r="F31" s="94" t="str">
        <f>IF(ISNUMBER(deployment_raw[[#This Row],[Column6]]), (deployment_raw[[#This Row],[Column6]] * IF($E$2="Deployment",deployment_raw[[#This Row],[Column5]],1)),"")</f>
        <v/>
      </c>
      <c r="G31" s="95" t="str">
        <f>IF(ISNUMBER(deployment_raw[[#This Row],[Column7]]), (deployment_raw[[#This Row],[Column7]] * IF($E$2="Deployment",deployment_raw[[#This Row],[Column5]],1))/1048576,"")</f>
        <v/>
      </c>
      <c r="H31" s="95" t="str">
        <f>IF(ISNUMBER(deployment_raw[[#This Row],[Column8]]), (deployment_raw[[#This Row],[Column8]]  * IF($E$2="Deployment",deployment_raw[[#This Row],[Column5]],1)),"")</f>
        <v/>
      </c>
      <c r="I31" s="96" t="str">
        <f>IF(ISNUMBER(deployment_raw[[#This Row],[Column9]]), (deployment_raw[[#This Row],[Column9]] * IF($E$2="Deployment",deployment_raw[[#This Row],[Column5]],1))/1048576,"")</f>
        <v/>
      </c>
      <c r="J31" s="122" t="str">
        <f>IF(ISNUMBER(deployment_raw[[#This Row],[Column10]]), (MIN(IF(N31&lt;&gt;"",N31,9999999999999)*1.1,deployment_raw[[#This Row],[Column10]] * IF($E$2="Deployment",deployment_raw[[#This Row],[Column5]],1))),"")</f>
        <v/>
      </c>
      <c r="K31" s="123" t="str">
        <f>IF(ISNUMBER(deployment_raw[[#This Row],[Column11]]), (MIN(IF(O31&lt;&gt;"",O31,9999999999999)*1.1,deployment_raw[[#This Row],[Column11]] * IF($E$2="Deployment",deployment_raw[[#This Row],[Column5]],1)/1048576)),"")</f>
        <v/>
      </c>
      <c r="L31" s="124" t="str">
        <f>IF(ISNUMBER(deployment_raw[[#This Row],[Column8]]),IF(OR(deployment_raw[[#This Row],[Column5]] &lt;&gt; 0,$E$2 &lt;&gt; "Deployment"), MAX(J31, P31, R31, ($L$2 * IF($E$2="Deployment",deployment_raw[[#This Row],[Column5]],1)),IF(T31&lt;&gt;"",VALUE(T31) * IF($E$2="Deployment",deployment_raw[[#This Row],[Column5]],1),0)), 0),"")</f>
        <v/>
      </c>
      <c r="M31" s="125" t="str">
        <f>IF(ISNUMBER(deployment_raw[[#This Row],[Column9]]),IF(OR(deployment_raw[[#This Row],[Column5]] &lt;&gt; 0,$E$2&lt;&gt;"Deployment"), MAX(K31, Q31, S31, ($M$2 * IF($E$2="Deployment",deployment_raw[[#This Row],[Column5]],1)),IF(U31&lt;&gt;"",VALUE(U31) * IF($E$2="Deployment",deployment_raw[[#This Row],[Column5]],1),0)), 0),"")</f>
        <v/>
      </c>
      <c r="N31" s="166" t="str">
        <f>IF(ISNUMBER(deployment_raw[[#This Row],[Column14]]), deployment_raw[[#This Row],[Column14]]/IF(OR($E$2="Deployment",deployment_raw[[#This Row],[Column5]]=0),1,deployment_raw[[#This Row],[Column5]]),"")</f>
        <v/>
      </c>
      <c r="O31" s="167" t="str">
        <f>IF(ISNUMBER(deployment_raw[[#This Row],[Column15]]), deployment_raw[[#This Row],[Column15]]/IF(OR($E$2="Deployment",deployment_raw[[#This Row],[Column5]]=0),1,deployment_raw[[#This Row],[Column5]])/1048576,"")</f>
        <v/>
      </c>
      <c r="P31" s="168" t="str">
        <f>IF(ISNUMBER(deployment_raw[[#This Row],[Column12]]), (MIN(IF(N31&lt;&gt;"",N31,9999999999999)*1.1,deployment_raw[[#This Row],[Column12]] * IF($E$2="Deployment",deployment_raw[[#This Row],[Column5]],1))*(1+$P$2)),"")</f>
        <v/>
      </c>
      <c r="Q31" s="167" t="str">
        <f>IF(ISNUMBER(deployment_raw[[#This Row],[Column13]]), (MIN(IF(O31&lt;&gt;"",O31,9999999999999)*1.1,deployment_raw[[#This Row],[Column13]] * IF($E$2="Deployment",deployment_raw[[#This Row],[Column5]],1)*(1+$Q$2)/1048576)),"")</f>
        <v/>
      </c>
      <c r="R31" s="169" t="str">
        <f>IF(ISNUMBER(deployment_raw[[#This Row],[Column8]]), (H31  * IF(N31&lt;&gt;0,$R$2,1)),"")</f>
        <v/>
      </c>
      <c r="S31" s="170" t="str">
        <f>IF(ISNUMBER(deployment_raw[[#This Row],[Column8]]), (I31  * IF(O31&lt;&gt;0,$S$2,1)),"")</f>
        <v/>
      </c>
      <c r="T31" s="202" t="str">
        <f>IF(AND(A31&lt;&gt;"",_xlfn.IFNA(MATCH(A31,'dynamic resource application '!$A$2:$A$100, 0),0)&lt;&gt;0), H31/(IF($E$2="Deployment",E31,1)),"")</f>
        <v/>
      </c>
      <c r="U31" s="211" t="str">
        <f>IF(AND(A31&lt;&gt;"",_xlfn.IFNA(MATCH(A31,'dynamic resource application '!$A$2:$A$100, 0),0)&lt;&gt;0), I31/(IF($E$2="Deployment",E31,1)),"")</f>
        <v/>
      </c>
    </row>
    <row r="32" spans="1:21" ht="15.75" customHeight="1" x14ac:dyDescent="0.25">
      <c r="A32" s="35" t="str">
        <f>IF(ISNONTEXT(deployment_raw[[#This Row],[Column1]]), "", deployment_raw[[#This Row],[Column1]])</f>
        <v/>
      </c>
      <c r="B32" s="36" t="str">
        <f>IF(ISNONTEXT(deployment_raw[[#This Row],[Column2]]), "", deployment_raw[[#This Row],[Column2]])</f>
        <v/>
      </c>
      <c r="C32" s="36" t="str">
        <f>IF(ISNONTEXT(deployment_raw[[#This Row],[Column3]]), "", deployment_raw[[#This Row],[Column3]])</f>
        <v/>
      </c>
      <c r="D32" s="36" t="str">
        <f>IF(ISNONTEXT(deployment_raw[[#This Row],[Column4]]), "", deployment_raw[[#This Row],[Column4]])</f>
        <v/>
      </c>
      <c r="E32" s="37" t="str">
        <f>IF(ISNUMBER(deployment_raw[[#This Row],[Column5]]), deployment_raw[[#This Row],[Column5]],"")</f>
        <v/>
      </c>
      <c r="F32" s="94" t="str">
        <f>IF(ISNUMBER(deployment_raw[[#This Row],[Column6]]), (deployment_raw[[#This Row],[Column6]] * IF($E$2="Deployment",deployment_raw[[#This Row],[Column5]],1)),"")</f>
        <v/>
      </c>
      <c r="G32" s="95" t="str">
        <f>IF(ISNUMBER(deployment_raw[[#This Row],[Column7]]), (deployment_raw[[#This Row],[Column7]] * IF($E$2="Deployment",deployment_raw[[#This Row],[Column5]],1))/1048576,"")</f>
        <v/>
      </c>
      <c r="H32" s="95" t="str">
        <f>IF(ISNUMBER(deployment_raw[[#This Row],[Column8]]), (deployment_raw[[#This Row],[Column8]]  * IF($E$2="Deployment",deployment_raw[[#This Row],[Column5]],1)),"")</f>
        <v/>
      </c>
      <c r="I32" s="96" t="str">
        <f>IF(ISNUMBER(deployment_raw[[#This Row],[Column9]]), (deployment_raw[[#This Row],[Column9]] * IF($E$2="Deployment",deployment_raw[[#This Row],[Column5]],1))/1048576,"")</f>
        <v/>
      </c>
      <c r="J32" s="122" t="str">
        <f>IF(ISNUMBER(deployment_raw[[#This Row],[Column10]]), (MIN(IF(N32&lt;&gt;"",N32,9999999999999)*1.1,deployment_raw[[#This Row],[Column10]] * IF($E$2="Deployment",deployment_raw[[#This Row],[Column5]],1))),"")</f>
        <v/>
      </c>
      <c r="K32" s="123" t="str">
        <f>IF(ISNUMBER(deployment_raw[[#This Row],[Column11]]), (MIN(IF(O32&lt;&gt;"",O32,9999999999999)*1.1,deployment_raw[[#This Row],[Column11]] * IF($E$2="Deployment",deployment_raw[[#This Row],[Column5]],1)/1048576)),"")</f>
        <v/>
      </c>
      <c r="L32" s="124" t="str">
        <f>IF(ISNUMBER(deployment_raw[[#This Row],[Column8]]),IF(OR(deployment_raw[[#This Row],[Column5]] &lt;&gt; 0,$E$2 &lt;&gt; "Deployment"), MAX(J32, P32, R32, ($L$2 * IF($E$2="Deployment",deployment_raw[[#This Row],[Column5]],1)),IF(T32&lt;&gt;"",VALUE(T32) * IF($E$2="Deployment",deployment_raw[[#This Row],[Column5]],1),0)), 0),"")</f>
        <v/>
      </c>
      <c r="M32" s="125" t="str">
        <f>IF(ISNUMBER(deployment_raw[[#This Row],[Column9]]),IF(OR(deployment_raw[[#This Row],[Column5]] &lt;&gt; 0,$E$2&lt;&gt;"Deployment"), MAX(K32, Q32, S32, ($M$2 * IF($E$2="Deployment",deployment_raw[[#This Row],[Column5]],1)),IF(U32&lt;&gt;"",VALUE(U32) * IF($E$2="Deployment",deployment_raw[[#This Row],[Column5]],1),0)), 0),"")</f>
        <v/>
      </c>
      <c r="N32" s="166" t="str">
        <f>IF(ISNUMBER(deployment_raw[[#This Row],[Column14]]), deployment_raw[[#This Row],[Column14]]/IF(OR($E$2="Deployment",deployment_raw[[#This Row],[Column5]]=0),1,deployment_raw[[#This Row],[Column5]]),"")</f>
        <v/>
      </c>
      <c r="O32" s="167" t="str">
        <f>IF(ISNUMBER(deployment_raw[[#This Row],[Column15]]), deployment_raw[[#This Row],[Column15]]/IF(OR($E$2="Deployment",deployment_raw[[#This Row],[Column5]]=0),1,deployment_raw[[#This Row],[Column5]])/1048576,"")</f>
        <v/>
      </c>
      <c r="P32" s="168" t="str">
        <f>IF(ISNUMBER(deployment_raw[[#This Row],[Column12]]), (MIN(IF(N32&lt;&gt;"",N32,9999999999999)*1.1,deployment_raw[[#This Row],[Column12]] * IF($E$2="Deployment",deployment_raw[[#This Row],[Column5]],1))*(1+$P$2)),"")</f>
        <v/>
      </c>
      <c r="Q32" s="167" t="str">
        <f>IF(ISNUMBER(deployment_raw[[#This Row],[Column13]]), (MIN(IF(O32&lt;&gt;"",O32,9999999999999)*1.1,deployment_raw[[#This Row],[Column13]] * IF($E$2="Deployment",deployment_raw[[#This Row],[Column5]],1)*(1+$Q$2)/1048576)),"")</f>
        <v/>
      </c>
      <c r="R32" s="169" t="str">
        <f>IF(ISNUMBER(deployment_raw[[#This Row],[Column8]]), (H32  * IF(N32&lt;&gt;0,$R$2,1)),"")</f>
        <v/>
      </c>
      <c r="S32" s="170" t="str">
        <f>IF(ISNUMBER(deployment_raw[[#This Row],[Column8]]), (I32  * IF(O32&lt;&gt;0,$S$2,1)),"")</f>
        <v/>
      </c>
      <c r="T32" s="202" t="str">
        <f>IF(AND(A32&lt;&gt;"",_xlfn.IFNA(MATCH(A32,'dynamic resource application '!$A$2:$A$100, 0),0)&lt;&gt;0), H32/(IF($E$2="Deployment",E32,1)),"")</f>
        <v/>
      </c>
      <c r="U32" s="211" t="str">
        <f>IF(AND(A32&lt;&gt;"",_xlfn.IFNA(MATCH(A32,'dynamic resource application '!$A$2:$A$100, 0),0)&lt;&gt;0), I32/(IF($E$2="Deployment",E32,1)),"")</f>
        <v/>
      </c>
    </row>
    <row r="33" spans="1:21" ht="15.75" customHeight="1" x14ac:dyDescent="0.25">
      <c r="A33" s="35" t="str">
        <f>IF(ISNONTEXT(deployment_raw[[#This Row],[Column1]]), "", deployment_raw[[#This Row],[Column1]])</f>
        <v/>
      </c>
      <c r="B33" s="36" t="str">
        <f>IF(ISNONTEXT(deployment_raw[[#This Row],[Column2]]), "", deployment_raw[[#This Row],[Column2]])</f>
        <v/>
      </c>
      <c r="C33" s="36" t="str">
        <f>IF(ISNONTEXT(deployment_raw[[#This Row],[Column3]]), "", deployment_raw[[#This Row],[Column3]])</f>
        <v/>
      </c>
      <c r="D33" s="36" t="str">
        <f>IF(ISNONTEXT(deployment_raw[[#This Row],[Column4]]), "", deployment_raw[[#This Row],[Column4]])</f>
        <v/>
      </c>
      <c r="E33" s="37" t="str">
        <f>IF(ISNUMBER(deployment_raw[[#This Row],[Column5]]), deployment_raw[[#This Row],[Column5]],"")</f>
        <v/>
      </c>
      <c r="F33" s="94" t="str">
        <f>IF(ISNUMBER(deployment_raw[[#This Row],[Column6]]), (deployment_raw[[#This Row],[Column6]] * IF($E$2="Deployment",deployment_raw[[#This Row],[Column5]],1)),"")</f>
        <v/>
      </c>
      <c r="G33" s="95" t="str">
        <f>IF(ISNUMBER(deployment_raw[[#This Row],[Column7]]), (deployment_raw[[#This Row],[Column7]] * IF($E$2="Deployment",deployment_raw[[#This Row],[Column5]],1))/1048576,"")</f>
        <v/>
      </c>
      <c r="H33" s="95" t="str">
        <f>IF(ISNUMBER(deployment_raw[[#This Row],[Column8]]), (deployment_raw[[#This Row],[Column8]]  * IF($E$2="Deployment",deployment_raw[[#This Row],[Column5]],1)),"")</f>
        <v/>
      </c>
      <c r="I33" s="96" t="str">
        <f>IF(ISNUMBER(deployment_raw[[#This Row],[Column9]]), (deployment_raw[[#This Row],[Column9]] * IF($E$2="Deployment",deployment_raw[[#This Row],[Column5]],1))/1048576,"")</f>
        <v/>
      </c>
      <c r="J33" s="122" t="str">
        <f>IF(ISNUMBER(deployment_raw[[#This Row],[Column10]]), (MIN(IF(N33&lt;&gt;"",N33,9999999999999)*1.1,deployment_raw[[#This Row],[Column10]] * IF($E$2="Deployment",deployment_raw[[#This Row],[Column5]],1))),"")</f>
        <v/>
      </c>
      <c r="K33" s="123" t="str">
        <f>IF(ISNUMBER(deployment_raw[[#This Row],[Column11]]), (MIN(IF(O33&lt;&gt;"",O33,9999999999999)*1.1,deployment_raw[[#This Row],[Column11]] * IF($E$2="Deployment",deployment_raw[[#This Row],[Column5]],1)/1048576)),"")</f>
        <v/>
      </c>
      <c r="L33" s="124" t="str">
        <f>IF(ISNUMBER(deployment_raw[[#This Row],[Column8]]),IF(OR(deployment_raw[[#This Row],[Column5]] &lt;&gt; 0,$E$2 &lt;&gt; "Deployment"), MAX(J33, P33, R33, ($L$2 * IF($E$2="Deployment",deployment_raw[[#This Row],[Column5]],1)),IF(T33&lt;&gt;"",VALUE(T33) * IF($E$2="Deployment",deployment_raw[[#This Row],[Column5]],1),0)), 0),"")</f>
        <v/>
      </c>
      <c r="M33" s="125" t="str">
        <f>IF(ISNUMBER(deployment_raw[[#This Row],[Column9]]),IF(OR(deployment_raw[[#This Row],[Column5]] &lt;&gt; 0,$E$2&lt;&gt;"Deployment"), MAX(K33, Q33, S33, ($M$2 * IF($E$2="Deployment",deployment_raw[[#This Row],[Column5]],1)),IF(U33&lt;&gt;"",VALUE(U33) * IF($E$2="Deployment",deployment_raw[[#This Row],[Column5]],1),0)), 0),"")</f>
        <v/>
      </c>
      <c r="N33" s="166" t="str">
        <f>IF(ISNUMBER(deployment_raw[[#This Row],[Column14]]), deployment_raw[[#This Row],[Column14]]/IF(OR($E$2="Deployment",deployment_raw[[#This Row],[Column5]]=0),1,deployment_raw[[#This Row],[Column5]]),"")</f>
        <v/>
      </c>
      <c r="O33" s="167" t="str">
        <f>IF(ISNUMBER(deployment_raw[[#This Row],[Column15]]), deployment_raw[[#This Row],[Column15]]/IF(OR($E$2="Deployment",deployment_raw[[#This Row],[Column5]]=0),1,deployment_raw[[#This Row],[Column5]])/1048576,"")</f>
        <v/>
      </c>
      <c r="P33" s="168" t="str">
        <f>IF(ISNUMBER(deployment_raw[[#This Row],[Column12]]), (MIN(IF(N33&lt;&gt;"",N33,9999999999999)*1.1,deployment_raw[[#This Row],[Column12]] * IF($E$2="Deployment",deployment_raw[[#This Row],[Column5]],1))*(1+$P$2)),"")</f>
        <v/>
      </c>
      <c r="Q33" s="167" t="str">
        <f>IF(ISNUMBER(deployment_raw[[#This Row],[Column13]]), (MIN(IF(O33&lt;&gt;"",O33,9999999999999)*1.1,deployment_raw[[#This Row],[Column13]] * IF($E$2="Deployment",deployment_raw[[#This Row],[Column5]],1)*(1+$Q$2)/1048576)),"")</f>
        <v/>
      </c>
      <c r="R33" s="169" t="str">
        <f>IF(ISNUMBER(deployment_raw[[#This Row],[Column8]]), (H33  * IF(N33&lt;&gt;0,$R$2,1)),"")</f>
        <v/>
      </c>
      <c r="S33" s="170" t="str">
        <f>IF(ISNUMBER(deployment_raw[[#This Row],[Column8]]), (I33  * IF(O33&lt;&gt;0,$S$2,1)),"")</f>
        <v/>
      </c>
      <c r="T33" s="202" t="str">
        <f>IF(AND(A33&lt;&gt;"",_xlfn.IFNA(MATCH(A33,'dynamic resource application '!$A$2:$A$100, 0),0)&lt;&gt;0), H33/(IF($E$2="Deployment",E33,1)),"")</f>
        <v/>
      </c>
      <c r="U33" s="211" t="str">
        <f>IF(AND(A33&lt;&gt;"",_xlfn.IFNA(MATCH(A33,'dynamic resource application '!$A$2:$A$100, 0),0)&lt;&gt;0), I33/(IF($E$2="Deployment",E33,1)),"")</f>
        <v/>
      </c>
    </row>
    <row r="34" spans="1:21" ht="15.75" customHeight="1" x14ac:dyDescent="0.25">
      <c r="A34" s="35" t="str">
        <f>IF(ISNONTEXT(deployment_raw[[#This Row],[Column1]]), "", deployment_raw[[#This Row],[Column1]])</f>
        <v/>
      </c>
      <c r="B34" s="36" t="str">
        <f>IF(ISNONTEXT(deployment_raw[[#This Row],[Column2]]), "", deployment_raw[[#This Row],[Column2]])</f>
        <v/>
      </c>
      <c r="C34" s="36" t="str">
        <f>IF(ISNONTEXT(deployment_raw[[#This Row],[Column3]]), "", deployment_raw[[#This Row],[Column3]])</f>
        <v/>
      </c>
      <c r="D34" s="36" t="str">
        <f>IF(ISNONTEXT(deployment_raw[[#This Row],[Column4]]), "", deployment_raw[[#This Row],[Column4]])</f>
        <v/>
      </c>
      <c r="E34" s="37" t="str">
        <f>IF(ISNUMBER(deployment_raw[[#This Row],[Column5]]), deployment_raw[[#This Row],[Column5]],"")</f>
        <v/>
      </c>
      <c r="F34" s="94" t="str">
        <f>IF(ISNUMBER(deployment_raw[[#This Row],[Column6]]), (deployment_raw[[#This Row],[Column6]] * IF($E$2="Deployment",deployment_raw[[#This Row],[Column5]],1)),"")</f>
        <v/>
      </c>
      <c r="G34" s="95" t="str">
        <f>IF(ISNUMBER(deployment_raw[[#This Row],[Column7]]), (deployment_raw[[#This Row],[Column7]] * IF($E$2="Deployment",deployment_raw[[#This Row],[Column5]],1))/1048576,"")</f>
        <v/>
      </c>
      <c r="H34" s="95" t="str">
        <f>IF(ISNUMBER(deployment_raw[[#This Row],[Column8]]), (deployment_raw[[#This Row],[Column8]]  * IF($E$2="Deployment",deployment_raw[[#This Row],[Column5]],1)),"")</f>
        <v/>
      </c>
      <c r="I34" s="96" t="str">
        <f>IF(ISNUMBER(deployment_raw[[#This Row],[Column9]]), (deployment_raw[[#This Row],[Column9]] * IF($E$2="Deployment",deployment_raw[[#This Row],[Column5]],1))/1048576,"")</f>
        <v/>
      </c>
      <c r="J34" s="122" t="str">
        <f>IF(ISNUMBER(deployment_raw[[#This Row],[Column10]]), (MIN(IF(N34&lt;&gt;"",N34,9999999999999)*1.1,deployment_raw[[#This Row],[Column10]] * IF($E$2="Deployment",deployment_raw[[#This Row],[Column5]],1))),"")</f>
        <v/>
      </c>
      <c r="K34" s="123" t="str">
        <f>IF(ISNUMBER(deployment_raw[[#This Row],[Column11]]), (MIN(IF(O34&lt;&gt;"",O34,9999999999999)*1.1,deployment_raw[[#This Row],[Column11]] * IF($E$2="Deployment",deployment_raw[[#This Row],[Column5]],1)/1048576)),"")</f>
        <v/>
      </c>
      <c r="L34" s="124" t="str">
        <f>IF(ISNUMBER(deployment_raw[[#This Row],[Column8]]),IF(OR(deployment_raw[[#This Row],[Column5]] &lt;&gt; 0,$E$2 &lt;&gt; "Deployment"), MAX(J34, P34, R34, ($L$2 * IF($E$2="Deployment",deployment_raw[[#This Row],[Column5]],1)),IF(T34&lt;&gt;"",VALUE(T34) * IF($E$2="Deployment",deployment_raw[[#This Row],[Column5]],1),0)), 0),"")</f>
        <v/>
      </c>
      <c r="M34" s="125" t="str">
        <f>IF(ISNUMBER(deployment_raw[[#This Row],[Column9]]),IF(OR(deployment_raw[[#This Row],[Column5]] &lt;&gt; 0,$E$2&lt;&gt;"Deployment"), MAX(K34, Q34, S34, ($M$2 * IF($E$2="Deployment",deployment_raw[[#This Row],[Column5]],1)),IF(U34&lt;&gt;"",VALUE(U34) * IF($E$2="Deployment",deployment_raw[[#This Row],[Column5]],1),0)), 0),"")</f>
        <v/>
      </c>
      <c r="N34" s="166" t="str">
        <f>IF(ISNUMBER(deployment_raw[[#This Row],[Column14]]), deployment_raw[[#This Row],[Column14]]/IF(OR($E$2="Deployment",deployment_raw[[#This Row],[Column5]]=0),1,deployment_raw[[#This Row],[Column5]]),"")</f>
        <v/>
      </c>
      <c r="O34" s="167" t="str">
        <f>IF(ISNUMBER(deployment_raw[[#This Row],[Column15]]), deployment_raw[[#This Row],[Column15]]/IF(OR($E$2="Deployment",deployment_raw[[#This Row],[Column5]]=0),1,deployment_raw[[#This Row],[Column5]])/1048576,"")</f>
        <v/>
      </c>
      <c r="P34" s="168" t="str">
        <f>IF(ISNUMBER(deployment_raw[[#This Row],[Column12]]), (MIN(IF(N34&lt;&gt;"",N34,9999999999999)*1.1,deployment_raw[[#This Row],[Column12]] * IF($E$2="Deployment",deployment_raw[[#This Row],[Column5]],1))*(1+$P$2)),"")</f>
        <v/>
      </c>
      <c r="Q34" s="167" t="str">
        <f>IF(ISNUMBER(deployment_raw[[#This Row],[Column13]]), (MIN(IF(O34&lt;&gt;"",O34,9999999999999)*1.1,deployment_raw[[#This Row],[Column13]] * IF($E$2="Deployment",deployment_raw[[#This Row],[Column5]],1)*(1+$Q$2)/1048576)),"")</f>
        <v/>
      </c>
      <c r="R34" s="169" t="str">
        <f>IF(ISNUMBER(deployment_raw[[#This Row],[Column8]]), (H34  * IF(N34&lt;&gt;0,$R$2,1)),"")</f>
        <v/>
      </c>
      <c r="S34" s="170" t="str">
        <f>IF(ISNUMBER(deployment_raw[[#This Row],[Column8]]), (I34  * IF(O34&lt;&gt;0,$S$2,1)),"")</f>
        <v/>
      </c>
      <c r="T34" s="202" t="str">
        <f>IF(AND(A34&lt;&gt;"",_xlfn.IFNA(MATCH(A34,'dynamic resource application '!$A$2:$A$100, 0),0)&lt;&gt;0), H34/(IF($E$2="Deployment",E34,1)),"")</f>
        <v/>
      </c>
      <c r="U34" s="211" t="str">
        <f>IF(AND(A34&lt;&gt;"",_xlfn.IFNA(MATCH(A34,'dynamic resource application '!$A$2:$A$100, 0),0)&lt;&gt;0), I34/(IF($E$2="Deployment",E34,1)),"")</f>
        <v/>
      </c>
    </row>
    <row r="35" spans="1:21" ht="15.75" customHeight="1" x14ac:dyDescent="0.25">
      <c r="A35" s="35" t="str">
        <f>IF(ISNONTEXT(deployment_raw[[#This Row],[Column1]]), "", deployment_raw[[#This Row],[Column1]])</f>
        <v/>
      </c>
      <c r="B35" s="36" t="str">
        <f>IF(ISNONTEXT(deployment_raw[[#This Row],[Column2]]), "", deployment_raw[[#This Row],[Column2]])</f>
        <v/>
      </c>
      <c r="C35" s="36" t="str">
        <f>IF(ISNONTEXT(deployment_raw[[#This Row],[Column3]]), "", deployment_raw[[#This Row],[Column3]])</f>
        <v/>
      </c>
      <c r="D35" s="36" t="str">
        <f>IF(ISNONTEXT(deployment_raw[[#This Row],[Column4]]), "", deployment_raw[[#This Row],[Column4]])</f>
        <v/>
      </c>
      <c r="E35" s="37" t="str">
        <f>IF(ISNUMBER(deployment_raw[[#This Row],[Column5]]), deployment_raw[[#This Row],[Column5]],"")</f>
        <v/>
      </c>
      <c r="F35" s="94" t="str">
        <f>IF(ISNUMBER(deployment_raw[[#This Row],[Column6]]), (deployment_raw[[#This Row],[Column6]] * IF($E$2="Deployment",deployment_raw[[#This Row],[Column5]],1)),"")</f>
        <v/>
      </c>
      <c r="G35" s="95" t="str">
        <f>IF(ISNUMBER(deployment_raw[[#This Row],[Column7]]), (deployment_raw[[#This Row],[Column7]] * IF($E$2="Deployment",deployment_raw[[#This Row],[Column5]],1))/1048576,"")</f>
        <v/>
      </c>
      <c r="H35" s="95" t="str">
        <f>IF(ISNUMBER(deployment_raw[[#This Row],[Column8]]), (deployment_raw[[#This Row],[Column8]]  * IF($E$2="Deployment",deployment_raw[[#This Row],[Column5]],1)),"")</f>
        <v/>
      </c>
      <c r="I35" s="96" t="str">
        <f>IF(ISNUMBER(deployment_raw[[#This Row],[Column9]]), (deployment_raw[[#This Row],[Column9]] * IF($E$2="Deployment",deployment_raw[[#This Row],[Column5]],1))/1048576,"")</f>
        <v/>
      </c>
      <c r="J35" s="122" t="str">
        <f>IF(ISNUMBER(deployment_raw[[#This Row],[Column10]]), (MIN(IF(N35&lt;&gt;"",N35,9999999999999)*1.1,deployment_raw[[#This Row],[Column10]] * IF($E$2="Deployment",deployment_raw[[#This Row],[Column5]],1))),"")</f>
        <v/>
      </c>
      <c r="K35" s="123" t="str">
        <f>IF(ISNUMBER(deployment_raw[[#This Row],[Column11]]), (MIN(IF(O35&lt;&gt;"",O35,9999999999999)*1.1,deployment_raw[[#This Row],[Column11]] * IF($E$2="Deployment",deployment_raw[[#This Row],[Column5]],1)/1048576)),"")</f>
        <v/>
      </c>
      <c r="L35" s="124" t="str">
        <f>IF(ISNUMBER(deployment_raw[[#This Row],[Column8]]),IF(OR(deployment_raw[[#This Row],[Column5]] &lt;&gt; 0,$E$2 &lt;&gt; "Deployment"), MAX(J35, P35, R35, ($L$2 * IF($E$2="Deployment",deployment_raw[[#This Row],[Column5]],1)),IF(T35&lt;&gt;"",VALUE(T35) * IF($E$2="Deployment",deployment_raw[[#This Row],[Column5]],1),0)), 0),"")</f>
        <v/>
      </c>
      <c r="M35" s="125" t="str">
        <f>IF(ISNUMBER(deployment_raw[[#This Row],[Column9]]),IF(OR(deployment_raw[[#This Row],[Column5]] &lt;&gt; 0,$E$2&lt;&gt;"Deployment"), MAX(K35, Q35, S35, ($M$2 * IF($E$2="Deployment",deployment_raw[[#This Row],[Column5]],1)),IF(U35&lt;&gt;"",VALUE(U35) * IF($E$2="Deployment",deployment_raw[[#This Row],[Column5]],1),0)), 0),"")</f>
        <v/>
      </c>
      <c r="N35" s="166" t="str">
        <f>IF(ISNUMBER(deployment_raw[[#This Row],[Column14]]), deployment_raw[[#This Row],[Column14]]/IF(OR($E$2="Deployment",deployment_raw[[#This Row],[Column5]]=0),1,deployment_raw[[#This Row],[Column5]]),"")</f>
        <v/>
      </c>
      <c r="O35" s="167" t="str">
        <f>IF(ISNUMBER(deployment_raw[[#This Row],[Column15]]), deployment_raw[[#This Row],[Column15]]/IF(OR($E$2="Deployment",deployment_raw[[#This Row],[Column5]]=0),1,deployment_raw[[#This Row],[Column5]])/1048576,"")</f>
        <v/>
      </c>
      <c r="P35" s="168" t="str">
        <f>IF(ISNUMBER(deployment_raw[[#This Row],[Column12]]), (MIN(IF(N35&lt;&gt;"",N35,9999999999999)*1.1,deployment_raw[[#This Row],[Column12]] * IF($E$2="Deployment",deployment_raw[[#This Row],[Column5]],1))*(1+$P$2)),"")</f>
        <v/>
      </c>
      <c r="Q35" s="167" t="str">
        <f>IF(ISNUMBER(deployment_raw[[#This Row],[Column13]]), (MIN(IF(O35&lt;&gt;"",O35,9999999999999)*1.1,deployment_raw[[#This Row],[Column13]] * IF($E$2="Deployment",deployment_raw[[#This Row],[Column5]],1)*(1+$Q$2)/1048576)),"")</f>
        <v/>
      </c>
      <c r="R35" s="169" t="str">
        <f>IF(ISNUMBER(deployment_raw[[#This Row],[Column8]]), (H35  * IF(N35&lt;&gt;0,$R$2,1)),"")</f>
        <v/>
      </c>
      <c r="S35" s="170" t="str">
        <f>IF(ISNUMBER(deployment_raw[[#This Row],[Column8]]), (I35  * IF(O35&lt;&gt;0,$S$2,1)),"")</f>
        <v/>
      </c>
      <c r="T35" s="202" t="str">
        <f>IF(AND(A35&lt;&gt;"",_xlfn.IFNA(MATCH(A35,'dynamic resource application '!$A$2:$A$100, 0),0)&lt;&gt;0), H35/(IF($E$2="Deployment",E35,1)),"")</f>
        <v/>
      </c>
      <c r="U35" s="211" t="str">
        <f>IF(AND(A35&lt;&gt;"",_xlfn.IFNA(MATCH(A35,'dynamic resource application '!$A$2:$A$100, 0),0)&lt;&gt;0), I35/(IF($E$2="Deployment",E35,1)),"")</f>
        <v/>
      </c>
    </row>
    <row r="36" spans="1:21" ht="15.75" customHeight="1" x14ac:dyDescent="0.25">
      <c r="A36" s="35" t="str">
        <f>IF(ISNONTEXT(deployment_raw[[#This Row],[Column1]]), "", deployment_raw[[#This Row],[Column1]])</f>
        <v/>
      </c>
      <c r="B36" s="36" t="str">
        <f>IF(ISNONTEXT(deployment_raw[[#This Row],[Column2]]), "", deployment_raw[[#This Row],[Column2]])</f>
        <v/>
      </c>
      <c r="C36" s="36" t="str">
        <f>IF(ISNONTEXT(deployment_raw[[#This Row],[Column3]]), "", deployment_raw[[#This Row],[Column3]])</f>
        <v/>
      </c>
      <c r="D36" s="36" t="str">
        <f>IF(ISNONTEXT(deployment_raw[[#This Row],[Column4]]), "", deployment_raw[[#This Row],[Column4]])</f>
        <v/>
      </c>
      <c r="E36" s="37" t="str">
        <f>IF(ISNUMBER(deployment_raw[[#This Row],[Column5]]), deployment_raw[[#This Row],[Column5]],"")</f>
        <v/>
      </c>
      <c r="F36" s="94" t="str">
        <f>IF(ISNUMBER(deployment_raw[[#This Row],[Column6]]), (deployment_raw[[#This Row],[Column6]] * IF($E$2="Deployment",deployment_raw[[#This Row],[Column5]],1)),"")</f>
        <v/>
      </c>
      <c r="G36" s="95" t="str">
        <f>IF(ISNUMBER(deployment_raw[[#This Row],[Column7]]), (deployment_raw[[#This Row],[Column7]] * IF($E$2="Deployment",deployment_raw[[#This Row],[Column5]],1))/1048576,"")</f>
        <v/>
      </c>
      <c r="H36" s="95" t="str">
        <f>IF(ISNUMBER(deployment_raw[[#This Row],[Column8]]), (deployment_raw[[#This Row],[Column8]]  * IF($E$2="Deployment",deployment_raw[[#This Row],[Column5]],1)),"")</f>
        <v/>
      </c>
      <c r="I36" s="96" t="str">
        <f>IF(ISNUMBER(deployment_raw[[#This Row],[Column9]]), (deployment_raw[[#This Row],[Column9]] * IF($E$2="Deployment",deployment_raw[[#This Row],[Column5]],1))/1048576,"")</f>
        <v/>
      </c>
      <c r="J36" s="122" t="str">
        <f>IF(ISNUMBER(deployment_raw[[#This Row],[Column10]]), (MIN(IF(N36&lt;&gt;"",N36,9999999999999)*1.1,deployment_raw[[#This Row],[Column10]] * IF($E$2="Deployment",deployment_raw[[#This Row],[Column5]],1))),"")</f>
        <v/>
      </c>
      <c r="K36" s="123" t="str">
        <f>IF(ISNUMBER(deployment_raw[[#This Row],[Column11]]), (MIN(IF(O36&lt;&gt;"",O36,9999999999999)*1.1,deployment_raw[[#This Row],[Column11]] * IF($E$2="Deployment",deployment_raw[[#This Row],[Column5]],1)/1048576)),"")</f>
        <v/>
      </c>
      <c r="L36" s="124" t="str">
        <f>IF(ISNUMBER(deployment_raw[[#This Row],[Column8]]),IF(OR(deployment_raw[[#This Row],[Column5]] &lt;&gt; 0,$E$2 &lt;&gt; "Deployment"), MAX(J36, P36, R36, ($L$2 * IF($E$2="Deployment",deployment_raw[[#This Row],[Column5]],1)),IF(T36&lt;&gt;"",VALUE(T36) * IF($E$2="Deployment",deployment_raw[[#This Row],[Column5]],1),0)), 0),"")</f>
        <v/>
      </c>
      <c r="M36" s="125" t="str">
        <f>IF(ISNUMBER(deployment_raw[[#This Row],[Column9]]),IF(OR(deployment_raw[[#This Row],[Column5]] &lt;&gt; 0,$E$2&lt;&gt;"Deployment"), MAX(K36, Q36, S36, ($M$2 * IF($E$2="Deployment",deployment_raw[[#This Row],[Column5]],1)),IF(U36&lt;&gt;"",VALUE(U36) * IF($E$2="Deployment",deployment_raw[[#This Row],[Column5]],1),0)), 0),"")</f>
        <v/>
      </c>
      <c r="N36" s="166" t="str">
        <f>IF(ISNUMBER(deployment_raw[[#This Row],[Column14]]), deployment_raw[[#This Row],[Column14]]/IF(OR($E$2="Deployment",deployment_raw[[#This Row],[Column5]]=0),1,deployment_raw[[#This Row],[Column5]]),"")</f>
        <v/>
      </c>
      <c r="O36" s="167" t="str">
        <f>IF(ISNUMBER(deployment_raw[[#This Row],[Column15]]), deployment_raw[[#This Row],[Column15]]/IF(OR($E$2="Deployment",deployment_raw[[#This Row],[Column5]]=0),1,deployment_raw[[#This Row],[Column5]])/1048576,"")</f>
        <v/>
      </c>
      <c r="P36" s="168" t="str">
        <f>IF(ISNUMBER(deployment_raw[[#This Row],[Column12]]), (MIN(IF(N36&lt;&gt;"",N36,9999999999999)*1.1,deployment_raw[[#This Row],[Column12]] * IF($E$2="Deployment",deployment_raw[[#This Row],[Column5]],1))*(1+$P$2)),"")</f>
        <v/>
      </c>
      <c r="Q36" s="167" t="str">
        <f>IF(ISNUMBER(deployment_raw[[#This Row],[Column13]]), (MIN(IF(O36&lt;&gt;"",O36,9999999999999)*1.1,deployment_raw[[#This Row],[Column13]] * IF($E$2="Deployment",deployment_raw[[#This Row],[Column5]],1)*(1+$Q$2)/1048576)),"")</f>
        <v/>
      </c>
      <c r="R36" s="169" t="str">
        <f>IF(ISNUMBER(deployment_raw[[#This Row],[Column8]]), (H36  * IF(N36&lt;&gt;0,$R$2,1)),"")</f>
        <v/>
      </c>
      <c r="S36" s="170" t="str">
        <f>IF(ISNUMBER(deployment_raw[[#This Row],[Column8]]), (I36  * IF(O36&lt;&gt;0,$S$2,1)),"")</f>
        <v/>
      </c>
      <c r="T36" s="202" t="str">
        <f>IF(AND(A36&lt;&gt;"",_xlfn.IFNA(MATCH(A36,'dynamic resource application '!$A$2:$A$100, 0),0)&lt;&gt;0), H36/(IF($E$2="Deployment",E36,1)),"")</f>
        <v/>
      </c>
      <c r="U36" s="211" t="str">
        <f>IF(AND(A36&lt;&gt;"",_xlfn.IFNA(MATCH(A36,'dynamic resource application '!$A$2:$A$100, 0),0)&lt;&gt;0), I36/(IF($E$2="Deployment",E36,1)),"")</f>
        <v/>
      </c>
    </row>
    <row r="37" spans="1:21" ht="15.75" customHeight="1" x14ac:dyDescent="0.25">
      <c r="A37" s="35" t="str">
        <f>IF(ISNONTEXT(deployment_raw[[#This Row],[Column1]]), "", deployment_raw[[#This Row],[Column1]])</f>
        <v/>
      </c>
      <c r="B37" s="36" t="str">
        <f>IF(ISNONTEXT(deployment_raw[[#This Row],[Column2]]), "", deployment_raw[[#This Row],[Column2]])</f>
        <v/>
      </c>
      <c r="C37" s="36" t="str">
        <f>IF(ISNONTEXT(deployment_raw[[#This Row],[Column3]]), "", deployment_raw[[#This Row],[Column3]])</f>
        <v/>
      </c>
      <c r="D37" s="36" t="str">
        <f>IF(ISNONTEXT(deployment_raw[[#This Row],[Column4]]), "", deployment_raw[[#This Row],[Column4]])</f>
        <v/>
      </c>
      <c r="E37" s="37" t="str">
        <f>IF(ISNUMBER(deployment_raw[[#This Row],[Column5]]), deployment_raw[[#This Row],[Column5]],"")</f>
        <v/>
      </c>
      <c r="F37" s="94" t="str">
        <f>IF(ISNUMBER(deployment_raw[[#This Row],[Column6]]), (deployment_raw[[#This Row],[Column6]] * IF($E$2="Deployment",deployment_raw[[#This Row],[Column5]],1)),"")</f>
        <v/>
      </c>
      <c r="G37" s="95" t="str">
        <f>IF(ISNUMBER(deployment_raw[[#This Row],[Column7]]), (deployment_raw[[#This Row],[Column7]] * IF($E$2="Deployment",deployment_raw[[#This Row],[Column5]],1))/1048576,"")</f>
        <v/>
      </c>
      <c r="H37" s="95" t="str">
        <f>IF(ISNUMBER(deployment_raw[[#This Row],[Column8]]), (deployment_raw[[#This Row],[Column8]]  * IF($E$2="Deployment",deployment_raw[[#This Row],[Column5]],1)),"")</f>
        <v/>
      </c>
      <c r="I37" s="96" t="str">
        <f>IF(ISNUMBER(deployment_raw[[#This Row],[Column9]]), (deployment_raw[[#This Row],[Column9]] * IF($E$2="Deployment",deployment_raw[[#This Row],[Column5]],1))/1048576,"")</f>
        <v/>
      </c>
      <c r="J37" s="122" t="str">
        <f>IF(ISNUMBER(deployment_raw[[#This Row],[Column10]]), (MIN(IF(N37&lt;&gt;"",N37,9999999999999)*1.1,deployment_raw[[#This Row],[Column10]] * IF($E$2="Deployment",deployment_raw[[#This Row],[Column5]],1))),"")</f>
        <v/>
      </c>
      <c r="K37" s="123" t="str">
        <f>IF(ISNUMBER(deployment_raw[[#This Row],[Column11]]), (MIN(IF(O37&lt;&gt;"",O37,9999999999999)*1.1,deployment_raw[[#This Row],[Column11]] * IF($E$2="Deployment",deployment_raw[[#This Row],[Column5]],1)/1048576)),"")</f>
        <v/>
      </c>
      <c r="L37" s="124" t="str">
        <f>IF(ISNUMBER(deployment_raw[[#This Row],[Column8]]),IF(OR(deployment_raw[[#This Row],[Column5]] &lt;&gt; 0,$E$2 &lt;&gt; "Deployment"), MAX(J37, P37, R37, ($L$2 * IF($E$2="Deployment",deployment_raw[[#This Row],[Column5]],1)),IF(T37&lt;&gt;"",VALUE(T37) * IF($E$2="Deployment",deployment_raw[[#This Row],[Column5]],1),0)), 0),"")</f>
        <v/>
      </c>
      <c r="M37" s="125" t="str">
        <f>IF(ISNUMBER(deployment_raw[[#This Row],[Column9]]),IF(OR(deployment_raw[[#This Row],[Column5]] &lt;&gt; 0,$E$2&lt;&gt;"Deployment"), MAX(K37, Q37, S37, ($M$2 * IF($E$2="Deployment",deployment_raw[[#This Row],[Column5]],1)),IF(U37&lt;&gt;"",VALUE(U37) * IF($E$2="Deployment",deployment_raw[[#This Row],[Column5]],1),0)), 0),"")</f>
        <v/>
      </c>
      <c r="N37" s="166" t="str">
        <f>IF(ISNUMBER(deployment_raw[[#This Row],[Column14]]), deployment_raw[[#This Row],[Column14]]/IF(OR($E$2="Deployment",deployment_raw[[#This Row],[Column5]]=0),1,deployment_raw[[#This Row],[Column5]]),"")</f>
        <v/>
      </c>
      <c r="O37" s="167" t="str">
        <f>IF(ISNUMBER(deployment_raw[[#This Row],[Column15]]), deployment_raw[[#This Row],[Column15]]/IF(OR($E$2="Deployment",deployment_raw[[#This Row],[Column5]]=0),1,deployment_raw[[#This Row],[Column5]])/1048576,"")</f>
        <v/>
      </c>
      <c r="P37" s="168" t="str">
        <f>IF(ISNUMBER(deployment_raw[[#This Row],[Column12]]), (MIN(IF(N37&lt;&gt;"",N37,9999999999999)*1.1,deployment_raw[[#This Row],[Column12]] * IF($E$2="Deployment",deployment_raw[[#This Row],[Column5]],1))*(1+$P$2)),"")</f>
        <v/>
      </c>
      <c r="Q37" s="167" t="str">
        <f>IF(ISNUMBER(deployment_raw[[#This Row],[Column13]]), (MIN(IF(O37&lt;&gt;"",O37,9999999999999)*1.1,deployment_raw[[#This Row],[Column13]] * IF($E$2="Deployment",deployment_raw[[#This Row],[Column5]],1)*(1+$Q$2)/1048576)),"")</f>
        <v/>
      </c>
      <c r="R37" s="169" t="str">
        <f>IF(ISNUMBER(deployment_raw[[#This Row],[Column8]]), (H37  * IF(N37&lt;&gt;0,$R$2,1)),"")</f>
        <v/>
      </c>
      <c r="S37" s="170" t="str">
        <f>IF(ISNUMBER(deployment_raw[[#This Row],[Column8]]), (I37  * IF(O37&lt;&gt;0,$S$2,1)),"")</f>
        <v/>
      </c>
      <c r="T37" s="202" t="str">
        <f>IF(AND(A37&lt;&gt;"",_xlfn.IFNA(MATCH(A37,'dynamic resource application '!$A$2:$A$100, 0),0)&lt;&gt;0), H37/(IF($E$2="Deployment",E37,1)),"")</f>
        <v/>
      </c>
      <c r="U37" s="211" t="str">
        <f>IF(AND(A37&lt;&gt;"",_xlfn.IFNA(MATCH(A37,'dynamic resource application '!$A$2:$A$100, 0),0)&lt;&gt;0), I37/(IF($E$2="Deployment",E37,1)),"")</f>
        <v/>
      </c>
    </row>
    <row r="38" spans="1:21" ht="15.75" customHeight="1" x14ac:dyDescent="0.25">
      <c r="A38" s="35" t="str">
        <f>IF(ISNONTEXT(deployment_raw[[#This Row],[Column1]]), "", deployment_raw[[#This Row],[Column1]])</f>
        <v/>
      </c>
      <c r="B38" s="36" t="str">
        <f>IF(ISNONTEXT(deployment_raw[[#This Row],[Column2]]), "", deployment_raw[[#This Row],[Column2]])</f>
        <v/>
      </c>
      <c r="C38" s="36" t="str">
        <f>IF(ISNONTEXT(deployment_raw[[#This Row],[Column3]]), "", deployment_raw[[#This Row],[Column3]])</f>
        <v/>
      </c>
      <c r="D38" s="36" t="str">
        <f>IF(ISNONTEXT(deployment_raw[[#This Row],[Column4]]), "", deployment_raw[[#This Row],[Column4]])</f>
        <v/>
      </c>
      <c r="E38" s="37" t="str">
        <f>IF(ISNUMBER(deployment_raw[[#This Row],[Column5]]), deployment_raw[[#This Row],[Column5]],"")</f>
        <v/>
      </c>
      <c r="F38" s="94" t="str">
        <f>IF(ISNUMBER(deployment_raw[[#This Row],[Column6]]), (deployment_raw[[#This Row],[Column6]] * IF($E$2="Deployment",deployment_raw[[#This Row],[Column5]],1)),"")</f>
        <v/>
      </c>
      <c r="G38" s="95" t="str">
        <f>IF(ISNUMBER(deployment_raw[[#This Row],[Column7]]), (deployment_raw[[#This Row],[Column7]] * IF($E$2="Deployment",deployment_raw[[#This Row],[Column5]],1))/1048576,"")</f>
        <v/>
      </c>
      <c r="H38" s="95" t="str">
        <f>IF(ISNUMBER(deployment_raw[[#This Row],[Column8]]), (deployment_raw[[#This Row],[Column8]]  * IF($E$2="Deployment",deployment_raw[[#This Row],[Column5]],1)),"")</f>
        <v/>
      </c>
      <c r="I38" s="96" t="str">
        <f>IF(ISNUMBER(deployment_raw[[#This Row],[Column9]]), (deployment_raw[[#This Row],[Column9]] * IF($E$2="Deployment",deployment_raw[[#This Row],[Column5]],1))/1048576,"")</f>
        <v/>
      </c>
      <c r="J38" s="122" t="str">
        <f>IF(ISNUMBER(deployment_raw[[#This Row],[Column10]]), (MIN(IF(N38&lt;&gt;"",N38,9999999999999)*1.1,deployment_raw[[#This Row],[Column10]] * IF($E$2="Deployment",deployment_raw[[#This Row],[Column5]],1))),"")</f>
        <v/>
      </c>
      <c r="K38" s="123" t="str">
        <f>IF(ISNUMBER(deployment_raw[[#This Row],[Column11]]), (MIN(IF(O38&lt;&gt;"",O38,9999999999999)*1.1,deployment_raw[[#This Row],[Column11]] * IF($E$2="Deployment",deployment_raw[[#This Row],[Column5]],1)/1048576)),"")</f>
        <v/>
      </c>
      <c r="L38" s="124" t="str">
        <f>IF(ISNUMBER(deployment_raw[[#This Row],[Column8]]),IF(OR(deployment_raw[[#This Row],[Column5]] &lt;&gt; 0,$E$2 &lt;&gt; "Deployment"), MAX(J38, P38, R38, ($L$2 * IF($E$2="Deployment",deployment_raw[[#This Row],[Column5]],1)),IF(T38&lt;&gt;"",VALUE(T38) * IF($E$2="Deployment",deployment_raw[[#This Row],[Column5]],1),0)), 0),"")</f>
        <v/>
      </c>
      <c r="M38" s="125" t="str">
        <f>IF(ISNUMBER(deployment_raw[[#This Row],[Column9]]),IF(OR(deployment_raw[[#This Row],[Column5]] &lt;&gt; 0,$E$2&lt;&gt;"Deployment"), MAX(K38, Q38, S38, ($M$2 * IF($E$2="Deployment",deployment_raw[[#This Row],[Column5]],1)),IF(U38&lt;&gt;"",VALUE(U38) * IF($E$2="Deployment",deployment_raw[[#This Row],[Column5]],1),0)), 0),"")</f>
        <v/>
      </c>
      <c r="N38" s="166" t="str">
        <f>IF(ISNUMBER(deployment_raw[[#This Row],[Column14]]), deployment_raw[[#This Row],[Column14]]/IF(OR($E$2="Deployment",deployment_raw[[#This Row],[Column5]]=0),1,deployment_raw[[#This Row],[Column5]]),"")</f>
        <v/>
      </c>
      <c r="O38" s="167" t="str">
        <f>IF(ISNUMBER(deployment_raw[[#This Row],[Column15]]), deployment_raw[[#This Row],[Column15]]/IF(OR($E$2="Deployment",deployment_raw[[#This Row],[Column5]]=0),1,deployment_raw[[#This Row],[Column5]])/1048576,"")</f>
        <v/>
      </c>
      <c r="P38" s="168" t="str">
        <f>IF(ISNUMBER(deployment_raw[[#This Row],[Column12]]), (MIN(IF(N38&lt;&gt;"",N38,9999999999999)*1.1,deployment_raw[[#This Row],[Column12]] * IF($E$2="Deployment",deployment_raw[[#This Row],[Column5]],1))*(1+$P$2)),"")</f>
        <v/>
      </c>
      <c r="Q38" s="167" t="str">
        <f>IF(ISNUMBER(deployment_raw[[#This Row],[Column13]]), (MIN(IF(O38&lt;&gt;"",O38,9999999999999)*1.1,deployment_raw[[#This Row],[Column13]] * IF($E$2="Deployment",deployment_raw[[#This Row],[Column5]],1)*(1+$Q$2)/1048576)),"")</f>
        <v/>
      </c>
      <c r="R38" s="169" t="str">
        <f>IF(ISNUMBER(deployment_raw[[#This Row],[Column8]]), (H38  * IF(N38&lt;&gt;0,$R$2,1)),"")</f>
        <v/>
      </c>
      <c r="S38" s="170" t="str">
        <f>IF(ISNUMBER(deployment_raw[[#This Row],[Column8]]), (I38  * IF(O38&lt;&gt;0,$S$2,1)),"")</f>
        <v/>
      </c>
      <c r="T38" s="202" t="str">
        <f>IF(AND(A38&lt;&gt;"",_xlfn.IFNA(MATCH(A38,'dynamic resource application '!$A$2:$A$100, 0),0)&lt;&gt;0), H38/(IF($E$2="Deployment",E38,1)),"")</f>
        <v/>
      </c>
      <c r="U38" s="211" t="str">
        <f>IF(AND(A38&lt;&gt;"",_xlfn.IFNA(MATCH(A38,'dynamic resource application '!$A$2:$A$100, 0),0)&lt;&gt;0), I38/(IF($E$2="Deployment",E38,1)),"")</f>
        <v/>
      </c>
    </row>
    <row r="39" spans="1:21" ht="15.75" customHeight="1" x14ac:dyDescent="0.25">
      <c r="A39" s="35" t="str">
        <f>IF(ISNONTEXT(deployment_raw[[#This Row],[Column1]]), "", deployment_raw[[#This Row],[Column1]])</f>
        <v/>
      </c>
      <c r="B39" s="36" t="str">
        <f>IF(ISNONTEXT(deployment_raw[[#This Row],[Column2]]), "", deployment_raw[[#This Row],[Column2]])</f>
        <v/>
      </c>
      <c r="C39" s="36" t="str">
        <f>IF(ISNONTEXT(deployment_raw[[#This Row],[Column3]]), "", deployment_raw[[#This Row],[Column3]])</f>
        <v/>
      </c>
      <c r="D39" s="36" t="str">
        <f>IF(ISNONTEXT(deployment_raw[[#This Row],[Column4]]), "", deployment_raw[[#This Row],[Column4]])</f>
        <v/>
      </c>
      <c r="E39" s="37" t="str">
        <f>IF(ISNUMBER(deployment_raw[[#This Row],[Column5]]), deployment_raw[[#This Row],[Column5]],"")</f>
        <v/>
      </c>
      <c r="F39" s="94" t="str">
        <f>IF(ISNUMBER(deployment_raw[[#This Row],[Column6]]), (deployment_raw[[#This Row],[Column6]] * IF($E$2="Deployment",deployment_raw[[#This Row],[Column5]],1)),"")</f>
        <v/>
      </c>
      <c r="G39" s="95" t="str">
        <f>IF(ISNUMBER(deployment_raw[[#This Row],[Column7]]), (deployment_raw[[#This Row],[Column7]] * IF($E$2="Deployment",deployment_raw[[#This Row],[Column5]],1))/1048576,"")</f>
        <v/>
      </c>
      <c r="H39" s="95" t="str">
        <f>IF(ISNUMBER(deployment_raw[[#This Row],[Column8]]), (deployment_raw[[#This Row],[Column8]]  * IF($E$2="Deployment",deployment_raw[[#This Row],[Column5]],1)),"")</f>
        <v/>
      </c>
      <c r="I39" s="96" t="str">
        <f>IF(ISNUMBER(deployment_raw[[#This Row],[Column9]]), (deployment_raw[[#This Row],[Column9]] * IF($E$2="Deployment",deployment_raw[[#This Row],[Column5]],1))/1048576,"")</f>
        <v/>
      </c>
      <c r="J39" s="122" t="str">
        <f>IF(ISNUMBER(deployment_raw[[#This Row],[Column10]]), (MIN(IF(N39&lt;&gt;"",N39,9999999999999)*1.1,deployment_raw[[#This Row],[Column10]] * IF($E$2="Deployment",deployment_raw[[#This Row],[Column5]],1))),"")</f>
        <v/>
      </c>
      <c r="K39" s="123" t="str">
        <f>IF(ISNUMBER(deployment_raw[[#This Row],[Column11]]), (MIN(IF(O39&lt;&gt;"",O39,9999999999999)*1.1,deployment_raw[[#This Row],[Column11]] * IF($E$2="Deployment",deployment_raw[[#This Row],[Column5]],1)/1048576)),"")</f>
        <v/>
      </c>
      <c r="L39" s="124" t="str">
        <f>IF(ISNUMBER(deployment_raw[[#This Row],[Column8]]),IF(OR(deployment_raw[[#This Row],[Column5]] &lt;&gt; 0,$E$2 &lt;&gt; "Deployment"), MAX(J39, P39, R39, ($L$2 * IF($E$2="Deployment",deployment_raw[[#This Row],[Column5]],1)),IF(T39&lt;&gt;"",VALUE(T39) * IF($E$2="Deployment",deployment_raw[[#This Row],[Column5]],1),0)), 0),"")</f>
        <v/>
      </c>
      <c r="M39" s="125" t="str">
        <f>IF(ISNUMBER(deployment_raw[[#This Row],[Column9]]),IF(OR(deployment_raw[[#This Row],[Column5]] &lt;&gt; 0,$E$2&lt;&gt;"Deployment"), MAX(K39, Q39, S39, ($M$2 * IF($E$2="Deployment",deployment_raw[[#This Row],[Column5]],1)),IF(U39&lt;&gt;"",VALUE(U39) * IF($E$2="Deployment",deployment_raw[[#This Row],[Column5]],1),0)), 0),"")</f>
        <v/>
      </c>
      <c r="N39" s="166" t="str">
        <f>IF(ISNUMBER(deployment_raw[[#This Row],[Column14]]), deployment_raw[[#This Row],[Column14]]/IF(OR($E$2="Deployment",deployment_raw[[#This Row],[Column5]]=0),1,deployment_raw[[#This Row],[Column5]]),"")</f>
        <v/>
      </c>
      <c r="O39" s="167" t="str">
        <f>IF(ISNUMBER(deployment_raw[[#This Row],[Column15]]), deployment_raw[[#This Row],[Column15]]/IF(OR($E$2="Deployment",deployment_raw[[#This Row],[Column5]]=0),1,deployment_raw[[#This Row],[Column5]])/1048576,"")</f>
        <v/>
      </c>
      <c r="P39" s="168" t="str">
        <f>IF(ISNUMBER(deployment_raw[[#This Row],[Column12]]), (MIN(IF(N39&lt;&gt;"",N39,9999999999999)*1.1,deployment_raw[[#This Row],[Column12]] * IF($E$2="Deployment",deployment_raw[[#This Row],[Column5]],1))*(1+$P$2)),"")</f>
        <v/>
      </c>
      <c r="Q39" s="167" t="str">
        <f>IF(ISNUMBER(deployment_raw[[#This Row],[Column13]]), (MIN(IF(O39&lt;&gt;"",O39,9999999999999)*1.1,deployment_raw[[#This Row],[Column13]] * IF($E$2="Deployment",deployment_raw[[#This Row],[Column5]],1)*(1+$Q$2)/1048576)),"")</f>
        <v/>
      </c>
      <c r="R39" s="169" t="str">
        <f>IF(ISNUMBER(deployment_raw[[#This Row],[Column8]]), (H39  * IF(N39&lt;&gt;0,$R$2,1)),"")</f>
        <v/>
      </c>
      <c r="S39" s="170" t="str">
        <f>IF(ISNUMBER(deployment_raw[[#This Row],[Column8]]), (I39  * IF(O39&lt;&gt;0,$S$2,1)),"")</f>
        <v/>
      </c>
      <c r="T39" s="202" t="str">
        <f>IF(AND(A39&lt;&gt;"",_xlfn.IFNA(MATCH(A39,'dynamic resource application '!$A$2:$A$100, 0),0)&lt;&gt;0), H39/(IF($E$2="Deployment",E39,1)),"")</f>
        <v/>
      </c>
      <c r="U39" s="211" t="str">
        <f>IF(AND(A39&lt;&gt;"",_xlfn.IFNA(MATCH(A39,'dynamic resource application '!$A$2:$A$100, 0),0)&lt;&gt;0), I39/(IF($E$2="Deployment",E39,1)),"")</f>
        <v/>
      </c>
    </row>
    <row r="40" spans="1:21" ht="15.75" customHeight="1" x14ac:dyDescent="0.25">
      <c r="A40" s="35" t="str">
        <f>IF(ISNONTEXT(deployment_raw[[#This Row],[Column1]]), "", deployment_raw[[#This Row],[Column1]])</f>
        <v/>
      </c>
      <c r="B40" s="36" t="str">
        <f>IF(ISNONTEXT(deployment_raw[[#This Row],[Column2]]), "", deployment_raw[[#This Row],[Column2]])</f>
        <v/>
      </c>
      <c r="C40" s="36" t="str">
        <f>IF(ISNONTEXT(deployment_raw[[#This Row],[Column3]]), "", deployment_raw[[#This Row],[Column3]])</f>
        <v/>
      </c>
      <c r="D40" s="36" t="str">
        <f>IF(ISNONTEXT(deployment_raw[[#This Row],[Column4]]), "", deployment_raw[[#This Row],[Column4]])</f>
        <v/>
      </c>
      <c r="E40" s="37" t="str">
        <f>IF(ISNUMBER(deployment_raw[[#This Row],[Column5]]), deployment_raw[[#This Row],[Column5]],"")</f>
        <v/>
      </c>
      <c r="F40" s="94" t="str">
        <f>IF(ISNUMBER(deployment_raw[[#This Row],[Column6]]), (deployment_raw[[#This Row],[Column6]] * IF($E$2="Deployment",deployment_raw[[#This Row],[Column5]],1)),"")</f>
        <v/>
      </c>
      <c r="G40" s="95" t="str">
        <f>IF(ISNUMBER(deployment_raw[[#This Row],[Column7]]), (deployment_raw[[#This Row],[Column7]] * IF($E$2="Deployment",deployment_raw[[#This Row],[Column5]],1))/1048576,"")</f>
        <v/>
      </c>
      <c r="H40" s="95" t="str">
        <f>IF(ISNUMBER(deployment_raw[[#This Row],[Column8]]), (deployment_raw[[#This Row],[Column8]]  * IF($E$2="Deployment",deployment_raw[[#This Row],[Column5]],1)),"")</f>
        <v/>
      </c>
      <c r="I40" s="96" t="str">
        <f>IF(ISNUMBER(deployment_raw[[#This Row],[Column9]]), (deployment_raw[[#This Row],[Column9]] * IF($E$2="Deployment",deployment_raw[[#This Row],[Column5]],1))/1048576,"")</f>
        <v/>
      </c>
      <c r="J40" s="122" t="str">
        <f>IF(ISNUMBER(deployment_raw[[#This Row],[Column10]]), (MIN(IF(N40&lt;&gt;"",N40,9999999999999)*1.1,deployment_raw[[#This Row],[Column10]] * IF($E$2="Deployment",deployment_raw[[#This Row],[Column5]],1))),"")</f>
        <v/>
      </c>
      <c r="K40" s="123" t="str">
        <f>IF(ISNUMBER(deployment_raw[[#This Row],[Column11]]), (MIN(IF(O40&lt;&gt;"",O40,9999999999999)*1.1,deployment_raw[[#This Row],[Column11]] * IF($E$2="Deployment",deployment_raw[[#This Row],[Column5]],1)/1048576)),"")</f>
        <v/>
      </c>
      <c r="L40" s="124" t="str">
        <f>IF(ISNUMBER(deployment_raw[[#This Row],[Column8]]),IF(OR(deployment_raw[[#This Row],[Column5]] &lt;&gt; 0,$E$2 &lt;&gt; "Deployment"), MAX(J40, P40, R40, ($L$2 * IF($E$2="Deployment",deployment_raw[[#This Row],[Column5]],1)),IF(T40&lt;&gt;"",VALUE(T40) * IF($E$2="Deployment",deployment_raw[[#This Row],[Column5]],1),0)), 0),"")</f>
        <v/>
      </c>
      <c r="M40" s="125" t="str">
        <f>IF(ISNUMBER(deployment_raw[[#This Row],[Column9]]),IF(OR(deployment_raw[[#This Row],[Column5]] &lt;&gt; 0,$E$2&lt;&gt;"Deployment"), MAX(K40, Q40, S40, ($M$2 * IF($E$2="Deployment",deployment_raw[[#This Row],[Column5]],1)),IF(U40&lt;&gt;"",VALUE(U40) * IF($E$2="Deployment",deployment_raw[[#This Row],[Column5]],1),0)), 0),"")</f>
        <v/>
      </c>
      <c r="N40" s="166" t="str">
        <f>IF(ISNUMBER(deployment_raw[[#This Row],[Column14]]), deployment_raw[[#This Row],[Column14]]/IF(OR($E$2="Deployment",deployment_raw[[#This Row],[Column5]]=0),1,deployment_raw[[#This Row],[Column5]]),"")</f>
        <v/>
      </c>
      <c r="O40" s="167" t="str">
        <f>IF(ISNUMBER(deployment_raw[[#This Row],[Column15]]), deployment_raw[[#This Row],[Column15]]/IF(OR($E$2="Deployment",deployment_raw[[#This Row],[Column5]]=0),1,deployment_raw[[#This Row],[Column5]])/1048576,"")</f>
        <v/>
      </c>
      <c r="P40" s="168" t="str">
        <f>IF(ISNUMBER(deployment_raw[[#This Row],[Column12]]), (MIN(IF(N40&lt;&gt;"",N40,9999999999999)*1.1,deployment_raw[[#This Row],[Column12]] * IF($E$2="Deployment",deployment_raw[[#This Row],[Column5]],1))*(1+$P$2)),"")</f>
        <v/>
      </c>
      <c r="Q40" s="167" t="str">
        <f>IF(ISNUMBER(deployment_raw[[#This Row],[Column13]]), (MIN(IF(O40&lt;&gt;"",O40,9999999999999)*1.1,deployment_raw[[#This Row],[Column13]] * IF($E$2="Deployment",deployment_raw[[#This Row],[Column5]],1)*(1+$Q$2)/1048576)),"")</f>
        <v/>
      </c>
      <c r="R40" s="169" t="str">
        <f>IF(ISNUMBER(deployment_raw[[#This Row],[Column8]]), (H40  * IF(N40&lt;&gt;0,$R$2,1)),"")</f>
        <v/>
      </c>
      <c r="S40" s="170" t="str">
        <f>IF(ISNUMBER(deployment_raw[[#This Row],[Column8]]), (I40  * IF(O40&lt;&gt;0,$S$2,1)),"")</f>
        <v/>
      </c>
      <c r="T40" s="202" t="str">
        <f>IF(AND(A40&lt;&gt;"",_xlfn.IFNA(MATCH(A40,'dynamic resource application '!$A$2:$A$100, 0),0)&lt;&gt;0), H40/(IF($E$2="Deployment",E40,1)),"")</f>
        <v/>
      </c>
      <c r="U40" s="211" t="str">
        <f>IF(AND(A40&lt;&gt;"",_xlfn.IFNA(MATCH(A40,'dynamic resource application '!$A$2:$A$100, 0),0)&lt;&gt;0), I40/(IF($E$2="Deployment",E40,1)),"")</f>
        <v/>
      </c>
    </row>
    <row r="41" spans="1:21" ht="15.75" customHeight="1" x14ac:dyDescent="0.25">
      <c r="A41" s="35" t="str">
        <f>IF(ISNONTEXT(deployment_raw[[#This Row],[Column1]]), "", deployment_raw[[#This Row],[Column1]])</f>
        <v/>
      </c>
      <c r="B41" s="36" t="str">
        <f>IF(ISNONTEXT(deployment_raw[[#This Row],[Column2]]), "", deployment_raw[[#This Row],[Column2]])</f>
        <v/>
      </c>
      <c r="C41" s="36" t="str">
        <f>IF(ISNONTEXT(deployment_raw[[#This Row],[Column3]]), "", deployment_raw[[#This Row],[Column3]])</f>
        <v/>
      </c>
      <c r="D41" s="36" t="str">
        <f>IF(ISNONTEXT(deployment_raw[[#This Row],[Column4]]), "", deployment_raw[[#This Row],[Column4]])</f>
        <v/>
      </c>
      <c r="E41" s="37" t="str">
        <f>IF(ISNUMBER(deployment_raw[[#This Row],[Column5]]), deployment_raw[[#This Row],[Column5]],"")</f>
        <v/>
      </c>
      <c r="F41" s="94" t="str">
        <f>IF(ISNUMBER(deployment_raw[[#This Row],[Column6]]), (deployment_raw[[#This Row],[Column6]] * IF($E$2="Deployment",deployment_raw[[#This Row],[Column5]],1)),"")</f>
        <v/>
      </c>
      <c r="G41" s="95" t="str">
        <f>IF(ISNUMBER(deployment_raw[[#This Row],[Column7]]), (deployment_raw[[#This Row],[Column7]] * IF($E$2="Deployment",deployment_raw[[#This Row],[Column5]],1))/1048576,"")</f>
        <v/>
      </c>
      <c r="H41" s="95" t="str">
        <f>IF(ISNUMBER(deployment_raw[[#This Row],[Column8]]), (deployment_raw[[#This Row],[Column8]]  * IF($E$2="Deployment",deployment_raw[[#This Row],[Column5]],1)),"")</f>
        <v/>
      </c>
      <c r="I41" s="96" t="str">
        <f>IF(ISNUMBER(deployment_raw[[#This Row],[Column9]]), (deployment_raw[[#This Row],[Column9]] * IF($E$2="Deployment",deployment_raw[[#This Row],[Column5]],1))/1048576,"")</f>
        <v/>
      </c>
      <c r="J41" s="122" t="str">
        <f>IF(ISNUMBER(deployment_raw[[#This Row],[Column10]]), (MIN(IF(N41&lt;&gt;"",N41,9999999999999)*1.1,deployment_raw[[#This Row],[Column10]] * IF($E$2="Deployment",deployment_raw[[#This Row],[Column5]],1))),"")</f>
        <v/>
      </c>
      <c r="K41" s="123" t="str">
        <f>IF(ISNUMBER(deployment_raw[[#This Row],[Column11]]), (MIN(IF(O41&lt;&gt;"",O41,9999999999999)*1.1,deployment_raw[[#This Row],[Column11]] * IF($E$2="Deployment",deployment_raw[[#This Row],[Column5]],1)/1048576)),"")</f>
        <v/>
      </c>
      <c r="L41" s="124" t="str">
        <f>IF(ISNUMBER(deployment_raw[[#This Row],[Column8]]),IF(OR(deployment_raw[[#This Row],[Column5]] &lt;&gt; 0,$E$2 &lt;&gt; "Deployment"), MAX(J41, P41, R41, ($L$2 * IF($E$2="Deployment",deployment_raw[[#This Row],[Column5]],1)),IF(T41&lt;&gt;"",VALUE(T41) * IF($E$2="Deployment",deployment_raw[[#This Row],[Column5]],1),0)), 0),"")</f>
        <v/>
      </c>
      <c r="M41" s="125" t="str">
        <f>IF(ISNUMBER(deployment_raw[[#This Row],[Column9]]),IF(OR(deployment_raw[[#This Row],[Column5]] &lt;&gt; 0,$E$2&lt;&gt;"Deployment"), MAX(K41, Q41, S41, ($M$2 * IF($E$2="Deployment",deployment_raw[[#This Row],[Column5]],1)),IF(U41&lt;&gt;"",VALUE(U41) * IF($E$2="Deployment",deployment_raw[[#This Row],[Column5]],1),0)), 0),"")</f>
        <v/>
      </c>
      <c r="N41" s="166" t="str">
        <f>IF(ISNUMBER(deployment_raw[[#This Row],[Column14]]), deployment_raw[[#This Row],[Column14]]/IF(OR($E$2="Deployment",deployment_raw[[#This Row],[Column5]]=0),1,deployment_raw[[#This Row],[Column5]]),"")</f>
        <v/>
      </c>
      <c r="O41" s="167" t="str">
        <f>IF(ISNUMBER(deployment_raw[[#This Row],[Column15]]), deployment_raw[[#This Row],[Column15]]/IF(OR($E$2="Deployment",deployment_raw[[#This Row],[Column5]]=0),1,deployment_raw[[#This Row],[Column5]])/1048576,"")</f>
        <v/>
      </c>
      <c r="P41" s="168" t="str">
        <f>IF(ISNUMBER(deployment_raw[[#This Row],[Column12]]), (MIN(IF(N41&lt;&gt;"",N41,9999999999999)*1.1,deployment_raw[[#This Row],[Column12]] * IF($E$2="Deployment",deployment_raw[[#This Row],[Column5]],1))*(1+$P$2)),"")</f>
        <v/>
      </c>
      <c r="Q41" s="167" t="str">
        <f>IF(ISNUMBER(deployment_raw[[#This Row],[Column13]]), (MIN(IF(O41&lt;&gt;"",O41,9999999999999)*1.1,deployment_raw[[#This Row],[Column13]] * IF($E$2="Deployment",deployment_raw[[#This Row],[Column5]],1)*(1+$Q$2)/1048576)),"")</f>
        <v/>
      </c>
      <c r="R41" s="169" t="str">
        <f>IF(ISNUMBER(deployment_raw[[#This Row],[Column8]]), (H41  * IF(N41&lt;&gt;0,$R$2,1)),"")</f>
        <v/>
      </c>
      <c r="S41" s="170" t="str">
        <f>IF(ISNUMBER(deployment_raw[[#This Row],[Column8]]), (I41  * IF(O41&lt;&gt;0,$S$2,1)),"")</f>
        <v/>
      </c>
      <c r="T41" s="202" t="str">
        <f>IF(AND(A41&lt;&gt;"",_xlfn.IFNA(MATCH(A41,'dynamic resource application '!$A$2:$A$100, 0),0)&lt;&gt;0), H41/(IF($E$2="Deployment",E41,1)),"")</f>
        <v/>
      </c>
      <c r="U41" s="211" t="str">
        <f>IF(AND(A41&lt;&gt;"",_xlfn.IFNA(MATCH(A41,'dynamic resource application '!$A$2:$A$100, 0),0)&lt;&gt;0), I41/(IF($E$2="Deployment",E41,1)),"")</f>
        <v/>
      </c>
    </row>
    <row r="42" spans="1:21" ht="15.75" customHeight="1" x14ac:dyDescent="0.25">
      <c r="A42" s="35" t="str">
        <f>IF(ISNONTEXT(deployment_raw[[#This Row],[Column1]]), "", deployment_raw[[#This Row],[Column1]])</f>
        <v/>
      </c>
      <c r="B42" s="36" t="str">
        <f>IF(ISNONTEXT(deployment_raw[[#This Row],[Column2]]), "", deployment_raw[[#This Row],[Column2]])</f>
        <v/>
      </c>
      <c r="C42" s="36" t="str">
        <f>IF(ISNONTEXT(deployment_raw[[#This Row],[Column3]]), "", deployment_raw[[#This Row],[Column3]])</f>
        <v/>
      </c>
      <c r="D42" s="36" t="str">
        <f>IF(ISNONTEXT(deployment_raw[[#This Row],[Column4]]), "", deployment_raw[[#This Row],[Column4]])</f>
        <v/>
      </c>
      <c r="E42" s="37" t="str">
        <f>IF(ISNUMBER(deployment_raw[[#This Row],[Column5]]), deployment_raw[[#This Row],[Column5]],"")</f>
        <v/>
      </c>
      <c r="F42" s="94" t="str">
        <f>IF(ISNUMBER(deployment_raw[[#This Row],[Column6]]), (deployment_raw[[#This Row],[Column6]] * IF($E$2="Deployment",deployment_raw[[#This Row],[Column5]],1)),"")</f>
        <v/>
      </c>
      <c r="G42" s="95" t="str">
        <f>IF(ISNUMBER(deployment_raw[[#This Row],[Column7]]), (deployment_raw[[#This Row],[Column7]] * IF($E$2="Deployment",deployment_raw[[#This Row],[Column5]],1))/1048576,"")</f>
        <v/>
      </c>
      <c r="H42" s="95" t="str">
        <f>IF(ISNUMBER(deployment_raw[[#This Row],[Column8]]), (deployment_raw[[#This Row],[Column8]]  * IF($E$2="Deployment",deployment_raw[[#This Row],[Column5]],1)),"")</f>
        <v/>
      </c>
      <c r="I42" s="96" t="str">
        <f>IF(ISNUMBER(deployment_raw[[#This Row],[Column9]]), (deployment_raw[[#This Row],[Column9]] * IF($E$2="Deployment",deployment_raw[[#This Row],[Column5]],1))/1048576,"")</f>
        <v/>
      </c>
      <c r="J42" s="122" t="str">
        <f>IF(ISNUMBER(deployment_raw[[#This Row],[Column10]]), (MIN(IF(N42&lt;&gt;"",N42,9999999999999)*1.1,deployment_raw[[#This Row],[Column10]] * IF($E$2="Deployment",deployment_raw[[#This Row],[Column5]],1))),"")</f>
        <v/>
      </c>
      <c r="K42" s="123" t="str">
        <f>IF(ISNUMBER(deployment_raw[[#This Row],[Column11]]), (MIN(IF(O42&lt;&gt;"",O42,9999999999999)*1.1,deployment_raw[[#This Row],[Column11]] * IF($E$2="Deployment",deployment_raw[[#This Row],[Column5]],1)/1048576)),"")</f>
        <v/>
      </c>
      <c r="L42" s="124" t="str">
        <f>IF(ISNUMBER(deployment_raw[[#This Row],[Column8]]),IF(OR(deployment_raw[[#This Row],[Column5]] &lt;&gt; 0,$E$2 &lt;&gt; "Deployment"), MAX(J42, P42, R42, ($L$2 * IF($E$2="Deployment",deployment_raw[[#This Row],[Column5]],1)),IF(T42&lt;&gt;"",VALUE(T42) * IF($E$2="Deployment",deployment_raw[[#This Row],[Column5]],1),0)), 0),"")</f>
        <v/>
      </c>
      <c r="M42" s="125" t="str">
        <f>IF(ISNUMBER(deployment_raw[[#This Row],[Column9]]),IF(OR(deployment_raw[[#This Row],[Column5]] &lt;&gt; 0,$E$2&lt;&gt;"Deployment"), MAX(K42, Q42, S42, ($M$2 * IF($E$2="Deployment",deployment_raw[[#This Row],[Column5]],1)),IF(U42&lt;&gt;"",VALUE(U42) * IF($E$2="Deployment",deployment_raw[[#This Row],[Column5]],1),0)), 0),"")</f>
        <v/>
      </c>
      <c r="N42" s="166" t="str">
        <f>IF(ISNUMBER(deployment_raw[[#This Row],[Column14]]), deployment_raw[[#This Row],[Column14]]/IF(OR($E$2="Deployment",deployment_raw[[#This Row],[Column5]]=0),1,deployment_raw[[#This Row],[Column5]]),"")</f>
        <v/>
      </c>
      <c r="O42" s="167" t="str">
        <f>IF(ISNUMBER(deployment_raw[[#This Row],[Column15]]), deployment_raw[[#This Row],[Column15]]/IF(OR($E$2="Deployment",deployment_raw[[#This Row],[Column5]]=0),1,deployment_raw[[#This Row],[Column5]])/1048576,"")</f>
        <v/>
      </c>
      <c r="P42" s="168" t="str">
        <f>IF(ISNUMBER(deployment_raw[[#This Row],[Column12]]), (MIN(IF(N42&lt;&gt;"",N42,9999999999999)*1.1,deployment_raw[[#This Row],[Column12]] * IF($E$2="Deployment",deployment_raw[[#This Row],[Column5]],1))*(1+$P$2)),"")</f>
        <v/>
      </c>
      <c r="Q42" s="167" t="str">
        <f>IF(ISNUMBER(deployment_raw[[#This Row],[Column13]]), (MIN(IF(O42&lt;&gt;"",O42,9999999999999)*1.1,deployment_raw[[#This Row],[Column13]] * IF($E$2="Deployment",deployment_raw[[#This Row],[Column5]],1)*(1+$Q$2)/1048576)),"")</f>
        <v/>
      </c>
      <c r="R42" s="169" t="str">
        <f>IF(ISNUMBER(deployment_raw[[#This Row],[Column8]]), (H42  * IF(N42&lt;&gt;0,$R$2,1)),"")</f>
        <v/>
      </c>
      <c r="S42" s="170" t="str">
        <f>IF(ISNUMBER(deployment_raw[[#This Row],[Column8]]), (I42  * IF(O42&lt;&gt;0,$S$2,1)),"")</f>
        <v/>
      </c>
      <c r="T42" s="202" t="str">
        <f>IF(AND(A42&lt;&gt;"",_xlfn.IFNA(MATCH(A42,'dynamic resource application '!$A$2:$A$100, 0),0)&lt;&gt;0), H42/(IF($E$2="Deployment",E42,1)),"")</f>
        <v/>
      </c>
      <c r="U42" s="211" t="str">
        <f>IF(AND(A42&lt;&gt;"",_xlfn.IFNA(MATCH(A42,'dynamic resource application '!$A$2:$A$100, 0),0)&lt;&gt;0), I42/(IF($E$2="Deployment",E42,1)),"")</f>
        <v/>
      </c>
    </row>
    <row r="43" spans="1:21" ht="15.75" customHeight="1" x14ac:dyDescent="0.25">
      <c r="A43" s="35" t="str">
        <f>IF(ISNONTEXT(deployment_raw[[#This Row],[Column1]]), "", deployment_raw[[#This Row],[Column1]])</f>
        <v/>
      </c>
      <c r="B43" s="36" t="str">
        <f>IF(ISNONTEXT(deployment_raw[[#This Row],[Column2]]), "", deployment_raw[[#This Row],[Column2]])</f>
        <v/>
      </c>
      <c r="C43" s="36" t="str">
        <f>IF(ISNONTEXT(deployment_raw[[#This Row],[Column3]]), "", deployment_raw[[#This Row],[Column3]])</f>
        <v/>
      </c>
      <c r="D43" s="36" t="str">
        <f>IF(ISNONTEXT(deployment_raw[[#This Row],[Column4]]), "", deployment_raw[[#This Row],[Column4]])</f>
        <v/>
      </c>
      <c r="E43" s="37" t="str">
        <f>IF(ISNUMBER(deployment_raw[[#This Row],[Column5]]), deployment_raw[[#This Row],[Column5]],"")</f>
        <v/>
      </c>
      <c r="F43" s="94" t="str">
        <f>IF(ISNUMBER(deployment_raw[[#This Row],[Column6]]), (deployment_raw[[#This Row],[Column6]] * IF($E$2="Deployment",deployment_raw[[#This Row],[Column5]],1)),"")</f>
        <v/>
      </c>
      <c r="G43" s="95" t="str">
        <f>IF(ISNUMBER(deployment_raw[[#This Row],[Column7]]), (deployment_raw[[#This Row],[Column7]] * IF($E$2="Deployment",deployment_raw[[#This Row],[Column5]],1))/1048576,"")</f>
        <v/>
      </c>
      <c r="H43" s="95" t="str">
        <f>IF(ISNUMBER(deployment_raw[[#This Row],[Column8]]), (deployment_raw[[#This Row],[Column8]]  * IF($E$2="Deployment",deployment_raw[[#This Row],[Column5]],1)),"")</f>
        <v/>
      </c>
      <c r="I43" s="96" t="str">
        <f>IF(ISNUMBER(deployment_raw[[#This Row],[Column9]]), (deployment_raw[[#This Row],[Column9]] * IF($E$2="Deployment",deployment_raw[[#This Row],[Column5]],1))/1048576,"")</f>
        <v/>
      </c>
      <c r="J43" s="122" t="str">
        <f>IF(ISNUMBER(deployment_raw[[#This Row],[Column10]]), (MIN(IF(N43&lt;&gt;"",N43,9999999999999)*1.1,deployment_raw[[#This Row],[Column10]] * IF($E$2="Deployment",deployment_raw[[#This Row],[Column5]],1))),"")</f>
        <v/>
      </c>
      <c r="K43" s="123" t="str">
        <f>IF(ISNUMBER(deployment_raw[[#This Row],[Column11]]), (MIN(IF(O43&lt;&gt;"",O43,9999999999999)*1.1,deployment_raw[[#This Row],[Column11]] * IF($E$2="Deployment",deployment_raw[[#This Row],[Column5]],1)/1048576)),"")</f>
        <v/>
      </c>
      <c r="L43" s="124" t="str">
        <f>IF(ISNUMBER(deployment_raw[[#This Row],[Column8]]),IF(OR(deployment_raw[[#This Row],[Column5]] &lt;&gt; 0,$E$2 &lt;&gt; "Deployment"), MAX(J43, P43, R43, ($L$2 * IF($E$2="Deployment",deployment_raw[[#This Row],[Column5]],1)),IF(T43&lt;&gt;"",VALUE(T43) * IF($E$2="Deployment",deployment_raw[[#This Row],[Column5]],1),0)), 0),"")</f>
        <v/>
      </c>
      <c r="M43" s="125" t="str">
        <f>IF(ISNUMBER(deployment_raw[[#This Row],[Column9]]),IF(OR(deployment_raw[[#This Row],[Column5]] &lt;&gt; 0,$E$2&lt;&gt;"Deployment"), MAX(K43, Q43, S43, ($M$2 * IF($E$2="Deployment",deployment_raw[[#This Row],[Column5]],1)),IF(U43&lt;&gt;"",VALUE(U43) * IF($E$2="Deployment",deployment_raw[[#This Row],[Column5]],1),0)), 0),"")</f>
        <v/>
      </c>
      <c r="N43" s="166" t="str">
        <f>IF(ISNUMBER(deployment_raw[[#This Row],[Column14]]), deployment_raw[[#This Row],[Column14]]/IF(OR($E$2="Deployment",deployment_raw[[#This Row],[Column5]]=0),1,deployment_raw[[#This Row],[Column5]]),"")</f>
        <v/>
      </c>
      <c r="O43" s="167" t="str">
        <f>IF(ISNUMBER(deployment_raw[[#This Row],[Column15]]), deployment_raw[[#This Row],[Column15]]/IF(OR($E$2="Deployment",deployment_raw[[#This Row],[Column5]]=0),1,deployment_raw[[#This Row],[Column5]])/1048576,"")</f>
        <v/>
      </c>
      <c r="P43" s="168" t="str">
        <f>IF(ISNUMBER(deployment_raw[[#This Row],[Column12]]), (MIN(IF(N43&lt;&gt;"",N43,9999999999999)*1.1,deployment_raw[[#This Row],[Column12]] * IF($E$2="Deployment",deployment_raw[[#This Row],[Column5]],1))*(1+$P$2)),"")</f>
        <v/>
      </c>
      <c r="Q43" s="167" t="str">
        <f>IF(ISNUMBER(deployment_raw[[#This Row],[Column13]]), (MIN(IF(O43&lt;&gt;"",O43,9999999999999)*1.1,deployment_raw[[#This Row],[Column13]] * IF($E$2="Deployment",deployment_raw[[#This Row],[Column5]],1)*(1+$Q$2)/1048576)),"")</f>
        <v/>
      </c>
      <c r="R43" s="169" t="str">
        <f>IF(ISNUMBER(deployment_raw[[#This Row],[Column8]]), (H43  * IF(N43&lt;&gt;0,$R$2,1)),"")</f>
        <v/>
      </c>
      <c r="S43" s="170" t="str">
        <f>IF(ISNUMBER(deployment_raw[[#This Row],[Column8]]), (I43  * IF(O43&lt;&gt;0,$S$2,1)),"")</f>
        <v/>
      </c>
      <c r="T43" s="202" t="str">
        <f>IF(AND(A43&lt;&gt;"",_xlfn.IFNA(MATCH(A43,'dynamic resource application '!$A$2:$A$100, 0),0)&lt;&gt;0), H43/(IF($E$2="Deployment",E43,1)),"")</f>
        <v/>
      </c>
      <c r="U43" s="211" t="str">
        <f>IF(AND(A43&lt;&gt;"",_xlfn.IFNA(MATCH(A43,'dynamic resource application '!$A$2:$A$100, 0),0)&lt;&gt;0), I43/(IF($E$2="Deployment",E43,1)),"")</f>
        <v/>
      </c>
    </row>
    <row r="44" spans="1:21" ht="15.75" customHeight="1" x14ac:dyDescent="0.25">
      <c r="A44" s="35" t="str">
        <f>IF(ISNONTEXT(deployment_raw[[#This Row],[Column1]]), "", deployment_raw[[#This Row],[Column1]])</f>
        <v/>
      </c>
      <c r="B44" s="36" t="str">
        <f>IF(ISNONTEXT(deployment_raw[[#This Row],[Column2]]), "", deployment_raw[[#This Row],[Column2]])</f>
        <v/>
      </c>
      <c r="C44" s="36" t="str">
        <f>IF(ISNONTEXT(deployment_raw[[#This Row],[Column3]]), "", deployment_raw[[#This Row],[Column3]])</f>
        <v/>
      </c>
      <c r="D44" s="36" t="str">
        <f>IF(ISNONTEXT(deployment_raw[[#This Row],[Column4]]), "", deployment_raw[[#This Row],[Column4]])</f>
        <v/>
      </c>
      <c r="E44" s="37" t="str">
        <f>IF(ISNUMBER(deployment_raw[[#This Row],[Column5]]), deployment_raw[[#This Row],[Column5]],"")</f>
        <v/>
      </c>
      <c r="F44" s="94" t="str">
        <f>IF(ISNUMBER(deployment_raw[[#This Row],[Column6]]), (deployment_raw[[#This Row],[Column6]] * IF($E$2="Deployment",deployment_raw[[#This Row],[Column5]],1)),"")</f>
        <v/>
      </c>
      <c r="G44" s="95" t="str">
        <f>IF(ISNUMBER(deployment_raw[[#This Row],[Column7]]), (deployment_raw[[#This Row],[Column7]] * IF($E$2="Deployment",deployment_raw[[#This Row],[Column5]],1))/1048576,"")</f>
        <v/>
      </c>
      <c r="H44" s="95" t="str">
        <f>IF(ISNUMBER(deployment_raw[[#This Row],[Column8]]), (deployment_raw[[#This Row],[Column8]]  * IF($E$2="Deployment",deployment_raw[[#This Row],[Column5]],1)),"")</f>
        <v/>
      </c>
      <c r="I44" s="96" t="str">
        <f>IF(ISNUMBER(deployment_raw[[#This Row],[Column9]]), (deployment_raw[[#This Row],[Column9]] * IF($E$2="Deployment",deployment_raw[[#This Row],[Column5]],1))/1048576,"")</f>
        <v/>
      </c>
      <c r="J44" s="122" t="str">
        <f>IF(ISNUMBER(deployment_raw[[#This Row],[Column10]]), (MIN(IF(N44&lt;&gt;"",N44,9999999999999)*1.1,deployment_raw[[#This Row],[Column10]] * IF($E$2="Deployment",deployment_raw[[#This Row],[Column5]],1))),"")</f>
        <v/>
      </c>
      <c r="K44" s="123" t="str">
        <f>IF(ISNUMBER(deployment_raw[[#This Row],[Column11]]), (MIN(IF(O44&lt;&gt;"",O44,9999999999999)*1.1,deployment_raw[[#This Row],[Column11]] * IF($E$2="Deployment",deployment_raw[[#This Row],[Column5]],1)/1048576)),"")</f>
        <v/>
      </c>
      <c r="L44" s="124" t="str">
        <f>IF(ISNUMBER(deployment_raw[[#This Row],[Column8]]),IF(OR(deployment_raw[[#This Row],[Column5]] &lt;&gt; 0,$E$2 &lt;&gt; "Deployment"), MAX(J44, P44, R44, ($L$2 * IF($E$2="Deployment",deployment_raw[[#This Row],[Column5]],1)),IF(T44&lt;&gt;"",VALUE(T44) * IF($E$2="Deployment",deployment_raw[[#This Row],[Column5]],1),0)), 0),"")</f>
        <v/>
      </c>
      <c r="M44" s="125" t="str">
        <f>IF(ISNUMBER(deployment_raw[[#This Row],[Column9]]),IF(OR(deployment_raw[[#This Row],[Column5]] &lt;&gt; 0,$E$2&lt;&gt;"Deployment"), MAX(K44, Q44, S44, ($M$2 * IF($E$2="Deployment",deployment_raw[[#This Row],[Column5]],1)),IF(U44&lt;&gt;"",VALUE(U44) * IF($E$2="Deployment",deployment_raw[[#This Row],[Column5]],1),0)), 0),"")</f>
        <v/>
      </c>
      <c r="N44" s="166" t="str">
        <f>IF(ISNUMBER(deployment_raw[[#This Row],[Column14]]), deployment_raw[[#This Row],[Column14]]/IF(OR($E$2="Deployment",deployment_raw[[#This Row],[Column5]]=0),1,deployment_raw[[#This Row],[Column5]]),"")</f>
        <v/>
      </c>
      <c r="O44" s="167" t="str">
        <f>IF(ISNUMBER(deployment_raw[[#This Row],[Column15]]), deployment_raw[[#This Row],[Column15]]/IF(OR($E$2="Deployment",deployment_raw[[#This Row],[Column5]]=0),1,deployment_raw[[#This Row],[Column5]])/1048576,"")</f>
        <v/>
      </c>
      <c r="P44" s="168" t="str">
        <f>IF(ISNUMBER(deployment_raw[[#This Row],[Column12]]), (MIN(IF(N44&lt;&gt;"",N44,9999999999999)*1.1,deployment_raw[[#This Row],[Column12]] * IF($E$2="Deployment",deployment_raw[[#This Row],[Column5]],1))*(1+$P$2)),"")</f>
        <v/>
      </c>
      <c r="Q44" s="167" t="str">
        <f>IF(ISNUMBER(deployment_raw[[#This Row],[Column13]]), (MIN(IF(O44&lt;&gt;"",O44,9999999999999)*1.1,deployment_raw[[#This Row],[Column13]] * IF($E$2="Deployment",deployment_raw[[#This Row],[Column5]],1)*(1+$Q$2)/1048576)),"")</f>
        <v/>
      </c>
      <c r="R44" s="169" t="str">
        <f>IF(ISNUMBER(deployment_raw[[#This Row],[Column8]]), (H44  * IF(N44&lt;&gt;0,$R$2,1)),"")</f>
        <v/>
      </c>
      <c r="S44" s="170" t="str">
        <f>IF(ISNUMBER(deployment_raw[[#This Row],[Column8]]), (I44  * IF(O44&lt;&gt;0,$S$2,1)),"")</f>
        <v/>
      </c>
      <c r="T44" s="202" t="str">
        <f>IF(AND(A44&lt;&gt;"",_xlfn.IFNA(MATCH(A44,'dynamic resource application '!$A$2:$A$100, 0),0)&lt;&gt;0), H44/(IF($E$2="Deployment",E44,1)),"")</f>
        <v/>
      </c>
      <c r="U44" s="211" t="str">
        <f>IF(AND(A44&lt;&gt;"",_xlfn.IFNA(MATCH(A44,'dynamic resource application '!$A$2:$A$100, 0),0)&lt;&gt;0), I44/(IF($E$2="Deployment",E44,1)),"")</f>
        <v/>
      </c>
    </row>
    <row r="45" spans="1:21" ht="15.75" customHeight="1" x14ac:dyDescent="0.25">
      <c r="A45" s="35" t="str">
        <f>IF(ISNONTEXT(deployment_raw[[#This Row],[Column1]]), "", deployment_raw[[#This Row],[Column1]])</f>
        <v/>
      </c>
      <c r="B45" s="36" t="str">
        <f>IF(ISNONTEXT(deployment_raw[[#This Row],[Column2]]), "", deployment_raw[[#This Row],[Column2]])</f>
        <v/>
      </c>
      <c r="C45" s="36" t="str">
        <f>IF(ISNONTEXT(deployment_raw[[#This Row],[Column3]]), "", deployment_raw[[#This Row],[Column3]])</f>
        <v/>
      </c>
      <c r="D45" s="36" t="str">
        <f>IF(ISNONTEXT(deployment_raw[[#This Row],[Column4]]), "", deployment_raw[[#This Row],[Column4]])</f>
        <v/>
      </c>
      <c r="E45" s="37" t="str">
        <f>IF(ISNUMBER(deployment_raw[[#This Row],[Column5]]), deployment_raw[[#This Row],[Column5]],"")</f>
        <v/>
      </c>
      <c r="F45" s="94" t="str">
        <f>IF(ISNUMBER(deployment_raw[[#This Row],[Column6]]), (deployment_raw[[#This Row],[Column6]] * IF($E$2="Deployment",deployment_raw[[#This Row],[Column5]],1)),"")</f>
        <v/>
      </c>
      <c r="G45" s="95" t="str">
        <f>IF(ISNUMBER(deployment_raw[[#This Row],[Column7]]), (deployment_raw[[#This Row],[Column7]] * IF($E$2="Deployment",deployment_raw[[#This Row],[Column5]],1))/1048576,"")</f>
        <v/>
      </c>
      <c r="H45" s="95" t="str">
        <f>IF(ISNUMBER(deployment_raw[[#This Row],[Column8]]), (deployment_raw[[#This Row],[Column8]]  * IF($E$2="Deployment",deployment_raw[[#This Row],[Column5]],1)),"")</f>
        <v/>
      </c>
      <c r="I45" s="96" t="str">
        <f>IF(ISNUMBER(deployment_raw[[#This Row],[Column9]]), (deployment_raw[[#This Row],[Column9]] * IF($E$2="Deployment",deployment_raw[[#This Row],[Column5]],1))/1048576,"")</f>
        <v/>
      </c>
      <c r="J45" s="122" t="str">
        <f>IF(ISNUMBER(deployment_raw[[#This Row],[Column10]]), (MIN(IF(N45&lt;&gt;"",N45,9999999999999)*1.1,deployment_raw[[#This Row],[Column10]] * IF($E$2="Deployment",deployment_raw[[#This Row],[Column5]],1))),"")</f>
        <v/>
      </c>
      <c r="K45" s="123" t="str">
        <f>IF(ISNUMBER(deployment_raw[[#This Row],[Column11]]), (MIN(IF(O45&lt;&gt;"",O45,9999999999999)*1.1,deployment_raw[[#This Row],[Column11]] * IF($E$2="Deployment",deployment_raw[[#This Row],[Column5]],1)/1048576)),"")</f>
        <v/>
      </c>
      <c r="L45" s="124" t="str">
        <f>IF(ISNUMBER(deployment_raw[[#This Row],[Column8]]),IF(OR(deployment_raw[[#This Row],[Column5]] &lt;&gt; 0,$E$2 &lt;&gt; "Deployment"), MAX(J45, P45, R45, ($L$2 * IF($E$2="Deployment",deployment_raw[[#This Row],[Column5]],1)),IF(T45&lt;&gt;"",VALUE(T45) * IF($E$2="Deployment",deployment_raw[[#This Row],[Column5]],1),0)), 0),"")</f>
        <v/>
      </c>
      <c r="M45" s="125" t="str">
        <f>IF(ISNUMBER(deployment_raw[[#This Row],[Column9]]),IF(OR(deployment_raw[[#This Row],[Column5]] &lt;&gt; 0,$E$2&lt;&gt;"Deployment"), MAX(K45, Q45, S45, ($M$2 * IF($E$2="Deployment",deployment_raw[[#This Row],[Column5]],1)),IF(U45&lt;&gt;"",VALUE(U45) * IF($E$2="Deployment",deployment_raw[[#This Row],[Column5]],1),0)), 0),"")</f>
        <v/>
      </c>
      <c r="N45" s="166" t="str">
        <f>IF(ISNUMBER(deployment_raw[[#This Row],[Column14]]), deployment_raw[[#This Row],[Column14]]/IF(OR($E$2="Deployment",deployment_raw[[#This Row],[Column5]]=0),1,deployment_raw[[#This Row],[Column5]]),"")</f>
        <v/>
      </c>
      <c r="O45" s="167" t="str">
        <f>IF(ISNUMBER(deployment_raw[[#This Row],[Column15]]), deployment_raw[[#This Row],[Column15]]/IF(OR($E$2="Deployment",deployment_raw[[#This Row],[Column5]]=0),1,deployment_raw[[#This Row],[Column5]])/1048576,"")</f>
        <v/>
      </c>
      <c r="P45" s="168" t="str">
        <f>IF(ISNUMBER(deployment_raw[[#This Row],[Column12]]), (MIN(IF(N45&lt;&gt;"",N45,9999999999999)*1.1,deployment_raw[[#This Row],[Column12]] * IF($E$2="Deployment",deployment_raw[[#This Row],[Column5]],1))*(1+$P$2)),"")</f>
        <v/>
      </c>
      <c r="Q45" s="167" t="str">
        <f>IF(ISNUMBER(deployment_raw[[#This Row],[Column13]]), (MIN(IF(O45&lt;&gt;"",O45,9999999999999)*1.1,deployment_raw[[#This Row],[Column13]] * IF($E$2="Deployment",deployment_raw[[#This Row],[Column5]],1)*(1+$Q$2)/1048576)),"")</f>
        <v/>
      </c>
      <c r="R45" s="169" t="str">
        <f>IF(ISNUMBER(deployment_raw[[#This Row],[Column8]]), (H45  * IF(N45&lt;&gt;0,$R$2,1)),"")</f>
        <v/>
      </c>
      <c r="S45" s="170" t="str">
        <f>IF(ISNUMBER(deployment_raw[[#This Row],[Column8]]), (I45  * IF(O45&lt;&gt;0,$S$2,1)),"")</f>
        <v/>
      </c>
      <c r="T45" s="202" t="str">
        <f>IF(AND(A45&lt;&gt;"",_xlfn.IFNA(MATCH(A45,'dynamic resource application '!$A$2:$A$100, 0),0)&lt;&gt;0), H45/(IF($E$2="Deployment",E45,1)),"")</f>
        <v/>
      </c>
      <c r="U45" s="211" t="str">
        <f>IF(AND(A45&lt;&gt;"",_xlfn.IFNA(MATCH(A45,'dynamic resource application '!$A$2:$A$100, 0),0)&lt;&gt;0), I45/(IF($E$2="Deployment",E45,1)),"")</f>
        <v/>
      </c>
    </row>
    <row r="46" spans="1:21" ht="15.75" customHeight="1" x14ac:dyDescent="0.25">
      <c r="A46" s="35" t="str">
        <f>IF(ISNONTEXT(deployment_raw[[#This Row],[Column1]]), "", deployment_raw[[#This Row],[Column1]])</f>
        <v/>
      </c>
      <c r="B46" s="36" t="str">
        <f>IF(ISNONTEXT(deployment_raw[[#This Row],[Column2]]), "", deployment_raw[[#This Row],[Column2]])</f>
        <v/>
      </c>
      <c r="C46" s="36" t="str">
        <f>IF(ISNONTEXT(deployment_raw[[#This Row],[Column3]]), "", deployment_raw[[#This Row],[Column3]])</f>
        <v/>
      </c>
      <c r="D46" s="36" t="str">
        <f>IF(ISNONTEXT(deployment_raw[[#This Row],[Column4]]), "", deployment_raw[[#This Row],[Column4]])</f>
        <v/>
      </c>
      <c r="E46" s="37" t="str">
        <f>IF(ISNUMBER(deployment_raw[[#This Row],[Column5]]), deployment_raw[[#This Row],[Column5]],"")</f>
        <v/>
      </c>
      <c r="F46" s="94" t="str">
        <f>IF(ISNUMBER(deployment_raw[[#This Row],[Column6]]), (deployment_raw[[#This Row],[Column6]] * IF($E$2="Deployment",deployment_raw[[#This Row],[Column5]],1)),"")</f>
        <v/>
      </c>
      <c r="G46" s="95" t="str">
        <f>IF(ISNUMBER(deployment_raw[[#This Row],[Column7]]), (deployment_raw[[#This Row],[Column7]] * IF($E$2="Deployment",deployment_raw[[#This Row],[Column5]],1))/1048576,"")</f>
        <v/>
      </c>
      <c r="H46" s="95" t="str">
        <f>IF(ISNUMBER(deployment_raw[[#This Row],[Column8]]), (deployment_raw[[#This Row],[Column8]]  * IF($E$2="Deployment",deployment_raw[[#This Row],[Column5]],1)),"")</f>
        <v/>
      </c>
      <c r="I46" s="96" t="str">
        <f>IF(ISNUMBER(deployment_raw[[#This Row],[Column9]]), (deployment_raw[[#This Row],[Column9]] * IF($E$2="Deployment",deployment_raw[[#This Row],[Column5]],1))/1048576,"")</f>
        <v/>
      </c>
      <c r="J46" s="122" t="str">
        <f>IF(ISNUMBER(deployment_raw[[#This Row],[Column10]]), (MIN(IF(N46&lt;&gt;"",N46,9999999999999)*1.1,deployment_raw[[#This Row],[Column10]] * IF($E$2="Deployment",deployment_raw[[#This Row],[Column5]],1))),"")</f>
        <v/>
      </c>
      <c r="K46" s="123" t="str">
        <f>IF(ISNUMBER(deployment_raw[[#This Row],[Column11]]), (MIN(IF(O46&lt;&gt;"",O46,9999999999999)*1.1,deployment_raw[[#This Row],[Column11]] * IF($E$2="Deployment",deployment_raw[[#This Row],[Column5]],1)/1048576)),"")</f>
        <v/>
      </c>
      <c r="L46" s="124" t="str">
        <f>IF(ISNUMBER(deployment_raw[[#This Row],[Column8]]),IF(OR(deployment_raw[[#This Row],[Column5]] &lt;&gt; 0,$E$2 &lt;&gt; "Deployment"), MAX(J46, P46, R46, ($L$2 * IF($E$2="Deployment",deployment_raw[[#This Row],[Column5]],1)),IF(T46&lt;&gt;"",VALUE(T46) * IF($E$2="Deployment",deployment_raw[[#This Row],[Column5]],1),0)), 0),"")</f>
        <v/>
      </c>
      <c r="M46" s="125" t="str">
        <f>IF(ISNUMBER(deployment_raw[[#This Row],[Column9]]),IF(OR(deployment_raw[[#This Row],[Column5]] &lt;&gt; 0,$E$2&lt;&gt;"Deployment"), MAX(K46, Q46, S46, ($M$2 * IF($E$2="Deployment",deployment_raw[[#This Row],[Column5]],1)),IF(U46&lt;&gt;"",VALUE(U46) * IF($E$2="Deployment",deployment_raw[[#This Row],[Column5]],1),0)), 0),"")</f>
        <v/>
      </c>
      <c r="N46" s="166" t="str">
        <f>IF(ISNUMBER(deployment_raw[[#This Row],[Column14]]), deployment_raw[[#This Row],[Column14]]/IF(OR($E$2="Deployment",deployment_raw[[#This Row],[Column5]]=0),1,deployment_raw[[#This Row],[Column5]]),"")</f>
        <v/>
      </c>
      <c r="O46" s="167" t="str">
        <f>IF(ISNUMBER(deployment_raw[[#This Row],[Column15]]), deployment_raw[[#This Row],[Column15]]/IF(OR($E$2="Deployment",deployment_raw[[#This Row],[Column5]]=0),1,deployment_raw[[#This Row],[Column5]])/1048576,"")</f>
        <v/>
      </c>
      <c r="P46" s="168" t="str">
        <f>IF(ISNUMBER(deployment_raw[[#This Row],[Column12]]), (MIN(IF(N46&lt;&gt;"",N46,9999999999999)*1.1,deployment_raw[[#This Row],[Column12]] * IF($E$2="Deployment",deployment_raw[[#This Row],[Column5]],1))*(1+$P$2)),"")</f>
        <v/>
      </c>
      <c r="Q46" s="167" t="str">
        <f>IF(ISNUMBER(deployment_raw[[#This Row],[Column13]]), (MIN(IF(O46&lt;&gt;"",O46,9999999999999)*1.1,deployment_raw[[#This Row],[Column13]] * IF($E$2="Deployment",deployment_raw[[#This Row],[Column5]],1)*(1+$Q$2)/1048576)),"")</f>
        <v/>
      </c>
      <c r="R46" s="169" t="str">
        <f>IF(ISNUMBER(deployment_raw[[#This Row],[Column8]]), (H46  * IF(N46&lt;&gt;0,$R$2,1)),"")</f>
        <v/>
      </c>
      <c r="S46" s="170" t="str">
        <f>IF(ISNUMBER(deployment_raw[[#This Row],[Column8]]), (I46  * IF(O46&lt;&gt;0,$S$2,1)),"")</f>
        <v/>
      </c>
      <c r="T46" s="202" t="str">
        <f>IF(AND(A46&lt;&gt;"",_xlfn.IFNA(MATCH(A46,'dynamic resource application '!$A$2:$A$100, 0),0)&lt;&gt;0), H46/(IF($E$2="Deployment",E46,1)),"")</f>
        <v/>
      </c>
      <c r="U46" s="211" t="str">
        <f>IF(AND(A46&lt;&gt;"",_xlfn.IFNA(MATCH(A46,'dynamic resource application '!$A$2:$A$100, 0),0)&lt;&gt;0), I46/(IF($E$2="Deployment",E46,1)),"")</f>
        <v/>
      </c>
    </row>
    <row r="47" spans="1:21" ht="15.75" customHeight="1" x14ac:dyDescent="0.25">
      <c r="A47" s="35" t="str">
        <f>IF(ISNONTEXT(deployment_raw[[#This Row],[Column1]]), "", deployment_raw[[#This Row],[Column1]])</f>
        <v/>
      </c>
      <c r="B47" s="36" t="str">
        <f>IF(ISNONTEXT(deployment_raw[[#This Row],[Column2]]), "", deployment_raw[[#This Row],[Column2]])</f>
        <v/>
      </c>
      <c r="C47" s="36" t="str">
        <f>IF(ISNONTEXT(deployment_raw[[#This Row],[Column3]]), "", deployment_raw[[#This Row],[Column3]])</f>
        <v/>
      </c>
      <c r="D47" s="36" t="str">
        <f>IF(ISNONTEXT(deployment_raw[[#This Row],[Column4]]), "", deployment_raw[[#This Row],[Column4]])</f>
        <v/>
      </c>
      <c r="E47" s="37" t="str">
        <f>IF(ISNUMBER(deployment_raw[[#This Row],[Column5]]), deployment_raw[[#This Row],[Column5]],"")</f>
        <v/>
      </c>
      <c r="F47" s="94" t="str">
        <f>IF(ISNUMBER(deployment_raw[[#This Row],[Column6]]), (deployment_raw[[#This Row],[Column6]] * IF($E$2="Deployment",deployment_raw[[#This Row],[Column5]],1)),"")</f>
        <v/>
      </c>
      <c r="G47" s="95" t="str">
        <f>IF(ISNUMBER(deployment_raw[[#This Row],[Column7]]), (deployment_raw[[#This Row],[Column7]] * IF($E$2="Deployment",deployment_raw[[#This Row],[Column5]],1))/1048576,"")</f>
        <v/>
      </c>
      <c r="H47" s="95" t="str">
        <f>IF(ISNUMBER(deployment_raw[[#This Row],[Column8]]), (deployment_raw[[#This Row],[Column8]]  * IF($E$2="Deployment",deployment_raw[[#This Row],[Column5]],1)),"")</f>
        <v/>
      </c>
      <c r="I47" s="96" t="str">
        <f>IF(ISNUMBER(deployment_raw[[#This Row],[Column9]]), (deployment_raw[[#This Row],[Column9]] * IF($E$2="Deployment",deployment_raw[[#This Row],[Column5]],1))/1048576,"")</f>
        <v/>
      </c>
      <c r="J47" s="122" t="str">
        <f>IF(ISNUMBER(deployment_raw[[#This Row],[Column10]]), (MIN(IF(N47&lt;&gt;"",N47,9999999999999)*1.1,deployment_raw[[#This Row],[Column10]] * IF($E$2="Deployment",deployment_raw[[#This Row],[Column5]],1))),"")</f>
        <v/>
      </c>
      <c r="K47" s="123" t="str">
        <f>IF(ISNUMBER(deployment_raw[[#This Row],[Column11]]), (MIN(IF(O47&lt;&gt;"",O47,9999999999999)*1.1,deployment_raw[[#This Row],[Column11]] * IF($E$2="Deployment",deployment_raw[[#This Row],[Column5]],1)/1048576)),"")</f>
        <v/>
      </c>
      <c r="L47" s="124" t="str">
        <f>IF(ISNUMBER(deployment_raw[[#This Row],[Column8]]),IF(OR(deployment_raw[[#This Row],[Column5]] &lt;&gt; 0,$E$2 &lt;&gt; "Deployment"), MAX(J47, P47, R47, ($L$2 * IF($E$2="Deployment",deployment_raw[[#This Row],[Column5]],1)),IF(T47&lt;&gt;"",VALUE(T47) * IF($E$2="Deployment",deployment_raw[[#This Row],[Column5]],1),0)), 0),"")</f>
        <v/>
      </c>
      <c r="M47" s="125" t="str">
        <f>IF(ISNUMBER(deployment_raw[[#This Row],[Column9]]),IF(OR(deployment_raw[[#This Row],[Column5]] &lt;&gt; 0,$E$2&lt;&gt;"Deployment"), MAX(K47, Q47, S47, ($M$2 * IF($E$2="Deployment",deployment_raw[[#This Row],[Column5]],1)),IF(U47&lt;&gt;"",VALUE(U47) * IF($E$2="Deployment",deployment_raw[[#This Row],[Column5]],1),0)), 0),"")</f>
        <v/>
      </c>
      <c r="N47" s="166" t="str">
        <f>IF(ISNUMBER(deployment_raw[[#This Row],[Column14]]), deployment_raw[[#This Row],[Column14]]/IF(OR($E$2="Deployment",deployment_raw[[#This Row],[Column5]]=0),1,deployment_raw[[#This Row],[Column5]]),"")</f>
        <v/>
      </c>
      <c r="O47" s="167" t="str">
        <f>IF(ISNUMBER(deployment_raw[[#This Row],[Column15]]), deployment_raw[[#This Row],[Column15]]/IF(OR($E$2="Deployment",deployment_raw[[#This Row],[Column5]]=0),1,deployment_raw[[#This Row],[Column5]])/1048576,"")</f>
        <v/>
      </c>
      <c r="P47" s="168" t="str">
        <f>IF(ISNUMBER(deployment_raw[[#This Row],[Column12]]), (MIN(IF(N47&lt;&gt;"",N47,9999999999999)*1.1,deployment_raw[[#This Row],[Column12]] * IF($E$2="Deployment",deployment_raw[[#This Row],[Column5]],1))*(1+$P$2)),"")</f>
        <v/>
      </c>
      <c r="Q47" s="167" t="str">
        <f>IF(ISNUMBER(deployment_raw[[#This Row],[Column13]]), (MIN(IF(O47&lt;&gt;"",O47,9999999999999)*1.1,deployment_raw[[#This Row],[Column13]] * IF($E$2="Deployment",deployment_raw[[#This Row],[Column5]],1)*(1+$Q$2)/1048576)),"")</f>
        <v/>
      </c>
      <c r="R47" s="169" t="str">
        <f>IF(ISNUMBER(deployment_raw[[#This Row],[Column8]]), (H47  * IF(N47&lt;&gt;0,$R$2,1)),"")</f>
        <v/>
      </c>
      <c r="S47" s="170" t="str">
        <f>IF(ISNUMBER(deployment_raw[[#This Row],[Column8]]), (I47  * IF(O47&lt;&gt;0,$S$2,1)),"")</f>
        <v/>
      </c>
      <c r="T47" s="202" t="str">
        <f>IF(AND(A47&lt;&gt;"",_xlfn.IFNA(MATCH(A47,'dynamic resource application '!$A$2:$A$100, 0),0)&lt;&gt;0), H47/(IF($E$2="Deployment",E47,1)),"")</f>
        <v/>
      </c>
      <c r="U47" s="211" t="str">
        <f>IF(AND(A47&lt;&gt;"",_xlfn.IFNA(MATCH(A47,'dynamic resource application '!$A$2:$A$100, 0),0)&lt;&gt;0), I47/(IF($E$2="Deployment",E47,1)),"")</f>
        <v/>
      </c>
    </row>
    <row r="48" spans="1:21" ht="15.75" customHeight="1" x14ac:dyDescent="0.25">
      <c r="A48" s="35" t="str">
        <f>IF(ISNONTEXT(deployment_raw[[#This Row],[Column1]]), "", deployment_raw[[#This Row],[Column1]])</f>
        <v/>
      </c>
      <c r="B48" s="36" t="str">
        <f>IF(ISNONTEXT(deployment_raw[[#This Row],[Column2]]), "", deployment_raw[[#This Row],[Column2]])</f>
        <v/>
      </c>
      <c r="C48" s="36" t="str">
        <f>IF(ISNONTEXT(deployment_raw[[#This Row],[Column3]]), "", deployment_raw[[#This Row],[Column3]])</f>
        <v/>
      </c>
      <c r="D48" s="36" t="str">
        <f>IF(ISNONTEXT(deployment_raw[[#This Row],[Column4]]), "", deployment_raw[[#This Row],[Column4]])</f>
        <v/>
      </c>
      <c r="E48" s="37" t="str">
        <f>IF(ISNUMBER(deployment_raw[[#This Row],[Column5]]), deployment_raw[[#This Row],[Column5]],"")</f>
        <v/>
      </c>
      <c r="F48" s="94" t="str">
        <f>IF(ISNUMBER(deployment_raw[[#This Row],[Column6]]), (deployment_raw[[#This Row],[Column6]] * IF($E$2="Deployment",deployment_raw[[#This Row],[Column5]],1)),"")</f>
        <v/>
      </c>
      <c r="G48" s="95" t="str">
        <f>IF(ISNUMBER(deployment_raw[[#This Row],[Column7]]), (deployment_raw[[#This Row],[Column7]] * IF($E$2="Deployment",deployment_raw[[#This Row],[Column5]],1))/1048576,"")</f>
        <v/>
      </c>
      <c r="H48" s="95" t="str">
        <f>IF(ISNUMBER(deployment_raw[[#This Row],[Column8]]), (deployment_raw[[#This Row],[Column8]]  * IF($E$2="Deployment",deployment_raw[[#This Row],[Column5]],1)),"")</f>
        <v/>
      </c>
      <c r="I48" s="96" t="str">
        <f>IF(ISNUMBER(deployment_raw[[#This Row],[Column9]]), (deployment_raw[[#This Row],[Column9]] * IF($E$2="Deployment",deployment_raw[[#This Row],[Column5]],1))/1048576,"")</f>
        <v/>
      </c>
      <c r="J48" s="122" t="str">
        <f>IF(ISNUMBER(deployment_raw[[#This Row],[Column10]]), (MIN(IF(N48&lt;&gt;"",N48,9999999999999)*1.1,deployment_raw[[#This Row],[Column10]] * IF($E$2="Deployment",deployment_raw[[#This Row],[Column5]],1))),"")</f>
        <v/>
      </c>
      <c r="K48" s="123" t="str">
        <f>IF(ISNUMBER(deployment_raw[[#This Row],[Column11]]), (MIN(IF(O48&lt;&gt;"",O48,9999999999999)*1.1,deployment_raw[[#This Row],[Column11]] * IF($E$2="Deployment",deployment_raw[[#This Row],[Column5]],1)/1048576)),"")</f>
        <v/>
      </c>
      <c r="L48" s="124" t="str">
        <f>IF(ISNUMBER(deployment_raw[[#This Row],[Column8]]),IF(OR(deployment_raw[[#This Row],[Column5]] &lt;&gt; 0,$E$2 &lt;&gt; "Deployment"), MAX(J48, P48, R48, ($L$2 * IF($E$2="Deployment",deployment_raw[[#This Row],[Column5]],1)),IF(T48&lt;&gt;"",VALUE(T48) * IF($E$2="Deployment",deployment_raw[[#This Row],[Column5]],1),0)), 0),"")</f>
        <v/>
      </c>
      <c r="M48" s="125" t="str">
        <f>IF(ISNUMBER(deployment_raw[[#This Row],[Column9]]),IF(OR(deployment_raw[[#This Row],[Column5]] &lt;&gt; 0,$E$2&lt;&gt;"Deployment"), MAX(K48, Q48, S48, ($M$2 * IF($E$2="Deployment",deployment_raw[[#This Row],[Column5]],1)),IF(U48&lt;&gt;"",VALUE(U48) * IF($E$2="Deployment",deployment_raw[[#This Row],[Column5]],1),0)), 0),"")</f>
        <v/>
      </c>
      <c r="N48" s="166" t="str">
        <f>IF(ISNUMBER(deployment_raw[[#This Row],[Column14]]), deployment_raw[[#This Row],[Column14]]/IF(OR($E$2="Deployment",deployment_raw[[#This Row],[Column5]]=0),1,deployment_raw[[#This Row],[Column5]]),"")</f>
        <v/>
      </c>
      <c r="O48" s="167" t="str">
        <f>IF(ISNUMBER(deployment_raw[[#This Row],[Column15]]), deployment_raw[[#This Row],[Column15]]/IF(OR($E$2="Deployment",deployment_raw[[#This Row],[Column5]]=0),1,deployment_raw[[#This Row],[Column5]])/1048576,"")</f>
        <v/>
      </c>
      <c r="P48" s="168" t="str">
        <f>IF(ISNUMBER(deployment_raw[[#This Row],[Column12]]), (MIN(IF(N48&lt;&gt;"",N48,9999999999999)*1.1,deployment_raw[[#This Row],[Column12]] * IF($E$2="Deployment",deployment_raw[[#This Row],[Column5]],1))*(1+$P$2)),"")</f>
        <v/>
      </c>
      <c r="Q48" s="167" t="str">
        <f>IF(ISNUMBER(deployment_raw[[#This Row],[Column13]]), (MIN(IF(O48&lt;&gt;"",O48,9999999999999)*1.1,deployment_raw[[#This Row],[Column13]] * IF($E$2="Deployment",deployment_raw[[#This Row],[Column5]],1)*(1+$Q$2)/1048576)),"")</f>
        <v/>
      </c>
      <c r="R48" s="169" t="str">
        <f>IF(ISNUMBER(deployment_raw[[#This Row],[Column8]]), (H48  * IF(N48&lt;&gt;0,$R$2,1)),"")</f>
        <v/>
      </c>
      <c r="S48" s="170" t="str">
        <f>IF(ISNUMBER(deployment_raw[[#This Row],[Column8]]), (I48  * IF(O48&lt;&gt;0,$S$2,1)),"")</f>
        <v/>
      </c>
      <c r="T48" s="202" t="str">
        <f>IF(AND(A48&lt;&gt;"",_xlfn.IFNA(MATCH(A48,'dynamic resource application '!$A$2:$A$100, 0),0)&lt;&gt;0), H48/(IF($E$2="Deployment",E48,1)),"")</f>
        <v/>
      </c>
      <c r="U48" s="211" t="str">
        <f>IF(AND(A48&lt;&gt;"",_xlfn.IFNA(MATCH(A48,'dynamic resource application '!$A$2:$A$100, 0),0)&lt;&gt;0), I48/(IF($E$2="Deployment",E48,1)),"")</f>
        <v/>
      </c>
    </row>
    <row r="49" spans="1:21" ht="15.75" customHeight="1" x14ac:dyDescent="0.25">
      <c r="A49" s="35" t="str">
        <f>IF(ISNONTEXT(deployment_raw[[#This Row],[Column1]]), "", deployment_raw[[#This Row],[Column1]])</f>
        <v/>
      </c>
      <c r="B49" s="36" t="str">
        <f>IF(ISNONTEXT(deployment_raw[[#This Row],[Column2]]), "", deployment_raw[[#This Row],[Column2]])</f>
        <v/>
      </c>
      <c r="C49" s="36" t="str">
        <f>IF(ISNONTEXT(deployment_raw[[#This Row],[Column3]]), "", deployment_raw[[#This Row],[Column3]])</f>
        <v/>
      </c>
      <c r="D49" s="36" t="str">
        <f>IF(ISNONTEXT(deployment_raw[[#This Row],[Column4]]), "", deployment_raw[[#This Row],[Column4]])</f>
        <v/>
      </c>
      <c r="E49" s="37" t="str">
        <f>IF(ISNUMBER(deployment_raw[[#This Row],[Column5]]), deployment_raw[[#This Row],[Column5]],"")</f>
        <v/>
      </c>
      <c r="F49" s="94" t="str">
        <f>IF(ISNUMBER(deployment_raw[[#This Row],[Column6]]), (deployment_raw[[#This Row],[Column6]] * IF($E$2="Deployment",deployment_raw[[#This Row],[Column5]],1)),"")</f>
        <v/>
      </c>
      <c r="G49" s="95" t="str">
        <f>IF(ISNUMBER(deployment_raw[[#This Row],[Column7]]), (deployment_raw[[#This Row],[Column7]] * IF($E$2="Deployment",deployment_raw[[#This Row],[Column5]],1))/1048576,"")</f>
        <v/>
      </c>
      <c r="H49" s="95" t="str">
        <f>IF(ISNUMBER(deployment_raw[[#This Row],[Column8]]), (deployment_raw[[#This Row],[Column8]]  * IF($E$2="Deployment",deployment_raw[[#This Row],[Column5]],1)),"")</f>
        <v/>
      </c>
      <c r="I49" s="96" t="str">
        <f>IF(ISNUMBER(deployment_raw[[#This Row],[Column9]]), (deployment_raw[[#This Row],[Column9]] * IF($E$2="Deployment",deployment_raw[[#This Row],[Column5]],1))/1048576,"")</f>
        <v/>
      </c>
      <c r="J49" s="122" t="str">
        <f>IF(ISNUMBER(deployment_raw[[#This Row],[Column10]]), (MIN(IF(N49&lt;&gt;"",N49,9999999999999)*1.1,deployment_raw[[#This Row],[Column10]] * IF($E$2="Deployment",deployment_raw[[#This Row],[Column5]],1))),"")</f>
        <v/>
      </c>
      <c r="K49" s="123" t="str">
        <f>IF(ISNUMBER(deployment_raw[[#This Row],[Column11]]), (MIN(IF(O49&lt;&gt;"",O49,9999999999999)*1.1,deployment_raw[[#This Row],[Column11]] * IF($E$2="Deployment",deployment_raw[[#This Row],[Column5]],1)/1048576)),"")</f>
        <v/>
      </c>
      <c r="L49" s="124" t="str">
        <f>IF(ISNUMBER(deployment_raw[[#This Row],[Column8]]),IF(OR(deployment_raw[[#This Row],[Column5]] &lt;&gt; 0,$E$2 &lt;&gt; "Deployment"), MAX(J49, P49, R49, ($L$2 * IF($E$2="Deployment",deployment_raw[[#This Row],[Column5]],1)),IF(T49&lt;&gt;"",VALUE(T49) * IF($E$2="Deployment",deployment_raw[[#This Row],[Column5]],1),0)), 0),"")</f>
        <v/>
      </c>
      <c r="M49" s="125" t="str">
        <f>IF(ISNUMBER(deployment_raw[[#This Row],[Column9]]),IF(OR(deployment_raw[[#This Row],[Column5]] &lt;&gt; 0,$E$2&lt;&gt;"Deployment"), MAX(K49, Q49, S49, ($M$2 * IF($E$2="Deployment",deployment_raw[[#This Row],[Column5]],1)),IF(U49&lt;&gt;"",VALUE(U49) * IF($E$2="Deployment",deployment_raw[[#This Row],[Column5]],1),0)), 0),"")</f>
        <v/>
      </c>
      <c r="N49" s="166" t="str">
        <f>IF(ISNUMBER(deployment_raw[[#This Row],[Column14]]), deployment_raw[[#This Row],[Column14]]/IF(OR($E$2="Deployment",deployment_raw[[#This Row],[Column5]]=0),1,deployment_raw[[#This Row],[Column5]]),"")</f>
        <v/>
      </c>
      <c r="O49" s="167" t="str">
        <f>IF(ISNUMBER(deployment_raw[[#This Row],[Column15]]), deployment_raw[[#This Row],[Column15]]/IF(OR($E$2="Deployment",deployment_raw[[#This Row],[Column5]]=0),1,deployment_raw[[#This Row],[Column5]])/1048576,"")</f>
        <v/>
      </c>
      <c r="P49" s="168" t="str">
        <f>IF(ISNUMBER(deployment_raw[[#This Row],[Column12]]), (MIN(IF(N49&lt;&gt;"",N49,9999999999999)*1.1,deployment_raw[[#This Row],[Column12]] * IF($E$2="Deployment",deployment_raw[[#This Row],[Column5]],1))*(1+$P$2)),"")</f>
        <v/>
      </c>
      <c r="Q49" s="167" t="str">
        <f>IF(ISNUMBER(deployment_raw[[#This Row],[Column13]]), (MIN(IF(O49&lt;&gt;"",O49,9999999999999)*1.1,deployment_raw[[#This Row],[Column13]] * IF($E$2="Deployment",deployment_raw[[#This Row],[Column5]],1)*(1+$Q$2)/1048576)),"")</f>
        <v/>
      </c>
      <c r="R49" s="169" t="str">
        <f>IF(ISNUMBER(deployment_raw[[#This Row],[Column8]]), (H49  * IF(N49&lt;&gt;0,$R$2,1)),"")</f>
        <v/>
      </c>
      <c r="S49" s="170" t="str">
        <f>IF(ISNUMBER(deployment_raw[[#This Row],[Column8]]), (I49  * IF(O49&lt;&gt;0,$S$2,1)),"")</f>
        <v/>
      </c>
      <c r="T49" s="202" t="str">
        <f>IF(AND(A49&lt;&gt;"",_xlfn.IFNA(MATCH(A49,'dynamic resource application '!$A$2:$A$100, 0),0)&lt;&gt;0), H49/(IF($E$2="Deployment",E49,1)),"")</f>
        <v/>
      </c>
      <c r="U49" s="211" t="str">
        <f>IF(AND(A49&lt;&gt;"",_xlfn.IFNA(MATCH(A49,'dynamic resource application '!$A$2:$A$100, 0),0)&lt;&gt;0), I49/(IF($E$2="Deployment",E49,1)),"")</f>
        <v/>
      </c>
    </row>
    <row r="50" spans="1:21" ht="15.75" customHeight="1" x14ac:dyDescent="0.25">
      <c r="A50" s="35" t="str">
        <f>IF(ISNONTEXT(deployment_raw[[#This Row],[Column1]]), "", deployment_raw[[#This Row],[Column1]])</f>
        <v/>
      </c>
      <c r="B50" s="36" t="str">
        <f>IF(ISNONTEXT(deployment_raw[[#This Row],[Column2]]), "", deployment_raw[[#This Row],[Column2]])</f>
        <v/>
      </c>
      <c r="C50" s="36" t="str">
        <f>IF(ISNONTEXT(deployment_raw[[#This Row],[Column3]]), "", deployment_raw[[#This Row],[Column3]])</f>
        <v/>
      </c>
      <c r="D50" s="36" t="str">
        <f>IF(ISNONTEXT(deployment_raw[[#This Row],[Column4]]), "", deployment_raw[[#This Row],[Column4]])</f>
        <v/>
      </c>
      <c r="E50" s="37" t="str">
        <f>IF(ISNUMBER(deployment_raw[[#This Row],[Column5]]), deployment_raw[[#This Row],[Column5]],"")</f>
        <v/>
      </c>
      <c r="F50" s="94" t="str">
        <f>IF(ISNUMBER(deployment_raw[[#This Row],[Column6]]), (deployment_raw[[#This Row],[Column6]] * IF($E$2="Deployment",deployment_raw[[#This Row],[Column5]],1)),"")</f>
        <v/>
      </c>
      <c r="G50" s="95" t="str">
        <f>IF(ISNUMBER(deployment_raw[[#This Row],[Column7]]), (deployment_raw[[#This Row],[Column7]] * IF($E$2="Deployment",deployment_raw[[#This Row],[Column5]],1))/1048576,"")</f>
        <v/>
      </c>
      <c r="H50" s="95" t="str">
        <f>IF(ISNUMBER(deployment_raw[[#This Row],[Column8]]), (deployment_raw[[#This Row],[Column8]]  * IF($E$2="Deployment",deployment_raw[[#This Row],[Column5]],1)),"")</f>
        <v/>
      </c>
      <c r="I50" s="96" t="str">
        <f>IF(ISNUMBER(deployment_raw[[#This Row],[Column9]]), (deployment_raw[[#This Row],[Column9]] * IF($E$2="Deployment",deployment_raw[[#This Row],[Column5]],1))/1048576,"")</f>
        <v/>
      </c>
      <c r="J50" s="122" t="str">
        <f>IF(ISNUMBER(deployment_raw[[#This Row],[Column10]]), (MIN(IF(N50&lt;&gt;"",N50,9999999999999)*1.1,deployment_raw[[#This Row],[Column10]] * IF($E$2="Deployment",deployment_raw[[#This Row],[Column5]],1))),"")</f>
        <v/>
      </c>
      <c r="K50" s="123" t="str">
        <f>IF(ISNUMBER(deployment_raw[[#This Row],[Column11]]), (MIN(IF(O50&lt;&gt;"",O50,9999999999999)*1.1,deployment_raw[[#This Row],[Column11]] * IF($E$2="Deployment",deployment_raw[[#This Row],[Column5]],1)/1048576)),"")</f>
        <v/>
      </c>
      <c r="L50" s="124" t="str">
        <f>IF(ISNUMBER(deployment_raw[[#This Row],[Column8]]),IF(OR(deployment_raw[[#This Row],[Column5]] &lt;&gt; 0,$E$2 &lt;&gt; "Deployment"), MAX(J50, P50, R50, ($L$2 * IF($E$2="Deployment",deployment_raw[[#This Row],[Column5]],1)),IF(T50&lt;&gt;"",VALUE(T50) * IF($E$2="Deployment",deployment_raw[[#This Row],[Column5]],1),0)), 0),"")</f>
        <v/>
      </c>
      <c r="M50" s="125" t="str">
        <f>IF(ISNUMBER(deployment_raw[[#This Row],[Column9]]),IF(OR(deployment_raw[[#This Row],[Column5]] &lt;&gt; 0,$E$2&lt;&gt;"Deployment"), MAX(K50, Q50, S50, ($M$2 * IF($E$2="Deployment",deployment_raw[[#This Row],[Column5]],1)),IF(U50&lt;&gt;"",VALUE(U50) * IF($E$2="Deployment",deployment_raw[[#This Row],[Column5]],1),0)), 0),"")</f>
        <v/>
      </c>
      <c r="N50" s="166" t="str">
        <f>IF(ISNUMBER(deployment_raw[[#This Row],[Column14]]), deployment_raw[[#This Row],[Column14]]/IF(OR($E$2="Deployment",deployment_raw[[#This Row],[Column5]]=0),1,deployment_raw[[#This Row],[Column5]]),"")</f>
        <v/>
      </c>
      <c r="O50" s="167" t="str">
        <f>IF(ISNUMBER(deployment_raw[[#This Row],[Column15]]), deployment_raw[[#This Row],[Column15]]/IF(OR($E$2="Deployment",deployment_raw[[#This Row],[Column5]]=0),1,deployment_raw[[#This Row],[Column5]])/1048576,"")</f>
        <v/>
      </c>
      <c r="P50" s="168" t="str">
        <f>IF(ISNUMBER(deployment_raw[[#This Row],[Column12]]), (MIN(IF(N50&lt;&gt;"",N50,9999999999999)*1.1,deployment_raw[[#This Row],[Column12]] * IF($E$2="Deployment",deployment_raw[[#This Row],[Column5]],1))*(1+$P$2)),"")</f>
        <v/>
      </c>
      <c r="Q50" s="167" t="str">
        <f>IF(ISNUMBER(deployment_raw[[#This Row],[Column13]]), (MIN(IF(O50&lt;&gt;"",O50,9999999999999)*1.1,deployment_raw[[#This Row],[Column13]] * IF($E$2="Deployment",deployment_raw[[#This Row],[Column5]],1)*(1+$Q$2)/1048576)),"")</f>
        <v/>
      </c>
      <c r="R50" s="169" t="str">
        <f>IF(ISNUMBER(deployment_raw[[#This Row],[Column8]]), (H50  * IF(N50&lt;&gt;0,$R$2,1)),"")</f>
        <v/>
      </c>
      <c r="S50" s="170" t="str">
        <f>IF(ISNUMBER(deployment_raw[[#This Row],[Column8]]), (I50  * IF(O50&lt;&gt;0,$S$2,1)),"")</f>
        <v/>
      </c>
      <c r="T50" s="202" t="str">
        <f>IF(AND(A50&lt;&gt;"",_xlfn.IFNA(MATCH(A50,'dynamic resource application '!$A$2:$A$100, 0),0)&lt;&gt;0), H50/(IF($E$2="Deployment",E50,1)),"")</f>
        <v/>
      </c>
      <c r="U50" s="211" t="str">
        <f>IF(AND(A50&lt;&gt;"",_xlfn.IFNA(MATCH(A50,'dynamic resource application '!$A$2:$A$100, 0),0)&lt;&gt;0), I50/(IF($E$2="Deployment",E50,1)),"")</f>
        <v/>
      </c>
    </row>
    <row r="51" spans="1:21" ht="15.75" customHeight="1" x14ac:dyDescent="0.25">
      <c r="A51" s="35" t="str">
        <f>IF(ISNONTEXT(deployment_raw[[#This Row],[Column1]]), "", deployment_raw[[#This Row],[Column1]])</f>
        <v/>
      </c>
      <c r="B51" s="36" t="str">
        <f>IF(ISNONTEXT(deployment_raw[[#This Row],[Column2]]), "", deployment_raw[[#This Row],[Column2]])</f>
        <v/>
      </c>
      <c r="C51" s="36" t="str">
        <f>IF(ISNONTEXT(deployment_raw[[#This Row],[Column3]]), "", deployment_raw[[#This Row],[Column3]])</f>
        <v/>
      </c>
      <c r="D51" s="36" t="str">
        <f>IF(ISNONTEXT(deployment_raw[[#This Row],[Column4]]), "", deployment_raw[[#This Row],[Column4]])</f>
        <v/>
      </c>
      <c r="E51" s="37" t="str">
        <f>IF(ISNUMBER(deployment_raw[[#This Row],[Column5]]), deployment_raw[[#This Row],[Column5]],"")</f>
        <v/>
      </c>
      <c r="F51" s="94" t="str">
        <f>IF(ISNUMBER(deployment_raw[[#This Row],[Column6]]), (deployment_raw[[#This Row],[Column6]] * IF($E$2="Deployment",deployment_raw[[#This Row],[Column5]],1)),"")</f>
        <v/>
      </c>
      <c r="G51" s="95" t="str">
        <f>IF(ISNUMBER(deployment_raw[[#This Row],[Column7]]), (deployment_raw[[#This Row],[Column7]] * IF($E$2="Deployment",deployment_raw[[#This Row],[Column5]],1))/1048576,"")</f>
        <v/>
      </c>
      <c r="H51" s="95" t="str">
        <f>IF(ISNUMBER(deployment_raw[[#This Row],[Column8]]), (deployment_raw[[#This Row],[Column8]]  * IF($E$2="Deployment",deployment_raw[[#This Row],[Column5]],1)),"")</f>
        <v/>
      </c>
      <c r="I51" s="96" t="str">
        <f>IF(ISNUMBER(deployment_raw[[#This Row],[Column9]]), (deployment_raw[[#This Row],[Column9]] * IF($E$2="Deployment",deployment_raw[[#This Row],[Column5]],1))/1048576,"")</f>
        <v/>
      </c>
      <c r="J51" s="122" t="str">
        <f>IF(ISNUMBER(deployment_raw[[#This Row],[Column10]]), (MIN(IF(N51&lt;&gt;"",N51,9999999999999)*1.1,deployment_raw[[#This Row],[Column10]] * IF($E$2="Deployment",deployment_raw[[#This Row],[Column5]],1))),"")</f>
        <v/>
      </c>
      <c r="K51" s="123" t="str">
        <f>IF(ISNUMBER(deployment_raw[[#This Row],[Column11]]), (MIN(IF(O51&lt;&gt;"",O51,9999999999999)*1.1,deployment_raw[[#This Row],[Column11]] * IF($E$2="Deployment",deployment_raw[[#This Row],[Column5]],1)/1048576)),"")</f>
        <v/>
      </c>
      <c r="L51" s="124" t="str">
        <f>IF(ISNUMBER(deployment_raw[[#This Row],[Column8]]),IF(OR(deployment_raw[[#This Row],[Column5]] &lt;&gt; 0,$E$2 &lt;&gt; "Deployment"), MAX(J51, P51, R51, ($L$2 * IF($E$2="Deployment",deployment_raw[[#This Row],[Column5]],1)),IF(T51&lt;&gt;"",VALUE(T51) * IF($E$2="Deployment",deployment_raw[[#This Row],[Column5]],1),0)), 0),"")</f>
        <v/>
      </c>
      <c r="M51" s="125" t="str">
        <f>IF(ISNUMBER(deployment_raw[[#This Row],[Column9]]),IF(OR(deployment_raw[[#This Row],[Column5]] &lt;&gt; 0,$E$2&lt;&gt;"Deployment"), MAX(K51, Q51, S51, ($M$2 * IF($E$2="Deployment",deployment_raw[[#This Row],[Column5]],1)),IF(U51&lt;&gt;"",VALUE(U51) * IF($E$2="Deployment",deployment_raw[[#This Row],[Column5]],1),0)), 0),"")</f>
        <v/>
      </c>
      <c r="N51" s="166" t="str">
        <f>IF(ISNUMBER(deployment_raw[[#This Row],[Column14]]), deployment_raw[[#This Row],[Column14]]/IF(OR($E$2="Deployment",deployment_raw[[#This Row],[Column5]]=0),1,deployment_raw[[#This Row],[Column5]]),"")</f>
        <v/>
      </c>
      <c r="O51" s="167" t="str">
        <f>IF(ISNUMBER(deployment_raw[[#This Row],[Column15]]), deployment_raw[[#This Row],[Column15]]/IF(OR($E$2="Deployment",deployment_raw[[#This Row],[Column5]]=0),1,deployment_raw[[#This Row],[Column5]])/1048576,"")</f>
        <v/>
      </c>
      <c r="P51" s="168" t="str">
        <f>IF(ISNUMBER(deployment_raw[[#This Row],[Column12]]), (MIN(IF(N51&lt;&gt;"",N51,9999999999999)*1.1,deployment_raw[[#This Row],[Column12]] * IF($E$2="Deployment",deployment_raw[[#This Row],[Column5]],1))*(1+$P$2)),"")</f>
        <v/>
      </c>
      <c r="Q51" s="167" t="str">
        <f>IF(ISNUMBER(deployment_raw[[#This Row],[Column13]]), (MIN(IF(O51&lt;&gt;"",O51,9999999999999)*1.1,deployment_raw[[#This Row],[Column13]] * IF($E$2="Deployment",deployment_raw[[#This Row],[Column5]],1)*(1+$Q$2)/1048576)),"")</f>
        <v/>
      </c>
      <c r="R51" s="169" t="str">
        <f>IF(ISNUMBER(deployment_raw[[#This Row],[Column8]]), (H51  * IF(N51&lt;&gt;0,$R$2,1)),"")</f>
        <v/>
      </c>
      <c r="S51" s="170" t="str">
        <f>IF(ISNUMBER(deployment_raw[[#This Row],[Column8]]), (I51  * IF(O51&lt;&gt;0,$S$2,1)),"")</f>
        <v/>
      </c>
      <c r="T51" s="202" t="str">
        <f>IF(AND(A51&lt;&gt;"",_xlfn.IFNA(MATCH(A51,'dynamic resource application '!$A$2:$A$100, 0),0)&lt;&gt;0), H51/(IF($E$2="Deployment",E51,1)),"")</f>
        <v/>
      </c>
      <c r="U51" s="211" t="str">
        <f>IF(AND(A51&lt;&gt;"",_xlfn.IFNA(MATCH(A51,'dynamic resource application '!$A$2:$A$100, 0),0)&lt;&gt;0), I51/(IF($E$2="Deployment",E51,1)),"")</f>
        <v/>
      </c>
    </row>
    <row r="52" spans="1:21" ht="15.75" customHeight="1" x14ac:dyDescent="0.25">
      <c r="A52" s="35" t="str">
        <f>IF(ISNONTEXT(deployment_raw[[#This Row],[Column1]]), "", deployment_raw[[#This Row],[Column1]])</f>
        <v/>
      </c>
      <c r="B52" s="36" t="str">
        <f>IF(ISNONTEXT(deployment_raw[[#This Row],[Column2]]), "", deployment_raw[[#This Row],[Column2]])</f>
        <v/>
      </c>
      <c r="C52" s="36" t="str">
        <f>IF(ISNONTEXT(deployment_raw[[#This Row],[Column3]]), "", deployment_raw[[#This Row],[Column3]])</f>
        <v/>
      </c>
      <c r="D52" s="36" t="str">
        <f>IF(ISNONTEXT(deployment_raw[[#This Row],[Column4]]), "", deployment_raw[[#This Row],[Column4]])</f>
        <v/>
      </c>
      <c r="E52" s="37" t="str">
        <f>IF(ISNUMBER(deployment_raw[[#This Row],[Column5]]), deployment_raw[[#This Row],[Column5]],"")</f>
        <v/>
      </c>
      <c r="F52" s="94" t="str">
        <f>IF(ISNUMBER(deployment_raw[[#This Row],[Column6]]), (deployment_raw[[#This Row],[Column6]] * IF($E$2="Deployment",deployment_raw[[#This Row],[Column5]],1)),"")</f>
        <v/>
      </c>
      <c r="G52" s="95" t="str">
        <f>IF(ISNUMBER(deployment_raw[[#This Row],[Column7]]), (deployment_raw[[#This Row],[Column7]] * IF($E$2="Deployment",deployment_raw[[#This Row],[Column5]],1))/1048576,"")</f>
        <v/>
      </c>
      <c r="H52" s="95" t="str">
        <f>IF(ISNUMBER(deployment_raw[[#This Row],[Column8]]), (deployment_raw[[#This Row],[Column8]]  * IF($E$2="Deployment",deployment_raw[[#This Row],[Column5]],1)),"")</f>
        <v/>
      </c>
      <c r="I52" s="96" t="str">
        <f>IF(ISNUMBER(deployment_raw[[#This Row],[Column9]]), (deployment_raw[[#This Row],[Column9]] * IF($E$2="Deployment",deployment_raw[[#This Row],[Column5]],1))/1048576,"")</f>
        <v/>
      </c>
      <c r="J52" s="122" t="str">
        <f>IF(ISNUMBER(deployment_raw[[#This Row],[Column10]]), (MIN(IF(N52&lt;&gt;"",N52,9999999999999)*1.1,deployment_raw[[#This Row],[Column10]] * IF($E$2="Deployment",deployment_raw[[#This Row],[Column5]],1))),"")</f>
        <v/>
      </c>
      <c r="K52" s="123" t="str">
        <f>IF(ISNUMBER(deployment_raw[[#This Row],[Column11]]), (MIN(IF(O52&lt;&gt;"",O52,9999999999999)*1.1,deployment_raw[[#This Row],[Column11]] * IF($E$2="Deployment",deployment_raw[[#This Row],[Column5]],1)/1048576)),"")</f>
        <v/>
      </c>
      <c r="L52" s="124" t="str">
        <f>IF(ISNUMBER(deployment_raw[[#This Row],[Column8]]),IF(OR(deployment_raw[[#This Row],[Column5]] &lt;&gt; 0,$E$2 &lt;&gt; "Deployment"), MAX(J52, P52, R52, ($L$2 * IF($E$2="Deployment",deployment_raw[[#This Row],[Column5]],1)),IF(T52&lt;&gt;"",VALUE(T52) * IF($E$2="Deployment",deployment_raw[[#This Row],[Column5]],1),0)), 0),"")</f>
        <v/>
      </c>
      <c r="M52" s="125" t="str">
        <f>IF(ISNUMBER(deployment_raw[[#This Row],[Column9]]),IF(OR(deployment_raw[[#This Row],[Column5]] &lt;&gt; 0,$E$2&lt;&gt;"Deployment"), MAX(K52, Q52, S52, ($M$2 * IF($E$2="Deployment",deployment_raw[[#This Row],[Column5]],1)),IF(U52&lt;&gt;"",VALUE(U52) * IF($E$2="Deployment",deployment_raw[[#This Row],[Column5]],1),0)), 0),"")</f>
        <v/>
      </c>
      <c r="N52" s="166" t="str">
        <f>IF(ISNUMBER(deployment_raw[[#This Row],[Column14]]), deployment_raw[[#This Row],[Column14]]/IF(OR($E$2="Deployment",deployment_raw[[#This Row],[Column5]]=0),1,deployment_raw[[#This Row],[Column5]]),"")</f>
        <v/>
      </c>
      <c r="O52" s="167" t="str">
        <f>IF(ISNUMBER(deployment_raw[[#This Row],[Column15]]), deployment_raw[[#This Row],[Column15]]/IF(OR($E$2="Deployment",deployment_raw[[#This Row],[Column5]]=0),1,deployment_raw[[#This Row],[Column5]])/1048576,"")</f>
        <v/>
      </c>
      <c r="P52" s="168" t="str">
        <f>IF(ISNUMBER(deployment_raw[[#This Row],[Column12]]), (MIN(IF(N52&lt;&gt;"",N52,9999999999999)*1.1,deployment_raw[[#This Row],[Column12]] * IF($E$2="Deployment",deployment_raw[[#This Row],[Column5]],1))*(1+$P$2)),"")</f>
        <v/>
      </c>
      <c r="Q52" s="167" t="str">
        <f>IF(ISNUMBER(deployment_raw[[#This Row],[Column13]]), (MIN(IF(O52&lt;&gt;"",O52,9999999999999)*1.1,deployment_raw[[#This Row],[Column13]] * IF($E$2="Deployment",deployment_raw[[#This Row],[Column5]],1)*(1+$Q$2)/1048576)),"")</f>
        <v/>
      </c>
      <c r="R52" s="169" t="str">
        <f>IF(ISNUMBER(deployment_raw[[#This Row],[Column8]]), (H52  * IF(N52&lt;&gt;0,$R$2,1)),"")</f>
        <v/>
      </c>
      <c r="S52" s="170" t="str">
        <f>IF(ISNUMBER(deployment_raw[[#This Row],[Column8]]), (I52  * IF(O52&lt;&gt;0,$S$2,1)),"")</f>
        <v/>
      </c>
      <c r="T52" s="202" t="str">
        <f>IF(AND(A52&lt;&gt;"",_xlfn.IFNA(MATCH(A52,'dynamic resource application '!$A$2:$A$100, 0),0)&lt;&gt;0), H52/(IF($E$2="Deployment",E52,1)),"")</f>
        <v/>
      </c>
      <c r="U52" s="211" t="str">
        <f>IF(AND(A52&lt;&gt;"",_xlfn.IFNA(MATCH(A52,'dynamic resource application '!$A$2:$A$100, 0),0)&lt;&gt;0), I52/(IF($E$2="Deployment",E52,1)),"")</f>
        <v/>
      </c>
    </row>
    <row r="53" spans="1:21" ht="15.75" customHeight="1" x14ac:dyDescent="0.25">
      <c r="A53" s="35" t="str">
        <f>IF(ISNONTEXT(deployment_raw[[#This Row],[Column1]]), "", deployment_raw[[#This Row],[Column1]])</f>
        <v/>
      </c>
      <c r="B53" s="36" t="str">
        <f>IF(ISNONTEXT(deployment_raw[[#This Row],[Column2]]), "", deployment_raw[[#This Row],[Column2]])</f>
        <v/>
      </c>
      <c r="C53" s="36" t="str">
        <f>IF(ISNONTEXT(deployment_raw[[#This Row],[Column3]]), "", deployment_raw[[#This Row],[Column3]])</f>
        <v/>
      </c>
      <c r="D53" s="36" t="str">
        <f>IF(ISNONTEXT(deployment_raw[[#This Row],[Column4]]), "", deployment_raw[[#This Row],[Column4]])</f>
        <v/>
      </c>
      <c r="E53" s="37" t="str">
        <f>IF(ISNUMBER(deployment_raw[[#This Row],[Column5]]), deployment_raw[[#This Row],[Column5]],"")</f>
        <v/>
      </c>
      <c r="F53" s="94" t="str">
        <f>IF(ISNUMBER(deployment_raw[[#This Row],[Column6]]), (deployment_raw[[#This Row],[Column6]] * IF($E$2="Deployment",deployment_raw[[#This Row],[Column5]],1)),"")</f>
        <v/>
      </c>
      <c r="G53" s="95" t="str">
        <f>IF(ISNUMBER(deployment_raw[[#This Row],[Column7]]), (deployment_raw[[#This Row],[Column7]] * IF($E$2="Deployment",deployment_raw[[#This Row],[Column5]],1))/1048576,"")</f>
        <v/>
      </c>
      <c r="H53" s="95" t="str">
        <f>IF(ISNUMBER(deployment_raw[[#This Row],[Column8]]), (deployment_raw[[#This Row],[Column8]]  * IF($E$2="Deployment",deployment_raw[[#This Row],[Column5]],1)),"")</f>
        <v/>
      </c>
      <c r="I53" s="96" t="str">
        <f>IF(ISNUMBER(deployment_raw[[#This Row],[Column9]]), (deployment_raw[[#This Row],[Column9]] * IF($E$2="Deployment",deployment_raw[[#This Row],[Column5]],1))/1048576,"")</f>
        <v/>
      </c>
      <c r="J53" s="122" t="str">
        <f>IF(ISNUMBER(deployment_raw[[#This Row],[Column10]]), (MIN(IF(N53&lt;&gt;"",N53,9999999999999)*1.1,deployment_raw[[#This Row],[Column10]] * IF($E$2="Deployment",deployment_raw[[#This Row],[Column5]],1))),"")</f>
        <v/>
      </c>
      <c r="K53" s="123" t="str">
        <f>IF(ISNUMBER(deployment_raw[[#This Row],[Column11]]), (MIN(IF(O53&lt;&gt;"",O53,9999999999999)*1.1,deployment_raw[[#This Row],[Column11]] * IF($E$2="Deployment",deployment_raw[[#This Row],[Column5]],1)/1048576)),"")</f>
        <v/>
      </c>
      <c r="L53" s="124" t="str">
        <f>IF(ISNUMBER(deployment_raw[[#This Row],[Column8]]),IF(OR(deployment_raw[[#This Row],[Column5]] &lt;&gt; 0,$E$2 &lt;&gt; "Deployment"), MAX(J53, P53, R53, ($L$2 * IF($E$2="Deployment",deployment_raw[[#This Row],[Column5]],1)),IF(T53&lt;&gt;"",VALUE(T53) * IF($E$2="Deployment",deployment_raw[[#This Row],[Column5]],1),0)), 0),"")</f>
        <v/>
      </c>
      <c r="M53" s="125" t="str">
        <f>IF(ISNUMBER(deployment_raw[[#This Row],[Column9]]),IF(OR(deployment_raw[[#This Row],[Column5]] &lt;&gt; 0,$E$2&lt;&gt;"Deployment"), MAX(K53, Q53, S53, ($M$2 * IF($E$2="Deployment",deployment_raw[[#This Row],[Column5]],1)),IF(U53&lt;&gt;"",VALUE(U53) * IF($E$2="Deployment",deployment_raw[[#This Row],[Column5]],1),0)), 0),"")</f>
        <v/>
      </c>
      <c r="N53" s="166" t="str">
        <f>IF(ISNUMBER(deployment_raw[[#This Row],[Column14]]), deployment_raw[[#This Row],[Column14]]/IF(OR($E$2="Deployment",deployment_raw[[#This Row],[Column5]]=0),1,deployment_raw[[#This Row],[Column5]]),"")</f>
        <v/>
      </c>
      <c r="O53" s="167" t="str">
        <f>IF(ISNUMBER(deployment_raw[[#This Row],[Column15]]), deployment_raw[[#This Row],[Column15]]/IF(OR($E$2="Deployment",deployment_raw[[#This Row],[Column5]]=0),1,deployment_raw[[#This Row],[Column5]])/1048576,"")</f>
        <v/>
      </c>
      <c r="P53" s="168" t="str">
        <f>IF(ISNUMBER(deployment_raw[[#This Row],[Column12]]), (MIN(IF(N53&lt;&gt;"",N53,9999999999999)*1.1,deployment_raw[[#This Row],[Column12]] * IF($E$2="Deployment",deployment_raw[[#This Row],[Column5]],1))*(1+$P$2)),"")</f>
        <v/>
      </c>
      <c r="Q53" s="167" t="str">
        <f>IF(ISNUMBER(deployment_raw[[#This Row],[Column13]]), (MIN(IF(O53&lt;&gt;"",O53,9999999999999)*1.1,deployment_raw[[#This Row],[Column13]] * IF($E$2="Deployment",deployment_raw[[#This Row],[Column5]],1)*(1+$Q$2)/1048576)),"")</f>
        <v/>
      </c>
      <c r="R53" s="169" t="str">
        <f>IF(ISNUMBER(deployment_raw[[#This Row],[Column8]]), (H53  * IF(N53&lt;&gt;0,$R$2,1)),"")</f>
        <v/>
      </c>
      <c r="S53" s="170" t="str">
        <f>IF(ISNUMBER(deployment_raw[[#This Row],[Column8]]), (I53  * IF(O53&lt;&gt;0,$S$2,1)),"")</f>
        <v/>
      </c>
      <c r="T53" s="202" t="str">
        <f>IF(AND(A53&lt;&gt;"",_xlfn.IFNA(MATCH(A53,'dynamic resource application '!$A$2:$A$100, 0),0)&lt;&gt;0), H53/(IF($E$2="Deployment",E53,1)),"")</f>
        <v/>
      </c>
      <c r="U53" s="211" t="str">
        <f>IF(AND(A53&lt;&gt;"",_xlfn.IFNA(MATCH(A53,'dynamic resource application '!$A$2:$A$100, 0),0)&lt;&gt;0), I53/(IF($E$2="Deployment",E53,1)),"")</f>
        <v/>
      </c>
    </row>
    <row r="54" spans="1:21" ht="15.75" customHeight="1" x14ac:dyDescent="0.25">
      <c r="A54" s="35" t="str">
        <f>IF(ISNONTEXT(deployment_raw[[#This Row],[Column1]]), "", deployment_raw[[#This Row],[Column1]])</f>
        <v/>
      </c>
      <c r="B54" s="36" t="str">
        <f>IF(ISNONTEXT(deployment_raw[[#This Row],[Column2]]), "", deployment_raw[[#This Row],[Column2]])</f>
        <v/>
      </c>
      <c r="C54" s="36" t="str">
        <f>IF(ISNONTEXT(deployment_raw[[#This Row],[Column3]]), "", deployment_raw[[#This Row],[Column3]])</f>
        <v/>
      </c>
      <c r="D54" s="36" t="str">
        <f>IF(ISNONTEXT(deployment_raw[[#This Row],[Column4]]), "", deployment_raw[[#This Row],[Column4]])</f>
        <v/>
      </c>
      <c r="E54" s="37" t="str">
        <f>IF(ISNUMBER(deployment_raw[[#This Row],[Column5]]), deployment_raw[[#This Row],[Column5]],"")</f>
        <v/>
      </c>
      <c r="F54" s="94" t="str">
        <f>IF(ISNUMBER(deployment_raw[[#This Row],[Column6]]), (deployment_raw[[#This Row],[Column6]] * IF($E$2="Deployment",deployment_raw[[#This Row],[Column5]],1)),"")</f>
        <v/>
      </c>
      <c r="G54" s="95" t="str">
        <f>IF(ISNUMBER(deployment_raw[[#This Row],[Column7]]), (deployment_raw[[#This Row],[Column7]] * IF($E$2="Deployment",deployment_raw[[#This Row],[Column5]],1))/1048576,"")</f>
        <v/>
      </c>
      <c r="H54" s="95" t="str">
        <f>IF(ISNUMBER(deployment_raw[[#This Row],[Column8]]), (deployment_raw[[#This Row],[Column8]]  * IF($E$2="Deployment",deployment_raw[[#This Row],[Column5]],1)),"")</f>
        <v/>
      </c>
      <c r="I54" s="96" t="str">
        <f>IF(ISNUMBER(deployment_raw[[#This Row],[Column9]]), (deployment_raw[[#This Row],[Column9]] * IF($E$2="Deployment",deployment_raw[[#This Row],[Column5]],1))/1048576,"")</f>
        <v/>
      </c>
      <c r="J54" s="122" t="str">
        <f>IF(ISNUMBER(deployment_raw[[#This Row],[Column10]]), (MIN(IF(N54&lt;&gt;"",N54,9999999999999)*1.1,deployment_raw[[#This Row],[Column10]] * IF($E$2="Deployment",deployment_raw[[#This Row],[Column5]],1))),"")</f>
        <v/>
      </c>
      <c r="K54" s="123" t="str">
        <f>IF(ISNUMBER(deployment_raw[[#This Row],[Column11]]), (MIN(IF(O54&lt;&gt;"",O54,9999999999999)*1.1,deployment_raw[[#This Row],[Column11]] * IF($E$2="Deployment",deployment_raw[[#This Row],[Column5]],1)/1048576)),"")</f>
        <v/>
      </c>
      <c r="L54" s="124" t="str">
        <f>IF(ISNUMBER(deployment_raw[[#This Row],[Column8]]),IF(OR(deployment_raw[[#This Row],[Column5]] &lt;&gt; 0,$E$2 &lt;&gt; "Deployment"), MAX(J54, P54, R54, ($L$2 * IF($E$2="Deployment",deployment_raw[[#This Row],[Column5]],1)),IF(T54&lt;&gt;"",VALUE(T54) * IF($E$2="Deployment",deployment_raw[[#This Row],[Column5]],1),0)), 0),"")</f>
        <v/>
      </c>
      <c r="M54" s="125" t="str">
        <f>IF(ISNUMBER(deployment_raw[[#This Row],[Column9]]),IF(OR(deployment_raw[[#This Row],[Column5]] &lt;&gt; 0,$E$2&lt;&gt;"Deployment"), MAX(K54, Q54, S54, ($M$2 * IF($E$2="Deployment",deployment_raw[[#This Row],[Column5]],1)),IF(U54&lt;&gt;"",VALUE(U54) * IF($E$2="Deployment",deployment_raw[[#This Row],[Column5]],1),0)), 0),"")</f>
        <v/>
      </c>
      <c r="N54" s="166" t="str">
        <f>IF(ISNUMBER(deployment_raw[[#This Row],[Column14]]), deployment_raw[[#This Row],[Column14]]/IF(OR($E$2="Deployment",deployment_raw[[#This Row],[Column5]]=0),1,deployment_raw[[#This Row],[Column5]]),"")</f>
        <v/>
      </c>
      <c r="O54" s="167" t="str">
        <f>IF(ISNUMBER(deployment_raw[[#This Row],[Column15]]), deployment_raw[[#This Row],[Column15]]/IF(OR($E$2="Deployment",deployment_raw[[#This Row],[Column5]]=0),1,deployment_raw[[#This Row],[Column5]])/1048576,"")</f>
        <v/>
      </c>
      <c r="P54" s="168" t="str">
        <f>IF(ISNUMBER(deployment_raw[[#This Row],[Column12]]), (MIN(IF(N54&lt;&gt;"",N54,9999999999999)*1.1,deployment_raw[[#This Row],[Column12]] * IF($E$2="Deployment",deployment_raw[[#This Row],[Column5]],1))*(1+$P$2)),"")</f>
        <v/>
      </c>
      <c r="Q54" s="167" t="str">
        <f>IF(ISNUMBER(deployment_raw[[#This Row],[Column13]]), (MIN(IF(O54&lt;&gt;"",O54,9999999999999)*1.1,deployment_raw[[#This Row],[Column13]] * IF($E$2="Deployment",deployment_raw[[#This Row],[Column5]],1)*(1+$Q$2)/1048576)),"")</f>
        <v/>
      </c>
      <c r="R54" s="169" t="str">
        <f>IF(ISNUMBER(deployment_raw[[#This Row],[Column8]]), (H54  * IF(N54&lt;&gt;0,$R$2,1)),"")</f>
        <v/>
      </c>
      <c r="S54" s="170" t="str">
        <f>IF(ISNUMBER(deployment_raw[[#This Row],[Column8]]), (I54  * IF(O54&lt;&gt;0,$S$2,1)),"")</f>
        <v/>
      </c>
      <c r="T54" s="202" t="str">
        <f>IF(AND(A54&lt;&gt;"",_xlfn.IFNA(MATCH(A54,'dynamic resource application '!$A$2:$A$100, 0),0)&lt;&gt;0), H54/(IF($E$2="Deployment",E54,1)),"")</f>
        <v/>
      </c>
      <c r="U54" s="211" t="str">
        <f>IF(AND(A54&lt;&gt;"",_xlfn.IFNA(MATCH(A54,'dynamic resource application '!$A$2:$A$100, 0),0)&lt;&gt;0), I54/(IF($E$2="Deployment",E54,1)),"")</f>
        <v/>
      </c>
    </row>
    <row r="55" spans="1:21" ht="15.75" customHeight="1" x14ac:dyDescent="0.25">
      <c r="A55" s="35" t="str">
        <f>IF(ISNONTEXT(deployment_raw[[#This Row],[Column1]]), "", deployment_raw[[#This Row],[Column1]])</f>
        <v/>
      </c>
      <c r="B55" s="36" t="str">
        <f>IF(ISNONTEXT(deployment_raw[[#This Row],[Column2]]), "", deployment_raw[[#This Row],[Column2]])</f>
        <v/>
      </c>
      <c r="C55" s="36" t="str">
        <f>IF(ISNONTEXT(deployment_raw[[#This Row],[Column3]]), "", deployment_raw[[#This Row],[Column3]])</f>
        <v/>
      </c>
      <c r="D55" s="36" t="str">
        <f>IF(ISNONTEXT(deployment_raw[[#This Row],[Column4]]), "", deployment_raw[[#This Row],[Column4]])</f>
        <v/>
      </c>
      <c r="E55" s="37" t="str">
        <f>IF(ISNUMBER(deployment_raw[[#This Row],[Column5]]), deployment_raw[[#This Row],[Column5]],"")</f>
        <v/>
      </c>
      <c r="F55" s="94" t="str">
        <f>IF(ISNUMBER(deployment_raw[[#This Row],[Column6]]), (deployment_raw[[#This Row],[Column6]] * IF($E$2="Deployment",deployment_raw[[#This Row],[Column5]],1)),"")</f>
        <v/>
      </c>
      <c r="G55" s="95" t="str">
        <f>IF(ISNUMBER(deployment_raw[[#This Row],[Column7]]), (deployment_raw[[#This Row],[Column7]] * IF($E$2="Deployment",deployment_raw[[#This Row],[Column5]],1))/1048576,"")</f>
        <v/>
      </c>
      <c r="H55" s="95" t="str">
        <f>IF(ISNUMBER(deployment_raw[[#This Row],[Column8]]), (deployment_raw[[#This Row],[Column8]]  * IF($E$2="Deployment",deployment_raw[[#This Row],[Column5]],1)),"")</f>
        <v/>
      </c>
      <c r="I55" s="96" t="str">
        <f>IF(ISNUMBER(deployment_raw[[#This Row],[Column9]]), (deployment_raw[[#This Row],[Column9]] * IF($E$2="Deployment",deployment_raw[[#This Row],[Column5]],1))/1048576,"")</f>
        <v/>
      </c>
      <c r="J55" s="122" t="str">
        <f>IF(ISNUMBER(deployment_raw[[#This Row],[Column10]]), (MIN(IF(N55&lt;&gt;"",N55,9999999999999)*1.1,deployment_raw[[#This Row],[Column10]] * IF($E$2="Deployment",deployment_raw[[#This Row],[Column5]],1))),"")</f>
        <v/>
      </c>
      <c r="K55" s="123" t="str">
        <f>IF(ISNUMBER(deployment_raw[[#This Row],[Column11]]), (MIN(IF(O55&lt;&gt;"",O55,9999999999999)*1.1,deployment_raw[[#This Row],[Column11]] * IF($E$2="Deployment",deployment_raw[[#This Row],[Column5]],1)/1048576)),"")</f>
        <v/>
      </c>
      <c r="L55" s="124" t="str">
        <f>IF(ISNUMBER(deployment_raw[[#This Row],[Column8]]),IF(OR(deployment_raw[[#This Row],[Column5]] &lt;&gt; 0,$E$2 &lt;&gt; "Deployment"), MAX(J55, P55, R55, ($L$2 * IF($E$2="Deployment",deployment_raw[[#This Row],[Column5]],1)),IF(T55&lt;&gt;"",VALUE(T55) * IF($E$2="Deployment",deployment_raw[[#This Row],[Column5]],1),0)), 0),"")</f>
        <v/>
      </c>
      <c r="M55" s="125" t="str">
        <f>IF(ISNUMBER(deployment_raw[[#This Row],[Column9]]),IF(OR(deployment_raw[[#This Row],[Column5]] &lt;&gt; 0,$E$2&lt;&gt;"Deployment"), MAX(K55, Q55, S55, ($M$2 * IF($E$2="Deployment",deployment_raw[[#This Row],[Column5]],1)),IF(U55&lt;&gt;"",VALUE(U55) * IF($E$2="Deployment",deployment_raw[[#This Row],[Column5]],1),0)), 0),"")</f>
        <v/>
      </c>
      <c r="N55" s="166" t="str">
        <f>IF(ISNUMBER(deployment_raw[[#This Row],[Column14]]), deployment_raw[[#This Row],[Column14]]/IF(OR($E$2="Deployment",deployment_raw[[#This Row],[Column5]]=0),1,deployment_raw[[#This Row],[Column5]]),"")</f>
        <v/>
      </c>
      <c r="O55" s="167" t="str">
        <f>IF(ISNUMBER(deployment_raw[[#This Row],[Column15]]), deployment_raw[[#This Row],[Column15]]/IF(OR($E$2="Deployment",deployment_raw[[#This Row],[Column5]]=0),1,deployment_raw[[#This Row],[Column5]])/1048576,"")</f>
        <v/>
      </c>
      <c r="P55" s="168" t="str">
        <f>IF(ISNUMBER(deployment_raw[[#This Row],[Column12]]), (MIN(IF(N55&lt;&gt;"",N55,9999999999999)*1.1,deployment_raw[[#This Row],[Column12]] * IF($E$2="Deployment",deployment_raw[[#This Row],[Column5]],1))*(1+$P$2)),"")</f>
        <v/>
      </c>
      <c r="Q55" s="167" t="str">
        <f>IF(ISNUMBER(deployment_raw[[#This Row],[Column13]]), (MIN(IF(O55&lt;&gt;"",O55,9999999999999)*1.1,deployment_raw[[#This Row],[Column13]] * IF($E$2="Deployment",deployment_raw[[#This Row],[Column5]],1)*(1+$Q$2)/1048576)),"")</f>
        <v/>
      </c>
      <c r="R55" s="169" t="str">
        <f>IF(ISNUMBER(deployment_raw[[#This Row],[Column8]]), (H55  * IF(N55&lt;&gt;0,$R$2,1)),"")</f>
        <v/>
      </c>
      <c r="S55" s="170" t="str">
        <f>IF(ISNUMBER(deployment_raw[[#This Row],[Column8]]), (I55  * IF(O55&lt;&gt;0,$S$2,1)),"")</f>
        <v/>
      </c>
      <c r="T55" s="202" t="str">
        <f>IF(AND(A55&lt;&gt;"",_xlfn.IFNA(MATCH(A55,'dynamic resource application '!$A$2:$A$100, 0),0)&lt;&gt;0), H55/(IF($E$2="Deployment",E55,1)),"")</f>
        <v/>
      </c>
      <c r="U55" s="211" t="str">
        <f>IF(AND(A55&lt;&gt;"",_xlfn.IFNA(MATCH(A55,'dynamic resource application '!$A$2:$A$100, 0),0)&lt;&gt;0), I55/(IF($E$2="Deployment",E55,1)),"")</f>
        <v/>
      </c>
    </row>
    <row r="56" spans="1:21" ht="15.75" customHeight="1" x14ac:dyDescent="0.25">
      <c r="A56" s="35" t="str">
        <f>IF(ISNONTEXT(deployment_raw[[#This Row],[Column1]]), "", deployment_raw[[#This Row],[Column1]])</f>
        <v/>
      </c>
      <c r="B56" s="36" t="str">
        <f>IF(ISNONTEXT(deployment_raw[[#This Row],[Column2]]), "", deployment_raw[[#This Row],[Column2]])</f>
        <v/>
      </c>
      <c r="C56" s="36" t="str">
        <f>IF(ISNONTEXT(deployment_raw[[#This Row],[Column3]]), "", deployment_raw[[#This Row],[Column3]])</f>
        <v/>
      </c>
      <c r="D56" s="36" t="str">
        <f>IF(ISNONTEXT(deployment_raw[[#This Row],[Column4]]), "", deployment_raw[[#This Row],[Column4]])</f>
        <v/>
      </c>
      <c r="E56" s="37" t="str">
        <f>IF(ISNUMBER(deployment_raw[[#This Row],[Column5]]), deployment_raw[[#This Row],[Column5]],"")</f>
        <v/>
      </c>
      <c r="F56" s="94" t="str">
        <f>IF(ISNUMBER(deployment_raw[[#This Row],[Column6]]), (deployment_raw[[#This Row],[Column6]] * IF($E$2="Deployment",deployment_raw[[#This Row],[Column5]],1)),"")</f>
        <v/>
      </c>
      <c r="G56" s="95" t="str">
        <f>IF(ISNUMBER(deployment_raw[[#This Row],[Column7]]), (deployment_raw[[#This Row],[Column7]] * IF($E$2="Deployment",deployment_raw[[#This Row],[Column5]],1))/1048576,"")</f>
        <v/>
      </c>
      <c r="H56" s="95" t="str">
        <f>IF(ISNUMBER(deployment_raw[[#This Row],[Column8]]), (deployment_raw[[#This Row],[Column8]]  * IF($E$2="Deployment",deployment_raw[[#This Row],[Column5]],1)),"")</f>
        <v/>
      </c>
      <c r="I56" s="96" t="str">
        <f>IF(ISNUMBER(deployment_raw[[#This Row],[Column9]]), (deployment_raw[[#This Row],[Column9]] * IF($E$2="Deployment",deployment_raw[[#This Row],[Column5]],1))/1048576,"")</f>
        <v/>
      </c>
      <c r="J56" s="122" t="str">
        <f>IF(ISNUMBER(deployment_raw[[#This Row],[Column10]]), (MIN(IF(N56&lt;&gt;"",N56,9999999999999)*1.1,deployment_raw[[#This Row],[Column10]] * IF($E$2="Deployment",deployment_raw[[#This Row],[Column5]],1))),"")</f>
        <v/>
      </c>
      <c r="K56" s="123" t="str">
        <f>IF(ISNUMBER(deployment_raw[[#This Row],[Column11]]), (MIN(IF(O56&lt;&gt;"",O56,9999999999999)*1.1,deployment_raw[[#This Row],[Column11]] * IF($E$2="Deployment",deployment_raw[[#This Row],[Column5]],1)/1048576)),"")</f>
        <v/>
      </c>
      <c r="L56" s="124" t="str">
        <f>IF(ISNUMBER(deployment_raw[[#This Row],[Column8]]),IF(OR(deployment_raw[[#This Row],[Column5]] &lt;&gt; 0,$E$2 &lt;&gt; "Deployment"), MAX(J56, P56, R56, ($L$2 * IF($E$2="Deployment",deployment_raw[[#This Row],[Column5]],1)),IF(T56&lt;&gt;"",VALUE(T56) * IF($E$2="Deployment",deployment_raw[[#This Row],[Column5]],1),0)), 0),"")</f>
        <v/>
      </c>
      <c r="M56" s="125" t="str">
        <f>IF(ISNUMBER(deployment_raw[[#This Row],[Column9]]),IF(OR(deployment_raw[[#This Row],[Column5]] &lt;&gt; 0,$E$2&lt;&gt;"Deployment"), MAX(K56, Q56, S56, ($M$2 * IF($E$2="Deployment",deployment_raw[[#This Row],[Column5]],1)),IF(U56&lt;&gt;"",VALUE(U56) * IF($E$2="Deployment",deployment_raw[[#This Row],[Column5]],1),0)), 0),"")</f>
        <v/>
      </c>
      <c r="N56" s="166" t="str">
        <f>IF(ISNUMBER(deployment_raw[[#This Row],[Column14]]), deployment_raw[[#This Row],[Column14]]/IF(OR($E$2="Deployment",deployment_raw[[#This Row],[Column5]]=0),1,deployment_raw[[#This Row],[Column5]]),"")</f>
        <v/>
      </c>
      <c r="O56" s="167" t="str">
        <f>IF(ISNUMBER(deployment_raw[[#This Row],[Column15]]), deployment_raw[[#This Row],[Column15]]/IF(OR($E$2="Deployment",deployment_raw[[#This Row],[Column5]]=0),1,deployment_raw[[#This Row],[Column5]])/1048576,"")</f>
        <v/>
      </c>
      <c r="P56" s="168" t="str">
        <f>IF(ISNUMBER(deployment_raw[[#This Row],[Column12]]), (MIN(IF(N56&lt;&gt;"",N56,9999999999999)*1.1,deployment_raw[[#This Row],[Column12]] * IF($E$2="Deployment",deployment_raw[[#This Row],[Column5]],1))*(1+$P$2)),"")</f>
        <v/>
      </c>
      <c r="Q56" s="167" t="str">
        <f>IF(ISNUMBER(deployment_raw[[#This Row],[Column13]]), (MIN(IF(O56&lt;&gt;"",O56,9999999999999)*1.1,deployment_raw[[#This Row],[Column13]] * IF($E$2="Deployment",deployment_raw[[#This Row],[Column5]],1)*(1+$Q$2)/1048576)),"")</f>
        <v/>
      </c>
      <c r="R56" s="169" t="str">
        <f>IF(ISNUMBER(deployment_raw[[#This Row],[Column8]]), (H56  * IF(N56&lt;&gt;0,$R$2,1)),"")</f>
        <v/>
      </c>
      <c r="S56" s="170" t="str">
        <f>IF(ISNUMBER(deployment_raw[[#This Row],[Column8]]), (I56  * IF(O56&lt;&gt;0,$S$2,1)),"")</f>
        <v/>
      </c>
      <c r="T56" s="202" t="str">
        <f>IF(AND(A56&lt;&gt;"",_xlfn.IFNA(MATCH(A56,'dynamic resource application '!$A$2:$A$100, 0),0)&lt;&gt;0), H56/(IF($E$2="Deployment",E56,1)),"")</f>
        <v/>
      </c>
      <c r="U56" s="211" t="str">
        <f>IF(AND(A56&lt;&gt;"",_xlfn.IFNA(MATCH(A56,'dynamic resource application '!$A$2:$A$100, 0),0)&lt;&gt;0), I56/(IF($E$2="Deployment",E56,1)),"")</f>
        <v/>
      </c>
    </row>
    <row r="57" spans="1:21" ht="15.75" customHeight="1" x14ac:dyDescent="0.25">
      <c r="A57" s="35" t="str">
        <f>IF(ISNONTEXT(deployment_raw[[#This Row],[Column1]]), "", deployment_raw[[#This Row],[Column1]])</f>
        <v/>
      </c>
      <c r="B57" s="36" t="str">
        <f>IF(ISNONTEXT(deployment_raw[[#This Row],[Column2]]), "", deployment_raw[[#This Row],[Column2]])</f>
        <v/>
      </c>
      <c r="C57" s="36" t="str">
        <f>IF(ISNONTEXT(deployment_raw[[#This Row],[Column3]]), "", deployment_raw[[#This Row],[Column3]])</f>
        <v/>
      </c>
      <c r="D57" s="36" t="str">
        <f>IF(ISNONTEXT(deployment_raw[[#This Row],[Column4]]), "", deployment_raw[[#This Row],[Column4]])</f>
        <v/>
      </c>
      <c r="E57" s="37" t="str">
        <f>IF(ISNUMBER(deployment_raw[[#This Row],[Column5]]), deployment_raw[[#This Row],[Column5]],"")</f>
        <v/>
      </c>
      <c r="F57" s="94" t="str">
        <f>IF(ISNUMBER(deployment_raw[[#This Row],[Column6]]), (deployment_raw[[#This Row],[Column6]] * IF($E$2="Deployment",deployment_raw[[#This Row],[Column5]],1)),"")</f>
        <v/>
      </c>
      <c r="G57" s="95" t="str">
        <f>IF(ISNUMBER(deployment_raw[[#This Row],[Column7]]), (deployment_raw[[#This Row],[Column7]] * IF($E$2="Deployment",deployment_raw[[#This Row],[Column5]],1))/1048576,"")</f>
        <v/>
      </c>
      <c r="H57" s="95" t="str">
        <f>IF(ISNUMBER(deployment_raw[[#This Row],[Column8]]), (deployment_raw[[#This Row],[Column8]]  * IF($E$2="Deployment",deployment_raw[[#This Row],[Column5]],1)),"")</f>
        <v/>
      </c>
      <c r="I57" s="96" t="str">
        <f>IF(ISNUMBER(deployment_raw[[#This Row],[Column9]]), (deployment_raw[[#This Row],[Column9]] * IF($E$2="Deployment",deployment_raw[[#This Row],[Column5]],1))/1048576,"")</f>
        <v/>
      </c>
      <c r="J57" s="122" t="str">
        <f>IF(ISNUMBER(deployment_raw[[#This Row],[Column10]]), (MIN(IF(N57&lt;&gt;"",N57,9999999999999)*1.1,deployment_raw[[#This Row],[Column10]] * IF($E$2="Deployment",deployment_raw[[#This Row],[Column5]],1))),"")</f>
        <v/>
      </c>
      <c r="K57" s="123" t="str">
        <f>IF(ISNUMBER(deployment_raw[[#This Row],[Column11]]), (MIN(IF(O57&lt;&gt;"",O57,9999999999999)*1.1,deployment_raw[[#This Row],[Column11]] * IF($E$2="Deployment",deployment_raw[[#This Row],[Column5]],1)/1048576)),"")</f>
        <v/>
      </c>
      <c r="L57" s="124" t="str">
        <f>IF(ISNUMBER(deployment_raw[[#This Row],[Column8]]),IF(OR(deployment_raw[[#This Row],[Column5]] &lt;&gt; 0,$E$2 &lt;&gt; "Deployment"), MAX(J57, P57, R57, ($L$2 * IF($E$2="Deployment",deployment_raw[[#This Row],[Column5]],1)),IF(T57&lt;&gt;"",VALUE(T57) * IF($E$2="Deployment",deployment_raw[[#This Row],[Column5]],1),0)), 0),"")</f>
        <v/>
      </c>
      <c r="M57" s="125" t="str">
        <f>IF(ISNUMBER(deployment_raw[[#This Row],[Column9]]),IF(OR(deployment_raw[[#This Row],[Column5]] &lt;&gt; 0,$E$2&lt;&gt;"Deployment"), MAX(K57, Q57, S57, ($M$2 * IF($E$2="Deployment",deployment_raw[[#This Row],[Column5]],1)),IF(U57&lt;&gt;"",VALUE(U57) * IF($E$2="Deployment",deployment_raw[[#This Row],[Column5]],1),0)), 0),"")</f>
        <v/>
      </c>
      <c r="N57" s="166" t="str">
        <f>IF(ISNUMBER(deployment_raw[[#This Row],[Column14]]), deployment_raw[[#This Row],[Column14]]/IF(OR($E$2="Deployment",deployment_raw[[#This Row],[Column5]]=0),1,deployment_raw[[#This Row],[Column5]]),"")</f>
        <v/>
      </c>
      <c r="O57" s="167" t="str">
        <f>IF(ISNUMBER(deployment_raw[[#This Row],[Column15]]), deployment_raw[[#This Row],[Column15]]/IF(OR($E$2="Deployment",deployment_raw[[#This Row],[Column5]]=0),1,deployment_raw[[#This Row],[Column5]])/1048576,"")</f>
        <v/>
      </c>
      <c r="P57" s="168" t="str">
        <f>IF(ISNUMBER(deployment_raw[[#This Row],[Column12]]), (MIN(IF(N57&lt;&gt;"",N57,9999999999999)*1.1,deployment_raw[[#This Row],[Column12]] * IF($E$2="Deployment",deployment_raw[[#This Row],[Column5]],1))*(1+$P$2)),"")</f>
        <v/>
      </c>
      <c r="Q57" s="167" t="str">
        <f>IF(ISNUMBER(deployment_raw[[#This Row],[Column13]]), (MIN(IF(O57&lt;&gt;"",O57,9999999999999)*1.1,deployment_raw[[#This Row],[Column13]] * IF($E$2="Deployment",deployment_raw[[#This Row],[Column5]],1)*(1+$Q$2)/1048576)),"")</f>
        <v/>
      </c>
      <c r="R57" s="169" t="str">
        <f>IF(ISNUMBER(deployment_raw[[#This Row],[Column8]]), (H57  * IF(N57&lt;&gt;0,$R$2,1)),"")</f>
        <v/>
      </c>
      <c r="S57" s="170" t="str">
        <f>IF(ISNUMBER(deployment_raw[[#This Row],[Column8]]), (I57  * IF(O57&lt;&gt;0,$S$2,1)),"")</f>
        <v/>
      </c>
      <c r="T57" s="202" t="str">
        <f>IF(AND(A57&lt;&gt;"",_xlfn.IFNA(MATCH(A57,'dynamic resource application '!$A$2:$A$100, 0),0)&lt;&gt;0), H57/(IF($E$2="Deployment",E57,1)),"")</f>
        <v/>
      </c>
      <c r="U57" s="211" t="str">
        <f>IF(AND(A57&lt;&gt;"",_xlfn.IFNA(MATCH(A57,'dynamic resource application '!$A$2:$A$100, 0),0)&lt;&gt;0), I57/(IF($E$2="Deployment",E57,1)),"")</f>
        <v/>
      </c>
    </row>
    <row r="58" spans="1:21" ht="15.75" customHeight="1" x14ac:dyDescent="0.25">
      <c r="A58" s="35" t="str">
        <f>IF(ISNONTEXT(deployment_raw[[#This Row],[Column1]]), "", deployment_raw[[#This Row],[Column1]])</f>
        <v/>
      </c>
      <c r="B58" s="36" t="str">
        <f>IF(ISNONTEXT(deployment_raw[[#This Row],[Column2]]), "", deployment_raw[[#This Row],[Column2]])</f>
        <v/>
      </c>
      <c r="C58" s="36" t="str">
        <f>IF(ISNONTEXT(deployment_raw[[#This Row],[Column3]]), "", deployment_raw[[#This Row],[Column3]])</f>
        <v/>
      </c>
      <c r="D58" s="36" t="str">
        <f>IF(ISNONTEXT(deployment_raw[[#This Row],[Column4]]), "", deployment_raw[[#This Row],[Column4]])</f>
        <v/>
      </c>
      <c r="E58" s="37" t="str">
        <f>IF(ISNUMBER(deployment_raw[[#This Row],[Column5]]), deployment_raw[[#This Row],[Column5]],"")</f>
        <v/>
      </c>
      <c r="F58" s="94" t="str">
        <f>IF(ISNUMBER(deployment_raw[[#This Row],[Column6]]), (deployment_raw[[#This Row],[Column6]] * IF($E$2="Deployment",deployment_raw[[#This Row],[Column5]],1)),"")</f>
        <v/>
      </c>
      <c r="G58" s="95" t="str">
        <f>IF(ISNUMBER(deployment_raw[[#This Row],[Column7]]), (deployment_raw[[#This Row],[Column7]] * IF($E$2="Deployment",deployment_raw[[#This Row],[Column5]],1))/1048576,"")</f>
        <v/>
      </c>
      <c r="H58" s="95" t="str">
        <f>IF(ISNUMBER(deployment_raw[[#This Row],[Column8]]), (deployment_raw[[#This Row],[Column8]]  * IF($E$2="Deployment",deployment_raw[[#This Row],[Column5]],1)),"")</f>
        <v/>
      </c>
      <c r="I58" s="96" t="str">
        <f>IF(ISNUMBER(deployment_raw[[#This Row],[Column9]]), (deployment_raw[[#This Row],[Column9]] * IF($E$2="Deployment",deployment_raw[[#This Row],[Column5]],1))/1048576,"")</f>
        <v/>
      </c>
      <c r="J58" s="122" t="str">
        <f>IF(ISNUMBER(deployment_raw[[#This Row],[Column10]]), (MIN(IF(N58&lt;&gt;"",N58,9999999999999)*1.1,deployment_raw[[#This Row],[Column10]] * IF($E$2="Deployment",deployment_raw[[#This Row],[Column5]],1))),"")</f>
        <v/>
      </c>
      <c r="K58" s="123" t="str">
        <f>IF(ISNUMBER(deployment_raw[[#This Row],[Column11]]), (MIN(IF(O58&lt;&gt;"",O58,9999999999999)*1.1,deployment_raw[[#This Row],[Column11]] * IF($E$2="Deployment",deployment_raw[[#This Row],[Column5]],1)/1048576)),"")</f>
        <v/>
      </c>
      <c r="L58" s="124" t="str">
        <f>IF(ISNUMBER(deployment_raw[[#This Row],[Column8]]),IF(OR(deployment_raw[[#This Row],[Column5]] &lt;&gt; 0,$E$2 &lt;&gt; "Deployment"), MAX(J58, P58, R58, ($L$2 * IF($E$2="Deployment",deployment_raw[[#This Row],[Column5]],1)),IF(T58&lt;&gt;"",VALUE(T58) * IF($E$2="Deployment",deployment_raw[[#This Row],[Column5]],1),0)), 0),"")</f>
        <v/>
      </c>
      <c r="M58" s="125" t="str">
        <f>IF(ISNUMBER(deployment_raw[[#This Row],[Column9]]),IF(OR(deployment_raw[[#This Row],[Column5]] &lt;&gt; 0,$E$2&lt;&gt;"Deployment"), MAX(K58, Q58, S58, ($M$2 * IF($E$2="Deployment",deployment_raw[[#This Row],[Column5]],1)),IF(U58&lt;&gt;"",VALUE(U58) * IF($E$2="Deployment",deployment_raw[[#This Row],[Column5]],1),0)), 0),"")</f>
        <v/>
      </c>
      <c r="N58" s="166" t="str">
        <f>IF(ISNUMBER(deployment_raw[[#This Row],[Column14]]), deployment_raw[[#This Row],[Column14]]/IF(OR($E$2="Deployment",deployment_raw[[#This Row],[Column5]]=0),1,deployment_raw[[#This Row],[Column5]]),"")</f>
        <v/>
      </c>
      <c r="O58" s="167" t="str">
        <f>IF(ISNUMBER(deployment_raw[[#This Row],[Column15]]), deployment_raw[[#This Row],[Column15]]/IF(OR($E$2="Deployment",deployment_raw[[#This Row],[Column5]]=0),1,deployment_raw[[#This Row],[Column5]])/1048576,"")</f>
        <v/>
      </c>
      <c r="P58" s="168" t="str">
        <f>IF(ISNUMBER(deployment_raw[[#This Row],[Column12]]), (MIN(IF(N58&lt;&gt;"",N58,9999999999999)*1.1,deployment_raw[[#This Row],[Column12]] * IF($E$2="Deployment",deployment_raw[[#This Row],[Column5]],1))*(1+$P$2)),"")</f>
        <v/>
      </c>
      <c r="Q58" s="167" t="str">
        <f>IF(ISNUMBER(deployment_raw[[#This Row],[Column13]]), (MIN(IF(O58&lt;&gt;"",O58,9999999999999)*1.1,deployment_raw[[#This Row],[Column13]] * IF($E$2="Deployment",deployment_raw[[#This Row],[Column5]],1)*(1+$Q$2)/1048576)),"")</f>
        <v/>
      </c>
      <c r="R58" s="169" t="str">
        <f>IF(ISNUMBER(deployment_raw[[#This Row],[Column8]]), (H58  * IF(N58&lt;&gt;0,$R$2,1)),"")</f>
        <v/>
      </c>
      <c r="S58" s="170" t="str">
        <f>IF(ISNUMBER(deployment_raw[[#This Row],[Column8]]), (I58  * IF(O58&lt;&gt;0,$S$2,1)),"")</f>
        <v/>
      </c>
      <c r="T58" s="202" t="str">
        <f>IF(AND(A58&lt;&gt;"",_xlfn.IFNA(MATCH(A58,'dynamic resource application '!$A$2:$A$100, 0),0)&lt;&gt;0), H58/(IF($E$2="Deployment",E58,1)),"")</f>
        <v/>
      </c>
      <c r="U58" s="211" t="str">
        <f>IF(AND(A58&lt;&gt;"",_xlfn.IFNA(MATCH(A58,'dynamic resource application '!$A$2:$A$100, 0),0)&lt;&gt;0), I58/(IF($E$2="Deployment",E58,1)),"")</f>
        <v/>
      </c>
    </row>
    <row r="59" spans="1:21" ht="15.75" customHeight="1" x14ac:dyDescent="0.25">
      <c r="A59" s="35" t="str">
        <f>IF(ISNONTEXT(deployment_raw[[#This Row],[Column1]]), "", deployment_raw[[#This Row],[Column1]])</f>
        <v/>
      </c>
      <c r="B59" s="36" t="str">
        <f>IF(ISNONTEXT(deployment_raw[[#This Row],[Column2]]), "", deployment_raw[[#This Row],[Column2]])</f>
        <v/>
      </c>
      <c r="C59" s="36" t="str">
        <f>IF(ISNONTEXT(deployment_raw[[#This Row],[Column3]]), "", deployment_raw[[#This Row],[Column3]])</f>
        <v/>
      </c>
      <c r="D59" s="36" t="str">
        <f>IF(ISNONTEXT(deployment_raw[[#This Row],[Column4]]), "", deployment_raw[[#This Row],[Column4]])</f>
        <v/>
      </c>
      <c r="E59" s="37" t="str">
        <f>IF(ISNUMBER(deployment_raw[[#This Row],[Column5]]), deployment_raw[[#This Row],[Column5]],"")</f>
        <v/>
      </c>
      <c r="F59" s="94" t="str">
        <f>IF(ISNUMBER(deployment_raw[[#This Row],[Column6]]), (deployment_raw[[#This Row],[Column6]] * IF($E$2="Deployment",deployment_raw[[#This Row],[Column5]],1)),"")</f>
        <v/>
      </c>
      <c r="G59" s="95" t="str">
        <f>IF(ISNUMBER(deployment_raw[[#This Row],[Column7]]), (deployment_raw[[#This Row],[Column7]] * IF($E$2="Deployment",deployment_raw[[#This Row],[Column5]],1))/1048576,"")</f>
        <v/>
      </c>
      <c r="H59" s="95" t="str">
        <f>IF(ISNUMBER(deployment_raw[[#This Row],[Column8]]), (deployment_raw[[#This Row],[Column8]]  * IF($E$2="Deployment",deployment_raw[[#This Row],[Column5]],1)),"")</f>
        <v/>
      </c>
      <c r="I59" s="96" t="str">
        <f>IF(ISNUMBER(deployment_raw[[#This Row],[Column9]]), (deployment_raw[[#This Row],[Column9]] * IF($E$2="Deployment",deployment_raw[[#This Row],[Column5]],1))/1048576,"")</f>
        <v/>
      </c>
      <c r="J59" s="122" t="str">
        <f>IF(ISNUMBER(deployment_raw[[#This Row],[Column10]]), (MIN(IF(N59&lt;&gt;"",N59,9999999999999)*1.1,deployment_raw[[#This Row],[Column10]] * IF($E$2="Deployment",deployment_raw[[#This Row],[Column5]],1))),"")</f>
        <v/>
      </c>
      <c r="K59" s="123" t="str">
        <f>IF(ISNUMBER(deployment_raw[[#This Row],[Column11]]), (MIN(IF(O59&lt;&gt;"",O59,9999999999999)*1.1,deployment_raw[[#This Row],[Column11]] * IF($E$2="Deployment",deployment_raw[[#This Row],[Column5]],1)/1048576)),"")</f>
        <v/>
      </c>
      <c r="L59" s="124" t="str">
        <f>IF(ISNUMBER(deployment_raw[[#This Row],[Column8]]),IF(OR(deployment_raw[[#This Row],[Column5]] &lt;&gt; 0,$E$2 &lt;&gt; "Deployment"), MAX(J59, P59, R59, ($L$2 * IF($E$2="Deployment",deployment_raw[[#This Row],[Column5]],1)),IF(T59&lt;&gt;"",VALUE(T59) * IF($E$2="Deployment",deployment_raw[[#This Row],[Column5]],1),0)), 0),"")</f>
        <v/>
      </c>
      <c r="M59" s="125" t="str">
        <f>IF(ISNUMBER(deployment_raw[[#This Row],[Column9]]),IF(OR(deployment_raw[[#This Row],[Column5]] &lt;&gt; 0,$E$2&lt;&gt;"Deployment"), MAX(K59, Q59, S59, ($M$2 * IF($E$2="Deployment",deployment_raw[[#This Row],[Column5]],1)),IF(U59&lt;&gt;"",VALUE(U59) * IF($E$2="Deployment",deployment_raw[[#This Row],[Column5]],1),0)), 0),"")</f>
        <v/>
      </c>
      <c r="N59" s="166" t="str">
        <f>IF(ISNUMBER(deployment_raw[[#This Row],[Column14]]), deployment_raw[[#This Row],[Column14]]/IF(OR($E$2="Deployment",deployment_raw[[#This Row],[Column5]]=0),1,deployment_raw[[#This Row],[Column5]]),"")</f>
        <v/>
      </c>
      <c r="O59" s="167" t="str">
        <f>IF(ISNUMBER(deployment_raw[[#This Row],[Column15]]), deployment_raw[[#This Row],[Column15]]/IF(OR($E$2="Deployment",deployment_raw[[#This Row],[Column5]]=0),1,deployment_raw[[#This Row],[Column5]])/1048576,"")</f>
        <v/>
      </c>
      <c r="P59" s="168" t="str">
        <f>IF(ISNUMBER(deployment_raw[[#This Row],[Column12]]), (MIN(IF(N59&lt;&gt;"",N59,9999999999999)*1.1,deployment_raw[[#This Row],[Column12]] * IF($E$2="Deployment",deployment_raw[[#This Row],[Column5]],1))*(1+$P$2)),"")</f>
        <v/>
      </c>
      <c r="Q59" s="167" t="str">
        <f>IF(ISNUMBER(deployment_raw[[#This Row],[Column13]]), (MIN(IF(O59&lt;&gt;"",O59,9999999999999)*1.1,deployment_raw[[#This Row],[Column13]] * IF($E$2="Deployment",deployment_raw[[#This Row],[Column5]],1)*(1+$Q$2)/1048576)),"")</f>
        <v/>
      </c>
      <c r="R59" s="169" t="str">
        <f>IF(ISNUMBER(deployment_raw[[#This Row],[Column8]]), (H59  * IF(N59&lt;&gt;0,$R$2,1)),"")</f>
        <v/>
      </c>
      <c r="S59" s="170" t="str">
        <f>IF(ISNUMBER(deployment_raw[[#This Row],[Column8]]), (I59  * IF(O59&lt;&gt;0,$S$2,1)),"")</f>
        <v/>
      </c>
      <c r="T59" s="202" t="str">
        <f>IF(AND(A59&lt;&gt;"",_xlfn.IFNA(MATCH(A59,'dynamic resource application '!$A$2:$A$100, 0),0)&lt;&gt;0), H59/(IF($E$2="Deployment",E59,1)),"")</f>
        <v/>
      </c>
      <c r="U59" s="211" t="str">
        <f>IF(AND(A59&lt;&gt;"",_xlfn.IFNA(MATCH(A59,'dynamic resource application '!$A$2:$A$100, 0),0)&lt;&gt;0), I59/(IF($E$2="Deployment",E59,1)),"")</f>
        <v/>
      </c>
    </row>
    <row r="60" spans="1:21" ht="15.75" customHeight="1" x14ac:dyDescent="0.25">
      <c r="A60" s="35" t="str">
        <f>IF(ISNONTEXT(deployment_raw[[#This Row],[Column1]]), "", deployment_raw[[#This Row],[Column1]])</f>
        <v/>
      </c>
      <c r="B60" s="36" t="str">
        <f>IF(ISNONTEXT(deployment_raw[[#This Row],[Column2]]), "", deployment_raw[[#This Row],[Column2]])</f>
        <v/>
      </c>
      <c r="C60" s="36" t="str">
        <f>IF(ISNONTEXT(deployment_raw[[#This Row],[Column3]]), "", deployment_raw[[#This Row],[Column3]])</f>
        <v/>
      </c>
      <c r="D60" s="36" t="str">
        <f>IF(ISNONTEXT(deployment_raw[[#This Row],[Column4]]), "", deployment_raw[[#This Row],[Column4]])</f>
        <v/>
      </c>
      <c r="E60" s="37" t="str">
        <f>IF(ISNUMBER(deployment_raw[[#This Row],[Column5]]), deployment_raw[[#This Row],[Column5]],"")</f>
        <v/>
      </c>
      <c r="F60" s="94" t="str">
        <f>IF(ISNUMBER(deployment_raw[[#This Row],[Column6]]), (deployment_raw[[#This Row],[Column6]] * IF($E$2="Deployment",deployment_raw[[#This Row],[Column5]],1)),"")</f>
        <v/>
      </c>
      <c r="G60" s="95" t="str">
        <f>IF(ISNUMBER(deployment_raw[[#This Row],[Column7]]), (deployment_raw[[#This Row],[Column7]] * IF($E$2="Deployment",deployment_raw[[#This Row],[Column5]],1))/1048576,"")</f>
        <v/>
      </c>
      <c r="H60" s="95" t="str">
        <f>IF(ISNUMBER(deployment_raw[[#This Row],[Column8]]), (deployment_raw[[#This Row],[Column8]]  * IF($E$2="Deployment",deployment_raw[[#This Row],[Column5]],1)),"")</f>
        <v/>
      </c>
      <c r="I60" s="96" t="str">
        <f>IF(ISNUMBER(deployment_raw[[#This Row],[Column9]]), (deployment_raw[[#This Row],[Column9]] * IF($E$2="Deployment",deployment_raw[[#This Row],[Column5]],1))/1048576,"")</f>
        <v/>
      </c>
      <c r="J60" s="122" t="str">
        <f>IF(ISNUMBER(deployment_raw[[#This Row],[Column10]]), (MIN(IF(N60&lt;&gt;"",N60,9999999999999)*1.1,deployment_raw[[#This Row],[Column10]] * IF($E$2="Deployment",deployment_raw[[#This Row],[Column5]],1))),"")</f>
        <v/>
      </c>
      <c r="K60" s="123" t="str">
        <f>IF(ISNUMBER(deployment_raw[[#This Row],[Column11]]), (MIN(IF(O60&lt;&gt;"",O60,9999999999999)*1.1,deployment_raw[[#This Row],[Column11]] * IF($E$2="Deployment",deployment_raw[[#This Row],[Column5]],1)/1048576)),"")</f>
        <v/>
      </c>
      <c r="L60" s="124" t="str">
        <f>IF(ISNUMBER(deployment_raw[[#This Row],[Column8]]),IF(OR(deployment_raw[[#This Row],[Column5]] &lt;&gt; 0,$E$2 &lt;&gt; "Deployment"), MAX(J60, P60, R60, ($L$2 * IF($E$2="Deployment",deployment_raw[[#This Row],[Column5]],1)),IF(T60&lt;&gt;"",VALUE(T60) * IF($E$2="Deployment",deployment_raw[[#This Row],[Column5]],1),0)), 0),"")</f>
        <v/>
      </c>
      <c r="M60" s="125" t="str">
        <f>IF(ISNUMBER(deployment_raw[[#This Row],[Column9]]),IF(OR(deployment_raw[[#This Row],[Column5]] &lt;&gt; 0,$E$2&lt;&gt;"Deployment"), MAX(K60, Q60, S60, ($M$2 * IF($E$2="Deployment",deployment_raw[[#This Row],[Column5]],1)),IF(U60&lt;&gt;"",VALUE(U60) * IF($E$2="Deployment",deployment_raw[[#This Row],[Column5]],1),0)), 0),"")</f>
        <v/>
      </c>
      <c r="N60" s="166" t="str">
        <f>IF(ISNUMBER(deployment_raw[[#This Row],[Column14]]), deployment_raw[[#This Row],[Column14]]/IF(OR($E$2="Deployment",deployment_raw[[#This Row],[Column5]]=0),1,deployment_raw[[#This Row],[Column5]]),"")</f>
        <v/>
      </c>
      <c r="O60" s="167" t="str">
        <f>IF(ISNUMBER(deployment_raw[[#This Row],[Column15]]), deployment_raw[[#This Row],[Column15]]/IF(OR($E$2="Deployment",deployment_raw[[#This Row],[Column5]]=0),1,deployment_raw[[#This Row],[Column5]])/1048576,"")</f>
        <v/>
      </c>
      <c r="P60" s="168" t="str">
        <f>IF(ISNUMBER(deployment_raw[[#This Row],[Column12]]), (MIN(IF(N60&lt;&gt;"",N60,9999999999999)*1.1,deployment_raw[[#This Row],[Column12]] * IF($E$2="Deployment",deployment_raw[[#This Row],[Column5]],1))*(1+$P$2)),"")</f>
        <v/>
      </c>
      <c r="Q60" s="167" t="str">
        <f>IF(ISNUMBER(deployment_raw[[#This Row],[Column13]]), (MIN(IF(O60&lt;&gt;"",O60,9999999999999)*1.1,deployment_raw[[#This Row],[Column13]] * IF($E$2="Deployment",deployment_raw[[#This Row],[Column5]],1)*(1+$Q$2)/1048576)),"")</f>
        <v/>
      </c>
      <c r="R60" s="169" t="str">
        <f>IF(ISNUMBER(deployment_raw[[#This Row],[Column8]]), (H60  * IF(N60&lt;&gt;0,$R$2,1)),"")</f>
        <v/>
      </c>
      <c r="S60" s="170" t="str">
        <f>IF(ISNUMBER(deployment_raw[[#This Row],[Column8]]), (I60  * IF(O60&lt;&gt;0,$S$2,1)),"")</f>
        <v/>
      </c>
      <c r="T60" s="202" t="str">
        <f>IF(AND(A60&lt;&gt;"",_xlfn.IFNA(MATCH(A60,'dynamic resource application '!$A$2:$A$100, 0),0)&lt;&gt;0), H60/(IF($E$2="Deployment",E60,1)),"")</f>
        <v/>
      </c>
      <c r="U60" s="211" t="str">
        <f>IF(AND(A60&lt;&gt;"",_xlfn.IFNA(MATCH(A60,'dynamic resource application '!$A$2:$A$100, 0),0)&lt;&gt;0), I60/(IF($E$2="Deployment",E60,1)),"")</f>
        <v/>
      </c>
    </row>
    <row r="61" spans="1:21" ht="15.75" customHeight="1" x14ac:dyDescent="0.25">
      <c r="A61" s="35" t="str">
        <f>IF(ISNONTEXT(deployment_raw[[#This Row],[Column1]]), "", deployment_raw[[#This Row],[Column1]])</f>
        <v/>
      </c>
      <c r="B61" s="36" t="str">
        <f>IF(ISNONTEXT(deployment_raw[[#This Row],[Column2]]), "", deployment_raw[[#This Row],[Column2]])</f>
        <v/>
      </c>
      <c r="C61" s="36" t="str">
        <f>IF(ISNONTEXT(deployment_raw[[#This Row],[Column3]]), "", deployment_raw[[#This Row],[Column3]])</f>
        <v/>
      </c>
      <c r="D61" s="36" t="str">
        <f>IF(ISNONTEXT(deployment_raw[[#This Row],[Column4]]), "", deployment_raw[[#This Row],[Column4]])</f>
        <v/>
      </c>
      <c r="E61" s="37" t="str">
        <f>IF(ISNUMBER(deployment_raw[[#This Row],[Column5]]), deployment_raw[[#This Row],[Column5]],"")</f>
        <v/>
      </c>
      <c r="F61" s="94" t="str">
        <f>IF(ISNUMBER(deployment_raw[[#This Row],[Column6]]), (deployment_raw[[#This Row],[Column6]] * IF($E$2="Deployment",deployment_raw[[#This Row],[Column5]],1)),"")</f>
        <v/>
      </c>
      <c r="G61" s="95" t="str">
        <f>IF(ISNUMBER(deployment_raw[[#This Row],[Column7]]), (deployment_raw[[#This Row],[Column7]] * IF($E$2="Deployment",deployment_raw[[#This Row],[Column5]],1))/1048576,"")</f>
        <v/>
      </c>
      <c r="H61" s="95" t="str">
        <f>IF(ISNUMBER(deployment_raw[[#This Row],[Column8]]), (deployment_raw[[#This Row],[Column8]]  * IF($E$2="Deployment",deployment_raw[[#This Row],[Column5]],1)),"")</f>
        <v/>
      </c>
      <c r="I61" s="96" t="str">
        <f>IF(ISNUMBER(deployment_raw[[#This Row],[Column9]]), (deployment_raw[[#This Row],[Column9]] * IF($E$2="Deployment",deployment_raw[[#This Row],[Column5]],1))/1048576,"")</f>
        <v/>
      </c>
      <c r="J61" s="122" t="str">
        <f>IF(ISNUMBER(deployment_raw[[#This Row],[Column10]]), (MIN(IF(N61&lt;&gt;"",N61,9999999999999)*1.1,deployment_raw[[#This Row],[Column10]] * IF($E$2="Deployment",deployment_raw[[#This Row],[Column5]],1))),"")</f>
        <v/>
      </c>
      <c r="K61" s="123" t="str">
        <f>IF(ISNUMBER(deployment_raw[[#This Row],[Column11]]), (MIN(IF(O61&lt;&gt;"",O61,9999999999999)*1.1,deployment_raw[[#This Row],[Column11]] * IF($E$2="Deployment",deployment_raw[[#This Row],[Column5]],1)/1048576)),"")</f>
        <v/>
      </c>
      <c r="L61" s="124" t="str">
        <f>IF(ISNUMBER(deployment_raw[[#This Row],[Column8]]),IF(OR(deployment_raw[[#This Row],[Column5]] &lt;&gt; 0,$E$2 &lt;&gt; "Deployment"), MAX(J61, P61, R61, ($L$2 * IF($E$2="Deployment",deployment_raw[[#This Row],[Column5]],1)),IF(T61&lt;&gt;"",VALUE(T61) * IF($E$2="Deployment",deployment_raw[[#This Row],[Column5]],1),0)), 0),"")</f>
        <v/>
      </c>
      <c r="M61" s="125" t="str">
        <f>IF(ISNUMBER(deployment_raw[[#This Row],[Column9]]),IF(OR(deployment_raw[[#This Row],[Column5]] &lt;&gt; 0,$E$2&lt;&gt;"Deployment"), MAX(K61, Q61, S61, ($M$2 * IF($E$2="Deployment",deployment_raw[[#This Row],[Column5]],1)),IF(U61&lt;&gt;"",VALUE(U61) * IF($E$2="Deployment",deployment_raw[[#This Row],[Column5]],1),0)), 0),"")</f>
        <v/>
      </c>
      <c r="N61" s="166" t="str">
        <f>IF(ISNUMBER(deployment_raw[[#This Row],[Column14]]), deployment_raw[[#This Row],[Column14]]/IF(OR($E$2="Deployment",deployment_raw[[#This Row],[Column5]]=0),1,deployment_raw[[#This Row],[Column5]]),"")</f>
        <v/>
      </c>
      <c r="O61" s="167" t="str">
        <f>IF(ISNUMBER(deployment_raw[[#This Row],[Column15]]), deployment_raw[[#This Row],[Column15]]/IF(OR($E$2="Deployment",deployment_raw[[#This Row],[Column5]]=0),1,deployment_raw[[#This Row],[Column5]])/1048576,"")</f>
        <v/>
      </c>
      <c r="P61" s="168" t="str">
        <f>IF(ISNUMBER(deployment_raw[[#This Row],[Column12]]), (MIN(IF(N61&lt;&gt;"",N61,9999999999999)*1.1,deployment_raw[[#This Row],[Column12]] * IF($E$2="Deployment",deployment_raw[[#This Row],[Column5]],1))*(1+$P$2)),"")</f>
        <v/>
      </c>
      <c r="Q61" s="167" t="str">
        <f>IF(ISNUMBER(deployment_raw[[#This Row],[Column13]]), (MIN(IF(O61&lt;&gt;"",O61,9999999999999)*1.1,deployment_raw[[#This Row],[Column13]] * IF($E$2="Deployment",deployment_raw[[#This Row],[Column5]],1)*(1+$Q$2)/1048576)),"")</f>
        <v/>
      </c>
      <c r="R61" s="169" t="str">
        <f>IF(ISNUMBER(deployment_raw[[#This Row],[Column8]]), (H61  * IF(N61&lt;&gt;0,$R$2,1)),"")</f>
        <v/>
      </c>
      <c r="S61" s="170" t="str">
        <f>IF(ISNUMBER(deployment_raw[[#This Row],[Column8]]), (I61  * IF(O61&lt;&gt;0,$S$2,1)),"")</f>
        <v/>
      </c>
      <c r="T61" s="202" t="str">
        <f>IF(AND(A61&lt;&gt;"",_xlfn.IFNA(MATCH(A61,'dynamic resource application '!$A$2:$A$100, 0),0)&lt;&gt;0), H61/(IF($E$2="Deployment",E61,1)),"")</f>
        <v/>
      </c>
      <c r="U61" s="211" t="str">
        <f>IF(AND(A61&lt;&gt;"",_xlfn.IFNA(MATCH(A61,'dynamic resource application '!$A$2:$A$100, 0),0)&lt;&gt;0), I61/(IF($E$2="Deployment",E61,1)),"")</f>
        <v/>
      </c>
    </row>
    <row r="62" spans="1:21" ht="15.75" customHeight="1" x14ac:dyDescent="0.25">
      <c r="A62" s="35" t="str">
        <f>IF(ISNONTEXT(deployment_raw[[#This Row],[Column1]]), "", deployment_raw[[#This Row],[Column1]])</f>
        <v/>
      </c>
      <c r="B62" s="36" t="str">
        <f>IF(ISNONTEXT(deployment_raw[[#This Row],[Column2]]), "", deployment_raw[[#This Row],[Column2]])</f>
        <v/>
      </c>
      <c r="C62" s="36" t="str">
        <f>IF(ISNONTEXT(deployment_raw[[#This Row],[Column3]]), "", deployment_raw[[#This Row],[Column3]])</f>
        <v/>
      </c>
      <c r="D62" s="36" t="str">
        <f>IF(ISNONTEXT(deployment_raw[[#This Row],[Column4]]), "", deployment_raw[[#This Row],[Column4]])</f>
        <v/>
      </c>
      <c r="E62" s="37" t="str">
        <f>IF(ISNUMBER(deployment_raw[[#This Row],[Column5]]), deployment_raw[[#This Row],[Column5]],"")</f>
        <v/>
      </c>
      <c r="F62" s="94" t="str">
        <f>IF(ISNUMBER(deployment_raw[[#This Row],[Column6]]), (deployment_raw[[#This Row],[Column6]] * IF($E$2="Deployment",deployment_raw[[#This Row],[Column5]],1)),"")</f>
        <v/>
      </c>
      <c r="G62" s="95" t="str">
        <f>IF(ISNUMBER(deployment_raw[[#This Row],[Column7]]), (deployment_raw[[#This Row],[Column7]] * IF($E$2="Deployment",deployment_raw[[#This Row],[Column5]],1))/1048576,"")</f>
        <v/>
      </c>
      <c r="H62" s="95" t="str">
        <f>IF(ISNUMBER(deployment_raw[[#This Row],[Column8]]), (deployment_raw[[#This Row],[Column8]]  * IF($E$2="Deployment",deployment_raw[[#This Row],[Column5]],1)),"")</f>
        <v/>
      </c>
      <c r="I62" s="96" t="str">
        <f>IF(ISNUMBER(deployment_raw[[#This Row],[Column9]]), (deployment_raw[[#This Row],[Column9]] * IF($E$2="Deployment",deployment_raw[[#This Row],[Column5]],1))/1048576,"")</f>
        <v/>
      </c>
      <c r="J62" s="122" t="str">
        <f>IF(ISNUMBER(deployment_raw[[#This Row],[Column10]]), (MIN(IF(N62&lt;&gt;"",N62,9999999999999)*1.1,deployment_raw[[#This Row],[Column10]] * IF($E$2="Deployment",deployment_raw[[#This Row],[Column5]],1))),"")</f>
        <v/>
      </c>
      <c r="K62" s="123" t="str">
        <f>IF(ISNUMBER(deployment_raw[[#This Row],[Column11]]), (MIN(IF(O62&lt;&gt;"",O62,9999999999999)*1.1,deployment_raw[[#This Row],[Column11]] * IF($E$2="Deployment",deployment_raw[[#This Row],[Column5]],1)/1048576)),"")</f>
        <v/>
      </c>
      <c r="L62" s="124" t="str">
        <f>IF(ISNUMBER(deployment_raw[[#This Row],[Column8]]),IF(OR(deployment_raw[[#This Row],[Column5]] &lt;&gt; 0,$E$2 &lt;&gt; "Deployment"), MAX(J62, P62, R62, ($L$2 * IF($E$2="Deployment",deployment_raw[[#This Row],[Column5]],1)),IF(T62&lt;&gt;"",VALUE(T62) * IF($E$2="Deployment",deployment_raw[[#This Row],[Column5]],1),0)), 0),"")</f>
        <v/>
      </c>
      <c r="M62" s="125" t="str">
        <f>IF(ISNUMBER(deployment_raw[[#This Row],[Column9]]),IF(OR(deployment_raw[[#This Row],[Column5]] &lt;&gt; 0,$E$2&lt;&gt;"Deployment"), MAX(K62, Q62, S62, ($M$2 * IF($E$2="Deployment",deployment_raw[[#This Row],[Column5]],1)),IF(U62&lt;&gt;"",VALUE(U62) * IF($E$2="Deployment",deployment_raw[[#This Row],[Column5]],1),0)), 0),"")</f>
        <v/>
      </c>
      <c r="N62" s="166" t="str">
        <f>IF(ISNUMBER(deployment_raw[[#This Row],[Column14]]), deployment_raw[[#This Row],[Column14]]/IF(OR($E$2="Deployment",deployment_raw[[#This Row],[Column5]]=0),1,deployment_raw[[#This Row],[Column5]]),"")</f>
        <v/>
      </c>
      <c r="O62" s="167" t="str">
        <f>IF(ISNUMBER(deployment_raw[[#This Row],[Column15]]), deployment_raw[[#This Row],[Column15]]/IF(OR($E$2="Deployment",deployment_raw[[#This Row],[Column5]]=0),1,deployment_raw[[#This Row],[Column5]])/1048576,"")</f>
        <v/>
      </c>
      <c r="P62" s="168" t="str">
        <f>IF(ISNUMBER(deployment_raw[[#This Row],[Column12]]), (MIN(IF(N62&lt;&gt;"",N62,9999999999999)*1.1,deployment_raw[[#This Row],[Column12]] * IF($E$2="Deployment",deployment_raw[[#This Row],[Column5]],1))*(1+$P$2)),"")</f>
        <v/>
      </c>
      <c r="Q62" s="167" t="str">
        <f>IF(ISNUMBER(deployment_raw[[#This Row],[Column13]]), (MIN(IF(O62&lt;&gt;"",O62,9999999999999)*1.1,deployment_raw[[#This Row],[Column13]] * IF($E$2="Deployment",deployment_raw[[#This Row],[Column5]],1)*(1+$Q$2)/1048576)),"")</f>
        <v/>
      </c>
      <c r="R62" s="169" t="str">
        <f>IF(ISNUMBER(deployment_raw[[#This Row],[Column8]]), (H62  * IF(N62&lt;&gt;0,$R$2,1)),"")</f>
        <v/>
      </c>
      <c r="S62" s="170" t="str">
        <f>IF(ISNUMBER(deployment_raw[[#This Row],[Column8]]), (I62  * IF(O62&lt;&gt;0,$S$2,1)),"")</f>
        <v/>
      </c>
      <c r="T62" s="202" t="str">
        <f>IF(AND(A62&lt;&gt;"",_xlfn.IFNA(MATCH(A62,'dynamic resource application '!$A$2:$A$100, 0),0)&lt;&gt;0), H62/(IF($E$2="Deployment",E62,1)),"")</f>
        <v/>
      </c>
      <c r="U62" s="211" t="str">
        <f>IF(AND(A62&lt;&gt;"",_xlfn.IFNA(MATCH(A62,'dynamic resource application '!$A$2:$A$100, 0),0)&lt;&gt;0), I62/(IF($E$2="Deployment",E62,1)),"")</f>
        <v/>
      </c>
    </row>
    <row r="63" spans="1:21" ht="15.75" customHeight="1" x14ac:dyDescent="0.25">
      <c r="A63" s="35" t="str">
        <f>IF(ISNONTEXT(deployment_raw[[#This Row],[Column1]]), "", deployment_raw[[#This Row],[Column1]])</f>
        <v/>
      </c>
      <c r="B63" s="36" t="str">
        <f>IF(ISNONTEXT(deployment_raw[[#This Row],[Column2]]), "", deployment_raw[[#This Row],[Column2]])</f>
        <v/>
      </c>
      <c r="C63" s="36" t="str">
        <f>IF(ISNONTEXT(deployment_raw[[#This Row],[Column3]]), "", deployment_raw[[#This Row],[Column3]])</f>
        <v/>
      </c>
      <c r="D63" s="36" t="str">
        <f>IF(ISNONTEXT(deployment_raw[[#This Row],[Column4]]), "", deployment_raw[[#This Row],[Column4]])</f>
        <v/>
      </c>
      <c r="E63" s="37" t="str">
        <f>IF(ISNUMBER(deployment_raw[[#This Row],[Column5]]), deployment_raw[[#This Row],[Column5]],"")</f>
        <v/>
      </c>
      <c r="F63" s="94" t="str">
        <f>IF(ISNUMBER(deployment_raw[[#This Row],[Column6]]), (deployment_raw[[#This Row],[Column6]] * IF($E$2="Deployment",deployment_raw[[#This Row],[Column5]],1)),"")</f>
        <v/>
      </c>
      <c r="G63" s="95" t="str">
        <f>IF(ISNUMBER(deployment_raw[[#This Row],[Column7]]), (deployment_raw[[#This Row],[Column7]] * IF($E$2="Deployment",deployment_raw[[#This Row],[Column5]],1))/1048576,"")</f>
        <v/>
      </c>
      <c r="H63" s="95" t="str">
        <f>IF(ISNUMBER(deployment_raw[[#This Row],[Column8]]), (deployment_raw[[#This Row],[Column8]]  * IF($E$2="Deployment",deployment_raw[[#This Row],[Column5]],1)),"")</f>
        <v/>
      </c>
      <c r="I63" s="96" t="str">
        <f>IF(ISNUMBER(deployment_raw[[#This Row],[Column9]]), (deployment_raw[[#This Row],[Column9]] * IF($E$2="Deployment",deployment_raw[[#This Row],[Column5]],1))/1048576,"")</f>
        <v/>
      </c>
      <c r="J63" s="122" t="str">
        <f>IF(ISNUMBER(deployment_raw[[#This Row],[Column10]]), (MIN(IF(N63&lt;&gt;"",N63,9999999999999)*1.1,deployment_raw[[#This Row],[Column10]] * IF($E$2="Deployment",deployment_raw[[#This Row],[Column5]],1))),"")</f>
        <v/>
      </c>
      <c r="K63" s="123" t="str">
        <f>IF(ISNUMBER(deployment_raw[[#This Row],[Column11]]), (MIN(IF(O63&lt;&gt;"",O63,9999999999999)*1.1,deployment_raw[[#This Row],[Column11]] * IF($E$2="Deployment",deployment_raw[[#This Row],[Column5]],1)/1048576)),"")</f>
        <v/>
      </c>
      <c r="L63" s="124" t="str">
        <f>IF(ISNUMBER(deployment_raw[[#This Row],[Column8]]),IF(OR(deployment_raw[[#This Row],[Column5]] &lt;&gt; 0,$E$2 &lt;&gt; "Deployment"), MAX(J63, P63, R63, ($L$2 * IF($E$2="Deployment",deployment_raw[[#This Row],[Column5]],1)),IF(T63&lt;&gt;"",VALUE(T63) * IF($E$2="Deployment",deployment_raw[[#This Row],[Column5]],1),0)), 0),"")</f>
        <v/>
      </c>
      <c r="M63" s="125" t="str">
        <f>IF(ISNUMBER(deployment_raw[[#This Row],[Column9]]),IF(OR(deployment_raw[[#This Row],[Column5]] &lt;&gt; 0,$E$2&lt;&gt;"Deployment"), MAX(K63, Q63, S63, ($M$2 * IF($E$2="Deployment",deployment_raw[[#This Row],[Column5]],1)),IF(U63&lt;&gt;"",VALUE(U63) * IF($E$2="Deployment",deployment_raw[[#This Row],[Column5]],1),0)), 0),"")</f>
        <v/>
      </c>
      <c r="N63" s="166" t="str">
        <f>IF(ISNUMBER(deployment_raw[[#This Row],[Column14]]), deployment_raw[[#This Row],[Column14]]/IF(OR($E$2="Deployment",deployment_raw[[#This Row],[Column5]]=0),1,deployment_raw[[#This Row],[Column5]]),"")</f>
        <v/>
      </c>
      <c r="O63" s="167" t="str">
        <f>IF(ISNUMBER(deployment_raw[[#This Row],[Column15]]), deployment_raw[[#This Row],[Column15]]/IF(OR($E$2="Deployment",deployment_raw[[#This Row],[Column5]]=0),1,deployment_raw[[#This Row],[Column5]])/1048576,"")</f>
        <v/>
      </c>
      <c r="P63" s="168" t="str">
        <f>IF(ISNUMBER(deployment_raw[[#This Row],[Column12]]), (MIN(IF(N63&lt;&gt;"",N63,9999999999999)*1.1,deployment_raw[[#This Row],[Column12]] * IF($E$2="Deployment",deployment_raw[[#This Row],[Column5]],1))*(1+$P$2)),"")</f>
        <v/>
      </c>
      <c r="Q63" s="167" t="str">
        <f>IF(ISNUMBER(deployment_raw[[#This Row],[Column13]]), (MIN(IF(O63&lt;&gt;"",O63,9999999999999)*1.1,deployment_raw[[#This Row],[Column13]] * IF($E$2="Deployment",deployment_raw[[#This Row],[Column5]],1)*(1+$Q$2)/1048576)),"")</f>
        <v/>
      </c>
      <c r="R63" s="169" t="str">
        <f>IF(ISNUMBER(deployment_raw[[#This Row],[Column8]]), (H63  * IF(N63&lt;&gt;0,$R$2,1)),"")</f>
        <v/>
      </c>
      <c r="S63" s="170" t="str">
        <f>IF(ISNUMBER(deployment_raw[[#This Row],[Column8]]), (I63  * IF(O63&lt;&gt;0,$S$2,1)),"")</f>
        <v/>
      </c>
      <c r="T63" s="202" t="str">
        <f>IF(AND(A63&lt;&gt;"",_xlfn.IFNA(MATCH(A63,'dynamic resource application '!$A$2:$A$100, 0),0)&lt;&gt;0), H63/(IF($E$2="Deployment",E63,1)),"")</f>
        <v/>
      </c>
      <c r="U63" s="211" t="str">
        <f>IF(AND(A63&lt;&gt;"",_xlfn.IFNA(MATCH(A63,'dynamic resource application '!$A$2:$A$100, 0),0)&lt;&gt;0), I63/(IF($E$2="Deployment",E63,1)),"")</f>
        <v/>
      </c>
    </row>
    <row r="64" spans="1:21" ht="15.75" customHeight="1" x14ac:dyDescent="0.25">
      <c r="A64" s="35" t="str">
        <f>IF(ISNONTEXT(deployment_raw[[#This Row],[Column1]]), "", deployment_raw[[#This Row],[Column1]])</f>
        <v/>
      </c>
      <c r="B64" s="36" t="str">
        <f>IF(ISNONTEXT(deployment_raw[[#This Row],[Column2]]), "", deployment_raw[[#This Row],[Column2]])</f>
        <v/>
      </c>
      <c r="C64" s="36" t="str">
        <f>IF(ISNONTEXT(deployment_raw[[#This Row],[Column3]]), "", deployment_raw[[#This Row],[Column3]])</f>
        <v/>
      </c>
      <c r="D64" s="36" t="str">
        <f>IF(ISNONTEXT(deployment_raw[[#This Row],[Column4]]), "", deployment_raw[[#This Row],[Column4]])</f>
        <v/>
      </c>
      <c r="E64" s="37" t="str">
        <f>IF(ISNUMBER(deployment_raw[[#This Row],[Column5]]), deployment_raw[[#This Row],[Column5]],"")</f>
        <v/>
      </c>
      <c r="F64" s="94" t="str">
        <f>IF(ISNUMBER(deployment_raw[[#This Row],[Column6]]), (deployment_raw[[#This Row],[Column6]] * IF($E$2="Deployment",deployment_raw[[#This Row],[Column5]],1)),"")</f>
        <v/>
      </c>
      <c r="G64" s="95" t="str">
        <f>IF(ISNUMBER(deployment_raw[[#This Row],[Column7]]), (deployment_raw[[#This Row],[Column7]] * IF($E$2="Deployment",deployment_raw[[#This Row],[Column5]],1))/1048576,"")</f>
        <v/>
      </c>
      <c r="H64" s="95" t="str">
        <f>IF(ISNUMBER(deployment_raw[[#This Row],[Column8]]), (deployment_raw[[#This Row],[Column8]]  * IF($E$2="Deployment",deployment_raw[[#This Row],[Column5]],1)),"")</f>
        <v/>
      </c>
      <c r="I64" s="96" t="str">
        <f>IF(ISNUMBER(deployment_raw[[#This Row],[Column9]]), (deployment_raw[[#This Row],[Column9]] * IF($E$2="Deployment",deployment_raw[[#This Row],[Column5]],1))/1048576,"")</f>
        <v/>
      </c>
      <c r="J64" s="122" t="str">
        <f>IF(ISNUMBER(deployment_raw[[#This Row],[Column10]]), (MIN(IF(N64&lt;&gt;"",N64,9999999999999)*1.1,deployment_raw[[#This Row],[Column10]] * IF($E$2="Deployment",deployment_raw[[#This Row],[Column5]],1))),"")</f>
        <v/>
      </c>
      <c r="K64" s="123" t="str">
        <f>IF(ISNUMBER(deployment_raw[[#This Row],[Column11]]), (MIN(IF(O64&lt;&gt;"",O64,9999999999999)*1.1,deployment_raw[[#This Row],[Column11]] * IF($E$2="Deployment",deployment_raw[[#This Row],[Column5]],1)/1048576)),"")</f>
        <v/>
      </c>
      <c r="L64" s="124" t="str">
        <f>IF(ISNUMBER(deployment_raw[[#This Row],[Column8]]),IF(OR(deployment_raw[[#This Row],[Column5]] &lt;&gt; 0,$E$2 &lt;&gt; "Deployment"), MAX(J64, P64, R64, ($L$2 * IF($E$2="Deployment",deployment_raw[[#This Row],[Column5]],1)),IF(T64&lt;&gt;"",VALUE(T64) * IF($E$2="Deployment",deployment_raw[[#This Row],[Column5]],1),0)), 0),"")</f>
        <v/>
      </c>
      <c r="M64" s="125" t="str">
        <f>IF(ISNUMBER(deployment_raw[[#This Row],[Column9]]),IF(OR(deployment_raw[[#This Row],[Column5]] &lt;&gt; 0,$E$2&lt;&gt;"Deployment"), MAX(K64, Q64, S64, ($M$2 * IF($E$2="Deployment",deployment_raw[[#This Row],[Column5]],1)),IF(U64&lt;&gt;"",VALUE(U64) * IF($E$2="Deployment",deployment_raw[[#This Row],[Column5]],1),0)), 0),"")</f>
        <v/>
      </c>
      <c r="N64" s="166" t="str">
        <f>IF(ISNUMBER(deployment_raw[[#This Row],[Column14]]), deployment_raw[[#This Row],[Column14]]/IF(OR($E$2="Deployment",deployment_raw[[#This Row],[Column5]]=0),1,deployment_raw[[#This Row],[Column5]]),"")</f>
        <v/>
      </c>
      <c r="O64" s="167" t="str">
        <f>IF(ISNUMBER(deployment_raw[[#This Row],[Column15]]), deployment_raw[[#This Row],[Column15]]/IF(OR($E$2="Deployment",deployment_raw[[#This Row],[Column5]]=0),1,deployment_raw[[#This Row],[Column5]])/1048576,"")</f>
        <v/>
      </c>
      <c r="P64" s="168" t="str">
        <f>IF(ISNUMBER(deployment_raw[[#This Row],[Column12]]), (MIN(IF(N64&lt;&gt;"",N64,9999999999999)*1.1,deployment_raw[[#This Row],[Column12]] * IF($E$2="Deployment",deployment_raw[[#This Row],[Column5]],1))*(1+$P$2)),"")</f>
        <v/>
      </c>
      <c r="Q64" s="167" t="str">
        <f>IF(ISNUMBER(deployment_raw[[#This Row],[Column13]]), (MIN(IF(O64&lt;&gt;"",O64,9999999999999)*1.1,deployment_raw[[#This Row],[Column13]] * IF($E$2="Deployment",deployment_raw[[#This Row],[Column5]],1)*(1+$Q$2)/1048576)),"")</f>
        <v/>
      </c>
      <c r="R64" s="169" t="str">
        <f>IF(ISNUMBER(deployment_raw[[#This Row],[Column8]]), (H64  * IF(N64&lt;&gt;0,$R$2,1)),"")</f>
        <v/>
      </c>
      <c r="S64" s="170" t="str">
        <f>IF(ISNUMBER(deployment_raw[[#This Row],[Column8]]), (I64  * IF(O64&lt;&gt;0,$S$2,1)),"")</f>
        <v/>
      </c>
      <c r="T64" s="202" t="str">
        <f>IF(AND(A64&lt;&gt;"",_xlfn.IFNA(MATCH(A64,'dynamic resource application '!$A$2:$A$100, 0),0)&lt;&gt;0), H64/(IF($E$2="Deployment",E64,1)),"")</f>
        <v/>
      </c>
      <c r="U64" s="211" t="str">
        <f>IF(AND(A64&lt;&gt;"",_xlfn.IFNA(MATCH(A64,'dynamic resource application '!$A$2:$A$100, 0),0)&lt;&gt;0), I64/(IF($E$2="Deployment",E64,1)),"")</f>
        <v/>
      </c>
    </row>
    <row r="65" spans="1:21" ht="15.75" customHeight="1" x14ac:dyDescent="0.25">
      <c r="A65" s="35" t="str">
        <f>IF(ISNONTEXT(deployment_raw[[#This Row],[Column1]]), "", deployment_raw[[#This Row],[Column1]])</f>
        <v/>
      </c>
      <c r="B65" s="36" t="str">
        <f>IF(ISNONTEXT(deployment_raw[[#This Row],[Column2]]), "", deployment_raw[[#This Row],[Column2]])</f>
        <v/>
      </c>
      <c r="C65" s="36" t="str">
        <f>IF(ISNONTEXT(deployment_raw[[#This Row],[Column3]]), "", deployment_raw[[#This Row],[Column3]])</f>
        <v/>
      </c>
      <c r="D65" s="36" t="str">
        <f>IF(ISNONTEXT(deployment_raw[[#This Row],[Column4]]), "", deployment_raw[[#This Row],[Column4]])</f>
        <v/>
      </c>
      <c r="E65" s="37" t="str">
        <f>IF(ISNUMBER(deployment_raw[[#This Row],[Column5]]), deployment_raw[[#This Row],[Column5]],"")</f>
        <v/>
      </c>
      <c r="F65" s="94" t="str">
        <f>IF(ISNUMBER(deployment_raw[[#This Row],[Column6]]), (deployment_raw[[#This Row],[Column6]] * IF($E$2="Deployment",deployment_raw[[#This Row],[Column5]],1)),"")</f>
        <v/>
      </c>
      <c r="G65" s="95" t="str">
        <f>IF(ISNUMBER(deployment_raw[[#This Row],[Column7]]), (deployment_raw[[#This Row],[Column7]] * IF($E$2="Deployment",deployment_raw[[#This Row],[Column5]],1))/1048576,"")</f>
        <v/>
      </c>
      <c r="H65" s="95" t="str">
        <f>IF(ISNUMBER(deployment_raw[[#This Row],[Column8]]), (deployment_raw[[#This Row],[Column8]]  * IF($E$2="Deployment",deployment_raw[[#This Row],[Column5]],1)),"")</f>
        <v/>
      </c>
      <c r="I65" s="96" t="str">
        <f>IF(ISNUMBER(deployment_raw[[#This Row],[Column9]]), (deployment_raw[[#This Row],[Column9]] * IF($E$2="Deployment",deployment_raw[[#This Row],[Column5]],1))/1048576,"")</f>
        <v/>
      </c>
      <c r="J65" s="122" t="str">
        <f>IF(ISNUMBER(deployment_raw[[#This Row],[Column10]]), (MIN(IF(N65&lt;&gt;"",N65,9999999999999)*1.1,deployment_raw[[#This Row],[Column10]] * IF($E$2="Deployment",deployment_raw[[#This Row],[Column5]],1))),"")</f>
        <v/>
      </c>
      <c r="K65" s="123" t="str">
        <f>IF(ISNUMBER(deployment_raw[[#This Row],[Column11]]), (MIN(IF(O65&lt;&gt;"",O65,9999999999999)*1.1,deployment_raw[[#This Row],[Column11]] * IF($E$2="Deployment",deployment_raw[[#This Row],[Column5]],1)/1048576)),"")</f>
        <v/>
      </c>
      <c r="L65" s="124" t="str">
        <f>IF(ISNUMBER(deployment_raw[[#This Row],[Column8]]),IF(OR(deployment_raw[[#This Row],[Column5]] &lt;&gt; 0,$E$2 &lt;&gt; "Deployment"), MAX(J65, P65, R65, ($L$2 * IF($E$2="Deployment",deployment_raw[[#This Row],[Column5]],1)),IF(T65&lt;&gt;"",VALUE(T65) * IF($E$2="Deployment",deployment_raw[[#This Row],[Column5]],1),0)), 0),"")</f>
        <v/>
      </c>
      <c r="M65" s="125" t="str">
        <f>IF(ISNUMBER(deployment_raw[[#This Row],[Column9]]),IF(OR(deployment_raw[[#This Row],[Column5]] &lt;&gt; 0,$E$2&lt;&gt;"Deployment"), MAX(K65, Q65, S65, ($M$2 * IF($E$2="Deployment",deployment_raw[[#This Row],[Column5]],1)),IF(U65&lt;&gt;"",VALUE(U65) * IF($E$2="Deployment",deployment_raw[[#This Row],[Column5]],1),0)), 0),"")</f>
        <v/>
      </c>
      <c r="N65" s="166" t="str">
        <f>IF(ISNUMBER(deployment_raw[[#This Row],[Column14]]), deployment_raw[[#This Row],[Column14]]/IF(OR($E$2="Deployment",deployment_raw[[#This Row],[Column5]]=0),1,deployment_raw[[#This Row],[Column5]]),"")</f>
        <v/>
      </c>
      <c r="O65" s="167" t="str">
        <f>IF(ISNUMBER(deployment_raw[[#This Row],[Column15]]), deployment_raw[[#This Row],[Column15]]/IF(OR($E$2="Deployment",deployment_raw[[#This Row],[Column5]]=0),1,deployment_raw[[#This Row],[Column5]])/1048576,"")</f>
        <v/>
      </c>
      <c r="P65" s="168" t="str">
        <f>IF(ISNUMBER(deployment_raw[[#This Row],[Column12]]), (MIN(IF(N65&lt;&gt;"",N65,9999999999999)*1.1,deployment_raw[[#This Row],[Column12]] * IF($E$2="Deployment",deployment_raw[[#This Row],[Column5]],1))*(1+$P$2)),"")</f>
        <v/>
      </c>
      <c r="Q65" s="167" t="str">
        <f>IF(ISNUMBER(deployment_raw[[#This Row],[Column13]]), (MIN(IF(O65&lt;&gt;"",O65,9999999999999)*1.1,deployment_raw[[#This Row],[Column13]] * IF($E$2="Deployment",deployment_raw[[#This Row],[Column5]],1)*(1+$Q$2)/1048576)),"")</f>
        <v/>
      </c>
      <c r="R65" s="169" t="str">
        <f>IF(ISNUMBER(deployment_raw[[#This Row],[Column8]]), (H65  * IF(N65&lt;&gt;0,$R$2,1)),"")</f>
        <v/>
      </c>
      <c r="S65" s="170" t="str">
        <f>IF(ISNUMBER(deployment_raw[[#This Row],[Column8]]), (I65  * IF(O65&lt;&gt;0,$S$2,1)),"")</f>
        <v/>
      </c>
      <c r="T65" s="202" t="str">
        <f>IF(AND(A65&lt;&gt;"",_xlfn.IFNA(MATCH(A65,'dynamic resource application '!$A$2:$A$100, 0),0)&lt;&gt;0), H65/(IF($E$2="Deployment",E65,1)),"")</f>
        <v/>
      </c>
      <c r="U65" s="211" t="str">
        <f>IF(AND(A65&lt;&gt;"",_xlfn.IFNA(MATCH(A65,'dynamic resource application '!$A$2:$A$100, 0),0)&lt;&gt;0), I65/(IF($E$2="Deployment",E65,1)),"")</f>
        <v/>
      </c>
    </row>
    <row r="66" spans="1:21" ht="15.75" customHeight="1" x14ac:dyDescent="0.25">
      <c r="A66" s="35" t="str">
        <f>IF(ISNONTEXT(deployment_raw[[#This Row],[Column1]]), "", deployment_raw[[#This Row],[Column1]])</f>
        <v/>
      </c>
      <c r="B66" s="36" t="str">
        <f>IF(ISNONTEXT(deployment_raw[[#This Row],[Column2]]), "", deployment_raw[[#This Row],[Column2]])</f>
        <v/>
      </c>
      <c r="C66" s="36" t="str">
        <f>IF(ISNONTEXT(deployment_raw[[#This Row],[Column3]]), "", deployment_raw[[#This Row],[Column3]])</f>
        <v/>
      </c>
      <c r="D66" s="36" t="str">
        <f>IF(ISNONTEXT(deployment_raw[[#This Row],[Column4]]), "", deployment_raw[[#This Row],[Column4]])</f>
        <v/>
      </c>
      <c r="E66" s="37" t="str">
        <f>IF(ISNUMBER(deployment_raw[[#This Row],[Column5]]), deployment_raw[[#This Row],[Column5]],"")</f>
        <v/>
      </c>
      <c r="F66" s="94" t="str">
        <f>IF(ISNUMBER(deployment_raw[[#This Row],[Column6]]), (deployment_raw[[#This Row],[Column6]] * IF($E$2="Deployment",deployment_raw[[#This Row],[Column5]],1)),"")</f>
        <v/>
      </c>
      <c r="G66" s="95" t="str">
        <f>IF(ISNUMBER(deployment_raw[[#This Row],[Column7]]), (deployment_raw[[#This Row],[Column7]] * IF($E$2="Deployment",deployment_raw[[#This Row],[Column5]],1))/1048576,"")</f>
        <v/>
      </c>
      <c r="H66" s="95" t="str">
        <f>IF(ISNUMBER(deployment_raw[[#This Row],[Column8]]), (deployment_raw[[#This Row],[Column8]]  * IF($E$2="Deployment",deployment_raw[[#This Row],[Column5]],1)),"")</f>
        <v/>
      </c>
      <c r="I66" s="96" t="str">
        <f>IF(ISNUMBER(deployment_raw[[#This Row],[Column9]]), (deployment_raw[[#This Row],[Column9]] * IF($E$2="Deployment",deployment_raw[[#This Row],[Column5]],1))/1048576,"")</f>
        <v/>
      </c>
      <c r="J66" s="122" t="str">
        <f>IF(ISNUMBER(deployment_raw[[#This Row],[Column10]]), (MIN(IF(N66&lt;&gt;"",N66,9999999999999)*1.1,deployment_raw[[#This Row],[Column10]] * IF($E$2="Deployment",deployment_raw[[#This Row],[Column5]],1))),"")</f>
        <v/>
      </c>
      <c r="K66" s="123" t="str">
        <f>IF(ISNUMBER(deployment_raw[[#This Row],[Column11]]), (MIN(IF(O66&lt;&gt;"",O66,9999999999999)*1.1,deployment_raw[[#This Row],[Column11]] * IF($E$2="Deployment",deployment_raw[[#This Row],[Column5]],1)/1048576)),"")</f>
        <v/>
      </c>
      <c r="L66" s="124" t="str">
        <f>IF(ISNUMBER(deployment_raw[[#This Row],[Column8]]),IF(OR(deployment_raw[[#This Row],[Column5]] &lt;&gt; 0,$E$2 &lt;&gt; "Deployment"), MAX(J66, P66, R66, ($L$2 * IF($E$2="Deployment",deployment_raw[[#This Row],[Column5]],1)),IF(T66&lt;&gt;"",VALUE(T66) * IF($E$2="Deployment",deployment_raw[[#This Row],[Column5]],1),0)), 0),"")</f>
        <v/>
      </c>
      <c r="M66" s="125" t="str">
        <f>IF(ISNUMBER(deployment_raw[[#This Row],[Column9]]),IF(OR(deployment_raw[[#This Row],[Column5]] &lt;&gt; 0,$E$2&lt;&gt;"Deployment"), MAX(K66, Q66, S66, ($M$2 * IF($E$2="Deployment",deployment_raw[[#This Row],[Column5]],1)),IF(U66&lt;&gt;"",VALUE(U66) * IF($E$2="Deployment",deployment_raw[[#This Row],[Column5]],1),0)), 0),"")</f>
        <v/>
      </c>
      <c r="N66" s="166" t="str">
        <f>IF(ISNUMBER(deployment_raw[[#This Row],[Column14]]), deployment_raw[[#This Row],[Column14]]/IF(OR($E$2="Deployment",deployment_raw[[#This Row],[Column5]]=0),1,deployment_raw[[#This Row],[Column5]]),"")</f>
        <v/>
      </c>
      <c r="O66" s="167" t="str">
        <f>IF(ISNUMBER(deployment_raw[[#This Row],[Column15]]), deployment_raw[[#This Row],[Column15]]/IF(OR($E$2="Deployment",deployment_raw[[#This Row],[Column5]]=0),1,deployment_raw[[#This Row],[Column5]])/1048576,"")</f>
        <v/>
      </c>
      <c r="P66" s="168" t="str">
        <f>IF(ISNUMBER(deployment_raw[[#This Row],[Column12]]), (MIN(IF(N66&lt;&gt;"",N66,9999999999999)*1.1,deployment_raw[[#This Row],[Column12]] * IF($E$2="Deployment",deployment_raw[[#This Row],[Column5]],1))*(1+$P$2)),"")</f>
        <v/>
      </c>
      <c r="Q66" s="167" t="str">
        <f>IF(ISNUMBER(deployment_raw[[#This Row],[Column13]]), (MIN(IF(O66&lt;&gt;"",O66,9999999999999)*1.1,deployment_raw[[#This Row],[Column13]] * IF($E$2="Deployment",deployment_raw[[#This Row],[Column5]],1)*(1+$Q$2)/1048576)),"")</f>
        <v/>
      </c>
      <c r="R66" s="169" t="str">
        <f>IF(ISNUMBER(deployment_raw[[#This Row],[Column8]]), (H66  * IF(N66&lt;&gt;0,$R$2,1)),"")</f>
        <v/>
      </c>
      <c r="S66" s="170" t="str">
        <f>IF(ISNUMBER(deployment_raw[[#This Row],[Column8]]), (I66  * IF(O66&lt;&gt;0,$S$2,1)),"")</f>
        <v/>
      </c>
      <c r="T66" s="202" t="str">
        <f>IF(AND(A66&lt;&gt;"",_xlfn.IFNA(MATCH(A66,'dynamic resource application '!$A$2:$A$100, 0),0)&lt;&gt;0), H66/(IF($E$2="Deployment",E66,1)),"")</f>
        <v/>
      </c>
      <c r="U66" s="211" t="str">
        <f>IF(AND(A66&lt;&gt;"",_xlfn.IFNA(MATCH(A66,'dynamic resource application '!$A$2:$A$100, 0),0)&lt;&gt;0), I66/(IF($E$2="Deployment",E66,1)),"")</f>
        <v/>
      </c>
    </row>
    <row r="67" spans="1:21" ht="15.75" customHeight="1" x14ac:dyDescent="0.25">
      <c r="A67" s="35" t="str">
        <f>IF(ISNONTEXT(deployment_raw[[#This Row],[Column1]]), "", deployment_raw[[#This Row],[Column1]])</f>
        <v/>
      </c>
      <c r="B67" s="36" t="str">
        <f>IF(ISNONTEXT(deployment_raw[[#This Row],[Column2]]), "", deployment_raw[[#This Row],[Column2]])</f>
        <v/>
      </c>
      <c r="C67" s="36" t="str">
        <f>IF(ISNONTEXT(deployment_raw[[#This Row],[Column3]]), "", deployment_raw[[#This Row],[Column3]])</f>
        <v/>
      </c>
      <c r="D67" s="36" t="str">
        <f>IF(ISNONTEXT(deployment_raw[[#This Row],[Column4]]), "", deployment_raw[[#This Row],[Column4]])</f>
        <v/>
      </c>
      <c r="E67" s="37" t="str">
        <f>IF(ISNUMBER(deployment_raw[[#This Row],[Column5]]), deployment_raw[[#This Row],[Column5]],"")</f>
        <v/>
      </c>
      <c r="F67" s="94" t="str">
        <f>IF(ISNUMBER(deployment_raw[[#This Row],[Column6]]), (deployment_raw[[#This Row],[Column6]] * IF($E$2="Deployment",deployment_raw[[#This Row],[Column5]],1)),"")</f>
        <v/>
      </c>
      <c r="G67" s="95" t="str">
        <f>IF(ISNUMBER(deployment_raw[[#This Row],[Column7]]), (deployment_raw[[#This Row],[Column7]] * IF($E$2="Deployment",deployment_raw[[#This Row],[Column5]],1))/1048576,"")</f>
        <v/>
      </c>
      <c r="H67" s="95" t="str">
        <f>IF(ISNUMBER(deployment_raw[[#This Row],[Column8]]), (deployment_raw[[#This Row],[Column8]]  * IF($E$2="Deployment",deployment_raw[[#This Row],[Column5]],1)),"")</f>
        <v/>
      </c>
      <c r="I67" s="96" t="str">
        <f>IF(ISNUMBER(deployment_raw[[#This Row],[Column9]]), (deployment_raw[[#This Row],[Column9]] * IF($E$2="Deployment",deployment_raw[[#This Row],[Column5]],1))/1048576,"")</f>
        <v/>
      </c>
      <c r="J67" s="122" t="str">
        <f>IF(ISNUMBER(deployment_raw[[#This Row],[Column10]]), (MIN(IF(N67&lt;&gt;"",N67,9999999999999)*1.1,deployment_raw[[#This Row],[Column10]] * IF($E$2="Deployment",deployment_raw[[#This Row],[Column5]],1))),"")</f>
        <v/>
      </c>
      <c r="K67" s="123" t="str">
        <f>IF(ISNUMBER(deployment_raw[[#This Row],[Column11]]), (MIN(IF(O67&lt;&gt;"",O67,9999999999999)*1.1,deployment_raw[[#This Row],[Column11]] * IF($E$2="Deployment",deployment_raw[[#This Row],[Column5]],1)/1048576)),"")</f>
        <v/>
      </c>
      <c r="L67" s="124" t="str">
        <f>IF(ISNUMBER(deployment_raw[[#This Row],[Column8]]),IF(OR(deployment_raw[[#This Row],[Column5]] &lt;&gt; 0,$E$2 &lt;&gt; "Deployment"), MAX(J67, P67, R67, ($L$2 * IF($E$2="Deployment",deployment_raw[[#This Row],[Column5]],1)),IF(T67&lt;&gt;"",VALUE(T67) * IF($E$2="Deployment",deployment_raw[[#This Row],[Column5]],1),0)), 0),"")</f>
        <v/>
      </c>
      <c r="M67" s="125" t="str">
        <f>IF(ISNUMBER(deployment_raw[[#This Row],[Column9]]),IF(OR(deployment_raw[[#This Row],[Column5]] &lt;&gt; 0,$E$2&lt;&gt;"Deployment"), MAX(K67, Q67, S67, ($M$2 * IF($E$2="Deployment",deployment_raw[[#This Row],[Column5]],1)),IF(U67&lt;&gt;"",VALUE(U67) * IF($E$2="Deployment",deployment_raw[[#This Row],[Column5]],1),0)), 0),"")</f>
        <v/>
      </c>
      <c r="N67" s="166" t="str">
        <f>IF(ISNUMBER(deployment_raw[[#This Row],[Column14]]), deployment_raw[[#This Row],[Column14]]/IF(OR($E$2="Deployment",deployment_raw[[#This Row],[Column5]]=0),1,deployment_raw[[#This Row],[Column5]]),"")</f>
        <v/>
      </c>
      <c r="O67" s="167" t="str">
        <f>IF(ISNUMBER(deployment_raw[[#This Row],[Column15]]), deployment_raw[[#This Row],[Column15]]/IF(OR($E$2="Deployment",deployment_raw[[#This Row],[Column5]]=0),1,deployment_raw[[#This Row],[Column5]])/1048576,"")</f>
        <v/>
      </c>
      <c r="P67" s="168" t="str">
        <f>IF(ISNUMBER(deployment_raw[[#This Row],[Column12]]), (MIN(IF(N67&lt;&gt;"",N67,9999999999999)*1.1,deployment_raw[[#This Row],[Column12]] * IF($E$2="Deployment",deployment_raw[[#This Row],[Column5]],1))*(1+$P$2)),"")</f>
        <v/>
      </c>
      <c r="Q67" s="167" t="str">
        <f>IF(ISNUMBER(deployment_raw[[#This Row],[Column13]]), (MIN(IF(O67&lt;&gt;"",O67,9999999999999)*1.1,deployment_raw[[#This Row],[Column13]] * IF($E$2="Deployment",deployment_raw[[#This Row],[Column5]],1)*(1+$Q$2)/1048576)),"")</f>
        <v/>
      </c>
      <c r="R67" s="169" t="str">
        <f>IF(ISNUMBER(deployment_raw[[#This Row],[Column8]]), (H67  * IF(N67&lt;&gt;0,$R$2,1)),"")</f>
        <v/>
      </c>
      <c r="S67" s="170" t="str">
        <f>IF(ISNUMBER(deployment_raw[[#This Row],[Column8]]), (I67  * IF(O67&lt;&gt;0,$S$2,1)),"")</f>
        <v/>
      </c>
      <c r="T67" s="202" t="str">
        <f>IF(AND(A67&lt;&gt;"",_xlfn.IFNA(MATCH(A67,'dynamic resource application '!$A$2:$A$100, 0),0)&lt;&gt;0), H67/(IF($E$2="Deployment",E67,1)),"")</f>
        <v/>
      </c>
      <c r="U67" s="211" t="str">
        <f>IF(AND(A67&lt;&gt;"",_xlfn.IFNA(MATCH(A67,'dynamic resource application '!$A$2:$A$100, 0),0)&lt;&gt;0), I67/(IF($E$2="Deployment",E67,1)),"")</f>
        <v/>
      </c>
    </row>
    <row r="68" spans="1:21" ht="15.75" customHeight="1" x14ac:dyDescent="0.25">
      <c r="A68" s="35" t="str">
        <f>IF(ISNONTEXT(deployment_raw[[#This Row],[Column1]]), "", deployment_raw[[#This Row],[Column1]])</f>
        <v/>
      </c>
      <c r="B68" s="36" t="str">
        <f>IF(ISNONTEXT(deployment_raw[[#This Row],[Column2]]), "", deployment_raw[[#This Row],[Column2]])</f>
        <v/>
      </c>
      <c r="C68" s="36" t="str">
        <f>IF(ISNONTEXT(deployment_raw[[#This Row],[Column3]]), "", deployment_raw[[#This Row],[Column3]])</f>
        <v/>
      </c>
      <c r="D68" s="36" t="str">
        <f>IF(ISNONTEXT(deployment_raw[[#This Row],[Column4]]), "", deployment_raw[[#This Row],[Column4]])</f>
        <v/>
      </c>
      <c r="E68" s="37" t="str">
        <f>IF(ISNUMBER(deployment_raw[[#This Row],[Column5]]), deployment_raw[[#This Row],[Column5]],"")</f>
        <v/>
      </c>
      <c r="F68" s="94" t="str">
        <f>IF(ISNUMBER(deployment_raw[[#This Row],[Column6]]), (deployment_raw[[#This Row],[Column6]] * IF($E$2="Deployment",deployment_raw[[#This Row],[Column5]],1)),"")</f>
        <v/>
      </c>
      <c r="G68" s="95" t="str">
        <f>IF(ISNUMBER(deployment_raw[[#This Row],[Column7]]), (deployment_raw[[#This Row],[Column7]] * IF($E$2="Deployment",deployment_raw[[#This Row],[Column5]],1))/1048576,"")</f>
        <v/>
      </c>
      <c r="H68" s="95" t="str">
        <f>IF(ISNUMBER(deployment_raw[[#This Row],[Column8]]), (deployment_raw[[#This Row],[Column8]]  * IF($E$2="Deployment",deployment_raw[[#This Row],[Column5]],1)),"")</f>
        <v/>
      </c>
      <c r="I68" s="96" t="str">
        <f>IF(ISNUMBER(deployment_raw[[#This Row],[Column9]]), (deployment_raw[[#This Row],[Column9]] * IF($E$2="Deployment",deployment_raw[[#This Row],[Column5]],1))/1048576,"")</f>
        <v/>
      </c>
      <c r="J68" s="122" t="str">
        <f>IF(ISNUMBER(deployment_raw[[#This Row],[Column10]]), (MIN(IF(N68&lt;&gt;"",N68,9999999999999)*1.1,deployment_raw[[#This Row],[Column10]] * IF($E$2="Deployment",deployment_raw[[#This Row],[Column5]],1))),"")</f>
        <v/>
      </c>
      <c r="K68" s="123" t="str">
        <f>IF(ISNUMBER(deployment_raw[[#This Row],[Column11]]), (MIN(IF(O68&lt;&gt;"",O68,9999999999999)*1.1,deployment_raw[[#This Row],[Column11]] * IF($E$2="Deployment",deployment_raw[[#This Row],[Column5]],1)/1048576)),"")</f>
        <v/>
      </c>
      <c r="L68" s="124" t="str">
        <f>IF(ISNUMBER(deployment_raw[[#This Row],[Column8]]),IF(OR(deployment_raw[[#This Row],[Column5]] &lt;&gt; 0,$E$2 &lt;&gt; "Deployment"), MAX(J68, P68, R68, ($L$2 * IF($E$2="Deployment",deployment_raw[[#This Row],[Column5]],1)),IF(T68&lt;&gt;"",VALUE(T68) * IF($E$2="Deployment",deployment_raw[[#This Row],[Column5]],1),0)), 0),"")</f>
        <v/>
      </c>
      <c r="M68" s="125" t="str">
        <f>IF(ISNUMBER(deployment_raw[[#This Row],[Column9]]),IF(OR(deployment_raw[[#This Row],[Column5]] &lt;&gt; 0,$E$2&lt;&gt;"Deployment"), MAX(K68, Q68, S68, ($M$2 * IF($E$2="Deployment",deployment_raw[[#This Row],[Column5]],1)),IF(U68&lt;&gt;"",VALUE(U68) * IF($E$2="Deployment",deployment_raw[[#This Row],[Column5]],1),0)), 0),"")</f>
        <v/>
      </c>
      <c r="N68" s="166" t="str">
        <f>IF(ISNUMBER(deployment_raw[[#This Row],[Column14]]), deployment_raw[[#This Row],[Column14]]/IF(OR($E$2="Deployment",deployment_raw[[#This Row],[Column5]]=0),1,deployment_raw[[#This Row],[Column5]]),"")</f>
        <v/>
      </c>
      <c r="O68" s="167" t="str">
        <f>IF(ISNUMBER(deployment_raw[[#This Row],[Column15]]), deployment_raw[[#This Row],[Column15]]/IF(OR($E$2="Deployment",deployment_raw[[#This Row],[Column5]]=0),1,deployment_raw[[#This Row],[Column5]])/1048576,"")</f>
        <v/>
      </c>
      <c r="P68" s="168" t="str">
        <f>IF(ISNUMBER(deployment_raw[[#This Row],[Column12]]), (MIN(IF(N68&lt;&gt;"",N68,9999999999999)*1.1,deployment_raw[[#This Row],[Column12]] * IF($E$2="Deployment",deployment_raw[[#This Row],[Column5]],1))*(1+$P$2)),"")</f>
        <v/>
      </c>
      <c r="Q68" s="167" t="str">
        <f>IF(ISNUMBER(deployment_raw[[#This Row],[Column13]]), (MIN(IF(O68&lt;&gt;"",O68,9999999999999)*1.1,deployment_raw[[#This Row],[Column13]] * IF($E$2="Deployment",deployment_raw[[#This Row],[Column5]],1)*(1+$Q$2)/1048576)),"")</f>
        <v/>
      </c>
      <c r="R68" s="169" t="str">
        <f>IF(ISNUMBER(deployment_raw[[#This Row],[Column8]]), (H68  * IF(N68&lt;&gt;0,$R$2,1)),"")</f>
        <v/>
      </c>
      <c r="S68" s="170" t="str">
        <f>IF(ISNUMBER(deployment_raw[[#This Row],[Column8]]), (I68  * IF(O68&lt;&gt;0,$S$2,1)),"")</f>
        <v/>
      </c>
      <c r="T68" s="202" t="str">
        <f>IF(AND(A68&lt;&gt;"",_xlfn.IFNA(MATCH(A68,'dynamic resource application '!$A$2:$A$100, 0),0)&lt;&gt;0), H68/(IF($E$2="Deployment",E68,1)),"")</f>
        <v/>
      </c>
      <c r="U68" s="211" t="str">
        <f>IF(AND(A68&lt;&gt;"",_xlfn.IFNA(MATCH(A68,'dynamic resource application '!$A$2:$A$100, 0),0)&lt;&gt;0), I68/(IF($E$2="Deployment",E68,1)),"")</f>
        <v/>
      </c>
    </row>
    <row r="69" spans="1:21" ht="15.75" customHeight="1" x14ac:dyDescent="0.25">
      <c r="A69" s="35" t="str">
        <f>IF(ISNONTEXT(deployment_raw[[#This Row],[Column1]]), "", deployment_raw[[#This Row],[Column1]])</f>
        <v/>
      </c>
      <c r="B69" s="36" t="str">
        <f>IF(ISNONTEXT(deployment_raw[[#This Row],[Column2]]), "", deployment_raw[[#This Row],[Column2]])</f>
        <v/>
      </c>
      <c r="C69" s="36" t="str">
        <f>IF(ISNONTEXT(deployment_raw[[#This Row],[Column3]]), "", deployment_raw[[#This Row],[Column3]])</f>
        <v/>
      </c>
      <c r="D69" s="36" t="str">
        <f>IF(ISNONTEXT(deployment_raw[[#This Row],[Column4]]), "", deployment_raw[[#This Row],[Column4]])</f>
        <v/>
      </c>
      <c r="E69" s="37" t="str">
        <f>IF(ISNUMBER(deployment_raw[[#This Row],[Column5]]), deployment_raw[[#This Row],[Column5]],"")</f>
        <v/>
      </c>
      <c r="F69" s="94" t="str">
        <f>IF(ISNUMBER(deployment_raw[[#This Row],[Column6]]), (deployment_raw[[#This Row],[Column6]] * IF($E$2="Deployment",deployment_raw[[#This Row],[Column5]],1)),"")</f>
        <v/>
      </c>
      <c r="G69" s="95" t="str">
        <f>IF(ISNUMBER(deployment_raw[[#This Row],[Column7]]), (deployment_raw[[#This Row],[Column7]] * IF($E$2="Deployment",deployment_raw[[#This Row],[Column5]],1))/1048576,"")</f>
        <v/>
      </c>
      <c r="H69" s="95" t="str">
        <f>IF(ISNUMBER(deployment_raw[[#This Row],[Column8]]), (deployment_raw[[#This Row],[Column8]]  * IF($E$2="Deployment",deployment_raw[[#This Row],[Column5]],1)),"")</f>
        <v/>
      </c>
      <c r="I69" s="96" t="str">
        <f>IF(ISNUMBER(deployment_raw[[#This Row],[Column9]]), (deployment_raw[[#This Row],[Column9]] * IF($E$2="Deployment",deployment_raw[[#This Row],[Column5]],1))/1048576,"")</f>
        <v/>
      </c>
      <c r="J69" s="122" t="str">
        <f>IF(ISNUMBER(deployment_raw[[#This Row],[Column10]]), (MIN(IF(N69&lt;&gt;"",N69,9999999999999)*1.1,deployment_raw[[#This Row],[Column10]] * IF($E$2="Deployment",deployment_raw[[#This Row],[Column5]],1))),"")</f>
        <v/>
      </c>
      <c r="K69" s="123" t="str">
        <f>IF(ISNUMBER(deployment_raw[[#This Row],[Column11]]), (MIN(IF(O69&lt;&gt;"",O69,9999999999999)*1.1,deployment_raw[[#This Row],[Column11]] * IF($E$2="Deployment",deployment_raw[[#This Row],[Column5]],1)/1048576)),"")</f>
        <v/>
      </c>
      <c r="L69" s="124" t="str">
        <f>IF(ISNUMBER(deployment_raw[[#This Row],[Column8]]),IF(OR(deployment_raw[[#This Row],[Column5]] &lt;&gt; 0,$E$2 &lt;&gt; "Deployment"), MAX(J69, P69, R69, ($L$2 * IF($E$2="Deployment",deployment_raw[[#This Row],[Column5]],1)),IF(T69&lt;&gt;"",VALUE(T69) * IF($E$2="Deployment",deployment_raw[[#This Row],[Column5]],1),0)), 0),"")</f>
        <v/>
      </c>
      <c r="M69" s="125" t="str">
        <f>IF(ISNUMBER(deployment_raw[[#This Row],[Column9]]),IF(OR(deployment_raw[[#This Row],[Column5]] &lt;&gt; 0,$E$2&lt;&gt;"Deployment"), MAX(K69, Q69, S69, ($M$2 * IF($E$2="Deployment",deployment_raw[[#This Row],[Column5]],1)),IF(U69&lt;&gt;"",VALUE(U69) * IF($E$2="Deployment",deployment_raw[[#This Row],[Column5]],1),0)), 0),"")</f>
        <v/>
      </c>
      <c r="N69" s="166" t="str">
        <f>IF(ISNUMBER(deployment_raw[[#This Row],[Column14]]), deployment_raw[[#This Row],[Column14]]/IF(OR($E$2="Deployment",deployment_raw[[#This Row],[Column5]]=0),1,deployment_raw[[#This Row],[Column5]]),"")</f>
        <v/>
      </c>
      <c r="O69" s="167" t="str">
        <f>IF(ISNUMBER(deployment_raw[[#This Row],[Column15]]), deployment_raw[[#This Row],[Column15]]/IF(OR($E$2="Deployment",deployment_raw[[#This Row],[Column5]]=0),1,deployment_raw[[#This Row],[Column5]])/1048576,"")</f>
        <v/>
      </c>
      <c r="P69" s="168" t="str">
        <f>IF(ISNUMBER(deployment_raw[[#This Row],[Column12]]), (MIN(IF(N69&lt;&gt;"",N69,9999999999999)*1.1,deployment_raw[[#This Row],[Column12]] * IF($E$2="Deployment",deployment_raw[[#This Row],[Column5]],1))*(1+$P$2)),"")</f>
        <v/>
      </c>
      <c r="Q69" s="167" t="str">
        <f>IF(ISNUMBER(deployment_raw[[#This Row],[Column13]]), (MIN(IF(O69&lt;&gt;"",O69,9999999999999)*1.1,deployment_raw[[#This Row],[Column13]] * IF($E$2="Deployment",deployment_raw[[#This Row],[Column5]],1)*(1+$Q$2)/1048576)),"")</f>
        <v/>
      </c>
      <c r="R69" s="169" t="str">
        <f>IF(ISNUMBER(deployment_raw[[#This Row],[Column8]]), (H69  * IF(N69&lt;&gt;0,$R$2,1)),"")</f>
        <v/>
      </c>
      <c r="S69" s="170" t="str">
        <f>IF(ISNUMBER(deployment_raw[[#This Row],[Column8]]), (I69  * IF(O69&lt;&gt;0,$S$2,1)),"")</f>
        <v/>
      </c>
      <c r="T69" s="202" t="str">
        <f>IF(AND(A69&lt;&gt;"",_xlfn.IFNA(MATCH(A69,'dynamic resource application '!$A$2:$A$100, 0),0)&lt;&gt;0), H69/(IF($E$2="Deployment",E69,1)),"")</f>
        <v/>
      </c>
      <c r="U69" s="211" t="str">
        <f>IF(AND(A69&lt;&gt;"",_xlfn.IFNA(MATCH(A69,'dynamic resource application '!$A$2:$A$100, 0),0)&lt;&gt;0), I69/(IF($E$2="Deployment",E69,1)),"")</f>
        <v/>
      </c>
    </row>
    <row r="70" spans="1:21" ht="15.75" customHeight="1" x14ac:dyDescent="0.25">
      <c r="A70" s="35" t="str">
        <f>IF(ISNONTEXT(deployment_raw[[#This Row],[Column1]]), "", deployment_raw[[#This Row],[Column1]])</f>
        <v/>
      </c>
      <c r="B70" s="36" t="str">
        <f>IF(ISNONTEXT(deployment_raw[[#This Row],[Column2]]), "", deployment_raw[[#This Row],[Column2]])</f>
        <v/>
      </c>
      <c r="C70" s="36" t="str">
        <f>IF(ISNONTEXT(deployment_raw[[#This Row],[Column3]]), "", deployment_raw[[#This Row],[Column3]])</f>
        <v/>
      </c>
      <c r="D70" s="36" t="str">
        <f>IF(ISNONTEXT(deployment_raw[[#This Row],[Column4]]), "", deployment_raw[[#This Row],[Column4]])</f>
        <v/>
      </c>
      <c r="E70" s="37" t="str">
        <f>IF(ISNUMBER(deployment_raw[[#This Row],[Column5]]), deployment_raw[[#This Row],[Column5]],"")</f>
        <v/>
      </c>
      <c r="F70" s="94" t="str">
        <f>IF(ISNUMBER(deployment_raw[[#This Row],[Column6]]), (deployment_raw[[#This Row],[Column6]] * IF($E$2="Deployment",deployment_raw[[#This Row],[Column5]],1)),"")</f>
        <v/>
      </c>
      <c r="G70" s="95" t="str">
        <f>IF(ISNUMBER(deployment_raw[[#This Row],[Column7]]), (deployment_raw[[#This Row],[Column7]] * IF($E$2="Deployment",deployment_raw[[#This Row],[Column5]],1))/1048576,"")</f>
        <v/>
      </c>
      <c r="H70" s="95" t="str">
        <f>IF(ISNUMBER(deployment_raw[[#This Row],[Column8]]), (deployment_raw[[#This Row],[Column8]]  * IF($E$2="Deployment",deployment_raw[[#This Row],[Column5]],1)),"")</f>
        <v/>
      </c>
      <c r="I70" s="96" t="str">
        <f>IF(ISNUMBER(deployment_raw[[#This Row],[Column9]]), (deployment_raw[[#This Row],[Column9]] * IF($E$2="Deployment",deployment_raw[[#This Row],[Column5]],1))/1048576,"")</f>
        <v/>
      </c>
      <c r="J70" s="122" t="str">
        <f>IF(ISNUMBER(deployment_raw[[#This Row],[Column10]]), (MIN(IF(N70&lt;&gt;"",N70,9999999999999)*1.1,deployment_raw[[#This Row],[Column10]] * IF($E$2="Deployment",deployment_raw[[#This Row],[Column5]],1))),"")</f>
        <v/>
      </c>
      <c r="K70" s="123" t="str">
        <f>IF(ISNUMBER(deployment_raw[[#This Row],[Column11]]), (MIN(IF(O70&lt;&gt;"",O70,9999999999999)*1.1,deployment_raw[[#This Row],[Column11]] * IF($E$2="Deployment",deployment_raw[[#This Row],[Column5]],1)/1048576)),"")</f>
        <v/>
      </c>
      <c r="L70" s="124" t="str">
        <f>IF(ISNUMBER(deployment_raw[[#This Row],[Column8]]),IF(OR(deployment_raw[[#This Row],[Column5]] &lt;&gt; 0,$E$2 &lt;&gt; "Deployment"), MAX(J70, P70, R70, ($L$2 * IF($E$2="Deployment",deployment_raw[[#This Row],[Column5]],1)),IF(T70&lt;&gt;"",VALUE(T70) * IF($E$2="Deployment",deployment_raw[[#This Row],[Column5]],1),0)), 0),"")</f>
        <v/>
      </c>
      <c r="M70" s="125" t="str">
        <f>IF(ISNUMBER(deployment_raw[[#This Row],[Column9]]),IF(OR(deployment_raw[[#This Row],[Column5]] &lt;&gt; 0,$E$2&lt;&gt;"Deployment"), MAX(K70, Q70, S70, ($M$2 * IF($E$2="Deployment",deployment_raw[[#This Row],[Column5]],1)),IF(U70&lt;&gt;"",VALUE(U70) * IF($E$2="Deployment",deployment_raw[[#This Row],[Column5]],1),0)), 0),"")</f>
        <v/>
      </c>
      <c r="N70" s="166" t="str">
        <f>IF(ISNUMBER(deployment_raw[[#This Row],[Column14]]), deployment_raw[[#This Row],[Column14]]/IF(OR($E$2="Deployment",deployment_raw[[#This Row],[Column5]]=0),1,deployment_raw[[#This Row],[Column5]]),"")</f>
        <v/>
      </c>
      <c r="O70" s="167" t="str">
        <f>IF(ISNUMBER(deployment_raw[[#This Row],[Column15]]), deployment_raw[[#This Row],[Column15]]/IF(OR($E$2="Deployment",deployment_raw[[#This Row],[Column5]]=0),1,deployment_raw[[#This Row],[Column5]])/1048576,"")</f>
        <v/>
      </c>
      <c r="P70" s="168" t="str">
        <f>IF(ISNUMBER(deployment_raw[[#This Row],[Column12]]), (MIN(IF(N70&lt;&gt;"",N70,9999999999999)*1.1,deployment_raw[[#This Row],[Column12]] * IF($E$2="Deployment",deployment_raw[[#This Row],[Column5]],1))*(1+$P$2)),"")</f>
        <v/>
      </c>
      <c r="Q70" s="167" t="str">
        <f>IF(ISNUMBER(deployment_raw[[#This Row],[Column13]]), (MIN(IF(O70&lt;&gt;"",O70,9999999999999)*1.1,deployment_raw[[#This Row],[Column13]] * IF($E$2="Deployment",deployment_raw[[#This Row],[Column5]],1)*(1+$Q$2)/1048576)),"")</f>
        <v/>
      </c>
      <c r="R70" s="169" t="str">
        <f>IF(ISNUMBER(deployment_raw[[#This Row],[Column8]]), (H70  * IF(N70&lt;&gt;0,$R$2,1)),"")</f>
        <v/>
      </c>
      <c r="S70" s="170" t="str">
        <f>IF(ISNUMBER(deployment_raw[[#This Row],[Column8]]), (I70  * IF(O70&lt;&gt;0,$S$2,1)),"")</f>
        <v/>
      </c>
      <c r="T70" s="202" t="str">
        <f>IF(AND(A70&lt;&gt;"",_xlfn.IFNA(MATCH(A70,'dynamic resource application '!$A$2:$A$100, 0),0)&lt;&gt;0), H70/(IF($E$2="Deployment",E70,1)),"")</f>
        <v/>
      </c>
      <c r="U70" s="211" t="str">
        <f>IF(AND(A70&lt;&gt;"",_xlfn.IFNA(MATCH(A70,'dynamic resource application '!$A$2:$A$100, 0),0)&lt;&gt;0), I70/(IF($E$2="Deployment",E70,1)),"")</f>
        <v/>
      </c>
    </row>
    <row r="71" spans="1:21" ht="15.75" customHeight="1" x14ac:dyDescent="0.25">
      <c r="A71" s="35" t="str">
        <f>IF(ISNONTEXT(deployment_raw[[#This Row],[Column1]]), "", deployment_raw[[#This Row],[Column1]])</f>
        <v/>
      </c>
      <c r="B71" s="36" t="str">
        <f>IF(ISNONTEXT(deployment_raw[[#This Row],[Column2]]), "", deployment_raw[[#This Row],[Column2]])</f>
        <v/>
      </c>
      <c r="C71" s="36" t="str">
        <f>IF(ISNONTEXT(deployment_raw[[#This Row],[Column3]]), "", deployment_raw[[#This Row],[Column3]])</f>
        <v/>
      </c>
      <c r="D71" s="36" t="str">
        <f>IF(ISNONTEXT(deployment_raw[[#This Row],[Column4]]), "", deployment_raw[[#This Row],[Column4]])</f>
        <v/>
      </c>
      <c r="E71" s="37" t="str">
        <f>IF(ISNUMBER(deployment_raw[[#This Row],[Column5]]), deployment_raw[[#This Row],[Column5]],"")</f>
        <v/>
      </c>
      <c r="F71" s="94" t="str">
        <f>IF(ISNUMBER(deployment_raw[[#This Row],[Column6]]), (deployment_raw[[#This Row],[Column6]] * IF($E$2="Deployment",deployment_raw[[#This Row],[Column5]],1)),"")</f>
        <v/>
      </c>
      <c r="G71" s="95" t="str">
        <f>IF(ISNUMBER(deployment_raw[[#This Row],[Column7]]), (deployment_raw[[#This Row],[Column7]] * IF($E$2="Deployment",deployment_raw[[#This Row],[Column5]],1))/1048576,"")</f>
        <v/>
      </c>
      <c r="H71" s="95" t="str">
        <f>IF(ISNUMBER(deployment_raw[[#This Row],[Column8]]), (deployment_raw[[#This Row],[Column8]]  * IF($E$2="Deployment",deployment_raw[[#This Row],[Column5]],1)),"")</f>
        <v/>
      </c>
      <c r="I71" s="96" t="str">
        <f>IF(ISNUMBER(deployment_raw[[#This Row],[Column9]]), (deployment_raw[[#This Row],[Column9]] * IF($E$2="Deployment",deployment_raw[[#This Row],[Column5]],1))/1048576,"")</f>
        <v/>
      </c>
      <c r="J71" s="122" t="str">
        <f>IF(ISNUMBER(deployment_raw[[#This Row],[Column10]]), (MIN(IF(N71&lt;&gt;"",N71,9999999999999)*1.1,deployment_raw[[#This Row],[Column10]] * IF($E$2="Deployment",deployment_raw[[#This Row],[Column5]],1))),"")</f>
        <v/>
      </c>
      <c r="K71" s="123" t="str">
        <f>IF(ISNUMBER(deployment_raw[[#This Row],[Column11]]), (MIN(IF(O71&lt;&gt;"",O71,9999999999999)*1.1,deployment_raw[[#This Row],[Column11]] * IF($E$2="Deployment",deployment_raw[[#This Row],[Column5]],1)/1048576)),"")</f>
        <v/>
      </c>
      <c r="L71" s="124" t="str">
        <f>IF(ISNUMBER(deployment_raw[[#This Row],[Column8]]),IF(OR(deployment_raw[[#This Row],[Column5]] &lt;&gt; 0,$E$2 &lt;&gt; "Deployment"), MAX(J71, P71, R71, ($L$2 * IF($E$2="Deployment",deployment_raw[[#This Row],[Column5]],1)),IF(T71&lt;&gt;"",VALUE(T71) * IF($E$2="Deployment",deployment_raw[[#This Row],[Column5]],1),0)), 0),"")</f>
        <v/>
      </c>
      <c r="M71" s="125" t="str">
        <f>IF(ISNUMBER(deployment_raw[[#This Row],[Column9]]),IF(OR(deployment_raw[[#This Row],[Column5]] &lt;&gt; 0,$E$2&lt;&gt;"Deployment"), MAX(K71, Q71, S71, ($M$2 * IF($E$2="Deployment",deployment_raw[[#This Row],[Column5]],1)),IF(U71&lt;&gt;"",VALUE(U71) * IF($E$2="Deployment",deployment_raw[[#This Row],[Column5]],1),0)), 0),"")</f>
        <v/>
      </c>
      <c r="N71" s="166" t="str">
        <f>IF(ISNUMBER(deployment_raw[[#This Row],[Column14]]), deployment_raw[[#This Row],[Column14]]/IF(OR($E$2="Deployment",deployment_raw[[#This Row],[Column5]]=0),1,deployment_raw[[#This Row],[Column5]]),"")</f>
        <v/>
      </c>
      <c r="O71" s="167" t="str">
        <f>IF(ISNUMBER(deployment_raw[[#This Row],[Column15]]), deployment_raw[[#This Row],[Column15]]/IF(OR($E$2="Deployment",deployment_raw[[#This Row],[Column5]]=0),1,deployment_raw[[#This Row],[Column5]])/1048576,"")</f>
        <v/>
      </c>
      <c r="P71" s="168" t="str">
        <f>IF(ISNUMBER(deployment_raw[[#This Row],[Column12]]), (MIN(IF(N71&lt;&gt;"",N71,9999999999999)*1.1,deployment_raw[[#This Row],[Column12]] * IF($E$2="Deployment",deployment_raw[[#This Row],[Column5]],1))*(1+$P$2)),"")</f>
        <v/>
      </c>
      <c r="Q71" s="167" t="str">
        <f>IF(ISNUMBER(deployment_raw[[#This Row],[Column13]]), (MIN(IF(O71&lt;&gt;"",O71,9999999999999)*1.1,deployment_raw[[#This Row],[Column13]] * IF($E$2="Deployment",deployment_raw[[#This Row],[Column5]],1)*(1+$Q$2)/1048576)),"")</f>
        <v/>
      </c>
      <c r="R71" s="169" t="str">
        <f>IF(ISNUMBER(deployment_raw[[#This Row],[Column8]]), (H71  * IF(N71&lt;&gt;0,$R$2,1)),"")</f>
        <v/>
      </c>
      <c r="S71" s="170" t="str">
        <f>IF(ISNUMBER(deployment_raw[[#This Row],[Column8]]), (I71  * IF(O71&lt;&gt;0,$S$2,1)),"")</f>
        <v/>
      </c>
      <c r="T71" s="202" t="str">
        <f>IF(AND(A71&lt;&gt;"",_xlfn.IFNA(MATCH(A71,'dynamic resource application '!$A$2:$A$100, 0),0)&lt;&gt;0), H71/(IF($E$2="Deployment",E71,1)),"")</f>
        <v/>
      </c>
      <c r="U71" s="211" t="str">
        <f>IF(AND(A71&lt;&gt;"",_xlfn.IFNA(MATCH(A71,'dynamic resource application '!$A$2:$A$100, 0),0)&lt;&gt;0), I71/(IF($E$2="Deployment",E71,1)),"")</f>
        <v/>
      </c>
    </row>
    <row r="72" spans="1:21" ht="15.75" customHeight="1" x14ac:dyDescent="0.25">
      <c r="A72" s="35" t="str">
        <f>IF(ISNONTEXT(deployment_raw[[#This Row],[Column1]]), "", deployment_raw[[#This Row],[Column1]])</f>
        <v/>
      </c>
      <c r="B72" s="36" t="str">
        <f>IF(ISNONTEXT(deployment_raw[[#This Row],[Column2]]), "", deployment_raw[[#This Row],[Column2]])</f>
        <v/>
      </c>
      <c r="C72" s="36" t="str">
        <f>IF(ISNONTEXT(deployment_raw[[#This Row],[Column3]]), "", deployment_raw[[#This Row],[Column3]])</f>
        <v/>
      </c>
      <c r="D72" s="36" t="str">
        <f>IF(ISNONTEXT(deployment_raw[[#This Row],[Column4]]), "", deployment_raw[[#This Row],[Column4]])</f>
        <v/>
      </c>
      <c r="E72" s="37" t="str">
        <f>IF(ISNUMBER(deployment_raw[[#This Row],[Column5]]), deployment_raw[[#This Row],[Column5]],"")</f>
        <v/>
      </c>
      <c r="F72" s="94" t="str">
        <f>IF(ISNUMBER(deployment_raw[[#This Row],[Column6]]), (deployment_raw[[#This Row],[Column6]] * IF($E$2="Deployment",deployment_raw[[#This Row],[Column5]],1)),"")</f>
        <v/>
      </c>
      <c r="G72" s="95" t="str">
        <f>IF(ISNUMBER(deployment_raw[[#This Row],[Column7]]), (deployment_raw[[#This Row],[Column7]] * IF($E$2="Deployment",deployment_raw[[#This Row],[Column5]],1))/1048576,"")</f>
        <v/>
      </c>
      <c r="H72" s="95" t="str">
        <f>IF(ISNUMBER(deployment_raw[[#This Row],[Column8]]), (deployment_raw[[#This Row],[Column8]]  * IF($E$2="Deployment",deployment_raw[[#This Row],[Column5]],1)),"")</f>
        <v/>
      </c>
      <c r="I72" s="96" t="str">
        <f>IF(ISNUMBER(deployment_raw[[#This Row],[Column9]]), (deployment_raw[[#This Row],[Column9]] * IF($E$2="Deployment",deployment_raw[[#This Row],[Column5]],1))/1048576,"")</f>
        <v/>
      </c>
      <c r="J72" s="122" t="str">
        <f>IF(ISNUMBER(deployment_raw[[#This Row],[Column10]]), (MIN(IF(N72&lt;&gt;"",N72,9999999999999)*1.1,deployment_raw[[#This Row],[Column10]] * IF($E$2="Deployment",deployment_raw[[#This Row],[Column5]],1))),"")</f>
        <v/>
      </c>
      <c r="K72" s="123" t="str">
        <f>IF(ISNUMBER(deployment_raw[[#This Row],[Column11]]), (MIN(IF(O72&lt;&gt;"",O72,9999999999999)*1.1,deployment_raw[[#This Row],[Column11]] * IF($E$2="Deployment",deployment_raw[[#This Row],[Column5]],1)/1048576)),"")</f>
        <v/>
      </c>
      <c r="L72" s="124" t="str">
        <f>IF(ISNUMBER(deployment_raw[[#This Row],[Column8]]),IF(OR(deployment_raw[[#This Row],[Column5]] &lt;&gt; 0,$E$2 &lt;&gt; "Deployment"), MAX(J72, P72, R72, ($L$2 * IF($E$2="Deployment",deployment_raw[[#This Row],[Column5]],1)),IF(T72&lt;&gt;"",VALUE(T72) * IF($E$2="Deployment",deployment_raw[[#This Row],[Column5]],1),0)), 0),"")</f>
        <v/>
      </c>
      <c r="M72" s="125" t="str">
        <f>IF(ISNUMBER(deployment_raw[[#This Row],[Column9]]),IF(OR(deployment_raw[[#This Row],[Column5]] &lt;&gt; 0,$E$2&lt;&gt;"Deployment"), MAX(K72, Q72, S72, ($M$2 * IF($E$2="Deployment",deployment_raw[[#This Row],[Column5]],1)),IF(U72&lt;&gt;"",VALUE(U72) * IF($E$2="Deployment",deployment_raw[[#This Row],[Column5]],1),0)), 0),"")</f>
        <v/>
      </c>
      <c r="N72" s="166" t="str">
        <f>IF(ISNUMBER(deployment_raw[[#This Row],[Column14]]), deployment_raw[[#This Row],[Column14]]/IF(OR($E$2="Deployment",deployment_raw[[#This Row],[Column5]]=0),1,deployment_raw[[#This Row],[Column5]]),"")</f>
        <v/>
      </c>
      <c r="O72" s="167" t="str">
        <f>IF(ISNUMBER(deployment_raw[[#This Row],[Column15]]), deployment_raw[[#This Row],[Column15]]/IF(OR($E$2="Deployment",deployment_raw[[#This Row],[Column5]]=0),1,deployment_raw[[#This Row],[Column5]])/1048576,"")</f>
        <v/>
      </c>
      <c r="P72" s="168" t="str">
        <f>IF(ISNUMBER(deployment_raw[[#This Row],[Column12]]), (MIN(IF(N72&lt;&gt;"",N72,9999999999999)*1.1,deployment_raw[[#This Row],[Column12]] * IF($E$2="Deployment",deployment_raw[[#This Row],[Column5]],1))*(1+$P$2)),"")</f>
        <v/>
      </c>
      <c r="Q72" s="167" t="str">
        <f>IF(ISNUMBER(deployment_raw[[#This Row],[Column13]]), (MIN(IF(O72&lt;&gt;"",O72,9999999999999)*1.1,deployment_raw[[#This Row],[Column13]] * IF($E$2="Deployment",deployment_raw[[#This Row],[Column5]],1)*(1+$Q$2)/1048576)),"")</f>
        <v/>
      </c>
      <c r="R72" s="169" t="str">
        <f>IF(ISNUMBER(deployment_raw[[#This Row],[Column8]]), (H72  * IF(N72&lt;&gt;0,$R$2,1)),"")</f>
        <v/>
      </c>
      <c r="S72" s="170" t="str">
        <f>IF(ISNUMBER(deployment_raw[[#This Row],[Column8]]), (I72  * IF(O72&lt;&gt;0,$S$2,1)),"")</f>
        <v/>
      </c>
      <c r="T72" s="202" t="str">
        <f>IF(AND(A72&lt;&gt;"",_xlfn.IFNA(MATCH(A72,'dynamic resource application '!$A$2:$A$100, 0),0)&lt;&gt;0), H72/(IF($E$2="Deployment",E72,1)),"")</f>
        <v/>
      </c>
      <c r="U72" s="211" t="str">
        <f>IF(AND(A72&lt;&gt;"",_xlfn.IFNA(MATCH(A72,'dynamic resource application '!$A$2:$A$100, 0),0)&lt;&gt;0), I72/(IF($E$2="Deployment",E72,1)),"")</f>
        <v/>
      </c>
    </row>
    <row r="73" spans="1:21" ht="15.75" customHeight="1" x14ac:dyDescent="0.25">
      <c r="A73" s="35" t="str">
        <f>IF(ISNONTEXT(deployment_raw[[#This Row],[Column1]]), "", deployment_raw[[#This Row],[Column1]])</f>
        <v/>
      </c>
      <c r="B73" s="36" t="str">
        <f>IF(ISNONTEXT(deployment_raw[[#This Row],[Column2]]), "", deployment_raw[[#This Row],[Column2]])</f>
        <v/>
      </c>
      <c r="C73" s="36" t="str">
        <f>IF(ISNONTEXT(deployment_raw[[#This Row],[Column3]]), "", deployment_raw[[#This Row],[Column3]])</f>
        <v/>
      </c>
      <c r="D73" s="36" t="str">
        <f>IF(ISNONTEXT(deployment_raw[[#This Row],[Column4]]), "", deployment_raw[[#This Row],[Column4]])</f>
        <v/>
      </c>
      <c r="E73" s="37" t="str">
        <f>IF(ISNUMBER(deployment_raw[[#This Row],[Column5]]), deployment_raw[[#This Row],[Column5]],"")</f>
        <v/>
      </c>
      <c r="F73" s="94" t="str">
        <f>IF(ISNUMBER(deployment_raw[[#This Row],[Column6]]), (deployment_raw[[#This Row],[Column6]] * IF($E$2="Deployment",deployment_raw[[#This Row],[Column5]],1)),"")</f>
        <v/>
      </c>
      <c r="G73" s="95" t="str">
        <f>IF(ISNUMBER(deployment_raw[[#This Row],[Column7]]), (deployment_raw[[#This Row],[Column7]] * IF($E$2="Deployment",deployment_raw[[#This Row],[Column5]],1))/1048576,"")</f>
        <v/>
      </c>
      <c r="H73" s="95" t="str">
        <f>IF(ISNUMBER(deployment_raw[[#This Row],[Column8]]), (deployment_raw[[#This Row],[Column8]]  * IF($E$2="Deployment",deployment_raw[[#This Row],[Column5]],1)),"")</f>
        <v/>
      </c>
      <c r="I73" s="96" t="str">
        <f>IF(ISNUMBER(deployment_raw[[#This Row],[Column9]]), (deployment_raw[[#This Row],[Column9]] * IF($E$2="Deployment",deployment_raw[[#This Row],[Column5]],1))/1048576,"")</f>
        <v/>
      </c>
      <c r="J73" s="122" t="str">
        <f>IF(ISNUMBER(deployment_raw[[#This Row],[Column10]]), (MIN(IF(N73&lt;&gt;"",N73,9999999999999)*1.1,deployment_raw[[#This Row],[Column10]] * IF($E$2="Deployment",deployment_raw[[#This Row],[Column5]],1))),"")</f>
        <v/>
      </c>
      <c r="K73" s="123" t="str">
        <f>IF(ISNUMBER(deployment_raw[[#This Row],[Column11]]), (MIN(IF(O73&lt;&gt;"",O73,9999999999999)*1.1,deployment_raw[[#This Row],[Column11]] * IF($E$2="Deployment",deployment_raw[[#This Row],[Column5]],1)/1048576)),"")</f>
        <v/>
      </c>
      <c r="L73" s="124" t="str">
        <f>IF(ISNUMBER(deployment_raw[[#This Row],[Column8]]),IF(OR(deployment_raw[[#This Row],[Column5]] &lt;&gt; 0,$E$2 &lt;&gt; "Deployment"), MAX(J73, P73, R73, ($L$2 * IF($E$2="Deployment",deployment_raw[[#This Row],[Column5]],1)),IF(T73&lt;&gt;"",VALUE(T73) * IF($E$2="Deployment",deployment_raw[[#This Row],[Column5]],1),0)), 0),"")</f>
        <v/>
      </c>
      <c r="M73" s="125" t="str">
        <f>IF(ISNUMBER(deployment_raw[[#This Row],[Column9]]),IF(OR(deployment_raw[[#This Row],[Column5]] &lt;&gt; 0,$E$2&lt;&gt;"Deployment"), MAX(K73, Q73, S73, ($M$2 * IF($E$2="Deployment",deployment_raw[[#This Row],[Column5]],1)),IF(U73&lt;&gt;"",VALUE(U73) * IF($E$2="Deployment",deployment_raw[[#This Row],[Column5]],1),0)), 0),"")</f>
        <v/>
      </c>
      <c r="N73" s="166" t="str">
        <f>IF(ISNUMBER(deployment_raw[[#This Row],[Column14]]), deployment_raw[[#This Row],[Column14]]/IF(OR($E$2="Deployment",deployment_raw[[#This Row],[Column5]]=0),1,deployment_raw[[#This Row],[Column5]]),"")</f>
        <v/>
      </c>
      <c r="O73" s="167" t="str">
        <f>IF(ISNUMBER(deployment_raw[[#This Row],[Column15]]), deployment_raw[[#This Row],[Column15]]/IF(OR($E$2="Deployment",deployment_raw[[#This Row],[Column5]]=0),1,deployment_raw[[#This Row],[Column5]])/1048576,"")</f>
        <v/>
      </c>
      <c r="P73" s="168" t="str">
        <f>IF(ISNUMBER(deployment_raw[[#This Row],[Column12]]), (MIN(IF(N73&lt;&gt;"",N73,9999999999999)*1.1,deployment_raw[[#This Row],[Column12]] * IF($E$2="Deployment",deployment_raw[[#This Row],[Column5]],1))*(1+$P$2)),"")</f>
        <v/>
      </c>
      <c r="Q73" s="167" t="str">
        <f>IF(ISNUMBER(deployment_raw[[#This Row],[Column13]]), (MIN(IF(O73&lt;&gt;"",O73,9999999999999)*1.1,deployment_raw[[#This Row],[Column13]] * IF($E$2="Deployment",deployment_raw[[#This Row],[Column5]],1)*(1+$Q$2)/1048576)),"")</f>
        <v/>
      </c>
      <c r="R73" s="169" t="str">
        <f>IF(ISNUMBER(deployment_raw[[#This Row],[Column8]]), (H73  * IF(N73&lt;&gt;0,$R$2,1)),"")</f>
        <v/>
      </c>
      <c r="S73" s="170" t="str">
        <f>IF(ISNUMBER(deployment_raw[[#This Row],[Column8]]), (I73  * IF(O73&lt;&gt;0,$S$2,1)),"")</f>
        <v/>
      </c>
      <c r="T73" s="202" t="str">
        <f>IF(AND(A73&lt;&gt;"",_xlfn.IFNA(MATCH(A73,'dynamic resource application '!$A$2:$A$100, 0),0)&lt;&gt;0), H73/(IF($E$2="Deployment",E73,1)),"")</f>
        <v/>
      </c>
      <c r="U73" s="211" t="str">
        <f>IF(AND(A73&lt;&gt;"",_xlfn.IFNA(MATCH(A73,'dynamic resource application '!$A$2:$A$100, 0),0)&lt;&gt;0), I73/(IF($E$2="Deployment",E73,1)),"")</f>
        <v/>
      </c>
    </row>
    <row r="74" spans="1:21" ht="15.75" customHeight="1" x14ac:dyDescent="0.25">
      <c r="A74" s="35" t="str">
        <f>IF(ISNONTEXT(deployment_raw[[#This Row],[Column1]]), "", deployment_raw[[#This Row],[Column1]])</f>
        <v/>
      </c>
      <c r="B74" s="36" t="str">
        <f>IF(ISNONTEXT(deployment_raw[[#This Row],[Column2]]), "", deployment_raw[[#This Row],[Column2]])</f>
        <v/>
      </c>
      <c r="C74" s="36" t="str">
        <f>IF(ISNONTEXT(deployment_raw[[#This Row],[Column3]]), "", deployment_raw[[#This Row],[Column3]])</f>
        <v/>
      </c>
      <c r="D74" s="36" t="str">
        <f>IF(ISNONTEXT(deployment_raw[[#This Row],[Column4]]), "", deployment_raw[[#This Row],[Column4]])</f>
        <v/>
      </c>
      <c r="E74" s="37" t="str">
        <f>IF(ISNUMBER(deployment_raw[[#This Row],[Column5]]), deployment_raw[[#This Row],[Column5]],"")</f>
        <v/>
      </c>
      <c r="F74" s="94" t="str">
        <f>IF(ISNUMBER(deployment_raw[[#This Row],[Column6]]), (deployment_raw[[#This Row],[Column6]] * IF($E$2="Deployment",deployment_raw[[#This Row],[Column5]],1)),"")</f>
        <v/>
      </c>
      <c r="G74" s="95" t="str">
        <f>IF(ISNUMBER(deployment_raw[[#This Row],[Column7]]), (deployment_raw[[#This Row],[Column7]] * IF($E$2="Deployment",deployment_raw[[#This Row],[Column5]],1))/1048576,"")</f>
        <v/>
      </c>
      <c r="H74" s="95" t="str">
        <f>IF(ISNUMBER(deployment_raw[[#This Row],[Column8]]), (deployment_raw[[#This Row],[Column8]]  * IF($E$2="Deployment",deployment_raw[[#This Row],[Column5]],1)),"")</f>
        <v/>
      </c>
      <c r="I74" s="96" t="str">
        <f>IF(ISNUMBER(deployment_raw[[#This Row],[Column9]]), (deployment_raw[[#This Row],[Column9]] * IF($E$2="Deployment",deployment_raw[[#This Row],[Column5]],1))/1048576,"")</f>
        <v/>
      </c>
      <c r="J74" s="122" t="str">
        <f>IF(ISNUMBER(deployment_raw[[#This Row],[Column10]]), (MIN(IF(N74&lt;&gt;"",N74,9999999999999)*1.1,deployment_raw[[#This Row],[Column10]] * IF($E$2="Deployment",deployment_raw[[#This Row],[Column5]],1))),"")</f>
        <v/>
      </c>
      <c r="K74" s="123" t="str">
        <f>IF(ISNUMBER(deployment_raw[[#This Row],[Column11]]), (MIN(IF(O74&lt;&gt;"",O74,9999999999999)*1.1,deployment_raw[[#This Row],[Column11]] * IF($E$2="Deployment",deployment_raw[[#This Row],[Column5]],1)/1048576)),"")</f>
        <v/>
      </c>
      <c r="L74" s="124" t="str">
        <f>IF(ISNUMBER(deployment_raw[[#This Row],[Column8]]),IF(OR(deployment_raw[[#This Row],[Column5]] &lt;&gt; 0,$E$2 &lt;&gt; "Deployment"), MAX(J74, P74, R74, ($L$2 * IF($E$2="Deployment",deployment_raw[[#This Row],[Column5]],1)),IF(T74&lt;&gt;"",VALUE(T74) * IF($E$2="Deployment",deployment_raw[[#This Row],[Column5]],1),0)), 0),"")</f>
        <v/>
      </c>
      <c r="M74" s="125" t="str">
        <f>IF(ISNUMBER(deployment_raw[[#This Row],[Column9]]),IF(OR(deployment_raw[[#This Row],[Column5]] &lt;&gt; 0,$E$2&lt;&gt;"Deployment"), MAX(K74, Q74, S74, ($M$2 * IF($E$2="Deployment",deployment_raw[[#This Row],[Column5]],1)),IF(U74&lt;&gt;"",VALUE(U74) * IF($E$2="Deployment",deployment_raw[[#This Row],[Column5]],1),0)), 0),"")</f>
        <v/>
      </c>
      <c r="N74" s="166" t="str">
        <f>IF(ISNUMBER(deployment_raw[[#This Row],[Column14]]), deployment_raw[[#This Row],[Column14]]/IF(OR($E$2="Deployment",deployment_raw[[#This Row],[Column5]]=0),1,deployment_raw[[#This Row],[Column5]]),"")</f>
        <v/>
      </c>
      <c r="O74" s="167" t="str">
        <f>IF(ISNUMBER(deployment_raw[[#This Row],[Column15]]), deployment_raw[[#This Row],[Column15]]/IF(OR($E$2="Deployment",deployment_raw[[#This Row],[Column5]]=0),1,deployment_raw[[#This Row],[Column5]])/1048576,"")</f>
        <v/>
      </c>
      <c r="P74" s="168" t="str">
        <f>IF(ISNUMBER(deployment_raw[[#This Row],[Column12]]), (MIN(IF(N74&lt;&gt;"",N74,9999999999999)*1.1,deployment_raw[[#This Row],[Column12]] * IF($E$2="Deployment",deployment_raw[[#This Row],[Column5]],1))*(1+$P$2)),"")</f>
        <v/>
      </c>
      <c r="Q74" s="167" t="str">
        <f>IF(ISNUMBER(deployment_raw[[#This Row],[Column13]]), (MIN(IF(O74&lt;&gt;"",O74,9999999999999)*1.1,deployment_raw[[#This Row],[Column13]] * IF($E$2="Deployment",deployment_raw[[#This Row],[Column5]],1)*(1+$Q$2)/1048576)),"")</f>
        <v/>
      </c>
      <c r="R74" s="169" t="str">
        <f>IF(ISNUMBER(deployment_raw[[#This Row],[Column8]]), (H74  * IF(N74&lt;&gt;0,$R$2,1)),"")</f>
        <v/>
      </c>
      <c r="S74" s="170" t="str">
        <f>IF(ISNUMBER(deployment_raw[[#This Row],[Column8]]), (I74  * IF(O74&lt;&gt;0,$S$2,1)),"")</f>
        <v/>
      </c>
      <c r="T74" s="202" t="str">
        <f>IF(AND(A74&lt;&gt;"",_xlfn.IFNA(MATCH(A74,'dynamic resource application '!$A$2:$A$100, 0),0)&lt;&gt;0), H74/(IF($E$2="Deployment",E74,1)),"")</f>
        <v/>
      </c>
      <c r="U74" s="211" t="str">
        <f>IF(AND(A74&lt;&gt;"",_xlfn.IFNA(MATCH(A74,'dynamic resource application '!$A$2:$A$100, 0),0)&lt;&gt;0), I74/(IF($E$2="Deployment",E74,1)),"")</f>
        <v/>
      </c>
    </row>
    <row r="75" spans="1:21" ht="15.75" customHeight="1" x14ac:dyDescent="0.25">
      <c r="A75" s="35" t="str">
        <f>IF(ISNONTEXT(deployment_raw[[#This Row],[Column1]]), "", deployment_raw[[#This Row],[Column1]])</f>
        <v/>
      </c>
      <c r="B75" s="36" t="str">
        <f>IF(ISNONTEXT(deployment_raw[[#This Row],[Column2]]), "", deployment_raw[[#This Row],[Column2]])</f>
        <v/>
      </c>
      <c r="C75" s="36" t="str">
        <f>IF(ISNONTEXT(deployment_raw[[#This Row],[Column3]]), "", deployment_raw[[#This Row],[Column3]])</f>
        <v/>
      </c>
      <c r="D75" s="36" t="str">
        <f>IF(ISNONTEXT(deployment_raw[[#This Row],[Column4]]), "", deployment_raw[[#This Row],[Column4]])</f>
        <v/>
      </c>
      <c r="E75" s="37" t="str">
        <f>IF(ISNUMBER(deployment_raw[[#This Row],[Column5]]), deployment_raw[[#This Row],[Column5]],"")</f>
        <v/>
      </c>
      <c r="F75" s="94" t="str">
        <f>IF(ISNUMBER(deployment_raw[[#This Row],[Column6]]), (deployment_raw[[#This Row],[Column6]] * IF($E$2="Deployment",deployment_raw[[#This Row],[Column5]],1)),"")</f>
        <v/>
      </c>
      <c r="G75" s="95" t="str">
        <f>IF(ISNUMBER(deployment_raw[[#This Row],[Column7]]), (deployment_raw[[#This Row],[Column7]] * IF($E$2="Deployment",deployment_raw[[#This Row],[Column5]],1))/1048576,"")</f>
        <v/>
      </c>
      <c r="H75" s="95" t="str">
        <f>IF(ISNUMBER(deployment_raw[[#This Row],[Column8]]), (deployment_raw[[#This Row],[Column8]]  * IF($E$2="Deployment",deployment_raw[[#This Row],[Column5]],1)),"")</f>
        <v/>
      </c>
      <c r="I75" s="96" t="str">
        <f>IF(ISNUMBER(deployment_raw[[#This Row],[Column9]]), (deployment_raw[[#This Row],[Column9]] * IF($E$2="Deployment",deployment_raw[[#This Row],[Column5]],1))/1048576,"")</f>
        <v/>
      </c>
      <c r="J75" s="122" t="str">
        <f>IF(ISNUMBER(deployment_raw[[#This Row],[Column10]]), (MIN(IF(N75&lt;&gt;"",N75,9999999999999)*1.1,deployment_raw[[#This Row],[Column10]] * IF($E$2="Deployment",deployment_raw[[#This Row],[Column5]],1))),"")</f>
        <v/>
      </c>
      <c r="K75" s="123" t="str">
        <f>IF(ISNUMBER(deployment_raw[[#This Row],[Column11]]), (MIN(IF(O75&lt;&gt;"",O75,9999999999999)*1.1,deployment_raw[[#This Row],[Column11]] * IF($E$2="Deployment",deployment_raw[[#This Row],[Column5]],1)/1048576)),"")</f>
        <v/>
      </c>
      <c r="L75" s="124" t="str">
        <f>IF(ISNUMBER(deployment_raw[[#This Row],[Column8]]),IF(OR(deployment_raw[[#This Row],[Column5]] &lt;&gt; 0,$E$2 &lt;&gt; "Deployment"), MAX(J75, P75, R75, ($L$2 * IF($E$2="Deployment",deployment_raw[[#This Row],[Column5]],1)),IF(T75&lt;&gt;"",VALUE(T75) * IF($E$2="Deployment",deployment_raw[[#This Row],[Column5]],1),0)), 0),"")</f>
        <v/>
      </c>
      <c r="M75" s="125" t="str">
        <f>IF(ISNUMBER(deployment_raw[[#This Row],[Column9]]),IF(OR(deployment_raw[[#This Row],[Column5]] &lt;&gt; 0,$E$2&lt;&gt;"Deployment"), MAX(K75, Q75, S75, ($M$2 * IF($E$2="Deployment",deployment_raw[[#This Row],[Column5]],1)),IF(U75&lt;&gt;"",VALUE(U75) * IF($E$2="Deployment",deployment_raw[[#This Row],[Column5]],1),0)), 0),"")</f>
        <v/>
      </c>
      <c r="N75" s="166" t="str">
        <f>IF(ISNUMBER(deployment_raw[[#This Row],[Column14]]), deployment_raw[[#This Row],[Column14]]/IF(OR($E$2="Deployment",deployment_raw[[#This Row],[Column5]]=0),1,deployment_raw[[#This Row],[Column5]]),"")</f>
        <v/>
      </c>
      <c r="O75" s="167" t="str">
        <f>IF(ISNUMBER(deployment_raw[[#This Row],[Column15]]), deployment_raw[[#This Row],[Column15]]/IF(OR($E$2="Deployment",deployment_raw[[#This Row],[Column5]]=0),1,deployment_raw[[#This Row],[Column5]])/1048576,"")</f>
        <v/>
      </c>
      <c r="P75" s="168" t="str">
        <f>IF(ISNUMBER(deployment_raw[[#This Row],[Column12]]), (MIN(IF(N75&lt;&gt;"",N75,9999999999999)*1.1,deployment_raw[[#This Row],[Column12]] * IF($E$2="Deployment",deployment_raw[[#This Row],[Column5]],1))*(1+$P$2)),"")</f>
        <v/>
      </c>
      <c r="Q75" s="167" t="str">
        <f>IF(ISNUMBER(deployment_raw[[#This Row],[Column13]]), (MIN(IF(O75&lt;&gt;"",O75,9999999999999)*1.1,deployment_raw[[#This Row],[Column13]] * IF($E$2="Deployment",deployment_raw[[#This Row],[Column5]],1)*(1+$Q$2)/1048576)),"")</f>
        <v/>
      </c>
      <c r="R75" s="169" t="str">
        <f>IF(ISNUMBER(deployment_raw[[#This Row],[Column8]]), (H75  * IF(N75&lt;&gt;0,$R$2,1)),"")</f>
        <v/>
      </c>
      <c r="S75" s="170" t="str">
        <f>IF(ISNUMBER(deployment_raw[[#This Row],[Column8]]), (I75  * IF(O75&lt;&gt;0,$S$2,1)),"")</f>
        <v/>
      </c>
      <c r="T75" s="202" t="str">
        <f>IF(AND(A75&lt;&gt;"",_xlfn.IFNA(MATCH(A75,'dynamic resource application '!$A$2:$A$100, 0),0)&lt;&gt;0), H75/(IF($E$2="Deployment",E75,1)),"")</f>
        <v/>
      </c>
      <c r="U75" s="211" t="str">
        <f>IF(AND(A75&lt;&gt;"",_xlfn.IFNA(MATCH(A75,'dynamic resource application '!$A$2:$A$100, 0),0)&lt;&gt;0), I75/(IF($E$2="Deployment",E75,1)),"")</f>
        <v/>
      </c>
    </row>
    <row r="76" spans="1:21" ht="15.75" customHeight="1" x14ac:dyDescent="0.25">
      <c r="A76" s="35" t="str">
        <f>IF(ISNONTEXT(deployment_raw[[#This Row],[Column1]]), "", deployment_raw[[#This Row],[Column1]])</f>
        <v/>
      </c>
      <c r="B76" s="36" t="str">
        <f>IF(ISNONTEXT(deployment_raw[[#This Row],[Column2]]), "", deployment_raw[[#This Row],[Column2]])</f>
        <v/>
      </c>
      <c r="C76" s="36" t="str">
        <f>IF(ISNONTEXT(deployment_raw[[#This Row],[Column3]]), "", deployment_raw[[#This Row],[Column3]])</f>
        <v/>
      </c>
      <c r="D76" s="36" t="str">
        <f>IF(ISNONTEXT(deployment_raw[[#This Row],[Column4]]), "", deployment_raw[[#This Row],[Column4]])</f>
        <v/>
      </c>
      <c r="E76" s="37" t="str">
        <f>IF(ISNUMBER(deployment_raw[[#This Row],[Column5]]), deployment_raw[[#This Row],[Column5]],"")</f>
        <v/>
      </c>
      <c r="F76" s="94" t="str">
        <f>IF(ISNUMBER(deployment_raw[[#This Row],[Column6]]), (deployment_raw[[#This Row],[Column6]] * IF($E$2="Deployment",deployment_raw[[#This Row],[Column5]],1)),"")</f>
        <v/>
      </c>
      <c r="G76" s="95" t="str">
        <f>IF(ISNUMBER(deployment_raw[[#This Row],[Column7]]), (deployment_raw[[#This Row],[Column7]] * IF($E$2="Deployment",deployment_raw[[#This Row],[Column5]],1))/1048576,"")</f>
        <v/>
      </c>
      <c r="H76" s="95" t="str">
        <f>IF(ISNUMBER(deployment_raw[[#This Row],[Column8]]), (deployment_raw[[#This Row],[Column8]]  * IF($E$2="Deployment",deployment_raw[[#This Row],[Column5]],1)),"")</f>
        <v/>
      </c>
      <c r="I76" s="96" t="str">
        <f>IF(ISNUMBER(deployment_raw[[#This Row],[Column9]]), (deployment_raw[[#This Row],[Column9]] * IF($E$2="Deployment",deployment_raw[[#This Row],[Column5]],1))/1048576,"")</f>
        <v/>
      </c>
      <c r="J76" s="122" t="str">
        <f>IF(ISNUMBER(deployment_raw[[#This Row],[Column10]]), (MIN(IF(N76&lt;&gt;"",N76,9999999999999)*1.1,deployment_raw[[#This Row],[Column10]] * IF($E$2="Deployment",deployment_raw[[#This Row],[Column5]],1))),"")</f>
        <v/>
      </c>
      <c r="K76" s="123" t="str">
        <f>IF(ISNUMBER(deployment_raw[[#This Row],[Column11]]), (MIN(IF(O76&lt;&gt;"",O76,9999999999999)*1.1,deployment_raw[[#This Row],[Column11]] * IF($E$2="Deployment",deployment_raw[[#This Row],[Column5]],1)/1048576)),"")</f>
        <v/>
      </c>
      <c r="L76" s="124" t="str">
        <f>IF(ISNUMBER(deployment_raw[[#This Row],[Column8]]),IF(OR(deployment_raw[[#This Row],[Column5]] &lt;&gt; 0,$E$2 &lt;&gt; "Deployment"), MAX(J76, P76, R76, ($L$2 * IF($E$2="Deployment",deployment_raw[[#This Row],[Column5]],1)),IF(T76&lt;&gt;"",VALUE(T76) * IF($E$2="Deployment",deployment_raw[[#This Row],[Column5]],1),0)), 0),"")</f>
        <v/>
      </c>
      <c r="M76" s="125" t="str">
        <f>IF(ISNUMBER(deployment_raw[[#This Row],[Column9]]),IF(OR(deployment_raw[[#This Row],[Column5]] &lt;&gt; 0,$E$2&lt;&gt;"Deployment"), MAX(K76, Q76, S76, ($M$2 * IF($E$2="Deployment",deployment_raw[[#This Row],[Column5]],1)),IF(U76&lt;&gt;"",VALUE(U76) * IF($E$2="Deployment",deployment_raw[[#This Row],[Column5]],1),0)), 0),"")</f>
        <v/>
      </c>
      <c r="N76" s="166" t="str">
        <f>IF(ISNUMBER(deployment_raw[[#This Row],[Column14]]), deployment_raw[[#This Row],[Column14]]/IF(OR($E$2="Deployment",deployment_raw[[#This Row],[Column5]]=0),1,deployment_raw[[#This Row],[Column5]]),"")</f>
        <v/>
      </c>
      <c r="O76" s="167" t="str">
        <f>IF(ISNUMBER(deployment_raw[[#This Row],[Column15]]), deployment_raw[[#This Row],[Column15]]/IF(OR($E$2="Deployment",deployment_raw[[#This Row],[Column5]]=0),1,deployment_raw[[#This Row],[Column5]])/1048576,"")</f>
        <v/>
      </c>
      <c r="P76" s="168" t="str">
        <f>IF(ISNUMBER(deployment_raw[[#This Row],[Column12]]), (MIN(IF(N76&lt;&gt;"",N76,9999999999999)*1.1,deployment_raw[[#This Row],[Column12]] * IF($E$2="Deployment",deployment_raw[[#This Row],[Column5]],1))*(1+$P$2)),"")</f>
        <v/>
      </c>
      <c r="Q76" s="167" t="str">
        <f>IF(ISNUMBER(deployment_raw[[#This Row],[Column13]]), (MIN(IF(O76&lt;&gt;"",O76,9999999999999)*1.1,deployment_raw[[#This Row],[Column13]] * IF($E$2="Deployment",deployment_raw[[#This Row],[Column5]],1)*(1+$Q$2)/1048576)),"")</f>
        <v/>
      </c>
      <c r="R76" s="169" t="str">
        <f>IF(ISNUMBER(deployment_raw[[#This Row],[Column8]]), (H76  * IF(N76&lt;&gt;0,$R$2,1)),"")</f>
        <v/>
      </c>
      <c r="S76" s="170" t="str">
        <f>IF(ISNUMBER(deployment_raw[[#This Row],[Column8]]), (I76  * IF(O76&lt;&gt;0,$S$2,1)),"")</f>
        <v/>
      </c>
      <c r="T76" s="202" t="str">
        <f>IF(AND(A76&lt;&gt;"",_xlfn.IFNA(MATCH(A76,'dynamic resource application '!$A$2:$A$100, 0),0)&lt;&gt;0), H76/(IF($E$2="Deployment",E76,1)),"")</f>
        <v/>
      </c>
      <c r="U76" s="211" t="str">
        <f>IF(AND(A76&lt;&gt;"",_xlfn.IFNA(MATCH(A76,'dynamic resource application '!$A$2:$A$100, 0),0)&lt;&gt;0), I76/(IF($E$2="Deployment",E76,1)),"")</f>
        <v/>
      </c>
    </row>
    <row r="77" spans="1:21" ht="15.75" customHeight="1" x14ac:dyDescent="0.25">
      <c r="A77" s="35" t="str">
        <f>IF(ISNONTEXT(deployment_raw[[#This Row],[Column1]]), "", deployment_raw[[#This Row],[Column1]])</f>
        <v/>
      </c>
      <c r="B77" s="36" t="str">
        <f>IF(ISNONTEXT(deployment_raw[[#This Row],[Column2]]), "", deployment_raw[[#This Row],[Column2]])</f>
        <v/>
      </c>
      <c r="C77" s="36" t="str">
        <f>IF(ISNONTEXT(deployment_raw[[#This Row],[Column3]]), "", deployment_raw[[#This Row],[Column3]])</f>
        <v/>
      </c>
      <c r="D77" s="36" t="str">
        <f>IF(ISNONTEXT(deployment_raw[[#This Row],[Column4]]), "", deployment_raw[[#This Row],[Column4]])</f>
        <v/>
      </c>
      <c r="E77" s="37" t="str">
        <f>IF(ISNUMBER(deployment_raw[[#This Row],[Column5]]), deployment_raw[[#This Row],[Column5]],"")</f>
        <v/>
      </c>
      <c r="F77" s="94" t="str">
        <f>IF(ISNUMBER(deployment_raw[[#This Row],[Column6]]), (deployment_raw[[#This Row],[Column6]] * IF($E$2="Deployment",deployment_raw[[#This Row],[Column5]],1)),"")</f>
        <v/>
      </c>
      <c r="G77" s="95" t="str">
        <f>IF(ISNUMBER(deployment_raw[[#This Row],[Column7]]), (deployment_raw[[#This Row],[Column7]] * IF($E$2="Deployment",deployment_raw[[#This Row],[Column5]],1))/1048576,"")</f>
        <v/>
      </c>
      <c r="H77" s="95" t="str">
        <f>IF(ISNUMBER(deployment_raw[[#This Row],[Column8]]), (deployment_raw[[#This Row],[Column8]]  * IF($E$2="Deployment",deployment_raw[[#This Row],[Column5]],1)),"")</f>
        <v/>
      </c>
      <c r="I77" s="96" t="str">
        <f>IF(ISNUMBER(deployment_raw[[#This Row],[Column9]]), (deployment_raw[[#This Row],[Column9]] * IF($E$2="Deployment",deployment_raw[[#This Row],[Column5]],1))/1048576,"")</f>
        <v/>
      </c>
      <c r="J77" s="122" t="str">
        <f>IF(ISNUMBER(deployment_raw[[#This Row],[Column10]]), (MIN(IF(N77&lt;&gt;"",N77,9999999999999)*1.1,deployment_raw[[#This Row],[Column10]] * IF($E$2="Deployment",deployment_raw[[#This Row],[Column5]],1))),"")</f>
        <v/>
      </c>
      <c r="K77" s="123" t="str">
        <f>IF(ISNUMBER(deployment_raw[[#This Row],[Column11]]), (MIN(IF(O77&lt;&gt;"",O77,9999999999999)*1.1,deployment_raw[[#This Row],[Column11]] * IF($E$2="Deployment",deployment_raw[[#This Row],[Column5]],1)/1048576)),"")</f>
        <v/>
      </c>
      <c r="L77" s="124" t="str">
        <f>IF(ISNUMBER(deployment_raw[[#This Row],[Column8]]),IF(OR(deployment_raw[[#This Row],[Column5]] &lt;&gt; 0,$E$2 &lt;&gt; "Deployment"), MAX(J77, P77, R77, ($L$2 * IF($E$2="Deployment",deployment_raw[[#This Row],[Column5]],1)),IF(T77&lt;&gt;"",VALUE(T77) * IF($E$2="Deployment",deployment_raw[[#This Row],[Column5]],1),0)), 0),"")</f>
        <v/>
      </c>
      <c r="M77" s="125" t="str">
        <f>IF(ISNUMBER(deployment_raw[[#This Row],[Column9]]),IF(OR(deployment_raw[[#This Row],[Column5]] &lt;&gt; 0,$E$2&lt;&gt;"Deployment"), MAX(K77, Q77, S77, ($M$2 * IF($E$2="Deployment",deployment_raw[[#This Row],[Column5]],1)),IF(U77&lt;&gt;"",VALUE(U77) * IF($E$2="Deployment",deployment_raw[[#This Row],[Column5]],1),0)), 0),"")</f>
        <v/>
      </c>
      <c r="N77" s="166" t="str">
        <f>IF(ISNUMBER(deployment_raw[[#This Row],[Column14]]), deployment_raw[[#This Row],[Column14]]/IF(OR($E$2="Deployment",deployment_raw[[#This Row],[Column5]]=0),1,deployment_raw[[#This Row],[Column5]]),"")</f>
        <v/>
      </c>
      <c r="O77" s="167" t="str">
        <f>IF(ISNUMBER(deployment_raw[[#This Row],[Column15]]), deployment_raw[[#This Row],[Column15]]/IF(OR($E$2="Deployment",deployment_raw[[#This Row],[Column5]]=0),1,deployment_raw[[#This Row],[Column5]])/1048576,"")</f>
        <v/>
      </c>
      <c r="P77" s="168" t="str">
        <f>IF(ISNUMBER(deployment_raw[[#This Row],[Column12]]), (MIN(IF(N77&lt;&gt;"",N77,9999999999999)*1.1,deployment_raw[[#This Row],[Column12]] * IF($E$2="Deployment",deployment_raw[[#This Row],[Column5]],1))*(1+$P$2)),"")</f>
        <v/>
      </c>
      <c r="Q77" s="167" t="str">
        <f>IF(ISNUMBER(deployment_raw[[#This Row],[Column13]]), (MIN(IF(O77&lt;&gt;"",O77,9999999999999)*1.1,deployment_raw[[#This Row],[Column13]] * IF($E$2="Deployment",deployment_raw[[#This Row],[Column5]],1)*(1+$Q$2)/1048576)),"")</f>
        <v/>
      </c>
      <c r="R77" s="169" t="str">
        <f>IF(ISNUMBER(deployment_raw[[#This Row],[Column8]]), (H77  * IF(N77&lt;&gt;0,$R$2,1)),"")</f>
        <v/>
      </c>
      <c r="S77" s="170" t="str">
        <f>IF(ISNUMBER(deployment_raw[[#This Row],[Column8]]), (I77  * IF(O77&lt;&gt;0,$S$2,1)),"")</f>
        <v/>
      </c>
      <c r="T77" s="202" t="str">
        <f>IF(AND(A77&lt;&gt;"",_xlfn.IFNA(MATCH(A77,'dynamic resource application '!$A$2:$A$100, 0),0)&lt;&gt;0), H77/(IF($E$2="Deployment",E77,1)),"")</f>
        <v/>
      </c>
      <c r="U77" s="211" t="str">
        <f>IF(AND(A77&lt;&gt;"",_xlfn.IFNA(MATCH(A77,'dynamic resource application '!$A$2:$A$100, 0),0)&lt;&gt;0), I77/(IF($E$2="Deployment",E77,1)),"")</f>
        <v/>
      </c>
    </row>
    <row r="78" spans="1:21" ht="15.75" customHeight="1" x14ac:dyDescent="0.25">
      <c r="A78" s="35" t="str">
        <f>IF(ISNONTEXT(deployment_raw[[#This Row],[Column1]]), "", deployment_raw[[#This Row],[Column1]])</f>
        <v/>
      </c>
      <c r="B78" s="36" t="str">
        <f>IF(ISNONTEXT(deployment_raw[[#This Row],[Column2]]), "", deployment_raw[[#This Row],[Column2]])</f>
        <v/>
      </c>
      <c r="C78" s="36" t="str">
        <f>IF(ISNONTEXT(deployment_raw[[#This Row],[Column3]]), "", deployment_raw[[#This Row],[Column3]])</f>
        <v/>
      </c>
      <c r="D78" s="36" t="str">
        <f>IF(ISNONTEXT(deployment_raw[[#This Row],[Column4]]), "", deployment_raw[[#This Row],[Column4]])</f>
        <v/>
      </c>
      <c r="E78" s="37" t="str">
        <f>IF(ISNUMBER(deployment_raw[[#This Row],[Column5]]), deployment_raw[[#This Row],[Column5]],"")</f>
        <v/>
      </c>
      <c r="F78" s="94" t="str">
        <f>IF(ISNUMBER(deployment_raw[[#This Row],[Column6]]), (deployment_raw[[#This Row],[Column6]] * IF($E$2="Deployment",deployment_raw[[#This Row],[Column5]],1)),"")</f>
        <v/>
      </c>
      <c r="G78" s="95" t="str">
        <f>IF(ISNUMBER(deployment_raw[[#This Row],[Column7]]), (deployment_raw[[#This Row],[Column7]] * IF($E$2="Deployment",deployment_raw[[#This Row],[Column5]],1))/1048576,"")</f>
        <v/>
      </c>
      <c r="H78" s="95" t="str">
        <f>IF(ISNUMBER(deployment_raw[[#This Row],[Column8]]), (deployment_raw[[#This Row],[Column8]]  * IF($E$2="Deployment",deployment_raw[[#This Row],[Column5]],1)),"")</f>
        <v/>
      </c>
      <c r="I78" s="96" t="str">
        <f>IF(ISNUMBER(deployment_raw[[#This Row],[Column9]]), (deployment_raw[[#This Row],[Column9]] * IF($E$2="Deployment",deployment_raw[[#This Row],[Column5]],1))/1048576,"")</f>
        <v/>
      </c>
      <c r="J78" s="122" t="str">
        <f>IF(ISNUMBER(deployment_raw[[#This Row],[Column10]]), (MIN(IF(N78&lt;&gt;"",N78,9999999999999)*1.1,deployment_raw[[#This Row],[Column10]] * IF($E$2="Deployment",deployment_raw[[#This Row],[Column5]],1))),"")</f>
        <v/>
      </c>
      <c r="K78" s="123" t="str">
        <f>IF(ISNUMBER(deployment_raw[[#This Row],[Column11]]), (MIN(IF(O78&lt;&gt;"",O78,9999999999999)*1.1,deployment_raw[[#This Row],[Column11]] * IF($E$2="Deployment",deployment_raw[[#This Row],[Column5]],1)/1048576)),"")</f>
        <v/>
      </c>
      <c r="L78" s="124" t="str">
        <f>IF(ISNUMBER(deployment_raw[[#This Row],[Column8]]),IF(OR(deployment_raw[[#This Row],[Column5]] &lt;&gt; 0,$E$2 &lt;&gt; "Deployment"), MAX(J78, P78, R78, ($L$2 * IF($E$2="Deployment",deployment_raw[[#This Row],[Column5]],1)),IF(T78&lt;&gt;"",VALUE(T78) * IF($E$2="Deployment",deployment_raw[[#This Row],[Column5]],1),0)), 0),"")</f>
        <v/>
      </c>
      <c r="M78" s="125" t="str">
        <f>IF(ISNUMBER(deployment_raw[[#This Row],[Column9]]),IF(OR(deployment_raw[[#This Row],[Column5]] &lt;&gt; 0,$E$2&lt;&gt;"Deployment"), MAX(K78, Q78, S78, ($M$2 * IF($E$2="Deployment",deployment_raw[[#This Row],[Column5]],1)),IF(U78&lt;&gt;"",VALUE(U78) * IF($E$2="Deployment",deployment_raw[[#This Row],[Column5]],1),0)), 0),"")</f>
        <v/>
      </c>
      <c r="N78" s="166" t="str">
        <f>IF(ISNUMBER(deployment_raw[[#This Row],[Column14]]), deployment_raw[[#This Row],[Column14]]/IF(OR($E$2="Deployment",deployment_raw[[#This Row],[Column5]]=0),1,deployment_raw[[#This Row],[Column5]]),"")</f>
        <v/>
      </c>
      <c r="O78" s="167" t="str">
        <f>IF(ISNUMBER(deployment_raw[[#This Row],[Column15]]), deployment_raw[[#This Row],[Column15]]/IF(OR($E$2="Deployment",deployment_raw[[#This Row],[Column5]]=0),1,deployment_raw[[#This Row],[Column5]])/1048576,"")</f>
        <v/>
      </c>
      <c r="P78" s="168" t="str">
        <f>IF(ISNUMBER(deployment_raw[[#This Row],[Column12]]), (MIN(IF(N78&lt;&gt;"",N78,9999999999999)*1.1,deployment_raw[[#This Row],[Column12]] * IF($E$2="Deployment",deployment_raw[[#This Row],[Column5]],1))*(1+$P$2)),"")</f>
        <v/>
      </c>
      <c r="Q78" s="167" t="str">
        <f>IF(ISNUMBER(deployment_raw[[#This Row],[Column13]]), (MIN(IF(O78&lt;&gt;"",O78,9999999999999)*1.1,deployment_raw[[#This Row],[Column13]] * IF($E$2="Deployment",deployment_raw[[#This Row],[Column5]],1)*(1+$Q$2)/1048576)),"")</f>
        <v/>
      </c>
      <c r="R78" s="169" t="str">
        <f>IF(ISNUMBER(deployment_raw[[#This Row],[Column8]]), (H78  * IF(N78&lt;&gt;0,$R$2,1)),"")</f>
        <v/>
      </c>
      <c r="S78" s="170" t="str">
        <f>IF(ISNUMBER(deployment_raw[[#This Row],[Column8]]), (I78  * IF(O78&lt;&gt;0,$S$2,1)),"")</f>
        <v/>
      </c>
      <c r="T78" s="202" t="str">
        <f>IF(AND(A78&lt;&gt;"",_xlfn.IFNA(MATCH(A78,'dynamic resource application '!$A$2:$A$100, 0),0)&lt;&gt;0), H78/(IF($E$2="Deployment",E78,1)),"")</f>
        <v/>
      </c>
      <c r="U78" s="211" t="str">
        <f>IF(AND(A78&lt;&gt;"",_xlfn.IFNA(MATCH(A78,'dynamic resource application '!$A$2:$A$100, 0),0)&lt;&gt;0), I78/(IF($E$2="Deployment",E78,1)),"")</f>
        <v/>
      </c>
    </row>
    <row r="79" spans="1:21" ht="15.75" customHeight="1" x14ac:dyDescent="0.25">
      <c r="A79" s="35" t="str">
        <f>IF(ISNONTEXT(deployment_raw[[#This Row],[Column1]]), "", deployment_raw[[#This Row],[Column1]])</f>
        <v/>
      </c>
      <c r="B79" s="36" t="str">
        <f>IF(ISNONTEXT(deployment_raw[[#This Row],[Column2]]), "", deployment_raw[[#This Row],[Column2]])</f>
        <v/>
      </c>
      <c r="C79" s="36" t="str">
        <f>IF(ISNONTEXT(deployment_raw[[#This Row],[Column3]]), "", deployment_raw[[#This Row],[Column3]])</f>
        <v/>
      </c>
      <c r="D79" s="36" t="str">
        <f>IF(ISNONTEXT(deployment_raw[[#This Row],[Column4]]), "", deployment_raw[[#This Row],[Column4]])</f>
        <v/>
      </c>
      <c r="E79" s="37" t="str">
        <f>IF(ISNUMBER(deployment_raw[[#This Row],[Column5]]), deployment_raw[[#This Row],[Column5]],"")</f>
        <v/>
      </c>
      <c r="F79" s="94" t="str">
        <f>IF(ISNUMBER(deployment_raw[[#This Row],[Column6]]), (deployment_raw[[#This Row],[Column6]] * IF($E$2="Deployment",deployment_raw[[#This Row],[Column5]],1)),"")</f>
        <v/>
      </c>
      <c r="G79" s="95" t="str">
        <f>IF(ISNUMBER(deployment_raw[[#This Row],[Column7]]), (deployment_raw[[#This Row],[Column7]] * IF($E$2="Deployment",deployment_raw[[#This Row],[Column5]],1))/1048576,"")</f>
        <v/>
      </c>
      <c r="H79" s="95" t="str">
        <f>IF(ISNUMBER(deployment_raw[[#This Row],[Column8]]), (deployment_raw[[#This Row],[Column8]]  * IF($E$2="Deployment",deployment_raw[[#This Row],[Column5]],1)),"")</f>
        <v/>
      </c>
      <c r="I79" s="96" t="str">
        <f>IF(ISNUMBER(deployment_raw[[#This Row],[Column9]]), (deployment_raw[[#This Row],[Column9]] * IF($E$2="Deployment",deployment_raw[[#This Row],[Column5]],1))/1048576,"")</f>
        <v/>
      </c>
      <c r="J79" s="122" t="str">
        <f>IF(ISNUMBER(deployment_raw[[#This Row],[Column10]]), (MIN(IF(N79&lt;&gt;"",N79,9999999999999)*1.1,deployment_raw[[#This Row],[Column10]] * IF($E$2="Deployment",deployment_raw[[#This Row],[Column5]],1))),"")</f>
        <v/>
      </c>
      <c r="K79" s="123" t="str">
        <f>IF(ISNUMBER(deployment_raw[[#This Row],[Column11]]), (MIN(IF(O79&lt;&gt;"",O79,9999999999999)*1.1,deployment_raw[[#This Row],[Column11]] * IF($E$2="Deployment",deployment_raw[[#This Row],[Column5]],1)/1048576)),"")</f>
        <v/>
      </c>
      <c r="L79" s="124" t="str">
        <f>IF(ISNUMBER(deployment_raw[[#This Row],[Column8]]),IF(OR(deployment_raw[[#This Row],[Column5]] &lt;&gt; 0,$E$2 &lt;&gt; "Deployment"), MAX(J79, P79, R79, ($L$2 * IF($E$2="Deployment",deployment_raw[[#This Row],[Column5]],1)),IF(T79&lt;&gt;"",VALUE(T79) * IF($E$2="Deployment",deployment_raw[[#This Row],[Column5]],1),0)), 0),"")</f>
        <v/>
      </c>
      <c r="M79" s="125" t="str">
        <f>IF(ISNUMBER(deployment_raw[[#This Row],[Column9]]),IF(OR(deployment_raw[[#This Row],[Column5]] &lt;&gt; 0,$E$2&lt;&gt;"Deployment"), MAX(K79, Q79, S79, ($M$2 * IF($E$2="Deployment",deployment_raw[[#This Row],[Column5]],1)),IF(U79&lt;&gt;"",VALUE(U79) * IF($E$2="Deployment",deployment_raw[[#This Row],[Column5]],1),0)), 0),"")</f>
        <v/>
      </c>
      <c r="N79" s="166" t="str">
        <f>IF(ISNUMBER(deployment_raw[[#This Row],[Column14]]), deployment_raw[[#This Row],[Column14]]/IF(OR($E$2="Deployment",deployment_raw[[#This Row],[Column5]]=0),1,deployment_raw[[#This Row],[Column5]]),"")</f>
        <v/>
      </c>
      <c r="O79" s="167" t="str">
        <f>IF(ISNUMBER(deployment_raw[[#This Row],[Column15]]), deployment_raw[[#This Row],[Column15]]/IF(OR($E$2="Deployment",deployment_raw[[#This Row],[Column5]]=0),1,deployment_raw[[#This Row],[Column5]])/1048576,"")</f>
        <v/>
      </c>
      <c r="P79" s="168" t="str">
        <f>IF(ISNUMBER(deployment_raw[[#This Row],[Column12]]), (MIN(IF(N79&lt;&gt;"",N79,9999999999999)*1.1,deployment_raw[[#This Row],[Column12]] * IF($E$2="Deployment",deployment_raw[[#This Row],[Column5]],1))*(1+$P$2)),"")</f>
        <v/>
      </c>
      <c r="Q79" s="167" t="str">
        <f>IF(ISNUMBER(deployment_raw[[#This Row],[Column13]]), (MIN(IF(O79&lt;&gt;"",O79,9999999999999)*1.1,deployment_raw[[#This Row],[Column13]] * IF($E$2="Deployment",deployment_raw[[#This Row],[Column5]],1)*(1+$Q$2)/1048576)),"")</f>
        <v/>
      </c>
      <c r="R79" s="169" t="str">
        <f>IF(ISNUMBER(deployment_raw[[#This Row],[Column8]]), (H79  * IF(N79&lt;&gt;0,$R$2,1)),"")</f>
        <v/>
      </c>
      <c r="S79" s="170" t="str">
        <f>IF(ISNUMBER(deployment_raw[[#This Row],[Column8]]), (I79  * IF(O79&lt;&gt;0,$S$2,1)),"")</f>
        <v/>
      </c>
      <c r="T79" s="202" t="str">
        <f>IF(AND(A79&lt;&gt;"",_xlfn.IFNA(MATCH(A79,'dynamic resource application '!$A$2:$A$100, 0),0)&lt;&gt;0), H79/(IF($E$2="Deployment",E79,1)),"")</f>
        <v/>
      </c>
      <c r="U79" s="211" t="str">
        <f>IF(AND(A79&lt;&gt;"",_xlfn.IFNA(MATCH(A79,'dynamic resource application '!$A$2:$A$100, 0),0)&lt;&gt;0), I79/(IF($E$2="Deployment",E79,1)),"")</f>
        <v/>
      </c>
    </row>
    <row r="80" spans="1:21" ht="15.75" customHeight="1" x14ac:dyDescent="0.25">
      <c r="A80" s="35" t="str">
        <f>IF(ISNONTEXT(deployment_raw[[#This Row],[Column1]]), "", deployment_raw[[#This Row],[Column1]])</f>
        <v/>
      </c>
      <c r="B80" s="36" t="str">
        <f>IF(ISNONTEXT(deployment_raw[[#This Row],[Column2]]), "", deployment_raw[[#This Row],[Column2]])</f>
        <v/>
      </c>
      <c r="C80" s="36" t="str">
        <f>IF(ISNONTEXT(deployment_raw[[#This Row],[Column3]]), "", deployment_raw[[#This Row],[Column3]])</f>
        <v/>
      </c>
      <c r="D80" s="36" t="str">
        <f>IF(ISNONTEXT(deployment_raw[[#This Row],[Column4]]), "", deployment_raw[[#This Row],[Column4]])</f>
        <v/>
      </c>
      <c r="E80" s="37" t="str">
        <f>IF(ISNUMBER(deployment_raw[[#This Row],[Column5]]), deployment_raw[[#This Row],[Column5]],"")</f>
        <v/>
      </c>
      <c r="F80" s="94" t="str">
        <f>IF(ISNUMBER(deployment_raw[[#This Row],[Column6]]), (deployment_raw[[#This Row],[Column6]] * IF($E$2="Deployment",deployment_raw[[#This Row],[Column5]],1)),"")</f>
        <v/>
      </c>
      <c r="G80" s="95" t="str">
        <f>IF(ISNUMBER(deployment_raw[[#This Row],[Column7]]), (deployment_raw[[#This Row],[Column7]] * IF($E$2="Deployment",deployment_raw[[#This Row],[Column5]],1))/1048576,"")</f>
        <v/>
      </c>
      <c r="H80" s="95" t="str">
        <f>IF(ISNUMBER(deployment_raw[[#This Row],[Column8]]), (deployment_raw[[#This Row],[Column8]]  * IF($E$2="Deployment",deployment_raw[[#This Row],[Column5]],1)),"")</f>
        <v/>
      </c>
      <c r="I80" s="96" t="str">
        <f>IF(ISNUMBER(deployment_raw[[#This Row],[Column9]]), (deployment_raw[[#This Row],[Column9]] * IF($E$2="Deployment",deployment_raw[[#This Row],[Column5]],1))/1048576,"")</f>
        <v/>
      </c>
      <c r="J80" s="122" t="str">
        <f>IF(ISNUMBER(deployment_raw[[#This Row],[Column10]]), (MIN(IF(N80&lt;&gt;"",N80,9999999999999)*1.1,deployment_raw[[#This Row],[Column10]] * IF($E$2="Deployment",deployment_raw[[#This Row],[Column5]],1))),"")</f>
        <v/>
      </c>
      <c r="K80" s="123" t="str">
        <f>IF(ISNUMBER(deployment_raw[[#This Row],[Column11]]), (MIN(IF(O80&lt;&gt;"",O80,9999999999999)*1.1,deployment_raw[[#This Row],[Column11]] * IF($E$2="Deployment",deployment_raw[[#This Row],[Column5]],1)/1048576)),"")</f>
        <v/>
      </c>
      <c r="L80" s="124" t="str">
        <f>IF(ISNUMBER(deployment_raw[[#This Row],[Column8]]),IF(OR(deployment_raw[[#This Row],[Column5]] &lt;&gt; 0,$E$2 &lt;&gt; "Deployment"), MAX(J80, P80, R80, ($L$2 * IF($E$2="Deployment",deployment_raw[[#This Row],[Column5]],1)),IF(T80&lt;&gt;"",VALUE(T80) * IF($E$2="Deployment",deployment_raw[[#This Row],[Column5]],1),0)), 0),"")</f>
        <v/>
      </c>
      <c r="M80" s="125" t="str">
        <f>IF(ISNUMBER(deployment_raw[[#This Row],[Column9]]),IF(OR(deployment_raw[[#This Row],[Column5]] &lt;&gt; 0,$E$2&lt;&gt;"Deployment"), MAX(K80, Q80, S80, ($M$2 * IF($E$2="Deployment",deployment_raw[[#This Row],[Column5]],1)),IF(U80&lt;&gt;"",VALUE(U80) * IF($E$2="Deployment",deployment_raw[[#This Row],[Column5]],1),0)), 0),"")</f>
        <v/>
      </c>
      <c r="N80" s="166" t="str">
        <f>IF(ISNUMBER(deployment_raw[[#This Row],[Column14]]), deployment_raw[[#This Row],[Column14]]/IF(OR($E$2="Deployment",deployment_raw[[#This Row],[Column5]]=0),1,deployment_raw[[#This Row],[Column5]]),"")</f>
        <v/>
      </c>
      <c r="O80" s="167" t="str">
        <f>IF(ISNUMBER(deployment_raw[[#This Row],[Column15]]), deployment_raw[[#This Row],[Column15]]/IF(OR($E$2="Deployment",deployment_raw[[#This Row],[Column5]]=0),1,deployment_raw[[#This Row],[Column5]])/1048576,"")</f>
        <v/>
      </c>
      <c r="P80" s="168" t="str">
        <f>IF(ISNUMBER(deployment_raw[[#This Row],[Column12]]), (MIN(IF(N80&lt;&gt;"",N80,9999999999999)*1.1,deployment_raw[[#This Row],[Column12]] * IF($E$2="Deployment",deployment_raw[[#This Row],[Column5]],1))*(1+$P$2)),"")</f>
        <v/>
      </c>
      <c r="Q80" s="167" t="str">
        <f>IF(ISNUMBER(deployment_raw[[#This Row],[Column13]]), (MIN(IF(O80&lt;&gt;"",O80,9999999999999)*1.1,deployment_raw[[#This Row],[Column13]] * IF($E$2="Deployment",deployment_raw[[#This Row],[Column5]],1)*(1+$Q$2)/1048576)),"")</f>
        <v/>
      </c>
      <c r="R80" s="169" t="str">
        <f>IF(ISNUMBER(deployment_raw[[#This Row],[Column8]]), (H80  * IF(N80&lt;&gt;0,$R$2,1)),"")</f>
        <v/>
      </c>
      <c r="S80" s="170" t="str">
        <f>IF(ISNUMBER(deployment_raw[[#This Row],[Column8]]), (I80  * IF(O80&lt;&gt;0,$S$2,1)),"")</f>
        <v/>
      </c>
      <c r="T80" s="202" t="str">
        <f>IF(AND(A80&lt;&gt;"",_xlfn.IFNA(MATCH(A80,'dynamic resource application '!$A$2:$A$100, 0),0)&lt;&gt;0), H80/(IF($E$2="Deployment",E80,1)),"")</f>
        <v/>
      </c>
      <c r="U80" s="211" t="str">
        <f>IF(AND(A80&lt;&gt;"",_xlfn.IFNA(MATCH(A80,'dynamic resource application '!$A$2:$A$100, 0),0)&lt;&gt;0), I80/(IF($E$2="Deployment",E80,1)),"")</f>
        <v/>
      </c>
    </row>
    <row r="81" spans="1:21" ht="15.75" customHeight="1" x14ac:dyDescent="0.25">
      <c r="A81" s="35" t="str">
        <f>IF(ISNONTEXT(deployment_raw[[#This Row],[Column1]]), "", deployment_raw[[#This Row],[Column1]])</f>
        <v/>
      </c>
      <c r="B81" s="36" t="str">
        <f>IF(ISNONTEXT(deployment_raw[[#This Row],[Column2]]), "", deployment_raw[[#This Row],[Column2]])</f>
        <v/>
      </c>
      <c r="C81" s="36" t="str">
        <f>IF(ISNONTEXT(deployment_raw[[#This Row],[Column3]]), "", deployment_raw[[#This Row],[Column3]])</f>
        <v/>
      </c>
      <c r="D81" s="36" t="str">
        <f>IF(ISNONTEXT(deployment_raw[[#This Row],[Column4]]), "", deployment_raw[[#This Row],[Column4]])</f>
        <v/>
      </c>
      <c r="E81" s="37" t="str">
        <f>IF(ISNUMBER(deployment_raw[[#This Row],[Column5]]), deployment_raw[[#This Row],[Column5]],"")</f>
        <v/>
      </c>
      <c r="F81" s="94" t="str">
        <f>IF(ISNUMBER(deployment_raw[[#This Row],[Column6]]), (deployment_raw[[#This Row],[Column6]] * IF($E$2="Deployment",deployment_raw[[#This Row],[Column5]],1)),"")</f>
        <v/>
      </c>
      <c r="G81" s="95" t="str">
        <f>IF(ISNUMBER(deployment_raw[[#This Row],[Column7]]), (deployment_raw[[#This Row],[Column7]] * IF($E$2="Deployment",deployment_raw[[#This Row],[Column5]],1))/1048576,"")</f>
        <v/>
      </c>
      <c r="H81" s="95" t="str">
        <f>IF(ISNUMBER(deployment_raw[[#This Row],[Column8]]), (deployment_raw[[#This Row],[Column8]]  * IF($E$2="Deployment",deployment_raw[[#This Row],[Column5]],1)),"")</f>
        <v/>
      </c>
      <c r="I81" s="96" t="str">
        <f>IF(ISNUMBER(deployment_raw[[#This Row],[Column9]]), (deployment_raw[[#This Row],[Column9]] * IF($E$2="Deployment",deployment_raw[[#This Row],[Column5]],1))/1048576,"")</f>
        <v/>
      </c>
      <c r="J81" s="122" t="str">
        <f>IF(ISNUMBER(deployment_raw[[#This Row],[Column10]]), (MIN(IF(N81&lt;&gt;"",N81,9999999999999)*1.1,deployment_raw[[#This Row],[Column10]] * IF($E$2="Deployment",deployment_raw[[#This Row],[Column5]],1))),"")</f>
        <v/>
      </c>
      <c r="K81" s="123" t="str">
        <f>IF(ISNUMBER(deployment_raw[[#This Row],[Column11]]), (MIN(IF(O81&lt;&gt;"",O81,9999999999999)*1.1,deployment_raw[[#This Row],[Column11]] * IF($E$2="Deployment",deployment_raw[[#This Row],[Column5]],1)/1048576)),"")</f>
        <v/>
      </c>
      <c r="L81" s="124" t="str">
        <f>IF(ISNUMBER(deployment_raw[[#This Row],[Column8]]),IF(OR(deployment_raw[[#This Row],[Column5]] &lt;&gt; 0,$E$2 &lt;&gt; "Deployment"), MAX(J81, P81, R81, ($L$2 * IF($E$2="Deployment",deployment_raw[[#This Row],[Column5]],1)),IF(T81&lt;&gt;"",VALUE(T81) * IF($E$2="Deployment",deployment_raw[[#This Row],[Column5]],1),0)), 0),"")</f>
        <v/>
      </c>
      <c r="M81" s="125" t="str">
        <f>IF(ISNUMBER(deployment_raw[[#This Row],[Column9]]),IF(OR(deployment_raw[[#This Row],[Column5]] &lt;&gt; 0,$E$2&lt;&gt;"Deployment"), MAX(K81, Q81, S81, ($M$2 * IF($E$2="Deployment",deployment_raw[[#This Row],[Column5]],1)),IF(U81&lt;&gt;"",VALUE(U81) * IF($E$2="Deployment",deployment_raw[[#This Row],[Column5]],1),0)), 0),"")</f>
        <v/>
      </c>
      <c r="N81" s="166" t="str">
        <f>IF(ISNUMBER(deployment_raw[[#This Row],[Column14]]), deployment_raw[[#This Row],[Column14]]/IF(OR($E$2="Deployment",deployment_raw[[#This Row],[Column5]]=0),1,deployment_raw[[#This Row],[Column5]]),"")</f>
        <v/>
      </c>
      <c r="O81" s="167" t="str">
        <f>IF(ISNUMBER(deployment_raw[[#This Row],[Column15]]), deployment_raw[[#This Row],[Column15]]/IF(OR($E$2="Deployment",deployment_raw[[#This Row],[Column5]]=0),1,deployment_raw[[#This Row],[Column5]])/1048576,"")</f>
        <v/>
      </c>
      <c r="P81" s="168" t="str">
        <f>IF(ISNUMBER(deployment_raw[[#This Row],[Column12]]), (MIN(IF(N81&lt;&gt;"",N81,9999999999999)*1.1,deployment_raw[[#This Row],[Column12]] * IF($E$2="Deployment",deployment_raw[[#This Row],[Column5]],1))*(1+$P$2)),"")</f>
        <v/>
      </c>
      <c r="Q81" s="167" t="str">
        <f>IF(ISNUMBER(deployment_raw[[#This Row],[Column13]]), (MIN(IF(O81&lt;&gt;"",O81,9999999999999)*1.1,deployment_raw[[#This Row],[Column13]] * IF($E$2="Deployment",deployment_raw[[#This Row],[Column5]],1)*(1+$Q$2)/1048576)),"")</f>
        <v/>
      </c>
      <c r="R81" s="169" t="str">
        <f>IF(ISNUMBER(deployment_raw[[#This Row],[Column8]]), (H81  * IF(N81&lt;&gt;0,$R$2,1)),"")</f>
        <v/>
      </c>
      <c r="S81" s="170" t="str">
        <f>IF(ISNUMBER(deployment_raw[[#This Row],[Column8]]), (I81  * IF(O81&lt;&gt;0,$S$2,1)),"")</f>
        <v/>
      </c>
      <c r="T81" s="202" t="str">
        <f>IF(AND(A81&lt;&gt;"",_xlfn.IFNA(MATCH(A81,'dynamic resource application '!$A$2:$A$100, 0),0)&lt;&gt;0), H81/(IF($E$2="Deployment",E81,1)),"")</f>
        <v/>
      </c>
      <c r="U81" s="211" t="str">
        <f>IF(AND(A81&lt;&gt;"",_xlfn.IFNA(MATCH(A81,'dynamic resource application '!$A$2:$A$100, 0),0)&lt;&gt;0), I81/(IF($E$2="Deployment",E81,1)),"")</f>
        <v/>
      </c>
    </row>
    <row r="82" spans="1:21" ht="15.75" customHeight="1" x14ac:dyDescent="0.25">
      <c r="A82" s="35" t="str">
        <f>IF(ISNONTEXT(deployment_raw[[#This Row],[Column1]]), "", deployment_raw[[#This Row],[Column1]])</f>
        <v/>
      </c>
      <c r="B82" s="36" t="str">
        <f>IF(ISNONTEXT(deployment_raw[[#This Row],[Column2]]), "", deployment_raw[[#This Row],[Column2]])</f>
        <v/>
      </c>
      <c r="C82" s="36" t="str">
        <f>IF(ISNONTEXT(deployment_raw[[#This Row],[Column3]]), "", deployment_raw[[#This Row],[Column3]])</f>
        <v/>
      </c>
      <c r="D82" s="36" t="str">
        <f>IF(ISNONTEXT(deployment_raw[[#This Row],[Column4]]), "", deployment_raw[[#This Row],[Column4]])</f>
        <v/>
      </c>
      <c r="E82" s="37" t="str">
        <f>IF(ISNUMBER(deployment_raw[[#This Row],[Column5]]), deployment_raw[[#This Row],[Column5]],"")</f>
        <v/>
      </c>
      <c r="F82" s="94" t="str">
        <f>IF(ISNUMBER(deployment_raw[[#This Row],[Column6]]), (deployment_raw[[#This Row],[Column6]] * IF($E$2="Deployment",deployment_raw[[#This Row],[Column5]],1)),"")</f>
        <v/>
      </c>
      <c r="G82" s="95" t="str">
        <f>IF(ISNUMBER(deployment_raw[[#This Row],[Column7]]), (deployment_raw[[#This Row],[Column7]] * IF($E$2="Deployment",deployment_raw[[#This Row],[Column5]],1))/1048576,"")</f>
        <v/>
      </c>
      <c r="H82" s="95" t="str">
        <f>IF(ISNUMBER(deployment_raw[[#This Row],[Column8]]), (deployment_raw[[#This Row],[Column8]]  * IF($E$2="Deployment",deployment_raw[[#This Row],[Column5]],1)),"")</f>
        <v/>
      </c>
      <c r="I82" s="96" t="str">
        <f>IF(ISNUMBER(deployment_raw[[#This Row],[Column9]]), (deployment_raw[[#This Row],[Column9]] * IF($E$2="Deployment",deployment_raw[[#This Row],[Column5]],1))/1048576,"")</f>
        <v/>
      </c>
      <c r="J82" s="122" t="str">
        <f>IF(ISNUMBER(deployment_raw[[#This Row],[Column10]]), (MIN(IF(N82&lt;&gt;"",N82,9999999999999)*1.1,deployment_raw[[#This Row],[Column10]] * IF($E$2="Deployment",deployment_raw[[#This Row],[Column5]],1))),"")</f>
        <v/>
      </c>
      <c r="K82" s="123" t="str">
        <f>IF(ISNUMBER(deployment_raw[[#This Row],[Column11]]), (MIN(IF(O82&lt;&gt;"",O82,9999999999999)*1.1,deployment_raw[[#This Row],[Column11]] * IF($E$2="Deployment",deployment_raw[[#This Row],[Column5]],1)/1048576)),"")</f>
        <v/>
      </c>
      <c r="L82" s="124" t="str">
        <f>IF(ISNUMBER(deployment_raw[[#This Row],[Column8]]),IF(OR(deployment_raw[[#This Row],[Column5]] &lt;&gt; 0,$E$2 &lt;&gt; "Deployment"), MAX(J82, P82, R82, ($L$2 * IF($E$2="Deployment",deployment_raw[[#This Row],[Column5]],1)),IF(T82&lt;&gt;"",VALUE(T82) * IF($E$2="Deployment",deployment_raw[[#This Row],[Column5]],1),0)), 0),"")</f>
        <v/>
      </c>
      <c r="M82" s="125" t="str">
        <f>IF(ISNUMBER(deployment_raw[[#This Row],[Column9]]),IF(OR(deployment_raw[[#This Row],[Column5]] &lt;&gt; 0,$E$2&lt;&gt;"Deployment"), MAX(K82, Q82, S82, ($M$2 * IF($E$2="Deployment",deployment_raw[[#This Row],[Column5]],1)),IF(U82&lt;&gt;"",VALUE(U82) * IF($E$2="Deployment",deployment_raw[[#This Row],[Column5]],1),0)), 0),"")</f>
        <v/>
      </c>
      <c r="N82" s="166" t="str">
        <f>IF(ISNUMBER(deployment_raw[[#This Row],[Column14]]), deployment_raw[[#This Row],[Column14]]/IF(OR($E$2="Deployment",deployment_raw[[#This Row],[Column5]]=0),1,deployment_raw[[#This Row],[Column5]]),"")</f>
        <v/>
      </c>
      <c r="O82" s="167" t="str">
        <f>IF(ISNUMBER(deployment_raw[[#This Row],[Column15]]), deployment_raw[[#This Row],[Column15]]/IF(OR($E$2="Deployment",deployment_raw[[#This Row],[Column5]]=0),1,deployment_raw[[#This Row],[Column5]])/1048576,"")</f>
        <v/>
      </c>
      <c r="P82" s="168" t="str">
        <f>IF(ISNUMBER(deployment_raw[[#This Row],[Column12]]), (MIN(IF(N82&lt;&gt;"",N82,9999999999999)*1.1,deployment_raw[[#This Row],[Column12]] * IF($E$2="Deployment",deployment_raw[[#This Row],[Column5]],1))*(1+$P$2)),"")</f>
        <v/>
      </c>
      <c r="Q82" s="167" t="str">
        <f>IF(ISNUMBER(deployment_raw[[#This Row],[Column13]]), (MIN(IF(O82&lt;&gt;"",O82,9999999999999)*1.1,deployment_raw[[#This Row],[Column13]] * IF($E$2="Deployment",deployment_raw[[#This Row],[Column5]],1)*(1+$Q$2)/1048576)),"")</f>
        <v/>
      </c>
      <c r="R82" s="169" t="str">
        <f>IF(ISNUMBER(deployment_raw[[#This Row],[Column8]]), (H82  * IF(N82&lt;&gt;0,$R$2,1)),"")</f>
        <v/>
      </c>
      <c r="S82" s="170" t="str">
        <f>IF(ISNUMBER(deployment_raw[[#This Row],[Column8]]), (I82  * IF(O82&lt;&gt;0,$S$2,1)),"")</f>
        <v/>
      </c>
      <c r="T82" s="202" t="str">
        <f>IF(AND(A82&lt;&gt;"",_xlfn.IFNA(MATCH(A82,'dynamic resource application '!$A$2:$A$100, 0),0)&lt;&gt;0), H82/(IF($E$2="Deployment",E82,1)),"")</f>
        <v/>
      </c>
      <c r="U82" s="211" t="str">
        <f>IF(AND(A82&lt;&gt;"",_xlfn.IFNA(MATCH(A82,'dynamic resource application '!$A$2:$A$100, 0),0)&lt;&gt;0), I82/(IF($E$2="Deployment",E82,1)),"")</f>
        <v/>
      </c>
    </row>
    <row r="83" spans="1:21" ht="15.75" customHeight="1" x14ac:dyDescent="0.25">
      <c r="A83" s="35" t="str">
        <f>IF(ISNONTEXT(deployment_raw[[#This Row],[Column1]]), "", deployment_raw[[#This Row],[Column1]])</f>
        <v/>
      </c>
      <c r="B83" s="36" t="str">
        <f>IF(ISNONTEXT(deployment_raw[[#This Row],[Column2]]), "", deployment_raw[[#This Row],[Column2]])</f>
        <v/>
      </c>
      <c r="C83" s="36" t="str">
        <f>IF(ISNONTEXT(deployment_raw[[#This Row],[Column3]]), "", deployment_raw[[#This Row],[Column3]])</f>
        <v/>
      </c>
      <c r="D83" s="36" t="str">
        <f>IF(ISNONTEXT(deployment_raw[[#This Row],[Column4]]), "", deployment_raw[[#This Row],[Column4]])</f>
        <v/>
      </c>
      <c r="E83" s="37" t="str">
        <f>IF(ISNUMBER(deployment_raw[[#This Row],[Column5]]), deployment_raw[[#This Row],[Column5]],"")</f>
        <v/>
      </c>
      <c r="F83" s="94" t="str">
        <f>IF(ISNUMBER(deployment_raw[[#This Row],[Column6]]), (deployment_raw[[#This Row],[Column6]] * IF($E$2="Deployment",deployment_raw[[#This Row],[Column5]],1)),"")</f>
        <v/>
      </c>
      <c r="G83" s="95" t="str">
        <f>IF(ISNUMBER(deployment_raw[[#This Row],[Column7]]), (deployment_raw[[#This Row],[Column7]] * IF($E$2="Deployment",deployment_raw[[#This Row],[Column5]],1))/1048576,"")</f>
        <v/>
      </c>
      <c r="H83" s="95" t="str">
        <f>IF(ISNUMBER(deployment_raw[[#This Row],[Column8]]), (deployment_raw[[#This Row],[Column8]]  * IF($E$2="Deployment",deployment_raw[[#This Row],[Column5]],1)),"")</f>
        <v/>
      </c>
      <c r="I83" s="96" t="str">
        <f>IF(ISNUMBER(deployment_raw[[#This Row],[Column9]]), (deployment_raw[[#This Row],[Column9]] * IF($E$2="Deployment",deployment_raw[[#This Row],[Column5]],1))/1048576,"")</f>
        <v/>
      </c>
      <c r="J83" s="122" t="str">
        <f>IF(ISNUMBER(deployment_raw[[#This Row],[Column10]]), (MIN(IF(N83&lt;&gt;"",N83,9999999999999)*1.1,deployment_raw[[#This Row],[Column10]] * IF($E$2="Deployment",deployment_raw[[#This Row],[Column5]],1))),"")</f>
        <v/>
      </c>
      <c r="K83" s="123" t="str">
        <f>IF(ISNUMBER(deployment_raw[[#This Row],[Column11]]), (MIN(IF(O83&lt;&gt;"",O83,9999999999999)*1.1,deployment_raw[[#This Row],[Column11]] * IF($E$2="Deployment",deployment_raw[[#This Row],[Column5]],1)/1048576)),"")</f>
        <v/>
      </c>
      <c r="L83" s="124" t="str">
        <f>IF(ISNUMBER(deployment_raw[[#This Row],[Column8]]),IF(OR(deployment_raw[[#This Row],[Column5]] &lt;&gt; 0,$E$2 &lt;&gt; "Deployment"), MAX(J83, P83, R83, ($L$2 * IF($E$2="Deployment",deployment_raw[[#This Row],[Column5]],1)),IF(T83&lt;&gt;"",VALUE(T83) * IF($E$2="Deployment",deployment_raw[[#This Row],[Column5]],1),0)), 0),"")</f>
        <v/>
      </c>
      <c r="M83" s="125" t="str">
        <f>IF(ISNUMBER(deployment_raw[[#This Row],[Column9]]),IF(OR(deployment_raw[[#This Row],[Column5]] &lt;&gt; 0,$E$2&lt;&gt;"Deployment"), MAX(K83, Q83, S83, ($M$2 * IF($E$2="Deployment",deployment_raw[[#This Row],[Column5]],1)),IF(U83&lt;&gt;"",VALUE(U83) * IF($E$2="Deployment",deployment_raw[[#This Row],[Column5]],1),0)), 0),"")</f>
        <v/>
      </c>
      <c r="N83" s="166" t="str">
        <f>IF(ISNUMBER(deployment_raw[[#This Row],[Column14]]), deployment_raw[[#This Row],[Column14]]/IF(OR($E$2="Deployment",deployment_raw[[#This Row],[Column5]]=0),1,deployment_raw[[#This Row],[Column5]]),"")</f>
        <v/>
      </c>
      <c r="O83" s="167" t="str">
        <f>IF(ISNUMBER(deployment_raw[[#This Row],[Column15]]), deployment_raw[[#This Row],[Column15]]/IF(OR($E$2="Deployment",deployment_raw[[#This Row],[Column5]]=0),1,deployment_raw[[#This Row],[Column5]])/1048576,"")</f>
        <v/>
      </c>
      <c r="P83" s="168" t="str">
        <f>IF(ISNUMBER(deployment_raw[[#This Row],[Column12]]), (MIN(IF(N83&lt;&gt;"",N83,9999999999999)*1.1,deployment_raw[[#This Row],[Column12]] * IF($E$2="Deployment",deployment_raw[[#This Row],[Column5]],1))*(1+$P$2)),"")</f>
        <v/>
      </c>
      <c r="Q83" s="167" t="str">
        <f>IF(ISNUMBER(deployment_raw[[#This Row],[Column13]]), (MIN(IF(O83&lt;&gt;"",O83,9999999999999)*1.1,deployment_raw[[#This Row],[Column13]] * IF($E$2="Deployment",deployment_raw[[#This Row],[Column5]],1)*(1+$Q$2)/1048576)),"")</f>
        <v/>
      </c>
      <c r="R83" s="169" t="str">
        <f>IF(ISNUMBER(deployment_raw[[#This Row],[Column8]]), (H83  * IF(N83&lt;&gt;0,$R$2,1)),"")</f>
        <v/>
      </c>
      <c r="S83" s="170" t="str">
        <f>IF(ISNUMBER(deployment_raw[[#This Row],[Column8]]), (I83  * IF(O83&lt;&gt;0,$S$2,1)),"")</f>
        <v/>
      </c>
      <c r="T83" s="202" t="str">
        <f>IF(AND(A83&lt;&gt;"",_xlfn.IFNA(MATCH(A83,'dynamic resource application '!$A$2:$A$100, 0),0)&lt;&gt;0), H83/(IF($E$2="Deployment",E83,1)),"")</f>
        <v/>
      </c>
      <c r="U83" s="211" t="str">
        <f>IF(AND(A83&lt;&gt;"",_xlfn.IFNA(MATCH(A83,'dynamic resource application '!$A$2:$A$100, 0),0)&lt;&gt;0), I83/(IF($E$2="Deployment",E83,1)),"")</f>
        <v/>
      </c>
    </row>
    <row r="84" spans="1:21" ht="15.75" customHeight="1" x14ac:dyDescent="0.25">
      <c r="A84" s="35" t="str">
        <f>IF(ISNONTEXT(deployment_raw[[#This Row],[Column1]]), "", deployment_raw[[#This Row],[Column1]])</f>
        <v/>
      </c>
      <c r="B84" s="36" t="str">
        <f>IF(ISNONTEXT(deployment_raw[[#This Row],[Column2]]), "", deployment_raw[[#This Row],[Column2]])</f>
        <v/>
      </c>
      <c r="C84" s="36" t="str">
        <f>IF(ISNONTEXT(deployment_raw[[#This Row],[Column3]]), "", deployment_raw[[#This Row],[Column3]])</f>
        <v/>
      </c>
      <c r="D84" s="36" t="str">
        <f>IF(ISNONTEXT(deployment_raw[[#This Row],[Column4]]), "", deployment_raw[[#This Row],[Column4]])</f>
        <v/>
      </c>
      <c r="E84" s="37" t="str">
        <f>IF(ISNUMBER(deployment_raw[[#This Row],[Column5]]), deployment_raw[[#This Row],[Column5]],"")</f>
        <v/>
      </c>
      <c r="F84" s="94" t="str">
        <f>IF(ISNUMBER(deployment_raw[[#This Row],[Column6]]), (deployment_raw[[#This Row],[Column6]] * IF($E$2="Deployment",deployment_raw[[#This Row],[Column5]],1)),"")</f>
        <v/>
      </c>
      <c r="G84" s="95" t="str">
        <f>IF(ISNUMBER(deployment_raw[[#This Row],[Column7]]), (deployment_raw[[#This Row],[Column7]] * IF($E$2="Deployment",deployment_raw[[#This Row],[Column5]],1))/1048576,"")</f>
        <v/>
      </c>
      <c r="H84" s="95" t="str">
        <f>IF(ISNUMBER(deployment_raw[[#This Row],[Column8]]), (deployment_raw[[#This Row],[Column8]]  * IF($E$2="Deployment",deployment_raw[[#This Row],[Column5]],1)),"")</f>
        <v/>
      </c>
      <c r="I84" s="96" t="str">
        <f>IF(ISNUMBER(deployment_raw[[#This Row],[Column9]]), (deployment_raw[[#This Row],[Column9]] * IF($E$2="Deployment",deployment_raw[[#This Row],[Column5]],1))/1048576,"")</f>
        <v/>
      </c>
      <c r="J84" s="122" t="str">
        <f>IF(ISNUMBER(deployment_raw[[#This Row],[Column10]]), (MIN(IF(N84&lt;&gt;"",N84,9999999999999)*1.1,deployment_raw[[#This Row],[Column10]] * IF($E$2="Deployment",deployment_raw[[#This Row],[Column5]],1))),"")</f>
        <v/>
      </c>
      <c r="K84" s="123" t="str">
        <f>IF(ISNUMBER(deployment_raw[[#This Row],[Column11]]), (MIN(IF(O84&lt;&gt;"",O84,9999999999999)*1.1,deployment_raw[[#This Row],[Column11]] * IF($E$2="Deployment",deployment_raw[[#This Row],[Column5]],1)/1048576)),"")</f>
        <v/>
      </c>
      <c r="L84" s="124" t="str">
        <f>IF(ISNUMBER(deployment_raw[[#This Row],[Column8]]),IF(OR(deployment_raw[[#This Row],[Column5]] &lt;&gt; 0,$E$2 &lt;&gt; "Deployment"), MAX(J84, P84, R84, ($L$2 * IF($E$2="Deployment",deployment_raw[[#This Row],[Column5]],1)),IF(T84&lt;&gt;"",VALUE(T84) * IF($E$2="Deployment",deployment_raw[[#This Row],[Column5]],1),0)), 0),"")</f>
        <v/>
      </c>
      <c r="M84" s="125" t="str">
        <f>IF(ISNUMBER(deployment_raw[[#This Row],[Column9]]),IF(OR(deployment_raw[[#This Row],[Column5]] &lt;&gt; 0,$E$2&lt;&gt;"Deployment"), MAX(K84, Q84, S84, ($M$2 * IF($E$2="Deployment",deployment_raw[[#This Row],[Column5]],1)),IF(U84&lt;&gt;"",VALUE(U84) * IF($E$2="Deployment",deployment_raw[[#This Row],[Column5]],1),0)), 0),"")</f>
        <v/>
      </c>
      <c r="N84" s="166" t="str">
        <f>IF(ISNUMBER(deployment_raw[[#This Row],[Column14]]), deployment_raw[[#This Row],[Column14]]/IF(OR($E$2="Deployment",deployment_raw[[#This Row],[Column5]]=0),1,deployment_raw[[#This Row],[Column5]]),"")</f>
        <v/>
      </c>
      <c r="O84" s="167" t="str">
        <f>IF(ISNUMBER(deployment_raw[[#This Row],[Column15]]), deployment_raw[[#This Row],[Column15]]/IF(OR($E$2="Deployment",deployment_raw[[#This Row],[Column5]]=0),1,deployment_raw[[#This Row],[Column5]])/1048576,"")</f>
        <v/>
      </c>
      <c r="P84" s="168" t="str">
        <f>IF(ISNUMBER(deployment_raw[[#This Row],[Column12]]), (MIN(IF(N84&lt;&gt;"",N84,9999999999999)*1.1,deployment_raw[[#This Row],[Column12]] * IF($E$2="Deployment",deployment_raw[[#This Row],[Column5]],1))*(1+$P$2)),"")</f>
        <v/>
      </c>
      <c r="Q84" s="167" t="str">
        <f>IF(ISNUMBER(deployment_raw[[#This Row],[Column13]]), (MIN(IF(O84&lt;&gt;"",O84,9999999999999)*1.1,deployment_raw[[#This Row],[Column13]] * IF($E$2="Deployment",deployment_raw[[#This Row],[Column5]],1)*(1+$Q$2)/1048576)),"")</f>
        <v/>
      </c>
      <c r="R84" s="169" t="str">
        <f>IF(ISNUMBER(deployment_raw[[#This Row],[Column8]]), (H84  * IF(N84&lt;&gt;0,$R$2,1)),"")</f>
        <v/>
      </c>
      <c r="S84" s="170" t="str">
        <f>IF(ISNUMBER(deployment_raw[[#This Row],[Column8]]), (I84  * IF(O84&lt;&gt;0,$S$2,1)),"")</f>
        <v/>
      </c>
      <c r="T84" s="202" t="str">
        <f>IF(AND(A84&lt;&gt;"",_xlfn.IFNA(MATCH(A84,'dynamic resource application '!$A$2:$A$100, 0),0)&lt;&gt;0), H84/(IF($E$2="Deployment",E84,1)),"")</f>
        <v/>
      </c>
      <c r="U84" s="211" t="str">
        <f>IF(AND(A84&lt;&gt;"",_xlfn.IFNA(MATCH(A84,'dynamic resource application '!$A$2:$A$100, 0),0)&lt;&gt;0), I84/(IF($E$2="Deployment",E84,1)),"")</f>
        <v/>
      </c>
    </row>
    <row r="85" spans="1:21" ht="15.75" customHeight="1" x14ac:dyDescent="0.25">
      <c r="A85" s="35" t="str">
        <f>IF(ISNONTEXT(deployment_raw[[#This Row],[Column1]]), "", deployment_raw[[#This Row],[Column1]])</f>
        <v/>
      </c>
      <c r="B85" s="36" t="str">
        <f>IF(ISNONTEXT(deployment_raw[[#This Row],[Column2]]), "", deployment_raw[[#This Row],[Column2]])</f>
        <v/>
      </c>
      <c r="C85" s="36" t="str">
        <f>IF(ISNONTEXT(deployment_raw[[#This Row],[Column3]]), "", deployment_raw[[#This Row],[Column3]])</f>
        <v/>
      </c>
      <c r="D85" s="36" t="str">
        <f>IF(ISNONTEXT(deployment_raw[[#This Row],[Column4]]), "", deployment_raw[[#This Row],[Column4]])</f>
        <v/>
      </c>
      <c r="E85" s="37" t="str">
        <f>IF(ISNUMBER(deployment_raw[[#This Row],[Column5]]), deployment_raw[[#This Row],[Column5]],"")</f>
        <v/>
      </c>
      <c r="F85" s="94" t="str">
        <f>IF(ISNUMBER(deployment_raw[[#This Row],[Column6]]), (deployment_raw[[#This Row],[Column6]] * IF($E$2="Deployment",deployment_raw[[#This Row],[Column5]],1)),"")</f>
        <v/>
      </c>
      <c r="G85" s="95" t="str">
        <f>IF(ISNUMBER(deployment_raw[[#This Row],[Column7]]), (deployment_raw[[#This Row],[Column7]] * IF($E$2="Deployment",deployment_raw[[#This Row],[Column5]],1))/1048576,"")</f>
        <v/>
      </c>
      <c r="H85" s="95" t="str">
        <f>IF(ISNUMBER(deployment_raw[[#This Row],[Column8]]), (deployment_raw[[#This Row],[Column8]]  * IF($E$2="Deployment",deployment_raw[[#This Row],[Column5]],1)),"")</f>
        <v/>
      </c>
      <c r="I85" s="96" t="str">
        <f>IF(ISNUMBER(deployment_raw[[#This Row],[Column9]]), (deployment_raw[[#This Row],[Column9]] * IF($E$2="Deployment",deployment_raw[[#This Row],[Column5]],1))/1048576,"")</f>
        <v/>
      </c>
      <c r="J85" s="122" t="str">
        <f>IF(ISNUMBER(deployment_raw[[#This Row],[Column10]]), (MIN(IF(N85&lt;&gt;"",N85,9999999999999)*1.1,deployment_raw[[#This Row],[Column10]] * IF($E$2="Deployment",deployment_raw[[#This Row],[Column5]],1))),"")</f>
        <v/>
      </c>
      <c r="K85" s="123" t="str">
        <f>IF(ISNUMBER(deployment_raw[[#This Row],[Column11]]), (MIN(IF(O85&lt;&gt;"",O85,9999999999999)*1.1,deployment_raw[[#This Row],[Column11]] * IF($E$2="Deployment",deployment_raw[[#This Row],[Column5]],1)/1048576)),"")</f>
        <v/>
      </c>
      <c r="L85" s="124" t="str">
        <f>IF(ISNUMBER(deployment_raw[[#This Row],[Column8]]),IF(OR(deployment_raw[[#This Row],[Column5]] &lt;&gt; 0,$E$2 &lt;&gt; "Deployment"), MAX(J85, P85, R85, ($L$2 * IF($E$2="Deployment",deployment_raw[[#This Row],[Column5]],1)),IF(T85&lt;&gt;"",VALUE(T85) * IF($E$2="Deployment",deployment_raw[[#This Row],[Column5]],1),0)), 0),"")</f>
        <v/>
      </c>
      <c r="M85" s="125" t="str">
        <f>IF(ISNUMBER(deployment_raw[[#This Row],[Column9]]),IF(OR(deployment_raw[[#This Row],[Column5]] &lt;&gt; 0,$E$2&lt;&gt;"Deployment"), MAX(K85, Q85, S85, ($M$2 * IF($E$2="Deployment",deployment_raw[[#This Row],[Column5]],1)),IF(U85&lt;&gt;"",VALUE(U85) * IF($E$2="Deployment",deployment_raw[[#This Row],[Column5]],1),0)), 0),"")</f>
        <v/>
      </c>
      <c r="N85" s="166" t="str">
        <f>IF(ISNUMBER(deployment_raw[[#This Row],[Column14]]), deployment_raw[[#This Row],[Column14]]/IF(OR($E$2="Deployment",deployment_raw[[#This Row],[Column5]]=0),1,deployment_raw[[#This Row],[Column5]]),"")</f>
        <v/>
      </c>
      <c r="O85" s="167" t="str">
        <f>IF(ISNUMBER(deployment_raw[[#This Row],[Column15]]), deployment_raw[[#This Row],[Column15]]/IF(OR($E$2="Deployment",deployment_raw[[#This Row],[Column5]]=0),1,deployment_raw[[#This Row],[Column5]])/1048576,"")</f>
        <v/>
      </c>
      <c r="P85" s="168" t="str">
        <f>IF(ISNUMBER(deployment_raw[[#This Row],[Column12]]), (MIN(IF(N85&lt;&gt;"",N85,9999999999999)*1.1,deployment_raw[[#This Row],[Column12]] * IF($E$2="Deployment",deployment_raw[[#This Row],[Column5]],1))*(1+$P$2)),"")</f>
        <v/>
      </c>
      <c r="Q85" s="167" t="str">
        <f>IF(ISNUMBER(deployment_raw[[#This Row],[Column13]]), (MIN(IF(O85&lt;&gt;"",O85,9999999999999)*1.1,deployment_raw[[#This Row],[Column13]] * IF($E$2="Deployment",deployment_raw[[#This Row],[Column5]],1)*(1+$Q$2)/1048576)),"")</f>
        <v/>
      </c>
      <c r="R85" s="169" t="str">
        <f>IF(ISNUMBER(deployment_raw[[#This Row],[Column8]]), (H85  * IF(N85&lt;&gt;0,$R$2,1)),"")</f>
        <v/>
      </c>
      <c r="S85" s="170" t="str">
        <f>IF(ISNUMBER(deployment_raw[[#This Row],[Column8]]), (I85  * IF(O85&lt;&gt;0,$S$2,1)),"")</f>
        <v/>
      </c>
      <c r="T85" s="202" t="str">
        <f>IF(AND(A85&lt;&gt;"",_xlfn.IFNA(MATCH(A85,'dynamic resource application '!$A$2:$A$100, 0),0)&lt;&gt;0), H85/(IF($E$2="Deployment",E85,1)),"")</f>
        <v/>
      </c>
      <c r="U85" s="211" t="str">
        <f>IF(AND(A85&lt;&gt;"",_xlfn.IFNA(MATCH(A85,'dynamic resource application '!$A$2:$A$100, 0),0)&lt;&gt;0), I85/(IF($E$2="Deployment",E85,1)),"")</f>
        <v/>
      </c>
    </row>
    <row r="86" spans="1:21" ht="15.75" customHeight="1" x14ac:dyDescent="0.25">
      <c r="A86" s="35" t="str">
        <f>IF(ISNONTEXT(deployment_raw[[#This Row],[Column1]]), "", deployment_raw[[#This Row],[Column1]])</f>
        <v/>
      </c>
      <c r="B86" s="36" t="str">
        <f>IF(ISNONTEXT(deployment_raw[[#This Row],[Column2]]), "", deployment_raw[[#This Row],[Column2]])</f>
        <v/>
      </c>
      <c r="C86" s="36" t="str">
        <f>IF(ISNONTEXT(deployment_raw[[#This Row],[Column3]]), "", deployment_raw[[#This Row],[Column3]])</f>
        <v/>
      </c>
      <c r="D86" s="36" t="str">
        <f>IF(ISNONTEXT(deployment_raw[[#This Row],[Column4]]), "", deployment_raw[[#This Row],[Column4]])</f>
        <v/>
      </c>
      <c r="E86" s="37" t="str">
        <f>IF(ISNUMBER(deployment_raw[[#This Row],[Column5]]), deployment_raw[[#This Row],[Column5]],"")</f>
        <v/>
      </c>
      <c r="F86" s="94" t="str">
        <f>IF(ISNUMBER(deployment_raw[[#This Row],[Column6]]), (deployment_raw[[#This Row],[Column6]] * IF($E$2="Deployment",deployment_raw[[#This Row],[Column5]],1)),"")</f>
        <v/>
      </c>
      <c r="G86" s="95" t="str">
        <f>IF(ISNUMBER(deployment_raw[[#This Row],[Column7]]), (deployment_raw[[#This Row],[Column7]] * IF($E$2="Deployment",deployment_raw[[#This Row],[Column5]],1))/1048576,"")</f>
        <v/>
      </c>
      <c r="H86" s="95" t="str">
        <f>IF(ISNUMBER(deployment_raw[[#This Row],[Column8]]), (deployment_raw[[#This Row],[Column8]]  * IF($E$2="Deployment",deployment_raw[[#This Row],[Column5]],1)),"")</f>
        <v/>
      </c>
      <c r="I86" s="96" t="str">
        <f>IF(ISNUMBER(deployment_raw[[#This Row],[Column9]]), (deployment_raw[[#This Row],[Column9]] * IF($E$2="Deployment",deployment_raw[[#This Row],[Column5]],1))/1048576,"")</f>
        <v/>
      </c>
      <c r="J86" s="122" t="str">
        <f>IF(ISNUMBER(deployment_raw[[#This Row],[Column10]]), (MIN(IF(N86&lt;&gt;"",N86,9999999999999)*1.1,deployment_raw[[#This Row],[Column10]] * IF($E$2="Deployment",deployment_raw[[#This Row],[Column5]],1))),"")</f>
        <v/>
      </c>
      <c r="K86" s="123" t="str">
        <f>IF(ISNUMBER(deployment_raw[[#This Row],[Column11]]), (MIN(IF(O86&lt;&gt;"",O86,9999999999999)*1.1,deployment_raw[[#This Row],[Column11]] * IF($E$2="Deployment",deployment_raw[[#This Row],[Column5]],1)/1048576)),"")</f>
        <v/>
      </c>
      <c r="L86" s="124" t="str">
        <f>IF(ISNUMBER(deployment_raw[[#This Row],[Column8]]),IF(OR(deployment_raw[[#This Row],[Column5]] &lt;&gt; 0,$E$2 &lt;&gt; "Deployment"), MAX(J86, P86, R86, ($L$2 * IF($E$2="Deployment",deployment_raw[[#This Row],[Column5]],1)),IF(T86&lt;&gt;"",VALUE(T86) * IF($E$2="Deployment",deployment_raw[[#This Row],[Column5]],1),0)), 0),"")</f>
        <v/>
      </c>
      <c r="M86" s="125" t="str">
        <f>IF(ISNUMBER(deployment_raw[[#This Row],[Column9]]),IF(OR(deployment_raw[[#This Row],[Column5]] &lt;&gt; 0,$E$2&lt;&gt;"Deployment"), MAX(K86, Q86, S86, ($M$2 * IF($E$2="Deployment",deployment_raw[[#This Row],[Column5]],1)),IF(U86&lt;&gt;"",VALUE(U86) * IF($E$2="Deployment",deployment_raw[[#This Row],[Column5]],1),0)), 0),"")</f>
        <v/>
      </c>
      <c r="N86" s="166" t="str">
        <f>IF(ISNUMBER(deployment_raw[[#This Row],[Column14]]), deployment_raw[[#This Row],[Column14]]/IF(OR($E$2="Deployment",deployment_raw[[#This Row],[Column5]]=0),1,deployment_raw[[#This Row],[Column5]]),"")</f>
        <v/>
      </c>
      <c r="O86" s="167" t="str">
        <f>IF(ISNUMBER(deployment_raw[[#This Row],[Column15]]), deployment_raw[[#This Row],[Column15]]/IF(OR($E$2="Deployment",deployment_raw[[#This Row],[Column5]]=0),1,deployment_raw[[#This Row],[Column5]])/1048576,"")</f>
        <v/>
      </c>
      <c r="P86" s="168" t="str">
        <f>IF(ISNUMBER(deployment_raw[[#This Row],[Column12]]), (MIN(IF(N86&lt;&gt;"",N86,9999999999999)*1.1,deployment_raw[[#This Row],[Column12]] * IF($E$2="Deployment",deployment_raw[[#This Row],[Column5]],1))*(1+$P$2)),"")</f>
        <v/>
      </c>
      <c r="Q86" s="167" t="str">
        <f>IF(ISNUMBER(deployment_raw[[#This Row],[Column13]]), (MIN(IF(O86&lt;&gt;"",O86,9999999999999)*1.1,deployment_raw[[#This Row],[Column13]] * IF($E$2="Deployment",deployment_raw[[#This Row],[Column5]],1)*(1+$Q$2)/1048576)),"")</f>
        <v/>
      </c>
      <c r="R86" s="169" t="str">
        <f>IF(ISNUMBER(deployment_raw[[#This Row],[Column8]]), (H86  * IF(N86&lt;&gt;0,$R$2,1)),"")</f>
        <v/>
      </c>
      <c r="S86" s="170" t="str">
        <f>IF(ISNUMBER(deployment_raw[[#This Row],[Column8]]), (I86  * IF(O86&lt;&gt;0,$S$2,1)),"")</f>
        <v/>
      </c>
      <c r="T86" s="202" t="str">
        <f>IF(AND(A86&lt;&gt;"",_xlfn.IFNA(MATCH(A86,'dynamic resource application '!$A$2:$A$100, 0),0)&lt;&gt;0), H86/(IF($E$2="Deployment",E86,1)),"")</f>
        <v/>
      </c>
      <c r="U86" s="211" t="str">
        <f>IF(AND(A86&lt;&gt;"",_xlfn.IFNA(MATCH(A86,'dynamic resource application '!$A$2:$A$100, 0),0)&lt;&gt;0), I86/(IF($E$2="Deployment",E86,1)),"")</f>
        <v/>
      </c>
    </row>
    <row r="87" spans="1:21" ht="15.75" customHeight="1" x14ac:dyDescent="0.25">
      <c r="A87" s="35" t="str">
        <f>IF(ISNONTEXT(deployment_raw[[#This Row],[Column1]]), "", deployment_raw[[#This Row],[Column1]])</f>
        <v/>
      </c>
      <c r="B87" s="36" t="str">
        <f>IF(ISNONTEXT(deployment_raw[[#This Row],[Column2]]), "", deployment_raw[[#This Row],[Column2]])</f>
        <v/>
      </c>
      <c r="C87" s="36" t="str">
        <f>IF(ISNONTEXT(deployment_raw[[#This Row],[Column3]]), "", deployment_raw[[#This Row],[Column3]])</f>
        <v/>
      </c>
      <c r="D87" s="36" t="str">
        <f>IF(ISNONTEXT(deployment_raw[[#This Row],[Column4]]), "", deployment_raw[[#This Row],[Column4]])</f>
        <v/>
      </c>
      <c r="E87" s="37" t="str">
        <f>IF(ISNUMBER(deployment_raw[[#This Row],[Column5]]), deployment_raw[[#This Row],[Column5]],"")</f>
        <v/>
      </c>
      <c r="F87" s="94" t="str">
        <f>IF(ISNUMBER(deployment_raw[[#This Row],[Column6]]), (deployment_raw[[#This Row],[Column6]] * IF($E$2="Deployment",deployment_raw[[#This Row],[Column5]],1)),"")</f>
        <v/>
      </c>
      <c r="G87" s="95" t="str">
        <f>IF(ISNUMBER(deployment_raw[[#This Row],[Column7]]), (deployment_raw[[#This Row],[Column7]] * IF($E$2="Deployment",deployment_raw[[#This Row],[Column5]],1))/1048576,"")</f>
        <v/>
      </c>
      <c r="H87" s="95" t="str">
        <f>IF(ISNUMBER(deployment_raw[[#This Row],[Column8]]), (deployment_raw[[#This Row],[Column8]]  * IF($E$2="Deployment",deployment_raw[[#This Row],[Column5]],1)),"")</f>
        <v/>
      </c>
      <c r="I87" s="96" t="str">
        <f>IF(ISNUMBER(deployment_raw[[#This Row],[Column9]]), (deployment_raw[[#This Row],[Column9]] * IF($E$2="Deployment",deployment_raw[[#This Row],[Column5]],1))/1048576,"")</f>
        <v/>
      </c>
      <c r="J87" s="122" t="str">
        <f>IF(ISNUMBER(deployment_raw[[#This Row],[Column10]]), (MIN(IF(N87&lt;&gt;"",N87,9999999999999)*1.1,deployment_raw[[#This Row],[Column10]] * IF($E$2="Deployment",deployment_raw[[#This Row],[Column5]],1))),"")</f>
        <v/>
      </c>
      <c r="K87" s="123" t="str">
        <f>IF(ISNUMBER(deployment_raw[[#This Row],[Column11]]), (MIN(IF(O87&lt;&gt;"",O87,9999999999999)*1.1,deployment_raw[[#This Row],[Column11]] * IF($E$2="Deployment",deployment_raw[[#This Row],[Column5]],1)/1048576)),"")</f>
        <v/>
      </c>
      <c r="L87" s="124" t="str">
        <f>IF(ISNUMBER(deployment_raw[[#This Row],[Column8]]),IF(OR(deployment_raw[[#This Row],[Column5]] &lt;&gt; 0,$E$2 &lt;&gt; "Deployment"), MAX(J87, P87, R87, ($L$2 * IF($E$2="Deployment",deployment_raw[[#This Row],[Column5]],1)),IF(T87&lt;&gt;"",VALUE(T87) * IF($E$2="Deployment",deployment_raw[[#This Row],[Column5]],1),0)), 0),"")</f>
        <v/>
      </c>
      <c r="M87" s="125" t="str">
        <f>IF(ISNUMBER(deployment_raw[[#This Row],[Column9]]),IF(OR(deployment_raw[[#This Row],[Column5]] &lt;&gt; 0,$E$2&lt;&gt;"Deployment"), MAX(K87, Q87, S87, ($M$2 * IF($E$2="Deployment",deployment_raw[[#This Row],[Column5]],1)),IF(U87&lt;&gt;"",VALUE(U87) * IF($E$2="Deployment",deployment_raw[[#This Row],[Column5]],1),0)), 0),"")</f>
        <v/>
      </c>
      <c r="N87" s="166" t="str">
        <f>IF(ISNUMBER(deployment_raw[[#This Row],[Column14]]), deployment_raw[[#This Row],[Column14]]/IF(OR($E$2="Deployment",deployment_raw[[#This Row],[Column5]]=0),1,deployment_raw[[#This Row],[Column5]]),"")</f>
        <v/>
      </c>
      <c r="O87" s="167" t="str">
        <f>IF(ISNUMBER(deployment_raw[[#This Row],[Column15]]), deployment_raw[[#This Row],[Column15]]/IF(OR($E$2="Deployment",deployment_raw[[#This Row],[Column5]]=0),1,deployment_raw[[#This Row],[Column5]])/1048576,"")</f>
        <v/>
      </c>
      <c r="P87" s="168" t="str">
        <f>IF(ISNUMBER(deployment_raw[[#This Row],[Column12]]), (MIN(IF(N87&lt;&gt;"",N87,9999999999999)*1.1,deployment_raw[[#This Row],[Column12]] * IF($E$2="Deployment",deployment_raw[[#This Row],[Column5]],1))*(1+$P$2)),"")</f>
        <v/>
      </c>
      <c r="Q87" s="167" t="str">
        <f>IF(ISNUMBER(deployment_raw[[#This Row],[Column13]]), (MIN(IF(O87&lt;&gt;"",O87,9999999999999)*1.1,deployment_raw[[#This Row],[Column13]] * IF($E$2="Deployment",deployment_raw[[#This Row],[Column5]],1)*(1+$Q$2)/1048576)),"")</f>
        <v/>
      </c>
      <c r="R87" s="169" t="str">
        <f>IF(ISNUMBER(deployment_raw[[#This Row],[Column8]]), (H87  * IF(N87&lt;&gt;0,$R$2,1)),"")</f>
        <v/>
      </c>
      <c r="S87" s="170" t="str">
        <f>IF(ISNUMBER(deployment_raw[[#This Row],[Column8]]), (I87  * IF(O87&lt;&gt;0,$S$2,1)),"")</f>
        <v/>
      </c>
      <c r="T87" s="202" t="str">
        <f>IF(AND(A87&lt;&gt;"",_xlfn.IFNA(MATCH(A87,'dynamic resource application '!$A$2:$A$100, 0),0)&lt;&gt;0), H87/(IF($E$2="Deployment",E87,1)),"")</f>
        <v/>
      </c>
      <c r="U87" s="211" t="str">
        <f>IF(AND(A87&lt;&gt;"",_xlfn.IFNA(MATCH(A87,'dynamic resource application '!$A$2:$A$100, 0),0)&lt;&gt;0), I87/(IF($E$2="Deployment",E87,1)),"")</f>
        <v/>
      </c>
    </row>
    <row r="88" spans="1:21" ht="15.75" customHeight="1" x14ac:dyDescent="0.25">
      <c r="A88" s="35" t="str">
        <f>IF(ISNONTEXT(deployment_raw[[#This Row],[Column1]]), "", deployment_raw[[#This Row],[Column1]])</f>
        <v/>
      </c>
      <c r="B88" s="36" t="str">
        <f>IF(ISNONTEXT(deployment_raw[[#This Row],[Column2]]), "", deployment_raw[[#This Row],[Column2]])</f>
        <v/>
      </c>
      <c r="C88" s="36" t="str">
        <f>IF(ISNONTEXT(deployment_raw[[#This Row],[Column3]]), "", deployment_raw[[#This Row],[Column3]])</f>
        <v/>
      </c>
      <c r="D88" s="36" t="str">
        <f>IF(ISNONTEXT(deployment_raw[[#This Row],[Column4]]), "", deployment_raw[[#This Row],[Column4]])</f>
        <v/>
      </c>
      <c r="E88" s="37" t="str">
        <f>IF(ISNUMBER(deployment_raw[[#This Row],[Column5]]), deployment_raw[[#This Row],[Column5]],"")</f>
        <v/>
      </c>
      <c r="F88" s="94" t="str">
        <f>IF(ISNUMBER(deployment_raw[[#This Row],[Column6]]), (deployment_raw[[#This Row],[Column6]] * IF($E$2="Deployment",deployment_raw[[#This Row],[Column5]],1)),"")</f>
        <v/>
      </c>
      <c r="G88" s="95" t="str">
        <f>IF(ISNUMBER(deployment_raw[[#This Row],[Column7]]), (deployment_raw[[#This Row],[Column7]] * IF($E$2="Deployment",deployment_raw[[#This Row],[Column5]],1))/1048576,"")</f>
        <v/>
      </c>
      <c r="H88" s="95" t="str">
        <f>IF(ISNUMBER(deployment_raw[[#This Row],[Column8]]), (deployment_raw[[#This Row],[Column8]]  * IF($E$2="Deployment",deployment_raw[[#This Row],[Column5]],1)),"")</f>
        <v/>
      </c>
      <c r="I88" s="96" t="str">
        <f>IF(ISNUMBER(deployment_raw[[#This Row],[Column9]]), (deployment_raw[[#This Row],[Column9]] * IF($E$2="Deployment",deployment_raw[[#This Row],[Column5]],1))/1048576,"")</f>
        <v/>
      </c>
      <c r="J88" s="122" t="str">
        <f>IF(ISNUMBER(deployment_raw[[#This Row],[Column10]]), (MIN(IF(N88&lt;&gt;"",N88,9999999999999)*1.1,deployment_raw[[#This Row],[Column10]] * IF($E$2="Deployment",deployment_raw[[#This Row],[Column5]],1))),"")</f>
        <v/>
      </c>
      <c r="K88" s="123" t="str">
        <f>IF(ISNUMBER(deployment_raw[[#This Row],[Column11]]), (MIN(IF(O88&lt;&gt;"",O88,9999999999999)*1.1,deployment_raw[[#This Row],[Column11]] * IF($E$2="Deployment",deployment_raw[[#This Row],[Column5]],1)/1048576)),"")</f>
        <v/>
      </c>
      <c r="L88" s="124" t="str">
        <f>IF(ISNUMBER(deployment_raw[[#This Row],[Column8]]),IF(OR(deployment_raw[[#This Row],[Column5]] &lt;&gt; 0,$E$2 &lt;&gt; "Deployment"), MAX(J88, P88, R88, ($L$2 * IF($E$2="Deployment",deployment_raw[[#This Row],[Column5]],1)),IF(T88&lt;&gt;"",VALUE(T88) * IF($E$2="Deployment",deployment_raw[[#This Row],[Column5]],1),0)), 0),"")</f>
        <v/>
      </c>
      <c r="M88" s="125" t="str">
        <f>IF(ISNUMBER(deployment_raw[[#This Row],[Column9]]),IF(OR(deployment_raw[[#This Row],[Column5]] &lt;&gt; 0,$E$2&lt;&gt;"Deployment"), MAX(K88, Q88, S88, ($M$2 * IF($E$2="Deployment",deployment_raw[[#This Row],[Column5]],1)),IF(U88&lt;&gt;"",VALUE(U88) * IF($E$2="Deployment",deployment_raw[[#This Row],[Column5]],1),0)), 0),"")</f>
        <v/>
      </c>
      <c r="N88" s="166" t="str">
        <f>IF(ISNUMBER(deployment_raw[[#This Row],[Column14]]), deployment_raw[[#This Row],[Column14]]/IF(OR($E$2="Deployment",deployment_raw[[#This Row],[Column5]]=0),1,deployment_raw[[#This Row],[Column5]]),"")</f>
        <v/>
      </c>
      <c r="O88" s="167" t="str">
        <f>IF(ISNUMBER(deployment_raw[[#This Row],[Column15]]), deployment_raw[[#This Row],[Column15]]/IF(OR($E$2="Deployment",deployment_raw[[#This Row],[Column5]]=0),1,deployment_raw[[#This Row],[Column5]])/1048576,"")</f>
        <v/>
      </c>
      <c r="P88" s="168" t="str">
        <f>IF(ISNUMBER(deployment_raw[[#This Row],[Column12]]), (MIN(IF(N88&lt;&gt;"",N88,9999999999999)*1.1,deployment_raw[[#This Row],[Column12]] * IF($E$2="Deployment",deployment_raw[[#This Row],[Column5]],1))*(1+$P$2)),"")</f>
        <v/>
      </c>
      <c r="Q88" s="167" t="str">
        <f>IF(ISNUMBER(deployment_raw[[#This Row],[Column13]]), (MIN(IF(O88&lt;&gt;"",O88,9999999999999)*1.1,deployment_raw[[#This Row],[Column13]] * IF($E$2="Deployment",deployment_raw[[#This Row],[Column5]],1)*(1+$Q$2)/1048576)),"")</f>
        <v/>
      </c>
      <c r="R88" s="169" t="str">
        <f>IF(ISNUMBER(deployment_raw[[#This Row],[Column8]]), (H88  * IF(N88&lt;&gt;0,$R$2,1)),"")</f>
        <v/>
      </c>
      <c r="S88" s="170" t="str">
        <f>IF(ISNUMBER(deployment_raw[[#This Row],[Column8]]), (I88  * IF(O88&lt;&gt;0,$S$2,1)),"")</f>
        <v/>
      </c>
      <c r="T88" s="202" t="str">
        <f>IF(AND(A88&lt;&gt;"",_xlfn.IFNA(MATCH(A88,'dynamic resource application '!$A$2:$A$100, 0),0)&lt;&gt;0), H88/(IF($E$2="Deployment",E88,1)),"")</f>
        <v/>
      </c>
      <c r="U88" s="211" t="str">
        <f>IF(AND(A88&lt;&gt;"",_xlfn.IFNA(MATCH(A88,'dynamic resource application '!$A$2:$A$100, 0),0)&lt;&gt;0), I88/(IF($E$2="Deployment",E88,1)),"")</f>
        <v/>
      </c>
    </row>
    <row r="89" spans="1:21" ht="15.75" customHeight="1" x14ac:dyDescent="0.25">
      <c r="A89" s="35" t="str">
        <f>IF(ISNONTEXT(deployment_raw[[#This Row],[Column1]]), "", deployment_raw[[#This Row],[Column1]])</f>
        <v/>
      </c>
      <c r="B89" s="36" t="str">
        <f>IF(ISNONTEXT(deployment_raw[[#This Row],[Column2]]), "", deployment_raw[[#This Row],[Column2]])</f>
        <v/>
      </c>
      <c r="C89" s="36" t="str">
        <f>IF(ISNONTEXT(deployment_raw[[#This Row],[Column3]]), "", deployment_raw[[#This Row],[Column3]])</f>
        <v/>
      </c>
      <c r="D89" s="36" t="str">
        <f>IF(ISNONTEXT(deployment_raw[[#This Row],[Column4]]), "", deployment_raw[[#This Row],[Column4]])</f>
        <v/>
      </c>
      <c r="E89" s="37" t="str">
        <f>IF(ISNUMBER(deployment_raw[[#This Row],[Column5]]), deployment_raw[[#This Row],[Column5]],"")</f>
        <v/>
      </c>
      <c r="F89" s="94" t="str">
        <f>IF(ISNUMBER(deployment_raw[[#This Row],[Column6]]), (deployment_raw[[#This Row],[Column6]] * IF($E$2="Deployment",deployment_raw[[#This Row],[Column5]],1)),"")</f>
        <v/>
      </c>
      <c r="G89" s="95" t="str">
        <f>IF(ISNUMBER(deployment_raw[[#This Row],[Column7]]), (deployment_raw[[#This Row],[Column7]] * IF($E$2="Deployment",deployment_raw[[#This Row],[Column5]],1))/1048576,"")</f>
        <v/>
      </c>
      <c r="H89" s="95" t="str">
        <f>IF(ISNUMBER(deployment_raw[[#This Row],[Column8]]), (deployment_raw[[#This Row],[Column8]]  * IF($E$2="Deployment",deployment_raw[[#This Row],[Column5]],1)),"")</f>
        <v/>
      </c>
      <c r="I89" s="96" t="str">
        <f>IF(ISNUMBER(deployment_raw[[#This Row],[Column9]]), (deployment_raw[[#This Row],[Column9]] * IF($E$2="Deployment",deployment_raw[[#This Row],[Column5]],1))/1048576,"")</f>
        <v/>
      </c>
      <c r="J89" s="122" t="str">
        <f>IF(ISNUMBER(deployment_raw[[#This Row],[Column10]]), (MIN(IF(N89&lt;&gt;"",N89,9999999999999)*1.1,deployment_raw[[#This Row],[Column10]] * IF($E$2="Deployment",deployment_raw[[#This Row],[Column5]],1))),"")</f>
        <v/>
      </c>
      <c r="K89" s="123" t="str">
        <f>IF(ISNUMBER(deployment_raw[[#This Row],[Column11]]), (MIN(IF(O89&lt;&gt;"",O89,9999999999999)*1.1,deployment_raw[[#This Row],[Column11]] * IF($E$2="Deployment",deployment_raw[[#This Row],[Column5]],1)/1048576)),"")</f>
        <v/>
      </c>
      <c r="L89" s="124" t="str">
        <f>IF(ISNUMBER(deployment_raw[[#This Row],[Column8]]),IF(OR(deployment_raw[[#This Row],[Column5]] &lt;&gt; 0,$E$2 &lt;&gt; "Deployment"), MAX(J89, P89, R89, ($L$2 * IF($E$2="Deployment",deployment_raw[[#This Row],[Column5]],1)),IF(T89&lt;&gt;"",VALUE(T89) * IF($E$2="Deployment",deployment_raw[[#This Row],[Column5]],1),0)), 0),"")</f>
        <v/>
      </c>
      <c r="M89" s="125" t="str">
        <f>IF(ISNUMBER(deployment_raw[[#This Row],[Column9]]),IF(OR(deployment_raw[[#This Row],[Column5]] &lt;&gt; 0,$E$2&lt;&gt;"Deployment"), MAX(K89, Q89, S89, ($M$2 * IF($E$2="Deployment",deployment_raw[[#This Row],[Column5]],1)),IF(U89&lt;&gt;"",VALUE(U89) * IF($E$2="Deployment",deployment_raw[[#This Row],[Column5]],1),0)), 0),"")</f>
        <v/>
      </c>
      <c r="N89" s="166" t="str">
        <f>IF(ISNUMBER(deployment_raw[[#This Row],[Column14]]), deployment_raw[[#This Row],[Column14]]/IF(OR($E$2="Deployment",deployment_raw[[#This Row],[Column5]]=0),1,deployment_raw[[#This Row],[Column5]]),"")</f>
        <v/>
      </c>
      <c r="O89" s="167" t="str">
        <f>IF(ISNUMBER(deployment_raw[[#This Row],[Column15]]), deployment_raw[[#This Row],[Column15]]/IF(OR($E$2="Deployment",deployment_raw[[#This Row],[Column5]]=0),1,deployment_raw[[#This Row],[Column5]])/1048576,"")</f>
        <v/>
      </c>
      <c r="P89" s="168" t="str">
        <f>IF(ISNUMBER(deployment_raw[[#This Row],[Column12]]), (MIN(IF(N89&lt;&gt;"",N89,9999999999999)*1.1,deployment_raw[[#This Row],[Column12]] * IF($E$2="Deployment",deployment_raw[[#This Row],[Column5]],1))*(1+$P$2)),"")</f>
        <v/>
      </c>
      <c r="Q89" s="167" t="str">
        <f>IF(ISNUMBER(deployment_raw[[#This Row],[Column13]]), (MIN(IF(O89&lt;&gt;"",O89,9999999999999)*1.1,deployment_raw[[#This Row],[Column13]] * IF($E$2="Deployment",deployment_raw[[#This Row],[Column5]],1)*(1+$Q$2)/1048576)),"")</f>
        <v/>
      </c>
      <c r="R89" s="169" t="str">
        <f>IF(ISNUMBER(deployment_raw[[#This Row],[Column8]]), (H89  * IF(N89&lt;&gt;0,$R$2,1)),"")</f>
        <v/>
      </c>
      <c r="S89" s="170" t="str">
        <f>IF(ISNUMBER(deployment_raw[[#This Row],[Column8]]), (I89  * IF(O89&lt;&gt;0,$S$2,1)),"")</f>
        <v/>
      </c>
      <c r="T89" s="202" t="str">
        <f>IF(AND(A89&lt;&gt;"",_xlfn.IFNA(MATCH(A89,'dynamic resource application '!$A$2:$A$100, 0),0)&lt;&gt;0), H89/(IF($E$2="Deployment",E89,1)),"")</f>
        <v/>
      </c>
      <c r="U89" s="211" t="str">
        <f>IF(AND(A89&lt;&gt;"",_xlfn.IFNA(MATCH(A89,'dynamic resource application '!$A$2:$A$100, 0),0)&lt;&gt;0), I89/(IF($E$2="Deployment",E89,1)),"")</f>
        <v/>
      </c>
    </row>
    <row r="90" spans="1:21" ht="15.75" customHeight="1" x14ac:dyDescent="0.25">
      <c r="A90" s="35" t="str">
        <f>IF(ISNONTEXT(deployment_raw[[#This Row],[Column1]]), "", deployment_raw[[#This Row],[Column1]])</f>
        <v/>
      </c>
      <c r="B90" s="36" t="str">
        <f>IF(ISNONTEXT(deployment_raw[[#This Row],[Column2]]), "", deployment_raw[[#This Row],[Column2]])</f>
        <v/>
      </c>
      <c r="C90" s="36" t="str">
        <f>IF(ISNONTEXT(deployment_raw[[#This Row],[Column3]]), "", deployment_raw[[#This Row],[Column3]])</f>
        <v/>
      </c>
      <c r="D90" s="36" t="str">
        <f>IF(ISNONTEXT(deployment_raw[[#This Row],[Column4]]), "", deployment_raw[[#This Row],[Column4]])</f>
        <v/>
      </c>
      <c r="E90" s="37" t="str">
        <f>IF(ISNUMBER(deployment_raw[[#This Row],[Column5]]), deployment_raw[[#This Row],[Column5]],"")</f>
        <v/>
      </c>
      <c r="F90" s="94" t="str">
        <f>IF(ISNUMBER(deployment_raw[[#This Row],[Column6]]), (deployment_raw[[#This Row],[Column6]] * IF($E$2="Deployment",deployment_raw[[#This Row],[Column5]],1)),"")</f>
        <v/>
      </c>
      <c r="G90" s="95" t="str">
        <f>IF(ISNUMBER(deployment_raw[[#This Row],[Column7]]), (deployment_raw[[#This Row],[Column7]] * IF($E$2="Deployment",deployment_raw[[#This Row],[Column5]],1))/1048576,"")</f>
        <v/>
      </c>
      <c r="H90" s="95" t="str">
        <f>IF(ISNUMBER(deployment_raw[[#This Row],[Column8]]), (deployment_raw[[#This Row],[Column8]]  * IF($E$2="Deployment",deployment_raw[[#This Row],[Column5]],1)),"")</f>
        <v/>
      </c>
      <c r="I90" s="96" t="str">
        <f>IF(ISNUMBER(deployment_raw[[#This Row],[Column9]]), (deployment_raw[[#This Row],[Column9]] * IF($E$2="Deployment",deployment_raw[[#This Row],[Column5]],1))/1048576,"")</f>
        <v/>
      </c>
      <c r="J90" s="122" t="str">
        <f>IF(ISNUMBER(deployment_raw[[#This Row],[Column10]]), (MIN(IF(N90&lt;&gt;"",N90,9999999999999)*1.1,deployment_raw[[#This Row],[Column10]] * IF($E$2="Deployment",deployment_raw[[#This Row],[Column5]],1))),"")</f>
        <v/>
      </c>
      <c r="K90" s="123" t="str">
        <f>IF(ISNUMBER(deployment_raw[[#This Row],[Column11]]), (MIN(IF(O90&lt;&gt;"",O90,9999999999999)*1.1,deployment_raw[[#This Row],[Column11]] * IF($E$2="Deployment",deployment_raw[[#This Row],[Column5]],1)/1048576)),"")</f>
        <v/>
      </c>
      <c r="L90" s="124" t="str">
        <f>IF(ISNUMBER(deployment_raw[[#This Row],[Column8]]),IF(OR(deployment_raw[[#This Row],[Column5]] &lt;&gt; 0,$E$2 &lt;&gt; "Deployment"), MAX(J90, P90, R90, ($L$2 * IF($E$2="Deployment",deployment_raw[[#This Row],[Column5]],1)),IF(T90&lt;&gt;"",VALUE(T90) * IF($E$2="Deployment",deployment_raw[[#This Row],[Column5]],1),0)), 0),"")</f>
        <v/>
      </c>
      <c r="M90" s="125" t="str">
        <f>IF(ISNUMBER(deployment_raw[[#This Row],[Column9]]),IF(OR(deployment_raw[[#This Row],[Column5]] &lt;&gt; 0,$E$2&lt;&gt;"Deployment"), MAX(K90, Q90, S90, ($M$2 * IF($E$2="Deployment",deployment_raw[[#This Row],[Column5]],1)),IF(U90&lt;&gt;"",VALUE(U90) * IF($E$2="Deployment",deployment_raw[[#This Row],[Column5]],1),0)), 0),"")</f>
        <v/>
      </c>
      <c r="N90" s="166" t="str">
        <f>IF(ISNUMBER(deployment_raw[[#This Row],[Column14]]), deployment_raw[[#This Row],[Column14]]/IF(OR($E$2="Deployment",deployment_raw[[#This Row],[Column5]]=0),1,deployment_raw[[#This Row],[Column5]]),"")</f>
        <v/>
      </c>
      <c r="O90" s="167" t="str">
        <f>IF(ISNUMBER(deployment_raw[[#This Row],[Column15]]), deployment_raw[[#This Row],[Column15]]/IF(OR($E$2="Deployment",deployment_raw[[#This Row],[Column5]]=0),1,deployment_raw[[#This Row],[Column5]])/1048576,"")</f>
        <v/>
      </c>
      <c r="P90" s="168" t="str">
        <f>IF(ISNUMBER(deployment_raw[[#This Row],[Column12]]), (MIN(IF(N90&lt;&gt;"",N90,9999999999999)*1.1,deployment_raw[[#This Row],[Column12]] * IF($E$2="Deployment",deployment_raw[[#This Row],[Column5]],1))*(1+$P$2)),"")</f>
        <v/>
      </c>
      <c r="Q90" s="167" t="str">
        <f>IF(ISNUMBER(deployment_raw[[#This Row],[Column13]]), (MIN(IF(O90&lt;&gt;"",O90,9999999999999)*1.1,deployment_raw[[#This Row],[Column13]] * IF($E$2="Deployment",deployment_raw[[#This Row],[Column5]],1)*(1+$Q$2)/1048576)),"")</f>
        <v/>
      </c>
      <c r="R90" s="169" t="str">
        <f>IF(ISNUMBER(deployment_raw[[#This Row],[Column8]]), (H90  * IF(N90&lt;&gt;0,$R$2,1)),"")</f>
        <v/>
      </c>
      <c r="S90" s="170" t="str">
        <f>IF(ISNUMBER(deployment_raw[[#This Row],[Column8]]), (I90  * IF(O90&lt;&gt;0,$S$2,1)),"")</f>
        <v/>
      </c>
      <c r="T90" s="202" t="str">
        <f>IF(AND(A90&lt;&gt;"",_xlfn.IFNA(MATCH(A90,'dynamic resource application '!$A$2:$A$100, 0),0)&lt;&gt;0), H90/(IF($E$2="Deployment",E90,1)),"")</f>
        <v/>
      </c>
      <c r="U90" s="211" t="str">
        <f>IF(AND(A90&lt;&gt;"",_xlfn.IFNA(MATCH(A90,'dynamic resource application '!$A$2:$A$100, 0),0)&lt;&gt;0), I90/(IF($E$2="Deployment",E90,1)),"")</f>
        <v/>
      </c>
    </row>
    <row r="91" spans="1:21" ht="15.75" customHeight="1" x14ac:dyDescent="0.25">
      <c r="A91" s="35" t="str">
        <f>IF(ISNONTEXT(deployment_raw[[#This Row],[Column1]]), "", deployment_raw[[#This Row],[Column1]])</f>
        <v/>
      </c>
      <c r="B91" s="36" t="str">
        <f>IF(ISNONTEXT(deployment_raw[[#This Row],[Column2]]), "", deployment_raw[[#This Row],[Column2]])</f>
        <v/>
      </c>
      <c r="C91" s="36" t="str">
        <f>IF(ISNONTEXT(deployment_raw[[#This Row],[Column3]]), "", deployment_raw[[#This Row],[Column3]])</f>
        <v/>
      </c>
      <c r="D91" s="36" t="str">
        <f>IF(ISNONTEXT(deployment_raw[[#This Row],[Column4]]), "", deployment_raw[[#This Row],[Column4]])</f>
        <v/>
      </c>
      <c r="E91" s="37" t="str">
        <f>IF(ISNUMBER(deployment_raw[[#This Row],[Column5]]), deployment_raw[[#This Row],[Column5]],"")</f>
        <v/>
      </c>
      <c r="F91" s="94" t="str">
        <f>IF(ISNUMBER(deployment_raw[[#This Row],[Column6]]), (deployment_raw[[#This Row],[Column6]] * IF($E$2="Deployment",deployment_raw[[#This Row],[Column5]],1)),"")</f>
        <v/>
      </c>
      <c r="G91" s="95" t="str">
        <f>IF(ISNUMBER(deployment_raw[[#This Row],[Column7]]), (deployment_raw[[#This Row],[Column7]] * IF($E$2="Deployment",deployment_raw[[#This Row],[Column5]],1))/1048576,"")</f>
        <v/>
      </c>
      <c r="H91" s="95" t="str">
        <f>IF(ISNUMBER(deployment_raw[[#This Row],[Column8]]), (deployment_raw[[#This Row],[Column8]]  * IF($E$2="Deployment",deployment_raw[[#This Row],[Column5]],1)),"")</f>
        <v/>
      </c>
      <c r="I91" s="96" t="str">
        <f>IF(ISNUMBER(deployment_raw[[#This Row],[Column9]]), (deployment_raw[[#This Row],[Column9]] * IF($E$2="Deployment",deployment_raw[[#This Row],[Column5]],1))/1048576,"")</f>
        <v/>
      </c>
      <c r="J91" s="122" t="str">
        <f>IF(ISNUMBER(deployment_raw[[#This Row],[Column10]]), (MIN(IF(N91&lt;&gt;"",N91,9999999999999)*1.1,deployment_raw[[#This Row],[Column10]] * IF($E$2="Deployment",deployment_raw[[#This Row],[Column5]],1))),"")</f>
        <v/>
      </c>
      <c r="K91" s="123" t="str">
        <f>IF(ISNUMBER(deployment_raw[[#This Row],[Column11]]), (MIN(IF(O91&lt;&gt;"",O91,9999999999999)*1.1,deployment_raw[[#This Row],[Column11]] * IF($E$2="Deployment",deployment_raw[[#This Row],[Column5]],1)/1048576)),"")</f>
        <v/>
      </c>
      <c r="L91" s="124" t="str">
        <f>IF(ISNUMBER(deployment_raw[[#This Row],[Column8]]),IF(OR(deployment_raw[[#This Row],[Column5]] &lt;&gt; 0,$E$2 &lt;&gt; "Deployment"), MAX(J91, P91, R91, ($L$2 * IF($E$2="Deployment",deployment_raw[[#This Row],[Column5]],1)),IF(T91&lt;&gt;"",VALUE(T91) * IF($E$2="Deployment",deployment_raw[[#This Row],[Column5]],1),0)), 0),"")</f>
        <v/>
      </c>
      <c r="M91" s="125" t="str">
        <f>IF(ISNUMBER(deployment_raw[[#This Row],[Column9]]),IF(OR(deployment_raw[[#This Row],[Column5]] &lt;&gt; 0,$E$2&lt;&gt;"Deployment"), MAX(K91, Q91, S91, ($M$2 * IF($E$2="Deployment",deployment_raw[[#This Row],[Column5]],1)),IF(U91&lt;&gt;"",VALUE(U91) * IF($E$2="Deployment",deployment_raw[[#This Row],[Column5]],1),0)), 0),"")</f>
        <v/>
      </c>
      <c r="N91" s="166" t="str">
        <f>IF(ISNUMBER(deployment_raw[[#This Row],[Column14]]), deployment_raw[[#This Row],[Column14]]/IF(OR($E$2="Deployment",deployment_raw[[#This Row],[Column5]]=0),1,deployment_raw[[#This Row],[Column5]]),"")</f>
        <v/>
      </c>
      <c r="O91" s="167" t="str">
        <f>IF(ISNUMBER(deployment_raw[[#This Row],[Column15]]), deployment_raw[[#This Row],[Column15]]/IF(OR($E$2="Deployment",deployment_raw[[#This Row],[Column5]]=0),1,deployment_raw[[#This Row],[Column5]])/1048576,"")</f>
        <v/>
      </c>
      <c r="P91" s="168" t="str">
        <f>IF(ISNUMBER(deployment_raw[[#This Row],[Column12]]), (MIN(IF(N91&lt;&gt;"",N91,9999999999999)*1.1,deployment_raw[[#This Row],[Column12]] * IF($E$2="Deployment",deployment_raw[[#This Row],[Column5]],1))*(1+$P$2)),"")</f>
        <v/>
      </c>
      <c r="Q91" s="167" t="str">
        <f>IF(ISNUMBER(deployment_raw[[#This Row],[Column13]]), (MIN(IF(O91&lt;&gt;"",O91,9999999999999)*1.1,deployment_raw[[#This Row],[Column13]] * IF($E$2="Deployment",deployment_raw[[#This Row],[Column5]],1)*(1+$Q$2)/1048576)),"")</f>
        <v/>
      </c>
      <c r="R91" s="169" t="str">
        <f>IF(ISNUMBER(deployment_raw[[#This Row],[Column8]]), (H91  * IF(N91&lt;&gt;0,$R$2,1)),"")</f>
        <v/>
      </c>
      <c r="S91" s="170" t="str">
        <f>IF(ISNUMBER(deployment_raw[[#This Row],[Column8]]), (I91  * IF(O91&lt;&gt;0,$S$2,1)),"")</f>
        <v/>
      </c>
      <c r="T91" s="202" t="str">
        <f>IF(AND(A91&lt;&gt;"",_xlfn.IFNA(MATCH(A91,'dynamic resource application '!$A$2:$A$100, 0),0)&lt;&gt;0), H91/(IF($E$2="Deployment",E91,1)),"")</f>
        <v/>
      </c>
      <c r="U91" s="211" t="str">
        <f>IF(AND(A91&lt;&gt;"",_xlfn.IFNA(MATCH(A91,'dynamic resource application '!$A$2:$A$100, 0),0)&lt;&gt;0), I91/(IF($E$2="Deployment",E91,1)),"")</f>
        <v/>
      </c>
    </row>
    <row r="92" spans="1:21" ht="15.75" customHeight="1" x14ac:dyDescent="0.25">
      <c r="A92" s="35" t="str">
        <f>IF(ISNONTEXT(deployment_raw[[#This Row],[Column1]]), "", deployment_raw[[#This Row],[Column1]])</f>
        <v/>
      </c>
      <c r="B92" s="36" t="str">
        <f>IF(ISNONTEXT(deployment_raw[[#This Row],[Column2]]), "", deployment_raw[[#This Row],[Column2]])</f>
        <v/>
      </c>
      <c r="C92" s="36" t="str">
        <f>IF(ISNONTEXT(deployment_raw[[#This Row],[Column3]]), "", deployment_raw[[#This Row],[Column3]])</f>
        <v/>
      </c>
      <c r="D92" s="36" t="str">
        <f>IF(ISNONTEXT(deployment_raw[[#This Row],[Column4]]), "", deployment_raw[[#This Row],[Column4]])</f>
        <v/>
      </c>
      <c r="E92" s="37" t="str">
        <f>IF(ISNUMBER(deployment_raw[[#This Row],[Column5]]), deployment_raw[[#This Row],[Column5]],"")</f>
        <v/>
      </c>
      <c r="F92" s="94" t="str">
        <f>IF(ISNUMBER(deployment_raw[[#This Row],[Column6]]), (deployment_raw[[#This Row],[Column6]] * IF($E$2="Deployment",deployment_raw[[#This Row],[Column5]],1)),"")</f>
        <v/>
      </c>
      <c r="G92" s="95" t="str">
        <f>IF(ISNUMBER(deployment_raw[[#This Row],[Column7]]), (deployment_raw[[#This Row],[Column7]] * IF($E$2="Deployment",deployment_raw[[#This Row],[Column5]],1))/1048576,"")</f>
        <v/>
      </c>
      <c r="H92" s="95" t="str">
        <f>IF(ISNUMBER(deployment_raw[[#This Row],[Column8]]), (deployment_raw[[#This Row],[Column8]]  * IF($E$2="Deployment",deployment_raw[[#This Row],[Column5]],1)),"")</f>
        <v/>
      </c>
      <c r="I92" s="96" t="str">
        <f>IF(ISNUMBER(deployment_raw[[#This Row],[Column9]]), (deployment_raw[[#This Row],[Column9]] * IF($E$2="Deployment",deployment_raw[[#This Row],[Column5]],1))/1048576,"")</f>
        <v/>
      </c>
      <c r="J92" s="122" t="str">
        <f>IF(ISNUMBER(deployment_raw[[#This Row],[Column10]]), (MIN(IF(N92&lt;&gt;"",N92,9999999999999)*1.1,deployment_raw[[#This Row],[Column10]] * IF($E$2="Deployment",deployment_raw[[#This Row],[Column5]],1))),"")</f>
        <v/>
      </c>
      <c r="K92" s="123" t="str">
        <f>IF(ISNUMBER(deployment_raw[[#This Row],[Column11]]), (MIN(IF(O92&lt;&gt;"",O92,9999999999999)*1.1,deployment_raw[[#This Row],[Column11]] * IF($E$2="Deployment",deployment_raw[[#This Row],[Column5]],1)/1048576)),"")</f>
        <v/>
      </c>
      <c r="L92" s="124" t="str">
        <f>IF(ISNUMBER(deployment_raw[[#This Row],[Column8]]),IF(OR(deployment_raw[[#This Row],[Column5]] &lt;&gt; 0,$E$2 &lt;&gt; "Deployment"), MAX(J92, P92, R92, ($L$2 * IF($E$2="Deployment",deployment_raw[[#This Row],[Column5]],1)),IF(T92&lt;&gt;"",VALUE(T92) * IF($E$2="Deployment",deployment_raw[[#This Row],[Column5]],1),0)), 0),"")</f>
        <v/>
      </c>
      <c r="M92" s="125" t="str">
        <f>IF(ISNUMBER(deployment_raw[[#This Row],[Column9]]),IF(OR(deployment_raw[[#This Row],[Column5]] &lt;&gt; 0,$E$2&lt;&gt;"Deployment"), MAX(K92, Q92, S92, ($M$2 * IF($E$2="Deployment",deployment_raw[[#This Row],[Column5]],1)),IF(U92&lt;&gt;"",VALUE(U92) * IF($E$2="Deployment",deployment_raw[[#This Row],[Column5]],1),0)), 0),"")</f>
        <v/>
      </c>
      <c r="N92" s="166" t="str">
        <f>IF(ISNUMBER(deployment_raw[[#This Row],[Column14]]), deployment_raw[[#This Row],[Column14]]/IF(OR($E$2="Deployment",deployment_raw[[#This Row],[Column5]]=0),1,deployment_raw[[#This Row],[Column5]]),"")</f>
        <v/>
      </c>
      <c r="O92" s="167" t="str">
        <f>IF(ISNUMBER(deployment_raw[[#This Row],[Column15]]), deployment_raw[[#This Row],[Column15]]/IF(OR($E$2="Deployment",deployment_raw[[#This Row],[Column5]]=0),1,deployment_raw[[#This Row],[Column5]])/1048576,"")</f>
        <v/>
      </c>
      <c r="P92" s="168" t="str">
        <f>IF(ISNUMBER(deployment_raw[[#This Row],[Column12]]), (MIN(IF(N92&lt;&gt;"",N92,9999999999999)*1.1,deployment_raw[[#This Row],[Column12]] * IF($E$2="Deployment",deployment_raw[[#This Row],[Column5]],1))*(1+$P$2)),"")</f>
        <v/>
      </c>
      <c r="Q92" s="167" t="str">
        <f>IF(ISNUMBER(deployment_raw[[#This Row],[Column13]]), (MIN(IF(O92&lt;&gt;"",O92,9999999999999)*1.1,deployment_raw[[#This Row],[Column13]] * IF($E$2="Deployment",deployment_raw[[#This Row],[Column5]],1)*(1+$Q$2)/1048576)),"")</f>
        <v/>
      </c>
      <c r="R92" s="169" t="str">
        <f>IF(ISNUMBER(deployment_raw[[#This Row],[Column8]]), (H92  * IF(N92&lt;&gt;0,$R$2,1)),"")</f>
        <v/>
      </c>
      <c r="S92" s="170" t="str">
        <f>IF(ISNUMBER(deployment_raw[[#This Row],[Column8]]), (I92  * IF(O92&lt;&gt;0,$S$2,1)),"")</f>
        <v/>
      </c>
      <c r="T92" s="202" t="str">
        <f>IF(AND(A92&lt;&gt;"",_xlfn.IFNA(MATCH(A92,'dynamic resource application '!$A$2:$A$100, 0),0)&lt;&gt;0), H92/(IF($E$2="Deployment",E92,1)),"")</f>
        <v/>
      </c>
      <c r="U92" s="211" t="str">
        <f>IF(AND(A92&lt;&gt;"",_xlfn.IFNA(MATCH(A92,'dynamic resource application '!$A$2:$A$100, 0),0)&lt;&gt;0), I92/(IF($E$2="Deployment",E92,1)),"")</f>
        <v/>
      </c>
    </row>
    <row r="93" spans="1:21" ht="15.75" customHeight="1" x14ac:dyDescent="0.25">
      <c r="A93" s="35" t="str">
        <f>IF(ISNONTEXT(deployment_raw[[#This Row],[Column1]]), "", deployment_raw[[#This Row],[Column1]])</f>
        <v/>
      </c>
      <c r="B93" s="36" t="str">
        <f>IF(ISNONTEXT(deployment_raw[[#This Row],[Column2]]), "", deployment_raw[[#This Row],[Column2]])</f>
        <v/>
      </c>
      <c r="C93" s="36" t="str">
        <f>IF(ISNONTEXT(deployment_raw[[#This Row],[Column3]]), "", deployment_raw[[#This Row],[Column3]])</f>
        <v/>
      </c>
      <c r="D93" s="36" t="str">
        <f>IF(ISNONTEXT(deployment_raw[[#This Row],[Column4]]), "", deployment_raw[[#This Row],[Column4]])</f>
        <v/>
      </c>
      <c r="E93" s="37" t="str">
        <f>IF(ISNUMBER(deployment_raw[[#This Row],[Column5]]), deployment_raw[[#This Row],[Column5]],"")</f>
        <v/>
      </c>
      <c r="F93" s="94" t="str">
        <f>IF(ISNUMBER(deployment_raw[[#This Row],[Column6]]), (deployment_raw[[#This Row],[Column6]] * IF($E$2="Deployment",deployment_raw[[#This Row],[Column5]],1)),"")</f>
        <v/>
      </c>
      <c r="G93" s="95" t="str">
        <f>IF(ISNUMBER(deployment_raw[[#This Row],[Column7]]), (deployment_raw[[#This Row],[Column7]] * IF($E$2="Deployment",deployment_raw[[#This Row],[Column5]],1))/1048576,"")</f>
        <v/>
      </c>
      <c r="H93" s="95" t="str">
        <f>IF(ISNUMBER(deployment_raw[[#This Row],[Column8]]), (deployment_raw[[#This Row],[Column8]]  * IF($E$2="Deployment",deployment_raw[[#This Row],[Column5]],1)),"")</f>
        <v/>
      </c>
      <c r="I93" s="96" t="str">
        <f>IF(ISNUMBER(deployment_raw[[#This Row],[Column9]]), (deployment_raw[[#This Row],[Column9]] * IF($E$2="Deployment",deployment_raw[[#This Row],[Column5]],1))/1048576,"")</f>
        <v/>
      </c>
      <c r="J93" s="122" t="str">
        <f>IF(ISNUMBER(deployment_raw[[#This Row],[Column10]]), (MIN(IF(N93&lt;&gt;"",N93,9999999999999)*1.1,deployment_raw[[#This Row],[Column10]] * IF($E$2="Deployment",deployment_raw[[#This Row],[Column5]],1))),"")</f>
        <v/>
      </c>
      <c r="K93" s="123" t="str">
        <f>IF(ISNUMBER(deployment_raw[[#This Row],[Column11]]), (MIN(IF(O93&lt;&gt;"",O93,9999999999999)*1.1,deployment_raw[[#This Row],[Column11]] * IF($E$2="Deployment",deployment_raw[[#This Row],[Column5]],1)/1048576)),"")</f>
        <v/>
      </c>
      <c r="L93" s="124" t="str">
        <f>IF(ISNUMBER(deployment_raw[[#This Row],[Column8]]),IF(OR(deployment_raw[[#This Row],[Column5]] &lt;&gt; 0,$E$2 &lt;&gt; "Deployment"), MAX(J93, P93, R93, ($L$2 * IF($E$2="Deployment",deployment_raw[[#This Row],[Column5]],1)),IF(T93&lt;&gt;"",VALUE(T93) * IF($E$2="Deployment",deployment_raw[[#This Row],[Column5]],1),0)), 0),"")</f>
        <v/>
      </c>
      <c r="M93" s="125" t="str">
        <f>IF(ISNUMBER(deployment_raw[[#This Row],[Column9]]),IF(OR(deployment_raw[[#This Row],[Column5]] &lt;&gt; 0,$E$2&lt;&gt;"Deployment"), MAX(K93, Q93, S93, ($M$2 * IF($E$2="Deployment",deployment_raw[[#This Row],[Column5]],1)),IF(U93&lt;&gt;"",VALUE(U93) * IF($E$2="Deployment",deployment_raw[[#This Row],[Column5]],1),0)), 0),"")</f>
        <v/>
      </c>
      <c r="N93" s="166" t="str">
        <f>IF(ISNUMBER(deployment_raw[[#This Row],[Column14]]), deployment_raw[[#This Row],[Column14]]/IF(OR($E$2="Deployment",deployment_raw[[#This Row],[Column5]]=0),1,deployment_raw[[#This Row],[Column5]]),"")</f>
        <v/>
      </c>
      <c r="O93" s="167" t="str">
        <f>IF(ISNUMBER(deployment_raw[[#This Row],[Column15]]), deployment_raw[[#This Row],[Column15]]/IF(OR($E$2="Deployment",deployment_raw[[#This Row],[Column5]]=0),1,deployment_raw[[#This Row],[Column5]])/1048576,"")</f>
        <v/>
      </c>
      <c r="P93" s="168" t="str">
        <f>IF(ISNUMBER(deployment_raw[[#This Row],[Column12]]), (MIN(IF(N93&lt;&gt;"",N93,9999999999999)*1.1,deployment_raw[[#This Row],[Column12]] * IF($E$2="Deployment",deployment_raw[[#This Row],[Column5]],1))*(1+$P$2)),"")</f>
        <v/>
      </c>
      <c r="Q93" s="167" t="str">
        <f>IF(ISNUMBER(deployment_raw[[#This Row],[Column13]]), (MIN(IF(O93&lt;&gt;"",O93,9999999999999)*1.1,deployment_raw[[#This Row],[Column13]] * IF($E$2="Deployment",deployment_raw[[#This Row],[Column5]],1)*(1+$Q$2)/1048576)),"")</f>
        <v/>
      </c>
      <c r="R93" s="169" t="str">
        <f>IF(ISNUMBER(deployment_raw[[#This Row],[Column8]]), (H93  * IF(N93&lt;&gt;0,$R$2,1)),"")</f>
        <v/>
      </c>
      <c r="S93" s="170" t="str">
        <f>IF(ISNUMBER(deployment_raw[[#This Row],[Column8]]), (I93  * IF(O93&lt;&gt;0,$S$2,1)),"")</f>
        <v/>
      </c>
      <c r="T93" s="202" t="str">
        <f>IF(AND(A93&lt;&gt;"",_xlfn.IFNA(MATCH(A93,'dynamic resource application '!$A$2:$A$100, 0),0)&lt;&gt;0), H93/(IF($E$2="Deployment",E93,1)),"")</f>
        <v/>
      </c>
      <c r="U93" s="211" t="str">
        <f>IF(AND(A93&lt;&gt;"",_xlfn.IFNA(MATCH(A93,'dynamic resource application '!$A$2:$A$100, 0),0)&lt;&gt;0), I93/(IF($E$2="Deployment",E93,1)),"")</f>
        <v/>
      </c>
    </row>
    <row r="94" spans="1:21" ht="15.75" customHeight="1" x14ac:dyDescent="0.25">
      <c r="A94" s="35" t="str">
        <f>IF(ISNONTEXT(deployment_raw[[#This Row],[Column1]]), "", deployment_raw[[#This Row],[Column1]])</f>
        <v/>
      </c>
      <c r="B94" s="36" t="str">
        <f>IF(ISNONTEXT(deployment_raw[[#This Row],[Column2]]), "", deployment_raw[[#This Row],[Column2]])</f>
        <v/>
      </c>
      <c r="C94" s="36" t="str">
        <f>IF(ISNONTEXT(deployment_raw[[#This Row],[Column3]]), "", deployment_raw[[#This Row],[Column3]])</f>
        <v/>
      </c>
      <c r="D94" s="36" t="str">
        <f>IF(ISNONTEXT(deployment_raw[[#This Row],[Column4]]), "", deployment_raw[[#This Row],[Column4]])</f>
        <v/>
      </c>
      <c r="E94" s="37" t="str">
        <f>IF(ISNUMBER(deployment_raw[[#This Row],[Column5]]), deployment_raw[[#This Row],[Column5]],"")</f>
        <v/>
      </c>
      <c r="F94" s="94" t="str">
        <f>IF(ISNUMBER(deployment_raw[[#This Row],[Column6]]), (deployment_raw[[#This Row],[Column6]] * IF($E$2="Deployment",deployment_raw[[#This Row],[Column5]],1)),"")</f>
        <v/>
      </c>
      <c r="G94" s="95" t="str">
        <f>IF(ISNUMBER(deployment_raw[[#This Row],[Column7]]), (deployment_raw[[#This Row],[Column7]] * IF($E$2="Deployment",deployment_raw[[#This Row],[Column5]],1))/1048576,"")</f>
        <v/>
      </c>
      <c r="H94" s="95" t="str">
        <f>IF(ISNUMBER(deployment_raw[[#This Row],[Column8]]), (deployment_raw[[#This Row],[Column8]]  * IF($E$2="Deployment",deployment_raw[[#This Row],[Column5]],1)),"")</f>
        <v/>
      </c>
      <c r="I94" s="96" t="str">
        <f>IF(ISNUMBER(deployment_raw[[#This Row],[Column9]]), (deployment_raw[[#This Row],[Column9]] * IF($E$2="Deployment",deployment_raw[[#This Row],[Column5]],1))/1048576,"")</f>
        <v/>
      </c>
      <c r="J94" s="122" t="str">
        <f>IF(ISNUMBER(deployment_raw[[#This Row],[Column10]]), (MIN(IF(N94&lt;&gt;"",N94,9999999999999)*1.1,deployment_raw[[#This Row],[Column10]] * IF($E$2="Deployment",deployment_raw[[#This Row],[Column5]],1))),"")</f>
        <v/>
      </c>
      <c r="K94" s="123" t="str">
        <f>IF(ISNUMBER(deployment_raw[[#This Row],[Column11]]), (MIN(IF(O94&lt;&gt;"",O94,9999999999999)*1.1,deployment_raw[[#This Row],[Column11]] * IF($E$2="Deployment",deployment_raw[[#This Row],[Column5]],1)/1048576)),"")</f>
        <v/>
      </c>
      <c r="L94" s="124" t="str">
        <f>IF(ISNUMBER(deployment_raw[[#This Row],[Column8]]),IF(OR(deployment_raw[[#This Row],[Column5]] &lt;&gt; 0,$E$2 &lt;&gt; "Deployment"), MAX(J94, P94, R94, ($L$2 * IF($E$2="Deployment",deployment_raw[[#This Row],[Column5]],1)),IF(T94&lt;&gt;"",VALUE(T94) * IF($E$2="Deployment",deployment_raw[[#This Row],[Column5]],1),0)), 0),"")</f>
        <v/>
      </c>
      <c r="M94" s="125" t="str">
        <f>IF(ISNUMBER(deployment_raw[[#This Row],[Column9]]),IF(OR(deployment_raw[[#This Row],[Column5]] &lt;&gt; 0,$E$2&lt;&gt;"Deployment"), MAX(K94, Q94, S94, ($M$2 * IF($E$2="Deployment",deployment_raw[[#This Row],[Column5]],1)),IF(U94&lt;&gt;"",VALUE(U94) * IF($E$2="Deployment",deployment_raw[[#This Row],[Column5]],1),0)), 0),"")</f>
        <v/>
      </c>
      <c r="N94" s="166" t="str">
        <f>IF(ISNUMBER(deployment_raw[[#This Row],[Column14]]), deployment_raw[[#This Row],[Column14]]/IF(OR($E$2="Deployment",deployment_raw[[#This Row],[Column5]]=0),1,deployment_raw[[#This Row],[Column5]]),"")</f>
        <v/>
      </c>
      <c r="O94" s="167" t="str">
        <f>IF(ISNUMBER(deployment_raw[[#This Row],[Column15]]), deployment_raw[[#This Row],[Column15]]/IF(OR($E$2="Deployment",deployment_raw[[#This Row],[Column5]]=0),1,deployment_raw[[#This Row],[Column5]])/1048576,"")</f>
        <v/>
      </c>
      <c r="P94" s="168" t="str">
        <f>IF(ISNUMBER(deployment_raw[[#This Row],[Column12]]), (MIN(IF(N94&lt;&gt;"",N94,9999999999999)*1.1,deployment_raw[[#This Row],[Column12]] * IF($E$2="Deployment",deployment_raw[[#This Row],[Column5]],1))*(1+$P$2)),"")</f>
        <v/>
      </c>
      <c r="Q94" s="167" t="str">
        <f>IF(ISNUMBER(deployment_raw[[#This Row],[Column13]]), (MIN(IF(O94&lt;&gt;"",O94,9999999999999)*1.1,deployment_raw[[#This Row],[Column13]] * IF($E$2="Deployment",deployment_raw[[#This Row],[Column5]],1)*(1+$Q$2)/1048576)),"")</f>
        <v/>
      </c>
      <c r="R94" s="169" t="str">
        <f>IF(ISNUMBER(deployment_raw[[#This Row],[Column8]]), (H94  * IF(N94&lt;&gt;0,$R$2,1)),"")</f>
        <v/>
      </c>
      <c r="S94" s="170" t="str">
        <f>IF(ISNUMBER(deployment_raw[[#This Row],[Column8]]), (I94  * IF(O94&lt;&gt;0,$S$2,1)),"")</f>
        <v/>
      </c>
      <c r="T94" s="202" t="str">
        <f>IF(AND(A94&lt;&gt;"",_xlfn.IFNA(MATCH(A94,'dynamic resource application '!$A$2:$A$100, 0),0)&lt;&gt;0), H94/(IF($E$2="Deployment",E94,1)),"")</f>
        <v/>
      </c>
      <c r="U94" s="211" t="str">
        <f>IF(AND(A94&lt;&gt;"",_xlfn.IFNA(MATCH(A94,'dynamic resource application '!$A$2:$A$100, 0),0)&lt;&gt;0), I94/(IF($E$2="Deployment",E94,1)),"")</f>
        <v/>
      </c>
    </row>
    <row r="95" spans="1:21" ht="15.75" customHeight="1" x14ac:dyDescent="0.25">
      <c r="A95" s="35" t="str">
        <f>IF(ISNONTEXT(deployment_raw[[#This Row],[Column1]]), "", deployment_raw[[#This Row],[Column1]])</f>
        <v/>
      </c>
      <c r="B95" s="36" t="str">
        <f>IF(ISNONTEXT(deployment_raw[[#This Row],[Column2]]), "", deployment_raw[[#This Row],[Column2]])</f>
        <v/>
      </c>
      <c r="C95" s="36" t="str">
        <f>IF(ISNONTEXT(deployment_raw[[#This Row],[Column3]]), "", deployment_raw[[#This Row],[Column3]])</f>
        <v/>
      </c>
      <c r="D95" s="36" t="str">
        <f>IF(ISNONTEXT(deployment_raw[[#This Row],[Column4]]), "", deployment_raw[[#This Row],[Column4]])</f>
        <v/>
      </c>
      <c r="E95" s="37" t="str">
        <f>IF(ISNUMBER(deployment_raw[[#This Row],[Column5]]), deployment_raw[[#This Row],[Column5]],"")</f>
        <v/>
      </c>
      <c r="F95" s="94" t="str">
        <f>IF(ISNUMBER(deployment_raw[[#This Row],[Column6]]), (deployment_raw[[#This Row],[Column6]] * IF($E$2="Deployment",deployment_raw[[#This Row],[Column5]],1)),"")</f>
        <v/>
      </c>
      <c r="G95" s="95" t="str">
        <f>IF(ISNUMBER(deployment_raw[[#This Row],[Column7]]), (deployment_raw[[#This Row],[Column7]] * IF($E$2="Deployment",deployment_raw[[#This Row],[Column5]],1))/1048576,"")</f>
        <v/>
      </c>
      <c r="H95" s="95" t="str">
        <f>IF(ISNUMBER(deployment_raw[[#This Row],[Column8]]), (deployment_raw[[#This Row],[Column8]]  * IF($E$2="Deployment",deployment_raw[[#This Row],[Column5]],1)),"")</f>
        <v/>
      </c>
      <c r="I95" s="96" t="str">
        <f>IF(ISNUMBER(deployment_raw[[#This Row],[Column9]]), (deployment_raw[[#This Row],[Column9]] * IF($E$2="Deployment",deployment_raw[[#This Row],[Column5]],1))/1048576,"")</f>
        <v/>
      </c>
      <c r="J95" s="122" t="str">
        <f>IF(ISNUMBER(deployment_raw[[#This Row],[Column10]]), (MIN(IF(N95&lt;&gt;"",N95,9999999999999)*1.1,deployment_raw[[#This Row],[Column10]] * IF($E$2="Deployment",deployment_raw[[#This Row],[Column5]],1))),"")</f>
        <v/>
      </c>
      <c r="K95" s="123" t="str">
        <f>IF(ISNUMBER(deployment_raw[[#This Row],[Column11]]), (MIN(IF(O95&lt;&gt;"",O95,9999999999999)*1.1,deployment_raw[[#This Row],[Column11]] * IF($E$2="Deployment",deployment_raw[[#This Row],[Column5]],1)/1048576)),"")</f>
        <v/>
      </c>
      <c r="L95" s="124" t="str">
        <f>IF(ISNUMBER(deployment_raw[[#This Row],[Column8]]),IF(OR(deployment_raw[[#This Row],[Column5]] &lt;&gt; 0,$E$2 &lt;&gt; "Deployment"), MAX(J95, P95, R95, ($L$2 * IF($E$2="Deployment",deployment_raw[[#This Row],[Column5]],1)),IF(T95&lt;&gt;"",VALUE(T95) * IF($E$2="Deployment",deployment_raw[[#This Row],[Column5]],1),0)), 0),"")</f>
        <v/>
      </c>
      <c r="M95" s="125" t="str">
        <f>IF(ISNUMBER(deployment_raw[[#This Row],[Column9]]),IF(OR(deployment_raw[[#This Row],[Column5]] &lt;&gt; 0,$E$2&lt;&gt;"Deployment"), MAX(K95, Q95, S95, ($M$2 * IF($E$2="Deployment",deployment_raw[[#This Row],[Column5]],1)),IF(U95&lt;&gt;"",VALUE(U95) * IF($E$2="Deployment",deployment_raw[[#This Row],[Column5]],1),0)), 0),"")</f>
        <v/>
      </c>
      <c r="N95" s="166" t="str">
        <f>IF(ISNUMBER(deployment_raw[[#This Row],[Column14]]), deployment_raw[[#This Row],[Column14]]/IF(OR($E$2="Deployment",deployment_raw[[#This Row],[Column5]]=0),1,deployment_raw[[#This Row],[Column5]]),"")</f>
        <v/>
      </c>
      <c r="O95" s="167" t="str">
        <f>IF(ISNUMBER(deployment_raw[[#This Row],[Column15]]), deployment_raw[[#This Row],[Column15]]/IF(OR($E$2="Deployment",deployment_raw[[#This Row],[Column5]]=0),1,deployment_raw[[#This Row],[Column5]])/1048576,"")</f>
        <v/>
      </c>
      <c r="P95" s="168" t="str">
        <f>IF(ISNUMBER(deployment_raw[[#This Row],[Column12]]), (MIN(IF(N95&lt;&gt;"",N95,9999999999999)*1.1,deployment_raw[[#This Row],[Column12]] * IF($E$2="Deployment",deployment_raw[[#This Row],[Column5]],1))*(1+$P$2)),"")</f>
        <v/>
      </c>
      <c r="Q95" s="167" t="str">
        <f>IF(ISNUMBER(deployment_raw[[#This Row],[Column13]]), (MIN(IF(O95&lt;&gt;"",O95,9999999999999)*1.1,deployment_raw[[#This Row],[Column13]] * IF($E$2="Deployment",deployment_raw[[#This Row],[Column5]],1)*(1+$Q$2)/1048576)),"")</f>
        <v/>
      </c>
      <c r="R95" s="169" t="str">
        <f>IF(ISNUMBER(deployment_raw[[#This Row],[Column8]]), (H95  * IF(N95&lt;&gt;0,$R$2,1)),"")</f>
        <v/>
      </c>
      <c r="S95" s="170" t="str">
        <f>IF(ISNUMBER(deployment_raw[[#This Row],[Column8]]), (I95  * IF(O95&lt;&gt;0,$S$2,1)),"")</f>
        <v/>
      </c>
      <c r="T95" s="202" t="str">
        <f>IF(AND(A95&lt;&gt;"",_xlfn.IFNA(MATCH(A95,'dynamic resource application '!$A$2:$A$100, 0),0)&lt;&gt;0), H95/(IF($E$2="Deployment",E95,1)),"")</f>
        <v/>
      </c>
      <c r="U95" s="211" t="str">
        <f>IF(AND(A95&lt;&gt;"",_xlfn.IFNA(MATCH(A95,'dynamic resource application '!$A$2:$A$100, 0),0)&lt;&gt;0), I95/(IF($E$2="Deployment",E95,1)),"")</f>
        <v/>
      </c>
    </row>
    <row r="96" spans="1:21" ht="15.75" customHeight="1" x14ac:dyDescent="0.25">
      <c r="A96" s="35" t="str">
        <f>IF(ISNONTEXT(deployment_raw[[#This Row],[Column1]]), "", deployment_raw[[#This Row],[Column1]])</f>
        <v/>
      </c>
      <c r="B96" s="36" t="str">
        <f>IF(ISNONTEXT(deployment_raw[[#This Row],[Column2]]), "", deployment_raw[[#This Row],[Column2]])</f>
        <v/>
      </c>
      <c r="C96" s="36" t="str">
        <f>IF(ISNONTEXT(deployment_raw[[#This Row],[Column3]]), "", deployment_raw[[#This Row],[Column3]])</f>
        <v/>
      </c>
      <c r="D96" s="36" t="str">
        <f>IF(ISNONTEXT(deployment_raw[[#This Row],[Column4]]), "", deployment_raw[[#This Row],[Column4]])</f>
        <v/>
      </c>
      <c r="E96" s="37" t="str">
        <f>IF(ISNUMBER(deployment_raw[[#This Row],[Column5]]), deployment_raw[[#This Row],[Column5]],"")</f>
        <v/>
      </c>
      <c r="F96" s="94" t="str">
        <f>IF(ISNUMBER(deployment_raw[[#This Row],[Column6]]), (deployment_raw[[#This Row],[Column6]] * IF($E$2="Deployment",deployment_raw[[#This Row],[Column5]],1)),"")</f>
        <v/>
      </c>
      <c r="G96" s="95" t="str">
        <f>IF(ISNUMBER(deployment_raw[[#This Row],[Column7]]), (deployment_raw[[#This Row],[Column7]] * IF($E$2="Deployment",deployment_raw[[#This Row],[Column5]],1))/1048576,"")</f>
        <v/>
      </c>
      <c r="H96" s="95" t="str">
        <f>IF(ISNUMBER(deployment_raw[[#This Row],[Column8]]), (deployment_raw[[#This Row],[Column8]]  * IF($E$2="Deployment",deployment_raw[[#This Row],[Column5]],1)),"")</f>
        <v/>
      </c>
      <c r="I96" s="96" t="str">
        <f>IF(ISNUMBER(deployment_raw[[#This Row],[Column9]]), (deployment_raw[[#This Row],[Column9]] * IF($E$2="Deployment",deployment_raw[[#This Row],[Column5]],1))/1048576,"")</f>
        <v/>
      </c>
      <c r="J96" s="122" t="str">
        <f>IF(ISNUMBER(deployment_raw[[#This Row],[Column10]]), (MIN(IF(N96&lt;&gt;"",N96,9999999999999)*1.1,deployment_raw[[#This Row],[Column10]] * IF($E$2="Deployment",deployment_raw[[#This Row],[Column5]],1))),"")</f>
        <v/>
      </c>
      <c r="K96" s="123" t="str">
        <f>IF(ISNUMBER(deployment_raw[[#This Row],[Column11]]), (MIN(IF(O96&lt;&gt;"",O96,9999999999999)*1.1,deployment_raw[[#This Row],[Column11]] * IF($E$2="Deployment",deployment_raw[[#This Row],[Column5]],1)/1048576)),"")</f>
        <v/>
      </c>
      <c r="L96" s="124" t="str">
        <f>IF(ISNUMBER(deployment_raw[[#This Row],[Column8]]),IF(OR(deployment_raw[[#This Row],[Column5]] &lt;&gt; 0,$E$2 &lt;&gt; "Deployment"), MAX(J96, P96, R96, ($L$2 * IF($E$2="Deployment",deployment_raw[[#This Row],[Column5]],1)),IF(T96&lt;&gt;"",VALUE(T96) * IF($E$2="Deployment",deployment_raw[[#This Row],[Column5]],1),0)), 0),"")</f>
        <v/>
      </c>
      <c r="M96" s="125" t="str">
        <f>IF(ISNUMBER(deployment_raw[[#This Row],[Column9]]),IF(OR(deployment_raw[[#This Row],[Column5]] &lt;&gt; 0,$E$2&lt;&gt;"Deployment"), MAX(K96, Q96, S96, ($M$2 * IF($E$2="Deployment",deployment_raw[[#This Row],[Column5]],1)),IF(U96&lt;&gt;"",VALUE(U96) * IF($E$2="Deployment",deployment_raw[[#This Row],[Column5]],1),0)), 0),"")</f>
        <v/>
      </c>
      <c r="N96" s="166" t="str">
        <f>IF(ISNUMBER(deployment_raw[[#This Row],[Column14]]), deployment_raw[[#This Row],[Column14]]/IF(OR($E$2="Deployment",deployment_raw[[#This Row],[Column5]]=0),1,deployment_raw[[#This Row],[Column5]]),"")</f>
        <v/>
      </c>
      <c r="O96" s="167" t="str">
        <f>IF(ISNUMBER(deployment_raw[[#This Row],[Column15]]), deployment_raw[[#This Row],[Column15]]/IF(OR($E$2="Deployment",deployment_raw[[#This Row],[Column5]]=0),1,deployment_raw[[#This Row],[Column5]])/1048576,"")</f>
        <v/>
      </c>
      <c r="P96" s="168" t="str">
        <f>IF(ISNUMBER(deployment_raw[[#This Row],[Column12]]), (MIN(IF(N96&lt;&gt;"",N96,9999999999999)*1.1,deployment_raw[[#This Row],[Column12]] * IF($E$2="Deployment",deployment_raw[[#This Row],[Column5]],1))*(1+$P$2)),"")</f>
        <v/>
      </c>
      <c r="Q96" s="167" t="str">
        <f>IF(ISNUMBER(deployment_raw[[#This Row],[Column13]]), (MIN(IF(O96&lt;&gt;"",O96,9999999999999)*1.1,deployment_raw[[#This Row],[Column13]] * IF($E$2="Deployment",deployment_raw[[#This Row],[Column5]],1)*(1+$Q$2)/1048576)),"")</f>
        <v/>
      </c>
      <c r="R96" s="169" t="str">
        <f>IF(ISNUMBER(deployment_raw[[#This Row],[Column8]]), (H96  * IF(N96&lt;&gt;0,$R$2,1)),"")</f>
        <v/>
      </c>
      <c r="S96" s="170" t="str">
        <f>IF(ISNUMBER(deployment_raw[[#This Row],[Column8]]), (I96  * IF(O96&lt;&gt;0,$S$2,1)),"")</f>
        <v/>
      </c>
      <c r="T96" s="202" t="str">
        <f>IF(AND(A96&lt;&gt;"",_xlfn.IFNA(MATCH(A96,'dynamic resource application '!$A$2:$A$100, 0),0)&lt;&gt;0), H96/(IF($E$2="Deployment",E96,1)),"")</f>
        <v/>
      </c>
      <c r="U96" s="211" t="str">
        <f>IF(AND(A96&lt;&gt;"",_xlfn.IFNA(MATCH(A96,'dynamic resource application '!$A$2:$A$100, 0),0)&lt;&gt;0), I96/(IF($E$2="Deployment",E96,1)),"")</f>
        <v/>
      </c>
    </row>
    <row r="97" spans="1:21" ht="15.75" customHeight="1" x14ac:dyDescent="0.25">
      <c r="A97" s="35" t="str">
        <f>IF(ISNONTEXT(deployment_raw[[#This Row],[Column1]]), "", deployment_raw[[#This Row],[Column1]])</f>
        <v/>
      </c>
      <c r="B97" s="36" t="str">
        <f>IF(ISNONTEXT(deployment_raw[[#This Row],[Column2]]), "", deployment_raw[[#This Row],[Column2]])</f>
        <v/>
      </c>
      <c r="C97" s="36" t="str">
        <f>IF(ISNONTEXT(deployment_raw[[#This Row],[Column3]]), "", deployment_raw[[#This Row],[Column3]])</f>
        <v/>
      </c>
      <c r="D97" s="36" t="str">
        <f>IF(ISNONTEXT(deployment_raw[[#This Row],[Column4]]), "", deployment_raw[[#This Row],[Column4]])</f>
        <v/>
      </c>
      <c r="E97" s="37" t="str">
        <f>IF(ISNUMBER(deployment_raw[[#This Row],[Column5]]), deployment_raw[[#This Row],[Column5]],"")</f>
        <v/>
      </c>
      <c r="F97" s="94" t="str">
        <f>IF(ISNUMBER(deployment_raw[[#This Row],[Column6]]), (deployment_raw[[#This Row],[Column6]] * IF($E$2="Deployment",deployment_raw[[#This Row],[Column5]],1)),"")</f>
        <v/>
      </c>
      <c r="G97" s="95" t="str">
        <f>IF(ISNUMBER(deployment_raw[[#This Row],[Column7]]), (deployment_raw[[#This Row],[Column7]] * IF($E$2="Deployment",deployment_raw[[#This Row],[Column5]],1))/1048576,"")</f>
        <v/>
      </c>
      <c r="H97" s="95" t="str">
        <f>IF(ISNUMBER(deployment_raw[[#This Row],[Column8]]), (deployment_raw[[#This Row],[Column8]]  * IF($E$2="Deployment",deployment_raw[[#This Row],[Column5]],1)),"")</f>
        <v/>
      </c>
      <c r="I97" s="96" t="str">
        <f>IF(ISNUMBER(deployment_raw[[#This Row],[Column9]]), (deployment_raw[[#This Row],[Column9]] * IF($E$2="Deployment",deployment_raw[[#This Row],[Column5]],1))/1048576,"")</f>
        <v/>
      </c>
      <c r="J97" s="122" t="str">
        <f>IF(ISNUMBER(deployment_raw[[#This Row],[Column10]]), (MIN(IF(N97&lt;&gt;"",N97,9999999999999)*1.1,deployment_raw[[#This Row],[Column10]] * IF($E$2="Deployment",deployment_raw[[#This Row],[Column5]],1))),"")</f>
        <v/>
      </c>
      <c r="K97" s="123" t="str">
        <f>IF(ISNUMBER(deployment_raw[[#This Row],[Column11]]), (MIN(IF(O97&lt;&gt;"",O97,9999999999999)*1.1,deployment_raw[[#This Row],[Column11]] * IF($E$2="Deployment",deployment_raw[[#This Row],[Column5]],1)/1048576)),"")</f>
        <v/>
      </c>
      <c r="L97" s="124" t="str">
        <f>IF(ISNUMBER(deployment_raw[[#This Row],[Column8]]),IF(OR(deployment_raw[[#This Row],[Column5]] &lt;&gt; 0,$E$2 &lt;&gt; "Deployment"), MAX(J97, P97, R97, ($L$2 * IF($E$2="Deployment",deployment_raw[[#This Row],[Column5]],1)),IF(T97&lt;&gt;"",VALUE(T97) * IF($E$2="Deployment",deployment_raw[[#This Row],[Column5]],1),0)), 0),"")</f>
        <v/>
      </c>
      <c r="M97" s="125" t="str">
        <f>IF(ISNUMBER(deployment_raw[[#This Row],[Column9]]),IF(OR(deployment_raw[[#This Row],[Column5]] &lt;&gt; 0,$E$2&lt;&gt;"Deployment"), MAX(K97, Q97, S97, ($M$2 * IF($E$2="Deployment",deployment_raw[[#This Row],[Column5]],1)),IF(U97&lt;&gt;"",VALUE(U97) * IF($E$2="Deployment",deployment_raw[[#This Row],[Column5]],1),0)), 0),"")</f>
        <v/>
      </c>
      <c r="N97" s="166" t="str">
        <f>IF(ISNUMBER(deployment_raw[[#This Row],[Column14]]), deployment_raw[[#This Row],[Column14]]/IF(OR($E$2="Deployment",deployment_raw[[#This Row],[Column5]]=0),1,deployment_raw[[#This Row],[Column5]]),"")</f>
        <v/>
      </c>
      <c r="O97" s="167" t="str">
        <f>IF(ISNUMBER(deployment_raw[[#This Row],[Column15]]), deployment_raw[[#This Row],[Column15]]/IF(OR($E$2="Deployment",deployment_raw[[#This Row],[Column5]]=0),1,deployment_raw[[#This Row],[Column5]])/1048576,"")</f>
        <v/>
      </c>
      <c r="P97" s="168" t="str">
        <f>IF(ISNUMBER(deployment_raw[[#This Row],[Column12]]), (MIN(IF(N97&lt;&gt;"",N97,9999999999999)*1.1,deployment_raw[[#This Row],[Column12]] * IF($E$2="Deployment",deployment_raw[[#This Row],[Column5]],1))*(1+$P$2)),"")</f>
        <v/>
      </c>
      <c r="Q97" s="167" t="str">
        <f>IF(ISNUMBER(deployment_raw[[#This Row],[Column13]]), (MIN(IF(O97&lt;&gt;"",O97,9999999999999)*1.1,deployment_raw[[#This Row],[Column13]] * IF($E$2="Deployment",deployment_raw[[#This Row],[Column5]],1)*(1+$Q$2)/1048576)),"")</f>
        <v/>
      </c>
      <c r="R97" s="169" t="str">
        <f>IF(ISNUMBER(deployment_raw[[#This Row],[Column8]]), (H97  * IF(N97&lt;&gt;0,$R$2,1)),"")</f>
        <v/>
      </c>
      <c r="S97" s="170" t="str">
        <f>IF(ISNUMBER(deployment_raw[[#This Row],[Column8]]), (I97  * IF(O97&lt;&gt;0,$S$2,1)),"")</f>
        <v/>
      </c>
      <c r="T97" s="202" t="str">
        <f>IF(AND(A97&lt;&gt;"",_xlfn.IFNA(MATCH(A97,'dynamic resource application '!$A$2:$A$100, 0),0)&lt;&gt;0), H97/(IF($E$2="Deployment",E97,1)),"")</f>
        <v/>
      </c>
      <c r="U97" s="211" t="str">
        <f>IF(AND(A97&lt;&gt;"",_xlfn.IFNA(MATCH(A97,'dynamic resource application '!$A$2:$A$100, 0),0)&lt;&gt;0), I97/(IF($E$2="Deployment",E97,1)),"")</f>
        <v/>
      </c>
    </row>
    <row r="98" spans="1:21" ht="15.75" customHeight="1" x14ac:dyDescent="0.25">
      <c r="A98" s="35" t="str">
        <f>IF(ISNONTEXT(deployment_raw[[#This Row],[Column1]]), "", deployment_raw[[#This Row],[Column1]])</f>
        <v/>
      </c>
      <c r="B98" s="36" t="str">
        <f>IF(ISNONTEXT(deployment_raw[[#This Row],[Column2]]), "", deployment_raw[[#This Row],[Column2]])</f>
        <v/>
      </c>
      <c r="C98" s="36" t="str">
        <f>IF(ISNONTEXT(deployment_raw[[#This Row],[Column3]]), "", deployment_raw[[#This Row],[Column3]])</f>
        <v/>
      </c>
      <c r="D98" s="36" t="str">
        <f>IF(ISNONTEXT(deployment_raw[[#This Row],[Column4]]), "", deployment_raw[[#This Row],[Column4]])</f>
        <v/>
      </c>
      <c r="E98" s="37" t="str">
        <f>IF(ISNUMBER(deployment_raw[[#This Row],[Column5]]), deployment_raw[[#This Row],[Column5]],"")</f>
        <v/>
      </c>
      <c r="F98" s="94" t="str">
        <f>IF(ISNUMBER(deployment_raw[[#This Row],[Column6]]), (deployment_raw[[#This Row],[Column6]] * IF($E$2="Deployment",deployment_raw[[#This Row],[Column5]],1)),"")</f>
        <v/>
      </c>
      <c r="G98" s="95" t="str">
        <f>IF(ISNUMBER(deployment_raw[[#This Row],[Column7]]), (deployment_raw[[#This Row],[Column7]] * IF($E$2="Deployment",deployment_raw[[#This Row],[Column5]],1))/1048576,"")</f>
        <v/>
      </c>
      <c r="H98" s="95" t="str">
        <f>IF(ISNUMBER(deployment_raw[[#This Row],[Column8]]), (deployment_raw[[#This Row],[Column8]]  * IF($E$2="Deployment",deployment_raw[[#This Row],[Column5]],1)),"")</f>
        <v/>
      </c>
      <c r="I98" s="96" t="str">
        <f>IF(ISNUMBER(deployment_raw[[#This Row],[Column9]]), (deployment_raw[[#This Row],[Column9]] * IF($E$2="Deployment",deployment_raw[[#This Row],[Column5]],1))/1048576,"")</f>
        <v/>
      </c>
      <c r="J98" s="122" t="str">
        <f>IF(ISNUMBER(deployment_raw[[#This Row],[Column10]]), (MIN(IF(N98&lt;&gt;"",N98,9999999999999)*1.1,deployment_raw[[#This Row],[Column10]] * IF($E$2="Deployment",deployment_raw[[#This Row],[Column5]],1))),"")</f>
        <v/>
      </c>
      <c r="K98" s="123" t="str">
        <f>IF(ISNUMBER(deployment_raw[[#This Row],[Column11]]), (MIN(IF(O98&lt;&gt;"",O98,9999999999999)*1.1,deployment_raw[[#This Row],[Column11]] * IF($E$2="Deployment",deployment_raw[[#This Row],[Column5]],1)/1048576)),"")</f>
        <v/>
      </c>
      <c r="L98" s="124" t="str">
        <f>IF(ISNUMBER(deployment_raw[[#This Row],[Column8]]),IF(OR(deployment_raw[[#This Row],[Column5]] &lt;&gt; 0,$E$2 &lt;&gt; "Deployment"), MAX(J98, P98, R98, ($L$2 * IF($E$2="Deployment",deployment_raw[[#This Row],[Column5]],1)),IF(T98&lt;&gt;"",VALUE(T98) * IF($E$2="Deployment",deployment_raw[[#This Row],[Column5]],1),0)), 0),"")</f>
        <v/>
      </c>
      <c r="M98" s="125" t="str">
        <f>IF(ISNUMBER(deployment_raw[[#This Row],[Column9]]),IF(OR(deployment_raw[[#This Row],[Column5]] &lt;&gt; 0,$E$2&lt;&gt;"Deployment"), MAX(K98, Q98, S98, ($M$2 * IF($E$2="Deployment",deployment_raw[[#This Row],[Column5]],1)),IF(U98&lt;&gt;"",VALUE(U98) * IF($E$2="Deployment",deployment_raw[[#This Row],[Column5]],1),0)), 0),"")</f>
        <v/>
      </c>
      <c r="N98" s="166" t="str">
        <f>IF(ISNUMBER(deployment_raw[[#This Row],[Column14]]), deployment_raw[[#This Row],[Column14]]/IF(OR($E$2="Deployment",deployment_raw[[#This Row],[Column5]]=0),1,deployment_raw[[#This Row],[Column5]]),"")</f>
        <v/>
      </c>
      <c r="O98" s="167" t="str">
        <f>IF(ISNUMBER(deployment_raw[[#This Row],[Column15]]), deployment_raw[[#This Row],[Column15]]/IF(OR($E$2="Deployment",deployment_raw[[#This Row],[Column5]]=0),1,deployment_raw[[#This Row],[Column5]])/1048576,"")</f>
        <v/>
      </c>
      <c r="P98" s="168" t="str">
        <f>IF(ISNUMBER(deployment_raw[[#This Row],[Column12]]), (MIN(IF(N98&lt;&gt;"",N98,9999999999999)*1.1,deployment_raw[[#This Row],[Column12]] * IF($E$2="Deployment",deployment_raw[[#This Row],[Column5]],1))*(1+$P$2)),"")</f>
        <v/>
      </c>
      <c r="Q98" s="167" t="str">
        <f>IF(ISNUMBER(deployment_raw[[#This Row],[Column13]]), (MIN(IF(O98&lt;&gt;"",O98,9999999999999)*1.1,deployment_raw[[#This Row],[Column13]] * IF($E$2="Deployment",deployment_raw[[#This Row],[Column5]],1)*(1+$Q$2)/1048576)),"")</f>
        <v/>
      </c>
      <c r="R98" s="169" t="str">
        <f>IF(ISNUMBER(deployment_raw[[#This Row],[Column8]]), (H98  * IF(N98&lt;&gt;0,$R$2,1)),"")</f>
        <v/>
      </c>
      <c r="S98" s="170" t="str">
        <f>IF(ISNUMBER(deployment_raw[[#This Row],[Column8]]), (I98  * IF(O98&lt;&gt;0,$S$2,1)),"")</f>
        <v/>
      </c>
      <c r="T98" s="202" t="str">
        <f>IF(AND(A98&lt;&gt;"",_xlfn.IFNA(MATCH(A98,'dynamic resource application '!$A$2:$A$100, 0),0)&lt;&gt;0), H98/(IF($E$2="Deployment",E98,1)),"")</f>
        <v/>
      </c>
      <c r="U98" s="211" t="str">
        <f>IF(AND(A98&lt;&gt;"",_xlfn.IFNA(MATCH(A98,'dynamic resource application '!$A$2:$A$100, 0),0)&lt;&gt;0), I98/(IF($E$2="Deployment",E98,1)),"")</f>
        <v/>
      </c>
    </row>
    <row r="99" spans="1:21" ht="15.75" customHeight="1" x14ac:dyDescent="0.25">
      <c r="A99" s="35" t="str">
        <f>IF(ISNONTEXT(deployment_raw[[#This Row],[Column1]]), "", deployment_raw[[#This Row],[Column1]])</f>
        <v/>
      </c>
      <c r="B99" s="36" t="str">
        <f>IF(ISNONTEXT(deployment_raw[[#This Row],[Column2]]), "", deployment_raw[[#This Row],[Column2]])</f>
        <v/>
      </c>
      <c r="C99" s="36" t="str">
        <f>IF(ISNONTEXT(deployment_raw[[#This Row],[Column3]]), "", deployment_raw[[#This Row],[Column3]])</f>
        <v/>
      </c>
      <c r="D99" s="36" t="str">
        <f>IF(ISNONTEXT(deployment_raw[[#This Row],[Column4]]), "", deployment_raw[[#This Row],[Column4]])</f>
        <v/>
      </c>
      <c r="E99" s="37" t="str">
        <f>IF(ISNUMBER(deployment_raw[[#This Row],[Column5]]), deployment_raw[[#This Row],[Column5]],"")</f>
        <v/>
      </c>
      <c r="F99" s="94" t="str">
        <f>IF(ISNUMBER(deployment_raw[[#This Row],[Column6]]), (deployment_raw[[#This Row],[Column6]] * IF($E$2="Deployment",deployment_raw[[#This Row],[Column5]],1)),"")</f>
        <v/>
      </c>
      <c r="G99" s="95" t="str">
        <f>IF(ISNUMBER(deployment_raw[[#This Row],[Column7]]), (deployment_raw[[#This Row],[Column7]] * IF($E$2="Deployment",deployment_raw[[#This Row],[Column5]],1))/1048576,"")</f>
        <v/>
      </c>
      <c r="H99" s="95" t="str">
        <f>IF(ISNUMBER(deployment_raw[[#This Row],[Column8]]), (deployment_raw[[#This Row],[Column8]]  * IF($E$2="Deployment",deployment_raw[[#This Row],[Column5]],1)),"")</f>
        <v/>
      </c>
      <c r="I99" s="96" t="str">
        <f>IF(ISNUMBER(deployment_raw[[#This Row],[Column9]]), (deployment_raw[[#This Row],[Column9]] * IF($E$2="Deployment",deployment_raw[[#This Row],[Column5]],1))/1048576,"")</f>
        <v/>
      </c>
      <c r="J99" s="122" t="str">
        <f>IF(ISNUMBER(deployment_raw[[#This Row],[Column10]]), (MIN(IF(N99&lt;&gt;"",N99,9999999999999)*1.1,deployment_raw[[#This Row],[Column10]] * IF($E$2="Deployment",deployment_raw[[#This Row],[Column5]],1))),"")</f>
        <v/>
      </c>
      <c r="K99" s="123" t="str">
        <f>IF(ISNUMBER(deployment_raw[[#This Row],[Column11]]), (MIN(IF(O99&lt;&gt;"",O99,9999999999999)*1.1,deployment_raw[[#This Row],[Column11]] * IF($E$2="Deployment",deployment_raw[[#This Row],[Column5]],1)/1048576)),"")</f>
        <v/>
      </c>
      <c r="L99" s="124" t="str">
        <f>IF(ISNUMBER(deployment_raw[[#This Row],[Column8]]),IF(OR(deployment_raw[[#This Row],[Column5]] &lt;&gt; 0,$E$2 &lt;&gt; "Deployment"), MAX(J99, P99, R99, ($L$2 * IF($E$2="Deployment",deployment_raw[[#This Row],[Column5]],1)),IF(T99&lt;&gt;"",VALUE(T99) * IF($E$2="Deployment",deployment_raw[[#This Row],[Column5]],1),0)), 0),"")</f>
        <v/>
      </c>
      <c r="M99" s="125" t="str">
        <f>IF(ISNUMBER(deployment_raw[[#This Row],[Column9]]),IF(OR(deployment_raw[[#This Row],[Column5]] &lt;&gt; 0,$E$2&lt;&gt;"Deployment"), MAX(K99, Q99, S99, ($M$2 * IF($E$2="Deployment",deployment_raw[[#This Row],[Column5]],1)),IF(U99&lt;&gt;"",VALUE(U99) * IF($E$2="Deployment",deployment_raw[[#This Row],[Column5]],1),0)), 0),"")</f>
        <v/>
      </c>
      <c r="N99" s="166" t="str">
        <f>IF(ISNUMBER(deployment_raw[[#This Row],[Column14]]), deployment_raw[[#This Row],[Column14]]/IF(OR($E$2="Deployment",deployment_raw[[#This Row],[Column5]]=0),1,deployment_raw[[#This Row],[Column5]]),"")</f>
        <v/>
      </c>
      <c r="O99" s="167" t="str">
        <f>IF(ISNUMBER(deployment_raw[[#This Row],[Column15]]), deployment_raw[[#This Row],[Column15]]/IF(OR($E$2="Deployment",deployment_raw[[#This Row],[Column5]]=0),1,deployment_raw[[#This Row],[Column5]])/1048576,"")</f>
        <v/>
      </c>
      <c r="P99" s="168" t="str">
        <f>IF(ISNUMBER(deployment_raw[[#This Row],[Column12]]), (MIN(IF(N99&lt;&gt;"",N99,9999999999999)*1.1,deployment_raw[[#This Row],[Column12]] * IF($E$2="Deployment",deployment_raw[[#This Row],[Column5]],1))*(1+$P$2)),"")</f>
        <v/>
      </c>
      <c r="Q99" s="167" t="str">
        <f>IF(ISNUMBER(deployment_raw[[#This Row],[Column13]]), (MIN(IF(O99&lt;&gt;"",O99,9999999999999)*1.1,deployment_raw[[#This Row],[Column13]] * IF($E$2="Deployment",deployment_raw[[#This Row],[Column5]],1)*(1+$Q$2)/1048576)),"")</f>
        <v/>
      </c>
      <c r="R99" s="169" t="str">
        <f>IF(ISNUMBER(deployment_raw[[#This Row],[Column8]]), (H99  * IF(N99&lt;&gt;0,$R$2,1)),"")</f>
        <v/>
      </c>
      <c r="S99" s="170" t="str">
        <f>IF(ISNUMBER(deployment_raw[[#This Row],[Column8]]), (I99  * IF(O99&lt;&gt;0,$S$2,1)),"")</f>
        <v/>
      </c>
      <c r="T99" s="202" t="str">
        <f>IF(AND(A99&lt;&gt;"",_xlfn.IFNA(MATCH(A99,'dynamic resource application '!$A$2:$A$100, 0),0)&lt;&gt;0), H99/(IF($E$2="Deployment",E99,1)),"")</f>
        <v/>
      </c>
      <c r="U99" s="211" t="str">
        <f>IF(AND(A99&lt;&gt;"",_xlfn.IFNA(MATCH(A99,'dynamic resource application '!$A$2:$A$100, 0),0)&lt;&gt;0), I99/(IF($E$2="Deployment",E99,1)),"")</f>
        <v/>
      </c>
    </row>
    <row r="100" spans="1:21" ht="15.75" customHeight="1" x14ac:dyDescent="0.25">
      <c r="A100" s="35" t="str">
        <f>IF(ISNONTEXT(deployment_raw[[#This Row],[Column1]]), "", deployment_raw[[#This Row],[Column1]])</f>
        <v/>
      </c>
      <c r="B100" s="36" t="str">
        <f>IF(ISNONTEXT(deployment_raw[[#This Row],[Column2]]), "", deployment_raw[[#This Row],[Column2]])</f>
        <v/>
      </c>
      <c r="C100" s="36" t="str">
        <f>IF(ISNONTEXT(deployment_raw[[#This Row],[Column3]]), "", deployment_raw[[#This Row],[Column3]])</f>
        <v/>
      </c>
      <c r="D100" s="36" t="str">
        <f>IF(ISNONTEXT(deployment_raw[[#This Row],[Column4]]), "", deployment_raw[[#This Row],[Column4]])</f>
        <v/>
      </c>
      <c r="E100" s="37" t="str">
        <f>IF(ISNUMBER(deployment_raw[[#This Row],[Column5]]), deployment_raw[[#This Row],[Column5]],"")</f>
        <v/>
      </c>
      <c r="F100" s="94" t="str">
        <f>IF(ISNUMBER(deployment_raw[[#This Row],[Column6]]), (deployment_raw[[#This Row],[Column6]] * IF($E$2="Deployment",deployment_raw[[#This Row],[Column5]],1)),"")</f>
        <v/>
      </c>
      <c r="G100" s="95" t="str">
        <f>IF(ISNUMBER(deployment_raw[[#This Row],[Column7]]), (deployment_raw[[#This Row],[Column7]] * IF($E$2="Deployment",deployment_raw[[#This Row],[Column5]],1))/1048576,"")</f>
        <v/>
      </c>
      <c r="H100" s="95" t="str">
        <f>IF(ISNUMBER(deployment_raw[[#This Row],[Column8]]), (deployment_raw[[#This Row],[Column8]]  * IF($E$2="Deployment",deployment_raw[[#This Row],[Column5]],1)),"")</f>
        <v/>
      </c>
      <c r="I100" s="96" t="str">
        <f>IF(ISNUMBER(deployment_raw[[#This Row],[Column9]]), (deployment_raw[[#This Row],[Column9]] * IF($E$2="Deployment",deployment_raw[[#This Row],[Column5]],1))/1048576,"")</f>
        <v/>
      </c>
      <c r="J100" s="122" t="str">
        <f>IF(ISNUMBER(deployment_raw[[#This Row],[Column10]]), (MIN(IF(N100&lt;&gt;"",N100,9999999999999)*1.1,deployment_raw[[#This Row],[Column10]] * IF($E$2="Deployment",deployment_raw[[#This Row],[Column5]],1))),"")</f>
        <v/>
      </c>
      <c r="K100" s="123" t="str">
        <f>IF(ISNUMBER(deployment_raw[[#This Row],[Column11]]), (MIN(IF(O100&lt;&gt;"",O100,9999999999999)*1.1,deployment_raw[[#This Row],[Column11]] * IF($E$2="Deployment",deployment_raw[[#This Row],[Column5]],1)/1048576)),"")</f>
        <v/>
      </c>
      <c r="L100" s="124" t="str">
        <f>IF(ISNUMBER(deployment_raw[[#This Row],[Column8]]),IF(OR(deployment_raw[[#This Row],[Column5]] &lt;&gt; 0,$E$2 &lt;&gt; "Deployment"), MAX(J100, P100, R100, ($L$2 * IF($E$2="Deployment",deployment_raw[[#This Row],[Column5]],1)),IF(T100&lt;&gt;"",VALUE(T100) * IF($E$2="Deployment",deployment_raw[[#This Row],[Column5]],1),0)), 0),"")</f>
        <v/>
      </c>
      <c r="M100" s="125" t="str">
        <f>IF(ISNUMBER(deployment_raw[[#This Row],[Column9]]),IF(OR(deployment_raw[[#This Row],[Column5]] &lt;&gt; 0,$E$2&lt;&gt;"Deployment"), MAX(K100, Q100, S100, ($M$2 * IF($E$2="Deployment",deployment_raw[[#This Row],[Column5]],1)),IF(U100&lt;&gt;"",VALUE(U100) * IF($E$2="Deployment",deployment_raw[[#This Row],[Column5]],1),0)), 0),"")</f>
        <v/>
      </c>
      <c r="N100" s="166" t="str">
        <f>IF(ISNUMBER(deployment_raw[[#This Row],[Column14]]), deployment_raw[[#This Row],[Column14]]/IF(OR($E$2="Deployment",deployment_raw[[#This Row],[Column5]]=0),1,deployment_raw[[#This Row],[Column5]]),"")</f>
        <v/>
      </c>
      <c r="O100" s="167" t="str">
        <f>IF(ISNUMBER(deployment_raw[[#This Row],[Column15]]), deployment_raw[[#This Row],[Column15]]/IF(OR($E$2="Deployment",deployment_raw[[#This Row],[Column5]]=0),1,deployment_raw[[#This Row],[Column5]])/1048576,"")</f>
        <v/>
      </c>
      <c r="P100" s="168" t="str">
        <f>IF(ISNUMBER(deployment_raw[[#This Row],[Column12]]), (MIN(IF(N100&lt;&gt;"",N100,9999999999999)*1.1,deployment_raw[[#This Row],[Column12]] * IF($E$2="Deployment",deployment_raw[[#This Row],[Column5]],1))*(1+$P$2)),"")</f>
        <v/>
      </c>
      <c r="Q100" s="167" t="str">
        <f>IF(ISNUMBER(deployment_raw[[#This Row],[Column13]]), (MIN(IF(O100&lt;&gt;"",O100,9999999999999)*1.1,deployment_raw[[#This Row],[Column13]] * IF($E$2="Deployment",deployment_raw[[#This Row],[Column5]],1)*(1+$Q$2)/1048576)),"")</f>
        <v/>
      </c>
      <c r="R100" s="169" t="str">
        <f>IF(ISNUMBER(deployment_raw[[#This Row],[Column8]]), (H100  * IF(N100&lt;&gt;0,$R$2,1)),"")</f>
        <v/>
      </c>
      <c r="S100" s="170" t="str">
        <f>IF(ISNUMBER(deployment_raw[[#This Row],[Column8]]), (I100  * IF(O100&lt;&gt;0,$S$2,1)),"")</f>
        <v/>
      </c>
      <c r="T100" s="202" t="str">
        <f>IF(AND(A100&lt;&gt;"",_xlfn.IFNA(MATCH(A100,'dynamic resource application '!$A$2:$A$100, 0),0)&lt;&gt;0), H100/(IF($E$2="Deployment",E100,1)),"")</f>
        <v/>
      </c>
      <c r="U100" s="211" t="str">
        <f>IF(AND(A100&lt;&gt;"",_xlfn.IFNA(MATCH(A100,'dynamic resource application '!$A$2:$A$100, 0),0)&lt;&gt;0), I100/(IF($E$2="Deployment",E100,1)),"")</f>
        <v/>
      </c>
    </row>
    <row r="101" spans="1:21" ht="15.75" customHeight="1" x14ac:dyDescent="0.25">
      <c r="A101" s="35" t="str">
        <f>IF(ISNONTEXT(deployment_raw[[#This Row],[Column1]]), "", deployment_raw[[#This Row],[Column1]])</f>
        <v/>
      </c>
      <c r="B101" s="36" t="str">
        <f>IF(ISNONTEXT(deployment_raw[[#This Row],[Column2]]), "", deployment_raw[[#This Row],[Column2]])</f>
        <v/>
      </c>
      <c r="C101" s="36" t="str">
        <f>IF(ISNONTEXT(deployment_raw[[#This Row],[Column3]]), "", deployment_raw[[#This Row],[Column3]])</f>
        <v/>
      </c>
      <c r="D101" s="36" t="str">
        <f>IF(ISNONTEXT(deployment_raw[[#This Row],[Column4]]), "", deployment_raw[[#This Row],[Column4]])</f>
        <v/>
      </c>
      <c r="E101" s="37" t="str">
        <f>IF(ISNUMBER(deployment_raw[[#This Row],[Column5]]), deployment_raw[[#This Row],[Column5]],"")</f>
        <v/>
      </c>
      <c r="F101" s="94" t="str">
        <f>IF(ISNUMBER(deployment_raw[[#This Row],[Column6]]), (deployment_raw[[#This Row],[Column6]] * IF($E$2="Deployment",deployment_raw[[#This Row],[Column5]],1)),"")</f>
        <v/>
      </c>
      <c r="G101" s="95" t="str">
        <f>IF(ISNUMBER(deployment_raw[[#This Row],[Column7]]), (deployment_raw[[#This Row],[Column7]] * IF($E$2="Deployment",deployment_raw[[#This Row],[Column5]],1))/1048576,"")</f>
        <v/>
      </c>
      <c r="H101" s="95" t="str">
        <f>IF(ISNUMBER(deployment_raw[[#This Row],[Column8]]), (deployment_raw[[#This Row],[Column8]]  * IF($E$2="Deployment",deployment_raw[[#This Row],[Column5]],1)),"")</f>
        <v/>
      </c>
      <c r="I101" s="96" t="str">
        <f>IF(ISNUMBER(deployment_raw[[#This Row],[Column9]]), (deployment_raw[[#This Row],[Column9]] * IF($E$2="Deployment",deployment_raw[[#This Row],[Column5]],1))/1048576,"")</f>
        <v/>
      </c>
      <c r="J101" s="122" t="str">
        <f>IF(ISNUMBER(deployment_raw[[#This Row],[Column10]]), (MIN(IF(N101&lt;&gt;"",N101,9999999999999)*1.1,deployment_raw[[#This Row],[Column10]] * IF($E$2="Deployment",deployment_raw[[#This Row],[Column5]],1))),"")</f>
        <v/>
      </c>
      <c r="K101" s="123" t="str">
        <f>IF(ISNUMBER(deployment_raw[[#This Row],[Column11]]), (MIN(IF(O101&lt;&gt;"",O101,9999999999999)*1.1,deployment_raw[[#This Row],[Column11]] * IF($E$2="Deployment",deployment_raw[[#This Row],[Column5]],1)/1048576)),"")</f>
        <v/>
      </c>
      <c r="L101" s="124" t="str">
        <f>IF(ISNUMBER(deployment_raw[[#This Row],[Column8]]),IF(OR(deployment_raw[[#This Row],[Column5]] &lt;&gt; 0,$E$2 &lt;&gt; "Deployment"), MAX(J101, P101, R101, ($L$2 * IF($E$2="Deployment",deployment_raw[[#This Row],[Column5]],1)),IF(T101&lt;&gt;"",VALUE(T101) * IF($E$2="Deployment",deployment_raw[[#This Row],[Column5]],1),0)), 0),"")</f>
        <v/>
      </c>
      <c r="M101" s="125" t="str">
        <f>IF(ISNUMBER(deployment_raw[[#This Row],[Column9]]),IF(OR(deployment_raw[[#This Row],[Column5]] &lt;&gt; 0,$E$2&lt;&gt;"Deployment"), MAX(K101, Q101, S101, ($M$2 * IF($E$2="Deployment",deployment_raw[[#This Row],[Column5]],1)),IF(U101&lt;&gt;"",VALUE(U101) * IF($E$2="Deployment",deployment_raw[[#This Row],[Column5]],1),0)), 0),"")</f>
        <v/>
      </c>
      <c r="N101" s="166" t="str">
        <f>IF(ISNUMBER(deployment_raw[[#This Row],[Column14]]), deployment_raw[[#This Row],[Column14]]/IF(OR($E$2="Deployment",deployment_raw[[#This Row],[Column5]]=0),1,deployment_raw[[#This Row],[Column5]]),"")</f>
        <v/>
      </c>
      <c r="O101" s="167" t="str">
        <f>IF(ISNUMBER(deployment_raw[[#This Row],[Column15]]), deployment_raw[[#This Row],[Column15]]/IF(OR($E$2="Deployment",deployment_raw[[#This Row],[Column5]]=0),1,deployment_raw[[#This Row],[Column5]])/1048576,"")</f>
        <v/>
      </c>
      <c r="P101" s="168" t="str">
        <f>IF(ISNUMBER(deployment_raw[[#This Row],[Column12]]), (MIN(IF(N101&lt;&gt;"",N101,9999999999999)*1.1,deployment_raw[[#This Row],[Column12]] * IF($E$2="Deployment",deployment_raw[[#This Row],[Column5]],1))*(1+$P$2)),"")</f>
        <v/>
      </c>
      <c r="Q101" s="167" t="str">
        <f>IF(ISNUMBER(deployment_raw[[#This Row],[Column13]]), (MIN(IF(O101&lt;&gt;"",O101,9999999999999)*1.1,deployment_raw[[#This Row],[Column13]] * IF($E$2="Deployment",deployment_raw[[#This Row],[Column5]],1)*(1+$Q$2)/1048576)),"")</f>
        <v/>
      </c>
      <c r="R101" s="169" t="str">
        <f>IF(ISNUMBER(deployment_raw[[#This Row],[Column8]]), (H101  * IF(N101&lt;&gt;0,$R$2,1)),"")</f>
        <v/>
      </c>
      <c r="S101" s="170" t="str">
        <f>IF(ISNUMBER(deployment_raw[[#This Row],[Column8]]), (I101  * IF(O101&lt;&gt;0,$S$2,1)),"")</f>
        <v/>
      </c>
      <c r="T101" s="202" t="str">
        <f>IF(AND(A101&lt;&gt;"",_xlfn.IFNA(MATCH(A101,'dynamic resource application '!$A$2:$A$100, 0),0)&lt;&gt;0), H101/(IF($E$2="Deployment",E101,1)),"")</f>
        <v/>
      </c>
      <c r="U101" s="211" t="str">
        <f>IF(AND(A101&lt;&gt;"",_xlfn.IFNA(MATCH(A101,'dynamic resource application '!$A$2:$A$100, 0),0)&lt;&gt;0), I101/(IF($E$2="Deployment",E101,1)),"")</f>
        <v/>
      </c>
    </row>
    <row r="102" spans="1:21" ht="15.75" customHeight="1" x14ac:dyDescent="0.25">
      <c r="A102" s="35" t="str">
        <f>IF(ISNONTEXT(deployment_raw[[#This Row],[Column1]]), "", deployment_raw[[#This Row],[Column1]])</f>
        <v/>
      </c>
      <c r="B102" s="36" t="str">
        <f>IF(ISNONTEXT(deployment_raw[[#This Row],[Column2]]), "", deployment_raw[[#This Row],[Column2]])</f>
        <v/>
      </c>
      <c r="C102" s="36" t="str">
        <f>IF(ISNONTEXT(deployment_raw[[#This Row],[Column3]]), "", deployment_raw[[#This Row],[Column3]])</f>
        <v/>
      </c>
      <c r="D102" s="36" t="str">
        <f>IF(ISNONTEXT(deployment_raw[[#This Row],[Column4]]), "", deployment_raw[[#This Row],[Column4]])</f>
        <v/>
      </c>
      <c r="E102" s="37" t="str">
        <f>IF(ISNUMBER(deployment_raw[[#This Row],[Column5]]), deployment_raw[[#This Row],[Column5]],"")</f>
        <v/>
      </c>
      <c r="F102" s="94" t="str">
        <f>IF(ISNUMBER(deployment_raw[[#This Row],[Column6]]), (deployment_raw[[#This Row],[Column6]] * IF($E$2="Deployment",deployment_raw[[#This Row],[Column5]],1)),"")</f>
        <v/>
      </c>
      <c r="G102" s="95" t="str">
        <f>IF(ISNUMBER(deployment_raw[[#This Row],[Column7]]), (deployment_raw[[#This Row],[Column7]] * IF($E$2="Deployment",deployment_raw[[#This Row],[Column5]],1))/1048576,"")</f>
        <v/>
      </c>
      <c r="H102" s="95" t="str">
        <f>IF(ISNUMBER(deployment_raw[[#This Row],[Column8]]), (deployment_raw[[#This Row],[Column8]]  * IF($E$2="Deployment",deployment_raw[[#This Row],[Column5]],1)),"")</f>
        <v/>
      </c>
      <c r="I102" s="96" t="str">
        <f>IF(ISNUMBER(deployment_raw[[#This Row],[Column9]]), (deployment_raw[[#This Row],[Column9]] * IF($E$2="Deployment",deployment_raw[[#This Row],[Column5]],1))/1048576,"")</f>
        <v/>
      </c>
      <c r="J102" s="122" t="str">
        <f>IF(ISNUMBER(deployment_raw[[#This Row],[Column10]]), (MIN(IF(N102&lt;&gt;"",N102,9999999999999)*1.1,deployment_raw[[#This Row],[Column10]] * IF($E$2="Deployment",deployment_raw[[#This Row],[Column5]],1))),"")</f>
        <v/>
      </c>
      <c r="K102" s="123" t="str">
        <f>IF(ISNUMBER(deployment_raw[[#This Row],[Column11]]), (MIN(IF(O102&lt;&gt;"",O102,9999999999999)*1.1,deployment_raw[[#This Row],[Column11]] * IF($E$2="Deployment",deployment_raw[[#This Row],[Column5]],1)/1048576)),"")</f>
        <v/>
      </c>
      <c r="L102" s="124" t="str">
        <f>IF(ISNUMBER(deployment_raw[[#This Row],[Column8]]),IF(OR(deployment_raw[[#This Row],[Column5]] &lt;&gt; 0,$E$2 &lt;&gt; "Deployment"), MAX(J102, P102, R102, ($L$2 * IF($E$2="Deployment",deployment_raw[[#This Row],[Column5]],1)),IF(T102&lt;&gt;"",VALUE(T102) * IF($E$2="Deployment",deployment_raw[[#This Row],[Column5]],1),0)), 0),"")</f>
        <v/>
      </c>
      <c r="M102" s="125" t="str">
        <f>IF(ISNUMBER(deployment_raw[[#This Row],[Column9]]),IF(OR(deployment_raw[[#This Row],[Column5]] &lt;&gt; 0,$E$2&lt;&gt;"Deployment"), MAX(K102, Q102, S102, ($M$2 * IF($E$2="Deployment",deployment_raw[[#This Row],[Column5]],1)),IF(U102&lt;&gt;"",VALUE(U102) * IF($E$2="Deployment",deployment_raw[[#This Row],[Column5]],1),0)), 0),"")</f>
        <v/>
      </c>
      <c r="N102" s="166" t="str">
        <f>IF(ISNUMBER(deployment_raw[[#This Row],[Column14]]), deployment_raw[[#This Row],[Column14]]/IF(OR($E$2="Deployment",deployment_raw[[#This Row],[Column5]]=0),1,deployment_raw[[#This Row],[Column5]]),"")</f>
        <v/>
      </c>
      <c r="O102" s="167" t="str">
        <f>IF(ISNUMBER(deployment_raw[[#This Row],[Column15]]), deployment_raw[[#This Row],[Column15]]/IF(OR($E$2="Deployment",deployment_raw[[#This Row],[Column5]]=0),1,deployment_raw[[#This Row],[Column5]])/1048576,"")</f>
        <v/>
      </c>
      <c r="P102" s="168" t="str">
        <f>IF(ISNUMBER(deployment_raw[[#This Row],[Column12]]), (MIN(IF(N102&lt;&gt;"",N102,9999999999999)*1.1,deployment_raw[[#This Row],[Column12]] * IF($E$2="Deployment",deployment_raw[[#This Row],[Column5]],1))*(1+$P$2)),"")</f>
        <v/>
      </c>
      <c r="Q102" s="167" t="str">
        <f>IF(ISNUMBER(deployment_raw[[#This Row],[Column13]]), (MIN(IF(O102&lt;&gt;"",O102,9999999999999)*1.1,deployment_raw[[#This Row],[Column13]] * IF($E$2="Deployment",deployment_raw[[#This Row],[Column5]],1)*(1+$Q$2)/1048576)),"")</f>
        <v/>
      </c>
      <c r="R102" s="169" t="str">
        <f>IF(ISNUMBER(deployment_raw[[#This Row],[Column8]]), (H102  * IF(N102&lt;&gt;0,$R$2,1)),"")</f>
        <v/>
      </c>
      <c r="S102" s="170" t="str">
        <f>IF(ISNUMBER(deployment_raw[[#This Row],[Column8]]), (I102  * IF(O102&lt;&gt;0,$S$2,1)),"")</f>
        <v/>
      </c>
      <c r="T102" s="202" t="str">
        <f>IF(AND(A102&lt;&gt;"",_xlfn.IFNA(MATCH(A102,'dynamic resource application '!$A$2:$A$100, 0),0)&lt;&gt;0), H102/(IF($E$2="Deployment",E102,1)),"")</f>
        <v/>
      </c>
      <c r="U102" s="211" t="str">
        <f>IF(AND(A102&lt;&gt;"",_xlfn.IFNA(MATCH(A102,'dynamic resource application '!$A$2:$A$100, 0),0)&lt;&gt;0), I102/(IF($E$2="Deployment",E102,1)),"")</f>
        <v/>
      </c>
    </row>
    <row r="103" spans="1:21" ht="15.75" customHeight="1" x14ac:dyDescent="0.25">
      <c r="A103" s="35" t="str">
        <f>IF(ISNONTEXT(deployment_raw[[#This Row],[Column1]]), "", deployment_raw[[#This Row],[Column1]])</f>
        <v/>
      </c>
      <c r="B103" s="36" t="str">
        <f>IF(ISNONTEXT(deployment_raw[[#This Row],[Column2]]), "", deployment_raw[[#This Row],[Column2]])</f>
        <v/>
      </c>
      <c r="C103" s="36" t="str">
        <f>IF(ISNONTEXT(deployment_raw[[#This Row],[Column3]]), "", deployment_raw[[#This Row],[Column3]])</f>
        <v/>
      </c>
      <c r="D103" s="36" t="str">
        <f>IF(ISNONTEXT(deployment_raw[[#This Row],[Column4]]), "", deployment_raw[[#This Row],[Column4]])</f>
        <v/>
      </c>
      <c r="E103" s="37" t="str">
        <f>IF(ISNUMBER(deployment_raw[[#This Row],[Column5]]), deployment_raw[[#This Row],[Column5]],"")</f>
        <v/>
      </c>
      <c r="F103" s="94" t="str">
        <f>IF(ISNUMBER(deployment_raw[[#This Row],[Column6]]), (deployment_raw[[#This Row],[Column6]] * IF($E$2="Deployment",deployment_raw[[#This Row],[Column5]],1)),"")</f>
        <v/>
      </c>
      <c r="G103" s="95" t="str">
        <f>IF(ISNUMBER(deployment_raw[[#This Row],[Column7]]), (deployment_raw[[#This Row],[Column7]] * IF($E$2="Deployment",deployment_raw[[#This Row],[Column5]],1))/1048576,"")</f>
        <v/>
      </c>
      <c r="H103" s="95" t="str">
        <f>IF(ISNUMBER(deployment_raw[[#This Row],[Column8]]), (deployment_raw[[#This Row],[Column8]]  * IF($E$2="Deployment",deployment_raw[[#This Row],[Column5]],1)),"")</f>
        <v/>
      </c>
      <c r="I103" s="96" t="str">
        <f>IF(ISNUMBER(deployment_raw[[#This Row],[Column9]]), (deployment_raw[[#This Row],[Column9]] * IF($E$2="Deployment",deployment_raw[[#This Row],[Column5]],1))/1048576,"")</f>
        <v/>
      </c>
      <c r="J103" s="122" t="str">
        <f>IF(ISNUMBER(deployment_raw[[#This Row],[Column10]]), (MIN(IF(N103&lt;&gt;"",N103,9999999999999)*1.1,deployment_raw[[#This Row],[Column10]] * IF($E$2="Deployment",deployment_raw[[#This Row],[Column5]],1))),"")</f>
        <v/>
      </c>
      <c r="K103" s="123" t="str">
        <f>IF(ISNUMBER(deployment_raw[[#This Row],[Column11]]), (MIN(IF(O103&lt;&gt;"",O103,9999999999999)*1.1,deployment_raw[[#This Row],[Column11]] * IF($E$2="Deployment",deployment_raw[[#This Row],[Column5]],1)/1048576)),"")</f>
        <v/>
      </c>
      <c r="L103" s="124" t="str">
        <f>IF(ISNUMBER(deployment_raw[[#This Row],[Column8]]),IF(OR(deployment_raw[[#This Row],[Column5]] &lt;&gt; 0,$E$2 &lt;&gt; "Deployment"), MAX(J103, P103, R103, ($L$2 * IF($E$2="Deployment",deployment_raw[[#This Row],[Column5]],1)),IF(T103&lt;&gt;"",VALUE(T103) * IF($E$2="Deployment",deployment_raw[[#This Row],[Column5]],1),0)), 0),"")</f>
        <v/>
      </c>
      <c r="M103" s="125" t="str">
        <f>IF(ISNUMBER(deployment_raw[[#This Row],[Column9]]),IF(OR(deployment_raw[[#This Row],[Column5]] &lt;&gt; 0,$E$2&lt;&gt;"Deployment"), MAX(K103, Q103, S103, ($M$2 * IF($E$2="Deployment",deployment_raw[[#This Row],[Column5]],1)),IF(U103&lt;&gt;"",VALUE(U103) * IF($E$2="Deployment",deployment_raw[[#This Row],[Column5]],1),0)), 0),"")</f>
        <v/>
      </c>
      <c r="N103" s="166" t="str">
        <f>IF(ISNUMBER(deployment_raw[[#This Row],[Column14]]), deployment_raw[[#This Row],[Column14]]/IF(OR($E$2="Deployment",deployment_raw[[#This Row],[Column5]]=0),1,deployment_raw[[#This Row],[Column5]]),"")</f>
        <v/>
      </c>
      <c r="O103" s="167" t="str">
        <f>IF(ISNUMBER(deployment_raw[[#This Row],[Column15]]), deployment_raw[[#This Row],[Column15]]/IF(OR($E$2="Deployment",deployment_raw[[#This Row],[Column5]]=0),1,deployment_raw[[#This Row],[Column5]])/1048576,"")</f>
        <v/>
      </c>
      <c r="P103" s="168" t="str">
        <f>IF(ISNUMBER(deployment_raw[[#This Row],[Column12]]), (MIN(IF(N103&lt;&gt;"",N103,9999999999999)*1.1,deployment_raw[[#This Row],[Column12]] * IF($E$2="Deployment",deployment_raw[[#This Row],[Column5]],1))*(1+$P$2)),"")</f>
        <v/>
      </c>
      <c r="Q103" s="167" t="str">
        <f>IF(ISNUMBER(deployment_raw[[#This Row],[Column13]]), (MIN(IF(O103&lt;&gt;"",O103,9999999999999)*1.1,deployment_raw[[#This Row],[Column13]] * IF($E$2="Deployment",deployment_raw[[#This Row],[Column5]],1)*(1+$Q$2)/1048576)),"")</f>
        <v/>
      </c>
      <c r="R103" s="169" t="str">
        <f>IF(ISNUMBER(deployment_raw[[#This Row],[Column8]]), (H103  * IF(N103&lt;&gt;0,$R$2,1)),"")</f>
        <v/>
      </c>
      <c r="S103" s="170" t="str">
        <f>IF(ISNUMBER(deployment_raw[[#This Row],[Column8]]), (I103  * IF(O103&lt;&gt;0,$S$2,1)),"")</f>
        <v/>
      </c>
      <c r="T103" s="202" t="str">
        <f>IF(AND(A103&lt;&gt;"",_xlfn.IFNA(MATCH(A103,'dynamic resource application '!$A$2:$A$100, 0),0)&lt;&gt;0), H103/(IF($E$2="Deployment",E103,1)),"")</f>
        <v/>
      </c>
      <c r="U103" s="211" t="str">
        <f>IF(AND(A103&lt;&gt;"",_xlfn.IFNA(MATCH(A103,'dynamic resource application '!$A$2:$A$100, 0),0)&lt;&gt;0), I103/(IF($E$2="Deployment",E103,1)),"")</f>
        <v/>
      </c>
    </row>
    <row r="104" spans="1:21" ht="15.75" customHeight="1" x14ac:dyDescent="0.25">
      <c r="A104" s="35" t="str">
        <f>IF(ISNONTEXT(deployment_raw[[#This Row],[Column1]]), "", deployment_raw[[#This Row],[Column1]])</f>
        <v/>
      </c>
      <c r="B104" s="36" t="str">
        <f>IF(ISNONTEXT(deployment_raw[[#This Row],[Column2]]), "", deployment_raw[[#This Row],[Column2]])</f>
        <v/>
      </c>
      <c r="C104" s="36" t="str">
        <f>IF(ISNONTEXT(deployment_raw[[#This Row],[Column3]]), "", deployment_raw[[#This Row],[Column3]])</f>
        <v/>
      </c>
      <c r="D104" s="36" t="str">
        <f>IF(ISNONTEXT(deployment_raw[[#This Row],[Column4]]), "", deployment_raw[[#This Row],[Column4]])</f>
        <v/>
      </c>
      <c r="E104" s="37" t="str">
        <f>IF(ISNUMBER(deployment_raw[[#This Row],[Column5]]), deployment_raw[[#This Row],[Column5]],"")</f>
        <v/>
      </c>
      <c r="F104" s="94" t="str">
        <f>IF(ISNUMBER(deployment_raw[[#This Row],[Column6]]), (deployment_raw[[#This Row],[Column6]] * IF($E$2="Deployment",deployment_raw[[#This Row],[Column5]],1)),"")</f>
        <v/>
      </c>
      <c r="G104" s="95" t="str">
        <f>IF(ISNUMBER(deployment_raw[[#This Row],[Column7]]), (deployment_raw[[#This Row],[Column7]] * IF($E$2="Deployment",deployment_raw[[#This Row],[Column5]],1))/1048576,"")</f>
        <v/>
      </c>
      <c r="H104" s="95" t="str">
        <f>IF(ISNUMBER(deployment_raw[[#This Row],[Column8]]), (deployment_raw[[#This Row],[Column8]]  * IF($E$2="Deployment",deployment_raw[[#This Row],[Column5]],1)),"")</f>
        <v/>
      </c>
      <c r="I104" s="96" t="str">
        <f>IF(ISNUMBER(deployment_raw[[#This Row],[Column9]]), (deployment_raw[[#This Row],[Column9]] * IF($E$2="Deployment",deployment_raw[[#This Row],[Column5]],1))/1048576,"")</f>
        <v/>
      </c>
      <c r="J104" s="122" t="str">
        <f>IF(ISNUMBER(deployment_raw[[#This Row],[Column10]]), (MIN(IF(N104&lt;&gt;"",N104,9999999999999)*1.1,deployment_raw[[#This Row],[Column10]] * IF($E$2="Deployment",deployment_raw[[#This Row],[Column5]],1))),"")</f>
        <v/>
      </c>
      <c r="K104" s="123" t="str">
        <f>IF(ISNUMBER(deployment_raw[[#This Row],[Column11]]), (MIN(IF(O104&lt;&gt;"",O104,9999999999999)*1.1,deployment_raw[[#This Row],[Column11]] * IF($E$2="Deployment",deployment_raw[[#This Row],[Column5]],1)/1048576)),"")</f>
        <v/>
      </c>
      <c r="L104" s="124" t="str">
        <f>IF(ISNUMBER(deployment_raw[[#This Row],[Column8]]),IF(OR(deployment_raw[[#This Row],[Column5]] &lt;&gt; 0,$E$2 &lt;&gt; "Deployment"), MAX(J104, P104, R104, ($L$2 * IF($E$2="Deployment",deployment_raw[[#This Row],[Column5]],1)),IF(T104&lt;&gt;"",VALUE(T104) * IF($E$2="Deployment",deployment_raw[[#This Row],[Column5]],1),0)), 0),"")</f>
        <v/>
      </c>
      <c r="M104" s="125" t="str">
        <f>IF(ISNUMBER(deployment_raw[[#This Row],[Column9]]),IF(OR(deployment_raw[[#This Row],[Column5]] &lt;&gt; 0,$E$2&lt;&gt;"Deployment"), MAX(K104, Q104, S104, ($M$2 * IF($E$2="Deployment",deployment_raw[[#This Row],[Column5]],1)),IF(U104&lt;&gt;"",VALUE(U104) * IF($E$2="Deployment",deployment_raw[[#This Row],[Column5]],1),0)), 0),"")</f>
        <v/>
      </c>
      <c r="N104" s="166" t="str">
        <f>IF(ISNUMBER(deployment_raw[[#This Row],[Column14]]), deployment_raw[[#This Row],[Column14]]/IF(OR($E$2="Deployment",deployment_raw[[#This Row],[Column5]]=0),1,deployment_raw[[#This Row],[Column5]]),"")</f>
        <v/>
      </c>
      <c r="O104" s="167" t="str">
        <f>IF(ISNUMBER(deployment_raw[[#This Row],[Column15]]), deployment_raw[[#This Row],[Column15]]/IF(OR($E$2="Deployment",deployment_raw[[#This Row],[Column5]]=0),1,deployment_raw[[#This Row],[Column5]])/1048576,"")</f>
        <v/>
      </c>
      <c r="P104" s="168" t="str">
        <f>IF(ISNUMBER(deployment_raw[[#This Row],[Column12]]), (MIN(IF(N104&lt;&gt;"",N104,9999999999999)*1.1,deployment_raw[[#This Row],[Column12]] * IF($E$2="Deployment",deployment_raw[[#This Row],[Column5]],1))*(1+$P$2)),"")</f>
        <v/>
      </c>
      <c r="Q104" s="167" t="str">
        <f>IF(ISNUMBER(deployment_raw[[#This Row],[Column13]]), (MIN(IF(O104&lt;&gt;"",O104,9999999999999)*1.1,deployment_raw[[#This Row],[Column13]] * IF($E$2="Deployment",deployment_raw[[#This Row],[Column5]],1)*(1+$Q$2)/1048576)),"")</f>
        <v/>
      </c>
      <c r="R104" s="169" t="str">
        <f>IF(ISNUMBER(deployment_raw[[#This Row],[Column8]]), (H104  * IF(N104&lt;&gt;0,$R$2,1)),"")</f>
        <v/>
      </c>
      <c r="S104" s="170" t="str">
        <f>IF(ISNUMBER(deployment_raw[[#This Row],[Column8]]), (I104  * IF(O104&lt;&gt;0,$S$2,1)),"")</f>
        <v/>
      </c>
      <c r="T104" s="202" t="str">
        <f>IF(AND(A104&lt;&gt;"",_xlfn.IFNA(MATCH(A104,'dynamic resource application '!$A$2:$A$100, 0),0)&lt;&gt;0), H104/(IF($E$2="Deployment",E104,1)),"")</f>
        <v/>
      </c>
      <c r="U104" s="211" t="str">
        <f>IF(AND(A104&lt;&gt;"",_xlfn.IFNA(MATCH(A104,'dynamic resource application '!$A$2:$A$100, 0),0)&lt;&gt;0), I104/(IF($E$2="Deployment",E104,1)),"")</f>
        <v/>
      </c>
    </row>
    <row r="105" spans="1:21" ht="15.75" customHeight="1" x14ac:dyDescent="0.25">
      <c r="A105" s="35" t="str">
        <f>IF(ISNONTEXT(deployment_raw[[#This Row],[Column1]]), "", deployment_raw[[#This Row],[Column1]])</f>
        <v/>
      </c>
      <c r="B105" s="36" t="str">
        <f>IF(ISNONTEXT(deployment_raw[[#This Row],[Column2]]), "", deployment_raw[[#This Row],[Column2]])</f>
        <v/>
      </c>
      <c r="C105" s="36" t="str">
        <f>IF(ISNONTEXT(deployment_raw[[#This Row],[Column3]]), "", deployment_raw[[#This Row],[Column3]])</f>
        <v/>
      </c>
      <c r="D105" s="36" t="str">
        <f>IF(ISNONTEXT(deployment_raw[[#This Row],[Column4]]), "", deployment_raw[[#This Row],[Column4]])</f>
        <v/>
      </c>
      <c r="E105" s="37" t="str">
        <f>IF(ISNUMBER(deployment_raw[[#This Row],[Column5]]), deployment_raw[[#This Row],[Column5]],"")</f>
        <v/>
      </c>
      <c r="F105" s="94" t="str">
        <f>IF(ISNUMBER(deployment_raw[[#This Row],[Column6]]), (deployment_raw[[#This Row],[Column6]] * IF($E$2="Deployment",deployment_raw[[#This Row],[Column5]],1)),"")</f>
        <v/>
      </c>
      <c r="G105" s="95" t="str">
        <f>IF(ISNUMBER(deployment_raw[[#This Row],[Column7]]), (deployment_raw[[#This Row],[Column7]] * IF($E$2="Deployment",deployment_raw[[#This Row],[Column5]],1))/1048576,"")</f>
        <v/>
      </c>
      <c r="H105" s="95" t="str">
        <f>IF(ISNUMBER(deployment_raw[[#This Row],[Column8]]), (deployment_raw[[#This Row],[Column8]]  * IF($E$2="Deployment",deployment_raw[[#This Row],[Column5]],1)),"")</f>
        <v/>
      </c>
      <c r="I105" s="96" t="str">
        <f>IF(ISNUMBER(deployment_raw[[#This Row],[Column9]]), (deployment_raw[[#This Row],[Column9]] * IF($E$2="Deployment",deployment_raw[[#This Row],[Column5]],1))/1048576,"")</f>
        <v/>
      </c>
      <c r="J105" s="122" t="str">
        <f>IF(ISNUMBER(deployment_raw[[#This Row],[Column10]]), (MIN(IF(N105&lt;&gt;"",N105,9999999999999)*1.1,deployment_raw[[#This Row],[Column10]] * IF($E$2="Deployment",deployment_raw[[#This Row],[Column5]],1))),"")</f>
        <v/>
      </c>
      <c r="K105" s="123" t="str">
        <f>IF(ISNUMBER(deployment_raw[[#This Row],[Column11]]), (MIN(IF(O105&lt;&gt;"",O105,9999999999999)*1.1,deployment_raw[[#This Row],[Column11]] * IF($E$2="Deployment",deployment_raw[[#This Row],[Column5]],1)/1048576)),"")</f>
        <v/>
      </c>
      <c r="L105" s="124" t="str">
        <f>IF(ISNUMBER(deployment_raw[[#This Row],[Column8]]),IF(OR(deployment_raw[[#This Row],[Column5]] &lt;&gt; 0,$E$2 &lt;&gt; "Deployment"), MAX(J105, P105, R105, ($L$2 * IF($E$2="Deployment",deployment_raw[[#This Row],[Column5]],1)),IF(T105&lt;&gt;"",VALUE(T105) * IF($E$2="Deployment",deployment_raw[[#This Row],[Column5]],1),0)), 0),"")</f>
        <v/>
      </c>
      <c r="M105" s="125" t="str">
        <f>IF(ISNUMBER(deployment_raw[[#This Row],[Column9]]),IF(OR(deployment_raw[[#This Row],[Column5]] &lt;&gt; 0,$E$2&lt;&gt;"Deployment"), MAX(K105, Q105, S105, ($M$2 * IF($E$2="Deployment",deployment_raw[[#This Row],[Column5]],1)),IF(U105&lt;&gt;"",VALUE(U105) * IF($E$2="Deployment",deployment_raw[[#This Row],[Column5]],1),0)), 0),"")</f>
        <v/>
      </c>
      <c r="N105" s="166" t="str">
        <f>IF(ISNUMBER(deployment_raw[[#This Row],[Column14]]), deployment_raw[[#This Row],[Column14]]/IF(OR($E$2="Deployment",deployment_raw[[#This Row],[Column5]]=0),1,deployment_raw[[#This Row],[Column5]]),"")</f>
        <v/>
      </c>
      <c r="O105" s="167" t="str">
        <f>IF(ISNUMBER(deployment_raw[[#This Row],[Column15]]), deployment_raw[[#This Row],[Column15]]/IF(OR($E$2="Deployment",deployment_raw[[#This Row],[Column5]]=0),1,deployment_raw[[#This Row],[Column5]])/1048576,"")</f>
        <v/>
      </c>
      <c r="P105" s="168" t="str">
        <f>IF(ISNUMBER(deployment_raw[[#This Row],[Column12]]), (MIN(IF(N105&lt;&gt;"",N105,9999999999999)*1.1,deployment_raw[[#This Row],[Column12]] * IF($E$2="Deployment",deployment_raw[[#This Row],[Column5]],1))*(1+$P$2)),"")</f>
        <v/>
      </c>
      <c r="Q105" s="167" t="str">
        <f>IF(ISNUMBER(deployment_raw[[#This Row],[Column13]]), (MIN(IF(O105&lt;&gt;"",O105,9999999999999)*1.1,deployment_raw[[#This Row],[Column13]] * IF($E$2="Deployment",deployment_raw[[#This Row],[Column5]],1)*(1+$Q$2)/1048576)),"")</f>
        <v/>
      </c>
      <c r="R105" s="169" t="str">
        <f>IF(ISNUMBER(deployment_raw[[#This Row],[Column8]]), (H105  * IF(N105&lt;&gt;0,$R$2,1)),"")</f>
        <v/>
      </c>
      <c r="S105" s="170" t="str">
        <f>IF(ISNUMBER(deployment_raw[[#This Row],[Column8]]), (I105  * IF(O105&lt;&gt;0,$S$2,1)),"")</f>
        <v/>
      </c>
      <c r="T105" s="202" t="str">
        <f>IF(AND(A105&lt;&gt;"",_xlfn.IFNA(MATCH(A105,'dynamic resource application '!$A$2:$A$100, 0),0)&lt;&gt;0), H105/(IF($E$2="Deployment",E105,1)),"")</f>
        <v/>
      </c>
      <c r="U105" s="211" t="str">
        <f>IF(AND(A105&lt;&gt;"",_xlfn.IFNA(MATCH(A105,'dynamic resource application '!$A$2:$A$100, 0),0)&lt;&gt;0), I105/(IF($E$2="Deployment",E105,1)),"")</f>
        <v/>
      </c>
    </row>
    <row r="106" spans="1:21" ht="15.75" customHeight="1" x14ac:dyDescent="0.25">
      <c r="A106" s="35" t="str">
        <f>IF(ISNONTEXT(deployment_raw[[#This Row],[Column1]]), "", deployment_raw[[#This Row],[Column1]])</f>
        <v/>
      </c>
      <c r="B106" s="36" t="str">
        <f>IF(ISNONTEXT(deployment_raw[[#This Row],[Column2]]), "", deployment_raw[[#This Row],[Column2]])</f>
        <v/>
      </c>
      <c r="C106" s="36" t="str">
        <f>IF(ISNONTEXT(deployment_raw[[#This Row],[Column3]]), "", deployment_raw[[#This Row],[Column3]])</f>
        <v/>
      </c>
      <c r="D106" s="36" t="str">
        <f>IF(ISNONTEXT(deployment_raw[[#This Row],[Column4]]), "", deployment_raw[[#This Row],[Column4]])</f>
        <v/>
      </c>
      <c r="E106" s="37" t="str">
        <f>IF(ISNUMBER(deployment_raw[[#This Row],[Column5]]), deployment_raw[[#This Row],[Column5]],"")</f>
        <v/>
      </c>
      <c r="F106" s="94" t="str">
        <f>IF(ISNUMBER(deployment_raw[[#This Row],[Column6]]), (deployment_raw[[#This Row],[Column6]] * IF($E$2="Deployment",deployment_raw[[#This Row],[Column5]],1)),"")</f>
        <v/>
      </c>
      <c r="G106" s="95" t="str">
        <f>IF(ISNUMBER(deployment_raw[[#This Row],[Column7]]), (deployment_raw[[#This Row],[Column7]] * IF($E$2="Deployment",deployment_raw[[#This Row],[Column5]],1))/1048576,"")</f>
        <v/>
      </c>
      <c r="H106" s="95" t="str">
        <f>IF(ISNUMBER(deployment_raw[[#This Row],[Column8]]), (deployment_raw[[#This Row],[Column8]]  * IF($E$2="Deployment",deployment_raw[[#This Row],[Column5]],1)),"")</f>
        <v/>
      </c>
      <c r="I106" s="96" t="str">
        <f>IF(ISNUMBER(deployment_raw[[#This Row],[Column9]]), (deployment_raw[[#This Row],[Column9]] * IF($E$2="Deployment",deployment_raw[[#This Row],[Column5]],1))/1048576,"")</f>
        <v/>
      </c>
      <c r="J106" s="122" t="str">
        <f>IF(ISNUMBER(deployment_raw[[#This Row],[Column10]]), (MIN(IF(N106&lt;&gt;"",N106,9999999999999)*1.1,deployment_raw[[#This Row],[Column10]] * IF($E$2="Deployment",deployment_raw[[#This Row],[Column5]],1))),"")</f>
        <v/>
      </c>
      <c r="K106" s="123" t="str">
        <f>IF(ISNUMBER(deployment_raw[[#This Row],[Column11]]), (MIN(IF(O106&lt;&gt;"",O106,9999999999999)*1.1,deployment_raw[[#This Row],[Column11]] * IF($E$2="Deployment",deployment_raw[[#This Row],[Column5]],1)/1048576)),"")</f>
        <v/>
      </c>
      <c r="L106" s="124" t="str">
        <f>IF(ISNUMBER(deployment_raw[[#This Row],[Column8]]),IF(OR(deployment_raw[[#This Row],[Column5]] &lt;&gt; 0,$E$2 &lt;&gt; "Deployment"), MAX(J106, P106, R106, ($L$2 * IF($E$2="Deployment",deployment_raw[[#This Row],[Column5]],1)),IF(T106&lt;&gt;"",VALUE(T106) * IF($E$2="Deployment",deployment_raw[[#This Row],[Column5]],1),0)), 0),"")</f>
        <v/>
      </c>
      <c r="M106" s="125" t="str">
        <f>IF(ISNUMBER(deployment_raw[[#This Row],[Column9]]),IF(OR(deployment_raw[[#This Row],[Column5]] &lt;&gt; 0,$E$2&lt;&gt;"Deployment"), MAX(K106, Q106, S106, ($M$2 * IF($E$2="Deployment",deployment_raw[[#This Row],[Column5]],1)),IF(U106&lt;&gt;"",VALUE(U106) * IF($E$2="Deployment",deployment_raw[[#This Row],[Column5]],1),0)), 0),"")</f>
        <v/>
      </c>
      <c r="N106" s="166" t="str">
        <f>IF(ISNUMBER(deployment_raw[[#This Row],[Column14]]), deployment_raw[[#This Row],[Column14]]/IF(OR($E$2="Deployment",deployment_raw[[#This Row],[Column5]]=0),1,deployment_raw[[#This Row],[Column5]]),"")</f>
        <v/>
      </c>
      <c r="O106" s="167" t="str">
        <f>IF(ISNUMBER(deployment_raw[[#This Row],[Column15]]), deployment_raw[[#This Row],[Column15]]/IF(OR($E$2="Deployment",deployment_raw[[#This Row],[Column5]]=0),1,deployment_raw[[#This Row],[Column5]])/1048576,"")</f>
        <v/>
      </c>
      <c r="P106" s="168" t="str">
        <f>IF(ISNUMBER(deployment_raw[[#This Row],[Column12]]), (MIN(IF(N106&lt;&gt;"",N106,9999999999999)*1.1,deployment_raw[[#This Row],[Column12]] * IF($E$2="Deployment",deployment_raw[[#This Row],[Column5]],1))*(1+$P$2)),"")</f>
        <v/>
      </c>
      <c r="Q106" s="167" t="str">
        <f>IF(ISNUMBER(deployment_raw[[#This Row],[Column13]]), (MIN(IF(O106&lt;&gt;"",O106,9999999999999)*1.1,deployment_raw[[#This Row],[Column13]] * IF($E$2="Deployment",deployment_raw[[#This Row],[Column5]],1)*(1+$Q$2)/1048576)),"")</f>
        <v/>
      </c>
      <c r="R106" s="169" t="str">
        <f>IF(ISNUMBER(deployment_raw[[#This Row],[Column8]]), (H106  * IF(N106&lt;&gt;0,$R$2,1)),"")</f>
        <v/>
      </c>
      <c r="S106" s="170" t="str">
        <f>IF(ISNUMBER(deployment_raw[[#This Row],[Column8]]), (I106  * IF(O106&lt;&gt;0,$S$2,1)),"")</f>
        <v/>
      </c>
      <c r="T106" s="202" t="str">
        <f>IF(AND(A106&lt;&gt;"",_xlfn.IFNA(MATCH(A106,'dynamic resource application '!$A$2:$A$100, 0),0)&lt;&gt;0), H106/(IF($E$2="Deployment",E106,1)),"")</f>
        <v/>
      </c>
      <c r="U106" s="211" t="str">
        <f>IF(AND(A106&lt;&gt;"",_xlfn.IFNA(MATCH(A106,'dynamic resource application '!$A$2:$A$100, 0),0)&lt;&gt;0), I106/(IF($E$2="Deployment",E106,1)),"")</f>
        <v/>
      </c>
    </row>
    <row r="107" spans="1:21" ht="15.75" customHeight="1" x14ac:dyDescent="0.25">
      <c r="A107" s="35" t="str">
        <f>IF(ISNONTEXT(deployment_raw[[#This Row],[Column1]]), "", deployment_raw[[#This Row],[Column1]])</f>
        <v/>
      </c>
      <c r="B107" s="36" t="str">
        <f>IF(ISNONTEXT(deployment_raw[[#This Row],[Column2]]), "", deployment_raw[[#This Row],[Column2]])</f>
        <v/>
      </c>
      <c r="C107" s="36" t="str">
        <f>IF(ISNONTEXT(deployment_raw[[#This Row],[Column3]]), "", deployment_raw[[#This Row],[Column3]])</f>
        <v/>
      </c>
      <c r="D107" s="36" t="str">
        <f>IF(ISNONTEXT(deployment_raw[[#This Row],[Column4]]), "", deployment_raw[[#This Row],[Column4]])</f>
        <v/>
      </c>
      <c r="E107" s="37" t="str">
        <f>IF(ISNUMBER(deployment_raw[[#This Row],[Column5]]), deployment_raw[[#This Row],[Column5]],"")</f>
        <v/>
      </c>
      <c r="F107" s="94" t="str">
        <f>IF(ISNUMBER(deployment_raw[[#This Row],[Column6]]), (deployment_raw[[#This Row],[Column6]] * IF($E$2="Deployment",deployment_raw[[#This Row],[Column5]],1)),"")</f>
        <v/>
      </c>
      <c r="G107" s="95" t="str">
        <f>IF(ISNUMBER(deployment_raw[[#This Row],[Column7]]), (deployment_raw[[#This Row],[Column7]] * IF($E$2="Deployment",deployment_raw[[#This Row],[Column5]],1))/1048576,"")</f>
        <v/>
      </c>
      <c r="H107" s="95" t="str">
        <f>IF(ISNUMBER(deployment_raw[[#This Row],[Column8]]), (deployment_raw[[#This Row],[Column8]]  * IF($E$2="Deployment",deployment_raw[[#This Row],[Column5]],1)),"")</f>
        <v/>
      </c>
      <c r="I107" s="96" t="str">
        <f>IF(ISNUMBER(deployment_raw[[#This Row],[Column9]]), (deployment_raw[[#This Row],[Column9]] * IF($E$2="Deployment",deployment_raw[[#This Row],[Column5]],1))/1048576,"")</f>
        <v/>
      </c>
      <c r="J107" s="122" t="str">
        <f>IF(ISNUMBER(deployment_raw[[#This Row],[Column10]]), (MIN(IF(N107&lt;&gt;"",N107,9999999999999)*1.1,deployment_raw[[#This Row],[Column10]] * IF($E$2="Deployment",deployment_raw[[#This Row],[Column5]],1))),"")</f>
        <v/>
      </c>
      <c r="K107" s="123" t="str">
        <f>IF(ISNUMBER(deployment_raw[[#This Row],[Column11]]), (MIN(IF(O107&lt;&gt;"",O107,9999999999999)*1.1,deployment_raw[[#This Row],[Column11]] * IF($E$2="Deployment",deployment_raw[[#This Row],[Column5]],1)/1048576)),"")</f>
        <v/>
      </c>
      <c r="L107" s="124" t="str">
        <f>IF(ISNUMBER(deployment_raw[[#This Row],[Column8]]),IF(OR(deployment_raw[[#This Row],[Column5]] &lt;&gt; 0,$E$2 &lt;&gt; "Deployment"), MAX(J107, P107, R107, ($L$2 * IF($E$2="Deployment",deployment_raw[[#This Row],[Column5]],1)),IF(T107&lt;&gt;"",VALUE(T107) * IF($E$2="Deployment",deployment_raw[[#This Row],[Column5]],1),0)), 0),"")</f>
        <v/>
      </c>
      <c r="M107" s="125" t="str">
        <f>IF(ISNUMBER(deployment_raw[[#This Row],[Column9]]),IF(OR(deployment_raw[[#This Row],[Column5]] &lt;&gt; 0,$E$2&lt;&gt;"Deployment"), MAX(K107, Q107, S107, ($M$2 * IF($E$2="Deployment",deployment_raw[[#This Row],[Column5]],1)),IF(U107&lt;&gt;"",VALUE(U107) * IF($E$2="Deployment",deployment_raw[[#This Row],[Column5]],1),0)), 0),"")</f>
        <v/>
      </c>
      <c r="N107" s="166" t="str">
        <f>IF(ISNUMBER(deployment_raw[[#This Row],[Column14]]), deployment_raw[[#This Row],[Column14]]/IF(OR($E$2="Deployment",deployment_raw[[#This Row],[Column5]]=0),1,deployment_raw[[#This Row],[Column5]]),"")</f>
        <v/>
      </c>
      <c r="O107" s="167" t="str">
        <f>IF(ISNUMBER(deployment_raw[[#This Row],[Column15]]), deployment_raw[[#This Row],[Column15]]/IF(OR($E$2="Deployment",deployment_raw[[#This Row],[Column5]]=0),1,deployment_raw[[#This Row],[Column5]])/1048576,"")</f>
        <v/>
      </c>
      <c r="P107" s="168" t="str">
        <f>IF(ISNUMBER(deployment_raw[[#This Row],[Column12]]), (MIN(IF(N107&lt;&gt;"",N107,9999999999999)*1.1,deployment_raw[[#This Row],[Column12]] * IF($E$2="Deployment",deployment_raw[[#This Row],[Column5]],1))*(1+$P$2)),"")</f>
        <v/>
      </c>
      <c r="Q107" s="167" t="str">
        <f>IF(ISNUMBER(deployment_raw[[#This Row],[Column13]]), (MIN(IF(O107&lt;&gt;"",O107,9999999999999)*1.1,deployment_raw[[#This Row],[Column13]] * IF($E$2="Deployment",deployment_raw[[#This Row],[Column5]],1)*(1+$Q$2)/1048576)),"")</f>
        <v/>
      </c>
      <c r="R107" s="169" t="str">
        <f>IF(ISNUMBER(deployment_raw[[#This Row],[Column8]]), (H107  * IF(N107&lt;&gt;0,$R$2,1)),"")</f>
        <v/>
      </c>
      <c r="S107" s="170" t="str">
        <f>IF(ISNUMBER(deployment_raw[[#This Row],[Column8]]), (I107  * IF(O107&lt;&gt;0,$S$2,1)),"")</f>
        <v/>
      </c>
      <c r="T107" s="202" t="str">
        <f>IF(AND(A107&lt;&gt;"",_xlfn.IFNA(MATCH(A107,'dynamic resource application '!$A$2:$A$100, 0),0)&lt;&gt;0), H107/(IF($E$2="Deployment",E107,1)),"")</f>
        <v/>
      </c>
      <c r="U107" s="211" t="str">
        <f>IF(AND(A107&lt;&gt;"",_xlfn.IFNA(MATCH(A107,'dynamic resource application '!$A$2:$A$100, 0),0)&lt;&gt;0), I107/(IF($E$2="Deployment",E107,1)),"")</f>
        <v/>
      </c>
    </row>
    <row r="108" spans="1:21" ht="15.75" customHeight="1" x14ac:dyDescent="0.25">
      <c r="A108" s="35" t="str">
        <f>IF(ISNONTEXT(deployment_raw[[#This Row],[Column1]]), "", deployment_raw[[#This Row],[Column1]])</f>
        <v/>
      </c>
      <c r="B108" s="36" t="str">
        <f>IF(ISNONTEXT(deployment_raw[[#This Row],[Column2]]), "", deployment_raw[[#This Row],[Column2]])</f>
        <v/>
      </c>
      <c r="C108" s="36" t="str">
        <f>IF(ISNONTEXT(deployment_raw[[#This Row],[Column3]]), "", deployment_raw[[#This Row],[Column3]])</f>
        <v/>
      </c>
      <c r="D108" s="36" t="str">
        <f>IF(ISNONTEXT(deployment_raw[[#This Row],[Column4]]), "", deployment_raw[[#This Row],[Column4]])</f>
        <v/>
      </c>
      <c r="E108" s="37" t="str">
        <f>IF(ISNUMBER(deployment_raw[[#This Row],[Column5]]), deployment_raw[[#This Row],[Column5]],"")</f>
        <v/>
      </c>
      <c r="F108" s="94" t="str">
        <f>IF(ISNUMBER(deployment_raw[[#This Row],[Column6]]), (deployment_raw[[#This Row],[Column6]] * IF($E$2="Deployment",deployment_raw[[#This Row],[Column5]],1)),"")</f>
        <v/>
      </c>
      <c r="G108" s="95" t="str">
        <f>IF(ISNUMBER(deployment_raw[[#This Row],[Column7]]), (deployment_raw[[#This Row],[Column7]] * IF($E$2="Deployment",deployment_raw[[#This Row],[Column5]],1))/1048576,"")</f>
        <v/>
      </c>
      <c r="H108" s="95" t="str">
        <f>IF(ISNUMBER(deployment_raw[[#This Row],[Column8]]), (deployment_raw[[#This Row],[Column8]]  * IF($E$2="Deployment",deployment_raw[[#This Row],[Column5]],1)),"")</f>
        <v/>
      </c>
      <c r="I108" s="96" t="str">
        <f>IF(ISNUMBER(deployment_raw[[#This Row],[Column9]]), (deployment_raw[[#This Row],[Column9]] * IF($E$2="Deployment",deployment_raw[[#This Row],[Column5]],1))/1048576,"")</f>
        <v/>
      </c>
      <c r="J108" s="122" t="str">
        <f>IF(ISNUMBER(deployment_raw[[#This Row],[Column10]]), (MIN(IF(N108&lt;&gt;"",N108,9999999999999)*1.1,deployment_raw[[#This Row],[Column10]] * IF($E$2="Deployment",deployment_raw[[#This Row],[Column5]],1))),"")</f>
        <v/>
      </c>
      <c r="K108" s="123" t="str">
        <f>IF(ISNUMBER(deployment_raw[[#This Row],[Column11]]), (MIN(IF(O108&lt;&gt;"",O108,9999999999999)*1.1,deployment_raw[[#This Row],[Column11]] * IF($E$2="Deployment",deployment_raw[[#This Row],[Column5]],1)/1048576)),"")</f>
        <v/>
      </c>
      <c r="L108" s="124" t="str">
        <f>IF(ISNUMBER(deployment_raw[[#This Row],[Column8]]),IF(OR(deployment_raw[[#This Row],[Column5]] &lt;&gt; 0,$E$2 &lt;&gt; "Deployment"), MAX(J108, P108, R108, ($L$2 * IF($E$2="Deployment",deployment_raw[[#This Row],[Column5]],1)),IF(T108&lt;&gt;"",VALUE(T108) * IF($E$2="Deployment",deployment_raw[[#This Row],[Column5]],1),0)), 0),"")</f>
        <v/>
      </c>
      <c r="M108" s="125" t="str">
        <f>IF(ISNUMBER(deployment_raw[[#This Row],[Column9]]),IF(OR(deployment_raw[[#This Row],[Column5]] &lt;&gt; 0,$E$2&lt;&gt;"Deployment"), MAX(K108, Q108, S108, ($M$2 * IF($E$2="Deployment",deployment_raw[[#This Row],[Column5]],1)),IF(U108&lt;&gt;"",VALUE(U108) * IF($E$2="Deployment",deployment_raw[[#This Row],[Column5]],1),0)), 0),"")</f>
        <v/>
      </c>
      <c r="N108" s="166" t="str">
        <f>IF(ISNUMBER(deployment_raw[[#This Row],[Column14]]), deployment_raw[[#This Row],[Column14]]/IF(OR($E$2="Deployment",deployment_raw[[#This Row],[Column5]]=0),1,deployment_raw[[#This Row],[Column5]]),"")</f>
        <v/>
      </c>
      <c r="O108" s="167" t="str">
        <f>IF(ISNUMBER(deployment_raw[[#This Row],[Column15]]), deployment_raw[[#This Row],[Column15]]/IF(OR($E$2="Deployment",deployment_raw[[#This Row],[Column5]]=0),1,deployment_raw[[#This Row],[Column5]])/1048576,"")</f>
        <v/>
      </c>
      <c r="P108" s="168" t="str">
        <f>IF(ISNUMBER(deployment_raw[[#This Row],[Column12]]), (MIN(IF(N108&lt;&gt;"",N108,9999999999999)*1.1,deployment_raw[[#This Row],[Column12]] * IF($E$2="Deployment",deployment_raw[[#This Row],[Column5]],1))*(1+$P$2)),"")</f>
        <v/>
      </c>
      <c r="Q108" s="167" t="str">
        <f>IF(ISNUMBER(deployment_raw[[#This Row],[Column13]]), (MIN(IF(O108&lt;&gt;"",O108,9999999999999)*1.1,deployment_raw[[#This Row],[Column13]] * IF($E$2="Deployment",deployment_raw[[#This Row],[Column5]],1)*(1+$Q$2)/1048576)),"")</f>
        <v/>
      </c>
      <c r="R108" s="169" t="str">
        <f>IF(ISNUMBER(deployment_raw[[#This Row],[Column8]]), (H108  * IF(N108&lt;&gt;0,$R$2,1)),"")</f>
        <v/>
      </c>
      <c r="S108" s="170" t="str">
        <f>IF(ISNUMBER(deployment_raw[[#This Row],[Column8]]), (I108  * IF(O108&lt;&gt;0,$S$2,1)),"")</f>
        <v/>
      </c>
      <c r="T108" s="202" t="str">
        <f>IF(AND(A108&lt;&gt;"",_xlfn.IFNA(MATCH(A108,'dynamic resource application '!$A$2:$A$100, 0),0)&lt;&gt;0), H108/(IF($E$2="Deployment",E108,1)),"")</f>
        <v/>
      </c>
      <c r="U108" s="211" t="str">
        <f>IF(AND(A108&lt;&gt;"",_xlfn.IFNA(MATCH(A108,'dynamic resource application '!$A$2:$A$100, 0),0)&lt;&gt;0), I108/(IF($E$2="Deployment",E108,1)),"")</f>
        <v/>
      </c>
    </row>
    <row r="109" spans="1:21" ht="15.75" customHeight="1" x14ac:dyDescent="0.25">
      <c r="A109" s="35" t="str">
        <f>IF(ISNONTEXT(deployment_raw[[#This Row],[Column1]]), "", deployment_raw[[#This Row],[Column1]])</f>
        <v/>
      </c>
      <c r="B109" s="36" t="str">
        <f>IF(ISNONTEXT(deployment_raw[[#This Row],[Column2]]), "", deployment_raw[[#This Row],[Column2]])</f>
        <v/>
      </c>
      <c r="C109" s="36" t="str">
        <f>IF(ISNONTEXT(deployment_raw[[#This Row],[Column3]]), "", deployment_raw[[#This Row],[Column3]])</f>
        <v/>
      </c>
      <c r="D109" s="36" t="str">
        <f>IF(ISNONTEXT(deployment_raw[[#This Row],[Column4]]), "", deployment_raw[[#This Row],[Column4]])</f>
        <v/>
      </c>
      <c r="E109" s="37" t="str">
        <f>IF(ISNUMBER(deployment_raw[[#This Row],[Column5]]), deployment_raw[[#This Row],[Column5]],"")</f>
        <v/>
      </c>
      <c r="F109" s="94" t="str">
        <f>IF(ISNUMBER(deployment_raw[[#This Row],[Column6]]), (deployment_raw[[#This Row],[Column6]] * IF($E$2="Deployment",deployment_raw[[#This Row],[Column5]],1)),"")</f>
        <v/>
      </c>
      <c r="G109" s="95" t="str">
        <f>IF(ISNUMBER(deployment_raw[[#This Row],[Column7]]), (deployment_raw[[#This Row],[Column7]] * IF($E$2="Deployment",deployment_raw[[#This Row],[Column5]],1))/1048576,"")</f>
        <v/>
      </c>
      <c r="H109" s="95" t="str">
        <f>IF(ISNUMBER(deployment_raw[[#This Row],[Column8]]), (deployment_raw[[#This Row],[Column8]]  * IF($E$2="Deployment",deployment_raw[[#This Row],[Column5]],1)),"")</f>
        <v/>
      </c>
      <c r="I109" s="96" t="str">
        <f>IF(ISNUMBER(deployment_raw[[#This Row],[Column9]]), (deployment_raw[[#This Row],[Column9]] * IF($E$2="Deployment",deployment_raw[[#This Row],[Column5]],1))/1048576,"")</f>
        <v/>
      </c>
      <c r="J109" s="122" t="str">
        <f>IF(ISNUMBER(deployment_raw[[#This Row],[Column10]]), (MIN(IF(N109&lt;&gt;"",N109,9999999999999)*1.1,deployment_raw[[#This Row],[Column10]] * IF($E$2="Deployment",deployment_raw[[#This Row],[Column5]],1))),"")</f>
        <v/>
      </c>
      <c r="K109" s="123" t="str">
        <f>IF(ISNUMBER(deployment_raw[[#This Row],[Column11]]), (MIN(IF(O109&lt;&gt;"",O109,9999999999999)*1.1,deployment_raw[[#This Row],[Column11]] * IF($E$2="Deployment",deployment_raw[[#This Row],[Column5]],1)/1048576)),"")</f>
        <v/>
      </c>
      <c r="L109" s="124" t="str">
        <f>IF(ISNUMBER(deployment_raw[[#This Row],[Column8]]),IF(OR(deployment_raw[[#This Row],[Column5]] &lt;&gt; 0,$E$2 &lt;&gt; "Deployment"), MAX(J109, P109, R109, ($L$2 * IF($E$2="Deployment",deployment_raw[[#This Row],[Column5]],1)),IF(T109&lt;&gt;"",VALUE(T109) * IF($E$2="Deployment",deployment_raw[[#This Row],[Column5]],1),0)), 0),"")</f>
        <v/>
      </c>
      <c r="M109" s="125" t="str">
        <f>IF(ISNUMBER(deployment_raw[[#This Row],[Column9]]),IF(OR(deployment_raw[[#This Row],[Column5]] &lt;&gt; 0,$E$2&lt;&gt;"Deployment"), MAX(K109, Q109, S109, ($M$2 * IF($E$2="Deployment",deployment_raw[[#This Row],[Column5]],1)),IF(U109&lt;&gt;"",VALUE(U109) * IF($E$2="Deployment",deployment_raw[[#This Row],[Column5]],1),0)), 0),"")</f>
        <v/>
      </c>
      <c r="N109" s="166" t="str">
        <f>IF(ISNUMBER(deployment_raw[[#This Row],[Column14]]), deployment_raw[[#This Row],[Column14]]/IF(OR($E$2="Deployment",deployment_raw[[#This Row],[Column5]]=0),1,deployment_raw[[#This Row],[Column5]]),"")</f>
        <v/>
      </c>
      <c r="O109" s="167" t="str">
        <f>IF(ISNUMBER(deployment_raw[[#This Row],[Column15]]), deployment_raw[[#This Row],[Column15]]/IF(OR($E$2="Deployment",deployment_raw[[#This Row],[Column5]]=0),1,deployment_raw[[#This Row],[Column5]])/1048576,"")</f>
        <v/>
      </c>
      <c r="P109" s="168" t="str">
        <f>IF(ISNUMBER(deployment_raw[[#This Row],[Column12]]), (MIN(IF(N109&lt;&gt;"",N109,9999999999999)*1.1,deployment_raw[[#This Row],[Column12]] * IF($E$2="Deployment",deployment_raw[[#This Row],[Column5]],1))*(1+$P$2)),"")</f>
        <v/>
      </c>
      <c r="Q109" s="167" t="str">
        <f>IF(ISNUMBER(deployment_raw[[#This Row],[Column13]]), (MIN(IF(O109&lt;&gt;"",O109,9999999999999)*1.1,deployment_raw[[#This Row],[Column13]] * IF($E$2="Deployment",deployment_raw[[#This Row],[Column5]],1)*(1+$Q$2)/1048576)),"")</f>
        <v/>
      </c>
      <c r="R109" s="169" t="str">
        <f>IF(ISNUMBER(deployment_raw[[#This Row],[Column8]]), (H109  * IF(N109&lt;&gt;0,$R$2,1)),"")</f>
        <v/>
      </c>
      <c r="S109" s="170" t="str">
        <f>IF(ISNUMBER(deployment_raw[[#This Row],[Column8]]), (I109  * IF(O109&lt;&gt;0,$S$2,1)),"")</f>
        <v/>
      </c>
      <c r="T109" s="202" t="str">
        <f>IF(AND(A109&lt;&gt;"",_xlfn.IFNA(MATCH(A109,'dynamic resource application '!$A$2:$A$100, 0),0)&lt;&gt;0), H109/(IF($E$2="Deployment",E109,1)),"")</f>
        <v/>
      </c>
      <c r="U109" s="211" t="str">
        <f>IF(AND(A109&lt;&gt;"",_xlfn.IFNA(MATCH(A109,'dynamic resource application '!$A$2:$A$100, 0),0)&lt;&gt;0), I109/(IF($E$2="Deployment",E109,1)),"")</f>
        <v/>
      </c>
    </row>
    <row r="110" spans="1:21" ht="15.75" customHeight="1" x14ac:dyDescent="0.25">
      <c r="A110" s="35" t="str">
        <f>IF(ISNONTEXT(deployment_raw[[#This Row],[Column1]]), "", deployment_raw[[#This Row],[Column1]])</f>
        <v/>
      </c>
      <c r="B110" s="36" t="str">
        <f>IF(ISNONTEXT(deployment_raw[[#This Row],[Column2]]), "", deployment_raw[[#This Row],[Column2]])</f>
        <v/>
      </c>
      <c r="C110" s="36" t="str">
        <f>IF(ISNONTEXT(deployment_raw[[#This Row],[Column3]]), "", deployment_raw[[#This Row],[Column3]])</f>
        <v/>
      </c>
      <c r="D110" s="36" t="str">
        <f>IF(ISNONTEXT(deployment_raw[[#This Row],[Column4]]), "", deployment_raw[[#This Row],[Column4]])</f>
        <v/>
      </c>
      <c r="E110" s="37" t="str">
        <f>IF(ISNUMBER(deployment_raw[[#This Row],[Column5]]), deployment_raw[[#This Row],[Column5]],"")</f>
        <v/>
      </c>
      <c r="F110" s="94" t="str">
        <f>IF(ISNUMBER(deployment_raw[[#This Row],[Column6]]), (deployment_raw[[#This Row],[Column6]] * IF($E$2="Deployment",deployment_raw[[#This Row],[Column5]],1)),"")</f>
        <v/>
      </c>
      <c r="G110" s="95" t="str">
        <f>IF(ISNUMBER(deployment_raw[[#This Row],[Column7]]), (deployment_raw[[#This Row],[Column7]] * IF($E$2="Deployment",deployment_raw[[#This Row],[Column5]],1))/1048576,"")</f>
        <v/>
      </c>
      <c r="H110" s="95" t="str">
        <f>IF(ISNUMBER(deployment_raw[[#This Row],[Column8]]), (deployment_raw[[#This Row],[Column8]]  * IF($E$2="Deployment",deployment_raw[[#This Row],[Column5]],1)),"")</f>
        <v/>
      </c>
      <c r="I110" s="96" t="str">
        <f>IF(ISNUMBER(deployment_raw[[#This Row],[Column9]]), (deployment_raw[[#This Row],[Column9]] * IF($E$2="Deployment",deployment_raw[[#This Row],[Column5]],1))/1048576,"")</f>
        <v/>
      </c>
      <c r="J110" s="122" t="str">
        <f>IF(ISNUMBER(deployment_raw[[#This Row],[Column10]]), (MIN(IF(N110&lt;&gt;"",N110,9999999999999)*1.1,deployment_raw[[#This Row],[Column10]] * IF($E$2="Deployment",deployment_raw[[#This Row],[Column5]],1))),"")</f>
        <v/>
      </c>
      <c r="K110" s="123" t="str">
        <f>IF(ISNUMBER(deployment_raw[[#This Row],[Column11]]), (MIN(IF(O110&lt;&gt;"",O110,9999999999999)*1.1,deployment_raw[[#This Row],[Column11]] * IF($E$2="Deployment",deployment_raw[[#This Row],[Column5]],1)/1048576)),"")</f>
        <v/>
      </c>
      <c r="L110" s="124" t="str">
        <f>IF(ISNUMBER(deployment_raw[[#This Row],[Column8]]),IF(OR(deployment_raw[[#This Row],[Column5]] &lt;&gt; 0,$E$2 &lt;&gt; "Deployment"), MAX(J110, P110, R110, ($L$2 * IF($E$2="Deployment",deployment_raw[[#This Row],[Column5]],1)),IF(T110&lt;&gt;"",VALUE(T110) * IF($E$2="Deployment",deployment_raw[[#This Row],[Column5]],1),0)), 0),"")</f>
        <v/>
      </c>
      <c r="M110" s="125" t="str">
        <f>IF(ISNUMBER(deployment_raw[[#This Row],[Column9]]),IF(OR(deployment_raw[[#This Row],[Column5]] &lt;&gt; 0,$E$2&lt;&gt;"Deployment"), MAX(K110, Q110, S110, ($M$2 * IF($E$2="Deployment",deployment_raw[[#This Row],[Column5]],1)),IF(U110&lt;&gt;"",VALUE(U110) * IF($E$2="Deployment",deployment_raw[[#This Row],[Column5]],1),0)), 0),"")</f>
        <v/>
      </c>
      <c r="N110" s="166" t="str">
        <f>IF(ISNUMBER(deployment_raw[[#This Row],[Column14]]), deployment_raw[[#This Row],[Column14]]/IF(OR($E$2="Deployment",deployment_raw[[#This Row],[Column5]]=0),1,deployment_raw[[#This Row],[Column5]]),"")</f>
        <v/>
      </c>
      <c r="O110" s="167" t="str">
        <f>IF(ISNUMBER(deployment_raw[[#This Row],[Column15]]), deployment_raw[[#This Row],[Column15]]/IF(OR($E$2="Deployment",deployment_raw[[#This Row],[Column5]]=0),1,deployment_raw[[#This Row],[Column5]])/1048576,"")</f>
        <v/>
      </c>
      <c r="P110" s="168" t="str">
        <f>IF(ISNUMBER(deployment_raw[[#This Row],[Column12]]), (MIN(IF(N110&lt;&gt;"",N110,9999999999999)*1.1,deployment_raw[[#This Row],[Column12]] * IF($E$2="Deployment",deployment_raw[[#This Row],[Column5]],1))*(1+$P$2)),"")</f>
        <v/>
      </c>
      <c r="Q110" s="167" t="str">
        <f>IF(ISNUMBER(deployment_raw[[#This Row],[Column13]]), (MIN(IF(O110&lt;&gt;"",O110,9999999999999)*1.1,deployment_raw[[#This Row],[Column13]] * IF($E$2="Deployment",deployment_raw[[#This Row],[Column5]],1)*(1+$Q$2)/1048576)),"")</f>
        <v/>
      </c>
      <c r="R110" s="169" t="str">
        <f>IF(ISNUMBER(deployment_raw[[#This Row],[Column8]]), (H110  * IF(N110&lt;&gt;0,$R$2,1)),"")</f>
        <v/>
      </c>
      <c r="S110" s="170" t="str">
        <f>IF(ISNUMBER(deployment_raw[[#This Row],[Column8]]), (I110  * IF(O110&lt;&gt;0,$S$2,1)),"")</f>
        <v/>
      </c>
      <c r="T110" s="202" t="str">
        <f>IF(AND(A110&lt;&gt;"",_xlfn.IFNA(MATCH(A110,'dynamic resource application '!$A$2:$A$100, 0),0)&lt;&gt;0), H110/(IF($E$2="Deployment",E110,1)),"")</f>
        <v/>
      </c>
      <c r="U110" s="211" t="str">
        <f>IF(AND(A110&lt;&gt;"",_xlfn.IFNA(MATCH(A110,'dynamic resource application '!$A$2:$A$100, 0),0)&lt;&gt;0), I110/(IF($E$2="Deployment",E110,1)),"")</f>
        <v/>
      </c>
    </row>
    <row r="111" spans="1:21" ht="15.75" customHeight="1" x14ac:dyDescent="0.25">
      <c r="A111" s="35" t="str">
        <f>IF(ISNONTEXT(deployment_raw[[#This Row],[Column1]]), "", deployment_raw[[#This Row],[Column1]])</f>
        <v/>
      </c>
      <c r="B111" s="36" t="str">
        <f>IF(ISNONTEXT(deployment_raw[[#This Row],[Column2]]), "", deployment_raw[[#This Row],[Column2]])</f>
        <v/>
      </c>
      <c r="C111" s="36" t="str">
        <f>IF(ISNONTEXT(deployment_raw[[#This Row],[Column3]]), "", deployment_raw[[#This Row],[Column3]])</f>
        <v/>
      </c>
      <c r="D111" s="36" t="str">
        <f>IF(ISNONTEXT(deployment_raw[[#This Row],[Column4]]), "", deployment_raw[[#This Row],[Column4]])</f>
        <v/>
      </c>
      <c r="E111" s="37" t="str">
        <f>IF(ISNUMBER(deployment_raw[[#This Row],[Column5]]), deployment_raw[[#This Row],[Column5]],"")</f>
        <v/>
      </c>
      <c r="F111" s="94" t="str">
        <f>IF(ISNUMBER(deployment_raw[[#This Row],[Column6]]), (deployment_raw[[#This Row],[Column6]] * IF($E$2="Deployment",deployment_raw[[#This Row],[Column5]],1)),"")</f>
        <v/>
      </c>
      <c r="G111" s="95" t="str">
        <f>IF(ISNUMBER(deployment_raw[[#This Row],[Column7]]), (deployment_raw[[#This Row],[Column7]] * IF($E$2="Deployment",deployment_raw[[#This Row],[Column5]],1))/1048576,"")</f>
        <v/>
      </c>
      <c r="H111" s="95" t="str">
        <f>IF(ISNUMBER(deployment_raw[[#This Row],[Column8]]), (deployment_raw[[#This Row],[Column8]]  * IF($E$2="Deployment",deployment_raw[[#This Row],[Column5]],1)),"")</f>
        <v/>
      </c>
      <c r="I111" s="96" t="str">
        <f>IF(ISNUMBER(deployment_raw[[#This Row],[Column9]]), (deployment_raw[[#This Row],[Column9]] * IF($E$2="Deployment",deployment_raw[[#This Row],[Column5]],1))/1048576,"")</f>
        <v/>
      </c>
      <c r="J111" s="122" t="str">
        <f>IF(ISNUMBER(deployment_raw[[#This Row],[Column10]]), (MIN(IF(N111&lt;&gt;"",N111,9999999999999)*1.1,deployment_raw[[#This Row],[Column10]] * IF($E$2="Deployment",deployment_raw[[#This Row],[Column5]],1))),"")</f>
        <v/>
      </c>
      <c r="K111" s="123" t="str">
        <f>IF(ISNUMBER(deployment_raw[[#This Row],[Column11]]), (MIN(IF(O111&lt;&gt;"",O111,9999999999999)*1.1,deployment_raw[[#This Row],[Column11]] * IF($E$2="Deployment",deployment_raw[[#This Row],[Column5]],1)/1048576)),"")</f>
        <v/>
      </c>
      <c r="L111" s="124" t="str">
        <f>IF(ISNUMBER(deployment_raw[[#This Row],[Column8]]),IF(OR(deployment_raw[[#This Row],[Column5]] &lt;&gt; 0,$E$2 &lt;&gt; "Deployment"), MAX(J111, P111, R111, ($L$2 * IF($E$2="Deployment",deployment_raw[[#This Row],[Column5]],1)),IF(T111&lt;&gt;"",VALUE(T111) * IF($E$2="Deployment",deployment_raw[[#This Row],[Column5]],1),0)), 0),"")</f>
        <v/>
      </c>
      <c r="M111" s="125" t="str">
        <f>IF(ISNUMBER(deployment_raw[[#This Row],[Column9]]),IF(OR(deployment_raw[[#This Row],[Column5]] &lt;&gt; 0,$E$2&lt;&gt;"Deployment"), MAX(K111, Q111, S111, ($M$2 * IF($E$2="Deployment",deployment_raw[[#This Row],[Column5]],1)),IF(U111&lt;&gt;"",VALUE(U111) * IF($E$2="Deployment",deployment_raw[[#This Row],[Column5]],1),0)), 0),"")</f>
        <v/>
      </c>
      <c r="N111" s="166" t="str">
        <f>IF(ISNUMBER(deployment_raw[[#This Row],[Column14]]), deployment_raw[[#This Row],[Column14]]/IF(OR($E$2="Deployment",deployment_raw[[#This Row],[Column5]]=0),1,deployment_raw[[#This Row],[Column5]]),"")</f>
        <v/>
      </c>
      <c r="O111" s="167" t="str">
        <f>IF(ISNUMBER(deployment_raw[[#This Row],[Column15]]), deployment_raw[[#This Row],[Column15]]/IF(OR($E$2="Deployment",deployment_raw[[#This Row],[Column5]]=0),1,deployment_raw[[#This Row],[Column5]])/1048576,"")</f>
        <v/>
      </c>
      <c r="P111" s="168" t="str">
        <f>IF(ISNUMBER(deployment_raw[[#This Row],[Column12]]), (MIN(IF(N111&lt;&gt;"",N111,9999999999999)*1.1,deployment_raw[[#This Row],[Column12]] * IF($E$2="Deployment",deployment_raw[[#This Row],[Column5]],1))*(1+$P$2)),"")</f>
        <v/>
      </c>
      <c r="Q111" s="167" t="str">
        <f>IF(ISNUMBER(deployment_raw[[#This Row],[Column13]]), (MIN(IF(O111&lt;&gt;"",O111,9999999999999)*1.1,deployment_raw[[#This Row],[Column13]] * IF($E$2="Deployment",deployment_raw[[#This Row],[Column5]],1)*(1+$Q$2)/1048576)),"")</f>
        <v/>
      </c>
      <c r="R111" s="169" t="str">
        <f>IF(ISNUMBER(deployment_raw[[#This Row],[Column8]]), (H111  * IF(N111&lt;&gt;0,$R$2,1)),"")</f>
        <v/>
      </c>
      <c r="S111" s="170" t="str">
        <f>IF(ISNUMBER(deployment_raw[[#This Row],[Column8]]), (I111  * IF(O111&lt;&gt;0,$S$2,1)),"")</f>
        <v/>
      </c>
      <c r="T111" s="202" t="str">
        <f>IF(AND(A111&lt;&gt;"",_xlfn.IFNA(MATCH(A111,'dynamic resource application '!$A$2:$A$100, 0),0)&lt;&gt;0), H111/(IF($E$2="Deployment",E111,1)),"")</f>
        <v/>
      </c>
      <c r="U111" s="211" t="str">
        <f>IF(AND(A111&lt;&gt;"",_xlfn.IFNA(MATCH(A111,'dynamic resource application '!$A$2:$A$100, 0),0)&lt;&gt;0), I111/(IF($E$2="Deployment",E111,1)),"")</f>
        <v/>
      </c>
    </row>
    <row r="112" spans="1:21" ht="15.75" customHeight="1" x14ac:dyDescent="0.25">
      <c r="A112" s="35" t="str">
        <f>IF(ISNONTEXT(deployment_raw[[#This Row],[Column1]]), "", deployment_raw[[#This Row],[Column1]])</f>
        <v/>
      </c>
      <c r="B112" s="36" t="str">
        <f>IF(ISNONTEXT(deployment_raw[[#This Row],[Column2]]), "", deployment_raw[[#This Row],[Column2]])</f>
        <v/>
      </c>
      <c r="C112" s="36" t="str">
        <f>IF(ISNONTEXT(deployment_raw[[#This Row],[Column3]]), "", deployment_raw[[#This Row],[Column3]])</f>
        <v/>
      </c>
      <c r="D112" s="36" t="str">
        <f>IF(ISNONTEXT(deployment_raw[[#This Row],[Column4]]), "", deployment_raw[[#This Row],[Column4]])</f>
        <v/>
      </c>
      <c r="E112" s="37" t="str">
        <f>IF(ISNUMBER(deployment_raw[[#This Row],[Column5]]), deployment_raw[[#This Row],[Column5]],"")</f>
        <v/>
      </c>
      <c r="F112" s="94" t="str">
        <f>IF(ISNUMBER(deployment_raw[[#This Row],[Column6]]), (deployment_raw[[#This Row],[Column6]] * IF($E$2="Deployment",deployment_raw[[#This Row],[Column5]],1)),"")</f>
        <v/>
      </c>
      <c r="G112" s="95" t="str">
        <f>IF(ISNUMBER(deployment_raw[[#This Row],[Column7]]), (deployment_raw[[#This Row],[Column7]] * IF($E$2="Deployment",deployment_raw[[#This Row],[Column5]],1))/1048576,"")</f>
        <v/>
      </c>
      <c r="H112" s="95" t="str">
        <f>IF(ISNUMBER(deployment_raw[[#This Row],[Column8]]), (deployment_raw[[#This Row],[Column8]]  * IF($E$2="Deployment",deployment_raw[[#This Row],[Column5]],1)),"")</f>
        <v/>
      </c>
      <c r="I112" s="96" t="str">
        <f>IF(ISNUMBER(deployment_raw[[#This Row],[Column9]]), (deployment_raw[[#This Row],[Column9]] * IF($E$2="Deployment",deployment_raw[[#This Row],[Column5]],1))/1048576,"")</f>
        <v/>
      </c>
      <c r="J112" s="122" t="str">
        <f>IF(ISNUMBER(deployment_raw[[#This Row],[Column10]]), (MIN(IF(N112&lt;&gt;"",N112,9999999999999)*1.1,deployment_raw[[#This Row],[Column10]] * IF($E$2="Deployment",deployment_raw[[#This Row],[Column5]],1))),"")</f>
        <v/>
      </c>
      <c r="K112" s="123" t="str">
        <f>IF(ISNUMBER(deployment_raw[[#This Row],[Column11]]), (MIN(IF(O112&lt;&gt;"",O112,9999999999999)*1.1,deployment_raw[[#This Row],[Column11]] * IF($E$2="Deployment",deployment_raw[[#This Row],[Column5]],1)/1048576)),"")</f>
        <v/>
      </c>
      <c r="L112" s="124" t="str">
        <f>IF(ISNUMBER(deployment_raw[[#This Row],[Column8]]),IF(OR(deployment_raw[[#This Row],[Column5]] &lt;&gt; 0,$E$2 &lt;&gt; "Deployment"), MAX(J112, P112, R112, ($L$2 * IF($E$2="Deployment",deployment_raw[[#This Row],[Column5]],1)),IF(T112&lt;&gt;"",VALUE(T112) * IF($E$2="Deployment",deployment_raw[[#This Row],[Column5]],1),0)), 0),"")</f>
        <v/>
      </c>
      <c r="M112" s="125" t="str">
        <f>IF(ISNUMBER(deployment_raw[[#This Row],[Column9]]),IF(OR(deployment_raw[[#This Row],[Column5]] &lt;&gt; 0,$E$2&lt;&gt;"Deployment"), MAX(K112, Q112, S112, ($M$2 * IF($E$2="Deployment",deployment_raw[[#This Row],[Column5]],1)),IF(U112&lt;&gt;"",VALUE(U112) * IF($E$2="Deployment",deployment_raw[[#This Row],[Column5]],1),0)), 0),"")</f>
        <v/>
      </c>
      <c r="N112" s="166" t="str">
        <f>IF(ISNUMBER(deployment_raw[[#This Row],[Column14]]), deployment_raw[[#This Row],[Column14]]/IF(OR($E$2="Deployment",deployment_raw[[#This Row],[Column5]]=0),1,deployment_raw[[#This Row],[Column5]]),"")</f>
        <v/>
      </c>
      <c r="O112" s="167" t="str">
        <f>IF(ISNUMBER(deployment_raw[[#This Row],[Column15]]), deployment_raw[[#This Row],[Column15]]/IF(OR($E$2="Deployment",deployment_raw[[#This Row],[Column5]]=0),1,deployment_raw[[#This Row],[Column5]])/1048576,"")</f>
        <v/>
      </c>
      <c r="P112" s="168" t="str">
        <f>IF(ISNUMBER(deployment_raw[[#This Row],[Column12]]), (MIN(IF(N112&lt;&gt;"",N112,9999999999999)*1.1,deployment_raw[[#This Row],[Column12]] * IF($E$2="Deployment",deployment_raw[[#This Row],[Column5]],1))*(1+$P$2)),"")</f>
        <v/>
      </c>
      <c r="Q112" s="167" t="str">
        <f>IF(ISNUMBER(deployment_raw[[#This Row],[Column13]]), (MIN(IF(O112&lt;&gt;"",O112,9999999999999)*1.1,deployment_raw[[#This Row],[Column13]] * IF($E$2="Deployment",deployment_raw[[#This Row],[Column5]],1)*(1+$Q$2)/1048576)),"")</f>
        <v/>
      </c>
      <c r="R112" s="169" t="str">
        <f>IF(ISNUMBER(deployment_raw[[#This Row],[Column8]]), (H112  * IF(N112&lt;&gt;0,$R$2,1)),"")</f>
        <v/>
      </c>
      <c r="S112" s="170" t="str">
        <f>IF(ISNUMBER(deployment_raw[[#This Row],[Column8]]), (I112  * IF(O112&lt;&gt;0,$S$2,1)),"")</f>
        <v/>
      </c>
      <c r="T112" s="202" t="str">
        <f>IF(AND(A112&lt;&gt;"",_xlfn.IFNA(MATCH(A112,'dynamic resource application '!$A$2:$A$100, 0),0)&lt;&gt;0), H112/(IF($E$2="Deployment",E112,1)),"")</f>
        <v/>
      </c>
      <c r="U112" s="211" t="str">
        <f>IF(AND(A112&lt;&gt;"",_xlfn.IFNA(MATCH(A112,'dynamic resource application '!$A$2:$A$100, 0),0)&lt;&gt;0), I112/(IF($E$2="Deployment",E112,1)),"")</f>
        <v/>
      </c>
    </row>
    <row r="113" spans="1:21" ht="15.75" customHeight="1" x14ac:dyDescent="0.25">
      <c r="A113" s="35" t="str">
        <f>IF(ISNONTEXT(deployment_raw[[#This Row],[Column1]]), "", deployment_raw[[#This Row],[Column1]])</f>
        <v/>
      </c>
      <c r="B113" s="36" t="str">
        <f>IF(ISNONTEXT(deployment_raw[[#This Row],[Column2]]), "", deployment_raw[[#This Row],[Column2]])</f>
        <v/>
      </c>
      <c r="C113" s="36" t="str">
        <f>IF(ISNONTEXT(deployment_raw[[#This Row],[Column3]]), "", deployment_raw[[#This Row],[Column3]])</f>
        <v/>
      </c>
      <c r="D113" s="36" t="str">
        <f>IF(ISNONTEXT(deployment_raw[[#This Row],[Column4]]), "", deployment_raw[[#This Row],[Column4]])</f>
        <v/>
      </c>
      <c r="E113" s="37" t="str">
        <f>IF(ISNUMBER(deployment_raw[[#This Row],[Column5]]), deployment_raw[[#This Row],[Column5]],"")</f>
        <v/>
      </c>
      <c r="F113" s="94" t="str">
        <f>IF(ISNUMBER(deployment_raw[[#This Row],[Column6]]), (deployment_raw[[#This Row],[Column6]] * IF($E$2="Deployment",deployment_raw[[#This Row],[Column5]],1)),"")</f>
        <v/>
      </c>
      <c r="G113" s="95" t="str">
        <f>IF(ISNUMBER(deployment_raw[[#This Row],[Column7]]), (deployment_raw[[#This Row],[Column7]] * IF($E$2="Deployment",deployment_raw[[#This Row],[Column5]],1))/1048576,"")</f>
        <v/>
      </c>
      <c r="H113" s="95" t="str">
        <f>IF(ISNUMBER(deployment_raw[[#This Row],[Column8]]), (deployment_raw[[#This Row],[Column8]]  * IF($E$2="Deployment",deployment_raw[[#This Row],[Column5]],1)),"")</f>
        <v/>
      </c>
      <c r="I113" s="96" t="str">
        <f>IF(ISNUMBER(deployment_raw[[#This Row],[Column9]]), (deployment_raw[[#This Row],[Column9]] * IF($E$2="Deployment",deployment_raw[[#This Row],[Column5]],1))/1048576,"")</f>
        <v/>
      </c>
      <c r="J113" s="122" t="str">
        <f>IF(ISNUMBER(deployment_raw[[#This Row],[Column10]]), (MIN(IF(N113&lt;&gt;"",N113,9999999999999)*1.1,deployment_raw[[#This Row],[Column10]] * IF($E$2="Deployment",deployment_raw[[#This Row],[Column5]],1))),"")</f>
        <v/>
      </c>
      <c r="K113" s="123" t="str">
        <f>IF(ISNUMBER(deployment_raw[[#This Row],[Column11]]), (MIN(IF(O113&lt;&gt;"",O113,9999999999999)*1.1,deployment_raw[[#This Row],[Column11]] * IF($E$2="Deployment",deployment_raw[[#This Row],[Column5]],1)/1048576)),"")</f>
        <v/>
      </c>
      <c r="L113" s="124" t="str">
        <f>IF(ISNUMBER(deployment_raw[[#This Row],[Column8]]),IF(OR(deployment_raw[[#This Row],[Column5]] &lt;&gt; 0,$E$2 &lt;&gt; "Deployment"), MAX(J113, P113, R113, ($L$2 * IF($E$2="Deployment",deployment_raw[[#This Row],[Column5]],1)),IF(T113&lt;&gt;"",VALUE(T113) * IF($E$2="Deployment",deployment_raw[[#This Row],[Column5]],1),0)), 0),"")</f>
        <v/>
      </c>
      <c r="M113" s="125" t="str">
        <f>IF(ISNUMBER(deployment_raw[[#This Row],[Column9]]),IF(OR(deployment_raw[[#This Row],[Column5]] &lt;&gt; 0,$E$2&lt;&gt;"Deployment"), MAX(K113, Q113, S113, ($M$2 * IF($E$2="Deployment",deployment_raw[[#This Row],[Column5]],1)),IF(U113&lt;&gt;"",VALUE(U113) * IF($E$2="Deployment",deployment_raw[[#This Row],[Column5]],1),0)), 0),"")</f>
        <v/>
      </c>
      <c r="N113" s="166" t="str">
        <f>IF(ISNUMBER(deployment_raw[[#This Row],[Column14]]), deployment_raw[[#This Row],[Column14]]/IF(OR($E$2="Deployment",deployment_raw[[#This Row],[Column5]]=0),1,deployment_raw[[#This Row],[Column5]]),"")</f>
        <v/>
      </c>
      <c r="O113" s="167" t="str">
        <f>IF(ISNUMBER(deployment_raw[[#This Row],[Column15]]), deployment_raw[[#This Row],[Column15]]/IF(OR($E$2="Deployment",deployment_raw[[#This Row],[Column5]]=0),1,deployment_raw[[#This Row],[Column5]])/1048576,"")</f>
        <v/>
      </c>
      <c r="P113" s="168" t="str">
        <f>IF(ISNUMBER(deployment_raw[[#This Row],[Column12]]), (MIN(IF(N113&lt;&gt;"",N113,9999999999999)*1.1,deployment_raw[[#This Row],[Column12]] * IF($E$2="Deployment",deployment_raw[[#This Row],[Column5]],1))*(1+$P$2)),"")</f>
        <v/>
      </c>
      <c r="Q113" s="167" t="str">
        <f>IF(ISNUMBER(deployment_raw[[#This Row],[Column13]]), (MIN(IF(O113&lt;&gt;"",O113,9999999999999)*1.1,deployment_raw[[#This Row],[Column13]] * IF($E$2="Deployment",deployment_raw[[#This Row],[Column5]],1)*(1+$Q$2)/1048576)),"")</f>
        <v/>
      </c>
      <c r="R113" s="169" t="str">
        <f>IF(ISNUMBER(deployment_raw[[#This Row],[Column8]]), (H113  * IF(N113&lt;&gt;0,$R$2,1)),"")</f>
        <v/>
      </c>
      <c r="S113" s="170" t="str">
        <f>IF(ISNUMBER(deployment_raw[[#This Row],[Column8]]), (I113  * IF(O113&lt;&gt;0,$S$2,1)),"")</f>
        <v/>
      </c>
      <c r="T113" s="202" t="str">
        <f>IF(AND(A113&lt;&gt;"",_xlfn.IFNA(MATCH(A113,'dynamic resource application '!$A$2:$A$100, 0),0)&lt;&gt;0), H113/(IF($E$2="Deployment",E113,1)),"")</f>
        <v/>
      </c>
      <c r="U113" s="211" t="str">
        <f>IF(AND(A113&lt;&gt;"",_xlfn.IFNA(MATCH(A113,'dynamic resource application '!$A$2:$A$100, 0),0)&lt;&gt;0), I113/(IF($E$2="Deployment",E113,1)),"")</f>
        <v/>
      </c>
    </row>
    <row r="114" spans="1:21" ht="15.75" customHeight="1" x14ac:dyDescent="0.25">
      <c r="A114" s="35" t="str">
        <f>IF(ISNONTEXT(deployment_raw[[#This Row],[Column1]]), "", deployment_raw[[#This Row],[Column1]])</f>
        <v/>
      </c>
      <c r="B114" s="36" t="str">
        <f>IF(ISNONTEXT(deployment_raw[[#This Row],[Column2]]), "", deployment_raw[[#This Row],[Column2]])</f>
        <v/>
      </c>
      <c r="C114" s="36" t="str">
        <f>IF(ISNONTEXT(deployment_raw[[#This Row],[Column3]]), "", deployment_raw[[#This Row],[Column3]])</f>
        <v/>
      </c>
      <c r="D114" s="36" t="str">
        <f>IF(ISNONTEXT(deployment_raw[[#This Row],[Column4]]), "", deployment_raw[[#This Row],[Column4]])</f>
        <v/>
      </c>
      <c r="E114" s="37" t="str">
        <f>IF(ISNUMBER(deployment_raw[[#This Row],[Column5]]), deployment_raw[[#This Row],[Column5]],"")</f>
        <v/>
      </c>
      <c r="F114" s="94" t="str">
        <f>IF(ISNUMBER(deployment_raw[[#This Row],[Column6]]), (deployment_raw[[#This Row],[Column6]] * IF($E$2="Deployment",deployment_raw[[#This Row],[Column5]],1)),"")</f>
        <v/>
      </c>
      <c r="G114" s="95" t="str">
        <f>IF(ISNUMBER(deployment_raw[[#This Row],[Column7]]), (deployment_raw[[#This Row],[Column7]] * IF($E$2="Deployment",deployment_raw[[#This Row],[Column5]],1))/1048576,"")</f>
        <v/>
      </c>
      <c r="H114" s="95" t="str">
        <f>IF(ISNUMBER(deployment_raw[[#This Row],[Column8]]), (deployment_raw[[#This Row],[Column8]]  * IF($E$2="Deployment",deployment_raw[[#This Row],[Column5]],1)),"")</f>
        <v/>
      </c>
      <c r="I114" s="96" t="str">
        <f>IF(ISNUMBER(deployment_raw[[#This Row],[Column9]]), (deployment_raw[[#This Row],[Column9]] * IF($E$2="Deployment",deployment_raw[[#This Row],[Column5]],1))/1048576,"")</f>
        <v/>
      </c>
      <c r="J114" s="122" t="str">
        <f>IF(ISNUMBER(deployment_raw[[#This Row],[Column10]]), (MIN(IF(N114&lt;&gt;"",N114,9999999999999)*1.1,deployment_raw[[#This Row],[Column10]] * IF($E$2="Deployment",deployment_raw[[#This Row],[Column5]],1))),"")</f>
        <v/>
      </c>
      <c r="K114" s="123" t="str">
        <f>IF(ISNUMBER(deployment_raw[[#This Row],[Column11]]), (MIN(IF(O114&lt;&gt;"",O114,9999999999999)*1.1,deployment_raw[[#This Row],[Column11]] * IF($E$2="Deployment",deployment_raw[[#This Row],[Column5]],1)/1048576)),"")</f>
        <v/>
      </c>
      <c r="L114" s="124" t="str">
        <f>IF(ISNUMBER(deployment_raw[[#This Row],[Column8]]),IF(OR(deployment_raw[[#This Row],[Column5]] &lt;&gt; 0,$E$2 &lt;&gt; "Deployment"), MAX(J114, P114, R114, ($L$2 * IF($E$2="Deployment",deployment_raw[[#This Row],[Column5]],1)),IF(T114&lt;&gt;"",VALUE(T114) * IF($E$2="Deployment",deployment_raw[[#This Row],[Column5]],1),0)), 0),"")</f>
        <v/>
      </c>
      <c r="M114" s="125" t="str">
        <f>IF(ISNUMBER(deployment_raw[[#This Row],[Column9]]),IF(OR(deployment_raw[[#This Row],[Column5]] &lt;&gt; 0,$E$2&lt;&gt;"Deployment"), MAX(K114, Q114, S114, ($M$2 * IF($E$2="Deployment",deployment_raw[[#This Row],[Column5]],1)),IF(U114&lt;&gt;"",VALUE(U114) * IF($E$2="Deployment",deployment_raw[[#This Row],[Column5]],1),0)), 0),"")</f>
        <v/>
      </c>
      <c r="N114" s="166" t="str">
        <f>IF(ISNUMBER(deployment_raw[[#This Row],[Column14]]), deployment_raw[[#This Row],[Column14]]/IF(OR($E$2="Deployment",deployment_raw[[#This Row],[Column5]]=0),1,deployment_raw[[#This Row],[Column5]]),"")</f>
        <v/>
      </c>
      <c r="O114" s="167" t="str">
        <f>IF(ISNUMBER(deployment_raw[[#This Row],[Column15]]), deployment_raw[[#This Row],[Column15]]/IF(OR($E$2="Deployment",deployment_raw[[#This Row],[Column5]]=0),1,deployment_raw[[#This Row],[Column5]])/1048576,"")</f>
        <v/>
      </c>
      <c r="P114" s="168" t="str">
        <f>IF(ISNUMBER(deployment_raw[[#This Row],[Column12]]), (MIN(IF(N114&lt;&gt;"",N114,9999999999999)*1.1,deployment_raw[[#This Row],[Column12]] * IF($E$2="Deployment",deployment_raw[[#This Row],[Column5]],1))*(1+$P$2)),"")</f>
        <v/>
      </c>
      <c r="Q114" s="167" t="str">
        <f>IF(ISNUMBER(deployment_raw[[#This Row],[Column13]]), (MIN(IF(O114&lt;&gt;"",O114,9999999999999)*1.1,deployment_raw[[#This Row],[Column13]] * IF($E$2="Deployment",deployment_raw[[#This Row],[Column5]],1)*(1+$Q$2)/1048576)),"")</f>
        <v/>
      </c>
      <c r="R114" s="169" t="str">
        <f>IF(ISNUMBER(deployment_raw[[#This Row],[Column8]]), (H114  * IF(N114&lt;&gt;0,$R$2,1)),"")</f>
        <v/>
      </c>
      <c r="S114" s="170" t="str">
        <f>IF(ISNUMBER(deployment_raw[[#This Row],[Column8]]), (I114  * IF(O114&lt;&gt;0,$S$2,1)),"")</f>
        <v/>
      </c>
      <c r="T114" s="202" t="str">
        <f>IF(AND(A114&lt;&gt;"",_xlfn.IFNA(MATCH(A114,'dynamic resource application '!$A$2:$A$100, 0),0)&lt;&gt;0), H114/(IF($E$2="Deployment",E114,1)),"")</f>
        <v/>
      </c>
      <c r="U114" s="211" t="str">
        <f>IF(AND(A114&lt;&gt;"",_xlfn.IFNA(MATCH(A114,'dynamic resource application '!$A$2:$A$100, 0),0)&lt;&gt;0), I114/(IF($E$2="Deployment",E114,1)),"")</f>
        <v/>
      </c>
    </row>
    <row r="115" spans="1:21" ht="15.75" customHeight="1" x14ac:dyDescent="0.25">
      <c r="A115" s="35" t="str">
        <f>IF(ISNONTEXT(deployment_raw[[#This Row],[Column1]]), "", deployment_raw[[#This Row],[Column1]])</f>
        <v/>
      </c>
      <c r="B115" s="36" t="str">
        <f>IF(ISNONTEXT(deployment_raw[[#This Row],[Column2]]), "", deployment_raw[[#This Row],[Column2]])</f>
        <v/>
      </c>
      <c r="C115" s="36" t="str">
        <f>IF(ISNONTEXT(deployment_raw[[#This Row],[Column3]]), "", deployment_raw[[#This Row],[Column3]])</f>
        <v/>
      </c>
      <c r="D115" s="36" t="str">
        <f>IF(ISNONTEXT(deployment_raw[[#This Row],[Column4]]), "", deployment_raw[[#This Row],[Column4]])</f>
        <v/>
      </c>
      <c r="E115" s="37" t="str">
        <f>IF(ISNUMBER(deployment_raw[[#This Row],[Column5]]), deployment_raw[[#This Row],[Column5]],"")</f>
        <v/>
      </c>
      <c r="F115" s="94" t="str">
        <f>IF(ISNUMBER(deployment_raw[[#This Row],[Column6]]), (deployment_raw[[#This Row],[Column6]] * IF($E$2="Deployment",deployment_raw[[#This Row],[Column5]],1)),"")</f>
        <v/>
      </c>
      <c r="G115" s="95" t="str">
        <f>IF(ISNUMBER(deployment_raw[[#This Row],[Column7]]), (deployment_raw[[#This Row],[Column7]] * IF($E$2="Deployment",deployment_raw[[#This Row],[Column5]],1))/1048576,"")</f>
        <v/>
      </c>
      <c r="H115" s="95" t="str">
        <f>IF(ISNUMBER(deployment_raw[[#This Row],[Column8]]), (deployment_raw[[#This Row],[Column8]]  * IF($E$2="Deployment",deployment_raw[[#This Row],[Column5]],1)),"")</f>
        <v/>
      </c>
      <c r="I115" s="96" t="str">
        <f>IF(ISNUMBER(deployment_raw[[#This Row],[Column9]]), (deployment_raw[[#This Row],[Column9]] * IF($E$2="Deployment",deployment_raw[[#This Row],[Column5]],1))/1048576,"")</f>
        <v/>
      </c>
      <c r="J115" s="122" t="str">
        <f>IF(ISNUMBER(deployment_raw[[#This Row],[Column10]]), (MIN(IF(N115&lt;&gt;"",N115,9999999999999)*1.1,deployment_raw[[#This Row],[Column10]] * IF($E$2="Deployment",deployment_raw[[#This Row],[Column5]],1))),"")</f>
        <v/>
      </c>
      <c r="K115" s="123" t="str">
        <f>IF(ISNUMBER(deployment_raw[[#This Row],[Column11]]), (MIN(IF(O115&lt;&gt;"",O115,9999999999999)*1.1,deployment_raw[[#This Row],[Column11]] * IF($E$2="Deployment",deployment_raw[[#This Row],[Column5]],1)/1048576)),"")</f>
        <v/>
      </c>
      <c r="L115" s="124" t="str">
        <f>IF(ISNUMBER(deployment_raw[[#This Row],[Column8]]),IF(OR(deployment_raw[[#This Row],[Column5]] &lt;&gt; 0,$E$2 &lt;&gt; "Deployment"), MAX(J115, P115, R115, ($L$2 * IF($E$2="Deployment",deployment_raw[[#This Row],[Column5]],1)),IF(T115&lt;&gt;"",VALUE(T115) * IF($E$2="Deployment",deployment_raw[[#This Row],[Column5]],1),0)), 0),"")</f>
        <v/>
      </c>
      <c r="M115" s="125" t="str">
        <f>IF(ISNUMBER(deployment_raw[[#This Row],[Column9]]),IF(OR(deployment_raw[[#This Row],[Column5]] &lt;&gt; 0,$E$2&lt;&gt;"Deployment"), MAX(K115, Q115, S115, ($M$2 * IF($E$2="Deployment",deployment_raw[[#This Row],[Column5]],1)),IF(U115&lt;&gt;"",VALUE(U115) * IF($E$2="Deployment",deployment_raw[[#This Row],[Column5]],1),0)), 0),"")</f>
        <v/>
      </c>
      <c r="N115" s="166" t="str">
        <f>IF(ISNUMBER(deployment_raw[[#This Row],[Column14]]), deployment_raw[[#This Row],[Column14]]/IF(OR($E$2="Deployment",deployment_raw[[#This Row],[Column5]]=0),1,deployment_raw[[#This Row],[Column5]]),"")</f>
        <v/>
      </c>
      <c r="O115" s="167" t="str">
        <f>IF(ISNUMBER(deployment_raw[[#This Row],[Column15]]), deployment_raw[[#This Row],[Column15]]/IF(OR($E$2="Deployment",deployment_raw[[#This Row],[Column5]]=0),1,deployment_raw[[#This Row],[Column5]])/1048576,"")</f>
        <v/>
      </c>
      <c r="P115" s="168" t="str">
        <f>IF(ISNUMBER(deployment_raw[[#This Row],[Column12]]), (MIN(IF(N115&lt;&gt;"",N115,9999999999999)*1.1,deployment_raw[[#This Row],[Column12]] * IF($E$2="Deployment",deployment_raw[[#This Row],[Column5]],1))*(1+$P$2)),"")</f>
        <v/>
      </c>
      <c r="Q115" s="167" t="str">
        <f>IF(ISNUMBER(deployment_raw[[#This Row],[Column13]]), (MIN(IF(O115&lt;&gt;"",O115,9999999999999)*1.1,deployment_raw[[#This Row],[Column13]] * IF($E$2="Deployment",deployment_raw[[#This Row],[Column5]],1)*(1+$Q$2)/1048576)),"")</f>
        <v/>
      </c>
      <c r="R115" s="169" t="str">
        <f>IF(ISNUMBER(deployment_raw[[#This Row],[Column8]]), (H115  * IF(N115&lt;&gt;0,$R$2,1)),"")</f>
        <v/>
      </c>
      <c r="S115" s="170" t="str">
        <f>IF(ISNUMBER(deployment_raw[[#This Row],[Column8]]), (I115  * IF(O115&lt;&gt;0,$S$2,1)),"")</f>
        <v/>
      </c>
      <c r="T115" s="202" t="str">
        <f>IF(AND(A115&lt;&gt;"",_xlfn.IFNA(MATCH(A115,'dynamic resource application '!$A$2:$A$100, 0),0)&lt;&gt;0), H115/(IF($E$2="Deployment",E115,1)),"")</f>
        <v/>
      </c>
      <c r="U115" s="211" t="str">
        <f>IF(AND(A115&lt;&gt;"",_xlfn.IFNA(MATCH(A115,'dynamic resource application '!$A$2:$A$100, 0),0)&lt;&gt;0), I115/(IF($E$2="Deployment",E115,1)),"")</f>
        <v/>
      </c>
    </row>
    <row r="116" spans="1:21" ht="15.75" customHeight="1" x14ac:dyDescent="0.25">
      <c r="A116" s="35" t="str">
        <f>IF(ISNONTEXT(deployment_raw[[#This Row],[Column1]]), "", deployment_raw[[#This Row],[Column1]])</f>
        <v/>
      </c>
      <c r="B116" s="36" t="str">
        <f>IF(ISNONTEXT(deployment_raw[[#This Row],[Column2]]), "", deployment_raw[[#This Row],[Column2]])</f>
        <v/>
      </c>
      <c r="C116" s="36" t="str">
        <f>IF(ISNONTEXT(deployment_raw[[#This Row],[Column3]]), "", deployment_raw[[#This Row],[Column3]])</f>
        <v/>
      </c>
      <c r="D116" s="36" t="str">
        <f>IF(ISNONTEXT(deployment_raw[[#This Row],[Column4]]), "", deployment_raw[[#This Row],[Column4]])</f>
        <v/>
      </c>
      <c r="E116" s="37" t="str">
        <f>IF(ISNUMBER(deployment_raw[[#This Row],[Column5]]), deployment_raw[[#This Row],[Column5]],"")</f>
        <v/>
      </c>
      <c r="F116" s="94" t="str">
        <f>IF(ISNUMBER(deployment_raw[[#This Row],[Column6]]), (deployment_raw[[#This Row],[Column6]] * IF($E$2="Deployment",deployment_raw[[#This Row],[Column5]],1)),"")</f>
        <v/>
      </c>
      <c r="G116" s="95" t="str">
        <f>IF(ISNUMBER(deployment_raw[[#This Row],[Column7]]), (deployment_raw[[#This Row],[Column7]] * IF($E$2="Deployment",deployment_raw[[#This Row],[Column5]],1))/1048576,"")</f>
        <v/>
      </c>
      <c r="H116" s="95" t="str">
        <f>IF(ISNUMBER(deployment_raw[[#This Row],[Column8]]), (deployment_raw[[#This Row],[Column8]]  * IF($E$2="Deployment",deployment_raw[[#This Row],[Column5]],1)),"")</f>
        <v/>
      </c>
      <c r="I116" s="96" t="str">
        <f>IF(ISNUMBER(deployment_raw[[#This Row],[Column9]]), (deployment_raw[[#This Row],[Column9]] * IF($E$2="Deployment",deployment_raw[[#This Row],[Column5]],1))/1048576,"")</f>
        <v/>
      </c>
      <c r="J116" s="122" t="str">
        <f>IF(ISNUMBER(deployment_raw[[#This Row],[Column10]]), (MIN(IF(N116&lt;&gt;"",N116,9999999999999)*1.1,deployment_raw[[#This Row],[Column10]] * IF($E$2="Deployment",deployment_raw[[#This Row],[Column5]],1))),"")</f>
        <v/>
      </c>
      <c r="K116" s="123" t="str">
        <f>IF(ISNUMBER(deployment_raw[[#This Row],[Column11]]), (MIN(IF(O116&lt;&gt;"",O116,9999999999999)*1.1,deployment_raw[[#This Row],[Column11]] * IF($E$2="Deployment",deployment_raw[[#This Row],[Column5]],1)/1048576)),"")</f>
        <v/>
      </c>
      <c r="L116" s="124" t="str">
        <f>IF(ISNUMBER(deployment_raw[[#This Row],[Column8]]),IF(OR(deployment_raw[[#This Row],[Column5]] &lt;&gt; 0,$E$2 &lt;&gt; "Deployment"), MAX(J116, P116, R116, ($L$2 * IF($E$2="Deployment",deployment_raw[[#This Row],[Column5]],1)),IF(T116&lt;&gt;"",VALUE(T116) * IF($E$2="Deployment",deployment_raw[[#This Row],[Column5]],1),0)), 0),"")</f>
        <v/>
      </c>
      <c r="M116" s="125" t="str">
        <f>IF(ISNUMBER(deployment_raw[[#This Row],[Column9]]),IF(OR(deployment_raw[[#This Row],[Column5]] &lt;&gt; 0,$E$2&lt;&gt;"Deployment"), MAX(K116, Q116, S116, ($M$2 * IF($E$2="Deployment",deployment_raw[[#This Row],[Column5]],1)),IF(U116&lt;&gt;"",VALUE(U116) * IF($E$2="Deployment",deployment_raw[[#This Row],[Column5]],1),0)), 0),"")</f>
        <v/>
      </c>
      <c r="N116" s="166" t="str">
        <f>IF(ISNUMBER(deployment_raw[[#This Row],[Column14]]), deployment_raw[[#This Row],[Column14]]/IF(OR($E$2="Deployment",deployment_raw[[#This Row],[Column5]]=0),1,deployment_raw[[#This Row],[Column5]]),"")</f>
        <v/>
      </c>
      <c r="O116" s="167" t="str">
        <f>IF(ISNUMBER(deployment_raw[[#This Row],[Column15]]), deployment_raw[[#This Row],[Column15]]/IF(OR($E$2="Deployment",deployment_raw[[#This Row],[Column5]]=0),1,deployment_raw[[#This Row],[Column5]])/1048576,"")</f>
        <v/>
      </c>
      <c r="P116" s="168" t="str">
        <f>IF(ISNUMBER(deployment_raw[[#This Row],[Column12]]), (MIN(IF(N116&lt;&gt;"",N116,9999999999999)*1.1,deployment_raw[[#This Row],[Column12]] * IF($E$2="Deployment",deployment_raw[[#This Row],[Column5]],1))*(1+$P$2)),"")</f>
        <v/>
      </c>
      <c r="Q116" s="167" t="str">
        <f>IF(ISNUMBER(deployment_raw[[#This Row],[Column13]]), (MIN(IF(O116&lt;&gt;"",O116,9999999999999)*1.1,deployment_raw[[#This Row],[Column13]] * IF($E$2="Deployment",deployment_raw[[#This Row],[Column5]],1)*(1+$Q$2)/1048576)),"")</f>
        <v/>
      </c>
      <c r="R116" s="169" t="str">
        <f>IF(ISNUMBER(deployment_raw[[#This Row],[Column8]]), (H116  * IF(N116&lt;&gt;0,$R$2,1)),"")</f>
        <v/>
      </c>
      <c r="S116" s="170" t="str">
        <f>IF(ISNUMBER(deployment_raw[[#This Row],[Column8]]), (I116  * IF(O116&lt;&gt;0,$S$2,1)),"")</f>
        <v/>
      </c>
      <c r="T116" s="202" t="str">
        <f>IF(AND(A116&lt;&gt;"",_xlfn.IFNA(MATCH(A116,'dynamic resource application '!$A$2:$A$100, 0),0)&lt;&gt;0), H116/(IF($E$2="Deployment",E116,1)),"")</f>
        <v/>
      </c>
      <c r="U116" s="211" t="str">
        <f>IF(AND(A116&lt;&gt;"",_xlfn.IFNA(MATCH(A116,'dynamic resource application '!$A$2:$A$100, 0),0)&lt;&gt;0), I116/(IF($E$2="Deployment",E116,1)),"")</f>
        <v/>
      </c>
    </row>
    <row r="117" spans="1:21" ht="15.75" customHeight="1" x14ac:dyDescent="0.25">
      <c r="A117" s="35" t="str">
        <f>IF(ISNONTEXT(deployment_raw[[#This Row],[Column1]]), "", deployment_raw[[#This Row],[Column1]])</f>
        <v/>
      </c>
      <c r="B117" s="36" t="str">
        <f>IF(ISNONTEXT(deployment_raw[[#This Row],[Column2]]), "", deployment_raw[[#This Row],[Column2]])</f>
        <v/>
      </c>
      <c r="C117" s="36" t="str">
        <f>IF(ISNONTEXT(deployment_raw[[#This Row],[Column3]]), "", deployment_raw[[#This Row],[Column3]])</f>
        <v/>
      </c>
      <c r="D117" s="36" t="str">
        <f>IF(ISNONTEXT(deployment_raw[[#This Row],[Column4]]), "", deployment_raw[[#This Row],[Column4]])</f>
        <v/>
      </c>
      <c r="E117" s="37" t="str">
        <f>IF(ISNUMBER(deployment_raw[[#This Row],[Column5]]), deployment_raw[[#This Row],[Column5]],"")</f>
        <v/>
      </c>
      <c r="F117" s="94" t="str">
        <f>IF(ISNUMBER(deployment_raw[[#This Row],[Column6]]), (deployment_raw[[#This Row],[Column6]] * IF($E$2="Deployment",deployment_raw[[#This Row],[Column5]],1)),"")</f>
        <v/>
      </c>
      <c r="G117" s="95" t="str">
        <f>IF(ISNUMBER(deployment_raw[[#This Row],[Column7]]), (deployment_raw[[#This Row],[Column7]] * IF($E$2="Deployment",deployment_raw[[#This Row],[Column5]],1))/1048576,"")</f>
        <v/>
      </c>
      <c r="H117" s="95" t="str">
        <f>IF(ISNUMBER(deployment_raw[[#This Row],[Column8]]), (deployment_raw[[#This Row],[Column8]]  * IF($E$2="Deployment",deployment_raw[[#This Row],[Column5]],1)),"")</f>
        <v/>
      </c>
      <c r="I117" s="96" t="str">
        <f>IF(ISNUMBER(deployment_raw[[#This Row],[Column9]]), (deployment_raw[[#This Row],[Column9]] * IF($E$2="Deployment",deployment_raw[[#This Row],[Column5]],1))/1048576,"")</f>
        <v/>
      </c>
      <c r="J117" s="122" t="str">
        <f>IF(ISNUMBER(deployment_raw[[#This Row],[Column10]]), (MIN(IF(N117&lt;&gt;"",N117,9999999999999)*1.1,deployment_raw[[#This Row],[Column10]] * IF($E$2="Deployment",deployment_raw[[#This Row],[Column5]],1))),"")</f>
        <v/>
      </c>
      <c r="K117" s="123" t="str">
        <f>IF(ISNUMBER(deployment_raw[[#This Row],[Column11]]), (MIN(IF(O117&lt;&gt;"",O117,9999999999999)*1.1,deployment_raw[[#This Row],[Column11]] * IF($E$2="Deployment",deployment_raw[[#This Row],[Column5]],1)/1048576)),"")</f>
        <v/>
      </c>
      <c r="L117" s="124" t="str">
        <f>IF(ISNUMBER(deployment_raw[[#This Row],[Column8]]),IF(OR(deployment_raw[[#This Row],[Column5]] &lt;&gt; 0,$E$2 &lt;&gt; "Deployment"), MAX(J117, P117, R117, ($L$2 * IF($E$2="Deployment",deployment_raw[[#This Row],[Column5]],1)),IF(T117&lt;&gt;"",VALUE(T117) * IF($E$2="Deployment",deployment_raw[[#This Row],[Column5]],1),0)), 0),"")</f>
        <v/>
      </c>
      <c r="M117" s="125" t="str">
        <f>IF(ISNUMBER(deployment_raw[[#This Row],[Column9]]),IF(OR(deployment_raw[[#This Row],[Column5]] &lt;&gt; 0,$E$2&lt;&gt;"Deployment"), MAX(K117, Q117, S117, ($M$2 * IF($E$2="Deployment",deployment_raw[[#This Row],[Column5]],1)),IF(U117&lt;&gt;"",VALUE(U117) * IF($E$2="Deployment",deployment_raw[[#This Row],[Column5]],1),0)), 0),"")</f>
        <v/>
      </c>
      <c r="N117" s="166" t="str">
        <f>IF(ISNUMBER(deployment_raw[[#This Row],[Column14]]), deployment_raw[[#This Row],[Column14]]/IF(OR($E$2="Deployment",deployment_raw[[#This Row],[Column5]]=0),1,deployment_raw[[#This Row],[Column5]]),"")</f>
        <v/>
      </c>
      <c r="O117" s="167" t="str">
        <f>IF(ISNUMBER(deployment_raw[[#This Row],[Column15]]), deployment_raw[[#This Row],[Column15]]/IF(OR($E$2="Deployment",deployment_raw[[#This Row],[Column5]]=0),1,deployment_raw[[#This Row],[Column5]])/1048576,"")</f>
        <v/>
      </c>
      <c r="P117" s="168" t="str">
        <f>IF(ISNUMBER(deployment_raw[[#This Row],[Column12]]), (MIN(IF(N117&lt;&gt;"",N117,9999999999999)*1.1,deployment_raw[[#This Row],[Column12]] * IF($E$2="Deployment",deployment_raw[[#This Row],[Column5]],1))*(1+$P$2)),"")</f>
        <v/>
      </c>
      <c r="Q117" s="167" t="str">
        <f>IF(ISNUMBER(deployment_raw[[#This Row],[Column13]]), (MIN(IF(O117&lt;&gt;"",O117,9999999999999)*1.1,deployment_raw[[#This Row],[Column13]] * IF($E$2="Deployment",deployment_raw[[#This Row],[Column5]],1)*(1+$Q$2)/1048576)),"")</f>
        <v/>
      </c>
      <c r="R117" s="169" t="str">
        <f>IF(ISNUMBER(deployment_raw[[#This Row],[Column8]]), (H117  * IF(N117&lt;&gt;0,$R$2,1)),"")</f>
        <v/>
      </c>
      <c r="S117" s="170" t="str">
        <f>IF(ISNUMBER(deployment_raw[[#This Row],[Column8]]), (I117  * IF(O117&lt;&gt;0,$S$2,1)),"")</f>
        <v/>
      </c>
      <c r="T117" s="202" t="str">
        <f>IF(AND(A117&lt;&gt;"",_xlfn.IFNA(MATCH(A117,'dynamic resource application '!$A$2:$A$100, 0),0)&lt;&gt;0), H117/(IF($E$2="Deployment",E117,1)),"")</f>
        <v/>
      </c>
      <c r="U117" s="211" t="str">
        <f>IF(AND(A117&lt;&gt;"",_xlfn.IFNA(MATCH(A117,'dynamic resource application '!$A$2:$A$100, 0),0)&lt;&gt;0), I117/(IF($E$2="Deployment",E117,1)),"")</f>
        <v/>
      </c>
    </row>
    <row r="118" spans="1:21" ht="15.75" customHeight="1" x14ac:dyDescent="0.25">
      <c r="A118" s="35" t="str">
        <f>IF(ISNONTEXT(deployment_raw[[#This Row],[Column1]]), "", deployment_raw[[#This Row],[Column1]])</f>
        <v/>
      </c>
      <c r="B118" s="36" t="str">
        <f>IF(ISNONTEXT(deployment_raw[[#This Row],[Column2]]), "", deployment_raw[[#This Row],[Column2]])</f>
        <v/>
      </c>
      <c r="C118" s="36" t="str">
        <f>IF(ISNONTEXT(deployment_raw[[#This Row],[Column3]]), "", deployment_raw[[#This Row],[Column3]])</f>
        <v/>
      </c>
      <c r="D118" s="36" t="str">
        <f>IF(ISNONTEXT(deployment_raw[[#This Row],[Column4]]), "", deployment_raw[[#This Row],[Column4]])</f>
        <v/>
      </c>
      <c r="E118" s="37" t="str">
        <f>IF(ISNUMBER(deployment_raw[[#This Row],[Column5]]), deployment_raw[[#This Row],[Column5]],"")</f>
        <v/>
      </c>
      <c r="F118" s="94" t="str">
        <f>IF(ISNUMBER(deployment_raw[[#This Row],[Column6]]), (deployment_raw[[#This Row],[Column6]] * IF($E$2="Deployment",deployment_raw[[#This Row],[Column5]],1)),"")</f>
        <v/>
      </c>
      <c r="G118" s="95" t="str">
        <f>IF(ISNUMBER(deployment_raw[[#This Row],[Column7]]), (deployment_raw[[#This Row],[Column7]] * IF($E$2="Deployment",deployment_raw[[#This Row],[Column5]],1))/1048576,"")</f>
        <v/>
      </c>
      <c r="H118" s="95" t="str">
        <f>IF(ISNUMBER(deployment_raw[[#This Row],[Column8]]), (deployment_raw[[#This Row],[Column8]]  * IF($E$2="Deployment",deployment_raw[[#This Row],[Column5]],1)),"")</f>
        <v/>
      </c>
      <c r="I118" s="96" t="str">
        <f>IF(ISNUMBER(deployment_raw[[#This Row],[Column9]]), (deployment_raw[[#This Row],[Column9]] * IF($E$2="Deployment",deployment_raw[[#This Row],[Column5]],1))/1048576,"")</f>
        <v/>
      </c>
      <c r="J118" s="122" t="str">
        <f>IF(ISNUMBER(deployment_raw[[#This Row],[Column10]]), (MIN(IF(N118&lt;&gt;"",N118,9999999999999)*1.1,deployment_raw[[#This Row],[Column10]] * IF($E$2="Deployment",deployment_raw[[#This Row],[Column5]],1))),"")</f>
        <v/>
      </c>
      <c r="K118" s="123" t="str">
        <f>IF(ISNUMBER(deployment_raw[[#This Row],[Column11]]), (MIN(IF(O118&lt;&gt;"",O118,9999999999999)*1.1,deployment_raw[[#This Row],[Column11]] * IF($E$2="Deployment",deployment_raw[[#This Row],[Column5]],1)/1048576)),"")</f>
        <v/>
      </c>
      <c r="L118" s="124" t="str">
        <f>IF(ISNUMBER(deployment_raw[[#This Row],[Column8]]),IF(OR(deployment_raw[[#This Row],[Column5]] &lt;&gt; 0,$E$2 &lt;&gt; "Deployment"), MAX(J118, P118, R118, ($L$2 * IF($E$2="Deployment",deployment_raw[[#This Row],[Column5]],1)),IF(T118&lt;&gt;"",VALUE(T118) * IF($E$2="Deployment",deployment_raw[[#This Row],[Column5]],1),0)), 0),"")</f>
        <v/>
      </c>
      <c r="M118" s="125" t="str">
        <f>IF(ISNUMBER(deployment_raw[[#This Row],[Column9]]),IF(OR(deployment_raw[[#This Row],[Column5]] &lt;&gt; 0,$E$2&lt;&gt;"Deployment"), MAX(K118, Q118, S118, ($M$2 * IF($E$2="Deployment",deployment_raw[[#This Row],[Column5]],1)),IF(U118&lt;&gt;"",VALUE(U118) * IF($E$2="Deployment",deployment_raw[[#This Row],[Column5]],1),0)), 0),"")</f>
        <v/>
      </c>
      <c r="N118" s="166" t="str">
        <f>IF(ISNUMBER(deployment_raw[[#This Row],[Column14]]), deployment_raw[[#This Row],[Column14]]/IF(OR($E$2="Deployment",deployment_raw[[#This Row],[Column5]]=0),1,deployment_raw[[#This Row],[Column5]]),"")</f>
        <v/>
      </c>
      <c r="O118" s="167" t="str">
        <f>IF(ISNUMBER(deployment_raw[[#This Row],[Column15]]), deployment_raw[[#This Row],[Column15]]/IF(OR($E$2="Deployment",deployment_raw[[#This Row],[Column5]]=0),1,deployment_raw[[#This Row],[Column5]])/1048576,"")</f>
        <v/>
      </c>
      <c r="P118" s="168" t="str">
        <f>IF(ISNUMBER(deployment_raw[[#This Row],[Column12]]), (MIN(IF(N118&lt;&gt;"",N118,9999999999999)*1.1,deployment_raw[[#This Row],[Column12]] * IF($E$2="Deployment",deployment_raw[[#This Row],[Column5]],1))*(1+$P$2)),"")</f>
        <v/>
      </c>
      <c r="Q118" s="167" t="str">
        <f>IF(ISNUMBER(deployment_raw[[#This Row],[Column13]]), (MIN(IF(O118&lt;&gt;"",O118,9999999999999)*1.1,deployment_raw[[#This Row],[Column13]] * IF($E$2="Deployment",deployment_raw[[#This Row],[Column5]],1)*(1+$Q$2)/1048576)),"")</f>
        <v/>
      </c>
      <c r="R118" s="169" t="str">
        <f>IF(ISNUMBER(deployment_raw[[#This Row],[Column8]]), (H118  * IF(N118&lt;&gt;0,$R$2,1)),"")</f>
        <v/>
      </c>
      <c r="S118" s="170" t="str">
        <f>IF(ISNUMBER(deployment_raw[[#This Row],[Column8]]), (I118  * IF(O118&lt;&gt;0,$S$2,1)),"")</f>
        <v/>
      </c>
      <c r="T118" s="202" t="str">
        <f>IF(AND(A118&lt;&gt;"",_xlfn.IFNA(MATCH(A118,'dynamic resource application '!$A$2:$A$100, 0),0)&lt;&gt;0), H118/(IF($E$2="Deployment",E118,1)),"")</f>
        <v/>
      </c>
      <c r="U118" s="211" t="str">
        <f>IF(AND(A118&lt;&gt;"",_xlfn.IFNA(MATCH(A118,'dynamic resource application '!$A$2:$A$100, 0),0)&lt;&gt;0), I118/(IF($E$2="Deployment",E118,1)),"")</f>
        <v/>
      </c>
    </row>
    <row r="119" spans="1:21" ht="15.75" customHeight="1" x14ac:dyDescent="0.25">
      <c r="A119" s="35" t="str">
        <f>IF(ISNONTEXT(deployment_raw[[#This Row],[Column1]]), "", deployment_raw[[#This Row],[Column1]])</f>
        <v/>
      </c>
      <c r="B119" s="36" t="str">
        <f>IF(ISNONTEXT(deployment_raw[[#This Row],[Column2]]), "", deployment_raw[[#This Row],[Column2]])</f>
        <v/>
      </c>
      <c r="C119" s="36" t="str">
        <f>IF(ISNONTEXT(deployment_raw[[#This Row],[Column3]]), "", deployment_raw[[#This Row],[Column3]])</f>
        <v/>
      </c>
      <c r="D119" s="36" t="str">
        <f>IF(ISNONTEXT(deployment_raw[[#This Row],[Column4]]), "", deployment_raw[[#This Row],[Column4]])</f>
        <v/>
      </c>
      <c r="E119" s="37" t="str">
        <f>IF(ISNUMBER(deployment_raw[[#This Row],[Column5]]), deployment_raw[[#This Row],[Column5]],"")</f>
        <v/>
      </c>
      <c r="F119" s="94" t="str">
        <f>IF(ISNUMBER(deployment_raw[[#This Row],[Column6]]), (deployment_raw[[#This Row],[Column6]] * IF($E$2="Deployment",deployment_raw[[#This Row],[Column5]],1)),"")</f>
        <v/>
      </c>
      <c r="G119" s="95" t="str">
        <f>IF(ISNUMBER(deployment_raw[[#This Row],[Column7]]), (deployment_raw[[#This Row],[Column7]] * IF($E$2="Deployment",deployment_raw[[#This Row],[Column5]],1))/1048576,"")</f>
        <v/>
      </c>
      <c r="H119" s="95" t="str">
        <f>IF(ISNUMBER(deployment_raw[[#This Row],[Column8]]), (deployment_raw[[#This Row],[Column8]]  * IF($E$2="Deployment",deployment_raw[[#This Row],[Column5]],1)),"")</f>
        <v/>
      </c>
      <c r="I119" s="96" t="str">
        <f>IF(ISNUMBER(deployment_raw[[#This Row],[Column9]]), (deployment_raw[[#This Row],[Column9]] * IF($E$2="Deployment",deployment_raw[[#This Row],[Column5]],1))/1048576,"")</f>
        <v/>
      </c>
      <c r="J119" s="122" t="str">
        <f>IF(ISNUMBER(deployment_raw[[#This Row],[Column10]]), (MIN(IF(N119&lt;&gt;"",N119,9999999999999)*1.1,deployment_raw[[#This Row],[Column10]] * IF($E$2="Deployment",deployment_raw[[#This Row],[Column5]],1))),"")</f>
        <v/>
      </c>
      <c r="K119" s="123" t="str">
        <f>IF(ISNUMBER(deployment_raw[[#This Row],[Column11]]), (MIN(IF(O119&lt;&gt;"",O119,9999999999999)*1.1,deployment_raw[[#This Row],[Column11]] * IF($E$2="Deployment",deployment_raw[[#This Row],[Column5]],1)/1048576)),"")</f>
        <v/>
      </c>
      <c r="L119" s="124" t="str">
        <f>IF(ISNUMBER(deployment_raw[[#This Row],[Column8]]),IF(OR(deployment_raw[[#This Row],[Column5]] &lt;&gt; 0,$E$2 &lt;&gt; "Deployment"), MAX(J119, P119, R119, ($L$2 * IF($E$2="Deployment",deployment_raw[[#This Row],[Column5]],1)),IF(T119&lt;&gt;"",VALUE(T119) * IF($E$2="Deployment",deployment_raw[[#This Row],[Column5]],1),0)), 0),"")</f>
        <v/>
      </c>
      <c r="M119" s="125" t="str">
        <f>IF(ISNUMBER(deployment_raw[[#This Row],[Column9]]),IF(OR(deployment_raw[[#This Row],[Column5]] &lt;&gt; 0,$E$2&lt;&gt;"Deployment"), MAX(K119, Q119, S119, ($M$2 * IF($E$2="Deployment",deployment_raw[[#This Row],[Column5]],1)),IF(U119&lt;&gt;"",VALUE(U119) * IF($E$2="Deployment",deployment_raw[[#This Row],[Column5]],1),0)), 0),"")</f>
        <v/>
      </c>
      <c r="N119" s="166" t="str">
        <f>IF(ISNUMBER(deployment_raw[[#This Row],[Column14]]), deployment_raw[[#This Row],[Column14]]/IF(OR($E$2="Deployment",deployment_raw[[#This Row],[Column5]]=0),1,deployment_raw[[#This Row],[Column5]]),"")</f>
        <v/>
      </c>
      <c r="O119" s="167" t="str">
        <f>IF(ISNUMBER(deployment_raw[[#This Row],[Column15]]), deployment_raw[[#This Row],[Column15]]/IF(OR($E$2="Deployment",deployment_raw[[#This Row],[Column5]]=0),1,deployment_raw[[#This Row],[Column5]])/1048576,"")</f>
        <v/>
      </c>
      <c r="P119" s="168" t="str">
        <f>IF(ISNUMBER(deployment_raw[[#This Row],[Column12]]), (MIN(IF(N119&lt;&gt;"",N119,9999999999999)*1.1,deployment_raw[[#This Row],[Column12]] * IF($E$2="Deployment",deployment_raw[[#This Row],[Column5]],1))*(1+$P$2)),"")</f>
        <v/>
      </c>
      <c r="Q119" s="167" t="str">
        <f>IF(ISNUMBER(deployment_raw[[#This Row],[Column13]]), (MIN(IF(O119&lt;&gt;"",O119,9999999999999)*1.1,deployment_raw[[#This Row],[Column13]] * IF($E$2="Deployment",deployment_raw[[#This Row],[Column5]],1)*(1+$Q$2)/1048576)),"")</f>
        <v/>
      </c>
      <c r="R119" s="169" t="str">
        <f>IF(ISNUMBER(deployment_raw[[#This Row],[Column8]]), (H119  * IF(N119&lt;&gt;0,$R$2,1)),"")</f>
        <v/>
      </c>
      <c r="S119" s="170" t="str">
        <f>IF(ISNUMBER(deployment_raw[[#This Row],[Column8]]), (I119  * IF(O119&lt;&gt;0,$S$2,1)),"")</f>
        <v/>
      </c>
      <c r="T119" s="202" t="str">
        <f>IF(AND(A119&lt;&gt;"",_xlfn.IFNA(MATCH(A119,'dynamic resource application '!$A$2:$A$100, 0),0)&lt;&gt;0), H119/(IF($E$2="Deployment",E119,1)),"")</f>
        <v/>
      </c>
      <c r="U119" s="211" t="str">
        <f>IF(AND(A119&lt;&gt;"",_xlfn.IFNA(MATCH(A119,'dynamic resource application '!$A$2:$A$100, 0),0)&lt;&gt;0), I119/(IF($E$2="Deployment",E119,1)),"")</f>
        <v/>
      </c>
    </row>
    <row r="120" spans="1:21" ht="15.75" customHeight="1" x14ac:dyDescent="0.25">
      <c r="A120" s="35" t="str">
        <f>IF(ISNONTEXT(deployment_raw[[#This Row],[Column1]]), "", deployment_raw[[#This Row],[Column1]])</f>
        <v/>
      </c>
      <c r="B120" s="36" t="str">
        <f>IF(ISNONTEXT(deployment_raw[[#This Row],[Column2]]), "", deployment_raw[[#This Row],[Column2]])</f>
        <v/>
      </c>
      <c r="C120" s="36" t="str">
        <f>IF(ISNONTEXT(deployment_raw[[#This Row],[Column3]]), "", deployment_raw[[#This Row],[Column3]])</f>
        <v/>
      </c>
      <c r="D120" s="36" t="str">
        <f>IF(ISNONTEXT(deployment_raw[[#This Row],[Column4]]), "", deployment_raw[[#This Row],[Column4]])</f>
        <v/>
      </c>
      <c r="E120" s="37" t="str">
        <f>IF(ISNUMBER(deployment_raw[[#This Row],[Column5]]), deployment_raw[[#This Row],[Column5]],"")</f>
        <v/>
      </c>
      <c r="F120" s="94" t="str">
        <f>IF(ISNUMBER(deployment_raw[[#This Row],[Column6]]), (deployment_raw[[#This Row],[Column6]] * IF($E$2="Deployment",deployment_raw[[#This Row],[Column5]],1)),"")</f>
        <v/>
      </c>
      <c r="G120" s="95" t="str">
        <f>IF(ISNUMBER(deployment_raw[[#This Row],[Column7]]), (deployment_raw[[#This Row],[Column7]] * IF($E$2="Deployment",deployment_raw[[#This Row],[Column5]],1))/1048576,"")</f>
        <v/>
      </c>
      <c r="H120" s="95" t="str">
        <f>IF(ISNUMBER(deployment_raw[[#This Row],[Column8]]), (deployment_raw[[#This Row],[Column8]]  * IF($E$2="Deployment",deployment_raw[[#This Row],[Column5]],1)),"")</f>
        <v/>
      </c>
      <c r="I120" s="96" t="str">
        <f>IF(ISNUMBER(deployment_raw[[#This Row],[Column9]]), (deployment_raw[[#This Row],[Column9]] * IF($E$2="Deployment",deployment_raw[[#This Row],[Column5]],1))/1048576,"")</f>
        <v/>
      </c>
      <c r="J120" s="122" t="str">
        <f>IF(ISNUMBER(deployment_raw[[#This Row],[Column10]]), (MIN(IF(N120&lt;&gt;"",N120,9999999999999)*1.1,deployment_raw[[#This Row],[Column10]] * IF($E$2="Deployment",deployment_raw[[#This Row],[Column5]],1))),"")</f>
        <v/>
      </c>
      <c r="K120" s="123" t="str">
        <f>IF(ISNUMBER(deployment_raw[[#This Row],[Column11]]), (MIN(IF(O120&lt;&gt;"",O120,9999999999999)*1.1,deployment_raw[[#This Row],[Column11]] * IF($E$2="Deployment",deployment_raw[[#This Row],[Column5]],1)/1048576)),"")</f>
        <v/>
      </c>
      <c r="L120" s="124" t="str">
        <f>IF(ISNUMBER(deployment_raw[[#This Row],[Column8]]),IF(OR(deployment_raw[[#This Row],[Column5]] &lt;&gt; 0,$E$2 &lt;&gt; "Deployment"), MAX(J120, P120, R120, ($L$2 * IF($E$2="Deployment",deployment_raw[[#This Row],[Column5]],1)),IF(T120&lt;&gt;"",VALUE(T120) * IF($E$2="Deployment",deployment_raw[[#This Row],[Column5]],1),0)), 0),"")</f>
        <v/>
      </c>
      <c r="M120" s="125" t="str">
        <f>IF(ISNUMBER(deployment_raw[[#This Row],[Column9]]),IF(OR(deployment_raw[[#This Row],[Column5]] &lt;&gt; 0,$E$2&lt;&gt;"Deployment"), MAX(K120, Q120, S120, ($M$2 * IF($E$2="Deployment",deployment_raw[[#This Row],[Column5]],1)),IF(U120&lt;&gt;"",VALUE(U120) * IF($E$2="Deployment",deployment_raw[[#This Row],[Column5]],1),0)), 0),"")</f>
        <v/>
      </c>
      <c r="N120" s="166" t="str">
        <f>IF(ISNUMBER(deployment_raw[[#This Row],[Column14]]), deployment_raw[[#This Row],[Column14]]/IF(OR($E$2="Deployment",deployment_raw[[#This Row],[Column5]]=0),1,deployment_raw[[#This Row],[Column5]]),"")</f>
        <v/>
      </c>
      <c r="O120" s="167" t="str">
        <f>IF(ISNUMBER(deployment_raw[[#This Row],[Column15]]), deployment_raw[[#This Row],[Column15]]/IF(OR($E$2="Deployment",deployment_raw[[#This Row],[Column5]]=0),1,deployment_raw[[#This Row],[Column5]])/1048576,"")</f>
        <v/>
      </c>
      <c r="P120" s="168" t="str">
        <f>IF(ISNUMBER(deployment_raw[[#This Row],[Column12]]), (MIN(IF(N120&lt;&gt;"",N120,9999999999999)*1.1,deployment_raw[[#This Row],[Column12]] * IF($E$2="Deployment",deployment_raw[[#This Row],[Column5]],1))*(1+$P$2)),"")</f>
        <v/>
      </c>
      <c r="Q120" s="167" t="str">
        <f>IF(ISNUMBER(deployment_raw[[#This Row],[Column13]]), (MIN(IF(O120&lt;&gt;"",O120,9999999999999)*1.1,deployment_raw[[#This Row],[Column13]] * IF($E$2="Deployment",deployment_raw[[#This Row],[Column5]],1)*(1+$Q$2)/1048576)),"")</f>
        <v/>
      </c>
      <c r="R120" s="169" t="str">
        <f>IF(ISNUMBER(deployment_raw[[#This Row],[Column8]]), (H120  * IF(N120&lt;&gt;0,$R$2,1)),"")</f>
        <v/>
      </c>
      <c r="S120" s="170" t="str">
        <f>IF(ISNUMBER(deployment_raw[[#This Row],[Column8]]), (I120  * IF(O120&lt;&gt;0,$S$2,1)),"")</f>
        <v/>
      </c>
      <c r="T120" s="202" t="str">
        <f>IF(AND(A120&lt;&gt;"",_xlfn.IFNA(MATCH(A120,'dynamic resource application '!$A$2:$A$100, 0),0)&lt;&gt;0), H120/(IF($E$2="Deployment",E120,1)),"")</f>
        <v/>
      </c>
      <c r="U120" s="211" t="str">
        <f>IF(AND(A120&lt;&gt;"",_xlfn.IFNA(MATCH(A120,'dynamic resource application '!$A$2:$A$100, 0),0)&lt;&gt;0), I120/(IF($E$2="Deployment",E120,1)),"")</f>
        <v/>
      </c>
    </row>
    <row r="121" spans="1:21" ht="15.75" customHeight="1" x14ac:dyDescent="0.25">
      <c r="A121" s="35" t="str">
        <f>IF(ISNONTEXT(deployment_raw[[#This Row],[Column1]]), "", deployment_raw[[#This Row],[Column1]])</f>
        <v/>
      </c>
      <c r="B121" s="36" t="str">
        <f>IF(ISNONTEXT(deployment_raw[[#This Row],[Column2]]), "", deployment_raw[[#This Row],[Column2]])</f>
        <v/>
      </c>
      <c r="C121" s="36" t="str">
        <f>IF(ISNONTEXT(deployment_raw[[#This Row],[Column3]]), "", deployment_raw[[#This Row],[Column3]])</f>
        <v/>
      </c>
      <c r="D121" s="36" t="str">
        <f>IF(ISNONTEXT(deployment_raw[[#This Row],[Column4]]), "", deployment_raw[[#This Row],[Column4]])</f>
        <v/>
      </c>
      <c r="E121" s="37" t="str">
        <f>IF(ISNUMBER(deployment_raw[[#This Row],[Column5]]), deployment_raw[[#This Row],[Column5]],"")</f>
        <v/>
      </c>
      <c r="F121" s="94" t="str">
        <f>IF(ISNUMBER(deployment_raw[[#This Row],[Column6]]), (deployment_raw[[#This Row],[Column6]] * IF($E$2="Deployment",deployment_raw[[#This Row],[Column5]],1)),"")</f>
        <v/>
      </c>
      <c r="G121" s="95" t="str">
        <f>IF(ISNUMBER(deployment_raw[[#This Row],[Column7]]), (deployment_raw[[#This Row],[Column7]] * IF($E$2="Deployment",deployment_raw[[#This Row],[Column5]],1))/1048576,"")</f>
        <v/>
      </c>
      <c r="H121" s="95" t="str">
        <f>IF(ISNUMBER(deployment_raw[[#This Row],[Column8]]), (deployment_raw[[#This Row],[Column8]]  * IF($E$2="Deployment",deployment_raw[[#This Row],[Column5]],1)),"")</f>
        <v/>
      </c>
      <c r="I121" s="96" t="str">
        <f>IF(ISNUMBER(deployment_raw[[#This Row],[Column9]]), (deployment_raw[[#This Row],[Column9]] * IF($E$2="Deployment",deployment_raw[[#This Row],[Column5]],1))/1048576,"")</f>
        <v/>
      </c>
      <c r="J121" s="122" t="str">
        <f>IF(ISNUMBER(deployment_raw[[#This Row],[Column10]]), (MIN(IF(N121&lt;&gt;"",N121,9999999999999)*1.1,deployment_raw[[#This Row],[Column10]] * IF($E$2="Deployment",deployment_raw[[#This Row],[Column5]],1))),"")</f>
        <v/>
      </c>
      <c r="K121" s="123" t="str">
        <f>IF(ISNUMBER(deployment_raw[[#This Row],[Column11]]), (MIN(IF(O121&lt;&gt;"",O121,9999999999999)*1.1,deployment_raw[[#This Row],[Column11]] * IF($E$2="Deployment",deployment_raw[[#This Row],[Column5]],1)/1048576)),"")</f>
        <v/>
      </c>
      <c r="L121" s="124" t="str">
        <f>IF(ISNUMBER(deployment_raw[[#This Row],[Column8]]),IF(OR(deployment_raw[[#This Row],[Column5]] &lt;&gt; 0,$E$2 &lt;&gt; "Deployment"), MAX(J121, P121, R121, ($L$2 * IF($E$2="Deployment",deployment_raw[[#This Row],[Column5]],1)),IF(T121&lt;&gt;"",VALUE(T121) * IF($E$2="Deployment",deployment_raw[[#This Row],[Column5]],1),0)), 0),"")</f>
        <v/>
      </c>
      <c r="M121" s="125" t="str">
        <f>IF(ISNUMBER(deployment_raw[[#This Row],[Column9]]),IF(OR(deployment_raw[[#This Row],[Column5]] &lt;&gt; 0,$E$2&lt;&gt;"Deployment"), MAX(K121, Q121, S121, ($M$2 * IF($E$2="Deployment",deployment_raw[[#This Row],[Column5]],1)),IF(U121&lt;&gt;"",VALUE(U121) * IF($E$2="Deployment",deployment_raw[[#This Row],[Column5]],1),0)), 0),"")</f>
        <v/>
      </c>
      <c r="N121" s="166" t="str">
        <f>IF(ISNUMBER(deployment_raw[[#This Row],[Column14]]), deployment_raw[[#This Row],[Column14]]/IF(OR($E$2="Deployment",deployment_raw[[#This Row],[Column5]]=0),1,deployment_raw[[#This Row],[Column5]]),"")</f>
        <v/>
      </c>
      <c r="O121" s="167" t="str">
        <f>IF(ISNUMBER(deployment_raw[[#This Row],[Column15]]), deployment_raw[[#This Row],[Column15]]/IF(OR($E$2="Deployment",deployment_raw[[#This Row],[Column5]]=0),1,deployment_raw[[#This Row],[Column5]])/1048576,"")</f>
        <v/>
      </c>
      <c r="P121" s="168" t="str">
        <f>IF(ISNUMBER(deployment_raw[[#This Row],[Column12]]), (MIN(IF(N121&lt;&gt;"",N121,9999999999999)*1.1,deployment_raw[[#This Row],[Column12]] * IF($E$2="Deployment",deployment_raw[[#This Row],[Column5]],1))*(1+$P$2)),"")</f>
        <v/>
      </c>
      <c r="Q121" s="167" t="str">
        <f>IF(ISNUMBER(deployment_raw[[#This Row],[Column13]]), (MIN(IF(O121&lt;&gt;"",O121,9999999999999)*1.1,deployment_raw[[#This Row],[Column13]] * IF($E$2="Deployment",deployment_raw[[#This Row],[Column5]],1)*(1+$Q$2)/1048576)),"")</f>
        <v/>
      </c>
      <c r="R121" s="169" t="str">
        <f>IF(ISNUMBER(deployment_raw[[#This Row],[Column8]]), (H121  * IF(N121&lt;&gt;0,$R$2,1)),"")</f>
        <v/>
      </c>
      <c r="S121" s="170" t="str">
        <f>IF(ISNUMBER(deployment_raw[[#This Row],[Column8]]), (I121  * IF(O121&lt;&gt;0,$S$2,1)),"")</f>
        <v/>
      </c>
      <c r="T121" s="202" t="str">
        <f>IF(AND(A121&lt;&gt;"",_xlfn.IFNA(MATCH(A121,'dynamic resource application '!$A$2:$A$100, 0),0)&lt;&gt;0), H121/(IF($E$2="Deployment",E121,1)),"")</f>
        <v/>
      </c>
      <c r="U121" s="211" t="str">
        <f>IF(AND(A121&lt;&gt;"",_xlfn.IFNA(MATCH(A121,'dynamic resource application '!$A$2:$A$100, 0),0)&lt;&gt;0), I121/(IF($E$2="Deployment",E121,1)),"")</f>
        <v/>
      </c>
    </row>
    <row r="122" spans="1:21" ht="15.75" customHeight="1" x14ac:dyDescent="0.25">
      <c r="A122" s="35" t="str">
        <f>IF(ISNONTEXT(deployment_raw[[#This Row],[Column1]]), "", deployment_raw[[#This Row],[Column1]])</f>
        <v/>
      </c>
      <c r="B122" s="36" t="str">
        <f>IF(ISNONTEXT(deployment_raw[[#This Row],[Column2]]), "", deployment_raw[[#This Row],[Column2]])</f>
        <v/>
      </c>
      <c r="C122" s="36" t="str">
        <f>IF(ISNONTEXT(deployment_raw[[#This Row],[Column3]]), "", deployment_raw[[#This Row],[Column3]])</f>
        <v/>
      </c>
      <c r="D122" s="36" t="str">
        <f>IF(ISNONTEXT(deployment_raw[[#This Row],[Column4]]), "", deployment_raw[[#This Row],[Column4]])</f>
        <v/>
      </c>
      <c r="E122" s="37" t="str">
        <f>IF(ISNUMBER(deployment_raw[[#This Row],[Column5]]), deployment_raw[[#This Row],[Column5]],"")</f>
        <v/>
      </c>
      <c r="F122" s="94" t="str">
        <f>IF(ISNUMBER(deployment_raw[[#This Row],[Column6]]), (deployment_raw[[#This Row],[Column6]] * IF($E$2="Deployment",deployment_raw[[#This Row],[Column5]],1)),"")</f>
        <v/>
      </c>
      <c r="G122" s="95" t="str">
        <f>IF(ISNUMBER(deployment_raw[[#This Row],[Column7]]), (deployment_raw[[#This Row],[Column7]] * IF($E$2="Deployment",deployment_raw[[#This Row],[Column5]],1))/1048576,"")</f>
        <v/>
      </c>
      <c r="H122" s="95" t="str">
        <f>IF(ISNUMBER(deployment_raw[[#This Row],[Column8]]), (deployment_raw[[#This Row],[Column8]]  * IF($E$2="Deployment",deployment_raw[[#This Row],[Column5]],1)),"")</f>
        <v/>
      </c>
      <c r="I122" s="96" t="str">
        <f>IF(ISNUMBER(deployment_raw[[#This Row],[Column9]]), (deployment_raw[[#This Row],[Column9]] * IF($E$2="Deployment",deployment_raw[[#This Row],[Column5]],1))/1048576,"")</f>
        <v/>
      </c>
      <c r="J122" s="122" t="str">
        <f>IF(ISNUMBER(deployment_raw[[#This Row],[Column10]]), (MIN(IF(N122&lt;&gt;"",N122,9999999999999)*1.1,deployment_raw[[#This Row],[Column10]] * IF($E$2="Deployment",deployment_raw[[#This Row],[Column5]],1))),"")</f>
        <v/>
      </c>
      <c r="K122" s="123" t="str">
        <f>IF(ISNUMBER(deployment_raw[[#This Row],[Column11]]), (MIN(IF(O122&lt;&gt;"",O122,9999999999999)*1.1,deployment_raw[[#This Row],[Column11]] * IF($E$2="Deployment",deployment_raw[[#This Row],[Column5]],1)/1048576)),"")</f>
        <v/>
      </c>
      <c r="L122" s="124" t="str">
        <f>IF(ISNUMBER(deployment_raw[[#This Row],[Column8]]),IF(OR(deployment_raw[[#This Row],[Column5]] &lt;&gt; 0,$E$2 &lt;&gt; "Deployment"), MAX(J122, P122, R122, ($L$2 * IF($E$2="Deployment",deployment_raw[[#This Row],[Column5]],1)),IF(T122&lt;&gt;"",VALUE(T122) * IF($E$2="Deployment",deployment_raw[[#This Row],[Column5]],1),0)), 0),"")</f>
        <v/>
      </c>
      <c r="M122" s="125" t="str">
        <f>IF(ISNUMBER(deployment_raw[[#This Row],[Column9]]),IF(OR(deployment_raw[[#This Row],[Column5]] &lt;&gt; 0,$E$2&lt;&gt;"Deployment"), MAX(K122, Q122, S122, ($M$2 * IF($E$2="Deployment",deployment_raw[[#This Row],[Column5]],1)),IF(U122&lt;&gt;"",VALUE(U122) * IF($E$2="Deployment",deployment_raw[[#This Row],[Column5]],1),0)), 0),"")</f>
        <v/>
      </c>
      <c r="N122" s="166" t="str">
        <f>IF(ISNUMBER(deployment_raw[[#This Row],[Column14]]), deployment_raw[[#This Row],[Column14]]/IF(OR($E$2="Deployment",deployment_raw[[#This Row],[Column5]]=0),1,deployment_raw[[#This Row],[Column5]]),"")</f>
        <v/>
      </c>
      <c r="O122" s="167" t="str">
        <f>IF(ISNUMBER(deployment_raw[[#This Row],[Column15]]), deployment_raw[[#This Row],[Column15]]/IF(OR($E$2="Deployment",deployment_raw[[#This Row],[Column5]]=0),1,deployment_raw[[#This Row],[Column5]])/1048576,"")</f>
        <v/>
      </c>
      <c r="P122" s="168" t="str">
        <f>IF(ISNUMBER(deployment_raw[[#This Row],[Column12]]), (MIN(IF(N122&lt;&gt;"",N122,9999999999999)*1.1,deployment_raw[[#This Row],[Column12]] * IF($E$2="Deployment",deployment_raw[[#This Row],[Column5]],1))*(1+$P$2)),"")</f>
        <v/>
      </c>
      <c r="Q122" s="167" t="str">
        <f>IF(ISNUMBER(deployment_raw[[#This Row],[Column13]]), (MIN(IF(O122&lt;&gt;"",O122,9999999999999)*1.1,deployment_raw[[#This Row],[Column13]] * IF($E$2="Deployment",deployment_raw[[#This Row],[Column5]],1)*(1+$Q$2)/1048576)),"")</f>
        <v/>
      </c>
      <c r="R122" s="169" t="str">
        <f>IF(ISNUMBER(deployment_raw[[#This Row],[Column8]]), (H122  * IF(N122&lt;&gt;0,$R$2,1)),"")</f>
        <v/>
      </c>
      <c r="S122" s="170" t="str">
        <f>IF(ISNUMBER(deployment_raw[[#This Row],[Column8]]), (I122  * IF(O122&lt;&gt;0,$S$2,1)),"")</f>
        <v/>
      </c>
      <c r="T122" s="202" t="str">
        <f>IF(AND(A122&lt;&gt;"",_xlfn.IFNA(MATCH(A122,'dynamic resource application '!$A$2:$A$100, 0),0)&lt;&gt;0), H122/(IF($E$2="Deployment",E122,1)),"")</f>
        <v/>
      </c>
      <c r="U122" s="211" t="str">
        <f>IF(AND(A122&lt;&gt;"",_xlfn.IFNA(MATCH(A122,'dynamic resource application '!$A$2:$A$100, 0),0)&lt;&gt;0), I122/(IF($E$2="Deployment",E122,1)),"")</f>
        <v/>
      </c>
    </row>
    <row r="123" spans="1:21" ht="15.75" customHeight="1" x14ac:dyDescent="0.25">
      <c r="A123" s="35" t="str">
        <f>IF(ISNONTEXT(deployment_raw[[#This Row],[Column1]]), "", deployment_raw[[#This Row],[Column1]])</f>
        <v/>
      </c>
      <c r="B123" s="36" t="str">
        <f>IF(ISNONTEXT(deployment_raw[[#This Row],[Column2]]), "", deployment_raw[[#This Row],[Column2]])</f>
        <v/>
      </c>
      <c r="C123" s="36" t="str">
        <f>IF(ISNONTEXT(deployment_raw[[#This Row],[Column3]]), "", deployment_raw[[#This Row],[Column3]])</f>
        <v/>
      </c>
      <c r="D123" s="36" t="str">
        <f>IF(ISNONTEXT(deployment_raw[[#This Row],[Column4]]), "", deployment_raw[[#This Row],[Column4]])</f>
        <v/>
      </c>
      <c r="E123" s="37" t="str">
        <f>IF(ISNUMBER(deployment_raw[[#This Row],[Column5]]), deployment_raw[[#This Row],[Column5]],"")</f>
        <v/>
      </c>
      <c r="F123" s="94" t="str">
        <f>IF(ISNUMBER(deployment_raw[[#This Row],[Column6]]), (deployment_raw[[#This Row],[Column6]] * IF($E$2="Deployment",deployment_raw[[#This Row],[Column5]],1)),"")</f>
        <v/>
      </c>
      <c r="G123" s="95" t="str">
        <f>IF(ISNUMBER(deployment_raw[[#This Row],[Column7]]), (deployment_raw[[#This Row],[Column7]] * IF($E$2="Deployment",deployment_raw[[#This Row],[Column5]],1))/1048576,"")</f>
        <v/>
      </c>
      <c r="H123" s="95" t="str">
        <f>IF(ISNUMBER(deployment_raw[[#This Row],[Column8]]), (deployment_raw[[#This Row],[Column8]]  * IF($E$2="Deployment",deployment_raw[[#This Row],[Column5]],1)),"")</f>
        <v/>
      </c>
      <c r="I123" s="96" t="str">
        <f>IF(ISNUMBER(deployment_raw[[#This Row],[Column9]]), (deployment_raw[[#This Row],[Column9]] * IF($E$2="Deployment",deployment_raw[[#This Row],[Column5]],1))/1048576,"")</f>
        <v/>
      </c>
      <c r="J123" s="122" t="str">
        <f>IF(ISNUMBER(deployment_raw[[#This Row],[Column10]]), (MIN(IF(N123&lt;&gt;"",N123,9999999999999)*1.1,deployment_raw[[#This Row],[Column10]] * IF($E$2="Deployment",deployment_raw[[#This Row],[Column5]],1))),"")</f>
        <v/>
      </c>
      <c r="K123" s="123" t="str">
        <f>IF(ISNUMBER(deployment_raw[[#This Row],[Column11]]), (MIN(IF(O123&lt;&gt;"",O123,9999999999999)*1.1,deployment_raw[[#This Row],[Column11]] * IF($E$2="Deployment",deployment_raw[[#This Row],[Column5]],1)/1048576)),"")</f>
        <v/>
      </c>
      <c r="L123" s="124" t="str">
        <f>IF(ISNUMBER(deployment_raw[[#This Row],[Column8]]),IF(OR(deployment_raw[[#This Row],[Column5]] &lt;&gt; 0,$E$2 &lt;&gt; "Deployment"), MAX(J123, P123, R123, ($L$2 * IF($E$2="Deployment",deployment_raw[[#This Row],[Column5]],1)),IF(T123&lt;&gt;"",VALUE(T123) * IF($E$2="Deployment",deployment_raw[[#This Row],[Column5]],1),0)), 0),"")</f>
        <v/>
      </c>
      <c r="M123" s="125" t="str">
        <f>IF(ISNUMBER(deployment_raw[[#This Row],[Column9]]),IF(OR(deployment_raw[[#This Row],[Column5]] &lt;&gt; 0,$E$2&lt;&gt;"Deployment"), MAX(K123, Q123, S123, ($M$2 * IF($E$2="Deployment",deployment_raw[[#This Row],[Column5]],1)),IF(U123&lt;&gt;"",VALUE(U123) * IF($E$2="Deployment",deployment_raw[[#This Row],[Column5]],1),0)), 0),"")</f>
        <v/>
      </c>
      <c r="N123" s="166" t="str">
        <f>IF(ISNUMBER(deployment_raw[[#This Row],[Column14]]), deployment_raw[[#This Row],[Column14]]/IF(OR($E$2="Deployment",deployment_raw[[#This Row],[Column5]]=0),1,deployment_raw[[#This Row],[Column5]]),"")</f>
        <v/>
      </c>
      <c r="O123" s="167" t="str">
        <f>IF(ISNUMBER(deployment_raw[[#This Row],[Column15]]), deployment_raw[[#This Row],[Column15]]/IF(OR($E$2="Deployment",deployment_raw[[#This Row],[Column5]]=0),1,deployment_raw[[#This Row],[Column5]])/1048576,"")</f>
        <v/>
      </c>
      <c r="P123" s="168" t="str">
        <f>IF(ISNUMBER(deployment_raw[[#This Row],[Column12]]), (MIN(IF(N123&lt;&gt;"",N123,9999999999999)*1.1,deployment_raw[[#This Row],[Column12]] * IF($E$2="Deployment",deployment_raw[[#This Row],[Column5]],1))*(1+$P$2)),"")</f>
        <v/>
      </c>
      <c r="Q123" s="167" t="str">
        <f>IF(ISNUMBER(deployment_raw[[#This Row],[Column13]]), (MIN(IF(O123&lt;&gt;"",O123,9999999999999)*1.1,deployment_raw[[#This Row],[Column13]] * IF($E$2="Deployment",deployment_raw[[#This Row],[Column5]],1)*(1+$Q$2)/1048576)),"")</f>
        <v/>
      </c>
      <c r="R123" s="169" t="str">
        <f>IF(ISNUMBER(deployment_raw[[#This Row],[Column8]]), (H123  * IF(N123&lt;&gt;0,$R$2,1)),"")</f>
        <v/>
      </c>
      <c r="S123" s="170" t="str">
        <f>IF(ISNUMBER(deployment_raw[[#This Row],[Column8]]), (I123  * IF(O123&lt;&gt;0,$S$2,1)),"")</f>
        <v/>
      </c>
      <c r="T123" s="202" t="str">
        <f>IF(AND(A123&lt;&gt;"",_xlfn.IFNA(MATCH(A123,'dynamic resource application '!$A$2:$A$100, 0),0)&lt;&gt;0), H123/(IF($E$2="Deployment",E123,1)),"")</f>
        <v/>
      </c>
      <c r="U123" s="211" t="str">
        <f>IF(AND(A123&lt;&gt;"",_xlfn.IFNA(MATCH(A123,'dynamic resource application '!$A$2:$A$100, 0),0)&lt;&gt;0), I123/(IF($E$2="Deployment",E123,1)),"")</f>
        <v/>
      </c>
    </row>
    <row r="124" spans="1:21" ht="15.75" customHeight="1" x14ac:dyDescent="0.25">
      <c r="A124" s="35" t="str">
        <f>IF(ISNONTEXT(deployment_raw[[#This Row],[Column1]]), "", deployment_raw[[#This Row],[Column1]])</f>
        <v/>
      </c>
      <c r="B124" s="36" t="str">
        <f>IF(ISNONTEXT(deployment_raw[[#This Row],[Column2]]), "", deployment_raw[[#This Row],[Column2]])</f>
        <v/>
      </c>
      <c r="C124" s="36" t="str">
        <f>IF(ISNONTEXT(deployment_raw[[#This Row],[Column3]]), "", deployment_raw[[#This Row],[Column3]])</f>
        <v/>
      </c>
      <c r="D124" s="36" t="str">
        <f>IF(ISNONTEXT(deployment_raw[[#This Row],[Column4]]), "", deployment_raw[[#This Row],[Column4]])</f>
        <v/>
      </c>
      <c r="E124" s="37" t="str">
        <f>IF(ISNUMBER(deployment_raw[[#This Row],[Column5]]), deployment_raw[[#This Row],[Column5]],"")</f>
        <v/>
      </c>
      <c r="F124" s="94" t="str">
        <f>IF(ISNUMBER(deployment_raw[[#This Row],[Column6]]), (deployment_raw[[#This Row],[Column6]] * IF($E$2="Deployment",deployment_raw[[#This Row],[Column5]],1)),"")</f>
        <v/>
      </c>
      <c r="G124" s="95" t="str">
        <f>IF(ISNUMBER(deployment_raw[[#This Row],[Column7]]), (deployment_raw[[#This Row],[Column7]] * IF($E$2="Deployment",deployment_raw[[#This Row],[Column5]],1))/1048576,"")</f>
        <v/>
      </c>
      <c r="H124" s="95" t="str">
        <f>IF(ISNUMBER(deployment_raw[[#This Row],[Column8]]), (deployment_raw[[#This Row],[Column8]]  * IF($E$2="Deployment",deployment_raw[[#This Row],[Column5]],1)),"")</f>
        <v/>
      </c>
      <c r="I124" s="96" t="str">
        <f>IF(ISNUMBER(deployment_raw[[#This Row],[Column9]]), (deployment_raw[[#This Row],[Column9]] * IF($E$2="Deployment",deployment_raw[[#This Row],[Column5]],1))/1048576,"")</f>
        <v/>
      </c>
      <c r="J124" s="122" t="str">
        <f>IF(ISNUMBER(deployment_raw[[#This Row],[Column10]]), (MIN(IF(N124&lt;&gt;"",N124,9999999999999)*1.1,deployment_raw[[#This Row],[Column10]] * IF($E$2="Deployment",deployment_raw[[#This Row],[Column5]],1))),"")</f>
        <v/>
      </c>
      <c r="K124" s="123" t="str">
        <f>IF(ISNUMBER(deployment_raw[[#This Row],[Column11]]), (MIN(IF(O124&lt;&gt;"",O124,9999999999999)*1.1,deployment_raw[[#This Row],[Column11]] * IF($E$2="Deployment",deployment_raw[[#This Row],[Column5]],1)/1048576)),"")</f>
        <v/>
      </c>
      <c r="L124" s="124" t="str">
        <f>IF(ISNUMBER(deployment_raw[[#This Row],[Column8]]),IF(OR(deployment_raw[[#This Row],[Column5]] &lt;&gt; 0,$E$2 &lt;&gt; "Deployment"), MAX(J124, P124, R124, ($L$2 * IF($E$2="Deployment",deployment_raw[[#This Row],[Column5]],1)),IF(T124&lt;&gt;"",VALUE(T124) * IF($E$2="Deployment",deployment_raw[[#This Row],[Column5]],1),0)), 0),"")</f>
        <v/>
      </c>
      <c r="M124" s="125" t="str">
        <f>IF(ISNUMBER(deployment_raw[[#This Row],[Column9]]),IF(OR(deployment_raw[[#This Row],[Column5]] &lt;&gt; 0,$E$2&lt;&gt;"Deployment"), MAX(K124, Q124, S124, ($M$2 * IF($E$2="Deployment",deployment_raw[[#This Row],[Column5]],1)),IF(U124&lt;&gt;"",VALUE(U124) * IF($E$2="Deployment",deployment_raw[[#This Row],[Column5]],1),0)), 0),"")</f>
        <v/>
      </c>
      <c r="N124" s="166" t="str">
        <f>IF(ISNUMBER(deployment_raw[[#This Row],[Column14]]), deployment_raw[[#This Row],[Column14]]/IF(OR($E$2="Deployment",deployment_raw[[#This Row],[Column5]]=0),1,deployment_raw[[#This Row],[Column5]]),"")</f>
        <v/>
      </c>
      <c r="O124" s="167" t="str">
        <f>IF(ISNUMBER(deployment_raw[[#This Row],[Column15]]), deployment_raw[[#This Row],[Column15]]/IF(OR($E$2="Deployment",deployment_raw[[#This Row],[Column5]]=0),1,deployment_raw[[#This Row],[Column5]])/1048576,"")</f>
        <v/>
      </c>
      <c r="P124" s="168" t="str">
        <f>IF(ISNUMBER(deployment_raw[[#This Row],[Column12]]), (MIN(IF(N124&lt;&gt;"",N124,9999999999999)*1.1,deployment_raw[[#This Row],[Column12]] * IF($E$2="Deployment",deployment_raw[[#This Row],[Column5]],1))*(1+$P$2)),"")</f>
        <v/>
      </c>
      <c r="Q124" s="167" t="str">
        <f>IF(ISNUMBER(deployment_raw[[#This Row],[Column13]]), (MIN(IF(O124&lt;&gt;"",O124,9999999999999)*1.1,deployment_raw[[#This Row],[Column13]] * IF($E$2="Deployment",deployment_raw[[#This Row],[Column5]],1)*(1+$Q$2)/1048576)),"")</f>
        <v/>
      </c>
      <c r="R124" s="169" t="str">
        <f>IF(ISNUMBER(deployment_raw[[#This Row],[Column8]]), (H124  * IF(N124&lt;&gt;0,$R$2,1)),"")</f>
        <v/>
      </c>
      <c r="S124" s="170" t="str">
        <f>IF(ISNUMBER(deployment_raw[[#This Row],[Column8]]), (I124  * IF(O124&lt;&gt;0,$S$2,1)),"")</f>
        <v/>
      </c>
      <c r="T124" s="202" t="str">
        <f>IF(AND(A124&lt;&gt;"",_xlfn.IFNA(MATCH(A124,'dynamic resource application '!$A$2:$A$100, 0),0)&lt;&gt;0), H124/(IF($E$2="Deployment",E124,1)),"")</f>
        <v/>
      </c>
      <c r="U124" s="211" t="str">
        <f>IF(AND(A124&lt;&gt;"",_xlfn.IFNA(MATCH(A124,'dynamic resource application '!$A$2:$A$100, 0),0)&lt;&gt;0), I124/(IF($E$2="Deployment",E124,1)),"")</f>
        <v/>
      </c>
    </row>
    <row r="125" spans="1:21" ht="15.75" customHeight="1" x14ac:dyDescent="0.25">
      <c r="A125" s="35" t="str">
        <f>IF(ISNONTEXT(deployment_raw[[#This Row],[Column1]]), "", deployment_raw[[#This Row],[Column1]])</f>
        <v/>
      </c>
      <c r="B125" s="36" t="str">
        <f>IF(ISNONTEXT(deployment_raw[[#This Row],[Column2]]), "", deployment_raw[[#This Row],[Column2]])</f>
        <v/>
      </c>
      <c r="C125" s="36" t="str">
        <f>IF(ISNONTEXT(deployment_raw[[#This Row],[Column3]]), "", deployment_raw[[#This Row],[Column3]])</f>
        <v/>
      </c>
      <c r="D125" s="36" t="str">
        <f>IF(ISNONTEXT(deployment_raw[[#This Row],[Column4]]), "", deployment_raw[[#This Row],[Column4]])</f>
        <v/>
      </c>
      <c r="E125" s="37" t="str">
        <f>IF(ISNUMBER(deployment_raw[[#This Row],[Column5]]), deployment_raw[[#This Row],[Column5]],"")</f>
        <v/>
      </c>
      <c r="F125" s="94" t="str">
        <f>IF(ISNUMBER(deployment_raw[[#This Row],[Column6]]), (deployment_raw[[#This Row],[Column6]] * IF($E$2="Deployment",deployment_raw[[#This Row],[Column5]],1)),"")</f>
        <v/>
      </c>
      <c r="G125" s="95" t="str">
        <f>IF(ISNUMBER(deployment_raw[[#This Row],[Column7]]), (deployment_raw[[#This Row],[Column7]] * IF($E$2="Deployment",deployment_raw[[#This Row],[Column5]],1))/1048576,"")</f>
        <v/>
      </c>
      <c r="H125" s="95" t="str">
        <f>IF(ISNUMBER(deployment_raw[[#This Row],[Column8]]), (deployment_raw[[#This Row],[Column8]]  * IF($E$2="Deployment",deployment_raw[[#This Row],[Column5]],1)),"")</f>
        <v/>
      </c>
      <c r="I125" s="96" t="str">
        <f>IF(ISNUMBER(deployment_raw[[#This Row],[Column9]]), (deployment_raw[[#This Row],[Column9]] * IF($E$2="Deployment",deployment_raw[[#This Row],[Column5]],1))/1048576,"")</f>
        <v/>
      </c>
      <c r="J125" s="122" t="str">
        <f>IF(ISNUMBER(deployment_raw[[#This Row],[Column10]]), (MIN(IF(N125&lt;&gt;"",N125,9999999999999)*1.1,deployment_raw[[#This Row],[Column10]] * IF($E$2="Deployment",deployment_raw[[#This Row],[Column5]],1))),"")</f>
        <v/>
      </c>
      <c r="K125" s="123" t="str">
        <f>IF(ISNUMBER(deployment_raw[[#This Row],[Column11]]), (MIN(IF(O125&lt;&gt;"",O125,9999999999999)*1.1,deployment_raw[[#This Row],[Column11]] * IF($E$2="Deployment",deployment_raw[[#This Row],[Column5]],1)/1048576)),"")</f>
        <v/>
      </c>
      <c r="L125" s="124" t="str">
        <f>IF(ISNUMBER(deployment_raw[[#This Row],[Column8]]),IF(OR(deployment_raw[[#This Row],[Column5]] &lt;&gt; 0,$E$2 &lt;&gt; "Deployment"), MAX(J125, P125, R125, ($L$2 * IF($E$2="Deployment",deployment_raw[[#This Row],[Column5]],1)),IF(T125&lt;&gt;"",VALUE(T125) * IF($E$2="Deployment",deployment_raw[[#This Row],[Column5]],1),0)), 0),"")</f>
        <v/>
      </c>
      <c r="M125" s="125" t="str">
        <f>IF(ISNUMBER(deployment_raw[[#This Row],[Column9]]),IF(OR(deployment_raw[[#This Row],[Column5]] &lt;&gt; 0,$E$2&lt;&gt;"Deployment"), MAX(K125, Q125, S125, ($M$2 * IF($E$2="Deployment",deployment_raw[[#This Row],[Column5]],1)),IF(U125&lt;&gt;"",VALUE(U125) * IF($E$2="Deployment",deployment_raw[[#This Row],[Column5]],1),0)), 0),"")</f>
        <v/>
      </c>
      <c r="N125" s="166" t="str">
        <f>IF(ISNUMBER(deployment_raw[[#This Row],[Column14]]), deployment_raw[[#This Row],[Column14]]/IF(OR($E$2="Deployment",deployment_raw[[#This Row],[Column5]]=0),1,deployment_raw[[#This Row],[Column5]]),"")</f>
        <v/>
      </c>
      <c r="O125" s="167" t="str">
        <f>IF(ISNUMBER(deployment_raw[[#This Row],[Column15]]), deployment_raw[[#This Row],[Column15]]/IF(OR($E$2="Deployment",deployment_raw[[#This Row],[Column5]]=0),1,deployment_raw[[#This Row],[Column5]])/1048576,"")</f>
        <v/>
      </c>
      <c r="P125" s="168" t="str">
        <f>IF(ISNUMBER(deployment_raw[[#This Row],[Column12]]), (MIN(IF(N125&lt;&gt;"",N125,9999999999999)*1.1,deployment_raw[[#This Row],[Column12]] * IF($E$2="Deployment",deployment_raw[[#This Row],[Column5]],1))*(1+$P$2)),"")</f>
        <v/>
      </c>
      <c r="Q125" s="167" t="str">
        <f>IF(ISNUMBER(deployment_raw[[#This Row],[Column13]]), (MIN(IF(O125&lt;&gt;"",O125,9999999999999)*1.1,deployment_raw[[#This Row],[Column13]] * IF($E$2="Deployment",deployment_raw[[#This Row],[Column5]],1)*(1+$Q$2)/1048576)),"")</f>
        <v/>
      </c>
      <c r="R125" s="169" t="str">
        <f>IF(ISNUMBER(deployment_raw[[#This Row],[Column8]]), (H125  * IF(N125&lt;&gt;0,$R$2,1)),"")</f>
        <v/>
      </c>
      <c r="S125" s="170" t="str">
        <f>IF(ISNUMBER(deployment_raw[[#This Row],[Column8]]), (I125  * IF(O125&lt;&gt;0,$S$2,1)),"")</f>
        <v/>
      </c>
      <c r="T125" s="202" t="str">
        <f>IF(AND(A125&lt;&gt;"",_xlfn.IFNA(MATCH(A125,'dynamic resource application '!$A$2:$A$100, 0),0)&lt;&gt;0), H125/(IF($E$2="Deployment",E125,1)),"")</f>
        <v/>
      </c>
      <c r="U125" s="211" t="str">
        <f>IF(AND(A125&lt;&gt;"",_xlfn.IFNA(MATCH(A125,'dynamic resource application '!$A$2:$A$100, 0),0)&lt;&gt;0), I125/(IF($E$2="Deployment",E125,1)),"")</f>
        <v/>
      </c>
    </row>
    <row r="126" spans="1:21" ht="15.75" customHeight="1" x14ac:dyDescent="0.25">
      <c r="A126" s="35" t="str">
        <f>IF(ISNONTEXT(deployment_raw[[#This Row],[Column1]]), "", deployment_raw[[#This Row],[Column1]])</f>
        <v/>
      </c>
      <c r="B126" s="36" t="str">
        <f>IF(ISNONTEXT(deployment_raw[[#This Row],[Column2]]), "", deployment_raw[[#This Row],[Column2]])</f>
        <v/>
      </c>
      <c r="C126" s="36" t="str">
        <f>IF(ISNONTEXT(deployment_raw[[#This Row],[Column3]]), "", deployment_raw[[#This Row],[Column3]])</f>
        <v/>
      </c>
      <c r="D126" s="36" t="str">
        <f>IF(ISNONTEXT(deployment_raw[[#This Row],[Column4]]), "", deployment_raw[[#This Row],[Column4]])</f>
        <v/>
      </c>
      <c r="E126" s="37" t="str">
        <f>IF(ISNUMBER(deployment_raw[[#This Row],[Column5]]), deployment_raw[[#This Row],[Column5]],"")</f>
        <v/>
      </c>
      <c r="F126" s="94" t="str">
        <f>IF(ISNUMBER(deployment_raw[[#This Row],[Column6]]), (deployment_raw[[#This Row],[Column6]] * IF($E$2="Deployment",deployment_raw[[#This Row],[Column5]],1)),"")</f>
        <v/>
      </c>
      <c r="G126" s="95" t="str">
        <f>IF(ISNUMBER(deployment_raw[[#This Row],[Column7]]), (deployment_raw[[#This Row],[Column7]] * IF($E$2="Deployment",deployment_raw[[#This Row],[Column5]],1))/1048576,"")</f>
        <v/>
      </c>
      <c r="H126" s="95" t="str">
        <f>IF(ISNUMBER(deployment_raw[[#This Row],[Column8]]), (deployment_raw[[#This Row],[Column8]]  * IF($E$2="Deployment",deployment_raw[[#This Row],[Column5]],1)),"")</f>
        <v/>
      </c>
      <c r="I126" s="96" t="str">
        <f>IF(ISNUMBER(deployment_raw[[#This Row],[Column9]]), (deployment_raw[[#This Row],[Column9]] * IF($E$2="Deployment",deployment_raw[[#This Row],[Column5]],1))/1048576,"")</f>
        <v/>
      </c>
      <c r="J126" s="122" t="str">
        <f>IF(ISNUMBER(deployment_raw[[#This Row],[Column10]]), (MIN(IF(N126&lt;&gt;"",N126,9999999999999)*1.1,deployment_raw[[#This Row],[Column10]] * IF($E$2="Deployment",deployment_raw[[#This Row],[Column5]],1))),"")</f>
        <v/>
      </c>
      <c r="K126" s="123" t="str">
        <f>IF(ISNUMBER(deployment_raw[[#This Row],[Column11]]), (MIN(IF(O126&lt;&gt;"",O126,9999999999999)*1.1,deployment_raw[[#This Row],[Column11]] * IF($E$2="Deployment",deployment_raw[[#This Row],[Column5]],1)/1048576)),"")</f>
        <v/>
      </c>
      <c r="L126" s="124" t="str">
        <f>IF(ISNUMBER(deployment_raw[[#This Row],[Column8]]),IF(OR(deployment_raw[[#This Row],[Column5]] &lt;&gt; 0,$E$2 &lt;&gt; "Deployment"), MAX(J126, P126, R126, ($L$2 * IF($E$2="Deployment",deployment_raw[[#This Row],[Column5]],1)),IF(T126&lt;&gt;"",VALUE(T126) * IF($E$2="Deployment",deployment_raw[[#This Row],[Column5]],1),0)), 0),"")</f>
        <v/>
      </c>
      <c r="M126" s="125" t="str">
        <f>IF(ISNUMBER(deployment_raw[[#This Row],[Column9]]),IF(OR(deployment_raw[[#This Row],[Column5]] &lt;&gt; 0,$E$2&lt;&gt;"Deployment"), MAX(K126, Q126, S126, ($M$2 * IF($E$2="Deployment",deployment_raw[[#This Row],[Column5]],1)),IF(U126&lt;&gt;"",VALUE(U126) * IF($E$2="Deployment",deployment_raw[[#This Row],[Column5]],1),0)), 0),"")</f>
        <v/>
      </c>
      <c r="N126" s="166" t="str">
        <f>IF(ISNUMBER(deployment_raw[[#This Row],[Column14]]), deployment_raw[[#This Row],[Column14]]/IF(OR($E$2="Deployment",deployment_raw[[#This Row],[Column5]]=0),1,deployment_raw[[#This Row],[Column5]]),"")</f>
        <v/>
      </c>
      <c r="O126" s="167" t="str">
        <f>IF(ISNUMBER(deployment_raw[[#This Row],[Column15]]), deployment_raw[[#This Row],[Column15]]/IF(OR($E$2="Deployment",deployment_raw[[#This Row],[Column5]]=0),1,deployment_raw[[#This Row],[Column5]])/1048576,"")</f>
        <v/>
      </c>
      <c r="P126" s="168" t="str">
        <f>IF(ISNUMBER(deployment_raw[[#This Row],[Column12]]), (MIN(IF(N126&lt;&gt;"",N126,9999999999999)*1.1,deployment_raw[[#This Row],[Column12]] * IF($E$2="Deployment",deployment_raw[[#This Row],[Column5]],1))*(1+$P$2)),"")</f>
        <v/>
      </c>
      <c r="Q126" s="167" t="str">
        <f>IF(ISNUMBER(deployment_raw[[#This Row],[Column13]]), (MIN(IF(O126&lt;&gt;"",O126,9999999999999)*1.1,deployment_raw[[#This Row],[Column13]] * IF($E$2="Deployment",deployment_raw[[#This Row],[Column5]],1)*(1+$Q$2)/1048576)),"")</f>
        <v/>
      </c>
      <c r="R126" s="169" t="str">
        <f>IF(ISNUMBER(deployment_raw[[#This Row],[Column8]]), (H126  * IF(N126&lt;&gt;0,$R$2,1)),"")</f>
        <v/>
      </c>
      <c r="S126" s="170" t="str">
        <f>IF(ISNUMBER(deployment_raw[[#This Row],[Column8]]), (I126  * IF(O126&lt;&gt;0,$S$2,1)),"")</f>
        <v/>
      </c>
      <c r="T126" s="202" t="str">
        <f>IF(AND(A126&lt;&gt;"",_xlfn.IFNA(MATCH(A126,'dynamic resource application '!$A$2:$A$100, 0),0)&lt;&gt;0), H126/(IF($E$2="Deployment",E126,1)),"")</f>
        <v/>
      </c>
      <c r="U126" s="211" t="str">
        <f>IF(AND(A126&lt;&gt;"",_xlfn.IFNA(MATCH(A126,'dynamic resource application '!$A$2:$A$100, 0),0)&lt;&gt;0), I126/(IF($E$2="Deployment",E126,1)),"")</f>
        <v/>
      </c>
    </row>
    <row r="127" spans="1:21" ht="15.75" customHeight="1" x14ac:dyDescent="0.25">
      <c r="A127" s="35" t="str">
        <f>IF(ISNONTEXT(deployment_raw[[#This Row],[Column1]]), "", deployment_raw[[#This Row],[Column1]])</f>
        <v/>
      </c>
      <c r="B127" s="36" t="str">
        <f>IF(ISNONTEXT(deployment_raw[[#This Row],[Column2]]), "", deployment_raw[[#This Row],[Column2]])</f>
        <v/>
      </c>
      <c r="C127" s="36" t="str">
        <f>IF(ISNONTEXT(deployment_raw[[#This Row],[Column3]]), "", deployment_raw[[#This Row],[Column3]])</f>
        <v/>
      </c>
      <c r="D127" s="36" t="str">
        <f>IF(ISNONTEXT(deployment_raw[[#This Row],[Column4]]), "", deployment_raw[[#This Row],[Column4]])</f>
        <v/>
      </c>
      <c r="E127" s="37" t="str">
        <f>IF(ISNUMBER(deployment_raw[[#This Row],[Column5]]), deployment_raw[[#This Row],[Column5]],"")</f>
        <v/>
      </c>
      <c r="F127" s="94" t="str">
        <f>IF(ISNUMBER(deployment_raw[[#This Row],[Column6]]), (deployment_raw[[#This Row],[Column6]] * IF($E$2="Deployment",deployment_raw[[#This Row],[Column5]],1)),"")</f>
        <v/>
      </c>
      <c r="G127" s="95" t="str">
        <f>IF(ISNUMBER(deployment_raw[[#This Row],[Column7]]), (deployment_raw[[#This Row],[Column7]] * IF($E$2="Deployment",deployment_raw[[#This Row],[Column5]],1))/1048576,"")</f>
        <v/>
      </c>
      <c r="H127" s="95" t="str">
        <f>IF(ISNUMBER(deployment_raw[[#This Row],[Column8]]), (deployment_raw[[#This Row],[Column8]]  * IF($E$2="Deployment",deployment_raw[[#This Row],[Column5]],1)),"")</f>
        <v/>
      </c>
      <c r="I127" s="96" t="str">
        <f>IF(ISNUMBER(deployment_raw[[#This Row],[Column9]]), (deployment_raw[[#This Row],[Column9]] * IF($E$2="Deployment",deployment_raw[[#This Row],[Column5]],1))/1048576,"")</f>
        <v/>
      </c>
      <c r="J127" s="122" t="str">
        <f>IF(ISNUMBER(deployment_raw[[#This Row],[Column10]]), (MIN(IF(N127&lt;&gt;"",N127,9999999999999)*1.1,deployment_raw[[#This Row],[Column10]] * IF($E$2="Deployment",deployment_raw[[#This Row],[Column5]],1))),"")</f>
        <v/>
      </c>
      <c r="K127" s="123" t="str">
        <f>IF(ISNUMBER(deployment_raw[[#This Row],[Column11]]), (MIN(IF(O127&lt;&gt;"",O127,9999999999999)*1.1,deployment_raw[[#This Row],[Column11]] * IF($E$2="Deployment",deployment_raw[[#This Row],[Column5]],1)/1048576)),"")</f>
        <v/>
      </c>
      <c r="L127" s="124" t="str">
        <f>IF(ISNUMBER(deployment_raw[[#This Row],[Column8]]),IF(OR(deployment_raw[[#This Row],[Column5]] &lt;&gt; 0,$E$2 &lt;&gt; "Deployment"), MAX(J127, P127, R127, ($L$2 * IF($E$2="Deployment",deployment_raw[[#This Row],[Column5]],1)),IF(T127&lt;&gt;"",VALUE(T127) * IF($E$2="Deployment",deployment_raw[[#This Row],[Column5]],1),0)), 0),"")</f>
        <v/>
      </c>
      <c r="M127" s="125" t="str">
        <f>IF(ISNUMBER(deployment_raw[[#This Row],[Column9]]),IF(OR(deployment_raw[[#This Row],[Column5]] &lt;&gt; 0,$E$2&lt;&gt;"Deployment"), MAX(K127, Q127, S127, ($M$2 * IF($E$2="Deployment",deployment_raw[[#This Row],[Column5]],1)),IF(U127&lt;&gt;"",VALUE(U127) * IF($E$2="Deployment",deployment_raw[[#This Row],[Column5]],1),0)), 0),"")</f>
        <v/>
      </c>
      <c r="N127" s="166" t="str">
        <f>IF(ISNUMBER(deployment_raw[[#This Row],[Column14]]), deployment_raw[[#This Row],[Column14]]/IF(OR($E$2="Deployment",deployment_raw[[#This Row],[Column5]]=0),1,deployment_raw[[#This Row],[Column5]]),"")</f>
        <v/>
      </c>
      <c r="O127" s="167" t="str">
        <f>IF(ISNUMBER(deployment_raw[[#This Row],[Column15]]), deployment_raw[[#This Row],[Column15]]/IF(OR($E$2="Deployment",deployment_raw[[#This Row],[Column5]]=0),1,deployment_raw[[#This Row],[Column5]])/1048576,"")</f>
        <v/>
      </c>
      <c r="P127" s="168" t="str">
        <f>IF(ISNUMBER(deployment_raw[[#This Row],[Column12]]), (MIN(IF(N127&lt;&gt;"",N127,9999999999999)*1.1,deployment_raw[[#This Row],[Column12]] * IF($E$2="Deployment",deployment_raw[[#This Row],[Column5]],1))*(1+$P$2)),"")</f>
        <v/>
      </c>
      <c r="Q127" s="167" t="str">
        <f>IF(ISNUMBER(deployment_raw[[#This Row],[Column13]]), (MIN(IF(O127&lt;&gt;"",O127,9999999999999)*1.1,deployment_raw[[#This Row],[Column13]] * IF($E$2="Deployment",deployment_raw[[#This Row],[Column5]],1)*(1+$Q$2)/1048576)),"")</f>
        <v/>
      </c>
      <c r="R127" s="169" t="str">
        <f>IF(ISNUMBER(deployment_raw[[#This Row],[Column8]]), (H127  * IF(N127&lt;&gt;0,$R$2,1)),"")</f>
        <v/>
      </c>
      <c r="S127" s="170" t="str">
        <f>IF(ISNUMBER(deployment_raw[[#This Row],[Column8]]), (I127  * IF(O127&lt;&gt;0,$S$2,1)),"")</f>
        <v/>
      </c>
      <c r="T127" s="202" t="str">
        <f>IF(AND(A127&lt;&gt;"",_xlfn.IFNA(MATCH(A127,'dynamic resource application '!$A$2:$A$100, 0),0)&lt;&gt;0), H127/(IF($E$2="Deployment",E127,1)),"")</f>
        <v/>
      </c>
      <c r="U127" s="211" t="str">
        <f>IF(AND(A127&lt;&gt;"",_xlfn.IFNA(MATCH(A127,'dynamic resource application '!$A$2:$A$100, 0),0)&lt;&gt;0), I127/(IF($E$2="Deployment",E127,1)),"")</f>
        <v/>
      </c>
    </row>
    <row r="128" spans="1:21" ht="15.75" customHeight="1" x14ac:dyDescent="0.25">
      <c r="A128" s="35" t="str">
        <f>IF(ISNONTEXT(deployment_raw[[#This Row],[Column1]]), "", deployment_raw[[#This Row],[Column1]])</f>
        <v/>
      </c>
      <c r="B128" s="36" t="str">
        <f>IF(ISNONTEXT(deployment_raw[[#This Row],[Column2]]), "", deployment_raw[[#This Row],[Column2]])</f>
        <v/>
      </c>
      <c r="C128" s="36" t="str">
        <f>IF(ISNONTEXT(deployment_raw[[#This Row],[Column3]]), "", deployment_raw[[#This Row],[Column3]])</f>
        <v/>
      </c>
      <c r="D128" s="36" t="str">
        <f>IF(ISNONTEXT(deployment_raw[[#This Row],[Column4]]), "", deployment_raw[[#This Row],[Column4]])</f>
        <v/>
      </c>
      <c r="E128" s="37" t="str">
        <f>IF(ISNUMBER(deployment_raw[[#This Row],[Column5]]), deployment_raw[[#This Row],[Column5]],"")</f>
        <v/>
      </c>
      <c r="F128" s="94" t="str">
        <f>IF(ISNUMBER(deployment_raw[[#This Row],[Column6]]), (deployment_raw[[#This Row],[Column6]] * IF($E$2="Deployment",deployment_raw[[#This Row],[Column5]],1)),"")</f>
        <v/>
      </c>
      <c r="G128" s="95" t="str">
        <f>IF(ISNUMBER(deployment_raw[[#This Row],[Column7]]), (deployment_raw[[#This Row],[Column7]] * IF($E$2="Deployment",deployment_raw[[#This Row],[Column5]],1))/1048576,"")</f>
        <v/>
      </c>
      <c r="H128" s="95" t="str">
        <f>IF(ISNUMBER(deployment_raw[[#This Row],[Column8]]), (deployment_raw[[#This Row],[Column8]]  * IF($E$2="Deployment",deployment_raw[[#This Row],[Column5]],1)),"")</f>
        <v/>
      </c>
      <c r="I128" s="96" t="str">
        <f>IF(ISNUMBER(deployment_raw[[#This Row],[Column9]]), (deployment_raw[[#This Row],[Column9]] * IF($E$2="Deployment",deployment_raw[[#This Row],[Column5]],1))/1048576,"")</f>
        <v/>
      </c>
      <c r="J128" s="122" t="str">
        <f>IF(ISNUMBER(deployment_raw[[#This Row],[Column10]]), (MIN(IF(N128&lt;&gt;"",N128,9999999999999)*1.1,deployment_raw[[#This Row],[Column10]] * IF($E$2="Deployment",deployment_raw[[#This Row],[Column5]],1))),"")</f>
        <v/>
      </c>
      <c r="K128" s="123" t="str">
        <f>IF(ISNUMBER(deployment_raw[[#This Row],[Column11]]), (MIN(IF(O128&lt;&gt;"",O128,9999999999999)*1.1,deployment_raw[[#This Row],[Column11]] * IF($E$2="Deployment",deployment_raw[[#This Row],[Column5]],1)/1048576)),"")</f>
        <v/>
      </c>
      <c r="L128" s="124" t="str">
        <f>IF(ISNUMBER(deployment_raw[[#This Row],[Column8]]),IF(OR(deployment_raw[[#This Row],[Column5]] &lt;&gt; 0,$E$2 &lt;&gt; "Deployment"), MAX(J128, P128, R128, ($L$2 * IF($E$2="Deployment",deployment_raw[[#This Row],[Column5]],1)),IF(T128&lt;&gt;"",VALUE(T128) * IF($E$2="Deployment",deployment_raw[[#This Row],[Column5]],1),0)), 0),"")</f>
        <v/>
      </c>
      <c r="M128" s="125" t="str">
        <f>IF(ISNUMBER(deployment_raw[[#This Row],[Column9]]),IF(OR(deployment_raw[[#This Row],[Column5]] &lt;&gt; 0,$E$2&lt;&gt;"Deployment"), MAX(K128, Q128, S128, ($M$2 * IF($E$2="Deployment",deployment_raw[[#This Row],[Column5]],1)),IF(U128&lt;&gt;"",VALUE(U128) * IF($E$2="Deployment",deployment_raw[[#This Row],[Column5]],1),0)), 0),"")</f>
        <v/>
      </c>
      <c r="N128" s="166" t="str">
        <f>IF(ISNUMBER(deployment_raw[[#This Row],[Column14]]), deployment_raw[[#This Row],[Column14]]/IF(OR($E$2="Deployment",deployment_raw[[#This Row],[Column5]]=0),1,deployment_raw[[#This Row],[Column5]]),"")</f>
        <v/>
      </c>
      <c r="O128" s="167" t="str">
        <f>IF(ISNUMBER(deployment_raw[[#This Row],[Column15]]), deployment_raw[[#This Row],[Column15]]/IF(OR($E$2="Deployment",deployment_raw[[#This Row],[Column5]]=0),1,deployment_raw[[#This Row],[Column5]])/1048576,"")</f>
        <v/>
      </c>
      <c r="P128" s="168" t="str">
        <f>IF(ISNUMBER(deployment_raw[[#This Row],[Column12]]), (MIN(IF(N128&lt;&gt;"",N128,9999999999999)*1.1,deployment_raw[[#This Row],[Column12]] * IF($E$2="Deployment",deployment_raw[[#This Row],[Column5]],1))*(1+$P$2)),"")</f>
        <v/>
      </c>
      <c r="Q128" s="167" t="str">
        <f>IF(ISNUMBER(deployment_raw[[#This Row],[Column13]]), (MIN(IF(O128&lt;&gt;"",O128,9999999999999)*1.1,deployment_raw[[#This Row],[Column13]] * IF($E$2="Deployment",deployment_raw[[#This Row],[Column5]],1)*(1+$Q$2)/1048576)),"")</f>
        <v/>
      </c>
      <c r="R128" s="169" t="str">
        <f>IF(ISNUMBER(deployment_raw[[#This Row],[Column8]]), (H128  * IF(N128&lt;&gt;0,$R$2,1)),"")</f>
        <v/>
      </c>
      <c r="S128" s="170" t="str">
        <f>IF(ISNUMBER(deployment_raw[[#This Row],[Column8]]), (I128  * IF(O128&lt;&gt;0,$S$2,1)),"")</f>
        <v/>
      </c>
      <c r="T128" s="202" t="str">
        <f>IF(AND(A128&lt;&gt;"",_xlfn.IFNA(MATCH(A128,'dynamic resource application '!$A$2:$A$100, 0),0)&lt;&gt;0), H128/(IF($E$2="Deployment",E128,1)),"")</f>
        <v/>
      </c>
      <c r="U128" s="211" t="str">
        <f>IF(AND(A128&lt;&gt;"",_xlfn.IFNA(MATCH(A128,'dynamic resource application '!$A$2:$A$100, 0),0)&lt;&gt;0), I128/(IF($E$2="Deployment",E128,1)),"")</f>
        <v/>
      </c>
    </row>
    <row r="129" spans="1:21" ht="15.75" customHeight="1" x14ac:dyDescent="0.25">
      <c r="A129" s="35" t="str">
        <f>IF(ISNONTEXT(deployment_raw[[#This Row],[Column1]]), "", deployment_raw[[#This Row],[Column1]])</f>
        <v/>
      </c>
      <c r="B129" s="36" t="str">
        <f>IF(ISNONTEXT(deployment_raw[[#This Row],[Column2]]), "", deployment_raw[[#This Row],[Column2]])</f>
        <v/>
      </c>
      <c r="C129" s="36" t="str">
        <f>IF(ISNONTEXT(deployment_raw[[#This Row],[Column3]]), "", deployment_raw[[#This Row],[Column3]])</f>
        <v/>
      </c>
      <c r="D129" s="36" t="str">
        <f>IF(ISNONTEXT(deployment_raw[[#This Row],[Column4]]), "", deployment_raw[[#This Row],[Column4]])</f>
        <v/>
      </c>
      <c r="E129" s="37" t="str">
        <f>IF(ISNUMBER(deployment_raw[[#This Row],[Column5]]), deployment_raw[[#This Row],[Column5]],"")</f>
        <v/>
      </c>
      <c r="F129" s="94" t="str">
        <f>IF(ISNUMBER(deployment_raw[[#This Row],[Column6]]), (deployment_raw[[#This Row],[Column6]] * IF($E$2="Deployment",deployment_raw[[#This Row],[Column5]],1)),"")</f>
        <v/>
      </c>
      <c r="G129" s="95" t="str">
        <f>IF(ISNUMBER(deployment_raw[[#This Row],[Column7]]), (deployment_raw[[#This Row],[Column7]] * IF($E$2="Deployment",deployment_raw[[#This Row],[Column5]],1))/1048576,"")</f>
        <v/>
      </c>
      <c r="H129" s="95" t="str">
        <f>IF(ISNUMBER(deployment_raw[[#This Row],[Column8]]), (deployment_raw[[#This Row],[Column8]]  * IF($E$2="Deployment",deployment_raw[[#This Row],[Column5]],1)),"")</f>
        <v/>
      </c>
      <c r="I129" s="96" t="str">
        <f>IF(ISNUMBER(deployment_raw[[#This Row],[Column9]]), (deployment_raw[[#This Row],[Column9]] * IF($E$2="Deployment",deployment_raw[[#This Row],[Column5]],1))/1048576,"")</f>
        <v/>
      </c>
      <c r="J129" s="122" t="str">
        <f>IF(ISNUMBER(deployment_raw[[#This Row],[Column10]]), (MIN(IF(N129&lt;&gt;"",N129,9999999999999)*1.1,deployment_raw[[#This Row],[Column10]] * IF($E$2="Deployment",deployment_raw[[#This Row],[Column5]],1))),"")</f>
        <v/>
      </c>
      <c r="K129" s="123" t="str">
        <f>IF(ISNUMBER(deployment_raw[[#This Row],[Column11]]), (MIN(IF(O129&lt;&gt;"",O129,9999999999999)*1.1,deployment_raw[[#This Row],[Column11]] * IF($E$2="Deployment",deployment_raw[[#This Row],[Column5]],1)/1048576)),"")</f>
        <v/>
      </c>
      <c r="L129" s="124" t="str">
        <f>IF(ISNUMBER(deployment_raw[[#This Row],[Column8]]),IF(OR(deployment_raw[[#This Row],[Column5]] &lt;&gt; 0,$E$2 &lt;&gt; "Deployment"), MAX(J129, P129, R129, ($L$2 * IF($E$2="Deployment",deployment_raw[[#This Row],[Column5]],1)),IF(T129&lt;&gt;"",VALUE(T129) * IF($E$2="Deployment",deployment_raw[[#This Row],[Column5]],1),0)), 0),"")</f>
        <v/>
      </c>
      <c r="M129" s="125" t="str">
        <f>IF(ISNUMBER(deployment_raw[[#This Row],[Column9]]),IF(OR(deployment_raw[[#This Row],[Column5]] &lt;&gt; 0,$E$2&lt;&gt;"Deployment"), MAX(K129, Q129, S129, ($M$2 * IF($E$2="Deployment",deployment_raw[[#This Row],[Column5]],1)),IF(U129&lt;&gt;"",VALUE(U129) * IF($E$2="Deployment",deployment_raw[[#This Row],[Column5]],1),0)), 0),"")</f>
        <v/>
      </c>
      <c r="N129" s="166" t="str">
        <f>IF(ISNUMBER(deployment_raw[[#This Row],[Column14]]), deployment_raw[[#This Row],[Column14]]/IF(OR($E$2="Deployment",deployment_raw[[#This Row],[Column5]]=0),1,deployment_raw[[#This Row],[Column5]]),"")</f>
        <v/>
      </c>
      <c r="O129" s="167" t="str">
        <f>IF(ISNUMBER(deployment_raw[[#This Row],[Column15]]), deployment_raw[[#This Row],[Column15]]/IF(OR($E$2="Deployment",deployment_raw[[#This Row],[Column5]]=0),1,deployment_raw[[#This Row],[Column5]])/1048576,"")</f>
        <v/>
      </c>
      <c r="P129" s="168" t="str">
        <f>IF(ISNUMBER(deployment_raw[[#This Row],[Column12]]), (MIN(IF(N129&lt;&gt;"",N129,9999999999999)*1.1,deployment_raw[[#This Row],[Column12]] * IF($E$2="Deployment",deployment_raw[[#This Row],[Column5]],1))*(1+$P$2)),"")</f>
        <v/>
      </c>
      <c r="Q129" s="167" t="str">
        <f>IF(ISNUMBER(deployment_raw[[#This Row],[Column13]]), (MIN(IF(O129&lt;&gt;"",O129,9999999999999)*1.1,deployment_raw[[#This Row],[Column13]] * IF($E$2="Deployment",deployment_raw[[#This Row],[Column5]],1)*(1+$Q$2)/1048576)),"")</f>
        <v/>
      </c>
      <c r="R129" s="169" t="str">
        <f>IF(ISNUMBER(deployment_raw[[#This Row],[Column8]]), (H129  * IF(N129&lt;&gt;0,$R$2,1)),"")</f>
        <v/>
      </c>
      <c r="S129" s="170" t="str">
        <f>IF(ISNUMBER(deployment_raw[[#This Row],[Column8]]), (I129  * IF(O129&lt;&gt;0,$S$2,1)),"")</f>
        <v/>
      </c>
      <c r="T129" s="202" t="str">
        <f>IF(AND(A129&lt;&gt;"",_xlfn.IFNA(MATCH(A129,'dynamic resource application '!$A$2:$A$100, 0),0)&lt;&gt;0), H129/(IF($E$2="Deployment",E129,1)),"")</f>
        <v/>
      </c>
      <c r="U129" s="211" t="str">
        <f>IF(AND(A129&lt;&gt;"",_xlfn.IFNA(MATCH(A129,'dynamic resource application '!$A$2:$A$100, 0),0)&lt;&gt;0), I129/(IF($E$2="Deployment",E129,1)),"")</f>
        <v/>
      </c>
    </row>
    <row r="130" spans="1:21" ht="15.75" customHeight="1" x14ac:dyDescent="0.25">
      <c r="A130" s="35" t="str">
        <f>IF(ISNONTEXT(deployment_raw[[#This Row],[Column1]]), "", deployment_raw[[#This Row],[Column1]])</f>
        <v/>
      </c>
      <c r="B130" s="36" t="str">
        <f>IF(ISNONTEXT(deployment_raw[[#This Row],[Column2]]), "", deployment_raw[[#This Row],[Column2]])</f>
        <v/>
      </c>
      <c r="C130" s="36" t="str">
        <f>IF(ISNONTEXT(deployment_raw[[#This Row],[Column3]]), "", deployment_raw[[#This Row],[Column3]])</f>
        <v/>
      </c>
      <c r="D130" s="36" t="str">
        <f>IF(ISNONTEXT(deployment_raw[[#This Row],[Column4]]), "", deployment_raw[[#This Row],[Column4]])</f>
        <v/>
      </c>
      <c r="E130" s="37" t="str">
        <f>IF(ISNUMBER(deployment_raw[[#This Row],[Column5]]), deployment_raw[[#This Row],[Column5]],"")</f>
        <v/>
      </c>
      <c r="F130" s="94" t="str">
        <f>IF(ISNUMBER(deployment_raw[[#This Row],[Column6]]), (deployment_raw[[#This Row],[Column6]] * IF($E$2="Deployment",deployment_raw[[#This Row],[Column5]],1)),"")</f>
        <v/>
      </c>
      <c r="G130" s="95" t="str">
        <f>IF(ISNUMBER(deployment_raw[[#This Row],[Column7]]), (deployment_raw[[#This Row],[Column7]] * IF($E$2="Deployment",deployment_raw[[#This Row],[Column5]],1))/1048576,"")</f>
        <v/>
      </c>
      <c r="H130" s="95" t="str">
        <f>IF(ISNUMBER(deployment_raw[[#This Row],[Column8]]), (deployment_raw[[#This Row],[Column8]]  * IF($E$2="Deployment",deployment_raw[[#This Row],[Column5]],1)),"")</f>
        <v/>
      </c>
      <c r="I130" s="96" t="str">
        <f>IF(ISNUMBER(deployment_raw[[#This Row],[Column9]]), (deployment_raw[[#This Row],[Column9]] * IF($E$2="Deployment",deployment_raw[[#This Row],[Column5]],1))/1048576,"")</f>
        <v/>
      </c>
      <c r="J130" s="122" t="str">
        <f>IF(ISNUMBER(deployment_raw[[#This Row],[Column10]]), (MIN(IF(N130&lt;&gt;"",N130,9999999999999)*1.1,deployment_raw[[#This Row],[Column10]] * IF($E$2="Deployment",deployment_raw[[#This Row],[Column5]],1))),"")</f>
        <v/>
      </c>
      <c r="K130" s="123" t="str">
        <f>IF(ISNUMBER(deployment_raw[[#This Row],[Column11]]), (MIN(IF(O130&lt;&gt;"",O130,9999999999999)*1.1,deployment_raw[[#This Row],[Column11]] * IF($E$2="Deployment",deployment_raw[[#This Row],[Column5]],1)/1048576)),"")</f>
        <v/>
      </c>
      <c r="L130" s="124" t="str">
        <f>IF(ISNUMBER(deployment_raw[[#This Row],[Column8]]),IF(OR(deployment_raw[[#This Row],[Column5]] &lt;&gt; 0,$E$2 &lt;&gt; "Deployment"), MAX(J130, P130, R130, ($L$2 * IF($E$2="Deployment",deployment_raw[[#This Row],[Column5]],1)),IF(T130&lt;&gt;"",VALUE(T130) * IF($E$2="Deployment",deployment_raw[[#This Row],[Column5]],1),0)), 0),"")</f>
        <v/>
      </c>
      <c r="M130" s="125" t="str">
        <f>IF(ISNUMBER(deployment_raw[[#This Row],[Column9]]),IF(OR(deployment_raw[[#This Row],[Column5]] &lt;&gt; 0,$E$2&lt;&gt;"Deployment"), MAX(K130, Q130, S130, ($M$2 * IF($E$2="Deployment",deployment_raw[[#This Row],[Column5]],1)),IF(U130&lt;&gt;"",VALUE(U130) * IF($E$2="Deployment",deployment_raw[[#This Row],[Column5]],1),0)), 0),"")</f>
        <v/>
      </c>
      <c r="N130" s="166" t="str">
        <f>IF(ISNUMBER(deployment_raw[[#This Row],[Column14]]), deployment_raw[[#This Row],[Column14]]/IF(OR($E$2="Deployment",deployment_raw[[#This Row],[Column5]]=0),1,deployment_raw[[#This Row],[Column5]]),"")</f>
        <v/>
      </c>
      <c r="O130" s="167" t="str">
        <f>IF(ISNUMBER(deployment_raw[[#This Row],[Column15]]), deployment_raw[[#This Row],[Column15]]/IF(OR($E$2="Deployment",deployment_raw[[#This Row],[Column5]]=0),1,deployment_raw[[#This Row],[Column5]])/1048576,"")</f>
        <v/>
      </c>
      <c r="P130" s="168" t="str">
        <f>IF(ISNUMBER(deployment_raw[[#This Row],[Column12]]), (MIN(IF(N130&lt;&gt;"",N130,9999999999999)*1.1,deployment_raw[[#This Row],[Column12]] * IF($E$2="Deployment",deployment_raw[[#This Row],[Column5]],1))*(1+$P$2)),"")</f>
        <v/>
      </c>
      <c r="Q130" s="167" t="str">
        <f>IF(ISNUMBER(deployment_raw[[#This Row],[Column13]]), (MIN(IF(O130&lt;&gt;"",O130,9999999999999)*1.1,deployment_raw[[#This Row],[Column13]] * IF($E$2="Deployment",deployment_raw[[#This Row],[Column5]],1)*(1+$Q$2)/1048576)),"")</f>
        <v/>
      </c>
      <c r="R130" s="169" t="str">
        <f>IF(ISNUMBER(deployment_raw[[#This Row],[Column8]]), (H130  * IF(N130&lt;&gt;0,$R$2,1)),"")</f>
        <v/>
      </c>
      <c r="S130" s="170" t="str">
        <f>IF(ISNUMBER(deployment_raw[[#This Row],[Column8]]), (I130  * IF(O130&lt;&gt;0,$S$2,1)),"")</f>
        <v/>
      </c>
      <c r="T130" s="202" t="str">
        <f>IF(AND(A130&lt;&gt;"",_xlfn.IFNA(MATCH(A130,'dynamic resource application '!$A$2:$A$100, 0),0)&lt;&gt;0), H130/(IF($E$2="Deployment",E130,1)),"")</f>
        <v/>
      </c>
      <c r="U130" s="211" t="str">
        <f>IF(AND(A130&lt;&gt;"",_xlfn.IFNA(MATCH(A130,'dynamic resource application '!$A$2:$A$100, 0),0)&lt;&gt;0), I130/(IF($E$2="Deployment",E130,1)),"")</f>
        <v/>
      </c>
    </row>
    <row r="131" spans="1:21" ht="15.75" customHeight="1" x14ac:dyDescent="0.25">
      <c r="A131" s="35" t="str">
        <f>IF(ISNONTEXT(deployment_raw[[#This Row],[Column1]]), "", deployment_raw[[#This Row],[Column1]])</f>
        <v/>
      </c>
      <c r="B131" s="36" t="str">
        <f>IF(ISNONTEXT(deployment_raw[[#This Row],[Column2]]), "", deployment_raw[[#This Row],[Column2]])</f>
        <v/>
      </c>
      <c r="C131" s="36" t="str">
        <f>IF(ISNONTEXT(deployment_raw[[#This Row],[Column3]]), "", deployment_raw[[#This Row],[Column3]])</f>
        <v/>
      </c>
      <c r="D131" s="36" t="str">
        <f>IF(ISNONTEXT(deployment_raw[[#This Row],[Column4]]), "", deployment_raw[[#This Row],[Column4]])</f>
        <v/>
      </c>
      <c r="E131" s="37" t="str">
        <f>IF(ISNUMBER(deployment_raw[[#This Row],[Column5]]), deployment_raw[[#This Row],[Column5]],"")</f>
        <v/>
      </c>
      <c r="F131" s="94" t="str">
        <f>IF(ISNUMBER(deployment_raw[[#This Row],[Column6]]), (deployment_raw[[#This Row],[Column6]] * IF($E$2="Deployment",deployment_raw[[#This Row],[Column5]],1)),"")</f>
        <v/>
      </c>
      <c r="G131" s="95" t="str">
        <f>IF(ISNUMBER(deployment_raw[[#This Row],[Column7]]), (deployment_raw[[#This Row],[Column7]] * IF($E$2="Deployment",deployment_raw[[#This Row],[Column5]],1))/1048576,"")</f>
        <v/>
      </c>
      <c r="H131" s="95" t="str">
        <f>IF(ISNUMBER(deployment_raw[[#This Row],[Column8]]), (deployment_raw[[#This Row],[Column8]]  * IF($E$2="Deployment",deployment_raw[[#This Row],[Column5]],1)),"")</f>
        <v/>
      </c>
      <c r="I131" s="96" t="str">
        <f>IF(ISNUMBER(deployment_raw[[#This Row],[Column9]]), (deployment_raw[[#This Row],[Column9]] * IF($E$2="Deployment",deployment_raw[[#This Row],[Column5]],1))/1048576,"")</f>
        <v/>
      </c>
      <c r="J131" s="122" t="str">
        <f>IF(ISNUMBER(deployment_raw[[#This Row],[Column10]]), (MIN(IF(N131&lt;&gt;"",N131,9999999999999)*1.1,deployment_raw[[#This Row],[Column10]] * IF($E$2="Deployment",deployment_raw[[#This Row],[Column5]],1))),"")</f>
        <v/>
      </c>
      <c r="K131" s="123" t="str">
        <f>IF(ISNUMBER(deployment_raw[[#This Row],[Column11]]), (MIN(IF(O131&lt;&gt;"",O131,9999999999999)*1.1,deployment_raw[[#This Row],[Column11]] * IF($E$2="Deployment",deployment_raw[[#This Row],[Column5]],1)/1048576)),"")</f>
        <v/>
      </c>
      <c r="L131" s="124" t="str">
        <f>IF(ISNUMBER(deployment_raw[[#This Row],[Column8]]),IF(OR(deployment_raw[[#This Row],[Column5]] &lt;&gt; 0,$E$2 &lt;&gt; "Deployment"), MAX(J131, P131, R131, ($L$2 * IF($E$2="Deployment",deployment_raw[[#This Row],[Column5]],1)),IF(T131&lt;&gt;"",VALUE(T131) * IF($E$2="Deployment",deployment_raw[[#This Row],[Column5]],1),0)), 0),"")</f>
        <v/>
      </c>
      <c r="M131" s="125" t="str">
        <f>IF(ISNUMBER(deployment_raw[[#This Row],[Column9]]),IF(OR(deployment_raw[[#This Row],[Column5]] &lt;&gt; 0,$E$2&lt;&gt;"Deployment"), MAX(K131, Q131, S131, ($M$2 * IF($E$2="Deployment",deployment_raw[[#This Row],[Column5]],1)),IF(U131&lt;&gt;"",VALUE(U131) * IF($E$2="Deployment",deployment_raw[[#This Row],[Column5]],1),0)), 0),"")</f>
        <v/>
      </c>
      <c r="N131" s="166" t="str">
        <f>IF(ISNUMBER(deployment_raw[[#This Row],[Column14]]), deployment_raw[[#This Row],[Column14]]/IF(OR($E$2="Deployment",deployment_raw[[#This Row],[Column5]]=0),1,deployment_raw[[#This Row],[Column5]]),"")</f>
        <v/>
      </c>
      <c r="O131" s="167" t="str">
        <f>IF(ISNUMBER(deployment_raw[[#This Row],[Column15]]), deployment_raw[[#This Row],[Column15]]/IF(OR($E$2="Deployment",deployment_raw[[#This Row],[Column5]]=0),1,deployment_raw[[#This Row],[Column5]])/1048576,"")</f>
        <v/>
      </c>
      <c r="P131" s="168" t="str">
        <f>IF(ISNUMBER(deployment_raw[[#This Row],[Column12]]), (MIN(IF(N131&lt;&gt;"",N131,9999999999999)*1.1,deployment_raw[[#This Row],[Column12]] * IF($E$2="Deployment",deployment_raw[[#This Row],[Column5]],1))*(1+$P$2)),"")</f>
        <v/>
      </c>
      <c r="Q131" s="167" t="str">
        <f>IF(ISNUMBER(deployment_raw[[#This Row],[Column13]]), (MIN(IF(O131&lt;&gt;"",O131,9999999999999)*1.1,deployment_raw[[#This Row],[Column13]] * IF($E$2="Deployment",deployment_raw[[#This Row],[Column5]],1)*(1+$Q$2)/1048576)),"")</f>
        <v/>
      </c>
      <c r="R131" s="169" t="str">
        <f>IF(ISNUMBER(deployment_raw[[#This Row],[Column8]]), (H131  * IF(N131&lt;&gt;0,$R$2,1)),"")</f>
        <v/>
      </c>
      <c r="S131" s="170" t="str">
        <f>IF(ISNUMBER(deployment_raw[[#This Row],[Column8]]), (I131  * IF(O131&lt;&gt;0,$S$2,1)),"")</f>
        <v/>
      </c>
      <c r="T131" s="202" t="str">
        <f>IF(AND(A131&lt;&gt;"",_xlfn.IFNA(MATCH(A131,'dynamic resource application '!$A$2:$A$100, 0),0)&lt;&gt;0), H131/(IF($E$2="Deployment",E131,1)),"")</f>
        <v/>
      </c>
      <c r="U131" s="211" t="str">
        <f>IF(AND(A131&lt;&gt;"",_xlfn.IFNA(MATCH(A131,'dynamic resource application '!$A$2:$A$100, 0),0)&lt;&gt;0), I131/(IF($E$2="Deployment",E131,1)),"")</f>
        <v/>
      </c>
    </row>
    <row r="132" spans="1:21" ht="15.75" customHeight="1" x14ac:dyDescent="0.25">
      <c r="A132" s="35" t="str">
        <f>IF(ISNONTEXT(deployment_raw[[#This Row],[Column1]]), "", deployment_raw[[#This Row],[Column1]])</f>
        <v/>
      </c>
      <c r="B132" s="36" t="str">
        <f>IF(ISNONTEXT(deployment_raw[[#This Row],[Column2]]), "", deployment_raw[[#This Row],[Column2]])</f>
        <v/>
      </c>
      <c r="C132" s="36" t="str">
        <f>IF(ISNONTEXT(deployment_raw[[#This Row],[Column3]]), "", deployment_raw[[#This Row],[Column3]])</f>
        <v/>
      </c>
      <c r="D132" s="36" t="str">
        <f>IF(ISNONTEXT(deployment_raw[[#This Row],[Column4]]), "", deployment_raw[[#This Row],[Column4]])</f>
        <v/>
      </c>
      <c r="E132" s="37" t="str">
        <f>IF(ISNUMBER(deployment_raw[[#This Row],[Column5]]), deployment_raw[[#This Row],[Column5]],"")</f>
        <v/>
      </c>
      <c r="F132" s="94" t="str">
        <f>IF(ISNUMBER(deployment_raw[[#This Row],[Column6]]), (deployment_raw[[#This Row],[Column6]] * IF($E$2="Deployment",deployment_raw[[#This Row],[Column5]],1)),"")</f>
        <v/>
      </c>
      <c r="G132" s="95" t="str">
        <f>IF(ISNUMBER(deployment_raw[[#This Row],[Column7]]), (deployment_raw[[#This Row],[Column7]] * IF($E$2="Deployment",deployment_raw[[#This Row],[Column5]],1))/1048576,"")</f>
        <v/>
      </c>
      <c r="H132" s="95" t="str">
        <f>IF(ISNUMBER(deployment_raw[[#This Row],[Column8]]), (deployment_raw[[#This Row],[Column8]]  * IF($E$2="Deployment",deployment_raw[[#This Row],[Column5]],1)),"")</f>
        <v/>
      </c>
      <c r="I132" s="96" t="str">
        <f>IF(ISNUMBER(deployment_raw[[#This Row],[Column9]]), (deployment_raw[[#This Row],[Column9]] * IF($E$2="Deployment",deployment_raw[[#This Row],[Column5]],1))/1048576,"")</f>
        <v/>
      </c>
      <c r="J132" s="122" t="str">
        <f>IF(ISNUMBER(deployment_raw[[#This Row],[Column10]]), (MIN(IF(N132&lt;&gt;"",N132,9999999999999)*1.1,deployment_raw[[#This Row],[Column10]] * IF($E$2="Deployment",deployment_raw[[#This Row],[Column5]],1))),"")</f>
        <v/>
      </c>
      <c r="K132" s="123" t="str">
        <f>IF(ISNUMBER(deployment_raw[[#This Row],[Column11]]), (MIN(IF(O132&lt;&gt;"",O132,9999999999999)*1.1,deployment_raw[[#This Row],[Column11]] * IF($E$2="Deployment",deployment_raw[[#This Row],[Column5]],1)/1048576)),"")</f>
        <v/>
      </c>
      <c r="L132" s="124" t="str">
        <f>IF(ISNUMBER(deployment_raw[[#This Row],[Column8]]),IF(OR(deployment_raw[[#This Row],[Column5]] &lt;&gt; 0,$E$2 &lt;&gt; "Deployment"), MAX(J132, P132, R132, ($L$2 * IF($E$2="Deployment",deployment_raw[[#This Row],[Column5]],1)),IF(T132&lt;&gt;"",VALUE(T132) * IF($E$2="Deployment",deployment_raw[[#This Row],[Column5]],1),0)), 0),"")</f>
        <v/>
      </c>
      <c r="M132" s="125" t="str">
        <f>IF(ISNUMBER(deployment_raw[[#This Row],[Column9]]),IF(OR(deployment_raw[[#This Row],[Column5]] &lt;&gt; 0,$E$2&lt;&gt;"Deployment"), MAX(K132, Q132, S132, ($M$2 * IF($E$2="Deployment",deployment_raw[[#This Row],[Column5]],1)),IF(U132&lt;&gt;"",VALUE(U132) * IF($E$2="Deployment",deployment_raw[[#This Row],[Column5]],1),0)), 0),"")</f>
        <v/>
      </c>
      <c r="N132" s="166" t="str">
        <f>IF(ISNUMBER(deployment_raw[[#This Row],[Column14]]), deployment_raw[[#This Row],[Column14]]/IF(OR($E$2="Deployment",deployment_raw[[#This Row],[Column5]]=0),1,deployment_raw[[#This Row],[Column5]]),"")</f>
        <v/>
      </c>
      <c r="O132" s="167" t="str">
        <f>IF(ISNUMBER(deployment_raw[[#This Row],[Column15]]), deployment_raw[[#This Row],[Column15]]/IF(OR($E$2="Deployment",deployment_raw[[#This Row],[Column5]]=0),1,deployment_raw[[#This Row],[Column5]])/1048576,"")</f>
        <v/>
      </c>
      <c r="P132" s="168" t="str">
        <f>IF(ISNUMBER(deployment_raw[[#This Row],[Column12]]), (MIN(IF(N132&lt;&gt;"",N132,9999999999999)*1.1,deployment_raw[[#This Row],[Column12]] * IF($E$2="Deployment",deployment_raw[[#This Row],[Column5]],1))*(1+$P$2)),"")</f>
        <v/>
      </c>
      <c r="Q132" s="167" t="str">
        <f>IF(ISNUMBER(deployment_raw[[#This Row],[Column13]]), (MIN(IF(O132&lt;&gt;"",O132,9999999999999)*1.1,deployment_raw[[#This Row],[Column13]] * IF($E$2="Deployment",deployment_raw[[#This Row],[Column5]],1)*(1+$Q$2)/1048576)),"")</f>
        <v/>
      </c>
      <c r="R132" s="169" t="str">
        <f>IF(ISNUMBER(deployment_raw[[#This Row],[Column8]]), (H132  * IF(N132&lt;&gt;0,$R$2,1)),"")</f>
        <v/>
      </c>
      <c r="S132" s="170" t="str">
        <f>IF(ISNUMBER(deployment_raw[[#This Row],[Column8]]), (I132  * IF(O132&lt;&gt;0,$S$2,1)),"")</f>
        <v/>
      </c>
      <c r="T132" s="202" t="str">
        <f>IF(AND(A132&lt;&gt;"",_xlfn.IFNA(MATCH(A132,'dynamic resource application '!$A$2:$A$100, 0),0)&lt;&gt;0), H132/(IF($E$2="Deployment",E132,1)),"")</f>
        <v/>
      </c>
      <c r="U132" s="211" t="str">
        <f>IF(AND(A132&lt;&gt;"",_xlfn.IFNA(MATCH(A132,'dynamic resource application '!$A$2:$A$100, 0),0)&lt;&gt;0), I132/(IF($E$2="Deployment",E132,1)),"")</f>
        <v/>
      </c>
    </row>
    <row r="133" spans="1:21" ht="15.75" customHeight="1" x14ac:dyDescent="0.25">
      <c r="A133" s="35" t="str">
        <f>IF(ISNONTEXT(deployment_raw[[#This Row],[Column1]]), "", deployment_raw[[#This Row],[Column1]])</f>
        <v/>
      </c>
      <c r="B133" s="36" t="str">
        <f>IF(ISNONTEXT(deployment_raw[[#This Row],[Column2]]), "", deployment_raw[[#This Row],[Column2]])</f>
        <v/>
      </c>
      <c r="C133" s="36" t="str">
        <f>IF(ISNONTEXT(deployment_raw[[#This Row],[Column3]]), "", deployment_raw[[#This Row],[Column3]])</f>
        <v/>
      </c>
      <c r="D133" s="36" t="str">
        <f>IF(ISNONTEXT(deployment_raw[[#This Row],[Column4]]), "", deployment_raw[[#This Row],[Column4]])</f>
        <v/>
      </c>
      <c r="E133" s="37" t="str">
        <f>IF(ISNUMBER(deployment_raw[[#This Row],[Column5]]), deployment_raw[[#This Row],[Column5]],"")</f>
        <v/>
      </c>
      <c r="F133" s="94" t="str">
        <f>IF(ISNUMBER(deployment_raw[[#This Row],[Column6]]), (deployment_raw[[#This Row],[Column6]] * IF($E$2="Deployment",deployment_raw[[#This Row],[Column5]],1)),"")</f>
        <v/>
      </c>
      <c r="G133" s="95" t="str">
        <f>IF(ISNUMBER(deployment_raw[[#This Row],[Column7]]), (deployment_raw[[#This Row],[Column7]] * IF($E$2="Deployment",deployment_raw[[#This Row],[Column5]],1))/1048576,"")</f>
        <v/>
      </c>
      <c r="H133" s="95" t="str">
        <f>IF(ISNUMBER(deployment_raw[[#This Row],[Column8]]), (deployment_raw[[#This Row],[Column8]]  * IF($E$2="Deployment",deployment_raw[[#This Row],[Column5]],1)),"")</f>
        <v/>
      </c>
      <c r="I133" s="96" t="str">
        <f>IF(ISNUMBER(deployment_raw[[#This Row],[Column9]]), (deployment_raw[[#This Row],[Column9]] * IF($E$2="Deployment",deployment_raw[[#This Row],[Column5]],1))/1048576,"")</f>
        <v/>
      </c>
      <c r="J133" s="122" t="str">
        <f>IF(ISNUMBER(deployment_raw[[#This Row],[Column10]]), (MIN(IF(N133&lt;&gt;"",N133,9999999999999)*1.1,deployment_raw[[#This Row],[Column10]] * IF($E$2="Deployment",deployment_raw[[#This Row],[Column5]],1))),"")</f>
        <v/>
      </c>
      <c r="K133" s="123" t="str">
        <f>IF(ISNUMBER(deployment_raw[[#This Row],[Column11]]), (MIN(IF(O133&lt;&gt;"",O133,9999999999999)*1.1,deployment_raw[[#This Row],[Column11]] * IF($E$2="Deployment",deployment_raw[[#This Row],[Column5]],1)/1048576)),"")</f>
        <v/>
      </c>
      <c r="L133" s="124" t="str">
        <f>IF(ISNUMBER(deployment_raw[[#This Row],[Column8]]),IF(OR(deployment_raw[[#This Row],[Column5]] &lt;&gt; 0,$E$2 &lt;&gt; "Deployment"), MAX(J133, P133, R133, ($L$2 * IF($E$2="Deployment",deployment_raw[[#This Row],[Column5]],1)),IF(T133&lt;&gt;"",VALUE(T133) * IF($E$2="Deployment",deployment_raw[[#This Row],[Column5]],1),0)), 0),"")</f>
        <v/>
      </c>
      <c r="M133" s="125" t="str">
        <f>IF(ISNUMBER(deployment_raw[[#This Row],[Column9]]),IF(OR(deployment_raw[[#This Row],[Column5]] &lt;&gt; 0,$E$2&lt;&gt;"Deployment"), MAX(K133, Q133, S133, ($M$2 * IF($E$2="Deployment",deployment_raw[[#This Row],[Column5]],1)),IF(U133&lt;&gt;"",VALUE(U133) * IF($E$2="Deployment",deployment_raw[[#This Row],[Column5]],1),0)), 0),"")</f>
        <v/>
      </c>
      <c r="N133" s="166" t="str">
        <f>IF(ISNUMBER(deployment_raw[[#This Row],[Column14]]), deployment_raw[[#This Row],[Column14]]/IF(OR($E$2="Deployment",deployment_raw[[#This Row],[Column5]]=0),1,deployment_raw[[#This Row],[Column5]]),"")</f>
        <v/>
      </c>
      <c r="O133" s="167" t="str">
        <f>IF(ISNUMBER(deployment_raw[[#This Row],[Column15]]), deployment_raw[[#This Row],[Column15]]/IF(OR($E$2="Deployment",deployment_raw[[#This Row],[Column5]]=0),1,deployment_raw[[#This Row],[Column5]])/1048576,"")</f>
        <v/>
      </c>
      <c r="P133" s="168" t="str">
        <f>IF(ISNUMBER(deployment_raw[[#This Row],[Column12]]), (MIN(IF(N133&lt;&gt;"",N133,9999999999999)*1.1,deployment_raw[[#This Row],[Column12]] * IF($E$2="Deployment",deployment_raw[[#This Row],[Column5]],1))*(1+$P$2)),"")</f>
        <v/>
      </c>
      <c r="Q133" s="167" t="str">
        <f>IF(ISNUMBER(deployment_raw[[#This Row],[Column13]]), (MIN(IF(O133&lt;&gt;"",O133,9999999999999)*1.1,deployment_raw[[#This Row],[Column13]] * IF($E$2="Deployment",deployment_raw[[#This Row],[Column5]],1)*(1+$Q$2)/1048576)),"")</f>
        <v/>
      </c>
      <c r="R133" s="169" t="str">
        <f>IF(ISNUMBER(deployment_raw[[#This Row],[Column8]]), (H133  * IF(N133&lt;&gt;0,$R$2,1)),"")</f>
        <v/>
      </c>
      <c r="S133" s="170" t="str">
        <f>IF(ISNUMBER(deployment_raw[[#This Row],[Column8]]), (I133  * IF(O133&lt;&gt;0,$S$2,1)),"")</f>
        <v/>
      </c>
      <c r="T133" s="202" t="str">
        <f>IF(AND(A133&lt;&gt;"",_xlfn.IFNA(MATCH(A133,'dynamic resource application '!$A$2:$A$100, 0),0)&lt;&gt;0), H133/(IF($E$2="Deployment",E133,1)),"")</f>
        <v/>
      </c>
      <c r="U133" s="211" t="str">
        <f>IF(AND(A133&lt;&gt;"",_xlfn.IFNA(MATCH(A133,'dynamic resource application '!$A$2:$A$100, 0),0)&lt;&gt;0), I133/(IF($E$2="Deployment",E133,1)),"")</f>
        <v/>
      </c>
    </row>
    <row r="134" spans="1:21" ht="15.75" customHeight="1" x14ac:dyDescent="0.25">
      <c r="A134" s="35" t="str">
        <f>IF(ISNONTEXT(deployment_raw[[#This Row],[Column1]]), "", deployment_raw[[#This Row],[Column1]])</f>
        <v/>
      </c>
      <c r="B134" s="36" t="str">
        <f>IF(ISNONTEXT(deployment_raw[[#This Row],[Column2]]), "", deployment_raw[[#This Row],[Column2]])</f>
        <v/>
      </c>
      <c r="C134" s="36" t="str">
        <f>IF(ISNONTEXT(deployment_raw[[#This Row],[Column3]]), "", deployment_raw[[#This Row],[Column3]])</f>
        <v/>
      </c>
      <c r="D134" s="36" t="str">
        <f>IF(ISNONTEXT(deployment_raw[[#This Row],[Column4]]), "", deployment_raw[[#This Row],[Column4]])</f>
        <v/>
      </c>
      <c r="E134" s="37" t="str">
        <f>IF(ISNUMBER(deployment_raw[[#This Row],[Column5]]), deployment_raw[[#This Row],[Column5]],"")</f>
        <v/>
      </c>
      <c r="F134" s="94" t="str">
        <f>IF(ISNUMBER(deployment_raw[[#This Row],[Column6]]), (deployment_raw[[#This Row],[Column6]] * IF($E$2="Deployment",deployment_raw[[#This Row],[Column5]],1)),"")</f>
        <v/>
      </c>
      <c r="G134" s="95" t="str">
        <f>IF(ISNUMBER(deployment_raw[[#This Row],[Column7]]), (deployment_raw[[#This Row],[Column7]] * IF($E$2="Deployment",deployment_raw[[#This Row],[Column5]],1))/1048576,"")</f>
        <v/>
      </c>
      <c r="H134" s="95" t="str">
        <f>IF(ISNUMBER(deployment_raw[[#This Row],[Column8]]), (deployment_raw[[#This Row],[Column8]]  * IF($E$2="Deployment",deployment_raw[[#This Row],[Column5]],1)),"")</f>
        <v/>
      </c>
      <c r="I134" s="96" t="str">
        <f>IF(ISNUMBER(deployment_raw[[#This Row],[Column9]]), (deployment_raw[[#This Row],[Column9]] * IF($E$2="Deployment",deployment_raw[[#This Row],[Column5]],1))/1048576,"")</f>
        <v/>
      </c>
      <c r="J134" s="122" t="str">
        <f>IF(ISNUMBER(deployment_raw[[#This Row],[Column10]]), (MIN(IF(N134&lt;&gt;"",N134,9999999999999)*1.1,deployment_raw[[#This Row],[Column10]] * IF($E$2="Deployment",deployment_raw[[#This Row],[Column5]],1))),"")</f>
        <v/>
      </c>
      <c r="K134" s="123" t="str">
        <f>IF(ISNUMBER(deployment_raw[[#This Row],[Column11]]), (MIN(IF(O134&lt;&gt;"",O134,9999999999999)*1.1,deployment_raw[[#This Row],[Column11]] * IF($E$2="Deployment",deployment_raw[[#This Row],[Column5]],1)/1048576)),"")</f>
        <v/>
      </c>
      <c r="L134" s="124" t="str">
        <f>IF(ISNUMBER(deployment_raw[[#This Row],[Column8]]),IF(OR(deployment_raw[[#This Row],[Column5]] &lt;&gt; 0,$E$2 &lt;&gt; "Deployment"), MAX(J134, P134, R134, ($L$2 * IF($E$2="Deployment",deployment_raw[[#This Row],[Column5]],1)),IF(T134&lt;&gt;"",VALUE(T134) * IF($E$2="Deployment",deployment_raw[[#This Row],[Column5]],1),0)), 0),"")</f>
        <v/>
      </c>
      <c r="M134" s="125" t="str">
        <f>IF(ISNUMBER(deployment_raw[[#This Row],[Column9]]),IF(OR(deployment_raw[[#This Row],[Column5]] &lt;&gt; 0,$E$2&lt;&gt;"Deployment"), MAX(K134, Q134, S134, ($M$2 * IF($E$2="Deployment",deployment_raw[[#This Row],[Column5]],1)),IF(U134&lt;&gt;"",VALUE(U134) * IF($E$2="Deployment",deployment_raw[[#This Row],[Column5]],1),0)), 0),"")</f>
        <v/>
      </c>
      <c r="N134" s="166" t="str">
        <f>IF(ISNUMBER(deployment_raw[[#This Row],[Column14]]), deployment_raw[[#This Row],[Column14]]/IF(OR($E$2="Deployment",deployment_raw[[#This Row],[Column5]]=0),1,deployment_raw[[#This Row],[Column5]]),"")</f>
        <v/>
      </c>
      <c r="O134" s="167" t="str">
        <f>IF(ISNUMBER(deployment_raw[[#This Row],[Column15]]), deployment_raw[[#This Row],[Column15]]/IF(OR($E$2="Deployment",deployment_raw[[#This Row],[Column5]]=0),1,deployment_raw[[#This Row],[Column5]])/1048576,"")</f>
        <v/>
      </c>
      <c r="P134" s="168" t="str">
        <f>IF(ISNUMBER(deployment_raw[[#This Row],[Column12]]), (MIN(IF(N134&lt;&gt;"",N134,9999999999999)*1.1,deployment_raw[[#This Row],[Column12]] * IF($E$2="Deployment",deployment_raw[[#This Row],[Column5]],1))*(1+$P$2)),"")</f>
        <v/>
      </c>
      <c r="Q134" s="167" t="str">
        <f>IF(ISNUMBER(deployment_raw[[#This Row],[Column13]]), (MIN(IF(O134&lt;&gt;"",O134,9999999999999)*1.1,deployment_raw[[#This Row],[Column13]] * IF($E$2="Deployment",deployment_raw[[#This Row],[Column5]],1)*(1+$Q$2)/1048576)),"")</f>
        <v/>
      </c>
      <c r="R134" s="169" t="str">
        <f>IF(ISNUMBER(deployment_raw[[#This Row],[Column8]]), (H134  * IF(N134&lt;&gt;0,$R$2,1)),"")</f>
        <v/>
      </c>
      <c r="S134" s="170" t="str">
        <f>IF(ISNUMBER(deployment_raw[[#This Row],[Column8]]), (I134  * IF(O134&lt;&gt;0,$S$2,1)),"")</f>
        <v/>
      </c>
      <c r="T134" s="202" t="str">
        <f>IF(AND(A134&lt;&gt;"",_xlfn.IFNA(MATCH(A134,'dynamic resource application '!$A$2:$A$100, 0),0)&lt;&gt;0), H134/(IF($E$2="Deployment",E134,1)),"")</f>
        <v/>
      </c>
      <c r="U134" s="211" t="str">
        <f>IF(AND(A134&lt;&gt;"",_xlfn.IFNA(MATCH(A134,'dynamic resource application '!$A$2:$A$100, 0),0)&lt;&gt;0), I134/(IF($E$2="Deployment",E134,1)),"")</f>
        <v/>
      </c>
    </row>
    <row r="135" spans="1:21" ht="15.75" customHeight="1" x14ac:dyDescent="0.25">
      <c r="A135" s="35" t="str">
        <f>IF(ISNONTEXT(deployment_raw[[#This Row],[Column1]]), "", deployment_raw[[#This Row],[Column1]])</f>
        <v/>
      </c>
      <c r="B135" s="36" t="str">
        <f>IF(ISNONTEXT(deployment_raw[[#This Row],[Column2]]), "", deployment_raw[[#This Row],[Column2]])</f>
        <v/>
      </c>
      <c r="C135" s="36" t="str">
        <f>IF(ISNONTEXT(deployment_raw[[#This Row],[Column3]]), "", deployment_raw[[#This Row],[Column3]])</f>
        <v/>
      </c>
      <c r="D135" s="36" t="str">
        <f>IF(ISNONTEXT(deployment_raw[[#This Row],[Column4]]), "", deployment_raw[[#This Row],[Column4]])</f>
        <v/>
      </c>
      <c r="E135" s="37" t="str">
        <f>IF(ISNUMBER(deployment_raw[[#This Row],[Column5]]), deployment_raw[[#This Row],[Column5]],"")</f>
        <v/>
      </c>
      <c r="F135" s="94" t="str">
        <f>IF(ISNUMBER(deployment_raw[[#This Row],[Column6]]), (deployment_raw[[#This Row],[Column6]] * IF($E$2="Deployment",deployment_raw[[#This Row],[Column5]],1)),"")</f>
        <v/>
      </c>
      <c r="G135" s="95" t="str">
        <f>IF(ISNUMBER(deployment_raw[[#This Row],[Column7]]), (deployment_raw[[#This Row],[Column7]] * IF($E$2="Deployment",deployment_raw[[#This Row],[Column5]],1))/1048576,"")</f>
        <v/>
      </c>
      <c r="H135" s="95" t="str">
        <f>IF(ISNUMBER(deployment_raw[[#This Row],[Column8]]), (deployment_raw[[#This Row],[Column8]]  * IF($E$2="Deployment",deployment_raw[[#This Row],[Column5]],1)),"")</f>
        <v/>
      </c>
      <c r="I135" s="96" t="str">
        <f>IF(ISNUMBER(deployment_raw[[#This Row],[Column9]]), (deployment_raw[[#This Row],[Column9]] * IF($E$2="Deployment",deployment_raw[[#This Row],[Column5]],1))/1048576,"")</f>
        <v/>
      </c>
      <c r="J135" s="122" t="str">
        <f>IF(ISNUMBER(deployment_raw[[#This Row],[Column10]]), (MIN(IF(N135&lt;&gt;"",N135,9999999999999)*1.1,deployment_raw[[#This Row],[Column10]] * IF($E$2="Deployment",deployment_raw[[#This Row],[Column5]],1))),"")</f>
        <v/>
      </c>
      <c r="K135" s="123" t="str">
        <f>IF(ISNUMBER(deployment_raw[[#This Row],[Column11]]), (MIN(IF(O135&lt;&gt;"",O135,9999999999999)*1.1,deployment_raw[[#This Row],[Column11]] * IF($E$2="Deployment",deployment_raw[[#This Row],[Column5]],1)/1048576)),"")</f>
        <v/>
      </c>
      <c r="L135" s="124" t="str">
        <f>IF(ISNUMBER(deployment_raw[[#This Row],[Column8]]),IF(OR(deployment_raw[[#This Row],[Column5]] &lt;&gt; 0,$E$2 &lt;&gt; "Deployment"), MAX(J135, P135, R135, ($L$2 * IF($E$2="Deployment",deployment_raw[[#This Row],[Column5]],1)),IF(T135&lt;&gt;"",VALUE(T135) * IF($E$2="Deployment",deployment_raw[[#This Row],[Column5]],1),0)), 0),"")</f>
        <v/>
      </c>
      <c r="M135" s="125" t="str">
        <f>IF(ISNUMBER(deployment_raw[[#This Row],[Column9]]),IF(OR(deployment_raw[[#This Row],[Column5]] &lt;&gt; 0,$E$2&lt;&gt;"Deployment"), MAX(K135, Q135, S135, ($M$2 * IF($E$2="Deployment",deployment_raw[[#This Row],[Column5]],1)),IF(U135&lt;&gt;"",VALUE(U135) * IF($E$2="Deployment",deployment_raw[[#This Row],[Column5]],1),0)), 0),"")</f>
        <v/>
      </c>
      <c r="N135" s="166" t="str">
        <f>IF(ISNUMBER(deployment_raw[[#This Row],[Column14]]), deployment_raw[[#This Row],[Column14]]/IF(OR($E$2="Deployment",deployment_raw[[#This Row],[Column5]]=0),1,deployment_raw[[#This Row],[Column5]]),"")</f>
        <v/>
      </c>
      <c r="O135" s="167" t="str">
        <f>IF(ISNUMBER(deployment_raw[[#This Row],[Column15]]), deployment_raw[[#This Row],[Column15]]/IF(OR($E$2="Deployment",deployment_raw[[#This Row],[Column5]]=0),1,deployment_raw[[#This Row],[Column5]])/1048576,"")</f>
        <v/>
      </c>
      <c r="P135" s="168" t="str">
        <f>IF(ISNUMBER(deployment_raw[[#This Row],[Column12]]), (MIN(IF(N135&lt;&gt;"",N135,9999999999999)*1.1,deployment_raw[[#This Row],[Column12]] * IF($E$2="Deployment",deployment_raw[[#This Row],[Column5]],1))*(1+$P$2)),"")</f>
        <v/>
      </c>
      <c r="Q135" s="167" t="str">
        <f>IF(ISNUMBER(deployment_raw[[#This Row],[Column13]]), (MIN(IF(O135&lt;&gt;"",O135,9999999999999)*1.1,deployment_raw[[#This Row],[Column13]] * IF($E$2="Deployment",deployment_raw[[#This Row],[Column5]],1)*(1+$Q$2)/1048576)),"")</f>
        <v/>
      </c>
      <c r="R135" s="169" t="str">
        <f>IF(ISNUMBER(deployment_raw[[#This Row],[Column8]]), (H135  * IF(N135&lt;&gt;0,$R$2,1)),"")</f>
        <v/>
      </c>
      <c r="S135" s="170" t="str">
        <f>IF(ISNUMBER(deployment_raw[[#This Row],[Column8]]), (I135  * IF(O135&lt;&gt;0,$S$2,1)),"")</f>
        <v/>
      </c>
      <c r="T135" s="202" t="str">
        <f>IF(AND(A135&lt;&gt;"",_xlfn.IFNA(MATCH(A135,'dynamic resource application '!$A$2:$A$100, 0),0)&lt;&gt;0), H135/(IF($E$2="Deployment",E135,1)),"")</f>
        <v/>
      </c>
      <c r="U135" s="211" t="str">
        <f>IF(AND(A135&lt;&gt;"",_xlfn.IFNA(MATCH(A135,'dynamic resource application '!$A$2:$A$100, 0),0)&lt;&gt;0), I135/(IF($E$2="Deployment",E135,1)),"")</f>
        <v/>
      </c>
    </row>
    <row r="136" spans="1:21" ht="15.75" customHeight="1" x14ac:dyDescent="0.25">
      <c r="A136" s="35" t="str">
        <f>IF(ISNONTEXT(deployment_raw[[#This Row],[Column1]]), "", deployment_raw[[#This Row],[Column1]])</f>
        <v/>
      </c>
      <c r="B136" s="36" t="str">
        <f>IF(ISNONTEXT(deployment_raw[[#This Row],[Column2]]), "", deployment_raw[[#This Row],[Column2]])</f>
        <v/>
      </c>
      <c r="C136" s="36" t="str">
        <f>IF(ISNONTEXT(deployment_raw[[#This Row],[Column3]]), "", deployment_raw[[#This Row],[Column3]])</f>
        <v/>
      </c>
      <c r="D136" s="36" t="str">
        <f>IF(ISNONTEXT(deployment_raw[[#This Row],[Column4]]), "", deployment_raw[[#This Row],[Column4]])</f>
        <v/>
      </c>
      <c r="E136" s="37" t="str">
        <f>IF(ISNUMBER(deployment_raw[[#This Row],[Column5]]), deployment_raw[[#This Row],[Column5]],"")</f>
        <v/>
      </c>
      <c r="F136" s="94" t="str">
        <f>IF(ISNUMBER(deployment_raw[[#This Row],[Column6]]), (deployment_raw[[#This Row],[Column6]] * IF($E$2="Deployment",deployment_raw[[#This Row],[Column5]],1)),"")</f>
        <v/>
      </c>
      <c r="G136" s="95" t="str">
        <f>IF(ISNUMBER(deployment_raw[[#This Row],[Column7]]), (deployment_raw[[#This Row],[Column7]] * IF($E$2="Deployment",deployment_raw[[#This Row],[Column5]],1))/1048576,"")</f>
        <v/>
      </c>
      <c r="H136" s="95" t="str">
        <f>IF(ISNUMBER(deployment_raw[[#This Row],[Column8]]), (deployment_raw[[#This Row],[Column8]]  * IF($E$2="Deployment",deployment_raw[[#This Row],[Column5]],1)),"")</f>
        <v/>
      </c>
      <c r="I136" s="96" t="str">
        <f>IF(ISNUMBER(deployment_raw[[#This Row],[Column9]]), (deployment_raw[[#This Row],[Column9]] * IF($E$2="Deployment",deployment_raw[[#This Row],[Column5]],1))/1048576,"")</f>
        <v/>
      </c>
      <c r="J136" s="122" t="str">
        <f>IF(ISNUMBER(deployment_raw[[#This Row],[Column10]]), (MIN(IF(N136&lt;&gt;"",N136,9999999999999)*1.1,deployment_raw[[#This Row],[Column10]] * IF($E$2="Deployment",deployment_raw[[#This Row],[Column5]],1))),"")</f>
        <v/>
      </c>
      <c r="K136" s="123" t="str">
        <f>IF(ISNUMBER(deployment_raw[[#This Row],[Column11]]), (MIN(IF(O136&lt;&gt;"",O136,9999999999999)*1.1,deployment_raw[[#This Row],[Column11]] * IF($E$2="Deployment",deployment_raw[[#This Row],[Column5]],1)/1048576)),"")</f>
        <v/>
      </c>
      <c r="L136" s="124" t="str">
        <f>IF(ISNUMBER(deployment_raw[[#This Row],[Column8]]),IF(OR(deployment_raw[[#This Row],[Column5]] &lt;&gt; 0,$E$2 &lt;&gt; "Deployment"), MAX(J136, P136, R136, ($L$2 * IF($E$2="Deployment",deployment_raw[[#This Row],[Column5]],1)),IF(T136&lt;&gt;"",VALUE(T136) * IF($E$2="Deployment",deployment_raw[[#This Row],[Column5]],1),0)), 0),"")</f>
        <v/>
      </c>
      <c r="M136" s="125" t="str">
        <f>IF(ISNUMBER(deployment_raw[[#This Row],[Column9]]),IF(OR(deployment_raw[[#This Row],[Column5]] &lt;&gt; 0,$E$2&lt;&gt;"Deployment"), MAX(K136, Q136, S136, ($M$2 * IF($E$2="Deployment",deployment_raw[[#This Row],[Column5]],1)),IF(U136&lt;&gt;"",VALUE(U136) * IF($E$2="Deployment",deployment_raw[[#This Row],[Column5]],1),0)), 0),"")</f>
        <v/>
      </c>
      <c r="N136" s="166" t="str">
        <f>IF(ISNUMBER(deployment_raw[[#This Row],[Column14]]), deployment_raw[[#This Row],[Column14]]/IF(OR($E$2="Deployment",deployment_raw[[#This Row],[Column5]]=0),1,deployment_raw[[#This Row],[Column5]]),"")</f>
        <v/>
      </c>
      <c r="O136" s="167" t="str">
        <f>IF(ISNUMBER(deployment_raw[[#This Row],[Column15]]), deployment_raw[[#This Row],[Column15]]/IF(OR($E$2="Deployment",deployment_raw[[#This Row],[Column5]]=0),1,deployment_raw[[#This Row],[Column5]])/1048576,"")</f>
        <v/>
      </c>
      <c r="P136" s="168" t="str">
        <f>IF(ISNUMBER(deployment_raw[[#This Row],[Column12]]), (MIN(IF(N136&lt;&gt;"",N136,9999999999999)*1.1,deployment_raw[[#This Row],[Column12]] * IF($E$2="Deployment",deployment_raw[[#This Row],[Column5]],1))*(1+$P$2)),"")</f>
        <v/>
      </c>
      <c r="Q136" s="167" t="str">
        <f>IF(ISNUMBER(deployment_raw[[#This Row],[Column13]]), (MIN(IF(O136&lt;&gt;"",O136,9999999999999)*1.1,deployment_raw[[#This Row],[Column13]] * IF($E$2="Deployment",deployment_raw[[#This Row],[Column5]],1)*(1+$Q$2)/1048576)),"")</f>
        <v/>
      </c>
      <c r="R136" s="169" t="str">
        <f>IF(ISNUMBER(deployment_raw[[#This Row],[Column8]]), (H136  * IF(N136&lt;&gt;0,$R$2,1)),"")</f>
        <v/>
      </c>
      <c r="S136" s="170" t="str">
        <f>IF(ISNUMBER(deployment_raw[[#This Row],[Column8]]), (I136  * IF(O136&lt;&gt;0,$S$2,1)),"")</f>
        <v/>
      </c>
      <c r="T136" s="202" t="str">
        <f>IF(AND(A136&lt;&gt;"",_xlfn.IFNA(MATCH(A136,'dynamic resource application '!$A$2:$A$100, 0),0)&lt;&gt;0), H136/(IF($E$2="Deployment",E136,1)),"")</f>
        <v/>
      </c>
      <c r="U136" s="211" t="str">
        <f>IF(AND(A136&lt;&gt;"",_xlfn.IFNA(MATCH(A136,'dynamic resource application '!$A$2:$A$100, 0),0)&lt;&gt;0), I136/(IF($E$2="Deployment",E136,1)),"")</f>
        <v/>
      </c>
    </row>
    <row r="137" spans="1:21" ht="15.75" customHeight="1" x14ac:dyDescent="0.25">
      <c r="A137" s="35" t="str">
        <f>IF(ISNONTEXT(deployment_raw[[#This Row],[Column1]]), "", deployment_raw[[#This Row],[Column1]])</f>
        <v/>
      </c>
      <c r="B137" s="36" t="str">
        <f>IF(ISNONTEXT(deployment_raw[[#This Row],[Column2]]), "", deployment_raw[[#This Row],[Column2]])</f>
        <v/>
      </c>
      <c r="C137" s="36" t="str">
        <f>IF(ISNONTEXT(deployment_raw[[#This Row],[Column3]]), "", deployment_raw[[#This Row],[Column3]])</f>
        <v/>
      </c>
      <c r="D137" s="36" t="str">
        <f>IF(ISNONTEXT(deployment_raw[[#This Row],[Column4]]), "", deployment_raw[[#This Row],[Column4]])</f>
        <v/>
      </c>
      <c r="E137" s="37" t="str">
        <f>IF(ISNUMBER(deployment_raw[[#This Row],[Column5]]), deployment_raw[[#This Row],[Column5]],"")</f>
        <v/>
      </c>
      <c r="F137" s="94" t="str">
        <f>IF(ISNUMBER(deployment_raw[[#This Row],[Column6]]), (deployment_raw[[#This Row],[Column6]] * IF($E$2="Deployment",deployment_raw[[#This Row],[Column5]],1)),"")</f>
        <v/>
      </c>
      <c r="G137" s="95" t="str">
        <f>IF(ISNUMBER(deployment_raw[[#This Row],[Column7]]), (deployment_raw[[#This Row],[Column7]] * IF($E$2="Deployment",deployment_raw[[#This Row],[Column5]],1))/1048576,"")</f>
        <v/>
      </c>
      <c r="H137" s="95" t="str">
        <f>IF(ISNUMBER(deployment_raw[[#This Row],[Column8]]), (deployment_raw[[#This Row],[Column8]]  * IF($E$2="Deployment",deployment_raw[[#This Row],[Column5]],1)),"")</f>
        <v/>
      </c>
      <c r="I137" s="96" t="str">
        <f>IF(ISNUMBER(deployment_raw[[#This Row],[Column9]]), (deployment_raw[[#This Row],[Column9]] * IF($E$2="Deployment",deployment_raw[[#This Row],[Column5]],1))/1048576,"")</f>
        <v/>
      </c>
      <c r="J137" s="122" t="str">
        <f>IF(ISNUMBER(deployment_raw[[#This Row],[Column10]]), (MIN(IF(N137&lt;&gt;"",N137,9999999999999)*1.1,deployment_raw[[#This Row],[Column10]] * IF($E$2="Deployment",deployment_raw[[#This Row],[Column5]],1))),"")</f>
        <v/>
      </c>
      <c r="K137" s="123" t="str">
        <f>IF(ISNUMBER(deployment_raw[[#This Row],[Column11]]), (MIN(IF(O137&lt;&gt;"",O137,9999999999999)*1.1,deployment_raw[[#This Row],[Column11]] * IF($E$2="Deployment",deployment_raw[[#This Row],[Column5]],1)/1048576)),"")</f>
        <v/>
      </c>
      <c r="L137" s="124" t="str">
        <f>IF(ISNUMBER(deployment_raw[[#This Row],[Column8]]),IF(OR(deployment_raw[[#This Row],[Column5]] &lt;&gt; 0,$E$2 &lt;&gt; "Deployment"), MAX(J137, P137, R137, ($L$2 * IF($E$2="Deployment",deployment_raw[[#This Row],[Column5]],1)),IF(T137&lt;&gt;"",VALUE(T137) * IF($E$2="Deployment",deployment_raw[[#This Row],[Column5]],1),0)), 0),"")</f>
        <v/>
      </c>
      <c r="M137" s="125" t="str">
        <f>IF(ISNUMBER(deployment_raw[[#This Row],[Column9]]),IF(OR(deployment_raw[[#This Row],[Column5]] &lt;&gt; 0,$E$2&lt;&gt;"Deployment"), MAX(K137, Q137, S137, ($M$2 * IF($E$2="Deployment",deployment_raw[[#This Row],[Column5]],1)),IF(U137&lt;&gt;"",VALUE(U137) * IF($E$2="Deployment",deployment_raw[[#This Row],[Column5]],1),0)), 0),"")</f>
        <v/>
      </c>
      <c r="N137" s="166" t="str">
        <f>IF(ISNUMBER(deployment_raw[[#This Row],[Column14]]), deployment_raw[[#This Row],[Column14]]/IF(OR($E$2="Deployment",deployment_raw[[#This Row],[Column5]]=0),1,deployment_raw[[#This Row],[Column5]]),"")</f>
        <v/>
      </c>
      <c r="O137" s="167" t="str">
        <f>IF(ISNUMBER(deployment_raw[[#This Row],[Column15]]), deployment_raw[[#This Row],[Column15]]/IF(OR($E$2="Deployment",deployment_raw[[#This Row],[Column5]]=0),1,deployment_raw[[#This Row],[Column5]])/1048576,"")</f>
        <v/>
      </c>
      <c r="P137" s="168" t="str">
        <f>IF(ISNUMBER(deployment_raw[[#This Row],[Column12]]), (MIN(IF(N137&lt;&gt;"",N137,9999999999999)*1.1,deployment_raw[[#This Row],[Column12]] * IF($E$2="Deployment",deployment_raw[[#This Row],[Column5]],1))*(1+$P$2)),"")</f>
        <v/>
      </c>
      <c r="Q137" s="167" t="str">
        <f>IF(ISNUMBER(deployment_raw[[#This Row],[Column13]]), (MIN(IF(O137&lt;&gt;"",O137,9999999999999)*1.1,deployment_raw[[#This Row],[Column13]] * IF($E$2="Deployment",deployment_raw[[#This Row],[Column5]],1)*(1+$Q$2)/1048576)),"")</f>
        <v/>
      </c>
      <c r="R137" s="169" t="str">
        <f>IF(ISNUMBER(deployment_raw[[#This Row],[Column8]]), (H137  * IF(N137&lt;&gt;0,$R$2,1)),"")</f>
        <v/>
      </c>
      <c r="S137" s="170" t="str">
        <f>IF(ISNUMBER(deployment_raw[[#This Row],[Column8]]), (I137  * IF(O137&lt;&gt;0,$S$2,1)),"")</f>
        <v/>
      </c>
      <c r="T137" s="202" t="str">
        <f>IF(AND(A137&lt;&gt;"",_xlfn.IFNA(MATCH(A137,'dynamic resource application '!$A$2:$A$100, 0),0)&lt;&gt;0), H137/(IF($E$2="Deployment",E137,1)),"")</f>
        <v/>
      </c>
      <c r="U137" s="211" t="str">
        <f>IF(AND(A137&lt;&gt;"",_xlfn.IFNA(MATCH(A137,'dynamic resource application '!$A$2:$A$100, 0),0)&lt;&gt;0), I137/(IF($E$2="Deployment",E137,1)),"")</f>
        <v/>
      </c>
    </row>
    <row r="138" spans="1:21" ht="15.75" customHeight="1" x14ac:dyDescent="0.25">
      <c r="A138" s="35" t="str">
        <f>IF(ISNONTEXT(deployment_raw[[#This Row],[Column1]]), "", deployment_raw[[#This Row],[Column1]])</f>
        <v/>
      </c>
      <c r="B138" s="36" t="str">
        <f>IF(ISNONTEXT(deployment_raw[[#This Row],[Column2]]), "", deployment_raw[[#This Row],[Column2]])</f>
        <v/>
      </c>
      <c r="C138" s="36" t="str">
        <f>IF(ISNONTEXT(deployment_raw[[#This Row],[Column3]]), "", deployment_raw[[#This Row],[Column3]])</f>
        <v/>
      </c>
      <c r="D138" s="36" t="str">
        <f>IF(ISNONTEXT(deployment_raw[[#This Row],[Column4]]), "", deployment_raw[[#This Row],[Column4]])</f>
        <v/>
      </c>
      <c r="E138" s="37" t="str">
        <f>IF(ISNUMBER(deployment_raw[[#This Row],[Column5]]), deployment_raw[[#This Row],[Column5]],"")</f>
        <v/>
      </c>
      <c r="F138" s="94" t="str">
        <f>IF(ISNUMBER(deployment_raw[[#This Row],[Column6]]), (deployment_raw[[#This Row],[Column6]] * IF($E$2="Deployment",deployment_raw[[#This Row],[Column5]],1)),"")</f>
        <v/>
      </c>
      <c r="G138" s="95" t="str">
        <f>IF(ISNUMBER(deployment_raw[[#This Row],[Column7]]), (deployment_raw[[#This Row],[Column7]] * IF($E$2="Deployment",deployment_raw[[#This Row],[Column5]],1))/1048576,"")</f>
        <v/>
      </c>
      <c r="H138" s="95" t="str">
        <f>IF(ISNUMBER(deployment_raw[[#This Row],[Column8]]), (deployment_raw[[#This Row],[Column8]]  * IF($E$2="Deployment",deployment_raw[[#This Row],[Column5]],1)),"")</f>
        <v/>
      </c>
      <c r="I138" s="96" t="str">
        <f>IF(ISNUMBER(deployment_raw[[#This Row],[Column9]]), (deployment_raw[[#This Row],[Column9]] * IF($E$2="Deployment",deployment_raw[[#This Row],[Column5]],1))/1048576,"")</f>
        <v/>
      </c>
      <c r="J138" s="122" t="str">
        <f>IF(ISNUMBER(deployment_raw[[#This Row],[Column10]]), (MIN(IF(N138&lt;&gt;"",N138,9999999999999)*1.1,deployment_raw[[#This Row],[Column10]] * IF($E$2="Deployment",deployment_raw[[#This Row],[Column5]],1))),"")</f>
        <v/>
      </c>
      <c r="K138" s="123" t="str">
        <f>IF(ISNUMBER(deployment_raw[[#This Row],[Column11]]), (MIN(IF(O138&lt;&gt;"",O138,9999999999999)*1.1,deployment_raw[[#This Row],[Column11]] * IF($E$2="Deployment",deployment_raw[[#This Row],[Column5]],1)/1048576)),"")</f>
        <v/>
      </c>
      <c r="L138" s="124" t="str">
        <f>IF(ISNUMBER(deployment_raw[[#This Row],[Column8]]),IF(OR(deployment_raw[[#This Row],[Column5]] &lt;&gt; 0,$E$2 &lt;&gt; "Deployment"), MAX(J138, P138, R138, ($L$2 * IF($E$2="Deployment",deployment_raw[[#This Row],[Column5]],1)),IF(T138&lt;&gt;"",VALUE(T138) * IF($E$2="Deployment",deployment_raw[[#This Row],[Column5]],1),0)), 0),"")</f>
        <v/>
      </c>
      <c r="M138" s="125" t="str">
        <f>IF(ISNUMBER(deployment_raw[[#This Row],[Column9]]),IF(OR(deployment_raw[[#This Row],[Column5]] &lt;&gt; 0,$E$2&lt;&gt;"Deployment"), MAX(K138, Q138, S138, ($M$2 * IF($E$2="Deployment",deployment_raw[[#This Row],[Column5]],1)),IF(U138&lt;&gt;"",VALUE(U138) * IF($E$2="Deployment",deployment_raw[[#This Row],[Column5]],1),0)), 0),"")</f>
        <v/>
      </c>
      <c r="N138" s="166" t="str">
        <f>IF(ISNUMBER(deployment_raw[[#This Row],[Column14]]), deployment_raw[[#This Row],[Column14]]/IF(OR($E$2="Deployment",deployment_raw[[#This Row],[Column5]]=0),1,deployment_raw[[#This Row],[Column5]]),"")</f>
        <v/>
      </c>
      <c r="O138" s="167" t="str">
        <f>IF(ISNUMBER(deployment_raw[[#This Row],[Column15]]), deployment_raw[[#This Row],[Column15]]/IF(OR($E$2="Deployment",deployment_raw[[#This Row],[Column5]]=0),1,deployment_raw[[#This Row],[Column5]])/1048576,"")</f>
        <v/>
      </c>
      <c r="P138" s="168" t="str">
        <f>IF(ISNUMBER(deployment_raw[[#This Row],[Column12]]), (MIN(IF(N138&lt;&gt;"",N138,9999999999999)*1.1,deployment_raw[[#This Row],[Column12]] * IF($E$2="Deployment",deployment_raw[[#This Row],[Column5]],1))*(1+$P$2)),"")</f>
        <v/>
      </c>
      <c r="Q138" s="167" t="str">
        <f>IF(ISNUMBER(deployment_raw[[#This Row],[Column13]]), (MIN(IF(O138&lt;&gt;"",O138,9999999999999)*1.1,deployment_raw[[#This Row],[Column13]] * IF($E$2="Deployment",deployment_raw[[#This Row],[Column5]],1)*(1+$Q$2)/1048576)),"")</f>
        <v/>
      </c>
      <c r="R138" s="169" t="str">
        <f>IF(ISNUMBER(deployment_raw[[#This Row],[Column8]]), (H138  * IF(N138&lt;&gt;0,$R$2,1)),"")</f>
        <v/>
      </c>
      <c r="S138" s="170" t="str">
        <f>IF(ISNUMBER(deployment_raw[[#This Row],[Column8]]), (I138  * IF(O138&lt;&gt;0,$S$2,1)),"")</f>
        <v/>
      </c>
      <c r="T138" s="202" t="str">
        <f>IF(AND(A138&lt;&gt;"",_xlfn.IFNA(MATCH(A138,'dynamic resource application '!$A$2:$A$100, 0),0)&lt;&gt;0), H138/(IF($E$2="Deployment",E138,1)),"")</f>
        <v/>
      </c>
      <c r="U138" s="211" t="str">
        <f>IF(AND(A138&lt;&gt;"",_xlfn.IFNA(MATCH(A138,'dynamic resource application '!$A$2:$A$100, 0),0)&lt;&gt;0), I138/(IF($E$2="Deployment",E138,1)),"")</f>
        <v/>
      </c>
    </row>
    <row r="139" spans="1:21" ht="15.75" customHeight="1" x14ac:dyDescent="0.25">
      <c r="A139" s="35" t="str">
        <f>IF(ISNONTEXT(deployment_raw[[#This Row],[Column1]]), "", deployment_raw[[#This Row],[Column1]])</f>
        <v/>
      </c>
      <c r="B139" s="36" t="str">
        <f>IF(ISNONTEXT(deployment_raw[[#This Row],[Column2]]), "", deployment_raw[[#This Row],[Column2]])</f>
        <v/>
      </c>
      <c r="C139" s="36" t="str">
        <f>IF(ISNONTEXT(deployment_raw[[#This Row],[Column3]]), "", deployment_raw[[#This Row],[Column3]])</f>
        <v/>
      </c>
      <c r="D139" s="36" t="str">
        <f>IF(ISNONTEXT(deployment_raw[[#This Row],[Column4]]), "", deployment_raw[[#This Row],[Column4]])</f>
        <v/>
      </c>
      <c r="E139" s="37" t="str">
        <f>IF(ISNUMBER(deployment_raw[[#This Row],[Column5]]), deployment_raw[[#This Row],[Column5]],"")</f>
        <v/>
      </c>
      <c r="F139" s="94" t="str">
        <f>IF(ISNUMBER(deployment_raw[[#This Row],[Column6]]), (deployment_raw[[#This Row],[Column6]] * IF($E$2="Deployment",deployment_raw[[#This Row],[Column5]],1)),"")</f>
        <v/>
      </c>
      <c r="G139" s="95" t="str">
        <f>IF(ISNUMBER(deployment_raw[[#This Row],[Column7]]), (deployment_raw[[#This Row],[Column7]] * IF($E$2="Deployment",deployment_raw[[#This Row],[Column5]],1))/1048576,"")</f>
        <v/>
      </c>
      <c r="H139" s="95" t="str">
        <f>IF(ISNUMBER(deployment_raw[[#This Row],[Column8]]), (deployment_raw[[#This Row],[Column8]]  * IF($E$2="Deployment",deployment_raw[[#This Row],[Column5]],1)),"")</f>
        <v/>
      </c>
      <c r="I139" s="96" t="str">
        <f>IF(ISNUMBER(deployment_raw[[#This Row],[Column9]]), (deployment_raw[[#This Row],[Column9]] * IF($E$2="Deployment",deployment_raw[[#This Row],[Column5]],1))/1048576,"")</f>
        <v/>
      </c>
      <c r="J139" s="122" t="str">
        <f>IF(ISNUMBER(deployment_raw[[#This Row],[Column10]]), (MIN(IF(N139&lt;&gt;"",N139,9999999999999)*1.1,deployment_raw[[#This Row],[Column10]] * IF($E$2="Deployment",deployment_raw[[#This Row],[Column5]],1))),"")</f>
        <v/>
      </c>
      <c r="K139" s="123" t="str">
        <f>IF(ISNUMBER(deployment_raw[[#This Row],[Column11]]), (MIN(IF(O139&lt;&gt;"",O139,9999999999999)*1.1,deployment_raw[[#This Row],[Column11]] * IF($E$2="Deployment",deployment_raw[[#This Row],[Column5]],1)/1048576)),"")</f>
        <v/>
      </c>
      <c r="L139" s="124" t="str">
        <f>IF(ISNUMBER(deployment_raw[[#This Row],[Column8]]),IF(OR(deployment_raw[[#This Row],[Column5]] &lt;&gt; 0,$E$2 &lt;&gt; "Deployment"), MAX(J139, P139, R139, ($L$2 * IF($E$2="Deployment",deployment_raw[[#This Row],[Column5]],1)),IF(T139&lt;&gt;"",VALUE(T139) * IF($E$2="Deployment",deployment_raw[[#This Row],[Column5]],1),0)), 0),"")</f>
        <v/>
      </c>
      <c r="M139" s="125" t="str">
        <f>IF(ISNUMBER(deployment_raw[[#This Row],[Column9]]),IF(OR(deployment_raw[[#This Row],[Column5]] &lt;&gt; 0,$E$2&lt;&gt;"Deployment"), MAX(K139, Q139, S139, ($M$2 * IF($E$2="Deployment",deployment_raw[[#This Row],[Column5]],1)),IF(U139&lt;&gt;"",VALUE(U139) * IF($E$2="Deployment",deployment_raw[[#This Row],[Column5]],1),0)), 0),"")</f>
        <v/>
      </c>
      <c r="N139" s="166" t="str">
        <f>IF(ISNUMBER(deployment_raw[[#This Row],[Column14]]), deployment_raw[[#This Row],[Column14]]/IF(OR($E$2="Deployment",deployment_raw[[#This Row],[Column5]]=0),1,deployment_raw[[#This Row],[Column5]]),"")</f>
        <v/>
      </c>
      <c r="O139" s="167" t="str">
        <f>IF(ISNUMBER(deployment_raw[[#This Row],[Column15]]), deployment_raw[[#This Row],[Column15]]/IF(OR($E$2="Deployment",deployment_raw[[#This Row],[Column5]]=0),1,deployment_raw[[#This Row],[Column5]])/1048576,"")</f>
        <v/>
      </c>
      <c r="P139" s="168" t="str">
        <f>IF(ISNUMBER(deployment_raw[[#This Row],[Column12]]), (MIN(IF(N139&lt;&gt;"",N139,9999999999999)*1.1,deployment_raw[[#This Row],[Column12]] * IF($E$2="Deployment",deployment_raw[[#This Row],[Column5]],1))*(1+$P$2)),"")</f>
        <v/>
      </c>
      <c r="Q139" s="167" t="str">
        <f>IF(ISNUMBER(deployment_raw[[#This Row],[Column13]]), (MIN(IF(O139&lt;&gt;"",O139,9999999999999)*1.1,deployment_raw[[#This Row],[Column13]] * IF($E$2="Deployment",deployment_raw[[#This Row],[Column5]],1)*(1+$Q$2)/1048576)),"")</f>
        <v/>
      </c>
      <c r="R139" s="169" t="str">
        <f>IF(ISNUMBER(deployment_raw[[#This Row],[Column8]]), (H139  * IF(N139&lt;&gt;0,$R$2,1)),"")</f>
        <v/>
      </c>
      <c r="S139" s="170" t="str">
        <f>IF(ISNUMBER(deployment_raw[[#This Row],[Column8]]), (I139  * IF(O139&lt;&gt;0,$S$2,1)),"")</f>
        <v/>
      </c>
      <c r="T139" s="202" t="str">
        <f>IF(AND(A139&lt;&gt;"",_xlfn.IFNA(MATCH(A139,'dynamic resource application '!$A$2:$A$100, 0),0)&lt;&gt;0), H139/(IF($E$2="Deployment",E139,1)),"")</f>
        <v/>
      </c>
      <c r="U139" s="211" t="str">
        <f>IF(AND(A139&lt;&gt;"",_xlfn.IFNA(MATCH(A139,'dynamic resource application '!$A$2:$A$100, 0),0)&lt;&gt;0), I139/(IF($E$2="Deployment",E139,1)),"")</f>
        <v/>
      </c>
    </row>
    <row r="140" spans="1:21" ht="15.75" customHeight="1" x14ac:dyDescent="0.25">
      <c r="A140" s="35" t="str">
        <f>IF(ISNONTEXT(deployment_raw[[#This Row],[Column1]]), "", deployment_raw[[#This Row],[Column1]])</f>
        <v/>
      </c>
      <c r="B140" s="36" t="str">
        <f>IF(ISNONTEXT(deployment_raw[[#This Row],[Column2]]), "", deployment_raw[[#This Row],[Column2]])</f>
        <v/>
      </c>
      <c r="C140" s="36" t="str">
        <f>IF(ISNONTEXT(deployment_raw[[#This Row],[Column3]]), "", deployment_raw[[#This Row],[Column3]])</f>
        <v/>
      </c>
      <c r="D140" s="36" t="str">
        <f>IF(ISNONTEXT(deployment_raw[[#This Row],[Column4]]), "", deployment_raw[[#This Row],[Column4]])</f>
        <v/>
      </c>
      <c r="E140" s="37" t="str">
        <f>IF(ISNUMBER(deployment_raw[[#This Row],[Column5]]), deployment_raw[[#This Row],[Column5]],"")</f>
        <v/>
      </c>
      <c r="F140" s="94" t="str">
        <f>IF(ISNUMBER(deployment_raw[[#This Row],[Column6]]), (deployment_raw[[#This Row],[Column6]] * IF($E$2="Deployment",deployment_raw[[#This Row],[Column5]],1)),"")</f>
        <v/>
      </c>
      <c r="G140" s="95" t="str">
        <f>IF(ISNUMBER(deployment_raw[[#This Row],[Column7]]), (deployment_raw[[#This Row],[Column7]] * IF($E$2="Deployment",deployment_raw[[#This Row],[Column5]],1))/1048576,"")</f>
        <v/>
      </c>
      <c r="H140" s="95" t="str">
        <f>IF(ISNUMBER(deployment_raw[[#This Row],[Column8]]), (deployment_raw[[#This Row],[Column8]]  * IF($E$2="Deployment",deployment_raw[[#This Row],[Column5]],1)),"")</f>
        <v/>
      </c>
      <c r="I140" s="96" t="str">
        <f>IF(ISNUMBER(deployment_raw[[#This Row],[Column9]]), (deployment_raw[[#This Row],[Column9]] * IF($E$2="Deployment",deployment_raw[[#This Row],[Column5]],1))/1048576,"")</f>
        <v/>
      </c>
      <c r="J140" s="122" t="str">
        <f>IF(ISNUMBER(deployment_raw[[#This Row],[Column10]]), (MIN(IF(N140&lt;&gt;"",N140,9999999999999)*1.1,deployment_raw[[#This Row],[Column10]] * IF($E$2="Deployment",deployment_raw[[#This Row],[Column5]],1))),"")</f>
        <v/>
      </c>
      <c r="K140" s="123" t="str">
        <f>IF(ISNUMBER(deployment_raw[[#This Row],[Column11]]), (MIN(IF(O140&lt;&gt;"",O140,9999999999999)*1.1,deployment_raw[[#This Row],[Column11]] * IF($E$2="Deployment",deployment_raw[[#This Row],[Column5]],1)/1048576)),"")</f>
        <v/>
      </c>
      <c r="L140" s="124" t="str">
        <f>IF(ISNUMBER(deployment_raw[[#This Row],[Column8]]),IF(OR(deployment_raw[[#This Row],[Column5]] &lt;&gt; 0,$E$2 &lt;&gt; "Deployment"), MAX(J140, P140, R140, ($L$2 * IF($E$2="Deployment",deployment_raw[[#This Row],[Column5]],1)),IF(T140&lt;&gt;"",VALUE(T140) * IF($E$2="Deployment",deployment_raw[[#This Row],[Column5]],1),0)), 0),"")</f>
        <v/>
      </c>
      <c r="M140" s="125" t="str">
        <f>IF(ISNUMBER(deployment_raw[[#This Row],[Column9]]),IF(OR(deployment_raw[[#This Row],[Column5]] &lt;&gt; 0,$E$2&lt;&gt;"Deployment"), MAX(K140, Q140, S140, ($M$2 * IF($E$2="Deployment",deployment_raw[[#This Row],[Column5]],1)),IF(U140&lt;&gt;"",VALUE(U140) * IF($E$2="Deployment",deployment_raw[[#This Row],[Column5]],1),0)), 0),"")</f>
        <v/>
      </c>
      <c r="N140" s="166" t="str">
        <f>IF(ISNUMBER(deployment_raw[[#This Row],[Column14]]), deployment_raw[[#This Row],[Column14]]/IF(OR($E$2="Deployment",deployment_raw[[#This Row],[Column5]]=0),1,deployment_raw[[#This Row],[Column5]]),"")</f>
        <v/>
      </c>
      <c r="O140" s="167" t="str">
        <f>IF(ISNUMBER(deployment_raw[[#This Row],[Column15]]), deployment_raw[[#This Row],[Column15]]/IF(OR($E$2="Deployment",deployment_raw[[#This Row],[Column5]]=0),1,deployment_raw[[#This Row],[Column5]])/1048576,"")</f>
        <v/>
      </c>
      <c r="P140" s="168" t="str">
        <f>IF(ISNUMBER(deployment_raw[[#This Row],[Column12]]), (MIN(IF(N140&lt;&gt;"",N140,9999999999999)*1.1,deployment_raw[[#This Row],[Column12]] * IF($E$2="Deployment",deployment_raw[[#This Row],[Column5]],1))*(1+$P$2)),"")</f>
        <v/>
      </c>
      <c r="Q140" s="167" t="str">
        <f>IF(ISNUMBER(deployment_raw[[#This Row],[Column13]]), (MIN(IF(O140&lt;&gt;"",O140,9999999999999)*1.1,deployment_raw[[#This Row],[Column13]] * IF($E$2="Deployment",deployment_raw[[#This Row],[Column5]],1)*(1+$Q$2)/1048576)),"")</f>
        <v/>
      </c>
      <c r="R140" s="169" t="str">
        <f>IF(ISNUMBER(deployment_raw[[#This Row],[Column8]]), (H140  * IF(N140&lt;&gt;0,$R$2,1)),"")</f>
        <v/>
      </c>
      <c r="S140" s="170" t="str">
        <f>IF(ISNUMBER(deployment_raw[[#This Row],[Column8]]), (I140  * IF(O140&lt;&gt;0,$S$2,1)),"")</f>
        <v/>
      </c>
      <c r="T140" s="202" t="str">
        <f>IF(AND(A140&lt;&gt;"",_xlfn.IFNA(MATCH(A140,'dynamic resource application '!$A$2:$A$100, 0),0)&lt;&gt;0), H140/(IF($E$2="Deployment",E140,1)),"")</f>
        <v/>
      </c>
      <c r="U140" s="211" t="str">
        <f>IF(AND(A140&lt;&gt;"",_xlfn.IFNA(MATCH(A140,'dynamic resource application '!$A$2:$A$100, 0),0)&lt;&gt;0), I140/(IF($E$2="Deployment",E140,1)),"")</f>
        <v/>
      </c>
    </row>
    <row r="141" spans="1:21" ht="15.75" customHeight="1" x14ac:dyDescent="0.25">
      <c r="A141" s="35" t="str">
        <f>IF(ISNONTEXT(deployment_raw[[#This Row],[Column1]]), "", deployment_raw[[#This Row],[Column1]])</f>
        <v/>
      </c>
      <c r="B141" s="36" t="str">
        <f>IF(ISNONTEXT(deployment_raw[[#This Row],[Column2]]), "", deployment_raw[[#This Row],[Column2]])</f>
        <v/>
      </c>
      <c r="C141" s="36" t="str">
        <f>IF(ISNONTEXT(deployment_raw[[#This Row],[Column3]]), "", deployment_raw[[#This Row],[Column3]])</f>
        <v/>
      </c>
      <c r="D141" s="36" t="str">
        <f>IF(ISNONTEXT(deployment_raw[[#This Row],[Column4]]), "", deployment_raw[[#This Row],[Column4]])</f>
        <v/>
      </c>
      <c r="E141" s="37" t="str">
        <f>IF(ISNUMBER(deployment_raw[[#This Row],[Column5]]), deployment_raw[[#This Row],[Column5]],"")</f>
        <v/>
      </c>
      <c r="F141" s="94" t="str">
        <f>IF(ISNUMBER(deployment_raw[[#This Row],[Column6]]), (deployment_raw[[#This Row],[Column6]] * IF($E$2="Deployment",deployment_raw[[#This Row],[Column5]],1)),"")</f>
        <v/>
      </c>
      <c r="G141" s="95" t="str">
        <f>IF(ISNUMBER(deployment_raw[[#This Row],[Column7]]), (deployment_raw[[#This Row],[Column7]] * IF($E$2="Deployment",deployment_raw[[#This Row],[Column5]],1))/1048576,"")</f>
        <v/>
      </c>
      <c r="H141" s="95" t="str">
        <f>IF(ISNUMBER(deployment_raw[[#This Row],[Column8]]), (deployment_raw[[#This Row],[Column8]]  * IF($E$2="Deployment",deployment_raw[[#This Row],[Column5]],1)),"")</f>
        <v/>
      </c>
      <c r="I141" s="96" t="str">
        <f>IF(ISNUMBER(deployment_raw[[#This Row],[Column9]]), (deployment_raw[[#This Row],[Column9]] * IF($E$2="Deployment",deployment_raw[[#This Row],[Column5]],1))/1048576,"")</f>
        <v/>
      </c>
      <c r="J141" s="122" t="str">
        <f>IF(ISNUMBER(deployment_raw[[#This Row],[Column10]]), (MIN(IF(N141&lt;&gt;"",N141,9999999999999)*1.1,deployment_raw[[#This Row],[Column10]] * IF($E$2="Deployment",deployment_raw[[#This Row],[Column5]],1))),"")</f>
        <v/>
      </c>
      <c r="K141" s="123" t="str">
        <f>IF(ISNUMBER(deployment_raw[[#This Row],[Column11]]), (MIN(IF(O141&lt;&gt;"",O141,9999999999999)*1.1,deployment_raw[[#This Row],[Column11]] * IF($E$2="Deployment",deployment_raw[[#This Row],[Column5]],1)/1048576)),"")</f>
        <v/>
      </c>
      <c r="L141" s="124" t="str">
        <f>IF(ISNUMBER(deployment_raw[[#This Row],[Column8]]),IF(OR(deployment_raw[[#This Row],[Column5]] &lt;&gt; 0,$E$2 &lt;&gt; "Deployment"), MAX(J141, P141, R141, ($L$2 * IF($E$2="Deployment",deployment_raw[[#This Row],[Column5]],1)),IF(T141&lt;&gt;"",VALUE(T141) * IF($E$2="Deployment",deployment_raw[[#This Row],[Column5]],1),0)), 0),"")</f>
        <v/>
      </c>
      <c r="M141" s="125" t="str">
        <f>IF(ISNUMBER(deployment_raw[[#This Row],[Column9]]),IF(OR(deployment_raw[[#This Row],[Column5]] &lt;&gt; 0,$E$2&lt;&gt;"Deployment"), MAX(K141, Q141, S141, ($M$2 * IF($E$2="Deployment",deployment_raw[[#This Row],[Column5]],1)),IF(U141&lt;&gt;"",VALUE(U141) * IF($E$2="Deployment",deployment_raw[[#This Row],[Column5]],1),0)), 0),"")</f>
        <v/>
      </c>
      <c r="N141" s="166" t="str">
        <f>IF(ISNUMBER(deployment_raw[[#This Row],[Column14]]), deployment_raw[[#This Row],[Column14]]/IF(OR($E$2="Deployment",deployment_raw[[#This Row],[Column5]]=0),1,deployment_raw[[#This Row],[Column5]]),"")</f>
        <v/>
      </c>
      <c r="O141" s="167" t="str">
        <f>IF(ISNUMBER(deployment_raw[[#This Row],[Column15]]), deployment_raw[[#This Row],[Column15]]/IF(OR($E$2="Deployment",deployment_raw[[#This Row],[Column5]]=0),1,deployment_raw[[#This Row],[Column5]])/1048576,"")</f>
        <v/>
      </c>
      <c r="P141" s="168" t="str">
        <f>IF(ISNUMBER(deployment_raw[[#This Row],[Column12]]), (MIN(IF(N141&lt;&gt;"",N141,9999999999999)*1.1,deployment_raw[[#This Row],[Column12]] * IF($E$2="Deployment",deployment_raw[[#This Row],[Column5]],1))*(1+$P$2)),"")</f>
        <v/>
      </c>
      <c r="Q141" s="167" t="str">
        <f>IF(ISNUMBER(deployment_raw[[#This Row],[Column13]]), (MIN(IF(O141&lt;&gt;"",O141,9999999999999)*1.1,deployment_raw[[#This Row],[Column13]] * IF($E$2="Deployment",deployment_raw[[#This Row],[Column5]],1)*(1+$Q$2)/1048576)),"")</f>
        <v/>
      </c>
      <c r="R141" s="169" t="str">
        <f>IF(ISNUMBER(deployment_raw[[#This Row],[Column8]]), (H141  * IF(N141&lt;&gt;0,$R$2,1)),"")</f>
        <v/>
      </c>
      <c r="S141" s="170" t="str">
        <f>IF(ISNUMBER(deployment_raw[[#This Row],[Column8]]), (I141  * IF(O141&lt;&gt;0,$S$2,1)),"")</f>
        <v/>
      </c>
      <c r="T141" s="202" t="str">
        <f>IF(AND(A141&lt;&gt;"",_xlfn.IFNA(MATCH(A141,'dynamic resource application '!$A$2:$A$100, 0),0)&lt;&gt;0), H141/(IF($E$2="Deployment",E141,1)),"")</f>
        <v/>
      </c>
      <c r="U141" s="211" t="str">
        <f>IF(AND(A141&lt;&gt;"",_xlfn.IFNA(MATCH(A141,'dynamic resource application '!$A$2:$A$100, 0),0)&lt;&gt;0), I141/(IF($E$2="Deployment",E141,1)),"")</f>
        <v/>
      </c>
    </row>
    <row r="142" spans="1:21" ht="15.75" customHeight="1" x14ac:dyDescent="0.25">
      <c r="A142" s="35" t="str">
        <f>IF(ISNONTEXT(deployment_raw[[#This Row],[Column1]]), "", deployment_raw[[#This Row],[Column1]])</f>
        <v/>
      </c>
      <c r="B142" s="36" t="str">
        <f>IF(ISNONTEXT(deployment_raw[[#This Row],[Column2]]), "", deployment_raw[[#This Row],[Column2]])</f>
        <v/>
      </c>
      <c r="C142" s="36" t="str">
        <f>IF(ISNONTEXT(deployment_raw[[#This Row],[Column3]]), "", deployment_raw[[#This Row],[Column3]])</f>
        <v/>
      </c>
      <c r="D142" s="36" t="str">
        <f>IF(ISNONTEXT(deployment_raw[[#This Row],[Column4]]), "", deployment_raw[[#This Row],[Column4]])</f>
        <v/>
      </c>
      <c r="E142" s="37" t="str">
        <f>IF(ISNUMBER(deployment_raw[[#This Row],[Column5]]), deployment_raw[[#This Row],[Column5]],"")</f>
        <v/>
      </c>
      <c r="F142" s="94" t="str">
        <f>IF(ISNUMBER(deployment_raw[[#This Row],[Column6]]), (deployment_raw[[#This Row],[Column6]] * IF($E$2="Deployment",deployment_raw[[#This Row],[Column5]],1)),"")</f>
        <v/>
      </c>
      <c r="G142" s="95" t="str">
        <f>IF(ISNUMBER(deployment_raw[[#This Row],[Column7]]), (deployment_raw[[#This Row],[Column7]] * IF($E$2="Deployment",deployment_raw[[#This Row],[Column5]],1))/1048576,"")</f>
        <v/>
      </c>
      <c r="H142" s="95" t="str">
        <f>IF(ISNUMBER(deployment_raw[[#This Row],[Column8]]), (deployment_raw[[#This Row],[Column8]]  * IF($E$2="Deployment",deployment_raw[[#This Row],[Column5]],1)),"")</f>
        <v/>
      </c>
      <c r="I142" s="96" t="str">
        <f>IF(ISNUMBER(deployment_raw[[#This Row],[Column9]]), (deployment_raw[[#This Row],[Column9]] * IF($E$2="Deployment",deployment_raw[[#This Row],[Column5]],1))/1048576,"")</f>
        <v/>
      </c>
      <c r="J142" s="122" t="str">
        <f>IF(ISNUMBER(deployment_raw[[#This Row],[Column10]]), (MIN(IF(N142&lt;&gt;"",N142,9999999999999)*1.1,deployment_raw[[#This Row],[Column10]] * IF($E$2="Deployment",deployment_raw[[#This Row],[Column5]],1))),"")</f>
        <v/>
      </c>
      <c r="K142" s="123" t="str">
        <f>IF(ISNUMBER(deployment_raw[[#This Row],[Column11]]), (MIN(IF(O142&lt;&gt;"",O142,9999999999999)*1.1,deployment_raw[[#This Row],[Column11]] * IF($E$2="Deployment",deployment_raw[[#This Row],[Column5]],1)/1048576)),"")</f>
        <v/>
      </c>
      <c r="L142" s="124" t="str">
        <f>IF(ISNUMBER(deployment_raw[[#This Row],[Column8]]),IF(OR(deployment_raw[[#This Row],[Column5]] &lt;&gt; 0,$E$2 &lt;&gt; "Deployment"), MAX(J142, P142, R142, ($L$2 * IF($E$2="Deployment",deployment_raw[[#This Row],[Column5]],1)),IF(T142&lt;&gt;"",VALUE(T142) * IF($E$2="Deployment",deployment_raw[[#This Row],[Column5]],1),0)), 0),"")</f>
        <v/>
      </c>
      <c r="M142" s="125" t="str">
        <f>IF(ISNUMBER(deployment_raw[[#This Row],[Column9]]),IF(OR(deployment_raw[[#This Row],[Column5]] &lt;&gt; 0,$E$2&lt;&gt;"Deployment"), MAX(K142, Q142, S142, ($M$2 * IF($E$2="Deployment",deployment_raw[[#This Row],[Column5]],1)),IF(U142&lt;&gt;"",VALUE(U142) * IF($E$2="Deployment",deployment_raw[[#This Row],[Column5]],1),0)), 0),"")</f>
        <v/>
      </c>
      <c r="N142" s="166" t="str">
        <f>IF(ISNUMBER(deployment_raw[[#This Row],[Column14]]), deployment_raw[[#This Row],[Column14]]/IF(OR($E$2="Deployment",deployment_raw[[#This Row],[Column5]]=0),1,deployment_raw[[#This Row],[Column5]]),"")</f>
        <v/>
      </c>
      <c r="O142" s="167" t="str">
        <f>IF(ISNUMBER(deployment_raw[[#This Row],[Column15]]), deployment_raw[[#This Row],[Column15]]/IF(OR($E$2="Deployment",deployment_raw[[#This Row],[Column5]]=0),1,deployment_raw[[#This Row],[Column5]])/1048576,"")</f>
        <v/>
      </c>
      <c r="P142" s="168" t="str">
        <f>IF(ISNUMBER(deployment_raw[[#This Row],[Column12]]), (MIN(IF(N142&lt;&gt;"",N142,9999999999999)*1.1,deployment_raw[[#This Row],[Column12]] * IF($E$2="Deployment",deployment_raw[[#This Row],[Column5]],1))*(1+$P$2)),"")</f>
        <v/>
      </c>
      <c r="Q142" s="167" t="str">
        <f>IF(ISNUMBER(deployment_raw[[#This Row],[Column13]]), (MIN(IF(O142&lt;&gt;"",O142,9999999999999)*1.1,deployment_raw[[#This Row],[Column13]] * IF($E$2="Deployment",deployment_raw[[#This Row],[Column5]],1)*(1+$Q$2)/1048576)),"")</f>
        <v/>
      </c>
      <c r="R142" s="169" t="str">
        <f>IF(ISNUMBER(deployment_raw[[#This Row],[Column8]]), (H142  * IF(N142&lt;&gt;0,$R$2,1)),"")</f>
        <v/>
      </c>
      <c r="S142" s="170" t="str">
        <f>IF(ISNUMBER(deployment_raw[[#This Row],[Column8]]), (I142  * IF(O142&lt;&gt;0,$S$2,1)),"")</f>
        <v/>
      </c>
      <c r="T142" s="202" t="str">
        <f>IF(AND(A142&lt;&gt;"",_xlfn.IFNA(MATCH(A142,'dynamic resource application '!$A$2:$A$100, 0),0)&lt;&gt;0), H142/(IF($E$2="Deployment",E142,1)),"")</f>
        <v/>
      </c>
      <c r="U142" s="211" t="str">
        <f>IF(AND(A142&lt;&gt;"",_xlfn.IFNA(MATCH(A142,'dynamic resource application '!$A$2:$A$100, 0),0)&lt;&gt;0), I142/(IF($E$2="Deployment",E142,1)),"")</f>
        <v/>
      </c>
    </row>
    <row r="143" spans="1:21" ht="15.75" customHeight="1" x14ac:dyDescent="0.25">
      <c r="A143" s="35" t="str">
        <f>IF(ISNONTEXT(deployment_raw[[#This Row],[Column1]]), "", deployment_raw[[#This Row],[Column1]])</f>
        <v/>
      </c>
      <c r="B143" s="36" t="str">
        <f>IF(ISNONTEXT(deployment_raw[[#This Row],[Column2]]), "", deployment_raw[[#This Row],[Column2]])</f>
        <v/>
      </c>
      <c r="C143" s="36" t="str">
        <f>IF(ISNONTEXT(deployment_raw[[#This Row],[Column3]]), "", deployment_raw[[#This Row],[Column3]])</f>
        <v/>
      </c>
      <c r="D143" s="36" t="str">
        <f>IF(ISNONTEXT(deployment_raw[[#This Row],[Column4]]), "", deployment_raw[[#This Row],[Column4]])</f>
        <v/>
      </c>
      <c r="E143" s="37" t="str">
        <f>IF(ISNUMBER(deployment_raw[[#This Row],[Column5]]), deployment_raw[[#This Row],[Column5]],"")</f>
        <v/>
      </c>
      <c r="F143" s="94" t="str">
        <f>IF(ISNUMBER(deployment_raw[[#This Row],[Column6]]), (deployment_raw[[#This Row],[Column6]] * IF($E$2="Deployment",deployment_raw[[#This Row],[Column5]],1)),"")</f>
        <v/>
      </c>
      <c r="G143" s="95" t="str">
        <f>IF(ISNUMBER(deployment_raw[[#This Row],[Column7]]), (deployment_raw[[#This Row],[Column7]] * IF($E$2="Deployment",deployment_raw[[#This Row],[Column5]],1))/1048576,"")</f>
        <v/>
      </c>
      <c r="H143" s="95" t="str">
        <f>IF(ISNUMBER(deployment_raw[[#This Row],[Column8]]), (deployment_raw[[#This Row],[Column8]]  * IF($E$2="Deployment",deployment_raw[[#This Row],[Column5]],1)),"")</f>
        <v/>
      </c>
      <c r="I143" s="96" t="str">
        <f>IF(ISNUMBER(deployment_raw[[#This Row],[Column9]]), (deployment_raw[[#This Row],[Column9]] * IF($E$2="Deployment",deployment_raw[[#This Row],[Column5]],1))/1048576,"")</f>
        <v/>
      </c>
      <c r="J143" s="122" t="str">
        <f>IF(ISNUMBER(deployment_raw[[#This Row],[Column10]]), (MIN(IF(N143&lt;&gt;"",N143,9999999999999)*1.1,deployment_raw[[#This Row],[Column10]] * IF($E$2="Deployment",deployment_raw[[#This Row],[Column5]],1))),"")</f>
        <v/>
      </c>
      <c r="K143" s="123" t="str">
        <f>IF(ISNUMBER(deployment_raw[[#This Row],[Column11]]), (MIN(IF(O143&lt;&gt;"",O143,9999999999999)*1.1,deployment_raw[[#This Row],[Column11]] * IF($E$2="Deployment",deployment_raw[[#This Row],[Column5]],1)/1048576)),"")</f>
        <v/>
      </c>
      <c r="L143" s="124" t="str">
        <f>IF(ISNUMBER(deployment_raw[[#This Row],[Column8]]),IF(OR(deployment_raw[[#This Row],[Column5]] &lt;&gt; 0,$E$2 &lt;&gt; "Deployment"), MAX(J143, P143, R143, ($L$2 * IF($E$2="Deployment",deployment_raw[[#This Row],[Column5]],1)),IF(T143&lt;&gt;"",VALUE(T143) * IF($E$2="Deployment",deployment_raw[[#This Row],[Column5]],1),0)), 0),"")</f>
        <v/>
      </c>
      <c r="M143" s="125" t="str">
        <f>IF(ISNUMBER(deployment_raw[[#This Row],[Column9]]),IF(OR(deployment_raw[[#This Row],[Column5]] &lt;&gt; 0,$E$2&lt;&gt;"Deployment"), MAX(K143, Q143, S143, ($M$2 * IF($E$2="Deployment",deployment_raw[[#This Row],[Column5]],1)),IF(U143&lt;&gt;"",VALUE(U143) * IF($E$2="Deployment",deployment_raw[[#This Row],[Column5]],1),0)), 0),"")</f>
        <v/>
      </c>
      <c r="N143" s="166" t="str">
        <f>IF(ISNUMBER(deployment_raw[[#This Row],[Column14]]), deployment_raw[[#This Row],[Column14]]/IF(OR($E$2="Deployment",deployment_raw[[#This Row],[Column5]]=0),1,deployment_raw[[#This Row],[Column5]]),"")</f>
        <v/>
      </c>
      <c r="O143" s="167" t="str">
        <f>IF(ISNUMBER(deployment_raw[[#This Row],[Column15]]), deployment_raw[[#This Row],[Column15]]/IF(OR($E$2="Deployment",deployment_raw[[#This Row],[Column5]]=0),1,deployment_raw[[#This Row],[Column5]])/1048576,"")</f>
        <v/>
      </c>
      <c r="P143" s="168" t="str">
        <f>IF(ISNUMBER(deployment_raw[[#This Row],[Column12]]), (MIN(IF(N143&lt;&gt;"",N143,9999999999999)*1.1,deployment_raw[[#This Row],[Column12]] * IF($E$2="Deployment",deployment_raw[[#This Row],[Column5]],1))*(1+$P$2)),"")</f>
        <v/>
      </c>
      <c r="Q143" s="167" t="str">
        <f>IF(ISNUMBER(deployment_raw[[#This Row],[Column13]]), (MIN(IF(O143&lt;&gt;"",O143,9999999999999)*1.1,deployment_raw[[#This Row],[Column13]] * IF($E$2="Deployment",deployment_raw[[#This Row],[Column5]],1)*(1+$Q$2)/1048576)),"")</f>
        <v/>
      </c>
      <c r="R143" s="169" t="str">
        <f>IF(ISNUMBER(deployment_raw[[#This Row],[Column8]]), (H143  * IF(N143&lt;&gt;0,$R$2,1)),"")</f>
        <v/>
      </c>
      <c r="S143" s="170" t="str">
        <f>IF(ISNUMBER(deployment_raw[[#This Row],[Column8]]), (I143  * IF(O143&lt;&gt;0,$S$2,1)),"")</f>
        <v/>
      </c>
      <c r="T143" s="202" t="str">
        <f>IF(AND(A143&lt;&gt;"",_xlfn.IFNA(MATCH(A143,'dynamic resource application '!$A$2:$A$100, 0),0)&lt;&gt;0), H143/(IF($E$2="Deployment",E143,1)),"")</f>
        <v/>
      </c>
      <c r="U143" s="211" t="str">
        <f>IF(AND(A143&lt;&gt;"",_xlfn.IFNA(MATCH(A143,'dynamic resource application '!$A$2:$A$100, 0),0)&lt;&gt;0), I143/(IF($E$2="Deployment",E143,1)),"")</f>
        <v/>
      </c>
    </row>
    <row r="144" spans="1:21" ht="15.75" customHeight="1" x14ac:dyDescent="0.25">
      <c r="A144" s="35" t="str">
        <f>IF(ISNONTEXT(deployment_raw[[#This Row],[Column1]]), "", deployment_raw[[#This Row],[Column1]])</f>
        <v/>
      </c>
      <c r="B144" s="36" t="str">
        <f>IF(ISNONTEXT(deployment_raw[[#This Row],[Column2]]), "", deployment_raw[[#This Row],[Column2]])</f>
        <v/>
      </c>
      <c r="C144" s="36" t="str">
        <f>IF(ISNONTEXT(deployment_raw[[#This Row],[Column3]]), "", deployment_raw[[#This Row],[Column3]])</f>
        <v/>
      </c>
      <c r="D144" s="36" t="str">
        <f>IF(ISNONTEXT(deployment_raw[[#This Row],[Column4]]), "", deployment_raw[[#This Row],[Column4]])</f>
        <v/>
      </c>
      <c r="E144" s="37" t="str">
        <f>IF(ISNUMBER(deployment_raw[[#This Row],[Column5]]), deployment_raw[[#This Row],[Column5]],"")</f>
        <v/>
      </c>
      <c r="F144" s="94" t="str">
        <f>IF(ISNUMBER(deployment_raw[[#This Row],[Column6]]), (deployment_raw[[#This Row],[Column6]] * IF($E$2="Deployment",deployment_raw[[#This Row],[Column5]],1)),"")</f>
        <v/>
      </c>
      <c r="G144" s="95" t="str">
        <f>IF(ISNUMBER(deployment_raw[[#This Row],[Column7]]), (deployment_raw[[#This Row],[Column7]] * IF($E$2="Deployment",deployment_raw[[#This Row],[Column5]],1))/1048576,"")</f>
        <v/>
      </c>
      <c r="H144" s="95" t="str">
        <f>IF(ISNUMBER(deployment_raw[[#This Row],[Column8]]), (deployment_raw[[#This Row],[Column8]]  * IF($E$2="Deployment",deployment_raw[[#This Row],[Column5]],1)),"")</f>
        <v/>
      </c>
      <c r="I144" s="96" t="str">
        <f>IF(ISNUMBER(deployment_raw[[#This Row],[Column9]]), (deployment_raw[[#This Row],[Column9]] * IF($E$2="Deployment",deployment_raw[[#This Row],[Column5]],1))/1048576,"")</f>
        <v/>
      </c>
      <c r="J144" s="122" t="str">
        <f>IF(ISNUMBER(deployment_raw[[#This Row],[Column10]]), (MIN(IF(N144&lt;&gt;"",N144,9999999999999)*1.1,deployment_raw[[#This Row],[Column10]] * IF($E$2="Deployment",deployment_raw[[#This Row],[Column5]],1))),"")</f>
        <v/>
      </c>
      <c r="K144" s="123" t="str">
        <f>IF(ISNUMBER(deployment_raw[[#This Row],[Column11]]), (MIN(IF(O144&lt;&gt;"",O144,9999999999999)*1.1,deployment_raw[[#This Row],[Column11]] * IF($E$2="Deployment",deployment_raw[[#This Row],[Column5]],1)/1048576)),"")</f>
        <v/>
      </c>
      <c r="L144" s="124" t="str">
        <f>IF(ISNUMBER(deployment_raw[[#This Row],[Column8]]),IF(OR(deployment_raw[[#This Row],[Column5]] &lt;&gt; 0,$E$2 &lt;&gt; "Deployment"), MAX(J144, P144, R144, ($L$2 * IF($E$2="Deployment",deployment_raw[[#This Row],[Column5]],1)),IF(T144&lt;&gt;"",VALUE(T144) * IF($E$2="Deployment",deployment_raw[[#This Row],[Column5]],1),0)), 0),"")</f>
        <v/>
      </c>
      <c r="M144" s="125" t="str">
        <f>IF(ISNUMBER(deployment_raw[[#This Row],[Column9]]),IF(OR(deployment_raw[[#This Row],[Column5]] &lt;&gt; 0,$E$2&lt;&gt;"Deployment"), MAX(K144, Q144, S144, ($M$2 * IF($E$2="Deployment",deployment_raw[[#This Row],[Column5]],1)),IF(U144&lt;&gt;"",VALUE(U144) * IF($E$2="Deployment",deployment_raw[[#This Row],[Column5]],1),0)), 0),"")</f>
        <v/>
      </c>
      <c r="N144" s="166" t="str">
        <f>IF(ISNUMBER(deployment_raw[[#This Row],[Column14]]), deployment_raw[[#This Row],[Column14]]/IF(OR($E$2="Deployment",deployment_raw[[#This Row],[Column5]]=0),1,deployment_raw[[#This Row],[Column5]]),"")</f>
        <v/>
      </c>
      <c r="O144" s="167" t="str">
        <f>IF(ISNUMBER(deployment_raw[[#This Row],[Column15]]), deployment_raw[[#This Row],[Column15]]/IF(OR($E$2="Deployment",deployment_raw[[#This Row],[Column5]]=0),1,deployment_raw[[#This Row],[Column5]])/1048576,"")</f>
        <v/>
      </c>
      <c r="P144" s="168" t="str">
        <f>IF(ISNUMBER(deployment_raw[[#This Row],[Column12]]), (MIN(IF(N144&lt;&gt;"",N144,9999999999999)*1.1,deployment_raw[[#This Row],[Column12]] * IF($E$2="Deployment",deployment_raw[[#This Row],[Column5]],1))*(1+$P$2)),"")</f>
        <v/>
      </c>
      <c r="Q144" s="167" t="str">
        <f>IF(ISNUMBER(deployment_raw[[#This Row],[Column13]]), (MIN(IF(O144&lt;&gt;"",O144,9999999999999)*1.1,deployment_raw[[#This Row],[Column13]] * IF($E$2="Deployment",deployment_raw[[#This Row],[Column5]],1)*(1+$Q$2)/1048576)),"")</f>
        <v/>
      </c>
      <c r="R144" s="169" t="str">
        <f>IF(ISNUMBER(deployment_raw[[#This Row],[Column8]]), (H144  * IF(N144&lt;&gt;0,$R$2,1)),"")</f>
        <v/>
      </c>
      <c r="S144" s="170" t="str">
        <f>IF(ISNUMBER(deployment_raw[[#This Row],[Column8]]), (I144  * IF(O144&lt;&gt;0,$S$2,1)),"")</f>
        <v/>
      </c>
      <c r="T144" s="202" t="str">
        <f>IF(AND(A144&lt;&gt;"",_xlfn.IFNA(MATCH(A144,'dynamic resource application '!$A$2:$A$100, 0),0)&lt;&gt;0), H144/(IF($E$2="Deployment",E144,1)),"")</f>
        <v/>
      </c>
      <c r="U144" s="211" t="str">
        <f>IF(AND(A144&lt;&gt;"",_xlfn.IFNA(MATCH(A144,'dynamic resource application '!$A$2:$A$100, 0),0)&lt;&gt;0), I144/(IF($E$2="Deployment",E144,1)),"")</f>
        <v/>
      </c>
    </row>
    <row r="145" spans="1:21" ht="15.75" customHeight="1" x14ac:dyDescent="0.25">
      <c r="A145" s="35" t="str">
        <f>IF(ISNONTEXT(deployment_raw[[#This Row],[Column1]]), "", deployment_raw[[#This Row],[Column1]])</f>
        <v/>
      </c>
      <c r="B145" s="36" t="str">
        <f>IF(ISNONTEXT(deployment_raw[[#This Row],[Column2]]), "", deployment_raw[[#This Row],[Column2]])</f>
        <v/>
      </c>
      <c r="C145" s="36" t="str">
        <f>IF(ISNONTEXT(deployment_raw[[#This Row],[Column3]]), "", deployment_raw[[#This Row],[Column3]])</f>
        <v/>
      </c>
      <c r="D145" s="36" t="str">
        <f>IF(ISNONTEXT(deployment_raw[[#This Row],[Column4]]), "", deployment_raw[[#This Row],[Column4]])</f>
        <v/>
      </c>
      <c r="E145" s="37" t="str">
        <f>IF(ISNUMBER(deployment_raw[[#This Row],[Column5]]), deployment_raw[[#This Row],[Column5]],"")</f>
        <v/>
      </c>
      <c r="F145" s="94" t="str">
        <f>IF(ISNUMBER(deployment_raw[[#This Row],[Column6]]), (deployment_raw[[#This Row],[Column6]] * IF($E$2="Deployment",deployment_raw[[#This Row],[Column5]],1)),"")</f>
        <v/>
      </c>
      <c r="G145" s="95" t="str">
        <f>IF(ISNUMBER(deployment_raw[[#This Row],[Column7]]), (deployment_raw[[#This Row],[Column7]] * IF($E$2="Deployment",deployment_raw[[#This Row],[Column5]],1))/1048576,"")</f>
        <v/>
      </c>
      <c r="H145" s="95" t="str">
        <f>IF(ISNUMBER(deployment_raw[[#This Row],[Column8]]), (deployment_raw[[#This Row],[Column8]]  * IF($E$2="Deployment",deployment_raw[[#This Row],[Column5]],1)),"")</f>
        <v/>
      </c>
      <c r="I145" s="96" t="str">
        <f>IF(ISNUMBER(deployment_raw[[#This Row],[Column9]]), (deployment_raw[[#This Row],[Column9]] * IF($E$2="Deployment",deployment_raw[[#This Row],[Column5]],1))/1048576,"")</f>
        <v/>
      </c>
      <c r="J145" s="122" t="str">
        <f>IF(ISNUMBER(deployment_raw[[#This Row],[Column10]]), (MIN(IF(N145&lt;&gt;"",N145,9999999999999)*1.1,deployment_raw[[#This Row],[Column10]] * IF($E$2="Deployment",deployment_raw[[#This Row],[Column5]],1))),"")</f>
        <v/>
      </c>
      <c r="K145" s="123" t="str">
        <f>IF(ISNUMBER(deployment_raw[[#This Row],[Column11]]), (MIN(IF(O145&lt;&gt;"",O145,9999999999999)*1.1,deployment_raw[[#This Row],[Column11]] * IF($E$2="Deployment",deployment_raw[[#This Row],[Column5]],1)/1048576)),"")</f>
        <v/>
      </c>
      <c r="L145" s="124" t="str">
        <f>IF(ISNUMBER(deployment_raw[[#This Row],[Column8]]),IF(OR(deployment_raw[[#This Row],[Column5]] &lt;&gt; 0,$E$2 &lt;&gt; "Deployment"), MAX(J145, P145, R145, ($L$2 * IF($E$2="Deployment",deployment_raw[[#This Row],[Column5]],1)),IF(T145&lt;&gt;"",VALUE(T145) * IF($E$2="Deployment",deployment_raw[[#This Row],[Column5]],1),0)), 0),"")</f>
        <v/>
      </c>
      <c r="M145" s="125" t="str">
        <f>IF(ISNUMBER(deployment_raw[[#This Row],[Column9]]),IF(OR(deployment_raw[[#This Row],[Column5]] &lt;&gt; 0,$E$2&lt;&gt;"Deployment"), MAX(K145, Q145, S145, ($M$2 * IF($E$2="Deployment",deployment_raw[[#This Row],[Column5]],1)),IF(U145&lt;&gt;"",VALUE(U145) * IF($E$2="Deployment",deployment_raw[[#This Row],[Column5]],1),0)), 0),"")</f>
        <v/>
      </c>
      <c r="N145" s="166" t="str">
        <f>IF(ISNUMBER(deployment_raw[[#This Row],[Column14]]), deployment_raw[[#This Row],[Column14]]/IF(OR($E$2="Deployment",deployment_raw[[#This Row],[Column5]]=0),1,deployment_raw[[#This Row],[Column5]]),"")</f>
        <v/>
      </c>
      <c r="O145" s="167" t="str">
        <f>IF(ISNUMBER(deployment_raw[[#This Row],[Column15]]), deployment_raw[[#This Row],[Column15]]/IF(OR($E$2="Deployment",deployment_raw[[#This Row],[Column5]]=0),1,deployment_raw[[#This Row],[Column5]])/1048576,"")</f>
        <v/>
      </c>
      <c r="P145" s="168" t="str">
        <f>IF(ISNUMBER(deployment_raw[[#This Row],[Column12]]), (MIN(IF(N145&lt;&gt;"",N145,9999999999999)*1.1,deployment_raw[[#This Row],[Column12]] * IF($E$2="Deployment",deployment_raw[[#This Row],[Column5]],1))*(1+$P$2)),"")</f>
        <v/>
      </c>
      <c r="Q145" s="167" t="str">
        <f>IF(ISNUMBER(deployment_raw[[#This Row],[Column13]]), (MIN(IF(O145&lt;&gt;"",O145,9999999999999)*1.1,deployment_raw[[#This Row],[Column13]] * IF($E$2="Deployment",deployment_raw[[#This Row],[Column5]],1)*(1+$Q$2)/1048576)),"")</f>
        <v/>
      </c>
      <c r="R145" s="169" t="str">
        <f>IF(ISNUMBER(deployment_raw[[#This Row],[Column8]]), (H145  * IF(N145&lt;&gt;0,$R$2,1)),"")</f>
        <v/>
      </c>
      <c r="S145" s="170" t="str">
        <f>IF(ISNUMBER(deployment_raw[[#This Row],[Column8]]), (I145  * IF(O145&lt;&gt;0,$S$2,1)),"")</f>
        <v/>
      </c>
      <c r="T145" s="202" t="str">
        <f>IF(AND(A145&lt;&gt;"",_xlfn.IFNA(MATCH(A145,'dynamic resource application '!$A$2:$A$100, 0),0)&lt;&gt;0), H145/(IF($E$2="Deployment",E145,1)),"")</f>
        <v/>
      </c>
      <c r="U145" s="211" t="str">
        <f>IF(AND(A145&lt;&gt;"",_xlfn.IFNA(MATCH(A145,'dynamic resource application '!$A$2:$A$100, 0),0)&lt;&gt;0), I145/(IF($E$2="Deployment",E145,1)),"")</f>
        <v/>
      </c>
    </row>
    <row r="146" spans="1:21" ht="15.75" customHeight="1" x14ac:dyDescent="0.25">
      <c r="A146" s="35" t="str">
        <f>IF(ISNONTEXT(deployment_raw[[#This Row],[Column1]]), "", deployment_raw[[#This Row],[Column1]])</f>
        <v/>
      </c>
      <c r="B146" s="36" t="str">
        <f>IF(ISNONTEXT(deployment_raw[[#This Row],[Column2]]), "", deployment_raw[[#This Row],[Column2]])</f>
        <v/>
      </c>
      <c r="C146" s="36" t="str">
        <f>IF(ISNONTEXT(deployment_raw[[#This Row],[Column3]]), "", deployment_raw[[#This Row],[Column3]])</f>
        <v/>
      </c>
      <c r="D146" s="36" t="str">
        <f>IF(ISNONTEXT(deployment_raw[[#This Row],[Column4]]), "", deployment_raw[[#This Row],[Column4]])</f>
        <v/>
      </c>
      <c r="E146" s="37" t="str">
        <f>IF(ISNUMBER(deployment_raw[[#This Row],[Column5]]), deployment_raw[[#This Row],[Column5]],"")</f>
        <v/>
      </c>
      <c r="F146" s="94" t="str">
        <f>IF(ISNUMBER(deployment_raw[[#This Row],[Column6]]), (deployment_raw[[#This Row],[Column6]] * IF($E$2="Deployment",deployment_raw[[#This Row],[Column5]],1)),"")</f>
        <v/>
      </c>
      <c r="G146" s="95" t="str">
        <f>IF(ISNUMBER(deployment_raw[[#This Row],[Column7]]), (deployment_raw[[#This Row],[Column7]] * IF($E$2="Deployment",deployment_raw[[#This Row],[Column5]],1))/1048576,"")</f>
        <v/>
      </c>
      <c r="H146" s="95" t="str">
        <f>IF(ISNUMBER(deployment_raw[[#This Row],[Column8]]), (deployment_raw[[#This Row],[Column8]]  * IF($E$2="Deployment",deployment_raw[[#This Row],[Column5]],1)),"")</f>
        <v/>
      </c>
      <c r="I146" s="96" t="str">
        <f>IF(ISNUMBER(deployment_raw[[#This Row],[Column9]]), (deployment_raw[[#This Row],[Column9]] * IF($E$2="Deployment",deployment_raw[[#This Row],[Column5]],1))/1048576,"")</f>
        <v/>
      </c>
      <c r="J146" s="122" t="str">
        <f>IF(ISNUMBER(deployment_raw[[#This Row],[Column10]]), (MIN(IF(N146&lt;&gt;"",N146,9999999999999)*1.1,deployment_raw[[#This Row],[Column10]] * IF($E$2="Deployment",deployment_raw[[#This Row],[Column5]],1))),"")</f>
        <v/>
      </c>
      <c r="K146" s="123" t="str">
        <f>IF(ISNUMBER(deployment_raw[[#This Row],[Column11]]), (MIN(IF(O146&lt;&gt;"",O146,9999999999999)*1.1,deployment_raw[[#This Row],[Column11]] * IF($E$2="Deployment",deployment_raw[[#This Row],[Column5]],1)/1048576)),"")</f>
        <v/>
      </c>
      <c r="L146" s="124" t="str">
        <f>IF(ISNUMBER(deployment_raw[[#This Row],[Column8]]),IF(OR(deployment_raw[[#This Row],[Column5]] &lt;&gt; 0,$E$2 &lt;&gt; "Deployment"), MAX(J146, P146, R146, ($L$2 * IF($E$2="Deployment",deployment_raw[[#This Row],[Column5]],1)),IF(T146&lt;&gt;"",VALUE(T146) * IF($E$2="Deployment",deployment_raw[[#This Row],[Column5]],1),0)), 0),"")</f>
        <v/>
      </c>
      <c r="M146" s="125" t="str">
        <f>IF(ISNUMBER(deployment_raw[[#This Row],[Column9]]),IF(OR(deployment_raw[[#This Row],[Column5]] &lt;&gt; 0,$E$2&lt;&gt;"Deployment"), MAX(K146, Q146, S146, ($M$2 * IF($E$2="Deployment",deployment_raw[[#This Row],[Column5]],1)),IF(U146&lt;&gt;"",VALUE(U146) * IF($E$2="Deployment",deployment_raw[[#This Row],[Column5]],1),0)), 0),"")</f>
        <v/>
      </c>
      <c r="N146" s="166" t="str">
        <f>IF(ISNUMBER(deployment_raw[[#This Row],[Column14]]), deployment_raw[[#This Row],[Column14]]/IF(OR($E$2="Deployment",deployment_raw[[#This Row],[Column5]]=0),1,deployment_raw[[#This Row],[Column5]]),"")</f>
        <v/>
      </c>
      <c r="O146" s="167" t="str">
        <f>IF(ISNUMBER(deployment_raw[[#This Row],[Column15]]), deployment_raw[[#This Row],[Column15]]/IF(OR($E$2="Deployment",deployment_raw[[#This Row],[Column5]]=0),1,deployment_raw[[#This Row],[Column5]])/1048576,"")</f>
        <v/>
      </c>
      <c r="P146" s="168" t="str">
        <f>IF(ISNUMBER(deployment_raw[[#This Row],[Column12]]), (MIN(IF(N146&lt;&gt;"",N146,9999999999999)*1.1,deployment_raw[[#This Row],[Column12]] * IF($E$2="Deployment",deployment_raw[[#This Row],[Column5]],1))*(1+$P$2)),"")</f>
        <v/>
      </c>
      <c r="Q146" s="167" t="str">
        <f>IF(ISNUMBER(deployment_raw[[#This Row],[Column13]]), (MIN(IF(O146&lt;&gt;"",O146,9999999999999)*1.1,deployment_raw[[#This Row],[Column13]] * IF($E$2="Deployment",deployment_raw[[#This Row],[Column5]],1)*(1+$Q$2)/1048576)),"")</f>
        <v/>
      </c>
      <c r="R146" s="169" t="str">
        <f>IF(ISNUMBER(deployment_raw[[#This Row],[Column8]]), (H146  * IF(N146&lt;&gt;0,$R$2,1)),"")</f>
        <v/>
      </c>
      <c r="S146" s="170" t="str">
        <f>IF(ISNUMBER(deployment_raw[[#This Row],[Column8]]), (I146  * IF(O146&lt;&gt;0,$S$2,1)),"")</f>
        <v/>
      </c>
      <c r="T146" s="202" t="str">
        <f>IF(AND(A146&lt;&gt;"",_xlfn.IFNA(MATCH(A146,'dynamic resource application '!$A$2:$A$100, 0),0)&lt;&gt;0), H146/(IF($E$2="Deployment",E146,1)),"")</f>
        <v/>
      </c>
      <c r="U146" s="211" t="str">
        <f>IF(AND(A146&lt;&gt;"",_xlfn.IFNA(MATCH(A146,'dynamic resource application '!$A$2:$A$100, 0),0)&lt;&gt;0), I146/(IF($E$2="Deployment",E146,1)),"")</f>
        <v/>
      </c>
    </row>
    <row r="147" spans="1:21" ht="15.75" customHeight="1" x14ac:dyDescent="0.25">
      <c r="A147" s="35" t="str">
        <f>IF(ISNONTEXT(deployment_raw[[#This Row],[Column1]]), "", deployment_raw[[#This Row],[Column1]])</f>
        <v/>
      </c>
      <c r="B147" s="36" t="str">
        <f>IF(ISNONTEXT(deployment_raw[[#This Row],[Column2]]), "", deployment_raw[[#This Row],[Column2]])</f>
        <v/>
      </c>
      <c r="C147" s="36" t="str">
        <f>IF(ISNONTEXT(deployment_raw[[#This Row],[Column3]]), "", deployment_raw[[#This Row],[Column3]])</f>
        <v/>
      </c>
      <c r="D147" s="36" t="str">
        <f>IF(ISNONTEXT(deployment_raw[[#This Row],[Column4]]), "", deployment_raw[[#This Row],[Column4]])</f>
        <v/>
      </c>
      <c r="E147" s="37" t="str">
        <f>IF(ISNUMBER(deployment_raw[[#This Row],[Column5]]), deployment_raw[[#This Row],[Column5]],"")</f>
        <v/>
      </c>
      <c r="F147" s="94" t="str">
        <f>IF(ISNUMBER(deployment_raw[[#This Row],[Column6]]), (deployment_raw[[#This Row],[Column6]] * IF($E$2="Deployment",deployment_raw[[#This Row],[Column5]],1)),"")</f>
        <v/>
      </c>
      <c r="G147" s="95" t="str">
        <f>IF(ISNUMBER(deployment_raw[[#This Row],[Column7]]), (deployment_raw[[#This Row],[Column7]] * IF($E$2="Deployment",deployment_raw[[#This Row],[Column5]],1))/1048576,"")</f>
        <v/>
      </c>
      <c r="H147" s="95" t="str">
        <f>IF(ISNUMBER(deployment_raw[[#This Row],[Column8]]), (deployment_raw[[#This Row],[Column8]]  * IF($E$2="Deployment",deployment_raw[[#This Row],[Column5]],1)),"")</f>
        <v/>
      </c>
      <c r="I147" s="96" t="str">
        <f>IF(ISNUMBER(deployment_raw[[#This Row],[Column9]]), (deployment_raw[[#This Row],[Column9]] * IF($E$2="Deployment",deployment_raw[[#This Row],[Column5]],1))/1048576,"")</f>
        <v/>
      </c>
      <c r="J147" s="122" t="str">
        <f>IF(ISNUMBER(deployment_raw[[#This Row],[Column10]]), (MIN(IF(N147&lt;&gt;"",N147,9999999999999)*1.1,deployment_raw[[#This Row],[Column10]] * IF($E$2="Deployment",deployment_raw[[#This Row],[Column5]],1))),"")</f>
        <v/>
      </c>
      <c r="K147" s="123" t="str">
        <f>IF(ISNUMBER(deployment_raw[[#This Row],[Column11]]), (MIN(IF(O147&lt;&gt;"",O147,9999999999999)*1.1,deployment_raw[[#This Row],[Column11]] * IF($E$2="Deployment",deployment_raw[[#This Row],[Column5]],1)/1048576)),"")</f>
        <v/>
      </c>
      <c r="L147" s="124" t="str">
        <f>IF(ISNUMBER(deployment_raw[[#This Row],[Column8]]),IF(OR(deployment_raw[[#This Row],[Column5]] &lt;&gt; 0,$E$2 &lt;&gt; "Deployment"), MAX(J147, P147, R147, ($L$2 * IF($E$2="Deployment",deployment_raw[[#This Row],[Column5]],1)),IF(T147&lt;&gt;"",VALUE(T147) * IF($E$2="Deployment",deployment_raw[[#This Row],[Column5]],1),0)), 0),"")</f>
        <v/>
      </c>
      <c r="M147" s="125" t="str">
        <f>IF(ISNUMBER(deployment_raw[[#This Row],[Column9]]),IF(OR(deployment_raw[[#This Row],[Column5]] &lt;&gt; 0,$E$2&lt;&gt;"Deployment"), MAX(K147, Q147, S147, ($M$2 * IF($E$2="Deployment",deployment_raw[[#This Row],[Column5]],1)),IF(U147&lt;&gt;"",VALUE(U147) * IF($E$2="Deployment",deployment_raw[[#This Row],[Column5]],1),0)), 0),"")</f>
        <v/>
      </c>
      <c r="N147" s="166" t="str">
        <f>IF(ISNUMBER(deployment_raw[[#This Row],[Column14]]), deployment_raw[[#This Row],[Column14]]/IF(OR($E$2="Deployment",deployment_raw[[#This Row],[Column5]]=0),1,deployment_raw[[#This Row],[Column5]]),"")</f>
        <v/>
      </c>
      <c r="O147" s="167" t="str">
        <f>IF(ISNUMBER(deployment_raw[[#This Row],[Column15]]), deployment_raw[[#This Row],[Column15]]/IF(OR($E$2="Deployment",deployment_raw[[#This Row],[Column5]]=0),1,deployment_raw[[#This Row],[Column5]])/1048576,"")</f>
        <v/>
      </c>
      <c r="P147" s="168" t="str">
        <f>IF(ISNUMBER(deployment_raw[[#This Row],[Column12]]), (MIN(IF(N147&lt;&gt;"",N147,9999999999999)*1.1,deployment_raw[[#This Row],[Column12]] * IF($E$2="Deployment",deployment_raw[[#This Row],[Column5]],1))*(1+$P$2)),"")</f>
        <v/>
      </c>
      <c r="Q147" s="167" t="str">
        <f>IF(ISNUMBER(deployment_raw[[#This Row],[Column13]]), (MIN(IF(O147&lt;&gt;"",O147,9999999999999)*1.1,deployment_raw[[#This Row],[Column13]] * IF($E$2="Deployment",deployment_raw[[#This Row],[Column5]],1)*(1+$Q$2)/1048576)),"")</f>
        <v/>
      </c>
      <c r="R147" s="169" t="str">
        <f>IF(ISNUMBER(deployment_raw[[#This Row],[Column8]]), (H147  * IF(N147&lt;&gt;0,$R$2,1)),"")</f>
        <v/>
      </c>
      <c r="S147" s="170" t="str">
        <f>IF(ISNUMBER(deployment_raw[[#This Row],[Column8]]), (I147  * IF(O147&lt;&gt;0,$S$2,1)),"")</f>
        <v/>
      </c>
      <c r="T147" s="202" t="str">
        <f>IF(AND(A147&lt;&gt;"",_xlfn.IFNA(MATCH(A147,'dynamic resource application '!$A$2:$A$100, 0),0)&lt;&gt;0), H147/(IF($E$2="Deployment",E147,1)),"")</f>
        <v/>
      </c>
      <c r="U147" s="211" t="str">
        <f>IF(AND(A147&lt;&gt;"",_xlfn.IFNA(MATCH(A147,'dynamic resource application '!$A$2:$A$100, 0),0)&lt;&gt;0), I147/(IF($E$2="Deployment",E147,1)),"")</f>
        <v/>
      </c>
    </row>
    <row r="148" spans="1:21" ht="15.75" customHeight="1" x14ac:dyDescent="0.25">
      <c r="A148" s="35" t="str">
        <f>IF(ISNONTEXT(deployment_raw[[#This Row],[Column1]]), "", deployment_raw[[#This Row],[Column1]])</f>
        <v/>
      </c>
      <c r="B148" s="36" t="str">
        <f>IF(ISNONTEXT(deployment_raw[[#This Row],[Column2]]), "", deployment_raw[[#This Row],[Column2]])</f>
        <v/>
      </c>
      <c r="C148" s="36" t="str">
        <f>IF(ISNONTEXT(deployment_raw[[#This Row],[Column3]]), "", deployment_raw[[#This Row],[Column3]])</f>
        <v/>
      </c>
      <c r="D148" s="36" t="str">
        <f>IF(ISNONTEXT(deployment_raw[[#This Row],[Column4]]), "", deployment_raw[[#This Row],[Column4]])</f>
        <v/>
      </c>
      <c r="E148" s="37" t="str">
        <f>IF(ISNUMBER(deployment_raw[[#This Row],[Column5]]), deployment_raw[[#This Row],[Column5]],"")</f>
        <v/>
      </c>
      <c r="F148" s="94" t="str">
        <f>IF(ISNUMBER(deployment_raw[[#This Row],[Column6]]), (deployment_raw[[#This Row],[Column6]] * IF($E$2="Deployment",deployment_raw[[#This Row],[Column5]],1)),"")</f>
        <v/>
      </c>
      <c r="G148" s="95" t="str">
        <f>IF(ISNUMBER(deployment_raw[[#This Row],[Column7]]), (deployment_raw[[#This Row],[Column7]] * IF($E$2="Deployment",deployment_raw[[#This Row],[Column5]],1))/1048576,"")</f>
        <v/>
      </c>
      <c r="H148" s="95" t="str">
        <f>IF(ISNUMBER(deployment_raw[[#This Row],[Column8]]), (deployment_raw[[#This Row],[Column8]]  * IF($E$2="Deployment",deployment_raw[[#This Row],[Column5]],1)),"")</f>
        <v/>
      </c>
      <c r="I148" s="96" t="str">
        <f>IF(ISNUMBER(deployment_raw[[#This Row],[Column9]]), (deployment_raw[[#This Row],[Column9]] * IF($E$2="Deployment",deployment_raw[[#This Row],[Column5]],1))/1048576,"")</f>
        <v/>
      </c>
      <c r="J148" s="122" t="str">
        <f>IF(ISNUMBER(deployment_raw[[#This Row],[Column10]]), (MIN(IF(N148&lt;&gt;"",N148,9999999999999)*1.1,deployment_raw[[#This Row],[Column10]] * IF($E$2="Deployment",deployment_raw[[#This Row],[Column5]],1))),"")</f>
        <v/>
      </c>
      <c r="K148" s="123" t="str">
        <f>IF(ISNUMBER(deployment_raw[[#This Row],[Column11]]), (MIN(IF(O148&lt;&gt;"",O148,9999999999999)*1.1,deployment_raw[[#This Row],[Column11]] * IF($E$2="Deployment",deployment_raw[[#This Row],[Column5]],1)/1048576)),"")</f>
        <v/>
      </c>
      <c r="L148" s="124" t="str">
        <f>IF(ISNUMBER(deployment_raw[[#This Row],[Column8]]),IF(OR(deployment_raw[[#This Row],[Column5]] &lt;&gt; 0,$E$2 &lt;&gt; "Deployment"), MAX(J148, P148, R148, ($L$2 * IF($E$2="Deployment",deployment_raw[[#This Row],[Column5]],1)),IF(T148&lt;&gt;"",VALUE(T148) * IF($E$2="Deployment",deployment_raw[[#This Row],[Column5]],1),0)), 0),"")</f>
        <v/>
      </c>
      <c r="M148" s="125" t="str">
        <f>IF(ISNUMBER(deployment_raw[[#This Row],[Column9]]),IF(OR(deployment_raw[[#This Row],[Column5]] &lt;&gt; 0,$E$2&lt;&gt;"Deployment"), MAX(K148, Q148, S148, ($M$2 * IF($E$2="Deployment",deployment_raw[[#This Row],[Column5]],1)),IF(U148&lt;&gt;"",VALUE(U148) * IF($E$2="Deployment",deployment_raw[[#This Row],[Column5]],1),0)), 0),"")</f>
        <v/>
      </c>
      <c r="N148" s="166" t="str">
        <f>IF(ISNUMBER(deployment_raw[[#This Row],[Column14]]), deployment_raw[[#This Row],[Column14]]/IF(OR($E$2="Deployment",deployment_raw[[#This Row],[Column5]]=0),1,deployment_raw[[#This Row],[Column5]]),"")</f>
        <v/>
      </c>
      <c r="O148" s="167" t="str">
        <f>IF(ISNUMBER(deployment_raw[[#This Row],[Column15]]), deployment_raw[[#This Row],[Column15]]/IF(OR($E$2="Deployment",deployment_raw[[#This Row],[Column5]]=0),1,deployment_raw[[#This Row],[Column5]])/1048576,"")</f>
        <v/>
      </c>
      <c r="P148" s="168" t="str">
        <f>IF(ISNUMBER(deployment_raw[[#This Row],[Column12]]), (MIN(IF(N148&lt;&gt;"",N148,9999999999999)*1.1,deployment_raw[[#This Row],[Column12]] * IF($E$2="Deployment",deployment_raw[[#This Row],[Column5]],1))*(1+$P$2)),"")</f>
        <v/>
      </c>
      <c r="Q148" s="167" t="str">
        <f>IF(ISNUMBER(deployment_raw[[#This Row],[Column13]]), (MIN(IF(O148&lt;&gt;"",O148,9999999999999)*1.1,deployment_raw[[#This Row],[Column13]] * IF($E$2="Deployment",deployment_raw[[#This Row],[Column5]],1)*(1+$Q$2)/1048576)),"")</f>
        <v/>
      </c>
      <c r="R148" s="169" t="str">
        <f>IF(ISNUMBER(deployment_raw[[#This Row],[Column8]]), (H148  * IF(N148&lt;&gt;0,$R$2,1)),"")</f>
        <v/>
      </c>
      <c r="S148" s="170" t="str">
        <f>IF(ISNUMBER(deployment_raw[[#This Row],[Column8]]), (I148  * IF(O148&lt;&gt;0,$S$2,1)),"")</f>
        <v/>
      </c>
      <c r="T148" s="202" t="str">
        <f>IF(AND(A148&lt;&gt;"",_xlfn.IFNA(MATCH(A148,'dynamic resource application '!$A$2:$A$100, 0),0)&lt;&gt;0), H148/(IF($E$2="Deployment",E148,1)),"")</f>
        <v/>
      </c>
      <c r="U148" s="211" t="str">
        <f>IF(AND(A148&lt;&gt;"",_xlfn.IFNA(MATCH(A148,'dynamic resource application '!$A$2:$A$100, 0),0)&lt;&gt;0), I148/(IF($E$2="Deployment",E148,1)),"")</f>
        <v/>
      </c>
    </row>
    <row r="149" spans="1:21" ht="15.75" customHeight="1" x14ac:dyDescent="0.25">
      <c r="A149" s="35" t="str">
        <f>IF(ISNONTEXT(deployment_raw[[#This Row],[Column1]]), "", deployment_raw[[#This Row],[Column1]])</f>
        <v/>
      </c>
      <c r="B149" s="36" t="str">
        <f>IF(ISNONTEXT(deployment_raw[[#This Row],[Column2]]), "", deployment_raw[[#This Row],[Column2]])</f>
        <v/>
      </c>
      <c r="C149" s="36" t="str">
        <f>IF(ISNONTEXT(deployment_raw[[#This Row],[Column3]]), "", deployment_raw[[#This Row],[Column3]])</f>
        <v/>
      </c>
      <c r="D149" s="36" t="str">
        <f>IF(ISNONTEXT(deployment_raw[[#This Row],[Column4]]), "", deployment_raw[[#This Row],[Column4]])</f>
        <v/>
      </c>
      <c r="E149" s="37" t="str">
        <f>IF(ISNUMBER(deployment_raw[[#This Row],[Column5]]), deployment_raw[[#This Row],[Column5]],"")</f>
        <v/>
      </c>
      <c r="F149" s="94" t="str">
        <f>IF(ISNUMBER(deployment_raw[[#This Row],[Column6]]), (deployment_raw[[#This Row],[Column6]] * IF($E$2="Deployment",deployment_raw[[#This Row],[Column5]],1)),"")</f>
        <v/>
      </c>
      <c r="G149" s="95" t="str">
        <f>IF(ISNUMBER(deployment_raw[[#This Row],[Column7]]), (deployment_raw[[#This Row],[Column7]] * IF($E$2="Deployment",deployment_raw[[#This Row],[Column5]],1))/1048576,"")</f>
        <v/>
      </c>
      <c r="H149" s="95" t="str">
        <f>IF(ISNUMBER(deployment_raw[[#This Row],[Column8]]), (deployment_raw[[#This Row],[Column8]]  * IF($E$2="Deployment",deployment_raw[[#This Row],[Column5]],1)),"")</f>
        <v/>
      </c>
      <c r="I149" s="96" t="str">
        <f>IF(ISNUMBER(deployment_raw[[#This Row],[Column9]]), (deployment_raw[[#This Row],[Column9]] * IF($E$2="Deployment",deployment_raw[[#This Row],[Column5]],1))/1048576,"")</f>
        <v/>
      </c>
      <c r="J149" s="122" t="str">
        <f>IF(ISNUMBER(deployment_raw[[#This Row],[Column10]]), (MIN(IF(N149&lt;&gt;"",N149,9999999999999)*1.1,deployment_raw[[#This Row],[Column10]] * IF($E$2="Deployment",deployment_raw[[#This Row],[Column5]],1))),"")</f>
        <v/>
      </c>
      <c r="K149" s="123" t="str">
        <f>IF(ISNUMBER(deployment_raw[[#This Row],[Column11]]), (MIN(IF(O149&lt;&gt;"",O149,9999999999999)*1.1,deployment_raw[[#This Row],[Column11]] * IF($E$2="Deployment",deployment_raw[[#This Row],[Column5]],1)/1048576)),"")</f>
        <v/>
      </c>
      <c r="L149" s="124" t="str">
        <f>IF(ISNUMBER(deployment_raw[[#This Row],[Column8]]),IF(OR(deployment_raw[[#This Row],[Column5]] &lt;&gt; 0,$E$2 &lt;&gt; "Deployment"), MAX(J149, P149, R149, ($L$2 * IF($E$2="Deployment",deployment_raw[[#This Row],[Column5]],1)),IF(T149&lt;&gt;"",VALUE(T149) * IF($E$2="Deployment",deployment_raw[[#This Row],[Column5]],1),0)), 0),"")</f>
        <v/>
      </c>
      <c r="M149" s="125" t="str">
        <f>IF(ISNUMBER(deployment_raw[[#This Row],[Column9]]),IF(OR(deployment_raw[[#This Row],[Column5]] &lt;&gt; 0,$E$2&lt;&gt;"Deployment"), MAX(K149, Q149, S149, ($M$2 * IF($E$2="Deployment",deployment_raw[[#This Row],[Column5]],1)),IF(U149&lt;&gt;"",VALUE(U149) * IF($E$2="Deployment",deployment_raw[[#This Row],[Column5]],1),0)), 0),"")</f>
        <v/>
      </c>
      <c r="N149" s="166" t="str">
        <f>IF(ISNUMBER(deployment_raw[[#This Row],[Column14]]), deployment_raw[[#This Row],[Column14]]/IF(OR($E$2="Deployment",deployment_raw[[#This Row],[Column5]]=0),1,deployment_raw[[#This Row],[Column5]]),"")</f>
        <v/>
      </c>
      <c r="O149" s="167" t="str">
        <f>IF(ISNUMBER(deployment_raw[[#This Row],[Column15]]), deployment_raw[[#This Row],[Column15]]/IF(OR($E$2="Deployment",deployment_raw[[#This Row],[Column5]]=0),1,deployment_raw[[#This Row],[Column5]])/1048576,"")</f>
        <v/>
      </c>
      <c r="P149" s="168" t="str">
        <f>IF(ISNUMBER(deployment_raw[[#This Row],[Column12]]), (MIN(IF(N149&lt;&gt;"",N149,9999999999999)*1.1,deployment_raw[[#This Row],[Column12]] * IF($E$2="Deployment",deployment_raw[[#This Row],[Column5]],1))*(1+$P$2)),"")</f>
        <v/>
      </c>
      <c r="Q149" s="167" t="str">
        <f>IF(ISNUMBER(deployment_raw[[#This Row],[Column13]]), (MIN(IF(O149&lt;&gt;"",O149,9999999999999)*1.1,deployment_raw[[#This Row],[Column13]] * IF($E$2="Deployment",deployment_raw[[#This Row],[Column5]],1)*(1+$Q$2)/1048576)),"")</f>
        <v/>
      </c>
      <c r="R149" s="169" t="str">
        <f>IF(ISNUMBER(deployment_raw[[#This Row],[Column8]]), (H149  * IF(N149&lt;&gt;0,$R$2,1)),"")</f>
        <v/>
      </c>
      <c r="S149" s="170" t="str">
        <f>IF(ISNUMBER(deployment_raw[[#This Row],[Column8]]), (I149  * IF(O149&lt;&gt;0,$S$2,1)),"")</f>
        <v/>
      </c>
      <c r="T149" s="202" t="str">
        <f>IF(AND(A149&lt;&gt;"",_xlfn.IFNA(MATCH(A149,'dynamic resource application '!$A$2:$A$100, 0),0)&lt;&gt;0), H149/(IF($E$2="Deployment",E149,1)),"")</f>
        <v/>
      </c>
      <c r="U149" s="211" t="str">
        <f>IF(AND(A149&lt;&gt;"",_xlfn.IFNA(MATCH(A149,'dynamic resource application '!$A$2:$A$100, 0),0)&lt;&gt;0), I149/(IF($E$2="Deployment",E149,1)),"")</f>
        <v/>
      </c>
    </row>
    <row r="150" spans="1:21" ht="15.75" customHeight="1" x14ac:dyDescent="0.25">
      <c r="A150" s="35" t="str">
        <f>IF(ISNONTEXT(deployment_raw[[#This Row],[Column1]]), "", deployment_raw[[#This Row],[Column1]])</f>
        <v/>
      </c>
      <c r="B150" s="36" t="str">
        <f>IF(ISNONTEXT(deployment_raw[[#This Row],[Column2]]), "", deployment_raw[[#This Row],[Column2]])</f>
        <v/>
      </c>
      <c r="C150" s="36" t="str">
        <f>IF(ISNONTEXT(deployment_raw[[#This Row],[Column3]]), "", deployment_raw[[#This Row],[Column3]])</f>
        <v/>
      </c>
      <c r="D150" s="36" t="str">
        <f>IF(ISNONTEXT(deployment_raw[[#This Row],[Column4]]), "", deployment_raw[[#This Row],[Column4]])</f>
        <v/>
      </c>
      <c r="E150" s="37" t="str">
        <f>IF(ISNUMBER(deployment_raw[[#This Row],[Column5]]), deployment_raw[[#This Row],[Column5]],"")</f>
        <v/>
      </c>
      <c r="F150" s="94" t="str">
        <f>IF(ISNUMBER(deployment_raw[[#This Row],[Column6]]), (deployment_raw[[#This Row],[Column6]] * IF($E$2="Deployment",deployment_raw[[#This Row],[Column5]],1)),"")</f>
        <v/>
      </c>
      <c r="G150" s="95" t="str">
        <f>IF(ISNUMBER(deployment_raw[[#This Row],[Column7]]), (deployment_raw[[#This Row],[Column7]] * IF($E$2="Deployment",deployment_raw[[#This Row],[Column5]],1))/1048576,"")</f>
        <v/>
      </c>
      <c r="H150" s="95" t="str">
        <f>IF(ISNUMBER(deployment_raw[[#This Row],[Column8]]), (deployment_raw[[#This Row],[Column8]]  * IF($E$2="Deployment",deployment_raw[[#This Row],[Column5]],1)),"")</f>
        <v/>
      </c>
      <c r="I150" s="96" t="str">
        <f>IF(ISNUMBER(deployment_raw[[#This Row],[Column9]]), (deployment_raw[[#This Row],[Column9]] * IF($E$2="Deployment",deployment_raw[[#This Row],[Column5]],1))/1048576,"")</f>
        <v/>
      </c>
      <c r="J150" s="122" t="str">
        <f>IF(ISNUMBER(deployment_raw[[#This Row],[Column10]]), (MIN(IF(N150&lt;&gt;"",N150,9999999999999)*1.1,deployment_raw[[#This Row],[Column10]] * IF($E$2="Deployment",deployment_raw[[#This Row],[Column5]],1))),"")</f>
        <v/>
      </c>
      <c r="K150" s="123" t="str">
        <f>IF(ISNUMBER(deployment_raw[[#This Row],[Column11]]), (MIN(IF(O150&lt;&gt;"",O150,9999999999999)*1.1,deployment_raw[[#This Row],[Column11]] * IF($E$2="Deployment",deployment_raw[[#This Row],[Column5]],1)/1048576)),"")</f>
        <v/>
      </c>
      <c r="L150" s="124" t="str">
        <f>IF(ISNUMBER(deployment_raw[[#This Row],[Column8]]),IF(OR(deployment_raw[[#This Row],[Column5]] &lt;&gt; 0,$E$2 &lt;&gt; "Deployment"), MAX(J150, P150, R150, ($L$2 * IF($E$2="Deployment",deployment_raw[[#This Row],[Column5]],1)),IF(T150&lt;&gt;"",VALUE(T150) * IF($E$2="Deployment",deployment_raw[[#This Row],[Column5]],1),0)), 0),"")</f>
        <v/>
      </c>
      <c r="M150" s="125" t="str">
        <f>IF(ISNUMBER(deployment_raw[[#This Row],[Column9]]),IF(OR(deployment_raw[[#This Row],[Column5]] &lt;&gt; 0,$E$2&lt;&gt;"Deployment"), MAX(K150, Q150, S150, ($M$2 * IF($E$2="Deployment",deployment_raw[[#This Row],[Column5]],1)),IF(U150&lt;&gt;"",VALUE(U150) * IF($E$2="Deployment",deployment_raw[[#This Row],[Column5]],1),0)), 0),"")</f>
        <v/>
      </c>
      <c r="N150" s="166" t="str">
        <f>IF(ISNUMBER(deployment_raw[[#This Row],[Column14]]), deployment_raw[[#This Row],[Column14]]/IF(OR($E$2="Deployment",deployment_raw[[#This Row],[Column5]]=0),1,deployment_raw[[#This Row],[Column5]]),"")</f>
        <v/>
      </c>
      <c r="O150" s="167" t="str">
        <f>IF(ISNUMBER(deployment_raw[[#This Row],[Column15]]), deployment_raw[[#This Row],[Column15]]/IF(OR($E$2="Deployment",deployment_raw[[#This Row],[Column5]]=0),1,deployment_raw[[#This Row],[Column5]])/1048576,"")</f>
        <v/>
      </c>
      <c r="P150" s="168" t="str">
        <f>IF(ISNUMBER(deployment_raw[[#This Row],[Column12]]), (MIN(IF(N150&lt;&gt;"",N150,9999999999999)*1.1,deployment_raw[[#This Row],[Column12]] * IF($E$2="Deployment",deployment_raw[[#This Row],[Column5]],1))*(1+$P$2)),"")</f>
        <v/>
      </c>
      <c r="Q150" s="167" t="str">
        <f>IF(ISNUMBER(deployment_raw[[#This Row],[Column13]]), (MIN(IF(O150&lt;&gt;"",O150,9999999999999)*1.1,deployment_raw[[#This Row],[Column13]] * IF($E$2="Deployment",deployment_raw[[#This Row],[Column5]],1)*(1+$Q$2)/1048576)),"")</f>
        <v/>
      </c>
      <c r="R150" s="169" t="str">
        <f>IF(ISNUMBER(deployment_raw[[#This Row],[Column8]]), (H150  * IF(N150&lt;&gt;0,$R$2,1)),"")</f>
        <v/>
      </c>
      <c r="S150" s="170" t="str">
        <f>IF(ISNUMBER(deployment_raw[[#This Row],[Column8]]), (I150  * IF(O150&lt;&gt;0,$S$2,1)),"")</f>
        <v/>
      </c>
      <c r="T150" s="202" t="str">
        <f>IF(AND(A150&lt;&gt;"",_xlfn.IFNA(MATCH(A150,'dynamic resource application '!$A$2:$A$100, 0),0)&lt;&gt;0), H150/(IF($E$2="Deployment",E150,1)),"")</f>
        <v/>
      </c>
      <c r="U150" s="211" t="str">
        <f>IF(AND(A150&lt;&gt;"",_xlfn.IFNA(MATCH(A150,'dynamic resource application '!$A$2:$A$100, 0),0)&lt;&gt;0), I150/(IF($E$2="Deployment",E150,1)),"")</f>
        <v/>
      </c>
    </row>
    <row r="151" spans="1:21" ht="15.75" customHeight="1" x14ac:dyDescent="0.25">
      <c r="A151" s="35" t="str">
        <f>IF(ISNONTEXT(deployment_raw[[#This Row],[Column1]]), "", deployment_raw[[#This Row],[Column1]])</f>
        <v/>
      </c>
      <c r="B151" s="36" t="str">
        <f>IF(ISNONTEXT(deployment_raw[[#This Row],[Column2]]), "", deployment_raw[[#This Row],[Column2]])</f>
        <v/>
      </c>
      <c r="C151" s="36" t="str">
        <f>IF(ISNONTEXT(deployment_raw[[#This Row],[Column3]]), "", deployment_raw[[#This Row],[Column3]])</f>
        <v/>
      </c>
      <c r="D151" s="36" t="str">
        <f>IF(ISNONTEXT(deployment_raw[[#This Row],[Column4]]), "", deployment_raw[[#This Row],[Column4]])</f>
        <v/>
      </c>
      <c r="E151" s="37" t="str">
        <f>IF(ISNUMBER(deployment_raw[[#This Row],[Column5]]), deployment_raw[[#This Row],[Column5]],"")</f>
        <v/>
      </c>
      <c r="F151" s="94" t="str">
        <f>IF(ISNUMBER(deployment_raw[[#This Row],[Column6]]), (deployment_raw[[#This Row],[Column6]] * IF($E$2="Deployment",deployment_raw[[#This Row],[Column5]],1)),"")</f>
        <v/>
      </c>
      <c r="G151" s="95" t="str">
        <f>IF(ISNUMBER(deployment_raw[[#This Row],[Column7]]), (deployment_raw[[#This Row],[Column7]] * IF($E$2="Deployment",deployment_raw[[#This Row],[Column5]],1))/1048576,"")</f>
        <v/>
      </c>
      <c r="H151" s="95" t="str">
        <f>IF(ISNUMBER(deployment_raw[[#This Row],[Column8]]), (deployment_raw[[#This Row],[Column8]]  * IF($E$2="Deployment",deployment_raw[[#This Row],[Column5]],1)),"")</f>
        <v/>
      </c>
      <c r="I151" s="96" t="str">
        <f>IF(ISNUMBER(deployment_raw[[#This Row],[Column9]]), (deployment_raw[[#This Row],[Column9]] * IF($E$2="Deployment",deployment_raw[[#This Row],[Column5]],1))/1048576,"")</f>
        <v/>
      </c>
      <c r="J151" s="122" t="str">
        <f>IF(ISNUMBER(deployment_raw[[#This Row],[Column10]]), (MIN(IF(N151&lt;&gt;"",N151,9999999999999)*1.1,deployment_raw[[#This Row],[Column10]] * IF($E$2="Deployment",deployment_raw[[#This Row],[Column5]],1))),"")</f>
        <v/>
      </c>
      <c r="K151" s="123" t="str">
        <f>IF(ISNUMBER(deployment_raw[[#This Row],[Column11]]), (MIN(IF(O151&lt;&gt;"",O151,9999999999999)*1.1,deployment_raw[[#This Row],[Column11]] * IF($E$2="Deployment",deployment_raw[[#This Row],[Column5]],1)/1048576)),"")</f>
        <v/>
      </c>
      <c r="L151" s="124" t="str">
        <f>IF(ISNUMBER(deployment_raw[[#This Row],[Column8]]),IF(OR(deployment_raw[[#This Row],[Column5]] &lt;&gt; 0,$E$2 &lt;&gt; "Deployment"), MAX(J151, P151, R151, ($L$2 * IF($E$2="Deployment",deployment_raw[[#This Row],[Column5]],1)),IF(T151&lt;&gt;"",VALUE(T151) * IF($E$2="Deployment",deployment_raw[[#This Row],[Column5]],1),0)), 0),"")</f>
        <v/>
      </c>
      <c r="M151" s="125" t="str">
        <f>IF(ISNUMBER(deployment_raw[[#This Row],[Column9]]),IF(OR(deployment_raw[[#This Row],[Column5]] &lt;&gt; 0,$E$2&lt;&gt;"Deployment"), MAX(K151, Q151, S151, ($M$2 * IF($E$2="Deployment",deployment_raw[[#This Row],[Column5]],1)),IF(U151&lt;&gt;"",VALUE(U151) * IF($E$2="Deployment",deployment_raw[[#This Row],[Column5]],1),0)), 0),"")</f>
        <v/>
      </c>
      <c r="N151" s="166" t="str">
        <f>IF(ISNUMBER(deployment_raw[[#This Row],[Column14]]), deployment_raw[[#This Row],[Column14]]/IF(OR($E$2="Deployment",deployment_raw[[#This Row],[Column5]]=0),1,deployment_raw[[#This Row],[Column5]]),"")</f>
        <v/>
      </c>
      <c r="O151" s="167" t="str">
        <f>IF(ISNUMBER(deployment_raw[[#This Row],[Column15]]), deployment_raw[[#This Row],[Column15]]/IF(OR($E$2="Deployment",deployment_raw[[#This Row],[Column5]]=0),1,deployment_raw[[#This Row],[Column5]])/1048576,"")</f>
        <v/>
      </c>
      <c r="P151" s="168" t="str">
        <f>IF(ISNUMBER(deployment_raw[[#This Row],[Column12]]), (MIN(IF(N151&lt;&gt;"",N151,9999999999999)*1.1,deployment_raw[[#This Row],[Column12]] * IF($E$2="Deployment",deployment_raw[[#This Row],[Column5]],1))*(1+$P$2)),"")</f>
        <v/>
      </c>
      <c r="Q151" s="167" t="str">
        <f>IF(ISNUMBER(deployment_raw[[#This Row],[Column13]]), (MIN(IF(O151&lt;&gt;"",O151,9999999999999)*1.1,deployment_raw[[#This Row],[Column13]] * IF($E$2="Deployment",deployment_raw[[#This Row],[Column5]],1)*(1+$Q$2)/1048576)),"")</f>
        <v/>
      </c>
      <c r="R151" s="169" t="str">
        <f>IF(ISNUMBER(deployment_raw[[#This Row],[Column8]]), (H151  * IF(N151&lt;&gt;0,$R$2,1)),"")</f>
        <v/>
      </c>
      <c r="S151" s="170" t="str">
        <f>IF(ISNUMBER(deployment_raw[[#This Row],[Column8]]), (I151  * IF(O151&lt;&gt;0,$S$2,1)),"")</f>
        <v/>
      </c>
      <c r="T151" s="202" t="str">
        <f>IF(AND(A151&lt;&gt;"",_xlfn.IFNA(MATCH(A151,'dynamic resource application '!$A$2:$A$100, 0),0)&lt;&gt;0), H151/(IF($E$2="Deployment",E151,1)),"")</f>
        <v/>
      </c>
      <c r="U151" s="211" t="str">
        <f>IF(AND(A151&lt;&gt;"",_xlfn.IFNA(MATCH(A151,'dynamic resource application '!$A$2:$A$100, 0),0)&lt;&gt;0), I151/(IF($E$2="Deployment",E151,1)),"")</f>
        <v/>
      </c>
    </row>
    <row r="152" spans="1:21" ht="15.75" customHeight="1" x14ac:dyDescent="0.25">
      <c r="A152" s="35" t="str">
        <f>IF(ISNONTEXT(deployment_raw[[#This Row],[Column1]]), "", deployment_raw[[#This Row],[Column1]])</f>
        <v/>
      </c>
      <c r="B152" s="36" t="str">
        <f>IF(ISNONTEXT(deployment_raw[[#This Row],[Column2]]), "", deployment_raw[[#This Row],[Column2]])</f>
        <v/>
      </c>
      <c r="C152" s="36" t="str">
        <f>IF(ISNONTEXT(deployment_raw[[#This Row],[Column3]]), "", deployment_raw[[#This Row],[Column3]])</f>
        <v/>
      </c>
      <c r="D152" s="36" t="str">
        <f>IF(ISNONTEXT(deployment_raw[[#This Row],[Column4]]), "", deployment_raw[[#This Row],[Column4]])</f>
        <v/>
      </c>
      <c r="E152" s="37" t="str">
        <f>IF(ISNUMBER(deployment_raw[[#This Row],[Column5]]), deployment_raw[[#This Row],[Column5]],"")</f>
        <v/>
      </c>
      <c r="F152" s="94" t="str">
        <f>IF(ISNUMBER(deployment_raw[[#This Row],[Column6]]), (deployment_raw[[#This Row],[Column6]] * IF($E$2="Deployment",deployment_raw[[#This Row],[Column5]],1)),"")</f>
        <v/>
      </c>
      <c r="G152" s="95" t="str">
        <f>IF(ISNUMBER(deployment_raw[[#This Row],[Column7]]), (deployment_raw[[#This Row],[Column7]] * IF($E$2="Deployment",deployment_raw[[#This Row],[Column5]],1))/1048576,"")</f>
        <v/>
      </c>
      <c r="H152" s="95" t="str">
        <f>IF(ISNUMBER(deployment_raw[[#This Row],[Column8]]), (deployment_raw[[#This Row],[Column8]]  * IF($E$2="Deployment",deployment_raw[[#This Row],[Column5]],1)),"")</f>
        <v/>
      </c>
      <c r="I152" s="96" t="str">
        <f>IF(ISNUMBER(deployment_raw[[#This Row],[Column9]]), (deployment_raw[[#This Row],[Column9]] * IF($E$2="Deployment",deployment_raw[[#This Row],[Column5]],1))/1048576,"")</f>
        <v/>
      </c>
      <c r="J152" s="122" t="str">
        <f>IF(ISNUMBER(deployment_raw[[#This Row],[Column10]]), (MIN(IF(N152&lt;&gt;"",N152,9999999999999)*1.1,deployment_raw[[#This Row],[Column10]] * IF($E$2="Deployment",deployment_raw[[#This Row],[Column5]],1))),"")</f>
        <v/>
      </c>
      <c r="K152" s="123" t="str">
        <f>IF(ISNUMBER(deployment_raw[[#This Row],[Column11]]), (MIN(IF(O152&lt;&gt;"",O152,9999999999999)*1.1,deployment_raw[[#This Row],[Column11]] * IF($E$2="Deployment",deployment_raw[[#This Row],[Column5]],1)/1048576)),"")</f>
        <v/>
      </c>
      <c r="L152" s="124" t="str">
        <f>IF(ISNUMBER(deployment_raw[[#This Row],[Column8]]),IF(OR(deployment_raw[[#This Row],[Column5]] &lt;&gt; 0,$E$2 &lt;&gt; "Deployment"), MAX(J152, P152, R152, ($L$2 * IF($E$2="Deployment",deployment_raw[[#This Row],[Column5]],1)),IF(T152&lt;&gt;"",VALUE(T152) * IF($E$2="Deployment",deployment_raw[[#This Row],[Column5]],1),0)), 0),"")</f>
        <v/>
      </c>
      <c r="M152" s="125" t="str">
        <f>IF(ISNUMBER(deployment_raw[[#This Row],[Column9]]),IF(OR(deployment_raw[[#This Row],[Column5]] &lt;&gt; 0,$E$2&lt;&gt;"Deployment"), MAX(K152, Q152, S152, ($M$2 * IF($E$2="Deployment",deployment_raw[[#This Row],[Column5]],1)),IF(U152&lt;&gt;"",VALUE(U152) * IF($E$2="Deployment",deployment_raw[[#This Row],[Column5]],1),0)), 0),"")</f>
        <v/>
      </c>
      <c r="N152" s="166" t="str">
        <f>IF(ISNUMBER(deployment_raw[[#This Row],[Column14]]), deployment_raw[[#This Row],[Column14]]/IF(OR($E$2="Deployment",deployment_raw[[#This Row],[Column5]]=0),1,deployment_raw[[#This Row],[Column5]]),"")</f>
        <v/>
      </c>
      <c r="O152" s="167" t="str">
        <f>IF(ISNUMBER(deployment_raw[[#This Row],[Column15]]), deployment_raw[[#This Row],[Column15]]/IF(OR($E$2="Deployment",deployment_raw[[#This Row],[Column5]]=0),1,deployment_raw[[#This Row],[Column5]])/1048576,"")</f>
        <v/>
      </c>
      <c r="P152" s="168" t="str">
        <f>IF(ISNUMBER(deployment_raw[[#This Row],[Column12]]), (MIN(IF(N152&lt;&gt;"",N152,9999999999999)*1.1,deployment_raw[[#This Row],[Column12]] * IF($E$2="Deployment",deployment_raw[[#This Row],[Column5]],1))*(1+$P$2)),"")</f>
        <v/>
      </c>
      <c r="Q152" s="167" t="str">
        <f>IF(ISNUMBER(deployment_raw[[#This Row],[Column13]]), (MIN(IF(O152&lt;&gt;"",O152,9999999999999)*1.1,deployment_raw[[#This Row],[Column13]] * IF($E$2="Deployment",deployment_raw[[#This Row],[Column5]],1)*(1+$Q$2)/1048576)),"")</f>
        <v/>
      </c>
      <c r="R152" s="169" t="str">
        <f>IF(ISNUMBER(deployment_raw[[#This Row],[Column8]]), (H152  * IF(N152&lt;&gt;0,$R$2,1)),"")</f>
        <v/>
      </c>
      <c r="S152" s="170" t="str">
        <f>IF(ISNUMBER(deployment_raw[[#This Row],[Column8]]), (I152  * IF(O152&lt;&gt;0,$S$2,1)),"")</f>
        <v/>
      </c>
      <c r="T152" s="202" t="str">
        <f>IF(AND(A152&lt;&gt;"",_xlfn.IFNA(MATCH(A152,'dynamic resource application '!$A$2:$A$100, 0),0)&lt;&gt;0), H152/(IF($E$2="Deployment",E152,1)),"")</f>
        <v/>
      </c>
      <c r="U152" s="211" t="str">
        <f>IF(AND(A152&lt;&gt;"",_xlfn.IFNA(MATCH(A152,'dynamic resource application '!$A$2:$A$100, 0),0)&lt;&gt;0), I152/(IF($E$2="Deployment",E152,1)),"")</f>
        <v/>
      </c>
    </row>
    <row r="153" spans="1:21" ht="15.75" customHeight="1" x14ac:dyDescent="0.25">
      <c r="A153" s="35" t="str">
        <f>IF(ISNONTEXT(deployment_raw[[#This Row],[Column1]]), "", deployment_raw[[#This Row],[Column1]])</f>
        <v/>
      </c>
      <c r="B153" s="36" t="str">
        <f>IF(ISNONTEXT(deployment_raw[[#This Row],[Column2]]), "", deployment_raw[[#This Row],[Column2]])</f>
        <v/>
      </c>
      <c r="C153" s="36" t="str">
        <f>IF(ISNONTEXT(deployment_raw[[#This Row],[Column3]]), "", deployment_raw[[#This Row],[Column3]])</f>
        <v/>
      </c>
      <c r="D153" s="36" t="str">
        <f>IF(ISNONTEXT(deployment_raw[[#This Row],[Column4]]), "", deployment_raw[[#This Row],[Column4]])</f>
        <v/>
      </c>
      <c r="E153" s="37" t="str">
        <f>IF(ISNUMBER(deployment_raw[[#This Row],[Column5]]), deployment_raw[[#This Row],[Column5]],"")</f>
        <v/>
      </c>
      <c r="F153" s="94" t="str">
        <f>IF(ISNUMBER(deployment_raw[[#This Row],[Column6]]), (deployment_raw[[#This Row],[Column6]] * IF($E$2="Deployment",deployment_raw[[#This Row],[Column5]],1)),"")</f>
        <v/>
      </c>
      <c r="G153" s="95" t="str">
        <f>IF(ISNUMBER(deployment_raw[[#This Row],[Column7]]), (deployment_raw[[#This Row],[Column7]] * IF($E$2="Deployment",deployment_raw[[#This Row],[Column5]],1))/1048576,"")</f>
        <v/>
      </c>
      <c r="H153" s="95" t="str">
        <f>IF(ISNUMBER(deployment_raw[[#This Row],[Column8]]), (deployment_raw[[#This Row],[Column8]]  * IF($E$2="Deployment",deployment_raw[[#This Row],[Column5]],1)),"")</f>
        <v/>
      </c>
      <c r="I153" s="96" t="str">
        <f>IF(ISNUMBER(deployment_raw[[#This Row],[Column9]]), (deployment_raw[[#This Row],[Column9]] * IF($E$2="Deployment",deployment_raw[[#This Row],[Column5]],1))/1048576,"")</f>
        <v/>
      </c>
      <c r="J153" s="122" t="str">
        <f>IF(ISNUMBER(deployment_raw[[#This Row],[Column10]]), (MIN(IF(N153&lt;&gt;"",N153,9999999999999)*1.1,deployment_raw[[#This Row],[Column10]] * IF($E$2="Deployment",deployment_raw[[#This Row],[Column5]],1))),"")</f>
        <v/>
      </c>
      <c r="K153" s="123" t="str">
        <f>IF(ISNUMBER(deployment_raw[[#This Row],[Column11]]), (MIN(IF(O153&lt;&gt;"",O153,9999999999999)*1.1,deployment_raw[[#This Row],[Column11]] * IF($E$2="Deployment",deployment_raw[[#This Row],[Column5]],1)/1048576)),"")</f>
        <v/>
      </c>
      <c r="L153" s="124" t="str">
        <f>IF(ISNUMBER(deployment_raw[[#This Row],[Column8]]),IF(OR(deployment_raw[[#This Row],[Column5]] &lt;&gt; 0,$E$2 &lt;&gt; "Deployment"), MAX(J153, P153, R153, ($L$2 * IF($E$2="Deployment",deployment_raw[[#This Row],[Column5]],1)),IF(T153&lt;&gt;"",VALUE(T153) * IF($E$2="Deployment",deployment_raw[[#This Row],[Column5]],1),0)), 0),"")</f>
        <v/>
      </c>
      <c r="M153" s="125" t="str">
        <f>IF(ISNUMBER(deployment_raw[[#This Row],[Column9]]),IF(OR(deployment_raw[[#This Row],[Column5]] &lt;&gt; 0,$E$2&lt;&gt;"Deployment"), MAX(K153, Q153, S153, ($M$2 * IF($E$2="Deployment",deployment_raw[[#This Row],[Column5]],1)),IF(U153&lt;&gt;"",VALUE(U153) * IF($E$2="Deployment",deployment_raw[[#This Row],[Column5]],1),0)), 0),"")</f>
        <v/>
      </c>
      <c r="N153" s="166" t="str">
        <f>IF(ISNUMBER(deployment_raw[[#This Row],[Column14]]), deployment_raw[[#This Row],[Column14]]/IF(OR($E$2="Deployment",deployment_raw[[#This Row],[Column5]]=0),1,deployment_raw[[#This Row],[Column5]]),"")</f>
        <v/>
      </c>
      <c r="O153" s="167" t="str">
        <f>IF(ISNUMBER(deployment_raw[[#This Row],[Column15]]), deployment_raw[[#This Row],[Column15]]/IF(OR($E$2="Deployment",deployment_raw[[#This Row],[Column5]]=0),1,deployment_raw[[#This Row],[Column5]])/1048576,"")</f>
        <v/>
      </c>
      <c r="P153" s="168" t="str">
        <f>IF(ISNUMBER(deployment_raw[[#This Row],[Column12]]), (MIN(IF(N153&lt;&gt;"",N153,9999999999999)*1.1,deployment_raw[[#This Row],[Column12]] * IF($E$2="Deployment",deployment_raw[[#This Row],[Column5]],1))*(1+$P$2)),"")</f>
        <v/>
      </c>
      <c r="Q153" s="167" t="str">
        <f>IF(ISNUMBER(deployment_raw[[#This Row],[Column13]]), (MIN(IF(O153&lt;&gt;"",O153,9999999999999)*1.1,deployment_raw[[#This Row],[Column13]] * IF($E$2="Deployment",deployment_raw[[#This Row],[Column5]],1)*(1+$Q$2)/1048576)),"")</f>
        <v/>
      </c>
      <c r="R153" s="169" t="str">
        <f>IF(ISNUMBER(deployment_raw[[#This Row],[Column8]]), (H153  * IF(N153&lt;&gt;0,$R$2,1)),"")</f>
        <v/>
      </c>
      <c r="S153" s="170" t="str">
        <f>IF(ISNUMBER(deployment_raw[[#This Row],[Column8]]), (I153  * IF(O153&lt;&gt;0,$S$2,1)),"")</f>
        <v/>
      </c>
      <c r="T153" s="202" t="str">
        <f>IF(AND(A153&lt;&gt;"",_xlfn.IFNA(MATCH(A153,'dynamic resource application '!$A$2:$A$100, 0),0)&lt;&gt;0), H153/(IF($E$2="Deployment",E153,1)),"")</f>
        <v/>
      </c>
      <c r="U153" s="211" t="str">
        <f>IF(AND(A153&lt;&gt;"",_xlfn.IFNA(MATCH(A153,'dynamic resource application '!$A$2:$A$100, 0),0)&lt;&gt;0), I153/(IF($E$2="Deployment",E153,1)),"")</f>
        <v/>
      </c>
    </row>
    <row r="154" spans="1:21" ht="15.75" customHeight="1" x14ac:dyDescent="0.25">
      <c r="A154" s="35" t="str">
        <f>IF(ISNONTEXT(deployment_raw[[#This Row],[Column1]]), "", deployment_raw[[#This Row],[Column1]])</f>
        <v/>
      </c>
      <c r="B154" s="36" t="str">
        <f>IF(ISNONTEXT(deployment_raw[[#This Row],[Column2]]), "", deployment_raw[[#This Row],[Column2]])</f>
        <v/>
      </c>
      <c r="C154" s="36" t="str">
        <f>IF(ISNONTEXT(deployment_raw[[#This Row],[Column3]]), "", deployment_raw[[#This Row],[Column3]])</f>
        <v/>
      </c>
      <c r="D154" s="36" t="str">
        <f>IF(ISNONTEXT(deployment_raw[[#This Row],[Column4]]), "", deployment_raw[[#This Row],[Column4]])</f>
        <v/>
      </c>
      <c r="E154" s="37" t="str">
        <f>IF(ISNUMBER(deployment_raw[[#This Row],[Column5]]), deployment_raw[[#This Row],[Column5]],"")</f>
        <v/>
      </c>
      <c r="F154" s="94" t="str">
        <f>IF(ISNUMBER(deployment_raw[[#This Row],[Column6]]), (deployment_raw[[#This Row],[Column6]] * IF($E$2="Deployment",deployment_raw[[#This Row],[Column5]],1)),"")</f>
        <v/>
      </c>
      <c r="G154" s="95" t="str">
        <f>IF(ISNUMBER(deployment_raw[[#This Row],[Column7]]), (deployment_raw[[#This Row],[Column7]] * IF($E$2="Deployment",deployment_raw[[#This Row],[Column5]],1))/1048576,"")</f>
        <v/>
      </c>
      <c r="H154" s="95" t="str">
        <f>IF(ISNUMBER(deployment_raw[[#This Row],[Column8]]), (deployment_raw[[#This Row],[Column8]]  * IF($E$2="Deployment",deployment_raw[[#This Row],[Column5]],1)),"")</f>
        <v/>
      </c>
      <c r="I154" s="96" t="str">
        <f>IF(ISNUMBER(deployment_raw[[#This Row],[Column9]]), (deployment_raw[[#This Row],[Column9]] * IF($E$2="Deployment",deployment_raw[[#This Row],[Column5]],1))/1048576,"")</f>
        <v/>
      </c>
      <c r="J154" s="122" t="str">
        <f>IF(ISNUMBER(deployment_raw[[#This Row],[Column10]]), (MIN(IF(N154&lt;&gt;"",N154,9999999999999)*1.1,deployment_raw[[#This Row],[Column10]] * IF($E$2="Deployment",deployment_raw[[#This Row],[Column5]],1))),"")</f>
        <v/>
      </c>
      <c r="K154" s="123" t="str">
        <f>IF(ISNUMBER(deployment_raw[[#This Row],[Column11]]), (MIN(IF(O154&lt;&gt;"",O154,9999999999999)*1.1,deployment_raw[[#This Row],[Column11]] * IF($E$2="Deployment",deployment_raw[[#This Row],[Column5]],1)/1048576)),"")</f>
        <v/>
      </c>
      <c r="L154" s="124" t="str">
        <f>IF(ISNUMBER(deployment_raw[[#This Row],[Column8]]),IF(OR(deployment_raw[[#This Row],[Column5]] &lt;&gt; 0,$E$2 &lt;&gt; "Deployment"), MAX(J154, P154, R154, ($L$2 * IF($E$2="Deployment",deployment_raw[[#This Row],[Column5]],1)),IF(T154&lt;&gt;"",VALUE(T154) * IF($E$2="Deployment",deployment_raw[[#This Row],[Column5]],1),0)), 0),"")</f>
        <v/>
      </c>
      <c r="M154" s="125" t="str">
        <f>IF(ISNUMBER(deployment_raw[[#This Row],[Column9]]),IF(OR(deployment_raw[[#This Row],[Column5]] &lt;&gt; 0,$E$2&lt;&gt;"Deployment"), MAX(K154, Q154, S154, ($M$2 * IF($E$2="Deployment",deployment_raw[[#This Row],[Column5]],1)),IF(U154&lt;&gt;"",VALUE(U154) * IF($E$2="Deployment",deployment_raw[[#This Row],[Column5]],1),0)), 0),"")</f>
        <v/>
      </c>
      <c r="N154" s="166" t="str">
        <f>IF(ISNUMBER(deployment_raw[[#This Row],[Column14]]), deployment_raw[[#This Row],[Column14]]/IF(OR($E$2="Deployment",deployment_raw[[#This Row],[Column5]]=0),1,deployment_raw[[#This Row],[Column5]]),"")</f>
        <v/>
      </c>
      <c r="O154" s="167" t="str">
        <f>IF(ISNUMBER(deployment_raw[[#This Row],[Column15]]), deployment_raw[[#This Row],[Column15]]/IF(OR($E$2="Deployment",deployment_raw[[#This Row],[Column5]]=0),1,deployment_raw[[#This Row],[Column5]])/1048576,"")</f>
        <v/>
      </c>
      <c r="P154" s="168" t="str">
        <f>IF(ISNUMBER(deployment_raw[[#This Row],[Column12]]), (MIN(IF(N154&lt;&gt;"",N154,9999999999999)*1.1,deployment_raw[[#This Row],[Column12]] * IF($E$2="Deployment",deployment_raw[[#This Row],[Column5]],1))*(1+$P$2)),"")</f>
        <v/>
      </c>
      <c r="Q154" s="167" t="str">
        <f>IF(ISNUMBER(deployment_raw[[#This Row],[Column13]]), (MIN(IF(O154&lt;&gt;"",O154,9999999999999)*1.1,deployment_raw[[#This Row],[Column13]] * IF($E$2="Deployment",deployment_raw[[#This Row],[Column5]],1)*(1+$Q$2)/1048576)),"")</f>
        <v/>
      </c>
      <c r="R154" s="169" t="str">
        <f>IF(ISNUMBER(deployment_raw[[#This Row],[Column8]]), (H154  * IF(N154&lt;&gt;0,$R$2,1)),"")</f>
        <v/>
      </c>
      <c r="S154" s="170" t="str">
        <f>IF(ISNUMBER(deployment_raw[[#This Row],[Column8]]), (I154  * IF(O154&lt;&gt;0,$S$2,1)),"")</f>
        <v/>
      </c>
      <c r="T154" s="202" t="str">
        <f>IF(AND(A154&lt;&gt;"",_xlfn.IFNA(MATCH(A154,'dynamic resource application '!$A$2:$A$100, 0),0)&lt;&gt;0), H154/(IF($E$2="Deployment",E154,1)),"")</f>
        <v/>
      </c>
      <c r="U154" s="211" t="str">
        <f>IF(AND(A154&lt;&gt;"",_xlfn.IFNA(MATCH(A154,'dynamic resource application '!$A$2:$A$100, 0),0)&lt;&gt;0), I154/(IF($E$2="Deployment",E154,1)),"")</f>
        <v/>
      </c>
    </row>
    <row r="155" spans="1:21" ht="15.75" customHeight="1" x14ac:dyDescent="0.25">
      <c r="A155" s="35" t="str">
        <f>IF(ISNONTEXT(deployment_raw[[#This Row],[Column1]]), "", deployment_raw[[#This Row],[Column1]])</f>
        <v/>
      </c>
      <c r="B155" s="36" t="str">
        <f>IF(ISNONTEXT(deployment_raw[[#This Row],[Column2]]), "", deployment_raw[[#This Row],[Column2]])</f>
        <v/>
      </c>
      <c r="C155" s="36" t="str">
        <f>IF(ISNONTEXT(deployment_raw[[#This Row],[Column3]]), "", deployment_raw[[#This Row],[Column3]])</f>
        <v/>
      </c>
      <c r="D155" s="36" t="str">
        <f>IF(ISNONTEXT(deployment_raw[[#This Row],[Column4]]), "", deployment_raw[[#This Row],[Column4]])</f>
        <v/>
      </c>
      <c r="E155" s="37" t="str">
        <f>IF(ISNUMBER(deployment_raw[[#This Row],[Column5]]), deployment_raw[[#This Row],[Column5]],"")</f>
        <v/>
      </c>
      <c r="F155" s="94" t="str">
        <f>IF(ISNUMBER(deployment_raw[[#This Row],[Column6]]), (deployment_raw[[#This Row],[Column6]] * IF($E$2="Deployment",deployment_raw[[#This Row],[Column5]],1)),"")</f>
        <v/>
      </c>
      <c r="G155" s="95" t="str">
        <f>IF(ISNUMBER(deployment_raw[[#This Row],[Column7]]), (deployment_raw[[#This Row],[Column7]] * IF($E$2="Deployment",deployment_raw[[#This Row],[Column5]],1))/1048576,"")</f>
        <v/>
      </c>
      <c r="H155" s="95" t="str">
        <f>IF(ISNUMBER(deployment_raw[[#This Row],[Column8]]), (deployment_raw[[#This Row],[Column8]]  * IF($E$2="Deployment",deployment_raw[[#This Row],[Column5]],1)),"")</f>
        <v/>
      </c>
      <c r="I155" s="96" t="str">
        <f>IF(ISNUMBER(deployment_raw[[#This Row],[Column9]]), (deployment_raw[[#This Row],[Column9]] * IF($E$2="Deployment",deployment_raw[[#This Row],[Column5]],1))/1048576,"")</f>
        <v/>
      </c>
      <c r="J155" s="122" t="str">
        <f>IF(ISNUMBER(deployment_raw[[#This Row],[Column10]]), (MIN(IF(N155&lt;&gt;"",N155,9999999999999)*1.1,deployment_raw[[#This Row],[Column10]] * IF($E$2="Deployment",deployment_raw[[#This Row],[Column5]],1))),"")</f>
        <v/>
      </c>
      <c r="K155" s="123" t="str">
        <f>IF(ISNUMBER(deployment_raw[[#This Row],[Column11]]), (MIN(IF(O155&lt;&gt;"",O155,9999999999999)*1.1,deployment_raw[[#This Row],[Column11]] * IF($E$2="Deployment",deployment_raw[[#This Row],[Column5]],1)/1048576)),"")</f>
        <v/>
      </c>
      <c r="L155" s="124" t="str">
        <f>IF(ISNUMBER(deployment_raw[[#This Row],[Column8]]),IF(OR(deployment_raw[[#This Row],[Column5]] &lt;&gt; 0,$E$2 &lt;&gt; "Deployment"), MAX(J155, P155, R155, ($L$2 * IF($E$2="Deployment",deployment_raw[[#This Row],[Column5]],1)),IF(T155&lt;&gt;"",VALUE(T155) * IF($E$2="Deployment",deployment_raw[[#This Row],[Column5]],1),0)), 0),"")</f>
        <v/>
      </c>
      <c r="M155" s="125" t="str">
        <f>IF(ISNUMBER(deployment_raw[[#This Row],[Column9]]),IF(OR(deployment_raw[[#This Row],[Column5]] &lt;&gt; 0,$E$2&lt;&gt;"Deployment"), MAX(K155, Q155, S155, ($M$2 * IF($E$2="Deployment",deployment_raw[[#This Row],[Column5]],1)),IF(U155&lt;&gt;"",VALUE(U155) * IF($E$2="Deployment",deployment_raw[[#This Row],[Column5]],1),0)), 0),"")</f>
        <v/>
      </c>
      <c r="N155" s="166" t="str">
        <f>IF(ISNUMBER(deployment_raw[[#This Row],[Column14]]), deployment_raw[[#This Row],[Column14]]/IF(OR($E$2="Deployment",deployment_raw[[#This Row],[Column5]]=0),1,deployment_raw[[#This Row],[Column5]]),"")</f>
        <v/>
      </c>
      <c r="O155" s="167" t="str">
        <f>IF(ISNUMBER(deployment_raw[[#This Row],[Column15]]), deployment_raw[[#This Row],[Column15]]/IF(OR($E$2="Deployment",deployment_raw[[#This Row],[Column5]]=0),1,deployment_raw[[#This Row],[Column5]])/1048576,"")</f>
        <v/>
      </c>
      <c r="P155" s="168" t="str">
        <f>IF(ISNUMBER(deployment_raw[[#This Row],[Column12]]), (MIN(IF(N155&lt;&gt;"",N155,9999999999999)*1.1,deployment_raw[[#This Row],[Column12]] * IF($E$2="Deployment",deployment_raw[[#This Row],[Column5]],1))*(1+$P$2)),"")</f>
        <v/>
      </c>
      <c r="Q155" s="167" t="str">
        <f>IF(ISNUMBER(deployment_raw[[#This Row],[Column13]]), (MIN(IF(O155&lt;&gt;"",O155,9999999999999)*1.1,deployment_raw[[#This Row],[Column13]] * IF($E$2="Deployment",deployment_raw[[#This Row],[Column5]],1)*(1+$Q$2)/1048576)),"")</f>
        <v/>
      </c>
      <c r="R155" s="169" t="str">
        <f>IF(ISNUMBER(deployment_raw[[#This Row],[Column8]]), (H155  * IF(N155&lt;&gt;0,$R$2,1)),"")</f>
        <v/>
      </c>
      <c r="S155" s="170" t="str">
        <f>IF(ISNUMBER(deployment_raw[[#This Row],[Column8]]), (I155  * IF(O155&lt;&gt;0,$S$2,1)),"")</f>
        <v/>
      </c>
      <c r="T155" s="202" t="str">
        <f>IF(AND(A155&lt;&gt;"",_xlfn.IFNA(MATCH(A155,'dynamic resource application '!$A$2:$A$100, 0),0)&lt;&gt;0), H155/(IF($E$2="Deployment",E155,1)),"")</f>
        <v/>
      </c>
      <c r="U155" s="211" t="str">
        <f>IF(AND(A155&lt;&gt;"",_xlfn.IFNA(MATCH(A155,'dynamic resource application '!$A$2:$A$100, 0),0)&lt;&gt;0), I155/(IF($E$2="Deployment",E155,1)),"")</f>
        <v/>
      </c>
    </row>
    <row r="156" spans="1:21" ht="15.75" customHeight="1" x14ac:dyDescent="0.25">
      <c r="A156" s="35" t="str">
        <f>IF(ISNONTEXT(deployment_raw[[#This Row],[Column1]]), "", deployment_raw[[#This Row],[Column1]])</f>
        <v/>
      </c>
      <c r="B156" s="36" t="str">
        <f>IF(ISNONTEXT(deployment_raw[[#This Row],[Column2]]), "", deployment_raw[[#This Row],[Column2]])</f>
        <v/>
      </c>
      <c r="C156" s="36" t="str">
        <f>IF(ISNONTEXT(deployment_raw[[#This Row],[Column3]]), "", deployment_raw[[#This Row],[Column3]])</f>
        <v/>
      </c>
      <c r="D156" s="36" t="str">
        <f>IF(ISNONTEXT(deployment_raw[[#This Row],[Column4]]), "", deployment_raw[[#This Row],[Column4]])</f>
        <v/>
      </c>
      <c r="E156" s="37" t="str">
        <f>IF(ISNUMBER(deployment_raw[[#This Row],[Column5]]), deployment_raw[[#This Row],[Column5]],"")</f>
        <v/>
      </c>
      <c r="F156" s="94" t="str">
        <f>IF(ISNUMBER(deployment_raw[[#This Row],[Column6]]), (deployment_raw[[#This Row],[Column6]] * IF($E$2="Deployment",deployment_raw[[#This Row],[Column5]],1)),"")</f>
        <v/>
      </c>
      <c r="G156" s="95" t="str">
        <f>IF(ISNUMBER(deployment_raw[[#This Row],[Column7]]), (deployment_raw[[#This Row],[Column7]] * IF($E$2="Deployment",deployment_raw[[#This Row],[Column5]],1))/1048576,"")</f>
        <v/>
      </c>
      <c r="H156" s="95" t="str">
        <f>IF(ISNUMBER(deployment_raw[[#This Row],[Column8]]), (deployment_raw[[#This Row],[Column8]]  * IF($E$2="Deployment",deployment_raw[[#This Row],[Column5]],1)),"")</f>
        <v/>
      </c>
      <c r="I156" s="96" t="str">
        <f>IF(ISNUMBER(deployment_raw[[#This Row],[Column9]]), (deployment_raw[[#This Row],[Column9]] * IF($E$2="Deployment",deployment_raw[[#This Row],[Column5]],1))/1048576,"")</f>
        <v/>
      </c>
      <c r="J156" s="122" t="str">
        <f>IF(ISNUMBER(deployment_raw[[#This Row],[Column10]]), (MIN(IF(N156&lt;&gt;"",N156,9999999999999)*1.1,deployment_raw[[#This Row],[Column10]] * IF($E$2="Deployment",deployment_raw[[#This Row],[Column5]],1))),"")</f>
        <v/>
      </c>
      <c r="K156" s="123" t="str">
        <f>IF(ISNUMBER(deployment_raw[[#This Row],[Column11]]), (MIN(IF(O156&lt;&gt;"",O156,9999999999999)*1.1,deployment_raw[[#This Row],[Column11]] * IF($E$2="Deployment",deployment_raw[[#This Row],[Column5]],1)/1048576)),"")</f>
        <v/>
      </c>
      <c r="L156" s="124" t="str">
        <f>IF(ISNUMBER(deployment_raw[[#This Row],[Column8]]),IF(OR(deployment_raw[[#This Row],[Column5]] &lt;&gt; 0,$E$2 &lt;&gt; "Deployment"), MAX(J156, P156, R156, ($L$2 * IF($E$2="Deployment",deployment_raw[[#This Row],[Column5]],1)),IF(T156&lt;&gt;"",VALUE(T156) * IF($E$2="Deployment",deployment_raw[[#This Row],[Column5]],1),0)), 0),"")</f>
        <v/>
      </c>
      <c r="M156" s="125" t="str">
        <f>IF(ISNUMBER(deployment_raw[[#This Row],[Column9]]),IF(OR(deployment_raw[[#This Row],[Column5]] &lt;&gt; 0,$E$2&lt;&gt;"Deployment"), MAX(K156, Q156, S156, ($M$2 * IF($E$2="Deployment",deployment_raw[[#This Row],[Column5]],1)),IF(U156&lt;&gt;"",VALUE(U156) * IF($E$2="Deployment",deployment_raw[[#This Row],[Column5]],1),0)), 0),"")</f>
        <v/>
      </c>
      <c r="N156" s="166" t="str">
        <f>IF(ISNUMBER(deployment_raw[[#This Row],[Column14]]), deployment_raw[[#This Row],[Column14]]/IF(OR($E$2="Deployment",deployment_raw[[#This Row],[Column5]]=0),1,deployment_raw[[#This Row],[Column5]]),"")</f>
        <v/>
      </c>
      <c r="O156" s="167" t="str">
        <f>IF(ISNUMBER(deployment_raw[[#This Row],[Column15]]), deployment_raw[[#This Row],[Column15]]/IF(OR($E$2="Deployment",deployment_raw[[#This Row],[Column5]]=0),1,deployment_raw[[#This Row],[Column5]])/1048576,"")</f>
        <v/>
      </c>
      <c r="P156" s="168" t="str">
        <f>IF(ISNUMBER(deployment_raw[[#This Row],[Column12]]), (MIN(IF(N156&lt;&gt;"",N156,9999999999999)*1.1,deployment_raw[[#This Row],[Column12]] * IF($E$2="Deployment",deployment_raw[[#This Row],[Column5]],1))*(1+$P$2)),"")</f>
        <v/>
      </c>
      <c r="Q156" s="167" t="str">
        <f>IF(ISNUMBER(deployment_raw[[#This Row],[Column13]]), (MIN(IF(O156&lt;&gt;"",O156,9999999999999)*1.1,deployment_raw[[#This Row],[Column13]] * IF($E$2="Deployment",deployment_raw[[#This Row],[Column5]],1)*(1+$Q$2)/1048576)),"")</f>
        <v/>
      </c>
      <c r="R156" s="169" t="str">
        <f>IF(ISNUMBER(deployment_raw[[#This Row],[Column8]]), (H156  * IF(N156&lt;&gt;0,$R$2,1)),"")</f>
        <v/>
      </c>
      <c r="S156" s="170" t="str">
        <f>IF(ISNUMBER(deployment_raw[[#This Row],[Column8]]), (I156  * IF(O156&lt;&gt;0,$S$2,1)),"")</f>
        <v/>
      </c>
      <c r="T156" s="202" t="str">
        <f>IF(AND(A156&lt;&gt;"",_xlfn.IFNA(MATCH(A156,'dynamic resource application '!$A$2:$A$100, 0),0)&lt;&gt;0), H156/(IF($E$2="Deployment",E156,1)),"")</f>
        <v/>
      </c>
      <c r="U156" s="211" t="str">
        <f>IF(AND(A156&lt;&gt;"",_xlfn.IFNA(MATCH(A156,'dynamic resource application '!$A$2:$A$100, 0),0)&lt;&gt;0), I156/(IF($E$2="Deployment",E156,1)),"")</f>
        <v/>
      </c>
    </row>
    <row r="157" spans="1:21" ht="15.75" customHeight="1" x14ac:dyDescent="0.25">
      <c r="A157" s="35" t="str">
        <f>IF(ISNONTEXT(deployment_raw[[#This Row],[Column1]]), "", deployment_raw[[#This Row],[Column1]])</f>
        <v/>
      </c>
      <c r="B157" s="36" t="str">
        <f>IF(ISNONTEXT(deployment_raw[[#This Row],[Column2]]), "", deployment_raw[[#This Row],[Column2]])</f>
        <v/>
      </c>
      <c r="C157" s="36" t="str">
        <f>IF(ISNONTEXT(deployment_raw[[#This Row],[Column3]]), "", deployment_raw[[#This Row],[Column3]])</f>
        <v/>
      </c>
      <c r="D157" s="36" t="str">
        <f>IF(ISNONTEXT(deployment_raw[[#This Row],[Column4]]), "", deployment_raw[[#This Row],[Column4]])</f>
        <v/>
      </c>
      <c r="E157" s="37" t="str">
        <f>IF(ISNUMBER(deployment_raw[[#This Row],[Column5]]), deployment_raw[[#This Row],[Column5]],"")</f>
        <v/>
      </c>
      <c r="F157" s="94" t="str">
        <f>IF(ISNUMBER(deployment_raw[[#This Row],[Column6]]), (deployment_raw[[#This Row],[Column6]] * IF($E$2="Deployment",deployment_raw[[#This Row],[Column5]],1)),"")</f>
        <v/>
      </c>
      <c r="G157" s="95" t="str">
        <f>IF(ISNUMBER(deployment_raw[[#This Row],[Column7]]), (deployment_raw[[#This Row],[Column7]] * IF($E$2="Deployment",deployment_raw[[#This Row],[Column5]],1))/1048576,"")</f>
        <v/>
      </c>
      <c r="H157" s="95" t="str">
        <f>IF(ISNUMBER(deployment_raw[[#This Row],[Column8]]), (deployment_raw[[#This Row],[Column8]]  * IF($E$2="Deployment",deployment_raw[[#This Row],[Column5]],1)),"")</f>
        <v/>
      </c>
      <c r="I157" s="96" t="str">
        <f>IF(ISNUMBER(deployment_raw[[#This Row],[Column9]]), (deployment_raw[[#This Row],[Column9]] * IF($E$2="Deployment",deployment_raw[[#This Row],[Column5]],1))/1048576,"")</f>
        <v/>
      </c>
      <c r="J157" s="122" t="str">
        <f>IF(ISNUMBER(deployment_raw[[#This Row],[Column10]]), (MIN(IF(N157&lt;&gt;"",N157,9999999999999)*1.1,deployment_raw[[#This Row],[Column10]] * IF($E$2="Deployment",deployment_raw[[#This Row],[Column5]],1))),"")</f>
        <v/>
      </c>
      <c r="K157" s="123" t="str">
        <f>IF(ISNUMBER(deployment_raw[[#This Row],[Column11]]), (MIN(IF(O157&lt;&gt;"",O157,9999999999999)*1.1,deployment_raw[[#This Row],[Column11]] * IF($E$2="Deployment",deployment_raw[[#This Row],[Column5]],1)/1048576)),"")</f>
        <v/>
      </c>
      <c r="L157" s="124" t="str">
        <f>IF(ISNUMBER(deployment_raw[[#This Row],[Column8]]),IF(OR(deployment_raw[[#This Row],[Column5]] &lt;&gt; 0,$E$2 &lt;&gt; "Deployment"), MAX(J157, P157, R157, ($L$2 * IF($E$2="Deployment",deployment_raw[[#This Row],[Column5]],1)),IF(T157&lt;&gt;"",VALUE(T157) * IF($E$2="Deployment",deployment_raw[[#This Row],[Column5]],1),0)), 0),"")</f>
        <v/>
      </c>
      <c r="M157" s="125" t="str">
        <f>IF(ISNUMBER(deployment_raw[[#This Row],[Column9]]),IF(OR(deployment_raw[[#This Row],[Column5]] &lt;&gt; 0,$E$2&lt;&gt;"Deployment"), MAX(K157, Q157, S157, ($M$2 * IF($E$2="Deployment",deployment_raw[[#This Row],[Column5]],1)),IF(U157&lt;&gt;"",VALUE(U157) * IF($E$2="Deployment",deployment_raw[[#This Row],[Column5]],1),0)), 0),"")</f>
        <v/>
      </c>
      <c r="N157" s="166" t="str">
        <f>IF(ISNUMBER(deployment_raw[[#This Row],[Column14]]), deployment_raw[[#This Row],[Column14]]/IF(OR($E$2="Deployment",deployment_raw[[#This Row],[Column5]]=0),1,deployment_raw[[#This Row],[Column5]]),"")</f>
        <v/>
      </c>
      <c r="O157" s="167" t="str">
        <f>IF(ISNUMBER(deployment_raw[[#This Row],[Column15]]), deployment_raw[[#This Row],[Column15]]/IF(OR($E$2="Deployment",deployment_raw[[#This Row],[Column5]]=0),1,deployment_raw[[#This Row],[Column5]])/1048576,"")</f>
        <v/>
      </c>
      <c r="P157" s="168" t="str">
        <f>IF(ISNUMBER(deployment_raw[[#This Row],[Column12]]), (MIN(IF(N157&lt;&gt;"",N157,9999999999999)*1.1,deployment_raw[[#This Row],[Column12]] * IF($E$2="Deployment",deployment_raw[[#This Row],[Column5]],1))*(1+$P$2)),"")</f>
        <v/>
      </c>
      <c r="Q157" s="167" t="str">
        <f>IF(ISNUMBER(deployment_raw[[#This Row],[Column13]]), (MIN(IF(O157&lt;&gt;"",O157,9999999999999)*1.1,deployment_raw[[#This Row],[Column13]] * IF($E$2="Deployment",deployment_raw[[#This Row],[Column5]],1)*(1+$Q$2)/1048576)),"")</f>
        <v/>
      </c>
      <c r="R157" s="169" t="str">
        <f>IF(ISNUMBER(deployment_raw[[#This Row],[Column8]]), (H157  * IF(N157&lt;&gt;0,$R$2,1)),"")</f>
        <v/>
      </c>
      <c r="S157" s="170" t="str">
        <f>IF(ISNUMBER(deployment_raw[[#This Row],[Column8]]), (I157  * IF(O157&lt;&gt;0,$S$2,1)),"")</f>
        <v/>
      </c>
      <c r="T157" s="202" t="str">
        <f>IF(AND(A157&lt;&gt;"",_xlfn.IFNA(MATCH(A157,'dynamic resource application '!$A$2:$A$100, 0),0)&lt;&gt;0), H157/(IF($E$2="Deployment",E157,1)),"")</f>
        <v/>
      </c>
      <c r="U157" s="211" t="str">
        <f>IF(AND(A157&lt;&gt;"",_xlfn.IFNA(MATCH(A157,'dynamic resource application '!$A$2:$A$100, 0),0)&lt;&gt;0), I157/(IF($E$2="Deployment",E157,1)),"")</f>
        <v/>
      </c>
    </row>
    <row r="158" spans="1:21" ht="15.75" customHeight="1" x14ac:dyDescent="0.25">
      <c r="A158" s="35" t="str">
        <f>IF(ISNONTEXT(deployment_raw[[#This Row],[Column1]]), "", deployment_raw[[#This Row],[Column1]])</f>
        <v/>
      </c>
      <c r="B158" s="36" t="str">
        <f>IF(ISNONTEXT(deployment_raw[[#This Row],[Column2]]), "", deployment_raw[[#This Row],[Column2]])</f>
        <v/>
      </c>
      <c r="C158" s="36" t="str">
        <f>IF(ISNONTEXT(deployment_raw[[#This Row],[Column3]]), "", deployment_raw[[#This Row],[Column3]])</f>
        <v/>
      </c>
      <c r="D158" s="36" t="str">
        <f>IF(ISNONTEXT(deployment_raw[[#This Row],[Column4]]), "", deployment_raw[[#This Row],[Column4]])</f>
        <v/>
      </c>
      <c r="E158" s="37" t="str">
        <f>IF(ISNUMBER(deployment_raw[[#This Row],[Column5]]), deployment_raw[[#This Row],[Column5]],"")</f>
        <v/>
      </c>
      <c r="F158" s="94" t="str">
        <f>IF(ISNUMBER(deployment_raw[[#This Row],[Column6]]), (deployment_raw[[#This Row],[Column6]] * IF($E$2="Deployment",deployment_raw[[#This Row],[Column5]],1)),"")</f>
        <v/>
      </c>
      <c r="G158" s="95" t="str">
        <f>IF(ISNUMBER(deployment_raw[[#This Row],[Column7]]), (deployment_raw[[#This Row],[Column7]] * IF($E$2="Deployment",deployment_raw[[#This Row],[Column5]],1))/1048576,"")</f>
        <v/>
      </c>
      <c r="H158" s="95" t="str">
        <f>IF(ISNUMBER(deployment_raw[[#This Row],[Column8]]), (deployment_raw[[#This Row],[Column8]]  * IF($E$2="Deployment",deployment_raw[[#This Row],[Column5]],1)),"")</f>
        <v/>
      </c>
      <c r="I158" s="96" t="str">
        <f>IF(ISNUMBER(deployment_raw[[#This Row],[Column9]]), (deployment_raw[[#This Row],[Column9]] * IF($E$2="Deployment",deployment_raw[[#This Row],[Column5]],1))/1048576,"")</f>
        <v/>
      </c>
      <c r="J158" s="122" t="str">
        <f>IF(ISNUMBER(deployment_raw[[#This Row],[Column10]]), (MIN(IF(N158&lt;&gt;"",N158,9999999999999)*1.1,deployment_raw[[#This Row],[Column10]] * IF($E$2="Deployment",deployment_raw[[#This Row],[Column5]],1))),"")</f>
        <v/>
      </c>
      <c r="K158" s="123" t="str">
        <f>IF(ISNUMBER(deployment_raw[[#This Row],[Column11]]), (MIN(IF(O158&lt;&gt;"",O158,9999999999999)*1.1,deployment_raw[[#This Row],[Column11]] * IF($E$2="Deployment",deployment_raw[[#This Row],[Column5]],1)/1048576)),"")</f>
        <v/>
      </c>
      <c r="L158" s="124" t="str">
        <f>IF(ISNUMBER(deployment_raw[[#This Row],[Column8]]),IF(OR(deployment_raw[[#This Row],[Column5]] &lt;&gt; 0,$E$2 &lt;&gt; "Deployment"), MAX(J158, P158, R158, ($L$2 * IF($E$2="Deployment",deployment_raw[[#This Row],[Column5]],1)),IF(T158&lt;&gt;"",VALUE(T158) * IF($E$2="Deployment",deployment_raw[[#This Row],[Column5]],1),0)), 0),"")</f>
        <v/>
      </c>
      <c r="M158" s="125" t="str">
        <f>IF(ISNUMBER(deployment_raw[[#This Row],[Column9]]),IF(OR(deployment_raw[[#This Row],[Column5]] &lt;&gt; 0,$E$2&lt;&gt;"Deployment"), MAX(K158, Q158, S158, ($M$2 * IF($E$2="Deployment",deployment_raw[[#This Row],[Column5]],1)),IF(U158&lt;&gt;"",VALUE(U158) * IF($E$2="Deployment",deployment_raw[[#This Row],[Column5]],1),0)), 0),"")</f>
        <v/>
      </c>
      <c r="N158" s="166" t="str">
        <f>IF(ISNUMBER(deployment_raw[[#This Row],[Column14]]), deployment_raw[[#This Row],[Column14]]/IF(OR($E$2="Deployment",deployment_raw[[#This Row],[Column5]]=0),1,deployment_raw[[#This Row],[Column5]]),"")</f>
        <v/>
      </c>
      <c r="O158" s="167" t="str">
        <f>IF(ISNUMBER(deployment_raw[[#This Row],[Column15]]), deployment_raw[[#This Row],[Column15]]/IF(OR($E$2="Deployment",deployment_raw[[#This Row],[Column5]]=0),1,deployment_raw[[#This Row],[Column5]])/1048576,"")</f>
        <v/>
      </c>
      <c r="P158" s="168" t="str">
        <f>IF(ISNUMBER(deployment_raw[[#This Row],[Column12]]), (MIN(IF(N158&lt;&gt;"",N158,9999999999999)*1.1,deployment_raw[[#This Row],[Column12]] * IF($E$2="Deployment",deployment_raw[[#This Row],[Column5]],1))*(1+$P$2)),"")</f>
        <v/>
      </c>
      <c r="Q158" s="167" t="str">
        <f>IF(ISNUMBER(deployment_raw[[#This Row],[Column13]]), (MIN(IF(O158&lt;&gt;"",O158,9999999999999)*1.1,deployment_raw[[#This Row],[Column13]] * IF($E$2="Deployment",deployment_raw[[#This Row],[Column5]],1)*(1+$Q$2)/1048576)),"")</f>
        <v/>
      </c>
      <c r="R158" s="169" t="str">
        <f>IF(ISNUMBER(deployment_raw[[#This Row],[Column8]]), (H158  * IF(N158&lt;&gt;0,$R$2,1)),"")</f>
        <v/>
      </c>
      <c r="S158" s="170" t="str">
        <f>IF(ISNUMBER(deployment_raw[[#This Row],[Column8]]), (I158  * IF(O158&lt;&gt;0,$S$2,1)),"")</f>
        <v/>
      </c>
      <c r="T158" s="202" t="str">
        <f>IF(AND(A158&lt;&gt;"",_xlfn.IFNA(MATCH(A158,'dynamic resource application '!$A$2:$A$100, 0),0)&lt;&gt;0), H158/(IF($E$2="Deployment",E158,1)),"")</f>
        <v/>
      </c>
      <c r="U158" s="211" t="str">
        <f>IF(AND(A158&lt;&gt;"",_xlfn.IFNA(MATCH(A158,'dynamic resource application '!$A$2:$A$100, 0),0)&lt;&gt;0), I158/(IF($E$2="Deployment",E158,1)),"")</f>
        <v/>
      </c>
    </row>
    <row r="159" spans="1:21" ht="15.75" customHeight="1" x14ac:dyDescent="0.25">
      <c r="A159" s="35" t="str">
        <f>IF(ISNONTEXT(deployment_raw[[#This Row],[Column1]]), "", deployment_raw[[#This Row],[Column1]])</f>
        <v/>
      </c>
      <c r="B159" s="36" t="str">
        <f>IF(ISNONTEXT(deployment_raw[[#This Row],[Column2]]), "", deployment_raw[[#This Row],[Column2]])</f>
        <v/>
      </c>
      <c r="C159" s="36" t="str">
        <f>IF(ISNONTEXT(deployment_raw[[#This Row],[Column3]]), "", deployment_raw[[#This Row],[Column3]])</f>
        <v/>
      </c>
      <c r="D159" s="36" t="str">
        <f>IF(ISNONTEXT(deployment_raw[[#This Row],[Column4]]), "", deployment_raw[[#This Row],[Column4]])</f>
        <v/>
      </c>
      <c r="E159" s="37" t="str">
        <f>IF(ISNUMBER(deployment_raw[[#This Row],[Column5]]), deployment_raw[[#This Row],[Column5]],"")</f>
        <v/>
      </c>
      <c r="F159" s="94" t="str">
        <f>IF(ISNUMBER(deployment_raw[[#This Row],[Column6]]), (deployment_raw[[#This Row],[Column6]] * IF($E$2="Deployment",deployment_raw[[#This Row],[Column5]],1)),"")</f>
        <v/>
      </c>
      <c r="G159" s="95" t="str">
        <f>IF(ISNUMBER(deployment_raw[[#This Row],[Column7]]), (deployment_raw[[#This Row],[Column7]] * IF($E$2="Deployment",deployment_raw[[#This Row],[Column5]],1))/1048576,"")</f>
        <v/>
      </c>
      <c r="H159" s="95" t="str">
        <f>IF(ISNUMBER(deployment_raw[[#This Row],[Column8]]), (deployment_raw[[#This Row],[Column8]]  * IF($E$2="Deployment",deployment_raw[[#This Row],[Column5]],1)),"")</f>
        <v/>
      </c>
      <c r="I159" s="96" t="str">
        <f>IF(ISNUMBER(deployment_raw[[#This Row],[Column9]]), (deployment_raw[[#This Row],[Column9]] * IF($E$2="Deployment",deployment_raw[[#This Row],[Column5]],1))/1048576,"")</f>
        <v/>
      </c>
      <c r="J159" s="122" t="str">
        <f>IF(ISNUMBER(deployment_raw[[#This Row],[Column10]]), (MIN(IF(N159&lt;&gt;"",N159,9999999999999)*1.1,deployment_raw[[#This Row],[Column10]] * IF($E$2="Deployment",deployment_raw[[#This Row],[Column5]],1))),"")</f>
        <v/>
      </c>
      <c r="K159" s="123" t="str">
        <f>IF(ISNUMBER(deployment_raw[[#This Row],[Column11]]), (MIN(IF(O159&lt;&gt;"",O159,9999999999999)*1.1,deployment_raw[[#This Row],[Column11]] * IF($E$2="Deployment",deployment_raw[[#This Row],[Column5]],1)/1048576)),"")</f>
        <v/>
      </c>
      <c r="L159" s="124" t="str">
        <f>IF(ISNUMBER(deployment_raw[[#This Row],[Column8]]),IF(OR(deployment_raw[[#This Row],[Column5]] &lt;&gt; 0,$E$2 &lt;&gt; "Deployment"), MAX(J159, P159, R159, ($L$2 * IF($E$2="Deployment",deployment_raw[[#This Row],[Column5]],1)),IF(T159&lt;&gt;"",VALUE(T159) * IF($E$2="Deployment",deployment_raw[[#This Row],[Column5]],1),0)), 0),"")</f>
        <v/>
      </c>
      <c r="M159" s="125" t="str">
        <f>IF(ISNUMBER(deployment_raw[[#This Row],[Column9]]),IF(OR(deployment_raw[[#This Row],[Column5]] &lt;&gt; 0,$E$2&lt;&gt;"Deployment"), MAX(K159, Q159, S159, ($M$2 * IF($E$2="Deployment",deployment_raw[[#This Row],[Column5]],1)),IF(U159&lt;&gt;"",VALUE(U159) * IF($E$2="Deployment",deployment_raw[[#This Row],[Column5]],1),0)), 0),"")</f>
        <v/>
      </c>
      <c r="N159" s="166" t="str">
        <f>IF(ISNUMBER(deployment_raw[[#This Row],[Column14]]), deployment_raw[[#This Row],[Column14]]/IF(OR($E$2="Deployment",deployment_raw[[#This Row],[Column5]]=0),1,deployment_raw[[#This Row],[Column5]]),"")</f>
        <v/>
      </c>
      <c r="O159" s="167" t="str">
        <f>IF(ISNUMBER(deployment_raw[[#This Row],[Column15]]), deployment_raw[[#This Row],[Column15]]/IF(OR($E$2="Deployment",deployment_raw[[#This Row],[Column5]]=0),1,deployment_raw[[#This Row],[Column5]])/1048576,"")</f>
        <v/>
      </c>
      <c r="P159" s="168" t="str">
        <f>IF(ISNUMBER(deployment_raw[[#This Row],[Column12]]), (MIN(IF(N159&lt;&gt;"",N159,9999999999999)*1.1,deployment_raw[[#This Row],[Column12]] * IF($E$2="Deployment",deployment_raw[[#This Row],[Column5]],1))*(1+$P$2)),"")</f>
        <v/>
      </c>
      <c r="Q159" s="167" t="str">
        <f>IF(ISNUMBER(deployment_raw[[#This Row],[Column13]]), (MIN(IF(O159&lt;&gt;"",O159,9999999999999)*1.1,deployment_raw[[#This Row],[Column13]] * IF($E$2="Deployment",deployment_raw[[#This Row],[Column5]],1)*(1+$Q$2)/1048576)),"")</f>
        <v/>
      </c>
      <c r="R159" s="169" t="str">
        <f>IF(ISNUMBER(deployment_raw[[#This Row],[Column8]]), (H159  * IF(N159&lt;&gt;0,$R$2,1)),"")</f>
        <v/>
      </c>
      <c r="S159" s="170" t="str">
        <f>IF(ISNUMBER(deployment_raw[[#This Row],[Column8]]), (I159  * IF(O159&lt;&gt;0,$S$2,1)),"")</f>
        <v/>
      </c>
      <c r="T159" s="202" t="str">
        <f>IF(AND(A159&lt;&gt;"",_xlfn.IFNA(MATCH(A159,'dynamic resource application '!$A$2:$A$100, 0),0)&lt;&gt;0), H159/(IF($E$2="Deployment",E159,1)),"")</f>
        <v/>
      </c>
      <c r="U159" s="211" t="str">
        <f>IF(AND(A159&lt;&gt;"",_xlfn.IFNA(MATCH(A159,'dynamic resource application '!$A$2:$A$100, 0),0)&lt;&gt;0), I159/(IF($E$2="Deployment",E159,1)),"")</f>
        <v/>
      </c>
    </row>
    <row r="160" spans="1:21" ht="15.75" customHeight="1" x14ac:dyDescent="0.25">
      <c r="A160" s="35" t="str">
        <f>IF(ISNONTEXT(deployment_raw[[#This Row],[Column1]]), "", deployment_raw[[#This Row],[Column1]])</f>
        <v/>
      </c>
      <c r="B160" s="36" t="str">
        <f>IF(ISNONTEXT(deployment_raw[[#This Row],[Column2]]), "", deployment_raw[[#This Row],[Column2]])</f>
        <v/>
      </c>
      <c r="C160" s="36" t="str">
        <f>IF(ISNONTEXT(deployment_raw[[#This Row],[Column3]]), "", deployment_raw[[#This Row],[Column3]])</f>
        <v/>
      </c>
      <c r="D160" s="36" t="str">
        <f>IF(ISNONTEXT(deployment_raw[[#This Row],[Column4]]), "", deployment_raw[[#This Row],[Column4]])</f>
        <v/>
      </c>
      <c r="E160" s="37" t="str">
        <f>IF(ISNUMBER(deployment_raw[[#This Row],[Column5]]), deployment_raw[[#This Row],[Column5]],"")</f>
        <v/>
      </c>
      <c r="F160" s="94" t="str">
        <f>IF(ISNUMBER(deployment_raw[[#This Row],[Column6]]), (deployment_raw[[#This Row],[Column6]] * IF($E$2="Deployment",deployment_raw[[#This Row],[Column5]],1)),"")</f>
        <v/>
      </c>
      <c r="G160" s="95" t="str">
        <f>IF(ISNUMBER(deployment_raw[[#This Row],[Column7]]), (deployment_raw[[#This Row],[Column7]] * IF($E$2="Deployment",deployment_raw[[#This Row],[Column5]],1))/1048576,"")</f>
        <v/>
      </c>
      <c r="H160" s="95" t="str">
        <f>IF(ISNUMBER(deployment_raw[[#This Row],[Column8]]), (deployment_raw[[#This Row],[Column8]]  * IF($E$2="Deployment",deployment_raw[[#This Row],[Column5]],1)),"")</f>
        <v/>
      </c>
      <c r="I160" s="96" t="str">
        <f>IF(ISNUMBER(deployment_raw[[#This Row],[Column9]]), (deployment_raw[[#This Row],[Column9]] * IF($E$2="Deployment",deployment_raw[[#This Row],[Column5]],1))/1048576,"")</f>
        <v/>
      </c>
      <c r="J160" s="122" t="str">
        <f>IF(ISNUMBER(deployment_raw[[#This Row],[Column10]]), (MIN(IF(N160&lt;&gt;"",N160,9999999999999)*1.1,deployment_raw[[#This Row],[Column10]] * IF($E$2="Deployment",deployment_raw[[#This Row],[Column5]],1))),"")</f>
        <v/>
      </c>
      <c r="K160" s="123" t="str">
        <f>IF(ISNUMBER(deployment_raw[[#This Row],[Column11]]), (MIN(IF(O160&lt;&gt;"",O160,9999999999999)*1.1,deployment_raw[[#This Row],[Column11]] * IF($E$2="Deployment",deployment_raw[[#This Row],[Column5]],1)/1048576)),"")</f>
        <v/>
      </c>
      <c r="L160" s="124" t="str">
        <f>IF(ISNUMBER(deployment_raw[[#This Row],[Column8]]),IF(OR(deployment_raw[[#This Row],[Column5]] &lt;&gt; 0,$E$2 &lt;&gt; "Deployment"), MAX(J160, P160, R160, ($L$2 * IF($E$2="Deployment",deployment_raw[[#This Row],[Column5]],1)),IF(T160&lt;&gt;"",VALUE(T160) * IF($E$2="Deployment",deployment_raw[[#This Row],[Column5]],1),0)), 0),"")</f>
        <v/>
      </c>
      <c r="M160" s="125" t="str">
        <f>IF(ISNUMBER(deployment_raw[[#This Row],[Column9]]),IF(OR(deployment_raw[[#This Row],[Column5]] &lt;&gt; 0,$E$2&lt;&gt;"Deployment"), MAX(K160, Q160, S160, ($M$2 * IF($E$2="Deployment",deployment_raw[[#This Row],[Column5]],1)),IF(U160&lt;&gt;"",VALUE(U160) * IF($E$2="Deployment",deployment_raw[[#This Row],[Column5]],1),0)), 0),"")</f>
        <v/>
      </c>
      <c r="N160" s="166" t="str">
        <f>IF(ISNUMBER(deployment_raw[[#This Row],[Column14]]), deployment_raw[[#This Row],[Column14]]/IF(OR($E$2="Deployment",deployment_raw[[#This Row],[Column5]]=0),1,deployment_raw[[#This Row],[Column5]]),"")</f>
        <v/>
      </c>
      <c r="O160" s="167" t="str">
        <f>IF(ISNUMBER(deployment_raw[[#This Row],[Column15]]), deployment_raw[[#This Row],[Column15]]/IF(OR($E$2="Deployment",deployment_raw[[#This Row],[Column5]]=0),1,deployment_raw[[#This Row],[Column5]])/1048576,"")</f>
        <v/>
      </c>
      <c r="P160" s="168" t="str">
        <f>IF(ISNUMBER(deployment_raw[[#This Row],[Column12]]), (MIN(IF(N160&lt;&gt;"",N160,9999999999999)*1.1,deployment_raw[[#This Row],[Column12]] * IF($E$2="Deployment",deployment_raw[[#This Row],[Column5]],1))*(1+$P$2)),"")</f>
        <v/>
      </c>
      <c r="Q160" s="167" t="str">
        <f>IF(ISNUMBER(deployment_raw[[#This Row],[Column13]]), (MIN(IF(O160&lt;&gt;"",O160,9999999999999)*1.1,deployment_raw[[#This Row],[Column13]] * IF($E$2="Deployment",deployment_raw[[#This Row],[Column5]],1)*(1+$Q$2)/1048576)),"")</f>
        <v/>
      </c>
      <c r="R160" s="169" t="str">
        <f>IF(ISNUMBER(deployment_raw[[#This Row],[Column8]]), (H160  * IF(N160&lt;&gt;0,$R$2,1)),"")</f>
        <v/>
      </c>
      <c r="S160" s="170" t="str">
        <f>IF(ISNUMBER(deployment_raw[[#This Row],[Column8]]), (I160  * IF(O160&lt;&gt;0,$S$2,1)),"")</f>
        <v/>
      </c>
      <c r="T160" s="202" t="str">
        <f>IF(AND(A160&lt;&gt;"",_xlfn.IFNA(MATCH(A160,'dynamic resource application '!$A$2:$A$100, 0),0)&lt;&gt;0), H160/(IF($E$2="Deployment",E160,1)),"")</f>
        <v/>
      </c>
      <c r="U160" s="211" t="str">
        <f>IF(AND(A160&lt;&gt;"",_xlfn.IFNA(MATCH(A160,'dynamic resource application '!$A$2:$A$100, 0),0)&lt;&gt;0), I160/(IF($E$2="Deployment",E160,1)),"")</f>
        <v/>
      </c>
    </row>
    <row r="161" spans="1:21" ht="15.75" customHeight="1" x14ac:dyDescent="0.25">
      <c r="A161" s="35" t="str">
        <f>IF(ISNONTEXT(deployment_raw[[#This Row],[Column1]]), "", deployment_raw[[#This Row],[Column1]])</f>
        <v/>
      </c>
      <c r="B161" s="36" t="str">
        <f>IF(ISNONTEXT(deployment_raw[[#This Row],[Column2]]), "", deployment_raw[[#This Row],[Column2]])</f>
        <v/>
      </c>
      <c r="C161" s="36" t="str">
        <f>IF(ISNONTEXT(deployment_raw[[#This Row],[Column3]]), "", deployment_raw[[#This Row],[Column3]])</f>
        <v/>
      </c>
      <c r="D161" s="36" t="str">
        <f>IF(ISNONTEXT(deployment_raw[[#This Row],[Column4]]), "", deployment_raw[[#This Row],[Column4]])</f>
        <v/>
      </c>
      <c r="E161" s="37" t="str">
        <f>IF(ISNUMBER(deployment_raw[[#This Row],[Column5]]), deployment_raw[[#This Row],[Column5]],"")</f>
        <v/>
      </c>
      <c r="F161" s="94" t="str">
        <f>IF(ISNUMBER(deployment_raw[[#This Row],[Column6]]), (deployment_raw[[#This Row],[Column6]] * IF($E$2="Deployment",deployment_raw[[#This Row],[Column5]],1)),"")</f>
        <v/>
      </c>
      <c r="G161" s="95" t="str">
        <f>IF(ISNUMBER(deployment_raw[[#This Row],[Column7]]), (deployment_raw[[#This Row],[Column7]] * IF($E$2="Deployment",deployment_raw[[#This Row],[Column5]],1))/1048576,"")</f>
        <v/>
      </c>
      <c r="H161" s="95" t="str">
        <f>IF(ISNUMBER(deployment_raw[[#This Row],[Column8]]), (deployment_raw[[#This Row],[Column8]]  * IF($E$2="Deployment",deployment_raw[[#This Row],[Column5]],1)),"")</f>
        <v/>
      </c>
      <c r="I161" s="96" t="str">
        <f>IF(ISNUMBER(deployment_raw[[#This Row],[Column9]]), (deployment_raw[[#This Row],[Column9]] * IF($E$2="Deployment",deployment_raw[[#This Row],[Column5]],1))/1048576,"")</f>
        <v/>
      </c>
      <c r="J161" s="122" t="str">
        <f>IF(ISNUMBER(deployment_raw[[#This Row],[Column10]]), (MIN(IF(N161&lt;&gt;"",N161,9999999999999)*1.1,deployment_raw[[#This Row],[Column10]] * IF($E$2="Deployment",deployment_raw[[#This Row],[Column5]],1))),"")</f>
        <v/>
      </c>
      <c r="K161" s="123" t="str">
        <f>IF(ISNUMBER(deployment_raw[[#This Row],[Column11]]), (MIN(IF(O161&lt;&gt;"",O161,9999999999999)*1.1,deployment_raw[[#This Row],[Column11]] * IF($E$2="Deployment",deployment_raw[[#This Row],[Column5]],1)/1048576)),"")</f>
        <v/>
      </c>
      <c r="L161" s="124" t="str">
        <f>IF(ISNUMBER(deployment_raw[[#This Row],[Column8]]),IF(OR(deployment_raw[[#This Row],[Column5]] &lt;&gt; 0,$E$2 &lt;&gt; "Deployment"), MAX(J161, P161, R161, ($L$2 * IF($E$2="Deployment",deployment_raw[[#This Row],[Column5]],1)),IF(T161&lt;&gt;"",VALUE(T161) * IF($E$2="Deployment",deployment_raw[[#This Row],[Column5]],1),0)), 0),"")</f>
        <v/>
      </c>
      <c r="M161" s="125" t="str">
        <f>IF(ISNUMBER(deployment_raw[[#This Row],[Column9]]),IF(OR(deployment_raw[[#This Row],[Column5]] &lt;&gt; 0,$E$2&lt;&gt;"Deployment"), MAX(K161, Q161, S161, ($M$2 * IF($E$2="Deployment",deployment_raw[[#This Row],[Column5]],1)),IF(U161&lt;&gt;"",VALUE(U161) * IF($E$2="Deployment",deployment_raw[[#This Row],[Column5]],1),0)), 0),"")</f>
        <v/>
      </c>
      <c r="N161" s="166" t="str">
        <f>IF(ISNUMBER(deployment_raw[[#This Row],[Column14]]), deployment_raw[[#This Row],[Column14]]/IF(OR($E$2="Deployment",deployment_raw[[#This Row],[Column5]]=0),1,deployment_raw[[#This Row],[Column5]]),"")</f>
        <v/>
      </c>
      <c r="O161" s="167" t="str">
        <f>IF(ISNUMBER(deployment_raw[[#This Row],[Column15]]), deployment_raw[[#This Row],[Column15]]/IF(OR($E$2="Deployment",deployment_raw[[#This Row],[Column5]]=0),1,deployment_raw[[#This Row],[Column5]])/1048576,"")</f>
        <v/>
      </c>
      <c r="P161" s="168" t="str">
        <f>IF(ISNUMBER(deployment_raw[[#This Row],[Column12]]), (MIN(IF(N161&lt;&gt;"",N161,9999999999999)*1.1,deployment_raw[[#This Row],[Column12]] * IF($E$2="Deployment",deployment_raw[[#This Row],[Column5]],1))*(1+$P$2)),"")</f>
        <v/>
      </c>
      <c r="Q161" s="167" t="str">
        <f>IF(ISNUMBER(deployment_raw[[#This Row],[Column13]]), (MIN(IF(O161&lt;&gt;"",O161,9999999999999)*1.1,deployment_raw[[#This Row],[Column13]] * IF($E$2="Deployment",deployment_raw[[#This Row],[Column5]],1)*(1+$Q$2)/1048576)),"")</f>
        <v/>
      </c>
      <c r="R161" s="169" t="str">
        <f>IF(ISNUMBER(deployment_raw[[#This Row],[Column8]]), (H161  * IF(N161&lt;&gt;0,$R$2,1)),"")</f>
        <v/>
      </c>
      <c r="S161" s="170" t="str">
        <f>IF(ISNUMBER(deployment_raw[[#This Row],[Column8]]), (I161  * IF(O161&lt;&gt;0,$S$2,1)),"")</f>
        <v/>
      </c>
      <c r="T161" s="202" t="str">
        <f>IF(AND(A161&lt;&gt;"",_xlfn.IFNA(MATCH(A161,'dynamic resource application '!$A$2:$A$100, 0),0)&lt;&gt;0), H161/(IF($E$2="Deployment",E161,1)),"")</f>
        <v/>
      </c>
      <c r="U161" s="211" t="str">
        <f>IF(AND(A161&lt;&gt;"",_xlfn.IFNA(MATCH(A161,'dynamic resource application '!$A$2:$A$100, 0),0)&lt;&gt;0), I161/(IF($E$2="Deployment",E161,1)),"")</f>
        <v/>
      </c>
    </row>
    <row r="162" spans="1:21" ht="15.75" customHeight="1" x14ac:dyDescent="0.25">
      <c r="A162" s="35" t="str">
        <f>IF(ISNONTEXT(deployment_raw[[#This Row],[Column1]]), "", deployment_raw[[#This Row],[Column1]])</f>
        <v/>
      </c>
      <c r="B162" s="36" t="str">
        <f>IF(ISNONTEXT(deployment_raw[[#This Row],[Column2]]), "", deployment_raw[[#This Row],[Column2]])</f>
        <v/>
      </c>
      <c r="C162" s="36" t="str">
        <f>IF(ISNONTEXT(deployment_raw[[#This Row],[Column3]]), "", deployment_raw[[#This Row],[Column3]])</f>
        <v/>
      </c>
      <c r="D162" s="36" t="str">
        <f>IF(ISNONTEXT(deployment_raw[[#This Row],[Column4]]), "", deployment_raw[[#This Row],[Column4]])</f>
        <v/>
      </c>
      <c r="E162" s="37" t="str">
        <f>IF(ISNUMBER(deployment_raw[[#This Row],[Column5]]), deployment_raw[[#This Row],[Column5]],"")</f>
        <v/>
      </c>
      <c r="F162" s="94" t="str">
        <f>IF(ISNUMBER(deployment_raw[[#This Row],[Column6]]), (deployment_raw[[#This Row],[Column6]] * IF($E$2="Deployment",deployment_raw[[#This Row],[Column5]],1)),"")</f>
        <v/>
      </c>
      <c r="G162" s="95" t="str">
        <f>IF(ISNUMBER(deployment_raw[[#This Row],[Column7]]), (deployment_raw[[#This Row],[Column7]] * IF($E$2="Deployment",deployment_raw[[#This Row],[Column5]],1))/1048576,"")</f>
        <v/>
      </c>
      <c r="H162" s="95" t="str">
        <f>IF(ISNUMBER(deployment_raw[[#This Row],[Column8]]), (deployment_raw[[#This Row],[Column8]]  * IF($E$2="Deployment",deployment_raw[[#This Row],[Column5]],1)),"")</f>
        <v/>
      </c>
      <c r="I162" s="96" t="str">
        <f>IF(ISNUMBER(deployment_raw[[#This Row],[Column9]]), (deployment_raw[[#This Row],[Column9]] * IF($E$2="Deployment",deployment_raw[[#This Row],[Column5]],1))/1048576,"")</f>
        <v/>
      </c>
      <c r="J162" s="122" t="str">
        <f>IF(ISNUMBER(deployment_raw[[#This Row],[Column10]]), (MIN(IF(N162&lt;&gt;"",N162,9999999999999)*1.1,deployment_raw[[#This Row],[Column10]] * IF($E$2="Deployment",deployment_raw[[#This Row],[Column5]],1))),"")</f>
        <v/>
      </c>
      <c r="K162" s="123" t="str">
        <f>IF(ISNUMBER(deployment_raw[[#This Row],[Column11]]), (MIN(IF(O162&lt;&gt;"",O162,9999999999999)*1.1,deployment_raw[[#This Row],[Column11]] * IF($E$2="Deployment",deployment_raw[[#This Row],[Column5]],1)/1048576)),"")</f>
        <v/>
      </c>
      <c r="L162" s="124" t="str">
        <f>IF(ISNUMBER(deployment_raw[[#This Row],[Column8]]),IF(OR(deployment_raw[[#This Row],[Column5]] &lt;&gt; 0,$E$2 &lt;&gt; "Deployment"), MAX(J162, P162, R162, ($L$2 * IF($E$2="Deployment",deployment_raw[[#This Row],[Column5]],1)),IF(T162&lt;&gt;"",VALUE(T162) * IF($E$2="Deployment",deployment_raw[[#This Row],[Column5]],1),0)), 0),"")</f>
        <v/>
      </c>
      <c r="M162" s="125" t="str">
        <f>IF(ISNUMBER(deployment_raw[[#This Row],[Column9]]),IF(OR(deployment_raw[[#This Row],[Column5]] &lt;&gt; 0,$E$2&lt;&gt;"Deployment"), MAX(K162, Q162, S162, ($M$2 * IF($E$2="Deployment",deployment_raw[[#This Row],[Column5]],1)),IF(U162&lt;&gt;"",VALUE(U162) * IF($E$2="Deployment",deployment_raw[[#This Row],[Column5]],1),0)), 0),"")</f>
        <v/>
      </c>
      <c r="N162" s="166" t="str">
        <f>IF(ISNUMBER(deployment_raw[[#This Row],[Column14]]), deployment_raw[[#This Row],[Column14]]/IF(OR($E$2="Deployment",deployment_raw[[#This Row],[Column5]]=0),1,deployment_raw[[#This Row],[Column5]]),"")</f>
        <v/>
      </c>
      <c r="O162" s="167" t="str">
        <f>IF(ISNUMBER(deployment_raw[[#This Row],[Column15]]), deployment_raw[[#This Row],[Column15]]/IF(OR($E$2="Deployment",deployment_raw[[#This Row],[Column5]]=0),1,deployment_raw[[#This Row],[Column5]])/1048576,"")</f>
        <v/>
      </c>
      <c r="P162" s="168" t="str">
        <f>IF(ISNUMBER(deployment_raw[[#This Row],[Column12]]), (MIN(IF(N162&lt;&gt;"",N162,9999999999999)*1.1,deployment_raw[[#This Row],[Column12]] * IF($E$2="Deployment",deployment_raw[[#This Row],[Column5]],1))*(1+$P$2)),"")</f>
        <v/>
      </c>
      <c r="Q162" s="167" t="str">
        <f>IF(ISNUMBER(deployment_raw[[#This Row],[Column13]]), (MIN(IF(O162&lt;&gt;"",O162,9999999999999)*1.1,deployment_raw[[#This Row],[Column13]] * IF($E$2="Deployment",deployment_raw[[#This Row],[Column5]],1)*(1+$Q$2)/1048576)),"")</f>
        <v/>
      </c>
      <c r="R162" s="169" t="str">
        <f>IF(ISNUMBER(deployment_raw[[#This Row],[Column8]]), (H162  * IF(N162&lt;&gt;0,$R$2,1)),"")</f>
        <v/>
      </c>
      <c r="S162" s="170" t="str">
        <f>IF(ISNUMBER(deployment_raw[[#This Row],[Column8]]), (I162  * IF(O162&lt;&gt;0,$S$2,1)),"")</f>
        <v/>
      </c>
      <c r="T162" s="202" t="str">
        <f>IF(AND(A162&lt;&gt;"",_xlfn.IFNA(MATCH(A162,'dynamic resource application '!$A$2:$A$100, 0),0)&lt;&gt;0), H162/(IF($E$2="Deployment",E162,1)),"")</f>
        <v/>
      </c>
      <c r="U162" s="211" t="str">
        <f>IF(AND(A162&lt;&gt;"",_xlfn.IFNA(MATCH(A162,'dynamic resource application '!$A$2:$A$100, 0),0)&lt;&gt;0), I162/(IF($E$2="Deployment",E162,1)),"")</f>
        <v/>
      </c>
    </row>
    <row r="163" spans="1:21" ht="15.75" customHeight="1" x14ac:dyDescent="0.25">
      <c r="A163" s="35" t="str">
        <f>IF(ISNONTEXT(deployment_raw[[#This Row],[Column1]]), "", deployment_raw[[#This Row],[Column1]])</f>
        <v/>
      </c>
      <c r="B163" s="36" t="str">
        <f>IF(ISNONTEXT(deployment_raw[[#This Row],[Column2]]), "", deployment_raw[[#This Row],[Column2]])</f>
        <v/>
      </c>
      <c r="C163" s="36" t="str">
        <f>IF(ISNONTEXT(deployment_raw[[#This Row],[Column3]]), "", deployment_raw[[#This Row],[Column3]])</f>
        <v/>
      </c>
      <c r="D163" s="36" t="str">
        <f>IF(ISNONTEXT(deployment_raw[[#This Row],[Column4]]), "", deployment_raw[[#This Row],[Column4]])</f>
        <v/>
      </c>
      <c r="E163" s="37" t="str">
        <f>IF(ISNUMBER(deployment_raw[[#This Row],[Column5]]), deployment_raw[[#This Row],[Column5]],"")</f>
        <v/>
      </c>
      <c r="F163" s="94" t="str">
        <f>IF(ISNUMBER(deployment_raw[[#This Row],[Column6]]), (deployment_raw[[#This Row],[Column6]] * IF($E$2="Deployment",deployment_raw[[#This Row],[Column5]],1)),"")</f>
        <v/>
      </c>
      <c r="G163" s="95" t="str">
        <f>IF(ISNUMBER(deployment_raw[[#This Row],[Column7]]), (deployment_raw[[#This Row],[Column7]] * IF($E$2="Deployment",deployment_raw[[#This Row],[Column5]],1))/1048576,"")</f>
        <v/>
      </c>
      <c r="H163" s="95" t="str">
        <f>IF(ISNUMBER(deployment_raw[[#This Row],[Column8]]), (deployment_raw[[#This Row],[Column8]]  * IF($E$2="Deployment",deployment_raw[[#This Row],[Column5]],1)),"")</f>
        <v/>
      </c>
      <c r="I163" s="96" t="str">
        <f>IF(ISNUMBER(deployment_raw[[#This Row],[Column9]]), (deployment_raw[[#This Row],[Column9]] * IF($E$2="Deployment",deployment_raw[[#This Row],[Column5]],1))/1048576,"")</f>
        <v/>
      </c>
      <c r="J163" s="122" t="str">
        <f>IF(ISNUMBER(deployment_raw[[#This Row],[Column10]]), (MIN(IF(N163&lt;&gt;"",N163,9999999999999)*1.1,deployment_raw[[#This Row],[Column10]] * IF($E$2="Deployment",deployment_raw[[#This Row],[Column5]],1))),"")</f>
        <v/>
      </c>
      <c r="K163" s="123" t="str">
        <f>IF(ISNUMBER(deployment_raw[[#This Row],[Column11]]), (MIN(IF(O163&lt;&gt;"",O163,9999999999999)*1.1,deployment_raw[[#This Row],[Column11]] * IF($E$2="Deployment",deployment_raw[[#This Row],[Column5]],1)/1048576)),"")</f>
        <v/>
      </c>
      <c r="L163" s="124" t="str">
        <f>IF(ISNUMBER(deployment_raw[[#This Row],[Column8]]),IF(OR(deployment_raw[[#This Row],[Column5]] &lt;&gt; 0,$E$2 &lt;&gt; "Deployment"), MAX(J163, P163, R163, ($L$2 * IF($E$2="Deployment",deployment_raw[[#This Row],[Column5]],1)),IF(T163&lt;&gt;"",VALUE(T163) * IF($E$2="Deployment",deployment_raw[[#This Row],[Column5]],1),0)), 0),"")</f>
        <v/>
      </c>
      <c r="M163" s="125" t="str">
        <f>IF(ISNUMBER(deployment_raw[[#This Row],[Column9]]),IF(OR(deployment_raw[[#This Row],[Column5]] &lt;&gt; 0,$E$2&lt;&gt;"Deployment"), MAX(K163, Q163, S163, ($M$2 * IF($E$2="Deployment",deployment_raw[[#This Row],[Column5]],1)),IF(U163&lt;&gt;"",VALUE(U163) * IF($E$2="Deployment",deployment_raw[[#This Row],[Column5]],1),0)), 0),"")</f>
        <v/>
      </c>
      <c r="N163" s="166" t="str">
        <f>IF(ISNUMBER(deployment_raw[[#This Row],[Column14]]), deployment_raw[[#This Row],[Column14]]/IF(OR($E$2="Deployment",deployment_raw[[#This Row],[Column5]]=0),1,deployment_raw[[#This Row],[Column5]]),"")</f>
        <v/>
      </c>
      <c r="O163" s="167" t="str">
        <f>IF(ISNUMBER(deployment_raw[[#This Row],[Column15]]), deployment_raw[[#This Row],[Column15]]/IF(OR($E$2="Deployment",deployment_raw[[#This Row],[Column5]]=0),1,deployment_raw[[#This Row],[Column5]])/1048576,"")</f>
        <v/>
      </c>
      <c r="P163" s="168" t="str">
        <f>IF(ISNUMBER(deployment_raw[[#This Row],[Column12]]), (MIN(IF(N163&lt;&gt;"",N163,9999999999999)*1.1,deployment_raw[[#This Row],[Column12]] * IF($E$2="Deployment",deployment_raw[[#This Row],[Column5]],1))*(1+$P$2)),"")</f>
        <v/>
      </c>
      <c r="Q163" s="167" t="str">
        <f>IF(ISNUMBER(deployment_raw[[#This Row],[Column13]]), (MIN(IF(O163&lt;&gt;"",O163,9999999999999)*1.1,deployment_raw[[#This Row],[Column13]] * IF($E$2="Deployment",deployment_raw[[#This Row],[Column5]],1)*(1+$Q$2)/1048576)),"")</f>
        <v/>
      </c>
      <c r="R163" s="169" t="str">
        <f>IF(ISNUMBER(deployment_raw[[#This Row],[Column8]]), (H163  * IF(N163&lt;&gt;0,$R$2,1)),"")</f>
        <v/>
      </c>
      <c r="S163" s="170" t="str">
        <f>IF(ISNUMBER(deployment_raw[[#This Row],[Column8]]), (I163  * IF(O163&lt;&gt;0,$S$2,1)),"")</f>
        <v/>
      </c>
      <c r="T163" s="202" t="str">
        <f>IF(AND(A163&lt;&gt;"",_xlfn.IFNA(MATCH(A163,'dynamic resource application '!$A$2:$A$100, 0),0)&lt;&gt;0), H163/(IF($E$2="Deployment",E163,1)),"")</f>
        <v/>
      </c>
      <c r="U163" s="211" t="str">
        <f>IF(AND(A163&lt;&gt;"",_xlfn.IFNA(MATCH(A163,'dynamic resource application '!$A$2:$A$100, 0),0)&lt;&gt;0), I163/(IF($E$2="Deployment",E163,1)),"")</f>
        <v/>
      </c>
    </row>
    <row r="164" spans="1:21" ht="15.75" customHeight="1" x14ac:dyDescent="0.25">
      <c r="A164" s="35" t="str">
        <f>IF(ISNONTEXT(deployment_raw[[#This Row],[Column1]]), "", deployment_raw[[#This Row],[Column1]])</f>
        <v/>
      </c>
      <c r="B164" s="36" t="str">
        <f>IF(ISNONTEXT(deployment_raw[[#This Row],[Column2]]), "", deployment_raw[[#This Row],[Column2]])</f>
        <v/>
      </c>
      <c r="C164" s="36" t="str">
        <f>IF(ISNONTEXT(deployment_raw[[#This Row],[Column3]]), "", deployment_raw[[#This Row],[Column3]])</f>
        <v/>
      </c>
      <c r="D164" s="36" t="str">
        <f>IF(ISNONTEXT(deployment_raw[[#This Row],[Column4]]), "", deployment_raw[[#This Row],[Column4]])</f>
        <v/>
      </c>
      <c r="E164" s="37" t="str">
        <f>IF(ISNUMBER(deployment_raw[[#This Row],[Column5]]), deployment_raw[[#This Row],[Column5]],"")</f>
        <v/>
      </c>
      <c r="F164" s="94" t="str">
        <f>IF(ISNUMBER(deployment_raw[[#This Row],[Column6]]), (deployment_raw[[#This Row],[Column6]] * IF($E$2="Deployment",deployment_raw[[#This Row],[Column5]],1)),"")</f>
        <v/>
      </c>
      <c r="G164" s="95" t="str">
        <f>IF(ISNUMBER(deployment_raw[[#This Row],[Column7]]), (deployment_raw[[#This Row],[Column7]] * IF($E$2="Deployment",deployment_raw[[#This Row],[Column5]],1))/1048576,"")</f>
        <v/>
      </c>
      <c r="H164" s="95" t="str">
        <f>IF(ISNUMBER(deployment_raw[[#This Row],[Column8]]), (deployment_raw[[#This Row],[Column8]]  * IF($E$2="Deployment",deployment_raw[[#This Row],[Column5]],1)),"")</f>
        <v/>
      </c>
      <c r="I164" s="96" t="str">
        <f>IF(ISNUMBER(deployment_raw[[#This Row],[Column9]]), (deployment_raw[[#This Row],[Column9]] * IF($E$2="Deployment",deployment_raw[[#This Row],[Column5]],1))/1048576,"")</f>
        <v/>
      </c>
      <c r="J164" s="122" t="str">
        <f>IF(ISNUMBER(deployment_raw[[#This Row],[Column10]]), (MIN(IF(N164&lt;&gt;"",N164,9999999999999)*1.1,deployment_raw[[#This Row],[Column10]] * IF($E$2="Deployment",deployment_raw[[#This Row],[Column5]],1))),"")</f>
        <v/>
      </c>
      <c r="K164" s="123" t="str">
        <f>IF(ISNUMBER(deployment_raw[[#This Row],[Column11]]), (MIN(IF(O164&lt;&gt;"",O164,9999999999999)*1.1,deployment_raw[[#This Row],[Column11]] * IF($E$2="Deployment",deployment_raw[[#This Row],[Column5]],1)/1048576)),"")</f>
        <v/>
      </c>
      <c r="L164" s="124" t="str">
        <f>IF(ISNUMBER(deployment_raw[[#This Row],[Column8]]),IF(OR(deployment_raw[[#This Row],[Column5]] &lt;&gt; 0,$E$2 &lt;&gt; "Deployment"), MAX(J164, P164, R164, ($L$2 * IF($E$2="Deployment",deployment_raw[[#This Row],[Column5]],1)),IF(T164&lt;&gt;"",VALUE(T164) * IF($E$2="Deployment",deployment_raw[[#This Row],[Column5]],1),0)), 0),"")</f>
        <v/>
      </c>
      <c r="M164" s="125" t="str">
        <f>IF(ISNUMBER(deployment_raw[[#This Row],[Column9]]),IF(OR(deployment_raw[[#This Row],[Column5]] &lt;&gt; 0,$E$2&lt;&gt;"Deployment"), MAX(K164, Q164, S164, ($M$2 * IF($E$2="Deployment",deployment_raw[[#This Row],[Column5]],1)),IF(U164&lt;&gt;"",VALUE(U164) * IF($E$2="Deployment",deployment_raw[[#This Row],[Column5]],1),0)), 0),"")</f>
        <v/>
      </c>
      <c r="N164" s="166" t="str">
        <f>IF(ISNUMBER(deployment_raw[[#This Row],[Column14]]), deployment_raw[[#This Row],[Column14]]/IF(OR($E$2="Deployment",deployment_raw[[#This Row],[Column5]]=0),1,deployment_raw[[#This Row],[Column5]]),"")</f>
        <v/>
      </c>
      <c r="O164" s="167" t="str">
        <f>IF(ISNUMBER(deployment_raw[[#This Row],[Column15]]), deployment_raw[[#This Row],[Column15]]/IF(OR($E$2="Deployment",deployment_raw[[#This Row],[Column5]]=0),1,deployment_raw[[#This Row],[Column5]])/1048576,"")</f>
        <v/>
      </c>
      <c r="P164" s="168" t="str">
        <f>IF(ISNUMBER(deployment_raw[[#This Row],[Column12]]), (MIN(IF(N164&lt;&gt;"",N164,9999999999999)*1.1,deployment_raw[[#This Row],[Column12]] * IF($E$2="Deployment",deployment_raw[[#This Row],[Column5]],1))*(1+$P$2)),"")</f>
        <v/>
      </c>
      <c r="Q164" s="167" t="str">
        <f>IF(ISNUMBER(deployment_raw[[#This Row],[Column13]]), (MIN(IF(O164&lt;&gt;"",O164,9999999999999)*1.1,deployment_raw[[#This Row],[Column13]] * IF($E$2="Deployment",deployment_raw[[#This Row],[Column5]],1)*(1+$Q$2)/1048576)),"")</f>
        <v/>
      </c>
      <c r="R164" s="169" t="str">
        <f>IF(ISNUMBER(deployment_raw[[#This Row],[Column8]]), (H164  * IF(N164&lt;&gt;0,$R$2,1)),"")</f>
        <v/>
      </c>
      <c r="S164" s="170" t="str">
        <f>IF(ISNUMBER(deployment_raw[[#This Row],[Column8]]), (I164  * IF(O164&lt;&gt;0,$S$2,1)),"")</f>
        <v/>
      </c>
      <c r="T164" s="202" t="str">
        <f>IF(AND(A164&lt;&gt;"",_xlfn.IFNA(MATCH(A164,'dynamic resource application '!$A$2:$A$100, 0),0)&lt;&gt;0), H164/(IF($E$2="Deployment",E164,1)),"")</f>
        <v/>
      </c>
      <c r="U164" s="211" t="str">
        <f>IF(AND(A164&lt;&gt;"",_xlfn.IFNA(MATCH(A164,'dynamic resource application '!$A$2:$A$100, 0),0)&lt;&gt;0), I164/(IF($E$2="Deployment",E164,1)),"")</f>
        <v/>
      </c>
    </row>
    <row r="165" spans="1:21" ht="15.75" customHeight="1" x14ac:dyDescent="0.25">
      <c r="A165" s="35" t="str">
        <f>IF(ISNONTEXT(deployment_raw[[#This Row],[Column1]]), "", deployment_raw[[#This Row],[Column1]])</f>
        <v/>
      </c>
      <c r="B165" s="36" t="str">
        <f>IF(ISNONTEXT(deployment_raw[[#This Row],[Column2]]), "", deployment_raw[[#This Row],[Column2]])</f>
        <v/>
      </c>
      <c r="C165" s="36" t="str">
        <f>IF(ISNONTEXT(deployment_raw[[#This Row],[Column3]]), "", deployment_raw[[#This Row],[Column3]])</f>
        <v/>
      </c>
      <c r="D165" s="36" t="str">
        <f>IF(ISNONTEXT(deployment_raw[[#This Row],[Column4]]), "", deployment_raw[[#This Row],[Column4]])</f>
        <v/>
      </c>
      <c r="E165" s="37" t="str">
        <f>IF(ISNUMBER(deployment_raw[[#This Row],[Column5]]), deployment_raw[[#This Row],[Column5]],"")</f>
        <v/>
      </c>
      <c r="F165" s="94" t="str">
        <f>IF(ISNUMBER(deployment_raw[[#This Row],[Column6]]), (deployment_raw[[#This Row],[Column6]] * IF($E$2="Deployment",deployment_raw[[#This Row],[Column5]],1)),"")</f>
        <v/>
      </c>
      <c r="G165" s="95" t="str">
        <f>IF(ISNUMBER(deployment_raw[[#This Row],[Column7]]), (deployment_raw[[#This Row],[Column7]] * IF($E$2="Deployment",deployment_raw[[#This Row],[Column5]],1))/1048576,"")</f>
        <v/>
      </c>
      <c r="H165" s="95" t="str">
        <f>IF(ISNUMBER(deployment_raw[[#This Row],[Column8]]), (deployment_raw[[#This Row],[Column8]]  * IF($E$2="Deployment",deployment_raw[[#This Row],[Column5]],1)),"")</f>
        <v/>
      </c>
      <c r="I165" s="96" t="str">
        <f>IF(ISNUMBER(deployment_raw[[#This Row],[Column9]]), (deployment_raw[[#This Row],[Column9]] * IF($E$2="Deployment",deployment_raw[[#This Row],[Column5]],1))/1048576,"")</f>
        <v/>
      </c>
      <c r="J165" s="122" t="str">
        <f>IF(ISNUMBER(deployment_raw[[#This Row],[Column10]]), (MIN(IF(N165&lt;&gt;"",N165,9999999999999)*1.1,deployment_raw[[#This Row],[Column10]] * IF($E$2="Deployment",deployment_raw[[#This Row],[Column5]],1))),"")</f>
        <v/>
      </c>
      <c r="K165" s="123" t="str">
        <f>IF(ISNUMBER(deployment_raw[[#This Row],[Column11]]), (MIN(IF(O165&lt;&gt;"",O165,9999999999999)*1.1,deployment_raw[[#This Row],[Column11]] * IF($E$2="Deployment",deployment_raw[[#This Row],[Column5]],1)/1048576)),"")</f>
        <v/>
      </c>
      <c r="L165" s="124" t="str">
        <f>IF(ISNUMBER(deployment_raw[[#This Row],[Column8]]),IF(OR(deployment_raw[[#This Row],[Column5]] &lt;&gt; 0,$E$2 &lt;&gt; "Deployment"), MAX(J165, P165, R165, ($L$2 * IF($E$2="Deployment",deployment_raw[[#This Row],[Column5]],1)),IF(T165&lt;&gt;"",VALUE(T165) * IF($E$2="Deployment",deployment_raw[[#This Row],[Column5]],1),0)), 0),"")</f>
        <v/>
      </c>
      <c r="M165" s="125" t="str">
        <f>IF(ISNUMBER(deployment_raw[[#This Row],[Column9]]),IF(OR(deployment_raw[[#This Row],[Column5]] &lt;&gt; 0,$E$2&lt;&gt;"Deployment"), MAX(K165, Q165, S165, ($M$2 * IF($E$2="Deployment",deployment_raw[[#This Row],[Column5]],1)),IF(U165&lt;&gt;"",VALUE(U165) * IF($E$2="Deployment",deployment_raw[[#This Row],[Column5]],1),0)), 0),"")</f>
        <v/>
      </c>
      <c r="N165" s="166" t="str">
        <f>IF(ISNUMBER(deployment_raw[[#This Row],[Column14]]), deployment_raw[[#This Row],[Column14]]/IF(OR($E$2="Deployment",deployment_raw[[#This Row],[Column5]]=0),1,deployment_raw[[#This Row],[Column5]]),"")</f>
        <v/>
      </c>
      <c r="O165" s="167" t="str">
        <f>IF(ISNUMBER(deployment_raw[[#This Row],[Column15]]), deployment_raw[[#This Row],[Column15]]/IF(OR($E$2="Deployment",deployment_raw[[#This Row],[Column5]]=0),1,deployment_raw[[#This Row],[Column5]])/1048576,"")</f>
        <v/>
      </c>
      <c r="P165" s="168" t="str">
        <f>IF(ISNUMBER(deployment_raw[[#This Row],[Column12]]), (MIN(IF(N165&lt;&gt;"",N165,9999999999999)*1.1,deployment_raw[[#This Row],[Column12]] * IF($E$2="Deployment",deployment_raw[[#This Row],[Column5]],1))*(1+$P$2)),"")</f>
        <v/>
      </c>
      <c r="Q165" s="167" t="str">
        <f>IF(ISNUMBER(deployment_raw[[#This Row],[Column13]]), (MIN(IF(O165&lt;&gt;"",O165,9999999999999)*1.1,deployment_raw[[#This Row],[Column13]] * IF($E$2="Deployment",deployment_raw[[#This Row],[Column5]],1)*(1+$Q$2)/1048576)),"")</f>
        <v/>
      </c>
      <c r="R165" s="169" t="str">
        <f>IF(ISNUMBER(deployment_raw[[#This Row],[Column8]]), (H165  * IF(N165&lt;&gt;0,$R$2,1)),"")</f>
        <v/>
      </c>
      <c r="S165" s="170" t="str">
        <f>IF(ISNUMBER(deployment_raw[[#This Row],[Column8]]), (I165  * IF(O165&lt;&gt;0,$S$2,1)),"")</f>
        <v/>
      </c>
      <c r="T165" s="202" t="str">
        <f>IF(AND(A165&lt;&gt;"",_xlfn.IFNA(MATCH(A165,'dynamic resource application '!$A$2:$A$100, 0),0)&lt;&gt;0), H165/(IF($E$2="Deployment",E165,1)),"")</f>
        <v/>
      </c>
      <c r="U165" s="211" t="str">
        <f>IF(AND(A165&lt;&gt;"",_xlfn.IFNA(MATCH(A165,'dynamic resource application '!$A$2:$A$100, 0),0)&lt;&gt;0), I165/(IF($E$2="Deployment",E165,1)),"")</f>
        <v/>
      </c>
    </row>
    <row r="166" spans="1:21" ht="15.75" customHeight="1" x14ac:dyDescent="0.25">
      <c r="A166" s="35" t="str">
        <f>IF(ISNONTEXT(deployment_raw[[#This Row],[Column1]]), "", deployment_raw[[#This Row],[Column1]])</f>
        <v/>
      </c>
      <c r="B166" s="36" t="str">
        <f>IF(ISNONTEXT(deployment_raw[[#This Row],[Column2]]), "", deployment_raw[[#This Row],[Column2]])</f>
        <v/>
      </c>
      <c r="C166" s="36" t="str">
        <f>IF(ISNONTEXT(deployment_raw[[#This Row],[Column3]]), "", deployment_raw[[#This Row],[Column3]])</f>
        <v/>
      </c>
      <c r="D166" s="36" t="str">
        <f>IF(ISNONTEXT(deployment_raw[[#This Row],[Column4]]), "", deployment_raw[[#This Row],[Column4]])</f>
        <v/>
      </c>
      <c r="E166" s="37" t="str">
        <f>IF(ISNUMBER(deployment_raw[[#This Row],[Column5]]), deployment_raw[[#This Row],[Column5]],"")</f>
        <v/>
      </c>
      <c r="F166" s="94" t="str">
        <f>IF(ISNUMBER(deployment_raw[[#This Row],[Column6]]), (deployment_raw[[#This Row],[Column6]] * IF($E$2="Deployment",deployment_raw[[#This Row],[Column5]],1)),"")</f>
        <v/>
      </c>
      <c r="G166" s="95" t="str">
        <f>IF(ISNUMBER(deployment_raw[[#This Row],[Column7]]), (deployment_raw[[#This Row],[Column7]] * IF($E$2="Deployment",deployment_raw[[#This Row],[Column5]],1))/1048576,"")</f>
        <v/>
      </c>
      <c r="H166" s="95" t="str">
        <f>IF(ISNUMBER(deployment_raw[[#This Row],[Column8]]), (deployment_raw[[#This Row],[Column8]]  * IF($E$2="Deployment",deployment_raw[[#This Row],[Column5]],1)),"")</f>
        <v/>
      </c>
      <c r="I166" s="96" t="str">
        <f>IF(ISNUMBER(deployment_raw[[#This Row],[Column9]]), (deployment_raw[[#This Row],[Column9]] * IF($E$2="Deployment",deployment_raw[[#This Row],[Column5]],1))/1048576,"")</f>
        <v/>
      </c>
      <c r="J166" s="122" t="str">
        <f>IF(ISNUMBER(deployment_raw[[#This Row],[Column10]]), (MIN(IF(N166&lt;&gt;"",N166,9999999999999)*1.1,deployment_raw[[#This Row],[Column10]] * IF($E$2="Deployment",deployment_raw[[#This Row],[Column5]],1))),"")</f>
        <v/>
      </c>
      <c r="K166" s="123" t="str">
        <f>IF(ISNUMBER(deployment_raw[[#This Row],[Column11]]), (MIN(IF(O166&lt;&gt;"",O166,9999999999999)*1.1,deployment_raw[[#This Row],[Column11]] * IF($E$2="Deployment",deployment_raw[[#This Row],[Column5]],1)/1048576)),"")</f>
        <v/>
      </c>
      <c r="L166" s="124" t="str">
        <f>IF(ISNUMBER(deployment_raw[[#This Row],[Column8]]),IF(OR(deployment_raw[[#This Row],[Column5]] &lt;&gt; 0,$E$2 &lt;&gt; "Deployment"), MAX(J166, P166, R166, ($L$2 * IF($E$2="Deployment",deployment_raw[[#This Row],[Column5]],1)),IF(T166&lt;&gt;"",VALUE(T166) * IF($E$2="Deployment",deployment_raw[[#This Row],[Column5]],1),0)), 0),"")</f>
        <v/>
      </c>
      <c r="M166" s="125" t="str">
        <f>IF(ISNUMBER(deployment_raw[[#This Row],[Column9]]),IF(OR(deployment_raw[[#This Row],[Column5]] &lt;&gt; 0,$E$2&lt;&gt;"Deployment"), MAX(K166, Q166, S166, ($M$2 * IF($E$2="Deployment",deployment_raw[[#This Row],[Column5]],1)),IF(U166&lt;&gt;"",VALUE(U166) * IF($E$2="Deployment",deployment_raw[[#This Row],[Column5]],1),0)), 0),"")</f>
        <v/>
      </c>
      <c r="N166" s="166" t="str">
        <f>IF(ISNUMBER(deployment_raw[[#This Row],[Column14]]), deployment_raw[[#This Row],[Column14]]/IF(OR($E$2="Deployment",deployment_raw[[#This Row],[Column5]]=0),1,deployment_raw[[#This Row],[Column5]]),"")</f>
        <v/>
      </c>
      <c r="O166" s="167" t="str">
        <f>IF(ISNUMBER(deployment_raw[[#This Row],[Column15]]), deployment_raw[[#This Row],[Column15]]/IF(OR($E$2="Deployment",deployment_raw[[#This Row],[Column5]]=0),1,deployment_raw[[#This Row],[Column5]])/1048576,"")</f>
        <v/>
      </c>
      <c r="P166" s="168" t="str">
        <f>IF(ISNUMBER(deployment_raw[[#This Row],[Column12]]), (MIN(IF(N166&lt;&gt;"",N166,9999999999999)*1.1,deployment_raw[[#This Row],[Column12]] * IF($E$2="Deployment",deployment_raw[[#This Row],[Column5]],1))*(1+$P$2)),"")</f>
        <v/>
      </c>
      <c r="Q166" s="167" t="str">
        <f>IF(ISNUMBER(deployment_raw[[#This Row],[Column13]]), (MIN(IF(O166&lt;&gt;"",O166,9999999999999)*1.1,deployment_raw[[#This Row],[Column13]] * IF($E$2="Deployment",deployment_raw[[#This Row],[Column5]],1)*(1+$Q$2)/1048576)),"")</f>
        <v/>
      </c>
      <c r="R166" s="169" t="str">
        <f>IF(ISNUMBER(deployment_raw[[#This Row],[Column8]]), (H166  * IF(N166&lt;&gt;0,$R$2,1)),"")</f>
        <v/>
      </c>
      <c r="S166" s="170" t="str">
        <f>IF(ISNUMBER(deployment_raw[[#This Row],[Column8]]), (I166  * IF(O166&lt;&gt;0,$S$2,1)),"")</f>
        <v/>
      </c>
      <c r="T166" s="202" t="str">
        <f>IF(AND(A166&lt;&gt;"",_xlfn.IFNA(MATCH(A166,'dynamic resource application '!$A$2:$A$100, 0),0)&lt;&gt;0), H166/(IF($E$2="Deployment",E166,1)),"")</f>
        <v/>
      </c>
      <c r="U166" s="211" t="str">
        <f>IF(AND(A166&lt;&gt;"",_xlfn.IFNA(MATCH(A166,'dynamic resource application '!$A$2:$A$100, 0),0)&lt;&gt;0), I166/(IF($E$2="Deployment",E166,1)),"")</f>
        <v/>
      </c>
    </row>
    <row r="167" spans="1:21" ht="15.75" customHeight="1" x14ac:dyDescent="0.25">
      <c r="A167" s="35" t="str">
        <f>IF(ISNONTEXT(deployment_raw[[#This Row],[Column1]]), "", deployment_raw[[#This Row],[Column1]])</f>
        <v/>
      </c>
      <c r="B167" s="36" t="str">
        <f>IF(ISNONTEXT(deployment_raw[[#This Row],[Column2]]), "", deployment_raw[[#This Row],[Column2]])</f>
        <v/>
      </c>
      <c r="C167" s="36" t="str">
        <f>IF(ISNONTEXT(deployment_raw[[#This Row],[Column3]]), "", deployment_raw[[#This Row],[Column3]])</f>
        <v/>
      </c>
      <c r="D167" s="36" t="str">
        <f>IF(ISNONTEXT(deployment_raw[[#This Row],[Column4]]), "", deployment_raw[[#This Row],[Column4]])</f>
        <v/>
      </c>
      <c r="E167" s="37" t="str">
        <f>IF(ISNUMBER(deployment_raw[[#This Row],[Column5]]), deployment_raw[[#This Row],[Column5]],"")</f>
        <v/>
      </c>
      <c r="F167" s="94" t="str">
        <f>IF(ISNUMBER(deployment_raw[[#This Row],[Column6]]), (deployment_raw[[#This Row],[Column6]] * IF($E$2="Deployment",deployment_raw[[#This Row],[Column5]],1)),"")</f>
        <v/>
      </c>
      <c r="G167" s="95" t="str">
        <f>IF(ISNUMBER(deployment_raw[[#This Row],[Column7]]), (deployment_raw[[#This Row],[Column7]] * IF($E$2="Deployment",deployment_raw[[#This Row],[Column5]],1))/1048576,"")</f>
        <v/>
      </c>
      <c r="H167" s="95" t="str">
        <f>IF(ISNUMBER(deployment_raw[[#This Row],[Column8]]), (deployment_raw[[#This Row],[Column8]]  * IF($E$2="Deployment",deployment_raw[[#This Row],[Column5]],1)),"")</f>
        <v/>
      </c>
      <c r="I167" s="96" t="str">
        <f>IF(ISNUMBER(deployment_raw[[#This Row],[Column9]]), (deployment_raw[[#This Row],[Column9]] * IF($E$2="Deployment",deployment_raw[[#This Row],[Column5]],1))/1048576,"")</f>
        <v/>
      </c>
      <c r="J167" s="122" t="str">
        <f>IF(ISNUMBER(deployment_raw[[#This Row],[Column10]]), (MIN(IF(N167&lt;&gt;"",N167,9999999999999)*1.1,deployment_raw[[#This Row],[Column10]] * IF($E$2="Deployment",deployment_raw[[#This Row],[Column5]],1))),"")</f>
        <v/>
      </c>
      <c r="K167" s="123" t="str">
        <f>IF(ISNUMBER(deployment_raw[[#This Row],[Column11]]), (MIN(IF(O167&lt;&gt;"",O167,9999999999999)*1.1,deployment_raw[[#This Row],[Column11]] * IF($E$2="Deployment",deployment_raw[[#This Row],[Column5]],1)/1048576)),"")</f>
        <v/>
      </c>
      <c r="L167" s="124" t="str">
        <f>IF(ISNUMBER(deployment_raw[[#This Row],[Column8]]),IF(OR(deployment_raw[[#This Row],[Column5]] &lt;&gt; 0,$E$2 &lt;&gt; "Deployment"), MAX(J167, P167, R167, ($L$2 * IF($E$2="Deployment",deployment_raw[[#This Row],[Column5]],1)),IF(T167&lt;&gt;"",VALUE(T167) * IF($E$2="Deployment",deployment_raw[[#This Row],[Column5]],1),0)), 0),"")</f>
        <v/>
      </c>
      <c r="M167" s="125" t="str">
        <f>IF(ISNUMBER(deployment_raw[[#This Row],[Column9]]),IF(OR(deployment_raw[[#This Row],[Column5]] &lt;&gt; 0,$E$2&lt;&gt;"Deployment"), MAX(K167, Q167, S167, ($M$2 * IF($E$2="Deployment",deployment_raw[[#This Row],[Column5]],1)),IF(U167&lt;&gt;"",VALUE(U167) * IF($E$2="Deployment",deployment_raw[[#This Row],[Column5]],1),0)), 0),"")</f>
        <v/>
      </c>
      <c r="N167" s="166" t="str">
        <f>IF(ISNUMBER(deployment_raw[[#This Row],[Column14]]), deployment_raw[[#This Row],[Column14]]/IF(OR($E$2="Deployment",deployment_raw[[#This Row],[Column5]]=0),1,deployment_raw[[#This Row],[Column5]]),"")</f>
        <v/>
      </c>
      <c r="O167" s="167" t="str">
        <f>IF(ISNUMBER(deployment_raw[[#This Row],[Column15]]), deployment_raw[[#This Row],[Column15]]/IF(OR($E$2="Deployment",deployment_raw[[#This Row],[Column5]]=0),1,deployment_raw[[#This Row],[Column5]])/1048576,"")</f>
        <v/>
      </c>
      <c r="P167" s="168" t="str">
        <f>IF(ISNUMBER(deployment_raw[[#This Row],[Column12]]), (MIN(IF(N167&lt;&gt;"",N167,9999999999999)*1.1,deployment_raw[[#This Row],[Column12]] * IF($E$2="Deployment",deployment_raw[[#This Row],[Column5]],1))*(1+$P$2)),"")</f>
        <v/>
      </c>
      <c r="Q167" s="167" t="str">
        <f>IF(ISNUMBER(deployment_raw[[#This Row],[Column13]]), (MIN(IF(O167&lt;&gt;"",O167,9999999999999)*1.1,deployment_raw[[#This Row],[Column13]] * IF($E$2="Deployment",deployment_raw[[#This Row],[Column5]],1)*(1+$Q$2)/1048576)),"")</f>
        <v/>
      </c>
      <c r="R167" s="169" t="str">
        <f>IF(ISNUMBER(deployment_raw[[#This Row],[Column8]]), (H167  * IF(N167&lt;&gt;0,$R$2,1)),"")</f>
        <v/>
      </c>
      <c r="S167" s="170" t="str">
        <f>IF(ISNUMBER(deployment_raw[[#This Row],[Column8]]), (I167  * IF(O167&lt;&gt;0,$S$2,1)),"")</f>
        <v/>
      </c>
      <c r="T167" s="202" t="str">
        <f>IF(AND(A167&lt;&gt;"",_xlfn.IFNA(MATCH(A167,'dynamic resource application '!$A$2:$A$100, 0),0)&lt;&gt;0), H167/(IF($E$2="Deployment",E167,1)),"")</f>
        <v/>
      </c>
      <c r="U167" s="211" t="str">
        <f>IF(AND(A167&lt;&gt;"",_xlfn.IFNA(MATCH(A167,'dynamic resource application '!$A$2:$A$100, 0),0)&lt;&gt;0), I167/(IF($E$2="Deployment",E167,1)),"")</f>
        <v/>
      </c>
    </row>
    <row r="168" spans="1:21" ht="15.75" customHeight="1" x14ac:dyDescent="0.25">
      <c r="A168" s="35" t="str">
        <f>IF(ISNONTEXT(deployment_raw[[#This Row],[Column1]]), "", deployment_raw[[#This Row],[Column1]])</f>
        <v/>
      </c>
      <c r="B168" s="36" t="str">
        <f>IF(ISNONTEXT(deployment_raw[[#This Row],[Column2]]), "", deployment_raw[[#This Row],[Column2]])</f>
        <v/>
      </c>
      <c r="C168" s="36" t="str">
        <f>IF(ISNONTEXT(deployment_raw[[#This Row],[Column3]]), "", deployment_raw[[#This Row],[Column3]])</f>
        <v/>
      </c>
      <c r="D168" s="36" t="str">
        <f>IF(ISNONTEXT(deployment_raw[[#This Row],[Column4]]), "", deployment_raw[[#This Row],[Column4]])</f>
        <v/>
      </c>
      <c r="E168" s="37" t="str">
        <f>IF(ISNUMBER(deployment_raw[[#This Row],[Column5]]), deployment_raw[[#This Row],[Column5]],"")</f>
        <v/>
      </c>
      <c r="F168" s="94" t="str">
        <f>IF(ISNUMBER(deployment_raw[[#This Row],[Column6]]), (deployment_raw[[#This Row],[Column6]] * IF($E$2="Deployment",deployment_raw[[#This Row],[Column5]],1)),"")</f>
        <v/>
      </c>
      <c r="G168" s="95" t="str">
        <f>IF(ISNUMBER(deployment_raw[[#This Row],[Column7]]), (deployment_raw[[#This Row],[Column7]] * IF($E$2="Deployment",deployment_raw[[#This Row],[Column5]],1))/1048576,"")</f>
        <v/>
      </c>
      <c r="H168" s="95" t="str">
        <f>IF(ISNUMBER(deployment_raw[[#This Row],[Column8]]), (deployment_raw[[#This Row],[Column8]]  * IF($E$2="Deployment",deployment_raw[[#This Row],[Column5]],1)),"")</f>
        <v/>
      </c>
      <c r="I168" s="96" t="str">
        <f>IF(ISNUMBER(deployment_raw[[#This Row],[Column9]]), (deployment_raw[[#This Row],[Column9]] * IF($E$2="Deployment",deployment_raw[[#This Row],[Column5]],1))/1048576,"")</f>
        <v/>
      </c>
      <c r="J168" s="122" t="str">
        <f>IF(ISNUMBER(deployment_raw[[#This Row],[Column10]]), (MIN(IF(N168&lt;&gt;"",N168,9999999999999)*1.1,deployment_raw[[#This Row],[Column10]] * IF($E$2="Deployment",deployment_raw[[#This Row],[Column5]],1))),"")</f>
        <v/>
      </c>
      <c r="K168" s="123" t="str">
        <f>IF(ISNUMBER(deployment_raw[[#This Row],[Column11]]), (MIN(IF(O168&lt;&gt;"",O168,9999999999999)*1.1,deployment_raw[[#This Row],[Column11]] * IF($E$2="Deployment",deployment_raw[[#This Row],[Column5]],1)/1048576)),"")</f>
        <v/>
      </c>
      <c r="L168" s="124" t="str">
        <f>IF(ISNUMBER(deployment_raw[[#This Row],[Column8]]),IF(OR(deployment_raw[[#This Row],[Column5]] &lt;&gt; 0,$E$2 &lt;&gt; "Deployment"), MAX(J168, P168, R168, ($L$2 * IF($E$2="Deployment",deployment_raw[[#This Row],[Column5]],1)),IF(T168&lt;&gt;"",VALUE(T168) * IF($E$2="Deployment",deployment_raw[[#This Row],[Column5]],1),0)), 0),"")</f>
        <v/>
      </c>
      <c r="M168" s="125" t="str">
        <f>IF(ISNUMBER(deployment_raw[[#This Row],[Column9]]),IF(OR(deployment_raw[[#This Row],[Column5]] &lt;&gt; 0,$E$2&lt;&gt;"Deployment"), MAX(K168, Q168, S168, ($M$2 * IF($E$2="Deployment",deployment_raw[[#This Row],[Column5]],1)),IF(U168&lt;&gt;"",VALUE(U168) * IF($E$2="Deployment",deployment_raw[[#This Row],[Column5]],1),0)), 0),"")</f>
        <v/>
      </c>
      <c r="N168" s="166" t="str">
        <f>IF(ISNUMBER(deployment_raw[[#This Row],[Column14]]), deployment_raw[[#This Row],[Column14]]/IF(OR($E$2="Deployment",deployment_raw[[#This Row],[Column5]]=0),1,deployment_raw[[#This Row],[Column5]]),"")</f>
        <v/>
      </c>
      <c r="O168" s="167" t="str">
        <f>IF(ISNUMBER(deployment_raw[[#This Row],[Column15]]), deployment_raw[[#This Row],[Column15]]/IF(OR($E$2="Deployment",deployment_raw[[#This Row],[Column5]]=0),1,deployment_raw[[#This Row],[Column5]])/1048576,"")</f>
        <v/>
      </c>
      <c r="P168" s="168" t="str">
        <f>IF(ISNUMBER(deployment_raw[[#This Row],[Column12]]), (MIN(IF(N168&lt;&gt;"",N168,9999999999999)*1.1,deployment_raw[[#This Row],[Column12]] * IF($E$2="Deployment",deployment_raw[[#This Row],[Column5]],1))*(1+$P$2)),"")</f>
        <v/>
      </c>
      <c r="Q168" s="167" t="str">
        <f>IF(ISNUMBER(deployment_raw[[#This Row],[Column13]]), (MIN(IF(O168&lt;&gt;"",O168,9999999999999)*1.1,deployment_raw[[#This Row],[Column13]] * IF($E$2="Deployment",deployment_raw[[#This Row],[Column5]],1)*(1+$Q$2)/1048576)),"")</f>
        <v/>
      </c>
      <c r="R168" s="169" t="str">
        <f>IF(ISNUMBER(deployment_raw[[#This Row],[Column8]]), (H168  * IF(N168&lt;&gt;0,$R$2,1)),"")</f>
        <v/>
      </c>
      <c r="S168" s="170" t="str">
        <f>IF(ISNUMBER(deployment_raw[[#This Row],[Column8]]), (I168  * IF(O168&lt;&gt;0,$S$2,1)),"")</f>
        <v/>
      </c>
      <c r="T168" s="202" t="str">
        <f>IF(AND(A168&lt;&gt;"",_xlfn.IFNA(MATCH(A168,'dynamic resource application '!$A$2:$A$100, 0),0)&lt;&gt;0), H168/(IF($E$2="Deployment",E168,1)),"")</f>
        <v/>
      </c>
      <c r="U168" s="211" t="str">
        <f>IF(AND(A168&lt;&gt;"",_xlfn.IFNA(MATCH(A168,'dynamic resource application '!$A$2:$A$100, 0),0)&lt;&gt;0), I168/(IF($E$2="Deployment",E168,1)),"")</f>
        <v/>
      </c>
    </row>
    <row r="169" spans="1:21" ht="15.75" customHeight="1" x14ac:dyDescent="0.25">
      <c r="A169" s="35" t="str">
        <f>IF(ISNONTEXT(deployment_raw[[#This Row],[Column1]]), "", deployment_raw[[#This Row],[Column1]])</f>
        <v/>
      </c>
      <c r="B169" s="36" t="str">
        <f>IF(ISNONTEXT(deployment_raw[[#This Row],[Column2]]), "", deployment_raw[[#This Row],[Column2]])</f>
        <v/>
      </c>
      <c r="C169" s="36" t="str">
        <f>IF(ISNONTEXT(deployment_raw[[#This Row],[Column3]]), "", deployment_raw[[#This Row],[Column3]])</f>
        <v/>
      </c>
      <c r="D169" s="36" t="str">
        <f>IF(ISNONTEXT(deployment_raw[[#This Row],[Column4]]), "", deployment_raw[[#This Row],[Column4]])</f>
        <v/>
      </c>
      <c r="E169" s="37" t="str">
        <f>IF(ISNUMBER(deployment_raw[[#This Row],[Column5]]), deployment_raw[[#This Row],[Column5]],"")</f>
        <v/>
      </c>
      <c r="F169" s="94" t="str">
        <f>IF(ISNUMBER(deployment_raw[[#This Row],[Column6]]), (deployment_raw[[#This Row],[Column6]] * IF($E$2="Deployment",deployment_raw[[#This Row],[Column5]],1)),"")</f>
        <v/>
      </c>
      <c r="G169" s="95" t="str">
        <f>IF(ISNUMBER(deployment_raw[[#This Row],[Column7]]), (deployment_raw[[#This Row],[Column7]] * IF($E$2="Deployment",deployment_raw[[#This Row],[Column5]],1))/1048576,"")</f>
        <v/>
      </c>
      <c r="H169" s="95" t="str">
        <f>IF(ISNUMBER(deployment_raw[[#This Row],[Column8]]), (deployment_raw[[#This Row],[Column8]]  * IF($E$2="Deployment",deployment_raw[[#This Row],[Column5]],1)),"")</f>
        <v/>
      </c>
      <c r="I169" s="96" t="str">
        <f>IF(ISNUMBER(deployment_raw[[#This Row],[Column9]]), (deployment_raw[[#This Row],[Column9]] * IF($E$2="Deployment",deployment_raw[[#This Row],[Column5]],1))/1048576,"")</f>
        <v/>
      </c>
      <c r="J169" s="122" t="str">
        <f>IF(ISNUMBER(deployment_raw[[#This Row],[Column10]]), (MIN(IF(N169&lt;&gt;"",N169,9999999999999)*1.1,deployment_raw[[#This Row],[Column10]] * IF($E$2="Deployment",deployment_raw[[#This Row],[Column5]],1))),"")</f>
        <v/>
      </c>
      <c r="K169" s="123" t="str">
        <f>IF(ISNUMBER(deployment_raw[[#This Row],[Column11]]), (MIN(IF(O169&lt;&gt;"",O169,9999999999999)*1.1,deployment_raw[[#This Row],[Column11]] * IF($E$2="Deployment",deployment_raw[[#This Row],[Column5]],1)/1048576)),"")</f>
        <v/>
      </c>
      <c r="L169" s="124" t="str">
        <f>IF(ISNUMBER(deployment_raw[[#This Row],[Column8]]),IF(OR(deployment_raw[[#This Row],[Column5]] &lt;&gt; 0,$E$2 &lt;&gt; "Deployment"), MAX(J169, P169, R169, ($L$2 * IF($E$2="Deployment",deployment_raw[[#This Row],[Column5]],1)),IF(T169&lt;&gt;"",VALUE(T169) * IF($E$2="Deployment",deployment_raw[[#This Row],[Column5]],1),0)), 0),"")</f>
        <v/>
      </c>
      <c r="M169" s="125" t="str">
        <f>IF(ISNUMBER(deployment_raw[[#This Row],[Column9]]),IF(OR(deployment_raw[[#This Row],[Column5]] &lt;&gt; 0,$E$2&lt;&gt;"Deployment"), MAX(K169, Q169, S169, ($M$2 * IF($E$2="Deployment",deployment_raw[[#This Row],[Column5]],1)),IF(U169&lt;&gt;"",VALUE(U169) * IF($E$2="Deployment",deployment_raw[[#This Row],[Column5]],1),0)), 0),"")</f>
        <v/>
      </c>
      <c r="N169" s="166" t="str">
        <f>IF(ISNUMBER(deployment_raw[[#This Row],[Column14]]), deployment_raw[[#This Row],[Column14]]/IF(OR($E$2="Deployment",deployment_raw[[#This Row],[Column5]]=0),1,deployment_raw[[#This Row],[Column5]]),"")</f>
        <v/>
      </c>
      <c r="O169" s="167" t="str">
        <f>IF(ISNUMBER(deployment_raw[[#This Row],[Column15]]), deployment_raw[[#This Row],[Column15]]/IF(OR($E$2="Deployment",deployment_raw[[#This Row],[Column5]]=0),1,deployment_raw[[#This Row],[Column5]])/1048576,"")</f>
        <v/>
      </c>
      <c r="P169" s="168" t="str">
        <f>IF(ISNUMBER(deployment_raw[[#This Row],[Column12]]), (MIN(IF(N169&lt;&gt;"",N169,9999999999999)*1.1,deployment_raw[[#This Row],[Column12]] * IF($E$2="Deployment",deployment_raw[[#This Row],[Column5]],1))*(1+$P$2)),"")</f>
        <v/>
      </c>
      <c r="Q169" s="167" t="str">
        <f>IF(ISNUMBER(deployment_raw[[#This Row],[Column13]]), (MIN(IF(O169&lt;&gt;"",O169,9999999999999)*1.1,deployment_raw[[#This Row],[Column13]] * IF($E$2="Deployment",deployment_raw[[#This Row],[Column5]],1)*(1+$Q$2)/1048576)),"")</f>
        <v/>
      </c>
      <c r="R169" s="169" t="str">
        <f>IF(ISNUMBER(deployment_raw[[#This Row],[Column8]]), (H169  * IF(N169&lt;&gt;0,$R$2,1)),"")</f>
        <v/>
      </c>
      <c r="S169" s="170" t="str">
        <f>IF(ISNUMBER(deployment_raw[[#This Row],[Column8]]), (I169  * IF(O169&lt;&gt;0,$S$2,1)),"")</f>
        <v/>
      </c>
      <c r="T169" s="202" t="str">
        <f>IF(AND(A169&lt;&gt;"",_xlfn.IFNA(MATCH(A169,'dynamic resource application '!$A$2:$A$100, 0),0)&lt;&gt;0), H169/(IF($E$2="Deployment",E169,1)),"")</f>
        <v/>
      </c>
      <c r="U169" s="211" t="str">
        <f>IF(AND(A169&lt;&gt;"",_xlfn.IFNA(MATCH(A169,'dynamic resource application '!$A$2:$A$100, 0),0)&lt;&gt;0), I169/(IF($E$2="Deployment",E169,1)),"")</f>
        <v/>
      </c>
    </row>
    <row r="170" spans="1:21" ht="15.75" customHeight="1" x14ac:dyDescent="0.25">
      <c r="A170" s="35" t="str">
        <f>IF(ISNONTEXT(deployment_raw[[#This Row],[Column1]]), "", deployment_raw[[#This Row],[Column1]])</f>
        <v/>
      </c>
      <c r="B170" s="36" t="str">
        <f>IF(ISNONTEXT(deployment_raw[[#This Row],[Column2]]), "", deployment_raw[[#This Row],[Column2]])</f>
        <v/>
      </c>
      <c r="C170" s="36" t="str">
        <f>IF(ISNONTEXT(deployment_raw[[#This Row],[Column3]]), "", deployment_raw[[#This Row],[Column3]])</f>
        <v/>
      </c>
      <c r="D170" s="36" t="str">
        <f>IF(ISNONTEXT(deployment_raw[[#This Row],[Column4]]), "", deployment_raw[[#This Row],[Column4]])</f>
        <v/>
      </c>
      <c r="E170" s="37" t="str">
        <f>IF(ISNUMBER(deployment_raw[[#This Row],[Column5]]), deployment_raw[[#This Row],[Column5]],"")</f>
        <v/>
      </c>
      <c r="F170" s="94" t="str">
        <f>IF(ISNUMBER(deployment_raw[[#This Row],[Column6]]), (deployment_raw[[#This Row],[Column6]] * IF($E$2="Deployment",deployment_raw[[#This Row],[Column5]],1)),"")</f>
        <v/>
      </c>
      <c r="G170" s="95" t="str">
        <f>IF(ISNUMBER(deployment_raw[[#This Row],[Column7]]), (deployment_raw[[#This Row],[Column7]] * IF($E$2="Deployment",deployment_raw[[#This Row],[Column5]],1))/1048576,"")</f>
        <v/>
      </c>
      <c r="H170" s="95" t="str">
        <f>IF(ISNUMBER(deployment_raw[[#This Row],[Column8]]), (deployment_raw[[#This Row],[Column8]]  * IF($E$2="Deployment",deployment_raw[[#This Row],[Column5]],1)),"")</f>
        <v/>
      </c>
      <c r="I170" s="96" t="str">
        <f>IF(ISNUMBER(deployment_raw[[#This Row],[Column9]]), (deployment_raw[[#This Row],[Column9]] * IF($E$2="Deployment",deployment_raw[[#This Row],[Column5]],1))/1048576,"")</f>
        <v/>
      </c>
      <c r="J170" s="122" t="str">
        <f>IF(ISNUMBER(deployment_raw[[#This Row],[Column10]]), (MIN(IF(N170&lt;&gt;"",N170,9999999999999)*1.1,deployment_raw[[#This Row],[Column10]] * IF($E$2="Deployment",deployment_raw[[#This Row],[Column5]],1))),"")</f>
        <v/>
      </c>
      <c r="K170" s="123" t="str">
        <f>IF(ISNUMBER(deployment_raw[[#This Row],[Column11]]), (MIN(IF(O170&lt;&gt;"",O170,9999999999999)*1.1,deployment_raw[[#This Row],[Column11]] * IF($E$2="Deployment",deployment_raw[[#This Row],[Column5]],1)/1048576)),"")</f>
        <v/>
      </c>
      <c r="L170" s="124" t="str">
        <f>IF(ISNUMBER(deployment_raw[[#This Row],[Column8]]),IF(OR(deployment_raw[[#This Row],[Column5]] &lt;&gt; 0,$E$2 &lt;&gt; "Deployment"), MAX(J170, P170, R170, ($L$2 * IF($E$2="Deployment",deployment_raw[[#This Row],[Column5]],1)),IF(T170&lt;&gt;"",VALUE(T170) * IF($E$2="Deployment",deployment_raw[[#This Row],[Column5]],1),0)), 0),"")</f>
        <v/>
      </c>
      <c r="M170" s="125" t="str">
        <f>IF(ISNUMBER(deployment_raw[[#This Row],[Column9]]),IF(OR(deployment_raw[[#This Row],[Column5]] &lt;&gt; 0,$E$2&lt;&gt;"Deployment"), MAX(K170, Q170, S170, ($M$2 * IF($E$2="Deployment",deployment_raw[[#This Row],[Column5]],1)),IF(U170&lt;&gt;"",VALUE(U170) * IF($E$2="Deployment",deployment_raw[[#This Row],[Column5]],1),0)), 0),"")</f>
        <v/>
      </c>
      <c r="N170" s="166" t="str">
        <f>IF(ISNUMBER(deployment_raw[[#This Row],[Column14]]), deployment_raw[[#This Row],[Column14]]/IF(OR($E$2="Deployment",deployment_raw[[#This Row],[Column5]]=0),1,deployment_raw[[#This Row],[Column5]]),"")</f>
        <v/>
      </c>
      <c r="O170" s="167" t="str">
        <f>IF(ISNUMBER(deployment_raw[[#This Row],[Column15]]), deployment_raw[[#This Row],[Column15]]/IF(OR($E$2="Deployment",deployment_raw[[#This Row],[Column5]]=0),1,deployment_raw[[#This Row],[Column5]])/1048576,"")</f>
        <v/>
      </c>
      <c r="P170" s="168" t="str">
        <f>IF(ISNUMBER(deployment_raw[[#This Row],[Column12]]), (MIN(IF(N170&lt;&gt;"",N170,9999999999999)*1.1,deployment_raw[[#This Row],[Column12]] * IF($E$2="Deployment",deployment_raw[[#This Row],[Column5]],1))*(1+$P$2)),"")</f>
        <v/>
      </c>
      <c r="Q170" s="167" t="str">
        <f>IF(ISNUMBER(deployment_raw[[#This Row],[Column13]]), (MIN(IF(O170&lt;&gt;"",O170,9999999999999)*1.1,deployment_raw[[#This Row],[Column13]] * IF($E$2="Deployment",deployment_raw[[#This Row],[Column5]],1)*(1+$Q$2)/1048576)),"")</f>
        <v/>
      </c>
      <c r="R170" s="169" t="str">
        <f>IF(ISNUMBER(deployment_raw[[#This Row],[Column8]]), (H170  * IF(N170&lt;&gt;0,$R$2,1)),"")</f>
        <v/>
      </c>
      <c r="S170" s="170" t="str">
        <f>IF(ISNUMBER(deployment_raw[[#This Row],[Column8]]), (I170  * IF(O170&lt;&gt;0,$S$2,1)),"")</f>
        <v/>
      </c>
      <c r="T170" s="202" t="str">
        <f>IF(AND(A170&lt;&gt;"",_xlfn.IFNA(MATCH(A170,'dynamic resource application '!$A$2:$A$100, 0),0)&lt;&gt;0), H170/(IF($E$2="Deployment",E170,1)),"")</f>
        <v/>
      </c>
      <c r="U170" s="211" t="str">
        <f>IF(AND(A170&lt;&gt;"",_xlfn.IFNA(MATCH(A170,'dynamic resource application '!$A$2:$A$100, 0),0)&lt;&gt;0), I170/(IF($E$2="Deployment",E170,1)),"")</f>
        <v/>
      </c>
    </row>
    <row r="171" spans="1:21" ht="15.75" customHeight="1" x14ac:dyDescent="0.25">
      <c r="A171" s="35" t="str">
        <f>IF(ISNONTEXT(deployment_raw[[#This Row],[Column1]]), "", deployment_raw[[#This Row],[Column1]])</f>
        <v/>
      </c>
      <c r="B171" s="36" t="str">
        <f>IF(ISNONTEXT(deployment_raw[[#This Row],[Column2]]), "", deployment_raw[[#This Row],[Column2]])</f>
        <v/>
      </c>
      <c r="C171" s="36" t="str">
        <f>IF(ISNONTEXT(deployment_raw[[#This Row],[Column3]]), "", deployment_raw[[#This Row],[Column3]])</f>
        <v/>
      </c>
      <c r="D171" s="36" t="str">
        <f>IF(ISNONTEXT(deployment_raw[[#This Row],[Column4]]), "", deployment_raw[[#This Row],[Column4]])</f>
        <v/>
      </c>
      <c r="E171" s="37" t="str">
        <f>IF(ISNUMBER(deployment_raw[[#This Row],[Column5]]), deployment_raw[[#This Row],[Column5]],"")</f>
        <v/>
      </c>
      <c r="F171" s="94" t="str">
        <f>IF(ISNUMBER(deployment_raw[[#This Row],[Column6]]), (deployment_raw[[#This Row],[Column6]] * IF($E$2="Deployment",deployment_raw[[#This Row],[Column5]],1)),"")</f>
        <v/>
      </c>
      <c r="G171" s="95" t="str">
        <f>IF(ISNUMBER(deployment_raw[[#This Row],[Column7]]), (deployment_raw[[#This Row],[Column7]] * IF($E$2="Deployment",deployment_raw[[#This Row],[Column5]],1))/1048576,"")</f>
        <v/>
      </c>
      <c r="H171" s="95" t="str">
        <f>IF(ISNUMBER(deployment_raw[[#This Row],[Column8]]), (deployment_raw[[#This Row],[Column8]]  * IF($E$2="Deployment",deployment_raw[[#This Row],[Column5]],1)),"")</f>
        <v/>
      </c>
      <c r="I171" s="96" t="str">
        <f>IF(ISNUMBER(deployment_raw[[#This Row],[Column9]]), (deployment_raw[[#This Row],[Column9]] * IF($E$2="Deployment",deployment_raw[[#This Row],[Column5]],1))/1048576,"")</f>
        <v/>
      </c>
      <c r="J171" s="122" t="str">
        <f>IF(ISNUMBER(deployment_raw[[#This Row],[Column10]]), (MIN(IF(N171&lt;&gt;"",N171,9999999999999)*1.1,deployment_raw[[#This Row],[Column10]] * IF($E$2="Deployment",deployment_raw[[#This Row],[Column5]],1))),"")</f>
        <v/>
      </c>
      <c r="K171" s="123" t="str">
        <f>IF(ISNUMBER(deployment_raw[[#This Row],[Column11]]), (MIN(IF(O171&lt;&gt;"",O171,9999999999999)*1.1,deployment_raw[[#This Row],[Column11]] * IF($E$2="Deployment",deployment_raw[[#This Row],[Column5]],1)/1048576)),"")</f>
        <v/>
      </c>
      <c r="L171" s="124" t="str">
        <f>IF(ISNUMBER(deployment_raw[[#This Row],[Column8]]),IF(OR(deployment_raw[[#This Row],[Column5]] &lt;&gt; 0,$E$2 &lt;&gt; "Deployment"), MAX(J171, P171, R171, ($L$2 * IF($E$2="Deployment",deployment_raw[[#This Row],[Column5]],1)),IF(T171&lt;&gt;"",VALUE(T171) * IF($E$2="Deployment",deployment_raw[[#This Row],[Column5]],1),0)), 0),"")</f>
        <v/>
      </c>
      <c r="M171" s="125" t="str">
        <f>IF(ISNUMBER(deployment_raw[[#This Row],[Column9]]),IF(OR(deployment_raw[[#This Row],[Column5]] &lt;&gt; 0,$E$2&lt;&gt;"Deployment"), MAX(K171, Q171, S171, ($M$2 * IF($E$2="Deployment",deployment_raw[[#This Row],[Column5]],1)),IF(U171&lt;&gt;"",VALUE(U171) * IF($E$2="Deployment",deployment_raw[[#This Row],[Column5]],1),0)), 0),"")</f>
        <v/>
      </c>
      <c r="N171" s="166" t="str">
        <f>IF(ISNUMBER(deployment_raw[[#This Row],[Column14]]), deployment_raw[[#This Row],[Column14]]/IF(OR($E$2="Deployment",deployment_raw[[#This Row],[Column5]]=0),1,deployment_raw[[#This Row],[Column5]]),"")</f>
        <v/>
      </c>
      <c r="O171" s="167" t="str">
        <f>IF(ISNUMBER(deployment_raw[[#This Row],[Column15]]), deployment_raw[[#This Row],[Column15]]/IF(OR($E$2="Deployment",deployment_raw[[#This Row],[Column5]]=0),1,deployment_raw[[#This Row],[Column5]])/1048576,"")</f>
        <v/>
      </c>
      <c r="P171" s="168" t="str">
        <f>IF(ISNUMBER(deployment_raw[[#This Row],[Column12]]), (MIN(IF(N171&lt;&gt;"",N171,9999999999999)*1.1,deployment_raw[[#This Row],[Column12]] * IF($E$2="Deployment",deployment_raw[[#This Row],[Column5]],1))*(1+$P$2)),"")</f>
        <v/>
      </c>
      <c r="Q171" s="167" t="str">
        <f>IF(ISNUMBER(deployment_raw[[#This Row],[Column13]]), (MIN(IF(O171&lt;&gt;"",O171,9999999999999)*1.1,deployment_raw[[#This Row],[Column13]] * IF($E$2="Deployment",deployment_raw[[#This Row],[Column5]],1)*(1+$Q$2)/1048576)),"")</f>
        <v/>
      </c>
      <c r="R171" s="169" t="str">
        <f>IF(ISNUMBER(deployment_raw[[#This Row],[Column8]]), (H171  * IF(N171&lt;&gt;0,$R$2,1)),"")</f>
        <v/>
      </c>
      <c r="S171" s="170" t="str">
        <f>IF(ISNUMBER(deployment_raw[[#This Row],[Column8]]), (I171  * IF(O171&lt;&gt;0,$S$2,1)),"")</f>
        <v/>
      </c>
      <c r="T171" s="202" t="str">
        <f>IF(AND(A171&lt;&gt;"",_xlfn.IFNA(MATCH(A171,'dynamic resource application '!$A$2:$A$100, 0),0)&lt;&gt;0), H171/(IF($E$2="Deployment",E171,1)),"")</f>
        <v/>
      </c>
      <c r="U171" s="211" t="str">
        <f>IF(AND(A171&lt;&gt;"",_xlfn.IFNA(MATCH(A171,'dynamic resource application '!$A$2:$A$100, 0),0)&lt;&gt;0), I171/(IF($E$2="Deployment",E171,1)),"")</f>
        <v/>
      </c>
    </row>
    <row r="172" spans="1:21" ht="15.75" customHeight="1" x14ac:dyDescent="0.25">
      <c r="A172" s="35" t="str">
        <f>IF(ISNONTEXT(deployment_raw[[#This Row],[Column1]]), "", deployment_raw[[#This Row],[Column1]])</f>
        <v/>
      </c>
      <c r="B172" s="36" t="str">
        <f>IF(ISNONTEXT(deployment_raw[[#This Row],[Column2]]), "", deployment_raw[[#This Row],[Column2]])</f>
        <v/>
      </c>
      <c r="C172" s="36" t="str">
        <f>IF(ISNONTEXT(deployment_raw[[#This Row],[Column3]]), "", deployment_raw[[#This Row],[Column3]])</f>
        <v/>
      </c>
      <c r="D172" s="36" t="str">
        <f>IF(ISNONTEXT(deployment_raw[[#This Row],[Column4]]), "", deployment_raw[[#This Row],[Column4]])</f>
        <v/>
      </c>
      <c r="E172" s="37" t="str">
        <f>IF(ISNUMBER(deployment_raw[[#This Row],[Column5]]), deployment_raw[[#This Row],[Column5]],"")</f>
        <v/>
      </c>
      <c r="F172" s="94" t="str">
        <f>IF(ISNUMBER(deployment_raw[[#This Row],[Column6]]), (deployment_raw[[#This Row],[Column6]] * IF($E$2="Deployment",deployment_raw[[#This Row],[Column5]],1)),"")</f>
        <v/>
      </c>
      <c r="G172" s="95" t="str">
        <f>IF(ISNUMBER(deployment_raw[[#This Row],[Column7]]), (deployment_raw[[#This Row],[Column7]] * IF($E$2="Deployment",deployment_raw[[#This Row],[Column5]],1))/1048576,"")</f>
        <v/>
      </c>
      <c r="H172" s="95" t="str">
        <f>IF(ISNUMBER(deployment_raw[[#This Row],[Column8]]), (deployment_raw[[#This Row],[Column8]]  * IF($E$2="Deployment",deployment_raw[[#This Row],[Column5]],1)),"")</f>
        <v/>
      </c>
      <c r="I172" s="96" t="str">
        <f>IF(ISNUMBER(deployment_raw[[#This Row],[Column9]]), (deployment_raw[[#This Row],[Column9]] * IF($E$2="Deployment",deployment_raw[[#This Row],[Column5]],1))/1048576,"")</f>
        <v/>
      </c>
      <c r="J172" s="122" t="str">
        <f>IF(ISNUMBER(deployment_raw[[#This Row],[Column10]]), (MIN(IF(N172&lt;&gt;"",N172,9999999999999)*1.1,deployment_raw[[#This Row],[Column10]] * IF($E$2="Deployment",deployment_raw[[#This Row],[Column5]],1))),"")</f>
        <v/>
      </c>
      <c r="K172" s="123" t="str">
        <f>IF(ISNUMBER(deployment_raw[[#This Row],[Column11]]), (MIN(IF(O172&lt;&gt;"",O172,9999999999999)*1.1,deployment_raw[[#This Row],[Column11]] * IF($E$2="Deployment",deployment_raw[[#This Row],[Column5]],1)/1048576)),"")</f>
        <v/>
      </c>
      <c r="L172" s="124" t="str">
        <f>IF(ISNUMBER(deployment_raw[[#This Row],[Column8]]),IF(OR(deployment_raw[[#This Row],[Column5]] &lt;&gt; 0,$E$2 &lt;&gt; "Deployment"), MAX(J172, P172, R172, ($L$2 * IF($E$2="Deployment",deployment_raw[[#This Row],[Column5]],1)),IF(T172&lt;&gt;"",VALUE(T172) * IF($E$2="Deployment",deployment_raw[[#This Row],[Column5]],1),0)), 0),"")</f>
        <v/>
      </c>
      <c r="M172" s="125" t="str">
        <f>IF(ISNUMBER(deployment_raw[[#This Row],[Column9]]),IF(OR(deployment_raw[[#This Row],[Column5]] &lt;&gt; 0,$E$2&lt;&gt;"Deployment"), MAX(K172, Q172, S172, ($M$2 * IF($E$2="Deployment",deployment_raw[[#This Row],[Column5]],1)),IF(U172&lt;&gt;"",VALUE(U172) * IF($E$2="Deployment",deployment_raw[[#This Row],[Column5]],1),0)), 0),"")</f>
        <v/>
      </c>
      <c r="N172" s="166" t="str">
        <f>IF(ISNUMBER(deployment_raw[[#This Row],[Column14]]), deployment_raw[[#This Row],[Column14]]/IF(OR($E$2="Deployment",deployment_raw[[#This Row],[Column5]]=0),1,deployment_raw[[#This Row],[Column5]]),"")</f>
        <v/>
      </c>
      <c r="O172" s="167" t="str">
        <f>IF(ISNUMBER(deployment_raw[[#This Row],[Column15]]), deployment_raw[[#This Row],[Column15]]/IF(OR($E$2="Deployment",deployment_raw[[#This Row],[Column5]]=0),1,deployment_raw[[#This Row],[Column5]])/1048576,"")</f>
        <v/>
      </c>
      <c r="P172" s="168" t="str">
        <f>IF(ISNUMBER(deployment_raw[[#This Row],[Column12]]), (MIN(IF(N172&lt;&gt;"",N172,9999999999999)*1.1,deployment_raw[[#This Row],[Column12]] * IF($E$2="Deployment",deployment_raw[[#This Row],[Column5]],1))*(1+$P$2)),"")</f>
        <v/>
      </c>
      <c r="Q172" s="167" t="str">
        <f>IF(ISNUMBER(deployment_raw[[#This Row],[Column13]]), (MIN(IF(O172&lt;&gt;"",O172,9999999999999)*1.1,deployment_raw[[#This Row],[Column13]] * IF($E$2="Deployment",deployment_raw[[#This Row],[Column5]],1)*(1+$Q$2)/1048576)),"")</f>
        <v/>
      </c>
      <c r="R172" s="169" t="str">
        <f>IF(ISNUMBER(deployment_raw[[#This Row],[Column8]]), (H172  * IF(N172&lt;&gt;0,$R$2,1)),"")</f>
        <v/>
      </c>
      <c r="S172" s="170" t="str">
        <f>IF(ISNUMBER(deployment_raw[[#This Row],[Column8]]), (I172  * IF(O172&lt;&gt;0,$S$2,1)),"")</f>
        <v/>
      </c>
      <c r="T172" s="202" t="str">
        <f>IF(AND(A172&lt;&gt;"",_xlfn.IFNA(MATCH(A172,'dynamic resource application '!$A$2:$A$100, 0),0)&lt;&gt;0), H172/(IF($E$2="Deployment",E172,1)),"")</f>
        <v/>
      </c>
      <c r="U172" s="211" t="str">
        <f>IF(AND(A172&lt;&gt;"",_xlfn.IFNA(MATCH(A172,'dynamic resource application '!$A$2:$A$100, 0),0)&lt;&gt;0), I172/(IF($E$2="Deployment",E172,1)),"")</f>
        <v/>
      </c>
    </row>
    <row r="173" spans="1:21" ht="15.75" customHeight="1" x14ac:dyDescent="0.25">
      <c r="A173" s="35" t="str">
        <f>IF(ISNONTEXT(deployment_raw[[#This Row],[Column1]]), "", deployment_raw[[#This Row],[Column1]])</f>
        <v/>
      </c>
      <c r="B173" s="36" t="str">
        <f>IF(ISNONTEXT(deployment_raw[[#This Row],[Column2]]), "", deployment_raw[[#This Row],[Column2]])</f>
        <v/>
      </c>
      <c r="C173" s="36" t="str">
        <f>IF(ISNONTEXT(deployment_raw[[#This Row],[Column3]]), "", deployment_raw[[#This Row],[Column3]])</f>
        <v/>
      </c>
      <c r="D173" s="36" t="str">
        <f>IF(ISNONTEXT(deployment_raw[[#This Row],[Column4]]), "", deployment_raw[[#This Row],[Column4]])</f>
        <v/>
      </c>
      <c r="E173" s="37" t="str">
        <f>IF(ISNUMBER(deployment_raw[[#This Row],[Column5]]), deployment_raw[[#This Row],[Column5]],"")</f>
        <v/>
      </c>
      <c r="F173" s="94" t="str">
        <f>IF(ISNUMBER(deployment_raw[[#This Row],[Column6]]), (deployment_raw[[#This Row],[Column6]] * IF($E$2="Deployment",deployment_raw[[#This Row],[Column5]],1)),"")</f>
        <v/>
      </c>
      <c r="G173" s="95" t="str">
        <f>IF(ISNUMBER(deployment_raw[[#This Row],[Column7]]), (deployment_raw[[#This Row],[Column7]] * IF($E$2="Deployment",deployment_raw[[#This Row],[Column5]],1))/1048576,"")</f>
        <v/>
      </c>
      <c r="H173" s="95" t="str">
        <f>IF(ISNUMBER(deployment_raw[[#This Row],[Column8]]), (deployment_raw[[#This Row],[Column8]]  * IF($E$2="Deployment",deployment_raw[[#This Row],[Column5]],1)),"")</f>
        <v/>
      </c>
      <c r="I173" s="96" t="str">
        <f>IF(ISNUMBER(deployment_raw[[#This Row],[Column9]]), (deployment_raw[[#This Row],[Column9]] * IF($E$2="Deployment",deployment_raw[[#This Row],[Column5]],1))/1048576,"")</f>
        <v/>
      </c>
      <c r="J173" s="122" t="str">
        <f>IF(ISNUMBER(deployment_raw[[#This Row],[Column10]]), (MIN(IF(N173&lt;&gt;"",N173,9999999999999)*1.1,deployment_raw[[#This Row],[Column10]] * IF($E$2="Deployment",deployment_raw[[#This Row],[Column5]],1))),"")</f>
        <v/>
      </c>
      <c r="K173" s="123" t="str">
        <f>IF(ISNUMBER(deployment_raw[[#This Row],[Column11]]), (MIN(IF(O173&lt;&gt;"",O173,9999999999999)*1.1,deployment_raw[[#This Row],[Column11]] * IF($E$2="Deployment",deployment_raw[[#This Row],[Column5]],1)/1048576)),"")</f>
        <v/>
      </c>
      <c r="L173" s="124" t="str">
        <f>IF(ISNUMBER(deployment_raw[[#This Row],[Column8]]),IF(OR(deployment_raw[[#This Row],[Column5]] &lt;&gt; 0,$E$2 &lt;&gt; "Deployment"), MAX(J173, P173, R173, ($L$2 * IF($E$2="Deployment",deployment_raw[[#This Row],[Column5]],1)),IF(T173&lt;&gt;"",VALUE(T173) * IF($E$2="Deployment",deployment_raw[[#This Row],[Column5]],1),0)), 0),"")</f>
        <v/>
      </c>
      <c r="M173" s="125" t="str">
        <f>IF(ISNUMBER(deployment_raw[[#This Row],[Column9]]),IF(OR(deployment_raw[[#This Row],[Column5]] &lt;&gt; 0,$E$2&lt;&gt;"Deployment"), MAX(K173, Q173, S173, ($M$2 * IF($E$2="Deployment",deployment_raw[[#This Row],[Column5]],1)),IF(U173&lt;&gt;"",VALUE(U173) * IF($E$2="Deployment",deployment_raw[[#This Row],[Column5]],1),0)), 0),"")</f>
        <v/>
      </c>
      <c r="N173" s="166" t="str">
        <f>IF(ISNUMBER(deployment_raw[[#This Row],[Column14]]), deployment_raw[[#This Row],[Column14]]/IF(OR($E$2="Deployment",deployment_raw[[#This Row],[Column5]]=0),1,deployment_raw[[#This Row],[Column5]]),"")</f>
        <v/>
      </c>
      <c r="O173" s="167" t="str">
        <f>IF(ISNUMBER(deployment_raw[[#This Row],[Column15]]), deployment_raw[[#This Row],[Column15]]/IF(OR($E$2="Deployment",deployment_raw[[#This Row],[Column5]]=0),1,deployment_raw[[#This Row],[Column5]])/1048576,"")</f>
        <v/>
      </c>
      <c r="P173" s="168" t="str">
        <f>IF(ISNUMBER(deployment_raw[[#This Row],[Column12]]), (MIN(IF(N173&lt;&gt;"",N173,9999999999999)*1.1,deployment_raw[[#This Row],[Column12]] * IF($E$2="Deployment",deployment_raw[[#This Row],[Column5]],1))*(1+$P$2)),"")</f>
        <v/>
      </c>
      <c r="Q173" s="167" t="str">
        <f>IF(ISNUMBER(deployment_raw[[#This Row],[Column13]]), (MIN(IF(O173&lt;&gt;"",O173,9999999999999)*1.1,deployment_raw[[#This Row],[Column13]] * IF($E$2="Deployment",deployment_raw[[#This Row],[Column5]],1)*(1+$Q$2)/1048576)),"")</f>
        <v/>
      </c>
      <c r="R173" s="169" t="str">
        <f>IF(ISNUMBER(deployment_raw[[#This Row],[Column8]]), (H173  * IF(N173&lt;&gt;0,$R$2,1)),"")</f>
        <v/>
      </c>
      <c r="S173" s="170" t="str">
        <f>IF(ISNUMBER(deployment_raw[[#This Row],[Column8]]), (I173  * IF(O173&lt;&gt;0,$S$2,1)),"")</f>
        <v/>
      </c>
      <c r="T173" s="202" t="str">
        <f>IF(AND(A173&lt;&gt;"",_xlfn.IFNA(MATCH(A173,'dynamic resource application '!$A$2:$A$100, 0),0)&lt;&gt;0), H173/(IF($E$2="Deployment",E173,1)),"")</f>
        <v/>
      </c>
      <c r="U173" s="211" t="str">
        <f>IF(AND(A173&lt;&gt;"",_xlfn.IFNA(MATCH(A173,'dynamic resource application '!$A$2:$A$100, 0),0)&lt;&gt;0), I173/(IF($E$2="Deployment",E173,1)),"")</f>
        <v/>
      </c>
    </row>
    <row r="174" spans="1:21" ht="15.75" customHeight="1" x14ac:dyDescent="0.25">
      <c r="A174" s="35" t="str">
        <f>IF(ISNONTEXT(deployment_raw[[#This Row],[Column1]]), "", deployment_raw[[#This Row],[Column1]])</f>
        <v/>
      </c>
      <c r="B174" s="36" t="str">
        <f>IF(ISNONTEXT(deployment_raw[[#This Row],[Column2]]), "", deployment_raw[[#This Row],[Column2]])</f>
        <v/>
      </c>
      <c r="C174" s="36" t="str">
        <f>IF(ISNONTEXT(deployment_raw[[#This Row],[Column3]]), "", deployment_raw[[#This Row],[Column3]])</f>
        <v/>
      </c>
      <c r="D174" s="36" t="str">
        <f>IF(ISNONTEXT(deployment_raw[[#This Row],[Column4]]), "", deployment_raw[[#This Row],[Column4]])</f>
        <v/>
      </c>
      <c r="E174" s="37" t="str">
        <f>IF(ISNUMBER(deployment_raw[[#This Row],[Column5]]), deployment_raw[[#This Row],[Column5]],"")</f>
        <v/>
      </c>
      <c r="F174" s="94" t="str">
        <f>IF(ISNUMBER(deployment_raw[[#This Row],[Column6]]), (deployment_raw[[#This Row],[Column6]] * IF($E$2="Deployment",deployment_raw[[#This Row],[Column5]],1)),"")</f>
        <v/>
      </c>
      <c r="G174" s="95" t="str">
        <f>IF(ISNUMBER(deployment_raw[[#This Row],[Column7]]), (deployment_raw[[#This Row],[Column7]] * IF($E$2="Deployment",deployment_raw[[#This Row],[Column5]],1))/1048576,"")</f>
        <v/>
      </c>
      <c r="H174" s="95" t="str">
        <f>IF(ISNUMBER(deployment_raw[[#This Row],[Column8]]), (deployment_raw[[#This Row],[Column8]]  * IF($E$2="Deployment",deployment_raw[[#This Row],[Column5]],1)),"")</f>
        <v/>
      </c>
      <c r="I174" s="96" t="str">
        <f>IF(ISNUMBER(deployment_raw[[#This Row],[Column9]]), (deployment_raw[[#This Row],[Column9]] * IF($E$2="Deployment",deployment_raw[[#This Row],[Column5]],1))/1048576,"")</f>
        <v/>
      </c>
      <c r="J174" s="122" t="str">
        <f>IF(ISNUMBER(deployment_raw[[#This Row],[Column10]]), (MIN(IF(N174&lt;&gt;"",N174,9999999999999)*1.1,deployment_raw[[#This Row],[Column10]] * IF($E$2="Deployment",deployment_raw[[#This Row],[Column5]],1))),"")</f>
        <v/>
      </c>
      <c r="K174" s="123" t="str">
        <f>IF(ISNUMBER(deployment_raw[[#This Row],[Column11]]), (MIN(IF(O174&lt;&gt;"",O174,9999999999999)*1.1,deployment_raw[[#This Row],[Column11]] * IF($E$2="Deployment",deployment_raw[[#This Row],[Column5]],1)/1048576)),"")</f>
        <v/>
      </c>
      <c r="L174" s="124" t="str">
        <f>IF(ISNUMBER(deployment_raw[[#This Row],[Column8]]),IF(OR(deployment_raw[[#This Row],[Column5]] &lt;&gt; 0,$E$2 &lt;&gt; "Deployment"), MAX(J174, P174, R174, ($L$2 * IF($E$2="Deployment",deployment_raw[[#This Row],[Column5]],1)),IF(T174&lt;&gt;"",VALUE(T174) * IF($E$2="Deployment",deployment_raw[[#This Row],[Column5]],1),0)), 0),"")</f>
        <v/>
      </c>
      <c r="M174" s="125" t="str">
        <f>IF(ISNUMBER(deployment_raw[[#This Row],[Column9]]),IF(OR(deployment_raw[[#This Row],[Column5]] &lt;&gt; 0,$E$2&lt;&gt;"Deployment"), MAX(K174, Q174, S174, ($M$2 * IF($E$2="Deployment",deployment_raw[[#This Row],[Column5]],1)),IF(U174&lt;&gt;"",VALUE(U174) * IF($E$2="Deployment",deployment_raw[[#This Row],[Column5]],1),0)), 0),"")</f>
        <v/>
      </c>
      <c r="N174" s="166" t="str">
        <f>IF(ISNUMBER(deployment_raw[[#This Row],[Column14]]), deployment_raw[[#This Row],[Column14]]/IF(OR($E$2="Deployment",deployment_raw[[#This Row],[Column5]]=0),1,deployment_raw[[#This Row],[Column5]]),"")</f>
        <v/>
      </c>
      <c r="O174" s="167" t="str">
        <f>IF(ISNUMBER(deployment_raw[[#This Row],[Column15]]), deployment_raw[[#This Row],[Column15]]/IF(OR($E$2="Deployment",deployment_raw[[#This Row],[Column5]]=0),1,deployment_raw[[#This Row],[Column5]])/1048576,"")</f>
        <v/>
      </c>
      <c r="P174" s="168" t="str">
        <f>IF(ISNUMBER(deployment_raw[[#This Row],[Column12]]), (MIN(IF(N174&lt;&gt;"",N174,9999999999999)*1.1,deployment_raw[[#This Row],[Column12]] * IF($E$2="Deployment",deployment_raw[[#This Row],[Column5]],1))*(1+$P$2)),"")</f>
        <v/>
      </c>
      <c r="Q174" s="167" t="str">
        <f>IF(ISNUMBER(deployment_raw[[#This Row],[Column13]]), (MIN(IF(O174&lt;&gt;"",O174,9999999999999)*1.1,deployment_raw[[#This Row],[Column13]] * IF($E$2="Deployment",deployment_raw[[#This Row],[Column5]],1)*(1+$Q$2)/1048576)),"")</f>
        <v/>
      </c>
      <c r="R174" s="169" t="str">
        <f>IF(ISNUMBER(deployment_raw[[#This Row],[Column8]]), (H174  * IF(N174&lt;&gt;0,$R$2,1)),"")</f>
        <v/>
      </c>
      <c r="S174" s="170" t="str">
        <f>IF(ISNUMBER(deployment_raw[[#This Row],[Column8]]), (I174  * IF(O174&lt;&gt;0,$S$2,1)),"")</f>
        <v/>
      </c>
      <c r="T174" s="202" t="str">
        <f>IF(AND(A174&lt;&gt;"",_xlfn.IFNA(MATCH(A174,'dynamic resource application '!$A$2:$A$100, 0),0)&lt;&gt;0), H174/(IF($E$2="Deployment",E174,1)),"")</f>
        <v/>
      </c>
      <c r="U174" s="211" t="str">
        <f>IF(AND(A174&lt;&gt;"",_xlfn.IFNA(MATCH(A174,'dynamic resource application '!$A$2:$A$100, 0),0)&lt;&gt;0), I174/(IF($E$2="Deployment",E174,1)),"")</f>
        <v/>
      </c>
    </row>
    <row r="175" spans="1:21" ht="15.75" customHeight="1" x14ac:dyDescent="0.25">
      <c r="A175" s="35" t="str">
        <f>IF(ISNONTEXT(deployment_raw[[#This Row],[Column1]]), "", deployment_raw[[#This Row],[Column1]])</f>
        <v/>
      </c>
      <c r="B175" s="36" t="str">
        <f>IF(ISNONTEXT(deployment_raw[[#This Row],[Column2]]), "", deployment_raw[[#This Row],[Column2]])</f>
        <v/>
      </c>
      <c r="C175" s="36" t="str">
        <f>IF(ISNONTEXT(deployment_raw[[#This Row],[Column3]]), "", deployment_raw[[#This Row],[Column3]])</f>
        <v/>
      </c>
      <c r="D175" s="36" t="str">
        <f>IF(ISNONTEXT(deployment_raw[[#This Row],[Column4]]), "", deployment_raw[[#This Row],[Column4]])</f>
        <v/>
      </c>
      <c r="E175" s="37" t="str">
        <f>IF(ISNUMBER(deployment_raw[[#This Row],[Column5]]), deployment_raw[[#This Row],[Column5]],"")</f>
        <v/>
      </c>
      <c r="F175" s="94" t="str">
        <f>IF(ISNUMBER(deployment_raw[[#This Row],[Column6]]), (deployment_raw[[#This Row],[Column6]] * IF($E$2="Deployment",deployment_raw[[#This Row],[Column5]],1)),"")</f>
        <v/>
      </c>
      <c r="G175" s="95" t="str">
        <f>IF(ISNUMBER(deployment_raw[[#This Row],[Column7]]), (deployment_raw[[#This Row],[Column7]] * IF($E$2="Deployment",deployment_raw[[#This Row],[Column5]],1))/1048576,"")</f>
        <v/>
      </c>
      <c r="H175" s="95" t="str">
        <f>IF(ISNUMBER(deployment_raw[[#This Row],[Column8]]), (deployment_raw[[#This Row],[Column8]]  * IF($E$2="Deployment",deployment_raw[[#This Row],[Column5]],1)),"")</f>
        <v/>
      </c>
      <c r="I175" s="96" t="str">
        <f>IF(ISNUMBER(deployment_raw[[#This Row],[Column9]]), (deployment_raw[[#This Row],[Column9]] * IF($E$2="Deployment",deployment_raw[[#This Row],[Column5]],1))/1048576,"")</f>
        <v/>
      </c>
      <c r="J175" s="122" t="str">
        <f>IF(ISNUMBER(deployment_raw[[#This Row],[Column10]]), (MIN(IF(N175&lt;&gt;"",N175,9999999999999)*1.1,deployment_raw[[#This Row],[Column10]] * IF($E$2="Deployment",deployment_raw[[#This Row],[Column5]],1))),"")</f>
        <v/>
      </c>
      <c r="K175" s="123" t="str">
        <f>IF(ISNUMBER(deployment_raw[[#This Row],[Column11]]), (MIN(IF(O175&lt;&gt;"",O175,9999999999999)*1.1,deployment_raw[[#This Row],[Column11]] * IF($E$2="Deployment",deployment_raw[[#This Row],[Column5]],1)/1048576)),"")</f>
        <v/>
      </c>
      <c r="L175" s="124" t="str">
        <f>IF(ISNUMBER(deployment_raw[[#This Row],[Column8]]),IF(OR(deployment_raw[[#This Row],[Column5]] &lt;&gt; 0,$E$2 &lt;&gt; "Deployment"), MAX(J175, P175, R175, ($L$2 * IF($E$2="Deployment",deployment_raw[[#This Row],[Column5]],1)),IF(T175&lt;&gt;"",VALUE(T175) * IF($E$2="Deployment",deployment_raw[[#This Row],[Column5]],1),0)), 0),"")</f>
        <v/>
      </c>
      <c r="M175" s="125" t="str">
        <f>IF(ISNUMBER(deployment_raw[[#This Row],[Column9]]),IF(OR(deployment_raw[[#This Row],[Column5]] &lt;&gt; 0,$E$2&lt;&gt;"Deployment"), MAX(K175, Q175, S175, ($M$2 * IF($E$2="Deployment",deployment_raw[[#This Row],[Column5]],1)),IF(U175&lt;&gt;"",VALUE(U175) * IF($E$2="Deployment",deployment_raw[[#This Row],[Column5]],1),0)), 0),"")</f>
        <v/>
      </c>
      <c r="N175" s="166" t="str">
        <f>IF(ISNUMBER(deployment_raw[[#This Row],[Column14]]), deployment_raw[[#This Row],[Column14]]/IF(OR($E$2="Deployment",deployment_raw[[#This Row],[Column5]]=0),1,deployment_raw[[#This Row],[Column5]]),"")</f>
        <v/>
      </c>
      <c r="O175" s="167" t="str">
        <f>IF(ISNUMBER(deployment_raw[[#This Row],[Column15]]), deployment_raw[[#This Row],[Column15]]/IF(OR($E$2="Deployment",deployment_raw[[#This Row],[Column5]]=0),1,deployment_raw[[#This Row],[Column5]])/1048576,"")</f>
        <v/>
      </c>
      <c r="P175" s="168" t="str">
        <f>IF(ISNUMBER(deployment_raw[[#This Row],[Column12]]), (MIN(IF(N175&lt;&gt;"",N175,9999999999999)*1.1,deployment_raw[[#This Row],[Column12]] * IF($E$2="Deployment",deployment_raw[[#This Row],[Column5]],1))*(1+$P$2)),"")</f>
        <v/>
      </c>
      <c r="Q175" s="167" t="str">
        <f>IF(ISNUMBER(deployment_raw[[#This Row],[Column13]]), (MIN(IF(O175&lt;&gt;"",O175,9999999999999)*1.1,deployment_raw[[#This Row],[Column13]] * IF($E$2="Deployment",deployment_raw[[#This Row],[Column5]],1)*(1+$Q$2)/1048576)),"")</f>
        <v/>
      </c>
      <c r="R175" s="169" t="str">
        <f>IF(ISNUMBER(deployment_raw[[#This Row],[Column8]]), (H175  * IF(N175&lt;&gt;0,$R$2,1)),"")</f>
        <v/>
      </c>
      <c r="S175" s="170" t="str">
        <f>IF(ISNUMBER(deployment_raw[[#This Row],[Column8]]), (I175  * IF(O175&lt;&gt;0,$S$2,1)),"")</f>
        <v/>
      </c>
      <c r="T175" s="202" t="str">
        <f>IF(AND(A175&lt;&gt;"",_xlfn.IFNA(MATCH(A175,'dynamic resource application '!$A$2:$A$100, 0),0)&lt;&gt;0), H175/(IF($E$2="Deployment",E175,1)),"")</f>
        <v/>
      </c>
      <c r="U175" s="211" t="str">
        <f>IF(AND(A175&lt;&gt;"",_xlfn.IFNA(MATCH(A175,'dynamic resource application '!$A$2:$A$100, 0),0)&lt;&gt;0), I175/(IF($E$2="Deployment",E175,1)),"")</f>
        <v/>
      </c>
    </row>
    <row r="176" spans="1:21" ht="15.75" customHeight="1" x14ac:dyDescent="0.25">
      <c r="A176" s="35" t="str">
        <f>IF(ISNONTEXT(deployment_raw[[#This Row],[Column1]]), "", deployment_raw[[#This Row],[Column1]])</f>
        <v/>
      </c>
      <c r="B176" s="36" t="str">
        <f>IF(ISNONTEXT(deployment_raw[[#This Row],[Column2]]), "", deployment_raw[[#This Row],[Column2]])</f>
        <v/>
      </c>
      <c r="C176" s="36" t="str">
        <f>IF(ISNONTEXT(deployment_raw[[#This Row],[Column3]]), "", deployment_raw[[#This Row],[Column3]])</f>
        <v/>
      </c>
      <c r="D176" s="36" t="str">
        <f>IF(ISNONTEXT(deployment_raw[[#This Row],[Column4]]), "", deployment_raw[[#This Row],[Column4]])</f>
        <v/>
      </c>
      <c r="E176" s="37" t="str">
        <f>IF(ISNUMBER(deployment_raw[[#This Row],[Column5]]), deployment_raw[[#This Row],[Column5]],"")</f>
        <v/>
      </c>
      <c r="F176" s="94" t="str">
        <f>IF(ISNUMBER(deployment_raw[[#This Row],[Column6]]), (deployment_raw[[#This Row],[Column6]] * IF($E$2="Deployment",deployment_raw[[#This Row],[Column5]],1)),"")</f>
        <v/>
      </c>
      <c r="G176" s="95" t="str">
        <f>IF(ISNUMBER(deployment_raw[[#This Row],[Column7]]), (deployment_raw[[#This Row],[Column7]] * IF($E$2="Deployment",deployment_raw[[#This Row],[Column5]],1))/1048576,"")</f>
        <v/>
      </c>
      <c r="H176" s="95" t="str">
        <f>IF(ISNUMBER(deployment_raw[[#This Row],[Column8]]), (deployment_raw[[#This Row],[Column8]]  * IF($E$2="Deployment",deployment_raw[[#This Row],[Column5]],1)),"")</f>
        <v/>
      </c>
      <c r="I176" s="96" t="str">
        <f>IF(ISNUMBER(deployment_raw[[#This Row],[Column9]]), (deployment_raw[[#This Row],[Column9]] * IF($E$2="Deployment",deployment_raw[[#This Row],[Column5]],1))/1048576,"")</f>
        <v/>
      </c>
      <c r="J176" s="122" t="str">
        <f>IF(ISNUMBER(deployment_raw[[#This Row],[Column10]]), (MIN(IF(N176&lt;&gt;"",N176,9999999999999)*1.1,deployment_raw[[#This Row],[Column10]] * IF($E$2="Deployment",deployment_raw[[#This Row],[Column5]],1))),"")</f>
        <v/>
      </c>
      <c r="K176" s="123" t="str">
        <f>IF(ISNUMBER(deployment_raw[[#This Row],[Column11]]), (MIN(IF(O176&lt;&gt;"",O176,9999999999999)*1.1,deployment_raw[[#This Row],[Column11]] * IF($E$2="Deployment",deployment_raw[[#This Row],[Column5]],1)/1048576)),"")</f>
        <v/>
      </c>
      <c r="L176" s="124" t="str">
        <f>IF(ISNUMBER(deployment_raw[[#This Row],[Column8]]),IF(OR(deployment_raw[[#This Row],[Column5]] &lt;&gt; 0,$E$2 &lt;&gt; "Deployment"), MAX(J176, P176, R176, ($L$2 * IF($E$2="Deployment",deployment_raw[[#This Row],[Column5]],1)),IF(T176&lt;&gt;"",VALUE(T176) * IF($E$2="Deployment",deployment_raw[[#This Row],[Column5]],1),0)), 0),"")</f>
        <v/>
      </c>
      <c r="M176" s="125" t="str">
        <f>IF(ISNUMBER(deployment_raw[[#This Row],[Column9]]),IF(OR(deployment_raw[[#This Row],[Column5]] &lt;&gt; 0,$E$2&lt;&gt;"Deployment"), MAX(K176, Q176, S176, ($M$2 * IF($E$2="Deployment",deployment_raw[[#This Row],[Column5]],1)),IF(U176&lt;&gt;"",VALUE(U176) * IF($E$2="Deployment",deployment_raw[[#This Row],[Column5]],1),0)), 0),"")</f>
        <v/>
      </c>
      <c r="N176" s="166" t="str">
        <f>IF(ISNUMBER(deployment_raw[[#This Row],[Column14]]), deployment_raw[[#This Row],[Column14]]/IF(OR($E$2="Deployment",deployment_raw[[#This Row],[Column5]]=0),1,deployment_raw[[#This Row],[Column5]]),"")</f>
        <v/>
      </c>
      <c r="O176" s="167" t="str">
        <f>IF(ISNUMBER(deployment_raw[[#This Row],[Column15]]), deployment_raw[[#This Row],[Column15]]/IF(OR($E$2="Deployment",deployment_raw[[#This Row],[Column5]]=0),1,deployment_raw[[#This Row],[Column5]])/1048576,"")</f>
        <v/>
      </c>
      <c r="P176" s="168" t="str">
        <f>IF(ISNUMBER(deployment_raw[[#This Row],[Column12]]), (MIN(IF(N176&lt;&gt;"",N176,9999999999999)*1.1,deployment_raw[[#This Row],[Column12]] * IF($E$2="Deployment",deployment_raw[[#This Row],[Column5]],1))*(1+$P$2)),"")</f>
        <v/>
      </c>
      <c r="Q176" s="167" t="str">
        <f>IF(ISNUMBER(deployment_raw[[#This Row],[Column13]]), (MIN(IF(O176&lt;&gt;"",O176,9999999999999)*1.1,deployment_raw[[#This Row],[Column13]] * IF($E$2="Deployment",deployment_raw[[#This Row],[Column5]],1)*(1+$Q$2)/1048576)),"")</f>
        <v/>
      </c>
      <c r="R176" s="169" t="str">
        <f>IF(ISNUMBER(deployment_raw[[#This Row],[Column8]]), (H176  * IF(N176&lt;&gt;0,$R$2,1)),"")</f>
        <v/>
      </c>
      <c r="S176" s="170" t="str">
        <f>IF(ISNUMBER(deployment_raw[[#This Row],[Column8]]), (I176  * IF(O176&lt;&gt;0,$S$2,1)),"")</f>
        <v/>
      </c>
      <c r="T176" s="202" t="str">
        <f>IF(AND(A176&lt;&gt;"",_xlfn.IFNA(MATCH(A176,'dynamic resource application '!$A$2:$A$100, 0),0)&lt;&gt;0), H176/(IF($E$2="Deployment",E176,1)),"")</f>
        <v/>
      </c>
      <c r="U176" s="211" t="str">
        <f>IF(AND(A176&lt;&gt;"",_xlfn.IFNA(MATCH(A176,'dynamic resource application '!$A$2:$A$100, 0),0)&lt;&gt;0), I176/(IF($E$2="Deployment",E176,1)),"")</f>
        <v/>
      </c>
    </row>
    <row r="177" spans="1:21" ht="15.75" customHeight="1" x14ac:dyDescent="0.25">
      <c r="A177" s="35" t="str">
        <f>IF(ISNONTEXT(deployment_raw[[#This Row],[Column1]]), "", deployment_raw[[#This Row],[Column1]])</f>
        <v/>
      </c>
      <c r="B177" s="36" t="str">
        <f>IF(ISNONTEXT(deployment_raw[[#This Row],[Column2]]), "", deployment_raw[[#This Row],[Column2]])</f>
        <v/>
      </c>
      <c r="C177" s="36" t="str">
        <f>IF(ISNONTEXT(deployment_raw[[#This Row],[Column3]]), "", deployment_raw[[#This Row],[Column3]])</f>
        <v/>
      </c>
      <c r="D177" s="36" t="str">
        <f>IF(ISNONTEXT(deployment_raw[[#This Row],[Column4]]), "", deployment_raw[[#This Row],[Column4]])</f>
        <v/>
      </c>
      <c r="E177" s="37" t="str">
        <f>IF(ISNUMBER(deployment_raw[[#This Row],[Column5]]), deployment_raw[[#This Row],[Column5]],"")</f>
        <v/>
      </c>
      <c r="F177" s="94" t="str">
        <f>IF(ISNUMBER(deployment_raw[[#This Row],[Column6]]), (deployment_raw[[#This Row],[Column6]] * IF($E$2="Deployment",deployment_raw[[#This Row],[Column5]],1)),"")</f>
        <v/>
      </c>
      <c r="G177" s="95" t="str">
        <f>IF(ISNUMBER(deployment_raw[[#This Row],[Column7]]), (deployment_raw[[#This Row],[Column7]] * IF($E$2="Deployment",deployment_raw[[#This Row],[Column5]],1))/1048576,"")</f>
        <v/>
      </c>
      <c r="H177" s="95" t="str">
        <f>IF(ISNUMBER(deployment_raw[[#This Row],[Column8]]), (deployment_raw[[#This Row],[Column8]]  * IF($E$2="Deployment",deployment_raw[[#This Row],[Column5]],1)),"")</f>
        <v/>
      </c>
      <c r="I177" s="96" t="str">
        <f>IF(ISNUMBER(deployment_raw[[#This Row],[Column9]]), (deployment_raw[[#This Row],[Column9]] * IF($E$2="Deployment",deployment_raw[[#This Row],[Column5]],1))/1048576,"")</f>
        <v/>
      </c>
      <c r="J177" s="122" t="str">
        <f>IF(ISNUMBER(deployment_raw[[#This Row],[Column10]]), (MIN(IF(N177&lt;&gt;"",N177,9999999999999)*1.1,deployment_raw[[#This Row],[Column10]] * IF($E$2="Deployment",deployment_raw[[#This Row],[Column5]],1))),"")</f>
        <v/>
      </c>
      <c r="K177" s="123" t="str">
        <f>IF(ISNUMBER(deployment_raw[[#This Row],[Column11]]), (MIN(IF(O177&lt;&gt;"",O177,9999999999999)*1.1,deployment_raw[[#This Row],[Column11]] * IF($E$2="Deployment",deployment_raw[[#This Row],[Column5]],1)/1048576)),"")</f>
        <v/>
      </c>
      <c r="L177" s="124" t="str">
        <f>IF(ISNUMBER(deployment_raw[[#This Row],[Column8]]),IF(OR(deployment_raw[[#This Row],[Column5]] &lt;&gt; 0,$E$2 &lt;&gt; "Deployment"), MAX(J177, P177, R177, ($L$2 * IF($E$2="Deployment",deployment_raw[[#This Row],[Column5]],1)),IF(T177&lt;&gt;"",VALUE(T177) * IF($E$2="Deployment",deployment_raw[[#This Row],[Column5]],1),0)), 0),"")</f>
        <v/>
      </c>
      <c r="M177" s="125" t="str">
        <f>IF(ISNUMBER(deployment_raw[[#This Row],[Column9]]),IF(OR(deployment_raw[[#This Row],[Column5]] &lt;&gt; 0,$E$2&lt;&gt;"Deployment"), MAX(K177, Q177, S177, ($M$2 * IF($E$2="Deployment",deployment_raw[[#This Row],[Column5]],1)),IF(U177&lt;&gt;"",VALUE(U177) * IF($E$2="Deployment",deployment_raw[[#This Row],[Column5]],1),0)), 0),"")</f>
        <v/>
      </c>
      <c r="N177" s="166" t="str">
        <f>IF(ISNUMBER(deployment_raw[[#This Row],[Column14]]), deployment_raw[[#This Row],[Column14]]/IF(OR($E$2="Deployment",deployment_raw[[#This Row],[Column5]]=0),1,deployment_raw[[#This Row],[Column5]]),"")</f>
        <v/>
      </c>
      <c r="O177" s="167" t="str">
        <f>IF(ISNUMBER(deployment_raw[[#This Row],[Column15]]), deployment_raw[[#This Row],[Column15]]/IF(OR($E$2="Deployment",deployment_raw[[#This Row],[Column5]]=0),1,deployment_raw[[#This Row],[Column5]])/1048576,"")</f>
        <v/>
      </c>
      <c r="P177" s="168" t="str">
        <f>IF(ISNUMBER(deployment_raw[[#This Row],[Column12]]), (MIN(IF(N177&lt;&gt;"",N177,9999999999999)*1.1,deployment_raw[[#This Row],[Column12]] * IF($E$2="Deployment",deployment_raw[[#This Row],[Column5]],1))*(1+$P$2)),"")</f>
        <v/>
      </c>
      <c r="Q177" s="167" t="str">
        <f>IF(ISNUMBER(deployment_raw[[#This Row],[Column13]]), (MIN(IF(O177&lt;&gt;"",O177,9999999999999)*1.1,deployment_raw[[#This Row],[Column13]] * IF($E$2="Deployment",deployment_raw[[#This Row],[Column5]],1)*(1+$Q$2)/1048576)),"")</f>
        <v/>
      </c>
      <c r="R177" s="169" t="str">
        <f>IF(ISNUMBER(deployment_raw[[#This Row],[Column8]]), (H177  * IF(N177&lt;&gt;0,$R$2,1)),"")</f>
        <v/>
      </c>
      <c r="S177" s="170" t="str">
        <f>IF(ISNUMBER(deployment_raw[[#This Row],[Column8]]), (I177  * IF(O177&lt;&gt;0,$S$2,1)),"")</f>
        <v/>
      </c>
      <c r="T177" s="202" t="str">
        <f>IF(AND(A177&lt;&gt;"",_xlfn.IFNA(MATCH(A177,'dynamic resource application '!$A$2:$A$100, 0),0)&lt;&gt;0), H177/(IF($E$2="Deployment",E177,1)),"")</f>
        <v/>
      </c>
      <c r="U177" s="211" t="str">
        <f>IF(AND(A177&lt;&gt;"",_xlfn.IFNA(MATCH(A177,'dynamic resource application '!$A$2:$A$100, 0),0)&lt;&gt;0), I177/(IF($E$2="Deployment",E177,1)),"")</f>
        <v/>
      </c>
    </row>
    <row r="178" spans="1:21" ht="15.75" customHeight="1" x14ac:dyDescent="0.25">
      <c r="A178" s="35" t="str">
        <f>IF(ISNONTEXT(deployment_raw[[#This Row],[Column1]]), "", deployment_raw[[#This Row],[Column1]])</f>
        <v/>
      </c>
      <c r="B178" s="36" t="str">
        <f>IF(ISNONTEXT(deployment_raw[[#This Row],[Column2]]), "", deployment_raw[[#This Row],[Column2]])</f>
        <v/>
      </c>
      <c r="C178" s="36" t="str">
        <f>IF(ISNONTEXT(deployment_raw[[#This Row],[Column3]]), "", deployment_raw[[#This Row],[Column3]])</f>
        <v/>
      </c>
      <c r="D178" s="36" t="str">
        <f>IF(ISNONTEXT(deployment_raw[[#This Row],[Column4]]), "", deployment_raw[[#This Row],[Column4]])</f>
        <v/>
      </c>
      <c r="E178" s="37" t="str">
        <f>IF(ISNUMBER(deployment_raw[[#This Row],[Column5]]), deployment_raw[[#This Row],[Column5]],"")</f>
        <v/>
      </c>
      <c r="F178" s="94" t="str">
        <f>IF(ISNUMBER(deployment_raw[[#This Row],[Column6]]), (deployment_raw[[#This Row],[Column6]] * IF($E$2="Deployment",deployment_raw[[#This Row],[Column5]],1)),"")</f>
        <v/>
      </c>
      <c r="G178" s="95" t="str">
        <f>IF(ISNUMBER(deployment_raw[[#This Row],[Column7]]), (deployment_raw[[#This Row],[Column7]] * IF($E$2="Deployment",deployment_raw[[#This Row],[Column5]],1))/1048576,"")</f>
        <v/>
      </c>
      <c r="H178" s="95" t="str">
        <f>IF(ISNUMBER(deployment_raw[[#This Row],[Column8]]), (deployment_raw[[#This Row],[Column8]]  * IF($E$2="Deployment",deployment_raw[[#This Row],[Column5]],1)),"")</f>
        <v/>
      </c>
      <c r="I178" s="96" t="str">
        <f>IF(ISNUMBER(deployment_raw[[#This Row],[Column9]]), (deployment_raw[[#This Row],[Column9]] * IF($E$2="Deployment",deployment_raw[[#This Row],[Column5]],1))/1048576,"")</f>
        <v/>
      </c>
      <c r="J178" s="122" t="str">
        <f>IF(ISNUMBER(deployment_raw[[#This Row],[Column10]]), (MIN(IF(N178&lt;&gt;"",N178,9999999999999)*1.1,deployment_raw[[#This Row],[Column10]] * IF($E$2="Deployment",deployment_raw[[#This Row],[Column5]],1))),"")</f>
        <v/>
      </c>
      <c r="K178" s="123" t="str">
        <f>IF(ISNUMBER(deployment_raw[[#This Row],[Column11]]), (MIN(IF(O178&lt;&gt;"",O178,9999999999999)*1.1,deployment_raw[[#This Row],[Column11]] * IF($E$2="Deployment",deployment_raw[[#This Row],[Column5]],1)/1048576)),"")</f>
        <v/>
      </c>
      <c r="L178" s="124" t="str">
        <f>IF(ISNUMBER(deployment_raw[[#This Row],[Column8]]),IF(OR(deployment_raw[[#This Row],[Column5]] &lt;&gt; 0,$E$2 &lt;&gt; "Deployment"), MAX(J178, P178, R178, ($L$2 * IF($E$2="Deployment",deployment_raw[[#This Row],[Column5]],1)),IF(T178&lt;&gt;"",VALUE(T178) * IF($E$2="Deployment",deployment_raw[[#This Row],[Column5]],1),0)), 0),"")</f>
        <v/>
      </c>
      <c r="M178" s="125" t="str">
        <f>IF(ISNUMBER(deployment_raw[[#This Row],[Column9]]),IF(OR(deployment_raw[[#This Row],[Column5]] &lt;&gt; 0,$E$2&lt;&gt;"Deployment"), MAX(K178, Q178, S178, ($M$2 * IF($E$2="Deployment",deployment_raw[[#This Row],[Column5]],1)),IF(U178&lt;&gt;"",VALUE(U178) * IF($E$2="Deployment",deployment_raw[[#This Row],[Column5]],1),0)), 0),"")</f>
        <v/>
      </c>
      <c r="N178" s="166" t="str">
        <f>IF(ISNUMBER(deployment_raw[[#This Row],[Column14]]), deployment_raw[[#This Row],[Column14]]/IF(OR($E$2="Deployment",deployment_raw[[#This Row],[Column5]]=0),1,deployment_raw[[#This Row],[Column5]]),"")</f>
        <v/>
      </c>
      <c r="O178" s="167" t="str">
        <f>IF(ISNUMBER(deployment_raw[[#This Row],[Column15]]), deployment_raw[[#This Row],[Column15]]/IF(OR($E$2="Deployment",deployment_raw[[#This Row],[Column5]]=0),1,deployment_raw[[#This Row],[Column5]])/1048576,"")</f>
        <v/>
      </c>
      <c r="P178" s="168" t="str">
        <f>IF(ISNUMBER(deployment_raw[[#This Row],[Column12]]), (MIN(IF(N178&lt;&gt;"",N178,9999999999999)*1.1,deployment_raw[[#This Row],[Column12]] * IF($E$2="Deployment",deployment_raw[[#This Row],[Column5]],1))*(1+$P$2)),"")</f>
        <v/>
      </c>
      <c r="Q178" s="167" t="str">
        <f>IF(ISNUMBER(deployment_raw[[#This Row],[Column13]]), (MIN(IF(O178&lt;&gt;"",O178,9999999999999)*1.1,deployment_raw[[#This Row],[Column13]] * IF($E$2="Deployment",deployment_raw[[#This Row],[Column5]],1)*(1+$Q$2)/1048576)),"")</f>
        <v/>
      </c>
      <c r="R178" s="169" t="str">
        <f>IF(ISNUMBER(deployment_raw[[#This Row],[Column8]]), (H178  * IF(N178&lt;&gt;0,$R$2,1)),"")</f>
        <v/>
      </c>
      <c r="S178" s="170" t="str">
        <f>IF(ISNUMBER(deployment_raw[[#This Row],[Column8]]), (I178  * IF(O178&lt;&gt;0,$S$2,1)),"")</f>
        <v/>
      </c>
      <c r="T178" s="202" t="str">
        <f>IF(AND(A178&lt;&gt;"",_xlfn.IFNA(MATCH(A178,'dynamic resource application '!$A$2:$A$100, 0),0)&lt;&gt;0), H178/(IF($E$2="Deployment",E178,1)),"")</f>
        <v/>
      </c>
      <c r="U178" s="211" t="str">
        <f>IF(AND(A178&lt;&gt;"",_xlfn.IFNA(MATCH(A178,'dynamic resource application '!$A$2:$A$100, 0),0)&lt;&gt;0), I178/(IF($E$2="Deployment",E178,1)),"")</f>
        <v/>
      </c>
    </row>
    <row r="179" spans="1:21" ht="15.75" customHeight="1" x14ac:dyDescent="0.25">
      <c r="A179" s="35" t="str">
        <f>IF(ISNONTEXT(deployment_raw[[#This Row],[Column1]]), "", deployment_raw[[#This Row],[Column1]])</f>
        <v/>
      </c>
      <c r="B179" s="36" t="str">
        <f>IF(ISNONTEXT(deployment_raw[[#This Row],[Column2]]), "", deployment_raw[[#This Row],[Column2]])</f>
        <v/>
      </c>
      <c r="C179" s="36" t="str">
        <f>IF(ISNONTEXT(deployment_raw[[#This Row],[Column3]]), "", deployment_raw[[#This Row],[Column3]])</f>
        <v/>
      </c>
      <c r="D179" s="36" t="str">
        <f>IF(ISNONTEXT(deployment_raw[[#This Row],[Column4]]), "", deployment_raw[[#This Row],[Column4]])</f>
        <v/>
      </c>
      <c r="E179" s="37" t="str">
        <f>IF(ISNUMBER(deployment_raw[[#This Row],[Column5]]), deployment_raw[[#This Row],[Column5]],"")</f>
        <v/>
      </c>
      <c r="F179" s="94" t="str">
        <f>IF(ISNUMBER(deployment_raw[[#This Row],[Column6]]), (deployment_raw[[#This Row],[Column6]] * IF($E$2="Deployment",deployment_raw[[#This Row],[Column5]],1)),"")</f>
        <v/>
      </c>
      <c r="G179" s="95" t="str">
        <f>IF(ISNUMBER(deployment_raw[[#This Row],[Column7]]), (deployment_raw[[#This Row],[Column7]] * IF($E$2="Deployment",deployment_raw[[#This Row],[Column5]],1))/1048576,"")</f>
        <v/>
      </c>
      <c r="H179" s="95" t="str">
        <f>IF(ISNUMBER(deployment_raw[[#This Row],[Column8]]), (deployment_raw[[#This Row],[Column8]]  * IF($E$2="Deployment",deployment_raw[[#This Row],[Column5]],1)),"")</f>
        <v/>
      </c>
      <c r="I179" s="96" t="str">
        <f>IF(ISNUMBER(deployment_raw[[#This Row],[Column9]]), (deployment_raw[[#This Row],[Column9]] * IF($E$2="Deployment",deployment_raw[[#This Row],[Column5]],1))/1048576,"")</f>
        <v/>
      </c>
      <c r="J179" s="122" t="str">
        <f>IF(ISNUMBER(deployment_raw[[#This Row],[Column10]]), (MIN(IF(N179&lt;&gt;"",N179,9999999999999)*1.1,deployment_raw[[#This Row],[Column10]] * IF($E$2="Deployment",deployment_raw[[#This Row],[Column5]],1))),"")</f>
        <v/>
      </c>
      <c r="K179" s="123" t="str">
        <f>IF(ISNUMBER(deployment_raw[[#This Row],[Column11]]), (MIN(IF(O179&lt;&gt;"",O179,9999999999999)*1.1,deployment_raw[[#This Row],[Column11]] * IF($E$2="Deployment",deployment_raw[[#This Row],[Column5]],1)/1048576)),"")</f>
        <v/>
      </c>
      <c r="L179" s="124" t="str">
        <f>IF(ISNUMBER(deployment_raw[[#This Row],[Column8]]),IF(OR(deployment_raw[[#This Row],[Column5]] &lt;&gt; 0,$E$2 &lt;&gt; "Deployment"), MAX(J179, P179, R179, ($L$2 * IF($E$2="Deployment",deployment_raw[[#This Row],[Column5]],1)),IF(T179&lt;&gt;"",VALUE(T179) * IF($E$2="Deployment",deployment_raw[[#This Row],[Column5]],1),0)), 0),"")</f>
        <v/>
      </c>
      <c r="M179" s="125" t="str">
        <f>IF(ISNUMBER(deployment_raw[[#This Row],[Column9]]),IF(OR(deployment_raw[[#This Row],[Column5]] &lt;&gt; 0,$E$2&lt;&gt;"Deployment"), MAX(K179, Q179, S179, ($M$2 * IF($E$2="Deployment",deployment_raw[[#This Row],[Column5]],1)),IF(U179&lt;&gt;"",VALUE(U179) * IF($E$2="Deployment",deployment_raw[[#This Row],[Column5]],1),0)), 0),"")</f>
        <v/>
      </c>
      <c r="N179" s="166" t="str">
        <f>IF(ISNUMBER(deployment_raw[[#This Row],[Column14]]), deployment_raw[[#This Row],[Column14]]/IF(OR($E$2="Deployment",deployment_raw[[#This Row],[Column5]]=0),1,deployment_raw[[#This Row],[Column5]]),"")</f>
        <v/>
      </c>
      <c r="O179" s="167" t="str">
        <f>IF(ISNUMBER(deployment_raw[[#This Row],[Column15]]), deployment_raw[[#This Row],[Column15]]/IF(OR($E$2="Deployment",deployment_raw[[#This Row],[Column5]]=0),1,deployment_raw[[#This Row],[Column5]])/1048576,"")</f>
        <v/>
      </c>
      <c r="P179" s="168" t="str">
        <f>IF(ISNUMBER(deployment_raw[[#This Row],[Column12]]), (MIN(IF(N179&lt;&gt;"",N179,9999999999999)*1.1,deployment_raw[[#This Row],[Column12]] * IF($E$2="Deployment",deployment_raw[[#This Row],[Column5]],1))*(1+$P$2)),"")</f>
        <v/>
      </c>
      <c r="Q179" s="167" t="str">
        <f>IF(ISNUMBER(deployment_raw[[#This Row],[Column13]]), (MIN(IF(O179&lt;&gt;"",O179,9999999999999)*1.1,deployment_raw[[#This Row],[Column13]] * IF($E$2="Deployment",deployment_raw[[#This Row],[Column5]],1)*(1+$Q$2)/1048576)),"")</f>
        <v/>
      </c>
      <c r="R179" s="169" t="str">
        <f>IF(ISNUMBER(deployment_raw[[#This Row],[Column8]]), (H179  * IF(N179&lt;&gt;0,$R$2,1)),"")</f>
        <v/>
      </c>
      <c r="S179" s="170" t="str">
        <f>IF(ISNUMBER(deployment_raw[[#This Row],[Column8]]), (I179  * IF(O179&lt;&gt;0,$S$2,1)),"")</f>
        <v/>
      </c>
      <c r="T179" s="202" t="str">
        <f>IF(AND(A179&lt;&gt;"",_xlfn.IFNA(MATCH(A179,'dynamic resource application '!$A$2:$A$100, 0),0)&lt;&gt;0), H179/(IF($E$2="Deployment",E179,1)),"")</f>
        <v/>
      </c>
      <c r="U179" s="211" t="str">
        <f>IF(AND(A179&lt;&gt;"",_xlfn.IFNA(MATCH(A179,'dynamic resource application '!$A$2:$A$100, 0),0)&lt;&gt;0), I179/(IF($E$2="Deployment",E179,1)),"")</f>
        <v/>
      </c>
    </row>
    <row r="180" spans="1:21" ht="15.75" customHeight="1" x14ac:dyDescent="0.25">
      <c r="A180" s="35" t="str">
        <f>IF(ISNONTEXT(deployment_raw[[#This Row],[Column1]]), "", deployment_raw[[#This Row],[Column1]])</f>
        <v/>
      </c>
      <c r="B180" s="36" t="str">
        <f>IF(ISNONTEXT(deployment_raw[[#This Row],[Column2]]), "", deployment_raw[[#This Row],[Column2]])</f>
        <v/>
      </c>
      <c r="C180" s="36" t="str">
        <f>IF(ISNONTEXT(deployment_raw[[#This Row],[Column3]]), "", deployment_raw[[#This Row],[Column3]])</f>
        <v/>
      </c>
      <c r="D180" s="36" t="str">
        <f>IF(ISNONTEXT(deployment_raw[[#This Row],[Column4]]), "", deployment_raw[[#This Row],[Column4]])</f>
        <v/>
      </c>
      <c r="E180" s="37" t="str">
        <f>IF(ISNUMBER(deployment_raw[[#This Row],[Column5]]), deployment_raw[[#This Row],[Column5]],"")</f>
        <v/>
      </c>
      <c r="F180" s="94" t="str">
        <f>IF(ISNUMBER(deployment_raw[[#This Row],[Column6]]), (deployment_raw[[#This Row],[Column6]] * IF($E$2="Deployment",deployment_raw[[#This Row],[Column5]],1)),"")</f>
        <v/>
      </c>
      <c r="G180" s="95" t="str">
        <f>IF(ISNUMBER(deployment_raw[[#This Row],[Column7]]), (deployment_raw[[#This Row],[Column7]] * IF($E$2="Deployment",deployment_raw[[#This Row],[Column5]],1))/1048576,"")</f>
        <v/>
      </c>
      <c r="H180" s="95" t="str">
        <f>IF(ISNUMBER(deployment_raw[[#This Row],[Column8]]), (deployment_raw[[#This Row],[Column8]]  * IF($E$2="Deployment",deployment_raw[[#This Row],[Column5]],1)),"")</f>
        <v/>
      </c>
      <c r="I180" s="96" t="str">
        <f>IF(ISNUMBER(deployment_raw[[#This Row],[Column9]]), (deployment_raw[[#This Row],[Column9]] * IF($E$2="Deployment",deployment_raw[[#This Row],[Column5]],1))/1048576,"")</f>
        <v/>
      </c>
      <c r="J180" s="122" t="str">
        <f>IF(ISNUMBER(deployment_raw[[#This Row],[Column10]]), (MIN(IF(N180&lt;&gt;"",N180,9999999999999)*1.1,deployment_raw[[#This Row],[Column10]] * IF($E$2="Deployment",deployment_raw[[#This Row],[Column5]],1))),"")</f>
        <v/>
      </c>
      <c r="K180" s="123" t="str">
        <f>IF(ISNUMBER(deployment_raw[[#This Row],[Column11]]), (MIN(IF(O180&lt;&gt;"",O180,9999999999999)*1.1,deployment_raw[[#This Row],[Column11]] * IF($E$2="Deployment",deployment_raw[[#This Row],[Column5]],1)/1048576)),"")</f>
        <v/>
      </c>
      <c r="L180" s="124" t="str">
        <f>IF(ISNUMBER(deployment_raw[[#This Row],[Column8]]),IF(OR(deployment_raw[[#This Row],[Column5]] &lt;&gt; 0,$E$2 &lt;&gt; "Deployment"), MAX(J180, P180, R180, ($L$2 * IF($E$2="Deployment",deployment_raw[[#This Row],[Column5]],1)),IF(T180&lt;&gt;"",VALUE(T180) * IF($E$2="Deployment",deployment_raw[[#This Row],[Column5]],1),0)), 0),"")</f>
        <v/>
      </c>
      <c r="M180" s="125" t="str">
        <f>IF(ISNUMBER(deployment_raw[[#This Row],[Column9]]),IF(OR(deployment_raw[[#This Row],[Column5]] &lt;&gt; 0,$E$2&lt;&gt;"Deployment"), MAX(K180, Q180, S180, ($M$2 * IF($E$2="Deployment",deployment_raw[[#This Row],[Column5]],1)),IF(U180&lt;&gt;"",VALUE(U180) * IF($E$2="Deployment",deployment_raw[[#This Row],[Column5]],1),0)), 0),"")</f>
        <v/>
      </c>
      <c r="N180" s="166" t="str">
        <f>IF(ISNUMBER(deployment_raw[[#This Row],[Column14]]), deployment_raw[[#This Row],[Column14]]/IF(OR($E$2="Deployment",deployment_raw[[#This Row],[Column5]]=0),1,deployment_raw[[#This Row],[Column5]]),"")</f>
        <v/>
      </c>
      <c r="O180" s="167" t="str">
        <f>IF(ISNUMBER(deployment_raw[[#This Row],[Column15]]), deployment_raw[[#This Row],[Column15]]/IF(OR($E$2="Deployment",deployment_raw[[#This Row],[Column5]]=0),1,deployment_raw[[#This Row],[Column5]])/1048576,"")</f>
        <v/>
      </c>
      <c r="P180" s="168" t="str">
        <f>IF(ISNUMBER(deployment_raw[[#This Row],[Column12]]), (MIN(IF(N180&lt;&gt;"",N180,9999999999999)*1.1,deployment_raw[[#This Row],[Column12]] * IF($E$2="Deployment",deployment_raw[[#This Row],[Column5]],1))*(1+$P$2)),"")</f>
        <v/>
      </c>
      <c r="Q180" s="167" t="str">
        <f>IF(ISNUMBER(deployment_raw[[#This Row],[Column13]]), (MIN(IF(O180&lt;&gt;"",O180,9999999999999)*1.1,deployment_raw[[#This Row],[Column13]] * IF($E$2="Deployment",deployment_raw[[#This Row],[Column5]],1)*(1+$Q$2)/1048576)),"")</f>
        <v/>
      </c>
      <c r="R180" s="169" t="str">
        <f>IF(ISNUMBER(deployment_raw[[#This Row],[Column8]]), (H180  * IF(N180&lt;&gt;0,$R$2,1)),"")</f>
        <v/>
      </c>
      <c r="S180" s="170" t="str">
        <f>IF(ISNUMBER(deployment_raw[[#This Row],[Column8]]), (I180  * IF(O180&lt;&gt;0,$S$2,1)),"")</f>
        <v/>
      </c>
      <c r="T180" s="202" t="str">
        <f>IF(AND(A180&lt;&gt;"",_xlfn.IFNA(MATCH(A180,'dynamic resource application '!$A$2:$A$100, 0),0)&lt;&gt;0), H180/(IF($E$2="Deployment",E180,1)),"")</f>
        <v/>
      </c>
      <c r="U180" s="211" t="str">
        <f>IF(AND(A180&lt;&gt;"",_xlfn.IFNA(MATCH(A180,'dynamic resource application '!$A$2:$A$100, 0),0)&lt;&gt;0), I180/(IF($E$2="Deployment",E180,1)),"")</f>
        <v/>
      </c>
    </row>
    <row r="181" spans="1:21" ht="15.75" customHeight="1" x14ac:dyDescent="0.25">
      <c r="A181" s="35" t="str">
        <f>IF(ISNONTEXT(deployment_raw[[#This Row],[Column1]]), "", deployment_raw[[#This Row],[Column1]])</f>
        <v/>
      </c>
      <c r="B181" s="36" t="str">
        <f>IF(ISNONTEXT(deployment_raw[[#This Row],[Column2]]), "", deployment_raw[[#This Row],[Column2]])</f>
        <v/>
      </c>
      <c r="C181" s="36" t="str">
        <f>IF(ISNONTEXT(deployment_raw[[#This Row],[Column3]]), "", deployment_raw[[#This Row],[Column3]])</f>
        <v/>
      </c>
      <c r="D181" s="36" t="str">
        <f>IF(ISNONTEXT(deployment_raw[[#This Row],[Column4]]), "", deployment_raw[[#This Row],[Column4]])</f>
        <v/>
      </c>
      <c r="E181" s="37" t="str">
        <f>IF(ISNUMBER(deployment_raw[[#This Row],[Column5]]), deployment_raw[[#This Row],[Column5]],"")</f>
        <v/>
      </c>
      <c r="F181" s="94" t="str">
        <f>IF(ISNUMBER(deployment_raw[[#This Row],[Column6]]), (deployment_raw[[#This Row],[Column6]] * IF($E$2="Deployment",deployment_raw[[#This Row],[Column5]],1)),"")</f>
        <v/>
      </c>
      <c r="G181" s="95" t="str">
        <f>IF(ISNUMBER(deployment_raw[[#This Row],[Column7]]), (deployment_raw[[#This Row],[Column7]] * IF($E$2="Deployment",deployment_raw[[#This Row],[Column5]],1))/1048576,"")</f>
        <v/>
      </c>
      <c r="H181" s="95" t="str">
        <f>IF(ISNUMBER(deployment_raw[[#This Row],[Column8]]), (deployment_raw[[#This Row],[Column8]]  * IF($E$2="Deployment",deployment_raw[[#This Row],[Column5]],1)),"")</f>
        <v/>
      </c>
      <c r="I181" s="96" t="str">
        <f>IF(ISNUMBER(deployment_raw[[#This Row],[Column9]]), (deployment_raw[[#This Row],[Column9]] * IF($E$2="Deployment",deployment_raw[[#This Row],[Column5]],1))/1048576,"")</f>
        <v/>
      </c>
      <c r="J181" s="122" t="str">
        <f>IF(ISNUMBER(deployment_raw[[#This Row],[Column10]]), (MIN(IF(N181&lt;&gt;"",N181,9999999999999)*1.1,deployment_raw[[#This Row],[Column10]] * IF($E$2="Deployment",deployment_raw[[#This Row],[Column5]],1))),"")</f>
        <v/>
      </c>
      <c r="K181" s="123" t="str">
        <f>IF(ISNUMBER(deployment_raw[[#This Row],[Column11]]), (MIN(IF(O181&lt;&gt;"",O181,9999999999999)*1.1,deployment_raw[[#This Row],[Column11]] * IF($E$2="Deployment",deployment_raw[[#This Row],[Column5]],1)/1048576)),"")</f>
        <v/>
      </c>
      <c r="L181" s="124" t="str">
        <f>IF(ISNUMBER(deployment_raw[[#This Row],[Column8]]),IF(OR(deployment_raw[[#This Row],[Column5]] &lt;&gt; 0,$E$2 &lt;&gt; "Deployment"), MAX(J181, P181, R181, ($L$2 * IF($E$2="Deployment",deployment_raw[[#This Row],[Column5]],1)),IF(T181&lt;&gt;"",VALUE(T181) * IF($E$2="Deployment",deployment_raw[[#This Row],[Column5]],1),0)), 0),"")</f>
        <v/>
      </c>
      <c r="M181" s="125" t="str">
        <f>IF(ISNUMBER(deployment_raw[[#This Row],[Column9]]),IF(OR(deployment_raw[[#This Row],[Column5]] &lt;&gt; 0,$E$2&lt;&gt;"Deployment"), MAX(K181, Q181, S181, ($M$2 * IF($E$2="Deployment",deployment_raw[[#This Row],[Column5]],1)),IF(U181&lt;&gt;"",VALUE(U181) * IF($E$2="Deployment",deployment_raw[[#This Row],[Column5]],1),0)), 0),"")</f>
        <v/>
      </c>
      <c r="N181" s="166" t="str">
        <f>IF(ISNUMBER(deployment_raw[[#This Row],[Column14]]), deployment_raw[[#This Row],[Column14]]/IF(OR($E$2="Deployment",deployment_raw[[#This Row],[Column5]]=0),1,deployment_raw[[#This Row],[Column5]]),"")</f>
        <v/>
      </c>
      <c r="O181" s="167" t="str">
        <f>IF(ISNUMBER(deployment_raw[[#This Row],[Column15]]), deployment_raw[[#This Row],[Column15]]/IF(OR($E$2="Deployment",deployment_raw[[#This Row],[Column5]]=0),1,deployment_raw[[#This Row],[Column5]])/1048576,"")</f>
        <v/>
      </c>
      <c r="P181" s="168" t="str">
        <f>IF(ISNUMBER(deployment_raw[[#This Row],[Column12]]), (MIN(IF(N181&lt;&gt;"",N181,9999999999999)*1.1,deployment_raw[[#This Row],[Column12]] * IF($E$2="Deployment",deployment_raw[[#This Row],[Column5]],1))*(1+$P$2)),"")</f>
        <v/>
      </c>
      <c r="Q181" s="167" t="str">
        <f>IF(ISNUMBER(deployment_raw[[#This Row],[Column13]]), (MIN(IF(O181&lt;&gt;"",O181,9999999999999)*1.1,deployment_raw[[#This Row],[Column13]] * IF($E$2="Deployment",deployment_raw[[#This Row],[Column5]],1)*(1+$Q$2)/1048576)),"")</f>
        <v/>
      </c>
      <c r="R181" s="169" t="str">
        <f>IF(ISNUMBER(deployment_raw[[#This Row],[Column8]]), (H181  * IF(N181&lt;&gt;0,$R$2,1)),"")</f>
        <v/>
      </c>
      <c r="S181" s="170" t="str">
        <f>IF(ISNUMBER(deployment_raw[[#This Row],[Column8]]), (I181  * IF(O181&lt;&gt;0,$S$2,1)),"")</f>
        <v/>
      </c>
      <c r="T181" s="202" t="str">
        <f>IF(AND(A181&lt;&gt;"",_xlfn.IFNA(MATCH(A181,'dynamic resource application '!$A$2:$A$100, 0),0)&lt;&gt;0), H181/(IF($E$2="Deployment",E181,1)),"")</f>
        <v/>
      </c>
      <c r="U181" s="211" t="str">
        <f>IF(AND(A181&lt;&gt;"",_xlfn.IFNA(MATCH(A181,'dynamic resource application '!$A$2:$A$100, 0),0)&lt;&gt;0), I181/(IF($E$2="Deployment",E181,1)),"")</f>
        <v/>
      </c>
    </row>
    <row r="182" spans="1:21" ht="15.75" customHeight="1" x14ac:dyDescent="0.25">
      <c r="A182" s="35" t="str">
        <f>IF(ISNONTEXT(deployment_raw[[#This Row],[Column1]]), "", deployment_raw[[#This Row],[Column1]])</f>
        <v/>
      </c>
      <c r="B182" s="36" t="str">
        <f>IF(ISNONTEXT(deployment_raw[[#This Row],[Column2]]), "", deployment_raw[[#This Row],[Column2]])</f>
        <v/>
      </c>
      <c r="C182" s="36" t="str">
        <f>IF(ISNONTEXT(deployment_raw[[#This Row],[Column3]]), "", deployment_raw[[#This Row],[Column3]])</f>
        <v/>
      </c>
      <c r="D182" s="36" t="str">
        <f>IF(ISNONTEXT(deployment_raw[[#This Row],[Column4]]), "", deployment_raw[[#This Row],[Column4]])</f>
        <v/>
      </c>
      <c r="E182" s="37" t="str">
        <f>IF(ISNUMBER(deployment_raw[[#This Row],[Column5]]), deployment_raw[[#This Row],[Column5]],"")</f>
        <v/>
      </c>
      <c r="F182" s="94" t="str">
        <f>IF(ISNUMBER(deployment_raw[[#This Row],[Column6]]), (deployment_raw[[#This Row],[Column6]] * IF($E$2="Deployment",deployment_raw[[#This Row],[Column5]],1)),"")</f>
        <v/>
      </c>
      <c r="G182" s="95" t="str">
        <f>IF(ISNUMBER(deployment_raw[[#This Row],[Column7]]), (deployment_raw[[#This Row],[Column7]] * IF($E$2="Deployment",deployment_raw[[#This Row],[Column5]],1))/1048576,"")</f>
        <v/>
      </c>
      <c r="H182" s="95" t="str">
        <f>IF(ISNUMBER(deployment_raw[[#This Row],[Column8]]), (deployment_raw[[#This Row],[Column8]]  * IF($E$2="Deployment",deployment_raw[[#This Row],[Column5]],1)),"")</f>
        <v/>
      </c>
      <c r="I182" s="96" t="str">
        <f>IF(ISNUMBER(deployment_raw[[#This Row],[Column9]]), (deployment_raw[[#This Row],[Column9]] * IF($E$2="Deployment",deployment_raw[[#This Row],[Column5]],1))/1048576,"")</f>
        <v/>
      </c>
      <c r="J182" s="122" t="str">
        <f>IF(ISNUMBER(deployment_raw[[#This Row],[Column10]]), (MIN(IF(N182&lt;&gt;"",N182,9999999999999)*1.1,deployment_raw[[#This Row],[Column10]] * IF($E$2="Deployment",deployment_raw[[#This Row],[Column5]],1))),"")</f>
        <v/>
      </c>
      <c r="K182" s="123" t="str">
        <f>IF(ISNUMBER(deployment_raw[[#This Row],[Column11]]), (MIN(IF(O182&lt;&gt;"",O182,9999999999999)*1.1,deployment_raw[[#This Row],[Column11]] * IF($E$2="Deployment",deployment_raw[[#This Row],[Column5]],1)/1048576)),"")</f>
        <v/>
      </c>
      <c r="L182" s="124" t="str">
        <f>IF(ISNUMBER(deployment_raw[[#This Row],[Column8]]),IF(OR(deployment_raw[[#This Row],[Column5]] &lt;&gt; 0,$E$2 &lt;&gt; "Deployment"), MAX(J182, P182, R182, ($L$2 * IF($E$2="Deployment",deployment_raw[[#This Row],[Column5]],1)),IF(T182&lt;&gt;"",VALUE(T182) * IF($E$2="Deployment",deployment_raw[[#This Row],[Column5]],1),0)), 0),"")</f>
        <v/>
      </c>
      <c r="M182" s="125" t="str">
        <f>IF(ISNUMBER(deployment_raw[[#This Row],[Column9]]),IF(OR(deployment_raw[[#This Row],[Column5]] &lt;&gt; 0,$E$2&lt;&gt;"Deployment"), MAX(K182, Q182, S182, ($M$2 * IF($E$2="Deployment",deployment_raw[[#This Row],[Column5]],1)),IF(U182&lt;&gt;"",VALUE(U182) * IF($E$2="Deployment",deployment_raw[[#This Row],[Column5]],1),0)), 0),"")</f>
        <v/>
      </c>
      <c r="N182" s="166" t="str">
        <f>IF(ISNUMBER(deployment_raw[[#This Row],[Column14]]), deployment_raw[[#This Row],[Column14]]/IF(OR($E$2="Deployment",deployment_raw[[#This Row],[Column5]]=0),1,deployment_raw[[#This Row],[Column5]]),"")</f>
        <v/>
      </c>
      <c r="O182" s="167" t="str">
        <f>IF(ISNUMBER(deployment_raw[[#This Row],[Column15]]), deployment_raw[[#This Row],[Column15]]/IF(OR($E$2="Deployment",deployment_raw[[#This Row],[Column5]]=0),1,deployment_raw[[#This Row],[Column5]])/1048576,"")</f>
        <v/>
      </c>
      <c r="P182" s="168" t="str">
        <f>IF(ISNUMBER(deployment_raw[[#This Row],[Column12]]), (MIN(IF(N182&lt;&gt;"",N182,9999999999999)*1.1,deployment_raw[[#This Row],[Column12]] * IF($E$2="Deployment",deployment_raw[[#This Row],[Column5]],1))*(1+$P$2)),"")</f>
        <v/>
      </c>
      <c r="Q182" s="167" t="str">
        <f>IF(ISNUMBER(deployment_raw[[#This Row],[Column13]]), (MIN(IF(O182&lt;&gt;"",O182,9999999999999)*1.1,deployment_raw[[#This Row],[Column13]] * IF($E$2="Deployment",deployment_raw[[#This Row],[Column5]],1)*(1+$Q$2)/1048576)),"")</f>
        <v/>
      </c>
      <c r="R182" s="169" t="str">
        <f>IF(ISNUMBER(deployment_raw[[#This Row],[Column8]]), (H182  * IF(N182&lt;&gt;0,$R$2,1)),"")</f>
        <v/>
      </c>
      <c r="S182" s="170" t="str">
        <f>IF(ISNUMBER(deployment_raw[[#This Row],[Column8]]), (I182  * IF(O182&lt;&gt;0,$S$2,1)),"")</f>
        <v/>
      </c>
      <c r="T182" s="202" t="str">
        <f>IF(AND(A182&lt;&gt;"",_xlfn.IFNA(MATCH(A182,'dynamic resource application '!$A$2:$A$100, 0),0)&lt;&gt;0), H182/(IF($E$2="Deployment",E182,1)),"")</f>
        <v/>
      </c>
      <c r="U182" s="211" t="str">
        <f>IF(AND(A182&lt;&gt;"",_xlfn.IFNA(MATCH(A182,'dynamic resource application '!$A$2:$A$100, 0),0)&lt;&gt;0), I182/(IF($E$2="Deployment",E182,1)),"")</f>
        <v/>
      </c>
    </row>
    <row r="183" spans="1:21" ht="15.75" customHeight="1" x14ac:dyDescent="0.25">
      <c r="A183" s="35" t="str">
        <f>IF(ISNONTEXT(deployment_raw[[#This Row],[Column1]]), "", deployment_raw[[#This Row],[Column1]])</f>
        <v/>
      </c>
      <c r="B183" s="36" t="str">
        <f>IF(ISNONTEXT(deployment_raw[[#This Row],[Column2]]), "", deployment_raw[[#This Row],[Column2]])</f>
        <v/>
      </c>
      <c r="C183" s="36" t="str">
        <f>IF(ISNONTEXT(deployment_raw[[#This Row],[Column3]]), "", deployment_raw[[#This Row],[Column3]])</f>
        <v/>
      </c>
      <c r="D183" s="36" t="str">
        <f>IF(ISNONTEXT(deployment_raw[[#This Row],[Column4]]), "", deployment_raw[[#This Row],[Column4]])</f>
        <v/>
      </c>
      <c r="E183" s="37" t="str">
        <f>IF(ISNUMBER(deployment_raw[[#This Row],[Column5]]), deployment_raw[[#This Row],[Column5]],"")</f>
        <v/>
      </c>
      <c r="F183" s="94" t="str">
        <f>IF(ISNUMBER(deployment_raw[[#This Row],[Column6]]), (deployment_raw[[#This Row],[Column6]] * IF($E$2="Deployment",deployment_raw[[#This Row],[Column5]],1)),"")</f>
        <v/>
      </c>
      <c r="G183" s="95" t="str">
        <f>IF(ISNUMBER(deployment_raw[[#This Row],[Column7]]), (deployment_raw[[#This Row],[Column7]] * IF($E$2="Deployment",deployment_raw[[#This Row],[Column5]],1))/1048576,"")</f>
        <v/>
      </c>
      <c r="H183" s="95" t="str">
        <f>IF(ISNUMBER(deployment_raw[[#This Row],[Column8]]), (deployment_raw[[#This Row],[Column8]]  * IF($E$2="Deployment",deployment_raw[[#This Row],[Column5]],1)),"")</f>
        <v/>
      </c>
      <c r="I183" s="96" t="str">
        <f>IF(ISNUMBER(deployment_raw[[#This Row],[Column9]]), (deployment_raw[[#This Row],[Column9]] * IF($E$2="Deployment",deployment_raw[[#This Row],[Column5]],1))/1048576,"")</f>
        <v/>
      </c>
      <c r="J183" s="122" t="str">
        <f>IF(ISNUMBER(deployment_raw[[#This Row],[Column10]]), (MIN(IF(N183&lt;&gt;"",N183,9999999999999)*1.1,deployment_raw[[#This Row],[Column10]] * IF($E$2="Deployment",deployment_raw[[#This Row],[Column5]],1))),"")</f>
        <v/>
      </c>
      <c r="K183" s="123" t="str">
        <f>IF(ISNUMBER(deployment_raw[[#This Row],[Column11]]), (MIN(IF(O183&lt;&gt;"",O183,9999999999999)*1.1,deployment_raw[[#This Row],[Column11]] * IF($E$2="Deployment",deployment_raw[[#This Row],[Column5]],1)/1048576)),"")</f>
        <v/>
      </c>
      <c r="L183" s="124" t="str">
        <f>IF(ISNUMBER(deployment_raw[[#This Row],[Column8]]),IF(OR(deployment_raw[[#This Row],[Column5]] &lt;&gt; 0,$E$2 &lt;&gt; "Deployment"), MAX(J183, P183, R183, ($L$2 * IF($E$2="Deployment",deployment_raw[[#This Row],[Column5]],1)),IF(T183&lt;&gt;"",VALUE(T183) * IF($E$2="Deployment",deployment_raw[[#This Row],[Column5]],1),0)), 0),"")</f>
        <v/>
      </c>
      <c r="M183" s="125" t="str">
        <f>IF(ISNUMBER(deployment_raw[[#This Row],[Column9]]),IF(OR(deployment_raw[[#This Row],[Column5]] &lt;&gt; 0,$E$2&lt;&gt;"Deployment"), MAX(K183, Q183, S183, ($M$2 * IF($E$2="Deployment",deployment_raw[[#This Row],[Column5]],1)),IF(U183&lt;&gt;"",VALUE(U183) * IF($E$2="Deployment",deployment_raw[[#This Row],[Column5]],1),0)), 0),"")</f>
        <v/>
      </c>
      <c r="N183" s="166" t="str">
        <f>IF(ISNUMBER(deployment_raw[[#This Row],[Column14]]), deployment_raw[[#This Row],[Column14]]/IF(OR($E$2="Deployment",deployment_raw[[#This Row],[Column5]]=0),1,deployment_raw[[#This Row],[Column5]]),"")</f>
        <v/>
      </c>
      <c r="O183" s="167" t="str">
        <f>IF(ISNUMBER(deployment_raw[[#This Row],[Column15]]), deployment_raw[[#This Row],[Column15]]/IF(OR($E$2="Deployment",deployment_raw[[#This Row],[Column5]]=0),1,deployment_raw[[#This Row],[Column5]])/1048576,"")</f>
        <v/>
      </c>
      <c r="P183" s="168" t="str">
        <f>IF(ISNUMBER(deployment_raw[[#This Row],[Column12]]), (MIN(IF(N183&lt;&gt;"",N183,9999999999999)*1.1,deployment_raw[[#This Row],[Column12]] * IF($E$2="Deployment",deployment_raw[[#This Row],[Column5]],1))*(1+$P$2)),"")</f>
        <v/>
      </c>
      <c r="Q183" s="167" t="str">
        <f>IF(ISNUMBER(deployment_raw[[#This Row],[Column13]]), (MIN(IF(O183&lt;&gt;"",O183,9999999999999)*1.1,deployment_raw[[#This Row],[Column13]] * IF($E$2="Deployment",deployment_raw[[#This Row],[Column5]],1)*(1+$Q$2)/1048576)),"")</f>
        <v/>
      </c>
      <c r="R183" s="169" t="str">
        <f>IF(ISNUMBER(deployment_raw[[#This Row],[Column8]]), (H183  * IF(N183&lt;&gt;0,$R$2,1)),"")</f>
        <v/>
      </c>
      <c r="S183" s="170" t="str">
        <f>IF(ISNUMBER(deployment_raw[[#This Row],[Column8]]), (I183  * IF(O183&lt;&gt;0,$S$2,1)),"")</f>
        <v/>
      </c>
      <c r="T183" s="202" t="str">
        <f>IF(AND(A183&lt;&gt;"",_xlfn.IFNA(MATCH(A183,'dynamic resource application '!$A$2:$A$100, 0),0)&lt;&gt;0), H183/(IF($E$2="Deployment",E183,1)),"")</f>
        <v/>
      </c>
      <c r="U183" s="211" t="str">
        <f>IF(AND(A183&lt;&gt;"",_xlfn.IFNA(MATCH(A183,'dynamic resource application '!$A$2:$A$100, 0),0)&lt;&gt;0), I183/(IF($E$2="Deployment",E183,1)),"")</f>
        <v/>
      </c>
    </row>
    <row r="184" spans="1:21" ht="15.75" customHeight="1" x14ac:dyDescent="0.25">
      <c r="A184" s="35" t="str">
        <f>IF(ISNONTEXT(deployment_raw[[#This Row],[Column1]]), "", deployment_raw[[#This Row],[Column1]])</f>
        <v/>
      </c>
      <c r="B184" s="36" t="str">
        <f>IF(ISNONTEXT(deployment_raw[[#This Row],[Column2]]), "", deployment_raw[[#This Row],[Column2]])</f>
        <v/>
      </c>
      <c r="C184" s="36" t="str">
        <f>IF(ISNONTEXT(deployment_raw[[#This Row],[Column3]]), "", deployment_raw[[#This Row],[Column3]])</f>
        <v/>
      </c>
      <c r="D184" s="36" t="str">
        <f>IF(ISNONTEXT(deployment_raw[[#This Row],[Column4]]), "", deployment_raw[[#This Row],[Column4]])</f>
        <v/>
      </c>
      <c r="E184" s="37" t="str">
        <f>IF(ISNUMBER(deployment_raw[[#This Row],[Column5]]), deployment_raw[[#This Row],[Column5]],"")</f>
        <v/>
      </c>
      <c r="F184" s="94" t="str">
        <f>IF(ISNUMBER(deployment_raw[[#This Row],[Column6]]), (deployment_raw[[#This Row],[Column6]] * IF($E$2="Deployment",deployment_raw[[#This Row],[Column5]],1)),"")</f>
        <v/>
      </c>
      <c r="G184" s="95" t="str">
        <f>IF(ISNUMBER(deployment_raw[[#This Row],[Column7]]), (deployment_raw[[#This Row],[Column7]] * IF($E$2="Deployment",deployment_raw[[#This Row],[Column5]],1))/1048576,"")</f>
        <v/>
      </c>
      <c r="H184" s="95" t="str">
        <f>IF(ISNUMBER(deployment_raw[[#This Row],[Column8]]), (deployment_raw[[#This Row],[Column8]]  * IF($E$2="Deployment",deployment_raw[[#This Row],[Column5]],1)),"")</f>
        <v/>
      </c>
      <c r="I184" s="96" t="str">
        <f>IF(ISNUMBER(deployment_raw[[#This Row],[Column9]]), (deployment_raw[[#This Row],[Column9]] * IF($E$2="Deployment",deployment_raw[[#This Row],[Column5]],1))/1048576,"")</f>
        <v/>
      </c>
      <c r="J184" s="122" t="str">
        <f>IF(ISNUMBER(deployment_raw[[#This Row],[Column10]]), (MIN(IF(N184&lt;&gt;"",N184,9999999999999)*1.1,deployment_raw[[#This Row],[Column10]] * IF($E$2="Deployment",deployment_raw[[#This Row],[Column5]],1))),"")</f>
        <v/>
      </c>
      <c r="K184" s="123" t="str">
        <f>IF(ISNUMBER(deployment_raw[[#This Row],[Column11]]), (MIN(IF(O184&lt;&gt;"",O184,9999999999999)*1.1,deployment_raw[[#This Row],[Column11]] * IF($E$2="Deployment",deployment_raw[[#This Row],[Column5]],1)/1048576)),"")</f>
        <v/>
      </c>
      <c r="L184" s="124" t="str">
        <f>IF(ISNUMBER(deployment_raw[[#This Row],[Column8]]),IF(OR(deployment_raw[[#This Row],[Column5]] &lt;&gt; 0,$E$2 &lt;&gt; "Deployment"), MAX(J184, P184, R184, ($L$2 * IF($E$2="Deployment",deployment_raw[[#This Row],[Column5]],1)),IF(T184&lt;&gt;"",VALUE(T184) * IF($E$2="Deployment",deployment_raw[[#This Row],[Column5]],1),0)), 0),"")</f>
        <v/>
      </c>
      <c r="M184" s="125" t="str">
        <f>IF(ISNUMBER(deployment_raw[[#This Row],[Column9]]),IF(OR(deployment_raw[[#This Row],[Column5]] &lt;&gt; 0,$E$2&lt;&gt;"Deployment"), MAX(K184, Q184, S184, ($M$2 * IF($E$2="Deployment",deployment_raw[[#This Row],[Column5]],1)),IF(U184&lt;&gt;"",VALUE(U184) * IF($E$2="Deployment",deployment_raw[[#This Row],[Column5]],1),0)), 0),"")</f>
        <v/>
      </c>
      <c r="N184" s="166" t="str">
        <f>IF(ISNUMBER(deployment_raw[[#This Row],[Column14]]), deployment_raw[[#This Row],[Column14]]/IF(OR($E$2="Deployment",deployment_raw[[#This Row],[Column5]]=0),1,deployment_raw[[#This Row],[Column5]]),"")</f>
        <v/>
      </c>
      <c r="O184" s="167" t="str">
        <f>IF(ISNUMBER(deployment_raw[[#This Row],[Column15]]), deployment_raw[[#This Row],[Column15]]/IF(OR($E$2="Deployment",deployment_raw[[#This Row],[Column5]]=0),1,deployment_raw[[#This Row],[Column5]])/1048576,"")</f>
        <v/>
      </c>
      <c r="P184" s="168" t="str">
        <f>IF(ISNUMBER(deployment_raw[[#This Row],[Column12]]), (MIN(IF(N184&lt;&gt;"",N184,9999999999999)*1.1,deployment_raw[[#This Row],[Column12]] * IF($E$2="Deployment",deployment_raw[[#This Row],[Column5]],1))*(1+$P$2)),"")</f>
        <v/>
      </c>
      <c r="Q184" s="167" t="str">
        <f>IF(ISNUMBER(deployment_raw[[#This Row],[Column13]]), (MIN(IF(O184&lt;&gt;"",O184,9999999999999)*1.1,deployment_raw[[#This Row],[Column13]] * IF($E$2="Deployment",deployment_raw[[#This Row],[Column5]],1)*(1+$Q$2)/1048576)),"")</f>
        <v/>
      </c>
      <c r="R184" s="169" t="str">
        <f>IF(ISNUMBER(deployment_raw[[#This Row],[Column8]]), (H184  * IF(N184&lt;&gt;0,$R$2,1)),"")</f>
        <v/>
      </c>
      <c r="S184" s="170" t="str">
        <f>IF(ISNUMBER(deployment_raw[[#This Row],[Column8]]), (I184  * IF(O184&lt;&gt;0,$S$2,1)),"")</f>
        <v/>
      </c>
      <c r="T184" s="202" t="str">
        <f>IF(AND(A184&lt;&gt;"",_xlfn.IFNA(MATCH(A184,'dynamic resource application '!$A$2:$A$100, 0),0)&lt;&gt;0), H184/(IF($E$2="Deployment",E184,1)),"")</f>
        <v/>
      </c>
      <c r="U184" s="211" t="str">
        <f>IF(AND(A184&lt;&gt;"",_xlfn.IFNA(MATCH(A184,'dynamic resource application '!$A$2:$A$100, 0),0)&lt;&gt;0), I184/(IF($E$2="Deployment",E184,1)),"")</f>
        <v/>
      </c>
    </row>
    <row r="185" spans="1:21" ht="15.75" customHeight="1" x14ac:dyDescent="0.25">
      <c r="A185" s="35" t="str">
        <f>IF(ISNONTEXT(deployment_raw[[#This Row],[Column1]]), "", deployment_raw[[#This Row],[Column1]])</f>
        <v/>
      </c>
      <c r="B185" s="36" t="str">
        <f>IF(ISNONTEXT(deployment_raw[[#This Row],[Column2]]), "", deployment_raw[[#This Row],[Column2]])</f>
        <v/>
      </c>
      <c r="C185" s="36" t="str">
        <f>IF(ISNONTEXT(deployment_raw[[#This Row],[Column3]]), "", deployment_raw[[#This Row],[Column3]])</f>
        <v/>
      </c>
      <c r="D185" s="36" t="str">
        <f>IF(ISNONTEXT(deployment_raw[[#This Row],[Column4]]), "", deployment_raw[[#This Row],[Column4]])</f>
        <v/>
      </c>
      <c r="E185" s="37" t="str">
        <f>IF(ISNUMBER(deployment_raw[[#This Row],[Column5]]), deployment_raw[[#This Row],[Column5]],"")</f>
        <v/>
      </c>
      <c r="F185" s="94" t="str">
        <f>IF(ISNUMBER(deployment_raw[[#This Row],[Column6]]), (deployment_raw[[#This Row],[Column6]] * IF($E$2="Deployment",deployment_raw[[#This Row],[Column5]],1)),"")</f>
        <v/>
      </c>
      <c r="G185" s="95" t="str">
        <f>IF(ISNUMBER(deployment_raw[[#This Row],[Column7]]), (deployment_raw[[#This Row],[Column7]] * IF($E$2="Deployment",deployment_raw[[#This Row],[Column5]],1))/1048576,"")</f>
        <v/>
      </c>
      <c r="H185" s="95" t="str">
        <f>IF(ISNUMBER(deployment_raw[[#This Row],[Column8]]), (deployment_raw[[#This Row],[Column8]]  * IF($E$2="Deployment",deployment_raw[[#This Row],[Column5]],1)),"")</f>
        <v/>
      </c>
      <c r="I185" s="96" t="str">
        <f>IF(ISNUMBER(deployment_raw[[#This Row],[Column9]]), (deployment_raw[[#This Row],[Column9]] * IF($E$2="Deployment",deployment_raw[[#This Row],[Column5]],1))/1048576,"")</f>
        <v/>
      </c>
      <c r="J185" s="122" t="str">
        <f>IF(ISNUMBER(deployment_raw[[#This Row],[Column10]]), (MIN(IF(N185&lt;&gt;"",N185,9999999999999)*1.1,deployment_raw[[#This Row],[Column10]] * IF($E$2="Deployment",deployment_raw[[#This Row],[Column5]],1))),"")</f>
        <v/>
      </c>
      <c r="K185" s="123" t="str">
        <f>IF(ISNUMBER(deployment_raw[[#This Row],[Column11]]), (MIN(IF(O185&lt;&gt;"",O185,9999999999999)*1.1,deployment_raw[[#This Row],[Column11]] * IF($E$2="Deployment",deployment_raw[[#This Row],[Column5]],1)/1048576)),"")</f>
        <v/>
      </c>
      <c r="L185" s="124" t="str">
        <f>IF(ISNUMBER(deployment_raw[[#This Row],[Column8]]),IF(OR(deployment_raw[[#This Row],[Column5]] &lt;&gt; 0,$E$2 &lt;&gt; "Deployment"), MAX(J185, P185, R185, ($L$2 * IF($E$2="Deployment",deployment_raw[[#This Row],[Column5]],1)),IF(T185&lt;&gt;"",VALUE(T185) * IF($E$2="Deployment",deployment_raw[[#This Row],[Column5]],1),0)), 0),"")</f>
        <v/>
      </c>
      <c r="M185" s="125" t="str">
        <f>IF(ISNUMBER(deployment_raw[[#This Row],[Column9]]),IF(OR(deployment_raw[[#This Row],[Column5]] &lt;&gt; 0,$E$2&lt;&gt;"Deployment"), MAX(K185, Q185, S185, ($M$2 * IF($E$2="Deployment",deployment_raw[[#This Row],[Column5]],1)),IF(U185&lt;&gt;"",VALUE(U185) * IF($E$2="Deployment",deployment_raw[[#This Row],[Column5]],1),0)), 0),"")</f>
        <v/>
      </c>
      <c r="N185" s="166" t="str">
        <f>IF(ISNUMBER(deployment_raw[[#This Row],[Column14]]), deployment_raw[[#This Row],[Column14]]/IF(OR($E$2="Deployment",deployment_raw[[#This Row],[Column5]]=0),1,deployment_raw[[#This Row],[Column5]]),"")</f>
        <v/>
      </c>
      <c r="O185" s="167" t="str">
        <f>IF(ISNUMBER(deployment_raw[[#This Row],[Column15]]), deployment_raw[[#This Row],[Column15]]/IF(OR($E$2="Deployment",deployment_raw[[#This Row],[Column5]]=0),1,deployment_raw[[#This Row],[Column5]])/1048576,"")</f>
        <v/>
      </c>
      <c r="P185" s="168" t="str">
        <f>IF(ISNUMBER(deployment_raw[[#This Row],[Column12]]), (MIN(IF(N185&lt;&gt;"",N185,9999999999999)*1.1,deployment_raw[[#This Row],[Column12]] * IF($E$2="Deployment",deployment_raw[[#This Row],[Column5]],1))*(1+$P$2)),"")</f>
        <v/>
      </c>
      <c r="Q185" s="167" t="str">
        <f>IF(ISNUMBER(deployment_raw[[#This Row],[Column13]]), (MIN(IF(O185&lt;&gt;"",O185,9999999999999)*1.1,deployment_raw[[#This Row],[Column13]] * IF($E$2="Deployment",deployment_raw[[#This Row],[Column5]],1)*(1+$Q$2)/1048576)),"")</f>
        <v/>
      </c>
      <c r="R185" s="169" t="str">
        <f>IF(ISNUMBER(deployment_raw[[#This Row],[Column8]]), (H185  * IF(N185&lt;&gt;0,$R$2,1)),"")</f>
        <v/>
      </c>
      <c r="S185" s="170" t="str">
        <f>IF(ISNUMBER(deployment_raw[[#This Row],[Column8]]), (I185  * IF(O185&lt;&gt;0,$S$2,1)),"")</f>
        <v/>
      </c>
      <c r="T185" s="202" t="str">
        <f>IF(AND(A185&lt;&gt;"",_xlfn.IFNA(MATCH(A185,'dynamic resource application '!$A$2:$A$100, 0),0)&lt;&gt;0), H185/(IF($E$2="Deployment",E185,1)),"")</f>
        <v/>
      </c>
      <c r="U185" s="211" t="str">
        <f>IF(AND(A185&lt;&gt;"",_xlfn.IFNA(MATCH(A185,'dynamic resource application '!$A$2:$A$100, 0),0)&lt;&gt;0), I185/(IF($E$2="Deployment",E185,1)),"")</f>
        <v/>
      </c>
    </row>
    <row r="186" spans="1:21" ht="15.75" customHeight="1" x14ac:dyDescent="0.25">
      <c r="A186" s="35" t="str">
        <f>IF(ISNONTEXT(deployment_raw[[#This Row],[Column1]]), "", deployment_raw[[#This Row],[Column1]])</f>
        <v/>
      </c>
      <c r="B186" s="36" t="str">
        <f>IF(ISNONTEXT(deployment_raw[[#This Row],[Column2]]), "", deployment_raw[[#This Row],[Column2]])</f>
        <v/>
      </c>
      <c r="C186" s="36" t="str">
        <f>IF(ISNONTEXT(deployment_raw[[#This Row],[Column3]]), "", deployment_raw[[#This Row],[Column3]])</f>
        <v/>
      </c>
      <c r="D186" s="36" t="str">
        <f>IF(ISNONTEXT(deployment_raw[[#This Row],[Column4]]), "", deployment_raw[[#This Row],[Column4]])</f>
        <v/>
      </c>
      <c r="E186" s="37" t="str">
        <f>IF(ISNUMBER(deployment_raw[[#This Row],[Column5]]), deployment_raw[[#This Row],[Column5]],"")</f>
        <v/>
      </c>
      <c r="F186" s="94" t="str">
        <f>IF(ISNUMBER(deployment_raw[[#This Row],[Column6]]), (deployment_raw[[#This Row],[Column6]] * IF($E$2="Deployment",deployment_raw[[#This Row],[Column5]],1)),"")</f>
        <v/>
      </c>
      <c r="G186" s="95" t="str">
        <f>IF(ISNUMBER(deployment_raw[[#This Row],[Column7]]), (deployment_raw[[#This Row],[Column7]] * IF($E$2="Deployment",deployment_raw[[#This Row],[Column5]],1))/1048576,"")</f>
        <v/>
      </c>
      <c r="H186" s="95" t="str">
        <f>IF(ISNUMBER(deployment_raw[[#This Row],[Column8]]), (deployment_raw[[#This Row],[Column8]]  * IF($E$2="Deployment",deployment_raw[[#This Row],[Column5]],1)),"")</f>
        <v/>
      </c>
      <c r="I186" s="96" t="str">
        <f>IF(ISNUMBER(deployment_raw[[#This Row],[Column9]]), (deployment_raw[[#This Row],[Column9]] * IF($E$2="Deployment",deployment_raw[[#This Row],[Column5]],1))/1048576,"")</f>
        <v/>
      </c>
      <c r="J186" s="122" t="str">
        <f>IF(ISNUMBER(deployment_raw[[#This Row],[Column10]]), (MIN(IF(N186&lt;&gt;"",N186,9999999999999)*1.1,deployment_raw[[#This Row],[Column10]] * IF($E$2="Deployment",deployment_raw[[#This Row],[Column5]],1))),"")</f>
        <v/>
      </c>
      <c r="K186" s="123" t="str">
        <f>IF(ISNUMBER(deployment_raw[[#This Row],[Column11]]), (MIN(IF(O186&lt;&gt;"",O186,9999999999999)*1.1,deployment_raw[[#This Row],[Column11]] * IF($E$2="Deployment",deployment_raw[[#This Row],[Column5]],1)/1048576)),"")</f>
        <v/>
      </c>
      <c r="L186" s="124" t="str">
        <f>IF(ISNUMBER(deployment_raw[[#This Row],[Column8]]),IF(OR(deployment_raw[[#This Row],[Column5]] &lt;&gt; 0,$E$2 &lt;&gt; "Deployment"), MAX(J186, P186, R186, ($L$2 * IF($E$2="Deployment",deployment_raw[[#This Row],[Column5]],1)),IF(T186&lt;&gt;"",VALUE(T186) * IF($E$2="Deployment",deployment_raw[[#This Row],[Column5]],1),0)), 0),"")</f>
        <v/>
      </c>
      <c r="M186" s="125" t="str">
        <f>IF(ISNUMBER(deployment_raw[[#This Row],[Column9]]),IF(OR(deployment_raw[[#This Row],[Column5]] &lt;&gt; 0,$E$2&lt;&gt;"Deployment"), MAX(K186, Q186, S186, ($M$2 * IF($E$2="Deployment",deployment_raw[[#This Row],[Column5]],1)),IF(U186&lt;&gt;"",VALUE(U186) * IF($E$2="Deployment",deployment_raw[[#This Row],[Column5]],1),0)), 0),"")</f>
        <v/>
      </c>
      <c r="N186" s="166" t="str">
        <f>IF(ISNUMBER(deployment_raw[[#This Row],[Column14]]), deployment_raw[[#This Row],[Column14]]/IF(OR($E$2="Deployment",deployment_raw[[#This Row],[Column5]]=0),1,deployment_raw[[#This Row],[Column5]]),"")</f>
        <v/>
      </c>
      <c r="O186" s="167" t="str">
        <f>IF(ISNUMBER(deployment_raw[[#This Row],[Column15]]), deployment_raw[[#This Row],[Column15]]/IF(OR($E$2="Deployment",deployment_raw[[#This Row],[Column5]]=0),1,deployment_raw[[#This Row],[Column5]])/1048576,"")</f>
        <v/>
      </c>
      <c r="P186" s="168" t="str">
        <f>IF(ISNUMBER(deployment_raw[[#This Row],[Column12]]), (MIN(IF(N186&lt;&gt;"",N186,9999999999999)*1.1,deployment_raw[[#This Row],[Column12]] * IF($E$2="Deployment",deployment_raw[[#This Row],[Column5]],1))*(1+$P$2)),"")</f>
        <v/>
      </c>
      <c r="Q186" s="167" t="str">
        <f>IF(ISNUMBER(deployment_raw[[#This Row],[Column13]]), (MIN(IF(O186&lt;&gt;"",O186,9999999999999)*1.1,deployment_raw[[#This Row],[Column13]] * IF($E$2="Deployment",deployment_raw[[#This Row],[Column5]],1)*(1+$Q$2)/1048576)),"")</f>
        <v/>
      </c>
      <c r="R186" s="169" t="str">
        <f>IF(ISNUMBER(deployment_raw[[#This Row],[Column8]]), (H186  * IF(N186&lt;&gt;0,$R$2,1)),"")</f>
        <v/>
      </c>
      <c r="S186" s="170" t="str">
        <f>IF(ISNUMBER(deployment_raw[[#This Row],[Column8]]), (I186  * IF(O186&lt;&gt;0,$S$2,1)),"")</f>
        <v/>
      </c>
      <c r="T186" s="202" t="str">
        <f>IF(AND(A186&lt;&gt;"",_xlfn.IFNA(MATCH(A186,'dynamic resource application '!$A$2:$A$100, 0),0)&lt;&gt;0), H186/(IF($E$2="Deployment",E186,1)),"")</f>
        <v/>
      </c>
      <c r="U186" s="211" t="str">
        <f>IF(AND(A186&lt;&gt;"",_xlfn.IFNA(MATCH(A186,'dynamic resource application '!$A$2:$A$100, 0),0)&lt;&gt;0), I186/(IF($E$2="Deployment",E186,1)),"")</f>
        <v/>
      </c>
    </row>
    <row r="187" spans="1:21" ht="15.75" customHeight="1" x14ac:dyDescent="0.25">
      <c r="A187" s="35" t="str">
        <f>IF(ISNONTEXT(deployment_raw[[#This Row],[Column1]]), "", deployment_raw[[#This Row],[Column1]])</f>
        <v/>
      </c>
      <c r="B187" s="36" t="str">
        <f>IF(ISNONTEXT(deployment_raw[[#This Row],[Column2]]), "", deployment_raw[[#This Row],[Column2]])</f>
        <v/>
      </c>
      <c r="C187" s="36" t="str">
        <f>IF(ISNONTEXT(deployment_raw[[#This Row],[Column3]]), "", deployment_raw[[#This Row],[Column3]])</f>
        <v/>
      </c>
      <c r="D187" s="36" t="str">
        <f>IF(ISNONTEXT(deployment_raw[[#This Row],[Column4]]), "", deployment_raw[[#This Row],[Column4]])</f>
        <v/>
      </c>
      <c r="E187" s="37" t="str">
        <f>IF(ISNUMBER(deployment_raw[[#This Row],[Column5]]), deployment_raw[[#This Row],[Column5]],"")</f>
        <v/>
      </c>
      <c r="F187" s="94" t="str">
        <f>IF(ISNUMBER(deployment_raw[[#This Row],[Column6]]), (deployment_raw[[#This Row],[Column6]] * IF($E$2="Deployment",deployment_raw[[#This Row],[Column5]],1)),"")</f>
        <v/>
      </c>
      <c r="G187" s="95" t="str">
        <f>IF(ISNUMBER(deployment_raw[[#This Row],[Column7]]), (deployment_raw[[#This Row],[Column7]] * IF($E$2="Deployment",deployment_raw[[#This Row],[Column5]],1))/1048576,"")</f>
        <v/>
      </c>
      <c r="H187" s="95" t="str">
        <f>IF(ISNUMBER(deployment_raw[[#This Row],[Column8]]), (deployment_raw[[#This Row],[Column8]]  * IF($E$2="Deployment",deployment_raw[[#This Row],[Column5]],1)),"")</f>
        <v/>
      </c>
      <c r="I187" s="96" t="str">
        <f>IF(ISNUMBER(deployment_raw[[#This Row],[Column9]]), (deployment_raw[[#This Row],[Column9]] * IF($E$2="Deployment",deployment_raw[[#This Row],[Column5]],1))/1048576,"")</f>
        <v/>
      </c>
      <c r="J187" s="122" t="str">
        <f>IF(ISNUMBER(deployment_raw[[#This Row],[Column10]]), (MIN(IF(N187&lt;&gt;"",N187,9999999999999)*1.1,deployment_raw[[#This Row],[Column10]] * IF($E$2="Deployment",deployment_raw[[#This Row],[Column5]],1))),"")</f>
        <v/>
      </c>
      <c r="K187" s="123" t="str">
        <f>IF(ISNUMBER(deployment_raw[[#This Row],[Column11]]), (MIN(IF(O187&lt;&gt;"",O187,9999999999999)*1.1,deployment_raw[[#This Row],[Column11]] * IF($E$2="Deployment",deployment_raw[[#This Row],[Column5]],1)/1048576)),"")</f>
        <v/>
      </c>
      <c r="L187" s="124" t="str">
        <f>IF(ISNUMBER(deployment_raw[[#This Row],[Column8]]),IF(OR(deployment_raw[[#This Row],[Column5]] &lt;&gt; 0,$E$2 &lt;&gt; "Deployment"), MAX(J187, P187, R187, ($L$2 * IF($E$2="Deployment",deployment_raw[[#This Row],[Column5]],1)),IF(T187&lt;&gt;"",VALUE(T187) * IF($E$2="Deployment",deployment_raw[[#This Row],[Column5]],1),0)), 0),"")</f>
        <v/>
      </c>
      <c r="M187" s="125" t="str">
        <f>IF(ISNUMBER(deployment_raw[[#This Row],[Column9]]),IF(OR(deployment_raw[[#This Row],[Column5]] &lt;&gt; 0,$E$2&lt;&gt;"Deployment"), MAX(K187, Q187, S187, ($M$2 * IF($E$2="Deployment",deployment_raw[[#This Row],[Column5]],1)),IF(U187&lt;&gt;"",VALUE(U187) * IF($E$2="Deployment",deployment_raw[[#This Row],[Column5]],1),0)), 0),"")</f>
        <v/>
      </c>
      <c r="N187" s="166" t="str">
        <f>IF(ISNUMBER(deployment_raw[[#This Row],[Column14]]), deployment_raw[[#This Row],[Column14]]/IF(OR($E$2="Deployment",deployment_raw[[#This Row],[Column5]]=0),1,deployment_raw[[#This Row],[Column5]]),"")</f>
        <v/>
      </c>
      <c r="O187" s="167" t="str">
        <f>IF(ISNUMBER(deployment_raw[[#This Row],[Column15]]), deployment_raw[[#This Row],[Column15]]/IF(OR($E$2="Deployment",deployment_raw[[#This Row],[Column5]]=0),1,deployment_raw[[#This Row],[Column5]])/1048576,"")</f>
        <v/>
      </c>
      <c r="P187" s="168" t="str">
        <f>IF(ISNUMBER(deployment_raw[[#This Row],[Column12]]), (MIN(IF(N187&lt;&gt;"",N187,9999999999999)*1.1,deployment_raw[[#This Row],[Column12]] * IF($E$2="Deployment",deployment_raw[[#This Row],[Column5]],1))*(1+$P$2)),"")</f>
        <v/>
      </c>
      <c r="Q187" s="167" t="str">
        <f>IF(ISNUMBER(deployment_raw[[#This Row],[Column13]]), (MIN(IF(O187&lt;&gt;"",O187,9999999999999)*1.1,deployment_raw[[#This Row],[Column13]] * IF($E$2="Deployment",deployment_raw[[#This Row],[Column5]],1)*(1+$Q$2)/1048576)),"")</f>
        <v/>
      </c>
      <c r="R187" s="169" t="str">
        <f>IF(ISNUMBER(deployment_raw[[#This Row],[Column8]]), (H187  * IF(N187&lt;&gt;0,$R$2,1)),"")</f>
        <v/>
      </c>
      <c r="S187" s="170" t="str">
        <f>IF(ISNUMBER(deployment_raw[[#This Row],[Column8]]), (I187  * IF(O187&lt;&gt;0,$S$2,1)),"")</f>
        <v/>
      </c>
      <c r="T187" s="202" t="str">
        <f>IF(AND(A187&lt;&gt;"",_xlfn.IFNA(MATCH(A187,'dynamic resource application '!$A$2:$A$100, 0),0)&lt;&gt;0), H187/(IF($E$2="Deployment",E187,1)),"")</f>
        <v/>
      </c>
      <c r="U187" s="211" t="str">
        <f>IF(AND(A187&lt;&gt;"",_xlfn.IFNA(MATCH(A187,'dynamic resource application '!$A$2:$A$100, 0),0)&lt;&gt;0), I187/(IF($E$2="Deployment",E187,1)),"")</f>
        <v/>
      </c>
    </row>
    <row r="188" spans="1:21" ht="15.75" customHeight="1" x14ac:dyDescent="0.25">
      <c r="A188" s="35" t="str">
        <f>IF(ISNONTEXT(deployment_raw[[#This Row],[Column1]]), "", deployment_raw[[#This Row],[Column1]])</f>
        <v/>
      </c>
      <c r="B188" s="36" t="str">
        <f>IF(ISNONTEXT(deployment_raw[[#This Row],[Column2]]), "", deployment_raw[[#This Row],[Column2]])</f>
        <v/>
      </c>
      <c r="C188" s="36" t="str">
        <f>IF(ISNONTEXT(deployment_raw[[#This Row],[Column3]]), "", deployment_raw[[#This Row],[Column3]])</f>
        <v/>
      </c>
      <c r="D188" s="36" t="str">
        <f>IF(ISNONTEXT(deployment_raw[[#This Row],[Column4]]), "", deployment_raw[[#This Row],[Column4]])</f>
        <v/>
      </c>
      <c r="E188" s="37" t="str">
        <f>IF(ISNUMBER(deployment_raw[[#This Row],[Column5]]), deployment_raw[[#This Row],[Column5]],"")</f>
        <v/>
      </c>
      <c r="F188" s="94" t="str">
        <f>IF(ISNUMBER(deployment_raw[[#This Row],[Column6]]), (deployment_raw[[#This Row],[Column6]] * IF($E$2="Deployment",deployment_raw[[#This Row],[Column5]],1)),"")</f>
        <v/>
      </c>
      <c r="G188" s="95" t="str">
        <f>IF(ISNUMBER(deployment_raw[[#This Row],[Column7]]), (deployment_raw[[#This Row],[Column7]] * IF($E$2="Deployment",deployment_raw[[#This Row],[Column5]],1))/1048576,"")</f>
        <v/>
      </c>
      <c r="H188" s="95" t="str">
        <f>IF(ISNUMBER(deployment_raw[[#This Row],[Column8]]), (deployment_raw[[#This Row],[Column8]]  * IF($E$2="Deployment",deployment_raw[[#This Row],[Column5]],1)),"")</f>
        <v/>
      </c>
      <c r="I188" s="96" t="str">
        <f>IF(ISNUMBER(deployment_raw[[#This Row],[Column9]]), (deployment_raw[[#This Row],[Column9]] * IF($E$2="Deployment",deployment_raw[[#This Row],[Column5]],1))/1048576,"")</f>
        <v/>
      </c>
      <c r="J188" s="122" t="str">
        <f>IF(ISNUMBER(deployment_raw[[#This Row],[Column10]]), (MIN(IF(N188&lt;&gt;"",N188,9999999999999)*1.1,deployment_raw[[#This Row],[Column10]] * IF($E$2="Deployment",deployment_raw[[#This Row],[Column5]],1))),"")</f>
        <v/>
      </c>
      <c r="K188" s="123" t="str">
        <f>IF(ISNUMBER(deployment_raw[[#This Row],[Column11]]), (MIN(IF(O188&lt;&gt;"",O188,9999999999999)*1.1,deployment_raw[[#This Row],[Column11]] * IF($E$2="Deployment",deployment_raw[[#This Row],[Column5]],1)/1048576)),"")</f>
        <v/>
      </c>
      <c r="L188" s="124" t="str">
        <f>IF(ISNUMBER(deployment_raw[[#This Row],[Column8]]),IF(OR(deployment_raw[[#This Row],[Column5]] &lt;&gt; 0,$E$2 &lt;&gt; "Deployment"), MAX(J188, P188, R188, ($L$2 * IF($E$2="Deployment",deployment_raw[[#This Row],[Column5]],1)),IF(T188&lt;&gt;"",VALUE(T188) * IF($E$2="Deployment",deployment_raw[[#This Row],[Column5]],1),0)), 0),"")</f>
        <v/>
      </c>
      <c r="M188" s="125" t="str">
        <f>IF(ISNUMBER(deployment_raw[[#This Row],[Column9]]),IF(OR(deployment_raw[[#This Row],[Column5]] &lt;&gt; 0,$E$2&lt;&gt;"Deployment"), MAX(K188, Q188, S188, ($M$2 * IF($E$2="Deployment",deployment_raw[[#This Row],[Column5]],1)),IF(U188&lt;&gt;"",VALUE(U188) * IF($E$2="Deployment",deployment_raw[[#This Row],[Column5]],1),0)), 0),"")</f>
        <v/>
      </c>
      <c r="N188" s="166" t="str">
        <f>IF(ISNUMBER(deployment_raw[[#This Row],[Column14]]), deployment_raw[[#This Row],[Column14]]/IF(OR($E$2="Deployment",deployment_raw[[#This Row],[Column5]]=0),1,deployment_raw[[#This Row],[Column5]]),"")</f>
        <v/>
      </c>
      <c r="O188" s="167" t="str">
        <f>IF(ISNUMBER(deployment_raw[[#This Row],[Column15]]), deployment_raw[[#This Row],[Column15]]/IF(OR($E$2="Deployment",deployment_raw[[#This Row],[Column5]]=0),1,deployment_raw[[#This Row],[Column5]])/1048576,"")</f>
        <v/>
      </c>
      <c r="P188" s="168" t="str">
        <f>IF(ISNUMBER(deployment_raw[[#This Row],[Column12]]), (MIN(IF(N188&lt;&gt;"",N188,9999999999999)*1.1,deployment_raw[[#This Row],[Column12]] * IF($E$2="Deployment",deployment_raw[[#This Row],[Column5]],1))*(1+$P$2)),"")</f>
        <v/>
      </c>
      <c r="Q188" s="167" t="str">
        <f>IF(ISNUMBER(deployment_raw[[#This Row],[Column13]]), (MIN(IF(O188&lt;&gt;"",O188,9999999999999)*1.1,deployment_raw[[#This Row],[Column13]] * IF($E$2="Deployment",deployment_raw[[#This Row],[Column5]],1)*(1+$Q$2)/1048576)),"")</f>
        <v/>
      </c>
      <c r="R188" s="169" t="str">
        <f>IF(ISNUMBER(deployment_raw[[#This Row],[Column8]]), (H188  * IF(N188&lt;&gt;0,$R$2,1)),"")</f>
        <v/>
      </c>
      <c r="S188" s="170" t="str">
        <f>IF(ISNUMBER(deployment_raw[[#This Row],[Column8]]), (I188  * IF(O188&lt;&gt;0,$S$2,1)),"")</f>
        <v/>
      </c>
      <c r="T188" s="202" t="str">
        <f>IF(AND(A188&lt;&gt;"",_xlfn.IFNA(MATCH(A188,'dynamic resource application '!$A$2:$A$100, 0),0)&lt;&gt;0), H188/(IF($E$2="Deployment",E188,1)),"")</f>
        <v/>
      </c>
      <c r="U188" s="211" t="str">
        <f>IF(AND(A188&lt;&gt;"",_xlfn.IFNA(MATCH(A188,'dynamic resource application '!$A$2:$A$100, 0),0)&lt;&gt;0), I188/(IF($E$2="Deployment",E188,1)),"")</f>
        <v/>
      </c>
    </row>
    <row r="189" spans="1:21" ht="15.75" customHeight="1" x14ac:dyDescent="0.25">
      <c r="A189" s="35" t="str">
        <f>IF(ISNONTEXT(deployment_raw[[#This Row],[Column1]]), "", deployment_raw[[#This Row],[Column1]])</f>
        <v/>
      </c>
      <c r="B189" s="36" t="str">
        <f>IF(ISNONTEXT(deployment_raw[[#This Row],[Column2]]), "", deployment_raw[[#This Row],[Column2]])</f>
        <v/>
      </c>
      <c r="C189" s="36" t="str">
        <f>IF(ISNONTEXT(deployment_raw[[#This Row],[Column3]]), "", deployment_raw[[#This Row],[Column3]])</f>
        <v/>
      </c>
      <c r="D189" s="36" t="str">
        <f>IF(ISNONTEXT(deployment_raw[[#This Row],[Column4]]), "", deployment_raw[[#This Row],[Column4]])</f>
        <v/>
      </c>
      <c r="E189" s="37" t="str">
        <f>IF(ISNUMBER(deployment_raw[[#This Row],[Column5]]), deployment_raw[[#This Row],[Column5]],"")</f>
        <v/>
      </c>
      <c r="F189" s="94" t="str">
        <f>IF(ISNUMBER(deployment_raw[[#This Row],[Column6]]), (deployment_raw[[#This Row],[Column6]] * IF($E$2="Deployment",deployment_raw[[#This Row],[Column5]],1)),"")</f>
        <v/>
      </c>
      <c r="G189" s="95" t="str">
        <f>IF(ISNUMBER(deployment_raw[[#This Row],[Column7]]), (deployment_raw[[#This Row],[Column7]] * IF($E$2="Deployment",deployment_raw[[#This Row],[Column5]],1))/1048576,"")</f>
        <v/>
      </c>
      <c r="H189" s="95" t="str">
        <f>IF(ISNUMBER(deployment_raw[[#This Row],[Column8]]), (deployment_raw[[#This Row],[Column8]]  * IF($E$2="Deployment",deployment_raw[[#This Row],[Column5]],1)),"")</f>
        <v/>
      </c>
      <c r="I189" s="96" t="str">
        <f>IF(ISNUMBER(deployment_raw[[#This Row],[Column9]]), (deployment_raw[[#This Row],[Column9]] * IF($E$2="Deployment",deployment_raw[[#This Row],[Column5]],1))/1048576,"")</f>
        <v/>
      </c>
      <c r="J189" s="122" t="str">
        <f>IF(ISNUMBER(deployment_raw[[#This Row],[Column10]]), (MIN(IF(N189&lt;&gt;"",N189,9999999999999)*1.1,deployment_raw[[#This Row],[Column10]] * IF($E$2="Deployment",deployment_raw[[#This Row],[Column5]],1))),"")</f>
        <v/>
      </c>
      <c r="K189" s="123" t="str">
        <f>IF(ISNUMBER(deployment_raw[[#This Row],[Column11]]), (MIN(IF(O189&lt;&gt;"",O189,9999999999999)*1.1,deployment_raw[[#This Row],[Column11]] * IF($E$2="Deployment",deployment_raw[[#This Row],[Column5]],1)/1048576)),"")</f>
        <v/>
      </c>
      <c r="L189" s="124" t="str">
        <f>IF(ISNUMBER(deployment_raw[[#This Row],[Column8]]),IF(OR(deployment_raw[[#This Row],[Column5]] &lt;&gt; 0,$E$2 &lt;&gt; "Deployment"), MAX(J189, P189, R189, ($L$2 * IF($E$2="Deployment",deployment_raw[[#This Row],[Column5]],1)),IF(T189&lt;&gt;"",VALUE(T189) * IF($E$2="Deployment",deployment_raw[[#This Row],[Column5]],1),0)), 0),"")</f>
        <v/>
      </c>
      <c r="M189" s="125" t="str">
        <f>IF(ISNUMBER(deployment_raw[[#This Row],[Column9]]),IF(OR(deployment_raw[[#This Row],[Column5]] &lt;&gt; 0,$E$2&lt;&gt;"Deployment"), MAX(K189, Q189, S189, ($M$2 * IF($E$2="Deployment",deployment_raw[[#This Row],[Column5]],1)),IF(U189&lt;&gt;"",VALUE(U189) * IF($E$2="Deployment",deployment_raw[[#This Row],[Column5]],1),0)), 0),"")</f>
        <v/>
      </c>
      <c r="N189" s="166" t="str">
        <f>IF(ISNUMBER(deployment_raw[[#This Row],[Column14]]), deployment_raw[[#This Row],[Column14]]/IF(OR($E$2="Deployment",deployment_raw[[#This Row],[Column5]]=0),1,deployment_raw[[#This Row],[Column5]]),"")</f>
        <v/>
      </c>
      <c r="O189" s="167" t="str">
        <f>IF(ISNUMBER(deployment_raw[[#This Row],[Column15]]), deployment_raw[[#This Row],[Column15]]/IF(OR($E$2="Deployment",deployment_raw[[#This Row],[Column5]]=0),1,deployment_raw[[#This Row],[Column5]])/1048576,"")</f>
        <v/>
      </c>
      <c r="P189" s="168" t="str">
        <f>IF(ISNUMBER(deployment_raw[[#This Row],[Column12]]), (MIN(IF(N189&lt;&gt;"",N189,9999999999999)*1.1,deployment_raw[[#This Row],[Column12]] * IF($E$2="Deployment",deployment_raw[[#This Row],[Column5]],1))*(1+$P$2)),"")</f>
        <v/>
      </c>
      <c r="Q189" s="167" t="str">
        <f>IF(ISNUMBER(deployment_raw[[#This Row],[Column13]]), (MIN(IF(O189&lt;&gt;"",O189,9999999999999)*1.1,deployment_raw[[#This Row],[Column13]] * IF($E$2="Deployment",deployment_raw[[#This Row],[Column5]],1)*(1+$Q$2)/1048576)),"")</f>
        <v/>
      </c>
      <c r="R189" s="169" t="str">
        <f>IF(ISNUMBER(deployment_raw[[#This Row],[Column8]]), (H189  * IF(N189&lt;&gt;0,$R$2,1)),"")</f>
        <v/>
      </c>
      <c r="S189" s="170" t="str">
        <f>IF(ISNUMBER(deployment_raw[[#This Row],[Column8]]), (I189  * IF(O189&lt;&gt;0,$S$2,1)),"")</f>
        <v/>
      </c>
      <c r="T189" s="202" t="str">
        <f>IF(AND(A189&lt;&gt;"",_xlfn.IFNA(MATCH(A189,'dynamic resource application '!$A$2:$A$100, 0),0)&lt;&gt;0), H189/(IF($E$2="Deployment",E189,1)),"")</f>
        <v/>
      </c>
      <c r="U189" s="211" t="str">
        <f>IF(AND(A189&lt;&gt;"",_xlfn.IFNA(MATCH(A189,'dynamic resource application '!$A$2:$A$100, 0),0)&lt;&gt;0), I189/(IF($E$2="Deployment",E189,1)),"")</f>
        <v/>
      </c>
    </row>
    <row r="190" spans="1:21" ht="15.75" customHeight="1" x14ac:dyDescent="0.25">
      <c r="A190" s="35" t="str">
        <f>IF(ISNONTEXT(deployment_raw[[#This Row],[Column1]]), "", deployment_raw[[#This Row],[Column1]])</f>
        <v/>
      </c>
      <c r="B190" s="36" t="str">
        <f>IF(ISNONTEXT(deployment_raw[[#This Row],[Column2]]), "", deployment_raw[[#This Row],[Column2]])</f>
        <v/>
      </c>
      <c r="C190" s="36" t="str">
        <f>IF(ISNONTEXT(deployment_raw[[#This Row],[Column3]]), "", deployment_raw[[#This Row],[Column3]])</f>
        <v/>
      </c>
      <c r="D190" s="36" t="str">
        <f>IF(ISNONTEXT(deployment_raw[[#This Row],[Column4]]), "", deployment_raw[[#This Row],[Column4]])</f>
        <v/>
      </c>
      <c r="E190" s="37" t="str">
        <f>IF(ISNUMBER(deployment_raw[[#This Row],[Column5]]), deployment_raw[[#This Row],[Column5]],"")</f>
        <v/>
      </c>
      <c r="F190" s="94" t="str">
        <f>IF(ISNUMBER(deployment_raw[[#This Row],[Column6]]), (deployment_raw[[#This Row],[Column6]] * IF($E$2="Deployment",deployment_raw[[#This Row],[Column5]],1)),"")</f>
        <v/>
      </c>
      <c r="G190" s="95" t="str">
        <f>IF(ISNUMBER(deployment_raw[[#This Row],[Column7]]), (deployment_raw[[#This Row],[Column7]] * IF($E$2="Deployment",deployment_raw[[#This Row],[Column5]],1))/1048576,"")</f>
        <v/>
      </c>
      <c r="H190" s="95" t="str">
        <f>IF(ISNUMBER(deployment_raw[[#This Row],[Column8]]), (deployment_raw[[#This Row],[Column8]]  * IF($E$2="Deployment",deployment_raw[[#This Row],[Column5]],1)),"")</f>
        <v/>
      </c>
      <c r="I190" s="96" t="str">
        <f>IF(ISNUMBER(deployment_raw[[#This Row],[Column9]]), (deployment_raw[[#This Row],[Column9]] * IF($E$2="Deployment",deployment_raw[[#This Row],[Column5]],1))/1048576,"")</f>
        <v/>
      </c>
      <c r="J190" s="122" t="str">
        <f>IF(ISNUMBER(deployment_raw[[#This Row],[Column10]]), (MIN(IF(N190&lt;&gt;"",N190,9999999999999)*1.1,deployment_raw[[#This Row],[Column10]] * IF($E$2="Deployment",deployment_raw[[#This Row],[Column5]],1))),"")</f>
        <v/>
      </c>
      <c r="K190" s="123" t="str">
        <f>IF(ISNUMBER(deployment_raw[[#This Row],[Column11]]), (MIN(IF(O190&lt;&gt;"",O190,9999999999999)*1.1,deployment_raw[[#This Row],[Column11]] * IF($E$2="Deployment",deployment_raw[[#This Row],[Column5]],1)/1048576)),"")</f>
        <v/>
      </c>
      <c r="L190" s="124" t="str">
        <f>IF(ISNUMBER(deployment_raw[[#This Row],[Column8]]),IF(OR(deployment_raw[[#This Row],[Column5]] &lt;&gt; 0,$E$2 &lt;&gt; "Deployment"), MAX(J190, P190, R190, ($L$2 * IF($E$2="Deployment",deployment_raw[[#This Row],[Column5]],1)),IF(T190&lt;&gt;"",VALUE(T190) * IF($E$2="Deployment",deployment_raw[[#This Row],[Column5]],1),0)), 0),"")</f>
        <v/>
      </c>
      <c r="M190" s="125" t="str">
        <f>IF(ISNUMBER(deployment_raw[[#This Row],[Column9]]),IF(OR(deployment_raw[[#This Row],[Column5]] &lt;&gt; 0,$E$2&lt;&gt;"Deployment"), MAX(K190, Q190, S190, ($M$2 * IF($E$2="Deployment",deployment_raw[[#This Row],[Column5]],1)),IF(U190&lt;&gt;"",VALUE(U190) * IF($E$2="Deployment",deployment_raw[[#This Row],[Column5]],1),0)), 0),"")</f>
        <v/>
      </c>
      <c r="N190" s="166" t="str">
        <f>IF(ISNUMBER(deployment_raw[[#This Row],[Column14]]), deployment_raw[[#This Row],[Column14]]/IF(OR($E$2="Deployment",deployment_raw[[#This Row],[Column5]]=0),1,deployment_raw[[#This Row],[Column5]]),"")</f>
        <v/>
      </c>
      <c r="O190" s="167" t="str">
        <f>IF(ISNUMBER(deployment_raw[[#This Row],[Column15]]), deployment_raw[[#This Row],[Column15]]/IF(OR($E$2="Deployment",deployment_raw[[#This Row],[Column5]]=0),1,deployment_raw[[#This Row],[Column5]])/1048576,"")</f>
        <v/>
      </c>
      <c r="P190" s="168" t="str">
        <f>IF(ISNUMBER(deployment_raw[[#This Row],[Column12]]), (MIN(IF(N190&lt;&gt;"",N190,9999999999999)*1.1,deployment_raw[[#This Row],[Column12]] * IF($E$2="Deployment",deployment_raw[[#This Row],[Column5]],1))*(1+$P$2)),"")</f>
        <v/>
      </c>
      <c r="Q190" s="167" t="str">
        <f>IF(ISNUMBER(deployment_raw[[#This Row],[Column13]]), (MIN(IF(O190&lt;&gt;"",O190,9999999999999)*1.1,deployment_raw[[#This Row],[Column13]] * IF($E$2="Deployment",deployment_raw[[#This Row],[Column5]],1)*(1+$Q$2)/1048576)),"")</f>
        <v/>
      </c>
      <c r="R190" s="169" t="str">
        <f>IF(ISNUMBER(deployment_raw[[#This Row],[Column8]]), (H190  * IF(N190&lt;&gt;0,$R$2,1)),"")</f>
        <v/>
      </c>
      <c r="S190" s="170" t="str">
        <f>IF(ISNUMBER(deployment_raw[[#This Row],[Column8]]), (I190  * IF(O190&lt;&gt;0,$S$2,1)),"")</f>
        <v/>
      </c>
      <c r="T190" s="202" t="str">
        <f>IF(AND(A190&lt;&gt;"",_xlfn.IFNA(MATCH(A190,'dynamic resource application '!$A$2:$A$100, 0),0)&lt;&gt;0), H190/(IF($E$2="Deployment",E190,1)),"")</f>
        <v/>
      </c>
      <c r="U190" s="211" t="str">
        <f>IF(AND(A190&lt;&gt;"",_xlfn.IFNA(MATCH(A190,'dynamic resource application '!$A$2:$A$100, 0),0)&lt;&gt;0), I190/(IF($E$2="Deployment",E190,1)),"")</f>
        <v/>
      </c>
    </row>
    <row r="191" spans="1:21" ht="15.75" customHeight="1" x14ac:dyDescent="0.25">
      <c r="A191" s="35" t="str">
        <f>IF(ISNONTEXT(deployment_raw[[#This Row],[Column1]]), "", deployment_raw[[#This Row],[Column1]])</f>
        <v/>
      </c>
      <c r="B191" s="36" t="str">
        <f>IF(ISNONTEXT(deployment_raw[[#This Row],[Column2]]), "", deployment_raw[[#This Row],[Column2]])</f>
        <v/>
      </c>
      <c r="C191" s="36" t="str">
        <f>IF(ISNONTEXT(deployment_raw[[#This Row],[Column3]]), "", deployment_raw[[#This Row],[Column3]])</f>
        <v/>
      </c>
      <c r="D191" s="36" t="str">
        <f>IF(ISNONTEXT(deployment_raw[[#This Row],[Column4]]), "", deployment_raw[[#This Row],[Column4]])</f>
        <v/>
      </c>
      <c r="E191" s="37" t="str">
        <f>IF(ISNUMBER(deployment_raw[[#This Row],[Column5]]), deployment_raw[[#This Row],[Column5]],"")</f>
        <v/>
      </c>
      <c r="F191" s="94" t="str">
        <f>IF(ISNUMBER(deployment_raw[[#This Row],[Column6]]), (deployment_raw[[#This Row],[Column6]] * IF($E$2="Deployment",deployment_raw[[#This Row],[Column5]],1)),"")</f>
        <v/>
      </c>
      <c r="G191" s="95" t="str">
        <f>IF(ISNUMBER(deployment_raw[[#This Row],[Column7]]), (deployment_raw[[#This Row],[Column7]] * IF($E$2="Deployment",deployment_raw[[#This Row],[Column5]],1))/1048576,"")</f>
        <v/>
      </c>
      <c r="H191" s="95" t="str">
        <f>IF(ISNUMBER(deployment_raw[[#This Row],[Column8]]), (deployment_raw[[#This Row],[Column8]]  * IF($E$2="Deployment",deployment_raw[[#This Row],[Column5]],1)),"")</f>
        <v/>
      </c>
      <c r="I191" s="96" t="str">
        <f>IF(ISNUMBER(deployment_raw[[#This Row],[Column9]]), (deployment_raw[[#This Row],[Column9]] * IF($E$2="Deployment",deployment_raw[[#This Row],[Column5]],1))/1048576,"")</f>
        <v/>
      </c>
      <c r="J191" s="122" t="str">
        <f>IF(ISNUMBER(deployment_raw[[#This Row],[Column10]]), (MIN(IF(N191&lt;&gt;"",N191,9999999999999)*1.1,deployment_raw[[#This Row],[Column10]] * IF($E$2="Deployment",deployment_raw[[#This Row],[Column5]],1))),"")</f>
        <v/>
      </c>
      <c r="K191" s="123" t="str">
        <f>IF(ISNUMBER(deployment_raw[[#This Row],[Column11]]), (MIN(IF(O191&lt;&gt;"",O191,9999999999999)*1.1,deployment_raw[[#This Row],[Column11]] * IF($E$2="Deployment",deployment_raw[[#This Row],[Column5]],1)/1048576)),"")</f>
        <v/>
      </c>
      <c r="L191" s="124" t="str">
        <f>IF(ISNUMBER(deployment_raw[[#This Row],[Column8]]),IF(OR(deployment_raw[[#This Row],[Column5]] &lt;&gt; 0,$E$2 &lt;&gt; "Deployment"), MAX(J191, P191, R191, ($L$2 * IF($E$2="Deployment",deployment_raw[[#This Row],[Column5]],1)),IF(T191&lt;&gt;"",VALUE(T191) * IF($E$2="Deployment",deployment_raw[[#This Row],[Column5]],1),0)), 0),"")</f>
        <v/>
      </c>
      <c r="M191" s="125" t="str">
        <f>IF(ISNUMBER(deployment_raw[[#This Row],[Column9]]),IF(OR(deployment_raw[[#This Row],[Column5]] &lt;&gt; 0,$E$2&lt;&gt;"Deployment"), MAX(K191, Q191, S191, ($M$2 * IF($E$2="Deployment",deployment_raw[[#This Row],[Column5]],1)),IF(U191&lt;&gt;"",VALUE(U191) * IF($E$2="Deployment",deployment_raw[[#This Row],[Column5]],1),0)), 0),"")</f>
        <v/>
      </c>
      <c r="N191" s="166" t="str">
        <f>IF(ISNUMBER(deployment_raw[[#This Row],[Column14]]), deployment_raw[[#This Row],[Column14]]/IF(OR($E$2="Deployment",deployment_raw[[#This Row],[Column5]]=0),1,deployment_raw[[#This Row],[Column5]]),"")</f>
        <v/>
      </c>
      <c r="O191" s="167" t="str">
        <f>IF(ISNUMBER(deployment_raw[[#This Row],[Column15]]), deployment_raw[[#This Row],[Column15]]/IF(OR($E$2="Deployment",deployment_raw[[#This Row],[Column5]]=0),1,deployment_raw[[#This Row],[Column5]])/1048576,"")</f>
        <v/>
      </c>
      <c r="P191" s="168" t="str">
        <f>IF(ISNUMBER(deployment_raw[[#This Row],[Column12]]), (MIN(IF(N191&lt;&gt;"",N191,9999999999999)*1.1,deployment_raw[[#This Row],[Column12]] * IF($E$2="Deployment",deployment_raw[[#This Row],[Column5]],1))*(1+$P$2)),"")</f>
        <v/>
      </c>
      <c r="Q191" s="167" t="str">
        <f>IF(ISNUMBER(deployment_raw[[#This Row],[Column13]]), (MIN(IF(O191&lt;&gt;"",O191,9999999999999)*1.1,deployment_raw[[#This Row],[Column13]] * IF($E$2="Deployment",deployment_raw[[#This Row],[Column5]],1)*(1+$Q$2)/1048576)),"")</f>
        <v/>
      </c>
      <c r="R191" s="169" t="str">
        <f>IF(ISNUMBER(deployment_raw[[#This Row],[Column8]]), (H191  * IF(N191&lt;&gt;0,$R$2,1)),"")</f>
        <v/>
      </c>
      <c r="S191" s="170" t="str">
        <f>IF(ISNUMBER(deployment_raw[[#This Row],[Column8]]), (I191  * IF(O191&lt;&gt;0,$S$2,1)),"")</f>
        <v/>
      </c>
      <c r="T191" s="202" t="str">
        <f>IF(AND(A191&lt;&gt;"",_xlfn.IFNA(MATCH(A191,'dynamic resource application '!$A$2:$A$100, 0),0)&lt;&gt;0), H191/(IF($E$2="Deployment",E191,1)),"")</f>
        <v/>
      </c>
      <c r="U191" s="211" t="str">
        <f>IF(AND(A191&lt;&gt;"",_xlfn.IFNA(MATCH(A191,'dynamic resource application '!$A$2:$A$100, 0),0)&lt;&gt;0), I191/(IF($E$2="Deployment",E191,1)),"")</f>
        <v/>
      </c>
    </row>
    <row r="192" spans="1:21" ht="15.75" customHeight="1" x14ac:dyDescent="0.25">
      <c r="A192" s="35" t="str">
        <f>IF(ISNONTEXT(deployment_raw[[#This Row],[Column1]]), "", deployment_raw[[#This Row],[Column1]])</f>
        <v/>
      </c>
      <c r="B192" s="36" t="str">
        <f>IF(ISNONTEXT(deployment_raw[[#This Row],[Column2]]), "", deployment_raw[[#This Row],[Column2]])</f>
        <v/>
      </c>
      <c r="C192" s="36" t="str">
        <f>IF(ISNONTEXT(deployment_raw[[#This Row],[Column3]]), "", deployment_raw[[#This Row],[Column3]])</f>
        <v/>
      </c>
      <c r="D192" s="36" t="str">
        <f>IF(ISNONTEXT(deployment_raw[[#This Row],[Column4]]), "", deployment_raw[[#This Row],[Column4]])</f>
        <v/>
      </c>
      <c r="E192" s="37" t="str">
        <f>IF(ISNUMBER(deployment_raw[[#This Row],[Column5]]), deployment_raw[[#This Row],[Column5]],"")</f>
        <v/>
      </c>
      <c r="F192" s="94" t="str">
        <f>IF(ISNUMBER(deployment_raw[[#This Row],[Column6]]), (deployment_raw[[#This Row],[Column6]] * IF($E$2="Deployment",deployment_raw[[#This Row],[Column5]],1)),"")</f>
        <v/>
      </c>
      <c r="G192" s="95" t="str">
        <f>IF(ISNUMBER(deployment_raw[[#This Row],[Column7]]), (deployment_raw[[#This Row],[Column7]] * IF($E$2="Deployment",deployment_raw[[#This Row],[Column5]],1))/1048576,"")</f>
        <v/>
      </c>
      <c r="H192" s="95" t="str">
        <f>IF(ISNUMBER(deployment_raw[[#This Row],[Column8]]), (deployment_raw[[#This Row],[Column8]]  * IF($E$2="Deployment",deployment_raw[[#This Row],[Column5]],1)),"")</f>
        <v/>
      </c>
      <c r="I192" s="96" t="str">
        <f>IF(ISNUMBER(deployment_raw[[#This Row],[Column9]]), (deployment_raw[[#This Row],[Column9]] * IF($E$2="Deployment",deployment_raw[[#This Row],[Column5]],1))/1048576,"")</f>
        <v/>
      </c>
      <c r="J192" s="122" t="str">
        <f>IF(ISNUMBER(deployment_raw[[#This Row],[Column10]]), (MIN(IF(N192&lt;&gt;"",N192,9999999999999)*1.1,deployment_raw[[#This Row],[Column10]] * IF($E$2="Deployment",deployment_raw[[#This Row],[Column5]],1))),"")</f>
        <v/>
      </c>
      <c r="K192" s="123" t="str">
        <f>IF(ISNUMBER(deployment_raw[[#This Row],[Column11]]), (MIN(IF(O192&lt;&gt;"",O192,9999999999999)*1.1,deployment_raw[[#This Row],[Column11]] * IF($E$2="Deployment",deployment_raw[[#This Row],[Column5]],1)/1048576)),"")</f>
        <v/>
      </c>
      <c r="L192" s="124" t="str">
        <f>IF(ISNUMBER(deployment_raw[[#This Row],[Column8]]),IF(OR(deployment_raw[[#This Row],[Column5]] &lt;&gt; 0,$E$2 &lt;&gt; "Deployment"), MAX(J192, P192, R192, ($L$2 * IF($E$2="Deployment",deployment_raw[[#This Row],[Column5]],1)),IF(T192&lt;&gt;"",VALUE(T192) * IF($E$2="Deployment",deployment_raw[[#This Row],[Column5]],1),0)), 0),"")</f>
        <v/>
      </c>
      <c r="M192" s="125" t="str">
        <f>IF(ISNUMBER(deployment_raw[[#This Row],[Column9]]),IF(OR(deployment_raw[[#This Row],[Column5]] &lt;&gt; 0,$E$2&lt;&gt;"Deployment"), MAX(K192, Q192, S192, ($M$2 * IF($E$2="Deployment",deployment_raw[[#This Row],[Column5]],1)),IF(U192&lt;&gt;"",VALUE(U192) * IF($E$2="Deployment",deployment_raw[[#This Row],[Column5]],1),0)), 0),"")</f>
        <v/>
      </c>
      <c r="N192" s="166" t="str">
        <f>IF(ISNUMBER(deployment_raw[[#This Row],[Column14]]), deployment_raw[[#This Row],[Column14]]/IF(OR($E$2="Deployment",deployment_raw[[#This Row],[Column5]]=0),1,deployment_raw[[#This Row],[Column5]]),"")</f>
        <v/>
      </c>
      <c r="O192" s="167" t="str">
        <f>IF(ISNUMBER(deployment_raw[[#This Row],[Column15]]), deployment_raw[[#This Row],[Column15]]/IF(OR($E$2="Deployment",deployment_raw[[#This Row],[Column5]]=0),1,deployment_raw[[#This Row],[Column5]])/1048576,"")</f>
        <v/>
      </c>
      <c r="P192" s="168" t="str">
        <f>IF(ISNUMBER(deployment_raw[[#This Row],[Column12]]), (MIN(IF(N192&lt;&gt;"",N192,9999999999999)*1.1,deployment_raw[[#This Row],[Column12]] * IF($E$2="Deployment",deployment_raw[[#This Row],[Column5]],1))*(1+$P$2)),"")</f>
        <v/>
      </c>
      <c r="Q192" s="167" t="str">
        <f>IF(ISNUMBER(deployment_raw[[#This Row],[Column13]]), (MIN(IF(O192&lt;&gt;"",O192,9999999999999)*1.1,deployment_raw[[#This Row],[Column13]] * IF($E$2="Deployment",deployment_raw[[#This Row],[Column5]],1)*(1+$Q$2)/1048576)),"")</f>
        <v/>
      </c>
      <c r="R192" s="169" t="str">
        <f>IF(ISNUMBER(deployment_raw[[#This Row],[Column8]]), (H192  * IF(N192&lt;&gt;0,$R$2,1)),"")</f>
        <v/>
      </c>
      <c r="S192" s="170" t="str">
        <f>IF(ISNUMBER(deployment_raw[[#This Row],[Column8]]), (I192  * IF(O192&lt;&gt;0,$S$2,1)),"")</f>
        <v/>
      </c>
      <c r="T192" s="202" t="str">
        <f>IF(AND(A192&lt;&gt;"",_xlfn.IFNA(MATCH(A192,'dynamic resource application '!$A$2:$A$100, 0),0)&lt;&gt;0), H192/(IF($E$2="Deployment",E192,1)),"")</f>
        <v/>
      </c>
      <c r="U192" s="211" t="str">
        <f>IF(AND(A192&lt;&gt;"",_xlfn.IFNA(MATCH(A192,'dynamic resource application '!$A$2:$A$100, 0),0)&lt;&gt;0), I192/(IF($E$2="Deployment",E192,1)),"")</f>
        <v/>
      </c>
    </row>
    <row r="193" spans="1:21" ht="15.75" customHeight="1" x14ac:dyDescent="0.25">
      <c r="A193" s="35" t="str">
        <f>IF(ISNONTEXT(deployment_raw[[#This Row],[Column1]]), "", deployment_raw[[#This Row],[Column1]])</f>
        <v/>
      </c>
      <c r="B193" s="36" t="str">
        <f>IF(ISNONTEXT(deployment_raw[[#This Row],[Column2]]), "", deployment_raw[[#This Row],[Column2]])</f>
        <v/>
      </c>
      <c r="C193" s="36" t="str">
        <f>IF(ISNONTEXT(deployment_raw[[#This Row],[Column3]]), "", deployment_raw[[#This Row],[Column3]])</f>
        <v/>
      </c>
      <c r="D193" s="36" t="str">
        <f>IF(ISNONTEXT(deployment_raw[[#This Row],[Column4]]), "", deployment_raw[[#This Row],[Column4]])</f>
        <v/>
      </c>
      <c r="E193" s="37" t="str">
        <f>IF(ISNUMBER(deployment_raw[[#This Row],[Column5]]), deployment_raw[[#This Row],[Column5]],"")</f>
        <v/>
      </c>
      <c r="F193" s="94" t="str">
        <f>IF(ISNUMBER(deployment_raw[[#This Row],[Column6]]), (deployment_raw[[#This Row],[Column6]] * IF($E$2="Deployment",deployment_raw[[#This Row],[Column5]],1)),"")</f>
        <v/>
      </c>
      <c r="G193" s="95" t="str">
        <f>IF(ISNUMBER(deployment_raw[[#This Row],[Column7]]), (deployment_raw[[#This Row],[Column7]] * IF($E$2="Deployment",deployment_raw[[#This Row],[Column5]],1))/1048576,"")</f>
        <v/>
      </c>
      <c r="H193" s="95" t="str">
        <f>IF(ISNUMBER(deployment_raw[[#This Row],[Column8]]), (deployment_raw[[#This Row],[Column8]]  * IF($E$2="Deployment",deployment_raw[[#This Row],[Column5]],1)),"")</f>
        <v/>
      </c>
      <c r="I193" s="96" t="str">
        <f>IF(ISNUMBER(deployment_raw[[#This Row],[Column9]]), (deployment_raw[[#This Row],[Column9]] * IF($E$2="Deployment",deployment_raw[[#This Row],[Column5]],1))/1048576,"")</f>
        <v/>
      </c>
      <c r="J193" s="122" t="str">
        <f>IF(ISNUMBER(deployment_raw[[#This Row],[Column10]]), (MIN(IF(N193&lt;&gt;"",N193,9999999999999)*1.1,deployment_raw[[#This Row],[Column10]] * IF($E$2="Deployment",deployment_raw[[#This Row],[Column5]],1))),"")</f>
        <v/>
      </c>
      <c r="K193" s="123" t="str">
        <f>IF(ISNUMBER(deployment_raw[[#This Row],[Column11]]), (MIN(IF(O193&lt;&gt;"",O193,9999999999999)*1.1,deployment_raw[[#This Row],[Column11]] * IF($E$2="Deployment",deployment_raw[[#This Row],[Column5]],1)/1048576)),"")</f>
        <v/>
      </c>
      <c r="L193" s="124" t="str">
        <f>IF(ISNUMBER(deployment_raw[[#This Row],[Column8]]),IF(OR(deployment_raw[[#This Row],[Column5]] &lt;&gt; 0,$E$2 &lt;&gt; "Deployment"), MAX(J193, P193, R193, ($L$2 * IF($E$2="Deployment",deployment_raw[[#This Row],[Column5]],1)),IF(T193&lt;&gt;"",VALUE(T193) * IF($E$2="Deployment",deployment_raw[[#This Row],[Column5]],1),0)), 0),"")</f>
        <v/>
      </c>
      <c r="M193" s="125" t="str">
        <f>IF(ISNUMBER(deployment_raw[[#This Row],[Column9]]),IF(OR(deployment_raw[[#This Row],[Column5]] &lt;&gt; 0,$E$2&lt;&gt;"Deployment"), MAX(K193, Q193, S193, ($M$2 * IF($E$2="Deployment",deployment_raw[[#This Row],[Column5]],1)),IF(U193&lt;&gt;"",VALUE(U193) * IF($E$2="Deployment",deployment_raw[[#This Row],[Column5]],1),0)), 0),"")</f>
        <v/>
      </c>
      <c r="N193" s="166" t="str">
        <f>IF(ISNUMBER(deployment_raw[[#This Row],[Column14]]), deployment_raw[[#This Row],[Column14]]/IF(OR($E$2="Deployment",deployment_raw[[#This Row],[Column5]]=0),1,deployment_raw[[#This Row],[Column5]]),"")</f>
        <v/>
      </c>
      <c r="O193" s="167" t="str">
        <f>IF(ISNUMBER(deployment_raw[[#This Row],[Column15]]), deployment_raw[[#This Row],[Column15]]/IF(OR($E$2="Deployment",deployment_raw[[#This Row],[Column5]]=0),1,deployment_raw[[#This Row],[Column5]])/1048576,"")</f>
        <v/>
      </c>
      <c r="P193" s="168" t="str">
        <f>IF(ISNUMBER(deployment_raw[[#This Row],[Column12]]), (MIN(IF(N193&lt;&gt;"",N193,9999999999999)*1.1,deployment_raw[[#This Row],[Column12]] * IF($E$2="Deployment",deployment_raw[[#This Row],[Column5]],1))*(1+$P$2)),"")</f>
        <v/>
      </c>
      <c r="Q193" s="167" t="str">
        <f>IF(ISNUMBER(deployment_raw[[#This Row],[Column13]]), (MIN(IF(O193&lt;&gt;"",O193,9999999999999)*1.1,deployment_raw[[#This Row],[Column13]] * IF($E$2="Deployment",deployment_raw[[#This Row],[Column5]],1)*(1+$Q$2)/1048576)),"")</f>
        <v/>
      </c>
      <c r="R193" s="169" t="str">
        <f>IF(ISNUMBER(deployment_raw[[#This Row],[Column8]]), (H193  * IF(N193&lt;&gt;0,$R$2,1)),"")</f>
        <v/>
      </c>
      <c r="S193" s="170" t="str">
        <f>IF(ISNUMBER(deployment_raw[[#This Row],[Column8]]), (I193  * IF(O193&lt;&gt;0,$S$2,1)),"")</f>
        <v/>
      </c>
      <c r="T193" s="202" t="str">
        <f>IF(AND(A193&lt;&gt;"",_xlfn.IFNA(MATCH(A193,'dynamic resource application '!$A$2:$A$100, 0),0)&lt;&gt;0), H193/(IF($E$2="Deployment",E193,1)),"")</f>
        <v/>
      </c>
      <c r="U193" s="211" t="str">
        <f>IF(AND(A193&lt;&gt;"",_xlfn.IFNA(MATCH(A193,'dynamic resource application '!$A$2:$A$100, 0),0)&lt;&gt;0), I193/(IF($E$2="Deployment",E193,1)),"")</f>
        <v/>
      </c>
    </row>
    <row r="194" spans="1:21" ht="15.75" customHeight="1" x14ac:dyDescent="0.25">
      <c r="A194" s="35" t="str">
        <f>IF(ISNONTEXT(deployment_raw[[#This Row],[Column1]]), "", deployment_raw[[#This Row],[Column1]])</f>
        <v/>
      </c>
      <c r="B194" s="36" t="str">
        <f>IF(ISNONTEXT(deployment_raw[[#This Row],[Column2]]), "", deployment_raw[[#This Row],[Column2]])</f>
        <v/>
      </c>
      <c r="C194" s="36" t="str">
        <f>IF(ISNONTEXT(deployment_raw[[#This Row],[Column3]]), "", deployment_raw[[#This Row],[Column3]])</f>
        <v/>
      </c>
      <c r="D194" s="36" t="str">
        <f>IF(ISNONTEXT(deployment_raw[[#This Row],[Column4]]), "", deployment_raw[[#This Row],[Column4]])</f>
        <v/>
      </c>
      <c r="E194" s="37" t="str">
        <f>IF(ISNUMBER(deployment_raw[[#This Row],[Column5]]), deployment_raw[[#This Row],[Column5]],"")</f>
        <v/>
      </c>
      <c r="F194" s="94" t="str">
        <f>IF(ISNUMBER(deployment_raw[[#This Row],[Column6]]), (deployment_raw[[#This Row],[Column6]] * IF($E$2="Deployment",deployment_raw[[#This Row],[Column5]],1)),"")</f>
        <v/>
      </c>
      <c r="G194" s="95" t="str">
        <f>IF(ISNUMBER(deployment_raw[[#This Row],[Column7]]), (deployment_raw[[#This Row],[Column7]] * IF($E$2="Deployment",deployment_raw[[#This Row],[Column5]],1))/1048576,"")</f>
        <v/>
      </c>
      <c r="H194" s="95" t="str">
        <f>IF(ISNUMBER(deployment_raw[[#This Row],[Column8]]), (deployment_raw[[#This Row],[Column8]]  * IF($E$2="Deployment",deployment_raw[[#This Row],[Column5]],1)),"")</f>
        <v/>
      </c>
      <c r="I194" s="96" t="str">
        <f>IF(ISNUMBER(deployment_raw[[#This Row],[Column9]]), (deployment_raw[[#This Row],[Column9]] * IF($E$2="Deployment",deployment_raw[[#This Row],[Column5]],1))/1048576,"")</f>
        <v/>
      </c>
      <c r="J194" s="122" t="str">
        <f>IF(ISNUMBER(deployment_raw[[#This Row],[Column10]]), (MIN(IF(N194&lt;&gt;"",N194,9999999999999)*1.1,deployment_raw[[#This Row],[Column10]] * IF($E$2="Deployment",deployment_raw[[#This Row],[Column5]],1))),"")</f>
        <v/>
      </c>
      <c r="K194" s="123" t="str">
        <f>IF(ISNUMBER(deployment_raw[[#This Row],[Column11]]), (MIN(IF(O194&lt;&gt;"",O194,9999999999999)*1.1,deployment_raw[[#This Row],[Column11]] * IF($E$2="Deployment",deployment_raw[[#This Row],[Column5]],1)/1048576)),"")</f>
        <v/>
      </c>
      <c r="L194" s="124" t="str">
        <f>IF(ISNUMBER(deployment_raw[[#This Row],[Column8]]),IF(OR(deployment_raw[[#This Row],[Column5]] &lt;&gt; 0,$E$2 &lt;&gt; "Deployment"), MAX(J194, P194, R194, ($L$2 * IF($E$2="Deployment",deployment_raw[[#This Row],[Column5]],1)),IF(T194&lt;&gt;"",VALUE(T194) * IF($E$2="Deployment",deployment_raw[[#This Row],[Column5]],1),0)), 0),"")</f>
        <v/>
      </c>
      <c r="M194" s="125" t="str">
        <f>IF(ISNUMBER(deployment_raw[[#This Row],[Column9]]),IF(OR(deployment_raw[[#This Row],[Column5]] &lt;&gt; 0,$E$2&lt;&gt;"Deployment"), MAX(K194, Q194, S194, ($M$2 * IF($E$2="Deployment",deployment_raw[[#This Row],[Column5]],1)),IF(U194&lt;&gt;"",VALUE(U194) * IF($E$2="Deployment",deployment_raw[[#This Row],[Column5]],1),0)), 0),"")</f>
        <v/>
      </c>
      <c r="N194" s="166" t="str">
        <f>IF(ISNUMBER(deployment_raw[[#This Row],[Column14]]), deployment_raw[[#This Row],[Column14]]/IF(OR($E$2="Deployment",deployment_raw[[#This Row],[Column5]]=0),1,deployment_raw[[#This Row],[Column5]]),"")</f>
        <v/>
      </c>
      <c r="O194" s="167" t="str">
        <f>IF(ISNUMBER(deployment_raw[[#This Row],[Column15]]), deployment_raw[[#This Row],[Column15]]/IF(OR($E$2="Deployment",deployment_raw[[#This Row],[Column5]]=0),1,deployment_raw[[#This Row],[Column5]])/1048576,"")</f>
        <v/>
      </c>
      <c r="P194" s="168" t="str">
        <f>IF(ISNUMBER(deployment_raw[[#This Row],[Column12]]), (MIN(IF(N194&lt;&gt;"",N194,9999999999999)*1.1,deployment_raw[[#This Row],[Column12]] * IF($E$2="Deployment",deployment_raw[[#This Row],[Column5]],1))*(1+$P$2)),"")</f>
        <v/>
      </c>
      <c r="Q194" s="167" t="str">
        <f>IF(ISNUMBER(deployment_raw[[#This Row],[Column13]]), (MIN(IF(O194&lt;&gt;"",O194,9999999999999)*1.1,deployment_raw[[#This Row],[Column13]] * IF($E$2="Deployment",deployment_raw[[#This Row],[Column5]],1)*(1+$Q$2)/1048576)),"")</f>
        <v/>
      </c>
      <c r="R194" s="169" t="str">
        <f>IF(ISNUMBER(deployment_raw[[#This Row],[Column8]]), (H194  * IF(N194&lt;&gt;0,$R$2,1)),"")</f>
        <v/>
      </c>
      <c r="S194" s="170" t="str">
        <f>IF(ISNUMBER(deployment_raw[[#This Row],[Column8]]), (I194  * IF(O194&lt;&gt;0,$S$2,1)),"")</f>
        <v/>
      </c>
      <c r="T194" s="202" t="str">
        <f>IF(AND(A194&lt;&gt;"",_xlfn.IFNA(MATCH(A194,'dynamic resource application '!$A$2:$A$100, 0),0)&lt;&gt;0), H194/(IF($E$2="Deployment",E194,1)),"")</f>
        <v/>
      </c>
      <c r="U194" s="211" t="str">
        <f>IF(AND(A194&lt;&gt;"",_xlfn.IFNA(MATCH(A194,'dynamic resource application '!$A$2:$A$100, 0),0)&lt;&gt;0), I194/(IF($E$2="Deployment",E194,1)),"")</f>
        <v/>
      </c>
    </row>
    <row r="195" spans="1:21" ht="15.75" customHeight="1" x14ac:dyDescent="0.25">
      <c r="A195" s="35" t="str">
        <f>IF(ISNONTEXT(deployment_raw[[#This Row],[Column1]]), "", deployment_raw[[#This Row],[Column1]])</f>
        <v/>
      </c>
      <c r="B195" s="36" t="str">
        <f>IF(ISNONTEXT(deployment_raw[[#This Row],[Column2]]), "", deployment_raw[[#This Row],[Column2]])</f>
        <v/>
      </c>
      <c r="C195" s="36" t="str">
        <f>IF(ISNONTEXT(deployment_raw[[#This Row],[Column3]]), "", deployment_raw[[#This Row],[Column3]])</f>
        <v/>
      </c>
      <c r="D195" s="36" t="str">
        <f>IF(ISNONTEXT(deployment_raw[[#This Row],[Column4]]), "", deployment_raw[[#This Row],[Column4]])</f>
        <v/>
      </c>
      <c r="E195" s="37" t="str">
        <f>IF(ISNUMBER(deployment_raw[[#This Row],[Column5]]), deployment_raw[[#This Row],[Column5]],"")</f>
        <v/>
      </c>
      <c r="F195" s="94" t="str">
        <f>IF(ISNUMBER(deployment_raw[[#This Row],[Column6]]), (deployment_raw[[#This Row],[Column6]] * IF($E$2="Deployment",deployment_raw[[#This Row],[Column5]],1)),"")</f>
        <v/>
      </c>
      <c r="G195" s="95" t="str">
        <f>IF(ISNUMBER(deployment_raw[[#This Row],[Column7]]), (deployment_raw[[#This Row],[Column7]] * IF($E$2="Deployment",deployment_raw[[#This Row],[Column5]],1))/1048576,"")</f>
        <v/>
      </c>
      <c r="H195" s="95" t="str">
        <f>IF(ISNUMBER(deployment_raw[[#This Row],[Column8]]), (deployment_raw[[#This Row],[Column8]]  * IF($E$2="Deployment",deployment_raw[[#This Row],[Column5]],1)),"")</f>
        <v/>
      </c>
      <c r="I195" s="96" t="str">
        <f>IF(ISNUMBER(deployment_raw[[#This Row],[Column9]]), (deployment_raw[[#This Row],[Column9]] * IF($E$2="Deployment",deployment_raw[[#This Row],[Column5]],1))/1048576,"")</f>
        <v/>
      </c>
      <c r="J195" s="122" t="str">
        <f>IF(ISNUMBER(deployment_raw[[#This Row],[Column10]]), (MIN(IF(N195&lt;&gt;"",N195,9999999999999)*1.1,deployment_raw[[#This Row],[Column10]] * IF($E$2="Deployment",deployment_raw[[#This Row],[Column5]],1))),"")</f>
        <v/>
      </c>
      <c r="K195" s="123" t="str">
        <f>IF(ISNUMBER(deployment_raw[[#This Row],[Column11]]), (MIN(IF(O195&lt;&gt;"",O195,9999999999999)*1.1,deployment_raw[[#This Row],[Column11]] * IF($E$2="Deployment",deployment_raw[[#This Row],[Column5]],1)/1048576)),"")</f>
        <v/>
      </c>
      <c r="L195" s="124" t="str">
        <f>IF(ISNUMBER(deployment_raw[[#This Row],[Column8]]),IF(OR(deployment_raw[[#This Row],[Column5]] &lt;&gt; 0,$E$2 &lt;&gt; "Deployment"), MAX(J195, P195, R195, ($L$2 * IF($E$2="Deployment",deployment_raw[[#This Row],[Column5]],1)),IF(T195&lt;&gt;"",VALUE(T195) * IF($E$2="Deployment",deployment_raw[[#This Row],[Column5]],1),0)), 0),"")</f>
        <v/>
      </c>
      <c r="M195" s="125" t="str">
        <f>IF(ISNUMBER(deployment_raw[[#This Row],[Column9]]),IF(OR(deployment_raw[[#This Row],[Column5]] &lt;&gt; 0,$E$2&lt;&gt;"Deployment"), MAX(K195, Q195, S195, ($M$2 * IF($E$2="Deployment",deployment_raw[[#This Row],[Column5]],1)),IF(U195&lt;&gt;"",VALUE(U195) * IF($E$2="Deployment",deployment_raw[[#This Row],[Column5]],1),0)), 0),"")</f>
        <v/>
      </c>
      <c r="N195" s="166" t="str">
        <f>IF(ISNUMBER(deployment_raw[[#This Row],[Column14]]), deployment_raw[[#This Row],[Column14]]/IF(OR($E$2="Deployment",deployment_raw[[#This Row],[Column5]]=0),1,deployment_raw[[#This Row],[Column5]]),"")</f>
        <v/>
      </c>
      <c r="O195" s="167" t="str">
        <f>IF(ISNUMBER(deployment_raw[[#This Row],[Column15]]), deployment_raw[[#This Row],[Column15]]/IF(OR($E$2="Deployment",deployment_raw[[#This Row],[Column5]]=0),1,deployment_raw[[#This Row],[Column5]])/1048576,"")</f>
        <v/>
      </c>
      <c r="P195" s="168" t="str">
        <f>IF(ISNUMBER(deployment_raw[[#This Row],[Column12]]), (MIN(IF(N195&lt;&gt;"",N195,9999999999999)*1.1,deployment_raw[[#This Row],[Column12]] * IF($E$2="Deployment",deployment_raw[[#This Row],[Column5]],1))*(1+$P$2)),"")</f>
        <v/>
      </c>
      <c r="Q195" s="167" t="str">
        <f>IF(ISNUMBER(deployment_raw[[#This Row],[Column13]]), (MIN(IF(O195&lt;&gt;"",O195,9999999999999)*1.1,deployment_raw[[#This Row],[Column13]] * IF($E$2="Deployment",deployment_raw[[#This Row],[Column5]],1)*(1+$Q$2)/1048576)),"")</f>
        <v/>
      </c>
      <c r="R195" s="169" t="str">
        <f>IF(ISNUMBER(deployment_raw[[#This Row],[Column8]]), (H195  * IF(N195&lt;&gt;0,$R$2,1)),"")</f>
        <v/>
      </c>
      <c r="S195" s="170" t="str">
        <f>IF(ISNUMBER(deployment_raw[[#This Row],[Column8]]), (I195  * IF(O195&lt;&gt;0,$S$2,1)),"")</f>
        <v/>
      </c>
      <c r="T195" s="202" t="str">
        <f>IF(AND(A195&lt;&gt;"",_xlfn.IFNA(MATCH(A195,'dynamic resource application '!$A$2:$A$100, 0),0)&lt;&gt;0), H195/(IF($E$2="Deployment",E195,1)),"")</f>
        <v/>
      </c>
      <c r="U195" s="211" t="str">
        <f>IF(AND(A195&lt;&gt;"",_xlfn.IFNA(MATCH(A195,'dynamic resource application '!$A$2:$A$100, 0),0)&lt;&gt;0), I195/(IF($E$2="Deployment",E195,1)),"")</f>
        <v/>
      </c>
    </row>
    <row r="196" spans="1:21" ht="15.75" customHeight="1" x14ac:dyDescent="0.25">
      <c r="A196" s="35" t="str">
        <f>IF(ISNONTEXT(deployment_raw[[#This Row],[Column1]]), "", deployment_raw[[#This Row],[Column1]])</f>
        <v/>
      </c>
      <c r="B196" s="36" t="str">
        <f>IF(ISNONTEXT(deployment_raw[[#This Row],[Column2]]), "", deployment_raw[[#This Row],[Column2]])</f>
        <v/>
      </c>
      <c r="C196" s="36" t="str">
        <f>IF(ISNONTEXT(deployment_raw[[#This Row],[Column3]]), "", deployment_raw[[#This Row],[Column3]])</f>
        <v/>
      </c>
      <c r="D196" s="36" t="str">
        <f>IF(ISNONTEXT(deployment_raw[[#This Row],[Column4]]), "", deployment_raw[[#This Row],[Column4]])</f>
        <v/>
      </c>
      <c r="E196" s="37" t="str">
        <f>IF(ISNUMBER(deployment_raw[[#This Row],[Column5]]), deployment_raw[[#This Row],[Column5]],"")</f>
        <v/>
      </c>
      <c r="F196" s="94" t="str">
        <f>IF(ISNUMBER(deployment_raw[[#This Row],[Column6]]), (deployment_raw[[#This Row],[Column6]] * IF($E$2="Deployment",deployment_raw[[#This Row],[Column5]],1)),"")</f>
        <v/>
      </c>
      <c r="G196" s="95" t="str">
        <f>IF(ISNUMBER(deployment_raw[[#This Row],[Column7]]), (deployment_raw[[#This Row],[Column7]] * IF($E$2="Deployment",deployment_raw[[#This Row],[Column5]],1))/1048576,"")</f>
        <v/>
      </c>
      <c r="H196" s="95" t="str">
        <f>IF(ISNUMBER(deployment_raw[[#This Row],[Column8]]), (deployment_raw[[#This Row],[Column8]]  * IF($E$2="Deployment",deployment_raw[[#This Row],[Column5]],1)),"")</f>
        <v/>
      </c>
      <c r="I196" s="96" t="str">
        <f>IF(ISNUMBER(deployment_raw[[#This Row],[Column9]]), (deployment_raw[[#This Row],[Column9]] * IF($E$2="Deployment",deployment_raw[[#This Row],[Column5]],1))/1048576,"")</f>
        <v/>
      </c>
      <c r="J196" s="122" t="str">
        <f>IF(ISNUMBER(deployment_raw[[#This Row],[Column10]]), (MIN(IF(N196&lt;&gt;"",N196,9999999999999)*1.1,deployment_raw[[#This Row],[Column10]] * IF($E$2="Deployment",deployment_raw[[#This Row],[Column5]],1))),"")</f>
        <v/>
      </c>
      <c r="K196" s="123" t="str">
        <f>IF(ISNUMBER(deployment_raw[[#This Row],[Column11]]), (MIN(IF(O196&lt;&gt;"",O196,9999999999999)*1.1,deployment_raw[[#This Row],[Column11]] * IF($E$2="Deployment",deployment_raw[[#This Row],[Column5]],1)/1048576)),"")</f>
        <v/>
      </c>
      <c r="L196" s="124" t="str">
        <f>IF(ISNUMBER(deployment_raw[[#This Row],[Column8]]),IF(OR(deployment_raw[[#This Row],[Column5]] &lt;&gt; 0,$E$2 &lt;&gt; "Deployment"), MAX(J196, P196, R196, ($L$2 * IF($E$2="Deployment",deployment_raw[[#This Row],[Column5]],1)),IF(T196&lt;&gt;"",VALUE(T196) * IF($E$2="Deployment",deployment_raw[[#This Row],[Column5]],1),0)), 0),"")</f>
        <v/>
      </c>
      <c r="M196" s="125" t="str">
        <f>IF(ISNUMBER(deployment_raw[[#This Row],[Column9]]),IF(OR(deployment_raw[[#This Row],[Column5]] &lt;&gt; 0,$E$2&lt;&gt;"Deployment"), MAX(K196, Q196, S196, ($M$2 * IF($E$2="Deployment",deployment_raw[[#This Row],[Column5]],1)),IF(U196&lt;&gt;"",VALUE(U196) * IF($E$2="Deployment",deployment_raw[[#This Row],[Column5]],1),0)), 0),"")</f>
        <v/>
      </c>
      <c r="N196" s="166" t="str">
        <f>IF(ISNUMBER(deployment_raw[[#This Row],[Column14]]), deployment_raw[[#This Row],[Column14]]/IF(OR($E$2="Deployment",deployment_raw[[#This Row],[Column5]]=0),1,deployment_raw[[#This Row],[Column5]]),"")</f>
        <v/>
      </c>
      <c r="O196" s="167" t="str">
        <f>IF(ISNUMBER(deployment_raw[[#This Row],[Column15]]), deployment_raw[[#This Row],[Column15]]/IF(OR($E$2="Deployment",deployment_raw[[#This Row],[Column5]]=0),1,deployment_raw[[#This Row],[Column5]])/1048576,"")</f>
        <v/>
      </c>
      <c r="P196" s="168" t="str">
        <f>IF(ISNUMBER(deployment_raw[[#This Row],[Column12]]), (MIN(IF(N196&lt;&gt;"",N196,9999999999999)*1.1,deployment_raw[[#This Row],[Column12]] * IF($E$2="Deployment",deployment_raw[[#This Row],[Column5]],1))*(1+$P$2)),"")</f>
        <v/>
      </c>
      <c r="Q196" s="167" t="str">
        <f>IF(ISNUMBER(deployment_raw[[#This Row],[Column13]]), (MIN(IF(O196&lt;&gt;"",O196,9999999999999)*1.1,deployment_raw[[#This Row],[Column13]] * IF($E$2="Deployment",deployment_raw[[#This Row],[Column5]],1)*(1+$Q$2)/1048576)),"")</f>
        <v/>
      </c>
      <c r="R196" s="169" t="str">
        <f>IF(ISNUMBER(deployment_raw[[#This Row],[Column8]]), (H196  * IF(N196&lt;&gt;0,$R$2,1)),"")</f>
        <v/>
      </c>
      <c r="S196" s="170" t="str">
        <f>IF(ISNUMBER(deployment_raw[[#This Row],[Column8]]), (I196  * IF(O196&lt;&gt;0,$S$2,1)),"")</f>
        <v/>
      </c>
      <c r="T196" s="202" t="str">
        <f>IF(AND(A196&lt;&gt;"",_xlfn.IFNA(MATCH(A196,'dynamic resource application '!$A$2:$A$100, 0),0)&lt;&gt;0), H196/(IF($E$2="Deployment",E196,1)),"")</f>
        <v/>
      </c>
      <c r="U196" s="211" t="str">
        <f>IF(AND(A196&lt;&gt;"",_xlfn.IFNA(MATCH(A196,'dynamic resource application '!$A$2:$A$100, 0),0)&lt;&gt;0), I196/(IF($E$2="Deployment",E196,1)),"")</f>
        <v/>
      </c>
    </row>
    <row r="197" spans="1:21" ht="15.75" customHeight="1" x14ac:dyDescent="0.25">
      <c r="A197" s="35" t="str">
        <f>IF(ISNONTEXT(deployment_raw[[#This Row],[Column1]]), "", deployment_raw[[#This Row],[Column1]])</f>
        <v/>
      </c>
      <c r="B197" s="36" t="str">
        <f>IF(ISNONTEXT(deployment_raw[[#This Row],[Column2]]), "", deployment_raw[[#This Row],[Column2]])</f>
        <v/>
      </c>
      <c r="C197" s="36" t="str">
        <f>IF(ISNONTEXT(deployment_raw[[#This Row],[Column3]]), "", deployment_raw[[#This Row],[Column3]])</f>
        <v/>
      </c>
      <c r="D197" s="36" t="str">
        <f>IF(ISNONTEXT(deployment_raw[[#This Row],[Column4]]), "", deployment_raw[[#This Row],[Column4]])</f>
        <v/>
      </c>
      <c r="E197" s="37" t="str">
        <f>IF(ISNUMBER(deployment_raw[[#This Row],[Column5]]), deployment_raw[[#This Row],[Column5]],"")</f>
        <v/>
      </c>
      <c r="F197" s="94" t="str">
        <f>IF(ISNUMBER(deployment_raw[[#This Row],[Column6]]), (deployment_raw[[#This Row],[Column6]] * IF($E$2="Deployment",deployment_raw[[#This Row],[Column5]],1)),"")</f>
        <v/>
      </c>
      <c r="G197" s="95" t="str">
        <f>IF(ISNUMBER(deployment_raw[[#This Row],[Column7]]), (deployment_raw[[#This Row],[Column7]] * IF($E$2="Deployment",deployment_raw[[#This Row],[Column5]],1))/1048576,"")</f>
        <v/>
      </c>
      <c r="H197" s="95" t="str">
        <f>IF(ISNUMBER(deployment_raw[[#This Row],[Column8]]), (deployment_raw[[#This Row],[Column8]]  * IF($E$2="Deployment",deployment_raw[[#This Row],[Column5]],1)),"")</f>
        <v/>
      </c>
      <c r="I197" s="96" t="str">
        <f>IF(ISNUMBER(deployment_raw[[#This Row],[Column9]]), (deployment_raw[[#This Row],[Column9]] * IF($E$2="Deployment",deployment_raw[[#This Row],[Column5]],1))/1048576,"")</f>
        <v/>
      </c>
      <c r="J197" s="122" t="str">
        <f>IF(ISNUMBER(deployment_raw[[#This Row],[Column10]]), (MIN(IF(N197&lt;&gt;"",N197,9999999999999)*1.1,deployment_raw[[#This Row],[Column10]] * IF($E$2="Deployment",deployment_raw[[#This Row],[Column5]],1))),"")</f>
        <v/>
      </c>
      <c r="K197" s="123" t="str">
        <f>IF(ISNUMBER(deployment_raw[[#This Row],[Column11]]), (MIN(IF(O197&lt;&gt;"",O197,9999999999999)*1.1,deployment_raw[[#This Row],[Column11]] * IF($E$2="Deployment",deployment_raw[[#This Row],[Column5]],1)/1048576)),"")</f>
        <v/>
      </c>
      <c r="L197" s="124" t="str">
        <f>IF(ISNUMBER(deployment_raw[[#This Row],[Column8]]),IF(OR(deployment_raw[[#This Row],[Column5]] &lt;&gt; 0,$E$2 &lt;&gt; "Deployment"), MAX(J197, P197, R197, ($L$2 * IF($E$2="Deployment",deployment_raw[[#This Row],[Column5]],1)),IF(T197&lt;&gt;"",VALUE(T197) * IF($E$2="Deployment",deployment_raw[[#This Row],[Column5]],1),0)), 0),"")</f>
        <v/>
      </c>
      <c r="M197" s="125" t="str">
        <f>IF(ISNUMBER(deployment_raw[[#This Row],[Column9]]),IF(OR(deployment_raw[[#This Row],[Column5]] &lt;&gt; 0,$E$2&lt;&gt;"Deployment"), MAX(K197, Q197, S197, ($M$2 * IF($E$2="Deployment",deployment_raw[[#This Row],[Column5]],1)),IF(U197&lt;&gt;"",VALUE(U197) * IF($E$2="Deployment",deployment_raw[[#This Row],[Column5]],1),0)), 0),"")</f>
        <v/>
      </c>
      <c r="N197" s="166" t="str">
        <f>IF(ISNUMBER(deployment_raw[[#This Row],[Column14]]), deployment_raw[[#This Row],[Column14]]/IF(OR($E$2="Deployment",deployment_raw[[#This Row],[Column5]]=0),1,deployment_raw[[#This Row],[Column5]]),"")</f>
        <v/>
      </c>
      <c r="O197" s="167" t="str">
        <f>IF(ISNUMBER(deployment_raw[[#This Row],[Column15]]), deployment_raw[[#This Row],[Column15]]/IF(OR($E$2="Deployment",deployment_raw[[#This Row],[Column5]]=0),1,deployment_raw[[#This Row],[Column5]])/1048576,"")</f>
        <v/>
      </c>
      <c r="P197" s="168" t="str">
        <f>IF(ISNUMBER(deployment_raw[[#This Row],[Column12]]), (MIN(IF(N197&lt;&gt;"",N197,9999999999999)*1.1,deployment_raw[[#This Row],[Column12]] * IF($E$2="Deployment",deployment_raw[[#This Row],[Column5]],1))*(1+$P$2)),"")</f>
        <v/>
      </c>
      <c r="Q197" s="167" t="str">
        <f>IF(ISNUMBER(deployment_raw[[#This Row],[Column13]]), (MIN(IF(O197&lt;&gt;"",O197,9999999999999)*1.1,deployment_raw[[#This Row],[Column13]] * IF($E$2="Deployment",deployment_raw[[#This Row],[Column5]],1)*(1+$Q$2)/1048576)),"")</f>
        <v/>
      </c>
      <c r="R197" s="169" t="str">
        <f>IF(ISNUMBER(deployment_raw[[#This Row],[Column8]]), (H197  * IF(N197&lt;&gt;0,$R$2,1)),"")</f>
        <v/>
      </c>
      <c r="S197" s="170" t="str">
        <f>IF(ISNUMBER(deployment_raw[[#This Row],[Column8]]), (I197  * IF(O197&lt;&gt;0,$S$2,1)),"")</f>
        <v/>
      </c>
      <c r="T197" s="202" t="str">
        <f>IF(AND(A197&lt;&gt;"",_xlfn.IFNA(MATCH(A197,'dynamic resource application '!$A$2:$A$100, 0),0)&lt;&gt;0), H197/(IF($E$2="Deployment",E197,1)),"")</f>
        <v/>
      </c>
      <c r="U197" s="211" t="str">
        <f>IF(AND(A197&lt;&gt;"",_xlfn.IFNA(MATCH(A197,'dynamic resource application '!$A$2:$A$100, 0),0)&lt;&gt;0), I197/(IF($E$2="Deployment",E197,1)),"")</f>
        <v/>
      </c>
    </row>
    <row r="198" spans="1:21" ht="15.75" customHeight="1" x14ac:dyDescent="0.25">
      <c r="A198" s="35" t="str">
        <f>IF(ISNONTEXT(deployment_raw[[#This Row],[Column1]]), "", deployment_raw[[#This Row],[Column1]])</f>
        <v/>
      </c>
      <c r="B198" s="36" t="str">
        <f>IF(ISNONTEXT(deployment_raw[[#This Row],[Column2]]), "", deployment_raw[[#This Row],[Column2]])</f>
        <v/>
      </c>
      <c r="C198" s="36" t="str">
        <f>IF(ISNONTEXT(deployment_raw[[#This Row],[Column3]]), "", deployment_raw[[#This Row],[Column3]])</f>
        <v/>
      </c>
      <c r="D198" s="36" t="str">
        <f>IF(ISNONTEXT(deployment_raw[[#This Row],[Column4]]), "", deployment_raw[[#This Row],[Column4]])</f>
        <v/>
      </c>
      <c r="E198" s="37" t="str">
        <f>IF(ISNUMBER(deployment_raw[[#This Row],[Column5]]), deployment_raw[[#This Row],[Column5]],"")</f>
        <v/>
      </c>
      <c r="F198" s="94" t="str">
        <f>IF(ISNUMBER(deployment_raw[[#This Row],[Column6]]), (deployment_raw[[#This Row],[Column6]] * IF($E$2="Deployment",deployment_raw[[#This Row],[Column5]],1)),"")</f>
        <v/>
      </c>
      <c r="G198" s="95" t="str">
        <f>IF(ISNUMBER(deployment_raw[[#This Row],[Column7]]), (deployment_raw[[#This Row],[Column7]] * IF($E$2="Deployment",deployment_raw[[#This Row],[Column5]],1))/1048576,"")</f>
        <v/>
      </c>
      <c r="H198" s="95" t="str">
        <f>IF(ISNUMBER(deployment_raw[[#This Row],[Column8]]), (deployment_raw[[#This Row],[Column8]]  * IF($E$2="Deployment",deployment_raw[[#This Row],[Column5]],1)),"")</f>
        <v/>
      </c>
      <c r="I198" s="96" t="str">
        <f>IF(ISNUMBER(deployment_raw[[#This Row],[Column9]]), (deployment_raw[[#This Row],[Column9]] * IF($E$2="Deployment",deployment_raw[[#This Row],[Column5]],1))/1048576,"")</f>
        <v/>
      </c>
      <c r="J198" s="122" t="str">
        <f>IF(ISNUMBER(deployment_raw[[#This Row],[Column10]]), (MIN(IF(N198&lt;&gt;"",N198,9999999999999)*1.1,deployment_raw[[#This Row],[Column10]] * IF($E$2="Deployment",deployment_raw[[#This Row],[Column5]],1))),"")</f>
        <v/>
      </c>
      <c r="K198" s="123" t="str">
        <f>IF(ISNUMBER(deployment_raw[[#This Row],[Column11]]), (MIN(IF(O198&lt;&gt;"",O198,9999999999999)*1.1,deployment_raw[[#This Row],[Column11]] * IF($E$2="Deployment",deployment_raw[[#This Row],[Column5]],1)/1048576)),"")</f>
        <v/>
      </c>
      <c r="L198" s="124" t="str">
        <f>IF(ISNUMBER(deployment_raw[[#This Row],[Column8]]),IF(OR(deployment_raw[[#This Row],[Column5]] &lt;&gt; 0,$E$2 &lt;&gt; "Deployment"), MAX(J198, P198, R198, ($L$2 * IF($E$2="Deployment",deployment_raw[[#This Row],[Column5]],1)),IF(T198&lt;&gt;"",VALUE(T198) * IF($E$2="Deployment",deployment_raw[[#This Row],[Column5]],1),0)), 0),"")</f>
        <v/>
      </c>
      <c r="M198" s="125" t="str">
        <f>IF(ISNUMBER(deployment_raw[[#This Row],[Column9]]),IF(OR(deployment_raw[[#This Row],[Column5]] &lt;&gt; 0,$E$2&lt;&gt;"Deployment"), MAX(K198, Q198, S198, ($M$2 * IF($E$2="Deployment",deployment_raw[[#This Row],[Column5]],1)),IF(U198&lt;&gt;"",VALUE(U198) * IF($E$2="Deployment",deployment_raw[[#This Row],[Column5]],1),0)), 0),"")</f>
        <v/>
      </c>
      <c r="N198" s="166" t="str">
        <f>IF(ISNUMBER(deployment_raw[[#This Row],[Column14]]), deployment_raw[[#This Row],[Column14]]/IF(OR($E$2="Deployment",deployment_raw[[#This Row],[Column5]]=0),1,deployment_raw[[#This Row],[Column5]]),"")</f>
        <v/>
      </c>
      <c r="O198" s="167" t="str">
        <f>IF(ISNUMBER(deployment_raw[[#This Row],[Column15]]), deployment_raw[[#This Row],[Column15]]/IF(OR($E$2="Deployment",deployment_raw[[#This Row],[Column5]]=0),1,deployment_raw[[#This Row],[Column5]])/1048576,"")</f>
        <v/>
      </c>
      <c r="P198" s="168" t="str">
        <f>IF(ISNUMBER(deployment_raw[[#This Row],[Column12]]), (MIN(IF(N198&lt;&gt;"",N198,9999999999999)*1.1,deployment_raw[[#This Row],[Column12]] * IF($E$2="Deployment",deployment_raw[[#This Row],[Column5]],1))*(1+$P$2)),"")</f>
        <v/>
      </c>
      <c r="Q198" s="167" t="str">
        <f>IF(ISNUMBER(deployment_raw[[#This Row],[Column13]]), (MIN(IF(O198&lt;&gt;"",O198,9999999999999)*1.1,deployment_raw[[#This Row],[Column13]] * IF($E$2="Deployment",deployment_raw[[#This Row],[Column5]],1)*(1+$Q$2)/1048576)),"")</f>
        <v/>
      </c>
      <c r="R198" s="169" t="str">
        <f>IF(ISNUMBER(deployment_raw[[#This Row],[Column8]]), (H198  * IF(N198&lt;&gt;0,$R$2,1)),"")</f>
        <v/>
      </c>
      <c r="S198" s="170" t="str">
        <f>IF(ISNUMBER(deployment_raw[[#This Row],[Column8]]), (I198  * IF(O198&lt;&gt;0,$S$2,1)),"")</f>
        <v/>
      </c>
      <c r="T198" s="202" t="str">
        <f>IF(AND(A198&lt;&gt;"",_xlfn.IFNA(MATCH(A198,'dynamic resource application '!$A$2:$A$100, 0),0)&lt;&gt;0), H198/(IF($E$2="Deployment",E198,1)),"")</f>
        <v/>
      </c>
      <c r="U198" s="211" t="str">
        <f>IF(AND(A198&lt;&gt;"",_xlfn.IFNA(MATCH(A198,'dynamic resource application '!$A$2:$A$100, 0),0)&lt;&gt;0), I198/(IF($E$2="Deployment",E198,1)),"")</f>
        <v/>
      </c>
    </row>
    <row r="199" spans="1:21" ht="15.75" customHeight="1" x14ac:dyDescent="0.25">
      <c r="A199" s="35" t="str">
        <f>IF(ISNONTEXT(deployment_raw[[#This Row],[Column1]]), "", deployment_raw[[#This Row],[Column1]])</f>
        <v/>
      </c>
      <c r="B199" s="36" t="str">
        <f>IF(ISNONTEXT(deployment_raw[[#This Row],[Column2]]), "", deployment_raw[[#This Row],[Column2]])</f>
        <v/>
      </c>
      <c r="C199" s="36" t="str">
        <f>IF(ISNONTEXT(deployment_raw[[#This Row],[Column3]]), "", deployment_raw[[#This Row],[Column3]])</f>
        <v/>
      </c>
      <c r="D199" s="36" t="str">
        <f>IF(ISNONTEXT(deployment_raw[[#This Row],[Column4]]), "", deployment_raw[[#This Row],[Column4]])</f>
        <v/>
      </c>
      <c r="E199" s="37" t="str">
        <f>IF(ISNUMBER(deployment_raw[[#This Row],[Column5]]), deployment_raw[[#This Row],[Column5]],"")</f>
        <v/>
      </c>
      <c r="F199" s="94" t="str">
        <f>IF(ISNUMBER(deployment_raw[[#This Row],[Column6]]), (deployment_raw[[#This Row],[Column6]] * IF($E$2="Deployment",deployment_raw[[#This Row],[Column5]],1)),"")</f>
        <v/>
      </c>
      <c r="G199" s="95" t="str">
        <f>IF(ISNUMBER(deployment_raw[[#This Row],[Column7]]), (deployment_raw[[#This Row],[Column7]] * IF($E$2="Deployment",deployment_raw[[#This Row],[Column5]],1))/1048576,"")</f>
        <v/>
      </c>
      <c r="H199" s="95" t="str">
        <f>IF(ISNUMBER(deployment_raw[[#This Row],[Column8]]), (deployment_raw[[#This Row],[Column8]]  * IF($E$2="Deployment",deployment_raw[[#This Row],[Column5]],1)),"")</f>
        <v/>
      </c>
      <c r="I199" s="96" t="str">
        <f>IF(ISNUMBER(deployment_raw[[#This Row],[Column9]]), (deployment_raw[[#This Row],[Column9]] * IF($E$2="Deployment",deployment_raw[[#This Row],[Column5]],1))/1048576,"")</f>
        <v/>
      </c>
      <c r="J199" s="122" t="str">
        <f>IF(ISNUMBER(deployment_raw[[#This Row],[Column10]]), (MIN(IF(N199&lt;&gt;"",N199,9999999999999)*1.1,deployment_raw[[#This Row],[Column10]] * IF($E$2="Deployment",deployment_raw[[#This Row],[Column5]],1))),"")</f>
        <v/>
      </c>
      <c r="K199" s="123" t="str">
        <f>IF(ISNUMBER(deployment_raw[[#This Row],[Column11]]), (MIN(IF(O199&lt;&gt;"",O199,9999999999999)*1.1,deployment_raw[[#This Row],[Column11]] * IF($E$2="Deployment",deployment_raw[[#This Row],[Column5]],1)/1048576)),"")</f>
        <v/>
      </c>
      <c r="L199" s="124" t="str">
        <f>IF(ISNUMBER(deployment_raw[[#This Row],[Column8]]),IF(OR(deployment_raw[[#This Row],[Column5]] &lt;&gt; 0,$E$2 &lt;&gt; "Deployment"), MAX(J199, P199, R199, ($L$2 * IF($E$2="Deployment",deployment_raw[[#This Row],[Column5]],1)),IF(T199&lt;&gt;"",VALUE(T199) * IF($E$2="Deployment",deployment_raw[[#This Row],[Column5]],1),0)), 0),"")</f>
        <v/>
      </c>
      <c r="M199" s="125" t="str">
        <f>IF(ISNUMBER(deployment_raw[[#This Row],[Column9]]),IF(OR(deployment_raw[[#This Row],[Column5]] &lt;&gt; 0,$E$2&lt;&gt;"Deployment"), MAX(K199, Q199, S199, ($M$2 * IF($E$2="Deployment",deployment_raw[[#This Row],[Column5]],1)),IF(U199&lt;&gt;"",VALUE(U199) * IF($E$2="Deployment",deployment_raw[[#This Row],[Column5]],1),0)), 0),"")</f>
        <v/>
      </c>
      <c r="N199" s="166" t="str">
        <f>IF(ISNUMBER(deployment_raw[[#This Row],[Column14]]), deployment_raw[[#This Row],[Column14]]/IF(OR($E$2="Deployment",deployment_raw[[#This Row],[Column5]]=0),1,deployment_raw[[#This Row],[Column5]]),"")</f>
        <v/>
      </c>
      <c r="O199" s="167" t="str">
        <f>IF(ISNUMBER(deployment_raw[[#This Row],[Column15]]), deployment_raw[[#This Row],[Column15]]/IF(OR($E$2="Deployment",deployment_raw[[#This Row],[Column5]]=0),1,deployment_raw[[#This Row],[Column5]])/1048576,"")</f>
        <v/>
      </c>
      <c r="P199" s="168" t="str">
        <f>IF(ISNUMBER(deployment_raw[[#This Row],[Column12]]), (MIN(IF(N199&lt;&gt;"",N199,9999999999999)*1.1,deployment_raw[[#This Row],[Column12]] * IF($E$2="Deployment",deployment_raw[[#This Row],[Column5]],1))*(1+$P$2)),"")</f>
        <v/>
      </c>
      <c r="Q199" s="167" t="str">
        <f>IF(ISNUMBER(deployment_raw[[#This Row],[Column13]]), (MIN(IF(O199&lt;&gt;"",O199,9999999999999)*1.1,deployment_raw[[#This Row],[Column13]] * IF($E$2="Deployment",deployment_raw[[#This Row],[Column5]],1)*(1+$Q$2)/1048576)),"")</f>
        <v/>
      </c>
      <c r="R199" s="169" t="str">
        <f>IF(ISNUMBER(deployment_raw[[#This Row],[Column8]]), (H199  * IF(N199&lt;&gt;0,$R$2,1)),"")</f>
        <v/>
      </c>
      <c r="S199" s="170" t="str">
        <f>IF(ISNUMBER(deployment_raw[[#This Row],[Column8]]), (I199  * IF(O199&lt;&gt;0,$S$2,1)),"")</f>
        <v/>
      </c>
      <c r="T199" s="202" t="str">
        <f>IF(AND(A199&lt;&gt;"",_xlfn.IFNA(MATCH(A199,'dynamic resource application '!$A$2:$A$100, 0),0)&lt;&gt;0), H199/(IF($E$2="Deployment",E199,1)),"")</f>
        <v/>
      </c>
      <c r="U199" s="211" t="str">
        <f>IF(AND(A199&lt;&gt;"",_xlfn.IFNA(MATCH(A199,'dynamic resource application '!$A$2:$A$100, 0),0)&lt;&gt;0), I199/(IF($E$2="Deployment",E199,1)),"")</f>
        <v/>
      </c>
    </row>
    <row r="200" spans="1:21" ht="15.75" customHeight="1" x14ac:dyDescent="0.25">
      <c r="A200" s="35" t="str">
        <f>IF(ISNONTEXT(deployment_raw[[#This Row],[Column1]]), "", deployment_raw[[#This Row],[Column1]])</f>
        <v/>
      </c>
      <c r="B200" s="36" t="str">
        <f>IF(ISNONTEXT(deployment_raw[[#This Row],[Column2]]), "", deployment_raw[[#This Row],[Column2]])</f>
        <v/>
      </c>
      <c r="C200" s="36" t="str">
        <f>IF(ISNONTEXT(deployment_raw[[#This Row],[Column3]]), "", deployment_raw[[#This Row],[Column3]])</f>
        <v/>
      </c>
      <c r="D200" s="36" t="str">
        <f>IF(ISNONTEXT(deployment_raw[[#This Row],[Column4]]), "", deployment_raw[[#This Row],[Column4]])</f>
        <v/>
      </c>
      <c r="E200" s="37" t="str">
        <f>IF(ISNUMBER(deployment_raw[[#This Row],[Column5]]), deployment_raw[[#This Row],[Column5]],"")</f>
        <v/>
      </c>
      <c r="F200" s="94" t="str">
        <f>IF(ISNUMBER(deployment_raw[[#This Row],[Column6]]), (deployment_raw[[#This Row],[Column6]] * IF($E$2="Deployment",deployment_raw[[#This Row],[Column5]],1)),"")</f>
        <v/>
      </c>
      <c r="G200" s="95" t="str">
        <f>IF(ISNUMBER(deployment_raw[[#This Row],[Column7]]), (deployment_raw[[#This Row],[Column7]] * IF($E$2="Deployment",deployment_raw[[#This Row],[Column5]],1))/1048576,"")</f>
        <v/>
      </c>
      <c r="H200" s="95" t="str">
        <f>IF(ISNUMBER(deployment_raw[[#This Row],[Column8]]), (deployment_raw[[#This Row],[Column8]]  * IF($E$2="Deployment",deployment_raw[[#This Row],[Column5]],1)),"")</f>
        <v/>
      </c>
      <c r="I200" s="96" t="str">
        <f>IF(ISNUMBER(deployment_raw[[#This Row],[Column9]]), (deployment_raw[[#This Row],[Column9]] * IF($E$2="Deployment",deployment_raw[[#This Row],[Column5]],1))/1048576,"")</f>
        <v/>
      </c>
      <c r="J200" s="122" t="str">
        <f>IF(ISNUMBER(deployment_raw[[#This Row],[Column10]]), (MIN(IF(N200&lt;&gt;"",N200,9999999999999)*1.1,deployment_raw[[#This Row],[Column10]] * IF($E$2="Deployment",deployment_raw[[#This Row],[Column5]],1))),"")</f>
        <v/>
      </c>
      <c r="K200" s="123" t="str">
        <f>IF(ISNUMBER(deployment_raw[[#This Row],[Column11]]), (MIN(IF(O200&lt;&gt;"",O200,9999999999999)*1.1,deployment_raw[[#This Row],[Column11]] * IF($E$2="Deployment",deployment_raw[[#This Row],[Column5]],1)/1048576)),"")</f>
        <v/>
      </c>
      <c r="L200" s="124" t="str">
        <f>IF(ISNUMBER(deployment_raw[[#This Row],[Column8]]),IF(OR(deployment_raw[[#This Row],[Column5]] &lt;&gt; 0,$E$2 &lt;&gt; "Deployment"), MAX(J200, P200, R200, ($L$2 * IF($E$2="Deployment",deployment_raw[[#This Row],[Column5]],1)),IF(T200&lt;&gt;"",VALUE(T200) * IF($E$2="Deployment",deployment_raw[[#This Row],[Column5]],1),0)), 0),"")</f>
        <v/>
      </c>
      <c r="M200" s="125" t="str">
        <f>IF(ISNUMBER(deployment_raw[[#This Row],[Column9]]),IF(OR(deployment_raw[[#This Row],[Column5]] &lt;&gt; 0,$E$2&lt;&gt;"Deployment"), MAX(K200, Q200, S200, ($M$2 * IF($E$2="Deployment",deployment_raw[[#This Row],[Column5]],1)),IF(U200&lt;&gt;"",VALUE(U200) * IF($E$2="Deployment",deployment_raw[[#This Row],[Column5]],1),0)), 0),"")</f>
        <v/>
      </c>
      <c r="N200" s="166" t="str">
        <f>IF(ISNUMBER(deployment_raw[[#This Row],[Column14]]), deployment_raw[[#This Row],[Column14]]/IF(OR($E$2="Deployment",deployment_raw[[#This Row],[Column5]]=0),1,deployment_raw[[#This Row],[Column5]]),"")</f>
        <v/>
      </c>
      <c r="O200" s="167" t="str">
        <f>IF(ISNUMBER(deployment_raw[[#This Row],[Column15]]), deployment_raw[[#This Row],[Column15]]/IF(OR($E$2="Deployment",deployment_raw[[#This Row],[Column5]]=0),1,deployment_raw[[#This Row],[Column5]])/1048576,"")</f>
        <v/>
      </c>
      <c r="P200" s="168" t="str">
        <f>IF(ISNUMBER(deployment_raw[[#This Row],[Column12]]), (MIN(IF(N200&lt;&gt;"",N200,9999999999999)*1.1,deployment_raw[[#This Row],[Column12]] * IF($E$2="Deployment",deployment_raw[[#This Row],[Column5]],1))*(1+$P$2)),"")</f>
        <v/>
      </c>
      <c r="Q200" s="167" t="str">
        <f>IF(ISNUMBER(deployment_raw[[#This Row],[Column13]]), (MIN(IF(O200&lt;&gt;"",O200,9999999999999)*1.1,deployment_raw[[#This Row],[Column13]] * IF($E$2="Deployment",deployment_raw[[#This Row],[Column5]],1)*(1+$Q$2)/1048576)),"")</f>
        <v/>
      </c>
      <c r="R200" s="169" t="str">
        <f>IF(ISNUMBER(deployment_raw[[#This Row],[Column8]]), (H200  * IF(N200&lt;&gt;0,$R$2,1)),"")</f>
        <v/>
      </c>
      <c r="S200" s="170" t="str">
        <f>IF(ISNUMBER(deployment_raw[[#This Row],[Column8]]), (I200  * IF(O200&lt;&gt;0,$S$2,1)),"")</f>
        <v/>
      </c>
      <c r="T200" s="202" t="str">
        <f>IF(AND(A200&lt;&gt;"",_xlfn.IFNA(MATCH(A200,'dynamic resource application '!$A$2:$A$100, 0),0)&lt;&gt;0), H200/(IF($E$2="Deployment",E200,1)),"")</f>
        <v/>
      </c>
      <c r="U200" s="211" t="str">
        <f>IF(AND(A200&lt;&gt;"",_xlfn.IFNA(MATCH(A200,'dynamic resource application '!$A$2:$A$100, 0),0)&lt;&gt;0), I200/(IF($E$2="Deployment",E200,1)),"")</f>
        <v/>
      </c>
    </row>
    <row r="201" spans="1:21" ht="15.75" customHeight="1" x14ac:dyDescent="0.25">
      <c r="A201" s="35" t="str">
        <f>IF(ISNONTEXT(deployment_raw[[#This Row],[Column1]]), "", deployment_raw[[#This Row],[Column1]])</f>
        <v/>
      </c>
      <c r="B201" s="36" t="str">
        <f>IF(ISNONTEXT(deployment_raw[[#This Row],[Column2]]), "", deployment_raw[[#This Row],[Column2]])</f>
        <v/>
      </c>
      <c r="C201" s="36" t="str">
        <f>IF(ISNONTEXT(deployment_raw[[#This Row],[Column3]]), "", deployment_raw[[#This Row],[Column3]])</f>
        <v/>
      </c>
      <c r="D201" s="36" t="str">
        <f>IF(ISNONTEXT(deployment_raw[[#This Row],[Column4]]), "", deployment_raw[[#This Row],[Column4]])</f>
        <v/>
      </c>
      <c r="E201" s="37" t="str">
        <f>IF(ISNUMBER(deployment_raw[[#This Row],[Column5]]), deployment_raw[[#This Row],[Column5]],"")</f>
        <v/>
      </c>
      <c r="F201" s="94" t="str">
        <f>IF(ISNUMBER(deployment_raw[[#This Row],[Column6]]), (deployment_raw[[#This Row],[Column6]] * IF($E$2="Deployment",deployment_raw[[#This Row],[Column5]],1)),"")</f>
        <v/>
      </c>
      <c r="G201" s="95" t="str">
        <f>IF(ISNUMBER(deployment_raw[[#This Row],[Column7]]), (deployment_raw[[#This Row],[Column7]] * IF($E$2="Deployment",deployment_raw[[#This Row],[Column5]],1))/1048576,"")</f>
        <v/>
      </c>
      <c r="H201" s="95" t="str">
        <f>IF(ISNUMBER(deployment_raw[[#This Row],[Column8]]), (deployment_raw[[#This Row],[Column8]]  * IF($E$2="Deployment",deployment_raw[[#This Row],[Column5]],1)),"")</f>
        <v/>
      </c>
      <c r="I201" s="96" t="str">
        <f>IF(ISNUMBER(deployment_raw[[#This Row],[Column9]]), (deployment_raw[[#This Row],[Column9]] * IF($E$2="Deployment",deployment_raw[[#This Row],[Column5]],1))/1048576,"")</f>
        <v/>
      </c>
      <c r="J201" s="122" t="str">
        <f>IF(ISNUMBER(deployment_raw[[#This Row],[Column10]]), (MIN(IF(N201&lt;&gt;"",N201,9999999999999)*1.1,deployment_raw[[#This Row],[Column10]] * IF($E$2="Deployment",deployment_raw[[#This Row],[Column5]],1))),"")</f>
        <v/>
      </c>
      <c r="K201" s="123" t="str">
        <f>IF(ISNUMBER(deployment_raw[[#This Row],[Column11]]), (MIN(IF(O201&lt;&gt;"",O201,9999999999999)*1.1,deployment_raw[[#This Row],[Column11]] * IF($E$2="Deployment",deployment_raw[[#This Row],[Column5]],1)/1048576)),"")</f>
        <v/>
      </c>
      <c r="L201" s="124" t="str">
        <f>IF(ISNUMBER(deployment_raw[[#This Row],[Column8]]),IF(OR(deployment_raw[[#This Row],[Column5]] &lt;&gt; 0,$E$2 &lt;&gt; "Deployment"), MAX(J201, P201, R201, ($L$2 * IF($E$2="Deployment",deployment_raw[[#This Row],[Column5]],1)),IF(T201&lt;&gt;"",VALUE(T201) * IF($E$2="Deployment",deployment_raw[[#This Row],[Column5]],1),0)), 0),"")</f>
        <v/>
      </c>
      <c r="M201" s="125" t="str">
        <f>IF(ISNUMBER(deployment_raw[[#This Row],[Column9]]),IF(OR(deployment_raw[[#This Row],[Column5]] &lt;&gt; 0,$E$2&lt;&gt;"Deployment"), MAX(K201, Q201, S201, ($M$2 * IF($E$2="Deployment",deployment_raw[[#This Row],[Column5]],1)),IF(U201&lt;&gt;"",VALUE(U201) * IF($E$2="Deployment",deployment_raw[[#This Row],[Column5]],1),0)), 0),"")</f>
        <v/>
      </c>
      <c r="N201" s="166" t="str">
        <f>IF(ISNUMBER(deployment_raw[[#This Row],[Column14]]), deployment_raw[[#This Row],[Column14]]/IF(OR($E$2="Deployment",deployment_raw[[#This Row],[Column5]]=0),1,deployment_raw[[#This Row],[Column5]]),"")</f>
        <v/>
      </c>
      <c r="O201" s="167" t="str">
        <f>IF(ISNUMBER(deployment_raw[[#This Row],[Column15]]), deployment_raw[[#This Row],[Column15]]/IF(OR($E$2="Deployment",deployment_raw[[#This Row],[Column5]]=0),1,deployment_raw[[#This Row],[Column5]])/1048576,"")</f>
        <v/>
      </c>
      <c r="P201" s="168" t="str">
        <f>IF(ISNUMBER(deployment_raw[[#This Row],[Column12]]), (MIN(IF(N201&lt;&gt;"",N201,9999999999999)*1.1,deployment_raw[[#This Row],[Column12]] * IF($E$2="Deployment",deployment_raw[[#This Row],[Column5]],1))*(1+$P$2)),"")</f>
        <v/>
      </c>
      <c r="Q201" s="167" t="str">
        <f>IF(ISNUMBER(deployment_raw[[#This Row],[Column13]]), (MIN(IF(O201&lt;&gt;"",O201,9999999999999)*1.1,deployment_raw[[#This Row],[Column13]] * IF($E$2="Deployment",deployment_raw[[#This Row],[Column5]],1)*(1+$Q$2)/1048576)),"")</f>
        <v/>
      </c>
      <c r="R201" s="169" t="str">
        <f>IF(ISNUMBER(deployment_raw[[#This Row],[Column8]]), (H201  * IF(N201&lt;&gt;0,$R$2,1)),"")</f>
        <v/>
      </c>
      <c r="S201" s="170" t="str">
        <f>IF(ISNUMBER(deployment_raw[[#This Row],[Column8]]), (I201  * IF(O201&lt;&gt;0,$S$2,1)),"")</f>
        <v/>
      </c>
      <c r="T201" s="202" t="str">
        <f>IF(AND(A201&lt;&gt;"",_xlfn.IFNA(MATCH(A201,'dynamic resource application '!$A$2:$A$100, 0),0)&lt;&gt;0), H201/(IF($E$2="Deployment",E201,1)),"")</f>
        <v/>
      </c>
      <c r="U201" s="211" t="str">
        <f>IF(AND(A201&lt;&gt;"",_xlfn.IFNA(MATCH(A201,'dynamic resource application '!$A$2:$A$100, 0),0)&lt;&gt;0), I201/(IF($E$2="Deployment",E201,1)),"")</f>
        <v/>
      </c>
    </row>
    <row r="202" spans="1:21" ht="15.75" customHeight="1" x14ac:dyDescent="0.25">
      <c r="A202" s="35" t="str">
        <f>IF(ISNONTEXT(deployment_raw[[#This Row],[Column1]]), "", deployment_raw[[#This Row],[Column1]])</f>
        <v/>
      </c>
      <c r="B202" s="36" t="str">
        <f>IF(ISNONTEXT(deployment_raw[[#This Row],[Column2]]), "", deployment_raw[[#This Row],[Column2]])</f>
        <v/>
      </c>
      <c r="C202" s="36" t="str">
        <f>IF(ISNONTEXT(deployment_raw[[#This Row],[Column3]]), "", deployment_raw[[#This Row],[Column3]])</f>
        <v/>
      </c>
      <c r="D202" s="36" t="str">
        <f>IF(ISNONTEXT(deployment_raw[[#This Row],[Column4]]), "", deployment_raw[[#This Row],[Column4]])</f>
        <v/>
      </c>
      <c r="E202" s="37" t="str">
        <f>IF(ISNUMBER(deployment_raw[[#This Row],[Column5]]), deployment_raw[[#This Row],[Column5]],"")</f>
        <v/>
      </c>
      <c r="F202" s="94" t="str">
        <f>IF(ISNUMBER(deployment_raw[[#This Row],[Column6]]), (deployment_raw[[#This Row],[Column6]] * IF($E$2="Deployment",deployment_raw[[#This Row],[Column5]],1)),"")</f>
        <v/>
      </c>
      <c r="G202" s="95" t="str">
        <f>IF(ISNUMBER(deployment_raw[[#This Row],[Column7]]), (deployment_raw[[#This Row],[Column7]] * IF($E$2="Deployment",deployment_raw[[#This Row],[Column5]],1))/1048576,"")</f>
        <v/>
      </c>
      <c r="H202" s="95" t="str">
        <f>IF(ISNUMBER(deployment_raw[[#This Row],[Column8]]), (deployment_raw[[#This Row],[Column8]]  * IF($E$2="Deployment",deployment_raw[[#This Row],[Column5]],1)),"")</f>
        <v/>
      </c>
      <c r="I202" s="96" t="str">
        <f>IF(ISNUMBER(deployment_raw[[#This Row],[Column9]]), (deployment_raw[[#This Row],[Column9]] * IF($E$2="Deployment",deployment_raw[[#This Row],[Column5]],1))/1048576,"")</f>
        <v/>
      </c>
      <c r="J202" s="122" t="str">
        <f>IF(ISNUMBER(deployment_raw[[#This Row],[Column10]]), (MIN(IF(N202&lt;&gt;"",N202,9999999999999)*1.1,deployment_raw[[#This Row],[Column10]] * IF($E$2="Deployment",deployment_raw[[#This Row],[Column5]],1))),"")</f>
        <v/>
      </c>
      <c r="K202" s="123" t="str">
        <f>IF(ISNUMBER(deployment_raw[[#This Row],[Column11]]), (MIN(IF(O202&lt;&gt;"",O202,9999999999999)*1.1,deployment_raw[[#This Row],[Column11]] * IF($E$2="Deployment",deployment_raw[[#This Row],[Column5]],1)/1048576)),"")</f>
        <v/>
      </c>
      <c r="L202" s="124" t="str">
        <f>IF(ISNUMBER(deployment_raw[[#This Row],[Column8]]),IF(OR(deployment_raw[[#This Row],[Column5]] &lt;&gt; 0,$E$2 &lt;&gt; "Deployment"), MAX(J202, P202, R202, ($L$2 * IF($E$2="Deployment",deployment_raw[[#This Row],[Column5]],1)),IF(T202&lt;&gt;"",VALUE(T202) * IF($E$2="Deployment",deployment_raw[[#This Row],[Column5]],1),0)), 0),"")</f>
        <v/>
      </c>
      <c r="M202" s="125" t="str">
        <f>IF(ISNUMBER(deployment_raw[[#This Row],[Column9]]),IF(OR(deployment_raw[[#This Row],[Column5]] &lt;&gt; 0,$E$2&lt;&gt;"Deployment"), MAX(K202, Q202, S202, ($M$2 * IF($E$2="Deployment",deployment_raw[[#This Row],[Column5]],1)),IF(U202&lt;&gt;"",VALUE(U202) * IF($E$2="Deployment",deployment_raw[[#This Row],[Column5]],1),0)), 0),"")</f>
        <v/>
      </c>
      <c r="N202" s="166" t="str">
        <f>IF(ISNUMBER(deployment_raw[[#This Row],[Column14]]), deployment_raw[[#This Row],[Column14]]/IF(OR($E$2="Deployment",deployment_raw[[#This Row],[Column5]]=0),1,deployment_raw[[#This Row],[Column5]]),"")</f>
        <v/>
      </c>
      <c r="O202" s="167" t="str">
        <f>IF(ISNUMBER(deployment_raw[[#This Row],[Column15]]), deployment_raw[[#This Row],[Column15]]/IF(OR($E$2="Deployment",deployment_raw[[#This Row],[Column5]]=0),1,deployment_raw[[#This Row],[Column5]])/1048576,"")</f>
        <v/>
      </c>
      <c r="P202" s="168" t="str">
        <f>IF(ISNUMBER(deployment_raw[[#This Row],[Column12]]), (MIN(IF(N202&lt;&gt;"",N202,9999999999999)*1.1,deployment_raw[[#This Row],[Column12]] * IF($E$2="Deployment",deployment_raw[[#This Row],[Column5]],1))*(1+$P$2)),"")</f>
        <v/>
      </c>
      <c r="Q202" s="167" t="str">
        <f>IF(ISNUMBER(deployment_raw[[#This Row],[Column13]]), (MIN(IF(O202&lt;&gt;"",O202,9999999999999)*1.1,deployment_raw[[#This Row],[Column13]] * IF($E$2="Deployment",deployment_raw[[#This Row],[Column5]],1)*(1+$Q$2)/1048576)),"")</f>
        <v/>
      </c>
      <c r="R202" s="169" t="str">
        <f>IF(ISNUMBER(deployment_raw[[#This Row],[Column8]]), (H202  * IF(N202&lt;&gt;0,$R$2,1)),"")</f>
        <v/>
      </c>
      <c r="S202" s="170" t="str">
        <f>IF(ISNUMBER(deployment_raw[[#This Row],[Column8]]), (I202  * IF(O202&lt;&gt;0,$S$2,1)),"")</f>
        <v/>
      </c>
      <c r="T202" s="202" t="str">
        <f>IF(AND(A202&lt;&gt;"",_xlfn.IFNA(MATCH(A202,'dynamic resource application '!$A$2:$A$100, 0),0)&lt;&gt;0), H202/(IF($E$2="Deployment",E202,1)),"")</f>
        <v/>
      </c>
      <c r="U202" s="211" t="str">
        <f>IF(AND(A202&lt;&gt;"",_xlfn.IFNA(MATCH(A202,'dynamic resource application '!$A$2:$A$100, 0),0)&lt;&gt;0), I202/(IF($E$2="Deployment",E202,1)),"")</f>
        <v/>
      </c>
    </row>
    <row r="203" spans="1:21" ht="15.75" customHeight="1" x14ac:dyDescent="0.25">
      <c r="A203" s="35" t="str">
        <f>IF(ISNONTEXT(deployment_raw[[#This Row],[Column1]]), "", deployment_raw[[#This Row],[Column1]])</f>
        <v/>
      </c>
      <c r="B203" s="36" t="str">
        <f>IF(ISNONTEXT(deployment_raw[[#This Row],[Column2]]), "", deployment_raw[[#This Row],[Column2]])</f>
        <v/>
      </c>
      <c r="C203" s="36" t="str">
        <f>IF(ISNONTEXT(deployment_raw[[#This Row],[Column3]]), "", deployment_raw[[#This Row],[Column3]])</f>
        <v/>
      </c>
      <c r="D203" s="36" t="str">
        <f>IF(ISNONTEXT(deployment_raw[[#This Row],[Column4]]), "", deployment_raw[[#This Row],[Column4]])</f>
        <v/>
      </c>
      <c r="E203" s="37" t="str">
        <f>IF(ISNUMBER(deployment_raw[[#This Row],[Column5]]), deployment_raw[[#This Row],[Column5]],"")</f>
        <v/>
      </c>
      <c r="F203" s="94" t="str">
        <f>IF(ISNUMBER(deployment_raw[[#This Row],[Column6]]), (deployment_raw[[#This Row],[Column6]] * IF($E$2="Deployment",deployment_raw[[#This Row],[Column5]],1)),"")</f>
        <v/>
      </c>
      <c r="G203" s="95" t="str">
        <f>IF(ISNUMBER(deployment_raw[[#This Row],[Column7]]), (deployment_raw[[#This Row],[Column7]] * IF($E$2="Deployment",deployment_raw[[#This Row],[Column5]],1))/1048576,"")</f>
        <v/>
      </c>
      <c r="H203" s="95" t="str">
        <f>IF(ISNUMBER(deployment_raw[[#This Row],[Column8]]), (deployment_raw[[#This Row],[Column8]]  * IF($E$2="Deployment",deployment_raw[[#This Row],[Column5]],1)),"")</f>
        <v/>
      </c>
      <c r="I203" s="96" t="str">
        <f>IF(ISNUMBER(deployment_raw[[#This Row],[Column9]]), (deployment_raw[[#This Row],[Column9]] * IF($E$2="Deployment",deployment_raw[[#This Row],[Column5]],1))/1048576,"")</f>
        <v/>
      </c>
      <c r="J203" s="122" t="str">
        <f>IF(ISNUMBER(deployment_raw[[#This Row],[Column10]]), (MIN(IF(N203&lt;&gt;"",N203,9999999999999)*1.1,deployment_raw[[#This Row],[Column10]] * IF($E$2="Deployment",deployment_raw[[#This Row],[Column5]],1))),"")</f>
        <v/>
      </c>
      <c r="K203" s="123" t="str">
        <f>IF(ISNUMBER(deployment_raw[[#This Row],[Column11]]), (MIN(IF(O203&lt;&gt;"",O203,9999999999999)*1.1,deployment_raw[[#This Row],[Column11]] * IF($E$2="Deployment",deployment_raw[[#This Row],[Column5]],1)/1048576)),"")</f>
        <v/>
      </c>
      <c r="L203" s="124" t="str">
        <f>IF(ISNUMBER(deployment_raw[[#This Row],[Column8]]),IF(OR(deployment_raw[[#This Row],[Column5]] &lt;&gt; 0,$E$2 &lt;&gt; "Deployment"), MAX(J203, P203, R203, ($L$2 * IF($E$2="Deployment",deployment_raw[[#This Row],[Column5]],1)),IF(T203&lt;&gt;"",VALUE(T203) * IF($E$2="Deployment",deployment_raw[[#This Row],[Column5]],1),0)), 0),"")</f>
        <v/>
      </c>
      <c r="M203" s="125" t="str">
        <f>IF(ISNUMBER(deployment_raw[[#This Row],[Column9]]),IF(OR(deployment_raw[[#This Row],[Column5]] &lt;&gt; 0,$E$2&lt;&gt;"Deployment"), MAX(K203, Q203, S203, ($M$2 * IF($E$2="Deployment",deployment_raw[[#This Row],[Column5]],1)),IF(U203&lt;&gt;"",VALUE(U203) * IF($E$2="Deployment",deployment_raw[[#This Row],[Column5]],1),0)), 0),"")</f>
        <v/>
      </c>
      <c r="N203" s="166" t="str">
        <f>IF(ISNUMBER(deployment_raw[[#This Row],[Column14]]), deployment_raw[[#This Row],[Column14]]/IF(OR($E$2="Deployment",deployment_raw[[#This Row],[Column5]]=0),1,deployment_raw[[#This Row],[Column5]]),"")</f>
        <v/>
      </c>
      <c r="O203" s="167" t="str">
        <f>IF(ISNUMBER(deployment_raw[[#This Row],[Column15]]), deployment_raw[[#This Row],[Column15]]/IF(OR($E$2="Deployment",deployment_raw[[#This Row],[Column5]]=0),1,deployment_raw[[#This Row],[Column5]])/1048576,"")</f>
        <v/>
      </c>
      <c r="P203" s="168" t="str">
        <f>IF(ISNUMBER(deployment_raw[[#This Row],[Column12]]), (MIN(IF(N203&lt;&gt;"",N203,9999999999999)*1.1,deployment_raw[[#This Row],[Column12]] * IF($E$2="Deployment",deployment_raw[[#This Row],[Column5]],1))*(1+$P$2)),"")</f>
        <v/>
      </c>
      <c r="Q203" s="167" t="str">
        <f>IF(ISNUMBER(deployment_raw[[#This Row],[Column13]]), (MIN(IF(O203&lt;&gt;"",O203,9999999999999)*1.1,deployment_raw[[#This Row],[Column13]] * IF($E$2="Deployment",deployment_raw[[#This Row],[Column5]],1)*(1+$Q$2)/1048576)),"")</f>
        <v/>
      </c>
      <c r="R203" s="169" t="str">
        <f>IF(ISNUMBER(deployment_raw[[#This Row],[Column8]]), (H203  * IF(N203&lt;&gt;0,$R$2,1)),"")</f>
        <v/>
      </c>
      <c r="S203" s="170" t="str">
        <f>IF(ISNUMBER(deployment_raw[[#This Row],[Column8]]), (I203  * IF(O203&lt;&gt;0,$S$2,1)),"")</f>
        <v/>
      </c>
      <c r="T203" s="202" t="str">
        <f>IF(AND(A203&lt;&gt;"",_xlfn.IFNA(MATCH(A203,'dynamic resource application '!$A$2:$A$100, 0),0)&lt;&gt;0), H203/(IF($E$2="Deployment",E203,1)),"")</f>
        <v/>
      </c>
      <c r="U203" s="211" t="str">
        <f>IF(AND(A203&lt;&gt;"",_xlfn.IFNA(MATCH(A203,'dynamic resource application '!$A$2:$A$100, 0),0)&lt;&gt;0), I203/(IF($E$2="Deployment",E203,1)),"")</f>
        <v/>
      </c>
    </row>
    <row r="204" spans="1:21" ht="15.75" customHeight="1" x14ac:dyDescent="0.25">
      <c r="A204" s="35" t="str">
        <f>IF(ISNONTEXT(deployment_raw[[#This Row],[Column1]]), "", deployment_raw[[#This Row],[Column1]])</f>
        <v/>
      </c>
      <c r="B204" s="36" t="str">
        <f>IF(ISNONTEXT(deployment_raw[[#This Row],[Column2]]), "", deployment_raw[[#This Row],[Column2]])</f>
        <v/>
      </c>
      <c r="C204" s="36" t="str">
        <f>IF(ISNONTEXT(deployment_raw[[#This Row],[Column3]]), "", deployment_raw[[#This Row],[Column3]])</f>
        <v/>
      </c>
      <c r="D204" s="36" t="str">
        <f>IF(ISNONTEXT(deployment_raw[[#This Row],[Column4]]), "", deployment_raw[[#This Row],[Column4]])</f>
        <v/>
      </c>
      <c r="E204" s="37" t="str">
        <f>IF(ISNUMBER(deployment_raw[[#This Row],[Column5]]), deployment_raw[[#This Row],[Column5]],"")</f>
        <v/>
      </c>
      <c r="F204" s="94" t="str">
        <f>IF(ISNUMBER(deployment_raw[[#This Row],[Column6]]), (deployment_raw[[#This Row],[Column6]] * IF($E$2="Deployment",deployment_raw[[#This Row],[Column5]],1)),"")</f>
        <v/>
      </c>
      <c r="G204" s="95" t="str">
        <f>IF(ISNUMBER(deployment_raw[[#This Row],[Column7]]), (deployment_raw[[#This Row],[Column7]] * IF($E$2="Deployment",deployment_raw[[#This Row],[Column5]],1))/1048576,"")</f>
        <v/>
      </c>
      <c r="H204" s="95" t="str">
        <f>IF(ISNUMBER(deployment_raw[[#This Row],[Column8]]), (deployment_raw[[#This Row],[Column8]]  * IF($E$2="Deployment",deployment_raw[[#This Row],[Column5]],1)),"")</f>
        <v/>
      </c>
      <c r="I204" s="96" t="str">
        <f>IF(ISNUMBER(deployment_raw[[#This Row],[Column9]]), (deployment_raw[[#This Row],[Column9]] * IF($E$2="Deployment",deployment_raw[[#This Row],[Column5]],1))/1048576,"")</f>
        <v/>
      </c>
      <c r="J204" s="122" t="str">
        <f>IF(ISNUMBER(deployment_raw[[#This Row],[Column10]]), (MIN(IF(N204&lt;&gt;"",N204,9999999999999)*1.1,deployment_raw[[#This Row],[Column10]] * IF($E$2="Deployment",deployment_raw[[#This Row],[Column5]],1))),"")</f>
        <v/>
      </c>
      <c r="K204" s="123" t="str">
        <f>IF(ISNUMBER(deployment_raw[[#This Row],[Column11]]), (MIN(IF(O204&lt;&gt;"",O204,9999999999999)*1.1,deployment_raw[[#This Row],[Column11]] * IF($E$2="Deployment",deployment_raw[[#This Row],[Column5]],1)/1048576)),"")</f>
        <v/>
      </c>
      <c r="L204" s="124" t="str">
        <f>IF(ISNUMBER(deployment_raw[[#This Row],[Column8]]),IF(OR(deployment_raw[[#This Row],[Column5]] &lt;&gt; 0,$E$2 &lt;&gt; "Deployment"), MAX(J204, P204, R204, ($L$2 * IF($E$2="Deployment",deployment_raw[[#This Row],[Column5]],1)),IF(T204&lt;&gt;"",VALUE(T204) * IF($E$2="Deployment",deployment_raw[[#This Row],[Column5]],1),0)), 0),"")</f>
        <v/>
      </c>
      <c r="M204" s="125" t="str">
        <f>IF(ISNUMBER(deployment_raw[[#This Row],[Column9]]),IF(OR(deployment_raw[[#This Row],[Column5]] &lt;&gt; 0,$E$2&lt;&gt;"Deployment"), MAX(K204, Q204, S204, ($M$2 * IF($E$2="Deployment",deployment_raw[[#This Row],[Column5]],1)),IF(U204&lt;&gt;"",VALUE(U204) * IF($E$2="Deployment",deployment_raw[[#This Row],[Column5]],1),0)), 0),"")</f>
        <v/>
      </c>
      <c r="N204" s="166" t="str">
        <f>IF(ISNUMBER(deployment_raw[[#This Row],[Column14]]), deployment_raw[[#This Row],[Column14]]/IF(OR($E$2="Deployment",deployment_raw[[#This Row],[Column5]]=0),1,deployment_raw[[#This Row],[Column5]]),"")</f>
        <v/>
      </c>
      <c r="O204" s="167" t="str">
        <f>IF(ISNUMBER(deployment_raw[[#This Row],[Column15]]), deployment_raw[[#This Row],[Column15]]/IF(OR($E$2="Deployment",deployment_raw[[#This Row],[Column5]]=0),1,deployment_raw[[#This Row],[Column5]])/1048576,"")</f>
        <v/>
      </c>
      <c r="P204" s="168" t="str">
        <f>IF(ISNUMBER(deployment_raw[[#This Row],[Column12]]), (MIN(IF(N204&lt;&gt;"",N204,9999999999999)*1.1,deployment_raw[[#This Row],[Column12]] * IF($E$2="Deployment",deployment_raw[[#This Row],[Column5]],1))*(1+$P$2)),"")</f>
        <v/>
      </c>
      <c r="Q204" s="167" t="str">
        <f>IF(ISNUMBER(deployment_raw[[#This Row],[Column13]]), (MIN(IF(O204&lt;&gt;"",O204,9999999999999)*1.1,deployment_raw[[#This Row],[Column13]] * IF($E$2="Deployment",deployment_raw[[#This Row],[Column5]],1)*(1+$Q$2)/1048576)),"")</f>
        <v/>
      </c>
      <c r="R204" s="169" t="str">
        <f>IF(ISNUMBER(deployment_raw[[#This Row],[Column8]]), (H204  * IF(N204&lt;&gt;0,$R$2,1)),"")</f>
        <v/>
      </c>
      <c r="S204" s="170" t="str">
        <f>IF(ISNUMBER(deployment_raw[[#This Row],[Column8]]), (I204  * IF(O204&lt;&gt;0,$S$2,1)),"")</f>
        <v/>
      </c>
      <c r="T204" s="202" t="str">
        <f>IF(AND(A204&lt;&gt;"",_xlfn.IFNA(MATCH(A204,'dynamic resource application '!$A$2:$A$100, 0),0)&lt;&gt;0), H204/(IF($E$2="Deployment",E204,1)),"")</f>
        <v/>
      </c>
      <c r="U204" s="211" t="str">
        <f>IF(AND(A204&lt;&gt;"",_xlfn.IFNA(MATCH(A204,'dynamic resource application '!$A$2:$A$100, 0),0)&lt;&gt;0), I204/(IF($E$2="Deployment",E204,1)),"")</f>
        <v/>
      </c>
    </row>
    <row r="205" spans="1:21" ht="15.75" customHeight="1" x14ac:dyDescent="0.25">
      <c r="A205" s="35" t="str">
        <f>IF(ISNONTEXT(deployment_raw[[#This Row],[Column1]]), "", deployment_raw[[#This Row],[Column1]])</f>
        <v/>
      </c>
      <c r="B205" s="36" t="str">
        <f>IF(ISNONTEXT(deployment_raw[[#This Row],[Column2]]), "", deployment_raw[[#This Row],[Column2]])</f>
        <v/>
      </c>
      <c r="C205" s="36" t="str">
        <f>IF(ISNONTEXT(deployment_raw[[#This Row],[Column3]]), "", deployment_raw[[#This Row],[Column3]])</f>
        <v/>
      </c>
      <c r="D205" s="36" t="str">
        <f>IF(ISNONTEXT(deployment_raw[[#This Row],[Column4]]), "", deployment_raw[[#This Row],[Column4]])</f>
        <v/>
      </c>
      <c r="E205" s="37" t="str">
        <f>IF(ISNUMBER(deployment_raw[[#This Row],[Column5]]), deployment_raw[[#This Row],[Column5]],"")</f>
        <v/>
      </c>
      <c r="F205" s="94" t="str">
        <f>IF(ISNUMBER(deployment_raw[[#This Row],[Column6]]), (deployment_raw[[#This Row],[Column6]] * IF($E$2="Deployment",deployment_raw[[#This Row],[Column5]],1)),"")</f>
        <v/>
      </c>
      <c r="G205" s="95" t="str">
        <f>IF(ISNUMBER(deployment_raw[[#This Row],[Column7]]), (deployment_raw[[#This Row],[Column7]] * IF($E$2="Deployment",deployment_raw[[#This Row],[Column5]],1))/1048576,"")</f>
        <v/>
      </c>
      <c r="H205" s="95" t="str">
        <f>IF(ISNUMBER(deployment_raw[[#This Row],[Column8]]), (deployment_raw[[#This Row],[Column8]]  * IF($E$2="Deployment",deployment_raw[[#This Row],[Column5]],1)),"")</f>
        <v/>
      </c>
      <c r="I205" s="96" t="str">
        <f>IF(ISNUMBER(deployment_raw[[#This Row],[Column9]]), (deployment_raw[[#This Row],[Column9]] * IF($E$2="Deployment",deployment_raw[[#This Row],[Column5]],1))/1048576,"")</f>
        <v/>
      </c>
      <c r="J205" s="122" t="str">
        <f>IF(ISNUMBER(deployment_raw[[#This Row],[Column10]]), (MIN(IF(N205&lt;&gt;"",N205,9999999999999)*1.1,deployment_raw[[#This Row],[Column10]] * IF($E$2="Deployment",deployment_raw[[#This Row],[Column5]],1))),"")</f>
        <v/>
      </c>
      <c r="K205" s="123" t="str">
        <f>IF(ISNUMBER(deployment_raw[[#This Row],[Column11]]), (MIN(IF(O205&lt;&gt;"",O205,9999999999999)*1.1,deployment_raw[[#This Row],[Column11]] * IF($E$2="Deployment",deployment_raw[[#This Row],[Column5]],1)/1048576)),"")</f>
        <v/>
      </c>
      <c r="L205" s="124" t="str">
        <f>IF(ISNUMBER(deployment_raw[[#This Row],[Column8]]),IF(OR(deployment_raw[[#This Row],[Column5]] &lt;&gt; 0,$E$2 &lt;&gt; "Deployment"), MAX(J205, P205, R205, ($L$2 * IF($E$2="Deployment",deployment_raw[[#This Row],[Column5]],1)),IF(T205&lt;&gt;"",VALUE(T205) * IF($E$2="Deployment",deployment_raw[[#This Row],[Column5]],1),0)), 0),"")</f>
        <v/>
      </c>
      <c r="M205" s="125" t="str">
        <f>IF(ISNUMBER(deployment_raw[[#This Row],[Column9]]),IF(OR(deployment_raw[[#This Row],[Column5]] &lt;&gt; 0,$E$2&lt;&gt;"Deployment"), MAX(K205, Q205, S205, ($M$2 * IF($E$2="Deployment",deployment_raw[[#This Row],[Column5]],1)),IF(U205&lt;&gt;"",VALUE(U205) * IF($E$2="Deployment",deployment_raw[[#This Row],[Column5]],1),0)), 0),"")</f>
        <v/>
      </c>
      <c r="N205" s="166" t="str">
        <f>IF(ISNUMBER(deployment_raw[[#This Row],[Column14]]), deployment_raw[[#This Row],[Column14]]/IF(OR($E$2="Deployment",deployment_raw[[#This Row],[Column5]]=0),1,deployment_raw[[#This Row],[Column5]]),"")</f>
        <v/>
      </c>
      <c r="O205" s="167" t="str">
        <f>IF(ISNUMBER(deployment_raw[[#This Row],[Column15]]), deployment_raw[[#This Row],[Column15]]/IF(OR($E$2="Deployment",deployment_raw[[#This Row],[Column5]]=0),1,deployment_raw[[#This Row],[Column5]])/1048576,"")</f>
        <v/>
      </c>
      <c r="P205" s="168" t="str">
        <f>IF(ISNUMBER(deployment_raw[[#This Row],[Column12]]), (MIN(IF(N205&lt;&gt;"",N205,9999999999999)*1.1,deployment_raw[[#This Row],[Column12]] * IF($E$2="Deployment",deployment_raw[[#This Row],[Column5]],1))*(1+$P$2)),"")</f>
        <v/>
      </c>
      <c r="Q205" s="167" t="str">
        <f>IF(ISNUMBER(deployment_raw[[#This Row],[Column13]]), (MIN(IF(O205&lt;&gt;"",O205,9999999999999)*1.1,deployment_raw[[#This Row],[Column13]] * IF($E$2="Deployment",deployment_raw[[#This Row],[Column5]],1)*(1+$Q$2)/1048576)),"")</f>
        <v/>
      </c>
      <c r="R205" s="169" t="str">
        <f>IF(ISNUMBER(deployment_raw[[#This Row],[Column8]]), (H205  * IF(N205&lt;&gt;0,$R$2,1)),"")</f>
        <v/>
      </c>
      <c r="S205" s="170" t="str">
        <f>IF(ISNUMBER(deployment_raw[[#This Row],[Column8]]), (I205  * IF(O205&lt;&gt;0,$S$2,1)),"")</f>
        <v/>
      </c>
      <c r="T205" s="202" t="str">
        <f>IF(AND(A205&lt;&gt;"",_xlfn.IFNA(MATCH(A205,'dynamic resource application '!$A$2:$A$100, 0),0)&lt;&gt;0), H205/(IF($E$2="Deployment",E205,1)),"")</f>
        <v/>
      </c>
      <c r="U205" s="211" t="str">
        <f>IF(AND(A205&lt;&gt;"",_xlfn.IFNA(MATCH(A205,'dynamic resource application '!$A$2:$A$100, 0),0)&lt;&gt;0), I205/(IF($E$2="Deployment",E205,1)),"")</f>
        <v/>
      </c>
    </row>
    <row r="206" spans="1:21" ht="15.75" customHeight="1" x14ac:dyDescent="0.25">
      <c r="A206" s="35" t="str">
        <f>IF(ISNONTEXT(deployment_raw[[#This Row],[Column1]]), "", deployment_raw[[#This Row],[Column1]])</f>
        <v/>
      </c>
      <c r="B206" s="36" t="str">
        <f>IF(ISNONTEXT(deployment_raw[[#This Row],[Column2]]), "", deployment_raw[[#This Row],[Column2]])</f>
        <v/>
      </c>
      <c r="C206" s="36" t="str">
        <f>IF(ISNONTEXT(deployment_raw[[#This Row],[Column3]]), "", deployment_raw[[#This Row],[Column3]])</f>
        <v/>
      </c>
      <c r="D206" s="36" t="str">
        <f>IF(ISNONTEXT(deployment_raw[[#This Row],[Column4]]), "", deployment_raw[[#This Row],[Column4]])</f>
        <v/>
      </c>
      <c r="E206" s="37" t="str">
        <f>IF(ISNUMBER(deployment_raw[[#This Row],[Column5]]), deployment_raw[[#This Row],[Column5]],"")</f>
        <v/>
      </c>
      <c r="F206" s="94" t="str">
        <f>IF(ISNUMBER(deployment_raw[[#This Row],[Column6]]), (deployment_raw[[#This Row],[Column6]] * IF($E$2="Deployment",deployment_raw[[#This Row],[Column5]],1)),"")</f>
        <v/>
      </c>
      <c r="G206" s="95" t="str">
        <f>IF(ISNUMBER(deployment_raw[[#This Row],[Column7]]), (deployment_raw[[#This Row],[Column7]] * IF($E$2="Deployment",deployment_raw[[#This Row],[Column5]],1))/1048576,"")</f>
        <v/>
      </c>
      <c r="H206" s="95" t="str">
        <f>IF(ISNUMBER(deployment_raw[[#This Row],[Column8]]), (deployment_raw[[#This Row],[Column8]]  * IF($E$2="Deployment",deployment_raw[[#This Row],[Column5]],1)),"")</f>
        <v/>
      </c>
      <c r="I206" s="96" t="str">
        <f>IF(ISNUMBER(deployment_raw[[#This Row],[Column9]]), (deployment_raw[[#This Row],[Column9]] * IF($E$2="Deployment",deployment_raw[[#This Row],[Column5]],1))/1048576,"")</f>
        <v/>
      </c>
      <c r="J206" s="122" t="str">
        <f>IF(ISNUMBER(deployment_raw[[#This Row],[Column10]]), (MIN(IF(N206&lt;&gt;"",N206,9999999999999)*1.1,deployment_raw[[#This Row],[Column10]] * IF($E$2="Deployment",deployment_raw[[#This Row],[Column5]],1))),"")</f>
        <v/>
      </c>
      <c r="K206" s="123" t="str">
        <f>IF(ISNUMBER(deployment_raw[[#This Row],[Column11]]), (MIN(IF(O206&lt;&gt;"",O206,9999999999999)*1.1,deployment_raw[[#This Row],[Column11]] * IF($E$2="Deployment",deployment_raw[[#This Row],[Column5]],1)/1048576)),"")</f>
        <v/>
      </c>
      <c r="L206" s="124" t="str">
        <f>IF(ISNUMBER(deployment_raw[[#This Row],[Column8]]),IF(OR(deployment_raw[[#This Row],[Column5]] &lt;&gt; 0,$E$2 &lt;&gt; "Deployment"), MAX(J206, P206, R206, ($L$2 * IF($E$2="Deployment",deployment_raw[[#This Row],[Column5]],1)),IF(T206&lt;&gt;"",VALUE(T206) * IF($E$2="Deployment",deployment_raw[[#This Row],[Column5]],1),0)), 0),"")</f>
        <v/>
      </c>
      <c r="M206" s="125" t="str">
        <f>IF(ISNUMBER(deployment_raw[[#This Row],[Column9]]),IF(OR(deployment_raw[[#This Row],[Column5]] &lt;&gt; 0,$E$2&lt;&gt;"Deployment"), MAX(K206, Q206, S206, ($M$2 * IF($E$2="Deployment",deployment_raw[[#This Row],[Column5]],1)),IF(U206&lt;&gt;"",VALUE(U206) * IF($E$2="Deployment",deployment_raw[[#This Row],[Column5]],1),0)), 0),"")</f>
        <v/>
      </c>
      <c r="N206" s="166" t="str">
        <f>IF(ISNUMBER(deployment_raw[[#This Row],[Column14]]), deployment_raw[[#This Row],[Column14]]/IF(OR($E$2="Deployment",deployment_raw[[#This Row],[Column5]]=0),1,deployment_raw[[#This Row],[Column5]]),"")</f>
        <v/>
      </c>
      <c r="O206" s="167" t="str">
        <f>IF(ISNUMBER(deployment_raw[[#This Row],[Column15]]), deployment_raw[[#This Row],[Column15]]/IF(OR($E$2="Deployment",deployment_raw[[#This Row],[Column5]]=0),1,deployment_raw[[#This Row],[Column5]])/1048576,"")</f>
        <v/>
      </c>
      <c r="P206" s="168" t="str">
        <f>IF(ISNUMBER(deployment_raw[[#This Row],[Column12]]), (MIN(IF(N206&lt;&gt;"",N206,9999999999999)*1.1,deployment_raw[[#This Row],[Column12]] * IF($E$2="Deployment",deployment_raw[[#This Row],[Column5]],1))*(1+$P$2)),"")</f>
        <v/>
      </c>
      <c r="Q206" s="167" t="str">
        <f>IF(ISNUMBER(deployment_raw[[#This Row],[Column13]]), (MIN(IF(O206&lt;&gt;"",O206,9999999999999)*1.1,deployment_raw[[#This Row],[Column13]] * IF($E$2="Deployment",deployment_raw[[#This Row],[Column5]],1)*(1+$Q$2)/1048576)),"")</f>
        <v/>
      </c>
      <c r="R206" s="169" t="str">
        <f>IF(ISNUMBER(deployment_raw[[#This Row],[Column8]]), (H206  * IF(N206&lt;&gt;0,$R$2,1)),"")</f>
        <v/>
      </c>
      <c r="S206" s="170" t="str">
        <f>IF(ISNUMBER(deployment_raw[[#This Row],[Column8]]), (I206  * IF(O206&lt;&gt;0,$S$2,1)),"")</f>
        <v/>
      </c>
      <c r="T206" s="202" t="str">
        <f>IF(AND(A206&lt;&gt;"",_xlfn.IFNA(MATCH(A206,'dynamic resource application '!$A$2:$A$100, 0),0)&lt;&gt;0), H206/(IF($E$2="Deployment",E206,1)),"")</f>
        <v/>
      </c>
      <c r="U206" s="211" t="str">
        <f>IF(AND(A206&lt;&gt;"",_xlfn.IFNA(MATCH(A206,'dynamic resource application '!$A$2:$A$100, 0),0)&lt;&gt;0), I206/(IF($E$2="Deployment",E206,1)),"")</f>
        <v/>
      </c>
    </row>
    <row r="207" spans="1:21" ht="15.75" customHeight="1" x14ac:dyDescent="0.25">
      <c r="A207" s="35" t="str">
        <f>IF(ISNONTEXT(deployment_raw[[#This Row],[Column1]]), "", deployment_raw[[#This Row],[Column1]])</f>
        <v/>
      </c>
      <c r="B207" s="36" t="str">
        <f>IF(ISNONTEXT(deployment_raw[[#This Row],[Column2]]), "", deployment_raw[[#This Row],[Column2]])</f>
        <v/>
      </c>
      <c r="C207" s="36" t="str">
        <f>IF(ISNONTEXT(deployment_raw[[#This Row],[Column3]]), "", deployment_raw[[#This Row],[Column3]])</f>
        <v/>
      </c>
      <c r="D207" s="36" t="str">
        <f>IF(ISNONTEXT(deployment_raw[[#This Row],[Column4]]), "", deployment_raw[[#This Row],[Column4]])</f>
        <v/>
      </c>
      <c r="E207" s="37" t="str">
        <f>IF(ISNUMBER(deployment_raw[[#This Row],[Column5]]), deployment_raw[[#This Row],[Column5]],"")</f>
        <v/>
      </c>
      <c r="F207" s="94" t="str">
        <f>IF(ISNUMBER(deployment_raw[[#This Row],[Column6]]), (deployment_raw[[#This Row],[Column6]] * IF($E$2="Deployment",deployment_raw[[#This Row],[Column5]],1)),"")</f>
        <v/>
      </c>
      <c r="G207" s="95" t="str">
        <f>IF(ISNUMBER(deployment_raw[[#This Row],[Column7]]), (deployment_raw[[#This Row],[Column7]] * IF($E$2="Deployment",deployment_raw[[#This Row],[Column5]],1))/1048576,"")</f>
        <v/>
      </c>
      <c r="H207" s="95" t="str">
        <f>IF(ISNUMBER(deployment_raw[[#This Row],[Column8]]), (deployment_raw[[#This Row],[Column8]]  * IF($E$2="Deployment",deployment_raw[[#This Row],[Column5]],1)),"")</f>
        <v/>
      </c>
      <c r="I207" s="96" t="str">
        <f>IF(ISNUMBER(deployment_raw[[#This Row],[Column9]]), (deployment_raw[[#This Row],[Column9]] * IF($E$2="Deployment",deployment_raw[[#This Row],[Column5]],1))/1048576,"")</f>
        <v/>
      </c>
      <c r="J207" s="122" t="str">
        <f>IF(ISNUMBER(deployment_raw[[#This Row],[Column10]]), (MIN(IF(N207&lt;&gt;"",N207,9999999999999)*1.1,deployment_raw[[#This Row],[Column10]] * IF($E$2="Deployment",deployment_raw[[#This Row],[Column5]],1))),"")</f>
        <v/>
      </c>
      <c r="K207" s="123" t="str">
        <f>IF(ISNUMBER(deployment_raw[[#This Row],[Column11]]), (MIN(IF(O207&lt;&gt;"",O207,9999999999999)*1.1,deployment_raw[[#This Row],[Column11]] * IF($E$2="Deployment",deployment_raw[[#This Row],[Column5]],1)/1048576)),"")</f>
        <v/>
      </c>
      <c r="L207" s="124" t="str">
        <f>IF(ISNUMBER(deployment_raw[[#This Row],[Column8]]),IF(OR(deployment_raw[[#This Row],[Column5]] &lt;&gt; 0,$E$2 &lt;&gt; "Deployment"), MAX(J207, P207, R207, ($L$2 * IF($E$2="Deployment",deployment_raw[[#This Row],[Column5]],1)),IF(T207&lt;&gt;"",VALUE(T207) * IF($E$2="Deployment",deployment_raw[[#This Row],[Column5]],1),0)), 0),"")</f>
        <v/>
      </c>
      <c r="M207" s="125" t="str">
        <f>IF(ISNUMBER(deployment_raw[[#This Row],[Column9]]),IF(OR(deployment_raw[[#This Row],[Column5]] &lt;&gt; 0,$E$2&lt;&gt;"Deployment"), MAX(K207, Q207, S207, ($M$2 * IF($E$2="Deployment",deployment_raw[[#This Row],[Column5]],1)),IF(U207&lt;&gt;"",VALUE(U207) * IF($E$2="Deployment",deployment_raw[[#This Row],[Column5]],1),0)), 0),"")</f>
        <v/>
      </c>
      <c r="N207" s="166" t="str">
        <f>IF(ISNUMBER(deployment_raw[[#This Row],[Column14]]), deployment_raw[[#This Row],[Column14]]/IF(OR($E$2="Deployment",deployment_raw[[#This Row],[Column5]]=0),1,deployment_raw[[#This Row],[Column5]]),"")</f>
        <v/>
      </c>
      <c r="O207" s="167" t="str">
        <f>IF(ISNUMBER(deployment_raw[[#This Row],[Column15]]), deployment_raw[[#This Row],[Column15]]/IF(OR($E$2="Deployment",deployment_raw[[#This Row],[Column5]]=0),1,deployment_raw[[#This Row],[Column5]])/1048576,"")</f>
        <v/>
      </c>
      <c r="P207" s="168" t="str">
        <f>IF(ISNUMBER(deployment_raw[[#This Row],[Column12]]), (MIN(IF(N207&lt;&gt;"",N207,9999999999999)*1.1,deployment_raw[[#This Row],[Column12]] * IF($E$2="Deployment",deployment_raw[[#This Row],[Column5]],1))*(1+$P$2)),"")</f>
        <v/>
      </c>
      <c r="Q207" s="167" t="str">
        <f>IF(ISNUMBER(deployment_raw[[#This Row],[Column13]]), (MIN(IF(O207&lt;&gt;"",O207,9999999999999)*1.1,deployment_raw[[#This Row],[Column13]] * IF($E$2="Deployment",deployment_raw[[#This Row],[Column5]],1)*(1+$Q$2)/1048576)),"")</f>
        <v/>
      </c>
      <c r="R207" s="169" t="str">
        <f>IF(ISNUMBER(deployment_raw[[#This Row],[Column8]]), (H207  * IF(N207&lt;&gt;0,$R$2,1)),"")</f>
        <v/>
      </c>
      <c r="S207" s="170" t="str">
        <f>IF(ISNUMBER(deployment_raw[[#This Row],[Column8]]), (I207  * IF(O207&lt;&gt;0,$S$2,1)),"")</f>
        <v/>
      </c>
      <c r="T207" s="202" t="str">
        <f>IF(AND(A207&lt;&gt;"",_xlfn.IFNA(MATCH(A207,'dynamic resource application '!$A$2:$A$100, 0),0)&lt;&gt;0), H207/(IF($E$2="Deployment",E207,1)),"")</f>
        <v/>
      </c>
      <c r="U207" s="211" t="str">
        <f>IF(AND(A207&lt;&gt;"",_xlfn.IFNA(MATCH(A207,'dynamic resource application '!$A$2:$A$100, 0),0)&lt;&gt;0), I207/(IF($E$2="Deployment",E207,1)),"")</f>
        <v/>
      </c>
    </row>
    <row r="208" spans="1:21" ht="15.75" customHeight="1" x14ac:dyDescent="0.25">
      <c r="A208" s="35" t="str">
        <f>IF(ISNONTEXT(deployment_raw[[#This Row],[Column1]]), "", deployment_raw[[#This Row],[Column1]])</f>
        <v/>
      </c>
      <c r="B208" s="36" t="str">
        <f>IF(ISNONTEXT(deployment_raw[[#This Row],[Column2]]), "", deployment_raw[[#This Row],[Column2]])</f>
        <v/>
      </c>
      <c r="C208" s="36" t="str">
        <f>IF(ISNONTEXT(deployment_raw[[#This Row],[Column3]]), "", deployment_raw[[#This Row],[Column3]])</f>
        <v/>
      </c>
      <c r="D208" s="36" t="str">
        <f>IF(ISNONTEXT(deployment_raw[[#This Row],[Column4]]), "", deployment_raw[[#This Row],[Column4]])</f>
        <v/>
      </c>
      <c r="E208" s="37" t="str">
        <f>IF(ISNUMBER(deployment_raw[[#This Row],[Column5]]), deployment_raw[[#This Row],[Column5]],"")</f>
        <v/>
      </c>
      <c r="F208" s="94" t="str">
        <f>IF(ISNUMBER(deployment_raw[[#This Row],[Column6]]), (deployment_raw[[#This Row],[Column6]] * IF($E$2="Deployment",deployment_raw[[#This Row],[Column5]],1)),"")</f>
        <v/>
      </c>
      <c r="G208" s="95" t="str">
        <f>IF(ISNUMBER(deployment_raw[[#This Row],[Column7]]), (deployment_raw[[#This Row],[Column7]] * IF($E$2="Deployment",deployment_raw[[#This Row],[Column5]],1))/1048576,"")</f>
        <v/>
      </c>
      <c r="H208" s="95" t="str">
        <f>IF(ISNUMBER(deployment_raw[[#This Row],[Column8]]), (deployment_raw[[#This Row],[Column8]]  * IF($E$2="Deployment",deployment_raw[[#This Row],[Column5]],1)),"")</f>
        <v/>
      </c>
      <c r="I208" s="96" t="str">
        <f>IF(ISNUMBER(deployment_raw[[#This Row],[Column9]]), (deployment_raw[[#This Row],[Column9]] * IF($E$2="Deployment",deployment_raw[[#This Row],[Column5]],1))/1048576,"")</f>
        <v/>
      </c>
      <c r="J208" s="122" t="str">
        <f>IF(ISNUMBER(deployment_raw[[#This Row],[Column10]]), (MIN(IF(N208&lt;&gt;"",N208,9999999999999)*1.1,deployment_raw[[#This Row],[Column10]] * IF($E$2="Deployment",deployment_raw[[#This Row],[Column5]],1))),"")</f>
        <v/>
      </c>
      <c r="K208" s="123" t="str">
        <f>IF(ISNUMBER(deployment_raw[[#This Row],[Column11]]), (MIN(IF(O208&lt;&gt;"",O208,9999999999999)*1.1,deployment_raw[[#This Row],[Column11]] * IF($E$2="Deployment",deployment_raw[[#This Row],[Column5]],1)/1048576)),"")</f>
        <v/>
      </c>
      <c r="L208" s="124" t="str">
        <f>IF(ISNUMBER(deployment_raw[[#This Row],[Column8]]),IF(OR(deployment_raw[[#This Row],[Column5]] &lt;&gt; 0,$E$2 &lt;&gt; "Deployment"), MAX(J208, P208, R208, ($L$2 * IF($E$2="Deployment",deployment_raw[[#This Row],[Column5]],1)),IF(T208&lt;&gt;"",VALUE(T208) * IF($E$2="Deployment",deployment_raw[[#This Row],[Column5]],1),0)), 0),"")</f>
        <v/>
      </c>
      <c r="M208" s="125" t="str">
        <f>IF(ISNUMBER(deployment_raw[[#This Row],[Column9]]),IF(OR(deployment_raw[[#This Row],[Column5]] &lt;&gt; 0,$E$2&lt;&gt;"Deployment"), MAX(K208, Q208, S208, ($M$2 * IF($E$2="Deployment",deployment_raw[[#This Row],[Column5]],1)),IF(U208&lt;&gt;"",VALUE(U208) * IF($E$2="Deployment",deployment_raw[[#This Row],[Column5]],1),0)), 0),"")</f>
        <v/>
      </c>
      <c r="N208" s="166" t="str">
        <f>IF(ISNUMBER(deployment_raw[[#This Row],[Column14]]), deployment_raw[[#This Row],[Column14]]/IF(OR($E$2="Deployment",deployment_raw[[#This Row],[Column5]]=0),1,deployment_raw[[#This Row],[Column5]]),"")</f>
        <v/>
      </c>
      <c r="O208" s="167" t="str">
        <f>IF(ISNUMBER(deployment_raw[[#This Row],[Column15]]), deployment_raw[[#This Row],[Column15]]/IF(OR($E$2="Deployment",deployment_raw[[#This Row],[Column5]]=0),1,deployment_raw[[#This Row],[Column5]])/1048576,"")</f>
        <v/>
      </c>
      <c r="P208" s="168" t="str">
        <f>IF(ISNUMBER(deployment_raw[[#This Row],[Column12]]), (MIN(IF(N208&lt;&gt;"",N208,9999999999999)*1.1,deployment_raw[[#This Row],[Column12]] * IF($E$2="Deployment",deployment_raw[[#This Row],[Column5]],1))*(1+$P$2)),"")</f>
        <v/>
      </c>
      <c r="Q208" s="167" t="str">
        <f>IF(ISNUMBER(deployment_raw[[#This Row],[Column13]]), (MIN(IF(O208&lt;&gt;"",O208,9999999999999)*1.1,deployment_raw[[#This Row],[Column13]] * IF($E$2="Deployment",deployment_raw[[#This Row],[Column5]],1)*(1+$Q$2)/1048576)),"")</f>
        <v/>
      </c>
      <c r="R208" s="169" t="str">
        <f>IF(ISNUMBER(deployment_raw[[#This Row],[Column8]]), (H208  * IF(N208&lt;&gt;0,$R$2,1)),"")</f>
        <v/>
      </c>
      <c r="S208" s="170" t="str">
        <f>IF(ISNUMBER(deployment_raw[[#This Row],[Column8]]), (I208  * IF(O208&lt;&gt;0,$S$2,1)),"")</f>
        <v/>
      </c>
      <c r="T208" s="202" t="str">
        <f>IF(AND(A208&lt;&gt;"",_xlfn.IFNA(MATCH(A208,'dynamic resource application '!$A$2:$A$100, 0),0)&lt;&gt;0), H208/(IF($E$2="Deployment",E208,1)),"")</f>
        <v/>
      </c>
      <c r="U208" s="211" t="str">
        <f>IF(AND(A208&lt;&gt;"",_xlfn.IFNA(MATCH(A208,'dynamic resource application '!$A$2:$A$100, 0),0)&lt;&gt;0), I208/(IF($E$2="Deployment",E208,1)),"")</f>
        <v/>
      </c>
    </row>
    <row r="209" spans="1:21" ht="15.75" customHeight="1" x14ac:dyDescent="0.25">
      <c r="A209" s="35" t="str">
        <f>IF(ISNONTEXT(deployment_raw[[#This Row],[Column1]]), "", deployment_raw[[#This Row],[Column1]])</f>
        <v/>
      </c>
      <c r="B209" s="36" t="str">
        <f>IF(ISNONTEXT(deployment_raw[[#This Row],[Column2]]), "", deployment_raw[[#This Row],[Column2]])</f>
        <v/>
      </c>
      <c r="C209" s="36" t="str">
        <f>IF(ISNONTEXT(deployment_raw[[#This Row],[Column3]]), "", deployment_raw[[#This Row],[Column3]])</f>
        <v/>
      </c>
      <c r="D209" s="36" t="str">
        <f>IF(ISNONTEXT(deployment_raw[[#This Row],[Column4]]), "", deployment_raw[[#This Row],[Column4]])</f>
        <v/>
      </c>
      <c r="E209" s="37" t="str">
        <f>IF(ISNUMBER(deployment_raw[[#This Row],[Column5]]), deployment_raw[[#This Row],[Column5]],"")</f>
        <v/>
      </c>
      <c r="F209" s="94" t="str">
        <f>IF(ISNUMBER(deployment_raw[[#This Row],[Column6]]), (deployment_raw[[#This Row],[Column6]] * IF($E$2="Deployment",deployment_raw[[#This Row],[Column5]],1)),"")</f>
        <v/>
      </c>
      <c r="G209" s="95" t="str">
        <f>IF(ISNUMBER(deployment_raw[[#This Row],[Column7]]), (deployment_raw[[#This Row],[Column7]] * IF($E$2="Deployment",deployment_raw[[#This Row],[Column5]],1))/1048576,"")</f>
        <v/>
      </c>
      <c r="H209" s="95" t="str">
        <f>IF(ISNUMBER(deployment_raw[[#This Row],[Column8]]), (deployment_raw[[#This Row],[Column8]]  * IF($E$2="Deployment",deployment_raw[[#This Row],[Column5]],1)),"")</f>
        <v/>
      </c>
      <c r="I209" s="96" t="str">
        <f>IF(ISNUMBER(deployment_raw[[#This Row],[Column9]]), (deployment_raw[[#This Row],[Column9]] * IF($E$2="Deployment",deployment_raw[[#This Row],[Column5]],1))/1048576,"")</f>
        <v/>
      </c>
      <c r="J209" s="122" t="str">
        <f>IF(ISNUMBER(deployment_raw[[#This Row],[Column10]]), (MIN(IF(N209&lt;&gt;"",N209,9999999999999)*1.1,deployment_raw[[#This Row],[Column10]] * IF($E$2="Deployment",deployment_raw[[#This Row],[Column5]],1))),"")</f>
        <v/>
      </c>
      <c r="K209" s="123" t="str">
        <f>IF(ISNUMBER(deployment_raw[[#This Row],[Column11]]), (MIN(IF(O209&lt;&gt;"",O209,9999999999999)*1.1,deployment_raw[[#This Row],[Column11]] * IF($E$2="Deployment",deployment_raw[[#This Row],[Column5]],1)/1048576)),"")</f>
        <v/>
      </c>
      <c r="L209" s="124" t="str">
        <f>IF(ISNUMBER(deployment_raw[[#This Row],[Column8]]),IF(OR(deployment_raw[[#This Row],[Column5]] &lt;&gt; 0,$E$2 &lt;&gt; "Deployment"), MAX(J209, P209, R209, ($L$2 * IF($E$2="Deployment",deployment_raw[[#This Row],[Column5]],1)),IF(T209&lt;&gt;"",VALUE(T209) * IF($E$2="Deployment",deployment_raw[[#This Row],[Column5]],1),0)), 0),"")</f>
        <v/>
      </c>
      <c r="M209" s="125" t="str">
        <f>IF(ISNUMBER(deployment_raw[[#This Row],[Column9]]),IF(OR(deployment_raw[[#This Row],[Column5]] &lt;&gt; 0,$E$2&lt;&gt;"Deployment"), MAX(K209, Q209, S209, ($M$2 * IF($E$2="Deployment",deployment_raw[[#This Row],[Column5]],1)),IF(U209&lt;&gt;"",VALUE(U209) * IF($E$2="Deployment",deployment_raw[[#This Row],[Column5]],1),0)), 0),"")</f>
        <v/>
      </c>
      <c r="N209" s="166" t="str">
        <f>IF(ISNUMBER(deployment_raw[[#This Row],[Column14]]), deployment_raw[[#This Row],[Column14]]/IF(OR($E$2="Deployment",deployment_raw[[#This Row],[Column5]]=0),1,deployment_raw[[#This Row],[Column5]]),"")</f>
        <v/>
      </c>
      <c r="O209" s="167" t="str">
        <f>IF(ISNUMBER(deployment_raw[[#This Row],[Column15]]), deployment_raw[[#This Row],[Column15]]/IF(OR($E$2="Deployment",deployment_raw[[#This Row],[Column5]]=0),1,deployment_raw[[#This Row],[Column5]])/1048576,"")</f>
        <v/>
      </c>
      <c r="P209" s="168" t="str">
        <f>IF(ISNUMBER(deployment_raw[[#This Row],[Column12]]), (MIN(IF(N209&lt;&gt;"",N209,9999999999999)*1.1,deployment_raw[[#This Row],[Column12]] * IF($E$2="Deployment",deployment_raw[[#This Row],[Column5]],1))*(1+$P$2)),"")</f>
        <v/>
      </c>
      <c r="Q209" s="167" t="str">
        <f>IF(ISNUMBER(deployment_raw[[#This Row],[Column13]]), (MIN(IF(O209&lt;&gt;"",O209,9999999999999)*1.1,deployment_raw[[#This Row],[Column13]] * IF($E$2="Deployment",deployment_raw[[#This Row],[Column5]],1)*(1+$Q$2)/1048576)),"")</f>
        <v/>
      </c>
      <c r="R209" s="169" t="str">
        <f>IF(ISNUMBER(deployment_raw[[#This Row],[Column8]]), (H209  * IF(N209&lt;&gt;0,$R$2,1)),"")</f>
        <v/>
      </c>
      <c r="S209" s="170" t="str">
        <f>IF(ISNUMBER(deployment_raw[[#This Row],[Column8]]), (I209  * IF(O209&lt;&gt;0,$S$2,1)),"")</f>
        <v/>
      </c>
      <c r="T209" s="202" t="str">
        <f>IF(AND(A209&lt;&gt;"",_xlfn.IFNA(MATCH(A209,'dynamic resource application '!$A$2:$A$100, 0),0)&lt;&gt;0), H209/(IF($E$2="Deployment",E209,1)),"")</f>
        <v/>
      </c>
      <c r="U209" s="211" t="str">
        <f>IF(AND(A209&lt;&gt;"",_xlfn.IFNA(MATCH(A209,'dynamic resource application '!$A$2:$A$100, 0),0)&lt;&gt;0), I209/(IF($E$2="Deployment",E209,1)),"")</f>
        <v/>
      </c>
    </row>
    <row r="210" spans="1:21" ht="15.75" customHeight="1" x14ac:dyDescent="0.25">
      <c r="A210" s="35" t="str">
        <f>IF(ISNONTEXT(deployment_raw[[#This Row],[Column1]]), "", deployment_raw[[#This Row],[Column1]])</f>
        <v/>
      </c>
      <c r="B210" s="36" t="str">
        <f>IF(ISNONTEXT(deployment_raw[[#This Row],[Column2]]), "", deployment_raw[[#This Row],[Column2]])</f>
        <v/>
      </c>
      <c r="C210" s="36" t="str">
        <f>IF(ISNONTEXT(deployment_raw[[#This Row],[Column3]]), "", deployment_raw[[#This Row],[Column3]])</f>
        <v/>
      </c>
      <c r="D210" s="36" t="str">
        <f>IF(ISNONTEXT(deployment_raw[[#This Row],[Column4]]), "", deployment_raw[[#This Row],[Column4]])</f>
        <v/>
      </c>
      <c r="E210" s="37" t="str">
        <f>IF(ISNUMBER(deployment_raw[[#This Row],[Column5]]), deployment_raw[[#This Row],[Column5]],"")</f>
        <v/>
      </c>
      <c r="F210" s="94" t="str">
        <f>IF(ISNUMBER(deployment_raw[[#This Row],[Column6]]), (deployment_raw[[#This Row],[Column6]] * IF($E$2="Deployment",deployment_raw[[#This Row],[Column5]],1)),"")</f>
        <v/>
      </c>
      <c r="G210" s="95" t="str">
        <f>IF(ISNUMBER(deployment_raw[[#This Row],[Column7]]), (deployment_raw[[#This Row],[Column7]] * IF($E$2="Deployment",deployment_raw[[#This Row],[Column5]],1))/1048576,"")</f>
        <v/>
      </c>
      <c r="H210" s="95" t="str">
        <f>IF(ISNUMBER(deployment_raw[[#This Row],[Column8]]), (deployment_raw[[#This Row],[Column8]]  * IF($E$2="Deployment",deployment_raw[[#This Row],[Column5]],1)),"")</f>
        <v/>
      </c>
      <c r="I210" s="96" t="str">
        <f>IF(ISNUMBER(deployment_raw[[#This Row],[Column9]]), (deployment_raw[[#This Row],[Column9]] * IF($E$2="Deployment",deployment_raw[[#This Row],[Column5]],1))/1048576,"")</f>
        <v/>
      </c>
      <c r="J210" s="122" t="str">
        <f>IF(ISNUMBER(deployment_raw[[#This Row],[Column10]]), (MIN(IF(N210&lt;&gt;"",N210,9999999999999)*1.1,deployment_raw[[#This Row],[Column10]] * IF($E$2="Deployment",deployment_raw[[#This Row],[Column5]],1))),"")</f>
        <v/>
      </c>
      <c r="K210" s="123" t="str">
        <f>IF(ISNUMBER(deployment_raw[[#This Row],[Column11]]), (MIN(IF(O210&lt;&gt;"",O210,9999999999999)*1.1,deployment_raw[[#This Row],[Column11]] * IF($E$2="Deployment",deployment_raw[[#This Row],[Column5]],1)/1048576)),"")</f>
        <v/>
      </c>
      <c r="L210" s="124" t="str">
        <f>IF(ISNUMBER(deployment_raw[[#This Row],[Column8]]),IF(OR(deployment_raw[[#This Row],[Column5]] &lt;&gt; 0,$E$2 &lt;&gt; "Deployment"), MAX(J210, P210, R210, ($L$2 * IF($E$2="Deployment",deployment_raw[[#This Row],[Column5]],1)),IF(T210&lt;&gt;"",VALUE(T210) * IF($E$2="Deployment",deployment_raw[[#This Row],[Column5]],1),0)), 0),"")</f>
        <v/>
      </c>
      <c r="M210" s="125" t="str">
        <f>IF(ISNUMBER(deployment_raw[[#This Row],[Column9]]),IF(OR(deployment_raw[[#This Row],[Column5]] &lt;&gt; 0,$E$2&lt;&gt;"Deployment"), MAX(K210, Q210, S210, ($M$2 * IF($E$2="Deployment",deployment_raw[[#This Row],[Column5]],1)),IF(U210&lt;&gt;"",VALUE(U210) * IF($E$2="Deployment",deployment_raw[[#This Row],[Column5]],1),0)), 0),"")</f>
        <v/>
      </c>
      <c r="N210" s="166" t="str">
        <f>IF(ISNUMBER(deployment_raw[[#This Row],[Column14]]), deployment_raw[[#This Row],[Column14]]/IF(OR($E$2="Deployment",deployment_raw[[#This Row],[Column5]]=0),1,deployment_raw[[#This Row],[Column5]]),"")</f>
        <v/>
      </c>
      <c r="O210" s="167" t="str">
        <f>IF(ISNUMBER(deployment_raw[[#This Row],[Column15]]), deployment_raw[[#This Row],[Column15]]/IF(OR($E$2="Deployment",deployment_raw[[#This Row],[Column5]]=0),1,deployment_raw[[#This Row],[Column5]])/1048576,"")</f>
        <v/>
      </c>
      <c r="P210" s="168" t="str">
        <f>IF(ISNUMBER(deployment_raw[[#This Row],[Column12]]), (MIN(IF(N210&lt;&gt;"",N210,9999999999999)*1.1,deployment_raw[[#This Row],[Column12]] * IF($E$2="Deployment",deployment_raw[[#This Row],[Column5]],1))*(1+$P$2)),"")</f>
        <v/>
      </c>
      <c r="Q210" s="167" t="str">
        <f>IF(ISNUMBER(deployment_raw[[#This Row],[Column13]]), (MIN(IF(O210&lt;&gt;"",O210,9999999999999)*1.1,deployment_raw[[#This Row],[Column13]] * IF($E$2="Deployment",deployment_raw[[#This Row],[Column5]],1)*(1+$Q$2)/1048576)),"")</f>
        <v/>
      </c>
      <c r="R210" s="169" t="str">
        <f>IF(ISNUMBER(deployment_raw[[#This Row],[Column8]]), (H210  * IF(N210&lt;&gt;0,$R$2,1)),"")</f>
        <v/>
      </c>
      <c r="S210" s="170" t="str">
        <f>IF(ISNUMBER(deployment_raw[[#This Row],[Column8]]), (I210  * IF(O210&lt;&gt;0,$S$2,1)),"")</f>
        <v/>
      </c>
      <c r="T210" s="202" t="str">
        <f>IF(AND(A210&lt;&gt;"",_xlfn.IFNA(MATCH(A210,'dynamic resource application '!$A$2:$A$100, 0),0)&lt;&gt;0), H210/(IF($E$2="Deployment",E210,1)),"")</f>
        <v/>
      </c>
      <c r="U210" s="211" t="str">
        <f>IF(AND(A210&lt;&gt;"",_xlfn.IFNA(MATCH(A210,'dynamic resource application '!$A$2:$A$100, 0),0)&lt;&gt;0), I210/(IF($E$2="Deployment",E210,1)),"")</f>
        <v/>
      </c>
    </row>
    <row r="211" spans="1:21" ht="15.75" customHeight="1" x14ac:dyDescent="0.25">
      <c r="A211" s="35" t="str">
        <f>IF(ISNONTEXT(deployment_raw[[#This Row],[Column1]]), "", deployment_raw[[#This Row],[Column1]])</f>
        <v/>
      </c>
      <c r="B211" s="36" t="str">
        <f>IF(ISNONTEXT(deployment_raw[[#This Row],[Column2]]), "", deployment_raw[[#This Row],[Column2]])</f>
        <v/>
      </c>
      <c r="C211" s="36" t="str">
        <f>IF(ISNONTEXT(deployment_raw[[#This Row],[Column3]]), "", deployment_raw[[#This Row],[Column3]])</f>
        <v/>
      </c>
      <c r="D211" s="36" t="str">
        <f>IF(ISNONTEXT(deployment_raw[[#This Row],[Column4]]), "", deployment_raw[[#This Row],[Column4]])</f>
        <v/>
      </c>
      <c r="E211" s="37" t="str">
        <f>IF(ISNUMBER(deployment_raw[[#This Row],[Column5]]), deployment_raw[[#This Row],[Column5]],"")</f>
        <v/>
      </c>
      <c r="F211" s="94" t="str">
        <f>IF(ISNUMBER(deployment_raw[[#This Row],[Column6]]), (deployment_raw[[#This Row],[Column6]] * IF($E$2="Deployment",deployment_raw[[#This Row],[Column5]],1)),"")</f>
        <v/>
      </c>
      <c r="G211" s="95" t="str">
        <f>IF(ISNUMBER(deployment_raw[[#This Row],[Column7]]), (deployment_raw[[#This Row],[Column7]] * IF($E$2="Deployment",deployment_raw[[#This Row],[Column5]],1))/1048576,"")</f>
        <v/>
      </c>
      <c r="H211" s="95" t="str">
        <f>IF(ISNUMBER(deployment_raw[[#This Row],[Column8]]), (deployment_raw[[#This Row],[Column8]]  * IF($E$2="Deployment",deployment_raw[[#This Row],[Column5]],1)),"")</f>
        <v/>
      </c>
      <c r="I211" s="96" t="str">
        <f>IF(ISNUMBER(deployment_raw[[#This Row],[Column9]]), (deployment_raw[[#This Row],[Column9]] * IF($E$2="Deployment",deployment_raw[[#This Row],[Column5]],1))/1048576,"")</f>
        <v/>
      </c>
      <c r="J211" s="122" t="str">
        <f>IF(ISNUMBER(deployment_raw[[#This Row],[Column10]]), (MIN(IF(N211&lt;&gt;"",N211,9999999999999)*1.1,deployment_raw[[#This Row],[Column10]] * IF($E$2="Deployment",deployment_raw[[#This Row],[Column5]],1))),"")</f>
        <v/>
      </c>
      <c r="K211" s="123" t="str">
        <f>IF(ISNUMBER(deployment_raw[[#This Row],[Column11]]), (MIN(IF(O211&lt;&gt;"",O211,9999999999999)*1.1,deployment_raw[[#This Row],[Column11]] * IF($E$2="Deployment",deployment_raw[[#This Row],[Column5]],1)/1048576)),"")</f>
        <v/>
      </c>
      <c r="L211" s="124" t="str">
        <f>IF(ISNUMBER(deployment_raw[[#This Row],[Column8]]),IF(OR(deployment_raw[[#This Row],[Column5]] &lt;&gt; 0,$E$2 &lt;&gt; "Deployment"), MAX(J211, P211, R211, ($L$2 * IF($E$2="Deployment",deployment_raw[[#This Row],[Column5]],1)),IF(T211&lt;&gt;"",VALUE(T211) * IF($E$2="Deployment",deployment_raw[[#This Row],[Column5]],1),0)), 0),"")</f>
        <v/>
      </c>
      <c r="M211" s="125" t="str">
        <f>IF(ISNUMBER(deployment_raw[[#This Row],[Column9]]),IF(OR(deployment_raw[[#This Row],[Column5]] &lt;&gt; 0,$E$2&lt;&gt;"Deployment"), MAX(K211, Q211, S211, ($M$2 * IF($E$2="Deployment",deployment_raw[[#This Row],[Column5]],1)),IF(U211&lt;&gt;"",VALUE(U211) * IF($E$2="Deployment",deployment_raw[[#This Row],[Column5]],1),0)), 0),"")</f>
        <v/>
      </c>
      <c r="N211" s="166" t="str">
        <f>IF(ISNUMBER(deployment_raw[[#This Row],[Column14]]), deployment_raw[[#This Row],[Column14]]/IF(OR($E$2="Deployment",deployment_raw[[#This Row],[Column5]]=0),1,deployment_raw[[#This Row],[Column5]]),"")</f>
        <v/>
      </c>
      <c r="O211" s="167" t="str">
        <f>IF(ISNUMBER(deployment_raw[[#This Row],[Column15]]), deployment_raw[[#This Row],[Column15]]/IF(OR($E$2="Deployment",deployment_raw[[#This Row],[Column5]]=0),1,deployment_raw[[#This Row],[Column5]])/1048576,"")</f>
        <v/>
      </c>
      <c r="P211" s="168" t="str">
        <f>IF(ISNUMBER(deployment_raw[[#This Row],[Column12]]), (MIN(IF(N211&lt;&gt;"",N211,9999999999999)*1.1,deployment_raw[[#This Row],[Column12]] * IF($E$2="Deployment",deployment_raw[[#This Row],[Column5]],1))*(1+$P$2)),"")</f>
        <v/>
      </c>
      <c r="Q211" s="167" t="str">
        <f>IF(ISNUMBER(deployment_raw[[#This Row],[Column13]]), (MIN(IF(O211&lt;&gt;"",O211,9999999999999)*1.1,deployment_raw[[#This Row],[Column13]] * IF($E$2="Deployment",deployment_raw[[#This Row],[Column5]],1)*(1+$Q$2)/1048576)),"")</f>
        <v/>
      </c>
      <c r="R211" s="169" t="str">
        <f>IF(ISNUMBER(deployment_raw[[#This Row],[Column8]]), (H211  * IF(N211&lt;&gt;0,$R$2,1)),"")</f>
        <v/>
      </c>
      <c r="S211" s="170" t="str">
        <f>IF(ISNUMBER(deployment_raw[[#This Row],[Column8]]), (I211  * IF(O211&lt;&gt;0,$S$2,1)),"")</f>
        <v/>
      </c>
      <c r="T211" s="202" t="str">
        <f>IF(AND(A211&lt;&gt;"",_xlfn.IFNA(MATCH(A211,'dynamic resource application '!$A$2:$A$100, 0),0)&lt;&gt;0), H211/(IF($E$2="Deployment",E211,1)),"")</f>
        <v/>
      </c>
      <c r="U211" s="211" t="str">
        <f>IF(AND(A211&lt;&gt;"",_xlfn.IFNA(MATCH(A211,'dynamic resource application '!$A$2:$A$100, 0),0)&lt;&gt;0), I211/(IF($E$2="Deployment",E211,1)),"")</f>
        <v/>
      </c>
    </row>
    <row r="212" spans="1:21" ht="15.75" customHeight="1" x14ac:dyDescent="0.25">
      <c r="A212" s="35" t="str">
        <f>IF(ISNONTEXT(deployment_raw[[#This Row],[Column1]]), "", deployment_raw[[#This Row],[Column1]])</f>
        <v/>
      </c>
      <c r="B212" s="36" t="str">
        <f>IF(ISNONTEXT(deployment_raw[[#This Row],[Column2]]), "", deployment_raw[[#This Row],[Column2]])</f>
        <v/>
      </c>
      <c r="C212" s="36" t="str">
        <f>IF(ISNONTEXT(deployment_raw[[#This Row],[Column3]]), "", deployment_raw[[#This Row],[Column3]])</f>
        <v/>
      </c>
      <c r="D212" s="36" t="str">
        <f>IF(ISNONTEXT(deployment_raw[[#This Row],[Column4]]), "", deployment_raw[[#This Row],[Column4]])</f>
        <v/>
      </c>
      <c r="E212" s="37" t="str">
        <f>IF(ISNUMBER(deployment_raw[[#This Row],[Column5]]), deployment_raw[[#This Row],[Column5]],"")</f>
        <v/>
      </c>
      <c r="F212" s="94" t="str">
        <f>IF(ISNUMBER(deployment_raw[[#This Row],[Column6]]), (deployment_raw[[#This Row],[Column6]] * IF($E$2="Deployment",deployment_raw[[#This Row],[Column5]],1)),"")</f>
        <v/>
      </c>
      <c r="G212" s="95" t="str">
        <f>IF(ISNUMBER(deployment_raw[[#This Row],[Column7]]), (deployment_raw[[#This Row],[Column7]] * IF($E$2="Deployment",deployment_raw[[#This Row],[Column5]],1))/1048576,"")</f>
        <v/>
      </c>
      <c r="H212" s="95" t="str">
        <f>IF(ISNUMBER(deployment_raw[[#This Row],[Column8]]), (deployment_raw[[#This Row],[Column8]]  * IF($E$2="Deployment",deployment_raw[[#This Row],[Column5]],1)),"")</f>
        <v/>
      </c>
      <c r="I212" s="96" t="str">
        <f>IF(ISNUMBER(deployment_raw[[#This Row],[Column9]]), (deployment_raw[[#This Row],[Column9]] * IF($E$2="Deployment",deployment_raw[[#This Row],[Column5]],1))/1048576,"")</f>
        <v/>
      </c>
      <c r="J212" s="122" t="str">
        <f>IF(ISNUMBER(deployment_raw[[#This Row],[Column10]]), (MIN(IF(N212&lt;&gt;"",N212,9999999999999)*1.1,deployment_raw[[#This Row],[Column10]] * IF($E$2="Deployment",deployment_raw[[#This Row],[Column5]],1))),"")</f>
        <v/>
      </c>
      <c r="K212" s="123" t="str">
        <f>IF(ISNUMBER(deployment_raw[[#This Row],[Column11]]), (MIN(IF(O212&lt;&gt;"",O212,9999999999999)*1.1,deployment_raw[[#This Row],[Column11]] * IF($E$2="Deployment",deployment_raw[[#This Row],[Column5]],1)/1048576)),"")</f>
        <v/>
      </c>
      <c r="L212" s="124" t="str">
        <f>IF(ISNUMBER(deployment_raw[[#This Row],[Column8]]),IF(OR(deployment_raw[[#This Row],[Column5]] &lt;&gt; 0,$E$2 &lt;&gt; "Deployment"), MAX(J212, P212, R212, ($L$2 * IF($E$2="Deployment",deployment_raw[[#This Row],[Column5]],1)),IF(T212&lt;&gt;"",VALUE(T212) * IF($E$2="Deployment",deployment_raw[[#This Row],[Column5]],1),0)), 0),"")</f>
        <v/>
      </c>
      <c r="M212" s="125" t="str">
        <f>IF(ISNUMBER(deployment_raw[[#This Row],[Column9]]),IF(OR(deployment_raw[[#This Row],[Column5]] &lt;&gt; 0,$E$2&lt;&gt;"Deployment"), MAX(K212, Q212, S212, ($M$2 * IF($E$2="Deployment",deployment_raw[[#This Row],[Column5]],1)),IF(U212&lt;&gt;"",VALUE(U212) * IF($E$2="Deployment",deployment_raw[[#This Row],[Column5]],1),0)), 0),"")</f>
        <v/>
      </c>
      <c r="N212" s="166" t="str">
        <f>IF(ISNUMBER(deployment_raw[[#This Row],[Column14]]), deployment_raw[[#This Row],[Column14]]/IF(OR($E$2="Deployment",deployment_raw[[#This Row],[Column5]]=0),1,deployment_raw[[#This Row],[Column5]]),"")</f>
        <v/>
      </c>
      <c r="O212" s="167" t="str">
        <f>IF(ISNUMBER(deployment_raw[[#This Row],[Column15]]), deployment_raw[[#This Row],[Column15]]/IF(OR($E$2="Deployment",deployment_raw[[#This Row],[Column5]]=0),1,deployment_raw[[#This Row],[Column5]])/1048576,"")</f>
        <v/>
      </c>
      <c r="P212" s="168" t="str">
        <f>IF(ISNUMBER(deployment_raw[[#This Row],[Column12]]), (MIN(IF(N212&lt;&gt;"",N212,9999999999999)*1.1,deployment_raw[[#This Row],[Column12]] * IF($E$2="Deployment",deployment_raw[[#This Row],[Column5]],1))*(1+$P$2)),"")</f>
        <v/>
      </c>
      <c r="Q212" s="167" t="str">
        <f>IF(ISNUMBER(deployment_raw[[#This Row],[Column13]]), (MIN(IF(O212&lt;&gt;"",O212,9999999999999)*1.1,deployment_raw[[#This Row],[Column13]] * IF($E$2="Deployment",deployment_raw[[#This Row],[Column5]],1)*(1+$Q$2)/1048576)),"")</f>
        <v/>
      </c>
      <c r="R212" s="169" t="str">
        <f>IF(ISNUMBER(deployment_raw[[#This Row],[Column8]]), (H212  * IF(N212&lt;&gt;0,$R$2,1)),"")</f>
        <v/>
      </c>
      <c r="S212" s="170" t="str">
        <f>IF(ISNUMBER(deployment_raw[[#This Row],[Column8]]), (I212  * IF(O212&lt;&gt;0,$S$2,1)),"")</f>
        <v/>
      </c>
      <c r="T212" s="202" t="str">
        <f>IF(AND(A212&lt;&gt;"",_xlfn.IFNA(MATCH(A212,'dynamic resource application '!$A$2:$A$100, 0),0)&lt;&gt;0), H212/(IF($E$2="Deployment",E212,1)),"")</f>
        <v/>
      </c>
      <c r="U212" s="211" t="str">
        <f>IF(AND(A212&lt;&gt;"",_xlfn.IFNA(MATCH(A212,'dynamic resource application '!$A$2:$A$100, 0),0)&lt;&gt;0), I212/(IF($E$2="Deployment",E212,1)),"")</f>
        <v/>
      </c>
    </row>
    <row r="213" spans="1:21" ht="15.75" customHeight="1" x14ac:dyDescent="0.25">
      <c r="A213" s="35" t="str">
        <f>IF(ISNONTEXT(deployment_raw[[#This Row],[Column1]]), "", deployment_raw[[#This Row],[Column1]])</f>
        <v/>
      </c>
      <c r="B213" s="36" t="str">
        <f>IF(ISNONTEXT(deployment_raw[[#This Row],[Column2]]), "", deployment_raw[[#This Row],[Column2]])</f>
        <v/>
      </c>
      <c r="C213" s="36" t="str">
        <f>IF(ISNONTEXT(deployment_raw[[#This Row],[Column3]]), "", deployment_raw[[#This Row],[Column3]])</f>
        <v/>
      </c>
      <c r="D213" s="36" t="str">
        <f>IF(ISNONTEXT(deployment_raw[[#This Row],[Column4]]), "", deployment_raw[[#This Row],[Column4]])</f>
        <v/>
      </c>
      <c r="E213" s="37" t="str">
        <f>IF(ISNUMBER(deployment_raw[[#This Row],[Column5]]), deployment_raw[[#This Row],[Column5]],"")</f>
        <v/>
      </c>
      <c r="F213" s="94" t="str">
        <f>IF(ISNUMBER(deployment_raw[[#This Row],[Column6]]), (deployment_raw[[#This Row],[Column6]] * IF($E$2="Deployment",deployment_raw[[#This Row],[Column5]],1)),"")</f>
        <v/>
      </c>
      <c r="G213" s="95" t="str">
        <f>IF(ISNUMBER(deployment_raw[[#This Row],[Column7]]), (deployment_raw[[#This Row],[Column7]] * IF($E$2="Deployment",deployment_raw[[#This Row],[Column5]],1))/1048576,"")</f>
        <v/>
      </c>
      <c r="H213" s="95" t="str">
        <f>IF(ISNUMBER(deployment_raw[[#This Row],[Column8]]), (deployment_raw[[#This Row],[Column8]]  * IF($E$2="Deployment",deployment_raw[[#This Row],[Column5]],1)),"")</f>
        <v/>
      </c>
      <c r="I213" s="96" t="str">
        <f>IF(ISNUMBER(deployment_raw[[#This Row],[Column9]]), (deployment_raw[[#This Row],[Column9]] * IF($E$2="Deployment",deployment_raw[[#This Row],[Column5]],1))/1048576,"")</f>
        <v/>
      </c>
      <c r="J213" s="122" t="str">
        <f>IF(ISNUMBER(deployment_raw[[#This Row],[Column10]]), (MIN(IF(N213&lt;&gt;"",N213,9999999999999)*1.1,deployment_raw[[#This Row],[Column10]] * IF($E$2="Deployment",deployment_raw[[#This Row],[Column5]],1))),"")</f>
        <v/>
      </c>
      <c r="K213" s="123" t="str">
        <f>IF(ISNUMBER(deployment_raw[[#This Row],[Column11]]), (MIN(IF(O213&lt;&gt;"",O213,9999999999999)*1.1,deployment_raw[[#This Row],[Column11]] * IF($E$2="Deployment",deployment_raw[[#This Row],[Column5]],1)/1048576)),"")</f>
        <v/>
      </c>
      <c r="L213" s="124" t="str">
        <f>IF(ISNUMBER(deployment_raw[[#This Row],[Column8]]),IF(OR(deployment_raw[[#This Row],[Column5]] &lt;&gt; 0,$E$2 &lt;&gt; "Deployment"), MAX(J213, P213, R213, ($L$2 * IF($E$2="Deployment",deployment_raw[[#This Row],[Column5]],1)),IF(T213&lt;&gt;"",VALUE(T213) * IF($E$2="Deployment",deployment_raw[[#This Row],[Column5]],1),0)), 0),"")</f>
        <v/>
      </c>
      <c r="M213" s="125" t="str">
        <f>IF(ISNUMBER(deployment_raw[[#This Row],[Column9]]),IF(OR(deployment_raw[[#This Row],[Column5]] &lt;&gt; 0,$E$2&lt;&gt;"Deployment"), MAX(K213, Q213, S213, ($M$2 * IF($E$2="Deployment",deployment_raw[[#This Row],[Column5]],1)),IF(U213&lt;&gt;"",VALUE(U213) * IF($E$2="Deployment",deployment_raw[[#This Row],[Column5]],1),0)), 0),"")</f>
        <v/>
      </c>
      <c r="N213" s="166" t="str">
        <f>IF(ISNUMBER(deployment_raw[[#This Row],[Column14]]), deployment_raw[[#This Row],[Column14]]/IF(OR($E$2="Deployment",deployment_raw[[#This Row],[Column5]]=0),1,deployment_raw[[#This Row],[Column5]]),"")</f>
        <v/>
      </c>
      <c r="O213" s="167" t="str">
        <f>IF(ISNUMBER(deployment_raw[[#This Row],[Column15]]), deployment_raw[[#This Row],[Column15]]/IF(OR($E$2="Deployment",deployment_raw[[#This Row],[Column5]]=0),1,deployment_raw[[#This Row],[Column5]])/1048576,"")</f>
        <v/>
      </c>
      <c r="P213" s="168" t="str">
        <f>IF(ISNUMBER(deployment_raw[[#This Row],[Column12]]), (MIN(IF(N213&lt;&gt;"",N213,9999999999999)*1.1,deployment_raw[[#This Row],[Column12]] * IF($E$2="Deployment",deployment_raw[[#This Row],[Column5]],1))*(1+$P$2)),"")</f>
        <v/>
      </c>
      <c r="Q213" s="167" t="str">
        <f>IF(ISNUMBER(deployment_raw[[#This Row],[Column13]]), (MIN(IF(O213&lt;&gt;"",O213,9999999999999)*1.1,deployment_raw[[#This Row],[Column13]] * IF($E$2="Deployment",deployment_raw[[#This Row],[Column5]],1)*(1+$Q$2)/1048576)),"")</f>
        <v/>
      </c>
      <c r="R213" s="169" t="str">
        <f>IF(ISNUMBER(deployment_raw[[#This Row],[Column8]]), (H213  * IF(N213&lt;&gt;0,$R$2,1)),"")</f>
        <v/>
      </c>
      <c r="S213" s="170" t="str">
        <f>IF(ISNUMBER(deployment_raw[[#This Row],[Column8]]), (I213  * IF(O213&lt;&gt;0,$S$2,1)),"")</f>
        <v/>
      </c>
      <c r="T213" s="202" t="str">
        <f>IF(AND(A213&lt;&gt;"",_xlfn.IFNA(MATCH(A213,'dynamic resource application '!$A$2:$A$100, 0),0)&lt;&gt;0), H213/(IF($E$2="Deployment",E213,1)),"")</f>
        <v/>
      </c>
      <c r="U213" s="211" t="str">
        <f>IF(AND(A213&lt;&gt;"",_xlfn.IFNA(MATCH(A213,'dynamic resource application '!$A$2:$A$100, 0),0)&lt;&gt;0), I213/(IF($E$2="Deployment",E213,1)),"")</f>
        <v/>
      </c>
    </row>
    <row r="214" spans="1:21" ht="15.75" customHeight="1" x14ac:dyDescent="0.25">
      <c r="A214" s="35" t="str">
        <f>IF(ISNONTEXT(deployment_raw[[#This Row],[Column1]]), "", deployment_raw[[#This Row],[Column1]])</f>
        <v/>
      </c>
      <c r="B214" s="36" t="str">
        <f>IF(ISNONTEXT(deployment_raw[[#This Row],[Column2]]), "", deployment_raw[[#This Row],[Column2]])</f>
        <v/>
      </c>
      <c r="C214" s="36" t="str">
        <f>IF(ISNONTEXT(deployment_raw[[#This Row],[Column3]]), "", deployment_raw[[#This Row],[Column3]])</f>
        <v/>
      </c>
      <c r="D214" s="36" t="str">
        <f>IF(ISNONTEXT(deployment_raw[[#This Row],[Column4]]), "", deployment_raw[[#This Row],[Column4]])</f>
        <v/>
      </c>
      <c r="E214" s="37" t="str">
        <f>IF(ISNUMBER(deployment_raw[[#This Row],[Column5]]), deployment_raw[[#This Row],[Column5]],"")</f>
        <v/>
      </c>
      <c r="F214" s="94" t="str">
        <f>IF(ISNUMBER(deployment_raw[[#This Row],[Column6]]), (deployment_raw[[#This Row],[Column6]] * IF($E$2="Deployment",deployment_raw[[#This Row],[Column5]],1)),"")</f>
        <v/>
      </c>
      <c r="G214" s="95" t="str">
        <f>IF(ISNUMBER(deployment_raw[[#This Row],[Column7]]), (deployment_raw[[#This Row],[Column7]] * IF($E$2="Deployment",deployment_raw[[#This Row],[Column5]],1))/1048576,"")</f>
        <v/>
      </c>
      <c r="H214" s="95" t="str">
        <f>IF(ISNUMBER(deployment_raw[[#This Row],[Column8]]), (deployment_raw[[#This Row],[Column8]]  * IF($E$2="Deployment",deployment_raw[[#This Row],[Column5]],1)),"")</f>
        <v/>
      </c>
      <c r="I214" s="96" t="str">
        <f>IF(ISNUMBER(deployment_raw[[#This Row],[Column9]]), (deployment_raw[[#This Row],[Column9]] * IF($E$2="Deployment",deployment_raw[[#This Row],[Column5]],1))/1048576,"")</f>
        <v/>
      </c>
      <c r="J214" s="122" t="str">
        <f>IF(ISNUMBER(deployment_raw[[#This Row],[Column10]]), (MIN(IF(N214&lt;&gt;"",N214,9999999999999)*1.1,deployment_raw[[#This Row],[Column10]] * IF($E$2="Deployment",deployment_raw[[#This Row],[Column5]],1))),"")</f>
        <v/>
      </c>
      <c r="K214" s="123" t="str">
        <f>IF(ISNUMBER(deployment_raw[[#This Row],[Column11]]), (MIN(IF(O214&lt;&gt;"",O214,9999999999999)*1.1,deployment_raw[[#This Row],[Column11]] * IF($E$2="Deployment",deployment_raw[[#This Row],[Column5]],1)/1048576)),"")</f>
        <v/>
      </c>
      <c r="L214" s="124" t="str">
        <f>IF(ISNUMBER(deployment_raw[[#This Row],[Column8]]),IF(OR(deployment_raw[[#This Row],[Column5]] &lt;&gt; 0,$E$2 &lt;&gt; "Deployment"), MAX(J214, P214, R214, ($L$2 * IF($E$2="Deployment",deployment_raw[[#This Row],[Column5]],1)),IF(T214&lt;&gt;"",VALUE(T214) * IF($E$2="Deployment",deployment_raw[[#This Row],[Column5]],1),0)), 0),"")</f>
        <v/>
      </c>
      <c r="M214" s="125" t="str">
        <f>IF(ISNUMBER(deployment_raw[[#This Row],[Column9]]),IF(OR(deployment_raw[[#This Row],[Column5]] &lt;&gt; 0,$E$2&lt;&gt;"Deployment"), MAX(K214, Q214, S214, ($M$2 * IF($E$2="Deployment",deployment_raw[[#This Row],[Column5]],1)),IF(U214&lt;&gt;"",VALUE(U214) * IF($E$2="Deployment",deployment_raw[[#This Row],[Column5]],1),0)), 0),"")</f>
        <v/>
      </c>
      <c r="N214" s="166" t="str">
        <f>IF(ISNUMBER(deployment_raw[[#This Row],[Column14]]), deployment_raw[[#This Row],[Column14]]/IF(OR($E$2="Deployment",deployment_raw[[#This Row],[Column5]]=0),1,deployment_raw[[#This Row],[Column5]]),"")</f>
        <v/>
      </c>
      <c r="O214" s="167" t="str">
        <f>IF(ISNUMBER(deployment_raw[[#This Row],[Column15]]), deployment_raw[[#This Row],[Column15]]/IF(OR($E$2="Deployment",deployment_raw[[#This Row],[Column5]]=0),1,deployment_raw[[#This Row],[Column5]])/1048576,"")</f>
        <v/>
      </c>
      <c r="P214" s="168" t="str">
        <f>IF(ISNUMBER(deployment_raw[[#This Row],[Column12]]), (MIN(IF(N214&lt;&gt;"",N214,9999999999999)*1.1,deployment_raw[[#This Row],[Column12]] * IF($E$2="Deployment",deployment_raw[[#This Row],[Column5]],1))*(1+$P$2)),"")</f>
        <v/>
      </c>
      <c r="Q214" s="167" t="str">
        <f>IF(ISNUMBER(deployment_raw[[#This Row],[Column13]]), (MIN(IF(O214&lt;&gt;"",O214,9999999999999)*1.1,deployment_raw[[#This Row],[Column13]] * IF($E$2="Deployment",deployment_raw[[#This Row],[Column5]],1)*(1+$Q$2)/1048576)),"")</f>
        <v/>
      </c>
      <c r="R214" s="169" t="str">
        <f>IF(ISNUMBER(deployment_raw[[#This Row],[Column8]]), (H214  * IF(N214&lt;&gt;0,$R$2,1)),"")</f>
        <v/>
      </c>
      <c r="S214" s="170" t="str">
        <f>IF(ISNUMBER(deployment_raw[[#This Row],[Column8]]), (I214  * IF(O214&lt;&gt;0,$S$2,1)),"")</f>
        <v/>
      </c>
      <c r="T214" s="202" t="str">
        <f>IF(AND(A214&lt;&gt;"",_xlfn.IFNA(MATCH(A214,'dynamic resource application '!$A$2:$A$100, 0),0)&lt;&gt;0), H214/(IF($E$2="Deployment",E214,1)),"")</f>
        <v/>
      </c>
      <c r="U214" s="211" t="str">
        <f>IF(AND(A214&lt;&gt;"",_xlfn.IFNA(MATCH(A214,'dynamic resource application '!$A$2:$A$100, 0),0)&lt;&gt;0), I214/(IF($E$2="Deployment",E214,1)),"")</f>
        <v/>
      </c>
    </row>
    <row r="215" spans="1:21" ht="15.75" customHeight="1" x14ac:dyDescent="0.25">
      <c r="A215" s="35" t="str">
        <f>IF(ISNONTEXT(deployment_raw[[#This Row],[Column1]]), "", deployment_raw[[#This Row],[Column1]])</f>
        <v/>
      </c>
      <c r="B215" s="36" t="str">
        <f>IF(ISNONTEXT(deployment_raw[[#This Row],[Column2]]), "", deployment_raw[[#This Row],[Column2]])</f>
        <v/>
      </c>
      <c r="C215" s="36" t="str">
        <f>IF(ISNONTEXT(deployment_raw[[#This Row],[Column3]]), "", deployment_raw[[#This Row],[Column3]])</f>
        <v/>
      </c>
      <c r="D215" s="36" t="str">
        <f>IF(ISNONTEXT(deployment_raw[[#This Row],[Column4]]), "", deployment_raw[[#This Row],[Column4]])</f>
        <v/>
      </c>
      <c r="E215" s="37" t="str">
        <f>IF(ISNUMBER(deployment_raw[[#This Row],[Column5]]), deployment_raw[[#This Row],[Column5]],"")</f>
        <v/>
      </c>
      <c r="F215" s="94" t="str">
        <f>IF(ISNUMBER(deployment_raw[[#This Row],[Column6]]), (deployment_raw[[#This Row],[Column6]] * IF($E$2="Deployment",deployment_raw[[#This Row],[Column5]],1)),"")</f>
        <v/>
      </c>
      <c r="G215" s="95" t="str">
        <f>IF(ISNUMBER(deployment_raw[[#This Row],[Column7]]), (deployment_raw[[#This Row],[Column7]] * IF($E$2="Deployment",deployment_raw[[#This Row],[Column5]],1))/1048576,"")</f>
        <v/>
      </c>
      <c r="H215" s="95" t="str">
        <f>IF(ISNUMBER(deployment_raw[[#This Row],[Column8]]), (deployment_raw[[#This Row],[Column8]]  * IF($E$2="Deployment",deployment_raw[[#This Row],[Column5]],1)),"")</f>
        <v/>
      </c>
      <c r="I215" s="96" t="str">
        <f>IF(ISNUMBER(deployment_raw[[#This Row],[Column9]]), (deployment_raw[[#This Row],[Column9]] * IF($E$2="Deployment",deployment_raw[[#This Row],[Column5]],1))/1048576,"")</f>
        <v/>
      </c>
      <c r="J215" s="122" t="str">
        <f>IF(ISNUMBER(deployment_raw[[#This Row],[Column10]]), (MIN(IF(N215&lt;&gt;"",N215,9999999999999)*1.1,deployment_raw[[#This Row],[Column10]] * IF($E$2="Deployment",deployment_raw[[#This Row],[Column5]],1))),"")</f>
        <v/>
      </c>
      <c r="K215" s="123" t="str">
        <f>IF(ISNUMBER(deployment_raw[[#This Row],[Column11]]), (MIN(IF(O215&lt;&gt;"",O215,9999999999999)*1.1,deployment_raw[[#This Row],[Column11]] * IF($E$2="Deployment",deployment_raw[[#This Row],[Column5]],1)/1048576)),"")</f>
        <v/>
      </c>
      <c r="L215" s="124" t="str">
        <f>IF(ISNUMBER(deployment_raw[[#This Row],[Column8]]),IF(OR(deployment_raw[[#This Row],[Column5]] &lt;&gt; 0,$E$2 &lt;&gt; "Deployment"), MAX(J215, P215, R215, ($L$2 * IF($E$2="Deployment",deployment_raw[[#This Row],[Column5]],1)),IF(T215&lt;&gt;"",VALUE(T215) * IF($E$2="Deployment",deployment_raw[[#This Row],[Column5]],1),0)), 0),"")</f>
        <v/>
      </c>
      <c r="M215" s="125" t="str">
        <f>IF(ISNUMBER(deployment_raw[[#This Row],[Column9]]),IF(OR(deployment_raw[[#This Row],[Column5]] &lt;&gt; 0,$E$2&lt;&gt;"Deployment"), MAX(K215, Q215, S215, ($M$2 * IF($E$2="Deployment",deployment_raw[[#This Row],[Column5]],1)),IF(U215&lt;&gt;"",VALUE(U215) * IF($E$2="Deployment",deployment_raw[[#This Row],[Column5]],1),0)), 0),"")</f>
        <v/>
      </c>
      <c r="N215" s="166" t="str">
        <f>IF(ISNUMBER(deployment_raw[[#This Row],[Column14]]), deployment_raw[[#This Row],[Column14]]/IF(OR($E$2="Deployment",deployment_raw[[#This Row],[Column5]]=0),1,deployment_raw[[#This Row],[Column5]]),"")</f>
        <v/>
      </c>
      <c r="O215" s="167" t="str">
        <f>IF(ISNUMBER(deployment_raw[[#This Row],[Column15]]), deployment_raw[[#This Row],[Column15]]/IF(OR($E$2="Deployment",deployment_raw[[#This Row],[Column5]]=0),1,deployment_raw[[#This Row],[Column5]])/1048576,"")</f>
        <v/>
      </c>
      <c r="P215" s="168" t="str">
        <f>IF(ISNUMBER(deployment_raw[[#This Row],[Column12]]), (MIN(IF(N215&lt;&gt;"",N215,9999999999999)*1.1,deployment_raw[[#This Row],[Column12]] * IF($E$2="Deployment",deployment_raw[[#This Row],[Column5]],1))*(1+$P$2)),"")</f>
        <v/>
      </c>
      <c r="Q215" s="167" t="str">
        <f>IF(ISNUMBER(deployment_raw[[#This Row],[Column13]]), (MIN(IF(O215&lt;&gt;"",O215,9999999999999)*1.1,deployment_raw[[#This Row],[Column13]] * IF($E$2="Deployment",deployment_raw[[#This Row],[Column5]],1)*(1+$Q$2)/1048576)),"")</f>
        <v/>
      </c>
      <c r="R215" s="169" t="str">
        <f>IF(ISNUMBER(deployment_raw[[#This Row],[Column8]]), (H215  * IF(N215&lt;&gt;0,$R$2,1)),"")</f>
        <v/>
      </c>
      <c r="S215" s="170" t="str">
        <f>IF(ISNUMBER(deployment_raw[[#This Row],[Column8]]), (I215  * IF(O215&lt;&gt;0,$S$2,1)),"")</f>
        <v/>
      </c>
      <c r="T215" s="202" t="str">
        <f>IF(AND(A215&lt;&gt;"",_xlfn.IFNA(MATCH(A215,'dynamic resource application '!$A$2:$A$100, 0),0)&lt;&gt;0), H215/(IF($E$2="Deployment",E215,1)),"")</f>
        <v/>
      </c>
      <c r="U215" s="211" t="str">
        <f>IF(AND(A215&lt;&gt;"",_xlfn.IFNA(MATCH(A215,'dynamic resource application '!$A$2:$A$100, 0),0)&lt;&gt;0), I215/(IF($E$2="Deployment",E215,1)),"")</f>
        <v/>
      </c>
    </row>
    <row r="216" spans="1:21" ht="15.75" customHeight="1" x14ac:dyDescent="0.25">
      <c r="A216" s="35" t="str">
        <f>IF(ISNONTEXT(deployment_raw[[#This Row],[Column1]]), "", deployment_raw[[#This Row],[Column1]])</f>
        <v/>
      </c>
      <c r="B216" s="36" t="str">
        <f>IF(ISNONTEXT(deployment_raw[[#This Row],[Column2]]), "", deployment_raw[[#This Row],[Column2]])</f>
        <v/>
      </c>
      <c r="C216" s="36" t="str">
        <f>IF(ISNONTEXT(deployment_raw[[#This Row],[Column3]]), "", deployment_raw[[#This Row],[Column3]])</f>
        <v/>
      </c>
      <c r="D216" s="36" t="str">
        <f>IF(ISNONTEXT(deployment_raw[[#This Row],[Column4]]), "", deployment_raw[[#This Row],[Column4]])</f>
        <v/>
      </c>
      <c r="E216" s="37" t="str">
        <f>IF(ISNUMBER(deployment_raw[[#This Row],[Column5]]), deployment_raw[[#This Row],[Column5]],"")</f>
        <v/>
      </c>
      <c r="F216" s="94" t="str">
        <f>IF(ISNUMBER(deployment_raw[[#This Row],[Column6]]), (deployment_raw[[#This Row],[Column6]] * IF($E$2="Deployment",deployment_raw[[#This Row],[Column5]],1)),"")</f>
        <v/>
      </c>
      <c r="G216" s="95" t="str">
        <f>IF(ISNUMBER(deployment_raw[[#This Row],[Column7]]), (deployment_raw[[#This Row],[Column7]] * IF($E$2="Deployment",deployment_raw[[#This Row],[Column5]],1))/1048576,"")</f>
        <v/>
      </c>
      <c r="H216" s="95" t="str">
        <f>IF(ISNUMBER(deployment_raw[[#This Row],[Column8]]), (deployment_raw[[#This Row],[Column8]]  * IF($E$2="Deployment",deployment_raw[[#This Row],[Column5]],1)),"")</f>
        <v/>
      </c>
      <c r="I216" s="96" t="str">
        <f>IF(ISNUMBER(deployment_raw[[#This Row],[Column9]]), (deployment_raw[[#This Row],[Column9]] * IF($E$2="Deployment",deployment_raw[[#This Row],[Column5]],1))/1048576,"")</f>
        <v/>
      </c>
      <c r="J216" s="122" t="str">
        <f>IF(ISNUMBER(deployment_raw[[#This Row],[Column10]]), (MIN(IF(N216&lt;&gt;"",N216,9999999999999)*1.1,deployment_raw[[#This Row],[Column10]] * IF($E$2="Deployment",deployment_raw[[#This Row],[Column5]],1))),"")</f>
        <v/>
      </c>
      <c r="K216" s="123" t="str">
        <f>IF(ISNUMBER(deployment_raw[[#This Row],[Column11]]), (MIN(IF(O216&lt;&gt;"",O216,9999999999999)*1.1,deployment_raw[[#This Row],[Column11]] * IF($E$2="Deployment",deployment_raw[[#This Row],[Column5]],1)/1048576)),"")</f>
        <v/>
      </c>
      <c r="L216" s="124" t="str">
        <f>IF(ISNUMBER(deployment_raw[[#This Row],[Column8]]),IF(OR(deployment_raw[[#This Row],[Column5]] &lt;&gt; 0,$E$2 &lt;&gt; "Deployment"), MAX(J216, P216, R216, ($L$2 * IF($E$2="Deployment",deployment_raw[[#This Row],[Column5]],1)),IF(T216&lt;&gt;"",VALUE(T216) * IF($E$2="Deployment",deployment_raw[[#This Row],[Column5]],1),0)), 0),"")</f>
        <v/>
      </c>
      <c r="M216" s="125" t="str">
        <f>IF(ISNUMBER(deployment_raw[[#This Row],[Column9]]),IF(OR(deployment_raw[[#This Row],[Column5]] &lt;&gt; 0,$E$2&lt;&gt;"Deployment"), MAX(K216, Q216, S216, ($M$2 * IF($E$2="Deployment",deployment_raw[[#This Row],[Column5]],1)),IF(U216&lt;&gt;"",VALUE(U216) * IF($E$2="Deployment",deployment_raw[[#This Row],[Column5]],1),0)), 0),"")</f>
        <v/>
      </c>
      <c r="N216" s="166" t="str">
        <f>IF(ISNUMBER(deployment_raw[[#This Row],[Column14]]), deployment_raw[[#This Row],[Column14]]/IF(OR($E$2="Deployment",deployment_raw[[#This Row],[Column5]]=0),1,deployment_raw[[#This Row],[Column5]]),"")</f>
        <v/>
      </c>
      <c r="O216" s="167" t="str">
        <f>IF(ISNUMBER(deployment_raw[[#This Row],[Column15]]), deployment_raw[[#This Row],[Column15]]/IF(OR($E$2="Deployment",deployment_raw[[#This Row],[Column5]]=0),1,deployment_raw[[#This Row],[Column5]])/1048576,"")</f>
        <v/>
      </c>
      <c r="P216" s="168" t="str">
        <f>IF(ISNUMBER(deployment_raw[[#This Row],[Column12]]), (MIN(IF(N216&lt;&gt;"",N216,9999999999999)*1.1,deployment_raw[[#This Row],[Column12]] * IF($E$2="Deployment",deployment_raw[[#This Row],[Column5]],1))*(1+$P$2)),"")</f>
        <v/>
      </c>
      <c r="Q216" s="167" t="str">
        <f>IF(ISNUMBER(deployment_raw[[#This Row],[Column13]]), (MIN(IF(O216&lt;&gt;"",O216,9999999999999)*1.1,deployment_raw[[#This Row],[Column13]] * IF($E$2="Deployment",deployment_raw[[#This Row],[Column5]],1)*(1+$Q$2)/1048576)),"")</f>
        <v/>
      </c>
      <c r="R216" s="169" t="str">
        <f>IF(ISNUMBER(deployment_raw[[#This Row],[Column8]]), (H216  * IF(N216&lt;&gt;0,$R$2,1)),"")</f>
        <v/>
      </c>
      <c r="S216" s="170" t="str">
        <f>IF(ISNUMBER(deployment_raw[[#This Row],[Column8]]), (I216  * IF(O216&lt;&gt;0,$S$2,1)),"")</f>
        <v/>
      </c>
      <c r="T216" s="202" t="str">
        <f>IF(AND(A216&lt;&gt;"",_xlfn.IFNA(MATCH(A216,'dynamic resource application '!$A$2:$A$100, 0),0)&lt;&gt;0), H216/(IF($E$2="Deployment",E216,1)),"")</f>
        <v/>
      </c>
      <c r="U216" s="211" t="str">
        <f>IF(AND(A216&lt;&gt;"",_xlfn.IFNA(MATCH(A216,'dynamic resource application '!$A$2:$A$100, 0),0)&lt;&gt;0), I216/(IF($E$2="Deployment",E216,1)),"")</f>
        <v/>
      </c>
    </row>
    <row r="217" spans="1:21" ht="15.75" customHeight="1" x14ac:dyDescent="0.25">
      <c r="A217" s="35" t="str">
        <f>IF(ISNONTEXT(deployment_raw[[#This Row],[Column1]]), "", deployment_raw[[#This Row],[Column1]])</f>
        <v/>
      </c>
      <c r="B217" s="36" t="str">
        <f>IF(ISNONTEXT(deployment_raw[[#This Row],[Column2]]), "", deployment_raw[[#This Row],[Column2]])</f>
        <v/>
      </c>
      <c r="C217" s="36" t="str">
        <f>IF(ISNONTEXT(deployment_raw[[#This Row],[Column3]]), "", deployment_raw[[#This Row],[Column3]])</f>
        <v/>
      </c>
      <c r="D217" s="36" t="str">
        <f>IF(ISNONTEXT(deployment_raw[[#This Row],[Column4]]), "", deployment_raw[[#This Row],[Column4]])</f>
        <v/>
      </c>
      <c r="E217" s="37" t="str">
        <f>IF(ISNUMBER(deployment_raw[[#This Row],[Column5]]), deployment_raw[[#This Row],[Column5]],"")</f>
        <v/>
      </c>
      <c r="F217" s="94" t="str">
        <f>IF(ISNUMBER(deployment_raw[[#This Row],[Column6]]), (deployment_raw[[#This Row],[Column6]] * IF($E$2="Deployment",deployment_raw[[#This Row],[Column5]],1)),"")</f>
        <v/>
      </c>
      <c r="G217" s="95" t="str">
        <f>IF(ISNUMBER(deployment_raw[[#This Row],[Column7]]), (deployment_raw[[#This Row],[Column7]] * IF($E$2="Deployment",deployment_raw[[#This Row],[Column5]],1))/1048576,"")</f>
        <v/>
      </c>
      <c r="H217" s="95" t="str">
        <f>IF(ISNUMBER(deployment_raw[[#This Row],[Column8]]), (deployment_raw[[#This Row],[Column8]]  * IF($E$2="Deployment",deployment_raw[[#This Row],[Column5]],1)),"")</f>
        <v/>
      </c>
      <c r="I217" s="96" t="str">
        <f>IF(ISNUMBER(deployment_raw[[#This Row],[Column9]]), (deployment_raw[[#This Row],[Column9]] * IF($E$2="Deployment",deployment_raw[[#This Row],[Column5]],1))/1048576,"")</f>
        <v/>
      </c>
      <c r="J217" s="122" t="str">
        <f>IF(ISNUMBER(deployment_raw[[#This Row],[Column10]]), (MIN(IF(N217&lt;&gt;"",N217,9999999999999)*1.1,deployment_raw[[#This Row],[Column10]] * IF($E$2="Deployment",deployment_raw[[#This Row],[Column5]],1))),"")</f>
        <v/>
      </c>
      <c r="K217" s="123" t="str">
        <f>IF(ISNUMBER(deployment_raw[[#This Row],[Column11]]), (MIN(IF(O217&lt;&gt;"",O217,9999999999999)*1.1,deployment_raw[[#This Row],[Column11]] * IF($E$2="Deployment",deployment_raw[[#This Row],[Column5]],1)/1048576)),"")</f>
        <v/>
      </c>
      <c r="L217" s="124" t="str">
        <f>IF(ISNUMBER(deployment_raw[[#This Row],[Column8]]),IF(OR(deployment_raw[[#This Row],[Column5]] &lt;&gt; 0,$E$2 &lt;&gt; "Deployment"), MAX(J217, P217, R217, ($L$2 * IF($E$2="Deployment",deployment_raw[[#This Row],[Column5]],1)),IF(T217&lt;&gt;"",VALUE(T217) * IF($E$2="Deployment",deployment_raw[[#This Row],[Column5]],1),0)), 0),"")</f>
        <v/>
      </c>
      <c r="M217" s="125" t="str">
        <f>IF(ISNUMBER(deployment_raw[[#This Row],[Column9]]),IF(OR(deployment_raw[[#This Row],[Column5]] &lt;&gt; 0,$E$2&lt;&gt;"Deployment"), MAX(K217, Q217, S217, ($M$2 * IF($E$2="Deployment",deployment_raw[[#This Row],[Column5]],1)),IF(U217&lt;&gt;"",VALUE(U217) * IF($E$2="Deployment",deployment_raw[[#This Row],[Column5]],1),0)), 0),"")</f>
        <v/>
      </c>
      <c r="N217" s="166" t="str">
        <f>IF(ISNUMBER(deployment_raw[[#This Row],[Column14]]), deployment_raw[[#This Row],[Column14]]/IF(OR($E$2="Deployment",deployment_raw[[#This Row],[Column5]]=0),1,deployment_raw[[#This Row],[Column5]]),"")</f>
        <v/>
      </c>
      <c r="O217" s="167" t="str">
        <f>IF(ISNUMBER(deployment_raw[[#This Row],[Column15]]), deployment_raw[[#This Row],[Column15]]/IF(OR($E$2="Deployment",deployment_raw[[#This Row],[Column5]]=0),1,deployment_raw[[#This Row],[Column5]])/1048576,"")</f>
        <v/>
      </c>
      <c r="P217" s="168" t="str">
        <f>IF(ISNUMBER(deployment_raw[[#This Row],[Column12]]), (MIN(IF(N217&lt;&gt;"",N217,9999999999999)*1.1,deployment_raw[[#This Row],[Column12]] * IF($E$2="Deployment",deployment_raw[[#This Row],[Column5]],1))*(1+$P$2)),"")</f>
        <v/>
      </c>
      <c r="Q217" s="167" t="str">
        <f>IF(ISNUMBER(deployment_raw[[#This Row],[Column13]]), (MIN(IF(O217&lt;&gt;"",O217,9999999999999)*1.1,deployment_raw[[#This Row],[Column13]] * IF($E$2="Deployment",deployment_raw[[#This Row],[Column5]],1)*(1+$Q$2)/1048576)),"")</f>
        <v/>
      </c>
      <c r="R217" s="169" t="str">
        <f>IF(ISNUMBER(deployment_raw[[#This Row],[Column8]]), (H217  * IF(N217&lt;&gt;0,$R$2,1)),"")</f>
        <v/>
      </c>
      <c r="S217" s="170" t="str">
        <f>IF(ISNUMBER(deployment_raw[[#This Row],[Column8]]), (I217  * IF(O217&lt;&gt;0,$S$2,1)),"")</f>
        <v/>
      </c>
      <c r="T217" s="202" t="str">
        <f>IF(AND(A217&lt;&gt;"",_xlfn.IFNA(MATCH(A217,'dynamic resource application '!$A$2:$A$100, 0),0)&lt;&gt;0), H217/(IF($E$2="Deployment",E217,1)),"")</f>
        <v/>
      </c>
      <c r="U217" s="211" t="str">
        <f>IF(AND(A217&lt;&gt;"",_xlfn.IFNA(MATCH(A217,'dynamic resource application '!$A$2:$A$100, 0),0)&lt;&gt;0), I217/(IF($E$2="Deployment",E217,1)),"")</f>
        <v/>
      </c>
    </row>
    <row r="218" spans="1:21" ht="15.75" customHeight="1" x14ac:dyDescent="0.25">
      <c r="A218" s="35" t="str">
        <f>IF(ISNONTEXT(deployment_raw[[#This Row],[Column1]]), "", deployment_raw[[#This Row],[Column1]])</f>
        <v/>
      </c>
      <c r="B218" s="36" t="str">
        <f>IF(ISNONTEXT(deployment_raw[[#This Row],[Column2]]), "", deployment_raw[[#This Row],[Column2]])</f>
        <v/>
      </c>
      <c r="C218" s="36" t="str">
        <f>IF(ISNONTEXT(deployment_raw[[#This Row],[Column3]]), "", deployment_raw[[#This Row],[Column3]])</f>
        <v/>
      </c>
      <c r="D218" s="36" t="str">
        <f>IF(ISNONTEXT(deployment_raw[[#This Row],[Column4]]), "", deployment_raw[[#This Row],[Column4]])</f>
        <v/>
      </c>
      <c r="E218" s="37" t="str">
        <f>IF(ISNUMBER(deployment_raw[[#This Row],[Column5]]), deployment_raw[[#This Row],[Column5]],"")</f>
        <v/>
      </c>
      <c r="F218" s="94" t="str">
        <f>IF(ISNUMBER(deployment_raw[[#This Row],[Column6]]), (deployment_raw[[#This Row],[Column6]] * IF($E$2="Deployment",deployment_raw[[#This Row],[Column5]],1)),"")</f>
        <v/>
      </c>
      <c r="G218" s="95" t="str">
        <f>IF(ISNUMBER(deployment_raw[[#This Row],[Column7]]), (deployment_raw[[#This Row],[Column7]] * IF($E$2="Deployment",deployment_raw[[#This Row],[Column5]],1))/1048576,"")</f>
        <v/>
      </c>
      <c r="H218" s="95" t="str">
        <f>IF(ISNUMBER(deployment_raw[[#This Row],[Column8]]), (deployment_raw[[#This Row],[Column8]]  * IF($E$2="Deployment",deployment_raw[[#This Row],[Column5]],1)),"")</f>
        <v/>
      </c>
      <c r="I218" s="96" t="str">
        <f>IF(ISNUMBER(deployment_raw[[#This Row],[Column9]]), (deployment_raw[[#This Row],[Column9]] * IF($E$2="Deployment",deployment_raw[[#This Row],[Column5]],1))/1048576,"")</f>
        <v/>
      </c>
      <c r="J218" s="122" t="str">
        <f>IF(ISNUMBER(deployment_raw[[#This Row],[Column10]]), (MIN(IF(N218&lt;&gt;"",N218,9999999999999)*1.1,deployment_raw[[#This Row],[Column10]] * IF($E$2="Deployment",deployment_raw[[#This Row],[Column5]],1))),"")</f>
        <v/>
      </c>
      <c r="K218" s="123" t="str">
        <f>IF(ISNUMBER(deployment_raw[[#This Row],[Column11]]), (MIN(IF(O218&lt;&gt;"",O218,9999999999999)*1.1,deployment_raw[[#This Row],[Column11]] * IF($E$2="Deployment",deployment_raw[[#This Row],[Column5]],1)/1048576)),"")</f>
        <v/>
      </c>
      <c r="L218" s="124" t="str">
        <f>IF(ISNUMBER(deployment_raw[[#This Row],[Column8]]),IF(OR(deployment_raw[[#This Row],[Column5]] &lt;&gt; 0,$E$2 &lt;&gt; "Deployment"), MAX(J218, P218, R218, ($L$2 * IF($E$2="Deployment",deployment_raw[[#This Row],[Column5]],1)),IF(T218&lt;&gt;"",VALUE(T218) * IF($E$2="Deployment",deployment_raw[[#This Row],[Column5]],1),0)), 0),"")</f>
        <v/>
      </c>
      <c r="M218" s="125" t="str">
        <f>IF(ISNUMBER(deployment_raw[[#This Row],[Column9]]),IF(OR(deployment_raw[[#This Row],[Column5]] &lt;&gt; 0,$E$2&lt;&gt;"Deployment"), MAX(K218, Q218, S218, ($M$2 * IF($E$2="Deployment",deployment_raw[[#This Row],[Column5]],1)),IF(U218&lt;&gt;"",VALUE(U218) * IF($E$2="Deployment",deployment_raw[[#This Row],[Column5]],1),0)), 0),"")</f>
        <v/>
      </c>
      <c r="N218" s="166" t="str">
        <f>IF(ISNUMBER(deployment_raw[[#This Row],[Column14]]), deployment_raw[[#This Row],[Column14]]/IF(OR($E$2="Deployment",deployment_raw[[#This Row],[Column5]]=0),1,deployment_raw[[#This Row],[Column5]]),"")</f>
        <v/>
      </c>
      <c r="O218" s="167" t="str">
        <f>IF(ISNUMBER(deployment_raw[[#This Row],[Column15]]), deployment_raw[[#This Row],[Column15]]/IF(OR($E$2="Deployment",deployment_raw[[#This Row],[Column5]]=0),1,deployment_raw[[#This Row],[Column5]])/1048576,"")</f>
        <v/>
      </c>
      <c r="P218" s="168" t="str">
        <f>IF(ISNUMBER(deployment_raw[[#This Row],[Column12]]), (MIN(IF(N218&lt;&gt;"",N218,9999999999999)*1.1,deployment_raw[[#This Row],[Column12]] * IF($E$2="Deployment",deployment_raw[[#This Row],[Column5]],1))*(1+$P$2)),"")</f>
        <v/>
      </c>
      <c r="Q218" s="167" t="str">
        <f>IF(ISNUMBER(deployment_raw[[#This Row],[Column13]]), (MIN(IF(O218&lt;&gt;"",O218,9999999999999)*1.1,deployment_raw[[#This Row],[Column13]] * IF($E$2="Deployment",deployment_raw[[#This Row],[Column5]],1)*(1+$Q$2)/1048576)),"")</f>
        <v/>
      </c>
      <c r="R218" s="169" t="str">
        <f>IF(ISNUMBER(deployment_raw[[#This Row],[Column8]]), (H218  * IF(N218&lt;&gt;0,$R$2,1)),"")</f>
        <v/>
      </c>
      <c r="S218" s="170" t="str">
        <f>IF(ISNUMBER(deployment_raw[[#This Row],[Column8]]), (I218  * IF(O218&lt;&gt;0,$S$2,1)),"")</f>
        <v/>
      </c>
      <c r="T218" s="202" t="str">
        <f>IF(AND(A218&lt;&gt;"",_xlfn.IFNA(MATCH(A218,'dynamic resource application '!$A$2:$A$100, 0),0)&lt;&gt;0), H218/(IF($E$2="Deployment",E218,1)),"")</f>
        <v/>
      </c>
      <c r="U218" s="211" t="str">
        <f>IF(AND(A218&lt;&gt;"",_xlfn.IFNA(MATCH(A218,'dynamic resource application '!$A$2:$A$100, 0),0)&lt;&gt;0), I218/(IF($E$2="Deployment",E218,1)),"")</f>
        <v/>
      </c>
    </row>
    <row r="219" spans="1:21" ht="15.75" customHeight="1" x14ac:dyDescent="0.25">
      <c r="A219" s="35" t="str">
        <f>IF(ISNONTEXT(deployment_raw[[#This Row],[Column1]]), "", deployment_raw[[#This Row],[Column1]])</f>
        <v/>
      </c>
      <c r="B219" s="36" t="str">
        <f>IF(ISNONTEXT(deployment_raw[[#This Row],[Column2]]), "", deployment_raw[[#This Row],[Column2]])</f>
        <v/>
      </c>
      <c r="C219" s="36" t="str">
        <f>IF(ISNONTEXT(deployment_raw[[#This Row],[Column3]]), "", deployment_raw[[#This Row],[Column3]])</f>
        <v/>
      </c>
      <c r="D219" s="36" t="str">
        <f>IF(ISNONTEXT(deployment_raw[[#This Row],[Column4]]), "", deployment_raw[[#This Row],[Column4]])</f>
        <v/>
      </c>
      <c r="E219" s="37" t="str">
        <f>IF(ISNUMBER(deployment_raw[[#This Row],[Column5]]), deployment_raw[[#This Row],[Column5]],"")</f>
        <v/>
      </c>
      <c r="F219" s="94" t="str">
        <f>IF(ISNUMBER(deployment_raw[[#This Row],[Column6]]), (deployment_raw[[#This Row],[Column6]] * IF($E$2="Deployment",deployment_raw[[#This Row],[Column5]],1)),"")</f>
        <v/>
      </c>
      <c r="G219" s="95" t="str">
        <f>IF(ISNUMBER(deployment_raw[[#This Row],[Column7]]), (deployment_raw[[#This Row],[Column7]] * IF($E$2="Deployment",deployment_raw[[#This Row],[Column5]],1))/1048576,"")</f>
        <v/>
      </c>
      <c r="H219" s="95" t="str">
        <f>IF(ISNUMBER(deployment_raw[[#This Row],[Column8]]), (deployment_raw[[#This Row],[Column8]]  * IF($E$2="Deployment",deployment_raw[[#This Row],[Column5]],1)),"")</f>
        <v/>
      </c>
      <c r="I219" s="96" t="str">
        <f>IF(ISNUMBER(deployment_raw[[#This Row],[Column9]]), (deployment_raw[[#This Row],[Column9]] * IF($E$2="Deployment",deployment_raw[[#This Row],[Column5]],1))/1048576,"")</f>
        <v/>
      </c>
      <c r="J219" s="122" t="str">
        <f>IF(ISNUMBER(deployment_raw[[#This Row],[Column10]]), (MIN(IF(N219&lt;&gt;"",N219,9999999999999)*1.1,deployment_raw[[#This Row],[Column10]] * IF($E$2="Deployment",deployment_raw[[#This Row],[Column5]],1))),"")</f>
        <v/>
      </c>
      <c r="K219" s="123" t="str">
        <f>IF(ISNUMBER(deployment_raw[[#This Row],[Column11]]), (MIN(IF(O219&lt;&gt;"",O219,9999999999999)*1.1,deployment_raw[[#This Row],[Column11]] * IF($E$2="Deployment",deployment_raw[[#This Row],[Column5]],1)/1048576)),"")</f>
        <v/>
      </c>
      <c r="L219" s="124" t="str">
        <f>IF(ISNUMBER(deployment_raw[[#This Row],[Column8]]),IF(OR(deployment_raw[[#This Row],[Column5]] &lt;&gt; 0,$E$2 &lt;&gt; "Deployment"), MAX(J219, P219, R219, ($L$2 * IF($E$2="Deployment",deployment_raw[[#This Row],[Column5]],1)),IF(T219&lt;&gt;"",VALUE(T219) * IF($E$2="Deployment",deployment_raw[[#This Row],[Column5]],1),0)), 0),"")</f>
        <v/>
      </c>
      <c r="M219" s="125" t="str">
        <f>IF(ISNUMBER(deployment_raw[[#This Row],[Column9]]),IF(OR(deployment_raw[[#This Row],[Column5]] &lt;&gt; 0,$E$2&lt;&gt;"Deployment"), MAX(K219, Q219, S219, ($M$2 * IF($E$2="Deployment",deployment_raw[[#This Row],[Column5]],1)),IF(U219&lt;&gt;"",VALUE(U219) * IF($E$2="Deployment",deployment_raw[[#This Row],[Column5]],1),0)), 0),"")</f>
        <v/>
      </c>
      <c r="N219" s="166" t="str">
        <f>IF(ISNUMBER(deployment_raw[[#This Row],[Column14]]), deployment_raw[[#This Row],[Column14]]/IF(OR($E$2="Deployment",deployment_raw[[#This Row],[Column5]]=0),1,deployment_raw[[#This Row],[Column5]]),"")</f>
        <v/>
      </c>
      <c r="O219" s="167" t="str">
        <f>IF(ISNUMBER(deployment_raw[[#This Row],[Column15]]), deployment_raw[[#This Row],[Column15]]/IF(OR($E$2="Deployment",deployment_raw[[#This Row],[Column5]]=0),1,deployment_raw[[#This Row],[Column5]])/1048576,"")</f>
        <v/>
      </c>
      <c r="P219" s="168" t="str">
        <f>IF(ISNUMBER(deployment_raw[[#This Row],[Column12]]), (MIN(IF(N219&lt;&gt;"",N219,9999999999999)*1.1,deployment_raw[[#This Row],[Column12]] * IF($E$2="Deployment",deployment_raw[[#This Row],[Column5]],1))*(1+$P$2)),"")</f>
        <v/>
      </c>
      <c r="Q219" s="167" t="str">
        <f>IF(ISNUMBER(deployment_raw[[#This Row],[Column13]]), (MIN(IF(O219&lt;&gt;"",O219,9999999999999)*1.1,deployment_raw[[#This Row],[Column13]] * IF($E$2="Deployment",deployment_raw[[#This Row],[Column5]],1)*(1+$Q$2)/1048576)),"")</f>
        <v/>
      </c>
      <c r="R219" s="169" t="str">
        <f>IF(ISNUMBER(deployment_raw[[#This Row],[Column8]]), (H219  * IF(N219&lt;&gt;0,$R$2,1)),"")</f>
        <v/>
      </c>
      <c r="S219" s="170" t="str">
        <f>IF(ISNUMBER(deployment_raw[[#This Row],[Column8]]), (I219  * IF(O219&lt;&gt;0,$S$2,1)),"")</f>
        <v/>
      </c>
      <c r="T219" s="202" t="str">
        <f>IF(AND(A219&lt;&gt;"",_xlfn.IFNA(MATCH(A219,'dynamic resource application '!$A$2:$A$100, 0),0)&lt;&gt;0), H219/(IF($E$2="Deployment",E219,1)),"")</f>
        <v/>
      </c>
      <c r="U219" s="211" t="str">
        <f>IF(AND(A219&lt;&gt;"",_xlfn.IFNA(MATCH(A219,'dynamic resource application '!$A$2:$A$100, 0),0)&lt;&gt;0), I219/(IF($E$2="Deployment",E219,1)),"")</f>
        <v/>
      </c>
    </row>
    <row r="220" spans="1:21" ht="15.75" customHeight="1" x14ac:dyDescent="0.25">
      <c r="A220" s="35" t="str">
        <f>IF(ISNONTEXT(deployment_raw[[#This Row],[Column1]]), "", deployment_raw[[#This Row],[Column1]])</f>
        <v/>
      </c>
      <c r="B220" s="36" t="str">
        <f>IF(ISNONTEXT(deployment_raw[[#This Row],[Column2]]), "", deployment_raw[[#This Row],[Column2]])</f>
        <v/>
      </c>
      <c r="C220" s="36" t="str">
        <f>IF(ISNONTEXT(deployment_raw[[#This Row],[Column3]]), "", deployment_raw[[#This Row],[Column3]])</f>
        <v/>
      </c>
      <c r="D220" s="36" t="str">
        <f>IF(ISNONTEXT(deployment_raw[[#This Row],[Column4]]), "", deployment_raw[[#This Row],[Column4]])</f>
        <v/>
      </c>
      <c r="E220" s="37" t="str">
        <f>IF(ISNUMBER(deployment_raw[[#This Row],[Column5]]), deployment_raw[[#This Row],[Column5]],"")</f>
        <v/>
      </c>
      <c r="F220" s="94" t="str">
        <f>IF(ISNUMBER(deployment_raw[[#This Row],[Column6]]), (deployment_raw[[#This Row],[Column6]] * IF($E$2="Deployment",deployment_raw[[#This Row],[Column5]],1)),"")</f>
        <v/>
      </c>
      <c r="G220" s="95" t="str">
        <f>IF(ISNUMBER(deployment_raw[[#This Row],[Column7]]), (deployment_raw[[#This Row],[Column7]] * IF($E$2="Deployment",deployment_raw[[#This Row],[Column5]],1))/1048576,"")</f>
        <v/>
      </c>
      <c r="H220" s="95" t="str">
        <f>IF(ISNUMBER(deployment_raw[[#This Row],[Column8]]), (deployment_raw[[#This Row],[Column8]]  * IF($E$2="Deployment",deployment_raw[[#This Row],[Column5]],1)),"")</f>
        <v/>
      </c>
      <c r="I220" s="96" t="str">
        <f>IF(ISNUMBER(deployment_raw[[#This Row],[Column9]]), (deployment_raw[[#This Row],[Column9]] * IF($E$2="Deployment",deployment_raw[[#This Row],[Column5]],1))/1048576,"")</f>
        <v/>
      </c>
      <c r="J220" s="122" t="str">
        <f>IF(ISNUMBER(deployment_raw[[#This Row],[Column10]]), (MIN(IF(N220&lt;&gt;"",N220,9999999999999)*1.1,deployment_raw[[#This Row],[Column10]] * IF($E$2="Deployment",deployment_raw[[#This Row],[Column5]],1))),"")</f>
        <v/>
      </c>
      <c r="K220" s="123" t="str">
        <f>IF(ISNUMBER(deployment_raw[[#This Row],[Column11]]), (MIN(IF(O220&lt;&gt;"",O220,9999999999999)*1.1,deployment_raw[[#This Row],[Column11]] * IF($E$2="Deployment",deployment_raw[[#This Row],[Column5]],1)/1048576)),"")</f>
        <v/>
      </c>
      <c r="L220" s="124" t="str">
        <f>IF(ISNUMBER(deployment_raw[[#This Row],[Column8]]),IF(OR(deployment_raw[[#This Row],[Column5]] &lt;&gt; 0,$E$2 &lt;&gt; "Deployment"), MAX(J220, P220, R220, ($L$2 * IF($E$2="Deployment",deployment_raw[[#This Row],[Column5]],1)),IF(T220&lt;&gt;"",VALUE(T220) * IF($E$2="Deployment",deployment_raw[[#This Row],[Column5]],1),0)), 0),"")</f>
        <v/>
      </c>
      <c r="M220" s="125" t="str">
        <f>IF(ISNUMBER(deployment_raw[[#This Row],[Column9]]),IF(OR(deployment_raw[[#This Row],[Column5]] &lt;&gt; 0,$E$2&lt;&gt;"Deployment"), MAX(K220, Q220, S220, ($M$2 * IF($E$2="Deployment",deployment_raw[[#This Row],[Column5]],1)),IF(U220&lt;&gt;"",VALUE(U220) * IF($E$2="Deployment",deployment_raw[[#This Row],[Column5]],1),0)), 0),"")</f>
        <v/>
      </c>
      <c r="N220" s="166" t="str">
        <f>IF(ISNUMBER(deployment_raw[[#This Row],[Column14]]), deployment_raw[[#This Row],[Column14]]/IF(OR($E$2="Deployment",deployment_raw[[#This Row],[Column5]]=0),1,deployment_raw[[#This Row],[Column5]]),"")</f>
        <v/>
      </c>
      <c r="O220" s="167" t="str">
        <f>IF(ISNUMBER(deployment_raw[[#This Row],[Column15]]), deployment_raw[[#This Row],[Column15]]/IF(OR($E$2="Deployment",deployment_raw[[#This Row],[Column5]]=0),1,deployment_raw[[#This Row],[Column5]])/1048576,"")</f>
        <v/>
      </c>
      <c r="P220" s="168" t="str">
        <f>IF(ISNUMBER(deployment_raw[[#This Row],[Column12]]), (MIN(IF(N220&lt;&gt;"",N220,9999999999999)*1.1,deployment_raw[[#This Row],[Column12]] * IF($E$2="Deployment",deployment_raw[[#This Row],[Column5]],1))*(1+$P$2)),"")</f>
        <v/>
      </c>
      <c r="Q220" s="167" t="str">
        <f>IF(ISNUMBER(deployment_raw[[#This Row],[Column13]]), (MIN(IF(O220&lt;&gt;"",O220,9999999999999)*1.1,deployment_raw[[#This Row],[Column13]] * IF($E$2="Deployment",deployment_raw[[#This Row],[Column5]],1)*(1+$Q$2)/1048576)),"")</f>
        <v/>
      </c>
      <c r="R220" s="169" t="str">
        <f>IF(ISNUMBER(deployment_raw[[#This Row],[Column8]]), (H220  * IF(N220&lt;&gt;0,$R$2,1)),"")</f>
        <v/>
      </c>
      <c r="S220" s="170" t="str">
        <f>IF(ISNUMBER(deployment_raw[[#This Row],[Column8]]), (I220  * IF(O220&lt;&gt;0,$S$2,1)),"")</f>
        <v/>
      </c>
      <c r="T220" s="202" t="str">
        <f>IF(AND(A220&lt;&gt;"",_xlfn.IFNA(MATCH(A220,'dynamic resource application '!$A$2:$A$100, 0),0)&lt;&gt;0), H220/(IF($E$2="Deployment",E220,1)),"")</f>
        <v/>
      </c>
      <c r="U220" s="211" t="str">
        <f>IF(AND(A220&lt;&gt;"",_xlfn.IFNA(MATCH(A220,'dynamic resource application '!$A$2:$A$100, 0),0)&lt;&gt;0), I220/(IF($E$2="Deployment",E220,1)),"")</f>
        <v/>
      </c>
    </row>
    <row r="221" spans="1:21" ht="15.75" customHeight="1" x14ac:dyDescent="0.25">
      <c r="A221" s="35" t="str">
        <f>IF(ISNONTEXT(deployment_raw[[#This Row],[Column1]]), "", deployment_raw[[#This Row],[Column1]])</f>
        <v/>
      </c>
      <c r="B221" s="36" t="str">
        <f>IF(ISNONTEXT(deployment_raw[[#This Row],[Column2]]), "", deployment_raw[[#This Row],[Column2]])</f>
        <v/>
      </c>
      <c r="C221" s="36" t="str">
        <f>IF(ISNONTEXT(deployment_raw[[#This Row],[Column3]]), "", deployment_raw[[#This Row],[Column3]])</f>
        <v/>
      </c>
      <c r="D221" s="36" t="str">
        <f>IF(ISNONTEXT(deployment_raw[[#This Row],[Column4]]), "", deployment_raw[[#This Row],[Column4]])</f>
        <v/>
      </c>
      <c r="E221" s="37" t="str">
        <f>IF(ISNUMBER(deployment_raw[[#This Row],[Column5]]), deployment_raw[[#This Row],[Column5]],"")</f>
        <v/>
      </c>
      <c r="F221" s="94" t="str">
        <f>IF(ISNUMBER(deployment_raw[[#This Row],[Column6]]), (deployment_raw[[#This Row],[Column6]] * IF($E$2="Deployment",deployment_raw[[#This Row],[Column5]],1)),"")</f>
        <v/>
      </c>
      <c r="G221" s="95" t="str">
        <f>IF(ISNUMBER(deployment_raw[[#This Row],[Column7]]), (deployment_raw[[#This Row],[Column7]] * IF($E$2="Deployment",deployment_raw[[#This Row],[Column5]],1))/1048576,"")</f>
        <v/>
      </c>
      <c r="H221" s="95" t="str">
        <f>IF(ISNUMBER(deployment_raw[[#This Row],[Column8]]), (deployment_raw[[#This Row],[Column8]]  * IF($E$2="Deployment",deployment_raw[[#This Row],[Column5]],1)),"")</f>
        <v/>
      </c>
      <c r="I221" s="96" t="str">
        <f>IF(ISNUMBER(deployment_raw[[#This Row],[Column9]]), (deployment_raw[[#This Row],[Column9]] * IF($E$2="Deployment",deployment_raw[[#This Row],[Column5]],1))/1048576,"")</f>
        <v/>
      </c>
      <c r="J221" s="122" t="str">
        <f>IF(ISNUMBER(deployment_raw[[#This Row],[Column10]]), (MIN(IF(N221&lt;&gt;"",N221,9999999999999)*1.1,deployment_raw[[#This Row],[Column10]] * IF($E$2="Deployment",deployment_raw[[#This Row],[Column5]],1))),"")</f>
        <v/>
      </c>
      <c r="K221" s="123" t="str">
        <f>IF(ISNUMBER(deployment_raw[[#This Row],[Column11]]), (MIN(IF(O221&lt;&gt;"",O221,9999999999999)*1.1,deployment_raw[[#This Row],[Column11]] * IF($E$2="Deployment",deployment_raw[[#This Row],[Column5]],1)/1048576)),"")</f>
        <v/>
      </c>
      <c r="L221" s="124" t="str">
        <f>IF(ISNUMBER(deployment_raw[[#This Row],[Column8]]),IF(OR(deployment_raw[[#This Row],[Column5]] &lt;&gt; 0,$E$2 &lt;&gt; "Deployment"), MAX(J221, P221, R221, ($L$2 * IF($E$2="Deployment",deployment_raw[[#This Row],[Column5]],1)),IF(T221&lt;&gt;"",VALUE(T221) * IF($E$2="Deployment",deployment_raw[[#This Row],[Column5]],1),0)), 0),"")</f>
        <v/>
      </c>
      <c r="M221" s="125" t="str">
        <f>IF(ISNUMBER(deployment_raw[[#This Row],[Column9]]),IF(OR(deployment_raw[[#This Row],[Column5]] &lt;&gt; 0,$E$2&lt;&gt;"Deployment"), MAX(K221, Q221, S221, ($M$2 * IF($E$2="Deployment",deployment_raw[[#This Row],[Column5]],1)),IF(U221&lt;&gt;"",VALUE(U221) * IF($E$2="Deployment",deployment_raw[[#This Row],[Column5]],1),0)), 0),"")</f>
        <v/>
      </c>
      <c r="N221" s="166" t="str">
        <f>IF(ISNUMBER(deployment_raw[[#This Row],[Column14]]), deployment_raw[[#This Row],[Column14]]/IF(OR($E$2="Deployment",deployment_raw[[#This Row],[Column5]]=0),1,deployment_raw[[#This Row],[Column5]]),"")</f>
        <v/>
      </c>
      <c r="O221" s="167" t="str">
        <f>IF(ISNUMBER(deployment_raw[[#This Row],[Column15]]), deployment_raw[[#This Row],[Column15]]/IF(OR($E$2="Deployment",deployment_raw[[#This Row],[Column5]]=0),1,deployment_raw[[#This Row],[Column5]])/1048576,"")</f>
        <v/>
      </c>
      <c r="P221" s="168" t="str">
        <f>IF(ISNUMBER(deployment_raw[[#This Row],[Column12]]), (MIN(IF(N221&lt;&gt;"",N221,9999999999999)*1.1,deployment_raw[[#This Row],[Column12]] * IF($E$2="Deployment",deployment_raw[[#This Row],[Column5]],1))*(1+$P$2)),"")</f>
        <v/>
      </c>
      <c r="Q221" s="167" t="str">
        <f>IF(ISNUMBER(deployment_raw[[#This Row],[Column13]]), (MIN(IF(O221&lt;&gt;"",O221,9999999999999)*1.1,deployment_raw[[#This Row],[Column13]] * IF($E$2="Deployment",deployment_raw[[#This Row],[Column5]],1)*(1+$Q$2)/1048576)),"")</f>
        <v/>
      </c>
      <c r="R221" s="169" t="str">
        <f>IF(ISNUMBER(deployment_raw[[#This Row],[Column8]]), (H221  * IF(N221&lt;&gt;0,$R$2,1)),"")</f>
        <v/>
      </c>
      <c r="S221" s="170" t="str">
        <f>IF(ISNUMBER(deployment_raw[[#This Row],[Column8]]), (I221  * IF(O221&lt;&gt;0,$S$2,1)),"")</f>
        <v/>
      </c>
      <c r="T221" s="202" t="str">
        <f>IF(AND(A221&lt;&gt;"",_xlfn.IFNA(MATCH(A221,'dynamic resource application '!$A$2:$A$100, 0),0)&lt;&gt;0), H221/(IF($E$2="Deployment",E221,1)),"")</f>
        <v/>
      </c>
      <c r="U221" s="211" t="str">
        <f>IF(AND(A221&lt;&gt;"",_xlfn.IFNA(MATCH(A221,'dynamic resource application '!$A$2:$A$100, 0),0)&lt;&gt;0), I221/(IF($E$2="Deployment",E221,1)),"")</f>
        <v/>
      </c>
    </row>
    <row r="222" spans="1:21" ht="15.75" customHeight="1" x14ac:dyDescent="0.25">
      <c r="A222" s="35" t="str">
        <f>IF(ISNONTEXT(deployment_raw[[#This Row],[Column1]]), "", deployment_raw[[#This Row],[Column1]])</f>
        <v/>
      </c>
      <c r="B222" s="36" t="str">
        <f>IF(ISNONTEXT(deployment_raw[[#This Row],[Column2]]), "", deployment_raw[[#This Row],[Column2]])</f>
        <v/>
      </c>
      <c r="C222" s="36" t="str">
        <f>IF(ISNONTEXT(deployment_raw[[#This Row],[Column3]]), "", deployment_raw[[#This Row],[Column3]])</f>
        <v/>
      </c>
      <c r="D222" s="36" t="str">
        <f>IF(ISNONTEXT(deployment_raw[[#This Row],[Column4]]), "", deployment_raw[[#This Row],[Column4]])</f>
        <v/>
      </c>
      <c r="E222" s="37" t="str">
        <f>IF(ISNUMBER(deployment_raw[[#This Row],[Column5]]), deployment_raw[[#This Row],[Column5]],"")</f>
        <v/>
      </c>
      <c r="F222" s="94" t="str">
        <f>IF(ISNUMBER(deployment_raw[[#This Row],[Column6]]), (deployment_raw[[#This Row],[Column6]] * IF($E$2="Deployment",deployment_raw[[#This Row],[Column5]],1)),"")</f>
        <v/>
      </c>
      <c r="G222" s="95" t="str">
        <f>IF(ISNUMBER(deployment_raw[[#This Row],[Column7]]), (deployment_raw[[#This Row],[Column7]] * IF($E$2="Deployment",deployment_raw[[#This Row],[Column5]],1))/1048576,"")</f>
        <v/>
      </c>
      <c r="H222" s="95" t="str">
        <f>IF(ISNUMBER(deployment_raw[[#This Row],[Column8]]), (deployment_raw[[#This Row],[Column8]]  * IF($E$2="Deployment",deployment_raw[[#This Row],[Column5]],1)),"")</f>
        <v/>
      </c>
      <c r="I222" s="96" t="str">
        <f>IF(ISNUMBER(deployment_raw[[#This Row],[Column9]]), (deployment_raw[[#This Row],[Column9]] * IF($E$2="Deployment",deployment_raw[[#This Row],[Column5]],1))/1048576,"")</f>
        <v/>
      </c>
      <c r="J222" s="122" t="str">
        <f>IF(ISNUMBER(deployment_raw[[#This Row],[Column10]]), (MIN(IF(N222&lt;&gt;"",N222,9999999999999)*1.1,deployment_raw[[#This Row],[Column10]] * IF($E$2="Deployment",deployment_raw[[#This Row],[Column5]],1))),"")</f>
        <v/>
      </c>
      <c r="K222" s="123" t="str">
        <f>IF(ISNUMBER(deployment_raw[[#This Row],[Column11]]), (MIN(IF(O222&lt;&gt;"",O222,9999999999999)*1.1,deployment_raw[[#This Row],[Column11]] * IF($E$2="Deployment",deployment_raw[[#This Row],[Column5]],1)/1048576)),"")</f>
        <v/>
      </c>
      <c r="L222" s="124" t="str">
        <f>IF(ISNUMBER(deployment_raw[[#This Row],[Column8]]),IF(OR(deployment_raw[[#This Row],[Column5]] &lt;&gt; 0,$E$2 &lt;&gt; "Deployment"), MAX(J222, P222, R222, ($L$2 * IF($E$2="Deployment",deployment_raw[[#This Row],[Column5]],1)),IF(T222&lt;&gt;"",VALUE(T222) * IF($E$2="Deployment",deployment_raw[[#This Row],[Column5]],1),0)), 0),"")</f>
        <v/>
      </c>
      <c r="M222" s="125" t="str">
        <f>IF(ISNUMBER(deployment_raw[[#This Row],[Column9]]),IF(OR(deployment_raw[[#This Row],[Column5]] &lt;&gt; 0,$E$2&lt;&gt;"Deployment"), MAX(K222, Q222, S222, ($M$2 * IF($E$2="Deployment",deployment_raw[[#This Row],[Column5]],1)),IF(U222&lt;&gt;"",VALUE(U222) * IF($E$2="Deployment",deployment_raw[[#This Row],[Column5]],1),0)), 0),"")</f>
        <v/>
      </c>
      <c r="N222" s="166" t="str">
        <f>IF(ISNUMBER(deployment_raw[[#This Row],[Column14]]), deployment_raw[[#This Row],[Column14]]/IF(OR($E$2="Deployment",deployment_raw[[#This Row],[Column5]]=0),1,deployment_raw[[#This Row],[Column5]]),"")</f>
        <v/>
      </c>
      <c r="O222" s="167" t="str">
        <f>IF(ISNUMBER(deployment_raw[[#This Row],[Column15]]), deployment_raw[[#This Row],[Column15]]/IF(OR($E$2="Deployment",deployment_raw[[#This Row],[Column5]]=0),1,deployment_raw[[#This Row],[Column5]])/1048576,"")</f>
        <v/>
      </c>
      <c r="P222" s="168" t="str">
        <f>IF(ISNUMBER(deployment_raw[[#This Row],[Column12]]), (MIN(IF(N222&lt;&gt;"",N222,9999999999999)*1.1,deployment_raw[[#This Row],[Column12]] * IF($E$2="Deployment",deployment_raw[[#This Row],[Column5]],1))*(1+$P$2)),"")</f>
        <v/>
      </c>
      <c r="Q222" s="167" t="str">
        <f>IF(ISNUMBER(deployment_raw[[#This Row],[Column13]]), (MIN(IF(O222&lt;&gt;"",O222,9999999999999)*1.1,deployment_raw[[#This Row],[Column13]] * IF($E$2="Deployment",deployment_raw[[#This Row],[Column5]],1)*(1+$Q$2)/1048576)),"")</f>
        <v/>
      </c>
      <c r="R222" s="169" t="str">
        <f>IF(ISNUMBER(deployment_raw[[#This Row],[Column8]]), (H222  * IF(N222&lt;&gt;0,$R$2,1)),"")</f>
        <v/>
      </c>
      <c r="S222" s="170" t="str">
        <f>IF(ISNUMBER(deployment_raw[[#This Row],[Column8]]), (I222  * IF(O222&lt;&gt;0,$S$2,1)),"")</f>
        <v/>
      </c>
      <c r="T222" s="202" t="str">
        <f>IF(AND(A222&lt;&gt;"",_xlfn.IFNA(MATCH(A222,'dynamic resource application '!$A$2:$A$100, 0),0)&lt;&gt;0), H222/(IF($E$2="Deployment",E222,1)),"")</f>
        <v/>
      </c>
      <c r="U222" s="211" t="str">
        <f>IF(AND(A222&lt;&gt;"",_xlfn.IFNA(MATCH(A222,'dynamic resource application '!$A$2:$A$100, 0),0)&lt;&gt;0), I222/(IF($E$2="Deployment",E222,1)),"")</f>
        <v/>
      </c>
    </row>
    <row r="223" spans="1:21" ht="15.75" customHeight="1" x14ac:dyDescent="0.25">
      <c r="A223" s="35" t="str">
        <f>IF(ISNONTEXT(deployment_raw[[#This Row],[Column1]]), "", deployment_raw[[#This Row],[Column1]])</f>
        <v/>
      </c>
      <c r="B223" s="36" t="str">
        <f>IF(ISNONTEXT(deployment_raw[[#This Row],[Column2]]), "", deployment_raw[[#This Row],[Column2]])</f>
        <v/>
      </c>
      <c r="C223" s="36" t="str">
        <f>IF(ISNONTEXT(deployment_raw[[#This Row],[Column3]]), "", deployment_raw[[#This Row],[Column3]])</f>
        <v/>
      </c>
      <c r="D223" s="36" t="str">
        <f>IF(ISNONTEXT(deployment_raw[[#This Row],[Column4]]), "", deployment_raw[[#This Row],[Column4]])</f>
        <v/>
      </c>
      <c r="E223" s="37" t="str">
        <f>IF(ISNUMBER(deployment_raw[[#This Row],[Column5]]), deployment_raw[[#This Row],[Column5]],"")</f>
        <v/>
      </c>
      <c r="F223" s="94" t="str">
        <f>IF(ISNUMBER(deployment_raw[[#This Row],[Column6]]), (deployment_raw[[#This Row],[Column6]] * IF($E$2="Deployment",deployment_raw[[#This Row],[Column5]],1)),"")</f>
        <v/>
      </c>
      <c r="G223" s="95" t="str">
        <f>IF(ISNUMBER(deployment_raw[[#This Row],[Column7]]), (deployment_raw[[#This Row],[Column7]] * IF($E$2="Deployment",deployment_raw[[#This Row],[Column5]],1))/1048576,"")</f>
        <v/>
      </c>
      <c r="H223" s="95" t="str">
        <f>IF(ISNUMBER(deployment_raw[[#This Row],[Column8]]), (deployment_raw[[#This Row],[Column8]]  * IF($E$2="Deployment",deployment_raw[[#This Row],[Column5]],1)),"")</f>
        <v/>
      </c>
      <c r="I223" s="96" t="str">
        <f>IF(ISNUMBER(deployment_raw[[#This Row],[Column9]]), (deployment_raw[[#This Row],[Column9]] * IF($E$2="Deployment",deployment_raw[[#This Row],[Column5]],1))/1048576,"")</f>
        <v/>
      </c>
      <c r="J223" s="122" t="str">
        <f>IF(ISNUMBER(deployment_raw[[#This Row],[Column10]]), (MIN(IF(N223&lt;&gt;"",N223,9999999999999)*1.1,deployment_raw[[#This Row],[Column10]] * IF($E$2="Deployment",deployment_raw[[#This Row],[Column5]],1))),"")</f>
        <v/>
      </c>
      <c r="K223" s="123" t="str">
        <f>IF(ISNUMBER(deployment_raw[[#This Row],[Column11]]), (MIN(IF(O223&lt;&gt;"",O223,9999999999999)*1.1,deployment_raw[[#This Row],[Column11]] * IF($E$2="Deployment",deployment_raw[[#This Row],[Column5]],1)/1048576)),"")</f>
        <v/>
      </c>
      <c r="L223" s="124" t="str">
        <f>IF(ISNUMBER(deployment_raw[[#This Row],[Column8]]),IF(OR(deployment_raw[[#This Row],[Column5]] &lt;&gt; 0,$E$2 &lt;&gt; "Deployment"), MAX(J223, P223, R223, ($L$2 * IF($E$2="Deployment",deployment_raw[[#This Row],[Column5]],1)),IF(T223&lt;&gt;"",VALUE(T223) * IF($E$2="Deployment",deployment_raw[[#This Row],[Column5]],1),0)), 0),"")</f>
        <v/>
      </c>
      <c r="M223" s="125" t="str">
        <f>IF(ISNUMBER(deployment_raw[[#This Row],[Column9]]),IF(OR(deployment_raw[[#This Row],[Column5]] &lt;&gt; 0,$E$2&lt;&gt;"Deployment"), MAX(K223, Q223, S223, ($M$2 * IF($E$2="Deployment",deployment_raw[[#This Row],[Column5]],1)),IF(U223&lt;&gt;"",VALUE(U223) * IF($E$2="Deployment",deployment_raw[[#This Row],[Column5]],1),0)), 0),"")</f>
        <v/>
      </c>
      <c r="N223" s="166" t="str">
        <f>IF(ISNUMBER(deployment_raw[[#This Row],[Column14]]), deployment_raw[[#This Row],[Column14]]/IF(OR($E$2="Deployment",deployment_raw[[#This Row],[Column5]]=0),1,deployment_raw[[#This Row],[Column5]]),"")</f>
        <v/>
      </c>
      <c r="O223" s="167" t="str">
        <f>IF(ISNUMBER(deployment_raw[[#This Row],[Column15]]), deployment_raw[[#This Row],[Column15]]/IF(OR($E$2="Deployment",deployment_raw[[#This Row],[Column5]]=0),1,deployment_raw[[#This Row],[Column5]])/1048576,"")</f>
        <v/>
      </c>
      <c r="P223" s="168" t="str">
        <f>IF(ISNUMBER(deployment_raw[[#This Row],[Column12]]), (MIN(IF(N223&lt;&gt;"",N223,9999999999999)*1.1,deployment_raw[[#This Row],[Column12]] * IF($E$2="Deployment",deployment_raw[[#This Row],[Column5]],1))*(1+$P$2)),"")</f>
        <v/>
      </c>
      <c r="Q223" s="167" t="str">
        <f>IF(ISNUMBER(deployment_raw[[#This Row],[Column13]]), (MIN(IF(O223&lt;&gt;"",O223,9999999999999)*1.1,deployment_raw[[#This Row],[Column13]] * IF($E$2="Deployment",deployment_raw[[#This Row],[Column5]],1)*(1+$Q$2)/1048576)),"")</f>
        <v/>
      </c>
      <c r="R223" s="169" t="str">
        <f>IF(ISNUMBER(deployment_raw[[#This Row],[Column8]]), (H223  * IF(N223&lt;&gt;0,$R$2,1)),"")</f>
        <v/>
      </c>
      <c r="S223" s="170" t="str">
        <f>IF(ISNUMBER(deployment_raw[[#This Row],[Column8]]), (I223  * IF(O223&lt;&gt;0,$S$2,1)),"")</f>
        <v/>
      </c>
      <c r="T223" s="202" t="str">
        <f>IF(AND(A223&lt;&gt;"",_xlfn.IFNA(MATCH(A223,'dynamic resource application '!$A$2:$A$100, 0),0)&lt;&gt;0), H223/(IF($E$2="Deployment",E223,1)),"")</f>
        <v/>
      </c>
      <c r="U223" s="211" t="str">
        <f>IF(AND(A223&lt;&gt;"",_xlfn.IFNA(MATCH(A223,'dynamic resource application '!$A$2:$A$100, 0),0)&lt;&gt;0), I223/(IF($E$2="Deployment",E223,1)),"")</f>
        <v/>
      </c>
    </row>
    <row r="224" spans="1:21" ht="15.75" customHeight="1" x14ac:dyDescent="0.25">
      <c r="A224" s="35" t="str">
        <f>IF(ISNONTEXT(deployment_raw[[#This Row],[Column1]]), "", deployment_raw[[#This Row],[Column1]])</f>
        <v/>
      </c>
      <c r="B224" s="36" t="str">
        <f>IF(ISNONTEXT(deployment_raw[[#This Row],[Column2]]), "", deployment_raw[[#This Row],[Column2]])</f>
        <v/>
      </c>
      <c r="C224" s="36" t="str">
        <f>IF(ISNONTEXT(deployment_raw[[#This Row],[Column3]]), "", deployment_raw[[#This Row],[Column3]])</f>
        <v/>
      </c>
      <c r="D224" s="36" t="str">
        <f>IF(ISNONTEXT(deployment_raw[[#This Row],[Column4]]), "", deployment_raw[[#This Row],[Column4]])</f>
        <v/>
      </c>
      <c r="E224" s="37" t="str">
        <f>IF(ISNUMBER(deployment_raw[[#This Row],[Column5]]), deployment_raw[[#This Row],[Column5]],"")</f>
        <v/>
      </c>
      <c r="F224" s="94" t="str">
        <f>IF(ISNUMBER(deployment_raw[[#This Row],[Column6]]), (deployment_raw[[#This Row],[Column6]] * IF($E$2="Deployment",deployment_raw[[#This Row],[Column5]],1)),"")</f>
        <v/>
      </c>
      <c r="G224" s="95" t="str">
        <f>IF(ISNUMBER(deployment_raw[[#This Row],[Column7]]), (deployment_raw[[#This Row],[Column7]] * IF($E$2="Deployment",deployment_raw[[#This Row],[Column5]],1))/1048576,"")</f>
        <v/>
      </c>
      <c r="H224" s="95" t="str">
        <f>IF(ISNUMBER(deployment_raw[[#This Row],[Column8]]), (deployment_raw[[#This Row],[Column8]]  * IF($E$2="Deployment",deployment_raw[[#This Row],[Column5]],1)),"")</f>
        <v/>
      </c>
      <c r="I224" s="96" t="str">
        <f>IF(ISNUMBER(deployment_raw[[#This Row],[Column9]]), (deployment_raw[[#This Row],[Column9]] * IF($E$2="Deployment",deployment_raw[[#This Row],[Column5]],1))/1048576,"")</f>
        <v/>
      </c>
      <c r="J224" s="122" t="str">
        <f>IF(ISNUMBER(deployment_raw[[#This Row],[Column10]]), (MIN(IF(N224&lt;&gt;"",N224,9999999999999)*1.1,deployment_raw[[#This Row],[Column10]] * IF($E$2="Deployment",deployment_raw[[#This Row],[Column5]],1))),"")</f>
        <v/>
      </c>
      <c r="K224" s="123" t="str">
        <f>IF(ISNUMBER(deployment_raw[[#This Row],[Column11]]), (MIN(IF(O224&lt;&gt;"",O224,9999999999999)*1.1,deployment_raw[[#This Row],[Column11]] * IF($E$2="Deployment",deployment_raw[[#This Row],[Column5]],1)/1048576)),"")</f>
        <v/>
      </c>
      <c r="L224" s="124" t="str">
        <f>IF(ISNUMBER(deployment_raw[[#This Row],[Column8]]),IF(OR(deployment_raw[[#This Row],[Column5]] &lt;&gt; 0,$E$2 &lt;&gt; "Deployment"), MAX(J224, P224, R224, ($L$2 * IF($E$2="Deployment",deployment_raw[[#This Row],[Column5]],1)),IF(T224&lt;&gt;"",VALUE(T224) * IF($E$2="Deployment",deployment_raw[[#This Row],[Column5]],1),0)), 0),"")</f>
        <v/>
      </c>
      <c r="M224" s="125" t="str">
        <f>IF(ISNUMBER(deployment_raw[[#This Row],[Column9]]),IF(OR(deployment_raw[[#This Row],[Column5]] &lt;&gt; 0,$E$2&lt;&gt;"Deployment"), MAX(K224, Q224, S224, ($M$2 * IF($E$2="Deployment",deployment_raw[[#This Row],[Column5]],1)),IF(U224&lt;&gt;"",VALUE(U224) * IF($E$2="Deployment",deployment_raw[[#This Row],[Column5]],1),0)), 0),"")</f>
        <v/>
      </c>
      <c r="N224" s="166" t="str">
        <f>IF(ISNUMBER(deployment_raw[[#This Row],[Column14]]), deployment_raw[[#This Row],[Column14]]/IF(OR($E$2="Deployment",deployment_raw[[#This Row],[Column5]]=0),1,deployment_raw[[#This Row],[Column5]]),"")</f>
        <v/>
      </c>
      <c r="O224" s="167" t="str">
        <f>IF(ISNUMBER(deployment_raw[[#This Row],[Column15]]), deployment_raw[[#This Row],[Column15]]/IF(OR($E$2="Deployment",deployment_raw[[#This Row],[Column5]]=0),1,deployment_raw[[#This Row],[Column5]])/1048576,"")</f>
        <v/>
      </c>
      <c r="P224" s="168" t="str">
        <f>IF(ISNUMBER(deployment_raw[[#This Row],[Column12]]), (MIN(IF(N224&lt;&gt;"",N224,9999999999999)*1.1,deployment_raw[[#This Row],[Column12]] * IF($E$2="Deployment",deployment_raw[[#This Row],[Column5]],1))*(1+$P$2)),"")</f>
        <v/>
      </c>
      <c r="Q224" s="167" t="str">
        <f>IF(ISNUMBER(deployment_raw[[#This Row],[Column13]]), (MIN(IF(O224&lt;&gt;"",O224,9999999999999)*1.1,deployment_raw[[#This Row],[Column13]] * IF($E$2="Deployment",deployment_raw[[#This Row],[Column5]],1)*(1+$Q$2)/1048576)),"")</f>
        <v/>
      </c>
      <c r="R224" s="169" t="str">
        <f>IF(ISNUMBER(deployment_raw[[#This Row],[Column8]]), (H224  * IF(N224&lt;&gt;0,$R$2,1)),"")</f>
        <v/>
      </c>
      <c r="S224" s="170" t="str">
        <f>IF(ISNUMBER(deployment_raw[[#This Row],[Column8]]), (I224  * IF(O224&lt;&gt;0,$S$2,1)),"")</f>
        <v/>
      </c>
      <c r="T224" s="202" t="str">
        <f>IF(AND(A224&lt;&gt;"",_xlfn.IFNA(MATCH(A224,'dynamic resource application '!$A$2:$A$100, 0),0)&lt;&gt;0), H224/(IF($E$2="Deployment",E224,1)),"")</f>
        <v/>
      </c>
      <c r="U224" s="211" t="str">
        <f>IF(AND(A224&lt;&gt;"",_xlfn.IFNA(MATCH(A224,'dynamic resource application '!$A$2:$A$100, 0),0)&lt;&gt;0), I224/(IF($E$2="Deployment",E224,1)),"")</f>
        <v/>
      </c>
    </row>
    <row r="225" spans="1:21" ht="15.75" customHeight="1" x14ac:dyDescent="0.25">
      <c r="A225" s="35" t="str">
        <f>IF(ISNONTEXT(deployment_raw[[#This Row],[Column1]]), "", deployment_raw[[#This Row],[Column1]])</f>
        <v/>
      </c>
      <c r="B225" s="36" t="str">
        <f>IF(ISNONTEXT(deployment_raw[[#This Row],[Column2]]), "", deployment_raw[[#This Row],[Column2]])</f>
        <v/>
      </c>
      <c r="C225" s="36" t="str">
        <f>IF(ISNONTEXT(deployment_raw[[#This Row],[Column3]]), "", deployment_raw[[#This Row],[Column3]])</f>
        <v/>
      </c>
      <c r="D225" s="36" t="str">
        <f>IF(ISNONTEXT(deployment_raw[[#This Row],[Column4]]), "", deployment_raw[[#This Row],[Column4]])</f>
        <v/>
      </c>
      <c r="E225" s="37" t="str">
        <f>IF(ISNUMBER(deployment_raw[[#This Row],[Column5]]), deployment_raw[[#This Row],[Column5]],"")</f>
        <v/>
      </c>
      <c r="F225" s="94" t="str">
        <f>IF(ISNUMBER(deployment_raw[[#This Row],[Column6]]), (deployment_raw[[#This Row],[Column6]] * IF($E$2="Deployment",deployment_raw[[#This Row],[Column5]],1)),"")</f>
        <v/>
      </c>
      <c r="G225" s="95" t="str">
        <f>IF(ISNUMBER(deployment_raw[[#This Row],[Column7]]), (deployment_raw[[#This Row],[Column7]] * IF($E$2="Deployment",deployment_raw[[#This Row],[Column5]],1))/1048576,"")</f>
        <v/>
      </c>
      <c r="H225" s="95" t="str">
        <f>IF(ISNUMBER(deployment_raw[[#This Row],[Column8]]), (deployment_raw[[#This Row],[Column8]]  * IF($E$2="Deployment",deployment_raw[[#This Row],[Column5]],1)),"")</f>
        <v/>
      </c>
      <c r="I225" s="96" t="str">
        <f>IF(ISNUMBER(deployment_raw[[#This Row],[Column9]]), (deployment_raw[[#This Row],[Column9]] * IF($E$2="Deployment",deployment_raw[[#This Row],[Column5]],1))/1048576,"")</f>
        <v/>
      </c>
      <c r="J225" s="122" t="str">
        <f>IF(ISNUMBER(deployment_raw[[#This Row],[Column10]]), (MIN(IF(N225&lt;&gt;"",N225,9999999999999)*1.1,deployment_raw[[#This Row],[Column10]] * IF($E$2="Deployment",deployment_raw[[#This Row],[Column5]],1))),"")</f>
        <v/>
      </c>
      <c r="K225" s="123" t="str">
        <f>IF(ISNUMBER(deployment_raw[[#This Row],[Column11]]), (MIN(IF(O225&lt;&gt;"",O225,9999999999999)*1.1,deployment_raw[[#This Row],[Column11]] * IF($E$2="Deployment",deployment_raw[[#This Row],[Column5]],1)/1048576)),"")</f>
        <v/>
      </c>
      <c r="L225" s="124" t="str">
        <f>IF(ISNUMBER(deployment_raw[[#This Row],[Column8]]),IF(OR(deployment_raw[[#This Row],[Column5]] &lt;&gt; 0,$E$2 &lt;&gt; "Deployment"), MAX(J225, P225, R225, ($L$2 * IF($E$2="Deployment",deployment_raw[[#This Row],[Column5]],1)),IF(T225&lt;&gt;"",VALUE(T225) * IF($E$2="Deployment",deployment_raw[[#This Row],[Column5]],1),0)), 0),"")</f>
        <v/>
      </c>
      <c r="M225" s="125" t="str">
        <f>IF(ISNUMBER(deployment_raw[[#This Row],[Column9]]),IF(OR(deployment_raw[[#This Row],[Column5]] &lt;&gt; 0,$E$2&lt;&gt;"Deployment"), MAX(K225, Q225, S225, ($M$2 * IF($E$2="Deployment",deployment_raw[[#This Row],[Column5]],1)),IF(U225&lt;&gt;"",VALUE(U225) * IF($E$2="Deployment",deployment_raw[[#This Row],[Column5]],1),0)), 0),"")</f>
        <v/>
      </c>
      <c r="N225" s="166" t="str">
        <f>IF(ISNUMBER(deployment_raw[[#This Row],[Column14]]), deployment_raw[[#This Row],[Column14]]/IF(OR($E$2="Deployment",deployment_raw[[#This Row],[Column5]]=0),1,deployment_raw[[#This Row],[Column5]]),"")</f>
        <v/>
      </c>
      <c r="O225" s="167" t="str">
        <f>IF(ISNUMBER(deployment_raw[[#This Row],[Column15]]), deployment_raw[[#This Row],[Column15]]/IF(OR($E$2="Deployment",deployment_raw[[#This Row],[Column5]]=0),1,deployment_raw[[#This Row],[Column5]])/1048576,"")</f>
        <v/>
      </c>
      <c r="P225" s="168" t="str">
        <f>IF(ISNUMBER(deployment_raw[[#This Row],[Column12]]), (MIN(IF(N225&lt;&gt;"",N225,9999999999999)*1.1,deployment_raw[[#This Row],[Column12]] * IF($E$2="Deployment",deployment_raw[[#This Row],[Column5]],1))*(1+$P$2)),"")</f>
        <v/>
      </c>
      <c r="Q225" s="167" t="str">
        <f>IF(ISNUMBER(deployment_raw[[#This Row],[Column13]]), (MIN(IF(O225&lt;&gt;"",O225,9999999999999)*1.1,deployment_raw[[#This Row],[Column13]] * IF($E$2="Deployment",deployment_raw[[#This Row],[Column5]],1)*(1+$Q$2)/1048576)),"")</f>
        <v/>
      </c>
      <c r="R225" s="169" t="str">
        <f>IF(ISNUMBER(deployment_raw[[#This Row],[Column8]]), (H225  * IF(N225&lt;&gt;0,$R$2,1)),"")</f>
        <v/>
      </c>
      <c r="S225" s="170" t="str">
        <f>IF(ISNUMBER(deployment_raw[[#This Row],[Column8]]), (I225  * IF(O225&lt;&gt;0,$S$2,1)),"")</f>
        <v/>
      </c>
      <c r="T225" s="202" t="str">
        <f>IF(AND(A225&lt;&gt;"",_xlfn.IFNA(MATCH(A225,'dynamic resource application '!$A$2:$A$100, 0),0)&lt;&gt;0), H225/(IF($E$2="Deployment",E225,1)),"")</f>
        <v/>
      </c>
      <c r="U225" s="211" t="str">
        <f>IF(AND(A225&lt;&gt;"",_xlfn.IFNA(MATCH(A225,'dynamic resource application '!$A$2:$A$100, 0),0)&lt;&gt;0), I225/(IF($E$2="Deployment",E225,1)),"")</f>
        <v/>
      </c>
    </row>
    <row r="226" spans="1:21" ht="15.75" customHeight="1" x14ac:dyDescent="0.25">
      <c r="A226" s="35" t="str">
        <f>IF(ISNONTEXT(deployment_raw[[#This Row],[Column1]]), "", deployment_raw[[#This Row],[Column1]])</f>
        <v/>
      </c>
      <c r="B226" s="36" t="str">
        <f>IF(ISNONTEXT(deployment_raw[[#This Row],[Column2]]), "", deployment_raw[[#This Row],[Column2]])</f>
        <v/>
      </c>
      <c r="C226" s="36" t="str">
        <f>IF(ISNONTEXT(deployment_raw[[#This Row],[Column3]]), "", deployment_raw[[#This Row],[Column3]])</f>
        <v/>
      </c>
      <c r="D226" s="36" t="str">
        <f>IF(ISNONTEXT(deployment_raw[[#This Row],[Column4]]), "", deployment_raw[[#This Row],[Column4]])</f>
        <v/>
      </c>
      <c r="E226" s="37" t="str">
        <f>IF(ISNUMBER(deployment_raw[[#This Row],[Column5]]), deployment_raw[[#This Row],[Column5]],"")</f>
        <v/>
      </c>
      <c r="F226" s="94" t="str">
        <f>IF(ISNUMBER(deployment_raw[[#This Row],[Column6]]), (deployment_raw[[#This Row],[Column6]] * IF($E$2="Deployment",deployment_raw[[#This Row],[Column5]],1)),"")</f>
        <v/>
      </c>
      <c r="G226" s="95" t="str">
        <f>IF(ISNUMBER(deployment_raw[[#This Row],[Column7]]), (deployment_raw[[#This Row],[Column7]] * IF($E$2="Deployment",deployment_raw[[#This Row],[Column5]],1))/1048576,"")</f>
        <v/>
      </c>
      <c r="H226" s="95" t="str">
        <f>IF(ISNUMBER(deployment_raw[[#This Row],[Column8]]), (deployment_raw[[#This Row],[Column8]]  * IF($E$2="Deployment",deployment_raw[[#This Row],[Column5]],1)),"")</f>
        <v/>
      </c>
      <c r="I226" s="96" t="str">
        <f>IF(ISNUMBER(deployment_raw[[#This Row],[Column9]]), (deployment_raw[[#This Row],[Column9]] * IF($E$2="Deployment",deployment_raw[[#This Row],[Column5]],1))/1048576,"")</f>
        <v/>
      </c>
      <c r="J226" s="122" t="str">
        <f>IF(ISNUMBER(deployment_raw[[#This Row],[Column10]]), (MIN(IF(N226&lt;&gt;"",N226,9999999999999)*1.1,deployment_raw[[#This Row],[Column10]] * IF($E$2="Deployment",deployment_raw[[#This Row],[Column5]],1))),"")</f>
        <v/>
      </c>
      <c r="K226" s="123" t="str">
        <f>IF(ISNUMBER(deployment_raw[[#This Row],[Column11]]), (MIN(IF(O226&lt;&gt;"",O226,9999999999999)*1.1,deployment_raw[[#This Row],[Column11]] * IF($E$2="Deployment",deployment_raw[[#This Row],[Column5]],1)/1048576)),"")</f>
        <v/>
      </c>
      <c r="L226" s="124" t="str">
        <f>IF(ISNUMBER(deployment_raw[[#This Row],[Column8]]),IF(OR(deployment_raw[[#This Row],[Column5]] &lt;&gt; 0,$E$2 &lt;&gt; "Deployment"), MAX(J226, P226, R226, ($L$2 * IF($E$2="Deployment",deployment_raw[[#This Row],[Column5]],1)),IF(T226&lt;&gt;"",VALUE(T226) * IF($E$2="Deployment",deployment_raw[[#This Row],[Column5]],1),0)), 0),"")</f>
        <v/>
      </c>
      <c r="M226" s="125" t="str">
        <f>IF(ISNUMBER(deployment_raw[[#This Row],[Column9]]),IF(OR(deployment_raw[[#This Row],[Column5]] &lt;&gt; 0,$E$2&lt;&gt;"Deployment"), MAX(K226, Q226, S226, ($M$2 * IF($E$2="Deployment",deployment_raw[[#This Row],[Column5]],1)),IF(U226&lt;&gt;"",VALUE(U226) * IF($E$2="Deployment",deployment_raw[[#This Row],[Column5]],1),0)), 0),"")</f>
        <v/>
      </c>
      <c r="N226" s="166" t="str">
        <f>IF(ISNUMBER(deployment_raw[[#This Row],[Column14]]), deployment_raw[[#This Row],[Column14]]/IF(OR($E$2="Deployment",deployment_raw[[#This Row],[Column5]]=0),1,deployment_raw[[#This Row],[Column5]]),"")</f>
        <v/>
      </c>
      <c r="O226" s="167" t="str">
        <f>IF(ISNUMBER(deployment_raw[[#This Row],[Column15]]), deployment_raw[[#This Row],[Column15]]/IF(OR($E$2="Deployment",deployment_raw[[#This Row],[Column5]]=0),1,deployment_raw[[#This Row],[Column5]])/1048576,"")</f>
        <v/>
      </c>
      <c r="P226" s="168" t="str">
        <f>IF(ISNUMBER(deployment_raw[[#This Row],[Column12]]), (MIN(IF(N226&lt;&gt;"",N226,9999999999999)*1.1,deployment_raw[[#This Row],[Column12]] * IF($E$2="Deployment",deployment_raw[[#This Row],[Column5]],1))*(1+$P$2)),"")</f>
        <v/>
      </c>
      <c r="Q226" s="167" t="str">
        <f>IF(ISNUMBER(deployment_raw[[#This Row],[Column13]]), (MIN(IF(O226&lt;&gt;"",O226,9999999999999)*1.1,deployment_raw[[#This Row],[Column13]] * IF($E$2="Deployment",deployment_raw[[#This Row],[Column5]],1)*(1+$Q$2)/1048576)),"")</f>
        <v/>
      </c>
      <c r="R226" s="169" t="str">
        <f>IF(ISNUMBER(deployment_raw[[#This Row],[Column8]]), (H226  * IF(N226&lt;&gt;0,$R$2,1)),"")</f>
        <v/>
      </c>
      <c r="S226" s="170" t="str">
        <f>IF(ISNUMBER(deployment_raw[[#This Row],[Column8]]), (I226  * IF(O226&lt;&gt;0,$S$2,1)),"")</f>
        <v/>
      </c>
      <c r="T226" s="202" t="str">
        <f>IF(AND(A226&lt;&gt;"",_xlfn.IFNA(MATCH(A226,'dynamic resource application '!$A$2:$A$100, 0),0)&lt;&gt;0), H226/(IF($E$2="Deployment",E226,1)),"")</f>
        <v/>
      </c>
      <c r="U226" s="211" t="str">
        <f>IF(AND(A226&lt;&gt;"",_xlfn.IFNA(MATCH(A226,'dynamic resource application '!$A$2:$A$100, 0),0)&lt;&gt;0), I226/(IF($E$2="Deployment",E226,1)),"")</f>
        <v/>
      </c>
    </row>
    <row r="227" spans="1:21" ht="15.75" customHeight="1" x14ac:dyDescent="0.25">
      <c r="A227" s="35" t="str">
        <f>IF(ISNONTEXT(deployment_raw[[#This Row],[Column1]]), "", deployment_raw[[#This Row],[Column1]])</f>
        <v/>
      </c>
      <c r="B227" s="36" t="str">
        <f>IF(ISNONTEXT(deployment_raw[[#This Row],[Column2]]), "", deployment_raw[[#This Row],[Column2]])</f>
        <v/>
      </c>
      <c r="C227" s="36" t="str">
        <f>IF(ISNONTEXT(deployment_raw[[#This Row],[Column3]]), "", deployment_raw[[#This Row],[Column3]])</f>
        <v/>
      </c>
      <c r="D227" s="36" t="str">
        <f>IF(ISNONTEXT(deployment_raw[[#This Row],[Column4]]), "", deployment_raw[[#This Row],[Column4]])</f>
        <v/>
      </c>
      <c r="E227" s="37" t="str">
        <f>IF(ISNUMBER(deployment_raw[[#This Row],[Column5]]), deployment_raw[[#This Row],[Column5]],"")</f>
        <v/>
      </c>
      <c r="F227" s="94" t="str">
        <f>IF(ISNUMBER(deployment_raw[[#This Row],[Column6]]), (deployment_raw[[#This Row],[Column6]] * IF($E$2="Deployment",deployment_raw[[#This Row],[Column5]],1)),"")</f>
        <v/>
      </c>
      <c r="G227" s="95" t="str">
        <f>IF(ISNUMBER(deployment_raw[[#This Row],[Column7]]), (deployment_raw[[#This Row],[Column7]] * IF($E$2="Deployment",deployment_raw[[#This Row],[Column5]],1))/1048576,"")</f>
        <v/>
      </c>
      <c r="H227" s="95" t="str">
        <f>IF(ISNUMBER(deployment_raw[[#This Row],[Column8]]), (deployment_raw[[#This Row],[Column8]]  * IF($E$2="Deployment",deployment_raw[[#This Row],[Column5]],1)),"")</f>
        <v/>
      </c>
      <c r="I227" s="96" t="str">
        <f>IF(ISNUMBER(deployment_raw[[#This Row],[Column9]]), (deployment_raw[[#This Row],[Column9]] * IF($E$2="Deployment",deployment_raw[[#This Row],[Column5]],1))/1048576,"")</f>
        <v/>
      </c>
      <c r="J227" s="122" t="str">
        <f>IF(ISNUMBER(deployment_raw[[#This Row],[Column10]]), (MIN(IF(N227&lt;&gt;"",N227,9999999999999)*1.1,deployment_raw[[#This Row],[Column10]] * IF($E$2="Deployment",deployment_raw[[#This Row],[Column5]],1))),"")</f>
        <v/>
      </c>
      <c r="K227" s="123" t="str">
        <f>IF(ISNUMBER(deployment_raw[[#This Row],[Column11]]), (MIN(IF(O227&lt;&gt;"",O227,9999999999999)*1.1,deployment_raw[[#This Row],[Column11]] * IF($E$2="Deployment",deployment_raw[[#This Row],[Column5]],1)/1048576)),"")</f>
        <v/>
      </c>
      <c r="L227" s="124" t="str">
        <f>IF(ISNUMBER(deployment_raw[[#This Row],[Column8]]),IF(OR(deployment_raw[[#This Row],[Column5]] &lt;&gt; 0,$E$2 &lt;&gt; "Deployment"), MAX(J227, P227, R227, ($L$2 * IF($E$2="Deployment",deployment_raw[[#This Row],[Column5]],1)),IF(T227&lt;&gt;"",VALUE(T227) * IF($E$2="Deployment",deployment_raw[[#This Row],[Column5]],1),0)), 0),"")</f>
        <v/>
      </c>
      <c r="M227" s="125" t="str">
        <f>IF(ISNUMBER(deployment_raw[[#This Row],[Column9]]),IF(OR(deployment_raw[[#This Row],[Column5]] &lt;&gt; 0,$E$2&lt;&gt;"Deployment"), MAX(K227, Q227, S227, ($M$2 * IF($E$2="Deployment",deployment_raw[[#This Row],[Column5]],1)),IF(U227&lt;&gt;"",VALUE(U227) * IF($E$2="Deployment",deployment_raw[[#This Row],[Column5]],1),0)), 0),"")</f>
        <v/>
      </c>
      <c r="N227" s="166" t="str">
        <f>IF(ISNUMBER(deployment_raw[[#This Row],[Column14]]), deployment_raw[[#This Row],[Column14]]/IF(OR($E$2="Deployment",deployment_raw[[#This Row],[Column5]]=0),1,deployment_raw[[#This Row],[Column5]]),"")</f>
        <v/>
      </c>
      <c r="O227" s="167" t="str">
        <f>IF(ISNUMBER(deployment_raw[[#This Row],[Column15]]), deployment_raw[[#This Row],[Column15]]/IF(OR($E$2="Deployment",deployment_raw[[#This Row],[Column5]]=0),1,deployment_raw[[#This Row],[Column5]])/1048576,"")</f>
        <v/>
      </c>
      <c r="P227" s="168" t="str">
        <f>IF(ISNUMBER(deployment_raw[[#This Row],[Column12]]), (MIN(IF(N227&lt;&gt;"",N227,9999999999999)*1.1,deployment_raw[[#This Row],[Column12]] * IF($E$2="Deployment",deployment_raw[[#This Row],[Column5]],1))*(1+$P$2)),"")</f>
        <v/>
      </c>
      <c r="Q227" s="167" t="str">
        <f>IF(ISNUMBER(deployment_raw[[#This Row],[Column13]]), (MIN(IF(O227&lt;&gt;"",O227,9999999999999)*1.1,deployment_raw[[#This Row],[Column13]] * IF($E$2="Deployment",deployment_raw[[#This Row],[Column5]],1)*(1+$Q$2)/1048576)),"")</f>
        <v/>
      </c>
      <c r="R227" s="169" t="str">
        <f>IF(ISNUMBER(deployment_raw[[#This Row],[Column8]]), (H227  * IF(N227&lt;&gt;0,$R$2,1)),"")</f>
        <v/>
      </c>
      <c r="S227" s="170" t="str">
        <f>IF(ISNUMBER(deployment_raw[[#This Row],[Column8]]), (I227  * IF(O227&lt;&gt;0,$S$2,1)),"")</f>
        <v/>
      </c>
      <c r="T227" s="202" t="str">
        <f>IF(AND(A227&lt;&gt;"",_xlfn.IFNA(MATCH(A227,'dynamic resource application '!$A$2:$A$100, 0),0)&lt;&gt;0), H227/(IF($E$2="Deployment",E227,1)),"")</f>
        <v/>
      </c>
      <c r="U227" s="211" t="str">
        <f>IF(AND(A227&lt;&gt;"",_xlfn.IFNA(MATCH(A227,'dynamic resource application '!$A$2:$A$100, 0),0)&lt;&gt;0), I227/(IF($E$2="Deployment",E227,1)),"")</f>
        <v/>
      </c>
    </row>
    <row r="228" spans="1:21" ht="15.75" customHeight="1" x14ac:dyDescent="0.25">
      <c r="A228" s="35" t="str">
        <f>IF(ISNONTEXT(deployment_raw[[#This Row],[Column1]]), "", deployment_raw[[#This Row],[Column1]])</f>
        <v/>
      </c>
      <c r="B228" s="36" t="str">
        <f>IF(ISNONTEXT(deployment_raw[[#This Row],[Column2]]), "", deployment_raw[[#This Row],[Column2]])</f>
        <v/>
      </c>
      <c r="C228" s="36" t="str">
        <f>IF(ISNONTEXT(deployment_raw[[#This Row],[Column3]]), "", deployment_raw[[#This Row],[Column3]])</f>
        <v/>
      </c>
      <c r="D228" s="36" t="str">
        <f>IF(ISNONTEXT(deployment_raw[[#This Row],[Column4]]), "", deployment_raw[[#This Row],[Column4]])</f>
        <v/>
      </c>
      <c r="E228" s="37" t="str">
        <f>IF(ISNUMBER(deployment_raw[[#This Row],[Column5]]), deployment_raw[[#This Row],[Column5]],"")</f>
        <v/>
      </c>
      <c r="F228" s="94" t="str">
        <f>IF(ISNUMBER(deployment_raw[[#This Row],[Column6]]), (deployment_raw[[#This Row],[Column6]] * IF($E$2="Deployment",deployment_raw[[#This Row],[Column5]],1)),"")</f>
        <v/>
      </c>
      <c r="G228" s="95" t="str">
        <f>IF(ISNUMBER(deployment_raw[[#This Row],[Column7]]), (deployment_raw[[#This Row],[Column7]] * IF($E$2="Deployment",deployment_raw[[#This Row],[Column5]],1))/1048576,"")</f>
        <v/>
      </c>
      <c r="H228" s="95" t="str">
        <f>IF(ISNUMBER(deployment_raw[[#This Row],[Column8]]), (deployment_raw[[#This Row],[Column8]]  * IF($E$2="Deployment",deployment_raw[[#This Row],[Column5]],1)),"")</f>
        <v/>
      </c>
      <c r="I228" s="96" t="str">
        <f>IF(ISNUMBER(deployment_raw[[#This Row],[Column9]]), (deployment_raw[[#This Row],[Column9]] * IF($E$2="Deployment",deployment_raw[[#This Row],[Column5]],1))/1048576,"")</f>
        <v/>
      </c>
      <c r="J228" s="122" t="str">
        <f>IF(ISNUMBER(deployment_raw[[#This Row],[Column10]]), (MIN(IF(N228&lt;&gt;"",N228,9999999999999)*1.1,deployment_raw[[#This Row],[Column10]] * IF($E$2="Deployment",deployment_raw[[#This Row],[Column5]],1))),"")</f>
        <v/>
      </c>
      <c r="K228" s="123" t="str">
        <f>IF(ISNUMBER(deployment_raw[[#This Row],[Column11]]), (MIN(IF(O228&lt;&gt;"",O228,9999999999999)*1.1,deployment_raw[[#This Row],[Column11]] * IF($E$2="Deployment",deployment_raw[[#This Row],[Column5]],1)/1048576)),"")</f>
        <v/>
      </c>
      <c r="L228" s="124" t="str">
        <f>IF(ISNUMBER(deployment_raw[[#This Row],[Column8]]),IF(OR(deployment_raw[[#This Row],[Column5]] &lt;&gt; 0,$E$2 &lt;&gt; "Deployment"), MAX(J228, P228, R228, ($L$2 * IF($E$2="Deployment",deployment_raw[[#This Row],[Column5]],1)),IF(T228&lt;&gt;"",VALUE(T228) * IF($E$2="Deployment",deployment_raw[[#This Row],[Column5]],1),0)), 0),"")</f>
        <v/>
      </c>
      <c r="M228" s="125" t="str">
        <f>IF(ISNUMBER(deployment_raw[[#This Row],[Column9]]),IF(OR(deployment_raw[[#This Row],[Column5]] &lt;&gt; 0,$E$2&lt;&gt;"Deployment"), MAX(K228, Q228, S228, ($M$2 * IF($E$2="Deployment",deployment_raw[[#This Row],[Column5]],1)),IF(U228&lt;&gt;"",VALUE(U228) * IF($E$2="Deployment",deployment_raw[[#This Row],[Column5]],1),0)), 0),"")</f>
        <v/>
      </c>
      <c r="N228" s="166" t="str">
        <f>IF(ISNUMBER(deployment_raw[[#This Row],[Column14]]), deployment_raw[[#This Row],[Column14]]/IF(OR($E$2="Deployment",deployment_raw[[#This Row],[Column5]]=0),1,deployment_raw[[#This Row],[Column5]]),"")</f>
        <v/>
      </c>
      <c r="O228" s="167" t="str">
        <f>IF(ISNUMBER(deployment_raw[[#This Row],[Column15]]), deployment_raw[[#This Row],[Column15]]/IF(OR($E$2="Deployment",deployment_raw[[#This Row],[Column5]]=0),1,deployment_raw[[#This Row],[Column5]])/1048576,"")</f>
        <v/>
      </c>
      <c r="P228" s="168" t="str">
        <f>IF(ISNUMBER(deployment_raw[[#This Row],[Column12]]), (MIN(IF(N228&lt;&gt;"",N228,9999999999999)*1.1,deployment_raw[[#This Row],[Column12]] * IF($E$2="Deployment",deployment_raw[[#This Row],[Column5]],1))*(1+$P$2)),"")</f>
        <v/>
      </c>
      <c r="Q228" s="167" t="str">
        <f>IF(ISNUMBER(deployment_raw[[#This Row],[Column13]]), (MIN(IF(O228&lt;&gt;"",O228,9999999999999)*1.1,deployment_raw[[#This Row],[Column13]] * IF($E$2="Deployment",deployment_raw[[#This Row],[Column5]],1)*(1+$Q$2)/1048576)),"")</f>
        <v/>
      </c>
      <c r="R228" s="169" t="str">
        <f>IF(ISNUMBER(deployment_raw[[#This Row],[Column8]]), (H228  * IF(N228&lt;&gt;0,$R$2,1)),"")</f>
        <v/>
      </c>
      <c r="S228" s="170" t="str">
        <f>IF(ISNUMBER(deployment_raw[[#This Row],[Column8]]), (I228  * IF(O228&lt;&gt;0,$S$2,1)),"")</f>
        <v/>
      </c>
      <c r="T228" s="202" t="str">
        <f>IF(AND(A228&lt;&gt;"",_xlfn.IFNA(MATCH(A228,'dynamic resource application '!$A$2:$A$100, 0),0)&lt;&gt;0), H228/(IF($E$2="Deployment",E228,1)),"")</f>
        <v/>
      </c>
      <c r="U228" s="211" t="str">
        <f>IF(AND(A228&lt;&gt;"",_xlfn.IFNA(MATCH(A228,'dynamic resource application '!$A$2:$A$100, 0),0)&lt;&gt;0), I228/(IF($E$2="Deployment",E228,1)),"")</f>
        <v/>
      </c>
    </row>
    <row r="229" spans="1:21" ht="15.75" customHeight="1" x14ac:dyDescent="0.25">
      <c r="A229" s="35" t="str">
        <f>IF(ISNONTEXT(deployment_raw[[#This Row],[Column1]]), "", deployment_raw[[#This Row],[Column1]])</f>
        <v/>
      </c>
      <c r="B229" s="36" t="str">
        <f>IF(ISNONTEXT(deployment_raw[[#This Row],[Column2]]), "", deployment_raw[[#This Row],[Column2]])</f>
        <v/>
      </c>
      <c r="C229" s="36" t="str">
        <f>IF(ISNONTEXT(deployment_raw[[#This Row],[Column3]]), "", deployment_raw[[#This Row],[Column3]])</f>
        <v/>
      </c>
      <c r="D229" s="36" t="str">
        <f>IF(ISNONTEXT(deployment_raw[[#This Row],[Column4]]), "", deployment_raw[[#This Row],[Column4]])</f>
        <v/>
      </c>
      <c r="E229" s="37" t="str">
        <f>IF(ISNUMBER(deployment_raw[[#This Row],[Column5]]), deployment_raw[[#This Row],[Column5]],"")</f>
        <v/>
      </c>
      <c r="F229" s="94" t="str">
        <f>IF(ISNUMBER(deployment_raw[[#This Row],[Column6]]), (deployment_raw[[#This Row],[Column6]] * IF($E$2="Deployment",deployment_raw[[#This Row],[Column5]],1)),"")</f>
        <v/>
      </c>
      <c r="G229" s="95" t="str">
        <f>IF(ISNUMBER(deployment_raw[[#This Row],[Column7]]), (deployment_raw[[#This Row],[Column7]] * IF($E$2="Deployment",deployment_raw[[#This Row],[Column5]],1))/1048576,"")</f>
        <v/>
      </c>
      <c r="H229" s="95" t="str">
        <f>IF(ISNUMBER(deployment_raw[[#This Row],[Column8]]), (deployment_raw[[#This Row],[Column8]]  * IF($E$2="Deployment",deployment_raw[[#This Row],[Column5]],1)),"")</f>
        <v/>
      </c>
      <c r="I229" s="96" t="str">
        <f>IF(ISNUMBER(deployment_raw[[#This Row],[Column9]]), (deployment_raw[[#This Row],[Column9]] * IF($E$2="Deployment",deployment_raw[[#This Row],[Column5]],1))/1048576,"")</f>
        <v/>
      </c>
      <c r="J229" s="122" t="str">
        <f>IF(ISNUMBER(deployment_raw[[#This Row],[Column10]]), (MIN(IF(N229&lt;&gt;"",N229,9999999999999)*1.1,deployment_raw[[#This Row],[Column10]] * IF($E$2="Deployment",deployment_raw[[#This Row],[Column5]],1))),"")</f>
        <v/>
      </c>
      <c r="K229" s="123" t="str">
        <f>IF(ISNUMBER(deployment_raw[[#This Row],[Column11]]), (MIN(IF(O229&lt;&gt;"",O229,9999999999999)*1.1,deployment_raw[[#This Row],[Column11]] * IF($E$2="Deployment",deployment_raw[[#This Row],[Column5]],1)/1048576)),"")</f>
        <v/>
      </c>
      <c r="L229" s="124" t="str">
        <f>IF(ISNUMBER(deployment_raw[[#This Row],[Column8]]),IF(OR(deployment_raw[[#This Row],[Column5]] &lt;&gt; 0,$E$2 &lt;&gt; "Deployment"), MAX(J229, P229, R229, ($L$2 * IF($E$2="Deployment",deployment_raw[[#This Row],[Column5]],1)),IF(T229&lt;&gt;"",VALUE(T229) * IF($E$2="Deployment",deployment_raw[[#This Row],[Column5]],1),0)), 0),"")</f>
        <v/>
      </c>
      <c r="M229" s="125" t="str">
        <f>IF(ISNUMBER(deployment_raw[[#This Row],[Column9]]),IF(OR(deployment_raw[[#This Row],[Column5]] &lt;&gt; 0,$E$2&lt;&gt;"Deployment"), MAX(K229, Q229, S229, ($M$2 * IF($E$2="Deployment",deployment_raw[[#This Row],[Column5]],1)),IF(U229&lt;&gt;"",VALUE(U229) * IF($E$2="Deployment",deployment_raw[[#This Row],[Column5]],1),0)), 0),"")</f>
        <v/>
      </c>
      <c r="N229" s="166" t="str">
        <f>IF(ISNUMBER(deployment_raw[[#This Row],[Column14]]), deployment_raw[[#This Row],[Column14]]/IF(OR($E$2="Deployment",deployment_raw[[#This Row],[Column5]]=0),1,deployment_raw[[#This Row],[Column5]]),"")</f>
        <v/>
      </c>
      <c r="O229" s="167" t="str">
        <f>IF(ISNUMBER(deployment_raw[[#This Row],[Column15]]), deployment_raw[[#This Row],[Column15]]/IF(OR($E$2="Deployment",deployment_raw[[#This Row],[Column5]]=0),1,deployment_raw[[#This Row],[Column5]])/1048576,"")</f>
        <v/>
      </c>
      <c r="P229" s="168" t="str">
        <f>IF(ISNUMBER(deployment_raw[[#This Row],[Column12]]), (MIN(IF(N229&lt;&gt;"",N229,9999999999999)*1.1,deployment_raw[[#This Row],[Column12]] * IF($E$2="Deployment",deployment_raw[[#This Row],[Column5]],1))*(1+$P$2)),"")</f>
        <v/>
      </c>
      <c r="Q229" s="167" t="str">
        <f>IF(ISNUMBER(deployment_raw[[#This Row],[Column13]]), (MIN(IF(O229&lt;&gt;"",O229,9999999999999)*1.1,deployment_raw[[#This Row],[Column13]] * IF($E$2="Deployment",deployment_raw[[#This Row],[Column5]],1)*(1+$Q$2)/1048576)),"")</f>
        <v/>
      </c>
      <c r="R229" s="169" t="str">
        <f>IF(ISNUMBER(deployment_raw[[#This Row],[Column8]]), (H229  * IF(N229&lt;&gt;0,$R$2,1)),"")</f>
        <v/>
      </c>
      <c r="S229" s="170" t="str">
        <f>IF(ISNUMBER(deployment_raw[[#This Row],[Column8]]), (I229  * IF(O229&lt;&gt;0,$S$2,1)),"")</f>
        <v/>
      </c>
      <c r="T229" s="202" t="str">
        <f>IF(AND(A229&lt;&gt;"",_xlfn.IFNA(MATCH(A229,'dynamic resource application '!$A$2:$A$100, 0),0)&lt;&gt;0), H229/(IF($E$2="Deployment",E229,1)),"")</f>
        <v/>
      </c>
      <c r="U229" s="211" t="str">
        <f>IF(AND(A229&lt;&gt;"",_xlfn.IFNA(MATCH(A229,'dynamic resource application '!$A$2:$A$100, 0),0)&lt;&gt;0), I229/(IF($E$2="Deployment",E229,1)),"")</f>
        <v/>
      </c>
    </row>
    <row r="230" spans="1:21" ht="15.75" customHeight="1" x14ac:dyDescent="0.25">
      <c r="A230" s="35" t="str">
        <f>IF(ISNONTEXT(deployment_raw[[#This Row],[Column1]]), "", deployment_raw[[#This Row],[Column1]])</f>
        <v/>
      </c>
      <c r="B230" s="36" t="str">
        <f>IF(ISNONTEXT(deployment_raw[[#This Row],[Column2]]), "", deployment_raw[[#This Row],[Column2]])</f>
        <v/>
      </c>
      <c r="C230" s="36" t="str">
        <f>IF(ISNONTEXT(deployment_raw[[#This Row],[Column3]]), "", deployment_raw[[#This Row],[Column3]])</f>
        <v/>
      </c>
      <c r="D230" s="36" t="str">
        <f>IF(ISNONTEXT(deployment_raw[[#This Row],[Column4]]), "", deployment_raw[[#This Row],[Column4]])</f>
        <v/>
      </c>
      <c r="E230" s="37" t="str">
        <f>IF(ISNUMBER(deployment_raw[[#This Row],[Column5]]), deployment_raw[[#This Row],[Column5]],"")</f>
        <v/>
      </c>
      <c r="F230" s="94" t="str">
        <f>IF(ISNUMBER(deployment_raw[[#This Row],[Column6]]), (deployment_raw[[#This Row],[Column6]] * IF($E$2="Deployment",deployment_raw[[#This Row],[Column5]],1)),"")</f>
        <v/>
      </c>
      <c r="G230" s="95" t="str">
        <f>IF(ISNUMBER(deployment_raw[[#This Row],[Column7]]), (deployment_raw[[#This Row],[Column7]] * IF($E$2="Deployment",deployment_raw[[#This Row],[Column5]],1))/1048576,"")</f>
        <v/>
      </c>
      <c r="H230" s="95" t="str">
        <f>IF(ISNUMBER(deployment_raw[[#This Row],[Column8]]), (deployment_raw[[#This Row],[Column8]]  * IF($E$2="Deployment",deployment_raw[[#This Row],[Column5]],1)),"")</f>
        <v/>
      </c>
      <c r="I230" s="96" t="str">
        <f>IF(ISNUMBER(deployment_raw[[#This Row],[Column9]]), (deployment_raw[[#This Row],[Column9]] * IF($E$2="Deployment",deployment_raw[[#This Row],[Column5]],1))/1048576,"")</f>
        <v/>
      </c>
      <c r="J230" s="122" t="str">
        <f>IF(ISNUMBER(deployment_raw[[#This Row],[Column10]]), (MIN(IF(N230&lt;&gt;"",N230,9999999999999)*1.1,deployment_raw[[#This Row],[Column10]] * IF($E$2="Deployment",deployment_raw[[#This Row],[Column5]],1))),"")</f>
        <v/>
      </c>
      <c r="K230" s="123" t="str">
        <f>IF(ISNUMBER(deployment_raw[[#This Row],[Column11]]), (MIN(IF(O230&lt;&gt;"",O230,9999999999999)*1.1,deployment_raw[[#This Row],[Column11]] * IF($E$2="Deployment",deployment_raw[[#This Row],[Column5]],1)/1048576)),"")</f>
        <v/>
      </c>
      <c r="L230" s="124" t="str">
        <f>IF(ISNUMBER(deployment_raw[[#This Row],[Column8]]),IF(OR(deployment_raw[[#This Row],[Column5]] &lt;&gt; 0,$E$2 &lt;&gt; "Deployment"), MAX(J230, P230, R230, ($L$2 * IF($E$2="Deployment",deployment_raw[[#This Row],[Column5]],1)),IF(T230&lt;&gt;"",VALUE(T230) * IF($E$2="Deployment",deployment_raw[[#This Row],[Column5]],1),0)), 0),"")</f>
        <v/>
      </c>
      <c r="M230" s="125" t="str">
        <f>IF(ISNUMBER(deployment_raw[[#This Row],[Column9]]),IF(OR(deployment_raw[[#This Row],[Column5]] &lt;&gt; 0,$E$2&lt;&gt;"Deployment"), MAX(K230, Q230, S230, ($M$2 * IF($E$2="Deployment",deployment_raw[[#This Row],[Column5]],1)),IF(U230&lt;&gt;"",VALUE(U230) * IF($E$2="Deployment",deployment_raw[[#This Row],[Column5]],1),0)), 0),"")</f>
        <v/>
      </c>
      <c r="N230" s="166" t="str">
        <f>IF(ISNUMBER(deployment_raw[[#This Row],[Column14]]), deployment_raw[[#This Row],[Column14]]/IF(OR($E$2="Deployment",deployment_raw[[#This Row],[Column5]]=0),1,deployment_raw[[#This Row],[Column5]]),"")</f>
        <v/>
      </c>
      <c r="O230" s="167" t="str">
        <f>IF(ISNUMBER(deployment_raw[[#This Row],[Column15]]), deployment_raw[[#This Row],[Column15]]/IF(OR($E$2="Deployment",deployment_raw[[#This Row],[Column5]]=0),1,deployment_raw[[#This Row],[Column5]])/1048576,"")</f>
        <v/>
      </c>
      <c r="P230" s="168" t="str">
        <f>IF(ISNUMBER(deployment_raw[[#This Row],[Column12]]), (MIN(IF(N230&lt;&gt;"",N230,9999999999999)*1.1,deployment_raw[[#This Row],[Column12]] * IF($E$2="Deployment",deployment_raw[[#This Row],[Column5]],1))*(1+$P$2)),"")</f>
        <v/>
      </c>
      <c r="Q230" s="167" t="str">
        <f>IF(ISNUMBER(deployment_raw[[#This Row],[Column13]]), (MIN(IF(O230&lt;&gt;"",O230,9999999999999)*1.1,deployment_raw[[#This Row],[Column13]] * IF($E$2="Deployment",deployment_raw[[#This Row],[Column5]],1)*(1+$Q$2)/1048576)),"")</f>
        <v/>
      </c>
      <c r="R230" s="169" t="str">
        <f>IF(ISNUMBER(deployment_raw[[#This Row],[Column8]]), (H230  * IF(N230&lt;&gt;0,$R$2,1)),"")</f>
        <v/>
      </c>
      <c r="S230" s="170" t="str">
        <f>IF(ISNUMBER(deployment_raw[[#This Row],[Column8]]), (I230  * IF(O230&lt;&gt;0,$S$2,1)),"")</f>
        <v/>
      </c>
      <c r="T230" s="202" t="str">
        <f>IF(AND(A230&lt;&gt;"",_xlfn.IFNA(MATCH(A230,'dynamic resource application '!$A$2:$A$100, 0),0)&lt;&gt;0), H230/(IF($E$2="Deployment",E230,1)),"")</f>
        <v/>
      </c>
      <c r="U230" s="211" t="str">
        <f>IF(AND(A230&lt;&gt;"",_xlfn.IFNA(MATCH(A230,'dynamic resource application '!$A$2:$A$100, 0),0)&lt;&gt;0), I230/(IF($E$2="Deployment",E230,1)),"")</f>
        <v/>
      </c>
    </row>
    <row r="231" spans="1:21" ht="15.75" customHeight="1" x14ac:dyDescent="0.25">
      <c r="A231" s="35" t="str">
        <f>IF(ISNONTEXT(deployment_raw[[#This Row],[Column1]]), "", deployment_raw[[#This Row],[Column1]])</f>
        <v/>
      </c>
      <c r="B231" s="36" t="str">
        <f>IF(ISNONTEXT(deployment_raw[[#This Row],[Column2]]), "", deployment_raw[[#This Row],[Column2]])</f>
        <v/>
      </c>
      <c r="C231" s="36" t="str">
        <f>IF(ISNONTEXT(deployment_raw[[#This Row],[Column3]]), "", deployment_raw[[#This Row],[Column3]])</f>
        <v/>
      </c>
      <c r="D231" s="36" t="str">
        <f>IF(ISNONTEXT(deployment_raw[[#This Row],[Column4]]), "", deployment_raw[[#This Row],[Column4]])</f>
        <v/>
      </c>
      <c r="E231" s="37" t="str">
        <f>IF(ISNUMBER(deployment_raw[[#This Row],[Column5]]), deployment_raw[[#This Row],[Column5]],"")</f>
        <v/>
      </c>
      <c r="F231" s="94" t="str">
        <f>IF(ISNUMBER(deployment_raw[[#This Row],[Column6]]), (deployment_raw[[#This Row],[Column6]] * IF($E$2="Deployment",deployment_raw[[#This Row],[Column5]],1)),"")</f>
        <v/>
      </c>
      <c r="G231" s="95" t="str">
        <f>IF(ISNUMBER(deployment_raw[[#This Row],[Column7]]), (deployment_raw[[#This Row],[Column7]] * IF($E$2="Deployment",deployment_raw[[#This Row],[Column5]],1))/1048576,"")</f>
        <v/>
      </c>
      <c r="H231" s="95" t="str">
        <f>IF(ISNUMBER(deployment_raw[[#This Row],[Column8]]), (deployment_raw[[#This Row],[Column8]]  * IF($E$2="Deployment",deployment_raw[[#This Row],[Column5]],1)),"")</f>
        <v/>
      </c>
      <c r="I231" s="96" t="str">
        <f>IF(ISNUMBER(deployment_raw[[#This Row],[Column9]]), (deployment_raw[[#This Row],[Column9]] * IF($E$2="Deployment",deployment_raw[[#This Row],[Column5]],1))/1048576,"")</f>
        <v/>
      </c>
      <c r="J231" s="122" t="str">
        <f>IF(ISNUMBER(deployment_raw[[#This Row],[Column10]]), (MIN(IF(N231&lt;&gt;"",N231,9999999999999)*1.1,deployment_raw[[#This Row],[Column10]] * IF($E$2="Deployment",deployment_raw[[#This Row],[Column5]],1))),"")</f>
        <v/>
      </c>
      <c r="K231" s="123" t="str">
        <f>IF(ISNUMBER(deployment_raw[[#This Row],[Column11]]), (MIN(IF(O231&lt;&gt;"",O231,9999999999999)*1.1,deployment_raw[[#This Row],[Column11]] * IF($E$2="Deployment",deployment_raw[[#This Row],[Column5]],1)/1048576)),"")</f>
        <v/>
      </c>
      <c r="L231" s="124" t="str">
        <f>IF(ISNUMBER(deployment_raw[[#This Row],[Column8]]),IF(OR(deployment_raw[[#This Row],[Column5]] &lt;&gt; 0,$E$2 &lt;&gt; "Deployment"), MAX(J231, P231, R231, ($L$2 * IF($E$2="Deployment",deployment_raw[[#This Row],[Column5]],1)),IF(T231&lt;&gt;"",VALUE(T231) * IF($E$2="Deployment",deployment_raw[[#This Row],[Column5]],1),0)), 0),"")</f>
        <v/>
      </c>
      <c r="M231" s="125" t="str">
        <f>IF(ISNUMBER(deployment_raw[[#This Row],[Column9]]),IF(OR(deployment_raw[[#This Row],[Column5]] &lt;&gt; 0,$E$2&lt;&gt;"Deployment"), MAX(K231, Q231, S231, ($M$2 * IF($E$2="Deployment",deployment_raw[[#This Row],[Column5]],1)),IF(U231&lt;&gt;"",VALUE(U231) * IF($E$2="Deployment",deployment_raw[[#This Row],[Column5]],1),0)), 0),"")</f>
        <v/>
      </c>
      <c r="N231" s="166" t="str">
        <f>IF(ISNUMBER(deployment_raw[[#This Row],[Column14]]), deployment_raw[[#This Row],[Column14]]/IF(OR($E$2="Deployment",deployment_raw[[#This Row],[Column5]]=0),1,deployment_raw[[#This Row],[Column5]]),"")</f>
        <v/>
      </c>
      <c r="O231" s="167" t="str">
        <f>IF(ISNUMBER(deployment_raw[[#This Row],[Column15]]), deployment_raw[[#This Row],[Column15]]/IF(OR($E$2="Deployment",deployment_raw[[#This Row],[Column5]]=0),1,deployment_raw[[#This Row],[Column5]])/1048576,"")</f>
        <v/>
      </c>
      <c r="P231" s="168" t="str">
        <f>IF(ISNUMBER(deployment_raw[[#This Row],[Column12]]), (MIN(IF(N231&lt;&gt;"",N231,9999999999999)*1.1,deployment_raw[[#This Row],[Column12]] * IF($E$2="Deployment",deployment_raw[[#This Row],[Column5]],1))*(1+$P$2)),"")</f>
        <v/>
      </c>
      <c r="Q231" s="167" t="str">
        <f>IF(ISNUMBER(deployment_raw[[#This Row],[Column13]]), (MIN(IF(O231&lt;&gt;"",O231,9999999999999)*1.1,deployment_raw[[#This Row],[Column13]] * IF($E$2="Deployment",deployment_raw[[#This Row],[Column5]],1)*(1+$Q$2)/1048576)),"")</f>
        <v/>
      </c>
      <c r="R231" s="169" t="str">
        <f>IF(ISNUMBER(deployment_raw[[#This Row],[Column8]]), (H231  * IF(N231&lt;&gt;0,$R$2,1)),"")</f>
        <v/>
      </c>
      <c r="S231" s="170" t="str">
        <f>IF(ISNUMBER(deployment_raw[[#This Row],[Column8]]), (I231  * IF(O231&lt;&gt;0,$S$2,1)),"")</f>
        <v/>
      </c>
      <c r="T231" s="202" t="str">
        <f>IF(AND(A231&lt;&gt;"",_xlfn.IFNA(MATCH(A231,'dynamic resource application '!$A$2:$A$100, 0),0)&lt;&gt;0), H231/(IF($E$2="Deployment",E231,1)),"")</f>
        <v/>
      </c>
      <c r="U231" s="211" t="str">
        <f>IF(AND(A231&lt;&gt;"",_xlfn.IFNA(MATCH(A231,'dynamic resource application '!$A$2:$A$100, 0),0)&lt;&gt;0), I231/(IF($E$2="Deployment",E231,1)),"")</f>
        <v/>
      </c>
    </row>
    <row r="232" spans="1:21" ht="15.75" customHeight="1" x14ac:dyDescent="0.25">
      <c r="A232" s="35" t="str">
        <f>IF(ISNONTEXT(deployment_raw[[#This Row],[Column1]]), "", deployment_raw[[#This Row],[Column1]])</f>
        <v/>
      </c>
      <c r="B232" s="36" t="str">
        <f>IF(ISNONTEXT(deployment_raw[[#This Row],[Column2]]), "", deployment_raw[[#This Row],[Column2]])</f>
        <v/>
      </c>
      <c r="C232" s="36" t="str">
        <f>IF(ISNONTEXT(deployment_raw[[#This Row],[Column3]]), "", deployment_raw[[#This Row],[Column3]])</f>
        <v/>
      </c>
      <c r="D232" s="36" t="str">
        <f>IF(ISNONTEXT(deployment_raw[[#This Row],[Column4]]), "", deployment_raw[[#This Row],[Column4]])</f>
        <v/>
      </c>
      <c r="E232" s="37" t="str">
        <f>IF(ISNUMBER(deployment_raw[[#This Row],[Column5]]), deployment_raw[[#This Row],[Column5]],"")</f>
        <v/>
      </c>
      <c r="F232" s="94" t="str">
        <f>IF(ISNUMBER(deployment_raw[[#This Row],[Column6]]), (deployment_raw[[#This Row],[Column6]] * IF($E$2="Deployment",deployment_raw[[#This Row],[Column5]],1)),"")</f>
        <v/>
      </c>
      <c r="G232" s="95" t="str">
        <f>IF(ISNUMBER(deployment_raw[[#This Row],[Column7]]), (deployment_raw[[#This Row],[Column7]] * IF($E$2="Deployment",deployment_raw[[#This Row],[Column5]],1))/1048576,"")</f>
        <v/>
      </c>
      <c r="H232" s="95" t="str">
        <f>IF(ISNUMBER(deployment_raw[[#This Row],[Column8]]), (deployment_raw[[#This Row],[Column8]]  * IF($E$2="Deployment",deployment_raw[[#This Row],[Column5]],1)),"")</f>
        <v/>
      </c>
      <c r="I232" s="96" t="str">
        <f>IF(ISNUMBER(deployment_raw[[#This Row],[Column9]]), (deployment_raw[[#This Row],[Column9]] * IF($E$2="Deployment",deployment_raw[[#This Row],[Column5]],1))/1048576,"")</f>
        <v/>
      </c>
      <c r="J232" s="122" t="str">
        <f>IF(ISNUMBER(deployment_raw[[#This Row],[Column10]]), (MIN(IF(N232&lt;&gt;"",N232,9999999999999)*1.1,deployment_raw[[#This Row],[Column10]] * IF($E$2="Deployment",deployment_raw[[#This Row],[Column5]],1))),"")</f>
        <v/>
      </c>
      <c r="K232" s="123" t="str">
        <f>IF(ISNUMBER(deployment_raw[[#This Row],[Column11]]), (MIN(IF(O232&lt;&gt;"",O232,9999999999999)*1.1,deployment_raw[[#This Row],[Column11]] * IF($E$2="Deployment",deployment_raw[[#This Row],[Column5]],1)/1048576)),"")</f>
        <v/>
      </c>
      <c r="L232" s="124" t="str">
        <f>IF(ISNUMBER(deployment_raw[[#This Row],[Column8]]),IF(OR(deployment_raw[[#This Row],[Column5]] &lt;&gt; 0,$E$2 &lt;&gt; "Deployment"), MAX(J232, P232, R232, ($L$2 * IF($E$2="Deployment",deployment_raw[[#This Row],[Column5]],1)),IF(T232&lt;&gt;"",VALUE(T232) * IF($E$2="Deployment",deployment_raw[[#This Row],[Column5]],1),0)), 0),"")</f>
        <v/>
      </c>
      <c r="M232" s="125" t="str">
        <f>IF(ISNUMBER(deployment_raw[[#This Row],[Column9]]),IF(OR(deployment_raw[[#This Row],[Column5]] &lt;&gt; 0,$E$2&lt;&gt;"Deployment"), MAX(K232, Q232, S232, ($M$2 * IF($E$2="Deployment",deployment_raw[[#This Row],[Column5]],1)),IF(U232&lt;&gt;"",VALUE(U232) * IF($E$2="Deployment",deployment_raw[[#This Row],[Column5]],1),0)), 0),"")</f>
        <v/>
      </c>
      <c r="N232" s="166" t="str">
        <f>IF(ISNUMBER(deployment_raw[[#This Row],[Column14]]), deployment_raw[[#This Row],[Column14]]/IF(OR($E$2="Deployment",deployment_raw[[#This Row],[Column5]]=0),1,deployment_raw[[#This Row],[Column5]]),"")</f>
        <v/>
      </c>
      <c r="O232" s="167" t="str">
        <f>IF(ISNUMBER(deployment_raw[[#This Row],[Column15]]), deployment_raw[[#This Row],[Column15]]/IF(OR($E$2="Deployment",deployment_raw[[#This Row],[Column5]]=0),1,deployment_raw[[#This Row],[Column5]])/1048576,"")</f>
        <v/>
      </c>
      <c r="P232" s="168" t="str">
        <f>IF(ISNUMBER(deployment_raw[[#This Row],[Column12]]), (MIN(IF(N232&lt;&gt;"",N232,9999999999999)*1.1,deployment_raw[[#This Row],[Column12]] * IF($E$2="Deployment",deployment_raw[[#This Row],[Column5]],1))*(1+$P$2)),"")</f>
        <v/>
      </c>
      <c r="Q232" s="167" t="str">
        <f>IF(ISNUMBER(deployment_raw[[#This Row],[Column13]]), (MIN(IF(O232&lt;&gt;"",O232,9999999999999)*1.1,deployment_raw[[#This Row],[Column13]] * IF($E$2="Deployment",deployment_raw[[#This Row],[Column5]],1)*(1+$Q$2)/1048576)),"")</f>
        <v/>
      </c>
      <c r="R232" s="169" t="str">
        <f>IF(ISNUMBER(deployment_raw[[#This Row],[Column8]]), (H232  * IF(N232&lt;&gt;0,$R$2,1)),"")</f>
        <v/>
      </c>
      <c r="S232" s="170" t="str">
        <f>IF(ISNUMBER(deployment_raw[[#This Row],[Column8]]), (I232  * IF(O232&lt;&gt;0,$S$2,1)),"")</f>
        <v/>
      </c>
      <c r="T232" s="202" t="str">
        <f>IF(AND(A232&lt;&gt;"",_xlfn.IFNA(MATCH(A232,'dynamic resource application '!$A$2:$A$100, 0),0)&lt;&gt;0), H232/(IF($E$2="Deployment",E232,1)),"")</f>
        <v/>
      </c>
      <c r="U232" s="211" t="str">
        <f>IF(AND(A232&lt;&gt;"",_xlfn.IFNA(MATCH(A232,'dynamic resource application '!$A$2:$A$100, 0),0)&lt;&gt;0), I232/(IF($E$2="Deployment",E232,1)),"")</f>
        <v/>
      </c>
    </row>
    <row r="233" spans="1:21" ht="15.75" customHeight="1" x14ac:dyDescent="0.25">
      <c r="A233" s="35" t="str">
        <f>IF(ISNONTEXT(deployment_raw[[#This Row],[Column1]]), "", deployment_raw[[#This Row],[Column1]])</f>
        <v/>
      </c>
      <c r="B233" s="36" t="str">
        <f>IF(ISNONTEXT(deployment_raw[[#This Row],[Column2]]), "", deployment_raw[[#This Row],[Column2]])</f>
        <v/>
      </c>
      <c r="C233" s="36" t="str">
        <f>IF(ISNONTEXT(deployment_raw[[#This Row],[Column3]]), "", deployment_raw[[#This Row],[Column3]])</f>
        <v/>
      </c>
      <c r="D233" s="36" t="str">
        <f>IF(ISNONTEXT(deployment_raw[[#This Row],[Column4]]), "", deployment_raw[[#This Row],[Column4]])</f>
        <v/>
      </c>
      <c r="E233" s="37" t="str">
        <f>IF(ISNUMBER(deployment_raw[[#This Row],[Column5]]), deployment_raw[[#This Row],[Column5]],"")</f>
        <v/>
      </c>
      <c r="F233" s="94" t="str">
        <f>IF(ISNUMBER(deployment_raw[[#This Row],[Column6]]), (deployment_raw[[#This Row],[Column6]] * IF($E$2="Deployment",deployment_raw[[#This Row],[Column5]],1)),"")</f>
        <v/>
      </c>
      <c r="G233" s="95" t="str">
        <f>IF(ISNUMBER(deployment_raw[[#This Row],[Column7]]), (deployment_raw[[#This Row],[Column7]] * IF($E$2="Deployment",deployment_raw[[#This Row],[Column5]],1))/1048576,"")</f>
        <v/>
      </c>
      <c r="H233" s="95" t="str">
        <f>IF(ISNUMBER(deployment_raw[[#This Row],[Column8]]), (deployment_raw[[#This Row],[Column8]]  * IF($E$2="Deployment",deployment_raw[[#This Row],[Column5]],1)),"")</f>
        <v/>
      </c>
      <c r="I233" s="96" t="str">
        <f>IF(ISNUMBER(deployment_raw[[#This Row],[Column9]]), (deployment_raw[[#This Row],[Column9]] * IF($E$2="Deployment",deployment_raw[[#This Row],[Column5]],1))/1048576,"")</f>
        <v/>
      </c>
      <c r="J233" s="122" t="str">
        <f>IF(ISNUMBER(deployment_raw[[#This Row],[Column10]]), (MIN(IF(N233&lt;&gt;"",N233,9999999999999)*1.1,deployment_raw[[#This Row],[Column10]] * IF($E$2="Deployment",deployment_raw[[#This Row],[Column5]],1))),"")</f>
        <v/>
      </c>
      <c r="K233" s="123" t="str">
        <f>IF(ISNUMBER(deployment_raw[[#This Row],[Column11]]), (MIN(IF(O233&lt;&gt;"",O233,9999999999999)*1.1,deployment_raw[[#This Row],[Column11]] * IF($E$2="Deployment",deployment_raw[[#This Row],[Column5]],1)/1048576)),"")</f>
        <v/>
      </c>
      <c r="L233" s="124" t="str">
        <f>IF(ISNUMBER(deployment_raw[[#This Row],[Column8]]),IF(OR(deployment_raw[[#This Row],[Column5]] &lt;&gt; 0,$E$2 &lt;&gt; "Deployment"), MAX(J233, P233, R233, ($L$2 * IF($E$2="Deployment",deployment_raw[[#This Row],[Column5]],1)),IF(T233&lt;&gt;"",VALUE(T233) * IF($E$2="Deployment",deployment_raw[[#This Row],[Column5]],1),0)), 0),"")</f>
        <v/>
      </c>
      <c r="M233" s="125" t="str">
        <f>IF(ISNUMBER(deployment_raw[[#This Row],[Column9]]),IF(OR(deployment_raw[[#This Row],[Column5]] &lt;&gt; 0,$E$2&lt;&gt;"Deployment"), MAX(K233, Q233, S233, ($M$2 * IF($E$2="Deployment",deployment_raw[[#This Row],[Column5]],1)),IF(U233&lt;&gt;"",VALUE(U233) * IF($E$2="Deployment",deployment_raw[[#This Row],[Column5]],1),0)), 0),"")</f>
        <v/>
      </c>
      <c r="N233" s="166" t="str">
        <f>IF(ISNUMBER(deployment_raw[[#This Row],[Column14]]), deployment_raw[[#This Row],[Column14]]/IF(OR($E$2="Deployment",deployment_raw[[#This Row],[Column5]]=0),1,deployment_raw[[#This Row],[Column5]]),"")</f>
        <v/>
      </c>
      <c r="O233" s="167" t="str">
        <f>IF(ISNUMBER(deployment_raw[[#This Row],[Column15]]), deployment_raw[[#This Row],[Column15]]/IF(OR($E$2="Deployment",deployment_raw[[#This Row],[Column5]]=0),1,deployment_raw[[#This Row],[Column5]])/1048576,"")</f>
        <v/>
      </c>
      <c r="P233" s="168" t="str">
        <f>IF(ISNUMBER(deployment_raw[[#This Row],[Column12]]), (MIN(IF(N233&lt;&gt;"",N233,9999999999999)*1.1,deployment_raw[[#This Row],[Column12]] * IF($E$2="Deployment",deployment_raw[[#This Row],[Column5]],1))*(1+$P$2)),"")</f>
        <v/>
      </c>
      <c r="Q233" s="167" t="str">
        <f>IF(ISNUMBER(deployment_raw[[#This Row],[Column13]]), (MIN(IF(O233&lt;&gt;"",O233,9999999999999)*1.1,deployment_raw[[#This Row],[Column13]] * IF($E$2="Deployment",deployment_raw[[#This Row],[Column5]],1)*(1+$Q$2)/1048576)),"")</f>
        <v/>
      </c>
      <c r="R233" s="169" t="str">
        <f>IF(ISNUMBER(deployment_raw[[#This Row],[Column8]]), (H233  * IF(N233&lt;&gt;0,$R$2,1)),"")</f>
        <v/>
      </c>
      <c r="S233" s="170" t="str">
        <f>IF(ISNUMBER(deployment_raw[[#This Row],[Column8]]), (I233  * IF(O233&lt;&gt;0,$S$2,1)),"")</f>
        <v/>
      </c>
      <c r="T233" s="202" t="str">
        <f>IF(AND(A233&lt;&gt;"",_xlfn.IFNA(MATCH(A233,'dynamic resource application '!$A$2:$A$100, 0),0)&lt;&gt;0), H233/(IF($E$2="Deployment",E233,1)),"")</f>
        <v/>
      </c>
      <c r="U233" s="211" t="str">
        <f>IF(AND(A233&lt;&gt;"",_xlfn.IFNA(MATCH(A233,'dynamic resource application '!$A$2:$A$100, 0),0)&lt;&gt;0), I233/(IF($E$2="Deployment",E233,1)),"")</f>
        <v/>
      </c>
    </row>
    <row r="234" spans="1:21" ht="15.75" customHeight="1" x14ac:dyDescent="0.25">
      <c r="A234" s="35" t="str">
        <f>IF(ISNONTEXT(deployment_raw[[#This Row],[Column1]]), "", deployment_raw[[#This Row],[Column1]])</f>
        <v/>
      </c>
      <c r="B234" s="36" t="str">
        <f>IF(ISNONTEXT(deployment_raw[[#This Row],[Column2]]), "", deployment_raw[[#This Row],[Column2]])</f>
        <v/>
      </c>
      <c r="C234" s="36" t="str">
        <f>IF(ISNONTEXT(deployment_raw[[#This Row],[Column3]]), "", deployment_raw[[#This Row],[Column3]])</f>
        <v/>
      </c>
      <c r="D234" s="36" t="str">
        <f>IF(ISNONTEXT(deployment_raw[[#This Row],[Column4]]), "", deployment_raw[[#This Row],[Column4]])</f>
        <v/>
      </c>
      <c r="E234" s="37" t="str">
        <f>IF(ISNUMBER(deployment_raw[[#This Row],[Column5]]), deployment_raw[[#This Row],[Column5]],"")</f>
        <v/>
      </c>
      <c r="F234" s="94" t="str">
        <f>IF(ISNUMBER(deployment_raw[[#This Row],[Column6]]), (deployment_raw[[#This Row],[Column6]] * IF($E$2="Deployment",deployment_raw[[#This Row],[Column5]],1)),"")</f>
        <v/>
      </c>
      <c r="G234" s="95" t="str">
        <f>IF(ISNUMBER(deployment_raw[[#This Row],[Column7]]), (deployment_raw[[#This Row],[Column7]] * IF($E$2="Deployment",deployment_raw[[#This Row],[Column5]],1))/1048576,"")</f>
        <v/>
      </c>
      <c r="H234" s="95" t="str">
        <f>IF(ISNUMBER(deployment_raw[[#This Row],[Column8]]), (deployment_raw[[#This Row],[Column8]]  * IF($E$2="Deployment",deployment_raw[[#This Row],[Column5]],1)),"")</f>
        <v/>
      </c>
      <c r="I234" s="96" t="str">
        <f>IF(ISNUMBER(deployment_raw[[#This Row],[Column9]]), (deployment_raw[[#This Row],[Column9]] * IF($E$2="Deployment",deployment_raw[[#This Row],[Column5]],1))/1048576,"")</f>
        <v/>
      </c>
      <c r="J234" s="122" t="str">
        <f>IF(ISNUMBER(deployment_raw[[#This Row],[Column10]]), (MIN(IF(N234&lt;&gt;"",N234,9999999999999)*1.1,deployment_raw[[#This Row],[Column10]] * IF($E$2="Deployment",deployment_raw[[#This Row],[Column5]],1))),"")</f>
        <v/>
      </c>
      <c r="K234" s="123" t="str">
        <f>IF(ISNUMBER(deployment_raw[[#This Row],[Column11]]), (MIN(IF(O234&lt;&gt;"",O234,9999999999999)*1.1,deployment_raw[[#This Row],[Column11]] * IF($E$2="Deployment",deployment_raw[[#This Row],[Column5]],1)/1048576)),"")</f>
        <v/>
      </c>
      <c r="L234" s="124" t="str">
        <f>IF(ISNUMBER(deployment_raw[[#This Row],[Column8]]),IF(OR(deployment_raw[[#This Row],[Column5]] &lt;&gt; 0,$E$2 &lt;&gt; "Deployment"), MAX(J234, P234, R234, ($L$2 * IF($E$2="Deployment",deployment_raw[[#This Row],[Column5]],1)),IF(T234&lt;&gt;"",VALUE(T234) * IF($E$2="Deployment",deployment_raw[[#This Row],[Column5]],1),0)), 0),"")</f>
        <v/>
      </c>
      <c r="M234" s="125" t="str">
        <f>IF(ISNUMBER(deployment_raw[[#This Row],[Column9]]),IF(OR(deployment_raw[[#This Row],[Column5]] &lt;&gt; 0,$E$2&lt;&gt;"Deployment"), MAX(K234, Q234, S234, ($M$2 * IF($E$2="Deployment",deployment_raw[[#This Row],[Column5]],1)),IF(U234&lt;&gt;"",VALUE(U234) * IF($E$2="Deployment",deployment_raw[[#This Row],[Column5]],1),0)), 0),"")</f>
        <v/>
      </c>
      <c r="N234" s="166" t="str">
        <f>IF(ISNUMBER(deployment_raw[[#This Row],[Column14]]), deployment_raw[[#This Row],[Column14]]/IF(OR($E$2="Deployment",deployment_raw[[#This Row],[Column5]]=0),1,deployment_raw[[#This Row],[Column5]]),"")</f>
        <v/>
      </c>
      <c r="O234" s="167" t="str">
        <f>IF(ISNUMBER(deployment_raw[[#This Row],[Column15]]), deployment_raw[[#This Row],[Column15]]/IF(OR($E$2="Deployment",deployment_raw[[#This Row],[Column5]]=0),1,deployment_raw[[#This Row],[Column5]])/1048576,"")</f>
        <v/>
      </c>
      <c r="P234" s="168" t="str">
        <f>IF(ISNUMBER(deployment_raw[[#This Row],[Column12]]), (MIN(IF(N234&lt;&gt;"",N234,9999999999999)*1.1,deployment_raw[[#This Row],[Column12]] * IF($E$2="Deployment",deployment_raw[[#This Row],[Column5]],1))*(1+$P$2)),"")</f>
        <v/>
      </c>
      <c r="Q234" s="167" t="str">
        <f>IF(ISNUMBER(deployment_raw[[#This Row],[Column13]]), (MIN(IF(O234&lt;&gt;"",O234,9999999999999)*1.1,deployment_raw[[#This Row],[Column13]] * IF($E$2="Deployment",deployment_raw[[#This Row],[Column5]],1)*(1+$Q$2)/1048576)),"")</f>
        <v/>
      </c>
      <c r="R234" s="169" t="str">
        <f>IF(ISNUMBER(deployment_raw[[#This Row],[Column8]]), (H234  * IF(N234&lt;&gt;0,$R$2,1)),"")</f>
        <v/>
      </c>
      <c r="S234" s="170" t="str">
        <f>IF(ISNUMBER(deployment_raw[[#This Row],[Column8]]), (I234  * IF(O234&lt;&gt;0,$S$2,1)),"")</f>
        <v/>
      </c>
      <c r="T234" s="202" t="str">
        <f>IF(AND(A234&lt;&gt;"",_xlfn.IFNA(MATCH(A234,'dynamic resource application '!$A$2:$A$100, 0),0)&lt;&gt;0), H234/(IF($E$2="Deployment",E234,1)),"")</f>
        <v/>
      </c>
      <c r="U234" s="211" t="str">
        <f>IF(AND(A234&lt;&gt;"",_xlfn.IFNA(MATCH(A234,'dynamic resource application '!$A$2:$A$100, 0),0)&lt;&gt;0), I234/(IF($E$2="Deployment",E234,1)),"")</f>
        <v/>
      </c>
    </row>
    <row r="235" spans="1:21" ht="15.75" customHeight="1" x14ac:dyDescent="0.25">
      <c r="A235" s="35" t="str">
        <f>IF(ISNONTEXT(deployment_raw[[#This Row],[Column1]]), "", deployment_raw[[#This Row],[Column1]])</f>
        <v/>
      </c>
      <c r="B235" s="36" t="str">
        <f>IF(ISNONTEXT(deployment_raw[[#This Row],[Column2]]), "", deployment_raw[[#This Row],[Column2]])</f>
        <v/>
      </c>
      <c r="C235" s="36" t="str">
        <f>IF(ISNONTEXT(deployment_raw[[#This Row],[Column3]]), "", deployment_raw[[#This Row],[Column3]])</f>
        <v/>
      </c>
      <c r="D235" s="36" t="str">
        <f>IF(ISNONTEXT(deployment_raw[[#This Row],[Column4]]), "", deployment_raw[[#This Row],[Column4]])</f>
        <v/>
      </c>
      <c r="E235" s="37" t="str">
        <f>IF(ISNUMBER(deployment_raw[[#This Row],[Column5]]), deployment_raw[[#This Row],[Column5]],"")</f>
        <v/>
      </c>
      <c r="F235" s="94" t="str">
        <f>IF(ISNUMBER(deployment_raw[[#This Row],[Column6]]), (deployment_raw[[#This Row],[Column6]] * IF($E$2="Deployment",deployment_raw[[#This Row],[Column5]],1)),"")</f>
        <v/>
      </c>
      <c r="G235" s="95" t="str">
        <f>IF(ISNUMBER(deployment_raw[[#This Row],[Column7]]), (deployment_raw[[#This Row],[Column7]] * IF($E$2="Deployment",deployment_raw[[#This Row],[Column5]],1))/1048576,"")</f>
        <v/>
      </c>
      <c r="H235" s="95" t="str">
        <f>IF(ISNUMBER(deployment_raw[[#This Row],[Column8]]), (deployment_raw[[#This Row],[Column8]]  * IF($E$2="Deployment",deployment_raw[[#This Row],[Column5]],1)),"")</f>
        <v/>
      </c>
      <c r="I235" s="96" t="str">
        <f>IF(ISNUMBER(deployment_raw[[#This Row],[Column9]]), (deployment_raw[[#This Row],[Column9]] * IF($E$2="Deployment",deployment_raw[[#This Row],[Column5]],1))/1048576,"")</f>
        <v/>
      </c>
      <c r="J235" s="122" t="str">
        <f>IF(ISNUMBER(deployment_raw[[#This Row],[Column10]]), (MIN(IF(N235&lt;&gt;"",N235,9999999999999)*1.1,deployment_raw[[#This Row],[Column10]] * IF($E$2="Deployment",deployment_raw[[#This Row],[Column5]],1))),"")</f>
        <v/>
      </c>
      <c r="K235" s="123" t="str">
        <f>IF(ISNUMBER(deployment_raw[[#This Row],[Column11]]), (MIN(IF(O235&lt;&gt;"",O235,9999999999999)*1.1,deployment_raw[[#This Row],[Column11]] * IF($E$2="Deployment",deployment_raw[[#This Row],[Column5]],1)/1048576)),"")</f>
        <v/>
      </c>
      <c r="L235" s="124" t="str">
        <f>IF(ISNUMBER(deployment_raw[[#This Row],[Column8]]),IF(OR(deployment_raw[[#This Row],[Column5]] &lt;&gt; 0,$E$2 &lt;&gt; "Deployment"), MAX(J235, P235, R235, ($L$2 * IF($E$2="Deployment",deployment_raw[[#This Row],[Column5]],1)),IF(T235&lt;&gt;"",VALUE(T235) * IF($E$2="Deployment",deployment_raw[[#This Row],[Column5]],1),0)), 0),"")</f>
        <v/>
      </c>
      <c r="M235" s="125" t="str">
        <f>IF(ISNUMBER(deployment_raw[[#This Row],[Column9]]),IF(OR(deployment_raw[[#This Row],[Column5]] &lt;&gt; 0,$E$2&lt;&gt;"Deployment"), MAX(K235, Q235, S235, ($M$2 * IF($E$2="Deployment",deployment_raw[[#This Row],[Column5]],1)),IF(U235&lt;&gt;"",VALUE(U235) * IF($E$2="Deployment",deployment_raw[[#This Row],[Column5]],1),0)), 0),"")</f>
        <v/>
      </c>
      <c r="N235" s="166" t="str">
        <f>IF(ISNUMBER(deployment_raw[[#This Row],[Column14]]), deployment_raw[[#This Row],[Column14]]/IF(OR($E$2="Deployment",deployment_raw[[#This Row],[Column5]]=0),1,deployment_raw[[#This Row],[Column5]]),"")</f>
        <v/>
      </c>
      <c r="O235" s="167" t="str">
        <f>IF(ISNUMBER(deployment_raw[[#This Row],[Column15]]), deployment_raw[[#This Row],[Column15]]/IF(OR($E$2="Deployment",deployment_raw[[#This Row],[Column5]]=0),1,deployment_raw[[#This Row],[Column5]])/1048576,"")</f>
        <v/>
      </c>
      <c r="P235" s="168" t="str">
        <f>IF(ISNUMBER(deployment_raw[[#This Row],[Column12]]), (MIN(IF(N235&lt;&gt;"",N235,9999999999999)*1.1,deployment_raw[[#This Row],[Column12]] * IF($E$2="Deployment",deployment_raw[[#This Row],[Column5]],1))*(1+$P$2)),"")</f>
        <v/>
      </c>
      <c r="Q235" s="167" t="str">
        <f>IF(ISNUMBER(deployment_raw[[#This Row],[Column13]]), (MIN(IF(O235&lt;&gt;"",O235,9999999999999)*1.1,deployment_raw[[#This Row],[Column13]] * IF($E$2="Deployment",deployment_raw[[#This Row],[Column5]],1)*(1+$Q$2)/1048576)),"")</f>
        <v/>
      </c>
      <c r="R235" s="169" t="str">
        <f>IF(ISNUMBER(deployment_raw[[#This Row],[Column8]]), (H235  * IF(N235&lt;&gt;0,$R$2,1)),"")</f>
        <v/>
      </c>
      <c r="S235" s="170" t="str">
        <f>IF(ISNUMBER(deployment_raw[[#This Row],[Column8]]), (I235  * IF(O235&lt;&gt;0,$S$2,1)),"")</f>
        <v/>
      </c>
      <c r="T235" s="202" t="str">
        <f>IF(AND(A235&lt;&gt;"",_xlfn.IFNA(MATCH(A235,'dynamic resource application '!$A$2:$A$100, 0),0)&lt;&gt;0), H235/(IF($E$2="Deployment",E235,1)),"")</f>
        <v/>
      </c>
      <c r="U235" s="211" t="str">
        <f>IF(AND(A235&lt;&gt;"",_xlfn.IFNA(MATCH(A235,'dynamic resource application '!$A$2:$A$100, 0),0)&lt;&gt;0), I235/(IF($E$2="Deployment",E235,1)),"")</f>
        <v/>
      </c>
    </row>
    <row r="236" spans="1:21" ht="15.75" customHeight="1" x14ac:dyDescent="0.25">
      <c r="A236" s="35" t="str">
        <f>IF(ISNONTEXT(deployment_raw[[#This Row],[Column1]]), "", deployment_raw[[#This Row],[Column1]])</f>
        <v/>
      </c>
      <c r="B236" s="36" t="str">
        <f>IF(ISNONTEXT(deployment_raw[[#This Row],[Column2]]), "", deployment_raw[[#This Row],[Column2]])</f>
        <v/>
      </c>
      <c r="C236" s="36" t="str">
        <f>IF(ISNONTEXT(deployment_raw[[#This Row],[Column3]]), "", deployment_raw[[#This Row],[Column3]])</f>
        <v/>
      </c>
      <c r="D236" s="36" t="str">
        <f>IF(ISNONTEXT(deployment_raw[[#This Row],[Column4]]), "", deployment_raw[[#This Row],[Column4]])</f>
        <v/>
      </c>
      <c r="E236" s="37" t="str">
        <f>IF(ISNUMBER(deployment_raw[[#This Row],[Column5]]), deployment_raw[[#This Row],[Column5]],"")</f>
        <v/>
      </c>
      <c r="F236" s="94" t="str">
        <f>IF(ISNUMBER(deployment_raw[[#This Row],[Column6]]), (deployment_raw[[#This Row],[Column6]] * IF($E$2="Deployment",deployment_raw[[#This Row],[Column5]],1)),"")</f>
        <v/>
      </c>
      <c r="G236" s="95" t="str">
        <f>IF(ISNUMBER(deployment_raw[[#This Row],[Column7]]), (deployment_raw[[#This Row],[Column7]] * IF($E$2="Deployment",deployment_raw[[#This Row],[Column5]],1))/1048576,"")</f>
        <v/>
      </c>
      <c r="H236" s="95" t="str">
        <f>IF(ISNUMBER(deployment_raw[[#This Row],[Column8]]), (deployment_raw[[#This Row],[Column8]]  * IF($E$2="Deployment",deployment_raw[[#This Row],[Column5]],1)),"")</f>
        <v/>
      </c>
      <c r="I236" s="96" t="str">
        <f>IF(ISNUMBER(deployment_raw[[#This Row],[Column9]]), (deployment_raw[[#This Row],[Column9]] * IF($E$2="Deployment",deployment_raw[[#This Row],[Column5]],1))/1048576,"")</f>
        <v/>
      </c>
      <c r="J236" s="122" t="str">
        <f>IF(ISNUMBER(deployment_raw[[#This Row],[Column10]]), (MIN(IF(N236&lt;&gt;"",N236,9999999999999)*1.1,deployment_raw[[#This Row],[Column10]] * IF($E$2="Deployment",deployment_raw[[#This Row],[Column5]],1))),"")</f>
        <v/>
      </c>
      <c r="K236" s="123" t="str">
        <f>IF(ISNUMBER(deployment_raw[[#This Row],[Column11]]), (MIN(IF(O236&lt;&gt;"",O236,9999999999999)*1.1,deployment_raw[[#This Row],[Column11]] * IF($E$2="Deployment",deployment_raw[[#This Row],[Column5]],1)/1048576)),"")</f>
        <v/>
      </c>
      <c r="L236" s="124" t="str">
        <f>IF(ISNUMBER(deployment_raw[[#This Row],[Column8]]),IF(OR(deployment_raw[[#This Row],[Column5]] &lt;&gt; 0,$E$2 &lt;&gt; "Deployment"), MAX(J236, P236, R236, ($L$2 * IF($E$2="Deployment",deployment_raw[[#This Row],[Column5]],1)),IF(T236&lt;&gt;"",VALUE(T236) * IF($E$2="Deployment",deployment_raw[[#This Row],[Column5]],1),0)), 0),"")</f>
        <v/>
      </c>
      <c r="M236" s="125" t="str">
        <f>IF(ISNUMBER(deployment_raw[[#This Row],[Column9]]),IF(OR(deployment_raw[[#This Row],[Column5]] &lt;&gt; 0,$E$2&lt;&gt;"Deployment"), MAX(K236, Q236, S236, ($M$2 * IF($E$2="Deployment",deployment_raw[[#This Row],[Column5]],1)),IF(U236&lt;&gt;"",VALUE(U236) * IF($E$2="Deployment",deployment_raw[[#This Row],[Column5]],1),0)), 0),"")</f>
        <v/>
      </c>
      <c r="N236" s="166" t="str">
        <f>IF(ISNUMBER(deployment_raw[[#This Row],[Column14]]), deployment_raw[[#This Row],[Column14]]/IF(OR($E$2="Deployment",deployment_raw[[#This Row],[Column5]]=0),1,deployment_raw[[#This Row],[Column5]]),"")</f>
        <v/>
      </c>
      <c r="O236" s="167" t="str">
        <f>IF(ISNUMBER(deployment_raw[[#This Row],[Column15]]), deployment_raw[[#This Row],[Column15]]/IF(OR($E$2="Deployment",deployment_raw[[#This Row],[Column5]]=0),1,deployment_raw[[#This Row],[Column5]])/1048576,"")</f>
        <v/>
      </c>
      <c r="P236" s="168" t="str">
        <f>IF(ISNUMBER(deployment_raw[[#This Row],[Column12]]), (MIN(IF(N236&lt;&gt;"",N236,9999999999999)*1.1,deployment_raw[[#This Row],[Column12]] * IF($E$2="Deployment",deployment_raw[[#This Row],[Column5]],1))*(1+$P$2)),"")</f>
        <v/>
      </c>
      <c r="Q236" s="167" t="str">
        <f>IF(ISNUMBER(deployment_raw[[#This Row],[Column13]]), (MIN(IF(O236&lt;&gt;"",O236,9999999999999)*1.1,deployment_raw[[#This Row],[Column13]] * IF($E$2="Deployment",deployment_raw[[#This Row],[Column5]],1)*(1+$Q$2)/1048576)),"")</f>
        <v/>
      </c>
      <c r="R236" s="169" t="str">
        <f>IF(ISNUMBER(deployment_raw[[#This Row],[Column8]]), (H236  * IF(N236&lt;&gt;0,$R$2,1)),"")</f>
        <v/>
      </c>
      <c r="S236" s="170" t="str">
        <f>IF(ISNUMBER(deployment_raw[[#This Row],[Column8]]), (I236  * IF(O236&lt;&gt;0,$S$2,1)),"")</f>
        <v/>
      </c>
      <c r="T236" s="202" t="str">
        <f>IF(AND(A236&lt;&gt;"",_xlfn.IFNA(MATCH(A236,'dynamic resource application '!$A$2:$A$100, 0),0)&lt;&gt;0), H236/(IF($E$2="Deployment",E236,1)),"")</f>
        <v/>
      </c>
      <c r="U236" s="211" t="str">
        <f>IF(AND(A236&lt;&gt;"",_xlfn.IFNA(MATCH(A236,'dynamic resource application '!$A$2:$A$100, 0),0)&lt;&gt;0), I236/(IF($E$2="Deployment",E236,1)),"")</f>
        <v/>
      </c>
    </row>
    <row r="237" spans="1:21" ht="15.75" customHeight="1" x14ac:dyDescent="0.25">
      <c r="A237" s="35" t="str">
        <f>IF(ISNONTEXT(deployment_raw[[#This Row],[Column1]]), "", deployment_raw[[#This Row],[Column1]])</f>
        <v/>
      </c>
      <c r="B237" s="36" t="str">
        <f>IF(ISNONTEXT(deployment_raw[[#This Row],[Column2]]), "", deployment_raw[[#This Row],[Column2]])</f>
        <v/>
      </c>
      <c r="C237" s="36" t="str">
        <f>IF(ISNONTEXT(deployment_raw[[#This Row],[Column3]]), "", deployment_raw[[#This Row],[Column3]])</f>
        <v/>
      </c>
      <c r="D237" s="36" t="str">
        <f>IF(ISNONTEXT(deployment_raw[[#This Row],[Column4]]), "", deployment_raw[[#This Row],[Column4]])</f>
        <v/>
      </c>
      <c r="E237" s="37" t="str">
        <f>IF(ISNUMBER(deployment_raw[[#This Row],[Column5]]), deployment_raw[[#This Row],[Column5]],"")</f>
        <v/>
      </c>
      <c r="F237" s="94" t="str">
        <f>IF(ISNUMBER(deployment_raw[[#This Row],[Column6]]), (deployment_raw[[#This Row],[Column6]] * IF($E$2="Deployment",deployment_raw[[#This Row],[Column5]],1)),"")</f>
        <v/>
      </c>
      <c r="G237" s="95" t="str">
        <f>IF(ISNUMBER(deployment_raw[[#This Row],[Column7]]), (deployment_raw[[#This Row],[Column7]] * IF($E$2="Deployment",deployment_raw[[#This Row],[Column5]],1))/1048576,"")</f>
        <v/>
      </c>
      <c r="H237" s="95" t="str">
        <f>IF(ISNUMBER(deployment_raw[[#This Row],[Column8]]), (deployment_raw[[#This Row],[Column8]]  * IF($E$2="Deployment",deployment_raw[[#This Row],[Column5]],1)),"")</f>
        <v/>
      </c>
      <c r="I237" s="96" t="str">
        <f>IF(ISNUMBER(deployment_raw[[#This Row],[Column9]]), (deployment_raw[[#This Row],[Column9]] * IF($E$2="Deployment",deployment_raw[[#This Row],[Column5]],1))/1048576,"")</f>
        <v/>
      </c>
      <c r="J237" s="122" t="str">
        <f>IF(ISNUMBER(deployment_raw[[#This Row],[Column10]]), (MIN(IF(N237&lt;&gt;"",N237,9999999999999)*1.1,deployment_raw[[#This Row],[Column10]] * IF($E$2="Deployment",deployment_raw[[#This Row],[Column5]],1))),"")</f>
        <v/>
      </c>
      <c r="K237" s="123" t="str">
        <f>IF(ISNUMBER(deployment_raw[[#This Row],[Column11]]), (MIN(IF(O237&lt;&gt;"",O237,9999999999999)*1.1,deployment_raw[[#This Row],[Column11]] * IF($E$2="Deployment",deployment_raw[[#This Row],[Column5]],1)/1048576)),"")</f>
        <v/>
      </c>
      <c r="L237" s="124" t="str">
        <f>IF(ISNUMBER(deployment_raw[[#This Row],[Column8]]),IF(OR(deployment_raw[[#This Row],[Column5]] &lt;&gt; 0,$E$2 &lt;&gt; "Deployment"), MAX(J237, P237, R237, ($L$2 * IF($E$2="Deployment",deployment_raw[[#This Row],[Column5]],1)),IF(T237&lt;&gt;"",VALUE(T237) * IF($E$2="Deployment",deployment_raw[[#This Row],[Column5]],1),0)), 0),"")</f>
        <v/>
      </c>
      <c r="M237" s="125" t="str">
        <f>IF(ISNUMBER(deployment_raw[[#This Row],[Column9]]),IF(OR(deployment_raw[[#This Row],[Column5]] &lt;&gt; 0,$E$2&lt;&gt;"Deployment"), MAX(K237, Q237, S237, ($M$2 * IF($E$2="Deployment",deployment_raw[[#This Row],[Column5]],1)),IF(U237&lt;&gt;"",VALUE(U237) * IF($E$2="Deployment",deployment_raw[[#This Row],[Column5]],1),0)), 0),"")</f>
        <v/>
      </c>
      <c r="N237" s="166" t="str">
        <f>IF(ISNUMBER(deployment_raw[[#This Row],[Column14]]), deployment_raw[[#This Row],[Column14]]/IF(OR($E$2="Deployment",deployment_raw[[#This Row],[Column5]]=0),1,deployment_raw[[#This Row],[Column5]]),"")</f>
        <v/>
      </c>
      <c r="O237" s="167" t="str">
        <f>IF(ISNUMBER(deployment_raw[[#This Row],[Column15]]), deployment_raw[[#This Row],[Column15]]/IF(OR($E$2="Deployment",deployment_raw[[#This Row],[Column5]]=0),1,deployment_raw[[#This Row],[Column5]])/1048576,"")</f>
        <v/>
      </c>
      <c r="P237" s="168" t="str">
        <f>IF(ISNUMBER(deployment_raw[[#This Row],[Column12]]), (MIN(IF(N237&lt;&gt;"",N237,9999999999999)*1.1,deployment_raw[[#This Row],[Column12]] * IF($E$2="Deployment",deployment_raw[[#This Row],[Column5]],1))*(1+$P$2)),"")</f>
        <v/>
      </c>
      <c r="Q237" s="167" t="str">
        <f>IF(ISNUMBER(deployment_raw[[#This Row],[Column13]]), (MIN(IF(O237&lt;&gt;"",O237,9999999999999)*1.1,deployment_raw[[#This Row],[Column13]] * IF($E$2="Deployment",deployment_raw[[#This Row],[Column5]],1)*(1+$Q$2)/1048576)),"")</f>
        <v/>
      </c>
      <c r="R237" s="169" t="str">
        <f>IF(ISNUMBER(deployment_raw[[#This Row],[Column8]]), (H237  * IF(N237&lt;&gt;0,$R$2,1)),"")</f>
        <v/>
      </c>
      <c r="S237" s="170" t="str">
        <f>IF(ISNUMBER(deployment_raw[[#This Row],[Column8]]), (I237  * IF(O237&lt;&gt;0,$S$2,1)),"")</f>
        <v/>
      </c>
      <c r="T237" s="202" t="str">
        <f>IF(AND(A237&lt;&gt;"",_xlfn.IFNA(MATCH(A237,'dynamic resource application '!$A$2:$A$100, 0),0)&lt;&gt;0), H237/(IF($E$2="Deployment",E237,1)),"")</f>
        <v/>
      </c>
      <c r="U237" s="211" t="str">
        <f>IF(AND(A237&lt;&gt;"",_xlfn.IFNA(MATCH(A237,'dynamic resource application '!$A$2:$A$100, 0),0)&lt;&gt;0), I237/(IF($E$2="Deployment",E237,1)),"")</f>
        <v/>
      </c>
    </row>
    <row r="238" spans="1:21" ht="15.75" customHeight="1" x14ac:dyDescent="0.25">
      <c r="A238" s="35" t="str">
        <f>IF(ISNONTEXT(deployment_raw[[#This Row],[Column1]]), "", deployment_raw[[#This Row],[Column1]])</f>
        <v/>
      </c>
      <c r="B238" s="36" t="str">
        <f>IF(ISNONTEXT(deployment_raw[[#This Row],[Column2]]), "", deployment_raw[[#This Row],[Column2]])</f>
        <v/>
      </c>
      <c r="C238" s="36" t="str">
        <f>IF(ISNONTEXT(deployment_raw[[#This Row],[Column3]]), "", deployment_raw[[#This Row],[Column3]])</f>
        <v/>
      </c>
      <c r="D238" s="36" t="str">
        <f>IF(ISNONTEXT(deployment_raw[[#This Row],[Column4]]), "", deployment_raw[[#This Row],[Column4]])</f>
        <v/>
      </c>
      <c r="E238" s="37" t="str">
        <f>IF(ISNUMBER(deployment_raw[[#This Row],[Column5]]), deployment_raw[[#This Row],[Column5]],"")</f>
        <v/>
      </c>
      <c r="F238" s="94" t="str">
        <f>IF(ISNUMBER(deployment_raw[[#This Row],[Column6]]), (deployment_raw[[#This Row],[Column6]] * IF($E$2="Deployment",deployment_raw[[#This Row],[Column5]],1)),"")</f>
        <v/>
      </c>
      <c r="G238" s="95" t="str">
        <f>IF(ISNUMBER(deployment_raw[[#This Row],[Column7]]), (deployment_raw[[#This Row],[Column7]] * IF($E$2="Deployment",deployment_raw[[#This Row],[Column5]],1))/1048576,"")</f>
        <v/>
      </c>
      <c r="H238" s="95" t="str">
        <f>IF(ISNUMBER(deployment_raw[[#This Row],[Column8]]), (deployment_raw[[#This Row],[Column8]]  * IF($E$2="Deployment",deployment_raw[[#This Row],[Column5]],1)),"")</f>
        <v/>
      </c>
      <c r="I238" s="96" t="str">
        <f>IF(ISNUMBER(deployment_raw[[#This Row],[Column9]]), (deployment_raw[[#This Row],[Column9]] * IF($E$2="Deployment",deployment_raw[[#This Row],[Column5]],1))/1048576,"")</f>
        <v/>
      </c>
      <c r="J238" s="122" t="str">
        <f>IF(ISNUMBER(deployment_raw[[#This Row],[Column10]]), (MIN(IF(N238&lt;&gt;"",N238,9999999999999)*1.1,deployment_raw[[#This Row],[Column10]] * IF($E$2="Deployment",deployment_raw[[#This Row],[Column5]],1))),"")</f>
        <v/>
      </c>
      <c r="K238" s="123" t="str">
        <f>IF(ISNUMBER(deployment_raw[[#This Row],[Column11]]), (MIN(IF(O238&lt;&gt;"",O238,9999999999999)*1.1,deployment_raw[[#This Row],[Column11]] * IF($E$2="Deployment",deployment_raw[[#This Row],[Column5]],1)/1048576)),"")</f>
        <v/>
      </c>
      <c r="L238" s="124" t="str">
        <f>IF(ISNUMBER(deployment_raw[[#This Row],[Column8]]),IF(OR(deployment_raw[[#This Row],[Column5]] &lt;&gt; 0,$E$2 &lt;&gt; "Deployment"), MAX(J238, P238, R238, ($L$2 * IF($E$2="Deployment",deployment_raw[[#This Row],[Column5]],1)),IF(T238&lt;&gt;"",VALUE(T238) * IF($E$2="Deployment",deployment_raw[[#This Row],[Column5]],1),0)), 0),"")</f>
        <v/>
      </c>
      <c r="M238" s="125" t="str">
        <f>IF(ISNUMBER(deployment_raw[[#This Row],[Column9]]),IF(OR(deployment_raw[[#This Row],[Column5]] &lt;&gt; 0,$E$2&lt;&gt;"Deployment"), MAX(K238, Q238, S238, ($M$2 * IF($E$2="Deployment",deployment_raw[[#This Row],[Column5]],1)),IF(U238&lt;&gt;"",VALUE(U238) * IF($E$2="Deployment",deployment_raw[[#This Row],[Column5]],1),0)), 0),"")</f>
        <v/>
      </c>
      <c r="N238" s="166" t="str">
        <f>IF(ISNUMBER(deployment_raw[[#This Row],[Column14]]), deployment_raw[[#This Row],[Column14]]/IF(OR($E$2="Deployment",deployment_raw[[#This Row],[Column5]]=0),1,deployment_raw[[#This Row],[Column5]]),"")</f>
        <v/>
      </c>
      <c r="O238" s="167" t="str">
        <f>IF(ISNUMBER(deployment_raw[[#This Row],[Column15]]), deployment_raw[[#This Row],[Column15]]/IF(OR($E$2="Deployment",deployment_raw[[#This Row],[Column5]]=0),1,deployment_raw[[#This Row],[Column5]])/1048576,"")</f>
        <v/>
      </c>
      <c r="P238" s="168" t="str">
        <f>IF(ISNUMBER(deployment_raw[[#This Row],[Column12]]), (MIN(IF(N238&lt;&gt;"",N238,9999999999999)*1.1,deployment_raw[[#This Row],[Column12]] * IF($E$2="Deployment",deployment_raw[[#This Row],[Column5]],1))*(1+$P$2)),"")</f>
        <v/>
      </c>
      <c r="Q238" s="167" t="str">
        <f>IF(ISNUMBER(deployment_raw[[#This Row],[Column13]]), (MIN(IF(O238&lt;&gt;"",O238,9999999999999)*1.1,deployment_raw[[#This Row],[Column13]] * IF($E$2="Deployment",deployment_raw[[#This Row],[Column5]],1)*(1+$Q$2)/1048576)),"")</f>
        <v/>
      </c>
      <c r="R238" s="169" t="str">
        <f>IF(ISNUMBER(deployment_raw[[#This Row],[Column8]]), (H238  * IF(N238&lt;&gt;0,$R$2,1)),"")</f>
        <v/>
      </c>
      <c r="S238" s="170" t="str">
        <f>IF(ISNUMBER(deployment_raw[[#This Row],[Column8]]), (I238  * IF(O238&lt;&gt;0,$S$2,1)),"")</f>
        <v/>
      </c>
      <c r="T238" s="202" t="str">
        <f>IF(AND(A238&lt;&gt;"",_xlfn.IFNA(MATCH(A238,'dynamic resource application '!$A$2:$A$100, 0),0)&lt;&gt;0), H238/(IF($E$2="Deployment",E238,1)),"")</f>
        <v/>
      </c>
      <c r="U238" s="211" t="str">
        <f>IF(AND(A238&lt;&gt;"",_xlfn.IFNA(MATCH(A238,'dynamic resource application '!$A$2:$A$100, 0),0)&lt;&gt;0), I238/(IF($E$2="Deployment",E238,1)),"")</f>
        <v/>
      </c>
    </row>
    <row r="239" spans="1:21" ht="15.75" customHeight="1" x14ac:dyDescent="0.25">
      <c r="A239" s="35" t="str">
        <f>IF(ISNONTEXT(deployment_raw[[#This Row],[Column1]]), "", deployment_raw[[#This Row],[Column1]])</f>
        <v/>
      </c>
      <c r="B239" s="36" t="str">
        <f>IF(ISNONTEXT(deployment_raw[[#This Row],[Column2]]), "", deployment_raw[[#This Row],[Column2]])</f>
        <v/>
      </c>
      <c r="C239" s="36" t="str">
        <f>IF(ISNONTEXT(deployment_raw[[#This Row],[Column3]]), "", deployment_raw[[#This Row],[Column3]])</f>
        <v/>
      </c>
      <c r="D239" s="36" t="str">
        <f>IF(ISNONTEXT(deployment_raw[[#This Row],[Column4]]), "", deployment_raw[[#This Row],[Column4]])</f>
        <v/>
      </c>
      <c r="E239" s="37" t="str">
        <f>IF(ISNUMBER(deployment_raw[[#This Row],[Column5]]), deployment_raw[[#This Row],[Column5]],"")</f>
        <v/>
      </c>
      <c r="F239" s="94" t="str">
        <f>IF(ISNUMBER(deployment_raw[[#This Row],[Column6]]), (deployment_raw[[#This Row],[Column6]] * IF($E$2="Deployment",deployment_raw[[#This Row],[Column5]],1)),"")</f>
        <v/>
      </c>
      <c r="G239" s="95" t="str">
        <f>IF(ISNUMBER(deployment_raw[[#This Row],[Column7]]), (deployment_raw[[#This Row],[Column7]] * IF($E$2="Deployment",deployment_raw[[#This Row],[Column5]],1))/1048576,"")</f>
        <v/>
      </c>
      <c r="H239" s="95" t="str">
        <f>IF(ISNUMBER(deployment_raw[[#This Row],[Column8]]), (deployment_raw[[#This Row],[Column8]]  * IF($E$2="Deployment",deployment_raw[[#This Row],[Column5]],1)),"")</f>
        <v/>
      </c>
      <c r="I239" s="96" t="str">
        <f>IF(ISNUMBER(deployment_raw[[#This Row],[Column9]]), (deployment_raw[[#This Row],[Column9]] * IF($E$2="Deployment",deployment_raw[[#This Row],[Column5]],1))/1048576,"")</f>
        <v/>
      </c>
      <c r="J239" s="122" t="str">
        <f>IF(ISNUMBER(deployment_raw[[#This Row],[Column10]]), (MIN(IF(N239&lt;&gt;"",N239,9999999999999)*1.1,deployment_raw[[#This Row],[Column10]] * IF($E$2="Deployment",deployment_raw[[#This Row],[Column5]],1))),"")</f>
        <v/>
      </c>
      <c r="K239" s="123" t="str">
        <f>IF(ISNUMBER(deployment_raw[[#This Row],[Column11]]), (MIN(IF(O239&lt;&gt;"",O239,9999999999999)*1.1,deployment_raw[[#This Row],[Column11]] * IF($E$2="Deployment",deployment_raw[[#This Row],[Column5]],1)/1048576)),"")</f>
        <v/>
      </c>
      <c r="L239" s="124" t="str">
        <f>IF(ISNUMBER(deployment_raw[[#This Row],[Column8]]),IF(OR(deployment_raw[[#This Row],[Column5]] &lt;&gt; 0,$E$2 &lt;&gt; "Deployment"), MAX(J239, P239, R239, ($L$2 * IF($E$2="Deployment",deployment_raw[[#This Row],[Column5]],1)),IF(T239&lt;&gt;"",VALUE(T239) * IF($E$2="Deployment",deployment_raw[[#This Row],[Column5]],1),0)), 0),"")</f>
        <v/>
      </c>
      <c r="M239" s="125" t="str">
        <f>IF(ISNUMBER(deployment_raw[[#This Row],[Column9]]),IF(OR(deployment_raw[[#This Row],[Column5]] &lt;&gt; 0,$E$2&lt;&gt;"Deployment"), MAX(K239, Q239, S239, ($M$2 * IF($E$2="Deployment",deployment_raw[[#This Row],[Column5]],1)),IF(U239&lt;&gt;"",VALUE(U239) * IF($E$2="Deployment",deployment_raw[[#This Row],[Column5]],1),0)), 0),"")</f>
        <v/>
      </c>
      <c r="N239" s="166" t="str">
        <f>IF(ISNUMBER(deployment_raw[[#This Row],[Column14]]), deployment_raw[[#This Row],[Column14]]/IF(OR($E$2="Deployment",deployment_raw[[#This Row],[Column5]]=0),1,deployment_raw[[#This Row],[Column5]]),"")</f>
        <v/>
      </c>
      <c r="O239" s="167" t="str">
        <f>IF(ISNUMBER(deployment_raw[[#This Row],[Column15]]), deployment_raw[[#This Row],[Column15]]/IF(OR($E$2="Deployment",deployment_raw[[#This Row],[Column5]]=0),1,deployment_raw[[#This Row],[Column5]])/1048576,"")</f>
        <v/>
      </c>
      <c r="P239" s="168" t="str">
        <f>IF(ISNUMBER(deployment_raw[[#This Row],[Column12]]), (MIN(IF(N239&lt;&gt;"",N239,9999999999999)*1.1,deployment_raw[[#This Row],[Column12]] * IF($E$2="Deployment",deployment_raw[[#This Row],[Column5]],1))*(1+$P$2)),"")</f>
        <v/>
      </c>
      <c r="Q239" s="167" t="str">
        <f>IF(ISNUMBER(deployment_raw[[#This Row],[Column13]]), (MIN(IF(O239&lt;&gt;"",O239,9999999999999)*1.1,deployment_raw[[#This Row],[Column13]] * IF($E$2="Deployment",deployment_raw[[#This Row],[Column5]],1)*(1+$Q$2)/1048576)),"")</f>
        <v/>
      </c>
      <c r="R239" s="169" t="str">
        <f>IF(ISNUMBER(deployment_raw[[#This Row],[Column8]]), (H239  * IF(N239&lt;&gt;0,$R$2,1)),"")</f>
        <v/>
      </c>
      <c r="S239" s="170" t="str">
        <f>IF(ISNUMBER(deployment_raw[[#This Row],[Column8]]), (I239  * IF(O239&lt;&gt;0,$S$2,1)),"")</f>
        <v/>
      </c>
      <c r="T239" s="202" t="str">
        <f>IF(AND(A239&lt;&gt;"",_xlfn.IFNA(MATCH(A239,'dynamic resource application '!$A$2:$A$100, 0),0)&lt;&gt;0), H239/(IF($E$2="Deployment",E239,1)),"")</f>
        <v/>
      </c>
      <c r="U239" s="211" t="str">
        <f>IF(AND(A239&lt;&gt;"",_xlfn.IFNA(MATCH(A239,'dynamic resource application '!$A$2:$A$100, 0),0)&lt;&gt;0), I239/(IF($E$2="Deployment",E239,1)),"")</f>
        <v/>
      </c>
    </row>
    <row r="240" spans="1:21" ht="15.75" customHeight="1" x14ac:dyDescent="0.25">
      <c r="A240" s="35" t="str">
        <f>IF(ISNONTEXT(deployment_raw[[#This Row],[Column1]]), "", deployment_raw[[#This Row],[Column1]])</f>
        <v/>
      </c>
      <c r="B240" s="36" t="str">
        <f>IF(ISNONTEXT(deployment_raw[[#This Row],[Column2]]), "", deployment_raw[[#This Row],[Column2]])</f>
        <v/>
      </c>
      <c r="C240" s="36" t="str">
        <f>IF(ISNONTEXT(deployment_raw[[#This Row],[Column3]]), "", deployment_raw[[#This Row],[Column3]])</f>
        <v/>
      </c>
      <c r="D240" s="36" t="str">
        <f>IF(ISNONTEXT(deployment_raw[[#This Row],[Column4]]), "", deployment_raw[[#This Row],[Column4]])</f>
        <v/>
      </c>
      <c r="E240" s="37" t="str">
        <f>IF(ISNUMBER(deployment_raw[[#This Row],[Column5]]), deployment_raw[[#This Row],[Column5]],"")</f>
        <v/>
      </c>
      <c r="F240" s="94" t="str">
        <f>IF(ISNUMBER(deployment_raw[[#This Row],[Column6]]), (deployment_raw[[#This Row],[Column6]] * IF($E$2="Deployment",deployment_raw[[#This Row],[Column5]],1)),"")</f>
        <v/>
      </c>
      <c r="G240" s="95" t="str">
        <f>IF(ISNUMBER(deployment_raw[[#This Row],[Column7]]), (deployment_raw[[#This Row],[Column7]] * IF($E$2="Deployment",deployment_raw[[#This Row],[Column5]],1))/1048576,"")</f>
        <v/>
      </c>
      <c r="H240" s="95" t="str">
        <f>IF(ISNUMBER(deployment_raw[[#This Row],[Column8]]), (deployment_raw[[#This Row],[Column8]]  * IF($E$2="Deployment",deployment_raw[[#This Row],[Column5]],1)),"")</f>
        <v/>
      </c>
      <c r="I240" s="96" t="str">
        <f>IF(ISNUMBER(deployment_raw[[#This Row],[Column9]]), (deployment_raw[[#This Row],[Column9]] * IF($E$2="Deployment",deployment_raw[[#This Row],[Column5]],1))/1048576,"")</f>
        <v/>
      </c>
      <c r="J240" s="122" t="str">
        <f>IF(ISNUMBER(deployment_raw[[#This Row],[Column10]]), (MIN(IF(N240&lt;&gt;"",N240,9999999999999)*1.1,deployment_raw[[#This Row],[Column10]] * IF($E$2="Deployment",deployment_raw[[#This Row],[Column5]],1))),"")</f>
        <v/>
      </c>
      <c r="K240" s="123" t="str">
        <f>IF(ISNUMBER(deployment_raw[[#This Row],[Column11]]), (MIN(IF(O240&lt;&gt;"",O240,9999999999999)*1.1,deployment_raw[[#This Row],[Column11]] * IF($E$2="Deployment",deployment_raw[[#This Row],[Column5]],1)/1048576)),"")</f>
        <v/>
      </c>
      <c r="L240" s="124" t="str">
        <f>IF(ISNUMBER(deployment_raw[[#This Row],[Column8]]),IF(OR(deployment_raw[[#This Row],[Column5]] &lt;&gt; 0,$E$2 &lt;&gt; "Deployment"), MAX(J240, P240, R240, ($L$2 * IF($E$2="Deployment",deployment_raw[[#This Row],[Column5]],1)),IF(T240&lt;&gt;"",VALUE(T240) * IF($E$2="Deployment",deployment_raw[[#This Row],[Column5]],1),0)), 0),"")</f>
        <v/>
      </c>
      <c r="M240" s="125" t="str">
        <f>IF(ISNUMBER(deployment_raw[[#This Row],[Column9]]),IF(OR(deployment_raw[[#This Row],[Column5]] &lt;&gt; 0,$E$2&lt;&gt;"Deployment"), MAX(K240, Q240, S240, ($M$2 * IF($E$2="Deployment",deployment_raw[[#This Row],[Column5]],1)),IF(U240&lt;&gt;"",VALUE(U240) * IF($E$2="Deployment",deployment_raw[[#This Row],[Column5]],1),0)), 0),"")</f>
        <v/>
      </c>
      <c r="N240" s="166" t="str">
        <f>IF(ISNUMBER(deployment_raw[[#This Row],[Column14]]), deployment_raw[[#This Row],[Column14]]/IF(OR($E$2="Deployment",deployment_raw[[#This Row],[Column5]]=0),1,deployment_raw[[#This Row],[Column5]]),"")</f>
        <v/>
      </c>
      <c r="O240" s="167" t="str">
        <f>IF(ISNUMBER(deployment_raw[[#This Row],[Column15]]), deployment_raw[[#This Row],[Column15]]/IF(OR($E$2="Deployment",deployment_raw[[#This Row],[Column5]]=0),1,deployment_raw[[#This Row],[Column5]])/1048576,"")</f>
        <v/>
      </c>
      <c r="P240" s="168" t="str">
        <f>IF(ISNUMBER(deployment_raw[[#This Row],[Column12]]), (MIN(IF(N240&lt;&gt;"",N240,9999999999999)*1.1,deployment_raw[[#This Row],[Column12]] * IF($E$2="Deployment",deployment_raw[[#This Row],[Column5]],1))*(1+$P$2)),"")</f>
        <v/>
      </c>
      <c r="Q240" s="167" t="str">
        <f>IF(ISNUMBER(deployment_raw[[#This Row],[Column13]]), (MIN(IF(O240&lt;&gt;"",O240,9999999999999)*1.1,deployment_raw[[#This Row],[Column13]] * IF($E$2="Deployment",deployment_raw[[#This Row],[Column5]],1)*(1+$Q$2)/1048576)),"")</f>
        <v/>
      </c>
      <c r="R240" s="169" t="str">
        <f>IF(ISNUMBER(deployment_raw[[#This Row],[Column8]]), (H240  * IF(N240&lt;&gt;0,$R$2,1)),"")</f>
        <v/>
      </c>
      <c r="S240" s="170" t="str">
        <f>IF(ISNUMBER(deployment_raw[[#This Row],[Column8]]), (I240  * IF(O240&lt;&gt;0,$S$2,1)),"")</f>
        <v/>
      </c>
      <c r="T240" s="202" t="str">
        <f>IF(AND(A240&lt;&gt;"",_xlfn.IFNA(MATCH(A240,'dynamic resource application '!$A$2:$A$100, 0),0)&lt;&gt;0), H240/(IF($E$2="Deployment",E240,1)),"")</f>
        <v/>
      </c>
      <c r="U240" s="211" t="str">
        <f>IF(AND(A240&lt;&gt;"",_xlfn.IFNA(MATCH(A240,'dynamic resource application '!$A$2:$A$100, 0),0)&lt;&gt;0), I240/(IF($E$2="Deployment",E240,1)),"")</f>
        <v/>
      </c>
    </row>
    <row r="241" spans="1:21" ht="15.75" customHeight="1" x14ac:dyDescent="0.25">
      <c r="A241" s="35" t="str">
        <f>IF(ISNONTEXT(deployment_raw[[#This Row],[Column1]]), "", deployment_raw[[#This Row],[Column1]])</f>
        <v/>
      </c>
      <c r="B241" s="36" t="str">
        <f>IF(ISNONTEXT(deployment_raw[[#This Row],[Column2]]), "", deployment_raw[[#This Row],[Column2]])</f>
        <v/>
      </c>
      <c r="C241" s="36" t="str">
        <f>IF(ISNONTEXT(deployment_raw[[#This Row],[Column3]]), "", deployment_raw[[#This Row],[Column3]])</f>
        <v/>
      </c>
      <c r="D241" s="36" t="str">
        <f>IF(ISNONTEXT(deployment_raw[[#This Row],[Column4]]), "", deployment_raw[[#This Row],[Column4]])</f>
        <v/>
      </c>
      <c r="E241" s="37" t="str">
        <f>IF(ISNUMBER(deployment_raw[[#This Row],[Column5]]), deployment_raw[[#This Row],[Column5]],"")</f>
        <v/>
      </c>
      <c r="F241" s="94" t="str">
        <f>IF(ISNUMBER(deployment_raw[[#This Row],[Column6]]), (deployment_raw[[#This Row],[Column6]] * IF($E$2="Deployment",deployment_raw[[#This Row],[Column5]],1)),"")</f>
        <v/>
      </c>
      <c r="G241" s="95" t="str">
        <f>IF(ISNUMBER(deployment_raw[[#This Row],[Column7]]), (deployment_raw[[#This Row],[Column7]] * IF($E$2="Deployment",deployment_raw[[#This Row],[Column5]],1))/1048576,"")</f>
        <v/>
      </c>
      <c r="H241" s="95" t="str">
        <f>IF(ISNUMBER(deployment_raw[[#This Row],[Column8]]), (deployment_raw[[#This Row],[Column8]]  * IF($E$2="Deployment",deployment_raw[[#This Row],[Column5]],1)),"")</f>
        <v/>
      </c>
      <c r="I241" s="96" t="str">
        <f>IF(ISNUMBER(deployment_raw[[#This Row],[Column9]]), (deployment_raw[[#This Row],[Column9]] * IF($E$2="Deployment",deployment_raw[[#This Row],[Column5]],1))/1048576,"")</f>
        <v/>
      </c>
      <c r="J241" s="122" t="str">
        <f>IF(ISNUMBER(deployment_raw[[#This Row],[Column10]]), (MIN(IF(N241&lt;&gt;"",N241,9999999999999)*1.1,deployment_raw[[#This Row],[Column10]] * IF($E$2="Deployment",deployment_raw[[#This Row],[Column5]],1))),"")</f>
        <v/>
      </c>
      <c r="K241" s="123" t="str">
        <f>IF(ISNUMBER(deployment_raw[[#This Row],[Column11]]), (MIN(IF(O241&lt;&gt;"",O241,9999999999999)*1.1,deployment_raw[[#This Row],[Column11]] * IF($E$2="Deployment",deployment_raw[[#This Row],[Column5]],1)/1048576)),"")</f>
        <v/>
      </c>
      <c r="L241" s="124" t="str">
        <f>IF(ISNUMBER(deployment_raw[[#This Row],[Column8]]),IF(OR(deployment_raw[[#This Row],[Column5]] &lt;&gt; 0,$E$2 &lt;&gt; "Deployment"), MAX(J241, P241, R241, ($L$2 * IF($E$2="Deployment",deployment_raw[[#This Row],[Column5]],1)),IF(T241&lt;&gt;"",VALUE(T241) * IF($E$2="Deployment",deployment_raw[[#This Row],[Column5]],1),0)), 0),"")</f>
        <v/>
      </c>
      <c r="M241" s="125" t="str">
        <f>IF(ISNUMBER(deployment_raw[[#This Row],[Column9]]),IF(OR(deployment_raw[[#This Row],[Column5]] &lt;&gt; 0,$E$2&lt;&gt;"Deployment"), MAX(K241, Q241, S241, ($M$2 * IF($E$2="Deployment",deployment_raw[[#This Row],[Column5]],1)),IF(U241&lt;&gt;"",VALUE(U241) * IF($E$2="Deployment",deployment_raw[[#This Row],[Column5]],1),0)), 0),"")</f>
        <v/>
      </c>
      <c r="N241" s="166" t="str">
        <f>IF(ISNUMBER(deployment_raw[[#This Row],[Column14]]), deployment_raw[[#This Row],[Column14]]/IF(OR($E$2="Deployment",deployment_raw[[#This Row],[Column5]]=0),1,deployment_raw[[#This Row],[Column5]]),"")</f>
        <v/>
      </c>
      <c r="O241" s="167" t="str">
        <f>IF(ISNUMBER(deployment_raw[[#This Row],[Column15]]), deployment_raw[[#This Row],[Column15]]/IF(OR($E$2="Deployment",deployment_raw[[#This Row],[Column5]]=0),1,deployment_raw[[#This Row],[Column5]])/1048576,"")</f>
        <v/>
      </c>
      <c r="P241" s="168" t="str">
        <f>IF(ISNUMBER(deployment_raw[[#This Row],[Column12]]), (MIN(IF(N241&lt;&gt;"",N241,9999999999999)*1.1,deployment_raw[[#This Row],[Column12]] * IF($E$2="Deployment",deployment_raw[[#This Row],[Column5]],1))*(1+$P$2)),"")</f>
        <v/>
      </c>
      <c r="Q241" s="167" t="str">
        <f>IF(ISNUMBER(deployment_raw[[#This Row],[Column13]]), (MIN(IF(O241&lt;&gt;"",O241,9999999999999)*1.1,deployment_raw[[#This Row],[Column13]] * IF($E$2="Deployment",deployment_raw[[#This Row],[Column5]],1)*(1+$Q$2)/1048576)),"")</f>
        <v/>
      </c>
      <c r="R241" s="169" t="str">
        <f>IF(ISNUMBER(deployment_raw[[#This Row],[Column8]]), (H241  * IF(N241&lt;&gt;0,$R$2,1)),"")</f>
        <v/>
      </c>
      <c r="S241" s="170" t="str">
        <f>IF(ISNUMBER(deployment_raw[[#This Row],[Column8]]), (I241  * IF(O241&lt;&gt;0,$S$2,1)),"")</f>
        <v/>
      </c>
      <c r="T241" s="202" t="str">
        <f>IF(AND(A241&lt;&gt;"",_xlfn.IFNA(MATCH(A241,'dynamic resource application '!$A$2:$A$100, 0),0)&lt;&gt;0), H241/(IF($E$2="Deployment",E241,1)),"")</f>
        <v/>
      </c>
      <c r="U241" s="211" t="str">
        <f>IF(AND(A241&lt;&gt;"",_xlfn.IFNA(MATCH(A241,'dynamic resource application '!$A$2:$A$100, 0),0)&lt;&gt;0), I241/(IF($E$2="Deployment",E241,1)),"")</f>
        <v/>
      </c>
    </row>
    <row r="242" spans="1:21" ht="15.75" customHeight="1" x14ac:dyDescent="0.25">
      <c r="A242" s="35" t="str">
        <f>IF(ISNONTEXT(deployment_raw[[#This Row],[Column1]]), "", deployment_raw[[#This Row],[Column1]])</f>
        <v/>
      </c>
      <c r="B242" s="36" t="str">
        <f>IF(ISNONTEXT(deployment_raw[[#This Row],[Column2]]), "", deployment_raw[[#This Row],[Column2]])</f>
        <v/>
      </c>
      <c r="C242" s="36" t="str">
        <f>IF(ISNONTEXT(deployment_raw[[#This Row],[Column3]]), "", deployment_raw[[#This Row],[Column3]])</f>
        <v/>
      </c>
      <c r="D242" s="36" t="str">
        <f>IF(ISNONTEXT(deployment_raw[[#This Row],[Column4]]), "", deployment_raw[[#This Row],[Column4]])</f>
        <v/>
      </c>
      <c r="E242" s="37" t="str">
        <f>IF(ISNUMBER(deployment_raw[[#This Row],[Column5]]), deployment_raw[[#This Row],[Column5]],"")</f>
        <v/>
      </c>
      <c r="F242" s="94" t="str">
        <f>IF(ISNUMBER(deployment_raw[[#This Row],[Column6]]), (deployment_raw[[#This Row],[Column6]] * IF($E$2="Deployment",deployment_raw[[#This Row],[Column5]],1)),"")</f>
        <v/>
      </c>
      <c r="G242" s="95" t="str">
        <f>IF(ISNUMBER(deployment_raw[[#This Row],[Column7]]), (deployment_raw[[#This Row],[Column7]] * IF($E$2="Deployment",deployment_raw[[#This Row],[Column5]],1))/1048576,"")</f>
        <v/>
      </c>
      <c r="H242" s="95" t="str">
        <f>IF(ISNUMBER(deployment_raw[[#This Row],[Column8]]), (deployment_raw[[#This Row],[Column8]]  * IF($E$2="Deployment",deployment_raw[[#This Row],[Column5]],1)),"")</f>
        <v/>
      </c>
      <c r="I242" s="96" t="str">
        <f>IF(ISNUMBER(deployment_raw[[#This Row],[Column9]]), (deployment_raw[[#This Row],[Column9]] * IF($E$2="Deployment",deployment_raw[[#This Row],[Column5]],1))/1048576,"")</f>
        <v/>
      </c>
      <c r="J242" s="122" t="str">
        <f>IF(ISNUMBER(deployment_raw[[#This Row],[Column10]]), (MIN(IF(N242&lt;&gt;"",N242,9999999999999)*1.1,deployment_raw[[#This Row],[Column10]] * IF($E$2="Deployment",deployment_raw[[#This Row],[Column5]],1))),"")</f>
        <v/>
      </c>
      <c r="K242" s="123" t="str">
        <f>IF(ISNUMBER(deployment_raw[[#This Row],[Column11]]), (MIN(IF(O242&lt;&gt;"",O242,9999999999999)*1.1,deployment_raw[[#This Row],[Column11]] * IF($E$2="Deployment",deployment_raw[[#This Row],[Column5]],1)/1048576)),"")</f>
        <v/>
      </c>
      <c r="L242" s="124" t="str">
        <f>IF(ISNUMBER(deployment_raw[[#This Row],[Column8]]),IF(OR(deployment_raw[[#This Row],[Column5]] &lt;&gt; 0,$E$2 &lt;&gt; "Deployment"), MAX(J242, P242, R242, ($L$2 * IF($E$2="Deployment",deployment_raw[[#This Row],[Column5]],1)),IF(T242&lt;&gt;"",VALUE(T242) * IF($E$2="Deployment",deployment_raw[[#This Row],[Column5]],1),0)), 0),"")</f>
        <v/>
      </c>
      <c r="M242" s="125" t="str">
        <f>IF(ISNUMBER(deployment_raw[[#This Row],[Column9]]),IF(OR(deployment_raw[[#This Row],[Column5]] &lt;&gt; 0,$E$2&lt;&gt;"Deployment"), MAX(K242, Q242, S242, ($M$2 * IF($E$2="Deployment",deployment_raw[[#This Row],[Column5]],1)),IF(U242&lt;&gt;"",VALUE(U242) * IF($E$2="Deployment",deployment_raw[[#This Row],[Column5]],1),0)), 0),"")</f>
        <v/>
      </c>
      <c r="N242" s="166" t="str">
        <f>IF(ISNUMBER(deployment_raw[[#This Row],[Column14]]), deployment_raw[[#This Row],[Column14]]/IF(OR($E$2="Deployment",deployment_raw[[#This Row],[Column5]]=0),1,deployment_raw[[#This Row],[Column5]]),"")</f>
        <v/>
      </c>
      <c r="O242" s="167" t="str">
        <f>IF(ISNUMBER(deployment_raw[[#This Row],[Column15]]), deployment_raw[[#This Row],[Column15]]/IF(OR($E$2="Deployment",deployment_raw[[#This Row],[Column5]]=0),1,deployment_raw[[#This Row],[Column5]])/1048576,"")</f>
        <v/>
      </c>
      <c r="P242" s="168" t="str">
        <f>IF(ISNUMBER(deployment_raw[[#This Row],[Column12]]), (MIN(IF(N242&lt;&gt;"",N242,9999999999999)*1.1,deployment_raw[[#This Row],[Column12]] * IF($E$2="Deployment",deployment_raw[[#This Row],[Column5]],1))*(1+$P$2)),"")</f>
        <v/>
      </c>
      <c r="Q242" s="167" t="str">
        <f>IF(ISNUMBER(deployment_raw[[#This Row],[Column13]]), (MIN(IF(O242&lt;&gt;"",O242,9999999999999)*1.1,deployment_raw[[#This Row],[Column13]] * IF($E$2="Deployment",deployment_raw[[#This Row],[Column5]],1)*(1+$Q$2)/1048576)),"")</f>
        <v/>
      </c>
      <c r="R242" s="169" t="str">
        <f>IF(ISNUMBER(deployment_raw[[#This Row],[Column8]]), (H242  * IF(N242&lt;&gt;0,$R$2,1)),"")</f>
        <v/>
      </c>
      <c r="S242" s="170" t="str">
        <f>IF(ISNUMBER(deployment_raw[[#This Row],[Column8]]), (I242  * IF(O242&lt;&gt;0,$S$2,1)),"")</f>
        <v/>
      </c>
      <c r="T242" s="202" t="str">
        <f>IF(AND(A242&lt;&gt;"",_xlfn.IFNA(MATCH(A242,'dynamic resource application '!$A$2:$A$100, 0),0)&lt;&gt;0), H242/(IF($E$2="Deployment",E242,1)),"")</f>
        <v/>
      </c>
      <c r="U242" s="211" t="str">
        <f>IF(AND(A242&lt;&gt;"",_xlfn.IFNA(MATCH(A242,'dynamic resource application '!$A$2:$A$100, 0),0)&lt;&gt;0), I242/(IF($E$2="Deployment",E242,1)),"")</f>
        <v/>
      </c>
    </row>
    <row r="243" spans="1:21" ht="15.75" customHeight="1" x14ac:dyDescent="0.25">
      <c r="A243" s="35" t="str">
        <f>IF(ISNONTEXT(deployment_raw[[#This Row],[Column1]]), "", deployment_raw[[#This Row],[Column1]])</f>
        <v/>
      </c>
      <c r="B243" s="36" t="str">
        <f>IF(ISNONTEXT(deployment_raw[[#This Row],[Column2]]), "", deployment_raw[[#This Row],[Column2]])</f>
        <v/>
      </c>
      <c r="C243" s="36" t="str">
        <f>IF(ISNONTEXT(deployment_raw[[#This Row],[Column3]]), "", deployment_raw[[#This Row],[Column3]])</f>
        <v/>
      </c>
      <c r="D243" s="36" t="str">
        <f>IF(ISNONTEXT(deployment_raw[[#This Row],[Column4]]), "", deployment_raw[[#This Row],[Column4]])</f>
        <v/>
      </c>
      <c r="E243" s="37" t="str">
        <f>IF(ISNUMBER(deployment_raw[[#This Row],[Column5]]), deployment_raw[[#This Row],[Column5]],"")</f>
        <v/>
      </c>
      <c r="F243" s="94" t="str">
        <f>IF(ISNUMBER(deployment_raw[[#This Row],[Column6]]), (deployment_raw[[#This Row],[Column6]] * IF($E$2="Deployment",deployment_raw[[#This Row],[Column5]],1)),"")</f>
        <v/>
      </c>
      <c r="G243" s="95" t="str">
        <f>IF(ISNUMBER(deployment_raw[[#This Row],[Column7]]), (deployment_raw[[#This Row],[Column7]] * IF($E$2="Deployment",deployment_raw[[#This Row],[Column5]],1))/1048576,"")</f>
        <v/>
      </c>
      <c r="H243" s="95" t="str">
        <f>IF(ISNUMBER(deployment_raw[[#This Row],[Column8]]), (deployment_raw[[#This Row],[Column8]]  * IF($E$2="Deployment",deployment_raw[[#This Row],[Column5]],1)),"")</f>
        <v/>
      </c>
      <c r="I243" s="96" t="str">
        <f>IF(ISNUMBER(deployment_raw[[#This Row],[Column9]]), (deployment_raw[[#This Row],[Column9]] * IF($E$2="Deployment",deployment_raw[[#This Row],[Column5]],1))/1048576,"")</f>
        <v/>
      </c>
      <c r="J243" s="122" t="str">
        <f>IF(ISNUMBER(deployment_raw[[#This Row],[Column10]]), (MIN(IF(N243&lt;&gt;"",N243,9999999999999)*1.1,deployment_raw[[#This Row],[Column10]] * IF($E$2="Deployment",deployment_raw[[#This Row],[Column5]],1))),"")</f>
        <v/>
      </c>
      <c r="K243" s="123" t="str">
        <f>IF(ISNUMBER(deployment_raw[[#This Row],[Column11]]), (MIN(IF(O243&lt;&gt;"",O243,9999999999999)*1.1,deployment_raw[[#This Row],[Column11]] * IF($E$2="Deployment",deployment_raw[[#This Row],[Column5]],1)/1048576)),"")</f>
        <v/>
      </c>
      <c r="L243" s="124" t="str">
        <f>IF(ISNUMBER(deployment_raw[[#This Row],[Column8]]),IF(OR(deployment_raw[[#This Row],[Column5]] &lt;&gt; 0,$E$2 &lt;&gt; "Deployment"), MAX(J243, P243, R243, ($L$2 * IF($E$2="Deployment",deployment_raw[[#This Row],[Column5]],1)),IF(T243&lt;&gt;"",VALUE(T243) * IF($E$2="Deployment",deployment_raw[[#This Row],[Column5]],1),0)), 0),"")</f>
        <v/>
      </c>
      <c r="M243" s="125" t="str">
        <f>IF(ISNUMBER(deployment_raw[[#This Row],[Column9]]),IF(OR(deployment_raw[[#This Row],[Column5]] &lt;&gt; 0,$E$2&lt;&gt;"Deployment"), MAX(K243, Q243, S243, ($M$2 * IF($E$2="Deployment",deployment_raw[[#This Row],[Column5]],1)),IF(U243&lt;&gt;"",VALUE(U243) * IF($E$2="Deployment",deployment_raw[[#This Row],[Column5]],1),0)), 0),"")</f>
        <v/>
      </c>
      <c r="N243" s="166" t="str">
        <f>IF(ISNUMBER(deployment_raw[[#This Row],[Column14]]), deployment_raw[[#This Row],[Column14]]/IF(OR($E$2="Deployment",deployment_raw[[#This Row],[Column5]]=0),1,deployment_raw[[#This Row],[Column5]]),"")</f>
        <v/>
      </c>
      <c r="O243" s="167" t="str">
        <f>IF(ISNUMBER(deployment_raw[[#This Row],[Column15]]), deployment_raw[[#This Row],[Column15]]/IF(OR($E$2="Deployment",deployment_raw[[#This Row],[Column5]]=0),1,deployment_raw[[#This Row],[Column5]])/1048576,"")</f>
        <v/>
      </c>
      <c r="P243" s="168" t="str">
        <f>IF(ISNUMBER(deployment_raw[[#This Row],[Column12]]), (MIN(IF(N243&lt;&gt;"",N243,9999999999999)*1.1,deployment_raw[[#This Row],[Column12]] * IF($E$2="Deployment",deployment_raw[[#This Row],[Column5]],1))*(1+$P$2)),"")</f>
        <v/>
      </c>
      <c r="Q243" s="167" t="str">
        <f>IF(ISNUMBER(deployment_raw[[#This Row],[Column13]]), (MIN(IF(O243&lt;&gt;"",O243,9999999999999)*1.1,deployment_raw[[#This Row],[Column13]] * IF($E$2="Deployment",deployment_raw[[#This Row],[Column5]],1)*(1+$Q$2)/1048576)),"")</f>
        <v/>
      </c>
      <c r="R243" s="169" t="str">
        <f>IF(ISNUMBER(deployment_raw[[#This Row],[Column8]]), (H243  * IF(N243&lt;&gt;0,$R$2,1)),"")</f>
        <v/>
      </c>
      <c r="S243" s="170" t="str">
        <f>IF(ISNUMBER(deployment_raw[[#This Row],[Column8]]), (I243  * IF(O243&lt;&gt;0,$S$2,1)),"")</f>
        <v/>
      </c>
      <c r="T243" s="202" t="str">
        <f>IF(AND(A243&lt;&gt;"",_xlfn.IFNA(MATCH(A243,'dynamic resource application '!$A$2:$A$100, 0),0)&lt;&gt;0), H243/(IF($E$2="Deployment",E243,1)),"")</f>
        <v/>
      </c>
      <c r="U243" s="211" t="str">
        <f>IF(AND(A243&lt;&gt;"",_xlfn.IFNA(MATCH(A243,'dynamic resource application '!$A$2:$A$100, 0),0)&lt;&gt;0), I243/(IF($E$2="Deployment",E243,1)),"")</f>
        <v/>
      </c>
    </row>
    <row r="244" spans="1:21" ht="15.75" customHeight="1" x14ac:dyDescent="0.25">
      <c r="A244" s="35" t="str">
        <f>IF(ISNONTEXT(deployment_raw[[#This Row],[Column1]]), "", deployment_raw[[#This Row],[Column1]])</f>
        <v/>
      </c>
      <c r="B244" s="36" t="str">
        <f>IF(ISNONTEXT(deployment_raw[[#This Row],[Column2]]), "", deployment_raw[[#This Row],[Column2]])</f>
        <v/>
      </c>
      <c r="C244" s="36" t="str">
        <f>IF(ISNONTEXT(deployment_raw[[#This Row],[Column3]]), "", deployment_raw[[#This Row],[Column3]])</f>
        <v/>
      </c>
      <c r="D244" s="36" t="str">
        <f>IF(ISNONTEXT(deployment_raw[[#This Row],[Column4]]), "", deployment_raw[[#This Row],[Column4]])</f>
        <v/>
      </c>
      <c r="E244" s="37" t="str">
        <f>IF(ISNUMBER(deployment_raw[[#This Row],[Column5]]), deployment_raw[[#This Row],[Column5]],"")</f>
        <v/>
      </c>
      <c r="F244" s="94" t="str">
        <f>IF(ISNUMBER(deployment_raw[[#This Row],[Column6]]), (deployment_raw[[#This Row],[Column6]] * IF($E$2="Deployment",deployment_raw[[#This Row],[Column5]],1)),"")</f>
        <v/>
      </c>
      <c r="G244" s="95" t="str">
        <f>IF(ISNUMBER(deployment_raw[[#This Row],[Column7]]), (deployment_raw[[#This Row],[Column7]] * IF($E$2="Deployment",deployment_raw[[#This Row],[Column5]],1))/1048576,"")</f>
        <v/>
      </c>
      <c r="H244" s="95" t="str">
        <f>IF(ISNUMBER(deployment_raw[[#This Row],[Column8]]), (deployment_raw[[#This Row],[Column8]]  * IF($E$2="Deployment",deployment_raw[[#This Row],[Column5]],1)),"")</f>
        <v/>
      </c>
      <c r="I244" s="96" t="str">
        <f>IF(ISNUMBER(deployment_raw[[#This Row],[Column9]]), (deployment_raw[[#This Row],[Column9]] * IF($E$2="Deployment",deployment_raw[[#This Row],[Column5]],1))/1048576,"")</f>
        <v/>
      </c>
      <c r="J244" s="122" t="str">
        <f>IF(ISNUMBER(deployment_raw[[#This Row],[Column10]]), (MIN(IF(N244&lt;&gt;"",N244,9999999999999)*1.1,deployment_raw[[#This Row],[Column10]] * IF($E$2="Deployment",deployment_raw[[#This Row],[Column5]],1))),"")</f>
        <v/>
      </c>
      <c r="K244" s="123" t="str">
        <f>IF(ISNUMBER(deployment_raw[[#This Row],[Column11]]), (MIN(IF(O244&lt;&gt;"",O244,9999999999999)*1.1,deployment_raw[[#This Row],[Column11]] * IF($E$2="Deployment",deployment_raw[[#This Row],[Column5]],1)/1048576)),"")</f>
        <v/>
      </c>
      <c r="L244" s="124" t="str">
        <f>IF(ISNUMBER(deployment_raw[[#This Row],[Column8]]),IF(OR(deployment_raw[[#This Row],[Column5]] &lt;&gt; 0,$E$2 &lt;&gt; "Deployment"), MAX(J244, P244, R244, ($L$2 * IF($E$2="Deployment",deployment_raw[[#This Row],[Column5]],1)),IF(T244&lt;&gt;"",VALUE(T244) * IF($E$2="Deployment",deployment_raw[[#This Row],[Column5]],1),0)), 0),"")</f>
        <v/>
      </c>
      <c r="M244" s="125" t="str">
        <f>IF(ISNUMBER(deployment_raw[[#This Row],[Column9]]),IF(OR(deployment_raw[[#This Row],[Column5]] &lt;&gt; 0,$E$2&lt;&gt;"Deployment"), MAX(K244, Q244, S244, ($M$2 * IF($E$2="Deployment",deployment_raw[[#This Row],[Column5]],1)),IF(U244&lt;&gt;"",VALUE(U244) * IF($E$2="Deployment",deployment_raw[[#This Row],[Column5]],1),0)), 0),"")</f>
        <v/>
      </c>
      <c r="N244" s="166" t="str">
        <f>IF(ISNUMBER(deployment_raw[[#This Row],[Column14]]), deployment_raw[[#This Row],[Column14]]/IF(OR($E$2="Deployment",deployment_raw[[#This Row],[Column5]]=0),1,deployment_raw[[#This Row],[Column5]]),"")</f>
        <v/>
      </c>
      <c r="O244" s="167" t="str">
        <f>IF(ISNUMBER(deployment_raw[[#This Row],[Column15]]), deployment_raw[[#This Row],[Column15]]/IF(OR($E$2="Deployment",deployment_raw[[#This Row],[Column5]]=0),1,deployment_raw[[#This Row],[Column5]])/1048576,"")</f>
        <v/>
      </c>
      <c r="P244" s="168" t="str">
        <f>IF(ISNUMBER(deployment_raw[[#This Row],[Column12]]), (MIN(IF(N244&lt;&gt;"",N244,9999999999999)*1.1,deployment_raw[[#This Row],[Column12]] * IF($E$2="Deployment",deployment_raw[[#This Row],[Column5]],1))*(1+$P$2)),"")</f>
        <v/>
      </c>
      <c r="Q244" s="167" t="str">
        <f>IF(ISNUMBER(deployment_raw[[#This Row],[Column13]]), (MIN(IF(O244&lt;&gt;"",O244,9999999999999)*1.1,deployment_raw[[#This Row],[Column13]] * IF($E$2="Deployment",deployment_raw[[#This Row],[Column5]],1)*(1+$Q$2)/1048576)),"")</f>
        <v/>
      </c>
      <c r="R244" s="169" t="str">
        <f>IF(ISNUMBER(deployment_raw[[#This Row],[Column8]]), (H244  * IF(N244&lt;&gt;0,$R$2,1)),"")</f>
        <v/>
      </c>
      <c r="S244" s="170" t="str">
        <f>IF(ISNUMBER(deployment_raw[[#This Row],[Column8]]), (I244  * IF(O244&lt;&gt;0,$S$2,1)),"")</f>
        <v/>
      </c>
      <c r="T244" s="202" t="str">
        <f>IF(AND(A244&lt;&gt;"",_xlfn.IFNA(MATCH(A244,'dynamic resource application '!$A$2:$A$100, 0),0)&lt;&gt;0), H244/(IF($E$2="Deployment",E244,1)),"")</f>
        <v/>
      </c>
      <c r="U244" s="211" t="str">
        <f>IF(AND(A244&lt;&gt;"",_xlfn.IFNA(MATCH(A244,'dynamic resource application '!$A$2:$A$100, 0),0)&lt;&gt;0), I244/(IF($E$2="Deployment",E244,1)),"")</f>
        <v/>
      </c>
    </row>
    <row r="245" spans="1:21" ht="15.75" customHeight="1" x14ac:dyDescent="0.25">
      <c r="A245" s="35" t="str">
        <f>IF(ISNONTEXT(deployment_raw[[#This Row],[Column1]]), "", deployment_raw[[#This Row],[Column1]])</f>
        <v/>
      </c>
      <c r="B245" s="36" t="str">
        <f>IF(ISNONTEXT(deployment_raw[[#This Row],[Column2]]), "", deployment_raw[[#This Row],[Column2]])</f>
        <v/>
      </c>
      <c r="C245" s="36" t="str">
        <f>IF(ISNONTEXT(deployment_raw[[#This Row],[Column3]]), "", deployment_raw[[#This Row],[Column3]])</f>
        <v/>
      </c>
      <c r="D245" s="36" t="str">
        <f>IF(ISNONTEXT(deployment_raw[[#This Row],[Column4]]), "", deployment_raw[[#This Row],[Column4]])</f>
        <v/>
      </c>
      <c r="E245" s="37" t="str">
        <f>IF(ISNUMBER(deployment_raw[[#This Row],[Column5]]), deployment_raw[[#This Row],[Column5]],"")</f>
        <v/>
      </c>
      <c r="F245" s="94" t="str">
        <f>IF(ISNUMBER(deployment_raw[[#This Row],[Column6]]), (deployment_raw[[#This Row],[Column6]] * IF($E$2="Deployment",deployment_raw[[#This Row],[Column5]],1)),"")</f>
        <v/>
      </c>
      <c r="G245" s="95" t="str">
        <f>IF(ISNUMBER(deployment_raw[[#This Row],[Column7]]), (deployment_raw[[#This Row],[Column7]] * IF($E$2="Deployment",deployment_raw[[#This Row],[Column5]],1))/1048576,"")</f>
        <v/>
      </c>
      <c r="H245" s="95" t="str">
        <f>IF(ISNUMBER(deployment_raw[[#This Row],[Column8]]), (deployment_raw[[#This Row],[Column8]]  * IF($E$2="Deployment",deployment_raw[[#This Row],[Column5]],1)),"")</f>
        <v/>
      </c>
      <c r="I245" s="96" t="str">
        <f>IF(ISNUMBER(deployment_raw[[#This Row],[Column9]]), (deployment_raw[[#This Row],[Column9]] * IF($E$2="Deployment",deployment_raw[[#This Row],[Column5]],1))/1048576,"")</f>
        <v/>
      </c>
      <c r="J245" s="122" t="str">
        <f>IF(ISNUMBER(deployment_raw[[#This Row],[Column10]]), (MIN(IF(N245&lt;&gt;"",N245,9999999999999)*1.1,deployment_raw[[#This Row],[Column10]] * IF($E$2="Deployment",deployment_raw[[#This Row],[Column5]],1))),"")</f>
        <v/>
      </c>
      <c r="K245" s="123" t="str">
        <f>IF(ISNUMBER(deployment_raw[[#This Row],[Column11]]), (MIN(IF(O245&lt;&gt;"",O245,9999999999999)*1.1,deployment_raw[[#This Row],[Column11]] * IF($E$2="Deployment",deployment_raw[[#This Row],[Column5]],1)/1048576)),"")</f>
        <v/>
      </c>
      <c r="L245" s="124" t="str">
        <f>IF(ISNUMBER(deployment_raw[[#This Row],[Column8]]),IF(OR(deployment_raw[[#This Row],[Column5]] &lt;&gt; 0,$E$2 &lt;&gt; "Deployment"), MAX(J245, P245, R245, ($L$2 * IF($E$2="Deployment",deployment_raw[[#This Row],[Column5]],1)),IF(T245&lt;&gt;"",VALUE(T245) * IF($E$2="Deployment",deployment_raw[[#This Row],[Column5]],1),0)), 0),"")</f>
        <v/>
      </c>
      <c r="M245" s="125" t="str">
        <f>IF(ISNUMBER(deployment_raw[[#This Row],[Column9]]),IF(OR(deployment_raw[[#This Row],[Column5]] &lt;&gt; 0,$E$2&lt;&gt;"Deployment"), MAX(K245, Q245, S245, ($M$2 * IF($E$2="Deployment",deployment_raw[[#This Row],[Column5]],1)),IF(U245&lt;&gt;"",VALUE(U245) * IF($E$2="Deployment",deployment_raw[[#This Row],[Column5]],1),0)), 0),"")</f>
        <v/>
      </c>
      <c r="N245" s="166" t="str">
        <f>IF(ISNUMBER(deployment_raw[[#This Row],[Column14]]), deployment_raw[[#This Row],[Column14]]/IF(OR($E$2="Deployment",deployment_raw[[#This Row],[Column5]]=0),1,deployment_raw[[#This Row],[Column5]]),"")</f>
        <v/>
      </c>
      <c r="O245" s="167" t="str">
        <f>IF(ISNUMBER(deployment_raw[[#This Row],[Column15]]), deployment_raw[[#This Row],[Column15]]/IF(OR($E$2="Deployment",deployment_raw[[#This Row],[Column5]]=0),1,deployment_raw[[#This Row],[Column5]])/1048576,"")</f>
        <v/>
      </c>
      <c r="P245" s="168" t="str">
        <f>IF(ISNUMBER(deployment_raw[[#This Row],[Column12]]), (MIN(IF(N245&lt;&gt;"",N245,9999999999999)*1.1,deployment_raw[[#This Row],[Column12]] * IF($E$2="Deployment",deployment_raw[[#This Row],[Column5]],1))*(1+$P$2)),"")</f>
        <v/>
      </c>
      <c r="Q245" s="167" t="str">
        <f>IF(ISNUMBER(deployment_raw[[#This Row],[Column13]]), (MIN(IF(O245&lt;&gt;"",O245,9999999999999)*1.1,deployment_raw[[#This Row],[Column13]] * IF($E$2="Deployment",deployment_raw[[#This Row],[Column5]],1)*(1+$Q$2)/1048576)),"")</f>
        <v/>
      </c>
      <c r="R245" s="169" t="str">
        <f>IF(ISNUMBER(deployment_raw[[#This Row],[Column8]]), (H245  * IF(N245&lt;&gt;0,$R$2,1)),"")</f>
        <v/>
      </c>
      <c r="S245" s="170" t="str">
        <f>IF(ISNUMBER(deployment_raw[[#This Row],[Column8]]), (I245  * IF(O245&lt;&gt;0,$S$2,1)),"")</f>
        <v/>
      </c>
      <c r="T245" s="202" t="str">
        <f>IF(AND(A245&lt;&gt;"",_xlfn.IFNA(MATCH(A245,'dynamic resource application '!$A$2:$A$100, 0),0)&lt;&gt;0), H245/(IF($E$2="Deployment",E245,1)),"")</f>
        <v/>
      </c>
      <c r="U245" s="211" t="str">
        <f>IF(AND(A245&lt;&gt;"",_xlfn.IFNA(MATCH(A245,'dynamic resource application '!$A$2:$A$100, 0),0)&lt;&gt;0), I245/(IF($E$2="Deployment",E245,1)),"")</f>
        <v/>
      </c>
    </row>
    <row r="246" spans="1:21" ht="15.75" customHeight="1" x14ac:dyDescent="0.25">
      <c r="A246" s="35" t="str">
        <f>IF(ISNONTEXT(deployment_raw[[#This Row],[Column1]]), "", deployment_raw[[#This Row],[Column1]])</f>
        <v/>
      </c>
      <c r="B246" s="36" t="str">
        <f>IF(ISNONTEXT(deployment_raw[[#This Row],[Column2]]), "", deployment_raw[[#This Row],[Column2]])</f>
        <v/>
      </c>
      <c r="C246" s="36" t="str">
        <f>IF(ISNONTEXT(deployment_raw[[#This Row],[Column3]]), "", deployment_raw[[#This Row],[Column3]])</f>
        <v/>
      </c>
      <c r="D246" s="36" t="str">
        <f>IF(ISNONTEXT(deployment_raw[[#This Row],[Column4]]), "", deployment_raw[[#This Row],[Column4]])</f>
        <v/>
      </c>
      <c r="E246" s="37" t="str">
        <f>IF(ISNUMBER(deployment_raw[[#This Row],[Column5]]), deployment_raw[[#This Row],[Column5]],"")</f>
        <v/>
      </c>
      <c r="F246" s="94" t="str">
        <f>IF(ISNUMBER(deployment_raw[[#This Row],[Column6]]), (deployment_raw[[#This Row],[Column6]] * IF($E$2="Deployment",deployment_raw[[#This Row],[Column5]],1)),"")</f>
        <v/>
      </c>
      <c r="G246" s="95" t="str">
        <f>IF(ISNUMBER(deployment_raw[[#This Row],[Column7]]), (deployment_raw[[#This Row],[Column7]] * IF($E$2="Deployment",deployment_raw[[#This Row],[Column5]],1))/1048576,"")</f>
        <v/>
      </c>
      <c r="H246" s="95" t="str">
        <f>IF(ISNUMBER(deployment_raw[[#This Row],[Column8]]), (deployment_raw[[#This Row],[Column8]]  * IF($E$2="Deployment",deployment_raw[[#This Row],[Column5]],1)),"")</f>
        <v/>
      </c>
      <c r="I246" s="96" t="str">
        <f>IF(ISNUMBER(deployment_raw[[#This Row],[Column9]]), (deployment_raw[[#This Row],[Column9]] * IF($E$2="Deployment",deployment_raw[[#This Row],[Column5]],1))/1048576,"")</f>
        <v/>
      </c>
      <c r="J246" s="122" t="str">
        <f>IF(ISNUMBER(deployment_raw[[#This Row],[Column10]]), (MIN(IF(N246&lt;&gt;"",N246,9999999999999)*1.1,deployment_raw[[#This Row],[Column10]] * IF($E$2="Deployment",deployment_raw[[#This Row],[Column5]],1))),"")</f>
        <v/>
      </c>
      <c r="K246" s="123" t="str">
        <f>IF(ISNUMBER(deployment_raw[[#This Row],[Column11]]), (MIN(IF(O246&lt;&gt;"",O246,9999999999999)*1.1,deployment_raw[[#This Row],[Column11]] * IF($E$2="Deployment",deployment_raw[[#This Row],[Column5]],1)/1048576)),"")</f>
        <v/>
      </c>
      <c r="L246" s="124" t="str">
        <f>IF(ISNUMBER(deployment_raw[[#This Row],[Column8]]),IF(OR(deployment_raw[[#This Row],[Column5]] &lt;&gt; 0,$E$2 &lt;&gt; "Deployment"), MAX(J246, P246, R246, ($L$2 * IF($E$2="Deployment",deployment_raw[[#This Row],[Column5]],1)),IF(T246&lt;&gt;"",VALUE(T246) * IF($E$2="Deployment",deployment_raw[[#This Row],[Column5]],1),0)), 0),"")</f>
        <v/>
      </c>
      <c r="M246" s="125" t="str">
        <f>IF(ISNUMBER(deployment_raw[[#This Row],[Column9]]),IF(OR(deployment_raw[[#This Row],[Column5]] &lt;&gt; 0,$E$2&lt;&gt;"Deployment"), MAX(K246, Q246, S246, ($M$2 * IF($E$2="Deployment",deployment_raw[[#This Row],[Column5]],1)),IF(U246&lt;&gt;"",VALUE(U246) * IF($E$2="Deployment",deployment_raw[[#This Row],[Column5]],1),0)), 0),"")</f>
        <v/>
      </c>
      <c r="N246" s="166" t="str">
        <f>IF(ISNUMBER(deployment_raw[[#This Row],[Column14]]), deployment_raw[[#This Row],[Column14]]/IF(OR($E$2="Deployment",deployment_raw[[#This Row],[Column5]]=0),1,deployment_raw[[#This Row],[Column5]]),"")</f>
        <v/>
      </c>
      <c r="O246" s="167" t="str">
        <f>IF(ISNUMBER(deployment_raw[[#This Row],[Column15]]), deployment_raw[[#This Row],[Column15]]/IF(OR($E$2="Deployment",deployment_raw[[#This Row],[Column5]]=0),1,deployment_raw[[#This Row],[Column5]])/1048576,"")</f>
        <v/>
      </c>
      <c r="P246" s="168" t="str">
        <f>IF(ISNUMBER(deployment_raw[[#This Row],[Column12]]), (MIN(IF(N246&lt;&gt;"",N246,9999999999999)*1.1,deployment_raw[[#This Row],[Column12]] * IF($E$2="Deployment",deployment_raw[[#This Row],[Column5]],1))*(1+$P$2)),"")</f>
        <v/>
      </c>
      <c r="Q246" s="167" t="str">
        <f>IF(ISNUMBER(deployment_raw[[#This Row],[Column13]]), (MIN(IF(O246&lt;&gt;"",O246,9999999999999)*1.1,deployment_raw[[#This Row],[Column13]] * IF($E$2="Deployment",deployment_raw[[#This Row],[Column5]],1)*(1+$Q$2)/1048576)),"")</f>
        <v/>
      </c>
      <c r="R246" s="169" t="str">
        <f>IF(ISNUMBER(deployment_raw[[#This Row],[Column8]]), (H246  * IF(N246&lt;&gt;0,$R$2,1)),"")</f>
        <v/>
      </c>
      <c r="S246" s="170" t="str">
        <f>IF(ISNUMBER(deployment_raw[[#This Row],[Column8]]), (I246  * IF(O246&lt;&gt;0,$S$2,1)),"")</f>
        <v/>
      </c>
      <c r="T246" s="202" t="str">
        <f>IF(AND(A246&lt;&gt;"",_xlfn.IFNA(MATCH(A246,'dynamic resource application '!$A$2:$A$100, 0),0)&lt;&gt;0), H246/(IF($E$2="Deployment",E246,1)),"")</f>
        <v/>
      </c>
      <c r="U246" s="211" t="str">
        <f>IF(AND(A246&lt;&gt;"",_xlfn.IFNA(MATCH(A246,'dynamic resource application '!$A$2:$A$100, 0),0)&lt;&gt;0), I246/(IF($E$2="Deployment",E246,1)),"")</f>
        <v/>
      </c>
    </row>
    <row r="247" spans="1:21" ht="15.75" customHeight="1" x14ac:dyDescent="0.25">
      <c r="A247" s="35" t="str">
        <f>IF(ISNONTEXT(deployment_raw[[#This Row],[Column1]]), "", deployment_raw[[#This Row],[Column1]])</f>
        <v/>
      </c>
      <c r="B247" s="36" t="str">
        <f>IF(ISNONTEXT(deployment_raw[[#This Row],[Column2]]), "", deployment_raw[[#This Row],[Column2]])</f>
        <v/>
      </c>
      <c r="C247" s="36" t="str">
        <f>IF(ISNONTEXT(deployment_raw[[#This Row],[Column3]]), "", deployment_raw[[#This Row],[Column3]])</f>
        <v/>
      </c>
      <c r="D247" s="36" t="str">
        <f>IF(ISNONTEXT(deployment_raw[[#This Row],[Column4]]), "", deployment_raw[[#This Row],[Column4]])</f>
        <v/>
      </c>
      <c r="E247" s="37" t="str">
        <f>IF(ISNUMBER(deployment_raw[[#This Row],[Column5]]), deployment_raw[[#This Row],[Column5]],"")</f>
        <v/>
      </c>
      <c r="F247" s="94" t="str">
        <f>IF(ISNUMBER(deployment_raw[[#This Row],[Column6]]), (deployment_raw[[#This Row],[Column6]] * IF($E$2="Deployment",deployment_raw[[#This Row],[Column5]],1)),"")</f>
        <v/>
      </c>
      <c r="G247" s="95" t="str">
        <f>IF(ISNUMBER(deployment_raw[[#This Row],[Column7]]), (deployment_raw[[#This Row],[Column7]] * IF($E$2="Deployment",deployment_raw[[#This Row],[Column5]],1))/1048576,"")</f>
        <v/>
      </c>
      <c r="H247" s="95" t="str">
        <f>IF(ISNUMBER(deployment_raw[[#This Row],[Column8]]), (deployment_raw[[#This Row],[Column8]]  * IF($E$2="Deployment",deployment_raw[[#This Row],[Column5]],1)),"")</f>
        <v/>
      </c>
      <c r="I247" s="96" t="str">
        <f>IF(ISNUMBER(deployment_raw[[#This Row],[Column9]]), (deployment_raw[[#This Row],[Column9]] * IF($E$2="Deployment",deployment_raw[[#This Row],[Column5]],1))/1048576,"")</f>
        <v/>
      </c>
      <c r="J247" s="122" t="str">
        <f>IF(ISNUMBER(deployment_raw[[#This Row],[Column10]]), (MIN(IF(N247&lt;&gt;"",N247,9999999999999)*1.1,deployment_raw[[#This Row],[Column10]] * IF($E$2="Deployment",deployment_raw[[#This Row],[Column5]],1))),"")</f>
        <v/>
      </c>
      <c r="K247" s="123" t="str">
        <f>IF(ISNUMBER(deployment_raw[[#This Row],[Column11]]), (MIN(IF(O247&lt;&gt;"",O247,9999999999999)*1.1,deployment_raw[[#This Row],[Column11]] * IF($E$2="Deployment",deployment_raw[[#This Row],[Column5]],1)/1048576)),"")</f>
        <v/>
      </c>
      <c r="L247" s="124" t="str">
        <f>IF(ISNUMBER(deployment_raw[[#This Row],[Column8]]),IF(OR(deployment_raw[[#This Row],[Column5]] &lt;&gt; 0,$E$2 &lt;&gt; "Deployment"), MAX(J247, P247, R247, ($L$2 * IF($E$2="Deployment",deployment_raw[[#This Row],[Column5]],1)),IF(T247&lt;&gt;"",VALUE(T247) * IF($E$2="Deployment",deployment_raw[[#This Row],[Column5]],1),0)), 0),"")</f>
        <v/>
      </c>
      <c r="M247" s="125" t="str">
        <f>IF(ISNUMBER(deployment_raw[[#This Row],[Column9]]),IF(OR(deployment_raw[[#This Row],[Column5]] &lt;&gt; 0,$E$2&lt;&gt;"Deployment"), MAX(K247, Q247, S247, ($M$2 * IF($E$2="Deployment",deployment_raw[[#This Row],[Column5]],1)),IF(U247&lt;&gt;"",VALUE(U247) * IF($E$2="Deployment",deployment_raw[[#This Row],[Column5]],1),0)), 0),"")</f>
        <v/>
      </c>
      <c r="N247" s="166" t="str">
        <f>IF(ISNUMBER(deployment_raw[[#This Row],[Column14]]), deployment_raw[[#This Row],[Column14]]/IF(OR($E$2="Deployment",deployment_raw[[#This Row],[Column5]]=0),1,deployment_raw[[#This Row],[Column5]]),"")</f>
        <v/>
      </c>
      <c r="O247" s="167" t="str">
        <f>IF(ISNUMBER(deployment_raw[[#This Row],[Column15]]), deployment_raw[[#This Row],[Column15]]/IF(OR($E$2="Deployment",deployment_raw[[#This Row],[Column5]]=0),1,deployment_raw[[#This Row],[Column5]])/1048576,"")</f>
        <v/>
      </c>
      <c r="P247" s="168" t="str">
        <f>IF(ISNUMBER(deployment_raw[[#This Row],[Column12]]), (MIN(IF(N247&lt;&gt;"",N247,9999999999999)*1.1,deployment_raw[[#This Row],[Column12]] * IF($E$2="Deployment",deployment_raw[[#This Row],[Column5]],1))*(1+$P$2)),"")</f>
        <v/>
      </c>
      <c r="Q247" s="167" t="str">
        <f>IF(ISNUMBER(deployment_raw[[#This Row],[Column13]]), (MIN(IF(O247&lt;&gt;"",O247,9999999999999)*1.1,deployment_raw[[#This Row],[Column13]] * IF($E$2="Deployment",deployment_raw[[#This Row],[Column5]],1)*(1+$Q$2)/1048576)),"")</f>
        <v/>
      </c>
      <c r="R247" s="169" t="str">
        <f>IF(ISNUMBER(deployment_raw[[#This Row],[Column8]]), (H247  * IF(N247&lt;&gt;0,$R$2,1)),"")</f>
        <v/>
      </c>
      <c r="S247" s="170" t="str">
        <f>IF(ISNUMBER(deployment_raw[[#This Row],[Column8]]), (I247  * IF(O247&lt;&gt;0,$S$2,1)),"")</f>
        <v/>
      </c>
      <c r="T247" s="202" t="str">
        <f>IF(AND(A247&lt;&gt;"",_xlfn.IFNA(MATCH(A247,'dynamic resource application '!$A$2:$A$100, 0),0)&lt;&gt;0), H247/(IF($E$2="Deployment",E247,1)),"")</f>
        <v/>
      </c>
      <c r="U247" s="211" t="str">
        <f>IF(AND(A247&lt;&gt;"",_xlfn.IFNA(MATCH(A247,'dynamic resource application '!$A$2:$A$100, 0),0)&lt;&gt;0), I247/(IF($E$2="Deployment",E247,1)),"")</f>
        <v/>
      </c>
    </row>
    <row r="248" spans="1:21" ht="15.75" customHeight="1" x14ac:dyDescent="0.25">
      <c r="A248" s="35" t="str">
        <f>IF(ISNONTEXT(deployment_raw[[#This Row],[Column1]]), "", deployment_raw[[#This Row],[Column1]])</f>
        <v/>
      </c>
      <c r="B248" s="36" t="str">
        <f>IF(ISNONTEXT(deployment_raw[[#This Row],[Column2]]), "", deployment_raw[[#This Row],[Column2]])</f>
        <v/>
      </c>
      <c r="C248" s="36" t="str">
        <f>IF(ISNONTEXT(deployment_raw[[#This Row],[Column3]]), "", deployment_raw[[#This Row],[Column3]])</f>
        <v/>
      </c>
      <c r="D248" s="36" t="str">
        <f>IF(ISNONTEXT(deployment_raw[[#This Row],[Column4]]), "", deployment_raw[[#This Row],[Column4]])</f>
        <v/>
      </c>
      <c r="E248" s="37" t="str">
        <f>IF(ISNUMBER(deployment_raw[[#This Row],[Column5]]), deployment_raw[[#This Row],[Column5]],"")</f>
        <v/>
      </c>
      <c r="F248" s="94" t="str">
        <f>IF(ISNUMBER(deployment_raw[[#This Row],[Column6]]), (deployment_raw[[#This Row],[Column6]] * IF($E$2="Deployment",deployment_raw[[#This Row],[Column5]],1)),"")</f>
        <v/>
      </c>
      <c r="G248" s="95" t="str">
        <f>IF(ISNUMBER(deployment_raw[[#This Row],[Column7]]), (deployment_raw[[#This Row],[Column7]] * IF($E$2="Deployment",deployment_raw[[#This Row],[Column5]],1))/1048576,"")</f>
        <v/>
      </c>
      <c r="H248" s="95" t="str">
        <f>IF(ISNUMBER(deployment_raw[[#This Row],[Column8]]), (deployment_raw[[#This Row],[Column8]]  * IF($E$2="Deployment",deployment_raw[[#This Row],[Column5]],1)),"")</f>
        <v/>
      </c>
      <c r="I248" s="96" t="str">
        <f>IF(ISNUMBER(deployment_raw[[#This Row],[Column9]]), (deployment_raw[[#This Row],[Column9]] * IF($E$2="Deployment",deployment_raw[[#This Row],[Column5]],1))/1048576,"")</f>
        <v/>
      </c>
      <c r="J248" s="122" t="str">
        <f>IF(ISNUMBER(deployment_raw[[#This Row],[Column10]]), (MIN(IF(N248&lt;&gt;"",N248,9999999999999)*1.1,deployment_raw[[#This Row],[Column10]] * IF($E$2="Deployment",deployment_raw[[#This Row],[Column5]],1))),"")</f>
        <v/>
      </c>
      <c r="K248" s="123" t="str">
        <f>IF(ISNUMBER(deployment_raw[[#This Row],[Column11]]), (MIN(IF(O248&lt;&gt;"",O248,9999999999999)*1.1,deployment_raw[[#This Row],[Column11]] * IF($E$2="Deployment",deployment_raw[[#This Row],[Column5]],1)/1048576)),"")</f>
        <v/>
      </c>
      <c r="L248" s="124" t="str">
        <f>IF(ISNUMBER(deployment_raw[[#This Row],[Column8]]),IF(OR(deployment_raw[[#This Row],[Column5]] &lt;&gt; 0,$E$2 &lt;&gt; "Deployment"), MAX(J248, P248, R248, ($L$2 * IF($E$2="Deployment",deployment_raw[[#This Row],[Column5]],1)),IF(T248&lt;&gt;"",VALUE(T248) * IF($E$2="Deployment",deployment_raw[[#This Row],[Column5]],1),0)), 0),"")</f>
        <v/>
      </c>
      <c r="M248" s="125" t="str">
        <f>IF(ISNUMBER(deployment_raw[[#This Row],[Column9]]),IF(OR(deployment_raw[[#This Row],[Column5]] &lt;&gt; 0,$E$2&lt;&gt;"Deployment"), MAX(K248, Q248, S248, ($M$2 * IF($E$2="Deployment",deployment_raw[[#This Row],[Column5]],1)),IF(U248&lt;&gt;"",VALUE(U248) * IF($E$2="Deployment",deployment_raw[[#This Row],[Column5]],1),0)), 0),"")</f>
        <v/>
      </c>
      <c r="N248" s="166" t="str">
        <f>IF(ISNUMBER(deployment_raw[[#This Row],[Column14]]), deployment_raw[[#This Row],[Column14]]/IF(OR($E$2="Deployment",deployment_raw[[#This Row],[Column5]]=0),1,deployment_raw[[#This Row],[Column5]]),"")</f>
        <v/>
      </c>
      <c r="O248" s="167" t="str">
        <f>IF(ISNUMBER(deployment_raw[[#This Row],[Column15]]), deployment_raw[[#This Row],[Column15]]/IF(OR($E$2="Deployment",deployment_raw[[#This Row],[Column5]]=0),1,deployment_raw[[#This Row],[Column5]])/1048576,"")</f>
        <v/>
      </c>
      <c r="P248" s="168" t="str">
        <f>IF(ISNUMBER(deployment_raw[[#This Row],[Column12]]), (MIN(IF(N248&lt;&gt;"",N248,9999999999999)*1.1,deployment_raw[[#This Row],[Column12]] * IF($E$2="Deployment",deployment_raw[[#This Row],[Column5]],1))*(1+$P$2)),"")</f>
        <v/>
      </c>
      <c r="Q248" s="167" t="str">
        <f>IF(ISNUMBER(deployment_raw[[#This Row],[Column13]]), (MIN(IF(O248&lt;&gt;"",O248,9999999999999)*1.1,deployment_raw[[#This Row],[Column13]] * IF($E$2="Deployment",deployment_raw[[#This Row],[Column5]],1)*(1+$Q$2)/1048576)),"")</f>
        <v/>
      </c>
      <c r="R248" s="169" t="str">
        <f>IF(ISNUMBER(deployment_raw[[#This Row],[Column8]]), (H248  * IF(N248&lt;&gt;0,$R$2,1)),"")</f>
        <v/>
      </c>
      <c r="S248" s="170" t="str">
        <f>IF(ISNUMBER(deployment_raw[[#This Row],[Column8]]), (I248  * IF(O248&lt;&gt;0,$S$2,1)),"")</f>
        <v/>
      </c>
      <c r="T248" s="202" t="str">
        <f>IF(AND(A248&lt;&gt;"",_xlfn.IFNA(MATCH(A248,'dynamic resource application '!$A$2:$A$100, 0),0)&lt;&gt;0), H248/(IF($E$2="Deployment",E248,1)),"")</f>
        <v/>
      </c>
      <c r="U248" s="211" t="str">
        <f>IF(AND(A248&lt;&gt;"",_xlfn.IFNA(MATCH(A248,'dynamic resource application '!$A$2:$A$100, 0),0)&lt;&gt;0), I248/(IF($E$2="Deployment",E248,1)),"")</f>
        <v/>
      </c>
    </row>
    <row r="249" spans="1:21" ht="15.75" customHeight="1" x14ac:dyDescent="0.25">
      <c r="A249" s="35" t="str">
        <f>IF(ISNONTEXT(deployment_raw[[#This Row],[Column1]]), "", deployment_raw[[#This Row],[Column1]])</f>
        <v/>
      </c>
      <c r="B249" s="36" t="str">
        <f>IF(ISNONTEXT(deployment_raw[[#This Row],[Column2]]), "", deployment_raw[[#This Row],[Column2]])</f>
        <v/>
      </c>
      <c r="C249" s="36" t="str">
        <f>IF(ISNONTEXT(deployment_raw[[#This Row],[Column3]]), "", deployment_raw[[#This Row],[Column3]])</f>
        <v/>
      </c>
      <c r="D249" s="36" t="str">
        <f>IF(ISNONTEXT(deployment_raw[[#This Row],[Column4]]), "", deployment_raw[[#This Row],[Column4]])</f>
        <v/>
      </c>
      <c r="E249" s="37" t="str">
        <f>IF(ISNUMBER(deployment_raw[[#This Row],[Column5]]), deployment_raw[[#This Row],[Column5]],"")</f>
        <v/>
      </c>
      <c r="F249" s="94" t="str">
        <f>IF(ISNUMBER(deployment_raw[[#This Row],[Column6]]), (deployment_raw[[#This Row],[Column6]] * IF($E$2="Deployment",deployment_raw[[#This Row],[Column5]],1)),"")</f>
        <v/>
      </c>
      <c r="G249" s="95" t="str">
        <f>IF(ISNUMBER(deployment_raw[[#This Row],[Column7]]), (deployment_raw[[#This Row],[Column7]] * IF($E$2="Deployment",deployment_raw[[#This Row],[Column5]],1))/1048576,"")</f>
        <v/>
      </c>
      <c r="H249" s="95" t="str">
        <f>IF(ISNUMBER(deployment_raw[[#This Row],[Column8]]), (deployment_raw[[#This Row],[Column8]]  * IF($E$2="Deployment",deployment_raw[[#This Row],[Column5]],1)),"")</f>
        <v/>
      </c>
      <c r="I249" s="96" t="str">
        <f>IF(ISNUMBER(deployment_raw[[#This Row],[Column9]]), (deployment_raw[[#This Row],[Column9]] * IF($E$2="Deployment",deployment_raw[[#This Row],[Column5]],1))/1048576,"")</f>
        <v/>
      </c>
      <c r="J249" s="122" t="str">
        <f>IF(ISNUMBER(deployment_raw[[#This Row],[Column10]]), (MIN(IF(N249&lt;&gt;"",N249,9999999999999)*1.1,deployment_raw[[#This Row],[Column10]] * IF($E$2="Deployment",deployment_raw[[#This Row],[Column5]],1))),"")</f>
        <v/>
      </c>
      <c r="K249" s="123" t="str">
        <f>IF(ISNUMBER(deployment_raw[[#This Row],[Column11]]), (MIN(IF(O249&lt;&gt;"",O249,9999999999999)*1.1,deployment_raw[[#This Row],[Column11]] * IF($E$2="Deployment",deployment_raw[[#This Row],[Column5]],1)/1048576)),"")</f>
        <v/>
      </c>
      <c r="L249" s="124" t="str">
        <f>IF(ISNUMBER(deployment_raw[[#This Row],[Column8]]),IF(OR(deployment_raw[[#This Row],[Column5]] &lt;&gt; 0,$E$2 &lt;&gt; "Deployment"), MAX(J249, P249, R249, ($L$2 * IF($E$2="Deployment",deployment_raw[[#This Row],[Column5]],1)),IF(T249&lt;&gt;"",VALUE(T249) * IF($E$2="Deployment",deployment_raw[[#This Row],[Column5]],1),0)), 0),"")</f>
        <v/>
      </c>
      <c r="M249" s="125" t="str">
        <f>IF(ISNUMBER(deployment_raw[[#This Row],[Column9]]),IF(OR(deployment_raw[[#This Row],[Column5]] &lt;&gt; 0,$E$2&lt;&gt;"Deployment"), MAX(K249, Q249, S249, ($M$2 * IF($E$2="Deployment",deployment_raw[[#This Row],[Column5]],1)),IF(U249&lt;&gt;"",VALUE(U249) * IF($E$2="Deployment",deployment_raw[[#This Row],[Column5]],1),0)), 0),"")</f>
        <v/>
      </c>
      <c r="N249" s="166" t="str">
        <f>IF(ISNUMBER(deployment_raw[[#This Row],[Column14]]), deployment_raw[[#This Row],[Column14]]/IF(OR($E$2="Deployment",deployment_raw[[#This Row],[Column5]]=0),1,deployment_raw[[#This Row],[Column5]]),"")</f>
        <v/>
      </c>
      <c r="O249" s="167" t="str">
        <f>IF(ISNUMBER(deployment_raw[[#This Row],[Column15]]), deployment_raw[[#This Row],[Column15]]/IF(OR($E$2="Deployment",deployment_raw[[#This Row],[Column5]]=0),1,deployment_raw[[#This Row],[Column5]])/1048576,"")</f>
        <v/>
      </c>
      <c r="P249" s="168" t="str">
        <f>IF(ISNUMBER(deployment_raw[[#This Row],[Column12]]), (MIN(IF(N249&lt;&gt;"",N249,9999999999999)*1.1,deployment_raw[[#This Row],[Column12]] * IF($E$2="Deployment",deployment_raw[[#This Row],[Column5]],1))*(1+$P$2)),"")</f>
        <v/>
      </c>
      <c r="Q249" s="167" t="str">
        <f>IF(ISNUMBER(deployment_raw[[#This Row],[Column13]]), (MIN(IF(O249&lt;&gt;"",O249,9999999999999)*1.1,deployment_raw[[#This Row],[Column13]] * IF($E$2="Deployment",deployment_raw[[#This Row],[Column5]],1)*(1+$Q$2)/1048576)),"")</f>
        <v/>
      </c>
      <c r="R249" s="169" t="str">
        <f>IF(ISNUMBER(deployment_raw[[#This Row],[Column8]]), (H249  * IF(N249&lt;&gt;0,$R$2,1)),"")</f>
        <v/>
      </c>
      <c r="S249" s="170" t="str">
        <f>IF(ISNUMBER(deployment_raw[[#This Row],[Column8]]), (I249  * IF(O249&lt;&gt;0,$S$2,1)),"")</f>
        <v/>
      </c>
      <c r="T249" s="202" t="str">
        <f>IF(AND(A249&lt;&gt;"",_xlfn.IFNA(MATCH(A249,'dynamic resource application '!$A$2:$A$100, 0),0)&lt;&gt;0), H249/(IF($E$2="Deployment",E249,1)),"")</f>
        <v/>
      </c>
      <c r="U249" s="211" t="str">
        <f>IF(AND(A249&lt;&gt;"",_xlfn.IFNA(MATCH(A249,'dynamic resource application '!$A$2:$A$100, 0),0)&lt;&gt;0), I249/(IF($E$2="Deployment",E249,1)),"")</f>
        <v/>
      </c>
    </row>
    <row r="250" spans="1:21" ht="15.75" customHeight="1" x14ac:dyDescent="0.25">
      <c r="A250" s="35" t="str">
        <f>IF(ISNONTEXT(deployment_raw[[#This Row],[Column1]]), "", deployment_raw[[#This Row],[Column1]])</f>
        <v/>
      </c>
      <c r="B250" s="36" t="str">
        <f>IF(ISNONTEXT(deployment_raw[[#This Row],[Column2]]), "", deployment_raw[[#This Row],[Column2]])</f>
        <v/>
      </c>
      <c r="C250" s="36" t="str">
        <f>IF(ISNONTEXT(deployment_raw[[#This Row],[Column3]]), "", deployment_raw[[#This Row],[Column3]])</f>
        <v/>
      </c>
      <c r="D250" s="36" t="str">
        <f>IF(ISNONTEXT(deployment_raw[[#This Row],[Column4]]), "", deployment_raw[[#This Row],[Column4]])</f>
        <v/>
      </c>
      <c r="E250" s="37" t="str">
        <f>IF(ISNUMBER(deployment_raw[[#This Row],[Column5]]), deployment_raw[[#This Row],[Column5]],"")</f>
        <v/>
      </c>
      <c r="F250" s="94" t="str">
        <f>IF(ISNUMBER(deployment_raw[[#This Row],[Column6]]), (deployment_raw[[#This Row],[Column6]] * IF($E$2="Deployment",deployment_raw[[#This Row],[Column5]],1)),"")</f>
        <v/>
      </c>
      <c r="G250" s="95" t="str">
        <f>IF(ISNUMBER(deployment_raw[[#This Row],[Column7]]), (deployment_raw[[#This Row],[Column7]] * IF($E$2="Deployment",deployment_raw[[#This Row],[Column5]],1))/1048576,"")</f>
        <v/>
      </c>
      <c r="H250" s="95" t="str">
        <f>IF(ISNUMBER(deployment_raw[[#This Row],[Column8]]), (deployment_raw[[#This Row],[Column8]]  * IF($E$2="Deployment",deployment_raw[[#This Row],[Column5]],1)),"")</f>
        <v/>
      </c>
      <c r="I250" s="96" t="str">
        <f>IF(ISNUMBER(deployment_raw[[#This Row],[Column9]]), (deployment_raw[[#This Row],[Column9]] * IF($E$2="Deployment",deployment_raw[[#This Row],[Column5]],1))/1048576,"")</f>
        <v/>
      </c>
      <c r="J250" s="122" t="str">
        <f>IF(ISNUMBER(deployment_raw[[#This Row],[Column10]]), (MIN(IF(N250&lt;&gt;"",N250,9999999999999)*1.1,deployment_raw[[#This Row],[Column10]] * IF($E$2="Deployment",deployment_raw[[#This Row],[Column5]],1))),"")</f>
        <v/>
      </c>
      <c r="K250" s="123" t="str">
        <f>IF(ISNUMBER(deployment_raw[[#This Row],[Column11]]), (MIN(IF(O250&lt;&gt;"",O250,9999999999999)*1.1,deployment_raw[[#This Row],[Column11]] * IF($E$2="Deployment",deployment_raw[[#This Row],[Column5]],1)/1048576)),"")</f>
        <v/>
      </c>
      <c r="L250" s="124" t="str">
        <f>IF(ISNUMBER(deployment_raw[[#This Row],[Column8]]),IF(OR(deployment_raw[[#This Row],[Column5]] &lt;&gt; 0,$E$2 &lt;&gt; "Deployment"), MAX(J250, P250, R250, ($L$2 * IF($E$2="Deployment",deployment_raw[[#This Row],[Column5]],1)),IF(T250&lt;&gt;"",VALUE(T250) * IF($E$2="Deployment",deployment_raw[[#This Row],[Column5]],1),0)), 0),"")</f>
        <v/>
      </c>
      <c r="M250" s="125" t="str">
        <f>IF(ISNUMBER(deployment_raw[[#This Row],[Column9]]),IF(OR(deployment_raw[[#This Row],[Column5]] &lt;&gt; 0,$E$2&lt;&gt;"Deployment"), MAX(K250, Q250, S250, ($M$2 * IF($E$2="Deployment",deployment_raw[[#This Row],[Column5]],1)),IF(U250&lt;&gt;"",VALUE(U250) * IF($E$2="Deployment",deployment_raw[[#This Row],[Column5]],1),0)), 0),"")</f>
        <v/>
      </c>
      <c r="N250" s="166" t="str">
        <f>IF(ISNUMBER(deployment_raw[[#This Row],[Column14]]), deployment_raw[[#This Row],[Column14]]/IF(OR($E$2="Deployment",deployment_raw[[#This Row],[Column5]]=0),1,deployment_raw[[#This Row],[Column5]]),"")</f>
        <v/>
      </c>
      <c r="O250" s="167" t="str">
        <f>IF(ISNUMBER(deployment_raw[[#This Row],[Column15]]), deployment_raw[[#This Row],[Column15]]/IF(OR($E$2="Deployment",deployment_raw[[#This Row],[Column5]]=0),1,deployment_raw[[#This Row],[Column5]])/1048576,"")</f>
        <v/>
      </c>
      <c r="P250" s="168" t="str">
        <f>IF(ISNUMBER(deployment_raw[[#This Row],[Column12]]), (MIN(IF(N250&lt;&gt;"",N250,9999999999999)*1.1,deployment_raw[[#This Row],[Column12]] * IF($E$2="Deployment",deployment_raw[[#This Row],[Column5]],1))*(1+$P$2)),"")</f>
        <v/>
      </c>
      <c r="Q250" s="167" t="str">
        <f>IF(ISNUMBER(deployment_raw[[#This Row],[Column13]]), (MIN(IF(O250&lt;&gt;"",O250,9999999999999)*1.1,deployment_raw[[#This Row],[Column13]] * IF($E$2="Deployment",deployment_raw[[#This Row],[Column5]],1)*(1+$Q$2)/1048576)),"")</f>
        <v/>
      </c>
      <c r="R250" s="169" t="str">
        <f>IF(ISNUMBER(deployment_raw[[#This Row],[Column8]]), (H250  * IF(N250&lt;&gt;0,$R$2,1)),"")</f>
        <v/>
      </c>
      <c r="S250" s="170" t="str">
        <f>IF(ISNUMBER(deployment_raw[[#This Row],[Column8]]), (I250  * IF(O250&lt;&gt;0,$S$2,1)),"")</f>
        <v/>
      </c>
      <c r="T250" s="202" t="str">
        <f>IF(AND(A250&lt;&gt;"",_xlfn.IFNA(MATCH(A250,'dynamic resource application '!$A$2:$A$100, 0),0)&lt;&gt;0), H250/(IF($E$2="Deployment",E250,1)),"")</f>
        <v/>
      </c>
      <c r="U250" s="211" t="str">
        <f>IF(AND(A250&lt;&gt;"",_xlfn.IFNA(MATCH(A250,'dynamic resource application '!$A$2:$A$100, 0),0)&lt;&gt;0), I250/(IF($E$2="Deployment",E250,1)),"")</f>
        <v/>
      </c>
    </row>
    <row r="251" spans="1:21" ht="15.75" customHeight="1" x14ac:dyDescent="0.25">
      <c r="A251" s="35" t="str">
        <f>IF(ISNONTEXT(deployment_raw[[#This Row],[Column1]]), "", deployment_raw[[#This Row],[Column1]])</f>
        <v/>
      </c>
      <c r="B251" s="36" t="str">
        <f>IF(ISNONTEXT(deployment_raw[[#This Row],[Column2]]), "", deployment_raw[[#This Row],[Column2]])</f>
        <v/>
      </c>
      <c r="C251" s="36" t="str">
        <f>IF(ISNONTEXT(deployment_raw[[#This Row],[Column3]]), "", deployment_raw[[#This Row],[Column3]])</f>
        <v/>
      </c>
      <c r="D251" s="36" t="str">
        <f>IF(ISNONTEXT(deployment_raw[[#This Row],[Column4]]), "", deployment_raw[[#This Row],[Column4]])</f>
        <v/>
      </c>
      <c r="E251" s="37" t="str">
        <f>IF(ISNUMBER(deployment_raw[[#This Row],[Column5]]), deployment_raw[[#This Row],[Column5]],"")</f>
        <v/>
      </c>
      <c r="F251" s="94" t="str">
        <f>IF(ISNUMBER(deployment_raw[[#This Row],[Column6]]), (deployment_raw[[#This Row],[Column6]] * IF($E$2="Deployment",deployment_raw[[#This Row],[Column5]],1)),"")</f>
        <v/>
      </c>
      <c r="G251" s="95" t="str">
        <f>IF(ISNUMBER(deployment_raw[[#This Row],[Column7]]), (deployment_raw[[#This Row],[Column7]] * IF($E$2="Deployment",deployment_raw[[#This Row],[Column5]],1))/1048576,"")</f>
        <v/>
      </c>
      <c r="H251" s="95" t="str">
        <f>IF(ISNUMBER(deployment_raw[[#This Row],[Column8]]), (deployment_raw[[#This Row],[Column8]]  * IF($E$2="Deployment",deployment_raw[[#This Row],[Column5]],1)),"")</f>
        <v/>
      </c>
      <c r="I251" s="96" t="str">
        <f>IF(ISNUMBER(deployment_raw[[#This Row],[Column9]]), (deployment_raw[[#This Row],[Column9]] * IF($E$2="Deployment",deployment_raw[[#This Row],[Column5]],1))/1048576,"")</f>
        <v/>
      </c>
      <c r="J251" s="122" t="str">
        <f>IF(ISNUMBER(deployment_raw[[#This Row],[Column10]]), (MIN(IF(N251&lt;&gt;"",N251,9999999999999)*1.1,deployment_raw[[#This Row],[Column10]] * IF($E$2="Deployment",deployment_raw[[#This Row],[Column5]],1))),"")</f>
        <v/>
      </c>
      <c r="K251" s="123" t="str">
        <f>IF(ISNUMBER(deployment_raw[[#This Row],[Column11]]), (MIN(IF(O251&lt;&gt;"",O251,9999999999999)*1.1,deployment_raw[[#This Row],[Column11]] * IF($E$2="Deployment",deployment_raw[[#This Row],[Column5]],1)/1048576)),"")</f>
        <v/>
      </c>
      <c r="L251" s="124" t="str">
        <f>IF(ISNUMBER(deployment_raw[[#This Row],[Column8]]),IF(OR(deployment_raw[[#This Row],[Column5]] &lt;&gt; 0,$E$2 &lt;&gt; "Deployment"), MAX(J251, P251, R251, ($L$2 * IF($E$2="Deployment",deployment_raw[[#This Row],[Column5]],1)),IF(T251&lt;&gt;"",VALUE(T251) * IF($E$2="Deployment",deployment_raw[[#This Row],[Column5]],1),0)), 0),"")</f>
        <v/>
      </c>
      <c r="M251" s="125" t="str">
        <f>IF(ISNUMBER(deployment_raw[[#This Row],[Column9]]),IF(OR(deployment_raw[[#This Row],[Column5]] &lt;&gt; 0,$E$2&lt;&gt;"Deployment"), MAX(K251, Q251, S251, ($M$2 * IF($E$2="Deployment",deployment_raw[[#This Row],[Column5]],1)),IF(U251&lt;&gt;"",VALUE(U251) * IF($E$2="Deployment",deployment_raw[[#This Row],[Column5]],1),0)), 0),"")</f>
        <v/>
      </c>
      <c r="N251" s="166" t="str">
        <f>IF(ISNUMBER(deployment_raw[[#This Row],[Column14]]), deployment_raw[[#This Row],[Column14]]/IF(OR($E$2="Deployment",deployment_raw[[#This Row],[Column5]]=0),1,deployment_raw[[#This Row],[Column5]]),"")</f>
        <v/>
      </c>
      <c r="O251" s="167" t="str">
        <f>IF(ISNUMBER(deployment_raw[[#This Row],[Column15]]), deployment_raw[[#This Row],[Column15]]/IF(OR($E$2="Deployment",deployment_raw[[#This Row],[Column5]]=0),1,deployment_raw[[#This Row],[Column5]])/1048576,"")</f>
        <v/>
      </c>
      <c r="P251" s="168" t="str">
        <f>IF(ISNUMBER(deployment_raw[[#This Row],[Column12]]), (MIN(IF(N251&lt;&gt;"",N251,9999999999999)*1.1,deployment_raw[[#This Row],[Column12]] * IF($E$2="Deployment",deployment_raw[[#This Row],[Column5]],1))*(1+$P$2)),"")</f>
        <v/>
      </c>
      <c r="Q251" s="167" t="str">
        <f>IF(ISNUMBER(deployment_raw[[#This Row],[Column13]]), (MIN(IF(O251&lt;&gt;"",O251,9999999999999)*1.1,deployment_raw[[#This Row],[Column13]] * IF($E$2="Deployment",deployment_raw[[#This Row],[Column5]],1)*(1+$Q$2)/1048576)),"")</f>
        <v/>
      </c>
      <c r="R251" s="169" t="str">
        <f>IF(ISNUMBER(deployment_raw[[#This Row],[Column8]]), (H251  * IF(N251&lt;&gt;0,$R$2,1)),"")</f>
        <v/>
      </c>
      <c r="S251" s="170" t="str">
        <f>IF(ISNUMBER(deployment_raw[[#This Row],[Column8]]), (I251  * IF(O251&lt;&gt;0,$S$2,1)),"")</f>
        <v/>
      </c>
      <c r="T251" s="202" t="str">
        <f>IF(AND(A251&lt;&gt;"",_xlfn.IFNA(MATCH(A251,'dynamic resource application '!$A$2:$A$100, 0),0)&lt;&gt;0), H251/(IF($E$2="Deployment",E251,1)),"")</f>
        <v/>
      </c>
      <c r="U251" s="211" t="str">
        <f>IF(AND(A251&lt;&gt;"",_xlfn.IFNA(MATCH(A251,'dynamic resource application '!$A$2:$A$100, 0),0)&lt;&gt;0), I251/(IF($E$2="Deployment",E251,1)),"")</f>
        <v/>
      </c>
    </row>
    <row r="252" spans="1:21" ht="15.75" customHeight="1" x14ac:dyDescent="0.25">
      <c r="A252" s="35" t="str">
        <f>IF(ISNONTEXT(deployment_raw[[#This Row],[Column1]]), "", deployment_raw[[#This Row],[Column1]])</f>
        <v/>
      </c>
      <c r="B252" s="36" t="str">
        <f>IF(ISNONTEXT(deployment_raw[[#This Row],[Column2]]), "", deployment_raw[[#This Row],[Column2]])</f>
        <v/>
      </c>
      <c r="C252" s="36" t="str">
        <f>IF(ISNONTEXT(deployment_raw[[#This Row],[Column3]]), "", deployment_raw[[#This Row],[Column3]])</f>
        <v/>
      </c>
      <c r="D252" s="36" t="str">
        <f>IF(ISNONTEXT(deployment_raw[[#This Row],[Column4]]), "", deployment_raw[[#This Row],[Column4]])</f>
        <v/>
      </c>
      <c r="E252" s="37" t="str">
        <f>IF(ISNUMBER(deployment_raw[[#This Row],[Column5]]), deployment_raw[[#This Row],[Column5]],"")</f>
        <v/>
      </c>
      <c r="F252" s="94" t="str">
        <f>IF(ISNUMBER(deployment_raw[[#This Row],[Column6]]), (deployment_raw[[#This Row],[Column6]] * IF($E$2="Deployment",deployment_raw[[#This Row],[Column5]],1)),"")</f>
        <v/>
      </c>
      <c r="G252" s="95" t="str">
        <f>IF(ISNUMBER(deployment_raw[[#This Row],[Column7]]), (deployment_raw[[#This Row],[Column7]] * IF($E$2="Deployment",deployment_raw[[#This Row],[Column5]],1))/1048576,"")</f>
        <v/>
      </c>
      <c r="H252" s="95" t="str">
        <f>IF(ISNUMBER(deployment_raw[[#This Row],[Column8]]), (deployment_raw[[#This Row],[Column8]]  * IF($E$2="Deployment",deployment_raw[[#This Row],[Column5]],1)),"")</f>
        <v/>
      </c>
      <c r="I252" s="96" t="str">
        <f>IF(ISNUMBER(deployment_raw[[#This Row],[Column9]]), (deployment_raw[[#This Row],[Column9]] * IF($E$2="Deployment",deployment_raw[[#This Row],[Column5]],1))/1048576,"")</f>
        <v/>
      </c>
      <c r="J252" s="122" t="str">
        <f>IF(ISNUMBER(deployment_raw[[#This Row],[Column10]]), (MIN(IF(N252&lt;&gt;"",N252,9999999999999)*1.1,deployment_raw[[#This Row],[Column10]] * IF($E$2="Deployment",deployment_raw[[#This Row],[Column5]],1))),"")</f>
        <v/>
      </c>
      <c r="K252" s="123" t="str">
        <f>IF(ISNUMBER(deployment_raw[[#This Row],[Column11]]), (MIN(IF(O252&lt;&gt;"",O252,9999999999999)*1.1,deployment_raw[[#This Row],[Column11]] * IF($E$2="Deployment",deployment_raw[[#This Row],[Column5]],1)/1048576)),"")</f>
        <v/>
      </c>
      <c r="L252" s="124" t="str">
        <f>IF(ISNUMBER(deployment_raw[[#This Row],[Column8]]),IF(OR(deployment_raw[[#This Row],[Column5]] &lt;&gt; 0,$E$2 &lt;&gt; "Deployment"), MAX(J252, P252, R252, ($L$2 * IF($E$2="Deployment",deployment_raw[[#This Row],[Column5]],1)),IF(T252&lt;&gt;"",VALUE(T252) * IF($E$2="Deployment",deployment_raw[[#This Row],[Column5]],1),0)), 0),"")</f>
        <v/>
      </c>
      <c r="M252" s="125" t="str">
        <f>IF(ISNUMBER(deployment_raw[[#This Row],[Column9]]),IF(OR(deployment_raw[[#This Row],[Column5]] &lt;&gt; 0,$E$2&lt;&gt;"Deployment"), MAX(K252, Q252, S252, ($M$2 * IF($E$2="Deployment",deployment_raw[[#This Row],[Column5]],1)),IF(U252&lt;&gt;"",VALUE(U252) * IF($E$2="Deployment",deployment_raw[[#This Row],[Column5]],1),0)), 0),"")</f>
        <v/>
      </c>
      <c r="N252" s="166" t="str">
        <f>IF(ISNUMBER(deployment_raw[[#This Row],[Column14]]), deployment_raw[[#This Row],[Column14]]/IF(OR($E$2="Deployment",deployment_raw[[#This Row],[Column5]]=0),1,deployment_raw[[#This Row],[Column5]]),"")</f>
        <v/>
      </c>
      <c r="O252" s="167" t="str">
        <f>IF(ISNUMBER(deployment_raw[[#This Row],[Column15]]), deployment_raw[[#This Row],[Column15]]/IF(OR($E$2="Deployment",deployment_raw[[#This Row],[Column5]]=0),1,deployment_raw[[#This Row],[Column5]])/1048576,"")</f>
        <v/>
      </c>
      <c r="P252" s="168" t="str">
        <f>IF(ISNUMBER(deployment_raw[[#This Row],[Column12]]), (MIN(IF(N252&lt;&gt;"",N252,9999999999999)*1.1,deployment_raw[[#This Row],[Column12]] * IF($E$2="Deployment",deployment_raw[[#This Row],[Column5]],1))*(1+$P$2)),"")</f>
        <v/>
      </c>
      <c r="Q252" s="167" t="str">
        <f>IF(ISNUMBER(deployment_raw[[#This Row],[Column13]]), (MIN(IF(O252&lt;&gt;"",O252,9999999999999)*1.1,deployment_raw[[#This Row],[Column13]] * IF($E$2="Deployment",deployment_raw[[#This Row],[Column5]],1)*(1+$Q$2)/1048576)),"")</f>
        <v/>
      </c>
      <c r="R252" s="169" t="str">
        <f>IF(ISNUMBER(deployment_raw[[#This Row],[Column8]]), (H252  * IF(N252&lt;&gt;0,$R$2,1)),"")</f>
        <v/>
      </c>
      <c r="S252" s="170" t="str">
        <f>IF(ISNUMBER(deployment_raw[[#This Row],[Column8]]), (I252  * IF(O252&lt;&gt;0,$S$2,1)),"")</f>
        <v/>
      </c>
      <c r="T252" s="202" t="str">
        <f>IF(AND(A252&lt;&gt;"",_xlfn.IFNA(MATCH(A252,'dynamic resource application '!$A$2:$A$100, 0),0)&lt;&gt;0), H252/(IF($E$2="Deployment",E252,1)),"")</f>
        <v/>
      </c>
      <c r="U252" s="211" t="str">
        <f>IF(AND(A252&lt;&gt;"",_xlfn.IFNA(MATCH(A252,'dynamic resource application '!$A$2:$A$100, 0),0)&lt;&gt;0), I252/(IF($E$2="Deployment",E252,1)),"")</f>
        <v/>
      </c>
    </row>
    <row r="253" spans="1:21" ht="15.75" customHeight="1" x14ac:dyDescent="0.25">
      <c r="A253" s="35" t="str">
        <f>IF(ISNONTEXT(deployment_raw[[#This Row],[Column1]]), "", deployment_raw[[#This Row],[Column1]])</f>
        <v/>
      </c>
      <c r="B253" s="36" t="str">
        <f>IF(ISNONTEXT(deployment_raw[[#This Row],[Column2]]), "", deployment_raw[[#This Row],[Column2]])</f>
        <v/>
      </c>
      <c r="C253" s="36" t="str">
        <f>IF(ISNONTEXT(deployment_raw[[#This Row],[Column3]]), "", deployment_raw[[#This Row],[Column3]])</f>
        <v/>
      </c>
      <c r="D253" s="36" t="str">
        <f>IF(ISNONTEXT(deployment_raw[[#This Row],[Column4]]), "", deployment_raw[[#This Row],[Column4]])</f>
        <v/>
      </c>
      <c r="E253" s="37" t="str">
        <f>IF(ISNUMBER(deployment_raw[[#This Row],[Column5]]), deployment_raw[[#This Row],[Column5]],"")</f>
        <v/>
      </c>
      <c r="F253" s="94" t="str">
        <f>IF(ISNUMBER(deployment_raw[[#This Row],[Column6]]), (deployment_raw[[#This Row],[Column6]] * IF($E$2="Deployment",deployment_raw[[#This Row],[Column5]],1)),"")</f>
        <v/>
      </c>
      <c r="G253" s="95" t="str">
        <f>IF(ISNUMBER(deployment_raw[[#This Row],[Column7]]), (deployment_raw[[#This Row],[Column7]] * IF($E$2="Deployment",deployment_raw[[#This Row],[Column5]],1))/1048576,"")</f>
        <v/>
      </c>
      <c r="H253" s="95" t="str">
        <f>IF(ISNUMBER(deployment_raw[[#This Row],[Column8]]), (deployment_raw[[#This Row],[Column8]]  * IF($E$2="Deployment",deployment_raw[[#This Row],[Column5]],1)),"")</f>
        <v/>
      </c>
      <c r="I253" s="96" t="str">
        <f>IF(ISNUMBER(deployment_raw[[#This Row],[Column9]]), (deployment_raw[[#This Row],[Column9]] * IF($E$2="Deployment",deployment_raw[[#This Row],[Column5]],1))/1048576,"")</f>
        <v/>
      </c>
      <c r="J253" s="122" t="str">
        <f>IF(ISNUMBER(deployment_raw[[#This Row],[Column10]]), (MIN(IF(N253&lt;&gt;"",N253,9999999999999)*1.1,deployment_raw[[#This Row],[Column10]] * IF($E$2="Deployment",deployment_raw[[#This Row],[Column5]],1))),"")</f>
        <v/>
      </c>
      <c r="K253" s="123" t="str">
        <f>IF(ISNUMBER(deployment_raw[[#This Row],[Column11]]), (MIN(IF(O253&lt;&gt;"",O253,9999999999999)*1.1,deployment_raw[[#This Row],[Column11]] * IF($E$2="Deployment",deployment_raw[[#This Row],[Column5]],1)/1048576)),"")</f>
        <v/>
      </c>
      <c r="L253" s="124" t="str">
        <f>IF(ISNUMBER(deployment_raw[[#This Row],[Column8]]),IF(OR(deployment_raw[[#This Row],[Column5]] &lt;&gt; 0,$E$2 &lt;&gt; "Deployment"), MAX(J253, P253, R253, ($L$2 * IF($E$2="Deployment",deployment_raw[[#This Row],[Column5]],1)),IF(T253&lt;&gt;"",VALUE(T253) * IF($E$2="Deployment",deployment_raw[[#This Row],[Column5]],1),0)), 0),"")</f>
        <v/>
      </c>
      <c r="M253" s="125" t="str">
        <f>IF(ISNUMBER(deployment_raw[[#This Row],[Column9]]),IF(OR(deployment_raw[[#This Row],[Column5]] &lt;&gt; 0,$E$2&lt;&gt;"Deployment"), MAX(K253, Q253, S253, ($M$2 * IF($E$2="Deployment",deployment_raw[[#This Row],[Column5]],1)),IF(U253&lt;&gt;"",VALUE(U253) * IF($E$2="Deployment",deployment_raw[[#This Row],[Column5]],1),0)), 0),"")</f>
        <v/>
      </c>
      <c r="N253" s="166" t="str">
        <f>IF(ISNUMBER(deployment_raw[[#This Row],[Column14]]), deployment_raw[[#This Row],[Column14]]/IF(OR($E$2="Deployment",deployment_raw[[#This Row],[Column5]]=0),1,deployment_raw[[#This Row],[Column5]]),"")</f>
        <v/>
      </c>
      <c r="O253" s="167" t="str">
        <f>IF(ISNUMBER(deployment_raw[[#This Row],[Column15]]), deployment_raw[[#This Row],[Column15]]/IF(OR($E$2="Deployment",deployment_raw[[#This Row],[Column5]]=0),1,deployment_raw[[#This Row],[Column5]])/1048576,"")</f>
        <v/>
      </c>
      <c r="P253" s="168" t="str">
        <f>IF(ISNUMBER(deployment_raw[[#This Row],[Column12]]), (MIN(IF(N253&lt;&gt;"",N253,9999999999999)*1.1,deployment_raw[[#This Row],[Column12]] * IF($E$2="Deployment",deployment_raw[[#This Row],[Column5]],1))*(1+$P$2)),"")</f>
        <v/>
      </c>
      <c r="Q253" s="167" t="str">
        <f>IF(ISNUMBER(deployment_raw[[#This Row],[Column13]]), (MIN(IF(O253&lt;&gt;"",O253,9999999999999)*1.1,deployment_raw[[#This Row],[Column13]] * IF($E$2="Deployment",deployment_raw[[#This Row],[Column5]],1)*(1+$Q$2)/1048576)),"")</f>
        <v/>
      </c>
      <c r="R253" s="169" t="str">
        <f>IF(ISNUMBER(deployment_raw[[#This Row],[Column8]]), (H253  * IF(N253&lt;&gt;0,$R$2,1)),"")</f>
        <v/>
      </c>
      <c r="S253" s="170" t="str">
        <f>IF(ISNUMBER(deployment_raw[[#This Row],[Column8]]), (I253  * IF(O253&lt;&gt;0,$S$2,1)),"")</f>
        <v/>
      </c>
      <c r="T253" s="202" t="str">
        <f>IF(AND(A253&lt;&gt;"",_xlfn.IFNA(MATCH(A253,'dynamic resource application '!$A$2:$A$100, 0),0)&lt;&gt;0), H253/(IF($E$2="Deployment",E253,1)),"")</f>
        <v/>
      </c>
      <c r="U253" s="211" t="str">
        <f>IF(AND(A253&lt;&gt;"",_xlfn.IFNA(MATCH(A253,'dynamic resource application '!$A$2:$A$100, 0),0)&lt;&gt;0), I253/(IF($E$2="Deployment",E253,1)),"")</f>
        <v/>
      </c>
    </row>
    <row r="254" spans="1:21" ht="15.75" customHeight="1" x14ac:dyDescent="0.25">
      <c r="A254" s="35" t="str">
        <f>IF(ISNONTEXT(deployment_raw[[#This Row],[Column1]]), "", deployment_raw[[#This Row],[Column1]])</f>
        <v/>
      </c>
      <c r="B254" s="36" t="str">
        <f>IF(ISNONTEXT(deployment_raw[[#This Row],[Column2]]), "", deployment_raw[[#This Row],[Column2]])</f>
        <v/>
      </c>
      <c r="C254" s="36" t="str">
        <f>IF(ISNONTEXT(deployment_raw[[#This Row],[Column3]]), "", deployment_raw[[#This Row],[Column3]])</f>
        <v/>
      </c>
      <c r="D254" s="36" t="str">
        <f>IF(ISNONTEXT(deployment_raw[[#This Row],[Column4]]), "", deployment_raw[[#This Row],[Column4]])</f>
        <v/>
      </c>
      <c r="E254" s="37" t="str">
        <f>IF(ISNUMBER(deployment_raw[[#This Row],[Column5]]), deployment_raw[[#This Row],[Column5]],"")</f>
        <v/>
      </c>
      <c r="F254" s="94" t="str">
        <f>IF(ISNUMBER(deployment_raw[[#This Row],[Column6]]), (deployment_raw[[#This Row],[Column6]] * IF($E$2="Deployment",deployment_raw[[#This Row],[Column5]],1)),"")</f>
        <v/>
      </c>
      <c r="G254" s="95" t="str">
        <f>IF(ISNUMBER(deployment_raw[[#This Row],[Column7]]), (deployment_raw[[#This Row],[Column7]] * IF($E$2="Deployment",deployment_raw[[#This Row],[Column5]],1))/1048576,"")</f>
        <v/>
      </c>
      <c r="H254" s="95" t="str">
        <f>IF(ISNUMBER(deployment_raw[[#This Row],[Column8]]), (deployment_raw[[#This Row],[Column8]]  * IF($E$2="Deployment",deployment_raw[[#This Row],[Column5]],1)),"")</f>
        <v/>
      </c>
      <c r="I254" s="96" t="str">
        <f>IF(ISNUMBER(deployment_raw[[#This Row],[Column9]]), (deployment_raw[[#This Row],[Column9]] * IF($E$2="Deployment",deployment_raw[[#This Row],[Column5]],1))/1048576,"")</f>
        <v/>
      </c>
      <c r="J254" s="122" t="str">
        <f>IF(ISNUMBER(deployment_raw[[#This Row],[Column10]]), (MIN(IF(N254&lt;&gt;"",N254,9999999999999)*1.1,deployment_raw[[#This Row],[Column10]] * IF($E$2="Deployment",deployment_raw[[#This Row],[Column5]],1))),"")</f>
        <v/>
      </c>
      <c r="K254" s="123" t="str">
        <f>IF(ISNUMBER(deployment_raw[[#This Row],[Column11]]), (MIN(IF(O254&lt;&gt;"",O254,9999999999999)*1.1,deployment_raw[[#This Row],[Column11]] * IF($E$2="Deployment",deployment_raw[[#This Row],[Column5]],1)/1048576)),"")</f>
        <v/>
      </c>
      <c r="L254" s="124" t="str">
        <f>IF(ISNUMBER(deployment_raw[[#This Row],[Column8]]),IF(OR(deployment_raw[[#This Row],[Column5]] &lt;&gt; 0,$E$2 &lt;&gt; "Deployment"), MAX(J254, P254, R254, ($L$2 * IF($E$2="Deployment",deployment_raw[[#This Row],[Column5]],1)),IF(T254&lt;&gt;"",VALUE(T254) * IF($E$2="Deployment",deployment_raw[[#This Row],[Column5]],1),0)), 0),"")</f>
        <v/>
      </c>
      <c r="M254" s="125" t="str">
        <f>IF(ISNUMBER(deployment_raw[[#This Row],[Column9]]),IF(OR(deployment_raw[[#This Row],[Column5]] &lt;&gt; 0,$E$2&lt;&gt;"Deployment"), MAX(K254, Q254, S254, ($M$2 * IF($E$2="Deployment",deployment_raw[[#This Row],[Column5]],1)),IF(U254&lt;&gt;"",VALUE(U254) * IF($E$2="Deployment",deployment_raw[[#This Row],[Column5]],1),0)), 0),"")</f>
        <v/>
      </c>
      <c r="N254" s="166" t="str">
        <f>IF(ISNUMBER(deployment_raw[[#This Row],[Column14]]), deployment_raw[[#This Row],[Column14]]/IF(OR($E$2="Deployment",deployment_raw[[#This Row],[Column5]]=0),1,deployment_raw[[#This Row],[Column5]]),"")</f>
        <v/>
      </c>
      <c r="O254" s="167" t="str">
        <f>IF(ISNUMBER(deployment_raw[[#This Row],[Column15]]), deployment_raw[[#This Row],[Column15]]/IF(OR($E$2="Deployment",deployment_raw[[#This Row],[Column5]]=0),1,deployment_raw[[#This Row],[Column5]])/1048576,"")</f>
        <v/>
      </c>
      <c r="P254" s="168" t="str">
        <f>IF(ISNUMBER(deployment_raw[[#This Row],[Column12]]), (MIN(IF(N254&lt;&gt;"",N254,9999999999999)*1.1,deployment_raw[[#This Row],[Column12]] * IF($E$2="Deployment",deployment_raw[[#This Row],[Column5]],1))*(1+$P$2)),"")</f>
        <v/>
      </c>
      <c r="Q254" s="167" t="str">
        <f>IF(ISNUMBER(deployment_raw[[#This Row],[Column13]]), (MIN(IF(O254&lt;&gt;"",O254,9999999999999)*1.1,deployment_raw[[#This Row],[Column13]] * IF($E$2="Deployment",deployment_raw[[#This Row],[Column5]],1)*(1+$Q$2)/1048576)),"")</f>
        <v/>
      </c>
      <c r="R254" s="169" t="str">
        <f>IF(ISNUMBER(deployment_raw[[#This Row],[Column8]]), (H254  * IF(N254&lt;&gt;0,$R$2,1)),"")</f>
        <v/>
      </c>
      <c r="S254" s="170" t="str">
        <f>IF(ISNUMBER(deployment_raw[[#This Row],[Column8]]), (I254  * IF(O254&lt;&gt;0,$S$2,1)),"")</f>
        <v/>
      </c>
      <c r="T254" s="202" t="str">
        <f>IF(AND(A254&lt;&gt;"",_xlfn.IFNA(MATCH(A254,'dynamic resource application '!$A$2:$A$100, 0),0)&lt;&gt;0), H254/(IF($E$2="Deployment",E254,1)),"")</f>
        <v/>
      </c>
      <c r="U254" s="211" t="str">
        <f>IF(AND(A254&lt;&gt;"",_xlfn.IFNA(MATCH(A254,'dynamic resource application '!$A$2:$A$100, 0),0)&lt;&gt;0), I254/(IF($E$2="Deployment",E254,1)),"")</f>
        <v/>
      </c>
    </row>
    <row r="255" spans="1:21" ht="15.75" customHeight="1" x14ac:dyDescent="0.25">
      <c r="A255" s="35" t="str">
        <f>IF(ISNONTEXT(deployment_raw[[#This Row],[Column1]]), "", deployment_raw[[#This Row],[Column1]])</f>
        <v/>
      </c>
      <c r="B255" s="36" t="str">
        <f>IF(ISNONTEXT(deployment_raw[[#This Row],[Column2]]), "", deployment_raw[[#This Row],[Column2]])</f>
        <v/>
      </c>
      <c r="C255" s="36" t="str">
        <f>IF(ISNONTEXT(deployment_raw[[#This Row],[Column3]]), "", deployment_raw[[#This Row],[Column3]])</f>
        <v/>
      </c>
      <c r="D255" s="36" t="str">
        <f>IF(ISNONTEXT(deployment_raw[[#This Row],[Column4]]), "", deployment_raw[[#This Row],[Column4]])</f>
        <v/>
      </c>
      <c r="E255" s="37" t="str">
        <f>IF(ISNUMBER(deployment_raw[[#This Row],[Column5]]), deployment_raw[[#This Row],[Column5]],"")</f>
        <v/>
      </c>
      <c r="F255" s="94" t="str">
        <f>IF(ISNUMBER(deployment_raw[[#This Row],[Column6]]), (deployment_raw[[#This Row],[Column6]] * IF($E$2="Deployment",deployment_raw[[#This Row],[Column5]],1)),"")</f>
        <v/>
      </c>
      <c r="G255" s="95" t="str">
        <f>IF(ISNUMBER(deployment_raw[[#This Row],[Column7]]), (deployment_raw[[#This Row],[Column7]] * IF($E$2="Deployment",deployment_raw[[#This Row],[Column5]],1))/1048576,"")</f>
        <v/>
      </c>
      <c r="H255" s="95" t="str">
        <f>IF(ISNUMBER(deployment_raw[[#This Row],[Column8]]), (deployment_raw[[#This Row],[Column8]]  * IF($E$2="Deployment",deployment_raw[[#This Row],[Column5]],1)),"")</f>
        <v/>
      </c>
      <c r="I255" s="96" t="str">
        <f>IF(ISNUMBER(deployment_raw[[#This Row],[Column9]]), (deployment_raw[[#This Row],[Column9]] * IF($E$2="Deployment",deployment_raw[[#This Row],[Column5]],1))/1048576,"")</f>
        <v/>
      </c>
      <c r="J255" s="122" t="str">
        <f>IF(ISNUMBER(deployment_raw[[#This Row],[Column10]]), (MIN(IF(N255&lt;&gt;"",N255,9999999999999)*1.1,deployment_raw[[#This Row],[Column10]] * IF($E$2="Deployment",deployment_raw[[#This Row],[Column5]],1))),"")</f>
        <v/>
      </c>
      <c r="K255" s="123" t="str">
        <f>IF(ISNUMBER(deployment_raw[[#This Row],[Column11]]), (MIN(IF(O255&lt;&gt;"",O255,9999999999999)*1.1,deployment_raw[[#This Row],[Column11]] * IF($E$2="Deployment",deployment_raw[[#This Row],[Column5]],1)/1048576)),"")</f>
        <v/>
      </c>
      <c r="L255" s="124" t="str">
        <f>IF(ISNUMBER(deployment_raw[[#This Row],[Column8]]),IF(OR(deployment_raw[[#This Row],[Column5]] &lt;&gt; 0,$E$2 &lt;&gt; "Deployment"), MAX(J255, P255, R255, ($L$2 * IF($E$2="Deployment",deployment_raw[[#This Row],[Column5]],1)),IF(T255&lt;&gt;"",VALUE(T255) * IF($E$2="Deployment",deployment_raw[[#This Row],[Column5]],1),0)), 0),"")</f>
        <v/>
      </c>
      <c r="M255" s="125" t="str">
        <f>IF(ISNUMBER(deployment_raw[[#This Row],[Column9]]),IF(OR(deployment_raw[[#This Row],[Column5]] &lt;&gt; 0,$E$2&lt;&gt;"Deployment"), MAX(K255, Q255, S255, ($M$2 * IF($E$2="Deployment",deployment_raw[[#This Row],[Column5]],1)),IF(U255&lt;&gt;"",VALUE(U255) * IF($E$2="Deployment",deployment_raw[[#This Row],[Column5]],1),0)), 0),"")</f>
        <v/>
      </c>
      <c r="N255" s="166" t="str">
        <f>IF(ISNUMBER(deployment_raw[[#This Row],[Column14]]), deployment_raw[[#This Row],[Column14]]/IF(OR($E$2="Deployment",deployment_raw[[#This Row],[Column5]]=0),1,deployment_raw[[#This Row],[Column5]]),"")</f>
        <v/>
      </c>
      <c r="O255" s="167" t="str">
        <f>IF(ISNUMBER(deployment_raw[[#This Row],[Column15]]), deployment_raw[[#This Row],[Column15]]/IF(OR($E$2="Deployment",deployment_raw[[#This Row],[Column5]]=0),1,deployment_raw[[#This Row],[Column5]])/1048576,"")</f>
        <v/>
      </c>
      <c r="P255" s="168" t="str">
        <f>IF(ISNUMBER(deployment_raw[[#This Row],[Column12]]), (MIN(IF(N255&lt;&gt;"",N255,9999999999999)*1.1,deployment_raw[[#This Row],[Column12]] * IF($E$2="Deployment",deployment_raw[[#This Row],[Column5]],1))*(1+$P$2)),"")</f>
        <v/>
      </c>
      <c r="Q255" s="167" t="str">
        <f>IF(ISNUMBER(deployment_raw[[#This Row],[Column13]]), (MIN(IF(O255&lt;&gt;"",O255,9999999999999)*1.1,deployment_raw[[#This Row],[Column13]] * IF($E$2="Deployment",deployment_raw[[#This Row],[Column5]],1)*(1+$Q$2)/1048576)),"")</f>
        <v/>
      </c>
      <c r="R255" s="169" t="str">
        <f>IF(ISNUMBER(deployment_raw[[#This Row],[Column8]]), (H255  * IF(N255&lt;&gt;0,$R$2,1)),"")</f>
        <v/>
      </c>
      <c r="S255" s="170" t="str">
        <f>IF(ISNUMBER(deployment_raw[[#This Row],[Column8]]), (I255  * IF(O255&lt;&gt;0,$S$2,1)),"")</f>
        <v/>
      </c>
      <c r="T255" s="202" t="str">
        <f>IF(AND(A255&lt;&gt;"",_xlfn.IFNA(MATCH(A255,'dynamic resource application '!$A$2:$A$100, 0),0)&lt;&gt;0), H255/(IF($E$2="Deployment",E255,1)),"")</f>
        <v/>
      </c>
      <c r="U255" s="211" t="str">
        <f>IF(AND(A255&lt;&gt;"",_xlfn.IFNA(MATCH(A255,'dynamic resource application '!$A$2:$A$100, 0),0)&lt;&gt;0), I255/(IF($E$2="Deployment",E255,1)),"")</f>
        <v/>
      </c>
    </row>
    <row r="256" spans="1:21" ht="15.75" customHeight="1" x14ac:dyDescent="0.25">
      <c r="A256" s="35" t="str">
        <f>IF(ISNONTEXT(deployment_raw[[#This Row],[Column1]]), "", deployment_raw[[#This Row],[Column1]])</f>
        <v/>
      </c>
      <c r="B256" s="36" t="str">
        <f>IF(ISNONTEXT(deployment_raw[[#This Row],[Column2]]), "", deployment_raw[[#This Row],[Column2]])</f>
        <v/>
      </c>
      <c r="C256" s="36" t="str">
        <f>IF(ISNONTEXT(deployment_raw[[#This Row],[Column3]]), "", deployment_raw[[#This Row],[Column3]])</f>
        <v/>
      </c>
      <c r="D256" s="36" t="str">
        <f>IF(ISNONTEXT(deployment_raw[[#This Row],[Column4]]), "", deployment_raw[[#This Row],[Column4]])</f>
        <v/>
      </c>
      <c r="E256" s="37" t="str">
        <f>IF(ISNUMBER(deployment_raw[[#This Row],[Column5]]), deployment_raw[[#This Row],[Column5]],"")</f>
        <v/>
      </c>
      <c r="F256" s="94" t="str">
        <f>IF(ISNUMBER(deployment_raw[[#This Row],[Column6]]), (deployment_raw[[#This Row],[Column6]] * IF($E$2="Deployment",deployment_raw[[#This Row],[Column5]],1)),"")</f>
        <v/>
      </c>
      <c r="G256" s="95" t="str">
        <f>IF(ISNUMBER(deployment_raw[[#This Row],[Column7]]), (deployment_raw[[#This Row],[Column7]] * IF($E$2="Deployment",deployment_raw[[#This Row],[Column5]],1))/1048576,"")</f>
        <v/>
      </c>
      <c r="H256" s="95" t="str">
        <f>IF(ISNUMBER(deployment_raw[[#This Row],[Column8]]), (deployment_raw[[#This Row],[Column8]]  * IF($E$2="Deployment",deployment_raw[[#This Row],[Column5]],1)),"")</f>
        <v/>
      </c>
      <c r="I256" s="96" t="str">
        <f>IF(ISNUMBER(deployment_raw[[#This Row],[Column9]]), (deployment_raw[[#This Row],[Column9]] * IF($E$2="Deployment",deployment_raw[[#This Row],[Column5]],1))/1048576,"")</f>
        <v/>
      </c>
      <c r="J256" s="122" t="str">
        <f>IF(ISNUMBER(deployment_raw[[#This Row],[Column10]]), (MIN(IF(N256&lt;&gt;"",N256,9999999999999)*1.1,deployment_raw[[#This Row],[Column10]] * IF($E$2="Deployment",deployment_raw[[#This Row],[Column5]],1))),"")</f>
        <v/>
      </c>
      <c r="K256" s="123" t="str">
        <f>IF(ISNUMBER(deployment_raw[[#This Row],[Column11]]), (MIN(IF(O256&lt;&gt;"",O256,9999999999999)*1.1,deployment_raw[[#This Row],[Column11]] * IF($E$2="Deployment",deployment_raw[[#This Row],[Column5]],1)/1048576)),"")</f>
        <v/>
      </c>
      <c r="L256" s="124" t="str">
        <f>IF(ISNUMBER(deployment_raw[[#This Row],[Column8]]),IF(OR(deployment_raw[[#This Row],[Column5]] &lt;&gt; 0,$E$2 &lt;&gt; "Deployment"), MAX(J256, P256, R256, ($L$2 * IF($E$2="Deployment",deployment_raw[[#This Row],[Column5]],1)),IF(T256&lt;&gt;"",VALUE(T256) * IF($E$2="Deployment",deployment_raw[[#This Row],[Column5]],1),0)), 0),"")</f>
        <v/>
      </c>
      <c r="M256" s="125" t="str">
        <f>IF(ISNUMBER(deployment_raw[[#This Row],[Column9]]),IF(OR(deployment_raw[[#This Row],[Column5]] &lt;&gt; 0,$E$2&lt;&gt;"Deployment"), MAX(K256, Q256, S256, ($M$2 * IF($E$2="Deployment",deployment_raw[[#This Row],[Column5]],1)),IF(U256&lt;&gt;"",VALUE(U256) * IF($E$2="Deployment",deployment_raw[[#This Row],[Column5]],1),0)), 0),"")</f>
        <v/>
      </c>
      <c r="N256" s="166" t="str">
        <f>IF(ISNUMBER(deployment_raw[[#This Row],[Column14]]), deployment_raw[[#This Row],[Column14]]/IF(OR($E$2="Deployment",deployment_raw[[#This Row],[Column5]]=0),1,deployment_raw[[#This Row],[Column5]]),"")</f>
        <v/>
      </c>
      <c r="O256" s="167" t="str">
        <f>IF(ISNUMBER(deployment_raw[[#This Row],[Column15]]), deployment_raw[[#This Row],[Column15]]/IF(OR($E$2="Deployment",deployment_raw[[#This Row],[Column5]]=0),1,deployment_raw[[#This Row],[Column5]])/1048576,"")</f>
        <v/>
      </c>
      <c r="P256" s="168" t="str">
        <f>IF(ISNUMBER(deployment_raw[[#This Row],[Column12]]), (MIN(IF(N256&lt;&gt;"",N256,9999999999999)*1.1,deployment_raw[[#This Row],[Column12]] * IF($E$2="Deployment",deployment_raw[[#This Row],[Column5]],1))*(1+$P$2)),"")</f>
        <v/>
      </c>
      <c r="Q256" s="167" t="str">
        <f>IF(ISNUMBER(deployment_raw[[#This Row],[Column13]]), (MIN(IF(O256&lt;&gt;"",O256,9999999999999)*1.1,deployment_raw[[#This Row],[Column13]] * IF($E$2="Deployment",deployment_raw[[#This Row],[Column5]],1)*(1+$Q$2)/1048576)),"")</f>
        <v/>
      </c>
      <c r="R256" s="169" t="str">
        <f>IF(ISNUMBER(deployment_raw[[#This Row],[Column8]]), (H256  * IF(N256&lt;&gt;0,$R$2,1)),"")</f>
        <v/>
      </c>
      <c r="S256" s="170" t="str">
        <f>IF(ISNUMBER(deployment_raw[[#This Row],[Column8]]), (I256  * IF(O256&lt;&gt;0,$S$2,1)),"")</f>
        <v/>
      </c>
      <c r="T256" s="202" t="str">
        <f>IF(AND(A256&lt;&gt;"",_xlfn.IFNA(MATCH(A256,'dynamic resource application '!$A$2:$A$100, 0),0)&lt;&gt;0), H256/(IF($E$2="Deployment",E256,1)),"")</f>
        <v/>
      </c>
      <c r="U256" s="211" t="str">
        <f>IF(AND(A256&lt;&gt;"",_xlfn.IFNA(MATCH(A256,'dynamic resource application '!$A$2:$A$100, 0),0)&lt;&gt;0), I256/(IF($E$2="Deployment",E256,1)),"")</f>
        <v/>
      </c>
    </row>
    <row r="257" spans="1:21" ht="15.75" customHeight="1" x14ac:dyDescent="0.25">
      <c r="A257" s="35" t="str">
        <f>IF(ISNONTEXT(deployment_raw[[#This Row],[Column1]]), "", deployment_raw[[#This Row],[Column1]])</f>
        <v/>
      </c>
      <c r="B257" s="36" t="str">
        <f>IF(ISNONTEXT(deployment_raw[[#This Row],[Column2]]), "", deployment_raw[[#This Row],[Column2]])</f>
        <v/>
      </c>
      <c r="C257" s="36" t="str">
        <f>IF(ISNONTEXT(deployment_raw[[#This Row],[Column3]]), "", deployment_raw[[#This Row],[Column3]])</f>
        <v/>
      </c>
      <c r="D257" s="36" t="str">
        <f>IF(ISNONTEXT(deployment_raw[[#This Row],[Column4]]), "", deployment_raw[[#This Row],[Column4]])</f>
        <v/>
      </c>
      <c r="E257" s="37" t="str">
        <f>IF(ISNUMBER(deployment_raw[[#This Row],[Column5]]), deployment_raw[[#This Row],[Column5]],"")</f>
        <v/>
      </c>
      <c r="F257" s="94" t="str">
        <f>IF(ISNUMBER(deployment_raw[[#This Row],[Column6]]), (deployment_raw[[#This Row],[Column6]] * IF($E$2="Deployment",deployment_raw[[#This Row],[Column5]],1)),"")</f>
        <v/>
      </c>
      <c r="G257" s="95" t="str">
        <f>IF(ISNUMBER(deployment_raw[[#This Row],[Column7]]), (deployment_raw[[#This Row],[Column7]] * IF($E$2="Deployment",deployment_raw[[#This Row],[Column5]],1))/1048576,"")</f>
        <v/>
      </c>
      <c r="H257" s="95" t="str">
        <f>IF(ISNUMBER(deployment_raw[[#This Row],[Column8]]), (deployment_raw[[#This Row],[Column8]]  * IF($E$2="Deployment",deployment_raw[[#This Row],[Column5]],1)),"")</f>
        <v/>
      </c>
      <c r="I257" s="96" t="str">
        <f>IF(ISNUMBER(deployment_raw[[#This Row],[Column9]]), (deployment_raw[[#This Row],[Column9]] * IF($E$2="Deployment",deployment_raw[[#This Row],[Column5]],1))/1048576,"")</f>
        <v/>
      </c>
      <c r="J257" s="122" t="str">
        <f>IF(ISNUMBER(deployment_raw[[#This Row],[Column10]]), (MIN(IF(N257&lt;&gt;"",N257,9999999999999)*1.1,deployment_raw[[#This Row],[Column10]] * IF($E$2="Deployment",deployment_raw[[#This Row],[Column5]],1))),"")</f>
        <v/>
      </c>
      <c r="K257" s="123" t="str">
        <f>IF(ISNUMBER(deployment_raw[[#This Row],[Column11]]), (MIN(IF(O257&lt;&gt;"",O257,9999999999999)*1.1,deployment_raw[[#This Row],[Column11]] * IF($E$2="Deployment",deployment_raw[[#This Row],[Column5]],1)/1048576)),"")</f>
        <v/>
      </c>
      <c r="L257" s="124" t="str">
        <f>IF(ISNUMBER(deployment_raw[[#This Row],[Column8]]),IF(OR(deployment_raw[[#This Row],[Column5]] &lt;&gt; 0,$E$2 &lt;&gt; "Deployment"), MAX(J257, P257, R257, ($L$2 * IF($E$2="Deployment",deployment_raw[[#This Row],[Column5]],1)),IF(T257&lt;&gt;"",VALUE(T257) * IF($E$2="Deployment",deployment_raw[[#This Row],[Column5]],1),0)), 0),"")</f>
        <v/>
      </c>
      <c r="M257" s="125" t="str">
        <f>IF(ISNUMBER(deployment_raw[[#This Row],[Column9]]),IF(OR(deployment_raw[[#This Row],[Column5]] &lt;&gt; 0,$E$2&lt;&gt;"Deployment"), MAX(K257, Q257, S257, ($M$2 * IF($E$2="Deployment",deployment_raw[[#This Row],[Column5]],1)),IF(U257&lt;&gt;"",VALUE(U257) * IF($E$2="Deployment",deployment_raw[[#This Row],[Column5]],1),0)), 0),"")</f>
        <v/>
      </c>
      <c r="N257" s="166" t="str">
        <f>IF(ISNUMBER(deployment_raw[[#This Row],[Column14]]), deployment_raw[[#This Row],[Column14]]/IF(OR($E$2="Deployment",deployment_raw[[#This Row],[Column5]]=0),1,deployment_raw[[#This Row],[Column5]]),"")</f>
        <v/>
      </c>
      <c r="O257" s="167" t="str">
        <f>IF(ISNUMBER(deployment_raw[[#This Row],[Column15]]), deployment_raw[[#This Row],[Column15]]/IF(OR($E$2="Deployment",deployment_raw[[#This Row],[Column5]]=0),1,deployment_raw[[#This Row],[Column5]])/1048576,"")</f>
        <v/>
      </c>
      <c r="P257" s="168" t="str">
        <f>IF(ISNUMBER(deployment_raw[[#This Row],[Column12]]), (MIN(IF(N257&lt;&gt;"",N257,9999999999999)*1.1,deployment_raw[[#This Row],[Column12]] * IF($E$2="Deployment",deployment_raw[[#This Row],[Column5]],1))*(1+$P$2)),"")</f>
        <v/>
      </c>
      <c r="Q257" s="167" t="str">
        <f>IF(ISNUMBER(deployment_raw[[#This Row],[Column13]]), (MIN(IF(O257&lt;&gt;"",O257,9999999999999)*1.1,deployment_raw[[#This Row],[Column13]] * IF($E$2="Deployment",deployment_raw[[#This Row],[Column5]],1)*(1+$Q$2)/1048576)),"")</f>
        <v/>
      </c>
      <c r="R257" s="169" t="str">
        <f>IF(ISNUMBER(deployment_raw[[#This Row],[Column8]]), (H257  * IF(N257&lt;&gt;0,$R$2,1)),"")</f>
        <v/>
      </c>
      <c r="S257" s="170" t="str">
        <f>IF(ISNUMBER(deployment_raw[[#This Row],[Column8]]), (I257  * IF(O257&lt;&gt;0,$S$2,1)),"")</f>
        <v/>
      </c>
      <c r="T257" s="202" t="str">
        <f>IF(AND(A257&lt;&gt;"",_xlfn.IFNA(MATCH(A257,'dynamic resource application '!$A$2:$A$100, 0),0)&lt;&gt;0), H257/(IF($E$2="Deployment",E257,1)),"")</f>
        <v/>
      </c>
      <c r="U257" s="211" t="str">
        <f>IF(AND(A257&lt;&gt;"",_xlfn.IFNA(MATCH(A257,'dynamic resource application '!$A$2:$A$100, 0),0)&lt;&gt;0), I257/(IF($E$2="Deployment",E257,1)),"")</f>
        <v/>
      </c>
    </row>
    <row r="258" spans="1:21" ht="15.75" customHeight="1" x14ac:dyDescent="0.25">
      <c r="A258" s="35" t="str">
        <f>IF(ISNONTEXT(deployment_raw[[#This Row],[Column1]]), "", deployment_raw[[#This Row],[Column1]])</f>
        <v/>
      </c>
      <c r="B258" s="36" t="str">
        <f>IF(ISNONTEXT(deployment_raw[[#This Row],[Column2]]), "", deployment_raw[[#This Row],[Column2]])</f>
        <v/>
      </c>
      <c r="C258" s="36" t="str">
        <f>IF(ISNONTEXT(deployment_raw[[#This Row],[Column3]]), "", deployment_raw[[#This Row],[Column3]])</f>
        <v/>
      </c>
      <c r="D258" s="36" t="str">
        <f>IF(ISNONTEXT(deployment_raw[[#This Row],[Column4]]), "", deployment_raw[[#This Row],[Column4]])</f>
        <v/>
      </c>
      <c r="E258" s="37" t="str">
        <f>IF(ISNUMBER(deployment_raw[[#This Row],[Column5]]), deployment_raw[[#This Row],[Column5]],"")</f>
        <v/>
      </c>
      <c r="F258" s="94" t="str">
        <f>IF(ISNUMBER(deployment_raw[[#This Row],[Column6]]), (deployment_raw[[#This Row],[Column6]] * IF($E$2="Deployment",deployment_raw[[#This Row],[Column5]],1)),"")</f>
        <v/>
      </c>
      <c r="G258" s="95" t="str">
        <f>IF(ISNUMBER(deployment_raw[[#This Row],[Column7]]), (deployment_raw[[#This Row],[Column7]] * IF($E$2="Deployment",deployment_raw[[#This Row],[Column5]],1))/1048576,"")</f>
        <v/>
      </c>
      <c r="H258" s="95" t="str">
        <f>IF(ISNUMBER(deployment_raw[[#This Row],[Column8]]), (deployment_raw[[#This Row],[Column8]]  * IF($E$2="Deployment",deployment_raw[[#This Row],[Column5]],1)),"")</f>
        <v/>
      </c>
      <c r="I258" s="96" t="str">
        <f>IF(ISNUMBER(deployment_raw[[#This Row],[Column9]]), (deployment_raw[[#This Row],[Column9]] * IF($E$2="Deployment",deployment_raw[[#This Row],[Column5]],1))/1048576,"")</f>
        <v/>
      </c>
      <c r="J258" s="122" t="str">
        <f>IF(ISNUMBER(deployment_raw[[#This Row],[Column10]]), (MIN(IF(N258&lt;&gt;"",N258,9999999999999)*1.1,deployment_raw[[#This Row],[Column10]] * IF($E$2="Deployment",deployment_raw[[#This Row],[Column5]],1))),"")</f>
        <v/>
      </c>
      <c r="K258" s="123" t="str">
        <f>IF(ISNUMBER(deployment_raw[[#This Row],[Column11]]), (MIN(IF(O258&lt;&gt;"",O258,9999999999999)*1.1,deployment_raw[[#This Row],[Column11]] * IF($E$2="Deployment",deployment_raw[[#This Row],[Column5]],1)/1048576)),"")</f>
        <v/>
      </c>
      <c r="L258" s="124" t="str">
        <f>IF(ISNUMBER(deployment_raw[[#This Row],[Column8]]),IF(OR(deployment_raw[[#This Row],[Column5]] &lt;&gt; 0,$E$2 &lt;&gt; "Deployment"), MAX(J258, P258, R258, ($L$2 * IF($E$2="Deployment",deployment_raw[[#This Row],[Column5]],1)),IF(T258&lt;&gt;"",VALUE(T258) * IF($E$2="Deployment",deployment_raw[[#This Row],[Column5]],1),0)), 0),"")</f>
        <v/>
      </c>
      <c r="M258" s="125" t="str">
        <f>IF(ISNUMBER(deployment_raw[[#This Row],[Column9]]),IF(OR(deployment_raw[[#This Row],[Column5]] &lt;&gt; 0,$E$2&lt;&gt;"Deployment"), MAX(K258, Q258, S258, ($M$2 * IF($E$2="Deployment",deployment_raw[[#This Row],[Column5]],1)),IF(U258&lt;&gt;"",VALUE(U258) * IF($E$2="Deployment",deployment_raw[[#This Row],[Column5]],1),0)), 0),"")</f>
        <v/>
      </c>
      <c r="N258" s="166" t="str">
        <f>IF(ISNUMBER(deployment_raw[[#This Row],[Column14]]), deployment_raw[[#This Row],[Column14]]/IF(OR($E$2="Deployment",deployment_raw[[#This Row],[Column5]]=0),1,deployment_raw[[#This Row],[Column5]]),"")</f>
        <v/>
      </c>
      <c r="O258" s="167" t="str">
        <f>IF(ISNUMBER(deployment_raw[[#This Row],[Column15]]), deployment_raw[[#This Row],[Column15]]/IF(OR($E$2="Deployment",deployment_raw[[#This Row],[Column5]]=0),1,deployment_raw[[#This Row],[Column5]])/1048576,"")</f>
        <v/>
      </c>
      <c r="P258" s="168" t="str">
        <f>IF(ISNUMBER(deployment_raw[[#This Row],[Column12]]), (MIN(IF(N258&lt;&gt;"",N258,9999999999999)*1.1,deployment_raw[[#This Row],[Column12]] * IF($E$2="Deployment",deployment_raw[[#This Row],[Column5]],1))*(1+$P$2)),"")</f>
        <v/>
      </c>
      <c r="Q258" s="167" t="str">
        <f>IF(ISNUMBER(deployment_raw[[#This Row],[Column13]]), (MIN(IF(O258&lt;&gt;"",O258,9999999999999)*1.1,deployment_raw[[#This Row],[Column13]] * IF($E$2="Deployment",deployment_raw[[#This Row],[Column5]],1)*(1+$Q$2)/1048576)),"")</f>
        <v/>
      </c>
      <c r="R258" s="169" t="str">
        <f>IF(ISNUMBER(deployment_raw[[#This Row],[Column8]]), (H258  * IF(N258&lt;&gt;0,$R$2,1)),"")</f>
        <v/>
      </c>
      <c r="S258" s="170" t="str">
        <f>IF(ISNUMBER(deployment_raw[[#This Row],[Column8]]), (I258  * IF(O258&lt;&gt;0,$S$2,1)),"")</f>
        <v/>
      </c>
      <c r="T258" s="202" t="str">
        <f>IF(AND(A258&lt;&gt;"",_xlfn.IFNA(MATCH(A258,'dynamic resource application '!$A$2:$A$100, 0),0)&lt;&gt;0), H258/(IF($E$2="Deployment",E258,1)),"")</f>
        <v/>
      </c>
      <c r="U258" s="211" t="str">
        <f>IF(AND(A258&lt;&gt;"",_xlfn.IFNA(MATCH(A258,'dynamic resource application '!$A$2:$A$100, 0),0)&lt;&gt;0), I258/(IF($E$2="Deployment",E258,1)),"")</f>
        <v/>
      </c>
    </row>
    <row r="259" spans="1:21" ht="15.75" customHeight="1" x14ac:dyDescent="0.25">
      <c r="A259" s="35" t="str">
        <f>IF(ISNONTEXT(deployment_raw[[#This Row],[Column1]]), "", deployment_raw[[#This Row],[Column1]])</f>
        <v/>
      </c>
      <c r="B259" s="36" t="str">
        <f>IF(ISNONTEXT(deployment_raw[[#This Row],[Column2]]), "", deployment_raw[[#This Row],[Column2]])</f>
        <v/>
      </c>
      <c r="C259" s="36" t="str">
        <f>IF(ISNONTEXT(deployment_raw[[#This Row],[Column3]]), "", deployment_raw[[#This Row],[Column3]])</f>
        <v/>
      </c>
      <c r="D259" s="36" t="str">
        <f>IF(ISNONTEXT(deployment_raw[[#This Row],[Column4]]), "", deployment_raw[[#This Row],[Column4]])</f>
        <v/>
      </c>
      <c r="E259" s="37" t="str">
        <f>IF(ISNUMBER(deployment_raw[[#This Row],[Column5]]), deployment_raw[[#This Row],[Column5]],"")</f>
        <v/>
      </c>
      <c r="F259" s="94" t="str">
        <f>IF(ISNUMBER(deployment_raw[[#This Row],[Column6]]), (deployment_raw[[#This Row],[Column6]] * IF($E$2="Deployment",deployment_raw[[#This Row],[Column5]],1)),"")</f>
        <v/>
      </c>
      <c r="G259" s="95" t="str">
        <f>IF(ISNUMBER(deployment_raw[[#This Row],[Column7]]), (deployment_raw[[#This Row],[Column7]] * IF($E$2="Deployment",deployment_raw[[#This Row],[Column5]],1))/1048576,"")</f>
        <v/>
      </c>
      <c r="H259" s="95" t="str">
        <f>IF(ISNUMBER(deployment_raw[[#This Row],[Column8]]), (deployment_raw[[#This Row],[Column8]]  * IF($E$2="Deployment",deployment_raw[[#This Row],[Column5]],1)),"")</f>
        <v/>
      </c>
      <c r="I259" s="96" t="str">
        <f>IF(ISNUMBER(deployment_raw[[#This Row],[Column9]]), (deployment_raw[[#This Row],[Column9]] * IF($E$2="Deployment",deployment_raw[[#This Row],[Column5]],1))/1048576,"")</f>
        <v/>
      </c>
      <c r="J259" s="122" t="str">
        <f>IF(ISNUMBER(deployment_raw[[#This Row],[Column10]]), (MIN(IF(N259&lt;&gt;"",N259,9999999999999)*1.1,deployment_raw[[#This Row],[Column10]] * IF($E$2="Deployment",deployment_raw[[#This Row],[Column5]],1))),"")</f>
        <v/>
      </c>
      <c r="K259" s="123" t="str">
        <f>IF(ISNUMBER(deployment_raw[[#This Row],[Column11]]), (MIN(IF(O259&lt;&gt;"",O259,9999999999999)*1.1,deployment_raw[[#This Row],[Column11]] * IF($E$2="Deployment",deployment_raw[[#This Row],[Column5]],1)/1048576)),"")</f>
        <v/>
      </c>
      <c r="L259" s="124" t="str">
        <f>IF(ISNUMBER(deployment_raw[[#This Row],[Column8]]),IF(OR(deployment_raw[[#This Row],[Column5]] &lt;&gt; 0,$E$2 &lt;&gt; "Deployment"), MAX(J259, P259, R259, ($L$2 * IF($E$2="Deployment",deployment_raw[[#This Row],[Column5]],1)),IF(T259&lt;&gt;"",VALUE(T259) * IF($E$2="Deployment",deployment_raw[[#This Row],[Column5]],1),0)), 0),"")</f>
        <v/>
      </c>
      <c r="M259" s="125" t="str">
        <f>IF(ISNUMBER(deployment_raw[[#This Row],[Column9]]),IF(OR(deployment_raw[[#This Row],[Column5]] &lt;&gt; 0,$E$2&lt;&gt;"Deployment"), MAX(K259, Q259, S259, ($M$2 * IF($E$2="Deployment",deployment_raw[[#This Row],[Column5]],1)),IF(U259&lt;&gt;"",VALUE(U259) * IF($E$2="Deployment",deployment_raw[[#This Row],[Column5]],1),0)), 0),"")</f>
        <v/>
      </c>
      <c r="N259" s="166" t="str">
        <f>IF(ISNUMBER(deployment_raw[[#This Row],[Column14]]), deployment_raw[[#This Row],[Column14]]/IF(OR($E$2="Deployment",deployment_raw[[#This Row],[Column5]]=0),1,deployment_raw[[#This Row],[Column5]]),"")</f>
        <v/>
      </c>
      <c r="O259" s="167" t="str">
        <f>IF(ISNUMBER(deployment_raw[[#This Row],[Column15]]), deployment_raw[[#This Row],[Column15]]/IF(OR($E$2="Deployment",deployment_raw[[#This Row],[Column5]]=0),1,deployment_raw[[#This Row],[Column5]])/1048576,"")</f>
        <v/>
      </c>
      <c r="P259" s="168" t="str">
        <f>IF(ISNUMBER(deployment_raw[[#This Row],[Column12]]), (MIN(IF(N259&lt;&gt;"",N259,9999999999999)*1.1,deployment_raw[[#This Row],[Column12]] * IF($E$2="Deployment",deployment_raw[[#This Row],[Column5]],1))*(1+$P$2)),"")</f>
        <v/>
      </c>
      <c r="Q259" s="167" t="str">
        <f>IF(ISNUMBER(deployment_raw[[#This Row],[Column13]]), (MIN(IF(O259&lt;&gt;"",O259,9999999999999)*1.1,deployment_raw[[#This Row],[Column13]] * IF($E$2="Deployment",deployment_raw[[#This Row],[Column5]],1)*(1+$Q$2)/1048576)),"")</f>
        <v/>
      </c>
      <c r="R259" s="169" t="str">
        <f>IF(ISNUMBER(deployment_raw[[#This Row],[Column8]]), (H259  * IF(N259&lt;&gt;0,$R$2,1)),"")</f>
        <v/>
      </c>
      <c r="S259" s="170" t="str">
        <f>IF(ISNUMBER(deployment_raw[[#This Row],[Column8]]), (I259  * IF(O259&lt;&gt;0,$S$2,1)),"")</f>
        <v/>
      </c>
      <c r="T259" s="202" t="str">
        <f>IF(AND(A259&lt;&gt;"",_xlfn.IFNA(MATCH(A259,'dynamic resource application '!$A$2:$A$100, 0),0)&lt;&gt;0), H259/(IF($E$2="Deployment",E259,1)),"")</f>
        <v/>
      </c>
      <c r="U259" s="211" t="str">
        <f>IF(AND(A259&lt;&gt;"",_xlfn.IFNA(MATCH(A259,'dynamic resource application '!$A$2:$A$100, 0),0)&lt;&gt;0), I259/(IF($E$2="Deployment",E259,1)),"")</f>
        <v/>
      </c>
    </row>
    <row r="260" spans="1:21" ht="15.75" customHeight="1" x14ac:dyDescent="0.25">
      <c r="A260" s="35" t="str">
        <f>IF(ISNONTEXT(deployment_raw[[#This Row],[Column1]]), "", deployment_raw[[#This Row],[Column1]])</f>
        <v/>
      </c>
      <c r="B260" s="36" t="str">
        <f>IF(ISNONTEXT(deployment_raw[[#This Row],[Column2]]), "", deployment_raw[[#This Row],[Column2]])</f>
        <v/>
      </c>
      <c r="C260" s="36" t="str">
        <f>IF(ISNONTEXT(deployment_raw[[#This Row],[Column3]]), "", deployment_raw[[#This Row],[Column3]])</f>
        <v/>
      </c>
      <c r="D260" s="36" t="str">
        <f>IF(ISNONTEXT(deployment_raw[[#This Row],[Column4]]), "", deployment_raw[[#This Row],[Column4]])</f>
        <v/>
      </c>
      <c r="E260" s="37" t="str">
        <f>IF(ISNUMBER(deployment_raw[[#This Row],[Column5]]), deployment_raw[[#This Row],[Column5]],"")</f>
        <v/>
      </c>
      <c r="F260" s="94" t="str">
        <f>IF(ISNUMBER(deployment_raw[[#This Row],[Column6]]), (deployment_raw[[#This Row],[Column6]] * IF($E$2="Deployment",deployment_raw[[#This Row],[Column5]],1)),"")</f>
        <v/>
      </c>
      <c r="G260" s="95" t="str">
        <f>IF(ISNUMBER(deployment_raw[[#This Row],[Column7]]), (deployment_raw[[#This Row],[Column7]] * IF($E$2="Deployment",deployment_raw[[#This Row],[Column5]],1))/1048576,"")</f>
        <v/>
      </c>
      <c r="H260" s="95" t="str">
        <f>IF(ISNUMBER(deployment_raw[[#This Row],[Column8]]), (deployment_raw[[#This Row],[Column8]]  * IF($E$2="Deployment",deployment_raw[[#This Row],[Column5]],1)),"")</f>
        <v/>
      </c>
      <c r="I260" s="96" t="str">
        <f>IF(ISNUMBER(deployment_raw[[#This Row],[Column9]]), (deployment_raw[[#This Row],[Column9]] * IF($E$2="Deployment",deployment_raw[[#This Row],[Column5]],1))/1048576,"")</f>
        <v/>
      </c>
      <c r="J260" s="122" t="str">
        <f>IF(ISNUMBER(deployment_raw[[#This Row],[Column10]]), (MIN(IF(N260&lt;&gt;"",N260,9999999999999)*1.1,deployment_raw[[#This Row],[Column10]] * IF($E$2="Deployment",deployment_raw[[#This Row],[Column5]],1))),"")</f>
        <v/>
      </c>
      <c r="K260" s="123" t="str">
        <f>IF(ISNUMBER(deployment_raw[[#This Row],[Column11]]), (MIN(IF(O260&lt;&gt;"",O260,9999999999999)*1.1,deployment_raw[[#This Row],[Column11]] * IF($E$2="Deployment",deployment_raw[[#This Row],[Column5]],1)/1048576)),"")</f>
        <v/>
      </c>
      <c r="L260" s="124" t="str">
        <f>IF(ISNUMBER(deployment_raw[[#This Row],[Column8]]),IF(OR(deployment_raw[[#This Row],[Column5]] &lt;&gt; 0,$E$2 &lt;&gt; "Deployment"), MAX(J260, P260, R260, ($L$2 * IF($E$2="Deployment",deployment_raw[[#This Row],[Column5]],1)),IF(T260&lt;&gt;"",VALUE(T260) * IF($E$2="Deployment",deployment_raw[[#This Row],[Column5]],1),0)), 0),"")</f>
        <v/>
      </c>
      <c r="M260" s="125" t="str">
        <f>IF(ISNUMBER(deployment_raw[[#This Row],[Column9]]),IF(OR(deployment_raw[[#This Row],[Column5]] &lt;&gt; 0,$E$2&lt;&gt;"Deployment"), MAX(K260, Q260, S260, ($M$2 * IF($E$2="Deployment",deployment_raw[[#This Row],[Column5]],1)),IF(U260&lt;&gt;"",VALUE(U260) * IF($E$2="Deployment",deployment_raw[[#This Row],[Column5]],1),0)), 0),"")</f>
        <v/>
      </c>
      <c r="N260" s="166" t="str">
        <f>IF(ISNUMBER(deployment_raw[[#This Row],[Column14]]), deployment_raw[[#This Row],[Column14]]/IF(OR($E$2="Deployment",deployment_raw[[#This Row],[Column5]]=0),1,deployment_raw[[#This Row],[Column5]]),"")</f>
        <v/>
      </c>
      <c r="O260" s="167" t="str">
        <f>IF(ISNUMBER(deployment_raw[[#This Row],[Column15]]), deployment_raw[[#This Row],[Column15]]/IF(OR($E$2="Deployment",deployment_raw[[#This Row],[Column5]]=0),1,deployment_raw[[#This Row],[Column5]])/1048576,"")</f>
        <v/>
      </c>
      <c r="P260" s="168" t="str">
        <f>IF(ISNUMBER(deployment_raw[[#This Row],[Column12]]), (MIN(IF(N260&lt;&gt;"",N260,9999999999999)*1.1,deployment_raw[[#This Row],[Column12]] * IF($E$2="Deployment",deployment_raw[[#This Row],[Column5]],1))*(1+$P$2)),"")</f>
        <v/>
      </c>
      <c r="Q260" s="167" t="str">
        <f>IF(ISNUMBER(deployment_raw[[#This Row],[Column13]]), (MIN(IF(O260&lt;&gt;"",O260,9999999999999)*1.1,deployment_raw[[#This Row],[Column13]] * IF($E$2="Deployment",deployment_raw[[#This Row],[Column5]],1)*(1+$Q$2)/1048576)),"")</f>
        <v/>
      </c>
      <c r="R260" s="169" t="str">
        <f>IF(ISNUMBER(deployment_raw[[#This Row],[Column8]]), (H260  * IF(N260&lt;&gt;0,$R$2,1)),"")</f>
        <v/>
      </c>
      <c r="S260" s="170" t="str">
        <f>IF(ISNUMBER(deployment_raw[[#This Row],[Column8]]), (I260  * IF(O260&lt;&gt;0,$S$2,1)),"")</f>
        <v/>
      </c>
      <c r="T260" s="202" t="str">
        <f>IF(AND(A260&lt;&gt;"",_xlfn.IFNA(MATCH(A260,'dynamic resource application '!$A$2:$A$100, 0),0)&lt;&gt;0), H260/(IF($E$2="Deployment",E260,1)),"")</f>
        <v/>
      </c>
      <c r="U260" s="211" t="str">
        <f>IF(AND(A260&lt;&gt;"",_xlfn.IFNA(MATCH(A260,'dynamic resource application '!$A$2:$A$100, 0),0)&lt;&gt;0), I260/(IF($E$2="Deployment",E260,1)),"")</f>
        <v/>
      </c>
    </row>
    <row r="261" spans="1:21" ht="15.75" customHeight="1" x14ac:dyDescent="0.25">
      <c r="A261" s="35" t="str">
        <f>IF(ISNONTEXT(deployment_raw[[#This Row],[Column1]]), "", deployment_raw[[#This Row],[Column1]])</f>
        <v/>
      </c>
      <c r="B261" s="36" t="str">
        <f>IF(ISNONTEXT(deployment_raw[[#This Row],[Column2]]), "", deployment_raw[[#This Row],[Column2]])</f>
        <v/>
      </c>
      <c r="C261" s="36" t="str">
        <f>IF(ISNONTEXT(deployment_raw[[#This Row],[Column3]]), "", deployment_raw[[#This Row],[Column3]])</f>
        <v/>
      </c>
      <c r="D261" s="36" t="str">
        <f>IF(ISNONTEXT(deployment_raw[[#This Row],[Column4]]), "", deployment_raw[[#This Row],[Column4]])</f>
        <v/>
      </c>
      <c r="E261" s="37" t="str">
        <f>IF(ISNUMBER(deployment_raw[[#This Row],[Column5]]), deployment_raw[[#This Row],[Column5]],"")</f>
        <v/>
      </c>
      <c r="F261" s="94" t="str">
        <f>IF(ISNUMBER(deployment_raw[[#This Row],[Column6]]), (deployment_raw[[#This Row],[Column6]] * IF($E$2="Deployment",deployment_raw[[#This Row],[Column5]],1)),"")</f>
        <v/>
      </c>
      <c r="G261" s="95" t="str">
        <f>IF(ISNUMBER(deployment_raw[[#This Row],[Column7]]), (deployment_raw[[#This Row],[Column7]] * IF($E$2="Deployment",deployment_raw[[#This Row],[Column5]],1))/1048576,"")</f>
        <v/>
      </c>
      <c r="H261" s="95" t="str">
        <f>IF(ISNUMBER(deployment_raw[[#This Row],[Column8]]), (deployment_raw[[#This Row],[Column8]]  * IF($E$2="Deployment",deployment_raw[[#This Row],[Column5]],1)),"")</f>
        <v/>
      </c>
      <c r="I261" s="96" t="str">
        <f>IF(ISNUMBER(deployment_raw[[#This Row],[Column9]]), (deployment_raw[[#This Row],[Column9]] * IF($E$2="Deployment",deployment_raw[[#This Row],[Column5]],1))/1048576,"")</f>
        <v/>
      </c>
      <c r="J261" s="122" t="str">
        <f>IF(ISNUMBER(deployment_raw[[#This Row],[Column10]]), (MIN(IF(N261&lt;&gt;"",N261,9999999999999)*1.1,deployment_raw[[#This Row],[Column10]] * IF($E$2="Deployment",deployment_raw[[#This Row],[Column5]],1))),"")</f>
        <v/>
      </c>
      <c r="K261" s="123" t="str">
        <f>IF(ISNUMBER(deployment_raw[[#This Row],[Column11]]), (MIN(IF(O261&lt;&gt;"",O261,9999999999999)*1.1,deployment_raw[[#This Row],[Column11]] * IF($E$2="Deployment",deployment_raw[[#This Row],[Column5]],1)/1048576)),"")</f>
        <v/>
      </c>
      <c r="L261" s="124" t="str">
        <f>IF(ISNUMBER(deployment_raw[[#This Row],[Column8]]),IF(OR(deployment_raw[[#This Row],[Column5]] &lt;&gt; 0,$E$2 &lt;&gt; "Deployment"), MAX(J261, P261, R261, ($L$2 * IF($E$2="Deployment",deployment_raw[[#This Row],[Column5]],1)),IF(T261&lt;&gt;"",VALUE(T261) * IF($E$2="Deployment",deployment_raw[[#This Row],[Column5]],1),0)), 0),"")</f>
        <v/>
      </c>
      <c r="M261" s="125" t="str">
        <f>IF(ISNUMBER(deployment_raw[[#This Row],[Column9]]),IF(OR(deployment_raw[[#This Row],[Column5]] &lt;&gt; 0,$E$2&lt;&gt;"Deployment"), MAX(K261, Q261, S261, ($M$2 * IF($E$2="Deployment",deployment_raw[[#This Row],[Column5]],1)),IF(U261&lt;&gt;"",VALUE(U261) * IF($E$2="Deployment",deployment_raw[[#This Row],[Column5]],1),0)), 0),"")</f>
        <v/>
      </c>
      <c r="N261" s="166" t="str">
        <f>IF(ISNUMBER(deployment_raw[[#This Row],[Column14]]), deployment_raw[[#This Row],[Column14]]/IF(OR($E$2="Deployment",deployment_raw[[#This Row],[Column5]]=0),1,deployment_raw[[#This Row],[Column5]]),"")</f>
        <v/>
      </c>
      <c r="O261" s="167" t="str">
        <f>IF(ISNUMBER(deployment_raw[[#This Row],[Column15]]), deployment_raw[[#This Row],[Column15]]/IF(OR($E$2="Deployment",deployment_raw[[#This Row],[Column5]]=0),1,deployment_raw[[#This Row],[Column5]])/1048576,"")</f>
        <v/>
      </c>
      <c r="P261" s="168" t="str">
        <f>IF(ISNUMBER(deployment_raw[[#This Row],[Column12]]), (MIN(IF(N261&lt;&gt;"",N261,9999999999999)*1.1,deployment_raw[[#This Row],[Column12]] * IF($E$2="Deployment",deployment_raw[[#This Row],[Column5]],1))*(1+$P$2)),"")</f>
        <v/>
      </c>
      <c r="Q261" s="167" t="str">
        <f>IF(ISNUMBER(deployment_raw[[#This Row],[Column13]]), (MIN(IF(O261&lt;&gt;"",O261,9999999999999)*1.1,deployment_raw[[#This Row],[Column13]] * IF($E$2="Deployment",deployment_raw[[#This Row],[Column5]],1)*(1+$Q$2)/1048576)),"")</f>
        <v/>
      </c>
      <c r="R261" s="169" t="str">
        <f>IF(ISNUMBER(deployment_raw[[#This Row],[Column8]]), (H261  * IF(N261&lt;&gt;0,$R$2,1)),"")</f>
        <v/>
      </c>
      <c r="S261" s="170" t="str">
        <f>IF(ISNUMBER(deployment_raw[[#This Row],[Column8]]), (I261  * IF(O261&lt;&gt;0,$S$2,1)),"")</f>
        <v/>
      </c>
      <c r="T261" s="202" t="str">
        <f>IF(AND(A261&lt;&gt;"",_xlfn.IFNA(MATCH(A261,'dynamic resource application '!$A$2:$A$100, 0),0)&lt;&gt;0), H261/(IF($E$2="Deployment",E261,1)),"")</f>
        <v/>
      </c>
      <c r="U261" s="211" t="str">
        <f>IF(AND(A261&lt;&gt;"",_xlfn.IFNA(MATCH(A261,'dynamic resource application '!$A$2:$A$100, 0),0)&lt;&gt;0), I261/(IF($E$2="Deployment",E261,1)),"")</f>
        <v/>
      </c>
    </row>
    <row r="262" spans="1:21" ht="15.75" customHeight="1" x14ac:dyDescent="0.25">
      <c r="A262" s="35" t="str">
        <f>IF(ISNONTEXT(deployment_raw[[#This Row],[Column1]]), "", deployment_raw[[#This Row],[Column1]])</f>
        <v/>
      </c>
      <c r="B262" s="36" t="str">
        <f>IF(ISNONTEXT(deployment_raw[[#This Row],[Column2]]), "", deployment_raw[[#This Row],[Column2]])</f>
        <v/>
      </c>
      <c r="C262" s="36" t="str">
        <f>IF(ISNONTEXT(deployment_raw[[#This Row],[Column3]]), "", deployment_raw[[#This Row],[Column3]])</f>
        <v/>
      </c>
      <c r="D262" s="36" t="str">
        <f>IF(ISNONTEXT(deployment_raw[[#This Row],[Column4]]), "", deployment_raw[[#This Row],[Column4]])</f>
        <v/>
      </c>
      <c r="E262" s="37" t="str">
        <f>IF(ISNUMBER(deployment_raw[[#This Row],[Column5]]), deployment_raw[[#This Row],[Column5]],"")</f>
        <v/>
      </c>
      <c r="F262" s="94" t="str">
        <f>IF(ISNUMBER(deployment_raw[[#This Row],[Column6]]), (deployment_raw[[#This Row],[Column6]] * IF($E$2="Deployment",deployment_raw[[#This Row],[Column5]],1)),"")</f>
        <v/>
      </c>
      <c r="G262" s="95" t="str">
        <f>IF(ISNUMBER(deployment_raw[[#This Row],[Column7]]), (deployment_raw[[#This Row],[Column7]] * IF($E$2="Deployment",deployment_raw[[#This Row],[Column5]],1))/1048576,"")</f>
        <v/>
      </c>
      <c r="H262" s="95" t="str">
        <f>IF(ISNUMBER(deployment_raw[[#This Row],[Column8]]), (deployment_raw[[#This Row],[Column8]]  * IF($E$2="Deployment",deployment_raw[[#This Row],[Column5]],1)),"")</f>
        <v/>
      </c>
      <c r="I262" s="96" t="str">
        <f>IF(ISNUMBER(deployment_raw[[#This Row],[Column9]]), (deployment_raw[[#This Row],[Column9]] * IF($E$2="Deployment",deployment_raw[[#This Row],[Column5]],1))/1048576,"")</f>
        <v/>
      </c>
      <c r="J262" s="122" t="str">
        <f>IF(ISNUMBER(deployment_raw[[#This Row],[Column10]]), (MIN(IF(N262&lt;&gt;"",N262,9999999999999)*1.1,deployment_raw[[#This Row],[Column10]] * IF($E$2="Deployment",deployment_raw[[#This Row],[Column5]],1))),"")</f>
        <v/>
      </c>
      <c r="K262" s="123" t="str">
        <f>IF(ISNUMBER(deployment_raw[[#This Row],[Column11]]), (MIN(IF(O262&lt;&gt;"",O262,9999999999999)*1.1,deployment_raw[[#This Row],[Column11]] * IF($E$2="Deployment",deployment_raw[[#This Row],[Column5]],1)/1048576)),"")</f>
        <v/>
      </c>
      <c r="L262" s="124" t="str">
        <f>IF(ISNUMBER(deployment_raw[[#This Row],[Column8]]),IF(OR(deployment_raw[[#This Row],[Column5]] &lt;&gt; 0,$E$2 &lt;&gt; "Deployment"), MAX(J262, P262, R262, ($L$2 * IF($E$2="Deployment",deployment_raw[[#This Row],[Column5]],1)),IF(T262&lt;&gt;"",VALUE(T262) * IF($E$2="Deployment",deployment_raw[[#This Row],[Column5]],1),0)), 0),"")</f>
        <v/>
      </c>
      <c r="M262" s="125" t="str">
        <f>IF(ISNUMBER(deployment_raw[[#This Row],[Column9]]),IF(OR(deployment_raw[[#This Row],[Column5]] &lt;&gt; 0,$E$2&lt;&gt;"Deployment"), MAX(K262, Q262, S262, ($M$2 * IF($E$2="Deployment",deployment_raw[[#This Row],[Column5]],1)),IF(U262&lt;&gt;"",VALUE(U262) * IF($E$2="Deployment",deployment_raw[[#This Row],[Column5]],1),0)), 0),"")</f>
        <v/>
      </c>
      <c r="N262" s="166" t="str">
        <f>IF(ISNUMBER(deployment_raw[[#This Row],[Column14]]), deployment_raw[[#This Row],[Column14]]/IF(OR($E$2="Deployment",deployment_raw[[#This Row],[Column5]]=0),1,deployment_raw[[#This Row],[Column5]]),"")</f>
        <v/>
      </c>
      <c r="O262" s="167" t="str">
        <f>IF(ISNUMBER(deployment_raw[[#This Row],[Column15]]), deployment_raw[[#This Row],[Column15]]/IF(OR($E$2="Deployment",deployment_raw[[#This Row],[Column5]]=0),1,deployment_raw[[#This Row],[Column5]])/1048576,"")</f>
        <v/>
      </c>
      <c r="P262" s="168" t="str">
        <f>IF(ISNUMBER(deployment_raw[[#This Row],[Column12]]), (MIN(IF(N262&lt;&gt;"",N262,9999999999999)*1.1,deployment_raw[[#This Row],[Column12]] * IF($E$2="Deployment",deployment_raw[[#This Row],[Column5]],1))*(1+$P$2)),"")</f>
        <v/>
      </c>
      <c r="Q262" s="167" t="str">
        <f>IF(ISNUMBER(deployment_raw[[#This Row],[Column13]]), (MIN(IF(O262&lt;&gt;"",O262,9999999999999)*1.1,deployment_raw[[#This Row],[Column13]] * IF($E$2="Deployment",deployment_raw[[#This Row],[Column5]],1)*(1+$Q$2)/1048576)),"")</f>
        <v/>
      </c>
      <c r="R262" s="169" t="str">
        <f>IF(ISNUMBER(deployment_raw[[#This Row],[Column8]]), (H262  * IF(N262&lt;&gt;0,$R$2,1)),"")</f>
        <v/>
      </c>
      <c r="S262" s="170" t="str">
        <f>IF(ISNUMBER(deployment_raw[[#This Row],[Column8]]), (I262  * IF(O262&lt;&gt;0,$S$2,1)),"")</f>
        <v/>
      </c>
      <c r="T262" s="202" t="str">
        <f>IF(AND(A262&lt;&gt;"",_xlfn.IFNA(MATCH(A262,'dynamic resource application '!$A$2:$A$100, 0),0)&lt;&gt;0), H262/(IF($E$2="Deployment",E262,1)),"")</f>
        <v/>
      </c>
      <c r="U262" s="211" t="str">
        <f>IF(AND(A262&lt;&gt;"",_xlfn.IFNA(MATCH(A262,'dynamic resource application '!$A$2:$A$100, 0),0)&lt;&gt;0), I262/(IF($E$2="Deployment",E262,1)),"")</f>
        <v/>
      </c>
    </row>
    <row r="263" spans="1:21" ht="15.75" customHeight="1" x14ac:dyDescent="0.25">
      <c r="A263" s="35" t="str">
        <f>IF(ISNONTEXT(deployment_raw[[#This Row],[Column1]]), "", deployment_raw[[#This Row],[Column1]])</f>
        <v/>
      </c>
      <c r="B263" s="36" t="str">
        <f>IF(ISNONTEXT(deployment_raw[[#This Row],[Column2]]), "", deployment_raw[[#This Row],[Column2]])</f>
        <v/>
      </c>
      <c r="C263" s="36" t="str">
        <f>IF(ISNONTEXT(deployment_raw[[#This Row],[Column3]]), "", deployment_raw[[#This Row],[Column3]])</f>
        <v/>
      </c>
      <c r="D263" s="36" t="str">
        <f>IF(ISNONTEXT(deployment_raw[[#This Row],[Column4]]), "", deployment_raw[[#This Row],[Column4]])</f>
        <v/>
      </c>
      <c r="E263" s="37" t="str">
        <f>IF(ISNUMBER(deployment_raw[[#This Row],[Column5]]), deployment_raw[[#This Row],[Column5]],"")</f>
        <v/>
      </c>
      <c r="F263" s="94" t="str">
        <f>IF(ISNUMBER(deployment_raw[[#This Row],[Column6]]), (deployment_raw[[#This Row],[Column6]] * IF($E$2="Deployment",deployment_raw[[#This Row],[Column5]],1)),"")</f>
        <v/>
      </c>
      <c r="G263" s="95" t="str">
        <f>IF(ISNUMBER(deployment_raw[[#This Row],[Column7]]), (deployment_raw[[#This Row],[Column7]] * IF($E$2="Deployment",deployment_raw[[#This Row],[Column5]],1))/1048576,"")</f>
        <v/>
      </c>
      <c r="H263" s="95" t="str">
        <f>IF(ISNUMBER(deployment_raw[[#This Row],[Column8]]), (deployment_raw[[#This Row],[Column8]]  * IF($E$2="Deployment",deployment_raw[[#This Row],[Column5]],1)),"")</f>
        <v/>
      </c>
      <c r="I263" s="96" t="str">
        <f>IF(ISNUMBER(deployment_raw[[#This Row],[Column9]]), (deployment_raw[[#This Row],[Column9]] * IF($E$2="Deployment",deployment_raw[[#This Row],[Column5]],1))/1048576,"")</f>
        <v/>
      </c>
      <c r="J263" s="122" t="str">
        <f>IF(ISNUMBER(deployment_raw[[#This Row],[Column10]]), (MIN(IF(N263&lt;&gt;"",N263,9999999999999)*1.1,deployment_raw[[#This Row],[Column10]] * IF($E$2="Deployment",deployment_raw[[#This Row],[Column5]],1))),"")</f>
        <v/>
      </c>
      <c r="K263" s="123" t="str">
        <f>IF(ISNUMBER(deployment_raw[[#This Row],[Column11]]), (MIN(IF(O263&lt;&gt;"",O263,9999999999999)*1.1,deployment_raw[[#This Row],[Column11]] * IF($E$2="Deployment",deployment_raw[[#This Row],[Column5]],1)/1048576)),"")</f>
        <v/>
      </c>
      <c r="L263" s="124" t="str">
        <f>IF(ISNUMBER(deployment_raw[[#This Row],[Column8]]),IF(OR(deployment_raw[[#This Row],[Column5]] &lt;&gt; 0,$E$2 &lt;&gt; "Deployment"), MAX(J263, P263, R263, ($L$2 * IF($E$2="Deployment",deployment_raw[[#This Row],[Column5]],1)),IF(T263&lt;&gt;"",VALUE(T263) * IF($E$2="Deployment",deployment_raw[[#This Row],[Column5]],1),0)), 0),"")</f>
        <v/>
      </c>
      <c r="M263" s="125" t="str">
        <f>IF(ISNUMBER(deployment_raw[[#This Row],[Column9]]),IF(OR(deployment_raw[[#This Row],[Column5]] &lt;&gt; 0,$E$2&lt;&gt;"Deployment"), MAX(K263, Q263, S263, ($M$2 * IF($E$2="Deployment",deployment_raw[[#This Row],[Column5]],1)),IF(U263&lt;&gt;"",VALUE(U263) * IF($E$2="Deployment",deployment_raw[[#This Row],[Column5]],1),0)), 0),"")</f>
        <v/>
      </c>
      <c r="N263" s="166" t="str">
        <f>IF(ISNUMBER(deployment_raw[[#This Row],[Column14]]), deployment_raw[[#This Row],[Column14]]/IF(OR($E$2="Deployment",deployment_raw[[#This Row],[Column5]]=0),1,deployment_raw[[#This Row],[Column5]]),"")</f>
        <v/>
      </c>
      <c r="O263" s="167" t="str">
        <f>IF(ISNUMBER(deployment_raw[[#This Row],[Column15]]), deployment_raw[[#This Row],[Column15]]/IF(OR($E$2="Deployment",deployment_raw[[#This Row],[Column5]]=0),1,deployment_raw[[#This Row],[Column5]])/1048576,"")</f>
        <v/>
      </c>
      <c r="P263" s="168" t="str">
        <f>IF(ISNUMBER(deployment_raw[[#This Row],[Column12]]), (MIN(IF(N263&lt;&gt;"",N263,9999999999999)*1.1,deployment_raw[[#This Row],[Column12]] * IF($E$2="Deployment",deployment_raw[[#This Row],[Column5]],1))*(1+$P$2)),"")</f>
        <v/>
      </c>
      <c r="Q263" s="167" t="str">
        <f>IF(ISNUMBER(deployment_raw[[#This Row],[Column13]]), (MIN(IF(O263&lt;&gt;"",O263,9999999999999)*1.1,deployment_raw[[#This Row],[Column13]] * IF($E$2="Deployment",deployment_raw[[#This Row],[Column5]],1)*(1+$Q$2)/1048576)),"")</f>
        <v/>
      </c>
      <c r="R263" s="169" t="str">
        <f>IF(ISNUMBER(deployment_raw[[#This Row],[Column8]]), (H263  * IF(N263&lt;&gt;0,$R$2,1)),"")</f>
        <v/>
      </c>
      <c r="S263" s="170" t="str">
        <f>IF(ISNUMBER(deployment_raw[[#This Row],[Column8]]), (I263  * IF(O263&lt;&gt;0,$S$2,1)),"")</f>
        <v/>
      </c>
      <c r="T263" s="202" t="str">
        <f>IF(AND(A263&lt;&gt;"",_xlfn.IFNA(MATCH(A263,'dynamic resource application '!$A$2:$A$100, 0),0)&lt;&gt;0), H263/(IF($E$2="Deployment",E263,1)),"")</f>
        <v/>
      </c>
      <c r="U263" s="211" t="str">
        <f>IF(AND(A263&lt;&gt;"",_xlfn.IFNA(MATCH(A263,'dynamic resource application '!$A$2:$A$100, 0),0)&lt;&gt;0), I263/(IF($E$2="Deployment",E263,1)),"")</f>
        <v/>
      </c>
    </row>
    <row r="264" spans="1:21" ht="15.75" customHeight="1" x14ac:dyDescent="0.25">
      <c r="A264" s="35" t="str">
        <f>IF(ISNONTEXT(deployment_raw[[#This Row],[Column1]]), "", deployment_raw[[#This Row],[Column1]])</f>
        <v/>
      </c>
      <c r="B264" s="36" t="str">
        <f>IF(ISNONTEXT(deployment_raw[[#This Row],[Column2]]), "", deployment_raw[[#This Row],[Column2]])</f>
        <v/>
      </c>
      <c r="C264" s="36" t="str">
        <f>IF(ISNONTEXT(deployment_raw[[#This Row],[Column3]]), "", deployment_raw[[#This Row],[Column3]])</f>
        <v/>
      </c>
      <c r="D264" s="36" t="str">
        <f>IF(ISNONTEXT(deployment_raw[[#This Row],[Column4]]), "", deployment_raw[[#This Row],[Column4]])</f>
        <v/>
      </c>
      <c r="E264" s="37" t="str">
        <f>IF(ISNUMBER(deployment_raw[[#This Row],[Column5]]), deployment_raw[[#This Row],[Column5]],"")</f>
        <v/>
      </c>
      <c r="F264" s="94" t="str">
        <f>IF(ISNUMBER(deployment_raw[[#This Row],[Column6]]), (deployment_raw[[#This Row],[Column6]] * IF($E$2="Deployment",deployment_raw[[#This Row],[Column5]],1)),"")</f>
        <v/>
      </c>
      <c r="G264" s="95" t="str">
        <f>IF(ISNUMBER(deployment_raw[[#This Row],[Column7]]), (deployment_raw[[#This Row],[Column7]] * IF($E$2="Deployment",deployment_raw[[#This Row],[Column5]],1))/1048576,"")</f>
        <v/>
      </c>
      <c r="H264" s="95" t="str">
        <f>IF(ISNUMBER(deployment_raw[[#This Row],[Column8]]), (deployment_raw[[#This Row],[Column8]]  * IF($E$2="Deployment",deployment_raw[[#This Row],[Column5]],1)),"")</f>
        <v/>
      </c>
      <c r="I264" s="96" t="str">
        <f>IF(ISNUMBER(deployment_raw[[#This Row],[Column9]]), (deployment_raw[[#This Row],[Column9]] * IF($E$2="Deployment",deployment_raw[[#This Row],[Column5]],1))/1048576,"")</f>
        <v/>
      </c>
      <c r="J264" s="122" t="str">
        <f>IF(ISNUMBER(deployment_raw[[#This Row],[Column10]]), (MIN(IF(N264&lt;&gt;"",N264,9999999999999)*1.1,deployment_raw[[#This Row],[Column10]] * IF($E$2="Deployment",deployment_raw[[#This Row],[Column5]],1))),"")</f>
        <v/>
      </c>
      <c r="K264" s="123" t="str">
        <f>IF(ISNUMBER(deployment_raw[[#This Row],[Column11]]), (MIN(IF(O264&lt;&gt;"",O264,9999999999999)*1.1,deployment_raw[[#This Row],[Column11]] * IF($E$2="Deployment",deployment_raw[[#This Row],[Column5]],1)/1048576)),"")</f>
        <v/>
      </c>
      <c r="L264" s="124" t="str">
        <f>IF(ISNUMBER(deployment_raw[[#This Row],[Column8]]),IF(OR(deployment_raw[[#This Row],[Column5]] &lt;&gt; 0,$E$2 &lt;&gt; "Deployment"), MAX(J264, P264, R264, ($L$2 * IF($E$2="Deployment",deployment_raw[[#This Row],[Column5]],1)),IF(T264&lt;&gt;"",VALUE(T264) * IF($E$2="Deployment",deployment_raw[[#This Row],[Column5]],1),0)), 0),"")</f>
        <v/>
      </c>
      <c r="M264" s="125" t="str">
        <f>IF(ISNUMBER(deployment_raw[[#This Row],[Column9]]),IF(OR(deployment_raw[[#This Row],[Column5]] &lt;&gt; 0,$E$2&lt;&gt;"Deployment"), MAX(K264, Q264, S264, ($M$2 * IF($E$2="Deployment",deployment_raw[[#This Row],[Column5]],1)),IF(U264&lt;&gt;"",VALUE(U264) * IF($E$2="Deployment",deployment_raw[[#This Row],[Column5]],1),0)), 0),"")</f>
        <v/>
      </c>
      <c r="N264" s="166" t="str">
        <f>IF(ISNUMBER(deployment_raw[[#This Row],[Column14]]), deployment_raw[[#This Row],[Column14]]/IF(OR($E$2="Deployment",deployment_raw[[#This Row],[Column5]]=0),1,deployment_raw[[#This Row],[Column5]]),"")</f>
        <v/>
      </c>
      <c r="O264" s="167" t="str">
        <f>IF(ISNUMBER(deployment_raw[[#This Row],[Column15]]), deployment_raw[[#This Row],[Column15]]/IF(OR($E$2="Deployment",deployment_raw[[#This Row],[Column5]]=0),1,deployment_raw[[#This Row],[Column5]])/1048576,"")</f>
        <v/>
      </c>
      <c r="P264" s="168" t="str">
        <f>IF(ISNUMBER(deployment_raw[[#This Row],[Column12]]), (MIN(IF(N264&lt;&gt;"",N264,9999999999999)*1.1,deployment_raw[[#This Row],[Column12]] * IF($E$2="Deployment",deployment_raw[[#This Row],[Column5]],1))*(1+$P$2)),"")</f>
        <v/>
      </c>
      <c r="Q264" s="167" t="str">
        <f>IF(ISNUMBER(deployment_raw[[#This Row],[Column13]]), (MIN(IF(O264&lt;&gt;"",O264,9999999999999)*1.1,deployment_raw[[#This Row],[Column13]] * IF($E$2="Deployment",deployment_raw[[#This Row],[Column5]],1)*(1+$Q$2)/1048576)),"")</f>
        <v/>
      </c>
      <c r="R264" s="169" t="str">
        <f>IF(ISNUMBER(deployment_raw[[#This Row],[Column8]]), (H264  * IF(N264&lt;&gt;0,$R$2,1)),"")</f>
        <v/>
      </c>
      <c r="S264" s="170" t="str">
        <f>IF(ISNUMBER(deployment_raw[[#This Row],[Column8]]), (I264  * IF(O264&lt;&gt;0,$S$2,1)),"")</f>
        <v/>
      </c>
      <c r="T264" s="202" t="str">
        <f>IF(AND(A264&lt;&gt;"",_xlfn.IFNA(MATCH(A264,'dynamic resource application '!$A$2:$A$100, 0),0)&lt;&gt;0), H264/(IF($E$2="Deployment",E264,1)),"")</f>
        <v/>
      </c>
      <c r="U264" s="211" t="str">
        <f>IF(AND(A264&lt;&gt;"",_xlfn.IFNA(MATCH(A264,'dynamic resource application '!$A$2:$A$100, 0),0)&lt;&gt;0), I264/(IF($E$2="Deployment",E264,1)),"")</f>
        <v/>
      </c>
    </row>
    <row r="265" spans="1:21" ht="15.75" customHeight="1" x14ac:dyDescent="0.25">
      <c r="A265" s="35" t="str">
        <f>IF(ISNONTEXT(deployment_raw[[#This Row],[Column1]]), "", deployment_raw[[#This Row],[Column1]])</f>
        <v/>
      </c>
      <c r="B265" s="36" t="str">
        <f>IF(ISNONTEXT(deployment_raw[[#This Row],[Column2]]), "", deployment_raw[[#This Row],[Column2]])</f>
        <v/>
      </c>
      <c r="C265" s="36" t="str">
        <f>IF(ISNONTEXT(deployment_raw[[#This Row],[Column3]]), "", deployment_raw[[#This Row],[Column3]])</f>
        <v/>
      </c>
      <c r="D265" s="36" t="str">
        <f>IF(ISNONTEXT(deployment_raw[[#This Row],[Column4]]), "", deployment_raw[[#This Row],[Column4]])</f>
        <v/>
      </c>
      <c r="E265" s="37" t="str">
        <f>IF(ISNUMBER(deployment_raw[[#This Row],[Column5]]), deployment_raw[[#This Row],[Column5]],"")</f>
        <v/>
      </c>
      <c r="F265" s="94" t="str">
        <f>IF(ISNUMBER(deployment_raw[[#This Row],[Column6]]), (deployment_raw[[#This Row],[Column6]] * IF($E$2="Deployment",deployment_raw[[#This Row],[Column5]],1)),"")</f>
        <v/>
      </c>
      <c r="G265" s="95" t="str">
        <f>IF(ISNUMBER(deployment_raw[[#This Row],[Column7]]), (deployment_raw[[#This Row],[Column7]] * IF($E$2="Deployment",deployment_raw[[#This Row],[Column5]],1))/1048576,"")</f>
        <v/>
      </c>
      <c r="H265" s="95" t="str">
        <f>IF(ISNUMBER(deployment_raw[[#This Row],[Column8]]), (deployment_raw[[#This Row],[Column8]]  * IF($E$2="Deployment",deployment_raw[[#This Row],[Column5]],1)),"")</f>
        <v/>
      </c>
      <c r="I265" s="96" t="str">
        <f>IF(ISNUMBER(deployment_raw[[#This Row],[Column9]]), (deployment_raw[[#This Row],[Column9]] * IF($E$2="Deployment",deployment_raw[[#This Row],[Column5]],1))/1048576,"")</f>
        <v/>
      </c>
      <c r="J265" s="122" t="str">
        <f>IF(ISNUMBER(deployment_raw[[#This Row],[Column10]]), (MIN(IF(N265&lt;&gt;"",N265,9999999999999)*1.1,deployment_raw[[#This Row],[Column10]] * IF($E$2="Deployment",deployment_raw[[#This Row],[Column5]],1))),"")</f>
        <v/>
      </c>
      <c r="K265" s="123" t="str">
        <f>IF(ISNUMBER(deployment_raw[[#This Row],[Column11]]), (MIN(IF(O265&lt;&gt;"",O265,9999999999999)*1.1,deployment_raw[[#This Row],[Column11]] * IF($E$2="Deployment",deployment_raw[[#This Row],[Column5]],1)/1048576)),"")</f>
        <v/>
      </c>
      <c r="L265" s="124" t="str">
        <f>IF(ISNUMBER(deployment_raw[[#This Row],[Column8]]),IF(OR(deployment_raw[[#This Row],[Column5]] &lt;&gt; 0,$E$2 &lt;&gt; "Deployment"), MAX(J265, P265, R265, ($L$2 * IF($E$2="Deployment",deployment_raw[[#This Row],[Column5]],1)),IF(T265&lt;&gt;"",VALUE(T265) * IF($E$2="Deployment",deployment_raw[[#This Row],[Column5]],1),0)), 0),"")</f>
        <v/>
      </c>
      <c r="M265" s="125" t="str">
        <f>IF(ISNUMBER(deployment_raw[[#This Row],[Column9]]),IF(OR(deployment_raw[[#This Row],[Column5]] &lt;&gt; 0,$E$2&lt;&gt;"Deployment"), MAX(K265, Q265, S265, ($M$2 * IF($E$2="Deployment",deployment_raw[[#This Row],[Column5]],1)),IF(U265&lt;&gt;"",VALUE(U265) * IF($E$2="Deployment",deployment_raw[[#This Row],[Column5]],1),0)), 0),"")</f>
        <v/>
      </c>
      <c r="N265" s="166" t="str">
        <f>IF(ISNUMBER(deployment_raw[[#This Row],[Column14]]), deployment_raw[[#This Row],[Column14]]/IF(OR($E$2="Deployment",deployment_raw[[#This Row],[Column5]]=0),1,deployment_raw[[#This Row],[Column5]]),"")</f>
        <v/>
      </c>
      <c r="O265" s="167" t="str">
        <f>IF(ISNUMBER(deployment_raw[[#This Row],[Column15]]), deployment_raw[[#This Row],[Column15]]/IF(OR($E$2="Deployment",deployment_raw[[#This Row],[Column5]]=0),1,deployment_raw[[#This Row],[Column5]])/1048576,"")</f>
        <v/>
      </c>
      <c r="P265" s="168" t="str">
        <f>IF(ISNUMBER(deployment_raw[[#This Row],[Column12]]), (MIN(IF(N265&lt;&gt;"",N265,9999999999999)*1.1,deployment_raw[[#This Row],[Column12]] * IF($E$2="Deployment",deployment_raw[[#This Row],[Column5]],1))*(1+$P$2)),"")</f>
        <v/>
      </c>
      <c r="Q265" s="167" t="str">
        <f>IF(ISNUMBER(deployment_raw[[#This Row],[Column13]]), (MIN(IF(O265&lt;&gt;"",O265,9999999999999)*1.1,deployment_raw[[#This Row],[Column13]] * IF($E$2="Deployment",deployment_raw[[#This Row],[Column5]],1)*(1+$Q$2)/1048576)),"")</f>
        <v/>
      </c>
      <c r="R265" s="169" t="str">
        <f>IF(ISNUMBER(deployment_raw[[#This Row],[Column8]]), (H265  * IF(N265&lt;&gt;0,$R$2,1)),"")</f>
        <v/>
      </c>
      <c r="S265" s="170" t="str">
        <f>IF(ISNUMBER(deployment_raw[[#This Row],[Column8]]), (I265  * IF(O265&lt;&gt;0,$S$2,1)),"")</f>
        <v/>
      </c>
      <c r="T265" s="202" t="str">
        <f>IF(AND(A265&lt;&gt;"",_xlfn.IFNA(MATCH(A265,'dynamic resource application '!$A$2:$A$100, 0),0)&lt;&gt;0), H265/(IF($E$2="Deployment",E265,1)),"")</f>
        <v/>
      </c>
      <c r="U265" s="211" t="str">
        <f>IF(AND(A265&lt;&gt;"",_xlfn.IFNA(MATCH(A265,'dynamic resource application '!$A$2:$A$100, 0),0)&lt;&gt;0), I265/(IF($E$2="Deployment",E265,1)),"")</f>
        <v/>
      </c>
    </row>
    <row r="266" spans="1:21" ht="15.75" customHeight="1" x14ac:dyDescent="0.25">
      <c r="A266" s="35" t="str">
        <f>IF(ISNONTEXT(deployment_raw[[#This Row],[Column1]]), "", deployment_raw[[#This Row],[Column1]])</f>
        <v/>
      </c>
      <c r="B266" s="36" t="str">
        <f>IF(ISNONTEXT(deployment_raw[[#This Row],[Column2]]), "", deployment_raw[[#This Row],[Column2]])</f>
        <v/>
      </c>
      <c r="C266" s="36" t="str">
        <f>IF(ISNONTEXT(deployment_raw[[#This Row],[Column3]]), "", deployment_raw[[#This Row],[Column3]])</f>
        <v/>
      </c>
      <c r="D266" s="36" t="str">
        <f>IF(ISNONTEXT(deployment_raw[[#This Row],[Column4]]), "", deployment_raw[[#This Row],[Column4]])</f>
        <v/>
      </c>
      <c r="E266" s="37" t="str">
        <f>IF(ISNUMBER(deployment_raw[[#This Row],[Column5]]), deployment_raw[[#This Row],[Column5]],"")</f>
        <v/>
      </c>
      <c r="F266" s="94" t="str">
        <f>IF(ISNUMBER(deployment_raw[[#This Row],[Column6]]), (deployment_raw[[#This Row],[Column6]] * IF($E$2="Deployment",deployment_raw[[#This Row],[Column5]],1)),"")</f>
        <v/>
      </c>
      <c r="G266" s="95" t="str">
        <f>IF(ISNUMBER(deployment_raw[[#This Row],[Column7]]), (deployment_raw[[#This Row],[Column7]] * IF($E$2="Deployment",deployment_raw[[#This Row],[Column5]],1))/1048576,"")</f>
        <v/>
      </c>
      <c r="H266" s="95" t="str">
        <f>IF(ISNUMBER(deployment_raw[[#This Row],[Column8]]), (deployment_raw[[#This Row],[Column8]]  * IF($E$2="Deployment",deployment_raw[[#This Row],[Column5]],1)),"")</f>
        <v/>
      </c>
      <c r="I266" s="96" t="str">
        <f>IF(ISNUMBER(deployment_raw[[#This Row],[Column9]]), (deployment_raw[[#This Row],[Column9]] * IF($E$2="Deployment",deployment_raw[[#This Row],[Column5]],1))/1048576,"")</f>
        <v/>
      </c>
      <c r="J266" s="122" t="str">
        <f>IF(ISNUMBER(deployment_raw[[#This Row],[Column10]]), (MIN(IF(N266&lt;&gt;"",N266,9999999999999)*1.1,deployment_raw[[#This Row],[Column10]] * IF($E$2="Deployment",deployment_raw[[#This Row],[Column5]],1))),"")</f>
        <v/>
      </c>
      <c r="K266" s="123" t="str">
        <f>IF(ISNUMBER(deployment_raw[[#This Row],[Column11]]), (MIN(IF(O266&lt;&gt;"",O266,9999999999999)*1.1,deployment_raw[[#This Row],[Column11]] * IF($E$2="Deployment",deployment_raw[[#This Row],[Column5]],1)/1048576)),"")</f>
        <v/>
      </c>
      <c r="L266" s="124" t="str">
        <f>IF(ISNUMBER(deployment_raw[[#This Row],[Column8]]),IF(OR(deployment_raw[[#This Row],[Column5]] &lt;&gt; 0,$E$2 &lt;&gt; "Deployment"), MAX(J266, P266, R266, ($L$2 * IF($E$2="Deployment",deployment_raw[[#This Row],[Column5]],1)),IF(T266&lt;&gt;"",VALUE(T266) * IF($E$2="Deployment",deployment_raw[[#This Row],[Column5]],1),0)), 0),"")</f>
        <v/>
      </c>
      <c r="M266" s="125" t="str">
        <f>IF(ISNUMBER(deployment_raw[[#This Row],[Column9]]),IF(OR(deployment_raw[[#This Row],[Column5]] &lt;&gt; 0,$E$2&lt;&gt;"Deployment"), MAX(K266, Q266, S266, ($M$2 * IF($E$2="Deployment",deployment_raw[[#This Row],[Column5]],1)),IF(U266&lt;&gt;"",VALUE(U266) * IF($E$2="Deployment",deployment_raw[[#This Row],[Column5]],1),0)), 0),"")</f>
        <v/>
      </c>
      <c r="N266" s="166" t="str">
        <f>IF(ISNUMBER(deployment_raw[[#This Row],[Column14]]), deployment_raw[[#This Row],[Column14]]/IF(OR($E$2="Deployment",deployment_raw[[#This Row],[Column5]]=0),1,deployment_raw[[#This Row],[Column5]]),"")</f>
        <v/>
      </c>
      <c r="O266" s="167" t="str">
        <f>IF(ISNUMBER(deployment_raw[[#This Row],[Column15]]), deployment_raw[[#This Row],[Column15]]/IF(OR($E$2="Deployment",deployment_raw[[#This Row],[Column5]]=0),1,deployment_raw[[#This Row],[Column5]])/1048576,"")</f>
        <v/>
      </c>
      <c r="P266" s="168" t="str">
        <f>IF(ISNUMBER(deployment_raw[[#This Row],[Column12]]), (MIN(IF(N266&lt;&gt;"",N266,9999999999999)*1.1,deployment_raw[[#This Row],[Column12]] * IF($E$2="Deployment",deployment_raw[[#This Row],[Column5]],1))*(1+$P$2)),"")</f>
        <v/>
      </c>
      <c r="Q266" s="167" t="str">
        <f>IF(ISNUMBER(deployment_raw[[#This Row],[Column13]]), (MIN(IF(O266&lt;&gt;"",O266,9999999999999)*1.1,deployment_raw[[#This Row],[Column13]] * IF($E$2="Deployment",deployment_raw[[#This Row],[Column5]],1)*(1+$Q$2)/1048576)),"")</f>
        <v/>
      </c>
      <c r="R266" s="169" t="str">
        <f>IF(ISNUMBER(deployment_raw[[#This Row],[Column8]]), (H266  * IF(N266&lt;&gt;0,$R$2,1)),"")</f>
        <v/>
      </c>
      <c r="S266" s="170" t="str">
        <f>IF(ISNUMBER(deployment_raw[[#This Row],[Column8]]), (I266  * IF(O266&lt;&gt;0,$S$2,1)),"")</f>
        <v/>
      </c>
      <c r="T266" s="202" t="str">
        <f>IF(AND(A266&lt;&gt;"",_xlfn.IFNA(MATCH(A266,'dynamic resource application '!$A$2:$A$100, 0),0)&lt;&gt;0), H266/(IF($E$2="Deployment",E266,1)),"")</f>
        <v/>
      </c>
      <c r="U266" s="211" t="str">
        <f>IF(AND(A266&lt;&gt;"",_xlfn.IFNA(MATCH(A266,'dynamic resource application '!$A$2:$A$100, 0),0)&lt;&gt;0), I266/(IF($E$2="Deployment",E266,1)),"")</f>
        <v/>
      </c>
    </row>
    <row r="267" spans="1:21" ht="15.75" customHeight="1" x14ac:dyDescent="0.25">
      <c r="A267" s="35" t="str">
        <f>IF(ISNONTEXT(deployment_raw[[#This Row],[Column1]]), "", deployment_raw[[#This Row],[Column1]])</f>
        <v/>
      </c>
      <c r="B267" s="36" t="str">
        <f>IF(ISNONTEXT(deployment_raw[[#This Row],[Column2]]), "", deployment_raw[[#This Row],[Column2]])</f>
        <v/>
      </c>
      <c r="C267" s="36" t="str">
        <f>IF(ISNONTEXT(deployment_raw[[#This Row],[Column3]]), "", deployment_raw[[#This Row],[Column3]])</f>
        <v/>
      </c>
      <c r="D267" s="36" t="str">
        <f>IF(ISNONTEXT(deployment_raw[[#This Row],[Column4]]), "", deployment_raw[[#This Row],[Column4]])</f>
        <v/>
      </c>
      <c r="E267" s="37" t="str">
        <f>IF(ISNUMBER(deployment_raw[[#This Row],[Column5]]), deployment_raw[[#This Row],[Column5]],"")</f>
        <v/>
      </c>
      <c r="F267" s="94" t="str">
        <f>IF(ISNUMBER(deployment_raw[[#This Row],[Column6]]), (deployment_raw[[#This Row],[Column6]] * IF($E$2="Deployment",deployment_raw[[#This Row],[Column5]],1)),"")</f>
        <v/>
      </c>
      <c r="G267" s="95" t="str">
        <f>IF(ISNUMBER(deployment_raw[[#This Row],[Column7]]), (deployment_raw[[#This Row],[Column7]] * IF($E$2="Deployment",deployment_raw[[#This Row],[Column5]],1))/1048576,"")</f>
        <v/>
      </c>
      <c r="H267" s="95" t="str">
        <f>IF(ISNUMBER(deployment_raw[[#This Row],[Column8]]), (deployment_raw[[#This Row],[Column8]]  * IF($E$2="Deployment",deployment_raw[[#This Row],[Column5]],1)),"")</f>
        <v/>
      </c>
      <c r="I267" s="96" t="str">
        <f>IF(ISNUMBER(deployment_raw[[#This Row],[Column9]]), (deployment_raw[[#This Row],[Column9]] * IF($E$2="Deployment",deployment_raw[[#This Row],[Column5]],1))/1048576,"")</f>
        <v/>
      </c>
      <c r="J267" s="122" t="str">
        <f>IF(ISNUMBER(deployment_raw[[#This Row],[Column10]]), (MIN(IF(N267&lt;&gt;"",N267,9999999999999)*1.1,deployment_raw[[#This Row],[Column10]] * IF($E$2="Deployment",deployment_raw[[#This Row],[Column5]],1))),"")</f>
        <v/>
      </c>
      <c r="K267" s="123" t="str">
        <f>IF(ISNUMBER(deployment_raw[[#This Row],[Column11]]), (MIN(IF(O267&lt;&gt;"",O267,9999999999999)*1.1,deployment_raw[[#This Row],[Column11]] * IF($E$2="Deployment",deployment_raw[[#This Row],[Column5]],1)/1048576)),"")</f>
        <v/>
      </c>
      <c r="L267" s="124" t="str">
        <f>IF(ISNUMBER(deployment_raw[[#This Row],[Column8]]),IF(OR(deployment_raw[[#This Row],[Column5]] &lt;&gt; 0,$E$2 &lt;&gt; "Deployment"), MAX(J267, P267, R267, ($L$2 * IF($E$2="Deployment",deployment_raw[[#This Row],[Column5]],1)),IF(T267&lt;&gt;"",VALUE(T267) * IF($E$2="Deployment",deployment_raw[[#This Row],[Column5]],1),0)), 0),"")</f>
        <v/>
      </c>
      <c r="M267" s="125" t="str">
        <f>IF(ISNUMBER(deployment_raw[[#This Row],[Column9]]),IF(OR(deployment_raw[[#This Row],[Column5]] &lt;&gt; 0,$E$2&lt;&gt;"Deployment"), MAX(K267, Q267, S267, ($M$2 * IF($E$2="Deployment",deployment_raw[[#This Row],[Column5]],1)),IF(U267&lt;&gt;"",VALUE(U267) * IF($E$2="Deployment",deployment_raw[[#This Row],[Column5]],1),0)), 0),"")</f>
        <v/>
      </c>
      <c r="N267" s="166" t="str">
        <f>IF(ISNUMBER(deployment_raw[[#This Row],[Column14]]), deployment_raw[[#This Row],[Column14]]/IF(OR($E$2="Deployment",deployment_raw[[#This Row],[Column5]]=0),1,deployment_raw[[#This Row],[Column5]]),"")</f>
        <v/>
      </c>
      <c r="O267" s="167" t="str">
        <f>IF(ISNUMBER(deployment_raw[[#This Row],[Column15]]), deployment_raw[[#This Row],[Column15]]/IF(OR($E$2="Deployment",deployment_raw[[#This Row],[Column5]]=0),1,deployment_raw[[#This Row],[Column5]])/1048576,"")</f>
        <v/>
      </c>
      <c r="P267" s="168" t="str">
        <f>IF(ISNUMBER(deployment_raw[[#This Row],[Column12]]), (MIN(IF(N267&lt;&gt;"",N267,9999999999999)*1.1,deployment_raw[[#This Row],[Column12]] * IF($E$2="Deployment",deployment_raw[[#This Row],[Column5]],1))*(1+$P$2)),"")</f>
        <v/>
      </c>
      <c r="Q267" s="167" t="str">
        <f>IF(ISNUMBER(deployment_raw[[#This Row],[Column13]]), (MIN(IF(O267&lt;&gt;"",O267,9999999999999)*1.1,deployment_raw[[#This Row],[Column13]] * IF($E$2="Deployment",deployment_raw[[#This Row],[Column5]],1)*(1+$Q$2)/1048576)),"")</f>
        <v/>
      </c>
      <c r="R267" s="169" t="str">
        <f>IF(ISNUMBER(deployment_raw[[#This Row],[Column8]]), (H267  * IF(N267&lt;&gt;0,$R$2,1)),"")</f>
        <v/>
      </c>
      <c r="S267" s="170" t="str">
        <f>IF(ISNUMBER(deployment_raw[[#This Row],[Column8]]), (I267  * IF(O267&lt;&gt;0,$S$2,1)),"")</f>
        <v/>
      </c>
      <c r="T267" s="202" t="str">
        <f>IF(AND(A267&lt;&gt;"",_xlfn.IFNA(MATCH(A267,'dynamic resource application '!$A$2:$A$100, 0),0)&lt;&gt;0), H267/(IF($E$2="Deployment",E267,1)),"")</f>
        <v/>
      </c>
      <c r="U267" s="211" t="str">
        <f>IF(AND(A267&lt;&gt;"",_xlfn.IFNA(MATCH(A267,'dynamic resource application '!$A$2:$A$100, 0),0)&lt;&gt;0), I267/(IF($E$2="Deployment",E267,1)),"")</f>
        <v/>
      </c>
    </row>
    <row r="268" spans="1:21" ht="15.75" customHeight="1" x14ac:dyDescent="0.25">
      <c r="A268" s="35" t="str">
        <f>IF(ISNONTEXT(deployment_raw[[#This Row],[Column1]]), "", deployment_raw[[#This Row],[Column1]])</f>
        <v/>
      </c>
      <c r="B268" s="36" t="str">
        <f>IF(ISNONTEXT(deployment_raw[[#This Row],[Column2]]), "", deployment_raw[[#This Row],[Column2]])</f>
        <v/>
      </c>
      <c r="C268" s="36" t="str">
        <f>IF(ISNONTEXT(deployment_raw[[#This Row],[Column3]]), "", deployment_raw[[#This Row],[Column3]])</f>
        <v/>
      </c>
      <c r="D268" s="36" t="str">
        <f>IF(ISNONTEXT(deployment_raw[[#This Row],[Column4]]), "", deployment_raw[[#This Row],[Column4]])</f>
        <v/>
      </c>
      <c r="E268" s="37" t="str">
        <f>IF(ISNUMBER(deployment_raw[[#This Row],[Column5]]), deployment_raw[[#This Row],[Column5]],"")</f>
        <v/>
      </c>
      <c r="F268" s="94" t="str">
        <f>IF(ISNUMBER(deployment_raw[[#This Row],[Column6]]), (deployment_raw[[#This Row],[Column6]] * IF($E$2="Deployment",deployment_raw[[#This Row],[Column5]],1)),"")</f>
        <v/>
      </c>
      <c r="G268" s="95" t="str">
        <f>IF(ISNUMBER(deployment_raw[[#This Row],[Column7]]), (deployment_raw[[#This Row],[Column7]] * IF($E$2="Deployment",deployment_raw[[#This Row],[Column5]],1))/1048576,"")</f>
        <v/>
      </c>
      <c r="H268" s="95" t="str">
        <f>IF(ISNUMBER(deployment_raw[[#This Row],[Column8]]), (deployment_raw[[#This Row],[Column8]]  * IF($E$2="Deployment",deployment_raw[[#This Row],[Column5]],1)),"")</f>
        <v/>
      </c>
      <c r="I268" s="96" t="str">
        <f>IF(ISNUMBER(deployment_raw[[#This Row],[Column9]]), (deployment_raw[[#This Row],[Column9]] * IF($E$2="Deployment",deployment_raw[[#This Row],[Column5]],1))/1048576,"")</f>
        <v/>
      </c>
      <c r="J268" s="122" t="str">
        <f>IF(ISNUMBER(deployment_raw[[#This Row],[Column10]]), (MIN(IF(N268&lt;&gt;"",N268,9999999999999)*1.1,deployment_raw[[#This Row],[Column10]] * IF($E$2="Deployment",deployment_raw[[#This Row],[Column5]],1))),"")</f>
        <v/>
      </c>
      <c r="K268" s="123" t="str">
        <f>IF(ISNUMBER(deployment_raw[[#This Row],[Column11]]), (MIN(IF(O268&lt;&gt;"",O268,9999999999999)*1.1,deployment_raw[[#This Row],[Column11]] * IF($E$2="Deployment",deployment_raw[[#This Row],[Column5]],1)/1048576)),"")</f>
        <v/>
      </c>
      <c r="L268" s="124" t="str">
        <f>IF(ISNUMBER(deployment_raw[[#This Row],[Column8]]),IF(OR(deployment_raw[[#This Row],[Column5]] &lt;&gt; 0,$E$2 &lt;&gt; "Deployment"), MAX(J268, P268, R268, ($L$2 * IF($E$2="Deployment",deployment_raw[[#This Row],[Column5]],1)),IF(T268&lt;&gt;"",VALUE(T268) * IF($E$2="Deployment",deployment_raw[[#This Row],[Column5]],1),0)), 0),"")</f>
        <v/>
      </c>
      <c r="M268" s="125" t="str">
        <f>IF(ISNUMBER(deployment_raw[[#This Row],[Column9]]),IF(OR(deployment_raw[[#This Row],[Column5]] &lt;&gt; 0,$E$2&lt;&gt;"Deployment"), MAX(K268, Q268, S268, ($M$2 * IF($E$2="Deployment",deployment_raw[[#This Row],[Column5]],1)),IF(U268&lt;&gt;"",VALUE(U268) * IF($E$2="Deployment",deployment_raw[[#This Row],[Column5]],1),0)), 0),"")</f>
        <v/>
      </c>
      <c r="N268" s="166" t="str">
        <f>IF(ISNUMBER(deployment_raw[[#This Row],[Column14]]), deployment_raw[[#This Row],[Column14]]/IF(OR($E$2="Deployment",deployment_raw[[#This Row],[Column5]]=0),1,deployment_raw[[#This Row],[Column5]]),"")</f>
        <v/>
      </c>
      <c r="O268" s="167" t="str">
        <f>IF(ISNUMBER(deployment_raw[[#This Row],[Column15]]), deployment_raw[[#This Row],[Column15]]/IF(OR($E$2="Deployment",deployment_raw[[#This Row],[Column5]]=0),1,deployment_raw[[#This Row],[Column5]])/1048576,"")</f>
        <v/>
      </c>
      <c r="P268" s="168" t="str">
        <f>IF(ISNUMBER(deployment_raw[[#This Row],[Column12]]), (MIN(IF(N268&lt;&gt;"",N268,9999999999999)*1.1,deployment_raw[[#This Row],[Column12]] * IF($E$2="Deployment",deployment_raw[[#This Row],[Column5]],1))*(1+$P$2)),"")</f>
        <v/>
      </c>
      <c r="Q268" s="167" t="str">
        <f>IF(ISNUMBER(deployment_raw[[#This Row],[Column13]]), (MIN(IF(O268&lt;&gt;"",O268,9999999999999)*1.1,deployment_raw[[#This Row],[Column13]] * IF($E$2="Deployment",deployment_raw[[#This Row],[Column5]],1)*(1+$Q$2)/1048576)),"")</f>
        <v/>
      </c>
      <c r="R268" s="169" t="str">
        <f>IF(ISNUMBER(deployment_raw[[#This Row],[Column8]]), (H268  * IF(N268&lt;&gt;0,$R$2,1)),"")</f>
        <v/>
      </c>
      <c r="S268" s="170" t="str">
        <f>IF(ISNUMBER(deployment_raw[[#This Row],[Column8]]), (I268  * IF(O268&lt;&gt;0,$S$2,1)),"")</f>
        <v/>
      </c>
      <c r="T268" s="202" t="str">
        <f>IF(AND(A268&lt;&gt;"",_xlfn.IFNA(MATCH(A268,'dynamic resource application '!$A$2:$A$100, 0),0)&lt;&gt;0), H268/(IF($E$2="Deployment",E268,1)),"")</f>
        <v/>
      </c>
      <c r="U268" s="211" t="str">
        <f>IF(AND(A268&lt;&gt;"",_xlfn.IFNA(MATCH(A268,'dynamic resource application '!$A$2:$A$100, 0),0)&lt;&gt;0), I268/(IF($E$2="Deployment",E268,1)),"")</f>
        <v/>
      </c>
    </row>
    <row r="269" spans="1:21" ht="15.75" customHeight="1" x14ac:dyDescent="0.25">
      <c r="A269" s="35" t="str">
        <f>IF(ISNONTEXT(deployment_raw[[#This Row],[Column1]]), "", deployment_raw[[#This Row],[Column1]])</f>
        <v/>
      </c>
      <c r="B269" s="36" t="str">
        <f>IF(ISNONTEXT(deployment_raw[[#This Row],[Column2]]), "", deployment_raw[[#This Row],[Column2]])</f>
        <v/>
      </c>
      <c r="C269" s="36" t="str">
        <f>IF(ISNONTEXT(deployment_raw[[#This Row],[Column3]]), "", deployment_raw[[#This Row],[Column3]])</f>
        <v/>
      </c>
      <c r="D269" s="36" t="str">
        <f>IF(ISNONTEXT(deployment_raw[[#This Row],[Column4]]), "", deployment_raw[[#This Row],[Column4]])</f>
        <v/>
      </c>
      <c r="E269" s="37" t="str">
        <f>IF(ISNUMBER(deployment_raw[[#This Row],[Column5]]), deployment_raw[[#This Row],[Column5]],"")</f>
        <v/>
      </c>
      <c r="F269" s="94" t="str">
        <f>IF(ISNUMBER(deployment_raw[[#This Row],[Column6]]), (deployment_raw[[#This Row],[Column6]] * IF($E$2="Deployment",deployment_raw[[#This Row],[Column5]],1)),"")</f>
        <v/>
      </c>
      <c r="G269" s="95" t="str">
        <f>IF(ISNUMBER(deployment_raw[[#This Row],[Column7]]), (deployment_raw[[#This Row],[Column7]] * IF($E$2="Deployment",deployment_raw[[#This Row],[Column5]],1))/1048576,"")</f>
        <v/>
      </c>
      <c r="H269" s="95" t="str">
        <f>IF(ISNUMBER(deployment_raw[[#This Row],[Column8]]), (deployment_raw[[#This Row],[Column8]]  * IF($E$2="Deployment",deployment_raw[[#This Row],[Column5]],1)),"")</f>
        <v/>
      </c>
      <c r="I269" s="96" t="str">
        <f>IF(ISNUMBER(deployment_raw[[#This Row],[Column9]]), (deployment_raw[[#This Row],[Column9]] * IF($E$2="Deployment",deployment_raw[[#This Row],[Column5]],1))/1048576,"")</f>
        <v/>
      </c>
      <c r="J269" s="122" t="str">
        <f>IF(ISNUMBER(deployment_raw[[#This Row],[Column10]]), (MIN(IF(N269&lt;&gt;"",N269,9999999999999)*1.1,deployment_raw[[#This Row],[Column10]] * IF($E$2="Deployment",deployment_raw[[#This Row],[Column5]],1))),"")</f>
        <v/>
      </c>
      <c r="K269" s="123" t="str">
        <f>IF(ISNUMBER(deployment_raw[[#This Row],[Column11]]), (MIN(IF(O269&lt;&gt;"",O269,9999999999999)*1.1,deployment_raw[[#This Row],[Column11]] * IF($E$2="Deployment",deployment_raw[[#This Row],[Column5]],1)/1048576)),"")</f>
        <v/>
      </c>
      <c r="L269" s="124" t="str">
        <f>IF(ISNUMBER(deployment_raw[[#This Row],[Column8]]),IF(OR(deployment_raw[[#This Row],[Column5]] &lt;&gt; 0,$E$2 &lt;&gt; "Deployment"), MAX(J269, P269, R269, ($L$2 * IF($E$2="Deployment",deployment_raw[[#This Row],[Column5]],1)),IF(T269&lt;&gt;"",VALUE(T269) * IF($E$2="Deployment",deployment_raw[[#This Row],[Column5]],1),0)), 0),"")</f>
        <v/>
      </c>
      <c r="M269" s="125" t="str">
        <f>IF(ISNUMBER(deployment_raw[[#This Row],[Column9]]),IF(OR(deployment_raw[[#This Row],[Column5]] &lt;&gt; 0,$E$2&lt;&gt;"Deployment"), MAX(K269, Q269, S269, ($M$2 * IF($E$2="Deployment",deployment_raw[[#This Row],[Column5]],1)),IF(U269&lt;&gt;"",VALUE(U269) * IF($E$2="Deployment",deployment_raw[[#This Row],[Column5]],1),0)), 0),"")</f>
        <v/>
      </c>
      <c r="N269" s="166" t="str">
        <f>IF(ISNUMBER(deployment_raw[[#This Row],[Column14]]), deployment_raw[[#This Row],[Column14]]/IF(OR($E$2="Deployment",deployment_raw[[#This Row],[Column5]]=0),1,deployment_raw[[#This Row],[Column5]]),"")</f>
        <v/>
      </c>
      <c r="O269" s="167" t="str">
        <f>IF(ISNUMBER(deployment_raw[[#This Row],[Column15]]), deployment_raw[[#This Row],[Column15]]/IF(OR($E$2="Deployment",deployment_raw[[#This Row],[Column5]]=0),1,deployment_raw[[#This Row],[Column5]])/1048576,"")</f>
        <v/>
      </c>
      <c r="P269" s="168" t="str">
        <f>IF(ISNUMBER(deployment_raw[[#This Row],[Column12]]), (MIN(IF(N269&lt;&gt;"",N269,9999999999999)*1.1,deployment_raw[[#This Row],[Column12]] * IF($E$2="Deployment",deployment_raw[[#This Row],[Column5]],1))*(1+$P$2)),"")</f>
        <v/>
      </c>
      <c r="Q269" s="167" t="str">
        <f>IF(ISNUMBER(deployment_raw[[#This Row],[Column13]]), (MIN(IF(O269&lt;&gt;"",O269,9999999999999)*1.1,deployment_raw[[#This Row],[Column13]] * IF($E$2="Deployment",deployment_raw[[#This Row],[Column5]],1)*(1+$Q$2)/1048576)),"")</f>
        <v/>
      </c>
      <c r="R269" s="169" t="str">
        <f>IF(ISNUMBER(deployment_raw[[#This Row],[Column8]]), (H269  * IF(N269&lt;&gt;0,$R$2,1)),"")</f>
        <v/>
      </c>
      <c r="S269" s="170" t="str">
        <f>IF(ISNUMBER(deployment_raw[[#This Row],[Column8]]), (I269  * IF(O269&lt;&gt;0,$S$2,1)),"")</f>
        <v/>
      </c>
      <c r="T269" s="202" t="str">
        <f>IF(AND(A269&lt;&gt;"",_xlfn.IFNA(MATCH(A269,'dynamic resource application '!$A$2:$A$100, 0),0)&lt;&gt;0), H269/(IF($E$2="Deployment",E269,1)),"")</f>
        <v/>
      </c>
      <c r="U269" s="211" t="str">
        <f>IF(AND(A269&lt;&gt;"",_xlfn.IFNA(MATCH(A269,'dynamic resource application '!$A$2:$A$100, 0),0)&lt;&gt;0), I269/(IF($E$2="Deployment",E269,1)),"")</f>
        <v/>
      </c>
    </row>
    <row r="270" spans="1:21" ht="15.75" customHeight="1" x14ac:dyDescent="0.25">
      <c r="A270" s="35" t="str">
        <f>IF(ISNONTEXT(deployment_raw[[#This Row],[Column1]]), "", deployment_raw[[#This Row],[Column1]])</f>
        <v/>
      </c>
      <c r="B270" s="36" t="str">
        <f>IF(ISNONTEXT(deployment_raw[[#This Row],[Column2]]), "", deployment_raw[[#This Row],[Column2]])</f>
        <v/>
      </c>
      <c r="C270" s="36" t="str">
        <f>IF(ISNONTEXT(deployment_raw[[#This Row],[Column3]]), "", deployment_raw[[#This Row],[Column3]])</f>
        <v/>
      </c>
      <c r="D270" s="36" t="str">
        <f>IF(ISNONTEXT(deployment_raw[[#This Row],[Column4]]), "", deployment_raw[[#This Row],[Column4]])</f>
        <v/>
      </c>
      <c r="E270" s="37" t="str">
        <f>IF(ISNUMBER(deployment_raw[[#This Row],[Column5]]), deployment_raw[[#This Row],[Column5]],"")</f>
        <v/>
      </c>
      <c r="F270" s="94" t="str">
        <f>IF(ISNUMBER(deployment_raw[[#This Row],[Column6]]), (deployment_raw[[#This Row],[Column6]] * IF($E$2="Deployment",deployment_raw[[#This Row],[Column5]],1)),"")</f>
        <v/>
      </c>
      <c r="G270" s="95" t="str">
        <f>IF(ISNUMBER(deployment_raw[[#This Row],[Column7]]), (deployment_raw[[#This Row],[Column7]] * IF($E$2="Deployment",deployment_raw[[#This Row],[Column5]],1))/1048576,"")</f>
        <v/>
      </c>
      <c r="H270" s="95" t="str">
        <f>IF(ISNUMBER(deployment_raw[[#This Row],[Column8]]), (deployment_raw[[#This Row],[Column8]]  * IF($E$2="Deployment",deployment_raw[[#This Row],[Column5]],1)),"")</f>
        <v/>
      </c>
      <c r="I270" s="96" t="str">
        <f>IF(ISNUMBER(deployment_raw[[#This Row],[Column9]]), (deployment_raw[[#This Row],[Column9]] * IF($E$2="Deployment",deployment_raw[[#This Row],[Column5]],1))/1048576,"")</f>
        <v/>
      </c>
      <c r="J270" s="122" t="str">
        <f>IF(ISNUMBER(deployment_raw[[#This Row],[Column10]]), (MIN(IF(N270&lt;&gt;"",N270,9999999999999)*1.1,deployment_raw[[#This Row],[Column10]] * IF($E$2="Deployment",deployment_raw[[#This Row],[Column5]],1))),"")</f>
        <v/>
      </c>
      <c r="K270" s="123" t="str">
        <f>IF(ISNUMBER(deployment_raw[[#This Row],[Column11]]), (MIN(IF(O270&lt;&gt;"",O270,9999999999999)*1.1,deployment_raw[[#This Row],[Column11]] * IF($E$2="Deployment",deployment_raw[[#This Row],[Column5]],1)/1048576)),"")</f>
        <v/>
      </c>
      <c r="L270" s="124" t="str">
        <f>IF(ISNUMBER(deployment_raw[[#This Row],[Column8]]),IF(OR(deployment_raw[[#This Row],[Column5]] &lt;&gt; 0,$E$2 &lt;&gt; "Deployment"), MAX(J270, P270, R270, ($L$2 * IF($E$2="Deployment",deployment_raw[[#This Row],[Column5]],1)),IF(T270&lt;&gt;"",VALUE(T270) * IF($E$2="Deployment",deployment_raw[[#This Row],[Column5]],1),0)), 0),"")</f>
        <v/>
      </c>
      <c r="M270" s="125" t="str">
        <f>IF(ISNUMBER(deployment_raw[[#This Row],[Column9]]),IF(OR(deployment_raw[[#This Row],[Column5]] &lt;&gt; 0,$E$2&lt;&gt;"Deployment"), MAX(K270, Q270, S270, ($M$2 * IF($E$2="Deployment",deployment_raw[[#This Row],[Column5]],1)),IF(U270&lt;&gt;"",VALUE(U270) * IF($E$2="Deployment",deployment_raw[[#This Row],[Column5]],1),0)), 0),"")</f>
        <v/>
      </c>
      <c r="N270" s="166" t="str">
        <f>IF(ISNUMBER(deployment_raw[[#This Row],[Column14]]), deployment_raw[[#This Row],[Column14]]/IF(OR($E$2="Deployment",deployment_raw[[#This Row],[Column5]]=0),1,deployment_raw[[#This Row],[Column5]]),"")</f>
        <v/>
      </c>
      <c r="O270" s="167" t="str">
        <f>IF(ISNUMBER(deployment_raw[[#This Row],[Column15]]), deployment_raw[[#This Row],[Column15]]/IF(OR($E$2="Deployment",deployment_raw[[#This Row],[Column5]]=0),1,deployment_raw[[#This Row],[Column5]])/1048576,"")</f>
        <v/>
      </c>
      <c r="P270" s="168" t="str">
        <f>IF(ISNUMBER(deployment_raw[[#This Row],[Column12]]), (MIN(IF(N270&lt;&gt;"",N270,9999999999999)*1.1,deployment_raw[[#This Row],[Column12]] * IF($E$2="Deployment",deployment_raw[[#This Row],[Column5]],1))*(1+$P$2)),"")</f>
        <v/>
      </c>
      <c r="Q270" s="167" t="str">
        <f>IF(ISNUMBER(deployment_raw[[#This Row],[Column13]]), (MIN(IF(O270&lt;&gt;"",O270,9999999999999)*1.1,deployment_raw[[#This Row],[Column13]] * IF($E$2="Deployment",deployment_raw[[#This Row],[Column5]],1)*(1+$Q$2)/1048576)),"")</f>
        <v/>
      </c>
      <c r="R270" s="169" t="str">
        <f>IF(ISNUMBER(deployment_raw[[#This Row],[Column8]]), (H270  * IF(N270&lt;&gt;0,$R$2,1)),"")</f>
        <v/>
      </c>
      <c r="S270" s="170" t="str">
        <f>IF(ISNUMBER(deployment_raw[[#This Row],[Column8]]), (I270  * IF(O270&lt;&gt;0,$S$2,1)),"")</f>
        <v/>
      </c>
      <c r="T270" s="202" t="str">
        <f>IF(AND(A270&lt;&gt;"",_xlfn.IFNA(MATCH(A270,'dynamic resource application '!$A$2:$A$100, 0),0)&lt;&gt;0), H270/(IF($E$2="Deployment",E270,1)),"")</f>
        <v/>
      </c>
      <c r="U270" s="211" t="str">
        <f>IF(AND(A270&lt;&gt;"",_xlfn.IFNA(MATCH(A270,'dynamic resource application '!$A$2:$A$100, 0),0)&lt;&gt;0), I270/(IF($E$2="Deployment",E270,1)),"")</f>
        <v/>
      </c>
    </row>
    <row r="271" spans="1:21" ht="15.75" customHeight="1" x14ac:dyDescent="0.25">
      <c r="A271" s="35" t="str">
        <f>IF(ISNONTEXT(deployment_raw[[#This Row],[Column1]]), "", deployment_raw[[#This Row],[Column1]])</f>
        <v/>
      </c>
      <c r="B271" s="36" t="str">
        <f>IF(ISNONTEXT(deployment_raw[[#This Row],[Column2]]), "", deployment_raw[[#This Row],[Column2]])</f>
        <v/>
      </c>
      <c r="C271" s="36" t="str">
        <f>IF(ISNONTEXT(deployment_raw[[#This Row],[Column3]]), "", deployment_raw[[#This Row],[Column3]])</f>
        <v/>
      </c>
      <c r="D271" s="36" t="str">
        <f>IF(ISNONTEXT(deployment_raw[[#This Row],[Column4]]), "", deployment_raw[[#This Row],[Column4]])</f>
        <v/>
      </c>
      <c r="E271" s="37" t="str">
        <f>IF(ISNUMBER(deployment_raw[[#This Row],[Column5]]), deployment_raw[[#This Row],[Column5]],"")</f>
        <v/>
      </c>
      <c r="F271" s="94" t="str">
        <f>IF(ISNUMBER(deployment_raw[[#This Row],[Column6]]), (deployment_raw[[#This Row],[Column6]] * IF($E$2="Deployment",deployment_raw[[#This Row],[Column5]],1)),"")</f>
        <v/>
      </c>
      <c r="G271" s="95" t="str">
        <f>IF(ISNUMBER(deployment_raw[[#This Row],[Column7]]), (deployment_raw[[#This Row],[Column7]] * IF($E$2="Deployment",deployment_raw[[#This Row],[Column5]],1))/1048576,"")</f>
        <v/>
      </c>
      <c r="H271" s="95" t="str">
        <f>IF(ISNUMBER(deployment_raw[[#This Row],[Column8]]), (deployment_raw[[#This Row],[Column8]]  * IF($E$2="Deployment",deployment_raw[[#This Row],[Column5]],1)),"")</f>
        <v/>
      </c>
      <c r="I271" s="96" t="str">
        <f>IF(ISNUMBER(deployment_raw[[#This Row],[Column9]]), (deployment_raw[[#This Row],[Column9]] * IF($E$2="Deployment",deployment_raw[[#This Row],[Column5]],1))/1048576,"")</f>
        <v/>
      </c>
      <c r="J271" s="122" t="str">
        <f>IF(ISNUMBER(deployment_raw[[#This Row],[Column10]]), (MIN(IF(N271&lt;&gt;"",N271,9999999999999)*1.1,deployment_raw[[#This Row],[Column10]] * IF($E$2="Deployment",deployment_raw[[#This Row],[Column5]],1))),"")</f>
        <v/>
      </c>
      <c r="K271" s="123" t="str">
        <f>IF(ISNUMBER(deployment_raw[[#This Row],[Column11]]), (MIN(IF(O271&lt;&gt;"",O271,9999999999999)*1.1,deployment_raw[[#This Row],[Column11]] * IF($E$2="Deployment",deployment_raw[[#This Row],[Column5]],1)/1048576)),"")</f>
        <v/>
      </c>
      <c r="L271" s="124" t="str">
        <f>IF(ISNUMBER(deployment_raw[[#This Row],[Column8]]),IF(OR(deployment_raw[[#This Row],[Column5]] &lt;&gt; 0,$E$2 &lt;&gt; "Deployment"), MAX(J271, P271, R271, ($L$2 * IF($E$2="Deployment",deployment_raw[[#This Row],[Column5]],1)),IF(T271&lt;&gt;"",VALUE(T271) * IF($E$2="Deployment",deployment_raw[[#This Row],[Column5]],1),0)), 0),"")</f>
        <v/>
      </c>
      <c r="M271" s="125" t="str">
        <f>IF(ISNUMBER(deployment_raw[[#This Row],[Column9]]),IF(OR(deployment_raw[[#This Row],[Column5]] &lt;&gt; 0,$E$2&lt;&gt;"Deployment"), MAX(K271, Q271, S271, ($M$2 * IF($E$2="Deployment",deployment_raw[[#This Row],[Column5]],1)),IF(U271&lt;&gt;"",VALUE(U271) * IF($E$2="Deployment",deployment_raw[[#This Row],[Column5]],1),0)), 0),"")</f>
        <v/>
      </c>
      <c r="N271" s="166" t="str">
        <f>IF(ISNUMBER(deployment_raw[[#This Row],[Column14]]), deployment_raw[[#This Row],[Column14]]/IF(OR($E$2="Deployment",deployment_raw[[#This Row],[Column5]]=0),1,deployment_raw[[#This Row],[Column5]]),"")</f>
        <v/>
      </c>
      <c r="O271" s="167" t="str">
        <f>IF(ISNUMBER(deployment_raw[[#This Row],[Column15]]), deployment_raw[[#This Row],[Column15]]/IF(OR($E$2="Deployment",deployment_raw[[#This Row],[Column5]]=0),1,deployment_raw[[#This Row],[Column5]])/1048576,"")</f>
        <v/>
      </c>
      <c r="P271" s="168" t="str">
        <f>IF(ISNUMBER(deployment_raw[[#This Row],[Column12]]), (MIN(IF(N271&lt;&gt;"",N271,9999999999999)*1.1,deployment_raw[[#This Row],[Column12]] * IF($E$2="Deployment",deployment_raw[[#This Row],[Column5]],1))*(1+$P$2)),"")</f>
        <v/>
      </c>
      <c r="Q271" s="167" t="str">
        <f>IF(ISNUMBER(deployment_raw[[#This Row],[Column13]]), (MIN(IF(O271&lt;&gt;"",O271,9999999999999)*1.1,deployment_raw[[#This Row],[Column13]] * IF($E$2="Deployment",deployment_raw[[#This Row],[Column5]],1)*(1+$Q$2)/1048576)),"")</f>
        <v/>
      </c>
      <c r="R271" s="169" t="str">
        <f>IF(ISNUMBER(deployment_raw[[#This Row],[Column8]]), (H271  * IF(N271&lt;&gt;0,$R$2,1)),"")</f>
        <v/>
      </c>
      <c r="S271" s="170" t="str">
        <f>IF(ISNUMBER(deployment_raw[[#This Row],[Column8]]), (I271  * IF(O271&lt;&gt;0,$S$2,1)),"")</f>
        <v/>
      </c>
      <c r="T271" s="202" t="str">
        <f>IF(AND(A271&lt;&gt;"",_xlfn.IFNA(MATCH(A271,'dynamic resource application '!$A$2:$A$100, 0),0)&lt;&gt;0), H271/(IF($E$2="Deployment",E271,1)),"")</f>
        <v/>
      </c>
      <c r="U271" s="211" t="str">
        <f>IF(AND(A271&lt;&gt;"",_xlfn.IFNA(MATCH(A271,'dynamic resource application '!$A$2:$A$100, 0),0)&lt;&gt;0), I271/(IF($E$2="Deployment",E271,1)),"")</f>
        <v/>
      </c>
    </row>
    <row r="272" spans="1:21" ht="15.75" customHeight="1" x14ac:dyDescent="0.25">
      <c r="A272" s="35" t="str">
        <f>IF(ISNONTEXT(deployment_raw[[#This Row],[Column1]]), "", deployment_raw[[#This Row],[Column1]])</f>
        <v/>
      </c>
      <c r="B272" s="36" t="str">
        <f>IF(ISNONTEXT(deployment_raw[[#This Row],[Column2]]), "", deployment_raw[[#This Row],[Column2]])</f>
        <v/>
      </c>
      <c r="C272" s="36" t="str">
        <f>IF(ISNONTEXT(deployment_raw[[#This Row],[Column3]]), "", deployment_raw[[#This Row],[Column3]])</f>
        <v/>
      </c>
      <c r="D272" s="36" t="str">
        <f>IF(ISNONTEXT(deployment_raw[[#This Row],[Column4]]), "", deployment_raw[[#This Row],[Column4]])</f>
        <v/>
      </c>
      <c r="E272" s="37" t="str">
        <f>IF(ISNUMBER(deployment_raw[[#This Row],[Column5]]), deployment_raw[[#This Row],[Column5]],"")</f>
        <v/>
      </c>
      <c r="F272" s="94" t="str">
        <f>IF(ISNUMBER(deployment_raw[[#This Row],[Column6]]), (deployment_raw[[#This Row],[Column6]] * IF($E$2="Deployment",deployment_raw[[#This Row],[Column5]],1)),"")</f>
        <v/>
      </c>
      <c r="G272" s="95" t="str">
        <f>IF(ISNUMBER(deployment_raw[[#This Row],[Column7]]), (deployment_raw[[#This Row],[Column7]] * IF($E$2="Deployment",deployment_raw[[#This Row],[Column5]],1))/1048576,"")</f>
        <v/>
      </c>
      <c r="H272" s="95" t="str">
        <f>IF(ISNUMBER(deployment_raw[[#This Row],[Column8]]), (deployment_raw[[#This Row],[Column8]]  * IF($E$2="Deployment",deployment_raw[[#This Row],[Column5]],1)),"")</f>
        <v/>
      </c>
      <c r="I272" s="96" t="str">
        <f>IF(ISNUMBER(deployment_raw[[#This Row],[Column9]]), (deployment_raw[[#This Row],[Column9]] * IF($E$2="Deployment",deployment_raw[[#This Row],[Column5]],1))/1048576,"")</f>
        <v/>
      </c>
      <c r="J272" s="122" t="str">
        <f>IF(ISNUMBER(deployment_raw[[#This Row],[Column10]]), (MIN(IF(N272&lt;&gt;"",N272,9999999999999)*1.1,deployment_raw[[#This Row],[Column10]] * IF($E$2="Deployment",deployment_raw[[#This Row],[Column5]],1))),"")</f>
        <v/>
      </c>
      <c r="K272" s="123" t="str">
        <f>IF(ISNUMBER(deployment_raw[[#This Row],[Column11]]), (MIN(IF(O272&lt;&gt;"",O272,9999999999999)*1.1,deployment_raw[[#This Row],[Column11]] * IF($E$2="Deployment",deployment_raw[[#This Row],[Column5]],1)/1048576)),"")</f>
        <v/>
      </c>
      <c r="L272" s="124" t="str">
        <f>IF(ISNUMBER(deployment_raw[[#This Row],[Column8]]),IF(OR(deployment_raw[[#This Row],[Column5]] &lt;&gt; 0,$E$2 &lt;&gt; "Deployment"), MAX(J272, P272, R272, ($L$2 * IF($E$2="Deployment",deployment_raw[[#This Row],[Column5]],1)),IF(T272&lt;&gt;"",VALUE(T272) * IF($E$2="Deployment",deployment_raw[[#This Row],[Column5]],1),0)), 0),"")</f>
        <v/>
      </c>
      <c r="M272" s="125" t="str">
        <f>IF(ISNUMBER(deployment_raw[[#This Row],[Column9]]),IF(OR(deployment_raw[[#This Row],[Column5]] &lt;&gt; 0,$E$2&lt;&gt;"Deployment"), MAX(K272, Q272, S272, ($M$2 * IF($E$2="Deployment",deployment_raw[[#This Row],[Column5]],1)),IF(U272&lt;&gt;"",VALUE(U272) * IF($E$2="Deployment",deployment_raw[[#This Row],[Column5]],1),0)), 0),"")</f>
        <v/>
      </c>
      <c r="N272" s="166" t="str">
        <f>IF(ISNUMBER(deployment_raw[[#This Row],[Column14]]), deployment_raw[[#This Row],[Column14]]/IF(OR($E$2="Deployment",deployment_raw[[#This Row],[Column5]]=0),1,deployment_raw[[#This Row],[Column5]]),"")</f>
        <v/>
      </c>
      <c r="O272" s="167" t="str">
        <f>IF(ISNUMBER(deployment_raw[[#This Row],[Column15]]), deployment_raw[[#This Row],[Column15]]/IF(OR($E$2="Deployment",deployment_raw[[#This Row],[Column5]]=0),1,deployment_raw[[#This Row],[Column5]])/1048576,"")</f>
        <v/>
      </c>
      <c r="P272" s="168" t="str">
        <f>IF(ISNUMBER(deployment_raw[[#This Row],[Column12]]), (MIN(IF(N272&lt;&gt;"",N272,9999999999999)*1.1,deployment_raw[[#This Row],[Column12]] * IF($E$2="Deployment",deployment_raw[[#This Row],[Column5]],1))*(1+$P$2)),"")</f>
        <v/>
      </c>
      <c r="Q272" s="167" t="str">
        <f>IF(ISNUMBER(deployment_raw[[#This Row],[Column13]]), (MIN(IF(O272&lt;&gt;"",O272,9999999999999)*1.1,deployment_raw[[#This Row],[Column13]] * IF($E$2="Deployment",deployment_raw[[#This Row],[Column5]],1)*(1+$Q$2)/1048576)),"")</f>
        <v/>
      </c>
      <c r="R272" s="169" t="str">
        <f>IF(ISNUMBER(deployment_raw[[#This Row],[Column8]]), (H272  * IF(N272&lt;&gt;0,$R$2,1)),"")</f>
        <v/>
      </c>
      <c r="S272" s="170" t="str">
        <f>IF(ISNUMBER(deployment_raw[[#This Row],[Column8]]), (I272  * IF(O272&lt;&gt;0,$S$2,1)),"")</f>
        <v/>
      </c>
      <c r="T272" s="202" t="str">
        <f>IF(AND(A272&lt;&gt;"",_xlfn.IFNA(MATCH(A272,'dynamic resource application '!$A$2:$A$100, 0),0)&lt;&gt;0), H272/(IF($E$2="Deployment",E272,1)),"")</f>
        <v/>
      </c>
      <c r="U272" s="211" t="str">
        <f>IF(AND(A272&lt;&gt;"",_xlfn.IFNA(MATCH(A272,'dynamic resource application '!$A$2:$A$100, 0),0)&lt;&gt;0), I272/(IF($E$2="Deployment",E272,1)),"")</f>
        <v/>
      </c>
    </row>
    <row r="273" spans="1:21" ht="15.75" customHeight="1" x14ac:dyDescent="0.25">
      <c r="A273" s="35" t="str">
        <f>IF(ISNONTEXT(deployment_raw[[#This Row],[Column1]]), "", deployment_raw[[#This Row],[Column1]])</f>
        <v/>
      </c>
      <c r="B273" s="36" t="str">
        <f>IF(ISNONTEXT(deployment_raw[[#This Row],[Column2]]), "", deployment_raw[[#This Row],[Column2]])</f>
        <v/>
      </c>
      <c r="C273" s="36" t="str">
        <f>IF(ISNONTEXT(deployment_raw[[#This Row],[Column3]]), "", deployment_raw[[#This Row],[Column3]])</f>
        <v/>
      </c>
      <c r="D273" s="36" t="str">
        <f>IF(ISNONTEXT(deployment_raw[[#This Row],[Column4]]), "", deployment_raw[[#This Row],[Column4]])</f>
        <v/>
      </c>
      <c r="E273" s="37" t="str">
        <f>IF(ISNUMBER(deployment_raw[[#This Row],[Column5]]), deployment_raw[[#This Row],[Column5]],"")</f>
        <v/>
      </c>
      <c r="F273" s="94" t="str">
        <f>IF(ISNUMBER(deployment_raw[[#This Row],[Column6]]), (deployment_raw[[#This Row],[Column6]] * IF($E$2="Deployment",deployment_raw[[#This Row],[Column5]],1)),"")</f>
        <v/>
      </c>
      <c r="G273" s="95" t="str">
        <f>IF(ISNUMBER(deployment_raw[[#This Row],[Column7]]), (deployment_raw[[#This Row],[Column7]] * IF($E$2="Deployment",deployment_raw[[#This Row],[Column5]],1))/1048576,"")</f>
        <v/>
      </c>
      <c r="H273" s="95" t="str">
        <f>IF(ISNUMBER(deployment_raw[[#This Row],[Column8]]), (deployment_raw[[#This Row],[Column8]]  * IF($E$2="Deployment",deployment_raw[[#This Row],[Column5]],1)),"")</f>
        <v/>
      </c>
      <c r="I273" s="96" t="str">
        <f>IF(ISNUMBER(deployment_raw[[#This Row],[Column9]]), (deployment_raw[[#This Row],[Column9]] * IF($E$2="Deployment",deployment_raw[[#This Row],[Column5]],1))/1048576,"")</f>
        <v/>
      </c>
      <c r="J273" s="122" t="str">
        <f>IF(ISNUMBER(deployment_raw[[#This Row],[Column10]]), (MIN(IF(N273&lt;&gt;"",N273,9999999999999)*1.1,deployment_raw[[#This Row],[Column10]] * IF($E$2="Deployment",deployment_raw[[#This Row],[Column5]],1))),"")</f>
        <v/>
      </c>
      <c r="K273" s="123" t="str">
        <f>IF(ISNUMBER(deployment_raw[[#This Row],[Column11]]), (MIN(IF(O273&lt;&gt;"",O273,9999999999999)*1.1,deployment_raw[[#This Row],[Column11]] * IF($E$2="Deployment",deployment_raw[[#This Row],[Column5]],1)/1048576)),"")</f>
        <v/>
      </c>
      <c r="L273" s="124" t="str">
        <f>IF(ISNUMBER(deployment_raw[[#This Row],[Column8]]),IF(OR(deployment_raw[[#This Row],[Column5]] &lt;&gt; 0,$E$2 &lt;&gt; "Deployment"), MAX(J273, P273, R273, ($L$2 * IF($E$2="Deployment",deployment_raw[[#This Row],[Column5]],1)),IF(T273&lt;&gt;"",VALUE(T273) * IF($E$2="Deployment",deployment_raw[[#This Row],[Column5]],1),0)), 0),"")</f>
        <v/>
      </c>
      <c r="M273" s="125" t="str">
        <f>IF(ISNUMBER(deployment_raw[[#This Row],[Column9]]),IF(OR(deployment_raw[[#This Row],[Column5]] &lt;&gt; 0,$E$2&lt;&gt;"Deployment"), MAX(K273, Q273, S273, ($M$2 * IF($E$2="Deployment",deployment_raw[[#This Row],[Column5]],1)),IF(U273&lt;&gt;"",VALUE(U273) * IF($E$2="Deployment",deployment_raw[[#This Row],[Column5]],1),0)), 0),"")</f>
        <v/>
      </c>
      <c r="N273" s="166" t="str">
        <f>IF(ISNUMBER(deployment_raw[[#This Row],[Column14]]), deployment_raw[[#This Row],[Column14]]/IF(OR($E$2="Deployment",deployment_raw[[#This Row],[Column5]]=0),1,deployment_raw[[#This Row],[Column5]]),"")</f>
        <v/>
      </c>
      <c r="O273" s="167" t="str">
        <f>IF(ISNUMBER(deployment_raw[[#This Row],[Column15]]), deployment_raw[[#This Row],[Column15]]/IF(OR($E$2="Deployment",deployment_raw[[#This Row],[Column5]]=0),1,deployment_raw[[#This Row],[Column5]])/1048576,"")</f>
        <v/>
      </c>
      <c r="P273" s="168" t="str">
        <f>IF(ISNUMBER(deployment_raw[[#This Row],[Column12]]), (MIN(IF(N273&lt;&gt;"",N273,9999999999999)*1.1,deployment_raw[[#This Row],[Column12]] * IF($E$2="Deployment",deployment_raw[[#This Row],[Column5]],1))*(1+$P$2)),"")</f>
        <v/>
      </c>
      <c r="Q273" s="167" t="str">
        <f>IF(ISNUMBER(deployment_raw[[#This Row],[Column13]]), (MIN(IF(O273&lt;&gt;"",O273,9999999999999)*1.1,deployment_raw[[#This Row],[Column13]] * IF($E$2="Deployment",deployment_raw[[#This Row],[Column5]],1)*(1+$Q$2)/1048576)),"")</f>
        <v/>
      </c>
      <c r="R273" s="169" t="str">
        <f>IF(ISNUMBER(deployment_raw[[#This Row],[Column8]]), (H273  * IF(N273&lt;&gt;0,$R$2,1)),"")</f>
        <v/>
      </c>
      <c r="S273" s="170" t="str">
        <f>IF(ISNUMBER(deployment_raw[[#This Row],[Column8]]), (I273  * IF(O273&lt;&gt;0,$S$2,1)),"")</f>
        <v/>
      </c>
      <c r="T273" s="202" t="str">
        <f>IF(AND(A273&lt;&gt;"",_xlfn.IFNA(MATCH(A273,'dynamic resource application '!$A$2:$A$100, 0),0)&lt;&gt;0), H273/(IF($E$2="Deployment",E273,1)),"")</f>
        <v/>
      </c>
      <c r="U273" s="211" t="str">
        <f>IF(AND(A273&lt;&gt;"",_xlfn.IFNA(MATCH(A273,'dynamic resource application '!$A$2:$A$100, 0),0)&lt;&gt;0), I273/(IF($E$2="Deployment",E273,1)),"")</f>
        <v/>
      </c>
    </row>
    <row r="274" spans="1:21" ht="15.75" customHeight="1" x14ac:dyDescent="0.25">
      <c r="A274" s="35" t="str">
        <f>IF(ISNONTEXT(deployment_raw[[#This Row],[Column1]]), "", deployment_raw[[#This Row],[Column1]])</f>
        <v/>
      </c>
      <c r="B274" s="36" t="str">
        <f>IF(ISNONTEXT(deployment_raw[[#This Row],[Column2]]), "", deployment_raw[[#This Row],[Column2]])</f>
        <v/>
      </c>
      <c r="C274" s="36" t="str">
        <f>IF(ISNONTEXT(deployment_raw[[#This Row],[Column3]]), "", deployment_raw[[#This Row],[Column3]])</f>
        <v/>
      </c>
      <c r="D274" s="36" t="str">
        <f>IF(ISNONTEXT(deployment_raw[[#This Row],[Column4]]), "", deployment_raw[[#This Row],[Column4]])</f>
        <v/>
      </c>
      <c r="E274" s="37" t="str">
        <f>IF(ISNUMBER(deployment_raw[[#This Row],[Column5]]), deployment_raw[[#This Row],[Column5]],"")</f>
        <v/>
      </c>
      <c r="F274" s="94" t="str">
        <f>IF(ISNUMBER(deployment_raw[[#This Row],[Column6]]), (deployment_raw[[#This Row],[Column6]] * IF($E$2="Deployment",deployment_raw[[#This Row],[Column5]],1)),"")</f>
        <v/>
      </c>
      <c r="G274" s="95" t="str">
        <f>IF(ISNUMBER(deployment_raw[[#This Row],[Column7]]), (deployment_raw[[#This Row],[Column7]] * IF($E$2="Deployment",deployment_raw[[#This Row],[Column5]],1))/1048576,"")</f>
        <v/>
      </c>
      <c r="H274" s="95" t="str">
        <f>IF(ISNUMBER(deployment_raw[[#This Row],[Column8]]), (deployment_raw[[#This Row],[Column8]]  * IF($E$2="Deployment",deployment_raw[[#This Row],[Column5]],1)),"")</f>
        <v/>
      </c>
      <c r="I274" s="96" t="str">
        <f>IF(ISNUMBER(deployment_raw[[#This Row],[Column9]]), (deployment_raw[[#This Row],[Column9]] * IF($E$2="Deployment",deployment_raw[[#This Row],[Column5]],1))/1048576,"")</f>
        <v/>
      </c>
      <c r="J274" s="122" t="str">
        <f>IF(ISNUMBER(deployment_raw[[#This Row],[Column10]]), (MIN(IF(N274&lt;&gt;"",N274,9999999999999)*1.1,deployment_raw[[#This Row],[Column10]] * IF($E$2="Deployment",deployment_raw[[#This Row],[Column5]],1))),"")</f>
        <v/>
      </c>
      <c r="K274" s="123" t="str">
        <f>IF(ISNUMBER(deployment_raw[[#This Row],[Column11]]), (MIN(IF(O274&lt;&gt;"",O274,9999999999999)*1.1,deployment_raw[[#This Row],[Column11]] * IF($E$2="Deployment",deployment_raw[[#This Row],[Column5]],1)/1048576)),"")</f>
        <v/>
      </c>
      <c r="L274" s="124" t="str">
        <f>IF(ISNUMBER(deployment_raw[[#This Row],[Column8]]),IF(OR(deployment_raw[[#This Row],[Column5]] &lt;&gt; 0,$E$2 &lt;&gt; "Deployment"), MAX(J274, P274, R274, ($L$2 * IF($E$2="Deployment",deployment_raw[[#This Row],[Column5]],1)),IF(T274&lt;&gt;"",VALUE(T274) * IF($E$2="Deployment",deployment_raw[[#This Row],[Column5]],1),0)), 0),"")</f>
        <v/>
      </c>
      <c r="M274" s="125" t="str">
        <f>IF(ISNUMBER(deployment_raw[[#This Row],[Column9]]),IF(OR(deployment_raw[[#This Row],[Column5]] &lt;&gt; 0,$E$2&lt;&gt;"Deployment"), MAX(K274, Q274, S274, ($M$2 * IF($E$2="Deployment",deployment_raw[[#This Row],[Column5]],1)),IF(U274&lt;&gt;"",VALUE(U274) * IF($E$2="Deployment",deployment_raw[[#This Row],[Column5]],1),0)), 0),"")</f>
        <v/>
      </c>
      <c r="N274" s="166" t="str">
        <f>IF(ISNUMBER(deployment_raw[[#This Row],[Column14]]), deployment_raw[[#This Row],[Column14]]/IF(OR($E$2="Deployment",deployment_raw[[#This Row],[Column5]]=0),1,deployment_raw[[#This Row],[Column5]]),"")</f>
        <v/>
      </c>
      <c r="O274" s="167" t="str">
        <f>IF(ISNUMBER(deployment_raw[[#This Row],[Column15]]), deployment_raw[[#This Row],[Column15]]/IF(OR($E$2="Deployment",deployment_raw[[#This Row],[Column5]]=0),1,deployment_raw[[#This Row],[Column5]])/1048576,"")</f>
        <v/>
      </c>
      <c r="P274" s="168" t="str">
        <f>IF(ISNUMBER(deployment_raw[[#This Row],[Column12]]), (MIN(IF(N274&lt;&gt;"",N274,9999999999999)*1.1,deployment_raw[[#This Row],[Column12]] * IF($E$2="Deployment",deployment_raw[[#This Row],[Column5]],1))*(1+$P$2)),"")</f>
        <v/>
      </c>
      <c r="Q274" s="167" t="str">
        <f>IF(ISNUMBER(deployment_raw[[#This Row],[Column13]]), (MIN(IF(O274&lt;&gt;"",O274,9999999999999)*1.1,deployment_raw[[#This Row],[Column13]] * IF($E$2="Deployment",deployment_raw[[#This Row],[Column5]],1)*(1+$Q$2)/1048576)),"")</f>
        <v/>
      </c>
      <c r="R274" s="169" t="str">
        <f>IF(ISNUMBER(deployment_raw[[#This Row],[Column8]]), (H274  * IF(N274&lt;&gt;0,$R$2,1)),"")</f>
        <v/>
      </c>
      <c r="S274" s="170" t="str">
        <f>IF(ISNUMBER(deployment_raw[[#This Row],[Column8]]), (I274  * IF(O274&lt;&gt;0,$S$2,1)),"")</f>
        <v/>
      </c>
      <c r="T274" s="202" t="str">
        <f>IF(AND(A274&lt;&gt;"",_xlfn.IFNA(MATCH(A274,'dynamic resource application '!$A$2:$A$100, 0),0)&lt;&gt;0), H274/(IF($E$2="Deployment",E274,1)),"")</f>
        <v/>
      </c>
      <c r="U274" s="211" t="str">
        <f>IF(AND(A274&lt;&gt;"",_xlfn.IFNA(MATCH(A274,'dynamic resource application '!$A$2:$A$100, 0),0)&lt;&gt;0), I274/(IF($E$2="Deployment",E274,1)),"")</f>
        <v/>
      </c>
    </row>
    <row r="275" spans="1:21" ht="15.75" customHeight="1" x14ac:dyDescent="0.25">
      <c r="A275" s="35" t="str">
        <f>IF(ISNONTEXT(deployment_raw[[#This Row],[Column1]]), "", deployment_raw[[#This Row],[Column1]])</f>
        <v/>
      </c>
      <c r="B275" s="36" t="str">
        <f>IF(ISNONTEXT(deployment_raw[[#This Row],[Column2]]), "", deployment_raw[[#This Row],[Column2]])</f>
        <v/>
      </c>
      <c r="C275" s="36" t="str">
        <f>IF(ISNONTEXT(deployment_raw[[#This Row],[Column3]]), "", deployment_raw[[#This Row],[Column3]])</f>
        <v/>
      </c>
      <c r="D275" s="36" t="str">
        <f>IF(ISNONTEXT(deployment_raw[[#This Row],[Column4]]), "", deployment_raw[[#This Row],[Column4]])</f>
        <v/>
      </c>
      <c r="E275" s="37" t="str">
        <f>IF(ISNUMBER(deployment_raw[[#This Row],[Column5]]), deployment_raw[[#This Row],[Column5]],"")</f>
        <v/>
      </c>
      <c r="F275" s="94" t="str">
        <f>IF(ISNUMBER(deployment_raw[[#This Row],[Column6]]), (deployment_raw[[#This Row],[Column6]] * IF($E$2="Deployment",deployment_raw[[#This Row],[Column5]],1)),"")</f>
        <v/>
      </c>
      <c r="G275" s="95" t="str">
        <f>IF(ISNUMBER(deployment_raw[[#This Row],[Column7]]), (deployment_raw[[#This Row],[Column7]] * IF($E$2="Deployment",deployment_raw[[#This Row],[Column5]],1))/1048576,"")</f>
        <v/>
      </c>
      <c r="H275" s="95" t="str">
        <f>IF(ISNUMBER(deployment_raw[[#This Row],[Column8]]), (deployment_raw[[#This Row],[Column8]]  * IF($E$2="Deployment",deployment_raw[[#This Row],[Column5]],1)),"")</f>
        <v/>
      </c>
      <c r="I275" s="96" t="str">
        <f>IF(ISNUMBER(deployment_raw[[#This Row],[Column9]]), (deployment_raw[[#This Row],[Column9]] * IF($E$2="Deployment",deployment_raw[[#This Row],[Column5]],1))/1048576,"")</f>
        <v/>
      </c>
      <c r="J275" s="122" t="str">
        <f>IF(ISNUMBER(deployment_raw[[#This Row],[Column10]]), (MIN(IF(N275&lt;&gt;"",N275,9999999999999)*1.1,deployment_raw[[#This Row],[Column10]] * IF($E$2="Deployment",deployment_raw[[#This Row],[Column5]],1))),"")</f>
        <v/>
      </c>
      <c r="K275" s="123" t="str">
        <f>IF(ISNUMBER(deployment_raw[[#This Row],[Column11]]), (MIN(IF(O275&lt;&gt;"",O275,9999999999999)*1.1,deployment_raw[[#This Row],[Column11]] * IF($E$2="Deployment",deployment_raw[[#This Row],[Column5]],1)/1048576)),"")</f>
        <v/>
      </c>
      <c r="L275" s="124" t="str">
        <f>IF(ISNUMBER(deployment_raw[[#This Row],[Column8]]),IF(OR(deployment_raw[[#This Row],[Column5]] &lt;&gt; 0,$E$2 &lt;&gt; "Deployment"), MAX(J275, P275, R275, ($L$2 * IF($E$2="Deployment",deployment_raw[[#This Row],[Column5]],1)),IF(T275&lt;&gt;"",VALUE(T275) * IF($E$2="Deployment",deployment_raw[[#This Row],[Column5]],1),0)), 0),"")</f>
        <v/>
      </c>
      <c r="M275" s="125" t="str">
        <f>IF(ISNUMBER(deployment_raw[[#This Row],[Column9]]),IF(OR(deployment_raw[[#This Row],[Column5]] &lt;&gt; 0,$E$2&lt;&gt;"Deployment"), MAX(K275, Q275, S275, ($M$2 * IF($E$2="Deployment",deployment_raw[[#This Row],[Column5]],1)),IF(U275&lt;&gt;"",VALUE(U275) * IF($E$2="Deployment",deployment_raw[[#This Row],[Column5]],1),0)), 0),"")</f>
        <v/>
      </c>
      <c r="N275" s="166" t="str">
        <f>IF(ISNUMBER(deployment_raw[[#This Row],[Column14]]), deployment_raw[[#This Row],[Column14]]/IF(OR($E$2="Deployment",deployment_raw[[#This Row],[Column5]]=0),1,deployment_raw[[#This Row],[Column5]]),"")</f>
        <v/>
      </c>
      <c r="O275" s="167" t="str">
        <f>IF(ISNUMBER(deployment_raw[[#This Row],[Column15]]), deployment_raw[[#This Row],[Column15]]/IF(OR($E$2="Deployment",deployment_raw[[#This Row],[Column5]]=0),1,deployment_raw[[#This Row],[Column5]])/1048576,"")</f>
        <v/>
      </c>
      <c r="P275" s="168" t="str">
        <f>IF(ISNUMBER(deployment_raw[[#This Row],[Column12]]), (MIN(IF(N275&lt;&gt;"",N275,9999999999999)*1.1,deployment_raw[[#This Row],[Column12]] * IF($E$2="Deployment",deployment_raw[[#This Row],[Column5]],1))*(1+$P$2)),"")</f>
        <v/>
      </c>
      <c r="Q275" s="167" t="str">
        <f>IF(ISNUMBER(deployment_raw[[#This Row],[Column13]]), (MIN(IF(O275&lt;&gt;"",O275,9999999999999)*1.1,deployment_raw[[#This Row],[Column13]] * IF($E$2="Deployment",deployment_raw[[#This Row],[Column5]],1)*(1+$Q$2)/1048576)),"")</f>
        <v/>
      </c>
      <c r="R275" s="169" t="str">
        <f>IF(ISNUMBER(deployment_raw[[#This Row],[Column8]]), (H275  * IF(N275&lt;&gt;0,$R$2,1)),"")</f>
        <v/>
      </c>
      <c r="S275" s="170" t="str">
        <f>IF(ISNUMBER(deployment_raw[[#This Row],[Column8]]), (I275  * IF(O275&lt;&gt;0,$S$2,1)),"")</f>
        <v/>
      </c>
      <c r="T275" s="202" t="str">
        <f>IF(AND(A275&lt;&gt;"",_xlfn.IFNA(MATCH(A275,'dynamic resource application '!$A$2:$A$100, 0),0)&lt;&gt;0), H275/(IF($E$2="Deployment",E275,1)),"")</f>
        <v/>
      </c>
      <c r="U275" s="211" t="str">
        <f>IF(AND(A275&lt;&gt;"",_xlfn.IFNA(MATCH(A275,'dynamic resource application '!$A$2:$A$100, 0),0)&lt;&gt;0), I275/(IF($E$2="Deployment",E275,1)),"")</f>
        <v/>
      </c>
    </row>
    <row r="276" spans="1:21" ht="15.75" customHeight="1" x14ac:dyDescent="0.25">
      <c r="A276" s="35" t="str">
        <f>IF(ISNONTEXT(deployment_raw[[#This Row],[Column1]]), "", deployment_raw[[#This Row],[Column1]])</f>
        <v/>
      </c>
      <c r="B276" s="36" t="str">
        <f>IF(ISNONTEXT(deployment_raw[[#This Row],[Column2]]), "", deployment_raw[[#This Row],[Column2]])</f>
        <v/>
      </c>
      <c r="C276" s="36" t="str">
        <f>IF(ISNONTEXT(deployment_raw[[#This Row],[Column3]]), "", deployment_raw[[#This Row],[Column3]])</f>
        <v/>
      </c>
      <c r="D276" s="36" t="str">
        <f>IF(ISNONTEXT(deployment_raw[[#This Row],[Column4]]), "", deployment_raw[[#This Row],[Column4]])</f>
        <v/>
      </c>
      <c r="E276" s="37" t="str">
        <f>IF(ISNUMBER(deployment_raw[[#This Row],[Column5]]), deployment_raw[[#This Row],[Column5]],"")</f>
        <v/>
      </c>
      <c r="F276" s="94" t="str">
        <f>IF(ISNUMBER(deployment_raw[[#This Row],[Column6]]), (deployment_raw[[#This Row],[Column6]] * IF($E$2="Deployment",deployment_raw[[#This Row],[Column5]],1)),"")</f>
        <v/>
      </c>
      <c r="G276" s="95" t="str">
        <f>IF(ISNUMBER(deployment_raw[[#This Row],[Column7]]), (deployment_raw[[#This Row],[Column7]] * IF($E$2="Deployment",deployment_raw[[#This Row],[Column5]],1))/1048576,"")</f>
        <v/>
      </c>
      <c r="H276" s="95" t="str">
        <f>IF(ISNUMBER(deployment_raw[[#This Row],[Column8]]), (deployment_raw[[#This Row],[Column8]]  * IF($E$2="Deployment",deployment_raw[[#This Row],[Column5]],1)),"")</f>
        <v/>
      </c>
      <c r="I276" s="96" t="str">
        <f>IF(ISNUMBER(deployment_raw[[#This Row],[Column9]]), (deployment_raw[[#This Row],[Column9]] * IF($E$2="Deployment",deployment_raw[[#This Row],[Column5]],1))/1048576,"")</f>
        <v/>
      </c>
      <c r="J276" s="122" t="str">
        <f>IF(ISNUMBER(deployment_raw[[#This Row],[Column10]]), (MIN(IF(N276&lt;&gt;"",N276,9999999999999)*1.1,deployment_raw[[#This Row],[Column10]] * IF($E$2="Deployment",deployment_raw[[#This Row],[Column5]],1))),"")</f>
        <v/>
      </c>
      <c r="K276" s="123" t="str">
        <f>IF(ISNUMBER(deployment_raw[[#This Row],[Column11]]), (MIN(IF(O276&lt;&gt;"",O276,9999999999999)*1.1,deployment_raw[[#This Row],[Column11]] * IF($E$2="Deployment",deployment_raw[[#This Row],[Column5]],1)/1048576)),"")</f>
        <v/>
      </c>
      <c r="L276" s="124" t="str">
        <f>IF(ISNUMBER(deployment_raw[[#This Row],[Column8]]),IF(OR(deployment_raw[[#This Row],[Column5]] &lt;&gt; 0,$E$2 &lt;&gt; "Deployment"), MAX(J276, P276, R276, ($L$2 * IF($E$2="Deployment",deployment_raw[[#This Row],[Column5]],1)),IF(T276&lt;&gt;"",VALUE(T276) * IF($E$2="Deployment",deployment_raw[[#This Row],[Column5]],1),0)), 0),"")</f>
        <v/>
      </c>
      <c r="M276" s="125" t="str">
        <f>IF(ISNUMBER(deployment_raw[[#This Row],[Column9]]),IF(OR(deployment_raw[[#This Row],[Column5]] &lt;&gt; 0,$E$2&lt;&gt;"Deployment"), MAX(K276, Q276, S276, ($M$2 * IF($E$2="Deployment",deployment_raw[[#This Row],[Column5]],1)),IF(U276&lt;&gt;"",VALUE(U276) * IF($E$2="Deployment",deployment_raw[[#This Row],[Column5]],1),0)), 0),"")</f>
        <v/>
      </c>
      <c r="N276" s="166" t="str">
        <f>IF(ISNUMBER(deployment_raw[[#This Row],[Column14]]), deployment_raw[[#This Row],[Column14]]/IF(OR($E$2="Deployment",deployment_raw[[#This Row],[Column5]]=0),1,deployment_raw[[#This Row],[Column5]]),"")</f>
        <v/>
      </c>
      <c r="O276" s="167" t="str">
        <f>IF(ISNUMBER(deployment_raw[[#This Row],[Column15]]), deployment_raw[[#This Row],[Column15]]/IF(OR($E$2="Deployment",deployment_raw[[#This Row],[Column5]]=0),1,deployment_raw[[#This Row],[Column5]])/1048576,"")</f>
        <v/>
      </c>
      <c r="P276" s="168" t="str">
        <f>IF(ISNUMBER(deployment_raw[[#This Row],[Column12]]), (MIN(IF(N276&lt;&gt;"",N276,9999999999999)*1.1,deployment_raw[[#This Row],[Column12]] * IF($E$2="Deployment",deployment_raw[[#This Row],[Column5]],1))*(1+$P$2)),"")</f>
        <v/>
      </c>
      <c r="Q276" s="167" t="str">
        <f>IF(ISNUMBER(deployment_raw[[#This Row],[Column13]]), (MIN(IF(O276&lt;&gt;"",O276,9999999999999)*1.1,deployment_raw[[#This Row],[Column13]] * IF($E$2="Deployment",deployment_raw[[#This Row],[Column5]],1)*(1+$Q$2)/1048576)),"")</f>
        <v/>
      </c>
      <c r="R276" s="169" t="str">
        <f>IF(ISNUMBER(deployment_raw[[#This Row],[Column8]]), (H276  * IF(N276&lt;&gt;0,$R$2,1)),"")</f>
        <v/>
      </c>
      <c r="S276" s="170" t="str">
        <f>IF(ISNUMBER(deployment_raw[[#This Row],[Column8]]), (I276  * IF(O276&lt;&gt;0,$S$2,1)),"")</f>
        <v/>
      </c>
      <c r="T276" s="202" t="str">
        <f>IF(AND(A276&lt;&gt;"",_xlfn.IFNA(MATCH(A276,'dynamic resource application '!$A$2:$A$100, 0),0)&lt;&gt;0), H276/(IF($E$2="Deployment",E276,1)),"")</f>
        <v/>
      </c>
      <c r="U276" s="211" t="str">
        <f>IF(AND(A276&lt;&gt;"",_xlfn.IFNA(MATCH(A276,'dynamic resource application '!$A$2:$A$100, 0),0)&lt;&gt;0), I276/(IF($E$2="Deployment",E276,1)),"")</f>
        <v/>
      </c>
    </row>
    <row r="277" spans="1:21" ht="15.75" customHeight="1" x14ac:dyDescent="0.25">
      <c r="A277" s="35" t="str">
        <f>IF(ISNONTEXT(deployment_raw[[#This Row],[Column1]]), "", deployment_raw[[#This Row],[Column1]])</f>
        <v/>
      </c>
      <c r="B277" s="36" t="str">
        <f>IF(ISNONTEXT(deployment_raw[[#This Row],[Column2]]), "", deployment_raw[[#This Row],[Column2]])</f>
        <v/>
      </c>
      <c r="C277" s="36" t="str">
        <f>IF(ISNONTEXT(deployment_raw[[#This Row],[Column3]]), "", deployment_raw[[#This Row],[Column3]])</f>
        <v/>
      </c>
      <c r="D277" s="36" t="str">
        <f>IF(ISNONTEXT(deployment_raw[[#This Row],[Column4]]), "", deployment_raw[[#This Row],[Column4]])</f>
        <v/>
      </c>
      <c r="E277" s="37" t="str">
        <f>IF(ISNUMBER(deployment_raw[[#This Row],[Column5]]), deployment_raw[[#This Row],[Column5]],"")</f>
        <v/>
      </c>
      <c r="F277" s="94" t="str">
        <f>IF(ISNUMBER(deployment_raw[[#This Row],[Column6]]), (deployment_raw[[#This Row],[Column6]] * IF($E$2="Deployment",deployment_raw[[#This Row],[Column5]],1)),"")</f>
        <v/>
      </c>
      <c r="G277" s="95" t="str">
        <f>IF(ISNUMBER(deployment_raw[[#This Row],[Column7]]), (deployment_raw[[#This Row],[Column7]] * IF($E$2="Deployment",deployment_raw[[#This Row],[Column5]],1))/1048576,"")</f>
        <v/>
      </c>
      <c r="H277" s="95" t="str">
        <f>IF(ISNUMBER(deployment_raw[[#This Row],[Column8]]), (deployment_raw[[#This Row],[Column8]]  * IF($E$2="Deployment",deployment_raw[[#This Row],[Column5]],1)),"")</f>
        <v/>
      </c>
      <c r="I277" s="96" t="str">
        <f>IF(ISNUMBER(deployment_raw[[#This Row],[Column9]]), (deployment_raw[[#This Row],[Column9]] * IF($E$2="Deployment",deployment_raw[[#This Row],[Column5]],1))/1048576,"")</f>
        <v/>
      </c>
      <c r="J277" s="122" t="str">
        <f>IF(ISNUMBER(deployment_raw[[#This Row],[Column10]]), (MIN(IF(N277&lt;&gt;"",N277,9999999999999)*1.1,deployment_raw[[#This Row],[Column10]] * IF($E$2="Deployment",deployment_raw[[#This Row],[Column5]],1))),"")</f>
        <v/>
      </c>
      <c r="K277" s="123" t="str">
        <f>IF(ISNUMBER(deployment_raw[[#This Row],[Column11]]), (MIN(IF(O277&lt;&gt;"",O277,9999999999999)*1.1,deployment_raw[[#This Row],[Column11]] * IF($E$2="Deployment",deployment_raw[[#This Row],[Column5]],1)/1048576)),"")</f>
        <v/>
      </c>
      <c r="L277" s="124" t="str">
        <f>IF(ISNUMBER(deployment_raw[[#This Row],[Column8]]),IF(OR(deployment_raw[[#This Row],[Column5]] &lt;&gt; 0,$E$2 &lt;&gt; "Deployment"), MAX(J277, P277, R277, ($L$2 * IF($E$2="Deployment",deployment_raw[[#This Row],[Column5]],1)),IF(T277&lt;&gt;"",VALUE(T277) * IF($E$2="Deployment",deployment_raw[[#This Row],[Column5]],1),0)), 0),"")</f>
        <v/>
      </c>
      <c r="M277" s="125" t="str">
        <f>IF(ISNUMBER(deployment_raw[[#This Row],[Column9]]),IF(OR(deployment_raw[[#This Row],[Column5]] &lt;&gt; 0,$E$2&lt;&gt;"Deployment"), MAX(K277, Q277, S277, ($M$2 * IF($E$2="Deployment",deployment_raw[[#This Row],[Column5]],1)),IF(U277&lt;&gt;"",VALUE(U277) * IF($E$2="Deployment",deployment_raw[[#This Row],[Column5]],1),0)), 0),"")</f>
        <v/>
      </c>
      <c r="N277" s="166" t="str">
        <f>IF(ISNUMBER(deployment_raw[[#This Row],[Column14]]), deployment_raw[[#This Row],[Column14]]/IF(OR($E$2="Deployment",deployment_raw[[#This Row],[Column5]]=0),1,deployment_raw[[#This Row],[Column5]]),"")</f>
        <v/>
      </c>
      <c r="O277" s="167" t="str">
        <f>IF(ISNUMBER(deployment_raw[[#This Row],[Column15]]), deployment_raw[[#This Row],[Column15]]/IF(OR($E$2="Deployment",deployment_raw[[#This Row],[Column5]]=0),1,deployment_raw[[#This Row],[Column5]])/1048576,"")</f>
        <v/>
      </c>
      <c r="P277" s="168" t="str">
        <f>IF(ISNUMBER(deployment_raw[[#This Row],[Column12]]), (MIN(IF(N277&lt;&gt;"",N277,9999999999999)*1.1,deployment_raw[[#This Row],[Column12]] * IF($E$2="Deployment",deployment_raw[[#This Row],[Column5]],1))*(1+$P$2)),"")</f>
        <v/>
      </c>
      <c r="Q277" s="167" t="str">
        <f>IF(ISNUMBER(deployment_raw[[#This Row],[Column13]]), (MIN(IF(O277&lt;&gt;"",O277,9999999999999)*1.1,deployment_raw[[#This Row],[Column13]] * IF($E$2="Deployment",deployment_raw[[#This Row],[Column5]],1)*(1+$Q$2)/1048576)),"")</f>
        <v/>
      </c>
      <c r="R277" s="169" t="str">
        <f>IF(ISNUMBER(deployment_raw[[#This Row],[Column8]]), (H277  * IF(N277&lt;&gt;0,$R$2,1)),"")</f>
        <v/>
      </c>
      <c r="S277" s="170" t="str">
        <f>IF(ISNUMBER(deployment_raw[[#This Row],[Column8]]), (I277  * IF(O277&lt;&gt;0,$S$2,1)),"")</f>
        <v/>
      </c>
      <c r="T277" s="202" t="str">
        <f>IF(AND(A277&lt;&gt;"",_xlfn.IFNA(MATCH(A277,'dynamic resource application '!$A$2:$A$100, 0),0)&lt;&gt;0), H277/(IF($E$2="Deployment",E277,1)),"")</f>
        <v/>
      </c>
      <c r="U277" s="211" t="str">
        <f>IF(AND(A277&lt;&gt;"",_xlfn.IFNA(MATCH(A277,'dynamic resource application '!$A$2:$A$100, 0),0)&lt;&gt;0), I277/(IF($E$2="Deployment",E277,1)),"")</f>
        <v/>
      </c>
    </row>
    <row r="278" spans="1:21" ht="15.75" customHeight="1" x14ac:dyDescent="0.25">
      <c r="A278" s="35" t="str">
        <f>IF(ISNONTEXT(deployment_raw[[#This Row],[Column1]]), "", deployment_raw[[#This Row],[Column1]])</f>
        <v/>
      </c>
      <c r="B278" s="36" t="str">
        <f>IF(ISNONTEXT(deployment_raw[[#This Row],[Column2]]), "", deployment_raw[[#This Row],[Column2]])</f>
        <v/>
      </c>
      <c r="C278" s="36" t="str">
        <f>IF(ISNONTEXT(deployment_raw[[#This Row],[Column3]]), "", deployment_raw[[#This Row],[Column3]])</f>
        <v/>
      </c>
      <c r="D278" s="36" t="str">
        <f>IF(ISNONTEXT(deployment_raw[[#This Row],[Column4]]), "", deployment_raw[[#This Row],[Column4]])</f>
        <v/>
      </c>
      <c r="E278" s="37" t="str">
        <f>IF(ISNUMBER(deployment_raw[[#This Row],[Column5]]), deployment_raw[[#This Row],[Column5]],"")</f>
        <v/>
      </c>
      <c r="F278" s="94" t="str">
        <f>IF(ISNUMBER(deployment_raw[[#This Row],[Column6]]), (deployment_raw[[#This Row],[Column6]] * IF($E$2="Deployment",deployment_raw[[#This Row],[Column5]],1)),"")</f>
        <v/>
      </c>
      <c r="G278" s="95" t="str">
        <f>IF(ISNUMBER(deployment_raw[[#This Row],[Column7]]), (deployment_raw[[#This Row],[Column7]] * IF($E$2="Deployment",deployment_raw[[#This Row],[Column5]],1))/1048576,"")</f>
        <v/>
      </c>
      <c r="H278" s="95" t="str">
        <f>IF(ISNUMBER(deployment_raw[[#This Row],[Column8]]), (deployment_raw[[#This Row],[Column8]]  * IF($E$2="Deployment",deployment_raw[[#This Row],[Column5]],1)),"")</f>
        <v/>
      </c>
      <c r="I278" s="96" t="str">
        <f>IF(ISNUMBER(deployment_raw[[#This Row],[Column9]]), (deployment_raw[[#This Row],[Column9]] * IF($E$2="Deployment",deployment_raw[[#This Row],[Column5]],1))/1048576,"")</f>
        <v/>
      </c>
      <c r="J278" s="122" t="str">
        <f>IF(ISNUMBER(deployment_raw[[#This Row],[Column10]]), (MIN(IF(N278&lt;&gt;"",N278,9999999999999)*1.1,deployment_raw[[#This Row],[Column10]] * IF($E$2="Deployment",deployment_raw[[#This Row],[Column5]],1))),"")</f>
        <v/>
      </c>
      <c r="K278" s="123" t="str">
        <f>IF(ISNUMBER(deployment_raw[[#This Row],[Column11]]), (MIN(IF(O278&lt;&gt;"",O278,9999999999999)*1.1,deployment_raw[[#This Row],[Column11]] * IF($E$2="Deployment",deployment_raw[[#This Row],[Column5]],1)/1048576)),"")</f>
        <v/>
      </c>
      <c r="L278" s="124" t="str">
        <f>IF(ISNUMBER(deployment_raw[[#This Row],[Column8]]),IF(OR(deployment_raw[[#This Row],[Column5]] &lt;&gt; 0,$E$2 &lt;&gt; "Deployment"), MAX(J278, P278, R278, ($L$2 * IF($E$2="Deployment",deployment_raw[[#This Row],[Column5]],1)),IF(T278&lt;&gt;"",VALUE(T278) * IF($E$2="Deployment",deployment_raw[[#This Row],[Column5]],1),0)), 0),"")</f>
        <v/>
      </c>
      <c r="M278" s="125" t="str">
        <f>IF(ISNUMBER(deployment_raw[[#This Row],[Column9]]),IF(OR(deployment_raw[[#This Row],[Column5]] &lt;&gt; 0,$E$2&lt;&gt;"Deployment"), MAX(K278, Q278, S278, ($M$2 * IF($E$2="Deployment",deployment_raw[[#This Row],[Column5]],1)),IF(U278&lt;&gt;"",VALUE(U278) * IF($E$2="Deployment",deployment_raw[[#This Row],[Column5]],1),0)), 0),"")</f>
        <v/>
      </c>
      <c r="N278" s="166" t="str">
        <f>IF(ISNUMBER(deployment_raw[[#This Row],[Column14]]), deployment_raw[[#This Row],[Column14]]/IF(OR($E$2="Deployment",deployment_raw[[#This Row],[Column5]]=0),1,deployment_raw[[#This Row],[Column5]]),"")</f>
        <v/>
      </c>
      <c r="O278" s="167" t="str">
        <f>IF(ISNUMBER(deployment_raw[[#This Row],[Column15]]), deployment_raw[[#This Row],[Column15]]/IF(OR($E$2="Deployment",deployment_raw[[#This Row],[Column5]]=0),1,deployment_raw[[#This Row],[Column5]])/1048576,"")</f>
        <v/>
      </c>
      <c r="P278" s="168" t="str">
        <f>IF(ISNUMBER(deployment_raw[[#This Row],[Column12]]), (MIN(IF(N278&lt;&gt;"",N278,9999999999999)*1.1,deployment_raw[[#This Row],[Column12]] * IF($E$2="Deployment",deployment_raw[[#This Row],[Column5]],1))*(1+$P$2)),"")</f>
        <v/>
      </c>
      <c r="Q278" s="167" t="str">
        <f>IF(ISNUMBER(deployment_raw[[#This Row],[Column13]]), (MIN(IF(O278&lt;&gt;"",O278,9999999999999)*1.1,deployment_raw[[#This Row],[Column13]] * IF($E$2="Deployment",deployment_raw[[#This Row],[Column5]],1)*(1+$Q$2)/1048576)),"")</f>
        <v/>
      </c>
      <c r="R278" s="169" t="str">
        <f>IF(ISNUMBER(deployment_raw[[#This Row],[Column8]]), (H278  * IF(N278&lt;&gt;0,$R$2,1)),"")</f>
        <v/>
      </c>
      <c r="S278" s="170" t="str">
        <f>IF(ISNUMBER(deployment_raw[[#This Row],[Column8]]), (I278  * IF(O278&lt;&gt;0,$S$2,1)),"")</f>
        <v/>
      </c>
      <c r="T278" s="202" t="str">
        <f>IF(AND(A278&lt;&gt;"",_xlfn.IFNA(MATCH(A278,'dynamic resource application '!$A$2:$A$100, 0),0)&lt;&gt;0), H278/(IF($E$2="Deployment",E278,1)),"")</f>
        <v/>
      </c>
      <c r="U278" s="211" t="str">
        <f>IF(AND(A278&lt;&gt;"",_xlfn.IFNA(MATCH(A278,'dynamic resource application '!$A$2:$A$100, 0),0)&lt;&gt;0), I278/(IF($E$2="Deployment",E278,1)),"")</f>
        <v/>
      </c>
    </row>
    <row r="279" spans="1:21" ht="15.75" customHeight="1" x14ac:dyDescent="0.25">
      <c r="A279" s="35" t="str">
        <f>IF(ISNONTEXT(deployment_raw[[#This Row],[Column1]]), "", deployment_raw[[#This Row],[Column1]])</f>
        <v/>
      </c>
      <c r="B279" s="36" t="str">
        <f>IF(ISNONTEXT(deployment_raw[[#This Row],[Column2]]), "", deployment_raw[[#This Row],[Column2]])</f>
        <v/>
      </c>
      <c r="C279" s="36" t="str">
        <f>IF(ISNONTEXT(deployment_raw[[#This Row],[Column3]]), "", deployment_raw[[#This Row],[Column3]])</f>
        <v/>
      </c>
      <c r="D279" s="36" t="str">
        <f>IF(ISNONTEXT(deployment_raw[[#This Row],[Column4]]), "", deployment_raw[[#This Row],[Column4]])</f>
        <v/>
      </c>
      <c r="E279" s="37" t="str">
        <f>IF(ISNUMBER(deployment_raw[[#This Row],[Column5]]), deployment_raw[[#This Row],[Column5]],"")</f>
        <v/>
      </c>
      <c r="F279" s="94" t="str">
        <f>IF(ISNUMBER(deployment_raw[[#This Row],[Column6]]), (deployment_raw[[#This Row],[Column6]] * IF($E$2="Deployment",deployment_raw[[#This Row],[Column5]],1)),"")</f>
        <v/>
      </c>
      <c r="G279" s="95" t="str">
        <f>IF(ISNUMBER(deployment_raw[[#This Row],[Column7]]), (deployment_raw[[#This Row],[Column7]] * IF($E$2="Deployment",deployment_raw[[#This Row],[Column5]],1))/1048576,"")</f>
        <v/>
      </c>
      <c r="H279" s="95" t="str">
        <f>IF(ISNUMBER(deployment_raw[[#This Row],[Column8]]), (deployment_raw[[#This Row],[Column8]]  * IF($E$2="Deployment",deployment_raw[[#This Row],[Column5]],1)),"")</f>
        <v/>
      </c>
      <c r="I279" s="96" t="str">
        <f>IF(ISNUMBER(deployment_raw[[#This Row],[Column9]]), (deployment_raw[[#This Row],[Column9]] * IF($E$2="Deployment",deployment_raw[[#This Row],[Column5]],1))/1048576,"")</f>
        <v/>
      </c>
      <c r="J279" s="122" t="str">
        <f>IF(ISNUMBER(deployment_raw[[#This Row],[Column10]]), (MIN(IF(N279&lt;&gt;"",N279,9999999999999)*1.1,deployment_raw[[#This Row],[Column10]] * IF($E$2="Deployment",deployment_raw[[#This Row],[Column5]],1))),"")</f>
        <v/>
      </c>
      <c r="K279" s="123" t="str">
        <f>IF(ISNUMBER(deployment_raw[[#This Row],[Column11]]), (MIN(IF(O279&lt;&gt;"",O279,9999999999999)*1.1,deployment_raw[[#This Row],[Column11]] * IF($E$2="Deployment",deployment_raw[[#This Row],[Column5]],1)/1048576)),"")</f>
        <v/>
      </c>
      <c r="L279" s="124" t="str">
        <f>IF(ISNUMBER(deployment_raw[[#This Row],[Column8]]),IF(OR(deployment_raw[[#This Row],[Column5]] &lt;&gt; 0,$E$2 &lt;&gt; "Deployment"), MAX(J279, P279, R279, ($L$2 * IF($E$2="Deployment",deployment_raw[[#This Row],[Column5]],1)),IF(T279&lt;&gt;"",VALUE(T279) * IF($E$2="Deployment",deployment_raw[[#This Row],[Column5]],1),0)), 0),"")</f>
        <v/>
      </c>
      <c r="M279" s="125" t="str">
        <f>IF(ISNUMBER(deployment_raw[[#This Row],[Column9]]),IF(OR(deployment_raw[[#This Row],[Column5]] &lt;&gt; 0,$E$2&lt;&gt;"Deployment"), MAX(K279, Q279, S279, ($M$2 * IF($E$2="Deployment",deployment_raw[[#This Row],[Column5]],1)),IF(U279&lt;&gt;"",VALUE(U279) * IF($E$2="Deployment",deployment_raw[[#This Row],[Column5]],1),0)), 0),"")</f>
        <v/>
      </c>
      <c r="N279" s="166" t="str">
        <f>IF(ISNUMBER(deployment_raw[[#This Row],[Column14]]), deployment_raw[[#This Row],[Column14]]/IF(OR($E$2="Deployment",deployment_raw[[#This Row],[Column5]]=0),1,deployment_raw[[#This Row],[Column5]]),"")</f>
        <v/>
      </c>
      <c r="O279" s="167" t="str">
        <f>IF(ISNUMBER(deployment_raw[[#This Row],[Column15]]), deployment_raw[[#This Row],[Column15]]/IF(OR($E$2="Deployment",deployment_raw[[#This Row],[Column5]]=0),1,deployment_raw[[#This Row],[Column5]])/1048576,"")</f>
        <v/>
      </c>
      <c r="P279" s="168" t="str">
        <f>IF(ISNUMBER(deployment_raw[[#This Row],[Column12]]), (MIN(IF(N279&lt;&gt;"",N279,9999999999999)*1.1,deployment_raw[[#This Row],[Column12]] * IF($E$2="Deployment",deployment_raw[[#This Row],[Column5]],1))*(1+$P$2)),"")</f>
        <v/>
      </c>
      <c r="Q279" s="167" t="str">
        <f>IF(ISNUMBER(deployment_raw[[#This Row],[Column13]]), (MIN(IF(O279&lt;&gt;"",O279,9999999999999)*1.1,deployment_raw[[#This Row],[Column13]] * IF($E$2="Deployment",deployment_raw[[#This Row],[Column5]],1)*(1+$Q$2)/1048576)),"")</f>
        <v/>
      </c>
      <c r="R279" s="169" t="str">
        <f>IF(ISNUMBER(deployment_raw[[#This Row],[Column8]]), (H279  * IF(N279&lt;&gt;0,$R$2,1)),"")</f>
        <v/>
      </c>
      <c r="S279" s="170" t="str">
        <f>IF(ISNUMBER(deployment_raw[[#This Row],[Column8]]), (I279  * IF(O279&lt;&gt;0,$S$2,1)),"")</f>
        <v/>
      </c>
      <c r="T279" s="202" t="str">
        <f>IF(AND(A279&lt;&gt;"",_xlfn.IFNA(MATCH(A279,'dynamic resource application '!$A$2:$A$100, 0),0)&lt;&gt;0), H279/(IF($E$2="Deployment",E279,1)),"")</f>
        <v/>
      </c>
      <c r="U279" s="211" t="str">
        <f>IF(AND(A279&lt;&gt;"",_xlfn.IFNA(MATCH(A279,'dynamic resource application '!$A$2:$A$100, 0),0)&lt;&gt;0), I279/(IF($E$2="Deployment",E279,1)),"")</f>
        <v/>
      </c>
    </row>
    <row r="280" spans="1:21" ht="15.75" customHeight="1" x14ac:dyDescent="0.25">
      <c r="A280" s="35" t="str">
        <f>IF(ISNONTEXT(deployment_raw[[#This Row],[Column1]]), "", deployment_raw[[#This Row],[Column1]])</f>
        <v/>
      </c>
      <c r="B280" s="36" t="str">
        <f>IF(ISNONTEXT(deployment_raw[[#This Row],[Column2]]), "", deployment_raw[[#This Row],[Column2]])</f>
        <v/>
      </c>
      <c r="C280" s="36" t="str">
        <f>IF(ISNONTEXT(deployment_raw[[#This Row],[Column3]]), "", deployment_raw[[#This Row],[Column3]])</f>
        <v/>
      </c>
      <c r="D280" s="36" t="str">
        <f>IF(ISNONTEXT(deployment_raw[[#This Row],[Column4]]), "", deployment_raw[[#This Row],[Column4]])</f>
        <v/>
      </c>
      <c r="E280" s="37" t="str">
        <f>IF(ISNUMBER(deployment_raw[[#This Row],[Column5]]), deployment_raw[[#This Row],[Column5]],"")</f>
        <v/>
      </c>
      <c r="F280" s="94" t="str">
        <f>IF(ISNUMBER(deployment_raw[[#This Row],[Column6]]), (deployment_raw[[#This Row],[Column6]] * IF($E$2="Deployment",deployment_raw[[#This Row],[Column5]],1)),"")</f>
        <v/>
      </c>
      <c r="G280" s="95" t="str">
        <f>IF(ISNUMBER(deployment_raw[[#This Row],[Column7]]), (deployment_raw[[#This Row],[Column7]] * IF($E$2="Deployment",deployment_raw[[#This Row],[Column5]],1))/1048576,"")</f>
        <v/>
      </c>
      <c r="H280" s="95" t="str">
        <f>IF(ISNUMBER(deployment_raw[[#This Row],[Column8]]), (deployment_raw[[#This Row],[Column8]]  * IF($E$2="Deployment",deployment_raw[[#This Row],[Column5]],1)),"")</f>
        <v/>
      </c>
      <c r="I280" s="96" t="str">
        <f>IF(ISNUMBER(deployment_raw[[#This Row],[Column9]]), (deployment_raw[[#This Row],[Column9]] * IF($E$2="Deployment",deployment_raw[[#This Row],[Column5]],1))/1048576,"")</f>
        <v/>
      </c>
      <c r="J280" s="122" t="str">
        <f>IF(ISNUMBER(deployment_raw[[#This Row],[Column10]]), (MIN(IF(N280&lt;&gt;"",N280,9999999999999)*1.1,deployment_raw[[#This Row],[Column10]] * IF($E$2="Deployment",deployment_raw[[#This Row],[Column5]],1))),"")</f>
        <v/>
      </c>
      <c r="K280" s="123" t="str">
        <f>IF(ISNUMBER(deployment_raw[[#This Row],[Column11]]), (MIN(IF(O280&lt;&gt;"",O280,9999999999999)*1.1,deployment_raw[[#This Row],[Column11]] * IF($E$2="Deployment",deployment_raw[[#This Row],[Column5]],1)/1048576)),"")</f>
        <v/>
      </c>
      <c r="L280" s="124" t="str">
        <f>IF(ISNUMBER(deployment_raw[[#This Row],[Column8]]),IF(OR(deployment_raw[[#This Row],[Column5]] &lt;&gt; 0,$E$2 &lt;&gt; "Deployment"), MAX(J280, P280, R280, ($L$2 * IF($E$2="Deployment",deployment_raw[[#This Row],[Column5]],1)),IF(T280&lt;&gt;"",VALUE(T280) * IF($E$2="Deployment",deployment_raw[[#This Row],[Column5]],1),0)), 0),"")</f>
        <v/>
      </c>
      <c r="M280" s="125" t="str">
        <f>IF(ISNUMBER(deployment_raw[[#This Row],[Column9]]),IF(OR(deployment_raw[[#This Row],[Column5]] &lt;&gt; 0,$E$2&lt;&gt;"Deployment"), MAX(K280, Q280, S280, ($M$2 * IF($E$2="Deployment",deployment_raw[[#This Row],[Column5]],1)),IF(U280&lt;&gt;"",VALUE(U280) * IF($E$2="Deployment",deployment_raw[[#This Row],[Column5]],1),0)), 0),"")</f>
        <v/>
      </c>
      <c r="N280" s="166" t="str">
        <f>IF(ISNUMBER(deployment_raw[[#This Row],[Column14]]), deployment_raw[[#This Row],[Column14]]/IF(OR($E$2="Deployment",deployment_raw[[#This Row],[Column5]]=0),1,deployment_raw[[#This Row],[Column5]]),"")</f>
        <v/>
      </c>
      <c r="O280" s="167" t="str">
        <f>IF(ISNUMBER(deployment_raw[[#This Row],[Column15]]), deployment_raw[[#This Row],[Column15]]/IF(OR($E$2="Deployment",deployment_raw[[#This Row],[Column5]]=0),1,deployment_raw[[#This Row],[Column5]])/1048576,"")</f>
        <v/>
      </c>
      <c r="P280" s="168" t="str">
        <f>IF(ISNUMBER(deployment_raw[[#This Row],[Column12]]), (MIN(IF(N280&lt;&gt;"",N280,9999999999999)*1.1,deployment_raw[[#This Row],[Column12]] * IF($E$2="Deployment",deployment_raw[[#This Row],[Column5]],1))*(1+$P$2)),"")</f>
        <v/>
      </c>
      <c r="Q280" s="167" t="str">
        <f>IF(ISNUMBER(deployment_raw[[#This Row],[Column13]]), (MIN(IF(O280&lt;&gt;"",O280,9999999999999)*1.1,deployment_raw[[#This Row],[Column13]] * IF($E$2="Deployment",deployment_raw[[#This Row],[Column5]],1)*(1+$Q$2)/1048576)),"")</f>
        <v/>
      </c>
      <c r="R280" s="169" t="str">
        <f>IF(ISNUMBER(deployment_raw[[#This Row],[Column8]]), (H280  * IF(N280&lt;&gt;0,$R$2,1)),"")</f>
        <v/>
      </c>
      <c r="S280" s="170" t="str">
        <f>IF(ISNUMBER(deployment_raw[[#This Row],[Column8]]), (I280  * IF(O280&lt;&gt;0,$S$2,1)),"")</f>
        <v/>
      </c>
      <c r="T280" s="202" t="str">
        <f>IF(AND(A280&lt;&gt;"",_xlfn.IFNA(MATCH(A280,'dynamic resource application '!$A$2:$A$100, 0),0)&lt;&gt;0), H280/(IF($E$2="Deployment",E280,1)),"")</f>
        <v/>
      </c>
      <c r="U280" s="211" t="str">
        <f>IF(AND(A280&lt;&gt;"",_xlfn.IFNA(MATCH(A280,'dynamic resource application '!$A$2:$A$100, 0),0)&lt;&gt;0), I280/(IF($E$2="Deployment",E280,1)),"")</f>
        <v/>
      </c>
    </row>
    <row r="281" spans="1:21" ht="15.75" customHeight="1" x14ac:dyDescent="0.25">
      <c r="A281" s="35" t="str">
        <f>IF(ISNONTEXT(deployment_raw[[#This Row],[Column1]]), "", deployment_raw[[#This Row],[Column1]])</f>
        <v/>
      </c>
      <c r="B281" s="36" t="str">
        <f>IF(ISNONTEXT(deployment_raw[[#This Row],[Column2]]), "", deployment_raw[[#This Row],[Column2]])</f>
        <v/>
      </c>
      <c r="C281" s="36" t="str">
        <f>IF(ISNONTEXT(deployment_raw[[#This Row],[Column3]]), "", deployment_raw[[#This Row],[Column3]])</f>
        <v/>
      </c>
      <c r="D281" s="36" t="str">
        <f>IF(ISNONTEXT(deployment_raw[[#This Row],[Column4]]), "", deployment_raw[[#This Row],[Column4]])</f>
        <v/>
      </c>
      <c r="E281" s="37" t="str">
        <f>IF(ISNUMBER(deployment_raw[[#This Row],[Column5]]), deployment_raw[[#This Row],[Column5]],"")</f>
        <v/>
      </c>
      <c r="F281" s="94" t="str">
        <f>IF(ISNUMBER(deployment_raw[[#This Row],[Column6]]), (deployment_raw[[#This Row],[Column6]] * IF($E$2="Deployment",deployment_raw[[#This Row],[Column5]],1)),"")</f>
        <v/>
      </c>
      <c r="G281" s="95" t="str">
        <f>IF(ISNUMBER(deployment_raw[[#This Row],[Column7]]), (deployment_raw[[#This Row],[Column7]] * IF($E$2="Deployment",deployment_raw[[#This Row],[Column5]],1))/1048576,"")</f>
        <v/>
      </c>
      <c r="H281" s="95" t="str">
        <f>IF(ISNUMBER(deployment_raw[[#This Row],[Column8]]), (deployment_raw[[#This Row],[Column8]]  * IF($E$2="Deployment",deployment_raw[[#This Row],[Column5]],1)),"")</f>
        <v/>
      </c>
      <c r="I281" s="96" t="str">
        <f>IF(ISNUMBER(deployment_raw[[#This Row],[Column9]]), (deployment_raw[[#This Row],[Column9]] * IF($E$2="Deployment",deployment_raw[[#This Row],[Column5]],1))/1048576,"")</f>
        <v/>
      </c>
      <c r="J281" s="122" t="str">
        <f>IF(ISNUMBER(deployment_raw[[#This Row],[Column10]]), (MIN(IF(N281&lt;&gt;"",N281,9999999999999)*1.1,deployment_raw[[#This Row],[Column10]] * IF($E$2="Deployment",deployment_raw[[#This Row],[Column5]],1))),"")</f>
        <v/>
      </c>
      <c r="K281" s="123" t="str">
        <f>IF(ISNUMBER(deployment_raw[[#This Row],[Column11]]), (MIN(IF(O281&lt;&gt;"",O281,9999999999999)*1.1,deployment_raw[[#This Row],[Column11]] * IF($E$2="Deployment",deployment_raw[[#This Row],[Column5]],1)/1048576)),"")</f>
        <v/>
      </c>
      <c r="L281" s="124" t="str">
        <f>IF(ISNUMBER(deployment_raw[[#This Row],[Column8]]),IF(OR(deployment_raw[[#This Row],[Column5]] &lt;&gt; 0,$E$2 &lt;&gt; "Deployment"), MAX(J281, P281, R281, ($L$2 * IF($E$2="Deployment",deployment_raw[[#This Row],[Column5]],1)),IF(T281&lt;&gt;"",VALUE(T281) * IF($E$2="Deployment",deployment_raw[[#This Row],[Column5]],1),0)), 0),"")</f>
        <v/>
      </c>
      <c r="M281" s="125" t="str">
        <f>IF(ISNUMBER(deployment_raw[[#This Row],[Column9]]),IF(OR(deployment_raw[[#This Row],[Column5]] &lt;&gt; 0,$E$2&lt;&gt;"Deployment"), MAX(K281, Q281, S281, ($M$2 * IF($E$2="Deployment",deployment_raw[[#This Row],[Column5]],1)),IF(U281&lt;&gt;"",VALUE(U281) * IF($E$2="Deployment",deployment_raw[[#This Row],[Column5]],1),0)), 0),"")</f>
        <v/>
      </c>
      <c r="N281" s="166" t="str">
        <f>IF(ISNUMBER(deployment_raw[[#This Row],[Column14]]), deployment_raw[[#This Row],[Column14]]/IF(OR($E$2="Deployment",deployment_raw[[#This Row],[Column5]]=0),1,deployment_raw[[#This Row],[Column5]]),"")</f>
        <v/>
      </c>
      <c r="O281" s="167" t="str">
        <f>IF(ISNUMBER(deployment_raw[[#This Row],[Column15]]), deployment_raw[[#This Row],[Column15]]/IF(OR($E$2="Deployment",deployment_raw[[#This Row],[Column5]]=0),1,deployment_raw[[#This Row],[Column5]])/1048576,"")</f>
        <v/>
      </c>
      <c r="P281" s="168" t="str">
        <f>IF(ISNUMBER(deployment_raw[[#This Row],[Column12]]), (MIN(IF(N281&lt;&gt;"",N281,9999999999999)*1.1,deployment_raw[[#This Row],[Column12]] * IF($E$2="Deployment",deployment_raw[[#This Row],[Column5]],1))*(1+$P$2)),"")</f>
        <v/>
      </c>
      <c r="Q281" s="167" t="str">
        <f>IF(ISNUMBER(deployment_raw[[#This Row],[Column13]]), (MIN(IF(O281&lt;&gt;"",O281,9999999999999)*1.1,deployment_raw[[#This Row],[Column13]] * IF($E$2="Deployment",deployment_raw[[#This Row],[Column5]],1)*(1+$Q$2)/1048576)),"")</f>
        <v/>
      </c>
      <c r="R281" s="169" t="str">
        <f>IF(ISNUMBER(deployment_raw[[#This Row],[Column8]]), (H281  * IF(N281&lt;&gt;0,$R$2,1)),"")</f>
        <v/>
      </c>
      <c r="S281" s="170" t="str">
        <f>IF(ISNUMBER(deployment_raw[[#This Row],[Column8]]), (I281  * IF(O281&lt;&gt;0,$S$2,1)),"")</f>
        <v/>
      </c>
      <c r="T281" s="202" t="str">
        <f>IF(AND(A281&lt;&gt;"",_xlfn.IFNA(MATCH(A281,'dynamic resource application '!$A$2:$A$100, 0),0)&lt;&gt;0), H281/(IF($E$2="Deployment",E281,1)),"")</f>
        <v/>
      </c>
      <c r="U281" s="211" t="str">
        <f>IF(AND(A281&lt;&gt;"",_xlfn.IFNA(MATCH(A281,'dynamic resource application '!$A$2:$A$100, 0),0)&lt;&gt;0), I281/(IF($E$2="Deployment",E281,1)),"")</f>
        <v/>
      </c>
    </row>
    <row r="282" spans="1:21" ht="15.75" customHeight="1" x14ac:dyDescent="0.25">
      <c r="A282" s="35" t="str">
        <f>IF(ISNONTEXT(deployment_raw[[#This Row],[Column1]]), "", deployment_raw[[#This Row],[Column1]])</f>
        <v/>
      </c>
      <c r="B282" s="36" t="str">
        <f>IF(ISNONTEXT(deployment_raw[[#This Row],[Column2]]), "", deployment_raw[[#This Row],[Column2]])</f>
        <v/>
      </c>
      <c r="C282" s="36" t="str">
        <f>IF(ISNONTEXT(deployment_raw[[#This Row],[Column3]]), "", deployment_raw[[#This Row],[Column3]])</f>
        <v/>
      </c>
      <c r="D282" s="36" t="str">
        <f>IF(ISNONTEXT(deployment_raw[[#This Row],[Column4]]), "", deployment_raw[[#This Row],[Column4]])</f>
        <v/>
      </c>
      <c r="E282" s="37" t="str">
        <f>IF(ISNUMBER(deployment_raw[[#This Row],[Column5]]), deployment_raw[[#This Row],[Column5]],"")</f>
        <v/>
      </c>
      <c r="F282" s="94" t="str">
        <f>IF(ISNUMBER(deployment_raw[[#This Row],[Column6]]), (deployment_raw[[#This Row],[Column6]] * IF($E$2="Deployment",deployment_raw[[#This Row],[Column5]],1)),"")</f>
        <v/>
      </c>
      <c r="G282" s="95" t="str">
        <f>IF(ISNUMBER(deployment_raw[[#This Row],[Column7]]), (deployment_raw[[#This Row],[Column7]] * IF($E$2="Deployment",deployment_raw[[#This Row],[Column5]],1))/1048576,"")</f>
        <v/>
      </c>
      <c r="H282" s="95" t="str">
        <f>IF(ISNUMBER(deployment_raw[[#This Row],[Column8]]), (deployment_raw[[#This Row],[Column8]]  * IF($E$2="Deployment",deployment_raw[[#This Row],[Column5]],1)),"")</f>
        <v/>
      </c>
      <c r="I282" s="96" t="str">
        <f>IF(ISNUMBER(deployment_raw[[#This Row],[Column9]]), (deployment_raw[[#This Row],[Column9]] * IF($E$2="Deployment",deployment_raw[[#This Row],[Column5]],1))/1048576,"")</f>
        <v/>
      </c>
      <c r="J282" s="122" t="str">
        <f>IF(ISNUMBER(deployment_raw[[#This Row],[Column10]]), (MIN(IF(N282&lt;&gt;"",N282,9999999999999)*1.1,deployment_raw[[#This Row],[Column10]] * IF($E$2="Deployment",deployment_raw[[#This Row],[Column5]],1))),"")</f>
        <v/>
      </c>
      <c r="K282" s="123" t="str">
        <f>IF(ISNUMBER(deployment_raw[[#This Row],[Column11]]), (MIN(IF(O282&lt;&gt;"",O282,9999999999999)*1.1,deployment_raw[[#This Row],[Column11]] * IF($E$2="Deployment",deployment_raw[[#This Row],[Column5]],1)/1048576)),"")</f>
        <v/>
      </c>
      <c r="L282" s="124" t="str">
        <f>IF(ISNUMBER(deployment_raw[[#This Row],[Column8]]),IF(OR(deployment_raw[[#This Row],[Column5]] &lt;&gt; 0,$E$2 &lt;&gt; "Deployment"), MAX(J282, P282, R282, ($L$2 * IF($E$2="Deployment",deployment_raw[[#This Row],[Column5]],1)),IF(T282&lt;&gt;"",VALUE(T282) * IF($E$2="Deployment",deployment_raw[[#This Row],[Column5]],1),0)), 0),"")</f>
        <v/>
      </c>
      <c r="M282" s="125" t="str">
        <f>IF(ISNUMBER(deployment_raw[[#This Row],[Column9]]),IF(OR(deployment_raw[[#This Row],[Column5]] &lt;&gt; 0,$E$2&lt;&gt;"Deployment"), MAX(K282, Q282, S282, ($M$2 * IF($E$2="Deployment",deployment_raw[[#This Row],[Column5]],1)),IF(U282&lt;&gt;"",VALUE(U282) * IF($E$2="Deployment",deployment_raw[[#This Row],[Column5]],1),0)), 0),"")</f>
        <v/>
      </c>
      <c r="N282" s="166" t="str">
        <f>IF(ISNUMBER(deployment_raw[[#This Row],[Column14]]), deployment_raw[[#This Row],[Column14]]/IF(OR($E$2="Deployment",deployment_raw[[#This Row],[Column5]]=0),1,deployment_raw[[#This Row],[Column5]]),"")</f>
        <v/>
      </c>
      <c r="O282" s="167" t="str">
        <f>IF(ISNUMBER(deployment_raw[[#This Row],[Column15]]), deployment_raw[[#This Row],[Column15]]/IF(OR($E$2="Deployment",deployment_raw[[#This Row],[Column5]]=0),1,deployment_raw[[#This Row],[Column5]])/1048576,"")</f>
        <v/>
      </c>
      <c r="P282" s="168" t="str">
        <f>IF(ISNUMBER(deployment_raw[[#This Row],[Column12]]), (MIN(IF(N282&lt;&gt;"",N282,9999999999999)*1.1,deployment_raw[[#This Row],[Column12]] * IF($E$2="Deployment",deployment_raw[[#This Row],[Column5]],1))*(1+$P$2)),"")</f>
        <v/>
      </c>
      <c r="Q282" s="167" t="str">
        <f>IF(ISNUMBER(deployment_raw[[#This Row],[Column13]]), (MIN(IF(O282&lt;&gt;"",O282,9999999999999)*1.1,deployment_raw[[#This Row],[Column13]] * IF($E$2="Deployment",deployment_raw[[#This Row],[Column5]],1)*(1+$Q$2)/1048576)),"")</f>
        <v/>
      </c>
      <c r="R282" s="169" t="str">
        <f>IF(ISNUMBER(deployment_raw[[#This Row],[Column8]]), (H282  * IF(N282&lt;&gt;0,$R$2,1)),"")</f>
        <v/>
      </c>
      <c r="S282" s="170" t="str">
        <f>IF(ISNUMBER(deployment_raw[[#This Row],[Column8]]), (I282  * IF(O282&lt;&gt;0,$S$2,1)),"")</f>
        <v/>
      </c>
      <c r="T282" s="202" t="str">
        <f>IF(AND(A282&lt;&gt;"",_xlfn.IFNA(MATCH(A282,'dynamic resource application '!$A$2:$A$100, 0),0)&lt;&gt;0), H282/(IF($E$2="Deployment",E282,1)),"")</f>
        <v/>
      </c>
      <c r="U282" s="211" t="str">
        <f>IF(AND(A282&lt;&gt;"",_xlfn.IFNA(MATCH(A282,'dynamic resource application '!$A$2:$A$100, 0),0)&lt;&gt;0), I282/(IF($E$2="Deployment",E282,1)),"")</f>
        <v/>
      </c>
    </row>
    <row r="283" spans="1:21" ht="15.75" customHeight="1" x14ac:dyDescent="0.25">
      <c r="A283" s="35" t="str">
        <f>IF(ISNONTEXT(deployment_raw[[#This Row],[Column1]]), "", deployment_raw[[#This Row],[Column1]])</f>
        <v/>
      </c>
      <c r="B283" s="36" t="str">
        <f>IF(ISNONTEXT(deployment_raw[[#This Row],[Column2]]), "", deployment_raw[[#This Row],[Column2]])</f>
        <v/>
      </c>
      <c r="C283" s="36" t="str">
        <f>IF(ISNONTEXT(deployment_raw[[#This Row],[Column3]]), "", deployment_raw[[#This Row],[Column3]])</f>
        <v/>
      </c>
      <c r="D283" s="36" t="str">
        <f>IF(ISNONTEXT(deployment_raw[[#This Row],[Column4]]), "", deployment_raw[[#This Row],[Column4]])</f>
        <v/>
      </c>
      <c r="E283" s="37" t="str">
        <f>IF(ISNUMBER(deployment_raw[[#This Row],[Column5]]), deployment_raw[[#This Row],[Column5]],"")</f>
        <v/>
      </c>
      <c r="F283" s="94" t="str">
        <f>IF(ISNUMBER(deployment_raw[[#This Row],[Column6]]), (deployment_raw[[#This Row],[Column6]] * IF($E$2="Deployment",deployment_raw[[#This Row],[Column5]],1)),"")</f>
        <v/>
      </c>
      <c r="G283" s="95" t="str">
        <f>IF(ISNUMBER(deployment_raw[[#This Row],[Column7]]), (deployment_raw[[#This Row],[Column7]] * IF($E$2="Deployment",deployment_raw[[#This Row],[Column5]],1))/1048576,"")</f>
        <v/>
      </c>
      <c r="H283" s="95" t="str">
        <f>IF(ISNUMBER(deployment_raw[[#This Row],[Column8]]), (deployment_raw[[#This Row],[Column8]]  * IF($E$2="Deployment",deployment_raw[[#This Row],[Column5]],1)),"")</f>
        <v/>
      </c>
      <c r="I283" s="96" t="str">
        <f>IF(ISNUMBER(deployment_raw[[#This Row],[Column9]]), (deployment_raw[[#This Row],[Column9]] * IF($E$2="Deployment",deployment_raw[[#This Row],[Column5]],1))/1048576,"")</f>
        <v/>
      </c>
      <c r="J283" s="122" t="str">
        <f>IF(ISNUMBER(deployment_raw[[#This Row],[Column10]]), (MIN(IF(N283&lt;&gt;"",N283,9999999999999)*1.1,deployment_raw[[#This Row],[Column10]] * IF($E$2="Deployment",deployment_raw[[#This Row],[Column5]],1))),"")</f>
        <v/>
      </c>
      <c r="K283" s="123" t="str">
        <f>IF(ISNUMBER(deployment_raw[[#This Row],[Column11]]), (MIN(IF(O283&lt;&gt;"",O283,9999999999999)*1.1,deployment_raw[[#This Row],[Column11]] * IF($E$2="Deployment",deployment_raw[[#This Row],[Column5]],1)/1048576)),"")</f>
        <v/>
      </c>
      <c r="L283" s="124" t="str">
        <f>IF(ISNUMBER(deployment_raw[[#This Row],[Column8]]),IF(OR(deployment_raw[[#This Row],[Column5]] &lt;&gt; 0,$E$2 &lt;&gt; "Deployment"), MAX(J283, P283, R283, ($L$2 * IF($E$2="Deployment",deployment_raw[[#This Row],[Column5]],1)),IF(T283&lt;&gt;"",VALUE(T283) * IF($E$2="Deployment",deployment_raw[[#This Row],[Column5]],1),0)), 0),"")</f>
        <v/>
      </c>
      <c r="M283" s="125" t="str">
        <f>IF(ISNUMBER(deployment_raw[[#This Row],[Column9]]),IF(OR(deployment_raw[[#This Row],[Column5]] &lt;&gt; 0,$E$2&lt;&gt;"Deployment"), MAX(K283, Q283, S283, ($M$2 * IF($E$2="Deployment",deployment_raw[[#This Row],[Column5]],1)),IF(U283&lt;&gt;"",VALUE(U283) * IF($E$2="Deployment",deployment_raw[[#This Row],[Column5]],1),0)), 0),"")</f>
        <v/>
      </c>
      <c r="N283" s="166" t="str">
        <f>IF(ISNUMBER(deployment_raw[[#This Row],[Column14]]), deployment_raw[[#This Row],[Column14]]/IF(OR($E$2="Deployment",deployment_raw[[#This Row],[Column5]]=0),1,deployment_raw[[#This Row],[Column5]]),"")</f>
        <v/>
      </c>
      <c r="O283" s="167" t="str">
        <f>IF(ISNUMBER(deployment_raw[[#This Row],[Column15]]), deployment_raw[[#This Row],[Column15]]/IF(OR($E$2="Deployment",deployment_raw[[#This Row],[Column5]]=0),1,deployment_raw[[#This Row],[Column5]])/1048576,"")</f>
        <v/>
      </c>
      <c r="P283" s="168" t="str">
        <f>IF(ISNUMBER(deployment_raw[[#This Row],[Column12]]), (MIN(IF(N283&lt;&gt;"",N283,9999999999999)*1.1,deployment_raw[[#This Row],[Column12]] * IF($E$2="Deployment",deployment_raw[[#This Row],[Column5]],1))*(1+$P$2)),"")</f>
        <v/>
      </c>
      <c r="Q283" s="167" t="str">
        <f>IF(ISNUMBER(deployment_raw[[#This Row],[Column13]]), (MIN(IF(O283&lt;&gt;"",O283,9999999999999)*1.1,deployment_raw[[#This Row],[Column13]] * IF($E$2="Deployment",deployment_raw[[#This Row],[Column5]],1)*(1+$Q$2)/1048576)),"")</f>
        <v/>
      </c>
      <c r="R283" s="169" t="str">
        <f>IF(ISNUMBER(deployment_raw[[#This Row],[Column8]]), (H283  * IF(N283&lt;&gt;0,$R$2,1)),"")</f>
        <v/>
      </c>
      <c r="S283" s="170" t="str">
        <f>IF(ISNUMBER(deployment_raw[[#This Row],[Column8]]), (I283  * IF(O283&lt;&gt;0,$S$2,1)),"")</f>
        <v/>
      </c>
      <c r="T283" s="202" t="str">
        <f>IF(AND(A283&lt;&gt;"",_xlfn.IFNA(MATCH(A283,'dynamic resource application '!$A$2:$A$100, 0),0)&lt;&gt;0), H283/(IF($E$2="Deployment",E283,1)),"")</f>
        <v/>
      </c>
      <c r="U283" s="211" t="str">
        <f>IF(AND(A283&lt;&gt;"",_xlfn.IFNA(MATCH(A283,'dynamic resource application '!$A$2:$A$100, 0),0)&lt;&gt;0), I283/(IF($E$2="Deployment",E283,1)),"")</f>
        <v/>
      </c>
    </row>
    <row r="284" spans="1:21" ht="15.75" customHeight="1" x14ac:dyDescent="0.25">
      <c r="A284" s="35" t="str">
        <f>IF(ISNONTEXT(deployment_raw[[#This Row],[Column1]]), "", deployment_raw[[#This Row],[Column1]])</f>
        <v/>
      </c>
      <c r="B284" s="36" t="str">
        <f>IF(ISNONTEXT(deployment_raw[[#This Row],[Column2]]), "", deployment_raw[[#This Row],[Column2]])</f>
        <v/>
      </c>
      <c r="C284" s="36" t="str">
        <f>IF(ISNONTEXT(deployment_raw[[#This Row],[Column3]]), "", deployment_raw[[#This Row],[Column3]])</f>
        <v/>
      </c>
      <c r="D284" s="36" t="str">
        <f>IF(ISNONTEXT(deployment_raw[[#This Row],[Column4]]), "", deployment_raw[[#This Row],[Column4]])</f>
        <v/>
      </c>
      <c r="E284" s="37" t="str">
        <f>IF(ISNUMBER(deployment_raw[[#This Row],[Column5]]), deployment_raw[[#This Row],[Column5]],"")</f>
        <v/>
      </c>
      <c r="F284" s="94" t="str">
        <f>IF(ISNUMBER(deployment_raw[[#This Row],[Column6]]), (deployment_raw[[#This Row],[Column6]] * IF($E$2="Deployment",deployment_raw[[#This Row],[Column5]],1)),"")</f>
        <v/>
      </c>
      <c r="G284" s="95" t="str">
        <f>IF(ISNUMBER(deployment_raw[[#This Row],[Column7]]), (deployment_raw[[#This Row],[Column7]] * IF($E$2="Deployment",deployment_raw[[#This Row],[Column5]],1))/1048576,"")</f>
        <v/>
      </c>
      <c r="H284" s="95" t="str">
        <f>IF(ISNUMBER(deployment_raw[[#This Row],[Column8]]), (deployment_raw[[#This Row],[Column8]]  * IF($E$2="Deployment",deployment_raw[[#This Row],[Column5]],1)),"")</f>
        <v/>
      </c>
      <c r="I284" s="96" t="str">
        <f>IF(ISNUMBER(deployment_raw[[#This Row],[Column9]]), (deployment_raw[[#This Row],[Column9]] * IF($E$2="Deployment",deployment_raw[[#This Row],[Column5]],1))/1048576,"")</f>
        <v/>
      </c>
      <c r="J284" s="122" t="str">
        <f>IF(ISNUMBER(deployment_raw[[#This Row],[Column10]]), (MIN(IF(N284&lt;&gt;"",N284,9999999999999)*1.1,deployment_raw[[#This Row],[Column10]] * IF($E$2="Deployment",deployment_raw[[#This Row],[Column5]],1))),"")</f>
        <v/>
      </c>
      <c r="K284" s="123" t="str">
        <f>IF(ISNUMBER(deployment_raw[[#This Row],[Column11]]), (MIN(IF(O284&lt;&gt;"",O284,9999999999999)*1.1,deployment_raw[[#This Row],[Column11]] * IF($E$2="Deployment",deployment_raw[[#This Row],[Column5]],1)/1048576)),"")</f>
        <v/>
      </c>
      <c r="L284" s="124" t="str">
        <f>IF(ISNUMBER(deployment_raw[[#This Row],[Column8]]),IF(OR(deployment_raw[[#This Row],[Column5]] &lt;&gt; 0,$E$2 &lt;&gt; "Deployment"), MAX(J284, P284, R284, ($L$2 * IF($E$2="Deployment",deployment_raw[[#This Row],[Column5]],1)),IF(T284&lt;&gt;"",VALUE(T284) * IF($E$2="Deployment",deployment_raw[[#This Row],[Column5]],1),0)), 0),"")</f>
        <v/>
      </c>
      <c r="M284" s="125" t="str">
        <f>IF(ISNUMBER(deployment_raw[[#This Row],[Column9]]),IF(OR(deployment_raw[[#This Row],[Column5]] &lt;&gt; 0,$E$2&lt;&gt;"Deployment"), MAX(K284, Q284, S284, ($M$2 * IF($E$2="Deployment",deployment_raw[[#This Row],[Column5]],1)),IF(U284&lt;&gt;"",VALUE(U284) * IF($E$2="Deployment",deployment_raw[[#This Row],[Column5]],1),0)), 0),"")</f>
        <v/>
      </c>
      <c r="N284" s="166" t="str">
        <f>IF(ISNUMBER(deployment_raw[[#This Row],[Column14]]), deployment_raw[[#This Row],[Column14]]/IF(OR($E$2="Deployment",deployment_raw[[#This Row],[Column5]]=0),1,deployment_raw[[#This Row],[Column5]]),"")</f>
        <v/>
      </c>
      <c r="O284" s="167" t="str">
        <f>IF(ISNUMBER(deployment_raw[[#This Row],[Column15]]), deployment_raw[[#This Row],[Column15]]/IF(OR($E$2="Deployment",deployment_raw[[#This Row],[Column5]]=0),1,deployment_raw[[#This Row],[Column5]])/1048576,"")</f>
        <v/>
      </c>
      <c r="P284" s="168" t="str">
        <f>IF(ISNUMBER(deployment_raw[[#This Row],[Column12]]), (MIN(IF(N284&lt;&gt;"",N284,9999999999999)*1.1,deployment_raw[[#This Row],[Column12]] * IF($E$2="Deployment",deployment_raw[[#This Row],[Column5]],1))*(1+$P$2)),"")</f>
        <v/>
      </c>
      <c r="Q284" s="167" t="str">
        <f>IF(ISNUMBER(deployment_raw[[#This Row],[Column13]]), (MIN(IF(O284&lt;&gt;"",O284,9999999999999)*1.1,deployment_raw[[#This Row],[Column13]] * IF($E$2="Deployment",deployment_raw[[#This Row],[Column5]],1)*(1+$Q$2)/1048576)),"")</f>
        <v/>
      </c>
      <c r="R284" s="169" t="str">
        <f>IF(ISNUMBER(deployment_raw[[#This Row],[Column8]]), (H284  * IF(N284&lt;&gt;0,$R$2,1)),"")</f>
        <v/>
      </c>
      <c r="S284" s="170" t="str">
        <f>IF(ISNUMBER(deployment_raw[[#This Row],[Column8]]), (I284  * IF(O284&lt;&gt;0,$S$2,1)),"")</f>
        <v/>
      </c>
      <c r="T284" s="202" t="str">
        <f>IF(AND(A284&lt;&gt;"",_xlfn.IFNA(MATCH(A284,'dynamic resource application '!$A$2:$A$100, 0),0)&lt;&gt;0), H284/(IF($E$2="Deployment",E284,1)),"")</f>
        <v/>
      </c>
      <c r="U284" s="211" t="str">
        <f>IF(AND(A284&lt;&gt;"",_xlfn.IFNA(MATCH(A284,'dynamic resource application '!$A$2:$A$100, 0),0)&lt;&gt;0), I284/(IF($E$2="Deployment",E284,1)),"")</f>
        <v/>
      </c>
    </row>
    <row r="285" spans="1:21" ht="15.75" customHeight="1" x14ac:dyDescent="0.25">
      <c r="A285" s="35" t="str">
        <f>IF(ISNONTEXT(deployment_raw[[#This Row],[Column1]]), "", deployment_raw[[#This Row],[Column1]])</f>
        <v/>
      </c>
      <c r="B285" s="36" t="str">
        <f>IF(ISNONTEXT(deployment_raw[[#This Row],[Column2]]), "", deployment_raw[[#This Row],[Column2]])</f>
        <v/>
      </c>
      <c r="C285" s="36" t="str">
        <f>IF(ISNONTEXT(deployment_raw[[#This Row],[Column3]]), "", deployment_raw[[#This Row],[Column3]])</f>
        <v/>
      </c>
      <c r="D285" s="36" t="str">
        <f>IF(ISNONTEXT(deployment_raw[[#This Row],[Column4]]), "", deployment_raw[[#This Row],[Column4]])</f>
        <v/>
      </c>
      <c r="E285" s="37" t="str">
        <f>IF(ISNUMBER(deployment_raw[[#This Row],[Column5]]), deployment_raw[[#This Row],[Column5]],"")</f>
        <v/>
      </c>
      <c r="F285" s="94" t="str">
        <f>IF(ISNUMBER(deployment_raw[[#This Row],[Column6]]), (deployment_raw[[#This Row],[Column6]] * IF($E$2="Deployment",deployment_raw[[#This Row],[Column5]],1)),"")</f>
        <v/>
      </c>
      <c r="G285" s="95" t="str">
        <f>IF(ISNUMBER(deployment_raw[[#This Row],[Column7]]), (deployment_raw[[#This Row],[Column7]] * IF($E$2="Deployment",deployment_raw[[#This Row],[Column5]],1))/1048576,"")</f>
        <v/>
      </c>
      <c r="H285" s="95" t="str">
        <f>IF(ISNUMBER(deployment_raw[[#This Row],[Column8]]), (deployment_raw[[#This Row],[Column8]]  * IF($E$2="Deployment",deployment_raw[[#This Row],[Column5]],1)),"")</f>
        <v/>
      </c>
      <c r="I285" s="96" t="str">
        <f>IF(ISNUMBER(deployment_raw[[#This Row],[Column9]]), (deployment_raw[[#This Row],[Column9]] * IF($E$2="Deployment",deployment_raw[[#This Row],[Column5]],1))/1048576,"")</f>
        <v/>
      </c>
      <c r="J285" s="122" t="str">
        <f>IF(ISNUMBER(deployment_raw[[#This Row],[Column10]]), (MIN(IF(N285&lt;&gt;"",N285,9999999999999)*1.1,deployment_raw[[#This Row],[Column10]] * IF($E$2="Deployment",deployment_raw[[#This Row],[Column5]],1))),"")</f>
        <v/>
      </c>
      <c r="K285" s="123" t="str">
        <f>IF(ISNUMBER(deployment_raw[[#This Row],[Column11]]), (MIN(IF(O285&lt;&gt;"",O285,9999999999999)*1.1,deployment_raw[[#This Row],[Column11]] * IF($E$2="Deployment",deployment_raw[[#This Row],[Column5]],1)/1048576)),"")</f>
        <v/>
      </c>
      <c r="L285" s="124" t="str">
        <f>IF(ISNUMBER(deployment_raw[[#This Row],[Column8]]),IF(OR(deployment_raw[[#This Row],[Column5]] &lt;&gt; 0,$E$2 &lt;&gt; "Deployment"), MAX(J285, P285, R285, ($L$2 * IF($E$2="Deployment",deployment_raw[[#This Row],[Column5]],1)),IF(T285&lt;&gt;"",VALUE(T285) * IF($E$2="Deployment",deployment_raw[[#This Row],[Column5]],1),0)), 0),"")</f>
        <v/>
      </c>
      <c r="M285" s="125" t="str">
        <f>IF(ISNUMBER(deployment_raw[[#This Row],[Column9]]),IF(OR(deployment_raw[[#This Row],[Column5]] &lt;&gt; 0,$E$2&lt;&gt;"Deployment"), MAX(K285, Q285, S285, ($M$2 * IF($E$2="Deployment",deployment_raw[[#This Row],[Column5]],1)),IF(U285&lt;&gt;"",VALUE(U285) * IF($E$2="Deployment",deployment_raw[[#This Row],[Column5]],1),0)), 0),"")</f>
        <v/>
      </c>
      <c r="N285" s="166" t="str">
        <f>IF(ISNUMBER(deployment_raw[[#This Row],[Column14]]), deployment_raw[[#This Row],[Column14]]/IF(OR($E$2="Deployment",deployment_raw[[#This Row],[Column5]]=0),1,deployment_raw[[#This Row],[Column5]]),"")</f>
        <v/>
      </c>
      <c r="O285" s="167" t="str">
        <f>IF(ISNUMBER(deployment_raw[[#This Row],[Column15]]), deployment_raw[[#This Row],[Column15]]/IF(OR($E$2="Deployment",deployment_raw[[#This Row],[Column5]]=0),1,deployment_raw[[#This Row],[Column5]])/1048576,"")</f>
        <v/>
      </c>
      <c r="P285" s="168" t="str">
        <f>IF(ISNUMBER(deployment_raw[[#This Row],[Column12]]), (MIN(IF(N285&lt;&gt;"",N285,9999999999999)*1.1,deployment_raw[[#This Row],[Column12]] * IF($E$2="Deployment",deployment_raw[[#This Row],[Column5]],1))*(1+$P$2)),"")</f>
        <v/>
      </c>
      <c r="Q285" s="167" t="str">
        <f>IF(ISNUMBER(deployment_raw[[#This Row],[Column13]]), (MIN(IF(O285&lt;&gt;"",O285,9999999999999)*1.1,deployment_raw[[#This Row],[Column13]] * IF($E$2="Deployment",deployment_raw[[#This Row],[Column5]],1)*(1+$Q$2)/1048576)),"")</f>
        <v/>
      </c>
      <c r="R285" s="169" t="str">
        <f>IF(ISNUMBER(deployment_raw[[#This Row],[Column8]]), (H285  * IF(N285&lt;&gt;0,$R$2,1)),"")</f>
        <v/>
      </c>
      <c r="S285" s="170" t="str">
        <f>IF(ISNUMBER(deployment_raw[[#This Row],[Column8]]), (I285  * IF(O285&lt;&gt;0,$S$2,1)),"")</f>
        <v/>
      </c>
      <c r="T285" s="202" t="str">
        <f>IF(AND(A285&lt;&gt;"",_xlfn.IFNA(MATCH(A285,'dynamic resource application '!$A$2:$A$100, 0),0)&lt;&gt;0), H285/(IF($E$2="Deployment",E285,1)),"")</f>
        <v/>
      </c>
      <c r="U285" s="211" t="str">
        <f>IF(AND(A285&lt;&gt;"",_xlfn.IFNA(MATCH(A285,'dynamic resource application '!$A$2:$A$100, 0),0)&lt;&gt;0), I285/(IF($E$2="Deployment",E285,1)),"")</f>
        <v/>
      </c>
    </row>
    <row r="286" spans="1:21" ht="15.75" customHeight="1" x14ac:dyDescent="0.25">
      <c r="A286" s="35" t="str">
        <f>IF(ISNONTEXT(deployment_raw[[#This Row],[Column1]]), "", deployment_raw[[#This Row],[Column1]])</f>
        <v/>
      </c>
      <c r="B286" s="36" t="str">
        <f>IF(ISNONTEXT(deployment_raw[[#This Row],[Column2]]), "", deployment_raw[[#This Row],[Column2]])</f>
        <v/>
      </c>
      <c r="C286" s="36" t="str">
        <f>IF(ISNONTEXT(deployment_raw[[#This Row],[Column3]]), "", deployment_raw[[#This Row],[Column3]])</f>
        <v/>
      </c>
      <c r="D286" s="36" t="str">
        <f>IF(ISNONTEXT(deployment_raw[[#This Row],[Column4]]), "", deployment_raw[[#This Row],[Column4]])</f>
        <v/>
      </c>
      <c r="E286" s="37" t="str">
        <f>IF(ISNUMBER(deployment_raw[[#This Row],[Column5]]), deployment_raw[[#This Row],[Column5]],"")</f>
        <v/>
      </c>
      <c r="F286" s="94" t="str">
        <f>IF(ISNUMBER(deployment_raw[[#This Row],[Column6]]), (deployment_raw[[#This Row],[Column6]] * IF($E$2="Deployment",deployment_raw[[#This Row],[Column5]],1)),"")</f>
        <v/>
      </c>
      <c r="G286" s="95" t="str">
        <f>IF(ISNUMBER(deployment_raw[[#This Row],[Column7]]), (deployment_raw[[#This Row],[Column7]] * IF($E$2="Deployment",deployment_raw[[#This Row],[Column5]],1))/1048576,"")</f>
        <v/>
      </c>
      <c r="H286" s="95" t="str">
        <f>IF(ISNUMBER(deployment_raw[[#This Row],[Column8]]), (deployment_raw[[#This Row],[Column8]]  * IF($E$2="Deployment",deployment_raw[[#This Row],[Column5]],1)),"")</f>
        <v/>
      </c>
      <c r="I286" s="96" t="str">
        <f>IF(ISNUMBER(deployment_raw[[#This Row],[Column9]]), (deployment_raw[[#This Row],[Column9]] * IF($E$2="Deployment",deployment_raw[[#This Row],[Column5]],1))/1048576,"")</f>
        <v/>
      </c>
      <c r="J286" s="122" t="str">
        <f>IF(ISNUMBER(deployment_raw[[#This Row],[Column10]]), (MIN(IF(N286&lt;&gt;"",N286,9999999999999)*1.1,deployment_raw[[#This Row],[Column10]] * IF($E$2="Deployment",deployment_raw[[#This Row],[Column5]],1))),"")</f>
        <v/>
      </c>
      <c r="K286" s="123" t="str">
        <f>IF(ISNUMBER(deployment_raw[[#This Row],[Column11]]), (MIN(IF(O286&lt;&gt;"",O286,9999999999999)*1.1,deployment_raw[[#This Row],[Column11]] * IF($E$2="Deployment",deployment_raw[[#This Row],[Column5]],1)/1048576)),"")</f>
        <v/>
      </c>
      <c r="L286" s="124" t="str">
        <f>IF(ISNUMBER(deployment_raw[[#This Row],[Column8]]),IF(OR(deployment_raw[[#This Row],[Column5]] &lt;&gt; 0,$E$2 &lt;&gt; "Deployment"), MAX(J286, P286, R286, ($L$2 * IF($E$2="Deployment",deployment_raw[[#This Row],[Column5]],1)),IF(T286&lt;&gt;"",VALUE(T286) * IF($E$2="Deployment",deployment_raw[[#This Row],[Column5]],1),0)), 0),"")</f>
        <v/>
      </c>
      <c r="M286" s="125" t="str">
        <f>IF(ISNUMBER(deployment_raw[[#This Row],[Column9]]),IF(OR(deployment_raw[[#This Row],[Column5]] &lt;&gt; 0,$E$2&lt;&gt;"Deployment"), MAX(K286, Q286, S286, ($M$2 * IF($E$2="Deployment",deployment_raw[[#This Row],[Column5]],1)),IF(U286&lt;&gt;"",VALUE(U286) * IF($E$2="Deployment",deployment_raw[[#This Row],[Column5]],1),0)), 0),"")</f>
        <v/>
      </c>
      <c r="N286" s="166" t="str">
        <f>IF(ISNUMBER(deployment_raw[[#This Row],[Column14]]), deployment_raw[[#This Row],[Column14]]/IF(OR($E$2="Deployment",deployment_raw[[#This Row],[Column5]]=0),1,deployment_raw[[#This Row],[Column5]]),"")</f>
        <v/>
      </c>
      <c r="O286" s="167" t="str">
        <f>IF(ISNUMBER(deployment_raw[[#This Row],[Column15]]), deployment_raw[[#This Row],[Column15]]/IF(OR($E$2="Deployment",deployment_raw[[#This Row],[Column5]]=0),1,deployment_raw[[#This Row],[Column5]])/1048576,"")</f>
        <v/>
      </c>
      <c r="P286" s="168" t="str">
        <f>IF(ISNUMBER(deployment_raw[[#This Row],[Column12]]), (MIN(IF(N286&lt;&gt;"",N286,9999999999999)*1.1,deployment_raw[[#This Row],[Column12]] * IF($E$2="Deployment",deployment_raw[[#This Row],[Column5]],1))*(1+$P$2)),"")</f>
        <v/>
      </c>
      <c r="Q286" s="167" t="str">
        <f>IF(ISNUMBER(deployment_raw[[#This Row],[Column13]]), (MIN(IF(O286&lt;&gt;"",O286,9999999999999)*1.1,deployment_raw[[#This Row],[Column13]] * IF($E$2="Deployment",deployment_raw[[#This Row],[Column5]],1)*(1+$Q$2)/1048576)),"")</f>
        <v/>
      </c>
      <c r="R286" s="169" t="str">
        <f>IF(ISNUMBER(deployment_raw[[#This Row],[Column8]]), (H286  * IF(N286&lt;&gt;0,$R$2,1)),"")</f>
        <v/>
      </c>
      <c r="S286" s="170" t="str">
        <f>IF(ISNUMBER(deployment_raw[[#This Row],[Column8]]), (I286  * IF(O286&lt;&gt;0,$S$2,1)),"")</f>
        <v/>
      </c>
      <c r="T286" s="202" t="str">
        <f>IF(AND(A286&lt;&gt;"",_xlfn.IFNA(MATCH(A286,'dynamic resource application '!$A$2:$A$100, 0),0)&lt;&gt;0), H286/(IF($E$2="Deployment",E286,1)),"")</f>
        <v/>
      </c>
      <c r="U286" s="211" t="str">
        <f>IF(AND(A286&lt;&gt;"",_xlfn.IFNA(MATCH(A286,'dynamic resource application '!$A$2:$A$100, 0),0)&lt;&gt;0), I286/(IF($E$2="Deployment",E286,1)),"")</f>
        <v/>
      </c>
    </row>
    <row r="287" spans="1:21" ht="15.75" customHeight="1" x14ac:dyDescent="0.25">
      <c r="A287" s="35" t="str">
        <f>IF(ISNONTEXT(deployment_raw[[#This Row],[Column1]]), "", deployment_raw[[#This Row],[Column1]])</f>
        <v/>
      </c>
      <c r="B287" s="36" t="str">
        <f>IF(ISNONTEXT(deployment_raw[[#This Row],[Column2]]), "", deployment_raw[[#This Row],[Column2]])</f>
        <v/>
      </c>
      <c r="C287" s="36" t="str">
        <f>IF(ISNONTEXT(deployment_raw[[#This Row],[Column3]]), "", deployment_raw[[#This Row],[Column3]])</f>
        <v/>
      </c>
      <c r="D287" s="36" t="str">
        <f>IF(ISNONTEXT(deployment_raw[[#This Row],[Column4]]), "", deployment_raw[[#This Row],[Column4]])</f>
        <v/>
      </c>
      <c r="E287" s="37" t="str">
        <f>IF(ISNUMBER(deployment_raw[[#This Row],[Column5]]), deployment_raw[[#This Row],[Column5]],"")</f>
        <v/>
      </c>
      <c r="F287" s="94" t="str">
        <f>IF(ISNUMBER(deployment_raw[[#This Row],[Column6]]), (deployment_raw[[#This Row],[Column6]] * IF($E$2="Deployment",deployment_raw[[#This Row],[Column5]],1)),"")</f>
        <v/>
      </c>
      <c r="G287" s="95" t="str">
        <f>IF(ISNUMBER(deployment_raw[[#This Row],[Column7]]), (deployment_raw[[#This Row],[Column7]] * IF($E$2="Deployment",deployment_raw[[#This Row],[Column5]],1))/1048576,"")</f>
        <v/>
      </c>
      <c r="H287" s="95" t="str">
        <f>IF(ISNUMBER(deployment_raw[[#This Row],[Column8]]), (deployment_raw[[#This Row],[Column8]]  * IF($E$2="Deployment",deployment_raw[[#This Row],[Column5]],1)),"")</f>
        <v/>
      </c>
      <c r="I287" s="96" t="str">
        <f>IF(ISNUMBER(deployment_raw[[#This Row],[Column9]]), (deployment_raw[[#This Row],[Column9]] * IF($E$2="Deployment",deployment_raw[[#This Row],[Column5]],1))/1048576,"")</f>
        <v/>
      </c>
      <c r="J287" s="122" t="str">
        <f>IF(ISNUMBER(deployment_raw[[#This Row],[Column10]]), (MIN(IF(N287&lt;&gt;"",N287,9999999999999)*1.1,deployment_raw[[#This Row],[Column10]] * IF($E$2="Deployment",deployment_raw[[#This Row],[Column5]],1))),"")</f>
        <v/>
      </c>
      <c r="K287" s="123" t="str">
        <f>IF(ISNUMBER(deployment_raw[[#This Row],[Column11]]), (MIN(IF(O287&lt;&gt;"",O287,9999999999999)*1.1,deployment_raw[[#This Row],[Column11]] * IF($E$2="Deployment",deployment_raw[[#This Row],[Column5]],1)/1048576)),"")</f>
        <v/>
      </c>
      <c r="L287" s="124" t="str">
        <f>IF(ISNUMBER(deployment_raw[[#This Row],[Column8]]),IF(OR(deployment_raw[[#This Row],[Column5]] &lt;&gt; 0,$E$2 &lt;&gt; "Deployment"), MAX(J287, P287, R287, ($L$2 * IF($E$2="Deployment",deployment_raw[[#This Row],[Column5]],1)),IF(T287&lt;&gt;"",VALUE(T287) * IF($E$2="Deployment",deployment_raw[[#This Row],[Column5]],1),0)), 0),"")</f>
        <v/>
      </c>
      <c r="M287" s="125" t="str">
        <f>IF(ISNUMBER(deployment_raw[[#This Row],[Column9]]),IF(OR(deployment_raw[[#This Row],[Column5]] &lt;&gt; 0,$E$2&lt;&gt;"Deployment"), MAX(K287, Q287, S287, ($M$2 * IF($E$2="Deployment",deployment_raw[[#This Row],[Column5]],1)),IF(U287&lt;&gt;"",VALUE(U287) * IF($E$2="Deployment",deployment_raw[[#This Row],[Column5]],1),0)), 0),"")</f>
        <v/>
      </c>
      <c r="N287" s="166" t="str">
        <f>IF(ISNUMBER(deployment_raw[[#This Row],[Column14]]), deployment_raw[[#This Row],[Column14]]/IF(OR($E$2="Deployment",deployment_raw[[#This Row],[Column5]]=0),1,deployment_raw[[#This Row],[Column5]]),"")</f>
        <v/>
      </c>
      <c r="O287" s="167" t="str">
        <f>IF(ISNUMBER(deployment_raw[[#This Row],[Column15]]), deployment_raw[[#This Row],[Column15]]/IF(OR($E$2="Deployment",deployment_raw[[#This Row],[Column5]]=0),1,deployment_raw[[#This Row],[Column5]])/1048576,"")</f>
        <v/>
      </c>
      <c r="P287" s="168" t="str">
        <f>IF(ISNUMBER(deployment_raw[[#This Row],[Column12]]), (MIN(IF(N287&lt;&gt;"",N287,9999999999999)*1.1,deployment_raw[[#This Row],[Column12]] * IF($E$2="Deployment",deployment_raw[[#This Row],[Column5]],1))*(1+$P$2)),"")</f>
        <v/>
      </c>
      <c r="Q287" s="167" t="str">
        <f>IF(ISNUMBER(deployment_raw[[#This Row],[Column13]]), (MIN(IF(O287&lt;&gt;"",O287,9999999999999)*1.1,deployment_raw[[#This Row],[Column13]] * IF($E$2="Deployment",deployment_raw[[#This Row],[Column5]],1)*(1+$Q$2)/1048576)),"")</f>
        <v/>
      </c>
      <c r="R287" s="169" t="str">
        <f>IF(ISNUMBER(deployment_raw[[#This Row],[Column8]]), (H287  * IF(N287&lt;&gt;0,$R$2,1)),"")</f>
        <v/>
      </c>
      <c r="S287" s="170" t="str">
        <f>IF(ISNUMBER(deployment_raw[[#This Row],[Column8]]), (I287  * IF(O287&lt;&gt;0,$S$2,1)),"")</f>
        <v/>
      </c>
      <c r="T287" s="202" t="str">
        <f>IF(AND(A287&lt;&gt;"",_xlfn.IFNA(MATCH(A287,'dynamic resource application '!$A$2:$A$100, 0),0)&lt;&gt;0), H287/(IF($E$2="Deployment",E287,1)),"")</f>
        <v/>
      </c>
      <c r="U287" s="211" t="str">
        <f>IF(AND(A287&lt;&gt;"",_xlfn.IFNA(MATCH(A287,'dynamic resource application '!$A$2:$A$100, 0),0)&lt;&gt;0), I287/(IF($E$2="Deployment",E287,1)),"")</f>
        <v/>
      </c>
    </row>
    <row r="288" spans="1:21" ht="15.75" customHeight="1" x14ac:dyDescent="0.25">
      <c r="A288" s="35" t="str">
        <f>IF(ISNONTEXT(deployment_raw[[#This Row],[Column1]]), "", deployment_raw[[#This Row],[Column1]])</f>
        <v/>
      </c>
      <c r="B288" s="36" t="str">
        <f>IF(ISNONTEXT(deployment_raw[[#This Row],[Column2]]), "", deployment_raw[[#This Row],[Column2]])</f>
        <v/>
      </c>
      <c r="C288" s="36" t="str">
        <f>IF(ISNONTEXT(deployment_raw[[#This Row],[Column3]]), "", deployment_raw[[#This Row],[Column3]])</f>
        <v/>
      </c>
      <c r="D288" s="36" t="str">
        <f>IF(ISNONTEXT(deployment_raw[[#This Row],[Column4]]), "", deployment_raw[[#This Row],[Column4]])</f>
        <v/>
      </c>
      <c r="E288" s="37" t="str">
        <f>IF(ISNUMBER(deployment_raw[[#This Row],[Column5]]), deployment_raw[[#This Row],[Column5]],"")</f>
        <v/>
      </c>
      <c r="F288" s="94" t="str">
        <f>IF(ISNUMBER(deployment_raw[[#This Row],[Column6]]), (deployment_raw[[#This Row],[Column6]] * IF($E$2="Deployment",deployment_raw[[#This Row],[Column5]],1)),"")</f>
        <v/>
      </c>
      <c r="G288" s="95" t="str">
        <f>IF(ISNUMBER(deployment_raw[[#This Row],[Column7]]), (deployment_raw[[#This Row],[Column7]] * IF($E$2="Deployment",deployment_raw[[#This Row],[Column5]],1))/1048576,"")</f>
        <v/>
      </c>
      <c r="H288" s="95" t="str">
        <f>IF(ISNUMBER(deployment_raw[[#This Row],[Column8]]), (deployment_raw[[#This Row],[Column8]]  * IF($E$2="Deployment",deployment_raw[[#This Row],[Column5]],1)),"")</f>
        <v/>
      </c>
      <c r="I288" s="96" t="str">
        <f>IF(ISNUMBER(deployment_raw[[#This Row],[Column9]]), (deployment_raw[[#This Row],[Column9]] * IF($E$2="Deployment",deployment_raw[[#This Row],[Column5]],1))/1048576,"")</f>
        <v/>
      </c>
      <c r="J288" s="122" t="str">
        <f>IF(ISNUMBER(deployment_raw[[#This Row],[Column10]]), (MIN(IF(N288&lt;&gt;"",N288,9999999999999)*1.1,deployment_raw[[#This Row],[Column10]] * IF($E$2="Deployment",deployment_raw[[#This Row],[Column5]],1))),"")</f>
        <v/>
      </c>
      <c r="K288" s="123" t="str">
        <f>IF(ISNUMBER(deployment_raw[[#This Row],[Column11]]), (MIN(IF(O288&lt;&gt;"",O288,9999999999999)*1.1,deployment_raw[[#This Row],[Column11]] * IF($E$2="Deployment",deployment_raw[[#This Row],[Column5]],1)/1048576)),"")</f>
        <v/>
      </c>
      <c r="L288" s="124" t="str">
        <f>IF(ISNUMBER(deployment_raw[[#This Row],[Column8]]),IF(OR(deployment_raw[[#This Row],[Column5]] &lt;&gt; 0,$E$2 &lt;&gt; "Deployment"), MAX(J288, P288, R288, ($L$2 * IF($E$2="Deployment",deployment_raw[[#This Row],[Column5]],1)),IF(T288&lt;&gt;"",VALUE(T288) * IF($E$2="Deployment",deployment_raw[[#This Row],[Column5]],1),0)), 0),"")</f>
        <v/>
      </c>
      <c r="M288" s="125" t="str">
        <f>IF(ISNUMBER(deployment_raw[[#This Row],[Column9]]),IF(OR(deployment_raw[[#This Row],[Column5]] &lt;&gt; 0,$E$2&lt;&gt;"Deployment"), MAX(K288, Q288, S288, ($M$2 * IF($E$2="Deployment",deployment_raw[[#This Row],[Column5]],1)),IF(U288&lt;&gt;"",VALUE(U288) * IF($E$2="Deployment",deployment_raw[[#This Row],[Column5]],1),0)), 0),"")</f>
        <v/>
      </c>
      <c r="N288" s="166" t="str">
        <f>IF(ISNUMBER(deployment_raw[[#This Row],[Column14]]), deployment_raw[[#This Row],[Column14]]/IF(OR($E$2="Deployment",deployment_raw[[#This Row],[Column5]]=0),1,deployment_raw[[#This Row],[Column5]]),"")</f>
        <v/>
      </c>
      <c r="O288" s="167" t="str">
        <f>IF(ISNUMBER(deployment_raw[[#This Row],[Column15]]), deployment_raw[[#This Row],[Column15]]/IF(OR($E$2="Deployment",deployment_raw[[#This Row],[Column5]]=0),1,deployment_raw[[#This Row],[Column5]])/1048576,"")</f>
        <v/>
      </c>
      <c r="P288" s="168" t="str">
        <f>IF(ISNUMBER(deployment_raw[[#This Row],[Column12]]), (MIN(IF(N288&lt;&gt;"",N288,9999999999999)*1.1,deployment_raw[[#This Row],[Column12]] * IF($E$2="Deployment",deployment_raw[[#This Row],[Column5]],1))*(1+$P$2)),"")</f>
        <v/>
      </c>
      <c r="Q288" s="167" t="str">
        <f>IF(ISNUMBER(deployment_raw[[#This Row],[Column13]]), (MIN(IF(O288&lt;&gt;"",O288,9999999999999)*1.1,deployment_raw[[#This Row],[Column13]] * IF($E$2="Deployment",deployment_raw[[#This Row],[Column5]],1)*(1+$Q$2)/1048576)),"")</f>
        <v/>
      </c>
      <c r="R288" s="169" t="str">
        <f>IF(ISNUMBER(deployment_raw[[#This Row],[Column8]]), (H288  * IF(N288&lt;&gt;0,$R$2,1)),"")</f>
        <v/>
      </c>
      <c r="S288" s="170" t="str">
        <f>IF(ISNUMBER(deployment_raw[[#This Row],[Column8]]), (I288  * IF(O288&lt;&gt;0,$S$2,1)),"")</f>
        <v/>
      </c>
      <c r="T288" s="202" t="str">
        <f>IF(AND(A288&lt;&gt;"",_xlfn.IFNA(MATCH(A288,'dynamic resource application '!$A$2:$A$100, 0),0)&lt;&gt;0), H288/(IF($E$2="Deployment",E288,1)),"")</f>
        <v/>
      </c>
      <c r="U288" s="211" t="str">
        <f>IF(AND(A288&lt;&gt;"",_xlfn.IFNA(MATCH(A288,'dynamic resource application '!$A$2:$A$100, 0),0)&lt;&gt;0), I288/(IF($E$2="Deployment",E288,1)),"")</f>
        <v/>
      </c>
    </row>
    <row r="289" spans="1:21" ht="15.75" customHeight="1" x14ac:dyDescent="0.25">
      <c r="A289" s="35" t="str">
        <f>IF(ISNONTEXT(deployment_raw[[#This Row],[Column1]]), "", deployment_raw[[#This Row],[Column1]])</f>
        <v/>
      </c>
      <c r="B289" s="36" t="str">
        <f>IF(ISNONTEXT(deployment_raw[[#This Row],[Column2]]), "", deployment_raw[[#This Row],[Column2]])</f>
        <v/>
      </c>
      <c r="C289" s="36" t="str">
        <f>IF(ISNONTEXT(deployment_raw[[#This Row],[Column3]]), "", deployment_raw[[#This Row],[Column3]])</f>
        <v/>
      </c>
      <c r="D289" s="36" t="str">
        <f>IF(ISNONTEXT(deployment_raw[[#This Row],[Column4]]), "", deployment_raw[[#This Row],[Column4]])</f>
        <v/>
      </c>
      <c r="E289" s="37" t="str">
        <f>IF(ISNUMBER(deployment_raw[[#This Row],[Column5]]), deployment_raw[[#This Row],[Column5]],"")</f>
        <v/>
      </c>
      <c r="F289" s="94" t="str">
        <f>IF(ISNUMBER(deployment_raw[[#This Row],[Column6]]), (deployment_raw[[#This Row],[Column6]] * IF($E$2="Deployment",deployment_raw[[#This Row],[Column5]],1)),"")</f>
        <v/>
      </c>
      <c r="G289" s="95" t="str">
        <f>IF(ISNUMBER(deployment_raw[[#This Row],[Column7]]), (deployment_raw[[#This Row],[Column7]] * IF($E$2="Deployment",deployment_raw[[#This Row],[Column5]],1))/1048576,"")</f>
        <v/>
      </c>
      <c r="H289" s="95" t="str">
        <f>IF(ISNUMBER(deployment_raw[[#This Row],[Column8]]), (deployment_raw[[#This Row],[Column8]]  * IF($E$2="Deployment",deployment_raw[[#This Row],[Column5]],1)),"")</f>
        <v/>
      </c>
      <c r="I289" s="96" t="str">
        <f>IF(ISNUMBER(deployment_raw[[#This Row],[Column9]]), (deployment_raw[[#This Row],[Column9]] * IF($E$2="Deployment",deployment_raw[[#This Row],[Column5]],1))/1048576,"")</f>
        <v/>
      </c>
      <c r="J289" s="122" t="str">
        <f>IF(ISNUMBER(deployment_raw[[#This Row],[Column10]]), (MIN(IF(N289&lt;&gt;"",N289,9999999999999)*1.1,deployment_raw[[#This Row],[Column10]] * IF($E$2="Deployment",deployment_raw[[#This Row],[Column5]],1))),"")</f>
        <v/>
      </c>
      <c r="K289" s="123" t="str">
        <f>IF(ISNUMBER(deployment_raw[[#This Row],[Column11]]), (MIN(IF(O289&lt;&gt;"",O289,9999999999999)*1.1,deployment_raw[[#This Row],[Column11]] * IF($E$2="Deployment",deployment_raw[[#This Row],[Column5]],1)/1048576)),"")</f>
        <v/>
      </c>
      <c r="L289" s="124" t="str">
        <f>IF(ISNUMBER(deployment_raw[[#This Row],[Column8]]),IF(OR(deployment_raw[[#This Row],[Column5]] &lt;&gt; 0,$E$2 &lt;&gt; "Deployment"), MAX(J289, P289, R289, ($L$2 * IF($E$2="Deployment",deployment_raw[[#This Row],[Column5]],1)),IF(T289&lt;&gt;"",VALUE(T289) * IF($E$2="Deployment",deployment_raw[[#This Row],[Column5]],1),0)), 0),"")</f>
        <v/>
      </c>
      <c r="M289" s="125" t="str">
        <f>IF(ISNUMBER(deployment_raw[[#This Row],[Column9]]),IF(OR(deployment_raw[[#This Row],[Column5]] &lt;&gt; 0,$E$2&lt;&gt;"Deployment"), MAX(K289, Q289, S289, ($M$2 * IF($E$2="Deployment",deployment_raw[[#This Row],[Column5]],1)),IF(U289&lt;&gt;"",VALUE(U289) * IF($E$2="Deployment",deployment_raw[[#This Row],[Column5]],1),0)), 0),"")</f>
        <v/>
      </c>
      <c r="N289" s="166" t="str">
        <f>IF(ISNUMBER(deployment_raw[[#This Row],[Column14]]), deployment_raw[[#This Row],[Column14]]/IF(OR($E$2="Deployment",deployment_raw[[#This Row],[Column5]]=0),1,deployment_raw[[#This Row],[Column5]]),"")</f>
        <v/>
      </c>
      <c r="O289" s="167" t="str">
        <f>IF(ISNUMBER(deployment_raw[[#This Row],[Column15]]), deployment_raw[[#This Row],[Column15]]/IF(OR($E$2="Deployment",deployment_raw[[#This Row],[Column5]]=0),1,deployment_raw[[#This Row],[Column5]])/1048576,"")</f>
        <v/>
      </c>
      <c r="P289" s="168" t="str">
        <f>IF(ISNUMBER(deployment_raw[[#This Row],[Column12]]), (MIN(IF(N289&lt;&gt;"",N289,9999999999999)*1.1,deployment_raw[[#This Row],[Column12]] * IF($E$2="Deployment",deployment_raw[[#This Row],[Column5]],1))*(1+$P$2)),"")</f>
        <v/>
      </c>
      <c r="Q289" s="167" t="str">
        <f>IF(ISNUMBER(deployment_raw[[#This Row],[Column13]]), (MIN(IF(O289&lt;&gt;"",O289,9999999999999)*1.1,deployment_raw[[#This Row],[Column13]] * IF($E$2="Deployment",deployment_raw[[#This Row],[Column5]],1)*(1+$Q$2)/1048576)),"")</f>
        <v/>
      </c>
      <c r="R289" s="169" t="str">
        <f>IF(ISNUMBER(deployment_raw[[#This Row],[Column8]]), (H289  * IF(N289&lt;&gt;0,$R$2,1)),"")</f>
        <v/>
      </c>
      <c r="S289" s="170" t="str">
        <f>IF(ISNUMBER(deployment_raw[[#This Row],[Column8]]), (I289  * IF(O289&lt;&gt;0,$S$2,1)),"")</f>
        <v/>
      </c>
      <c r="T289" s="202" t="str">
        <f>IF(AND(A289&lt;&gt;"",_xlfn.IFNA(MATCH(A289,'dynamic resource application '!$A$2:$A$100, 0),0)&lt;&gt;0), H289/(IF($E$2="Deployment",E289,1)),"")</f>
        <v/>
      </c>
      <c r="U289" s="211" t="str">
        <f>IF(AND(A289&lt;&gt;"",_xlfn.IFNA(MATCH(A289,'dynamic resource application '!$A$2:$A$100, 0),0)&lt;&gt;0), I289/(IF($E$2="Deployment",E289,1)),"")</f>
        <v/>
      </c>
    </row>
    <row r="290" spans="1:21" ht="15.75" customHeight="1" x14ac:dyDescent="0.25">
      <c r="A290" s="35" t="str">
        <f>IF(ISNONTEXT(deployment_raw[[#This Row],[Column1]]), "", deployment_raw[[#This Row],[Column1]])</f>
        <v/>
      </c>
      <c r="B290" s="36" t="str">
        <f>IF(ISNONTEXT(deployment_raw[[#This Row],[Column2]]), "", deployment_raw[[#This Row],[Column2]])</f>
        <v/>
      </c>
      <c r="C290" s="36" t="str">
        <f>IF(ISNONTEXT(deployment_raw[[#This Row],[Column3]]), "", deployment_raw[[#This Row],[Column3]])</f>
        <v/>
      </c>
      <c r="D290" s="36" t="str">
        <f>IF(ISNONTEXT(deployment_raw[[#This Row],[Column4]]), "", deployment_raw[[#This Row],[Column4]])</f>
        <v/>
      </c>
      <c r="E290" s="37" t="str">
        <f>IF(ISNUMBER(deployment_raw[[#This Row],[Column5]]), deployment_raw[[#This Row],[Column5]],"")</f>
        <v/>
      </c>
      <c r="F290" s="94" t="str">
        <f>IF(ISNUMBER(deployment_raw[[#This Row],[Column6]]), (deployment_raw[[#This Row],[Column6]] * IF($E$2="Deployment",deployment_raw[[#This Row],[Column5]],1)),"")</f>
        <v/>
      </c>
      <c r="G290" s="95" t="str">
        <f>IF(ISNUMBER(deployment_raw[[#This Row],[Column7]]), (deployment_raw[[#This Row],[Column7]] * IF($E$2="Deployment",deployment_raw[[#This Row],[Column5]],1))/1048576,"")</f>
        <v/>
      </c>
      <c r="H290" s="95" t="str">
        <f>IF(ISNUMBER(deployment_raw[[#This Row],[Column8]]), (deployment_raw[[#This Row],[Column8]]  * IF($E$2="Deployment",deployment_raw[[#This Row],[Column5]],1)),"")</f>
        <v/>
      </c>
      <c r="I290" s="96" t="str">
        <f>IF(ISNUMBER(deployment_raw[[#This Row],[Column9]]), (deployment_raw[[#This Row],[Column9]] * IF($E$2="Deployment",deployment_raw[[#This Row],[Column5]],1))/1048576,"")</f>
        <v/>
      </c>
      <c r="J290" s="122" t="str">
        <f>IF(ISNUMBER(deployment_raw[[#This Row],[Column10]]), (MIN(IF(N290&lt;&gt;"",N290,9999999999999)*1.1,deployment_raw[[#This Row],[Column10]] * IF($E$2="Deployment",deployment_raw[[#This Row],[Column5]],1))),"")</f>
        <v/>
      </c>
      <c r="K290" s="123" t="str">
        <f>IF(ISNUMBER(deployment_raw[[#This Row],[Column11]]), (MIN(IF(O290&lt;&gt;"",O290,9999999999999)*1.1,deployment_raw[[#This Row],[Column11]] * IF($E$2="Deployment",deployment_raw[[#This Row],[Column5]],1)/1048576)),"")</f>
        <v/>
      </c>
      <c r="L290" s="124" t="str">
        <f>IF(ISNUMBER(deployment_raw[[#This Row],[Column8]]),IF(OR(deployment_raw[[#This Row],[Column5]] &lt;&gt; 0,$E$2 &lt;&gt; "Deployment"), MAX(J290, P290, R290, ($L$2 * IF($E$2="Deployment",deployment_raw[[#This Row],[Column5]],1)),IF(T290&lt;&gt;"",VALUE(T290) * IF($E$2="Deployment",deployment_raw[[#This Row],[Column5]],1),0)), 0),"")</f>
        <v/>
      </c>
      <c r="M290" s="125" t="str">
        <f>IF(ISNUMBER(deployment_raw[[#This Row],[Column9]]),IF(OR(deployment_raw[[#This Row],[Column5]] &lt;&gt; 0,$E$2&lt;&gt;"Deployment"), MAX(K290, Q290, S290, ($M$2 * IF($E$2="Deployment",deployment_raw[[#This Row],[Column5]],1)),IF(U290&lt;&gt;"",VALUE(U290) * IF($E$2="Deployment",deployment_raw[[#This Row],[Column5]],1),0)), 0),"")</f>
        <v/>
      </c>
      <c r="N290" s="166" t="str">
        <f>IF(ISNUMBER(deployment_raw[[#This Row],[Column14]]), deployment_raw[[#This Row],[Column14]]/IF(OR($E$2="Deployment",deployment_raw[[#This Row],[Column5]]=0),1,deployment_raw[[#This Row],[Column5]]),"")</f>
        <v/>
      </c>
      <c r="O290" s="167" t="str">
        <f>IF(ISNUMBER(deployment_raw[[#This Row],[Column15]]), deployment_raw[[#This Row],[Column15]]/IF(OR($E$2="Deployment",deployment_raw[[#This Row],[Column5]]=0),1,deployment_raw[[#This Row],[Column5]])/1048576,"")</f>
        <v/>
      </c>
      <c r="P290" s="168" t="str">
        <f>IF(ISNUMBER(deployment_raw[[#This Row],[Column12]]), (MIN(IF(N290&lt;&gt;"",N290,9999999999999)*1.1,deployment_raw[[#This Row],[Column12]] * IF($E$2="Deployment",deployment_raw[[#This Row],[Column5]],1))*(1+$P$2)),"")</f>
        <v/>
      </c>
      <c r="Q290" s="167" t="str">
        <f>IF(ISNUMBER(deployment_raw[[#This Row],[Column13]]), (MIN(IF(O290&lt;&gt;"",O290,9999999999999)*1.1,deployment_raw[[#This Row],[Column13]] * IF($E$2="Deployment",deployment_raw[[#This Row],[Column5]],1)*(1+$Q$2)/1048576)),"")</f>
        <v/>
      </c>
      <c r="R290" s="169" t="str">
        <f>IF(ISNUMBER(deployment_raw[[#This Row],[Column8]]), (H290  * IF(N290&lt;&gt;0,$R$2,1)),"")</f>
        <v/>
      </c>
      <c r="S290" s="170" t="str">
        <f>IF(ISNUMBER(deployment_raw[[#This Row],[Column8]]), (I290  * IF(O290&lt;&gt;0,$S$2,1)),"")</f>
        <v/>
      </c>
      <c r="T290" s="202" t="str">
        <f>IF(AND(A290&lt;&gt;"",_xlfn.IFNA(MATCH(A290,'dynamic resource application '!$A$2:$A$100, 0),0)&lt;&gt;0), H290/(IF($E$2="Deployment",E290,1)),"")</f>
        <v/>
      </c>
      <c r="U290" s="211" t="str">
        <f>IF(AND(A290&lt;&gt;"",_xlfn.IFNA(MATCH(A290,'dynamic resource application '!$A$2:$A$100, 0),0)&lt;&gt;0), I290/(IF($E$2="Deployment",E290,1)),"")</f>
        <v/>
      </c>
    </row>
    <row r="291" spans="1:21" ht="15.75" customHeight="1" x14ac:dyDescent="0.25">
      <c r="A291" s="35" t="str">
        <f>IF(ISNONTEXT(deployment_raw[[#This Row],[Column1]]), "", deployment_raw[[#This Row],[Column1]])</f>
        <v/>
      </c>
      <c r="B291" s="36" t="str">
        <f>IF(ISNONTEXT(deployment_raw[[#This Row],[Column2]]), "", deployment_raw[[#This Row],[Column2]])</f>
        <v/>
      </c>
      <c r="C291" s="36" t="str">
        <f>IF(ISNONTEXT(deployment_raw[[#This Row],[Column3]]), "", deployment_raw[[#This Row],[Column3]])</f>
        <v/>
      </c>
      <c r="D291" s="36" t="str">
        <f>IF(ISNONTEXT(deployment_raw[[#This Row],[Column4]]), "", deployment_raw[[#This Row],[Column4]])</f>
        <v/>
      </c>
      <c r="E291" s="37" t="str">
        <f>IF(ISNUMBER(deployment_raw[[#This Row],[Column5]]), deployment_raw[[#This Row],[Column5]],"")</f>
        <v/>
      </c>
      <c r="F291" s="94" t="str">
        <f>IF(ISNUMBER(deployment_raw[[#This Row],[Column6]]), (deployment_raw[[#This Row],[Column6]] * IF($E$2="Deployment",deployment_raw[[#This Row],[Column5]],1)),"")</f>
        <v/>
      </c>
      <c r="G291" s="95" t="str">
        <f>IF(ISNUMBER(deployment_raw[[#This Row],[Column7]]), (deployment_raw[[#This Row],[Column7]] * IF($E$2="Deployment",deployment_raw[[#This Row],[Column5]],1))/1048576,"")</f>
        <v/>
      </c>
      <c r="H291" s="95" t="str">
        <f>IF(ISNUMBER(deployment_raw[[#This Row],[Column8]]), (deployment_raw[[#This Row],[Column8]]  * IF($E$2="Deployment",deployment_raw[[#This Row],[Column5]],1)),"")</f>
        <v/>
      </c>
      <c r="I291" s="96" t="str">
        <f>IF(ISNUMBER(deployment_raw[[#This Row],[Column9]]), (deployment_raw[[#This Row],[Column9]] * IF($E$2="Deployment",deployment_raw[[#This Row],[Column5]],1))/1048576,"")</f>
        <v/>
      </c>
      <c r="J291" s="122" t="str">
        <f>IF(ISNUMBER(deployment_raw[[#This Row],[Column10]]), (MIN(IF(N291&lt;&gt;"",N291,9999999999999)*1.1,deployment_raw[[#This Row],[Column10]] * IF($E$2="Deployment",deployment_raw[[#This Row],[Column5]],1))),"")</f>
        <v/>
      </c>
      <c r="K291" s="123" t="str">
        <f>IF(ISNUMBER(deployment_raw[[#This Row],[Column11]]), (MIN(IF(O291&lt;&gt;"",O291,9999999999999)*1.1,deployment_raw[[#This Row],[Column11]] * IF($E$2="Deployment",deployment_raw[[#This Row],[Column5]],1)/1048576)),"")</f>
        <v/>
      </c>
      <c r="L291" s="124" t="str">
        <f>IF(ISNUMBER(deployment_raw[[#This Row],[Column8]]),IF(OR(deployment_raw[[#This Row],[Column5]] &lt;&gt; 0,$E$2 &lt;&gt; "Deployment"), MAX(J291, P291, R291, ($L$2 * IF($E$2="Deployment",deployment_raw[[#This Row],[Column5]],1)),IF(T291&lt;&gt;"",VALUE(T291) * IF($E$2="Deployment",deployment_raw[[#This Row],[Column5]],1),0)), 0),"")</f>
        <v/>
      </c>
      <c r="M291" s="125" t="str">
        <f>IF(ISNUMBER(deployment_raw[[#This Row],[Column9]]),IF(OR(deployment_raw[[#This Row],[Column5]] &lt;&gt; 0,$E$2&lt;&gt;"Deployment"), MAX(K291, Q291, S291, ($M$2 * IF($E$2="Deployment",deployment_raw[[#This Row],[Column5]],1)),IF(U291&lt;&gt;"",VALUE(U291) * IF($E$2="Deployment",deployment_raw[[#This Row],[Column5]],1),0)), 0),"")</f>
        <v/>
      </c>
      <c r="N291" s="166" t="str">
        <f>IF(ISNUMBER(deployment_raw[[#This Row],[Column14]]), deployment_raw[[#This Row],[Column14]]/IF(OR($E$2="Deployment",deployment_raw[[#This Row],[Column5]]=0),1,deployment_raw[[#This Row],[Column5]]),"")</f>
        <v/>
      </c>
      <c r="O291" s="167" t="str">
        <f>IF(ISNUMBER(deployment_raw[[#This Row],[Column15]]), deployment_raw[[#This Row],[Column15]]/IF(OR($E$2="Deployment",deployment_raw[[#This Row],[Column5]]=0),1,deployment_raw[[#This Row],[Column5]])/1048576,"")</f>
        <v/>
      </c>
      <c r="P291" s="168" t="str">
        <f>IF(ISNUMBER(deployment_raw[[#This Row],[Column12]]), (MIN(IF(N291&lt;&gt;"",N291,9999999999999)*1.1,deployment_raw[[#This Row],[Column12]] * IF($E$2="Deployment",deployment_raw[[#This Row],[Column5]],1))*(1+$P$2)),"")</f>
        <v/>
      </c>
      <c r="Q291" s="167" t="str">
        <f>IF(ISNUMBER(deployment_raw[[#This Row],[Column13]]), (MIN(IF(O291&lt;&gt;"",O291,9999999999999)*1.1,deployment_raw[[#This Row],[Column13]] * IF($E$2="Deployment",deployment_raw[[#This Row],[Column5]],1)*(1+$Q$2)/1048576)),"")</f>
        <v/>
      </c>
      <c r="R291" s="169" t="str">
        <f>IF(ISNUMBER(deployment_raw[[#This Row],[Column8]]), (H291  * IF(N291&lt;&gt;0,$R$2,1)),"")</f>
        <v/>
      </c>
      <c r="S291" s="170" t="str">
        <f>IF(ISNUMBER(deployment_raw[[#This Row],[Column8]]), (I291  * IF(O291&lt;&gt;0,$S$2,1)),"")</f>
        <v/>
      </c>
      <c r="T291" s="202" t="str">
        <f>IF(AND(A291&lt;&gt;"",_xlfn.IFNA(MATCH(A291,'dynamic resource application '!$A$2:$A$100, 0),0)&lt;&gt;0), H291/(IF($E$2="Deployment",E291,1)),"")</f>
        <v/>
      </c>
      <c r="U291" s="211" t="str">
        <f>IF(AND(A291&lt;&gt;"",_xlfn.IFNA(MATCH(A291,'dynamic resource application '!$A$2:$A$100, 0),0)&lt;&gt;0), I291/(IF($E$2="Deployment",E291,1)),"")</f>
        <v/>
      </c>
    </row>
    <row r="292" spans="1:21" ht="15.75" customHeight="1" x14ac:dyDescent="0.25">
      <c r="A292" s="35" t="str">
        <f>IF(ISNONTEXT(deployment_raw[[#This Row],[Column1]]), "", deployment_raw[[#This Row],[Column1]])</f>
        <v/>
      </c>
      <c r="B292" s="36" t="str">
        <f>IF(ISNONTEXT(deployment_raw[[#This Row],[Column2]]), "", deployment_raw[[#This Row],[Column2]])</f>
        <v/>
      </c>
      <c r="C292" s="36" t="str">
        <f>IF(ISNONTEXT(deployment_raw[[#This Row],[Column3]]), "", deployment_raw[[#This Row],[Column3]])</f>
        <v/>
      </c>
      <c r="D292" s="36" t="str">
        <f>IF(ISNONTEXT(deployment_raw[[#This Row],[Column4]]), "", deployment_raw[[#This Row],[Column4]])</f>
        <v/>
      </c>
      <c r="E292" s="37" t="str">
        <f>IF(ISNUMBER(deployment_raw[[#This Row],[Column5]]), deployment_raw[[#This Row],[Column5]],"")</f>
        <v/>
      </c>
      <c r="F292" s="94" t="str">
        <f>IF(ISNUMBER(deployment_raw[[#This Row],[Column6]]), (deployment_raw[[#This Row],[Column6]] * IF($E$2="Deployment",deployment_raw[[#This Row],[Column5]],1)),"")</f>
        <v/>
      </c>
      <c r="G292" s="95" t="str">
        <f>IF(ISNUMBER(deployment_raw[[#This Row],[Column7]]), (deployment_raw[[#This Row],[Column7]] * IF($E$2="Deployment",deployment_raw[[#This Row],[Column5]],1))/1048576,"")</f>
        <v/>
      </c>
      <c r="H292" s="95" t="str">
        <f>IF(ISNUMBER(deployment_raw[[#This Row],[Column8]]), (deployment_raw[[#This Row],[Column8]]  * IF($E$2="Deployment",deployment_raw[[#This Row],[Column5]],1)),"")</f>
        <v/>
      </c>
      <c r="I292" s="96" t="str">
        <f>IF(ISNUMBER(deployment_raw[[#This Row],[Column9]]), (deployment_raw[[#This Row],[Column9]] * IF($E$2="Deployment",deployment_raw[[#This Row],[Column5]],1))/1048576,"")</f>
        <v/>
      </c>
      <c r="J292" s="122" t="str">
        <f>IF(ISNUMBER(deployment_raw[[#This Row],[Column10]]), (MIN(IF(N292&lt;&gt;"",N292,9999999999999)*1.1,deployment_raw[[#This Row],[Column10]] * IF($E$2="Deployment",deployment_raw[[#This Row],[Column5]],1))),"")</f>
        <v/>
      </c>
      <c r="K292" s="123" t="str">
        <f>IF(ISNUMBER(deployment_raw[[#This Row],[Column11]]), (MIN(IF(O292&lt;&gt;"",O292,9999999999999)*1.1,deployment_raw[[#This Row],[Column11]] * IF($E$2="Deployment",deployment_raw[[#This Row],[Column5]],1)/1048576)),"")</f>
        <v/>
      </c>
      <c r="L292" s="124" t="str">
        <f>IF(ISNUMBER(deployment_raw[[#This Row],[Column8]]),IF(OR(deployment_raw[[#This Row],[Column5]] &lt;&gt; 0,$E$2 &lt;&gt; "Deployment"), MAX(J292, P292, R292, ($L$2 * IF($E$2="Deployment",deployment_raw[[#This Row],[Column5]],1)),IF(T292&lt;&gt;"",VALUE(T292) * IF($E$2="Deployment",deployment_raw[[#This Row],[Column5]],1),0)), 0),"")</f>
        <v/>
      </c>
      <c r="M292" s="125" t="str">
        <f>IF(ISNUMBER(deployment_raw[[#This Row],[Column9]]),IF(OR(deployment_raw[[#This Row],[Column5]] &lt;&gt; 0,$E$2&lt;&gt;"Deployment"), MAX(K292, Q292, S292, ($M$2 * IF($E$2="Deployment",deployment_raw[[#This Row],[Column5]],1)),IF(U292&lt;&gt;"",VALUE(U292) * IF($E$2="Deployment",deployment_raw[[#This Row],[Column5]],1),0)), 0),"")</f>
        <v/>
      </c>
      <c r="N292" s="166" t="str">
        <f>IF(ISNUMBER(deployment_raw[[#This Row],[Column14]]), deployment_raw[[#This Row],[Column14]]/IF(OR($E$2="Deployment",deployment_raw[[#This Row],[Column5]]=0),1,deployment_raw[[#This Row],[Column5]]),"")</f>
        <v/>
      </c>
      <c r="O292" s="167" t="str">
        <f>IF(ISNUMBER(deployment_raw[[#This Row],[Column15]]), deployment_raw[[#This Row],[Column15]]/IF(OR($E$2="Deployment",deployment_raw[[#This Row],[Column5]]=0),1,deployment_raw[[#This Row],[Column5]])/1048576,"")</f>
        <v/>
      </c>
      <c r="P292" s="168" t="str">
        <f>IF(ISNUMBER(deployment_raw[[#This Row],[Column12]]), (MIN(IF(N292&lt;&gt;"",N292,9999999999999)*1.1,deployment_raw[[#This Row],[Column12]] * IF($E$2="Deployment",deployment_raw[[#This Row],[Column5]],1))*(1+$P$2)),"")</f>
        <v/>
      </c>
      <c r="Q292" s="167" t="str">
        <f>IF(ISNUMBER(deployment_raw[[#This Row],[Column13]]), (MIN(IF(O292&lt;&gt;"",O292,9999999999999)*1.1,deployment_raw[[#This Row],[Column13]] * IF($E$2="Deployment",deployment_raw[[#This Row],[Column5]],1)*(1+$Q$2)/1048576)),"")</f>
        <v/>
      </c>
      <c r="R292" s="169" t="str">
        <f>IF(ISNUMBER(deployment_raw[[#This Row],[Column8]]), (H292  * IF(N292&lt;&gt;0,$R$2,1)),"")</f>
        <v/>
      </c>
      <c r="S292" s="170" t="str">
        <f>IF(ISNUMBER(deployment_raw[[#This Row],[Column8]]), (I292  * IF(O292&lt;&gt;0,$S$2,1)),"")</f>
        <v/>
      </c>
      <c r="T292" s="202" t="str">
        <f>IF(AND(A292&lt;&gt;"",_xlfn.IFNA(MATCH(A292,'dynamic resource application '!$A$2:$A$100, 0),0)&lt;&gt;0), H292/(IF($E$2="Deployment",E292,1)),"")</f>
        <v/>
      </c>
      <c r="U292" s="211" t="str">
        <f>IF(AND(A292&lt;&gt;"",_xlfn.IFNA(MATCH(A292,'dynamic resource application '!$A$2:$A$100, 0),0)&lt;&gt;0), I292/(IF($E$2="Deployment",E292,1)),"")</f>
        <v/>
      </c>
    </row>
    <row r="293" spans="1:21" ht="15.75" customHeight="1" x14ac:dyDescent="0.25">
      <c r="A293" s="35" t="str">
        <f>IF(ISNONTEXT(deployment_raw[[#This Row],[Column1]]), "", deployment_raw[[#This Row],[Column1]])</f>
        <v/>
      </c>
      <c r="B293" s="36" t="str">
        <f>IF(ISNONTEXT(deployment_raw[[#This Row],[Column2]]), "", deployment_raw[[#This Row],[Column2]])</f>
        <v/>
      </c>
      <c r="C293" s="36" t="str">
        <f>IF(ISNONTEXT(deployment_raw[[#This Row],[Column3]]), "", deployment_raw[[#This Row],[Column3]])</f>
        <v/>
      </c>
      <c r="D293" s="36" t="str">
        <f>IF(ISNONTEXT(deployment_raw[[#This Row],[Column4]]), "", deployment_raw[[#This Row],[Column4]])</f>
        <v/>
      </c>
      <c r="E293" s="37" t="str">
        <f>IF(ISNUMBER(deployment_raw[[#This Row],[Column5]]), deployment_raw[[#This Row],[Column5]],"")</f>
        <v/>
      </c>
      <c r="F293" s="94" t="str">
        <f>IF(ISNUMBER(deployment_raw[[#This Row],[Column6]]), (deployment_raw[[#This Row],[Column6]] * IF($E$2="Deployment",deployment_raw[[#This Row],[Column5]],1)),"")</f>
        <v/>
      </c>
      <c r="G293" s="95" t="str">
        <f>IF(ISNUMBER(deployment_raw[[#This Row],[Column7]]), (deployment_raw[[#This Row],[Column7]] * IF($E$2="Deployment",deployment_raw[[#This Row],[Column5]],1))/1048576,"")</f>
        <v/>
      </c>
      <c r="H293" s="95" t="str">
        <f>IF(ISNUMBER(deployment_raw[[#This Row],[Column8]]), (deployment_raw[[#This Row],[Column8]]  * IF($E$2="Deployment",deployment_raw[[#This Row],[Column5]],1)),"")</f>
        <v/>
      </c>
      <c r="I293" s="96" t="str">
        <f>IF(ISNUMBER(deployment_raw[[#This Row],[Column9]]), (deployment_raw[[#This Row],[Column9]] * IF($E$2="Deployment",deployment_raw[[#This Row],[Column5]],1))/1048576,"")</f>
        <v/>
      </c>
      <c r="J293" s="122" t="str">
        <f>IF(ISNUMBER(deployment_raw[[#This Row],[Column10]]), (MIN(IF(N293&lt;&gt;"",N293,9999999999999)*1.1,deployment_raw[[#This Row],[Column10]] * IF($E$2="Deployment",deployment_raw[[#This Row],[Column5]],1))),"")</f>
        <v/>
      </c>
      <c r="K293" s="123" t="str">
        <f>IF(ISNUMBER(deployment_raw[[#This Row],[Column11]]), (MIN(IF(O293&lt;&gt;"",O293,9999999999999)*1.1,deployment_raw[[#This Row],[Column11]] * IF($E$2="Deployment",deployment_raw[[#This Row],[Column5]],1)/1048576)),"")</f>
        <v/>
      </c>
      <c r="L293" s="124" t="str">
        <f>IF(ISNUMBER(deployment_raw[[#This Row],[Column8]]),IF(OR(deployment_raw[[#This Row],[Column5]] &lt;&gt; 0,$E$2 &lt;&gt; "Deployment"), MAX(J293, P293, R293, ($L$2 * IF($E$2="Deployment",deployment_raw[[#This Row],[Column5]],1)),IF(T293&lt;&gt;"",VALUE(T293) * IF($E$2="Deployment",deployment_raw[[#This Row],[Column5]],1),0)), 0),"")</f>
        <v/>
      </c>
      <c r="M293" s="125" t="str">
        <f>IF(ISNUMBER(deployment_raw[[#This Row],[Column9]]),IF(OR(deployment_raw[[#This Row],[Column5]] &lt;&gt; 0,$E$2&lt;&gt;"Deployment"), MAX(K293, Q293, S293, ($M$2 * IF($E$2="Deployment",deployment_raw[[#This Row],[Column5]],1)),IF(U293&lt;&gt;"",VALUE(U293) * IF($E$2="Deployment",deployment_raw[[#This Row],[Column5]],1),0)), 0),"")</f>
        <v/>
      </c>
      <c r="N293" s="166" t="str">
        <f>IF(ISNUMBER(deployment_raw[[#This Row],[Column14]]), deployment_raw[[#This Row],[Column14]]/IF(OR($E$2="Deployment",deployment_raw[[#This Row],[Column5]]=0),1,deployment_raw[[#This Row],[Column5]]),"")</f>
        <v/>
      </c>
      <c r="O293" s="167" t="str">
        <f>IF(ISNUMBER(deployment_raw[[#This Row],[Column15]]), deployment_raw[[#This Row],[Column15]]/IF(OR($E$2="Deployment",deployment_raw[[#This Row],[Column5]]=0),1,deployment_raw[[#This Row],[Column5]])/1048576,"")</f>
        <v/>
      </c>
      <c r="P293" s="168" t="str">
        <f>IF(ISNUMBER(deployment_raw[[#This Row],[Column12]]), (MIN(IF(N293&lt;&gt;"",N293,9999999999999)*1.1,deployment_raw[[#This Row],[Column12]] * IF($E$2="Deployment",deployment_raw[[#This Row],[Column5]],1))*(1+$P$2)),"")</f>
        <v/>
      </c>
      <c r="Q293" s="167" t="str">
        <f>IF(ISNUMBER(deployment_raw[[#This Row],[Column13]]), (MIN(IF(O293&lt;&gt;"",O293,9999999999999)*1.1,deployment_raw[[#This Row],[Column13]] * IF($E$2="Deployment",deployment_raw[[#This Row],[Column5]],1)*(1+$Q$2)/1048576)),"")</f>
        <v/>
      </c>
      <c r="R293" s="169" t="str">
        <f>IF(ISNUMBER(deployment_raw[[#This Row],[Column8]]), (H293  * IF(N293&lt;&gt;0,$R$2,1)),"")</f>
        <v/>
      </c>
      <c r="S293" s="170" t="str">
        <f>IF(ISNUMBER(deployment_raw[[#This Row],[Column8]]), (I293  * IF(O293&lt;&gt;0,$S$2,1)),"")</f>
        <v/>
      </c>
      <c r="T293" s="202" t="str">
        <f>IF(AND(A293&lt;&gt;"",_xlfn.IFNA(MATCH(A293,'dynamic resource application '!$A$2:$A$100, 0),0)&lt;&gt;0), H293/(IF($E$2="Deployment",E293,1)),"")</f>
        <v/>
      </c>
      <c r="U293" s="211" t="str">
        <f>IF(AND(A293&lt;&gt;"",_xlfn.IFNA(MATCH(A293,'dynamic resource application '!$A$2:$A$100, 0),0)&lt;&gt;0), I293/(IF($E$2="Deployment",E293,1)),"")</f>
        <v/>
      </c>
    </row>
    <row r="294" spans="1:21" ht="15.75" customHeight="1" x14ac:dyDescent="0.25">
      <c r="A294" s="35" t="str">
        <f>IF(ISNONTEXT(deployment_raw[[#This Row],[Column1]]), "", deployment_raw[[#This Row],[Column1]])</f>
        <v/>
      </c>
      <c r="B294" s="36" t="str">
        <f>IF(ISNONTEXT(deployment_raw[[#This Row],[Column2]]), "", deployment_raw[[#This Row],[Column2]])</f>
        <v/>
      </c>
      <c r="C294" s="36" t="str">
        <f>IF(ISNONTEXT(deployment_raw[[#This Row],[Column3]]), "", deployment_raw[[#This Row],[Column3]])</f>
        <v/>
      </c>
      <c r="D294" s="36" t="str">
        <f>IF(ISNONTEXT(deployment_raw[[#This Row],[Column4]]), "", deployment_raw[[#This Row],[Column4]])</f>
        <v/>
      </c>
      <c r="E294" s="37" t="str">
        <f>IF(ISNUMBER(deployment_raw[[#This Row],[Column5]]), deployment_raw[[#This Row],[Column5]],"")</f>
        <v/>
      </c>
      <c r="F294" s="94" t="str">
        <f>IF(ISNUMBER(deployment_raw[[#This Row],[Column6]]), (deployment_raw[[#This Row],[Column6]] * IF($E$2="Deployment",deployment_raw[[#This Row],[Column5]],1)),"")</f>
        <v/>
      </c>
      <c r="G294" s="95" t="str">
        <f>IF(ISNUMBER(deployment_raw[[#This Row],[Column7]]), (deployment_raw[[#This Row],[Column7]] * IF($E$2="Deployment",deployment_raw[[#This Row],[Column5]],1))/1048576,"")</f>
        <v/>
      </c>
      <c r="H294" s="95" t="str">
        <f>IF(ISNUMBER(deployment_raw[[#This Row],[Column8]]), (deployment_raw[[#This Row],[Column8]]  * IF($E$2="Deployment",deployment_raw[[#This Row],[Column5]],1)),"")</f>
        <v/>
      </c>
      <c r="I294" s="96" t="str">
        <f>IF(ISNUMBER(deployment_raw[[#This Row],[Column9]]), (deployment_raw[[#This Row],[Column9]] * IF($E$2="Deployment",deployment_raw[[#This Row],[Column5]],1))/1048576,"")</f>
        <v/>
      </c>
      <c r="J294" s="122" t="str">
        <f>IF(ISNUMBER(deployment_raw[[#This Row],[Column10]]), (MIN(IF(N294&lt;&gt;"",N294,9999999999999)*1.1,deployment_raw[[#This Row],[Column10]] * IF($E$2="Deployment",deployment_raw[[#This Row],[Column5]],1))),"")</f>
        <v/>
      </c>
      <c r="K294" s="123" t="str">
        <f>IF(ISNUMBER(deployment_raw[[#This Row],[Column11]]), (MIN(IF(O294&lt;&gt;"",O294,9999999999999)*1.1,deployment_raw[[#This Row],[Column11]] * IF($E$2="Deployment",deployment_raw[[#This Row],[Column5]],1)/1048576)),"")</f>
        <v/>
      </c>
      <c r="L294" s="124" t="str">
        <f>IF(ISNUMBER(deployment_raw[[#This Row],[Column8]]),IF(OR(deployment_raw[[#This Row],[Column5]] &lt;&gt; 0,$E$2 &lt;&gt; "Deployment"), MAX(J294, P294, R294, ($L$2 * IF($E$2="Deployment",deployment_raw[[#This Row],[Column5]],1)),IF(T294&lt;&gt;"",VALUE(T294) * IF($E$2="Deployment",deployment_raw[[#This Row],[Column5]],1),0)), 0),"")</f>
        <v/>
      </c>
      <c r="M294" s="125" t="str">
        <f>IF(ISNUMBER(deployment_raw[[#This Row],[Column9]]),IF(OR(deployment_raw[[#This Row],[Column5]] &lt;&gt; 0,$E$2&lt;&gt;"Deployment"), MAX(K294, Q294, S294, ($M$2 * IF($E$2="Deployment",deployment_raw[[#This Row],[Column5]],1)),IF(U294&lt;&gt;"",VALUE(U294) * IF($E$2="Deployment",deployment_raw[[#This Row],[Column5]],1),0)), 0),"")</f>
        <v/>
      </c>
      <c r="N294" s="166" t="str">
        <f>IF(ISNUMBER(deployment_raw[[#This Row],[Column14]]), deployment_raw[[#This Row],[Column14]]/IF(OR($E$2="Deployment",deployment_raw[[#This Row],[Column5]]=0),1,deployment_raw[[#This Row],[Column5]]),"")</f>
        <v/>
      </c>
      <c r="O294" s="167" t="str">
        <f>IF(ISNUMBER(deployment_raw[[#This Row],[Column15]]), deployment_raw[[#This Row],[Column15]]/IF(OR($E$2="Deployment",deployment_raw[[#This Row],[Column5]]=0),1,deployment_raw[[#This Row],[Column5]])/1048576,"")</f>
        <v/>
      </c>
      <c r="P294" s="168" t="str">
        <f>IF(ISNUMBER(deployment_raw[[#This Row],[Column12]]), (MIN(IF(N294&lt;&gt;"",N294,9999999999999)*1.1,deployment_raw[[#This Row],[Column12]] * IF($E$2="Deployment",deployment_raw[[#This Row],[Column5]],1))*(1+$P$2)),"")</f>
        <v/>
      </c>
      <c r="Q294" s="167" t="str">
        <f>IF(ISNUMBER(deployment_raw[[#This Row],[Column13]]), (MIN(IF(O294&lt;&gt;"",O294,9999999999999)*1.1,deployment_raw[[#This Row],[Column13]] * IF($E$2="Deployment",deployment_raw[[#This Row],[Column5]],1)*(1+$Q$2)/1048576)),"")</f>
        <v/>
      </c>
      <c r="R294" s="169" t="str">
        <f>IF(ISNUMBER(deployment_raw[[#This Row],[Column8]]), (H294  * IF(N294&lt;&gt;0,$R$2,1)),"")</f>
        <v/>
      </c>
      <c r="S294" s="170" t="str">
        <f>IF(ISNUMBER(deployment_raw[[#This Row],[Column8]]), (I294  * IF(O294&lt;&gt;0,$S$2,1)),"")</f>
        <v/>
      </c>
      <c r="T294" s="202" t="str">
        <f>IF(AND(A294&lt;&gt;"",_xlfn.IFNA(MATCH(A294,'dynamic resource application '!$A$2:$A$100, 0),0)&lt;&gt;0), H294/(IF($E$2="Deployment",E294,1)),"")</f>
        <v/>
      </c>
      <c r="U294" s="211" t="str">
        <f>IF(AND(A294&lt;&gt;"",_xlfn.IFNA(MATCH(A294,'dynamic resource application '!$A$2:$A$100, 0),0)&lt;&gt;0), I294/(IF($E$2="Deployment",E294,1)),"")</f>
        <v/>
      </c>
    </row>
    <row r="295" spans="1:21" ht="15.75" customHeight="1" x14ac:dyDescent="0.25">
      <c r="A295" s="35" t="str">
        <f>IF(ISNONTEXT(deployment_raw[[#This Row],[Column1]]), "", deployment_raw[[#This Row],[Column1]])</f>
        <v/>
      </c>
      <c r="B295" s="36" t="str">
        <f>IF(ISNONTEXT(deployment_raw[[#This Row],[Column2]]), "", deployment_raw[[#This Row],[Column2]])</f>
        <v/>
      </c>
      <c r="C295" s="36" t="str">
        <f>IF(ISNONTEXT(deployment_raw[[#This Row],[Column3]]), "", deployment_raw[[#This Row],[Column3]])</f>
        <v/>
      </c>
      <c r="D295" s="36" t="str">
        <f>IF(ISNONTEXT(deployment_raw[[#This Row],[Column4]]), "", deployment_raw[[#This Row],[Column4]])</f>
        <v/>
      </c>
      <c r="E295" s="37" t="str">
        <f>IF(ISNUMBER(deployment_raw[[#This Row],[Column5]]), deployment_raw[[#This Row],[Column5]],"")</f>
        <v/>
      </c>
      <c r="F295" s="94" t="str">
        <f>IF(ISNUMBER(deployment_raw[[#This Row],[Column6]]), (deployment_raw[[#This Row],[Column6]] * IF($E$2="Deployment",deployment_raw[[#This Row],[Column5]],1)),"")</f>
        <v/>
      </c>
      <c r="G295" s="95" t="str">
        <f>IF(ISNUMBER(deployment_raw[[#This Row],[Column7]]), (deployment_raw[[#This Row],[Column7]] * IF($E$2="Deployment",deployment_raw[[#This Row],[Column5]],1))/1048576,"")</f>
        <v/>
      </c>
      <c r="H295" s="95" t="str">
        <f>IF(ISNUMBER(deployment_raw[[#This Row],[Column8]]), (deployment_raw[[#This Row],[Column8]]  * IF($E$2="Deployment",deployment_raw[[#This Row],[Column5]],1)),"")</f>
        <v/>
      </c>
      <c r="I295" s="96" t="str">
        <f>IF(ISNUMBER(deployment_raw[[#This Row],[Column9]]), (deployment_raw[[#This Row],[Column9]] * IF($E$2="Deployment",deployment_raw[[#This Row],[Column5]],1))/1048576,"")</f>
        <v/>
      </c>
      <c r="J295" s="122" t="str">
        <f>IF(ISNUMBER(deployment_raw[[#This Row],[Column10]]), (MIN(IF(N295&lt;&gt;"",N295,9999999999999)*1.1,deployment_raw[[#This Row],[Column10]] * IF($E$2="Deployment",deployment_raw[[#This Row],[Column5]],1))),"")</f>
        <v/>
      </c>
      <c r="K295" s="123" t="str">
        <f>IF(ISNUMBER(deployment_raw[[#This Row],[Column11]]), (MIN(IF(O295&lt;&gt;"",O295,9999999999999)*1.1,deployment_raw[[#This Row],[Column11]] * IF($E$2="Deployment",deployment_raw[[#This Row],[Column5]],1)/1048576)),"")</f>
        <v/>
      </c>
      <c r="L295" s="124" t="str">
        <f>IF(ISNUMBER(deployment_raw[[#This Row],[Column8]]),IF(OR(deployment_raw[[#This Row],[Column5]] &lt;&gt; 0,$E$2 &lt;&gt; "Deployment"), MAX(J295, P295, R295, ($L$2 * IF($E$2="Deployment",deployment_raw[[#This Row],[Column5]],1)),IF(T295&lt;&gt;"",VALUE(T295) * IF($E$2="Deployment",deployment_raw[[#This Row],[Column5]],1),0)), 0),"")</f>
        <v/>
      </c>
      <c r="M295" s="125" t="str">
        <f>IF(ISNUMBER(deployment_raw[[#This Row],[Column9]]),IF(OR(deployment_raw[[#This Row],[Column5]] &lt;&gt; 0,$E$2&lt;&gt;"Deployment"), MAX(K295, Q295, S295, ($M$2 * IF($E$2="Deployment",deployment_raw[[#This Row],[Column5]],1)),IF(U295&lt;&gt;"",VALUE(U295) * IF($E$2="Deployment",deployment_raw[[#This Row],[Column5]],1),0)), 0),"")</f>
        <v/>
      </c>
      <c r="N295" s="166" t="str">
        <f>IF(ISNUMBER(deployment_raw[[#This Row],[Column14]]), deployment_raw[[#This Row],[Column14]]/IF(OR($E$2="Deployment",deployment_raw[[#This Row],[Column5]]=0),1,deployment_raw[[#This Row],[Column5]]),"")</f>
        <v/>
      </c>
      <c r="O295" s="167" t="str">
        <f>IF(ISNUMBER(deployment_raw[[#This Row],[Column15]]), deployment_raw[[#This Row],[Column15]]/IF(OR($E$2="Deployment",deployment_raw[[#This Row],[Column5]]=0),1,deployment_raw[[#This Row],[Column5]])/1048576,"")</f>
        <v/>
      </c>
      <c r="P295" s="168" t="str">
        <f>IF(ISNUMBER(deployment_raw[[#This Row],[Column12]]), (MIN(IF(N295&lt;&gt;"",N295,9999999999999)*1.1,deployment_raw[[#This Row],[Column12]] * IF($E$2="Deployment",deployment_raw[[#This Row],[Column5]],1))*(1+$P$2)),"")</f>
        <v/>
      </c>
      <c r="Q295" s="167" t="str">
        <f>IF(ISNUMBER(deployment_raw[[#This Row],[Column13]]), (MIN(IF(O295&lt;&gt;"",O295,9999999999999)*1.1,deployment_raw[[#This Row],[Column13]] * IF($E$2="Deployment",deployment_raw[[#This Row],[Column5]],1)*(1+$Q$2)/1048576)),"")</f>
        <v/>
      </c>
      <c r="R295" s="169" t="str">
        <f>IF(ISNUMBER(deployment_raw[[#This Row],[Column8]]), (H295  * IF(N295&lt;&gt;0,$R$2,1)),"")</f>
        <v/>
      </c>
      <c r="S295" s="170" t="str">
        <f>IF(ISNUMBER(deployment_raw[[#This Row],[Column8]]), (I295  * IF(O295&lt;&gt;0,$S$2,1)),"")</f>
        <v/>
      </c>
      <c r="T295" s="202" t="str">
        <f>IF(AND(A295&lt;&gt;"",_xlfn.IFNA(MATCH(A295,'dynamic resource application '!$A$2:$A$100, 0),0)&lt;&gt;0), H295/(IF($E$2="Deployment",E295,1)),"")</f>
        <v/>
      </c>
      <c r="U295" s="211" t="str">
        <f>IF(AND(A295&lt;&gt;"",_xlfn.IFNA(MATCH(A295,'dynamic resource application '!$A$2:$A$100, 0),0)&lt;&gt;0), I295/(IF($E$2="Deployment",E295,1)),"")</f>
        <v/>
      </c>
    </row>
    <row r="296" spans="1:21" ht="15.75" customHeight="1" x14ac:dyDescent="0.25">
      <c r="A296" s="35" t="str">
        <f>IF(ISNONTEXT(deployment_raw[[#This Row],[Column1]]), "", deployment_raw[[#This Row],[Column1]])</f>
        <v/>
      </c>
      <c r="B296" s="36" t="str">
        <f>IF(ISNONTEXT(deployment_raw[[#This Row],[Column2]]), "", deployment_raw[[#This Row],[Column2]])</f>
        <v/>
      </c>
      <c r="C296" s="36" t="str">
        <f>IF(ISNONTEXT(deployment_raw[[#This Row],[Column3]]), "", deployment_raw[[#This Row],[Column3]])</f>
        <v/>
      </c>
      <c r="D296" s="36" t="str">
        <f>IF(ISNONTEXT(deployment_raw[[#This Row],[Column4]]), "", deployment_raw[[#This Row],[Column4]])</f>
        <v/>
      </c>
      <c r="E296" s="37" t="str">
        <f>IF(ISNUMBER(deployment_raw[[#This Row],[Column5]]), deployment_raw[[#This Row],[Column5]],"")</f>
        <v/>
      </c>
      <c r="F296" s="94" t="str">
        <f>IF(ISNUMBER(deployment_raw[[#This Row],[Column6]]), (deployment_raw[[#This Row],[Column6]] * IF($E$2="Deployment",deployment_raw[[#This Row],[Column5]],1)),"")</f>
        <v/>
      </c>
      <c r="G296" s="95" t="str">
        <f>IF(ISNUMBER(deployment_raw[[#This Row],[Column7]]), (deployment_raw[[#This Row],[Column7]] * IF($E$2="Deployment",deployment_raw[[#This Row],[Column5]],1))/1048576,"")</f>
        <v/>
      </c>
      <c r="H296" s="95" t="str">
        <f>IF(ISNUMBER(deployment_raw[[#This Row],[Column8]]), (deployment_raw[[#This Row],[Column8]]  * IF($E$2="Deployment",deployment_raw[[#This Row],[Column5]],1)),"")</f>
        <v/>
      </c>
      <c r="I296" s="96" t="str">
        <f>IF(ISNUMBER(deployment_raw[[#This Row],[Column9]]), (deployment_raw[[#This Row],[Column9]] * IF($E$2="Deployment",deployment_raw[[#This Row],[Column5]],1))/1048576,"")</f>
        <v/>
      </c>
      <c r="J296" s="122" t="str">
        <f>IF(ISNUMBER(deployment_raw[[#This Row],[Column10]]), (MIN(IF(N296&lt;&gt;"",N296,9999999999999)*1.1,deployment_raw[[#This Row],[Column10]] * IF($E$2="Deployment",deployment_raw[[#This Row],[Column5]],1))),"")</f>
        <v/>
      </c>
      <c r="K296" s="123" t="str">
        <f>IF(ISNUMBER(deployment_raw[[#This Row],[Column11]]), (MIN(IF(O296&lt;&gt;"",O296,9999999999999)*1.1,deployment_raw[[#This Row],[Column11]] * IF($E$2="Deployment",deployment_raw[[#This Row],[Column5]],1)/1048576)),"")</f>
        <v/>
      </c>
      <c r="L296" s="124" t="str">
        <f>IF(ISNUMBER(deployment_raw[[#This Row],[Column8]]),IF(OR(deployment_raw[[#This Row],[Column5]] &lt;&gt; 0,$E$2 &lt;&gt; "Deployment"), MAX(J296, P296, R296, ($L$2 * IF($E$2="Deployment",deployment_raw[[#This Row],[Column5]],1)),IF(T296&lt;&gt;"",VALUE(T296) * IF($E$2="Deployment",deployment_raw[[#This Row],[Column5]],1),0)), 0),"")</f>
        <v/>
      </c>
      <c r="M296" s="125" t="str">
        <f>IF(ISNUMBER(deployment_raw[[#This Row],[Column9]]),IF(OR(deployment_raw[[#This Row],[Column5]] &lt;&gt; 0,$E$2&lt;&gt;"Deployment"), MAX(K296, Q296, S296, ($M$2 * IF($E$2="Deployment",deployment_raw[[#This Row],[Column5]],1)),IF(U296&lt;&gt;"",VALUE(U296) * IF($E$2="Deployment",deployment_raw[[#This Row],[Column5]],1),0)), 0),"")</f>
        <v/>
      </c>
      <c r="N296" s="166" t="str">
        <f>IF(ISNUMBER(deployment_raw[[#This Row],[Column14]]), deployment_raw[[#This Row],[Column14]]/IF(OR($E$2="Deployment",deployment_raw[[#This Row],[Column5]]=0),1,deployment_raw[[#This Row],[Column5]]),"")</f>
        <v/>
      </c>
      <c r="O296" s="167" t="str">
        <f>IF(ISNUMBER(deployment_raw[[#This Row],[Column15]]), deployment_raw[[#This Row],[Column15]]/IF(OR($E$2="Deployment",deployment_raw[[#This Row],[Column5]]=0),1,deployment_raw[[#This Row],[Column5]])/1048576,"")</f>
        <v/>
      </c>
      <c r="P296" s="168" t="str">
        <f>IF(ISNUMBER(deployment_raw[[#This Row],[Column12]]), (MIN(IF(N296&lt;&gt;"",N296,9999999999999)*1.1,deployment_raw[[#This Row],[Column12]] * IF($E$2="Deployment",deployment_raw[[#This Row],[Column5]],1))*(1+$P$2)),"")</f>
        <v/>
      </c>
      <c r="Q296" s="167" t="str">
        <f>IF(ISNUMBER(deployment_raw[[#This Row],[Column13]]), (MIN(IF(O296&lt;&gt;"",O296,9999999999999)*1.1,deployment_raw[[#This Row],[Column13]] * IF($E$2="Deployment",deployment_raw[[#This Row],[Column5]],1)*(1+$Q$2)/1048576)),"")</f>
        <v/>
      </c>
      <c r="R296" s="169" t="str">
        <f>IF(ISNUMBER(deployment_raw[[#This Row],[Column8]]), (H296  * IF(N296&lt;&gt;0,$R$2,1)),"")</f>
        <v/>
      </c>
      <c r="S296" s="170" t="str">
        <f>IF(ISNUMBER(deployment_raw[[#This Row],[Column8]]), (I296  * IF(O296&lt;&gt;0,$S$2,1)),"")</f>
        <v/>
      </c>
      <c r="T296" s="202" t="str">
        <f>IF(AND(A296&lt;&gt;"",_xlfn.IFNA(MATCH(A296,'dynamic resource application '!$A$2:$A$100, 0),0)&lt;&gt;0), H296/(IF($E$2="Deployment",E296,1)),"")</f>
        <v/>
      </c>
      <c r="U296" s="211" t="str">
        <f>IF(AND(A296&lt;&gt;"",_xlfn.IFNA(MATCH(A296,'dynamic resource application '!$A$2:$A$100, 0),0)&lt;&gt;0), I296/(IF($E$2="Deployment",E296,1)),"")</f>
        <v/>
      </c>
    </row>
    <row r="297" spans="1:21" ht="15.75" customHeight="1" x14ac:dyDescent="0.25">
      <c r="A297" s="35" t="str">
        <f>IF(ISNONTEXT(deployment_raw[[#This Row],[Column1]]), "", deployment_raw[[#This Row],[Column1]])</f>
        <v/>
      </c>
      <c r="B297" s="36" t="str">
        <f>IF(ISNONTEXT(deployment_raw[[#This Row],[Column2]]), "", deployment_raw[[#This Row],[Column2]])</f>
        <v/>
      </c>
      <c r="C297" s="36" t="str">
        <f>IF(ISNONTEXT(deployment_raw[[#This Row],[Column3]]), "", deployment_raw[[#This Row],[Column3]])</f>
        <v/>
      </c>
      <c r="D297" s="36" t="str">
        <f>IF(ISNONTEXT(deployment_raw[[#This Row],[Column4]]), "", deployment_raw[[#This Row],[Column4]])</f>
        <v/>
      </c>
      <c r="E297" s="37" t="str">
        <f>IF(ISNUMBER(deployment_raw[[#This Row],[Column5]]), deployment_raw[[#This Row],[Column5]],"")</f>
        <v/>
      </c>
      <c r="F297" s="94" t="str">
        <f>IF(ISNUMBER(deployment_raw[[#This Row],[Column6]]), (deployment_raw[[#This Row],[Column6]] * IF($E$2="Deployment",deployment_raw[[#This Row],[Column5]],1)),"")</f>
        <v/>
      </c>
      <c r="G297" s="95" t="str">
        <f>IF(ISNUMBER(deployment_raw[[#This Row],[Column7]]), (deployment_raw[[#This Row],[Column7]] * IF($E$2="Deployment",deployment_raw[[#This Row],[Column5]],1))/1048576,"")</f>
        <v/>
      </c>
      <c r="H297" s="95" t="str">
        <f>IF(ISNUMBER(deployment_raw[[#This Row],[Column8]]), (deployment_raw[[#This Row],[Column8]]  * IF($E$2="Deployment",deployment_raw[[#This Row],[Column5]],1)),"")</f>
        <v/>
      </c>
      <c r="I297" s="96" t="str">
        <f>IF(ISNUMBER(deployment_raw[[#This Row],[Column9]]), (deployment_raw[[#This Row],[Column9]] * IF($E$2="Deployment",deployment_raw[[#This Row],[Column5]],1))/1048576,"")</f>
        <v/>
      </c>
      <c r="J297" s="122" t="str">
        <f>IF(ISNUMBER(deployment_raw[[#This Row],[Column10]]), (MIN(IF(N297&lt;&gt;"",N297,9999999999999)*1.1,deployment_raw[[#This Row],[Column10]] * IF($E$2="Deployment",deployment_raw[[#This Row],[Column5]],1))),"")</f>
        <v/>
      </c>
      <c r="K297" s="123" t="str">
        <f>IF(ISNUMBER(deployment_raw[[#This Row],[Column11]]), (MIN(IF(O297&lt;&gt;"",O297,9999999999999)*1.1,deployment_raw[[#This Row],[Column11]] * IF($E$2="Deployment",deployment_raw[[#This Row],[Column5]],1)/1048576)),"")</f>
        <v/>
      </c>
      <c r="L297" s="124" t="str">
        <f>IF(ISNUMBER(deployment_raw[[#This Row],[Column8]]),IF(OR(deployment_raw[[#This Row],[Column5]] &lt;&gt; 0,$E$2 &lt;&gt; "Deployment"), MAX(J297, P297, R297, ($L$2 * IF($E$2="Deployment",deployment_raw[[#This Row],[Column5]],1)),IF(T297&lt;&gt;"",VALUE(T297) * IF($E$2="Deployment",deployment_raw[[#This Row],[Column5]],1),0)), 0),"")</f>
        <v/>
      </c>
      <c r="M297" s="125" t="str">
        <f>IF(ISNUMBER(deployment_raw[[#This Row],[Column9]]),IF(OR(deployment_raw[[#This Row],[Column5]] &lt;&gt; 0,$E$2&lt;&gt;"Deployment"), MAX(K297, Q297, S297, ($M$2 * IF($E$2="Deployment",deployment_raw[[#This Row],[Column5]],1)),IF(U297&lt;&gt;"",VALUE(U297) * IF($E$2="Deployment",deployment_raw[[#This Row],[Column5]],1),0)), 0),"")</f>
        <v/>
      </c>
      <c r="N297" s="166" t="str">
        <f>IF(ISNUMBER(deployment_raw[[#This Row],[Column14]]), deployment_raw[[#This Row],[Column14]]/IF(OR($E$2="Deployment",deployment_raw[[#This Row],[Column5]]=0),1,deployment_raw[[#This Row],[Column5]]),"")</f>
        <v/>
      </c>
      <c r="O297" s="167" t="str">
        <f>IF(ISNUMBER(deployment_raw[[#This Row],[Column15]]), deployment_raw[[#This Row],[Column15]]/IF(OR($E$2="Deployment",deployment_raw[[#This Row],[Column5]]=0),1,deployment_raw[[#This Row],[Column5]])/1048576,"")</f>
        <v/>
      </c>
      <c r="P297" s="168" t="str">
        <f>IF(ISNUMBER(deployment_raw[[#This Row],[Column12]]), (MIN(IF(N297&lt;&gt;"",N297,9999999999999)*1.1,deployment_raw[[#This Row],[Column12]] * IF($E$2="Deployment",deployment_raw[[#This Row],[Column5]],1))*(1+$P$2)),"")</f>
        <v/>
      </c>
      <c r="Q297" s="167" t="str">
        <f>IF(ISNUMBER(deployment_raw[[#This Row],[Column13]]), (MIN(IF(O297&lt;&gt;"",O297,9999999999999)*1.1,deployment_raw[[#This Row],[Column13]] * IF($E$2="Deployment",deployment_raw[[#This Row],[Column5]],1)*(1+$Q$2)/1048576)),"")</f>
        <v/>
      </c>
      <c r="R297" s="169" t="str">
        <f>IF(ISNUMBER(deployment_raw[[#This Row],[Column8]]), (H297  * IF(N297&lt;&gt;0,$R$2,1)),"")</f>
        <v/>
      </c>
      <c r="S297" s="170" t="str">
        <f>IF(ISNUMBER(deployment_raw[[#This Row],[Column8]]), (I297  * IF(O297&lt;&gt;0,$S$2,1)),"")</f>
        <v/>
      </c>
      <c r="T297" s="202" t="str">
        <f>IF(AND(A297&lt;&gt;"",_xlfn.IFNA(MATCH(A297,'dynamic resource application '!$A$2:$A$100, 0),0)&lt;&gt;0), H297/(IF($E$2="Deployment",E297,1)),"")</f>
        <v/>
      </c>
      <c r="U297" s="211" t="str">
        <f>IF(AND(A297&lt;&gt;"",_xlfn.IFNA(MATCH(A297,'dynamic resource application '!$A$2:$A$100, 0),0)&lt;&gt;0), I297/(IF($E$2="Deployment",E297,1)),"")</f>
        <v/>
      </c>
    </row>
    <row r="298" spans="1:21" ht="15.75" customHeight="1" x14ac:dyDescent="0.25">
      <c r="A298" s="35" t="str">
        <f>IF(ISNONTEXT(deployment_raw[[#This Row],[Column1]]), "", deployment_raw[[#This Row],[Column1]])</f>
        <v/>
      </c>
      <c r="B298" s="36" t="str">
        <f>IF(ISNONTEXT(deployment_raw[[#This Row],[Column2]]), "", deployment_raw[[#This Row],[Column2]])</f>
        <v/>
      </c>
      <c r="C298" s="36" t="str">
        <f>IF(ISNONTEXT(deployment_raw[[#This Row],[Column3]]), "", deployment_raw[[#This Row],[Column3]])</f>
        <v/>
      </c>
      <c r="D298" s="36" t="str">
        <f>IF(ISNONTEXT(deployment_raw[[#This Row],[Column4]]), "", deployment_raw[[#This Row],[Column4]])</f>
        <v/>
      </c>
      <c r="E298" s="37" t="str">
        <f>IF(ISNUMBER(deployment_raw[[#This Row],[Column5]]), deployment_raw[[#This Row],[Column5]],"")</f>
        <v/>
      </c>
      <c r="F298" s="94" t="str">
        <f>IF(ISNUMBER(deployment_raw[[#This Row],[Column6]]), (deployment_raw[[#This Row],[Column6]] * IF($E$2="Deployment",deployment_raw[[#This Row],[Column5]],1)),"")</f>
        <v/>
      </c>
      <c r="G298" s="95" t="str">
        <f>IF(ISNUMBER(deployment_raw[[#This Row],[Column7]]), (deployment_raw[[#This Row],[Column7]] * IF($E$2="Deployment",deployment_raw[[#This Row],[Column5]],1))/1048576,"")</f>
        <v/>
      </c>
      <c r="H298" s="95" t="str">
        <f>IF(ISNUMBER(deployment_raw[[#This Row],[Column8]]), (deployment_raw[[#This Row],[Column8]]  * IF($E$2="Deployment",deployment_raw[[#This Row],[Column5]],1)),"")</f>
        <v/>
      </c>
      <c r="I298" s="96" t="str">
        <f>IF(ISNUMBER(deployment_raw[[#This Row],[Column9]]), (deployment_raw[[#This Row],[Column9]] * IF($E$2="Deployment",deployment_raw[[#This Row],[Column5]],1))/1048576,"")</f>
        <v/>
      </c>
      <c r="J298" s="122" t="str">
        <f>IF(ISNUMBER(deployment_raw[[#This Row],[Column10]]), (MIN(IF(N298&lt;&gt;"",N298,9999999999999)*1.1,deployment_raw[[#This Row],[Column10]] * IF($E$2="Deployment",deployment_raw[[#This Row],[Column5]],1))),"")</f>
        <v/>
      </c>
      <c r="K298" s="123" t="str">
        <f>IF(ISNUMBER(deployment_raw[[#This Row],[Column11]]), (MIN(IF(O298&lt;&gt;"",O298,9999999999999)*1.1,deployment_raw[[#This Row],[Column11]] * IF($E$2="Deployment",deployment_raw[[#This Row],[Column5]],1)/1048576)),"")</f>
        <v/>
      </c>
      <c r="L298" s="124" t="str">
        <f>IF(ISNUMBER(deployment_raw[[#This Row],[Column8]]),IF(OR(deployment_raw[[#This Row],[Column5]] &lt;&gt; 0,$E$2 &lt;&gt; "Deployment"), MAX(J298, P298, R298, ($L$2 * IF($E$2="Deployment",deployment_raw[[#This Row],[Column5]],1)),IF(T298&lt;&gt;"",VALUE(T298) * IF($E$2="Deployment",deployment_raw[[#This Row],[Column5]],1),0)), 0),"")</f>
        <v/>
      </c>
      <c r="M298" s="125" t="str">
        <f>IF(ISNUMBER(deployment_raw[[#This Row],[Column9]]),IF(OR(deployment_raw[[#This Row],[Column5]] &lt;&gt; 0,$E$2&lt;&gt;"Deployment"), MAX(K298, Q298, S298, ($M$2 * IF($E$2="Deployment",deployment_raw[[#This Row],[Column5]],1)),IF(U298&lt;&gt;"",VALUE(U298) * IF($E$2="Deployment",deployment_raw[[#This Row],[Column5]],1),0)), 0),"")</f>
        <v/>
      </c>
      <c r="N298" s="166" t="str">
        <f>IF(ISNUMBER(deployment_raw[[#This Row],[Column14]]), deployment_raw[[#This Row],[Column14]]/IF(OR($E$2="Deployment",deployment_raw[[#This Row],[Column5]]=0),1,deployment_raw[[#This Row],[Column5]]),"")</f>
        <v/>
      </c>
      <c r="O298" s="167" t="str">
        <f>IF(ISNUMBER(deployment_raw[[#This Row],[Column15]]), deployment_raw[[#This Row],[Column15]]/IF(OR($E$2="Deployment",deployment_raw[[#This Row],[Column5]]=0),1,deployment_raw[[#This Row],[Column5]])/1048576,"")</f>
        <v/>
      </c>
      <c r="P298" s="168" t="str">
        <f>IF(ISNUMBER(deployment_raw[[#This Row],[Column12]]), (MIN(IF(N298&lt;&gt;"",N298,9999999999999)*1.1,deployment_raw[[#This Row],[Column12]] * IF($E$2="Deployment",deployment_raw[[#This Row],[Column5]],1))*(1+$P$2)),"")</f>
        <v/>
      </c>
      <c r="Q298" s="167" t="str">
        <f>IF(ISNUMBER(deployment_raw[[#This Row],[Column13]]), (MIN(IF(O298&lt;&gt;"",O298,9999999999999)*1.1,deployment_raw[[#This Row],[Column13]] * IF($E$2="Deployment",deployment_raw[[#This Row],[Column5]],1)*(1+$Q$2)/1048576)),"")</f>
        <v/>
      </c>
      <c r="R298" s="169" t="str">
        <f>IF(ISNUMBER(deployment_raw[[#This Row],[Column8]]), (H298  * IF(N298&lt;&gt;0,$R$2,1)),"")</f>
        <v/>
      </c>
      <c r="S298" s="170" t="str">
        <f>IF(ISNUMBER(deployment_raw[[#This Row],[Column8]]), (I298  * IF(O298&lt;&gt;0,$S$2,1)),"")</f>
        <v/>
      </c>
      <c r="T298" s="202" t="str">
        <f>IF(AND(A298&lt;&gt;"",_xlfn.IFNA(MATCH(A298,'dynamic resource application '!$A$2:$A$100, 0),0)&lt;&gt;0), H298/(IF($E$2="Deployment",E298,1)),"")</f>
        <v/>
      </c>
      <c r="U298" s="211" t="str">
        <f>IF(AND(A298&lt;&gt;"",_xlfn.IFNA(MATCH(A298,'dynamic resource application '!$A$2:$A$100, 0),0)&lt;&gt;0), I298/(IF($E$2="Deployment",E298,1)),"")</f>
        <v/>
      </c>
    </row>
    <row r="299" spans="1:21" ht="15.75" customHeight="1" x14ac:dyDescent="0.25">
      <c r="A299" s="35" t="str">
        <f>IF(ISNONTEXT(deployment_raw[[#This Row],[Column1]]), "", deployment_raw[[#This Row],[Column1]])</f>
        <v/>
      </c>
      <c r="B299" s="36" t="str">
        <f>IF(ISNONTEXT(deployment_raw[[#This Row],[Column2]]), "", deployment_raw[[#This Row],[Column2]])</f>
        <v/>
      </c>
      <c r="C299" s="36" t="str">
        <f>IF(ISNONTEXT(deployment_raw[[#This Row],[Column3]]), "", deployment_raw[[#This Row],[Column3]])</f>
        <v/>
      </c>
      <c r="D299" s="36" t="str">
        <f>IF(ISNONTEXT(deployment_raw[[#This Row],[Column4]]), "", deployment_raw[[#This Row],[Column4]])</f>
        <v/>
      </c>
      <c r="E299" s="37" t="str">
        <f>IF(ISNUMBER(deployment_raw[[#This Row],[Column5]]), deployment_raw[[#This Row],[Column5]],"")</f>
        <v/>
      </c>
      <c r="F299" s="94" t="str">
        <f>IF(ISNUMBER(deployment_raw[[#This Row],[Column6]]), (deployment_raw[[#This Row],[Column6]] * IF($E$2="Deployment",deployment_raw[[#This Row],[Column5]],1)),"")</f>
        <v/>
      </c>
      <c r="G299" s="95" t="str">
        <f>IF(ISNUMBER(deployment_raw[[#This Row],[Column7]]), (deployment_raw[[#This Row],[Column7]] * IF($E$2="Deployment",deployment_raw[[#This Row],[Column5]],1))/1048576,"")</f>
        <v/>
      </c>
      <c r="H299" s="95" t="str">
        <f>IF(ISNUMBER(deployment_raw[[#This Row],[Column8]]), (deployment_raw[[#This Row],[Column8]]  * IF($E$2="Deployment",deployment_raw[[#This Row],[Column5]],1)),"")</f>
        <v/>
      </c>
      <c r="I299" s="96" t="str">
        <f>IF(ISNUMBER(deployment_raw[[#This Row],[Column9]]), (deployment_raw[[#This Row],[Column9]] * IF($E$2="Deployment",deployment_raw[[#This Row],[Column5]],1))/1048576,"")</f>
        <v/>
      </c>
      <c r="J299" s="122" t="str">
        <f>IF(ISNUMBER(deployment_raw[[#This Row],[Column10]]), (MIN(IF(N299&lt;&gt;"",N299,9999999999999)*1.1,deployment_raw[[#This Row],[Column10]] * IF($E$2="Deployment",deployment_raw[[#This Row],[Column5]],1))),"")</f>
        <v/>
      </c>
      <c r="K299" s="123" t="str">
        <f>IF(ISNUMBER(deployment_raw[[#This Row],[Column11]]), (MIN(IF(O299&lt;&gt;"",O299,9999999999999)*1.1,deployment_raw[[#This Row],[Column11]] * IF($E$2="Deployment",deployment_raw[[#This Row],[Column5]],1)/1048576)),"")</f>
        <v/>
      </c>
      <c r="L299" s="124" t="str">
        <f>IF(ISNUMBER(deployment_raw[[#This Row],[Column8]]),IF(OR(deployment_raw[[#This Row],[Column5]] &lt;&gt; 0,$E$2 &lt;&gt; "Deployment"), MAX(J299, P299, R299, ($L$2 * IF($E$2="Deployment",deployment_raw[[#This Row],[Column5]],1)),IF(T299&lt;&gt;"",VALUE(T299) * IF($E$2="Deployment",deployment_raw[[#This Row],[Column5]],1),0)), 0),"")</f>
        <v/>
      </c>
      <c r="M299" s="125" t="str">
        <f>IF(ISNUMBER(deployment_raw[[#This Row],[Column9]]),IF(OR(deployment_raw[[#This Row],[Column5]] &lt;&gt; 0,$E$2&lt;&gt;"Deployment"), MAX(K299, Q299, S299, ($M$2 * IF($E$2="Deployment",deployment_raw[[#This Row],[Column5]],1)),IF(U299&lt;&gt;"",VALUE(U299) * IF($E$2="Deployment",deployment_raw[[#This Row],[Column5]],1),0)), 0),"")</f>
        <v/>
      </c>
      <c r="N299" s="166" t="str">
        <f>IF(ISNUMBER(deployment_raw[[#This Row],[Column14]]), deployment_raw[[#This Row],[Column14]]/IF(OR($E$2="Deployment",deployment_raw[[#This Row],[Column5]]=0),1,deployment_raw[[#This Row],[Column5]]),"")</f>
        <v/>
      </c>
      <c r="O299" s="167" t="str">
        <f>IF(ISNUMBER(deployment_raw[[#This Row],[Column15]]), deployment_raw[[#This Row],[Column15]]/IF(OR($E$2="Deployment",deployment_raw[[#This Row],[Column5]]=0),1,deployment_raw[[#This Row],[Column5]])/1048576,"")</f>
        <v/>
      </c>
      <c r="P299" s="168" t="str">
        <f>IF(ISNUMBER(deployment_raw[[#This Row],[Column12]]), (MIN(IF(N299&lt;&gt;"",N299,9999999999999)*1.1,deployment_raw[[#This Row],[Column12]] * IF($E$2="Deployment",deployment_raw[[#This Row],[Column5]],1))*(1+$P$2)),"")</f>
        <v/>
      </c>
      <c r="Q299" s="167" t="str">
        <f>IF(ISNUMBER(deployment_raw[[#This Row],[Column13]]), (MIN(IF(O299&lt;&gt;"",O299,9999999999999)*1.1,deployment_raw[[#This Row],[Column13]] * IF($E$2="Deployment",deployment_raw[[#This Row],[Column5]],1)*(1+$Q$2)/1048576)),"")</f>
        <v/>
      </c>
      <c r="R299" s="169" t="str">
        <f>IF(ISNUMBER(deployment_raw[[#This Row],[Column8]]), (H299  * IF(N299&lt;&gt;0,$R$2,1)),"")</f>
        <v/>
      </c>
      <c r="S299" s="170" t="str">
        <f>IF(ISNUMBER(deployment_raw[[#This Row],[Column8]]), (I299  * IF(O299&lt;&gt;0,$S$2,1)),"")</f>
        <v/>
      </c>
      <c r="T299" s="202" t="str">
        <f>IF(AND(A299&lt;&gt;"",_xlfn.IFNA(MATCH(A299,'dynamic resource application '!$A$2:$A$100, 0),0)&lt;&gt;0), H299/(IF($E$2="Deployment",E299,1)),"")</f>
        <v/>
      </c>
      <c r="U299" s="211" t="str">
        <f>IF(AND(A299&lt;&gt;"",_xlfn.IFNA(MATCH(A299,'dynamic resource application '!$A$2:$A$100, 0),0)&lt;&gt;0), I299/(IF($E$2="Deployment",E299,1)),"")</f>
        <v/>
      </c>
    </row>
    <row r="300" spans="1:21" ht="15.75" customHeight="1" x14ac:dyDescent="0.25">
      <c r="A300" s="35" t="str">
        <f>IF(ISNONTEXT(deployment_raw[[#This Row],[Column1]]), "", deployment_raw[[#This Row],[Column1]])</f>
        <v/>
      </c>
      <c r="B300" s="36" t="str">
        <f>IF(ISNONTEXT(deployment_raw[[#This Row],[Column2]]), "", deployment_raw[[#This Row],[Column2]])</f>
        <v/>
      </c>
      <c r="C300" s="36" t="str">
        <f>IF(ISNONTEXT(deployment_raw[[#This Row],[Column3]]), "", deployment_raw[[#This Row],[Column3]])</f>
        <v/>
      </c>
      <c r="D300" s="36" t="str">
        <f>IF(ISNONTEXT(deployment_raw[[#This Row],[Column4]]), "", deployment_raw[[#This Row],[Column4]])</f>
        <v/>
      </c>
      <c r="E300" s="37" t="str">
        <f>IF(ISNUMBER(deployment_raw[[#This Row],[Column5]]), deployment_raw[[#This Row],[Column5]],"")</f>
        <v/>
      </c>
      <c r="F300" s="94" t="str">
        <f>IF(ISNUMBER(deployment_raw[[#This Row],[Column6]]), (deployment_raw[[#This Row],[Column6]] * IF($E$2="Deployment",deployment_raw[[#This Row],[Column5]],1)),"")</f>
        <v/>
      </c>
      <c r="G300" s="95" t="str">
        <f>IF(ISNUMBER(deployment_raw[[#This Row],[Column7]]), (deployment_raw[[#This Row],[Column7]] * IF($E$2="Deployment",deployment_raw[[#This Row],[Column5]],1))/1048576,"")</f>
        <v/>
      </c>
      <c r="H300" s="95" t="str">
        <f>IF(ISNUMBER(deployment_raw[[#This Row],[Column8]]), (deployment_raw[[#This Row],[Column8]]  * IF($E$2="Deployment",deployment_raw[[#This Row],[Column5]],1)),"")</f>
        <v/>
      </c>
      <c r="I300" s="96" t="str">
        <f>IF(ISNUMBER(deployment_raw[[#This Row],[Column9]]), (deployment_raw[[#This Row],[Column9]] * IF($E$2="Deployment",deployment_raw[[#This Row],[Column5]],1))/1048576,"")</f>
        <v/>
      </c>
      <c r="J300" s="122" t="str">
        <f>IF(ISNUMBER(deployment_raw[[#This Row],[Column10]]), (MIN(IF(N300&lt;&gt;"",N300,9999999999999)*1.1,deployment_raw[[#This Row],[Column10]] * IF($E$2="Deployment",deployment_raw[[#This Row],[Column5]],1))),"")</f>
        <v/>
      </c>
      <c r="K300" s="123" t="str">
        <f>IF(ISNUMBER(deployment_raw[[#This Row],[Column11]]), (MIN(IF(O300&lt;&gt;"",O300,9999999999999)*1.1,deployment_raw[[#This Row],[Column11]] * IF($E$2="Deployment",deployment_raw[[#This Row],[Column5]],1)/1048576)),"")</f>
        <v/>
      </c>
      <c r="L300" s="124" t="str">
        <f>IF(ISNUMBER(deployment_raw[[#This Row],[Column8]]),IF(OR(deployment_raw[[#This Row],[Column5]] &lt;&gt; 0,$E$2 &lt;&gt; "Deployment"), MAX(J300, P300, R300, ($L$2 * IF($E$2="Deployment",deployment_raw[[#This Row],[Column5]],1)),IF(T300&lt;&gt;"",VALUE(T300) * IF($E$2="Deployment",deployment_raw[[#This Row],[Column5]],1),0)), 0),"")</f>
        <v/>
      </c>
      <c r="M300" s="125" t="str">
        <f>IF(ISNUMBER(deployment_raw[[#This Row],[Column9]]),IF(OR(deployment_raw[[#This Row],[Column5]] &lt;&gt; 0,$E$2&lt;&gt;"Deployment"), MAX(K300, Q300, S300, ($M$2 * IF($E$2="Deployment",deployment_raw[[#This Row],[Column5]],1)),IF(U300&lt;&gt;"",VALUE(U300) * IF($E$2="Deployment",deployment_raw[[#This Row],[Column5]],1),0)), 0),"")</f>
        <v/>
      </c>
      <c r="N300" s="166" t="str">
        <f>IF(ISNUMBER(deployment_raw[[#This Row],[Column14]]), deployment_raw[[#This Row],[Column14]]/IF(OR($E$2="Deployment",deployment_raw[[#This Row],[Column5]]=0),1,deployment_raw[[#This Row],[Column5]]),"")</f>
        <v/>
      </c>
      <c r="O300" s="167" t="str">
        <f>IF(ISNUMBER(deployment_raw[[#This Row],[Column15]]), deployment_raw[[#This Row],[Column15]]/IF(OR($E$2="Deployment",deployment_raw[[#This Row],[Column5]]=0),1,deployment_raw[[#This Row],[Column5]])/1048576,"")</f>
        <v/>
      </c>
      <c r="P300" s="168" t="str">
        <f>IF(ISNUMBER(deployment_raw[[#This Row],[Column12]]), (MIN(IF(N300&lt;&gt;"",N300,9999999999999)*1.1,deployment_raw[[#This Row],[Column12]] * IF($E$2="Deployment",deployment_raw[[#This Row],[Column5]],1))*(1+$P$2)),"")</f>
        <v/>
      </c>
      <c r="Q300" s="167" t="str">
        <f>IF(ISNUMBER(deployment_raw[[#This Row],[Column13]]), (MIN(IF(O300&lt;&gt;"",O300,9999999999999)*1.1,deployment_raw[[#This Row],[Column13]] * IF($E$2="Deployment",deployment_raw[[#This Row],[Column5]],1)*(1+$Q$2)/1048576)),"")</f>
        <v/>
      </c>
      <c r="R300" s="169" t="str">
        <f>IF(ISNUMBER(deployment_raw[[#This Row],[Column8]]), (H300  * IF(N300&lt;&gt;0,$R$2,1)),"")</f>
        <v/>
      </c>
      <c r="S300" s="170" t="str">
        <f>IF(ISNUMBER(deployment_raw[[#This Row],[Column8]]), (I300  * IF(O300&lt;&gt;0,$S$2,1)),"")</f>
        <v/>
      </c>
      <c r="T300" s="202" t="str">
        <f>IF(AND(A300&lt;&gt;"",_xlfn.IFNA(MATCH(A300,'dynamic resource application '!$A$2:$A$100, 0),0)&lt;&gt;0), H300/(IF($E$2="Deployment",E300,1)),"")</f>
        <v/>
      </c>
      <c r="U300" s="211" t="str">
        <f>IF(AND(A300&lt;&gt;"",_xlfn.IFNA(MATCH(A300,'dynamic resource application '!$A$2:$A$100, 0),0)&lt;&gt;0), I300/(IF($E$2="Deployment",E300,1)),"")</f>
        <v/>
      </c>
    </row>
    <row r="301" spans="1:21" ht="15.75" customHeight="1" x14ac:dyDescent="0.25">
      <c r="A301" s="35" t="str">
        <f>IF(ISNONTEXT(deployment_raw[[#This Row],[Column1]]), "", deployment_raw[[#This Row],[Column1]])</f>
        <v/>
      </c>
      <c r="B301" s="36" t="str">
        <f>IF(ISNONTEXT(deployment_raw[[#This Row],[Column2]]), "", deployment_raw[[#This Row],[Column2]])</f>
        <v/>
      </c>
      <c r="C301" s="36" t="str">
        <f>IF(ISNONTEXT(deployment_raw[[#This Row],[Column3]]), "", deployment_raw[[#This Row],[Column3]])</f>
        <v/>
      </c>
      <c r="D301" s="36" t="str">
        <f>IF(ISNONTEXT(deployment_raw[[#This Row],[Column4]]), "", deployment_raw[[#This Row],[Column4]])</f>
        <v/>
      </c>
      <c r="E301" s="37" t="str">
        <f>IF(ISNUMBER(deployment_raw[[#This Row],[Column5]]), deployment_raw[[#This Row],[Column5]],"")</f>
        <v/>
      </c>
      <c r="F301" s="94" t="str">
        <f>IF(ISNUMBER(deployment_raw[[#This Row],[Column6]]), (deployment_raw[[#This Row],[Column6]] * IF($E$2="Deployment",deployment_raw[[#This Row],[Column5]],1)),"")</f>
        <v/>
      </c>
      <c r="G301" s="95" t="str">
        <f>IF(ISNUMBER(deployment_raw[[#This Row],[Column7]]), (deployment_raw[[#This Row],[Column7]] * IF($E$2="Deployment",deployment_raw[[#This Row],[Column5]],1))/1048576,"")</f>
        <v/>
      </c>
      <c r="H301" s="95" t="str">
        <f>IF(ISNUMBER(deployment_raw[[#This Row],[Column8]]), (deployment_raw[[#This Row],[Column8]]  * IF($E$2="Deployment",deployment_raw[[#This Row],[Column5]],1)),"")</f>
        <v/>
      </c>
      <c r="I301" s="96" t="str">
        <f>IF(ISNUMBER(deployment_raw[[#This Row],[Column9]]), (deployment_raw[[#This Row],[Column9]] * IF($E$2="Deployment",deployment_raw[[#This Row],[Column5]],1))/1048576,"")</f>
        <v/>
      </c>
      <c r="J301" s="122" t="str">
        <f>IF(ISNUMBER(deployment_raw[[#This Row],[Column10]]), (MIN(IF(N301&lt;&gt;"",N301,9999999999999)*1.1,deployment_raw[[#This Row],[Column10]] * IF($E$2="Deployment",deployment_raw[[#This Row],[Column5]],1))),"")</f>
        <v/>
      </c>
      <c r="K301" s="123" t="str">
        <f>IF(ISNUMBER(deployment_raw[[#This Row],[Column11]]), (MIN(IF(O301&lt;&gt;"",O301,9999999999999)*1.1,deployment_raw[[#This Row],[Column11]] * IF($E$2="Deployment",deployment_raw[[#This Row],[Column5]],1)/1048576)),"")</f>
        <v/>
      </c>
      <c r="L301" s="124" t="str">
        <f>IF(ISNUMBER(deployment_raw[[#This Row],[Column8]]),IF(OR(deployment_raw[[#This Row],[Column5]] &lt;&gt; 0,$E$2 &lt;&gt; "Deployment"), MAX(J301, P301, R301, ($L$2 * IF($E$2="Deployment",deployment_raw[[#This Row],[Column5]],1)),IF(T301&lt;&gt;"",VALUE(T301) * IF($E$2="Deployment",deployment_raw[[#This Row],[Column5]],1),0)), 0),"")</f>
        <v/>
      </c>
      <c r="M301" s="125" t="str">
        <f>IF(ISNUMBER(deployment_raw[[#This Row],[Column9]]),IF(OR(deployment_raw[[#This Row],[Column5]] &lt;&gt; 0,$E$2&lt;&gt;"Deployment"), MAX(K301, Q301, S301, ($M$2 * IF($E$2="Deployment",deployment_raw[[#This Row],[Column5]],1)),IF(U301&lt;&gt;"",VALUE(U301) * IF($E$2="Deployment",deployment_raw[[#This Row],[Column5]],1),0)), 0),"")</f>
        <v/>
      </c>
      <c r="N301" s="166" t="str">
        <f>IF(ISNUMBER(deployment_raw[[#This Row],[Column14]]), deployment_raw[[#This Row],[Column14]]/IF(OR($E$2="Deployment",deployment_raw[[#This Row],[Column5]]=0),1,deployment_raw[[#This Row],[Column5]]),"")</f>
        <v/>
      </c>
      <c r="O301" s="167" t="str">
        <f>IF(ISNUMBER(deployment_raw[[#This Row],[Column15]]), deployment_raw[[#This Row],[Column15]]/IF(OR($E$2="Deployment",deployment_raw[[#This Row],[Column5]]=0),1,deployment_raw[[#This Row],[Column5]])/1048576,"")</f>
        <v/>
      </c>
      <c r="P301" s="168" t="str">
        <f>IF(ISNUMBER(deployment_raw[[#This Row],[Column12]]), (MIN(IF(N301&lt;&gt;"",N301,9999999999999)*1.1,deployment_raw[[#This Row],[Column12]] * IF($E$2="Deployment",deployment_raw[[#This Row],[Column5]],1))*(1+$P$2)),"")</f>
        <v/>
      </c>
      <c r="Q301" s="167" t="str">
        <f>IF(ISNUMBER(deployment_raw[[#This Row],[Column13]]), (MIN(IF(O301&lt;&gt;"",O301,9999999999999)*1.1,deployment_raw[[#This Row],[Column13]] * IF($E$2="Deployment",deployment_raw[[#This Row],[Column5]],1)*(1+$Q$2)/1048576)),"")</f>
        <v/>
      </c>
      <c r="R301" s="169" t="str">
        <f>IF(ISNUMBER(deployment_raw[[#This Row],[Column8]]), (H301  * IF(N301&lt;&gt;0,$R$2,1)),"")</f>
        <v/>
      </c>
      <c r="S301" s="170" t="str">
        <f>IF(ISNUMBER(deployment_raw[[#This Row],[Column8]]), (I301  * IF(O301&lt;&gt;0,$S$2,1)),"")</f>
        <v/>
      </c>
      <c r="T301" s="202" t="str">
        <f>IF(AND(A301&lt;&gt;"",_xlfn.IFNA(MATCH(A301,'dynamic resource application '!$A$2:$A$100, 0),0)&lt;&gt;0), H301/(IF($E$2="Deployment",E301,1)),"")</f>
        <v/>
      </c>
      <c r="U301" s="211" t="str">
        <f>IF(AND(A301&lt;&gt;"",_xlfn.IFNA(MATCH(A301,'dynamic resource application '!$A$2:$A$100, 0),0)&lt;&gt;0), I301/(IF($E$2="Deployment",E301,1)),"")</f>
        <v/>
      </c>
    </row>
    <row r="302" spans="1:21" ht="15.75" customHeight="1" x14ac:dyDescent="0.25">
      <c r="A302" s="35" t="str">
        <f>IF(ISNONTEXT(deployment_raw[[#This Row],[Column1]]), "", deployment_raw[[#This Row],[Column1]])</f>
        <v/>
      </c>
      <c r="B302" s="36" t="str">
        <f>IF(ISNONTEXT(deployment_raw[[#This Row],[Column2]]), "", deployment_raw[[#This Row],[Column2]])</f>
        <v/>
      </c>
      <c r="C302" s="36" t="str">
        <f>IF(ISNONTEXT(deployment_raw[[#This Row],[Column3]]), "", deployment_raw[[#This Row],[Column3]])</f>
        <v/>
      </c>
      <c r="D302" s="36" t="str">
        <f>IF(ISNONTEXT(deployment_raw[[#This Row],[Column4]]), "", deployment_raw[[#This Row],[Column4]])</f>
        <v/>
      </c>
      <c r="E302" s="37" t="str">
        <f>IF(ISNUMBER(deployment_raw[[#This Row],[Column5]]), deployment_raw[[#This Row],[Column5]],"")</f>
        <v/>
      </c>
      <c r="F302" s="94" t="str">
        <f>IF(ISNUMBER(deployment_raw[[#This Row],[Column6]]), (deployment_raw[[#This Row],[Column6]] * IF($E$2="Deployment",deployment_raw[[#This Row],[Column5]],1)),"")</f>
        <v/>
      </c>
      <c r="G302" s="95" t="str">
        <f>IF(ISNUMBER(deployment_raw[[#This Row],[Column7]]), (deployment_raw[[#This Row],[Column7]] * IF($E$2="Deployment",deployment_raw[[#This Row],[Column5]],1))/1048576,"")</f>
        <v/>
      </c>
      <c r="H302" s="95" t="str">
        <f>IF(ISNUMBER(deployment_raw[[#This Row],[Column8]]), (deployment_raw[[#This Row],[Column8]]  * IF($E$2="Deployment",deployment_raw[[#This Row],[Column5]],1)),"")</f>
        <v/>
      </c>
      <c r="I302" s="96" t="str">
        <f>IF(ISNUMBER(deployment_raw[[#This Row],[Column9]]), (deployment_raw[[#This Row],[Column9]] * IF($E$2="Deployment",deployment_raw[[#This Row],[Column5]],1))/1048576,"")</f>
        <v/>
      </c>
      <c r="J302" s="122" t="str">
        <f>IF(ISNUMBER(deployment_raw[[#This Row],[Column10]]), (MIN(IF(N302&lt;&gt;"",N302,9999999999999)*1.1,deployment_raw[[#This Row],[Column10]] * IF($E$2="Deployment",deployment_raw[[#This Row],[Column5]],1))),"")</f>
        <v/>
      </c>
      <c r="K302" s="123" t="str">
        <f>IF(ISNUMBER(deployment_raw[[#This Row],[Column11]]), (MIN(IF(O302&lt;&gt;"",O302,9999999999999)*1.1,deployment_raw[[#This Row],[Column11]] * IF($E$2="Deployment",deployment_raw[[#This Row],[Column5]],1)/1048576)),"")</f>
        <v/>
      </c>
      <c r="L302" s="124" t="str">
        <f>IF(ISNUMBER(deployment_raw[[#This Row],[Column8]]),IF(OR(deployment_raw[[#This Row],[Column5]] &lt;&gt; 0,$E$2 &lt;&gt; "Deployment"), MAX(J302, P302, R302, ($L$2 * IF($E$2="Deployment",deployment_raw[[#This Row],[Column5]],1)),IF(T302&lt;&gt;"",VALUE(T302) * IF($E$2="Deployment",deployment_raw[[#This Row],[Column5]],1),0)), 0),"")</f>
        <v/>
      </c>
      <c r="M302" s="125" t="str">
        <f>IF(ISNUMBER(deployment_raw[[#This Row],[Column9]]),IF(OR(deployment_raw[[#This Row],[Column5]] &lt;&gt; 0,$E$2&lt;&gt;"Deployment"), MAX(K302, Q302, S302, ($M$2 * IF($E$2="Deployment",deployment_raw[[#This Row],[Column5]],1)),IF(U302&lt;&gt;"",VALUE(U302) * IF($E$2="Deployment",deployment_raw[[#This Row],[Column5]],1),0)), 0),"")</f>
        <v/>
      </c>
      <c r="N302" s="166" t="str">
        <f>IF(ISNUMBER(deployment_raw[[#This Row],[Column14]]), deployment_raw[[#This Row],[Column14]]/IF(OR($E$2="Deployment",deployment_raw[[#This Row],[Column5]]=0),1,deployment_raw[[#This Row],[Column5]]),"")</f>
        <v/>
      </c>
      <c r="O302" s="167" t="str">
        <f>IF(ISNUMBER(deployment_raw[[#This Row],[Column15]]), deployment_raw[[#This Row],[Column15]]/IF(OR($E$2="Deployment",deployment_raw[[#This Row],[Column5]]=0),1,deployment_raw[[#This Row],[Column5]])/1048576,"")</f>
        <v/>
      </c>
      <c r="P302" s="168" t="str">
        <f>IF(ISNUMBER(deployment_raw[[#This Row],[Column12]]), (MIN(IF(N302&lt;&gt;"",N302,9999999999999)*1.1,deployment_raw[[#This Row],[Column12]] * IF($E$2="Deployment",deployment_raw[[#This Row],[Column5]],1))*(1+$P$2)),"")</f>
        <v/>
      </c>
      <c r="Q302" s="167" t="str">
        <f>IF(ISNUMBER(deployment_raw[[#This Row],[Column13]]), (MIN(IF(O302&lt;&gt;"",O302,9999999999999)*1.1,deployment_raw[[#This Row],[Column13]] * IF($E$2="Deployment",deployment_raw[[#This Row],[Column5]],1)*(1+$Q$2)/1048576)),"")</f>
        <v/>
      </c>
      <c r="R302" s="169" t="str">
        <f>IF(ISNUMBER(deployment_raw[[#This Row],[Column8]]), (H302  * IF(N302&lt;&gt;0,$R$2,1)),"")</f>
        <v/>
      </c>
      <c r="S302" s="170" t="str">
        <f>IF(ISNUMBER(deployment_raw[[#This Row],[Column8]]), (I302  * IF(O302&lt;&gt;0,$S$2,1)),"")</f>
        <v/>
      </c>
      <c r="T302" s="202" t="str">
        <f>IF(AND(A302&lt;&gt;"",_xlfn.IFNA(MATCH(A302,'dynamic resource application '!$A$2:$A$100, 0),0)&lt;&gt;0), H302/(IF($E$2="Deployment",E302,1)),"")</f>
        <v/>
      </c>
      <c r="U302" s="211" t="str">
        <f>IF(AND(A302&lt;&gt;"",_xlfn.IFNA(MATCH(A302,'dynamic resource application '!$A$2:$A$100, 0),0)&lt;&gt;0), I302/(IF($E$2="Deployment",E302,1)),"")</f>
        <v/>
      </c>
    </row>
    <row r="303" spans="1:21" ht="15.75" customHeight="1" x14ac:dyDescent="0.25">
      <c r="A303" s="35" t="str">
        <f>IF(ISNONTEXT(deployment_raw[[#This Row],[Column1]]), "", deployment_raw[[#This Row],[Column1]])</f>
        <v/>
      </c>
      <c r="B303" s="36" t="str">
        <f>IF(ISNONTEXT(deployment_raw[[#This Row],[Column2]]), "", deployment_raw[[#This Row],[Column2]])</f>
        <v/>
      </c>
      <c r="C303" s="36" t="str">
        <f>IF(ISNONTEXT(deployment_raw[[#This Row],[Column3]]), "", deployment_raw[[#This Row],[Column3]])</f>
        <v/>
      </c>
      <c r="D303" s="36" t="str">
        <f>IF(ISNONTEXT(deployment_raw[[#This Row],[Column4]]), "", deployment_raw[[#This Row],[Column4]])</f>
        <v/>
      </c>
      <c r="E303" s="37" t="str">
        <f>IF(ISNUMBER(deployment_raw[[#This Row],[Column5]]), deployment_raw[[#This Row],[Column5]],"")</f>
        <v/>
      </c>
      <c r="F303" s="94" t="str">
        <f>IF(ISNUMBER(deployment_raw[[#This Row],[Column6]]), (deployment_raw[[#This Row],[Column6]] * IF($E$2="Deployment",deployment_raw[[#This Row],[Column5]],1)),"")</f>
        <v/>
      </c>
      <c r="G303" s="95" t="str">
        <f>IF(ISNUMBER(deployment_raw[[#This Row],[Column7]]), (deployment_raw[[#This Row],[Column7]] * IF($E$2="Deployment",deployment_raw[[#This Row],[Column5]],1))/1048576,"")</f>
        <v/>
      </c>
      <c r="H303" s="95" t="str">
        <f>IF(ISNUMBER(deployment_raw[[#This Row],[Column8]]), (deployment_raw[[#This Row],[Column8]]  * IF($E$2="Deployment",deployment_raw[[#This Row],[Column5]],1)),"")</f>
        <v/>
      </c>
      <c r="I303" s="96" t="str">
        <f>IF(ISNUMBER(deployment_raw[[#This Row],[Column9]]), (deployment_raw[[#This Row],[Column9]] * IF($E$2="Deployment",deployment_raw[[#This Row],[Column5]],1))/1048576,"")</f>
        <v/>
      </c>
      <c r="J303" s="122" t="str">
        <f>IF(ISNUMBER(deployment_raw[[#This Row],[Column10]]), (MIN(IF(N303&lt;&gt;"",N303,9999999999999)*1.1,deployment_raw[[#This Row],[Column10]] * IF($E$2="Deployment",deployment_raw[[#This Row],[Column5]],1))),"")</f>
        <v/>
      </c>
      <c r="K303" s="123" t="str">
        <f>IF(ISNUMBER(deployment_raw[[#This Row],[Column11]]), (MIN(IF(O303&lt;&gt;"",O303,9999999999999)*1.1,deployment_raw[[#This Row],[Column11]] * IF($E$2="Deployment",deployment_raw[[#This Row],[Column5]],1)/1048576)),"")</f>
        <v/>
      </c>
      <c r="L303" s="124" t="str">
        <f>IF(ISNUMBER(deployment_raw[[#This Row],[Column8]]),IF(OR(deployment_raw[[#This Row],[Column5]] &lt;&gt; 0,$E$2 &lt;&gt; "Deployment"), MAX(J303, P303, R303, ($L$2 * IF($E$2="Deployment",deployment_raw[[#This Row],[Column5]],1)),IF(T303&lt;&gt;"",VALUE(T303) * IF($E$2="Deployment",deployment_raw[[#This Row],[Column5]],1),0)), 0),"")</f>
        <v/>
      </c>
      <c r="M303" s="125" t="str">
        <f>IF(ISNUMBER(deployment_raw[[#This Row],[Column9]]),IF(OR(deployment_raw[[#This Row],[Column5]] &lt;&gt; 0,$E$2&lt;&gt;"Deployment"), MAX(K303, Q303, S303, ($M$2 * IF($E$2="Deployment",deployment_raw[[#This Row],[Column5]],1)),IF(U303&lt;&gt;"",VALUE(U303) * IF($E$2="Deployment",deployment_raw[[#This Row],[Column5]],1),0)), 0),"")</f>
        <v/>
      </c>
      <c r="N303" s="166" t="str">
        <f>IF(ISNUMBER(deployment_raw[[#This Row],[Column14]]), deployment_raw[[#This Row],[Column14]]/IF(OR($E$2="Deployment",deployment_raw[[#This Row],[Column5]]=0),1,deployment_raw[[#This Row],[Column5]]),"")</f>
        <v/>
      </c>
      <c r="O303" s="167" t="str">
        <f>IF(ISNUMBER(deployment_raw[[#This Row],[Column15]]), deployment_raw[[#This Row],[Column15]]/IF(OR($E$2="Deployment",deployment_raw[[#This Row],[Column5]]=0),1,deployment_raw[[#This Row],[Column5]])/1048576,"")</f>
        <v/>
      </c>
      <c r="P303" s="168" t="str">
        <f>IF(ISNUMBER(deployment_raw[[#This Row],[Column12]]), (MIN(IF(N303&lt;&gt;"",N303,9999999999999)*1.1,deployment_raw[[#This Row],[Column12]] * IF($E$2="Deployment",deployment_raw[[#This Row],[Column5]],1))*(1+$P$2)),"")</f>
        <v/>
      </c>
      <c r="Q303" s="167" t="str">
        <f>IF(ISNUMBER(deployment_raw[[#This Row],[Column13]]), (MIN(IF(O303&lt;&gt;"",O303,9999999999999)*1.1,deployment_raw[[#This Row],[Column13]] * IF($E$2="Deployment",deployment_raw[[#This Row],[Column5]],1)*(1+$Q$2)/1048576)),"")</f>
        <v/>
      </c>
      <c r="R303" s="169" t="str">
        <f>IF(ISNUMBER(deployment_raw[[#This Row],[Column8]]), (H303  * IF(N303&lt;&gt;0,$R$2,1)),"")</f>
        <v/>
      </c>
      <c r="S303" s="170" t="str">
        <f>IF(ISNUMBER(deployment_raw[[#This Row],[Column8]]), (I303  * IF(O303&lt;&gt;0,$S$2,1)),"")</f>
        <v/>
      </c>
      <c r="T303" s="202" t="str">
        <f>IF(AND(A303&lt;&gt;"",_xlfn.IFNA(MATCH(A303,'dynamic resource application '!$A$2:$A$100, 0),0)&lt;&gt;0), H303/(IF($E$2="Deployment",E303,1)),"")</f>
        <v/>
      </c>
      <c r="U303" s="211" t="str">
        <f>IF(AND(A303&lt;&gt;"",_xlfn.IFNA(MATCH(A303,'dynamic resource application '!$A$2:$A$100, 0),0)&lt;&gt;0), I303/(IF($E$2="Deployment",E303,1)),"")</f>
        <v/>
      </c>
    </row>
    <row r="304" spans="1:21" ht="15.75" customHeight="1" x14ac:dyDescent="0.25">
      <c r="A304" s="35" t="str">
        <f>IF(ISNONTEXT(deployment_raw[[#This Row],[Column1]]), "", deployment_raw[[#This Row],[Column1]])</f>
        <v/>
      </c>
      <c r="B304" s="36" t="str">
        <f>IF(ISNONTEXT(deployment_raw[[#This Row],[Column2]]), "", deployment_raw[[#This Row],[Column2]])</f>
        <v/>
      </c>
      <c r="C304" s="36" t="str">
        <f>IF(ISNONTEXT(deployment_raw[[#This Row],[Column3]]), "", deployment_raw[[#This Row],[Column3]])</f>
        <v/>
      </c>
      <c r="D304" s="36" t="str">
        <f>IF(ISNONTEXT(deployment_raw[[#This Row],[Column4]]), "", deployment_raw[[#This Row],[Column4]])</f>
        <v/>
      </c>
      <c r="E304" s="37" t="str">
        <f>IF(ISNUMBER(deployment_raw[[#This Row],[Column5]]), deployment_raw[[#This Row],[Column5]],"")</f>
        <v/>
      </c>
      <c r="F304" s="94" t="str">
        <f>IF(ISNUMBER(deployment_raw[[#This Row],[Column6]]), (deployment_raw[[#This Row],[Column6]] * IF($E$2="Deployment",deployment_raw[[#This Row],[Column5]],1)),"")</f>
        <v/>
      </c>
      <c r="G304" s="95" t="str">
        <f>IF(ISNUMBER(deployment_raw[[#This Row],[Column7]]), (deployment_raw[[#This Row],[Column7]] * IF($E$2="Deployment",deployment_raw[[#This Row],[Column5]],1))/1048576,"")</f>
        <v/>
      </c>
      <c r="H304" s="95" t="str">
        <f>IF(ISNUMBER(deployment_raw[[#This Row],[Column8]]), (deployment_raw[[#This Row],[Column8]]  * IF($E$2="Deployment",deployment_raw[[#This Row],[Column5]],1)),"")</f>
        <v/>
      </c>
      <c r="I304" s="96" t="str">
        <f>IF(ISNUMBER(deployment_raw[[#This Row],[Column9]]), (deployment_raw[[#This Row],[Column9]] * IF($E$2="Deployment",deployment_raw[[#This Row],[Column5]],1))/1048576,"")</f>
        <v/>
      </c>
      <c r="J304" s="122" t="str">
        <f>IF(ISNUMBER(deployment_raw[[#This Row],[Column10]]), (MIN(IF(N304&lt;&gt;"",N304,9999999999999)*1.1,deployment_raw[[#This Row],[Column10]] * IF($E$2="Deployment",deployment_raw[[#This Row],[Column5]],1))),"")</f>
        <v/>
      </c>
      <c r="K304" s="123" t="str">
        <f>IF(ISNUMBER(deployment_raw[[#This Row],[Column11]]), (MIN(IF(O304&lt;&gt;"",O304,9999999999999)*1.1,deployment_raw[[#This Row],[Column11]] * IF($E$2="Deployment",deployment_raw[[#This Row],[Column5]],1)/1048576)),"")</f>
        <v/>
      </c>
      <c r="L304" s="124" t="str">
        <f>IF(ISNUMBER(deployment_raw[[#This Row],[Column8]]),IF(OR(deployment_raw[[#This Row],[Column5]] &lt;&gt; 0,$E$2 &lt;&gt; "Deployment"), MAX(J304, P304, R304, ($L$2 * IF($E$2="Deployment",deployment_raw[[#This Row],[Column5]],1)),IF(T304&lt;&gt;"",VALUE(T304) * IF($E$2="Deployment",deployment_raw[[#This Row],[Column5]],1),0)), 0),"")</f>
        <v/>
      </c>
      <c r="M304" s="125" t="str">
        <f>IF(ISNUMBER(deployment_raw[[#This Row],[Column9]]),IF(OR(deployment_raw[[#This Row],[Column5]] &lt;&gt; 0,$E$2&lt;&gt;"Deployment"), MAX(K304, Q304, S304, ($M$2 * IF($E$2="Deployment",deployment_raw[[#This Row],[Column5]],1)),IF(U304&lt;&gt;"",VALUE(U304) * IF($E$2="Deployment",deployment_raw[[#This Row],[Column5]],1),0)), 0),"")</f>
        <v/>
      </c>
      <c r="N304" s="166" t="str">
        <f>IF(ISNUMBER(deployment_raw[[#This Row],[Column14]]), deployment_raw[[#This Row],[Column14]]/IF(OR($E$2="Deployment",deployment_raw[[#This Row],[Column5]]=0),1,deployment_raw[[#This Row],[Column5]]),"")</f>
        <v/>
      </c>
      <c r="O304" s="167" t="str">
        <f>IF(ISNUMBER(deployment_raw[[#This Row],[Column15]]), deployment_raw[[#This Row],[Column15]]/IF(OR($E$2="Deployment",deployment_raw[[#This Row],[Column5]]=0),1,deployment_raw[[#This Row],[Column5]])/1048576,"")</f>
        <v/>
      </c>
      <c r="P304" s="168" t="str">
        <f>IF(ISNUMBER(deployment_raw[[#This Row],[Column12]]), (MIN(IF(N304&lt;&gt;"",N304,9999999999999)*1.1,deployment_raw[[#This Row],[Column12]] * IF($E$2="Deployment",deployment_raw[[#This Row],[Column5]],1))*(1+$P$2)),"")</f>
        <v/>
      </c>
      <c r="Q304" s="167" t="str">
        <f>IF(ISNUMBER(deployment_raw[[#This Row],[Column13]]), (MIN(IF(O304&lt;&gt;"",O304,9999999999999)*1.1,deployment_raw[[#This Row],[Column13]] * IF($E$2="Deployment",deployment_raw[[#This Row],[Column5]],1)*(1+$Q$2)/1048576)),"")</f>
        <v/>
      </c>
      <c r="R304" s="169" t="str">
        <f>IF(ISNUMBER(deployment_raw[[#This Row],[Column8]]), (H304  * IF(N304&lt;&gt;0,$R$2,1)),"")</f>
        <v/>
      </c>
      <c r="S304" s="170" t="str">
        <f>IF(ISNUMBER(deployment_raw[[#This Row],[Column8]]), (I304  * IF(O304&lt;&gt;0,$S$2,1)),"")</f>
        <v/>
      </c>
      <c r="T304" s="202" t="str">
        <f>IF(AND(A304&lt;&gt;"",_xlfn.IFNA(MATCH(A304,'dynamic resource application '!$A$2:$A$100, 0),0)&lt;&gt;0), H304/(IF($E$2="Deployment",E304,1)),"")</f>
        <v/>
      </c>
      <c r="U304" s="211" t="str">
        <f>IF(AND(A304&lt;&gt;"",_xlfn.IFNA(MATCH(A304,'dynamic resource application '!$A$2:$A$100, 0),0)&lt;&gt;0), I304/(IF($E$2="Deployment",E304,1)),"")</f>
        <v/>
      </c>
    </row>
    <row r="305" spans="1:21" ht="15.75" customHeight="1" x14ac:dyDescent="0.25">
      <c r="A305" s="35" t="str">
        <f>IF(ISNONTEXT(deployment_raw[[#This Row],[Column1]]), "", deployment_raw[[#This Row],[Column1]])</f>
        <v/>
      </c>
      <c r="B305" s="36" t="str">
        <f>IF(ISNONTEXT(deployment_raw[[#This Row],[Column2]]), "", deployment_raw[[#This Row],[Column2]])</f>
        <v/>
      </c>
      <c r="C305" s="36" t="str">
        <f>IF(ISNONTEXT(deployment_raw[[#This Row],[Column3]]), "", deployment_raw[[#This Row],[Column3]])</f>
        <v/>
      </c>
      <c r="D305" s="36" t="str">
        <f>IF(ISNONTEXT(deployment_raw[[#This Row],[Column4]]), "", deployment_raw[[#This Row],[Column4]])</f>
        <v/>
      </c>
      <c r="E305" s="37" t="str">
        <f>IF(ISNUMBER(deployment_raw[[#This Row],[Column5]]), deployment_raw[[#This Row],[Column5]],"")</f>
        <v/>
      </c>
      <c r="F305" s="94" t="str">
        <f>IF(ISNUMBER(deployment_raw[[#This Row],[Column6]]), (deployment_raw[[#This Row],[Column6]] * IF($E$2="Deployment",deployment_raw[[#This Row],[Column5]],1)),"")</f>
        <v/>
      </c>
      <c r="G305" s="95" t="str">
        <f>IF(ISNUMBER(deployment_raw[[#This Row],[Column7]]), (deployment_raw[[#This Row],[Column7]] * IF($E$2="Deployment",deployment_raw[[#This Row],[Column5]],1))/1048576,"")</f>
        <v/>
      </c>
      <c r="H305" s="95" t="str">
        <f>IF(ISNUMBER(deployment_raw[[#This Row],[Column8]]), (deployment_raw[[#This Row],[Column8]]  * IF($E$2="Deployment",deployment_raw[[#This Row],[Column5]],1)),"")</f>
        <v/>
      </c>
      <c r="I305" s="96" t="str">
        <f>IF(ISNUMBER(deployment_raw[[#This Row],[Column9]]), (deployment_raw[[#This Row],[Column9]] * IF($E$2="Deployment",deployment_raw[[#This Row],[Column5]],1))/1048576,"")</f>
        <v/>
      </c>
      <c r="J305" s="122" t="str">
        <f>IF(ISNUMBER(deployment_raw[[#This Row],[Column10]]), (MIN(IF(N305&lt;&gt;"",N305,9999999999999)*1.1,deployment_raw[[#This Row],[Column10]] * IF($E$2="Deployment",deployment_raw[[#This Row],[Column5]],1))),"")</f>
        <v/>
      </c>
      <c r="K305" s="123" t="str">
        <f>IF(ISNUMBER(deployment_raw[[#This Row],[Column11]]), (MIN(IF(O305&lt;&gt;"",O305,9999999999999)*1.1,deployment_raw[[#This Row],[Column11]] * IF($E$2="Deployment",deployment_raw[[#This Row],[Column5]],1)/1048576)),"")</f>
        <v/>
      </c>
      <c r="L305" s="124" t="str">
        <f>IF(ISNUMBER(deployment_raw[[#This Row],[Column8]]),IF(OR(deployment_raw[[#This Row],[Column5]] &lt;&gt; 0,$E$2 &lt;&gt; "Deployment"), MAX(J305, P305, R305, ($L$2 * IF($E$2="Deployment",deployment_raw[[#This Row],[Column5]],1)),IF(T305&lt;&gt;"",VALUE(T305) * IF($E$2="Deployment",deployment_raw[[#This Row],[Column5]],1),0)), 0),"")</f>
        <v/>
      </c>
      <c r="M305" s="125" t="str">
        <f>IF(ISNUMBER(deployment_raw[[#This Row],[Column9]]),IF(OR(deployment_raw[[#This Row],[Column5]] &lt;&gt; 0,$E$2&lt;&gt;"Deployment"), MAX(K305, Q305, S305, ($M$2 * IF($E$2="Deployment",deployment_raw[[#This Row],[Column5]],1)),IF(U305&lt;&gt;"",VALUE(U305) * IF($E$2="Deployment",deployment_raw[[#This Row],[Column5]],1),0)), 0),"")</f>
        <v/>
      </c>
      <c r="N305" s="166" t="str">
        <f>IF(ISNUMBER(deployment_raw[[#This Row],[Column14]]), deployment_raw[[#This Row],[Column14]]/IF(OR($E$2="Deployment",deployment_raw[[#This Row],[Column5]]=0),1,deployment_raw[[#This Row],[Column5]]),"")</f>
        <v/>
      </c>
      <c r="O305" s="167" t="str">
        <f>IF(ISNUMBER(deployment_raw[[#This Row],[Column15]]), deployment_raw[[#This Row],[Column15]]/IF(OR($E$2="Deployment",deployment_raw[[#This Row],[Column5]]=0),1,deployment_raw[[#This Row],[Column5]])/1048576,"")</f>
        <v/>
      </c>
      <c r="P305" s="168" t="str">
        <f>IF(ISNUMBER(deployment_raw[[#This Row],[Column12]]), (MIN(IF(N305&lt;&gt;"",N305,9999999999999)*1.1,deployment_raw[[#This Row],[Column12]] * IF($E$2="Deployment",deployment_raw[[#This Row],[Column5]],1))*(1+$P$2)),"")</f>
        <v/>
      </c>
      <c r="Q305" s="167" t="str">
        <f>IF(ISNUMBER(deployment_raw[[#This Row],[Column13]]), (MIN(IF(O305&lt;&gt;"",O305,9999999999999)*1.1,deployment_raw[[#This Row],[Column13]] * IF($E$2="Deployment",deployment_raw[[#This Row],[Column5]],1)*(1+$Q$2)/1048576)),"")</f>
        <v/>
      </c>
      <c r="R305" s="169" t="str">
        <f>IF(ISNUMBER(deployment_raw[[#This Row],[Column8]]), (H305  * IF(N305&lt;&gt;0,$R$2,1)),"")</f>
        <v/>
      </c>
      <c r="S305" s="170" t="str">
        <f>IF(ISNUMBER(deployment_raw[[#This Row],[Column8]]), (I305  * IF(O305&lt;&gt;0,$S$2,1)),"")</f>
        <v/>
      </c>
      <c r="T305" s="202" t="str">
        <f>IF(AND(A305&lt;&gt;"",_xlfn.IFNA(MATCH(A305,'dynamic resource application '!$A$2:$A$100, 0),0)&lt;&gt;0), H305/(IF($E$2="Deployment",E305,1)),"")</f>
        <v/>
      </c>
      <c r="U305" s="211" t="str">
        <f>IF(AND(A305&lt;&gt;"",_xlfn.IFNA(MATCH(A305,'dynamic resource application '!$A$2:$A$100, 0),0)&lt;&gt;0), I305/(IF($E$2="Deployment",E305,1)),"")</f>
        <v/>
      </c>
    </row>
    <row r="306" spans="1:21" ht="15.75" customHeight="1" x14ac:dyDescent="0.25">
      <c r="A306" s="35" t="str">
        <f>IF(ISNONTEXT(deployment_raw[[#This Row],[Column1]]), "", deployment_raw[[#This Row],[Column1]])</f>
        <v/>
      </c>
      <c r="B306" s="36" t="str">
        <f>IF(ISNONTEXT(deployment_raw[[#This Row],[Column2]]), "", deployment_raw[[#This Row],[Column2]])</f>
        <v/>
      </c>
      <c r="C306" s="36" t="str">
        <f>IF(ISNONTEXT(deployment_raw[[#This Row],[Column3]]), "", deployment_raw[[#This Row],[Column3]])</f>
        <v/>
      </c>
      <c r="D306" s="36" t="str">
        <f>IF(ISNONTEXT(deployment_raw[[#This Row],[Column4]]), "", deployment_raw[[#This Row],[Column4]])</f>
        <v/>
      </c>
      <c r="E306" s="37" t="str">
        <f>IF(ISNUMBER(deployment_raw[[#This Row],[Column5]]), deployment_raw[[#This Row],[Column5]],"")</f>
        <v/>
      </c>
      <c r="F306" s="94" t="str">
        <f>IF(ISNUMBER(deployment_raw[[#This Row],[Column6]]), (deployment_raw[[#This Row],[Column6]] * IF($E$2="Deployment",deployment_raw[[#This Row],[Column5]],1)),"")</f>
        <v/>
      </c>
      <c r="G306" s="95" t="str">
        <f>IF(ISNUMBER(deployment_raw[[#This Row],[Column7]]), (deployment_raw[[#This Row],[Column7]] * IF($E$2="Deployment",deployment_raw[[#This Row],[Column5]],1))/1048576,"")</f>
        <v/>
      </c>
      <c r="H306" s="95" t="str">
        <f>IF(ISNUMBER(deployment_raw[[#This Row],[Column8]]), (deployment_raw[[#This Row],[Column8]]  * IF($E$2="Deployment",deployment_raw[[#This Row],[Column5]],1)),"")</f>
        <v/>
      </c>
      <c r="I306" s="96" t="str">
        <f>IF(ISNUMBER(deployment_raw[[#This Row],[Column9]]), (deployment_raw[[#This Row],[Column9]] * IF($E$2="Deployment",deployment_raw[[#This Row],[Column5]],1))/1048576,"")</f>
        <v/>
      </c>
      <c r="J306" s="122" t="str">
        <f>IF(ISNUMBER(deployment_raw[[#This Row],[Column10]]), (MIN(IF(N306&lt;&gt;"",N306,9999999999999)*1.1,deployment_raw[[#This Row],[Column10]] * IF($E$2="Deployment",deployment_raw[[#This Row],[Column5]],1))),"")</f>
        <v/>
      </c>
      <c r="K306" s="123" t="str">
        <f>IF(ISNUMBER(deployment_raw[[#This Row],[Column11]]), (MIN(IF(O306&lt;&gt;"",O306,9999999999999)*1.1,deployment_raw[[#This Row],[Column11]] * IF($E$2="Deployment",deployment_raw[[#This Row],[Column5]],1)/1048576)),"")</f>
        <v/>
      </c>
      <c r="L306" s="124" t="str">
        <f>IF(ISNUMBER(deployment_raw[[#This Row],[Column8]]),IF(OR(deployment_raw[[#This Row],[Column5]] &lt;&gt; 0,$E$2 &lt;&gt; "Deployment"), MAX(J306, P306, R306, ($L$2 * IF($E$2="Deployment",deployment_raw[[#This Row],[Column5]],1)),IF(T306&lt;&gt;"",VALUE(T306) * IF($E$2="Deployment",deployment_raw[[#This Row],[Column5]],1),0)), 0),"")</f>
        <v/>
      </c>
      <c r="M306" s="125" t="str">
        <f>IF(ISNUMBER(deployment_raw[[#This Row],[Column9]]),IF(OR(deployment_raw[[#This Row],[Column5]] &lt;&gt; 0,$E$2&lt;&gt;"Deployment"), MAX(K306, Q306, S306, ($M$2 * IF($E$2="Deployment",deployment_raw[[#This Row],[Column5]],1)),IF(U306&lt;&gt;"",VALUE(U306) * IF($E$2="Deployment",deployment_raw[[#This Row],[Column5]],1),0)), 0),"")</f>
        <v/>
      </c>
      <c r="N306" s="166" t="str">
        <f>IF(ISNUMBER(deployment_raw[[#This Row],[Column14]]), deployment_raw[[#This Row],[Column14]]/IF(OR($E$2="Deployment",deployment_raw[[#This Row],[Column5]]=0),1,deployment_raw[[#This Row],[Column5]]),"")</f>
        <v/>
      </c>
      <c r="O306" s="167" t="str">
        <f>IF(ISNUMBER(deployment_raw[[#This Row],[Column15]]), deployment_raw[[#This Row],[Column15]]/IF(OR($E$2="Deployment",deployment_raw[[#This Row],[Column5]]=0),1,deployment_raw[[#This Row],[Column5]])/1048576,"")</f>
        <v/>
      </c>
      <c r="P306" s="168" t="str">
        <f>IF(ISNUMBER(deployment_raw[[#This Row],[Column12]]), (MIN(IF(N306&lt;&gt;"",N306,9999999999999)*1.1,deployment_raw[[#This Row],[Column12]] * IF($E$2="Deployment",deployment_raw[[#This Row],[Column5]],1))*(1+$P$2)),"")</f>
        <v/>
      </c>
      <c r="Q306" s="167" t="str">
        <f>IF(ISNUMBER(deployment_raw[[#This Row],[Column13]]), (MIN(IF(O306&lt;&gt;"",O306,9999999999999)*1.1,deployment_raw[[#This Row],[Column13]] * IF($E$2="Deployment",deployment_raw[[#This Row],[Column5]],1)*(1+$Q$2)/1048576)),"")</f>
        <v/>
      </c>
      <c r="R306" s="169" t="str">
        <f>IF(ISNUMBER(deployment_raw[[#This Row],[Column8]]), (H306  * IF(N306&lt;&gt;0,$R$2,1)),"")</f>
        <v/>
      </c>
      <c r="S306" s="170" t="str">
        <f>IF(ISNUMBER(deployment_raw[[#This Row],[Column8]]), (I306  * IF(O306&lt;&gt;0,$S$2,1)),"")</f>
        <v/>
      </c>
      <c r="T306" s="202" t="str">
        <f>IF(AND(A306&lt;&gt;"",_xlfn.IFNA(MATCH(A306,'dynamic resource application '!$A$2:$A$100, 0),0)&lt;&gt;0), H306/(IF($E$2="Deployment",E306,1)),"")</f>
        <v/>
      </c>
      <c r="U306" s="211" t="str">
        <f>IF(AND(A306&lt;&gt;"",_xlfn.IFNA(MATCH(A306,'dynamic resource application '!$A$2:$A$100, 0),0)&lt;&gt;0), I306/(IF($E$2="Deployment",E306,1)),"")</f>
        <v/>
      </c>
    </row>
    <row r="307" spans="1:21" ht="15.75" customHeight="1" x14ac:dyDescent="0.25">
      <c r="A307" s="35" t="str">
        <f>IF(ISNONTEXT(deployment_raw[[#This Row],[Column1]]), "", deployment_raw[[#This Row],[Column1]])</f>
        <v/>
      </c>
      <c r="B307" s="36" t="str">
        <f>IF(ISNONTEXT(deployment_raw[[#This Row],[Column2]]), "", deployment_raw[[#This Row],[Column2]])</f>
        <v/>
      </c>
      <c r="C307" s="36" t="str">
        <f>IF(ISNONTEXT(deployment_raw[[#This Row],[Column3]]), "", deployment_raw[[#This Row],[Column3]])</f>
        <v/>
      </c>
      <c r="D307" s="36" t="str">
        <f>IF(ISNONTEXT(deployment_raw[[#This Row],[Column4]]), "", deployment_raw[[#This Row],[Column4]])</f>
        <v/>
      </c>
      <c r="E307" s="37" t="str">
        <f>IF(ISNUMBER(deployment_raw[[#This Row],[Column5]]), deployment_raw[[#This Row],[Column5]],"")</f>
        <v/>
      </c>
      <c r="F307" s="94" t="str">
        <f>IF(ISNUMBER(deployment_raw[[#This Row],[Column6]]), (deployment_raw[[#This Row],[Column6]] * IF($E$2="Deployment",deployment_raw[[#This Row],[Column5]],1)),"")</f>
        <v/>
      </c>
      <c r="G307" s="95" t="str">
        <f>IF(ISNUMBER(deployment_raw[[#This Row],[Column7]]), (deployment_raw[[#This Row],[Column7]] * IF($E$2="Deployment",deployment_raw[[#This Row],[Column5]],1))/1048576,"")</f>
        <v/>
      </c>
      <c r="H307" s="95" t="str">
        <f>IF(ISNUMBER(deployment_raw[[#This Row],[Column8]]), (deployment_raw[[#This Row],[Column8]]  * IF($E$2="Deployment",deployment_raw[[#This Row],[Column5]],1)),"")</f>
        <v/>
      </c>
      <c r="I307" s="96" t="str">
        <f>IF(ISNUMBER(deployment_raw[[#This Row],[Column9]]), (deployment_raw[[#This Row],[Column9]] * IF($E$2="Deployment",deployment_raw[[#This Row],[Column5]],1))/1048576,"")</f>
        <v/>
      </c>
      <c r="J307" s="122" t="str">
        <f>IF(ISNUMBER(deployment_raw[[#This Row],[Column10]]), (MIN(IF(N307&lt;&gt;"",N307,9999999999999)*1.1,deployment_raw[[#This Row],[Column10]] * IF($E$2="Deployment",deployment_raw[[#This Row],[Column5]],1))),"")</f>
        <v/>
      </c>
      <c r="K307" s="123" t="str">
        <f>IF(ISNUMBER(deployment_raw[[#This Row],[Column11]]), (MIN(IF(O307&lt;&gt;"",O307,9999999999999)*1.1,deployment_raw[[#This Row],[Column11]] * IF($E$2="Deployment",deployment_raw[[#This Row],[Column5]],1)/1048576)),"")</f>
        <v/>
      </c>
      <c r="L307" s="124" t="str">
        <f>IF(ISNUMBER(deployment_raw[[#This Row],[Column8]]),IF(OR(deployment_raw[[#This Row],[Column5]] &lt;&gt; 0,$E$2 &lt;&gt; "Deployment"), MAX(J307, P307, R307, ($L$2 * IF($E$2="Deployment",deployment_raw[[#This Row],[Column5]],1)),IF(T307&lt;&gt;"",VALUE(T307) * IF($E$2="Deployment",deployment_raw[[#This Row],[Column5]],1),0)), 0),"")</f>
        <v/>
      </c>
      <c r="M307" s="125" t="str">
        <f>IF(ISNUMBER(deployment_raw[[#This Row],[Column9]]),IF(OR(deployment_raw[[#This Row],[Column5]] &lt;&gt; 0,$E$2&lt;&gt;"Deployment"), MAX(K307, Q307, S307, ($M$2 * IF($E$2="Deployment",deployment_raw[[#This Row],[Column5]],1)),IF(U307&lt;&gt;"",VALUE(U307) * IF($E$2="Deployment",deployment_raw[[#This Row],[Column5]],1),0)), 0),"")</f>
        <v/>
      </c>
      <c r="N307" s="166" t="str">
        <f>IF(ISNUMBER(deployment_raw[[#This Row],[Column14]]), deployment_raw[[#This Row],[Column14]]/IF(OR($E$2="Deployment",deployment_raw[[#This Row],[Column5]]=0),1,deployment_raw[[#This Row],[Column5]]),"")</f>
        <v/>
      </c>
      <c r="O307" s="167" t="str">
        <f>IF(ISNUMBER(deployment_raw[[#This Row],[Column15]]), deployment_raw[[#This Row],[Column15]]/IF(OR($E$2="Deployment",deployment_raw[[#This Row],[Column5]]=0),1,deployment_raw[[#This Row],[Column5]])/1048576,"")</f>
        <v/>
      </c>
      <c r="P307" s="168" t="str">
        <f>IF(ISNUMBER(deployment_raw[[#This Row],[Column12]]), (MIN(IF(N307&lt;&gt;"",N307,9999999999999)*1.1,deployment_raw[[#This Row],[Column12]] * IF($E$2="Deployment",deployment_raw[[#This Row],[Column5]],1))*(1+$P$2)),"")</f>
        <v/>
      </c>
      <c r="Q307" s="167" t="str">
        <f>IF(ISNUMBER(deployment_raw[[#This Row],[Column13]]), (MIN(IF(O307&lt;&gt;"",O307,9999999999999)*1.1,deployment_raw[[#This Row],[Column13]] * IF($E$2="Deployment",deployment_raw[[#This Row],[Column5]],1)*(1+$Q$2)/1048576)),"")</f>
        <v/>
      </c>
      <c r="R307" s="169" t="str">
        <f>IF(ISNUMBER(deployment_raw[[#This Row],[Column8]]), (H307  * IF(N307&lt;&gt;0,$R$2,1)),"")</f>
        <v/>
      </c>
      <c r="S307" s="170" t="str">
        <f>IF(ISNUMBER(deployment_raw[[#This Row],[Column8]]), (I307  * IF(O307&lt;&gt;0,$S$2,1)),"")</f>
        <v/>
      </c>
      <c r="T307" s="202" t="str">
        <f>IF(AND(A307&lt;&gt;"",_xlfn.IFNA(MATCH(A307,'dynamic resource application '!$A$2:$A$100, 0),0)&lt;&gt;0), H307/(IF($E$2="Deployment",E307,1)),"")</f>
        <v/>
      </c>
      <c r="U307" s="211" t="str">
        <f>IF(AND(A307&lt;&gt;"",_xlfn.IFNA(MATCH(A307,'dynamic resource application '!$A$2:$A$100, 0),0)&lt;&gt;0), I307/(IF($E$2="Deployment",E307,1)),"")</f>
        <v/>
      </c>
    </row>
    <row r="308" spans="1:21" ht="15.75" customHeight="1" x14ac:dyDescent="0.25">
      <c r="A308" s="35" t="str">
        <f>IF(ISNONTEXT(deployment_raw[[#This Row],[Column1]]), "", deployment_raw[[#This Row],[Column1]])</f>
        <v/>
      </c>
      <c r="B308" s="36" t="str">
        <f>IF(ISNONTEXT(deployment_raw[[#This Row],[Column2]]), "", deployment_raw[[#This Row],[Column2]])</f>
        <v/>
      </c>
      <c r="C308" s="36" t="str">
        <f>IF(ISNONTEXT(deployment_raw[[#This Row],[Column3]]), "", deployment_raw[[#This Row],[Column3]])</f>
        <v/>
      </c>
      <c r="D308" s="36" t="str">
        <f>IF(ISNONTEXT(deployment_raw[[#This Row],[Column4]]), "", deployment_raw[[#This Row],[Column4]])</f>
        <v/>
      </c>
      <c r="E308" s="37" t="str">
        <f>IF(ISNUMBER(deployment_raw[[#This Row],[Column5]]), deployment_raw[[#This Row],[Column5]],"")</f>
        <v/>
      </c>
      <c r="F308" s="94" t="str">
        <f>IF(ISNUMBER(deployment_raw[[#This Row],[Column6]]), (deployment_raw[[#This Row],[Column6]] * IF($E$2="Deployment",deployment_raw[[#This Row],[Column5]],1)),"")</f>
        <v/>
      </c>
      <c r="G308" s="95" t="str">
        <f>IF(ISNUMBER(deployment_raw[[#This Row],[Column7]]), (deployment_raw[[#This Row],[Column7]] * IF($E$2="Deployment",deployment_raw[[#This Row],[Column5]],1))/1048576,"")</f>
        <v/>
      </c>
      <c r="H308" s="95" t="str">
        <f>IF(ISNUMBER(deployment_raw[[#This Row],[Column8]]), (deployment_raw[[#This Row],[Column8]]  * IF($E$2="Deployment",deployment_raw[[#This Row],[Column5]],1)),"")</f>
        <v/>
      </c>
      <c r="I308" s="96" t="str">
        <f>IF(ISNUMBER(deployment_raw[[#This Row],[Column9]]), (deployment_raw[[#This Row],[Column9]] * IF($E$2="Deployment",deployment_raw[[#This Row],[Column5]],1))/1048576,"")</f>
        <v/>
      </c>
      <c r="J308" s="122" t="str">
        <f>IF(ISNUMBER(deployment_raw[[#This Row],[Column10]]), (MIN(IF(N308&lt;&gt;"",N308,9999999999999)*1.1,deployment_raw[[#This Row],[Column10]] * IF($E$2="Deployment",deployment_raw[[#This Row],[Column5]],1))),"")</f>
        <v/>
      </c>
      <c r="K308" s="123" t="str">
        <f>IF(ISNUMBER(deployment_raw[[#This Row],[Column11]]), (MIN(IF(O308&lt;&gt;"",O308,9999999999999)*1.1,deployment_raw[[#This Row],[Column11]] * IF($E$2="Deployment",deployment_raw[[#This Row],[Column5]],1)/1048576)),"")</f>
        <v/>
      </c>
      <c r="L308" s="124" t="str">
        <f>IF(ISNUMBER(deployment_raw[[#This Row],[Column8]]),IF(OR(deployment_raw[[#This Row],[Column5]] &lt;&gt; 0,$E$2 &lt;&gt; "Deployment"), MAX(J308, P308, R308, ($L$2 * IF($E$2="Deployment",deployment_raw[[#This Row],[Column5]],1)),IF(T308&lt;&gt;"",VALUE(T308) * IF($E$2="Deployment",deployment_raw[[#This Row],[Column5]],1),0)), 0),"")</f>
        <v/>
      </c>
      <c r="M308" s="125" t="str">
        <f>IF(ISNUMBER(deployment_raw[[#This Row],[Column9]]),IF(OR(deployment_raw[[#This Row],[Column5]] &lt;&gt; 0,$E$2&lt;&gt;"Deployment"), MAX(K308, Q308, S308, ($M$2 * IF($E$2="Deployment",deployment_raw[[#This Row],[Column5]],1)),IF(U308&lt;&gt;"",VALUE(U308) * IF($E$2="Deployment",deployment_raw[[#This Row],[Column5]],1),0)), 0),"")</f>
        <v/>
      </c>
      <c r="N308" s="166" t="str">
        <f>IF(ISNUMBER(deployment_raw[[#This Row],[Column14]]), deployment_raw[[#This Row],[Column14]]/IF(OR($E$2="Deployment",deployment_raw[[#This Row],[Column5]]=0),1,deployment_raw[[#This Row],[Column5]]),"")</f>
        <v/>
      </c>
      <c r="O308" s="167" t="str">
        <f>IF(ISNUMBER(deployment_raw[[#This Row],[Column15]]), deployment_raw[[#This Row],[Column15]]/IF(OR($E$2="Deployment",deployment_raw[[#This Row],[Column5]]=0),1,deployment_raw[[#This Row],[Column5]])/1048576,"")</f>
        <v/>
      </c>
      <c r="P308" s="168" t="str">
        <f>IF(ISNUMBER(deployment_raw[[#This Row],[Column12]]), (MIN(IF(N308&lt;&gt;"",N308,9999999999999)*1.1,deployment_raw[[#This Row],[Column12]] * IF($E$2="Deployment",deployment_raw[[#This Row],[Column5]],1))*(1+$P$2)),"")</f>
        <v/>
      </c>
      <c r="Q308" s="167" t="str">
        <f>IF(ISNUMBER(deployment_raw[[#This Row],[Column13]]), (MIN(IF(O308&lt;&gt;"",O308,9999999999999)*1.1,deployment_raw[[#This Row],[Column13]] * IF($E$2="Deployment",deployment_raw[[#This Row],[Column5]],1)*(1+$Q$2)/1048576)),"")</f>
        <v/>
      </c>
      <c r="R308" s="169" t="str">
        <f>IF(ISNUMBER(deployment_raw[[#This Row],[Column8]]), (H308  * IF(N308&lt;&gt;0,$R$2,1)),"")</f>
        <v/>
      </c>
      <c r="S308" s="170" t="str">
        <f>IF(ISNUMBER(deployment_raw[[#This Row],[Column8]]), (I308  * IF(O308&lt;&gt;0,$S$2,1)),"")</f>
        <v/>
      </c>
      <c r="T308" s="202" t="str">
        <f>IF(AND(A308&lt;&gt;"",_xlfn.IFNA(MATCH(A308,'dynamic resource application '!$A$2:$A$100, 0),0)&lt;&gt;0), H308/(IF($E$2="Deployment",E308,1)),"")</f>
        <v/>
      </c>
      <c r="U308" s="211" t="str">
        <f>IF(AND(A308&lt;&gt;"",_xlfn.IFNA(MATCH(A308,'dynamic resource application '!$A$2:$A$100, 0),0)&lt;&gt;0), I308/(IF($E$2="Deployment",E308,1)),"")</f>
        <v/>
      </c>
    </row>
    <row r="309" spans="1:21" ht="15.75" customHeight="1" x14ac:dyDescent="0.25">
      <c r="A309" s="35" t="str">
        <f>IF(ISNONTEXT(deployment_raw[[#This Row],[Column1]]), "", deployment_raw[[#This Row],[Column1]])</f>
        <v/>
      </c>
      <c r="B309" s="36" t="str">
        <f>IF(ISNONTEXT(deployment_raw[[#This Row],[Column2]]), "", deployment_raw[[#This Row],[Column2]])</f>
        <v/>
      </c>
      <c r="C309" s="36" t="str">
        <f>IF(ISNONTEXT(deployment_raw[[#This Row],[Column3]]), "", deployment_raw[[#This Row],[Column3]])</f>
        <v/>
      </c>
      <c r="D309" s="36" t="str">
        <f>IF(ISNONTEXT(deployment_raw[[#This Row],[Column4]]), "", deployment_raw[[#This Row],[Column4]])</f>
        <v/>
      </c>
      <c r="E309" s="37" t="str">
        <f>IF(ISNUMBER(deployment_raw[[#This Row],[Column5]]), deployment_raw[[#This Row],[Column5]],"")</f>
        <v/>
      </c>
      <c r="F309" s="94" t="str">
        <f>IF(ISNUMBER(deployment_raw[[#This Row],[Column6]]), (deployment_raw[[#This Row],[Column6]] * IF($E$2="Deployment",deployment_raw[[#This Row],[Column5]],1)),"")</f>
        <v/>
      </c>
      <c r="G309" s="95" t="str">
        <f>IF(ISNUMBER(deployment_raw[[#This Row],[Column7]]), (deployment_raw[[#This Row],[Column7]] * IF($E$2="Deployment",deployment_raw[[#This Row],[Column5]],1))/1048576,"")</f>
        <v/>
      </c>
      <c r="H309" s="95" t="str">
        <f>IF(ISNUMBER(deployment_raw[[#This Row],[Column8]]), (deployment_raw[[#This Row],[Column8]]  * IF($E$2="Deployment",deployment_raw[[#This Row],[Column5]],1)),"")</f>
        <v/>
      </c>
      <c r="I309" s="96" t="str">
        <f>IF(ISNUMBER(deployment_raw[[#This Row],[Column9]]), (deployment_raw[[#This Row],[Column9]] * IF($E$2="Deployment",deployment_raw[[#This Row],[Column5]],1))/1048576,"")</f>
        <v/>
      </c>
      <c r="J309" s="122" t="str">
        <f>IF(ISNUMBER(deployment_raw[[#This Row],[Column10]]), (MIN(IF(N309&lt;&gt;"",N309,9999999999999)*1.1,deployment_raw[[#This Row],[Column10]] * IF($E$2="Deployment",deployment_raw[[#This Row],[Column5]],1))),"")</f>
        <v/>
      </c>
      <c r="K309" s="123" t="str">
        <f>IF(ISNUMBER(deployment_raw[[#This Row],[Column11]]), (MIN(IF(O309&lt;&gt;"",O309,9999999999999)*1.1,deployment_raw[[#This Row],[Column11]] * IF($E$2="Deployment",deployment_raw[[#This Row],[Column5]],1)/1048576)),"")</f>
        <v/>
      </c>
      <c r="L309" s="124" t="str">
        <f>IF(ISNUMBER(deployment_raw[[#This Row],[Column8]]),IF(OR(deployment_raw[[#This Row],[Column5]] &lt;&gt; 0,$E$2 &lt;&gt; "Deployment"), MAX(J309, P309, R309, ($L$2 * IF($E$2="Deployment",deployment_raw[[#This Row],[Column5]],1)),IF(T309&lt;&gt;"",VALUE(T309) * IF($E$2="Deployment",deployment_raw[[#This Row],[Column5]],1),0)), 0),"")</f>
        <v/>
      </c>
      <c r="M309" s="125" t="str">
        <f>IF(ISNUMBER(deployment_raw[[#This Row],[Column9]]),IF(OR(deployment_raw[[#This Row],[Column5]] &lt;&gt; 0,$E$2&lt;&gt;"Deployment"), MAX(K309, Q309, S309, ($M$2 * IF($E$2="Deployment",deployment_raw[[#This Row],[Column5]],1)),IF(U309&lt;&gt;"",VALUE(U309) * IF($E$2="Deployment",deployment_raw[[#This Row],[Column5]],1),0)), 0),"")</f>
        <v/>
      </c>
      <c r="N309" s="166" t="str">
        <f>IF(ISNUMBER(deployment_raw[[#This Row],[Column14]]), deployment_raw[[#This Row],[Column14]]/IF(OR($E$2="Deployment",deployment_raw[[#This Row],[Column5]]=0),1,deployment_raw[[#This Row],[Column5]]),"")</f>
        <v/>
      </c>
      <c r="O309" s="167" t="str">
        <f>IF(ISNUMBER(deployment_raw[[#This Row],[Column15]]), deployment_raw[[#This Row],[Column15]]/IF(OR($E$2="Deployment",deployment_raw[[#This Row],[Column5]]=0),1,deployment_raw[[#This Row],[Column5]])/1048576,"")</f>
        <v/>
      </c>
      <c r="P309" s="168" t="str">
        <f>IF(ISNUMBER(deployment_raw[[#This Row],[Column12]]), (MIN(IF(N309&lt;&gt;"",N309,9999999999999)*1.1,deployment_raw[[#This Row],[Column12]] * IF($E$2="Deployment",deployment_raw[[#This Row],[Column5]],1))*(1+$P$2)),"")</f>
        <v/>
      </c>
      <c r="Q309" s="167" t="str">
        <f>IF(ISNUMBER(deployment_raw[[#This Row],[Column13]]), (MIN(IF(O309&lt;&gt;"",O309,9999999999999)*1.1,deployment_raw[[#This Row],[Column13]] * IF($E$2="Deployment",deployment_raw[[#This Row],[Column5]],1)*(1+$Q$2)/1048576)),"")</f>
        <v/>
      </c>
      <c r="R309" s="169" t="str">
        <f>IF(ISNUMBER(deployment_raw[[#This Row],[Column8]]), (H309  * IF(N309&lt;&gt;0,$R$2,1)),"")</f>
        <v/>
      </c>
      <c r="S309" s="170" t="str">
        <f>IF(ISNUMBER(deployment_raw[[#This Row],[Column8]]), (I309  * IF(O309&lt;&gt;0,$S$2,1)),"")</f>
        <v/>
      </c>
      <c r="T309" s="202" t="str">
        <f>IF(AND(A309&lt;&gt;"",_xlfn.IFNA(MATCH(A309,'dynamic resource application '!$A$2:$A$100, 0),0)&lt;&gt;0), H309/(IF($E$2="Deployment",E309,1)),"")</f>
        <v/>
      </c>
      <c r="U309" s="211" t="str">
        <f>IF(AND(A309&lt;&gt;"",_xlfn.IFNA(MATCH(A309,'dynamic resource application '!$A$2:$A$100, 0),0)&lt;&gt;0), I309/(IF($E$2="Deployment",E309,1)),"")</f>
        <v/>
      </c>
    </row>
    <row r="310" spans="1:21" ht="15.75" customHeight="1" x14ac:dyDescent="0.25">
      <c r="A310" s="35" t="str">
        <f>IF(ISNONTEXT(deployment_raw[[#This Row],[Column1]]), "", deployment_raw[[#This Row],[Column1]])</f>
        <v/>
      </c>
      <c r="B310" s="36" t="str">
        <f>IF(ISNONTEXT(deployment_raw[[#This Row],[Column2]]), "", deployment_raw[[#This Row],[Column2]])</f>
        <v/>
      </c>
      <c r="C310" s="36" t="str">
        <f>IF(ISNONTEXT(deployment_raw[[#This Row],[Column3]]), "", deployment_raw[[#This Row],[Column3]])</f>
        <v/>
      </c>
      <c r="D310" s="36" t="str">
        <f>IF(ISNONTEXT(deployment_raw[[#This Row],[Column4]]), "", deployment_raw[[#This Row],[Column4]])</f>
        <v/>
      </c>
      <c r="E310" s="37" t="str">
        <f>IF(ISNUMBER(deployment_raw[[#This Row],[Column5]]), deployment_raw[[#This Row],[Column5]],"")</f>
        <v/>
      </c>
      <c r="F310" s="94" t="str">
        <f>IF(ISNUMBER(deployment_raw[[#This Row],[Column6]]), (deployment_raw[[#This Row],[Column6]] * IF($E$2="Deployment",deployment_raw[[#This Row],[Column5]],1)),"")</f>
        <v/>
      </c>
      <c r="G310" s="95" t="str">
        <f>IF(ISNUMBER(deployment_raw[[#This Row],[Column7]]), (deployment_raw[[#This Row],[Column7]] * IF($E$2="Deployment",deployment_raw[[#This Row],[Column5]],1))/1048576,"")</f>
        <v/>
      </c>
      <c r="H310" s="95" t="str">
        <f>IF(ISNUMBER(deployment_raw[[#This Row],[Column8]]), (deployment_raw[[#This Row],[Column8]]  * IF($E$2="Deployment",deployment_raw[[#This Row],[Column5]],1)),"")</f>
        <v/>
      </c>
      <c r="I310" s="96" t="str">
        <f>IF(ISNUMBER(deployment_raw[[#This Row],[Column9]]), (deployment_raw[[#This Row],[Column9]] * IF($E$2="Deployment",deployment_raw[[#This Row],[Column5]],1))/1048576,"")</f>
        <v/>
      </c>
      <c r="J310" s="122" t="str">
        <f>IF(ISNUMBER(deployment_raw[[#This Row],[Column10]]), (MIN(IF(N310&lt;&gt;"",N310,9999999999999)*1.1,deployment_raw[[#This Row],[Column10]] * IF($E$2="Deployment",deployment_raw[[#This Row],[Column5]],1))),"")</f>
        <v/>
      </c>
      <c r="K310" s="123" t="str">
        <f>IF(ISNUMBER(deployment_raw[[#This Row],[Column11]]), (MIN(IF(O310&lt;&gt;"",O310,9999999999999)*1.1,deployment_raw[[#This Row],[Column11]] * IF($E$2="Deployment",deployment_raw[[#This Row],[Column5]],1)/1048576)),"")</f>
        <v/>
      </c>
      <c r="L310" s="124" t="str">
        <f>IF(ISNUMBER(deployment_raw[[#This Row],[Column8]]),IF(OR(deployment_raw[[#This Row],[Column5]] &lt;&gt; 0,$E$2 &lt;&gt; "Deployment"), MAX(J310, P310, R310, ($L$2 * IF($E$2="Deployment",deployment_raw[[#This Row],[Column5]],1)),IF(T310&lt;&gt;"",VALUE(T310) * IF($E$2="Deployment",deployment_raw[[#This Row],[Column5]],1),0)), 0),"")</f>
        <v/>
      </c>
      <c r="M310" s="125" t="str">
        <f>IF(ISNUMBER(deployment_raw[[#This Row],[Column9]]),IF(OR(deployment_raw[[#This Row],[Column5]] &lt;&gt; 0,$E$2&lt;&gt;"Deployment"), MAX(K310, Q310, S310, ($M$2 * IF($E$2="Deployment",deployment_raw[[#This Row],[Column5]],1)),IF(U310&lt;&gt;"",VALUE(U310) * IF($E$2="Deployment",deployment_raw[[#This Row],[Column5]],1),0)), 0),"")</f>
        <v/>
      </c>
      <c r="N310" s="166" t="str">
        <f>IF(ISNUMBER(deployment_raw[[#This Row],[Column14]]), deployment_raw[[#This Row],[Column14]]/IF(OR($E$2="Deployment",deployment_raw[[#This Row],[Column5]]=0),1,deployment_raw[[#This Row],[Column5]]),"")</f>
        <v/>
      </c>
      <c r="O310" s="167" t="str">
        <f>IF(ISNUMBER(deployment_raw[[#This Row],[Column15]]), deployment_raw[[#This Row],[Column15]]/IF(OR($E$2="Deployment",deployment_raw[[#This Row],[Column5]]=0),1,deployment_raw[[#This Row],[Column5]])/1048576,"")</f>
        <v/>
      </c>
      <c r="P310" s="168" t="str">
        <f>IF(ISNUMBER(deployment_raw[[#This Row],[Column12]]), (MIN(IF(N310&lt;&gt;"",N310,9999999999999)*1.1,deployment_raw[[#This Row],[Column12]] * IF($E$2="Deployment",deployment_raw[[#This Row],[Column5]],1))*(1+$P$2)),"")</f>
        <v/>
      </c>
      <c r="Q310" s="167" t="str">
        <f>IF(ISNUMBER(deployment_raw[[#This Row],[Column13]]), (MIN(IF(O310&lt;&gt;"",O310,9999999999999)*1.1,deployment_raw[[#This Row],[Column13]] * IF($E$2="Deployment",deployment_raw[[#This Row],[Column5]],1)*(1+$Q$2)/1048576)),"")</f>
        <v/>
      </c>
      <c r="R310" s="169" t="str">
        <f>IF(ISNUMBER(deployment_raw[[#This Row],[Column8]]), (H310  * IF(N310&lt;&gt;0,$R$2,1)),"")</f>
        <v/>
      </c>
      <c r="S310" s="170" t="str">
        <f>IF(ISNUMBER(deployment_raw[[#This Row],[Column8]]), (I310  * IF(O310&lt;&gt;0,$S$2,1)),"")</f>
        <v/>
      </c>
      <c r="T310" s="202" t="str">
        <f>IF(AND(A310&lt;&gt;"",_xlfn.IFNA(MATCH(A310,'dynamic resource application '!$A$2:$A$100, 0),0)&lt;&gt;0), H310/(IF($E$2="Deployment",E310,1)),"")</f>
        <v/>
      </c>
      <c r="U310" s="211" t="str">
        <f>IF(AND(A310&lt;&gt;"",_xlfn.IFNA(MATCH(A310,'dynamic resource application '!$A$2:$A$100, 0),0)&lt;&gt;0), I310/(IF($E$2="Deployment",E310,1)),"")</f>
        <v/>
      </c>
    </row>
    <row r="311" spans="1:21" ht="15.75" customHeight="1" x14ac:dyDescent="0.25">
      <c r="A311" s="35" t="str">
        <f>IF(ISNONTEXT(deployment_raw[[#This Row],[Column1]]), "", deployment_raw[[#This Row],[Column1]])</f>
        <v/>
      </c>
      <c r="B311" s="36" t="str">
        <f>IF(ISNONTEXT(deployment_raw[[#This Row],[Column2]]), "", deployment_raw[[#This Row],[Column2]])</f>
        <v/>
      </c>
      <c r="C311" s="36" t="str">
        <f>IF(ISNONTEXT(deployment_raw[[#This Row],[Column3]]), "", deployment_raw[[#This Row],[Column3]])</f>
        <v/>
      </c>
      <c r="D311" s="36" t="str">
        <f>IF(ISNONTEXT(deployment_raw[[#This Row],[Column4]]), "", deployment_raw[[#This Row],[Column4]])</f>
        <v/>
      </c>
      <c r="E311" s="37" t="str">
        <f>IF(ISNUMBER(deployment_raw[[#This Row],[Column5]]), deployment_raw[[#This Row],[Column5]],"")</f>
        <v/>
      </c>
      <c r="F311" s="94" t="str">
        <f>IF(ISNUMBER(deployment_raw[[#This Row],[Column6]]), (deployment_raw[[#This Row],[Column6]] * IF($E$2="Deployment",deployment_raw[[#This Row],[Column5]],1)),"")</f>
        <v/>
      </c>
      <c r="G311" s="95" t="str">
        <f>IF(ISNUMBER(deployment_raw[[#This Row],[Column7]]), (deployment_raw[[#This Row],[Column7]] * IF($E$2="Deployment",deployment_raw[[#This Row],[Column5]],1))/1048576,"")</f>
        <v/>
      </c>
      <c r="H311" s="95" t="str">
        <f>IF(ISNUMBER(deployment_raw[[#This Row],[Column8]]), (deployment_raw[[#This Row],[Column8]]  * IF($E$2="Deployment",deployment_raw[[#This Row],[Column5]],1)),"")</f>
        <v/>
      </c>
      <c r="I311" s="96" t="str">
        <f>IF(ISNUMBER(deployment_raw[[#This Row],[Column9]]), (deployment_raw[[#This Row],[Column9]] * IF($E$2="Deployment",deployment_raw[[#This Row],[Column5]],1))/1048576,"")</f>
        <v/>
      </c>
      <c r="J311" s="122" t="str">
        <f>IF(ISNUMBER(deployment_raw[[#This Row],[Column10]]), (MIN(IF(N311&lt;&gt;"",N311,9999999999999)*1.1,deployment_raw[[#This Row],[Column10]] * IF($E$2="Deployment",deployment_raw[[#This Row],[Column5]],1))),"")</f>
        <v/>
      </c>
      <c r="K311" s="123" t="str">
        <f>IF(ISNUMBER(deployment_raw[[#This Row],[Column11]]), (MIN(IF(O311&lt;&gt;"",O311,9999999999999)*1.1,deployment_raw[[#This Row],[Column11]] * IF($E$2="Deployment",deployment_raw[[#This Row],[Column5]],1)/1048576)),"")</f>
        <v/>
      </c>
      <c r="L311" s="124" t="str">
        <f>IF(ISNUMBER(deployment_raw[[#This Row],[Column8]]),IF(OR(deployment_raw[[#This Row],[Column5]] &lt;&gt; 0,$E$2 &lt;&gt; "Deployment"), MAX(J311, P311, R311, ($L$2 * IF($E$2="Deployment",deployment_raw[[#This Row],[Column5]],1)),IF(T311&lt;&gt;"",VALUE(T311) * IF($E$2="Deployment",deployment_raw[[#This Row],[Column5]],1),0)), 0),"")</f>
        <v/>
      </c>
      <c r="M311" s="125" t="str">
        <f>IF(ISNUMBER(deployment_raw[[#This Row],[Column9]]),IF(OR(deployment_raw[[#This Row],[Column5]] &lt;&gt; 0,$E$2&lt;&gt;"Deployment"), MAX(K311, Q311, S311, ($M$2 * IF($E$2="Deployment",deployment_raw[[#This Row],[Column5]],1)),IF(U311&lt;&gt;"",VALUE(U311) * IF($E$2="Deployment",deployment_raw[[#This Row],[Column5]],1),0)), 0),"")</f>
        <v/>
      </c>
      <c r="N311" s="166" t="str">
        <f>IF(ISNUMBER(deployment_raw[[#This Row],[Column14]]), deployment_raw[[#This Row],[Column14]]/IF(OR($E$2="Deployment",deployment_raw[[#This Row],[Column5]]=0),1,deployment_raw[[#This Row],[Column5]]),"")</f>
        <v/>
      </c>
      <c r="O311" s="167" t="str">
        <f>IF(ISNUMBER(deployment_raw[[#This Row],[Column15]]), deployment_raw[[#This Row],[Column15]]/IF(OR($E$2="Deployment",deployment_raw[[#This Row],[Column5]]=0),1,deployment_raw[[#This Row],[Column5]])/1048576,"")</f>
        <v/>
      </c>
      <c r="P311" s="168" t="str">
        <f>IF(ISNUMBER(deployment_raw[[#This Row],[Column12]]), (MIN(IF(N311&lt;&gt;"",N311,9999999999999)*1.1,deployment_raw[[#This Row],[Column12]] * IF($E$2="Deployment",deployment_raw[[#This Row],[Column5]],1))*(1+$P$2)),"")</f>
        <v/>
      </c>
      <c r="Q311" s="167" t="str">
        <f>IF(ISNUMBER(deployment_raw[[#This Row],[Column13]]), (MIN(IF(O311&lt;&gt;"",O311,9999999999999)*1.1,deployment_raw[[#This Row],[Column13]] * IF($E$2="Deployment",deployment_raw[[#This Row],[Column5]],1)*(1+$Q$2)/1048576)),"")</f>
        <v/>
      </c>
      <c r="R311" s="169" t="str">
        <f>IF(ISNUMBER(deployment_raw[[#This Row],[Column8]]), (H311  * IF(N311&lt;&gt;0,$R$2,1)),"")</f>
        <v/>
      </c>
      <c r="S311" s="170" t="str">
        <f>IF(ISNUMBER(deployment_raw[[#This Row],[Column8]]), (I311  * IF(O311&lt;&gt;0,$S$2,1)),"")</f>
        <v/>
      </c>
      <c r="T311" s="202" t="str">
        <f>IF(AND(A311&lt;&gt;"",_xlfn.IFNA(MATCH(A311,'dynamic resource application '!$A$2:$A$100, 0),0)&lt;&gt;0), H311/(IF($E$2="Deployment",E311,1)),"")</f>
        <v/>
      </c>
      <c r="U311" s="211" t="str">
        <f>IF(AND(A311&lt;&gt;"",_xlfn.IFNA(MATCH(A311,'dynamic resource application '!$A$2:$A$100, 0),0)&lt;&gt;0), I311/(IF($E$2="Deployment",E311,1)),"")</f>
        <v/>
      </c>
    </row>
    <row r="312" spans="1:21" ht="15.75" customHeight="1" x14ac:dyDescent="0.25">
      <c r="A312" s="35" t="str">
        <f>IF(ISNONTEXT(deployment_raw[[#This Row],[Column1]]), "", deployment_raw[[#This Row],[Column1]])</f>
        <v/>
      </c>
      <c r="B312" s="36" t="str">
        <f>IF(ISNONTEXT(deployment_raw[[#This Row],[Column2]]), "", deployment_raw[[#This Row],[Column2]])</f>
        <v/>
      </c>
      <c r="C312" s="36" t="str">
        <f>IF(ISNONTEXT(deployment_raw[[#This Row],[Column3]]), "", deployment_raw[[#This Row],[Column3]])</f>
        <v/>
      </c>
      <c r="D312" s="36" t="str">
        <f>IF(ISNONTEXT(deployment_raw[[#This Row],[Column4]]), "", deployment_raw[[#This Row],[Column4]])</f>
        <v/>
      </c>
      <c r="E312" s="37" t="str">
        <f>IF(ISNUMBER(deployment_raw[[#This Row],[Column5]]), deployment_raw[[#This Row],[Column5]],"")</f>
        <v/>
      </c>
      <c r="F312" s="94" t="str">
        <f>IF(ISNUMBER(deployment_raw[[#This Row],[Column6]]), (deployment_raw[[#This Row],[Column6]] * IF($E$2="Deployment",deployment_raw[[#This Row],[Column5]],1)),"")</f>
        <v/>
      </c>
      <c r="G312" s="95" t="str">
        <f>IF(ISNUMBER(deployment_raw[[#This Row],[Column7]]), (deployment_raw[[#This Row],[Column7]] * IF($E$2="Deployment",deployment_raw[[#This Row],[Column5]],1))/1048576,"")</f>
        <v/>
      </c>
      <c r="H312" s="95" t="str">
        <f>IF(ISNUMBER(deployment_raw[[#This Row],[Column8]]), (deployment_raw[[#This Row],[Column8]]  * IF($E$2="Deployment",deployment_raw[[#This Row],[Column5]],1)),"")</f>
        <v/>
      </c>
      <c r="I312" s="96" t="str">
        <f>IF(ISNUMBER(deployment_raw[[#This Row],[Column9]]), (deployment_raw[[#This Row],[Column9]] * IF($E$2="Deployment",deployment_raw[[#This Row],[Column5]],1))/1048576,"")</f>
        <v/>
      </c>
      <c r="J312" s="122" t="str">
        <f>IF(ISNUMBER(deployment_raw[[#This Row],[Column10]]), (MIN(IF(N312&lt;&gt;"",N312,9999999999999)*1.1,deployment_raw[[#This Row],[Column10]] * IF($E$2="Deployment",deployment_raw[[#This Row],[Column5]],1))),"")</f>
        <v/>
      </c>
      <c r="K312" s="123" t="str">
        <f>IF(ISNUMBER(deployment_raw[[#This Row],[Column11]]), (MIN(IF(O312&lt;&gt;"",O312,9999999999999)*1.1,deployment_raw[[#This Row],[Column11]] * IF($E$2="Deployment",deployment_raw[[#This Row],[Column5]],1)/1048576)),"")</f>
        <v/>
      </c>
      <c r="L312" s="124" t="str">
        <f>IF(ISNUMBER(deployment_raw[[#This Row],[Column8]]),IF(OR(deployment_raw[[#This Row],[Column5]] &lt;&gt; 0,$E$2 &lt;&gt; "Deployment"), MAX(J312, P312, R312, ($L$2 * IF($E$2="Deployment",deployment_raw[[#This Row],[Column5]],1)),IF(T312&lt;&gt;"",VALUE(T312) * IF($E$2="Deployment",deployment_raw[[#This Row],[Column5]],1),0)), 0),"")</f>
        <v/>
      </c>
      <c r="M312" s="125" t="str">
        <f>IF(ISNUMBER(deployment_raw[[#This Row],[Column9]]),IF(OR(deployment_raw[[#This Row],[Column5]] &lt;&gt; 0,$E$2&lt;&gt;"Deployment"), MAX(K312, Q312, S312, ($M$2 * IF($E$2="Deployment",deployment_raw[[#This Row],[Column5]],1)),IF(U312&lt;&gt;"",VALUE(U312) * IF($E$2="Deployment",deployment_raw[[#This Row],[Column5]],1),0)), 0),"")</f>
        <v/>
      </c>
      <c r="N312" s="166" t="str">
        <f>IF(ISNUMBER(deployment_raw[[#This Row],[Column14]]), deployment_raw[[#This Row],[Column14]]/IF(OR($E$2="Deployment",deployment_raw[[#This Row],[Column5]]=0),1,deployment_raw[[#This Row],[Column5]]),"")</f>
        <v/>
      </c>
      <c r="O312" s="167" t="str">
        <f>IF(ISNUMBER(deployment_raw[[#This Row],[Column15]]), deployment_raw[[#This Row],[Column15]]/IF(OR($E$2="Deployment",deployment_raw[[#This Row],[Column5]]=0),1,deployment_raw[[#This Row],[Column5]])/1048576,"")</f>
        <v/>
      </c>
      <c r="P312" s="168" t="str">
        <f>IF(ISNUMBER(deployment_raw[[#This Row],[Column12]]), (MIN(IF(N312&lt;&gt;"",N312,9999999999999)*1.1,deployment_raw[[#This Row],[Column12]] * IF($E$2="Deployment",deployment_raw[[#This Row],[Column5]],1))*(1+$P$2)),"")</f>
        <v/>
      </c>
      <c r="Q312" s="167" t="str">
        <f>IF(ISNUMBER(deployment_raw[[#This Row],[Column13]]), (MIN(IF(O312&lt;&gt;"",O312,9999999999999)*1.1,deployment_raw[[#This Row],[Column13]] * IF($E$2="Deployment",deployment_raw[[#This Row],[Column5]],1)*(1+$Q$2)/1048576)),"")</f>
        <v/>
      </c>
      <c r="R312" s="169" t="str">
        <f>IF(ISNUMBER(deployment_raw[[#This Row],[Column8]]), (H312  * IF(N312&lt;&gt;0,$R$2,1)),"")</f>
        <v/>
      </c>
      <c r="S312" s="170" t="str">
        <f>IF(ISNUMBER(deployment_raw[[#This Row],[Column8]]), (I312  * IF(O312&lt;&gt;0,$S$2,1)),"")</f>
        <v/>
      </c>
      <c r="T312" s="202" t="str">
        <f>IF(AND(A312&lt;&gt;"",_xlfn.IFNA(MATCH(A312,'dynamic resource application '!$A$2:$A$100, 0),0)&lt;&gt;0), H312/(IF($E$2="Deployment",E312,1)),"")</f>
        <v/>
      </c>
      <c r="U312" s="211" t="str">
        <f>IF(AND(A312&lt;&gt;"",_xlfn.IFNA(MATCH(A312,'dynamic resource application '!$A$2:$A$100, 0),0)&lt;&gt;0), I312/(IF($E$2="Deployment",E312,1)),"")</f>
        <v/>
      </c>
    </row>
    <row r="313" spans="1:21" ht="15.75" customHeight="1" x14ac:dyDescent="0.25">
      <c r="A313" s="35" t="str">
        <f>IF(ISNONTEXT(deployment_raw[[#This Row],[Column1]]), "", deployment_raw[[#This Row],[Column1]])</f>
        <v/>
      </c>
      <c r="B313" s="36" t="str">
        <f>IF(ISNONTEXT(deployment_raw[[#This Row],[Column2]]), "", deployment_raw[[#This Row],[Column2]])</f>
        <v/>
      </c>
      <c r="C313" s="36" t="str">
        <f>IF(ISNONTEXT(deployment_raw[[#This Row],[Column3]]), "", deployment_raw[[#This Row],[Column3]])</f>
        <v/>
      </c>
      <c r="D313" s="36" t="str">
        <f>IF(ISNONTEXT(deployment_raw[[#This Row],[Column4]]), "", deployment_raw[[#This Row],[Column4]])</f>
        <v/>
      </c>
      <c r="E313" s="37" t="str">
        <f>IF(ISNUMBER(deployment_raw[[#This Row],[Column5]]), deployment_raw[[#This Row],[Column5]],"")</f>
        <v/>
      </c>
      <c r="F313" s="94" t="str">
        <f>IF(ISNUMBER(deployment_raw[[#This Row],[Column6]]), (deployment_raw[[#This Row],[Column6]] * IF($E$2="Deployment",deployment_raw[[#This Row],[Column5]],1)),"")</f>
        <v/>
      </c>
      <c r="G313" s="95" t="str">
        <f>IF(ISNUMBER(deployment_raw[[#This Row],[Column7]]), (deployment_raw[[#This Row],[Column7]] * IF($E$2="Deployment",deployment_raw[[#This Row],[Column5]],1))/1048576,"")</f>
        <v/>
      </c>
      <c r="H313" s="95" t="str">
        <f>IF(ISNUMBER(deployment_raw[[#This Row],[Column8]]), (deployment_raw[[#This Row],[Column8]]  * IF($E$2="Deployment",deployment_raw[[#This Row],[Column5]],1)),"")</f>
        <v/>
      </c>
      <c r="I313" s="96" t="str">
        <f>IF(ISNUMBER(deployment_raw[[#This Row],[Column9]]), (deployment_raw[[#This Row],[Column9]] * IF($E$2="Deployment",deployment_raw[[#This Row],[Column5]],1))/1048576,"")</f>
        <v/>
      </c>
      <c r="J313" s="122" t="str">
        <f>IF(ISNUMBER(deployment_raw[[#This Row],[Column10]]), (MIN(IF(N313&lt;&gt;"",N313,9999999999999)*1.1,deployment_raw[[#This Row],[Column10]] * IF($E$2="Deployment",deployment_raw[[#This Row],[Column5]],1))),"")</f>
        <v/>
      </c>
      <c r="K313" s="123" t="str">
        <f>IF(ISNUMBER(deployment_raw[[#This Row],[Column11]]), (MIN(IF(O313&lt;&gt;"",O313,9999999999999)*1.1,deployment_raw[[#This Row],[Column11]] * IF($E$2="Deployment",deployment_raw[[#This Row],[Column5]],1)/1048576)),"")</f>
        <v/>
      </c>
      <c r="L313" s="124" t="str">
        <f>IF(ISNUMBER(deployment_raw[[#This Row],[Column8]]),IF(OR(deployment_raw[[#This Row],[Column5]] &lt;&gt; 0,$E$2 &lt;&gt; "Deployment"), MAX(J313, P313, R313, ($L$2 * IF($E$2="Deployment",deployment_raw[[#This Row],[Column5]],1)),IF(T313&lt;&gt;"",VALUE(T313) * IF($E$2="Deployment",deployment_raw[[#This Row],[Column5]],1),0)), 0),"")</f>
        <v/>
      </c>
      <c r="M313" s="125" t="str">
        <f>IF(ISNUMBER(deployment_raw[[#This Row],[Column9]]),IF(OR(deployment_raw[[#This Row],[Column5]] &lt;&gt; 0,$E$2&lt;&gt;"Deployment"), MAX(K313, Q313, S313, ($M$2 * IF($E$2="Deployment",deployment_raw[[#This Row],[Column5]],1)),IF(U313&lt;&gt;"",VALUE(U313) * IF($E$2="Deployment",deployment_raw[[#This Row],[Column5]],1),0)), 0),"")</f>
        <v/>
      </c>
      <c r="N313" s="166" t="str">
        <f>IF(ISNUMBER(deployment_raw[[#This Row],[Column14]]), deployment_raw[[#This Row],[Column14]]/IF(OR($E$2="Deployment",deployment_raw[[#This Row],[Column5]]=0),1,deployment_raw[[#This Row],[Column5]]),"")</f>
        <v/>
      </c>
      <c r="O313" s="167" t="str">
        <f>IF(ISNUMBER(deployment_raw[[#This Row],[Column15]]), deployment_raw[[#This Row],[Column15]]/IF(OR($E$2="Deployment",deployment_raw[[#This Row],[Column5]]=0),1,deployment_raw[[#This Row],[Column5]])/1048576,"")</f>
        <v/>
      </c>
      <c r="P313" s="168" t="str">
        <f>IF(ISNUMBER(deployment_raw[[#This Row],[Column12]]), (MIN(IF(N313&lt;&gt;"",N313,9999999999999)*1.1,deployment_raw[[#This Row],[Column12]] * IF($E$2="Deployment",deployment_raw[[#This Row],[Column5]],1))*(1+$P$2)),"")</f>
        <v/>
      </c>
      <c r="Q313" s="167" t="str">
        <f>IF(ISNUMBER(deployment_raw[[#This Row],[Column13]]), (MIN(IF(O313&lt;&gt;"",O313,9999999999999)*1.1,deployment_raw[[#This Row],[Column13]] * IF($E$2="Deployment",deployment_raw[[#This Row],[Column5]],1)*(1+$Q$2)/1048576)),"")</f>
        <v/>
      </c>
      <c r="R313" s="169" t="str">
        <f>IF(ISNUMBER(deployment_raw[[#This Row],[Column8]]), (H313  * IF(N313&lt;&gt;0,$R$2,1)),"")</f>
        <v/>
      </c>
      <c r="S313" s="170" t="str">
        <f>IF(ISNUMBER(deployment_raw[[#This Row],[Column8]]), (I313  * IF(O313&lt;&gt;0,$S$2,1)),"")</f>
        <v/>
      </c>
      <c r="T313" s="202" t="str">
        <f>IF(AND(A313&lt;&gt;"",_xlfn.IFNA(MATCH(A313,'dynamic resource application '!$A$2:$A$100, 0),0)&lt;&gt;0), H313/(IF($E$2="Deployment",E313,1)),"")</f>
        <v/>
      </c>
      <c r="U313" s="211" t="str">
        <f>IF(AND(A313&lt;&gt;"",_xlfn.IFNA(MATCH(A313,'dynamic resource application '!$A$2:$A$100, 0),0)&lt;&gt;0), I313/(IF($E$2="Deployment",E313,1)),"")</f>
        <v/>
      </c>
    </row>
    <row r="314" spans="1:21" ht="15.75" customHeight="1" x14ac:dyDescent="0.25">
      <c r="A314" s="35" t="str">
        <f>IF(ISNONTEXT(deployment_raw[[#This Row],[Column1]]), "", deployment_raw[[#This Row],[Column1]])</f>
        <v/>
      </c>
      <c r="B314" s="36" t="str">
        <f>IF(ISNONTEXT(deployment_raw[[#This Row],[Column2]]), "", deployment_raw[[#This Row],[Column2]])</f>
        <v/>
      </c>
      <c r="C314" s="36" t="str">
        <f>IF(ISNONTEXT(deployment_raw[[#This Row],[Column3]]), "", deployment_raw[[#This Row],[Column3]])</f>
        <v/>
      </c>
      <c r="D314" s="36" t="str">
        <f>IF(ISNONTEXT(deployment_raw[[#This Row],[Column4]]), "", deployment_raw[[#This Row],[Column4]])</f>
        <v/>
      </c>
      <c r="E314" s="37" t="str">
        <f>IF(ISNUMBER(deployment_raw[[#This Row],[Column5]]), deployment_raw[[#This Row],[Column5]],"")</f>
        <v/>
      </c>
      <c r="F314" s="94" t="str">
        <f>IF(ISNUMBER(deployment_raw[[#This Row],[Column6]]), (deployment_raw[[#This Row],[Column6]] * IF($E$2="Deployment",deployment_raw[[#This Row],[Column5]],1)),"")</f>
        <v/>
      </c>
      <c r="G314" s="95" t="str">
        <f>IF(ISNUMBER(deployment_raw[[#This Row],[Column7]]), (deployment_raw[[#This Row],[Column7]] * IF($E$2="Deployment",deployment_raw[[#This Row],[Column5]],1))/1048576,"")</f>
        <v/>
      </c>
      <c r="H314" s="95" t="str">
        <f>IF(ISNUMBER(deployment_raw[[#This Row],[Column8]]), (deployment_raw[[#This Row],[Column8]]  * IF($E$2="Deployment",deployment_raw[[#This Row],[Column5]],1)),"")</f>
        <v/>
      </c>
      <c r="I314" s="96" t="str">
        <f>IF(ISNUMBER(deployment_raw[[#This Row],[Column9]]), (deployment_raw[[#This Row],[Column9]] * IF($E$2="Deployment",deployment_raw[[#This Row],[Column5]],1))/1048576,"")</f>
        <v/>
      </c>
      <c r="J314" s="122" t="str">
        <f>IF(ISNUMBER(deployment_raw[[#This Row],[Column10]]), (MIN(IF(N314&lt;&gt;"",N314,9999999999999)*1.1,deployment_raw[[#This Row],[Column10]] * IF($E$2="Deployment",deployment_raw[[#This Row],[Column5]],1))),"")</f>
        <v/>
      </c>
      <c r="K314" s="123" t="str">
        <f>IF(ISNUMBER(deployment_raw[[#This Row],[Column11]]), (MIN(IF(O314&lt;&gt;"",O314,9999999999999)*1.1,deployment_raw[[#This Row],[Column11]] * IF($E$2="Deployment",deployment_raw[[#This Row],[Column5]],1)/1048576)),"")</f>
        <v/>
      </c>
      <c r="L314" s="124" t="str">
        <f>IF(ISNUMBER(deployment_raw[[#This Row],[Column8]]),IF(OR(deployment_raw[[#This Row],[Column5]] &lt;&gt; 0,$E$2 &lt;&gt; "Deployment"), MAX(J314, P314, R314, ($L$2 * IF($E$2="Deployment",deployment_raw[[#This Row],[Column5]],1)),IF(T314&lt;&gt;"",VALUE(T314) * IF($E$2="Deployment",deployment_raw[[#This Row],[Column5]],1),0)), 0),"")</f>
        <v/>
      </c>
      <c r="M314" s="125" t="str">
        <f>IF(ISNUMBER(deployment_raw[[#This Row],[Column9]]),IF(OR(deployment_raw[[#This Row],[Column5]] &lt;&gt; 0,$E$2&lt;&gt;"Deployment"), MAX(K314, Q314, S314, ($M$2 * IF($E$2="Deployment",deployment_raw[[#This Row],[Column5]],1)),IF(U314&lt;&gt;"",VALUE(U314) * IF($E$2="Deployment",deployment_raw[[#This Row],[Column5]],1),0)), 0),"")</f>
        <v/>
      </c>
      <c r="N314" s="166" t="str">
        <f>IF(ISNUMBER(deployment_raw[[#This Row],[Column14]]), deployment_raw[[#This Row],[Column14]]/IF(OR($E$2="Deployment",deployment_raw[[#This Row],[Column5]]=0),1,deployment_raw[[#This Row],[Column5]]),"")</f>
        <v/>
      </c>
      <c r="O314" s="167" t="str">
        <f>IF(ISNUMBER(deployment_raw[[#This Row],[Column15]]), deployment_raw[[#This Row],[Column15]]/IF(OR($E$2="Deployment",deployment_raw[[#This Row],[Column5]]=0),1,deployment_raw[[#This Row],[Column5]])/1048576,"")</f>
        <v/>
      </c>
      <c r="P314" s="168" t="str">
        <f>IF(ISNUMBER(deployment_raw[[#This Row],[Column12]]), (MIN(IF(N314&lt;&gt;"",N314,9999999999999)*1.1,deployment_raw[[#This Row],[Column12]] * IF($E$2="Deployment",deployment_raw[[#This Row],[Column5]],1))*(1+$P$2)),"")</f>
        <v/>
      </c>
      <c r="Q314" s="167" t="str">
        <f>IF(ISNUMBER(deployment_raw[[#This Row],[Column13]]), (MIN(IF(O314&lt;&gt;"",O314,9999999999999)*1.1,deployment_raw[[#This Row],[Column13]] * IF($E$2="Deployment",deployment_raw[[#This Row],[Column5]],1)*(1+$Q$2)/1048576)),"")</f>
        <v/>
      </c>
      <c r="R314" s="169" t="str">
        <f>IF(ISNUMBER(deployment_raw[[#This Row],[Column8]]), (H314  * IF(N314&lt;&gt;0,$R$2,1)),"")</f>
        <v/>
      </c>
      <c r="S314" s="170" t="str">
        <f>IF(ISNUMBER(deployment_raw[[#This Row],[Column8]]), (I314  * IF(O314&lt;&gt;0,$S$2,1)),"")</f>
        <v/>
      </c>
      <c r="T314" s="202" t="str">
        <f>IF(AND(A314&lt;&gt;"",_xlfn.IFNA(MATCH(A314,'dynamic resource application '!$A$2:$A$100, 0),0)&lt;&gt;0), H314/(IF($E$2="Deployment",E314,1)),"")</f>
        <v/>
      </c>
      <c r="U314" s="211" t="str">
        <f>IF(AND(A314&lt;&gt;"",_xlfn.IFNA(MATCH(A314,'dynamic resource application '!$A$2:$A$100, 0),0)&lt;&gt;0), I314/(IF($E$2="Deployment",E314,1)),"")</f>
        <v/>
      </c>
    </row>
    <row r="315" spans="1:21" ht="15.75" customHeight="1" x14ac:dyDescent="0.25">
      <c r="A315" s="35" t="str">
        <f>IF(ISNONTEXT(deployment_raw[[#This Row],[Column1]]), "", deployment_raw[[#This Row],[Column1]])</f>
        <v/>
      </c>
      <c r="B315" s="36" t="str">
        <f>IF(ISNONTEXT(deployment_raw[[#This Row],[Column2]]), "", deployment_raw[[#This Row],[Column2]])</f>
        <v/>
      </c>
      <c r="C315" s="36" t="str">
        <f>IF(ISNONTEXT(deployment_raw[[#This Row],[Column3]]), "", deployment_raw[[#This Row],[Column3]])</f>
        <v/>
      </c>
      <c r="D315" s="36" t="str">
        <f>IF(ISNONTEXT(deployment_raw[[#This Row],[Column4]]), "", deployment_raw[[#This Row],[Column4]])</f>
        <v/>
      </c>
      <c r="E315" s="37" t="str">
        <f>IF(ISNUMBER(deployment_raw[[#This Row],[Column5]]), deployment_raw[[#This Row],[Column5]],"")</f>
        <v/>
      </c>
      <c r="F315" s="94" t="str">
        <f>IF(ISNUMBER(deployment_raw[[#This Row],[Column6]]), (deployment_raw[[#This Row],[Column6]] * IF($E$2="Deployment",deployment_raw[[#This Row],[Column5]],1)),"")</f>
        <v/>
      </c>
      <c r="G315" s="95" t="str">
        <f>IF(ISNUMBER(deployment_raw[[#This Row],[Column7]]), (deployment_raw[[#This Row],[Column7]] * IF($E$2="Deployment",deployment_raw[[#This Row],[Column5]],1))/1048576,"")</f>
        <v/>
      </c>
      <c r="H315" s="95" t="str">
        <f>IF(ISNUMBER(deployment_raw[[#This Row],[Column8]]), (deployment_raw[[#This Row],[Column8]]  * IF($E$2="Deployment",deployment_raw[[#This Row],[Column5]],1)),"")</f>
        <v/>
      </c>
      <c r="I315" s="96" t="str">
        <f>IF(ISNUMBER(deployment_raw[[#This Row],[Column9]]), (deployment_raw[[#This Row],[Column9]] * IF($E$2="Deployment",deployment_raw[[#This Row],[Column5]],1))/1048576,"")</f>
        <v/>
      </c>
      <c r="J315" s="122" t="str">
        <f>IF(ISNUMBER(deployment_raw[[#This Row],[Column10]]), (MIN(IF(N315&lt;&gt;"",N315,9999999999999)*1.1,deployment_raw[[#This Row],[Column10]] * IF($E$2="Deployment",deployment_raw[[#This Row],[Column5]],1))),"")</f>
        <v/>
      </c>
      <c r="K315" s="123" t="str">
        <f>IF(ISNUMBER(deployment_raw[[#This Row],[Column11]]), (MIN(IF(O315&lt;&gt;"",O315,9999999999999)*1.1,deployment_raw[[#This Row],[Column11]] * IF($E$2="Deployment",deployment_raw[[#This Row],[Column5]],1)/1048576)),"")</f>
        <v/>
      </c>
      <c r="L315" s="124" t="str">
        <f>IF(ISNUMBER(deployment_raw[[#This Row],[Column8]]),IF(OR(deployment_raw[[#This Row],[Column5]] &lt;&gt; 0,$E$2 &lt;&gt; "Deployment"), MAX(J315, P315, R315, ($L$2 * IF($E$2="Deployment",deployment_raw[[#This Row],[Column5]],1)),IF(T315&lt;&gt;"",VALUE(T315) * IF($E$2="Deployment",deployment_raw[[#This Row],[Column5]],1),0)), 0),"")</f>
        <v/>
      </c>
      <c r="M315" s="125" t="str">
        <f>IF(ISNUMBER(deployment_raw[[#This Row],[Column9]]),IF(OR(deployment_raw[[#This Row],[Column5]] &lt;&gt; 0,$E$2&lt;&gt;"Deployment"), MAX(K315, Q315, S315, ($M$2 * IF($E$2="Deployment",deployment_raw[[#This Row],[Column5]],1)),IF(U315&lt;&gt;"",VALUE(U315) * IF($E$2="Deployment",deployment_raw[[#This Row],[Column5]],1),0)), 0),"")</f>
        <v/>
      </c>
      <c r="N315" s="166" t="str">
        <f>IF(ISNUMBER(deployment_raw[[#This Row],[Column14]]), deployment_raw[[#This Row],[Column14]]/IF(OR($E$2="Deployment",deployment_raw[[#This Row],[Column5]]=0),1,deployment_raw[[#This Row],[Column5]]),"")</f>
        <v/>
      </c>
      <c r="O315" s="167" t="str">
        <f>IF(ISNUMBER(deployment_raw[[#This Row],[Column15]]), deployment_raw[[#This Row],[Column15]]/IF(OR($E$2="Deployment",deployment_raw[[#This Row],[Column5]]=0),1,deployment_raw[[#This Row],[Column5]])/1048576,"")</f>
        <v/>
      </c>
      <c r="P315" s="168" t="str">
        <f>IF(ISNUMBER(deployment_raw[[#This Row],[Column12]]), (MIN(IF(N315&lt;&gt;"",N315,9999999999999)*1.1,deployment_raw[[#This Row],[Column12]] * IF($E$2="Deployment",deployment_raw[[#This Row],[Column5]],1))*(1+$P$2)),"")</f>
        <v/>
      </c>
      <c r="Q315" s="167" t="str">
        <f>IF(ISNUMBER(deployment_raw[[#This Row],[Column13]]), (MIN(IF(O315&lt;&gt;"",O315,9999999999999)*1.1,deployment_raw[[#This Row],[Column13]] * IF($E$2="Deployment",deployment_raw[[#This Row],[Column5]],1)*(1+$Q$2)/1048576)),"")</f>
        <v/>
      </c>
      <c r="R315" s="169" t="str">
        <f>IF(ISNUMBER(deployment_raw[[#This Row],[Column8]]), (H315  * IF(N315&lt;&gt;0,$R$2,1)),"")</f>
        <v/>
      </c>
      <c r="S315" s="170" t="str">
        <f>IF(ISNUMBER(deployment_raw[[#This Row],[Column8]]), (I315  * IF(O315&lt;&gt;0,$S$2,1)),"")</f>
        <v/>
      </c>
      <c r="T315" s="202" t="str">
        <f>IF(AND(A315&lt;&gt;"",_xlfn.IFNA(MATCH(A315,'dynamic resource application '!$A$2:$A$100, 0),0)&lt;&gt;0), H315/(IF($E$2="Deployment",E315,1)),"")</f>
        <v/>
      </c>
      <c r="U315" s="211" t="str">
        <f>IF(AND(A315&lt;&gt;"",_xlfn.IFNA(MATCH(A315,'dynamic resource application '!$A$2:$A$100, 0),0)&lt;&gt;0), I315/(IF($E$2="Deployment",E315,1)),"")</f>
        <v/>
      </c>
    </row>
    <row r="316" spans="1:21" ht="15.75" customHeight="1" x14ac:dyDescent="0.25">
      <c r="A316" s="35" t="str">
        <f>IF(ISNONTEXT(deployment_raw[[#This Row],[Column1]]), "", deployment_raw[[#This Row],[Column1]])</f>
        <v/>
      </c>
      <c r="B316" s="36" t="str">
        <f>IF(ISNONTEXT(deployment_raw[[#This Row],[Column2]]), "", deployment_raw[[#This Row],[Column2]])</f>
        <v/>
      </c>
      <c r="C316" s="36" t="str">
        <f>IF(ISNONTEXT(deployment_raw[[#This Row],[Column3]]), "", deployment_raw[[#This Row],[Column3]])</f>
        <v/>
      </c>
      <c r="D316" s="36" t="str">
        <f>IF(ISNONTEXT(deployment_raw[[#This Row],[Column4]]), "", deployment_raw[[#This Row],[Column4]])</f>
        <v/>
      </c>
      <c r="E316" s="37" t="str">
        <f>IF(ISNUMBER(deployment_raw[[#This Row],[Column5]]), deployment_raw[[#This Row],[Column5]],"")</f>
        <v/>
      </c>
      <c r="F316" s="94" t="str">
        <f>IF(ISNUMBER(deployment_raw[[#This Row],[Column6]]), (deployment_raw[[#This Row],[Column6]] * IF($E$2="Deployment",deployment_raw[[#This Row],[Column5]],1)),"")</f>
        <v/>
      </c>
      <c r="G316" s="95" t="str">
        <f>IF(ISNUMBER(deployment_raw[[#This Row],[Column7]]), (deployment_raw[[#This Row],[Column7]] * IF($E$2="Deployment",deployment_raw[[#This Row],[Column5]],1))/1048576,"")</f>
        <v/>
      </c>
      <c r="H316" s="95" t="str">
        <f>IF(ISNUMBER(deployment_raw[[#This Row],[Column8]]), (deployment_raw[[#This Row],[Column8]]  * IF($E$2="Deployment",deployment_raw[[#This Row],[Column5]],1)),"")</f>
        <v/>
      </c>
      <c r="I316" s="96" t="str">
        <f>IF(ISNUMBER(deployment_raw[[#This Row],[Column9]]), (deployment_raw[[#This Row],[Column9]] * IF($E$2="Deployment",deployment_raw[[#This Row],[Column5]],1))/1048576,"")</f>
        <v/>
      </c>
      <c r="J316" s="122" t="str">
        <f>IF(ISNUMBER(deployment_raw[[#This Row],[Column10]]), (MIN(IF(N316&lt;&gt;"",N316,9999999999999)*1.1,deployment_raw[[#This Row],[Column10]] * IF($E$2="Deployment",deployment_raw[[#This Row],[Column5]],1))),"")</f>
        <v/>
      </c>
      <c r="K316" s="123" t="str">
        <f>IF(ISNUMBER(deployment_raw[[#This Row],[Column11]]), (MIN(IF(O316&lt;&gt;"",O316,9999999999999)*1.1,deployment_raw[[#This Row],[Column11]] * IF($E$2="Deployment",deployment_raw[[#This Row],[Column5]],1)/1048576)),"")</f>
        <v/>
      </c>
      <c r="L316" s="124" t="str">
        <f>IF(ISNUMBER(deployment_raw[[#This Row],[Column8]]),IF(OR(deployment_raw[[#This Row],[Column5]] &lt;&gt; 0,$E$2 &lt;&gt; "Deployment"), MAX(J316, P316, R316, ($L$2 * IF($E$2="Deployment",deployment_raw[[#This Row],[Column5]],1)),IF(T316&lt;&gt;"",VALUE(T316) * IF($E$2="Deployment",deployment_raw[[#This Row],[Column5]],1),0)), 0),"")</f>
        <v/>
      </c>
      <c r="M316" s="125" t="str">
        <f>IF(ISNUMBER(deployment_raw[[#This Row],[Column9]]),IF(OR(deployment_raw[[#This Row],[Column5]] &lt;&gt; 0,$E$2&lt;&gt;"Deployment"), MAX(K316, Q316, S316, ($M$2 * IF($E$2="Deployment",deployment_raw[[#This Row],[Column5]],1)),IF(U316&lt;&gt;"",VALUE(U316) * IF($E$2="Deployment",deployment_raw[[#This Row],[Column5]],1),0)), 0),"")</f>
        <v/>
      </c>
      <c r="N316" s="166" t="str">
        <f>IF(ISNUMBER(deployment_raw[[#This Row],[Column14]]), deployment_raw[[#This Row],[Column14]]/IF(OR($E$2="Deployment",deployment_raw[[#This Row],[Column5]]=0),1,deployment_raw[[#This Row],[Column5]]),"")</f>
        <v/>
      </c>
      <c r="O316" s="167" t="str">
        <f>IF(ISNUMBER(deployment_raw[[#This Row],[Column15]]), deployment_raw[[#This Row],[Column15]]/IF(OR($E$2="Deployment",deployment_raw[[#This Row],[Column5]]=0),1,deployment_raw[[#This Row],[Column5]])/1048576,"")</f>
        <v/>
      </c>
      <c r="P316" s="168" t="str">
        <f>IF(ISNUMBER(deployment_raw[[#This Row],[Column12]]), (MIN(IF(N316&lt;&gt;"",N316,9999999999999)*1.1,deployment_raw[[#This Row],[Column12]] * IF($E$2="Deployment",deployment_raw[[#This Row],[Column5]],1))*(1+$P$2)),"")</f>
        <v/>
      </c>
      <c r="Q316" s="167" t="str">
        <f>IF(ISNUMBER(deployment_raw[[#This Row],[Column13]]), (MIN(IF(O316&lt;&gt;"",O316,9999999999999)*1.1,deployment_raw[[#This Row],[Column13]] * IF($E$2="Deployment",deployment_raw[[#This Row],[Column5]],1)*(1+$Q$2)/1048576)),"")</f>
        <v/>
      </c>
      <c r="R316" s="169" t="str">
        <f>IF(ISNUMBER(deployment_raw[[#This Row],[Column8]]), (H316  * IF(N316&lt;&gt;0,$R$2,1)),"")</f>
        <v/>
      </c>
      <c r="S316" s="170" t="str">
        <f>IF(ISNUMBER(deployment_raw[[#This Row],[Column8]]), (I316  * IF(O316&lt;&gt;0,$S$2,1)),"")</f>
        <v/>
      </c>
      <c r="T316" s="202" t="str">
        <f>IF(AND(A316&lt;&gt;"",_xlfn.IFNA(MATCH(A316,'dynamic resource application '!$A$2:$A$100, 0),0)&lt;&gt;0), H316/(IF($E$2="Deployment",E316,1)),"")</f>
        <v/>
      </c>
      <c r="U316" s="211" t="str">
        <f>IF(AND(A316&lt;&gt;"",_xlfn.IFNA(MATCH(A316,'dynamic resource application '!$A$2:$A$100, 0),0)&lt;&gt;0), I316/(IF($E$2="Deployment",E316,1)),"")</f>
        <v/>
      </c>
    </row>
    <row r="317" spans="1:21" ht="15.75" customHeight="1" x14ac:dyDescent="0.25">
      <c r="A317" s="35" t="str">
        <f>IF(ISNONTEXT(deployment_raw[[#This Row],[Column1]]), "", deployment_raw[[#This Row],[Column1]])</f>
        <v/>
      </c>
      <c r="B317" s="36" t="str">
        <f>IF(ISNONTEXT(deployment_raw[[#This Row],[Column2]]), "", deployment_raw[[#This Row],[Column2]])</f>
        <v/>
      </c>
      <c r="C317" s="36" t="str">
        <f>IF(ISNONTEXT(deployment_raw[[#This Row],[Column3]]), "", deployment_raw[[#This Row],[Column3]])</f>
        <v/>
      </c>
      <c r="D317" s="36" t="str">
        <f>IF(ISNONTEXT(deployment_raw[[#This Row],[Column4]]), "", deployment_raw[[#This Row],[Column4]])</f>
        <v/>
      </c>
      <c r="E317" s="37" t="str">
        <f>IF(ISNUMBER(deployment_raw[[#This Row],[Column5]]), deployment_raw[[#This Row],[Column5]],"")</f>
        <v/>
      </c>
      <c r="F317" s="94" t="str">
        <f>IF(ISNUMBER(deployment_raw[[#This Row],[Column6]]), (deployment_raw[[#This Row],[Column6]] * IF($E$2="Deployment",deployment_raw[[#This Row],[Column5]],1)),"")</f>
        <v/>
      </c>
      <c r="G317" s="95" t="str">
        <f>IF(ISNUMBER(deployment_raw[[#This Row],[Column7]]), (deployment_raw[[#This Row],[Column7]] * IF($E$2="Deployment",deployment_raw[[#This Row],[Column5]],1))/1048576,"")</f>
        <v/>
      </c>
      <c r="H317" s="95" t="str">
        <f>IF(ISNUMBER(deployment_raw[[#This Row],[Column8]]), (deployment_raw[[#This Row],[Column8]]  * IF($E$2="Deployment",deployment_raw[[#This Row],[Column5]],1)),"")</f>
        <v/>
      </c>
      <c r="I317" s="96" t="str">
        <f>IF(ISNUMBER(deployment_raw[[#This Row],[Column9]]), (deployment_raw[[#This Row],[Column9]] * IF($E$2="Deployment",deployment_raw[[#This Row],[Column5]],1))/1048576,"")</f>
        <v/>
      </c>
      <c r="J317" s="122" t="str">
        <f>IF(ISNUMBER(deployment_raw[[#This Row],[Column10]]), (MIN(IF(N317&lt;&gt;"",N317,9999999999999)*1.1,deployment_raw[[#This Row],[Column10]] * IF($E$2="Deployment",deployment_raw[[#This Row],[Column5]],1))),"")</f>
        <v/>
      </c>
      <c r="K317" s="123" t="str">
        <f>IF(ISNUMBER(deployment_raw[[#This Row],[Column11]]), (MIN(IF(O317&lt;&gt;"",O317,9999999999999)*1.1,deployment_raw[[#This Row],[Column11]] * IF($E$2="Deployment",deployment_raw[[#This Row],[Column5]],1)/1048576)),"")</f>
        <v/>
      </c>
      <c r="L317" s="124" t="str">
        <f>IF(ISNUMBER(deployment_raw[[#This Row],[Column8]]),IF(OR(deployment_raw[[#This Row],[Column5]] &lt;&gt; 0,$E$2 &lt;&gt; "Deployment"), MAX(J317, P317, R317, ($L$2 * IF($E$2="Deployment",deployment_raw[[#This Row],[Column5]],1)),IF(T317&lt;&gt;"",VALUE(T317) * IF($E$2="Deployment",deployment_raw[[#This Row],[Column5]],1),0)), 0),"")</f>
        <v/>
      </c>
      <c r="M317" s="125" t="str">
        <f>IF(ISNUMBER(deployment_raw[[#This Row],[Column9]]),IF(OR(deployment_raw[[#This Row],[Column5]] &lt;&gt; 0,$E$2&lt;&gt;"Deployment"), MAX(K317, Q317, S317, ($M$2 * IF($E$2="Deployment",deployment_raw[[#This Row],[Column5]],1)),IF(U317&lt;&gt;"",VALUE(U317) * IF($E$2="Deployment",deployment_raw[[#This Row],[Column5]],1),0)), 0),"")</f>
        <v/>
      </c>
      <c r="N317" s="166" t="str">
        <f>IF(ISNUMBER(deployment_raw[[#This Row],[Column14]]), deployment_raw[[#This Row],[Column14]]/IF(OR($E$2="Deployment",deployment_raw[[#This Row],[Column5]]=0),1,deployment_raw[[#This Row],[Column5]]),"")</f>
        <v/>
      </c>
      <c r="O317" s="167" t="str">
        <f>IF(ISNUMBER(deployment_raw[[#This Row],[Column15]]), deployment_raw[[#This Row],[Column15]]/IF(OR($E$2="Deployment",deployment_raw[[#This Row],[Column5]]=0),1,deployment_raw[[#This Row],[Column5]])/1048576,"")</f>
        <v/>
      </c>
      <c r="P317" s="168" t="str">
        <f>IF(ISNUMBER(deployment_raw[[#This Row],[Column12]]), (MIN(IF(N317&lt;&gt;"",N317,9999999999999)*1.1,deployment_raw[[#This Row],[Column12]] * IF($E$2="Deployment",deployment_raw[[#This Row],[Column5]],1))*(1+$P$2)),"")</f>
        <v/>
      </c>
      <c r="Q317" s="167" t="str">
        <f>IF(ISNUMBER(deployment_raw[[#This Row],[Column13]]), (MIN(IF(O317&lt;&gt;"",O317,9999999999999)*1.1,deployment_raw[[#This Row],[Column13]] * IF($E$2="Deployment",deployment_raw[[#This Row],[Column5]],1)*(1+$Q$2)/1048576)),"")</f>
        <v/>
      </c>
      <c r="R317" s="169" t="str">
        <f>IF(ISNUMBER(deployment_raw[[#This Row],[Column8]]), (H317  * IF(N317&lt;&gt;0,$R$2,1)),"")</f>
        <v/>
      </c>
      <c r="S317" s="170" t="str">
        <f>IF(ISNUMBER(deployment_raw[[#This Row],[Column8]]), (I317  * IF(O317&lt;&gt;0,$S$2,1)),"")</f>
        <v/>
      </c>
      <c r="T317" s="202" t="str">
        <f>IF(AND(A317&lt;&gt;"",_xlfn.IFNA(MATCH(A317,'dynamic resource application '!$A$2:$A$100, 0),0)&lt;&gt;0), H317/(IF($E$2="Deployment",E317,1)),"")</f>
        <v/>
      </c>
      <c r="U317" s="211" t="str">
        <f>IF(AND(A317&lt;&gt;"",_xlfn.IFNA(MATCH(A317,'dynamic resource application '!$A$2:$A$100, 0),0)&lt;&gt;0), I317/(IF($E$2="Deployment",E317,1)),"")</f>
        <v/>
      </c>
    </row>
    <row r="318" spans="1:21" ht="15.75" customHeight="1" x14ac:dyDescent="0.25">
      <c r="A318" s="35" t="str">
        <f>IF(ISNONTEXT(deployment_raw[[#This Row],[Column1]]), "", deployment_raw[[#This Row],[Column1]])</f>
        <v/>
      </c>
      <c r="B318" s="36" t="str">
        <f>IF(ISNONTEXT(deployment_raw[[#This Row],[Column2]]), "", deployment_raw[[#This Row],[Column2]])</f>
        <v/>
      </c>
      <c r="C318" s="36" t="str">
        <f>IF(ISNONTEXT(deployment_raw[[#This Row],[Column3]]), "", deployment_raw[[#This Row],[Column3]])</f>
        <v/>
      </c>
      <c r="D318" s="36" t="str">
        <f>IF(ISNONTEXT(deployment_raw[[#This Row],[Column4]]), "", deployment_raw[[#This Row],[Column4]])</f>
        <v/>
      </c>
      <c r="E318" s="37" t="str">
        <f>IF(ISNUMBER(deployment_raw[[#This Row],[Column5]]), deployment_raw[[#This Row],[Column5]],"")</f>
        <v/>
      </c>
      <c r="F318" s="94" t="str">
        <f>IF(ISNUMBER(deployment_raw[[#This Row],[Column6]]), (deployment_raw[[#This Row],[Column6]] * IF($E$2="Deployment",deployment_raw[[#This Row],[Column5]],1)),"")</f>
        <v/>
      </c>
      <c r="G318" s="95" t="str">
        <f>IF(ISNUMBER(deployment_raw[[#This Row],[Column7]]), (deployment_raw[[#This Row],[Column7]] * IF($E$2="Deployment",deployment_raw[[#This Row],[Column5]],1))/1048576,"")</f>
        <v/>
      </c>
      <c r="H318" s="95" t="str">
        <f>IF(ISNUMBER(deployment_raw[[#This Row],[Column8]]), (deployment_raw[[#This Row],[Column8]]  * IF($E$2="Deployment",deployment_raw[[#This Row],[Column5]],1)),"")</f>
        <v/>
      </c>
      <c r="I318" s="96" t="str">
        <f>IF(ISNUMBER(deployment_raw[[#This Row],[Column9]]), (deployment_raw[[#This Row],[Column9]] * IF($E$2="Deployment",deployment_raw[[#This Row],[Column5]],1))/1048576,"")</f>
        <v/>
      </c>
      <c r="J318" s="122" t="str">
        <f>IF(ISNUMBER(deployment_raw[[#This Row],[Column10]]), (MIN(IF(N318&lt;&gt;"",N318,9999999999999)*1.1,deployment_raw[[#This Row],[Column10]] * IF($E$2="Deployment",deployment_raw[[#This Row],[Column5]],1))),"")</f>
        <v/>
      </c>
      <c r="K318" s="123" t="str">
        <f>IF(ISNUMBER(deployment_raw[[#This Row],[Column11]]), (MIN(IF(O318&lt;&gt;"",O318,9999999999999)*1.1,deployment_raw[[#This Row],[Column11]] * IF($E$2="Deployment",deployment_raw[[#This Row],[Column5]],1)/1048576)),"")</f>
        <v/>
      </c>
      <c r="L318" s="124" t="str">
        <f>IF(ISNUMBER(deployment_raw[[#This Row],[Column8]]),IF(OR(deployment_raw[[#This Row],[Column5]] &lt;&gt; 0,$E$2 &lt;&gt; "Deployment"), MAX(J318, P318, R318, ($L$2 * IF($E$2="Deployment",deployment_raw[[#This Row],[Column5]],1)),IF(T318&lt;&gt;"",VALUE(T318) * IF($E$2="Deployment",deployment_raw[[#This Row],[Column5]],1),0)), 0),"")</f>
        <v/>
      </c>
      <c r="M318" s="125" t="str">
        <f>IF(ISNUMBER(deployment_raw[[#This Row],[Column9]]),IF(OR(deployment_raw[[#This Row],[Column5]] &lt;&gt; 0,$E$2&lt;&gt;"Deployment"), MAX(K318, Q318, S318, ($M$2 * IF($E$2="Deployment",deployment_raw[[#This Row],[Column5]],1)),IF(U318&lt;&gt;"",VALUE(U318) * IF($E$2="Deployment",deployment_raw[[#This Row],[Column5]],1),0)), 0),"")</f>
        <v/>
      </c>
      <c r="N318" s="166" t="str">
        <f>IF(ISNUMBER(deployment_raw[[#This Row],[Column14]]), deployment_raw[[#This Row],[Column14]]/IF(OR($E$2="Deployment",deployment_raw[[#This Row],[Column5]]=0),1,deployment_raw[[#This Row],[Column5]]),"")</f>
        <v/>
      </c>
      <c r="O318" s="167" t="str">
        <f>IF(ISNUMBER(deployment_raw[[#This Row],[Column15]]), deployment_raw[[#This Row],[Column15]]/IF(OR($E$2="Deployment",deployment_raw[[#This Row],[Column5]]=0),1,deployment_raw[[#This Row],[Column5]])/1048576,"")</f>
        <v/>
      </c>
      <c r="P318" s="168" t="str">
        <f>IF(ISNUMBER(deployment_raw[[#This Row],[Column12]]), (MIN(IF(N318&lt;&gt;"",N318,9999999999999)*1.1,deployment_raw[[#This Row],[Column12]] * IF($E$2="Deployment",deployment_raw[[#This Row],[Column5]],1))*(1+$P$2)),"")</f>
        <v/>
      </c>
      <c r="Q318" s="167" t="str">
        <f>IF(ISNUMBER(deployment_raw[[#This Row],[Column13]]), (MIN(IF(O318&lt;&gt;"",O318,9999999999999)*1.1,deployment_raw[[#This Row],[Column13]] * IF($E$2="Deployment",deployment_raw[[#This Row],[Column5]],1)*(1+$Q$2)/1048576)),"")</f>
        <v/>
      </c>
      <c r="R318" s="169" t="str">
        <f>IF(ISNUMBER(deployment_raw[[#This Row],[Column8]]), (H318  * IF(N318&lt;&gt;0,$R$2,1)),"")</f>
        <v/>
      </c>
      <c r="S318" s="170" t="str">
        <f>IF(ISNUMBER(deployment_raw[[#This Row],[Column8]]), (I318  * IF(O318&lt;&gt;0,$S$2,1)),"")</f>
        <v/>
      </c>
      <c r="T318" s="202" t="str">
        <f>IF(AND(A318&lt;&gt;"",_xlfn.IFNA(MATCH(A318,'dynamic resource application '!$A$2:$A$100, 0),0)&lt;&gt;0), H318/(IF($E$2="Deployment",E318,1)),"")</f>
        <v/>
      </c>
      <c r="U318" s="211" t="str">
        <f>IF(AND(A318&lt;&gt;"",_xlfn.IFNA(MATCH(A318,'dynamic resource application '!$A$2:$A$100, 0),0)&lt;&gt;0), I318/(IF($E$2="Deployment",E318,1)),"")</f>
        <v/>
      </c>
    </row>
    <row r="319" spans="1:21" ht="15.75" customHeight="1" x14ac:dyDescent="0.25">
      <c r="A319" s="35" t="str">
        <f>IF(ISNONTEXT(deployment_raw[[#This Row],[Column1]]), "", deployment_raw[[#This Row],[Column1]])</f>
        <v/>
      </c>
      <c r="B319" s="36" t="str">
        <f>IF(ISNONTEXT(deployment_raw[[#This Row],[Column2]]), "", deployment_raw[[#This Row],[Column2]])</f>
        <v/>
      </c>
      <c r="C319" s="36" t="str">
        <f>IF(ISNONTEXT(deployment_raw[[#This Row],[Column3]]), "", deployment_raw[[#This Row],[Column3]])</f>
        <v/>
      </c>
      <c r="D319" s="36" t="str">
        <f>IF(ISNONTEXT(deployment_raw[[#This Row],[Column4]]), "", deployment_raw[[#This Row],[Column4]])</f>
        <v/>
      </c>
      <c r="E319" s="37" t="str">
        <f>IF(ISNUMBER(deployment_raw[[#This Row],[Column5]]), deployment_raw[[#This Row],[Column5]],"")</f>
        <v/>
      </c>
      <c r="F319" s="94" t="str">
        <f>IF(ISNUMBER(deployment_raw[[#This Row],[Column6]]), (deployment_raw[[#This Row],[Column6]] * IF($E$2="Deployment",deployment_raw[[#This Row],[Column5]],1)),"")</f>
        <v/>
      </c>
      <c r="G319" s="95" t="str">
        <f>IF(ISNUMBER(deployment_raw[[#This Row],[Column7]]), (deployment_raw[[#This Row],[Column7]] * IF($E$2="Deployment",deployment_raw[[#This Row],[Column5]],1))/1048576,"")</f>
        <v/>
      </c>
      <c r="H319" s="95" t="str">
        <f>IF(ISNUMBER(deployment_raw[[#This Row],[Column8]]), (deployment_raw[[#This Row],[Column8]]  * IF($E$2="Deployment",deployment_raw[[#This Row],[Column5]],1)),"")</f>
        <v/>
      </c>
      <c r="I319" s="96" t="str">
        <f>IF(ISNUMBER(deployment_raw[[#This Row],[Column9]]), (deployment_raw[[#This Row],[Column9]] * IF($E$2="Deployment",deployment_raw[[#This Row],[Column5]],1))/1048576,"")</f>
        <v/>
      </c>
      <c r="J319" s="122" t="str">
        <f>IF(ISNUMBER(deployment_raw[[#This Row],[Column10]]), (MIN(IF(N319&lt;&gt;"",N319,9999999999999)*1.1,deployment_raw[[#This Row],[Column10]] * IF($E$2="Deployment",deployment_raw[[#This Row],[Column5]],1))),"")</f>
        <v/>
      </c>
      <c r="K319" s="123" t="str">
        <f>IF(ISNUMBER(deployment_raw[[#This Row],[Column11]]), (MIN(IF(O319&lt;&gt;"",O319,9999999999999)*1.1,deployment_raw[[#This Row],[Column11]] * IF($E$2="Deployment",deployment_raw[[#This Row],[Column5]],1)/1048576)),"")</f>
        <v/>
      </c>
      <c r="L319" s="124" t="str">
        <f>IF(ISNUMBER(deployment_raw[[#This Row],[Column8]]),IF(OR(deployment_raw[[#This Row],[Column5]] &lt;&gt; 0,$E$2 &lt;&gt; "Deployment"), MAX(J319, P319, R319, ($L$2 * IF($E$2="Deployment",deployment_raw[[#This Row],[Column5]],1)),IF(T319&lt;&gt;"",VALUE(T319) * IF($E$2="Deployment",deployment_raw[[#This Row],[Column5]],1),0)), 0),"")</f>
        <v/>
      </c>
      <c r="M319" s="125" t="str">
        <f>IF(ISNUMBER(deployment_raw[[#This Row],[Column9]]),IF(OR(deployment_raw[[#This Row],[Column5]] &lt;&gt; 0,$E$2&lt;&gt;"Deployment"), MAX(K319, Q319, S319, ($M$2 * IF($E$2="Deployment",deployment_raw[[#This Row],[Column5]],1)),IF(U319&lt;&gt;"",VALUE(U319) * IF($E$2="Deployment",deployment_raw[[#This Row],[Column5]],1),0)), 0),"")</f>
        <v/>
      </c>
      <c r="N319" s="166" t="str">
        <f>IF(ISNUMBER(deployment_raw[[#This Row],[Column14]]), deployment_raw[[#This Row],[Column14]]/IF(OR($E$2="Deployment",deployment_raw[[#This Row],[Column5]]=0),1,deployment_raw[[#This Row],[Column5]]),"")</f>
        <v/>
      </c>
      <c r="O319" s="167" t="str">
        <f>IF(ISNUMBER(deployment_raw[[#This Row],[Column15]]), deployment_raw[[#This Row],[Column15]]/IF(OR($E$2="Deployment",deployment_raw[[#This Row],[Column5]]=0),1,deployment_raw[[#This Row],[Column5]])/1048576,"")</f>
        <v/>
      </c>
      <c r="P319" s="168" t="str">
        <f>IF(ISNUMBER(deployment_raw[[#This Row],[Column12]]), (MIN(IF(N319&lt;&gt;"",N319,9999999999999)*1.1,deployment_raw[[#This Row],[Column12]] * IF($E$2="Deployment",deployment_raw[[#This Row],[Column5]],1))*(1+$P$2)),"")</f>
        <v/>
      </c>
      <c r="Q319" s="167" t="str">
        <f>IF(ISNUMBER(deployment_raw[[#This Row],[Column13]]), (MIN(IF(O319&lt;&gt;"",O319,9999999999999)*1.1,deployment_raw[[#This Row],[Column13]] * IF($E$2="Deployment",deployment_raw[[#This Row],[Column5]],1)*(1+$Q$2)/1048576)),"")</f>
        <v/>
      </c>
      <c r="R319" s="169" t="str">
        <f>IF(ISNUMBER(deployment_raw[[#This Row],[Column8]]), (H319  * IF(N319&lt;&gt;0,$R$2,1)),"")</f>
        <v/>
      </c>
      <c r="S319" s="170" t="str">
        <f>IF(ISNUMBER(deployment_raw[[#This Row],[Column8]]), (I319  * IF(O319&lt;&gt;0,$S$2,1)),"")</f>
        <v/>
      </c>
      <c r="T319" s="202" t="str">
        <f>IF(AND(A319&lt;&gt;"",_xlfn.IFNA(MATCH(A319,'dynamic resource application '!$A$2:$A$100, 0),0)&lt;&gt;0), H319/(IF($E$2="Deployment",E319,1)),"")</f>
        <v/>
      </c>
      <c r="U319" s="211" t="str">
        <f>IF(AND(A319&lt;&gt;"",_xlfn.IFNA(MATCH(A319,'dynamic resource application '!$A$2:$A$100, 0),0)&lt;&gt;0), I319/(IF($E$2="Deployment",E319,1)),"")</f>
        <v/>
      </c>
    </row>
    <row r="320" spans="1:21" ht="15.75" customHeight="1" x14ac:dyDescent="0.25">
      <c r="A320" s="35" t="str">
        <f>IF(ISNONTEXT(deployment_raw[[#This Row],[Column1]]), "", deployment_raw[[#This Row],[Column1]])</f>
        <v/>
      </c>
      <c r="B320" s="36" t="str">
        <f>IF(ISNONTEXT(deployment_raw[[#This Row],[Column2]]), "", deployment_raw[[#This Row],[Column2]])</f>
        <v/>
      </c>
      <c r="C320" s="36" t="str">
        <f>IF(ISNONTEXT(deployment_raw[[#This Row],[Column3]]), "", deployment_raw[[#This Row],[Column3]])</f>
        <v/>
      </c>
      <c r="D320" s="36" t="str">
        <f>IF(ISNONTEXT(deployment_raw[[#This Row],[Column4]]), "", deployment_raw[[#This Row],[Column4]])</f>
        <v/>
      </c>
      <c r="E320" s="37" t="str">
        <f>IF(ISNUMBER(deployment_raw[[#This Row],[Column5]]), deployment_raw[[#This Row],[Column5]],"")</f>
        <v/>
      </c>
      <c r="F320" s="94" t="str">
        <f>IF(ISNUMBER(deployment_raw[[#This Row],[Column6]]), (deployment_raw[[#This Row],[Column6]] * IF($E$2="Deployment",deployment_raw[[#This Row],[Column5]],1)),"")</f>
        <v/>
      </c>
      <c r="G320" s="95" t="str">
        <f>IF(ISNUMBER(deployment_raw[[#This Row],[Column7]]), (deployment_raw[[#This Row],[Column7]] * IF($E$2="Deployment",deployment_raw[[#This Row],[Column5]],1))/1048576,"")</f>
        <v/>
      </c>
      <c r="H320" s="95" t="str">
        <f>IF(ISNUMBER(deployment_raw[[#This Row],[Column8]]), (deployment_raw[[#This Row],[Column8]]  * IF($E$2="Deployment",deployment_raw[[#This Row],[Column5]],1)),"")</f>
        <v/>
      </c>
      <c r="I320" s="96" t="str">
        <f>IF(ISNUMBER(deployment_raw[[#This Row],[Column9]]), (deployment_raw[[#This Row],[Column9]] * IF($E$2="Deployment",deployment_raw[[#This Row],[Column5]],1))/1048576,"")</f>
        <v/>
      </c>
      <c r="J320" s="122" t="str">
        <f>IF(ISNUMBER(deployment_raw[[#This Row],[Column10]]), (MIN(IF(N320&lt;&gt;"",N320,9999999999999)*1.1,deployment_raw[[#This Row],[Column10]] * IF($E$2="Deployment",deployment_raw[[#This Row],[Column5]],1))),"")</f>
        <v/>
      </c>
      <c r="K320" s="123" t="str">
        <f>IF(ISNUMBER(deployment_raw[[#This Row],[Column11]]), (MIN(IF(O320&lt;&gt;"",O320,9999999999999)*1.1,deployment_raw[[#This Row],[Column11]] * IF($E$2="Deployment",deployment_raw[[#This Row],[Column5]],1)/1048576)),"")</f>
        <v/>
      </c>
      <c r="L320" s="124" t="str">
        <f>IF(ISNUMBER(deployment_raw[[#This Row],[Column8]]),IF(OR(deployment_raw[[#This Row],[Column5]] &lt;&gt; 0,$E$2 &lt;&gt; "Deployment"), MAX(J320, P320, R320, ($L$2 * IF($E$2="Deployment",deployment_raw[[#This Row],[Column5]],1)),IF(T320&lt;&gt;"",VALUE(T320) * IF($E$2="Deployment",deployment_raw[[#This Row],[Column5]],1),0)), 0),"")</f>
        <v/>
      </c>
      <c r="M320" s="125" t="str">
        <f>IF(ISNUMBER(deployment_raw[[#This Row],[Column9]]),IF(OR(deployment_raw[[#This Row],[Column5]] &lt;&gt; 0,$E$2&lt;&gt;"Deployment"), MAX(K320, Q320, S320, ($M$2 * IF($E$2="Deployment",deployment_raw[[#This Row],[Column5]],1)),IF(U320&lt;&gt;"",VALUE(U320) * IF($E$2="Deployment",deployment_raw[[#This Row],[Column5]],1),0)), 0),"")</f>
        <v/>
      </c>
      <c r="N320" s="166" t="str">
        <f>IF(ISNUMBER(deployment_raw[[#This Row],[Column14]]), deployment_raw[[#This Row],[Column14]]/IF(OR($E$2="Deployment",deployment_raw[[#This Row],[Column5]]=0),1,deployment_raw[[#This Row],[Column5]]),"")</f>
        <v/>
      </c>
      <c r="O320" s="167" t="str">
        <f>IF(ISNUMBER(deployment_raw[[#This Row],[Column15]]), deployment_raw[[#This Row],[Column15]]/IF(OR($E$2="Deployment",deployment_raw[[#This Row],[Column5]]=0),1,deployment_raw[[#This Row],[Column5]])/1048576,"")</f>
        <v/>
      </c>
      <c r="P320" s="168" t="str">
        <f>IF(ISNUMBER(deployment_raw[[#This Row],[Column12]]), (MIN(IF(N320&lt;&gt;"",N320,9999999999999)*1.1,deployment_raw[[#This Row],[Column12]] * IF($E$2="Deployment",deployment_raw[[#This Row],[Column5]],1))*(1+$P$2)),"")</f>
        <v/>
      </c>
      <c r="Q320" s="167" t="str">
        <f>IF(ISNUMBER(deployment_raw[[#This Row],[Column13]]), (MIN(IF(O320&lt;&gt;"",O320,9999999999999)*1.1,deployment_raw[[#This Row],[Column13]] * IF($E$2="Deployment",deployment_raw[[#This Row],[Column5]],1)*(1+$Q$2)/1048576)),"")</f>
        <v/>
      </c>
      <c r="R320" s="169" t="str">
        <f>IF(ISNUMBER(deployment_raw[[#This Row],[Column8]]), (H320  * IF(N320&lt;&gt;0,$R$2,1)),"")</f>
        <v/>
      </c>
      <c r="S320" s="170" t="str">
        <f>IF(ISNUMBER(deployment_raw[[#This Row],[Column8]]), (I320  * IF(O320&lt;&gt;0,$S$2,1)),"")</f>
        <v/>
      </c>
      <c r="T320" s="202" t="str">
        <f>IF(AND(A320&lt;&gt;"",_xlfn.IFNA(MATCH(A320,'dynamic resource application '!$A$2:$A$100, 0),0)&lt;&gt;0), H320/(IF($E$2="Deployment",E320,1)),"")</f>
        <v/>
      </c>
      <c r="U320" s="211" t="str">
        <f>IF(AND(A320&lt;&gt;"",_xlfn.IFNA(MATCH(A320,'dynamic resource application '!$A$2:$A$100, 0),0)&lt;&gt;0), I320/(IF($E$2="Deployment",E320,1)),"")</f>
        <v/>
      </c>
    </row>
    <row r="321" spans="1:21" ht="15.75" customHeight="1" x14ac:dyDescent="0.25">
      <c r="A321" s="35" t="str">
        <f>IF(ISNONTEXT(deployment_raw[[#This Row],[Column1]]), "", deployment_raw[[#This Row],[Column1]])</f>
        <v/>
      </c>
      <c r="B321" s="36" t="str">
        <f>IF(ISNONTEXT(deployment_raw[[#This Row],[Column2]]), "", deployment_raw[[#This Row],[Column2]])</f>
        <v/>
      </c>
      <c r="C321" s="36" t="str">
        <f>IF(ISNONTEXT(deployment_raw[[#This Row],[Column3]]), "", deployment_raw[[#This Row],[Column3]])</f>
        <v/>
      </c>
      <c r="D321" s="36" t="str">
        <f>IF(ISNONTEXT(deployment_raw[[#This Row],[Column4]]), "", deployment_raw[[#This Row],[Column4]])</f>
        <v/>
      </c>
      <c r="E321" s="37" t="str">
        <f>IF(ISNUMBER(deployment_raw[[#This Row],[Column5]]), deployment_raw[[#This Row],[Column5]],"")</f>
        <v/>
      </c>
      <c r="F321" s="94" t="str">
        <f>IF(ISNUMBER(deployment_raw[[#This Row],[Column6]]), (deployment_raw[[#This Row],[Column6]] * IF($E$2="Deployment",deployment_raw[[#This Row],[Column5]],1)),"")</f>
        <v/>
      </c>
      <c r="G321" s="95" t="str">
        <f>IF(ISNUMBER(deployment_raw[[#This Row],[Column7]]), (deployment_raw[[#This Row],[Column7]] * IF($E$2="Deployment",deployment_raw[[#This Row],[Column5]],1))/1048576,"")</f>
        <v/>
      </c>
      <c r="H321" s="95" t="str">
        <f>IF(ISNUMBER(deployment_raw[[#This Row],[Column8]]), (deployment_raw[[#This Row],[Column8]]  * IF($E$2="Deployment",deployment_raw[[#This Row],[Column5]],1)),"")</f>
        <v/>
      </c>
      <c r="I321" s="96" t="str">
        <f>IF(ISNUMBER(deployment_raw[[#This Row],[Column9]]), (deployment_raw[[#This Row],[Column9]] * IF($E$2="Deployment",deployment_raw[[#This Row],[Column5]],1))/1048576,"")</f>
        <v/>
      </c>
      <c r="J321" s="122" t="str">
        <f>IF(ISNUMBER(deployment_raw[[#This Row],[Column10]]), (MIN(IF(N321&lt;&gt;"",N321,9999999999999)*1.1,deployment_raw[[#This Row],[Column10]] * IF($E$2="Deployment",deployment_raw[[#This Row],[Column5]],1))),"")</f>
        <v/>
      </c>
      <c r="K321" s="123" t="str">
        <f>IF(ISNUMBER(deployment_raw[[#This Row],[Column11]]), (MIN(IF(O321&lt;&gt;"",O321,9999999999999)*1.1,deployment_raw[[#This Row],[Column11]] * IF($E$2="Deployment",deployment_raw[[#This Row],[Column5]],1)/1048576)),"")</f>
        <v/>
      </c>
      <c r="L321" s="124" t="str">
        <f>IF(ISNUMBER(deployment_raw[[#This Row],[Column8]]),IF(OR(deployment_raw[[#This Row],[Column5]] &lt;&gt; 0,$E$2 &lt;&gt; "Deployment"), MAX(J321, P321, R321, ($L$2 * IF($E$2="Deployment",deployment_raw[[#This Row],[Column5]],1)),IF(T321&lt;&gt;"",VALUE(T321) * IF($E$2="Deployment",deployment_raw[[#This Row],[Column5]],1),0)), 0),"")</f>
        <v/>
      </c>
      <c r="M321" s="125" t="str">
        <f>IF(ISNUMBER(deployment_raw[[#This Row],[Column9]]),IF(OR(deployment_raw[[#This Row],[Column5]] &lt;&gt; 0,$E$2&lt;&gt;"Deployment"), MAX(K321, Q321, S321, ($M$2 * IF($E$2="Deployment",deployment_raw[[#This Row],[Column5]],1)),IF(U321&lt;&gt;"",VALUE(U321) * IF($E$2="Deployment",deployment_raw[[#This Row],[Column5]],1),0)), 0),"")</f>
        <v/>
      </c>
      <c r="N321" s="166" t="str">
        <f>IF(ISNUMBER(deployment_raw[[#This Row],[Column14]]), deployment_raw[[#This Row],[Column14]]/IF(OR($E$2="Deployment",deployment_raw[[#This Row],[Column5]]=0),1,deployment_raw[[#This Row],[Column5]]),"")</f>
        <v/>
      </c>
      <c r="O321" s="167" t="str">
        <f>IF(ISNUMBER(deployment_raw[[#This Row],[Column15]]), deployment_raw[[#This Row],[Column15]]/IF(OR($E$2="Deployment",deployment_raw[[#This Row],[Column5]]=0),1,deployment_raw[[#This Row],[Column5]])/1048576,"")</f>
        <v/>
      </c>
      <c r="P321" s="168" t="str">
        <f>IF(ISNUMBER(deployment_raw[[#This Row],[Column12]]), (MIN(IF(N321&lt;&gt;"",N321,9999999999999)*1.1,deployment_raw[[#This Row],[Column12]] * IF($E$2="Deployment",deployment_raw[[#This Row],[Column5]],1))*(1+$P$2)),"")</f>
        <v/>
      </c>
      <c r="Q321" s="167" t="str">
        <f>IF(ISNUMBER(deployment_raw[[#This Row],[Column13]]), (MIN(IF(O321&lt;&gt;"",O321,9999999999999)*1.1,deployment_raw[[#This Row],[Column13]] * IF($E$2="Deployment",deployment_raw[[#This Row],[Column5]],1)*(1+$Q$2)/1048576)),"")</f>
        <v/>
      </c>
      <c r="R321" s="169" t="str">
        <f>IF(ISNUMBER(deployment_raw[[#This Row],[Column8]]), (H321  * IF(N321&lt;&gt;0,$R$2,1)),"")</f>
        <v/>
      </c>
      <c r="S321" s="170" t="str">
        <f>IF(ISNUMBER(deployment_raw[[#This Row],[Column8]]), (I321  * IF(O321&lt;&gt;0,$S$2,1)),"")</f>
        <v/>
      </c>
      <c r="T321" s="202" t="str">
        <f>IF(AND(A321&lt;&gt;"",_xlfn.IFNA(MATCH(A321,'dynamic resource application '!$A$2:$A$100, 0),0)&lt;&gt;0), H321/(IF($E$2="Deployment",E321,1)),"")</f>
        <v/>
      </c>
      <c r="U321" s="211" t="str">
        <f>IF(AND(A321&lt;&gt;"",_xlfn.IFNA(MATCH(A321,'dynamic resource application '!$A$2:$A$100, 0),0)&lt;&gt;0), I321/(IF($E$2="Deployment",E321,1)),"")</f>
        <v/>
      </c>
    </row>
    <row r="322" spans="1:21" ht="15.75" customHeight="1" x14ac:dyDescent="0.25">
      <c r="A322" s="35" t="str">
        <f>IF(ISNONTEXT(deployment_raw[[#This Row],[Column1]]), "", deployment_raw[[#This Row],[Column1]])</f>
        <v/>
      </c>
      <c r="B322" s="36" t="str">
        <f>IF(ISNONTEXT(deployment_raw[[#This Row],[Column2]]), "", deployment_raw[[#This Row],[Column2]])</f>
        <v/>
      </c>
      <c r="C322" s="36" t="str">
        <f>IF(ISNONTEXT(deployment_raw[[#This Row],[Column3]]), "", deployment_raw[[#This Row],[Column3]])</f>
        <v/>
      </c>
      <c r="D322" s="36" t="str">
        <f>IF(ISNONTEXT(deployment_raw[[#This Row],[Column4]]), "", deployment_raw[[#This Row],[Column4]])</f>
        <v/>
      </c>
      <c r="E322" s="37" t="str">
        <f>IF(ISNUMBER(deployment_raw[[#This Row],[Column5]]), deployment_raw[[#This Row],[Column5]],"")</f>
        <v/>
      </c>
      <c r="F322" s="94" t="str">
        <f>IF(ISNUMBER(deployment_raw[[#This Row],[Column6]]), (deployment_raw[[#This Row],[Column6]] * IF($E$2="Deployment",deployment_raw[[#This Row],[Column5]],1)),"")</f>
        <v/>
      </c>
      <c r="G322" s="95" t="str">
        <f>IF(ISNUMBER(deployment_raw[[#This Row],[Column7]]), (deployment_raw[[#This Row],[Column7]] * IF($E$2="Deployment",deployment_raw[[#This Row],[Column5]],1))/1048576,"")</f>
        <v/>
      </c>
      <c r="H322" s="95" t="str">
        <f>IF(ISNUMBER(deployment_raw[[#This Row],[Column8]]), (deployment_raw[[#This Row],[Column8]]  * IF($E$2="Deployment",deployment_raw[[#This Row],[Column5]],1)),"")</f>
        <v/>
      </c>
      <c r="I322" s="96" t="str">
        <f>IF(ISNUMBER(deployment_raw[[#This Row],[Column9]]), (deployment_raw[[#This Row],[Column9]] * IF($E$2="Deployment",deployment_raw[[#This Row],[Column5]],1))/1048576,"")</f>
        <v/>
      </c>
      <c r="J322" s="122" t="str">
        <f>IF(ISNUMBER(deployment_raw[[#This Row],[Column10]]), (MIN(IF(N322&lt;&gt;"",N322,9999999999999)*1.1,deployment_raw[[#This Row],[Column10]] * IF($E$2="Deployment",deployment_raw[[#This Row],[Column5]],1))),"")</f>
        <v/>
      </c>
      <c r="K322" s="123" t="str">
        <f>IF(ISNUMBER(deployment_raw[[#This Row],[Column11]]), (MIN(IF(O322&lt;&gt;"",O322,9999999999999)*1.1,deployment_raw[[#This Row],[Column11]] * IF($E$2="Deployment",deployment_raw[[#This Row],[Column5]],1)/1048576)),"")</f>
        <v/>
      </c>
      <c r="L322" s="124" t="str">
        <f>IF(ISNUMBER(deployment_raw[[#This Row],[Column8]]),IF(OR(deployment_raw[[#This Row],[Column5]] &lt;&gt; 0,$E$2 &lt;&gt; "Deployment"), MAX(J322, P322, R322, ($L$2 * IF($E$2="Deployment",deployment_raw[[#This Row],[Column5]],1)),IF(T322&lt;&gt;"",VALUE(T322) * IF($E$2="Deployment",deployment_raw[[#This Row],[Column5]],1),0)), 0),"")</f>
        <v/>
      </c>
      <c r="M322" s="125" t="str">
        <f>IF(ISNUMBER(deployment_raw[[#This Row],[Column9]]),IF(OR(deployment_raw[[#This Row],[Column5]] &lt;&gt; 0,$E$2&lt;&gt;"Deployment"), MAX(K322, Q322, S322, ($M$2 * IF($E$2="Deployment",deployment_raw[[#This Row],[Column5]],1)),IF(U322&lt;&gt;"",VALUE(U322) * IF($E$2="Deployment",deployment_raw[[#This Row],[Column5]],1),0)), 0),"")</f>
        <v/>
      </c>
      <c r="N322" s="166" t="str">
        <f>IF(ISNUMBER(deployment_raw[[#This Row],[Column14]]), deployment_raw[[#This Row],[Column14]]/IF(OR($E$2="Deployment",deployment_raw[[#This Row],[Column5]]=0),1,deployment_raw[[#This Row],[Column5]]),"")</f>
        <v/>
      </c>
      <c r="O322" s="167" t="str">
        <f>IF(ISNUMBER(deployment_raw[[#This Row],[Column15]]), deployment_raw[[#This Row],[Column15]]/IF(OR($E$2="Deployment",deployment_raw[[#This Row],[Column5]]=0),1,deployment_raw[[#This Row],[Column5]])/1048576,"")</f>
        <v/>
      </c>
      <c r="P322" s="168" t="str">
        <f>IF(ISNUMBER(deployment_raw[[#This Row],[Column12]]), (MIN(IF(N322&lt;&gt;"",N322,9999999999999)*1.1,deployment_raw[[#This Row],[Column12]] * IF($E$2="Deployment",deployment_raw[[#This Row],[Column5]],1))*(1+$P$2)),"")</f>
        <v/>
      </c>
      <c r="Q322" s="167" t="str">
        <f>IF(ISNUMBER(deployment_raw[[#This Row],[Column13]]), (MIN(IF(O322&lt;&gt;"",O322,9999999999999)*1.1,deployment_raw[[#This Row],[Column13]] * IF($E$2="Deployment",deployment_raw[[#This Row],[Column5]],1)*(1+$Q$2)/1048576)),"")</f>
        <v/>
      </c>
      <c r="R322" s="169" t="str">
        <f>IF(ISNUMBER(deployment_raw[[#This Row],[Column8]]), (H322  * IF(N322&lt;&gt;0,$R$2,1)),"")</f>
        <v/>
      </c>
      <c r="S322" s="170" t="str">
        <f>IF(ISNUMBER(deployment_raw[[#This Row],[Column8]]), (I322  * IF(O322&lt;&gt;0,$S$2,1)),"")</f>
        <v/>
      </c>
      <c r="T322" s="202" t="str">
        <f>IF(AND(A322&lt;&gt;"",_xlfn.IFNA(MATCH(A322,'dynamic resource application '!$A$2:$A$100, 0),0)&lt;&gt;0), H322/(IF($E$2="Deployment",E322,1)),"")</f>
        <v/>
      </c>
      <c r="U322" s="211" t="str">
        <f>IF(AND(A322&lt;&gt;"",_xlfn.IFNA(MATCH(A322,'dynamic resource application '!$A$2:$A$100, 0),0)&lt;&gt;0), I322/(IF($E$2="Deployment",E322,1)),"")</f>
        <v/>
      </c>
    </row>
    <row r="323" spans="1:21" ht="15.75" customHeight="1" x14ac:dyDescent="0.25">
      <c r="A323" s="35" t="str">
        <f>IF(ISNONTEXT(deployment_raw[[#This Row],[Column1]]), "", deployment_raw[[#This Row],[Column1]])</f>
        <v/>
      </c>
      <c r="B323" s="36" t="str">
        <f>IF(ISNONTEXT(deployment_raw[[#This Row],[Column2]]), "", deployment_raw[[#This Row],[Column2]])</f>
        <v/>
      </c>
      <c r="C323" s="36" t="str">
        <f>IF(ISNONTEXT(deployment_raw[[#This Row],[Column3]]), "", deployment_raw[[#This Row],[Column3]])</f>
        <v/>
      </c>
      <c r="D323" s="36" t="str">
        <f>IF(ISNONTEXT(deployment_raw[[#This Row],[Column4]]), "", deployment_raw[[#This Row],[Column4]])</f>
        <v/>
      </c>
      <c r="E323" s="37" t="str">
        <f>IF(ISNUMBER(deployment_raw[[#This Row],[Column5]]), deployment_raw[[#This Row],[Column5]],"")</f>
        <v/>
      </c>
      <c r="F323" s="94" t="str">
        <f>IF(ISNUMBER(deployment_raw[[#This Row],[Column6]]), (deployment_raw[[#This Row],[Column6]] * IF($E$2="Deployment",deployment_raw[[#This Row],[Column5]],1)),"")</f>
        <v/>
      </c>
      <c r="G323" s="95" t="str">
        <f>IF(ISNUMBER(deployment_raw[[#This Row],[Column7]]), (deployment_raw[[#This Row],[Column7]] * IF($E$2="Deployment",deployment_raw[[#This Row],[Column5]],1))/1048576,"")</f>
        <v/>
      </c>
      <c r="H323" s="95" t="str">
        <f>IF(ISNUMBER(deployment_raw[[#This Row],[Column8]]), (deployment_raw[[#This Row],[Column8]]  * IF($E$2="Deployment",deployment_raw[[#This Row],[Column5]],1)),"")</f>
        <v/>
      </c>
      <c r="I323" s="96" t="str">
        <f>IF(ISNUMBER(deployment_raw[[#This Row],[Column9]]), (deployment_raw[[#This Row],[Column9]] * IF($E$2="Deployment",deployment_raw[[#This Row],[Column5]],1))/1048576,"")</f>
        <v/>
      </c>
      <c r="J323" s="122" t="str">
        <f>IF(ISNUMBER(deployment_raw[[#This Row],[Column10]]), (MIN(IF(N323&lt;&gt;"",N323,9999999999999)*1.1,deployment_raw[[#This Row],[Column10]] * IF($E$2="Deployment",deployment_raw[[#This Row],[Column5]],1))),"")</f>
        <v/>
      </c>
      <c r="K323" s="123" t="str">
        <f>IF(ISNUMBER(deployment_raw[[#This Row],[Column11]]), (MIN(IF(O323&lt;&gt;"",O323,9999999999999)*1.1,deployment_raw[[#This Row],[Column11]] * IF($E$2="Deployment",deployment_raw[[#This Row],[Column5]],1)/1048576)),"")</f>
        <v/>
      </c>
      <c r="L323" s="124" t="str">
        <f>IF(ISNUMBER(deployment_raw[[#This Row],[Column8]]),IF(OR(deployment_raw[[#This Row],[Column5]] &lt;&gt; 0,$E$2 &lt;&gt; "Deployment"), MAX(J323, P323, R323, ($L$2 * IF($E$2="Deployment",deployment_raw[[#This Row],[Column5]],1)),IF(T323&lt;&gt;"",VALUE(T323) * IF($E$2="Deployment",deployment_raw[[#This Row],[Column5]],1),0)), 0),"")</f>
        <v/>
      </c>
      <c r="M323" s="125" t="str">
        <f>IF(ISNUMBER(deployment_raw[[#This Row],[Column9]]),IF(OR(deployment_raw[[#This Row],[Column5]] &lt;&gt; 0,$E$2&lt;&gt;"Deployment"), MAX(K323, Q323, S323, ($M$2 * IF($E$2="Deployment",deployment_raw[[#This Row],[Column5]],1)),IF(U323&lt;&gt;"",VALUE(U323) * IF($E$2="Deployment",deployment_raw[[#This Row],[Column5]],1),0)), 0),"")</f>
        <v/>
      </c>
      <c r="N323" s="166" t="str">
        <f>IF(ISNUMBER(deployment_raw[[#This Row],[Column14]]), deployment_raw[[#This Row],[Column14]]/IF(OR($E$2="Deployment",deployment_raw[[#This Row],[Column5]]=0),1,deployment_raw[[#This Row],[Column5]]),"")</f>
        <v/>
      </c>
      <c r="O323" s="167" t="str">
        <f>IF(ISNUMBER(deployment_raw[[#This Row],[Column15]]), deployment_raw[[#This Row],[Column15]]/IF(OR($E$2="Deployment",deployment_raw[[#This Row],[Column5]]=0),1,deployment_raw[[#This Row],[Column5]])/1048576,"")</f>
        <v/>
      </c>
      <c r="P323" s="168" t="str">
        <f>IF(ISNUMBER(deployment_raw[[#This Row],[Column12]]), (MIN(IF(N323&lt;&gt;"",N323,9999999999999)*1.1,deployment_raw[[#This Row],[Column12]] * IF($E$2="Deployment",deployment_raw[[#This Row],[Column5]],1))*(1+$P$2)),"")</f>
        <v/>
      </c>
      <c r="Q323" s="167" t="str">
        <f>IF(ISNUMBER(deployment_raw[[#This Row],[Column13]]), (MIN(IF(O323&lt;&gt;"",O323,9999999999999)*1.1,deployment_raw[[#This Row],[Column13]] * IF($E$2="Deployment",deployment_raw[[#This Row],[Column5]],1)*(1+$Q$2)/1048576)),"")</f>
        <v/>
      </c>
      <c r="R323" s="169" t="str">
        <f>IF(ISNUMBER(deployment_raw[[#This Row],[Column8]]), (H323  * IF(N323&lt;&gt;0,$R$2,1)),"")</f>
        <v/>
      </c>
      <c r="S323" s="170" t="str">
        <f>IF(ISNUMBER(deployment_raw[[#This Row],[Column8]]), (I323  * IF(O323&lt;&gt;0,$S$2,1)),"")</f>
        <v/>
      </c>
      <c r="T323" s="202" t="str">
        <f>IF(AND(A323&lt;&gt;"",_xlfn.IFNA(MATCH(A323,'dynamic resource application '!$A$2:$A$100, 0),0)&lt;&gt;0), H323/(IF($E$2="Deployment",E323,1)),"")</f>
        <v/>
      </c>
      <c r="U323" s="211" t="str">
        <f>IF(AND(A323&lt;&gt;"",_xlfn.IFNA(MATCH(A323,'dynamic resource application '!$A$2:$A$100, 0),0)&lt;&gt;0), I323/(IF($E$2="Deployment",E323,1)),"")</f>
        <v/>
      </c>
    </row>
    <row r="324" spans="1:21" ht="15.75" customHeight="1" x14ac:dyDescent="0.25">
      <c r="A324" s="35" t="str">
        <f>IF(ISNONTEXT(deployment_raw[[#This Row],[Column1]]), "", deployment_raw[[#This Row],[Column1]])</f>
        <v/>
      </c>
      <c r="B324" s="36" t="str">
        <f>IF(ISNONTEXT(deployment_raw[[#This Row],[Column2]]), "", deployment_raw[[#This Row],[Column2]])</f>
        <v/>
      </c>
      <c r="C324" s="36" t="str">
        <f>IF(ISNONTEXT(deployment_raw[[#This Row],[Column3]]), "", deployment_raw[[#This Row],[Column3]])</f>
        <v/>
      </c>
      <c r="D324" s="36" t="str">
        <f>IF(ISNONTEXT(deployment_raw[[#This Row],[Column4]]), "", deployment_raw[[#This Row],[Column4]])</f>
        <v/>
      </c>
      <c r="E324" s="37" t="str">
        <f>IF(ISNUMBER(deployment_raw[[#This Row],[Column5]]), deployment_raw[[#This Row],[Column5]],"")</f>
        <v/>
      </c>
      <c r="F324" s="94" t="str">
        <f>IF(ISNUMBER(deployment_raw[[#This Row],[Column6]]), (deployment_raw[[#This Row],[Column6]] * IF($E$2="Deployment",deployment_raw[[#This Row],[Column5]],1)),"")</f>
        <v/>
      </c>
      <c r="G324" s="95" t="str">
        <f>IF(ISNUMBER(deployment_raw[[#This Row],[Column7]]), (deployment_raw[[#This Row],[Column7]] * IF($E$2="Deployment",deployment_raw[[#This Row],[Column5]],1))/1048576,"")</f>
        <v/>
      </c>
      <c r="H324" s="95" t="str">
        <f>IF(ISNUMBER(deployment_raw[[#This Row],[Column8]]), (deployment_raw[[#This Row],[Column8]]  * IF($E$2="Deployment",deployment_raw[[#This Row],[Column5]],1)),"")</f>
        <v/>
      </c>
      <c r="I324" s="96" t="str">
        <f>IF(ISNUMBER(deployment_raw[[#This Row],[Column9]]), (deployment_raw[[#This Row],[Column9]] * IF($E$2="Deployment",deployment_raw[[#This Row],[Column5]],1))/1048576,"")</f>
        <v/>
      </c>
      <c r="J324" s="122" t="str">
        <f>IF(ISNUMBER(deployment_raw[[#This Row],[Column10]]), (MIN(IF(N324&lt;&gt;"",N324,9999999999999)*1.1,deployment_raw[[#This Row],[Column10]] * IF($E$2="Deployment",deployment_raw[[#This Row],[Column5]],1))),"")</f>
        <v/>
      </c>
      <c r="K324" s="123" t="str">
        <f>IF(ISNUMBER(deployment_raw[[#This Row],[Column11]]), (MIN(IF(O324&lt;&gt;"",O324,9999999999999)*1.1,deployment_raw[[#This Row],[Column11]] * IF($E$2="Deployment",deployment_raw[[#This Row],[Column5]],1)/1048576)),"")</f>
        <v/>
      </c>
      <c r="L324" s="124" t="str">
        <f>IF(ISNUMBER(deployment_raw[[#This Row],[Column8]]),IF(OR(deployment_raw[[#This Row],[Column5]] &lt;&gt; 0,$E$2 &lt;&gt; "Deployment"), MAX(J324, P324, R324, ($L$2 * IF($E$2="Deployment",deployment_raw[[#This Row],[Column5]],1)),IF(T324&lt;&gt;"",VALUE(T324) * IF($E$2="Deployment",deployment_raw[[#This Row],[Column5]],1),0)), 0),"")</f>
        <v/>
      </c>
      <c r="M324" s="125" t="str">
        <f>IF(ISNUMBER(deployment_raw[[#This Row],[Column9]]),IF(OR(deployment_raw[[#This Row],[Column5]] &lt;&gt; 0,$E$2&lt;&gt;"Deployment"), MAX(K324, Q324, S324, ($M$2 * IF($E$2="Deployment",deployment_raw[[#This Row],[Column5]],1)),IF(U324&lt;&gt;"",VALUE(U324) * IF($E$2="Deployment",deployment_raw[[#This Row],[Column5]],1),0)), 0),"")</f>
        <v/>
      </c>
      <c r="N324" s="166" t="str">
        <f>IF(ISNUMBER(deployment_raw[[#This Row],[Column14]]), deployment_raw[[#This Row],[Column14]]/IF(OR($E$2="Deployment",deployment_raw[[#This Row],[Column5]]=0),1,deployment_raw[[#This Row],[Column5]]),"")</f>
        <v/>
      </c>
      <c r="O324" s="167" t="str">
        <f>IF(ISNUMBER(deployment_raw[[#This Row],[Column15]]), deployment_raw[[#This Row],[Column15]]/IF(OR($E$2="Deployment",deployment_raw[[#This Row],[Column5]]=0),1,deployment_raw[[#This Row],[Column5]])/1048576,"")</f>
        <v/>
      </c>
      <c r="P324" s="168" t="str">
        <f>IF(ISNUMBER(deployment_raw[[#This Row],[Column12]]), (MIN(IF(N324&lt;&gt;"",N324,9999999999999)*1.1,deployment_raw[[#This Row],[Column12]] * IF($E$2="Deployment",deployment_raw[[#This Row],[Column5]],1))*(1+$P$2)),"")</f>
        <v/>
      </c>
      <c r="Q324" s="167" t="str">
        <f>IF(ISNUMBER(deployment_raw[[#This Row],[Column13]]), (MIN(IF(O324&lt;&gt;"",O324,9999999999999)*1.1,deployment_raw[[#This Row],[Column13]] * IF($E$2="Deployment",deployment_raw[[#This Row],[Column5]],1)*(1+$Q$2)/1048576)),"")</f>
        <v/>
      </c>
      <c r="R324" s="169" t="str">
        <f>IF(ISNUMBER(deployment_raw[[#This Row],[Column8]]), (H324  * IF(N324&lt;&gt;0,$R$2,1)),"")</f>
        <v/>
      </c>
      <c r="S324" s="170" t="str">
        <f>IF(ISNUMBER(deployment_raw[[#This Row],[Column8]]), (I324  * IF(O324&lt;&gt;0,$S$2,1)),"")</f>
        <v/>
      </c>
      <c r="T324" s="202" t="str">
        <f>IF(AND(A324&lt;&gt;"",_xlfn.IFNA(MATCH(A324,'dynamic resource application '!$A$2:$A$100, 0),0)&lt;&gt;0), H324/(IF($E$2="Deployment",E324,1)),"")</f>
        <v/>
      </c>
      <c r="U324" s="211" t="str">
        <f>IF(AND(A324&lt;&gt;"",_xlfn.IFNA(MATCH(A324,'dynamic resource application '!$A$2:$A$100, 0),0)&lt;&gt;0), I324/(IF($E$2="Deployment",E324,1)),"")</f>
        <v/>
      </c>
    </row>
    <row r="325" spans="1:21" ht="15.75" customHeight="1" x14ac:dyDescent="0.25">
      <c r="A325" s="35" t="str">
        <f>IF(ISNONTEXT(deployment_raw[[#This Row],[Column1]]), "", deployment_raw[[#This Row],[Column1]])</f>
        <v/>
      </c>
      <c r="B325" s="36" t="str">
        <f>IF(ISNONTEXT(deployment_raw[[#This Row],[Column2]]), "", deployment_raw[[#This Row],[Column2]])</f>
        <v/>
      </c>
      <c r="C325" s="36" t="str">
        <f>IF(ISNONTEXT(deployment_raw[[#This Row],[Column3]]), "", deployment_raw[[#This Row],[Column3]])</f>
        <v/>
      </c>
      <c r="D325" s="36" t="str">
        <f>IF(ISNONTEXT(deployment_raw[[#This Row],[Column4]]), "", deployment_raw[[#This Row],[Column4]])</f>
        <v/>
      </c>
      <c r="E325" s="37" t="str">
        <f>IF(ISNUMBER(deployment_raw[[#This Row],[Column5]]), deployment_raw[[#This Row],[Column5]],"")</f>
        <v/>
      </c>
      <c r="F325" s="94" t="str">
        <f>IF(ISNUMBER(deployment_raw[[#This Row],[Column6]]), (deployment_raw[[#This Row],[Column6]] * IF($E$2="Deployment",deployment_raw[[#This Row],[Column5]],1)),"")</f>
        <v/>
      </c>
      <c r="G325" s="95" t="str">
        <f>IF(ISNUMBER(deployment_raw[[#This Row],[Column7]]), (deployment_raw[[#This Row],[Column7]] * IF($E$2="Deployment",deployment_raw[[#This Row],[Column5]],1))/1048576,"")</f>
        <v/>
      </c>
      <c r="H325" s="95" t="str">
        <f>IF(ISNUMBER(deployment_raw[[#This Row],[Column8]]), (deployment_raw[[#This Row],[Column8]]  * IF($E$2="Deployment",deployment_raw[[#This Row],[Column5]],1)),"")</f>
        <v/>
      </c>
      <c r="I325" s="96" t="str">
        <f>IF(ISNUMBER(deployment_raw[[#This Row],[Column9]]), (deployment_raw[[#This Row],[Column9]] * IF($E$2="Deployment",deployment_raw[[#This Row],[Column5]],1))/1048576,"")</f>
        <v/>
      </c>
      <c r="J325" s="122" t="str">
        <f>IF(ISNUMBER(deployment_raw[[#This Row],[Column10]]), (MIN(IF(N325&lt;&gt;"",N325,9999999999999)*1.1,deployment_raw[[#This Row],[Column10]] * IF($E$2="Deployment",deployment_raw[[#This Row],[Column5]],1))),"")</f>
        <v/>
      </c>
      <c r="K325" s="123" t="str">
        <f>IF(ISNUMBER(deployment_raw[[#This Row],[Column11]]), (MIN(IF(O325&lt;&gt;"",O325,9999999999999)*1.1,deployment_raw[[#This Row],[Column11]] * IF($E$2="Deployment",deployment_raw[[#This Row],[Column5]],1)/1048576)),"")</f>
        <v/>
      </c>
      <c r="L325" s="124" t="str">
        <f>IF(ISNUMBER(deployment_raw[[#This Row],[Column8]]),IF(OR(deployment_raw[[#This Row],[Column5]] &lt;&gt; 0,$E$2 &lt;&gt; "Deployment"), MAX(J325, P325, R325, ($L$2 * IF($E$2="Deployment",deployment_raw[[#This Row],[Column5]],1)),IF(T325&lt;&gt;"",VALUE(T325) * IF($E$2="Deployment",deployment_raw[[#This Row],[Column5]],1),0)), 0),"")</f>
        <v/>
      </c>
      <c r="M325" s="125" t="str">
        <f>IF(ISNUMBER(deployment_raw[[#This Row],[Column9]]),IF(OR(deployment_raw[[#This Row],[Column5]] &lt;&gt; 0,$E$2&lt;&gt;"Deployment"), MAX(K325, Q325, S325, ($M$2 * IF($E$2="Deployment",deployment_raw[[#This Row],[Column5]],1)),IF(U325&lt;&gt;"",VALUE(U325) * IF($E$2="Deployment",deployment_raw[[#This Row],[Column5]],1),0)), 0),"")</f>
        <v/>
      </c>
      <c r="N325" s="166" t="str">
        <f>IF(ISNUMBER(deployment_raw[[#This Row],[Column14]]), deployment_raw[[#This Row],[Column14]]/IF(OR($E$2="Deployment",deployment_raw[[#This Row],[Column5]]=0),1,deployment_raw[[#This Row],[Column5]]),"")</f>
        <v/>
      </c>
      <c r="O325" s="167" t="str">
        <f>IF(ISNUMBER(deployment_raw[[#This Row],[Column15]]), deployment_raw[[#This Row],[Column15]]/IF(OR($E$2="Deployment",deployment_raw[[#This Row],[Column5]]=0),1,deployment_raw[[#This Row],[Column5]])/1048576,"")</f>
        <v/>
      </c>
      <c r="P325" s="168" t="str">
        <f>IF(ISNUMBER(deployment_raw[[#This Row],[Column12]]), (MIN(IF(N325&lt;&gt;"",N325,9999999999999)*1.1,deployment_raw[[#This Row],[Column12]] * IF($E$2="Deployment",deployment_raw[[#This Row],[Column5]],1))*(1+$P$2)),"")</f>
        <v/>
      </c>
      <c r="Q325" s="167" t="str">
        <f>IF(ISNUMBER(deployment_raw[[#This Row],[Column13]]), (MIN(IF(O325&lt;&gt;"",O325,9999999999999)*1.1,deployment_raw[[#This Row],[Column13]] * IF($E$2="Deployment",deployment_raw[[#This Row],[Column5]],1)*(1+$Q$2)/1048576)),"")</f>
        <v/>
      </c>
      <c r="R325" s="169" t="str">
        <f>IF(ISNUMBER(deployment_raw[[#This Row],[Column8]]), (H325  * IF(N325&lt;&gt;0,$R$2,1)),"")</f>
        <v/>
      </c>
      <c r="S325" s="170" t="str">
        <f>IF(ISNUMBER(deployment_raw[[#This Row],[Column8]]), (I325  * IF(O325&lt;&gt;0,$S$2,1)),"")</f>
        <v/>
      </c>
      <c r="T325" s="202" t="str">
        <f>IF(AND(A325&lt;&gt;"",_xlfn.IFNA(MATCH(A325,'dynamic resource application '!$A$2:$A$100, 0),0)&lt;&gt;0), H325/(IF($E$2="Deployment",E325,1)),"")</f>
        <v/>
      </c>
      <c r="U325" s="211" t="str">
        <f>IF(AND(A325&lt;&gt;"",_xlfn.IFNA(MATCH(A325,'dynamic resource application '!$A$2:$A$100, 0),0)&lt;&gt;0), I325/(IF($E$2="Deployment",E325,1)),"")</f>
        <v/>
      </c>
    </row>
    <row r="326" spans="1:21" ht="15.75" customHeight="1" x14ac:dyDescent="0.25">
      <c r="A326" s="35" t="str">
        <f>IF(ISNONTEXT(deployment_raw[[#This Row],[Column1]]), "", deployment_raw[[#This Row],[Column1]])</f>
        <v/>
      </c>
      <c r="B326" s="36" t="str">
        <f>IF(ISNONTEXT(deployment_raw[[#This Row],[Column2]]), "", deployment_raw[[#This Row],[Column2]])</f>
        <v/>
      </c>
      <c r="C326" s="36" t="str">
        <f>IF(ISNONTEXT(deployment_raw[[#This Row],[Column3]]), "", deployment_raw[[#This Row],[Column3]])</f>
        <v/>
      </c>
      <c r="D326" s="36" t="str">
        <f>IF(ISNONTEXT(deployment_raw[[#This Row],[Column4]]), "", deployment_raw[[#This Row],[Column4]])</f>
        <v/>
      </c>
      <c r="E326" s="37" t="str">
        <f>IF(ISNUMBER(deployment_raw[[#This Row],[Column5]]), deployment_raw[[#This Row],[Column5]],"")</f>
        <v/>
      </c>
      <c r="F326" s="94" t="str">
        <f>IF(ISNUMBER(deployment_raw[[#This Row],[Column6]]), (deployment_raw[[#This Row],[Column6]] * IF($E$2="Deployment",deployment_raw[[#This Row],[Column5]],1)),"")</f>
        <v/>
      </c>
      <c r="G326" s="95" t="str">
        <f>IF(ISNUMBER(deployment_raw[[#This Row],[Column7]]), (deployment_raw[[#This Row],[Column7]] * IF($E$2="Deployment",deployment_raw[[#This Row],[Column5]],1))/1048576,"")</f>
        <v/>
      </c>
      <c r="H326" s="95" t="str">
        <f>IF(ISNUMBER(deployment_raw[[#This Row],[Column8]]), (deployment_raw[[#This Row],[Column8]]  * IF($E$2="Deployment",deployment_raw[[#This Row],[Column5]],1)),"")</f>
        <v/>
      </c>
      <c r="I326" s="96" t="str">
        <f>IF(ISNUMBER(deployment_raw[[#This Row],[Column9]]), (deployment_raw[[#This Row],[Column9]] * IF($E$2="Deployment",deployment_raw[[#This Row],[Column5]],1))/1048576,"")</f>
        <v/>
      </c>
      <c r="J326" s="122" t="str">
        <f>IF(ISNUMBER(deployment_raw[[#This Row],[Column10]]), (MIN(IF(N326&lt;&gt;"",N326,9999999999999)*1.1,deployment_raw[[#This Row],[Column10]] * IF($E$2="Deployment",deployment_raw[[#This Row],[Column5]],1))),"")</f>
        <v/>
      </c>
      <c r="K326" s="123" t="str">
        <f>IF(ISNUMBER(deployment_raw[[#This Row],[Column11]]), (MIN(IF(O326&lt;&gt;"",O326,9999999999999)*1.1,deployment_raw[[#This Row],[Column11]] * IF($E$2="Deployment",deployment_raw[[#This Row],[Column5]],1)/1048576)),"")</f>
        <v/>
      </c>
      <c r="L326" s="124" t="str">
        <f>IF(ISNUMBER(deployment_raw[[#This Row],[Column8]]),IF(OR(deployment_raw[[#This Row],[Column5]] &lt;&gt; 0,$E$2 &lt;&gt; "Deployment"), MAX(J326, P326, R326, ($L$2 * IF($E$2="Deployment",deployment_raw[[#This Row],[Column5]],1)),IF(T326&lt;&gt;"",VALUE(T326) * IF($E$2="Deployment",deployment_raw[[#This Row],[Column5]],1),0)), 0),"")</f>
        <v/>
      </c>
      <c r="M326" s="125" t="str">
        <f>IF(ISNUMBER(deployment_raw[[#This Row],[Column9]]),IF(OR(deployment_raw[[#This Row],[Column5]] &lt;&gt; 0,$E$2&lt;&gt;"Deployment"), MAX(K326, Q326, S326, ($M$2 * IF($E$2="Deployment",deployment_raw[[#This Row],[Column5]],1)),IF(U326&lt;&gt;"",VALUE(U326) * IF($E$2="Deployment",deployment_raw[[#This Row],[Column5]],1),0)), 0),"")</f>
        <v/>
      </c>
      <c r="N326" s="166" t="str">
        <f>IF(ISNUMBER(deployment_raw[[#This Row],[Column14]]), deployment_raw[[#This Row],[Column14]]/IF(OR($E$2="Deployment",deployment_raw[[#This Row],[Column5]]=0),1,deployment_raw[[#This Row],[Column5]]),"")</f>
        <v/>
      </c>
      <c r="O326" s="167" t="str">
        <f>IF(ISNUMBER(deployment_raw[[#This Row],[Column15]]), deployment_raw[[#This Row],[Column15]]/IF(OR($E$2="Deployment",deployment_raw[[#This Row],[Column5]]=0),1,deployment_raw[[#This Row],[Column5]])/1048576,"")</f>
        <v/>
      </c>
      <c r="P326" s="168" t="str">
        <f>IF(ISNUMBER(deployment_raw[[#This Row],[Column12]]), (MIN(IF(N326&lt;&gt;"",N326,9999999999999)*1.1,deployment_raw[[#This Row],[Column12]] * IF($E$2="Deployment",deployment_raw[[#This Row],[Column5]],1))*(1+$P$2)),"")</f>
        <v/>
      </c>
      <c r="Q326" s="167" t="str">
        <f>IF(ISNUMBER(deployment_raw[[#This Row],[Column13]]), (MIN(IF(O326&lt;&gt;"",O326,9999999999999)*1.1,deployment_raw[[#This Row],[Column13]] * IF($E$2="Deployment",deployment_raw[[#This Row],[Column5]],1)*(1+$Q$2)/1048576)),"")</f>
        <v/>
      </c>
      <c r="R326" s="169" t="str">
        <f>IF(ISNUMBER(deployment_raw[[#This Row],[Column8]]), (H326  * IF(N326&lt;&gt;0,$R$2,1)),"")</f>
        <v/>
      </c>
      <c r="S326" s="170" t="str">
        <f>IF(ISNUMBER(deployment_raw[[#This Row],[Column8]]), (I326  * IF(O326&lt;&gt;0,$S$2,1)),"")</f>
        <v/>
      </c>
      <c r="T326" s="202" t="str">
        <f>IF(AND(A326&lt;&gt;"",_xlfn.IFNA(MATCH(A326,'dynamic resource application '!$A$2:$A$100, 0),0)&lt;&gt;0), H326/(IF($E$2="Deployment",E326,1)),"")</f>
        <v/>
      </c>
      <c r="U326" s="211" t="str">
        <f>IF(AND(A326&lt;&gt;"",_xlfn.IFNA(MATCH(A326,'dynamic resource application '!$A$2:$A$100, 0),0)&lt;&gt;0), I326/(IF($E$2="Deployment",E326,1)),"")</f>
        <v/>
      </c>
    </row>
    <row r="327" spans="1:21" ht="15.75" customHeight="1" x14ac:dyDescent="0.25">
      <c r="A327" s="35" t="str">
        <f>IF(ISNONTEXT(deployment_raw[[#This Row],[Column1]]), "", deployment_raw[[#This Row],[Column1]])</f>
        <v/>
      </c>
      <c r="B327" s="36" t="str">
        <f>IF(ISNONTEXT(deployment_raw[[#This Row],[Column2]]), "", deployment_raw[[#This Row],[Column2]])</f>
        <v/>
      </c>
      <c r="C327" s="36" t="str">
        <f>IF(ISNONTEXT(deployment_raw[[#This Row],[Column3]]), "", deployment_raw[[#This Row],[Column3]])</f>
        <v/>
      </c>
      <c r="D327" s="36" t="str">
        <f>IF(ISNONTEXT(deployment_raw[[#This Row],[Column4]]), "", deployment_raw[[#This Row],[Column4]])</f>
        <v/>
      </c>
      <c r="E327" s="37" t="str">
        <f>IF(ISNUMBER(deployment_raw[[#This Row],[Column5]]), deployment_raw[[#This Row],[Column5]],"")</f>
        <v/>
      </c>
      <c r="F327" s="94" t="str">
        <f>IF(ISNUMBER(deployment_raw[[#This Row],[Column6]]), (deployment_raw[[#This Row],[Column6]] * IF($E$2="Deployment",deployment_raw[[#This Row],[Column5]],1)),"")</f>
        <v/>
      </c>
      <c r="G327" s="95" t="str">
        <f>IF(ISNUMBER(deployment_raw[[#This Row],[Column7]]), (deployment_raw[[#This Row],[Column7]] * IF($E$2="Deployment",deployment_raw[[#This Row],[Column5]],1))/1048576,"")</f>
        <v/>
      </c>
      <c r="H327" s="95" t="str">
        <f>IF(ISNUMBER(deployment_raw[[#This Row],[Column8]]), (deployment_raw[[#This Row],[Column8]]  * IF($E$2="Deployment",deployment_raw[[#This Row],[Column5]],1)),"")</f>
        <v/>
      </c>
      <c r="I327" s="96" t="str">
        <f>IF(ISNUMBER(deployment_raw[[#This Row],[Column9]]), (deployment_raw[[#This Row],[Column9]] * IF($E$2="Deployment",deployment_raw[[#This Row],[Column5]],1))/1048576,"")</f>
        <v/>
      </c>
      <c r="J327" s="122" t="str">
        <f>IF(ISNUMBER(deployment_raw[[#This Row],[Column10]]), (MIN(IF(N327&lt;&gt;"",N327,9999999999999)*1.1,deployment_raw[[#This Row],[Column10]] * IF($E$2="Deployment",deployment_raw[[#This Row],[Column5]],1))),"")</f>
        <v/>
      </c>
      <c r="K327" s="123" t="str">
        <f>IF(ISNUMBER(deployment_raw[[#This Row],[Column11]]), (MIN(IF(O327&lt;&gt;"",O327,9999999999999)*1.1,deployment_raw[[#This Row],[Column11]] * IF($E$2="Deployment",deployment_raw[[#This Row],[Column5]],1)/1048576)),"")</f>
        <v/>
      </c>
      <c r="L327" s="124" t="str">
        <f>IF(ISNUMBER(deployment_raw[[#This Row],[Column8]]),IF(OR(deployment_raw[[#This Row],[Column5]] &lt;&gt; 0,$E$2 &lt;&gt; "Deployment"), MAX(J327, P327, R327, ($L$2 * IF($E$2="Deployment",deployment_raw[[#This Row],[Column5]],1)),IF(T327&lt;&gt;"",VALUE(T327) * IF($E$2="Deployment",deployment_raw[[#This Row],[Column5]],1),0)), 0),"")</f>
        <v/>
      </c>
      <c r="M327" s="125" t="str">
        <f>IF(ISNUMBER(deployment_raw[[#This Row],[Column9]]),IF(OR(deployment_raw[[#This Row],[Column5]] &lt;&gt; 0,$E$2&lt;&gt;"Deployment"), MAX(K327, Q327, S327, ($M$2 * IF($E$2="Deployment",deployment_raw[[#This Row],[Column5]],1)),IF(U327&lt;&gt;"",VALUE(U327) * IF($E$2="Deployment",deployment_raw[[#This Row],[Column5]],1),0)), 0),"")</f>
        <v/>
      </c>
      <c r="N327" s="166" t="str">
        <f>IF(ISNUMBER(deployment_raw[[#This Row],[Column14]]), deployment_raw[[#This Row],[Column14]]/IF(OR($E$2="Deployment",deployment_raw[[#This Row],[Column5]]=0),1,deployment_raw[[#This Row],[Column5]]),"")</f>
        <v/>
      </c>
      <c r="O327" s="167" t="str">
        <f>IF(ISNUMBER(deployment_raw[[#This Row],[Column15]]), deployment_raw[[#This Row],[Column15]]/IF(OR($E$2="Deployment",deployment_raw[[#This Row],[Column5]]=0),1,deployment_raw[[#This Row],[Column5]])/1048576,"")</f>
        <v/>
      </c>
      <c r="P327" s="168" t="str">
        <f>IF(ISNUMBER(deployment_raw[[#This Row],[Column12]]), (MIN(IF(N327&lt;&gt;"",N327,9999999999999)*1.1,deployment_raw[[#This Row],[Column12]] * IF($E$2="Deployment",deployment_raw[[#This Row],[Column5]],1))*(1+$P$2)),"")</f>
        <v/>
      </c>
      <c r="Q327" s="167" t="str">
        <f>IF(ISNUMBER(deployment_raw[[#This Row],[Column13]]), (MIN(IF(O327&lt;&gt;"",O327,9999999999999)*1.1,deployment_raw[[#This Row],[Column13]] * IF($E$2="Deployment",deployment_raw[[#This Row],[Column5]],1)*(1+$Q$2)/1048576)),"")</f>
        <v/>
      </c>
      <c r="R327" s="169" t="str">
        <f>IF(ISNUMBER(deployment_raw[[#This Row],[Column8]]), (H327  * IF(N327&lt;&gt;0,$R$2,1)),"")</f>
        <v/>
      </c>
      <c r="S327" s="170" t="str">
        <f>IF(ISNUMBER(deployment_raw[[#This Row],[Column8]]), (I327  * IF(O327&lt;&gt;0,$S$2,1)),"")</f>
        <v/>
      </c>
      <c r="T327" s="202" t="str">
        <f>IF(AND(A327&lt;&gt;"",_xlfn.IFNA(MATCH(A327,'dynamic resource application '!$A$2:$A$100, 0),0)&lt;&gt;0), H327/(IF($E$2="Deployment",E327,1)),"")</f>
        <v/>
      </c>
      <c r="U327" s="211" t="str">
        <f>IF(AND(A327&lt;&gt;"",_xlfn.IFNA(MATCH(A327,'dynamic resource application '!$A$2:$A$100, 0),0)&lt;&gt;0), I327/(IF($E$2="Deployment",E327,1)),"")</f>
        <v/>
      </c>
    </row>
    <row r="328" spans="1:21" ht="15.75" customHeight="1" x14ac:dyDescent="0.25">
      <c r="A328" s="35" t="str">
        <f>IF(ISNONTEXT(deployment_raw[[#This Row],[Column1]]), "", deployment_raw[[#This Row],[Column1]])</f>
        <v/>
      </c>
      <c r="B328" s="36" t="str">
        <f>IF(ISNONTEXT(deployment_raw[[#This Row],[Column2]]), "", deployment_raw[[#This Row],[Column2]])</f>
        <v/>
      </c>
      <c r="C328" s="36" t="str">
        <f>IF(ISNONTEXT(deployment_raw[[#This Row],[Column3]]), "", deployment_raw[[#This Row],[Column3]])</f>
        <v/>
      </c>
      <c r="D328" s="36" t="str">
        <f>IF(ISNONTEXT(deployment_raw[[#This Row],[Column4]]), "", deployment_raw[[#This Row],[Column4]])</f>
        <v/>
      </c>
      <c r="E328" s="37" t="str">
        <f>IF(ISNUMBER(deployment_raw[[#This Row],[Column5]]), deployment_raw[[#This Row],[Column5]],"")</f>
        <v/>
      </c>
      <c r="F328" s="94" t="str">
        <f>IF(ISNUMBER(deployment_raw[[#This Row],[Column6]]), (deployment_raw[[#This Row],[Column6]] * IF($E$2="Deployment",deployment_raw[[#This Row],[Column5]],1)),"")</f>
        <v/>
      </c>
      <c r="G328" s="95" t="str">
        <f>IF(ISNUMBER(deployment_raw[[#This Row],[Column7]]), (deployment_raw[[#This Row],[Column7]] * IF($E$2="Deployment",deployment_raw[[#This Row],[Column5]],1))/1048576,"")</f>
        <v/>
      </c>
      <c r="H328" s="95" t="str">
        <f>IF(ISNUMBER(deployment_raw[[#This Row],[Column8]]), (deployment_raw[[#This Row],[Column8]]  * IF($E$2="Deployment",deployment_raw[[#This Row],[Column5]],1)),"")</f>
        <v/>
      </c>
      <c r="I328" s="96" t="str">
        <f>IF(ISNUMBER(deployment_raw[[#This Row],[Column9]]), (deployment_raw[[#This Row],[Column9]] * IF($E$2="Deployment",deployment_raw[[#This Row],[Column5]],1))/1048576,"")</f>
        <v/>
      </c>
      <c r="J328" s="122" t="str">
        <f>IF(ISNUMBER(deployment_raw[[#This Row],[Column10]]), (MIN(IF(N328&lt;&gt;"",N328,9999999999999)*1.1,deployment_raw[[#This Row],[Column10]] * IF($E$2="Deployment",deployment_raw[[#This Row],[Column5]],1))),"")</f>
        <v/>
      </c>
      <c r="K328" s="123" t="str">
        <f>IF(ISNUMBER(deployment_raw[[#This Row],[Column11]]), (MIN(IF(O328&lt;&gt;"",O328,9999999999999)*1.1,deployment_raw[[#This Row],[Column11]] * IF($E$2="Deployment",deployment_raw[[#This Row],[Column5]],1)/1048576)),"")</f>
        <v/>
      </c>
      <c r="L328" s="124" t="str">
        <f>IF(ISNUMBER(deployment_raw[[#This Row],[Column8]]),IF(OR(deployment_raw[[#This Row],[Column5]] &lt;&gt; 0,$E$2 &lt;&gt; "Deployment"), MAX(J328, P328, R328, ($L$2 * IF($E$2="Deployment",deployment_raw[[#This Row],[Column5]],1)),IF(T328&lt;&gt;"",VALUE(T328) * IF($E$2="Deployment",deployment_raw[[#This Row],[Column5]],1),0)), 0),"")</f>
        <v/>
      </c>
      <c r="M328" s="125" t="str">
        <f>IF(ISNUMBER(deployment_raw[[#This Row],[Column9]]),IF(OR(deployment_raw[[#This Row],[Column5]] &lt;&gt; 0,$E$2&lt;&gt;"Deployment"), MAX(K328, Q328, S328, ($M$2 * IF($E$2="Deployment",deployment_raw[[#This Row],[Column5]],1)),IF(U328&lt;&gt;"",VALUE(U328) * IF($E$2="Deployment",deployment_raw[[#This Row],[Column5]],1),0)), 0),"")</f>
        <v/>
      </c>
      <c r="N328" s="166" t="str">
        <f>IF(ISNUMBER(deployment_raw[[#This Row],[Column14]]), deployment_raw[[#This Row],[Column14]]/IF(OR($E$2="Deployment",deployment_raw[[#This Row],[Column5]]=0),1,deployment_raw[[#This Row],[Column5]]),"")</f>
        <v/>
      </c>
      <c r="O328" s="167" t="str">
        <f>IF(ISNUMBER(deployment_raw[[#This Row],[Column15]]), deployment_raw[[#This Row],[Column15]]/IF(OR($E$2="Deployment",deployment_raw[[#This Row],[Column5]]=0),1,deployment_raw[[#This Row],[Column5]])/1048576,"")</f>
        <v/>
      </c>
      <c r="P328" s="168" t="str">
        <f>IF(ISNUMBER(deployment_raw[[#This Row],[Column12]]), (MIN(IF(N328&lt;&gt;"",N328,9999999999999)*1.1,deployment_raw[[#This Row],[Column12]] * IF($E$2="Deployment",deployment_raw[[#This Row],[Column5]],1))*(1+$P$2)),"")</f>
        <v/>
      </c>
      <c r="Q328" s="167" t="str">
        <f>IF(ISNUMBER(deployment_raw[[#This Row],[Column13]]), (MIN(IF(O328&lt;&gt;"",O328,9999999999999)*1.1,deployment_raw[[#This Row],[Column13]] * IF($E$2="Deployment",deployment_raw[[#This Row],[Column5]],1)*(1+$Q$2)/1048576)),"")</f>
        <v/>
      </c>
      <c r="R328" s="169" t="str">
        <f>IF(ISNUMBER(deployment_raw[[#This Row],[Column8]]), (H328  * IF(N328&lt;&gt;0,$R$2,1)),"")</f>
        <v/>
      </c>
      <c r="S328" s="170" t="str">
        <f>IF(ISNUMBER(deployment_raw[[#This Row],[Column8]]), (I328  * IF(O328&lt;&gt;0,$S$2,1)),"")</f>
        <v/>
      </c>
      <c r="T328" s="202" t="str">
        <f>IF(AND(A328&lt;&gt;"",_xlfn.IFNA(MATCH(A328,'dynamic resource application '!$A$2:$A$100, 0),0)&lt;&gt;0), H328/(IF($E$2="Deployment",E328,1)),"")</f>
        <v/>
      </c>
      <c r="U328" s="211" t="str">
        <f>IF(AND(A328&lt;&gt;"",_xlfn.IFNA(MATCH(A328,'dynamic resource application '!$A$2:$A$100, 0),0)&lt;&gt;0), I328/(IF($E$2="Deployment",E328,1)),"")</f>
        <v/>
      </c>
    </row>
    <row r="329" spans="1:21" ht="15.75" customHeight="1" x14ac:dyDescent="0.25">
      <c r="A329" s="35" t="str">
        <f>IF(ISNONTEXT(deployment_raw[[#This Row],[Column1]]), "", deployment_raw[[#This Row],[Column1]])</f>
        <v/>
      </c>
      <c r="B329" s="36" t="str">
        <f>IF(ISNONTEXT(deployment_raw[[#This Row],[Column2]]), "", deployment_raw[[#This Row],[Column2]])</f>
        <v/>
      </c>
      <c r="C329" s="36" t="str">
        <f>IF(ISNONTEXT(deployment_raw[[#This Row],[Column3]]), "", deployment_raw[[#This Row],[Column3]])</f>
        <v/>
      </c>
      <c r="D329" s="36" t="str">
        <f>IF(ISNONTEXT(deployment_raw[[#This Row],[Column4]]), "", deployment_raw[[#This Row],[Column4]])</f>
        <v/>
      </c>
      <c r="E329" s="37" t="str">
        <f>IF(ISNUMBER(deployment_raw[[#This Row],[Column5]]), deployment_raw[[#This Row],[Column5]],"")</f>
        <v/>
      </c>
      <c r="F329" s="94" t="str">
        <f>IF(ISNUMBER(deployment_raw[[#This Row],[Column6]]), (deployment_raw[[#This Row],[Column6]] * IF($E$2="Deployment",deployment_raw[[#This Row],[Column5]],1)),"")</f>
        <v/>
      </c>
      <c r="G329" s="95" t="str">
        <f>IF(ISNUMBER(deployment_raw[[#This Row],[Column7]]), (deployment_raw[[#This Row],[Column7]] * IF($E$2="Deployment",deployment_raw[[#This Row],[Column5]],1))/1048576,"")</f>
        <v/>
      </c>
      <c r="H329" s="95" t="str">
        <f>IF(ISNUMBER(deployment_raw[[#This Row],[Column8]]), (deployment_raw[[#This Row],[Column8]]  * IF($E$2="Deployment",deployment_raw[[#This Row],[Column5]],1)),"")</f>
        <v/>
      </c>
      <c r="I329" s="96" t="str">
        <f>IF(ISNUMBER(deployment_raw[[#This Row],[Column9]]), (deployment_raw[[#This Row],[Column9]] * IF($E$2="Deployment",deployment_raw[[#This Row],[Column5]],1))/1048576,"")</f>
        <v/>
      </c>
      <c r="J329" s="122" t="str">
        <f>IF(ISNUMBER(deployment_raw[[#This Row],[Column10]]), (MIN(IF(N329&lt;&gt;"",N329,9999999999999)*1.1,deployment_raw[[#This Row],[Column10]] * IF($E$2="Deployment",deployment_raw[[#This Row],[Column5]],1))),"")</f>
        <v/>
      </c>
      <c r="K329" s="123" t="str">
        <f>IF(ISNUMBER(deployment_raw[[#This Row],[Column11]]), (MIN(IF(O329&lt;&gt;"",O329,9999999999999)*1.1,deployment_raw[[#This Row],[Column11]] * IF($E$2="Deployment",deployment_raw[[#This Row],[Column5]],1)/1048576)),"")</f>
        <v/>
      </c>
      <c r="L329" s="124" t="str">
        <f>IF(ISNUMBER(deployment_raw[[#This Row],[Column8]]),IF(OR(deployment_raw[[#This Row],[Column5]] &lt;&gt; 0,$E$2 &lt;&gt; "Deployment"), MAX(J329, P329, R329, ($L$2 * IF($E$2="Deployment",deployment_raw[[#This Row],[Column5]],1)),IF(T329&lt;&gt;"",VALUE(T329) * IF($E$2="Deployment",deployment_raw[[#This Row],[Column5]],1),0)), 0),"")</f>
        <v/>
      </c>
      <c r="M329" s="125" t="str">
        <f>IF(ISNUMBER(deployment_raw[[#This Row],[Column9]]),IF(OR(deployment_raw[[#This Row],[Column5]] &lt;&gt; 0,$E$2&lt;&gt;"Deployment"), MAX(K329, Q329, S329, ($M$2 * IF($E$2="Deployment",deployment_raw[[#This Row],[Column5]],1)),IF(U329&lt;&gt;"",VALUE(U329) * IF($E$2="Deployment",deployment_raw[[#This Row],[Column5]],1),0)), 0),"")</f>
        <v/>
      </c>
      <c r="N329" s="166" t="str">
        <f>IF(ISNUMBER(deployment_raw[[#This Row],[Column14]]), deployment_raw[[#This Row],[Column14]]/IF(OR($E$2="Deployment",deployment_raw[[#This Row],[Column5]]=0),1,deployment_raw[[#This Row],[Column5]]),"")</f>
        <v/>
      </c>
      <c r="O329" s="167" t="str">
        <f>IF(ISNUMBER(deployment_raw[[#This Row],[Column15]]), deployment_raw[[#This Row],[Column15]]/IF(OR($E$2="Deployment",deployment_raw[[#This Row],[Column5]]=0),1,deployment_raw[[#This Row],[Column5]])/1048576,"")</f>
        <v/>
      </c>
      <c r="P329" s="168" t="str">
        <f>IF(ISNUMBER(deployment_raw[[#This Row],[Column12]]), (MIN(IF(N329&lt;&gt;"",N329,9999999999999)*1.1,deployment_raw[[#This Row],[Column12]] * IF($E$2="Deployment",deployment_raw[[#This Row],[Column5]],1))*(1+$P$2)),"")</f>
        <v/>
      </c>
      <c r="Q329" s="167" t="str">
        <f>IF(ISNUMBER(deployment_raw[[#This Row],[Column13]]), (MIN(IF(O329&lt;&gt;"",O329,9999999999999)*1.1,deployment_raw[[#This Row],[Column13]] * IF($E$2="Deployment",deployment_raw[[#This Row],[Column5]],1)*(1+$Q$2)/1048576)),"")</f>
        <v/>
      </c>
      <c r="R329" s="169" t="str">
        <f>IF(ISNUMBER(deployment_raw[[#This Row],[Column8]]), (H329  * IF(N329&lt;&gt;0,$R$2,1)),"")</f>
        <v/>
      </c>
      <c r="S329" s="170" t="str">
        <f>IF(ISNUMBER(deployment_raw[[#This Row],[Column8]]), (I329  * IF(O329&lt;&gt;0,$S$2,1)),"")</f>
        <v/>
      </c>
      <c r="T329" s="202" t="str">
        <f>IF(AND(A329&lt;&gt;"",_xlfn.IFNA(MATCH(A329,'dynamic resource application '!$A$2:$A$100, 0),0)&lt;&gt;0), H329/(IF($E$2="Deployment",E329,1)),"")</f>
        <v/>
      </c>
      <c r="U329" s="211" t="str">
        <f>IF(AND(A329&lt;&gt;"",_xlfn.IFNA(MATCH(A329,'dynamic resource application '!$A$2:$A$100, 0),0)&lt;&gt;0), I329/(IF($E$2="Deployment",E329,1)),"")</f>
        <v/>
      </c>
    </row>
    <row r="330" spans="1:21" ht="15.75" customHeight="1" x14ac:dyDescent="0.25">
      <c r="A330" s="35" t="str">
        <f>IF(ISNONTEXT(deployment_raw[[#This Row],[Column1]]), "", deployment_raw[[#This Row],[Column1]])</f>
        <v/>
      </c>
      <c r="B330" s="36" t="str">
        <f>IF(ISNONTEXT(deployment_raw[[#This Row],[Column2]]), "", deployment_raw[[#This Row],[Column2]])</f>
        <v/>
      </c>
      <c r="C330" s="36" t="str">
        <f>IF(ISNONTEXT(deployment_raw[[#This Row],[Column3]]), "", deployment_raw[[#This Row],[Column3]])</f>
        <v/>
      </c>
      <c r="D330" s="36" t="str">
        <f>IF(ISNONTEXT(deployment_raw[[#This Row],[Column4]]), "", deployment_raw[[#This Row],[Column4]])</f>
        <v/>
      </c>
      <c r="E330" s="37" t="str">
        <f>IF(ISNUMBER(deployment_raw[[#This Row],[Column5]]), deployment_raw[[#This Row],[Column5]],"")</f>
        <v/>
      </c>
      <c r="F330" s="94" t="str">
        <f>IF(ISNUMBER(deployment_raw[[#This Row],[Column6]]), (deployment_raw[[#This Row],[Column6]] * IF($E$2="Deployment",deployment_raw[[#This Row],[Column5]],1)),"")</f>
        <v/>
      </c>
      <c r="G330" s="95" t="str">
        <f>IF(ISNUMBER(deployment_raw[[#This Row],[Column7]]), (deployment_raw[[#This Row],[Column7]] * IF($E$2="Deployment",deployment_raw[[#This Row],[Column5]],1))/1048576,"")</f>
        <v/>
      </c>
      <c r="H330" s="95" t="str">
        <f>IF(ISNUMBER(deployment_raw[[#This Row],[Column8]]), (deployment_raw[[#This Row],[Column8]]  * IF($E$2="Deployment",deployment_raw[[#This Row],[Column5]],1)),"")</f>
        <v/>
      </c>
      <c r="I330" s="96" t="str">
        <f>IF(ISNUMBER(deployment_raw[[#This Row],[Column9]]), (deployment_raw[[#This Row],[Column9]] * IF($E$2="Deployment",deployment_raw[[#This Row],[Column5]],1))/1048576,"")</f>
        <v/>
      </c>
      <c r="J330" s="122" t="str">
        <f>IF(ISNUMBER(deployment_raw[[#This Row],[Column10]]), (MIN(IF(N330&lt;&gt;"",N330,9999999999999)*1.1,deployment_raw[[#This Row],[Column10]] * IF($E$2="Deployment",deployment_raw[[#This Row],[Column5]],1))),"")</f>
        <v/>
      </c>
      <c r="K330" s="123" t="str">
        <f>IF(ISNUMBER(deployment_raw[[#This Row],[Column11]]), (MIN(IF(O330&lt;&gt;"",O330,9999999999999)*1.1,deployment_raw[[#This Row],[Column11]] * IF($E$2="Deployment",deployment_raw[[#This Row],[Column5]],1)/1048576)),"")</f>
        <v/>
      </c>
      <c r="L330" s="124" t="str">
        <f>IF(ISNUMBER(deployment_raw[[#This Row],[Column8]]),IF(OR(deployment_raw[[#This Row],[Column5]] &lt;&gt; 0,$E$2 &lt;&gt; "Deployment"), MAX(J330, P330, R330, ($L$2 * IF($E$2="Deployment",deployment_raw[[#This Row],[Column5]],1)),IF(T330&lt;&gt;"",VALUE(T330) * IF($E$2="Deployment",deployment_raw[[#This Row],[Column5]],1),0)), 0),"")</f>
        <v/>
      </c>
      <c r="M330" s="125" t="str">
        <f>IF(ISNUMBER(deployment_raw[[#This Row],[Column9]]),IF(OR(deployment_raw[[#This Row],[Column5]] &lt;&gt; 0,$E$2&lt;&gt;"Deployment"), MAX(K330, Q330, S330, ($M$2 * IF($E$2="Deployment",deployment_raw[[#This Row],[Column5]],1)),IF(U330&lt;&gt;"",VALUE(U330) * IF($E$2="Deployment",deployment_raw[[#This Row],[Column5]],1),0)), 0),"")</f>
        <v/>
      </c>
      <c r="N330" s="166" t="str">
        <f>IF(ISNUMBER(deployment_raw[[#This Row],[Column14]]), deployment_raw[[#This Row],[Column14]]/IF(OR($E$2="Deployment",deployment_raw[[#This Row],[Column5]]=0),1,deployment_raw[[#This Row],[Column5]]),"")</f>
        <v/>
      </c>
      <c r="O330" s="167" t="str">
        <f>IF(ISNUMBER(deployment_raw[[#This Row],[Column15]]), deployment_raw[[#This Row],[Column15]]/IF(OR($E$2="Deployment",deployment_raw[[#This Row],[Column5]]=0),1,deployment_raw[[#This Row],[Column5]])/1048576,"")</f>
        <v/>
      </c>
      <c r="P330" s="168" t="str">
        <f>IF(ISNUMBER(deployment_raw[[#This Row],[Column12]]), (MIN(IF(N330&lt;&gt;"",N330,9999999999999)*1.1,deployment_raw[[#This Row],[Column12]] * IF($E$2="Deployment",deployment_raw[[#This Row],[Column5]],1))*(1+$P$2)),"")</f>
        <v/>
      </c>
      <c r="Q330" s="167" t="str">
        <f>IF(ISNUMBER(deployment_raw[[#This Row],[Column13]]), (MIN(IF(O330&lt;&gt;"",O330,9999999999999)*1.1,deployment_raw[[#This Row],[Column13]] * IF($E$2="Deployment",deployment_raw[[#This Row],[Column5]],1)*(1+$Q$2)/1048576)),"")</f>
        <v/>
      </c>
      <c r="R330" s="169" t="str">
        <f>IF(ISNUMBER(deployment_raw[[#This Row],[Column8]]), (H330  * IF(N330&lt;&gt;0,$R$2,1)),"")</f>
        <v/>
      </c>
      <c r="S330" s="170" t="str">
        <f>IF(ISNUMBER(deployment_raw[[#This Row],[Column8]]), (I330  * IF(O330&lt;&gt;0,$S$2,1)),"")</f>
        <v/>
      </c>
      <c r="T330" s="202" t="str">
        <f>IF(AND(A330&lt;&gt;"",_xlfn.IFNA(MATCH(A330,'dynamic resource application '!$A$2:$A$100, 0),0)&lt;&gt;0), H330/(IF($E$2="Deployment",E330,1)),"")</f>
        <v/>
      </c>
      <c r="U330" s="211" t="str">
        <f>IF(AND(A330&lt;&gt;"",_xlfn.IFNA(MATCH(A330,'dynamic resource application '!$A$2:$A$100, 0),0)&lt;&gt;0), I330/(IF($E$2="Deployment",E330,1)),"")</f>
        <v/>
      </c>
    </row>
    <row r="331" spans="1:21" ht="15.75" customHeight="1" x14ac:dyDescent="0.25">
      <c r="A331" s="35" t="str">
        <f>IF(ISNONTEXT(deployment_raw[[#This Row],[Column1]]), "", deployment_raw[[#This Row],[Column1]])</f>
        <v/>
      </c>
      <c r="B331" s="36" t="str">
        <f>IF(ISNONTEXT(deployment_raw[[#This Row],[Column2]]), "", deployment_raw[[#This Row],[Column2]])</f>
        <v/>
      </c>
      <c r="C331" s="36" t="str">
        <f>IF(ISNONTEXT(deployment_raw[[#This Row],[Column3]]), "", deployment_raw[[#This Row],[Column3]])</f>
        <v/>
      </c>
      <c r="D331" s="36" t="str">
        <f>IF(ISNONTEXT(deployment_raw[[#This Row],[Column4]]), "", deployment_raw[[#This Row],[Column4]])</f>
        <v/>
      </c>
      <c r="E331" s="37" t="str">
        <f>IF(ISNUMBER(deployment_raw[[#This Row],[Column5]]), deployment_raw[[#This Row],[Column5]],"")</f>
        <v/>
      </c>
      <c r="F331" s="94" t="str">
        <f>IF(ISNUMBER(deployment_raw[[#This Row],[Column6]]), (deployment_raw[[#This Row],[Column6]] * IF($E$2="Deployment",deployment_raw[[#This Row],[Column5]],1)),"")</f>
        <v/>
      </c>
      <c r="G331" s="95" t="str">
        <f>IF(ISNUMBER(deployment_raw[[#This Row],[Column7]]), (deployment_raw[[#This Row],[Column7]] * IF($E$2="Deployment",deployment_raw[[#This Row],[Column5]],1))/1048576,"")</f>
        <v/>
      </c>
      <c r="H331" s="95" t="str">
        <f>IF(ISNUMBER(deployment_raw[[#This Row],[Column8]]), (deployment_raw[[#This Row],[Column8]]  * IF($E$2="Deployment",deployment_raw[[#This Row],[Column5]],1)),"")</f>
        <v/>
      </c>
      <c r="I331" s="96" t="str">
        <f>IF(ISNUMBER(deployment_raw[[#This Row],[Column9]]), (deployment_raw[[#This Row],[Column9]] * IF($E$2="Deployment",deployment_raw[[#This Row],[Column5]],1))/1048576,"")</f>
        <v/>
      </c>
      <c r="J331" s="122" t="str">
        <f>IF(ISNUMBER(deployment_raw[[#This Row],[Column10]]), (MIN(IF(N331&lt;&gt;"",N331,9999999999999)*1.1,deployment_raw[[#This Row],[Column10]] * IF($E$2="Deployment",deployment_raw[[#This Row],[Column5]],1))),"")</f>
        <v/>
      </c>
      <c r="K331" s="123" t="str">
        <f>IF(ISNUMBER(deployment_raw[[#This Row],[Column11]]), (MIN(IF(O331&lt;&gt;"",O331,9999999999999)*1.1,deployment_raw[[#This Row],[Column11]] * IF($E$2="Deployment",deployment_raw[[#This Row],[Column5]],1)/1048576)),"")</f>
        <v/>
      </c>
      <c r="L331" s="124" t="str">
        <f>IF(ISNUMBER(deployment_raw[[#This Row],[Column8]]),IF(OR(deployment_raw[[#This Row],[Column5]] &lt;&gt; 0,$E$2 &lt;&gt; "Deployment"), MAX(J331, P331, R331, ($L$2 * IF($E$2="Deployment",deployment_raw[[#This Row],[Column5]],1)),IF(T331&lt;&gt;"",VALUE(T331) * IF($E$2="Deployment",deployment_raw[[#This Row],[Column5]],1),0)), 0),"")</f>
        <v/>
      </c>
      <c r="M331" s="125" t="str">
        <f>IF(ISNUMBER(deployment_raw[[#This Row],[Column9]]),IF(OR(deployment_raw[[#This Row],[Column5]] &lt;&gt; 0,$E$2&lt;&gt;"Deployment"), MAX(K331, Q331, S331, ($M$2 * IF($E$2="Deployment",deployment_raw[[#This Row],[Column5]],1)),IF(U331&lt;&gt;"",VALUE(U331) * IF($E$2="Deployment",deployment_raw[[#This Row],[Column5]],1),0)), 0),"")</f>
        <v/>
      </c>
      <c r="N331" s="166" t="str">
        <f>IF(ISNUMBER(deployment_raw[[#This Row],[Column14]]), deployment_raw[[#This Row],[Column14]]/IF(OR($E$2="Deployment",deployment_raw[[#This Row],[Column5]]=0),1,deployment_raw[[#This Row],[Column5]]),"")</f>
        <v/>
      </c>
      <c r="O331" s="167" t="str">
        <f>IF(ISNUMBER(deployment_raw[[#This Row],[Column15]]), deployment_raw[[#This Row],[Column15]]/IF(OR($E$2="Deployment",deployment_raw[[#This Row],[Column5]]=0),1,deployment_raw[[#This Row],[Column5]])/1048576,"")</f>
        <v/>
      </c>
      <c r="P331" s="168" t="str">
        <f>IF(ISNUMBER(deployment_raw[[#This Row],[Column12]]), (MIN(IF(N331&lt;&gt;"",N331,9999999999999)*1.1,deployment_raw[[#This Row],[Column12]] * IF($E$2="Deployment",deployment_raw[[#This Row],[Column5]],1))*(1+$P$2)),"")</f>
        <v/>
      </c>
      <c r="Q331" s="167" t="str">
        <f>IF(ISNUMBER(deployment_raw[[#This Row],[Column13]]), (MIN(IF(O331&lt;&gt;"",O331,9999999999999)*1.1,deployment_raw[[#This Row],[Column13]] * IF($E$2="Deployment",deployment_raw[[#This Row],[Column5]],1)*(1+$Q$2)/1048576)),"")</f>
        <v/>
      </c>
      <c r="R331" s="169" t="str">
        <f>IF(ISNUMBER(deployment_raw[[#This Row],[Column8]]), (H331  * IF(N331&lt;&gt;0,$R$2,1)),"")</f>
        <v/>
      </c>
      <c r="S331" s="170" t="str">
        <f>IF(ISNUMBER(deployment_raw[[#This Row],[Column8]]), (I331  * IF(O331&lt;&gt;0,$S$2,1)),"")</f>
        <v/>
      </c>
      <c r="T331" s="202" t="str">
        <f>IF(AND(A331&lt;&gt;"",_xlfn.IFNA(MATCH(A331,'dynamic resource application '!$A$2:$A$100, 0),0)&lt;&gt;0), H331/(IF($E$2="Deployment",E331,1)),"")</f>
        <v/>
      </c>
      <c r="U331" s="211" t="str">
        <f>IF(AND(A331&lt;&gt;"",_xlfn.IFNA(MATCH(A331,'dynamic resource application '!$A$2:$A$100, 0),0)&lt;&gt;0), I331/(IF($E$2="Deployment",E331,1)),"")</f>
        <v/>
      </c>
    </row>
    <row r="332" spans="1:21" ht="15.75" customHeight="1" x14ac:dyDescent="0.25">
      <c r="A332" s="35" t="str">
        <f>IF(ISNONTEXT(deployment_raw[[#This Row],[Column1]]), "", deployment_raw[[#This Row],[Column1]])</f>
        <v/>
      </c>
      <c r="B332" s="36" t="str">
        <f>IF(ISNONTEXT(deployment_raw[[#This Row],[Column2]]), "", deployment_raw[[#This Row],[Column2]])</f>
        <v/>
      </c>
      <c r="C332" s="36" t="str">
        <f>IF(ISNONTEXT(deployment_raw[[#This Row],[Column3]]), "", deployment_raw[[#This Row],[Column3]])</f>
        <v/>
      </c>
      <c r="D332" s="36" t="str">
        <f>IF(ISNONTEXT(deployment_raw[[#This Row],[Column4]]), "", deployment_raw[[#This Row],[Column4]])</f>
        <v/>
      </c>
      <c r="E332" s="37" t="str">
        <f>IF(ISNUMBER(deployment_raw[[#This Row],[Column5]]), deployment_raw[[#This Row],[Column5]],"")</f>
        <v/>
      </c>
      <c r="F332" s="94" t="str">
        <f>IF(ISNUMBER(deployment_raw[[#This Row],[Column6]]), (deployment_raw[[#This Row],[Column6]] * IF($E$2="Deployment",deployment_raw[[#This Row],[Column5]],1)),"")</f>
        <v/>
      </c>
      <c r="G332" s="95" t="str">
        <f>IF(ISNUMBER(deployment_raw[[#This Row],[Column7]]), (deployment_raw[[#This Row],[Column7]] * IF($E$2="Deployment",deployment_raw[[#This Row],[Column5]],1))/1048576,"")</f>
        <v/>
      </c>
      <c r="H332" s="95" t="str">
        <f>IF(ISNUMBER(deployment_raw[[#This Row],[Column8]]), (deployment_raw[[#This Row],[Column8]]  * IF($E$2="Deployment",deployment_raw[[#This Row],[Column5]],1)),"")</f>
        <v/>
      </c>
      <c r="I332" s="96" t="str">
        <f>IF(ISNUMBER(deployment_raw[[#This Row],[Column9]]), (deployment_raw[[#This Row],[Column9]] * IF($E$2="Deployment",deployment_raw[[#This Row],[Column5]],1))/1048576,"")</f>
        <v/>
      </c>
      <c r="J332" s="122" t="str">
        <f>IF(ISNUMBER(deployment_raw[[#This Row],[Column10]]), (MIN(IF(N332&lt;&gt;"",N332,9999999999999)*1.1,deployment_raw[[#This Row],[Column10]] * IF($E$2="Deployment",deployment_raw[[#This Row],[Column5]],1))),"")</f>
        <v/>
      </c>
      <c r="K332" s="123" t="str">
        <f>IF(ISNUMBER(deployment_raw[[#This Row],[Column11]]), (MIN(IF(O332&lt;&gt;"",O332,9999999999999)*1.1,deployment_raw[[#This Row],[Column11]] * IF($E$2="Deployment",deployment_raw[[#This Row],[Column5]],1)/1048576)),"")</f>
        <v/>
      </c>
      <c r="L332" s="124" t="str">
        <f>IF(ISNUMBER(deployment_raw[[#This Row],[Column8]]),IF(OR(deployment_raw[[#This Row],[Column5]] &lt;&gt; 0,$E$2 &lt;&gt; "Deployment"), MAX(J332, P332, R332, ($L$2 * IF($E$2="Deployment",deployment_raw[[#This Row],[Column5]],1)),IF(T332&lt;&gt;"",VALUE(T332) * IF($E$2="Deployment",deployment_raw[[#This Row],[Column5]],1),0)), 0),"")</f>
        <v/>
      </c>
      <c r="M332" s="125" t="str">
        <f>IF(ISNUMBER(deployment_raw[[#This Row],[Column9]]),IF(OR(deployment_raw[[#This Row],[Column5]] &lt;&gt; 0,$E$2&lt;&gt;"Deployment"), MAX(K332, Q332, S332, ($M$2 * IF($E$2="Deployment",deployment_raw[[#This Row],[Column5]],1)),IF(U332&lt;&gt;"",VALUE(U332) * IF($E$2="Deployment",deployment_raw[[#This Row],[Column5]],1),0)), 0),"")</f>
        <v/>
      </c>
      <c r="N332" s="166" t="str">
        <f>IF(ISNUMBER(deployment_raw[[#This Row],[Column14]]), deployment_raw[[#This Row],[Column14]]/IF(OR($E$2="Deployment",deployment_raw[[#This Row],[Column5]]=0),1,deployment_raw[[#This Row],[Column5]]),"")</f>
        <v/>
      </c>
      <c r="O332" s="167" t="str">
        <f>IF(ISNUMBER(deployment_raw[[#This Row],[Column15]]), deployment_raw[[#This Row],[Column15]]/IF(OR($E$2="Deployment",deployment_raw[[#This Row],[Column5]]=0),1,deployment_raw[[#This Row],[Column5]])/1048576,"")</f>
        <v/>
      </c>
      <c r="P332" s="168" t="str">
        <f>IF(ISNUMBER(deployment_raw[[#This Row],[Column12]]), (MIN(IF(N332&lt;&gt;"",N332,9999999999999)*1.1,deployment_raw[[#This Row],[Column12]] * IF($E$2="Deployment",deployment_raw[[#This Row],[Column5]],1))*(1+$P$2)),"")</f>
        <v/>
      </c>
      <c r="Q332" s="167" t="str">
        <f>IF(ISNUMBER(deployment_raw[[#This Row],[Column13]]), (MIN(IF(O332&lt;&gt;"",O332,9999999999999)*1.1,deployment_raw[[#This Row],[Column13]] * IF($E$2="Deployment",deployment_raw[[#This Row],[Column5]],1)*(1+$Q$2)/1048576)),"")</f>
        <v/>
      </c>
      <c r="R332" s="169" t="str">
        <f>IF(ISNUMBER(deployment_raw[[#This Row],[Column8]]), (H332  * IF(N332&lt;&gt;0,$R$2,1)),"")</f>
        <v/>
      </c>
      <c r="S332" s="170" t="str">
        <f>IF(ISNUMBER(deployment_raw[[#This Row],[Column8]]), (I332  * IF(O332&lt;&gt;0,$S$2,1)),"")</f>
        <v/>
      </c>
      <c r="T332" s="202" t="str">
        <f>IF(AND(A332&lt;&gt;"",_xlfn.IFNA(MATCH(A332,'dynamic resource application '!$A$2:$A$100, 0),0)&lt;&gt;0), H332/(IF($E$2="Deployment",E332,1)),"")</f>
        <v/>
      </c>
      <c r="U332" s="211" t="str">
        <f>IF(AND(A332&lt;&gt;"",_xlfn.IFNA(MATCH(A332,'dynamic resource application '!$A$2:$A$100, 0),0)&lt;&gt;0), I332/(IF($E$2="Deployment",E332,1)),"")</f>
        <v/>
      </c>
    </row>
    <row r="333" spans="1:21" ht="15.75" customHeight="1" x14ac:dyDescent="0.25">
      <c r="A333" s="35" t="str">
        <f>IF(ISNONTEXT(deployment_raw[[#This Row],[Column1]]), "", deployment_raw[[#This Row],[Column1]])</f>
        <v/>
      </c>
      <c r="B333" s="36" t="str">
        <f>IF(ISNONTEXT(deployment_raw[[#This Row],[Column2]]), "", deployment_raw[[#This Row],[Column2]])</f>
        <v/>
      </c>
      <c r="C333" s="36" t="str">
        <f>IF(ISNONTEXT(deployment_raw[[#This Row],[Column3]]), "", deployment_raw[[#This Row],[Column3]])</f>
        <v/>
      </c>
      <c r="D333" s="36" t="str">
        <f>IF(ISNONTEXT(deployment_raw[[#This Row],[Column4]]), "", deployment_raw[[#This Row],[Column4]])</f>
        <v/>
      </c>
      <c r="E333" s="37" t="str">
        <f>IF(ISNUMBER(deployment_raw[[#This Row],[Column5]]), deployment_raw[[#This Row],[Column5]],"")</f>
        <v/>
      </c>
      <c r="F333" s="94" t="str">
        <f>IF(ISNUMBER(deployment_raw[[#This Row],[Column6]]), (deployment_raw[[#This Row],[Column6]] * IF($E$2="Deployment",deployment_raw[[#This Row],[Column5]],1)),"")</f>
        <v/>
      </c>
      <c r="G333" s="95" t="str">
        <f>IF(ISNUMBER(deployment_raw[[#This Row],[Column7]]), (deployment_raw[[#This Row],[Column7]] * IF($E$2="Deployment",deployment_raw[[#This Row],[Column5]],1))/1048576,"")</f>
        <v/>
      </c>
      <c r="H333" s="95" t="str">
        <f>IF(ISNUMBER(deployment_raw[[#This Row],[Column8]]), (deployment_raw[[#This Row],[Column8]]  * IF($E$2="Deployment",deployment_raw[[#This Row],[Column5]],1)),"")</f>
        <v/>
      </c>
      <c r="I333" s="96" t="str">
        <f>IF(ISNUMBER(deployment_raw[[#This Row],[Column9]]), (deployment_raw[[#This Row],[Column9]] * IF($E$2="Deployment",deployment_raw[[#This Row],[Column5]],1))/1048576,"")</f>
        <v/>
      </c>
      <c r="J333" s="122" t="str">
        <f>IF(ISNUMBER(deployment_raw[[#This Row],[Column10]]), (MIN(IF(N333&lt;&gt;"",N333,9999999999999)*1.1,deployment_raw[[#This Row],[Column10]] * IF($E$2="Deployment",deployment_raw[[#This Row],[Column5]],1))),"")</f>
        <v/>
      </c>
      <c r="K333" s="123" t="str">
        <f>IF(ISNUMBER(deployment_raw[[#This Row],[Column11]]), (MIN(IF(O333&lt;&gt;"",O333,9999999999999)*1.1,deployment_raw[[#This Row],[Column11]] * IF($E$2="Deployment",deployment_raw[[#This Row],[Column5]],1)/1048576)),"")</f>
        <v/>
      </c>
      <c r="L333" s="124" t="str">
        <f>IF(ISNUMBER(deployment_raw[[#This Row],[Column8]]),IF(OR(deployment_raw[[#This Row],[Column5]] &lt;&gt; 0,$E$2 &lt;&gt; "Deployment"), MAX(J333, P333, R333, ($L$2 * IF($E$2="Deployment",deployment_raw[[#This Row],[Column5]],1)),IF(T333&lt;&gt;"",VALUE(T333) * IF($E$2="Deployment",deployment_raw[[#This Row],[Column5]],1),0)), 0),"")</f>
        <v/>
      </c>
      <c r="M333" s="125" t="str">
        <f>IF(ISNUMBER(deployment_raw[[#This Row],[Column9]]),IF(OR(deployment_raw[[#This Row],[Column5]] &lt;&gt; 0,$E$2&lt;&gt;"Deployment"), MAX(K333, Q333, S333, ($M$2 * IF($E$2="Deployment",deployment_raw[[#This Row],[Column5]],1)),IF(U333&lt;&gt;"",VALUE(U333) * IF($E$2="Deployment",deployment_raw[[#This Row],[Column5]],1),0)), 0),"")</f>
        <v/>
      </c>
      <c r="N333" s="166" t="str">
        <f>IF(ISNUMBER(deployment_raw[[#This Row],[Column14]]), deployment_raw[[#This Row],[Column14]]/IF(OR($E$2="Deployment",deployment_raw[[#This Row],[Column5]]=0),1,deployment_raw[[#This Row],[Column5]]),"")</f>
        <v/>
      </c>
      <c r="O333" s="167" t="str">
        <f>IF(ISNUMBER(deployment_raw[[#This Row],[Column15]]), deployment_raw[[#This Row],[Column15]]/IF(OR($E$2="Deployment",deployment_raw[[#This Row],[Column5]]=0),1,deployment_raw[[#This Row],[Column5]])/1048576,"")</f>
        <v/>
      </c>
      <c r="P333" s="168" t="str">
        <f>IF(ISNUMBER(deployment_raw[[#This Row],[Column12]]), (MIN(IF(N333&lt;&gt;"",N333,9999999999999)*1.1,deployment_raw[[#This Row],[Column12]] * IF($E$2="Deployment",deployment_raw[[#This Row],[Column5]],1))*(1+$P$2)),"")</f>
        <v/>
      </c>
      <c r="Q333" s="167" t="str">
        <f>IF(ISNUMBER(deployment_raw[[#This Row],[Column13]]), (MIN(IF(O333&lt;&gt;"",O333,9999999999999)*1.1,deployment_raw[[#This Row],[Column13]] * IF($E$2="Deployment",deployment_raw[[#This Row],[Column5]],1)*(1+$Q$2)/1048576)),"")</f>
        <v/>
      </c>
      <c r="R333" s="169" t="str">
        <f>IF(ISNUMBER(deployment_raw[[#This Row],[Column8]]), (H333  * IF(N333&lt;&gt;0,$R$2,1)),"")</f>
        <v/>
      </c>
      <c r="S333" s="170" t="str">
        <f>IF(ISNUMBER(deployment_raw[[#This Row],[Column8]]), (I333  * IF(O333&lt;&gt;0,$S$2,1)),"")</f>
        <v/>
      </c>
      <c r="T333" s="202" t="str">
        <f>IF(AND(A333&lt;&gt;"",_xlfn.IFNA(MATCH(A333,'dynamic resource application '!$A$2:$A$100, 0),0)&lt;&gt;0), H333/(IF($E$2="Deployment",E333,1)),"")</f>
        <v/>
      </c>
      <c r="U333" s="211" t="str">
        <f>IF(AND(A333&lt;&gt;"",_xlfn.IFNA(MATCH(A333,'dynamic resource application '!$A$2:$A$100, 0),0)&lt;&gt;0), I333/(IF($E$2="Deployment",E333,1)),"")</f>
        <v/>
      </c>
    </row>
    <row r="334" spans="1:21" ht="15.75" customHeight="1" x14ac:dyDescent="0.25">
      <c r="A334" s="35" t="str">
        <f>IF(ISNONTEXT(deployment_raw[[#This Row],[Column1]]), "", deployment_raw[[#This Row],[Column1]])</f>
        <v/>
      </c>
      <c r="B334" s="36" t="str">
        <f>IF(ISNONTEXT(deployment_raw[[#This Row],[Column2]]), "", deployment_raw[[#This Row],[Column2]])</f>
        <v/>
      </c>
      <c r="C334" s="36" t="str">
        <f>IF(ISNONTEXT(deployment_raw[[#This Row],[Column3]]), "", deployment_raw[[#This Row],[Column3]])</f>
        <v/>
      </c>
      <c r="D334" s="36" t="str">
        <f>IF(ISNONTEXT(deployment_raw[[#This Row],[Column4]]), "", deployment_raw[[#This Row],[Column4]])</f>
        <v/>
      </c>
      <c r="E334" s="37" t="str">
        <f>IF(ISNUMBER(deployment_raw[[#This Row],[Column5]]), deployment_raw[[#This Row],[Column5]],"")</f>
        <v/>
      </c>
      <c r="F334" s="94" t="str">
        <f>IF(ISNUMBER(deployment_raw[[#This Row],[Column6]]), (deployment_raw[[#This Row],[Column6]] * IF($E$2="Deployment",deployment_raw[[#This Row],[Column5]],1)),"")</f>
        <v/>
      </c>
      <c r="G334" s="95" t="str">
        <f>IF(ISNUMBER(deployment_raw[[#This Row],[Column7]]), (deployment_raw[[#This Row],[Column7]] * IF($E$2="Deployment",deployment_raw[[#This Row],[Column5]],1))/1048576,"")</f>
        <v/>
      </c>
      <c r="H334" s="95" t="str">
        <f>IF(ISNUMBER(deployment_raw[[#This Row],[Column8]]), (deployment_raw[[#This Row],[Column8]]  * IF($E$2="Deployment",deployment_raw[[#This Row],[Column5]],1)),"")</f>
        <v/>
      </c>
      <c r="I334" s="96" t="str">
        <f>IF(ISNUMBER(deployment_raw[[#This Row],[Column9]]), (deployment_raw[[#This Row],[Column9]] * IF($E$2="Deployment",deployment_raw[[#This Row],[Column5]],1))/1048576,"")</f>
        <v/>
      </c>
      <c r="J334" s="122" t="str">
        <f>IF(ISNUMBER(deployment_raw[[#This Row],[Column10]]), (MIN(IF(N334&lt;&gt;"",N334,9999999999999)*1.1,deployment_raw[[#This Row],[Column10]] * IF($E$2="Deployment",deployment_raw[[#This Row],[Column5]],1))),"")</f>
        <v/>
      </c>
      <c r="K334" s="123" t="str">
        <f>IF(ISNUMBER(deployment_raw[[#This Row],[Column11]]), (MIN(IF(O334&lt;&gt;"",O334,9999999999999)*1.1,deployment_raw[[#This Row],[Column11]] * IF($E$2="Deployment",deployment_raw[[#This Row],[Column5]],1)/1048576)),"")</f>
        <v/>
      </c>
      <c r="L334" s="124" t="str">
        <f>IF(ISNUMBER(deployment_raw[[#This Row],[Column8]]),IF(OR(deployment_raw[[#This Row],[Column5]] &lt;&gt; 0,$E$2 &lt;&gt; "Deployment"), MAX(J334, P334, R334, ($L$2 * IF($E$2="Deployment",deployment_raw[[#This Row],[Column5]],1)),IF(T334&lt;&gt;"",VALUE(T334) * IF($E$2="Deployment",deployment_raw[[#This Row],[Column5]],1),0)), 0),"")</f>
        <v/>
      </c>
      <c r="M334" s="125" t="str">
        <f>IF(ISNUMBER(deployment_raw[[#This Row],[Column9]]),IF(OR(deployment_raw[[#This Row],[Column5]] &lt;&gt; 0,$E$2&lt;&gt;"Deployment"), MAX(K334, Q334, S334, ($M$2 * IF($E$2="Deployment",deployment_raw[[#This Row],[Column5]],1)),IF(U334&lt;&gt;"",VALUE(U334) * IF($E$2="Deployment",deployment_raw[[#This Row],[Column5]],1),0)), 0),"")</f>
        <v/>
      </c>
      <c r="N334" s="166" t="str">
        <f>IF(ISNUMBER(deployment_raw[[#This Row],[Column14]]), deployment_raw[[#This Row],[Column14]]/IF(OR($E$2="Deployment",deployment_raw[[#This Row],[Column5]]=0),1,deployment_raw[[#This Row],[Column5]]),"")</f>
        <v/>
      </c>
      <c r="O334" s="167" t="str">
        <f>IF(ISNUMBER(deployment_raw[[#This Row],[Column15]]), deployment_raw[[#This Row],[Column15]]/IF(OR($E$2="Deployment",deployment_raw[[#This Row],[Column5]]=0),1,deployment_raw[[#This Row],[Column5]])/1048576,"")</f>
        <v/>
      </c>
      <c r="P334" s="168" t="str">
        <f>IF(ISNUMBER(deployment_raw[[#This Row],[Column12]]), (MIN(IF(N334&lt;&gt;"",N334,9999999999999)*1.1,deployment_raw[[#This Row],[Column12]] * IF($E$2="Deployment",deployment_raw[[#This Row],[Column5]],1))*(1+$P$2)),"")</f>
        <v/>
      </c>
      <c r="Q334" s="167" t="str">
        <f>IF(ISNUMBER(deployment_raw[[#This Row],[Column13]]), (MIN(IF(O334&lt;&gt;"",O334,9999999999999)*1.1,deployment_raw[[#This Row],[Column13]] * IF($E$2="Deployment",deployment_raw[[#This Row],[Column5]],1)*(1+$Q$2)/1048576)),"")</f>
        <v/>
      </c>
      <c r="R334" s="169" t="str">
        <f>IF(ISNUMBER(deployment_raw[[#This Row],[Column8]]), (H334  * IF(N334&lt;&gt;0,$R$2,1)),"")</f>
        <v/>
      </c>
      <c r="S334" s="170" t="str">
        <f>IF(ISNUMBER(deployment_raw[[#This Row],[Column8]]), (I334  * IF(O334&lt;&gt;0,$S$2,1)),"")</f>
        <v/>
      </c>
      <c r="T334" s="202" t="str">
        <f>IF(AND(A334&lt;&gt;"",_xlfn.IFNA(MATCH(A334,'dynamic resource application '!$A$2:$A$100, 0),0)&lt;&gt;0), H334/(IF($E$2="Deployment",E334,1)),"")</f>
        <v/>
      </c>
      <c r="U334" s="211" t="str">
        <f>IF(AND(A334&lt;&gt;"",_xlfn.IFNA(MATCH(A334,'dynamic resource application '!$A$2:$A$100, 0),0)&lt;&gt;0), I334/(IF($E$2="Deployment",E334,1)),"")</f>
        <v/>
      </c>
    </row>
    <row r="335" spans="1:21" ht="15.75" customHeight="1" x14ac:dyDescent="0.25">
      <c r="A335" s="35" t="str">
        <f>IF(ISNONTEXT(deployment_raw[[#This Row],[Column1]]), "", deployment_raw[[#This Row],[Column1]])</f>
        <v/>
      </c>
      <c r="B335" s="36" t="str">
        <f>IF(ISNONTEXT(deployment_raw[[#This Row],[Column2]]), "", deployment_raw[[#This Row],[Column2]])</f>
        <v/>
      </c>
      <c r="C335" s="36" t="str">
        <f>IF(ISNONTEXT(deployment_raw[[#This Row],[Column3]]), "", deployment_raw[[#This Row],[Column3]])</f>
        <v/>
      </c>
      <c r="D335" s="36" t="str">
        <f>IF(ISNONTEXT(deployment_raw[[#This Row],[Column4]]), "", deployment_raw[[#This Row],[Column4]])</f>
        <v/>
      </c>
      <c r="E335" s="37" t="str">
        <f>IF(ISNUMBER(deployment_raw[[#This Row],[Column5]]), deployment_raw[[#This Row],[Column5]],"")</f>
        <v/>
      </c>
      <c r="F335" s="94" t="str">
        <f>IF(ISNUMBER(deployment_raw[[#This Row],[Column6]]), (deployment_raw[[#This Row],[Column6]] * IF($E$2="Deployment",deployment_raw[[#This Row],[Column5]],1)),"")</f>
        <v/>
      </c>
      <c r="G335" s="95" t="str">
        <f>IF(ISNUMBER(deployment_raw[[#This Row],[Column7]]), (deployment_raw[[#This Row],[Column7]] * IF($E$2="Deployment",deployment_raw[[#This Row],[Column5]],1))/1048576,"")</f>
        <v/>
      </c>
      <c r="H335" s="95" t="str">
        <f>IF(ISNUMBER(deployment_raw[[#This Row],[Column8]]), (deployment_raw[[#This Row],[Column8]]  * IF($E$2="Deployment",deployment_raw[[#This Row],[Column5]],1)),"")</f>
        <v/>
      </c>
      <c r="I335" s="96" t="str">
        <f>IF(ISNUMBER(deployment_raw[[#This Row],[Column9]]), (deployment_raw[[#This Row],[Column9]] * IF($E$2="Deployment",deployment_raw[[#This Row],[Column5]],1))/1048576,"")</f>
        <v/>
      </c>
      <c r="J335" s="122" t="str">
        <f>IF(ISNUMBER(deployment_raw[[#This Row],[Column10]]), (MIN(IF(N335&lt;&gt;"",N335,9999999999999)*1.1,deployment_raw[[#This Row],[Column10]] * IF($E$2="Deployment",deployment_raw[[#This Row],[Column5]],1))),"")</f>
        <v/>
      </c>
      <c r="K335" s="123" t="str">
        <f>IF(ISNUMBER(deployment_raw[[#This Row],[Column11]]), (MIN(IF(O335&lt;&gt;"",O335,9999999999999)*1.1,deployment_raw[[#This Row],[Column11]] * IF($E$2="Deployment",deployment_raw[[#This Row],[Column5]],1)/1048576)),"")</f>
        <v/>
      </c>
      <c r="L335" s="124" t="str">
        <f>IF(ISNUMBER(deployment_raw[[#This Row],[Column8]]),IF(OR(deployment_raw[[#This Row],[Column5]] &lt;&gt; 0,$E$2 &lt;&gt; "Deployment"), MAX(J335, P335, R335, ($L$2 * IF($E$2="Deployment",deployment_raw[[#This Row],[Column5]],1)),IF(T335&lt;&gt;"",VALUE(T335) * IF($E$2="Deployment",deployment_raw[[#This Row],[Column5]],1),0)), 0),"")</f>
        <v/>
      </c>
      <c r="M335" s="125" t="str">
        <f>IF(ISNUMBER(deployment_raw[[#This Row],[Column9]]),IF(OR(deployment_raw[[#This Row],[Column5]] &lt;&gt; 0,$E$2&lt;&gt;"Deployment"), MAX(K335, Q335, S335, ($M$2 * IF($E$2="Deployment",deployment_raw[[#This Row],[Column5]],1)),IF(U335&lt;&gt;"",VALUE(U335) * IF($E$2="Deployment",deployment_raw[[#This Row],[Column5]],1),0)), 0),"")</f>
        <v/>
      </c>
      <c r="N335" s="166" t="str">
        <f>IF(ISNUMBER(deployment_raw[[#This Row],[Column14]]), deployment_raw[[#This Row],[Column14]]/IF(OR($E$2="Deployment",deployment_raw[[#This Row],[Column5]]=0),1,deployment_raw[[#This Row],[Column5]]),"")</f>
        <v/>
      </c>
      <c r="O335" s="167" t="str">
        <f>IF(ISNUMBER(deployment_raw[[#This Row],[Column15]]), deployment_raw[[#This Row],[Column15]]/IF(OR($E$2="Deployment",deployment_raw[[#This Row],[Column5]]=0),1,deployment_raw[[#This Row],[Column5]])/1048576,"")</f>
        <v/>
      </c>
      <c r="P335" s="168" t="str">
        <f>IF(ISNUMBER(deployment_raw[[#This Row],[Column12]]), (MIN(IF(N335&lt;&gt;"",N335,9999999999999)*1.1,deployment_raw[[#This Row],[Column12]] * IF($E$2="Deployment",deployment_raw[[#This Row],[Column5]],1))*(1+$P$2)),"")</f>
        <v/>
      </c>
      <c r="Q335" s="167" t="str">
        <f>IF(ISNUMBER(deployment_raw[[#This Row],[Column13]]), (MIN(IF(O335&lt;&gt;"",O335,9999999999999)*1.1,deployment_raw[[#This Row],[Column13]] * IF($E$2="Deployment",deployment_raw[[#This Row],[Column5]],1)*(1+$Q$2)/1048576)),"")</f>
        <v/>
      </c>
      <c r="R335" s="169" t="str">
        <f>IF(ISNUMBER(deployment_raw[[#This Row],[Column8]]), (H335  * IF(N335&lt;&gt;0,$R$2,1)),"")</f>
        <v/>
      </c>
      <c r="S335" s="170" t="str">
        <f>IF(ISNUMBER(deployment_raw[[#This Row],[Column8]]), (I335  * IF(O335&lt;&gt;0,$S$2,1)),"")</f>
        <v/>
      </c>
      <c r="T335" s="202" t="str">
        <f>IF(AND(A335&lt;&gt;"",_xlfn.IFNA(MATCH(A335,'dynamic resource application '!$A$2:$A$100, 0),0)&lt;&gt;0), H335/(IF($E$2="Deployment",E335,1)),"")</f>
        <v/>
      </c>
      <c r="U335" s="211" t="str">
        <f>IF(AND(A335&lt;&gt;"",_xlfn.IFNA(MATCH(A335,'dynamic resource application '!$A$2:$A$100, 0),0)&lt;&gt;0), I335/(IF($E$2="Deployment",E335,1)),"")</f>
        <v/>
      </c>
    </row>
    <row r="336" spans="1:21" ht="15.75" customHeight="1" x14ac:dyDescent="0.25">
      <c r="A336" s="35" t="str">
        <f>IF(ISNONTEXT(deployment_raw[[#This Row],[Column1]]), "", deployment_raw[[#This Row],[Column1]])</f>
        <v/>
      </c>
      <c r="B336" s="36" t="str">
        <f>IF(ISNONTEXT(deployment_raw[[#This Row],[Column2]]), "", deployment_raw[[#This Row],[Column2]])</f>
        <v/>
      </c>
      <c r="C336" s="36" t="str">
        <f>IF(ISNONTEXT(deployment_raw[[#This Row],[Column3]]), "", deployment_raw[[#This Row],[Column3]])</f>
        <v/>
      </c>
      <c r="D336" s="36" t="str">
        <f>IF(ISNONTEXT(deployment_raw[[#This Row],[Column4]]), "", deployment_raw[[#This Row],[Column4]])</f>
        <v/>
      </c>
      <c r="E336" s="37" t="str">
        <f>IF(ISNUMBER(deployment_raw[[#This Row],[Column5]]), deployment_raw[[#This Row],[Column5]],"")</f>
        <v/>
      </c>
      <c r="F336" s="94" t="str">
        <f>IF(ISNUMBER(deployment_raw[[#This Row],[Column6]]), (deployment_raw[[#This Row],[Column6]] * IF($E$2="Deployment",deployment_raw[[#This Row],[Column5]],1)),"")</f>
        <v/>
      </c>
      <c r="G336" s="95" t="str">
        <f>IF(ISNUMBER(deployment_raw[[#This Row],[Column7]]), (deployment_raw[[#This Row],[Column7]] * IF($E$2="Deployment",deployment_raw[[#This Row],[Column5]],1))/1048576,"")</f>
        <v/>
      </c>
      <c r="H336" s="95" t="str">
        <f>IF(ISNUMBER(deployment_raw[[#This Row],[Column8]]), (deployment_raw[[#This Row],[Column8]]  * IF($E$2="Deployment",deployment_raw[[#This Row],[Column5]],1)),"")</f>
        <v/>
      </c>
      <c r="I336" s="96" t="str">
        <f>IF(ISNUMBER(deployment_raw[[#This Row],[Column9]]), (deployment_raw[[#This Row],[Column9]] * IF($E$2="Deployment",deployment_raw[[#This Row],[Column5]],1))/1048576,"")</f>
        <v/>
      </c>
      <c r="J336" s="122" t="str">
        <f>IF(ISNUMBER(deployment_raw[[#This Row],[Column10]]), (MIN(IF(N336&lt;&gt;"",N336,9999999999999)*1.1,deployment_raw[[#This Row],[Column10]] * IF($E$2="Deployment",deployment_raw[[#This Row],[Column5]],1))),"")</f>
        <v/>
      </c>
      <c r="K336" s="123" t="str">
        <f>IF(ISNUMBER(deployment_raw[[#This Row],[Column11]]), (MIN(IF(O336&lt;&gt;"",O336,9999999999999)*1.1,deployment_raw[[#This Row],[Column11]] * IF($E$2="Deployment",deployment_raw[[#This Row],[Column5]],1)/1048576)),"")</f>
        <v/>
      </c>
      <c r="L336" s="124" t="str">
        <f>IF(ISNUMBER(deployment_raw[[#This Row],[Column8]]),IF(OR(deployment_raw[[#This Row],[Column5]] &lt;&gt; 0,$E$2 &lt;&gt; "Deployment"), MAX(J336, P336, R336, ($L$2 * IF($E$2="Deployment",deployment_raw[[#This Row],[Column5]],1)),IF(T336&lt;&gt;"",VALUE(T336) * IF($E$2="Deployment",deployment_raw[[#This Row],[Column5]],1),0)), 0),"")</f>
        <v/>
      </c>
      <c r="M336" s="125" t="str">
        <f>IF(ISNUMBER(deployment_raw[[#This Row],[Column9]]),IF(OR(deployment_raw[[#This Row],[Column5]] &lt;&gt; 0,$E$2&lt;&gt;"Deployment"), MAX(K336, Q336, S336, ($M$2 * IF($E$2="Deployment",deployment_raw[[#This Row],[Column5]],1)),IF(U336&lt;&gt;"",VALUE(U336) * IF($E$2="Deployment",deployment_raw[[#This Row],[Column5]],1),0)), 0),"")</f>
        <v/>
      </c>
      <c r="N336" s="166" t="str">
        <f>IF(ISNUMBER(deployment_raw[[#This Row],[Column14]]), deployment_raw[[#This Row],[Column14]]/IF(OR($E$2="Deployment",deployment_raw[[#This Row],[Column5]]=0),1,deployment_raw[[#This Row],[Column5]]),"")</f>
        <v/>
      </c>
      <c r="O336" s="167" t="str">
        <f>IF(ISNUMBER(deployment_raw[[#This Row],[Column15]]), deployment_raw[[#This Row],[Column15]]/IF(OR($E$2="Deployment",deployment_raw[[#This Row],[Column5]]=0),1,deployment_raw[[#This Row],[Column5]])/1048576,"")</f>
        <v/>
      </c>
      <c r="P336" s="168" t="str">
        <f>IF(ISNUMBER(deployment_raw[[#This Row],[Column12]]), (MIN(IF(N336&lt;&gt;"",N336,9999999999999)*1.1,deployment_raw[[#This Row],[Column12]] * IF($E$2="Deployment",deployment_raw[[#This Row],[Column5]],1))*(1+$P$2)),"")</f>
        <v/>
      </c>
      <c r="Q336" s="167" t="str">
        <f>IF(ISNUMBER(deployment_raw[[#This Row],[Column13]]), (MIN(IF(O336&lt;&gt;"",O336,9999999999999)*1.1,deployment_raw[[#This Row],[Column13]] * IF($E$2="Deployment",deployment_raw[[#This Row],[Column5]],1)*(1+$Q$2)/1048576)),"")</f>
        <v/>
      </c>
      <c r="R336" s="169" t="str">
        <f>IF(ISNUMBER(deployment_raw[[#This Row],[Column8]]), (H336  * IF(N336&lt;&gt;0,$R$2,1)),"")</f>
        <v/>
      </c>
      <c r="S336" s="170" t="str">
        <f>IF(ISNUMBER(deployment_raw[[#This Row],[Column8]]), (I336  * IF(O336&lt;&gt;0,$S$2,1)),"")</f>
        <v/>
      </c>
      <c r="T336" s="202" t="str">
        <f>IF(AND(A336&lt;&gt;"",_xlfn.IFNA(MATCH(A336,'dynamic resource application '!$A$2:$A$100, 0),0)&lt;&gt;0), H336/(IF($E$2="Deployment",E336,1)),"")</f>
        <v/>
      </c>
      <c r="U336" s="211" t="str">
        <f>IF(AND(A336&lt;&gt;"",_xlfn.IFNA(MATCH(A336,'dynamic resource application '!$A$2:$A$100, 0),0)&lt;&gt;0), I336/(IF($E$2="Deployment",E336,1)),"")</f>
        <v/>
      </c>
    </row>
    <row r="337" spans="1:21" ht="15.75" customHeight="1" x14ac:dyDescent="0.25">
      <c r="A337" s="35" t="str">
        <f>IF(ISNONTEXT(deployment_raw[[#This Row],[Column1]]), "", deployment_raw[[#This Row],[Column1]])</f>
        <v/>
      </c>
      <c r="B337" s="36" t="str">
        <f>IF(ISNONTEXT(deployment_raw[[#This Row],[Column2]]), "", deployment_raw[[#This Row],[Column2]])</f>
        <v/>
      </c>
      <c r="C337" s="36" t="str">
        <f>IF(ISNONTEXT(deployment_raw[[#This Row],[Column3]]), "", deployment_raw[[#This Row],[Column3]])</f>
        <v/>
      </c>
      <c r="D337" s="36" t="str">
        <f>IF(ISNONTEXT(deployment_raw[[#This Row],[Column4]]), "", deployment_raw[[#This Row],[Column4]])</f>
        <v/>
      </c>
      <c r="E337" s="37" t="str">
        <f>IF(ISNUMBER(deployment_raw[[#This Row],[Column5]]), deployment_raw[[#This Row],[Column5]],"")</f>
        <v/>
      </c>
      <c r="F337" s="94" t="str">
        <f>IF(ISNUMBER(deployment_raw[[#This Row],[Column6]]), (deployment_raw[[#This Row],[Column6]] * IF($E$2="Deployment",deployment_raw[[#This Row],[Column5]],1)),"")</f>
        <v/>
      </c>
      <c r="G337" s="95" t="str">
        <f>IF(ISNUMBER(deployment_raw[[#This Row],[Column7]]), (deployment_raw[[#This Row],[Column7]] * IF($E$2="Deployment",deployment_raw[[#This Row],[Column5]],1))/1048576,"")</f>
        <v/>
      </c>
      <c r="H337" s="95" t="str">
        <f>IF(ISNUMBER(deployment_raw[[#This Row],[Column8]]), (deployment_raw[[#This Row],[Column8]]  * IF($E$2="Deployment",deployment_raw[[#This Row],[Column5]],1)),"")</f>
        <v/>
      </c>
      <c r="I337" s="96" t="str">
        <f>IF(ISNUMBER(deployment_raw[[#This Row],[Column9]]), (deployment_raw[[#This Row],[Column9]] * IF($E$2="Deployment",deployment_raw[[#This Row],[Column5]],1))/1048576,"")</f>
        <v/>
      </c>
      <c r="J337" s="122" t="str">
        <f>IF(ISNUMBER(deployment_raw[[#This Row],[Column10]]), (MIN(IF(N337&lt;&gt;"",N337,9999999999999)*1.1,deployment_raw[[#This Row],[Column10]] * IF($E$2="Deployment",deployment_raw[[#This Row],[Column5]],1))),"")</f>
        <v/>
      </c>
      <c r="K337" s="123" t="str">
        <f>IF(ISNUMBER(deployment_raw[[#This Row],[Column11]]), (MIN(IF(O337&lt;&gt;"",O337,9999999999999)*1.1,deployment_raw[[#This Row],[Column11]] * IF($E$2="Deployment",deployment_raw[[#This Row],[Column5]],1)/1048576)),"")</f>
        <v/>
      </c>
      <c r="L337" s="124" t="str">
        <f>IF(ISNUMBER(deployment_raw[[#This Row],[Column8]]),IF(OR(deployment_raw[[#This Row],[Column5]] &lt;&gt; 0,$E$2 &lt;&gt; "Deployment"), MAX(J337, P337, R337, ($L$2 * IF($E$2="Deployment",deployment_raw[[#This Row],[Column5]],1)),IF(T337&lt;&gt;"",VALUE(T337) * IF($E$2="Deployment",deployment_raw[[#This Row],[Column5]],1),0)), 0),"")</f>
        <v/>
      </c>
      <c r="M337" s="125" t="str">
        <f>IF(ISNUMBER(deployment_raw[[#This Row],[Column9]]),IF(OR(deployment_raw[[#This Row],[Column5]] &lt;&gt; 0,$E$2&lt;&gt;"Deployment"), MAX(K337, Q337, S337, ($M$2 * IF($E$2="Deployment",deployment_raw[[#This Row],[Column5]],1)),IF(U337&lt;&gt;"",VALUE(U337) * IF($E$2="Deployment",deployment_raw[[#This Row],[Column5]],1),0)), 0),"")</f>
        <v/>
      </c>
      <c r="N337" s="166" t="str">
        <f>IF(ISNUMBER(deployment_raw[[#This Row],[Column14]]), deployment_raw[[#This Row],[Column14]]/IF(OR($E$2="Deployment",deployment_raw[[#This Row],[Column5]]=0),1,deployment_raw[[#This Row],[Column5]]),"")</f>
        <v/>
      </c>
      <c r="O337" s="167" t="str">
        <f>IF(ISNUMBER(deployment_raw[[#This Row],[Column15]]), deployment_raw[[#This Row],[Column15]]/IF(OR($E$2="Deployment",deployment_raw[[#This Row],[Column5]]=0),1,deployment_raw[[#This Row],[Column5]])/1048576,"")</f>
        <v/>
      </c>
      <c r="P337" s="168" t="str">
        <f>IF(ISNUMBER(deployment_raw[[#This Row],[Column12]]), (MIN(IF(N337&lt;&gt;"",N337,9999999999999)*1.1,deployment_raw[[#This Row],[Column12]] * IF($E$2="Deployment",deployment_raw[[#This Row],[Column5]],1))*(1+$P$2)),"")</f>
        <v/>
      </c>
      <c r="Q337" s="167" t="str">
        <f>IF(ISNUMBER(deployment_raw[[#This Row],[Column13]]), (MIN(IF(O337&lt;&gt;"",O337,9999999999999)*1.1,deployment_raw[[#This Row],[Column13]] * IF($E$2="Deployment",deployment_raw[[#This Row],[Column5]],1)*(1+$Q$2)/1048576)),"")</f>
        <v/>
      </c>
      <c r="R337" s="169" t="str">
        <f>IF(ISNUMBER(deployment_raw[[#This Row],[Column8]]), (H337  * IF(N337&lt;&gt;0,$R$2,1)),"")</f>
        <v/>
      </c>
      <c r="S337" s="170" t="str">
        <f>IF(ISNUMBER(deployment_raw[[#This Row],[Column8]]), (I337  * IF(O337&lt;&gt;0,$S$2,1)),"")</f>
        <v/>
      </c>
      <c r="T337" s="202" t="str">
        <f>IF(AND(A337&lt;&gt;"",_xlfn.IFNA(MATCH(A337,'dynamic resource application '!$A$2:$A$100, 0),0)&lt;&gt;0), H337/(IF($E$2="Deployment",E337,1)),"")</f>
        <v/>
      </c>
      <c r="U337" s="211" t="str">
        <f>IF(AND(A337&lt;&gt;"",_xlfn.IFNA(MATCH(A337,'dynamic resource application '!$A$2:$A$100, 0),0)&lt;&gt;0), I337/(IF($E$2="Deployment",E337,1)),"")</f>
        <v/>
      </c>
    </row>
    <row r="338" spans="1:21" ht="15.75" customHeight="1" x14ac:dyDescent="0.25">
      <c r="A338" s="35" t="str">
        <f>IF(ISNONTEXT(deployment_raw[[#This Row],[Column1]]), "", deployment_raw[[#This Row],[Column1]])</f>
        <v/>
      </c>
      <c r="B338" s="36" t="str">
        <f>IF(ISNONTEXT(deployment_raw[[#This Row],[Column2]]), "", deployment_raw[[#This Row],[Column2]])</f>
        <v/>
      </c>
      <c r="C338" s="36" t="str">
        <f>IF(ISNONTEXT(deployment_raw[[#This Row],[Column3]]), "", deployment_raw[[#This Row],[Column3]])</f>
        <v/>
      </c>
      <c r="D338" s="36" t="str">
        <f>IF(ISNONTEXT(deployment_raw[[#This Row],[Column4]]), "", deployment_raw[[#This Row],[Column4]])</f>
        <v/>
      </c>
      <c r="E338" s="37" t="str">
        <f>IF(ISNUMBER(deployment_raw[[#This Row],[Column5]]), deployment_raw[[#This Row],[Column5]],"")</f>
        <v/>
      </c>
      <c r="F338" s="94" t="str">
        <f>IF(ISNUMBER(deployment_raw[[#This Row],[Column6]]), (deployment_raw[[#This Row],[Column6]] * IF($E$2="Deployment",deployment_raw[[#This Row],[Column5]],1)),"")</f>
        <v/>
      </c>
      <c r="G338" s="95" t="str">
        <f>IF(ISNUMBER(deployment_raw[[#This Row],[Column7]]), (deployment_raw[[#This Row],[Column7]] * IF($E$2="Deployment",deployment_raw[[#This Row],[Column5]],1))/1048576,"")</f>
        <v/>
      </c>
      <c r="H338" s="95" t="str">
        <f>IF(ISNUMBER(deployment_raw[[#This Row],[Column8]]), (deployment_raw[[#This Row],[Column8]]  * IF($E$2="Deployment",deployment_raw[[#This Row],[Column5]],1)),"")</f>
        <v/>
      </c>
      <c r="I338" s="96" t="str">
        <f>IF(ISNUMBER(deployment_raw[[#This Row],[Column9]]), (deployment_raw[[#This Row],[Column9]] * IF($E$2="Deployment",deployment_raw[[#This Row],[Column5]],1))/1048576,"")</f>
        <v/>
      </c>
      <c r="J338" s="122" t="str">
        <f>IF(ISNUMBER(deployment_raw[[#This Row],[Column10]]), (MIN(IF(N338&lt;&gt;"",N338,9999999999999)*1.1,deployment_raw[[#This Row],[Column10]] * IF($E$2="Deployment",deployment_raw[[#This Row],[Column5]],1))),"")</f>
        <v/>
      </c>
      <c r="K338" s="123" t="str">
        <f>IF(ISNUMBER(deployment_raw[[#This Row],[Column11]]), (MIN(IF(O338&lt;&gt;"",O338,9999999999999)*1.1,deployment_raw[[#This Row],[Column11]] * IF($E$2="Deployment",deployment_raw[[#This Row],[Column5]],1)/1048576)),"")</f>
        <v/>
      </c>
      <c r="L338" s="124" t="str">
        <f>IF(ISNUMBER(deployment_raw[[#This Row],[Column8]]),IF(OR(deployment_raw[[#This Row],[Column5]] &lt;&gt; 0,$E$2 &lt;&gt; "Deployment"), MAX(J338, P338, R338, ($L$2 * IF($E$2="Deployment",deployment_raw[[#This Row],[Column5]],1)),IF(T338&lt;&gt;"",VALUE(T338) * IF($E$2="Deployment",deployment_raw[[#This Row],[Column5]],1),0)), 0),"")</f>
        <v/>
      </c>
      <c r="M338" s="125" t="str">
        <f>IF(ISNUMBER(deployment_raw[[#This Row],[Column9]]),IF(OR(deployment_raw[[#This Row],[Column5]] &lt;&gt; 0,$E$2&lt;&gt;"Deployment"), MAX(K338, Q338, S338, ($M$2 * IF($E$2="Deployment",deployment_raw[[#This Row],[Column5]],1)),IF(U338&lt;&gt;"",VALUE(U338) * IF($E$2="Deployment",deployment_raw[[#This Row],[Column5]],1),0)), 0),"")</f>
        <v/>
      </c>
      <c r="N338" s="166" t="str">
        <f>IF(ISNUMBER(deployment_raw[[#This Row],[Column14]]), deployment_raw[[#This Row],[Column14]]/IF(OR($E$2="Deployment",deployment_raw[[#This Row],[Column5]]=0),1,deployment_raw[[#This Row],[Column5]]),"")</f>
        <v/>
      </c>
      <c r="O338" s="167" t="str">
        <f>IF(ISNUMBER(deployment_raw[[#This Row],[Column15]]), deployment_raw[[#This Row],[Column15]]/IF(OR($E$2="Deployment",deployment_raw[[#This Row],[Column5]]=0),1,deployment_raw[[#This Row],[Column5]])/1048576,"")</f>
        <v/>
      </c>
      <c r="P338" s="168" t="str">
        <f>IF(ISNUMBER(deployment_raw[[#This Row],[Column12]]), (MIN(IF(N338&lt;&gt;"",N338,9999999999999)*1.1,deployment_raw[[#This Row],[Column12]] * IF($E$2="Deployment",deployment_raw[[#This Row],[Column5]],1))*(1+$P$2)),"")</f>
        <v/>
      </c>
      <c r="Q338" s="167" t="str">
        <f>IF(ISNUMBER(deployment_raw[[#This Row],[Column13]]), (MIN(IF(O338&lt;&gt;"",O338,9999999999999)*1.1,deployment_raw[[#This Row],[Column13]] * IF($E$2="Deployment",deployment_raw[[#This Row],[Column5]],1)*(1+$Q$2)/1048576)),"")</f>
        <v/>
      </c>
      <c r="R338" s="169" t="str">
        <f>IF(ISNUMBER(deployment_raw[[#This Row],[Column8]]), (H338  * IF(N338&lt;&gt;0,$R$2,1)),"")</f>
        <v/>
      </c>
      <c r="S338" s="170" t="str">
        <f>IF(ISNUMBER(deployment_raw[[#This Row],[Column8]]), (I338  * IF(O338&lt;&gt;0,$S$2,1)),"")</f>
        <v/>
      </c>
      <c r="T338" s="202" t="str">
        <f>IF(AND(A338&lt;&gt;"",_xlfn.IFNA(MATCH(A338,'dynamic resource application '!$A$2:$A$100, 0),0)&lt;&gt;0), H338/(IF($E$2="Deployment",E338,1)),"")</f>
        <v/>
      </c>
      <c r="U338" s="211" t="str">
        <f>IF(AND(A338&lt;&gt;"",_xlfn.IFNA(MATCH(A338,'dynamic resource application '!$A$2:$A$100, 0),0)&lt;&gt;0), I338/(IF($E$2="Deployment",E338,1)),"")</f>
        <v/>
      </c>
    </row>
    <row r="339" spans="1:21" ht="15.75" customHeight="1" x14ac:dyDescent="0.25">
      <c r="A339" s="35" t="str">
        <f>IF(ISNONTEXT(deployment_raw[[#This Row],[Column1]]), "", deployment_raw[[#This Row],[Column1]])</f>
        <v/>
      </c>
      <c r="B339" s="36" t="str">
        <f>IF(ISNONTEXT(deployment_raw[[#This Row],[Column2]]), "", deployment_raw[[#This Row],[Column2]])</f>
        <v/>
      </c>
      <c r="C339" s="36" t="str">
        <f>IF(ISNONTEXT(deployment_raw[[#This Row],[Column3]]), "", deployment_raw[[#This Row],[Column3]])</f>
        <v/>
      </c>
      <c r="D339" s="36" t="str">
        <f>IF(ISNONTEXT(deployment_raw[[#This Row],[Column4]]), "", deployment_raw[[#This Row],[Column4]])</f>
        <v/>
      </c>
      <c r="E339" s="37" t="str">
        <f>IF(ISNUMBER(deployment_raw[[#This Row],[Column5]]), deployment_raw[[#This Row],[Column5]],"")</f>
        <v/>
      </c>
      <c r="F339" s="94" t="str">
        <f>IF(ISNUMBER(deployment_raw[[#This Row],[Column6]]), (deployment_raw[[#This Row],[Column6]] * IF($E$2="Deployment",deployment_raw[[#This Row],[Column5]],1)),"")</f>
        <v/>
      </c>
      <c r="G339" s="95" t="str">
        <f>IF(ISNUMBER(deployment_raw[[#This Row],[Column7]]), (deployment_raw[[#This Row],[Column7]] * IF($E$2="Deployment",deployment_raw[[#This Row],[Column5]],1))/1048576,"")</f>
        <v/>
      </c>
      <c r="H339" s="95" t="str">
        <f>IF(ISNUMBER(deployment_raw[[#This Row],[Column8]]), (deployment_raw[[#This Row],[Column8]]  * IF($E$2="Deployment",deployment_raw[[#This Row],[Column5]],1)),"")</f>
        <v/>
      </c>
      <c r="I339" s="96" t="str">
        <f>IF(ISNUMBER(deployment_raw[[#This Row],[Column9]]), (deployment_raw[[#This Row],[Column9]] * IF($E$2="Deployment",deployment_raw[[#This Row],[Column5]],1))/1048576,"")</f>
        <v/>
      </c>
      <c r="J339" s="122" t="str">
        <f>IF(ISNUMBER(deployment_raw[[#This Row],[Column10]]), (MIN(IF(N339&lt;&gt;"",N339,9999999999999)*1.1,deployment_raw[[#This Row],[Column10]] * IF($E$2="Deployment",deployment_raw[[#This Row],[Column5]],1))),"")</f>
        <v/>
      </c>
      <c r="K339" s="123" t="str">
        <f>IF(ISNUMBER(deployment_raw[[#This Row],[Column11]]), (MIN(IF(O339&lt;&gt;"",O339,9999999999999)*1.1,deployment_raw[[#This Row],[Column11]] * IF($E$2="Deployment",deployment_raw[[#This Row],[Column5]],1)/1048576)),"")</f>
        <v/>
      </c>
      <c r="L339" s="124" t="str">
        <f>IF(ISNUMBER(deployment_raw[[#This Row],[Column8]]),IF(OR(deployment_raw[[#This Row],[Column5]] &lt;&gt; 0,$E$2 &lt;&gt; "Deployment"), MAX(J339, P339, R339, ($L$2 * IF($E$2="Deployment",deployment_raw[[#This Row],[Column5]],1)),IF(T339&lt;&gt;"",VALUE(T339) * IF($E$2="Deployment",deployment_raw[[#This Row],[Column5]],1),0)), 0),"")</f>
        <v/>
      </c>
      <c r="M339" s="125" t="str">
        <f>IF(ISNUMBER(deployment_raw[[#This Row],[Column9]]),IF(OR(deployment_raw[[#This Row],[Column5]] &lt;&gt; 0,$E$2&lt;&gt;"Deployment"), MAX(K339, Q339, S339, ($M$2 * IF($E$2="Deployment",deployment_raw[[#This Row],[Column5]],1)),IF(U339&lt;&gt;"",VALUE(U339) * IF($E$2="Deployment",deployment_raw[[#This Row],[Column5]],1),0)), 0),"")</f>
        <v/>
      </c>
      <c r="N339" s="166" t="str">
        <f>IF(ISNUMBER(deployment_raw[[#This Row],[Column14]]), deployment_raw[[#This Row],[Column14]]/IF(OR($E$2="Deployment",deployment_raw[[#This Row],[Column5]]=0),1,deployment_raw[[#This Row],[Column5]]),"")</f>
        <v/>
      </c>
      <c r="O339" s="167" t="str">
        <f>IF(ISNUMBER(deployment_raw[[#This Row],[Column15]]), deployment_raw[[#This Row],[Column15]]/IF(OR($E$2="Deployment",deployment_raw[[#This Row],[Column5]]=0),1,deployment_raw[[#This Row],[Column5]])/1048576,"")</f>
        <v/>
      </c>
      <c r="P339" s="168" t="str">
        <f>IF(ISNUMBER(deployment_raw[[#This Row],[Column12]]), (MIN(IF(N339&lt;&gt;"",N339,9999999999999)*1.1,deployment_raw[[#This Row],[Column12]] * IF($E$2="Deployment",deployment_raw[[#This Row],[Column5]],1))*(1+$P$2)),"")</f>
        <v/>
      </c>
      <c r="Q339" s="167" t="str">
        <f>IF(ISNUMBER(deployment_raw[[#This Row],[Column13]]), (MIN(IF(O339&lt;&gt;"",O339,9999999999999)*1.1,deployment_raw[[#This Row],[Column13]] * IF($E$2="Deployment",deployment_raw[[#This Row],[Column5]],1)*(1+$Q$2)/1048576)),"")</f>
        <v/>
      </c>
      <c r="R339" s="169" t="str">
        <f>IF(ISNUMBER(deployment_raw[[#This Row],[Column8]]), (H339  * IF(N339&lt;&gt;0,$R$2,1)),"")</f>
        <v/>
      </c>
      <c r="S339" s="170" t="str">
        <f>IF(ISNUMBER(deployment_raw[[#This Row],[Column8]]), (I339  * IF(O339&lt;&gt;0,$S$2,1)),"")</f>
        <v/>
      </c>
      <c r="T339" s="202" t="str">
        <f>IF(AND(A339&lt;&gt;"",_xlfn.IFNA(MATCH(A339,'dynamic resource application '!$A$2:$A$100, 0),0)&lt;&gt;0), H339/(IF($E$2="Deployment",E339,1)),"")</f>
        <v/>
      </c>
      <c r="U339" s="211" t="str">
        <f>IF(AND(A339&lt;&gt;"",_xlfn.IFNA(MATCH(A339,'dynamic resource application '!$A$2:$A$100, 0),0)&lt;&gt;0), I339/(IF($E$2="Deployment",E339,1)),"")</f>
        <v/>
      </c>
    </row>
    <row r="340" spans="1:21" ht="15.75" customHeight="1" x14ac:dyDescent="0.25">
      <c r="A340" s="35" t="str">
        <f>IF(ISNONTEXT(deployment_raw[[#This Row],[Column1]]), "", deployment_raw[[#This Row],[Column1]])</f>
        <v/>
      </c>
      <c r="B340" s="36" t="str">
        <f>IF(ISNONTEXT(deployment_raw[[#This Row],[Column2]]), "", deployment_raw[[#This Row],[Column2]])</f>
        <v/>
      </c>
      <c r="C340" s="36" t="str">
        <f>IF(ISNONTEXT(deployment_raw[[#This Row],[Column3]]), "", deployment_raw[[#This Row],[Column3]])</f>
        <v/>
      </c>
      <c r="D340" s="36" t="str">
        <f>IF(ISNONTEXT(deployment_raw[[#This Row],[Column4]]), "", deployment_raw[[#This Row],[Column4]])</f>
        <v/>
      </c>
      <c r="E340" s="37" t="str">
        <f>IF(ISNUMBER(deployment_raw[[#This Row],[Column5]]), deployment_raw[[#This Row],[Column5]],"")</f>
        <v/>
      </c>
      <c r="F340" s="94" t="str">
        <f>IF(ISNUMBER(deployment_raw[[#This Row],[Column6]]), (deployment_raw[[#This Row],[Column6]] * IF($E$2="Deployment",deployment_raw[[#This Row],[Column5]],1)),"")</f>
        <v/>
      </c>
      <c r="G340" s="95" t="str">
        <f>IF(ISNUMBER(deployment_raw[[#This Row],[Column7]]), (deployment_raw[[#This Row],[Column7]] * IF($E$2="Deployment",deployment_raw[[#This Row],[Column5]],1))/1048576,"")</f>
        <v/>
      </c>
      <c r="H340" s="95" t="str">
        <f>IF(ISNUMBER(deployment_raw[[#This Row],[Column8]]), (deployment_raw[[#This Row],[Column8]]  * IF($E$2="Deployment",deployment_raw[[#This Row],[Column5]],1)),"")</f>
        <v/>
      </c>
      <c r="I340" s="96" t="str">
        <f>IF(ISNUMBER(deployment_raw[[#This Row],[Column9]]), (deployment_raw[[#This Row],[Column9]] * IF($E$2="Deployment",deployment_raw[[#This Row],[Column5]],1))/1048576,"")</f>
        <v/>
      </c>
      <c r="J340" s="122" t="str">
        <f>IF(ISNUMBER(deployment_raw[[#This Row],[Column10]]), (MIN(IF(N340&lt;&gt;"",N340,9999999999999)*1.1,deployment_raw[[#This Row],[Column10]] * IF($E$2="Deployment",deployment_raw[[#This Row],[Column5]],1))),"")</f>
        <v/>
      </c>
      <c r="K340" s="123" t="str">
        <f>IF(ISNUMBER(deployment_raw[[#This Row],[Column11]]), (MIN(IF(O340&lt;&gt;"",O340,9999999999999)*1.1,deployment_raw[[#This Row],[Column11]] * IF($E$2="Deployment",deployment_raw[[#This Row],[Column5]],1)/1048576)),"")</f>
        <v/>
      </c>
      <c r="L340" s="124" t="str">
        <f>IF(ISNUMBER(deployment_raw[[#This Row],[Column8]]),IF(OR(deployment_raw[[#This Row],[Column5]] &lt;&gt; 0,$E$2 &lt;&gt; "Deployment"), MAX(J340, P340, R340, ($L$2 * IF($E$2="Deployment",deployment_raw[[#This Row],[Column5]],1)),IF(T340&lt;&gt;"",VALUE(T340) * IF($E$2="Deployment",deployment_raw[[#This Row],[Column5]],1),0)), 0),"")</f>
        <v/>
      </c>
      <c r="M340" s="125" t="str">
        <f>IF(ISNUMBER(deployment_raw[[#This Row],[Column9]]),IF(OR(deployment_raw[[#This Row],[Column5]] &lt;&gt; 0,$E$2&lt;&gt;"Deployment"), MAX(K340, Q340, S340, ($M$2 * IF($E$2="Deployment",deployment_raw[[#This Row],[Column5]],1)),IF(U340&lt;&gt;"",VALUE(U340) * IF($E$2="Deployment",deployment_raw[[#This Row],[Column5]],1),0)), 0),"")</f>
        <v/>
      </c>
      <c r="N340" s="166" t="str">
        <f>IF(ISNUMBER(deployment_raw[[#This Row],[Column14]]), deployment_raw[[#This Row],[Column14]]/IF(OR($E$2="Deployment",deployment_raw[[#This Row],[Column5]]=0),1,deployment_raw[[#This Row],[Column5]]),"")</f>
        <v/>
      </c>
      <c r="O340" s="167" t="str">
        <f>IF(ISNUMBER(deployment_raw[[#This Row],[Column15]]), deployment_raw[[#This Row],[Column15]]/IF(OR($E$2="Deployment",deployment_raw[[#This Row],[Column5]]=0),1,deployment_raw[[#This Row],[Column5]])/1048576,"")</f>
        <v/>
      </c>
      <c r="P340" s="168" t="str">
        <f>IF(ISNUMBER(deployment_raw[[#This Row],[Column12]]), (MIN(IF(N340&lt;&gt;"",N340,9999999999999)*1.1,deployment_raw[[#This Row],[Column12]] * IF($E$2="Deployment",deployment_raw[[#This Row],[Column5]],1))*(1+$P$2)),"")</f>
        <v/>
      </c>
      <c r="Q340" s="167" t="str">
        <f>IF(ISNUMBER(deployment_raw[[#This Row],[Column13]]), (MIN(IF(O340&lt;&gt;"",O340,9999999999999)*1.1,deployment_raw[[#This Row],[Column13]] * IF($E$2="Deployment",deployment_raw[[#This Row],[Column5]],1)*(1+$Q$2)/1048576)),"")</f>
        <v/>
      </c>
      <c r="R340" s="169" t="str">
        <f>IF(ISNUMBER(deployment_raw[[#This Row],[Column8]]), (H340  * IF(N340&lt;&gt;0,$R$2,1)),"")</f>
        <v/>
      </c>
      <c r="S340" s="170" t="str">
        <f>IF(ISNUMBER(deployment_raw[[#This Row],[Column8]]), (I340  * IF(O340&lt;&gt;0,$S$2,1)),"")</f>
        <v/>
      </c>
      <c r="T340" s="202" t="str">
        <f>IF(AND(A340&lt;&gt;"",_xlfn.IFNA(MATCH(A340,'dynamic resource application '!$A$2:$A$100, 0),0)&lt;&gt;0), H340/(IF($E$2="Deployment",E340,1)),"")</f>
        <v/>
      </c>
      <c r="U340" s="211" t="str">
        <f>IF(AND(A340&lt;&gt;"",_xlfn.IFNA(MATCH(A340,'dynamic resource application '!$A$2:$A$100, 0),0)&lt;&gt;0), I340/(IF($E$2="Deployment",E340,1)),"")</f>
        <v/>
      </c>
    </row>
    <row r="341" spans="1:21" ht="15.75" customHeight="1" x14ac:dyDescent="0.25">
      <c r="A341" s="35" t="str">
        <f>IF(ISNONTEXT(deployment_raw[[#This Row],[Column1]]), "", deployment_raw[[#This Row],[Column1]])</f>
        <v/>
      </c>
      <c r="B341" s="36" t="str">
        <f>IF(ISNONTEXT(deployment_raw[[#This Row],[Column2]]), "", deployment_raw[[#This Row],[Column2]])</f>
        <v/>
      </c>
      <c r="C341" s="36" t="str">
        <f>IF(ISNONTEXT(deployment_raw[[#This Row],[Column3]]), "", deployment_raw[[#This Row],[Column3]])</f>
        <v/>
      </c>
      <c r="D341" s="36" t="str">
        <f>IF(ISNONTEXT(deployment_raw[[#This Row],[Column4]]), "", deployment_raw[[#This Row],[Column4]])</f>
        <v/>
      </c>
      <c r="E341" s="37" t="str">
        <f>IF(ISNUMBER(deployment_raw[[#This Row],[Column5]]), deployment_raw[[#This Row],[Column5]],"")</f>
        <v/>
      </c>
      <c r="F341" s="94" t="str">
        <f>IF(ISNUMBER(deployment_raw[[#This Row],[Column6]]), (deployment_raw[[#This Row],[Column6]] * IF($E$2="Deployment",deployment_raw[[#This Row],[Column5]],1)),"")</f>
        <v/>
      </c>
      <c r="G341" s="95" t="str">
        <f>IF(ISNUMBER(deployment_raw[[#This Row],[Column7]]), (deployment_raw[[#This Row],[Column7]] * IF($E$2="Deployment",deployment_raw[[#This Row],[Column5]],1))/1048576,"")</f>
        <v/>
      </c>
      <c r="H341" s="95" t="str">
        <f>IF(ISNUMBER(deployment_raw[[#This Row],[Column8]]), (deployment_raw[[#This Row],[Column8]]  * IF($E$2="Deployment",deployment_raw[[#This Row],[Column5]],1)),"")</f>
        <v/>
      </c>
      <c r="I341" s="96" t="str">
        <f>IF(ISNUMBER(deployment_raw[[#This Row],[Column9]]), (deployment_raw[[#This Row],[Column9]] * IF($E$2="Deployment",deployment_raw[[#This Row],[Column5]],1))/1048576,"")</f>
        <v/>
      </c>
      <c r="J341" s="122" t="str">
        <f>IF(ISNUMBER(deployment_raw[[#This Row],[Column10]]), (MIN(IF(N341&lt;&gt;"",N341,9999999999999)*1.1,deployment_raw[[#This Row],[Column10]] * IF($E$2="Deployment",deployment_raw[[#This Row],[Column5]],1))),"")</f>
        <v/>
      </c>
      <c r="K341" s="123" t="str">
        <f>IF(ISNUMBER(deployment_raw[[#This Row],[Column11]]), (MIN(IF(O341&lt;&gt;"",O341,9999999999999)*1.1,deployment_raw[[#This Row],[Column11]] * IF($E$2="Deployment",deployment_raw[[#This Row],[Column5]],1)/1048576)),"")</f>
        <v/>
      </c>
      <c r="L341" s="124" t="str">
        <f>IF(ISNUMBER(deployment_raw[[#This Row],[Column8]]),IF(OR(deployment_raw[[#This Row],[Column5]] &lt;&gt; 0,$E$2 &lt;&gt; "Deployment"), MAX(J341, P341, R341, ($L$2 * IF($E$2="Deployment",deployment_raw[[#This Row],[Column5]],1)),IF(T341&lt;&gt;"",VALUE(T341) * IF($E$2="Deployment",deployment_raw[[#This Row],[Column5]],1),0)), 0),"")</f>
        <v/>
      </c>
      <c r="M341" s="125" t="str">
        <f>IF(ISNUMBER(deployment_raw[[#This Row],[Column9]]),IF(OR(deployment_raw[[#This Row],[Column5]] &lt;&gt; 0,$E$2&lt;&gt;"Deployment"), MAX(K341, Q341, S341, ($M$2 * IF($E$2="Deployment",deployment_raw[[#This Row],[Column5]],1)),IF(U341&lt;&gt;"",VALUE(U341) * IF($E$2="Deployment",deployment_raw[[#This Row],[Column5]],1),0)), 0),"")</f>
        <v/>
      </c>
      <c r="N341" s="166" t="str">
        <f>IF(ISNUMBER(deployment_raw[[#This Row],[Column14]]), deployment_raw[[#This Row],[Column14]]/IF(OR($E$2="Deployment",deployment_raw[[#This Row],[Column5]]=0),1,deployment_raw[[#This Row],[Column5]]),"")</f>
        <v/>
      </c>
      <c r="O341" s="167" t="str">
        <f>IF(ISNUMBER(deployment_raw[[#This Row],[Column15]]), deployment_raw[[#This Row],[Column15]]/IF(OR($E$2="Deployment",deployment_raw[[#This Row],[Column5]]=0),1,deployment_raw[[#This Row],[Column5]])/1048576,"")</f>
        <v/>
      </c>
      <c r="P341" s="168" t="str">
        <f>IF(ISNUMBER(deployment_raw[[#This Row],[Column12]]), (MIN(IF(N341&lt;&gt;"",N341,9999999999999)*1.1,deployment_raw[[#This Row],[Column12]] * IF($E$2="Deployment",deployment_raw[[#This Row],[Column5]],1))*(1+$P$2)),"")</f>
        <v/>
      </c>
      <c r="Q341" s="167" t="str">
        <f>IF(ISNUMBER(deployment_raw[[#This Row],[Column13]]), (MIN(IF(O341&lt;&gt;"",O341,9999999999999)*1.1,deployment_raw[[#This Row],[Column13]] * IF($E$2="Deployment",deployment_raw[[#This Row],[Column5]],1)*(1+$Q$2)/1048576)),"")</f>
        <v/>
      </c>
      <c r="R341" s="169" t="str">
        <f>IF(ISNUMBER(deployment_raw[[#This Row],[Column8]]), (H341  * IF(N341&lt;&gt;0,$R$2,1)),"")</f>
        <v/>
      </c>
      <c r="S341" s="170" t="str">
        <f>IF(ISNUMBER(deployment_raw[[#This Row],[Column8]]), (I341  * IF(O341&lt;&gt;0,$S$2,1)),"")</f>
        <v/>
      </c>
      <c r="T341" s="202" t="str">
        <f>IF(AND(A341&lt;&gt;"",_xlfn.IFNA(MATCH(A341,'dynamic resource application '!$A$2:$A$100, 0),0)&lt;&gt;0), H341/(IF($E$2="Deployment",E341,1)),"")</f>
        <v/>
      </c>
      <c r="U341" s="211" t="str">
        <f>IF(AND(A341&lt;&gt;"",_xlfn.IFNA(MATCH(A341,'dynamic resource application '!$A$2:$A$100, 0),0)&lt;&gt;0), I341/(IF($E$2="Deployment",E341,1)),"")</f>
        <v/>
      </c>
    </row>
    <row r="342" spans="1:21" ht="15.75" customHeight="1" x14ac:dyDescent="0.25">
      <c r="A342" s="35" t="str">
        <f>IF(ISNONTEXT(deployment_raw[[#This Row],[Column1]]), "", deployment_raw[[#This Row],[Column1]])</f>
        <v/>
      </c>
      <c r="B342" s="36" t="str">
        <f>IF(ISNONTEXT(deployment_raw[[#This Row],[Column2]]), "", deployment_raw[[#This Row],[Column2]])</f>
        <v/>
      </c>
      <c r="C342" s="36" t="str">
        <f>IF(ISNONTEXT(deployment_raw[[#This Row],[Column3]]), "", deployment_raw[[#This Row],[Column3]])</f>
        <v/>
      </c>
      <c r="D342" s="36" t="str">
        <f>IF(ISNONTEXT(deployment_raw[[#This Row],[Column4]]), "", deployment_raw[[#This Row],[Column4]])</f>
        <v/>
      </c>
      <c r="E342" s="37" t="str">
        <f>IF(ISNUMBER(deployment_raw[[#This Row],[Column5]]), deployment_raw[[#This Row],[Column5]],"")</f>
        <v/>
      </c>
      <c r="F342" s="94" t="str">
        <f>IF(ISNUMBER(deployment_raw[[#This Row],[Column6]]), (deployment_raw[[#This Row],[Column6]] * IF($E$2="Deployment",deployment_raw[[#This Row],[Column5]],1)),"")</f>
        <v/>
      </c>
      <c r="G342" s="95" t="str">
        <f>IF(ISNUMBER(deployment_raw[[#This Row],[Column7]]), (deployment_raw[[#This Row],[Column7]] * IF($E$2="Deployment",deployment_raw[[#This Row],[Column5]],1))/1048576,"")</f>
        <v/>
      </c>
      <c r="H342" s="95" t="str">
        <f>IF(ISNUMBER(deployment_raw[[#This Row],[Column8]]), (deployment_raw[[#This Row],[Column8]]  * IF($E$2="Deployment",deployment_raw[[#This Row],[Column5]],1)),"")</f>
        <v/>
      </c>
      <c r="I342" s="96" t="str">
        <f>IF(ISNUMBER(deployment_raw[[#This Row],[Column9]]), (deployment_raw[[#This Row],[Column9]] * IF($E$2="Deployment",deployment_raw[[#This Row],[Column5]],1))/1048576,"")</f>
        <v/>
      </c>
      <c r="J342" s="122" t="str">
        <f>IF(ISNUMBER(deployment_raw[[#This Row],[Column10]]), (MIN(IF(N342&lt;&gt;"",N342,9999999999999)*1.1,deployment_raw[[#This Row],[Column10]] * IF($E$2="Deployment",deployment_raw[[#This Row],[Column5]],1))),"")</f>
        <v/>
      </c>
      <c r="K342" s="123" t="str">
        <f>IF(ISNUMBER(deployment_raw[[#This Row],[Column11]]), (MIN(IF(O342&lt;&gt;"",O342,9999999999999)*1.1,deployment_raw[[#This Row],[Column11]] * IF($E$2="Deployment",deployment_raw[[#This Row],[Column5]],1)/1048576)),"")</f>
        <v/>
      </c>
      <c r="L342" s="124" t="str">
        <f>IF(ISNUMBER(deployment_raw[[#This Row],[Column8]]),IF(OR(deployment_raw[[#This Row],[Column5]] &lt;&gt; 0,$E$2 &lt;&gt; "Deployment"), MAX(J342, P342, R342, ($L$2 * IF($E$2="Deployment",deployment_raw[[#This Row],[Column5]],1)),IF(T342&lt;&gt;"",VALUE(T342) * IF($E$2="Deployment",deployment_raw[[#This Row],[Column5]],1),0)), 0),"")</f>
        <v/>
      </c>
      <c r="M342" s="125" t="str">
        <f>IF(ISNUMBER(deployment_raw[[#This Row],[Column9]]),IF(OR(deployment_raw[[#This Row],[Column5]] &lt;&gt; 0,$E$2&lt;&gt;"Deployment"), MAX(K342, Q342, S342, ($M$2 * IF($E$2="Deployment",deployment_raw[[#This Row],[Column5]],1)),IF(U342&lt;&gt;"",VALUE(U342) * IF($E$2="Deployment",deployment_raw[[#This Row],[Column5]],1),0)), 0),"")</f>
        <v/>
      </c>
      <c r="N342" s="166" t="str">
        <f>IF(ISNUMBER(deployment_raw[[#This Row],[Column14]]), deployment_raw[[#This Row],[Column14]]/IF(OR($E$2="Deployment",deployment_raw[[#This Row],[Column5]]=0),1,deployment_raw[[#This Row],[Column5]]),"")</f>
        <v/>
      </c>
      <c r="O342" s="167" t="str">
        <f>IF(ISNUMBER(deployment_raw[[#This Row],[Column15]]), deployment_raw[[#This Row],[Column15]]/IF(OR($E$2="Deployment",deployment_raw[[#This Row],[Column5]]=0),1,deployment_raw[[#This Row],[Column5]])/1048576,"")</f>
        <v/>
      </c>
      <c r="P342" s="168" t="str">
        <f>IF(ISNUMBER(deployment_raw[[#This Row],[Column12]]), (MIN(IF(N342&lt;&gt;"",N342,9999999999999)*1.1,deployment_raw[[#This Row],[Column12]] * IF($E$2="Deployment",deployment_raw[[#This Row],[Column5]],1))*(1+$P$2)),"")</f>
        <v/>
      </c>
      <c r="Q342" s="167" t="str">
        <f>IF(ISNUMBER(deployment_raw[[#This Row],[Column13]]), (MIN(IF(O342&lt;&gt;"",O342,9999999999999)*1.1,deployment_raw[[#This Row],[Column13]] * IF($E$2="Deployment",deployment_raw[[#This Row],[Column5]],1)*(1+$Q$2)/1048576)),"")</f>
        <v/>
      </c>
      <c r="R342" s="169" t="str">
        <f>IF(ISNUMBER(deployment_raw[[#This Row],[Column8]]), (H342  * IF(N342&lt;&gt;0,$R$2,1)),"")</f>
        <v/>
      </c>
      <c r="S342" s="170" t="str">
        <f>IF(ISNUMBER(deployment_raw[[#This Row],[Column8]]), (I342  * IF(O342&lt;&gt;0,$S$2,1)),"")</f>
        <v/>
      </c>
      <c r="T342" s="202" t="str">
        <f>IF(AND(A342&lt;&gt;"",_xlfn.IFNA(MATCH(A342,'dynamic resource application '!$A$2:$A$100, 0),0)&lt;&gt;0), H342/(IF($E$2="Deployment",E342,1)),"")</f>
        <v/>
      </c>
      <c r="U342" s="211" t="str">
        <f>IF(AND(A342&lt;&gt;"",_xlfn.IFNA(MATCH(A342,'dynamic resource application '!$A$2:$A$100, 0),0)&lt;&gt;0), I342/(IF($E$2="Deployment",E342,1)),"")</f>
        <v/>
      </c>
    </row>
    <row r="343" spans="1:21" ht="15.75" customHeight="1" x14ac:dyDescent="0.25">
      <c r="A343" s="35" t="str">
        <f>IF(ISNONTEXT(deployment_raw[[#This Row],[Column1]]), "", deployment_raw[[#This Row],[Column1]])</f>
        <v/>
      </c>
      <c r="B343" s="36" t="str">
        <f>IF(ISNONTEXT(deployment_raw[[#This Row],[Column2]]), "", deployment_raw[[#This Row],[Column2]])</f>
        <v/>
      </c>
      <c r="C343" s="36" t="str">
        <f>IF(ISNONTEXT(deployment_raw[[#This Row],[Column3]]), "", deployment_raw[[#This Row],[Column3]])</f>
        <v/>
      </c>
      <c r="D343" s="36" t="str">
        <f>IF(ISNONTEXT(deployment_raw[[#This Row],[Column4]]), "", deployment_raw[[#This Row],[Column4]])</f>
        <v/>
      </c>
      <c r="E343" s="37" t="str">
        <f>IF(ISNUMBER(deployment_raw[[#This Row],[Column5]]), deployment_raw[[#This Row],[Column5]],"")</f>
        <v/>
      </c>
      <c r="F343" s="94" t="str">
        <f>IF(ISNUMBER(deployment_raw[[#This Row],[Column6]]), (deployment_raw[[#This Row],[Column6]] * IF($E$2="Deployment",deployment_raw[[#This Row],[Column5]],1)),"")</f>
        <v/>
      </c>
      <c r="G343" s="95" t="str">
        <f>IF(ISNUMBER(deployment_raw[[#This Row],[Column7]]), (deployment_raw[[#This Row],[Column7]] * IF($E$2="Deployment",deployment_raw[[#This Row],[Column5]],1))/1048576,"")</f>
        <v/>
      </c>
      <c r="H343" s="95" t="str">
        <f>IF(ISNUMBER(deployment_raw[[#This Row],[Column8]]), (deployment_raw[[#This Row],[Column8]]  * IF($E$2="Deployment",deployment_raw[[#This Row],[Column5]],1)),"")</f>
        <v/>
      </c>
      <c r="I343" s="96" t="str">
        <f>IF(ISNUMBER(deployment_raw[[#This Row],[Column9]]), (deployment_raw[[#This Row],[Column9]] * IF($E$2="Deployment",deployment_raw[[#This Row],[Column5]],1))/1048576,"")</f>
        <v/>
      </c>
      <c r="J343" s="122" t="str">
        <f>IF(ISNUMBER(deployment_raw[[#This Row],[Column10]]), (MIN(IF(N343&lt;&gt;"",N343,9999999999999)*1.1,deployment_raw[[#This Row],[Column10]] * IF($E$2="Deployment",deployment_raw[[#This Row],[Column5]],1))),"")</f>
        <v/>
      </c>
      <c r="K343" s="123" t="str">
        <f>IF(ISNUMBER(deployment_raw[[#This Row],[Column11]]), (MIN(IF(O343&lt;&gt;"",O343,9999999999999)*1.1,deployment_raw[[#This Row],[Column11]] * IF($E$2="Deployment",deployment_raw[[#This Row],[Column5]],1)/1048576)),"")</f>
        <v/>
      </c>
      <c r="L343" s="124" t="str">
        <f>IF(ISNUMBER(deployment_raw[[#This Row],[Column8]]),IF(OR(deployment_raw[[#This Row],[Column5]] &lt;&gt; 0,$E$2 &lt;&gt; "Deployment"), MAX(J343, P343, R343, ($L$2 * IF($E$2="Deployment",deployment_raw[[#This Row],[Column5]],1)),IF(T343&lt;&gt;"",VALUE(T343) * IF($E$2="Deployment",deployment_raw[[#This Row],[Column5]],1),0)), 0),"")</f>
        <v/>
      </c>
      <c r="M343" s="125" t="str">
        <f>IF(ISNUMBER(deployment_raw[[#This Row],[Column9]]),IF(OR(deployment_raw[[#This Row],[Column5]] &lt;&gt; 0,$E$2&lt;&gt;"Deployment"), MAX(K343, Q343, S343, ($M$2 * IF($E$2="Deployment",deployment_raw[[#This Row],[Column5]],1)),IF(U343&lt;&gt;"",VALUE(U343) * IF($E$2="Deployment",deployment_raw[[#This Row],[Column5]],1),0)), 0),"")</f>
        <v/>
      </c>
      <c r="N343" s="166" t="str">
        <f>IF(ISNUMBER(deployment_raw[[#This Row],[Column14]]), deployment_raw[[#This Row],[Column14]]/IF(OR($E$2="Deployment",deployment_raw[[#This Row],[Column5]]=0),1,deployment_raw[[#This Row],[Column5]]),"")</f>
        <v/>
      </c>
      <c r="O343" s="167" t="str">
        <f>IF(ISNUMBER(deployment_raw[[#This Row],[Column15]]), deployment_raw[[#This Row],[Column15]]/IF(OR($E$2="Deployment",deployment_raw[[#This Row],[Column5]]=0),1,deployment_raw[[#This Row],[Column5]])/1048576,"")</f>
        <v/>
      </c>
      <c r="P343" s="168" t="str">
        <f>IF(ISNUMBER(deployment_raw[[#This Row],[Column12]]), (MIN(IF(N343&lt;&gt;"",N343,9999999999999)*1.1,deployment_raw[[#This Row],[Column12]] * IF($E$2="Deployment",deployment_raw[[#This Row],[Column5]],1))*(1+$P$2)),"")</f>
        <v/>
      </c>
      <c r="Q343" s="167" t="str">
        <f>IF(ISNUMBER(deployment_raw[[#This Row],[Column13]]), (MIN(IF(O343&lt;&gt;"",O343,9999999999999)*1.1,deployment_raw[[#This Row],[Column13]] * IF($E$2="Deployment",deployment_raw[[#This Row],[Column5]],1)*(1+$Q$2)/1048576)),"")</f>
        <v/>
      </c>
      <c r="R343" s="169" t="str">
        <f>IF(ISNUMBER(deployment_raw[[#This Row],[Column8]]), (H343  * IF(N343&lt;&gt;0,$R$2,1)),"")</f>
        <v/>
      </c>
      <c r="S343" s="170" t="str">
        <f>IF(ISNUMBER(deployment_raw[[#This Row],[Column8]]), (I343  * IF(O343&lt;&gt;0,$S$2,1)),"")</f>
        <v/>
      </c>
      <c r="T343" s="202" t="str">
        <f>IF(AND(A343&lt;&gt;"",_xlfn.IFNA(MATCH(A343,'dynamic resource application '!$A$2:$A$100, 0),0)&lt;&gt;0), H343/(IF($E$2="Deployment",E343,1)),"")</f>
        <v/>
      </c>
      <c r="U343" s="211" t="str">
        <f>IF(AND(A343&lt;&gt;"",_xlfn.IFNA(MATCH(A343,'dynamic resource application '!$A$2:$A$100, 0),0)&lt;&gt;0), I343/(IF($E$2="Deployment",E343,1)),"")</f>
        <v/>
      </c>
    </row>
    <row r="344" spans="1:21" ht="15.75" customHeight="1" x14ac:dyDescent="0.25">
      <c r="A344" s="35" t="str">
        <f>IF(ISNONTEXT(deployment_raw[[#This Row],[Column1]]), "", deployment_raw[[#This Row],[Column1]])</f>
        <v/>
      </c>
      <c r="B344" s="36" t="str">
        <f>IF(ISNONTEXT(deployment_raw[[#This Row],[Column2]]), "", deployment_raw[[#This Row],[Column2]])</f>
        <v/>
      </c>
      <c r="C344" s="36" t="str">
        <f>IF(ISNONTEXT(deployment_raw[[#This Row],[Column3]]), "", deployment_raw[[#This Row],[Column3]])</f>
        <v/>
      </c>
      <c r="D344" s="36" t="str">
        <f>IF(ISNONTEXT(deployment_raw[[#This Row],[Column4]]), "", deployment_raw[[#This Row],[Column4]])</f>
        <v/>
      </c>
      <c r="E344" s="37" t="str">
        <f>IF(ISNUMBER(deployment_raw[[#This Row],[Column5]]), deployment_raw[[#This Row],[Column5]],"")</f>
        <v/>
      </c>
      <c r="F344" s="94" t="str">
        <f>IF(ISNUMBER(deployment_raw[[#This Row],[Column6]]), (deployment_raw[[#This Row],[Column6]] * IF($E$2="Deployment",deployment_raw[[#This Row],[Column5]],1)),"")</f>
        <v/>
      </c>
      <c r="G344" s="95" t="str">
        <f>IF(ISNUMBER(deployment_raw[[#This Row],[Column7]]), (deployment_raw[[#This Row],[Column7]] * IF($E$2="Deployment",deployment_raw[[#This Row],[Column5]],1))/1048576,"")</f>
        <v/>
      </c>
      <c r="H344" s="95" t="str">
        <f>IF(ISNUMBER(deployment_raw[[#This Row],[Column8]]), (deployment_raw[[#This Row],[Column8]]  * IF($E$2="Deployment",deployment_raw[[#This Row],[Column5]],1)),"")</f>
        <v/>
      </c>
      <c r="I344" s="96" t="str">
        <f>IF(ISNUMBER(deployment_raw[[#This Row],[Column9]]), (deployment_raw[[#This Row],[Column9]] * IF($E$2="Deployment",deployment_raw[[#This Row],[Column5]],1))/1048576,"")</f>
        <v/>
      </c>
      <c r="J344" s="122" t="str">
        <f>IF(ISNUMBER(deployment_raw[[#This Row],[Column10]]), (MIN(IF(N344&lt;&gt;"",N344,9999999999999)*1.1,deployment_raw[[#This Row],[Column10]] * IF($E$2="Deployment",deployment_raw[[#This Row],[Column5]],1))),"")</f>
        <v/>
      </c>
      <c r="K344" s="123" t="str">
        <f>IF(ISNUMBER(deployment_raw[[#This Row],[Column11]]), (MIN(IF(O344&lt;&gt;"",O344,9999999999999)*1.1,deployment_raw[[#This Row],[Column11]] * IF($E$2="Deployment",deployment_raw[[#This Row],[Column5]],1)/1048576)),"")</f>
        <v/>
      </c>
      <c r="L344" s="124" t="str">
        <f>IF(ISNUMBER(deployment_raw[[#This Row],[Column8]]),IF(OR(deployment_raw[[#This Row],[Column5]] &lt;&gt; 0,$E$2 &lt;&gt; "Deployment"), MAX(J344, P344, R344, ($L$2 * IF($E$2="Deployment",deployment_raw[[#This Row],[Column5]],1)),IF(T344&lt;&gt;"",VALUE(T344) * IF($E$2="Deployment",deployment_raw[[#This Row],[Column5]],1),0)), 0),"")</f>
        <v/>
      </c>
      <c r="M344" s="125" t="str">
        <f>IF(ISNUMBER(deployment_raw[[#This Row],[Column9]]),IF(OR(deployment_raw[[#This Row],[Column5]] &lt;&gt; 0,$E$2&lt;&gt;"Deployment"), MAX(K344, Q344, S344, ($M$2 * IF($E$2="Deployment",deployment_raw[[#This Row],[Column5]],1)),IF(U344&lt;&gt;"",VALUE(U344) * IF($E$2="Deployment",deployment_raw[[#This Row],[Column5]],1),0)), 0),"")</f>
        <v/>
      </c>
      <c r="N344" s="166" t="str">
        <f>IF(ISNUMBER(deployment_raw[[#This Row],[Column14]]), deployment_raw[[#This Row],[Column14]]/IF(OR($E$2="Deployment",deployment_raw[[#This Row],[Column5]]=0),1,deployment_raw[[#This Row],[Column5]]),"")</f>
        <v/>
      </c>
      <c r="O344" s="167" t="str">
        <f>IF(ISNUMBER(deployment_raw[[#This Row],[Column15]]), deployment_raw[[#This Row],[Column15]]/IF(OR($E$2="Deployment",deployment_raw[[#This Row],[Column5]]=0),1,deployment_raw[[#This Row],[Column5]])/1048576,"")</f>
        <v/>
      </c>
      <c r="P344" s="168" t="str">
        <f>IF(ISNUMBER(deployment_raw[[#This Row],[Column12]]), (MIN(IF(N344&lt;&gt;"",N344,9999999999999)*1.1,deployment_raw[[#This Row],[Column12]] * IF($E$2="Deployment",deployment_raw[[#This Row],[Column5]],1))*(1+$P$2)),"")</f>
        <v/>
      </c>
      <c r="Q344" s="167" t="str">
        <f>IF(ISNUMBER(deployment_raw[[#This Row],[Column13]]), (MIN(IF(O344&lt;&gt;"",O344,9999999999999)*1.1,deployment_raw[[#This Row],[Column13]] * IF($E$2="Deployment",deployment_raw[[#This Row],[Column5]],1)*(1+$Q$2)/1048576)),"")</f>
        <v/>
      </c>
      <c r="R344" s="169" t="str">
        <f>IF(ISNUMBER(deployment_raw[[#This Row],[Column8]]), (H344  * IF(N344&lt;&gt;0,$R$2,1)),"")</f>
        <v/>
      </c>
      <c r="S344" s="170" t="str">
        <f>IF(ISNUMBER(deployment_raw[[#This Row],[Column8]]), (I344  * IF(O344&lt;&gt;0,$S$2,1)),"")</f>
        <v/>
      </c>
      <c r="T344" s="202" t="str">
        <f>IF(AND(A344&lt;&gt;"",_xlfn.IFNA(MATCH(A344,'dynamic resource application '!$A$2:$A$100, 0),0)&lt;&gt;0), H344/(IF($E$2="Deployment",E344,1)),"")</f>
        <v/>
      </c>
      <c r="U344" s="211" t="str">
        <f>IF(AND(A344&lt;&gt;"",_xlfn.IFNA(MATCH(A344,'dynamic resource application '!$A$2:$A$100, 0),0)&lt;&gt;0), I344/(IF($E$2="Deployment",E344,1)),"")</f>
        <v/>
      </c>
    </row>
    <row r="345" spans="1:21" ht="15.75" customHeight="1" x14ac:dyDescent="0.25">
      <c r="A345" s="35" t="str">
        <f>IF(ISNONTEXT(deployment_raw[[#This Row],[Column1]]), "", deployment_raw[[#This Row],[Column1]])</f>
        <v/>
      </c>
      <c r="B345" s="36" t="str">
        <f>IF(ISNONTEXT(deployment_raw[[#This Row],[Column2]]), "", deployment_raw[[#This Row],[Column2]])</f>
        <v/>
      </c>
      <c r="C345" s="36" t="str">
        <f>IF(ISNONTEXT(deployment_raw[[#This Row],[Column3]]), "", deployment_raw[[#This Row],[Column3]])</f>
        <v/>
      </c>
      <c r="D345" s="36" t="str">
        <f>IF(ISNONTEXT(deployment_raw[[#This Row],[Column4]]), "", deployment_raw[[#This Row],[Column4]])</f>
        <v/>
      </c>
      <c r="E345" s="37" t="str">
        <f>IF(ISNUMBER(deployment_raw[[#This Row],[Column5]]), deployment_raw[[#This Row],[Column5]],"")</f>
        <v/>
      </c>
      <c r="F345" s="94" t="str">
        <f>IF(ISNUMBER(deployment_raw[[#This Row],[Column6]]), (deployment_raw[[#This Row],[Column6]] * IF($E$2="Deployment",deployment_raw[[#This Row],[Column5]],1)),"")</f>
        <v/>
      </c>
      <c r="G345" s="95" t="str">
        <f>IF(ISNUMBER(deployment_raw[[#This Row],[Column7]]), (deployment_raw[[#This Row],[Column7]] * IF($E$2="Deployment",deployment_raw[[#This Row],[Column5]],1))/1048576,"")</f>
        <v/>
      </c>
      <c r="H345" s="95" t="str">
        <f>IF(ISNUMBER(deployment_raw[[#This Row],[Column8]]), (deployment_raw[[#This Row],[Column8]]  * IF($E$2="Deployment",deployment_raw[[#This Row],[Column5]],1)),"")</f>
        <v/>
      </c>
      <c r="I345" s="96" t="str">
        <f>IF(ISNUMBER(deployment_raw[[#This Row],[Column9]]), (deployment_raw[[#This Row],[Column9]] * IF($E$2="Deployment",deployment_raw[[#This Row],[Column5]],1))/1048576,"")</f>
        <v/>
      </c>
      <c r="J345" s="122" t="str">
        <f>IF(ISNUMBER(deployment_raw[[#This Row],[Column10]]), (MIN(IF(N345&lt;&gt;"",N345,9999999999999)*1.1,deployment_raw[[#This Row],[Column10]] * IF($E$2="Deployment",deployment_raw[[#This Row],[Column5]],1))),"")</f>
        <v/>
      </c>
      <c r="K345" s="123" t="str">
        <f>IF(ISNUMBER(deployment_raw[[#This Row],[Column11]]), (MIN(IF(O345&lt;&gt;"",O345,9999999999999)*1.1,deployment_raw[[#This Row],[Column11]] * IF($E$2="Deployment",deployment_raw[[#This Row],[Column5]],1)/1048576)),"")</f>
        <v/>
      </c>
      <c r="L345" s="124" t="str">
        <f>IF(ISNUMBER(deployment_raw[[#This Row],[Column8]]),IF(OR(deployment_raw[[#This Row],[Column5]] &lt;&gt; 0,$E$2 &lt;&gt; "Deployment"), MAX(J345, P345, R345, ($L$2 * IF($E$2="Deployment",deployment_raw[[#This Row],[Column5]],1)),IF(T345&lt;&gt;"",VALUE(T345) * IF($E$2="Deployment",deployment_raw[[#This Row],[Column5]],1),0)), 0),"")</f>
        <v/>
      </c>
      <c r="M345" s="125" t="str">
        <f>IF(ISNUMBER(deployment_raw[[#This Row],[Column9]]),IF(OR(deployment_raw[[#This Row],[Column5]] &lt;&gt; 0,$E$2&lt;&gt;"Deployment"), MAX(K345, Q345, S345, ($M$2 * IF($E$2="Deployment",deployment_raw[[#This Row],[Column5]],1)),IF(U345&lt;&gt;"",VALUE(U345) * IF($E$2="Deployment",deployment_raw[[#This Row],[Column5]],1),0)), 0),"")</f>
        <v/>
      </c>
      <c r="N345" s="166" t="str">
        <f>IF(ISNUMBER(deployment_raw[[#This Row],[Column14]]), deployment_raw[[#This Row],[Column14]]/IF(OR($E$2="Deployment",deployment_raw[[#This Row],[Column5]]=0),1,deployment_raw[[#This Row],[Column5]]),"")</f>
        <v/>
      </c>
      <c r="O345" s="167" t="str">
        <f>IF(ISNUMBER(deployment_raw[[#This Row],[Column15]]), deployment_raw[[#This Row],[Column15]]/IF(OR($E$2="Deployment",deployment_raw[[#This Row],[Column5]]=0),1,deployment_raw[[#This Row],[Column5]])/1048576,"")</f>
        <v/>
      </c>
      <c r="P345" s="168" t="str">
        <f>IF(ISNUMBER(deployment_raw[[#This Row],[Column12]]), (MIN(IF(N345&lt;&gt;"",N345,9999999999999)*1.1,deployment_raw[[#This Row],[Column12]] * IF($E$2="Deployment",deployment_raw[[#This Row],[Column5]],1))*(1+$P$2)),"")</f>
        <v/>
      </c>
      <c r="Q345" s="167" t="str">
        <f>IF(ISNUMBER(deployment_raw[[#This Row],[Column13]]), (MIN(IF(O345&lt;&gt;"",O345,9999999999999)*1.1,deployment_raw[[#This Row],[Column13]] * IF($E$2="Deployment",deployment_raw[[#This Row],[Column5]],1)*(1+$Q$2)/1048576)),"")</f>
        <v/>
      </c>
      <c r="R345" s="169" t="str">
        <f>IF(ISNUMBER(deployment_raw[[#This Row],[Column8]]), (H345  * IF(N345&lt;&gt;0,$R$2,1)),"")</f>
        <v/>
      </c>
      <c r="S345" s="170" t="str">
        <f>IF(ISNUMBER(deployment_raw[[#This Row],[Column8]]), (I345  * IF(O345&lt;&gt;0,$S$2,1)),"")</f>
        <v/>
      </c>
      <c r="T345" s="202" t="str">
        <f>IF(AND(A345&lt;&gt;"",_xlfn.IFNA(MATCH(A345,'dynamic resource application '!$A$2:$A$100, 0),0)&lt;&gt;0), H345/(IF($E$2="Deployment",E345,1)),"")</f>
        <v/>
      </c>
      <c r="U345" s="211" t="str">
        <f>IF(AND(A345&lt;&gt;"",_xlfn.IFNA(MATCH(A345,'dynamic resource application '!$A$2:$A$100, 0),0)&lt;&gt;0), I345/(IF($E$2="Deployment",E345,1)),"")</f>
        <v/>
      </c>
    </row>
    <row r="346" spans="1:21" ht="15.75" customHeight="1" x14ac:dyDescent="0.25">
      <c r="A346" s="35" t="str">
        <f>IF(ISNONTEXT(deployment_raw[[#This Row],[Column1]]), "", deployment_raw[[#This Row],[Column1]])</f>
        <v/>
      </c>
      <c r="B346" s="36" t="str">
        <f>IF(ISNONTEXT(deployment_raw[[#This Row],[Column2]]), "", deployment_raw[[#This Row],[Column2]])</f>
        <v/>
      </c>
      <c r="C346" s="36" t="str">
        <f>IF(ISNONTEXT(deployment_raw[[#This Row],[Column3]]), "", deployment_raw[[#This Row],[Column3]])</f>
        <v/>
      </c>
      <c r="D346" s="36" t="str">
        <f>IF(ISNONTEXT(deployment_raw[[#This Row],[Column4]]), "", deployment_raw[[#This Row],[Column4]])</f>
        <v/>
      </c>
      <c r="E346" s="37" t="str">
        <f>IF(ISNUMBER(deployment_raw[[#This Row],[Column5]]), deployment_raw[[#This Row],[Column5]],"")</f>
        <v/>
      </c>
      <c r="F346" s="94" t="str">
        <f>IF(ISNUMBER(deployment_raw[[#This Row],[Column6]]), (deployment_raw[[#This Row],[Column6]] * IF($E$2="Deployment",deployment_raw[[#This Row],[Column5]],1)),"")</f>
        <v/>
      </c>
      <c r="G346" s="95" t="str">
        <f>IF(ISNUMBER(deployment_raw[[#This Row],[Column7]]), (deployment_raw[[#This Row],[Column7]] * IF($E$2="Deployment",deployment_raw[[#This Row],[Column5]],1))/1048576,"")</f>
        <v/>
      </c>
      <c r="H346" s="95" t="str">
        <f>IF(ISNUMBER(deployment_raw[[#This Row],[Column8]]), (deployment_raw[[#This Row],[Column8]]  * IF($E$2="Deployment",deployment_raw[[#This Row],[Column5]],1)),"")</f>
        <v/>
      </c>
      <c r="I346" s="96" t="str">
        <f>IF(ISNUMBER(deployment_raw[[#This Row],[Column9]]), (deployment_raw[[#This Row],[Column9]] * IF($E$2="Deployment",deployment_raw[[#This Row],[Column5]],1))/1048576,"")</f>
        <v/>
      </c>
      <c r="J346" s="122" t="str">
        <f>IF(ISNUMBER(deployment_raw[[#This Row],[Column10]]), (MIN(IF(N346&lt;&gt;"",N346,9999999999999)*1.1,deployment_raw[[#This Row],[Column10]] * IF($E$2="Deployment",deployment_raw[[#This Row],[Column5]],1))),"")</f>
        <v/>
      </c>
      <c r="K346" s="123" t="str">
        <f>IF(ISNUMBER(deployment_raw[[#This Row],[Column11]]), (MIN(IF(O346&lt;&gt;"",O346,9999999999999)*1.1,deployment_raw[[#This Row],[Column11]] * IF($E$2="Deployment",deployment_raw[[#This Row],[Column5]],1)/1048576)),"")</f>
        <v/>
      </c>
      <c r="L346" s="124" t="str">
        <f>IF(ISNUMBER(deployment_raw[[#This Row],[Column8]]),IF(OR(deployment_raw[[#This Row],[Column5]] &lt;&gt; 0,$E$2 &lt;&gt; "Deployment"), MAX(J346, P346, R346, ($L$2 * IF($E$2="Deployment",deployment_raw[[#This Row],[Column5]],1)),IF(T346&lt;&gt;"",VALUE(T346) * IF($E$2="Deployment",deployment_raw[[#This Row],[Column5]],1),0)), 0),"")</f>
        <v/>
      </c>
      <c r="M346" s="125" t="str">
        <f>IF(ISNUMBER(deployment_raw[[#This Row],[Column9]]),IF(OR(deployment_raw[[#This Row],[Column5]] &lt;&gt; 0,$E$2&lt;&gt;"Deployment"), MAX(K346, Q346, S346, ($M$2 * IF($E$2="Deployment",deployment_raw[[#This Row],[Column5]],1)),IF(U346&lt;&gt;"",VALUE(U346) * IF($E$2="Deployment",deployment_raw[[#This Row],[Column5]],1),0)), 0),"")</f>
        <v/>
      </c>
      <c r="N346" s="166" t="str">
        <f>IF(ISNUMBER(deployment_raw[[#This Row],[Column14]]), deployment_raw[[#This Row],[Column14]]/IF(OR($E$2="Deployment",deployment_raw[[#This Row],[Column5]]=0),1,deployment_raw[[#This Row],[Column5]]),"")</f>
        <v/>
      </c>
      <c r="O346" s="167" t="str">
        <f>IF(ISNUMBER(deployment_raw[[#This Row],[Column15]]), deployment_raw[[#This Row],[Column15]]/IF(OR($E$2="Deployment",deployment_raw[[#This Row],[Column5]]=0),1,deployment_raw[[#This Row],[Column5]])/1048576,"")</f>
        <v/>
      </c>
      <c r="P346" s="168" t="str">
        <f>IF(ISNUMBER(deployment_raw[[#This Row],[Column12]]), (MIN(IF(N346&lt;&gt;"",N346,9999999999999)*1.1,deployment_raw[[#This Row],[Column12]] * IF($E$2="Deployment",deployment_raw[[#This Row],[Column5]],1))*(1+$P$2)),"")</f>
        <v/>
      </c>
      <c r="Q346" s="167" t="str">
        <f>IF(ISNUMBER(deployment_raw[[#This Row],[Column13]]), (MIN(IF(O346&lt;&gt;"",O346,9999999999999)*1.1,deployment_raw[[#This Row],[Column13]] * IF($E$2="Deployment",deployment_raw[[#This Row],[Column5]],1)*(1+$Q$2)/1048576)),"")</f>
        <v/>
      </c>
      <c r="R346" s="169" t="str">
        <f>IF(ISNUMBER(deployment_raw[[#This Row],[Column8]]), (H346  * IF(N346&lt;&gt;0,$R$2,1)),"")</f>
        <v/>
      </c>
      <c r="S346" s="170" t="str">
        <f>IF(ISNUMBER(deployment_raw[[#This Row],[Column8]]), (I346  * IF(O346&lt;&gt;0,$S$2,1)),"")</f>
        <v/>
      </c>
      <c r="T346" s="202" t="str">
        <f>IF(AND(A346&lt;&gt;"",_xlfn.IFNA(MATCH(A346,'dynamic resource application '!$A$2:$A$100, 0),0)&lt;&gt;0), H346/(IF($E$2="Deployment",E346,1)),"")</f>
        <v/>
      </c>
      <c r="U346" s="211" t="str">
        <f>IF(AND(A346&lt;&gt;"",_xlfn.IFNA(MATCH(A346,'dynamic resource application '!$A$2:$A$100, 0),0)&lt;&gt;0), I346/(IF($E$2="Deployment",E346,1)),"")</f>
        <v/>
      </c>
    </row>
    <row r="347" spans="1:21" ht="15.75" customHeight="1" x14ac:dyDescent="0.25">
      <c r="A347" s="35" t="str">
        <f>IF(ISNONTEXT(deployment_raw[[#This Row],[Column1]]), "", deployment_raw[[#This Row],[Column1]])</f>
        <v/>
      </c>
      <c r="B347" s="36" t="str">
        <f>IF(ISNONTEXT(deployment_raw[[#This Row],[Column2]]), "", deployment_raw[[#This Row],[Column2]])</f>
        <v/>
      </c>
      <c r="C347" s="36" t="str">
        <f>IF(ISNONTEXT(deployment_raw[[#This Row],[Column3]]), "", deployment_raw[[#This Row],[Column3]])</f>
        <v/>
      </c>
      <c r="D347" s="36" t="str">
        <f>IF(ISNONTEXT(deployment_raw[[#This Row],[Column4]]), "", deployment_raw[[#This Row],[Column4]])</f>
        <v/>
      </c>
      <c r="E347" s="37" t="str">
        <f>IF(ISNUMBER(deployment_raw[[#This Row],[Column5]]), deployment_raw[[#This Row],[Column5]],"")</f>
        <v/>
      </c>
      <c r="F347" s="94" t="str">
        <f>IF(ISNUMBER(deployment_raw[[#This Row],[Column6]]), (deployment_raw[[#This Row],[Column6]] * IF($E$2="Deployment",deployment_raw[[#This Row],[Column5]],1)),"")</f>
        <v/>
      </c>
      <c r="G347" s="95" t="str">
        <f>IF(ISNUMBER(deployment_raw[[#This Row],[Column7]]), (deployment_raw[[#This Row],[Column7]] * IF($E$2="Deployment",deployment_raw[[#This Row],[Column5]],1))/1048576,"")</f>
        <v/>
      </c>
      <c r="H347" s="95" t="str">
        <f>IF(ISNUMBER(deployment_raw[[#This Row],[Column8]]), (deployment_raw[[#This Row],[Column8]]  * IF($E$2="Deployment",deployment_raw[[#This Row],[Column5]],1)),"")</f>
        <v/>
      </c>
      <c r="I347" s="96" t="str">
        <f>IF(ISNUMBER(deployment_raw[[#This Row],[Column9]]), (deployment_raw[[#This Row],[Column9]] * IF($E$2="Deployment",deployment_raw[[#This Row],[Column5]],1))/1048576,"")</f>
        <v/>
      </c>
      <c r="J347" s="122" t="str">
        <f>IF(ISNUMBER(deployment_raw[[#This Row],[Column10]]), (MIN(IF(N347&lt;&gt;"",N347,9999999999999)*1.1,deployment_raw[[#This Row],[Column10]] * IF($E$2="Deployment",deployment_raw[[#This Row],[Column5]],1))),"")</f>
        <v/>
      </c>
      <c r="K347" s="123" t="str">
        <f>IF(ISNUMBER(deployment_raw[[#This Row],[Column11]]), (MIN(IF(O347&lt;&gt;"",O347,9999999999999)*1.1,deployment_raw[[#This Row],[Column11]] * IF($E$2="Deployment",deployment_raw[[#This Row],[Column5]],1)/1048576)),"")</f>
        <v/>
      </c>
      <c r="L347" s="124" t="str">
        <f>IF(ISNUMBER(deployment_raw[[#This Row],[Column8]]),IF(OR(deployment_raw[[#This Row],[Column5]] &lt;&gt; 0,$E$2 &lt;&gt; "Deployment"), MAX(J347, P347, R347, ($L$2 * IF($E$2="Deployment",deployment_raw[[#This Row],[Column5]],1)),IF(T347&lt;&gt;"",VALUE(T347) * IF($E$2="Deployment",deployment_raw[[#This Row],[Column5]],1),0)), 0),"")</f>
        <v/>
      </c>
      <c r="M347" s="125" t="str">
        <f>IF(ISNUMBER(deployment_raw[[#This Row],[Column9]]),IF(OR(deployment_raw[[#This Row],[Column5]] &lt;&gt; 0,$E$2&lt;&gt;"Deployment"), MAX(K347, Q347, S347, ($M$2 * IF($E$2="Deployment",deployment_raw[[#This Row],[Column5]],1)),IF(U347&lt;&gt;"",VALUE(U347) * IF($E$2="Deployment",deployment_raw[[#This Row],[Column5]],1),0)), 0),"")</f>
        <v/>
      </c>
      <c r="N347" s="166" t="str">
        <f>IF(ISNUMBER(deployment_raw[[#This Row],[Column14]]), deployment_raw[[#This Row],[Column14]]/IF(OR($E$2="Deployment",deployment_raw[[#This Row],[Column5]]=0),1,deployment_raw[[#This Row],[Column5]]),"")</f>
        <v/>
      </c>
      <c r="O347" s="167" t="str">
        <f>IF(ISNUMBER(deployment_raw[[#This Row],[Column15]]), deployment_raw[[#This Row],[Column15]]/IF(OR($E$2="Deployment",deployment_raw[[#This Row],[Column5]]=0),1,deployment_raw[[#This Row],[Column5]])/1048576,"")</f>
        <v/>
      </c>
      <c r="P347" s="168" t="str">
        <f>IF(ISNUMBER(deployment_raw[[#This Row],[Column12]]), (MIN(IF(N347&lt;&gt;"",N347,9999999999999)*1.1,deployment_raw[[#This Row],[Column12]] * IF($E$2="Deployment",deployment_raw[[#This Row],[Column5]],1))*(1+$P$2)),"")</f>
        <v/>
      </c>
      <c r="Q347" s="167" t="str">
        <f>IF(ISNUMBER(deployment_raw[[#This Row],[Column13]]), (MIN(IF(O347&lt;&gt;"",O347,9999999999999)*1.1,deployment_raw[[#This Row],[Column13]] * IF($E$2="Deployment",deployment_raw[[#This Row],[Column5]],1)*(1+$Q$2)/1048576)),"")</f>
        <v/>
      </c>
      <c r="R347" s="169" t="str">
        <f>IF(ISNUMBER(deployment_raw[[#This Row],[Column8]]), (H347  * IF(N347&lt;&gt;0,$R$2,1)),"")</f>
        <v/>
      </c>
      <c r="S347" s="170" t="str">
        <f>IF(ISNUMBER(deployment_raw[[#This Row],[Column8]]), (I347  * IF(O347&lt;&gt;0,$S$2,1)),"")</f>
        <v/>
      </c>
      <c r="T347" s="202" t="str">
        <f>IF(AND(A347&lt;&gt;"",_xlfn.IFNA(MATCH(A347,'dynamic resource application '!$A$2:$A$100, 0),0)&lt;&gt;0), H347/(IF($E$2="Deployment",E347,1)),"")</f>
        <v/>
      </c>
      <c r="U347" s="211" t="str">
        <f>IF(AND(A347&lt;&gt;"",_xlfn.IFNA(MATCH(A347,'dynamic resource application '!$A$2:$A$100, 0),0)&lt;&gt;0), I347/(IF($E$2="Deployment",E347,1)),"")</f>
        <v/>
      </c>
    </row>
    <row r="348" spans="1:21" ht="15.75" customHeight="1" x14ac:dyDescent="0.25">
      <c r="A348" s="35" t="str">
        <f>IF(ISNONTEXT(deployment_raw[[#This Row],[Column1]]), "", deployment_raw[[#This Row],[Column1]])</f>
        <v/>
      </c>
      <c r="B348" s="36" t="str">
        <f>IF(ISNONTEXT(deployment_raw[[#This Row],[Column2]]), "", deployment_raw[[#This Row],[Column2]])</f>
        <v/>
      </c>
      <c r="C348" s="36" t="str">
        <f>IF(ISNONTEXT(deployment_raw[[#This Row],[Column3]]), "", deployment_raw[[#This Row],[Column3]])</f>
        <v/>
      </c>
      <c r="D348" s="36" t="str">
        <f>IF(ISNONTEXT(deployment_raw[[#This Row],[Column4]]), "", deployment_raw[[#This Row],[Column4]])</f>
        <v/>
      </c>
      <c r="E348" s="37" t="str">
        <f>IF(ISNUMBER(deployment_raw[[#This Row],[Column5]]), deployment_raw[[#This Row],[Column5]],"")</f>
        <v/>
      </c>
      <c r="F348" s="94" t="str">
        <f>IF(ISNUMBER(deployment_raw[[#This Row],[Column6]]), (deployment_raw[[#This Row],[Column6]] * IF($E$2="Deployment",deployment_raw[[#This Row],[Column5]],1)),"")</f>
        <v/>
      </c>
      <c r="G348" s="95" t="str">
        <f>IF(ISNUMBER(deployment_raw[[#This Row],[Column7]]), (deployment_raw[[#This Row],[Column7]] * IF($E$2="Deployment",deployment_raw[[#This Row],[Column5]],1))/1048576,"")</f>
        <v/>
      </c>
      <c r="H348" s="95" t="str">
        <f>IF(ISNUMBER(deployment_raw[[#This Row],[Column8]]), (deployment_raw[[#This Row],[Column8]]  * IF($E$2="Deployment",deployment_raw[[#This Row],[Column5]],1)),"")</f>
        <v/>
      </c>
      <c r="I348" s="96" t="str">
        <f>IF(ISNUMBER(deployment_raw[[#This Row],[Column9]]), (deployment_raw[[#This Row],[Column9]] * IF($E$2="Deployment",deployment_raw[[#This Row],[Column5]],1))/1048576,"")</f>
        <v/>
      </c>
      <c r="J348" s="122" t="str">
        <f>IF(ISNUMBER(deployment_raw[[#This Row],[Column10]]), (MIN(IF(N348&lt;&gt;"",N348,9999999999999)*1.1,deployment_raw[[#This Row],[Column10]] * IF($E$2="Deployment",deployment_raw[[#This Row],[Column5]],1))),"")</f>
        <v/>
      </c>
      <c r="K348" s="123" t="str">
        <f>IF(ISNUMBER(deployment_raw[[#This Row],[Column11]]), (MIN(IF(O348&lt;&gt;"",O348,9999999999999)*1.1,deployment_raw[[#This Row],[Column11]] * IF($E$2="Deployment",deployment_raw[[#This Row],[Column5]],1)/1048576)),"")</f>
        <v/>
      </c>
      <c r="L348" s="124" t="str">
        <f>IF(ISNUMBER(deployment_raw[[#This Row],[Column8]]),IF(OR(deployment_raw[[#This Row],[Column5]] &lt;&gt; 0,$E$2 &lt;&gt; "Deployment"), MAX(J348, P348, R348, ($L$2 * IF($E$2="Deployment",deployment_raw[[#This Row],[Column5]],1)),IF(T348&lt;&gt;"",VALUE(T348) * IF($E$2="Deployment",deployment_raw[[#This Row],[Column5]],1),0)), 0),"")</f>
        <v/>
      </c>
      <c r="M348" s="125" t="str">
        <f>IF(ISNUMBER(deployment_raw[[#This Row],[Column9]]),IF(OR(deployment_raw[[#This Row],[Column5]] &lt;&gt; 0,$E$2&lt;&gt;"Deployment"), MAX(K348, Q348, S348, ($M$2 * IF($E$2="Deployment",deployment_raw[[#This Row],[Column5]],1)),IF(U348&lt;&gt;"",VALUE(U348) * IF($E$2="Deployment",deployment_raw[[#This Row],[Column5]],1),0)), 0),"")</f>
        <v/>
      </c>
      <c r="N348" s="166" t="str">
        <f>IF(ISNUMBER(deployment_raw[[#This Row],[Column14]]), deployment_raw[[#This Row],[Column14]]/IF(OR($E$2="Deployment",deployment_raw[[#This Row],[Column5]]=0),1,deployment_raw[[#This Row],[Column5]]),"")</f>
        <v/>
      </c>
      <c r="O348" s="167" t="str">
        <f>IF(ISNUMBER(deployment_raw[[#This Row],[Column15]]), deployment_raw[[#This Row],[Column15]]/IF(OR($E$2="Deployment",deployment_raw[[#This Row],[Column5]]=0),1,deployment_raw[[#This Row],[Column5]])/1048576,"")</f>
        <v/>
      </c>
      <c r="P348" s="168" t="str">
        <f>IF(ISNUMBER(deployment_raw[[#This Row],[Column12]]), (MIN(IF(N348&lt;&gt;"",N348,9999999999999)*1.1,deployment_raw[[#This Row],[Column12]] * IF($E$2="Deployment",deployment_raw[[#This Row],[Column5]],1))*(1+$P$2)),"")</f>
        <v/>
      </c>
      <c r="Q348" s="167" t="str">
        <f>IF(ISNUMBER(deployment_raw[[#This Row],[Column13]]), (MIN(IF(O348&lt;&gt;"",O348,9999999999999)*1.1,deployment_raw[[#This Row],[Column13]] * IF($E$2="Deployment",deployment_raw[[#This Row],[Column5]],1)*(1+$Q$2)/1048576)),"")</f>
        <v/>
      </c>
      <c r="R348" s="169" t="str">
        <f>IF(ISNUMBER(deployment_raw[[#This Row],[Column8]]), (H348  * IF(N348&lt;&gt;0,$R$2,1)),"")</f>
        <v/>
      </c>
      <c r="S348" s="170" t="str">
        <f>IF(ISNUMBER(deployment_raw[[#This Row],[Column8]]), (I348  * IF(O348&lt;&gt;0,$S$2,1)),"")</f>
        <v/>
      </c>
      <c r="T348" s="202" t="str">
        <f>IF(AND(A348&lt;&gt;"",_xlfn.IFNA(MATCH(A348,'dynamic resource application '!$A$2:$A$100, 0),0)&lt;&gt;0), H348/(IF($E$2="Deployment",E348,1)),"")</f>
        <v/>
      </c>
      <c r="U348" s="211" t="str">
        <f>IF(AND(A348&lt;&gt;"",_xlfn.IFNA(MATCH(A348,'dynamic resource application '!$A$2:$A$100, 0),0)&lt;&gt;0), I348/(IF($E$2="Deployment",E348,1)),"")</f>
        <v/>
      </c>
    </row>
    <row r="349" spans="1:21" ht="15.75" customHeight="1" x14ac:dyDescent="0.25">
      <c r="A349" s="35" t="str">
        <f>IF(ISNONTEXT(deployment_raw[[#This Row],[Column1]]), "", deployment_raw[[#This Row],[Column1]])</f>
        <v/>
      </c>
      <c r="B349" s="36" t="str">
        <f>IF(ISNONTEXT(deployment_raw[[#This Row],[Column2]]), "", deployment_raw[[#This Row],[Column2]])</f>
        <v/>
      </c>
      <c r="C349" s="36" t="str">
        <f>IF(ISNONTEXT(deployment_raw[[#This Row],[Column3]]), "", deployment_raw[[#This Row],[Column3]])</f>
        <v/>
      </c>
      <c r="D349" s="36" t="str">
        <f>IF(ISNONTEXT(deployment_raw[[#This Row],[Column4]]), "", deployment_raw[[#This Row],[Column4]])</f>
        <v/>
      </c>
      <c r="E349" s="37" t="str">
        <f>IF(ISNUMBER(deployment_raw[[#This Row],[Column5]]), deployment_raw[[#This Row],[Column5]],"")</f>
        <v/>
      </c>
      <c r="F349" s="94" t="str">
        <f>IF(ISNUMBER(deployment_raw[[#This Row],[Column6]]), (deployment_raw[[#This Row],[Column6]] * IF($E$2="Deployment",deployment_raw[[#This Row],[Column5]],1)),"")</f>
        <v/>
      </c>
      <c r="G349" s="95" t="str">
        <f>IF(ISNUMBER(deployment_raw[[#This Row],[Column7]]), (deployment_raw[[#This Row],[Column7]] * IF($E$2="Deployment",deployment_raw[[#This Row],[Column5]],1))/1048576,"")</f>
        <v/>
      </c>
      <c r="H349" s="95" t="str">
        <f>IF(ISNUMBER(deployment_raw[[#This Row],[Column8]]), (deployment_raw[[#This Row],[Column8]]  * IF($E$2="Deployment",deployment_raw[[#This Row],[Column5]],1)),"")</f>
        <v/>
      </c>
      <c r="I349" s="96" t="str">
        <f>IF(ISNUMBER(deployment_raw[[#This Row],[Column9]]), (deployment_raw[[#This Row],[Column9]] * IF($E$2="Deployment",deployment_raw[[#This Row],[Column5]],1))/1048576,"")</f>
        <v/>
      </c>
      <c r="J349" s="122" t="str">
        <f>IF(ISNUMBER(deployment_raw[[#This Row],[Column10]]), (MIN(IF(N349&lt;&gt;"",N349,9999999999999)*1.1,deployment_raw[[#This Row],[Column10]] * IF($E$2="Deployment",deployment_raw[[#This Row],[Column5]],1))),"")</f>
        <v/>
      </c>
      <c r="K349" s="123" t="str">
        <f>IF(ISNUMBER(deployment_raw[[#This Row],[Column11]]), (MIN(IF(O349&lt;&gt;"",O349,9999999999999)*1.1,deployment_raw[[#This Row],[Column11]] * IF($E$2="Deployment",deployment_raw[[#This Row],[Column5]],1)/1048576)),"")</f>
        <v/>
      </c>
      <c r="L349" s="124" t="str">
        <f>IF(ISNUMBER(deployment_raw[[#This Row],[Column8]]),IF(OR(deployment_raw[[#This Row],[Column5]] &lt;&gt; 0,$E$2 &lt;&gt; "Deployment"), MAX(J349, P349, R349, ($L$2 * IF($E$2="Deployment",deployment_raw[[#This Row],[Column5]],1)),IF(T349&lt;&gt;"",VALUE(T349) * IF($E$2="Deployment",deployment_raw[[#This Row],[Column5]],1),0)), 0),"")</f>
        <v/>
      </c>
      <c r="M349" s="125" t="str">
        <f>IF(ISNUMBER(deployment_raw[[#This Row],[Column9]]),IF(OR(deployment_raw[[#This Row],[Column5]] &lt;&gt; 0,$E$2&lt;&gt;"Deployment"), MAX(K349, Q349, S349, ($M$2 * IF($E$2="Deployment",deployment_raw[[#This Row],[Column5]],1)),IF(U349&lt;&gt;"",VALUE(U349) * IF($E$2="Deployment",deployment_raw[[#This Row],[Column5]],1),0)), 0),"")</f>
        <v/>
      </c>
      <c r="N349" s="166" t="str">
        <f>IF(ISNUMBER(deployment_raw[[#This Row],[Column14]]), deployment_raw[[#This Row],[Column14]]/IF(OR($E$2="Deployment",deployment_raw[[#This Row],[Column5]]=0),1,deployment_raw[[#This Row],[Column5]]),"")</f>
        <v/>
      </c>
      <c r="O349" s="167" t="str">
        <f>IF(ISNUMBER(deployment_raw[[#This Row],[Column15]]), deployment_raw[[#This Row],[Column15]]/IF(OR($E$2="Deployment",deployment_raw[[#This Row],[Column5]]=0),1,deployment_raw[[#This Row],[Column5]])/1048576,"")</f>
        <v/>
      </c>
      <c r="P349" s="168" t="str">
        <f>IF(ISNUMBER(deployment_raw[[#This Row],[Column12]]), (MIN(IF(N349&lt;&gt;"",N349,9999999999999)*1.1,deployment_raw[[#This Row],[Column12]] * IF($E$2="Deployment",deployment_raw[[#This Row],[Column5]],1))*(1+$P$2)),"")</f>
        <v/>
      </c>
      <c r="Q349" s="167" t="str">
        <f>IF(ISNUMBER(deployment_raw[[#This Row],[Column13]]), (MIN(IF(O349&lt;&gt;"",O349,9999999999999)*1.1,deployment_raw[[#This Row],[Column13]] * IF($E$2="Deployment",deployment_raw[[#This Row],[Column5]],1)*(1+$Q$2)/1048576)),"")</f>
        <v/>
      </c>
      <c r="R349" s="169" t="str">
        <f>IF(ISNUMBER(deployment_raw[[#This Row],[Column8]]), (H349  * IF(N349&lt;&gt;0,$R$2,1)),"")</f>
        <v/>
      </c>
      <c r="S349" s="170" t="str">
        <f>IF(ISNUMBER(deployment_raw[[#This Row],[Column8]]), (I349  * IF(O349&lt;&gt;0,$S$2,1)),"")</f>
        <v/>
      </c>
      <c r="T349" s="202" t="str">
        <f>IF(AND(A349&lt;&gt;"",_xlfn.IFNA(MATCH(A349,'dynamic resource application '!$A$2:$A$100, 0),0)&lt;&gt;0), H349/(IF($E$2="Deployment",E349,1)),"")</f>
        <v/>
      </c>
      <c r="U349" s="211" t="str">
        <f>IF(AND(A349&lt;&gt;"",_xlfn.IFNA(MATCH(A349,'dynamic resource application '!$A$2:$A$100, 0),0)&lt;&gt;0), I349/(IF($E$2="Deployment",E349,1)),"")</f>
        <v/>
      </c>
    </row>
    <row r="350" spans="1:21" ht="15.75" customHeight="1" x14ac:dyDescent="0.25">
      <c r="A350" s="35" t="str">
        <f>IF(ISNONTEXT(deployment_raw[[#This Row],[Column1]]), "", deployment_raw[[#This Row],[Column1]])</f>
        <v/>
      </c>
      <c r="B350" s="36" t="str">
        <f>IF(ISNONTEXT(deployment_raw[[#This Row],[Column2]]), "", deployment_raw[[#This Row],[Column2]])</f>
        <v/>
      </c>
      <c r="C350" s="36" t="str">
        <f>IF(ISNONTEXT(deployment_raw[[#This Row],[Column3]]), "", deployment_raw[[#This Row],[Column3]])</f>
        <v/>
      </c>
      <c r="D350" s="36" t="str">
        <f>IF(ISNONTEXT(deployment_raw[[#This Row],[Column4]]), "", deployment_raw[[#This Row],[Column4]])</f>
        <v/>
      </c>
      <c r="E350" s="37" t="str">
        <f>IF(ISNUMBER(deployment_raw[[#This Row],[Column5]]), deployment_raw[[#This Row],[Column5]],"")</f>
        <v/>
      </c>
      <c r="F350" s="94" t="str">
        <f>IF(ISNUMBER(deployment_raw[[#This Row],[Column6]]), (deployment_raw[[#This Row],[Column6]] * IF($E$2="Deployment",deployment_raw[[#This Row],[Column5]],1)),"")</f>
        <v/>
      </c>
      <c r="G350" s="95" t="str">
        <f>IF(ISNUMBER(deployment_raw[[#This Row],[Column7]]), (deployment_raw[[#This Row],[Column7]] * IF($E$2="Deployment",deployment_raw[[#This Row],[Column5]],1))/1048576,"")</f>
        <v/>
      </c>
      <c r="H350" s="95" t="str">
        <f>IF(ISNUMBER(deployment_raw[[#This Row],[Column8]]), (deployment_raw[[#This Row],[Column8]]  * IF($E$2="Deployment",deployment_raw[[#This Row],[Column5]],1)),"")</f>
        <v/>
      </c>
      <c r="I350" s="96" t="str">
        <f>IF(ISNUMBER(deployment_raw[[#This Row],[Column9]]), (deployment_raw[[#This Row],[Column9]] * IF($E$2="Deployment",deployment_raw[[#This Row],[Column5]],1))/1048576,"")</f>
        <v/>
      </c>
      <c r="J350" s="122" t="str">
        <f>IF(ISNUMBER(deployment_raw[[#This Row],[Column10]]), (MIN(IF(N350&lt;&gt;"",N350,9999999999999)*1.1,deployment_raw[[#This Row],[Column10]] * IF($E$2="Deployment",deployment_raw[[#This Row],[Column5]],1))),"")</f>
        <v/>
      </c>
      <c r="K350" s="123" t="str">
        <f>IF(ISNUMBER(deployment_raw[[#This Row],[Column11]]), (MIN(IF(O350&lt;&gt;"",O350,9999999999999)*1.1,deployment_raw[[#This Row],[Column11]] * IF($E$2="Deployment",deployment_raw[[#This Row],[Column5]],1)/1048576)),"")</f>
        <v/>
      </c>
      <c r="L350" s="124" t="str">
        <f>IF(ISNUMBER(deployment_raw[[#This Row],[Column8]]),IF(OR(deployment_raw[[#This Row],[Column5]] &lt;&gt; 0,$E$2 &lt;&gt; "Deployment"), MAX(J350, P350, R350, ($L$2 * IF($E$2="Deployment",deployment_raw[[#This Row],[Column5]],1)),IF(T350&lt;&gt;"",VALUE(T350) * IF($E$2="Deployment",deployment_raw[[#This Row],[Column5]],1),0)), 0),"")</f>
        <v/>
      </c>
      <c r="M350" s="125" t="str">
        <f>IF(ISNUMBER(deployment_raw[[#This Row],[Column9]]),IF(OR(deployment_raw[[#This Row],[Column5]] &lt;&gt; 0,$E$2&lt;&gt;"Deployment"), MAX(K350, Q350, S350, ($M$2 * IF($E$2="Deployment",deployment_raw[[#This Row],[Column5]],1)),IF(U350&lt;&gt;"",VALUE(U350) * IF($E$2="Deployment",deployment_raw[[#This Row],[Column5]],1),0)), 0),"")</f>
        <v/>
      </c>
      <c r="N350" s="166" t="str">
        <f>IF(ISNUMBER(deployment_raw[[#This Row],[Column14]]), deployment_raw[[#This Row],[Column14]]/IF(OR($E$2="Deployment",deployment_raw[[#This Row],[Column5]]=0),1,deployment_raw[[#This Row],[Column5]]),"")</f>
        <v/>
      </c>
      <c r="O350" s="167" t="str">
        <f>IF(ISNUMBER(deployment_raw[[#This Row],[Column15]]), deployment_raw[[#This Row],[Column15]]/IF(OR($E$2="Deployment",deployment_raw[[#This Row],[Column5]]=0),1,deployment_raw[[#This Row],[Column5]])/1048576,"")</f>
        <v/>
      </c>
      <c r="P350" s="168" t="str">
        <f>IF(ISNUMBER(deployment_raw[[#This Row],[Column12]]), (MIN(IF(N350&lt;&gt;"",N350,9999999999999)*1.1,deployment_raw[[#This Row],[Column12]] * IF($E$2="Deployment",deployment_raw[[#This Row],[Column5]],1))*(1+$P$2)),"")</f>
        <v/>
      </c>
      <c r="Q350" s="167" t="str">
        <f>IF(ISNUMBER(deployment_raw[[#This Row],[Column13]]), (MIN(IF(O350&lt;&gt;"",O350,9999999999999)*1.1,deployment_raw[[#This Row],[Column13]] * IF($E$2="Deployment",deployment_raw[[#This Row],[Column5]],1)*(1+$Q$2)/1048576)),"")</f>
        <v/>
      </c>
      <c r="R350" s="169" t="str">
        <f>IF(ISNUMBER(deployment_raw[[#This Row],[Column8]]), (H350  * IF(N350&lt;&gt;0,$R$2,1)),"")</f>
        <v/>
      </c>
      <c r="S350" s="170" t="str">
        <f>IF(ISNUMBER(deployment_raw[[#This Row],[Column8]]), (I350  * IF(O350&lt;&gt;0,$S$2,1)),"")</f>
        <v/>
      </c>
      <c r="T350" s="202" t="str">
        <f>IF(AND(A350&lt;&gt;"",_xlfn.IFNA(MATCH(A350,'dynamic resource application '!$A$2:$A$100, 0),0)&lt;&gt;0), H350/(IF($E$2="Deployment",E350,1)),"")</f>
        <v/>
      </c>
      <c r="U350" s="211" t="str">
        <f>IF(AND(A350&lt;&gt;"",_xlfn.IFNA(MATCH(A350,'dynamic resource application '!$A$2:$A$100, 0),0)&lt;&gt;0), I350/(IF($E$2="Deployment",E350,1)),"")</f>
        <v/>
      </c>
    </row>
    <row r="351" spans="1:21" ht="15.75" customHeight="1" x14ac:dyDescent="0.25">
      <c r="A351" s="35" t="str">
        <f>IF(ISNONTEXT(deployment_raw[[#This Row],[Column1]]), "", deployment_raw[[#This Row],[Column1]])</f>
        <v/>
      </c>
      <c r="B351" s="36" t="str">
        <f>IF(ISNONTEXT(deployment_raw[[#This Row],[Column2]]), "", deployment_raw[[#This Row],[Column2]])</f>
        <v/>
      </c>
      <c r="C351" s="36" t="str">
        <f>IF(ISNONTEXT(deployment_raw[[#This Row],[Column3]]), "", deployment_raw[[#This Row],[Column3]])</f>
        <v/>
      </c>
      <c r="D351" s="36" t="str">
        <f>IF(ISNONTEXT(deployment_raw[[#This Row],[Column4]]), "", deployment_raw[[#This Row],[Column4]])</f>
        <v/>
      </c>
      <c r="E351" s="37" t="str">
        <f>IF(ISNUMBER(deployment_raw[[#This Row],[Column5]]), deployment_raw[[#This Row],[Column5]],"")</f>
        <v/>
      </c>
      <c r="F351" s="94" t="str">
        <f>IF(ISNUMBER(deployment_raw[[#This Row],[Column6]]), (deployment_raw[[#This Row],[Column6]] * IF($E$2="Deployment",deployment_raw[[#This Row],[Column5]],1)),"")</f>
        <v/>
      </c>
      <c r="G351" s="95" t="str">
        <f>IF(ISNUMBER(deployment_raw[[#This Row],[Column7]]), (deployment_raw[[#This Row],[Column7]] * IF($E$2="Deployment",deployment_raw[[#This Row],[Column5]],1))/1048576,"")</f>
        <v/>
      </c>
      <c r="H351" s="95" t="str">
        <f>IF(ISNUMBER(deployment_raw[[#This Row],[Column8]]), (deployment_raw[[#This Row],[Column8]]  * IF($E$2="Deployment",deployment_raw[[#This Row],[Column5]],1)),"")</f>
        <v/>
      </c>
      <c r="I351" s="96" t="str">
        <f>IF(ISNUMBER(deployment_raw[[#This Row],[Column9]]), (deployment_raw[[#This Row],[Column9]] * IF($E$2="Deployment",deployment_raw[[#This Row],[Column5]],1))/1048576,"")</f>
        <v/>
      </c>
      <c r="J351" s="122" t="str">
        <f>IF(ISNUMBER(deployment_raw[[#This Row],[Column10]]), (MIN(IF(N351&lt;&gt;"",N351,9999999999999)*1.1,deployment_raw[[#This Row],[Column10]] * IF($E$2="Deployment",deployment_raw[[#This Row],[Column5]],1))),"")</f>
        <v/>
      </c>
      <c r="K351" s="123" t="str">
        <f>IF(ISNUMBER(deployment_raw[[#This Row],[Column11]]), (MIN(IF(O351&lt;&gt;"",O351,9999999999999)*1.1,deployment_raw[[#This Row],[Column11]] * IF($E$2="Deployment",deployment_raw[[#This Row],[Column5]],1)/1048576)),"")</f>
        <v/>
      </c>
      <c r="L351" s="124" t="str">
        <f>IF(ISNUMBER(deployment_raw[[#This Row],[Column8]]),IF(OR(deployment_raw[[#This Row],[Column5]] &lt;&gt; 0,$E$2 &lt;&gt; "Deployment"), MAX(J351, P351, R351, ($L$2 * IF($E$2="Deployment",deployment_raw[[#This Row],[Column5]],1)),IF(T351&lt;&gt;"",VALUE(T351) * IF($E$2="Deployment",deployment_raw[[#This Row],[Column5]],1),0)), 0),"")</f>
        <v/>
      </c>
      <c r="M351" s="125" t="str">
        <f>IF(ISNUMBER(deployment_raw[[#This Row],[Column9]]),IF(OR(deployment_raw[[#This Row],[Column5]] &lt;&gt; 0,$E$2&lt;&gt;"Deployment"), MAX(K351, Q351, S351, ($M$2 * IF($E$2="Deployment",deployment_raw[[#This Row],[Column5]],1)),IF(U351&lt;&gt;"",VALUE(U351) * IF($E$2="Deployment",deployment_raw[[#This Row],[Column5]],1),0)), 0),"")</f>
        <v/>
      </c>
      <c r="N351" s="166" t="str">
        <f>IF(ISNUMBER(deployment_raw[[#This Row],[Column14]]), deployment_raw[[#This Row],[Column14]]/IF(OR($E$2="Deployment",deployment_raw[[#This Row],[Column5]]=0),1,deployment_raw[[#This Row],[Column5]]),"")</f>
        <v/>
      </c>
      <c r="O351" s="167" t="str">
        <f>IF(ISNUMBER(deployment_raw[[#This Row],[Column15]]), deployment_raw[[#This Row],[Column15]]/IF(OR($E$2="Deployment",deployment_raw[[#This Row],[Column5]]=0),1,deployment_raw[[#This Row],[Column5]])/1048576,"")</f>
        <v/>
      </c>
      <c r="P351" s="168" t="str">
        <f>IF(ISNUMBER(deployment_raw[[#This Row],[Column12]]), (MIN(IF(N351&lt;&gt;"",N351,9999999999999)*1.1,deployment_raw[[#This Row],[Column12]] * IF($E$2="Deployment",deployment_raw[[#This Row],[Column5]],1))*(1+$P$2)),"")</f>
        <v/>
      </c>
      <c r="Q351" s="167" t="str">
        <f>IF(ISNUMBER(deployment_raw[[#This Row],[Column13]]), (MIN(IF(O351&lt;&gt;"",O351,9999999999999)*1.1,deployment_raw[[#This Row],[Column13]] * IF($E$2="Deployment",deployment_raw[[#This Row],[Column5]],1)*(1+$Q$2)/1048576)),"")</f>
        <v/>
      </c>
      <c r="R351" s="169" t="str">
        <f>IF(ISNUMBER(deployment_raw[[#This Row],[Column8]]), (H351  * IF(N351&lt;&gt;0,$R$2,1)),"")</f>
        <v/>
      </c>
      <c r="S351" s="170" t="str">
        <f>IF(ISNUMBER(deployment_raw[[#This Row],[Column8]]), (I351  * IF(O351&lt;&gt;0,$S$2,1)),"")</f>
        <v/>
      </c>
      <c r="T351" s="202" t="str">
        <f>IF(AND(A351&lt;&gt;"",_xlfn.IFNA(MATCH(A351,'dynamic resource application '!$A$2:$A$100, 0),0)&lt;&gt;0), H351/(IF($E$2="Deployment",E351,1)),"")</f>
        <v/>
      </c>
      <c r="U351" s="211" t="str">
        <f>IF(AND(A351&lt;&gt;"",_xlfn.IFNA(MATCH(A351,'dynamic resource application '!$A$2:$A$100, 0),0)&lt;&gt;0), I351/(IF($E$2="Deployment",E351,1)),"")</f>
        <v/>
      </c>
    </row>
    <row r="352" spans="1:21" ht="15.75" customHeight="1" x14ac:dyDescent="0.25">
      <c r="A352" s="35" t="str">
        <f>IF(ISNONTEXT(deployment_raw[[#This Row],[Column1]]), "", deployment_raw[[#This Row],[Column1]])</f>
        <v/>
      </c>
      <c r="B352" s="36" t="str">
        <f>IF(ISNONTEXT(deployment_raw[[#This Row],[Column2]]), "", deployment_raw[[#This Row],[Column2]])</f>
        <v/>
      </c>
      <c r="C352" s="36" t="str">
        <f>IF(ISNONTEXT(deployment_raw[[#This Row],[Column3]]), "", deployment_raw[[#This Row],[Column3]])</f>
        <v/>
      </c>
      <c r="D352" s="36" t="str">
        <f>IF(ISNONTEXT(deployment_raw[[#This Row],[Column4]]), "", deployment_raw[[#This Row],[Column4]])</f>
        <v/>
      </c>
      <c r="E352" s="37" t="str">
        <f>IF(ISNUMBER(deployment_raw[[#This Row],[Column5]]), deployment_raw[[#This Row],[Column5]],"")</f>
        <v/>
      </c>
      <c r="F352" s="94" t="str">
        <f>IF(ISNUMBER(deployment_raw[[#This Row],[Column6]]), (deployment_raw[[#This Row],[Column6]] * IF($E$2="Deployment",deployment_raw[[#This Row],[Column5]],1)),"")</f>
        <v/>
      </c>
      <c r="G352" s="95" t="str">
        <f>IF(ISNUMBER(deployment_raw[[#This Row],[Column7]]), (deployment_raw[[#This Row],[Column7]] * IF($E$2="Deployment",deployment_raw[[#This Row],[Column5]],1))/1048576,"")</f>
        <v/>
      </c>
      <c r="H352" s="95" t="str">
        <f>IF(ISNUMBER(deployment_raw[[#This Row],[Column8]]), (deployment_raw[[#This Row],[Column8]]  * IF($E$2="Deployment",deployment_raw[[#This Row],[Column5]],1)),"")</f>
        <v/>
      </c>
      <c r="I352" s="96" t="str">
        <f>IF(ISNUMBER(deployment_raw[[#This Row],[Column9]]), (deployment_raw[[#This Row],[Column9]] * IF($E$2="Deployment",deployment_raw[[#This Row],[Column5]],1))/1048576,"")</f>
        <v/>
      </c>
      <c r="J352" s="122" t="str">
        <f>IF(ISNUMBER(deployment_raw[[#This Row],[Column10]]), (MIN(IF(N352&lt;&gt;"",N352,9999999999999)*1.1,deployment_raw[[#This Row],[Column10]] * IF($E$2="Deployment",deployment_raw[[#This Row],[Column5]],1))),"")</f>
        <v/>
      </c>
      <c r="K352" s="123" t="str">
        <f>IF(ISNUMBER(deployment_raw[[#This Row],[Column11]]), (MIN(IF(O352&lt;&gt;"",O352,9999999999999)*1.1,deployment_raw[[#This Row],[Column11]] * IF($E$2="Deployment",deployment_raw[[#This Row],[Column5]],1)/1048576)),"")</f>
        <v/>
      </c>
      <c r="L352" s="124" t="str">
        <f>IF(ISNUMBER(deployment_raw[[#This Row],[Column8]]),IF(OR(deployment_raw[[#This Row],[Column5]] &lt;&gt; 0,$E$2 &lt;&gt; "Deployment"), MAX(J352, P352, R352, ($L$2 * IF($E$2="Deployment",deployment_raw[[#This Row],[Column5]],1)),IF(T352&lt;&gt;"",VALUE(T352) * IF($E$2="Deployment",deployment_raw[[#This Row],[Column5]],1),0)), 0),"")</f>
        <v/>
      </c>
      <c r="M352" s="125" t="str">
        <f>IF(ISNUMBER(deployment_raw[[#This Row],[Column9]]),IF(OR(deployment_raw[[#This Row],[Column5]] &lt;&gt; 0,$E$2&lt;&gt;"Deployment"), MAX(K352, Q352, S352, ($M$2 * IF($E$2="Deployment",deployment_raw[[#This Row],[Column5]],1)),IF(U352&lt;&gt;"",VALUE(U352) * IF($E$2="Deployment",deployment_raw[[#This Row],[Column5]],1),0)), 0),"")</f>
        <v/>
      </c>
      <c r="N352" s="166" t="str">
        <f>IF(ISNUMBER(deployment_raw[[#This Row],[Column14]]), deployment_raw[[#This Row],[Column14]]/IF(OR($E$2="Deployment",deployment_raw[[#This Row],[Column5]]=0),1,deployment_raw[[#This Row],[Column5]]),"")</f>
        <v/>
      </c>
      <c r="O352" s="167" t="str">
        <f>IF(ISNUMBER(deployment_raw[[#This Row],[Column15]]), deployment_raw[[#This Row],[Column15]]/IF(OR($E$2="Deployment",deployment_raw[[#This Row],[Column5]]=0),1,deployment_raw[[#This Row],[Column5]])/1048576,"")</f>
        <v/>
      </c>
      <c r="P352" s="168" t="str">
        <f>IF(ISNUMBER(deployment_raw[[#This Row],[Column12]]), (MIN(IF(N352&lt;&gt;"",N352,9999999999999)*1.1,deployment_raw[[#This Row],[Column12]] * IF($E$2="Deployment",deployment_raw[[#This Row],[Column5]],1))*(1+$P$2)),"")</f>
        <v/>
      </c>
      <c r="Q352" s="167" t="str">
        <f>IF(ISNUMBER(deployment_raw[[#This Row],[Column13]]), (MIN(IF(O352&lt;&gt;"",O352,9999999999999)*1.1,deployment_raw[[#This Row],[Column13]] * IF($E$2="Deployment",deployment_raw[[#This Row],[Column5]],1)*(1+$Q$2)/1048576)),"")</f>
        <v/>
      </c>
      <c r="R352" s="169" t="str">
        <f>IF(ISNUMBER(deployment_raw[[#This Row],[Column8]]), (H352  * IF(N352&lt;&gt;0,$R$2,1)),"")</f>
        <v/>
      </c>
      <c r="S352" s="170" t="str">
        <f>IF(ISNUMBER(deployment_raw[[#This Row],[Column8]]), (I352  * IF(O352&lt;&gt;0,$S$2,1)),"")</f>
        <v/>
      </c>
      <c r="T352" s="202" t="str">
        <f>IF(AND(A352&lt;&gt;"",_xlfn.IFNA(MATCH(A352,'dynamic resource application '!$A$2:$A$100, 0),0)&lt;&gt;0), H352/(IF($E$2="Deployment",E352,1)),"")</f>
        <v/>
      </c>
      <c r="U352" s="211" t="str">
        <f>IF(AND(A352&lt;&gt;"",_xlfn.IFNA(MATCH(A352,'dynamic resource application '!$A$2:$A$100, 0),0)&lt;&gt;0), I352/(IF($E$2="Deployment",E352,1)),"")</f>
        <v/>
      </c>
    </row>
    <row r="353" spans="1:21" ht="15.75" customHeight="1" x14ac:dyDescent="0.25">
      <c r="A353" s="35" t="str">
        <f>IF(ISNONTEXT(deployment_raw[[#This Row],[Column1]]), "", deployment_raw[[#This Row],[Column1]])</f>
        <v/>
      </c>
      <c r="B353" s="36" t="str">
        <f>IF(ISNONTEXT(deployment_raw[[#This Row],[Column2]]), "", deployment_raw[[#This Row],[Column2]])</f>
        <v/>
      </c>
      <c r="C353" s="36" t="str">
        <f>IF(ISNONTEXT(deployment_raw[[#This Row],[Column3]]), "", deployment_raw[[#This Row],[Column3]])</f>
        <v/>
      </c>
      <c r="D353" s="36" t="str">
        <f>IF(ISNONTEXT(deployment_raw[[#This Row],[Column4]]), "", deployment_raw[[#This Row],[Column4]])</f>
        <v/>
      </c>
      <c r="E353" s="37" t="str">
        <f>IF(ISNUMBER(deployment_raw[[#This Row],[Column5]]), deployment_raw[[#This Row],[Column5]],"")</f>
        <v/>
      </c>
      <c r="F353" s="94" t="str">
        <f>IF(ISNUMBER(deployment_raw[[#This Row],[Column6]]), (deployment_raw[[#This Row],[Column6]] * IF($E$2="Deployment",deployment_raw[[#This Row],[Column5]],1)),"")</f>
        <v/>
      </c>
      <c r="G353" s="95" t="str">
        <f>IF(ISNUMBER(deployment_raw[[#This Row],[Column7]]), (deployment_raw[[#This Row],[Column7]] * IF($E$2="Deployment",deployment_raw[[#This Row],[Column5]],1))/1048576,"")</f>
        <v/>
      </c>
      <c r="H353" s="95" t="str">
        <f>IF(ISNUMBER(deployment_raw[[#This Row],[Column8]]), (deployment_raw[[#This Row],[Column8]]  * IF($E$2="Deployment",deployment_raw[[#This Row],[Column5]],1)),"")</f>
        <v/>
      </c>
      <c r="I353" s="96" t="str">
        <f>IF(ISNUMBER(deployment_raw[[#This Row],[Column9]]), (deployment_raw[[#This Row],[Column9]] * IF($E$2="Deployment",deployment_raw[[#This Row],[Column5]],1))/1048576,"")</f>
        <v/>
      </c>
      <c r="J353" s="122" t="str">
        <f>IF(ISNUMBER(deployment_raw[[#This Row],[Column10]]), (MIN(IF(N353&lt;&gt;"",N353,9999999999999)*1.1,deployment_raw[[#This Row],[Column10]] * IF($E$2="Deployment",deployment_raw[[#This Row],[Column5]],1))),"")</f>
        <v/>
      </c>
      <c r="K353" s="123" t="str">
        <f>IF(ISNUMBER(deployment_raw[[#This Row],[Column11]]), (MIN(IF(O353&lt;&gt;"",O353,9999999999999)*1.1,deployment_raw[[#This Row],[Column11]] * IF($E$2="Deployment",deployment_raw[[#This Row],[Column5]],1)/1048576)),"")</f>
        <v/>
      </c>
      <c r="L353" s="124" t="str">
        <f>IF(ISNUMBER(deployment_raw[[#This Row],[Column8]]),IF(OR(deployment_raw[[#This Row],[Column5]] &lt;&gt; 0,$E$2 &lt;&gt; "Deployment"), MAX(J353, P353, R353, ($L$2 * IF($E$2="Deployment",deployment_raw[[#This Row],[Column5]],1)),IF(T353&lt;&gt;"",VALUE(T353) * IF($E$2="Deployment",deployment_raw[[#This Row],[Column5]],1),0)), 0),"")</f>
        <v/>
      </c>
      <c r="M353" s="125" t="str">
        <f>IF(ISNUMBER(deployment_raw[[#This Row],[Column9]]),IF(OR(deployment_raw[[#This Row],[Column5]] &lt;&gt; 0,$E$2&lt;&gt;"Deployment"), MAX(K353, Q353, S353, ($M$2 * IF($E$2="Deployment",deployment_raw[[#This Row],[Column5]],1)),IF(U353&lt;&gt;"",VALUE(U353) * IF($E$2="Deployment",deployment_raw[[#This Row],[Column5]],1),0)), 0),"")</f>
        <v/>
      </c>
      <c r="N353" s="166" t="str">
        <f>IF(ISNUMBER(deployment_raw[[#This Row],[Column14]]), deployment_raw[[#This Row],[Column14]]/IF(OR($E$2="Deployment",deployment_raw[[#This Row],[Column5]]=0),1,deployment_raw[[#This Row],[Column5]]),"")</f>
        <v/>
      </c>
      <c r="O353" s="167" t="str">
        <f>IF(ISNUMBER(deployment_raw[[#This Row],[Column15]]), deployment_raw[[#This Row],[Column15]]/IF(OR($E$2="Deployment",deployment_raw[[#This Row],[Column5]]=0),1,deployment_raw[[#This Row],[Column5]])/1048576,"")</f>
        <v/>
      </c>
      <c r="P353" s="168" t="str">
        <f>IF(ISNUMBER(deployment_raw[[#This Row],[Column12]]), (MIN(IF(N353&lt;&gt;"",N353,9999999999999)*1.1,deployment_raw[[#This Row],[Column12]] * IF($E$2="Deployment",deployment_raw[[#This Row],[Column5]],1))*(1+$P$2)),"")</f>
        <v/>
      </c>
      <c r="Q353" s="167" t="str">
        <f>IF(ISNUMBER(deployment_raw[[#This Row],[Column13]]), (MIN(IF(O353&lt;&gt;"",O353,9999999999999)*1.1,deployment_raw[[#This Row],[Column13]] * IF($E$2="Deployment",deployment_raw[[#This Row],[Column5]],1)*(1+$Q$2)/1048576)),"")</f>
        <v/>
      </c>
      <c r="R353" s="169" t="str">
        <f>IF(ISNUMBER(deployment_raw[[#This Row],[Column8]]), (H353  * IF(N353&lt;&gt;0,$R$2,1)),"")</f>
        <v/>
      </c>
      <c r="S353" s="170" t="str">
        <f>IF(ISNUMBER(deployment_raw[[#This Row],[Column8]]), (I353  * IF(O353&lt;&gt;0,$S$2,1)),"")</f>
        <v/>
      </c>
      <c r="T353" s="202" t="str">
        <f>IF(AND(A353&lt;&gt;"",_xlfn.IFNA(MATCH(A353,'dynamic resource application '!$A$2:$A$100, 0),0)&lt;&gt;0), H353/(IF($E$2="Deployment",E353,1)),"")</f>
        <v/>
      </c>
      <c r="U353" s="211" t="str">
        <f>IF(AND(A353&lt;&gt;"",_xlfn.IFNA(MATCH(A353,'dynamic resource application '!$A$2:$A$100, 0),0)&lt;&gt;0), I353/(IF($E$2="Deployment",E353,1)),"")</f>
        <v/>
      </c>
    </row>
    <row r="354" spans="1:21" ht="15.75" customHeight="1" x14ac:dyDescent="0.25">
      <c r="A354" s="35" t="str">
        <f>IF(ISNONTEXT(deployment_raw[[#This Row],[Column1]]), "", deployment_raw[[#This Row],[Column1]])</f>
        <v/>
      </c>
      <c r="B354" s="36" t="str">
        <f>IF(ISNONTEXT(deployment_raw[[#This Row],[Column2]]), "", deployment_raw[[#This Row],[Column2]])</f>
        <v/>
      </c>
      <c r="C354" s="36" t="str">
        <f>IF(ISNONTEXT(deployment_raw[[#This Row],[Column3]]), "", deployment_raw[[#This Row],[Column3]])</f>
        <v/>
      </c>
      <c r="D354" s="36" t="str">
        <f>IF(ISNONTEXT(deployment_raw[[#This Row],[Column4]]), "", deployment_raw[[#This Row],[Column4]])</f>
        <v/>
      </c>
      <c r="E354" s="37" t="str">
        <f>IF(ISNUMBER(deployment_raw[[#This Row],[Column5]]), deployment_raw[[#This Row],[Column5]],"")</f>
        <v/>
      </c>
      <c r="F354" s="94" t="str">
        <f>IF(ISNUMBER(deployment_raw[[#This Row],[Column6]]), (deployment_raw[[#This Row],[Column6]] * IF($E$2="Deployment",deployment_raw[[#This Row],[Column5]],1)),"")</f>
        <v/>
      </c>
      <c r="G354" s="95" t="str">
        <f>IF(ISNUMBER(deployment_raw[[#This Row],[Column7]]), (deployment_raw[[#This Row],[Column7]] * IF($E$2="Deployment",deployment_raw[[#This Row],[Column5]],1))/1048576,"")</f>
        <v/>
      </c>
      <c r="H354" s="95" t="str">
        <f>IF(ISNUMBER(deployment_raw[[#This Row],[Column8]]), (deployment_raw[[#This Row],[Column8]]  * IF($E$2="Deployment",deployment_raw[[#This Row],[Column5]],1)),"")</f>
        <v/>
      </c>
      <c r="I354" s="96" t="str">
        <f>IF(ISNUMBER(deployment_raw[[#This Row],[Column9]]), (deployment_raw[[#This Row],[Column9]] * IF($E$2="Deployment",deployment_raw[[#This Row],[Column5]],1))/1048576,"")</f>
        <v/>
      </c>
      <c r="J354" s="122" t="str">
        <f>IF(ISNUMBER(deployment_raw[[#This Row],[Column10]]), (MIN(IF(N354&lt;&gt;"",N354,9999999999999)*1.1,deployment_raw[[#This Row],[Column10]] * IF($E$2="Deployment",deployment_raw[[#This Row],[Column5]],1))),"")</f>
        <v/>
      </c>
      <c r="K354" s="123" t="str">
        <f>IF(ISNUMBER(deployment_raw[[#This Row],[Column11]]), (MIN(IF(O354&lt;&gt;"",O354,9999999999999)*1.1,deployment_raw[[#This Row],[Column11]] * IF($E$2="Deployment",deployment_raw[[#This Row],[Column5]],1)/1048576)),"")</f>
        <v/>
      </c>
      <c r="L354" s="124" t="str">
        <f>IF(ISNUMBER(deployment_raw[[#This Row],[Column8]]),IF(OR(deployment_raw[[#This Row],[Column5]] &lt;&gt; 0,$E$2 &lt;&gt; "Deployment"), MAX(J354, P354, R354, ($L$2 * IF($E$2="Deployment",deployment_raw[[#This Row],[Column5]],1)),IF(T354&lt;&gt;"",VALUE(T354) * IF($E$2="Deployment",deployment_raw[[#This Row],[Column5]],1),0)), 0),"")</f>
        <v/>
      </c>
      <c r="M354" s="125" t="str">
        <f>IF(ISNUMBER(deployment_raw[[#This Row],[Column9]]),IF(OR(deployment_raw[[#This Row],[Column5]] &lt;&gt; 0,$E$2&lt;&gt;"Deployment"), MAX(K354, Q354, S354, ($M$2 * IF($E$2="Deployment",deployment_raw[[#This Row],[Column5]],1)),IF(U354&lt;&gt;"",VALUE(U354) * IF($E$2="Deployment",deployment_raw[[#This Row],[Column5]],1),0)), 0),"")</f>
        <v/>
      </c>
      <c r="N354" s="166" t="str">
        <f>IF(ISNUMBER(deployment_raw[[#This Row],[Column14]]), deployment_raw[[#This Row],[Column14]]/IF(OR($E$2="Deployment",deployment_raw[[#This Row],[Column5]]=0),1,deployment_raw[[#This Row],[Column5]]),"")</f>
        <v/>
      </c>
      <c r="O354" s="167" t="str">
        <f>IF(ISNUMBER(deployment_raw[[#This Row],[Column15]]), deployment_raw[[#This Row],[Column15]]/IF(OR($E$2="Deployment",deployment_raw[[#This Row],[Column5]]=0),1,deployment_raw[[#This Row],[Column5]])/1048576,"")</f>
        <v/>
      </c>
      <c r="P354" s="168" t="str">
        <f>IF(ISNUMBER(deployment_raw[[#This Row],[Column12]]), (MIN(IF(N354&lt;&gt;"",N354,9999999999999)*1.1,deployment_raw[[#This Row],[Column12]] * IF($E$2="Deployment",deployment_raw[[#This Row],[Column5]],1))*(1+$P$2)),"")</f>
        <v/>
      </c>
      <c r="Q354" s="167" t="str">
        <f>IF(ISNUMBER(deployment_raw[[#This Row],[Column13]]), (MIN(IF(O354&lt;&gt;"",O354,9999999999999)*1.1,deployment_raw[[#This Row],[Column13]] * IF($E$2="Deployment",deployment_raw[[#This Row],[Column5]],1)*(1+$Q$2)/1048576)),"")</f>
        <v/>
      </c>
      <c r="R354" s="169" t="str">
        <f>IF(ISNUMBER(deployment_raw[[#This Row],[Column8]]), (H354  * IF(N354&lt;&gt;0,$R$2,1)),"")</f>
        <v/>
      </c>
      <c r="S354" s="170" t="str">
        <f>IF(ISNUMBER(deployment_raw[[#This Row],[Column8]]), (I354  * IF(O354&lt;&gt;0,$S$2,1)),"")</f>
        <v/>
      </c>
      <c r="T354" s="202" t="str">
        <f>IF(AND(A354&lt;&gt;"",_xlfn.IFNA(MATCH(A354,'dynamic resource application '!$A$2:$A$100, 0),0)&lt;&gt;0), H354/(IF($E$2="Deployment",E354,1)),"")</f>
        <v/>
      </c>
      <c r="U354" s="211" t="str">
        <f>IF(AND(A354&lt;&gt;"",_xlfn.IFNA(MATCH(A354,'dynamic resource application '!$A$2:$A$100, 0),0)&lt;&gt;0), I354/(IF($E$2="Deployment",E354,1)),"")</f>
        <v/>
      </c>
    </row>
    <row r="355" spans="1:21" ht="15.75" customHeight="1" x14ac:dyDescent="0.25">
      <c r="A355" s="35" t="str">
        <f>IF(ISNONTEXT(deployment_raw[[#This Row],[Column1]]), "", deployment_raw[[#This Row],[Column1]])</f>
        <v/>
      </c>
      <c r="B355" s="36" t="str">
        <f>IF(ISNONTEXT(deployment_raw[[#This Row],[Column2]]), "", deployment_raw[[#This Row],[Column2]])</f>
        <v/>
      </c>
      <c r="C355" s="36" t="str">
        <f>IF(ISNONTEXT(deployment_raw[[#This Row],[Column3]]), "", deployment_raw[[#This Row],[Column3]])</f>
        <v/>
      </c>
      <c r="D355" s="36" t="str">
        <f>IF(ISNONTEXT(deployment_raw[[#This Row],[Column4]]), "", deployment_raw[[#This Row],[Column4]])</f>
        <v/>
      </c>
      <c r="E355" s="37" t="str">
        <f>IF(ISNUMBER(deployment_raw[[#This Row],[Column5]]), deployment_raw[[#This Row],[Column5]],"")</f>
        <v/>
      </c>
      <c r="F355" s="94" t="str">
        <f>IF(ISNUMBER(deployment_raw[[#This Row],[Column6]]), (deployment_raw[[#This Row],[Column6]] * IF($E$2="Deployment",deployment_raw[[#This Row],[Column5]],1)),"")</f>
        <v/>
      </c>
      <c r="G355" s="95" t="str">
        <f>IF(ISNUMBER(deployment_raw[[#This Row],[Column7]]), (deployment_raw[[#This Row],[Column7]] * IF($E$2="Deployment",deployment_raw[[#This Row],[Column5]],1))/1048576,"")</f>
        <v/>
      </c>
      <c r="H355" s="95" t="str">
        <f>IF(ISNUMBER(deployment_raw[[#This Row],[Column8]]), (deployment_raw[[#This Row],[Column8]]  * IF($E$2="Deployment",deployment_raw[[#This Row],[Column5]],1)),"")</f>
        <v/>
      </c>
      <c r="I355" s="96" t="str">
        <f>IF(ISNUMBER(deployment_raw[[#This Row],[Column9]]), (deployment_raw[[#This Row],[Column9]] * IF($E$2="Deployment",deployment_raw[[#This Row],[Column5]],1))/1048576,"")</f>
        <v/>
      </c>
      <c r="J355" s="122" t="str">
        <f>IF(ISNUMBER(deployment_raw[[#This Row],[Column10]]), (MIN(IF(N355&lt;&gt;"",N355,9999999999999)*1.1,deployment_raw[[#This Row],[Column10]] * IF($E$2="Deployment",deployment_raw[[#This Row],[Column5]],1))),"")</f>
        <v/>
      </c>
      <c r="K355" s="123" t="str">
        <f>IF(ISNUMBER(deployment_raw[[#This Row],[Column11]]), (MIN(IF(O355&lt;&gt;"",O355,9999999999999)*1.1,deployment_raw[[#This Row],[Column11]] * IF($E$2="Deployment",deployment_raw[[#This Row],[Column5]],1)/1048576)),"")</f>
        <v/>
      </c>
      <c r="L355" s="124" t="str">
        <f>IF(ISNUMBER(deployment_raw[[#This Row],[Column8]]),IF(OR(deployment_raw[[#This Row],[Column5]] &lt;&gt; 0,$E$2 &lt;&gt; "Deployment"), MAX(J355, P355, R355, ($L$2 * IF($E$2="Deployment",deployment_raw[[#This Row],[Column5]],1)),IF(T355&lt;&gt;"",VALUE(T355) * IF($E$2="Deployment",deployment_raw[[#This Row],[Column5]],1),0)), 0),"")</f>
        <v/>
      </c>
      <c r="M355" s="125" t="str">
        <f>IF(ISNUMBER(deployment_raw[[#This Row],[Column9]]),IF(OR(deployment_raw[[#This Row],[Column5]] &lt;&gt; 0,$E$2&lt;&gt;"Deployment"), MAX(K355, Q355, S355, ($M$2 * IF($E$2="Deployment",deployment_raw[[#This Row],[Column5]],1)),IF(U355&lt;&gt;"",VALUE(U355) * IF($E$2="Deployment",deployment_raw[[#This Row],[Column5]],1),0)), 0),"")</f>
        <v/>
      </c>
      <c r="N355" s="166" t="str">
        <f>IF(ISNUMBER(deployment_raw[[#This Row],[Column14]]), deployment_raw[[#This Row],[Column14]]/IF(OR($E$2="Deployment",deployment_raw[[#This Row],[Column5]]=0),1,deployment_raw[[#This Row],[Column5]]),"")</f>
        <v/>
      </c>
      <c r="O355" s="167" t="str">
        <f>IF(ISNUMBER(deployment_raw[[#This Row],[Column15]]), deployment_raw[[#This Row],[Column15]]/IF(OR($E$2="Deployment",deployment_raw[[#This Row],[Column5]]=0),1,deployment_raw[[#This Row],[Column5]])/1048576,"")</f>
        <v/>
      </c>
      <c r="P355" s="168" t="str">
        <f>IF(ISNUMBER(deployment_raw[[#This Row],[Column12]]), (MIN(IF(N355&lt;&gt;"",N355,9999999999999)*1.1,deployment_raw[[#This Row],[Column12]] * IF($E$2="Deployment",deployment_raw[[#This Row],[Column5]],1))*(1+$P$2)),"")</f>
        <v/>
      </c>
      <c r="Q355" s="167" t="str">
        <f>IF(ISNUMBER(deployment_raw[[#This Row],[Column13]]), (MIN(IF(O355&lt;&gt;"",O355,9999999999999)*1.1,deployment_raw[[#This Row],[Column13]] * IF($E$2="Deployment",deployment_raw[[#This Row],[Column5]],1)*(1+$Q$2)/1048576)),"")</f>
        <v/>
      </c>
      <c r="R355" s="169" t="str">
        <f>IF(ISNUMBER(deployment_raw[[#This Row],[Column8]]), (H355  * IF(N355&lt;&gt;0,$R$2,1)),"")</f>
        <v/>
      </c>
      <c r="S355" s="170" t="str">
        <f>IF(ISNUMBER(deployment_raw[[#This Row],[Column8]]), (I355  * IF(O355&lt;&gt;0,$S$2,1)),"")</f>
        <v/>
      </c>
      <c r="T355" s="202" t="str">
        <f>IF(AND(A355&lt;&gt;"",_xlfn.IFNA(MATCH(A355,'dynamic resource application '!$A$2:$A$100, 0),0)&lt;&gt;0), H355/(IF($E$2="Deployment",E355,1)),"")</f>
        <v/>
      </c>
      <c r="U355" s="211" t="str">
        <f>IF(AND(A355&lt;&gt;"",_xlfn.IFNA(MATCH(A355,'dynamic resource application '!$A$2:$A$100, 0),0)&lt;&gt;0), I355/(IF($E$2="Deployment",E355,1)),"")</f>
        <v/>
      </c>
    </row>
    <row r="356" spans="1:21" ht="15.75" customHeight="1" x14ac:dyDescent="0.25">
      <c r="A356" s="35" t="str">
        <f>IF(ISNONTEXT(deployment_raw[[#This Row],[Column1]]), "", deployment_raw[[#This Row],[Column1]])</f>
        <v/>
      </c>
      <c r="B356" s="36" t="str">
        <f>IF(ISNONTEXT(deployment_raw[[#This Row],[Column2]]), "", deployment_raw[[#This Row],[Column2]])</f>
        <v/>
      </c>
      <c r="C356" s="36" t="str">
        <f>IF(ISNONTEXT(deployment_raw[[#This Row],[Column3]]), "", deployment_raw[[#This Row],[Column3]])</f>
        <v/>
      </c>
      <c r="D356" s="36" t="str">
        <f>IF(ISNONTEXT(deployment_raw[[#This Row],[Column4]]), "", deployment_raw[[#This Row],[Column4]])</f>
        <v/>
      </c>
      <c r="E356" s="37" t="str">
        <f>IF(ISNUMBER(deployment_raw[[#This Row],[Column5]]), deployment_raw[[#This Row],[Column5]],"")</f>
        <v/>
      </c>
      <c r="F356" s="94" t="str">
        <f>IF(ISNUMBER(deployment_raw[[#This Row],[Column6]]), (deployment_raw[[#This Row],[Column6]] * IF($E$2="Deployment",deployment_raw[[#This Row],[Column5]],1)),"")</f>
        <v/>
      </c>
      <c r="G356" s="95" t="str">
        <f>IF(ISNUMBER(deployment_raw[[#This Row],[Column7]]), (deployment_raw[[#This Row],[Column7]] * IF($E$2="Deployment",deployment_raw[[#This Row],[Column5]],1))/1048576,"")</f>
        <v/>
      </c>
      <c r="H356" s="95" t="str">
        <f>IF(ISNUMBER(deployment_raw[[#This Row],[Column8]]), (deployment_raw[[#This Row],[Column8]]  * IF($E$2="Deployment",deployment_raw[[#This Row],[Column5]],1)),"")</f>
        <v/>
      </c>
      <c r="I356" s="96" t="str">
        <f>IF(ISNUMBER(deployment_raw[[#This Row],[Column9]]), (deployment_raw[[#This Row],[Column9]] * IF($E$2="Deployment",deployment_raw[[#This Row],[Column5]],1))/1048576,"")</f>
        <v/>
      </c>
      <c r="J356" s="122" t="str">
        <f>IF(ISNUMBER(deployment_raw[[#This Row],[Column10]]), (MIN(IF(N356&lt;&gt;"",N356,9999999999999)*1.1,deployment_raw[[#This Row],[Column10]] * IF($E$2="Deployment",deployment_raw[[#This Row],[Column5]],1))),"")</f>
        <v/>
      </c>
      <c r="K356" s="123" t="str">
        <f>IF(ISNUMBER(deployment_raw[[#This Row],[Column11]]), (MIN(IF(O356&lt;&gt;"",O356,9999999999999)*1.1,deployment_raw[[#This Row],[Column11]] * IF($E$2="Deployment",deployment_raw[[#This Row],[Column5]],1)/1048576)),"")</f>
        <v/>
      </c>
      <c r="L356" s="124" t="str">
        <f>IF(ISNUMBER(deployment_raw[[#This Row],[Column8]]),IF(OR(deployment_raw[[#This Row],[Column5]] &lt;&gt; 0,$E$2 &lt;&gt; "Deployment"), MAX(J356, P356, R356, ($L$2 * IF($E$2="Deployment",deployment_raw[[#This Row],[Column5]],1)),IF(T356&lt;&gt;"",VALUE(T356) * IF($E$2="Deployment",deployment_raw[[#This Row],[Column5]],1),0)), 0),"")</f>
        <v/>
      </c>
      <c r="M356" s="125" t="str">
        <f>IF(ISNUMBER(deployment_raw[[#This Row],[Column9]]),IF(OR(deployment_raw[[#This Row],[Column5]] &lt;&gt; 0,$E$2&lt;&gt;"Deployment"), MAX(K356, Q356, S356, ($M$2 * IF($E$2="Deployment",deployment_raw[[#This Row],[Column5]],1)),IF(U356&lt;&gt;"",VALUE(U356) * IF($E$2="Deployment",deployment_raw[[#This Row],[Column5]],1),0)), 0),"")</f>
        <v/>
      </c>
      <c r="N356" s="166" t="str">
        <f>IF(ISNUMBER(deployment_raw[[#This Row],[Column14]]), deployment_raw[[#This Row],[Column14]]/IF(OR($E$2="Deployment",deployment_raw[[#This Row],[Column5]]=0),1,deployment_raw[[#This Row],[Column5]]),"")</f>
        <v/>
      </c>
      <c r="O356" s="167" t="str">
        <f>IF(ISNUMBER(deployment_raw[[#This Row],[Column15]]), deployment_raw[[#This Row],[Column15]]/IF(OR($E$2="Deployment",deployment_raw[[#This Row],[Column5]]=0),1,deployment_raw[[#This Row],[Column5]])/1048576,"")</f>
        <v/>
      </c>
      <c r="P356" s="168" t="str">
        <f>IF(ISNUMBER(deployment_raw[[#This Row],[Column12]]), (MIN(IF(N356&lt;&gt;"",N356,9999999999999)*1.1,deployment_raw[[#This Row],[Column12]] * IF($E$2="Deployment",deployment_raw[[#This Row],[Column5]],1))*(1+$P$2)),"")</f>
        <v/>
      </c>
      <c r="Q356" s="167" t="str">
        <f>IF(ISNUMBER(deployment_raw[[#This Row],[Column13]]), (MIN(IF(O356&lt;&gt;"",O356,9999999999999)*1.1,deployment_raw[[#This Row],[Column13]] * IF($E$2="Deployment",deployment_raw[[#This Row],[Column5]],1)*(1+$Q$2)/1048576)),"")</f>
        <v/>
      </c>
      <c r="R356" s="169" t="str">
        <f>IF(ISNUMBER(deployment_raw[[#This Row],[Column8]]), (H356  * IF(N356&lt;&gt;0,$R$2,1)),"")</f>
        <v/>
      </c>
      <c r="S356" s="170" t="str">
        <f>IF(ISNUMBER(deployment_raw[[#This Row],[Column8]]), (I356  * IF(O356&lt;&gt;0,$S$2,1)),"")</f>
        <v/>
      </c>
      <c r="T356" s="202" t="str">
        <f>IF(AND(A356&lt;&gt;"",_xlfn.IFNA(MATCH(A356,'dynamic resource application '!$A$2:$A$100, 0),0)&lt;&gt;0), H356/(IF($E$2="Deployment",E356,1)),"")</f>
        <v/>
      </c>
      <c r="U356" s="211" t="str">
        <f>IF(AND(A356&lt;&gt;"",_xlfn.IFNA(MATCH(A356,'dynamic resource application '!$A$2:$A$100, 0),0)&lt;&gt;0), I356/(IF($E$2="Deployment",E356,1)),"")</f>
        <v/>
      </c>
    </row>
    <row r="357" spans="1:21" ht="15.75" customHeight="1" x14ac:dyDescent="0.25">
      <c r="A357" s="35" t="str">
        <f>IF(ISNONTEXT(deployment_raw[[#This Row],[Column1]]), "", deployment_raw[[#This Row],[Column1]])</f>
        <v/>
      </c>
      <c r="B357" s="36" t="str">
        <f>IF(ISNONTEXT(deployment_raw[[#This Row],[Column2]]), "", deployment_raw[[#This Row],[Column2]])</f>
        <v/>
      </c>
      <c r="C357" s="36" t="str">
        <f>IF(ISNONTEXT(deployment_raw[[#This Row],[Column3]]), "", deployment_raw[[#This Row],[Column3]])</f>
        <v/>
      </c>
      <c r="D357" s="36" t="str">
        <f>IF(ISNONTEXT(deployment_raw[[#This Row],[Column4]]), "", deployment_raw[[#This Row],[Column4]])</f>
        <v/>
      </c>
      <c r="E357" s="37" t="str">
        <f>IF(ISNUMBER(deployment_raw[[#This Row],[Column5]]), deployment_raw[[#This Row],[Column5]],"")</f>
        <v/>
      </c>
      <c r="F357" s="94" t="str">
        <f>IF(ISNUMBER(deployment_raw[[#This Row],[Column6]]), (deployment_raw[[#This Row],[Column6]] * IF($E$2="Deployment",deployment_raw[[#This Row],[Column5]],1)),"")</f>
        <v/>
      </c>
      <c r="G357" s="95" t="str">
        <f>IF(ISNUMBER(deployment_raw[[#This Row],[Column7]]), (deployment_raw[[#This Row],[Column7]] * IF($E$2="Deployment",deployment_raw[[#This Row],[Column5]],1))/1048576,"")</f>
        <v/>
      </c>
      <c r="H357" s="95" t="str">
        <f>IF(ISNUMBER(deployment_raw[[#This Row],[Column8]]), (deployment_raw[[#This Row],[Column8]]  * IF($E$2="Deployment",deployment_raw[[#This Row],[Column5]],1)),"")</f>
        <v/>
      </c>
      <c r="I357" s="96" t="str">
        <f>IF(ISNUMBER(deployment_raw[[#This Row],[Column9]]), (deployment_raw[[#This Row],[Column9]] * IF($E$2="Deployment",deployment_raw[[#This Row],[Column5]],1))/1048576,"")</f>
        <v/>
      </c>
      <c r="J357" s="122" t="str">
        <f>IF(ISNUMBER(deployment_raw[[#This Row],[Column10]]), (MIN(IF(N357&lt;&gt;"",N357,9999999999999)*1.1,deployment_raw[[#This Row],[Column10]] * IF($E$2="Deployment",deployment_raw[[#This Row],[Column5]],1))),"")</f>
        <v/>
      </c>
      <c r="K357" s="123" t="str">
        <f>IF(ISNUMBER(deployment_raw[[#This Row],[Column11]]), (MIN(IF(O357&lt;&gt;"",O357,9999999999999)*1.1,deployment_raw[[#This Row],[Column11]] * IF($E$2="Deployment",deployment_raw[[#This Row],[Column5]],1)/1048576)),"")</f>
        <v/>
      </c>
      <c r="L357" s="124" t="str">
        <f>IF(ISNUMBER(deployment_raw[[#This Row],[Column8]]),IF(OR(deployment_raw[[#This Row],[Column5]] &lt;&gt; 0,$E$2 &lt;&gt; "Deployment"), MAX(J357, P357, R357, ($L$2 * IF($E$2="Deployment",deployment_raw[[#This Row],[Column5]],1)),IF(T357&lt;&gt;"",VALUE(T357) * IF($E$2="Deployment",deployment_raw[[#This Row],[Column5]],1),0)), 0),"")</f>
        <v/>
      </c>
      <c r="M357" s="125" t="str">
        <f>IF(ISNUMBER(deployment_raw[[#This Row],[Column9]]),IF(OR(deployment_raw[[#This Row],[Column5]] &lt;&gt; 0,$E$2&lt;&gt;"Deployment"), MAX(K357, Q357, S357, ($M$2 * IF($E$2="Deployment",deployment_raw[[#This Row],[Column5]],1)),IF(U357&lt;&gt;"",VALUE(U357) * IF($E$2="Deployment",deployment_raw[[#This Row],[Column5]],1),0)), 0),"")</f>
        <v/>
      </c>
      <c r="N357" s="166" t="str">
        <f>IF(ISNUMBER(deployment_raw[[#This Row],[Column14]]), deployment_raw[[#This Row],[Column14]]/IF(OR($E$2="Deployment",deployment_raw[[#This Row],[Column5]]=0),1,deployment_raw[[#This Row],[Column5]]),"")</f>
        <v/>
      </c>
      <c r="O357" s="167" t="str">
        <f>IF(ISNUMBER(deployment_raw[[#This Row],[Column15]]), deployment_raw[[#This Row],[Column15]]/IF(OR($E$2="Deployment",deployment_raw[[#This Row],[Column5]]=0),1,deployment_raw[[#This Row],[Column5]])/1048576,"")</f>
        <v/>
      </c>
      <c r="P357" s="168" t="str">
        <f>IF(ISNUMBER(deployment_raw[[#This Row],[Column12]]), (MIN(IF(N357&lt;&gt;"",N357,9999999999999)*1.1,deployment_raw[[#This Row],[Column12]] * IF($E$2="Deployment",deployment_raw[[#This Row],[Column5]],1))*(1+$P$2)),"")</f>
        <v/>
      </c>
      <c r="Q357" s="167" t="str">
        <f>IF(ISNUMBER(deployment_raw[[#This Row],[Column13]]), (MIN(IF(O357&lt;&gt;"",O357,9999999999999)*1.1,deployment_raw[[#This Row],[Column13]] * IF($E$2="Deployment",deployment_raw[[#This Row],[Column5]],1)*(1+$Q$2)/1048576)),"")</f>
        <v/>
      </c>
      <c r="R357" s="169" t="str">
        <f>IF(ISNUMBER(deployment_raw[[#This Row],[Column8]]), (H357  * IF(N357&lt;&gt;0,$R$2,1)),"")</f>
        <v/>
      </c>
      <c r="S357" s="170" t="str">
        <f>IF(ISNUMBER(deployment_raw[[#This Row],[Column8]]), (I357  * IF(O357&lt;&gt;0,$S$2,1)),"")</f>
        <v/>
      </c>
      <c r="T357" s="202" t="str">
        <f>IF(AND(A357&lt;&gt;"",_xlfn.IFNA(MATCH(A357,'dynamic resource application '!$A$2:$A$100, 0),0)&lt;&gt;0), H357/(IF($E$2="Deployment",E357,1)),"")</f>
        <v/>
      </c>
      <c r="U357" s="211" t="str">
        <f>IF(AND(A357&lt;&gt;"",_xlfn.IFNA(MATCH(A357,'dynamic resource application '!$A$2:$A$100, 0),0)&lt;&gt;0), I357/(IF($E$2="Deployment",E357,1)),"")</f>
        <v/>
      </c>
    </row>
    <row r="358" spans="1:21" ht="15.75" customHeight="1" x14ac:dyDescent="0.25">
      <c r="A358" s="35" t="str">
        <f>IF(ISNONTEXT(deployment_raw[[#This Row],[Column1]]), "", deployment_raw[[#This Row],[Column1]])</f>
        <v/>
      </c>
      <c r="B358" s="36" t="str">
        <f>IF(ISNONTEXT(deployment_raw[[#This Row],[Column2]]), "", deployment_raw[[#This Row],[Column2]])</f>
        <v/>
      </c>
      <c r="C358" s="36" t="str">
        <f>IF(ISNONTEXT(deployment_raw[[#This Row],[Column3]]), "", deployment_raw[[#This Row],[Column3]])</f>
        <v/>
      </c>
      <c r="D358" s="36" t="str">
        <f>IF(ISNONTEXT(deployment_raw[[#This Row],[Column4]]), "", deployment_raw[[#This Row],[Column4]])</f>
        <v/>
      </c>
      <c r="E358" s="37" t="str">
        <f>IF(ISNUMBER(deployment_raw[[#This Row],[Column5]]), deployment_raw[[#This Row],[Column5]],"")</f>
        <v/>
      </c>
      <c r="F358" s="94" t="str">
        <f>IF(ISNUMBER(deployment_raw[[#This Row],[Column6]]), (deployment_raw[[#This Row],[Column6]] * IF($E$2="Deployment",deployment_raw[[#This Row],[Column5]],1)),"")</f>
        <v/>
      </c>
      <c r="G358" s="95" t="str">
        <f>IF(ISNUMBER(deployment_raw[[#This Row],[Column7]]), (deployment_raw[[#This Row],[Column7]] * IF($E$2="Deployment",deployment_raw[[#This Row],[Column5]],1))/1048576,"")</f>
        <v/>
      </c>
      <c r="H358" s="95" t="str">
        <f>IF(ISNUMBER(deployment_raw[[#This Row],[Column8]]), (deployment_raw[[#This Row],[Column8]]  * IF($E$2="Deployment",deployment_raw[[#This Row],[Column5]],1)),"")</f>
        <v/>
      </c>
      <c r="I358" s="96" t="str">
        <f>IF(ISNUMBER(deployment_raw[[#This Row],[Column9]]), (deployment_raw[[#This Row],[Column9]] * IF($E$2="Deployment",deployment_raw[[#This Row],[Column5]],1))/1048576,"")</f>
        <v/>
      </c>
      <c r="J358" s="122" t="str">
        <f>IF(ISNUMBER(deployment_raw[[#This Row],[Column10]]), (MIN(IF(N358&lt;&gt;"",N358,9999999999999)*1.1,deployment_raw[[#This Row],[Column10]] * IF($E$2="Deployment",deployment_raw[[#This Row],[Column5]],1))),"")</f>
        <v/>
      </c>
      <c r="K358" s="123" t="str">
        <f>IF(ISNUMBER(deployment_raw[[#This Row],[Column11]]), (MIN(IF(O358&lt;&gt;"",O358,9999999999999)*1.1,deployment_raw[[#This Row],[Column11]] * IF($E$2="Deployment",deployment_raw[[#This Row],[Column5]],1)/1048576)),"")</f>
        <v/>
      </c>
      <c r="L358" s="124" t="str">
        <f>IF(ISNUMBER(deployment_raw[[#This Row],[Column8]]),IF(OR(deployment_raw[[#This Row],[Column5]] &lt;&gt; 0,$E$2 &lt;&gt; "Deployment"), MAX(J358, P358, R358, ($L$2 * IF($E$2="Deployment",deployment_raw[[#This Row],[Column5]],1)),IF(T358&lt;&gt;"",VALUE(T358) * IF($E$2="Deployment",deployment_raw[[#This Row],[Column5]],1),0)), 0),"")</f>
        <v/>
      </c>
      <c r="M358" s="125" t="str">
        <f>IF(ISNUMBER(deployment_raw[[#This Row],[Column9]]),IF(OR(deployment_raw[[#This Row],[Column5]] &lt;&gt; 0,$E$2&lt;&gt;"Deployment"), MAX(K358, Q358, S358, ($M$2 * IF($E$2="Deployment",deployment_raw[[#This Row],[Column5]],1)),IF(U358&lt;&gt;"",VALUE(U358) * IF($E$2="Deployment",deployment_raw[[#This Row],[Column5]],1),0)), 0),"")</f>
        <v/>
      </c>
      <c r="N358" s="166" t="str">
        <f>IF(ISNUMBER(deployment_raw[[#This Row],[Column14]]), deployment_raw[[#This Row],[Column14]]/IF(OR($E$2="Deployment",deployment_raw[[#This Row],[Column5]]=0),1,deployment_raw[[#This Row],[Column5]]),"")</f>
        <v/>
      </c>
      <c r="O358" s="167" t="str">
        <f>IF(ISNUMBER(deployment_raw[[#This Row],[Column15]]), deployment_raw[[#This Row],[Column15]]/IF(OR($E$2="Deployment",deployment_raw[[#This Row],[Column5]]=0),1,deployment_raw[[#This Row],[Column5]])/1048576,"")</f>
        <v/>
      </c>
      <c r="P358" s="168" t="str">
        <f>IF(ISNUMBER(deployment_raw[[#This Row],[Column12]]), (MIN(IF(N358&lt;&gt;"",N358,9999999999999)*1.1,deployment_raw[[#This Row],[Column12]] * IF($E$2="Deployment",deployment_raw[[#This Row],[Column5]],1))*(1+$P$2)),"")</f>
        <v/>
      </c>
      <c r="Q358" s="167" t="str">
        <f>IF(ISNUMBER(deployment_raw[[#This Row],[Column13]]), (MIN(IF(O358&lt;&gt;"",O358,9999999999999)*1.1,deployment_raw[[#This Row],[Column13]] * IF($E$2="Deployment",deployment_raw[[#This Row],[Column5]],1)*(1+$Q$2)/1048576)),"")</f>
        <v/>
      </c>
      <c r="R358" s="169" t="str">
        <f>IF(ISNUMBER(deployment_raw[[#This Row],[Column8]]), (H358  * IF(N358&lt;&gt;0,$R$2,1)),"")</f>
        <v/>
      </c>
      <c r="S358" s="170" t="str">
        <f>IF(ISNUMBER(deployment_raw[[#This Row],[Column8]]), (I358  * IF(O358&lt;&gt;0,$S$2,1)),"")</f>
        <v/>
      </c>
      <c r="T358" s="202" t="str">
        <f>IF(AND(A358&lt;&gt;"",_xlfn.IFNA(MATCH(A358,'dynamic resource application '!$A$2:$A$100, 0),0)&lt;&gt;0), H358/(IF($E$2="Deployment",E358,1)),"")</f>
        <v/>
      </c>
      <c r="U358" s="211" t="str">
        <f>IF(AND(A358&lt;&gt;"",_xlfn.IFNA(MATCH(A358,'dynamic resource application '!$A$2:$A$100, 0),0)&lt;&gt;0), I358/(IF($E$2="Deployment",E358,1)),"")</f>
        <v/>
      </c>
    </row>
    <row r="359" spans="1:21" ht="15.75" customHeight="1" x14ac:dyDescent="0.25">
      <c r="A359" s="35" t="str">
        <f>IF(ISNONTEXT(deployment_raw[[#This Row],[Column1]]), "", deployment_raw[[#This Row],[Column1]])</f>
        <v/>
      </c>
      <c r="B359" s="36" t="str">
        <f>IF(ISNONTEXT(deployment_raw[[#This Row],[Column2]]), "", deployment_raw[[#This Row],[Column2]])</f>
        <v/>
      </c>
      <c r="C359" s="36" t="str">
        <f>IF(ISNONTEXT(deployment_raw[[#This Row],[Column3]]), "", deployment_raw[[#This Row],[Column3]])</f>
        <v/>
      </c>
      <c r="D359" s="36" t="str">
        <f>IF(ISNONTEXT(deployment_raw[[#This Row],[Column4]]), "", deployment_raw[[#This Row],[Column4]])</f>
        <v/>
      </c>
      <c r="E359" s="37" t="str">
        <f>IF(ISNUMBER(deployment_raw[[#This Row],[Column5]]), deployment_raw[[#This Row],[Column5]],"")</f>
        <v/>
      </c>
      <c r="F359" s="94" t="str">
        <f>IF(ISNUMBER(deployment_raw[[#This Row],[Column6]]), (deployment_raw[[#This Row],[Column6]] * IF($E$2="Deployment",deployment_raw[[#This Row],[Column5]],1)),"")</f>
        <v/>
      </c>
      <c r="G359" s="95" t="str">
        <f>IF(ISNUMBER(deployment_raw[[#This Row],[Column7]]), (deployment_raw[[#This Row],[Column7]] * IF($E$2="Deployment",deployment_raw[[#This Row],[Column5]],1))/1048576,"")</f>
        <v/>
      </c>
      <c r="H359" s="95" t="str">
        <f>IF(ISNUMBER(deployment_raw[[#This Row],[Column8]]), (deployment_raw[[#This Row],[Column8]]  * IF($E$2="Deployment",deployment_raw[[#This Row],[Column5]],1)),"")</f>
        <v/>
      </c>
      <c r="I359" s="96" t="str">
        <f>IF(ISNUMBER(deployment_raw[[#This Row],[Column9]]), (deployment_raw[[#This Row],[Column9]] * IF($E$2="Deployment",deployment_raw[[#This Row],[Column5]],1))/1048576,"")</f>
        <v/>
      </c>
      <c r="J359" s="122" t="str">
        <f>IF(ISNUMBER(deployment_raw[[#This Row],[Column10]]), (MIN(IF(N359&lt;&gt;"",N359,9999999999999)*1.1,deployment_raw[[#This Row],[Column10]] * IF($E$2="Deployment",deployment_raw[[#This Row],[Column5]],1))),"")</f>
        <v/>
      </c>
      <c r="K359" s="123" t="str">
        <f>IF(ISNUMBER(deployment_raw[[#This Row],[Column11]]), (MIN(IF(O359&lt;&gt;"",O359,9999999999999)*1.1,deployment_raw[[#This Row],[Column11]] * IF($E$2="Deployment",deployment_raw[[#This Row],[Column5]],1)/1048576)),"")</f>
        <v/>
      </c>
      <c r="L359" s="124" t="str">
        <f>IF(ISNUMBER(deployment_raw[[#This Row],[Column8]]),IF(OR(deployment_raw[[#This Row],[Column5]] &lt;&gt; 0,$E$2 &lt;&gt; "Deployment"), MAX(J359, P359, R359, ($L$2 * IF($E$2="Deployment",deployment_raw[[#This Row],[Column5]],1)),IF(T359&lt;&gt;"",VALUE(T359) * IF($E$2="Deployment",deployment_raw[[#This Row],[Column5]],1),0)), 0),"")</f>
        <v/>
      </c>
      <c r="M359" s="125" t="str">
        <f>IF(ISNUMBER(deployment_raw[[#This Row],[Column9]]),IF(OR(deployment_raw[[#This Row],[Column5]] &lt;&gt; 0,$E$2&lt;&gt;"Deployment"), MAX(K359, Q359, S359, ($M$2 * IF($E$2="Deployment",deployment_raw[[#This Row],[Column5]],1)),IF(U359&lt;&gt;"",VALUE(U359) * IF($E$2="Deployment",deployment_raw[[#This Row],[Column5]],1),0)), 0),"")</f>
        <v/>
      </c>
      <c r="N359" s="166" t="str">
        <f>IF(ISNUMBER(deployment_raw[[#This Row],[Column14]]), deployment_raw[[#This Row],[Column14]]/IF(OR($E$2="Deployment",deployment_raw[[#This Row],[Column5]]=0),1,deployment_raw[[#This Row],[Column5]]),"")</f>
        <v/>
      </c>
      <c r="O359" s="167" t="str">
        <f>IF(ISNUMBER(deployment_raw[[#This Row],[Column15]]), deployment_raw[[#This Row],[Column15]]/IF(OR($E$2="Deployment",deployment_raw[[#This Row],[Column5]]=0),1,deployment_raw[[#This Row],[Column5]])/1048576,"")</f>
        <v/>
      </c>
      <c r="P359" s="168" t="str">
        <f>IF(ISNUMBER(deployment_raw[[#This Row],[Column12]]), (MIN(IF(N359&lt;&gt;"",N359,9999999999999)*1.1,deployment_raw[[#This Row],[Column12]] * IF($E$2="Deployment",deployment_raw[[#This Row],[Column5]],1))*(1+$P$2)),"")</f>
        <v/>
      </c>
      <c r="Q359" s="167" t="str">
        <f>IF(ISNUMBER(deployment_raw[[#This Row],[Column13]]), (MIN(IF(O359&lt;&gt;"",O359,9999999999999)*1.1,deployment_raw[[#This Row],[Column13]] * IF($E$2="Deployment",deployment_raw[[#This Row],[Column5]],1)*(1+$Q$2)/1048576)),"")</f>
        <v/>
      </c>
      <c r="R359" s="169" t="str">
        <f>IF(ISNUMBER(deployment_raw[[#This Row],[Column8]]), (H359  * IF(N359&lt;&gt;0,$R$2,1)),"")</f>
        <v/>
      </c>
      <c r="S359" s="170" t="str">
        <f>IF(ISNUMBER(deployment_raw[[#This Row],[Column8]]), (I359  * IF(O359&lt;&gt;0,$S$2,1)),"")</f>
        <v/>
      </c>
      <c r="T359" s="202" t="str">
        <f>IF(AND(A359&lt;&gt;"",_xlfn.IFNA(MATCH(A359,'dynamic resource application '!$A$2:$A$100, 0),0)&lt;&gt;0), H359/(IF($E$2="Deployment",E359,1)),"")</f>
        <v/>
      </c>
      <c r="U359" s="211" t="str">
        <f>IF(AND(A359&lt;&gt;"",_xlfn.IFNA(MATCH(A359,'dynamic resource application '!$A$2:$A$100, 0),0)&lt;&gt;0), I359/(IF($E$2="Deployment",E359,1)),"")</f>
        <v/>
      </c>
    </row>
    <row r="360" spans="1:21" ht="15.75" customHeight="1" x14ac:dyDescent="0.25">
      <c r="A360" s="35" t="str">
        <f>IF(ISNONTEXT(deployment_raw[[#This Row],[Column1]]), "", deployment_raw[[#This Row],[Column1]])</f>
        <v/>
      </c>
      <c r="B360" s="36" t="str">
        <f>IF(ISNONTEXT(deployment_raw[[#This Row],[Column2]]), "", deployment_raw[[#This Row],[Column2]])</f>
        <v/>
      </c>
      <c r="C360" s="36" t="str">
        <f>IF(ISNONTEXT(deployment_raw[[#This Row],[Column3]]), "", deployment_raw[[#This Row],[Column3]])</f>
        <v/>
      </c>
      <c r="D360" s="36" t="str">
        <f>IF(ISNONTEXT(deployment_raw[[#This Row],[Column4]]), "", deployment_raw[[#This Row],[Column4]])</f>
        <v/>
      </c>
      <c r="E360" s="37" t="str">
        <f>IF(ISNUMBER(deployment_raw[[#This Row],[Column5]]), deployment_raw[[#This Row],[Column5]],"")</f>
        <v/>
      </c>
      <c r="F360" s="94" t="str">
        <f>IF(ISNUMBER(deployment_raw[[#This Row],[Column6]]), (deployment_raw[[#This Row],[Column6]] * IF($E$2="Deployment",deployment_raw[[#This Row],[Column5]],1)),"")</f>
        <v/>
      </c>
      <c r="G360" s="95" t="str">
        <f>IF(ISNUMBER(deployment_raw[[#This Row],[Column7]]), (deployment_raw[[#This Row],[Column7]] * IF($E$2="Deployment",deployment_raw[[#This Row],[Column5]],1))/1048576,"")</f>
        <v/>
      </c>
      <c r="H360" s="95" t="str">
        <f>IF(ISNUMBER(deployment_raw[[#This Row],[Column8]]), (deployment_raw[[#This Row],[Column8]]  * IF($E$2="Deployment",deployment_raw[[#This Row],[Column5]],1)),"")</f>
        <v/>
      </c>
      <c r="I360" s="96" t="str">
        <f>IF(ISNUMBER(deployment_raw[[#This Row],[Column9]]), (deployment_raw[[#This Row],[Column9]] * IF($E$2="Deployment",deployment_raw[[#This Row],[Column5]],1))/1048576,"")</f>
        <v/>
      </c>
      <c r="J360" s="122" t="str">
        <f>IF(ISNUMBER(deployment_raw[[#This Row],[Column10]]), (MIN(IF(N360&lt;&gt;"",N360,9999999999999)*1.1,deployment_raw[[#This Row],[Column10]] * IF($E$2="Deployment",deployment_raw[[#This Row],[Column5]],1))),"")</f>
        <v/>
      </c>
      <c r="K360" s="123" t="str">
        <f>IF(ISNUMBER(deployment_raw[[#This Row],[Column11]]), (MIN(IF(O360&lt;&gt;"",O360,9999999999999)*1.1,deployment_raw[[#This Row],[Column11]] * IF($E$2="Deployment",deployment_raw[[#This Row],[Column5]],1)/1048576)),"")</f>
        <v/>
      </c>
      <c r="L360" s="124" t="str">
        <f>IF(ISNUMBER(deployment_raw[[#This Row],[Column8]]),IF(OR(deployment_raw[[#This Row],[Column5]] &lt;&gt; 0,$E$2 &lt;&gt; "Deployment"), MAX(J360, P360, R360, ($L$2 * IF($E$2="Deployment",deployment_raw[[#This Row],[Column5]],1)),IF(T360&lt;&gt;"",VALUE(T360) * IF($E$2="Deployment",deployment_raw[[#This Row],[Column5]],1),0)), 0),"")</f>
        <v/>
      </c>
      <c r="M360" s="125" t="str">
        <f>IF(ISNUMBER(deployment_raw[[#This Row],[Column9]]),IF(OR(deployment_raw[[#This Row],[Column5]] &lt;&gt; 0,$E$2&lt;&gt;"Deployment"), MAX(K360, Q360, S360, ($M$2 * IF($E$2="Deployment",deployment_raw[[#This Row],[Column5]],1)),IF(U360&lt;&gt;"",VALUE(U360) * IF($E$2="Deployment",deployment_raw[[#This Row],[Column5]],1),0)), 0),"")</f>
        <v/>
      </c>
      <c r="N360" s="166" t="str">
        <f>IF(ISNUMBER(deployment_raw[[#This Row],[Column14]]), deployment_raw[[#This Row],[Column14]]/IF(OR($E$2="Deployment",deployment_raw[[#This Row],[Column5]]=0),1,deployment_raw[[#This Row],[Column5]]),"")</f>
        <v/>
      </c>
      <c r="O360" s="167" t="str">
        <f>IF(ISNUMBER(deployment_raw[[#This Row],[Column15]]), deployment_raw[[#This Row],[Column15]]/IF(OR($E$2="Deployment",deployment_raw[[#This Row],[Column5]]=0),1,deployment_raw[[#This Row],[Column5]])/1048576,"")</f>
        <v/>
      </c>
      <c r="P360" s="168" t="str">
        <f>IF(ISNUMBER(deployment_raw[[#This Row],[Column12]]), (MIN(IF(N360&lt;&gt;"",N360,9999999999999)*1.1,deployment_raw[[#This Row],[Column12]] * IF($E$2="Deployment",deployment_raw[[#This Row],[Column5]],1))*(1+$P$2)),"")</f>
        <v/>
      </c>
      <c r="Q360" s="167" t="str">
        <f>IF(ISNUMBER(deployment_raw[[#This Row],[Column13]]), (MIN(IF(O360&lt;&gt;"",O360,9999999999999)*1.1,deployment_raw[[#This Row],[Column13]] * IF($E$2="Deployment",deployment_raw[[#This Row],[Column5]],1)*(1+$Q$2)/1048576)),"")</f>
        <v/>
      </c>
      <c r="R360" s="169" t="str">
        <f>IF(ISNUMBER(deployment_raw[[#This Row],[Column8]]), (H360  * IF(N360&lt;&gt;0,$R$2,1)),"")</f>
        <v/>
      </c>
      <c r="S360" s="170" t="str">
        <f>IF(ISNUMBER(deployment_raw[[#This Row],[Column8]]), (I360  * IF(O360&lt;&gt;0,$S$2,1)),"")</f>
        <v/>
      </c>
      <c r="T360" s="202" t="str">
        <f>IF(AND(A360&lt;&gt;"",_xlfn.IFNA(MATCH(A360,'dynamic resource application '!$A$2:$A$100, 0),0)&lt;&gt;0), H360/(IF($E$2="Deployment",E360,1)),"")</f>
        <v/>
      </c>
      <c r="U360" s="211" t="str">
        <f>IF(AND(A360&lt;&gt;"",_xlfn.IFNA(MATCH(A360,'dynamic resource application '!$A$2:$A$100, 0),0)&lt;&gt;0), I360/(IF($E$2="Deployment",E360,1)),"")</f>
        <v/>
      </c>
    </row>
    <row r="361" spans="1:21" ht="15.75" customHeight="1" x14ac:dyDescent="0.25">
      <c r="A361" s="35" t="str">
        <f>IF(ISNONTEXT(deployment_raw[[#This Row],[Column1]]), "", deployment_raw[[#This Row],[Column1]])</f>
        <v/>
      </c>
      <c r="B361" s="36" t="str">
        <f>IF(ISNONTEXT(deployment_raw[[#This Row],[Column2]]), "", deployment_raw[[#This Row],[Column2]])</f>
        <v/>
      </c>
      <c r="C361" s="36" t="str">
        <f>IF(ISNONTEXT(deployment_raw[[#This Row],[Column3]]), "", deployment_raw[[#This Row],[Column3]])</f>
        <v/>
      </c>
      <c r="D361" s="36" t="str">
        <f>IF(ISNONTEXT(deployment_raw[[#This Row],[Column4]]), "", deployment_raw[[#This Row],[Column4]])</f>
        <v/>
      </c>
      <c r="E361" s="37" t="str">
        <f>IF(ISNUMBER(deployment_raw[[#This Row],[Column5]]), deployment_raw[[#This Row],[Column5]],"")</f>
        <v/>
      </c>
      <c r="F361" s="94" t="str">
        <f>IF(ISNUMBER(deployment_raw[[#This Row],[Column6]]), (deployment_raw[[#This Row],[Column6]] * IF($E$2="Deployment",deployment_raw[[#This Row],[Column5]],1)),"")</f>
        <v/>
      </c>
      <c r="G361" s="95" t="str">
        <f>IF(ISNUMBER(deployment_raw[[#This Row],[Column7]]), (deployment_raw[[#This Row],[Column7]] * IF($E$2="Deployment",deployment_raw[[#This Row],[Column5]],1))/1048576,"")</f>
        <v/>
      </c>
      <c r="H361" s="95" t="str">
        <f>IF(ISNUMBER(deployment_raw[[#This Row],[Column8]]), (deployment_raw[[#This Row],[Column8]]  * IF($E$2="Deployment",deployment_raw[[#This Row],[Column5]],1)),"")</f>
        <v/>
      </c>
      <c r="I361" s="96" t="str">
        <f>IF(ISNUMBER(deployment_raw[[#This Row],[Column9]]), (deployment_raw[[#This Row],[Column9]] * IF($E$2="Deployment",deployment_raw[[#This Row],[Column5]],1))/1048576,"")</f>
        <v/>
      </c>
      <c r="J361" s="122" t="str">
        <f>IF(ISNUMBER(deployment_raw[[#This Row],[Column10]]), (MIN(IF(N361&lt;&gt;"",N361,9999999999999)*1.1,deployment_raw[[#This Row],[Column10]] * IF($E$2="Deployment",deployment_raw[[#This Row],[Column5]],1))),"")</f>
        <v/>
      </c>
      <c r="K361" s="123" t="str">
        <f>IF(ISNUMBER(deployment_raw[[#This Row],[Column11]]), (MIN(IF(O361&lt;&gt;"",O361,9999999999999)*1.1,deployment_raw[[#This Row],[Column11]] * IF($E$2="Deployment",deployment_raw[[#This Row],[Column5]],1)/1048576)),"")</f>
        <v/>
      </c>
      <c r="L361" s="124" t="str">
        <f>IF(ISNUMBER(deployment_raw[[#This Row],[Column8]]),IF(OR(deployment_raw[[#This Row],[Column5]] &lt;&gt; 0,$E$2 &lt;&gt; "Deployment"), MAX(J361, P361, R361, ($L$2 * IF($E$2="Deployment",deployment_raw[[#This Row],[Column5]],1)),IF(T361&lt;&gt;"",VALUE(T361) * IF($E$2="Deployment",deployment_raw[[#This Row],[Column5]],1),0)), 0),"")</f>
        <v/>
      </c>
      <c r="M361" s="125" t="str">
        <f>IF(ISNUMBER(deployment_raw[[#This Row],[Column9]]),IF(OR(deployment_raw[[#This Row],[Column5]] &lt;&gt; 0,$E$2&lt;&gt;"Deployment"), MAX(K361, Q361, S361, ($M$2 * IF($E$2="Deployment",deployment_raw[[#This Row],[Column5]],1)),IF(U361&lt;&gt;"",VALUE(U361) * IF($E$2="Deployment",deployment_raw[[#This Row],[Column5]],1),0)), 0),"")</f>
        <v/>
      </c>
      <c r="N361" s="166" t="str">
        <f>IF(ISNUMBER(deployment_raw[[#This Row],[Column14]]), deployment_raw[[#This Row],[Column14]]/IF(OR($E$2="Deployment",deployment_raw[[#This Row],[Column5]]=0),1,deployment_raw[[#This Row],[Column5]]),"")</f>
        <v/>
      </c>
      <c r="O361" s="167" t="str">
        <f>IF(ISNUMBER(deployment_raw[[#This Row],[Column15]]), deployment_raw[[#This Row],[Column15]]/IF(OR($E$2="Deployment",deployment_raw[[#This Row],[Column5]]=0),1,deployment_raw[[#This Row],[Column5]])/1048576,"")</f>
        <v/>
      </c>
      <c r="P361" s="168" t="str">
        <f>IF(ISNUMBER(deployment_raw[[#This Row],[Column12]]), (MIN(IF(N361&lt;&gt;"",N361,9999999999999)*1.1,deployment_raw[[#This Row],[Column12]] * IF($E$2="Deployment",deployment_raw[[#This Row],[Column5]],1))*(1+$P$2)),"")</f>
        <v/>
      </c>
      <c r="Q361" s="167" t="str">
        <f>IF(ISNUMBER(deployment_raw[[#This Row],[Column13]]), (MIN(IF(O361&lt;&gt;"",O361,9999999999999)*1.1,deployment_raw[[#This Row],[Column13]] * IF($E$2="Deployment",deployment_raw[[#This Row],[Column5]],1)*(1+$Q$2)/1048576)),"")</f>
        <v/>
      </c>
      <c r="R361" s="169" t="str">
        <f>IF(ISNUMBER(deployment_raw[[#This Row],[Column8]]), (H361  * IF(N361&lt;&gt;0,$R$2,1)),"")</f>
        <v/>
      </c>
      <c r="S361" s="170" t="str">
        <f>IF(ISNUMBER(deployment_raw[[#This Row],[Column8]]), (I361  * IF(O361&lt;&gt;0,$S$2,1)),"")</f>
        <v/>
      </c>
      <c r="T361" s="202" t="str">
        <f>IF(AND(A361&lt;&gt;"",_xlfn.IFNA(MATCH(A361,'dynamic resource application '!$A$2:$A$100, 0),0)&lt;&gt;0), H361/(IF($E$2="Deployment",E361,1)),"")</f>
        <v/>
      </c>
      <c r="U361" s="211" t="str">
        <f>IF(AND(A361&lt;&gt;"",_xlfn.IFNA(MATCH(A361,'dynamic resource application '!$A$2:$A$100, 0),0)&lt;&gt;0), I361/(IF($E$2="Deployment",E361,1)),"")</f>
        <v/>
      </c>
    </row>
    <row r="362" spans="1:21" ht="15.75" customHeight="1" x14ac:dyDescent="0.25">
      <c r="A362" s="35" t="str">
        <f>IF(ISNONTEXT(deployment_raw[[#This Row],[Column1]]), "", deployment_raw[[#This Row],[Column1]])</f>
        <v/>
      </c>
      <c r="B362" s="36" t="str">
        <f>IF(ISNONTEXT(deployment_raw[[#This Row],[Column2]]), "", deployment_raw[[#This Row],[Column2]])</f>
        <v/>
      </c>
      <c r="C362" s="36" t="str">
        <f>IF(ISNONTEXT(deployment_raw[[#This Row],[Column3]]), "", deployment_raw[[#This Row],[Column3]])</f>
        <v/>
      </c>
      <c r="D362" s="36" t="str">
        <f>IF(ISNONTEXT(deployment_raw[[#This Row],[Column4]]), "", deployment_raw[[#This Row],[Column4]])</f>
        <v/>
      </c>
      <c r="E362" s="37" t="str">
        <f>IF(ISNUMBER(deployment_raw[[#This Row],[Column5]]), deployment_raw[[#This Row],[Column5]],"")</f>
        <v/>
      </c>
      <c r="F362" s="94" t="str">
        <f>IF(ISNUMBER(deployment_raw[[#This Row],[Column6]]), (deployment_raw[[#This Row],[Column6]] * IF($E$2="Deployment",deployment_raw[[#This Row],[Column5]],1)),"")</f>
        <v/>
      </c>
      <c r="G362" s="95" t="str">
        <f>IF(ISNUMBER(deployment_raw[[#This Row],[Column7]]), (deployment_raw[[#This Row],[Column7]] * IF($E$2="Deployment",deployment_raw[[#This Row],[Column5]],1))/1048576,"")</f>
        <v/>
      </c>
      <c r="H362" s="95" t="str">
        <f>IF(ISNUMBER(deployment_raw[[#This Row],[Column8]]), (deployment_raw[[#This Row],[Column8]]  * IF($E$2="Deployment",deployment_raw[[#This Row],[Column5]],1)),"")</f>
        <v/>
      </c>
      <c r="I362" s="96" t="str">
        <f>IF(ISNUMBER(deployment_raw[[#This Row],[Column9]]), (deployment_raw[[#This Row],[Column9]] * IF($E$2="Deployment",deployment_raw[[#This Row],[Column5]],1))/1048576,"")</f>
        <v/>
      </c>
      <c r="J362" s="122" t="str">
        <f>IF(ISNUMBER(deployment_raw[[#This Row],[Column10]]), (MIN(IF(N362&lt;&gt;"",N362,9999999999999)*1.1,deployment_raw[[#This Row],[Column10]] * IF($E$2="Deployment",deployment_raw[[#This Row],[Column5]],1))),"")</f>
        <v/>
      </c>
      <c r="K362" s="123" t="str">
        <f>IF(ISNUMBER(deployment_raw[[#This Row],[Column11]]), (MIN(IF(O362&lt;&gt;"",O362,9999999999999)*1.1,deployment_raw[[#This Row],[Column11]] * IF($E$2="Deployment",deployment_raw[[#This Row],[Column5]],1)/1048576)),"")</f>
        <v/>
      </c>
      <c r="L362" s="124" t="str">
        <f>IF(ISNUMBER(deployment_raw[[#This Row],[Column8]]),IF(OR(deployment_raw[[#This Row],[Column5]] &lt;&gt; 0,$E$2 &lt;&gt; "Deployment"), MAX(J362, P362, R362, ($L$2 * IF($E$2="Deployment",deployment_raw[[#This Row],[Column5]],1)),IF(T362&lt;&gt;"",VALUE(T362) * IF($E$2="Deployment",deployment_raw[[#This Row],[Column5]],1),0)), 0),"")</f>
        <v/>
      </c>
      <c r="M362" s="125" t="str">
        <f>IF(ISNUMBER(deployment_raw[[#This Row],[Column9]]),IF(OR(deployment_raw[[#This Row],[Column5]] &lt;&gt; 0,$E$2&lt;&gt;"Deployment"), MAX(K362, Q362, S362, ($M$2 * IF($E$2="Deployment",deployment_raw[[#This Row],[Column5]],1)),IF(U362&lt;&gt;"",VALUE(U362) * IF($E$2="Deployment",deployment_raw[[#This Row],[Column5]],1),0)), 0),"")</f>
        <v/>
      </c>
      <c r="N362" s="166" t="str">
        <f>IF(ISNUMBER(deployment_raw[[#This Row],[Column14]]), deployment_raw[[#This Row],[Column14]]/IF(OR($E$2="Deployment",deployment_raw[[#This Row],[Column5]]=0),1,deployment_raw[[#This Row],[Column5]]),"")</f>
        <v/>
      </c>
      <c r="O362" s="167" t="str">
        <f>IF(ISNUMBER(deployment_raw[[#This Row],[Column15]]), deployment_raw[[#This Row],[Column15]]/IF(OR($E$2="Deployment",deployment_raw[[#This Row],[Column5]]=0),1,deployment_raw[[#This Row],[Column5]])/1048576,"")</f>
        <v/>
      </c>
      <c r="P362" s="168" t="str">
        <f>IF(ISNUMBER(deployment_raw[[#This Row],[Column12]]), (MIN(IF(N362&lt;&gt;"",N362,9999999999999)*1.1,deployment_raw[[#This Row],[Column12]] * IF($E$2="Deployment",deployment_raw[[#This Row],[Column5]],1))*(1+$P$2)),"")</f>
        <v/>
      </c>
      <c r="Q362" s="167" t="str">
        <f>IF(ISNUMBER(deployment_raw[[#This Row],[Column13]]), (MIN(IF(O362&lt;&gt;"",O362,9999999999999)*1.1,deployment_raw[[#This Row],[Column13]] * IF($E$2="Deployment",deployment_raw[[#This Row],[Column5]],1)*(1+$Q$2)/1048576)),"")</f>
        <v/>
      </c>
      <c r="R362" s="169" t="str">
        <f>IF(ISNUMBER(deployment_raw[[#This Row],[Column8]]), (H362  * IF(N362&lt;&gt;0,$R$2,1)),"")</f>
        <v/>
      </c>
      <c r="S362" s="170" t="str">
        <f>IF(ISNUMBER(deployment_raw[[#This Row],[Column8]]), (I362  * IF(O362&lt;&gt;0,$S$2,1)),"")</f>
        <v/>
      </c>
      <c r="T362" s="202" t="str">
        <f>IF(AND(A362&lt;&gt;"",_xlfn.IFNA(MATCH(A362,'dynamic resource application '!$A$2:$A$100, 0),0)&lt;&gt;0), H362/(IF($E$2="Deployment",E362,1)),"")</f>
        <v/>
      </c>
      <c r="U362" s="211" t="str">
        <f>IF(AND(A362&lt;&gt;"",_xlfn.IFNA(MATCH(A362,'dynamic resource application '!$A$2:$A$100, 0),0)&lt;&gt;0), I362/(IF($E$2="Deployment",E362,1)),"")</f>
        <v/>
      </c>
    </row>
    <row r="363" spans="1:21" ht="15.75" customHeight="1" x14ac:dyDescent="0.25">
      <c r="A363" s="35" t="str">
        <f>IF(ISNONTEXT(deployment_raw[[#This Row],[Column1]]), "", deployment_raw[[#This Row],[Column1]])</f>
        <v/>
      </c>
      <c r="B363" s="36" t="str">
        <f>IF(ISNONTEXT(deployment_raw[[#This Row],[Column2]]), "", deployment_raw[[#This Row],[Column2]])</f>
        <v/>
      </c>
      <c r="C363" s="36" t="str">
        <f>IF(ISNONTEXT(deployment_raw[[#This Row],[Column3]]), "", deployment_raw[[#This Row],[Column3]])</f>
        <v/>
      </c>
      <c r="D363" s="36" t="str">
        <f>IF(ISNONTEXT(deployment_raw[[#This Row],[Column4]]), "", deployment_raw[[#This Row],[Column4]])</f>
        <v/>
      </c>
      <c r="E363" s="37" t="str">
        <f>IF(ISNUMBER(deployment_raw[[#This Row],[Column5]]), deployment_raw[[#This Row],[Column5]],"")</f>
        <v/>
      </c>
      <c r="F363" s="94" t="str">
        <f>IF(ISNUMBER(deployment_raw[[#This Row],[Column6]]), (deployment_raw[[#This Row],[Column6]] * IF($E$2="Deployment",deployment_raw[[#This Row],[Column5]],1)),"")</f>
        <v/>
      </c>
      <c r="G363" s="95" t="str">
        <f>IF(ISNUMBER(deployment_raw[[#This Row],[Column7]]), (deployment_raw[[#This Row],[Column7]] * IF($E$2="Deployment",deployment_raw[[#This Row],[Column5]],1))/1048576,"")</f>
        <v/>
      </c>
      <c r="H363" s="95" t="str">
        <f>IF(ISNUMBER(deployment_raw[[#This Row],[Column8]]), (deployment_raw[[#This Row],[Column8]]  * IF($E$2="Deployment",deployment_raw[[#This Row],[Column5]],1)),"")</f>
        <v/>
      </c>
      <c r="I363" s="96" t="str">
        <f>IF(ISNUMBER(deployment_raw[[#This Row],[Column9]]), (deployment_raw[[#This Row],[Column9]] * IF($E$2="Deployment",deployment_raw[[#This Row],[Column5]],1))/1048576,"")</f>
        <v/>
      </c>
      <c r="J363" s="122" t="str">
        <f>IF(ISNUMBER(deployment_raw[[#This Row],[Column10]]), (MIN(IF(N363&lt;&gt;"",N363,9999999999999)*1.1,deployment_raw[[#This Row],[Column10]] * IF($E$2="Deployment",deployment_raw[[#This Row],[Column5]],1))),"")</f>
        <v/>
      </c>
      <c r="K363" s="123" t="str">
        <f>IF(ISNUMBER(deployment_raw[[#This Row],[Column11]]), (MIN(IF(O363&lt;&gt;"",O363,9999999999999)*1.1,deployment_raw[[#This Row],[Column11]] * IF($E$2="Deployment",deployment_raw[[#This Row],[Column5]],1)/1048576)),"")</f>
        <v/>
      </c>
      <c r="L363" s="124" t="str">
        <f>IF(ISNUMBER(deployment_raw[[#This Row],[Column8]]),IF(OR(deployment_raw[[#This Row],[Column5]] &lt;&gt; 0,$E$2 &lt;&gt; "Deployment"), MAX(J363, P363, R363, ($L$2 * IF($E$2="Deployment",deployment_raw[[#This Row],[Column5]],1)),IF(T363&lt;&gt;"",VALUE(T363) * IF($E$2="Deployment",deployment_raw[[#This Row],[Column5]],1),0)), 0),"")</f>
        <v/>
      </c>
      <c r="M363" s="125" t="str">
        <f>IF(ISNUMBER(deployment_raw[[#This Row],[Column9]]),IF(OR(deployment_raw[[#This Row],[Column5]] &lt;&gt; 0,$E$2&lt;&gt;"Deployment"), MAX(K363, Q363, S363, ($M$2 * IF($E$2="Deployment",deployment_raw[[#This Row],[Column5]],1)),IF(U363&lt;&gt;"",VALUE(U363) * IF($E$2="Deployment",deployment_raw[[#This Row],[Column5]],1),0)), 0),"")</f>
        <v/>
      </c>
      <c r="N363" s="166" t="str">
        <f>IF(ISNUMBER(deployment_raw[[#This Row],[Column14]]), deployment_raw[[#This Row],[Column14]]/IF(OR($E$2="Deployment",deployment_raw[[#This Row],[Column5]]=0),1,deployment_raw[[#This Row],[Column5]]),"")</f>
        <v/>
      </c>
      <c r="O363" s="167" t="str">
        <f>IF(ISNUMBER(deployment_raw[[#This Row],[Column15]]), deployment_raw[[#This Row],[Column15]]/IF(OR($E$2="Deployment",deployment_raw[[#This Row],[Column5]]=0),1,deployment_raw[[#This Row],[Column5]])/1048576,"")</f>
        <v/>
      </c>
      <c r="P363" s="168" t="str">
        <f>IF(ISNUMBER(deployment_raw[[#This Row],[Column12]]), (MIN(IF(N363&lt;&gt;"",N363,9999999999999)*1.1,deployment_raw[[#This Row],[Column12]] * IF($E$2="Deployment",deployment_raw[[#This Row],[Column5]],1))*(1+$P$2)),"")</f>
        <v/>
      </c>
      <c r="Q363" s="167" t="str">
        <f>IF(ISNUMBER(deployment_raw[[#This Row],[Column13]]), (MIN(IF(O363&lt;&gt;"",O363,9999999999999)*1.1,deployment_raw[[#This Row],[Column13]] * IF($E$2="Deployment",deployment_raw[[#This Row],[Column5]],1)*(1+$Q$2)/1048576)),"")</f>
        <v/>
      </c>
      <c r="R363" s="169" t="str">
        <f>IF(ISNUMBER(deployment_raw[[#This Row],[Column8]]), (H363  * IF(N363&lt;&gt;0,$R$2,1)),"")</f>
        <v/>
      </c>
      <c r="S363" s="170" t="str">
        <f>IF(ISNUMBER(deployment_raw[[#This Row],[Column8]]), (I363  * IF(O363&lt;&gt;0,$S$2,1)),"")</f>
        <v/>
      </c>
      <c r="T363" s="202" t="str">
        <f>IF(AND(A363&lt;&gt;"",_xlfn.IFNA(MATCH(A363,'dynamic resource application '!$A$2:$A$100, 0),0)&lt;&gt;0), H363/(IF($E$2="Deployment",E363,1)),"")</f>
        <v/>
      </c>
      <c r="U363" s="211" t="str">
        <f>IF(AND(A363&lt;&gt;"",_xlfn.IFNA(MATCH(A363,'dynamic resource application '!$A$2:$A$100, 0),0)&lt;&gt;0), I363/(IF($E$2="Deployment",E363,1)),"")</f>
        <v/>
      </c>
    </row>
    <row r="364" spans="1:21" ht="15.75" customHeight="1" x14ac:dyDescent="0.25">
      <c r="A364" s="35" t="str">
        <f>IF(ISNONTEXT(deployment_raw[[#This Row],[Column1]]), "", deployment_raw[[#This Row],[Column1]])</f>
        <v/>
      </c>
      <c r="B364" s="36" t="str">
        <f>IF(ISNONTEXT(deployment_raw[[#This Row],[Column2]]), "", deployment_raw[[#This Row],[Column2]])</f>
        <v/>
      </c>
      <c r="C364" s="36" t="str">
        <f>IF(ISNONTEXT(deployment_raw[[#This Row],[Column3]]), "", deployment_raw[[#This Row],[Column3]])</f>
        <v/>
      </c>
      <c r="D364" s="36" t="str">
        <f>IF(ISNONTEXT(deployment_raw[[#This Row],[Column4]]), "", deployment_raw[[#This Row],[Column4]])</f>
        <v/>
      </c>
      <c r="E364" s="37" t="str">
        <f>IF(ISNUMBER(deployment_raw[[#This Row],[Column5]]), deployment_raw[[#This Row],[Column5]],"")</f>
        <v/>
      </c>
      <c r="F364" s="94" t="str">
        <f>IF(ISNUMBER(deployment_raw[[#This Row],[Column6]]), (deployment_raw[[#This Row],[Column6]] * IF($E$2="Deployment",deployment_raw[[#This Row],[Column5]],1)),"")</f>
        <v/>
      </c>
      <c r="G364" s="95" t="str">
        <f>IF(ISNUMBER(deployment_raw[[#This Row],[Column7]]), (deployment_raw[[#This Row],[Column7]] * IF($E$2="Deployment",deployment_raw[[#This Row],[Column5]],1))/1048576,"")</f>
        <v/>
      </c>
      <c r="H364" s="95" t="str">
        <f>IF(ISNUMBER(deployment_raw[[#This Row],[Column8]]), (deployment_raw[[#This Row],[Column8]]  * IF($E$2="Deployment",deployment_raw[[#This Row],[Column5]],1)),"")</f>
        <v/>
      </c>
      <c r="I364" s="96" t="str">
        <f>IF(ISNUMBER(deployment_raw[[#This Row],[Column9]]), (deployment_raw[[#This Row],[Column9]] * IF($E$2="Deployment",deployment_raw[[#This Row],[Column5]],1))/1048576,"")</f>
        <v/>
      </c>
      <c r="J364" s="122" t="str">
        <f>IF(ISNUMBER(deployment_raw[[#This Row],[Column10]]), (MIN(IF(N364&lt;&gt;"",N364,9999999999999)*1.1,deployment_raw[[#This Row],[Column10]] * IF($E$2="Deployment",deployment_raw[[#This Row],[Column5]],1))),"")</f>
        <v/>
      </c>
      <c r="K364" s="123" t="str">
        <f>IF(ISNUMBER(deployment_raw[[#This Row],[Column11]]), (MIN(IF(O364&lt;&gt;"",O364,9999999999999)*1.1,deployment_raw[[#This Row],[Column11]] * IF($E$2="Deployment",deployment_raw[[#This Row],[Column5]],1)/1048576)),"")</f>
        <v/>
      </c>
      <c r="L364" s="124" t="str">
        <f>IF(ISNUMBER(deployment_raw[[#This Row],[Column8]]),IF(OR(deployment_raw[[#This Row],[Column5]] &lt;&gt; 0,$E$2 &lt;&gt; "Deployment"), MAX(J364, P364, R364, ($L$2 * IF($E$2="Deployment",deployment_raw[[#This Row],[Column5]],1)),IF(T364&lt;&gt;"",VALUE(T364) * IF($E$2="Deployment",deployment_raw[[#This Row],[Column5]],1),0)), 0),"")</f>
        <v/>
      </c>
      <c r="M364" s="125" t="str">
        <f>IF(ISNUMBER(deployment_raw[[#This Row],[Column9]]),IF(OR(deployment_raw[[#This Row],[Column5]] &lt;&gt; 0,$E$2&lt;&gt;"Deployment"), MAX(K364, Q364, S364, ($M$2 * IF($E$2="Deployment",deployment_raw[[#This Row],[Column5]],1)),IF(U364&lt;&gt;"",VALUE(U364) * IF($E$2="Deployment",deployment_raw[[#This Row],[Column5]],1),0)), 0),"")</f>
        <v/>
      </c>
      <c r="N364" s="166" t="str">
        <f>IF(ISNUMBER(deployment_raw[[#This Row],[Column14]]), deployment_raw[[#This Row],[Column14]]/IF(OR($E$2="Deployment",deployment_raw[[#This Row],[Column5]]=0),1,deployment_raw[[#This Row],[Column5]]),"")</f>
        <v/>
      </c>
      <c r="O364" s="167" t="str">
        <f>IF(ISNUMBER(deployment_raw[[#This Row],[Column15]]), deployment_raw[[#This Row],[Column15]]/IF(OR($E$2="Deployment",deployment_raw[[#This Row],[Column5]]=0),1,deployment_raw[[#This Row],[Column5]])/1048576,"")</f>
        <v/>
      </c>
      <c r="P364" s="168" t="str">
        <f>IF(ISNUMBER(deployment_raw[[#This Row],[Column12]]), (MIN(IF(N364&lt;&gt;"",N364,9999999999999)*1.1,deployment_raw[[#This Row],[Column12]] * IF($E$2="Deployment",deployment_raw[[#This Row],[Column5]],1))*(1+$P$2)),"")</f>
        <v/>
      </c>
      <c r="Q364" s="167" t="str">
        <f>IF(ISNUMBER(deployment_raw[[#This Row],[Column13]]), (MIN(IF(O364&lt;&gt;"",O364,9999999999999)*1.1,deployment_raw[[#This Row],[Column13]] * IF($E$2="Deployment",deployment_raw[[#This Row],[Column5]],1)*(1+$Q$2)/1048576)),"")</f>
        <v/>
      </c>
      <c r="R364" s="169" t="str">
        <f>IF(ISNUMBER(deployment_raw[[#This Row],[Column8]]), (H364  * IF(N364&lt;&gt;0,$R$2,1)),"")</f>
        <v/>
      </c>
      <c r="S364" s="170" t="str">
        <f>IF(ISNUMBER(deployment_raw[[#This Row],[Column8]]), (I364  * IF(O364&lt;&gt;0,$S$2,1)),"")</f>
        <v/>
      </c>
      <c r="T364" s="202" t="str">
        <f>IF(AND(A364&lt;&gt;"",_xlfn.IFNA(MATCH(A364,'dynamic resource application '!$A$2:$A$100, 0),0)&lt;&gt;0), H364/(IF($E$2="Deployment",E364,1)),"")</f>
        <v/>
      </c>
      <c r="U364" s="211" t="str">
        <f>IF(AND(A364&lt;&gt;"",_xlfn.IFNA(MATCH(A364,'dynamic resource application '!$A$2:$A$100, 0),0)&lt;&gt;0), I364/(IF($E$2="Deployment",E364,1)),"")</f>
        <v/>
      </c>
    </row>
    <row r="365" spans="1:21" ht="15.75" customHeight="1" x14ac:dyDescent="0.25">
      <c r="A365" s="35" t="str">
        <f>IF(ISNONTEXT(deployment_raw[[#This Row],[Column1]]), "", deployment_raw[[#This Row],[Column1]])</f>
        <v/>
      </c>
      <c r="B365" s="36" t="str">
        <f>IF(ISNONTEXT(deployment_raw[[#This Row],[Column2]]), "", deployment_raw[[#This Row],[Column2]])</f>
        <v/>
      </c>
      <c r="C365" s="36" t="str">
        <f>IF(ISNONTEXT(deployment_raw[[#This Row],[Column3]]), "", deployment_raw[[#This Row],[Column3]])</f>
        <v/>
      </c>
      <c r="D365" s="36" t="str">
        <f>IF(ISNONTEXT(deployment_raw[[#This Row],[Column4]]), "", deployment_raw[[#This Row],[Column4]])</f>
        <v/>
      </c>
      <c r="E365" s="37" t="str">
        <f>IF(ISNUMBER(deployment_raw[[#This Row],[Column5]]), deployment_raw[[#This Row],[Column5]],"")</f>
        <v/>
      </c>
      <c r="F365" s="94" t="str">
        <f>IF(ISNUMBER(deployment_raw[[#This Row],[Column6]]), (deployment_raw[[#This Row],[Column6]] * IF($E$2="Deployment",deployment_raw[[#This Row],[Column5]],1)),"")</f>
        <v/>
      </c>
      <c r="G365" s="95" t="str">
        <f>IF(ISNUMBER(deployment_raw[[#This Row],[Column7]]), (deployment_raw[[#This Row],[Column7]] * IF($E$2="Deployment",deployment_raw[[#This Row],[Column5]],1))/1048576,"")</f>
        <v/>
      </c>
      <c r="H365" s="95" t="str">
        <f>IF(ISNUMBER(deployment_raw[[#This Row],[Column8]]), (deployment_raw[[#This Row],[Column8]]  * IF($E$2="Deployment",deployment_raw[[#This Row],[Column5]],1)),"")</f>
        <v/>
      </c>
      <c r="I365" s="96" t="str">
        <f>IF(ISNUMBER(deployment_raw[[#This Row],[Column9]]), (deployment_raw[[#This Row],[Column9]] * IF($E$2="Deployment",deployment_raw[[#This Row],[Column5]],1))/1048576,"")</f>
        <v/>
      </c>
      <c r="J365" s="122" t="str">
        <f>IF(ISNUMBER(deployment_raw[[#This Row],[Column10]]), (MIN(IF(N365&lt;&gt;"",N365,9999999999999)*1.1,deployment_raw[[#This Row],[Column10]] * IF($E$2="Deployment",deployment_raw[[#This Row],[Column5]],1))),"")</f>
        <v/>
      </c>
      <c r="K365" s="123" t="str">
        <f>IF(ISNUMBER(deployment_raw[[#This Row],[Column11]]), (MIN(IF(O365&lt;&gt;"",O365,9999999999999)*1.1,deployment_raw[[#This Row],[Column11]] * IF($E$2="Deployment",deployment_raw[[#This Row],[Column5]],1)/1048576)),"")</f>
        <v/>
      </c>
      <c r="L365" s="124" t="str">
        <f>IF(ISNUMBER(deployment_raw[[#This Row],[Column8]]),IF(OR(deployment_raw[[#This Row],[Column5]] &lt;&gt; 0,$E$2 &lt;&gt; "Deployment"), MAX(J365, P365, R365, ($L$2 * IF($E$2="Deployment",deployment_raw[[#This Row],[Column5]],1)),IF(T365&lt;&gt;"",VALUE(T365) * IF($E$2="Deployment",deployment_raw[[#This Row],[Column5]],1),0)), 0),"")</f>
        <v/>
      </c>
      <c r="M365" s="125" t="str">
        <f>IF(ISNUMBER(deployment_raw[[#This Row],[Column9]]),IF(OR(deployment_raw[[#This Row],[Column5]] &lt;&gt; 0,$E$2&lt;&gt;"Deployment"), MAX(K365, Q365, S365, ($M$2 * IF($E$2="Deployment",deployment_raw[[#This Row],[Column5]],1)),IF(U365&lt;&gt;"",VALUE(U365) * IF($E$2="Deployment",deployment_raw[[#This Row],[Column5]],1),0)), 0),"")</f>
        <v/>
      </c>
      <c r="N365" s="166" t="str">
        <f>IF(ISNUMBER(deployment_raw[[#This Row],[Column14]]), deployment_raw[[#This Row],[Column14]]/IF(OR($E$2="Deployment",deployment_raw[[#This Row],[Column5]]=0),1,deployment_raw[[#This Row],[Column5]]),"")</f>
        <v/>
      </c>
      <c r="O365" s="167" t="str">
        <f>IF(ISNUMBER(deployment_raw[[#This Row],[Column15]]), deployment_raw[[#This Row],[Column15]]/IF(OR($E$2="Deployment",deployment_raw[[#This Row],[Column5]]=0),1,deployment_raw[[#This Row],[Column5]])/1048576,"")</f>
        <v/>
      </c>
      <c r="P365" s="168" t="str">
        <f>IF(ISNUMBER(deployment_raw[[#This Row],[Column12]]), (MIN(IF(N365&lt;&gt;"",N365,9999999999999)*1.1,deployment_raw[[#This Row],[Column12]] * IF($E$2="Deployment",deployment_raw[[#This Row],[Column5]],1))*(1+$P$2)),"")</f>
        <v/>
      </c>
      <c r="Q365" s="167" t="str">
        <f>IF(ISNUMBER(deployment_raw[[#This Row],[Column13]]), (MIN(IF(O365&lt;&gt;"",O365,9999999999999)*1.1,deployment_raw[[#This Row],[Column13]] * IF($E$2="Deployment",deployment_raw[[#This Row],[Column5]],1)*(1+$Q$2)/1048576)),"")</f>
        <v/>
      </c>
      <c r="R365" s="169" t="str">
        <f>IF(ISNUMBER(deployment_raw[[#This Row],[Column8]]), (H365  * IF(N365&lt;&gt;0,$R$2,1)),"")</f>
        <v/>
      </c>
      <c r="S365" s="170" t="str">
        <f>IF(ISNUMBER(deployment_raw[[#This Row],[Column8]]), (I365  * IF(O365&lt;&gt;0,$S$2,1)),"")</f>
        <v/>
      </c>
      <c r="T365" s="202" t="str">
        <f>IF(AND(A365&lt;&gt;"",_xlfn.IFNA(MATCH(A365,'dynamic resource application '!$A$2:$A$100, 0),0)&lt;&gt;0), H365/(IF($E$2="Deployment",E365,1)),"")</f>
        <v/>
      </c>
      <c r="U365" s="211" t="str">
        <f>IF(AND(A365&lt;&gt;"",_xlfn.IFNA(MATCH(A365,'dynamic resource application '!$A$2:$A$100, 0),0)&lt;&gt;0), I365/(IF($E$2="Deployment",E365,1)),"")</f>
        <v/>
      </c>
    </row>
    <row r="366" spans="1:21" ht="15.75" customHeight="1" x14ac:dyDescent="0.25">
      <c r="A366" s="35" t="str">
        <f>IF(ISNONTEXT(deployment_raw[[#This Row],[Column1]]), "", deployment_raw[[#This Row],[Column1]])</f>
        <v/>
      </c>
      <c r="B366" s="36" t="str">
        <f>IF(ISNONTEXT(deployment_raw[[#This Row],[Column2]]), "", deployment_raw[[#This Row],[Column2]])</f>
        <v/>
      </c>
      <c r="C366" s="36" t="str">
        <f>IF(ISNONTEXT(deployment_raw[[#This Row],[Column3]]), "", deployment_raw[[#This Row],[Column3]])</f>
        <v/>
      </c>
      <c r="D366" s="36" t="str">
        <f>IF(ISNONTEXT(deployment_raw[[#This Row],[Column4]]), "", deployment_raw[[#This Row],[Column4]])</f>
        <v/>
      </c>
      <c r="E366" s="37" t="str">
        <f>IF(ISNUMBER(deployment_raw[[#This Row],[Column5]]), deployment_raw[[#This Row],[Column5]],"")</f>
        <v/>
      </c>
      <c r="F366" s="94" t="str">
        <f>IF(ISNUMBER(deployment_raw[[#This Row],[Column6]]), (deployment_raw[[#This Row],[Column6]] * IF($E$2="Deployment",deployment_raw[[#This Row],[Column5]],1)),"")</f>
        <v/>
      </c>
      <c r="G366" s="95" t="str">
        <f>IF(ISNUMBER(deployment_raw[[#This Row],[Column7]]), (deployment_raw[[#This Row],[Column7]] * IF($E$2="Deployment",deployment_raw[[#This Row],[Column5]],1))/1048576,"")</f>
        <v/>
      </c>
      <c r="H366" s="95" t="str">
        <f>IF(ISNUMBER(deployment_raw[[#This Row],[Column8]]), (deployment_raw[[#This Row],[Column8]]  * IF($E$2="Deployment",deployment_raw[[#This Row],[Column5]],1)),"")</f>
        <v/>
      </c>
      <c r="I366" s="96" t="str">
        <f>IF(ISNUMBER(deployment_raw[[#This Row],[Column9]]), (deployment_raw[[#This Row],[Column9]] * IF($E$2="Deployment",deployment_raw[[#This Row],[Column5]],1))/1048576,"")</f>
        <v/>
      </c>
      <c r="J366" s="122" t="str">
        <f>IF(ISNUMBER(deployment_raw[[#This Row],[Column10]]), (MIN(IF(N366&lt;&gt;"",N366,9999999999999)*1.1,deployment_raw[[#This Row],[Column10]] * IF($E$2="Deployment",deployment_raw[[#This Row],[Column5]],1))),"")</f>
        <v/>
      </c>
      <c r="K366" s="123" t="str">
        <f>IF(ISNUMBER(deployment_raw[[#This Row],[Column11]]), (MIN(IF(O366&lt;&gt;"",O366,9999999999999)*1.1,deployment_raw[[#This Row],[Column11]] * IF($E$2="Deployment",deployment_raw[[#This Row],[Column5]],1)/1048576)),"")</f>
        <v/>
      </c>
      <c r="L366" s="124" t="str">
        <f>IF(ISNUMBER(deployment_raw[[#This Row],[Column8]]),IF(OR(deployment_raw[[#This Row],[Column5]] &lt;&gt; 0,$E$2 &lt;&gt; "Deployment"), MAX(J366, P366, R366, ($L$2 * IF($E$2="Deployment",deployment_raw[[#This Row],[Column5]],1)),IF(T366&lt;&gt;"",VALUE(T366) * IF($E$2="Deployment",deployment_raw[[#This Row],[Column5]],1),0)), 0),"")</f>
        <v/>
      </c>
      <c r="M366" s="125" t="str">
        <f>IF(ISNUMBER(deployment_raw[[#This Row],[Column9]]),IF(OR(deployment_raw[[#This Row],[Column5]] &lt;&gt; 0,$E$2&lt;&gt;"Deployment"), MAX(K366, Q366, S366, ($M$2 * IF($E$2="Deployment",deployment_raw[[#This Row],[Column5]],1)),IF(U366&lt;&gt;"",VALUE(U366) * IF($E$2="Deployment",deployment_raw[[#This Row],[Column5]],1),0)), 0),"")</f>
        <v/>
      </c>
      <c r="N366" s="166" t="str">
        <f>IF(ISNUMBER(deployment_raw[[#This Row],[Column14]]), deployment_raw[[#This Row],[Column14]]/IF(OR($E$2="Deployment",deployment_raw[[#This Row],[Column5]]=0),1,deployment_raw[[#This Row],[Column5]]),"")</f>
        <v/>
      </c>
      <c r="O366" s="167" t="str">
        <f>IF(ISNUMBER(deployment_raw[[#This Row],[Column15]]), deployment_raw[[#This Row],[Column15]]/IF(OR($E$2="Deployment",deployment_raw[[#This Row],[Column5]]=0),1,deployment_raw[[#This Row],[Column5]])/1048576,"")</f>
        <v/>
      </c>
      <c r="P366" s="168" t="str">
        <f>IF(ISNUMBER(deployment_raw[[#This Row],[Column12]]), (MIN(IF(N366&lt;&gt;"",N366,9999999999999)*1.1,deployment_raw[[#This Row],[Column12]] * IF($E$2="Deployment",deployment_raw[[#This Row],[Column5]],1))*(1+$P$2)),"")</f>
        <v/>
      </c>
      <c r="Q366" s="167" t="str">
        <f>IF(ISNUMBER(deployment_raw[[#This Row],[Column13]]), (MIN(IF(O366&lt;&gt;"",O366,9999999999999)*1.1,deployment_raw[[#This Row],[Column13]] * IF($E$2="Deployment",deployment_raw[[#This Row],[Column5]],1)*(1+$Q$2)/1048576)),"")</f>
        <v/>
      </c>
      <c r="R366" s="169" t="str">
        <f>IF(ISNUMBER(deployment_raw[[#This Row],[Column8]]), (H366  * IF(N366&lt;&gt;0,$R$2,1)),"")</f>
        <v/>
      </c>
      <c r="S366" s="170" t="str">
        <f>IF(ISNUMBER(deployment_raw[[#This Row],[Column8]]), (I366  * IF(O366&lt;&gt;0,$S$2,1)),"")</f>
        <v/>
      </c>
      <c r="T366" s="202" t="str">
        <f>IF(AND(A366&lt;&gt;"",_xlfn.IFNA(MATCH(A366,'dynamic resource application '!$A$2:$A$100, 0),0)&lt;&gt;0), H366/(IF($E$2="Deployment",E366,1)),"")</f>
        <v/>
      </c>
      <c r="U366" s="211" t="str">
        <f>IF(AND(A366&lt;&gt;"",_xlfn.IFNA(MATCH(A366,'dynamic resource application '!$A$2:$A$100, 0),0)&lt;&gt;0), I366/(IF($E$2="Deployment",E366,1)),"")</f>
        <v/>
      </c>
    </row>
    <row r="367" spans="1:21" ht="15.75" customHeight="1" x14ac:dyDescent="0.25">
      <c r="A367" s="35" t="str">
        <f>IF(ISNONTEXT(deployment_raw[[#This Row],[Column1]]), "", deployment_raw[[#This Row],[Column1]])</f>
        <v/>
      </c>
      <c r="B367" s="36" t="str">
        <f>IF(ISNONTEXT(deployment_raw[[#This Row],[Column2]]), "", deployment_raw[[#This Row],[Column2]])</f>
        <v/>
      </c>
      <c r="C367" s="36" t="str">
        <f>IF(ISNONTEXT(deployment_raw[[#This Row],[Column3]]), "", deployment_raw[[#This Row],[Column3]])</f>
        <v/>
      </c>
      <c r="D367" s="36" t="str">
        <f>IF(ISNONTEXT(deployment_raw[[#This Row],[Column4]]), "", deployment_raw[[#This Row],[Column4]])</f>
        <v/>
      </c>
      <c r="E367" s="37" t="str">
        <f>IF(ISNUMBER(deployment_raw[[#This Row],[Column5]]), deployment_raw[[#This Row],[Column5]],"")</f>
        <v/>
      </c>
      <c r="F367" s="94" t="str">
        <f>IF(ISNUMBER(deployment_raw[[#This Row],[Column6]]), (deployment_raw[[#This Row],[Column6]] * IF($E$2="Deployment",deployment_raw[[#This Row],[Column5]],1)),"")</f>
        <v/>
      </c>
      <c r="G367" s="95" t="str">
        <f>IF(ISNUMBER(deployment_raw[[#This Row],[Column7]]), (deployment_raw[[#This Row],[Column7]] * IF($E$2="Deployment",deployment_raw[[#This Row],[Column5]],1))/1048576,"")</f>
        <v/>
      </c>
      <c r="H367" s="95" t="str">
        <f>IF(ISNUMBER(deployment_raw[[#This Row],[Column8]]), (deployment_raw[[#This Row],[Column8]]  * IF($E$2="Deployment",deployment_raw[[#This Row],[Column5]],1)),"")</f>
        <v/>
      </c>
      <c r="I367" s="96" t="str">
        <f>IF(ISNUMBER(deployment_raw[[#This Row],[Column9]]), (deployment_raw[[#This Row],[Column9]] * IF($E$2="Deployment",deployment_raw[[#This Row],[Column5]],1))/1048576,"")</f>
        <v/>
      </c>
      <c r="J367" s="122" t="str">
        <f>IF(ISNUMBER(deployment_raw[[#This Row],[Column10]]), (MIN(IF(N367&lt;&gt;"",N367,9999999999999)*1.1,deployment_raw[[#This Row],[Column10]] * IF($E$2="Deployment",deployment_raw[[#This Row],[Column5]],1))),"")</f>
        <v/>
      </c>
      <c r="K367" s="123" t="str">
        <f>IF(ISNUMBER(deployment_raw[[#This Row],[Column11]]), (MIN(IF(O367&lt;&gt;"",O367,9999999999999)*1.1,deployment_raw[[#This Row],[Column11]] * IF($E$2="Deployment",deployment_raw[[#This Row],[Column5]],1)/1048576)),"")</f>
        <v/>
      </c>
      <c r="L367" s="124" t="str">
        <f>IF(ISNUMBER(deployment_raw[[#This Row],[Column8]]),IF(OR(deployment_raw[[#This Row],[Column5]] &lt;&gt; 0,$E$2 &lt;&gt; "Deployment"), MAX(J367, P367, R367, ($L$2 * IF($E$2="Deployment",deployment_raw[[#This Row],[Column5]],1)),IF(T367&lt;&gt;"",VALUE(T367) * IF($E$2="Deployment",deployment_raw[[#This Row],[Column5]],1),0)), 0),"")</f>
        <v/>
      </c>
      <c r="M367" s="125" t="str">
        <f>IF(ISNUMBER(deployment_raw[[#This Row],[Column9]]),IF(OR(deployment_raw[[#This Row],[Column5]] &lt;&gt; 0,$E$2&lt;&gt;"Deployment"), MAX(K367, Q367, S367, ($M$2 * IF($E$2="Deployment",deployment_raw[[#This Row],[Column5]],1)),IF(U367&lt;&gt;"",VALUE(U367) * IF($E$2="Deployment",deployment_raw[[#This Row],[Column5]],1),0)), 0),"")</f>
        <v/>
      </c>
      <c r="N367" s="166" t="str">
        <f>IF(ISNUMBER(deployment_raw[[#This Row],[Column14]]), deployment_raw[[#This Row],[Column14]]/IF(OR($E$2="Deployment",deployment_raw[[#This Row],[Column5]]=0),1,deployment_raw[[#This Row],[Column5]]),"")</f>
        <v/>
      </c>
      <c r="O367" s="167" t="str">
        <f>IF(ISNUMBER(deployment_raw[[#This Row],[Column15]]), deployment_raw[[#This Row],[Column15]]/IF(OR($E$2="Deployment",deployment_raw[[#This Row],[Column5]]=0),1,deployment_raw[[#This Row],[Column5]])/1048576,"")</f>
        <v/>
      </c>
      <c r="P367" s="168" t="str">
        <f>IF(ISNUMBER(deployment_raw[[#This Row],[Column12]]), (MIN(IF(N367&lt;&gt;"",N367,9999999999999)*1.1,deployment_raw[[#This Row],[Column12]] * IF($E$2="Deployment",deployment_raw[[#This Row],[Column5]],1))*(1+$P$2)),"")</f>
        <v/>
      </c>
      <c r="Q367" s="167" t="str">
        <f>IF(ISNUMBER(deployment_raw[[#This Row],[Column13]]), (MIN(IF(O367&lt;&gt;"",O367,9999999999999)*1.1,deployment_raw[[#This Row],[Column13]] * IF($E$2="Deployment",deployment_raw[[#This Row],[Column5]],1)*(1+$Q$2)/1048576)),"")</f>
        <v/>
      </c>
      <c r="R367" s="169" t="str">
        <f>IF(ISNUMBER(deployment_raw[[#This Row],[Column8]]), (H367  * IF(N367&lt;&gt;0,$R$2,1)),"")</f>
        <v/>
      </c>
      <c r="S367" s="170" t="str">
        <f>IF(ISNUMBER(deployment_raw[[#This Row],[Column8]]), (I367  * IF(O367&lt;&gt;0,$S$2,1)),"")</f>
        <v/>
      </c>
      <c r="T367" s="202" t="str">
        <f>IF(AND(A367&lt;&gt;"",_xlfn.IFNA(MATCH(A367,'dynamic resource application '!$A$2:$A$100, 0),0)&lt;&gt;0), H367/(IF($E$2="Deployment",E367,1)),"")</f>
        <v/>
      </c>
      <c r="U367" s="211" t="str">
        <f>IF(AND(A367&lt;&gt;"",_xlfn.IFNA(MATCH(A367,'dynamic resource application '!$A$2:$A$100, 0),0)&lt;&gt;0), I367/(IF($E$2="Deployment",E367,1)),"")</f>
        <v/>
      </c>
    </row>
    <row r="368" spans="1:21" ht="15.75" customHeight="1" x14ac:dyDescent="0.25">
      <c r="A368" s="35" t="str">
        <f>IF(ISNONTEXT(deployment_raw[[#This Row],[Column1]]), "", deployment_raw[[#This Row],[Column1]])</f>
        <v/>
      </c>
      <c r="B368" s="36" t="str">
        <f>IF(ISNONTEXT(deployment_raw[[#This Row],[Column2]]), "", deployment_raw[[#This Row],[Column2]])</f>
        <v/>
      </c>
      <c r="C368" s="36" t="str">
        <f>IF(ISNONTEXT(deployment_raw[[#This Row],[Column3]]), "", deployment_raw[[#This Row],[Column3]])</f>
        <v/>
      </c>
      <c r="D368" s="36" t="str">
        <f>IF(ISNONTEXT(deployment_raw[[#This Row],[Column4]]), "", deployment_raw[[#This Row],[Column4]])</f>
        <v/>
      </c>
      <c r="E368" s="37" t="str">
        <f>IF(ISNUMBER(deployment_raw[[#This Row],[Column5]]), deployment_raw[[#This Row],[Column5]],"")</f>
        <v/>
      </c>
      <c r="F368" s="94" t="str">
        <f>IF(ISNUMBER(deployment_raw[[#This Row],[Column6]]), (deployment_raw[[#This Row],[Column6]] * IF($E$2="Deployment",deployment_raw[[#This Row],[Column5]],1)),"")</f>
        <v/>
      </c>
      <c r="G368" s="95" t="str">
        <f>IF(ISNUMBER(deployment_raw[[#This Row],[Column7]]), (deployment_raw[[#This Row],[Column7]] * IF($E$2="Deployment",deployment_raw[[#This Row],[Column5]],1))/1048576,"")</f>
        <v/>
      </c>
      <c r="H368" s="95" t="str">
        <f>IF(ISNUMBER(deployment_raw[[#This Row],[Column8]]), (deployment_raw[[#This Row],[Column8]]  * IF($E$2="Deployment",deployment_raw[[#This Row],[Column5]],1)),"")</f>
        <v/>
      </c>
      <c r="I368" s="96" t="str">
        <f>IF(ISNUMBER(deployment_raw[[#This Row],[Column9]]), (deployment_raw[[#This Row],[Column9]] * IF($E$2="Deployment",deployment_raw[[#This Row],[Column5]],1))/1048576,"")</f>
        <v/>
      </c>
      <c r="J368" s="122" t="str">
        <f>IF(ISNUMBER(deployment_raw[[#This Row],[Column10]]), (MIN(IF(N368&lt;&gt;"",N368,9999999999999)*1.1,deployment_raw[[#This Row],[Column10]] * IF($E$2="Deployment",deployment_raw[[#This Row],[Column5]],1))),"")</f>
        <v/>
      </c>
      <c r="K368" s="123" t="str">
        <f>IF(ISNUMBER(deployment_raw[[#This Row],[Column11]]), (MIN(IF(O368&lt;&gt;"",O368,9999999999999)*1.1,deployment_raw[[#This Row],[Column11]] * IF($E$2="Deployment",deployment_raw[[#This Row],[Column5]],1)/1048576)),"")</f>
        <v/>
      </c>
      <c r="L368" s="124" t="str">
        <f>IF(ISNUMBER(deployment_raw[[#This Row],[Column8]]),IF(OR(deployment_raw[[#This Row],[Column5]] &lt;&gt; 0,$E$2 &lt;&gt; "Deployment"), MAX(J368, P368, R368, ($L$2 * IF($E$2="Deployment",deployment_raw[[#This Row],[Column5]],1)),IF(T368&lt;&gt;"",VALUE(T368) * IF($E$2="Deployment",deployment_raw[[#This Row],[Column5]],1),0)), 0),"")</f>
        <v/>
      </c>
      <c r="M368" s="125" t="str">
        <f>IF(ISNUMBER(deployment_raw[[#This Row],[Column9]]),IF(OR(deployment_raw[[#This Row],[Column5]] &lt;&gt; 0,$E$2&lt;&gt;"Deployment"), MAX(K368, Q368, S368, ($M$2 * IF($E$2="Deployment",deployment_raw[[#This Row],[Column5]],1)),IF(U368&lt;&gt;"",VALUE(U368) * IF($E$2="Deployment",deployment_raw[[#This Row],[Column5]],1),0)), 0),"")</f>
        <v/>
      </c>
      <c r="N368" s="166" t="str">
        <f>IF(ISNUMBER(deployment_raw[[#This Row],[Column14]]), deployment_raw[[#This Row],[Column14]]/IF(OR($E$2="Deployment",deployment_raw[[#This Row],[Column5]]=0),1,deployment_raw[[#This Row],[Column5]]),"")</f>
        <v/>
      </c>
      <c r="O368" s="167" t="str">
        <f>IF(ISNUMBER(deployment_raw[[#This Row],[Column15]]), deployment_raw[[#This Row],[Column15]]/IF(OR($E$2="Deployment",deployment_raw[[#This Row],[Column5]]=0),1,deployment_raw[[#This Row],[Column5]])/1048576,"")</f>
        <v/>
      </c>
      <c r="P368" s="168" t="str">
        <f>IF(ISNUMBER(deployment_raw[[#This Row],[Column12]]), (MIN(IF(N368&lt;&gt;"",N368,9999999999999)*1.1,deployment_raw[[#This Row],[Column12]] * IF($E$2="Deployment",deployment_raw[[#This Row],[Column5]],1))*(1+$P$2)),"")</f>
        <v/>
      </c>
      <c r="Q368" s="167" t="str">
        <f>IF(ISNUMBER(deployment_raw[[#This Row],[Column13]]), (MIN(IF(O368&lt;&gt;"",O368,9999999999999)*1.1,deployment_raw[[#This Row],[Column13]] * IF($E$2="Deployment",deployment_raw[[#This Row],[Column5]],1)*(1+$Q$2)/1048576)),"")</f>
        <v/>
      </c>
      <c r="R368" s="169" t="str">
        <f>IF(ISNUMBER(deployment_raw[[#This Row],[Column8]]), (H368  * IF(N368&lt;&gt;0,$R$2,1)),"")</f>
        <v/>
      </c>
      <c r="S368" s="170" t="str">
        <f>IF(ISNUMBER(deployment_raw[[#This Row],[Column8]]), (I368  * IF(O368&lt;&gt;0,$S$2,1)),"")</f>
        <v/>
      </c>
      <c r="T368" s="202" t="str">
        <f>IF(AND(A368&lt;&gt;"",_xlfn.IFNA(MATCH(A368,'dynamic resource application '!$A$2:$A$100, 0),0)&lt;&gt;0), H368/(IF($E$2="Deployment",E368,1)),"")</f>
        <v/>
      </c>
      <c r="U368" s="211" t="str">
        <f>IF(AND(A368&lt;&gt;"",_xlfn.IFNA(MATCH(A368,'dynamic resource application '!$A$2:$A$100, 0),0)&lt;&gt;0), I368/(IF($E$2="Deployment",E368,1)),"")</f>
        <v/>
      </c>
    </row>
    <row r="369" spans="1:21" ht="15.75" customHeight="1" x14ac:dyDescent="0.25">
      <c r="A369" s="35" t="str">
        <f>IF(ISNONTEXT(deployment_raw[[#This Row],[Column1]]), "", deployment_raw[[#This Row],[Column1]])</f>
        <v/>
      </c>
      <c r="B369" s="36" t="str">
        <f>IF(ISNONTEXT(deployment_raw[[#This Row],[Column2]]), "", deployment_raw[[#This Row],[Column2]])</f>
        <v/>
      </c>
      <c r="C369" s="36" t="str">
        <f>IF(ISNONTEXT(deployment_raw[[#This Row],[Column3]]), "", deployment_raw[[#This Row],[Column3]])</f>
        <v/>
      </c>
      <c r="D369" s="36" t="str">
        <f>IF(ISNONTEXT(deployment_raw[[#This Row],[Column4]]), "", deployment_raw[[#This Row],[Column4]])</f>
        <v/>
      </c>
      <c r="E369" s="37" t="str">
        <f>IF(ISNUMBER(deployment_raw[[#This Row],[Column5]]), deployment_raw[[#This Row],[Column5]],"")</f>
        <v/>
      </c>
      <c r="F369" s="94" t="str">
        <f>IF(ISNUMBER(deployment_raw[[#This Row],[Column6]]), (deployment_raw[[#This Row],[Column6]] * IF($E$2="Deployment",deployment_raw[[#This Row],[Column5]],1)),"")</f>
        <v/>
      </c>
      <c r="G369" s="95" t="str">
        <f>IF(ISNUMBER(deployment_raw[[#This Row],[Column7]]), (deployment_raw[[#This Row],[Column7]] * IF($E$2="Deployment",deployment_raw[[#This Row],[Column5]],1))/1048576,"")</f>
        <v/>
      </c>
      <c r="H369" s="95" t="str">
        <f>IF(ISNUMBER(deployment_raw[[#This Row],[Column8]]), (deployment_raw[[#This Row],[Column8]]  * IF($E$2="Deployment",deployment_raw[[#This Row],[Column5]],1)),"")</f>
        <v/>
      </c>
      <c r="I369" s="96" t="str">
        <f>IF(ISNUMBER(deployment_raw[[#This Row],[Column9]]), (deployment_raw[[#This Row],[Column9]] * IF($E$2="Deployment",deployment_raw[[#This Row],[Column5]],1))/1048576,"")</f>
        <v/>
      </c>
      <c r="J369" s="122" t="str">
        <f>IF(ISNUMBER(deployment_raw[[#This Row],[Column10]]), (MIN(IF(N369&lt;&gt;"",N369,9999999999999)*1.1,deployment_raw[[#This Row],[Column10]] * IF($E$2="Deployment",deployment_raw[[#This Row],[Column5]],1))),"")</f>
        <v/>
      </c>
      <c r="K369" s="123" t="str">
        <f>IF(ISNUMBER(deployment_raw[[#This Row],[Column11]]), (MIN(IF(O369&lt;&gt;"",O369,9999999999999)*1.1,deployment_raw[[#This Row],[Column11]] * IF($E$2="Deployment",deployment_raw[[#This Row],[Column5]],1)/1048576)),"")</f>
        <v/>
      </c>
      <c r="L369" s="124" t="str">
        <f>IF(ISNUMBER(deployment_raw[[#This Row],[Column8]]),IF(OR(deployment_raw[[#This Row],[Column5]] &lt;&gt; 0,$E$2 &lt;&gt; "Deployment"), MAX(J369, P369, R369, ($L$2 * IF($E$2="Deployment",deployment_raw[[#This Row],[Column5]],1)),IF(T369&lt;&gt;"",VALUE(T369) * IF($E$2="Deployment",deployment_raw[[#This Row],[Column5]],1),0)), 0),"")</f>
        <v/>
      </c>
      <c r="M369" s="125" t="str">
        <f>IF(ISNUMBER(deployment_raw[[#This Row],[Column9]]),IF(OR(deployment_raw[[#This Row],[Column5]] &lt;&gt; 0,$E$2&lt;&gt;"Deployment"), MAX(K369, Q369, S369, ($M$2 * IF($E$2="Deployment",deployment_raw[[#This Row],[Column5]],1)),IF(U369&lt;&gt;"",VALUE(U369) * IF($E$2="Deployment",deployment_raw[[#This Row],[Column5]],1),0)), 0),"")</f>
        <v/>
      </c>
      <c r="N369" s="166" t="str">
        <f>IF(ISNUMBER(deployment_raw[[#This Row],[Column14]]), deployment_raw[[#This Row],[Column14]]/IF(OR($E$2="Deployment",deployment_raw[[#This Row],[Column5]]=0),1,deployment_raw[[#This Row],[Column5]]),"")</f>
        <v/>
      </c>
      <c r="O369" s="167" t="str">
        <f>IF(ISNUMBER(deployment_raw[[#This Row],[Column15]]), deployment_raw[[#This Row],[Column15]]/IF(OR($E$2="Deployment",deployment_raw[[#This Row],[Column5]]=0),1,deployment_raw[[#This Row],[Column5]])/1048576,"")</f>
        <v/>
      </c>
      <c r="P369" s="168" t="str">
        <f>IF(ISNUMBER(deployment_raw[[#This Row],[Column12]]), (MIN(IF(N369&lt;&gt;"",N369,9999999999999)*1.1,deployment_raw[[#This Row],[Column12]] * IF($E$2="Deployment",deployment_raw[[#This Row],[Column5]],1))*(1+$P$2)),"")</f>
        <v/>
      </c>
      <c r="Q369" s="167" t="str">
        <f>IF(ISNUMBER(deployment_raw[[#This Row],[Column13]]), (MIN(IF(O369&lt;&gt;"",O369,9999999999999)*1.1,deployment_raw[[#This Row],[Column13]] * IF($E$2="Deployment",deployment_raw[[#This Row],[Column5]],1)*(1+$Q$2)/1048576)),"")</f>
        <v/>
      </c>
      <c r="R369" s="169" t="str">
        <f>IF(ISNUMBER(deployment_raw[[#This Row],[Column8]]), (H369  * IF(N369&lt;&gt;0,$R$2,1)),"")</f>
        <v/>
      </c>
      <c r="S369" s="170" t="str">
        <f>IF(ISNUMBER(deployment_raw[[#This Row],[Column8]]), (I369  * IF(O369&lt;&gt;0,$S$2,1)),"")</f>
        <v/>
      </c>
      <c r="T369" s="202" t="str">
        <f>IF(AND(A369&lt;&gt;"",_xlfn.IFNA(MATCH(A369,'dynamic resource application '!$A$2:$A$100, 0),0)&lt;&gt;0), H369/(IF($E$2="Deployment",E369,1)),"")</f>
        <v/>
      </c>
      <c r="U369" s="211" t="str">
        <f>IF(AND(A369&lt;&gt;"",_xlfn.IFNA(MATCH(A369,'dynamic resource application '!$A$2:$A$100, 0),0)&lt;&gt;0), I369/(IF($E$2="Deployment",E369,1)),"")</f>
        <v/>
      </c>
    </row>
    <row r="370" spans="1:21" ht="15.75" customHeight="1" x14ac:dyDescent="0.25">
      <c r="A370" s="35" t="str">
        <f>IF(ISNONTEXT(deployment_raw[[#This Row],[Column1]]), "", deployment_raw[[#This Row],[Column1]])</f>
        <v/>
      </c>
      <c r="B370" s="36" t="str">
        <f>IF(ISNONTEXT(deployment_raw[[#This Row],[Column2]]), "", deployment_raw[[#This Row],[Column2]])</f>
        <v/>
      </c>
      <c r="C370" s="36" t="str">
        <f>IF(ISNONTEXT(deployment_raw[[#This Row],[Column3]]), "", deployment_raw[[#This Row],[Column3]])</f>
        <v/>
      </c>
      <c r="D370" s="36" t="str">
        <f>IF(ISNONTEXT(deployment_raw[[#This Row],[Column4]]), "", deployment_raw[[#This Row],[Column4]])</f>
        <v/>
      </c>
      <c r="E370" s="37" t="str">
        <f>IF(ISNUMBER(deployment_raw[[#This Row],[Column5]]), deployment_raw[[#This Row],[Column5]],"")</f>
        <v/>
      </c>
      <c r="F370" s="94" t="str">
        <f>IF(ISNUMBER(deployment_raw[[#This Row],[Column6]]), (deployment_raw[[#This Row],[Column6]] * IF($E$2="Deployment",deployment_raw[[#This Row],[Column5]],1)),"")</f>
        <v/>
      </c>
      <c r="G370" s="95" t="str">
        <f>IF(ISNUMBER(deployment_raw[[#This Row],[Column7]]), (deployment_raw[[#This Row],[Column7]] * IF($E$2="Deployment",deployment_raw[[#This Row],[Column5]],1))/1048576,"")</f>
        <v/>
      </c>
      <c r="H370" s="95" t="str">
        <f>IF(ISNUMBER(deployment_raw[[#This Row],[Column8]]), (deployment_raw[[#This Row],[Column8]]  * IF($E$2="Deployment",deployment_raw[[#This Row],[Column5]],1)),"")</f>
        <v/>
      </c>
      <c r="I370" s="96" t="str">
        <f>IF(ISNUMBER(deployment_raw[[#This Row],[Column9]]), (deployment_raw[[#This Row],[Column9]] * IF($E$2="Deployment",deployment_raw[[#This Row],[Column5]],1))/1048576,"")</f>
        <v/>
      </c>
      <c r="J370" s="122" t="str">
        <f>IF(ISNUMBER(deployment_raw[[#This Row],[Column10]]), (MIN(IF(N370&lt;&gt;"",N370,9999999999999)*1.1,deployment_raw[[#This Row],[Column10]] * IF($E$2="Deployment",deployment_raw[[#This Row],[Column5]],1))),"")</f>
        <v/>
      </c>
      <c r="K370" s="123" t="str">
        <f>IF(ISNUMBER(deployment_raw[[#This Row],[Column11]]), (MIN(IF(O370&lt;&gt;"",O370,9999999999999)*1.1,deployment_raw[[#This Row],[Column11]] * IF($E$2="Deployment",deployment_raw[[#This Row],[Column5]],1)/1048576)),"")</f>
        <v/>
      </c>
      <c r="L370" s="124" t="str">
        <f>IF(ISNUMBER(deployment_raw[[#This Row],[Column8]]),IF(OR(deployment_raw[[#This Row],[Column5]] &lt;&gt; 0,$E$2 &lt;&gt; "Deployment"), MAX(J370, P370, R370, ($L$2 * IF($E$2="Deployment",deployment_raw[[#This Row],[Column5]],1)),IF(T370&lt;&gt;"",VALUE(T370) * IF($E$2="Deployment",deployment_raw[[#This Row],[Column5]],1),0)), 0),"")</f>
        <v/>
      </c>
      <c r="M370" s="125" t="str">
        <f>IF(ISNUMBER(deployment_raw[[#This Row],[Column9]]),IF(OR(deployment_raw[[#This Row],[Column5]] &lt;&gt; 0,$E$2&lt;&gt;"Deployment"), MAX(K370, Q370, S370, ($M$2 * IF($E$2="Deployment",deployment_raw[[#This Row],[Column5]],1)),IF(U370&lt;&gt;"",VALUE(U370) * IF($E$2="Deployment",deployment_raw[[#This Row],[Column5]],1),0)), 0),"")</f>
        <v/>
      </c>
      <c r="N370" s="166" t="str">
        <f>IF(ISNUMBER(deployment_raw[[#This Row],[Column14]]), deployment_raw[[#This Row],[Column14]]/IF(OR($E$2="Deployment",deployment_raw[[#This Row],[Column5]]=0),1,deployment_raw[[#This Row],[Column5]]),"")</f>
        <v/>
      </c>
      <c r="O370" s="167" t="str">
        <f>IF(ISNUMBER(deployment_raw[[#This Row],[Column15]]), deployment_raw[[#This Row],[Column15]]/IF(OR($E$2="Deployment",deployment_raw[[#This Row],[Column5]]=0),1,deployment_raw[[#This Row],[Column5]])/1048576,"")</f>
        <v/>
      </c>
      <c r="P370" s="168" t="str">
        <f>IF(ISNUMBER(deployment_raw[[#This Row],[Column12]]), (MIN(IF(N370&lt;&gt;"",N370,9999999999999)*1.1,deployment_raw[[#This Row],[Column12]] * IF($E$2="Deployment",deployment_raw[[#This Row],[Column5]],1))*(1+$P$2)),"")</f>
        <v/>
      </c>
      <c r="Q370" s="167" t="str">
        <f>IF(ISNUMBER(deployment_raw[[#This Row],[Column13]]), (MIN(IF(O370&lt;&gt;"",O370,9999999999999)*1.1,deployment_raw[[#This Row],[Column13]] * IF($E$2="Deployment",deployment_raw[[#This Row],[Column5]],1)*(1+$Q$2)/1048576)),"")</f>
        <v/>
      </c>
      <c r="R370" s="169" t="str">
        <f>IF(ISNUMBER(deployment_raw[[#This Row],[Column8]]), (H370  * IF(N370&lt;&gt;0,$R$2,1)),"")</f>
        <v/>
      </c>
      <c r="S370" s="170" t="str">
        <f>IF(ISNUMBER(deployment_raw[[#This Row],[Column8]]), (I370  * IF(O370&lt;&gt;0,$S$2,1)),"")</f>
        <v/>
      </c>
      <c r="T370" s="202" t="str">
        <f>IF(AND(A370&lt;&gt;"",_xlfn.IFNA(MATCH(A370,'dynamic resource application '!$A$2:$A$100, 0),0)&lt;&gt;0), H370/(IF($E$2="Deployment",E370,1)),"")</f>
        <v/>
      </c>
      <c r="U370" s="211" t="str">
        <f>IF(AND(A370&lt;&gt;"",_xlfn.IFNA(MATCH(A370,'dynamic resource application '!$A$2:$A$100, 0),0)&lt;&gt;0), I370/(IF($E$2="Deployment",E370,1)),"")</f>
        <v/>
      </c>
    </row>
    <row r="371" spans="1:21" ht="15.75" customHeight="1" x14ac:dyDescent="0.25">
      <c r="A371" s="35" t="str">
        <f>IF(ISNONTEXT(deployment_raw[[#This Row],[Column1]]), "", deployment_raw[[#This Row],[Column1]])</f>
        <v/>
      </c>
      <c r="B371" s="36" t="str">
        <f>IF(ISNONTEXT(deployment_raw[[#This Row],[Column2]]), "", deployment_raw[[#This Row],[Column2]])</f>
        <v/>
      </c>
      <c r="C371" s="36" t="str">
        <f>IF(ISNONTEXT(deployment_raw[[#This Row],[Column3]]), "", deployment_raw[[#This Row],[Column3]])</f>
        <v/>
      </c>
      <c r="D371" s="36" t="str">
        <f>IF(ISNONTEXT(deployment_raw[[#This Row],[Column4]]), "", deployment_raw[[#This Row],[Column4]])</f>
        <v/>
      </c>
      <c r="E371" s="37" t="str">
        <f>IF(ISNUMBER(deployment_raw[[#This Row],[Column5]]), deployment_raw[[#This Row],[Column5]],"")</f>
        <v/>
      </c>
      <c r="F371" s="94" t="str">
        <f>IF(ISNUMBER(deployment_raw[[#This Row],[Column6]]), (deployment_raw[[#This Row],[Column6]] * IF($E$2="Deployment",deployment_raw[[#This Row],[Column5]],1)),"")</f>
        <v/>
      </c>
      <c r="G371" s="95" t="str">
        <f>IF(ISNUMBER(deployment_raw[[#This Row],[Column7]]), (deployment_raw[[#This Row],[Column7]] * IF($E$2="Deployment",deployment_raw[[#This Row],[Column5]],1))/1048576,"")</f>
        <v/>
      </c>
      <c r="H371" s="95" t="str">
        <f>IF(ISNUMBER(deployment_raw[[#This Row],[Column8]]), (deployment_raw[[#This Row],[Column8]]  * IF($E$2="Deployment",deployment_raw[[#This Row],[Column5]],1)),"")</f>
        <v/>
      </c>
      <c r="I371" s="96" t="str">
        <f>IF(ISNUMBER(deployment_raw[[#This Row],[Column9]]), (deployment_raw[[#This Row],[Column9]] * IF($E$2="Deployment",deployment_raw[[#This Row],[Column5]],1))/1048576,"")</f>
        <v/>
      </c>
      <c r="J371" s="122" t="str">
        <f>IF(ISNUMBER(deployment_raw[[#This Row],[Column10]]), (MIN(IF(N371&lt;&gt;"",N371,9999999999999)*1.1,deployment_raw[[#This Row],[Column10]] * IF($E$2="Deployment",deployment_raw[[#This Row],[Column5]],1))),"")</f>
        <v/>
      </c>
      <c r="K371" s="123" t="str">
        <f>IF(ISNUMBER(deployment_raw[[#This Row],[Column11]]), (MIN(IF(O371&lt;&gt;"",O371,9999999999999)*1.1,deployment_raw[[#This Row],[Column11]] * IF($E$2="Deployment",deployment_raw[[#This Row],[Column5]],1)/1048576)),"")</f>
        <v/>
      </c>
      <c r="L371" s="124" t="str">
        <f>IF(ISNUMBER(deployment_raw[[#This Row],[Column8]]),IF(OR(deployment_raw[[#This Row],[Column5]] &lt;&gt; 0,$E$2 &lt;&gt; "Deployment"), MAX(J371, P371, R371, ($L$2 * IF($E$2="Deployment",deployment_raw[[#This Row],[Column5]],1)),IF(T371&lt;&gt;"",VALUE(T371) * IF($E$2="Deployment",deployment_raw[[#This Row],[Column5]],1),0)), 0),"")</f>
        <v/>
      </c>
      <c r="M371" s="125" t="str">
        <f>IF(ISNUMBER(deployment_raw[[#This Row],[Column9]]),IF(OR(deployment_raw[[#This Row],[Column5]] &lt;&gt; 0,$E$2&lt;&gt;"Deployment"), MAX(K371, Q371, S371, ($M$2 * IF($E$2="Deployment",deployment_raw[[#This Row],[Column5]],1)),IF(U371&lt;&gt;"",VALUE(U371) * IF($E$2="Deployment",deployment_raw[[#This Row],[Column5]],1),0)), 0),"")</f>
        <v/>
      </c>
      <c r="N371" s="166" t="str">
        <f>IF(ISNUMBER(deployment_raw[[#This Row],[Column14]]), deployment_raw[[#This Row],[Column14]]/IF(OR($E$2="Deployment",deployment_raw[[#This Row],[Column5]]=0),1,deployment_raw[[#This Row],[Column5]]),"")</f>
        <v/>
      </c>
      <c r="O371" s="167" t="str">
        <f>IF(ISNUMBER(deployment_raw[[#This Row],[Column15]]), deployment_raw[[#This Row],[Column15]]/IF(OR($E$2="Deployment",deployment_raw[[#This Row],[Column5]]=0),1,deployment_raw[[#This Row],[Column5]])/1048576,"")</f>
        <v/>
      </c>
      <c r="P371" s="168" t="str">
        <f>IF(ISNUMBER(deployment_raw[[#This Row],[Column12]]), (MIN(IF(N371&lt;&gt;"",N371,9999999999999)*1.1,deployment_raw[[#This Row],[Column12]] * IF($E$2="Deployment",deployment_raw[[#This Row],[Column5]],1))*(1+$P$2)),"")</f>
        <v/>
      </c>
      <c r="Q371" s="167" t="str">
        <f>IF(ISNUMBER(deployment_raw[[#This Row],[Column13]]), (MIN(IF(O371&lt;&gt;"",O371,9999999999999)*1.1,deployment_raw[[#This Row],[Column13]] * IF($E$2="Deployment",deployment_raw[[#This Row],[Column5]],1)*(1+$Q$2)/1048576)),"")</f>
        <v/>
      </c>
      <c r="R371" s="169" t="str">
        <f>IF(ISNUMBER(deployment_raw[[#This Row],[Column8]]), (H371  * IF(N371&lt;&gt;0,$R$2,1)),"")</f>
        <v/>
      </c>
      <c r="S371" s="170" t="str">
        <f>IF(ISNUMBER(deployment_raw[[#This Row],[Column8]]), (I371  * IF(O371&lt;&gt;0,$S$2,1)),"")</f>
        <v/>
      </c>
      <c r="T371" s="202" t="str">
        <f>IF(AND(A371&lt;&gt;"",_xlfn.IFNA(MATCH(A371,'dynamic resource application '!$A$2:$A$100, 0),0)&lt;&gt;0), H371/(IF($E$2="Deployment",E371,1)),"")</f>
        <v/>
      </c>
      <c r="U371" s="211" t="str">
        <f>IF(AND(A371&lt;&gt;"",_xlfn.IFNA(MATCH(A371,'dynamic resource application '!$A$2:$A$100, 0),0)&lt;&gt;0), I371/(IF($E$2="Deployment",E371,1)),"")</f>
        <v/>
      </c>
    </row>
    <row r="372" spans="1:21" ht="15.75" customHeight="1" x14ac:dyDescent="0.25">
      <c r="A372" s="35" t="str">
        <f>IF(ISNONTEXT(deployment_raw[[#This Row],[Column1]]), "", deployment_raw[[#This Row],[Column1]])</f>
        <v/>
      </c>
      <c r="B372" s="36" t="str">
        <f>IF(ISNONTEXT(deployment_raw[[#This Row],[Column2]]), "", deployment_raw[[#This Row],[Column2]])</f>
        <v/>
      </c>
      <c r="C372" s="36" t="str">
        <f>IF(ISNONTEXT(deployment_raw[[#This Row],[Column3]]), "", deployment_raw[[#This Row],[Column3]])</f>
        <v/>
      </c>
      <c r="D372" s="36" t="str">
        <f>IF(ISNONTEXT(deployment_raw[[#This Row],[Column4]]), "", deployment_raw[[#This Row],[Column4]])</f>
        <v/>
      </c>
      <c r="E372" s="37" t="str">
        <f>IF(ISNUMBER(deployment_raw[[#This Row],[Column5]]), deployment_raw[[#This Row],[Column5]],"")</f>
        <v/>
      </c>
      <c r="F372" s="94" t="str">
        <f>IF(ISNUMBER(deployment_raw[[#This Row],[Column6]]), (deployment_raw[[#This Row],[Column6]] * IF($E$2="Deployment",deployment_raw[[#This Row],[Column5]],1)),"")</f>
        <v/>
      </c>
      <c r="G372" s="95" t="str">
        <f>IF(ISNUMBER(deployment_raw[[#This Row],[Column7]]), (deployment_raw[[#This Row],[Column7]] * IF($E$2="Deployment",deployment_raw[[#This Row],[Column5]],1))/1048576,"")</f>
        <v/>
      </c>
      <c r="H372" s="95" t="str">
        <f>IF(ISNUMBER(deployment_raw[[#This Row],[Column8]]), (deployment_raw[[#This Row],[Column8]]  * IF($E$2="Deployment",deployment_raw[[#This Row],[Column5]],1)),"")</f>
        <v/>
      </c>
      <c r="I372" s="96" t="str">
        <f>IF(ISNUMBER(deployment_raw[[#This Row],[Column9]]), (deployment_raw[[#This Row],[Column9]] * IF($E$2="Deployment",deployment_raw[[#This Row],[Column5]],1))/1048576,"")</f>
        <v/>
      </c>
      <c r="J372" s="122" t="str">
        <f>IF(ISNUMBER(deployment_raw[[#This Row],[Column10]]), (MIN(IF(N372&lt;&gt;"",N372,9999999999999)*1.1,deployment_raw[[#This Row],[Column10]] * IF($E$2="Deployment",deployment_raw[[#This Row],[Column5]],1))),"")</f>
        <v/>
      </c>
      <c r="K372" s="123" t="str">
        <f>IF(ISNUMBER(deployment_raw[[#This Row],[Column11]]), (MIN(IF(O372&lt;&gt;"",O372,9999999999999)*1.1,deployment_raw[[#This Row],[Column11]] * IF($E$2="Deployment",deployment_raw[[#This Row],[Column5]],1)/1048576)),"")</f>
        <v/>
      </c>
      <c r="L372" s="124" t="str">
        <f>IF(ISNUMBER(deployment_raw[[#This Row],[Column8]]),IF(OR(deployment_raw[[#This Row],[Column5]] &lt;&gt; 0,$E$2 &lt;&gt; "Deployment"), MAX(J372, P372, R372, ($L$2 * IF($E$2="Deployment",deployment_raw[[#This Row],[Column5]],1)),IF(T372&lt;&gt;"",VALUE(T372) * IF($E$2="Deployment",deployment_raw[[#This Row],[Column5]],1),0)), 0),"")</f>
        <v/>
      </c>
      <c r="M372" s="125" t="str">
        <f>IF(ISNUMBER(deployment_raw[[#This Row],[Column9]]),IF(OR(deployment_raw[[#This Row],[Column5]] &lt;&gt; 0,$E$2&lt;&gt;"Deployment"), MAX(K372, Q372, S372, ($M$2 * IF($E$2="Deployment",deployment_raw[[#This Row],[Column5]],1)),IF(U372&lt;&gt;"",VALUE(U372) * IF($E$2="Deployment",deployment_raw[[#This Row],[Column5]],1),0)), 0),"")</f>
        <v/>
      </c>
      <c r="N372" s="166" t="str">
        <f>IF(ISNUMBER(deployment_raw[[#This Row],[Column14]]), deployment_raw[[#This Row],[Column14]]/IF(OR($E$2="Deployment",deployment_raw[[#This Row],[Column5]]=0),1,deployment_raw[[#This Row],[Column5]]),"")</f>
        <v/>
      </c>
      <c r="O372" s="167" t="str">
        <f>IF(ISNUMBER(deployment_raw[[#This Row],[Column15]]), deployment_raw[[#This Row],[Column15]]/IF(OR($E$2="Deployment",deployment_raw[[#This Row],[Column5]]=0),1,deployment_raw[[#This Row],[Column5]])/1048576,"")</f>
        <v/>
      </c>
      <c r="P372" s="168" t="str">
        <f>IF(ISNUMBER(deployment_raw[[#This Row],[Column12]]), (MIN(IF(N372&lt;&gt;"",N372,9999999999999)*1.1,deployment_raw[[#This Row],[Column12]] * IF($E$2="Deployment",deployment_raw[[#This Row],[Column5]],1))*(1+$P$2)),"")</f>
        <v/>
      </c>
      <c r="Q372" s="167" t="str">
        <f>IF(ISNUMBER(deployment_raw[[#This Row],[Column13]]), (MIN(IF(O372&lt;&gt;"",O372,9999999999999)*1.1,deployment_raw[[#This Row],[Column13]] * IF($E$2="Deployment",deployment_raw[[#This Row],[Column5]],1)*(1+$Q$2)/1048576)),"")</f>
        <v/>
      </c>
      <c r="R372" s="169" t="str">
        <f>IF(ISNUMBER(deployment_raw[[#This Row],[Column8]]), (H372  * IF(N372&lt;&gt;0,$R$2,1)),"")</f>
        <v/>
      </c>
      <c r="S372" s="170" t="str">
        <f>IF(ISNUMBER(deployment_raw[[#This Row],[Column8]]), (I372  * IF(O372&lt;&gt;0,$S$2,1)),"")</f>
        <v/>
      </c>
      <c r="T372" s="202" t="str">
        <f>IF(AND(A372&lt;&gt;"",_xlfn.IFNA(MATCH(A372,'dynamic resource application '!$A$2:$A$100, 0),0)&lt;&gt;0), H372/(IF($E$2="Deployment",E372,1)),"")</f>
        <v/>
      </c>
      <c r="U372" s="211" t="str">
        <f>IF(AND(A372&lt;&gt;"",_xlfn.IFNA(MATCH(A372,'dynamic resource application '!$A$2:$A$100, 0),0)&lt;&gt;0), I372/(IF($E$2="Deployment",E372,1)),"")</f>
        <v/>
      </c>
    </row>
    <row r="373" spans="1:21" ht="15.75" customHeight="1" x14ac:dyDescent="0.25">
      <c r="A373" s="35" t="str">
        <f>IF(ISNONTEXT(deployment_raw[[#This Row],[Column1]]), "", deployment_raw[[#This Row],[Column1]])</f>
        <v/>
      </c>
      <c r="B373" s="36" t="str">
        <f>IF(ISNONTEXT(deployment_raw[[#This Row],[Column2]]), "", deployment_raw[[#This Row],[Column2]])</f>
        <v/>
      </c>
      <c r="C373" s="36" t="str">
        <f>IF(ISNONTEXT(deployment_raw[[#This Row],[Column3]]), "", deployment_raw[[#This Row],[Column3]])</f>
        <v/>
      </c>
      <c r="D373" s="36" t="str">
        <f>IF(ISNONTEXT(deployment_raw[[#This Row],[Column4]]), "", deployment_raw[[#This Row],[Column4]])</f>
        <v/>
      </c>
      <c r="E373" s="37" t="str">
        <f>IF(ISNUMBER(deployment_raw[[#This Row],[Column5]]), deployment_raw[[#This Row],[Column5]],"")</f>
        <v/>
      </c>
      <c r="F373" s="94" t="str">
        <f>IF(ISNUMBER(deployment_raw[[#This Row],[Column6]]), (deployment_raw[[#This Row],[Column6]] * IF($E$2="Deployment",deployment_raw[[#This Row],[Column5]],1)),"")</f>
        <v/>
      </c>
      <c r="G373" s="95" t="str">
        <f>IF(ISNUMBER(deployment_raw[[#This Row],[Column7]]), (deployment_raw[[#This Row],[Column7]] * IF($E$2="Deployment",deployment_raw[[#This Row],[Column5]],1))/1048576,"")</f>
        <v/>
      </c>
      <c r="H373" s="95" t="str">
        <f>IF(ISNUMBER(deployment_raw[[#This Row],[Column8]]), (deployment_raw[[#This Row],[Column8]]  * IF($E$2="Deployment",deployment_raw[[#This Row],[Column5]],1)),"")</f>
        <v/>
      </c>
      <c r="I373" s="96" t="str">
        <f>IF(ISNUMBER(deployment_raw[[#This Row],[Column9]]), (deployment_raw[[#This Row],[Column9]] * IF($E$2="Deployment",deployment_raw[[#This Row],[Column5]],1))/1048576,"")</f>
        <v/>
      </c>
      <c r="J373" s="122" t="str">
        <f>IF(ISNUMBER(deployment_raw[[#This Row],[Column10]]), (MIN(IF(N373&lt;&gt;"",N373,9999999999999)*1.1,deployment_raw[[#This Row],[Column10]] * IF($E$2="Deployment",deployment_raw[[#This Row],[Column5]],1))),"")</f>
        <v/>
      </c>
      <c r="K373" s="123" t="str">
        <f>IF(ISNUMBER(deployment_raw[[#This Row],[Column11]]), (MIN(IF(O373&lt;&gt;"",O373,9999999999999)*1.1,deployment_raw[[#This Row],[Column11]] * IF($E$2="Deployment",deployment_raw[[#This Row],[Column5]],1)/1048576)),"")</f>
        <v/>
      </c>
      <c r="L373" s="124" t="str">
        <f>IF(ISNUMBER(deployment_raw[[#This Row],[Column8]]),IF(OR(deployment_raw[[#This Row],[Column5]] &lt;&gt; 0,$E$2 &lt;&gt; "Deployment"), MAX(J373, P373, R373, ($L$2 * IF($E$2="Deployment",deployment_raw[[#This Row],[Column5]],1)),IF(T373&lt;&gt;"",VALUE(T373) * IF($E$2="Deployment",deployment_raw[[#This Row],[Column5]],1),0)), 0),"")</f>
        <v/>
      </c>
      <c r="M373" s="125" t="str">
        <f>IF(ISNUMBER(deployment_raw[[#This Row],[Column9]]),IF(OR(deployment_raw[[#This Row],[Column5]] &lt;&gt; 0,$E$2&lt;&gt;"Deployment"), MAX(K373, Q373, S373, ($M$2 * IF($E$2="Deployment",deployment_raw[[#This Row],[Column5]],1)),IF(U373&lt;&gt;"",VALUE(U373) * IF($E$2="Deployment",deployment_raw[[#This Row],[Column5]],1),0)), 0),"")</f>
        <v/>
      </c>
      <c r="N373" s="166" t="str">
        <f>IF(ISNUMBER(deployment_raw[[#This Row],[Column14]]), deployment_raw[[#This Row],[Column14]]/IF(OR($E$2="Deployment",deployment_raw[[#This Row],[Column5]]=0),1,deployment_raw[[#This Row],[Column5]]),"")</f>
        <v/>
      </c>
      <c r="O373" s="167" t="str">
        <f>IF(ISNUMBER(deployment_raw[[#This Row],[Column15]]), deployment_raw[[#This Row],[Column15]]/IF(OR($E$2="Deployment",deployment_raw[[#This Row],[Column5]]=0),1,deployment_raw[[#This Row],[Column5]])/1048576,"")</f>
        <v/>
      </c>
      <c r="P373" s="168" t="str">
        <f>IF(ISNUMBER(deployment_raw[[#This Row],[Column12]]), (MIN(IF(N373&lt;&gt;"",N373,9999999999999)*1.1,deployment_raw[[#This Row],[Column12]] * IF($E$2="Deployment",deployment_raw[[#This Row],[Column5]],1))*(1+$P$2)),"")</f>
        <v/>
      </c>
      <c r="Q373" s="167" t="str">
        <f>IF(ISNUMBER(deployment_raw[[#This Row],[Column13]]), (MIN(IF(O373&lt;&gt;"",O373,9999999999999)*1.1,deployment_raw[[#This Row],[Column13]] * IF($E$2="Deployment",deployment_raw[[#This Row],[Column5]],1)*(1+$Q$2)/1048576)),"")</f>
        <v/>
      </c>
      <c r="R373" s="169" t="str">
        <f>IF(ISNUMBER(deployment_raw[[#This Row],[Column8]]), (H373  * IF(N373&lt;&gt;0,$R$2,1)),"")</f>
        <v/>
      </c>
      <c r="S373" s="170" t="str">
        <f>IF(ISNUMBER(deployment_raw[[#This Row],[Column8]]), (I373  * IF(O373&lt;&gt;0,$S$2,1)),"")</f>
        <v/>
      </c>
      <c r="T373" s="202" t="str">
        <f>IF(AND(A373&lt;&gt;"",_xlfn.IFNA(MATCH(A373,'dynamic resource application '!$A$2:$A$100, 0),0)&lt;&gt;0), H373/(IF($E$2="Deployment",E373,1)),"")</f>
        <v/>
      </c>
      <c r="U373" s="211" t="str">
        <f>IF(AND(A373&lt;&gt;"",_xlfn.IFNA(MATCH(A373,'dynamic resource application '!$A$2:$A$100, 0),0)&lt;&gt;0), I373/(IF($E$2="Deployment",E373,1)),"")</f>
        <v/>
      </c>
    </row>
    <row r="374" spans="1:21" ht="15.75" customHeight="1" x14ac:dyDescent="0.25">
      <c r="A374" s="35" t="str">
        <f>IF(ISNONTEXT(deployment_raw[[#This Row],[Column1]]), "", deployment_raw[[#This Row],[Column1]])</f>
        <v/>
      </c>
      <c r="B374" s="36" t="str">
        <f>IF(ISNONTEXT(deployment_raw[[#This Row],[Column2]]), "", deployment_raw[[#This Row],[Column2]])</f>
        <v/>
      </c>
      <c r="C374" s="36" t="str">
        <f>IF(ISNONTEXT(deployment_raw[[#This Row],[Column3]]), "", deployment_raw[[#This Row],[Column3]])</f>
        <v/>
      </c>
      <c r="D374" s="36" t="str">
        <f>IF(ISNONTEXT(deployment_raw[[#This Row],[Column4]]), "", deployment_raw[[#This Row],[Column4]])</f>
        <v/>
      </c>
      <c r="E374" s="37" t="str">
        <f>IF(ISNUMBER(deployment_raw[[#This Row],[Column5]]), deployment_raw[[#This Row],[Column5]],"")</f>
        <v/>
      </c>
      <c r="F374" s="94" t="str">
        <f>IF(ISNUMBER(deployment_raw[[#This Row],[Column6]]), (deployment_raw[[#This Row],[Column6]] * IF($E$2="Deployment",deployment_raw[[#This Row],[Column5]],1)),"")</f>
        <v/>
      </c>
      <c r="G374" s="95" t="str">
        <f>IF(ISNUMBER(deployment_raw[[#This Row],[Column7]]), (deployment_raw[[#This Row],[Column7]] * IF($E$2="Deployment",deployment_raw[[#This Row],[Column5]],1))/1048576,"")</f>
        <v/>
      </c>
      <c r="H374" s="95" t="str">
        <f>IF(ISNUMBER(deployment_raw[[#This Row],[Column8]]), (deployment_raw[[#This Row],[Column8]]  * IF($E$2="Deployment",deployment_raw[[#This Row],[Column5]],1)),"")</f>
        <v/>
      </c>
      <c r="I374" s="96" t="str">
        <f>IF(ISNUMBER(deployment_raw[[#This Row],[Column9]]), (deployment_raw[[#This Row],[Column9]] * IF($E$2="Deployment",deployment_raw[[#This Row],[Column5]],1))/1048576,"")</f>
        <v/>
      </c>
      <c r="J374" s="122" t="str">
        <f>IF(ISNUMBER(deployment_raw[[#This Row],[Column10]]), (MIN(IF(N374&lt;&gt;"",N374,9999999999999)*1.1,deployment_raw[[#This Row],[Column10]] * IF($E$2="Deployment",deployment_raw[[#This Row],[Column5]],1))),"")</f>
        <v/>
      </c>
      <c r="K374" s="123" t="str">
        <f>IF(ISNUMBER(deployment_raw[[#This Row],[Column11]]), (MIN(IF(O374&lt;&gt;"",O374,9999999999999)*1.1,deployment_raw[[#This Row],[Column11]] * IF($E$2="Deployment",deployment_raw[[#This Row],[Column5]],1)/1048576)),"")</f>
        <v/>
      </c>
      <c r="L374" s="124" t="str">
        <f>IF(ISNUMBER(deployment_raw[[#This Row],[Column8]]),IF(OR(deployment_raw[[#This Row],[Column5]] &lt;&gt; 0,$E$2 &lt;&gt; "Deployment"), MAX(J374, P374, R374, ($L$2 * IF($E$2="Deployment",deployment_raw[[#This Row],[Column5]],1)),IF(T374&lt;&gt;"",VALUE(T374) * IF($E$2="Deployment",deployment_raw[[#This Row],[Column5]],1),0)), 0),"")</f>
        <v/>
      </c>
      <c r="M374" s="125" t="str">
        <f>IF(ISNUMBER(deployment_raw[[#This Row],[Column9]]),IF(OR(deployment_raw[[#This Row],[Column5]] &lt;&gt; 0,$E$2&lt;&gt;"Deployment"), MAX(K374, Q374, S374, ($M$2 * IF($E$2="Deployment",deployment_raw[[#This Row],[Column5]],1)),IF(U374&lt;&gt;"",VALUE(U374) * IF($E$2="Deployment",deployment_raw[[#This Row],[Column5]],1),0)), 0),"")</f>
        <v/>
      </c>
      <c r="N374" s="166" t="str">
        <f>IF(ISNUMBER(deployment_raw[[#This Row],[Column14]]), deployment_raw[[#This Row],[Column14]]/IF(OR($E$2="Deployment",deployment_raw[[#This Row],[Column5]]=0),1,deployment_raw[[#This Row],[Column5]]),"")</f>
        <v/>
      </c>
      <c r="O374" s="167" t="str">
        <f>IF(ISNUMBER(deployment_raw[[#This Row],[Column15]]), deployment_raw[[#This Row],[Column15]]/IF(OR($E$2="Deployment",deployment_raw[[#This Row],[Column5]]=0),1,deployment_raw[[#This Row],[Column5]])/1048576,"")</f>
        <v/>
      </c>
      <c r="P374" s="168" t="str">
        <f>IF(ISNUMBER(deployment_raw[[#This Row],[Column12]]), (MIN(IF(N374&lt;&gt;"",N374,9999999999999)*1.1,deployment_raw[[#This Row],[Column12]] * IF($E$2="Deployment",deployment_raw[[#This Row],[Column5]],1))*(1+$P$2)),"")</f>
        <v/>
      </c>
      <c r="Q374" s="167" t="str">
        <f>IF(ISNUMBER(deployment_raw[[#This Row],[Column13]]), (MIN(IF(O374&lt;&gt;"",O374,9999999999999)*1.1,deployment_raw[[#This Row],[Column13]] * IF($E$2="Deployment",deployment_raw[[#This Row],[Column5]],1)*(1+$Q$2)/1048576)),"")</f>
        <v/>
      </c>
      <c r="R374" s="169" t="str">
        <f>IF(ISNUMBER(deployment_raw[[#This Row],[Column8]]), (H374  * IF(N374&lt;&gt;0,$R$2,1)),"")</f>
        <v/>
      </c>
      <c r="S374" s="170" t="str">
        <f>IF(ISNUMBER(deployment_raw[[#This Row],[Column8]]), (I374  * IF(O374&lt;&gt;0,$S$2,1)),"")</f>
        <v/>
      </c>
      <c r="T374" s="202" t="str">
        <f>IF(AND(A374&lt;&gt;"",_xlfn.IFNA(MATCH(A374,'dynamic resource application '!$A$2:$A$100, 0),0)&lt;&gt;0), H374/(IF($E$2="Deployment",E374,1)),"")</f>
        <v/>
      </c>
      <c r="U374" s="211" t="str">
        <f>IF(AND(A374&lt;&gt;"",_xlfn.IFNA(MATCH(A374,'dynamic resource application '!$A$2:$A$100, 0),0)&lt;&gt;0), I374/(IF($E$2="Deployment",E374,1)),"")</f>
        <v/>
      </c>
    </row>
    <row r="375" spans="1:21" ht="15.75" customHeight="1" x14ac:dyDescent="0.25">
      <c r="A375" s="35" t="str">
        <f>IF(ISNONTEXT(deployment_raw[[#This Row],[Column1]]), "", deployment_raw[[#This Row],[Column1]])</f>
        <v/>
      </c>
      <c r="B375" s="36" t="str">
        <f>IF(ISNONTEXT(deployment_raw[[#This Row],[Column2]]), "", deployment_raw[[#This Row],[Column2]])</f>
        <v/>
      </c>
      <c r="C375" s="36" t="str">
        <f>IF(ISNONTEXT(deployment_raw[[#This Row],[Column3]]), "", deployment_raw[[#This Row],[Column3]])</f>
        <v/>
      </c>
      <c r="D375" s="36" t="str">
        <f>IF(ISNONTEXT(deployment_raw[[#This Row],[Column4]]), "", deployment_raw[[#This Row],[Column4]])</f>
        <v/>
      </c>
      <c r="E375" s="37" t="str">
        <f>IF(ISNUMBER(deployment_raw[[#This Row],[Column5]]), deployment_raw[[#This Row],[Column5]],"")</f>
        <v/>
      </c>
      <c r="F375" s="94" t="str">
        <f>IF(ISNUMBER(deployment_raw[[#This Row],[Column6]]), (deployment_raw[[#This Row],[Column6]] * IF($E$2="Deployment",deployment_raw[[#This Row],[Column5]],1)),"")</f>
        <v/>
      </c>
      <c r="G375" s="95" t="str">
        <f>IF(ISNUMBER(deployment_raw[[#This Row],[Column7]]), (deployment_raw[[#This Row],[Column7]] * IF($E$2="Deployment",deployment_raw[[#This Row],[Column5]],1))/1048576,"")</f>
        <v/>
      </c>
      <c r="H375" s="95" t="str">
        <f>IF(ISNUMBER(deployment_raw[[#This Row],[Column8]]), (deployment_raw[[#This Row],[Column8]]  * IF($E$2="Deployment",deployment_raw[[#This Row],[Column5]],1)),"")</f>
        <v/>
      </c>
      <c r="I375" s="96" t="str">
        <f>IF(ISNUMBER(deployment_raw[[#This Row],[Column9]]), (deployment_raw[[#This Row],[Column9]] * IF($E$2="Deployment",deployment_raw[[#This Row],[Column5]],1))/1048576,"")</f>
        <v/>
      </c>
      <c r="J375" s="122" t="str">
        <f>IF(ISNUMBER(deployment_raw[[#This Row],[Column10]]), (MIN(IF(N375&lt;&gt;"",N375,9999999999999)*1.1,deployment_raw[[#This Row],[Column10]] * IF($E$2="Deployment",deployment_raw[[#This Row],[Column5]],1))),"")</f>
        <v/>
      </c>
      <c r="K375" s="123" t="str">
        <f>IF(ISNUMBER(deployment_raw[[#This Row],[Column11]]), (MIN(IF(O375&lt;&gt;"",O375,9999999999999)*1.1,deployment_raw[[#This Row],[Column11]] * IF($E$2="Deployment",deployment_raw[[#This Row],[Column5]],1)/1048576)),"")</f>
        <v/>
      </c>
      <c r="L375" s="124" t="str">
        <f>IF(ISNUMBER(deployment_raw[[#This Row],[Column8]]),IF(OR(deployment_raw[[#This Row],[Column5]] &lt;&gt; 0,$E$2 &lt;&gt; "Deployment"), MAX(J375, P375, R375, ($L$2 * IF($E$2="Deployment",deployment_raw[[#This Row],[Column5]],1)),IF(T375&lt;&gt;"",VALUE(T375) * IF($E$2="Deployment",deployment_raw[[#This Row],[Column5]],1),0)), 0),"")</f>
        <v/>
      </c>
      <c r="M375" s="125" t="str">
        <f>IF(ISNUMBER(deployment_raw[[#This Row],[Column9]]),IF(OR(deployment_raw[[#This Row],[Column5]] &lt;&gt; 0,$E$2&lt;&gt;"Deployment"), MAX(K375, Q375, S375, ($M$2 * IF($E$2="Deployment",deployment_raw[[#This Row],[Column5]],1)),IF(U375&lt;&gt;"",VALUE(U375) * IF($E$2="Deployment",deployment_raw[[#This Row],[Column5]],1),0)), 0),"")</f>
        <v/>
      </c>
      <c r="N375" s="166" t="str">
        <f>IF(ISNUMBER(deployment_raw[[#This Row],[Column14]]), deployment_raw[[#This Row],[Column14]]/IF(OR($E$2="Deployment",deployment_raw[[#This Row],[Column5]]=0),1,deployment_raw[[#This Row],[Column5]]),"")</f>
        <v/>
      </c>
      <c r="O375" s="167" t="str">
        <f>IF(ISNUMBER(deployment_raw[[#This Row],[Column15]]), deployment_raw[[#This Row],[Column15]]/IF(OR($E$2="Deployment",deployment_raw[[#This Row],[Column5]]=0),1,deployment_raw[[#This Row],[Column5]])/1048576,"")</f>
        <v/>
      </c>
      <c r="P375" s="168" t="str">
        <f>IF(ISNUMBER(deployment_raw[[#This Row],[Column12]]), (MIN(IF(N375&lt;&gt;"",N375,9999999999999)*1.1,deployment_raw[[#This Row],[Column12]] * IF($E$2="Deployment",deployment_raw[[#This Row],[Column5]],1))*(1+$P$2)),"")</f>
        <v/>
      </c>
      <c r="Q375" s="167" t="str">
        <f>IF(ISNUMBER(deployment_raw[[#This Row],[Column13]]), (MIN(IF(O375&lt;&gt;"",O375,9999999999999)*1.1,deployment_raw[[#This Row],[Column13]] * IF($E$2="Deployment",deployment_raw[[#This Row],[Column5]],1)*(1+$Q$2)/1048576)),"")</f>
        <v/>
      </c>
      <c r="R375" s="169" t="str">
        <f>IF(ISNUMBER(deployment_raw[[#This Row],[Column8]]), (H375  * IF(N375&lt;&gt;0,$R$2,1)),"")</f>
        <v/>
      </c>
      <c r="S375" s="170" t="str">
        <f>IF(ISNUMBER(deployment_raw[[#This Row],[Column8]]), (I375  * IF(O375&lt;&gt;0,$S$2,1)),"")</f>
        <v/>
      </c>
      <c r="T375" s="202" t="str">
        <f>IF(AND(A375&lt;&gt;"",_xlfn.IFNA(MATCH(A375,'dynamic resource application '!$A$2:$A$100, 0),0)&lt;&gt;0), H375/(IF($E$2="Deployment",E375,1)),"")</f>
        <v/>
      </c>
      <c r="U375" s="211" t="str">
        <f>IF(AND(A375&lt;&gt;"",_xlfn.IFNA(MATCH(A375,'dynamic resource application '!$A$2:$A$100, 0),0)&lt;&gt;0), I375/(IF($E$2="Deployment",E375,1)),"")</f>
        <v/>
      </c>
    </row>
    <row r="376" spans="1:21" ht="15.75" customHeight="1" x14ac:dyDescent="0.25">
      <c r="A376" s="35" t="str">
        <f>IF(ISNONTEXT(deployment_raw[[#This Row],[Column1]]), "", deployment_raw[[#This Row],[Column1]])</f>
        <v/>
      </c>
      <c r="B376" s="36" t="str">
        <f>IF(ISNONTEXT(deployment_raw[[#This Row],[Column2]]), "", deployment_raw[[#This Row],[Column2]])</f>
        <v/>
      </c>
      <c r="C376" s="36" t="str">
        <f>IF(ISNONTEXT(deployment_raw[[#This Row],[Column3]]), "", deployment_raw[[#This Row],[Column3]])</f>
        <v/>
      </c>
      <c r="D376" s="36" t="str">
        <f>IF(ISNONTEXT(deployment_raw[[#This Row],[Column4]]), "", deployment_raw[[#This Row],[Column4]])</f>
        <v/>
      </c>
      <c r="E376" s="37" t="str">
        <f>IF(ISNUMBER(deployment_raw[[#This Row],[Column5]]), deployment_raw[[#This Row],[Column5]],"")</f>
        <v/>
      </c>
      <c r="F376" s="94" t="str">
        <f>IF(ISNUMBER(deployment_raw[[#This Row],[Column6]]), (deployment_raw[[#This Row],[Column6]] * IF($E$2="Deployment",deployment_raw[[#This Row],[Column5]],1)),"")</f>
        <v/>
      </c>
      <c r="G376" s="95" t="str">
        <f>IF(ISNUMBER(deployment_raw[[#This Row],[Column7]]), (deployment_raw[[#This Row],[Column7]] * IF($E$2="Deployment",deployment_raw[[#This Row],[Column5]],1))/1048576,"")</f>
        <v/>
      </c>
      <c r="H376" s="95" t="str">
        <f>IF(ISNUMBER(deployment_raw[[#This Row],[Column8]]), (deployment_raw[[#This Row],[Column8]]  * IF($E$2="Deployment",deployment_raw[[#This Row],[Column5]],1)),"")</f>
        <v/>
      </c>
      <c r="I376" s="96" t="str">
        <f>IF(ISNUMBER(deployment_raw[[#This Row],[Column9]]), (deployment_raw[[#This Row],[Column9]] * IF($E$2="Deployment",deployment_raw[[#This Row],[Column5]],1))/1048576,"")</f>
        <v/>
      </c>
      <c r="J376" s="122" t="str">
        <f>IF(ISNUMBER(deployment_raw[[#This Row],[Column10]]), (MIN(IF(N376&lt;&gt;"",N376,9999999999999)*1.1,deployment_raw[[#This Row],[Column10]] * IF($E$2="Deployment",deployment_raw[[#This Row],[Column5]],1))),"")</f>
        <v/>
      </c>
      <c r="K376" s="123" t="str">
        <f>IF(ISNUMBER(deployment_raw[[#This Row],[Column11]]), (MIN(IF(O376&lt;&gt;"",O376,9999999999999)*1.1,deployment_raw[[#This Row],[Column11]] * IF($E$2="Deployment",deployment_raw[[#This Row],[Column5]],1)/1048576)),"")</f>
        <v/>
      </c>
      <c r="L376" s="124" t="str">
        <f>IF(ISNUMBER(deployment_raw[[#This Row],[Column8]]),IF(OR(deployment_raw[[#This Row],[Column5]] &lt;&gt; 0,$E$2 &lt;&gt; "Deployment"), MAX(J376, P376, R376, ($L$2 * IF($E$2="Deployment",deployment_raw[[#This Row],[Column5]],1)),IF(T376&lt;&gt;"",VALUE(T376) * IF($E$2="Deployment",deployment_raw[[#This Row],[Column5]],1),0)), 0),"")</f>
        <v/>
      </c>
      <c r="M376" s="125" t="str">
        <f>IF(ISNUMBER(deployment_raw[[#This Row],[Column9]]),IF(OR(deployment_raw[[#This Row],[Column5]] &lt;&gt; 0,$E$2&lt;&gt;"Deployment"), MAX(K376, Q376, S376, ($M$2 * IF($E$2="Deployment",deployment_raw[[#This Row],[Column5]],1)),IF(U376&lt;&gt;"",VALUE(U376) * IF($E$2="Deployment",deployment_raw[[#This Row],[Column5]],1),0)), 0),"")</f>
        <v/>
      </c>
      <c r="N376" s="166" t="str">
        <f>IF(ISNUMBER(deployment_raw[[#This Row],[Column14]]), deployment_raw[[#This Row],[Column14]]/IF(OR($E$2="Deployment",deployment_raw[[#This Row],[Column5]]=0),1,deployment_raw[[#This Row],[Column5]]),"")</f>
        <v/>
      </c>
      <c r="O376" s="167" t="str">
        <f>IF(ISNUMBER(deployment_raw[[#This Row],[Column15]]), deployment_raw[[#This Row],[Column15]]/IF(OR($E$2="Deployment",deployment_raw[[#This Row],[Column5]]=0),1,deployment_raw[[#This Row],[Column5]])/1048576,"")</f>
        <v/>
      </c>
      <c r="P376" s="168" t="str">
        <f>IF(ISNUMBER(deployment_raw[[#This Row],[Column12]]), (MIN(IF(N376&lt;&gt;"",N376,9999999999999)*1.1,deployment_raw[[#This Row],[Column12]] * IF($E$2="Deployment",deployment_raw[[#This Row],[Column5]],1))*(1+$P$2)),"")</f>
        <v/>
      </c>
      <c r="Q376" s="167" t="str">
        <f>IF(ISNUMBER(deployment_raw[[#This Row],[Column13]]), (MIN(IF(O376&lt;&gt;"",O376,9999999999999)*1.1,deployment_raw[[#This Row],[Column13]] * IF($E$2="Deployment",deployment_raw[[#This Row],[Column5]],1)*(1+$Q$2)/1048576)),"")</f>
        <v/>
      </c>
      <c r="R376" s="169" t="str">
        <f>IF(ISNUMBER(deployment_raw[[#This Row],[Column8]]), (H376  * IF(N376&lt;&gt;0,$R$2,1)),"")</f>
        <v/>
      </c>
      <c r="S376" s="170" t="str">
        <f>IF(ISNUMBER(deployment_raw[[#This Row],[Column8]]), (I376  * IF(O376&lt;&gt;0,$S$2,1)),"")</f>
        <v/>
      </c>
      <c r="T376" s="202" t="str">
        <f>IF(AND(A376&lt;&gt;"",_xlfn.IFNA(MATCH(A376,'dynamic resource application '!$A$2:$A$100, 0),0)&lt;&gt;0), H376/(IF($E$2="Deployment",E376,1)),"")</f>
        <v/>
      </c>
      <c r="U376" s="211" t="str">
        <f>IF(AND(A376&lt;&gt;"",_xlfn.IFNA(MATCH(A376,'dynamic resource application '!$A$2:$A$100, 0),0)&lt;&gt;0), I376/(IF($E$2="Deployment",E376,1)),"")</f>
        <v/>
      </c>
    </row>
    <row r="377" spans="1:21" ht="15.75" customHeight="1" x14ac:dyDescent="0.25">
      <c r="A377" s="35" t="str">
        <f>IF(ISNONTEXT(deployment_raw[[#This Row],[Column1]]), "", deployment_raw[[#This Row],[Column1]])</f>
        <v/>
      </c>
      <c r="B377" s="36" t="str">
        <f>IF(ISNONTEXT(deployment_raw[[#This Row],[Column2]]), "", deployment_raw[[#This Row],[Column2]])</f>
        <v/>
      </c>
      <c r="C377" s="36" t="str">
        <f>IF(ISNONTEXT(deployment_raw[[#This Row],[Column3]]), "", deployment_raw[[#This Row],[Column3]])</f>
        <v/>
      </c>
      <c r="D377" s="36" t="str">
        <f>IF(ISNONTEXT(deployment_raw[[#This Row],[Column4]]), "", deployment_raw[[#This Row],[Column4]])</f>
        <v/>
      </c>
      <c r="E377" s="37" t="str">
        <f>IF(ISNUMBER(deployment_raw[[#This Row],[Column5]]), deployment_raw[[#This Row],[Column5]],"")</f>
        <v/>
      </c>
      <c r="F377" s="94" t="str">
        <f>IF(ISNUMBER(deployment_raw[[#This Row],[Column6]]), (deployment_raw[[#This Row],[Column6]] * IF($E$2="Deployment",deployment_raw[[#This Row],[Column5]],1)),"")</f>
        <v/>
      </c>
      <c r="G377" s="95" t="str">
        <f>IF(ISNUMBER(deployment_raw[[#This Row],[Column7]]), (deployment_raw[[#This Row],[Column7]] * IF($E$2="Deployment",deployment_raw[[#This Row],[Column5]],1))/1048576,"")</f>
        <v/>
      </c>
      <c r="H377" s="95" t="str">
        <f>IF(ISNUMBER(deployment_raw[[#This Row],[Column8]]), (deployment_raw[[#This Row],[Column8]]  * IF($E$2="Deployment",deployment_raw[[#This Row],[Column5]],1)),"")</f>
        <v/>
      </c>
      <c r="I377" s="96" t="str">
        <f>IF(ISNUMBER(deployment_raw[[#This Row],[Column9]]), (deployment_raw[[#This Row],[Column9]] * IF($E$2="Deployment",deployment_raw[[#This Row],[Column5]],1))/1048576,"")</f>
        <v/>
      </c>
      <c r="J377" s="122" t="str">
        <f>IF(ISNUMBER(deployment_raw[[#This Row],[Column10]]), (MIN(IF(N377&lt;&gt;"",N377,9999999999999)*1.1,deployment_raw[[#This Row],[Column10]] * IF($E$2="Deployment",deployment_raw[[#This Row],[Column5]],1))),"")</f>
        <v/>
      </c>
      <c r="K377" s="123" t="str">
        <f>IF(ISNUMBER(deployment_raw[[#This Row],[Column11]]), (MIN(IF(O377&lt;&gt;"",O377,9999999999999)*1.1,deployment_raw[[#This Row],[Column11]] * IF($E$2="Deployment",deployment_raw[[#This Row],[Column5]],1)/1048576)),"")</f>
        <v/>
      </c>
      <c r="L377" s="124" t="str">
        <f>IF(ISNUMBER(deployment_raw[[#This Row],[Column8]]),IF(OR(deployment_raw[[#This Row],[Column5]] &lt;&gt; 0,$E$2 &lt;&gt; "Deployment"), MAX(J377, P377, R377, ($L$2 * IF($E$2="Deployment",deployment_raw[[#This Row],[Column5]],1)),IF(T377&lt;&gt;"",VALUE(T377) * IF($E$2="Deployment",deployment_raw[[#This Row],[Column5]],1),0)), 0),"")</f>
        <v/>
      </c>
      <c r="M377" s="125" t="str">
        <f>IF(ISNUMBER(deployment_raw[[#This Row],[Column9]]),IF(OR(deployment_raw[[#This Row],[Column5]] &lt;&gt; 0,$E$2&lt;&gt;"Deployment"), MAX(K377, Q377, S377, ($M$2 * IF($E$2="Deployment",deployment_raw[[#This Row],[Column5]],1)),IF(U377&lt;&gt;"",VALUE(U377) * IF($E$2="Deployment",deployment_raw[[#This Row],[Column5]],1),0)), 0),"")</f>
        <v/>
      </c>
      <c r="N377" s="166" t="str">
        <f>IF(ISNUMBER(deployment_raw[[#This Row],[Column14]]), deployment_raw[[#This Row],[Column14]]/IF(OR($E$2="Deployment",deployment_raw[[#This Row],[Column5]]=0),1,deployment_raw[[#This Row],[Column5]]),"")</f>
        <v/>
      </c>
      <c r="O377" s="167" t="str">
        <f>IF(ISNUMBER(deployment_raw[[#This Row],[Column15]]), deployment_raw[[#This Row],[Column15]]/IF(OR($E$2="Deployment",deployment_raw[[#This Row],[Column5]]=0),1,deployment_raw[[#This Row],[Column5]])/1048576,"")</f>
        <v/>
      </c>
      <c r="P377" s="168" t="str">
        <f>IF(ISNUMBER(deployment_raw[[#This Row],[Column12]]), (MIN(IF(N377&lt;&gt;"",N377,9999999999999)*1.1,deployment_raw[[#This Row],[Column12]] * IF($E$2="Deployment",deployment_raw[[#This Row],[Column5]],1))*(1+$P$2)),"")</f>
        <v/>
      </c>
      <c r="Q377" s="167" t="str">
        <f>IF(ISNUMBER(deployment_raw[[#This Row],[Column13]]), (MIN(IF(O377&lt;&gt;"",O377,9999999999999)*1.1,deployment_raw[[#This Row],[Column13]] * IF($E$2="Deployment",deployment_raw[[#This Row],[Column5]],1)*(1+$Q$2)/1048576)),"")</f>
        <v/>
      </c>
      <c r="R377" s="169" t="str">
        <f>IF(ISNUMBER(deployment_raw[[#This Row],[Column8]]), (H377  * IF(N377&lt;&gt;0,$R$2,1)),"")</f>
        <v/>
      </c>
      <c r="S377" s="170" t="str">
        <f>IF(ISNUMBER(deployment_raw[[#This Row],[Column8]]), (I377  * IF(O377&lt;&gt;0,$S$2,1)),"")</f>
        <v/>
      </c>
      <c r="T377" s="202" t="str">
        <f>IF(AND(A377&lt;&gt;"",_xlfn.IFNA(MATCH(A377,'dynamic resource application '!$A$2:$A$100, 0),0)&lt;&gt;0), H377/(IF($E$2="Deployment",E377,1)),"")</f>
        <v/>
      </c>
      <c r="U377" s="211" t="str">
        <f>IF(AND(A377&lt;&gt;"",_xlfn.IFNA(MATCH(A377,'dynamic resource application '!$A$2:$A$100, 0),0)&lt;&gt;0), I377/(IF($E$2="Deployment",E377,1)),"")</f>
        <v/>
      </c>
    </row>
    <row r="378" spans="1:21" ht="15.75" customHeight="1" x14ac:dyDescent="0.25">
      <c r="A378" s="35" t="str">
        <f>IF(ISNONTEXT(deployment_raw[[#This Row],[Column1]]), "", deployment_raw[[#This Row],[Column1]])</f>
        <v/>
      </c>
      <c r="B378" s="36" t="str">
        <f>IF(ISNONTEXT(deployment_raw[[#This Row],[Column2]]), "", deployment_raw[[#This Row],[Column2]])</f>
        <v/>
      </c>
      <c r="C378" s="36" t="str">
        <f>IF(ISNONTEXT(deployment_raw[[#This Row],[Column3]]), "", deployment_raw[[#This Row],[Column3]])</f>
        <v/>
      </c>
      <c r="D378" s="36" t="str">
        <f>IF(ISNONTEXT(deployment_raw[[#This Row],[Column4]]), "", deployment_raw[[#This Row],[Column4]])</f>
        <v/>
      </c>
      <c r="E378" s="37" t="str">
        <f>IF(ISNUMBER(deployment_raw[[#This Row],[Column5]]), deployment_raw[[#This Row],[Column5]],"")</f>
        <v/>
      </c>
      <c r="F378" s="94" t="str">
        <f>IF(ISNUMBER(deployment_raw[[#This Row],[Column6]]), (deployment_raw[[#This Row],[Column6]] * IF($E$2="Deployment",deployment_raw[[#This Row],[Column5]],1)),"")</f>
        <v/>
      </c>
      <c r="G378" s="95" t="str">
        <f>IF(ISNUMBER(deployment_raw[[#This Row],[Column7]]), (deployment_raw[[#This Row],[Column7]] * IF($E$2="Deployment",deployment_raw[[#This Row],[Column5]],1))/1048576,"")</f>
        <v/>
      </c>
      <c r="H378" s="95" t="str">
        <f>IF(ISNUMBER(deployment_raw[[#This Row],[Column8]]), (deployment_raw[[#This Row],[Column8]]  * IF($E$2="Deployment",deployment_raw[[#This Row],[Column5]],1)),"")</f>
        <v/>
      </c>
      <c r="I378" s="96" t="str">
        <f>IF(ISNUMBER(deployment_raw[[#This Row],[Column9]]), (deployment_raw[[#This Row],[Column9]] * IF($E$2="Deployment",deployment_raw[[#This Row],[Column5]],1))/1048576,"")</f>
        <v/>
      </c>
      <c r="J378" s="122" t="str">
        <f>IF(ISNUMBER(deployment_raw[[#This Row],[Column10]]), (MIN(IF(N378&lt;&gt;"",N378,9999999999999)*1.1,deployment_raw[[#This Row],[Column10]] * IF($E$2="Deployment",deployment_raw[[#This Row],[Column5]],1))),"")</f>
        <v/>
      </c>
      <c r="K378" s="123" t="str">
        <f>IF(ISNUMBER(deployment_raw[[#This Row],[Column11]]), (MIN(IF(O378&lt;&gt;"",O378,9999999999999)*1.1,deployment_raw[[#This Row],[Column11]] * IF($E$2="Deployment",deployment_raw[[#This Row],[Column5]],1)/1048576)),"")</f>
        <v/>
      </c>
      <c r="L378" s="124" t="str">
        <f>IF(ISNUMBER(deployment_raw[[#This Row],[Column8]]),IF(OR(deployment_raw[[#This Row],[Column5]] &lt;&gt; 0,$E$2 &lt;&gt; "Deployment"), MAX(J378, P378, R378, ($L$2 * IF($E$2="Deployment",deployment_raw[[#This Row],[Column5]],1)),IF(T378&lt;&gt;"",VALUE(T378) * IF($E$2="Deployment",deployment_raw[[#This Row],[Column5]],1),0)), 0),"")</f>
        <v/>
      </c>
      <c r="M378" s="125" t="str">
        <f>IF(ISNUMBER(deployment_raw[[#This Row],[Column9]]),IF(OR(deployment_raw[[#This Row],[Column5]] &lt;&gt; 0,$E$2&lt;&gt;"Deployment"), MAX(K378, Q378, S378, ($M$2 * IF($E$2="Deployment",deployment_raw[[#This Row],[Column5]],1)),IF(U378&lt;&gt;"",VALUE(U378) * IF($E$2="Deployment",deployment_raw[[#This Row],[Column5]],1),0)), 0),"")</f>
        <v/>
      </c>
      <c r="N378" s="166" t="str">
        <f>IF(ISNUMBER(deployment_raw[[#This Row],[Column14]]), deployment_raw[[#This Row],[Column14]]/IF(OR($E$2="Deployment",deployment_raw[[#This Row],[Column5]]=0),1,deployment_raw[[#This Row],[Column5]]),"")</f>
        <v/>
      </c>
      <c r="O378" s="167" t="str">
        <f>IF(ISNUMBER(deployment_raw[[#This Row],[Column15]]), deployment_raw[[#This Row],[Column15]]/IF(OR($E$2="Deployment",deployment_raw[[#This Row],[Column5]]=0),1,deployment_raw[[#This Row],[Column5]])/1048576,"")</f>
        <v/>
      </c>
      <c r="P378" s="168" t="str">
        <f>IF(ISNUMBER(deployment_raw[[#This Row],[Column12]]), (MIN(IF(N378&lt;&gt;"",N378,9999999999999)*1.1,deployment_raw[[#This Row],[Column12]] * IF($E$2="Deployment",deployment_raw[[#This Row],[Column5]],1))*(1+$P$2)),"")</f>
        <v/>
      </c>
      <c r="Q378" s="167" t="str">
        <f>IF(ISNUMBER(deployment_raw[[#This Row],[Column13]]), (MIN(IF(O378&lt;&gt;"",O378,9999999999999)*1.1,deployment_raw[[#This Row],[Column13]] * IF($E$2="Deployment",deployment_raw[[#This Row],[Column5]],1)*(1+$Q$2)/1048576)),"")</f>
        <v/>
      </c>
      <c r="R378" s="169" t="str">
        <f>IF(ISNUMBER(deployment_raw[[#This Row],[Column8]]), (H378  * IF(N378&lt;&gt;0,$R$2,1)),"")</f>
        <v/>
      </c>
      <c r="S378" s="170" t="str">
        <f>IF(ISNUMBER(deployment_raw[[#This Row],[Column8]]), (I378  * IF(O378&lt;&gt;0,$S$2,1)),"")</f>
        <v/>
      </c>
      <c r="T378" s="202" t="str">
        <f>IF(AND(A378&lt;&gt;"",_xlfn.IFNA(MATCH(A378,'dynamic resource application '!$A$2:$A$100, 0),0)&lt;&gt;0), H378/(IF($E$2="Deployment",E378,1)),"")</f>
        <v/>
      </c>
      <c r="U378" s="211" t="str">
        <f>IF(AND(A378&lt;&gt;"",_xlfn.IFNA(MATCH(A378,'dynamic resource application '!$A$2:$A$100, 0),0)&lt;&gt;0), I378/(IF($E$2="Deployment",E378,1)),"")</f>
        <v/>
      </c>
    </row>
    <row r="379" spans="1:21" ht="15.75" customHeight="1" x14ac:dyDescent="0.25">
      <c r="A379" s="35" t="str">
        <f>IF(ISNONTEXT(deployment_raw[[#This Row],[Column1]]), "", deployment_raw[[#This Row],[Column1]])</f>
        <v/>
      </c>
      <c r="B379" s="36" t="str">
        <f>IF(ISNONTEXT(deployment_raw[[#This Row],[Column2]]), "", deployment_raw[[#This Row],[Column2]])</f>
        <v/>
      </c>
      <c r="C379" s="36" t="str">
        <f>IF(ISNONTEXT(deployment_raw[[#This Row],[Column3]]), "", deployment_raw[[#This Row],[Column3]])</f>
        <v/>
      </c>
      <c r="D379" s="36" t="str">
        <f>IF(ISNONTEXT(deployment_raw[[#This Row],[Column4]]), "", deployment_raw[[#This Row],[Column4]])</f>
        <v/>
      </c>
      <c r="E379" s="37" t="str">
        <f>IF(ISNUMBER(deployment_raw[[#This Row],[Column5]]), deployment_raw[[#This Row],[Column5]],"")</f>
        <v/>
      </c>
      <c r="F379" s="94" t="str">
        <f>IF(ISNUMBER(deployment_raw[[#This Row],[Column6]]), (deployment_raw[[#This Row],[Column6]] * IF($E$2="Deployment",deployment_raw[[#This Row],[Column5]],1)),"")</f>
        <v/>
      </c>
      <c r="G379" s="95" t="str">
        <f>IF(ISNUMBER(deployment_raw[[#This Row],[Column7]]), (deployment_raw[[#This Row],[Column7]] * IF($E$2="Deployment",deployment_raw[[#This Row],[Column5]],1))/1048576,"")</f>
        <v/>
      </c>
      <c r="H379" s="95" t="str">
        <f>IF(ISNUMBER(deployment_raw[[#This Row],[Column8]]), (deployment_raw[[#This Row],[Column8]]  * IF($E$2="Deployment",deployment_raw[[#This Row],[Column5]],1)),"")</f>
        <v/>
      </c>
      <c r="I379" s="96" t="str">
        <f>IF(ISNUMBER(deployment_raw[[#This Row],[Column9]]), (deployment_raw[[#This Row],[Column9]] * IF($E$2="Deployment",deployment_raw[[#This Row],[Column5]],1))/1048576,"")</f>
        <v/>
      </c>
      <c r="J379" s="122" t="str">
        <f>IF(ISNUMBER(deployment_raw[[#This Row],[Column10]]), (MIN(IF(N379&lt;&gt;"",N379,9999999999999)*1.1,deployment_raw[[#This Row],[Column10]] * IF($E$2="Deployment",deployment_raw[[#This Row],[Column5]],1))),"")</f>
        <v/>
      </c>
      <c r="K379" s="123" t="str">
        <f>IF(ISNUMBER(deployment_raw[[#This Row],[Column11]]), (MIN(IF(O379&lt;&gt;"",O379,9999999999999)*1.1,deployment_raw[[#This Row],[Column11]] * IF($E$2="Deployment",deployment_raw[[#This Row],[Column5]],1)/1048576)),"")</f>
        <v/>
      </c>
      <c r="L379" s="124" t="str">
        <f>IF(ISNUMBER(deployment_raw[[#This Row],[Column8]]),IF(OR(deployment_raw[[#This Row],[Column5]] &lt;&gt; 0,$E$2 &lt;&gt; "Deployment"), MAX(J379, P379, R379, ($L$2 * IF($E$2="Deployment",deployment_raw[[#This Row],[Column5]],1)),IF(T379&lt;&gt;"",VALUE(T379) * IF($E$2="Deployment",deployment_raw[[#This Row],[Column5]],1),0)), 0),"")</f>
        <v/>
      </c>
      <c r="M379" s="125" t="str">
        <f>IF(ISNUMBER(deployment_raw[[#This Row],[Column9]]),IF(OR(deployment_raw[[#This Row],[Column5]] &lt;&gt; 0,$E$2&lt;&gt;"Deployment"), MAX(K379, Q379, S379, ($M$2 * IF($E$2="Deployment",deployment_raw[[#This Row],[Column5]],1)),IF(U379&lt;&gt;"",VALUE(U379) * IF($E$2="Deployment",deployment_raw[[#This Row],[Column5]],1),0)), 0),"")</f>
        <v/>
      </c>
      <c r="N379" s="166" t="str">
        <f>IF(ISNUMBER(deployment_raw[[#This Row],[Column14]]), deployment_raw[[#This Row],[Column14]]/IF(OR($E$2="Deployment",deployment_raw[[#This Row],[Column5]]=0),1,deployment_raw[[#This Row],[Column5]]),"")</f>
        <v/>
      </c>
      <c r="O379" s="167" t="str">
        <f>IF(ISNUMBER(deployment_raw[[#This Row],[Column15]]), deployment_raw[[#This Row],[Column15]]/IF(OR($E$2="Deployment",deployment_raw[[#This Row],[Column5]]=0),1,deployment_raw[[#This Row],[Column5]])/1048576,"")</f>
        <v/>
      </c>
      <c r="P379" s="168" t="str">
        <f>IF(ISNUMBER(deployment_raw[[#This Row],[Column12]]), (MIN(IF(N379&lt;&gt;"",N379,9999999999999)*1.1,deployment_raw[[#This Row],[Column12]] * IF($E$2="Deployment",deployment_raw[[#This Row],[Column5]],1))*(1+$P$2)),"")</f>
        <v/>
      </c>
      <c r="Q379" s="167" t="str">
        <f>IF(ISNUMBER(deployment_raw[[#This Row],[Column13]]), (MIN(IF(O379&lt;&gt;"",O379,9999999999999)*1.1,deployment_raw[[#This Row],[Column13]] * IF($E$2="Deployment",deployment_raw[[#This Row],[Column5]],1)*(1+$Q$2)/1048576)),"")</f>
        <v/>
      </c>
      <c r="R379" s="169" t="str">
        <f>IF(ISNUMBER(deployment_raw[[#This Row],[Column8]]), (H379  * IF(N379&lt;&gt;0,$R$2,1)),"")</f>
        <v/>
      </c>
      <c r="S379" s="170" t="str">
        <f>IF(ISNUMBER(deployment_raw[[#This Row],[Column8]]), (I379  * IF(O379&lt;&gt;0,$S$2,1)),"")</f>
        <v/>
      </c>
      <c r="T379" s="202" t="str">
        <f>IF(AND(A379&lt;&gt;"",_xlfn.IFNA(MATCH(A379,'dynamic resource application '!$A$2:$A$100, 0),0)&lt;&gt;0), H379/(IF($E$2="Deployment",E379,1)),"")</f>
        <v/>
      </c>
      <c r="U379" s="211" t="str">
        <f>IF(AND(A379&lt;&gt;"",_xlfn.IFNA(MATCH(A379,'dynamic resource application '!$A$2:$A$100, 0),0)&lt;&gt;0), I379/(IF($E$2="Deployment",E379,1)),"")</f>
        <v/>
      </c>
    </row>
    <row r="380" spans="1:21" ht="15.75" customHeight="1" x14ac:dyDescent="0.25">
      <c r="A380" s="35" t="str">
        <f>IF(ISNONTEXT(deployment_raw[[#This Row],[Column1]]), "", deployment_raw[[#This Row],[Column1]])</f>
        <v/>
      </c>
      <c r="B380" s="36" t="str">
        <f>IF(ISNONTEXT(deployment_raw[[#This Row],[Column2]]), "", deployment_raw[[#This Row],[Column2]])</f>
        <v/>
      </c>
      <c r="C380" s="36" t="str">
        <f>IF(ISNONTEXT(deployment_raw[[#This Row],[Column3]]), "", deployment_raw[[#This Row],[Column3]])</f>
        <v/>
      </c>
      <c r="D380" s="36" t="str">
        <f>IF(ISNONTEXT(deployment_raw[[#This Row],[Column4]]), "", deployment_raw[[#This Row],[Column4]])</f>
        <v/>
      </c>
      <c r="E380" s="37" t="str">
        <f>IF(ISNUMBER(deployment_raw[[#This Row],[Column5]]), deployment_raw[[#This Row],[Column5]],"")</f>
        <v/>
      </c>
      <c r="F380" s="94" t="str">
        <f>IF(ISNUMBER(deployment_raw[[#This Row],[Column6]]), (deployment_raw[[#This Row],[Column6]] * IF($E$2="Deployment",deployment_raw[[#This Row],[Column5]],1)),"")</f>
        <v/>
      </c>
      <c r="G380" s="95" t="str">
        <f>IF(ISNUMBER(deployment_raw[[#This Row],[Column7]]), (deployment_raw[[#This Row],[Column7]] * IF($E$2="Deployment",deployment_raw[[#This Row],[Column5]],1))/1048576,"")</f>
        <v/>
      </c>
      <c r="H380" s="95" t="str">
        <f>IF(ISNUMBER(deployment_raw[[#This Row],[Column8]]), (deployment_raw[[#This Row],[Column8]]  * IF($E$2="Deployment",deployment_raw[[#This Row],[Column5]],1)),"")</f>
        <v/>
      </c>
      <c r="I380" s="96" t="str">
        <f>IF(ISNUMBER(deployment_raw[[#This Row],[Column9]]), (deployment_raw[[#This Row],[Column9]] * IF($E$2="Deployment",deployment_raw[[#This Row],[Column5]],1))/1048576,"")</f>
        <v/>
      </c>
      <c r="J380" s="122" t="str">
        <f>IF(ISNUMBER(deployment_raw[[#This Row],[Column10]]), (MIN(IF(N380&lt;&gt;"",N380,9999999999999)*1.1,deployment_raw[[#This Row],[Column10]] * IF($E$2="Deployment",deployment_raw[[#This Row],[Column5]],1))),"")</f>
        <v/>
      </c>
      <c r="K380" s="123" t="str">
        <f>IF(ISNUMBER(deployment_raw[[#This Row],[Column11]]), (MIN(IF(O380&lt;&gt;"",O380,9999999999999)*1.1,deployment_raw[[#This Row],[Column11]] * IF($E$2="Deployment",deployment_raw[[#This Row],[Column5]],1)/1048576)),"")</f>
        <v/>
      </c>
      <c r="L380" s="124" t="str">
        <f>IF(ISNUMBER(deployment_raw[[#This Row],[Column8]]),IF(OR(deployment_raw[[#This Row],[Column5]] &lt;&gt; 0,$E$2 &lt;&gt; "Deployment"), MAX(J380, P380, R380, ($L$2 * IF($E$2="Deployment",deployment_raw[[#This Row],[Column5]],1)),IF(T380&lt;&gt;"",VALUE(T380) * IF($E$2="Deployment",deployment_raw[[#This Row],[Column5]],1),0)), 0),"")</f>
        <v/>
      </c>
      <c r="M380" s="125" t="str">
        <f>IF(ISNUMBER(deployment_raw[[#This Row],[Column9]]),IF(OR(deployment_raw[[#This Row],[Column5]] &lt;&gt; 0,$E$2&lt;&gt;"Deployment"), MAX(K380, Q380, S380, ($M$2 * IF($E$2="Deployment",deployment_raw[[#This Row],[Column5]],1)),IF(U380&lt;&gt;"",VALUE(U380) * IF($E$2="Deployment",deployment_raw[[#This Row],[Column5]],1),0)), 0),"")</f>
        <v/>
      </c>
      <c r="N380" s="166" t="str">
        <f>IF(ISNUMBER(deployment_raw[[#This Row],[Column14]]), deployment_raw[[#This Row],[Column14]]/IF(OR($E$2="Deployment",deployment_raw[[#This Row],[Column5]]=0),1,deployment_raw[[#This Row],[Column5]]),"")</f>
        <v/>
      </c>
      <c r="O380" s="167" t="str">
        <f>IF(ISNUMBER(deployment_raw[[#This Row],[Column15]]), deployment_raw[[#This Row],[Column15]]/IF(OR($E$2="Deployment",deployment_raw[[#This Row],[Column5]]=0),1,deployment_raw[[#This Row],[Column5]])/1048576,"")</f>
        <v/>
      </c>
      <c r="P380" s="168" t="str">
        <f>IF(ISNUMBER(deployment_raw[[#This Row],[Column12]]), (MIN(IF(N380&lt;&gt;"",N380,9999999999999)*1.1,deployment_raw[[#This Row],[Column12]] * IF($E$2="Deployment",deployment_raw[[#This Row],[Column5]],1))*(1+$P$2)),"")</f>
        <v/>
      </c>
      <c r="Q380" s="167" t="str">
        <f>IF(ISNUMBER(deployment_raw[[#This Row],[Column13]]), (MIN(IF(O380&lt;&gt;"",O380,9999999999999)*1.1,deployment_raw[[#This Row],[Column13]] * IF($E$2="Deployment",deployment_raw[[#This Row],[Column5]],1)*(1+$Q$2)/1048576)),"")</f>
        <v/>
      </c>
      <c r="R380" s="169" t="str">
        <f>IF(ISNUMBER(deployment_raw[[#This Row],[Column8]]), (H380  * IF(N380&lt;&gt;0,$R$2,1)),"")</f>
        <v/>
      </c>
      <c r="S380" s="170" t="str">
        <f>IF(ISNUMBER(deployment_raw[[#This Row],[Column8]]), (I380  * IF(O380&lt;&gt;0,$S$2,1)),"")</f>
        <v/>
      </c>
      <c r="T380" s="202" t="str">
        <f>IF(AND(A380&lt;&gt;"",_xlfn.IFNA(MATCH(A380,'dynamic resource application '!$A$2:$A$100, 0),0)&lt;&gt;0), H380/(IF($E$2="Deployment",E380,1)),"")</f>
        <v/>
      </c>
      <c r="U380" s="211" t="str">
        <f>IF(AND(A380&lt;&gt;"",_xlfn.IFNA(MATCH(A380,'dynamic resource application '!$A$2:$A$100, 0),0)&lt;&gt;0), I380/(IF($E$2="Deployment",E380,1)),"")</f>
        <v/>
      </c>
    </row>
    <row r="381" spans="1:21" ht="15.75" customHeight="1" x14ac:dyDescent="0.25">
      <c r="A381" s="35" t="str">
        <f>IF(ISNONTEXT(deployment_raw[[#This Row],[Column1]]), "", deployment_raw[[#This Row],[Column1]])</f>
        <v/>
      </c>
      <c r="B381" s="36" t="str">
        <f>IF(ISNONTEXT(deployment_raw[[#This Row],[Column2]]), "", deployment_raw[[#This Row],[Column2]])</f>
        <v/>
      </c>
      <c r="C381" s="36" t="str">
        <f>IF(ISNONTEXT(deployment_raw[[#This Row],[Column3]]), "", deployment_raw[[#This Row],[Column3]])</f>
        <v/>
      </c>
      <c r="D381" s="36" t="str">
        <f>IF(ISNONTEXT(deployment_raw[[#This Row],[Column4]]), "", deployment_raw[[#This Row],[Column4]])</f>
        <v/>
      </c>
      <c r="E381" s="37" t="str">
        <f>IF(ISNUMBER(deployment_raw[[#This Row],[Column5]]), deployment_raw[[#This Row],[Column5]],"")</f>
        <v/>
      </c>
      <c r="F381" s="94" t="str">
        <f>IF(ISNUMBER(deployment_raw[[#This Row],[Column6]]), (deployment_raw[[#This Row],[Column6]] * IF($E$2="Deployment",deployment_raw[[#This Row],[Column5]],1)),"")</f>
        <v/>
      </c>
      <c r="G381" s="95" t="str">
        <f>IF(ISNUMBER(deployment_raw[[#This Row],[Column7]]), (deployment_raw[[#This Row],[Column7]] * IF($E$2="Deployment",deployment_raw[[#This Row],[Column5]],1))/1048576,"")</f>
        <v/>
      </c>
      <c r="H381" s="95" t="str">
        <f>IF(ISNUMBER(deployment_raw[[#This Row],[Column8]]), (deployment_raw[[#This Row],[Column8]]  * IF($E$2="Deployment",deployment_raw[[#This Row],[Column5]],1)),"")</f>
        <v/>
      </c>
      <c r="I381" s="96" t="str">
        <f>IF(ISNUMBER(deployment_raw[[#This Row],[Column9]]), (deployment_raw[[#This Row],[Column9]] * IF($E$2="Deployment",deployment_raw[[#This Row],[Column5]],1))/1048576,"")</f>
        <v/>
      </c>
      <c r="J381" s="122" t="str">
        <f>IF(ISNUMBER(deployment_raw[[#This Row],[Column10]]), (MIN(IF(N381&lt;&gt;"",N381,9999999999999)*1.1,deployment_raw[[#This Row],[Column10]] * IF($E$2="Deployment",deployment_raw[[#This Row],[Column5]],1))),"")</f>
        <v/>
      </c>
      <c r="K381" s="123" t="str">
        <f>IF(ISNUMBER(deployment_raw[[#This Row],[Column11]]), (MIN(IF(O381&lt;&gt;"",O381,9999999999999)*1.1,deployment_raw[[#This Row],[Column11]] * IF($E$2="Deployment",deployment_raw[[#This Row],[Column5]],1)/1048576)),"")</f>
        <v/>
      </c>
      <c r="L381" s="124" t="str">
        <f>IF(ISNUMBER(deployment_raw[[#This Row],[Column8]]),IF(OR(deployment_raw[[#This Row],[Column5]] &lt;&gt; 0,$E$2 &lt;&gt; "Deployment"), MAX(J381, P381, R381, ($L$2 * IF($E$2="Deployment",deployment_raw[[#This Row],[Column5]],1)),IF(T381&lt;&gt;"",VALUE(T381) * IF($E$2="Deployment",deployment_raw[[#This Row],[Column5]],1),0)), 0),"")</f>
        <v/>
      </c>
      <c r="M381" s="125" t="str">
        <f>IF(ISNUMBER(deployment_raw[[#This Row],[Column9]]),IF(OR(deployment_raw[[#This Row],[Column5]] &lt;&gt; 0,$E$2&lt;&gt;"Deployment"), MAX(K381, Q381, S381, ($M$2 * IF($E$2="Deployment",deployment_raw[[#This Row],[Column5]],1)),IF(U381&lt;&gt;"",VALUE(U381) * IF($E$2="Deployment",deployment_raw[[#This Row],[Column5]],1),0)), 0),"")</f>
        <v/>
      </c>
      <c r="N381" s="166" t="str">
        <f>IF(ISNUMBER(deployment_raw[[#This Row],[Column14]]), deployment_raw[[#This Row],[Column14]]/IF(OR($E$2="Deployment",deployment_raw[[#This Row],[Column5]]=0),1,deployment_raw[[#This Row],[Column5]]),"")</f>
        <v/>
      </c>
      <c r="O381" s="167" t="str">
        <f>IF(ISNUMBER(deployment_raw[[#This Row],[Column15]]), deployment_raw[[#This Row],[Column15]]/IF(OR($E$2="Deployment",deployment_raw[[#This Row],[Column5]]=0),1,deployment_raw[[#This Row],[Column5]])/1048576,"")</f>
        <v/>
      </c>
      <c r="P381" s="168" t="str">
        <f>IF(ISNUMBER(deployment_raw[[#This Row],[Column12]]), (MIN(IF(N381&lt;&gt;"",N381,9999999999999)*1.1,deployment_raw[[#This Row],[Column12]] * IF($E$2="Deployment",deployment_raw[[#This Row],[Column5]],1))*(1+$P$2)),"")</f>
        <v/>
      </c>
      <c r="Q381" s="167" t="str">
        <f>IF(ISNUMBER(deployment_raw[[#This Row],[Column13]]), (MIN(IF(O381&lt;&gt;"",O381,9999999999999)*1.1,deployment_raw[[#This Row],[Column13]] * IF($E$2="Deployment",deployment_raw[[#This Row],[Column5]],1)*(1+$Q$2)/1048576)),"")</f>
        <v/>
      </c>
      <c r="R381" s="169" t="str">
        <f>IF(ISNUMBER(deployment_raw[[#This Row],[Column8]]), (H381  * IF(N381&lt;&gt;0,$R$2,1)),"")</f>
        <v/>
      </c>
      <c r="S381" s="170" t="str">
        <f>IF(ISNUMBER(deployment_raw[[#This Row],[Column8]]), (I381  * IF(O381&lt;&gt;0,$S$2,1)),"")</f>
        <v/>
      </c>
      <c r="T381" s="202" t="str">
        <f>IF(AND(A381&lt;&gt;"",_xlfn.IFNA(MATCH(A381,'dynamic resource application '!$A$2:$A$100, 0),0)&lt;&gt;0), H381/(IF($E$2="Deployment",E381,1)),"")</f>
        <v/>
      </c>
      <c r="U381" s="211" t="str">
        <f>IF(AND(A381&lt;&gt;"",_xlfn.IFNA(MATCH(A381,'dynamic resource application '!$A$2:$A$100, 0),0)&lt;&gt;0), I381/(IF($E$2="Deployment",E381,1)),"")</f>
        <v/>
      </c>
    </row>
    <row r="382" spans="1:21" ht="15.75" customHeight="1" x14ac:dyDescent="0.25">
      <c r="A382" s="35" t="str">
        <f>IF(ISNONTEXT(deployment_raw[[#This Row],[Column1]]), "", deployment_raw[[#This Row],[Column1]])</f>
        <v/>
      </c>
      <c r="B382" s="36" t="str">
        <f>IF(ISNONTEXT(deployment_raw[[#This Row],[Column2]]), "", deployment_raw[[#This Row],[Column2]])</f>
        <v/>
      </c>
      <c r="C382" s="36" t="str">
        <f>IF(ISNONTEXT(deployment_raw[[#This Row],[Column3]]), "", deployment_raw[[#This Row],[Column3]])</f>
        <v/>
      </c>
      <c r="D382" s="36" t="str">
        <f>IF(ISNONTEXT(deployment_raw[[#This Row],[Column4]]), "", deployment_raw[[#This Row],[Column4]])</f>
        <v/>
      </c>
      <c r="E382" s="37" t="str">
        <f>IF(ISNUMBER(deployment_raw[[#This Row],[Column5]]), deployment_raw[[#This Row],[Column5]],"")</f>
        <v/>
      </c>
      <c r="F382" s="94" t="str">
        <f>IF(ISNUMBER(deployment_raw[[#This Row],[Column6]]), (deployment_raw[[#This Row],[Column6]] * IF($E$2="Deployment",deployment_raw[[#This Row],[Column5]],1)),"")</f>
        <v/>
      </c>
      <c r="G382" s="95" t="str">
        <f>IF(ISNUMBER(deployment_raw[[#This Row],[Column7]]), (deployment_raw[[#This Row],[Column7]] * IF($E$2="Deployment",deployment_raw[[#This Row],[Column5]],1))/1048576,"")</f>
        <v/>
      </c>
      <c r="H382" s="95" t="str">
        <f>IF(ISNUMBER(deployment_raw[[#This Row],[Column8]]), (deployment_raw[[#This Row],[Column8]]  * IF($E$2="Deployment",deployment_raw[[#This Row],[Column5]],1)),"")</f>
        <v/>
      </c>
      <c r="I382" s="96" t="str">
        <f>IF(ISNUMBER(deployment_raw[[#This Row],[Column9]]), (deployment_raw[[#This Row],[Column9]] * IF($E$2="Deployment",deployment_raw[[#This Row],[Column5]],1))/1048576,"")</f>
        <v/>
      </c>
      <c r="J382" s="122" t="str">
        <f>IF(ISNUMBER(deployment_raw[[#This Row],[Column10]]), (MIN(IF(N382&lt;&gt;"",N382,9999999999999)*1.1,deployment_raw[[#This Row],[Column10]] * IF($E$2="Deployment",deployment_raw[[#This Row],[Column5]],1))),"")</f>
        <v/>
      </c>
      <c r="K382" s="123" t="str">
        <f>IF(ISNUMBER(deployment_raw[[#This Row],[Column11]]), (MIN(IF(O382&lt;&gt;"",O382,9999999999999)*1.1,deployment_raw[[#This Row],[Column11]] * IF($E$2="Deployment",deployment_raw[[#This Row],[Column5]],1)/1048576)),"")</f>
        <v/>
      </c>
      <c r="L382" s="124" t="str">
        <f>IF(ISNUMBER(deployment_raw[[#This Row],[Column8]]),IF(OR(deployment_raw[[#This Row],[Column5]] &lt;&gt; 0,$E$2 &lt;&gt; "Deployment"), MAX(J382, P382, R382, ($L$2 * IF($E$2="Deployment",deployment_raw[[#This Row],[Column5]],1)),IF(T382&lt;&gt;"",VALUE(T382) * IF($E$2="Deployment",deployment_raw[[#This Row],[Column5]],1),0)), 0),"")</f>
        <v/>
      </c>
      <c r="M382" s="125" t="str">
        <f>IF(ISNUMBER(deployment_raw[[#This Row],[Column9]]),IF(OR(deployment_raw[[#This Row],[Column5]] &lt;&gt; 0,$E$2&lt;&gt;"Deployment"), MAX(K382, Q382, S382, ($M$2 * IF($E$2="Deployment",deployment_raw[[#This Row],[Column5]],1)),IF(U382&lt;&gt;"",VALUE(U382) * IF($E$2="Deployment",deployment_raw[[#This Row],[Column5]],1),0)), 0),"")</f>
        <v/>
      </c>
      <c r="N382" s="166" t="str">
        <f>IF(ISNUMBER(deployment_raw[[#This Row],[Column14]]), deployment_raw[[#This Row],[Column14]]/IF(OR($E$2="Deployment",deployment_raw[[#This Row],[Column5]]=0),1,deployment_raw[[#This Row],[Column5]]),"")</f>
        <v/>
      </c>
      <c r="O382" s="167" t="str">
        <f>IF(ISNUMBER(deployment_raw[[#This Row],[Column15]]), deployment_raw[[#This Row],[Column15]]/IF(OR($E$2="Deployment",deployment_raw[[#This Row],[Column5]]=0),1,deployment_raw[[#This Row],[Column5]])/1048576,"")</f>
        <v/>
      </c>
      <c r="P382" s="168" t="str">
        <f>IF(ISNUMBER(deployment_raw[[#This Row],[Column12]]), (MIN(IF(N382&lt;&gt;"",N382,9999999999999)*1.1,deployment_raw[[#This Row],[Column12]] * IF($E$2="Deployment",deployment_raw[[#This Row],[Column5]],1))*(1+$P$2)),"")</f>
        <v/>
      </c>
      <c r="Q382" s="167" t="str">
        <f>IF(ISNUMBER(deployment_raw[[#This Row],[Column13]]), (MIN(IF(O382&lt;&gt;"",O382,9999999999999)*1.1,deployment_raw[[#This Row],[Column13]] * IF($E$2="Deployment",deployment_raw[[#This Row],[Column5]],1)*(1+$Q$2)/1048576)),"")</f>
        <v/>
      </c>
      <c r="R382" s="169" t="str">
        <f>IF(ISNUMBER(deployment_raw[[#This Row],[Column8]]), (H382  * IF(N382&lt;&gt;0,$R$2,1)),"")</f>
        <v/>
      </c>
      <c r="S382" s="170" t="str">
        <f>IF(ISNUMBER(deployment_raw[[#This Row],[Column8]]), (I382  * IF(O382&lt;&gt;0,$S$2,1)),"")</f>
        <v/>
      </c>
      <c r="T382" s="202" t="str">
        <f>IF(AND(A382&lt;&gt;"",_xlfn.IFNA(MATCH(A382,'dynamic resource application '!$A$2:$A$100, 0),0)&lt;&gt;0), H382/(IF($E$2="Deployment",E382,1)),"")</f>
        <v/>
      </c>
      <c r="U382" s="211" t="str">
        <f>IF(AND(A382&lt;&gt;"",_xlfn.IFNA(MATCH(A382,'dynamic resource application '!$A$2:$A$100, 0),0)&lt;&gt;0), I382/(IF($E$2="Deployment",E382,1)),"")</f>
        <v/>
      </c>
    </row>
    <row r="383" spans="1:21" ht="15.75" customHeight="1" x14ac:dyDescent="0.25">
      <c r="A383" s="35" t="str">
        <f>IF(ISNONTEXT(deployment_raw[[#This Row],[Column1]]), "", deployment_raw[[#This Row],[Column1]])</f>
        <v/>
      </c>
      <c r="B383" s="36" t="str">
        <f>IF(ISNONTEXT(deployment_raw[[#This Row],[Column2]]), "", deployment_raw[[#This Row],[Column2]])</f>
        <v/>
      </c>
      <c r="C383" s="36" t="str">
        <f>IF(ISNONTEXT(deployment_raw[[#This Row],[Column3]]), "", deployment_raw[[#This Row],[Column3]])</f>
        <v/>
      </c>
      <c r="D383" s="36" t="str">
        <f>IF(ISNONTEXT(deployment_raw[[#This Row],[Column4]]), "", deployment_raw[[#This Row],[Column4]])</f>
        <v/>
      </c>
      <c r="E383" s="37" t="str">
        <f>IF(ISNUMBER(deployment_raw[[#This Row],[Column5]]), deployment_raw[[#This Row],[Column5]],"")</f>
        <v/>
      </c>
      <c r="F383" s="94" t="str">
        <f>IF(ISNUMBER(deployment_raw[[#This Row],[Column6]]), (deployment_raw[[#This Row],[Column6]] * IF($E$2="Deployment",deployment_raw[[#This Row],[Column5]],1)),"")</f>
        <v/>
      </c>
      <c r="G383" s="95" t="str">
        <f>IF(ISNUMBER(deployment_raw[[#This Row],[Column7]]), (deployment_raw[[#This Row],[Column7]] * IF($E$2="Deployment",deployment_raw[[#This Row],[Column5]],1))/1048576,"")</f>
        <v/>
      </c>
      <c r="H383" s="95" t="str">
        <f>IF(ISNUMBER(deployment_raw[[#This Row],[Column8]]), (deployment_raw[[#This Row],[Column8]]  * IF($E$2="Deployment",deployment_raw[[#This Row],[Column5]],1)),"")</f>
        <v/>
      </c>
      <c r="I383" s="96" t="str">
        <f>IF(ISNUMBER(deployment_raw[[#This Row],[Column9]]), (deployment_raw[[#This Row],[Column9]] * IF($E$2="Deployment",deployment_raw[[#This Row],[Column5]],1))/1048576,"")</f>
        <v/>
      </c>
      <c r="J383" s="122" t="str">
        <f>IF(ISNUMBER(deployment_raw[[#This Row],[Column10]]), (MIN(IF(N383&lt;&gt;"",N383,9999999999999)*1.1,deployment_raw[[#This Row],[Column10]] * IF($E$2="Deployment",deployment_raw[[#This Row],[Column5]],1))),"")</f>
        <v/>
      </c>
      <c r="K383" s="123" t="str">
        <f>IF(ISNUMBER(deployment_raw[[#This Row],[Column11]]), (MIN(IF(O383&lt;&gt;"",O383,9999999999999)*1.1,deployment_raw[[#This Row],[Column11]] * IF($E$2="Deployment",deployment_raw[[#This Row],[Column5]],1)/1048576)),"")</f>
        <v/>
      </c>
      <c r="L383" s="124" t="str">
        <f>IF(ISNUMBER(deployment_raw[[#This Row],[Column8]]),IF(OR(deployment_raw[[#This Row],[Column5]] &lt;&gt; 0,$E$2 &lt;&gt; "Deployment"), MAX(J383, P383, R383, ($L$2 * IF($E$2="Deployment",deployment_raw[[#This Row],[Column5]],1)),IF(T383&lt;&gt;"",VALUE(T383) * IF($E$2="Deployment",deployment_raw[[#This Row],[Column5]],1),0)), 0),"")</f>
        <v/>
      </c>
      <c r="M383" s="125" t="str">
        <f>IF(ISNUMBER(deployment_raw[[#This Row],[Column9]]),IF(OR(deployment_raw[[#This Row],[Column5]] &lt;&gt; 0,$E$2&lt;&gt;"Deployment"), MAX(K383, Q383, S383, ($M$2 * IF($E$2="Deployment",deployment_raw[[#This Row],[Column5]],1)),IF(U383&lt;&gt;"",VALUE(U383) * IF($E$2="Deployment",deployment_raw[[#This Row],[Column5]],1),0)), 0),"")</f>
        <v/>
      </c>
      <c r="N383" s="166" t="str">
        <f>IF(ISNUMBER(deployment_raw[[#This Row],[Column14]]), deployment_raw[[#This Row],[Column14]]/IF(OR($E$2="Deployment",deployment_raw[[#This Row],[Column5]]=0),1,deployment_raw[[#This Row],[Column5]]),"")</f>
        <v/>
      </c>
      <c r="O383" s="167" t="str">
        <f>IF(ISNUMBER(deployment_raw[[#This Row],[Column15]]), deployment_raw[[#This Row],[Column15]]/IF(OR($E$2="Deployment",deployment_raw[[#This Row],[Column5]]=0),1,deployment_raw[[#This Row],[Column5]])/1048576,"")</f>
        <v/>
      </c>
      <c r="P383" s="168" t="str">
        <f>IF(ISNUMBER(deployment_raw[[#This Row],[Column12]]), (MIN(IF(N383&lt;&gt;"",N383,9999999999999)*1.1,deployment_raw[[#This Row],[Column12]] * IF($E$2="Deployment",deployment_raw[[#This Row],[Column5]],1))*(1+$P$2)),"")</f>
        <v/>
      </c>
      <c r="Q383" s="167" t="str">
        <f>IF(ISNUMBER(deployment_raw[[#This Row],[Column13]]), (MIN(IF(O383&lt;&gt;"",O383,9999999999999)*1.1,deployment_raw[[#This Row],[Column13]] * IF($E$2="Deployment",deployment_raw[[#This Row],[Column5]],1)*(1+$Q$2)/1048576)),"")</f>
        <v/>
      </c>
      <c r="R383" s="169" t="str">
        <f>IF(ISNUMBER(deployment_raw[[#This Row],[Column8]]), (H383  * IF(N383&lt;&gt;0,$R$2,1)),"")</f>
        <v/>
      </c>
      <c r="S383" s="170" t="str">
        <f>IF(ISNUMBER(deployment_raw[[#This Row],[Column8]]), (I383  * IF(O383&lt;&gt;0,$S$2,1)),"")</f>
        <v/>
      </c>
      <c r="T383" s="202" t="str">
        <f>IF(AND(A383&lt;&gt;"",_xlfn.IFNA(MATCH(A383,'dynamic resource application '!$A$2:$A$100, 0),0)&lt;&gt;0), H383/(IF($E$2="Deployment",E383,1)),"")</f>
        <v/>
      </c>
      <c r="U383" s="211" t="str">
        <f>IF(AND(A383&lt;&gt;"",_xlfn.IFNA(MATCH(A383,'dynamic resource application '!$A$2:$A$100, 0),0)&lt;&gt;0), I383/(IF($E$2="Deployment",E383,1)),"")</f>
        <v/>
      </c>
    </row>
    <row r="384" spans="1:21" ht="15.75" customHeight="1" x14ac:dyDescent="0.25">
      <c r="A384" s="35" t="str">
        <f>IF(ISNONTEXT(deployment_raw[[#This Row],[Column1]]), "", deployment_raw[[#This Row],[Column1]])</f>
        <v/>
      </c>
      <c r="B384" s="36" t="str">
        <f>IF(ISNONTEXT(deployment_raw[[#This Row],[Column2]]), "", deployment_raw[[#This Row],[Column2]])</f>
        <v/>
      </c>
      <c r="C384" s="36" t="str">
        <f>IF(ISNONTEXT(deployment_raw[[#This Row],[Column3]]), "", deployment_raw[[#This Row],[Column3]])</f>
        <v/>
      </c>
      <c r="D384" s="36" t="str">
        <f>IF(ISNONTEXT(deployment_raw[[#This Row],[Column4]]), "", deployment_raw[[#This Row],[Column4]])</f>
        <v/>
      </c>
      <c r="E384" s="37" t="str">
        <f>IF(ISNUMBER(deployment_raw[[#This Row],[Column5]]), deployment_raw[[#This Row],[Column5]],"")</f>
        <v/>
      </c>
      <c r="F384" s="94" t="str">
        <f>IF(ISNUMBER(deployment_raw[[#This Row],[Column6]]), (deployment_raw[[#This Row],[Column6]] * IF($E$2="Deployment",deployment_raw[[#This Row],[Column5]],1)),"")</f>
        <v/>
      </c>
      <c r="G384" s="95" t="str">
        <f>IF(ISNUMBER(deployment_raw[[#This Row],[Column7]]), (deployment_raw[[#This Row],[Column7]] * IF($E$2="Deployment",deployment_raw[[#This Row],[Column5]],1))/1048576,"")</f>
        <v/>
      </c>
      <c r="H384" s="95" t="str">
        <f>IF(ISNUMBER(deployment_raw[[#This Row],[Column8]]), (deployment_raw[[#This Row],[Column8]]  * IF($E$2="Deployment",deployment_raw[[#This Row],[Column5]],1)),"")</f>
        <v/>
      </c>
      <c r="I384" s="96" t="str">
        <f>IF(ISNUMBER(deployment_raw[[#This Row],[Column9]]), (deployment_raw[[#This Row],[Column9]] * IF($E$2="Deployment",deployment_raw[[#This Row],[Column5]],1))/1048576,"")</f>
        <v/>
      </c>
      <c r="J384" s="122" t="str">
        <f>IF(ISNUMBER(deployment_raw[[#This Row],[Column10]]), (MIN(IF(N384&lt;&gt;"",N384,9999999999999)*1.1,deployment_raw[[#This Row],[Column10]] * IF($E$2="Deployment",deployment_raw[[#This Row],[Column5]],1))),"")</f>
        <v/>
      </c>
      <c r="K384" s="123" t="str">
        <f>IF(ISNUMBER(deployment_raw[[#This Row],[Column11]]), (MIN(IF(O384&lt;&gt;"",O384,9999999999999)*1.1,deployment_raw[[#This Row],[Column11]] * IF($E$2="Deployment",deployment_raw[[#This Row],[Column5]],1)/1048576)),"")</f>
        <v/>
      </c>
      <c r="L384" s="124" t="str">
        <f>IF(ISNUMBER(deployment_raw[[#This Row],[Column8]]),IF(OR(deployment_raw[[#This Row],[Column5]] &lt;&gt; 0,$E$2 &lt;&gt; "Deployment"), MAX(J384, P384, R384, ($L$2 * IF($E$2="Deployment",deployment_raw[[#This Row],[Column5]],1)),IF(T384&lt;&gt;"",VALUE(T384) * IF($E$2="Deployment",deployment_raw[[#This Row],[Column5]],1),0)), 0),"")</f>
        <v/>
      </c>
      <c r="M384" s="125" t="str">
        <f>IF(ISNUMBER(deployment_raw[[#This Row],[Column9]]),IF(OR(deployment_raw[[#This Row],[Column5]] &lt;&gt; 0,$E$2&lt;&gt;"Deployment"), MAX(K384, Q384, S384, ($M$2 * IF($E$2="Deployment",deployment_raw[[#This Row],[Column5]],1)),IF(U384&lt;&gt;"",VALUE(U384) * IF($E$2="Deployment",deployment_raw[[#This Row],[Column5]],1),0)), 0),"")</f>
        <v/>
      </c>
      <c r="N384" s="166" t="str">
        <f>IF(ISNUMBER(deployment_raw[[#This Row],[Column14]]), deployment_raw[[#This Row],[Column14]]/IF(OR($E$2="Deployment",deployment_raw[[#This Row],[Column5]]=0),1,deployment_raw[[#This Row],[Column5]]),"")</f>
        <v/>
      </c>
      <c r="O384" s="167" t="str">
        <f>IF(ISNUMBER(deployment_raw[[#This Row],[Column15]]), deployment_raw[[#This Row],[Column15]]/IF(OR($E$2="Deployment",deployment_raw[[#This Row],[Column5]]=0),1,deployment_raw[[#This Row],[Column5]])/1048576,"")</f>
        <v/>
      </c>
      <c r="P384" s="168" t="str">
        <f>IF(ISNUMBER(deployment_raw[[#This Row],[Column12]]), (MIN(IF(N384&lt;&gt;"",N384,9999999999999)*1.1,deployment_raw[[#This Row],[Column12]] * IF($E$2="Deployment",deployment_raw[[#This Row],[Column5]],1))*(1+$P$2)),"")</f>
        <v/>
      </c>
      <c r="Q384" s="167" t="str">
        <f>IF(ISNUMBER(deployment_raw[[#This Row],[Column13]]), (MIN(IF(O384&lt;&gt;"",O384,9999999999999)*1.1,deployment_raw[[#This Row],[Column13]] * IF($E$2="Deployment",deployment_raw[[#This Row],[Column5]],1)*(1+$Q$2)/1048576)),"")</f>
        <v/>
      </c>
      <c r="R384" s="169" t="str">
        <f>IF(ISNUMBER(deployment_raw[[#This Row],[Column8]]), (H384  * IF(N384&lt;&gt;0,$R$2,1)),"")</f>
        <v/>
      </c>
      <c r="S384" s="170" t="str">
        <f>IF(ISNUMBER(deployment_raw[[#This Row],[Column8]]), (I384  * IF(O384&lt;&gt;0,$S$2,1)),"")</f>
        <v/>
      </c>
      <c r="T384" s="202" t="str">
        <f>IF(AND(A384&lt;&gt;"",_xlfn.IFNA(MATCH(A384,'dynamic resource application '!$A$2:$A$100, 0),0)&lt;&gt;0), H384/(IF($E$2="Deployment",E384,1)),"")</f>
        <v/>
      </c>
      <c r="U384" s="211" t="str">
        <f>IF(AND(A384&lt;&gt;"",_xlfn.IFNA(MATCH(A384,'dynamic resource application '!$A$2:$A$100, 0),0)&lt;&gt;0), I384/(IF($E$2="Deployment",E384,1)),"")</f>
        <v/>
      </c>
    </row>
    <row r="385" spans="1:21" ht="15.75" customHeight="1" x14ac:dyDescent="0.25">
      <c r="A385" s="35" t="str">
        <f>IF(ISNONTEXT(deployment_raw[[#This Row],[Column1]]), "", deployment_raw[[#This Row],[Column1]])</f>
        <v/>
      </c>
      <c r="B385" s="36" t="str">
        <f>IF(ISNONTEXT(deployment_raw[[#This Row],[Column2]]), "", deployment_raw[[#This Row],[Column2]])</f>
        <v/>
      </c>
      <c r="C385" s="36" t="str">
        <f>IF(ISNONTEXT(deployment_raw[[#This Row],[Column3]]), "", deployment_raw[[#This Row],[Column3]])</f>
        <v/>
      </c>
      <c r="D385" s="36" t="str">
        <f>IF(ISNONTEXT(deployment_raw[[#This Row],[Column4]]), "", deployment_raw[[#This Row],[Column4]])</f>
        <v/>
      </c>
      <c r="E385" s="37" t="str">
        <f>IF(ISNUMBER(deployment_raw[[#This Row],[Column5]]), deployment_raw[[#This Row],[Column5]],"")</f>
        <v/>
      </c>
      <c r="F385" s="94" t="str">
        <f>IF(ISNUMBER(deployment_raw[[#This Row],[Column6]]), (deployment_raw[[#This Row],[Column6]] * IF($E$2="Deployment",deployment_raw[[#This Row],[Column5]],1)),"")</f>
        <v/>
      </c>
      <c r="G385" s="95" t="str">
        <f>IF(ISNUMBER(deployment_raw[[#This Row],[Column7]]), (deployment_raw[[#This Row],[Column7]] * IF($E$2="Deployment",deployment_raw[[#This Row],[Column5]],1))/1048576,"")</f>
        <v/>
      </c>
      <c r="H385" s="95" t="str">
        <f>IF(ISNUMBER(deployment_raw[[#This Row],[Column8]]), (deployment_raw[[#This Row],[Column8]]  * IF($E$2="Deployment",deployment_raw[[#This Row],[Column5]],1)),"")</f>
        <v/>
      </c>
      <c r="I385" s="96" t="str">
        <f>IF(ISNUMBER(deployment_raw[[#This Row],[Column9]]), (deployment_raw[[#This Row],[Column9]] * IF($E$2="Deployment",deployment_raw[[#This Row],[Column5]],1))/1048576,"")</f>
        <v/>
      </c>
      <c r="J385" s="122" t="str">
        <f>IF(ISNUMBER(deployment_raw[[#This Row],[Column10]]), (MIN(IF(N385&lt;&gt;"",N385,9999999999999)*1.1,deployment_raw[[#This Row],[Column10]] * IF($E$2="Deployment",deployment_raw[[#This Row],[Column5]],1))),"")</f>
        <v/>
      </c>
      <c r="K385" s="123" t="str">
        <f>IF(ISNUMBER(deployment_raw[[#This Row],[Column11]]), (MIN(IF(O385&lt;&gt;"",O385,9999999999999)*1.1,deployment_raw[[#This Row],[Column11]] * IF($E$2="Deployment",deployment_raw[[#This Row],[Column5]],1)/1048576)),"")</f>
        <v/>
      </c>
      <c r="L385" s="124" t="str">
        <f>IF(ISNUMBER(deployment_raw[[#This Row],[Column8]]),IF(OR(deployment_raw[[#This Row],[Column5]] &lt;&gt; 0,$E$2 &lt;&gt; "Deployment"), MAX(J385, P385, R385, ($L$2 * IF($E$2="Deployment",deployment_raw[[#This Row],[Column5]],1)),IF(T385&lt;&gt;"",VALUE(T385) * IF($E$2="Deployment",deployment_raw[[#This Row],[Column5]],1),0)), 0),"")</f>
        <v/>
      </c>
      <c r="M385" s="125" t="str">
        <f>IF(ISNUMBER(deployment_raw[[#This Row],[Column9]]),IF(OR(deployment_raw[[#This Row],[Column5]] &lt;&gt; 0,$E$2&lt;&gt;"Deployment"), MAX(K385, Q385, S385, ($M$2 * IF($E$2="Deployment",deployment_raw[[#This Row],[Column5]],1)),IF(U385&lt;&gt;"",VALUE(U385) * IF($E$2="Deployment",deployment_raw[[#This Row],[Column5]],1),0)), 0),"")</f>
        <v/>
      </c>
      <c r="N385" s="166" t="str">
        <f>IF(ISNUMBER(deployment_raw[[#This Row],[Column14]]), deployment_raw[[#This Row],[Column14]]/IF(OR($E$2="Deployment",deployment_raw[[#This Row],[Column5]]=0),1,deployment_raw[[#This Row],[Column5]]),"")</f>
        <v/>
      </c>
      <c r="O385" s="167" t="str">
        <f>IF(ISNUMBER(deployment_raw[[#This Row],[Column15]]), deployment_raw[[#This Row],[Column15]]/IF(OR($E$2="Deployment",deployment_raw[[#This Row],[Column5]]=0),1,deployment_raw[[#This Row],[Column5]])/1048576,"")</f>
        <v/>
      </c>
      <c r="P385" s="168" t="str">
        <f>IF(ISNUMBER(deployment_raw[[#This Row],[Column12]]), (MIN(IF(N385&lt;&gt;"",N385,9999999999999)*1.1,deployment_raw[[#This Row],[Column12]] * IF($E$2="Deployment",deployment_raw[[#This Row],[Column5]],1))*(1+$P$2)),"")</f>
        <v/>
      </c>
      <c r="Q385" s="167" t="str">
        <f>IF(ISNUMBER(deployment_raw[[#This Row],[Column13]]), (MIN(IF(O385&lt;&gt;"",O385,9999999999999)*1.1,deployment_raw[[#This Row],[Column13]] * IF($E$2="Deployment",deployment_raw[[#This Row],[Column5]],1)*(1+$Q$2)/1048576)),"")</f>
        <v/>
      </c>
      <c r="R385" s="169" t="str">
        <f>IF(ISNUMBER(deployment_raw[[#This Row],[Column8]]), (H385  * IF(N385&lt;&gt;0,$R$2,1)),"")</f>
        <v/>
      </c>
      <c r="S385" s="170" t="str">
        <f>IF(ISNUMBER(deployment_raw[[#This Row],[Column8]]), (I385  * IF(O385&lt;&gt;0,$S$2,1)),"")</f>
        <v/>
      </c>
      <c r="T385" s="202" t="str">
        <f>IF(AND(A385&lt;&gt;"",_xlfn.IFNA(MATCH(A385,'dynamic resource application '!$A$2:$A$100, 0),0)&lt;&gt;0), H385/(IF($E$2="Deployment",E385,1)),"")</f>
        <v/>
      </c>
      <c r="U385" s="211" t="str">
        <f>IF(AND(A385&lt;&gt;"",_xlfn.IFNA(MATCH(A385,'dynamic resource application '!$A$2:$A$100, 0),0)&lt;&gt;0), I385/(IF($E$2="Deployment",E385,1)),"")</f>
        <v/>
      </c>
    </row>
    <row r="386" spans="1:21" ht="15.75" customHeight="1" x14ac:dyDescent="0.25">
      <c r="A386" s="35" t="str">
        <f>IF(ISNONTEXT(deployment_raw[[#This Row],[Column1]]), "", deployment_raw[[#This Row],[Column1]])</f>
        <v/>
      </c>
      <c r="B386" s="36" t="str">
        <f>IF(ISNONTEXT(deployment_raw[[#This Row],[Column2]]), "", deployment_raw[[#This Row],[Column2]])</f>
        <v/>
      </c>
      <c r="C386" s="36" t="str">
        <f>IF(ISNONTEXT(deployment_raw[[#This Row],[Column3]]), "", deployment_raw[[#This Row],[Column3]])</f>
        <v/>
      </c>
      <c r="D386" s="36" t="str">
        <f>IF(ISNONTEXT(deployment_raw[[#This Row],[Column4]]), "", deployment_raw[[#This Row],[Column4]])</f>
        <v/>
      </c>
      <c r="E386" s="37" t="str">
        <f>IF(ISNUMBER(deployment_raw[[#This Row],[Column5]]), deployment_raw[[#This Row],[Column5]],"")</f>
        <v/>
      </c>
      <c r="F386" s="94" t="str">
        <f>IF(ISNUMBER(deployment_raw[[#This Row],[Column6]]), (deployment_raw[[#This Row],[Column6]] * IF($E$2="Deployment",deployment_raw[[#This Row],[Column5]],1)),"")</f>
        <v/>
      </c>
      <c r="G386" s="95" t="str">
        <f>IF(ISNUMBER(deployment_raw[[#This Row],[Column7]]), (deployment_raw[[#This Row],[Column7]] * IF($E$2="Deployment",deployment_raw[[#This Row],[Column5]],1))/1048576,"")</f>
        <v/>
      </c>
      <c r="H386" s="95" t="str">
        <f>IF(ISNUMBER(deployment_raw[[#This Row],[Column8]]), (deployment_raw[[#This Row],[Column8]]  * IF($E$2="Deployment",deployment_raw[[#This Row],[Column5]],1)),"")</f>
        <v/>
      </c>
      <c r="I386" s="96" t="str">
        <f>IF(ISNUMBER(deployment_raw[[#This Row],[Column9]]), (deployment_raw[[#This Row],[Column9]] * IF($E$2="Deployment",deployment_raw[[#This Row],[Column5]],1))/1048576,"")</f>
        <v/>
      </c>
      <c r="J386" s="122" t="str">
        <f>IF(ISNUMBER(deployment_raw[[#This Row],[Column10]]), (MIN(IF(N386&lt;&gt;"",N386,9999999999999)*1.1,deployment_raw[[#This Row],[Column10]] * IF($E$2="Deployment",deployment_raw[[#This Row],[Column5]],1))),"")</f>
        <v/>
      </c>
      <c r="K386" s="123" t="str">
        <f>IF(ISNUMBER(deployment_raw[[#This Row],[Column11]]), (MIN(IF(O386&lt;&gt;"",O386,9999999999999)*1.1,deployment_raw[[#This Row],[Column11]] * IF($E$2="Deployment",deployment_raw[[#This Row],[Column5]],1)/1048576)),"")</f>
        <v/>
      </c>
      <c r="L386" s="124" t="str">
        <f>IF(ISNUMBER(deployment_raw[[#This Row],[Column8]]),IF(OR(deployment_raw[[#This Row],[Column5]] &lt;&gt; 0,$E$2 &lt;&gt; "Deployment"), MAX(J386, P386, R386, ($L$2 * IF($E$2="Deployment",deployment_raw[[#This Row],[Column5]],1)),IF(T386&lt;&gt;"",VALUE(T386) * IF($E$2="Deployment",deployment_raw[[#This Row],[Column5]],1),0)), 0),"")</f>
        <v/>
      </c>
      <c r="M386" s="125" t="str">
        <f>IF(ISNUMBER(deployment_raw[[#This Row],[Column9]]),IF(OR(deployment_raw[[#This Row],[Column5]] &lt;&gt; 0,$E$2&lt;&gt;"Deployment"), MAX(K386, Q386, S386, ($M$2 * IF($E$2="Deployment",deployment_raw[[#This Row],[Column5]],1)),IF(U386&lt;&gt;"",VALUE(U386) * IF($E$2="Deployment",deployment_raw[[#This Row],[Column5]],1),0)), 0),"")</f>
        <v/>
      </c>
      <c r="N386" s="166" t="str">
        <f>IF(ISNUMBER(deployment_raw[[#This Row],[Column14]]), deployment_raw[[#This Row],[Column14]]/IF(OR($E$2="Deployment",deployment_raw[[#This Row],[Column5]]=0),1,deployment_raw[[#This Row],[Column5]]),"")</f>
        <v/>
      </c>
      <c r="O386" s="167" t="str">
        <f>IF(ISNUMBER(deployment_raw[[#This Row],[Column15]]), deployment_raw[[#This Row],[Column15]]/IF(OR($E$2="Deployment",deployment_raw[[#This Row],[Column5]]=0),1,deployment_raw[[#This Row],[Column5]])/1048576,"")</f>
        <v/>
      </c>
      <c r="P386" s="168" t="str">
        <f>IF(ISNUMBER(deployment_raw[[#This Row],[Column12]]), (MIN(IF(N386&lt;&gt;"",N386,9999999999999)*1.1,deployment_raw[[#This Row],[Column12]] * IF($E$2="Deployment",deployment_raw[[#This Row],[Column5]],1))*(1+$P$2)),"")</f>
        <v/>
      </c>
      <c r="Q386" s="167" t="str">
        <f>IF(ISNUMBER(deployment_raw[[#This Row],[Column13]]), (MIN(IF(O386&lt;&gt;"",O386,9999999999999)*1.1,deployment_raw[[#This Row],[Column13]] * IF($E$2="Deployment",deployment_raw[[#This Row],[Column5]],1)*(1+$Q$2)/1048576)),"")</f>
        <v/>
      </c>
      <c r="R386" s="169" t="str">
        <f>IF(ISNUMBER(deployment_raw[[#This Row],[Column8]]), (H386  * IF(N386&lt;&gt;0,$R$2,1)),"")</f>
        <v/>
      </c>
      <c r="S386" s="170" t="str">
        <f>IF(ISNUMBER(deployment_raw[[#This Row],[Column8]]), (I386  * IF(O386&lt;&gt;0,$S$2,1)),"")</f>
        <v/>
      </c>
      <c r="T386" s="202" t="str">
        <f>IF(AND(A386&lt;&gt;"",_xlfn.IFNA(MATCH(A386,'dynamic resource application '!$A$2:$A$100, 0),0)&lt;&gt;0), H386/(IF($E$2="Deployment",E386,1)),"")</f>
        <v/>
      </c>
      <c r="U386" s="211" t="str">
        <f>IF(AND(A386&lt;&gt;"",_xlfn.IFNA(MATCH(A386,'dynamic resource application '!$A$2:$A$100, 0),0)&lt;&gt;0), I386/(IF($E$2="Deployment",E386,1)),"")</f>
        <v/>
      </c>
    </row>
    <row r="387" spans="1:21" ht="15.75" customHeight="1" x14ac:dyDescent="0.25">
      <c r="A387" s="35" t="str">
        <f>IF(ISNONTEXT(deployment_raw[[#This Row],[Column1]]), "", deployment_raw[[#This Row],[Column1]])</f>
        <v/>
      </c>
      <c r="B387" s="36" t="str">
        <f>IF(ISNONTEXT(deployment_raw[[#This Row],[Column2]]), "", deployment_raw[[#This Row],[Column2]])</f>
        <v/>
      </c>
      <c r="C387" s="36" t="str">
        <f>IF(ISNONTEXT(deployment_raw[[#This Row],[Column3]]), "", deployment_raw[[#This Row],[Column3]])</f>
        <v/>
      </c>
      <c r="D387" s="36" t="str">
        <f>IF(ISNONTEXT(deployment_raw[[#This Row],[Column4]]), "", deployment_raw[[#This Row],[Column4]])</f>
        <v/>
      </c>
      <c r="E387" s="37" t="str">
        <f>IF(ISNUMBER(deployment_raw[[#This Row],[Column5]]), deployment_raw[[#This Row],[Column5]],"")</f>
        <v/>
      </c>
      <c r="F387" s="94" t="str">
        <f>IF(ISNUMBER(deployment_raw[[#This Row],[Column6]]), (deployment_raw[[#This Row],[Column6]] * IF($E$2="Deployment",deployment_raw[[#This Row],[Column5]],1)),"")</f>
        <v/>
      </c>
      <c r="G387" s="95" t="str">
        <f>IF(ISNUMBER(deployment_raw[[#This Row],[Column7]]), (deployment_raw[[#This Row],[Column7]] * IF($E$2="Deployment",deployment_raw[[#This Row],[Column5]],1))/1048576,"")</f>
        <v/>
      </c>
      <c r="H387" s="95" t="str">
        <f>IF(ISNUMBER(deployment_raw[[#This Row],[Column8]]), (deployment_raw[[#This Row],[Column8]]  * IF($E$2="Deployment",deployment_raw[[#This Row],[Column5]],1)),"")</f>
        <v/>
      </c>
      <c r="I387" s="96" t="str">
        <f>IF(ISNUMBER(deployment_raw[[#This Row],[Column9]]), (deployment_raw[[#This Row],[Column9]] * IF($E$2="Deployment",deployment_raw[[#This Row],[Column5]],1))/1048576,"")</f>
        <v/>
      </c>
      <c r="J387" s="122" t="str">
        <f>IF(ISNUMBER(deployment_raw[[#This Row],[Column10]]), (MIN(IF(N387&lt;&gt;"",N387,9999999999999)*1.1,deployment_raw[[#This Row],[Column10]] * IF($E$2="Deployment",deployment_raw[[#This Row],[Column5]],1))),"")</f>
        <v/>
      </c>
      <c r="K387" s="123" t="str">
        <f>IF(ISNUMBER(deployment_raw[[#This Row],[Column11]]), (MIN(IF(O387&lt;&gt;"",O387,9999999999999)*1.1,deployment_raw[[#This Row],[Column11]] * IF($E$2="Deployment",deployment_raw[[#This Row],[Column5]],1)/1048576)),"")</f>
        <v/>
      </c>
      <c r="L387" s="124" t="str">
        <f>IF(ISNUMBER(deployment_raw[[#This Row],[Column8]]),IF(OR(deployment_raw[[#This Row],[Column5]] &lt;&gt; 0,$E$2 &lt;&gt; "Deployment"), MAX(J387, P387, R387, ($L$2 * IF($E$2="Deployment",deployment_raw[[#This Row],[Column5]],1)),IF(T387&lt;&gt;"",VALUE(T387) * IF($E$2="Deployment",deployment_raw[[#This Row],[Column5]],1),0)), 0),"")</f>
        <v/>
      </c>
      <c r="M387" s="125" t="str">
        <f>IF(ISNUMBER(deployment_raw[[#This Row],[Column9]]),IF(OR(deployment_raw[[#This Row],[Column5]] &lt;&gt; 0,$E$2&lt;&gt;"Deployment"), MAX(K387, Q387, S387, ($M$2 * IF($E$2="Deployment",deployment_raw[[#This Row],[Column5]],1)),IF(U387&lt;&gt;"",VALUE(U387) * IF($E$2="Deployment",deployment_raw[[#This Row],[Column5]],1),0)), 0),"")</f>
        <v/>
      </c>
      <c r="N387" s="166" t="str">
        <f>IF(ISNUMBER(deployment_raw[[#This Row],[Column14]]), deployment_raw[[#This Row],[Column14]]/IF(OR($E$2="Deployment",deployment_raw[[#This Row],[Column5]]=0),1,deployment_raw[[#This Row],[Column5]]),"")</f>
        <v/>
      </c>
      <c r="O387" s="167" t="str">
        <f>IF(ISNUMBER(deployment_raw[[#This Row],[Column15]]), deployment_raw[[#This Row],[Column15]]/IF(OR($E$2="Deployment",deployment_raw[[#This Row],[Column5]]=0),1,deployment_raw[[#This Row],[Column5]])/1048576,"")</f>
        <v/>
      </c>
      <c r="P387" s="168" t="str">
        <f>IF(ISNUMBER(deployment_raw[[#This Row],[Column12]]), (MIN(IF(N387&lt;&gt;"",N387,9999999999999)*1.1,deployment_raw[[#This Row],[Column12]] * IF($E$2="Deployment",deployment_raw[[#This Row],[Column5]],1))*(1+$P$2)),"")</f>
        <v/>
      </c>
      <c r="Q387" s="167" t="str">
        <f>IF(ISNUMBER(deployment_raw[[#This Row],[Column13]]), (MIN(IF(O387&lt;&gt;"",O387,9999999999999)*1.1,deployment_raw[[#This Row],[Column13]] * IF($E$2="Deployment",deployment_raw[[#This Row],[Column5]],1)*(1+$Q$2)/1048576)),"")</f>
        <v/>
      </c>
      <c r="R387" s="169" t="str">
        <f>IF(ISNUMBER(deployment_raw[[#This Row],[Column8]]), (H387  * IF(N387&lt;&gt;0,$R$2,1)),"")</f>
        <v/>
      </c>
      <c r="S387" s="170" t="str">
        <f>IF(ISNUMBER(deployment_raw[[#This Row],[Column8]]), (I387  * IF(O387&lt;&gt;0,$S$2,1)),"")</f>
        <v/>
      </c>
      <c r="T387" s="202" t="str">
        <f>IF(AND(A387&lt;&gt;"",_xlfn.IFNA(MATCH(A387,'dynamic resource application '!$A$2:$A$100, 0),0)&lt;&gt;0), H387/(IF($E$2="Deployment",E387,1)),"")</f>
        <v/>
      </c>
      <c r="U387" s="211" t="str">
        <f>IF(AND(A387&lt;&gt;"",_xlfn.IFNA(MATCH(A387,'dynamic resource application '!$A$2:$A$100, 0),0)&lt;&gt;0), I387/(IF($E$2="Deployment",E387,1)),"")</f>
        <v/>
      </c>
    </row>
    <row r="388" spans="1:21" ht="15.75" customHeight="1" x14ac:dyDescent="0.25">
      <c r="A388" s="35" t="str">
        <f>IF(ISNONTEXT(deployment_raw[[#This Row],[Column1]]), "", deployment_raw[[#This Row],[Column1]])</f>
        <v/>
      </c>
      <c r="B388" s="36" t="str">
        <f>IF(ISNONTEXT(deployment_raw[[#This Row],[Column2]]), "", deployment_raw[[#This Row],[Column2]])</f>
        <v/>
      </c>
      <c r="C388" s="36" t="str">
        <f>IF(ISNONTEXT(deployment_raw[[#This Row],[Column3]]), "", deployment_raw[[#This Row],[Column3]])</f>
        <v/>
      </c>
      <c r="D388" s="36" t="str">
        <f>IF(ISNONTEXT(deployment_raw[[#This Row],[Column4]]), "", deployment_raw[[#This Row],[Column4]])</f>
        <v/>
      </c>
      <c r="E388" s="37" t="str">
        <f>IF(ISNUMBER(deployment_raw[[#This Row],[Column5]]), deployment_raw[[#This Row],[Column5]],"")</f>
        <v/>
      </c>
      <c r="F388" s="94" t="str">
        <f>IF(ISNUMBER(deployment_raw[[#This Row],[Column6]]), (deployment_raw[[#This Row],[Column6]] * IF($E$2="Deployment",deployment_raw[[#This Row],[Column5]],1)),"")</f>
        <v/>
      </c>
      <c r="G388" s="95" t="str">
        <f>IF(ISNUMBER(deployment_raw[[#This Row],[Column7]]), (deployment_raw[[#This Row],[Column7]] * IF($E$2="Deployment",deployment_raw[[#This Row],[Column5]],1))/1048576,"")</f>
        <v/>
      </c>
      <c r="H388" s="95" t="str">
        <f>IF(ISNUMBER(deployment_raw[[#This Row],[Column8]]), (deployment_raw[[#This Row],[Column8]]  * IF($E$2="Deployment",deployment_raw[[#This Row],[Column5]],1)),"")</f>
        <v/>
      </c>
      <c r="I388" s="96" t="str">
        <f>IF(ISNUMBER(deployment_raw[[#This Row],[Column9]]), (deployment_raw[[#This Row],[Column9]] * IF($E$2="Deployment",deployment_raw[[#This Row],[Column5]],1))/1048576,"")</f>
        <v/>
      </c>
      <c r="J388" s="122" t="str">
        <f>IF(ISNUMBER(deployment_raw[[#This Row],[Column10]]), (MIN(IF(N388&lt;&gt;"",N388,9999999999999)*1.1,deployment_raw[[#This Row],[Column10]] * IF($E$2="Deployment",deployment_raw[[#This Row],[Column5]],1))),"")</f>
        <v/>
      </c>
      <c r="K388" s="123" t="str">
        <f>IF(ISNUMBER(deployment_raw[[#This Row],[Column11]]), (MIN(IF(O388&lt;&gt;"",O388,9999999999999)*1.1,deployment_raw[[#This Row],[Column11]] * IF($E$2="Deployment",deployment_raw[[#This Row],[Column5]],1)/1048576)),"")</f>
        <v/>
      </c>
      <c r="L388" s="124" t="str">
        <f>IF(ISNUMBER(deployment_raw[[#This Row],[Column8]]),IF(OR(deployment_raw[[#This Row],[Column5]] &lt;&gt; 0,$E$2 &lt;&gt; "Deployment"), MAX(J388, P388, R388, ($L$2 * IF($E$2="Deployment",deployment_raw[[#This Row],[Column5]],1)),IF(T388&lt;&gt;"",VALUE(T388) * IF($E$2="Deployment",deployment_raw[[#This Row],[Column5]],1),0)), 0),"")</f>
        <v/>
      </c>
      <c r="M388" s="125" t="str">
        <f>IF(ISNUMBER(deployment_raw[[#This Row],[Column9]]),IF(OR(deployment_raw[[#This Row],[Column5]] &lt;&gt; 0,$E$2&lt;&gt;"Deployment"), MAX(K388, Q388, S388, ($M$2 * IF($E$2="Deployment",deployment_raw[[#This Row],[Column5]],1)),IF(U388&lt;&gt;"",VALUE(U388) * IF($E$2="Deployment",deployment_raw[[#This Row],[Column5]],1),0)), 0),"")</f>
        <v/>
      </c>
      <c r="N388" s="166" t="str">
        <f>IF(ISNUMBER(deployment_raw[[#This Row],[Column14]]), deployment_raw[[#This Row],[Column14]]/IF(OR($E$2="Deployment",deployment_raw[[#This Row],[Column5]]=0),1,deployment_raw[[#This Row],[Column5]]),"")</f>
        <v/>
      </c>
      <c r="O388" s="167" t="str">
        <f>IF(ISNUMBER(deployment_raw[[#This Row],[Column15]]), deployment_raw[[#This Row],[Column15]]/IF(OR($E$2="Deployment",deployment_raw[[#This Row],[Column5]]=0),1,deployment_raw[[#This Row],[Column5]])/1048576,"")</f>
        <v/>
      </c>
      <c r="P388" s="168" t="str">
        <f>IF(ISNUMBER(deployment_raw[[#This Row],[Column12]]), (MIN(IF(N388&lt;&gt;"",N388,9999999999999)*1.1,deployment_raw[[#This Row],[Column12]] * IF($E$2="Deployment",deployment_raw[[#This Row],[Column5]],1))*(1+$P$2)),"")</f>
        <v/>
      </c>
      <c r="Q388" s="167" t="str">
        <f>IF(ISNUMBER(deployment_raw[[#This Row],[Column13]]), (MIN(IF(O388&lt;&gt;"",O388,9999999999999)*1.1,deployment_raw[[#This Row],[Column13]] * IF($E$2="Deployment",deployment_raw[[#This Row],[Column5]],1)*(1+$Q$2)/1048576)),"")</f>
        <v/>
      </c>
      <c r="R388" s="169" t="str">
        <f>IF(ISNUMBER(deployment_raw[[#This Row],[Column8]]), (H388  * IF(N388&lt;&gt;0,$R$2,1)),"")</f>
        <v/>
      </c>
      <c r="S388" s="170" t="str">
        <f>IF(ISNUMBER(deployment_raw[[#This Row],[Column8]]), (I388  * IF(O388&lt;&gt;0,$S$2,1)),"")</f>
        <v/>
      </c>
      <c r="T388" s="202" t="str">
        <f>IF(AND(A388&lt;&gt;"",_xlfn.IFNA(MATCH(A388,'dynamic resource application '!$A$2:$A$100, 0),0)&lt;&gt;0), H388/(IF($E$2="Deployment",E388,1)),"")</f>
        <v/>
      </c>
      <c r="U388" s="211" t="str">
        <f>IF(AND(A388&lt;&gt;"",_xlfn.IFNA(MATCH(A388,'dynamic resource application '!$A$2:$A$100, 0),0)&lt;&gt;0), I388/(IF($E$2="Deployment",E388,1)),"")</f>
        <v/>
      </c>
    </row>
    <row r="389" spans="1:21" ht="15.75" customHeight="1" x14ac:dyDescent="0.25">
      <c r="A389" s="35" t="str">
        <f>IF(ISNONTEXT(deployment_raw[[#This Row],[Column1]]), "", deployment_raw[[#This Row],[Column1]])</f>
        <v/>
      </c>
      <c r="B389" s="36" t="str">
        <f>IF(ISNONTEXT(deployment_raw[[#This Row],[Column2]]), "", deployment_raw[[#This Row],[Column2]])</f>
        <v/>
      </c>
      <c r="C389" s="36" t="str">
        <f>IF(ISNONTEXT(deployment_raw[[#This Row],[Column3]]), "", deployment_raw[[#This Row],[Column3]])</f>
        <v/>
      </c>
      <c r="D389" s="36" t="str">
        <f>IF(ISNONTEXT(deployment_raw[[#This Row],[Column4]]), "", deployment_raw[[#This Row],[Column4]])</f>
        <v/>
      </c>
      <c r="E389" s="37" t="str">
        <f>IF(ISNUMBER(deployment_raw[[#This Row],[Column5]]), deployment_raw[[#This Row],[Column5]],"")</f>
        <v/>
      </c>
      <c r="F389" s="94" t="str">
        <f>IF(ISNUMBER(deployment_raw[[#This Row],[Column6]]), (deployment_raw[[#This Row],[Column6]] * IF($E$2="Deployment",deployment_raw[[#This Row],[Column5]],1)),"")</f>
        <v/>
      </c>
      <c r="G389" s="95" t="str">
        <f>IF(ISNUMBER(deployment_raw[[#This Row],[Column7]]), (deployment_raw[[#This Row],[Column7]] * IF($E$2="Deployment",deployment_raw[[#This Row],[Column5]],1))/1048576,"")</f>
        <v/>
      </c>
      <c r="H389" s="95" t="str">
        <f>IF(ISNUMBER(deployment_raw[[#This Row],[Column8]]), (deployment_raw[[#This Row],[Column8]]  * IF($E$2="Deployment",deployment_raw[[#This Row],[Column5]],1)),"")</f>
        <v/>
      </c>
      <c r="I389" s="96" t="str">
        <f>IF(ISNUMBER(deployment_raw[[#This Row],[Column9]]), (deployment_raw[[#This Row],[Column9]] * IF($E$2="Deployment",deployment_raw[[#This Row],[Column5]],1))/1048576,"")</f>
        <v/>
      </c>
      <c r="J389" s="122" t="str">
        <f>IF(ISNUMBER(deployment_raw[[#This Row],[Column10]]), (MIN(IF(N389&lt;&gt;"",N389,9999999999999)*1.1,deployment_raw[[#This Row],[Column10]] * IF($E$2="Deployment",deployment_raw[[#This Row],[Column5]],1))),"")</f>
        <v/>
      </c>
      <c r="K389" s="123" t="str">
        <f>IF(ISNUMBER(deployment_raw[[#This Row],[Column11]]), (MIN(IF(O389&lt;&gt;"",O389,9999999999999)*1.1,deployment_raw[[#This Row],[Column11]] * IF($E$2="Deployment",deployment_raw[[#This Row],[Column5]],1)/1048576)),"")</f>
        <v/>
      </c>
      <c r="L389" s="124" t="str">
        <f>IF(ISNUMBER(deployment_raw[[#This Row],[Column8]]),IF(OR(deployment_raw[[#This Row],[Column5]] &lt;&gt; 0,$E$2 &lt;&gt; "Deployment"), MAX(J389, P389, R389, ($L$2 * IF($E$2="Deployment",deployment_raw[[#This Row],[Column5]],1)),IF(T389&lt;&gt;"",VALUE(T389) * IF($E$2="Deployment",deployment_raw[[#This Row],[Column5]],1),0)), 0),"")</f>
        <v/>
      </c>
      <c r="M389" s="125" t="str">
        <f>IF(ISNUMBER(deployment_raw[[#This Row],[Column9]]),IF(OR(deployment_raw[[#This Row],[Column5]] &lt;&gt; 0,$E$2&lt;&gt;"Deployment"), MAX(K389, Q389, S389, ($M$2 * IF($E$2="Deployment",deployment_raw[[#This Row],[Column5]],1)),IF(U389&lt;&gt;"",VALUE(U389) * IF($E$2="Deployment",deployment_raw[[#This Row],[Column5]],1),0)), 0),"")</f>
        <v/>
      </c>
      <c r="N389" s="166" t="str">
        <f>IF(ISNUMBER(deployment_raw[[#This Row],[Column14]]), deployment_raw[[#This Row],[Column14]]/IF(OR($E$2="Deployment",deployment_raw[[#This Row],[Column5]]=0),1,deployment_raw[[#This Row],[Column5]]),"")</f>
        <v/>
      </c>
      <c r="O389" s="167" t="str">
        <f>IF(ISNUMBER(deployment_raw[[#This Row],[Column15]]), deployment_raw[[#This Row],[Column15]]/IF(OR($E$2="Deployment",deployment_raw[[#This Row],[Column5]]=0),1,deployment_raw[[#This Row],[Column5]])/1048576,"")</f>
        <v/>
      </c>
      <c r="P389" s="168" t="str">
        <f>IF(ISNUMBER(deployment_raw[[#This Row],[Column12]]), (MIN(IF(N389&lt;&gt;"",N389,9999999999999)*1.1,deployment_raw[[#This Row],[Column12]] * IF($E$2="Deployment",deployment_raw[[#This Row],[Column5]],1))*(1+$P$2)),"")</f>
        <v/>
      </c>
      <c r="Q389" s="167" t="str">
        <f>IF(ISNUMBER(deployment_raw[[#This Row],[Column13]]), (MIN(IF(O389&lt;&gt;"",O389,9999999999999)*1.1,deployment_raw[[#This Row],[Column13]] * IF($E$2="Deployment",deployment_raw[[#This Row],[Column5]],1)*(1+$Q$2)/1048576)),"")</f>
        <v/>
      </c>
      <c r="R389" s="169" t="str">
        <f>IF(ISNUMBER(deployment_raw[[#This Row],[Column8]]), (H389  * IF(N389&lt;&gt;0,$R$2,1)),"")</f>
        <v/>
      </c>
      <c r="S389" s="170" t="str">
        <f>IF(ISNUMBER(deployment_raw[[#This Row],[Column8]]), (I389  * IF(O389&lt;&gt;0,$S$2,1)),"")</f>
        <v/>
      </c>
      <c r="T389" s="202" t="str">
        <f>IF(AND(A389&lt;&gt;"",_xlfn.IFNA(MATCH(A389,'dynamic resource application '!$A$2:$A$100, 0),0)&lt;&gt;0), H389/(IF($E$2="Deployment",E389,1)),"")</f>
        <v/>
      </c>
      <c r="U389" s="211" t="str">
        <f>IF(AND(A389&lt;&gt;"",_xlfn.IFNA(MATCH(A389,'dynamic resource application '!$A$2:$A$100, 0),0)&lt;&gt;0), I389/(IF($E$2="Deployment",E389,1)),"")</f>
        <v/>
      </c>
    </row>
    <row r="390" spans="1:21" ht="15.75" customHeight="1" x14ac:dyDescent="0.25">
      <c r="A390" s="35" t="str">
        <f>IF(ISNONTEXT(deployment_raw[[#This Row],[Column1]]), "", deployment_raw[[#This Row],[Column1]])</f>
        <v/>
      </c>
      <c r="B390" s="36" t="str">
        <f>IF(ISNONTEXT(deployment_raw[[#This Row],[Column2]]), "", deployment_raw[[#This Row],[Column2]])</f>
        <v/>
      </c>
      <c r="C390" s="36" t="str">
        <f>IF(ISNONTEXT(deployment_raw[[#This Row],[Column3]]), "", deployment_raw[[#This Row],[Column3]])</f>
        <v/>
      </c>
      <c r="D390" s="36" t="str">
        <f>IF(ISNONTEXT(deployment_raw[[#This Row],[Column4]]), "", deployment_raw[[#This Row],[Column4]])</f>
        <v/>
      </c>
      <c r="E390" s="37" t="str">
        <f>IF(ISNUMBER(deployment_raw[[#This Row],[Column5]]), deployment_raw[[#This Row],[Column5]],"")</f>
        <v/>
      </c>
      <c r="F390" s="94" t="str">
        <f>IF(ISNUMBER(deployment_raw[[#This Row],[Column6]]), (deployment_raw[[#This Row],[Column6]] * IF($E$2="Deployment",deployment_raw[[#This Row],[Column5]],1)),"")</f>
        <v/>
      </c>
      <c r="G390" s="95" t="str">
        <f>IF(ISNUMBER(deployment_raw[[#This Row],[Column7]]), (deployment_raw[[#This Row],[Column7]] * IF($E$2="Deployment",deployment_raw[[#This Row],[Column5]],1))/1048576,"")</f>
        <v/>
      </c>
      <c r="H390" s="95" t="str">
        <f>IF(ISNUMBER(deployment_raw[[#This Row],[Column8]]), (deployment_raw[[#This Row],[Column8]]  * IF($E$2="Deployment",deployment_raw[[#This Row],[Column5]],1)),"")</f>
        <v/>
      </c>
      <c r="I390" s="96" t="str">
        <f>IF(ISNUMBER(deployment_raw[[#This Row],[Column9]]), (deployment_raw[[#This Row],[Column9]] * IF($E$2="Deployment",deployment_raw[[#This Row],[Column5]],1))/1048576,"")</f>
        <v/>
      </c>
      <c r="J390" s="122" t="str">
        <f>IF(ISNUMBER(deployment_raw[[#This Row],[Column10]]), (MIN(IF(N390&lt;&gt;"",N390,9999999999999)*1.1,deployment_raw[[#This Row],[Column10]] * IF($E$2="Deployment",deployment_raw[[#This Row],[Column5]],1))),"")</f>
        <v/>
      </c>
      <c r="K390" s="123" t="str">
        <f>IF(ISNUMBER(deployment_raw[[#This Row],[Column11]]), (MIN(IF(O390&lt;&gt;"",O390,9999999999999)*1.1,deployment_raw[[#This Row],[Column11]] * IF($E$2="Deployment",deployment_raw[[#This Row],[Column5]],1)/1048576)),"")</f>
        <v/>
      </c>
      <c r="L390" s="124" t="str">
        <f>IF(ISNUMBER(deployment_raw[[#This Row],[Column8]]),IF(OR(deployment_raw[[#This Row],[Column5]] &lt;&gt; 0,$E$2 &lt;&gt; "Deployment"), MAX(J390, P390, R390, ($L$2 * IF($E$2="Deployment",deployment_raw[[#This Row],[Column5]],1)),IF(T390&lt;&gt;"",VALUE(T390) * IF($E$2="Deployment",deployment_raw[[#This Row],[Column5]],1),0)), 0),"")</f>
        <v/>
      </c>
      <c r="M390" s="125" t="str">
        <f>IF(ISNUMBER(deployment_raw[[#This Row],[Column9]]),IF(OR(deployment_raw[[#This Row],[Column5]] &lt;&gt; 0,$E$2&lt;&gt;"Deployment"), MAX(K390, Q390, S390, ($M$2 * IF($E$2="Deployment",deployment_raw[[#This Row],[Column5]],1)),IF(U390&lt;&gt;"",VALUE(U390) * IF($E$2="Deployment",deployment_raw[[#This Row],[Column5]],1),0)), 0),"")</f>
        <v/>
      </c>
      <c r="N390" s="166" t="str">
        <f>IF(ISNUMBER(deployment_raw[[#This Row],[Column14]]), deployment_raw[[#This Row],[Column14]]/IF(OR($E$2="Deployment",deployment_raw[[#This Row],[Column5]]=0),1,deployment_raw[[#This Row],[Column5]]),"")</f>
        <v/>
      </c>
      <c r="O390" s="167" t="str">
        <f>IF(ISNUMBER(deployment_raw[[#This Row],[Column15]]), deployment_raw[[#This Row],[Column15]]/IF(OR($E$2="Deployment",deployment_raw[[#This Row],[Column5]]=0),1,deployment_raw[[#This Row],[Column5]])/1048576,"")</f>
        <v/>
      </c>
      <c r="P390" s="168" t="str">
        <f>IF(ISNUMBER(deployment_raw[[#This Row],[Column12]]), (MIN(IF(N390&lt;&gt;"",N390,9999999999999)*1.1,deployment_raw[[#This Row],[Column12]] * IF($E$2="Deployment",deployment_raw[[#This Row],[Column5]],1))*(1+$P$2)),"")</f>
        <v/>
      </c>
      <c r="Q390" s="167" t="str">
        <f>IF(ISNUMBER(deployment_raw[[#This Row],[Column13]]), (MIN(IF(O390&lt;&gt;"",O390,9999999999999)*1.1,deployment_raw[[#This Row],[Column13]] * IF($E$2="Deployment",deployment_raw[[#This Row],[Column5]],1)*(1+$Q$2)/1048576)),"")</f>
        <v/>
      </c>
      <c r="R390" s="169" t="str">
        <f>IF(ISNUMBER(deployment_raw[[#This Row],[Column8]]), (H390  * IF(N390&lt;&gt;0,$R$2,1)),"")</f>
        <v/>
      </c>
      <c r="S390" s="170" t="str">
        <f>IF(ISNUMBER(deployment_raw[[#This Row],[Column8]]), (I390  * IF(O390&lt;&gt;0,$S$2,1)),"")</f>
        <v/>
      </c>
      <c r="T390" s="202" t="str">
        <f>IF(AND(A390&lt;&gt;"",_xlfn.IFNA(MATCH(A390,'dynamic resource application '!$A$2:$A$100, 0),0)&lt;&gt;0), H390/(IF($E$2="Deployment",E390,1)),"")</f>
        <v/>
      </c>
      <c r="U390" s="211" t="str">
        <f>IF(AND(A390&lt;&gt;"",_xlfn.IFNA(MATCH(A390,'dynamic resource application '!$A$2:$A$100, 0),0)&lt;&gt;0), I390/(IF($E$2="Deployment",E390,1)),"")</f>
        <v/>
      </c>
    </row>
    <row r="391" spans="1:21" ht="15.75" customHeight="1" x14ac:dyDescent="0.25">
      <c r="A391" s="35" t="str">
        <f>IF(ISNONTEXT(deployment_raw[[#This Row],[Column1]]), "", deployment_raw[[#This Row],[Column1]])</f>
        <v/>
      </c>
      <c r="B391" s="36" t="str">
        <f>IF(ISNONTEXT(deployment_raw[[#This Row],[Column2]]), "", deployment_raw[[#This Row],[Column2]])</f>
        <v/>
      </c>
      <c r="C391" s="36" t="str">
        <f>IF(ISNONTEXT(deployment_raw[[#This Row],[Column3]]), "", deployment_raw[[#This Row],[Column3]])</f>
        <v/>
      </c>
      <c r="D391" s="36" t="str">
        <f>IF(ISNONTEXT(deployment_raw[[#This Row],[Column4]]), "", deployment_raw[[#This Row],[Column4]])</f>
        <v/>
      </c>
      <c r="E391" s="37" t="str">
        <f>IF(ISNUMBER(deployment_raw[[#This Row],[Column5]]), deployment_raw[[#This Row],[Column5]],"")</f>
        <v/>
      </c>
      <c r="F391" s="94" t="str">
        <f>IF(ISNUMBER(deployment_raw[[#This Row],[Column6]]), (deployment_raw[[#This Row],[Column6]] * IF($E$2="Deployment",deployment_raw[[#This Row],[Column5]],1)),"")</f>
        <v/>
      </c>
      <c r="G391" s="95" t="str">
        <f>IF(ISNUMBER(deployment_raw[[#This Row],[Column7]]), (deployment_raw[[#This Row],[Column7]] * IF($E$2="Deployment",deployment_raw[[#This Row],[Column5]],1))/1048576,"")</f>
        <v/>
      </c>
      <c r="H391" s="95" t="str">
        <f>IF(ISNUMBER(deployment_raw[[#This Row],[Column8]]), (deployment_raw[[#This Row],[Column8]]  * IF($E$2="Deployment",deployment_raw[[#This Row],[Column5]],1)),"")</f>
        <v/>
      </c>
      <c r="I391" s="96" t="str">
        <f>IF(ISNUMBER(deployment_raw[[#This Row],[Column9]]), (deployment_raw[[#This Row],[Column9]] * IF($E$2="Deployment",deployment_raw[[#This Row],[Column5]],1))/1048576,"")</f>
        <v/>
      </c>
      <c r="J391" s="122" t="str">
        <f>IF(ISNUMBER(deployment_raw[[#This Row],[Column10]]), (MIN(IF(N391&lt;&gt;"",N391,9999999999999)*1.1,deployment_raw[[#This Row],[Column10]] * IF($E$2="Deployment",deployment_raw[[#This Row],[Column5]],1))),"")</f>
        <v/>
      </c>
      <c r="K391" s="123" t="str">
        <f>IF(ISNUMBER(deployment_raw[[#This Row],[Column11]]), (MIN(IF(O391&lt;&gt;"",O391,9999999999999)*1.1,deployment_raw[[#This Row],[Column11]] * IF($E$2="Deployment",deployment_raw[[#This Row],[Column5]],1)/1048576)),"")</f>
        <v/>
      </c>
      <c r="L391" s="124" t="str">
        <f>IF(ISNUMBER(deployment_raw[[#This Row],[Column8]]),IF(OR(deployment_raw[[#This Row],[Column5]] &lt;&gt; 0,$E$2 &lt;&gt; "Deployment"), MAX(J391, P391, R391, ($L$2 * IF($E$2="Deployment",deployment_raw[[#This Row],[Column5]],1)),IF(T391&lt;&gt;"",VALUE(T391) * IF($E$2="Deployment",deployment_raw[[#This Row],[Column5]],1),0)), 0),"")</f>
        <v/>
      </c>
      <c r="M391" s="125" t="str">
        <f>IF(ISNUMBER(deployment_raw[[#This Row],[Column9]]),IF(OR(deployment_raw[[#This Row],[Column5]] &lt;&gt; 0,$E$2&lt;&gt;"Deployment"), MAX(K391, Q391, S391, ($M$2 * IF($E$2="Deployment",deployment_raw[[#This Row],[Column5]],1)),IF(U391&lt;&gt;"",VALUE(U391) * IF($E$2="Deployment",deployment_raw[[#This Row],[Column5]],1),0)), 0),"")</f>
        <v/>
      </c>
      <c r="N391" s="166" t="str">
        <f>IF(ISNUMBER(deployment_raw[[#This Row],[Column14]]), deployment_raw[[#This Row],[Column14]]/IF(OR($E$2="Deployment",deployment_raw[[#This Row],[Column5]]=0),1,deployment_raw[[#This Row],[Column5]]),"")</f>
        <v/>
      </c>
      <c r="O391" s="167" t="str">
        <f>IF(ISNUMBER(deployment_raw[[#This Row],[Column15]]), deployment_raw[[#This Row],[Column15]]/IF(OR($E$2="Deployment",deployment_raw[[#This Row],[Column5]]=0),1,deployment_raw[[#This Row],[Column5]])/1048576,"")</f>
        <v/>
      </c>
      <c r="P391" s="168" t="str">
        <f>IF(ISNUMBER(deployment_raw[[#This Row],[Column12]]), (MIN(IF(N391&lt;&gt;"",N391,9999999999999)*1.1,deployment_raw[[#This Row],[Column12]] * IF($E$2="Deployment",deployment_raw[[#This Row],[Column5]],1))*(1+$P$2)),"")</f>
        <v/>
      </c>
      <c r="Q391" s="167" t="str">
        <f>IF(ISNUMBER(deployment_raw[[#This Row],[Column13]]), (MIN(IF(O391&lt;&gt;"",O391,9999999999999)*1.1,deployment_raw[[#This Row],[Column13]] * IF($E$2="Deployment",deployment_raw[[#This Row],[Column5]],1)*(1+$Q$2)/1048576)),"")</f>
        <v/>
      </c>
      <c r="R391" s="169" t="str">
        <f>IF(ISNUMBER(deployment_raw[[#This Row],[Column8]]), (H391  * IF(N391&lt;&gt;0,$R$2,1)),"")</f>
        <v/>
      </c>
      <c r="S391" s="170" t="str">
        <f>IF(ISNUMBER(deployment_raw[[#This Row],[Column8]]), (I391  * IF(O391&lt;&gt;0,$S$2,1)),"")</f>
        <v/>
      </c>
      <c r="T391" s="202" t="str">
        <f>IF(AND(A391&lt;&gt;"",_xlfn.IFNA(MATCH(A391,'dynamic resource application '!$A$2:$A$100, 0),0)&lt;&gt;0), H391/(IF($E$2="Deployment",E391,1)),"")</f>
        <v/>
      </c>
      <c r="U391" s="211" t="str">
        <f>IF(AND(A391&lt;&gt;"",_xlfn.IFNA(MATCH(A391,'dynamic resource application '!$A$2:$A$100, 0),0)&lt;&gt;0), I391/(IF($E$2="Deployment",E391,1)),"")</f>
        <v/>
      </c>
    </row>
    <row r="392" spans="1:21" ht="15.75" customHeight="1" x14ac:dyDescent="0.25">
      <c r="A392" s="35" t="str">
        <f>IF(ISNONTEXT(deployment_raw[[#This Row],[Column1]]), "", deployment_raw[[#This Row],[Column1]])</f>
        <v/>
      </c>
      <c r="B392" s="36" t="str">
        <f>IF(ISNONTEXT(deployment_raw[[#This Row],[Column2]]), "", deployment_raw[[#This Row],[Column2]])</f>
        <v/>
      </c>
      <c r="C392" s="36" t="str">
        <f>IF(ISNONTEXT(deployment_raw[[#This Row],[Column3]]), "", deployment_raw[[#This Row],[Column3]])</f>
        <v/>
      </c>
      <c r="D392" s="36" t="str">
        <f>IF(ISNONTEXT(deployment_raw[[#This Row],[Column4]]), "", deployment_raw[[#This Row],[Column4]])</f>
        <v/>
      </c>
      <c r="E392" s="37" t="str">
        <f>IF(ISNUMBER(deployment_raw[[#This Row],[Column5]]), deployment_raw[[#This Row],[Column5]],"")</f>
        <v/>
      </c>
      <c r="F392" s="94" t="str">
        <f>IF(ISNUMBER(deployment_raw[[#This Row],[Column6]]), (deployment_raw[[#This Row],[Column6]] * IF($E$2="Deployment",deployment_raw[[#This Row],[Column5]],1)),"")</f>
        <v/>
      </c>
      <c r="G392" s="95" t="str">
        <f>IF(ISNUMBER(deployment_raw[[#This Row],[Column7]]), (deployment_raw[[#This Row],[Column7]] * IF($E$2="Deployment",deployment_raw[[#This Row],[Column5]],1))/1048576,"")</f>
        <v/>
      </c>
      <c r="H392" s="95" t="str">
        <f>IF(ISNUMBER(deployment_raw[[#This Row],[Column8]]), (deployment_raw[[#This Row],[Column8]]  * IF($E$2="Deployment",deployment_raw[[#This Row],[Column5]],1)),"")</f>
        <v/>
      </c>
      <c r="I392" s="96" t="str">
        <f>IF(ISNUMBER(deployment_raw[[#This Row],[Column9]]), (deployment_raw[[#This Row],[Column9]] * IF($E$2="Deployment",deployment_raw[[#This Row],[Column5]],1))/1048576,"")</f>
        <v/>
      </c>
      <c r="J392" s="122" t="str">
        <f>IF(ISNUMBER(deployment_raw[[#This Row],[Column10]]), (MIN(IF(N392&lt;&gt;"",N392,9999999999999)*1.1,deployment_raw[[#This Row],[Column10]] * IF($E$2="Deployment",deployment_raw[[#This Row],[Column5]],1))),"")</f>
        <v/>
      </c>
      <c r="K392" s="123" t="str">
        <f>IF(ISNUMBER(deployment_raw[[#This Row],[Column11]]), (MIN(IF(O392&lt;&gt;"",O392,9999999999999)*1.1,deployment_raw[[#This Row],[Column11]] * IF($E$2="Deployment",deployment_raw[[#This Row],[Column5]],1)/1048576)),"")</f>
        <v/>
      </c>
      <c r="L392" s="124" t="str">
        <f>IF(ISNUMBER(deployment_raw[[#This Row],[Column8]]),IF(OR(deployment_raw[[#This Row],[Column5]] &lt;&gt; 0,$E$2 &lt;&gt; "Deployment"), MAX(J392, P392, R392, ($L$2 * IF($E$2="Deployment",deployment_raw[[#This Row],[Column5]],1)),IF(T392&lt;&gt;"",VALUE(T392) * IF($E$2="Deployment",deployment_raw[[#This Row],[Column5]],1),0)), 0),"")</f>
        <v/>
      </c>
      <c r="M392" s="125" t="str">
        <f>IF(ISNUMBER(deployment_raw[[#This Row],[Column9]]),IF(OR(deployment_raw[[#This Row],[Column5]] &lt;&gt; 0,$E$2&lt;&gt;"Deployment"), MAX(K392, Q392, S392, ($M$2 * IF($E$2="Deployment",deployment_raw[[#This Row],[Column5]],1)),IF(U392&lt;&gt;"",VALUE(U392) * IF($E$2="Deployment",deployment_raw[[#This Row],[Column5]],1),0)), 0),"")</f>
        <v/>
      </c>
      <c r="N392" s="166" t="str">
        <f>IF(ISNUMBER(deployment_raw[[#This Row],[Column14]]), deployment_raw[[#This Row],[Column14]]/IF(OR($E$2="Deployment",deployment_raw[[#This Row],[Column5]]=0),1,deployment_raw[[#This Row],[Column5]]),"")</f>
        <v/>
      </c>
      <c r="O392" s="167" t="str">
        <f>IF(ISNUMBER(deployment_raw[[#This Row],[Column15]]), deployment_raw[[#This Row],[Column15]]/IF(OR($E$2="Deployment",deployment_raw[[#This Row],[Column5]]=0),1,deployment_raw[[#This Row],[Column5]])/1048576,"")</f>
        <v/>
      </c>
      <c r="P392" s="168" t="str">
        <f>IF(ISNUMBER(deployment_raw[[#This Row],[Column12]]), (MIN(IF(N392&lt;&gt;"",N392,9999999999999)*1.1,deployment_raw[[#This Row],[Column12]] * IF($E$2="Deployment",deployment_raw[[#This Row],[Column5]],1))*(1+$P$2)),"")</f>
        <v/>
      </c>
      <c r="Q392" s="167" t="str">
        <f>IF(ISNUMBER(deployment_raw[[#This Row],[Column13]]), (MIN(IF(O392&lt;&gt;"",O392,9999999999999)*1.1,deployment_raw[[#This Row],[Column13]] * IF($E$2="Deployment",deployment_raw[[#This Row],[Column5]],1)*(1+$Q$2)/1048576)),"")</f>
        <v/>
      </c>
      <c r="R392" s="169" t="str">
        <f>IF(ISNUMBER(deployment_raw[[#This Row],[Column8]]), (H392  * IF(N392&lt;&gt;0,$R$2,1)),"")</f>
        <v/>
      </c>
      <c r="S392" s="170" t="str">
        <f>IF(ISNUMBER(deployment_raw[[#This Row],[Column8]]), (I392  * IF(O392&lt;&gt;0,$S$2,1)),"")</f>
        <v/>
      </c>
      <c r="T392" s="202" t="str">
        <f>IF(AND(A392&lt;&gt;"",_xlfn.IFNA(MATCH(A392,'dynamic resource application '!$A$2:$A$100, 0),0)&lt;&gt;0), H392/(IF($E$2="Deployment",E392,1)),"")</f>
        <v/>
      </c>
      <c r="U392" s="211" t="str">
        <f>IF(AND(A392&lt;&gt;"",_xlfn.IFNA(MATCH(A392,'dynamic resource application '!$A$2:$A$100, 0),0)&lt;&gt;0), I392/(IF($E$2="Deployment",E392,1)),"")</f>
        <v/>
      </c>
    </row>
    <row r="393" spans="1:21" ht="15.75" customHeight="1" x14ac:dyDescent="0.25">
      <c r="A393" s="35" t="str">
        <f>IF(ISNONTEXT(deployment_raw[[#This Row],[Column1]]), "", deployment_raw[[#This Row],[Column1]])</f>
        <v/>
      </c>
      <c r="B393" s="36" t="str">
        <f>IF(ISNONTEXT(deployment_raw[[#This Row],[Column2]]), "", deployment_raw[[#This Row],[Column2]])</f>
        <v/>
      </c>
      <c r="C393" s="36" t="str">
        <f>IF(ISNONTEXT(deployment_raw[[#This Row],[Column3]]), "", deployment_raw[[#This Row],[Column3]])</f>
        <v/>
      </c>
      <c r="D393" s="36" t="str">
        <f>IF(ISNONTEXT(deployment_raw[[#This Row],[Column4]]), "", deployment_raw[[#This Row],[Column4]])</f>
        <v/>
      </c>
      <c r="E393" s="37" t="str">
        <f>IF(ISNUMBER(deployment_raw[[#This Row],[Column5]]), deployment_raw[[#This Row],[Column5]],"")</f>
        <v/>
      </c>
      <c r="F393" s="94" t="str">
        <f>IF(ISNUMBER(deployment_raw[[#This Row],[Column6]]), (deployment_raw[[#This Row],[Column6]] * IF($E$2="Deployment",deployment_raw[[#This Row],[Column5]],1)),"")</f>
        <v/>
      </c>
      <c r="G393" s="95" t="str">
        <f>IF(ISNUMBER(deployment_raw[[#This Row],[Column7]]), (deployment_raw[[#This Row],[Column7]] * IF($E$2="Deployment",deployment_raw[[#This Row],[Column5]],1))/1048576,"")</f>
        <v/>
      </c>
      <c r="H393" s="95" t="str">
        <f>IF(ISNUMBER(deployment_raw[[#This Row],[Column8]]), (deployment_raw[[#This Row],[Column8]]  * IF($E$2="Deployment",deployment_raw[[#This Row],[Column5]],1)),"")</f>
        <v/>
      </c>
      <c r="I393" s="96" t="str">
        <f>IF(ISNUMBER(deployment_raw[[#This Row],[Column9]]), (deployment_raw[[#This Row],[Column9]] * IF($E$2="Deployment",deployment_raw[[#This Row],[Column5]],1))/1048576,"")</f>
        <v/>
      </c>
      <c r="J393" s="122" t="str">
        <f>IF(ISNUMBER(deployment_raw[[#This Row],[Column10]]), (MIN(IF(N393&lt;&gt;"",N393,9999999999999)*1.1,deployment_raw[[#This Row],[Column10]] * IF($E$2="Deployment",deployment_raw[[#This Row],[Column5]],1))),"")</f>
        <v/>
      </c>
      <c r="K393" s="123" t="str">
        <f>IF(ISNUMBER(deployment_raw[[#This Row],[Column11]]), (MIN(IF(O393&lt;&gt;"",O393,9999999999999)*1.1,deployment_raw[[#This Row],[Column11]] * IF($E$2="Deployment",deployment_raw[[#This Row],[Column5]],1)/1048576)),"")</f>
        <v/>
      </c>
      <c r="L393" s="124" t="str">
        <f>IF(ISNUMBER(deployment_raw[[#This Row],[Column8]]),IF(OR(deployment_raw[[#This Row],[Column5]] &lt;&gt; 0,$E$2 &lt;&gt; "Deployment"), MAX(J393, P393, R393, ($L$2 * IF($E$2="Deployment",deployment_raw[[#This Row],[Column5]],1)),IF(T393&lt;&gt;"",VALUE(T393) * IF($E$2="Deployment",deployment_raw[[#This Row],[Column5]],1),0)), 0),"")</f>
        <v/>
      </c>
      <c r="M393" s="125" t="str">
        <f>IF(ISNUMBER(deployment_raw[[#This Row],[Column9]]),IF(OR(deployment_raw[[#This Row],[Column5]] &lt;&gt; 0,$E$2&lt;&gt;"Deployment"), MAX(K393, Q393, S393, ($M$2 * IF($E$2="Deployment",deployment_raw[[#This Row],[Column5]],1)),IF(U393&lt;&gt;"",VALUE(U393) * IF($E$2="Deployment",deployment_raw[[#This Row],[Column5]],1),0)), 0),"")</f>
        <v/>
      </c>
      <c r="N393" s="166" t="str">
        <f>IF(ISNUMBER(deployment_raw[[#This Row],[Column14]]), deployment_raw[[#This Row],[Column14]]/IF(OR($E$2="Deployment",deployment_raw[[#This Row],[Column5]]=0),1,deployment_raw[[#This Row],[Column5]]),"")</f>
        <v/>
      </c>
      <c r="O393" s="167" t="str">
        <f>IF(ISNUMBER(deployment_raw[[#This Row],[Column15]]), deployment_raw[[#This Row],[Column15]]/IF(OR($E$2="Deployment",deployment_raw[[#This Row],[Column5]]=0),1,deployment_raw[[#This Row],[Column5]])/1048576,"")</f>
        <v/>
      </c>
      <c r="P393" s="168" t="str">
        <f>IF(ISNUMBER(deployment_raw[[#This Row],[Column12]]), (MIN(IF(N393&lt;&gt;"",N393,9999999999999)*1.1,deployment_raw[[#This Row],[Column12]] * IF($E$2="Deployment",deployment_raw[[#This Row],[Column5]],1))*(1+$P$2)),"")</f>
        <v/>
      </c>
      <c r="Q393" s="167" t="str">
        <f>IF(ISNUMBER(deployment_raw[[#This Row],[Column13]]), (MIN(IF(O393&lt;&gt;"",O393,9999999999999)*1.1,deployment_raw[[#This Row],[Column13]] * IF($E$2="Deployment",deployment_raw[[#This Row],[Column5]],1)*(1+$Q$2)/1048576)),"")</f>
        <v/>
      </c>
      <c r="R393" s="169" t="str">
        <f>IF(ISNUMBER(deployment_raw[[#This Row],[Column8]]), (H393  * IF(N393&lt;&gt;0,$R$2,1)),"")</f>
        <v/>
      </c>
      <c r="S393" s="170" t="str">
        <f>IF(ISNUMBER(deployment_raw[[#This Row],[Column8]]), (I393  * IF(O393&lt;&gt;0,$S$2,1)),"")</f>
        <v/>
      </c>
      <c r="T393" s="202" t="str">
        <f>IF(AND(A393&lt;&gt;"",_xlfn.IFNA(MATCH(A393,'dynamic resource application '!$A$2:$A$100, 0),0)&lt;&gt;0), H393/(IF($E$2="Deployment",E393,1)),"")</f>
        <v/>
      </c>
      <c r="U393" s="211" t="str">
        <f>IF(AND(A393&lt;&gt;"",_xlfn.IFNA(MATCH(A393,'dynamic resource application '!$A$2:$A$100, 0),0)&lt;&gt;0), I393/(IF($E$2="Deployment",E393,1)),"")</f>
        <v/>
      </c>
    </row>
    <row r="394" spans="1:21" ht="15.75" customHeight="1" x14ac:dyDescent="0.25">
      <c r="A394" s="35" t="str">
        <f>IF(ISNONTEXT(deployment_raw[[#This Row],[Column1]]), "", deployment_raw[[#This Row],[Column1]])</f>
        <v/>
      </c>
      <c r="B394" s="36" t="str">
        <f>IF(ISNONTEXT(deployment_raw[[#This Row],[Column2]]), "", deployment_raw[[#This Row],[Column2]])</f>
        <v/>
      </c>
      <c r="C394" s="36" t="str">
        <f>IF(ISNONTEXT(deployment_raw[[#This Row],[Column3]]), "", deployment_raw[[#This Row],[Column3]])</f>
        <v/>
      </c>
      <c r="D394" s="36" t="str">
        <f>IF(ISNONTEXT(deployment_raw[[#This Row],[Column4]]), "", deployment_raw[[#This Row],[Column4]])</f>
        <v/>
      </c>
      <c r="E394" s="37" t="str">
        <f>IF(ISNUMBER(deployment_raw[[#This Row],[Column5]]), deployment_raw[[#This Row],[Column5]],"")</f>
        <v/>
      </c>
      <c r="F394" s="94" t="str">
        <f>IF(ISNUMBER(deployment_raw[[#This Row],[Column6]]), (deployment_raw[[#This Row],[Column6]] * IF($E$2="Deployment",deployment_raw[[#This Row],[Column5]],1)),"")</f>
        <v/>
      </c>
      <c r="G394" s="95" t="str">
        <f>IF(ISNUMBER(deployment_raw[[#This Row],[Column7]]), (deployment_raw[[#This Row],[Column7]] * IF($E$2="Deployment",deployment_raw[[#This Row],[Column5]],1))/1048576,"")</f>
        <v/>
      </c>
      <c r="H394" s="95" t="str">
        <f>IF(ISNUMBER(deployment_raw[[#This Row],[Column8]]), (deployment_raw[[#This Row],[Column8]]  * IF($E$2="Deployment",deployment_raw[[#This Row],[Column5]],1)),"")</f>
        <v/>
      </c>
      <c r="I394" s="96" t="str">
        <f>IF(ISNUMBER(deployment_raw[[#This Row],[Column9]]), (deployment_raw[[#This Row],[Column9]] * IF($E$2="Deployment",deployment_raw[[#This Row],[Column5]],1))/1048576,"")</f>
        <v/>
      </c>
      <c r="J394" s="122" t="str">
        <f>IF(ISNUMBER(deployment_raw[[#This Row],[Column10]]), (MIN(IF(N394&lt;&gt;"",N394,9999999999999)*1.1,deployment_raw[[#This Row],[Column10]] * IF($E$2="Deployment",deployment_raw[[#This Row],[Column5]],1))),"")</f>
        <v/>
      </c>
      <c r="K394" s="123" t="str">
        <f>IF(ISNUMBER(deployment_raw[[#This Row],[Column11]]), (MIN(IF(O394&lt;&gt;"",O394,9999999999999)*1.1,deployment_raw[[#This Row],[Column11]] * IF($E$2="Deployment",deployment_raw[[#This Row],[Column5]],1)/1048576)),"")</f>
        <v/>
      </c>
      <c r="L394" s="124" t="str">
        <f>IF(ISNUMBER(deployment_raw[[#This Row],[Column8]]),IF(OR(deployment_raw[[#This Row],[Column5]] &lt;&gt; 0,$E$2 &lt;&gt; "Deployment"), MAX(J394, P394, R394, ($L$2 * IF($E$2="Deployment",deployment_raw[[#This Row],[Column5]],1)),IF(T394&lt;&gt;"",VALUE(T394) * IF($E$2="Deployment",deployment_raw[[#This Row],[Column5]],1),0)), 0),"")</f>
        <v/>
      </c>
      <c r="M394" s="125" t="str">
        <f>IF(ISNUMBER(deployment_raw[[#This Row],[Column9]]),IF(OR(deployment_raw[[#This Row],[Column5]] &lt;&gt; 0,$E$2&lt;&gt;"Deployment"), MAX(K394, Q394, S394, ($M$2 * IF($E$2="Deployment",deployment_raw[[#This Row],[Column5]],1)),IF(U394&lt;&gt;"",VALUE(U394) * IF($E$2="Deployment",deployment_raw[[#This Row],[Column5]],1),0)), 0),"")</f>
        <v/>
      </c>
      <c r="N394" s="166" t="str">
        <f>IF(ISNUMBER(deployment_raw[[#This Row],[Column14]]), deployment_raw[[#This Row],[Column14]]/IF(OR($E$2="Deployment",deployment_raw[[#This Row],[Column5]]=0),1,deployment_raw[[#This Row],[Column5]]),"")</f>
        <v/>
      </c>
      <c r="O394" s="167" t="str">
        <f>IF(ISNUMBER(deployment_raw[[#This Row],[Column15]]), deployment_raw[[#This Row],[Column15]]/IF(OR($E$2="Deployment",deployment_raw[[#This Row],[Column5]]=0),1,deployment_raw[[#This Row],[Column5]])/1048576,"")</f>
        <v/>
      </c>
      <c r="P394" s="168" t="str">
        <f>IF(ISNUMBER(deployment_raw[[#This Row],[Column12]]), (MIN(IF(N394&lt;&gt;"",N394,9999999999999)*1.1,deployment_raw[[#This Row],[Column12]] * IF($E$2="Deployment",deployment_raw[[#This Row],[Column5]],1))*(1+$P$2)),"")</f>
        <v/>
      </c>
      <c r="Q394" s="167" t="str">
        <f>IF(ISNUMBER(deployment_raw[[#This Row],[Column13]]), (MIN(IF(O394&lt;&gt;"",O394,9999999999999)*1.1,deployment_raw[[#This Row],[Column13]] * IF($E$2="Deployment",deployment_raw[[#This Row],[Column5]],1)*(1+$Q$2)/1048576)),"")</f>
        <v/>
      </c>
      <c r="R394" s="169" t="str">
        <f>IF(ISNUMBER(deployment_raw[[#This Row],[Column8]]), (H394  * IF(N394&lt;&gt;0,$R$2,1)),"")</f>
        <v/>
      </c>
      <c r="S394" s="170" t="str">
        <f>IF(ISNUMBER(deployment_raw[[#This Row],[Column8]]), (I394  * IF(O394&lt;&gt;0,$S$2,1)),"")</f>
        <v/>
      </c>
      <c r="T394" s="202" t="str">
        <f>IF(AND(A394&lt;&gt;"",_xlfn.IFNA(MATCH(A394,'dynamic resource application '!$A$2:$A$100, 0),0)&lt;&gt;0), H394/(IF($E$2="Deployment",E394,1)),"")</f>
        <v/>
      </c>
      <c r="U394" s="211" t="str">
        <f>IF(AND(A394&lt;&gt;"",_xlfn.IFNA(MATCH(A394,'dynamic resource application '!$A$2:$A$100, 0),0)&lt;&gt;0), I394/(IF($E$2="Deployment",E394,1)),"")</f>
        <v/>
      </c>
    </row>
    <row r="395" spans="1:21" ht="15.75" customHeight="1" x14ac:dyDescent="0.25">
      <c r="A395" s="35" t="str">
        <f>IF(ISNONTEXT(deployment_raw[[#This Row],[Column1]]), "", deployment_raw[[#This Row],[Column1]])</f>
        <v/>
      </c>
      <c r="B395" s="36" t="str">
        <f>IF(ISNONTEXT(deployment_raw[[#This Row],[Column2]]), "", deployment_raw[[#This Row],[Column2]])</f>
        <v/>
      </c>
      <c r="C395" s="36" t="str">
        <f>IF(ISNONTEXT(deployment_raw[[#This Row],[Column3]]), "", deployment_raw[[#This Row],[Column3]])</f>
        <v/>
      </c>
      <c r="D395" s="36" t="str">
        <f>IF(ISNONTEXT(deployment_raw[[#This Row],[Column4]]), "", deployment_raw[[#This Row],[Column4]])</f>
        <v/>
      </c>
      <c r="E395" s="37" t="str">
        <f>IF(ISNUMBER(deployment_raw[[#This Row],[Column5]]), deployment_raw[[#This Row],[Column5]],"")</f>
        <v/>
      </c>
      <c r="F395" s="94" t="str">
        <f>IF(ISNUMBER(deployment_raw[[#This Row],[Column6]]), (deployment_raw[[#This Row],[Column6]] * IF($E$2="Deployment",deployment_raw[[#This Row],[Column5]],1)),"")</f>
        <v/>
      </c>
      <c r="G395" s="95" t="str">
        <f>IF(ISNUMBER(deployment_raw[[#This Row],[Column7]]), (deployment_raw[[#This Row],[Column7]] * IF($E$2="Deployment",deployment_raw[[#This Row],[Column5]],1))/1048576,"")</f>
        <v/>
      </c>
      <c r="H395" s="95" t="str">
        <f>IF(ISNUMBER(deployment_raw[[#This Row],[Column8]]), (deployment_raw[[#This Row],[Column8]]  * IF($E$2="Deployment",deployment_raw[[#This Row],[Column5]],1)),"")</f>
        <v/>
      </c>
      <c r="I395" s="96" t="str">
        <f>IF(ISNUMBER(deployment_raw[[#This Row],[Column9]]), (deployment_raw[[#This Row],[Column9]] * IF($E$2="Deployment",deployment_raw[[#This Row],[Column5]],1))/1048576,"")</f>
        <v/>
      </c>
      <c r="J395" s="122" t="str">
        <f>IF(ISNUMBER(deployment_raw[[#This Row],[Column10]]), (MIN(IF(N395&lt;&gt;"",N395,9999999999999)*1.1,deployment_raw[[#This Row],[Column10]] * IF($E$2="Deployment",deployment_raw[[#This Row],[Column5]],1))),"")</f>
        <v/>
      </c>
      <c r="K395" s="123" t="str">
        <f>IF(ISNUMBER(deployment_raw[[#This Row],[Column11]]), (MIN(IF(O395&lt;&gt;"",O395,9999999999999)*1.1,deployment_raw[[#This Row],[Column11]] * IF($E$2="Deployment",deployment_raw[[#This Row],[Column5]],1)/1048576)),"")</f>
        <v/>
      </c>
      <c r="L395" s="124" t="str">
        <f>IF(ISNUMBER(deployment_raw[[#This Row],[Column8]]),IF(OR(deployment_raw[[#This Row],[Column5]] &lt;&gt; 0,$E$2 &lt;&gt; "Deployment"), MAX(J395, P395, R395, ($L$2 * IF($E$2="Deployment",deployment_raw[[#This Row],[Column5]],1)),IF(T395&lt;&gt;"",VALUE(T395) * IF($E$2="Deployment",deployment_raw[[#This Row],[Column5]],1),0)), 0),"")</f>
        <v/>
      </c>
      <c r="M395" s="125" t="str">
        <f>IF(ISNUMBER(deployment_raw[[#This Row],[Column9]]),IF(OR(deployment_raw[[#This Row],[Column5]] &lt;&gt; 0,$E$2&lt;&gt;"Deployment"), MAX(K395, Q395, S395, ($M$2 * IF($E$2="Deployment",deployment_raw[[#This Row],[Column5]],1)),IF(U395&lt;&gt;"",VALUE(U395) * IF($E$2="Deployment",deployment_raw[[#This Row],[Column5]],1),0)), 0),"")</f>
        <v/>
      </c>
      <c r="N395" s="166" t="str">
        <f>IF(ISNUMBER(deployment_raw[[#This Row],[Column14]]), deployment_raw[[#This Row],[Column14]]/IF(OR($E$2="Deployment",deployment_raw[[#This Row],[Column5]]=0),1,deployment_raw[[#This Row],[Column5]]),"")</f>
        <v/>
      </c>
      <c r="O395" s="167" t="str">
        <f>IF(ISNUMBER(deployment_raw[[#This Row],[Column15]]), deployment_raw[[#This Row],[Column15]]/IF(OR($E$2="Deployment",deployment_raw[[#This Row],[Column5]]=0),1,deployment_raw[[#This Row],[Column5]])/1048576,"")</f>
        <v/>
      </c>
      <c r="P395" s="168" t="str">
        <f>IF(ISNUMBER(deployment_raw[[#This Row],[Column12]]), (MIN(IF(N395&lt;&gt;"",N395,9999999999999)*1.1,deployment_raw[[#This Row],[Column12]] * IF($E$2="Deployment",deployment_raw[[#This Row],[Column5]],1))*(1+$P$2)),"")</f>
        <v/>
      </c>
      <c r="Q395" s="167" t="str">
        <f>IF(ISNUMBER(deployment_raw[[#This Row],[Column13]]), (MIN(IF(O395&lt;&gt;"",O395,9999999999999)*1.1,deployment_raw[[#This Row],[Column13]] * IF($E$2="Deployment",deployment_raw[[#This Row],[Column5]],1)*(1+$Q$2)/1048576)),"")</f>
        <v/>
      </c>
      <c r="R395" s="169" t="str">
        <f>IF(ISNUMBER(deployment_raw[[#This Row],[Column8]]), (H395  * IF(N395&lt;&gt;0,$R$2,1)),"")</f>
        <v/>
      </c>
      <c r="S395" s="170" t="str">
        <f>IF(ISNUMBER(deployment_raw[[#This Row],[Column8]]), (I395  * IF(O395&lt;&gt;0,$S$2,1)),"")</f>
        <v/>
      </c>
      <c r="T395" s="202" t="str">
        <f>IF(AND(A395&lt;&gt;"",_xlfn.IFNA(MATCH(A395,'dynamic resource application '!$A$2:$A$100, 0),0)&lt;&gt;0), H395/(IF($E$2="Deployment",E395,1)),"")</f>
        <v/>
      </c>
      <c r="U395" s="211" t="str">
        <f>IF(AND(A395&lt;&gt;"",_xlfn.IFNA(MATCH(A395,'dynamic resource application '!$A$2:$A$100, 0),0)&lt;&gt;0), I395/(IF($E$2="Deployment",E395,1)),"")</f>
        <v/>
      </c>
    </row>
    <row r="396" spans="1:21" ht="15.75" customHeight="1" x14ac:dyDescent="0.25">
      <c r="A396" s="35" t="str">
        <f>IF(ISNONTEXT(deployment_raw[[#This Row],[Column1]]), "", deployment_raw[[#This Row],[Column1]])</f>
        <v/>
      </c>
      <c r="B396" s="36" t="str">
        <f>IF(ISNONTEXT(deployment_raw[[#This Row],[Column2]]), "", deployment_raw[[#This Row],[Column2]])</f>
        <v/>
      </c>
      <c r="C396" s="36" t="str">
        <f>IF(ISNONTEXT(deployment_raw[[#This Row],[Column3]]), "", deployment_raw[[#This Row],[Column3]])</f>
        <v/>
      </c>
      <c r="D396" s="36" t="str">
        <f>IF(ISNONTEXT(deployment_raw[[#This Row],[Column4]]), "", deployment_raw[[#This Row],[Column4]])</f>
        <v/>
      </c>
      <c r="E396" s="37" t="str">
        <f>IF(ISNUMBER(deployment_raw[[#This Row],[Column5]]), deployment_raw[[#This Row],[Column5]],"")</f>
        <v/>
      </c>
      <c r="F396" s="94" t="str">
        <f>IF(ISNUMBER(deployment_raw[[#This Row],[Column6]]), (deployment_raw[[#This Row],[Column6]] * IF($E$2="Deployment",deployment_raw[[#This Row],[Column5]],1)),"")</f>
        <v/>
      </c>
      <c r="G396" s="95" t="str">
        <f>IF(ISNUMBER(deployment_raw[[#This Row],[Column7]]), (deployment_raw[[#This Row],[Column7]] * IF($E$2="Deployment",deployment_raw[[#This Row],[Column5]],1))/1048576,"")</f>
        <v/>
      </c>
      <c r="H396" s="95" t="str">
        <f>IF(ISNUMBER(deployment_raw[[#This Row],[Column8]]), (deployment_raw[[#This Row],[Column8]]  * IF($E$2="Deployment",deployment_raw[[#This Row],[Column5]],1)),"")</f>
        <v/>
      </c>
      <c r="I396" s="96" t="str">
        <f>IF(ISNUMBER(deployment_raw[[#This Row],[Column9]]), (deployment_raw[[#This Row],[Column9]] * IF($E$2="Deployment",deployment_raw[[#This Row],[Column5]],1))/1048576,"")</f>
        <v/>
      </c>
      <c r="J396" s="122" t="str">
        <f>IF(ISNUMBER(deployment_raw[[#This Row],[Column10]]), (MIN(IF(N396&lt;&gt;"",N396,9999999999999)*1.1,deployment_raw[[#This Row],[Column10]] * IF($E$2="Deployment",deployment_raw[[#This Row],[Column5]],1))),"")</f>
        <v/>
      </c>
      <c r="K396" s="123" t="str">
        <f>IF(ISNUMBER(deployment_raw[[#This Row],[Column11]]), (MIN(IF(O396&lt;&gt;"",O396,9999999999999)*1.1,deployment_raw[[#This Row],[Column11]] * IF($E$2="Deployment",deployment_raw[[#This Row],[Column5]],1)/1048576)),"")</f>
        <v/>
      </c>
      <c r="L396" s="124" t="str">
        <f>IF(ISNUMBER(deployment_raw[[#This Row],[Column8]]),IF(OR(deployment_raw[[#This Row],[Column5]] &lt;&gt; 0,$E$2 &lt;&gt; "Deployment"), MAX(J396, P396, R396, ($L$2 * IF($E$2="Deployment",deployment_raw[[#This Row],[Column5]],1)),IF(T396&lt;&gt;"",VALUE(T396) * IF($E$2="Deployment",deployment_raw[[#This Row],[Column5]],1),0)), 0),"")</f>
        <v/>
      </c>
      <c r="M396" s="125" t="str">
        <f>IF(ISNUMBER(deployment_raw[[#This Row],[Column9]]),IF(OR(deployment_raw[[#This Row],[Column5]] &lt;&gt; 0,$E$2&lt;&gt;"Deployment"), MAX(K396, Q396, S396, ($M$2 * IF($E$2="Deployment",deployment_raw[[#This Row],[Column5]],1)),IF(U396&lt;&gt;"",VALUE(U396) * IF($E$2="Deployment",deployment_raw[[#This Row],[Column5]],1),0)), 0),"")</f>
        <v/>
      </c>
      <c r="N396" s="166" t="str">
        <f>IF(ISNUMBER(deployment_raw[[#This Row],[Column14]]), deployment_raw[[#This Row],[Column14]]/IF(OR($E$2="Deployment",deployment_raw[[#This Row],[Column5]]=0),1,deployment_raw[[#This Row],[Column5]]),"")</f>
        <v/>
      </c>
      <c r="O396" s="167" t="str">
        <f>IF(ISNUMBER(deployment_raw[[#This Row],[Column15]]), deployment_raw[[#This Row],[Column15]]/IF(OR($E$2="Deployment",deployment_raw[[#This Row],[Column5]]=0),1,deployment_raw[[#This Row],[Column5]])/1048576,"")</f>
        <v/>
      </c>
      <c r="P396" s="168" t="str">
        <f>IF(ISNUMBER(deployment_raw[[#This Row],[Column12]]), (MIN(IF(N396&lt;&gt;"",N396,9999999999999)*1.1,deployment_raw[[#This Row],[Column12]] * IF($E$2="Deployment",deployment_raw[[#This Row],[Column5]],1))*(1+$P$2)),"")</f>
        <v/>
      </c>
      <c r="Q396" s="167" t="str">
        <f>IF(ISNUMBER(deployment_raw[[#This Row],[Column13]]), (MIN(IF(O396&lt;&gt;"",O396,9999999999999)*1.1,deployment_raw[[#This Row],[Column13]] * IF($E$2="Deployment",deployment_raw[[#This Row],[Column5]],1)*(1+$Q$2)/1048576)),"")</f>
        <v/>
      </c>
      <c r="R396" s="169" t="str">
        <f>IF(ISNUMBER(deployment_raw[[#This Row],[Column8]]), (H396  * IF(N396&lt;&gt;0,$R$2,1)),"")</f>
        <v/>
      </c>
      <c r="S396" s="170" t="str">
        <f>IF(ISNUMBER(deployment_raw[[#This Row],[Column8]]), (I396  * IF(O396&lt;&gt;0,$S$2,1)),"")</f>
        <v/>
      </c>
      <c r="T396" s="202" t="str">
        <f>IF(AND(A396&lt;&gt;"",_xlfn.IFNA(MATCH(A396,'dynamic resource application '!$A$2:$A$100, 0),0)&lt;&gt;0), H396/(IF($E$2="Deployment",E396,1)),"")</f>
        <v/>
      </c>
      <c r="U396" s="211" t="str">
        <f>IF(AND(A396&lt;&gt;"",_xlfn.IFNA(MATCH(A396,'dynamic resource application '!$A$2:$A$100, 0),0)&lt;&gt;0), I396/(IF($E$2="Deployment",E396,1)),"")</f>
        <v/>
      </c>
    </row>
    <row r="397" spans="1:21" ht="15.75" customHeight="1" x14ac:dyDescent="0.25">
      <c r="A397" s="35" t="str">
        <f>IF(ISNONTEXT(deployment_raw[[#This Row],[Column1]]), "", deployment_raw[[#This Row],[Column1]])</f>
        <v/>
      </c>
      <c r="B397" s="36" t="str">
        <f>IF(ISNONTEXT(deployment_raw[[#This Row],[Column2]]), "", deployment_raw[[#This Row],[Column2]])</f>
        <v/>
      </c>
      <c r="C397" s="36" t="str">
        <f>IF(ISNONTEXT(deployment_raw[[#This Row],[Column3]]), "", deployment_raw[[#This Row],[Column3]])</f>
        <v/>
      </c>
      <c r="D397" s="36" t="str">
        <f>IF(ISNONTEXT(deployment_raw[[#This Row],[Column4]]), "", deployment_raw[[#This Row],[Column4]])</f>
        <v/>
      </c>
      <c r="E397" s="37" t="str">
        <f>IF(ISNUMBER(deployment_raw[[#This Row],[Column5]]), deployment_raw[[#This Row],[Column5]],"")</f>
        <v/>
      </c>
      <c r="F397" s="94" t="str">
        <f>IF(ISNUMBER(deployment_raw[[#This Row],[Column6]]), (deployment_raw[[#This Row],[Column6]] * IF($E$2="Deployment",deployment_raw[[#This Row],[Column5]],1)),"")</f>
        <v/>
      </c>
      <c r="G397" s="95" t="str">
        <f>IF(ISNUMBER(deployment_raw[[#This Row],[Column7]]), (deployment_raw[[#This Row],[Column7]] * IF($E$2="Deployment",deployment_raw[[#This Row],[Column5]],1))/1048576,"")</f>
        <v/>
      </c>
      <c r="H397" s="95" t="str">
        <f>IF(ISNUMBER(deployment_raw[[#This Row],[Column8]]), (deployment_raw[[#This Row],[Column8]]  * IF($E$2="Deployment",deployment_raw[[#This Row],[Column5]],1)),"")</f>
        <v/>
      </c>
      <c r="I397" s="96" t="str">
        <f>IF(ISNUMBER(deployment_raw[[#This Row],[Column9]]), (deployment_raw[[#This Row],[Column9]] * IF($E$2="Deployment",deployment_raw[[#This Row],[Column5]],1))/1048576,"")</f>
        <v/>
      </c>
      <c r="J397" s="122" t="str">
        <f>IF(ISNUMBER(deployment_raw[[#This Row],[Column10]]), (MIN(IF(N397&lt;&gt;"",N397,9999999999999)*1.1,deployment_raw[[#This Row],[Column10]] * IF($E$2="Deployment",deployment_raw[[#This Row],[Column5]],1))),"")</f>
        <v/>
      </c>
      <c r="K397" s="123" t="str">
        <f>IF(ISNUMBER(deployment_raw[[#This Row],[Column11]]), (MIN(IF(O397&lt;&gt;"",O397,9999999999999)*1.1,deployment_raw[[#This Row],[Column11]] * IF($E$2="Deployment",deployment_raw[[#This Row],[Column5]],1)/1048576)),"")</f>
        <v/>
      </c>
      <c r="L397" s="124" t="str">
        <f>IF(ISNUMBER(deployment_raw[[#This Row],[Column8]]),IF(OR(deployment_raw[[#This Row],[Column5]] &lt;&gt; 0,$E$2 &lt;&gt; "Deployment"), MAX(J397, P397, R397, ($L$2 * IF($E$2="Deployment",deployment_raw[[#This Row],[Column5]],1)),IF(T397&lt;&gt;"",VALUE(T397) * IF($E$2="Deployment",deployment_raw[[#This Row],[Column5]],1),0)), 0),"")</f>
        <v/>
      </c>
      <c r="M397" s="125" t="str">
        <f>IF(ISNUMBER(deployment_raw[[#This Row],[Column9]]),IF(OR(deployment_raw[[#This Row],[Column5]] &lt;&gt; 0,$E$2&lt;&gt;"Deployment"), MAX(K397, Q397, S397, ($M$2 * IF($E$2="Deployment",deployment_raw[[#This Row],[Column5]],1)),IF(U397&lt;&gt;"",VALUE(U397) * IF($E$2="Deployment",deployment_raw[[#This Row],[Column5]],1),0)), 0),"")</f>
        <v/>
      </c>
      <c r="N397" s="166" t="str">
        <f>IF(ISNUMBER(deployment_raw[[#This Row],[Column14]]), deployment_raw[[#This Row],[Column14]]/IF(OR($E$2="Deployment",deployment_raw[[#This Row],[Column5]]=0),1,deployment_raw[[#This Row],[Column5]]),"")</f>
        <v/>
      </c>
      <c r="O397" s="167" t="str">
        <f>IF(ISNUMBER(deployment_raw[[#This Row],[Column15]]), deployment_raw[[#This Row],[Column15]]/IF(OR($E$2="Deployment",deployment_raw[[#This Row],[Column5]]=0),1,deployment_raw[[#This Row],[Column5]])/1048576,"")</f>
        <v/>
      </c>
      <c r="P397" s="168" t="str">
        <f>IF(ISNUMBER(deployment_raw[[#This Row],[Column12]]), (MIN(IF(N397&lt;&gt;"",N397,9999999999999)*1.1,deployment_raw[[#This Row],[Column12]] * IF($E$2="Deployment",deployment_raw[[#This Row],[Column5]],1))*(1+$P$2)),"")</f>
        <v/>
      </c>
      <c r="Q397" s="167" t="str">
        <f>IF(ISNUMBER(deployment_raw[[#This Row],[Column13]]), (MIN(IF(O397&lt;&gt;"",O397,9999999999999)*1.1,deployment_raw[[#This Row],[Column13]] * IF($E$2="Deployment",deployment_raw[[#This Row],[Column5]],1)*(1+$Q$2)/1048576)),"")</f>
        <v/>
      </c>
      <c r="R397" s="169" t="str">
        <f>IF(ISNUMBER(deployment_raw[[#This Row],[Column8]]), (H397  * IF(N397&lt;&gt;0,$R$2,1)),"")</f>
        <v/>
      </c>
      <c r="S397" s="170" t="str">
        <f>IF(ISNUMBER(deployment_raw[[#This Row],[Column8]]), (I397  * IF(O397&lt;&gt;0,$S$2,1)),"")</f>
        <v/>
      </c>
      <c r="T397" s="202" t="str">
        <f>IF(AND(A397&lt;&gt;"",_xlfn.IFNA(MATCH(A397,'dynamic resource application '!$A$2:$A$100, 0),0)&lt;&gt;0), H397/(IF($E$2="Deployment",E397,1)),"")</f>
        <v/>
      </c>
      <c r="U397" s="211" t="str">
        <f>IF(AND(A397&lt;&gt;"",_xlfn.IFNA(MATCH(A397,'dynamic resource application '!$A$2:$A$100, 0),0)&lt;&gt;0), I397/(IF($E$2="Deployment",E397,1)),"")</f>
        <v/>
      </c>
    </row>
    <row r="398" spans="1:21" ht="15.75" customHeight="1" x14ac:dyDescent="0.25">
      <c r="A398" s="35" t="str">
        <f>IF(ISNONTEXT(deployment_raw[[#This Row],[Column1]]), "", deployment_raw[[#This Row],[Column1]])</f>
        <v/>
      </c>
      <c r="B398" s="36" t="str">
        <f>IF(ISNONTEXT(deployment_raw[[#This Row],[Column2]]), "", deployment_raw[[#This Row],[Column2]])</f>
        <v/>
      </c>
      <c r="C398" s="36" t="str">
        <f>IF(ISNONTEXT(deployment_raw[[#This Row],[Column3]]), "", deployment_raw[[#This Row],[Column3]])</f>
        <v/>
      </c>
      <c r="D398" s="36" t="str">
        <f>IF(ISNONTEXT(deployment_raw[[#This Row],[Column4]]), "", deployment_raw[[#This Row],[Column4]])</f>
        <v/>
      </c>
      <c r="E398" s="37" t="str">
        <f>IF(ISNUMBER(deployment_raw[[#This Row],[Column5]]), deployment_raw[[#This Row],[Column5]],"")</f>
        <v/>
      </c>
      <c r="F398" s="94" t="str">
        <f>IF(ISNUMBER(deployment_raw[[#This Row],[Column6]]), (deployment_raw[[#This Row],[Column6]] * IF($E$2="Deployment",deployment_raw[[#This Row],[Column5]],1)),"")</f>
        <v/>
      </c>
      <c r="G398" s="95" t="str">
        <f>IF(ISNUMBER(deployment_raw[[#This Row],[Column7]]), (deployment_raw[[#This Row],[Column7]] * IF($E$2="Deployment",deployment_raw[[#This Row],[Column5]],1))/1048576,"")</f>
        <v/>
      </c>
      <c r="H398" s="95" t="str">
        <f>IF(ISNUMBER(deployment_raw[[#This Row],[Column8]]), (deployment_raw[[#This Row],[Column8]]  * IF($E$2="Deployment",deployment_raw[[#This Row],[Column5]],1)),"")</f>
        <v/>
      </c>
      <c r="I398" s="96" t="str">
        <f>IF(ISNUMBER(deployment_raw[[#This Row],[Column9]]), (deployment_raw[[#This Row],[Column9]] * IF($E$2="Deployment",deployment_raw[[#This Row],[Column5]],1))/1048576,"")</f>
        <v/>
      </c>
      <c r="J398" s="122" t="str">
        <f>IF(ISNUMBER(deployment_raw[[#This Row],[Column10]]), (MIN(IF(N398&lt;&gt;"",N398,9999999999999)*1.1,deployment_raw[[#This Row],[Column10]] * IF($E$2="Deployment",deployment_raw[[#This Row],[Column5]],1))),"")</f>
        <v/>
      </c>
      <c r="K398" s="123" t="str">
        <f>IF(ISNUMBER(deployment_raw[[#This Row],[Column11]]), (MIN(IF(O398&lt;&gt;"",O398,9999999999999)*1.1,deployment_raw[[#This Row],[Column11]] * IF($E$2="Deployment",deployment_raw[[#This Row],[Column5]],1)/1048576)),"")</f>
        <v/>
      </c>
      <c r="L398" s="124" t="str">
        <f>IF(ISNUMBER(deployment_raw[[#This Row],[Column8]]),IF(OR(deployment_raw[[#This Row],[Column5]] &lt;&gt; 0,$E$2 &lt;&gt; "Deployment"), MAX(J398, P398, R398, ($L$2 * IF($E$2="Deployment",deployment_raw[[#This Row],[Column5]],1)),IF(T398&lt;&gt;"",VALUE(T398) * IF($E$2="Deployment",deployment_raw[[#This Row],[Column5]],1),0)), 0),"")</f>
        <v/>
      </c>
      <c r="M398" s="125" t="str">
        <f>IF(ISNUMBER(deployment_raw[[#This Row],[Column9]]),IF(OR(deployment_raw[[#This Row],[Column5]] &lt;&gt; 0,$E$2&lt;&gt;"Deployment"), MAX(K398, Q398, S398, ($M$2 * IF($E$2="Deployment",deployment_raw[[#This Row],[Column5]],1)),IF(U398&lt;&gt;"",VALUE(U398) * IF($E$2="Deployment",deployment_raw[[#This Row],[Column5]],1),0)), 0),"")</f>
        <v/>
      </c>
      <c r="N398" s="166" t="str">
        <f>IF(ISNUMBER(deployment_raw[[#This Row],[Column14]]), deployment_raw[[#This Row],[Column14]]/IF(OR($E$2="Deployment",deployment_raw[[#This Row],[Column5]]=0),1,deployment_raw[[#This Row],[Column5]]),"")</f>
        <v/>
      </c>
      <c r="O398" s="167" t="str">
        <f>IF(ISNUMBER(deployment_raw[[#This Row],[Column15]]), deployment_raw[[#This Row],[Column15]]/IF(OR($E$2="Deployment",deployment_raw[[#This Row],[Column5]]=0),1,deployment_raw[[#This Row],[Column5]])/1048576,"")</f>
        <v/>
      </c>
      <c r="P398" s="168" t="str">
        <f>IF(ISNUMBER(deployment_raw[[#This Row],[Column12]]), (MIN(IF(N398&lt;&gt;"",N398,9999999999999)*1.1,deployment_raw[[#This Row],[Column12]] * IF($E$2="Deployment",deployment_raw[[#This Row],[Column5]],1))*(1+$P$2)),"")</f>
        <v/>
      </c>
      <c r="Q398" s="167" t="str">
        <f>IF(ISNUMBER(deployment_raw[[#This Row],[Column13]]), (MIN(IF(O398&lt;&gt;"",O398,9999999999999)*1.1,deployment_raw[[#This Row],[Column13]] * IF($E$2="Deployment",deployment_raw[[#This Row],[Column5]],1)*(1+$Q$2)/1048576)),"")</f>
        <v/>
      </c>
      <c r="R398" s="169" t="str">
        <f>IF(ISNUMBER(deployment_raw[[#This Row],[Column8]]), (H398  * IF(N398&lt;&gt;0,$R$2,1)),"")</f>
        <v/>
      </c>
      <c r="S398" s="170" t="str">
        <f>IF(ISNUMBER(deployment_raw[[#This Row],[Column8]]), (I398  * IF(O398&lt;&gt;0,$S$2,1)),"")</f>
        <v/>
      </c>
      <c r="T398" s="202" t="str">
        <f>IF(AND(A398&lt;&gt;"",_xlfn.IFNA(MATCH(A398,'dynamic resource application '!$A$2:$A$100, 0),0)&lt;&gt;0), H398/(IF($E$2="Deployment",E398,1)),"")</f>
        <v/>
      </c>
      <c r="U398" s="211" t="str">
        <f>IF(AND(A398&lt;&gt;"",_xlfn.IFNA(MATCH(A398,'dynamic resource application '!$A$2:$A$100, 0),0)&lt;&gt;0), I398/(IF($E$2="Deployment",E398,1)),"")</f>
        <v/>
      </c>
    </row>
    <row r="399" spans="1:21" ht="15.75" customHeight="1" x14ac:dyDescent="0.25">
      <c r="A399" s="35" t="str">
        <f>IF(ISNONTEXT(deployment_raw[[#This Row],[Column1]]), "", deployment_raw[[#This Row],[Column1]])</f>
        <v/>
      </c>
      <c r="B399" s="36" t="str">
        <f>IF(ISNONTEXT(deployment_raw[[#This Row],[Column2]]), "", deployment_raw[[#This Row],[Column2]])</f>
        <v/>
      </c>
      <c r="C399" s="36" t="str">
        <f>IF(ISNONTEXT(deployment_raw[[#This Row],[Column3]]), "", deployment_raw[[#This Row],[Column3]])</f>
        <v/>
      </c>
      <c r="D399" s="36" t="str">
        <f>IF(ISNONTEXT(deployment_raw[[#This Row],[Column4]]), "", deployment_raw[[#This Row],[Column4]])</f>
        <v/>
      </c>
      <c r="E399" s="37" t="str">
        <f>IF(ISNUMBER(deployment_raw[[#This Row],[Column5]]), deployment_raw[[#This Row],[Column5]],"")</f>
        <v/>
      </c>
      <c r="F399" s="94" t="str">
        <f>IF(ISNUMBER(deployment_raw[[#This Row],[Column6]]), (deployment_raw[[#This Row],[Column6]] * IF($E$2="Deployment",deployment_raw[[#This Row],[Column5]],1)),"")</f>
        <v/>
      </c>
      <c r="G399" s="95" t="str">
        <f>IF(ISNUMBER(deployment_raw[[#This Row],[Column7]]), (deployment_raw[[#This Row],[Column7]] * IF($E$2="Deployment",deployment_raw[[#This Row],[Column5]],1))/1048576,"")</f>
        <v/>
      </c>
      <c r="H399" s="95" t="str">
        <f>IF(ISNUMBER(deployment_raw[[#This Row],[Column8]]), (deployment_raw[[#This Row],[Column8]]  * IF($E$2="Deployment",deployment_raw[[#This Row],[Column5]],1)),"")</f>
        <v/>
      </c>
      <c r="I399" s="96" t="str">
        <f>IF(ISNUMBER(deployment_raw[[#This Row],[Column9]]), (deployment_raw[[#This Row],[Column9]] * IF($E$2="Deployment",deployment_raw[[#This Row],[Column5]],1))/1048576,"")</f>
        <v/>
      </c>
      <c r="J399" s="122" t="str">
        <f>IF(ISNUMBER(deployment_raw[[#This Row],[Column10]]), (MIN(IF(N399&lt;&gt;"",N399,9999999999999)*1.1,deployment_raw[[#This Row],[Column10]] * IF($E$2="Deployment",deployment_raw[[#This Row],[Column5]],1))),"")</f>
        <v/>
      </c>
      <c r="K399" s="123" t="str">
        <f>IF(ISNUMBER(deployment_raw[[#This Row],[Column11]]), (MIN(IF(O399&lt;&gt;"",O399,9999999999999)*1.1,deployment_raw[[#This Row],[Column11]] * IF($E$2="Deployment",deployment_raw[[#This Row],[Column5]],1)/1048576)),"")</f>
        <v/>
      </c>
      <c r="L399" s="124" t="str">
        <f>IF(ISNUMBER(deployment_raw[[#This Row],[Column8]]),IF(OR(deployment_raw[[#This Row],[Column5]] &lt;&gt; 0,$E$2 &lt;&gt; "Deployment"), MAX(J399, P399, R399, ($L$2 * IF($E$2="Deployment",deployment_raw[[#This Row],[Column5]],1)),IF(T399&lt;&gt;"",VALUE(T399) * IF($E$2="Deployment",deployment_raw[[#This Row],[Column5]],1),0)), 0),"")</f>
        <v/>
      </c>
      <c r="M399" s="125" t="str">
        <f>IF(ISNUMBER(deployment_raw[[#This Row],[Column9]]),IF(OR(deployment_raw[[#This Row],[Column5]] &lt;&gt; 0,$E$2&lt;&gt;"Deployment"), MAX(K399, Q399, S399, ($M$2 * IF($E$2="Deployment",deployment_raw[[#This Row],[Column5]],1)),IF(U399&lt;&gt;"",VALUE(U399) * IF($E$2="Deployment",deployment_raw[[#This Row],[Column5]],1),0)), 0),"")</f>
        <v/>
      </c>
      <c r="N399" s="166" t="str">
        <f>IF(ISNUMBER(deployment_raw[[#This Row],[Column14]]), deployment_raw[[#This Row],[Column14]]/IF(OR($E$2="Deployment",deployment_raw[[#This Row],[Column5]]=0),1,deployment_raw[[#This Row],[Column5]]),"")</f>
        <v/>
      </c>
      <c r="O399" s="167" t="str">
        <f>IF(ISNUMBER(deployment_raw[[#This Row],[Column15]]), deployment_raw[[#This Row],[Column15]]/IF(OR($E$2="Deployment",deployment_raw[[#This Row],[Column5]]=0),1,deployment_raw[[#This Row],[Column5]])/1048576,"")</f>
        <v/>
      </c>
      <c r="P399" s="168" t="str">
        <f>IF(ISNUMBER(deployment_raw[[#This Row],[Column12]]), (MIN(IF(N399&lt;&gt;"",N399,9999999999999)*1.1,deployment_raw[[#This Row],[Column12]] * IF($E$2="Deployment",deployment_raw[[#This Row],[Column5]],1))*(1+$P$2)),"")</f>
        <v/>
      </c>
      <c r="Q399" s="167" t="str">
        <f>IF(ISNUMBER(deployment_raw[[#This Row],[Column13]]), (MIN(IF(O399&lt;&gt;"",O399,9999999999999)*1.1,deployment_raw[[#This Row],[Column13]] * IF($E$2="Deployment",deployment_raw[[#This Row],[Column5]],1)*(1+$Q$2)/1048576)),"")</f>
        <v/>
      </c>
      <c r="R399" s="169" t="str">
        <f>IF(ISNUMBER(deployment_raw[[#This Row],[Column8]]), (H399  * IF(N399&lt;&gt;0,$R$2,1)),"")</f>
        <v/>
      </c>
      <c r="S399" s="170" t="str">
        <f>IF(ISNUMBER(deployment_raw[[#This Row],[Column8]]), (I399  * IF(O399&lt;&gt;0,$S$2,1)),"")</f>
        <v/>
      </c>
      <c r="T399" s="202" t="str">
        <f>IF(AND(A399&lt;&gt;"",_xlfn.IFNA(MATCH(A399,'dynamic resource application '!$A$2:$A$100, 0),0)&lt;&gt;0), H399/(IF($E$2="Deployment",E399,1)),"")</f>
        <v/>
      </c>
      <c r="U399" s="211" t="str">
        <f>IF(AND(A399&lt;&gt;"",_xlfn.IFNA(MATCH(A399,'dynamic resource application '!$A$2:$A$100, 0),0)&lt;&gt;0), I399/(IF($E$2="Deployment",E399,1)),"")</f>
        <v/>
      </c>
    </row>
    <row r="400" spans="1:21" ht="15.75" customHeight="1" x14ac:dyDescent="0.25">
      <c r="A400" s="35" t="str">
        <f>IF(ISNONTEXT(deployment_raw[[#This Row],[Column1]]), "", deployment_raw[[#This Row],[Column1]])</f>
        <v/>
      </c>
      <c r="B400" s="36" t="str">
        <f>IF(ISNONTEXT(deployment_raw[[#This Row],[Column2]]), "", deployment_raw[[#This Row],[Column2]])</f>
        <v/>
      </c>
      <c r="C400" s="36" t="str">
        <f>IF(ISNONTEXT(deployment_raw[[#This Row],[Column3]]), "", deployment_raw[[#This Row],[Column3]])</f>
        <v/>
      </c>
      <c r="D400" s="36" t="str">
        <f>IF(ISNONTEXT(deployment_raw[[#This Row],[Column4]]), "", deployment_raw[[#This Row],[Column4]])</f>
        <v/>
      </c>
      <c r="E400" s="37" t="str">
        <f>IF(ISNUMBER(deployment_raw[[#This Row],[Column5]]), deployment_raw[[#This Row],[Column5]],"")</f>
        <v/>
      </c>
      <c r="F400" s="94" t="str">
        <f>IF(ISNUMBER(deployment_raw[[#This Row],[Column6]]), (deployment_raw[[#This Row],[Column6]] * IF($E$2="Deployment",deployment_raw[[#This Row],[Column5]],1)),"")</f>
        <v/>
      </c>
      <c r="G400" s="95" t="str">
        <f>IF(ISNUMBER(deployment_raw[[#This Row],[Column7]]), (deployment_raw[[#This Row],[Column7]] * IF($E$2="Deployment",deployment_raw[[#This Row],[Column5]],1))/1048576,"")</f>
        <v/>
      </c>
      <c r="H400" s="95" t="str">
        <f>IF(ISNUMBER(deployment_raw[[#This Row],[Column8]]), (deployment_raw[[#This Row],[Column8]]  * IF($E$2="Deployment",deployment_raw[[#This Row],[Column5]],1)),"")</f>
        <v/>
      </c>
      <c r="I400" s="96" t="str">
        <f>IF(ISNUMBER(deployment_raw[[#This Row],[Column9]]), (deployment_raw[[#This Row],[Column9]] * IF($E$2="Deployment",deployment_raw[[#This Row],[Column5]],1))/1048576,"")</f>
        <v/>
      </c>
      <c r="J400" s="122" t="str">
        <f>IF(ISNUMBER(deployment_raw[[#This Row],[Column10]]), (MIN(IF(N400&lt;&gt;"",N400,9999999999999)*1.1,deployment_raw[[#This Row],[Column10]] * IF($E$2="Deployment",deployment_raw[[#This Row],[Column5]],1))),"")</f>
        <v/>
      </c>
      <c r="K400" s="123" t="str">
        <f>IF(ISNUMBER(deployment_raw[[#This Row],[Column11]]), (MIN(IF(O400&lt;&gt;"",O400,9999999999999)*1.1,deployment_raw[[#This Row],[Column11]] * IF($E$2="Deployment",deployment_raw[[#This Row],[Column5]],1)/1048576)),"")</f>
        <v/>
      </c>
      <c r="L400" s="124" t="str">
        <f>IF(ISNUMBER(deployment_raw[[#This Row],[Column8]]),IF(OR(deployment_raw[[#This Row],[Column5]] &lt;&gt; 0,$E$2 &lt;&gt; "Deployment"), MAX(J400, P400, R400, ($L$2 * IF($E$2="Deployment",deployment_raw[[#This Row],[Column5]],1)),IF(T400&lt;&gt;"",VALUE(T400) * IF($E$2="Deployment",deployment_raw[[#This Row],[Column5]],1),0)), 0),"")</f>
        <v/>
      </c>
      <c r="M400" s="125" t="str">
        <f>IF(ISNUMBER(deployment_raw[[#This Row],[Column9]]),IF(OR(deployment_raw[[#This Row],[Column5]] &lt;&gt; 0,$E$2&lt;&gt;"Deployment"), MAX(K400, Q400, S400, ($M$2 * IF($E$2="Deployment",deployment_raw[[#This Row],[Column5]],1)),IF(U400&lt;&gt;"",VALUE(U400) * IF($E$2="Deployment",deployment_raw[[#This Row],[Column5]],1),0)), 0),"")</f>
        <v/>
      </c>
      <c r="N400" s="166" t="str">
        <f>IF(ISNUMBER(deployment_raw[[#This Row],[Column14]]), deployment_raw[[#This Row],[Column14]]/IF(OR($E$2="Deployment",deployment_raw[[#This Row],[Column5]]=0),1,deployment_raw[[#This Row],[Column5]]),"")</f>
        <v/>
      </c>
      <c r="O400" s="167" t="str">
        <f>IF(ISNUMBER(deployment_raw[[#This Row],[Column15]]), deployment_raw[[#This Row],[Column15]]/IF(OR($E$2="Deployment",deployment_raw[[#This Row],[Column5]]=0),1,deployment_raw[[#This Row],[Column5]])/1048576,"")</f>
        <v/>
      </c>
      <c r="P400" s="168" t="str">
        <f>IF(ISNUMBER(deployment_raw[[#This Row],[Column12]]), (MIN(IF(N400&lt;&gt;"",N400,9999999999999)*1.1,deployment_raw[[#This Row],[Column12]] * IF($E$2="Deployment",deployment_raw[[#This Row],[Column5]],1))*(1+$P$2)),"")</f>
        <v/>
      </c>
      <c r="Q400" s="167" t="str">
        <f>IF(ISNUMBER(deployment_raw[[#This Row],[Column13]]), (MIN(IF(O400&lt;&gt;"",O400,9999999999999)*1.1,deployment_raw[[#This Row],[Column13]] * IF($E$2="Deployment",deployment_raw[[#This Row],[Column5]],1)*(1+$Q$2)/1048576)),"")</f>
        <v/>
      </c>
      <c r="R400" s="169" t="str">
        <f>IF(ISNUMBER(deployment_raw[[#This Row],[Column8]]), (H400  * IF(N400&lt;&gt;0,$R$2,1)),"")</f>
        <v/>
      </c>
      <c r="S400" s="170" t="str">
        <f>IF(ISNUMBER(deployment_raw[[#This Row],[Column8]]), (I400  * IF(O400&lt;&gt;0,$S$2,1)),"")</f>
        <v/>
      </c>
      <c r="T400" s="202" t="str">
        <f>IF(AND(A400&lt;&gt;"",_xlfn.IFNA(MATCH(A400,'dynamic resource application '!$A$2:$A$100, 0),0)&lt;&gt;0), H400/(IF($E$2="Deployment",E400,1)),"")</f>
        <v/>
      </c>
      <c r="U400" s="211" t="str">
        <f>IF(AND(A400&lt;&gt;"",_xlfn.IFNA(MATCH(A400,'dynamic resource application '!$A$2:$A$100, 0),0)&lt;&gt;0), I400/(IF($E$2="Deployment",E400,1)),"")</f>
        <v/>
      </c>
    </row>
    <row r="401" spans="1:21" ht="15.75" customHeight="1" x14ac:dyDescent="0.25">
      <c r="A401" s="35" t="str">
        <f>IF(ISNONTEXT(deployment_raw[[#This Row],[Column1]]), "", deployment_raw[[#This Row],[Column1]])</f>
        <v/>
      </c>
      <c r="B401" s="36" t="str">
        <f>IF(ISNONTEXT(deployment_raw[[#This Row],[Column2]]), "", deployment_raw[[#This Row],[Column2]])</f>
        <v/>
      </c>
      <c r="C401" s="36" t="str">
        <f>IF(ISNONTEXT(deployment_raw[[#This Row],[Column3]]), "", deployment_raw[[#This Row],[Column3]])</f>
        <v/>
      </c>
      <c r="D401" s="36" t="str">
        <f>IF(ISNONTEXT(deployment_raw[[#This Row],[Column4]]), "", deployment_raw[[#This Row],[Column4]])</f>
        <v/>
      </c>
      <c r="E401" s="37" t="str">
        <f>IF(ISNUMBER(deployment_raw[[#This Row],[Column5]]), deployment_raw[[#This Row],[Column5]],"")</f>
        <v/>
      </c>
      <c r="F401" s="94" t="str">
        <f>IF(ISNUMBER(deployment_raw[[#This Row],[Column6]]), (deployment_raw[[#This Row],[Column6]] * IF($E$2="Deployment",deployment_raw[[#This Row],[Column5]],1)),"")</f>
        <v/>
      </c>
      <c r="G401" s="95" t="str">
        <f>IF(ISNUMBER(deployment_raw[[#This Row],[Column7]]), (deployment_raw[[#This Row],[Column7]] * IF($E$2="Deployment",deployment_raw[[#This Row],[Column5]],1))/1048576,"")</f>
        <v/>
      </c>
      <c r="H401" s="95" t="str">
        <f>IF(ISNUMBER(deployment_raw[[#This Row],[Column8]]), (deployment_raw[[#This Row],[Column8]]  * IF($E$2="Deployment",deployment_raw[[#This Row],[Column5]],1)),"")</f>
        <v/>
      </c>
      <c r="I401" s="96" t="str">
        <f>IF(ISNUMBER(deployment_raw[[#This Row],[Column9]]), (deployment_raw[[#This Row],[Column9]] * IF($E$2="Deployment",deployment_raw[[#This Row],[Column5]],1))/1048576,"")</f>
        <v/>
      </c>
      <c r="J401" s="122" t="str">
        <f>IF(ISNUMBER(deployment_raw[[#This Row],[Column10]]), (MIN(IF(N401&lt;&gt;"",N401,9999999999999)*1.1,deployment_raw[[#This Row],[Column10]] * IF($E$2="Deployment",deployment_raw[[#This Row],[Column5]],1))),"")</f>
        <v/>
      </c>
      <c r="K401" s="123" t="str">
        <f>IF(ISNUMBER(deployment_raw[[#This Row],[Column11]]), (MIN(IF(O401&lt;&gt;"",O401,9999999999999)*1.1,deployment_raw[[#This Row],[Column11]] * IF($E$2="Deployment",deployment_raw[[#This Row],[Column5]],1)/1048576)),"")</f>
        <v/>
      </c>
      <c r="L401" s="124" t="str">
        <f>IF(ISNUMBER(deployment_raw[[#This Row],[Column8]]),IF(OR(deployment_raw[[#This Row],[Column5]] &lt;&gt; 0,$E$2 &lt;&gt; "Deployment"), MAX(J401, P401, R401, ($L$2 * IF($E$2="Deployment",deployment_raw[[#This Row],[Column5]],1)),IF(T401&lt;&gt;"",VALUE(T401) * IF($E$2="Deployment",deployment_raw[[#This Row],[Column5]],1),0)), 0),"")</f>
        <v/>
      </c>
      <c r="M401" s="125" t="str">
        <f>IF(ISNUMBER(deployment_raw[[#This Row],[Column9]]),IF(OR(deployment_raw[[#This Row],[Column5]] &lt;&gt; 0,$E$2&lt;&gt;"Deployment"), MAX(K401, Q401, S401, ($M$2 * IF($E$2="Deployment",deployment_raw[[#This Row],[Column5]],1)),IF(U401&lt;&gt;"",VALUE(U401) * IF($E$2="Deployment",deployment_raw[[#This Row],[Column5]],1),0)), 0),"")</f>
        <v/>
      </c>
      <c r="N401" s="166" t="str">
        <f>IF(ISNUMBER(deployment_raw[[#This Row],[Column14]]), deployment_raw[[#This Row],[Column14]]/IF(OR($E$2="Deployment",deployment_raw[[#This Row],[Column5]]=0),1,deployment_raw[[#This Row],[Column5]]),"")</f>
        <v/>
      </c>
      <c r="O401" s="167" t="str">
        <f>IF(ISNUMBER(deployment_raw[[#This Row],[Column15]]), deployment_raw[[#This Row],[Column15]]/IF(OR($E$2="Deployment",deployment_raw[[#This Row],[Column5]]=0),1,deployment_raw[[#This Row],[Column5]])/1048576,"")</f>
        <v/>
      </c>
      <c r="P401" s="168" t="str">
        <f>IF(ISNUMBER(deployment_raw[[#This Row],[Column12]]), (MIN(IF(N401&lt;&gt;"",N401,9999999999999)*1.1,deployment_raw[[#This Row],[Column12]] * IF($E$2="Deployment",deployment_raw[[#This Row],[Column5]],1))*(1+$P$2)),"")</f>
        <v/>
      </c>
      <c r="Q401" s="167" t="str">
        <f>IF(ISNUMBER(deployment_raw[[#This Row],[Column13]]), (MIN(IF(O401&lt;&gt;"",O401,9999999999999)*1.1,deployment_raw[[#This Row],[Column13]] * IF($E$2="Deployment",deployment_raw[[#This Row],[Column5]],1)*(1+$Q$2)/1048576)),"")</f>
        <v/>
      </c>
      <c r="R401" s="169" t="str">
        <f>IF(ISNUMBER(deployment_raw[[#This Row],[Column8]]), (H401  * IF(N401&lt;&gt;0,$R$2,1)),"")</f>
        <v/>
      </c>
      <c r="S401" s="170" t="str">
        <f>IF(ISNUMBER(deployment_raw[[#This Row],[Column8]]), (I401  * IF(O401&lt;&gt;0,$S$2,1)),"")</f>
        <v/>
      </c>
      <c r="T401" s="202" t="str">
        <f>IF(AND(A401&lt;&gt;"",_xlfn.IFNA(MATCH(A401,'dynamic resource application '!$A$2:$A$100, 0),0)&lt;&gt;0), H401/(IF($E$2="Deployment",E401,1)),"")</f>
        <v/>
      </c>
      <c r="U401" s="211" t="str">
        <f>IF(AND(A401&lt;&gt;"",_xlfn.IFNA(MATCH(A401,'dynamic resource application '!$A$2:$A$100, 0),0)&lt;&gt;0), I401/(IF($E$2="Deployment",E401,1)),"")</f>
        <v/>
      </c>
    </row>
    <row r="402" spans="1:21" ht="15.75" customHeight="1" x14ac:dyDescent="0.25">
      <c r="A402" s="35" t="str">
        <f>IF(ISNONTEXT(deployment_raw[[#This Row],[Column1]]), "", deployment_raw[[#This Row],[Column1]])</f>
        <v/>
      </c>
      <c r="B402" s="36" t="str">
        <f>IF(ISNONTEXT(deployment_raw[[#This Row],[Column2]]), "", deployment_raw[[#This Row],[Column2]])</f>
        <v/>
      </c>
      <c r="C402" s="36" t="str">
        <f>IF(ISNONTEXT(deployment_raw[[#This Row],[Column3]]), "", deployment_raw[[#This Row],[Column3]])</f>
        <v/>
      </c>
      <c r="D402" s="36" t="str">
        <f>IF(ISNONTEXT(deployment_raw[[#This Row],[Column4]]), "", deployment_raw[[#This Row],[Column4]])</f>
        <v/>
      </c>
      <c r="E402" s="37" t="str">
        <f>IF(ISNUMBER(deployment_raw[[#This Row],[Column5]]), deployment_raw[[#This Row],[Column5]],"")</f>
        <v/>
      </c>
      <c r="F402" s="94" t="str">
        <f>IF(ISNUMBER(deployment_raw[[#This Row],[Column6]]), (deployment_raw[[#This Row],[Column6]] * IF($E$2="Deployment",deployment_raw[[#This Row],[Column5]],1)),"")</f>
        <v/>
      </c>
      <c r="G402" s="95" t="str">
        <f>IF(ISNUMBER(deployment_raw[[#This Row],[Column7]]), (deployment_raw[[#This Row],[Column7]] * IF($E$2="Deployment",deployment_raw[[#This Row],[Column5]],1))/1048576,"")</f>
        <v/>
      </c>
      <c r="H402" s="95" t="str">
        <f>IF(ISNUMBER(deployment_raw[[#This Row],[Column8]]), (deployment_raw[[#This Row],[Column8]]  * IF($E$2="Deployment",deployment_raw[[#This Row],[Column5]],1)),"")</f>
        <v/>
      </c>
      <c r="I402" s="96" t="str">
        <f>IF(ISNUMBER(deployment_raw[[#This Row],[Column9]]), (deployment_raw[[#This Row],[Column9]] * IF($E$2="Deployment",deployment_raw[[#This Row],[Column5]],1))/1048576,"")</f>
        <v/>
      </c>
      <c r="J402" s="122" t="str">
        <f>IF(ISNUMBER(deployment_raw[[#This Row],[Column10]]), (MIN(IF(N402&lt;&gt;"",N402,9999999999999)*1.1,deployment_raw[[#This Row],[Column10]] * IF($E$2="Deployment",deployment_raw[[#This Row],[Column5]],1))),"")</f>
        <v/>
      </c>
      <c r="K402" s="123" t="str">
        <f>IF(ISNUMBER(deployment_raw[[#This Row],[Column11]]), (MIN(IF(O402&lt;&gt;"",O402,9999999999999)*1.1,deployment_raw[[#This Row],[Column11]] * IF($E$2="Deployment",deployment_raw[[#This Row],[Column5]],1)/1048576)),"")</f>
        <v/>
      </c>
      <c r="L402" s="124" t="str">
        <f>IF(ISNUMBER(deployment_raw[[#This Row],[Column8]]),IF(OR(deployment_raw[[#This Row],[Column5]] &lt;&gt; 0,$E$2 &lt;&gt; "Deployment"), MAX(J402, P402, R402, ($L$2 * IF($E$2="Deployment",deployment_raw[[#This Row],[Column5]],1)),IF(T402&lt;&gt;"",VALUE(T402) * IF($E$2="Deployment",deployment_raw[[#This Row],[Column5]],1),0)), 0),"")</f>
        <v/>
      </c>
      <c r="M402" s="125" t="str">
        <f>IF(ISNUMBER(deployment_raw[[#This Row],[Column9]]),IF(OR(deployment_raw[[#This Row],[Column5]] &lt;&gt; 0,$E$2&lt;&gt;"Deployment"), MAX(K402, Q402, S402, ($M$2 * IF($E$2="Deployment",deployment_raw[[#This Row],[Column5]],1)),IF(U402&lt;&gt;"",VALUE(U402) * IF($E$2="Deployment",deployment_raw[[#This Row],[Column5]],1),0)), 0),"")</f>
        <v/>
      </c>
      <c r="N402" s="166" t="str">
        <f>IF(ISNUMBER(deployment_raw[[#This Row],[Column14]]), deployment_raw[[#This Row],[Column14]]/IF(OR($E$2="Deployment",deployment_raw[[#This Row],[Column5]]=0),1,deployment_raw[[#This Row],[Column5]]),"")</f>
        <v/>
      </c>
      <c r="O402" s="167" t="str">
        <f>IF(ISNUMBER(deployment_raw[[#This Row],[Column15]]), deployment_raw[[#This Row],[Column15]]/IF(OR($E$2="Deployment",deployment_raw[[#This Row],[Column5]]=0),1,deployment_raw[[#This Row],[Column5]])/1048576,"")</f>
        <v/>
      </c>
      <c r="P402" s="168" t="str">
        <f>IF(ISNUMBER(deployment_raw[[#This Row],[Column12]]), (MIN(IF(N402&lt;&gt;"",N402,9999999999999)*1.1,deployment_raw[[#This Row],[Column12]] * IF($E$2="Deployment",deployment_raw[[#This Row],[Column5]],1))*(1+$P$2)),"")</f>
        <v/>
      </c>
      <c r="Q402" s="167" t="str">
        <f>IF(ISNUMBER(deployment_raw[[#This Row],[Column13]]), (MIN(IF(O402&lt;&gt;"",O402,9999999999999)*1.1,deployment_raw[[#This Row],[Column13]] * IF($E$2="Deployment",deployment_raw[[#This Row],[Column5]],1)*(1+$Q$2)/1048576)),"")</f>
        <v/>
      </c>
      <c r="R402" s="169" t="str">
        <f>IF(ISNUMBER(deployment_raw[[#This Row],[Column8]]), (H402  * IF(N402&lt;&gt;0,$R$2,1)),"")</f>
        <v/>
      </c>
      <c r="S402" s="170" t="str">
        <f>IF(ISNUMBER(deployment_raw[[#This Row],[Column8]]), (I402  * IF(O402&lt;&gt;0,$S$2,1)),"")</f>
        <v/>
      </c>
      <c r="T402" s="202" t="str">
        <f>IF(AND(A402&lt;&gt;"",_xlfn.IFNA(MATCH(A402,'dynamic resource application '!$A$2:$A$100, 0),0)&lt;&gt;0), H402/(IF($E$2="Deployment",E402,1)),"")</f>
        <v/>
      </c>
      <c r="U402" s="211" t="str">
        <f>IF(AND(A402&lt;&gt;"",_xlfn.IFNA(MATCH(A402,'dynamic resource application '!$A$2:$A$100, 0),0)&lt;&gt;0), I402/(IF($E$2="Deployment",E402,1)),"")</f>
        <v/>
      </c>
    </row>
    <row r="403" spans="1:21" ht="15.75" customHeight="1" x14ac:dyDescent="0.25">
      <c r="A403" s="35" t="str">
        <f>IF(ISNONTEXT(deployment_raw[[#This Row],[Column1]]), "", deployment_raw[[#This Row],[Column1]])</f>
        <v/>
      </c>
      <c r="B403" s="36" t="str">
        <f>IF(ISNONTEXT(deployment_raw[[#This Row],[Column2]]), "", deployment_raw[[#This Row],[Column2]])</f>
        <v/>
      </c>
      <c r="C403" s="36" t="str">
        <f>IF(ISNONTEXT(deployment_raw[[#This Row],[Column3]]), "", deployment_raw[[#This Row],[Column3]])</f>
        <v/>
      </c>
      <c r="D403" s="36" t="str">
        <f>IF(ISNONTEXT(deployment_raw[[#This Row],[Column4]]), "", deployment_raw[[#This Row],[Column4]])</f>
        <v/>
      </c>
      <c r="E403" s="37" t="str">
        <f>IF(ISNUMBER(deployment_raw[[#This Row],[Column5]]), deployment_raw[[#This Row],[Column5]],"")</f>
        <v/>
      </c>
      <c r="F403" s="94" t="str">
        <f>IF(ISNUMBER(deployment_raw[[#This Row],[Column6]]), (deployment_raw[[#This Row],[Column6]] * IF($E$2="Deployment",deployment_raw[[#This Row],[Column5]],1)),"")</f>
        <v/>
      </c>
      <c r="G403" s="95" t="str">
        <f>IF(ISNUMBER(deployment_raw[[#This Row],[Column7]]), (deployment_raw[[#This Row],[Column7]] * IF($E$2="Deployment",deployment_raw[[#This Row],[Column5]],1))/1048576,"")</f>
        <v/>
      </c>
      <c r="H403" s="95" t="str">
        <f>IF(ISNUMBER(deployment_raw[[#This Row],[Column8]]), (deployment_raw[[#This Row],[Column8]]  * IF($E$2="Deployment",deployment_raw[[#This Row],[Column5]],1)),"")</f>
        <v/>
      </c>
      <c r="I403" s="96" t="str">
        <f>IF(ISNUMBER(deployment_raw[[#This Row],[Column9]]), (deployment_raw[[#This Row],[Column9]] * IF($E$2="Deployment",deployment_raw[[#This Row],[Column5]],1))/1048576,"")</f>
        <v/>
      </c>
      <c r="J403" s="122" t="str">
        <f>IF(ISNUMBER(deployment_raw[[#This Row],[Column10]]), (MIN(IF(N403&lt;&gt;"",N403,9999999999999)*1.1,deployment_raw[[#This Row],[Column10]] * IF($E$2="Deployment",deployment_raw[[#This Row],[Column5]],1))),"")</f>
        <v/>
      </c>
      <c r="K403" s="123" t="str">
        <f>IF(ISNUMBER(deployment_raw[[#This Row],[Column11]]), (MIN(IF(O403&lt;&gt;"",O403,9999999999999)*1.1,deployment_raw[[#This Row],[Column11]] * IF($E$2="Deployment",deployment_raw[[#This Row],[Column5]],1)/1048576)),"")</f>
        <v/>
      </c>
      <c r="L403" s="124" t="str">
        <f>IF(ISNUMBER(deployment_raw[[#This Row],[Column8]]),IF(OR(deployment_raw[[#This Row],[Column5]] &lt;&gt; 0,$E$2 &lt;&gt; "Deployment"), MAX(J403, P403, R403, ($L$2 * IF($E$2="Deployment",deployment_raw[[#This Row],[Column5]],1)),IF(T403&lt;&gt;"",VALUE(T403) * IF($E$2="Deployment",deployment_raw[[#This Row],[Column5]],1),0)), 0),"")</f>
        <v/>
      </c>
      <c r="M403" s="125" t="str">
        <f>IF(ISNUMBER(deployment_raw[[#This Row],[Column9]]),IF(OR(deployment_raw[[#This Row],[Column5]] &lt;&gt; 0,$E$2&lt;&gt;"Deployment"), MAX(K403, Q403, S403, ($M$2 * IF($E$2="Deployment",deployment_raw[[#This Row],[Column5]],1)),IF(U403&lt;&gt;"",VALUE(U403) * IF($E$2="Deployment",deployment_raw[[#This Row],[Column5]],1),0)), 0),"")</f>
        <v/>
      </c>
      <c r="N403" s="166" t="str">
        <f>IF(ISNUMBER(deployment_raw[[#This Row],[Column14]]), deployment_raw[[#This Row],[Column14]]/IF(OR($E$2="Deployment",deployment_raw[[#This Row],[Column5]]=0),1,deployment_raw[[#This Row],[Column5]]),"")</f>
        <v/>
      </c>
      <c r="O403" s="167" t="str">
        <f>IF(ISNUMBER(deployment_raw[[#This Row],[Column15]]), deployment_raw[[#This Row],[Column15]]/IF(OR($E$2="Deployment",deployment_raw[[#This Row],[Column5]]=0),1,deployment_raw[[#This Row],[Column5]])/1048576,"")</f>
        <v/>
      </c>
      <c r="P403" s="168" t="str">
        <f>IF(ISNUMBER(deployment_raw[[#This Row],[Column12]]), (MIN(IF(N403&lt;&gt;"",N403,9999999999999)*1.1,deployment_raw[[#This Row],[Column12]] * IF($E$2="Deployment",deployment_raw[[#This Row],[Column5]],1))*(1+$P$2)),"")</f>
        <v/>
      </c>
      <c r="Q403" s="167" t="str">
        <f>IF(ISNUMBER(deployment_raw[[#This Row],[Column13]]), (MIN(IF(O403&lt;&gt;"",O403,9999999999999)*1.1,deployment_raw[[#This Row],[Column13]] * IF($E$2="Deployment",deployment_raw[[#This Row],[Column5]],1)*(1+$Q$2)/1048576)),"")</f>
        <v/>
      </c>
      <c r="R403" s="169" t="str">
        <f>IF(ISNUMBER(deployment_raw[[#This Row],[Column8]]), (H403  * IF(N403&lt;&gt;0,$R$2,1)),"")</f>
        <v/>
      </c>
      <c r="S403" s="170" t="str">
        <f>IF(ISNUMBER(deployment_raw[[#This Row],[Column8]]), (I403  * IF(O403&lt;&gt;0,$S$2,1)),"")</f>
        <v/>
      </c>
      <c r="T403" s="202" t="str">
        <f>IF(AND(A403&lt;&gt;"",_xlfn.IFNA(MATCH(A403,'dynamic resource application '!$A$2:$A$100, 0),0)&lt;&gt;0), H403/(IF($E$2="Deployment",E403,1)),"")</f>
        <v/>
      </c>
      <c r="U403" s="211" t="str">
        <f>IF(AND(A403&lt;&gt;"",_xlfn.IFNA(MATCH(A403,'dynamic resource application '!$A$2:$A$100, 0),0)&lt;&gt;0), I403/(IF($E$2="Deployment",E403,1)),"")</f>
        <v/>
      </c>
    </row>
    <row r="404" spans="1:21" ht="15.75" customHeight="1" x14ac:dyDescent="0.25">
      <c r="A404" s="35" t="str">
        <f>IF(ISNONTEXT(deployment_raw[[#This Row],[Column1]]), "", deployment_raw[[#This Row],[Column1]])</f>
        <v/>
      </c>
      <c r="B404" s="36" t="str">
        <f>IF(ISNONTEXT(deployment_raw[[#This Row],[Column2]]), "", deployment_raw[[#This Row],[Column2]])</f>
        <v/>
      </c>
      <c r="C404" s="36" t="str">
        <f>IF(ISNONTEXT(deployment_raw[[#This Row],[Column3]]), "", deployment_raw[[#This Row],[Column3]])</f>
        <v/>
      </c>
      <c r="D404" s="36" t="str">
        <f>IF(ISNONTEXT(deployment_raw[[#This Row],[Column4]]), "", deployment_raw[[#This Row],[Column4]])</f>
        <v/>
      </c>
      <c r="E404" s="37" t="str">
        <f>IF(ISNUMBER(deployment_raw[[#This Row],[Column5]]), deployment_raw[[#This Row],[Column5]],"")</f>
        <v/>
      </c>
      <c r="F404" s="94" t="str">
        <f>IF(ISNUMBER(deployment_raw[[#This Row],[Column6]]), (deployment_raw[[#This Row],[Column6]] * IF($E$2="Deployment",deployment_raw[[#This Row],[Column5]],1)),"")</f>
        <v/>
      </c>
      <c r="G404" s="95" t="str">
        <f>IF(ISNUMBER(deployment_raw[[#This Row],[Column7]]), (deployment_raw[[#This Row],[Column7]] * IF($E$2="Deployment",deployment_raw[[#This Row],[Column5]],1))/1048576,"")</f>
        <v/>
      </c>
      <c r="H404" s="95" t="str">
        <f>IF(ISNUMBER(deployment_raw[[#This Row],[Column8]]), (deployment_raw[[#This Row],[Column8]]  * IF($E$2="Deployment",deployment_raw[[#This Row],[Column5]],1)),"")</f>
        <v/>
      </c>
      <c r="I404" s="96" t="str">
        <f>IF(ISNUMBER(deployment_raw[[#This Row],[Column9]]), (deployment_raw[[#This Row],[Column9]] * IF($E$2="Deployment",deployment_raw[[#This Row],[Column5]],1))/1048576,"")</f>
        <v/>
      </c>
      <c r="J404" s="122" t="str">
        <f>IF(ISNUMBER(deployment_raw[[#This Row],[Column10]]), (MIN(IF(N404&lt;&gt;"",N404,9999999999999)*1.1,deployment_raw[[#This Row],[Column10]] * IF($E$2="Deployment",deployment_raw[[#This Row],[Column5]],1))),"")</f>
        <v/>
      </c>
      <c r="K404" s="123" t="str">
        <f>IF(ISNUMBER(deployment_raw[[#This Row],[Column11]]), (MIN(IF(O404&lt;&gt;"",O404,9999999999999)*1.1,deployment_raw[[#This Row],[Column11]] * IF($E$2="Deployment",deployment_raw[[#This Row],[Column5]],1)/1048576)),"")</f>
        <v/>
      </c>
      <c r="L404" s="124" t="str">
        <f>IF(ISNUMBER(deployment_raw[[#This Row],[Column8]]),IF(OR(deployment_raw[[#This Row],[Column5]] &lt;&gt; 0,$E$2 &lt;&gt; "Deployment"), MAX(J404, P404, R404, ($L$2 * IF($E$2="Deployment",deployment_raw[[#This Row],[Column5]],1)),IF(T404&lt;&gt;"",VALUE(T404) * IF($E$2="Deployment",deployment_raw[[#This Row],[Column5]],1),0)), 0),"")</f>
        <v/>
      </c>
      <c r="M404" s="125" t="str">
        <f>IF(ISNUMBER(deployment_raw[[#This Row],[Column9]]),IF(OR(deployment_raw[[#This Row],[Column5]] &lt;&gt; 0,$E$2&lt;&gt;"Deployment"), MAX(K404, Q404, S404, ($M$2 * IF($E$2="Deployment",deployment_raw[[#This Row],[Column5]],1)),IF(U404&lt;&gt;"",VALUE(U404) * IF($E$2="Deployment",deployment_raw[[#This Row],[Column5]],1),0)), 0),"")</f>
        <v/>
      </c>
      <c r="N404" s="166" t="str">
        <f>IF(ISNUMBER(deployment_raw[[#This Row],[Column14]]), deployment_raw[[#This Row],[Column14]]/IF(OR($E$2="Deployment",deployment_raw[[#This Row],[Column5]]=0),1,deployment_raw[[#This Row],[Column5]]),"")</f>
        <v/>
      </c>
      <c r="O404" s="167" t="str">
        <f>IF(ISNUMBER(deployment_raw[[#This Row],[Column15]]), deployment_raw[[#This Row],[Column15]]/IF(OR($E$2="Deployment",deployment_raw[[#This Row],[Column5]]=0),1,deployment_raw[[#This Row],[Column5]])/1048576,"")</f>
        <v/>
      </c>
      <c r="P404" s="168" t="str">
        <f>IF(ISNUMBER(deployment_raw[[#This Row],[Column12]]), (MIN(IF(N404&lt;&gt;"",N404,9999999999999)*1.1,deployment_raw[[#This Row],[Column12]] * IF($E$2="Deployment",deployment_raw[[#This Row],[Column5]],1))*(1+$P$2)),"")</f>
        <v/>
      </c>
      <c r="Q404" s="167" t="str">
        <f>IF(ISNUMBER(deployment_raw[[#This Row],[Column13]]), (MIN(IF(O404&lt;&gt;"",O404,9999999999999)*1.1,deployment_raw[[#This Row],[Column13]] * IF($E$2="Deployment",deployment_raw[[#This Row],[Column5]],1)*(1+$Q$2)/1048576)),"")</f>
        <v/>
      </c>
      <c r="R404" s="169" t="str">
        <f>IF(ISNUMBER(deployment_raw[[#This Row],[Column8]]), (H404  * IF(N404&lt;&gt;0,$R$2,1)),"")</f>
        <v/>
      </c>
      <c r="S404" s="170" t="str">
        <f>IF(ISNUMBER(deployment_raw[[#This Row],[Column8]]), (I404  * IF(O404&lt;&gt;0,$S$2,1)),"")</f>
        <v/>
      </c>
      <c r="T404" s="202" t="str">
        <f>IF(AND(A404&lt;&gt;"",_xlfn.IFNA(MATCH(A404,'dynamic resource application '!$A$2:$A$100, 0),0)&lt;&gt;0), H404/(IF($E$2="Deployment",E404,1)),"")</f>
        <v/>
      </c>
      <c r="U404" s="211" t="str">
        <f>IF(AND(A404&lt;&gt;"",_xlfn.IFNA(MATCH(A404,'dynamic resource application '!$A$2:$A$100, 0),0)&lt;&gt;0), I404/(IF($E$2="Deployment",E404,1)),"")</f>
        <v/>
      </c>
    </row>
    <row r="405" spans="1:21" ht="15.75" customHeight="1" x14ac:dyDescent="0.25">
      <c r="A405" s="35" t="str">
        <f>IF(ISNONTEXT(deployment_raw[[#This Row],[Column1]]), "", deployment_raw[[#This Row],[Column1]])</f>
        <v/>
      </c>
      <c r="B405" s="36" t="str">
        <f>IF(ISNONTEXT(deployment_raw[[#This Row],[Column2]]), "", deployment_raw[[#This Row],[Column2]])</f>
        <v/>
      </c>
      <c r="C405" s="36" t="str">
        <f>IF(ISNONTEXT(deployment_raw[[#This Row],[Column3]]), "", deployment_raw[[#This Row],[Column3]])</f>
        <v/>
      </c>
      <c r="D405" s="36" t="str">
        <f>IF(ISNONTEXT(deployment_raw[[#This Row],[Column4]]), "", deployment_raw[[#This Row],[Column4]])</f>
        <v/>
      </c>
      <c r="E405" s="37" t="str">
        <f>IF(ISNUMBER(deployment_raw[[#This Row],[Column5]]), deployment_raw[[#This Row],[Column5]],"")</f>
        <v/>
      </c>
      <c r="F405" s="94" t="str">
        <f>IF(ISNUMBER(deployment_raw[[#This Row],[Column6]]), (deployment_raw[[#This Row],[Column6]] * IF($E$2="Deployment",deployment_raw[[#This Row],[Column5]],1)),"")</f>
        <v/>
      </c>
      <c r="G405" s="95" t="str">
        <f>IF(ISNUMBER(deployment_raw[[#This Row],[Column7]]), (deployment_raw[[#This Row],[Column7]] * IF($E$2="Deployment",deployment_raw[[#This Row],[Column5]],1))/1048576,"")</f>
        <v/>
      </c>
      <c r="H405" s="95" t="str">
        <f>IF(ISNUMBER(deployment_raw[[#This Row],[Column8]]), (deployment_raw[[#This Row],[Column8]]  * IF($E$2="Deployment",deployment_raw[[#This Row],[Column5]],1)),"")</f>
        <v/>
      </c>
      <c r="I405" s="96" t="str">
        <f>IF(ISNUMBER(deployment_raw[[#This Row],[Column9]]), (deployment_raw[[#This Row],[Column9]] * IF($E$2="Deployment",deployment_raw[[#This Row],[Column5]],1))/1048576,"")</f>
        <v/>
      </c>
      <c r="J405" s="122" t="str">
        <f>IF(ISNUMBER(deployment_raw[[#This Row],[Column10]]), (MIN(IF(N405&lt;&gt;"",N405,9999999999999)*1.1,deployment_raw[[#This Row],[Column10]] * IF($E$2="Deployment",deployment_raw[[#This Row],[Column5]],1))),"")</f>
        <v/>
      </c>
      <c r="K405" s="123" t="str">
        <f>IF(ISNUMBER(deployment_raw[[#This Row],[Column11]]), (MIN(IF(O405&lt;&gt;"",O405,9999999999999)*1.1,deployment_raw[[#This Row],[Column11]] * IF($E$2="Deployment",deployment_raw[[#This Row],[Column5]],1)/1048576)),"")</f>
        <v/>
      </c>
      <c r="L405" s="124" t="str">
        <f>IF(ISNUMBER(deployment_raw[[#This Row],[Column8]]),IF(OR(deployment_raw[[#This Row],[Column5]] &lt;&gt; 0,$E$2 &lt;&gt; "Deployment"), MAX(J405, P405, R405, ($L$2 * IF($E$2="Deployment",deployment_raw[[#This Row],[Column5]],1)),IF(T405&lt;&gt;"",VALUE(T405) * IF($E$2="Deployment",deployment_raw[[#This Row],[Column5]],1),0)), 0),"")</f>
        <v/>
      </c>
      <c r="M405" s="125" t="str">
        <f>IF(ISNUMBER(deployment_raw[[#This Row],[Column9]]),IF(OR(deployment_raw[[#This Row],[Column5]] &lt;&gt; 0,$E$2&lt;&gt;"Deployment"), MAX(K405, Q405, S405, ($M$2 * IF($E$2="Deployment",deployment_raw[[#This Row],[Column5]],1)),IF(U405&lt;&gt;"",VALUE(U405) * IF($E$2="Deployment",deployment_raw[[#This Row],[Column5]],1),0)), 0),"")</f>
        <v/>
      </c>
      <c r="N405" s="166" t="str">
        <f>IF(ISNUMBER(deployment_raw[[#This Row],[Column14]]), deployment_raw[[#This Row],[Column14]]/IF(OR($E$2="Deployment",deployment_raw[[#This Row],[Column5]]=0),1,deployment_raw[[#This Row],[Column5]]),"")</f>
        <v/>
      </c>
      <c r="O405" s="167" t="str">
        <f>IF(ISNUMBER(deployment_raw[[#This Row],[Column15]]), deployment_raw[[#This Row],[Column15]]/IF(OR($E$2="Deployment",deployment_raw[[#This Row],[Column5]]=0),1,deployment_raw[[#This Row],[Column5]])/1048576,"")</f>
        <v/>
      </c>
      <c r="P405" s="168" t="str">
        <f>IF(ISNUMBER(deployment_raw[[#This Row],[Column12]]), (MIN(IF(N405&lt;&gt;"",N405,9999999999999)*1.1,deployment_raw[[#This Row],[Column12]] * IF($E$2="Deployment",deployment_raw[[#This Row],[Column5]],1))*(1+$P$2)),"")</f>
        <v/>
      </c>
      <c r="Q405" s="167" t="str">
        <f>IF(ISNUMBER(deployment_raw[[#This Row],[Column13]]), (MIN(IF(O405&lt;&gt;"",O405,9999999999999)*1.1,deployment_raw[[#This Row],[Column13]] * IF($E$2="Deployment",deployment_raw[[#This Row],[Column5]],1)*(1+$Q$2)/1048576)),"")</f>
        <v/>
      </c>
      <c r="R405" s="169" t="str">
        <f>IF(ISNUMBER(deployment_raw[[#This Row],[Column8]]), (H405  * IF(N405&lt;&gt;0,$R$2,1)),"")</f>
        <v/>
      </c>
      <c r="S405" s="170" t="str">
        <f>IF(ISNUMBER(deployment_raw[[#This Row],[Column8]]), (I405  * IF(O405&lt;&gt;0,$S$2,1)),"")</f>
        <v/>
      </c>
      <c r="T405" s="202" t="str">
        <f>IF(AND(A405&lt;&gt;"",_xlfn.IFNA(MATCH(A405,'dynamic resource application '!$A$2:$A$100, 0),0)&lt;&gt;0), H405/(IF($E$2="Deployment",E405,1)),"")</f>
        <v/>
      </c>
      <c r="U405" s="211" t="str">
        <f>IF(AND(A405&lt;&gt;"",_xlfn.IFNA(MATCH(A405,'dynamic resource application '!$A$2:$A$100, 0),0)&lt;&gt;0), I405/(IF($E$2="Deployment",E405,1)),"")</f>
        <v/>
      </c>
    </row>
    <row r="406" spans="1:21" ht="15.75" customHeight="1" x14ac:dyDescent="0.25">
      <c r="A406" s="35" t="str">
        <f>IF(ISNONTEXT(deployment_raw[[#This Row],[Column1]]), "", deployment_raw[[#This Row],[Column1]])</f>
        <v/>
      </c>
      <c r="B406" s="36" t="str">
        <f>IF(ISNONTEXT(deployment_raw[[#This Row],[Column2]]), "", deployment_raw[[#This Row],[Column2]])</f>
        <v/>
      </c>
      <c r="C406" s="36" t="str">
        <f>IF(ISNONTEXT(deployment_raw[[#This Row],[Column3]]), "", deployment_raw[[#This Row],[Column3]])</f>
        <v/>
      </c>
      <c r="D406" s="36" t="str">
        <f>IF(ISNONTEXT(deployment_raw[[#This Row],[Column4]]), "", deployment_raw[[#This Row],[Column4]])</f>
        <v/>
      </c>
      <c r="E406" s="37" t="str">
        <f>IF(ISNUMBER(deployment_raw[[#This Row],[Column5]]), deployment_raw[[#This Row],[Column5]],"")</f>
        <v/>
      </c>
      <c r="F406" s="94" t="str">
        <f>IF(ISNUMBER(deployment_raw[[#This Row],[Column6]]), (deployment_raw[[#This Row],[Column6]] * IF($E$2="Deployment",deployment_raw[[#This Row],[Column5]],1)),"")</f>
        <v/>
      </c>
      <c r="G406" s="95" t="str">
        <f>IF(ISNUMBER(deployment_raw[[#This Row],[Column7]]), (deployment_raw[[#This Row],[Column7]] * IF($E$2="Deployment",deployment_raw[[#This Row],[Column5]],1))/1048576,"")</f>
        <v/>
      </c>
      <c r="H406" s="95" t="str">
        <f>IF(ISNUMBER(deployment_raw[[#This Row],[Column8]]), (deployment_raw[[#This Row],[Column8]]  * IF($E$2="Deployment",deployment_raw[[#This Row],[Column5]],1)),"")</f>
        <v/>
      </c>
      <c r="I406" s="96" t="str">
        <f>IF(ISNUMBER(deployment_raw[[#This Row],[Column9]]), (deployment_raw[[#This Row],[Column9]] * IF($E$2="Deployment",deployment_raw[[#This Row],[Column5]],1))/1048576,"")</f>
        <v/>
      </c>
      <c r="J406" s="122" t="str">
        <f>IF(ISNUMBER(deployment_raw[[#This Row],[Column10]]), (MIN(IF(N406&lt;&gt;"",N406,9999999999999)*1.1,deployment_raw[[#This Row],[Column10]] * IF($E$2="Deployment",deployment_raw[[#This Row],[Column5]],1))),"")</f>
        <v/>
      </c>
      <c r="K406" s="123" t="str">
        <f>IF(ISNUMBER(deployment_raw[[#This Row],[Column11]]), (MIN(IF(O406&lt;&gt;"",O406,9999999999999)*1.1,deployment_raw[[#This Row],[Column11]] * IF($E$2="Deployment",deployment_raw[[#This Row],[Column5]],1)/1048576)),"")</f>
        <v/>
      </c>
      <c r="L406" s="124" t="str">
        <f>IF(ISNUMBER(deployment_raw[[#This Row],[Column8]]),IF(OR(deployment_raw[[#This Row],[Column5]] &lt;&gt; 0,$E$2 &lt;&gt; "Deployment"), MAX(J406, P406, R406, ($L$2 * IF($E$2="Deployment",deployment_raw[[#This Row],[Column5]],1)),IF(T406&lt;&gt;"",VALUE(T406) * IF($E$2="Deployment",deployment_raw[[#This Row],[Column5]],1),0)), 0),"")</f>
        <v/>
      </c>
      <c r="M406" s="125" t="str">
        <f>IF(ISNUMBER(deployment_raw[[#This Row],[Column9]]),IF(OR(deployment_raw[[#This Row],[Column5]] &lt;&gt; 0,$E$2&lt;&gt;"Deployment"), MAX(K406, Q406, S406, ($M$2 * IF($E$2="Deployment",deployment_raw[[#This Row],[Column5]],1)),IF(U406&lt;&gt;"",VALUE(U406) * IF($E$2="Deployment",deployment_raw[[#This Row],[Column5]],1),0)), 0),"")</f>
        <v/>
      </c>
      <c r="N406" s="166" t="str">
        <f>IF(ISNUMBER(deployment_raw[[#This Row],[Column14]]), deployment_raw[[#This Row],[Column14]]/IF(OR($E$2="Deployment",deployment_raw[[#This Row],[Column5]]=0),1,deployment_raw[[#This Row],[Column5]]),"")</f>
        <v/>
      </c>
      <c r="O406" s="167" t="str">
        <f>IF(ISNUMBER(deployment_raw[[#This Row],[Column15]]), deployment_raw[[#This Row],[Column15]]/IF(OR($E$2="Deployment",deployment_raw[[#This Row],[Column5]]=0),1,deployment_raw[[#This Row],[Column5]])/1048576,"")</f>
        <v/>
      </c>
      <c r="P406" s="168" t="str">
        <f>IF(ISNUMBER(deployment_raw[[#This Row],[Column12]]), (MIN(IF(N406&lt;&gt;"",N406,9999999999999)*1.1,deployment_raw[[#This Row],[Column12]] * IF($E$2="Deployment",deployment_raw[[#This Row],[Column5]],1))*(1+$P$2)),"")</f>
        <v/>
      </c>
      <c r="Q406" s="167" t="str">
        <f>IF(ISNUMBER(deployment_raw[[#This Row],[Column13]]), (MIN(IF(O406&lt;&gt;"",O406,9999999999999)*1.1,deployment_raw[[#This Row],[Column13]] * IF($E$2="Deployment",deployment_raw[[#This Row],[Column5]],1)*(1+$Q$2)/1048576)),"")</f>
        <v/>
      </c>
      <c r="R406" s="169" t="str">
        <f>IF(ISNUMBER(deployment_raw[[#This Row],[Column8]]), (H406  * IF(N406&lt;&gt;0,$R$2,1)),"")</f>
        <v/>
      </c>
      <c r="S406" s="170" t="str">
        <f>IF(ISNUMBER(deployment_raw[[#This Row],[Column8]]), (I406  * IF(O406&lt;&gt;0,$S$2,1)),"")</f>
        <v/>
      </c>
      <c r="T406" s="202" t="str">
        <f>IF(AND(A406&lt;&gt;"",_xlfn.IFNA(MATCH(A406,'dynamic resource application '!$A$2:$A$100, 0),0)&lt;&gt;0), H406/(IF($E$2="Deployment",E406,1)),"")</f>
        <v/>
      </c>
      <c r="U406" s="211" t="str">
        <f>IF(AND(A406&lt;&gt;"",_xlfn.IFNA(MATCH(A406,'dynamic resource application '!$A$2:$A$100, 0),0)&lt;&gt;0), I406/(IF($E$2="Deployment",E406,1)),"")</f>
        <v/>
      </c>
    </row>
    <row r="407" spans="1:21" ht="15.75" customHeight="1" x14ac:dyDescent="0.25">
      <c r="A407" s="35" t="str">
        <f>IF(ISNONTEXT(deployment_raw[[#This Row],[Column1]]), "", deployment_raw[[#This Row],[Column1]])</f>
        <v/>
      </c>
      <c r="B407" s="36" t="str">
        <f>IF(ISNONTEXT(deployment_raw[[#This Row],[Column2]]), "", deployment_raw[[#This Row],[Column2]])</f>
        <v/>
      </c>
      <c r="C407" s="36" t="str">
        <f>IF(ISNONTEXT(deployment_raw[[#This Row],[Column3]]), "", deployment_raw[[#This Row],[Column3]])</f>
        <v/>
      </c>
      <c r="D407" s="36" t="str">
        <f>IF(ISNONTEXT(deployment_raw[[#This Row],[Column4]]), "", deployment_raw[[#This Row],[Column4]])</f>
        <v/>
      </c>
      <c r="E407" s="37" t="str">
        <f>IF(ISNUMBER(deployment_raw[[#This Row],[Column5]]), deployment_raw[[#This Row],[Column5]],"")</f>
        <v/>
      </c>
      <c r="F407" s="94" t="str">
        <f>IF(ISNUMBER(deployment_raw[[#This Row],[Column6]]), (deployment_raw[[#This Row],[Column6]] * IF($E$2="Deployment",deployment_raw[[#This Row],[Column5]],1)),"")</f>
        <v/>
      </c>
      <c r="G407" s="95" t="str">
        <f>IF(ISNUMBER(deployment_raw[[#This Row],[Column7]]), (deployment_raw[[#This Row],[Column7]] * IF($E$2="Deployment",deployment_raw[[#This Row],[Column5]],1))/1048576,"")</f>
        <v/>
      </c>
      <c r="H407" s="95" t="str">
        <f>IF(ISNUMBER(deployment_raw[[#This Row],[Column8]]), (deployment_raw[[#This Row],[Column8]]  * IF($E$2="Deployment",deployment_raw[[#This Row],[Column5]],1)),"")</f>
        <v/>
      </c>
      <c r="I407" s="96" t="str">
        <f>IF(ISNUMBER(deployment_raw[[#This Row],[Column9]]), (deployment_raw[[#This Row],[Column9]] * IF($E$2="Deployment",deployment_raw[[#This Row],[Column5]],1))/1048576,"")</f>
        <v/>
      </c>
      <c r="J407" s="122" t="str">
        <f>IF(ISNUMBER(deployment_raw[[#This Row],[Column10]]), (MIN(IF(N407&lt;&gt;"",N407,9999999999999)*1.1,deployment_raw[[#This Row],[Column10]] * IF($E$2="Deployment",deployment_raw[[#This Row],[Column5]],1))),"")</f>
        <v/>
      </c>
      <c r="K407" s="123" t="str">
        <f>IF(ISNUMBER(deployment_raw[[#This Row],[Column11]]), (MIN(IF(O407&lt;&gt;"",O407,9999999999999)*1.1,deployment_raw[[#This Row],[Column11]] * IF($E$2="Deployment",deployment_raw[[#This Row],[Column5]],1)/1048576)),"")</f>
        <v/>
      </c>
      <c r="L407" s="124" t="str">
        <f>IF(ISNUMBER(deployment_raw[[#This Row],[Column8]]),IF(OR(deployment_raw[[#This Row],[Column5]] &lt;&gt; 0,$E$2 &lt;&gt; "Deployment"), MAX(J407, P407, R407, ($L$2 * IF($E$2="Deployment",deployment_raw[[#This Row],[Column5]],1)),IF(T407&lt;&gt;"",VALUE(T407) * IF($E$2="Deployment",deployment_raw[[#This Row],[Column5]],1),0)), 0),"")</f>
        <v/>
      </c>
      <c r="M407" s="125" t="str">
        <f>IF(ISNUMBER(deployment_raw[[#This Row],[Column9]]),IF(OR(deployment_raw[[#This Row],[Column5]] &lt;&gt; 0,$E$2&lt;&gt;"Deployment"), MAX(K407, Q407, S407, ($M$2 * IF($E$2="Deployment",deployment_raw[[#This Row],[Column5]],1)),IF(U407&lt;&gt;"",VALUE(U407) * IF($E$2="Deployment",deployment_raw[[#This Row],[Column5]],1),0)), 0),"")</f>
        <v/>
      </c>
      <c r="N407" s="166" t="str">
        <f>IF(ISNUMBER(deployment_raw[[#This Row],[Column14]]), deployment_raw[[#This Row],[Column14]]/IF(OR($E$2="Deployment",deployment_raw[[#This Row],[Column5]]=0),1,deployment_raw[[#This Row],[Column5]]),"")</f>
        <v/>
      </c>
      <c r="O407" s="167" t="str">
        <f>IF(ISNUMBER(deployment_raw[[#This Row],[Column15]]), deployment_raw[[#This Row],[Column15]]/IF(OR($E$2="Deployment",deployment_raw[[#This Row],[Column5]]=0),1,deployment_raw[[#This Row],[Column5]])/1048576,"")</f>
        <v/>
      </c>
      <c r="P407" s="168" t="str">
        <f>IF(ISNUMBER(deployment_raw[[#This Row],[Column12]]), (MIN(IF(N407&lt;&gt;"",N407,9999999999999)*1.1,deployment_raw[[#This Row],[Column12]] * IF($E$2="Deployment",deployment_raw[[#This Row],[Column5]],1))*(1+$P$2)),"")</f>
        <v/>
      </c>
      <c r="Q407" s="167" t="str">
        <f>IF(ISNUMBER(deployment_raw[[#This Row],[Column13]]), (MIN(IF(O407&lt;&gt;"",O407,9999999999999)*1.1,deployment_raw[[#This Row],[Column13]] * IF($E$2="Deployment",deployment_raw[[#This Row],[Column5]],1)*(1+$Q$2)/1048576)),"")</f>
        <v/>
      </c>
      <c r="R407" s="169" t="str">
        <f>IF(ISNUMBER(deployment_raw[[#This Row],[Column8]]), (H407  * IF(N407&lt;&gt;0,$R$2,1)),"")</f>
        <v/>
      </c>
      <c r="S407" s="170" t="str">
        <f>IF(ISNUMBER(deployment_raw[[#This Row],[Column8]]), (I407  * IF(O407&lt;&gt;0,$S$2,1)),"")</f>
        <v/>
      </c>
      <c r="T407" s="202" t="str">
        <f>IF(AND(A407&lt;&gt;"",_xlfn.IFNA(MATCH(A407,'dynamic resource application '!$A$2:$A$100, 0),0)&lt;&gt;0), H407/(IF($E$2="Deployment",E407,1)),"")</f>
        <v/>
      </c>
      <c r="U407" s="211" t="str">
        <f>IF(AND(A407&lt;&gt;"",_xlfn.IFNA(MATCH(A407,'dynamic resource application '!$A$2:$A$100, 0),0)&lt;&gt;0), I407/(IF($E$2="Deployment",E407,1)),"")</f>
        <v/>
      </c>
    </row>
    <row r="408" spans="1:21" ht="15.75" customHeight="1" x14ac:dyDescent="0.25">
      <c r="A408" s="35" t="str">
        <f>IF(ISNONTEXT(deployment_raw[[#This Row],[Column1]]), "", deployment_raw[[#This Row],[Column1]])</f>
        <v/>
      </c>
      <c r="B408" s="36" t="str">
        <f>IF(ISNONTEXT(deployment_raw[[#This Row],[Column2]]), "", deployment_raw[[#This Row],[Column2]])</f>
        <v/>
      </c>
      <c r="C408" s="36" t="str">
        <f>IF(ISNONTEXT(deployment_raw[[#This Row],[Column3]]), "", deployment_raw[[#This Row],[Column3]])</f>
        <v/>
      </c>
      <c r="D408" s="36" t="str">
        <f>IF(ISNONTEXT(deployment_raw[[#This Row],[Column4]]), "", deployment_raw[[#This Row],[Column4]])</f>
        <v/>
      </c>
      <c r="E408" s="37" t="str">
        <f>IF(ISNUMBER(deployment_raw[[#This Row],[Column5]]), deployment_raw[[#This Row],[Column5]],"")</f>
        <v/>
      </c>
      <c r="F408" s="94" t="str">
        <f>IF(ISNUMBER(deployment_raw[[#This Row],[Column6]]), (deployment_raw[[#This Row],[Column6]] * IF($E$2="Deployment",deployment_raw[[#This Row],[Column5]],1)),"")</f>
        <v/>
      </c>
      <c r="G408" s="95" t="str">
        <f>IF(ISNUMBER(deployment_raw[[#This Row],[Column7]]), (deployment_raw[[#This Row],[Column7]] * IF($E$2="Deployment",deployment_raw[[#This Row],[Column5]],1))/1048576,"")</f>
        <v/>
      </c>
      <c r="H408" s="95" t="str">
        <f>IF(ISNUMBER(deployment_raw[[#This Row],[Column8]]), (deployment_raw[[#This Row],[Column8]]  * IF($E$2="Deployment",deployment_raw[[#This Row],[Column5]],1)),"")</f>
        <v/>
      </c>
      <c r="I408" s="96" t="str">
        <f>IF(ISNUMBER(deployment_raw[[#This Row],[Column9]]), (deployment_raw[[#This Row],[Column9]] * IF($E$2="Deployment",deployment_raw[[#This Row],[Column5]],1))/1048576,"")</f>
        <v/>
      </c>
      <c r="J408" s="122" t="str">
        <f>IF(ISNUMBER(deployment_raw[[#This Row],[Column10]]), (MIN(IF(N408&lt;&gt;"",N408,9999999999999)*1.1,deployment_raw[[#This Row],[Column10]] * IF($E$2="Deployment",deployment_raw[[#This Row],[Column5]],1))),"")</f>
        <v/>
      </c>
      <c r="K408" s="123" t="str">
        <f>IF(ISNUMBER(deployment_raw[[#This Row],[Column11]]), (MIN(IF(O408&lt;&gt;"",O408,9999999999999)*1.1,deployment_raw[[#This Row],[Column11]] * IF($E$2="Deployment",deployment_raw[[#This Row],[Column5]],1)/1048576)),"")</f>
        <v/>
      </c>
      <c r="L408" s="124" t="str">
        <f>IF(ISNUMBER(deployment_raw[[#This Row],[Column8]]),IF(OR(deployment_raw[[#This Row],[Column5]] &lt;&gt; 0,$E$2 &lt;&gt; "Deployment"), MAX(J408, P408, R408, ($L$2 * IF($E$2="Deployment",deployment_raw[[#This Row],[Column5]],1)),IF(T408&lt;&gt;"",VALUE(T408) * IF($E$2="Deployment",deployment_raw[[#This Row],[Column5]],1),0)), 0),"")</f>
        <v/>
      </c>
      <c r="M408" s="125" t="str">
        <f>IF(ISNUMBER(deployment_raw[[#This Row],[Column9]]),IF(OR(deployment_raw[[#This Row],[Column5]] &lt;&gt; 0,$E$2&lt;&gt;"Deployment"), MAX(K408, Q408, S408, ($M$2 * IF($E$2="Deployment",deployment_raw[[#This Row],[Column5]],1)),IF(U408&lt;&gt;"",VALUE(U408) * IF($E$2="Deployment",deployment_raw[[#This Row],[Column5]],1),0)), 0),"")</f>
        <v/>
      </c>
      <c r="N408" s="166" t="str">
        <f>IF(ISNUMBER(deployment_raw[[#This Row],[Column14]]), deployment_raw[[#This Row],[Column14]]/IF(OR($E$2="Deployment",deployment_raw[[#This Row],[Column5]]=0),1,deployment_raw[[#This Row],[Column5]]),"")</f>
        <v/>
      </c>
      <c r="O408" s="167" t="str">
        <f>IF(ISNUMBER(deployment_raw[[#This Row],[Column15]]), deployment_raw[[#This Row],[Column15]]/IF(OR($E$2="Deployment",deployment_raw[[#This Row],[Column5]]=0),1,deployment_raw[[#This Row],[Column5]])/1048576,"")</f>
        <v/>
      </c>
      <c r="P408" s="168" t="str">
        <f>IF(ISNUMBER(deployment_raw[[#This Row],[Column12]]), (MIN(IF(N408&lt;&gt;"",N408,9999999999999)*1.1,deployment_raw[[#This Row],[Column12]] * IF($E$2="Deployment",deployment_raw[[#This Row],[Column5]],1))*(1+$P$2)),"")</f>
        <v/>
      </c>
      <c r="Q408" s="167" t="str">
        <f>IF(ISNUMBER(deployment_raw[[#This Row],[Column13]]), (MIN(IF(O408&lt;&gt;"",O408,9999999999999)*1.1,deployment_raw[[#This Row],[Column13]] * IF($E$2="Deployment",deployment_raw[[#This Row],[Column5]],1)*(1+$Q$2)/1048576)),"")</f>
        <v/>
      </c>
      <c r="R408" s="169" t="str">
        <f>IF(ISNUMBER(deployment_raw[[#This Row],[Column8]]), (H408  * IF(N408&lt;&gt;0,$R$2,1)),"")</f>
        <v/>
      </c>
      <c r="S408" s="170" t="str">
        <f>IF(ISNUMBER(deployment_raw[[#This Row],[Column8]]), (I408  * IF(O408&lt;&gt;0,$S$2,1)),"")</f>
        <v/>
      </c>
      <c r="T408" s="202" t="str">
        <f>IF(AND(A408&lt;&gt;"",_xlfn.IFNA(MATCH(A408,'dynamic resource application '!$A$2:$A$100, 0),0)&lt;&gt;0), H408/(IF($E$2="Deployment",E408,1)),"")</f>
        <v/>
      </c>
      <c r="U408" s="211" t="str">
        <f>IF(AND(A408&lt;&gt;"",_xlfn.IFNA(MATCH(A408,'dynamic resource application '!$A$2:$A$100, 0),0)&lt;&gt;0), I408/(IF($E$2="Deployment",E408,1)),"")</f>
        <v/>
      </c>
    </row>
    <row r="409" spans="1:21" ht="15.75" customHeight="1" x14ac:dyDescent="0.25">
      <c r="A409" s="35" t="str">
        <f>IF(ISNONTEXT(deployment_raw[[#This Row],[Column1]]), "", deployment_raw[[#This Row],[Column1]])</f>
        <v/>
      </c>
      <c r="B409" s="36" t="str">
        <f>IF(ISNONTEXT(deployment_raw[[#This Row],[Column2]]), "", deployment_raw[[#This Row],[Column2]])</f>
        <v/>
      </c>
      <c r="C409" s="36" t="str">
        <f>IF(ISNONTEXT(deployment_raw[[#This Row],[Column3]]), "", deployment_raw[[#This Row],[Column3]])</f>
        <v/>
      </c>
      <c r="D409" s="36" t="str">
        <f>IF(ISNONTEXT(deployment_raw[[#This Row],[Column4]]), "", deployment_raw[[#This Row],[Column4]])</f>
        <v/>
      </c>
      <c r="E409" s="37" t="str">
        <f>IF(ISNUMBER(deployment_raw[[#This Row],[Column5]]), deployment_raw[[#This Row],[Column5]],"")</f>
        <v/>
      </c>
      <c r="F409" s="94" t="str">
        <f>IF(ISNUMBER(deployment_raw[[#This Row],[Column6]]), (deployment_raw[[#This Row],[Column6]] * IF($E$2="Deployment",deployment_raw[[#This Row],[Column5]],1)),"")</f>
        <v/>
      </c>
      <c r="G409" s="95" t="str">
        <f>IF(ISNUMBER(deployment_raw[[#This Row],[Column7]]), (deployment_raw[[#This Row],[Column7]] * IF($E$2="Deployment",deployment_raw[[#This Row],[Column5]],1))/1048576,"")</f>
        <v/>
      </c>
      <c r="H409" s="95" t="str">
        <f>IF(ISNUMBER(deployment_raw[[#This Row],[Column8]]), (deployment_raw[[#This Row],[Column8]]  * IF($E$2="Deployment",deployment_raw[[#This Row],[Column5]],1)),"")</f>
        <v/>
      </c>
      <c r="I409" s="96" t="str">
        <f>IF(ISNUMBER(deployment_raw[[#This Row],[Column9]]), (deployment_raw[[#This Row],[Column9]] * IF($E$2="Deployment",deployment_raw[[#This Row],[Column5]],1))/1048576,"")</f>
        <v/>
      </c>
      <c r="J409" s="122" t="str">
        <f>IF(ISNUMBER(deployment_raw[[#This Row],[Column10]]), (MIN(IF(N409&lt;&gt;"",N409,9999999999999)*1.1,deployment_raw[[#This Row],[Column10]] * IF($E$2="Deployment",deployment_raw[[#This Row],[Column5]],1))),"")</f>
        <v/>
      </c>
      <c r="K409" s="123" t="str">
        <f>IF(ISNUMBER(deployment_raw[[#This Row],[Column11]]), (MIN(IF(O409&lt;&gt;"",O409,9999999999999)*1.1,deployment_raw[[#This Row],[Column11]] * IF($E$2="Deployment",deployment_raw[[#This Row],[Column5]],1)/1048576)),"")</f>
        <v/>
      </c>
      <c r="L409" s="124" t="str">
        <f>IF(ISNUMBER(deployment_raw[[#This Row],[Column8]]),IF(OR(deployment_raw[[#This Row],[Column5]] &lt;&gt; 0,$E$2 &lt;&gt; "Deployment"), MAX(J409, P409, R409, ($L$2 * IF($E$2="Deployment",deployment_raw[[#This Row],[Column5]],1)),IF(T409&lt;&gt;"",VALUE(T409) * IF($E$2="Deployment",deployment_raw[[#This Row],[Column5]],1),0)), 0),"")</f>
        <v/>
      </c>
      <c r="M409" s="125" t="str">
        <f>IF(ISNUMBER(deployment_raw[[#This Row],[Column9]]),IF(OR(deployment_raw[[#This Row],[Column5]] &lt;&gt; 0,$E$2&lt;&gt;"Deployment"), MAX(K409, Q409, S409, ($M$2 * IF($E$2="Deployment",deployment_raw[[#This Row],[Column5]],1)),IF(U409&lt;&gt;"",VALUE(U409) * IF($E$2="Deployment",deployment_raw[[#This Row],[Column5]],1),0)), 0),"")</f>
        <v/>
      </c>
      <c r="N409" s="166" t="str">
        <f>IF(ISNUMBER(deployment_raw[[#This Row],[Column14]]), deployment_raw[[#This Row],[Column14]]/IF(OR($E$2="Deployment",deployment_raw[[#This Row],[Column5]]=0),1,deployment_raw[[#This Row],[Column5]]),"")</f>
        <v/>
      </c>
      <c r="O409" s="167" t="str">
        <f>IF(ISNUMBER(deployment_raw[[#This Row],[Column15]]), deployment_raw[[#This Row],[Column15]]/IF(OR($E$2="Deployment",deployment_raw[[#This Row],[Column5]]=0),1,deployment_raw[[#This Row],[Column5]])/1048576,"")</f>
        <v/>
      </c>
      <c r="P409" s="168" t="str">
        <f>IF(ISNUMBER(deployment_raw[[#This Row],[Column12]]), (MIN(IF(N409&lt;&gt;"",N409,9999999999999)*1.1,deployment_raw[[#This Row],[Column12]] * IF($E$2="Deployment",deployment_raw[[#This Row],[Column5]],1))*(1+$P$2)),"")</f>
        <v/>
      </c>
      <c r="Q409" s="167" t="str">
        <f>IF(ISNUMBER(deployment_raw[[#This Row],[Column13]]), (MIN(IF(O409&lt;&gt;"",O409,9999999999999)*1.1,deployment_raw[[#This Row],[Column13]] * IF($E$2="Deployment",deployment_raw[[#This Row],[Column5]],1)*(1+$Q$2)/1048576)),"")</f>
        <v/>
      </c>
      <c r="R409" s="169" t="str">
        <f>IF(ISNUMBER(deployment_raw[[#This Row],[Column8]]), (H409  * IF(N409&lt;&gt;0,$R$2,1)),"")</f>
        <v/>
      </c>
      <c r="S409" s="170" t="str">
        <f>IF(ISNUMBER(deployment_raw[[#This Row],[Column8]]), (I409  * IF(O409&lt;&gt;0,$S$2,1)),"")</f>
        <v/>
      </c>
      <c r="T409" s="202" t="str">
        <f>IF(AND(A409&lt;&gt;"",_xlfn.IFNA(MATCH(A409,'dynamic resource application '!$A$2:$A$100, 0),0)&lt;&gt;0), H409/(IF($E$2="Deployment",E409,1)),"")</f>
        <v/>
      </c>
      <c r="U409" s="211" t="str">
        <f>IF(AND(A409&lt;&gt;"",_xlfn.IFNA(MATCH(A409,'dynamic resource application '!$A$2:$A$100, 0),0)&lt;&gt;0), I409/(IF($E$2="Deployment",E409,1)),"")</f>
        <v/>
      </c>
    </row>
    <row r="410" spans="1:21" ht="15.75" customHeight="1" x14ac:dyDescent="0.25">
      <c r="A410" s="35" t="str">
        <f>IF(ISNONTEXT(deployment_raw[[#This Row],[Column1]]), "", deployment_raw[[#This Row],[Column1]])</f>
        <v/>
      </c>
      <c r="B410" s="36" t="str">
        <f>IF(ISNONTEXT(deployment_raw[[#This Row],[Column2]]), "", deployment_raw[[#This Row],[Column2]])</f>
        <v/>
      </c>
      <c r="C410" s="36" t="str">
        <f>IF(ISNONTEXT(deployment_raw[[#This Row],[Column3]]), "", deployment_raw[[#This Row],[Column3]])</f>
        <v/>
      </c>
      <c r="D410" s="36" t="str">
        <f>IF(ISNONTEXT(deployment_raw[[#This Row],[Column4]]), "", deployment_raw[[#This Row],[Column4]])</f>
        <v/>
      </c>
      <c r="E410" s="37" t="str">
        <f>IF(ISNUMBER(deployment_raw[[#This Row],[Column5]]), deployment_raw[[#This Row],[Column5]],"")</f>
        <v/>
      </c>
      <c r="F410" s="94" t="str">
        <f>IF(ISNUMBER(deployment_raw[[#This Row],[Column6]]), (deployment_raw[[#This Row],[Column6]] * IF($E$2="Deployment",deployment_raw[[#This Row],[Column5]],1)),"")</f>
        <v/>
      </c>
      <c r="G410" s="95" t="str">
        <f>IF(ISNUMBER(deployment_raw[[#This Row],[Column7]]), (deployment_raw[[#This Row],[Column7]] * IF($E$2="Deployment",deployment_raw[[#This Row],[Column5]],1))/1048576,"")</f>
        <v/>
      </c>
      <c r="H410" s="95" t="str">
        <f>IF(ISNUMBER(deployment_raw[[#This Row],[Column8]]), (deployment_raw[[#This Row],[Column8]]  * IF($E$2="Deployment",deployment_raw[[#This Row],[Column5]],1)),"")</f>
        <v/>
      </c>
      <c r="I410" s="96" t="str">
        <f>IF(ISNUMBER(deployment_raw[[#This Row],[Column9]]), (deployment_raw[[#This Row],[Column9]] * IF($E$2="Deployment",deployment_raw[[#This Row],[Column5]],1))/1048576,"")</f>
        <v/>
      </c>
      <c r="J410" s="122" t="str">
        <f>IF(ISNUMBER(deployment_raw[[#This Row],[Column10]]), (MIN(IF(N410&lt;&gt;"",N410,9999999999999)*1.1,deployment_raw[[#This Row],[Column10]] * IF($E$2="Deployment",deployment_raw[[#This Row],[Column5]],1))),"")</f>
        <v/>
      </c>
      <c r="K410" s="123" t="str">
        <f>IF(ISNUMBER(deployment_raw[[#This Row],[Column11]]), (MIN(IF(O410&lt;&gt;"",O410,9999999999999)*1.1,deployment_raw[[#This Row],[Column11]] * IF($E$2="Deployment",deployment_raw[[#This Row],[Column5]],1)/1048576)),"")</f>
        <v/>
      </c>
      <c r="L410" s="124" t="str">
        <f>IF(ISNUMBER(deployment_raw[[#This Row],[Column8]]),IF(OR(deployment_raw[[#This Row],[Column5]] &lt;&gt; 0,$E$2 &lt;&gt; "Deployment"), MAX(J410, P410, R410, ($L$2 * IF($E$2="Deployment",deployment_raw[[#This Row],[Column5]],1)),IF(T410&lt;&gt;"",VALUE(T410) * IF($E$2="Deployment",deployment_raw[[#This Row],[Column5]],1),0)), 0),"")</f>
        <v/>
      </c>
      <c r="M410" s="125" t="str">
        <f>IF(ISNUMBER(deployment_raw[[#This Row],[Column9]]),IF(OR(deployment_raw[[#This Row],[Column5]] &lt;&gt; 0,$E$2&lt;&gt;"Deployment"), MAX(K410, Q410, S410, ($M$2 * IF($E$2="Deployment",deployment_raw[[#This Row],[Column5]],1)),IF(U410&lt;&gt;"",VALUE(U410) * IF($E$2="Deployment",deployment_raw[[#This Row],[Column5]],1),0)), 0),"")</f>
        <v/>
      </c>
      <c r="N410" s="166" t="str">
        <f>IF(ISNUMBER(deployment_raw[[#This Row],[Column14]]), deployment_raw[[#This Row],[Column14]]/IF(OR($E$2="Deployment",deployment_raw[[#This Row],[Column5]]=0),1,deployment_raw[[#This Row],[Column5]]),"")</f>
        <v/>
      </c>
      <c r="O410" s="167" t="str">
        <f>IF(ISNUMBER(deployment_raw[[#This Row],[Column15]]), deployment_raw[[#This Row],[Column15]]/IF(OR($E$2="Deployment",deployment_raw[[#This Row],[Column5]]=0),1,deployment_raw[[#This Row],[Column5]])/1048576,"")</f>
        <v/>
      </c>
      <c r="P410" s="168" t="str">
        <f>IF(ISNUMBER(deployment_raw[[#This Row],[Column12]]), (MIN(IF(N410&lt;&gt;"",N410,9999999999999)*1.1,deployment_raw[[#This Row],[Column12]] * IF($E$2="Deployment",deployment_raw[[#This Row],[Column5]],1))*(1+$P$2)),"")</f>
        <v/>
      </c>
      <c r="Q410" s="167" t="str">
        <f>IF(ISNUMBER(deployment_raw[[#This Row],[Column13]]), (MIN(IF(O410&lt;&gt;"",O410,9999999999999)*1.1,deployment_raw[[#This Row],[Column13]] * IF($E$2="Deployment",deployment_raw[[#This Row],[Column5]],1)*(1+$Q$2)/1048576)),"")</f>
        <v/>
      </c>
      <c r="R410" s="169" t="str">
        <f>IF(ISNUMBER(deployment_raw[[#This Row],[Column8]]), (H410  * IF(N410&lt;&gt;0,$R$2,1)),"")</f>
        <v/>
      </c>
      <c r="S410" s="170" t="str">
        <f>IF(ISNUMBER(deployment_raw[[#This Row],[Column8]]), (I410  * IF(O410&lt;&gt;0,$S$2,1)),"")</f>
        <v/>
      </c>
      <c r="T410" s="202" t="str">
        <f>IF(AND(A410&lt;&gt;"",_xlfn.IFNA(MATCH(A410,'dynamic resource application '!$A$2:$A$100, 0),0)&lt;&gt;0), H410/(IF($E$2="Deployment",E410,1)),"")</f>
        <v/>
      </c>
      <c r="U410" s="211" t="str">
        <f>IF(AND(A410&lt;&gt;"",_xlfn.IFNA(MATCH(A410,'dynamic resource application '!$A$2:$A$100, 0),0)&lt;&gt;0), I410/(IF($E$2="Deployment",E410,1)),"")</f>
        <v/>
      </c>
    </row>
    <row r="411" spans="1:21" ht="15.75" customHeight="1" x14ac:dyDescent="0.25">
      <c r="A411" s="35" t="str">
        <f>IF(ISNONTEXT(deployment_raw[[#This Row],[Column1]]), "", deployment_raw[[#This Row],[Column1]])</f>
        <v/>
      </c>
      <c r="B411" s="36" t="str">
        <f>IF(ISNONTEXT(deployment_raw[[#This Row],[Column2]]), "", deployment_raw[[#This Row],[Column2]])</f>
        <v/>
      </c>
      <c r="C411" s="36" t="str">
        <f>IF(ISNONTEXT(deployment_raw[[#This Row],[Column3]]), "", deployment_raw[[#This Row],[Column3]])</f>
        <v/>
      </c>
      <c r="D411" s="36" t="str">
        <f>IF(ISNONTEXT(deployment_raw[[#This Row],[Column4]]), "", deployment_raw[[#This Row],[Column4]])</f>
        <v/>
      </c>
      <c r="E411" s="37" t="str">
        <f>IF(ISNUMBER(deployment_raw[[#This Row],[Column5]]), deployment_raw[[#This Row],[Column5]],"")</f>
        <v/>
      </c>
      <c r="F411" s="94" t="str">
        <f>IF(ISNUMBER(deployment_raw[[#This Row],[Column6]]), (deployment_raw[[#This Row],[Column6]] * IF($E$2="Deployment",deployment_raw[[#This Row],[Column5]],1)),"")</f>
        <v/>
      </c>
      <c r="G411" s="95" t="str">
        <f>IF(ISNUMBER(deployment_raw[[#This Row],[Column7]]), (deployment_raw[[#This Row],[Column7]] * IF($E$2="Deployment",deployment_raw[[#This Row],[Column5]],1))/1048576,"")</f>
        <v/>
      </c>
      <c r="H411" s="95" t="str">
        <f>IF(ISNUMBER(deployment_raw[[#This Row],[Column8]]), (deployment_raw[[#This Row],[Column8]]  * IF($E$2="Deployment",deployment_raw[[#This Row],[Column5]],1)),"")</f>
        <v/>
      </c>
      <c r="I411" s="96" t="str">
        <f>IF(ISNUMBER(deployment_raw[[#This Row],[Column9]]), (deployment_raw[[#This Row],[Column9]] * IF($E$2="Deployment",deployment_raw[[#This Row],[Column5]],1))/1048576,"")</f>
        <v/>
      </c>
      <c r="J411" s="122" t="str">
        <f>IF(ISNUMBER(deployment_raw[[#This Row],[Column10]]), (MIN(IF(N411&lt;&gt;"",N411,9999999999999)*1.1,deployment_raw[[#This Row],[Column10]] * IF($E$2="Deployment",deployment_raw[[#This Row],[Column5]],1))),"")</f>
        <v/>
      </c>
      <c r="K411" s="123" t="str">
        <f>IF(ISNUMBER(deployment_raw[[#This Row],[Column11]]), (MIN(IF(O411&lt;&gt;"",O411,9999999999999)*1.1,deployment_raw[[#This Row],[Column11]] * IF($E$2="Deployment",deployment_raw[[#This Row],[Column5]],1)/1048576)),"")</f>
        <v/>
      </c>
      <c r="L411" s="124" t="str">
        <f>IF(ISNUMBER(deployment_raw[[#This Row],[Column8]]),IF(OR(deployment_raw[[#This Row],[Column5]] &lt;&gt; 0,$E$2 &lt;&gt; "Deployment"), MAX(J411, P411, R411, ($L$2 * IF($E$2="Deployment",deployment_raw[[#This Row],[Column5]],1)),IF(T411&lt;&gt;"",VALUE(T411) * IF($E$2="Deployment",deployment_raw[[#This Row],[Column5]],1),0)), 0),"")</f>
        <v/>
      </c>
      <c r="M411" s="125" t="str">
        <f>IF(ISNUMBER(deployment_raw[[#This Row],[Column9]]),IF(OR(deployment_raw[[#This Row],[Column5]] &lt;&gt; 0,$E$2&lt;&gt;"Deployment"), MAX(K411, Q411, S411, ($M$2 * IF($E$2="Deployment",deployment_raw[[#This Row],[Column5]],1)),IF(U411&lt;&gt;"",VALUE(U411) * IF($E$2="Deployment",deployment_raw[[#This Row],[Column5]],1),0)), 0),"")</f>
        <v/>
      </c>
      <c r="N411" s="166" t="str">
        <f>IF(ISNUMBER(deployment_raw[[#This Row],[Column14]]), deployment_raw[[#This Row],[Column14]]/IF(OR($E$2="Deployment",deployment_raw[[#This Row],[Column5]]=0),1,deployment_raw[[#This Row],[Column5]]),"")</f>
        <v/>
      </c>
      <c r="O411" s="167" t="str">
        <f>IF(ISNUMBER(deployment_raw[[#This Row],[Column15]]), deployment_raw[[#This Row],[Column15]]/IF(OR($E$2="Deployment",deployment_raw[[#This Row],[Column5]]=0),1,deployment_raw[[#This Row],[Column5]])/1048576,"")</f>
        <v/>
      </c>
      <c r="P411" s="168" t="str">
        <f>IF(ISNUMBER(deployment_raw[[#This Row],[Column12]]), (MIN(IF(N411&lt;&gt;"",N411,9999999999999)*1.1,deployment_raw[[#This Row],[Column12]] * IF($E$2="Deployment",deployment_raw[[#This Row],[Column5]],1))*(1+$P$2)),"")</f>
        <v/>
      </c>
      <c r="Q411" s="167" t="str">
        <f>IF(ISNUMBER(deployment_raw[[#This Row],[Column13]]), (MIN(IF(O411&lt;&gt;"",O411,9999999999999)*1.1,deployment_raw[[#This Row],[Column13]] * IF($E$2="Deployment",deployment_raw[[#This Row],[Column5]],1)*(1+$Q$2)/1048576)),"")</f>
        <v/>
      </c>
      <c r="R411" s="169" t="str">
        <f>IF(ISNUMBER(deployment_raw[[#This Row],[Column8]]), (H411  * IF(N411&lt;&gt;0,$R$2,1)),"")</f>
        <v/>
      </c>
      <c r="S411" s="170" t="str">
        <f>IF(ISNUMBER(deployment_raw[[#This Row],[Column8]]), (I411  * IF(O411&lt;&gt;0,$S$2,1)),"")</f>
        <v/>
      </c>
      <c r="T411" s="202" t="str">
        <f>IF(AND(A411&lt;&gt;"",_xlfn.IFNA(MATCH(A411,'dynamic resource application '!$A$2:$A$100, 0),0)&lt;&gt;0), H411/(IF($E$2="Deployment",E411,1)),"")</f>
        <v/>
      </c>
      <c r="U411" s="211" t="str">
        <f>IF(AND(A411&lt;&gt;"",_xlfn.IFNA(MATCH(A411,'dynamic resource application '!$A$2:$A$100, 0),0)&lt;&gt;0), I411/(IF($E$2="Deployment",E411,1)),"")</f>
        <v/>
      </c>
    </row>
    <row r="412" spans="1:21" ht="15.75" customHeight="1" x14ac:dyDescent="0.25">
      <c r="A412" s="35" t="str">
        <f>IF(ISNONTEXT(deployment_raw[[#This Row],[Column1]]), "", deployment_raw[[#This Row],[Column1]])</f>
        <v/>
      </c>
      <c r="B412" s="36" t="str">
        <f>IF(ISNONTEXT(deployment_raw[[#This Row],[Column2]]), "", deployment_raw[[#This Row],[Column2]])</f>
        <v/>
      </c>
      <c r="C412" s="36" t="str">
        <f>IF(ISNONTEXT(deployment_raw[[#This Row],[Column3]]), "", deployment_raw[[#This Row],[Column3]])</f>
        <v/>
      </c>
      <c r="D412" s="36" t="str">
        <f>IF(ISNONTEXT(deployment_raw[[#This Row],[Column4]]), "", deployment_raw[[#This Row],[Column4]])</f>
        <v/>
      </c>
      <c r="E412" s="37" t="str">
        <f>IF(ISNUMBER(deployment_raw[[#This Row],[Column5]]), deployment_raw[[#This Row],[Column5]],"")</f>
        <v/>
      </c>
      <c r="F412" s="94" t="str">
        <f>IF(ISNUMBER(deployment_raw[[#This Row],[Column6]]), (deployment_raw[[#This Row],[Column6]] * IF($E$2="Deployment",deployment_raw[[#This Row],[Column5]],1)),"")</f>
        <v/>
      </c>
      <c r="G412" s="95" t="str">
        <f>IF(ISNUMBER(deployment_raw[[#This Row],[Column7]]), (deployment_raw[[#This Row],[Column7]] * IF($E$2="Deployment",deployment_raw[[#This Row],[Column5]],1))/1048576,"")</f>
        <v/>
      </c>
      <c r="H412" s="95" t="str">
        <f>IF(ISNUMBER(deployment_raw[[#This Row],[Column8]]), (deployment_raw[[#This Row],[Column8]]  * IF($E$2="Deployment",deployment_raw[[#This Row],[Column5]],1)),"")</f>
        <v/>
      </c>
      <c r="I412" s="96" t="str">
        <f>IF(ISNUMBER(deployment_raw[[#This Row],[Column9]]), (deployment_raw[[#This Row],[Column9]] * IF($E$2="Deployment",deployment_raw[[#This Row],[Column5]],1))/1048576,"")</f>
        <v/>
      </c>
      <c r="J412" s="122" t="str">
        <f>IF(ISNUMBER(deployment_raw[[#This Row],[Column10]]), (MIN(IF(N412&lt;&gt;"",N412,9999999999999)*1.1,deployment_raw[[#This Row],[Column10]] * IF($E$2="Deployment",deployment_raw[[#This Row],[Column5]],1))),"")</f>
        <v/>
      </c>
      <c r="K412" s="123" t="str">
        <f>IF(ISNUMBER(deployment_raw[[#This Row],[Column11]]), (MIN(IF(O412&lt;&gt;"",O412,9999999999999)*1.1,deployment_raw[[#This Row],[Column11]] * IF($E$2="Deployment",deployment_raw[[#This Row],[Column5]],1)/1048576)),"")</f>
        <v/>
      </c>
      <c r="L412" s="124" t="str">
        <f>IF(ISNUMBER(deployment_raw[[#This Row],[Column8]]),IF(OR(deployment_raw[[#This Row],[Column5]] &lt;&gt; 0,$E$2 &lt;&gt; "Deployment"), MAX(J412, P412, R412, ($L$2 * IF($E$2="Deployment",deployment_raw[[#This Row],[Column5]],1)),IF(T412&lt;&gt;"",VALUE(T412) * IF($E$2="Deployment",deployment_raw[[#This Row],[Column5]],1),0)), 0),"")</f>
        <v/>
      </c>
      <c r="M412" s="125" t="str">
        <f>IF(ISNUMBER(deployment_raw[[#This Row],[Column9]]),IF(OR(deployment_raw[[#This Row],[Column5]] &lt;&gt; 0,$E$2&lt;&gt;"Deployment"), MAX(K412, Q412, S412, ($M$2 * IF($E$2="Deployment",deployment_raw[[#This Row],[Column5]],1)),IF(U412&lt;&gt;"",VALUE(U412) * IF($E$2="Deployment",deployment_raw[[#This Row],[Column5]],1),0)), 0),"")</f>
        <v/>
      </c>
      <c r="N412" s="166" t="str">
        <f>IF(ISNUMBER(deployment_raw[[#This Row],[Column14]]), deployment_raw[[#This Row],[Column14]]/IF(OR($E$2="Deployment",deployment_raw[[#This Row],[Column5]]=0),1,deployment_raw[[#This Row],[Column5]]),"")</f>
        <v/>
      </c>
      <c r="O412" s="167" t="str">
        <f>IF(ISNUMBER(deployment_raw[[#This Row],[Column15]]), deployment_raw[[#This Row],[Column15]]/IF(OR($E$2="Deployment",deployment_raw[[#This Row],[Column5]]=0),1,deployment_raw[[#This Row],[Column5]])/1048576,"")</f>
        <v/>
      </c>
      <c r="P412" s="168" t="str">
        <f>IF(ISNUMBER(deployment_raw[[#This Row],[Column12]]), (MIN(IF(N412&lt;&gt;"",N412,9999999999999)*1.1,deployment_raw[[#This Row],[Column12]] * IF($E$2="Deployment",deployment_raw[[#This Row],[Column5]],1))*(1+$P$2)),"")</f>
        <v/>
      </c>
      <c r="Q412" s="167" t="str">
        <f>IF(ISNUMBER(deployment_raw[[#This Row],[Column13]]), (MIN(IF(O412&lt;&gt;"",O412,9999999999999)*1.1,deployment_raw[[#This Row],[Column13]] * IF($E$2="Deployment",deployment_raw[[#This Row],[Column5]],1)*(1+$Q$2)/1048576)),"")</f>
        <v/>
      </c>
      <c r="R412" s="169" t="str">
        <f>IF(ISNUMBER(deployment_raw[[#This Row],[Column8]]), (H412  * IF(N412&lt;&gt;0,$R$2,1)),"")</f>
        <v/>
      </c>
      <c r="S412" s="170" t="str">
        <f>IF(ISNUMBER(deployment_raw[[#This Row],[Column8]]), (I412  * IF(O412&lt;&gt;0,$S$2,1)),"")</f>
        <v/>
      </c>
      <c r="T412" s="202" t="str">
        <f>IF(AND(A412&lt;&gt;"",_xlfn.IFNA(MATCH(A412,'dynamic resource application '!$A$2:$A$100, 0),0)&lt;&gt;0), H412/(IF($E$2="Deployment",E412,1)),"")</f>
        <v/>
      </c>
      <c r="U412" s="211" t="str">
        <f>IF(AND(A412&lt;&gt;"",_xlfn.IFNA(MATCH(A412,'dynamic resource application '!$A$2:$A$100, 0),0)&lt;&gt;0), I412/(IF($E$2="Deployment",E412,1)),"")</f>
        <v/>
      </c>
    </row>
    <row r="413" spans="1:21" ht="15.75" customHeight="1" x14ac:dyDescent="0.25">
      <c r="A413" s="35" t="str">
        <f>IF(ISNONTEXT(deployment_raw[[#This Row],[Column1]]), "", deployment_raw[[#This Row],[Column1]])</f>
        <v/>
      </c>
      <c r="B413" s="36" t="str">
        <f>IF(ISNONTEXT(deployment_raw[[#This Row],[Column2]]), "", deployment_raw[[#This Row],[Column2]])</f>
        <v/>
      </c>
      <c r="C413" s="36" t="str">
        <f>IF(ISNONTEXT(deployment_raw[[#This Row],[Column3]]), "", deployment_raw[[#This Row],[Column3]])</f>
        <v/>
      </c>
      <c r="D413" s="36" t="str">
        <f>IF(ISNONTEXT(deployment_raw[[#This Row],[Column4]]), "", deployment_raw[[#This Row],[Column4]])</f>
        <v/>
      </c>
      <c r="E413" s="37" t="str">
        <f>IF(ISNUMBER(deployment_raw[[#This Row],[Column5]]), deployment_raw[[#This Row],[Column5]],"")</f>
        <v/>
      </c>
      <c r="F413" s="94" t="str">
        <f>IF(ISNUMBER(deployment_raw[[#This Row],[Column6]]), (deployment_raw[[#This Row],[Column6]] * IF($E$2="Deployment",deployment_raw[[#This Row],[Column5]],1)),"")</f>
        <v/>
      </c>
      <c r="G413" s="95" t="str">
        <f>IF(ISNUMBER(deployment_raw[[#This Row],[Column7]]), (deployment_raw[[#This Row],[Column7]] * IF($E$2="Deployment",deployment_raw[[#This Row],[Column5]],1))/1048576,"")</f>
        <v/>
      </c>
      <c r="H413" s="95" t="str">
        <f>IF(ISNUMBER(deployment_raw[[#This Row],[Column8]]), (deployment_raw[[#This Row],[Column8]]  * IF($E$2="Deployment",deployment_raw[[#This Row],[Column5]],1)),"")</f>
        <v/>
      </c>
      <c r="I413" s="96" t="str">
        <f>IF(ISNUMBER(deployment_raw[[#This Row],[Column9]]), (deployment_raw[[#This Row],[Column9]] * IF($E$2="Deployment",deployment_raw[[#This Row],[Column5]],1))/1048576,"")</f>
        <v/>
      </c>
      <c r="J413" s="122" t="str">
        <f>IF(ISNUMBER(deployment_raw[[#This Row],[Column10]]), (MIN(IF(N413&lt;&gt;"",N413,9999999999999)*1.1,deployment_raw[[#This Row],[Column10]] * IF($E$2="Deployment",deployment_raw[[#This Row],[Column5]],1))),"")</f>
        <v/>
      </c>
      <c r="K413" s="123" t="str">
        <f>IF(ISNUMBER(deployment_raw[[#This Row],[Column11]]), (MIN(IF(O413&lt;&gt;"",O413,9999999999999)*1.1,deployment_raw[[#This Row],[Column11]] * IF($E$2="Deployment",deployment_raw[[#This Row],[Column5]],1)/1048576)),"")</f>
        <v/>
      </c>
      <c r="L413" s="124" t="str">
        <f>IF(ISNUMBER(deployment_raw[[#This Row],[Column8]]),IF(OR(deployment_raw[[#This Row],[Column5]] &lt;&gt; 0,$E$2 &lt;&gt; "Deployment"), MAX(J413, P413, R413, ($L$2 * IF($E$2="Deployment",deployment_raw[[#This Row],[Column5]],1)),IF(T413&lt;&gt;"",VALUE(T413) * IF($E$2="Deployment",deployment_raw[[#This Row],[Column5]],1),0)), 0),"")</f>
        <v/>
      </c>
      <c r="M413" s="125" t="str">
        <f>IF(ISNUMBER(deployment_raw[[#This Row],[Column9]]),IF(OR(deployment_raw[[#This Row],[Column5]] &lt;&gt; 0,$E$2&lt;&gt;"Deployment"), MAX(K413, Q413, S413, ($M$2 * IF($E$2="Deployment",deployment_raw[[#This Row],[Column5]],1)),IF(U413&lt;&gt;"",VALUE(U413) * IF($E$2="Deployment",deployment_raw[[#This Row],[Column5]],1),0)), 0),"")</f>
        <v/>
      </c>
      <c r="N413" s="166" t="str">
        <f>IF(ISNUMBER(deployment_raw[[#This Row],[Column14]]), deployment_raw[[#This Row],[Column14]]/IF(OR($E$2="Deployment",deployment_raw[[#This Row],[Column5]]=0),1,deployment_raw[[#This Row],[Column5]]),"")</f>
        <v/>
      </c>
      <c r="O413" s="167" t="str">
        <f>IF(ISNUMBER(deployment_raw[[#This Row],[Column15]]), deployment_raw[[#This Row],[Column15]]/IF(OR($E$2="Deployment",deployment_raw[[#This Row],[Column5]]=0),1,deployment_raw[[#This Row],[Column5]])/1048576,"")</f>
        <v/>
      </c>
      <c r="P413" s="168" t="str">
        <f>IF(ISNUMBER(deployment_raw[[#This Row],[Column12]]), (MIN(IF(N413&lt;&gt;"",N413,9999999999999)*1.1,deployment_raw[[#This Row],[Column12]] * IF($E$2="Deployment",deployment_raw[[#This Row],[Column5]],1))*(1+$P$2)),"")</f>
        <v/>
      </c>
      <c r="Q413" s="167" t="str">
        <f>IF(ISNUMBER(deployment_raw[[#This Row],[Column13]]), (MIN(IF(O413&lt;&gt;"",O413,9999999999999)*1.1,deployment_raw[[#This Row],[Column13]] * IF($E$2="Deployment",deployment_raw[[#This Row],[Column5]],1)*(1+$Q$2)/1048576)),"")</f>
        <v/>
      </c>
      <c r="R413" s="169" t="str">
        <f>IF(ISNUMBER(deployment_raw[[#This Row],[Column8]]), (H413  * IF(N413&lt;&gt;0,$R$2,1)),"")</f>
        <v/>
      </c>
      <c r="S413" s="170" t="str">
        <f>IF(ISNUMBER(deployment_raw[[#This Row],[Column8]]), (I413  * IF(O413&lt;&gt;0,$S$2,1)),"")</f>
        <v/>
      </c>
      <c r="T413" s="202" t="str">
        <f>IF(AND(A413&lt;&gt;"",_xlfn.IFNA(MATCH(A413,'dynamic resource application '!$A$2:$A$100, 0),0)&lt;&gt;0), H413/(IF($E$2="Deployment",E413,1)),"")</f>
        <v/>
      </c>
      <c r="U413" s="211" t="str">
        <f>IF(AND(A413&lt;&gt;"",_xlfn.IFNA(MATCH(A413,'dynamic resource application '!$A$2:$A$100, 0),0)&lt;&gt;0), I413/(IF($E$2="Deployment",E413,1)),"")</f>
        <v/>
      </c>
    </row>
    <row r="414" spans="1:21" ht="15.75" customHeight="1" x14ac:dyDescent="0.25">
      <c r="A414" s="35" t="str">
        <f>IF(ISNONTEXT(deployment_raw[[#This Row],[Column1]]), "", deployment_raw[[#This Row],[Column1]])</f>
        <v/>
      </c>
      <c r="B414" s="36" t="str">
        <f>IF(ISNONTEXT(deployment_raw[[#This Row],[Column2]]), "", deployment_raw[[#This Row],[Column2]])</f>
        <v/>
      </c>
      <c r="C414" s="36" t="str">
        <f>IF(ISNONTEXT(deployment_raw[[#This Row],[Column3]]), "", deployment_raw[[#This Row],[Column3]])</f>
        <v/>
      </c>
      <c r="D414" s="36" t="str">
        <f>IF(ISNONTEXT(deployment_raw[[#This Row],[Column4]]), "", deployment_raw[[#This Row],[Column4]])</f>
        <v/>
      </c>
      <c r="E414" s="37" t="str">
        <f>IF(ISNUMBER(deployment_raw[[#This Row],[Column5]]), deployment_raw[[#This Row],[Column5]],"")</f>
        <v/>
      </c>
      <c r="F414" s="94" t="str">
        <f>IF(ISNUMBER(deployment_raw[[#This Row],[Column6]]), (deployment_raw[[#This Row],[Column6]] * IF($E$2="Deployment",deployment_raw[[#This Row],[Column5]],1)),"")</f>
        <v/>
      </c>
      <c r="G414" s="95" t="str">
        <f>IF(ISNUMBER(deployment_raw[[#This Row],[Column7]]), (deployment_raw[[#This Row],[Column7]] * IF($E$2="Deployment",deployment_raw[[#This Row],[Column5]],1))/1048576,"")</f>
        <v/>
      </c>
      <c r="H414" s="95" t="str">
        <f>IF(ISNUMBER(deployment_raw[[#This Row],[Column8]]), (deployment_raw[[#This Row],[Column8]]  * IF($E$2="Deployment",deployment_raw[[#This Row],[Column5]],1)),"")</f>
        <v/>
      </c>
      <c r="I414" s="96" t="str">
        <f>IF(ISNUMBER(deployment_raw[[#This Row],[Column9]]), (deployment_raw[[#This Row],[Column9]] * IF($E$2="Deployment",deployment_raw[[#This Row],[Column5]],1))/1048576,"")</f>
        <v/>
      </c>
      <c r="J414" s="122" t="str">
        <f>IF(ISNUMBER(deployment_raw[[#This Row],[Column10]]), (MIN(IF(N414&lt;&gt;"",N414,9999999999999)*1.1,deployment_raw[[#This Row],[Column10]] * IF($E$2="Deployment",deployment_raw[[#This Row],[Column5]],1))),"")</f>
        <v/>
      </c>
      <c r="K414" s="123" t="str">
        <f>IF(ISNUMBER(deployment_raw[[#This Row],[Column11]]), (MIN(IF(O414&lt;&gt;"",O414,9999999999999)*1.1,deployment_raw[[#This Row],[Column11]] * IF($E$2="Deployment",deployment_raw[[#This Row],[Column5]],1)/1048576)),"")</f>
        <v/>
      </c>
      <c r="L414" s="124" t="str">
        <f>IF(ISNUMBER(deployment_raw[[#This Row],[Column8]]),IF(OR(deployment_raw[[#This Row],[Column5]] &lt;&gt; 0,$E$2 &lt;&gt; "Deployment"), MAX(J414, P414, R414, ($L$2 * IF($E$2="Deployment",deployment_raw[[#This Row],[Column5]],1)),IF(T414&lt;&gt;"",VALUE(T414) * IF($E$2="Deployment",deployment_raw[[#This Row],[Column5]],1),0)), 0),"")</f>
        <v/>
      </c>
      <c r="M414" s="125" t="str">
        <f>IF(ISNUMBER(deployment_raw[[#This Row],[Column9]]),IF(OR(deployment_raw[[#This Row],[Column5]] &lt;&gt; 0,$E$2&lt;&gt;"Deployment"), MAX(K414, Q414, S414, ($M$2 * IF($E$2="Deployment",deployment_raw[[#This Row],[Column5]],1)),IF(U414&lt;&gt;"",VALUE(U414) * IF($E$2="Deployment",deployment_raw[[#This Row],[Column5]],1),0)), 0),"")</f>
        <v/>
      </c>
      <c r="N414" s="166" t="str">
        <f>IF(ISNUMBER(deployment_raw[[#This Row],[Column14]]), deployment_raw[[#This Row],[Column14]]/IF(OR($E$2="Deployment",deployment_raw[[#This Row],[Column5]]=0),1,deployment_raw[[#This Row],[Column5]]),"")</f>
        <v/>
      </c>
      <c r="O414" s="167" t="str">
        <f>IF(ISNUMBER(deployment_raw[[#This Row],[Column15]]), deployment_raw[[#This Row],[Column15]]/IF(OR($E$2="Deployment",deployment_raw[[#This Row],[Column5]]=0),1,deployment_raw[[#This Row],[Column5]])/1048576,"")</f>
        <v/>
      </c>
      <c r="P414" s="168" t="str">
        <f>IF(ISNUMBER(deployment_raw[[#This Row],[Column12]]), (MIN(IF(N414&lt;&gt;"",N414,9999999999999)*1.1,deployment_raw[[#This Row],[Column12]] * IF($E$2="Deployment",deployment_raw[[#This Row],[Column5]],1))*(1+$P$2)),"")</f>
        <v/>
      </c>
      <c r="Q414" s="167" t="str">
        <f>IF(ISNUMBER(deployment_raw[[#This Row],[Column13]]), (MIN(IF(O414&lt;&gt;"",O414,9999999999999)*1.1,deployment_raw[[#This Row],[Column13]] * IF($E$2="Deployment",deployment_raw[[#This Row],[Column5]],1)*(1+$Q$2)/1048576)),"")</f>
        <v/>
      </c>
      <c r="R414" s="169" t="str">
        <f>IF(ISNUMBER(deployment_raw[[#This Row],[Column8]]), (H414  * IF(N414&lt;&gt;0,$R$2,1)),"")</f>
        <v/>
      </c>
      <c r="S414" s="170" t="str">
        <f>IF(ISNUMBER(deployment_raw[[#This Row],[Column8]]), (I414  * IF(O414&lt;&gt;0,$S$2,1)),"")</f>
        <v/>
      </c>
      <c r="T414" s="202" t="str">
        <f>IF(AND(A414&lt;&gt;"",_xlfn.IFNA(MATCH(A414,'dynamic resource application '!$A$2:$A$100, 0),0)&lt;&gt;0), H414/(IF($E$2="Deployment",E414,1)),"")</f>
        <v/>
      </c>
      <c r="U414" s="211" t="str">
        <f>IF(AND(A414&lt;&gt;"",_xlfn.IFNA(MATCH(A414,'dynamic resource application '!$A$2:$A$100, 0),0)&lt;&gt;0), I414/(IF($E$2="Deployment",E414,1)),"")</f>
        <v/>
      </c>
    </row>
    <row r="415" spans="1:21" ht="15.75" customHeight="1" x14ac:dyDescent="0.25">
      <c r="A415" s="35" t="str">
        <f>IF(ISNONTEXT(deployment_raw[[#This Row],[Column1]]), "", deployment_raw[[#This Row],[Column1]])</f>
        <v/>
      </c>
      <c r="B415" s="36" t="str">
        <f>IF(ISNONTEXT(deployment_raw[[#This Row],[Column2]]), "", deployment_raw[[#This Row],[Column2]])</f>
        <v/>
      </c>
      <c r="C415" s="36" t="str">
        <f>IF(ISNONTEXT(deployment_raw[[#This Row],[Column3]]), "", deployment_raw[[#This Row],[Column3]])</f>
        <v/>
      </c>
      <c r="D415" s="36" t="str">
        <f>IF(ISNONTEXT(deployment_raw[[#This Row],[Column4]]), "", deployment_raw[[#This Row],[Column4]])</f>
        <v/>
      </c>
      <c r="E415" s="37" t="str">
        <f>IF(ISNUMBER(deployment_raw[[#This Row],[Column5]]), deployment_raw[[#This Row],[Column5]],"")</f>
        <v/>
      </c>
      <c r="F415" s="94" t="str">
        <f>IF(ISNUMBER(deployment_raw[[#This Row],[Column6]]), (deployment_raw[[#This Row],[Column6]] * IF($E$2="Deployment",deployment_raw[[#This Row],[Column5]],1)),"")</f>
        <v/>
      </c>
      <c r="G415" s="95" t="str">
        <f>IF(ISNUMBER(deployment_raw[[#This Row],[Column7]]), (deployment_raw[[#This Row],[Column7]] * IF($E$2="Deployment",deployment_raw[[#This Row],[Column5]],1))/1048576,"")</f>
        <v/>
      </c>
      <c r="H415" s="95" t="str">
        <f>IF(ISNUMBER(deployment_raw[[#This Row],[Column8]]), (deployment_raw[[#This Row],[Column8]]  * IF($E$2="Deployment",deployment_raw[[#This Row],[Column5]],1)),"")</f>
        <v/>
      </c>
      <c r="I415" s="96" t="str">
        <f>IF(ISNUMBER(deployment_raw[[#This Row],[Column9]]), (deployment_raw[[#This Row],[Column9]] * IF($E$2="Deployment",deployment_raw[[#This Row],[Column5]],1))/1048576,"")</f>
        <v/>
      </c>
      <c r="J415" s="122" t="str">
        <f>IF(ISNUMBER(deployment_raw[[#This Row],[Column10]]), (MIN(IF(N415&lt;&gt;"",N415,9999999999999)*1.1,deployment_raw[[#This Row],[Column10]] * IF($E$2="Deployment",deployment_raw[[#This Row],[Column5]],1))),"")</f>
        <v/>
      </c>
      <c r="K415" s="123" t="str">
        <f>IF(ISNUMBER(deployment_raw[[#This Row],[Column11]]), (MIN(IF(O415&lt;&gt;"",O415,9999999999999)*1.1,deployment_raw[[#This Row],[Column11]] * IF($E$2="Deployment",deployment_raw[[#This Row],[Column5]],1)/1048576)),"")</f>
        <v/>
      </c>
      <c r="L415" s="124" t="str">
        <f>IF(ISNUMBER(deployment_raw[[#This Row],[Column8]]),IF(OR(deployment_raw[[#This Row],[Column5]] &lt;&gt; 0,$E$2 &lt;&gt; "Deployment"), MAX(J415, P415, R415, ($L$2 * IF($E$2="Deployment",deployment_raw[[#This Row],[Column5]],1)),IF(T415&lt;&gt;"",VALUE(T415) * IF($E$2="Deployment",deployment_raw[[#This Row],[Column5]],1),0)), 0),"")</f>
        <v/>
      </c>
      <c r="M415" s="125" t="str">
        <f>IF(ISNUMBER(deployment_raw[[#This Row],[Column9]]),IF(OR(deployment_raw[[#This Row],[Column5]] &lt;&gt; 0,$E$2&lt;&gt;"Deployment"), MAX(K415, Q415, S415, ($M$2 * IF($E$2="Deployment",deployment_raw[[#This Row],[Column5]],1)),IF(U415&lt;&gt;"",VALUE(U415) * IF($E$2="Deployment",deployment_raw[[#This Row],[Column5]],1),0)), 0),"")</f>
        <v/>
      </c>
      <c r="N415" s="166" t="str">
        <f>IF(ISNUMBER(deployment_raw[[#This Row],[Column14]]), deployment_raw[[#This Row],[Column14]]/IF(OR($E$2="Deployment",deployment_raw[[#This Row],[Column5]]=0),1,deployment_raw[[#This Row],[Column5]]),"")</f>
        <v/>
      </c>
      <c r="O415" s="167" t="str">
        <f>IF(ISNUMBER(deployment_raw[[#This Row],[Column15]]), deployment_raw[[#This Row],[Column15]]/IF(OR($E$2="Deployment",deployment_raw[[#This Row],[Column5]]=0),1,deployment_raw[[#This Row],[Column5]])/1048576,"")</f>
        <v/>
      </c>
      <c r="P415" s="168" t="str">
        <f>IF(ISNUMBER(deployment_raw[[#This Row],[Column12]]), (MIN(IF(N415&lt;&gt;"",N415,9999999999999)*1.1,deployment_raw[[#This Row],[Column12]] * IF($E$2="Deployment",deployment_raw[[#This Row],[Column5]],1))*(1+$P$2)),"")</f>
        <v/>
      </c>
      <c r="Q415" s="167" t="str">
        <f>IF(ISNUMBER(deployment_raw[[#This Row],[Column13]]), (MIN(IF(O415&lt;&gt;"",O415,9999999999999)*1.1,deployment_raw[[#This Row],[Column13]] * IF($E$2="Deployment",deployment_raw[[#This Row],[Column5]],1)*(1+$Q$2)/1048576)),"")</f>
        <v/>
      </c>
      <c r="R415" s="169" t="str">
        <f>IF(ISNUMBER(deployment_raw[[#This Row],[Column8]]), (H415  * IF(N415&lt;&gt;0,$R$2,1)),"")</f>
        <v/>
      </c>
      <c r="S415" s="170" t="str">
        <f>IF(ISNUMBER(deployment_raw[[#This Row],[Column8]]), (I415  * IF(O415&lt;&gt;0,$S$2,1)),"")</f>
        <v/>
      </c>
      <c r="T415" s="202" t="str">
        <f>IF(AND(A415&lt;&gt;"",_xlfn.IFNA(MATCH(A415,'dynamic resource application '!$A$2:$A$100, 0),0)&lt;&gt;0), H415/(IF($E$2="Deployment",E415,1)),"")</f>
        <v/>
      </c>
      <c r="U415" s="211" t="str">
        <f>IF(AND(A415&lt;&gt;"",_xlfn.IFNA(MATCH(A415,'dynamic resource application '!$A$2:$A$100, 0),0)&lt;&gt;0), I415/(IF($E$2="Deployment",E415,1)),"")</f>
        <v/>
      </c>
    </row>
    <row r="416" spans="1:21" ht="15.75" customHeight="1" x14ac:dyDescent="0.25">
      <c r="A416" s="35" t="str">
        <f>IF(ISNONTEXT(deployment_raw[[#This Row],[Column1]]), "", deployment_raw[[#This Row],[Column1]])</f>
        <v/>
      </c>
      <c r="B416" s="36" t="str">
        <f>IF(ISNONTEXT(deployment_raw[[#This Row],[Column2]]), "", deployment_raw[[#This Row],[Column2]])</f>
        <v/>
      </c>
      <c r="C416" s="36" t="str">
        <f>IF(ISNONTEXT(deployment_raw[[#This Row],[Column3]]), "", deployment_raw[[#This Row],[Column3]])</f>
        <v/>
      </c>
      <c r="D416" s="36" t="str">
        <f>IF(ISNONTEXT(deployment_raw[[#This Row],[Column4]]), "", deployment_raw[[#This Row],[Column4]])</f>
        <v/>
      </c>
      <c r="E416" s="37" t="str">
        <f>IF(ISNUMBER(deployment_raw[[#This Row],[Column5]]), deployment_raw[[#This Row],[Column5]],"")</f>
        <v/>
      </c>
      <c r="F416" s="94" t="str">
        <f>IF(ISNUMBER(deployment_raw[[#This Row],[Column6]]), (deployment_raw[[#This Row],[Column6]] * IF($E$2="Deployment",deployment_raw[[#This Row],[Column5]],1)),"")</f>
        <v/>
      </c>
      <c r="G416" s="95" t="str">
        <f>IF(ISNUMBER(deployment_raw[[#This Row],[Column7]]), (deployment_raw[[#This Row],[Column7]] * IF($E$2="Deployment",deployment_raw[[#This Row],[Column5]],1))/1048576,"")</f>
        <v/>
      </c>
      <c r="H416" s="95" t="str">
        <f>IF(ISNUMBER(deployment_raw[[#This Row],[Column8]]), (deployment_raw[[#This Row],[Column8]]  * IF($E$2="Deployment",deployment_raw[[#This Row],[Column5]],1)),"")</f>
        <v/>
      </c>
      <c r="I416" s="96" t="str">
        <f>IF(ISNUMBER(deployment_raw[[#This Row],[Column9]]), (deployment_raw[[#This Row],[Column9]] * IF($E$2="Deployment",deployment_raw[[#This Row],[Column5]],1))/1048576,"")</f>
        <v/>
      </c>
      <c r="J416" s="122" t="str">
        <f>IF(ISNUMBER(deployment_raw[[#This Row],[Column10]]), (MIN(IF(N416&lt;&gt;"",N416,9999999999999)*1.1,deployment_raw[[#This Row],[Column10]] * IF($E$2="Deployment",deployment_raw[[#This Row],[Column5]],1))),"")</f>
        <v/>
      </c>
      <c r="K416" s="123" t="str">
        <f>IF(ISNUMBER(deployment_raw[[#This Row],[Column11]]), (MIN(IF(O416&lt;&gt;"",O416,9999999999999)*1.1,deployment_raw[[#This Row],[Column11]] * IF($E$2="Deployment",deployment_raw[[#This Row],[Column5]],1)/1048576)),"")</f>
        <v/>
      </c>
      <c r="L416" s="124" t="str">
        <f>IF(ISNUMBER(deployment_raw[[#This Row],[Column8]]),IF(OR(deployment_raw[[#This Row],[Column5]] &lt;&gt; 0,$E$2 &lt;&gt; "Deployment"), MAX(J416, P416, R416, ($L$2 * IF($E$2="Deployment",deployment_raw[[#This Row],[Column5]],1)),IF(T416&lt;&gt;"",VALUE(T416) * IF($E$2="Deployment",deployment_raw[[#This Row],[Column5]],1),0)), 0),"")</f>
        <v/>
      </c>
      <c r="M416" s="125" t="str">
        <f>IF(ISNUMBER(deployment_raw[[#This Row],[Column9]]),IF(OR(deployment_raw[[#This Row],[Column5]] &lt;&gt; 0,$E$2&lt;&gt;"Deployment"), MAX(K416, Q416, S416, ($M$2 * IF($E$2="Deployment",deployment_raw[[#This Row],[Column5]],1)),IF(U416&lt;&gt;"",VALUE(U416) * IF($E$2="Deployment",deployment_raw[[#This Row],[Column5]],1),0)), 0),"")</f>
        <v/>
      </c>
      <c r="N416" s="166" t="str">
        <f>IF(ISNUMBER(deployment_raw[[#This Row],[Column14]]), deployment_raw[[#This Row],[Column14]]/IF(OR($E$2="Deployment",deployment_raw[[#This Row],[Column5]]=0),1,deployment_raw[[#This Row],[Column5]]),"")</f>
        <v/>
      </c>
      <c r="O416" s="167" t="str">
        <f>IF(ISNUMBER(deployment_raw[[#This Row],[Column15]]), deployment_raw[[#This Row],[Column15]]/IF(OR($E$2="Deployment",deployment_raw[[#This Row],[Column5]]=0),1,deployment_raw[[#This Row],[Column5]])/1048576,"")</f>
        <v/>
      </c>
      <c r="P416" s="168" t="str">
        <f>IF(ISNUMBER(deployment_raw[[#This Row],[Column12]]), (MIN(IF(N416&lt;&gt;"",N416,9999999999999)*1.1,deployment_raw[[#This Row],[Column12]] * IF($E$2="Deployment",deployment_raw[[#This Row],[Column5]],1))*(1+$P$2)),"")</f>
        <v/>
      </c>
      <c r="Q416" s="167" t="str">
        <f>IF(ISNUMBER(deployment_raw[[#This Row],[Column13]]), (MIN(IF(O416&lt;&gt;"",O416,9999999999999)*1.1,deployment_raw[[#This Row],[Column13]] * IF($E$2="Deployment",deployment_raw[[#This Row],[Column5]],1)*(1+$Q$2)/1048576)),"")</f>
        <v/>
      </c>
      <c r="R416" s="169" t="str">
        <f>IF(ISNUMBER(deployment_raw[[#This Row],[Column8]]), (H416  * IF(N416&lt;&gt;0,$R$2,1)),"")</f>
        <v/>
      </c>
      <c r="S416" s="170" t="str">
        <f>IF(ISNUMBER(deployment_raw[[#This Row],[Column8]]), (I416  * IF(O416&lt;&gt;0,$S$2,1)),"")</f>
        <v/>
      </c>
      <c r="T416" s="202" t="str">
        <f>IF(AND(A416&lt;&gt;"",_xlfn.IFNA(MATCH(A416,'dynamic resource application '!$A$2:$A$100, 0),0)&lt;&gt;0), H416/(IF($E$2="Deployment",E416,1)),"")</f>
        <v/>
      </c>
      <c r="U416" s="211" t="str">
        <f>IF(AND(A416&lt;&gt;"",_xlfn.IFNA(MATCH(A416,'dynamic resource application '!$A$2:$A$100, 0),0)&lt;&gt;0), I416/(IF($E$2="Deployment",E416,1)),"")</f>
        <v/>
      </c>
    </row>
    <row r="417" spans="1:21" ht="15.75" customHeight="1" x14ac:dyDescent="0.25">
      <c r="A417" s="35" t="str">
        <f>IF(ISNONTEXT(deployment_raw[[#This Row],[Column1]]), "", deployment_raw[[#This Row],[Column1]])</f>
        <v/>
      </c>
      <c r="B417" s="36" t="str">
        <f>IF(ISNONTEXT(deployment_raw[[#This Row],[Column2]]), "", deployment_raw[[#This Row],[Column2]])</f>
        <v/>
      </c>
      <c r="C417" s="36" t="str">
        <f>IF(ISNONTEXT(deployment_raw[[#This Row],[Column3]]), "", deployment_raw[[#This Row],[Column3]])</f>
        <v/>
      </c>
      <c r="D417" s="36" t="str">
        <f>IF(ISNONTEXT(deployment_raw[[#This Row],[Column4]]), "", deployment_raw[[#This Row],[Column4]])</f>
        <v/>
      </c>
      <c r="E417" s="37" t="str">
        <f>IF(ISNUMBER(deployment_raw[[#This Row],[Column5]]), deployment_raw[[#This Row],[Column5]],"")</f>
        <v/>
      </c>
      <c r="F417" s="94" t="str">
        <f>IF(ISNUMBER(deployment_raw[[#This Row],[Column6]]), (deployment_raw[[#This Row],[Column6]] * IF($E$2="Deployment",deployment_raw[[#This Row],[Column5]],1)),"")</f>
        <v/>
      </c>
      <c r="G417" s="95" t="str">
        <f>IF(ISNUMBER(deployment_raw[[#This Row],[Column7]]), (deployment_raw[[#This Row],[Column7]] * IF($E$2="Deployment",deployment_raw[[#This Row],[Column5]],1))/1048576,"")</f>
        <v/>
      </c>
      <c r="H417" s="95" t="str">
        <f>IF(ISNUMBER(deployment_raw[[#This Row],[Column8]]), (deployment_raw[[#This Row],[Column8]]  * IF($E$2="Deployment",deployment_raw[[#This Row],[Column5]],1)),"")</f>
        <v/>
      </c>
      <c r="I417" s="96" t="str">
        <f>IF(ISNUMBER(deployment_raw[[#This Row],[Column9]]), (deployment_raw[[#This Row],[Column9]] * IF($E$2="Deployment",deployment_raw[[#This Row],[Column5]],1))/1048576,"")</f>
        <v/>
      </c>
      <c r="J417" s="122" t="str">
        <f>IF(ISNUMBER(deployment_raw[[#This Row],[Column10]]), (MIN(IF(N417&lt;&gt;"",N417,9999999999999)*1.1,deployment_raw[[#This Row],[Column10]] * IF($E$2="Deployment",deployment_raw[[#This Row],[Column5]],1))),"")</f>
        <v/>
      </c>
      <c r="K417" s="123" t="str">
        <f>IF(ISNUMBER(deployment_raw[[#This Row],[Column11]]), (MIN(IF(O417&lt;&gt;"",O417,9999999999999)*1.1,deployment_raw[[#This Row],[Column11]] * IF($E$2="Deployment",deployment_raw[[#This Row],[Column5]],1)/1048576)),"")</f>
        <v/>
      </c>
      <c r="L417" s="124" t="str">
        <f>IF(ISNUMBER(deployment_raw[[#This Row],[Column8]]),IF(OR(deployment_raw[[#This Row],[Column5]] &lt;&gt; 0,$E$2 &lt;&gt; "Deployment"), MAX(J417, P417, R417, ($L$2 * IF($E$2="Deployment",deployment_raw[[#This Row],[Column5]],1)),IF(T417&lt;&gt;"",VALUE(T417) * IF($E$2="Deployment",deployment_raw[[#This Row],[Column5]],1),0)), 0),"")</f>
        <v/>
      </c>
      <c r="M417" s="125" t="str">
        <f>IF(ISNUMBER(deployment_raw[[#This Row],[Column9]]),IF(OR(deployment_raw[[#This Row],[Column5]] &lt;&gt; 0,$E$2&lt;&gt;"Deployment"), MAX(K417, Q417, S417, ($M$2 * IF($E$2="Deployment",deployment_raw[[#This Row],[Column5]],1)),IF(U417&lt;&gt;"",VALUE(U417) * IF($E$2="Deployment",deployment_raw[[#This Row],[Column5]],1),0)), 0),"")</f>
        <v/>
      </c>
      <c r="N417" s="166" t="str">
        <f>IF(ISNUMBER(deployment_raw[[#This Row],[Column14]]), deployment_raw[[#This Row],[Column14]]/IF(OR($E$2="Deployment",deployment_raw[[#This Row],[Column5]]=0),1,deployment_raw[[#This Row],[Column5]]),"")</f>
        <v/>
      </c>
      <c r="O417" s="167" t="str">
        <f>IF(ISNUMBER(deployment_raw[[#This Row],[Column15]]), deployment_raw[[#This Row],[Column15]]/IF(OR($E$2="Deployment",deployment_raw[[#This Row],[Column5]]=0),1,deployment_raw[[#This Row],[Column5]])/1048576,"")</f>
        <v/>
      </c>
      <c r="P417" s="168" t="str">
        <f>IF(ISNUMBER(deployment_raw[[#This Row],[Column12]]), (MIN(IF(N417&lt;&gt;"",N417,9999999999999)*1.1,deployment_raw[[#This Row],[Column12]] * IF($E$2="Deployment",deployment_raw[[#This Row],[Column5]],1))*(1+$P$2)),"")</f>
        <v/>
      </c>
      <c r="Q417" s="167" t="str">
        <f>IF(ISNUMBER(deployment_raw[[#This Row],[Column13]]), (MIN(IF(O417&lt;&gt;"",O417,9999999999999)*1.1,deployment_raw[[#This Row],[Column13]] * IF($E$2="Deployment",deployment_raw[[#This Row],[Column5]],1)*(1+$Q$2)/1048576)),"")</f>
        <v/>
      </c>
      <c r="R417" s="169" t="str">
        <f>IF(ISNUMBER(deployment_raw[[#This Row],[Column8]]), (H417  * IF(N417&lt;&gt;0,$R$2,1)),"")</f>
        <v/>
      </c>
      <c r="S417" s="170" t="str">
        <f>IF(ISNUMBER(deployment_raw[[#This Row],[Column8]]), (I417  * IF(O417&lt;&gt;0,$S$2,1)),"")</f>
        <v/>
      </c>
      <c r="T417" s="202" t="str">
        <f>IF(AND(A417&lt;&gt;"",_xlfn.IFNA(MATCH(A417,'dynamic resource application '!$A$2:$A$100, 0),0)&lt;&gt;0), H417/(IF($E$2="Deployment",E417,1)),"")</f>
        <v/>
      </c>
      <c r="U417" s="211" t="str">
        <f>IF(AND(A417&lt;&gt;"",_xlfn.IFNA(MATCH(A417,'dynamic resource application '!$A$2:$A$100, 0),0)&lt;&gt;0), I417/(IF($E$2="Deployment",E417,1)),"")</f>
        <v/>
      </c>
    </row>
    <row r="418" spans="1:21" ht="15.75" customHeight="1" x14ac:dyDescent="0.25">
      <c r="A418" s="35" t="str">
        <f>IF(ISNONTEXT(deployment_raw[[#This Row],[Column1]]), "", deployment_raw[[#This Row],[Column1]])</f>
        <v/>
      </c>
      <c r="B418" s="36" t="str">
        <f>IF(ISNONTEXT(deployment_raw[[#This Row],[Column2]]), "", deployment_raw[[#This Row],[Column2]])</f>
        <v/>
      </c>
      <c r="C418" s="36" t="str">
        <f>IF(ISNONTEXT(deployment_raw[[#This Row],[Column3]]), "", deployment_raw[[#This Row],[Column3]])</f>
        <v/>
      </c>
      <c r="D418" s="36" t="str">
        <f>IF(ISNONTEXT(deployment_raw[[#This Row],[Column4]]), "", deployment_raw[[#This Row],[Column4]])</f>
        <v/>
      </c>
      <c r="E418" s="37" t="str">
        <f>IF(ISNUMBER(deployment_raw[[#This Row],[Column5]]), deployment_raw[[#This Row],[Column5]],"")</f>
        <v/>
      </c>
      <c r="F418" s="94" t="str">
        <f>IF(ISNUMBER(deployment_raw[[#This Row],[Column6]]), (deployment_raw[[#This Row],[Column6]] * IF($E$2="Deployment",deployment_raw[[#This Row],[Column5]],1)),"")</f>
        <v/>
      </c>
      <c r="G418" s="95" t="str">
        <f>IF(ISNUMBER(deployment_raw[[#This Row],[Column7]]), (deployment_raw[[#This Row],[Column7]] * IF($E$2="Deployment",deployment_raw[[#This Row],[Column5]],1))/1048576,"")</f>
        <v/>
      </c>
      <c r="H418" s="95" t="str">
        <f>IF(ISNUMBER(deployment_raw[[#This Row],[Column8]]), (deployment_raw[[#This Row],[Column8]]  * IF($E$2="Deployment",deployment_raw[[#This Row],[Column5]],1)),"")</f>
        <v/>
      </c>
      <c r="I418" s="96" t="str">
        <f>IF(ISNUMBER(deployment_raw[[#This Row],[Column9]]), (deployment_raw[[#This Row],[Column9]] * IF($E$2="Deployment",deployment_raw[[#This Row],[Column5]],1))/1048576,"")</f>
        <v/>
      </c>
      <c r="J418" s="122" t="str">
        <f>IF(ISNUMBER(deployment_raw[[#This Row],[Column10]]), (MIN(IF(N418&lt;&gt;"",N418,9999999999999)*1.1,deployment_raw[[#This Row],[Column10]] * IF($E$2="Deployment",deployment_raw[[#This Row],[Column5]],1))),"")</f>
        <v/>
      </c>
      <c r="K418" s="123" t="str">
        <f>IF(ISNUMBER(deployment_raw[[#This Row],[Column11]]), (MIN(IF(O418&lt;&gt;"",O418,9999999999999)*1.1,deployment_raw[[#This Row],[Column11]] * IF($E$2="Deployment",deployment_raw[[#This Row],[Column5]],1)/1048576)),"")</f>
        <v/>
      </c>
      <c r="L418" s="124" t="str">
        <f>IF(ISNUMBER(deployment_raw[[#This Row],[Column8]]),IF(OR(deployment_raw[[#This Row],[Column5]] &lt;&gt; 0,$E$2 &lt;&gt; "Deployment"), MAX(J418, P418, R418, ($L$2 * IF($E$2="Deployment",deployment_raw[[#This Row],[Column5]],1)),IF(T418&lt;&gt;"",VALUE(T418) * IF($E$2="Deployment",deployment_raw[[#This Row],[Column5]],1),0)), 0),"")</f>
        <v/>
      </c>
      <c r="M418" s="125" t="str">
        <f>IF(ISNUMBER(deployment_raw[[#This Row],[Column9]]),IF(OR(deployment_raw[[#This Row],[Column5]] &lt;&gt; 0,$E$2&lt;&gt;"Deployment"), MAX(K418, Q418, S418, ($M$2 * IF($E$2="Deployment",deployment_raw[[#This Row],[Column5]],1)),IF(U418&lt;&gt;"",VALUE(U418) * IF($E$2="Deployment",deployment_raw[[#This Row],[Column5]],1),0)), 0),"")</f>
        <v/>
      </c>
      <c r="N418" s="166" t="str">
        <f>IF(ISNUMBER(deployment_raw[[#This Row],[Column14]]), deployment_raw[[#This Row],[Column14]]/IF(OR($E$2="Deployment",deployment_raw[[#This Row],[Column5]]=0),1,deployment_raw[[#This Row],[Column5]]),"")</f>
        <v/>
      </c>
      <c r="O418" s="167" t="str">
        <f>IF(ISNUMBER(deployment_raw[[#This Row],[Column15]]), deployment_raw[[#This Row],[Column15]]/IF(OR($E$2="Deployment",deployment_raw[[#This Row],[Column5]]=0),1,deployment_raw[[#This Row],[Column5]])/1048576,"")</f>
        <v/>
      </c>
      <c r="P418" s="168" t="str">
        <f>IF(ISNUMBER(deployment_raw[[#This Row],[Column12]]), (MIN(IF(N418&lt;&gt;"",N418,9999999999999)*1.1,deployment_raw[[#This Row],[Column12]] * IF($E$2="Deployment",deployment_raw[[#This Row],[Column5]],1))*(1+$P$2)),"")</f>
        <v/>
      </c>
      <c r="Q418" s="167" t="str">
        <f>IF(ISNUMBER(deployment_raw[[#This Row],[Column13]]), (MIN(IF(O418&lt;&gt;"",O418,9999999999999)*1.1,deployment_raw[[#This Row],[Column13]] * IF($E$2="Deployment",deployment_raw[[#This Row],[Column5]],1)*(1+$Q$2)/1048576)),"")</f>
        <v/>
      </c>
      <c r="R418" s="169" t="str">
        <f>IF(ISNUMBER(deployment_raw[[#This Row],[Column8]]), (H418  * IF(N418&lt;&gt;0,$R$2,1)),"")</f>
        <v/>
      </c>
      <c r="S418" s="170" t="str">
        <f>IF(ISNUMBER(deployment_raw[[#This Row],[Column8]]), (I418  * IF(O418&lt;&gt;0,$S$2,1)),"")</f>
        <v/>
      </c>
      <c r="T418" s="202" t="str">
        <f>IF(AND(A418&lt;&gt;"",_xlfn.IFNA(MATCH(A418,'dynamic resource application '!$A$2:$A$100, 0),0)&lt;&gt;0), H418/(IF($E$2="Deployment",E418,1)),"")</f>
        <v/>
      </c>
      <c r="U418" s="211" t="str">
        <f>IF(AND(A418&lt;&gt;"",_xlfn.IFNA(MATCH(A418,'dynamic resource application '!$A$2:$A$100, 0),0)&lt;&gt;0), I418/(IF($E$2="Deployment",E418,1)),"")</f>
        <v/>
      </c>
    </row>
    <row r="419" spans="1:21" ht="15.75" customHeight="1" x14ac:dyDescent="0.25">
      <c r="A419" s="35" t="str">
        <f>IF(ISNONTEXT(deployment_raw[[#This Row],[Column1]]), "", deployment_raw[[#This Row],[Column1]])</f>
        <v/>
      </c>
      <c r="B419" s="36" t="str">
        <f>IF(ISNONTEXT(deployment_raw[[#This Row],[Column2]]), "", deployment_raw[[#This Row],[Column2]])</f>
        <v/>
      </c>
      <c r="C419" s="36" t="str">
        <f>IF(ISNONTEXT(deployment_raw[[#This Row],[Column3]]), "", deployment_raw[[#This Row],[Column3]])</f>
        <v/>
      </c>
      <c r="D419" s="36" t="str">
        <f>IF(ISNONTEXT(deployment_raw[[#This Row],[Column4]]), "", deployment_raw[[#This Row],[Column4]])</f>
        <v/>
      </c>
      <c r="E419" s="37" t="str">
        <f>IF(ISNUMBER(deployment_raw[[#This Row],[Column5]]), deployment_raw[[#This Row],[Column5]],"")</f>
        <v/>
      </c>
      <c r="F419" s="94" t="str">
        <f>IF(ISNUMBER(deployment_raw[[#This Row],[Column6]]), (deployment_raw[[#This Row],[Column6]] * IF($E$2="Deployment",deployment_raw[[#This Row],[Column5]],1)),"")</f>
        <v/>
      </c>
      <c r="G419" s="95" t="str">
        <f>IF(ISNUMBER(deployment_raw[[#This Row],[Column7]]), (deployment_raw[[#This Row],[Column7]] * IF($E$2="Deployment",deployment_raw[[#This Row],[Column5]],1))/1048576,"")</f>
        <v/>
      </c>
      <c r="H419" s="95" t="str">
        <f>IF(ISNUMBER(deployment_raw[[#This Row],[Column8]]), (deployment_raw[[#This Row],[Column8]]  * IF($E$2="Deployment",deployment_raw[[#This Row],[Column5]],1)),"")</f>
        <v/>
      </c>
      <c r="I419" s="96" t="str">
        <f>IF(ISNUMBER(deployment_raw[[#This Row],[Column9]]), (deployment_raw[[#This Row],[Column9]] * IF($E$2="Deployment",deployment_raw[[#This Row],[Column5]],1))/1048576,"")</f>
        <v/>
      </c>
      <c r="J419" s="122" t="str">
        <f>IF(ISNUMBER(deployment_raw[[#This Row],[Column10]]), (MIN(IF(N419&lt;&gt;"",N419,9999999999999)*1.1,deployment_raw[[#This Row],[Column10]] * IF($E$2="Deployment",deployment_raw[[#This Row],[Column5]],1))),"")</f>
        <v/>
      </c>
      <c r="K419" s="123" t="str">
        <f>IF(ISNUMBER(deployment_raw[[#This Row],[Column11]]), (MIN(IF(O419&lt;&gt;"",O419,9999999999999)*1.1,deployment_raw[[#This Row],[Column11]] * IF($E$2="Deployment",deployment_raw[[#This Row],[Column5]],1)/1048576)),"")</f>
        <v/>
      </c>
      <c r="L419" s="124" t="str">
        <f>IF(ISNUMBER(deployment_raw[[#This Row],[Column8]]),IF(OR(deployment_raw[[#This Row],[Column5]] &lt;&gt; 0,$E$2 &lt;&gt; "Deployment"), MAX(J419, P419, R419, ($L$2 * IF($E$2="Deployment",deployment_raw[[#This Row],[Column5]],1)),IF(T419&lt;&gt;"",VALUE(T419) * IF($E$2="Deployment",deployment_raw[[#This Row],[Column5]],1),0)), 0),"")</f>
        <v/>
      </c>
      <c r="M419" s="125" t="str">
        <f>IF(ISNUMBER(deployment_raw[[#This Row],[Column9]]),IF(OR(deployment_raw[[#This Row],[Column5]] &lt;&gt; 0,$E$2&lt;&gt;"Deployment"), MAX(K419, Q419, S419, ($M$2 * IF($E$2="Deployment",deployment_raw[[#This Row],[Column5]],1)),IF(U419&lt;&gt;"",VALUE(U419) * IF($E$2="Deployment",deployment_raw[[#This Row],[Column5]],1),0)), 0),"")</f>
        <v/>
      </c>
      <c r="N419" s="166" t="str">
        <f>IF(ISNUMBER(deployment_raw[[#This Row],[Column14]]), deployment_raw[[#This Row],[Column14]]/IF(OR($E$2="Deployment",deployment_raw[[#This Row],[Column5]]=0),1,deployment_raw[[#This Row],[Column5]]),"")</f>
        <v/>
      </c>
      <c r="O419" s="167" t="str">
        <f>IF(ISNUMBER(deployment_raw[[#This Row],[Column15]]), deployment_raw[[#This Row],[Column15]]/IF(OR($E$2="Deployment",deployment_raw[[#This Row],[Column5]]=0),1,deployment_raw[[#This Row],[Column5]])/1048576,"")</f>
        <v/>
      </c>
      <c r="P419" s="168" t="str">
        <f>IF(ISNUMBER(deployment_raw[[#This Row],[Column12]]), (MIN(IF(N419&lt;&gt;"",N419,9999999999999)*1.1,deployment_raw[[#This Row],[Column12]] * IF($E$2="Deployment",deployment_raw[[#This Row],[Column5]],1))*(1+$P$2)),"")</f>
        <v/>
      </c>
      <c r="Q419" s="167" t="str">
        <f>IF(ISNUMBER(deployment_raw[[#This Row],[Column13]]), (MIN(IF(O419&lt;&gt;"",O419,9999999999999)*1.1,deployment_raw[[#This Row],[Column13]] * IF($E$2="Deployment",deployment_raw[[#This Row],[Column5]],1)*(1+$Q$2)/1048576)),"")</f>
        <v/>
      </c>
      <c r="R419" s="169" t="str">
        <f>IF(ISNUMBER(deployment_raw[[#This Row],[Column8]]), (H419  * IF(N419&lt;&gt;0,$R$2,1)),"")</f>
        <v/>
      </c>
      <c r="S419" s="170" t="str">
        <f>IF(ISNUMBER(deployment_raw[[#This Row],[Column8]]), (I419  * IF(O419&lt;&gt;0,$S$2,1)),"")</f>
        <v/>
      </c>
      <c r="T419" s="202" t="str">
        <f>IF(AND(A419&lt;&gt;"",_xlfn.IFNA(MATCH(A419,'dynamic resource application '!$A$2:$A$100, 0),0)&lt;&gt;0), H419/(IF($E$2="Deployment",E419,1)),"")</f>
        <v/>
      </c>
      <c r="U419" s="211" t="str">
        <f>IF(AND(A419&lt;&gt;"",_xlfn.IFNA(MATCH(A419,'dynamic resource application '!$A$2:$A$100, 0),0)&lt;&gt;0), I419/(IF($E$2="Deployment",E419,1)),"")</f>
        <v/>
      </c>
    </row>
    <row r="420" spans="1:21" ht="15.75" customHeight="1" x14ac:dyDescent="0.25">
      <c r="A420" s="35" t="str">
        <f>IF(ISNONTEXT(deployment_raw[[#This Row],[Column1]]), "", deployment_raw[[#This Row],[Column1]])</f>
        <v/>
      </c>
      <c r="B420" s="36" t="str">
        <f>IF(ISNONTEXT(deployment_raw[[#This Row],[Column2]]), "", deployment_raw[[#This Row],[Column2]])</f>
        <v/>
      </c>
      <c r="C420" s="36" t="str">
        <f>IF(ISNONTEXT(deployment_raw[[#This Row],[Column3]]), "", deployment_raw[[#This Row],[Column3]])</f>
        <v/>
      </c>
      <c r="D420" s="36" t="str">
        <f>IF(ISNONTEXT(deployment_raw[[#This Row],[Column4]]), "", deployment_raw[[#This Row],[Column4]])</f>
        <v/>
      </c>
      <c r="E420" s="37" t="str">
        <f>IF(ISNUMBER(deployment_raw[[#This Row],[Column5]]), deployment_raw[[#This Row],[Column5]],"")</f>
        <v/>
      </c>
      <c r="F420" s="94" t="str">
        <f>IF(ISNUMBER(deployment_raw[[#This Row],[Column6]]), (deployment_raw[[#This Row],[Column6]] * IF($E$2="Deployment",deployment_raw[[#This Row],[Column5]],1)),"")</f>
        <v/>
      </c>
      <c r="G420" s="95" t="str">
        <f>IF(ISNUMBER(deployment_raw[[#This Row],[Column7]]), (deployment_raw[[#This Row],[Column7]] * IF($E$2="Deployment",deployment_raw[[#This Row],[Column5]],1))/1048576,"")</f>
        <v/>
      </c>
      <c r="H420" s="95" t="str">
        <f>IF(ISNUMBER(deployment_raw[[#This Row],[Column8]]), (deployment_raw[[#This Row],[Column8]]  * IF($E$2="Deployment",deployment_raw[[#This Row],[Column5]],1)),"")</f>
        <v/>
      </c>
      <c r="I420" s="96" t="str">
        <f>IF(ISNUMBER(deployment_raw[[#This Row],[Column9]]), (deployment_raw[[#This Row],[Column9]] * IF($E$2="Deployment",deployment_raw[[#This Row],[Column5]],1))/1048576,"")</f>
        <v/>
      </c>
      <c r="J420" s="122" t="str">
        <f>IF(ISNUMBER(deployment_raw[[#This Row],[Column10]]), (MIN(IF(N420&lt;&gt;"",N420,9999999999999)*1.1,deployment_raw[[#This Row],[Column10]] * IF($E$2="Deployment",deployment_raw[[#This Row],[Column5]],1))),"")</f>
        <v/>
      </c>
      <c r="K420" s="123" t="str">
        <f>IF(ISNUMBER(deployment_raw[[#This Row],[Column11]]), (MIN(IF(O420&lt;&gt;"",O420,9999999999999)*1.1,deployment_raw[[#This Row],[Column11]] * IF($E$2="Deployment",deployment_raw[[#This Row],[Column5]],1)/1048576)),"")</f>
        <v/>
      </c>
      <c r="L420" s="124" t="str">
        <f>IF(ISNUMBER(deployment_raw[[#This Row],[Column8]]),IF(OR(deployment_raw[[#This Row],[Column5]] &lt;&gt; 0,$E$2 &lt;&gt; "Deployment"), MAX(J420, P420, R420, ($L$2 * IF($E$2="Deployment",deployment_raw[[#This Row],[Column5]],1)),IF(T420&lt;&gt;"",VALUE(T420) * IF($E$2="Deployment",deployment_raw[[#This Row],[Column5]],1),0)), 0),"")</f>
        <v/>
      </c>
      <c r="M420" s="125" t="str">
        <f>IF(ISNUMBER(deployment_raw[[#This Row],[Column9]]),IF(OR(deployment_raw[[#This Row],[Column5]] &lt;&gt; 0,$E$2&lt;&gt;"Deployment"), MAX(K420, Q420, S420, ($M$2 * IF($E$2="Deployment",deployment_raw[[#This Row],[Column5]],1)),IF(U420&lt;&gt;"",VALUE(U420) * IF($E$2="Deployment",deployment_raw[[#This Row],[Column5]],1),0)), 0),"")</f>
        <v/>
      </c>
      <c r="N420" s="166" t="str">
        <f>IF(ISNUMBER(deployment_raw[[#This Row],[Column14]]), deployment_raw[[#This Row],[Column14]]/IF(OR($E$2="Deployment",deployment_raw[[#This Row],[Column5]]=0),1,deployment_raw[[#This Row],[Column5]]),"")</f>
        <v/>
      </c>
      <c r="O420" s="167" t="str">
        <f>IF(ISNUMBER(deployment_raw[[#This Row],[Column15]]), deployment_raw[[#This Row],[Column15]]/IF(OR($E$2="Deployment",deployment_raw[[#This Row],[Column5]]=0),1,deployment_raw[[#This Row],[Column5]])/1048576,"")</f>
        <v/>
      </c>
      <c r="P420" s="168" t="str">
        <f>IF(ISNUMBER(deployment_raw[[#This Row],[Column12]]), (MIN(IF(N420&lt;&gt;"",N420,9999999999999)*1.1,deployment_raw[[#This Row],[Column12]] * IF($E$2="Deployment",deployment_raw[[#This Row],[Column5]],1))*(1+$P$2)),"")</f>
        <v/>
      </c>
      <c r="Q420" s="167" t="str">
        <f>IF(ISNUMBER(deployment_raw[[#This Row],[Column13]]), (MIN(IF(O420&lt;&gt;"",O420,9999999999999)*1.1,deployment_raw[[#This Row],[Column13]] * IF($E$2="Deployment",deployment_raw[[#This Row],[Column5]],1)*(1+$Q$2)/1048576)),"")</f>
        <v/>
      </c>
      <c r="R420" s="169" t="str">
        <f>IF(ISNUMBER(deployment_raw[[#This Row],[Column8]]), (H420  * IF(N420&lt;&gt;0,$R$2,1)),"")</f>
        <v/>
      </c>
      <c r="S420" s="170" t="str">
        <f>IF(ISNUMBER(deployment_raw[[#This Row],[Column8]]), (I420  * IF(O420&lt;&gt;0,$S$2,1)),"")</f>
        <v/>
      </c>
      <c r="T420" s="202" t="str">
        <f>IF(AND(A420&lt;&gt;"",_xlfn.IFNA(MATCH(A420,'dynamic resource application '!$A$2:$A$100, 0),0)&lt;&gt;0), H420/(IF($E$2="Deployment",E420,1)),"")</f>
        <v/>
      </c>
      <c r="U420" s="211" t="str">
        <f>IF(AND(A420&lt;&gt;"",_xlfn.IFNA(MATCH(A420,'dynamic resource application '!$A$2:$A$100, 0),0)&lt;&gt;0), I420/(IF($E$2="Deployment",E420,1)),"")</f>
        <v/>
      </c>
    </row>
    <row r="421" spans="1:21" ht="15.75" customHeight="1" x14ac:dyDescent="0.25">
      <c r="A421" s="35" t="str">
        <f>IF(ISNONTEXT(deployment_raw[[#This Row],[Column1]]), "", deployment_raw[[#This Row],[Column1]])</f>
        <v/>
      </c>
      <c r="B421" s="36" t="str">
        <f>IF(ISNONTEXT(deployment_raw[[#This Row],[Column2]]), "", deployment_raw[[#This Row],[Column2]])</f>
        <v/>
      </c>
      <c r="C421" s="36" t="str">
        <f>IF(ISNONTEXT(deployment_raw[[#This Row],[Column3]]), "", deployment_raw[[#This Row],[Column3]])</f>
        <v/>
      </c>
      <c r="D421" s="36" t="str">
        <f>IF(ISNONTEXT(deployment_raw[[#This Row],[Column4]]), "", deployment_raw[[#This Row],[Column4]])</f>
        <v/>
      </c>
      <c r="E421" s="37" t="str">
        <f>IF(ISNUMBER(deployment_raw[[#This Row],[Column5]]), deployment_raw[[#This Row],[Column5]],"")</f>
        <v/>
      </c>
      <c r="F421" s="94" t="str">
        <f>IF(ISNUMBER(deployment_raw[[#This Row],[Column6]]), (deployment_raw[[#This Row],[Column6]] * IF($E$2="Deployment",deployment_raw[[#This Row],[Column5]],1)),"")</f>
        <v/>
      </c>
      <c r="G421" s="95" t="str">
        <f>IF(ISNUMBER(deployment_raw[[#This Row],[Column7]]), (deployment_raw[[#This Row],[Column7]] * IF($E$2="Deployment",deployment_raw[[#This Row],[Column5]],1))/1048576,"")</f>
        <v/>
      </c>
      <c r="H421" s="95" t="str">
        <f>IF(ISNUMBER(deployment_raw[[#This Row],[Column8]]), (deployment_raw[[#This Row],[Column8]]  * IF($E$2="Deployment",deployment_raw[[#This Row],[Column5]],1)),"")</f>
        <v/>
      </c>
      <c r="I421" s="96" t="str">
        <f>IF(ISNUMBER(deployment_raw[[#This Row],[Column9]]), (deployment_raw[[#This Row],[Column9]] * IF($E$2="Deployment",deployment_raw[[#This Row],[Column5]],1))/1048576,"")</f>
        <v/>
      </c>
      <c r="J421" s="122" t="str">
        <f>IF(ISNUMBER(deployment_raw[[#This Row],[Column10]]), (MIN(IF(N421&lt;&gt;"",N421,9999999999999)*1.1,deployment_raw[[#This Row],[Column10]] * IF($E$2="Deployment",deployment_raw[[#This Row],[Column5]],1))),"")</f>
        <v/>
      </c>
      <c r="K421" s="123" t="str">
        <f>IF(ISNUMBER(deployment_raw[[#This Row],[Column11]]), (MIN(IF(O421&lt;&gt;"",O421,9999999999999)*1.1,deployment_raw[[#This Row],[Column11]] * IF($E$2="Deployment",deployment_raw[[#This Row],[Column5]],1)/1048576)),"")</f>
        <v/>
      </c>
      <c r="L421" s="124" t="str">
        <f>IF(ISNUMBER(deployment_raw[[#This Row],[Column8]]),IF(OR(deployment_raw[[#This Row],[Column5]] &lt;&gt; 0,$E$2 &lt;&gt; "Deployment"), MAX(J421, P421, R421, ($L$2 * IF($E$2="Deployment",deployment_raw[[#This Row],[Column5]],1)),IF(T421&lt;&gt;"",VALUE(T421) * IF($E$2="Deployment",deployment_raw[[#This Row],[Column5]],1),0)), 0),"")</f>
        <v/>
      </c>
      <c r="M421" s="125" t="str">
        <f>IF(ISNUMBER(deployment_raw[[#This Row],[Column9]]),IF(OR(deployment_raw[[#This Row],[Column5]] &lt;&gt; 0,$E$2&lt;&gt;"Deployment"), MAX(K421, Q421, S421, ($M$2 * IF($E$2="Deployment",deployment_raw[[#This Row],[Column5]],1)),IF(U421&lt;&gt;"",VALUE(U421) * IF($E$2="Deployment",deployment_raw[[#This Row],[Column5]],1),0)), 0),"")</f>
        <v/>
      </c>
      <c r="N421" s="166" t="str">
        <f>IF(ISNUMBER(deployment_raw[[#This Row],[Column14]]), deployment_raw[[#This Row],[Column14]]/IF(OR($E$2="Deployment",deployment_raw[[#This Row],[Column5]]=0),1,deployment_raw[[#This Row],[Column5]]),"")</f>
        <v/>
      </c>
      <c r="O421" s="167" t="str">
        <f>IF(ISNUMBER(deployment_raw[[#This Row],[Column15]]), deployment_raw[[#This Row],[Column15]]/IF(OR($E$2="Deployment",deployment_raw[[#This Row],[Column5]]=0),1,deployment_raw[[#This Row],[Column5]])/1048576,"")</f>
        <v/>
      </c>
      <c r="P421" s="168" t="str">
        <f>IF(ISNUMBER(deployment_raw[[#This Row],[Column12]]), (MIN(IF(N421&lt;&gt;"",N421,9999999999999)*1.1,deployment_raw[[#This Row],[Column12]] * IF($E$2="Deployment",deployment_raw[[#This Row],[Column5]],1))*(1+$P$2)),"")</f>
        <v/>
      </c>
      <c r="Q421" s="167" t="str">
        <f>IF(ISNUMBER(deployment_raw[[#This Row],[Column13]]), (MIN(IF(O421&lt;&gt;"",O421,9999999999999)*1.1,deployment_raw[[#This Row],[Column13]] * IF($E$2="Deployment",deployment_raw[[#This Row],[Column5]],1)*(1+$Q$2)/1048576)),"")</f>
        <v/>
      </c>
      <c r="R421" s="169" t="str">
        <f>IF(ISNUMBER(deployment_raw[[#This Row],[Column8]]), (H421  * IF(N421&lt;&gt;0,$R$2,1)),"")</f>
        <v/>
      </c>
      <c r="S421" s="170" t="str">
        <f>IF(ISNUMBER(deployment_raw[[#This Row],[Column8]]), (I421  * IF(O421&lt;&gt;0,$S$2,1)),"")</f>
        <v/>
      </c>
      <c r="T421" s="202" t="str">
        <f>IF(AND(A421&lt;&gt;"",_xlfn.IFNA(MATCH(A421,'dynamic resource application '!$A$2:$A$100, 0),0)&lt;&gt;0), H421/(IF($E$2="Deployment",E421,1)),"")</f>
        <v/>
      </c>
      <c r="U421" s="211" t="str">
        <f>IF(AND(A421&lt;&gt;"",_xlfn.IFNA(MATCH(A421,'dynamic resource application '!$A$2:$A$100, 0),0)&lt;&gt;0), I421/(IF($E$2="Deployment",E421,1)),"")</f>
        <v/>
      </c>
    </row>
    <row r="422" spans="1:21" ht="15.75" customHeight="1" x14ac:dyDescent="0.25">
      <c r="A422" s="35" t="str">
        <f>IF(ISNONTEXT(deployment_raw[[#This Row],[Column1]]), "", deployment_raw[[#This Row],[Column1]])</f>
        <v/>
      </c>
      <c r="B422" s="36" t="str">
        <f>IF(ISNONTEXT(deployment_raw[[#This Row],[Column2]]), "", deployment_raw[[#This Row],[Column2]])</f>
        <v/>
      </c>
      <c r="C422" s="36" t="str">
        <f>IF(ISNONTEXT(deployment_raw[[#This Row],[Column3]]), "", deployment_raw[[#This Row],[Column3]])</f>
        <v/>
      </c>
      <c r="D422" s="36" t="str">
        <f>IF(ISNONTEXT(deployment_raw[[#This Row],[Column4]]), "", deployment_raw[[#This Row],[Column4]])</f>
        <v/>
      </c>
      <c r="E422" s="37" t="str">
        <f>IF(ISNUMBER(deployment_raw[[#This Row],[Column5]]), deployment_raw[[#This Row],[Column5]],"")</f>
        <v/>
      </c>
      <c r="F422" s="94" t="str">
        <f>IF(ISNUMBER(deployment_raw[[#This Row],[Column6]]), (deployment_raw[[#This Row],[Column6]] * IF($E$2="Deployment",deployment_raw[[#This Row],[Column5]],1)),"")</f>
        <v/>
      </c>
      <c r="G422" s="95" t="str">
        <f>IF(ISNUMBER(deployment_raw[[#This Row],[Column7]]), (deployment_raw[[#This Row],[Column7]] * IF($E$2="Deployment",deployment_raw[[#This Row],[Column5]],1))/1048576,"")</f>
        <v/>
      </c>
      <c r="H422" s="95" t="str">
        <f>IF(ISNUMBER(deployment_raw[[#This Row],[Column8]]), (deployment_raw[[#This Row],[Column8]]  * IF($E$2="Deployment",deployment_raw[[#This Row],[Column5]],1)),"")</f>
        <v/>
      </c>
      <c r="I422" s="96" t="str">
        <f>IF(ISNUMBER(deployment_raw[[#This Row],[Column9]]), (deployment_raw[[#This Row],[Column9]] * IF($E$2="Deployment",deployment_raw[[#This Row],[Column5]],1))/1048576,"")</f>
        <v/>
      </c>
      <c r="J422" s="122" t="str">
        <f>IF(ISNUMBER(deployment_raw[[#This Row],[Column10]]), (MIN(IF(N422&lt;&gt;"",N422,9999999999999)*1.1,deployment_raw[[#This Row],[Column10]] * IF($E$2="Deployment",deployment_raw[[#This Row],[Column5]],1))),"")</f>
        <v/>
      </c>
      <c r="K422" s="123" t="str">
        <f>IF(ISNUMBER(deployment_raw[[#This Row],[Column11]]), (MIN(IF(O422&lt;&gt;"",O422,9999999999999)*1.1,deployment_raw[[#This Row],[Column11]] * IF($E$2="Deployment",deployment_raw[[#This Row],[Column5]],1)/1048576)),"")</f>
        <v/>
      </c>
      <c r="L422" s="124" t="str">
        <f>IF(ISNUMBER(deployment_raw[[#This Row],[Column8]]),IF(OR(deployment_raw[[#This Row],[Column5]] &lt;&gt; 0,$E$2 &lt;&gt; "Deployment"), MAX(J422, P422, R422, ($L$2 * IF($E$2="Deployment",deployment_raw[[#This Row],[Column5]],1)),IF(T422&lt;&gt;"",VALUE(T422) * IF($E$2="Deployment",deployment_raw[[#This Row],[Column5]],1),0)), 0),"")</f>
        <v/>
      </c>
      <c r="M422" s="125" t="str">
        <f>IF(ISNUMBER(deployment_raw[[#This Row],[Column9]]),IF(OR(deployment_raw[[#This Row],[Column5]] &lt;&gt; 0,$E$2&lt;&gt;"Deployment"), MAX(K422, Q422, S422, ($M$2 * IF($E$2="Deployment",deployment_raw[[#This Row],[Column5]],1)),IF(U422&lt;&gt;"",VALUE(U422) * IF($E$2="Deployment",deployment_raw[[#This Row],[Column5]],1),0)), 0),"")</f>
        <v/>
      </c>
      <c r="N422" s="166" t="str">
        <f>IF(ISNUMBER(deployment_raw[[#This Row],[Column14]]), deployment_raw[[#This Row],[Column14]]/IF(OR($E$2="Deployment",deployment_raw[[#This Row],[Column5]]=0),1,deployment_raw[[#This Row],[Column5]]),"")</f>
        <v/>
      </c>
      <c r="O422" s="167" t="str">
        <f>IF(ISNUMBER(deployment_raw[[#This Row],[Column15]]), deployment_raw[[#This Row],[Column15]]/IF(OR($E$2="Deployment",deployment_raw[[#This Row],[Column5]]=0),1,deployment_raw[[#This Row],[Column5]])/1048576,"")</f>
        <v/>
      </c>
      <c r="P422" s="168" t="str">
        <f>IF(ISNUMBER(deployment_raw[[#This Row],[Column12]]), (MIN(IF(N422&lt;&gt;"",N422,9999999999999)*1.1,deployment_raw[[#This Row],[Column12]] * IF($E$2="Deployment",deployment_raw[[#This Row],[Column5]],1))*(1+$P$2)),"")</f>
        <v/>
      </c>
      <c r="Q422" s="167" t="str">
        <f>IF(ISNUMBER(deployment_raw[[#This Row],[Column13]]), (MIN(IF(O422&lt;&gt;"",O422,9999999999999)*1.1,deployment_raw[[#This Row],[Column13]] * IF($E$2="Deployment",deployment_raw[[#This Row],[Column5]],1)*(1+$Q$2)/1048576)),"")</f>
        <v/>
      </c>
      <c r="R422" s="169" t="str">
        <f>IF(ISNUMBER(deployment_raw[[#This Row],[Column8]]), (H422  * IF(N422&lt;&gt;0,$R$2,1)),"")</f>
        <v/>
      </c>
      <c r="S422" s="170" t="str">
        <f>IF(ISNUMBER(deployment_raw[[#This Row],[Column8]]), (I422  * IF(O422&lt;&gt;0,$S$2,1)),"")</f>
        <v/>
      </c>
      <c r="T422" s="202" t="str">
        <f>IF(AND(A422&lt;&gt;"",_xlfn.IFNA(MATCH(A422,'dynamic resource application '!$A$2:$A$100, 0),0)&lt;&gt;0), H422/(IF($E$2="Deployment",E422,1)),"")</f>
        <v/>
      </c>
      <c r="U422" s="211" t="str">
        <f>IF(AND(A422&lt;&gt;"",_xlfn.IFNA(MATCH(A422,'dynamic resource application '!$A$2:$A$100, 0),0)&lt;&gt;0), I422/(IF($E$2="Deployment",E422,1)),"")</f>
        <v/>
      </c>
    </row>
    <row r="423" spans="1:21" ht="15.75" customHeight="1" x14ac:dyDescent="0.25">
      <c r="A423" s="35" t="str">
        <f>IF(ISNONTEXT(deployment_raw[[#This Row],[Column1]]), "", deployment_raw[[#This Row],[Column1]])</f>
        <v/>
      </c>
      <c r="B423" s="36" t="str">
        <f>IF(ISNONTEXT(deployment_raw[[#This Row],[Column2]]), "", deployment_raw[[#This Row],[Column2]])</f>
        <v/>
      </c>
      <c r="C423" s="36" t="str">
        <f>IF(ISNONTEXT(deployment_raw[[#This Row],[Column3]]), "", deployment_raw[[#This Row],[Column3]])</f>
        <v/>
      </c>
      <c r="D423" s="36" t="str">
        <f>IF(ISNONTEXT(deployment_raw[[#This Row],[Column4]]), "", deployment_raw[[#This Row],[Column4]])</f>
        <v/>
      </c>
      <c r="E423" s="37" t="str">
        <f>IF(ISNUMBER(deployment_raw[[#This Row],[Column5]]), deployment_raw[[#This Row],[Column5]],"")</f>
        <v/>
      </c>
      <c r="F423" s="94" t="str">
        <f>IF(ISNUMBER(deployment_raw[[#This Row],[Column6]]), (deployment_raw[[#This Row],[Column6]] * IF($E$2="Deployment",deployment_raw[[#This Row],[Column5]],1)),"")</f>
        <v/>
      </c>
      <c r="G423" s="95" t="str">
        <f>IF(ISNUMBER(deployment_raw[[#This Row],[Column7]]), (deployment_raw[[#This Row],[Column7]] * IF($E$2="Deployment",deployment_raw[[#This Row],[Column5]],1))/1048576,"")</f>
        <v/>
      </c>
      <c r="H423" s="95" t="str">
        <f>IF(ISNUMBER(deployment_raw[[#This Row],[Column8]]), (deployment_raw[[#This Row],[Column8]]  * IF($E$2="Deployment",deployment_raw[[#This Row],[Column5]],1)),"")</f>
        <v/>
      </c>
      <c r="I423" s="96" t="str">
        <f>IF(ISNUMBER(deployment_raw[[#This Row],[Column9]]), (deployment_raw[[#This Row],[Column9]] * IF($E$2="Deployment",deployment_raw[[#This Row],[Column5]],1))/1048576,"")</f>
        <v/>
      </c>
      <c r="J423" s="122" t="str">
        <f>IF(ISNUMBER(deployment_raw[[#This Row],[Column10]]), (MIN(IF(N423&lt;&gt;"",N423,9999999999999)*1.1,deployment_raw[[#This Row],[Column10]] * IF($E$2="Deployment",deployment_raw[[#This Row],[Column5]],1))),"")</f>
        <v/>
      </c>
      <c r="K423" s="123" t="str">
        <f>IF(ISNUMBER(deployment_raw[[#This Row],[Column11]]), (MIN(IF(O423&lt;&gt;"",O423,9999999999999)*1.1,deployment_raw[[#This Row],[Column11]] * IF($E$2="Deployment",deployment_raw[[#This Row],[Column5]],1)/1048576)),"")</f>
        <v/>
      </c>
      <c r="L423" s="124" t="str">
        <f>IF(ISNUMBER(deployment_raw[[#This Row],[Column8]]),IF(OR(deployment_raw[[#This Row],[Column5]] &lt;&gt; 0,$E$2 &lt;&gt; "Deployment"), MAX(J423, P423, R423, ($L$2 * IF($E$2="Deployment",deployment_raw[[#This Row],[Column5]],1)),IF(T423&lt;&gt;"",VALUE(T423) * IF($E$2="Deployment",deployment_raw[[#This Row],[Column5]],1),0)), 0),"")</f>
        <v/>
      </c>
      <c r="M423" s="125" t="str">
        <f>IF(ISNUMBER(deployment_raw[[#This Row],[Column9]]),IF(OR(deployment_raw[[#This Row],[Column5]] &lt;&gt; 0,$E$2&lt;&gt;"Deployment"), MAX(K423, Q423, S423, ($M$2 * IF($E$2="Deployment",deployment_raw[[#This Row],[Column5]],1)),IF(U423&lt;&gt;"",VALUE(U423) * IF($E$2="Deployment",deployment_raw[[#This Row],[Column5]],1),0)), 0),"")</f>
        <v/>
      </c>
      <c r="N423" s="166" t="str">
        <f>IF(ISNUMBER(deployment_raw[[#This Row],[Column14]]), deployment_raw[[#This Row],[Column14]]/IF(OR($E$2="Deployment",deployment_raw[[#This Row],[Column5]]=0),1,deployment_raw[[#This Row],[Column5]]),"")</f>
        <v/>
      </c>
      <c r="O423" s="167" t="str">
        <f>IF(ISNUMBER(deployment_raw[[#This Row],[Column15]]), deployment_raw[[#This Row],[Column15]]/IF(OR($E$2="Deployment",deployment_raw[[#This Row],[Column5]]=0),1,deployment_raw[[#This Row],[Column5]])/1048576,"")</f>
        <v/>
      </c>
      <c r="P423" s="168" t="str">
        <f>IF(ISNUMBER(deployment_raw[[#This Row],[Column12]]), (MIN(IF(N423&lt;&gt;"",N423,9999999999999)*1.1,deployment_raw[[#This Row],[Column12]] * IF($E$2="Deployment",deployment_raw[[#This Row],[Column5]],1))*(1+$P$2)),"")</f>
        <v/>
      </c>
      <c r="Q423" s="167" t="str">
        <f>IF(ISNUMBER(deployment_raw[[#This Row],[Column13]]), (MIN(IF(O423&lt;&gt;"",O423,9999999999999)*1.1,deployment_raw[[#This Row],[Column13]] * IF($E$2="Deployment",deployment_raw[[#This Row],[Column5]],1)*(1+$Q$2)/1048576)),"")</f>
        <v/>
      </c>
      <c r="R423" s="169" t="str">
        <f>IF(ISNUMBER(deployment_raw[[#This Row],[Column8]]), (H423  * IF(N423&lt;&gt;0,$R$2,1)),"")</f>
        <v/>
      </c>
      <c r="S423" s="170" t="str">
        <f>IF(ISNUMBER(deployment_raw[[#This Row],[Column8]]), (I423  * IF(O423&lt;&gt;0,$S$2,1)),"")</f>
        <v/>
      </c>
      <c r="T423" s="202" t="str">
        <f>IF(AND(A423&lt;&gt;"",_xlfn.IFNA(MATCH(A423,'dynamic resource application '!$A$2:$A$100, 0),0)&lt;&gt;0), H423/(IF($E$2="Deployment",E423,1)),"")</f>
        <v/>
      </c>
      <c r="U423" s="211" t="str">
        <f>IF(AND(A423&lt;&gt;"",_xlfn.IFNA(MATCH(A423,'dynamic resource application '!$A$2:$A$100, 0),0)&lt;&gt;0), I423/(IF($E$2="Deployment",E423,1)),"")</f>
        <v/>
      </c>
    </row>
    <row r="424" spans="1:21" ht="15.75" customHeight="1" x14ac:dyDescent="0.25">
      <c r="A424" s="35" t="str">
        <f>IF(ISNONTEXT(deployment_raw[[#This Row],[Column1]]), "", deployment_raw[[#This Row],[Column1]])</f>
        <v/>
      </c>
      <c r="B424" s="36" t="str">
        <f>IF(ISNONTEXT(deployment_raw[[#This Row],[Column2]]), "", deployment_raw[[#This Row],[Column2]])</f>
        <v/>
      </c>
      <c r="C424" s="36" t="str">
        <f>IF(ISNONTEXT(deployment_raw[[#This Row],[Column3]]), "", deployment_raw[[#This Row],[Column3]])</f>
        <v/>
      </c>
      <c r="D424" s="36" t="str">
        <f>IF(ISNONTEXT(deployment_raw[[#This Row],[Column4]]), "", deployment_raw[[#This Row],[Column4]])</f>
        <v/>
      </c>
      <c r="E424" s="37" t="str">
        <f>IF(ISNUMBER(deployment_raw[[#This Row],[Column5]]), deployment_raw[[#This Row],[Column5]],"")</f>
        <v/>
      </c>
      <c r="F424" s="94" t="str">
        <f>IF(ISNUMBER(deployment_raw[[#This Row],[Column6]]), (deployment_raw[[#This Row],[Column6]] * IF($E$2="Deployment",deployment_raw[[#This Row],[Column5]],1)),"")</f>
        <v/>
      </c>
      <c r="G424" s="95" t="str">
        <f>IF(ISNUMBER(deployment_raw[[#This Row],[Column7]]), (deployment_raw[[#This Row],[Column7]] * IF($E$2="Deployment",deployment_raw[[#This Row],[Column5]],1))/1048576,"")</f>
        <v/>
      </c>
      <c r="H424" s="95" t="str">
        <f>IF(ISNUMBER(deployment_raw[[#This Row],[Column8]]), (deployment_raw[[#This Row],[Column8]]  * IF($E$2="Deployment",deployment_raw[[#This Row],[Column5]],1)),"")</f>
        <v/>
      </c>
      <c r="I424" s="96" t="str">
        <f>IF(ISNUMBER(deployment_raw[[#This Row],[Column9]]), (deployment_raw[[#This Row],[Column9]] * IF($E$2="Deployment",deployment_raw[[#This Row],[Column5]],1))/1048576,"")</f>
        <v/>
      </c>
      <c r="J424" s="122" t="str">
        <f>IF(ISNUMBER(deployment_raw[[#This Row],[Column10]]), (MIN(IF(N424&lt;&gt;"",N424,9999999999999)*1.1,deployment_raw[[#This Row],[Column10]] * IF($E$2="Deployment",deployment_raw[[#This Row],[Column5]],1))),"")</f>
        <v/>
      </c>
      <c r="K424" s="123" t="str">
        <f>IF(ISNUMBER(deployment_raw[[#This Row],[Column11]]), (MIN(IF(O424&lt;&gt;"",O424,9999999999999)*1.1,deployment_raw[[#This Row],[Column11]] * IF($E$2="Deployment",deployment_raw[[#This Row],[Column5]],1)/1048576)),"")</f>
        <v/>
      </c>
      <c r="L424" s="124" t="str">
        <f>IF(ISNUMBER(deployment_raw[[#This Row],[Column8]]),IF(OR(deployment_raw[[#This Row],[Column5]] &lt;&gt; 0,$E$2 &lt;&gt; "Deployment"), MAX(J424, P424, R424, ($L$2 * IF($E$2="Deployment",deployment_raw[[#This Row],[Column5]],1)),IF(T424&lt;&gt;"",VALUE(T424) * IF($E$2="Deployment",deployment_raw[[#This Row],[Column5]],1),0)), 0),"")</f>
        <v/>
      </c>
      <c r="M424" s="125" t="str">
        <f>IF(ISNUMBER(deployment_raw[[#This Row],[Column9]]),IF(OR(deployment_raw[[#This Row],[Column5]] &lt;&gt; 0,$E$2&lt;&gt;"Deployment"), MAX(K424, Q424, S424, ($M$2 * IF($E$2="Deployment",deployment_raw[[#This Row],[Column5]],1)),IF(U424&lt;&gt;"",VALUE(U424) * IF($E$2="Deployment",deployment_raw[[#This Row],[Column5]],1),0)), 0),"")</f>
        <v/>
      </c>
      <c r="N424" s="166" t="str">
        <f>IF(ISNUMBER(deployment_raw[[#This Row],[Column14]]), deployment_raw[[#This Row],[Column14]]/IF(OR($E$2="Deployment",deployment_raw[[#This Row],[Column5]]=0),1,deployment_raw[[#This Row],[Column5]]),"")</f>
        <v/>
      </c>
      <c r="O424" s="167" t="str">
        <f>IF(ISNUMBER(deployment_raw[[#This Row],[Column15]]), deployment_raw[[#This Row],[Column15]]/IF(OR($E$2="Deployment",deployment_raw[[#This Row],[Column5]]=0),1,deployment_raw[[#This Row],[Column5]])/1048576,"")</f>
        <v/>
      </c>
      <c r="P424" s="168" t="str">
        <f>IF(ISNUMBER(deployment_raw[[#This Row],[Column12]]), (MIN(IF(N424&lt;&gt;"",N424,9999999999999)*1.1,deployment_raw[[#This Row],[Column12]] * IF($E$2="Deployment",deployment_raw[[#This Row],[Column5]],1))*(1+$P$2)),"")</f>
        <v/>
      </c>
      <c r="Q424" s="167" t="str">
        <f>IF(ISNUMBER(deployment_raw[[#This Row],[Column13]]), (MIN(IF(O424&lt;&gt;"",O424,9999999999999)*1.1,deployment_raw[[#This Row],[Column13]] * IF($E$2="Deployment",deployment_raw[[#This Row],[Column5]],1)*(1+$Q$2)/1048576)),"")</f>
        <v/>
      </c>
      <c r="R424" s="169" t="str">
        <f>IF(ISNUMBER(deployment_raw[[#This Row],[Column8]]), (H424  * IF(N424&lt;&gt;0,$R$2,1)),"")</f>
        <v/>
      </c>
      <c r="S424" s="170" t="str">
        <f>IF(ISNUMBER(deployment_raw[[#This Row],[Column8]]), (I424  * IF(O424&lt;&gt;0,$S$2,1)),"")</f>
        <v/>
      </c>
      <c r="T424" s="202" t="str">
        <f>IF(AND(A424&lt;&gt;"",_xlfn.IFNA(MATCH(A424,'dynamic resource application '!$A$2:$A$100, 0),0)&lt;&gt;0), H424/(IF($E$2="Deployment",E424,1)),"")</f>
        <v/>
      </c>
      <c r="U424" s="211" t="str">
        <f>IF(AND(A424&lt;&gt;"",_xlfn.IFNA(MATCH(A424,'dynamic resource application '!$A$2:$A$100, 0),0)&lt;&gt;0), I424/(IF($E$2="Deployment",E424,1)),"")</f>
        <v/>
      </c>
    </row>
    <row r="425" spans="1:21" ht="15.75" customHeight="1" x14ac:dyDescent="0.25">
      <c r="A425" s="35" t="str">
        <f>IF(ISNONTEXT(deployment_raw[[#This Row],[Column1]]), "", deployment_raw[[#This Row],[Column1]])</f>
        <v/>
      </c>
      <c r="B425" s="36" t="str">
        <f>IF(ISNONTEXT(deployment_raw[[#This Row],[Column2]]), "", deployment_raw[[#This Row],[Column2]])</f>
        <v/>
      </c>
      <c r="C425" s="36" t="str">
        <f>IF(ISNONTEXT(deployment_raw[[#This Row],[Column3]]), "", deployment_raw[[#This Row],[Column3]])</f>
        <v/>
      </c>
      <c r="D425" s="36" t="str">
        <f>IF(ISNONTEXT(deployment_raw[[#This Row],[Column4]]), "", deployment_raw[[#This Row],[Column4]])</f>
        <v/>
      </c>
      <c r="E425" s="37" t="str">
        <f>IF(ISNUMBER(deployment_raw[[#This Row],[Column5]]), deployment_raw[[#This Row],[Column5]],"")</f>
        <v/>
      </c>
      <c r="F425" s="94" t="str">
        <f>IF(ISNUMBER(deployment_raw[[#This Row],[Column6]]), (deployment_raw[[#This Row],[Column6]] * IF($E$2="Deployment",deployment_raw[[#This Row],[Column5]],1)),"")</f>
        <v/>
      </c>
      <c r="G425" s="95" t="str">
        <f>IF(ISNUMBER(deployment_raw[[#This Row],[Column7]]), (deployment_raw[[#This Row],[Column7]] * IF($E$2="Deployment",deployment_raw[[#This Row],[Column5]],1))/1048576,"")</f>
        <v/>
      </c>
      <c r="H425" s="95" t="str">
        <f>IF(ISNUMBER(deployment_raw[[#This Row],[Column8]]), (deployment_raw[[#This Row],[Column8]]  * IF($E$2="Deployment",deployment_raw[[#This Row],[Column5]],1)),"")</f>
        <v/>
      </c>
      <c r="I425" s="96" t="str">
        <f>IF(ISNUMBER(deployment_raw[[#This Row],[Column9]]), (deployment_raw[[#This Row],[Column9]] * IF($E$2="Deployment",deployment_raw[[#This Row],[Column5]],1))/1048576,"")</f>
        <v/>
      </c>
      <c r="J425" s="122" t="str">
        <f>IF(ISNUMBER(deployment_raw[[#This Row],[Column10]]), (MIN(IF(N425&lt;&gt;"",N425,9999999999999)*1.1,deployment_raw[[#This Row],[Column10]] * IF($E$2="Deployment",deployment_raw[[#This Row],[Column5]],1))),"")</f>
        <v/>
      </c>
      <c r="K425" s="123" t="str">
        <f>IF(ISNUMBER(deployment_raw[[#This Row],[Column11]]), (MIN(IF(O425&lt;&gt;"",O425,9999999999999)*1.1,deployment_raw[[#This Row],[Column11]] * IF($E$2="Deployment",deployment_raw[[#This Row],[Column5]],1)/1048576)),"")</f>
        <v/>
      </c>
      <c r="L425" s="124" t="str">
        <f>IF(ISNUMBER(deployment_raw[[#This Row],[Column8]]),IF(OR(deployment_raw[[#This Row],[Column5]] &lt;&gt; 0,$E$2 &lt;&gt; "Deployment"), MAX(J425, P425, R425, ($L$2 * IF($E$2="Deployment",deployment_raw[[#This Row],[Column5]],1)),IF(T425&lt;&gt;"",VALUE(T425) * IF($E$2="Deployment",deployment_raw[[#This Row],[Column5]],1),0)), 0),"")</f>
        <v/>
      </c>
      <c r="M425" s="125" t="str">
        <f>IF(ISNUMBER(deployment_raw[[#This Row],[Column9]]),IF(OR(deployment_raw[[#This Row],[Column5]] &lt;&gt; 0,$E$2&lt;&gt;"Deployment"), MAX(K425, Q425, S425, ($M$2 * IF($E$2="Deployment",deployment_raw[[#This Row],[Column5]],1)),IF(U425&lt;&gt;"",VALUE(U425) * IF($E$2="Deployment",deployment_raw[[#This Row],[Column5]],1),0)), 0),"")</f>
        <v/>
      </c>
      <c r="N425" s="166" t="str">
        <f>IF(ISNUMBER(deployment_raw[[#This Row],[Column14]]), deployment_raw[[#This Row],[Column14]]/IF(OR($E$2="Deployment",deployment_raw[[#This Row],[Column5]]=0),1,deployment_raw[[#This Row],[Column5]]),"")</f>
        <v/>
      </c>
      <c r="O425" s="167" t="str">
        <f>IF(ISNUMBER(deployment_raw[[#This Row],[Column15]]), deployment_raw[[#This Row],[Column15]]/IF(OR($E$2="Deployment",deployment_raw[[#This Row],[Column5]]=0),1,deployment_raw[[#This Row],[Column5]])/1048576,"")</f>
        <v/>
      </c>
      <c r="P425" s="168" t="str">
        <f>IF(ISNUMBER(deployment_raw[[#This Row],[Column12]]), (MIN(IF(N425&lt;&gt;"",N425,9999999999999)*1.1,deployment_raw[[#This Row],[Column12]] * IF($E$2="Deployment",deployment_raw[[#This Row],[Column5]],1))*(1+$P$2)),"")</f>
        <v/>
      </c>
      <c r="Q425" s="167" t="str">
        <f>IF(ISNUMBER(deployment_raw[[#This Row],[Column13]]), (MIN(IF(O425&lt;&gt;"",O425,9999999999999)*1.1,deployment_raw[[#This Row],[Column13]] * IF($E$2="Deployment",deployment_raw[[#This Row],[Column5]],1)*(1+$Q$2)/1048576)),"")</f>
        <v/>
      </c>
      <c r="R425" s="169" t="str">
        <f>IF(ISNUMBER(deployment_raw[[#This Row],[Column8]]), (H425  * IF(N425&lt;&gt;0,$R$2,1)),"")</f>
        <v/>
      </c>
      <c r="S425" s="170" t="str">
        <f>IF(ISNUMBER(deployment_raw[[#This Row],[Column8]]), (I425  * IF(O425&lt;&gt;0,$S$2,1)),"")</f>
        <v/>
      </c>
      <c r="T425" s="202" t="str">
        <f>IF(AND(A425&lt;&gt;"",_xlfn.IFNA(MATCH(A425,'dynamic resource application '!$A$2:$A$100, 0),0)&lt;&gt;0), H425/(IF($E$2="Deployment",E425,1)),"")</f>
        <v/>
      </c>
      <c r="U425" s="211" t="str">
        <f>IF(AND(A425&lt;&gt;"",_xlfn.IFNA(MATCH(A425,'dynamic resource application '!$A$2:$A$100, 0),0)&lt;&gt;0), I425/(IF($E$2="Deployment",E425,1)),"")</f>
        <v/>
      </c>
    </row>
    <row r="426" spans="1:21" ht="15.75" customHeight="1" x14ac:dyDescent="0.25">
      <c r="A426" s="35" t="str">
        <f>IF(ISNONTEXT(deployment_raw[[#This Row],[Column1]]), "", deployment_raw[[#This Row],[Column1]])</f>
        <v/>
      </c>
      <c r="B426" s="36" t="str">
        <f>IF(ISNONTEXT(deployment_raw[[#This Row],[Column2]]), "", deployment_raw[[#This Row],[Column2]])</f>
        <v/>
      </c>
      <c r="C426" s="36" t="str">
        <f>IF(ISNONTEXT(deployment_raw[[#This Row],[Column3]]), "", deployment_raw[[#This Row],[Column3]])</f>
        <v/>
      </c>
      <c r="D426" s="36" t="str">
        <f>IF(ISNONTEXT(deployment_raw[[#This Row],[Column4]]), "", deployment_raw[[#This Row],[Column4]])</f>
        <v/>
      </c>
      <c r="E426" s="37" t="str">
        <f>IF(ISNUMBER(deployment_raw[[#This Row],[Column5]]), deployment_raw[[#This Row],[Column5]],"")</f>
        <v/>
      </c>
      <c r="F426" s="94" t="str">
        <f>IF(ISNUMBER(deployment_raw[[#This Row],[Column6]]), (deployment_raw[[#This Row],[Column6]] * IF($E$2="Deployment",deployment_raw[[#This Row],[Column5]],1)),"")</f>
        <v/>
      </c>
      <c r="G426" s="95" t="str">
        <f>IF(ISNUMBER(deployment_raw[[#This Row],[Column7]]), (deployment_raw[[#This Row],[Column7]] * IF($E$2="Deployment",deployment_raw[[#This Row],[Column5]],1))/1048576,"")</f>
        <v/>
      </c>
      <c r="H426" s="95" t="str">
        <f>IF(ISNUMBER(deployment_raw[[#This Row],[Column8]]), (deployment_raw[[#This Row],[Column8]]  * IF($E$2="Deployment",deployment_raw[[#This Row],[Column5]],1)),"")</f>
        <v/>
      </c>
      <c r="I426" s="96" t="str">
        <f>IF(ISNUMBER(deployment_raw[[#This Row],[Column9]]), (deployment_raw[[#This Row],[Column9]] * IF($E$2="Deployment",deployment_raw[[#This Row],[Column5]],1))/1048576,"")</f>
        <v/>
      </c>
      <c r="J426" s="122" t="str">
        <f>IF(ISNUMBER(deployment_raw[[#This Row],[Column10]]), (MIN(IF(N426&lt;&gt;"",N426,9999999999999)*1.1,deployment_raw[[#This Row],[Column10]] * IF($E$2="Deployment",deployment_raw[[#This Row],[Column5]],1))),"")</f>
        <v/>
      </c>
      <c r="K426" s="123" t="str">
        <f>IF(ISNUMBER(deployment_raw[[#This Row],[Column11]]), (MIN(IF(O426&lt;&gt;"",O426,9999999999999)*1.1,deployment_raw[[#This Row],[Column11]] * IF($E$2="Deployment",deployment_raw[[#This Row],[Column5]],1)/1048576)),"")</f>
        <v/>
      </c>
      <c r="L426" s="124" t="str">
        <f>IF(ISNUMBER(deployment_raw[[#This Row],[Column8]]),IF(OR(deployment_raw[[#This Row],[Column5]] &lt;&gt; 0,$E$2 &lt;&gt; "Deployment"), MAX(J426, P426, R426, ($L$2 * IF($E$2="Deployment",deployment_raw[[#This Row],[Column5]],1)),IF(T426&lt;&gt;"",VALUE(T426) * IF($E$2="Deployment",deployment_raw[[#This Row],[Column5]],1),0)), 0),"")</f>
        <v/>
      </c>
      <c r="M426" s="125" t="str">
        <f>IF(ISNUMBER(deployment_raw[[#This Row],[Column9]]),IF(OR(deployment_raw[[#This Row],[Column5]] &lt;&gt; 0,$E$2&lt;&gt;"Deployment"), MAX(K426, Q426, S426, ($M$2 * IF($E$2="Deployment",deployment_raw[[#This Row],[Column5]],1)),IF(U426&lt;&gt;"",VALUE(U426) * IF($E$2="Deployment",deployment_raw[[#This Row],[Column5]],1),0)), 0),"")</f>
        <v/>
      </c>
      <c r="N426" s="166" t="str">
        <f>IF(ISNUMBER(deployment_raw[[#This Row],[Column14]]), deployment_raw[[#This Row],[Column14]]/IF(OR($E$2="Deployment",deployment_raw[[#This Row],[Column5]]=0),1,deployment_raw[[#This Row],[Column5]]),"")</f>
        <v/>
      </c>
      <c r="O426" s="167" t="str">
        <f>IF(ISNUMBER(deployment_raw[[#This Row],[Column15]]), deployment_raw[[#This Row],[Column15]]/IF(OR($E$2="Deployment",deployment_raw[[#This Row],[Column5]]=0),1,deployment_raw[[#This Row],[Column5]])/1048576,"")</f>
        <v/>
      </c>
      <c r="P426" s="168" t="str">
        <f>IF(ISNUMBER(deployment_raw[[#This Row],[Column12]]), (MIN(IF(N426&lt;&gt;"",N426,9999999999999)*1.1,deployment_raw[[#This Row],[Column12]] * IF($E$2="Deployment",deployment_raw[[#This Row],[Column5]],1))*(1+$P$2)),"")</f>
        <v/>
      </c>
      <c r="Q426" s="167" t="str">
        <f>IF(ISNUMBER(deployment_raw[[#This Row],[Column13]]), (MIN(IF(O426&lt;&gt;"",O426,9999999999999)*1.1,deployment_raw[[#This Row],[Column13]] * IF($E$2="Deployment",deployment_raw[[#This Row],[Column5]],1)*(1+$Q$2)/1048576)),"")</f>
        <v/>
      </c>
      <c r="R426" s="169" t="str">
        <f>IF(ISNUMBER(deployment_raw[[#This Row],[Column8]]), (H426  * IF(N426&lt;&gt;0,$R$2,1)),"")</f>
        <v/>
      </c>
      <c r="S426" s="170" t="str">
        <f>IF(ISNUMBER(deployment_raw[[#This Row],[Column8]]), (I426  * IF(O426&lt;&gt;0,$S$2,1)),"")</f>
        <v/>
      </c>
      <c r="T426" s="202" t="str">
        <f>IF(AND(A426&lt;&gt;"",_xlfn.IFNA(MATCH(A426,'dynamic resource application '!$A$2:$A$100, 0),0)&lt;&gt;0), H426/(IF($E$2="Deployment",E426,1)),"")</f>
        <v/>
      </c>
      <c r="U426" s="211" t="str">
        <f>IF(AND(A426&lt;&gt;"",_xlfn.IFNA(MATCH(A426,'dynamic resource application '!$A$2:$A$100, 0),0)&lt;&gt;0), I426/(IF($E$2="Deployment",E426,1)),"")</f>
        <v/>
      </c>
    </row>
    <row r="427" spans="1:21" ht="15.75" customHeight="1" x14ac:dyDescent="0.25">
      <c r="A427" s="35" t="str">
        <f>IF(ISNONTEXT(deployment_raw[[#This Row],[Column1]]), "", deployment_raw[[#This Row],[Column1]])</f>
        <v/>
      </c>
      <c r="B427" s="36" t="str">
        <f>IF(ISNONTEXT(deployment_raw[[#This Row],[Column2]]), "", deployment_raw[[#This Row],[Column2]])</f>
        <v/>
      </c>
      <c r="C427" s="36" t="str">
        <f>IF(ISNONTEXT(deployment_raw[[#This Row],[Column3]]), "", deployment_raw[[#This Row],[Column3]])</f>
        <v/>
      </c>
      <c r="D427" s="36" t="str">
        <f>IF(ISNONTEXT(deployment_raw[[#This Row],[Column4]]), "", deployment_raw[[#This Row],[Column4]])</f>
        <v/>
      </c>
      <c r="E427" s="37" t="str">
        <f>IF(ISNUMBER(deployment_raw[[#This Row],[Column5]]), deployment_raw[[#This Row],[Column5]],"")</f>
        <v/>
      </c>
      <c r="F427" s="94" t="str">
        <f>IF(ISNUMBER(deployment_raw[[#This Row],[Column6]]), (deployment_raw[[#This Row],[Column6]] * IF($E$2="Deployment",deployment_raw[[#This Row],[Column5]],1)),"")</f>
        <v/>
      </c>
      <c r="G427" s="95" t="str">
        <f>IF(ISNUMBER(deployment_raw[[#This Row],[Column7]]), (deployment_raw[[#This Row],[Column7]] * IF($E$2="Deployment",deployment_raw[[#This Row],[Column5]],1))/1048576,"")</f>
        <v/>
      </c>
      <c r="H427" s="95" t="str">
        <f>IF(ISNUMBER(deployment_raw[[#This Row],[Column8]]), (deployment_raw[[#This Row],[Column8]]  * IF($E$2="Deployment",deployment_raw[[#This Row],[Column5]],1)),"")</f>
        <v/>
      </c>
      <c r="I427" s="96" t="str">
        <f>IF(ISNUMBER(deployment_raw[[#This Row],[Column9]]), (deployment_raw[[#This Row],[Column9]] * IF($E$2="Deployment",deployment_raw[[#This Row],[Column5]],1))/1048576,"")</f>
        <v/>
      </c>
      <c r="J427" s="122" t="str">
        <f>IF(ISNUMBER(deployment_raw[[#This Row],[Column10]]), (MIN(IF(N427&lt;&gt;"",N427,9999999999999)*1.1,deployment_raw[[#This Row],[Column10]] * IF($E$2="Deployment",deployment_raw[[#This Row],[Column5]],1))),"")</f>
        <v/>
      </c>
      <c r="K427" s="123" t="str">
        <f>IF(ISNUMBER(deployment_raw[[#This Row],[Column11]]), (MIN(IF(O427&lt;&gt;"",O427,9999999999999)*1.1,deployment_raw[[#This Row],[Column11]] * IF($E$2="Deployment",deployment_raw[[#This Row],[Column5]],1)/1048576)),"")</f>
        <v/>
      </c>
      <c r="L427" s="124" t="str">
        <f>IF(ISNUMBER(deployment_raw[[#This Row],[Column8]]),IF(OR(deployment_raw[[#This Row],[Column5]] &lt;&gt; 0,$E$2 &lt;&gt; "Deployment"), MAX(J427, P427, R427, ($L$2 * IF($E$2="Deployment",deployment_raw[[#This Row],[Column5]],1)),IF(T427&lt;&gt;"",VALUE(T427) * IF($E$2="Deployment",deployment_raw[[#This Row],[Column5]],1),0)), 0),"")</f>
        <v/>
      </c>
      <c r="M427" s="125" t="str">
        <f>IF(ISNUMBER(deployment_raw[[#This Row],[Column9]]),IF(OR(deployment_raw[[#This Row],[Column5]] &lt;&gt; 0,$E$2&lt;&gt;"Deployment"), MAX(K427, Q427, S427, ($M$2 * IF($E$2="Deployment",deployment_raw[[#This Row],[Column5]],1)),IF(U427&lt;&gt;"",VALUE(U427) * IF($E$2="Deployment",deployment_raw[[#This Row],[Column5]],1),0)), 0),"")</f>
        <v/>
      </c>
      <c r="N427" s="166" t="str">
        <f>IF(ISNUMBER(deployment_raw[[#This Row],[Column14]]), deployment_raw[[#This Row],[Column14]]/IF(OR($E$2="Deployment",deployment_raw[[#This Row],[Column5]]=0),1,deployment_raw[[#This Row],[Column5]]),"")</f>
        <v/>
      </c>
      <c r="O427" s="167" t="str">
        <f>IF(ISNUMBER(deployment_raw[[#This Row],[Column15]]), deployment_raw[[#This Row],[Column15]]/IF(OR($E$2="Deployment",deployment_raw[[#This Row],[Column5]]=0),1,deployment_raw[[#This Row],[Column5]])/1048576,"")</f>
        <v/>
      </c>
      <c r="P427" s="168" t="str">
        <f>IF(ISNUMBER(deployment_raw[[#This Row],[Column12]]), (MIN(IF(N427&lt;&gt;"",N427,9999999999999)*1.1,deployment_raw[[#This Row],[Column12]] * IF($E$2="Deployment",deployment_raw[[#This Row],[Column5]],1))*(1+$P$2)),"")</f>
        <v/>
      </c>
      <c r="Q427" s="167" t="str">
        <f>IF(ISNUMBER(deployment_raw[[#This Row],[Column13]]), (MIN(IF(O427&lt;&gt;"",O427,9999999999999)*1.1,deployment_raw[[#This Row],[Column13]] * IF($E$2="Deployment",deployment_raw[[#This Row],[Column5]],1)*(1+$Q$2)/1048576)),"")</f>
        <v/>
      </c>
      <c r="R427" s="169" t="str">
        <f>IF(ISNUMBER(deployment_raw[[#This Row],[Column8]]), (H427  * IF(N427&lt;&gt;0,$R$2,1)),"")</f>
        <v/>
      </c>
      <c r="S427" s="170" t="str">
        <f>IF(ISNUMBER(deployment_raw[[#This Row],[Column8]]), (I427  * IF(O427&lt;&gt;0,$S$2,1)),"")</f>
        <v/>
      </c>
      <c r="T427" s="202" t="str">
        <f>IF(AND(A427&lt;&gt;"",_xlfn.IFNA(MATCH(A427,'dynamic resource application '!$A$2:$A$100, 0),0)&lt;&gt;0), H427/(IF($E$2="Deployment",E427,1)),"")</f>
        <v/>
      </c>
      <c r="U427" s="211" t="str">
        <f>IF(AND(A427&lt;&gt;"",_xlfn.IFNA(MATCH(A427,'dynamic resource application '!$A$2:$A$100, 0),0)&lt;&gt;0), I427/(IF($E$2="Deployment",E427,1)),"")</f>
        <v/>
      </c>
    </row>
    <row r="428" spans="1:21" ht="15.75" customHeight="1" x14ac:dyDescent="0.25">
      <c r="A428" s="35" t="str">
        <f>IF(ISNONTEXT(deployment_raw[[#This Row],[Column1]]), "", deployment_raw[[#This Row],[Column1]])</f>
        <v/>
      </c>
      <c r="B428" s="36" t="str">
        <f>IF(ISNONTEXT(deployment_raw[[#This Row],[Column2]]), "", deployment_raw[[#This Row],[Column2]])</f>
        <v/>
      </c>
      <c r="C428" s="36" t="str">
        <f>IF(ISNONTEXT(deployment_raw[[#This Row],[Column3]]), "", deployment_raw[[#This Row],[Column3]])</f>
        <v/>
      </c>
      <c r="D428" s="36" t="str">
        <f>IF(ISNONTEXT(deployment_raw[[#This Row],[Column4]]), "", deployment_raw[[#This Row],[Column4]])</f>
        <v/>
      </c>
      <c r="E428" s="37" t="str">
        <f>IF(ISNUMBER(deployment_raw[[#This Row],[Column5]]), deployment_raw[[#This Row],[Column5]],"")</f>
        <v/>
      </c>
      <c r="F428" s="94" t="str">
        <f>IF(ISNUMBER(deployment_raw[[#This Row],[Column6]]), (deployment_raw[[#This Row],[Column6]] * IF($E$2="Deployment",deployment_raw[[#This Row],[Column5]],1)),"")</f>
        <v/>
      </c>
      <c r="G428" s="95" t="str">
        <f>IF(ISNUMBER(deployment_raw[[#This Row],[Column7]]), (deployment_raw[[#This Row],[Column7]] * IF($E$2="Deployment",deployment_raw[[#This Row],[Column5]],1))/1048576,"")</f>
        <v/>
      </c>
      <c r="H428" s="95" t="str">
        <f>IF(ISNUMBER(deployment_raw[[#This Row],[Column8]]), (deployment_raw[[#This Row],[Column8]]  * IF($E$2="Deployment",deployment_raw[[#This Row],[Column5]],1)),"")</f>
        <v/>
      </c>
      <c r="I428" s="96" t="str">
        <f>IF(ISNUMBER(deployment_raw[[#This Row],[Column9]]), (deployment_raw[[#This Row],[Column9]] * IF($E$2="Deployment",deployment_raw[[#This Row],[Column5]],1))/1048576,"")</f>
        <v/>
      </c>
      <c r="J428" s="122" t="str">
        <f>IF(ISNUMBER(deployment_raw[[#This Row],[Column10]]), (MIN(IF(N428&lt;&gt;"",N428,9999999999999)*1.1,deployment_raw[[#This Row],[Column10]] * IF($E$2="Deployment",deployment_raw[[#This Row],[Column5]],1))),"")</f>
        <v/>
      </c>
      <c r="K428" s="123" t="str">
        <f>IF(ISNUMBER(deployment_raw[[#This Row],[Column11]]), (MIN(IF(O428&lt;&gt;"",O428,9999999999999)*1.1,deployment_raw[[#This Row],[Column11]] * IF($E$2="Deployment",deployment_raw[[#This Row],[Column5]],1)/1048576)),"")</f>
        <v/>
      </c>
      <c r="L428" s="124" t="str">
        <f>IF(ISNUMBER(deployment_raw[[#This Row],[Column8]]),IF(OR(deployment_raw[[#This Row],[Column5]] &lt;&gt; 0,$E$2 &lt;&gt; "Deployment"), MAX(J428, P428, R428, ($L$2 * IF($E$2="Deployment",deployment_raw[[#This Row],[Column5]],1)),IF(T428&lt;&gt;"",VALUE(T428) * IF($E$2="Deployment",deployment_raw[[#This Row],[Column5]],1),0)), 0),"")</f>
        <v/>
      </c>
      <c r="M428" s="125" t="str">
        <f>IF(ISNUMBER(deployment_raw[[#This Row],[Column9]]),IF(OR(deployment_raw[[#This Row],[Column5]] &lt;&gt; 0,$E$2&lt;&gt;"Deployment"), MAX(K428, Q428, S428, ($M$2 * IF($E$2="Deployment",deployment_raw[[#This Row],[Column5]],1)),IF(U428&lt;&gt;"",VALUE(U428) * IF($E$2="Deployment",deployment_raw[[#This Row],[Column5]],1),0)), 0),"")</f>
        <v/>
      </c>
      <c r="N428" s="166" t="str">
        <f>IF(ISNUMBER(deployment_raw[[#This Row],[Column14]]), deployment_raw[[#This Row],[Column14]]/IF(OR($E$2="Deployment",deployment_raw[[#This Row],[Column5]]=0),1,deployment_raw[[#This Row],[Column5]]),"")</f>
        <v/>
      </c>
      <c r="O428" s="167" t="str">
        <f>IF(ISNUMBER(deployment_raw[[#This Row],[Column15]]), deployment_raw[[#This Row],[Column15]]/IF(OR($E$2="Deployment",deployment_raw[[#This Row],[Column5]]=0),1,deployment_raw[[#This Row],[Column5]])/1048576,"")</f>
        <v/>
      </c>
      <c r="P428" s="168" t="str">
        <f>IF(ISNUMBER(deployment_raw[[#This Row],[Column12]]), (MIN(IF(N428&lt;&gt;"",N428,9999999999999)*1.1,deployment_raw[[#This Row],[Column12]] * IF($E$2="Deployment",deployment_raw[[#This Row],[Column5]],1))*(1+$P$2)),"")</f>
        <v/>
      </c>
      <c r="Q428" s="167" t="str">
        <f>IF(ISNUMBER(deployment_raw[[#This Row],[Column13]]), (MIN(IF(O428&lt;&gt;"",O428,9999999999999)*1.1,deployment_raw[[#This Row],[Column13]] * IF($E$2="Deployment",deployment_raw[[#This Row],[Column5]],1)*(1+$Q$2)/1048576)),"")</f>
        <v/>
      </c>
      <c r="R428" s="169" t="str">
        <f>IF(ISNUMBER(deployment_raw[[#This Row],[Column8]]), (H428  * IF(N428&lt;&gt;0,$R$2,1)),"")</f>
        <v/>
      </c>
      <c r="S428" s="170" t="str">
        <f>IF(ISNUMBER(deployment_raw[[#This Row],[Column8]]), (I428  * IF(O428&lt;&gt;0,$S$2,1)),"")</f>
        <v/>
      </c>
      <c r="T428" s="202" t="str">
        <f>IF(AND(A428&lt;&gt;"",_xlfn.IFNA(MATCH(A428,'dynamic resource application '!$A$2:$A$100, 0),0)&lt;&gt;0), H428/(IF($E$2="Deployment",E428,1)),"")</f>
        <v/>
      </c>
      <c r="U428" s="211" t="str">
        <f>IF(AND(A428&lt;&gt;"",_xlfn.IFNA(MATCH(A428,'dynamic resource application '!$A$2:$A$100, 0),0)&lt;&gt;0), I428/(IF($E$2="Deployment",E428,1)),"")</f>
        <v/>
      </c>
    </row>
    <row r="429" spans="1:21" ht="15.75" customHeight="1" x14ac:dyDescent="0.25">
      <c r="A429" s="35" t="str">
        <f>IF(ISNONTEXT(deployment_raw[[#This Row],[Column1]]), "", deployment_raw[[#This Row],[Column1]])</f>
        <v/>
      </c>
      <c r="B429" s="36" t="str">
        <f>IF(ISNONTEXT(deployment_raw[[#This Row],[Column2]]), "", deployment_raw[[#This Row],[Column2]])</f>
        <v/>
      </c>
      <c r="C429" s="36" t="str">
        <f>IF(ISNONTEXT(deployment_raw[[#This Row],[Column3]]), "", deployment_raw[[#This Row],[Column3]])</f>
        <v/>
      </c>
      <c r="D429" s="36" t="str">
        <f>IF(ISNONTEXT(deployment_raw[[#This Row],[Column4]]), "", deployment_raw[[#This Row],[Column4]])</f>
        <v/>
      </c>
      <c r="E429" s="37" t="str">
        <f>IF(ISNUMBER(deployment_raw[[#This Row],[Column5]]), deployment_raw[[#This Row],[Column5]],"")</f>
        <v/>
      </c>
      <c r="F429" s="94" t="str">
        <f>IF(ISNUMBER(deployment_raw[[#This Row],[Column6]]), (deployment_raw[[#This Row],[Column6]] * IF($E$2="Deployment",deployment_raw[[#This Row],[Column5]],1)),"")</f>
        <v/>
      </c>
      <c r="G429" s="95" t="str">
        <f>IF(ISNUMBER(deployment_raw[[#This Row],[Column7]]), (deployment_raw[[#This Row],[Column7]] * IF($E$2="Deployment",deployment_raw[[#This Row],[Column5]],1))/1048576,"")</f>
        <v/>
      </c>
      <c r="H429" s="95" t="str">
        <f>IF(ISNUMBER(deployment_raw[[#This Row],[Column8]]), (deployment_raw[[#This Row],[Column8]]  * IF($E$2="Deployment",deployment_raw[[#This Row],[Column5]],1)),"")</f>
        <v/>
      </c>
      <c r="I429" s="96" t="str">
        <f>IF(ISNUMBER(deployment_raw[[#This Row],[Column9]]), (deployment_raw[[#This Row],[Column9]] * IF($E$2="Deployment",deployment_raw[[#This Row],[Column5]],1))/1048576,"")</f>
        <v/>
      </c>
      <c r="J429" s="122" t="str">
        <f>IF(ISNUMBER(deployment_raw[[#This Row],[Column10]]), (MIN(IF(N429&lt;&gt;"",N429,9999999999999)*1.1,deployment_raw[[#This Row],[Column10]] * IF($E$2="Deployment",deployment_raw[[#This Row],[Column5]],1))),"")</f>
        <v/>
      </c>
      <c r="K429" s="123" t="str">
        <f>IF(ISNUMBER(deployment_raw[[#This Row],[Column11]]), (MIN(IF(O429&lt;&gt;"",O429,9999999999999)*1.1,deployment_raw[[#This Row],[Column11]] * IF($E$2="Deployment",deployment_raw[[#This Row],[Column5]],1)/1048576)),"")</f>
        <v/>
      </c>
      <c r="L429" s="124" t="str">
        <f>IF(ISNUMBER(deployment_raw[[#This Row],[Column8]]),IF(OR(deployment_raw[[#This Row],[Column5]] &lt;&gt; 0,$E$2 &lt;&gt; "Deployment"), MAX(J429, P429, R429, ($L$2 * IF($E$2="Deployment",deployment_raw[[#This Row],[Column5]],1)),IF(T429&lt;&gt;"",VALUE(T429) * IF($E$2="Deployment",deployment_raw[[#This Row],[Column5]],1),0)), 0),"")</f>
        <v/>
      </c>
      <c r="M429" s="125" t="str">
        <f>IF(ISNUMBER(deployment_raw[[#This Row],[Column9]]),IF(OR(deployment_raw[[#This Row],[Column5]] &lt;&gt; 0,$E$2&lt;&gt;"Deployment"), MAX(K429, Q429, S429, ($M$2 * IF($E$2="Deployment",deployment_raw[[#This Row],[Column5]],1)),IF(U429&lt;&gt;"",VALUE(U429) * IF($E$2="Deployment",deployment_raw[[#This Row],[Column5]],1),0)), 0),"")</f>
        <v/>
      </c>
      <c r="N429" s="166" t="str">
        <f>IF(ISNUMBER(deployment_raw[[#This Row],[Column14]]), deployment_raw[[#This Row],[Column14]]/IF(OR($E$2="Deployment",deployment_raw[[#This Row],[Column5]]=0),1,deployment_raw[[#This Row],[Column5]]),"")</f>
        <v/>
      </c>
      <c r="O429" s="167" t="str">
        <f>IF(ISNUMBER(deployment_raw[[#This Row],[Column15]]), deployment_raw[[#This Row],[Column15]]/IF(OR($E$2="Deployment",deployment_raw[[#This Row],[Column5]]=0),1,deployment_raw[[#This Row],[Column5]])/1048576,"")</f>
        <v/>
      </c>
      <c r="P429" s="168" t="str">
        <f>IF(ISNUMBER(deployment_raw[[#This Row],[Column12]]), (MIN(IF(N429&lt;&gt;"",N429,9999999999999)*1.1,deployment_raw[[#This Row],[Column12]] * IF($E$2="Deployment",deployment_raw[[#This Row],[Column5]],1))*(1+$P$2)),"")</f>
        <v/>
      </c>
      <c r="Q429" s="167" t="str">
        <f>IF(ISNUMBER(deployment_raw[[#This Row],[Column13]]), (MIN(IF(O429&lt;&gt;"",O429,9999999999999)*1.1,deployment_raw[[#This Row],[Column13]] * IF($E$2="Deployment",deployment_raw[[#This Row],[Column5]],1)*(1+$Q$2)/1048576)),"")</f>
        <v/>
      </c>
      <c r="R429" s="169" t="str">
        <f>IF(ISNUMBER(deployment_raw[[#This Row],[Column8]]), (H429  * IF(N429&lt;&gt;0,$R$2,1)),"")</f>
        <v/>
      </c>
      <c r="S429" s="170" t="str">
        <f>IF(ISNUMBER(deployment_raw[[#This Row],[Column8]]), (I429  * IF(O429&lt;&gt;0,$S$2,1)),"")</f>
        <v/>
      </c>
      <c r="T429" s="202" t="str">
        <f>IF(AND(A429&lt;&gt;"",_xlfn.IFNA(MATCH(A429,'dynamic resource application '!$A$2:$A$100, 0),0)&lt;&gt;0), H429/(IF($E$2="Deployment",E429,1)),"")</f>
        <v/>
      </c>
      <c r="U429" s="211" t="str">
        <f>IF(AND(A429&lt;&gt;"",_xlfn.IFNA(MATCH(A429,'dynamic resource application '!$A$2:$A$100, 0),0)&lt;&gt;0), I429/(IF($E$2="Deployment",E429,1)),"")</f>
        <v/>
      </c>
    </row>
    <row r="430" spans="1:21" ht="15.75" customHeight="1" x14ac:dyDescent="0.25">
      <c r="A430" s="35" t="str">
        <f>IF(ISNONTEXT(deployment_raw[[#This Row],[Column1]]), "", deployment_raw[[#This Row],[Column1]])</f>
        <v/>
      </c>
      <c r="B430" s="36" t="str">
        <f>IF(ISNONTEXT(deployment_raw[[#This Row],[Column2]]), "", deployment_raw[[#This Row],[Column2]])</f>
        <v/>
      </c>
      <c r="C430" s="36" t="str">
        <f>IF(ISNONTEXT(deployment_raw[[#This Row],[Column3]]), "", deployment_raw[[#This Row],[Column3]])</f>
        <v/>
      </c>
      <c r="D430" s="36" t="str">
        <f>IF(ISNONTEXT(deployment_raw[[#This Row],[Column4]]), "", deployment_raw[[#This Row],[Column4]])</f>
        <v/>
      </c>
      <c r="E430" s="37" t="str">
        <f>IF(ISNUMBER(deployment_raw[[#This Row],[Column5]]), deployment_raw[[#This Row],[Column5]],"")</f>
        <v/>
      </c>
      <c r="F430" s="94" t="str">
        <f>IF(ISNUMBER(deployment_raw[[#This Row],[Column6]]), (deployment_raw[[#This Row],[Column6]] * IF($E$2="Deployment",deployment_raw[[#This Row],[Column5]],1)),"")</f>
        <v/>
      </c>
      <c r="G430" s="95" t="str">
        <f>IF(ISNUMBER(deployment_raw[[#This Row],[Column7]]), (deployment_raw[[#This Row],[Column7]] * IF($E$2="Deployment",deployment_raw[[#This Row],[Column5]],1))/1048576,"")</f>
        <v/>
      </c>
      <c r="H430" s="95" t="str">
        <f>IF(ISNUMBER(deployment_raw[[#This Row],[Column8]]), (deployment_raw[[#This Row],[Column8]]  * IF($E$2="Deployment",deployment_raw[[#This Row],[Column5]],1)),"")</f>
        <v/>
      </c>
      <c r="I430" s="96" t="str">
        <f>IF(ISNUMBER(deployment_raw[[#This Row],[Column9]]), (deployment_raw[[#This Row],[Column9]] * IF($E$2="Deployment",deployment_raw[[#This Row],[Column5]],1))/1048576,"")</f>
        <v/>
      </c>
      <c r="J430" s="122" t="str">
        <f>IF(ISNUMBER(deployment_raw[[#This Row],[Column10]]), (MIN(IF(N430&lt;&gt;"",N430,9999999999999)*1.1,deployment_raw[[#This Row],[Column10]] * IF($E$2="Deployment",deployment_raw[[#This Row],[Column5]],1))),"")</f>
        <v/>
      </c>
      <c r="K430" s="123" t="str">
        <f>IF(ISNUMBER(deployment_raw[[#This Row],[Column11]]), (MIN(IF(O430&lt;&gt;"",O430,9999999999999)*1.1,deployment_raw[[#This Row],[Column11]] * IF($E$2="Deployment",deployment_raw[[#This Row],[Column5]],1)/1048576)),"")</f>
        <v/>
      </c>
      <c r="L430" s="124" t="str">
        <f>IF(ISNUMBER(deployment_raw[[#This Row],[Column8]]),IF(OR(deployment_raw[[#This Row],[Column5]] &lt;&gt; 0,$E$2 &lt;&gt; "Deployment"), MAX(J430, P430, R430, ($L$2 * IF($E$2="Deployment",deployment_raw[[#This Row],[Column5]],1)),IF(T430&lt;&gt;"",VALUE(T430) * IF($E$2="Deployment",deployment_raw[[#This Row],[Column5]],1),0)), 0),"")</f>
        <v/>
      </c>
      <c r="M430" s="125" t="str">
        <f>IF(ISNUMBER(deployment_raw[[#This Row],[Column9]]),IF(OR(deployment_raw[[#This Row],[Column5]] &lt;&gt; 0,$E$2&lt;&gt;"Deployment"), MAX(K430, Q430, S430, ($M$2 * IF($E$2="Deployment",deployment_raw[[#This Row],[Column5]],1)),IF(U430&lt;&gt;"",VALUE(U430) * IF($E$2="Deployment",deployment_raw[[#This Row],[Column5]],1),0)), 0),"")</f>
        <v/>
      </c>
      <c r="N430" s="166" t="str">
        <f>IF(ISNUMBER(deployment_raw[[#This Row],[Column14]]), deployment_raw[[#This Row],[Column14]]/IF(OR($E$2="Deployment",deployment_raw[[#This Row],[Column5]]=0),1,deployment_raw[[#This Row],[Column5]]),"")</f>
        <v/>
      </c>
      <c r="O430" s="167" t="str">
        <f>IF(ISNUMBER(deployment_raw[[#This Row],[Column15]]), deployment_raw[[#This Row],[Column15]]/IF(OR($E$2="Deployment",deployment_raw[[#This Row],[Column5]]=0),1,deployment_raw[[#This Row],[Column5]])/1048576,"")</f>
        <v/>
      </c>
      <c r="P430" s="168" t="str">
        <f>IF(ISNUMBER(deployment_raw[[#This Row],[Column12]]), (MIN(IF(N430&lt;&gt;"",N430,9999999999999)*1.1,deployment_raw[[#This Row],[Column12]] * IF($E$2="Deployment",deployment_raw[[#This Row],[Column5]],1))*(1+$P$2)),"")</f>
        <v/>
      </c>
      <c r="Q430" s="167" t="str">
        <f>IF(ISNUMBER(deployment_raw[[#This Row],[Column13]]), (MIN(IF(O430&lt;&gt;"",O430,9999999999999)*1.1,deployment_raw[[#This Row],[Column13]] * IF($E$2="Deployment",deployment_raw[[#This Row],[Column5]],1)*(1+$Q$2)/1048576)),"")</f>
        <v/>
      </c>
      <c r="R430" s="169" t="str">
        <f>IF(ISNUMBER(deployment_raw[[#This Row],[Column8]]), (H430  * IF(N430&lt;&gt;0,$R$2,1)),"")</f>
        <v/>
      </c>
      <c r="S430" s="170" t="str">
        <f>IF(ISNUMBER(deployment_raw[[#This Row],[Column8]]), (I430  * IF(O430&lt;&gt;0,$S$2,1)),"")</f>
        <v/>
      </c>
      <c r="T430" s="202" t="str">
        <f>IF(AND(A430&lt;&gt;"",_xlfn.IFNA(MATCH(A430,'dynamic resource application '!$A$2:$A$100, 0),0)&lt;&gt;0), H430/(IF($E$2="Deployment",E430,1)),"")</f>
        <v/>
      </c>
      <c r="U430" s="211" t="str">
        <f>IF(AND(A430&lt;&gt;"",_xlfn.IFNA(MATCH(A430,'dynamic resource application '!$A$2:$A$100, 0),0)&lt;&gt;0), I430/(IF($E$2="Deployment",E430,1)),"")</f>
        <v/>
      </c>
    </row>
    <row r="431" spans="1:21" ht="15.75" customHeight="1" x14ac:dyDescent="0.25">
      <c r="A431" s="35" t="str">
        <f>IF(ISNONTEXT(deployment_raw[[#This Row],[Column1]]), "", deployment_raw[[#This Row],[Column1]])</f>
        <v/>
      </c>
      <c r="B431" s="36" t="str">
        <f>IF(ISNONTEXT(deployment_raw[[#This Row],[Column2]]), "", deployment_raw[[#This Row],[Column2]])</f>
        <v/>
      </c>
      <c r="C431" s="36" t="str">
        <f>IF(ISNONTEXT(deployment_raw[[#This Row],[Column3]]), "", deployment_raw[[#This Row],[Column3]])</f>
        <v/>
      </c>
      <c r="D431" s="36" t="str">
        <f>IF(ISNONTEXT(deployment_raw[[#This Row],[Column4]]), "", deployment_raw[[#This Row],[Column4]])</f>
        <v/>
      </c>
      <c r="E431" s="37" t="str">
        <f>IF(ISNUMBER(deployment_raw[[#This Row],[Column5]]), deployment_raw[[#This Row],[Column5]],"")</f>
        <v/>
      </c>
      <c r="F431" s="94" t="str">
        <f>IF(ISNUMBER(deployment_raw[[#This Row],[Column6]]), (deployment_raw[[#This Row],[Column6]] * IF($E$2="Deployment",deployment_raw[[#This Row],[Column5]],1)),"")</f>
        <v/>
      </c>
      <c r="G431" s="95" t="str">
        <f>IF(ISNUMBER(deployment_raw[[#This Row],[Column7]]), (deployment_raw[[#This Row],[Column7]] * IF($E$2="Deployment",deployment_raw[[#This Row],[Column5]],1))/1048576,"")</f>
        <v/>
      </c>
      <c r="H431" s="95" t="str">
        <f>IF(ISNUMBER(deployment_raw[[#This Row],[Column8]]), (deployment_raw[[#This Row],[Column8]]  * IF($E$2="Deployment",deployment_raw[[#This Row],[Column5]],1)),"")</f>
        <v/>
      </c>
      <c r="I431" s="96" t="str">
        <f>IF(ISNUMBER(deployment_raw[[#This Row],[Column9]]), (deployment_raw[[#This Row],[Column9]] * IF($E$2="Deployment",deployment_raw[[#This Row],[Column5]],1))/1048576,"")</f>
        <v/>
      </c>
      <c r="J431" s="122" t="str">
        <f>IF(ISNUMBER(deployment_raw[[#This Row],[Column10]]), (MIN(IF(N431&lt;&gt;"",N431,9999999999999)*1.1,deployment_raw[[#This Row],[Column10]] * IF($E$2="Deployment",deployment_raw[[#This Row],[Column5]],1))),"")</f>
        <v/>
      </c>
      <c r="K431" s="123" t="str">
        <f>IF(ISNUMBER(deployment_raw[[#This Row],[Column11]]), (MIN(IF(O431&lt;&gt;"",O431,9999999999999)*1.1,deployment_raw[[#This Row],[Column11]] * IF($E$2="Deployment",deployment_raw[[#This Row],[Column5]],1)/1048576)),"")</f>
        <v/>
      </c>
      <c r="L431" s="124" t="str">
        <f>IF(ISNUMBER(deployment_raw[[#This Row],[Column8]]),IF(OR(deployment_raw[[#This Row],[Column5]] &lt;&gt; 0,$E$2 &lt;&gt; "Deployment"), MAX(J431, P431, R431, ($L$2 * IF($E$2="Deployment",deployment_raw[[#This Row],[Column5]],1)),IF(T431&lt;&gt;"",VALUE(T431) * IF($E$2="Deployment",deployment_raw[[#This Row],[Column5]],1),0)), 0),"")</f>
        <v/>
      </c>
      <c r="M431" s="125" t="str">
        <f>IF(ISNUMBER(deployment_raw[[#This Row],[Column9]]),IF(OR(deployment_raw[[#This Row],[Column5]] &lt;&gt; 0,$E$2&lt;&gt;"Deployment"), MAX(K431, Q431, S431, ($M$2 * IF($E$2="Deployment",deployment_raw[[#This Row],[Column5]],1)),IF(U431&lt;&gt;"",VALUE(U431) * IF($E$2="Deployment",deployment_raw[[#This Row],[Column5]],1),0)), 0),"")</f>
        <v/>
      </c>
      <c r="N431" s="166" t="str">
        <f>IF(ISNUMBER(deployment_raw[[#This Row],[Column14]]), deployment_raw[[#This Row],[Column14]]/IF(OR($E$2="Deployment",deployment_raw[[#This Row],[Column5]]=0),1,deployment_raw[[#This Row],[Column5]]),"")</f>
        <v/>
      </c>
      <c r="O431" s="167" t="str">
        <f>IF(ISNUMBER(deployment_raw[[#This Row],[Column15]]), deployment_raw[[#This Row],[Column15]]/IF(OR($E$2="Deployment",deployment_raw[[#This Row],[Column5]]=0),1,deployment_raw[[#This Row],[Column5]])/1048576,"")</f>
        <v/>
      </c>
      <c r="P431" s="168" t="str">
        <f>IF(ISNUMBER(deployment_raw[[#This Row],[Column12]]), (MIN(IF(N431&lt;&gt;"",N431,9999999999999)*1.1,deployment_raw[[#This Row],[Column12]] * IF($E$2="Deployment",deployment_raw[[#This Row],[Column5]],1))*(1+$P$2)),"")</f>
        <v/>
      </c>
      <c r="Q431" s="167" t="str">
        <f>IF(ISNUMBER(deployment_raw[[#This Row],[Column13]]), (MIN(IF(O431&lt;&gt;"",O431,9999999999999)*1.1,deployment_raw[[#This Row],[Column13]] * IF($E$2="Deployment",deployment_raw[[#This Row],[Column5]],1)*(1+$Q$2)/1048576)),"")</f>
        <v/>
      </c>
      <c r="R431" s="169" t="str">
        <f>IF(ISNUMBER(deployment_raw[[#This Row],[Column8]]), (H431  * IF(N431&lt;&gt;0,$R$2,1)),"")</f>
        <v/>
      </c>
      <c r="S431" s="170" t="str">
        <f>IF(ISNUMBER(deployment_raw[[#This Row],[Column8]]), (I431  * IF(O431&lt;&gt;0,$S$2,1)),"")</f>
        <v/>
      </c>
      <c r="T431" s="202" t="str">
        <f>IF(AND(A431&lt;&gt;"",_xlfn.IFNA(MATCH(A431,'dynamic resource application '!$A$2:$A$100, 0),0)&lt;&gt;0), H431/(IF($E$2="Deployment",E431,1)),"")</f>
        <v/>
      </c>
      <c r="U431" s="211" t="str">
        <f>IF(AND(A431&lt;&gt;"",_xlfn.IFNA(MATCH(A431,'dynamic resource application '!$A$2:$A$100, 0),0)&lt;&gt;0), I431/(IF($E$2="Deployment",E431,1)),"")</f>
        <v/>
      </c>
    </row>
    <row r="432" spans="1:21" ht="15.75" customHeight="1" x14ac:dyDescent="0.25">
      <c r="A432" s="35" t="str">
        <f>IF(ISNONTEXT(deployment_raw[[#This Row],[Column1]]), "", deployment_raw[[#This Row],[Column1]])</f>
        <v/>
      </c>
      <c r="B432" s="36" t="str">
        <f>IF(ISNONTEXT(deployment_raw[[#This Row],[Column2]]), "", deployment_raw[[#This Row],[Column2]])</f>
        <v/>
      </c>
      <c r="C432" s="36" t="str">
        <f>IF(ISNONTEXT(deployment_raw[[#This Row],[Column3]]), "", deployment_raw[[#This Row],[Column3]])</f>
        <v/>
      </c>
      <c r="D432" s="36" t="str">
        <f>IF(ISNONTEXT(deployment_raw[[#This Row],[Column4]]), "", deployment_raw[[#This Row],[Column4]])</f>
        <v/>
      </c>
      <c r="E432" s="37" t="str">
        <f>IF(ISNUMBER(deployment_raw[[#This Row],[Column5]]), deployment_raw[[#This Row],[Column5]],"")</f>
        <v/>
      </c>
      <c r="F432" s="94" t="str">
        <f>IF(ISNUMBER(deployment_raw[[#This Row],[Column6]]), (deployment_raw[[#This Row],[Column6]] * IF($E$2="Deployment",deployment_raw[[#This Row],[Column5]],1)),"")</f>
        <v/>
      </c>
      <c r="G432" s="95" t="str">
        <f>IF(ISNUMBER(deployment_raw[[#This Row],[Column7]]), (deployment_raw[[#This Row],[Column7]] * IF($E$2="Deployment",deployment_raw[[#This Row],[Column5]],1))/1048576,"")</f>
        <v/>
      </c>
      <c r="H432" s="95" t="str">
        <f>IF(ISNUMBER(deployment_raw[[#This Row],[Column8]]), (deployment_raw[[#This Row],[Column8]]  * IF($E$2="Deployment",deployment_raw[[#This Row],[Column5]],1)),"")</f>
        <v/>
      </c>
      <c r="I432" s="96" t="str">
        <f>IF(ISNUMBER(deployment_raw[[#This Row],[Column9]]), (deployment_raw[[#This Row],[Column9]] * IF($E$2="Deployment",deployment_raw[[#This Row],[Column5]],1))/1048576,"")</f>
        <v/>
      </c>
      <c r="J432" s="122" t="str">
        <f>IF(ISNUMBER(deployment_raw[[#This Row],[Column10]]), (MIN(IF(N432&lt;&gt;"",N432,9999999999999)*1.1,deployment_raw[[#This Row],[Column10]] * IF($E$2="Deployment",deployment_raw[[#This Row],[Column5]],1))),"")</f>
        <v/>
      </c>
      <c r="K432" s="123" t="str">
        <f>IF(ISNUMBER(deployment_raw[[#This Row],[Column11]]), (MIN(IF(O432&lt;&gt;"",O432,9999999999999)*1.1,deployment_raw[[#This Row],[Column11]] * IF($E$2="Deployment",deployment_raw[[#This Row],[Column5]],1)/1048576)),"")</f>
        <v/>
      </c>
      <c r="L432" s="124" t="str">
        <f>IF(ISNUMBER(deployment_raw[[#This Row],[Column8]]),IF(OR(deployment_raw[[#This Row],[Column5]] &lt;&gt; 0,$E$2 &lt;&gt; "Deployment"), MAX(J432, P432, R432, ($L$2 * IF($E$2="Deployment",deployment_raw[[#This Row],[Column5]],1)),IF(T432&lt;&gt;"",VALUE(T432) * IF($E$2="Deployment",deployment_raw[[#This Row],[Column5]],1),0)), 0),"")</f>
        <v/>
      </c>
      <c r="M432" s="125" t="str">
        <f>IF(ISNUMBER(deployment_raw[[#This Row],[Column9]]),IF(OR(deployment_raw[[#This Row],[Column5]] &lt;&gt; 0,$E$2&lt;&gt;"Deployment"), MAX(K432, Q432, S432, ($M$2 * IF($E$2="Deployment",deployment_raw[[#This Row],[Column5]],1)),IF(U432&lt;&gt;"",VALUE(U432) * IF($E$2="Deployment",deployment_raw[[#This Row],[Column5]],1),0)), 0),"")</f>
        <v/>
      </c>
      <c r="N432" s="166" t="str">
        <f>IF(ISNUMBER(deployment_raw[[#This Row],[Column14]]), deployment_raw[[#This Row],[Column14]]/IF(OR($E$2="Deployment",deployment_raw[[#This Row],[Column5]]=0),1,deployment_raw[[#This Row],[Column5]]),"")</f>
        <v/>
      </c>
      <c r="O432" s="167" t="str">
        <f>IF(ISNUMBER(deployment_raw[[#This Row],[Column15]]), deployment_raw[[#This Row],[Column15]]/IF(OR($E$2="Deployment",deployment_raw[[#This Row],[Column5]]=0),1,deployment_raw[[#This Row],[Column5]])/1048576,"")</f>
        <v/>
      </c>
      <c r="P432" s="168" t="str">
        <f>IF(ISNUMBER(deployment_raw[[#This Row],[Column12]]), (MIN(IF(N432&lt;&gt;"",N432,9999999999999)*1.1,deployment_raw[[#This Row],[Column12]] * IF($E$2="Deployment",deployment_raw[[#This Row],[Column5]],1))*(1+$P$2)),"")</f>
        <v/>
      </c>
      <c r="Q432" s="167" t="str">
        <f>IF(ISNUMBER(deployment_raw[[#This Row],[Column13]]), (MIN(IF(O432&lt;&gt;"",O432,9999999999999)*1.1,deployment_raw[[#This Row],[Column13]] * IF($E$2="Deployment",deployment_raw[[#This Row],[Column5]],1)*(1+$Q$2)/1048576)),"")</f>
        <v/>
      </c>
      <c r="R432" s="169" t="str">
        <f>IF(ISNUMBER(deployment_raw[[#This Row],[Column8]]), (H432  * IF(N432&lt;&gt;0,$R$2,1)),"")</f>
        <v/>
      </c>
      <c r="S432" s="170" t="str">
        <f>IF(ISNUMBER(deployment_raw[[#This Row],[Column8]]), (I432  * IF(O432&lt;&gt;0,$S$2,1)),"")</f>
        <v/>
      </c>
      <c r="T432" s="202" t="str">
        <f>IF(AND(A432&lt;&gt;"",_xlfn.IFNA(MATCH(A432,'dynamic resource application '!$A$2:$A$100, 0),0)&lt;&gt;0), H432/(IF($E$2="Deployment",E432,1)),"")</f>
        <v/>
      </c>
      <c r="U432" s="211" t="str">
        <f>IF(AND(A432&lt;&gt;"",_xlfn.IFNA(MATCH(A432,'dynamic resource application '!$A$2:$A$100, 0),0)&lt;&gt;0), I432/(IF($E$2="Deployment",E432,1)),"")</f>
        <v/>
      </c>
    </row>
    <row r="433" spans="1:21" ht="15.75" customHeight="1" x14ac:dyDescent="0.25">
      <c r="A433" s="35" t="str">
        <f>IF(ISNONTEXT(deployment_raw[[#This Row],[Column1]]), "", deployment_raw[[#This Row],[Column1]])</f>
        <v/>
      </c>
      <c r="B433" s="36" t="str">
        <f>IF(ISNONTEXT(deployment_raw[[#This Row],[Column2]]), "", deployment_raw[[#This Row],[Column2]])</f>
        <v/>
      </c>
      <c r="C433" s="36" t="str">
        <f>IF(ISNONTEXT(deployment_raw[[#This Row],[Column3]]), "", deployment_raw[[#This Row],[Column3]])</f>
        <v/>
      </c>
      <c r="D433" s="36" t="str">
        <f>IF(ISNONTEXT(deployment_raw[[#This Row],[Column4]]), "", deployment_raw[[#This Row],[Column4]])</f>
        <v/>
      </c>
      <c r="E433" s="37" t="str">
        <f>IF(ISNUMBER(deployment_raw[[#This Row],[Column5]]), deployment_raw[[#This Row],[Column5]],"")</f>
        <v/>
      </c>
      <c r="F433" s="94" t="str">
        <f>IF(ISNUMBER(deployment_raw[[#This Row],[Column6]]), (deployment_raw[[#This Row],[Column6]] * IF($E$2="Deployment",deployment_raw[[#This Row],[Column5]],1)),"")</f>
        <v/>
      </c>
      <c r="G433" s="95" t="str">
        <f>IF(ISNUMBER(deployment_raw[[#This Row],[Column7]]), (deployment_raw[[#This Row],[Column7]] * IF($E$2="Deployment",deployment_raw[[#This Row],[Column5]],1))/1048576,"")</f>
        <v/>
      </c>
      <c r="H433" s="95" t="str">
        <f>IF(ISNUMBER(deployment_raw[[#This Row],[Column8]]), (deployment_raw[[#This Row],[Column8]]  * IF($E$2="Deployment",deployment_raw[[#This Row],[Column5]],1)),"")</f>
        <v/>
      </c>
      <c r="I433" s="96" t="str">
        <f>IF(ISNUMBER(deployment_raw[[#This Row],[Column9]]), (deployment_raw[[#This Row],[Column9]] * IF($E$2="Deployment",deployment_raw[[#This Row],[Column5]],1))/1048576,"")</f>
        <v/>
      </c>
      <c r="J433" s="122" t="str">
        <f>IF(ISNUMBER(deployment_raw[[#This Row],[Column10]]), (MIN(IF(N433&lt;&gt;"",N433,9999999999999)*1.1,deployment_raw[[#This Row],[Column10]] * IF($E$2="Deployment",deployment_raw[[#This Row],[Column5]],1))),"")</f>
        <v/>
      </c>
      <c r="K433" s="123" t="str">
        <f>IF(ISNUMBER(deployment_raw[[#This Row],[Column11]]), (MIN(IF(O433&lt;&gt;"",O433,9999999999999)*1.1,deployment_raw[[#This Row],[Column11]] * IF($E$2="Deployment",deployment_raw[[#This Row],[Column5]],1)/1048576)),"")</f>
        <v/>
      </c>
      <c r="L433" s="124" t="str">
        <f>IF(ISNUMBER(deployment_raw[[#This Row],[Column8]]),IF(OR(deployment_raw[[#This Row],[Column5]] &lt;&gt; 0,$E$2 &lt;&gt; "Deployment"), MAX(J433, P433, R433, ($L$2 * IF($E$2="Deployment",deployment_raw[[#This Row],[Column5]],1)),IF(T433&lt;&gt;"",VALUE(T433) * IF($E$2="Deployment",deployment_raw[[#This Row],[Column5]],1),0)), 0),"")</f>
        <v/>
      </c>
      <c r="M433" s="125" t="str">
        <f>IF(ISNUMBER(deployment_raw[[#This Row],[Column9]]),IF(OR(deployment_raw[[#This Row],[Column5]] &lt;&gt; 0,$E$2&lt;&gt;"Deployment"), MAX(K433, Q433, S433, ($M$2 * IF($E$2="Deployment",deployment_raw[[#This Row],[Column5]],1)),IF(U433&lt;&gt;"",VALUE(U433) * IF($E$2="Deployment",deployment_raw[[#This Row],[Column5]],1),0)), 0),"")</f>
        <v/>
      </c>
      <c r="N433" s="166" t="str">
        <f>IF(ISNUMBER(deployment_raw[[#This Row],[Column14]]), deployment_raw[[#This Row],[Column14]]/IF(OR($E$2="Deployment",deployment_raw[[#This Row],[Column5]]=0),1,deployment_raw[[#This Row],[Column5]]),"")</f>
        <v/>
      </c>
      <c r="O433" s="167" t="str">
        <f>IF(ISNUMBER(deployment_raw[[#This Row],[Column15]]), deployment_raw[[#This Row],[Column15]]/IF(OR($E$2="Deployment",deployment_raw[[#This Row],[Column5]]=0),1,deployment_raw[[#This Row],[Column5]])/1048576,"")</f>
        <v/>
      </c>
      <c r="P433" s="168" t="str">
        <f>IF(ISNUMBER(deployment_raw[[#This Row],[Column12]]), (MIN(IF(N433&lt;&gt;"",N433,9999999999999)*1.1,deployment_raw[[#This Row],[Column12]] * IF($E$2="Deployment",deployment_raw[[#This Row],[Column5]],1))*(1+$P$2)),"")</f>
        <v/>
      </c>
      <c r="Q433" s="167" t="str">
        <f>IF(ISNUMBER(deployment_raw[[#This Row],[Column13]]), (MIN(IF(O433&lt;&gt;"",O433,9999999999999)*1.1,deployment_raw[[#This Row],[Column13]] * IF($E$2="Deployment",deployment_raw[[#This Row],[Column5]],1)*(1+$Q$2)/1048576)),"")</f>
        <v/>
      </c>
      <c r="R433" s="169" t="str">
        <f>IF(ISNUMBER(deployment_raw[[#This Row],[Column8]]), (H433  * IF(N433&lt;&gt;0,$R$2,1)),"")</f>
        <v/>
      </c>
      <c r="S433" s="170" t="str">
        <f>IF(ISNUMBER(deployment_raw[[#This Row],[Column8]]), (I433  * IF(O433&lt;&gt;0,$S$2,1)),"")</f>
        <v/>
      </c>
      <c r="T433" s="202" t="str">
        <f>IF(AND(A433&lt;&gt;"",_xlfn.IFNA(MATCH(A433,'dynamic resource application '!$A$2:$A$100, 0),0)&lt;&gt;0), H433/(IF($E$2="Deployment",E433,1)),"")</f>
        <v/>
      </c>
      <c r="U433" s="211" t="str">
        <f>IF(AND(A433&lt;&gt;"",_xlfn.IFNA(MATCH(A433,'dynamic resource application '!$A$2:$A$100, 0),0)&lt;&gt;0), I433/(IF($E$2="Deployment",E433,1)),"")</f>
        <v/>
      </c>
    </row>
    <row r="434" spans="1:21" ht="15.75" customHeight="1" x14ac:dyDescent="0.25">
      <c r="A434" s="35" t="str">
        <f>IF(ISNONTEXT(deployment_raw[[#This Row],[Column1]]), "", deployment_raw[[#This Row],[Column1]])</f>
        <v/>
      </c>
      <c r="B434" s="36" t="str">
        <f>IF(ISNONTEXT(deployment_raw[[#This Row],[Column2]]), "", deployment_raw[[#This Row],[Column2]])</f>
        <v/>
      </c>
      <c r="C434" s="36" t="str">
        <f>IF(ISNONTEXT(deployment_raw[[#This Row],[Column3]]), "", deployment_raw[[#This Row],[Column3]])</f>
        <v/>
      </c>
      <c r="D434" s="36" t="str">
        <f>IF(ISNONTEXT(deployment_raw[[#This Row],[Column4]]), "", deployment_raw[[#This Row],[Column4]])</f>
        <v/>
      </c>
      <c r="E434" s="37" t="str">
        <f>IF(ISNUMBER(deployment_raw[[#This Row],[Column5]]), deployment_raw[[#This Row],[Column5]],"")</f>
        <v/>
      </c>
      <c r="F434" s="94" t="str">
        <f>IF(ISNUMBER(deployment_raw[[#This Row],[Column6]]), (deployment_raw[[#This Row],[Column6]] * IF($E$2="Deployment",deployment_raw[[#This Row],[Column5]],1)),"")</f>
        <v/>
      </c>
      <c r="G434" s="95" t="str">
        <f>IF(ISNUMBER(deployment_raw[[#This Row],[Column7]]), (deployment_raw[[#This Row],[Column7]] * IF($E$2="Deployment",deployment_raw[[#This Row],[Column5]],1))/1048576,"")</f>
        <v/>
      </c>
      <c r="H434" s="95" t="str">
        <f>IF(ISNUMBER(deployment_raw[[#This Row],[Column8]]), (deployment_raw[[#This Row],[Column8]]  * IF($E$2="Deployment",deployment_raw[[#This Row],[Column5]],1)),"")</f>
        <v/>
      </c>
      <c r="I434" s="96" t="str">
        <f>IF(ISNUMBER(deployment_raw[[#This Row],[Column9]]), (deployment_raw[[#This Row],[Column9]] * IF($E$2="Deployment",deployment_raw[[#This Row],[Column5]],1))/1048576,"")</f>
        <v/>
      </c>
      <c r="J434" s="122" t="str">
        <f>IF(ISNUMBER(deployment_raw[[#This Row],[Column10]]), (MIN(IF(N434&lt;&gt;"",N434,9999999999999)*1.1,deployment_raw[[#This Row],[Column10]] * IF($E$2="Deployment",deployment_raw[[#This Row],[Column5]],1))),"")</f>
        <v/>
      </c>
      <c r="K434" s="123" t="str">
        <f>IF(ISNUMBER(deployment_raw[[#This Row],[Column11]]), (MIN(IF(O434&lt;&gt;"",O434,9999999999999)*1.1,deployment_raw[[#This Row],[Column11]] * IF($E$2="Deployment",deployment_raw[[#This Row],[Column5]],1)/1048576)),"")</f>
        <v/>
      </c>
      <c r="L434" s="124" t="str">
        <f>IF(ISNUMBER(deployment_raw[[#This Row],[Column8]]),IF(OR(deployment_raw[[#This Row],[Column5]] &lt;&gt; 0,$E$2 &lt;&gt; "Deployment"), MAX(J434, P434, R434, ($L$2 * IF($E$2="Deployment",deployment_raw[[#This Row],[Column5]],1)),IF(T434&lt;&gt;"",VALUE(T434) * IF($E$2="Deployment",deployment_raw[[#This Row],[Column5]],1),0)), 0),"")</f>
        <v/>
      </c>
      <c r="M434" s="125" t="str">
        <f>IF(ISNUMBER(deployment_raw[[#This Row],[Column9]]),IF(OR(deployment_raw[[#This Row],[Column5]] &lt;&gt; 0,$E$2&lt;&gt;"Deployment"), MAX(K434, Q434, S434, ($M$2 * IF($E$2="Deployment",deployment_raw[[#This Row],[Column5]],1)),IF(U434&lt;&gt;"",VALUE(U434) * IF($E$2="Deployment",deployment_raw[[#This Row],[Column5]],1),0)), 0),"")</f>
        <v/>
      </c>
      <c r="N434" s="166" t="str">
        <f>IF(ISNUMBER(deployment_raw[[#This Row],[Column14]]), deployment_raw[[#This Row],[Column14]]/IF(OR($E$2="Deployment",deployment_raw[[#This Row],[Column5]]=0),1,deployment_raw[[#This Row],[Column5]]),"")</f>
        <v/>
      </c>
      <c r="O434" s="167" t="str">
        <f>IF(ISNUMBER(deployment_raw[[#This Row],[Column15]]), deployment_raw[[#This Row],[Column15]]/IF(OR($E$2="Deployment",deployment_raw[[#This Row],[Column5]]=0),1,deployment_raw[[#This Row],[Column5]])/1048576,"")</f>
        <v/>
      </c>
      <c r="P434" s="168" t="str">
        <f>IF(ISNUMBER(deployment_raw[[#This Row],[Column12]]), (MIN(IF(N434&lt;&gt;"",N434,9999999999999)*1.1,deployment_raw[[#This Row],[Column12]] * IF($E$2="Deployment",deployment_raw[[#This Row],[Column5]],1))*(1+$P$2)),"")</f>
        <v/>
      </c>
      <c r="Q434" s="167" t="str">
        <f>IF(ISNUMBER(deployment_raw[[#This Row],[Column13]]), (MIN(IF(O434&lt;&gt;"",O434,9999999999999)*1.1,deployment_raw[[#This Row],[Column13]] * IF($E$2="Deployment",deployment_raw[[#This Row],[Column5]],1)*(1+$Q$2)/1048576)),"")</f>
        <v/>
      </c>
      <c r="R434" s="169" t="str">
        <f>IF(ISNUMBER(deployment_raw[[#This Row],[Column8]]), (H434  * IF(N434&lt;&gt;0,$R$2,1)),"")</f>
        <v/>
      </c>
      <c r="S434" s="170" t="str">
        <f>IF(ISNUMBER(deployment_raw[[#This Row],[Column8]]), (I434  * IF(O434&lt;&gt;0,$S$2,1)),"")</f>
        <v/>
      </c>
      <c r="T434" s="202" t="str">
        <f>IF(AND(A434&lt;&gt;"",_xlfn.IFNA(MATCH(A434,'dynamic resource application '!$A$2:$A$100, 0),0)&lt;&gt;0), H434/(IF($E$2="Deployment",E434,1)),"")</f>
        <v/>
      </c>
      <c r="U434" s="211" t="str">
        <f>IF(AND(A434&lt;&gt;"",_xlfn.IFNA(MATCH(A434,'dynamic resource application '!$A$2:$A$100, 0),0)&lt;&gt;0), I434/(IF($E$2="Deployment",E434,1)),"")</f>
        <v/>
      </c>
    </row>
    <row r="435" spans="1:21" ht="15.75" customHeight="1" x14ac:dyDescent="0.25">
      <c r="A435" s="35" t="str">
        <f>IF(ISNONTEXT(deployment_raw[[#This Row],[Column1]]), "", deployment_raw[[#This Row],[Column1]])</f>
        <v/>
      </c>
      <c r="B435" s="36" t="str">
        <f>IF(ISNONTEXT(deployment_raw[[#This Row],[Column2]]), "", deployment_raw[[#This Row],[Column2]])</f>
        <v/>
      </c>
      <c r="C435" s="36" t="str">
        <f>IF(ISNONTEXT(deployment_raw[[#This Row],[Column3]]), "", deployment_raw[[#This Row],[Column3]])</f>
        <v/>
      </c>
      <c r="D435" s="36" t="str">
        <f>IF(ISNONTEXT(deployment_raw[[#This Row],[Column4]]), "", deployment_raw[[#This Row],[Column4]])</f>
        <v/>
      </c>
      <c r="E435" s="37" t="str">
        <f>IF(ISNUMBER(deployment_raw[[#This Row],[Column5]]), deployment_raw[[#This Row],[Column5]],"")</f>
        <v/>
      </c>
      <c r="F435" s="94" t="str">
        <f>IF(ISNUMBER(deployment_raw[[#This Row],[Column6]]), (deployment_raw[[#This Row],[Column6]] * IF($E$2="Deployment",deployment_raw[[#This Row],[Column5]],1)),"")</f>
        <v/>
      </c>
      <c r="G435" s="95" t="str">
        <f>IF(ISNUMBER(deployment_raw[[#This Row],[Column7]]), (deployment_raw[[#This Row],[Column7]] * IF($E$2="Deployment",deployment_raw[[#This Row],[Column5]],1))/1048576,"")</f>
        <v/>
      </c>
      <c r="H435" s="95" t="str">
        <f>IF(ISNUMBER(deployment_raw[[#This Row],[Column8]]), (deployment_raw[[#This Row],[Column8]]  * IF($E$2="Deployment",deployment_raw[[#This Row],[Column5]],1)),"")</f>
        <v/>
      </c>
      <c r="I435" s="96" t="str">
        <f>IF(ISNUMBER(deployment_raw[[#This Row],[Column9]]), (deployment_raw[[#This Row],[Column9]] * IF($E$2="Deployment",deployment_raw[[#This Row],[Column5]],1))/1048576,"")</f>
        <v/>
      </c>
      <c r="J435" s="122" t="str">
        <f>IF(ISNUMBER(deployment_raw[[#This Row],[Column10]]), (MIN(IF(N435&lt;&gt;"",N435,9999999999999)*1.1,deployment_raw[[#This Row],[Column10]] * IF($E$2="Deployment",deployment_raw[[#This Row],[Column5]],1))),"")</f>
        <v/>
      </c>
      <c r="K435" s="123" t="str">
        <f>IF(ISNUMBER(deployment_raw[[#This Row],[Column11]]), (MIN(IF(O435&lt;&gt;"",O435,9999999999999)*1.1,deployment_raw[[#This Row],[Column11]] * IF($E$2="Deployment",deployment_raw[[#This Row],[Column5]],1)/1048576)),"")</f>
        <v/>
      </c>
      <c r="L435" s="124" t="str">
        <f>IF(ISNUMBER(deployment_raw[[#This Row],[Column8]]),IF(OR(deployment_raw[[#This Row],[Column5]] &lt;&gt; 0,$E$2 &lt;&gt; "Deployment"), MAX(J435, P435, R435, ($L$2 * IF($E$2="Deployment",deployment_raw[[#This Row],[Column5]],1)),IF(T435&lt;&gt;"",VALUE(T435) * IF($E$2="Deployment",deployment_raw[[#This Row],[Column5]],1),0)), 0),"")</f>
        <v/>
      </c>
      <c r="M435" s="125" t="str">
        <f>IF(ISNUMBER(deployment_raw[[#This Row],[Column9]]),IF(OR(deployment_raw[[#This Row],[Column5]] &lt;&gt; 0,$E$2&lt;&gt;"Deployment"), MAX(K435, Q435, S435, ($M$2 * IF($E$2="Deployment",deployment_raw[[#This Row],[Column5]],1)),IF(U435&lt;&gt;"",VALUE(U435) * IF($E$2="Deployment",deployment_raw[[#This Row],[Column5]],1),0)), 0),"")</f>
        <v/>
      </c>
      <c r="N435" s="166" t="str">
        <f>IF(ISNUMBER(deployment_raw[[#This Row],[Column14]]), deployment_raw[[#This Row],[Column14]]/IF(OR($E$2="Deployment",deployment_raw[[#This Row],[Column5]]=0),1,deployment_raw[[#This Row],[Column5]]),"")</f>
        <v/>
      </c>
      <c r="O435" s="167" t="str">
        <f>IF(ISNUMBER(deployment_raw[[#This Row],[Column15]]), deployment_raw[[#This Row],[Column15]]/IF(OR($E$2="Deployment",deployment_raw[[#This Row],[Column5]]=0),1,deployment_raw[[#This Row],[Column5]])/1048576,"")</f>
        <v/>
      </c>
      <c r="P435" s="168" t="str">
        <f>IF(ISNUMBER(deployment_raw[[#This Row],[Column12]]), (MIN(IF(N435&lt;&gt;"",N435,9999999999999)*1.1,deployment_raw[[#This Row],[Column12]] * IF($E$2="Deployment",deployment_raw[[#This Row],[Column5]],1))*(1+$P$2)),"")</f>
        <v/>
      </c>
      <c r="Q435" s="167" t="str">
        <f>IF(ISNUMBER(deployment_raw[[#This Row],[Column13]]), (MIN(IF(O435&lt;&gt;"",O435,9999999999999)*1.1,deployment_raw[[#This Row],[Column13]] * IF($E$2="Deployment",deployment_raw[[#This Row],[Column5]],1)*(1+$Q$2)/1048576)),"")</f>
        <v/>
      </c>
      <c r="R435" s="169" t="str">
        <f>IF(ISNUMBER(deployment_raw[[#This Row],[Column8]]), (H435  * IF(N435&lt;&gt;0,$R$2,1)),"")</f>
        <v/>
      </c>
      <c r="S435" s="170" t="str">
        <f>IF(ISNUMBER(deployment_raw[[#This Row],[Column8]]), (I435  * IF(O435&lt;&gt;0,$S$2,1)),"")</f>
        <v/>
      </c>
      <c r="T435" s="202" t="str">
        <f>IF(AND(A435&lt;&gt;"",_xlfn.IFNA(MATCH(A435,'dynamic resource application '!$A$2:$A$100, 0),0)&lt;&gt;0), H435/(IF($E$2="Deployment",E435,1)),"")</f>
        <v/>
      </c>
      <c r="U435" s="211" t="str">
        <f>IF(AND(A435&lt;&gt;"",_xlfn.IFNA(MATCH(A435,'dynamic resource application '!$A$2:$A$100, 0),0)&lt;&gt;0), I435/(IF($E$2="Deployment",E435,1)),"")</f>
        <v/>
      </c>
    </row>
    <row r="436" spans="1:21" ht="15.75" customHeight="1" x14ac:dyDescent="0.25">
      <c r="A436" s="35" t="str">
        <f>IF(ISNONTEXT(deployment_raw[[#This Row],[Column1]]), "", deployment_raw[[#This Row],[Column1]])</f>
        <v/>
      </c>
      <c r="B436" s="36" t="str">
        <f>IF(ISNONTEXT(deployment_raw[[#This Row],[Column2]]), "", deployment_raw[[#This Row],[Column2]])</f>
        <v/>
      </c>
      <c r="C436" s="36" t="str">
        <f>IF(ISNONTEXT(deployment_raw[[#This Row],[Column3]]), "", deployment_raw[[#This Row],[Column3]])</f>
        <v/>
      </c>
      <c r="D436" s="36" t="str">
        <f>IF(ISNONTEXT(deployment_raw[[#This Row],[Column4]]), "", deployment_raw[[#This Row],[Column4]])</f>
        <v/>
      </c>
      <c r="E436" s="37" t="str">
        <f>IF(ISNUMBER(deployment_raw[[#This Row],[Column5]]), deployment_raw[[#This Row],[Column5]],"")</f>
        <v/>
      </c>
      <c r="F436" s="94" t="str">
        <f>IF(ISNUMBER(deployment_raw[[#This Row],[Column6]]), (deployment_raw[[#This Row],[Column6]] * IF($E$2="Deployment",deployment_raw[[#This Row],[Column5]],1)),"")</f>
        <v/>
      </c>
      <c r="G436" s="95" t="str">
        <f>IF(ISNUMBER(deployment_raw[[#This Row],[Column7]]), (deployment_raw[[#This Row],[Column7]] * IF($E$2="Deployment",deployment_raw[[#This Row],[Column5]],1))/1048576,"")</f>
        <v/>
      </c>
      <c r="H436" s="95" t="str">
        <f>IF(ISNUMBER(deployment_raw[[#This Row],[Column8]]), (deployment_raw[[#This Row],[Column8]]  * IF($E$2="Deployment",deployment_raw[[#This Row],[Column5]],1)),"")</f>
        <v/>
      </c>
      <c r="I436" s="96" t="str">
        <f>IF(ISNUMBER(deployment_raw[[#This Row],[Column9]]), (deployment_raw[[#This Row],[Column9]] * IF($E$2="Deployment",deployment_raw[[#This Row],[Column5]],1))/1048576,"")</f>
        <v/>
      </c>
      <c r="J436" s="122" t="str">
        <f>IF(ISNUMBER(deployment_raw[[#This Row],[Column10]]), (MIN(IF(N436&lt;&gt;"",N436,9999999999999)*1.1,deployment_raw[[#This Row],[Column10]] * IF($E$2="Deployment",deployment_raw[[#This Row],[Column5]],1))),"")</f>
        <v/>
      </c>
      <c r="K436" s="123" t="str">
        <f>IF(ISNUMBER(deployment_raw[[#This Row],[Column11]]), (MIN(IF(O436&lt;&gt;"",O436,9999999999999)*1.1,deployment_raw[[#This Row],[Column11]] * IF($E$2="Deployment",deployment_raw[[#This Row],[Column5]],1)/1048576)),"")</f>
        <v/>
      </c>
      <c r="L436" s="124" t="str">
        <f>IF(ISNUMBER(deployment_raw[[#This Row],[Column8]]),IF(OR(deployment_raw[[#This Row],[Column5]] &lt;&gt; 0,$E$2 &lt;&gt; "Deployment"), MAX(J436, P436, R436, ($L$2 * IF($E$2="Deployment",deployment_raw[[#This Row],[Column5]],1)),IF(T436&lt;&gt;"",VALUE(T436) * IF($E$2="Deployment",deployment_raw[[#This Row],[Column5]],1),0)), 0),"")</f>
        <v/>
      </c>
      <c r="M436" s="125" t="str">
        <f>IF(ISNUMBER(deployment_raw[[#This Row],[Column9]]),IF(OR(deployment_raw[[#This Row],[Column5]] &lt;&gt; 0,$E$2&lt;&gt;"Deployment"), MAX(K436, Q436, S436, ($M$2 * IF($E$2="Deployment",deployment_raw[[#This Row],[Column5]],1)),IF(U436&lt;&gt;"",VALUE(U436) * IF($E$2="Deployment",deployment_raw[[#This Row],[Column5]],1),0)), 0),"")</f>
        <v/>
      </c>
      <c r="N436" s="166" t="str">
        <f>IF(ISNUMBER(deployment_raw[[#This Row],[Column14]]), deployment_raw[[#This Row],[Column14]]/IF(OR($E$2="Deployment",deployment_raw[[#This Row],[Column5]]=0),1,deployment_raw[[#This Row],[Column5]]),"")</f>
        <v/>
      </c>
      <c r="O436" s="167" t="str">
        <f>IF(ISNUMBER(deployment_raw[[#This Row],[Column15]]), deployment_raw[[#This Row],[Column15]]/IF(OR($E$2="Deployment",deployment_raw[[#This Row],[Column5]]=0),1,deployment_raw[[#This Row],[Column5]])/1048576,"")</f>
        <v/>
      </c>
      <c r="P436" s="168" t="str">
        <f>IF(ISNUMBER(deployment_raw[[#This Row],[Column12]]), (MIN(IF(N436&lt;&gt;"",N436,9999999999999)*1.1,deployment_raw[[#This Row],[Column12]] * IF($E$2="Deployment",deployment_raw[[#This Row],[Column5]],1))*(1+$P$2)),"")</f>
        <v/>
      </c>
      <c r="Q436" s="167" t="str">
        <f>IF(ISNUMBER(deployment_raw[[#This Row],[Column13]]), (MIN(IF(O436&lt;&gt;"",O436,9999999999999)*1.1,deployment_raw[[#This Row],[Column13]] * IF($E$2="Deployment",deployment_raw[[#This Row],[Column5]],1)*(1+$Q$2)/1048576)),"")</f>
        <v/>
      </c>
      <c r="R436" s="169" t="str">
        <f>IF(ISNUMBER(deployment_raw[[#This Row],[Column8]]), (H436  * IF(N436&lt;&gt;0,$R$2,1)),"")</f>
        <v/>
      </c>
      <c r="S436" s="170" t="str">
        <f>IF(ISNUMBER(deployment_raw[[#This Row],[Column8]]), (I436  * IF(O436&lt;&gt;0,$S$2,1)),"")</f>
        <v/>
      </c>
      <c r="T436" s="202" t="str">
        <f>IF(AND(A436&lt;&gt;"",_xlfn.IFNA(MATCH(A436,'dynamic resource application '!$A$2:$A$100, 0),0)&lt;&gt;0), H436/(IF($E$2="Deployment",E436,1)),"")</f>
        <v/>
      </c>
      <c r="U436" s="211" t="str">
        <f>IF(AND(A436&lt;&gt;"",_xlfn.IFNA(MATCH(A436,'dynamic resource application '!$A$2:$A$100, 0),0)&lt;&gt;0), I436/(IF($E$2="Deployment",E436,1)),"")</f>
        <v/>
      </c>
    </row>
    <row r="437" spans="1:21" ht="15.75" customHeight="1" x14ac:dyDescent="0.25">
      <c r="A437" s="35" t="str">
        <f>IF(ISNONTEXT(deployment_raw[[#This Row],[Column1]]), "", deployment_raw[[#This Row],[Column1]])</f>
        <v/>
      </c>
      <c r="B437" s="36" t="str">
        <f>IF(ISNONTEXT(deployment_raw[[#This Row],[Column2]]), "", deployment_raw[[#This Row],[Column2]])</f>
        <v/>
      </c>
      <c r="C437" s="36" t="str">
        <f>IF(ISNONTEXT(deployment_raw[[#This Row],[Column3]]), "", deployment_raw[[#This Row],[Column3]])</f>
        <v/>
      </c>
      <c r="D437" s="36" t="str">
        <f>IF(ISNONTEXT(deployment_raw[[#This Row],[Column4]]), "", deployment_raw[[#This Row],[Column4]])</f>
        <v/>
      </c>
      <c r="E437" s="37" t="str">
        <f>IF(ISNUMBER(deployment_raw[[#This Row],[Column5]]), deployment_raw[[#This Row],[Column5]],"")</f>
        <v/>
      </c>
      <c r="F437" s="94" t="str">
        <f>IF(ISNUMBER(deployment_raw[[#This Row],[Column6]]), (deployment_raw[[#This Row],[Column6]] * IF($E$2="Deployment",deployment_raw[[#This Row],[Column5]],1)),"")</f>
        <v/>
      </c>
      <c r="G437" s="95" t="str">
        <f>IF(ISNUMBER(deployment_raw[[#This Row],[Column7]]), (deployment_raw[[#This Row],[Column7]] * IF($E$2="Deployment",deployment_raw[[#This Row],[Column5]],1))/1048576,"")</f>
        <v/>
      </c>
      <c r="H437" s="95" t="str">
        <f>IF(ISNUMBER(deployment_raw[[#This Row],[Column8]]), (deployment_raw[[#This Row],[Column8]]  * IF($E$2="Deployment",deployment_raw[[#This Row],[Column5]],1)),"")</f>
        <v/>
      </c>
      <c r="I437" s="96" t="str">
        <f>IF(ISNUMBER(deployment_raw[[#This Row],[Column9]]), (deployment_raw[[#This Row],[Column9]] * IF($E$2="Deployment",deployment_raw[[#This Row],[Column5]],1))/1048576,"")</f>
        <v/>
      </c>
      <c r="J437" s="122" t="str">
        <f>IF(ISNUMBER(deployment_raw[[#This Row],[Column10]]), (MIN(IF(N437&lt;&gt;"",N437,9999999999999)*1.1,deployment_raw[[#This Row],[Column10]] * IF($E$2="Deployment",deployment_raw[[#This Row],[Column5]],1))),"")</f>
        <v/>
      </c>
      <c r="K437" s="123" t="str">
        <f>IF(ISNUMBER(deployment_raw[[#This Row],[Column11]]), (MIN(IF(O437&lt;&gt;"",O437,9999999999999)*1.1,deployment_raw[[#This Row],[Column11]] * IF($E$2="Deployment",deployment_raw[[#This Row],[Column5]],1)/1048576)),"")</f>
        <v/>
      </c>
      <c r="L437" s="124" t="str">
        <f>IF(ISNUMBER(deployment_raw[[#This Row],[Column8]]),IF(OR(deployment_raw[[#This Row],[Column5]] &lt;&gt; 0,$E$2 &lt;&gt; "Deployment"), MAX(J437, P437, R437, ($L$2 * IF($E$2="Deployment",deployment_raw[[#This Row],[Column5]],1)),IF(T437&lt;&gt;"",VALUE(T437) * IF($E$2="Deployment",deployment_raw[[#This Row],[Column5]],1),0)), 0),"")</f>
        <v/>
      </c>
      <c r="M437" s="125" t="str">
        <f>IF(ISNUMBER(deployment_raw[[#This Row],[Column9]]),IF(OR(deployment_raw[[#This Row],[Column5]] &lt;&gt; 0,$E$2&lt;&gt;"Deployment"), MAX(K437, Q437, S437, ($M$2 * IF($E$2="Deployment",deployment_raw[[#This Row],[Column5]],1)),IF(U437&lt;&gt;"",VALUE(U437) * IF($E$2="Deployment",deployment_raw[[#This Row],[Column5]],1),0)), 0),"")</f>
        <v/>
      </c>
      <c r="N437" s="166" t="str">
        <f>IF(ISNUMBER(deployment_raw[[#This Row],[Column14]]), deployment_raw[[#This Row],[Column14]]/IF(OR($E$2="Deployment",deployment_raw[[#This Row],[Column5]]=0),1,deployment_raw[[#This Row],[Column5]]),"")</f>
        <v/>
      </c>
      <c r="O437" s="167" t="str">
        <f>IF(ISNUMBER(deployment_raw[[#This Row],[Column15]]), deployment_raw[[#This Row],[Column15]]/IF(OR($E$2="Deployment",deployment_raw[[#This Row],[Column5]]=0),1,deployment_raw[[#This Row],[Column5]])/1048576,"")</f>
        <v/>
      </c>
      <c r="P437" s="168" t="str">
        <f>IF(ISNUMBER(deployment_raw[[#This Row],[Column12]]), (MIN(IF(N437&lt;&gt;"",N437,9999999999999)*1.1,deployment_raw[[#This Row],[Column12]] * IF($E$2="Deployment",deployment_raw[[#This Row],[Column5]],1))*(1+$P$2)),"")</f>
        <v/>
      </c>
      <c r="Q437" s="167" t="str">
        <f>IF(ISNUMBER(deployment_raw[[#This Row],[Column13]]), (MIN(IF(O437&lt;&gt;"",O437,9999999999999)*1.1,deployment_raw[[#This Row],[Column13]] * IF($E$2="Deployment",deployment_raw[[#This Row],[Column5]],1)*(1+$Q$2)/1048576)),"")</f>
        <v/>
      </c>
      <c r="R437" s="169" t="str">
        <f>IF(ISNUMBER(deployment_raw[[#This Row],[Column8]]), (H437  * IF(N437&lt;&gt;0,$R$2,1)),"")</f>
        <v/>
      </c>
      <c r="S437" s="170" t="str">
        <f>IF(ISNUMBER(deployment_raw[[#This Row],[Column8]]), (I437  * IF(O437&lt;&gt;0,$S$2,1)),"")</f>
        <v/>
      </c>
      <c r="T437" s="202" t="str">
        <f>IF(AND(A437&lt;&gt;"",_xlfn.IFNA(MATCH(A437,'dynamic resource application '!$A$2:$A$100, 0),0)&lt;&gt;0), H437/(IF($E$2="Deployment",E437,1)),"")</f>
        <v/>
      </c>
      <c r="U437" s="211" t="str">
        <f>IF(AND(A437&lt;&gt;"",_xlfn.IFNA(MATCH(A437,'dynamic resource application '!$A$2:$A$100, 0),0)&lt;&gt;0), I437/(IF($E$2="Deployment",E437,1)),"")</f>
        <v/>
      </c>
    </row>
    <row r="438" spans="1:21" ht="15.75" customHeight="1" x14ac:dyDescent="0.25">
      <c r="A438" s="35" t="str">
        <f>IF(ISNONTEXT(deployment_raw[[#This Row],[Column1]]), "", deployment_raw[[#This Row],[Column1]])</f>
        <v/>
      </c>
      <c r="B438" s="36" t="str">
        <f>IF(ISNONTEXT(deployment_raw[[#This Row],[Column2]]), "", deployment_raw[[#This Row],[Column2]])</f>
        <v/>
      </c>
      <c r="C438" s="36" t="str">
        <f>IF(ISNONTEXT(deployment_raw[[#This Row],[Column3]]), "", deployment_raw[[#This Row],[Column3]])</f>
        <v/>
      </c>
      <c r="D438" s="36" t="str">
        <f>IF(ISNONTEXT(deployment_raw[[#This Row],[Column4]]), "", deployment_raw[[#This Row],[Column4]])</f>
        <v/>
      </c>
      <c r="E438" s="37" t="str">
        <f>IF(ISNUMBER(deployment_raw[[#This Row],[Column5]]), deployment_raw[[#This Row],[Column5]],"")</f>
        <v/>
      </c>
      <c r="F438" s="94" t="str">
        <f>IF(ISNUMBER(deployment_raw[[#This Row],[Column6]]), (deployment_raw[[#This Row],[Column6]] * IF($E$2="Deployment",deployment_raw[[#This Row],[Column5]],1)),"")</f>
        <v/>
      </c>
      <c r="G438" s="95" t="str">
        <f>IF(ISNUMBER(deployment_raw[[#This Row],[Column7]]), (deployment_raw[[#This Row],[Column7]] * IF($E$2="Deployment",deployment_raw[[#This Row],[Column5]],1))/1048576,"")</f>
        <v/>
      </c>
      <c r="H438" s="95" t="str">
        <f>IF(ISNUMBER(deployment_raw[[#This Row],[Column8]]), (deployment_raw[[#This Row],[Column8]]  * IF($E$2="Deployment",deployment_raw[[#This Row],[Column5]],1)),"")</f>
        <v/>
      </c>
      <c r="I438" s="96" t="str">
        <f>IF(ISNUMBER(deployment_raw[[#This Row],[Column9]]), (deployment_raw[[#This Row],[Column9]] * IF($E$2="Deployment",deployment_raw[[#This Row],[Column5]],1))/1048576,"")</f>
        <v/>
      </c>
      <c r="J438" s="122" t="str">
        <f>IF(ISNUMBER(deployment_raw[[#This Row],[Column10]]), (MIN(IF(N438&lt;&gt;"",N438,9999999999999)*1.1,deployment_raw[[#This Row],[Column10]] * IF($E$2="Deployment",deployment_raw[[#This Row],[Column5]],1))),"")</f>
        <v/>
      </c>
      <c r="K438" s="123" t="str">
        <f>IF(ISNUMBER(deployment_raw[[#This Row],[Column11]]), (MIN(IF(O438&lt;&gt;"",O438,9999999999999)*1.1,deployment_raw[[#This Row],[Column11]] * IF($E$2="Deployment",deployment_raw[[#This Row],[Column5]],1)/1048576)),"")</f>
        <v/>
      </c>
      <c r="L438" s="124" t="str">
        <f>IF(ISNUMBER(deployment_raw[[#This Row],[Column8]]),IF(OR(deployment_raw[[#This Row],[Column5]] &lt;&gt; 0,$E$2 &lt;&gt; "Deployment"), MAX(J438, P438, R438, ($L$2 * IF($E$2="Deployment",deployment_raw[[#This Row],[Column5]],1)),IF(T438&lt;&gt;"",VALUE(T438) * IF($E$2="Deployment",deployment_raw[[#This Row],[Column5]],1),0)), 0),"")</f>
        <v/>
      </c>
      <c r="M438" s="125" t="str">
        <f>IF(ISNUMBER(deployment_raw[[#This Row],[Column9]]),IF(OR(deployment_raw[[#This Row],[Column5]] &lt;&gt; 0,$E$2&lt;&gt;"Deployment"), MAX(K438, Q438, S438, ($M$2 * IF($E$2="Deployment",deployment_raw[[#This Row],[Column5]],1)),IF(U438&lt;&gt;"",VALUE(U438) * IF($E$2="Deployment",deployment_raw[[#This Row],[Column5]],1),0)), 0),"")</f>
        <v/>
      </c>
      <c r="N438" s="166" t="str">
        <f>IF(ISNUMBER(deployment_raw[[#This Row],[Column14]]), deployment_raw[[#This Row],[Column14]]/IF(OR($E$2="Deployment",deployment_raw[[#This Row],[Column5]]=0),1,deployment_raw[[#This Row],[Column5]]),"")</f>
        <v/>
      </c>
      <c r="O438" s="167" t="str">
        <f>IF(ISNUMBER(deployment_raw[[#This Row],[Column15]]), deployment_raw[[#This Row],[Column15]]/IF(OR($E$2="Deployment",deployment_raw[[#This Row],[Column5]]=0),1,deployment_raw[[#This Row],[Column5]])/1048576,"")</f>
        <v/>
      </c>
      <c r="P438" s="168" t="str">
        <f>IF(ISNUMBER(deployment_raw[[#This Row],[Column12]]), (MIN(IF(N438&lt;&gt;"",N438,9999999999999)*1.1,deployment_raw[[#This Row],[Column12]] * IF($E$2="Deployment",deployment_raw[[#This Row],[Column5]],1))*(1+$P$2)),"")</f>
        <v/>
      </c>
      <c r="Q438" s="167" t="str">
        <f>IF(ISNUMBER(deployment_raw[[#This Row],[Column13]]), (MIN(IF(O438&lt;&gt;"",O438,9999999999999)*1.1,deployment_raw[[#This Row],[Column13]] * IF($E$2="Deployment",deployment_raw[[#This Row],[Column5]],1)*(1+$Q$2)/1048576)),"")</f>
        <v/>
      </c>
      <c r="R438" s="169" t="str">
        <f>IF(ISNUMBER(deployment_raw[[#This Row],[Column8]]), (H438  * IF(N438&lt;&gt;0,$R$2,1)),"")</f>
        <v/>
      </c>
      <c r="S438" s="170" t="str">
        <f>IF(ISNUMBER(deployment_raw[[#This Row],[Column8]]), (I438  * IF(O438&lt;&gt;0,$S$2,1)),"")</f>
        <v/>
      </c>
      <c r="T438" s="202" t="str">
        <f>IF(AND(A438&lt;&gt;"",_xlfn.IFNA(MATCH(A438,'dynamic resource application '!$A$2:$A$100, 0),0)&lt;&gt;0), H438/(IF($E$2="Deployment",E438,1)),"")</f>
        <v/>
      </c>
      <c r="U438" s="211" t="str">
        <f>IF(AND(A438&lt;&gt;"",_xlfn.IFNA(MATCH(A438,'dynamic resource application '!$A$2:$A$100, 0),0)&lt;&gt;0), I438/(IF($E$2="Deployment",E438,1)),"")</f>
        <v/>
      </c>
    </row>
    <row r="439" spans="1:21" ht="15.75" customHeight="1" x14ac:dyDescent="0.25">
      <c r="A439" s="35" t="str">
        <f>IF(ISNONTEXT(deployment_raw[[#This Row],[Column1]]), "", deployment_raw[[#This Row],[Column1]])</f>
        <v/>
      </c>
      <c r="B439" s="36" t="str">
        <f>IF(ISNONTEXT(deployment_raw[[#This Row],[Column2]]), "", deployment_raw[[#This Row],[Column2]])</f>
        <v/>
      </c>
      <c r="C439" s="36" t="str">
        <f>IF(ISNONTEXT(deployment_raw[[#This Row],[Column3]]), "", deployment_raw[[#This Row],[Column3]])</f>
        <v/>
      </c>
      <c r="D439" s="36" t="str">
        <f>IF(ISNONTEXT(deployment_raw[[#This Row],[Column4]]), "", deployment_raw[[#This Row],[Column4]])</f>
        <v/>
      </c>
      <c r="E439" s="37" t="str">
        <f>IF(ISNUMBER(deployment_raw[[#This Row],[Column5]]), deployment_raw[[#This Row],[Column5]],"")</f>
        <v/>
      </c>
      <c r="F439" s="94" t="str">
        <f>IF(ISNUMBER(deployment_raw[[#This Row],[Column6]]), (deployment_raw[[#This Row],[Column6]] * IF($E$2="Deployment",deployment_raw[[#This Row],[Column5]],1)),"")</f>
        <v/>
      </c>
      <c r="G439" s="95" t="str">
        <f>IF(ISNUMBER(deployment_raw[[#This Row],[Column7]]), (deployment_raw[[#This Row],[Column7]] * IF($E$2="Deployment",deployment_raw[[#This Row],[Column5]],1))/1048576,"")</f>
        <v/>
      </c>
      <c r="H439" s="95" t="str">
        <f>IF(ISNUMBER(deployment_raw[[#This Row],[Column8]]), (deployment_raw[[#This Row],[Column8]]  * IF($E$2="Deployment",deployment_raw[[#This Row],[Column5]],1)),"")</f>
        <v/>
      </c>
      <c r="I439" s="96" t="str">
        <f>IF(ISNUMBER(deployment_raw[[#This Row],[Column9]]), (deployment_raw[[#This Row],[Column9]] * IF($E$2="Deployment",deployment_raw[[#This Row],[Column5]],1))/1048576,"")</f>
        <v/>
      </c>
      <c r="J439" s="122" t="str">
        <f>IF(ISNUMBER(deployment_raw[[#This Row],[Column10]]), (MIN(IF(N439&lt;&gt;"",N439,9999999999999)*1.1,deployment_raw[[#This Row],[Column10]] * IF($E$2="Deployment",deployment_raw[[#This Row],[Column5]],1))),"")</f>
        <v/>
      </c>
      <c r="K439" s="123" t="str">
        <f>IF(ISNUMBER(deployment_raw[[#This Row],[Column11]]), (MIN(IF(O439&lt;&gt;"",O439,9999999999999)*1.1,deployment_raw[[#This Row],[Column11]] * IF($E$2="Deployment",deployment_raw[[#This Row],[Column5]],1)/1048576)),"")</f>
        <v/>
      </c>
      <c r="L439" s="124" t="str">
        <f>IF(ISNUMBER(deployment_raw[[#This Row],[Column8]]),IF(OR(deployment_raw[[#This Row],[Column5]] &lt;&gt; 0,$E$2 &lt;&gt; "Deployment"), MAX(J439, P439, R439, ($L$2 * IF($E$2="Deployment",deployment_raw[[#This Row],[Column5]],1)),IF(T439&lt;&gt;"",VALUE(T439) * IF($E$2="Deployment",deployment_raw[[#This Row],[Column5]],1),0)), 0),"")</f>
        <v/>
      </c>
      <c r="M439" s="125" t="str">
        <f>IF(ISNUMBER(deployment_raw[[#This Row],[Column9]]),IF(OR(deployment_raw[[#This Row],[Column5]] &lt;&gt; 0,$E$2&lt;&gt;"Deployment"), MAX(K439, Q439, S439, ($M$2 * IF($E$2="Deployment",deployment_raw[[#This Row],[Column5]],1)),IF(U439&lt;&gt;"",VALUE(U439) * IF($E$2="Deployment",deployment_raw[[#This Row],[Column5]],1),0)), 0),"")</f>
        <v/>
      </c>
      <c r="N439" s="166" t="str">
        <f>IF(ISNUMBER(deployment_raw[[#This Row],[Column14]]), deployment_raw[[#This Row],[Column14]]/IF(OR($E$2="Deployment",deployment_raw[[#This Row],[Column5]]=0),1,deployment_raw[[#This Row],[Column5]]),"")</f>
        <v/>
      </c>
      <c r="O439" s="167" t="str">
        <f>IF(ISNUMBER(deployment_raw[[#This Row],[Column15]]), deployment_raw[[#This Row],[Column15]]/IF(OR($E$2="Deployment",deployment_raw[[#This Row],[Column5]]=0),1,deployment_raw[[#This Row],[Column5]])/1048576,"")</f>
        <v/>
      </c>
      <c r="P439" s="168" t="str">
        <f>IF(ISNUMBER(deployment_raw[[#This Row],[Column12]]), (MIN(IF(N439&lt;&gt;"",N439,9999999999999)*1.1,deployment_raw[[#This Row],[Column12]] * IF($E$2="Deployment",deployment_raw[[#This Row],[Column5]],1))*(1+$P$2)),"")</f>
        <v/>
      </c>
      <c r="Q439" s="167" t="str">
        <f>IF(ISNUMBER(deployment_raw[[#This Row],[Column13]]), (MIN(IF(O439&lt;&gt;"",O439,9999999999999)*1.1,deployment_raw[[#This Row],[Column13]] * IF($E$2="Deployment",deployment_raw[[#This Row],[Column5]],1)*(1+$Q$2)/1048576)),"")</f>
        <v/>
      </c>
      <c r="R439" s="169" t="str">
        <f>IF(ISNUMBER(deployment_raw[[#This Row],[Column8]]), (H439  * IF(N439&lt;&gt;0,$R$2,1)),"")</f>
        <v/>
      </c>
      <c r="S439" s="170" t="str">
        <f>IF(ISNUMBER(deployment_raw[[#This Row],[Column8]]), (I439  * IF(O439&lt;&gt;0,$S$2,1)),"")</f>
        <v/>
      </c>
      <c r="T439" s="202" t="str">
        <f>IF(AND(A439&lt;&gt;"",_xlfn.IFNA(MATCH(A439,'dynamic resource application '!$A$2:$A$100, 0),0)&lt;&gt;0), H439/(IF($E$2="Deployment",E439,1)),"")</f>
        <v/>
      </c>
      <c r="U439" s="211" t="str">
        <f>IF(AND(A439&lt;&gt;"",_xlfn.IFNA(MATCH(A439,'dynamic resource application '!$A$2:$A$100, 0),0)&lt;&gt;0), I439/(IF($E$2="Deployment",E439,1)),"")</f>
        <v/>
      </c>
    </row>
    <row r="440" spans="1:21" ht="15.75" customHeight="1" x14ac:dyDescent="0.25">
      <c r="A440" s="35" t="str">
        <f>IF(ISNONTEXT(deployment_raw[[#This Row],[Column1]]), "", deployment_raw[[#This Row],[Column1]])</f>
        <v/>
      </c>
      <c r="B440" s="36" t="str">
        <f>IF(ISNONTEXT(deployment_raw[[#This Row],[Column2]]), "", deployment_raw[[#This Row],[Column2]])</f>
        <v/>
      </c>
      <c r="C440" s="36" t="str">
        <f>IF(ISNONTEXT(deployment_raw[[#This Row],[Column3]]), "", deployment_raw[[#This Row],[Column3]])</f>
        <v/>
      </c>
      <c r="D440" s="36" t="str">
        <f>IF(ISNONTEXT(deployment_raw[[#This Row],[Column4]]), "", deployment_raw[[#This Row],[Column4]])</f>
        <v/>
      </c>
      <c r="E440" s="37" t="str">
        <f>IF(ISNUMBER(deployment_raw[[#This Row],[Column5]]), deployment_raw[[#This Row],[Column5]],"")</f>
        <v/>
      </c>
      <c r="F440" s="94" t="str">
        <f>IF(ISNUMBER(deployment_raw[[#This Row],[Column6]]), (deployment_raw[[#This Row],[Column6]] * IF($E$2="Deployment",deployment_raw[[#This Row],[Column5]],1)),"")</f>
        <v/>
      </c>
      <c r="G440" s="95" t="str">
        <f>IF(ISNUMBER(deployment_raw[[#This Row],[Column7]]), (deployment_raw[[#This Row],[Column7]] * IF($E$2="Deployment",deployment_raw[[#This Row],[Column5]],1))/1048576,"")</f>
        <v/>
      </c>
      <c r="H440" s="95" t="str">
        <f>IF(ISNUMBER(deployment_raw[[#This Row],[Column8]]), (deployment_raw[[#This Row],[Column8]]  * IF($E$2="Deployment",deployment_raw[[#This Row],[Column5]],1)),"")</f>
        <v/>
      </c>
      <c r="I440" s="96" t="str">
        <f>IF(ISNUMBER(deployment_raw[[#This Row],[Column9]]), (deployment_raw[[#This Row],[Column9]] * IF($E$2="Deployment",deployment_raw[[#This Row],[Column5]],1))/1048576,"")</f>
        <v/>
      </c>
      <c r="J440" s="122" t="str">
        <f>IF(ISNUMBER(deployment_raw[[#This Row],[Column10]]), (MIN(IF(N440&lt;&gt;"",N440,9999999999999)*1.1,deployment_raw[[#This Row],[Column10]] * IF($E$2="Deployment",deployment_raw[[#This Row],[Column5]],1))),"")</f>
        <v/>
      </c>
      <c r="K440" s="123" t="str">
        <f>IF(ISNUMBER(deployment_raw[[#This Row],[Column11]]), (MIN(IF(O440&lt;&gt;"",O440,9999999999999)*1.1,deployment_raw[[#This Row],[Column11]] * IF($E$2="Deployment",deployment_raw[[#This Row],[Column5]],1)/1048576)),"")</f>
        <v/>
      </c>
      <c r="L440" s="124" t="str">
        <f>IF(ISNUMBER(deployment_raw[[#This Row],[Column8]]),IF(OR(deployment_raw[[#This Row],[Column5]] &lt;&gt; 0,$E$2 &lt;&gt; "Deployment"), MAX(J440, P440, R440, ($L$2 * IF($E$2="Deployment",deployment_raw[[#This Row],[Column5]],1)),IF(T440&lt;&gt;"",VALUE(T440) * IF($E$2="Deployment",deployment_raw[[#This Row],[Column5]],1),0)), 0),"")</f>
        <v/>
      </c>
      <c r="M440" s="125" t="str">
        <f>IF(ISNUMBER(deployment_raw[[#This Row],[Column9]]),IF(OR(deployment_raw[[#This Row],[Column5]] &lt;&gt; 0,$E$2&lt;&gt;"Deployment"), MAX(K440, Q440, S440, ($M$2 * IF($E$2="Deployment",deployment_raw[[#This Row],[Column5]],1)),IF(U440&lt;&gt;"",VALUE(U440) * IF($E$2="Deployment",deployment_raw[[#This Row],[Column5]],1),0)), 0),"")</f>
        <v/>
      </c>
      <c r="N440" s="166" t="str">
        <f>IF(ISNUMBER(deployment_raw[[#This Row],[Column14]]), deployment_raw[[#This Row],[Column14]]/IF(OR($E$2="Deployment",deployment_raw[[#This Row],[Column5]]=0),1,deployment_raw[[#This Row],[Column5]]),"")</f>
        <v/>
      </c>
      <c r="O440" s="167" t="str">
        <f>IF(ISNUMBER(deployment_raw[[#This Row],[Column15]]), deployment_raw[[#This Row],[Column15]]/IF(OR($E$2="Deployment",deployment_raw[[#This Row],[Column5]]=0),1,deployment_raw[[#This Row],[Column5]])/1048576,"")</f>
        <v/>
      </c>
      <c r="P440" s="168" t="str">
        <f>IF(ISNUMBER(deployment_raw[[#This Row],[Column12]]), (MIN(IF(N440&lt;&gt;"",N440,9999999999999)*1.1,deployment_raw[[#This Row],[Column12]] * IF($E$2="Deployment",deployment_raw[[#This Row],[Column5]],1))*(1+$P$2)),"")</f>
        <v/>
      </c>
      <c r="Q440" s="167" t="str">
        <f>IF(ISNUMBER(deployment_raw[[#This Row],[Column13]]), (MIN(IF(O440&lt;&gt;"",O440,9999999999999)*1.1,deployment_raw[[#This Row],[Column13]] * IF($E$2="Deployment",deployment_raw[[#This Row],[Column5]],1)*(1+$Q$2)/1048576)),"")</f>
        <v/>
      </c>
      <c r="R440" s="169" t="str">
        <f>IF(ISNUMBER(deployment_raw[[#This Row],[Column8]]), (H440  * IF(N440&lt;&gt;0,$R$2,1)),"")</f>
        <v/>
      </c>
      <c r="S440" s="170" t="str">
        <f>IF(ISNUMBER(deployment_raw[[#This Row],[Column8]]), (I440  * IF(O440&lt;&gt;0,$S$2,1)),"")</f>
        <v/>
      </c>
      <c r="T440" s="202" t="str">
        <f>IF(AND(A440&lt;&gt;"",_xlfn.IFNA(MATCH(A440,'dynamic resource application '!$A$2:$A$100, 0),0)&lt;&gt;0), H440/(IF($E$2="Deployment",E440,1)),"")</f>
        <v/>
      </c>
      <c r="U440" s="211" t="str">
        <f>IF(AND(A440&lt;&gt;"",_xlfn.IFNA(MATCH(A440,'dynamic resource application '!$A$2:$A$100, 0),0)&lt;&gt;0), I440/(IF($E$2="Deployment",E440,1)),"")</f>
        <v/>
      </c>
    </row>
    <row r="441" spans="1:21" ht="15.75" customHeight="1" x14ac:dyDescent="0.25">
      <c r="A441" s="35" t="str">
        <f>IF(ISNONTEXT(deployment_raw[[#This Row],[Column1]]), "", deployment_raw[[#This Row],[Column1]])</f>
        <v/>
      </c>
      <c r="B441" s="36" t="str">
        <f>IF(ISNONTEXT(deployment_raw[[#This Row],[Column2]]), "", deployment_raw[[#This Row],[Column2]])</f>
        <v/>
      </c>
      <c r="C441" s="36" t="str">
        <f>IF(ISNONTEXT(deployment_raw[[#This Row],[Column3]]), "", deployment_raw[[#This Row],[Column3]])</f>
        <v/>
      </c>
      <c r="D441" s="36" t="str">
        <f>IF(ISNONTEXT(deployment_raw[[#This Row],[Column4]]), "", deployment_raw[[#This Row],[Column4]])</f>
        <v/>
      </c>
      <c r="E441" s="37" t="str">
        <f>IF(ISNUMBER(deployment_raw[[#This Row],[Column5]]), deployment_raw[[#This Row],[Column5]],"")</f>
        <v/>
      </c>
      <c r="F441" s="94" t="str">
        <f>IF(ISNUMBER(deployment_raw[[#This Row],[Column6]]), (deployment_raw[[#This Row],[Column6]] * IF($E$2="Deployment",deployment_raw[[#This Row],[Column5]],1)),"")</f>
        <v/>
      </c>
      <c r="G441" s="95" t="str">
        <f>IF(ISNUMBER(deployment_raw[[#This Row],[Column7]]), (deployment_raw[[#This Row],[Column7]] * IF($E$2="Deployment",deployment_raw[[#This Row],[Column5]],1))/1048576,"")</f>
        <v/>
      </c>
      <c r="H441" s="95" t="str">
        <f>IF(ISNUMBER(deployment_raw[[#This Row],[Column8]]), (deployment_raw[[#This Row],[Column8]]  * IF($E$2="Deployment",deployment_raw[[#This Row],[Column5]],1)),"")</f>
        <v/>
      </c>
      <c r="I441" s="96" t="str">
        <f>IF(ISNUMBER(deployment_raw[[#This Row],[Column9]]), (deployment_raw[[#This Row],[Column9]] * IF($E$2="Deployment",deployment_raw[[#This Row],[Column5]],1))/1048576,"")</f>
        <v/>
      </c>
      <c r="J441" s="122" t="str">
        <f>IF(ISNUMBER(deployment_raw[[#This Row],[Column10]]), (MIN(IF(N441&lt;&gt;"",N441,9999999999999)*1.1,deployment_raw[[#This Row],[Column10]] * IF($E$2="Deployment",deployment_raw[[#This Row],[Column5]],1))),"")</f>
        <v/>
      </c>
      <c r="K441" s="123" t="str">
        <f>IF(ISNUMBER(deployment_raw[[#This Row],[Column11]]), (MIN(IF(O441&lt;&gt;"",O441,9999999999999)*1.1,deployment_raw[[#This Row],[Column11]] * IF($E$2="Deployment",deployment_raw[[#This Row],[Column5]],1)/1048576)),"")</f>
        <v/>
      </c>
      <c r="L441" s="124" t="str">
        <f>IF(ISNUMBER(deployment_raw[[#This Row],[Column8]]),IF(OR(deployment_raw[[#This Row],[Column5]] &lt;&gt; 0,$E$2 &lt;&gt; "Deployment"), MAX(J441, P441, R441, ($L$2 * IF($E$2="Deployment",deployment_raw[[#This Row],[Column5]],1)),IF(T441&lt;&gt;"",VALUE(T441) * IF($E$2="Deployment",deployment_raw[[#This Row],[Column5]],1),0)), 0),"")</f>
        <v/>
      </c>
      <c r="M441" s="125" t="str">
        <f>IF(ISNUMBER(deployment_raw[[#This Row],[Column9]]),IF(OR(deployment_raw[[#This Row],[Column5]] &lt;&gt; 0,$E$2&lt;&gt;"Deployment"), MAX(K441, Q441, S441, ($M$2 * IF($E$2="Deployment",deployment_raw[[#This Row],[Column5]],1)),IF(U441&lt;&gt;"",VALUE(U441) * IF($E$2="Deployment",deployment_raw[[#This Row],[Column5]],1),0)), 0),"")</f>
        <v/>
      </c>
      <c r="N441" s="166" t="str">
        <f>IF(ISNUMBER(deployment_raw[[#This Row],[Column14]]), deployment_raw[[#This Row],[Column14]]/IF(OR($E$2="Deployment",deployment_raw[[#This Row],[Column5]]=0),1,deployment_raw[[#This Row],[Column5]]),"")</f>
        <v/>
      </c>
      <c r="O441" s="167" t="str">
        <f>IF(ISNUMBER(deployment_raw[[#This Row],[Column15]]), deployment_raw[[#This Row],[Column15]]/IF(OR($E$2="Deployment",deployment_raw[[#This Row],[Column5]]=0),1,deployment_raw[[#This Row],[Column5]])/1048576,"")</f>
        <v/>
      </c>
      <c r="P441" s="168" t="str">
        <f>IF(ISNUMBER(deployment_raw[[#This Row],[Column12]]), (MIN(IF(N441&lt;&gt;"",N441,9999999999999)*1.1,deployment_raw[[#This Row],[Column12]] * IF($E$2="Deployment",deployment_raw[[#This Row],[Column5]],1))*(1+$P$2)),"")</f>
        <v/>
      </c>
      <c r="Q441" s="167" t="str">
        <f>IF(ISNUMBER(deployment_raw[[#This Row],[Column13]]), (MIN(IF(O441&lt;&gt;"",O441,9999999999999)*1.1,deployment_raw[[#This Row],[Column13]] * IF($E$2="Deployment",deployment_raw[[#This Row],[Column5]],1)*(1+$Q$2)/1048576)),"")</f>
        <v/>
      </c>
      <c r="R441" s="169" t="str">
        <f>IF(ISNUMBER(deployment_raw[[#This Row],[Column8]]), (H441  * IF(N441&lt;&gt;0,$R$2,1)),"")</f>
        <v/>
      </c>
      <c r="S441" s="170" t="str">
        <f>IF(ISNUMBER(deployment_raw[[#This Row],[Column8]]), (I441  * IF(O441&lt;&gt;0,$S$2,1)),"")</f>
        <v/>
      </c>
      <c r="T441" s="202" t="str">
        <f>IF(AND(A441&lt;&gt;"",_xlfn.IFNA(MATCH(A441,'dynamic resource application '!$A$2:$A$100, 0),0)&lt;&gt;0), H441/(IF($E$2="Deployment",E441,1)),"")</f>
        <v/>
      </c>
      <c r="U441" s="211" t="str">
        <f>IF(AND(A441&lt;&gt;"",_xlfn.IFNA(MATCH(A441,'dynamic resource application '!$A$2:$A$100, 0),0)&lt;&gt;0), I441/(IF($E$2="Deployment",E441,1)),"")</f>
        <v/>
      </c>
    </row>
    <row r="442" spans="1:21" ht="15.75" customHeight="1" x14ac:dyDescent="0.25">
      <c r="A442" s="35" t="str">
        <f>IF(ISNONTEXT(deployment_raw[[#This Row],[Column1]]), "", deployment_raw[[#This Row],[Column1]])</f>
        <v/>
      </c>
      <c r="B442" s="36" t="str">
        <f>IF(ISNONTEXT(deployment_raw[[#This Row],[Column2]]), "", deployment_raw[[#This Row],[Column2]])</f>
        <v/>
      </c>
      <c r="C442" s="36" t="str">
        <f>IF(ISNONTEXT(deployment_raw[[#This Row],[Column3]]), "", deployment_raw[[#This Row],[Column3]])</f>
        <v/>
      </c>
      <c r="D442" s="36" t="str">
        <f>IF(ISNONTEXT(deployment_raw[[#This Row],[Column4]]), "", deployment_raw[[#This Row],[Column4]])</f>
        <v/>
      </c>
      <c r="E442" s="37" t="str">
        <f>IF(ISNUMBER(deployment_raw[[#This Row],[Column5]]), deployment_raw[[#This Row],[Column5]],"")</f>
        <v/>
      </c>
      <c r="F442" s="94" t="str">
        <f>IF(ISNUMBER(deployment_raw[[#This Row],[Column6]]), (deployment_raw[[#This Row],[Column6]] * IF($E$2="Deployment",deployment_raw[[#This Row],[Column5]],1)),"")</f>
        <v/>
      </c>
      <c r="G442" s="95" t="str">
        <f>IF(ISNUMBER(deployment_raw[[#This Row],[Column7]]), (deployment_raw[[#This Row],[Column7]] * IF($E$2="Deployment",deployment_raw[[#This Row],[Column5]],1))/1048576,"")</f>
        <v/>
      </c>
      <c r="H442" s="95" t="str">
        <f>IF(ISNUMBER(deployment_raw[[#This Row],[Column8]]), (deployment_raw[[#This Row],[Column8]]  * IF($E$2="Deployment",deployment_raw[[#This Row],[Column5]],1)),"")</f>
        <v/>
      </c>
      <c r="I442" s="96" t="str">
        <f>IF(ISNUMBER(deployment_raw[[#This Row],[Column9]]), (deployment_raw[[#This Row],[Column9]] * IF($E$2="Deployment",deployment_raw[[#This Row],[Column5]],1))/1048576,"")</f>
        <v/>
      </c>
      <c r="J442" s="122" t="str">
        <f>IF(ISNUMBER(deployment_raw[[#This Row],[Column10]]), (MIN(IF(N442&lt;&gt;"",N442,9999999999999)*1.1,deployment_raw[[#This Row],[Column10]] * IF($E$2="Deployment",deployment_raw[[#This Row],[Column5]],1))),"")</f>
        <v/>
      </c>
      <c r="K442" s="123" t="str">
        <f>IF(ISNUMBER(deployment_raw[[#This Row],[Column11]]), (MIN(IF(O442&lt;&gt;"",O442,9999999999999)*1.1,deployment_raw[[#This Row],[Column11]] * IF($E$2="Deployment",deployment_raw[[#This Row],[Column5]],1)/1048576)),"")</f>
        <v/>
      </c>
      <c r="L442" s="124" t="str">
        <f>IF(ISNUMBER(deployment_raw[[#This Row],[Column8]]),IF(OR(deployment_raw[[#This Row],[Column5]] &lt;&gt; 0,$E$2 &lt;&gt; "Deployment"), MAX(J442, P442, R442, ($L$2 * IF($E$2="Deployment",deployment_raw[[#This Row],[Column5]],1)),IF(T442&lt;&gt;"",VALUE(T442) * IF($E$2="Deployment",deployment_raw[[#This Row],[Column5]],1),0)), 0),"")</f>
        <v/>
      </c>
      <c r="M442" s="125" t="str">
        <f>IF(ISNUMBER(deployment_raw[[#This Row],[Column9]]),IF(OR(deployment_raw[[#This Row],[Column5]] &lt;&gt; 0,$E$2&lt;&gt;"Deployment"), MAX(K442, Q442, S442, ($M$2 * IF($E$2="Deployment",deployment_raw[[#This Row],[Column5]],1)),IF(U442&lt;&gt;"",VALUE(U442) * IF($E$2="Deployment",deployment_raw[[#This Row],[Column5]],1),0)), 0),"")</f>
        <v/>
      </c>
      <c r="N442" s="166" t="str">
        <f>IF(ISNUMBER(deployment_raw[[#This Row],[Column14]]), deployment_raw[[#This Row],[Column14]]/IF(OR($E$2="Deployment",deployment_raw[[#This Row],[Column5]]=0),1,deployment_raw[[#This Row],[Column5]]),"")</f>
        <v/>
      </c>
      <c r="O442" s="167" t="str">
        <f>IF(ISNUMBER(deployment_raw[[#This Row],[Column15]]), deployment_raw[[#This Row],[Column15]]/IF(OR($E$2="Deployment",deployment_raw[[#This Row],[Column5]]=0),1,deployment_raw[[#This Row],[Column5]])/1048576,"")</f>
        <v/>
      </c>
      <c r="P442" s="168" t="str">
        <f>IF(ISNUMBER(deployment_raw[[#This Row],[Column12]]), (MIN(IF(N442&lt;&gt;"",N442,9999999999999)*1.1,deployment_raw[[#This Row],[Column12]] * IF($E$2="Deployment",deployment_raw[[#This Row],[Column5]],1))*(1+$P$2)),"")</f>
        <v/>
      </c>
      <c r="Q442" s="167" t="str">
        <f>IF(ISNUMBER(deployment_raw[[#This Row],[Column13]]), (MIN(IF(O442&lt;&gt;"",O442,9999999999999)*1.1,deployment_raw[[#This Row],[Column13]] * IF($E$2="Deployment",deployment_raw[[#This Row],[Column5]],1)*(1+$Q$2)/1048576)),"")</f>
        <v/>
      </c>
      <c r="R442" s="169" t="str">
        <f>IF(ISNUMBER(deployment_raw[[#This Row],[Column8]]), (H442  * IF(N442&lt;&gt;0,$R$2,1)),"")</f>
        <v/>
      </c>
      <c r="S442" s="170" t="str">
        <f>IF(ISNUMBER(deployment_raw[[#This Row],[Column8]]), (I442  * IF(O442&lt;&gt;0,$S$2,1)),"")</f>
        <v/>
      </c>
      <c r="T442" s="202" t="str">
        <f>IF(AND(A442&lt;&gt;"",_xlfn.IFNA(MATCH(A442,'dynamic resource application '!$A$2:$A$100, 0),0)&lt;&gt;0), H442/(IF($E$2="Deployment",E442,1)),"")</f>
        <v/>
      </c>
      <c r="U442" s="211" t="str">
        <f>IF(AND(A442&lt;&gt;"",_xlfn.IFNA(MATCH(A442,'dynamic resource application '!$A$2:$A$100, 0),0)&lt;&gt;0), I442/(IF($E$2="Deployment",E442,1)),"")</f>
        <v/>
      </c>
    </row>
    <row r="443" spans="1:21" ht="15.75" customHeight="1" x14ac:dyDescent="0.25">
      <c r="A443" s="35" t="str">
        <f>IF(ISNONTEXT(deployment_raw[[#This Row],[Column1]]), "", deployment_raw[[#This Row],[Column1]])</f>
        <v/>
      </c>
      <c r="B443" s="36" t="str">
        <f>IF(ISNONTEXT(deployment_raw[[#This Row],[Column2]]), "", deployment_raw[[#This Row],[Column2]])</f>
        <v/>
      </c>
      <c r="C443" s="36" t="str">
        <f>IF(ISNONTEXT(deployment_raw[[#This Row],[Column3]]), "", deployment_raw[[#This Row],[Column3]])</f>
        <v/>
      </c>
      <c r="D443" s="36" t="str">
        <f>IF(ISNONTEXT(deployment_raw[[#This Row],[Column4]]), "", deployment_raw[[#This Row],[Column4]])</f>
        <v/>
      </c>
      <c r="E443" s="37" t="str">
        <f>IF(ISNUMBER(deployment_raw[[#This Row],[Column5]]), deployment_raw[[#This Row],[Column5]],"")</f>
        <v/>
      </c>
      <c r="F443" s="94" t="str">
        <f>IF(ISNUMBER(deployment_raw[[#This Row],[Column6]]), (deployment_raw[[#This Row],[Column6]] * IF($E$2="Deployment",deployment_raw[[#This Row],[Column5]],1)),"")</f>
        <v/>
      </c>
      <c r="G443" s="95" t="str">
        <f>IF(ISNUMBER(deployment_raw[[#This Row],[Column7]]), (deployment_raw[[#This Row],[Column7]] * IF($E$2="Deployment",deployment_raw[[#This Row],[Column5]],1))/1048576,"")</f>
        <v/>
      </c>
      <c r="H443" s="95" t="str">
        <f>IF(ISNUMBER(deployment_raw[[#This Row],[Column8]]), (deployment_raw[[#This Row],[Column8]]  * IF($E$2="Deployment",deployment_raw[[#This Row],[Column5]],1)),"")</f>
        <v/>
      </c>
      <c r="I443" s="96" t="str">
        <f>IF(ISNUMBER(deployment_raw[[#This Row],[Column9]]), (deployment_raw[[#This Row],[Column9]] * IF($E$2="Deployment",deployment_raw[[#This Row],[Column5]],1))/1048576,"")</f>
        <v/>
      </c>
      <c r="J443" s="122" t="str">
        <f>IF(ISNUMBER(deployment_raw[[#This Row],[Column10]]), (MIN(IF(N443&lt;&gt;"",N443,9999999999999)*1.1,deployment_raw[[#This Row],[Column10]] * IF($E$2="Deployment",deployment_raw[[#This Row],[Column5]],1))),"")</f>
        <v/>
      </c>
      <c r="K443" s="123" t="str">
        <f>IF(ISNUMBER(deployment_raw[[#This Row],[Column11]]), (MIN(IF(O443&lt;&gt;"",O443,9999999999999)*1.1,deployment_raw[[#This Row],[Column11]] * IF($E$2="Deployment",deployment_raw[[#This Row],[Column5]],1)/1048576)),"")</f>
        <v/>
      </c>
      <c r="L443" s="124" t="str">
        <f>IF(ISNUMBER(deployment_raw[[#This Row],[Column8]]),IF(OR(deployment_raw[[#This Row],[Column5]] &lt;&gt; 0,$E$2 &lt;&gt; "Deployment"), MAX(J443, P443, R443, ($L$2 * IF($E$2="Deployment",deployment_raw[[#This Row],[Column5]],1)),IF(T443&lt;&gt;"",VALUE(T443) * IF($E$2="Deployment",deployment_raw[[#This Row],[Column5]],1),0)), 0),"")</f>
        <v/>
      </c>
      <c r="M443" s="125" t="str">
        <f>IF(ISNUMBER(deployment_raw[[#This Row],[Column9]]),IF(OR(deployment_raw[[#This Row],[Column5]] &lt;&gt; 0,$E$2&lt;&gt;"Deployment"), MAX(K443, Q443, S443, ($M$2 * IF($E$2="Deployment",deployment_raw[[#This Row],[Column5]],1)),IF(U443&lt;&gt;"",VALUE(U443) * IF($E$2="Deployment",deployment_raw[[#This Row],[Column5]],1),0)), 0),"")</f>
        <v/>
      </c>
      <c r="N443" s="166" t="str">
        <f>IF(ISNUMBER(deployment_raw[[#This Row],[Column14]]), deployment_raw[[#This Row],[Column14]]/IF(OR($E$2="Deployment",deployment_raw[[#This Row],[Column5]]=0),1,deployment_raw[[#This Row],[Column5]]),"")</f>
        <v/>
      </c>
      <c r="O443" s="167" t="str">
        <f>IF(ISNUMBER(deployment_raw[[#This Row],[Column15]]), deployment_raw[[#This Row],[Column15]]/IF(OR($E$2="Deployment",deployment_raw[[#This Row],[Column5]]=0),1,deployment_raw[[#This Row],[Column5]])/1048576,"")</f>
        <v/>
      </c>
      <c r="P443" s="168" t="str">
        <f>IF(ISNUMBER(deployment_raw[[#This Row],[Column12]]), (MIN(IF(N443&lt;&gt;"",N443,9999999999999)*1.1,deployment_raw[[#This Row],[Column12]] * IF($E$2="Deployment",deployment_raw[[#This Row],[Column5]],1))*(1+$P$2)),"")</f>
        <v/>
      </c>
      <c r="Q443" s="167" t="str">
        <f>IF(ISNUMBER(deployment_raw[[#This Row],[Column13]]), (MIN(IF(O443&lt;&gt;"",O443,9999999999999)*1.1,deployment_raw[[#This Row],[Column13]] * IF($E$2="Deployment",deployment_raw[[#This Row],[Column5]],1)*(1+$Q$2)/1048576)),"")</f>
        <v/>
      </c>
      <c r="R443" s="169" t="str">
        <f>IF(ISNUMBER(deployment_raw[[#This Row],[Column8]]), (H443  * IF(N443&lt;&gt;0,$R$2,1)),"")</f>
        <v/>
      </c>
      <c r="S443" s="170" t="str">
        <f>IF(ISNUMBER(deployment_raw[[#This Row],[Column8]]), (I443  * IF(O443&lt;&gt;0,$S$2,1)),"")</f>
        <v/>
      </c>
      <c r="T443" s="202" t="str">
        <f>IF(AND(A443&lt;&gt;"",_xlfn.IFNA(MATCH(A443,'dynamic resource application '!$A$2:$A$100, 0),0)&lt;&gt;0), H443/(IF($E$2="Deployment",E443,1)),"")</f>
        <v/>
      </c>
      <c r="U443" s="211" t="str">
        <f>IF(AND(A443&lt;&gt;"",_xlfn.IFNA(MATCH(A443,'dynamic resource application '!$A$2:$A$100, 0),0)&lt;&gt;0), I443/(IF($E$2="Deployment",E443,1)),"")</f>
        <v/>
      </c>
    </row>
    <row r="444" spans="1:21" ht="15.75" customHeight="1" x14ac:dyDescent="0.25">
      <c r="A444" s="35" t="str">
        <f>IF(ISNONTEXT(deployment_raw[[#This Row],[Column1]]), "", deployment_raw[[#This Row],[Column1]])</f>
        <v/>
      </c>
      <c r="B444" s="36" t="str">
        <f>IF(ISNONTEXT(deployment_raw[[#This Row],[Column2]]), "", deployment_raw[[#This Row],[Column2]])</f>
        <v/>
      </c>
      <c r="C444" s="36" t="str">
        <f>IF(ISNONTEXT(deployment_raw[[#This Row],[Column3]]), "", deployment_raw[[#This Row],[Column3]])</f>
        <v/>
      </c>
      <c r="D444" s="36" t="str">
        <f>IF(ISNONTEXT(deployment_raw[[#This Row],[Column4]]), "", deployment_raw[[#This Row],[Column4]])</f>
        <v/>
      </c>
      <c r="E444" s="37" t="str">
        <f>IF(ISNUMBER(deployment_raw[[#This Row],[Column5]]), deployment_raw[[#This Row],[Column5]],"")</f>
        <v/>
      </c>
      <c r="F444" s="94" t="str">
        <f>IF(ISNUMBER(deployment_raw[[#This Row],[Column6]]), (deployment_raw[[#This Row],[Column6]] * IF($E$2="Deployment",deployment_raw[[#This Row],[Column5]],1)),"")</f>
        <v/>
      </c>
      <c r="G444" s="95" t="str">
        <f>IF(ISNUMBER(deployment_raw[[#This Row],[Column7]]), (deployment_raw[[#This Row],[Column7]] * IF($E$2="Deployment",deployment_raw[[#This Row],[Column5]],1))/1048576,"")</f>
        <v/>
      </c>
      <c r="H444" s="95" t="str">
        <f>IF(ISNUMBER(deployment_raw[[#This Row],[Column8]]), (deployment_raw[[#This Row],[Column8]]  * IF($E$2="Deployment",deployment_raw[[#This Row],[Column5]],1)),"")</f>
        <v/>
      </c>
      <c r="I444" s="96" t="str">
        <f>IF(ISNUMBER(deployment_raw[[#This Row],[Column9]]), (deployment_raw[[#This Row],[Column9]] * IF($E$2="Deployment",deployment_raw[[#This Row],[Column5]],1))/1048576,"")</f>
        <v/>
      </c>
      <c r="J444" s="122" t="str">
        <f>IF(ISNUMBER(deployment_raw[[#This Row],[Column10]]), (MIN(IF(N444&lt;&gt;"",N444,9999999999999)*1.1,deployment_raw[[#This Row],[Column10]] * IF($E$2="Deployment",deployment_raw[[#This Row],[Column5]],1))),"")</f>
        <v/>
      </c>
      <c r="K444" s="123" t="str">
        <f>IF(ISNUMBER(deployment_raw[[#This Row],[Column11]]), (MIN(IF(O444&lt;&gt;"",O444,9999999999999)*1.1,deployment_raw[[#This Row],[Column11]] * IF($E$2="Deployment",deployment_raw[[#This Row],[Column5]],1)/1048576)),"")</f>
        <v/>
      </c>
      <c r="L444" s="124" t="str">
        <f>IF(ISNUMBER(deployment_raw[[#This Row],[Column8]]),IF(OR(deployment_raw[[#This Row],[Column5]] &lt;&gt; 0,$E$2 &lt;&gt; "Deployment"), MAX(J444, P444, R444, ($L$2 * IF($E$2="Deployment",deployment_raw[[#This Row],[Column5]],1)),IF(T444&lt;&gt;"",VALUE(T444) * IF($E$2="Deployment",deployment_raw[[#This Row],[Column5]],1),0)), 0),"")</f>
        <v/>
      </c>
      <c r="M444" s="125" t="str">
        <f>IF(ISNUMBER(deployment_raw[[#This Row],[Column9]]),IF(OR(deployment_raw[[#This Row],[Column5]] &lt;&gt; 0,$E$2&lt;&gt;"Deployment"), MAX(K444, Q444, S444, ($M$2 * IF($E$2="Deployment",deployment_raw[[#This Row],[Column5]],1)),IF(U444&lt;&gt;"",VALUE(U444) * IF($E$2="Deployment",deployment_raw[[#This Row],[Column5]],1),0)), 0),"")</f>
        <v/>
      </c>
      <c r="N444" s="166" t="str">
        <f>IF(ISNUMBER(deployment_raw[[#This Row],[Column14]]), deployment_raw[[#This Row],[Column14]]/IF(OR($E$2="Deployment",deployment_raw[[#This Row],[Column5]]=0),1,deployment_raw[[#This Row],[Column5]]),"")</f>
        <v/>
      </c>
      <c r="O444" s="167" t="str">
        <f>IF(ISNUMBER(deployment_raw[[#This Row],[Column15]]), deployment_raw[[#This Row],[Column15]]/IF(OR($E$2="Deployment",deployment_raw[[#This Row],[Column5]]=0),1,deployment_raw[[#This Row],[Column5]])/1048576,"")</f>
        <v/>
      </c>
      <c r="P444" s="168" t="str">
        <f>IF(ISNUMBER(deployment_raw[[#This Row],[Column12]]), (MIN(IF(N444&lt;&gt;"",N444,9999999999999)*1.1,deployment_raw[[#This Row],[Column12]] * IF($E$2="Deployment",deployment_raw[[#This Row],[Column5]],1))*(1+$P$2)),"")</f>
        <v/>
      </c>
      <c r="Q444" s="167" t="str">
        <f>IF(ISNUMBER(deployment_raw[[#This Row],[Column13]]), (MIN(IF(O444&lt;&gt;"",O444,9999999999999)*1.1,deployment_raw[[#This Row],[Column13]] * IF($E$2="Deployment",deployment_raw[[#This Row],[Column5]],1)*(1+$Q$2)/1048576)),"")</f>
        <v/>
      </c>
      <c r="R444" s="169" t="str">
        <f>IF(ISNUMBER(deployment_raw[[#This Row],[Column8]]), (H444  * IF(N444&lt;&gt;0,$R$2,1)),"")</f>
        <v/>
      </c>
      <c r="S444" s="170" t="str">
        <f>IF(ISNUMBER(deployment_raw[[#This Row],[Column8]]), (I444  * IF(O444&lt;&gt;0,$S$2,1)),"")</f>
        <v/>
      </c>
      <c r="T444" s="202" t="str">
        <f>IF(AND(A444&lt;&gt;"",_xlfn.IFNA(MATCH(A444,'dynamic resource application '!$A$2:$A$100, 0),0)&lt;&gt;0), H444/(IF($E$2="Deployment",E444,1)),"")</f>
        <v/>
      </c>
      <c r="U444" s="211" t="str">
        <f>IF(AND(A444&lt;&gt;"",_xlfn.IFNA(MATCH(A444,'dynamic resource application '!$A$2:$A$100, 0),0)&lt;&gt;0), I444/(IF($E$2="Deployment",E444,1)),"")</f>
        <v/>
      </c>
    </row>
    <row r="445" spans="1:21" ht="15.75" customHeight="1" x14ac:dyDescent="0.25">
      <c r="A445" s="35" t="str">
        <f>IF(ISNONTEXT(deployment_raw[[#This Row],[Column1]]), "", deployment_raw[[#This Row],[Column1]])</f>
        <v/>
      </c>
      <c r="B445" s="36" t="str">
        <f>IF(ISNONTEXT(deployment_raw[[#This Row],[Column2]]), "", deployment_raw[[#This Row],[Column2]])</f>
        <v/>
      </c>
      <c r="C445" s="36" t="str">
        <f>IF(ISNONTEXT(deployment_raw[[#This Row],[Column3]]), "", deployment_raw[[#This Row],[Column3]])</f>
        <v/>
      </c>
      <c r="D445" s="36" t="str">
        <f>IF(ISNONTEXT(deployment_raw[[#This Row],[Column4]]), "", deployment_raw[[#This Row],[Column4]])</f>
        <v/>
      </c>
      <c r="E445" s="37" t="str">
        <f>IF(ISNUMBER(deployment_raw[[#This Row],[Column5]]), deployment_raw[[#This Row],[Column5]],"")</f>
        <v/>
      </c>
      <c r="F445" s="94" t="str">
        <f>IF(ISNUMBER(deployment_raw[[#This Row],[Column6]]), (deployment_raw[[#This Row],[Column6]] * IF($E$2="Deployment",deployment_raw[[#This Row],[Column5]],1)),"")</f>
        <v/>
      </c>
      <c r="G445" s="95" t="str">
        <f>IF(ISNUMBER(deployment_raw[[#This Row],[Column7]]), (deployment_raw[[#This Row],[Column7]] * IF($E$2="Deployment",deployment_raw[[#This Row],[Column5]],1))/1048576,"")</f>
        <v/>
      </c>
      <c r="H445" s="95" t="str">
        <f>IF(ISNUMBER(deployment_raw[[#This Row],[Column8]]), (deployment_raw[[#This Row],[Column8]]  * IF($E$2="Deployment",deployment_raw[[#This Row],[Column5]],1)),"")</f>
        <v/>
      </c>
      <c r="I445" s="96" t="str">
        <f>IF(ISNUMBER(deployment_raw[[#This Row],[Column9]]), (deployment_raw[[#This Row],[Column9]] * IF($E$2="Deployment",deployment_raw[[#This Row],[Column5]],1))/1048576,"")</f>
        <v/>
      </c>
      <c r="J445" s="122" t="str">
        <f>IF(ISNUMBER(deployment_raw[[#This Row],[Column10]]), (MIN(IF(N445&lt;&gt;"",N445,9999999999999)*1.1,deployment_raw[[#This Row],[Column10]] * IF($E$2="Deployment",deployment_raw[[#This Row],[Column5]],1))),"")</f>
        <v/>
      </c>
      <c r="K445" s="123" t="str">
        <f>IF(ISNUMBER(deployment_raw[[#This Row],[Column11]]), (MIN(IF(O445&lt;&gt;"",O445,9999999999999)*1.1,deployment_raw[[#This Row],[Column11]] * IF($E$2="Deployment",deployment_raw[[#This Row],[Column5]],1)/1048576)),"")</f>
        <v/>
      </c>
      <c r="L445" s="124" t="str">
        <f>IF(ISNUMBER(deployment_raw[[#This Row],[Column8]]),IF(OR(deployment_raw[[#This Row],[Column5]] &lt;&gt; 0,$E$2 &lt;&gt; "Deployment"), MAX(J445, P445, R445, ($L$2 * IF($E$2="Deployment",deployment_raw[[#This Row],[Column5]],1)),IF(T445&lt;&gt;"",VALUE(T445) * IF($E$2="Deployment",deployment_raw[[#This Row],[Column5]],1),0)), 0),"")</f>
        <v/>
      </c>
      <c r="M445" s="125" t="str">
        <f>IF(ISNUMBER(deployment_raw[[#This Row],[Column9]]),IF(OR(deployment_raw[[#This Row],[Column5]] &lt;&gt; 0,$E$2&lt;&gt;"Deployment"), MAX(K445, Q445, S445, ($M$2 * IF($E$2="Deployment",deployment_raw[[#This Row],[Column5]],1)),IF(U445&lt;&gt;"",VALUE(U445) * IF($E$2="Deployment",deployment_raw[[#This Row],[Column5]],1),0)), 0),"")</f>
        <v/>
      </c>
      <c r="N445" s="166" t="str">
        <f>IF(ISNUMBER(deployment_raw[[#This Row],[Column14]]), deployment_raw[[#This Row],[Column14]]/IF(OR($E$2="Deployment",deployment_raw[[#This Row],[Column5]]=0),1,deployment_raw[[#This Row],[Column5]]),"")</f>
        <v/>
      </c>
      <c r="O445" s="167" t="str">
        <f>IF(ISNUMBER(deployment_raw[[#This Row],[Column15]]), deployment_raw[[#This Row],[Column15]]/IF(OR($E$2="Deployment",deployment_raw[[#This Row],[Column5]]=0),1,deployment_raw[[#This Row],[Column5]])/1048576,"")</f>
        <v/>
      </c>
      <c r="P445" s="168" t="str">
        <f>IF(ISNUMBER(deployment_raw[[#This Row],[Column12]]), (MIN(IF(N445&lt;&gt;"",N445,9999999999999)*1.1,deployment_raw[[#This Row],[Column12]] * IF($E$2="Deployment",deployment_raw[[#This Row],[Column5]],1))*(1+$P$2)),"")</f>
        <v/>
      </c>
      <c r="Q445" s="167" t="str">
        <f>IF(ISNUMBER(deployment_raw[[#This Row],[Column13]]), (MIN(IF(O445&lt;&gt;"",O445,9999999999999)*1.1,deployment_raw[[#This Row],[Column13]] * IF($E$2="Deployment",deployment_raw[[#This Row],[Column5]],1)*(1+$Q$2)/1048576)),"")</f>
        <v/>
      </c>
      <c r="R445" s="169" t="str">
        <f>IF(ISNUMBER(deployment_raw[[#This Row],[Column8]]), (H445  * IF(N445&lt;&gt;0,$R$2,1)),"")</f>
        <v/>
      </c>
      <c r="S445" s="170" t="str">
        <f>IF(ISNUMBER(deployment_raw[[#This Row],[Column8]]), (I445  * IF(O445&lt;&gt;0,$S$2,1)),"")</f>
        <v/>
      </c>
      <c r="T445" s="202" t="str">
        <f>IF(AND(A445&lt;&gt;"",_xlfn.IFNA(MATCH(A445,'dynamic resource application '!$A$2:$A$100, 0),0)&lt;&gt;0), H445/(IF($E$2="Deployment",E445,1)),"")</f>
        <v/>
      </c>
      <c r="U445" s="211" t="str">
        <f>IF(AND(A445&lt;&gt;"",_xlfn.IFNA(MATCH(A445,'dynamic resource application '!$A$2:$A$100, 0),0)&lt;&gt;0), I445/(IF($E$2="Deployment",E445,1)),"")</f>
        <v/>
      </c>
    </row>
    <row r="446" spans="1:21" ht="15.75" customHeight="1" x14ac:dyDescent="0.25">
      <c r="A446" s="35" t="str">
        <f>IF(ISNONTEXT(deployment_raw[[#This Row],[Column1]]), "", deployment_raw[[#This Row],[Column1]])</f>
        <v/>
      </c>
      <c r="B446" s="36" t="str">
        <f>IF(ISNONTEXT(deployment_raw[[#This Row],[Column2]]), "", deployment_raw[[#This Row],[Column2]])</f>
        <v/>
      </c>
      <c r="C446" s="36" t="str">
        <f>IF(ISNONTEXT(deployment_raw[[#This Row],[Column3]]), "", deployment_raw[[#This Row],[Column3]])</f>
        <v/>
      </c>
      <c r="D446" s="36" t="str">
        <f>IF(ISNONTEXT(deployment_raw[[#This Row],[Column4]]), "", deployment_raw[[#This Row],[Column4]])</f>
        <v/>
      </c>
      <c r="E446" s="37" t="str">
        <f>IF(ISNUMBER(deployment_raw[[#This Row],[Column5]]), deployment_raw[[#This Row],[Column5]],"")</f>
        <v/>
      </c>
      <c r="F446" s="94" t="str">
        <f>IF(ISNUMBER(deployment_raw[[#This Row],[Column6]]), (deployment_raw[[#This Row],[Column6]] * IF($E$2="Deployment",deployment_raw[[#This Row],[Column5]],1)),"")</f>
        <v/>
      </c>
      <c r="G446" s="95" t="str">
        <f>IF(ISNUMBER(deployment_raw[[#This Row],[Column7]]), (deployment_raw[[#This Row],[Column7]] * IF($E$2="Deployment",deployment_raw[[#This Row],[Column5]],1))/1048576,"")</f>
        <v/>
      </c>
      <c r="H446" s="95" t="str">
        <f>IF(ISNUMBER(deployment_raw[[#This Row],[Column8]]), (deployment_raw[[#This Row],[Column8]]  * IF($E$2="Deployment",deployment_raw[[#This Row],[Column5]],1)),"")</f>
        <v/>
      </c>
      <c r="I446" s="96" t="str">
        <f>IF(ISNUMBER(deployment_raw[[#This Row],[Column9]]), (deployment_raw[[#This Row],[Column9]] * IF($E$2="Deployment",deployment_raw[[#This Row],[Column5]],1))/1048576,"")</f>
        <v/>
      </c>
      <c r="J446" s="122" t="str">
        <f>IF(ISNUMBER(deployment_raw[[#This Row],[Column10]]), (MIN(IF(N446&lt;&gt;"",N446,9999999999999)*1.1,deployment_raw[[#This Row],[Column10]] * IF($E$2="Deployment",deployment_raw[[#This Row],[Column5]],1))),"")</f>
        <v/>
      </c>
      <c r="K446" s="123" t="str">
        <f>IF(ISNUMBER(deployment_raw[[#This Row],[Column11]]), (MIN(IF(O446&lt;&gt;"",O446,9999999999999)*1.1,deployment_raw[[#This Row],[Column11]] * IF($E$2="Deployment",deployment_raw[[#This Row],[Column5]],1)/1048576)),"")</f>
        <v/>
      </c>
      <c r="L446" s="124" t="str">
        <f>IF(ISNUMBER(deployment_raw[[#This Row],[Column8]]),IF(OR(deployment_raw[[#This Row],[Column5]] &lt;&gt; 0,$E$2 &lt;&gt; "Deployment"), MAX(J446, P446, R446, ($L$2 * IF($E$2="Deployment",deployment_raw[[#This Row],[Column5]],1)),IF(T446&lt;&gt;"",VALUE(T446) * IF($E$2="Deployment",deployment_raw[[#This Row],[Column5]],1),0)), 0),"")</f>
        <v/>
      </c>
      <c r="M446" s="125" t="str">
        <f>IF(ISNUMBER(deployment_raw[[#This Row],[Column9]]),IF(OR(deployment_raw[[#This Row],[Column5]] &lt;&gt; 0,$E$2&lt;&gt;"Deployment"), MAX(K446, Q446, S446, ($M$2 * IF($E$2="Deployment",deployment_raw[[#This Row],[Column5]],1)),IF(U446&lt;&gt;"",VALUE(U446) * IF($E$2="Deployment",deployment_raw[[#This Row],[Column5]],1),0)), 0),"")</f>
        <v/>
      </c>
      <c r="N446" s="166" t="str">
        <f>IF(ISNUMBER(deployment_raw[[#This Row],[Column14]]), deployment_raw[[#This Row],[Column14]]/IF(OR($E$2="Deployment",deployment_raw[[#This Row],[Column5]]=0),1,deployment_raw[[#This Row],[Column5]]),"")</f>
        <v/>
      </c>
      <c r="O446" s="167" t="str">
        <f>IF(ISNUMBER(deployment_raw[[#This Row],[Column15]]), deployment_raw[[#This Row],[Column15]]/IF(OR($E$2="Deployment",deployment_raw[[#This Row],[Column5]]=0),1,deployment_raw[[#This Row],[Column5]])/1048576,"")</f>
        <v/>
      </c>
      <c r="P446" s="168" t="str">
        <f>IF(ISNUMBER(deployment_raw[[#This Row],[Column12]]), (MIN(IF(N446&lt;&gt;"",N446,9999999999999)*1.1,deployment_raw[[#This Row],[Column12]] * IF($E$2="Deployment",deployment_raw[[#This Row],[Column5]],1))*(1+$P$2)),"")</f>
        <v/>
      </c>
      <c r="Q446" s="167" t="str">
        <f>IF(ISNUMBER(deployment_raw[[#This Row],[Column13]]), (MIN(IF(O446&lt;&gt;"",O446,9999999999999)*1.1,deployment_raw[[#This Row],[Column13]] * IF($E$2="Deployment",deployment_raw[[#This Row],[Column5]],1)*(1+$Q$2)/1048576)),"")</f>
        <v/>
      </c>
      <c r="R446" s="169" t="str">
        <f>IF(ISNUMBER(deployment_raw[[#This Row],[Column8]]), (H446  * IF(N446&lt;&gt;0,$R$2,1)),"")</f>
        <v/>
      </c>
      <c r="S446" s="170" t="str">
        <f>IF(ISNUMBER(deployment_raw[[#This Row],[Column8]]), (I446  * IF(O446&lt;&gt;0,$S$2,1)),"")</f>
        <v/>
      </c>
      <c r="T446" s="202" t="str">
        <f>IF(AND(A446&lt;&gt;"",_xlfn.IFNA(MATCH(A446,'dynamic resource application '!$A$2:$A$100, 0),0)&lt;&gt;0), H446/(IF($E$2="Deployment",E446,1)),"")</f>
        <v/>
      </c>
      <c r="U446" s="211" t="str">
        <f>IF(AND(A446&lt;&gt;"",_xlfn.IFNA(MATCH(A446,'dynamic resource application '!$A$2:$A$100, 0),0)&lt;&gt;0), I446/(IF($E$2="Deployment",E446,1)),"")</f>
        <v/>
      </c>
    </row>
    <row r="447" spans="1:21" ht="15.75" customHeight="1" x14ac:dyDescent="0.25">
      <c r="A447" s="35" t="str">
        <f>IF(ISNONTEXT(deployment_raw[[#This Row],[Column1]]), "", deployment_raw[[#This Row],[Column1]])</f>
        <v/>
      </c>
      <c r="B447" s="36" t="str">
        <f>IF(ISNONTEXT(deployment_raw[[#This Row],[Column2]]), "", deployment_raw[[#This Row],[Column2]])</f>
        <v/>
      </c>
      <c r="C447" s="36" t="str">
        <f>IF(ISNONTEXT(deployment_raw[[#This Row],[Column3]]), "", deployment_raw[[#This Row],[Column3]])</f>
        <v/>
      </c>
      <c r="D447" s="36" t="str">
        <f>IF(ISNONTEXT(deployment_raw[[#This Row],[Column4]]), "", deployment_raw[[#This Row],[Column4]])</f>
        <v/>
      </c>
      <c r="E447" s="37" t="str">
        <f>IF(ISNUMBER(deployment_raw[[#This Row],[Column5]]), deployment_raw[[#This Row],[Column5]],"")</f>
        <v/>
      </c>
      <c r="F447" s="94" t="str">
        <f>IF(ISNUMBER(deployment_raw[[#This Row],[Column6]]), (deployment_raw[[#This Row],[Column6]] * IF($E$2="Deployment",deployment_raw[[#This Row],[Column5]],1)),"")</f>
        <v/>
      </c>
      <c r="G447" s="95" t="str">
        <f>IF(ISNUMBER(deployment_raw[[#This Row],[Column7]]), (deployment_raw[[#This Row],[Column7]] * IF($E$2="Deployment",deployment_raw[[#This Row],[Column5]],1))/1048576,"")</f>
        <v/>
      </c>
      <c r="H447" s="95" t="str">
        <f>IF(ISNUMBER(deployment_raw[[#This Row],[Column8]]), (deployment_raw[[#This Row],[Column8]]  * IF($E$2="Deployment",deployment_raw[[#This Row],[Column5]],1)),"")</f>
        <v/>
      </c>
      <c r="I447" s="96" t="str">
        <f>IF(ISNUMBER(deployment_raw[[#This Row],[Column9]]), (deployment_raw[[#This Row],[Column9]] * IF($E$2="Deployment",deployment_raw[[#This Row],[Column5]],1))/1048576,"")</f>
        <v/>
      </c>
      <c r="J447" s="122" t="str">
        <f>IF(ISNUMBER(deployment_raw[[#This Row],[Column10]]), (MIN(IF(N447&lt;&gt;"",N447,9999999999999)*1.1,deployment_raw[[#This Row],[Column10]] * IF($E$2="Deployment",deployment_raw[[#This Row],[Column5]],1))),"")</f>
        <v/>
      </c>
      <c r="K447" s="123" t="str">
        <f>IF(ISNUMBER(deployment_raw[[#This Row],[Column11]]), (MIN(IF(O447&lt;&gt;"",O447,9999999999999)*1.1,deployment_raw[[#This Row],[Column11]] * IF($E$2="Deployment",deployment_raw[[#This Row],[Column5]],1)/1048576)),"")</f>
        <v/>
      </c>
      <c r="L447" s="124" t="str">
        <f>IF(ISNUMBER(deployment_raw[[#This Row],[Column8]]),IF(OR(deployment_raw[[#This Row],[Column5]] &lt;&gt; 0,$E$2 &lt;&gt; "Deployment"), MAX(J447, P447, R447, ($L$2 * IF($E$2="Deployment",deployment_raw[[#This Row],[Column5]],1)),IF(T447&lt;&gt;"",VALUE(T447) * IF($E$2="Deployment",deployment_raw[[#This Row],[Column5]],1),0)), 0),"")</f>
        <v/>
      </c>
      <c r="M447" s="125" t="str">
        <f>IF(ISNUMBER(deployment_raw[[#This Row],[Column9]]),IF(OR(deployment_raw[[#This Row],[Column5]] &lt;&gt; 0,$E$2&lt;&gt;"Deployment"), MAX(K447, Q447, S447, ($M$2 * IF($E$2="Deployment",deployment_raw[[#This Row],[Column5]],1)),IF(U447&lt;&gt;"",VALUE(U447) * IF($E$2="Deployment",deployment_raw[[#This Row],[Column5]],1),0)), 0),"")</f>
        <v/>
      </c>
      <c r="N447" s="166" t="str">
        <f>IF(ISNUMBER(deployment_raw[[#This Row],[Column14]]), deployment_raw[[#This Row],[Column14]]/IF(OR($E$2="Deployment",deployment_raw[[#This Row],[Column5]]=0),1,deployment_raw[[#This Row],[Column5]]),"")</f>
        <v/>
      </c>
      <c r="O447" s="167" t="str">
        <f>IF(ISNUMBER(deployment_raw[[#This Row],[Column15]]), deployment_raw[[#This Row],[Column15]]/IF(OR($E$2="Deployment",deployment_raw[[#This Row],[Column5]]=0),1,deployment_raw[[#This Row],[Column5]])/1048576,"")</f>
        <v/>
      </c>
      <c r="P447" s="168" t="str">
        <f>IF(ISNUMBER(deployment_raw[[#This Row],[Column12]]), (MIN(IF(N447&lt;&gt;"",N447,9999999999999)*1.1,deployment_raw[[#This Row],[Column12]] * IF($E$2="Deployment",deployment_raw[[#This Row],[Column5]],1))*(1+$P$2)),"")</f>
        <v/>
      </c>
      <c r="Q447" s="167" t="str">
        <f>IF(ISNUMBER(deployment_raw[[#This Row],[Column13]]), (MIN(IF(O447&lt;&gt;"",O447,9999999999999)*1.1,deployment_raw[[#This Row],[Column13]] * IF($E$2="Deployment",deployment_raw[[#This Row],[Column5]],1)*(1+$Q$2)/1048576)),"")</f>
        <v/>
      </c>
      <c r="R447" s="169" t="str">
        <f>IF(ISNUMBER(deployment_raw[[#This Row],[Column8]]), (H447  * IF(N447&lt;&gt;0,$R$2,1)),"")</f>
        <v/>
      </c>
      <c r="S447" s="170" t="str">
        <f>IF(ISNUMBER(deployment_raw[[#This Row],[Column8]]), (I447  * IF(O447&lt;&gt;0,$S$2,1)),"")</f>
        <v/>
      </c>
      <c r="T447" s="202" t="str">
        <f>IF(AND(A447&lt;&gt;"",_xlfn.IFNA(MATCH(A447,'dynamic resource application '!$A$2:$A$100, 0),0)&lt;&gt;0), H447/(IF($E$2="Deployment",E447,1)),"")</f>
        <v/>
      </c>
      <c r="U447" s="211" t="str">
        <f>IF(AND(A447&lt;&gt;"",_xlfn.IFNA(MATCH(A447,'dynamic resource application '!$A$2:$A$100, 0),0)&lt;&gt;0), I447/(IF($E$2="Deployment",E447,1)),"")</f>
        <v/>
      </c>
    </row>
    <row r="448" spans="1:21" ht="15.75" customHeight="1" x14ac:dyDescent="0.25">
      <c r="A448" s="35" t="str">
        <f>IF(ISNONTEXT(deployment_raw[[#This Row],[Column1]]), "", deployment_raw[[#This Row],[Column1]])</f>
        <v/>
      </c>
      <c r="B448" s="36" t="str">
        <f>IF(ISNONTEXT(deployment_raw[[#This Row],[Column2]]), "", deployment_raw[[#This Row],[Column2]])</f>
        <v/>
      </c>
      <c r="C448" s="36" t="str">
        <f>IF(ISNONTEXT(deployment_raw[[#This Row],[Column3]]), "", deployment_raw[[#This Row],[Column3]])</f>
        <v/>
      </c>
      <c r="D448" s="36" t="str">
        <f>IF(ISNONTEXT(deployment_raw[[#This Row],[Column4]]), "", deployment_raw[[#This Row],[Column4]])</f>
        <v/>
      </c>
      <c r="E448" s="37" t="str">
        <f>IF(ISNUMBER(deployment_raw[[#This Row],[Column5]]), deployment_raw[[#This Row],[Column5]],"")</f>
        <v/>
      </c>
      <c r="F448" s="94" t="str">
        <f>IF(ISNUMBER(deployment_raw[[#This Row],[Column6]]), (deployment_raw[[#This Row],[Column6]] * IF($E$2="Deployment",deployment_raw[[#This Row],[Column5]],1)),"")</f>
        <v/>
      </c>
      <c r="G448" s="95" t="str">
        <f>IF(ISNUMBER(deployment_raw[[#This Row],[Column7]]), (deployment_raw[[#This Row],[Column7]] * IF($E$2="Deployment",deployment_raw[[#This Row],[Column5]],1))/1048576,"")</f>
        <v/>
      </c>
      <c r="H448" s="95" t="str">
        <f>IF(ISNUMBER(deployment_raw[[#This Row],[Column8]]), (deployment_raw[[#This Row],[Column8]]  * IF($E$2="Deployment",deployment_raw[[#This Row],[Column5]],1)),"")</f>
        <v/>
      </c>
      <c r="I448" s="96" t="str">
        <f>IF(ISNUMBER(deployment_raw[[#This Row],[Column9]]), (deployment_raw[[#This Row],[Column9]] * IF($E$2="Deployment",deployment_raw[[#This Row],[Column5]],1))/1048576,"")</f>
        <v/>
      </c>
      <c r="J448" s="122" t="str">
        <f>IF(ISNUMBER(deployment_raw[[#This Row],[Column10]]), (MIN(IF(N448&lt;&gt;"",N448,9999999999999)*1.1,deployment_raw[[#This Row],[Column10]] * IF($E$2="Deployment",deployment_raw[[#This Row],[Column5]],1))),"")</f>
        <v/>
      </c>
      <c r="K448" s="123" t="str">
        <f>IF(ISNUMBER(deployment_raw[[#This Row],[Column11]]), (MIN(IF(O448&lt;&gt;"",O448,9999999999999)*1.1,deployment_raw[[#This Row],[Column11]] * IF($E$2="Deployment",deployment_raw[[#This Row],[Column5]],1)/1048576)),"")</f>
        <v/>
      </c>
      <c r="L448" s="124" t="str">
        <f>IF(ISNUMBER(deployment_raw[[#This Row],[Column8]]),IF(OR(deployment_raw[[#This Row],[Column5]] &lt;&gt; 0,$E$2 &lt;&gt; "Deployment"), MAX(J448, P448, R448, ($L$2 * IF($E$2="Deployment",deployment_raw[[#This Row],[Column5]],1)),IF(T448&lt;&gt;"",VALUE(T448) * IF($E$2="Deployment",deployment_raw[[#This Row],[Column5]],1),0)), 0),"")</f>
        <v/>
      </c>
      <c r="M448" s="125" t="str">
        <f>IF(ISNUMBER(deployment_raw[[#This Row],[Column9]]),IF(OR(deployment_raw[[#This Row],[Column5]] &lt;&gt; 0,$E$2&lt;&gt;"Deployment"), MAX(K448, Q448, S448, ($M$2 * IF($E$2="Deployment",deployment_raw[[#This Row],[Column5]],1)),IF(U448&lt;&gt;"",VALUE(U448) * IF($E$2="Deployment",deployment_raw[[#This Row],[Column5]],1),0)), 0),"")</f>
        <v/>
      </c>
      <c r="N448" s="166" t="str">
        <f>IF(ISNUMBER(deployment_raw[[#This Row],[Column14]]), deployment_raw[[#This Row],[Column14]]/IF(OR($E$2="Deployment",deployment_raw[[#This Row],[Column5]]=0),1,deployment_raw[[#This Row],[Column5]]),"")</f>
        <v/>
      </c>
      <c r="O448" s="167" t="str">
        <f>IF(ISNUMBER(deployment_raw[[#This Row],[Column15]]), deployment_raw[[#This Row],[Column15]]/IF(OR($E$2="Deployment",deployment_raw[[#This Row],[Column5]]=0),1,deployment_raw[[#This Row],[Column5]])/1048576,"")</f>
        <v/>
      </c>
      <c r="P448" s="168" t="str">
        <f>IF(ISNUMBER(deployment_raw[[#This Row],[Column12]]), (MIN(IF(N448&lt;&gt;"",N448,9999999999999)*1.1,deployment_raw[[#This Row],[Column12]] * IF($E$2="Deployment",deployment_raw[[#This Row],[Column5]],1))*(1+$P$2)),"")</f>
        <v/>
      </c>
      <c r="Q448" s="167" t="str">
        <f>IF(ISNUMBER(deployment_raw[[#This Row],[Column13]]), (MIN(IF(O448&lt;&gt;"",O448,9999999999999)*1.1,deployment_raw[[#This Row],[Column13]] * IF($E$2="Deployment",deployment_raw[[#This Row],[Column5]],1)*(1+$Q$2)/1048576)),"")</f>
        <v/>
      </c>
      <c r="R448" s="169" t="str">
        <f>IF(ISNUMBER(deployment_raw[[#This Row],[Column8]]), (H448  * IF(N448&lt;&gt;0,$R$2,1)),"")</f>
        <v/>
      </c>
      <c r="S448" s="170" t="str">
        <f>IF(ISNUMBER(deployment_raw[[#This Row],[Column8]]), (I448  * IF(O448&lt;&gt;0,$S$2,1)),"")</f>
        <v/>
      </c>
      <c r="T448" s="202" t="str">
        <f>IF(AND(A448&lt;&gt;"",_xlfn.IFNA(MATCH(A448,'dynamic resource application '!$A$2:$A$100, 0),0)&lt;&gt;0), H448/(IF($E$2="Deployment",E448,1)),"")</f>
        <v/>
      </c>
      <c r="U448" s="211" t="str">
        <f>IF(AND(A448&lt;&gt;"",_xlfn.IFNA(MATCH(A448,'dynamic resource application '!$A$2:$A$100, 0),0)&lt;&gt;0), I448/(IF($E$2="Deployment",E448,1)),"")</f>
        <v/>
      </c>
    </row>
    <row r="449" spans="1:21" ht="15.75" customHeight="1" x14ac:dyDescent="0.25">
      <c r="A449" s="35" t="str">
        <f>IF(ISNONTEXT(deployment_raw[[#This Row],[Column1]]), "", deployment_raw[[#This Row],[Column1]])</f>
        <v/>
      </c>
      <c r="B449" s="36" t="str">
        <f>IF(ISNONTEXT(deployment_raw[[#This Row],[Column2]]), "", deployment_raw[[#This Row],[Column2]])</f>
        <v/>
      </c>
      <c r="C449" s="36" t="str">
        <f>IF(ISNONTEXT(deployment_raw[[#This Row],[Column3]]), "", deployment_raw[[#This Row],[Column3]])</f>
        <v/>
      </c>
      <c r="D449" s="36" t="str">
        <f>IF(ISNONTEXT(deployment_raw[[#This Row],[Column4]]), "", deployment_raw[[#This Row],[Column4]])</f>
        <v/>
      </c>
      <c r="E449" s="37" t="str">
        <f>IF(ISNUMBER(deployment_raw[[#This Row],[Column5]]), deployment_raw[[#This Row],[Column5]],"")</f>
        <v/>
      </c>
      <c r="F449" s="94" t="str">
        <f>IF(ISNUMBER(deployment_raw[[#This Row],[Column6]]), (deployment_raw[[#This Row],[Column6]] * IF($E$2="Deployment",deployment_raw[[#This Row],[Column5]],1)),"")</f>
        <v/>
      </c>
      <c r="G449" s="95" t="str">
        <f>IF(ISNUMBER(deployment_raw[[#This Row],[Column7]]), (deployment_raw[[#This Row],[Column7]] * IF($E$2="Deployment",deployment_raw[[#This Row],[Column5]],1))/1048576,"")</f>
        <v/>
      </c>
      <c r="H449" s="95" t="str">
        <f>IF(ISNUMBER(deployment_raw[[#This Row],[Column8]]), (deployment_raw[[#This Row],[Column8]]  * IF($E$2="Deployment",deployment_raw[[#This Row],[Column5]],1)),"")</f>
        <v/>
      </c>
      <c r="I449" s="96" t="str">
        <f>IF(ISNUMBER(deployment_raw[[#This Row],[Column9]]), (deployment_raw[[#This Row],[Column9]] * IF($E$2="Deployment",deployment_raw[[#This Row],[Column5]],1))/1048576,"")</f>
        <v/>
      </c>
      <c r="J449" s="122" t="str">
        <f>IF(ISNUMBER(deployment_raw[[#This Row],[Column10]]), (MIN(IF(N449&lt;&gt;"",N449,9999999999999)*1.1,deployment_raw[[#This Row],[Column10]] * IF($E$2="Deployment",deployment_raw[[#This Row],[Column5]],1))),"")</f>
        <v/>
      </c>
      <c r="K449" s="123" t="str">
        <f>IF(ISNUMBER(deployment_raw[[#This Row],[Column11]]), (MIN(IF(O449&lt;&gt;"",O449,9999999999999)*1.1,deployment_raw[[#This Row],[Column11]] * IF($E$2="Deployment",deployment_raw[[#This Row],[Column5]],1)/1048576)),"")</f>
        <v/>
      </c>
      <c r="L449" s="124" t="str">
        <f>IF(ISNUMBER(deployment_raw[[#This Row],[Column8]]),IF(OR(deployment_raw[[#This Row],[Column5]] &lt;&gt; 0,$E$2 &lt;&gt; "Deployment"), MAX(J449, P449, R449, ($L$2 * IF($E$2="Deployment",deployment_raw[[#This Row],[Column5]],1)),IF(T449&lt;&gt;"",VALUE(T449) * IF($E$2="Deployment",deployment_raw[[#This Row],[Column5]],1),0)), 0),"")</f>
        <v/>
      </c>
      <c r="M449" s="125" t="str">
        <f>IF(ISNUMBER(deployment_raw[[#This Row],[Column9]]),IF(OR(deployment_raw[[#This Row],[Column5]] &lt;&gt; 0,$E$2&lt;&gt;"Deployment"), MAX(K449, Q449, S449, ($M$2 * IF($E$2="Deployment",deployment_raw[[#This Row],[Column5]],1)),IF(U449&lt;&gt;"",VALUE(U449) * IF($E$2="Deployment",deployment_raw[[#This Row],[Column5]],1),0)), 0),"")</f>
        <v/>
      </c>
      <c r="N449" s="166" t="str">
        <f>IF(ISNUMBER(deployment_raw[[#This Row],[Column14]]), deployment_raw[[#This Row],[Column14]]/IF(OR($E$2="Deployment",deployment_raw[[#This Row],[Column5]]=0),1,deployment_raw[[#This Row],[Column5]]),"")</f>
        <v/>
      </c>
      <c r="O449" s="167" t="str">
        <f>IF(ISNUMBER(deployment_raw[[#This Row],[Column15]]), deployment_raw[[#This Row],[Column15]]/IF(OR($E$2="Deployment",deployment_raw[[#This Row],[Column5]]=0),1,deployment_raw[[#This Row],[Column5]])/1048576,"")</f>
        <v/>
      </c>
      <c r="P449" s="168" t="str">
        <f>IF(ISNUMBER(deployment_raw[[#This Row],[Column12]]), (MIN(IF(N449&lt;&gt;"",N449,9999999999999)*1.1,deployment_raw[[#This Row],[Column12]] * IF($E$2="Deployment",deployment_raw[[#This Row],[Column5]],1))*(1+$P$2)),"")</f>
        <v/>
      </c>
      <c r="Q449" s="167" t="str">
        <f>IF(ISNUMBER(deployment_raw[[#This Row],[Column13]]), (MIN(IF(O449&lt;&gt;"",O449,9999999999999)*1.1,deployment_raw[[#This Row],[Column13]] * IF($E$2="Deployment",deployment_raw[[#This Row],[Column5]],1)*(1+$Q$2)/1048576)),"")</f>
        <v/>
      </c>
      <c r="R449" s="169" t="str">
        <f>IF(ISNUMBER(deployment_raw[[#This Row],[Column8]]), (H449  * IF(N449&lt;&gt;0,$R$2,1)),"")</f>
        <v/>
      </c>
      <c r="S449" s="170" t="str">
        <f>IF(ISNUMBER(deployment_raw[[#This Row],[Column8]]), (I449  * IF(O449&lt;&gt;0,$S$2,1)),"")</f>
        <v/>
      </c>
      <c r="T449" s="202" t="str">
        <f>IF(AND(A449&lt;&gt;"",_xlfn.IFNA(MATCH(A449,'dynamic resource application '!$A$2:$A$100, 0),0)&lt;&gt;0), H449/(IF($E$2="Deployment",E449,1)),"")</f>
        <v/>
      </c>
      <c r="U449" s="211" t="str">
        <f>IF(AND(A449&lt;&gt;"",_xlfn.IFNA(MATCH(A449,'dynamic resource application '!$A$2:$A$100, 0),0)&lt;&gt;0), I449/(IF($E$2="Deployment",E449,1)),"")</f>
        <v/>
      </c>
    </row>
    <row r="450" spans="1:21" ht="15.75" customHeight="1" x14ac:dyDescent="0.25">
      <c r="A450" s="35" t="str">
        <f>IF(ISNONTEXT(deployment_raw[[#This Row],[Column1]]), "", deployment_raw[[#This Row],[Column1]])</f>
        <v/>
      </c>
      <c r="B450" s="36" t="str">
        <f>IF(ISNONTEXT(deployment_raw[[#This Row],[Column2]]), "", deployment_raw[[#This Row],[Column2]])</f>
        <v/>
      </c>
      <c r="C450" s="36" t="str">
        <f>IF(ISNONTEXT(deployment_raw[[#This Row],[Column3]]), "", deployment_raw[[#This Row],[Column3]])</f>
        <v/>
      </c>
      <c r="D450" s="36" t="str">
        <f>IF(ISNONTEXT(deployment_raw[[#This Row],[Column4]]), "", deployment_raw[[#This Row],[Column4]])</f>
        <v/>
      </c>
      <c r="E450" s="37" t="str">
        <f>IF(ISNUMBER(deployment_raw[[#This Row],[Column5]]), deployment_raw[[#This Row],[Column5]],"")</f>
        <v/>
      </c>
      <c r="F450" s="94" t="str">
        <f>IF(ISNUMBER(deployment_raw[[#This Row],[Column6]]), (deployment_raw[[#This Row],[Column6]] * IF($E$2="Deployment",deployment_raw[[#This Row],[Column5]],1)),"")</f>
        <v/>
      </c>
      <c r="G450" s="95" t="str">
        <f>IF(ISNUMBER(deployment_raw[[#This Row],[Column7]]), (deployment_raw[[#This Row],[Column7]] * IF($E$2="Deployment",deployment_raw[[#This Row],[Column5]],1))/1048576,"")</f>
        <v/>
      </c>
      <c r="H450" s="95" t="str">
        <f>IF(ISNUMBER(deployment_raw[[#This Row],[Column8]]), (deployment_raw[[#This Row],[Column8]]  * IF($E$2="Deployment",deployment_raw[[#This Row],[Column5]],1)),"")</f>
        <v/>
      </c>
      <c r="I450" s="96" t="str">
        <f>IF(ISNUMBER(deployment_raw[[#This Row],[Column9]]), (deployment_raw[[#This Row],[Column9]] * IF($E$2="Deployment",deployment_raw[[#This Row],[Column5]],1))/1048576,"")</f>
        <v/>
      </c>
      <c r="J450" s="122" t="str">
        <f>IF(ISNUMBER(deployment_raw[[#This Row],[Column10]]), (MIN(IF(N450&lt;&gt;"",N450,9999999999999)*1.1,deployment_raw[[#This Row],[Column10]] * IF($E$2="Deployment",deployment_raw[[#This Row],[Column5]],1))),"")</f>
        <v/>
      </c>
      <c r="K450" s="123" t="str">
        <f>IF(ISNUMBER(deployment_raw[[#This Row],[Column11]]), (MIN(IF(O450&lt;&gt;"",O450,9999999999999)*1.1,deployment_raw[[#This Row],[Column11]] * IF($E$2="Deployment",deployment_raw[[#This Row],[Column5]],1)/1048576)),"")</f>
        <v/>
      </c>
      <c r="L450" s="124" t="str">
        <f>IF(ISNUMBER(deployment_raw[[#This Row],[Column8]]),IF(OR(deployment_raw[[#This Row],[Column5]] &lt;&gt; 0,$E$2 &lt;&gt; "Deployment"), MAX(J450, P450, R450, ($L$2 * IF($E$2="Deployment",deployment_raw[[#This Row],[Column5]],1)),IF(T450&lt;&gt;"",VALUE(T450) * IF($E$2="Deployment",deployment_raw[[#This Row],[Column5]],1),0)), 0),"")</f>
        <v/>
      </c>
      <c r="M450" s="125" t="str">
        <f>IF(ISNUMBER(deployment_raw[[#This Row],[Column9]]),IF(OR(deployment_raw[[#This Row],[Column5]] &lt;&gt; 0,$E$2&lt;&gt;"Deployment"), MAX(K450, Q450, S450, ($M$2 * IF($E$2="Deployment",deployment_raw[[#This Row],[Column5]],1)),IF(U450&lt;&gt;"",VALUE(U450) * IF($E$2="Deployment",deployment_raw[[#This Row],[Column5]],1),0)), 0),"")</f>
        <v/>
      </c>
      <c r="N450" s="166" t="str">
        <f>IF(ISNUMBER(deployment_raw[[#This Row],[Column14]]), deployment_raw[[#This Row],[Column14]]/IF(OR($E$2="Deployment",deployment_raw[[#This Row],[Column5]]=0),1,deployment_raw[[#This Row],[Column5]]),"")</f>
        <v/>
      </c>
      <c r="O450" s="167" t="str">
        <f>IF(ISNUMBER(deployment_raw[[#This Row],[Column15]]), deployment_raw[[#This Row],[Column15]]/IF(OR($E$2="Deployment",deployment_raw[[#This Row],[Column5]]=0),1,deployment_raw[[#This Row],[Column5]])/1048576,"")</f>
        <v/>
      </c>
      <c r="P450" s="168" t="str">
        <f>IF(ISNUMBER(deployment_raw[[#This Row],[Column12]]), (MIN(IF(N450&lt;&gt;"",N450,9999999999999)*1.1,deployment_raw[[#This Row],[Column12]] * IF($E$2="Deployment",deployment_raw[[#This Row],[Column5]],1))*(1+$P$2)),"")</f>
        <v/>
      </c>
      <c r="Q450" s="167" t="str">
        <f>IF(ISNUMBER(deployment_raw[[#This Row],[Column13]]), (MIN(IF(O450&lt;&gt;"",O450,9999999999999)*1.1,deployment_raw[[#This Row],[Column13]] * IF($E$2="Deployment",deployment_raw[[#This Row],[Column5]],1)*(1+$Q$2)/1048576)),"")</f>
        <v/>
      </c>
      <c r="R450" s="169" t="str">
        <f>IF(ISNUMBER(deployment_raw[[#This Row],[Column8]]), (H450  * IF(N450&lt;&gt;0,$R$2,1)),"")</f>
        <v/>
      </c>
      <c r="S450" s="170" t="str">
        <f>IF(ISNUMBER(deployment_raw[[#This Row],[Column8]]), (I450  * IF(O450&lt;&gt;0,$S$2,1)),"")</f>
        <v/>
      </c>
      <c r="T450" s="202" t="str">
        <f>IF(AND(A450&lt;&gt;"",_xlfn.IFNA(MATCH(A450,'dynamic resource application '!$A$2:$A$100, 0),0)&lt;&gt;0), H450/(IF($E$2="Deployment",E450,1)),"")</f>
        <v/>
      </c>
      <c r="U450" s="211" t="str">
        <f>IF(AND(A450&lt;&gt;"",_xlfn.IFNA(MATCH(A450,'dynamic resource application '!$A$2:$A$100, 0),0)&lt;&gt;0), I450/(IF($E$2="Deployment",E450,1)),"")</f>
        <v/>
      </c>
    </row>
    <row r="451" spans="1:21" ht="15.75" customHeight="1" x14ac:dyDescent="0.25">
      <c r="A451" s="35" t="str">
        <f>IF(ISNONTEXT(deployment_raw[[#This Row],[Column1]]), "", deployment_raw[[#This Row],[Column1]])</f>
        <v/>
      </c>
      <c r="B451" s="36" t="str">
        <f>IF(ISNONTEXT(deployment_raw[[#This Row],[Column2]]), "", deployment_raw[[#This Row],[Column2]])</f>
        <v/>
      </c>
      <c r="C451" s="36" t="str">
        <f>IF(ISNONTEXT(deployment_raw[[#This Row],[Column3]]), "", deployment_raw[[#This Row],[Column3]])</f>
        <v/>
      </c>
      <c r="D451" s="36" t="str">
        <f>IF(ISNONTEXT(deployment_raw[[#This Row],[Column4]]), "", deployment_raw[[#This Row],[Column4]])</f>
        <v/>
      </c>
      <c r="E451" s="37" t="str">
        <f>IF(ISNUMBER(deployment_raw[[#This Row],[Column5]]), deployment_raw[[#This Row],[Column5]],"")</f>
        <v/>
      </c>
      <c r="F451" s="94" t="str">
        <f>IF(ISNUMBER(deployment_raw[[#This Row],[Column6]]), (deployment_raw[[#This Row],[Column6]] * IF($E$2="Deployment",deployment_raw[[#This Row],[Column5]],1)),"")</f>
        <v/>
      </c>
      <c r="G451" s="95" t="str">
        <f>IF(ISNUMBER(deployment_raw[[#This Row],[Column7]]), (deployment_raw[[#This Row],[Column7]] * IF($E$2="Deployment",deployment_raw[[#This Row],[Column5]],1))/1048576,"")</f>
        <v/>
      </c>
      <c r="H451" s="95" t="str">
        <f>IF(ISNUMBER(deployment_raw[[#This Row],[Column8]]), (deployment_raw[[#This Row],[Column8]]  * IF($E$2="Deployment",deployment_raw[[#This Row],[Column5]],1)),"")</f>
        <v/>
      </c>
      <c r="I451" s="96" t="str">
        <f>IF(ISNUMBER(deployment_raw[[#This Row],[Column9]]), (deployment_raw[[#This Row],[Column9]] * IF($E$2="Deployment",deployment_raw[[#This Row],[Column5]],1))/1048576,"")</f>
        <v/>
      </c>
      <c r="J451" s="122" t="str">
        <f>IF(ISNUMBER(deployment_raw[[#This Row],[Column10]]), (MIN(IF(N451&lt;&gt;"",N451,9999999999999)*1.1,deployment_raw[[#This Row],[Column10]] * IF($E$2="Deployment",deployment_raw[[#This Row],[Column5]],1))),"")</f>
        <v/>
      </c>
      <c r="K451" s="123" t="str">
        <f>IF(ISNUMBER(deployment_raw[[#This Row],[Column11]]), (MIN(IF(O451&lt;&gt;"",O451,9999999999999)*1.1,deployment_raw[[#This Row],[Column11]] * IF($E$2="Deployment",deployment_raw[[#This Row],[Column5]],1)/1048576)),"")</f>
        <v/>
      </c>
      <c r="L451" s="124" t="str">
        <f>IF(ISNUMBER(deployment_raw[[#This Row],[Column8]]),IF(OR(deployment_raw[[#This Row],[Column5]] &lt;&gt; 0,$E$2 &lt;&gt; "Deployment"), MAX(J451, P451, R451, ($L$2 * IF($E$2="Deployment",deployment_raw[[#This Row],[Column5]],1)),IF(T451&lt;&gt;"",VALUE(T451) * IF($E$2="Deployment",deployment_raw[[#This Row],[Column5]],1),0)), 0),"")</f>
        <v/>
      </c>
      <c r="M451" s="125" t="str">
        <f>IF(ISNUMBER(deployment_raw[[#This Row],[Column9]]),IF(OR(deployment_raw[[#This Row],[Column5]] &lt;&gt; 0,$E$2&lt;&gt;"Deployment"), MAX(K451, Q451, S451, ($M$2 * IF($E$2="Deployment",deployment_raw[[#This Row],[Column5]],1)),IF(U451&lt;&gt;"",VALUE(U451) * IF($E$2="Deployment",deployment_raw[[#This Row],[Column5]],1),0)), 0),"")</f>
        <v/>
      </c>
      <c r="N451" s="166" t="str">
        <f>IF(ISNUMBER(deployment_raw[[#This Row],[Column14]]), deployment_raw[[#This Row],[Column14]]/IF(OR($E$2="Deployment",deployment_raw[[#This Row],[Column5]]=0),1,deployment_raw[[#This Row],[Column5]]),"")</f>
        <v/>
      </c>
      <c r="O451" s="167" t="str">
        <f>IF(ISNUMBER(deployment_raw[[#This Row],[Column15]]), deployment_raw[[#This Row],[Column15]]/IF(OR($E$2="Deployment",deployment_raw[[#This Row],[Column5]]=0),1,deployment_raw[[#This Row],[Column5]])/1048576,"")</f>
        <v/>
      </c>
      <c r="P451" s="168" t="str">
        <f>IF(ISNUMBER(deployment_raw[[#This Row],[Column12]]), (MIN(IF(N451&lt;&gt;"",N451,9999999999999)*1.1,deployment_raw[[#This Row],[Column12]] * IF($E$2="Deployment",deployment_raw[[#This Row],[Column5]],1))*(1+$P$2)),"")</f>
        <v/>
      </c>
      <c r="Q451" s="167" t="str">
        <f>IF(ISNUMBER(deployment_raw[[#This Row],[Column13]]), (MIN(IF(O451&lt;&gt;"",O451,9999999999999)*1.1,deployment_raw[[#This Row],[Column13]] * IF($E$2="Deployment",deployment_raw[[#This Row],[Column5]],1)*(1+$Q$2)/1048576)),"")</f>
        <v/>
      </c>
      <c r="R451" s="169" t="str">
        <f>IF(ISNUMBER(deployment_raw[[#This Row],[Column8]]), (H451  * IF(N451&lt;&gt;0,$R$2,1)),"")</f>
        <v/>
      </c>
      <c r="S451" s="170" t="str">
        <f>IF(ISNUMBER(deployment_raw[[#This Row],[Column8]]), (I451  * IF(O451&lt;&gt;0,$S$2,1)),"")</f>
        <v/>
      </c>
      <c r="T451" s="202" t="str">
        <f>IF(AND(A451&lt;&gt;"",_xlfn.IFNA(MATCH(A451,'dynamic resource application '!$A$2:$A$100, 0),0)&lt;&gt;0), H451/(IF($E$2="Deployment",E451,1)),"")</f>
        <v/>
      </c>
      <c r="U451" s="211" t="str">
        <f>IF(AND(A451&lt;&gt;"",_xlfn.IFNA(MATCH(A451,'dynamic resource application '!$A$2:$A$100, 0),0)&lt;&gt;0), I451/(IF($E$2="Deployment",E451,1)),"")</f>
        <v/>
      </c>
    </row>
    <row r="452" spans="1:21" ht="15.75" customHeight="1" x14ac:dyDescent="0.25">
      <c r="A452" s="35" t="str">
        <f>IF(ISNONTEXT(deployment_raw[[#This Row],[Column1]]), "", deployment_raw[[#This Row],[Column1]])</f>
        <v/>
      </c>
      <c r="B452" s="36" t="str">
        <f>IF(ISNONTEXT(deployment_raw[[#This Row],[Column2]]), "", deployment_raw[[#This Row],[Column2]])</f>
        <v/>
      </c>
      <c r="C452" s="36" t="str">
        <f>IF(ISNONTEXT(deployment_raw[[#This Row],[Column3]]), "", deployment_raw[[#This Row],[Column3]])</f>
        <v/>
      </c>
      <c r="D452" s="36" t="str">
        <f>IF(ISNONTEXT(deployment_raw[[#This Row],[Column4]]), "", deployment_raw[[#This Row],[Column4]])</f>
        <v/>
      </c>
      <c r="E452" s="37" t="str">
        <f>IF(ISNUMBER(deployment_raw[[#This Row],[Column5]]), deployment_raw[[#This Row],[Column5]],"")</f>
        <v/>
      </c>
      <c r="F452" s="94" t="str">
        <f>IF(ISNUMBER(deployment_raw[[#This Row],[Column6]]), (deployment_raw[[#This Row],[Column6]] * IF($E$2="Deployment",deployment_raw[[#This Row],[Column5]],1)),"")</f>
        <v/>
      </c>
      <c r="G452" s="95" t="str">
        <f>IF(ISNUMBER(deployment_raw[[#This Row],[Column7]]), (deployment_raw[[#This Row],[Column7]] * IF($E$2="Deployment",deployment_raw[[#This Row],[Column5]],1))/1048576,"")</f>
        <v/>
      </c>
      <c r="H452" s="95" t="str">
        <f>IF(ISNUMBER(deployment_raw[[#This Row],[Column8]]), (deployment_raw[[#This Row],[Column8]]  * IF($E$2="Deployment",deployment_raw[[#This Row],[Column5]],1)),"")</f>
        <v/>
      </c>
      <c r="I452" s="96" t="str">
        <f>IF(ISNUMBER(deployment_raw[[#This Row],[Column9]]), (deployment_raw[[#This Row],[Column9]] * IF($E$2="Deployment",deployment_raw[[#This Row],[Column5]],1))/1048576,"")</f>
        <v/>
      </c>
      <c r="J452" s="122" t="str">
        <f>IF(ISNUMBER(deployment_raw[[#This Row],[Column10]]), (MIN(IF(N452&lt;&gt;"",N452,9999999999999)*1.1,deployment_raw[[#This Row],[Column10]] * IF($E$2="Deployment",deployment_raw[[#This Row],[Column5]],1))),"")</f>
        <v/>
      </c>
      <c r="K452" s="123" t="str">
        <f>IF(ISNUMBER(deployment_raw[[#This Row],[Column11]]), (MIN(IF(O452&lt;&gt;"",O452,9999999999999)*1.1,deployment_raw[[#This Row],[Column11]] * IF($E$2="Deployment",deployment_raw[[#This Row],[Column5]],1)/1048576)),"")</f>
        <v/>
      </c>
      <c r="L452" s="124" t="str">
        <f>IF(ISNUMBER(deployment_raw[[#This Row],[Column8]]),IF(OR(deployment_raw[[#This Row],[Column5]] &lt;&gt; 0,$E$2 &lt;&gt; "Deployment"), MAX(J452, P452, R452, ($L$2 * IF($E$2="Deployment",deployment_raw[[#This Row],[Column5]],1)),IF(T452&lt;&gt;"",VALUE(T452) * IF($E$2="Deployment",deployment_raw[[#This Row],[Column5]],1),0)), 0),"")</f>
        <v/>
      </c>
      <c r="M452" s="125" t="str">
        <f>IF(ISNUMBER(deployment_raw[[#This Row],[Column9]]),IF(OR(deployment_raw[[#This Row],[Column5]] &lt;&gt; 0,$E$2&lt;&gt;"Deployment"), MAX(K452, Q452, S452, ($M$2 * IF($E$2="Deployment",deployment_raw[[#This Row],[Column5]],1)),IF(U452&lt;&gt;"",VALUE(U452) * IF($E$2="Deployment",deployment_raw[[#This Row],[Column5]],1),0)), 0),"")</f>
        <v/>
      </c>
      <c r="N452" s="166" t="str">
        <f>IF(ISNUMBER(deployment_raw[[#This Row],[Column14]]), deployment_raw[[#This Row],[Column14]]/IF(OR($E$2="Deployment",deployment_raw[[#This Row],[Column5]]=0),1,deployment_raw[[#This Row],[Column5]]),"")</f>
        <v/>
      </c>
      <c r="O452" s="167" t="str">
        <f>IF(ISNUMBER(deployment_raw[[#This Row],[Column15]]), deployment_raw[[#This Row],[Column15]]/IF(OR($E$2="Deployment",deployment_raw[[#This Row],[Column5]]=0),1,deployment_raw[[#This Row],[Column5]])/1048576,"")</f>
        <v/>
      </c>
      <c r="P452" s="168" t="str">
        <f>IF(ISNUMBER(deployment_raw[[#This Row],[Column12]]), (MIN(IF(N452&lt;&gt;"",N452,9999999999999)*1.1,deployment_raw[[#This Row],[Column12]] * IF($E$2="Deployment",deployment_raw[[#This Row],[Column5]],1))*(1+$P$2)),"")</f>
        <v/>
      </c>
      <c r="Q452" s="167" t="str">
        <f>IF(ISNUMBER(deployment_raw[[#This Row],[Column13]]), (MIN(IF(O452&lt;&gt;"",O452,9999999999999)*1.1,deployment_raw[[#This Row],[Column13]] * IF($E$2="Deployment",deployment_raw[[#This Row],[Column5]],1)*(1+$Q$2)/1048576)),"")</f>
        <v/>
      </c>
      <c r="R452" s="169" t="str">
        <f>IF(ISNUMBER(deployment_raw[[#This Row],[Column8]]), (H452  * IF(N452&lt;&gt;0,$R$2,1)),"")</f>
        <v/>
      </c>
      <c r="S452" s="170" t="str">
        <f>IF(ISNUMBER(deployment_raw[[#This Row],[Column8]]), (I452  * IF(O452&lt;&gt;0,$S$2,1)),"")</f>
        <v/>
      </c>
      <c r="T452" s="202" t="str">
        <f>IF(AND(A452&lt;&gt;"",_xlfn.IFNA(MATCH(A452,'dynamic resource application '!$A$2:$A$100, 0),0)&lt;&gt;0), H452/(IF($E$2="Deployment",E452,1)),"")</f>
        <v/>
      </c>
      <c r="U452" s="211" t="str">
        <f>IF(AND(A452&lt;&gt;"",_xlfn.IFNA(MATCH(A452,'dynamic resource application '!$A$2:$A$100, 0),0)&lt;&gt;0), I452/(IF($E$2="Deployment",E452,1)),"")</f>
        <v/>
      </c>
    </row>
    <row r="453" spans="1:21" ht="15.75" customHeight="1" x14ac:dyDescent="0.25">
      <c r="A453" s="35" t="str">
        <f>IF(ISNONTEXT(deployment_raw[[#This Row],[Column1]]), "", deployment_raw[[#This Row],[Column1]])</f>
        <v/>
      </c>
      <c r="B453" s="36" t="str">
        <f>IF(ISNONTEXT(deployment_raw[[#This Row],[Column2]]), "", deployment_raw[[#This Row],[Column2]])</f>
        <v/>
      </c>
      <c r="C453" s="36" t="str">
        <f>IF(ISNONTEXT(deployment_raw[[#This Row],[Column3]]), "", deployment_raw[[#This Row],[Column3]])</f>
        <v/>
      </c>
      <c r="D453" s="36" t="str">
        <f>IF(ISNONTEXT(deployment_raw[[#This Row],[Column4]]), "", deployment_raw[[#This Row],[Column4]])</f>
        <v/>
      </c>
      <c r="E453" s="37" t="str">
        <f>IF(ISNUMBER(deployment_raw[[#This Row],[Column5]]), deployment_raw[[#This Row],[Column5]],"")</f>
        <v/>
      </c>
      <c r="F453" s="94" t="str">
        <f>IF(ISNUMBER(deployment_raw[[#This Row],[Column6]]), (deployment_raw[[#This Row],[Column6]] * IF($E$2="Deployment",deployment_raw[[#This Row],[Column5]],1)),"")</f>
        <v/>
      </c>
      <c r="G453" s="95" t="str">
        <f>IF(ISNUMBER(deployment_raw[[#This Row],[Column7]]), (deployment_raw[[#This Row],[Column7]] * IF($E$2="Deployment",deployment_raw[[#This Row],[Column5]],1))/1048576,"")</f>
        <v/>
      </c>
      <c r="H453" s="95" t="str">
        <f>IF(ISNUMBER(deployment_raw[[#This Row],[Column8]]), (deployment_raw[[#This Row],[Column8]]  * IF($E$2="Deployment",deployment_raw[[#This Row],[Column5]],1)),"")</f>
        <v/>
      </c>
      <c r="I453" s="96" t="str">
        <f>IF(ISNUMBER(deployment_raw[[#This Row],[Column9]]), (deployment_raw[[#This Row],[Column9]] * IF($E$2="Deployment",deployment_raw[[#This Row],[Column5]],1))/1048576,"")</f>
        <v/>
      </c>
      <c r="J453" s="122" t="str">
        <f>IF(ISNUMBER(deployment_raw[[#This Row],[Column10]]), (MIN(IF(N453&lt;&gt;"",N453,9999999999999)*1.1,deployment_raw[[#This Row],[Column10]] * IF($E$2="Deployment",deployment_raw[[#This Row],[Column5]],1))),"")</f>
        <v/>
      </c>
      <c r="K453" s="123" t="str">
        <f>IF(ISNUMBER(deployment_raw[[#This Row],[Column11]]), (MIN(IF(O453&lt;&gt;"",O453,9999999999999)*1.1,deployment_raw[[#This Row],[Column11]] * IF($E$2="Deployment",deployment_raw[[#This Row],[Column5]],1)/1048576)),"")</f>
        <v/>
      </c>
      <c r="L453" s="124" t="str">
        <f>IF(ISNUMBER(deployment_raw[[#This Row],[Column8]]),IF(OR(deployment_raw[[#This Row],[Column5]] &lt;&gt; 0,$E$2 &lt;&gt; "Deployment"), MAX(J453, P453, R453, ($L$2 * IF($E$2="Deployment",deployment_raw[[#This Row],[Column5]],1)),IF(T453&lt;&gt;"",VALUE(T453) * IF($E$2="Deployment",deployment_raw[[#This Row],[Column5]],1),0)), 0),"")</f>
        <v/>
      </c>
      <c r="M453" s="125" t="str">
        <f>IF(ISNUMBER(deployment_raw[[#This Row],[Column9]]),IF(OR(deployment_raw[[#This Row],[Column5]] &lt;&gt; 0,$E$2&lt;&gt;"Deployment"), MAX(K453, Q453, S453, ($M$2 * IF($E$2="Deployment",deployment_raw[[#This Row],[Column5]],1)),IF(U453&lt;&gt;"",VALUE(U453) * IF($E$2="Deployment",deployment_raw[[#This Row],[Column5]],1),0)), 0),"")</f>
        <v/>
      </c>
      <c r="N453" s="166" t="str">
        <f>IF(ISNUMBER(deployment_raw[[#This Row],[Column14]]), deployment_raw[[#This Row],[Column14]]/IF(OR($E$2="Deployment",deployment_raw[[#This Row],[Column5]]=0),1,deployment_raw[[#This Row],[Column5]]),"")</f>
        <v/>
      </c>
      <c r="O453" s="167" t="str">
        <f>IF(ISNUMBER(deployment_raw[[#This Row],[Column15]]), deployment_raw[[#This Row],[Column15]]/IF(OR($E$2="Deployment",deployment_raw[[#This Row],[Column5]]=0),1,deployment_raw[[#This Row],[Column5]])/1048576,"")</f>
        <v/>
      </c>
      <c r="P453" s="168" t="str">
        <f>IF(ISNUMBER(deployment_raw[[#This Row],[Column12]]), (MIN(IF(N453&lt;&gt;"",N453,9999999999999)*1.1,deployment_raw[[#This Row],[Column12]] * IF($E$2="Deployment",deployment_raw[[#This Row],[Column5]],1))*(1+$P$2)),"")</f>
        <v/>
      </c>
      <c r="Q453" s="167" t="str">
        <f>IF(ISNUMBER(deployment_raw[[#This Row],[Column13]]), (MIN(IF(O453&lt;&gt;"",O453,9999999999999)*1.1,deployment_raw[[#This Row],[Column13]] * IF($E$2="Deployment",deployment_raw[[#This Row],[Column5]],1)*(1+$Q$2)/1048576)),"")</f>
        <v/>
      </c>
      <c r="R453" s="169" t="str">
        <f>IF(ISNUMBER(deployment_raw[[#This Row],[Column8]]), (H453  * IF(N453&lt;&gt;0,$R$2,1)),"")</f>
        <v/>
      </c>
      <c r="S453" s="170" t="str">
        <f>IF(ISNUMBER(deployment_raw[[#This Row],[Column8]]), (I453  * IF(O453&lt;&gt;0,$S$2,1)),"")</f>
        <v/>
      </c>
      <c r="T453" s="202" t="str">
        <f>IF(AND(A453&lt;&gt;"",_xlfn.IFNA(MATCH(A453,'dynamic resource application '!$A$2:$A$100, 0),0)&lt;&gt;0), H453/(IF($E$2="Deployment",E453,1)),"")</f>
        <v/>
      </c>
      <c r="U453" s="211" t="str">
        <f>IF(AND(A453&lt;&gt;"",_xlfn.IFNA(MATCH(A453,'dynamic resource application '!$A$2:$A$100, 0),0)&lt;&gt;0), I453/(IF($E$2="Deployment",E453,1)),"")</f>
        <v/>
      </c>
    </row>
    <row r="454" spans="1:21" ht="15.75" customHeight="1" x14ac:dyDescent="0.25">
      <c r="A454" s="35" t="str">
        <f>IF(ISNONTEXT(deployment_raw[[#This Row],[Column1]]), "", deployment_raw[[#This Row],[Column1]])</f>
        <v/>
      </c>
      <c r="B454" s="36" t="str">
        <f>IF(ISNONTEXT(deployment_raw[[#This Row],[Column2]]), "", deployment_raw[[#This Row],[Column2]])</f>
        <v/>
      </c>
      <c r="C454" s="36" t="str">
        <f>IF(ISNONTEXT(deployment_raw[[#This Row],[Column3]]), "", deployment_raw[[#This Row],[Column3]])</f>
        <v/>
      </c>
      <c r="D454" s="36" t="str">
        <f>IF(ISNONTEXT(deployment_raw[[#This Row],[Column4]]), "", deployment_raw[[#This Row],[Column4]])</f>
        <v/>
      </c>
      <c r="E454" s="37" t="str">
        <f>IF(ISNUMBER(deployment_raw[[#This Row],[Column5]]), deployment_raw[[#This Row],[Column5]],"")</f>
        <v/>
      </c>
      <c r="F454" s="94" t="str">
        <f>IF(ISNUMBER(deployment_raw[[#This Row],[Column6]]), (deployment_raw[[#This Row],[Column6]] * IF($E$2="Deployment",deployment_raw[[#This Row],[Column5]],1)),"")</f>
        <v/>
      </c>
      <c r="G454" s="95" t="str">
        <f>IF(ISNUMBER(deployment_raw[[#This Row],[Column7]]), (deployment_raw[[#This Row],[Column7]] * IF($E$2="Deployment",deployment_raw[[#This Row],[Column5]],1))/1048576,"")</f>
        <v/>
      </c>
      <c r="H454" s="95" t="str">
        <f>IF(ISNUMBER(deployment_raw[[#This Row],[Column8]]), (deployment_raw[[#This Row],[Column8]]  * IF($E$2="Deployment",deployment_raw[[#This Row],[Column5]],1)),"")</f>
        <v/>
      </c>
      <c r="I454" s="96" t="str">
        <f>IF(ISNUMBER(deployment_raw[[#This Row],[Column9]]), (deployment_raw[[#This Row],[Column9]] * IF($E$2="Deployment",deployment_raw[[#This Row],[Column5]],1))/1048576,"")</f>
        <v/>
      </c>
      <c r="J454" s="122" t="str">
        <f>IF(ISNUMBER(deployment_raw[[#This Row],[Column10]]), (MIN(IF(N454&lt;&gt;"",N454,9999999999999)*1.1,deployment_raw[[#This Row],[Column10]] * IF($E$2="Deployment",deployment_raw[[#This Row],[Column5]],1))),"")</f>
        <v/>
      </c>
      <c r="K454" s="123" t="str">
        <f>IF(ISNUMBER(deployment_raw[[#This Row],[Column11]]), (MIN(IF(O454&lt;&gt;"",O454,9999999999999)*1.1,deployment_raw[[#This Row],[Column11]] * IF($E$2="Deployment",deployment_raw[[#This Row],[Column5]],1)/1048576)),"")</f>
        <v/>
      </c>
      <c r="L454" s="124" t="str">
        <f>IF(ISNUMBER(deployment_raw[[#This Row],[Column8]]),IF(OR(deployment_raw[[#This Row],[Column5]] &lt;&gt; 0,$E$2 &lt;&gt; "Deployment"), MAX(J454, P454, R454, ($L$2 * IF($E$2="Deployment",deployment_raw[[#This Row],[Column5]],1)),IF(T454&lt;&gt;"",VALUE(T454) * IF($E$2="Deployment",deployment_raw[[#This Row],[Column5]],1),0)), 0),"")</f>
        <v/>
      </c>
      <c r="M454" s="125" t="str">
        <f>IF(ISNUMBER(deployment_raw[[#This Row],[Column9]]),IF(OR(deployment_raw[[#This Row],[Column5]] &lt;&gt; 0,$E$2&lt;&gt;"Deployment"), MAX(K454, Q454, S454, ($M$2 * IF($E$2="Deployment",deployment_raw[[#This Row],[Column5]],1)),IF(U454&lt;&gt;"",VALUE(U454) * IF($E$2="Deployment",deployment_raw[[#This Row],[Column5]],1),0)), 0),"")</f>
        <v/>
      </c>
      <c r="N454" s="166" t="str">
        <f>IF(ISNUMBER(deployment_raw[[#This Row],[Column14]]), deployment_raw[[#This Row],[Column14]]/IF(OR($E$2="Deployment",deployment_raw[[#This Row],[Column5]]=0),1,deployment_raw[[#This Row],[Column5]]),"")</f>
        <v/>
      </c>
      <c r="O454" s="167" t="str">
        <f>IF(ISNUMBER(deployment_raw[[#This Row],[Column15]]), deployment_raw[[#This Row],[Column15]]/IF(OR($E$2="Deployment",deployment_raw[[#This Row],[Column5]]=0),1,deployment_raw[[#This Row],[Column5]])/1048576,"")</f>
        <v/>
      </c>
      <c r="P454" s="168" t="str">
        <f>IF(ISNUMBER(deployment_raw[[#This Row],[Column12]]), (MIN(IF(N454&lt;&gt;"",N454,9999999999999)*1.1,deployment_raw[[#This Row],[Column12]] * IF($E$2="Deployment",deployment_raw[[#This Row],[Column5]],1))*(1+$P$2)),"")</f>
        <v/>
      </c>
      <c r="Q454" s="167" t="str">
        <f>IF(ISNUMBER(deployment_raw[[#This Row],[Column13]]), (MIN(IF(O454&lt;&gt;"",O454,9999999999999)*1.1,deployment_raw[[#This Row],[Column13]] * IF($E$2="Deployment",deployment_raw[[#This Row],[Column5]],1)*(1+$Q$2)/1048576)),"")</f>
        <v/>
      </c>
      <c r="R454" s="169" t="str">
        <f>IF(ISNUMBER(deployment_raw[[#This Row],[Column8]]), (H454  * IF(N454&lt;&gt;0,$R$2,1)),"")</f>
        <v/>
      </c>
      <c r="S454" s="170" t="str">
        <f>IF(ISNUMBER(deployment_raw[[#This Row],[Column8]]), (I454  * IF(O454&lt;&gt;0,$S$2,1)),"")</f>
        <v/>
      </c>
      <c r="T454" s="202" t="str">
        <f>IF(AND(A454&lt;&gt;"",_xlfn.IFNA(MATCH(A454,'dynamic resource application '!$A$2:$A$100, 0),0)&lt;&gt;0), H454/(IF($E$2="Deployment",E454,1)),"")</f>
        <v/>
      </c>
      <c r="U454" s="211" t="str">
        <f>IF(AND(A454&lt;&gt;"",_xlfn.IFNA(MATCH(A454,'dynamic resource application '!$A$2:$A$100, 0),0)&lt;&gt;0), I454/(IF($E$2="Deployment",E454,1)),"")</f>
        <v/>
      </c>
    </row>
    <row r="455" spans="1:21" ht="15.75" customHeight="1" x14ac:dyDescent="0.25">
      <c r="A455" s="35" t="str">
        <f>IF(ISNONTEXT(deployment_raw[[#This Row],[Column1]]), "", deployment_raw[[#This Row],[Column1]])</f>
        <v/>
      </c>
      <c r="B455" s="36" t="str">
        <f>IF(ISNONTEXT(deployment_raw[[#This Row],[Column2]]), "", deployment_raw[[#This Row],[Column2]])</f>
        <v/>
      </c>
      <c r="C455" s="36" t="str">
        <f>IF(ISNONTEXT(deployment_raw[[#This Row],[Column3]]), "", deployment_raw[[#This Row],[Column3]])</f>
        <v/>
      </c>
      <c r="D455" s="36" t="str">
        <f>IF(ISNONTEXT(deployment_raw[[#This Row],[Column4]]), "", deployment_raw[[#This Row],[Column4]])</f>
        <v/>
      </c>
      <c r="E455" s="37" t="str">
        <f>IF(ISNUMBER(deployment_raw[[#This Row],[Column5]]), deployment_raw[[#This Row],[Column5]],"")</f>
        <v/>
      </c>
      <c r="F455" s="94" t="str">
        <f>IF(ISNUMBER(deployment_raw[[#This Row],[Column6]]), (deployment_raw[[#This Row],[Column6]] * IF($E$2="Deployment",deployment_raw[[#This Row],[Column5]],1)),"")</f>
        <v/>
      </c>
      <c r="G455" s="95" t="str">
        <f>IF(ISNUMBER(deployment_raw[[#This Row],[Column7]]), (deployment_raw[[#This Row],[Column7]] * IF($E$2="Deployment",deployment_raw[[#This Row],[Column5]],1))/1048576,"")</f>
        <v/>
      </c>
      <c r="H455" s="95" t="str">
        <f>IF(ISNUMBER(deployment_raw[[#This Row],[Column8]]), (deployment_raw[[#This Row],[Column8]]  * IF($E$2="Deployment",deployment_raw[[#This Row],[Column5]],1)),"")</f>
        <v/>
      </c>
      <c r="I455" s="96" t="str">
        <f>IF(ISNUMBER(deployment_raw[[#This Row],[Column9]]), (deployment_raw[[#This Row],[Column9]] * IF($E$2="Deployment",deployment_raw[[#This Row],[Column5]],1))/1048576,"")</f>
        <v/>
      </c>
      <c r="J455" s="122" t="str">
        <f>IF(ISNUMBER(deployment_raw[[#This Row],[Column10]]), (MIN(IF(N455&lt;&gt;"",N455,9999999999999)*1.1,deployment_raw[[#This Row],[Column10]] * IF($E$2="Deployment",deployment_raw[[#This Row],[Column5]],1))),"")</f>
        <v/>
      </c>
      <c r="K455" s="123" t="str">
        <f>IF(ISNUMBER(deployment_raw[[#This Row],[Column11]]), (MIN(IF(O455&lt;&gt;"",O455,9999999999999)*1.1,deployment_raw[[#This Row],[Column11]] * IF($E$2="Deployment",deployment_raw[[#This Row],[Column5]],1)/1048576)),"")</f>
        <v/>
      </c>
      <c r="L455" s="124" t="str">
        <f>IF(ISNUMBER(deployment_raw[[#This Row],[Column8]]),IF(OR(deployment_raw[[#This Row],[Column5]] &lt;&gt; 0,$E$2 &lt;&gt; "Deployment"), MAX(J455, P455, R455, ($L$2 * IF($E$2="Deployment",deployment_raw[[#This Row],[Column5]],1)),IF(T455&lt;&gt;"",VALUE(T455) * IF($E$2="Deployment",deployment_raw[[#This Row],[Column5]],1),0)), 0),"")</f>
        <v/>
      </c>
      <c r="M455" s="125" t="str">
        <f>IF(ISNUMBER(deployment_raw[[#This Row],[Column9]]),IF(OR(deployment_raw[[#This Row],[Column5]] &lt;&gt; 0,$E$2&lt;&gt;"Deployment"), MAX(K455, Q455, S455, ($M$2 * IF($E$2="Deployment",deployment_raw[[#This Row],[Column5]],1)),IF(U455&lt;&gt;"",VALUE(U455) * IF($E$2="Deployment",deployment_raw[[#This Row],[Column5]],1),0)), 0),"")</f>
        <v/>
      </c>
      <c r="N455" s="166" t="str">
        <f>IF(ISNUMBER(deployment_raw[[#This Row],[Column14]]), deployment_raw[[#This Row],[Column14]]/IF(OR($E$2="Deployment",deployment_raw[[#This Row],[Column5]]=0),1,deployment_raw[[#This Row],[Column5]]),"")</f>
        <v/>
      </c>
      <c r="O455" s="167" t="str">
        <f>IF(ISNUMBER(deployment_raw[[#This Row],[Column15]]), deployment_raw[[#This Row],[Column15]]/IF(OR($E$2="Deployment",deployment_raw[[#This Row],[Column5]]=0),1,deployment_raw[[#This Row],[Column5]])/1048576,"")</f>
        <v/>
      </c>
      <c r="P455" s="168" t="str">
        <f>IF(ISNUMBER(deployment_raw[[#This Row],[Column12]]), (MIN(IF(N455&lt;&gt;"",N455,9999999999999)*1.1,deployment_raw[[#This Row],[Column12]] * IF($E$2="Deployment",deployment_raw[[#This Row],[Column5]],1))*(1+$P$2)),"")</f>
        <v/>
      </c>
      <c r="Q455" s="167" t="str">
        <f>IF(ISNUMBER(deployment_raw[[#This Row],[Column13]]), (MIN(IF(O455&lt;&gt;"",O455,9999999999999)*1.1,deployment_raw[[#This Row],[Column13]] * IF($E$2="Deployment",deployment_raw[[#This Row],[Column5]],1)*(1+$Q$2)/1048576)),"")</f>
        <v/>
      </c>
      <c r="R455" s="169" t="str">
        <f>IF(ISNUMBER(deployment_raw[[#This Row],[Column8]]), (H455  * IF(N455&lt;&gt;0,$R$2,1)),"")</f>
        <v/>
      </c>
      <c r="S455" s="170" t="str">
        <f>IF(ISNUMBER(deployment_raw[[#This Row],[Column8]]), (I455  * IF(O455&lt;&gt;0,$S$2,1)),"")</f>
        <v/>
      </c>
      <c r="T455" s="202" t="str">
        <f>IF(AND(A455&lt;&gt;"",_xlfn.IFNA(MATCH(A455,'dynamic resource application '!$A$2:$A$100, 0),0)&lt;&gt;0), H455/(IF($E$2="Deployment",E455,1)),"")</f>
        <v/>
      </c>
      <c r="U455" s="211" t="str">
        <f>IF(AND(A455&lt;&gt;"",_xlfn.IFNA(MATCH(A455,'dynamic resource application '!$A$2:$A$100, 0),0)&lt;&gt;0), I455/(IF($E$2="Deployment",E455,1)),"")</f>
        <v/>
      </c>
    </row>
    <row r="456" spans="1:21" ht="15.75" customHeight="1" x14ac:dyDescent="0.25">
      <c r="A456" s="35" t="str">
        <f>IF(ISNONTEXT(deployment_raw[[#This Row],[Column1]]), "", deployment_raw[[#This Row],[Column1]])</f>
        <v/>
      </c>
      <c r="B456" s="36" t="str">
        <f>IF(ISNONTEXT(deployment_raw[[#This Row],[Column2]]), "", deployment_raw[[#This Row],[Column2]])</f>
        <v/>
      </c>
      <c r="C456" s="36" t="str">
        <f>IF(ISNONTEXT(deployment_raw[[#This Row],[Column3]]), "", deployment_raw[[#This Row],[Column3]])</f>
        <v/>
      </c>
      <c r="D456" s="36" t="str">
        <f>IF(ISNONTEXT(deployment_raw[[#This Row],[Column4]]), "", deployment_raw[[#This Row],[Column4]])</f>
        <v/>
      </c>
      <c r="E456" s="37" t="str">
        <f>IF(ISNUMBER(deployment_raw[[#This Row],[Column5]]), deployment_raw[[#This Row],[Column5]],"")</f>
        <v/>
      </c>
      <c r="F456" s="94" t="str">
        <f>IF(ISNUMBER(deployment_raw[[#This Row],[Column6]]), (deployment_raw[[#This Row],[Column6]] * IF($E$2="Deployment",deployment_raw[[#This Row],[Column5]],1)),"")</f>
        <v/>
      </c>
      <c r="G456" s="95" t="str">
        <f>IF(ISNUMBER(deployment_raw[[#This Row],[Column7]]), (deployment_raw[[#This Row],[Column7]] * IF($E$2="Deployment",deployment_raw[[#This Row],[Column5]],1))/1048576,"")</f>
        <v/>
      </c>
      <c r="H456" s="95" t="str">
        <f>IF(ISNUMBER(deployment_raw[[#This Row],[Column8]]), (deployment_raw[[#This Row],[Column8]]  * IF($E$2="Deployment",deployment_raw[[#This Row],[Column5]],1)),"")</f>
        <v/>
      </c>
      <c r="I456" s="96" t="str">
        <f>IF(ISNUMBER(deployment_raw[[#This Row],[Column9]]), (deployment_raw[[#This Row],[Column9]] * IF($E$2="Deployment",deployment_raw[[#This Row],[Column5]],1))/1048576,"")</f>
        <v/>
      </c>
      <c r="J456" s="122" t="str">
        <f>IF(ISNUMBER(deployment_raw[[#This Row],[Column10]]), (MIN(IF(N456&lt;&gt;"",N456,9999999999999)*1.1,deployment_raw[[#This Row],[Column10]] * IF($E$2="Deployment",deployment_raw[[#This Row],[Column5]],1))),"")</f>
        <v/>
      </c>
      <c r="K456" s="123" t="str">
        <f>IF(ISNUMBER(deployment_raw[[#This Row],[Column11]]), (MIN(IF(O456&lt;&gt;"",O456,9999999999999)*1.1,deployment_raw[[#This Row],[Column11]] * IF($E$2="Deployment",deployment_raw[[#This Row],[Column5]],1)/1048576)),"")</f>
        <v/>
      </c>
      <c r="L456" s="124" t="str">
        <f>IF(ISNUMBER(deployment_raw[[#This Row],[Column8]]),IF(OR(deployment_raw[[#This Row],[Column5]] &lt;&gt; 0,$E$2 &lt;&gt; "Deployment"), MAX(J456, P456, R456, ($L$2 * IF($E$2="Deployment",deployment_raw[[#This Row],[Column5]],1)),IF(T456&lt;&gt;"",VALUE(T456) * IF($E$2="Deployment",deployment_raw[[#This Row],[Column5]],1),0)), 0),"")</f>
        <v/>
      </c>
      <c r="M456" s="125" t="str">
        <f>IF(ISNUMBER(deployment_raw[[#This Row],[Column9]]),IF(OR(deployment_raw[[#This Row],[Column5]] &lt;&gt; 0,$E$2&lt;&gt;"Deployment"), MAX(K456, Q456, S456, ($M$2 * IF($E$2="Deployment",deployment_raw[[#This Row],[Column5]],1)),IF(U456&lt;&gt;"",VALUE(U456) * IF($E$2="Deployment",deployment_raw[[#This Row],[Column5]],1),0)), 0),"")</f>
        <v/>
      </c>
      <c r="N456" s="166" t="str">
        <f>IF(ISNUMBER(deployment_raw[[#This Row],[Column14]]), deployment_raw[[#This Row],[Column14]]/IF(OR($E$2="Deployment",deployment_raw[[#This Row],[Column5]]=0),1,deployment_raw[[#This Row],[Column5]]),"")</f>
        <v/>
      </c>
      <c r="O456" s="167" t="str">
        <f>IF(ISNUMBER(deployment_raw[[#This Row],[Column15]]), deployment_raw[[#This Row],[Column15]]/IF(OR($E$2="Deployment",deployment_raw[[#This Row],[Column5]]=0),1,deployment_raw[[#This Row],[Column5]])/1048576,"")</f>
        <v/>
      </c>
      <c r="P456" s="168" t="str">
        <f>IF(ISNUMBER(deployment_raw[[#This Row],[Column12]]), (MIN(IF(N456&lt;&gt;"",N456,9999999999999)*1.1,deployment_raw[[#This Row],[Column12]] * IF($E$2="Deployment",deployment_raw[[#This Row],[Column5]],1))*(1+$P$2)),"")</f>
        <v/>
      </c>
      <c r="Q456" s="167" t="str">
        <f>IF(ISNUMBER(deployment_raw[[#This Row],[Column13]]), (MIN(IF(O456&lt;&gt;"",O456,9999999999999)*1.1,deployment_raw[[#This Row],[Column13]] * IF($E$2="Deployment",deployment_raw[[#This Row],[Column5]],1)*(1+$Q$2)/1048576)),"")</f>
        <v/>
      </c>
      <c r="R456" s="169" t="str">
        <f>IF(ISNUMBER(deployment_raw[[#This Row],[Column8]]), (H456  * IF(N456&lt;&gt;0,$R$2,1)),"")</f>
        <v/>
      </c>
      <c r="S456" s="170" t="str">
        <f>IF(ISNUMBER(deployment_raw[[#This Row],[Column8]]), (I456  * IF(O456&lt;&gt;0,$S$2,1)),"")</f>
        <v/>
      </c>
      <c r="T456" s="202" t="str">
        <f>IF(AND(A456&lt;&gt;"",_xlfn.IFNA(MATCH(A456,'dynamic resource application '!$A$2:$A$100, 0),0)&lt;&gt;0), H456/(IF($E$2="Deployment",E456,1)),"")</f>
        <v/>
      </c>
      <c r="U456" s="211" t="str">
        <f>IF(AND(A456&lt;&gt;"",_xlfn.IFNA(MATCH(A456,'dynamic resource application '!$A$2:$A$100, 0),0)&lt;&gt;0), I456/(IF($E$2="Deployment",E456,1)),"")</f>
        <v/>
      </c>
    </row>
    <row r="457" spans="1:21" ht="15.75" customHeight="1" x14ac:dyDescent="0.25">
      <c r="A457" s="35" t="str">
        <f>IF(ISNONTEXT(deployment_raw[[#This Row],[Column1]]), "", deployment_raw[[#This Row],[Column1]])</f>
        <v/>
      </c>
      <c r="B457" s="36" t="str">
        <f>IF(ISNONTEXT(deployment_raw[[#This Row],[Column2]]), "", deployment_raw[[#This Row],[Column2]])</f>
        <v/>
      </c>
      <c r="C457" s="36" t="str">
        <f>IF(ISNONTEXT(deployment_raw[[#This Row],[Column3]]), "", deployment_raw[[#This Row],[Column3]])</f>
        <v/>
      </c>
      <c r="D457" s="36" t="str">
        <f>IF(ISNONTEXT(deployment_raw[[#This Row],[Column4]]), "", deployment_raw[[#This Row],[Column4]])</f>
        <v/>
      </c>
      <c r="E457" s="37" t="str">
        <f>IF(ISNUMBER(deployment_raw[[#This Row],[Column5]]), deployment_raw[[#This Row],[Column5]],"")</f>
        <v/>
      </c>
      <c r="F457" s="94" t="str">
        <f>IF(ISNUMBER(deployment_raw[[#This Row],[Column6]]), (deployment_raw[[#This Row],[Column6]] * IF($E$2="Deployment",deployment_raw[[#This Row],[Column5]],1)),"")</f>
        <v/>
      </c>
      <c r="G457" s="95" t="str">
        <f>IF(ISNUMBER(deployment_raw[[#This Row],[Column7]]), (deployment_raw[[#This Row],[Column7]] * IF($E$2="Deployment",deployment_raw[[#This Row],[Column5]],1))/1048576,"")</f>
        <v/>
      </c>
      <c r="H457" s="95" t="str">
        <f>IF(ISNUMBER(deployment_raw[[#This Row],[Column8]]), (deployment_raw[[#This Row],[Column8]]  * IF($E$2="Deployment",deployment_raw[[#This Row],[Column5]],1)),"")</f>
        <v/>
      </c>
      <c r="I457" s="96" t="str">
        <f>IF(ISNUMBER(deployment_raw[[#This Row],[Column9]]), (deployment_raw[[#This Row],[Column9]] * IF($E$2="Deployment",deployment_raw[[#This Row],[Column5]],1))/1048576,"")</f>
        <v/>
      </c>
      <c r="J457" s="122" t="str">
        <f>IF(ISNUMBER(deployment_raw[[#This Row],[Column10]]), (MIN(IF(N457&lt;&gt;"",N457,9999999999999)*1.1,deployment_raw[[#This Row],[Column10]] * IF($E$2="Deployment",deployment_raw[[#This Row],[Column5]],1))),"")</f>
        <v/>
      </c>
      <c r="K457" s="123" t="str">
        <f>IF(ISNUMBER(deployment_raw[[#This Row],[Column11]]), (MIN(IF(O457&lt;&gt;"",O457,9999999999999)*1.1,deployment_raw[[#This Row],[Column11]] * IF($E$2="Deployment",deployment_raw[[#This Row],[Column5]],1)/1048576)),"")</f>
        <v/>
      </c>
      <c r="L457" s="124" t="str">
        <f>IF(ISNUMBER(deployment_raw[[#This Row],[Column8]]),IF(OR(deployment_raw[[#This Row],[Column5]] &lt;&gt; 0,$E$2 &lt;&gt; "Deployment"), MAX(J457, P457, R457, ($L$2 * IF($E$2="Deployment",deployment_raw[[#This Row],[Column5]],1)),IF(T457&lt;&gt;"",VALUE(T457) * IF($E$2="Deployment",deployment_raw[[#This Row],[Column5]],1),0)), 0),"")</f>
        <v/>
      </c>
      <c r="M457" s="125" t="str">
        <f>IF(ISNUMBER(deployment_raw[[#This Row],[Column9]]),IF(OR(deployment_raw[[#This Row],[Column5]] &lt;&gt; 0,$E$2&lt;&gt;"Deployment"), MAX(K457, Q457, S457, ($M$2 * IF($E$2="Deployment",deployment_raw[[#This Row],[Column5]],1)),IF(U457&lt;&gt;"",VALUE(U457) * IF($E$2="Deployment",deployment_raw[[#This Row],[Column5]],1),0)), 0),"")</f>
        <v/>
      </c>
      <c r="N457" s="166" t="str">
        <f>IF(ISNUMBER(deployment_raw[[#This Row],[Column14]]), deployment_raw[[#This Row],[Column14]]/IF(OR($E$2="Deployment",deployment_raw[[#This Row],[Column5]]=0),1,deployment_raw[[#This Row],[Column5]]),"")</f>
        <v/>
      </c>
      <c r="O457" s="167" t="str">
        <f>IF(ISNUMBER(deployment_raw[[#This Row],[Column15]]), deployment_raw[[#This Row],[Column15]]/IF(OR($E$2="Deployment",deployment_raw[[#This Row],[Column5]]=0),1,deployment_raw[[#This Row],[Column5]])/1048576,"")</f>
        <v/>
      </c>
      <c r="P457" s="168" t="str">
        <f>IF(ISNUMBER(deployment_raw[[#This Row],[Column12]]), (MIN(IF(N457&lt;&gt;"",N457,9999999999999)*1.1,deployment_raw[[#This Row],[Column12]] * IF($E$2="Deployment",deployment_raw[[#This Row],[Column5]],1))*(1+$P$2)),"")</f>
        <v/>
      </c>
      <c r="Q457" s="167" t="str">
        <f>IF(ISNUMBER(deployment_raw[[#This Row],[Column13]]), (MIN(IF(O457&lt;&gt;"",O457,9999999999999)*1.1,deployment_raw[[#This Row],[Column13]] * IF($E$2="Deployment",deployment_raw[[#This Row],[Column5]],1)*(1+$Q$2)/1048576)),"")</f>
        <v/>
      </c>
      <c r="R457" s="169" t="str">
        <f>IF(ISNUMBER(deployment_raw[[#This Row],[Column8]]), (H457  * IF(N457&lt;&gt;0,$R$2,1)),"")</f>
        <v/>
      </c>
      <c r="S457" s="170" t="str">
        <f>IF(ISNUMBER(deployment_raw[[#This Row],[Column8]]), (I457  * IF(O457&lt;&gt;0,$S$2,1)),"")</f>
        <v/>
      </c>
      <c r="T457" s="202" t="str">
        <f>IF(AND(A457&lt;&gt;"",_xlfn.IFNA(MATCH(A457,'dynamic resource application '!$A$2:$A$100, 0),0)&lt;&gt;0), H457/(IF($E$2="Deployment",E457,1)),"")</f>
        <v/>
      </c>
      <c r="U457" s="211" t="str">
        <f>IF(AND(A457&lt;&gt;"",_xlfn.IFNA(MATCH(A457,'dynamic resource application '!$A$2:$A$100, 0),0)&lt;&gt;0), I457/(IF($E$2="Deployment",E457,1)),"")</f>
        <v/>
      </c>
    </row>
    <row r="458" spans="1:21" ht="15.75" customHeight="1" x14ac:dyDescent="0.25">
      <c r="A458" s="35" t="str">
        <f>IF(ISNONTEXT(deployment_raw[[#This Row],[Column1]]), "", deployment_raw[[#This Row],[Column1]])</f>
        <v/>
      </c>
      <c r="B458" s="36" t="str">
        <f>IF(ISNONTEXT(deployment_raw[[#This Row],[Column2]]), "", deployment_raw[[#This Row],[Column2]])</f>
        <v/>
      </c>
      <c r="C458" s="36" t="str">
        <f>IF(ISNONTEXT(deployment_raw[[#This Row],[Column3]]), "", deployment_raw[[#This Row],[Column3]])</f>
        <v/>
      </c>
      <c r="D458" s="36" t="str">
        <f>IF(ISNONTEXT(deployment_raw[[#This Row],[Column4]]), "", deployment_raw[[#This Row],[Column4]])</f>
        <v/>
      </c>
      <c r="E458" s="37" t="str">
        <f>IF(ISNUMBER(deployment_raw[[#This Row],[Column5]]), deployment_raw[[#This Row],[Column5]],"")</f>
        <v/>
      </c>
      <c r="F458" s="94" t="str">
        <f>IF(ISNUMBER(deployment_raw[[#This Row],[Column6]]), (deployment_raw[[#This Row],[Column6]] * IF($E$2="Deployment",deployment_raw[[#This Row],[Column5]],1)),"")</f>
        <v/>
      </c>
      <c r="G458" s="95" t="str">
        <f>IF(ISNUMBER(deployment_raw[[#This Row],[Column7]]), (deployment_raw[[#This Row],[Column7]] * IF($E$2="Deployment",deployment_raw[[#This Row],[Column5]],1))/1048576,"")</f>
        <v/>
      </c>
      <c r="H458" s="95" t="str">
        <f>IF(ISNUMBER(deployment_raw[[#This Row],[Column8]]), (deployment_raw[[#This Row],[Column8]]  * IF($E$2="Deployment",deployment_raw[[#This Row],[Column5]],1)),"")</f>
        <v/>
      </c>
      <c r="I458" s="96" t="str">
        <f>IF(ISNUMBER(deployment_raw[[#This Row],[Column9]]), (deployment_raw[[#This Row],[Column9]] * IF($E$2="Deployment",deployment_raw[[#This Row],[Column5]],1))/1048576,"")</f>
        <v/>
      </c>
      <c r="J458" s="122" t="str">
        <f>IF(ISNUMBER(deployment_raw[[#This Row],[Column10]]), (MIN(IF(N458&lt;&gt;"",N458,9999999999999)*1.1,deployment_raw[[#This Row],[Column10]] * IF($E$2="Deployment",deployment_raw[[#This Row],[Column5]],1))),"")</f>
        <v/>
      </c>
      <c r="K458" s="123" t="str">
        <f>IF(ISNUMBER(deployment_raw[[#This Row],[Column11]]), (MIN(IF(O458&lt;&gt;"",O458,9999999999999)*1.1,deployment_raw[[#This Row],[Column11]] * IF($E$2="Deployment",deployment_raw[[#This Row],[Column5]],1)/1048576)),"")</f>
        <v/>
      </c>
      <c r="L458" s="124" t="str">
        <f>IF(ISNUMBER(deployment_raw[[#This Row],[Column8]]),IF(OR(deployment_raw[[#This Row],[Column5]] &lt;&gt; 0,$E$2 &lt;&gt; "Deployment"), MAX(J458, P458, R458, ($L$2 * IF($E$2="Deployment",deployment_raw[[#This Row],[Column5]],1)),IF(T458&lt;&gt;"",VALUE(T458) * IF($E$2="Deployment",deployment_raw[[#This Row],[Column5]],1),0)), 0),"")</f>
        <v/>
      </c>
      <c r="M458" s="125" t="str">
        <f>IF(ISNUMBER(deployment_raw[[#This Row],[Column9]]),IF(OR(deployment_raw[[#This Row],[Column5]] &lt;&gt; 0,$E$2&lt;&gt;"Deployment"), MAX(K458, Q458, S458, ($M$2 * IF($E$2="Deployment",deployment_raw[[#This Row],[Column5]],1)),IF(U458&lt;&gt;"",VALUE(U458) * IF($E$2="Deployment",deployment_raw[[#This Row],[Column5]],1),0)), 0),"")</f>
        <v/>
      </c>
      <c r="N458" s="166" t="str">
        <f>IF(ISNUMBER(deployment_raw[[#This Row],[Column14]]), deployment_raw[[#This Row],[Column14]]/IF(OR($E$2="Deployment",deployment_raw[[#This Row],[Column5]]=0),1,deployment_raw[[#This Row],[Column5]]),"")</f>
        <v/>
      </c>
      <c r="O458" s="167" t="str">
        <f>IF(ISNUMBER(deployment_raw[[#This Row],[Column15]]), deployment_raw[[#This Row],[Column15]]/IF(OR($E$2="Deployment",deployment_raw[[#This Row],[Column5]]=0),1,deployment_raw[[#This Row],[Column5]])/1048576,"")</f>
        <v/>
      </c>
      <c r="P458" s="168" t="str">
        <f>IF(ISNUMBER(deployment_raw[[#This Row],[Column12]]), (MIN(IF(N458&lt;&gt;"",N458,9999999999999)*1.1,deployment_raw[[#This Row],[Column12]] * IF($E$2="Deployment",deployment_raw[[#This Row],[Column5]],1))*(1+$P$2)),"")</f>
        <v/>
      </c>
      <c r="Q458" s="167" t="str">
        <f>IF(ISNUMBER(deployment_raw[[#This Row],[Column13]]), (MIN(IF(O458&lt;&gt;"",O458,9999999999999)*1.1,deployment_raw[[#This Row],[Column13]] * IF($E$2="Deployment",deployment_raw[[#This Row],[Column5]],1)*(1+$Q$2)/1048576)),"")</f>
        <v/>
      </c>
      <c r="R458" s="169" t="str">
        <f>IF(ISNUMBER(deployment_raw[[#This Row],[Column8]]), (H458  * IF(N458&lt;&gt;0,$R$2,1)),"")</f>
        <v/>
      </c>
      <c r="S458" s="170" t="str">
        <f>IF(ISNUMBER(deployment_raw[[#This Row],[Column8]]), (I458  * IF(O458&lt;&gt;0,$S$2,1)),"")</f>
        <v/>
      </c>
      <c r="T458" s="202" t="str">
        <f>IF(AND(A458&lt;&gt;"",_xlfn.IFNA(MATCH(A458,'dynamic resource application '!$A$2:$A$100, 0),0)&lt;&gt;0), H458/(IF($E$2="Deployment",E458,1)),"")</f>
        <v/>
      </c>
      <c r="U458" s="211" t="str">
        <f>IF(AND(A458&lt;&gt;"",_xlfn.IFNA(MATCH(A458,'dynamic resource application '!$A$2:$A$100, 0),0)&lt;&gt;0), I458/(IF($E$2="Deployment",E458,1)),"")</f>
        <v/>
      </c>
    </row>
    <row r="459" spans="1:21" ht="15.75" customHeight="1" x14ac:dyDescent="0.25">
      <c r="A459" s="35" t="str">
        <f>IF(ISNONTEXT(deployment_raw[[#This Row],[Column1]]), "", deployment_raw[[#This Row],[Column1]])</f>
        <v/>
      </c>
      <c r="B459" s="36" t="str">
        <f>IF(ISNONTEXT(deployment_raw[[#This Row],[Column2]]), "", deployment_raw[[#This Row],[Column2]])</f>
        <v/>
      </c>
      <c r="C459" s="36" t="str">
        <f>IF(ISNONTEXT(deployment_raw[[#This Row],[Column3]]), "", deployment_raw[[#This Row],[Column3]])</f>
        <v/>
      </c>
      <c r="D459" s="36" t="str">
        <f>IF(ISNONTEXT(deployment_raw[[#This Row],[Column4]]), "", deployment_raw[[#This Row],[Column4]])</f>
        <v/>
      </c>
      <c r="E459" s="37" t="str">
        <f>IF(ISNUMBER(deployment_raw[[#This Row],[Column5]]), deployment_raw[[#This Row],[Column5]],"")</f>
        <v/>
      </c>
      <c r="F459" s="94" t="str">
        <f>IF(ISNUMBER(deployment_raw[[#This Row],[Column6]]), (deployment_raw[[#This Row],[Column6]] * IF($E$2="Deployment",deployment_raw[[#This Row],[Column5]],1)),"")</f>
        <v/>
      </c>
      <c r="G459" s="95" t="str">
        <f>IF(ISNUMBER(deployment_raw[[#This Row],[Column7]]), (deployment_raw[[#This Row],[Column7]] * IF($E$2="Deployment",deployment_raw[[#This Row],[Column5]],1))/1048576,"")</f>
        <v/>
      </c>
      <c r="H459" s="95" t="str">
        <f>IF(ISNUMBER(deployment_raw[[#This Row],[Column8]]), (deployment_raw[[#This Row],[Column8]]  * IF($E$2="Deployment",deployment_raw[[#This Row],[Column5]],1)),"")</f>
        <v/>
      </c>
      <c r="I459" s="96" t="str">
        <f>IF(ISNUMBER(deployment_raw[[#This Row],[Column9]]), (deployment_raw[[#This Row],[Column9]] * IF($E$2="Deployment",deployment_raw[[#This Row],[Column5]],1))/1048576,"")</f>
        <v/>
      </c>
      <c r="J459" s="122" t="str">
        <f>IF(ISNUMBER(deployment_raw[[#This Row],[Column10]]), (MIN(IF(N459&lt;&gt;"",N459,9999999999999)*1.1,deployment_raw[[#This Row],[Column10]] * IF($E$2="Deployment",deployment_raw[[#This Row],[Column5]],1))),"")</f>
        <v/>
      </c>
      <c r="K459" s="123" t="str">
        <f>IF(ISNUMBER(deployment_raw[[#This Row],[Column11]]), (MIN(IF(O459&lt;&gt;"",O459,9999999999999)*1.1,deployment_raw[[#This Row],[Column11]] * IF($E$2="Deployment",deployment_raw[[#This Row],[Column5]],1)/1048576)),"")</f>
        <v/>
      </c>
      <c r="L459" s="124" t="str">
        <f>IF(ISNUMBER(deployment_raw[[#This Row],[Column8]]),IF(OR(deployment_raw[[#This Row],[Column5]] &lt;&gt; 0,$E$2 &lt;&gt; "Deployment"), MAX(J459, P459, R459, ($L$2 * IF($E$2="Deployment",deployment_raw[[#This Row],[Column5]],1)),IF(T459&lt;&gt;"",VALUE(T459) * IF($E$2="Deployment",deployment_raw[[#This Row],[Column5]],1),0)), 0),"")</f>
        <v/>
      </c>
      <c r="M459" s="125" t="str">
        <f>IF(ISNUMBER(deployment_raw[[#This Row],[Column9]]),IF(OR(deployment_raw[[#This Row],[Column5]] &lt;&gt; 0,$E$2&lt;&gt;"Deployment"), MAX(K459, Q459, S459, ($M$2 * IF($E$2="Deployment",deployment_raw[[#This Row],[Column5]],1)),IF(U459&lt;&gt;"",VALUE(U459) * IF($E$2="Deployment",deployment_raw[[#This Row],[Column5]],1),0)), 0),"")</f>
        <v/>
      </c>
      <c r="N459" s="166" t="str">
        <f>IF(ISNUMBER(deployment_raw[[#This Row],[Column14]]), deployment_raw[[#This Row],[Column14]]/IF(OR($E$2="Deployment",deployment_raw[[#This Row],[Column5]]=0),1,deployment_raw[[#This Row],[Column5]]),"")</f>
        <v/>
      </c>
      <c r="O459" s="167" t="str">
        <f>IF(ISNUMBER(deployment_raw[[#This Row],[Column15]]), deployment_raw[[#This Row],[Column15]]/IF(OR($E$2="Deployment",deployment_raw[[#This Row],[Column5]]=0),1,deployment_raw[[#This Row],[Column5]])/1048576,"")</f>
        <v/>
      </c>
      <c r="P459" s="168" t="str">
        <f>IF(ISNUMBER(deployment_raw[[#This Row],[Column12]]), (MIN(IF(N459&lt;&gt;"",N459,9999999999999)*1.1,deployment_raw[[#This Row],[Column12]] * IF($E$2="Deployment",deployment_raw[[#This Row],[Column5]],1))*(1+$P$2)),"")</f>
        <v/>
      </c>
      <c r="Q459" s="167" t="str">
        <f>IF(ISNUMBER(deployment_raw[[#This Row],[Column13]]), (MIN(IF(O459&lt;&gt;"",O459,9999999999999)*1.1,deployment_raw[[#This Row],[Column13]] * IF($E$2="Deployment",deployment_raw[[#This Row],[Column5]],1)*(1+$Q$2)/1048576)),"")</f>
        <v/>
      </c>
      <c r="R459" s="169" t="str">
        <f>IF(ISNUMBER(deployment_raw[[#This Row],[Column8]]), (H459  * IF(N459&lt;&gt;0,$R$2,1)),"")</f>
        <v/>
      </c>
      <c r="S459" s="170" t="str">
        <f>IF(ISNUMBER(deployment_raw[[#This Row],[Column8]]), (I459  * IF(O459&lt;&gt;0,$S$2,1)),"")</f>
        <v/>
      </c>
      <c r="T459" s="202" t="str">
        <f>IF(AND(A459&lt;&gt;"",_xlfn.IFNA(MATCH(A459,'dynamic resource application '!$A$2:$A$100, 0),0)&lt;&gt;0), H459/(IF($E$2="Deployment",E459,1)),"")</f>
        <v/>
      </c>
      <c r="U459" s="211" t="str">
        <f>IF(AND(A459&lt;&gt;"",_xlfn.IFNA(MATCH(A459,'dynamic resource application '!$A$2:$A$100, 0),0)&lt;&gt;0), I459/(IF($E$2="Deployment",E459,1)),"")</f>
        <v/>
      </c>
    </row>
    <row r="460" spans="1:21" ht="15.75" customHeight="1" x14ac:dyDescent="0.25">
      <c r="A460" s="35" t="str">
        <f>IF(ISNONTEXT(deployment_raw[[#This Row],[Column1]]), "", deployment_raw[[#This Row],[Column1]])</f>
        <v/>
      </c>
      <c r="B460" s="36" t="str">
        <f>IF(ISNONTEXT(deployment_raw[[#This Row],[Column2]]), "", deployment_raw[[#This Row],[Column2]])</f>
        <v/>
      </c>
      <c r="C460" s="36" t="str">
        <f>IF(ISNONTEXT(deployment_raw[[#This Row],[Column3]]), "", deployment_raw[[#This Row],[Column3]])</f>
        <v/>
      </c>
      <c r="D460" s="36" t="str">
        <f>IF(ISNONTEXT(deployment_raw[[#This Row],[Column4]]), "", deployment_raw[[#This Row],[Column4]])</f>
        <v/>
      </c>
      <c r="E460" s="37" t="str">
        <f>IF(ISNUMBER(deployment_raw[[#This Row],[Column5]]), deployment_raw[[#This Row],[Column5]],"")</f>
        <v/>
      </c>
      <c r="F460" s="94" t="str">
        <f>IF(ISNUMBER(deployment_raw[[#This Row],[Column6]]), (deployment_raw[[#This Row],[Column6]] * IF($E$2="Deployment",deployment_raw[[#This Row],[Column5]],1)),"")</f>
        <v/>
      </c>
      <c r="G460" s="95" t="str">
        <f>IF(ISNUMBER(deployment_raw[[#This Row],[Column7]]), (deployment_raw[[#This Row],[Column7]] * IF($E$2="Deployment",deployment_raw[[#This Row],[Column5]],1))/1048576,"")</f>
        <v/>
      </c>
      <c r="H460" s="95" t="str">
        <f>IF(ISNUMBER(deployment_raw[[#This Row],[Column8]]), (deployment_raw[[#This Row],[Column8]]  * IF($E$2="Deployment",deployment_raw[[#This Row],[Column5]],1)),"")</f>
        <v/>
      </c>
      <c r="I460" s="96" t="str">
        <f>IF(ISNUMBER(deployment_raw[[#This Row],[Column9]]), (deployment_raw[[#This Row],[Column9]] * IF($E$2="Deployment",deployment_raw[[#This Row],[Column5]],1))/1048576,"")</f>
        <v/>
      </c>
      <c r="J460" s="122" t="str">
        <f>IF(ISNUMBER(deployment_raw[[#This Row],[Column10]]), (MIN(IF(N460&lt;&gt;"",N460,9999999999999)*1.1,deployment_raw[[#This Row],[Column10]] * IF($E$2="Deployment",deployment_raw[[#This Row],[Column5]],1))),"")</f>
        <v/>
      </c>
      <c r="K460" s="123" t="str">
        <f>IF(ISNUMBER(deployment_raw[[#This Row],[Column11]]), (MIN(IF(O460&lt;&gt;"",O460,9999999999999)*1.1,deployment_raw[[#This Row],[Column11]] * IF($E$2="Deployment",deployment_raw[[#This Row],[Column5]],1)/1048576)),"")</f>
        <v/>
      </c>
      <c r="L460" s="124" t="str">
        <f>IF(ISNUMBER(deployment_raw[[#This Row],[Column8]]),IF(OR(deployment_raw[[#This Row],[Column5]] &lt;&gt; 0,$E$2 &lt;&gt; "Deployment"), MAX(J460, P460, R460, ($L$2 * IF($E$2="Deployment",deployment_raw[[#This Row],[Column5]],1)),IF(T460&lt;&gt;"",VALUE(T460) * IF($E$2="Deployment",deployment_raw[[#This Row],[Column5]],1),0)), 0),"")</f>
        <v/>
      </c>
      <c r="M460" s="125" t="str">
        <f>IF(ISNUMBER(deployment_raw[[#This Row],[Column9]]),IF(OR(deployment_raw[[#This Row],[Column5]] &lt;&gt; 0,$E$2&lt;&gt;"Deployment"), MAX(K460, Q460, S460, ($M$2 * IF($E$2="Deployment",deployment_raw[[#This Row],[Column5]],1)),IF(U460&lt;&gt;"",VALUE(U460) * IF($E$2="Deployment",deployment_raw[[#This Row],[Column5]],1),0)), 0),"")</f>
        <v/>
      </c>
      <c r="N460" s="166" t="str">
        <f>IF(ISNUMBER(deployment_raw[[#This Row],[Column14]]), deployment_raw[[#This Row],[Column14]]/IF(OR($E$2="Deployment",deployment_raw[[#This Row],[Column5]]=0),1,deployment_raw[[#This Row],[Column5]]),"")</f>
        <v/>
      </c>
      <c r="O460" s="167" t="str">
        <f>IF(ISNUMBER(deployment_raw[[#This Row],[Column15]]), deployment_raw[[#This Row],[Column15]]/IF(OR($E$2="Deployment",deployment_raw[[#This Row],[Column5]]=0),1,deployment_raw[[#This Row],[Column5]])/1048576,"")</f>
        <v/>
      </c>
      <c r="P460" s="168" t="str">
        <f>IF(ISNUMBER(deployment_raw[[#This Row],[Column12]]), (MIN(IF(N460&lt;&gt;"",N460,9999999999999)*1.1,deployment_raw[[#This Row],[Column12]] * IF($E$2="Deployment",deployment_raw[[#This Row],[Column5]],1))*(1+$P$2)),"")</f>
        <v/>
      </c>
      <c r="Q460" s="167" t="str">
        <f>IF(ISNUMBER(deployment_raw[[#This Row],[Column13]]), (MIN(IF(O460&lt;&gt;"",O460,9999999999999)*1.1,deployment_raw[[#This Row],[Column13]] * IF($E$2="Deployment",deployment_raw[[#This Row],[Column5]],1)*(1+$Q$2)/1048576)),"")</f>
        <v/>
      </c>
      <c r="R460" s="169" t="str">
        <f>IF(ISNUMBER(deployment_raw[[#This Row],[Column8]]), (H460  * IF(N460&lt;&gt;0,$R$2,1)),"")</f>
        <v/>
      </c>
      <c r="S460" s="170" t="str">
        <f>IF(ISNUMBER(deployment_raw[[#This Row],[Column8]]), (I460  * IF(O460&lt;&gt;0,$S$2,1)),"")</f>
        <v/>
      </c>
      <c r="T460" s="202" t="str">
        <f>IF(AND(A460&lt;&gt;"",_xlfn.IFNA(MATCH(A460,'dynamic resource application '!$A$2:$A$100, 0),0)&lt;&gt;0), H460/(IF($E$2="Deployment",E460,1)),"")</f>
        <v/>
      </c>
      <c r="U460" s="211" t="str">
        <f>IF(AND(A460&lt;&gt;"",_xlfn.IFNA(MATCH(A460,'dynamic resource application '!$A$2:$A$100, 0),0)&lt;&gt;0), I460/(IF($E$2="Deployment",E460,1)),"")</f>
        <v/>
      </c>
    </row>
    <row r="461" spans="1:21" ht="15.75" customHeight="1" x14ac:dyDescent="0.25">
      <c r="A461" s="35" t="str">
        <f>IF(ISNONTEXT(deployment_raw[[#This Row],[Column1]]), "", deployment_raw[[#This Row],[Column1]])</f>
        <v/>
      </c>
      <c r="B461" s="36" t="str">
        <f>IF(ISNONTEXT(deployment_raw[[#This Row],[Column2]]), "", deployment_raw[[#This Row],[Column2]])</f>
        <v/>
      </c>
      <c r="C461" s="36" t="str">
        <f>IF(ISNONTEXT(deployment_raw[[#This Row],[Column3]]), "", deployment_raw[[#This Row],[Column3]])</f>
        <v/>
      </c>
      <c r="D461" s="36" t="str">
        <f>IF(ISNONTEXT(deployment_raw[[#This Row],[Column4]]), "", deployment_raw[[#This Row],[Column4]])</f>
        <v/>
      </c>
      <c r="E461" s="37" t="str">
        <f>IF(ISNUMBER(deployment_raw[[#This Row],[Column5]]), deployment_raw[[#This Row],[Column5]],"")</f>
        <v/>
      </c>
      <c r="F461" s="94" t="str">
        <f>IF(ISNUMBER(deployment_raw[[#This Row],[Column6]]), (deployment_raw[[#This Row],[Column6]] * IF($E$2="Deployment",deployment_raw[[#This Row],[Column5]],1)),"")</f>
        <v/>
      </c>
      <c r="G461" s="95" t="str">
        <f>IF(ISNUMBER(deployment_raw[[#This Row],[Column7]]), (deployment_raw[[#This Row],[Column7]] * IF($E$2="Deployment",deployment_raw[[#This Row],[Column5]],1))/1048576,"")</f>
        <v/>
      </c>
      <c r="H461" s="95" t="str">
        <f>IF(ISNUMBER(deployment_raw[[#This Row],[Column8]]), (deployment_raw[[#This Row],[Column8]]  * IF($E$2="Deployment",deployment_raw[[#This Row],[Column5]],1)),"")</f>
        <v/>
      </c>
      <c r="I461" s="96" t="str">
        <f>IF(ISNUMBER(deployment_raw[[#This Row],[Column9]]), (deployment_raw[[#This Row],[Column9]] * IF($E$2="Deployment",deployment_raw[[#This Row],[Column5]],1))/1048576,"")</f>
        <v/>
      </c>
      <c r="J461" s="122" t="str">
        <f>IF(ISNUMBER(deployment_raw[[#This Row],[Column10]]), (MIN(IF(N461&lt;&gt;"",N461,9999999999999)*1.1,deployment_raw[[#This Row],[Column10]] * IF($E$2="Deployment",deployment_raw[[#This Row],[Column5]],1))),"")</f>
        <v/>
      </c>
      <c r="K461" s="123" t="str">
        <f>IF(ISNUMBER(deployment_raw[[#This Row],[Column11]]), (MIN(IF(O461&lt;&gt;"",O461,9999999999999)*1.1,deployment_raw[[#This Row],[Column11]] * IF($E$2="Deployment",deployment_raw[[#This Row],[Column5]],1)/1048576)),"")</f>
        <v/>
      </c>
      <c r="L461" s="124" t="str">
        <f>IF(ISNUMBER(deployment_raw[[#This Row],[Column8]]),IF(OR(deployment_raw[[#This Row],[Column5]] &lt;&gt; 0,$E$2 &lt;&gt; "Deployment"), MAX(J461, P461, R461, ($L$2 * IF($E$2="Deployment",deployment_raw[[#This Row],[Column5]],1)),IF(T461&lt;&gt;"",VALUE(T461) * IF($E$2="Deployment",deployment_raw[[#This Row],[Column5]],1),0)), 0),"")</f>
        <v/>
      </c>
      <c r="M461" s="125" t="str">
        <f>IF(ISNUMBER(deployment_raw[[#This Row],[Column9]]),IF(OR(deployment_raw[[#This Row],[Column5]] &lt;&gt; 0,$E$2&lt;&gt;"Deployment"), MAX(K461, Q461, S461, ($M$2 * IF($E$2="Deployment",deployment_raw[[#This Row],[Column5]],1)),IF(U461&lt;&gt;"",VALUE(U461) * IF($E$2="Deployment",deployment_raw[[#This Row],[Column5]],1),0)), 0),"")</f>
        <v/>
      </c>
      <c r="N461" s="166" t="str">
        <f>IF(ISNUMBER(deployment_raw[[#This Row],[Column14]]), deployment_raw[[#This Row],[Column14]]/IF(OR($E$2="Deployment",deployment_raw[[#This Row],[Column5]]=0),1,deployment_raw[[#This Row],[Column5]]),"")</f>
        <v/>
      </c>
      <c r="O461" s="167" t="str">
        <f>IF(ISNUMBER(deployment_raw[[#This Row],[Column15]]), deployment_raw[[#This Row],[Column15]]/IF(OR($E$2="Deployment",deployment_raw[[#This Row],[Column5]]=0),1,deployment_raw[[#This Row],[Column5]])/1048576,"")</f>
        <v/>
      </c>
      <c r="P461" s="168" t="str">
        <f>IF(ISNUMBER(deployment_raw[[#This Row],[Column12]]), (MIN(IF(N461&lt;&gt;"",N461,9999999999999)*1.1,deployment_raw[[#This Row],[Column12]] * IF($E$2="Deployment",deployment_raw[[#This Row],[Column5]],1))*(1+$P$2)),"")</f>
        <v/>
      </c>
      <c r="Q461" s="167" t="str">
        <f>IF(ISNUMBER(deployment_raw[[#This Row],[Column13]]), (MIN(IF(O461&lt;&gt;"",O461,9999999999999)*1.1,deployment_raw[[#This Row],[Column13]] * IF($E$2="Deployment",deployment_raw[[#This Row],[Column5]],1)*(1+$Q$2)/1048576)),"")</f>
        <v/>
      </c>
      <c r="R461" s="169" t="str">
        <f>IF(ISNUMBER(deployment_raw[[#This Row],[Column8]]), (H461  * IF(N461&lt;&gt;0,$R$2,1)),"")</f>
        <v/>
      </c>
      <c r="S461" s="170" t="str">
        <f>IF(ISNUMBER(deployment_raw[[#This Row],[Column8]]), (I461  * IF(O461&lt;&gt;0,$S$2,1)),"")</f>
        <v/>
      </c>
      <c r="T461" s="202" t="str">
        <f>IF(AND(A461&lt;&gt;"",_xlfn.IFNA(MATCH(A461,'dynamic resource application '!$A$2:$A$100, 0),0)&lt;&gt;0), H461/(IF($E$2="Deployment",E461,1)),"")</f>
        <v/>
      </c>
      <c r="U461" s="211" t="str">
        <f>IF(AND(A461&lt;&gt;"",_xlfn.IFNA(MATCH(A461,'dynamic resource application '!$A$2:$A$100, 0),0)&lt;&gt;0), I461/(IF($E$2="Deployment",E461,1)),"")</f>
        <v/>
      </c>
    </row>
    <row r="462" spans="1:21" ht="15.75" customHeight="1" x14ac:dyDescent="0.25">
      <c r="A462" s="35" t="str">
        <f>IF(ISNONTEXT(deployment_raw[[#This Row],[Column1]]), "", deployment_raw[[#This Row],[Column1]])</f>
        <v/>
      </c>
      <c r="B462" s="36" t="str">
        <f>IF(ISNONTEXT(deployment_raw[[#This Row],[Column2]]), "", deployment_raw[[#This Row],[Column2]])</f>
        <v/>
      </c>
      <c r="C462" s="36" t="str">
        <f>IF(ISNONTEXT(deployment_raw[[#This Row],[Column3]]), "", deployment_raw[[#This Row],[Column3]])</f>
        <v/>
      </c>
      <c r="D462" s="36" t="str">
        <f>IF(ISNONTEXT(deployment_raw[[#This Row],[Column4]]), "", deployment_raw[[#This Row],[Column4]])</f>
        <v/>
      </c>
      <c r="E462" s="37" t="str">
        <f>IF(ISNUMBER(deployment_raw[[#This Row],[Column5]]), deployment_raw[[#This Row],[Column5]],"")</f>
        <v/>
      </c>
      <c r="F462" s="94" t="str">
        <f>IF(ISNUMBER(deployment_raw[[#This Row],[Column6]]), (deployment_raw[[#This Row],[Column6]] * IF($E$2="Deployment",deployment_raw[[#This Row],[Column5]],1)),"")</f>
        <v/>
      </c>
      <c r="G462" s="95" t="str">
        <f>IF(ISNUMBER(deployment_raw[[#This Row],[Column7]]), (deployment_raw[[#This Row],[Column7]] * IF($E$2="Deployment",deployment_raw[[#This Row],[Column5]],1))/1048576,"")</f>
        <v/>
      </c>
      <c r="H462" s="95" t="str">
        <f>IF(ISNUMBER(deployment_raw[[#This Row],[Column8]]), (deployment_raw[[#This Row],[Column8]]  * IF($E$2="Deployment",deployment_raw[[#This Row],[Column5]],1)),"")</f>
        <v/>
      </c>
      <c r="I462" s="96" t="str">
        <f>IF(ISNUMBER(deployment_raw[[#This Row],[Column9]]), (deployment_raw[[#This Row],[Column9]] * IF($E$2="Deployment",deployment_raw[[#This Row],[Column5]],1))/1048576,"")</f>
        <v/>
      </c>
      <c r="J462" s="122" t="str">
        <f>IF(ISNUMBER(deployment_raw[[#This Row],[Column10]]), (MIN(IF(N462&lt;&gt;"",N462,9999999999999)*1.1,deployment_raw[[#This Row],[Column10]] * IF($E$2="Deployment",deployment_raw[[#This Row],[Column5]],1))),"")</f>
        <v/>
      </c>
      <c r="K462" s="123" t="str">
        <f>IF(ISNUMBER(deployment_raw[[#This Row],[Column11]]), (MIN(IF(O462&lt;&gt;"",O462,9999999999999)*1.1,deployment_raw[[#This Row],[Column11]] * IF($E$2="Deployment",deployment_raw[[#This Row],[Column5]],1)/1048576)),"")</f>
        <v/>
      </c>
      <c r="L462" s="124" t="str">
        <f>IF(ISNUMBER(deployment_raw[[#This Row],[Column8]]),IF(OR(deployment_raw[[#This Row],[Column5]] &lt;&gt; 0,$E$2 &lt;&gt; "Deployment"), MAX(J462, P462, R462, ($L$2 * IF($E$2="Deployment",deployment_raw[[#This Row],[Column5]],1)),IF(T462&lt;&gt;"",VALUE(T462) * IF($E$2="Deployment",deployment_raw[[#This Row],[Column5]],1),0)), 0),"")</f>
        <v/>
      </c>
      <c r="M462" s="125" t="str">
        <f>IF(ISNUMBER(deployment_raw[[#This Row],[Column9]]),IF(OR(deployment_raw[[#This Row],[Column5]] &lt;&gt; 0,$E$2&lt;&gt;"Deployment"), MAX(K462, Q462, S462, ($M$2 * IF($E$2="Deployment",deployment_raw[[#This Row],[Column5]],1)),IF(U462&lt;&gt;"",VALUE(U462) * IF($E$2="Deployment",deployment_raw[[#This Row],[Column5]],1),0)), 0),"")</f>
        <v/>
      </c>
      <c r="N462" s="166" t="str">
        <f>IF(ISNUMBER(deployment_raw[[#This Row],[Column14]]), deployment_raw[[#This Row],[Column14]]/IF(OR($E$2="Deployment",deployment_raw[[#This Row],[Column5]]=0),1,deployment_raw[[#This Row],[Column5]]),"")</f>
        <v/>
      </c>
      <c r="O462" s="167" t="str">
        <f>IF(ISNUMBER(deployment_raw[[#This Row],[Column15]]), deployment_raw[[#This Row],[Column15]]/IF(OR($E$2="Deployment",deployment_raw[[#This Row],[Column5]]=0),1,deployment_raw[[#This Row],[Column5]])/1048576,"")</f>
        <v/>
      </c>
      <c r="P462" s="168" t="str">
        <f>IF(ISNUMBER(deployment_raw[[#This Row],[Column12]]), (MIN(IF(N462&lt;&gt;"",N462,9999999999999)*1.1,deployment_raw[[#This Row],[Column12]] * IF($E$2="Deployment",deployment_raw[[#This Row],[Column5]],1))*(1+$P$2)),"")</f>
        <v/>
      </c>
      <c r="Q462" s="167" t="str">
        <f>IF(ISNUMBER(deployment_raw[[#This Row],[Column13]]), (MIN(IF(O462&lt;&gt;"",O462,9999999999999)*1.1,deployment_raw[[#This Row],[Column13]] * IF($E$2="Deployment",deployment_raw[[#This Row],[Column5]],1)*(1+$Q$2)/1048576)),"")</f>
        <v/>
      </c>
      <c r="R462" s="169" t="str">
        <f>IF(ISNUMBER(deployment_raw[[#This Row],[Column8]]), (H462  * IF(N462&lt;&gt;0,$R$2,1)),"")</f>
        <v/>
      </c>
      <c r="S462" s="170" t="str">
        <f>IF(ISNUMBER(deployment_raw[[#This Row],[Column8]]), (I462  * IF(O462&lt;&gt;0,$S$2,1)),"")</f>
        <v/>
      </c>
      <c r="T462" s="202" t="str">
        <f>IF(AND(A462&lt;&gt;"",_xlfn.IFNA(MATCH(A462,'dynamic resource application '!$A$2:$A$100, 0),0)&lt;&gt;0), H462/(IF($E$2="Deployment",E462,1)),"")</f>
        <v/>
      </c>
      <c r="U462" s="211" t="str">
        <f>IF(AND(A462&lt;&gt;"",_xlfn.IFNA(MATCH(A462,'dynamic resource application '!$A$2:$A$100, 0),0)&lt;&gt;0), I462/(IF($E$2="Deployment",E462,1)),"")</f>
        <v/>
      </c>
    </row>
    <row r="463" spans="1:21" ht="15.75" customHeight="1" x14ac:dyDescent="0.25">
      <c r="A463" s="35" t="str">
        <f>IF(ISNONTEXT(deployment_raw[[#This Row],[Column1]]), "", deployment_raw[[#This Row],[Column1]])</f>
        <v/>
      </c>
      <c r="B463" s="36" t="str">
        <f>IF(ISNONTEXT(deployment_raw[[#This Row],[Column2]]), "", deployment_raw[[#This Row],[Column2]])</f>
        <v/>
      </c>
      <c r="C463" s="36" t="str">
        <f>IF(ISNONTEXT(deployment_raw[[#This Row],[Column3]]), "", deployment_raw[[#This Row],[Column3]])</f>
        <v/>
      </c>
      <c r="D463" s="36" t="str">
        <f>IF(ISNONTEXT(deployment_raw[[#This Row],[Column4]]), "", deployment_raw[[#This Row],[Column4]])</f>
        <v/>
      </c>
      <c r="E463" s="37" t="str">
        <f>IF(ISNUMBER(deployment_raw[[#This Row],[Column5]]), deployment_raw[[#This Row],[Column5]],"")</f>
        <v/>
      </c>
      <c r="F463" s="94" t="str">
        <f>IF(ISNUMBER(deployment_raw[[#This Row],[Column6]]), (deployment_raw[[#This Row],[Column6]] * IF($E$2="Deployment",deployment_raw[[#This Row],[Column5]],1)),"")</f>
        <v/>
      </c>
      <c r="G463" s="95" t="str">
        <f>IF(ISNUMBER(deployment_raw[[#This Row],[Column7]]), (deployment_raw[[#This Row],[Column7]] * IF($E$2="Deployment",deployment_raw[[#This Row],[Column5]],1))/1048576,"")</f>
        <v/>
      </c>
      <c r="H463" s="95" t="str">
        <f>IF(ISNUMBER(deployment_raw[[#This Row],[Column8]]), (deployment_raw[[#This Row],[Column8]]  * IF($E$2="Deployment",deployment_raw[[#This Row],[Column5]],1)),"")</f>
        <v/>
      </c>
      <c r="I463" s="96" t="str">
        <f>IF(ISNUMBER(deployment_raw[[#This Row],[Column9]]), (deployment_raw[[#This Row],[Column9]] * IF($E$2="Deployment",deployment_raw[[#This Row],[Column5]],1))/1048576,"")</f>
        <v/>
      </c>
      <c r="J463" s="122" t="str">
        <f>IF(ISNUMBER(deployment_raw[[#This Row],[Column10]]), (MIN(IF(N463&lt;&gt;"",N463,9999999999999)*1.1,deployment_raw[[#This Row],[Column10]] * IF($E$2="Deployment",deployment_raw[[#This Row],[Column5]],1))),"")</f>
        <v/>
      </c>
      <c r="K463" s="123" t="str">
        <f>IF(ISNUMBER(deployment_raw[[#This Row],[Column11]]), (MIN(IF(O463&lt;&gt;"",O463,9999999999999)*1.1,deployment_raw[[#This Row],[Column11]] * IF($E$2="Deployment",deployment_raw[[#This Row],[Column5]],1)/1048576)),"")</f>
        <v/>
      </c>
      <c r="L463" s="124" t="str">
        <f>IF(ISNUMBER(deployment_raw[[#This Row],[Column8]]),IF(OR(deployment_raw[[#This Row],[Column5]] &lt;&gt; 0,$E$2 &lt;&gt; "Deployment"), MAX(J463, P463, R463, ($L$2 * IF($E$2="Deployment",deployment_raw[[#This Row],[Column5]],1)),IF(T463&lt;&gt;"",VALUE(T463) * IF($E$2="Deployment",deployment_raw[[#This Row],[Column5]],1),0)), 0),"")</f>
        <v/>
      </c>
      <c r="M463" s="125" t="str">
        <f>IF(ISNUMBER(deployment_raw[[#This Row],[Column9]]),IF(OR(deployment_raw[[#This Row],[Column5]] &lt;&gt; 0,$E$2&lt;&gt;"Deployment"), MAX(K463, Q463, S463, ($M$2 * IF($E$2="Deployment",deployment_raw[[#This Row],[Column5]],1)),IF(U463&lt;&gt;"",VALUE(U463) * IF($E$2="Deployment",deployment_raw[[#This Row],[Column5]],1),0)), 0),"")</f>
        <v/>
      </c>
      <c r="N463" s="166" t="str">
        <f>IF(ISNUMBER(deployment_raw[[#This Row],[Column14]]), deployment_raw[[#This Row],[Column14]]/IF(OR($E$2="Deployment",deployment_raw[[#This Row],[Column5]]=0),1,deployment_raw[[#This Row],[Column5]]),"")</f>
        <v/>
      </c>
      <c r="O463" s="167" t="str">
        <f>IF(ISNUMBER(deployment_raw[[#This Row],[Column15]]), deployment_raw[[#This Row],[Column15]]/IF(OR($E$2="Deployment",deployment_raw[[#This Row],[Column5]]=0),1,deployment_raw[[#This Row],[Column5]])/1048576,"")</f>
        <v/>
      </c>
      <c r="P463" s="168" t="str">
        <f>IF(ISNUMBER(deployment_raw[[#This Row],[Column12]]), (MIN(IF(N463&lt;&gt;"",N463,9999999999999)*1.1,deployment_raw[[#This Row],[Column12]] * IF($E$2="Deployment",deployment_raw[[#This Row],[Column5]],1))*(1+$P$2)),"")</f>
        <v/>
      </c>
      <c r="Q463" s="167" t="str">
        <f>IF(ISNUMBER(deployment_raw[[#This Row],[Column13]]), (MIN(IF(O463&lt;&gt;"",O463,9999999999999)*1.1,deployment_raw[[#This Row],[Column13]] * IF($E$2="Deployment",deployment_raw[[#This Row],[Column5]],1)*(1+$Q$2)/1048576)),"")</f>
        <v/>
      </c>
      <c r="R463" s="169" t="str">
        <f>IF(ISNUMBER(deployment_raw[[#This Row],[Column8]]), (H463  * IF(N463&lt;&gt;0,$R$2,1)),"")</f>
        <v/>
      </c>
      <c r="S463" s="170" t="str">
        <f>IF(ISNUMBER(deployment_raw[[#This Row],[Column8]]), (I463  * IF(O463&lt;&gt;0,$S$2,1)),"")</f>
        <v/>
      </c>
      <c r="T463" s="202" t="str">
        <f>IF(AND(A463&lt;&gt;"",_xlfn.IFNA(MATCH(A463,'dynamic resource application '!$A$2:$A$100, 0),0)&lt;&gt;0), H463/(IF($E$2="Deployment",E463,1)),"")</f>
        <v/>
      </c>
      <c r="U463" s="211" t="str">
        <f>IF(AND(A463&lt;&gt;"",_xlfn.IFNA(MATCH(A463,'dynamic resource application '!$A$2:$A$100, 0),0)&lt;&gt;0), I463/(IF($E$2="Deployment",E463,1)),"")</f>
        <v/>
      </c>
    </row>
    <row r="464" spans="1:21" ht="15.75" customHeight="1" x14ac:dyDescent="0.25">
      <c r="A464" s="35" t="str">
        <f>IF(ISNONTEXT(deployment_raw[[#This Row],[Column1]]), "", deployment_raw[[#This Row],[Column1]])</f>
        <v/>
      </c>
      <c r="B464" s="36" t="str">
        <f>IF(ISNONTEXT(deployment_raw[[#This Row],[Column2]]), "", deployment_raw[[#This Row],[Column2]])</f>
        <v/>
      </c>
      <c r="C464" s="36" t="str">
        <f>IF(ISNONTEXT(deployment_raw[[#This Row],[Column3]]), "", deployment_raw[[#This Row],[Column3]])</f>
        <v/>
      </c>
      <c r="D464" s="36" t="str">
        <f>IF(ISNONTEXT(deployment_raw[[#This Row],[Column4]]), "", deployment_raw[[#This Row],[Column4]])</f>
        <v/>
      </c>
      <c r="E464" s="37" t="str">
        <f>IF(ISNUMBER(deployment_raw[[#This Row],[Column5]]), deployment_raw[[#This Row],[Column5]],"")</f>
        <v/>
      </c>
      <c r="F464" s="94" t="str">
        <f>IF(ISNUMBER(deployment_raw[[#This Row],[Column6]]), (deployment_raw[[#This Row],[Column6]] * IF($E$2="Deployment",deployment_raw[[#This Row],[Column5]],1)),"")</f>
        <v/>
      </c>
      <c r="G464" s="95" t="str">
        <f>IF(ISNUMBER(deployment_raw[[#This Row],[Column7]]), (deployment_raw[[#This Row],[Column7]] * IF($E$2="Deployment",deployment_raw[[#This Row],[Column5]],1))/1048576,"")</f>
        <v/>
      </c>
      <c r="H464" s="95" t="str">
        <f>IF(ISNUMBER(deployment_raw[[#This Row],[Column8]]), (deployment_raw[[#This Row],[Column8]]  * IF($E$2="Deployment",deployment_raw[[#This Row],[Column5]],1)),"")</f>
        <v/>
      </c>
      <c r="I464" s="96" t="str">
        <f>IF(ISNUMBER(deployment_raw[[#This Row],[Column9]]), (deployment_raw[[#This Row],[Column9]] * IF($E$2="Deployment",deployment_raw[[#This Row],[Column5]],1))/1048576,"")</f>
        <v/>
      </c>
      <c r="J464" s="122" t="str">
        <f>IF(ISNUMBER(deployment_raw[[#This Row],[Column10]]), (MIN(IF(N464&lt;&gt;"",N464,9999999999999)*1.1,deployment_raw[[#This Row],[Column10]] * IF($E$2="Deployment",deployment_raw[[#This Row],[Column5]],1))),"")</f>
        <v/>
      </c>
      <c r="K464" s="123" t="str">
        <f>IF(ISNUMBER(deployment_raw[[#This Row],[Column11]]), (MIN(IF(O464&lt;&gt;"",O464,9999999999999)*1.1,deployment_raw[[#This Row],[Column11]] * IF($E$2="Deployment",deployment_raw[[#This Row],[Column5]],1)/1048576)),"")</f>
        <v/>
      </c>
      <c r="L464" s="124" t="str">
        <f>IF(ISNUMBER(deployment_raw[[#This Row],[Column8]]),IF(OR(deployment_raw[[#This Row],[Column5]] &lt;&gt; 0,$E$2 &lt;&gt; "Deployment"), MAX(J464, P464, R464, ($L$2 * IF($E$2="Deployment",deployment_raw[[#This Row],[Column5]],1)),IF(T464&lt;&gt;"",VALUE(T464) * IF($E$2="Deployment",deployment_raw[[#This Row],[Column5]],1),0)), 0),"")</f>
        <v/>
      </c>
      <c r="M464" s="125" t="str">
        <f>IF(ISNUMBER(deployment_raw[[#This Row],[Column9]]),IF(OR(deployment_raw[[#This Row],[Column5]] &lt;&gt; 0,$E$2&lt;&gt;"Deployment"), MAX(K464, Q464, S464, ($M$2 * IF($E$2="Deployment",deployment_raw[[#This Row],[Column5]],1)),IF(U464&lt;&gt;"",VALUE(U464) * IF($E$2="Deployment",deployment_raw[[#This Row],[Column5]],1),0)), 0),"")</f>
        <v/>
      </c>
      <c r="N464" s="166" t="str">
        <f>IF(ISNUMBER(deployment_raw[[#This Row],[Column14]]), deployment_raw[[#This Row],[Column14]]/IF(OR($E$2="Deployment",deployment_raw[[#This Row],[Column5]]=0),1,deployment_raw[[#This Row],[Column5]]),"")</f>
        <v/>
      </c>
      <c r="O464" s="167" t="str">
        <f>IF(ISNUMBER(deployment_raw[[#This Row],[Column15]]), deployment_raw[[#This Row],[Column15]]/IF(OR($E$2="Deployment",deployment_raw[[#This Row],[Column5]]=0),1,deployment_raw[[#This Row],[Column5]])/1048576,"")</f>
        <v/>
      </c>
      <c r="P464" s="168" t="str">
        <f>IF(ISNUMBER(deployment_raw[[#This Row],[Column12]]), (MIN(IF(N464&lt;&gt;"",N464,9999999999999)*1.1,deployment_raw[[#This Row],[Column12]] * IF($E$2="Deployment",deployment_raw[[#This Row],[Column5]],1))*(1+$P$2)),"")</f>
        <v/>
      </c>
      <c r="Q464" s="167" t="str">
        <f>IF(ISNUMBER(deployment_raw[[#This Row],[Column13]]), (MIN(IF(O464&lt;&gt;"",O464,9999999999999)*1.1,deployment_raw[[#This Row],[Column13]] * IF($E$2="Deployment",deployment_raw[[#This Row],[Column5]],1)*(1+$Q$2)/1048576)),"")</f>
        <v/>
      </c>
      <c r="R464" s="169" t="str">
        <f>IF(ISNUMBER(deployment_raw[[#This Row],[Column8]]), (H464  * IF(N464&lt;&gt;0,$R$2,1)),"")</f>
        <v/>
      </c>
      <c r="S464" s="170" t="str">
        <f>IF(ISNUMBER(deployment_raw[[#This Row],[Column8]]), (I464  * IF(O464&lt;&gt;0,$S$2,1)),"")</f>
        <v/>
      </c>
      <c r="T464" s="202" t="str">
        <f>IF(AND(A464&lt;&gt;"",_xlfn.IFNA(MATCH(A464,'dynamic resource application '!$A$2:$A$100, 0),0)&lt;&gt;0), H464/(IF($E$2="Deployment",E464,1)),"")</f>
        <v/>
      </c>
      <c r="U464" s="211" t="str">
        <f>IF(AND(A464&lt;&gt;"",_xlfn.IFNA(MATCH(A464,'dynamic resource application '!$A$2:$A$100, 0),0)&lt;&gt;0), I464/(IF($E$2="Deployment",E464,1)),"")</f>
        <v/>
      </c>
    </row>
    <row r="465" spans="1:21" ht="15.75" customHeight="1" x14ac:dyDescent="0.25">
      <c r="A465" s="35" t="str">
        <f>IF(ISNONTEXT(deployment_raw[[#This Row],[Column1]]), "", deployment_raw[[#This Row],[Column1]])</f>
        <v/>
      </c>
      <c r="B465" s="36" t="str">
        <f>IF(ISNONTEXT(deployment_raw[[#This Row],[Column2]]), "", deployment_raw[[#This Row],[Column2]])</f>
        <v/>
      </c>
      <c r="C465" s="36" t="str">
        <f>IF(ISNONTEXT(deployment_raw[[#This Row],[Column3]]), "", deployment_raw[[#This Row],[Column3]])</f>
        <v/>
      </c>
      <c r="D465" s="36" t="str">
        <f>IF(ISNONTEXT(deployment_raw[[#This Row],[Column4]]), "", deployment_raw[[#This Row],[Column4]])</f>
        <v/>
      </c>
      <c r="E465" s="37" t="str">
        <f>IF(ISNUMBER(deployment_raw[[#This Row],[Column5]]), deployment_raw[[#This Row],[Column5]],"")</f>
        <v/>
      </c>
      <c r="F465" s="94" t="str">
        <f>IF(ISNUMBER(deployment_raw[[#This Row],[Column6]]), (deployment_raw[[#This Row],[Column6]] * IF($E$2="Deployment",deployment_raw[[#This Row],[Column5]],1)),"")</f>
        <v/>
      </c>
      <c r="G465" s="95" t="str">
        <f>IF(ISNUMBER(deployment_raw[[#This Row],[Column7]]), (deployment_raw[[#This Row],[Column7]] * IF($E$2="Deployment",deployment_raw[[#This Row],[Column5]],1))/1048576,"")</f>
        <v/>
      </c>
      <c r="H465" s="95" t="str">
        <f>IF(ISNUMBER(deployment_raw[[#This Row],[Column8]]), (deployment_raw[[#This Row],[Column8]]  * IF($E$2="Deployment",deployment_raw[[#This Row],[Column5]],1)),"")</f>
        <v/>
      </c>
      <c r="I465" s="96" t="str">
        <f>IF(ISNUMBER(deployment_raw[[#This Row],[Column9]]), (deployment_raw[[#This Row],[Column9]] * IF($E$2="Deployment",deployment_raw[[#This Row],[Column5]],1))/1048576,"")</f>
        <v/>
      </c>
      <c r="J465" s="122" t="str">
        <f>IF(ISNUMBER(deployment_raw[[#This Row],[Column10]]), (MIN(IF(N465&lt;&gt;"",N465,9999999999999)*1.1,deployment_raw[[#This Row],[Column10]] * IF($E$2="Deployment",deployment_raw[[#This Row],[Column5]],1))),"")</f>
        <v/>
      </c>
      <c r="K465" s="123" t="str">
        <f>IF(ISNUMBER(deployment_raw[[#This Row],[Column11]]), (MIN(IF(O465&lt;&gt;"",O465,9999999999999)*1.1,deployment_raw[[#This Row],[Column11]] * IF($E$2="Deployment",deployment_raw[[#This Row],[Column5]],1)/1048576)),"")</f>
        <v/>
      </c>
      <c r="L465" s="124" t="str">
        <f>IF(ISNUMBER(deployment_raw[[#This Row],[Column8]]),IF(OR(deployment_raw[[#This Row],[Column5]] &lt;&gt; 0,$E$2 &lt;&gt; "Deployment"), MAX(J465, P465, R465, ($L$2 * IF($E$2="Deployment",deployment_raw[[#This Row],[Column5]],1)),IF(T465&lt;&gt;"",VALUE(T465) * IF($E$2="Deployment",deployment_raw[[#This Row],[Column5]],1),0)), 0),"")</f>
        <v/>
      </c>
      <c r="M465" s="125" t="str">
        <f>IF(ISNUMBER(deployment_raw[[#This Row],[Column9]]),IF(OR(deployment_raw[[#This Row],[Column5]] &lt;&gt; 0,$E$2&lt;&gt;"Deployment"), MAX(K465, Q465, S465, ($M$2 * IF($E$2="Deployment",deployment_raw[[#This Row],[Column5]],1)),IF(U465&lt;&gt;"",VALUE(U465) * IF($E$2="Deployment",deployment_raw[[#This Row],[Column5]],1),0)), 0),"")</f>
        <v/>
      </c>
      <c r="N465" s="166" t="str">
        <f>IF(ISNUMBER(deployment_raw[[#This Row],[Column14]]), deployment_raw[[#This Row],[Column14]]/IF(OR($E$2="Deployment",deployment_raw[[#This Row],[Column5]]=0),1,deployment_raw[[#This Row],[Column5]]),"")</f>
        <v/>
      </c>
      <c r="O465" s="167" t="str">
        <f>IF(ISNUMBER(deployment_raw[[#This Row],[Column15]]), deployment_raw[[#This Row],[Column15]]/IF(OR($E$2="Deployment",deployment_raw[[#This Row],[Column5]]=0),1,deployment_raw[[#This Row],[Column5]])/1048576,"")</f>
        <v/>
      </c>
      <c r="P465" s="168" t="str">
        <f>IF(ISNUMBER(deployment_raw[[#This Row],[Column12]]), (MIN(IF(N465&lt;&gt;"",N465,9999999999999)*1.1,deployment_raw[[#This Row],[Column12]] * IF($E$2="Deployment",deployment_raw[[#This Row],[Column5]],1))*(1+$P$2)),"")</f>
        <v/>
      </c>
      <c r="Q465" s="167" t="str">
        <f>IF(ISNUMBER(deployment_raw[[#This Row],[Column13]]), (MIN(IF(O465&lt;&gt;"",O465,9999999999999)*1.1,deployment_raw[[#This Row],[Column13]] * IF($E$2="Deployment",deployment_raw[[#This Row],[Column5]],1)*(1+$Q$2)/1048576)),"")</f>
        <v/>
      </c>
      <c r="R465" s="169" t="str">
        <f>IF(ISNUMBER(deployment_raw[[#This Row],[Column8]]), (H465  * IF(N465&lt;&gt;0,$R$2,1)),"")</f>
        <v/>
      </c>
      <c r="S465" s="170" t="str">
        <f>IF(ISNUMBER(deployment_raw[[#This Row],[Column8]]), (I465  * IF(O465&lt;&gt;0,$S$2,1)),"")</f>
        <v/>
      </c>
      <c r="T465" s="202" t="str">
        <f>IF(AND(A465&lt;&gt;"",_xlfn.IFNA(MATCH(A465,'dynamic resource application '!$A$2:$A$100, 0),0)&lt;&gt;0), H465/(IF($E$2="Deployment",E465,1)),"")</f>
        <v/>
      </c>
      <c r="U465" s="211" t="str">
        <f>IF(AND(A465&lt;&gt;"",_xlfn.IFNA(MATCH(A465,'dynamic resource application '!$A$2:$A$100, 0),0)&lt;&gt;0), I465/(IF($E$2="Deployment",E465,1)),"")</f>
        <v/>
      </c>
    </row>
    <row r="466" spans="1:21" ht="15.75" customHeight="1" x14ac:dyDescent="0.25">
      <c r="A466" s="35" t="str">
        <f>IF(ISNONTEXT(deployment_raw[[#This Row],[Column1]]), "", deployment_raw[[#This Row],[Column1]])</f>
        <v/>
      </c>
      <c r="B466" s="36" t="str">
        <f>IF(ISNONTEXT(deployment_raw[[#This Row],[Column2]]), "", deployment_raw[[#This Row],[Column2]])</f>
        <v/>
      </c>
      <c r="C466" s="36" t="str">
        <f>IF(ISNONTEXT(deployment_raw[[#This Row],[Column3]]), "", deployment_raw[[#This Row],[Column3]])</f>
        <v/>
      </c>
      <c r="D466" s="36" t="str">
        <f>IF(ISNONTEXT(deployment_raw[[#This Row],[Column4]]), "", deployment_raw[[#This Row],[Column4]])</f>
        <v/>
      </c>
      <c r="E466" s="37" t="str">
        <f>IF(ISNUMBER(deployment_raw[[#This Row],[Column5]]), deployment_raw[[#This Row],[Column5]],"")</f>
        <v/>
      </c>
      <c r="F466" s="94" t="str">
        <f>IF(ISNUMBER(deployment_raw[[#This Row],[Column6]]), (deployment_raw[[#This Row],[Column6]] * IF($E$2="Deployment",deployment_raw[[#This Row],[Column5]],1)),"")</f>
        <v/>
      </c>
      <c r="G466" s="95" t="str">
        <f>IF(ISNUMBER(deployment_raw[[#This Row],[Column7]]), (deployment_raw[[#This Row],[Column7]] * IF($E$2="Deployment",deployment_raw[[#This Row],[Column5]],1))/1048576,"")</f>
        <v/>
      </c>
      <c r="H466" s="95" t="str">
        <f>IF(ISNUMBER(deployment_raw[[#This Row],[Column8]]), (deployment_raw[[#This Row],[Column8]]  * IF($E$2="Deployment",deployment_raw[[#This Row],[Column5]],1)),"")</f>
        <v/>
      </c>
      <c r="I466" s="96" t="str">
        <f>IF(ISNUMBER(deployment_raw[[#This Row],[Column9]]), (deployment_raw[[#This Row],[Column9]] * IF($E$2="Deployment",deployment_raw[[#This Row],[Column5]],1))/1048576,"")</f>
        <v/>
      </c>
      <c r="J466" s="122" t="str">
        <f>IF(ISNUMBER(deployment_raw[[#This Row],[Column10]]), (MIN(IF(N466&lt;&gt;"",N466,9999999999999)*1.1,deployment_raw[[#This Row],[Column10]] * IF($E$2="Deployment",deployment_raw[[#This Row],[Column5]],1))),"")</f>
        <v/>
      </c>
      <c r="K466" s="123" t="str">
        <f>IF(ISNUMBER(deployment_raw[[#This Row],[Column11]]), (MIN(IF(O466&lt;&gt;"",O466,9999999999999)*1.1,deployment_raw[[#This Row],[Column11]] * IF($E$2="Deployment",deployment_raw[[#This Row],[Column5]],1)/1048576)),"")</f>
        <v/>
      </c>
      <c r="L466" s="124" t="str">
        <f>IF(ISNUMBER(deployment_raw[[#This Row],[Column8]]),IF(OR(deployment_raw[[#This Row],[Column5]] &lt;&gt; 0,$E$2 &lt;&gt; "Deployment"), MAX(J466, P466, R466, ($L$2 * IF($E$2="Deployment",deployment_raw[[#This Row],[Column5]],1)),IF(T466&lt;&gt;"",VALUE(T466) * IF($E$2="Deployment",deployment_raw[[#This Row],[Column5]],1),0)), 0),"")</f>
        <v/>
      </c>
      <c r="M466" s="125" t="str">
        <f>IF(ISNUMBER(deployment_raw[[#This Row],[Column9]]),IF(OR(deployment_raw[[#This Row],[Column5]] &lt;&gt; 0,$E$2&lt;&gt;"Deployment"), MAX(K466, Q466, S466, ($M$2 * IF($E$2="Deployment",deployment_raw[[#This Row],[Column5]],1)),IF(U466&lt;&gt;"",VALUE(U466) * IF($E$2="Deployment",deployment_raw[[#This Row],[Column5]],1),0)), 0),"")</f>
        <v/>
      </c>
      <c r="N466" s="166" t="str">
        <f>IF(ISNUMBER(deployment_raw[[#This Row],[Column14]]), deployment_raw[[#This Row],[Column14]]/IF(OR($E$2="Deployment",deployment_raw[[#This Row],[Column5]]=0),1,deployment_raw[[#This Row],[Column5]]),"")</f>
        <v/>
      </c>
      <c r="O466" s="167" t="str">
        <f>IF(ISNUMBER(deployment_raw[[#This Row],[Column15]]), deployment_raw[[#This Row],[Column15]]/IF(OR($E$2="Deployment",deployment_raw[[#This Row],[Column5]]=0),1,deployment_raw[[#This Row],[Column5]])/1048576,"")</f>
        <v/>
      </c>
      <c r="P466" s="168" t="str">
        <f>IF(ISNUMBER(deployment_raw[[#This Row],[Column12]]), (MIN(IF(N466&lt;&gt;"",N466,9999999999999)*1.1,deployment_raw[[#This Row],[Column12]] * IF($E$2="Deployment",deployment_raw[[#This Row],[Column5]],1))*(1+$P$2)),"")</f>
        <v/>
      </c>
      <c r="Q466" s="167" t="str">
        <f>IF(ISNUMBER(deployment_raw[[#This Row],[Column13]]), (MIN(IF(O466&lt;&gt;"",O466,9999999999999)*1.1,deployment_raw[[#This Row],[Column13]] * IF($E$2="Deployment",deployment_raw[[#This Row],[Column5]],1)*(1+$Q$2)/1048576)),"")</f>
        <v/>
      </c>
      <c r="R466" s="169" t="str">
        <f>IF(ISNUMBER(deployment_raw[[#This Row],[Column8]]), (H466  * IF(N466&lt;&gt;0,$R$2,1)),"")</f>
        <v/>
      </c>
      <c r="S466" s="170" t="str">
        <f>IF(ISNUMBER(deployment_raw[[#This Row],[Column8]]), (I466  * IF(O466&lt;&gt;0,$S$2,1)),"")</f>
        <v/>
      </c>
      <c r="T466" s="202" t="str">
        <f>IF(AND(A466&lt;&gt;"",_xlfn.IFNA(MATCH(A466,'dynamic resource application '!$A$2:$A$100, 0),0)&lt;&gt;0), H466/(IF($E$2="Deployment",E466,1)),"")</f>
        <v/>
      </c>
      <c r="U466" s="211" t="str">
        <f>IF(AND(A466&lt;&gt;"",_xlfn.IFNA(MATCH(A466,'dynamic resource application '!$A$2:$A$100, 0),0)&lt;&gt;0), I466/(IF($E$2="Deployment",E466,1)),"")</f>
        <v/>
      </c>
    </row>
    <row r="467" spans="1:21" ht="15.75" customHeight="1" x14ac:dyDescent="0.25">
      <c r="A467" s="35" t="str">
        <f>IF(ISNONTEXT(deployment_raw[[#This Row],[Column1]]), "", deployment_raw[[#This Row],[Column1]])</f>
        <v/>
      </c>
      <c r="B467" s="36" t="str">
        <f>IF(ISNONTEXT(deployment_raw[[#This Row],[Column2]]), "", deployment_raw[[#This Row],[Column2]])</f>
        <v/>
      </c>
      <c r="C467" s="36" t="str">
        <f>IF(ISNONTEXT(deployment_raw[[#This Row],[Column3]]), "", deployment_raw[[#This Row],[Column3]])</f>
        <v/>
      </c>
      <c r="D467" s="36" t="str">
        <f>IF(ISNONTEXT(deployment_raw[[#This Row],[Column4]]), "", deployment_raw[[#This Row],[Column4]])</f>
        <v/>
      </c>
      <c r="E467" s="37" t="str">
        <f>IF(ISNUMBER(deployment_raw[[#This Row],[Column5]]), deployment_raw[[#This Row],[Column5]],"")</f>
        <v/>
      </c>
      <c r="F467" s="94" t="str">
        <f>IF(ISNUMBER(deployment_raw[[#This Row],[Column6]]), (deployment_raw[[#This Row],[Column6]] * IF($E$2="Deployment",deployment_raw[[#This Row],[Column5]],1)),"")</f>
        <v/>
      </c>
      <c r="G467" s="95" t="str">
        <f>IF(ISNUMBER(deployment_raw[[#This Row],[Column7]]), (deployment_raw[[#This Row],[Column7]] * IF($E$2="Deployment",deployment_raw[[#This Row],[Column5]],1))/1048576,"")</f>
        <v/>
      </c>
      <c r="H467" s="95" t="str">
        <f>IF(ISNUMBER(deployment_raw[[#This Row],[Column8]]), (deployment_raw[[#This Row],[Column8]]  * IF($E$2="Deployment",deployment_raw[[#This Row],[Column5]],1)),"")</f>
        <v/>
      </c>
      <c r="I467" s="96" t="str">
        <f>IF(ISNUMBER(deployment_raw[[#This Row],[Column9]]), (deployment_raw[[#This Row],[Column9]] * IF($E$2="Deployment",deployment_raw[[#This Row],[Column5]],1))/1048576,"")</f>
        <v/>
      </c>
      <c r="J467" s="122" t="str">
        <f>IF(ISNUMBER(deployment_raw[[#This Row],[Column10]]), (MIN(IF(N467&lt;&gt;"",N467,9999999999999)*1.1,deployment_raw[[#This Row],[Column10]] * IF($E$2="Deployment",deployment_raw[[#This Row],[Column5]],1))),"")</f>
        <v/>
      </c>
      <c r="K467" s="123" t="str">
        <f>IF(ISNUMBER(deployment_raw[[#This Row],[Column11]]), (MIN(IF(O467&lt;&gt;"",O467,9999999999999)*1.1,deployment_raw[[#This Row],[Column11]] * IF($E$2="Deployment",deployment_raw[[#This Row],[Column5]],1)/1048576)),"")</f>
        <v/>
      </c>
      <c r="L467" s="124" t="str">
        <f>IF(ISNUMBER(deployment_raw[[#This Row],[Column8]]),IF(OR(deployment_raw[[#This Row],[Column5]] &lt;&gt; 0,$E$2 &lt;&gt; "Deployment"), MAX(J467, P467, R467, ($L$2 * IF($E$2="Deployment",deployment_raw[[#This Row],[Column5]],1)),IF(T467&lt;&gt;"",VALUE(T467) * IF($E$2="Deployment",deployment_raw[[#This Row],[Column5]],1),0)), 0),"")</f>
        <v/>
      </c>
      <c r="M467" s="125" t="str">
        <f>IF(ISNUMBER(deployment_raw[[#This Row],[Column9]]),IF(OR(deployment_raw[[#This Row],[Column5]] &lt;&gt; 0,$E$2&lt;&gt;"Deployment"), MAX(K467, Q467, S467, ($M$2 * IF($E$2="Deployment",deployment_raw[[#This Row],[Column5]],1)),IF(U467&lt;&gt;"",VALUE(U467) * IF($E$2="Deployment",deployment_raw[[#This Row],[Column5]],1),0)), 0),"")</f>
        <v/>
      </c>
      <c r="N467" s="166" t="str">
        <f>IF(ISNUMBER(deployment_raw[[#This Row],[Column14]]), deployment_raw[[#This Row],[Column14]]/IF(OR($E$2="Deployment",deployment_raw[[#This Row],[Column5]]=0),1,deployment_raw[[#This Row],[Column5]]),"")</f>
        <v/>
      </c>
      <c r="O467" s="167" t="str">
        <f>IF(ISNUMBER(deployment_raw[[#This Row],[Column15]]), deployment_raw[[#This Row],[Column15]]/IF(OR($E$2="Deployment",deployment_raw[[#This Row],[Column5]]=0),1,deployment_raw[[#This Row],[Column5]])/1048576,"")</f>
        <v/>
      </c>
      <c r="P467" s="168" t="str">
        <f>IF(ISNUMBER(deployment_raw[[#This Row],[Column12]]), (MIN(IF(N467&lt;&gt;"",N467,9999999999999)*1.1,deployment_raw[[#This Row],[Column12]] * IF($E$2="Deployment",deployment_raw[[#This Row],[Column5]],1))*(1+$P$2)),"")</f>
        <v/>
      </c>
      <c r="Q467" s="167" t="str">
        <f>IF(ISNUMBER(deployment_raw[[#This Row],[Column13]]), (MIN(IF(O467&lt;&gt;"",O467,9999999999999)*1.1,deployment_raw[[#This Row],[Column13]] * IF($E$2="Deployment",deployment_raw[[#This Row],[Column5]],1)*(1+$Q$2)/1048576)),"")</f>
        <v/>
      </c>
      <c r="R467" s="169" t="str">
        <f>IF(ISNUMBER(deployment_raw[[#This Row],[Column8]]), (H467  * IF(N467&lt;&gt;0,$R$2,1)),"")</f>
        <v/>
      </c>
      <c r="S467" s="170" t="str">
        <f>IF(ISNUMBER(deployment_raw[[#This Row],[Column8]]), (I467  * IF(O467&lt;&gt;0,$S$2,1)),"")</f>
        <v/>
      </c>
      <c r="T467" s="202" t="str">
        <f>IF(AND(A467&lt;&gt;"",_xlfn.IFNA(MATCH(A467,'dynamic resource application '!$A$2:$A$100, 0),0)&lt;&gt;0), H467/(IF($E$2="Deployment",E467,1)),"")</f>
        <v/>
      </c>
      <c r="U467" s="211" t="str">
        <f>IF(AND(A467&lt;&gt;"",_xlfn.IFNA(MATCH(A467,'dynamic resource application '!$A$2:$A$100, 0),0)&lt;&gt;0), I467/(IF($E$2="Deployment",E467,1)),"")</f>
        <v/>
      </c>
    </row>
    <row r="468" spans="1:21" ht="15.75" customHeight="1" x14ac:dyDescent="0.25">
      <c r="A468" s="35" t="str">
        <f>IF(ISNONTEXT(deployment_raw[[#This Row],[Column1]]), "", deployment_raw[[#This Row],[Column1]])</f>
        <v/>
      </c>
      <c r="B468" s="36" t="str">
        <f>IF(ISNONTEXT(deployment_raw[[#This Row],[Column2]]), "", deployment_raw[[#This Row],[Column2]])</f>
        <v/>
      </c>
      <c r="C468" s="36" t="str">
        <f>IF(ISNONTEXT(deployment_raw[[#This Row],[Column3]]), "", deployment_raw[[#This Row],[Column3]])</f>
        <v/>
      </c>
      <c r="D468" s="36" t="str">
        <f>IF(ISNONTEXT(deployment_raw[[#This Row],[Column4]]), "", deployment_raw[[#This Row],[Column4]])</f>
        <v/>
      </c>
      <c r="E468" s="37" t="str">
        <f>IF(ISNUMBER(deployment_raw[[#This Row],[Column5]]), deployment_raw[[#This Row],[Column5]],"")</f>
        <v/>
      </c>
      <c r="F468" s="94" t="str">
        <f>IF(ISNUMBER(deployment_raw[[#This Row],[Column6]]), (deployment_raw[[#This Row],[Column6]] * IF($E$2="Deployment",deployment_raw[[#This Row],[Column5]],1)),"")</f>
        <v/>
      </c>
      <c r="G468" s="95" t="str">
        <f>IF(ISNUMBER(deployment_raw[[#This Row],[Column7]]), (deployment_raw[[#This Row],[Column7]] * IF($E$2="Deployment",deployment_raw[[#This Row],[Column5]],1))/1048576,"")</f>
        <v/>
      </c>
      <c r="H468" s="95" t="str">
        <f>IF(ISNUMBER(deployment_raw[[#This Row],[Column8]]), (deployment_raw[[#This Row],[Column8]]  * IF($E$2="Deployment",deployment_raw[[#This Row],[Column5]],1)),"")</f>
        <v/>
      </c>
      <c r="I468" s="96" t="str">
        <f>IF(ISNUMBER(deployment_raw[[#This Row],[Column9]]), (deployment_raw[[#This Row],[Column9]] * IF($E$2="Deployment",deployment_raw[[#This Row],[Column5]],1))/1048576,"")</f>
        <v/>
      </c>
      <c r="J468" s="122" t="str">
        <f>IF(ISNUMBER(deployment_raw[[#This Row],[Column10]]), (MIN(IF(N468&lt;&gt;"",N468,9999999999999)*1.1,deployment_raw[[#This Row],[Column10]] * IF($E$2="Deployment",deployment_raw[[#This Row],[Column5]],1))),"")</f>
        <v/>
      </c>
      <c r="K468" s="123" t="str">
        <f>IF(ISNUMBER(deployment_raw[[#This Row],[Column11]]), (MIN(IF(O468&lt;&gt;"",O468,9999999999999)*1.1,deployment_raw[[#This Row],[Column11]] * IF($E$2="Deployment",deployment_raw[[#This Row],[Column5]],1)/1048576)),"")</f>
        <v/>
      </c>
      <c r="L468" s="124" t="str">
        <f>IF(ISNUMBER(deployment_raw[[#This Row],[Column8]]),IF(OR(deployment_raw[[#This Row],[Column5]] &lt;&gt; 0,$E$2 &lt;&gt; "Deployment"), MAX(J468, P468, R468, ($L$2 * IF($E$2="Deployment",deployment_raw[[#This Row],[Column5]],1)),IF(T468&lt;&gt;"",VALUE(T468) * IF($E$2="Deployment",deployment_raw[[#This Row],[Column5]],1),0)), 0),"")</f>
        <v/>
      </c>
      <c r="M468" s="125" t="str">
        <f>IF(ISNUMBER(deployment_raw[[#This Row],[Column9]]),IF(OR(deployment_raw[[#This Row],[Column5]] &lt;&gt; 0,$E$2&lt;&gt;"Deployment"), MAX(K468, Q468, S468, ($M$2 * IF($E$2="Deployment",deployment_raw[[#This Row],[Column5]],1)),IF(U468&lt;&gt;"",VALUE(U468) * IF($E$2="Deployment",deployment_raw[[#This Row],[Column5]],1),0)), 0),"")</f>
        <v/>
      </c>
      <c r="N468" s="166" t="str">
        <f>IF(ISNUMBER(deployment_raw[[#This Row],[Column14]]), deployment_raw[[#This Row],[Column14]]/IF(OR($E$2="Deployment",deployment_raw[[#This Row],[Column5]]=0),1,deployment_raw[[#This Row],[Column5]]),"")</f>
        <v/>
      </c>
      <c r="O468" s="167" t="str">
        <f>IF(ISNUMBER(deployment_raw[[#This Row],[Column15]]), deployment_raw[[#This Row],[Column15]]/IF(OR($E$2="Deployment",deployment_raw[[#This Row],[Column5]]=0),1,deployment_raw[[#This Row],[Column5]])/1048576,"")</f>
        <v/>
      </c>
      <c r="P468" s="168" t="str">
        <f>IF(ISNUMBER(deployment_raw[[#This Row],[Column12]]), (MIN(IF(N468&lt;&gt;"",N468,9999999999999)*1.1,deployment_raw[[#This Row],[Column12]] * IF($E$2="Deployment",deployment_raw[[#This Row],[Column5]],1))*(1+$P$2)),"")</f>
        <v/>
      </c>
      <c r="Q468" s="167" t="str">
        <f>IF(ISNUMBER(deployment_raw[[#This Row],[Column13]]), (MIN(IF(O468&lt;&gt;"",O468,9999999999999)*1.1,deployment_raw[[#This Row],[Column13]] * IF($E$2="Deployment",deployment_raw[[#This Row],[Column5]],1)*(1+$Q$2)/1048576)),"")</f>
        <v/>
      </c>
      <c r="R468" s="169" t="str">
        <f>IF(ISNUMBER(deployment_raw[[#This Row],[Column8]]), (H468  * IF(N468&lt;&gt;0,$R$2,1)),"")</f>
        <v/>
      </c>
      <c r="S468" s="170" t="str">
        <f>IF(ISNUMBER(deployment_raw[[#This Row],[Column8]]), (I468  * IF(O468&lt;&gt;0,$S$2,1)),"")</f>
        <v/>
      </c>
      <c r="T468" s="202" t="str">
        <f>IF(AND(A468&lt;&gt;"",_xlfn.IFNA(MATCH(A468,'dynamic resource application '!$A$2:$A$100, 0),0)&lt;&gt;0), H468/(IF($E$2="Deployment",E468,1)),"")</f>
        <v/>
      </c>
      <c r="U468" s="211" t="str">
        <f>IF(AND(A468&lt;&gt;"",_xlfn.IFNA(MATCH(A468,'dynamic resource application '!$A$2:$A$100, 0),0)&lt;&gt;0), I468/(IF($E$2="Deployment",E468,1)),"")</f>
        <v/>
      </c>
    </row>
    <row r="469" spans="1:21" ht="15.75" customHeight="1" x14ac:dyDescent="0.25">
      <c r="A469" s="35" t="str">
        <f>IF(ISNONTEXT(deployment_raw[[#This Row],[Column1]]), "", deployment_raw[[#This Row],[Column1]])</f>
        <v/>
      </c>
      <c r="B469" s="36" t="str">
        <f>IF(ISNONTEXT(deployment_raw[[#This Row],[Column2]]), "", deployment_raw[[#This Row],[Column2]])</f>
        <v/>
      </c>
      <c r="C469" s="36" t="str">
        <f>IF(ISNONTEXT(deployment_raw[[#This Row],[Column3]]), "", deployment_raw[[#This Row],[Column3]])</f>
        <v/>
      </c>
      <c r="D469" s="36" t="str">
        <f>IF(ISNONTEXT(deployment_raw[[#This Row],[Column4]]), "", deployment_raw[[#This Row],[Column4]])</f>
        <v/>
      </c>
      <c r="E469" s="37" t="str">
        <f>IF(ISNUMBER(deployment_raw[[#This Row],[Column5]]), deployment_raw[[#This Row],[Column5]],"")</f>
        <v/>
      </c>
      <c r="F469" s="94" t="str">
        <f>IF(ISNUMBER(deployment_raw[[#This Row],[Column6]]), (deployment_raw[[#This Row],[Column6]] * IF($E$2="Deployment",deployment_raw[[#This Row],[Column5]],1)),"")</f>
        <v/>
      </c>
      <c r="G469" s="95" t="str">
        <f>IF(ISNUMBER(deployment_raw[[#This Row],[Column7]]), (deployment_raw[[#This Row],[Column7]] * IF($E$2="Deployment",deployment_raw[[#This Row],[Column5]],1))/1048576,"")</f>
        <v/>
      </c>
      <c r="H469" s="95" t="str">
        <f>IF(ISNUMBER(deployment_raw[[#This Row],[Column8]]), (deployment_raw[[#This Row],[Column8]]  * IF($E$2="Deployment",deployment_raw[[#This Row],[Column5]],1)),"")</f>
        <v/>
      </c>
      <c r="I469" s="96" t="str">
        <f>IF(ISNUMBER(deployment_raw[[#This Row],[Column9]]), (deployment_raw[[#This Row],[Column9]] * IF($E$2="Deployment",deployment_raw[[#This Row],[Column5]],1))/1048576,"")</f>
        <v/>
      </c>
      <c r="J469" s="122" t="str">
        <f>IF(ISNUMBER(deployment_raw[[#This Row],[Column10]]), (MIN(IF(N469&lt;&gt;"",N469,9999999999999)*1.1,deployment_raw[[#This Row],[Column10]] * IF($E$2="Deployment",deployment_raw[[#This Row],[Column5]],1))),"")</f>
        <v/>
      </c>
      <c r="K469" s="123" t="str">
        <f>IF(ISNUMBER(deployment_raw[[#This Row],[Column11]]), (MIN(IF(O469&lt;&gt;"",O469,9999999999999)*1.1,deployment_raw[[#This Row],[Column11]] * IF($E$2="Deployment",deployment_raw[[#This Row],[Column5]],1)/1048576)),"")</f>
        <v/>
      </c>
      <c r="L469" s="124" t="str">
        <f>IF(ISNUMBER(deployment_raw[[#This Row],[Column8]]),IF(OR(deployment_raw[[#This Row],[Column5]] &lt;&gt; 0,$E$2 &lt;&gt; "Deployment"), MAX(J469, P469, R469, ($L$2 * IF($E$2="Deployment",deployment_raw[[#This Row],[Column5]],1)),IF(T469&lt;&gt;"",VALUE(T469) * IF($E$2="Deployment",deployment_raw[[#This Row],[Column5]],1),0)), 0),"")</f>
        <v/>
      </c>
      <c r="M469" s="125" t="str">
        <f>IF(ISNUMBER(deployment_raw[[#This Row],[Column9]]),IF(OR(deployment_raw[[#This Row],[Column5]] &lt;&gt; 0,$E$2&lt;&gt;"Deployment"), MAX(K469, Q469, S469, ($M$2 * IF($E$2="Deployment",deployment_raw[[#This Row],[Column5]],1)),IF(U469&lt;&gt;"",VALUE(U469) * IF($E$2="Deployment",deployment_raw[[#This Row],[Column5]],1),0)), 0),"")</f>
        <v/>
      </c>
      <c r="N469" s="166" t="str">
        <f>IF(ISNUMBER(deployment_raw[[#This Row],[Column14]]), deployment_raw[[#This Row],[Column14]]/IF(OR($E$2="Deployment",deployment_raw[[#This Row],[Column5]]=0),1,deployment_raw[[#This Row],[Column5]]),"")</f>
        <v/>
      </c>
      <c r="O469" s="167" t="str">
        <f>IF(ISNUMBER(deployment_raw[[#This Row],[Column15]]), deployment_raw[[#This Row],[Column15]]/IF(OR($E$2="Deployment",deployment_raw[[#This Row],[Column5]]=0),1,deployment_raw[[#This Row],[Column5]])/1048576,"")</f>
        <v/>
      </c>
      <c r="P469" s="168" t="str">
        <f>IF(ISNUMBER(deployment_raw[[#This Row],[Column12]]), (MIN(IF(N469&lt;&gt;"",N469,9999999999999)*1.1,deployment_raw[[#This Row],[Column12]] * IF($E$2="Deployment",deployment_raw[[#This Row],[Column5]],1))*(1+$P$2)),"")</f>
        <v/>
      </c>
      <c r="Q469" s="167" t="str">
        <f>IF(ISNUMBER(deployment_raw[[#This Row],[Column13]]), (MIN(IF(O469&lt;&gt;"",O469,9999999999999)*1.1,deployment_raw[[#This Row],[Column13]] * IF($E$2="Deployment",deployment_raw[[#This Row],[Column5]],1)*(1+$Q$2)/1048576)),"")</f>
        <v/>
      </c>
      <c r="R469" s="169" t="str">
        <f>IF(ISNUMBER(deployment_raw[[#This Row],[Column8]]), (H469  * IF(N469&lt;&gt;0,$R$2,1)),"")</f>
        <v/>
      </c>
      <c r="S469" s="170" t="str">
        <f>IF(ISNUMBER(deployment_raw[[#This Row],[Column8]]), (I469  * IF(O469&lt;&gt;0,$S$2,1)),"")</f>
        <v/>
      </c>
      <c r="T469" s="202" t="str">
        <f>IF(AND(A469&lt;&gt;"",_xlfn.IFNA(MATCH(A469,'dynamic resource application '!$A$2:$A$100, 0),0)&lt;&gt;0), H469/(IF($E$2="Deployment",E469,1)),"")</f>
        <v/>
      </c>
      <c r="U469" s="211" t="str">
        <f>IF(AND(A469&lt;&gt;"",_xlfn.IFNA(MATCH(A469,'dynamic resource application '!$A$2:$A$100, 0),0)&lt;&gt;0), I469/(IF($E$2="Deployment",E469,1)),"")</f>
        <v/>
      </c>
    </row>
    <row r="470" spans="1:21" ht="15.75" customHeight="1" x14ac:dyDescent="0.25">
      <c r="A470" s="35" t="str">
        <f>IF(ISNONTEXT(deployment_raw[[#This Row],[Column1]]), "", deployment_raw[[#This Row],[Column1]])</f>
        <v/>
      </c>
      <c r="B470" s="36" t="str">
        <f>IF(ISNONTEXT(deployment_raw[[#This Row],[Column2]]), "", deployment_raw[[#This Row],[Column2]])</f>
        <v/>
      </c>
      <c r="C470" s="36" t="str">
        <f>IF(ISNONTEXT(deployment_raw[[#This Row],[Column3]]), "", deployment_raw[[#This Row],[Column3]])</f>
        <v/>
      </c>
      <c r="D470" s="36" t="str">
        <f>IF(ISNONTEXT(deployment_raw[[#This Row],[Column4]]), "", deployment_raw[[#This Row],[Column4]])</f>
        <v/>
      </c>
      <c r="E470" s="37" t="str">
        <f>IF(ISNUMBER(deployment_raw[[#This Row],[Column5]]), deployment_raw[[#This Row],[Column5]],"")</f>
        <v/>
      </c>
      <c r="F470" s="94" t="str">
        <f>IF(ISNUMBER(deployment_raw[[#This Row],[Column6]]), (deployment_raw[[#This Row],[Column6]] * IF($E$2="Deployment",deployment_raw[[#This Row],[Column5]],1)),"")</f>
        <v/>
      </c>
      <c r="G470" s="95" t="str">
        <f>IF(ISNUMBER(deployment_raw[[#This Row],[Column7]]), (deployment_raw[[#This Row],[Column7]] * IF($E$2="Deployment",deployment_raw[[#This Row],[Column5]],1))/1048576,"")</f>
        <v/>
      </c>
      <c r="H470" s="95" t="str">
        <f>IF(ISNUMBER(deployment_raw[[#This Row],[Column8]]), (deployment_raw[[#This Row],[Column8]]  * IF($E$2="Deployment",deployment_raw[[#This Row],[Column5]],1)),"")</f>
        <v/>
      </c>
      <c r="I470" s="96" t="str">
        <f>IF(ISNUMBER(deployment_raw[[#This Row],[Column9]]), (deployment_raw[[#This Row],[Column9]] * IF($E$2="Deployment",deployment_raw[[#This Row],[Column5]],1))/1048576,"")</f>
        <v/>
      </c>
      <c r="J470" s="122" t="str">
        <f>IF(ISNUMBER(deployment_raw[[#This Row],[Column10]]), (MIN(IF(N470&lt;&gt;"",N470,9999999999999)*1.1,deployment_raw[[#This Row],[Column10]] * IF($E$2="Deployment",deployment_raw[[#This Row],[Column5]],1))),"")</f>
        <v/>
      </c>
      <c r="K470" s="123" t="str">
        <f>IF(ISNUMBER(deployment_raw[[#This Row],[Column11]]), (MIN(IF(O470&lt;&gt;"",O470,9999999999999)*1.1,deployment_raw[[#This Row],[Column11]] * IF($E$2="Deployment",deployment_raw[[#This Row],[Column5]],1)/1048576)),"")</f>
        <v/>
      </c>
      <c r="L470" s="124" t="str">
        <f>IF(ISNUMBER(deployment_raw[[#This Row],[Column8]]),IF(OR(deployment_raw[[#This Row],[Column5]] &lt;&gt; 0,$E$2 &lt;&gt; "Deployment"), MAX(J470, P470, R470, ($L$2 * IF($E$2="Deployment",deployment_raw[[#This Row],[Column5]],1)),IF(T470&lt;&gt;"",VALUE(T470) * IF($E$2="Deployment",deployment_raw[[#This Row],[Column5]],1),0)), 0),"")</f>
        <v/>
      </c>
      <c r="M470" s="125" t="str">
        <f>IF(ISNUMBER(deployment_raw[[#This Row],[Column9]]),IF(OR(deployment_raw[[#This Row],[Column5]] &lt;&gt; 0,$E$2&lt;&gt;"Deployment"), MAX(K470, Q470, S470, ($M$2 * IF($E$2="Deployment",deployment_raw[[#This Row],[Column5]],1)),IF(U470&lt;&gt;"",VALUE(U470) * IF($E$2="Deployment",deployment_raw[[#This Row],[Column5]],1),0)), 0),"")</f>
        <v/>
      </c>
      <c r="N470" s="166" t="str">
        <f>IF(ISNUMBER(deployment_raw[[#This Row],[Column14]]), deployment_raw[[#This Row],[Column14]]/IF(OR($E$2="Deployment",deployment_raw[[#This Row],[Column5]]=0),1,deployment_raw[[#This Row],[Column5]]),"")</f>
        <v/>
      </c>
      <c r="O470" s="167" t="str">
        <f>IF(ISNUMBER(deployment_raw[[#This Row],[Column15]]), deployment_raw[[#This Row],[Column15]]/IF(OR($E$2="Deployment",deployment_raw[[#This Row],[Column5]]=0),1,deployment_raw[[#This Row],[Column5]])/1048576,"")</f>
        <v/>
      </c>
      <c r="P470" s="168" t="str">
        <f>IF(ISNUMBER(deployment_raw[[#This Row],[Column12]]), (MIN(IF(N470&lt;&gt;"",N470,9999999999999)*1.1,deployment_raw[[#This Row],[Column12]] * IF($E$2="Deployment",deployment_raw[[#This Row],[Column5]],1))*(1+$P$2)),"")</f>
        <v/>
      </c>
      <c r="Q470" s="167" t="str">
        <f>IF(ISNUMBER(deployment_raw[[#This Row],[Column13]]), (MIN(IF(O470&lt;&gt;"",O470,9999999999999)*1.1,deployment_raw[[#This Row],[Column13]] * IF($E$2="Deployment",deployment_raw[[#This Row],[Column5]],1)*(1+$Q$2)/1048576)),"")</f>
        <v/>
      </c>
      <c r="R470" s="169" t="str">
        <f>IF(ISNUMBER(deployment_raw[[#This Row],[Column8]]), (H470  * IF(N470&lt;&gt;0,$R$2,1)),"")</f>
        <v/>
      </c>
      <c r="S470" s="170" t="str">
        <f>IF(ISNUMBER(deployment_raw[[#This Row],[Column8]]), (I470  * IF(O470&lt;&gt;0,$S$2,1)),"")</f>
        <v/>
      </c>
      <c r="T470" s="202" t="str">
        <f>IF(AND(A470&lt;&gt;"",_xlfn.IFNA(MATCH(A470,'dynamic resource application '!$A$2:$A$100, 0),0)&lt;&gt;0), H470/(IF($E$2="Deployment",E470,1)),"")</f>
        <v/>
      </c>
      <c r="U470" s="211" t="str">
        <f>IF(AND(A470&lt;&gt;"",_xlfn.IFNA(MATCH(A470,'dynamic resource application '!$A$2:$A$100, 0),0)&lt;&gt;0), I470/(IF($E$2="Deployment",E470,1)),"")</f>
        <v/>
      </c>
    </row>
    <row r="471" spans="1:21" ht="15.75" customHeight="1" x14ac:dyDescent="0.25">
      <c r="A471" s="35" t="str">
        <f>IF(ISNONTEXT(deployment_raw[[#This Row],[Column1]]), "", deployment_raw[[#This Row],[Column1]])</f>
        <v/>
      </c>
      <c r="B471" s="36" t="str">
        <f>IF(ISNONTEXT(deployment_raw[[#This Row],[Column2]]), "", deployment_raw[[#This Row],[Column2]])</f>
        <v/>
      </c>
      <c r="C471" s="36" t="str">
        <f>IF(ISNONTEXT(deployment_raw[[#This Row],[Column3]]), "", deployment_raw[[#This Row],[Column3]])</f>
        <v/>
      </c>
      <c r="D471" s="36" t="str">
        <f>IF(ISNONTEXT(deployment_raw[[#This Row],[Column4]]), "", deployment_raw[[#This Row],[Column4]])</f>
        <v/>
      </c>
      <c r="E471" s="37" t="str">
        <f>IF(ISNUMBER(deployment_raw[[#This Row],[Column5]]), deployment_raw[[#This Row],[Column5]],"")</f>
        <v/>
      </c>
      <c r="F471" s="94" t="str">
        <f>IF(ISNUMBER(deployment_raw[[#This Row],[Column6]]), (deployment_raw[[#This Row],[Column6]] * IF($E$2="Deployment",deployment_raw[[#This Row],[Column5]],1)),"")</f>
        <v/>
      </c>
      <c r="G471" s="95" t="str">
        <f>IF(ISNUMBER(deployment_raw[[#This Row],[Column7]]), (deployment_raw[[#This Row],[Column7]] * IF($E$2="Deployment",deployment_raw[[#This Row],[Column5]],1))/1048576,"")</f>
        <v/>
      </c>
      <c r="H471" s="95" t="str">
        <f>IF(ISNUMBER(deployment_raw[[#This Row],[Column8]]), (deployment_raw[[#This Row],[Column8]]  * IF($E$2="Deployment",deployment_raw[[#This Row],[Column5]],1)),"")</f>
        <v/>
      </c>
      <c r="I471" s="96" t="str">
        <f>IF(ISNUMBER(deployment_raw[[#This Row],[Column9]]), (deployment_raw[[#This Row],[Column9]] * IF($E$2="Deployment",deployment_raw[[#This Row],[Column5]],1))/1048576,"")</f>
        <v/>
      </c>
      <c r="J471" s="122" t="str">
        <f>IF(ISNUMBER(deployment_raw[[#This Row],[Column10]]), (MIN(IF(N471&lt;&gt;"",N471,9999999999999)*1.1,deployment_raw[[#This Row],[Column10]] * IF($E$2="Deployment",deployment_raw[[#This Row],[Column5]],1))),"")</f>
        <v/>
      </c>
      <c r="K471" s="123" t="str">
        <f>IF(ISNUMBER(deployment_raw[[#This Row],[Column11]]), (MIN(IF(O471&lt;&gt;"",O471,9999999999999)*1.1,deployment_raw[[#This Row],[Column11]] * IF($E$2="Deployment",deployment_raw[[#This Row],[Column5]],1)/1048576)),"")</f>
        <v/>
      </c>
      <c r="L471" s="124" t="str">
        <f>IF(ISNUMBER(deployment_raw[[#This Row],[Column8]]),IF(OR(deployment_raw[[#This Row],[Column5]] &lt;&gt; 0,$E$2 &lt;&gt; "Deployment"), MAX(J471, P471, R471, ($L$2 * IF($E$2="Deployment",deployment_raw[[#This Row],[Column5]],1)),IF(T471&lt;&gt;"",VALUE(T471) * IF($E$2="Deployment",deployment_raw[[#This Row],[Column5]],1),0)), 0),"")</f>
        <v/>
      </c>
      <c r="M471" s="125" t="str">
        <f>IF(ISNUMBER(deployment_raw[[#This Row],[Column9]]),IF(OR(deployment_raw[[#This Row],[Column5]] &lt;&gt; 0,$E$2&lt;&gt;"Deployment"), MAX(K471, Q471, S471, ($M$2 * IF($E$2="Deployment",deployment_raw[[#This Row],[Column5]],1)),IF(U471&lt;&gt;"",VALUE(U471) * IF($E$2="Deployment",deployment_raw[[#This Row],[Column5]],1),0)), 0),"")</f>
        <v/>
      </c>
      <c r="N471" s="166" t="str">
        <f>IF(ISNUMBER(deployment_raw[[#This Row],[Column14]]), deployment_raw[[#This Row],[Column14]]/IF(OR($E$2="Deployment",deployment_raw[[#This Row],[Column5]]=0),1,deployment_raw[[#This Row],[Column5]]),"")</f>
        <v/>
      </c>
      <c r="O471" s="167" t="str">
        <f>IF(ISNUMBER(deployment_raw[[#This Row],[Column15]]), deployment_raw[[#This Row],[Column15]]/IF(OR($E$2="Deployment",deployment_raw[[#This Row],[Column5]]=0),1,deployment_raw[[#This Row],[Column5]])/1048576,"")</f>
        <v/>
      </c>
      <c r="P471" s="168" t="str">
        <f>IF(ISNUMBER(deployment_raw[[#This Row],[Column12]]), (MIN(IF(N471&lt;&gt;"",N471,9999999999999)*1.1,deployment_raw[[#This Row],[Column12]] * IF($E$2="Deployment",deployment_raw[[#This Row],[Column5]],1))*(1+$P$2)),"")</f>
        <v/>
      </c>
      <c r="Q471" s="167" t="str">
        <f>IF(ISNUMBER(deployment_raw[[#This Row],[Column13]]), (MIN(IF(O471&lt;&gt;"",O471,9999999999999)*1.1,deployment_raw[[#This Row],[Column13]] * IF($E$2="Deployment",deployment_raw[[#This Row],[Column5]],1)*(1+$Q$2)/1048576)),"")</f>
        <v/>
      </c>
      <c r="R471" s="169" t="str">
        <f>IF(ISNUMBER(deployment_raw[[#This Row],[Column8]]), (H471  * IF(N471&lt;&gt;0,$R$2,1)),"")</f>
        <v/>
      </c>
      <c r="S471" s="170" t="str">
        <f>IF(ISNUMBER(deployment_raw[[#This Row],[Column8]]), (I471  * IF(O471&lt;&gt;0,$S$2,1)),"")</f>
        <v/>
      </c>
      <c r="T471" s="202" t="str">
        <f>IF(AND(A471&lt;&gt;"",_xlfn.IFNA(MATCH(A471,'dynamic resource application '!$A$2:$A$100, 0),0)&lt;&gt;0), H471/(IF($E$2="Deployment",E471,1)),"")</f>
        <v/>
      </c>
      <c r="U471" s="211" t="str">
        <f>IF(AND(A471&lt;&gt;"",_xlfn.IFNA(MATCH(A471,'dynamic resource application '!$A$2:$A$100, 0),0)&lt;&gt;0), I471/(IF($E$2="Deployment",E471,1)),"")</f>
        <v/>
      </c>
    </row>
    <row r="472" spans="1:21" ht="15.75" customHeight="1" x14ac:dyDescent="0.25">
      <c r="A472" s="35" t="str">
        <f>IF(ISNONTEXT(deployment_raw[[#This Row],[Column1]]), "", deployment_raw[[#This Row],[Column1]])</f>
        <v/>
      </c>
      <c r="B472" s="36" t="str">
        <f>IF(ISNONTEXT(deployment_raw[[#This Row],[Column2]]), "", deployment_raw[[#This Row],[Column2]])</f>
        <v/>
      </c>
      <c r="C472" s="36" t="str">
        <f>IF(ISNONTEXT(deployment_raw[[#This Row],[Column3]]), "", deployment_raw[[#This Row],[Column3]])</f>
        <v/>
      </c>
      <c r="D472" s="36" t="str">
        <f>IF(ISNONTEXT(deployment_raw[[#This Row],[Column4]]), "", deployment_raw[[#This Row],[Column4]])</f>
        <v/>
      </c>
      <c r="E472" s="37" t="str">
        <f>IF(ISNUMBER(deployment_raw[[#This Row],[Column5]]), deployment_raw[[#This Row],[Column5]],"")</f>
        <v/>
      </c>
      <c r="F472" s="94" t="str">
        <f>IF(ISNUMBER(deployment_raw[[#This Row],[Column6]]), (deployment_raw[[#This Row],[Column6]] * IF($E$2="Deployment",deployment_raw[[#This Row],[Column5]],1)),"")</f>
        <v/>
      </c>
      <c r="G472" s="95" t="str">
        <f>IF(ISNUMBER(deployment_raw[[#This Row],[Column7]]), (deployment_raw[[#This Row],[Column7]] * IF($E$2="Deployment",deployment_raw[[#This Row],[Column5]],1))/1048576,"")</f>
        <v/>
      </c>
      <c r="H472" s="95" t="str">
        <f>IF(ISNUMBER(deployment_raw[[#This Row],[Column8]]), (deployment_raw[[#This Row],[Column8]]  * IF($E$2="Deployment",deployment_raw[[#This Row],[Column5]],1)),"")</f>
        <v/>
      </c>
      <c r="I472" s="96" t="str">
        <f>IF(ISNUMBER(deployment_raw[[#This Row],[Column9]]), (deployment_raw[[#This Row],[Column9]] * IF($E$2="Deployment",deployment_raw[[#This Row],[Column5]],1))/1048576,"")</f>
        <v/>
      </c>
      <c r="J472" s="122" t="str">
        <f>IF(ISNUMBER(deployment_raw[[#This Row],[Column10]]), (MIN(IF(N472&lt;&gt;"",N472,9999999999999)*1.1,deployment_raw[[#This Row],[Column10]] * IF($E$2="Deployment",deployment_raw[[#This Row],[Column5]],1))),"")</f>
        <v/>
      </c>
      <c r="K472" s="123" t="str">
        <f>IF(ISNUMBER(deployment_raw[[#This Row],[Column11]]), (MIN(IF(O472&lt;&gt;"",O472,9999999999999)*1.1,deployment_raw[[#This Row],[Column11]] * IF($E$2="Deployment",deployment_raw[[#This Row],[Column5]],1)/1048576)),"")</f>
        <v/>
      </c>
      <c r="L472" s="124" t="str">
        <f>IF(ISNUMBER(deployment_raw[[#This Row],[Column8]]),IF(OR(deployment_raw[[#This Row],[Column5]] &lt;&gt; 0,$E$2 &lt;&gt; "Deployment"), MAX(J472, P472, R472, ($L$2 * IF($E$2="Deployment",deployment_raw[[#This Row],[Column5]],1)),IF(T472&lt;&gt;"",VALUE(T472) * IF($E$2="Deployment",deployment_raw[[#This Row],[Column5]],1),0)), 0),"")</f>
        <v/>
      </c>
      <c r="M472" s="125" t="str">
        <f>IF(ISNUMBER(deployment_raw[[#This Row],[Column9]]),IF(OR(deployment_raw[[#This Row],[Column5]] &lt;&gt; 0,$E$2&lt;&gt;"Deployment"), MAX(K472, Q472, S472, ($M$2 * IF($E$2="Deployment",deployment_raw[[#This Row],[Column5]],1)),IF(U472&lt;&gt;"",VALUE(U472) * IF($E$2="Deployment",deployment_raw[[#This Row],[Column5]],1),0)), 0),"")</f>
        <v/>
      </c>
      <c r="N472" s="166" t="str">
        <f>IF(ISNUMBER(deployment_raw[[#This Row],[Column14]]), deployment_raw[[#This Row],[Column14]]/IF(OR($E$2="Deployment",deployment_raw[[#This Row],[Column5]]=0),1,deployment_raw[[#This Row],[Column5]]),"")</f>
        <v/>
      </c>
      <c r="O472" s="167" t="str">
        <f>IF(ISNUMBER(deployment_raw[[#This Row],[Column15]]), deployment_raw[[#This Row],[Column15]]/IF(OR($E$2="Deployment",deployment_raw[[#This Row],[Column5]]=0),1,deployment_raw[[#This Row],[Column5]])/1048576,"")</f>
        <v/>
      </c>
      <c r="P472" s="168" t="str">
        <f>IF(ISNUMBER(deployment_raw[[#This Row],[Column12]]), (MIN(IF(N472&lt;&gt;"",N472,9999999999999)*1.1,deployment_raw[[#This Row],[Column12]] * IF($E$2="Deployment",deployment_raw[[#This Row],[Column5]],1))*(1+$P$2)),"")</f>
        <v/>
      </c>
      <c r="Q472" s="167" t="str">
        <f>IF(ISNUMBER(deployment_raw[[#This Row],[Column13]]), (MIN(IF(O472&lt;&gt;"",O472,9999999999999)*1.1,deployment_raw[[#This Row],[Column13]] * IF($E$2="Deployment",deployment_raw[[#This Row],[Column5]],1)*(1+$Q$2)/1048576)),"")</f>
        <v/>
      </c>
      <c r="R472" s="169" t="str">
        <f>IF(ISNUMBER(deployment_raw[[#This Row],[Column8]]), (H472  * IF(N472&lt;&gt;0,$R$2,1)),"")</f>
        <v/>
      </c>
      <c r="S472" s="170" t="str">
        <f>IF(ISNUMBER(deployment_raw[[#This Row],[Column8]]), (I472  * IF(O472&lt;&gt;0,$S$2,1)),"")</f>
        <v/>
      </c>
      <c r="T472" s="202" t="str">
        <f>IF(AND(A472&lt;&gt;"",_xlfn.IFNA(MATCH(A472,'dynamic resource application '!$A$2:$A$100, 0),0)&lt;&gt;0), H472/(IF($E$2="Deployment",E472,1)),"")</f>
        <v/>
      </c>
      <c r="U472" s="211" t="str">
        <f>IF(AND(A472&lt;&gt;"",_xlfn.IFNA(MATCH(A472,'dynamic resource application '!$A$2:$A$100, 0),0)&lt;&gt;0), I472/(IF($E$2="Deployment",E472,1)),"")</f>
        <v/>
      </c>
    </row>
    <row r="473" spans="1:21" ht="15.75" customHeight="1" x14ac:dyDescent="0.25">
      <c r="A473" s="35" t="str">
        <f>IF(ISNONTEXT(deployment_raw[[#This Row],[Column1]]), "", deployment_raw[[#This Row],[Column1]])</f>
        <v/>
      </c>
      <c r="B473" s="36" t="str">
        <f>IF(ISNONTEXT(deployment_raw[[#This Row],[Column2]]), "", deployment_raw[[#This Row],[Column2]])</f>
        <v/>
      </c>
      <c r="C473" s="36" t="str">
        <f>IF(ISNONTEXT(deployment_raw[[#This Row],[Column3]]), "", deployment_raw[[#This Row],[Column3]])</f>
        <v/>
      </c>
      <c r="D473" s="36" t="str">
        <f>IF(ISNONTEXT(deployment_raw[[#This Row],[Column4]]), "", deployment_raw[[#This Row],[Column4]])</f>
        <v/>
      </c>
      <c r="E473" s="37" t="str">
        <f>IF(ISNUMBER(deployment_raw[[#This Row],[Column5]]), deployment_raw[[#This Row],[Column5]],"")</f>
        <v/>
      </c>
      <c r="F473" s="94" t="str">
        <f>IF(ISNUMBER(deployment_raw[[#This Row],[Column6]]), (deployment_raw[[#This Row],[Column6]] * IF($E$2="Deployment",deployment_raw[[#This Row],[Column5]],1)),"")</f>
        <v/>
      </c>
      <c r="G473" s="95" t="str">
        <f>IF(ISNUMBER(deployment_raw[[#This Row],[Column7]]), (deployment_raw[[#This Row],[Column7]] * IF($E$2="Deployment",deployment_raw[[#This Row],[Column5]],1))/1048576,"")</f>
        <v/>
      </c>
      <c r="H473" s="95" t="str">
        <f>IF(ISNUMBER(deployment_raw[[#This Row],[Column8]]), (deployment_raw[[#This Row],[Column8]]  * IF($E$2="Deployment",deployment_raw[[#This Row],[Column5]],1)),"")</f>
        <v/>
      </c>
      <c r="I473" s="96" t="str">
        <f>IF(ISNUMBER(deployment_raw[[#This Row],[Column9]]), (deployment_raw[[#This Row],[Column9]] * IF($E$2="Deployment",deployment_raw[[#This Row],[Column5]],1))/1048576,"")</f>
        <v/>
      </c>
      <c r="J473" s="122" t="str">
        <f>IF(ISNUMBER(deployment_raw[[#This Row],[Column10]]), (MIN(IF(N473&lt;&gt;"",N473,9999999999999)*1.1,deployment_raw[[#This Row],[Column10]] * IF($E$2="Deployment",deployment_raw[[#This Row],[Column5]],1))),"")</f>
        <v/>
      </c>
      <c r="K473" s="123" t="str">
        <f>IF(ISNUMBER(deployment_raw[[#This Row],[Column11]]), (MIN(IF(O473&lt;&gt;"",O473,9999999999999)*1.1,deployment_raw[[#This Row],[Column11]] * IF($E$2="Deployment",deployment_raw[[#This Row],[Column5]],1)/1048576)),"")</f>
        <v/>
      </c>
      <c r="L473" s="124" t="str">
        <f>IF(ISNUMBER(deployment_raw[[#This Row],[Column8]]),IF(OR(deployment_raw[[#This Row],[Column5]] &lt;&gt; 0,$E$2 &lt;&gt; "Deployment"), MAX(J473, P473, R473, ($L$2 * IF($E$2="Deployment",deployment_raw[[#This Row],[Column5]],1)),IF(T473&lt;&gt;"",VALUE(T473) * IF($E$2="Deployment",deployment_raw[[#This Row],[Column5]],1),0)), 0),"")</f>
        <v/>
      </c>
      <c r="M473" s="125" t="str">
        <f>IF(ISNUMBER(deployment_raw[[#This Row],[Column9]]),IF(OR(deployment_raw[[#This Row],[Column5]] &lt;&gt; 0,$E$2&lt;&gt;"Deployment"), MAX(K473, Q473, S473, ($M$2 * IF($E$2="Deployment",deployment_raw[[#This Row],[Column5]],1)),IF(U473&lt;&gt;"",VALUE(U473) * IF($E$2="Deployment",deployment_raw[[#This Row],[Column5]],1),0)), 0),"")</f>
        <v/>
      </c>
      <c r="N473" s="166" t="str">
        <f>IF(ISNUMBER(deployment_raw[[#This Row],[Column14]]), deployment_raw[[#This Row],[Column14]]/IF(OR($E$2="Deployment",deployment_raw[[#This Row],[Column5]]=0),1,deployment_raw[[#This Row],[Column5]]),"")</f>
        <v/>
      </c>
      <c r="O473" s="167" t="str">
        <f>IF(ISNUMBER(deployment_raw[[#This Row],[Column15]]), deployment_raw[[#This Row],[Column15]]/IF(OR($E$2="Deployment",deployment_raw[[#This Row],[Column5]]=0),1,deployment_raw[[#This Row],[Column5]])/1048576,"")</f>
        <v/>
      </c>
      <c r="P473" s="168" t="str">
        <f>IF(ISNUMBER(deployment_raw[[#This Row],[Column12]]), (MIN(IF(N473&lt;&gt;"",N473,9999999999999)*1.1,deployment_raw[[#This Row],[Column12]] * IF($E$2="Deployment",deployment_raw[[#This Row],[Column5]],1))*(1+$P$2)),"")</f>
        <v/>
      </c>
      <c r="Q473" s="167" t="str">
        <f>IF(ISNUMBER(deployment_raw[[#This Row],[Column13]]), (MIN(IF(O473&lt;&gt;"",O473,9999999999999)*1.1,deployment_raw[[#This Row],[Column13]] * IF($E$2="Deployment",deployment_raw[[#This Row],[Column5]],1)*(1+$Q$2)/1048576)),"")</f>
        <v/>
      </c>
      <c r="R473" s="169" t="str">
        <f>IF(ISNUMBER(deployment_raw[[#This Row],[Column8]]), (H473  * IF(N473&lt;&gt;0,$R$2,1)),"")</f>
        <v/>
      </c>
      <c r="S473" s="170" t="str">
        <f>IF(ISNUMBER(deployment_raw[[#This Row],[Column8]]), (I473  * IF(O473&lt;&gt;0,$S$2,1)),"")</f>
        <v/>
      </c>
      <c r="T473" s="202" t="str">
        <f>IF(AND(A473&lt;&gt;"",_xlfn.IFNA(MATCH(A473,'dynamic resource application '!$A$2:$A$100, 0),0)&lt;&gt;0), H473/(IF($E$2="Deployment",E473,1)),"")</f>
        <v/>
      </c>
      <c r="U473" s="211" t="str">
        <f>IF(AND(A473&lt;&gt;"",_xlfn.IFNA(MATCH(A473,'dynamic resource application '!$A$2:$A$100, 0),0)&lt;&gt;0), I473/(IF($E$2="Deployment",E473,1)),"")</f>
        <v/>
      </c>
    </row>
    <row r="474" spans="1:21" ht="15.75" customHeight="1" x14ac:dyDescent="0.25">
      <c r="A474" s="35" t="str">
        <f>IF(ISNONTEXT(deployment_raw[[#This Row],[Column1]]), "", deployment_raw[[#This Row],[Column1]])</f>
        <v/>
      </c>
      <c r="B474" s="36" t="str">
        <f>IF(ISNONTEXT(deployment_raw[[#This Row],[Column2]]), "", deployment_raw[[#This Row],[Column2]])</f>
        <v/>
      </c>
      <c r="C474" s="36" t="str">
        <f>IF(ISNONTEXT(deployment_raw[[#This Row],[Column3]]), "", deployment_raw[[#This Row],[Column3]])</f>
        <v/>
      </c>
      <c r="D474" s="36" t="str">
        <f>IF(ISNONTEXT(deployment_raw[[#This Row],[Column4]]), "", deployment_raw[[#This Row],[Column4]])</f>
        <v/>
      </c>
      <c r="E474" s="37" t="str">
        <f>IF(ISNUMBER(deployment_raw[[#This Row],[Column5]]), deployment_raw[[#This Row],[Column5]],"")</f>
        <v/>
      </c>
      <c r="F474" s="94" t="str">
        <f>IF(ISNUMBER(deployment_raw[[#This Row],[Column6]]), (deployment_raw[[#This Row],[Column6]] * IF($E$2="Deployment",deployment_raw[[#This Row],[Column5]],1)),"")</f>
        <v/>
      </c>
      <c r="G474" s="95" t="str">
        <f>IF(ISNUMBER(deployment_raw[[#This Row],[Column7]]), (deployment_raw[[#This Row],[Column7]] * IF($E$2="Deployment",deployment_raw[[#This Row],[Column5]],1))/1048576,"")</f>
        <v/>
      </c>
      <c r="H474" s="95" t="str">
        <f>IF(ISNUMBER(deployment_raw[[#This Row],[Column8]]), (deployment_raw[[#This Row],[Column8]]  * IF($E$2="Deployment",deployment_raw[[#This Row],[Column5]],1)),"")</f>
        <v/>
      </c>
      <c r="I474" s="96" t="str">
        <f>IF(ISNUMBER(deployment_raw[[#This Row],[Column9]]), (deployment_raw[[#This Row],[Column9]] * IF($E$2="Deployment",deployment_raw[[#This Row],[Column5]],1))/1048576,"")</f>
        <v/>
      </c>
      <c r="J474" s="122" t="str">
        <f>IF(ISNUMBER(deployment_raw[[#This Row],[Column10]]), (MIN(IF(N474&lt;&gt;"",N474,9999999999999)*1.1,deployment_raw[[#This Row],[Column10]] * IF($E$2="Deployment",deployment_raw[[#This Row],[Column5]],1))),"")</f>
        <v/>
      </c>
      <c r="K474" s="123" t="str">
        <f>IF(ISNUMBER(deployment_raw[[#This Row],[Column11]]), (MIN(IF(O474&lt;&gt;"",O474,9999999999999)*1.1,deployment_raw[[#This Row],[Column11]] * IF($E$2="Deployment",deployment_raw[[#This Row],[Column5]],1)/1048576)),"")</f>
        <v/>
      </c>
      <c r="L474" s="124" t="str">
        <f>IF(ISNUMBER(deployment_raw[[#This Row],[Column8]]),IF(OR(deployment_raw[[#This Row],[Column5]] &lt;&gt; 0,$E$2 &lt;&gt; "Deployment"), MAX(J474, P474, R474, ($L$2 * IF($E$2="Deployment",deployment_raw[[#This Row],[Column5]],1)),IF(T474&lt;&gt;"",VALUE(T474) * IF($E$2="Deployment",deployment_raw[[#This Row],[Column5]],1),0)), 0),"")</f>
        <v/>
      </c>
      <c r="M474" s="125" t="str">
        <f>IF(ISNUMBER(deployment_raw[[#This Row],[Column9]]),IF(OR(deployment_raw[[#This Row],[Column5]] &lt;&gt; 0,$E$2&lt;&gt;"Deployment"), MAX(K474, Q474, S474, ($M$2 * IF($E$2="Deployment",deployment_raw[[#This Row],[Column5]],1)),IF(U474&lt;&gt;"",VALUE(U474) * IF($E$2="Deployment",deployment_raw[[#This Row],[Column5]],1),0)), 0),"")</f>
        <v/>
      </c>
      <c r="N474" s="166" t="str">
        <f>IF(ISNUMBER(deployment_raw[[#This Row],[Column14]]), deployment_raw[[#This Row],[Column14]]/IF(OR($E$2="Deployment",deployment_raw[[#This Row],[Column5]]=0),1,deployment_raw[[#This Row],[Column5]]),"")</f>
        <v/>
      </c>
      <c r="O474" s="167" t="str">
        <f>IF(ISNUMBER(deployment_raw[[#This Row],[Column15]]), deployment_raw[[#This Row],[Column15]]/IF(OR($E$2="Deployment",deployment_raw[[#This Row],[Column5]]=0),1,deployment_raw[[#This Row],[Column5]])/1048576,"")</f>
        <v/>
      </c>
      <c r="P474" s="168" t="str">
        <f>IF(ISNUMBER(deployment_raw[[#This Row],[Column12]]), (MIN(IF(N474&lt;&gt;"",N474,9999999999999)*1.1,deployment_raw[[#This Row],[Column12]] * IF($E$2="Deployment",deployment_raw[[#This Row],[Column5]],1))*(1+$P$2)),"")</f>
        <v/>
      </c>
      <c r="Q474" s="167" t="str">
        <f>IF(ISNUMBER(deployment_raw[[#This Row],[Column13]]), (MIN(IF(O474&lt;&gt;"",O474,9999999999999)*1.1,deployment_raw[[#This Row],[Column13]] * IF($E$2="Deployment",deployment_raw[[#This Row],[Column5]],1)*(1+$Q$2)/1048576)),"")</f>
        <v/>
      </c>
      <c r="R474" s="169" t="str">
        <f>IF(ISNUMBER(deployment_raw[[#This Row],[Column8]]), (H474  * IF(N474&lt;&gt;0,$R$2,1)),"")</f>
        <v/>
      </c>
      <c r="S474" s="170" t="str">
        <f>IF(ISNUMBER(deployment_raw[[#This Row],[Column8]]), (I474  * IF(O474&lt;&gt;0,$S$2,1)),"")</f>
        <v/>
      </c>
      <c r="T474" s="202" t="str">
        <f>IF(AND(A474&lt;&gt;"",_xlfn.IFNA(MATCH(A474,'dynamic resource application '!$A$2:$A$100, 0),0)&lt;&gt;0), H474/(IF($E$2="Deployment",E474,1)),"")</f>
        <v/>
      </c>
      <c r="U474" s="211" t="str">
        <f>IF(AND(A474&lt;&gt;"",_xlfn.IFNA(MATCH(A474,'dynamic resource application '!$A$2:$A$100, 0),0)&lt;&gt;0), I474/(IF($E$2="Deployment",E474,1)),"")</f>
        <v/>
      </c>
    </row>
    <row r="475" spans="1:21" ht="15.75" customHeight="1" x14ac:dyDescent="0.25">
      <c r="A475" s="35" t="str">
        <f>IF(ISNONTEXT(deployment_raw[[#This Row],[Column1]]), "", deployment_raw[[#This Row],[Column1]])</f>
        <v/>
      </c>
      <c r="B475" s="36" t="str">
        <f>IF(ISNONTEXT(deployment_raw[[#This Row],[Column2]]), "", deployment_raw[[#This Row],[Column2]])</f>
        <v/>
      </c>
      <c r="C475" s="36" t="str">
        <f>IF(ISNONTEXT(deployment_raw[[#This Row],[Column3]]), "", deployment_raw[[#This Row],[Column3]])</f>
        <v/>
      </c>
      <c r="D475" s="36" t="str">
        <f>IF(ISNONTEXT(deployment_raw[[#This Row],[Column4]]), "", deployment_raw[[#This Row],[Column4]])</f>
        <v/>
      </c>
      <c r="E475" s="37" t="str">
        <f>IF(ISNUMBER(deployment_raw[[#This Row],[Column5]]), deployment_raw[[#This Row],[Column5]],"")</f>
        <v/>
      </c>
      <c r="F475" s="94" t="str">
        <f>IF(ISNUMBER(deployment_raw[[#This Row],[Column6]]), (deployment_raw[[#This Row],[Column6]] * IF($E$2="Deployment",deployment_raw[[#This Row],[Column5]],1)),"")</f>
        <v/>
      </c>
      <c r="G475" s="95" t="str">
        <f>IF(ISNUMBER(deployment_raw[[#This Row],[Column7]]), (deployment_raw[[#This Row],[Column7]] * IF($E$2="Deployment",deployment_raw[[#This Row],[Column5]],1))/1048576,"")</f>
        <v/>
      </c>
      <c r="H475" s="95" t="str">
        <f>IF(ISNUMBER(deployment_raw[[#This Row],[Column8]]), (deployment_raw[[#This Row],[Column8]]  * IF($E$2="Deployment",deployment_raw[[#This Row],[Column5]],1)),"")</f>
        <v/>
      </c>
      <c r="I475" s="96" t="str">
        <f>IF(ISNUMBER(deployment_raw[[#This Row],[Column9]]), (deployment_raw[[#This Row],[Column9]] * IF($E$2="Deployment",deployment_raw[[#This Row],[Column5]],1))/1048576,"")</f>
        <v/>
      </c>
      <c r="J475" s="122" t="str">
        <f>IF(ISNUMBER(deployment_raw[[#This Row],[Column10]]), (MIN(IF(N475&lt;&gt;"",N475,9999999999999)*1.1,deployment_raw[[#This Row],[Column10]] * IF($E$2="Deployment",deployment_raw[[#This Row],[Column5]],1))),"")</f>
        <v/>
      </c>
      <c r="K475" s="123" t="str">
        <f>IF(ISNUMBER(deployment_raw[[#This Row],[Column11]]), (MIN(IF(O475&lt;&gt;"",O475,9999999999999)*1.1,deployment_raw[[#This Row],[Column11]] * IF($E$2="Deployment",deployment_raw[[#This Row],[Column5]],1)/1048576)),"")</f>
        <v/>
      </c>
      <c r="L475" s="124" t="str">
        <f>IF(ISNUMBER(deployment_raw[[#This Row],[Column8]]),IF(OR(deployment_raw[[#This Row],[Column5]] &lt;&gt; 0,$E$2 &lt;&gt; "Deployment"), MAX(J475, P475, R475, ($L$2 * IF($E$2="Deployment",deployment_raw[[#This Row],[Column5]],1)),IF(T475&lt;&gt;"",VALUE(T475) * IF($E$2="Deployment",deployment_raw[[#This Row],[Column5]],1),0)), 0),"")</f>
        <v/>
      </c>
      <c r="M475" s="125" t="str">
        <f>IF(ISNUMBER(deployment_raw[[#This Row],[Column9]]),IF(OR(deployment_raw[[#This Row],[Column5]] &lt;&gt; 0,$E$2&lt;&gt;"Deployment"), MAX(K475, Q475, S475, ($M$2 * IF($E$2="Deployment",deployment_raw[[#This Row],[Column5]],1)),IF(U475&lt;&gt;"",VALUE(U475) * IF($E$2="Deployment",deployment_raw[[#This Row],[Column5]],1),0)), 0),"")</f>
        <v/>
      </c>
      <c r="N475" s="166" t="str">
        <f>IF(ISNUMBER(deployment_raw[[#This Row],[Column14]]), deployment_raw[[#This Row],[Column14]]/IF(OR($E$2="Deployment",deployment_raw[[#This Row],[Column5]]=0),1,deployment_raw[[#This Row],[Column5]]),"")</f>
        <v/>
      </c>
      <c r="O475" s="167" t="str">
        <f>IF(ISNUMBER(deployment_raw[[#This Row],[Column15]]), deployment_raw[[#This Row],[Column15]]/IF(OR($E$2="Deployment",deployment_raw[[#This Row],[Column5]]=0),1,deployment_raw[[#This Row],[Column5]])/1048576,"")</f>
        <v/>
      </c>
      <c r="P475" s="168" t="str">
        <f>IF(ISNUMBER(deployment_raw[[#This Row],[Column12]]), (MIN(IF(N475&lt;&gt;"",N475,9999999999999)*1.1,deployment_raw[[#This Row],[Column12]] * IF($E$2="Deployment",deployment_raw[[#This Row],[Column5]],1))*(1+$P$2)),"")</f>
        <v/>
      </c>
      <c r="Q475" s="167" t="str">
        <f>IF(ISNUMBER(deployment_raw[[#This Row],[Column13]]), (MIN(IF(O475&lt;&gt;"",O475,9999999999999)*1.1,deployment_raw[[#This Row],[Column13]] * IF($E$2="Deployment",deployment_raw[[#This Row],[Column5]],1)*(1+$Q$2)/1048576)),"")</f>
        <v/>
      </c>
      <c r="R475" s="169" t="str">
        <f>IF(ISNUMBER(deployment_raw[[#This Row],[Column8]]), (H475  * IF(N475&lt;&gt;0,$R$2,1)),"")</f>
        <v/>
      </c>
      <c r="S475" s="170" t="str">
        <f>IF(ISNUMBER(deployment_raw[[#This Row],[Column8]]), (I475  * IF(O475&lt;&gt;0,$S$2,1)),"")</f>
        <v/>
      </c>
      <c r="T475" s="202" t="str">
        <f>IF(AND(A475&lt;&gt;"",_xlfn.IFNA(MATCH(A475,'dynamic resource application '!$A$2:$A$100, 0),0)&lt;&gt;0), H475/(IF($E$2="Deployment",E475,1)),"")</f>
        <v/>
      </c>
      <c r="U475" s="211" t="str">
        <f>IF(AND(A475&lt;&gt;"",_xlfn.IFNA(MATCH(A475,'dynamic resource application '!$A$2:$A$100, 0),0)&lt;&gt;0), I475/(IF($E$2="Deployment",E475,1)),"")</f>
        <v/>
      </c>
    </row>
    <row r="476" spans="1:21" ht="15.75" customHeight="1" x14ac:dyDescent="0.25">
      <c r="A476" s="35" t="str">
        <f>IF(ISNONTEXT(deployment_raw[[#This Row],[Column1]]), "", deployment_raw[[#This Row],[Column1]])</f>
        <v/>
      </c>
      <c r="B476" s="36" t="str">
        <f>IF(ISNONTEXT(deployment_raw[[#This Row],[Column2]]), "", deployment_raw[[#This Row],[Column2]])</f>
        <v/>
      </c>
      <c r="C476" s="36" t="str">
        <f>IF(ISNONTEXT(deployment_raw[[#This Row],[Column3]]), "", deployment_raw[[#This Row],[Column3]])</f>
        <v/>
      </c>
      <c r="D476" s="36" t="str">
        <f>IF(ISNONTEXT(deployment_raw[[#This Row],[Column4]]), "", deployment_raw[[#This Row],[Column4]])</f>
        <v/>
      </c>
      <c r="E476" s="37" t="str">
        <f>IF(ISNUMBER(deployment_raw[[#This Row],[Column5]]), deployment_raw[[#This Row],[Column5]],"")</f>
        <v/>
      </c>
      <c r="F476" s="94" t="str">
        <f>IF(ISNUMBER(deployment_raw[[#This Row],[Column6]]), (deployment_raw[[#This Row],[Column6]] * IF($E$2="Deployment",deployment_raw[[#This Row],[Column5]],1)),"")</f>
        <v/>
      </c>
      <c r="G476" s="95" t="str">
        <f>IF(ISNUMBER(deployment_raw[[#This Row],[Column7]]), (deployment_raw[[#This Row],[Column7]] * IF($E$2="Deployment",deployment_raw[[#This Row],[Column5]],1))/1048576,"")</f>
        <v/>
      </c>
      <c r="H476" s="95" t="str">
        <f>IF(ISNUMBER(deployment_raw[[#This Row],[Column8]]), (deployment_raw[[#This Row],[Column8]]  * IF($E$2="Deployment",deployment_raw[[#This Row],[Column5]],1)),"")</f>
        <v/>
      </c>
      <c r="I476" s="96" t="str">
        <f>IF(ISNUMBER(deployment_raw[[#This Row],[Column9]]), (deployment_raw[[#This Row],[Column9]] * IF($E$2="Deployment",deployment_raw[[#This Row],[Column5]],1))/1048576,"")</f>
        <v/>
      </c>
      <c r="J476" s="122" t="str">
        <f>IF(ISNUMBER(deployment_raw[[#This Row],[Column10]]), (MIN(IF(N476&lt;&gt;"",N476,9999999999999)*1.1,deployment_raw[[#This Row],[Column10]] * IF($E$2="Deployment",deployment_raw[[#This Row],[Column5]],1))),"")</f>
        <v/>
      </c>
      <c r="K476" s="123" t="str">
        <f>IF(ISNUMBER(deployment_raw[[#This Row],[Column11]]), (MIN(IF(O476&lt;&gt;"",O476,9999999999999)*1.1,deployment_raw[[#This Row],[Column11]] * IF($E$2="Deployment",deployment_raw[[#This Row],[Column5]],1)/1048576)),"")</f>
        <v/>
      </c>
      <c r="L476" s="124" t="str">
        <f>IF(ISNUMBER(deployment_raw[[#This Row],[Column8]]),IF(OR(deployment_raw[[#This Row],[Column5]] &lt;&gt; 0,$E$2 &lt;&gt; "Deployment"), MAX(J476, P476, R476, ($L$2 * IF($E$2="Deployment",deployment_raw[[#This Row],[Column5]],1)),IF(T476&lt;&gt;"",VALUE(T476) * IF($E$2="Deployment",deployment_raw[[#This Row],[Column5]],1),0)), 0),"")</f>
        <v/>
      </c>
      <c r="M476" s="125" t="str">
        <f>IF(ISNUMBER(deployment_raw[[#This Row],[Column9]]),IF(OR(deployment_raw[[#This Row],[Column5]] &lt;&gt; 0,$E$2&lt;&gt;"Deployment"), MAX(K476, Q476, S476, ($M$2 * IF($E$2="Deployment",deployment_raw[[#This Row],[Column5]],1)),IF(U476&lt;&gt;"",VALUE(U476) * IF($E$2="Deployment",deployment_raw[[#This Row],[Column5]],1),0)), 0),"")</f>
        <v/>
      </c>
      <c r="N476" s="166" t="str">
        <f>IF(ISNUMBER(deployment_raw[[#This Row],[Column14]]), deployment_raw[[#This Row],[Column14]]/IF(OR($E$2="Deployment",deployment_raw[[#This Row],[Column5]]=0),1,deployment_raw[[#This Row],[Column5]]),"")</f>
        <v/>
      </c>
      <c r="O476" s="167" t="str">
        <f>IF(ISNUMBER(deployment_raw[[#This Row],[Column15]]), deployment_raw[[#This Row],[Column15]]/IF(OR($E$2="Deployment",deployment_raw[[#This Row],[Column5]]=0),1,deployment_raw[[#This Row],[Column5]])/1048576,"")</f>
        <v/>
      </c>
      <c r="P476" s="168" t="str">
        <f>IF(ISNUMBER(deployment_raw[[#This Row],[Column12]]), (MIN(IF(N476&lt;&gt;"",N476,9999999999999)*1.1,deployment_raw[[#This Row],[Column12]] * IF($E$2="Deployment",deployment_raw[[#This Row],[Column5]],1))*(1+$P$2)),"")</f>
        <v/>
      </c>
      <c r="Q476" s="167" t="str">
        <f>IF(ISNUMBER(deployment_raw[[#This Row],[Column13]]), (MIN(IF(O476&lt;&gt;"",O476,9999999999999)*1.1,deployment_raw[[#This Row],[Column13]] * IF($E$2="Deployment",deployment_raw[[#This Row],[Column5]],1)*(1+$Q$2)/1048576)),"")</f>
        <v/>
      </c>
      <c r="R476" s="169" t="str">
        <f>IF(ISNUMBER(deployment_raw[[#This Row],[Column8]]), (H476  * IF(N476&lt;&gt;0,$R$2,1)),"")</f>
        <v/>
      </c>
      <c r="S476" s="170" t="str">
        <f>IF(ISNUMBER(deployment_raw[[#This Row],[Column8]]), (I476  * IF(O476&lt;&gt;0,$S$2,1)),"")</f>
        <v/>
      </c>
      <c r="T476" s="202" t="str">
        <f>IF(AND(A476&lt;&gt;"",_xlfn.IFNA(MATCH(A476,'dynamic resource application '!$A$2:$A$100, 0),0)&lt;&gt;0), H476/(IF($E$2="Deployment",E476,1)),"")</f>
        <v/>
      </c>
      <c r="U476" s="211" t="str">
        <f>IF(AND(A476&lt;&gt;"",_xlfn.IFNA(MATCH(A476,'dynamic resource application '!$A$2:$A$100, 0),0)&lt;&gt;0), I476/(IF($E$2="Deployment",E476,1)),"")</f>
        <v/>
      </c>
    </row>
    <row r="477" spans="1:21" ht="15.75" customHeight="1" x14ac:dyDescent="0.25">
      <c r="A477" s="35" t="str">
        <f>IF(ISNONTEXT(deployment_raw[[#This Row],[Column1]]), "", deployment_raw[[#This Row],[Column1]])</f>
        <v/>
      </c>
      <c r="B477" s="36" t="str">
        <f>IF(ISNONTEXT(deployment_raw[[#This Row],[Column2]]), "", deployment_raw[[#This Row],[Column2]])</f>
        <v/>
      </c>
      <c r="C477" s="36" t="str">
        <f>IF(ISNONTEXT(deployment_raw[[#This Row],[Column3]]), "", deployment_raw[[#This Row],[Column3]])</f>
        <v/>
      </c>
      <c r="D477" s="36" t="str">
        <f>IF(ISNONTEXT(deployment_raw[[#This Row],[Column4]]), "", deployment_raw[[#This Row],[Column4]])</f>
        <v/>
      </c>
      <c r="E477" s="37" t="str">
        <f>IF(ISNUMBER(deployment_raw[[#This Row],[Column5]]), deployment_raw[[#This Row],[Column5]],"")</f>
        <v/>
      </c>
      <c r="F477" s="94" t="str">
        <f>IF(ISNUMBER(deployment_raw[[#This Row],[Column6]]), (deployment_raw[[#This Row],[Column6]] * IF($E$2="Deployment",deployment_raw[[#This Row],[Column5]],1)),"")</f>
        <v/>
      </c>
      <c r="G477" s="95" t="str">
        <f>IF(ISNUMBER(deployment_raw[[#This Row],[Column7]]), (deployment_raw[[#This Row],[Column7]] * IF($E$2="Deployment",deployment_raw[[#This Row],[Column5]],1))/1048576,"")</f>
        <v/>
      </c>
      <c r="H477" s="95" t="str">
        <f>IF(ISNUMBER(deployment_raw[[#This Row],[Column8]]), (deployment_raw[[#This Row],[Column8]]  * IF($E$2="Deployment",deployment_raw[[#This Row],[Column5]],1)),"")</f>
        <v/>
      </c>
      <c r="I477" s="96" t="str">
        <f>IF(ISNUMBER(deployment_raw[[#This Row],[Column9]]), (deployment_raw[[#This Row],[Column9]] * IF($E$2="Deployment",deployment_raw[[#This Row],[Column5]],1))/1048576,"")</f>
        <v/>
      </c>
      <c r="J477" s="122" t="str">
        <f>IF(ISNUMBER(deployment_raw[[#This Row],[Column10]]), (MIN(IF(N477&lt;&gt;"",N477,9999999999999)*1.1,deployment_raw[[#This Row],[Column10]] * IF($E$2="Deployment",deployment_raw[[#This Row],[Column5]],1))),"")</f>
        <v/>
      </c>
      <c r="K477" s="123" t="str">
        <f>IF(ISNUMBER(deployment_raw[[#This Row],[Column11]]), (MIN(IF(O477&lt;&gt;"",O477,9999999999999)*1.1,deployment_raw[[#This Row],[Column11]] * IF($E$2="Deployment",deployment_raw[[#This Row],[Column5]],1)/1048576)),"")</f>
        <v/>
      </c>
      <c r="L477" s="124" t="str">
        <f>IF(ISNUMBER(deployment_raw[[#This Row],[Column8]]),IF(OR(deployment_raw[[#This Row],[Column5]] &lt;&gt; 0,$E$2 &lt;&gt; "Deployment"), MAX(J477, P477, R477, ($L$2 * IF($E$2="Deployment",deployment_raw[[#This Row],[Column5]],1)),IF(T477&lt;&gt;"",VALUE(T477) * IF($E$2="Deployment",deployment_raw[[#This Row],[Column5]],1),0)), 0),"")</f>
        <v/>
      </c>
      <c r="M477" s="125" t="str">
        <f>IF(ISNUMBER(deployment_raw[[#This Row],[Column9]]),IF(OR(deployment_raw[[#This Row],[Column5]] &lt;&gt; 0,$E$2&lt;&gt;"Deployment"), MAX(K477, Q477, S477, ($M$2 * IF($E$2="Deployment",deployment_raw[[#This Row],[Column5]],1)),IF(U477&lt;&gt;"",VALUE(U477) * IF($E$2="Deployment",deployment_raw[[#This Row],[Column5]],1),0)), 0),"")</f>
        <v/>
      </c>
      <c r="N477" s="166" t="str">
        <f>IF(ISNUMBER(deployment_raw[[#This Row],[Column14]]), deployment_raw[[#This Row],[Column14]]/IF(OR($E$2="Deployment",deployment_raw[[#This Row],[Column5]]=0),1,deployment_raw[[#This Row],[Column5]]),"")</f>
        <v/>
      </c>
      <c r="O477" s="167" t="str">
        <f>IF(ISNUMBER(deployment_raw[[#This Row],[Column15]]), deployment_raw[[#This Row],[Column15]]/IF(OR($E$2="Deployment",deployment_raw[[#This Row],[Column5]]=0),1,deployment_raw[[#This Row],[Column5]])/1048576,"")</f>
        <v/>
      </c>
      <c r="P477" s="168" t="str">
        <f>IF(ISNUMBER(deployment_raw[[#This Row],[Column12]]), (MIN(IF(N477&lt;&gt;"",N477,9999999999999)*1.1,deployment_raw[[#This Row],[Column12]] * IF($E$2="Deployment",deployment_raw[[#This Row],[Column5]],1))*(1+$P$2)),"")</f>
        <v/>
      </c>
      <c r="Q477" s="167" t="str">
        <f>IF(ISNUMBER(deployment_raw[[#This Row],[Column13]]), (MIN(IF(O477&lt;&gt;"",O477,9999999999999)*1.1,deployment_raw[[#This Row],[Column13]] * IF($E$2="Deployment",deployment_raw[[#This Row],[Column5]],1)*(1+$Q$2)/1048576)),"")</f>
        <v/>
      </c>
      <c r="R477" s="169" t="str">
        <f>IF(ISNUMBER(deployment_raw[[#This Row],[Column8]]), (H477  * IF(N477&lt;&gt;0,$R$2,1)),"")</f>
        <v/>
      </c>
      <c r="S477" s="170" t="str">
        <f>IF(ISNUMBER(deployment_raw[[#This Row],[Column8]]), (I477  * IF(O477&lt;&gt;0,$S$2,1)),"")</f>
        <v/>
      </c>
      <c r="T477" s="202" t="str">
        <f>IF(AND(A477&lt;&gt;"",_xlfn.IFNA(MATCH(A477,'dynamic resource application '!$A$2:$A$100, 0),0)&lt;&gt;0), H477/(IF($E$2="Deployment",E477,1)),"")</f>
        <v/>
      </c>
      <c r="U477" s="211" t="str">
        <f>IF(AND(A477&lt;&gt;"",_xlfn.IFNA(MATCH(A477,'dynamic resource application '!$A$2:$A$100, 0),0)&lt;&gt;0), I477/(IF($E$2="Deployment",E477,1)),"")</f>
        <v/>
      </c>
    </row>
    <row r="478" spans="1:21" ht="15.75" customHeight="1" x14ac:dyDescent="0.25">
      <c r="A478" s="35" t="str">
        <f>IF(ISNONTEXT(deployment_raw[[#This Row],[Column1]]), "", deployment_raw[[#This Row],[Column1]])</f>
        <v/>
      </c>
      <c r="B478" s="36" t="str">
        <f>IF(ISNONTEXT(deployment_raw[[#This Row],[Column2]]), "", deployment_raw[[#This Row],[Column2]])</f>
        <v/>
      </c>
      <c r="C478" s="36" t="str">
        <f>IF(ISNONTEXT(deployment_raw[[#This Row],[Column3]]), "", deployment_raw[[#This Row],[Column3]])</f>
        <v/>
      </c>
      <c r="D478" s="36" t="str">
        <f>IF(ISNONTEXT(deployment_raw[[#This Row],[Column4]]), "", deployment_raw[[#This Row],[Column4]])</f>
        <v/>
      </c>
      <c r="E478" s="37" t="str">
        <f>IF(ISNUMBER(deployment_raw[[#This Row],[Column5]]), deployment_raw[[#This Row],[Column5]],"")</f>
        <v/>
      </c>
      <c r="F478" s="94" t="str">
        <f>IF(ISNUMBER(deployment_raw[[#This Row],[Column6]]), (deployment_raw[[#This Row],[Column6]] * IF($E$2="Deployment",deployment_raw[[#This Row],[Column5]],1)),"")</f>
        <v/>
      </c>
      <c r="G478" s="95" t="str">
        <f>IF(ISNUMBER(deployment_raw[[#This Row],[Column7]]), (deployment_raw[[#This Row],[Column7]] * IF($E$2="Deployment",deployment_raw[[#This Row],[Column5]],1))/1048576,"")</f>
        <v/>
      </c>
      <c r="H478" s="95" t="str">
        <f>IF(ISNUMBER(deployment_raw[[#This Row],[Column8]]), (deployment_raw[[#This Row],[Column8]]  * IF($E$2="Deployment",deployment_raw[[#This Row],[Column5]],1)),"")</f>
        <v/>
      </c>
      <c r="I478" s="96" t="str">
        <f>IF(ISNUMBER(deployment_raw[[#This Row],[Column9]]), (deployment_raw[[#This Row],[Column9]] * IF($E$2="Deployment",deployment_raw[[#This Row],[Column5]],1))/1048576,"")</f>
        <v/>
      </c>
      <c r="J478" s="122" t="str">
        <f>IF(ISNUMBER(deployment_raw[[#This Row],[Column10]]), (MIN(IF(N478&lt;&gt;"",N478,9999999999999)*1.1,deployment_raw[[#This Row],[Column10]] * IF($E$2="Deployment",deployment_raw[[#This Row],[Column5]],1))),"")</f>
        <v/>
      </c>
      <c r="K478" s="123" t="str">
        <f>IF(ISNUMBER(deployment_raw[[#This Row],[Column11]]), (MIN(IF(O478&lt;&gt;"",O478,9999999999999)*1.1,deployment_raw[[#This Row],[Column11]] * IF($E$2="Deployment",deployment_raw[[#This Row],[Column5]],1)/1048576)),"")</f>
        <v/>
      </c>
      <c r="L478" s="124" t="str">
        <f>IF(ISNUMBER(deployment_raw[[#This Row],[Column8]]),IF(OR(deployment_raw[[#This Row],[Column5]] &lt;&gt; 0,$E$2 &lt;&gt; "Deployment"), MAX(J478, P478, R478, ($L$2 * IF($E$2="Deployment",deployment_raw[[#This Row],[Column5]],1)),IF(T478&lt;&gt;"",VALUE(T478) * IF($E$2="Deployment",deployment_raw[[#This Row],[Column5]],1),0)), 0),"")</f>
        <v/>
      </c>
      <c r="M478" s="125" t="str">
        <f>IF(ISNUMBER(deployment_raw[[#This Row],[Column9]]),IF(OR(deployment_raw[[#This Row],[Column5]] &lt;&gt; 0,$E$2&lt;&gt;"Deployment"), MAX(K478, Q478, S478, ($M$2 * IF($E$2="Deployment",deployment_raw[[#This Row],[Column5]],1)),IF(U478&lt;&gt;"",VALUE(U478) * IF($E$2="Deployment",deployment_raw[[#This Row],[Column5]],1),0)), 0),"")</f>
        <v/>
      </c>
      <c r="N478" s="166" t="str">
        <f>IF(ISNUMBER(deployment_raw[[#This Row],[Column14]]), deployment_raw[[#This Row],[Column14]]/IF(OR($E$2="Deployment",deployment_raw[[#This Row],[Column5]]=0),1,deployment_raw[[#This Row],[Column5]]),"")</f>
        <v/>
      </c>
      <c r="O478" s="167" t="str">
        <f>IF(ISNUMBER(deployment_raw[[#This Row],[Column15]]), deployment_raw[[#This Row],[Column15]]/IF(OR($E$2="Deployment",deployment_raw[[#This Row],[Column5]]=0),1,deployment_raw[[#This Row],[Column5]])/1048576,"")</f>
        <v/>
      </c>
      <c r="P478" s="168" t="str">
        <f>IF(ISNUMBER(deployment_raw[[#This Row],[Column12]]), (MIN(IF(N478&lt;&gt;"",N478,9999999999999)*1.1,deployment_raw[[#This Row],[Column12]] * IF($E$2="Deployment",deployment_raw[[#This Row],[Column5]],1))*(1+$P$2)),"")</f>
        <v/>
      </c>
      <c r="Q478" s="167" t="str">
        <f>IF(ISNUMBER(deployment_raw[[#This Row],[Column13]]), (MIN(IF(O478&lt;&gt;"",O478,9999999999999)*1.1,deployment_raw[[#This Row],[Column13]] * IF($E$2="Deployment",deployment_raw[[#This Row],[Column5]],1)*(1+$Q$2)/1048576)),"")</f>
        <v/>
      </c>
      <c r="R478" s="169" t="str">
        <f>IF(ISNUMBER(deployment_raw[[#This Row],[Column8]]), (H478  * IF(N478&lt;&gt;0,$R$2,1)),"")</f>
        <v/>
      </c>
      <c r="S478" s="170" t="str">
        <f>IF(ISNUMBER(deployment_raw[[#This Row],[Column8]]), (I478  * IF(O478&lt;&gt;0,$S$2,1)),"")</f>
        <v/>
      </c>
      <c r="T478" s="202" t="str">
        <f>IF(AND(A478&lt;&gt;"",_xlfn.IFNA(MATCH(A478,'dynamic resource application '!$A$2:$A$100, 0),0)&lt;&gt;0), H478/(IF($E$2="Deployment",E478,1)),"")</f>
        <v/>
      </c>
      <c r="U478" s="211" t="str">
        <f>IF(AND(A478&lt;&gt;"",_xlfn.IFNA(MATCH(A478,'dynamic resource application '!$A$2:$A$100, 0),0)&lt;&gt;0), I478/(IF($E$2="Deployment",E478,1)),"")</f>
        <v/>
      </c>
    </row>
    <row r="479" spans="1:21" ht="15.75" customHeight="1" x14ac:dyDescent="0.25">
      <c r="A479" s="35" t="str">
        <f>IF(ISNONTEXT(deployment_raw[[#This Row],[Column1]]), "", deployment_raw[[#This Row],[Column1]])</f>
        <v/>
      </c>
      <c r="B479" s="36" t="str">
        <f>IF(ISNONTEXT(deployment_raw[[#This Row],[Column2]]), "", deployment_raw[[#This Row],[Column2]])</f>
        <v/>
      </c>
      <c r="C479" s="36" t="str">
        <f>IF(ISNONTEXT(deployment_raw[[#This Row],[Column3]]), "", deployment_raw[[#This Row],[Column3]])</f>
        <v/>
      </c>
      <c r="D479" s="36" t="str">
        <f>IF(ISNONTEXT(deployment_raw[[#This Row],[Column4]]), "", deployment_raw[[#This Row],[Column4]])</f>
        <v/>
      </c>
      <c r="E479" s="37" t="str">
        <f>IF(ISNUMBER(deployment_raw[[#This Row],[Column5]]), deployment_raw[[#This Row],[Column5]],"")</f>
        <v/>
      </c>
      <c r="F479" s="94" t="str">
        <f>IF(ISNUMBER(deployment_raw[[#This Row],[Column6]]), (deployment_raw[[#This Row],[Column6]] * IF($E$2="Deployment",deployment_raw[[#This Row],[Column5]],1)),"")</f>
        <v/>
      </c>
      <c r="G479" s="95" t="str">
        <f>IF(ISNUMBER(deployment_raw[[#This Row],[Column7]]), (deployment_raw[[#This Row],[Column7]] * IF($E$2="Deployment",deployment_raw[[#This Row],[Column5]],1))/1048576,"")</f>
        <v/>
      </c>
      <c r="H479" s="95" t="str">
        <f>IF(ISNUMBER(deployment_raw[[#This Row],[Column8]]), (deployment_raw[[#This Row],[Column8]]  * IF($E$2="Deployment",deployment_raw[[#This Row],[Column5]],1)),"")</f>
        <v/>
      </c>
      <c r="I479" s="96" t="str">
        <f>IF(ISNUMBER(deployment_raw[[#This Row],[Column9]]), (deployment_raw[[#This Row],[Column9]] * IF($E$2="Deployment",deployment_raw[[#This Row],[Column5]],1))/1048576,"")</f>
        <v/>
      </c>
      <c r="J479" s="122" t="str">
        <f>IF(ISNUMBER(deployment_raw[[#This Row],[Column10]]), (MIN(IF(N479&lt;&gt;"",N479,9999999999999)*1.1,deployment_raw[[#This Row],[Column10]] * IF($E$2="Deployment",deployment_raw[[#This Row],[Column5]],1))),"")</f>
        <v/>
      </c>
      <c r="K479" s="123" t="str">
        <f>IF(ISNUMBER(deployment_raw[[#This Row],[Column11]]), (MIN(IF(O479&lt;&gt;"",O479,9999999999999)*1.1,deployment_raw[[#This Row],[Column11]] * IF($E$2="Deployment",deployment_raw[[#This Row],[Column5]],1)/1048576)),"")</f>
        <v/>
      </c>
      <c r="L479" s="124" t="str">
        <f>IF(ISNUMBER(deployment_raw[[#This Row],[Column8]]),IF(OR(deployment_raw[[#This Row],[Column5]] &lt;&gt; 0,$E$2 &lt;&gt; "Deployment"), MAX(J479, P479, R479, ($L$2 * IF($E$2="Deployment",deployment_raw[[#This Row],[Column5]],1)),IF(T479&lt;&gt;"",VALUE(T479) * IF($E$2="Deployment",deployment_raw[[#This Row],[Column5]],1),0)), 0),"")</f>
        <v/>
      </c>
      <c r="M479" s="125" t="str">
        <f>IF(ISNUMBER(deployment_raw[[#This Row],[Column9]]),IF(OR(deployment_raw[[#This Row],[Column5]] &lt;&gt; 0,$E$2&lt;&gt;"Deployment"), MAX(K479, Q479, S479, ($M$2 * IF($E$2="Deployment",deployment_raw[[#This Row],[Column5]],1)),IF(U479&lt;&gt;"",VALUE(U479) * IF($E$2="Deployment",deployment_raw[[#This Row],[Column5]],1),0)), 0),"")</f>
        <v/>
      </c>
      <c r="N479" s="166" t="str">
        <f>IF(ISNUMBER(deployment_raw[[#This Row],[Column14]]), deployment_raw[[#This Row],[Column14]]/IF(OR($E$2="Deployment",deployment_raw[[#This Row],[Column5]]=0),1,deployment_raw[[#This Row],[Column5]]),"")</f>
        <v/>
      </c>
      <c r="O479" s="167" t="str">
        <f>IF(ISNUMBER(deployment_raw[[#This Row],[Column15]]), deployment_raw[[#This Row],[Column15]]/IF(OR($E$2="Deployment",deployment_raw[[#This Row],[Column5]]=0),1,deployment_raw[[#This Row],[Column5]])/1048576,"")</f>
        <v/>
      </c>
      <c r="P479" s="168" t="str">
        <f>IF(ISNUMBER(deployment_raw[[#This Row],[Column12]]), (MIN(IF(N479&lt;&gt;"",N479,9999999999999)*1.1,deployment_raw[[#This Row],[Column12]] * IF($E$2="Deployment",deployment_raw[[#This Row],[Column5]],1))*(1+$P$2)),"")</f>
        <v/>
      </c>
      <c r="Q479" s="167" t="str">
        <f>IF(ISNUMBER(deployment_raw[[#This Row],[Column13]]), (MIN(IF(O479&lt;&gt;"",O479,9999999999999)*1.1,deployment_raw[[#This Row],[Column13]] * IF($E$2="Deployment",deployment_raw[[#This Row],[Column5]],1)*(1+$Q$2)/1048576)),"")</f>
        <v/>
      </c>
      <c r="R479" s="169" t="str">
        <f>IF(ISNUMBER(deployment_raw[[#This Row],[Column8]]), (H479  * IF(N479&lt;&gt;0,$R$2,1)),"")</f>
        <v/>
      </c>
      <c r="S479" s="170" t="str">
        <f>IF(ISNUMBER(deployment_raw[[#This Row],[Column8]]), (I479  * IF(O479&lt;&gt;0,$S$2,1)),"")</f>
        <v/>
      </c>
      <c r="T479" s="202" t="str">
        <f>IF(AND(A479&lt;&gt;"",_xlfn.IFNA(MATCH(A479,'dynamic resource application '!$A$2:$A$100, 0),0)&lt;&gt;0), H479/(IF($E$2="Deployment",E479,1)),"")</f>
        <v/>
      </c>
      <c r="U479" s="211" t="str">
        <f>IF(AND(A479&lt;&gt;"",_xlfn.IFNA(MATCH(A479,'dynamic resource application '!$A$2:$A$100, 0),0)&lt;&gt;0), I479/(IF($E$2="Deployment",E479,1)),"")</f>
        <v/>
      </c>
    </row>
    <row r="480" spans="1:21" ht="15.75" customHeight="1" x14ac:dyDescent="0.25">
      <c r="A480" s="35" t="str">
        <f>IF(ISNONTEXT(deployment_raw[[#This Row],[Column1]]), "", deployment_raw[[#This Row],[Column1]])</f>
        <v/>
      </c>
      <c r="B480" s="36" t="str">
        <f>IF(ISNONTEXT(deployment_raw[[#This Row],[Column2]]), "", deployment_raw[[#This Row],[Column2]])</f>
        <v/>
      </c>
      <c r="C480" s="36" t="str">
        <f>IF(ISNONTEXT(deployment_raw[[#This Row],[Column3]]), "", deployment_raw[[#This Row],[Column3]])</f>
        <v/>
      </c>
      <c r="D480" s="36" t="str">
        <f>IF(ISNONTEXT(deployment_raw[[#This Row],[Column4]]), "", deployment_raw[[#This Row],[Column4]])</f>
        <v/>
      </c>
      <c r="E480" s="37" t="str">
        <f>IF(ISNUMBER(deployment_raw[[#This Row],[Column5]]), deployment_raw[[#This Row],[Column5]],"")</f>
        <v/>
      </c>
      <c r="F480" s="94" t="str">
        <f>IF(ISNUMBER(deployment_raw[[#This Row],[Column6]]), (deployment_raw[[#This Row],[Column6]] * IF($E$2="Deployment",deployment_raw[[#This Row],[Column5]],1)),"")</f>
        <v/>
      </c>
      <c r="G480" s="95" t="str">
        <f>IF(ISNUMBER(deployment_raw[[#This Row],[Column7]]), (deployment_raw[[#This Row],[Column7]] * IF($E$2="Deployment",deployment_raw[[#This Row],[Column5]],1))/1048576,"")</f>
        <v/>
      </c>
      <c r="H480" s="95" t="str">
        <f>IF(ISNUMBER(deployment_raw[[#This Row],[Column8]]), (deployment_raw[[#This Row],[Column8]]  * IF($E$2="Deployment",deployment_raw[[#This Row],[Column5]],1)),"")</f>
        <v/>
      </c>
      <c r="I480" s="96" t="str">
        <f>IF(ISNUMBER(deployment_raw[[#This Row],[Column9]]), (deployment_raw[[#This Row],[Column9]] * IF($E$2="Deployment",deployment_raw[[#This Row],[Column5]],1))/1048576,"")</f>
        <v/>
      </c>
      <c r="J480" s="122" t="str">
        <f>IF(ISNUMBER(deployment_raw[[#This Row],[Column10]]), (MIN(IF(N480&lt;&gt;"",N480,9999999999999)*1.1,deployment_raw[[#This Row],[Column10]] * IF($E$2="Deployment",deployment_raw[[#This Row],[Column5]],1))),"")</f>
        <v/>
      </c>
      <c r="K480" s="123" t="str">
        <f>IF(ISNUMBER(deployment_raw[[#This Row],[Column11]]), (MIN(IF(O480&lt;&gt;"",O480,9999999999999)*1.1,deployment_raw[[#This Row],[Column11]] * IF($E$2="Deployment",deployment_raw[[#This Row],[Column5]],1)/1048576)),"")</f>
        <v/>
      </c>
      <c r="L480" s="124" t="str">
        <f>IF(ISNUMBER(deployment_raw[[#This Row],[Column8]]),IF(OR(deployment_raw[[#This Row],[Column5]] &lt;&gt; 0,$E$2 &lt;&gt; "Deployment"), MAX(J480, P480, R480, ($L$2 * IF($E$2="Deployment",deployment_raw[[#This Row],[Column5]],1)),IF(T480&lt;&gt;"",VALUE(T480) * IF($E$2="Deployment",deployment_raw[[#This Row],[Column5]],1),0)), 0),"")</f>
        <v/>
      </c>
      <c r="M480" s="125" t="str">
        <f>IF(ISNUMBER(deployment_raw[[#This Row],[Column9]]),IF(OR(deployment_raw[[#This Row],[Column5]] &lt;&gt; 0,$E$2&lt;&gt;"Deployment"), MAX(K480, Q480, S480, ($M$2 * IF($E$2="Deployment",deployment_raw[[#This Row],[Column5]],1)),IF(U480&lt;&gt;"",VALUE(U480) * IF($E$2="Deployment",deployment_raw[[#This Row],[Column5]],1),0)), 0),"")</f>
        <v/>
      </c>
      <c r="N480" s="166" t="str">
        <f>IF(ISNUMBER(deployment_raw[[#This Row],[Column14]]), deployment_raw[[#This Row],[Column14]]/IF(OR($E$2="Deployment",deployment_raw[[#This Row],[Column5]]=0),1,deployment_raw[[#This Row],[Column5]]),"")</f>
        <v/>
      </c>
      <c r="O480" s="167" t="str">
        <f>IF(ISNUMBER(deployment_raw[[#This Row],[Column15]]), deployment_raw[[#This Row],[Column15]]/IF(OR($E$2="Deployment",deployment_raw[[#This Row],[Column5]]=0),1,deployment_raw[[#This Row],[Column5]])/1048576,"")</f>
        <v/>
      </c>
      <c r="P480" s="168" t="str">
        <f>IF(ISNUMBER(deployment_raw[[#This Row],[Column12]]), (MIN(IF(N480&lt;&gt;"",N480,9999999999999)*1.1,deployment_raw[[#This Row],[Column12]] * IF($E$2="Deployment",deployment_raw[[#This Row],[Column5]],1))*(1+$P$2)),"")</f>
        <v/>
      </c>
      <c r="Q480" s="167" t="str">
        <f>IF(ISNUMBER(deployment_raw[[#This Row],[Column13]]), (MIN(IF(O480&lt;&gt;"",O480,9999999999999)*1.1,deployment_raw[[#This Row],[Column13]] * IF($E$2="Deployment",deployment_raw[[#This Row],[Column5]],1)*(1+$Q$2)/1048576)),"")</f>
        <v/>
      </c>
      <c r="R480" s="169" t="str">
        <f>IF(ISNUMBER(deployment_raw[[#This Row],[Column8]]), (H480  * IF(N480&lt;&gt;0,$R$2,1)),"")</f>
        <v/>
      </c>
      <c r="S480" s="170" t="str">
        <f>IF(ISNUMBER(deployment_raw[[#This Row],[Column8]]), (I480  * IF(O480&lt;&gt;0,$S$2,1)),"")</f>
        <v/>
      </c>
      <c r="T480" s="202" t="str">
        <f>IF(AND(A480&lt;&gt;"",_xlfn.IFNA(MATCH(A480,'dynamic resource application '!$A$2:$A$100, 0),0)&lt;&gt;0), H480/(IF($E$2="Deployment",E480,1)),"")</f>
        <v/>
      </c>
      <c r="U480" s="211" t="str">
        <f>IF(AND(A480&lt;&gt;"",_xlfn.IFNA(MATCH(A480,'dynamic resource application '!$A$2:$A$100, 0),0)&lt;&gt;0), I480/(IF($E$2="Deployment",E480,1)),"")</f>
        <v/>
      </c>
    </row>
    <row r="481" spans="1:21" ht="15.75" customHeight="1" x14ac:dyDescent="0.25">
      <c r="A481" s="35" t="str">
        <f>IF(ISNONTEXT(deployment_raw[[#This Row],[Column1]]), "", deployment_raw[[#This Row],[Column1]])</f>
        <v/>
      </c>
      <c r="B481" s="36" t="str">
        <f>IF(ISNONTEXT(deployment_raw[[#This Row],[Column2]]), "", deployment_raw[[#This Row],[Column2]])</f>
        <v/>
      </c>
      <c r="C481" s="36" t="str">
        <f>IF(ISNONTEXT(deployment_raw[[#This Row],[Column3]]), "", deployment_raw[[#This Row],[Column3]])</f>
        <v/>
      </c>
      <c r="D481" s="36" t="str">
        <f>IF(ISNONTEXT(deployment_raw[[#This Row],[Column4]]), "", deployment_raw[[#This Row],[Column4]])</f>
        <v/>
      </c>
      <c r="E481" s="37" t="str">
        <f>IF(ISNUMBER(deployment_raw[[#This Row],[Column5]]), deployment_raw[[#This Row],[Column5]],"")</f>
        <v/>
      </c>
      <c r="F481" s="94" t="str">
        <f>IF(ISNUMBER(deployment_raw[[#This Row],[Column6]]), (deployment_raw[[#This Row],[Column6]] * IF($E$2="Deployment",deployment_raw[[#This Row],[Column5]],1)),"")</f>
        <v/>
      </c>
      <c r="G481" s="95" t="str">
        <f>IF(ISNUMBER(deployment_raw[[#This Row],[Column7]]), (deployment_raw[[#This Row],[Column7]] * IF($E$2="Deployment",deployment_raw[[#This Row],[Column5]],1))/1048576,"")</f>
        <v/>
      </c>
      <c r="H481" s="95" t="str">
        <f>IF(ISNUMBER(deployment_raw[[#This Row],[Column8]]), (deployment_raw[[#This Row],[Column8]]  * IF($E$2="Deployment",deployment_raw[[#This Row],[Column5]],1)),"")</f>
        <v/>
      </c>
      <c r="I481" s="96" t="str">
        <f>IF(ISNUMBER(deployment_raw[[#This Row],[Column9]]), (deployment_raw[[#This Row],[Column9]] * IF($E$2="Deployment",deployment_raw[[#This Row],[Column5]],1))/1048576,"")</f>
        <v/>
      </c>
      <c r="J481" s="122" t="str">
        <f>IF(ISNUMBER(deployment_raw[[#This Row],[Column10]]), (MIN(IF(N481&lt;&gt;"",N481,9999999999999)*1.1,deployment_raw[[#This Row],[Column10]] * IF($E$2="Deployment",deployment_raw[[#This Row],[Column5]],1))),"")</f>
        <v/>
      </c>
      <c r="K481" s="123" t="str">
        <f>IF(ISNUMBER(deployment_raw[[#This Row],[Column11]]), (MIN(IF(O481&lt;&gt;"",O481,9999999999999)*1.1,deployment_raw[[#This Row],[Column11]] * IF($E$2="Deployment",deployment_raw[[#This Row],[Column5]],1)/1048576)),"")</f>
        <v/>
      </c>
      <c r="L481" s="124" t="str">
        <f>IF(ISNUMBER(deployment_raw[[#This Row],[Column8]]),IF(OR(deployment_raw[[#This Row],[Column5]] &lt;&gt; 0,$E$2 &lt;&gt; "Deployment"), MAX(J481, P481, R481, ($L$2 * IF($E$2="Deployment",deployment_raw[[#This Row],[Column5]],1)),IF(T481&lt;&gt;"",VALUE(T481) * IF($E$2="Deployment",deployment_raw[[#This Row],[Column5]],1),0)), 0),"")</f>
        <v/>
      </c>
      <c r="M481" s="125" t="str">
        <f>IF(ISNUMBER(deployment_raw[[#This Row],[Column9]]),IF(OR(deployment_raw[[#This Row],[Column5]] &lt;&gt; 0,$E$2&lt;&gt;"Deployment"), MAX(K481, Q481, S481, ($M$2 * IF($E$2="Deployment",deployment_raw[[#This Row],[Column5]],1)),IF(U481&lt;&gt;"",VALUE(U481) * IF($E$2="Deployment",deployment_raw[[#This Row],[Column5]],1),0)), 0),"")</f>
        <v/>
      </c>
      <c r="N481" s="166" t="str">
        <f>IF(ISNUMBER(deployment_raw[[#This Row],[Column14]]), deployment_raw[[#This Row],[Column14]]/IF(OR($E$2="Deployment",deployment_raw[[#This Row],[Column5]]=0),1,deployment_raw[[#This Row],[Column5]]),"")</f>
        <v/>
      </c>
      <c r="O481" s="167" t="str">
        <f>IF(ISNUMBER(deployment_raw[[#This Row],[Column15]]), deployment_raw[[#This Row],[Column15]]/IF(OR($E$2="Deployment",deployment_raw[[#This Row],[Column5]]=0),1,deployment_raw[[#This Row],[Column5]])/1048576,"")</f>
        <v/>
      </c>
      <c r="P481" s="168" t="str">
        <f>IF(ISNUMBER(deployment_raw[[#This Row],[Column12]]), (MIN(IF(N481&lt;&gt;"",N481,9999999999999)*1.1,deployment_raw[[#This Row],[Column12]] * IF($E$2="Deployment",deployment_raw[[#This Row],[Column5]],1))*(1+$P$2)),"")</f>
        <v/>
      </c>
      <c r="Q481" s="167" t="str">
        <f>IF(ISNUMBER(deployment_raw[[#This Row],[Column13]]), (MIN(IF(O481&lt;&gt;"",O481,9999999999999)*1.1,deployment_raw[[#This Row],[Column13]] * IF($E$2="Deployment",deployment_raw[[#This Row],[Column5]],1)*(1+$Q$2)/1048576)),"")</f>
        <v/>
      </c>
      <c r="R481" s="169" t="str">
        <f>IF(ISNUMBER(deployment_raw[[#This Row],[Column8]]), (H481  * IF(N481&lt;&gt;0,$R$2,1)),"")</f>
        <v/>
      </c>
      <c r="S481" s="170" t="str">
        <f>IF(ISNUMBER(deployment_raw[[#This Row],[Column8]]), (I481  * IF(O481&lt;&gt;0,$S$2,1)),"")</f>
        <v/>
      </c>
      <c r="T481" s="202" t="str">
        <f>IF(AND(A481&lt;&gt;"",_xlfn.IFNA(MATCH(A481,'dynamic resource application '!$A$2:$A$100, 0),0)&lt;&gt;0), H481/(IF($E$2="Deployment",E481,1)),"")</f>
        <v/>
      </c>
      <c r="U481" s="211" t="str">
        <f>IF(AND(A481&lt;&gt;"",_xlfn.IFNA(MATCH(A481,'dynamic resource application '!$A$2:$A$100, 0),0)&lt;&gt;0), I481/(IF($E$2="Deployment",E481,1)),"")</f>
        <v/>
      </c>
    </row>
    <row r="482" spans="1:21" ht="15.75" customHeight="1" x14ac:dyDescent="0.25">
      <c r="A482" s="35" t="str">
        <f>IF(ISNONTEXT(deployment_raw[[#This Row],[Column1]]), "", deployment_raw[[#This Row],[Column1]])</f>
        <v/>
      </c>
      <c r="B482" s="36" t="str">
        <f>IF(ISNONTEXT(deployment_raw[[#This Row],[Column2]]), "", deployment_raw[[#This Row],[Column2]])</f>
        <v/>
      </c>
      <c r="C482" s="36" t="str">
        <f>IF(ISNONTEXT(deployment_raw[[#This Row],[Column3]]), "", deployment_raw[[#This Row],[Column3]])</f>
        <v/>
      </c>
      <c r="D482" s="36" t="str">
        <f>IF(ISNONTEXT(deployment_raw[[#This Row],[Column4]]), "", deployment_raw[[#This Row],[Column4]])</f>
        <v/>
      </c>
      <c r="E482" s="37" t="str">
        <f>IF(ISNUMBER(deployment_raw[[#This Row],[Column5]]), deployment_raw[[#This Row],[Column5]],"")</f>
        <v/>
      </c>
      <c r="F482" s="94" t="str">
        <f>IF(ISNUMBER(deployment_raw[[#This Row],[Column6]]), (deployment_raw[[#This Row],[Column6]] * IF($E$2="Deployment",deployment_raw[[#This Row],[Column5]],1)),"")</f>
        <v/>
      </c>
      <c r="G482" s="95" t="str">
        <f>IF(ISNUMBER(deployment_raw[[#This Row],[Column7]]), (deployment_raw[[#This Row],[Column7]] * IF($E$2="Deployment",deployment_raw[[#This Row],[Column5]],1))/1048576,"")</f>
        <v/>
      </c>
      <c r="H482" s="95" t="str">
        <f>IF(ISNUMBER(deployment_raw[[#This Row],[Column8]]), (deployment_raw[[#This Row],[Column8]]  * IF($E$2="Deployment",deployment_raw[[#This Row],[Column5]],1)),"")</f>
        <v/>
      </c>
      <c r="I482" s="96" t="str">
        <f>IF(ISNUMBER(deployment_raw[[#This Row],[Column9]]), (deployment_raw[[#This Row],[Column9]] * IF($E$2="Deployment",deployment_raw[[#This Row],[Column5]],1))/1048576,"")</f>
        <v/>
      </c>
      <c r="J482" s="122" t="str">
        <f>IF(ISNUMBER(deployment_raw[[#This Row],[Column10]]), (MIN(IF(N482&lt;&gt;"",N482,9999999999999)*1.1,deployment_raw[[#This Row],[Column10]] * IF($E$2="Deployment",deployment_raw[[#This Row],[Column5]],1))),"")</f>
        <v/>
      </c>
      <c r="K482" s="123" t="str">
        <f>IF(ISNUMBER(deployment_raw[[#This Row],[Column11]]), (MIN(IF(O482&lt;&gt;"",O482,9999999999999)*1.1,deployment_raw[[#This Row],[Column11]] * IF($E$2="Deployment",deployment_raw[[#This Row],[Column5]],1)/1048576)),"")</f>
        <v/>
      </c>
      <c r="L482" s="124" t="str">
        <f>IF(ISNUMBER(deployment_raw[[#This Row],[Column8]]),IF(OR(deployment_raw[[#This Row],[Column5]] &lt;&gt; 0,$E$2 &lt;&gt; "Deployment"), MAX(J482, P482, R482, ($L$2 * IF($E$2="Deployment",deployment_raw[[#This Row],[Column5]],1)),IF(T482&lt;&gt;"",VALUE(T482) * IF($E$2="Deployment",deployment_raw[[#This Row],[Column5]],1),0)), 0),"")</f>
        <v/>
      </c>
      <c r="M482" s="125" t="str">
        <f>IF(ISNUMBER(deployment_raw[[#This Row],[Column9]]),IF(OR(deployment_raw[[#This Row],[Column5]] &lt;&gt; 0,$E$2&lt;&gt;"Deployment"), MAX(K482, Q482, S482, ($M$2 * IF($E$2="Deployment",deployment_raw[[#This Row],[Column5]],1)),IF(U482&lt;&gt;"",VALUE(U482) * IF($E$2="Deployment",deployment_raw[[#This Row],[Column5]],1),0)), 0),"")</f>
        <v/>
      </c>
      <c r="N482" s="166" t="str">
        <f>IF(ISNUMBER(deployment_raw[[#This Row],[Column14]]), deployment_raw[[#This Row],[Column14]]/IF(OR($E$2="Deployment",deployment_raw[[#This Row],[Column5]]=0),1,deployment_raw[[#This Row],[Column5]]),"")</f>
        <v/>
      </c>
      <c r="O482" s="167" t="str">
        <f>IF(ISNUMBER(deployment_raw[[#This Row],[Column15]]), deployment_raw[[#This Row],[Column15]]/IF(OR($E$2="Deployment",deployment_raw[[#This Row],[Column5]]=0),1,deployment_raw[[#This Row],[Column5]])/1048576,"")</f>
        <v/>
      </c>
      <c r="P482" s="168" t="str">
        <f>IF(ISNUMBER(deployment_raw[[#This Row],[Column12]]), (MIN(IF(N482&lt;&gt;"",N482,9999999999999)*1.1,deployment_raw[[#This Row],[Column12]] * IF($E$2="Deployment",deployment_raw[[#This Row],[Column5]],1))*(1+$P$2)),"")</f>
        <v/>
      </c>
      <c r="Q482" s="167" t="str">
        <f>IF(ISNUMBER(deployment_raw[[#This Row],[Column13]]), (MIN(IF(O482&lt;&gt;"",O482,9999999999999)*1.1,deployment_raw[[#This Row],[Column13]] * IF($E$2="Deployment",deployment_raw[[#This Row],[Column5]],1)*(1+$Q$2)/1048576)),"")</f>
        <v/>
      </c>
      <c r="R482" s="169" t="str">
        <f>IF(ISNUMBER(deployment_raw[[#This Row],[Column8]]), (H482  * IF(N482&lt;&gt;0,$R$2,1)),"")</f>
        <v/>
      </c>
      <c r="S482" s="170" t="str">
        <f>IF(ISNUMBER(deployment_raw[[#This Row],[Column8]]), (I482  * IF(O482&lt;&gt;0,$S$2,1)),"")</f>
        <v/>
      </c>
      <c r="T482" s="202" t="str">
        <f>IF(AND(A482&lt;&gt;"",_xlfn.IFNA(MATCH(A482,'dynamic resource application '!$A$2:$A$100, 0),0)&lt;&gt;0), H482/(IF($E$2="Deployment",E482,1)),"")</f>
        <v/>
      </c>
      <c r="U482" s="211" t="str">
        <f>IF(AND(A482&lt;&gt;"",_xlfn.IFNA(MATCH(A482,'dynamic resource application '!$A$2:$A$100, 0),0)&lt;&gt;0), I482/(IF($E$2="Deployment",E482,1)),"")</f>
        <v/>
      </c>
    </row>
    <row r="483" spans="1:21" ht="15.75" customHeight="1" x14ac:dyDescent="0.25">
      <c r="A483" s="35" t="str">
        <f>IF(ISNONTEXT(deployment_raw[[#This Row],[Column1]]), "", deployment_raw[[#This Row],[Column1]])</f>
        <v/>
      </c>
      <c r="B483" s="36" t="str">
        <f>IF(ISNONTEXT(deployment_raw[[#This Row],[Column2]]), "", deployment_raw[[#This Row],[Column2]])</f>
        <v/>
      </c>
      <c r="C483" s="36" t="str">
        <f>IF(ISNONTEXT(deployment_raw[[#This Row],[Column3]]), "", deployment_raw[[#This Row],[Column3]])</f>
        <v/>
      </c>
      <c r="D483" s="36" t="str">
        <f>IF(ISNONTEXT(deployment_raw[[#This Row],[Column4]]), "", deployment_raw[[#This Row],[Column4]])</f>
        <v/>
      </c>
      <c r="E483" s="37" t="str">
        <f>IF(ISNUMBER(deployment_raw[[#This Row],[Column5]]), deployment_raw[[#This Row],[Column5]],"")</f>
        <v/>
      </c>
      <c r="F483" s="94" t="str">
        <f>IF(ISNUMBER(deployment_raw[[#This Row],[Column6]]), (deployment_raw[[#This Row],[Column6]] * IF($E$2="Deployment",deployment_raw[[#This Row],[Column5]],1)),"")</f>
        <v/>
      </c>
      <c r="G483" s="95" t="str">
        <f>IF(ISNUMBER(deployment_raw[[#This Row],[Column7]]), (deployment_raw[[#This Row],[Column7]] * IF($E$2="Deployment",deployment_raw[[#This Row],[Column5]],1))/1048576,"")</f>
        <v/>
      </c>
      <c r="H483" s="95" t="str">
        <f>IF(ISNUMBER(deployment_raw[[#This Row],[Column8]]), (deployment_raw[[#This Row],[Column8]]  * IF($E$2="Deployment",deployment_raw[[#This Row],[Column5]],1)),"")</f>
        <v/>
      </c>
      <c r="I483" s="96" t="str">
        <f>IF(ISNUMBER(deployment_raw[[#This Row],[Column9]]), (deployment_raw[[#This Row],[Column9]] * IF($E$2="Deployment",deployment_raw[[#This Row],[Column5]],1))/1048576,"")</f>
        <v/>
      </c>
      <c r="J483" s="122" t="str">
        <f>IF(ISNUMBER(deployment_raw[[#This Row],[Column10]]), (MIN(IF(N483&lt;&gt;"",N483,9999999999999)*1.1,deployment_raw[[#This Row],[Column10]] * IF($E$2="Deployment",deployment_raw[[#This Row],[Column5]],1))),"")</f>
        <v/>
      </c>
      <c r="K483" s="123" t="str">
        <f>IF(ISNUMBER(deployment_raw[[#This Row],[Column11]]), (MIN(IF(O483&lt;&gt;"",O483,9999999999999)*1.1,deployment_raw[[#This Row],[Column11]] * IF($E$2="Deployment",deployment_raw[[#This Row],[Column5]],1)/1048576)),"")</f>
        <v/>
      </c>
      <c r="L483" s="124" t="str">
        <f>IF(ISNUMBER(deployment_raw[[#This Row],[Column8]]),IF(OR(deployment_raw[[#This Row],[Column5]] &lt;&gt; 0,$E$2 &lt;&gt; "Deployment"), MAX(J483, P483, R483, ($L$2 * IF($E$2="Deployment",deployment_raw[[#This Row],[Column5]],1)),IF(T483&lt;&gt;"",VALUE(T483) * IF($E$2="Deployment",deployment_raw[[#This Row],[Column5]],1),0)), 0),"")</f>
        <v/>
      </c>
      <c r="M483" s="125" t="str">
        <f>IF(ISNUMBER(deployment_raw[[#This Row],[Column9]]),IF(OR(deployment_raw[[#This Row],[Column5]] &lt;&gt; 0,$E$2&lt;&gt;"Deployment"), MAX(K483, Q483, S483, ($M$2 * IF($E$2="Deployment",deployment_raw[[#This Row],[Column5]],1)),IF(U483&lt;&gt;"",VALUE(U483) * IF($E$2="Deployment",deployment_raw[[#This Row],[Column5]],1),0)), 0),"")</f>
        <v/>
      </c>
      <c r="N483" s="166" t="str">
        <f>IF(ISNUMBER(deployment_raw[[#This Row],[Column14]]), deployment_raw[[#This Row],[Column14]]/IF(OR($E$2="Deployment",deployment_raw[[#This Row],[Column5]]=0),1,deployment_raw[[#This Row],[Column5]]),"")</f>
        <v/>
      </c>
      <c r="O483" s="167" t="str">
        <f>IF(ISNUMBER(deployment_raw[[#This Row],[Column15]]), deployment_raw[[#This Row],[Column15]]/IF(OR($E$2="Deployment",deployment_raw[[#This Row],[Column5]]=0),1,deployment_raw[[#This Row],[Column5]])/1048576,"")</f>
        <v/>
      </c>
      <c r="P483" s="168" t="str">
        <f>IF(ISNUMBER(deployment_raw[[#This Row],[Column12]]), (MIN(IF(N483&lt;&gt;"",N483,9999999999999)*1.1,deployment_raw[[#This Row],[Column12]] * IF($E$2="Deployment",deployment_raw[[#This Row],[Column5]],1))*(1+$P$2)),"")</f>
        <v/>
      </c>
      <c r="Q483" s="167" t="str">
        <f>IF(ISNUMBER(deployment_raw[[#This Row],[Column13]]), (MIN(IF(O483&lt;&gt;"",O483,9999999999999)*1.1,deployment_raw[[#This Row],[Column13]] * IF($E$2="Deployment",deployment_raw[[#This Row],[Column5]],1)*(1+$Q$2)/1048576)),"")</f>
        <v/>
      </c>
      <c r="R483" s="169" t="str">
        <f>IF(ISNUMBER(deployment_raw[[#This Row],[Column8]]), (H483  * IF(N483&lt;&gt;0,$R$2,1)),"")</f>
        <v/>
      </c>
      <c r="S483" s="170" t="str">
        <f>IF(ISNUMBER(deployment_raw[[#This Row],[Column8]]), (I483  * IF(O483&lt;&gt;0,$S$2,1)),"")</f>
        <v/>
      </c>
      <c r="T483" s="202" t="str">
        <f>IF(AND(A483&lt;&gt;"",_xlfn.IFNA(MATCH(A483,'dynamic resource application '!$A$2:$A$100, 0),0)&lt;&gt;0), H483/(IF($E$2="Deployment",E483,1)),"")</f>
        <v/>
      </c>
      <c r="U483" s="211" t="str">
        <f>IF(AND(A483&lt;&gt;"",_xlfn.IFNA(MATCH(A483,'dynamic resource application '!$A$2:$A$100, 0),0)&lt;&gt;0), I483/(IF($E$2="Deployment",E483,1)),"")</f>
        <v/>
      </c>
    </row>
    <row r="484" spans="1:21" ht="15.75" customHeight="1" x14ac:dyDescent="0.25">
      <c r="A484" s="35" t="str">
        <f>IF(ISNONTEXT(deployment_raw[[#This Row],[Column1]]), "", deployment_raw[[#This Row],[Column1]])</f>
        <v/>
      </c>
      <c r="B484" s="36" t="str">
        <f>IF(ISNONTEXT(deployment_raw[[#This Row],[Column2]]), "", deployment_raw[[#This Row],[Column2]])</f>
        <v/>
      </c>
      <c r="C484" s="36" t="str">
        <f>IF(ISNONTEXT(deployment_raw[[#This Row],[Column3]]), "", deployment_raw[[#This Row],[Column3]])</f>
        <v/>
      </c>
      <c r="D484" s="36" t="str">
        <f>IF(ISNONTEXT(deployment_raw[[#This Row],[Column4]]), "", deployment_raw[[#This Row],[Column4]])</f>
        <v/>
      </c>
      <c r="E484" s="37" t="str">
        <f>IF(ISNUMBER(deployment_raw[[#This Row],[Column5]]), deployment_raw[[#This Row],[Column5]],"")</f>
        <v/>
      </c>
      <c r="F484" s="94" t="str">
        <f>IF(ISNUMBER(deployment_raw[[#This Row],[Column6]]), (deployment_raw[[#This Row],[Column6]] * IF($E$2="Deployment",deployment_raw[[#This Row],[Column5]],1)),"")</f>
        <v/>
      </c>
      <c r="G484" s="95" t="str">
        <f>IF(ISNUMBER(deployment_raw[[#This Row],[Column7]]), (deployment_raw[[#This Row],[Column7]] * IF($E$2="Deployment",deployment_raw[[#This Row],[Column5]],1))/1048576,"")</f>
        <v/>
      </c>
      <c r="H484" s="95" t="str">
        <f>IF(ISNUMBER(deployment_raw[[#This Row],[Column8]]), (deployment_raw[[#This Row],[Column8]]  * IF($E$2="Deployment",deployment_raw[[#This Row],[Column5]],1)),"")</f>
        <v/>
      </c>
      <c r="I484" s="96" t="str">
        <f>IF(ISNUMBER(deployment_raw[[#This Row],[Column9]]), (deployment_raw[[#This Row],[Column9]] * IF($E$2="Deployment",deployment_raw[[#This Row],[Column5]],1))/1048576,"")</f>
        <v/>
      </c>
      <c r="J484" s="122" t="str">
        <f>IF(ISNUMBER(deployment_raw[[#This Row],[Column10]]), (MIN(IF(N484&lt;&gt;"",N484,9999999999999)*1.1,deployment_raw[[#This Row],[Column10]] * IF($E$2="Deployment",deployment_raw[[#This Row],[Column5]],1))),"")</f>
        <v/>
      </c>
      <c r="K484" s="123" t="str">
        <f>IF(ISNUMBER(deployment_raw[[#This Row],[Column11]]), (MIN(IF(O484&lt;&gt;"",O484,9999999999999)*1.1,deployment_raw[[#This Row],[Column11]] * IF($E$2="Deployment",deployment_raw[[#This Row],[Column5]],1)/1048576)),"")</f>
        <v/>
      </c>
      <c r="L484" s="124" t="str">
        <f>IF(ISNUMBER(deployment_raw[[#This Row],[Column8]]),IF(OR(deployment_raw[[#This Row],[Column5]] &lt;&gt; 0,$E$2 &lt;&gt; "Deployment"), MAX(J484, P484, R484, ($L$2 * IF($E$2="Deployment",deployment_raw[[#This Row],[Column5]],1)),IF(T484&lt;&gt;"",VALUE(T484) * IF($E$2="Deployment",deployment_raw[[#This Row],[Column5]],1),0)), 0),"")</f>
        <v/>
      </c>
      <c r="M484" s="125" t="str">
        <f>IF(ISNUMBER(deployment_raw[[#This Row],[Column9]]),IF(OR(deployment_raw[[#This Row],[Column5]] &lt;&gt; 0,$E$2&lt;&gt;"Deployment"), MAX(K484, Q484, S484, ($M$2 * IF($E$2="Deployment",deployment_raw[[#This Row],[Column5]],1)),IF(U484&lt;&gt;"",VALUE(U484) * IF($E$2="Deployment",deployment_raw[[#This Row],[Column5]],1),0)), 0),"")</f>
        <v/>
      </c>
      <c r="N484" s="166" t="str">
        <f>IF(ISNUMBER(deployment_raw[[#This Row],[Column14]]), deployment_raw[[#This Row],[Column14]]/IF(OR($E$2="Deployment",deployment_raw[[#This Row],[Column5]]=0),1,deployment_raw[[#This Row],[Column5]]),"")</f>
        <v/>
      </c>
      <c r="O484" s="167" t="str">
        <f>IF(ISNUMBER(deployment_raw[[#This Row],[Column15]]), deployment_raw[[#This Row],[Column15]]/IF(OR($E$2="Deployment",deployment_raw[[#This Row],[Column5]]=0),1,deployment_raw[[#This Row],[Column5]])/1048576,"")</f>
        <v/>
      </c>
      <c r="P484" s="168" t="str">
        <f>IF(ISNUMBER(deployment_raw[[#This Row],[Column12]]), (MIN(IF(N484&lt;&gt;"",N484,9999999999999)*1.1,deployment_raw[[#This Row],[Column12]] * IF($E$2="Deployment",deployment_raw[[#This Row],[Column5]],1))*(1+$P$2)),"")</f>
        <v/>
      </c>
      <c r="Q484" s="167" t="str">
        <f>IF(ISNUMBER(deployment_raw[[#This Row],[Column13]]), (MIN(IF(O484&lt;&gt;"",O484,9999999999999)*1.1,deployment_raw[[#This Row],[Column13]] * IF($E$2="Deployment",deployment_raw[[#This Row],[Column5]],1)*(1+$Q$2)/1048576)),"")</f>
        <v/>
      </c>
      <c r="R484" s="169" t="str">
        <f>IF(ISNUMBER(deployment_raw[[#This Row],[Column8]]), (H484  * IF(N484&lt;&gt;0,$R$2,1)),"")</f>
        <v/>
      </c>
      <c r="S484" s="170" t="str">
        <f>IF(ISNUMBER(deployment_raw[[#This Row],[Column8]]), (I484  * IF(O484&lt;&gt;0,$S$2,1)),"")</f>
        <v/>
      </c>
      <c r="T484" s="202" t="str">
        <f>IF(AND(A484&lt;&gt;"",_xlfn.IFNA(MATCH(A484,'dynamic resource application '!$A$2:$A$100, 0),0)&lt;&gt;0), H484/(IF($E$2="Deployment",E484,1)),"")</f>
        <v/>
      </c>
      <c r="U484" s="211" t="str">
        <f>IF(AND(A484&lt;&gt;"",_xlfn.IFNA(MATCH(A484,'dynamic resource application '!$A$2:$A$100, 0),0)&lt;&gt;0), I484/(IF($E$2="Deployment",E484,1)),"")</f>
        <v/>
      </c>
    </row>
    <row r="485" spans="1:21" ht="15.75" customHeight="1" x14ac:dyDescent="0.25">
      <c r="A485" s="35" t="str">
        <f>IF(ISNONTEXT(deployment_raw[[#This Row],[Column1]]), "", deployment_raw[[#This Row],[Column1]])</f>
        <v/>
      </c>
      <c r="B485" s="36" t="str">
        <f>IF(ISNONTEXT(deployment_raw[[#This Row],[Column2]]), "", deployment_raw[[#This Row],[Column2]])</f>
        <v/>
      </c>
      <c r="C485" s="36" t="str">
        <f>IF(ISNONTEXT(deployment_raw[[#This Row],[Column3]]), "", deployment_raw[[#This Row],[Column3]])</f>
        <v/>
      </c>
      <c r="D485" s="36" t="str">
        <f>IF(ISNONTEXT(deployment_raw[[#This Row],[Column4]]), "", deployment_raw[[#This Row],[Column4]])</f>
        <v/>
      </c>
      <c r="E485" s="37" t="str">
        <f>IF(ISNUMBER(deployment_raw[[#This Row],[Column5]]), deployment_raw[[#This Row],[Column5]],"")</f>
        <v/>
      </c>
      <c r="F485" s="94" t="str">
        <f>IF(ISNUMBER(deployment_raw[[#This Row],[Column6]]), (deployment_raw[[#This Row],[Column6]] * IF($E$2="Deployment",deployment_raw[[#This Row],[Column5]],1)),"")</f>
        <v/>
      </c>
      <c r="G485" s="95" t="str">
        <f>IF(ISNUMBER(deployment_raw[[#This Row],[Column7]]), (deployment_raw[[#This Row],[Column7]] * IF($E$2="Deployment",deployment_raw[[#This Row],[Column5]],1))/1048576,"")</f>
        <v/>
      </c>
      <c r="H485" s="95" t="str">
        <f>IF(ISNUMBER(deployment_raw[[#This Row],[Column8]]), (deployment_raw[[#This Row],[Column8]]  * IF($E$2="Deployment",deployment_raw[[#This Row],[Column5]],1)),"")</f>
        <v/>
      </c>
      <c r="I485" s="96" t="str">
        <f>IF(ISNUMBER(deployment_raw[[#This Row],[Column9]]), (deployment_raw[[#This Row],[Column9]] * IF($E$2="Deployment",deployment_raw[[#This Row],[Column5]],1))/1048576,"")</f>
        <v/>
      </c>
      <c r="J485" s="122" t="str">
        <f>IF(ISNUMBER(deployment_raw[[#This Row],[Column10]]), (MIN(IF(N485&lt;&gt;"",N485,9999999999999)*1.1,deployment_raw[[#This Row],[Column10]] * IF($E$2="Deployment",deployment_raw[[#This Row],[Column5]],1))),"")</f>
        <v/>
      </c>
      <c r="K485" s="123" t="str">
        <f>IF(ISNUMBER(deployment_raw[[#This Row],[Column11]]), (MIN(IF(O485&lt;&gt;"",O485,9999999999999)*1.1,deployment_raw[[#This Row],[Column11]] * IF($E$2="Deployment",deployment_raw[[#This Row],[Column5]],1)/1048576)),"")</f>
        <v/>
      </c>
      <c r="L485" s="124" t="str">
        <f>IF(ISNUMBER(deployment_raw[[#This Row],[Column8]]),IF(OR(deployment_raw[[#This Row],[Column5]] &lt;&gt; 0,$E$2 &lt;&gt; "Deployment"), MAX(J485, P485, R485, ($L$2 * IF($E$2="Deployment",deployment_raw[[#This Row],[Column5]],1)),IF(T485&lt;&gt;"",VALUE(T485) * IF($E$2="Deployment",deployment_raw[[#This Row],[Column5]],1),0)), 0),"")</f>
        <v/>
      </c>
      <c r="M485" s="125" t="str">
        <f>IF(ISNUMBER(deployment_raw[[#This Row],[Column9]]),IF(OR(deployment_raw[[#This Row],[Column5]] &lt;&gt; 0,$E$2&lt;&gt;"Deployment"), MAX(K485, Q485, S485, ($M$2 * IF($E$2="Deployment",deployment_raw[[#This Row],[Column5]],1)),IF(U485&lt;&gt;"",VALUE(U485) * IF($E$2="Deployment",deployment_raw[[#This Row],[Column5]],1),0)), 0),"")</f>
        <v/>
      </c>
      <c r="N485" s="166" t="str">
        <f>IF(ISNUMBER(deployment_raw[[#This Row],[Column14]]), deployment_raw[[#This Row],[Column14]]/IF(OR($E$2="Deployment",deployment_raw[[#This Row],[Column5]]=0),1,deployment_raw[[#This Row],[Column5]]),"")</f>
        <v/>
      </c>
      <c r="O485" s="167" t="str">
        <f>IF(ISNUMBER(deployment_raw[[#This Row],[Column15]]), deployment_raw[[#This Row],[Column15]]/IF(OR($E$2="Deployment",deployment_raw[[#This Row],[Column5]]=0),1,deployment_raw[[#This Row],[Column5]])/1048576,"")</f>
        <v/>
      </c>
      <c r="P485" s="168" t="str">
        <f>IF(ISNUMBER(deployment_raw[[#This Row],[Column12]]), (MIN(IF(N485&lt;&gt;"",N485,9999999999999)*1.1,deployment_raw[[#This Row],[Column12]] * IF($E$2="Deployment",deployment_raw[[#This Row],[Column5]],1))*(1+$P$2)),"")</f>
        <v/>
      </c>
      <c r="Q485" s="167" t="str">
        <f>IF(ISNUMBER(deployment_raw[[#This Row],[Column13]]), (MIN(IF(O485&lt;&gt;"",O485,9999999999999)*1.1,deployment_raw[[#This Row],[Column13]] * IF($E$2="Deployment",deployment_raw[[#This Row],[Column5]],1)*(1+$Q$2)/1048576)),"")</f>
        <v/>
      </c>
      <c r="R485" s="169" t="str">
        <f>IF(ISNUMBER(deployment_raw[[#This Row],[Column8]]), (H485  * IF(N485&lt;&gt;0,$R$2,1)),"")</f>
        <v/>
      </c>
      <c r="S485" s="170" t="str">
        <f>IF(ISNUMBER(deployment_raw[[#This Row],[Column8]]), (I485  * IF(O485&lt;&gt;0,$S$2,1)),"")</f>
        <v/>
      </c>
      <c r="T485" s="202" t="str">
        <f>IF(AND(A485&lt;&gt;"",_xlfn.IFNA(MATCH(A485,'dynamic resource application '!$A$2:$A$100, 0),0)&lt;&gt;0), H485/(IF($E$2="Deployment",E485,1)),"")</f>
        <v/>
      </c>
      <c r="U485" s="211" t="str">
        <f>IF(AND(A485&lt;&gt;"",_xlfn.IFNA(MATCH(A485,'dynamic resource application '!$A$2:$A$100, 0),0)&lt;&gt;0), I485/(IF($E$2="Deployment",E485,1)),"")</f>
        <v/>
      </c>
    </row>
    <row r="486" spans="1:21" ht="15.75" customHeight="1" x14ac:dyDescent="0.25">
      <c r="A486" s="35" t="str">
        <f>IF(ISNONTEXT(deployment_raw[[#This Row],[Column1]]), "", deployment_raw[[#This Row],[Column1]])</f>
        <v/>
      </c>
      <c r="B486" s="36" t="str">
        <f>IF(ISNONTEXT(deployment_raw[[#This Row],[Column2]]), "", deployment_raw[[#This Row],[Column2]])</f>
        <v/>
      </c>
      <c r="C486" s="36" t="str">
        <f>IF(ISNONTEXT(deployment_raw[[#This Row],[Column3]]), "", deployment_raw[[#This Row],[Column3]])</f>
        <v/>
      </c>
      <c r="D486" s="36" t="str">
        <f>IF(ISNONTEXT(deployment_raw[[#This Row],[Column4]]), "", deployment_raw[[#This Row],[Column4]])</f>
        <v/>
      </c>
      <c r="E486" s="37" t="str">
        <f>IF(ISNUMBER(deployment_raw[[#This Row],[Column5]]), deployment_raw[[#This Row],[Column5]],"")</f>
        <v/>
      </c>
      <c r="F486" s="94" t="str">
        <f>IF(ISNUMBER(deployment_raw[[#This Row],[Column6]]), (deployment_raw[[#This Row],[Column6]] * IF($E$2="Deployment",deployment_raw[[#This Row],[Column5]],1)),"")</f>
        <v/>
      </c>
      <c r="G486" s="95" t="str">
        <f>IF(ISNUMBER(deployment_raw[[#This Row],[Column7]]), (deployment_raw[[#This Row],[Column7]] * IF($E$2="Deployment",deployment_raw[[#This Row],[Column5]],1))/1048576,"")</f>
        <v/>
      </c>
      <c r="H486" s="95" t="str">
        <f>IF(ISNUMBER(deployment_raw[[#This Row],[Column8]]), (deployment_raw[[#This Row],[Column8]]  * IF($E$2="Deployment",deployment_raw[[#This Row],[Column5]],1)),"")</f>
        <v/>
      </c>
      <c r="I486" s="96" t="str">
        <f>IF(ISNUMBER(deployment_raw[[#This Row],[Column9]]), (deployment_raw[[#This Row],[Column9]] * IF($E$2="Deployment",deployment_raw[[#This Row],[Column5]],1))/1048576,"")</f>
        <v/>
      </c>
      <c r="J486" s="122" t="str">
        <f>IF(ISNUMBER(deployment_raw[[#This Row],[Column10]]), (MIN(IF(N486&lt;&gt;"",N486,9999999999999)*1.1,deployment_raw[[#This Row],[Column10]] * IF($E$2="Deployment",deployment_raw[[#This Row],[Column5]],1))),"")</f>
        <v/>
      </c>
      <c r="K486" s="123" t="str">
        <f>IF(ISNUMBER(deployment_raw[[#This Row],[Column11]]), (MIN(IF(O486&lt;&gt;"",O486,9999999999999)*1.1,deployment_raw[[#This Row],[Column11]] * IF($E$2="Deployment",deployment_raw[[#This Row],[Column5]],1)/1048576)),"")</f>
        <v/>
      </c>
      <c r="L486" s="124" t="str">
        <f>IF(ISNUMBER(deployment_raw[[#This Row],[Column8]]),IF(OR(deployment_raw[[#This Row],[Column5]] &lt;&gt; 0,$E$2 &lt;&gt; "Deployment"), MAX(J486, P486, R486, ($L$2 * IF($E$2="Deployment",deployment_raw[[#This Row],[Column5]],1)),IF(T486&lt;&gt;"",VALUE(T486) * IF($E$2="Deployment",deployment_raw[[#This Row],[Column5]],1),0)), 0),"")</f>
        <v/>
      </c>
      <c r="M486" s="125" t="str">
        <f>IF(ISNUMBER(deployment_raw[[#This Row],[Column9]]),IF(OR(deployment_raw[[#This Row],[Column5]] &lt;&gt; 0,$E$2&lt;&gt;"Deployment"), MAX(K486, Q486, S486, ($M$2 * IF($E$2="Deployment",deployment_raw[[#This Row],[Column5]],1)),IF(U486&lt;&gt;"",VALUE(U486) * IF($E$2="Deployment",deployment_raw[[#This Row],[Column5]],1),0)), 0),"")</f>
        <v/>
      </c>
      <c r="N486" s="166" t="str">
        <f>IF(ISNUMBER(deployment_raw[[#This Row],[Column14]]), deployment_raw[[#This Row],[Column14]]/IF(OR($E$2="Deployment",deployment_raw[[#This Row],[Column5]]=0),1,deployment_raw[[#This Row],[Column5]]),"")</f>
        <v/>
      </c>
      <c r="O486" s="167" t="str">
        <f>IF(ISNUMBER(deployment_raw[[#This Row],[Column15]]), deployment_raw[[#This Row],[Column15]]/IF(OR($E$2="Deployment",deployment_raw[[#This Row],[Column5]]=0),1,deployment_raw[[#This Row],[Column5]])/1048576,"")</f>
        <v/>
      </c>
      <c r="P486" s="168" t="str">
        <f>IF(ISNUMBER(deployment_raw[[#This Row],[Column12]]), (MIN(IF(N486&lt;&gt;"",N486,9999999999999)*1.1,deployment_raw[[#This Row],[Column12]] * IF($E$2="Deployment",deployment_raw[[#This Row],[Column5]],1))*(1+$P$2)),"")</f>
        <v/>
      </c>
      <c r="Q486" s="167" t="str">
        <f>IF(ISNUMBER(deployment_raw[[#This Row],[Column13]]), (MIN(IF(O486&lt;&gt;"",O486,9999999999999)*1.1,deployment_raw[[#This Row],[Column13]] * IF($E$2="Deployment",deployment_raw[[#This Row],[Column5]],1)*(1+$Q$2)/1048576)),"")</f>
        <v/>
      </c>
      <c r="R486" s="169" t="str">
        <f>IF(ISNUMBER(deployment_raw[[#This Row],[Column8]]), (H486  * IF(N486&lt;&gt;0,$R$2,1)),"")</f>
        <v/>
      </c>
      <c r="S486" s="170" t="str">
        <f>IF(ISNUMBER(deployment_raw[[#This Row],[Column8]]), (I486  * IF(O486&lt;&gt;0,$S$2,1)),"")</f>
        <v/>
      </c>
      <c r="T486" s="202" t="str">
        <f>IF(AND(A486&lt;&gt;"",_xlfn.IFNA(MATCH(A486,'dynamic resource application '!$A$2:$A$100, 0),0)&lt;&gt;0), H486/(IF($E$2="Deployment",E486,1)),"")</f>
        <v/>
      </c>
      <c r="U486" s="211" t="str">
        <f>IF(AND(A486&lt;&gt;"",_xlfn.IFNA(MATCH(A486,'dynamic resource application '!$A$2:$A$100, 0),0)&lt;&gt;0), I486/(IF($E$2="Deployment",E486,1)),"")</f>
        <v/>
      </c>
    </row>
    <row r="487" spans="1:21" ht="15.75" customHeight="1" x14ac:dyDescent="0.25">
      <c r="A487" s="35" t="str">
        <f>IF(ISNONTEXT(deployment_raw[[#This Row],[Column1]]), "", deployment_raw[[#This Row],[Column1]])</f>
        <v/>
      </c>
      <c r="B487" s="36" t="str">
        <f>IF(ISNONTEXT(deployment_raw[[#This Row],[Column2]]), "", deployment_raw[[#This Row],[Column2]])</f>
        <v/>
      </c>
      <c r="C487" s="36" t="str">
        <f>IF(ISNONTEXT(deployment_raw[[#This Row],[Column3]]), "", deployment_raw[[#This Row],[Column3]])</f>
        <v/>
      </c>
      <c r="D487" s="36" t="str">
        <f>IF(ISNONTEXT(deployment_raw[[#This Row],[Column4]]), "", deployment_raw[[#This Row],[Column4]])</f>
        <v/>
      </c>
      <c r="E487" s="37" t="str">
        <f>IF(ISNUMBER(deployment_raw[[#This Row],[Column5]]), deployment_raw[[#This Row],[Column5]],"")</f>
        <v/>
      </c>
      <c r="F487" s="94" t="str">
        <f>IF(ISNUMBER(deployment_raw[[#This Row],[Column6]]), (deployment_raw[[#This Row],[Column6]] * IF($E$2="Deployment",deployment_raw[[#This Row],[Column5]],1)),"")</f>
        <v/>
      </c>
      <c r="G487" s="95" t="str">
        <f>IF(ISNUMBER(deployment_raw[[#This Row],[Column7]]), (deployment_raw[[#This Row],[Column7]] * IF($E$2="Deployment",deployment_raw[[#This Row],[Column5]],1))/1048576,"")</f>
        <v/>
      </c>
      <c r="H487" s="95" t="str">
        <f>IF(ISNUMBER(deployment_raw[[#This Row],[Column8]]), (deployment_raw[[#This Row],[Column8]]  * IF($E$2="Deployment",deployment_raw[[#This Row],[Column5]],1)),"")</f>
        <v/>
      </c>
      <c r="I487" s="96" t="str">
        <f>IF(ISNUMBER(deployment_raw[[#This Row],[Column9]]), (deployment_raw[[#This Row],[Column9]] * IF($E$2="Deployment",deployment_raw[[#This Row],[Column5]],1))/1048576,"")</f>
        <v/>
      </c>
      <c r="J487" s="122" t="str">
        <f>IF(ISNUMBER(deployment_raw[[#This Row],[Column10]]), (MIN(IF(N487&lt;&gt;"",N487,9999999999999)*1.1,deployment_raw[[#This Row],[Column10]] * IF($E$2="Deployment",deployment_raw[[#This Row],[Column5]],1))),"")</f>
        <v/>
      </c>
      <c r="K487" s="123" t="str">
        <f>IF(ISNUMBER(deployment_raw[[#This Row],[Column11]]), (MIN(IF(O487&lt;&gt;"",O487,9999999999999)*1.1,deployment_raw[[#This Row],[Column11]] * IF($E$2="Deployment",deployment_raw[[#This Row],[Column5]],1)/1048576)),"")</f>
        <v/>
      </c>
      <c r="L487" s="124" t="str">
        <f>IF(ISNUMBER(deployment_raw[[#This Row],[Column8]]),IF(OR(deployment_raw[[#This Row],[Column5]] &lt;&gt; 0,$E$2 &lt;&gt; "Deployment"), MAX(J487, P487, R487, ($L$2 * IF($E$2="Deployment",deployment_raw[[#This Row],[Column5]],1)),IF(T487&lt;&gt;"",VALUE(T487) * IF($E$2="Deployment",deployment_raw[[#This Row],[Column5]],1),0)), 0),"")</f>
        <v/>
      </c>
      <c r="M487" s="125" t="str">
        <f>IF(ISNUMBER(deployment_raw[[#This Row],[Column9]]),IF(OR(deployment_raw[[#This Row],[Column5]] &lt;&gt; 0,$E$2&lt;&gt;"Deployment"), MAX(K487, Q487, S487, ($M$2 * IF($E$2="Deployment",deployment_raw[[#This Row],[Column5]],1)),IF(U487&lt;&gt;"",VALUE(U487) * IF($E$2="Deployment",deployment_raw[[#This Row],[Column5]],1),0)), 0),"")</f>
        <v/>
      </c>
      <c r="N487" s="166" t="str">
        <f>IF(ISNUMBER(deployment_raw[[#This Row],[Column14]]), deployment_raw[[#This Row],[Column14]]/IF(OR($E$2="Deployment",deployment_raw[[#This Row],[Column5]]=0),1,deployment_raw[[#This Row],[Column5]]),"")</f>
        <v/>
      </c>
      <c r="O487" s="167" t="str">
        <f>IF(ISNUMBER(deployment_raw[[#This Row],[Column15]]), deployment_raw[[#This Row],[Column15]]/IF(OR($E$2="Deployment",deployment_raw[[#This Row],[Column5]]=0),1,deployment_raw[[#This Row],[Column5]])/1048576,"")</f>
        <v/>
      </c>
      <c r="P487" s="168" t="str">
        <f>IF(ISNUMBER(deployment_raw[[#This Row],[Column12]]), (MIN(IF(N487&lt;&gt;"",N487,9999999999999)*1.1,deployment_raw[[#This Row],[Column12]] * IF($E$2="Deployment",deployment_raw[[#This Row],[Column5]],1))*(1+$P$2)),"")</f>
        <v/>
      </c>
      <c r="Q487" s="167" t="str">
        <f>IF(ISNUMBER(deployment_raw[[#This Row],[Column13]]), (MIN(IF(O487&lt;&gt;"",O487,9999999999999)*1.1,deployment_raw[[#This Row],[Column13]] * IF($E$2="Deployment",deployment_raw[[#This Row],[Column5]],1)*(1+$Q$2)/1048576)),"")</f>
        <v/>
      </c>
      <c r="R487" s="169" t="str">
        <f>IF(ISNUMBER(deployment_raw[[#This Row],[Column8]]), (H487  * IF(N487&lt;&gt;0,$R$2,1)),"")</f>
        <v/>
      </c>
      <c r="S487" s="170" t="str">
        <f>IF(ISNUMBER(deployment_raw[[#This Row],[Column8]]), (I487  * IF(O487&lt;&gt;0,$S$2,1)),"")</f>
        <v/>
      </c>
      <c r="T487" s="202" t="str">
        <f>IF(AND(A487&lt;&gt;"",_xlfn.IFNA(MATCH(A487,'dynamic resource application '!$A$2:$A$100, 0),0)&lt;&gt;0), H487/(IF($E$2="Deployment",E487,1)),"")</f>
        <v/>
      </c>
      <c r="U487" s="211" t="str">
        <f>IF(AND(A487&lt;&gt;"",_xlfn.IFNA(MATCH(A487,'dynamic resource application '!$A$2:$A$100, 0),0)&lt;&gt;0), I487/(IF($E$2="Deployment",E487,1)),"")</f>
        <v/>
      </c>
    </row>
    <row r="488" spans="1:21" ht="15.75" customHeight="1" x14ac:dyDescent="0.25">
      <c r="A488" s="35" t="str">
        <f>IF(ISNONTEXT(deployment_raw[[#This Row],[Column1]]), "", deployment_raw[[#This Row],[Column1]])</f>
        <v/>
      </c>
      <c r="B488" s="36" t="str">
        <f>IF(ISNONTEXT(deployment_raw[[#This Row],[Column2]]), "", deployment_raw[[#This Row],[Column2]])</f>
        <v/>
      </c>
      <c r="C488" s="36" t="str">
        <f>IF(ISNONTEXT(deployment_raw[[#This Row],[Column3]]), "", deployment_raw[[#This Row],[Column3]])</f>
        <v/>
      </c>
      <c r="D488" s="36" t="str">
        <f>IF(ISNONTEXT(deployment_raw[[#This Row],[Column4]]), "", deployment_raw[[#This Row],[Column4]])</f>
        <v/>
      </c>
      <c r="E488" s="37" t="str">
        <f>IF(ISNUMBER(deployment_raw[[#This Row],[Column5]]), deployment_raw[[#This Row],[Column5]],"")</f>
        <v/>
      </c>
      <c r="F488" s="94" t="str">
        <f>IF(ISNUMBER(deployment_raw[[#This Row],[Column6]]), (deployment_raw[[#This Row],[Column6]] * IF($E$2="Deployment",deployment_raw[[#This Row],[Column5]],1)),"")</f>
        <v/>
      </c>
      <c r="G488" s="95" t="str">
        <f>IF(ISNUMBER(deployment_raw[[#This Row],[Column7]]), (deployment_raw[[#This Row],[Column7]] * IF($E$2="Deployment",deployment_raw[[#This Row],[Column5]],1))/1048576,"")</f>
        <v/>
      </c>
      <c r="H488" s="95" t="str">
        <f>IF(ISNUMBER(deployment_raw[[#This Row],[Column8]]), (deployment_raw[[#This Row],[Column8]]  * IF($E$2="Deployment",deployment_raw[[#This Row],[Column5]],1)),"")</f>
        <v/>
      </c>
      <c r="I488" s="96" t="str">
        <f>IF(ISNUMBER(deployment_raw[[#This Row],[Column9]]), (deployment_raw[[#This Row],[Column9]] * IF($E$2="Deployment",deployment_raw[[#This Row],[Column5]],1))/1048576,"")</f>
        <v/>
      </c>
      <c r="J488" s="122" t="str">
        <f>IF(ISNUMBER(deployment_raw[[#This Row],[Column10]]), (MIN(IF(N488&lt;&gt;"",N488,9999999999999)*1.1,deployment_raw[[#This Row],[Column10]] * IF($E$2="Deployment",deployment_raw[[#This Row],[Column5]],1))),"")</f>
        <v/>
      </c>
      <c r="K488" s="123" t="str">
        <f>IF(ISNUMBER(deployment_raw[[#This Row],[Column11]]), (MIN(IF(O488&lt;&gt;"",O488,9999999999999)*1.1,deployment_raw[[#This Row],[Column11]] * IF($E$2="Deployment",deployment_raw[[#This Row],[Column5]],1)/1048576)),"")</f>
        <v/>
      </c>
      <c r="L488" s="124" t="str">
        <f>IF(ISNUMBER(deployment_raw[[#This Row],[Column8]]),IF(OR(deployment_raw[[#This Row],[Column5]] &lt;&gt; 0,$E$2 &lt;&gt; "Deployment"), MAX(J488, P488, R488, ($L$2 * IF($E$2="Deployment",deployment_raw[[#This Row],[Column5]],1)),IF(T488&lt;&gt;"",VALUE(T488) * IF($E$2="Deployment",deployment_raw[[#This Row],[Column5]],1),0)), 0),"")</f>
        <v/>
      </c>
      <c r="M488" s="125" t="str">
        <f>IF(ISNUMBER(deployment_raw[[#This Row],[Column9]]),IF(OR(deployment_raw[[#This Row],[Column5]] &lt;&gt; 0,$E$2&lt;&gt;"Deployment"), MAX(K488, Q488, S488, ($M$2 * IF($E$2="Deployment",deployment_raw[[#This Row],[Column5]],1)),IF(U488&lt;&gt;"",VALUE(U488) * IF($E$2="Deployment",deployment_raw[[#This Row],[Column5]],1),0)), 0),"")</f>
        <v/>
      </c>
      <c r="N488" s="166" t="str">
        <f>IF(ISNUMBER(deployment_raw[[#This Row],[Column14]]), deployment_raw[[#This Row],[Column14]]/IF(OR($E$2="Deployment",deployment_raw[[#This Row],[Column5]]=0),1,deployment_raw[[#This Row],[Column5]]),"")</f>
        <v/>
      </c>
      <c r="O488" s="167" t="str">
        <f>IF(ISNUMBER(deployment_raw[[#This Row],[Column15]]), deployment_raw[[#This Row],[Column15]]/IF(OR($E$2="Deployment",deployment_raw[[#This Row],[Column5]]=0),1,deployment_raw[[#This Row],[Column5]])/1048576,"")</f>
        <v/>
      </c>
      <c r="P488" s="168" t="str">
        <f>IF(ISNUMBER(deployment_raw[[#This Row],[Column12]]), (MIN(IF(N488&lt;&gt;"",N488,9999999999999)*1.1,deployment_raw[[#This Row],[Column12]] * IF($E$2="Deployment",deployment_raw[[#This Row],[Column5]],1))*(1+$P$2)),"")</f>
        <v/>
      </c>
      <c r="Q488" s="167" t="str">
        <f>IF(ISNUMBER(deployment_raw[[#This Row],[Column13]]), (MIN(IF(O488&lt;&gt;"",O488,9999999999999)*1.1,deployment_raw[[#This Row],[Column13]] * IF($E$2="Deployment",deployment_raw[[#This Row],[Column5]],1)*(1+$Q$2)/1048576)),"")</f>
        <v/>
      </c>
      <c r="R488" s="169" t="str">
        <f>IF(ISNUMBER(deployment_raw[[#This Row],[Column8]]), (H488  * IF(N488&lt;&gt;0,$R$2,1)),"")</f>
        <v/>
      </c>
      <c r="S488" s="170" t="str">
        <f>IF(ISNUMBER(deployment_raw[[#This Row],[Column8]]), (I488  * IF(O488&lt;&gt;0,$S$2,1)),"")</f>
        <v/>
      </c>
      <c r="T488" s="202" t="str">
        <f>IF(AND(A488&lt;&gt;"",_xlfn.IFNA(MATCH(A488,'dynamic resource application '!$A$2:$A$100, 0),0)&lt;&gt;0), H488/(IF($E$2="Deployment",E488,1)),"")</f>
        <v/>
      </c>
      <c r="U488" s="211" t="str">
        <f>IF(AND(A488&lt;&gt;"",_xlfn.IFNA(MATCH(A488,'dynamic resource application '!$A$2:$A$100, 0),0)&lt;&gt;0), I488/(IF($E$2="Deployment",E488,1)),"")</f>
        <v/>
      </c>
    </row>
    <row r="489" spans="1:21" ht="15.75" customHeight="1" x14ac:dyDescent="0.25">
      <c r="A489" s="35" t="str">
        <f>IF(ISNONTEXT(deployment_raw[[#This Row],[Column1]]), "", deployment_raw[[#This Row],[Column1]])</f>
        <v/>
      </c>
      <c r="B489" s="36" t="str">
        <f>IF(ISNONTEXT(deployment_raw[[#This Row],[Column2]]), "", deployment_raw[[#This Row],[Column2]])</f>
        <v/>
      </c>
      <c r="C489" s="36" t="str">
        <f>IF(ISNONTEXT(deployment_raw[[#This Row],[Column3]]), "", deployment_raw[[#This Row],[Column3]])</f>
        <v/>
      </c>
      <c r="D489" s="36" t="str">
        <f>IF(ISNONTEXT(deployment_raw[[#This Row],[Column4]]), "", deployment_raw[[#This Row],[Column4]])</f>
        <v/>
      </c>
      <c r="E489" s="37" t="str">
        <f>IF(ISNUMBER(deployment_raw[[#This Row],[Column5]]), deployment_raw[[#This Row],[Column5]],"")</f>
        <v/>
      </c>
      <c r="F489" s="94" t="str">
        <f>IF(ISNUMBER(deployment_raw[[#This Row],[Column6]]), (deployment_raw[[#This Row],[Column6]] * IF($E$2="Deployment",deployment_raw[[#This Row],[Column5]],1)),"")</f>
        <v/>
      </c>
      <c r="G489" s="95" t="str">
        <f>IF(ISNUMBER(deployment_raw[[#This Row],[Column7]]), (deployment_raw[[#This Row],[Column7]] * IF($E$2="Deployment",deployment_raw[[#This Row],[Column5]],1))/1048576,"")</f>
        <v/>
      </c>
      <c r="H489" s="95" t="str">
        <f>IF(ISNUMBER(deployment_raw[[#This Row],[Column8]]), (deployment_raw[[#This Row],[Column8]]  * IF($E$2="Deployment",deployment_raw[[#This Row],[Column5]],1)),"")</f>
        <v/>
      </c>
      <c r="I489" s="96" t="str">
        <f>IF(ISNUMBER(deployment_raw[[#This Row],[Column9]]), (deployment_raw[[#This Row],[Column9]] * IF($E$2="Deployment",deployment_raw[[#This Row],[Column5]],1))/1048576,"")</f>
        <v/>
      </c>
      <c r="J489" s="122" t="str">
        <f>IF(ISNUMBER(deployment_raw[[#This Row],[Column10]]), (MIN(IF(N489&lt;&gt;"",N489,9999999999999)*1.1,deployment_raw[[#This Row],[Column10]] * IF($E$2="Deployment",deployment_raw[[#This Row],[Column5]],1))),"")</f>
        <v/>
      </c>
      <c r="K489" s="123" t="str">
        <f>IF(ISNUMBER(deployment_raw[[#This Row],[Column11]]), (MIN(IF(O489&lt;&gt;"",O489,9999999999999)*1.1,deployment_raw[[#This Row],[Column11]] * IF($E$2="Deployment",deployment_raw[[#This Row],[Column5]],1)/1048576)),"")</f>
        <v/>
      </c>
      <c r="L489" s="124" t="str">
        <f>IF(ISNUMBER(deployment_raw[[#This Row],[Column8]]),IF(OR(deployment_raw[[#This Row],[Column5]] &lt;&gt; 0,$E$2 &lt;&gt; "Deployment"), MAX(J489, P489, R489, ($L$2 * IF($E$2="Deployment",deployment_raw[[#This Row],[Column5]],1)),IF(T489&lt;&gt;"",VALUE(T489) * IF($E$2="Deployment",deployment_raw[[#This Row],[Column5]],1),0)), 0),"")</f>
        <v/>
      </c>
      <c r="M489" s="125" t="str">
        <f>IF(ISNUMBER(deployment_raw[[#This Row],[Column9]]),IF(OR(deployment_raw[[#This Row],[Column5]] &lt;&gt; 0,$E$2&lt;&gt;"Deployment"), MAX(K489, Q489, S489, ($M$2 * IF($E$2="Deployment",deployment_raw[[#This Row],[Column5]],1)),IF(U489&lt;&gt;"",VALUE(U489) * IF($E$2="Deployment",deployment_raw[[#This Row],[Column5]],1),0)), 0),"")</f>
        <v/>
      </c>
      <c r="N489" s="166" t="str">
        <f>IF(ISNUMBER(deployment_raw[[#This Row],[Column14]]), deployment_raw[[#This Row],[Column14]]/IF(OR($E$2="Deployment",deployment_raw[[#This Row],[Column5]]=0),1,deployment_raw[[#This Row],[Column5]]),"")</f>
        <v/>
      </c>
      <c r="O489" s="167" t="str">
        <f>IF(ISNUMBER(deployment_raw[[#This Row],[Column15]]), deployment_raw[[#This Row],[Column15]]/IF(OR($E$2="Deployment",deployment_raw[[#This Row],[Column5]]=0),1,deployment_raw[[#This Row],[Column5]])/1048576,"")</f>
        <v/>
      </c>
      <c r="P489" s="168" t="str">
        <f>IF(ISNUMBER(deployment_raw[[#This Row],[Column12]]), (MIN(IF(N489&lt;&gt;"",N489,9999999999999)*1.1,deployment_raw[[#This Row],[Column12]] * IF($E$2="Deployment",deployment_raw[[#This Row],[Column5]],1))*(1+$P$2)),"")</f>
        <v/>
      </c>
      <c r="Q489" s="167" t="str">
        <f>IF(ISNUMBER(deployment_raw[[#This Row],[Column13]]), (MIN(IF(O489&lt;&gt;"",O489,9999999999999)*1.1,deployment_raw[[#This Row],[Column13]] * IF($E$2="Deployment",deployment_raw[[#This Row],[Column5]],1)*(1+$Q$2)/1048576)),"")</f>
        <v/>
      </c>
      <c r="R489" s="169" t="str">
        <f>IF(ISNUMBER(deployment_raw[[#This Row],[Column8]]), (H489  * IF(N489&lt;&gt;0,$R$2,1)),"")</f>
        <v/>
      </c>
      <c r="S489" s="170" t="str">
        <f>IF(ISNUMBER(deployment_raw[[#This Row],[Column8]]), (I489  * IF(O489&lt;&gt;0,$S$2,1)),"")</f>
        <v/>
      </c>
      <c r="T489" s="202" t="str">
        <f>IF(AND(A489&lt;&gt;"",_xlfn.IFNA(MATCH(A489,'dynamic resource application '!$A$2:$A$100, 0),0)&lt;&gt;0), H489/(IF($E$2="Deployment",E489,1)),"")</f>
        <v/>
      </c>
      <c r="U489" s="211" t="str">
        <f>IF(AND(A489&lt;&gt;"",_xlfn.IFNA(MATCH(A489,'dynamic resource application '!$A$2:$A$100, 0),0)&lt;&gt;0), I489/(IF($E$2="Deployment",E489,1)),"")</f>
        <v/>
      </c>
    </row>
    <row r="490" spans="1:21" ht="15.75" customHeight="1" x14ac:dyDescent="0.25">
      <c r="A490" s="35" t="str">
        <f>IF(ISNONTEXT(deployment_raw[[#This Row],[Column1]]), "", deployment_raw[[#This Row],[Column1]])</f>
        <v/>
      </c>
      <c r="B490" s="36" t="str">
        <f>IF(ISNONTEXT(deployment_raw[[#This Row],[Column2]]), "", deployment_raw[[#This Row],[Column2]])</f>
        <v/>
      </c>
      <c r="C490" s="36" t="str">
        <f>IF(ISNONTEXT(deployment_raw[[#This Row],[Column3]]), "", deployment_raw[[#This Row],[Column3]])</f>
        <v/>
      </c>
      <c r="D490" s="36" t="str">
        <f>IF(ISNONTEXT(deployment_raw[[#This Row],[Column4]]), "", deployment_raw[[#This Row],[Column4]])</f>
        <v/>
      </c>
      <c r="E490" s="37" t="str">
        <f>IF(ISNUMBER(deployment_raw[[#This Row],[Column5]]), deployment_raw[[#This Row],[Column5]],"")</f>
        <v/>
      </c>
      <c r="F490" s="94" t="str">
        <f>IF(ISNUMBER(deployment_raw[[#This Row],[Column6]]), (deployment_raw[[#This Row],[Column6]] * IF($E$2="Deployment",deployment_raw[[#This Row],[Column5]],1)),"")</f>
        <v/>
      </c>
      <c r="G490" s="95" t="str">
        <f>IF(ISNUMBER(deployment_raw[[#This Row],[Column7]]), (deployment_raw[[#This Row],[Column7]] * IF($E$2="Deployment",deployment_raw[[#This Row],[Column5]],1))/1048576,"")</f>
        <v/>
      </c>
      <c r="H490" s="95" t="str">
        <f>IF(ISNUMBER(deployment_raw[[#This Row],[Column8]]), (deployment_raw[[#This Row],[Column8]]  * IF($E$2="Deployment",deployment_raw[[#This Row],[Column5]],1)),"")</f>
        <v/>
      </c>
      <c r="I490" s="96" t="str">
        <f>IF(ISNUMBER(deployment_raw[[#This Row],[Column9]]), (deployment_raw[[#This Row],[Column9]] * IF($E$2="Deployment",deployment_raw[[#This Row],[Column5]],1))/1048576,"")</f>
        <v/>
      </c>
      <c r="J490" s="122" t="str">
        <f>IF(ISNUMBER(deployment_raw[[#This Row],[Column10]]), (MIN(IF(N490&lt;&gt;"",N490,9999999999999)*1.1,deployment_raw[[#This Row],[Column10]] * IF($E$2="Deployment",deployment_raw[[#This Row],[Column5]],1))),"")</f>
        <v/>
      </c>
      <c r="K490" s="123" t="str">
        <f>IF(ISNUMBER(deployment_raw[[#This Row],[Column11]]), (MIN(IF(O490&lt;&gt;"",O490,9999999999999)*1.1,deployment_raw[[#This Row],[Column11]] * IF($E$2="Deployment",deployment_raw[[#This Row],[Column5]],1)/1048576)),"")</f>
        <v/>
      </c>
      <c r="L490" s="124" t="str">
        <f>IF(ISNUMBER(deployment_raw[[#This Row],[Column8]]),IF(OR(deployment_raw[[#This Row],[Column5]] &lt;&gt; 0,$E$2 &lt;&gt; "Deployment"), MAX(J490, P490, R490, ($L$2 * IF($E$2="Deployment",deployment_raw[[#This Row],[Column5]],1)),IF(T490&lt;&gt;"",VALUE(T490) * IF($E$2="Deployment",deployment_raw[[#This Row],[Column5]],1),0)), 0),"")</f>
        <v/>
      </c>
      <c r="M490" s="125" t="str">
        <f>IF(ISNUMBER(deployment_raw[[#This Row],[Column9]]),IF(OR(deployment_raw[[#This Row],[Column5]] &lt;&gt; 0,$E$2&lt;&gt;"Deployment"), MAX(K490, Q490, S490, ($M$2 * IF($E$2="Deployment",deployment_raw[[#This Row],[Column5]],1)),IF(U490&lt;&gt;"",VALUE(U490) * IF($E$2="Deployment",deployment_raw[[#This Row],[Column5]],1),0)), 0),"")</f>
        <v/>
      </c>
      <c r="N490" s="166" t="str">
        <f>IF(ISNUMBER(deployment_raw[[#This Row],[Column14]]), deployment_raw[[#This Row],[Column14]]/IF(OR($E$2="Deployment",deployment_raw[[#This Row],[Column5]]=0),1,deployment_raw[[#This Row],[Column5]]),"")</f>
        <v/>
      </c>
      <c r="O490" s="167" t="str">
        <f>IF(ISNUMBER(deployment_raw[[#This Row],[Column15]]), deployment_raw[[#This Row],[Column15]]/IF(OR($E$2="Deployment",deployment_raw[[#This Row],[Column5]]=0),1,deployment_raw[[#This Row],[Column5]])/1048576,"")</f>
        <v/>
      </c>
      <c r="P490" s="168" t="str">
        <f>IF(ISNUMBER(deployment_raw[[#This Row],[Column12]]), (MIN(IF(N490&lt;&gt;"",N490,9999999999999)*1.1,deployment_raw[[#This Row],[Column12]] * IF($E$2="Deployment",deployment_raw[[#This Row],[Column5]],1))*(1+$P$2)),"")</f>
        <v/>
      </c>
      <c r="Q490" s="167" t="str">
        <f>IF(ISNUMBER(deployment_raw[[#This Row],[Column13]]), (MIN(IF(O490&lt;&gt;"",O490,9999999999999)*1.1,deployment_raw[[#This Row],[Column13]] * IF($E$2="Deployment",deployment_raw[[#This Row],[Column5]],1)*(1+$Q$2)/1048576)),"")</f>
        <v/>
      </c>
      <c r="R490" s="169" t="str">
        <f>IF(ISNUMBER(deployment_raw[[#This Row],[Column8]]), (H490  * IF(N490&lt;&gt;0,$R$2,1)),"")</f>
        <v/>
      </c>
      <c r="S490" s="170" t="str">
        <f>IF(ISNUMBER(deployment_raw[[#This Row],[Column8]]), (I490  * IF(O490&lt;&gt;0,$S$2,1)),"")</f>
        <v/>
      </c>
      <c r="T490" s="202" t="str">
        <f>IF(AND(A490&lt;&gt;"",_xlfn.IFNA(MATCH(A490,'dynamic resource application '!$A$2:$A$100, 0),0)&lt;&gt;0), H490/(IF($E$2="Deployment",E490,1)),"")</f>
        <v/>
      </c>
      <c r="U490" s="211" t="str">
        <f>IF(AND(A490&lt;&gt;"",_xlfn.IFNA(MATCH(A490,'dynamic resource application '!$A$2:$A$100, 0),0)&lt;&gt;0), I490/(IF($E$2="Deployment",E490,1)),"")</f>
        <v/>
      </c>
    </row>
    <row r="491" spans="1:21" ht="15.75" customHeight="1" x14ac:dyDescent="0.25">
      <c r="A491" s="35" t="str">
        <f>IF(ISNONTEXT(deployment_raw[[#This Row],[Column1]]), "", deployment_raw[[#This Row],[Column1]])</f>
        <v/>
      </c>
      <c r="B491" s="36" t="str">
        <f>IF(ISNONTEXT(deployment_raw[[#This Row],[Column2]]), "", deployment_raw[[#This Row],[Column2]])</f>
        <v/>
      </c>
      <c r="C491" s="36" t="str">
        <f>IF(ISNONTEXT(deployment_raw[[#This Row],[Column3]]), "", deployment_raw[[#This Row],[Column3]])</f>
        <v/>
      </c>
      <c r="D491" s="36" t="str">
        <f>IF(ISNONTEXT(deployment_raw[[#This Row],[Column4]]), "", deployment_raw[[#This Row],[Column4]])</f>
        <v/>
      </c>
      <c r="E491" s="37" t="str">
        <f>IF(ISNUMBER(deployment_raw[[#This Row],[Column5]]), deployment_raw[[#This Row],[Column5]],"")</f>
        <v/>
      </c>
      <c r="F491" s="94" t="str">
        <f>IF(ISNUMBER(deployment_raw[[#This Row],[Column6]]), (deployment_raw[[#This Row],[Column6]] * IF($E$2="Deployment",deployment_raw[[#This Row],[Column5]],1)),"")</f>
        <v/>
      </c>
      <c r="G491" s="95" t="str">
        <f>IF(ISNUMBER(deployment_raw[[#This Row],[Column7]]), (deployment_raw[[#This Row],[Column7]] * IF($E$2="Deployment",deployment_raw[[#This Row],[Column5]],1))/1048576,"")</f>
        <v/>
      </c>
      <c r="H491" s="95" t="str">
        <f>IF(ISNUMBER(deployment_raw[[#This Row],[Column8]]), (deployment_raw[[#This Row],[Column8]]  * IF($E$2="Deployment",deployment_raw[[#This Row],[Column5]],1)),"")</f>
        <v/>
      </c>
      <c r="I491" s="96" t="str">
        <f>IF(ISNUMBER(deployment_raw[[#This Row],[Column9]]), (deployment_raw[[#This Row],[Column9]] * IF($E$2="Deployment",deployment_raw[[#This Row],[Column5]],1))/1048576,"")</f>
        <v/>
      </c>
      <c r="J491" s="122" t="str">
        <f>IF(ISNUMBER(deployment_raw[[#This Row],[Column10]]), (MIN(IF(N491&lt;&gt;"",N491,9999999999999)*1.1,deployment_raw[[#This Row],[Column10]] * IF($E$2="Deployment",deployment_raw[[#This Row],[Column5]],1))),"")</f>
        <v/>
      </c>
      <c r="K491" s="123" t="str">
        <f>IF(ISNUMBER(deployment_raw[[#This Row],[Column11]]), (MIN(IF(O491&lt;&gt;"",O491,9999999999999)*1.1,deployment_raw[[#This Row],[Column11]] * IF($E$2="Deployment",deployment_raw[[#This Row],[Column5]],1)/1048576)),"")</f>
        <v/>
      </c>
      <c r="L491" s="124" t="str">
        <f>IF(ISNUMBER(deployment_raw[[#This Row],[Column8]]),IF(OR(deployment_raw[[#This Row],[Column5]] &lt;&gt; 0,$E$2 &lt;&gt; "Deployment"), MAX(J491, P491, R491, ($L$2 * IF($E$2="Deployment",deployment_raw[[#This Row],[Column5]],1)),IF(T491&lt;&gt;"",VALUE(T491) * IF($E$2="Deployment",deployment_raw[[#This Row],[Column5]],1),0)), 0),"")</f>
        <v/>
      </c>
      <c r="M491" s="125" t="str">
        <f>IF(ISNUMBER(deployment_raw[[#This Row],[Column9]]),IF(OR(deployment_raw[[#This Row],[Column5]] &lt;&gt; 0,$E$2&lt;&gt;"Deployment"), MAX(K491, Q491, S491, ($M$2 * IF($E$2="Deployment",deployment_raw[[#This Row],[Column5]],1)),IF(U491&lt;&gt;"",VALUE(U491) * IF($E$2="Deployment",deployment_raw[[#This Row],[Column5]],1),0)), 0),"")</f>
        <v/>
      </c>
      <c r="N491" s="166" t="str">
        <f>IF(ISNUMBER(deployment_raw[[#This Row],[Column14]]), deployment_raw[[#This Row],[Column14]]/IF(OR($E$2="Deployment",deployment_raw[[#This Row],[Column5]]=0),1,deployment_raw[[#This Row],[Column5]]),"")</f>
        <v/>
      </c>
      <c r="O491" s="167" t="str">
        <f>IF(ISNUMBER(deployment_raw[[#This Row],[Column15]]), deployment_raw[[#This Row],[Column15]]/IF(OR($E$2="Deployment",deployment_raw[[#This Row],[Column5]]=0),1,deployment_raw[[#This Row],[Column5]])/1048576,"")</f>
        <v/>
      </c>
      <c r="P491" s="168" t="str">
        <f>IF(ISNUMBER(deployment_raw[[#This Row],[Column12]]), (MIN(IF(N491&lt;&gt;"",N491,9999999999999)*1.1,deployment_raw[[#This Row],[Column12]] * IF($E$2="Deployment",deployment_raw[[#This Row],[Column5]],1))*(1+$P$2)),"")</f>
        <v/>
      </c>
      <c r="Q491" s="167" t="str">
        <f>IF(ISNUMBER(deployment_raw[[#This Row],[Column13]]), (MIN(IF(O491&lt;&gt;"",O491,9999999999999)*1.1,deployment_raw[[#This Row],[Column13]] * IF($E$2="Deployment",deployment_raw[[#This Row],[Column5]],1)*(1+$Q$2)/1048576)),"")</f>
        <v/>
      </c>
      <c r="R491" s="169" t="str">
        <f>IF(ISNUMBER(deployment_raw[[#This Row],[Column8]]), (H491  * IF(N491&lt;&gt;0,$R$2,1)),"")</f>
        <v/>
      </c>
      <c r="S491" s="170" t="str">
        <f>IF(ISNUMBER(deployment_raw[[#This Row],[Column8]]), (I491  * IF(O491&lt;&gt;0,$S$2,1)),"")</f>
        <v/>
      </c>
      <c r="T491" s="202" t="str">
        <f>IF(AND(A491&lt;&gt;"",_xlfn.IFNA(MATCH(A491,'dynamic resource application '!$A$2:$A$100, 0),0)&lt;&gt;0), H491/(IF($E$2="Deployment",E491,1)),"")</f>
        <v/>
      </c>
      <c r="U491" s="211" t="str">
        <f>IF(AND(A491&lt;&gt;"",_xlfn.IFNA(MATCH(A491,'dynamic resource application '!$A$2:$A$100, 0),0)&lt;&gt;0), I491/(IF($E$2="Deployment",E491,1)),"")</f>
        <v/>
      </c>
    </row>
    <row r="492" spans="1:21" ht="15.75" customHeight="1" x14ac:dyDescent="0.25">
      <c r="A492" s="35" t="str">
        <f>IF(ISNONTEXT(deployment_raw[[#This Row],[Column1]]), "", deployment_raw[[#This Row],[Column1]])</f>
        <v/>
      </c>
      <c r="B492" s="36" t="str">
        <f>IF(ISNONTEXT(deployment_raw[[#This Row],[Column2]]), "", deployment_raw[[#This Row],[Column2]])</f>
        <v/>
      </c>
      <c r="C492" s="36" t="str">
        <f>IF(ISNONTEXT(deployment_raw[[#This Row],[Column3]]), "", deployment_raw[[#This Row],[Column3]])</f>
        <v/>
      </c>
      <c r="D492" s="36" t="str">
        <f>IF(ISNONTEXT(deployment_raw[[#This Row],[Column4]]), "", deployment_raw[[#This Row],[Column4]])</f>
        <v/>
      </c>
      <c r="E492" s="37" t="str">
        <f>IF(ISNUMBER(deployment_raw[[#This Row],[Column5]]), deployment_raw[[#This Row],[Column5]],"")</f>
        <v/>
      </c>
      <c r="F492" s="94" t="str">
        <f>IF(ISNUMBER(deployment_raw[[#This Row],[Column6]]), (deployment_raw[[#This Row],[Column6]] * IF($E$2="Deployment",deployment_raw[[#This Row],[Column5]],1)),"")</f>
        <v/>
      </c>
      <c r="G492" s="95" t="str">
        <f>IF(ISNUMBER(deployment_raw[[#This Row],[Column7]]), (deployment_raw[[#This Row],[Column7]] * IF($E$2="Deployment",deployment_raw[[#This Row],[Column5]],1))/1048576,"")</f>
        <v/>
      </c>
      <c r="H492" s="95" t="str">
        <f>IF(ISNUMBER(deployment_raw[[#This Row],[Column8]]), (deployment_raw[[#This Row],[Column8]]  * IF($E$2="Deployment",deployment_raw[[#This Row],[Column5]],1)),"")</f>
        <v/>
      </c>
      <c r="I492" s="96" t="str">
        <f>IF(ISNUMBER(deployment_raw[[#This Row],[Column9]]), (deployment_raw[[#This Row],[Column9]] * IF($E$2="Deployment",deployment_raw[[#This Row],[Column5]],1))/1048576,"")</f>
        <v/>
      </c>
      <c r="J492" s="122" t="str">
        <f>IF(ISNUMBER(deployment_raw[[#This Row],[Column10]]), (MIN(IF(N492&lt;&gt;"",N492,9999999999999)*1.1,deployment_raw[[#This Row],[Column10]] * IF($E$2="Deployment",deployment_raw[[#This Row],[Column5]],1))),"")</f>
        <v/>
      </c>
      <c r="K492" s="123" t="str">
        <f>IF(ISNUMBER(deployment_raw[[#This Row],[Column11]]), (MIN(IF(O492&lt;&gt;"",O492,9999999999999)*1.1,deployment_raw[[#This Row],[Column11]] * IF($E$2="Deployment",deployment_raw[[#This Row],[Column5]],1)/1048576)),"")</f>
        <v/>
      </c>
      <c r="L492" s="124" t="str">
        <f>IF(ISNUMBER(deployment_raw[[#This Row],[Column8]]),IF(OR(deployment_raw[[#This Row],[Column5]] &lt;&gt; 0,$E$2 &lt;&gt; "Deployment"), MAX(J492, P492, R492, ($L$2 * IF($E$2="Deployment",deployment_raw[[#This Row],[Column5]],1)),IF(T492&lt;&gt;"",VALUE(T492) * IF($E$2="Deployment",deployment_raw[[#This Row],[Column5]],1),0)), 0),"")</f>
        <v/>
      </c>
      <c r="M492" s="125" t="str">
        <f>IF(ISNUMBER(deployment_raw[[#This Row],[Column9]]),IF(OR(deployment_raw[[#This Row],[Column5]] &lt;&gt; 0,$E$2&lt;&gt;"Deployment"), MAX(K492, Q492, S492, ($M$2 * IF($E$2="Deployment",deployment_raw[[#This Row],[Column5]],1)),IF(U492&lt;&gt;"",VALUE(U492) * IF($E$2="Deployment",deployment_raw[[#This Row],[Column5]],1),0)), 0),"")</f>
        <v/>
      </c>
      <c r="N492" s="166" t="str">
        <f>IF(ISNUMBER(deployment_raw[[#This Row],[Column14]]), deployment_raw[[#This Row],[Column14]]/IF(OR($E$2="Deployment",deployment_raw[[#This Row],[Column5]]=0),1,deployment_raw[[#This Row],[Column5]]),"")</f>
        <v/>
      </c>
      <c r="O492" s="167" t="str">
        <f>IF(ISNUMBER(deployment_raw[[#This Row],[Column15]]), deployment_raw[[#This Row],[Column15]]/IF(OR($E$2="Deployment",deployment_raw[[#This Row],[Column5]]=0),1,deployment_raw[[#This Row],[Column5]])/1048576,"")</f>
        <v/>
      </c>
      <c r="P492" s="168" t="str">
        <f>IF(ISNUMBER(deployment_raw[[#This Row],[Column12]]), (MIN(IF(N492&lt;&gt;"",N492,9999999999999)*1.1,deployment_raw[[#This Row],[Column12]] * IF($E$2="Deployment",deployment_raw[[#This Row],[Column5]],1))*(1+$P$2)),"")</f>
        <v/>
      </c>
      <c r="Q492" s="167" t="str">
        <f>IF(ISNUMBER(deployment_raw[[#This Row],[Column13]]), (MIN(IF(O492&lt;&gt;"",O492,9999999999999)*1.1,deployment_raw[[#This Row],[Column13]] * IF($E$2="Deployment",deployment_raw[[#This Row],[Column5]],1)*(1+$Q$2)/1048576)),"")</f>
        <v/>
      </c>
      <c r="R492" s="169" t="str">
        <f>IF(ISNUMBER(deployment_raw[[#This Row],[Column8]]), (H492  * IF(N492&lt;&gt;0,$R$2,1)),"")</f>
        <v/>
      </c>
      <c r="S492" s="170" t="str">
        <f>IF(ISNUMBER(deployment_raw[[#This Row],[Column8]]), (I492  * IF(O492&lt;&gt;0,$S$2,1)),"")</f>
        <v/>
      </c>
      <c r="T492" s="202" t="str">
        <f>IF(AND(A492&lt;&gt;"",_xlfn.IFNA(MATCH(A492,'dynamic resource application '!$A$2:$A$100, 0),0)&lt;&gt;0), H492/(IF($E$2="Deployment",E492,1)),"")</f>
        <v/>
      </c>
      <c r="U492" s="211" t="str">
        <f>IF(AND(A492&lt;&gt;"",_xlfn.IFNA(MATCH(A492,'dynamic resource application '!$A$2:$A$100, 0),0)&lt;&gt;0), I492/(IF($E$2="Deployment",E492,1)),"")</f>
        <v/>
      </c>
    </row>
    <row r="493" spans="1:21" ht="15.75" customHeight="1" x14ac:dyDescent="0.25">
      <c r="A493" s="35" t="str">
        <f>IF(ISNONTEXT(deployment_raw[[#This Row],[Column1]]), "", deployment_raw[[#This Row],[Column1]])</f>
        <v/>
      </c>
      <c r="B493" s="36" t="str">
        <f>IF(ISNONTEXT(deployment_raw[[#This Row],[Column2]]), "", deployment_raw[[#This Row],[Column2]])</f>
        <v/>
      </c>
      <c r="C493" s="36" t="str">
        <f>IF(ISNONTEXT(deployment_raw[[#This Row],[Column3]]), "", deployment_raw[[#This Row],[Column3]])</f>
        <v/>
      </c>
      <c r="D493" s="36" t="str">
        <f>IF(ISNONTEXT(deployment_raw[[#This Row],[Column4]]), "", deployment_raw[[#This Row],[Column4]])</f>
        <v/>
      </c>
      <c r="E493" s="37" t="str">
        <f>IF(ISNUMBER(deployment_raw[[#This Row],[Column5]]), deployment_raw[[#This Row],[Column5]],"")</f>
        <v/>
      </c>
      <c r="F493" s="94" t="str">
        <f>IF(ISNUMBER(deployment_raw[[#This Row],[Column6]]), (deployment_raw[[#This Row],[Column6]] * IF($E$2="Deployment",deployment_raw[[#This Row],[Column5]],1)),"")</f>
        <v/>
      </c>
      <c r="G493" s="95" t="str">
        <f>IF(ISNUMBER(deployment_raw[[#This Row],[Column7]]), (deployment_raw[[#This Row],[Column7]] * IF($E$2="Deployment",deployment_raw[[#This Row],[Column5]],1))/1048576,"")</f>
        <v/>
      </c>
      <c r="H493" s="95" t="str">
        <f>IF(ISNUMBER(deployment_raw[[#This Row],[Column8]]), (deployment_raw[[#This Row],[Column8]]  * IF($E$2="Deployment",deployment_raw[[#This Row],[Column5]],1)),"")</f>
        <v/>
      </c>
      <c r="I493" s="96" t="str">
        <f>IF(ISNUMBER(deployment_raw[[#This Row],[Column9]]), (deployment_raw[[#This Row],[Column9]] * IF($E$2="Deployment",deployment_raw[[#This Row],[Column5]],1))/1048576,"")</f>
        <v/>
      </c>
      <c r="J493" s="122" t="str">
        <f>IF(ISNUMBER(deployment_raw[[#This Row],[Column10]]), (MIN(IF(N493&lt;&gt;"",N493,9999999999999)*1.1,deployment_raw[[#This Row],[Column10]] * IF($E$2="Deployment",deployment_raw[[#This Row],[Column5]],1))),"")</f>
        <v/>
      </c>
      <c r="K493" s="123" t="str">
        <f>IF(ISNUMBER(deployment_raw[[#This Row],[Column11]]), (MIN(IF(O493&lt;&gt;"",O493,9999999999999)*1.1,deployment_raw[[#This Row],[Column11]] * IF($E$2="Deployment",deployment_raw[[#This Row],[Column5]],1)/1048576)),"")</f>
        <v/>
      </c>
      <c r="L493" s="124" t="str">
        <f>IF(ISNUMBER(deployment_raw[[#This Row],[Column8]]),IF(OR(deployment_raw[[#This Row],[Column5]] &lt;&gt; 0,$E$2 &lt;&gt; "Deployment"), MAX(J493, P493, R493, ($L$2 * IF($E$2="Deployment",deployment_raw[[#This Row],[Column5]],1)),IF(T493&lt;&gt;"",VALUE(T493) * IF($E$2="Deployment",deployment_raw[[#This Row],[Column5]],1),0)), 0),"")</f>
        <v/>
      </c>
      <c r="M493" s="125" t="str">
        <f>IF(ISNUMBER(deployment_raw[[#This Row],[Column9]]),IF(OR(deployment_raw[[#This Row],[Column5]] &lt;&gt; 0,$E$2&lt;&gt;"Deployment"), MAX(K493, Q493, S493, ($M$2 * IF($E$2="Deployment",deployment_raw[[#This Row],[Column5]],1)),IF(U493&lt;&gt;"",VALUE(U493) * IF($E$2="Deployment",deployment_raw[[#This Row],[Column5]],1),0)), 0),"")</f>
        <v/>
      </c>
      <c r="N493" s="166" t="str">
        <f>IF(ISNUMBER(deployment_raw[[#This Row],[Column14]]), deployment_raw[[#This Row],[Column14]]/IF(OR($E$2="Deployment",deployment_raw[[#This Row],[Column5]]=0),1,deployment_raw[[#This Row],[Column5]]),"")</f>
        <v/>
      </c>
      <c r="O493" s="167" t="str">
        <f>IF(ISNUMBER(deployment_raw[[#This Row],[Column15]]), deployment_raw[[#This Row],[Column15]]/IF(OR($E$2="Deployment",deployment_raw[[#This Row],[Column5]]=0),1,deployment_raw[[#This Row],[Column5]])/1048576,"")</f>
        <v/>
      </c>
      <c r="P493" s="168" t="str">
        <f>IF(ISNUMBER(deployment_raw[[#This Row],[Column12]]), (MIN(IF(N493&lt;&gt;"",N493,9999999999999)*1.1,deployment_raw[[#This Row],[Column12]] * IF($E$2="Deployment",deployment_raw[[#This Row],[Column5]],1))*(1+$P$2)),"")</f>
        <v/>
      </c>
      <c r="Q493" s="167" t="str">
        <f>IF(ISNUMBER(deployment_raw[[#This Row],[Column13]]), (MIN(IF(O493&lt;&gt;"",O493,9999999999999)*1.1,deployment_raw[[#This Row],[Column13]] * IF($E$2="Deployment",deployment_raw[[#This Row],[Column5]],1)*(1+$Q$2)/1048576)),"")</f>
        <v/>
      </c>
      <c r="R493" s="169" t="str">
        <f>IF(ISNUMBER(deployment_raw[[#This Row],[Column8]]), (H493  * IF(N493&lt;&gt;0,$R$2,1)),"")</f>
        <v/>
      </c>
      <c r="S493" s="170" t="str">
        <f>IF(ISNUMBER(deployment_raw[[#This Row],[Column8]]), (I493  * IF(O493&lt;&gt;0,$S$2,1)),"")</f>
        <v/>
      </c>
      <c r="T493" s="202" t="str">
        <f>IF(AND(A493&lt;&gt;"",_xlfn.IFNA(MATCH(A493,'dynamic resource application '!$A$2:$A$100, 0),0)&lt;&gt;0), H493/(IF($E$2="Deployment",E493,1)),"")</f>
        <v/>
      </c>
      <c r="U493" s="211" t="str">
        <f>IF(AND(A493&lt;&gt;"",_xlfn.IFNA(MATCH(A493,'dynamic resource application '!$A$2:$A$100, 0),0)&lt;&gt;0), I493/(IF($E$2="Deployment",E493,1)),"")</f>
        <v/>
      </c>
    </row>
    <row r="494" spans="1:21" ht="15.75" customHeight="1" x14ac:dyDescent="0.25">
      <c r="A494" s="35" t="str">
        <f>IF(ISNONTEXT(deployment_raw[[#This Row],[Column1]]), "", deployment_raw[[#This Row],[Column1]])</f>
        <v/>
      </c>
      <c r="B494" s="36" t="str">
        <f>IF(ISNONTEXT(deployment_raw[[#This Row],[Column2]]), "", deployment_raw[[#This Row],[Column2]])</f>
        <v/>
      </c>
      <c r="C494" s="36" t="str">
        <f>IF(ISNONTEXT(deployment_raw[[#This Row],[Column3]]), "", deployment_raw[[#This Row],[Column3]])</f>
        <v/>
      </c>
      <c r="D494" s="36" t="str">
        <f>IF(ISNONTEXT(deployment_raw[[#This Row],[Column4]]), "", deployment_raw[[#This Row],[Column4]])</f>
        <v/>
      </c>
      <c r="E494" s="37" t="str">
        <f>IF(ISNUMBER(deployment_raw[[#This Row],[Column5]]), deployment_raw[[#This Row],[Column5]],"")</f>
        <v/>
      </c>
      <c r="F494" s="94" t="str">
        <f>IF(ISNUMBER(deployment_raw[[#This Row],[Column6]]), (deployment_raw[[#This Row],[Column6]] * IF($E$2="Deployment",deployment_raw[[#This Row],[Column5]],1)),"")</f>
        <v/>
      </c>
      <c r="G494" s="95" t="str">
        <f>IF(ISNUMBER(deployment_raw[[#This Row],[Column7]]), (deployment_raw[[#This Row],[Column7]] * IF($E$2="Deployment",deployment_raw[[#This Row],[Column5]],1))/1048576,"")</f>
        <v/>
      </c>
      <c r="H494" s="95" t="str">
        <f>IF(ISNUMBER(deployment_raw[[#This Row],[Column8]]), (deployment_raw[[#This Row],[Column8]]  * IF($E$2="Deployment",deployment_raw[[#This Row],[Column5]],1)),"")</f>
        <v/>
      </c>
      <c r="I494" s="96" t="str">
        <f>IF(ISNUMBER(deployment_raw[[#This Row],[Column9]]), (deployment_raw[[#This Row],[Column9]] * IF($E$2="Deployment",deployment_raw[[#This Row],[Column5]],1))/1048576,"")</f>
        <v/>
      </c>
      <c r="J494" s="122" t="str">
        <f>IF(ISNUMBER(deployment_raw[[#This Row],[Column10]]), (MIN(IF(N494&lt;&gt;"",N494,9999999999999)*1.1,deployment_raw[[#This Row],[Column10]] * IF($E$2="Deployment",deployment_raw[[#This Row],[Column5]],1))),"")</f>
        <v/>
      </c>
      <c r="K494" s="123" t="str">
        <f>IF(ISNUMBER(deployment_raw[[#This Row],[Column11]]), (MIN(IF(O494&lt;&gt;"",O494,9999999999999)*1.1,deployment_raw[[#This Row],[Column11]] * IF($E$2="Deployment",deployment_raw[[#This Row],[Column5]],1)/1048576)),"")</f>
        <v/>
      </c>
      <c r="L494" s="124" t="str">
        <f>IF(ISNUMBER(deployment_raw[[#This Row],[Column8]]),IF(OR(deployment_raw[[#This Row],[Column5]] &lt;&gt; 0,$E$2 &lt;&gt; "Deployment"), MAX(J494, P494, R494, ($L$2 * IF($E$2="Deployment",deployment_raw[[#This Row],[Column5]],1)),IF(T494&lt;&gt;"",VALUE(T494) * IF($E$2="Deployment",deployment_raw[[#This Row],[Column5]],1),0)), 0),"")</f>
        <v/>
      </c>
      <c r="M494" s="125" t="str">
        <f>IF(ISNUMBER(deployment_raw[[#This Row],[Column9]]),IF(OR(deployment_raw[[#This Row],[Column5]] &lt;&gt; 0,$E$2&lt;&gt;"Deployment"), MAX(K494, Q494, S494, ($M$2 * IF($E$2="Deployment",deployment_raw[[#This Row],[Column5]],1)),IF(U494&lt;&gt;"",VALUE(U494) * IF($E$2="Deployment",deployment_raw[[#This Row],[Column5]],1),0)), 0),"")</f>
        <v/>
      </c>
      <c r="N494" s="166" t="str">
        <f>IF(ISNUMBER(deployment_raw[[#This Row],[Column14]]), deployment_raw[[#This Row],[Column14]]/IF(OR($E$2="Deployment",deployment_raw[[#This Row],[Column5]]=0),1,deployment_raw[[#This Row],[Column5]]),"")</f>
        <v/>
      </c>
      <c r="O494" s="167" t="str">
        <f>IF(ISNUMBER(deployment_raw[[#This Row],[Column15]]), deployment_raw[[#This Row],[Column15]]/IF(OR($E$2="Deployment",deployment_raw[[#This Row],[Column5]]=0),1,deployment_raw[[#This Row],[Column5]])/1048576,"")</f>
        <v/>
      </c>
      <c r="P494" s="168" t="str">
        <f>IF(ISNUMBER(deployment_raw[[#This Row],[Column12]]), (MIN(IF(N494&lt;&gt;"",N494,9999999999999)*1.1,deployment_raw[[#This Row],[Column12]] * IF($E$2="Deployment",deployment_raw[[#This Row],[Column5]],1))*(1+$P$2)),"")</f>
        <v/>
      </c>
      <c r="Q494" s="167" t="str">
        <f>IF(ISNUMBER(deployment_raw[[#This Row],[Column13]]), (MIN(IF(O494&lt;&gt;"",O494,9999999999999)*1.1,deployment_raw[[#This Row],[Column13]] * IF($E$2="Deployment",deployment_raw[[#This Row],[Column5]],1)*(1+$Q$2)/1048576)),"")</f>
        <v/>
      </c>
      <c r="R494" s="169" t="str">
        <f>IF(ISNUMBER(deployment_raw[[#This Row],[Column8]]), (H494  * IF(N494&lt;&gt;0,$R$2,1)),"")</f>
        <v/>
      </c>
      <c r="S494" s="170" t="str">
        <f>IF(ISNUMBER(deployment_raw[[#This Row],[Column8]]), (I494  * IF(O494&lt;&gt;0,$S$2,1)),"")</f>
        <v/>
      </c>
      <c r="T494" s="202" t="str">
        <f>IF(AND(A494&lt;&gt;"",_xlfn.IFNA(MATCH(A494,'dynamic resource application '!$A$2:$A$100, 0),0)&lt;&gt;0), H494/(IF($E$2="Deployment",E494,1)),"")</f>
        <v/>
      </c>
      <c r="U494" s="211" t="str">
        <f>IF(AND(A494&lt;&gt;"",_xlfn.IFNA(MATCH(A494,'dynamic resource application '!$A$2:$A$100, 0),0)&lt;&gt;0), I494/(IF($E$2="Deployment",E494,1)),"")</f>
        <v/>
      </c>
    </row>
    <row r="495" spans="1:21" ht="15.75" customHeight="1" x14ac:dyDescent="0.25">
      <c r="A495" s="35" t="str">
        <f>IF(ISNONTEXT(deployment_raw[[#This Row],[Column1]]), "", deployment_raw[[#This Row],[Column1]])</f>
        <v/>
      </c>
      <c r="B495" s="36" t="str">
        <f>IF(ISNONTEXT(deployment_raw[[#This Row],[Column2]]), "", deployment_raw[[#This Row],[Column2]])</f>
        <v/>
      </c>
      <c r="C495" s="36" t="str">
        <f>IF(ISNONTEXT(deployment_raw[[#This Row],[Column3]]), "", deployment_raw[[#This Row],[Column3]])</f>
        <v/>
      </c>
      <c r="D495" s="36" t="str">
        <f>IF(ISNONTEXT(deployment_raw[[#This Row],[Column4]]), "", deployment_raw[[#This Row],[Column4]])</f>
        <v/>
      </c>
      <c r="E495" s="37" t="str">
        <f>IF(ISNUMBER(deployment_raw[[#This Row],[Column5]]), deployment_raw[[#This Row],[Column5]],"")</f>
        <v/>
      </c>
      <c r="F495" s="94" t="str">
        <f>IF(ISNUMBER(deployment_raw[[#This Row],[Column6]]), (deployment_raw[[#This Row],[Column6]] * IF($E$2="Deployment",deployment_raw[[#This Row],[Column5]],1)),"")</f>
        <v/>
      </c>
      <c r="G495" s="95" t="str">
        <f>IF(ISNUMBER(deployment_raw[[#This Row],[Column7]]), (deployment_raw[[#This Row],[Column7]] * IF($E$2="Deployment",deployment_raw[[#This Row],[Column5]],1))/1048576,"")</f>
        <v/>
      </c>
      <c r="H495" s="95" t="str">
        <f>IF(ISNUMBER(deployment_raw[[#This Row],[Column8]]), (deployment_raw[[#This Row],[Column8]]  * IF($E$2="Deployment",deployment_raw[[#This Row],[Column5]],1)),"")</f>
        <v/>
      </c>
      <c r="I495" s="96" t="str">
        <f>IF(ISNUMBER(deployment_raw[[#This Row],[Column9]]), (deployment_raw[[#This Row],[Column9]] * IF($E$2="Deployment",deployment_raw[[#This Row],[Column5]],1))/1048576,"")</f>
        <v/>
      </c>
      <c r="J495" s="122" t="str">
        <f>IF(ISNUMBER(deployment_raw[[#This Row],[Column10]]), (MIN(IF(N495&lt;&gt;"",N495,9999999999999)*1.1,deployment_raw[[#This Row],[Column10]] * IF($E$2="Deployment",deployment_raw[[#This Row],[Column5]],1))),"")</f>
        <v/>
      </c>
      <c r="K495" s="123" t="str">
        <f>IF(ISNUMBER(deployment_raw[[#This Row],[Column11]]), (MIN(IF(O495&lt;&gt;"",O495,9999999999999)*1.1,deployment_raw[[#This Row],[Column11]] * IF($E$2="Deployment",deployment_raw[[#This Row],[Column5]],1)/1048576)),"")</f>
        <v/>
      </c>
      <c r="L495" s="124" t="str">
        <f>IF(ISNUMBER(deployment_raw[[#This Row],[Column8]]),IF(OR(deployment_raw[[#This Row],[Column5]] &lt;&gt; 0,$E$2 &lt;&gt; "Deployment"), MAX(J495, P495, R495, ($L$2 * IF($E$2="Deployment",deployment_raw[[#This Row],[Column5]],1)),IF(T495&lt;&gt;"",VALUE(T495) * IF($E$2="Deployment",deployment_raw[[#This Row],[Column5]],1),0)), 0),"")</f>
        <v/>
      </c>
      <c r="M495" s="125" t="str">
        <f>IF(ISNUMBER(deployment_raw[[#This Row],[Column9]]),IF(OR(deployment_raw[[#This Row],[Column5]] &lt;&gt; 0,$E$2&lt;&gt;"Deployment"), MAX(K495, Q495, S495, ($M$2 * IF($E$2="Deployment",deployment_raw[[#This Row],[Column5]],1)),IF(U495&lt;&gt;"",VALUE(U495) * IF($E$2="Deployment",deployment_raw[[#This Row],[Column5]],1),0)), 0),"")</f>
        <v/>
      </c>
      <c r="N495" s="166" t="str">
        <f>IF(ISNUMBER(deployment_raw[[#This Row],[Column14]]), deployment_raw[[#This Row],[Column14]]/IF(OR($E$2="Deployment",deployment_raw[[#This Row],[Column5]]=0),1,deployment_raw[[#This Row],[Column5]]),"")</f>
        <v/>
      </c>
      <c r="O495" s="167" t="str">
        <f>IF(ISNUMBER(deployment_raw[[#This Row],[Column15]]), deployment_raw[[#This Row],[Column15]]/IF(OR($E$2="Deployment",deployment_raw[[#This Row],[Column5]]=0),1,deployment_raw[[#This Row],[Column5]])/1048576,"")</f>
        <v/>
      </c>
      <c r="P495" s="168" t="str">
        <f>IF(ISNUMBER(deployment_raw[[#This Row],[Column12]]), (MIN(IF(N495&lt;&gt;"",N495,9999999999999)*1.1,deployment_raw[[#This Row],[Column12]] * IF($E$2="Deployment",deployment_raw[[#This Row],[Column5]],1))*(1+$P$2)),"")</f>
        <v/>
      </c>
      <c r="Q495" s="167" t="str">
        <f>IF(ISNUMBER(deployment_raw[[#This Row],[Column13]]), (MIN(IF(O495&lt;&gt;"",O495,9999999999999)*1.1,deployment_raw[[#This Row],[Column13]] * IF($E$2="Deployment",deployment_raw[[#This Row],[Column5]],1)*(1+$Q$2)/1048576)),"")</f>
        <v/>
      </c>
      <c r="R495" s="169" t="str">
        <f>IF(ISNUMBER(deployment_raw[[#This Row],[Column8]]), (H495  * IF(N495&lt;&gt;0,$R$2,1)),"")</f>
        <v/>
      </c>
      <c r="S495" s="170" t="str">
        <f>IF(ISNUMBER(deployment_raw[[#This Row],[Column8]]), (I495  * IF(O495&lt;&gt;0,$S$2,1)),"")</f>
        <v/>
      </c>
      <c r="T495" s="202" t="str">
        <f>IF(AND(A495&lt;&gt;"",_xlfn.IFNA(MATCH(A495,'dynamic resource application '!$A$2:$A$100, 0),0)&lt;&gt;0), H495/(IF($E$2="Deployment",E495,1)),"")</f>
        <v/>
      </c>
      <c r="U495" s="211" t="str">
        <f>IF(AND(A495&lt;&gt;"",_xlfn.IFNA(MATCH(A495,'dynamic resource application '!$A$2:$A$100, 0),0)&lt;&gt;0), I495/(IF($E$2="Deployment",E495,1)),"")</f>
        <v/>
      </c>
    </row>
    <row r="496" spans="1:21" ht="15.75" customHeight="1" x14ac:dyDescent="0.25">
      <c r="A496" s="35" t="str">
        <f>IF(ISNONTEXT(deployment_raw[[#This Row],[Column1]]), "", deployment_raw[[#This Row],[Column1]])</f>
        <v/>
      </c>
      <c r="B496" s="36" t="str">
        <f>IF(ISNONTEXT(deployment_raw[[#This Row],[Column2]]), "", deployment_raw[[#This Row],[Column2]])</f>
        <v/>
      </c>
      <c r="C496" s="36" t="str">
        <f>IF(ISNONTEXT(deployment_raw[[#This Row],[Column3]]), "", deployment_raw[[#This Row],[Column3]])</f>
        <v/>
      </c>
      <c r="D496" s="36" t="str">
        <f>IF(ISNONTEXT(deployment_raw[[#This Row],[Column4]]), "", deployment_raw[[#This Row],[Column4]])</f>
        <v/>
      </c>
      <c r="E496" s="37" t="str">
        <f>IF(ISNUMBER(deployment_raw[[#This Row],[Column5]]), deployment_raw[[#This Row],[Column5]],"")</f>
        <v/>
      </c>
      <c r="F496" s="94" t="str">
        <f>IF(ISNUMBER(deployment_raw[[#This Row],[Column6]]), (deployment_raw[[#This Row],[Column6]] * IF($E$2="Deployment",deployment_raw[[#This Row],[Column5]],1)),"")</f>
        <v/>
      </c>
      <c r="G496" s="95" t="str">
        <f>IF(ISNUMBER(deployment_raw[[#This Row],[Column7]]), (deployment_raw[[#This Row],[Column7]] * IF($E$2="Deployment",deployment_raw[[#This Row],[Column5]],1))/1048576,"")</f>
        <v/>
      </c>
      <c r="H496" s="95" t="str">
        <f>IF(ISNUMBER(deployment_raw[[#This Row],[Column8]]), (deployment_raw[[#This Row],[Column8]]  * IF($E$2="Deployment",deployment_raw[[#This Row],[Column5]],1)),"")</f>
        <v/>
      </c>
      <c r="I496" s="96" t="str">
        <f>IF(ISNUMBER(deployment_raw[[#This Row],[Column9]]), (deployment_raw[[#This Row],[Column9]] * IF($E$2="Deployment",deployment_raw[[#This Row],[Column5]],1))/1048576,"")</f>
        <v/>
      </c>
      <c r="J496" s="122" t="str">
        <f>IF(ISNUMBER(deployment_raw[[#This Row],[Column10]]), (MIN(IF(N496&lt;&gt;"",N496,9999999999999)*1.1,deployment_raw[[#This Row],[Column10]] * IF($E$2="Deployment",deployment_raw[[#This Row],[Column5]],1))),"")</f>
        <v/>
      </c>
      <c r="K496" s="123" t="str">
        <f>IF(ISNUMBER(deployment_raw[[#This Row],[Column11]]), (MIN(IF(O496&lt;&gt;"",O496,9999999999999)*1.1,deployment_raw[[#This Row],[Column11]] * IF($E$2="Deployment",deployment_raw[[#This Row],[Column5]],1)/1048576)),"")</f>
        <v/>
      </c>
      <c r="L496" s="124" t="str">
        <f>IF(ISNUMBER(deployment_raw[[#This Row],[Column8]]),IF(OR(deployment_raw[[#This Row],[Column5]] &lt;&gt; 0,$E$2 &lt;&gt; "Deployment"), MAX(J496, P496, R496, ($L$2 * IF($E$2="Deployment",deployment_raw[[#This Row],[Column5]],1)),IF(T496&lt;&gt;"",VALUE(T496) * IF($E$2="Deployment",deployment_raw[[#This Row],[Column5]],1),0)), 0),"")</f>
        <v/>
      </c>
      <c r="M496" s="125" t="str">
        <f>IF(ISNUMBER(deployment_raw[[#This Row],[Column9]]),IF(OR(deployment_raw[[#This Row],[Column5]] &lt;&gt; 0,$E$2&lt;&gt;"Deployment"), MAX(K496, Q496, S496, ($M$2 * IF($E$2="Deployment",deployment_raw[[#This Row],[Column5]],1)),IF(U496&lt;&gt;"",VALUE(U496) * IF($E$2="Deployment",deployment_raw[[#This Row],[Column5]],1),0)), 0),"")</f>
        <v/>
      </c>
      <c r="N496" s="166" t="str">
        <f>IF(ISNUMBER(deployment_raw[[#This Row],[Column14]]), deployment_raw[[#This Row],[Column14]]/IF(OR($E$2="Deployment",deployment_raw[[#This Row],[Column5]]=0),1,deployment_raw[[#This Row],[Column5]]),"")</f>
        <v/>
      </c>
      <c r="O496" s="167" t="str">
        <f>IF(ISNUMBER(deployment_raw[[#This Row],[Column15]]), deployment_raw[[#This Row],[Column15]]/IF(OR($E$2="Deployment",deployment_raw[[#This Row],[Column5]]=0),1,deployment_raw[[#This Row],[Column5]])/1048576,"")</f>
        <v/>
      </c>
      <c r="P496" s="168" t="str">
        <f>IF(ISNUMBER(deployment_raw[[#This Row],[Column12]]), (MIN(IF(N496&lt;&gt;"",N496,9999999999999)*1.1,deployment_raw[[#This Row],[Column12]] * IF($E$2="Deployment",deployment_raw[[#This Row],[Column5]],1))*(1+$P$2)),"")</f>
        <v/>
      </c>
      <c r="Q496" s="167" t="str">
        <f>IF(ISNUMBER(deployment_raw[[#This Row],[Column13]]), (MIN(IF(O496&lt;&gt;"",O496,9999999999999)*1.1,deployment_raw[[#This Row],[Column13]] * IF($E$2="Deployment",deployment_raw[[#This Row],[Column5]],1)*(1+$Q$2)/1048576)),"")</f>
        <v/>
      </c>
      <c r="R496" s="169" t="str">
        <f>IF(ISNUMBER(deployment_raw[[#This Row],[Column8]]), (H496  * IF(N496&lt;&gt;0,$R$2,1)),"")</f>
        <v/>
      </c>
      <c r="S496" s="170" t="str">
        <f>IF(ISNUMBER(deployment_raw[[#This Row],[Column8]]), (I496  * IF(O496&lt;&gt;0,$S$2,1)),"")</f>
        <v/>
      </c>
      <c r="T496" s="202" t="str">
        <f>IF(AND(A496&lt;&gt;"",_xlfn.IFNA(MATCH(A496,'dynamic resource application '!$A$2:$A$100, 0),0)&lt;&gt;0), H496/(IF($E$2="Deployment",E496,1)),"")</f>
        <v/>
      </c>
      <c r="U496" s="211" t="str">
        <f>IF(AND(A496&lt;&gt;"",_xlfn.IFNA(MATCH(A496,'dynamic resource application '!$A$2:$A$100, 0),0)&lt;&gt;0), I496/(IF($E$2="Deployment",E496,1)),"")</f>
        <v/>
      </c>
    </row>
    <row r="497" spans="1:21" ht="15.75" customHeight="1" x14ac:dyDescent="0.25">
      <c r="A497" s="35" t="str">
        <f>IF(ISNONTEXT(deployment_raw[[#This Row],[Column1]]), "", deployment_raw[[#This Row],[Column1]])</f>
        <v/>
      </c>
      <c r="B497" s="36" t="str">
        <f>IF(ISNONTEXT(deployment_raw[[#This Row],[Column2]]), "", deployment_raw[[#This Row],[Column2]])</f>
        <v/>
      </c>
      <c r="C497" s="36" t="str">
        <f>IF(ISNONTEXT(deployment_raw[[#This Row],[Column3]]), "", deployment_raw[[#This Row],[Column3]])</f>
        <v/>
      </c>
      <c r="D497" s="36" t="str">
        <f>IF(ISNONTEXT(deployment_raw[[#This Row],[Column4]]), "", deployment_raw[[#This Row],[Column4]])</f>
        <v/>
      </c>
      <c r="E497" s="37" t="str">
        <f>IF(ISNUMBER(deployment_raw[[#This Row],[Column5]]), deployment_raw[[#This Row],[Column5]],"")</f>
        <v/>
      </c>
      <c r="F497" s="94" t="str">
        <f>IF(ISNUMBER(deployment_raw[[#This Row],[Column6]]), (deployment_raw[[#This Row],[Column6]] * IF($E$2="Deployment",deployment_raw[[#This Row],[Column5]],1)),"")</f>
        <v/>
      </c>
      <c r="G497" s="95" t="str">
        <f>IF(ISNUMBER(deployment_raw[[#This Row],[Column7]]), (deployment_raw[[#This Row],[Column7]] * IF($E$2="Deployment",deployment_raw[[#This Row],[Column5]],1))/1048576,"")</f>
        <v/>
      </c>
      <c r="H497" s="95" t="str">
        <f>IF(ISNUMBER(deployment_raw[[#This Row],[Column8]]), (deployment_raw[[#This Row],[Column8]]  * IF($E$2="Deployment",deployment_raw[[#This Row],[Column5]],1)),"")</f>
        <v/>
      </c>
      <c r="I497" s="96" t="str">
        <f>IF(ISNUMBER(deployment_raw[[#This Row],[Column9]]), (deployment_raw[[#This Row],[Column9]] * IF($E$2="Deployment",deployment_raw[[#This Row],[Column5]],1))/1048576,"")</f>
        <v/>
      </c>
      <c r="J497" s="122" t="str">
        <f>IF(ISNUMBER(deployment_raw[[#This Row],[Column10]]), (MIN(IF(N497&lt;&gt;"",N497,9999999999999)*1.1,deployment_raw[[#This Row],[Column10]] * IF($E$2="Deployment",deployment_raw[[#This Row],[Column5]],1))),"")</f>
        <v/>
      </c>
      <c r="K497" s="123" t="str">
        <f>IF(ISNUMBER(deployment_raw[[#This Row],[Column11]]), (MIN(IF(O497&lt;&gt;"",O497,9999999999999)*1.1,deployment_raw[[#This Row],[Column11]] * IF($E$2="Deployment",deployment_raw[[#This Row],[Column5]],1)/1048576)),"")</f>
        <v/>
      </c>
      <c r="L497" s="124" t="str">
        <f>IF(ISNUMBER(deployment_raw[[#This Row],[Column8]]),IF(OR(deployment_raw[[#This Row],[Column5]] &lt;&gt; 0,$E$2 &lt;&gt; "Deployment"), MAX(J497, P497, R497, ($L$2 * IF($E$2="Deployment",deployment_raw[[#This Row],[Column5]],1)),IF(T497&lt;&gt;"",VALUE(T497) * IF($E$2="Deployment",deployment_raw[[#This Row],[Column5]],1),0)), 0),"")</f>
        <v/>
      </c>
      <c r="M497" s="125" t="str">
        <f>IF(ISNUMBER(deployment_raw[[#This Row],[Column9]]),IF(OR(deployment_raw[[#This Row],[Column5]] &lt;&gt; 0,$E$2&lt;&gt;"Deployment"), MAX(K497, Q497, S497, ($M$2 * IF($E$2="Deployment",deployment_raw[[#This Row],[Column5]],1)),IF(U497&lt;&gt;"",VALUE(U497) * IF($E$2="Deployment",deployment_raw[[#This Row],[Column5]],1),0)), 0),"")</f>
        <v/>
      </c>
      <c r="N497" s="166" t="str">
        <f>IF(ISNUMBER(deployment_raw[[#This Row],[Column14]]), deployment_raw[[#This Row],[Column14]]/IF(OR($E$2="Deployment",deployment_raw[[#This Row],[Column5]]=0),1,deployment_raw[[#This Row],[Column5]]),"")</f>
        <v/>
      </c>
      <c r="O497" s="167" t="str">
        <f>IF(ISNUMBER(deployment_raw[[#This Row],[Column15]]), deployment_raw[[#This Row],[Column15]]/IF(OR($E$2="Deployment",deployment_raw[[#This Row],[Column5]]=0),1,deployment_raw[[#This Row],[Column5]])/1048576,"")</f>
        <v/>
      </c>
      <c r="P497" s="168" t="str">
        <f>IF(ISNUMBER(deployment_raw[[#This Row],[Column12]]), (MIN(IF(N497&lt;&gt;"",N497,9999999999999)*1.1,deployment_raw[[#This Row],[Column12]] * IF($E$2="Deployment",deployment_raw[[#This Row],[Column5]],1))*(1+$P$2)),"")</f>
        <v/>
      </c>
      <c r="Q497" s="167" t="str">
        <f>IF(ISNUMBER(deployment_raw[[#This Row],[Column13]]), (MIN(IF(O497&lt;&gt;"",O497,9999999999999)*1.1,deployment_raw[[#This Row],[Column13]] * IF($E$2="Deployment",deployment_raw[[#This Row],[Column5]],1)*(1+$Q$2)/1048576)),"")</f>
        <v/>
      </c>
      <c r="R497" s="169" t="str">
        <f>IF(ISNUMBER(deployment_raw[[#This Row],[Column8]]), (H497  * IF(N497&lt;&gt;0,$R$2,1)),"")</f>
        <v/>
      </c>
      <c r="S497" s="170" t="str">
        <f>IF(ISNUMBER(deployment_raw[[#This Row],[Column8]]), (I497  * IF(O497&lt;&gt;0,$S$2,1)),"")</f>
        <v/>
      </c>
      <c r="T497" s="202" t="str">
        <f>IF(AND(A497&lt;&gt;"",_xlfn.IFNA(MATCH(A497,'dynamic resource application '!$A$2:$A$100, 0),0)&lt;&gt;0), H497/(IF($E$2="Deployment",E497,1)),"")</f>
        <v/>
      </c>
      <c r="U497" s="211" t="str">
        <f>IF(AND(A497&lt;&gt;"",_xlfn.IFNA(MATCH(A497,'dynamic resource application '!$A$2:$A$100, 0),0)&lt;&gt;0), I497/(IF($E$2="Deployment",E497,1)),"")</f>
        <v/>
      </c>
    </row>
    <row r="498" spans="1:21" ht="15.75" customHeight="1" x14ac:dyDescent="0.25">
      <c r="A498" s="35" t="str">
        <f>IF(ISNONTEXT(deployment_raw[[#This Row],[Column1]]), "", deployment_raw[[#This Row],[Column1]])</f>
        <v/>
      </c>
      <c r="B498" s="36" t="str">
        <f>IF(ISNONTEXT(deployment_raw[[#This Row],[Column2]]), "", deployment_raw[[#This Row],[Column2]])</f>
        <v/>
      </c>
      <c r="C498" s="36" t="str">
        <f>IF(ISNONTEXT(deployment_raw[[#This Row],[Column3]]), "", deployment_raw[[#This Row],[Column3]])</f>
        <v/>
      </c>
      <c r="D498" s="36" t="str">
        <f>IF(ISNONTEXT(deployment_raw[[#This Row],[Column4]]), "", deployment_raw[[#This Row],[Column4]])</f>
        <v/>
      </c>
      <c r="E498" s="37" t="str">
        <f>IF(ISNUMBER(deployment_raw[[#This Row],[Column5]]), deployment_raw[[#This Row],[Column5]],"")</f>
        <v/>
      </c>
      <c r="F498" s="94" t="str">
        <f>IF(ISNUMBER(deployment_raw[[#This Row],[Column6]]), (deployment_raw[[#This Row],[Column6]] * IF($E$2="Deployment",deployment_raw[[#This Row],[Column5]],1)),"")</f>
        <v/>
      </c>
      <c r="G498" s="95" t="str">
        <f>IF(ISNUMBER(deployment_raw[[#This Row],[Column7]]), (deployment_raw[[#This Row],[Column7]] * IF($E$2="Deployment",deployment_raw[[#This Row],[Column5]],1))/1048576,"")</f>
        <v/>
      </c>
      <c r="H498" s="95" t="str">
        <f>IF(ISNUMBER(deployment_raw[[#This Row],[Column8]]), (deployment_raw[[#This Row],[Column8]]  * IF($E$2="Deployment",deployment_raw[[#This Row],[Column5]],1)),"")</f>
        <v/>
      </c>
      <c r="I498" s="96" t="str">
        <f>IF(ISNUMBER(deployment_raw[[#This Row],[Column9]]), (deployment_raw[[#This Row],[Column9]] * IF($E$2="Deployment",deployment_raw[[#This Row],[Column5]],1))/1048576,"")</f>
        <v/>
      </c>
      <c r="J498" s="122" t="str">
        <f>IF(ISNUMBER(deployment_raw[[#This Row],[Column10]]), (MIN(IF(N498&lt;&gt;"",N498,9999999999999)*1.1,deployment_raw[[#This Row],[Column10]] * IF($E$2="Deployment",deployment_raw[[#This Row],[Column5]],1))),"")</f>
        <v/>
      </c>
      <c r="K498" s="123" t="str">
        <f>IF(ISNUMBER(deployment_raw[[#This Row],[Column11]]), (MIN(IF(O498&lt;&gt;"",O498,9999999999999)*1.1,deployment_raw[[#This Row],[Column11]] * IF($E$2="Deployment",deployment_raw[[#This Row],[Column5]],1)/1048576)),"")</f>
        <v/>
      </c>
      <c r="L498" s="124" t="str">
        <f>IF(ISNUMBER(deployment_raw[[#This Row],[Column8]]),IF(OR(deployment_raw[[#This Row],[Column5]] &lt;&gt; 0,$E$2 &lt;&gt; "Deployment"), MAX(J498, P498, R498, ($L$2 * IF($E$2="Deployment",deployment_raw[[#This Row],[Column5]],1)),IF(T498&lt;&gt;"",VALUE(T498) * IF($E$2="Deployment",deployment_raw[[#This Row],[Column5]],1),0)), 0),"")</f>
        <v/>
      </c>
      <c r="M498" s="125" t="str">
        <f>IF(ISNUMBER(deployment_raw[[#This Row],[Column9]]),IF(OR(deployment_raw[[#This Row],[Column5]] &lt;&gt; 0,$E$2&lt;&gt;"Deployment"), MAX(K498, Q498, S498, ($M$2 * IF($E$2="Deployment",deployment_raw[[#This Row],[Column5]],1)),IF(U498&lt;&gt;"",VALUE(U498) * IF($E$2="Deployment",deployment_raw[[#This Row],[Column5]],1),0)), 0),"")</f>
        <v/>
      </c>
      <c r="N498" s="166" t="str">
        <f>IF(ISNUMBER(deployment_raw[[#This Row],[Column14]]), deployment_raw[[#This Row],[Column14]]/IF(OR($E$2="Deployment",deployment_raw[[#This Row],[Column5]]=0),1,deployment_raw[[#This Row],[Column5]]),"")</f>
        <v/>
      </c>
      <c r="O498" s="167" t="str">
        <f>IF(ISNUMBER(deployment_raw[[#This Row],[Column15]]), deployment_raw[[#This Row],[Column15]]/IF(OR($E$2="Deployment",deployment_raw[[#This Row],[Column5]]=0),1,deployment_raw[[#This Row],[Column5]])/1048576,"")</f>
        <v/>
      </c>
      <c r="P498" s="168" t="str">
        <f>IF(ISNUMBER(deployment_raw[[#This Row],[Column12]]), (MIN(IF(N498&lt;&gt;"",N498,9999999999999)*1.1,deployment_raw[[#This Row],[Column12]] * IF($E$2="Deployment",deployment_raw[[#This Row],[Column5]],1))*(1+$P$2)),"")</f>
        <v/>
      </c>
      <c r="Q498" s="167" t="str">
        <f>IF(ISNUMBER(deployment_raw[[#This Row],[Column13]]), (MIN(IF(O498&lt;&gt;"",O498,9999999999999)*1.1,deployment_raw[[#This Row],[Column13]] * IF($E$2="Deployment",deployment_raw[[#This Row],[Column5]],1)*(1+$Q$2)/1048576)),"")</f>
        <v/>
      </c>
      <c r="R498" s="169" t="str">
        <f>IF(ISNUMBER(deployment_raw[[#This Row],[Column8]]), (H498  * IF(N498&lt;&gt;0,$R$2,1)),"")</f>
        <v/>
      </c>
      <c r="S498" s="170" t="str">
        <f>IF(ISNUMBER(deployment_raw[[#This Row],[Column8]]), (I498  * IF(O498&lt;&gt;0,$S$2,1)),"")</f>
        <v/>
      </c>
      <c r="T498" s="202" t="str">
        <f>IF(AND(A498&lt;&gt;"",_xlfn.IFNA(MATCH(A498,'dynamic resource application '!$A$2:$A$100, 0),0)&lt;&gt;0), H498/(IF($E$2="Deployment",E498,1)),"")</f>
        <v/>
      </c>
      <c r="U498" s="211" t="str">
        <f>IF(AND(A498&lt;&gt;"",_xlfn.IFNA(MATCH(A498,'dynamic resource application '!$A$2:$A$100, 0),0)&lt;&gt;0), I498/(IF($E$2="Deployment",E498,1)),"")</f>
        <v/>
      </c>
    </row>
    <row r="499" spans="1:21" ht="15.75" customHeight="1" x14ac:dyDescent="0.25">
      <c r="A499" s="35" t="str">
        <f>IF(ISNONTEXT(deployment_raw[[#This Row],[Column1]]), "", deployment_raw[[#This Row],[Column1]])</f>
        <v/>
      </c>
      <c r="B499" s="36" t="str">
        <f>IF(ISNONTEXT(deployment_raw[[#This Row],[Column2]]), "", deployment_raw[[#This Row],[Column2]])</f>
        <v/>
      </c>
      <c r="C499" s="36" t="str">
        <f>IF(ISNONTEXT(deployment_raw[[#This Row],[Column3]]), "", deployment_raw[[#This Row],[Column3]])</f>
        <v/>
      </c>
      <c r="D499" s="36" t="str">
        <f>IF(ISNONTEXT(deployment_raw[[#This Row],[Column4]]), "", deployment_raw[[#This Row],[Column4]])</f>
        <v/>
      </c>
      <c r="E499" s="37" t="str">
        <f>IF(ISNUMBER(deployment_raw[[#This Row],[Column5]]), deployment_raw[[#This Row],[Column5]],"")</f>
        <v/>
      </c>
      <c r="F499" s="94" t="str">
        <f>IF(ISNUMBER(deployment_raw[[#This Row],[Column6]]), (deployment_raw[[#This Row],[Column6]] * IF($E$2="Deployment",deployment_raw[[#This Row],[Column5]],1)),"")</f>
        <v/>
      </c>
      <c r="G499" s="95" t="str">
        <f>IF(ISNUMBER(deployment_raw[[#This Row],[Column7]]), (deployment_raw[[#This Row],[Column7]] * IF($E$2="Deployment",deployment_raw[[#This Row],[Column5]],1))/1048576,"")</f>
        <v/>
      </c>
      <c r="H499" s="95" t="str">
        <f>IF(ISNUMBER(deployment_raw[[#This Row],[Column8]]), (deployment_raw[[#This Row],[Column8]]  * IF($E$2="Deployment",deployment_raw[[#This Row],[Column5]],1)),"")</f>
        <v/>
      </c>
      <c r="I499" s="96" t="str">
        <f>IF(ISNUMBER(deployment_raw[[#This Row],[Column9]]), (deployment_raw[[#This Row],[Column9]] * IF($E$2="Deployment",deployment_raw[[#This Row],[Column5]],1))/1048576,"")</f>
        <v/>
      </c>
      <c r="J499" s="122" t="str">
        <f>IF(ISNUMBER(deployment_raw[[#This Row],[Column10]]), (MIN(IF(N499&lt;&gt;"",N499,9999999999999)*1.1,deployment_raw[[#This Row],[Column10]] * IF($E$2="Deployment",deployment_raw[[#This Row],[Column5]],1))),"")</f>
        <v/>
      </c>
      <c r="K499" s="123" t="str">
        <f>IF(ISNUMBER(deployment_raw[[#This Row],[Column11]]), (MIN(IF(O499&lt;&gt;"",O499,9999999999999)*1.1,deployment_raw[[#This Row],[Column11]] * IF($E$2="Deployment",deployment_raw[[#This Row],[Column5]],1)/1048576)),"")</f>
        <v/>
      </c>
      <c r="L499" s="124" t="str">
        <f>IF(ISNUMBER(deployment_raw[[#This Row],[Column8]]),IF(OR(deployment_raw[[#This Row],[Column5]] &lt;&gt; 0,$E$2 &lt;&gt; "Deployment"), MAX(J499, P499, R499, ($L$2 * IF($E$2="Deployment",deployment_raw[[#This Row],[Column5]],1)),IF(T499&lt;&gt;"",VALUE(T499) * IF($E$2="Deployment",deployment_raw[[#This Row],[Column5]],1),0)), 0),"")</f>
        <v/>
      </c>
      <c r="M499" s="125" t="str">
        <f>IF(ISNUMBER(deployment_raw[[#This Row],[Column9]]),IF(OR(deployment_raw[[#This Row],[Column5]] &lt;&gt; 0,$E$2&lt;&gt;"Deployment"), MAX(K499, Q499, S499, ($M$2 * IF($E$2="Deployment",deployment_raw[[#This Row],[Column5]],1)),IF(U499&lt;&gt;"",VALUE(U499) * IF($E$2="Deployment",deployment_raw[[#This Row],[Column5]],1),0)), 0),"")</f>
        <v/>
      </c>
      <c r="N499" s="166" t="str">
        <f>IF(ISNUMBER(deployment_raw[[#This Row],[Column14]]), deployment_raw[[#This Row],[Column14]]/IF(OR($E$2="Deployment",deployment_raw[[#This Row],[Column5]]=0),1,deployment_raw[[#This Row],[Column5]]),"")</f>
        <v/>
      </c>
      <c r="O499" s="167" t="str">
        <f>IF(ISNUMBER(deployment_raw[[#This Row],[Column15]]), deployment_raw[[#This Row],[Column15]]/IF(OR($E$2="Deployment",deployment_raw[[#This Row],[Column5]]=0),1,deployment_raw[[#This Row],[Column5]])/1048576,"")</f>
        <v/>
      </c>
      <c r="P499" s="168" t="str">
        <f>IF(ISNUMBER(deployment_raw[[#This Row],[Column12]]), (MIN(IF(N499&lt;&gt;"",N499,9999999999999)*1.1,deployment_raw[[#This Row],[Column12]] * IF($E$2="Deployment",deployment_raw[[#This Row],[Column5]],1))*(1+$P$2)),"")</f>
        <v/>
      </c>
      <c r="Q499" s="167" t="str">
        <f>IF(ISNUMBER(deployment_raw[[#This Row],[Column13]]), (MIN(IF(O499&lt;&gt;"",O499,9999999999999)*1.1,deployment_raw[[#This Row],[Column13]] * IF($E$2="Deployment",deployment_raw[[#This Row],[Column5]],1)*(1+$Q$2)/1048576)),"")</f>
        <v/>
      </c>
      <c r="R499" s="169" t="str">
        <f>IF(ISNUMBER(deployment_raw[[#This Row],[Column8]]), (H499  * IF(N499&lt;&gt;0,$R$2,1)),"")</f>
        <v/>
      </c>
      <c r="S499" s="170" t="str">
        <f>IF(ISNUMBER(deployment_raw[[#This Row],[Column8]]), (I499  * IF(O499&lt;&gt;0,$S$2,1)),"")</f>
        <v/>
      </c>
      <c r="T499" s="202" t="str">
        <f>IF(AND(A499&lt;&gt;"",_xlfn.IFNA(MATCH(A499,'dynamic resource application '!$A$2:$A$100, 0),0)&lt;&gt;0), H499/(IF($E$2="Deployment",E499,1)),"")</f>
        <v/>
      </c>
      <c r="U499" s="211" t="str">
        <f>IF(AND(A499&lt;&gt;"",_xlfn.IFNA(MATCH(A499,'dynamic resource application '!$A$2:$A$100, 0),0)&lt;&gt;0), I499/(IF($E$2="Deployment",E499,1)),"")</f>
        <v/>
      </c>
    </row>
    <row r="500" spans="1:21" ht="15.75" customHeight="1" x14ac:dyDescent="0.25">
      <c r="A500" s="35" t="str">
        <f>IF(ISNONTEXT(deployment_raw[[#This Row],[Column1]]), "", deployment_raw[[#This Row],[Column1]])</f>
        <v/>
      </c>
      <c r="B500" s="36" t="str">
        <f>IF(ISNONTEXT(deployment_raw[[#This Row],[Column2]]), "", deployment_raw[[#This Row],[Column2]])</f>
        <v/>
      </c>
      <c r="C500" s="36" t="str">
        <f>IF(ISNONTEXT(deployment_raw[[#This Row],[Column3]]), "", deployment_raw[[#This Row],[Column3]])</f>
        <v/>
      </c>
      <c r="D500" s="36" t="str">
        <f>IF(ISNONTEXT(deployment_raw[[#This Row],[Column4]]), "", deployment_raw[[#This Row],[Column4]])</f>
        <v/>
      </c>
      <c r="E500" s="37" t="str">
        <f>IF(ISNUMBER(deployment_raw[[#This Row],[Column5]]), deployment_raw[[#This Row],[Column5]],"")</f>
        <v/>
      </c>
      <c r="F500" s="94" t="str">
        <f>IF(ISNUMBER(deployment_raw[[#This Row],[Column6]]), (deployment_raw[[#This Row],[Column6]] * IF($E$2="Deployment",deployment_raw[[#This Row],[Column5]],1)),"")</f>
        <v/>
      </c>
      <c r="G500" s="95" t="str">
        <f>IF(ISNUMBER(deployment_raw[[#This Row],[Column7]]), (deployment_raw[[#This Row],[Column7]] * IF($E$2="Deployment",deployment_raw[[#This Row],[Column5]],1))/1048576,"")</f>
        <v/>
      </c>
      <c r="H500" s="95" t="str">
        <f>IF(ISNUMBER(deployment_raw[[#This Row],[Column8]]), (deployment_raw[[#This Row],[Column8]]  * IF($E$2="Deployment",deployment_raw[[#This Row],[Column5]],1)),"")</f>
        <v/>
      </c>
      <c r="I500" s="96" t="str">
        <f>IF(ISNUMBER(deployment_raw[[#This Row],[Column9]]), (deployment_raw[[#This Row],[Column9]] * IF($E$2="Deployment",deployment_raw[[#This Row],[Column5]],1))/1048576,"")</f>
        <v/>
      </c>
      <c r="J500" s="122" t="str">
        <f>IF(ISNUMBER(deployment_raw[[#This Row],[Column10]]), (MIN(IF(N500&lt;&gt;"",N500,9999999999999)*1.1,deployment_raw[[#This Row],[Column10]] * IF($E$2="Deployment",deployment_raw[[#This Row],[Column5]],1))),"")</f>
        <v/>
      </c>
      <c r="K500" s="123" t="str">
        <f>IF(ISNUMBER(deployment_raw[[#This Row],[Column11]]), (MIN(IF(O500&lt;&gt;"",O500,9999999999999)*1.1,deployment_raw[[#This Row],[Column11]] * IF($E$2="Deployment",deployment_raw[[#This Row],[Column5]],1)/1048576)),"")</f>
        <v/>
      </c>
      <c r="L500" s="124" t="str">
        <f>IF(ISNUMBER(deployment_raw[[#This Row],[Column8]]),IF(OR(deployment_raw[[#This Row],[Column5]] &lt;&gt; 0,$E$2 &lt;&gt; "Deployment"), MAX(J500, P500, R500, ($L$2 * IF($E$2="Deployment",deployment_raw[[#This Row],[Column5]],1)),IF(T500&lt;&gt;"",VALUE(T500) * IF($E$2="Deployment",deployment_raw[[#This Row],[Column5]],1),0)), 0),"")</f>
        <v/>
      </c>
      <c r="M500" s="125" t="str">
        <f>IF(ISNUMBER(deployment_raw[[#This Row],[Column9]]),IF(OR(deployment_raw[[#This Row],[Column5]] &lt;&gt; 0,$E$2&lt;&gt;"Deployment"), MAX(K500, Q500, S500, ($M$2 * IF($E$2="Deployment",deployment_raw[[#This Row],[Column5]],1)),IF(U500&lt;&gt;"",VALUE(U500) * IF($E$2="Deployment",deployment_raw[[#This Row],[Column5]],1),0)), 0),"")</f>
        <v/>
      </c>
      <c r="N500" s="166" t="str">
        <f>IF(ISNUMBER(deployment_raw[[#This Row],[Column14]]), deployment_raw[[#This Row],[Column14]]/IF(OR($E$2="Deployment",deployment_raw[[#This Row],[Column5]]=0),1,deployment_raw[[#This Row],[Column5]]),"")</f>
        <v/>
      </c>
      <c r="O500" s="167" t="str">
        <f>IF(ISNUMBER(deployment_raw[[#This Row],[Column15]]), deployment_raw[[#This Row],[Column15]]/IF(OR($E$2="Deployment",deployment_raw[[#This Row],[Column5]]=0),1,deployment_raw[[#This Row],[Column5]])/1048576,"")</f>
        <v/>
      </c>
      <c r="P500" s="168" t="str">
        <f>IF(ISNUMBER(deployment_raw[[#This Row],[Column12]]), (MIN(IF(N500&lt;&gt;"",N500,9999999999999)*1.1,deployment_raw[[#This Row],[Column12]] * IF($E$2="Deployment",deployment_raw[[#This Row],[Column5]],1))*(1+$P$2)),"")</f>
        <v/>
      </c>
      <c r="Q500" s="167" t="str">
        <f>IF(ISNUMBER(deployment_raw[[#This Row],[Column13]]), (MIN(IF(O500&lt;&gt;"",O500,9999999999999)*1.1,deployment_raw[[#This Row],[Column13]] * IF($E$2="Deployment",deployment_raw[[#This Row],[Column5]],1)*(1+$Q$2)/1048576)),"")</f>
        <v/>
      </c>
      <c r="R500" s="169" t="str">
        <f>IF(ISNUMBER(deployment_raw[[#This Row],[Column8]]), (H500  * IF(N500&lt;&gt;0,$R$2,1)),"")</f>
        <v/>
      </c>
      <c r="S500" s="170" t="str">
        <f>IF(ISNUMBER(deployment_raw[[#This Row],[Column8]]), (I500  * IF(O500&lt;&gt;0,$S$2,1)),"")</f>
        <v/>
      </c>
      <c r="T500" s="202" t="str">
        <f>IF(AND(A500&lt;&gt;"",_xlfn.IFNA(MATCH(A500,'dynamic resource application '!$A$2:$A$100, 0),0)&lt;&gt;0), H500/(IF($E$2="Deployment",E500,1)),"")</f>
        <v/>
      </c>
      <c r="U500" s="211" t="str">
        <f>IF(AND(A500&lt;&gt;"",_xlfn.IFNA(MATCH(A500,'dynamic resource application '!$A$2:$A$100, 0),0)&lt;&gt;0), I500/(IF($E$2="Deployment",E500,1)),"")</f>
        <v/>
      </c>
    </row>
    <row r="501" spans="1:21" ht="15.75" customHeight="1" x14ac:dyDescent="0.25">
      <c r="A501" s="35" t="str">
        <f>IF(ISNONTEXT(deployment_raw[[#This Row],[Column1]]), "", deployment_raw[[#This Row],[Column1]])</f>
        <v/>
      </c>
      <c r="B501" s="36" t="str">
        <f>IF(ISNONTEXT(deployment_raw[[#This Row],[Column2]]), "", deployment_raw[[#This Row],[Column2]])</f>
        <v/>
      </c>
      <c r="C501" s="36" t="str">
        <f>IF(ISNONTEXT(deployment_raw[[#This Row],[Column3]]), "", deployment_raw[[#This Row],[Column3]])</f>
        <v/>
      </c>
      <c r="D501" s="36" t="str">
        <f>IF(ISNONTEXT(deployment_raw[[#This Row],[Column4]]), "", deployment_raw[[#This Row],[Column4]])</f>
        <v/>
      </c>
      <c r="E501" s="37" t="str">
        <f>IF(ISNUMBER(deployment_raw[[#This Row],[Column5]]), deployment_raw[[#This Row],[Column5]],"")</f>
        <v/>
      </c>
      <c r="F501" s="94" t="str">
        <f>IF(ISNUMBER(deployment_raw[[#This Row],[Column6]]), (deployment_raw[[#This Row],[Column6]] * IF($E$2="Deployment",deployment_raw[[#This Row],[Column5]],1)),"")</f>
        <v/>
      </c>
      <c r="G501" s="95" t="str">
        <f>IF(ISNUMBER(deployment_raw[[#This Row],[Column7]]), (deployment_raw[[#This Row],[Column7]] * IF($E$2="Deployment",deployment_raw[[#This Row],[Column5]],1))/1048576,"")</f>
        <v/>
      </c>
      <c r="H501" s="95" t="str">
        <f>IF(ISNUMBER(deployment_raw[[#This Row],[Column8]]), (deployment_raw[[#This Row],[Column8]]  * IF($E$2="Deployment",deployment_raw[[#This Row],[Column5]],1)),"")</f>
        <v/>
      </c>
      <c r="I501" s="96" t="str">
        <f>IF(ISNUMBER(deployment_raw[[#This Row],[Column9]]), (deployment_raw[[#This Row],[Column9]] * IF($E$2="Deployment",deployment_raw[[#This Row],[Column5]],1))/1048576,"")</f>
        <v/>
      </c>
      <c r="J501" s="122" t="str">
        <f>IF(ISNUMBER(deployment_raw[[#This Row],[Column10]]), (MIN(IF(N501&lt;&gt;"",N501,9999999999999)*1.1,deployment_raw[[#This Row],[Column10]] * IF($E$2="Deployment",deployment_raw[[#This Row],[Column5]],1))),"")</f>
        <v/>
      </c>
      <c r="K501" s="123" t="str">
        <f>IF(ISNUMBER(deployment_raw[[#This Row],[Column11]]), (MIN(IF(O501&lt;&gt;"",O501,9999999999999)*1.1,deployment_raw[[#This Row],[Column11]] * IF($E$2="Deployment",deployment_raw[[#This Row],[Column5]],1)/1048576)),"")</f>
        <v/>
      </c>
      <c r="L501" s="124" t="str">
        <f>IF(ISNUMBER(deployment_raw[[#This Row],[Column8]]),IF(OR(deployment_raw[[#This Row],[Column5]] &lt;&gt; 0,$E$2 &lt;&gt; "Deployment"), MAX(J501, P501, R501, ($L$2 * IF($E$2="Deployment",deployment_raw[[#This Row],[Column5]],1)),IF(T501&lt;&gt;"",VALUE(T501) * IF($E$2="Deployment",deployment_raw[[#This Row],[Column5]],1),0)), 0),"")</f>
        <v/>
      </c>
      <c r="M501" s="125" t="str">
        <f>IF(ISNUMBER(deployment_raw[[#This Row],[Column9]]),IF(OR(deployment_raw[[#This Row],[Column5]] &lt;&gt; 0,$E$2&lt;&gt;"Deployment"), MAX(K501, Q501, S501, ($M$2 * IF($E$2="Deployment",deployment_raw[[#This Row],[Column5]],1)),IF(U501&lt;&gt;"",VALUE(U501) * IF($E$2="Deployment",deployment_raw[[#This Row],[Column5]],1),0)), 0),"")</f>
        <v/>
      </c>
      <c r="N501" s="166" t="str">
        <f>IF(ISNUMBER(deployment_raw[[#This Row],[Column14]]), deployment_raw[[#This Row],[Column14]]/IF(OR($E$2="Deployment",deployment_raw[[#This Row],[Column5]]=0),1,deployment_raw[[#This Row],[Column5]]),"")</f>
        <v/>
      </c>
      <c r="O501" s="167" t="str">
        <f>IF(ISNUMBER(deployment_raw[[#This Row],[Column15]]), deployment_raw[[#This Row],[Column15]]/IF(OR($E$2="Deployment",deployment_raw[[#This Row],[Column5]]=0),1,deployment_raw[[#This Row],[Column5]])/1048576,"")</f>
        <v/>
      </c>
      <c r="P501" s="168" t="str">
        <f>IF(ISNUMBER(deployment_raw[[#This Row],[Column12]]), (MIN(IF(N501&lt;&gt;"",N501,9999999999999)*1.1,deployment_raw[[#This Row],[Column12]] * IF($E$2="Deployment",deployment_raw[[#This Row],[Column5]],1))*(1+$P$2)),"")</f>
        <v/>
      </c>
      <c r="Q501" s="167" t="str">
        <f>IF(ISNUMBER(deployment_raw[[#This Row],[Column13]]), (MIN(IF(O501&lt;&gt;"",O501,9999999999999)*1.1,deployment_raw[[#This Row],[Column13]] * IF($E$2="Deployment",deployment_raw[[#This Row],[Column5]],1)*(1+$Q$2)/1048576)),"")</f>
        <v/>
      </c>
      <c r="R501" s="169" t="str">
        <f>IF(ISNUMBER(deployment_raw[[#This Row],[Column8]]), (H501  * IF(N501&lt;&gt;0,$R$2,1)),"")</f>
        <v/>
      </c>
      <c r="S501" s="170" t="str">
        <f>IF(ISNUMBER(deployment_raw[[#This Row],[Column8]]), (I501  * IF(O501&lt;&gt;0,$S$2,1)),"")</f>
        <v/>
      </c>
      <c r="T501" s="202" t="str">
        <f>IF(AND(A501&lt;&gt;"",_xlfn.IFNA(MATCH(A501,'dynamic resource application '!$A$2:$A$100, 0),0)&lt;&gt;0), H501/(IF($E$2="Deployment",E501,1)),"")</f>
        <v/>
      </c>
      <c r="U501" s="211" t="str">
        <f>IF(AND(A501&lt;&gt;"",_xlfn.IFNA(MATCH(A501,'dynamic resource application '!$A$2:$A$100, 0),0)&lt;&gt;0), I501/(IF($E$2="Deployment",E501,1)),"")</f>
        <v/>
      </c>
    </row>
    <row r="502" spans="1:21" ht="15.75" customHeight="1" x14ac:dyDescent="0.25">
      <c r="A502" s="35" t="str">
        <f>IF(ISNONTEXT(deployment_raw[[#This Row],[Column1]]), "", deployment_raw[[#This Row],[Column1]])</f>
        <v/>
      </c>
      <c r="B502" s="36" t="str">
        <f>IF(ISNONTEXT(deployment_raw[[#This Row],[Column2]]), "", deployment_raw[[#This Row],[Column2]])</f>
        <v/>
      </c>
      <c r="C502" s="36" t="str">
        <f>IF(ISNONTEXT(deployment_raw[[#This Row],[Column3]]), "", deployment_raw[[#This Row],[Column3]])</f>
        <v/>
      </c>
      <c r="D502" s="36" t="str">
        <f>IF(ISNONTEXT(deployment_raw[[#This Row],[Column4]]), "", deployment_raw[[#This Row],[Column4]])</f>
        <v/>
      </c>
      <c r="E502" s="37" t="str">
        <f>IF(ISNUMBER(deployment_raw[[#This Row],[Column5]]), deployment_raw[[#This Row],[Column5]],"")</f>
        <v/>
      </c>
      <c r="F502" s="94" t="str">
        <f>IF(ISNUMBER(deployment_raw[[#This Row],[Column6]]), (deployment_raw[[#This Row],[Column6]] * IF($E$2="Deployment",deployment_raw[[#This Row],[Column5]],1)),"")</f>
        <v/>
      </c>
      <c r="G502" s="95" t="str">
        <f>IF(ISNUMBER(deployment_raw[[#This Row],[Column7]]), (deployment_raw[[#This Row],[Column7]] * IF($E$2="Deployment",deployment_raw[[#This Row],[Column5]],1))/1048576,"")</f>
        <v/>
      </c>
      <c r="H502" s="95" t="str">
        <f>IF(ISNUMBER(deployment_raw[[#This Row],[Column8]]), (deployment_raw[[#This Row],[Column8]]  * IF($E$2="Deployment",deployment_raw[[#This Row],[Column5]],1)),"")</f>
        <v/>
      </c>
      <c r="I502" s="96" t="str">
        <f>IF(ISNUMBER(deployment_raw[[#This Row],[Column9]]), (deployment_raw[[#This Row],[Column9]] * IF($E$2="Deployment",deployment_raw[[#This Row],[Column5]],1))/1048576,"")</f>
        <v/>
      </c>
      <c r="J502" s="122" t="str">
        <f>IF(ISNUMBER(deployment_raw[[#This Row],[Column10]]), (MIN(IF(N502&lt;&gt;"",N502,9999999999999)*1.1,deployment_raw[[#This Row],[Column10]] * IF($E$2="Deployment",deployment_raw[[#This Row],[Column5]],1))),"")</f>
        <v/>
      </c>
      <c r="K502" s="123" t="str">
        <f>IF(ISNUMBER(deployment_raw[[#This Row],[Column11]]), (MIN(IF(O502&lt;&gt;"",O502,9999999999999)*1.1,deployment_raw[[#This Row],[Column11]] * IF($E$2="Deployment",deployment_raw[[#This Row],[Column5]],1)/1048576)),"")</f>
        <v/>
      </c>
      <c r="L502" s="124" t="str">
        <f>IF(ISNUMBER(deployment_raw[[#This Row],[Column8]]),IF(OR(deployment_raw[[#This Row],[Column5]] &lt;&gt; 0,$E$2 &lt;&gt; "Deployment"), MAX(J502, P502, R502, ($L$2 * IF($E$2="Deployment",deployment_raw[[#This Row],[Column5]],1)),IF(T502&lt;&gt;"",VALUE(T502) * IF($E$2="Deployment",deployment_raw[[#This Row],[Column5]],1),0)), 0),"")</f>
        <v/>
      </c>
      <c r="M502" s="125" t="str">
        <f>IF(ISNUMBER(deployment_raw[[#This Row],[Column9]]),IF(OR(deployment_raw[[#This Row],[Column5]] &lt;&gt; 0,$E$2&lt;&gt;"Deployment"), MAX(K502, Q502, S502, ($M$2 * IF($E$2="Deployment",deployment_raw[[#This Row],[Column5]],1)),IF(U502&lt;&gt;"",VALUE(U502) * IF($E$2="Deployment",deployment_raw[[#This Row],[Column5]],1),0)), 0),"")</f>
        <v/>
      </c>
      <c r="N502" s="166" t="str">
        <f>IF(ISNUMBER(deployment_raw[[#This Row],[Column14]]), deployment_raw[[#This Row],[Column14]]/IF(OR($E$2="Deployment",deployment_raw[[#This Row],[Column5]]=0),1,deployment_raw[[#This Row],[Column5]]),"")</f>
        <v/>
      </c>
      <c r="O502" s="167" t="str">
        <f>IF(ISNUMBER(deployment_raw[[#This Row],[Column15]]), deployment_raw[[#This Row],[Column15]]/IF(OR($E$2="Deployment",deployment_raw[[#This Row],[Column5]]=0),1,deployment_raw[[#This Row],[Column5]])/1048576,"")</f>
        <v/>
      </c>
      <c r="P502" s="168" t="str">
        <f>IF(ISNUMBER(deployment_raw[[#This Row],[Column12]]), (MIN(IF(N502&lt;&gt;"",N502,9999999999999)*1.1,deployment_raw[[#This Row],[Column12]] * IF($E$2="Deployment",deployment_raw[[#This Row],[Column5]],1))*(1+$P$2)),"")</f>
        <v/>
      </c>
      <c r="Q502" s="167" t="str">
        <f>IF(ISNUMBER(deployment_raw[[#This Row],[Column13]]), (MIN(IF(O502&lt;&gt;"",O502,9999999999999)*1.1,deployment_raw[[#This Row],[Column13]] * IF($E$2="Deployment",deployment_raw[[#This Row],[Column5]],1)*(1+$Q$2)/1048576)),"")</f>
        <v/>
      </c>
      <c r="R502" s="169" t="str">
        <f>IF(ISNUMBER(deployment_raw[[#This Row],[Column8]]), (H502  * IF(N502&lt;&gt;0,$R$2,1)),"")</f>
        <v/>
      </c>
      <c r="S502" s="170" t="str">
        <f>IF(ISNUMBER(deployment_raw[[#This Row],[Column8]]), (I502  * IF(O502&lt;&gt;0,$S$2,1)),"")</f>
        <v/>
      </c>
      <c r="T502" s="202" t="str">
        <f>IF(AND(A502&lt;&gt;"",_xlfn.IFNA(MATCH(A502,'dynamic resource application '!$A$2:$A$100, 0),0)&lt;&gt;0), H502/(IF($E$2="Deployment",E502,1)),"")</f>
        <v/>
      </c>
      <c r="U502" s="211" t="str">
        <f>IF(AND(A502&lt;&gt;"",_xlfn.IFNA(MATCH(A502,'dynamic resource application '!$A$2:$A$100, 0),0)&lt;&gt;0), I502/(IF($E$2="Deployment",E502,1)),"")</f>
        <v/>
      </c>
    </row>
    <row r="503" spans="1:21" ht="15.75" customHeight="1" x14ac:dyDescent="0.25">
      <c r="A503" s="35" t="str">
        <f>IF(ISNONTEXT(deployment_raw[[#This Row],[Column1]]), "", deployment_raw[[#This Row],[Column1]])</f>
        <v/>
      </c>
      <c r="B503" s="36" t="str">
        <f>IF(ISNONTEXT(deployment_raw[[#This Row],[Column2]]), "", deployment_raw[[#This Row],[Column2]])</f>
        <v/>
      </c>
      <c r="C503" s="36" t="str">
        <f>IF(ISNONTEXT(deployment_raw[[#This Row],[Column3]]), "", deployment_raw[[#This Row],[Column3]])</f>
        <v/>
      </c>
      <c r="D503" s="36" t="str">
        <f>IF(ISNONTEXT(deployment_raw[[#This Row],[Column4]]), "", deployment_raw[[#This Row],[Column4]])</f>
        <v/>
      </c>
      <c r="E503" s="37" t="str">
        <f>IF(ISNUMBER(deployment_raw[[#This Row],[Column5]]), deployment_raw[[#This Row],[Column5]],"")</f>
        <v/>
      </c>
      <c r="F503" s="94" t="str">
        <f>IF(ISNUMBER(deployment_raw[[#This Row],[Column6]]), (deployment_raw[[#This Row],[Column6]] * IF($E$2="Deployment",deployment_raw[[#This Row],[Column5]],1)),"")</f>
        <v/>
      </c>
      <c r="G503" s="95" t="str">
        <f>IF(ISNUMBER(deployment_raw[[#This Row],[Column7]]), (deployment_raw[[#This Row],[Column7]] * IF($E$2="Deployment",deployment_raw[[#This Row],[Column5]],1))/1048576,"")</f>
        <v/>
      </c>
      <c r="H503" s="95" t="str">
        <f>IF(ISNUMBER(deployment_raw[[#This Row],[Column8]]), (deployment_raw[[#This Row],[Column8]]  * IF($E$2="Deployment",deployment_raw[[#This Row],[Column5]],1)),"")</f>
        <v/>
      </c>
      <c r="I503" s="96" t="str">
        <f>IF(ISNUMBER(deployment_raw[[#This Row],[Column9]]), (deployment_raw[[#This Row],[Column9]] * IF($E$2="Deployment",deployment_raw[[#This Row],[Column5]],1))/1048576,"")</f>
        <v/>
      </c>
      <c r="J503" s="122" t="str">
        <f>IF(ISNUMBER(deployment_raw[[#This Row],[Column10]]), (MIN(IF(N503&lt;&gt;"",N503,9999999999999)*1.1,deployment_raw[[#This Row],[Column10]] * IF($E$2="Deployment",deployment_raw[[#This Row],[Column5]],1))),"")</f>
        <v/>
      </c>
      <c r="K503" s="123" t="str">
        <f>IF(ISNUMBER(deployment_raw[[#This Row],[Column11]]), (MIN(IF(O503&lt;&gt;"",O503,9999999999999)*1.1,deployment_raw[[#This Row],[Column11]] * IF($E$2="Deployment",deployment_raw[[#This Row],[Column5]],1)/1048576)),"")</f>
        <v/>
      </c>
      <c r="L503" s="124" t="str">
        <f>IF(ISNUMBER(deployment_raw[[#This Row],[Column8]]),IF(OR(deployment_raw[[#This Row],[Column5]] &lt;&gt; 0,$E$2 &lt;&gt; "Deployment"), MAX(J503, P503, R503, ($L$2 * IF($E$2="Deployment",deployment_raw[[#This Row],[Column5]],1)),IF(T503&lt;&gt;"",VALUE(T503) * IF($E$2="Deployment",deployment_raw[[#This Row],[Column5]],1),0)), 0),"")</f>
        <v/>
      </c>
      <c r="M503" s="125" t="str">
        <f>IF(ISNUMBER(deployment_raw[[#This Row],[Column9]]),IF(OR(deployment_raw[[#This Row],[Column5]] &lt;&gt; 0,$E$2&lt;&gt;"Deployment"), MAX(K503, Q503, S503, ($M$2 * IF($E$2="Deployment",deployment_raw[[#This Row],[Column5]],1)),IF(U503&lt;&gt;"",VALUE(U503) * IF($E$2="Deployment",deployment_raw[[#This Row],[Column5]],1),0)), 0),"")</f>
        <v/>
      </c>
      <c r="N503" s="166" t="str">
        <f>IF(ISNUMBER(deployment_raw[[#This Row],[Column14]]), deployment_raw[[#This Row],[Column14]]/IF(OR($E$2="Deployment",deployment_raw[[#This Row],[Column5]]=0),1,deployment_raw[[#This Row],[Column5]]),"")</f>
        <v/>
      </c>
      <c r="O503" s="167" t="str">
        <f>IF(ISNUMBER(deployment_raw[[#This Row],[Column15]]), deployment_raw[[#This Row],[Column15]]/IF(OR($E$2="Deployment",deployment_raw[[#This Row],[Column5]]=0),1,deployment_raw[[#This Row],[Column5]])/1048576,"")</f>
        <v/>
      </c>
      <c r="P503" s="168" t="str">
        <f>IF(ISNUMBER(deployment_raw[[#This Row],[Column12]]), (MIN(IF(N503&lt;&gt;"",N503,9999999999999)*1.1,deployment_raw[[#This Row],[Column12]] * IF($E$2="Deployment",deployment_raw[[#This Row],[Column5]],1))*(1+$P$2)),"")</f>
        <v/>
      </c>
      <c r="Q503" s="167" t="str">
        <f>IF(ISNUMBER(deployment_raw[[#This Row],[Column13]]), (MIN(IF(O503&lt;&gt;"",O503,9999999999999)*1.1,deployment_raw[[#This Row],[Column13]] * IF($E$2="Deployment",deployment_raw[[#This Row],[Column5]],1)*(1+$Q$2)/1048576)),"")</f>
        <v/>
      </c>
      <c r="R503" s="169" t="str">
        <f>IF(ISNUMBER(deployment_raw[[#This Row],[Column8]]), (H503  * IF(N503&lt;&gt;0,$R$2,1)),"")</f>
        <v/>
      </c>
      <c r="S503" s="170" t="str">
        <f>IF(ISNUMBER(deployment_raw[[#This Row],[Column8]]), (I503  * IF(O503&lt;&gt;0,$S$2,1)),"")</f>
        <v/>
      </c>
      <c r="T503" s="202" t="str">
        <f>IF(AND(A503&lt;&gt;"",_xlfn.IFNA(MATCH(A503,'dynamic resource application '!$A$2:$A$100, 0),0)&lt;&gt;0), H503/(IF($E$2="Deployment",E503,1)),"")</f>
        <v/>
      </c>
      <c r="U503" s="211" t="str">
        <f>IF(AND(A503&lt;&gt;"",_xlfn.IFNA(MATCH(A503,'dynamic resource application '!$A$2:$A$100, 0),0)&lt;&gt;0), I503/(IF($E$2="Deployment",E503,1)),"")</f>
        <v/>
      </c>
    </row>
    <row r="504" spans="1:21" ht="15.75" customHeight="1" x14ac:dyDescent="0.25">
      <c r="A504" s="35" t="str">
        <f>IF(ISNONTEXT(deployment_raw[[#This Row],[Column1]]), "", deployment_raw[[#This Row],[Column1]])</f>
        <v/>
      </c>
      <c r="B504" s="36" t="str">
        <f>IF(ISNONTEXT(deployment_raw[[#This Row],[Column2]]), "", deployment_raw[[#This Row],[Column2]])</f>
        <v/>
      </c>
      <c r="C504" s="36" t="str">
        <f>IF(ISNONTEXT(deployment_raw[[#This Row],[Column3]]), "", deployment_raw[[#This Row],[Column3]])</f>
        <v/>
      </c>
      <c r="D504" s="36" t="str">
        <f>IF(ISNONTEXT(deployment_raw[[#This Row],[Column4]]), "", deployment_raw[[#This Row],[Column4]])</f>
        <v/>
      </c>
      <c r="E504" s="37" t="str">
        <f>IF(ISNUMBER(deployment_raw[[#This Row],[Column5]]), deployment_raw[[#This Row],[Column5]],"")</f>
        <v/>
      </c>
      <c r="F504" s="94" t="str">
        <f>IF(ISNUMBER(deployment_raw[[#This Row],[Column6]]), (deployment_raw[[#This Row],[Column6]] * IF($E$2="Deployment",deployment_raw[[#This Row],[Column5]],1)),"")</f>
        <v/>
      </c>
      <c r="G504" s="95" t="str">
        <f>IF(ISNUMBER(deployment_raw[[#This Row],[Column7]]), (deployment_raw[[#This Row],[Column7]] * IF($E$2="Deployment",deployment_raw[[#This Row],[Column5]],1))/1048576,"")</f>
        <v/>
      </c>
      <c r="H504" s="95" t="str">
        <f>IF(ISNUMBER(deployment_raw[[#This Row],[Column8]]), (deployment_raw[[#This Row],[Column8]]  * IF($E$2="Deployment",deployment_raw[[#This Row],[Column5]],1)),"")</f>
        <v/>
      </c>
      <c r="I504" s="96" t="str">
        <f>IF(ISNUMBER(deployment_raw[[#This Row],[Column9]]), (deployment_raw[[#This Row],[Column9]] * IF($E$2="Deployment",deployment_raw[[#This Row],[Column5]],1))/1048576,"")</f>
        <v/>
      </c>
      <c r="J504" s="122" t="str">
        <f>IF(ISNUMBER(deployment_raw[[#This Row],[Column10]]), (MIN(IF(N504&lt;&gt;"",N504,9999999999999)*1.1,deployment_raw[[#This Row],[Column10]] * IF($E$2="Deployment",deployment_raw[[#This Row],[Column5]],1))),"")</f>
        <v/>
      </c>
      <c r="K504" s="123" t="str">
        <f>IF(ISNUMBER(deployment_raw[[#This Row],[Column11]]), (MIN(IF(O504&lt;&gt;"",O504,9999999999999)*1.1,deployment_raw[[#This Row],[Column11]] * IF($E$2="Deployment",deployment_raw[[#This Row],[Column5]],1)/1048576)),"")</f>
        <v/>
      </c>
      <c r="L504" s="124" t="str">
        <f>IF(ISNUMBER(deployment_raw[[#This Row],[Column8]]),IF(OR(deployment_raw[[#This Row],[Column5]] &lt;&gt; 0,$E$2 &lt;&gt; "Deployment"), MAX(J504, P504, R504, ($L$2 * IF($E$2="Deployment",deployment_raw[[#This Row],[Column5]],1)),IF(T504&lt;&gt;"",VALUE(T504) * IF($E$2="Deployment",deployment_raw[[#This Row],[Column5]],1),0)), 0),"")</f>
        <v/>
      </c>
      <c r="M504" s="125" t="str">
        <f>IF(ISNUMBER(deployment_raw[[#This Row],[Column9]]),IF(OR(deployment_raw[[#This Row],[Column5]] &lt;&gt; 0,$E$2&lt;&gt;"Deployment"), MAX(K504, Q504, S504, ($M$2 * IF($E$2="Deployment",deployment_raw[[#This Row],[Column5]],1)),IF(U504&lt;&gt;"",VALUE(U504) * IF($E$2="Deployment",deployment_raw[[#This Row],[Column5]],1),0)), 0),"")</f>
        <v/>
      </c>
      <c r="N504" s="166" t="str">
        <f>IF(ISNUMBER(deployment_raw[[#This Row],[Column14]]), deployment_raw[[#This Row],[Column14]]/IF(OR($E$2="Deployment",deployment_raw[[#This Row],[Column5]]=0),1,deployment_raw[[#This Row],[Column5]]),"")</f>
        <v/>
      </c>
      <c r="O504" s="167" t="str">
        <f>IF(ISNUMBER(deployment_raw[[#This Row],[Column15]]), deployment_raw[[#This Row],[Column15]]/IF(OR($E$2="Deployment",deployment_raw[[#This Row],[Column5]]=0),1,deployment_raw[[#This Row],[Column5]])/1048576,"")</f>
        <v/>
      </c>
      <c r="P504" s="168" t="str">
        <f>IF(ISNUMBER(deployment_raw[[#This Row],[Column12]]), (MIN(IF(N504&lt;&gt;"",N504,9999999999999)*1.1,deployment_raw[[#This Row],[Column12]] * IF($E$2="Deployment",deployment_raw[[#This Row],[Column5]],1))*(1+$P$2)),"")</f>
        <v/>
      </c>
      <c r="Q504" s="167" t="str">
        <f>IF(ISNUMBER(deployment_raw[[#This Row],[Column13]]), (MIN(IF(O504&lt;&gt;"",O504,9999999999999)*1.1,deployment_raw[[#This Row],[Column13]] * IF($E$2="Deployment",deployment_raw[[#This Row],[Column5]],1)*(1+$Q$2)/1048576)),"")</f>
        <v/>
      </c>
      <c r="R504" s="169" t="str">
        <f>IF(ISNUMBER(deployment_raw[[#This Row],[Column8]]), (H504  * IF(N504&lt;&gt;0,$R$2,1)),"")</f>
        <v/>
      </c>
      <c r="S504" s="170" t="str">
        <f>IF(ISNUMBER(deployment_raw[[#This Row],[Column8]]), (I504  * IF(O504&lt;&gt;0,$S$2,1)),"")</f>
        <v/>
      </c>
      <c r="T504" s="202" t="str">
        <f>IF(AND(A504&lt;&gt;"",_xlfn.IFNA(MATCH(A504,'dynamic resource application '!$A$2:$A$100, 0),0)&lt;&gt;0), H504/(IF($E$2="Deployment",E504,1)),"")</f>
        <v/>
      </c>
      <c r="U504" s="211" t="str">
        <f>IF(AND(A504&lt;&gt;"",_xlfn.IFNA(MATCH(A504,'dynamic resource application '!$A$2:$A$100, 0),0)&lt;&gt;0), I504/(IF($E$2="Deployment",E504,1)),"")</f>
        <v/>
      </c>
    </row>
    <row r="505" spans="1:21" ht="15.75" customHeight="1" x14ac:dyDescent="0.25">
      <c r="A505" s="35" t="str">
        <f>IF(ISNONTEXT(deployment_raw[[#This Row],[Column1]]), "", deployment_raw[[#This Row],[Column1]])</f>
        <v/>
      </c>
      <c r="B505" s="36" t="str">
        <f>IF(ISNONTEXT(deployment_raw[[#This Row],[Column2]]), "", deployment_raw[[#This Row],[Column2]])</f>
        <v/>
      </c>
      <c r="C505" s="36" t="str">
        <f>IF(ISNONTEXT(deployment_raw[[#This Row],[Column3]]), "", deployment_raw[[#This Row],[Column3]])</f>
        <v/>
      </c>
      <c r="D505" s="36" t="str">
        <f>IF(ISNONTEXT(deployment_raw[[#This Row],[Column4]]), "", deployment_raw[[#This Row],[Column4]])</f>
        <v/>
      </c>
      <c r="E505" s="37" t="str">
        <f>IF(ISNUMBER(deployment_raw[[#This Row],[Column5]]), deployment_raw[[#This Row],[Column5]],"")</f>
        <v/>
      </c>
      <c r="F505" s="94" t="str">
        <f>IF(ISNUMBER(deployment_raw[[#This Row],[Column6]]), (deployment_raw[[#This Row],[Column6]] * IF($E$2="Deployment",deployment_raw[[#This Row],[Column5]],1)),"")</f>
        <v/>
      </c>
      <c r="G505" s="95" t="str">
        <f>IF(ISNUMBER(deployment_raw[[#This Row],[Column7]]), (deployment_raw[[#This Row],[Column7]] * IF($E$2="Deployment",deployment_raw[[#This Row],[Column5]],1))/1048576,"")</f>
        <v/>
      </c>
      <c r="H505" s="95" t="str">
        <f>IF(ISNUMBER(deployment_raw[[#This Row],[Column8]]), (deployment_raw[[#This Row],[Column8]]  * IF($E$2="Deployment",deployment_raw[[#This Row],[Column5]],1)),"")</f>
        <v/>
      </c>
      <c r="I505" s="96" t="str">
        <f>IF(ISNUMBER(deployment_raw[[#This Row],[Column9]]), (deployment_raw[[#This Row],[Column9]] * IF($E$2="Deployment",deployment_raw[[#This Row],[Column5]],1))/1048576,"")</f>
        <v/>
      </c>
      <c r="J505" s="122" t="str">
        <f>IF(ISNUMBER(deployment_raw[[#This Row],[Column10]]), (MIN(IF(N505&lt;&gt;"",N505,9999999999999)*1.1,deployment_raw[[#This Row],[Column10]] * IF($E$2="Deployment",deployment_raw[[#This Row],[Column5]],1))),"")</f>
        <v/>
      </c>
      <c r="K505" s="123" t="str">
        <f>IF(ISNUMBER(deployment_raw[[#This Row],[Column11]]), (MIN(IF(O505&lt;&gt;"",O505,9999999999999)*1.1,deployment_raw[[#This Row],[Column11]] * IF($E$2="Deployment",deployment_raw[[#This Row],[Column5]],1)/1048576)),"")</f>
        <v/>
      </c>
      <c r="L505" s="124" t="str">
        <f>IF(ISNUMBER(deployment_raw[[#This Row],[Column8]]),IF(OR(deployment_raw[[#This Row],[Column5]] &lt;&gt; 0,$E$2 &lt;&gt; "Deployment"), MAX(J505, P505, R505, ($L$2 * IF($E$2="Deployment",deployment_raw[[#This Row],[Column5]],1)),IF(T505&lt;&gt;"",VALUE(T505) * IF($E$2="Deployment",deployment_raw[[#This Row],[Column5]],1),0)), 0),"")</f>
        <v/>
      </c>
      <c r="M505" s="125" t="str">
        <f>IF(ISNUMBER(deployment_raw[[#This Row],[Column9]]),IF(OR(deployment_raw[[#This Row],[Column5]] &lt;&gt; 0,$E$2&lt;&gt;"Deployment"), MAX(K505, Q505, S505, ($M$2 * IF($E$2="Deployment",deployment_raw[[#This Row],[Column5]],1)),IF(U505&lt;&gt;"",VALUE(U505) * IF($E$2="Deployment",deployment_raw[[#This Row],[Column5]],1),0)), 0),"")</f>
        <v/>
      </c>
      <c r="N505" s="166" t="str">
        <f>IF(ISNUMBER(deployment_raw[[#This Row],[Column14]]), deployment_raw[[#This Row],[Column14]]/IF(OR($E$2="Deployment",deployment_raw[[#This Row],[Column5]]=0),1,deployment_raw[[#This Row],[Column5]]),"")</f>
        <v/>
      </c>
      <c r="O505" s="167" t="str">
        <f>IF(ISNUMBER(deployment_raw[[#This Row],[Column15]]), deployment_raw[[#This Row],[Column15]]/IF(OR($E$2="Deployment",deployment_raw[[#This Row],[Column5]]=0),1,deployment_raw[[#This Row],[Column5]])/1048576,"")</f>
        <v/>
      </c>
      <c r="P505" s="168" t="str">
        <f>IF(ISNUMBER(deployment_raw[[#This Row],[Column12]]), (MIN(IF(N505&lt;&gt;"",N505,9999999999999)*1.1,deployment_raw[[#This Row],[Column12]] * IF($E$2="Deployment",deployment_raw[[#This Row],[Column5]],1))*(1+$P$2)),"")</f>
        <v/>
      </c>
      <c r="Q505" s="167" t="str">
        <f>IF(ISNUMBER(deployment_raw[[#This Row],[Column13]]), (MIN(IF(O505&lt;&gt;"",O505,9999999999999)*1.1,deployment_raw[[#This Row],[Column13]] * IF($E$2="Deployment",deployment_raw[[#This Row],[Column5]],1)*(1+$Q$2)/1048576)),"")</f>
        <v/>
      </c>
      <c r="R505" s="169" t="str">
        <f>IF(ISNUMBER(deployment_raw[[#This Row],[Column8]]), (H505  * IF(N505&lt;&gt;0,$R$2,1)),"")</f>
        <v/>
      </c>
      <c r="S505" s="170" t="str">
        <f>IF(ISNUMBER(deployment_raw[[#This Row],[Column8]]), (I505  * IF(O505&lt;&gt;0,$S$2,1)),"")</f>
        <v/>
      </c>
      <c r="T505" s="202" t="str">
        <f>IF(AND(A505&lt;&gt;"",_xlfn.IFNA(MATCH(A505,'dynamic resource application '!$A$2:$A$100, 0),0)&lt;&gt;0), H505/(IF($E$2="Deployment",E505,1)),"")</f>
        <v/>
      </c>
      <c r="U505" s="211" t="str">
        <f>IF(AND(A505&lt;&gt;"",_xlfn.IFNA(MATCH(A505,'dynamic resource application '!$A$2:$A$100, 0),0)&lt;&gt;0), I505/(IF($E$2="Deployment",E505,1)),"")</f>
        <v/>
      </c>
    </row>
    <row r="506" spans="1:21" ht="15.75" customHeight="1" x14ac:dyDescent="0.25">
      <c r="A506" s="35" t="str">
        <f>IF(ISNONTEXT(deployment_raw[[#This Row],[Column1]]), "", deployment_raw[[#This Row],[Column1]])</f>
        <v/>
      </c>
      <c r="B506" s="36" t="str">
        <f>IF(ISNONTEXT(deployment_raw[[#This Row],[Column2]]), "", deployment_raw[[#This Row],[Column2]])</f>
        <v/>
      </c>
      <c r="C506" s="36" t="str">
        <f>IF(ISNONTEXT(deployment_raw[[#This Row],[Column3]]), "", deployment_raw[[#This Row],[Column3]])</f>
        <v/>
      </c>
      <c r="D506" s="36" t="str">
        <f>IF(ISNONTEXT(deployment_raw[[#This Row],[Column4]]), "", deployment_raw[[#This Row],[Column4]])</f>
        <v/>
      </c>
      <c r="E506" s="37" t="str">
        <f>IF(ISNUMBER(deployment_raw[[#This Row],[Column5]]), deployment_raw[[#This Row],[Column5]],"")</f>
        <v/>
      </c>
      <c r="F506" s="94" t="str">
        <f>IF(ISNUMBER(deployment_raw[[#This Row],[Column6]]), (deployment_raw[[#This Row],[Column6]] * IF($E$2="Deployment",deployment_raw[[#This Row],[Column5]],1)),"")</f>
        <v/>
      </c>
      <c r="G506" s="95" t="str">
        <f>IF(ISNUMBER(deployment_raw[[#This Row],[Column7]]), (deployment_raw[[#This Row],[Column7]] * IF($E$2="Deployment",deployment_raw[[#This Row],[Column5]],1))/1048576,"")</f>
        <v/>
      </c>
      <c r="H506" s="95" t="str">
        <f>IF(ISNUMBER(deployment_raw[[#This Row],[Column8]]), (deployment_raw[[#This Row],[Column8]]  * IF($E$2="Deployment",deployment_raw[[#This Row],[Column5]],1)),"")</f>
        <v/>
      </c>
      <c r="I506" s="96" t="str">
        <f>IF(ISNUMBER(deployment_raw[[#This Row],[Column9]]), (deployment_raw[[#This Row],[Column9]] * IF($E$2="Deployment",deployment_raw[[#This Row],[Column5]],1))/1048576,"")</f>
        <v/>
      </c>
      <c r="J506" s="122" t="str">
        <f>IF(ISNUMBER(deployment_raw[[#This Row],[Column10]]), (MIN(IF(N506&lt;&gt;"",N506,9999999999999)*1.1,deployment_raw[[#This Row],[Column10]] * IF($E$2="Deployment",deployment_raw[[#This Row],[Column5]],1))),"")</f>
        <v/>
      </c>
      <c r="K506" s="123" t="str">
        <f>IF(ISNUMBER(deployment_raw[[#This Row],[Column11]]), (MIN(IF(O506&lt;&gt;"",O506,9999999999999)*1.1,deployment_raw[[#This Row],[Column11]] * IF($E$2="Deployment",deployment_raw[[#This Row],[Column5]],1)/1048576)),"")</f>
        <v/>
      </c>
      <c r="L506" s="124" t="str">
        <f>IF(ISNUMBER(deployment_raw[[#This Row],[Column8]]),IF(OR(deployment_raw[[#This Row],[Column5]] &lt;&gt; 0,$E$2 &lt;&gt; "Deployment"), MAX(J506, P506, R506, ($L$2 * IF($E$2="Deployment",deployment_raw[[#This Row],[Column5]],1)),IF(T506&lt;&gt;"",VALUE(T506) * IF($E$2="Deployment",deployment_raw[[#This Row],[Column5]],1),0)), 0),"")</f>
        <v/>
      </c>
      <c r="M506" s="125" t="str">
        <f>IF(ISNUMBER(deployment_raw[[#This Row],[Column9]]),IF(OR(deployment_raw[[#This Row],[Column5]] &lt;&gt; 0,$E$2&lt;&gt;"Deployment"), MAX(K506, Q506, S506, ($M$2 * IF($E$2="Deployment",deployment_raw[[#This Row],[Column5]],1)),IF(U506&lt;&gt;"",VALUE(U506) * IF($E$2="Deployment",deployment_raw[[#This Row],[Column5]],1),0)), 0),"")</f>
        <v/>
      </c>
      <c r="N506" s="166" t="str">
        <f>IF(ISNUMBER(deployment_raw[[#This Row],[Column14]]), deployment_raw[[#This Row],[Column14]]/IF(OR($E$2="Deployment",deployment_raw[[#This Row],[Column5]]=0),1,deployment_raw[[#This Row],[Column5]]),"")</f>
        <v/>
      </c>
      <c r="O506" s="167" t="str">
        <f>IF(ISNUMBER(deployment_raw[[#This Row],[Column15]]), deployment_raw[[#This Row],[Column15]]/IF(OR($E$2="Deployment",deployment_raw[[#This Row],[Column5]]=0),1,deployment_raw[[#This Row],[Column5]])/1048576,"")</f>
        <v/>
      </c>
      <c r="P506" s="168" t="str">
        <f>IF(ISNUMBER(deployment_raw[[#This Row],[Column12]]), (MIN(IF(N506&lt;&gt;"",N506,9999999999999)*1.1,deployment_raw[[#This Row],[Column12]] * IF($E$2="Deployment",deployment_raw[[#This Row],[Column5]],1))*(1+$P$2)),"")</f>
        <v/>
      </c>
      <c r="Q506" s="167" t="str">
        <f>IF(ISNUMBER(deployment_raw[[#This Row],[Column13]]), (MIN(IF(O506&lt;&gt;"",O506,9999999999999)*1.1,deployment_raw[[#This Row],[Column13]] * IF($E$2="Deployment",deployment_raw[[#This Row],[Column5]],1)*(1+$Q$2)/1048576)),"")</f>
        <v/>
      </c>
      <c r="R506" s="169" t="str">
        <f>IF(ISNUMBER(deployment_raw[[#This Row],[Column8]]), (H506  * IF(N506&lt;&gt;0,$R$2,1)),"")</f>
        <v/>
      </c>
      <c r="S506" s="170" t="str">
        <f>IF(ISNUMBER(deployment_raw[[#This Row],[Column8]]), (I506  * IF(O506&lt;&gt;0,$S$2,1)),"")</f>
        <v/>
      </c>
      <c r="T506" s="202" t="str">
        <f>IF(AND(A506&lt;&gt;"",_xlfn.IFNA(MATCH(A506,'dynamic resource application '!$A$2:$A$100, 0),0)&lt;&gt;0), H506/(IF($E$2="Deployment",E506,1)),"")</f>
        <v/>
      </c>
      <c r="U506" s="211" t="str">
        <f>IF(AND(A506&lt;&gt;"",_xlfn.IFNA(MATCH(A506,'dynamic resource application '!$A$2:$A$100, 0),0)&lt;&gt;0), I506/(IF($E$2="Deployment",E506,1)),"")</f>
        <v/>
      </c>
    </row>
    <row r="507" spans="1:21" ht="15.75" customHeight="1" x14ac:dyDescent="0.25">
      <c r="A507" s="35" t="str">
        <f>IF(ISNONTEXT(deployment_raw[[#This Row],[Column1]]), "", deployment_raw[[#This Row],[Column1]])</f>
        <v/>
      </c>
      <c r="B507" s="36" t="str">
        <f>IF(ISNONTEXT(deployment_raw[[#This Row],[Column2]]), "", deployment_raw[[#This Row],[Column2]])</f>
        <v/>
      </c>
      <c r="C507" s="36" t="str">
        <f>IF(ISNONTEXT(deployment_raw[[#This Row],[Column3]]), "", deployment_raw[[#This Row],[Column3]])</f>
        <v/>
      </c>
      <c r="D507" s="36" t="str">
        <f>IF(ISNONTEXT(deployment_raw[[#This Row],[Column4]]), "", deployment_raw[[#This Row],[Column4]])</f>
        <v/>
      </c>
      <c r="E507" s="37" t="str">
        <f>IF(ISNUMBER(deployment_raw[[#This Row],[Column5]]), deployment_raw[[#This Row],[Column5]],"")</f>
        <v/>
      </c>
      <c r="F507" s="94" t="str">
        <f>IF(ISNUMBER(deployment_raw[[#This Row],[Column6]]), (deployment_raw[[#This Row],[Column6]] * IF($E$2="Deployment",deployment_raw[[#This Row],[Column5]],1)),"")</f>
        <v/>
      </c>
      <c r="G507" s="95" t="str">
        <f>IF(ISNUMBER(deployment_raw[[#This Row],[Column7]]), (deployment_raw[[#This Row],[Column7]] * IF($E$2="Deployment",deployment_raw[[#This Row],[Column5]],1))/1048576,"")</f>
        <v/>
      </c>
      <c r="H507" s="95" t="str">
        <f>IF(ISNUMBER(deployment_raw[[#This Row],[Column8]]), (deployment_raw[[#This Row],[Column8]]  * IF($E$2="Deployment",deployment_raw[[#This Row],[Column5]],1)),"")</f>
        <v/>
      </c>
      <c r="I507" s="96" t="str">
        <f>IF(ISNUMBER(deployment_raw[[#This Row],[Column9]]), (deployment_raw[[#This Row],[Column9]] * IF($E$2="Deployment",deployment_raw[[#This Row],[Column5]],1))/1048576,"")</f>
        <v/>
      </c>
      <c r="J507" s="122" t="str">
        <f>IF(ISNUMBER(deployment_raw[[#This Row],[Column10]]), (MIN(IF(N507&lt;&gt;"",N507,9999999999999)*1.1,deployment_raw[[#This Row],[Column10]] * IF($E$2="Deployment",deployment_raw[[#This Row],[Column5]],1))),"")</f>
        <v/>
      </c>
      <c r="K507" s="123" t="str">
        <f>IF(ISNUMBER(deployment_raw[[#This Row],[Column11]]), (MIN(IF(O507&lt;&gt;"",O507,9999999999999)*1.1,deployment_raw[[#This Row],[Column11]] * IF($E$2="Deployment",deployment_raw[[#This Row],[Column5]],1)/1048576)),"")</f>
        <v/>
      </c>
      <c r="L507" s="124" t="str">
        <f>IF(ISNUMBER(deployment_raw[[#This Row],[Column8]]),IF(OR(deployment_raw[[#This Row],[Column5]] &lt;&gt; 0,$E$2 &lt;&gt; "Deployment"), MAX(J507, P507, R507, ($L$2 * IF($E$2="Deployment",deployment_raw[[#This Row],[Column5]],1)),IF(T507&lt;&gt;"",VALUE(T507) * IF($E$2="Deployment",deployment_raw[[#This Row],[Column5]],1),0)), 0),"")</f>
        <v/>
      </c>
      <c r="M507" s="125" t="str">
        <f>IF(ISNUMBER(deployment_raw[[#This Row],[Column9]]),IF(OR(deployment_raw[[#This Row],[Column5]] &lt;&gt; 0,$E$2&lt;&gt;"Deployment"), MAX(K507, Q507, S507, ($M$2 * IF($E$2="Deployment",deployment_raw[[#This Row],[Column5]],1)),IF(U507&lt;&gt;"",VALUE(U507) * IF($E$2="Deployment",deployment_raw[[#This Row],[Column5]],1),0)), 0),"")</f>
        <v/>
      </c>
      <c r="N507" s="166" t="str">
        <f>IF(ISNUMBER(deployment_raw[[#This Row],[Column14]]), deployment_raw[[#This Row],[Column14]]/IF(OR($E$2="Deployment",deployment_raw[[#This Row],[Column5]]=0),1,deployment_raw[[#This Row],[Column5]]),"")</f>
        <v/>
      </c>
      <c r="O507" s="167" t="str">
        <f>IF(ISNUMBER(deployment_raw[[#This Row],[Column15]]), deployment_raw[[#This Row],[Column15]]/IF(OR($E$2="Deployment",deployment_raw[[#This Row],[Column5]]=0),1,deployment_raw[[#This Row],[Column5]])/1048576,"")</f>
        <v/>
      </c>
      <c r="P507" s="168" t="str">
        <f>IF(ISNUMBER(deployment_raw[[#This Row],[Column12]]), (MIN(IF(N507&lt;&gt;"",N507,9999999999999)*1.1,deployment_raw[[#This Row],[Column12]] * IF($E$2="Deployment",deployment_raw[[#This Row],[Column5]],1))*(1+$P$2)),"")</f>
        <v/>
      </c>
      <c r="Q507" s="167" t="str">
        <f>IF(ISNUMBER(deployment_raw[[#This Row],[Column13]]), (MIN(IF(O507&lt;&gt;"",O507,9999999999999)*1.1,deployment_raw[[#This Row],[Column13]] * IF($E$2="Deployment",deployment_raw[[#This Row],[Column5]],1)*(1+$Q$2)/1048576)),"")</f>
        <v/>
      </c>
      <c r="R507" s="169" t="str">
        <f>IF(ISNUMBER(deployment_raw[[#This Row],[Column8]]), (H507  * IF(N507&lt;&gt;0,$R$2,1)),"")</f>
        <v/>
      </c>
      <c r="S507" s="170" t="str">
        <f>IF(ISNUMBER(deployment_raw[[#This Row],[Column8]]), (I507  * IF(O507&lt;&gt;0,$S$2,1)),"")</f>
        <v/>
      </c>
      <c r="T507" s="202" t="str">
        <f>IF(AND(A507&lt;&gt;"",_xlfn.IFNA(MATCH(A507,'dynamic resource application '!$A$2:$A$100, 0),0)&lt;&gt;0), H507/(IF($E$2="Deployment",E507,1)),"")</f>
        <v/>
      </c>
      <c r="U507" s="211" t="str">
        <f>IF(AND(A507&lt;&gt;"",_xlfn.IFNA(MATCH(A507,'dynamic resource application '!$A$2:$A$100, 0),0)&lt;&gt;0), I507/(IF($E$2="Deployment",E507,1)),"")</f>
        <v/>
      </c>
    </row>
    <row r="508" spans="1:21" ht="15.75" customHeight="1" x14ac:dyDescent="0.25">
      <c r="A508" s="35" t="str">
        <f>IF(ISNONTEXT(deployment_raw[[#This Row],[Column1]]), "", deployment_raw[[#This Row],[Column1]])</f>
        <v/>
      </c>
      <c r="B508" s="36" t="str">
        <f>IF(ISNONTEXT(deployment_raw[[#This Row],[Column2]]), "", deployment_raw[[#This Row],[Column2]])</f>
        <v/>
      </c>
      <c r="C508" s="36" t="str">
        <f>IF(ISNONTEXT(deployment_raw[[#This Row],[Column3]]), "", deployment_raw[[#This Row],[Column3]])</f>
        <v/>
      </c>
      <c r="D508" s="36" t="str">
        <f>IF(ISNONTEXT(deployment_raw[[#This Row],[Column4]]), "", deployment_raw[[#This Row],[Column4]])</f>
        <v/>
      </c>
      <c r="E508" s="37" t="str">
        <f>IF(ISNUMBER(deployment_raw[[#This Row],[Column5]]), deployment_raw[[#This Row],[Column5]],"")</f>
        <v/>
      </c>
      <c r="F508" s="94" t="str">
        <f>IF(ISNUMBER(deployment_raw[[#This Row],[Column6]]), (deployment_raw[[#This Row],[Column6]] * IF($E$2="Deployment",deployment_raw[[#This Row],[Column5]],1)),"")</f>
        <v/>
      </c>
      <c r="G508" s="95" t="str">
        <f>IF(ISNUMBER(deployment_raw[[#This Row],[Column7]]), (deployment_raw[[#This Row],[Column7]] * IF($E$2="Deployment",deployment_raw[[#This Row],[Column5]],1))/1048576,"")</f>
        <v/>
      </c>
      <c r="H508" s="95" t="str">
        <f>IF(ISNUMBER(deployment_raw[[#This Row],[Column8]]), (deployment_raw[[#This Row],[Column8]]  * IF($E$2="Deployment",deployment_raw[[#This Row],[Column5]],1)),"")</f>
        <v/>
      </c>
      <c r="I508" s="96" t="str">
        <f>IF(ISNUMBER(deployment_raw[[#This Row],[Column9]]), (deployment_raw[[#This Row],[Column9]] * IF($E$2="Deployment",deployment_raw[[#This Row],[Column5]],1))/1048576,"")</f>
        <v/>
      </c>
      <c r="J508" s="122" t="str">
        <f>IF(ISNUMBER(deployment_raw[[#This Row],[Column10]]), (MIN(IF(N508&lt;&gt;"",N508,9999999999999)*1.1,deployment_raw[[#This Row],[Column10]] * IF($E$2="Deployment",deployment_raw[[#This Row],[Column5]],1))),"")</f>
        <v/>
      </c>
      <c r="K508" s="123" t="str">
        <f>IF(ISNUMBER(deployment_raw[[#This Row],[Column11]]), (MIN(IF(O508&lt;&gt;"",O508,9999999999999)*1.1,deployment_raw[[#This Row],[Column11]] * IF($E$2="Deployment",deployment_raw[[#This Row],[Column5]],1)/1048576)),"")</f>
        <v/>
      </c>
      <c r="L508" s="124" t="str">
        <f>IF(ISNUMBER(deployment_raw[[#This Row],[Column8]]),IF(OR(deployment_raw[[#This Row],[Column5]] &lt;&gt; 0,$E$2 &lt;&gt; "Deployment"), MAX(J508, P508, R508, ($L$2 * IF($E$2="Deployment",deployment_raw[[#This Row],[Column5]],1)),IF(T508&lt;&gt;"",VALUE(T508) * IF($E$2="Deployment",deployment_raw[[#This Row],[Column5]],1),0)), 0),"")</f>
        <v/>
      </c>
      <c r="M508" s="125" t="str">
        <f>IF(ISNUMBER(deployment_raw[[#This Row],[Column9]]),IF(OR(deployment_raw[[#This Row],[Column5]] &lt;&gt; 0,$E$2&lt;&gt;"Deployment"), MAX(K508, Q508, S508, ($M$2 * IF($E$2="Deployment",deployment_raw[[#This Row],[Column5]],1)),IF(U508&lt;&gt;"",VALUE(U508) * IF($E$2="Deployment",deployment_raw[[#This Row],[Column5]],1),0)), 0),"")</f>
        <v/>
      </c>
      <c r="N508" s="166" t="str">
        <f>IF(ISNUMBER(deployment_raw[[#This Row],[Column14]]), deployment_raw[[#This Row],[Column14]]/IF(OR($E$2="Deployment",deployment_raw[[#This Row],[Column5]]=0),1,deployment_raw[[#This Row],[Column5]]),"")</f>
        <v/>
      </c>
      <c r="O508" s="167" t="str">
        <f>IF(ISNUMBER(deployment_raw[[#This Row],[Column15]]), deployment_raw[[#This Row],[Column15]]/IF(OR($E$2="Deployment",deployment_raw[[#This Row],[Column5]]=0),1,deployment_raw[[#This Row],[Column5]])/1048576,"")</f>
        <v/>
      </c>
      <c r="P508" s="168" t="str">
        <f>IF(ISNUMBER(deployment_raw[[#This Row],[Column12]]), (MIN(IF(N508&lt;&gt;"",N508,9999999999999)*1.1,deployment_raw[[#This Row],[Column12]] * IF($E$2="Deployment",deployment_raw[[#This Row],[Column5]],1))*(1+$P$2)),"")</f>
        <v/>
      </c>
      <c r="Q508" s="167" t="str">
        <f>IF(ISNUMBER(deployment_raw[[#This Row],[Column13]]), (MIN(IF(O508&lt;&gt;"",O508,9999999999999)*1.1,deployment_raw[[#This Row],[Column13]] * IF($E$2="Deployment",deployment_raw[[#This Row],[Column5]],1)*(1+$Q$2)/1048576)),"")</f>
        <v/>
      </c>
      <c r="R508" s="169" t="str">
        <f>IF(ISNUMBER(deployment_raw[[#This Row],[Column8]]), (H508  * IF(N508&lt;&gt;0,$R$2,1)),"")</f>
        <v/>
      </c>
      <c r="S508" s="170" t="str">
        <f>IF(ISNUMBER(deployment_raw[[#This Row],[Column8]]), (I508  * IF(O508&lt;&gt;0,$S$2,1)),"")</f>
        <v/>
      </c>
      <c r="T508" s="202" t="str">
        <f>IF(AND(A508&lt;&gt;"",_xlfn.IFNA(MATCH(A508,'dynamic resource application '!$A$2:$A$100, 0),0)&lt;&gt;0), H508/(IF($E$2="Deployment",E508,1)),"")</f>
        <v/>
      </c>
      <c r="U508" s="211" t="str">
        <f>IF(AND(A508&lt;&gt;"",_xlfn.IFNA(MATCH(A508,'dynamic resource application '!$A$2:$A$100, 0),0)&lt;&gt;0), I508/(IF($E$2="Deployment",E508,1)),"")</f>
        <v/>
      </c>
    </row>
    <row r="509" spans="1:21" ht="15.75" customHeight="1" x14ac:dyDescent="0.25">
      <c r="A509" s="35" t="str">
        <f>IF(ISNONTEXT(deployment_raw[[#This Row],[Column1]]), "", deployment_raw[[#This Row],[Column1]])</f>
        <v/>
      </c>
      <c r="B509" s="36" t="str">
        <f>IF(ISNONTEXT(deployment_raw[[#This Row],[Column2]]), "", deployment_raw[[#This Row],[Column2]])</f>
        <v/>
      </c>
      <c r="C509" s="36" t="str">
        <f>IF(ISNONTEXT(deployment_raw[[#This Row],[Column3]]), "", deployment_raw[[#This Row],[Column3]])</f>
        <v/>
      </c>
      <c r="D509" s="36" t="str">
        <f>IF(ISNONTEXT(deployment_raw[[#This Row],[Column4]]), "", deployment_raw[[#This Row],[Column4]])</f>
        <v/>
      </c>
      <c r="E509" s="37" t="str">
        <f>IF(ISNUMBER(deployment_raw[[#This Row],[Column5]]), deployment_raw[[#This Row],[Column5]],"")</f>
        <v/>
      </c>
      <c r="F509" s="94" t="str">
        <f>IF(ISNUMBER(deployment_raw[[#This Row],[Column6]]), (deployment_raw[[#This Row],[Column6]] * IF($E$2="Deployment",deployment_raw[[#This Row],[Column5]],1)),"")</f>
        <v/>
      </c>
      <c r="G509" s="95" t="str">
        <f>IF(ISNUMBER(deployment_raw[[#This Row],[Column7]]), (deployment_raw[[#This Row],[Column7]] * IF($E$2="Deployment",deployment_raw[[#This Row],[Column5]],1))/1048576,"")</f>
        <v/>
      </c>
      <c r="H509" s="95" t="str">
        <f>IF(ISNUMBER(deployment_raw[[#This Row],[Column8]]), (deployment_raw[[#This Row],[Column8]]  * IF($E$2="Deployment",deployment_raw[[#This Row],[Column5]],1)),"")</f>
        <v/>
      </c>
      <c r="I509" s="96" t="str">
        <f>IF(ISNUMBER(deployment_raw[[#This Row],[Column9]]), (deployment_raw[[#This Row],[Column9]] * IF($E$2="Deployment",deployment_raw[[#This Row],[Column5]],1))/1048576,"")</f>
        <v/>
      </c>
      <c r="J509" s="122" t="str">
        <f>IF(ISNUMBER(deployment_raw[[#This Row],[Column10]]), (MIN(IF(N509&lt;&gt;"",N509,9999999999999)*1.1,deployment_raw[[#This Row],[Column10]] * IF($E$2="Deployment",deployment_raw[[#This Row],[Column5]],1))),"")</f>
        <v/>
      </c>
      <c r="K509" s="123" t="str">
        <f>IF(ISNUMBER(deployment_raw[[#This Row],[Column11]]), (MIN(IF(O509&lt;&gt;"",O509,9999999999999)*1.1,deployment_raw[[#This Row],[Column11]] * IF($E$2="Deployment",deployment_raw[[#This Row],[Column5]],1)/1048576)),"")</f>
        <v/>
      </c>
      <c r="L509" s="124" t="str">
        <f>IF(ISNUMBER(deployment_raw[[#This Row],[Column8]]),IF(OR(deployment_raw[[#This Row],[Column5]] &lt;&gt; 0,$E$2 &lt;&gt; "Deployment"), MAX(J509, P509, R509, ($L$2 * IF($E$2="Deployment",deployment_raw[[#This Row],[Column5]],1)),IF(T509&lt;&gt;"",VALUE(T509) * IF($E$2="Deployment",deployment_raw[[#This Row],[Column5]],1),0)), 0),"")</f>
        <v/>
      </c>
      <c r="M509" s="125" t="str">
        <f>IF(ISNUMBER(deployment_raw[[#This Row],[Column9]]),IF(OR(deployment_raw[[#This Row],[Column5]] &lt;&gt; 0,$E$2&lt;&gt;"Deployment"), MAX(K509, Q509, S509, ($M$2 * IF($E$2="Deployment",deployment_raw[[#This Row],[Column5]],1)),IF(U509&lt;&gt;"",VALUE(U509) * IF($E$2="Deployment",deployment_raw[[#This Row],[Column5]],1),0)), 0),"")</f>
        <v/>
      </c>
      <c r="N509" s="166" t="str">
        <f>IF(ISNUMBER(deployment_raw[[#This Row],[Column14]]), deployment_raw[[#This Row],[Column14]]/IF(OR($E$2="Deployment",deployment_raw[[#This Row],[Column5]]=0),1,deployment_raw[[#This Row],[Column5]]),"")</f>
        <v/>
      </c>
      <c r="O509" s="167" t="str">
        <f>IF(ISNUMBER(deployment_raw[[#This Row],[Column15]]), deployment_raw[[#This Row],[Column15]]/IF(OR($E$2="Deployment",deployment_raw[[#This Row],[Column5]]=0),1,deployment_raw[[#This Row],[Column5]])/1048576,"")</f>
        <v/>
      </c>
      <c r="P509" s="168" t="str">
        <f>IF(ISNUMBER(deployment_raw[[#This Row],[Column12]]), (MIN(IF(N509&lt;&gt;"",N509,9999999999999)*1.1,deployment_raw[[#This Row],[Column12]] * IF($E$2="Deployment",deployment_raw[[#This Row],[Column5]],1))*(1+$P$2)),"")</f>
        <v/>
      </c>
      <c r="Q509" s="167" t="str">
        <f>IF(ISNUMBER(deployment_raw[[#This Row],[Column13]]), (MIN(IF(O509&lt;&gt;"",O509,9999999999999)*1.1,deployment_raw[[#This Row],[Column13]] * IF($E$2="Deployment",deployment_raw[[#This Row],[Column5]],1)*(1+$Q$2)/1048576)),"")</f>
        <v/>
      </c>
      <c r="R509" s="169" t="str">
        <f>IF(ISNUMBER(deployment_raw[[#This Row],[Column8]]), (H509  * IF(N509&lt;&gt;0,$R$2,1)),"")</f>
        <v/>
      </c>
      <c r="S509" s="170" t="str">
        <f>IF(ISNUMBER(deployment_raw[[#This Row],[Column8]]), (I509  * IF(O509&lt;&gt;0,$S$2,1)),"")</f>
        <v/>
      </c>
      <c r="T509" s="202" t="str">
        <f>IF(AND(A509&lt;&gt;"",_xlfn.IFNA(MATCH(A509,'dynamic resource application '!$A$2:$A$100, 0),0)&lt;&gt;0), H509/(IF($E$2="Deployment",E509,1)),"")</f>
        <v/>
      </c>
      <c r="U509" s="211" t="str">
        <f>IF(AND(A509&lt;&gt;"",_xlfn.IFNA(MATCH(A509,'dynamic resource application '!$A$2:$A$100, 0),0)&lt;&gt;0), I509/(IF($E$2="Deployment",E509,1)),"")</f>
        <v/>
      </c>
    </row>
    <row r="510" spans="1:21" ht="15.75" customHeight="1" x14ac:dyDescent="0.25">
      <c r="A510" s="35" t="str">
        <f>IF(ISNONTEXT(deployment_raw[[#This Row],[Column1]]), "", deployment_raw[[#This Row],[Column1]])</f>
        <v/>
      </c>
      <c r="B510" s="36" t="str">
        <f>IF(ISNONTEXT(deployment_raw[[#This Row],[Column2]]), "", deployment_raw[[#This Row],[Column2]])</f>
        <v/>
      </c>
      <c r="C510" s="36" t="str">
        <f>IF(ISNONTEXT(deployment_raw[[#This Row],[Column3]]), "", deployment_raw[[#This Row],[Column3]])</f>
        <v/>
      </c>
      <c r="D510" s="36" t="str">
        <f>IF(ISNONTEXT(deployment_raw[[#This Row],[Column4]]), "", deployment_raw[[#This Row],[Column4]])</f>
        <v/>
      </c>
      <c r="E510" s="37" t="str">
        <f>IF(ISNUMBER(deployment_raw[[#This Row],[Column5]]), deployment_raw[[#This Row],[Column5]],"")</f>
        <v/>
      </c>
      <c r="F510" s="94" t="str">
        <f>IF(ISNUMBER(deployment_raw[[#This Row],[Column6]]), (deployment_raw[[#This Row],[Column6]] * IF($E$2="Deployment",deployment_raw[[#This Row],[Column5]],1)),"")</f>
        <v/>
      </c>
      <c r="G510" s="95" t="str">
        <f>IF(ISNUMBER(deployment_raw[[#This Row],[Column7]]), (deployment_raw[[#This Row],[Column7]] * IF($E$2="Deployment",deployment_raw[[#This Row],[Column5]],1))/1048576,"")</f>
        <v/>
      </c>
      <c r="H510" s="95" t="str">
        <f>IF(ISNUMBER(deployment_raw[[#This Row],[Column8]]), (deployment_raw[[#This Row],[Column8]]  * IF($E$2="Deployment",deployment_raw[[#This Row],[Column5]],1)),"")</f>
        <v/>
      </c>
      <c r="I510" s="96" t="str">
        <f>IF(ISNUMBER(deployment_raw[[#This Row],[Column9]]), (deployment_raw[[#This Row],[Column9]] * IF($E$2="Deployment",deployment_raw[[#This Row],[Column5]],1))/1048576,"")</f>
        <v/>
      </c>
      <c r="J510" s="122" t="str">
        <f>IF(ISNUMBER(deployment_raw[[#This Row],[Column10]]), (MIN(IF(N510&lt;&gt;"",N510,9999999999999)*1.1,deployment_raw[[#This Row],[Column10]] * IF($E$2="Deployment",deployment_raw[[#This Row],[Column5]],1))),"")</f>
        <v/>
      </c>
      <c r="K510" s="123" t="str">
        <f>IF(ISNUMBER(deployment_raw[[#This Row],[Column11]]), (MIN(IF(O510&lt;&gt;"",O510,9999999999999)*1.1,deployment_raw[[#This Row],[Column11]] * IF($E$2="Deployment",deployment_raw[[#This Row],[Column5]],1)/1048576)),"")</f>
        <v/>
      </c>
      <c r="L510" s="124" t="str">
        <f>IF(ISNUMBER(deployment_raw[[#This Row],[Column8]]),IF(OR(deployment_raw[[#This Row],[Column5]] &lt;&gt; 0,$E$2 &lt;&gt; "Deployment"), MAX(J510, P510, R510, ($L$2 * IF($E$2="Deployment",deployment_raw[[#This Row],[Column5]],1)),IF(T510&lt;&gt;"",VALUE(T510) * IF($E$2="Deployment",deployment_raw[[#This Row],[Column5]],1),0)), 0),"")</f>
        <v/>
      </c>
      <c r="M510" s="125" t="str">
        <f>IF(ISNUMBER(deployment_raw[[#This Row],[Column9]]),IF(OR(deployment_raw[[#This Row],[Column5]] &lt;&gt; 0,$E$2&lt;&gt;"Deployment"), MAX(K510, Q510, S510, ($M$2 * IF($E$2="Deployment",deployment_raw[[#This Row],[Column5]],1)),IF(U510&lt;&gt;"",VALUE(U510) * IF($E$2="Deployment",deployment_raw[[#This Row],[Column5]],1),0)), 0),"")</f>
        <v/>
      </c>
      <c r="N510" s="166" t="str">
        <f>IF(ISNUMBER(deployment_raw[[#This Row],[Column14]]), deployment_raw[[#This Row],[Column14]]/IF(OR($E$2="Deployment",deployment_raw[[#This Row],[Column5]]=0),1,deployment_raw[[#This Row],[Column5]]),"")</f>
        <v/>
      </c>
      <c r="O510" s="167" t="str">
        <f>IF(ISNUMBER(deployment_raw[[#This Row],[Column15]]), deployment_raw[[#This Row],[Column15]]/IF(OR($E$2="Deployment",deployment_raw[[#This Row],[Column5]]=0),1,deployment_raw[[#This Row],[Column5]])/1048576,"")</f>
        <v/>
      </c>
      <c r="P510" s="168" t="str">
        <f>IF(ISNUMBER(deployment_raw[[#This Row],[Column12]]), (MIN(IF(N510&lt;&gt;"",N510,9999999999999)*1.1,deployment_raw[[#This Row],[Column12]] * IF($E$2="Deployment",deployment_raw[[#This Row],[Column5]],1))*(1+$P$2)),"")</f>
        <v/>
      </c>
      <c r="Q510" s="167" t="str">
        <f>IF(ISNUMBER(deployment_raw[[#This Row],[Column13]]), (MIN(IF(O510&lt;&gt;"",O510,9999999999999)*1.1,deployment_raw[[#This Row],[Column13]] * IF($E$2="Deployment",deployment_raw[[#This Row],[Column5]],1)*(1+$Q$2)/1048576)),"")</f>
        <v/>
      </c>
      <c r="R510" s="169" t="str">
        <f>IF(ISNUMBER(deployment_raw[[#This Row],[Column8]]), (H510  * IF(N510&lt;&gt;0,$R$2,1)),"")</f>
        <v/>
      </c>
      <c r="S510" s="170" t="str">
        <f>IF(ISNUMBER(deployment_raw[[#This Row],[Column8]]), (I510  * IF(O510&lt;&gt;0,$S$2,1)),"")</f>
        <v/>
      </c>
      <c r="T510" s="202" t="str">
        <f>IF(AND(A510&lt;&gt;"",_xlfn.IFNA(MATCH(A510,'dynamic resource application '!$A$2:$A$100, 0),0)&lt;&gt;0), H510/(IF($E$2="Deployment",E510,1)),"")</f>
        <v/>
      </c>
      <c r="U510" s="211" t="str">
        <f>IF(AND(A510&lt;&gt;"",_xlfn.IFNA(MATCH(A510,'dynamic resource application '!$A$2:$A$100, 0),0)&lt;&gt;0), I510/(IF($E$2="Deployment",E510,1)),"")</f>
        <v/>
      </c>
    </row>
    <row r="511" spans="1:21" ht="15.75" customHeight="1" x14ac:dyDescent="0.25">
      <c r="A511" s="35" t="str">
        <f>IF(ISNONTEXT(deployment_raw[[#This Row],[Column1]]), "", deployment_raw[[#This Row],[Column1]])</f>
        <v/>
      </c>
      <c r="B511" s="36" t="str">
        <f>IF(ISNONTEXT(deployment_raw[[#This Row],[Column2]]), "", deployment_raw[[#This Row],[Column2]])</f>
        <v/>
      </c>
      <c r="C511" s="36" t="str">
        <f>IF(ISNONTEXT(deployment_raw[[#This Row],[Column3]]), "", deployment_raw[[#This Row],[Column3]])</f>
        <v/>
      </c>
      <c r="D511" s="36" t="str">
        <f>IF(ISNONTEXT(deployment_raw[[#This Row],[Column4]]), "", deployment_raw[[#This Row],[Column4]])</f>
        <v/>
      </c>
      <c r="E511" s="37" t="str">
        <f>IF(ISNUMBER(deployment_raw[[#This Row],[Column5]]), deployment_raw[[#This Row],[Column5]],"")</f>
        <v/>
      </c>
      <c r="F511" s="94" t="str">
        <f>IF(ISNUMBER(deployment_raw[[#This Row],[Column6]]), (deployment_raw[[#This Row],[Column6]] * IF($E$2="Deployment",deployment_raw[[#This Row],[Column5]],1)),"")</f>
        <v/>
      </c>
      <c r="G511" s="95" t="str">
        <f>IF(ISNUMBER(deployment_raw[[#This Row],[Column7]]), (deployment_raw[[#This Row],[Column7]] * IF($E$2="Deployment",deployment_raw[[#This Row],[Column5]],1))/1048576,"")</f>
        <v/>
      </c>
      <c r="H511" s="95" t="str">
        <f>IF(ISNUMBER(deployment_raw[[#This Row],[Column8]]), (deployment_raw[[#This Row],[Column8]]  * IF($E$2="Deployment",deployment_raw[[#This Row],[Column5]],1)),"")</f>
        <v/>
      </c>
      <c r="I511" s="96" t="str">
        <f>IF(ISNUMBER(deployment_raw[[#This Row],[Column9]]), (deployment_raw[[#This Row],[Column9]] * IF($E$2="Deployment",deployment_raw[[#This Row],[Column5]],1))/1048576,"")</f>
        <v/>
      </c>
      <c r="J511" s="122" t="str">
        <f>IF(ISNUMBER(deployment_raw[[#This Row],[Column10]]), (MIN(IF(N511&lt;&gt;"",N511,9999999999999)*1.1,deployment_raw[[#This Row],[Column10]] * IF($E$2="Deployment",deployment_raw[[#This Row],[Column5]],1))),"")</f>
        <v/>
      </c>
      <c r="K511" s="123" t="str">
        <f>IF(ISNUMBER(deployment_raw[[#This Row],[Column11]]), (MIN(IF(O511&lt;&gt;"",O511,9999999999999)*1.1,deployment_raw[[#This Row],[Column11]] * IF($E$2="Deployment",deployment_raw[[#This Row],[Column5]],1)/1048576)),"")</f>
        <v/>
      </c>
      <c r="L511" s="124" t="str">
        <f>IF(ISNUMBER(deployment_raw[[#This Row],[Column8]]),IF(OR(deployment_raw[[#This Row],[Column5]] &lt;&gt; 0,$E$2 &lt;&gt; "Deployment"), MAX(J511, P511, R511, ($L$2 * IF($E$2="Deployment",deployment_raw[[#This Row],[Column5]],1)),IF(T511&lt;&gt;"",VALUE(T511) * IF($E$2="Deployment",deployment_raw[[#This Row],[Column5]],1),0)), 0),"")</f>
        <v/>
      </c>
      <c r="M511" s="125" t="str">
        <f>IF(ISNUMBER(deployment_raw[[#This Row],[Column9]]),IF(OR(deployment_raw[[#This Row],[Column5]] &lt;&gt; 0,$E$2&lt;&gt;"Deployment"), MAX(K511, Q511, S511, ($M$2 * IF($E$2="Deployment",deployment_raw[[#This Row],[Column5]],1)),IF(U511&lt;&gt;"",VALUE(U511) * IF($E$2="Deployment",deployment_raw[[#This Row],[Column5]],1),0)), 0),"")</f>
        <v/>
      </c>
      <c r="N511" s="166" t="str">
        <f>IF(ISNUMBER(deployment_raw[[#This Row],[Column14]]), deployment_raw[[#This Row],[Column14]]/IF(OR($E$2="Deployment",deployment_raw[[#This Row],[Column5]]=0),1,deployment_raw[[#This Row],[Column5]]),"")</f>
        <v/>
      </c>
      <c r="O511" s="167" t="str">
        <f>IF(ISNUMBER(deployment_raw[[#This Row],[Column15]]), deployment_raw[[#This Row],[Column15]]/IF(OR($E$2="Deployment",deployment_raw[[#This Row],[Column5]]=0),1,deployment_raw[[#This Row],[Column5]])/1048576,"")</f>
        <v/>
      </c>
      <c r="P511" s="168" t="str">
        <f>IF(ISNUMBER(deployment_raw[[#This Row],[Column12]]), (MIN(IF(N511&lt;&gt;"",N511,9999999999999)*1.1,deployment_raw[[#This Row],[Column12]] * IF($E$2="Deployment",deployment_raw[[#This Row],[Column5]],1))*(1+$P$2)),"")</f>
        <v/>
      </c>
      <c r="Q511" s="167" t="str">
        <f>IF(ISNUMBER(deployment_raw[[#This Row],[Column13]]), (MIN(IF(O511&lt;&gt;"",O511,9999999999999)*1.1,deployment_raw[[#This Row],[Column13]] * IF($E$2="Deployment",deployment_raw[[#This Row],[Column5]],1)*(1+$Q$2)/1048576)),"")</f>
        <v/>
      </c>
      <c r="R511" s="169" t="str">
        <f>IF(ISNUMBER(deployment_raw[[#This Row],[Column8]]), (H511  * IF(N511&lt;&gt;0,$R$2,1)),"")</f>
        <v/>
      </c>
      <c r="S511" s="170" t="str">
        <f>IF(ISNUMBER(deployment_raw[[#This Row],[Column8]]), (I511  * IF(O511&lt;&gt;0,$S$2,1)),"")</f>
        <v/>
      </c>
      <c r="T511" s="202" t="str">
        <f>IF(AND(A511&lt;&gt;"",_xlfn.IFNA(MATCH(A511,'dynamic resource application '!$A$2:$A$100, 0),0)&lt;&gt;0), H511/(IF($E$2="Deployment",E511,1)),"")</f>
        <v/>
      </c>
      <c r="U511" s="211" t="str">
        <f>IF(AND(A511&lt;&gt;"",_xlfn.IFNA(MATCH(A511,'dynamic resource application '!$A$2:$A$100, 0),0)&lt;&gt;0), I511/(IF($E$2="Deployment",E511,1)),"")</f>
        <v/>
      </c>
    </row>
    <row r="512" spans="1:21" ht="15.75" customHeight="1" x14ac:dyDescent="0.25">
      <c r="A512" s="35" t="str">
        <f>IF(ISNONTEXT(deployment_raw[[#This Row],[Column1]]), "", deployment_raw[[#This Row],[Column1]])</f>
        <v/>
      </c>
      <c r="B512" s="36" t="str">
        <f>IF(ISNONTEXT(deployment_raw[[#This Row],[Column2]]), "", deployment_raw[[#This Row],[Column2]])</f>
        <v/>
      </c>
      <c r="C512" s="36" t="str">
        <f>IF(ISNONTEXT(deployment_raw[[#This Row],[Column3]]), "", deployment_raw[[#This Row],[Column3]])</f>
        <v/>
      </c>
      <c r="D512" s="36" t="str">
        <f>IF(ISNONTEXT(deployment_raw[[#This Row],[Column4]]), "", deployment_raw[[#This Row],[Column4]])</f>
        <v/>
      </c>
      <c r="E512" s="37" t="str">
        <f>IF(ISNUMBER(deployment_raw[[#This Row],[Column5]]), deployment_raw[[#This Row],[Column5]],"")</f>
        <v/>
      </c>
      <c r="F512" s="94" t="str">
        <f>IF(ISNUMBER(deployment_raw[[#This Row],[Column6]]), (deployment_raw[[#This Row],[Column6]] * IF($E$2="Deployment",deployment_raw[[#This Row],[Column5]],1)),"")</f>
        <v/>
      </c>
      <c r="G512" s="95" t="str">
        <f>IF(ISNUMBER(deployment_raw[[#This Row],[Column7]]), (deployment_raw[[#This Row],[Column7]] * IF($E$2="Deployment",deployment_raw[[#This Row],[Column5]],1))/1048576,"")</f>
        <v/>
      </c>
      <c r="H512" s="95" t="str">
        <f>IF(ISNUMBER(deployment_raw[[#This Row],[Column8]]), (deployment_raw[[#This Row],[Column8]]  * IF($E$2="Deployment",deployment_raw[[#This Row],[Column5]],1)),"")</f>
        <v/>
      </c>
      <c r="I512" s="96" t="str">
        <f>IF(ISNUMBER(deployment_raw[[#This Row],[Column9]]), (deployment_raw[[#This Row],[Column9]] * IF($E$2="Deployment",deployment_raw[[#This Row],[Column5]],1))/1048576,"")</f>
        <v/>
      </c>
      <c r="J512" s="122" t="str">
        <f>IF(ISNUMBER(deployment_raw[[#This Row],[Column10]]), (MIN(IF(N512&lt;&gt;"",N512,9999999999999)*1.1,deployment_raw[[#This Row],[Column10]] * IF($E$2="Deployment",deployment_raw[[#This Row],[Column5]],1))),"")</f>
        <v/>
      </c>
      <c r="K512" s="123" t="str">
        <f>IF(ISNUMBER(deployment_raw[[#This Row],[Column11]]), (MIN(IF(O512&lt;&gt;"",O512,9999999999999)*1.1,deployment_raw[[#This Row],[Column11]] * IF($E$2="Deployment",deployment_raw[[#This Row],[Column5]],1)/1048576)),"")</f>
        <v/>
      </c>
      <c r="L512" s="124" t="str">
        <f>IF(ISNUMBER(deployment_raw[[#This Row],[Column8]]),IF(OR(deployment_raw[[#This Row],[Column5]] &lt;&gt; 0,$E$2 &lt;&gt; "Deployment"), MAX(J512, P512, R512, ($L$2 * IF($E$2="Deployment",deployment_raw[[#This Row],[Column5]],1)),IF(T512&lt;&gt;"",VALUE(T512) * IF($E$2="Deployment",deployment_raw[[#This Row],[Column5]],1),0)), 0),"")</f>
        <v/>
      </c>
      <c r="M512" s="125" t="str">
        <f>IF(ISNUMBER(deployment_raw[[#This Row],[Column9]]),IF(OR(deployment_raw[[#This Row],[Column5]] &lt;&gt; 0,$E$2&lt;&gt;"Deployment"), MAX(K512, Q512, S512, ($M$2 * IF($E$2="Deployment",deployment_raw[[#This Row],[Column5]],1)),IF(U512&lt;&gt;"",VALUE(U512) * IF($E$2="Deployment",deployment_raw[[#This Row],[Column5]],1),0)), 0),"")</f>
        <v/>
      </c>
      <c r="N512" s="166" t="str">
        <f>IF(ISNUMBER(deployment_raw[[#This Row],[Column14]]), deployment_raw[[#This Row],[Column14]]/IF(OR($E$2="Deployment",deployment_raw[[#This Row],[Column5]]=0),1,deployment_raw[[#This Row],[Column5]]),"")</f>
        <v/>
      </c>
      <c r="O512" s="167" t="str">
        <f>IF(ISNUMBER(deployment_raw[[#This Row],[Column15]]), deployment_raw[[#This Row],[Column15]]/IF(OR($E$2="Deployment",deployment_raw[[#This Row],[Column5]]=0),1,deployment_raw[[#This Row],[Column5]])/1048576,"")</f>
        <v/>
      </c>
      <c r="P512" s="168" t="str">
        <f>IF(ISNUMBER(deployment_raw[[#This Row],[Column12]]), (MIN(IF(N512&lt;&gt;"",N512,9999999999999)*1.1,deployment_raw[[#This Row],[Column12]] * IF($E$2="Deployment",deployment_raw[[#This Row],[Column5]],1))*(1+$P$2)),"")</f>
        <v/>
      </c>
      <c r="Q512" s="167" t="str">
        <f>IF(ISNUMBER(deployment_raw[[#This Row],[Column13]]), (MIN(IF(O512&lt;&gt;"",O512,9999999999999)*1.1,deployment_raw[[#This Row],[Column13]] * IF($E$2="Deployment",deployment_raw[[#This Row],[Column5]],1)*(1+$Q$2)/1048576)),"")</f>
        <v/>
      </c>
      <c r="R512" s="169" t="str">
        <f>IF(ISNUMBER(deployment_raw[[#This Row],[Column8]]), (H512  * IF(N512&lt;&gt;0,$R$2,1)),"")</f>
        <v/>
      </c>
      <c r="S512" s="170" t="str">
        <f>IF(ISNUMBER(deployment_raw[[#This Row],[Column8]]), (I512  * IF(O512&lt;&gt;0,$S$2,1)),"")</f>
        <v/>
      </c>
      <c r="T512" s="202" t="str">
        <f>IF(AND(A512&lt;&gt;"",_xlfn.IFNA(MATCH(A512,'dynamic resource application '!$A$2:$A$100, 0),0)&lt;&gt;0), H512/(IF($E$2="Deployment",E512,1)),"")</f>
        <v/>
      </c>
      <c r="U512" s="211" t="str">
        <f>IF(AND(A512&lt;&gt;"",_xlfn.IFNA(MATCH(A512,'dynamic resource application '!$A$2:$A$100, 0),0)&lt;&gt;0), I512/(IF($E$2="Deployment",E512,1)),"")</f>
        <v/>
      </c>
    </row>
    <row r="513" spans="1:21" ht="15.75" customHeight="1" x14ac:dyDescent="0.25">
      <c r="A513" s="35" t="str">
        <f>IF(ISNONTEXT(deployment_raw[[#This Row],[Column1]]), "", deployment_raw[[#This Row],[Column1]])</f>
        <v/>
      </c>
      <c r="B513" s="36" t="str">
        <f>IF(ISNONTEXT(deployment_raw[[#This Row],[Column2]]), "", deployment_raw[[#This Row],[Column2]])</f>
        <v/>
      </c>
      <c r="C513" s="36" t="str">
        <f>IF(ISNONTEXT(deployment_raw[[#This Row],[Column3]]), "", deployment_raw[[#This Row],[Column3]])</f>
        <v/>
      </c>
      <c r="D513" s="36" t="str">
        <f>IF(ISNONTEXT(deployment_raw[[#This Row],[Column4]]), "", deployment_raw[[#This Row],[Column4]])</f>
        <v/>
      </c>
      <c r="E513" s="37" t="str">
        <f>IF(ISNUMBER(deployment_raw[[#This Row],[Column5]]), deployment_raw[[#This Row],[Column5]],"")</f>
        <v/>
      </c>
      <c r="F513" s="94" t="str">
        <f>IF(ISNUMBER(deployment_raw[[#This Row],[Column6]]), (deployment_raw[[#This Row],[Column6]] * IF($E$2="Deployment",deployment_raw[[#This Row],[Column5]],1)),"")</f>
        <v/>
      </c>
      <c r="G513" s="95" t="str">
        <f>IF(ISNUMBER(deployment_raw[[#This Row],[Column7]]), (deployment_raw[[#This Row],[Column7]] * IF($E$2="Deployment",deployment_raw[[#This Row],[Column5]],1))/1048576,"")</f>
        <v/>
      </c>
      <c r="H513" s="95" t="str">
        <f>IF(ISNUMBER(deployment_raw[[#This Row],[Column8]]), (deployment_raw[[#This Row],[Column8]]  * IF($E$2="Deployment",deployment_raw[[#This Row],[Column5]],1)),"")</f>
        <v/>
      </c>
      <c r="I513" s="96" t="str">
        <f>IF(ISNUMBER(deployment_raw[[#This Row],[Column9]]), (deployment_raw[[#This Row],[Column9]] * IF($E$2="Deployment",deployment_raw[[#This Row],[Column5]],1))/1048576,"")</f>
        <v/>
      </c>
      <c r="J513" s="122" t="str">
        <f>IF(ISNUMBER(deployment_raw[[#This Row],[Column10]]), (MIN(IF(N513&lt;&gt;"",N513,9999999999999)*1.1,deployment_raw[[#This Row],[Column10]] * IF($E$2="Deployment",deployment_raw[[#This Row],[Column5]],1))),"")</f>
        <v/>
      </c>
      <c r="K513" s="123" t="str">
        <f>IF(ISNUMBER(deployment_raw[[#This Row],[Column11]]), (MIN(IF(O513&lt;&gt;"",O513,9999999999999)*1.1,deployment_raw[[#This Row],[Column11]] * IF($E$2="Deployment",deployment_raw[[#This Row],[Column5]],1)/1048576)),"")</f>
        <v/>
      </c>
      <c r="L513" s="124" t="str">
        <f>IF(ISNUMBER(deployment_raw[[#This Row],[Column8]]),IF(OR(deployment_raw[[#This Row],[Column5]] &lt;&gt; 0,$E$2 &lt;&gt; "Deployment"), MAX(J513, P513, R513, ($L$2 * IF($E$2="Deployment",deployment_raw[[#This Row],[Column5]],1)),IF(T513&lt;&gt;"",VALUE(T513) * IF($E$2="Deployment",deployment_raw[[#This Row],[Column5]],1),0)), 0),"")</f>
        <v/>
      </c>
      <c r="M513" s="125" t="str">
        <f>IF(ISNUMBER(deployment_raw[[#This Row],[Column9]]),IF(OR(deployment_raw[[#This Row],[Column5]] &lt;&gt; 0,$E$2&lt;&gt;"Deployment"), MAX(K513, Q513, S513, ($M$2 * IF($E$2="Deployment",deployment_raw[[#This Row],[Column5]],1)),IF(U513&lt;&gt;"",VALUE(U513) * IF($E$2="Deployment",deployment_raw[[#This Row],[Column5]],1),0)), 0),"")</f>
        <v/>
      </c>
      <c r="N513" s="166" t="str">
        <f>IF(ISNUMBER(deployment_raw[[#This Row],[Column14]]), deployment_raw[[#This Row],[Column14]]/IF(OR($E$2="Deployment",deployment_raw[[#This Row],[Column5]]=0),1,deployment_raw[[#This Row],[Column5]]),"")</f>
        <v/>
      </c>
      <c r="O513" s="167" t="str">
        <f>IF(ISNUMBER(deployment_raw[[#This Row],[Column15]]), deployment_raw[[#This Row],[Column15]]/IF(OR($E$2="Deployment",deployment_raw[[#This Row],[Column5]]=0),1,deployment_raw[[#This Row],[Column5]])/1048576,"")</f>
        <v/>
      </c>
      <c r="P513" s="168" t="str">
        <f>IF(ISNUMBER(deployment_raw[[#This Row],[Column12]]), (MIN(IF(N513&lt;&gt;"",N513,9999999999999)*1.1,deployment_raw[[#This Row],[Column12]] * IF($E$2="Deployment",deployment_raw[[#This Row],[Column5]],1))*(1+$P$2)),"")</f>
        <v/>
      </c>
      <c r="Q513" s="167" t="str">
        <f>IF(ISNUMBER(deployment_raw[[#This Row],[Column13]]), (MIN(IF(O513&lt;&gt;"",O513,9999999999999)*1.1,deployment_raw[[#This Row],[Column13]] * IF($E$2="Deployment",deployment_raw[[#This Row],[Column5]],1)*(1+$Q$2)/1048576)),"")</f>
        <v/>
      </c>
      <c r="R513" s="169" t="str">
        <f>IF(ISNUMBER(deployment_raw[[#This Row],[Column8]]), (H513  * IF(N513&lt;&gt;0,$R$2,1)),"")</f>
        <v/>
      </c>
      <c r="S513" s="170" t="str">
        <f>IF(ISNUMBER(deployment_raw[[#This Row],[Column8]]), (I513  * IF(O513&lt;&gt;0,$S$2,1)),"")</f>
        <v/>
      </c>
      <c r="T513" s="202" t="str">
        <f>IF(AND(A513&lt;&gt;"",_xlfn.IFNA(MATCH(A513,'dynamic resource application '!$A$2:$A$100, 0),0)&lt;&gt;0), H513/(IF($E$2="Deployment",E513,1)),"")</f>
        <v/>
      </c>
      <c r="U513" s="211" t="str">
        <f>IF(AND(A513&lt;&gt;"",_xlfn.IFNA(MATCH(A513,'dynamic resource application '!$A$2:$A$100, 0),0)&lt;&gt;0), I513/(IF($E$2="Deployment",E513,1)),"")</f>
        <v/>
      </c>
    </row>
    <row r="514" spans="1:21" ht="15.75" customHeight="1" x14ac:dyDescent="0.25">
      <c r="A514" s="35" t="str">
        <f>IF(ISNONTEXT(deployment_raw[[#This Row],[Column1]]), "", deployment_raw[[#This Row],[Column1]])</f>
        <v/>
      </c>
      <c r="B514" s="36" t="str">
        <f>IF(ISNONTEXT(deployment_raw[[#This Row],[Column2]]), "", deployment_raw[[#This Row],[Column2]])</f>
        <v/>
      </c>
      <c r="C514" s="36" t="str">
        <f>IF(ISNONTEXT(deployment_raw[[#This Row],[Column3]]), "", deployment_raw[[#This Row],[Column3]])</f>
        <v/>
      </c>
      <c r="D514" s="36" t="str">
        <f>IF(ISNONTEXT(deployment_raw[[#This Row],[Column4]]), "", deployment_raw[[#This Row],[Column4]])</f>
        <v/>
      </c>
      <c r="E514" s="37" t="str">
        <f>IF(ISNUMBER(deployment_raw[[#This Row],[Column5]]), deployment_raw[[#This Row],[Column5]],"")</f>
        <v/>
      </c>
      <c r="F514" s="94" t="str">
        <f>IF(ISNUMBER(deployment_raw[[#This Row],[Column6]]), (deployment_raw[[#This Row],[Column6]] * IF($E$2="Deployment",deployment_raw[[#This Row],[Column5]],1)),"")</f>
        <v/>
      </c>
      <c r="G514" s="95" t="str">
        <f>IF(ISNUMBER(deployment_raw[[#This Row],[Column7]]), (deployment_raw[[#This Row],[Column7]] * IF($E$2="Deployment",deployment_raw[[#This Row],[Column5]],1))/1048576,"")</f>
        <v/>
      </c>
      <c r="H514" s="95" t="str">
        <f>IF(ISNUMBER(deployment_raw[[#This Row],[Column8]]), (deployment_raw[[#This Row],[Column8]]  * IF($E$2="Deployment",deployment_raw[[#This Row],[Column5]],1)),"")</f>
        <v/>
      </c>
      <c r="I514" s="96" t="str">
        <f>IF(ISNUMBER(deployment_raw[[#This Row],[Column9]]), (deployment_raw[[#This Row],[Column9]] * IF($E$2="Deployment",deployment_raw[[#This Row],[Column5]],1))/1048576,"")</f>
        <v/>
      </c>
      <c r="J514" s="122" t="str">
        <f>IF(ISNUMBER(deployment_raw[[#This Row],[Column10]]), (MIN(IF(N514&lt;&gt;"",N514,9999999999999)*1.1,deployment_raw[[#This Row],[Column10]] * IF($E$2="Deployment",deployment_raw[[#This Row],[Column5]],1))),"")</f>
        <v/>
      </c>
      <c r="K514" s="123" t="str">
        <f>IF(ISNUMBER(deployment_raw[[#This Row],[Column11]]), (MIN(IF(O514&lt;&gt;"",O514,9999999999999)*1.1,deployment_raw[[#This Row],[Column11]] * IF($E$2="Deployment",deployment_raw[[#This Row],[Column5]],1)/1048576)),"")</f>
        <v/>
      </c>
      <c r="L514" s="124" t="str">
        <f>IF(ISNUMBER(deployment_raw[[#This Row],[Column8]]),IF(OR(deployment_raw[[#This Row],[Column5]] &lt;&gt; 0,$E$2 &lt;&gt; "Deployment"), MAX(J514, P514, R514, ($L$2 * IF($E$2="Deployment",deployment_raw[[#This Row],[Column5]],1)),IF(T514&lt;&gt;"",VALUE(T514) * IF($E$2="Deployment",deployment_raw[[#This Row],[Column5]],1),0)), 0),"")</f>
        <v/>
      </c>
      <c r="M514" s="125" t="str">
        <f>IF(ISNUMBER(deployment_raw[[#This Row],[Column9]]),IF(OR(deployment_raw[[#This Row],[Column5]] &lt;&gt; 0,$E$2&lt;&gt;"Deployment"), MAX(K514, Q514, S514, ($M$2 * IF($E$2="Deployment",deployment_raw[[#This Row],[Column5]],1)),IF(U514&lt;&gt;"",VALUE(U514) * IF($E$2="Deployment",deployment_raw[[#This Row],[Column5]],1),0)), 0),"")</f>
        <v/>
      </c>
      <c r="N514" s="166" t="str">
        <f>IF(ISNUMBER(deployment_raw[[#This Row],[Column14]]), deployment_raw[[#This Row],[Column14]]/IF(OR($E$2="Deployment",deployment_raw[[#This Row],[Column5]]=0),1,deployment_raw[[#This Row],[Column5]]),"")</f>
        <v/>
      </c>
      <c r="O514" s="167" t="str">
        <f>IF(ISNUMBER(deployment_raw[[#This Row],[Column15]]), deployment_raw[[#This Row],[Column15]]/IF(OR($E$2="Deployment",deployment_raw[[#This Row],[Column5]]=0),1,deployment_raw[[#This Row],[Column5]])/1048576,"")</f>
        <v/>
      </c>
      <c r="P514" s="168" t="str">
        <f>IF(ISNUMBER(deployment_raw[[#This Row],[Column12]]), (MIN(IF(N514&lt;&gt;"",N514,9999999999999)*1.1,deployment_raw[[#This Row],[Column12]] * IF($E$2="Deployment",deployment_raw[[#This Row],[Column5]],1))*(1+$P$2)),"")</f>
        <v/>
      </c>
      <c r="Q514" s="167" t="str">
        <f>IF(ISNUMBER(deployment_raw[[#This Row],[Column13]]), (MIN(IF(O514&lt;&gt;"",O514,9999999999999)*1.1,deployment_raw[[#This Row],[Column13]] * IF($E$2="Deployment",deployment_raw[[#This Row],[Column5]],1)*(1+$Q$2)/1048576)),"")</f>
        <v/>
      </c>
      <c r="R514" s="169" t="str">
        <f>IF(ISNUMBER(deployment_raw[[#This Row],[Column8]]), (H514  * IF(N514&lt;&gt;0,$R$2,1)),"")</f>
        <v/>
      </c>
      <c r="S514" s="170" t="str">
        <f>IF(ISNUMBER(deployment_raw[[#This Row],[Column8]]), (I514  * IF(O514&lt;&gt;0,$S$2,1)),"")</f>
        <v/>
      </c>
      <c r="T514" s="202" t="str">
        <f>IF(AND(A514&lt;&gt;"",_xlfn.IFNA(MATCH(A514,'dynamic resource application '!$A$2:$A$100, 0),0)&lt;&gt;0), H514/(IF($E$2="Deployment",E514,1)),"")</f>
        <v/>
      </c>
      <c r="U514" s="211" t="str">
        <f>IF(AND(A514&lt;&gt;"",_xlfn.IFNA(MATCH(A514,'dynamic resource application '!$A$2:$A$100, 0),0)&lt;&gt;0), I514/(IF($E$2="Deployment",E514,1)),"")</f>
        <v/>
      </c>
    </row>
    <row r="515" spans="1:21" ht="15.75" customHeight="1" x14ac:dyDescent="0.25">
      <c r="A515" s="35" t="str">
        <f>IF(ISNONTEXT(deployment_raw[[#This Row],[Column1]]), "", deployment_raw[[#This Row],[Column1]])</f>
        <v/>
      </c>
      <c r="B515" s="36" t="str">
        <f>IF(ISNONTEXT(deployment_raw[[#This Row],[Column2]]), "", deployment_raw[[#This Row],[Column2]])</f>
        <v/>
      </c>
      <c r="C515" s="36" t="str">
        <f>IF(ISNONTEXT(deployment_raw[[#This Row],[Column3]]), "", deployment_raw[[#This Row],[Column3]])</f>
        <v/>
      </c>
      <c r="D515" s="36" t="str">
        <f>IF(ISNONTEXT(deployment_raw[[#This Row],[Column4]]), "", deployment_raw[[#This Row],[Column4]])</f>
        <v/>
      </c>
      <c r="E515" s="37" t="str">
        <f>IF(ISNUMBER(deployment_raw[[#This Row],[Column5]]), deployment_raw[[#This Row],[Column5]],"")</f>
        <v/>
      </c>
      <c r="F515" s="94" t="str">
        <f>IF(ISNUMBER(deployment_raw[[#This Row],[Column6]]), (deployment_raw[[#This Row],[Column6]] * IF($E$2="Deployment",deployment_raw[[#This Row],[Column5]],1)),"")</f>
        <v/>
      </c>
      <c r="G515" s="95" t="str">
        <f>IF(ISNUMBER(deployment_raw[[#This Row],[Column7]]), (deployment_raw[[#This Row],[Column7]] * IF($E$2="Deployment",deployment_raw[[#This Row],[Column5]],1))/1048576,"")</f>
        <v/>
      </c>
      <c r="H515" s="95" t="str">
        <f>IF(ISNUMBER(deployment_raw[[#This Row],[Column8]]), (deployment_raw[[#This Row],[Column8]]  * IF($E$2="Deployment",deployment_raw[[#This Row],[Column5]],1)),"")</f>
        <v/>
      </c>
      <c r="I515" s="96" t="str">
        <f>IF(ISNUMBER(deployment_raw[[#This Row],[Column9]]), (deployment_raw[[#This Row],[Column9]] * IF($E$2="Deployment",deployment_raw[[#This Row],[Column5]],1))/1048576,"")</f>
        <v/>
      </c>
      <c r="J515" s="122" t="str">
        <f>IF(ISNUMBER(deployment_raw[[#This Row],[Column10]]), (MIN(IF(N515&lt;&gt;"",N515,9999999999999)*1.1,deployment_raw[[#This Row],[Column10]] * IF($E$2="Deployment",deployment_raw[[#This Row],[Column5]],1))),"")</f>
        <v/>
      </c>
      <c r="K515" s="123" t="str">
        <f>IF(ISNUMBER(deployment_raw[[#This Row],[Column11]]), (MIN(IF(O515&lt;&gt;"",O515,9999999999999)*1.1,deployment_raw[[#This Row],[Column11]] * IF($E$2="Deployment",deployment_raw[[#This Row],[Column5]],1)/1048576)),"")</f>
        <v/>
      </c>
      <c r="L515" s="124" t="str">
        <f>IF(ISNUMBER(deployment_raw[[#This Row],[Column8]]),IF(OR(deployment_raw[[#This Row],[Column5]] &lt;&gt; 0,$E$2 &lt;&gt; "Deployment"), MAX(J515, P515, R515, ($L$2 * IF($E$2="Deployment",deployment_raw[[#This Row],[Column5]],1)),IF(T515&lt;&gt;"",VALUE(T515) * IF($E$2="Deployment",deployment_raw[[#This Row],[Column5]],1),0)), 0),"")</f>
        <v/>
      </c>
      <c r="M515" s="125" t="str">
        <f>IF(ISNUMBER(deployment_raw[[#This Row],[Column9]]),IF(OR(deployment_raw[[#This Row],[Column5]] &lt;&gt; 0,$E$2&lt;&gt;"Deployment"), MAX(K515, Q515, S515, ($M$2 * IF($E$2="Deployment",deployment_raw[[#This Row],[Column5]],1)),IF(U515&lt;&gt;"",VALUE(U515) * IF($E$2="Deployment",deployment_raw[[#This Row],[Column5]],1),0)), 0),"")</f>
        <v/>
      </c>
      <c r="N515" s="166" t="str">
        <f>IF(ISNUMBER(deployment_raw[[#This Row],[Column14]]), deployment_raw[[#This Row],[Column14]]/IF(OR($E$2="Deployment",deployment_raw[[#This Row],[Column5]]=0),1,deployment_raw[[#This Row],[Column5]]),"")</f>
        <v/>
      </c>
      <c r="O515" s="167" t="str">
        <f>IF(ISNUMBER(deployment_raw[[#This Row],[Column15]]), deployment_raw[[#This Row],[Column15]]/IF(OR($E$2="Deployment",deployment_raw[[#This Row],[Column5]]=0),1,deployment_raw[[#This Row],[Column5]])/1048576,"")</f>
        <v/>
      </c>
      <c r="P515" s="168" t="str">
        <f>IF(ISNUMBER(deployment_raw[[#This Row],[Column12]]), (MIN(IF(N515&lt;&gt;"",N515,9999999999999)*1.1,deployment_raw[[#This Row],[Column12]] * IF($E$2="Deployment",deployment_raw[[#This Row],[Column5]],1))*(1+$P$2)),"")</f>
        <v/>
      </c>
      <c r="Q515" s="167" t="str">
        <f>IF(ISNUMBER(deployment_raw[[#This Row],[Column13]]), (MIN(IF(O515&lt;&gt;"",O515,9999999999999)*1.1,deployment_raw[[#This Row],[Column13]] * IF($E$2="Deployment",deployment_raw[[#This Row],[Column5]],1)*(1+$Q$2)/1048576)),"")</f>
        <v/>
      </c>
      <c r="R515" s="169" t="str">
        <f>IF(ISNUMBER(deployment_raw[[#This Row],[Column8]]), (H515  * IF(N515&lt;&gt;0,$R$2,1)),"")</f>
        <v/>
      </c>
      <c r="S515" s="170" t="str">
        <f>IF(ISNUMBER(deployment_raw[[#This Row],[Column8]]), (I515  * IF(O515&lt;&gt;0,$S$2,1)),"")</f>
        <v/>
      </c>
      <c r="T515" s="202" t="str">
        <f>IF(AND(A515&lt;&gt;"",_xlfn.IFNA(MATCH(A515,'dynamic resource application '!$A$2:$A$100, 0),0)&lt;&gt;0), H515/(IF($E$2="Deployment",E515,1)),"")</f>
        <v/>
      </c>
      <c r="U515" s="211" t="str">
        <f>IF(AND(A515&lt;&gt;"",_xlfn.IFNA(MATCH(A515,'dynamic resource application '!$A$2:$A$100, 0),0)&lt;&gt;0), I515/(IF($E$2="Deployment",E515,1)),"")</f>
        <v/>
      </c>
    </row>
    <row r="516" spans="1:21" ht="15.75" customHeight="1" x14ac:dyDescent="0.25">
      <c r="A516" s="35" t="str">
        <f>IF(ISNONTEXT(deployment_raw[[#This Row],[Column1]]), "", deployment_raw[[#This Row],[Column1]])</f>
        <v/>
      </c>
      <c r="B516" s="36" t="str">
        <f>IF(ISNONTEXT(deployment_raw[[#This Row],[Column2]]), "", deployment_raw[[#This Row],[Column2]])</f>
        <v/>
      </c>
      <c r="C516" s="36" t="str">
        <f>IF(ISNONTEXT(deployment_raw[[#This Row],[Column3]]), "", deployment_raw[[#This Row],[Column3]])</f>
        <v/>
      </c>
      <c r="D516" s="36" t="str">
        <f>IF(ISNONTEXT(deployment_raw[[#This Row],[Column4]]), "", deployment_raw[[#This Row],[Column4]])</f>
        <v/>
      </c>
      <c r="E516" s="37" t="str">
        <f>IF(ISNUMBER(deployment_raw[[#This Row],[Column5]]), deployment_raw[[#This Row],[Column5]],"")</f>
        <v/>
      </c>
      <c r="F516" s="94" t="str">
        <f>IF(ISNUMBER(deployment_raw[[#This Row],[Column6]]), (deployment_raw[[#This Row],[Column6]] * IF($E$2="Deployment",deployment_raw[[#This Row],[Column5]],1)),"")</f>
        <v/>
      </c>
      <c r="G516" s="95" t="str">
        <f>IF(ISNUMBER(deployment_raw[[#This Row],[Column7]]), (deployment_raw[[#This Row],[Column7]] * IF($E$2="Deployment",deployment_raw[[#This Row],[Column5]],1))/1048576,"")</f>
        <v/>
      </c>
      <c r="H516" s="95" t="str">
        <f>IF(ISNUMBER(deployment_raw[[#This Row],[Column8]]), (deployment_raw[[#This Row],[Column8]]  * IF($E$2="Deployment",deployment_raw[[#This Row],[Column5]],1)),"")</f>
        <v/>
      </c>
      <c r="I516" s="96" t="str">
        <f>IF(ISNUMBER(deployment_raw[[#This Row],[Column9]]), (deployment_raw[[#This Row],[Column9]] * IF($E$2="Deployment",deployment_raw[[#This Row],[Column5]],1))/1048576,"")</f>
        <v/>
      </c>
      <c r="J516" s="122" t="str">
        <f>IF(ISNUMBER(deployment_raw[[#This Row],[Column10]]), (MIN(IF(N516&lt;&gt;"",N516,9999999999999)*1.1,deployment_raw[[#This Row],[Column10]] * IF($E$2="Deployment",deployment_raw[[#This Row],[Column5]],1))),"")</f>
        <v/>
      </c>
      <c r="K516" s="123" t="str">
        <f>IF(ISNUMBER(deployment_raw[[#This Row],[Column11]]), (MIN(IF(O516&lt;&gt;"",O516,9999999999999)*1.1,deployment_raw[[#This Row],[Column11]] * IF($E$2="Deployment",deployment_raw[[#This Row],[Column5]],1)/1048576)),"")</f>
        <v/>
      </c>
      <c r="L516" s="124" t="str">
        <f>IF(ISNUMBER(deployment_raw[[#This Row],[Column8]]),IF(OR(deployment_raw[[#This Row],[Column5]] &lt;&gt; 0,$E$2 &lt;&gt; "Deployment"), MAX(J516, P516, R516, ($L$2 * IF($E$2="Deployment",deployment_raw[[#This Row],[Column5]],1)),IF(T516&lt;&gt;"",VALUE(T516) * IF($E$2="Deployment",deployment_raw[[#This Row],[Column5]],1),0)), 0),"")</f>
        <v/>
      </c>
      <c r="M516" s="125" t="str">
        <f>IF(ISNUMBER(deployment_raw[[#This Row],[Column9]]),IF(OR(deployment_raw[[#This Row],[Column5]] &lt;&gt; 0,$E$2&lt;&gt;"Deployment"), MAX(K516, Q516, S516, ($M$2 * IF($E$2="Deployment",deployment_raw[[#This Row],[Column5]],1)),IF(U516&lt;&gt;"",VALUE(U516) * IF($E$2="Deployment",deployment_raw[[#This Row],[Column5]],1),0)), 0),"")</f>
        <v/>
      </c>
      <c r="N516" s="166" t="str">
        <f>IF(ISNUMBER(deployment_raw[[#This Row],[Column14]]), deployment_raw[[#This Row],[Column14]]/IF(OR($E$2="Deployment",deployment_raw[[#This Row],[Column5]]=0),1,deployment_raw[[#This Row],[Column5]]),"")</f>
        <v/>
      </c>
      <c r="O516" s="167" t="str">
        <f>IF(ISNUMBER(deployment_raw[[#This Row],[Column15]]), deployment_raw[[#This Row],[Column15]]/IF(OR($E$2="Deployment",deployment_raw[[#This Row],[Column5]]=0),1,deployment_raw[[#This Row],[Column5]])/1048576,"")</f>
        <v/>
      </c>
      <c r="P516" s="168" t="str">
        <f>IF(ISNUMBER(deployment_raw[[#This Row],[Column12]]), (MIN(IF(N516&lt;&gt;"",N516,9999999999999)*1.1,deployment_raw[[#This Row],[Column12]] * IF($E$2="Deployment",deployment_raw[[#This Row],[Column5]],1))*(1+$P$2)),"")</f>
        <v/>
      </c>
      <c r="Q516" s="167" t="str">
        <f>IF(ISNUMBER(deployment_raw[[#This Row],[Column13]]), (MIN(IF(O516&lt;&gt;"",O516,9999999999999)*1.1,deployment_raw[[#This Row],[Column13]] * IF($E$2="Deployment",deployment_raw[[#This Row],[Column5]],1)*(1+$Q$2)/1048576)),"")</f>
        <v/>
      </c>
      <c r="R516" s="169" t="str">
        <f>IF(ISNUMBER(deployment_raw[[#This Row],[Column8]]), (H516  * IF(N516&lt;&gt;0,$R$2,1)),"")</f>
        <v/>
      </c>
      <c r="S516" s="170" t="str">
        <f>IF(ISNUMBER(deployment_raw[[#This Row],[Column8]]), (I516  * IF(O516&lt;&gt;0,$S$2,1)),"")</f>
        <v/>
      </c>
      <c r="T516" s="202" t="str">
        <f>IF(AND(A516&lt;&gt;"",_xlfn.IFNA(MATCH(A516,'dynamic resource application '!$A$2:$A$100, 0),0)&lt;&gt;0), H516/(IF($E$2="Deployment",E516,1)),"")</f>
        <v/>
      </c>
      <c r="U516" s="211" t="str">
        <f>IF(AND(A516&lt;&gt;"",_xlfn.IFNA(MATCH(A516,'dynamic resource application '!$A$2:$A$100, 0),0)&lt;&gt;0), I516/(IF($E$2="Deployment",E516,1)),"")</f>
        <v/>
      </c>
    </row>
    <row r="517" spans="1:21" ht="15.75" customHeight="1" x14ac:dyDescent="0.25">
      <c r="A517" s="35" t="str">
        <f>IF(ISNONTEXT(deployment_raw[[#This Row],[Column1]]), "", deployment_raw[[#This Row],[Column1]])</f>
        <v/>
      </c>
      <c r="B517" s="36" t="str">
        <f>IF(ISNONTEXT(deployment_raw[[#This Row],[Column2]]), "", deployment_raw[[#This Row],[Column2]])</f>
        <v/>
      </c>
      <c r="C517" s="36" t="str">
        <f>IF(ISNONTEXT(deployment_raw[[#This Row],[Column3]]), "", deployment_raw[[#This Row],[Column3]])</f>
        <v/>
      </c>
      <c r="D517" s="36" t="str">
        <f>IF(ISNONTEXT(deployment_raw[[#This Row],[Column4]]), "", deployment_raw[[#This Row],[Column4]])</f>
        <v/>
      </c>
      <c r="E517" s="37" t="str">
        <f>IF(ISNUMBER(deployment_raw[[#This Row],[Column5]]), deployment_raw[[#This Row],[Column5]],"")</f>
        <v/>
      </c>
      <c r="F517" s="94" t="str">
        <f>IF(ISNUMBER(deployment_raw[[#This Row],[Column6]]), (deployment_raw[[#This Row],[Column6]] * IF($E$2="Deployment",deployment_raw[[#This Row],[Column5]],1)),"")</f>
        <v/>
      </c>
      <c r="G517" s="95" t="str">
        <f>IF(ISNUMBER(deployment_raw[[#This Row],[Column7]]), (deployment_raw[[#This Row],[Column7]] * IF($E$2="Deployment",deployment_raw[[#This Row],[Column5]],1))/1048576,"")</f>
        <v/>
      </c>
      <c r="H517" s="95" t="str">
        <f>IF(ISNUMBER(deployment_raw[[#This Row],[Column8]]), (deployment_raw[[#This Row],[Column8]]  * IF($E$2="Deployment",deployment_raw[[#This Row],[Column5]],1)),"")</f>
        <v/>
      </c>
      <c r="I517" s="96" t="str">
        <f>IF(ISNUMBER(deployment_raw[[#This Row],[Column9]]), (deployment_raw[[#This Row],[Column9]] * IF($E$2="Deployment",deployment_raw[[#This Row],[Column5]],1))/1048576,"")</f>
        <v/>
      </c>
      <c r="J517" s="122" t="str">
        <f>IF(ISNUMBER(deployment_raw[[#This Row],[Column10]]), (MIN(IF(N517&lt;&gt;"",N517,9999999999999)*1.1,deployment_raw[[#This Row],[Column10]] * IF($E$2="Deployment",deployment_raw[[#This Row],[Column5]],1))),"")</f>
        <v/>
      </c>
      <c r="K517" s="123" t="str">
        <f>IF(ISNUMBER(deployment_raw[[#This Row],[Column11]]), (MIN(IF(O517&lt;&gt;"",O517,9999999999999)*1.1,deployment_raw[[#This Row],[Column11]] * IF($E$2="Deployment",deployment_raw[[#This Row],[Column5]],1)/1048576)),"")</f>
        <v/>
      </c>
      <c r="L517" s="124" t="str">
        <f>IF(ISNUMBER(deployment_raw[[#This Row],[Column8]]),IF(OR(deployment_raw[[#This Row],[Column5]] &lt;&gt; 0,$E$2 &lt;&gt; "Deployment"), MAX(J517, P517, R517, ($L$2 * IF($E$2="Deployment",deployment_raw[[#This Row],[Column5]],1)),IF(T517&lt;&gt;"",VALUE(T517) * IF($E$2="Deployment",deployment_raw[[#This Row],[Column5]],1),0)), 0),"")</f>
        <v/>
      </c>
      <c r="M517" s="125" t="str">
        <f>IF(ISNUMBER(deployment_raw[[#This Row],[Column9]]),IF(OR(deployment_raw[[#This Row],[Column5]] &lt;&gt; 0,$E$2&lt;&gt;"Deployment"), MAX(K517, Q517, S517, ($M$2 * IF($E$2="Deployment",deployment_raw[[#This Row],[Column5]],1)),IF(U517&lt;&gt;"",VALUE(U517) * IF($E$2="Deployment",deployment_raw[[#This Row],[Column5]],1),0)), 0),"")</f>
        <v/>
      </c>
      <c r="N517" s="166" t="str">
        <f>IF(ISNUMBER(deployment_raw[[#This Row],[Column14]]), deployment_raw[[#This Row],[Column14]]/IF(OR($E$2="Deployment",deployment_raw[[#This Row],[Column5]]=0),1,deployment_raw[[#This Row],[Column5]]),"")</f>
        <v/>
      </c>
      <c r="O517" s="167" t="str">
        <f>IF(ISNUMBER(deployment_raw[[#This Row],[Column15]]), deployment_raw[[#This Row],[Column15]]/IF(OR($E$2="Deployment",deployment_raw[[#This Row],[Column5]]=0),1,deployment_raw[[#This Row],[Column5]])/1048576,"")</f>
        <v/>
      </c>
      <c r="P517" s="168" t="str">
        <f>IF(ISNUMBER(deployment_raw[[#This Row],[Column12]]), (MIN(IF(N517&lt;&gt;"",N517,9999999999999)*1.1,deployment_raw[[#This Row],[Column12]] * IF($E$2="Deployment",deployment_raw[[#This Row],[Column5]],1))*(1+$P$2)),"")</f>
        <v/>
      </c>
      <c r="Q517" s="167" t="str">
        <f>IF(ISNUMBER(deployment_raw[[#This Row],[Column13]]), (MIN(IF(O517&lt;&gt;"",O517,9999999999999)*1.1,deployment_raw[[#This Row],[Column13]] * IF($E$2="Deployment",deployment_raw[[#This Row],[Column5]],1)*(1+$Q$2)/1048576)),"")</f>
        <v/>
      </c>
      <c r="R517" s="169" t="str">
        <f>IF(ISNUMBER(deployment_raw[[#This Row],[Column8]]), (H517  * IF(N517&lt;&gt;0,$R$2,1)),"")</f>
        <v/>
      </c>
      <c r="S517" s="170" t="str">
        <f>IF(ISNUMBER(deployment_raw[[#This Row],[Column8]]), (I517  * IF(O517&lt;&gt;0,$S$2,1)),"")</f>
        <v/>
      </c>
      <c r="T517" s="202" t="str">
        <f>IF(AND(A517&lt;&gt;"",_xlfn.IFNA(MATCH(A517,'dynamic resource application '!$A$2:$A$100, 0),0)&lt;&gt;0), H517/(IF($E$2="Deployment",E517,1)),"")</f>
        <v/>
      </c>
      <c r="U517" s="211" t="str">
        <f>IF(AND(A517&lt;&gt;"",_xlfn.IFNA(MATCH(A517,'dynamic resource application '!$A$2:$A$100, 0),0)&lt;&gt;0), I517/(IF($E$2="Deployment",E517,1)),"")</f>
        <v/>
      </c>
    </row>
    <row r="518" spans="1:21" ht="15.75" customHeight="1" x14ac:dyDescent="0.25">
      <c r="A518" s="35" t="str">
        <f>IF(ISNONTEXT(deployment_raw[[#This Row],[Column1]]), "", deployment_raw[[#This Row],[Column1]])</f>
        <v/>
      </c>
      <c r="B518" s="36" t="str">
        <f>IF(ISNONTEXT(deployment_raw[[#This Row],[Column2]]), "", deployment_raw[[#This Row],[Column2]])</f>
        <v/>
      </c>
      <c r="C518" s="36" t="str">
        <f>IF(ISNONTEXT(deployment_raw[[#This Row],[Column3]]), "", deployment_raw[[#This Row],[Column3]])</f>
        <v/>
      </c>
      <c r="D518" s="36" t="str">
        <f>IF(ISNONTEXT(deployment_raw[[#This Row],[Column4]]), "", deployment_raw[[#This Row],[Column4]])</f>
        <v/>
      </c>
      <c r="E518" s="37" t="str">
        <f>IF(ISNUMBER(deployment_raw[[#This Row],[Column5]]), deployment_raw[[#This Row],[Column5]],"")</f>
        <v/>
      </c>
      <c r="F518" s="94" t="str">
        <f>IF(ISNUMBER(deployment_raw[[#This Row],[Column6]]), (deployment_raw[[#This Row],[Column6]] * IF($E$2="Deployment",deployment_raw[[#This Row],[Column5]],1)),"")</f>
        <v/>
      </c>
      <c r="G518" s="95" t="str">
        <f>IF(ISNUMBER(deployment_raw[[#This Row],[Column7]]), (deployment_raw[[#This Row],[Column7]] * IF($E$2="Deployment",deployment_raw[[#This Row],[Column5]],1))/1048576,"")</f>
        <v/>
      </c>
      <c r="H518" s="95" t="str">
        <f>IF(ISNUMBER(deployment_raw[[#This Row],[Column8]]), (deployment_raw[[#This Row],[Column8]]  * IF($E$2="Deployment",deployment_raw[[#This Row],[Column5]],1)),"")</f>
        <v/>
      </c>
      <c r="I518" s="96" t="str">
        <f>IF(ISNUMBER(deployment_raw[[#This Row],[Column9]]), (deployment_raw[[#This Row],[Column9]] * IF($E$2="Deployment",deployment_raw[[#This Row],[Column5]],1))/1048576,"")</f>
        <v/>
      </c>
      <c r="J518" s="122" t="str">
        <f>IF(ISNUMBER(deployment_raw[[#This Row],[Column10]]), (MIN(IF(N518&lt;&gt;"",N518,9999999999999)*1.1,deployment_raw[[#This Row],[Column10]] * IF($E$2="Deployment",deployment_raw[[#This Row],[Column5]],1))),"")</f>
        <v/>
      </c>
      <c r="K518" s="123" t="str">
        <f>IF(ISNUMBER(deployment_raw[[#This Row],[Column11]]), (MIN(IF(O518&lt;&gt;"",O518,9999999999999)*1.1,deployment_raw[[#This Row],[Column11]] * IF($E$2="Deployment",deployment_raw[[#This Row],[Column5]],1)/1048576)),"")</f>
        <v/>
      </c>
      <c r="L518" s="124" t="str">
        <f>IF(ISNUMBER(deployment_raw[[#This Row],[Column8]]),IF(OR(deployment_raw[[#This Row],[Column5]] &lt;&gt; 0,$E$2 &lt;&gt; "Deployment"), MAX(J518, P518, R518, ($L$2 * IF($E$2="Deployment",deployment_raw[[#This Row],[Column5]],1)),IF(T518&lt;&gt;"",VALUE(T518) * IF($E$2="Deployment",deployment_raw[[#This Row],[Column5]],1),0)), 0),"")</f>
        <v/>
      </c>
      <c r="M518" s="125" t="str">
        <f>IF(ISNUMBER(deployment_raw[[#This Row],[Column9]]),IF(OR(deployment_raw[[#This Row],[Column5]] &lt;&gt; 0,$E$2&lt;&gt;"Deployment"), MAX(K518, Q518, S518, ($M$2 * IF($E$2="Deployment",deployment_raw[[#This Row],[Column5]],1)),IF(U518&lt;&gt;"",VALUE(U518) * IF($E$2="Deployment",deployment_raw[[#This Row],[Column5]],1),0)), 0),"")</f>
        <v/>
      </c>
      <c r="N518" s="166" t="str">
        <f>IF(ISNUMBER(deployment_raw[[#This Row],[Column14]]), deployment_raw[[#This Row],[Column14]]/IF(OR($E$2="Deployment",deployment_raw[[#This Row],[Column5]]=0),1,deployment_raw[[#This Row],[Column5]]),"")</f>
        <v/>
      </c>
      <c r="O518" s="167" t="str">
        <f>IF(ISNUMBER(deployment_raw[[#This Row],[Column15]]), deployment_raw[[#This Row],[Column15]]/IF(OR($E$2="Deployment",deployment_raw[[#This Row],[Column5]]=0),1,deployment_raw[[#This Row],[Column5]])/1048576,"")</f>
        <v/>
      </c>
      <c r="P518" s="168" t="str">
        <f>IF(ISNUMBER(deployment_raw[[#This Row],[Column12]]), (MIN(IF(N518&lt;&gt;"",N518,9999999999999)*1.1,deployment_raw[[#This Row],[Column12]] * IF($E$2="Deployment",deployment_raw[[#This Row],[Column5]],1))*(1+$P$2)),"")</f>
        <v/>
      </c>
      <c r="Q518" s="167" t="str">
        <f>IF(ISNUMBER(deployment_raw[[#This Row],[Column13]]), (MIN(IF(O518&lt;&gt;"",O518,9999999999999)*1.1,deployment_raw[[#This Row],[Column13]] * IF($E$2="Deployment",deployment_raw[[#This Row],[Column5]],1)*(1+$Q$2)/1048576)),"")</f>
        <v/>
      </c>
      <c r="R518" s="169" t="str">
        <f>IF(ISNUMBER(deployment_raw[[#This Row],[Column8]]), (H518  * IF(N518&lt;&gt;0,$R$2,1)),"")</f>
        <v/>
      </c>
      <c r="S518" s="170" t="str">
        <f>IF(ISNUMBER(deployment_raw[[#This Row],[Column8]]), (I518  * IF(O518&lt;&gt;0,$S$2,1)),"")</f>
        <v/>
      </c>
      <c r="T518" s="202" t="str">
        <f>IF(AND(A518&lt;&gt;"",_xlfn.IFNA(MATCH(A518,'dynamic resource application '!$A$2:$A$100, 0),0)&lt;&gt;0), H518/(IF($E$2="Deployment",E518,1)),"")</f>
        <v/>
      </c>
      <c r="U518" s="211" t="str">
        <f>IF(AND(A518&lt;&gt;"",_xlfn.IFNA(MATCH(A518,'dynamic resource application '!$A$2:$A$100, 0),0)&lt;&gt;0), I518/(IF($E$2="Deployment",E518,1)),"")</f>
        <v/>
      </c>
    </row>
    <row r="519" spans="1:21" ht="15.75" customHeight="1" x14ac:dyDescent="0.25">
      <c r="A519" s="35" t="str">
        <f>IF(ISNONTEXT(deployment_raw[[#This Row],[Column1]]), "", deployment_raw[[#This Row],[Column1]])</f>
        <v/>
      </c>
      <c r="B519" s="36" t="str">
        <f>IF(ISNONTEXT(deployment_raw[[#This Row],[Column2]]), "", deployment_raw[[#This Row],[Column2]])</f>
        <v/>
      </c>
      <c r="C519" s="36" t="str">
        <f>IF(ISNONTEXT(deployment_raw[[#This Row],[Column3]]), "", deployment_raw[[#This Row],[Column3]])</f>
        <v/>
      </c>
      <c r="D519" s="36" t="str">
        <f>IF(ISNONTEXT(deployment_raw[[#This Row],[Column4]]), "", deployment_raw[[#This Row],[Column4]])</f>
        <v/>
      </c>
      <c r="E519" s="37" t="str">
        <f>IF(ISNUMBER(deployment_raw[[#This Row],[Column5]]), deployment_raw[[#This Row],[Column5]],"")</f>
        <v/>
      </c>
      <c r="F519" s="94" t="str">
        <f>IF(ISNUMBER(deployment_raw[[#This Row],[Column6]]), (deployment_raw[[#This Row],[Column6]] * IF($E$2="Deployment",deployment_raw[[#This Row],[Column5]],1)),"")</f>
        <v/>
      </c>
      <c r="G519" s="95" t="str">
        <f>IF(ISNUMBER(deployment_raw[[#This Row],[Column7]]), (deployment_raw[[#This Row],[Column7]] * IF($E$2="Deployment",deployment_raw[[#This Row],[Column5]],1))/1048576,"")</f>
        <v/>
      </c>
      <c r="H519" s="95" t="str">
        <f>IF(ISNUMBER(deployment_raw[[#This Row],[Column8]]), (deployment_raw[[#This Row],[Column8]]  * IF($E$2="Deployment",deployment_raw[[#This Row],[Column5]],1)),"")</f>
        <v/>
      </c>
      <c r="I519" s="96" t="str">
        <f>IF(ISNUMBER(deployment_raw[[#This Row],[Column9]]), (deployment_raw[[#This Row],[Column9]] * IF($E$2="Deployment",deployment_raw[[#This Row],[Column5]],1))/1048576,"")</f>
        <v/>
      </c>
      <c r="J519" s="122" t="str">
        <f>IF(ISNUMBER(deployment_raw[[#This Row],[Column10]]), (MIN(IF(N519&lt;&gt;"",N519,9999999999999)*1.1,deployment_raw[[#This Row],[Column10]] * IF($E$2="Deployment",deployment_raw[[#This Row],[Column5]],1))),"")</f>
        <v/>
      </c>
      <c r="K519" s="123" t="str">
        <f>IF(ISNUMBER(deployment_raw[[#This Row],[Column11]]), (MIN(IF(O519&lt;&gt;"",O519,9999999999999)*1.1,deployment_raw[[#This Row],[Column11]] * IF($E$2="Deployment",deployment_raw[[#This Row],[Column5]],1)/1048576)),"")</f>
        <v/>
      </c>
      <c r="L519" s="124" t="str">
        <f>IF(ISNUMBER(deployment_raw[[#This Row],[Column8]]),IF(OR(deployment_raw[[#This Row],[Column5]] &lt;&gt; 0,$E$2 &lt;&gt; "Deployment"), MAX(J519, P519, R519, ($L$2 * IF($E$2="Deployment",deployment_raw[[#This Row],[Column5]],1)),IF(T519&lt;&gt;"",VALUE(T519) * IF($E$2="Deployment",deployment_raw[[#This Row],[Column5]],1),0)), 0),"")</f>
        <v/>
      </c>
      <c r="M519" s="125" t="str">
        <f>IF(ISNUMBER(deployment_raw[[#This Row],[Column9]]),IF(OR(deployment_raw[[#This Row],[Column5]] &lt;&gt; 0,$E$2&lt;&gt;"Deployment"), MAX(K519, Q519, S519, ($M$2 * IF($E$2="Deployment",deployment_raw[[#This Row],[Column5]],1)),IF(U519&lt;&gt;"",VALUE(U519) * IF($E$2="Deployment",deployment_raw[[#This Row],[Column5]],1),0)), 0),"")</f>
        <v/>
      </c>
      <c r="N519" s="166" t="str">
        <f>IF(ISNUMBER(deployment_raw[[#This Row],[Column14]]), deployment_raw[[#This Row],[Column14]]/IF(OR($E$2="Deployment",deployment_raw[[#This Row],[Column5]]=0),1,deployment_raw[[#This Row],[Column5]]),"")</f>
        <v/>
      </c>
      <c r="O519" s="167" t="str">
        <f>IF(ISNUMBER(deployment_raw[[#This Row],[Column15]]), deployment_raw[[#This Row],[Column15]]/IF(OR($E$2="Deployment",deployment_raw[[#This Row],[Column5]]=0),1,deployment_raw[[#This Row],[Column5]])/1048576,"")</f>
        <v/>
      </c>
      <c r="P519" s="168" t="str">
        <f>IF(ISNUMBER(deployment_raw[[#This Row],[Column12]]), (MIN(IF(N519&lt;&gt;"",N519,9999999999999)*1.1,deployment_raw[[#This Row],[Column12]] * IF($E$2="Deployment",deployment_raw[[#This Row],[Column5]],1))*(1+$P$2)),"")</f>
        <v/>
      </c>
      <c r="Q519" s="167" t="str">
        <f>IF(ISNUMBER(deployment_raw[[#This Row],[Column13]]), (MIN(IF(O519&lt;&gt;"",O519,9999999999999)*1.1,deployment_raw[[#This Row],[Column13]] * IF($E$2="Deployment",deployment_raw[[#This Row],[Column5]],1)*(1+$Q$2)/1048576)),"")</f>
        <v/>
      </c>
      <c r="R519" s="169" t="str">
        <f>IF(ISNUMBER(deployment_raw[[#This Row],[Column8]]), (H519  * IF(N519&lt;&gt;0,$R$2,1)),"")</f>
        <v/>
      </c>
      <c r="S519" s="170" t="str">
        <f>IF(ISNUMBER(deployment_raw[[#This Row],[Column8]]), (I519  * IF(O519&lt;&gt;0,$S$2,1)),"")</f>
        <v/>
      </c>
      <c r="T519" s="202" t="str">
        <f>IF(AND(A519&lt;&gt;"",_xlfn.IFNA(MATCH(A519,'dynamic resource application '!$A$2:$A$100, 0),0)&lt;&gt;0), H519/(IF($E$2="Deployment",E519,1)),"")</f>
        <v/>
      </c>
      <c r="U519" s="211" t="str">
        <f>IF(AND(A519&lt;&gt;"",_xlfn.IFNA(MATCH(A519,'dynamic resource application '!$A$2:$A$100, 0),0)&lt;&gt;0), I519/(IF($E$2="Deployment",E519,1)),"")</f>
        <v/>
      </c>
    </row>
    <row r="520" spans="1:21" ht="15.75" customHeight="1" x14ac:dyDescent="0.25">
      <c r="A520" s="35" t="str">
        <f>IF(ISNONTEXT(deployment_raw[[#This Row],[Column1]]), "", deployment_raw[[#This Row],[Column1]])</f>
        <v/>
      </c>
      <c r="B520" s="36" t="str">
        <f>IF(ISNONTEXT(deployment_raw[[#This Row],[Column2]]), "", deployment_raw[[#This Row],[Column2]])</f>
        <v/>
      </c>
      <c r="C520" s="36" t="str">
        <f>IF(ISNONTEXT(deployment_raw[[#This Row],[Column3]]), "", deployment_raw[[#This Row],[Column3]])</f>
        <v/>
      </c>
      <c r="D520" s="36" t="str">
        <f>IF(ISNONTEXT(deployment_raw[[#This Row],[Column4]]), "", deployment_raw[[#This Row],[Column4]])</f>
        <v/>
      </c>
      <c r="E520" s="37" t="str">
        <f>IF(ISNUMBER(deployment_raw[[#This Row],[Column5]]), deployment_raw[[#This Row],[Column5]],"")</f>
        <v/>
      </c>
      <c r="F520" s="94" t="str">
        <f>IF(ISNUMBER(deployment_raw[[#This Row],[Column6]]), (deployment_raw[[#This Row],[Column6]] * IF($E$2="Deployment",deployment_raw[[#This Row],[Column5]],1)),"")</f>
        <v/>
      </c>
      <c r="G520" s="95" t="str">
        <f>IF(ISNUMBER(deployment_raw[[#This Row],[Column7]]), (deployment_raw[[#This Row],[Column7]] * IF($E$2="Deployment",deployment_raw[[#This Row],[Column5]],1))/1048576,"")</f>
        <v/>
      </c>
      <c r="H520" s="95" t="str">
        <f>IF(ISNUMBER(deployment_raw[[#This Row],[Column8]]), (deployment_raw[[#This Row],[Column8]]  * IF($E$2="Deployment",deployment_raw[[#This Row],[Column5]],1)),"")</f>
        <v/>
      </c>
      <c r="I520" s="96" t="str">
        <f>IF(ISNUMBER(deployment_raw[[#This Row],[Column9]]), (deployment_raw[[#This Row],[Column9]] * IF($E$2="Deployment",deployment_raw[[#This Row],[Column5]],1))/1048576,"")</f>
        <v/>
      </c>
      <c r="J520" s="122" t="str">
        <f>IF(ISNUMBER(deployment_raw[[#This Row],[Column10]]), (MIN(IF(N520&lt;&gt;"",N520,9999999999999)*1.1,deployment_raw[[#This Row],[Column10]] * IF($E$2="Deployment",deployment_raw[[#This Row],[Column5]],1))),"")</f>
        <v/>
      </c>
      <c r="K520" s="123" t="str">
        <f>IF(ISNUMBER(deployment_raw[[#This Row],[Column11]]), (MIN(IF(O520&lt;&gt;"",O520,9999999999999)*1.1,deployment_raw[[#This Row],[Column11]] * IF($E$2="Deployment",deployment_raw[[#This Row],[Column5]],1)/1048576)),"")</f>
        <v/>
      </c>
      <c r="L520" s="124" t="str">
        <f>IF(ISNUMBER(deployment_raw[[#This Row],[Column8]]),IF(OR(deployment_raw[[#This Row],[Column5]] &lt;&gt; 0,$E$2 &lt;&gt; "Deployment"), MAX(J520, P520, R520, ($L$2 * IF($E$2="Deployment",deployment_raw[[#This Row],[Column5]],1)),IF(T520&lt;&gt;"",VALUE(T520) * IF($E$2="Deployment",deployment_raw[[#This Row],[Column5]],1),0)), 0),"")</f>
        <v/>
      </c>
      <c r="M520" s="125" t="str">
        <f>IF(ISNUMBER(deployment_raw[[#This Row],[Column9]]),IF(OR(deployment_raw[[#This Row],[Column5]] &lt;&gt; 0,$E$2&lt;&gt;"Deployment"), MAX(K520, Q520, S520, ($M$2 * IF($E$2="Deployment",deployment_raw[[#This Row],[Column5]],1)),IF(U520&lt;&gt;"",VALUE(U520) * IF($E$2="Deployment",deployment_raw[[#This Row],[Column5]],1),0)), 0),"")</f>
        <v/>
      </c>
      <c r="N520" s="166" t="str">
        <f>IF(ISNUMBER(deployment_raw[[#This Row],[Column14]]), deployment_raw[[#This Row],[Column14]]/IF(OR($E$2="Deployment",deployment_raw[[#This Row],[Column5]]=0),1,deployment_raw[[#This Row],[Column5]]),"")</f>
        <v/>
      </c>
      <c r="O520" s="167" t="str">
        <f>IF(ISNUMBER(deployment_raw[[#This Row],[Column15]]), deployment_raw[[#This Row],[Column15]]/IF(OR($E$2="Deployment",deployment_raw[[#This Row],[Column5]]=0),1,deployment_raw[[#This Row],[Column5]])/1048576,"")</f>
        <v/>
      </c>
      <c r="P520" s="168" t="str">
        <f>IF(ISNUMBER(deployment_raw[[#This Row],[Column12]]), (MIN(IF(N520&lt;&gt;"",N520,9999999999999)*1.1,deployment_raw[[#This Row],[Column12]] * IF($E$2="Deployment",deployment_raw[[#This Row],[Column5]],1))*(1+$P$2)),"")</f>
        <v/>
      </c>
      <c r="Q520" s="167" t="str">
        <f>IF(ISNUMBER(deployment_raw[[#This Row],[Column13]]), (MIN(IF(O520&lt;&gt;"",O520,9999999999999)*1.1,deployment_raw[[#This Row],[Column13]] * IF($E$2="Deployment",deployment_raw[[#This Row],[Column5]],1)*(1+$Q$2)/1048576)),"")</f>
        <v/>
      </c>
      <c r="R520" s="169" t="str">
        <f>IF(ISNUMBER(deployment_raw[[#This Row],[Column8]]), (H520  * IF(N520&lt;&gt;0,$R$2,1)),"")</f>
        <v/>
      </c>
      <c r="S520" s="170" t="str">
        <f>IF(ISNUMBER(deployment_raw[[#This Row],[Column8]]), (I520  * IF(O520&lt;&gt;0,$S$2,1)),"")</f>
        <v/>
      </c>
      <c r="T520" s="202" t="str">
        <f>IF(AND(A520&lt;&gt;"",_xlfn.IFNA(MATCH(A520,'dynamic resource application '!$A$2:$A$100, 0),0)&lt;&gt;0), H520/(IF($E$2="Deployment",E520,1)),"")</f>
        <v/>
      </c>
      <c r="U520" s="211" t="str">
        <f>IF(AND(A520&lt;&gt;"",_xlfn.IFNA(MATCH(A520,'dynamic resource application '!$A$2:$A$100, 0),0)&lt;&gt;0), I520/(IF($E$2="Deployment",E520,1)),"")</f>
        <v/>
      </c>
    </row>
    <row r="521" spans="1:21" ht="15.75" customHeight="1" x14ac:dyDescent="0.25">
      <c r="A521" s="35" t="str">
        <f>IF(ISNONTEXT(deployment_raw[[#This Row],[Column1]]), "", deployment_raw[[#This Row],[Column1]])</f>
        <v/>
      </c>
      <c r="B521" s="36" t="str">
        <f>IF(ISNONTEXT(deployment_raw[[#This Row],[Column2]]), "", deployment_raw[[#This Row],[Column2]])</f>
        <v/>
      </c>
      <c r="C521" s="36" t="str">
        <f>IF(ISNONTEXT(deployment_raw[[#This Row],[Column3]]), "", deployment_raw[[#This Row],[Column3]])</f>
        <v/>
      </c>
      <c r="D521" s="36" t="str">
        <f>IF(ISNONTEXT(deployment_raw[[#This Row],[Column4]]), "", deployment_raw[[#This Row],[Column4]])</f>
        <v/>
      </c>
      <c r="E521" s="37" t="str">
        <f>IF(ISNUMBER(deployment_raw[[#This Row],[Column5]]), deployment_raw[[#This Row],[Column5]],"")</f>
        <v/>
      </c>
      <c r="F521" s="94" t="str">
        <f>IF(ISNUMBER(deployment_raw[[#This Row],[Column6]]), (deployment_raw[[#This Row],[Column6]] * IF($E$2="Deployment",deployment_raw[[#This Row],[Column5]],1)),"")</f>
        <v/>
      </c>
      <c r="G521" s="95" t="str">
        <f>IF(ISNUMBER(deployment_raw[[#This Row],[Column7]]), (deployment_raw[[#This Row],[Column7]] * IF($E$2="Deployment",deployment_raw[[#This Row],[Column5]],1))/1048576,"")</f>
        <v/>
      </c>
      <c r="H521" s="95" t="str">
        <f>IF(ISNUMBER(deployment_raw[[#This Row],[Column8]]), (deployment_raw[[#This Row],[Column8]]  * IF($E$2="Deployment",deployment_raw[[#This Row],[Column5]],1)),"")</f>
        <v/>
      </c>
      <c r="I521" s="96" t="str">
        <f>IF(ISNUMBER(deployment_raw[[#This Row],[Column9]]), (deployment_raw[[#This Row],[Column9]] * IF($E$2="Deployment",deployment_raw[[#This Row],[Column5]],1))/1048576,"")</f>
        <v/>
      </c>
      <c r="J521" s="122" t="str">
        <f>IF(ISNUMBER(deployment_raw[[#This Row],[Column10]]), (MIN(IF(N521&lt;&gt;"",N521,9999999999999)*1.1,deployment_raw[[#This Row],[Column10]] * IF($E$2="Deployment",deployment_raw[[#This Row],[Column5]],1))),"")</f>
        <v/>
      </c>
      <c r="K521" s="123" t="str">
        <f>IF(ISNUMBER(deployment_raw[[#This Row],[Column11]]), (MIN(IF(O521&lt;&gt;"",O521,9999999999999)*1.1,deployment_raw[[#This Row],[Column11]] * IF($E$2="Deployment",deployment_raw[[#This Row],[Column5]],1)/1048576)),"")</f>
        <v/>
      </c>
      <c r="L521" s="124" t="str">
        <f>IF(ISNUMBER(deployment_raw[[#This Row],[Column8]]),IF(OR(deployment_raw[[#This Row],[Column5]] &lt;&gt; 0,$E$2 &lt;&gt; "Deployment"), MAX(J521, P521, R521, ($L$2 * IF($E$2="Deployment",deployment_raw[[#This Row],[Column5]],1)),IF(T521&lt;&gt;"",VALUE(T521) * IF($E$2="Deployment",deployment_raw[[#This Row],[Column5]],1),0)), 0),"")</f>
        <v/>
      </c>
      <c r="M521" s="125" t="str">
        <f>IF(ISNUMBER(deployment_raw[[#This Row],[Column9]]),IF(OR(deployment_raw[[#This Row],[Column5]] &lt;&gt; 0,$E$2&lt;&gt;"Deployment"), MAX(K521, Q521, S521, ($M$2 * IF($E$2="Deployment",deployment_raw[[#This Row],[Column5]],1)),IF(U521&lt;&gt;"",VALUE(U521) * IF($E$2="Deployment",deployment_raw[[#This Row],[Column5]],1),0)), 0),"")</f>
        <v/>
      </c>
      <c r="N521" s="166" t="str">
        <f>IF(ISNUMBER(deployment_raw[[#This Row],[Column14]]), deployment_raw[[#This Row],[Column14]]/IF(OR($E$2="Deployment",deployment_raw[[#This Row],[Column5]]=0),1,deployment_raw[[#This Row],[Column5]]),"")</f>
        <v/>
      </c>
      <c r="O521" s="167" t="str">
        <f>IF(ISNUMBER(deployment_raw[[#This Row],[Column15]]), deployment_raw[[#This Row],[Column15]]/IF(OR($E$2="Deployment",deployment_raw[[#This Row],[Column5]]=0),1,deployment_raw[[#This Row],[Column5]])/1048576,"")</f>
        <v/>
      </c>
      <c r="P521" s="168" t="str">
        <f>IF(ISNUMBER(deployment_raw[[#This Row],[Column12]]), (MIN(IF(N521&lt;&gt;"",N521,9999999999999)*1.1,deployment_raw[[#This Row],[Column12]] * IF($E$2="Deployment",deployment_raw[[#This Row],[Column5]],1))*(1+$P$2)),"")</f>
        <v/>
      </c>
      <c r="Q521" s="167" t="str">
        <f>IF(ISNUMBER(deployment_raw[[#This Row],[Column13]]), (MIN(IF(O521&lt;&gt;"",O521,9999999999999)*1.1,deployment_raw[[#This Row],[Column13]] * IF($E$2="Deployment",deployment_raw[[#This Row],[Column5]],1)*(1+$Q$2)/1048576)),"")</f>
        <v/>
      </c>
      <c r="R521" s="169" t="str">
        <f>IF(ISNUMBER(deployment_raw[[#This Row],[Column8]]), (H521  * IF(N521&lt;&gt;0,$R$2,1)),"")</f>
        <v/>
      </c>
      <c r="S521" s="170" t="str">
        <f>IF(ISNUMBER(deployment_raw[[#This Row],[Column8]]), (I521  * IF(O521&lt;&gt;0,$S$2,1)),"")</f>
        <v/>
      </c>
      <c r="T521" s="202" t="str">
        <f>IF(AND(A521&lt;&gt;"",_xlfn.IFNA(MATCH(A521,'dynamic resource application '!$A$2:$A$100, 0),0)&lt;&gt;0), H521/(IF($E$2="Deployment",E521,1)),"")</f>
        <v/>
      </c>
      <c r="U521" s="211" t="str">
        <f>IF(AND(A521&lt;&gt;"",_xlfn.IFNA(MATCH(A521,'dynamic resource application '!$A$2:$A$100, 0),0)&lt;&gt;0), I521/(IF($E$2="Deployment",E521,1)),"")</f>
        <v/>
      </c>
    </row>
    <row r="522" spans="1:21" ht="15.75" customHeight="1" x14ac:dyDescent="0.25">
      <c r="A522" s="35" t="str">
        <f>IF(ISNONTEXT(deployment_raw[[#This Row],[Column1]]), "", deployment_raw[[#This Row],[Column1]])</f>
        <v/>
      </c>
      <c r="B522" s="36" t="str">
        <f>IF(ISNONTEXT(deployment_raw[[#This Row],[Column2]]), "", deployment_raw[[#This Row],[Column2]])</f>
        <v/>
      </c>
      <c r="C522" s="36" t="str">
        <f>IF(ISNONTEXT(deployment_raw[[#This Row],[Column3]]), "", deployment_raw[[#This Row],[Column3]])</f>
        <v/>
      </c>
      <c r="D522" s="36" t="str">
        <f>IF(ISNONTEXT(deployment_raw[[#This Row],[Column4]]), "", deployment_raw[[#This Row],[Column4]])</f>
        <v/>
      </c>
      <c r="E522" s="37" t="str">
        <f>IF(ISNUMBER(deployment_raw[[#This Row],[Column5]]), deployment_raw[[#This Row],[Column5]],"")</f>
        <v/>
      </c>
      <c r="F522" s="94" t="str">
        <f>IF(ISNUMBER(deployment_raw[[#This Row],[Column6]]), (deployment_raw[[#This Row],[Column6]] * IF($E$2="Deployment",deployment_raw[[#This Row],[Column5]],1)),"")</f>
        <v/>
      </c>
      <c r="G522" s="95" t="str">
        <f>IF(ISNUMBER(deployment_raw[[#This Row],[Column7]]), (deployment_raw[[#This Row],[Column7]] * IF($E$2="Deployment",deployment_raw[[#This Row],[Column5]],1))/1048576,"")</f>
        <v/>
      </c>
      <c r="H522" s="95" t="str">
        <f>IF(ISNUMBER(deployment_raw[[#This Row],[Column8]]), (deployment_raw[[#This Row],[Column8]]  * IF($E$2="Deployment",deployment_raw[[#This Row],[Column5]],1)),"")</f>
        <v/>
      </c>
      <c r="I522" s="96" t="str">
        <f>IF(ISNUMBER(deployment_raw[[#This Row],[Column9]]), (deployment_raw[[#This Row],[Column9]] * IF($E$2="Deployment",deployment_raw[[#This Row],[Column5]],1))/1048576,"")</f>
        <v/>
      </c>
      <c r="J522" s="122" t="str">
        <f>IF(ISNUMBER(deployment_raw[[#This Row],[Column10]]), (MIN(IF(N522&lt;&gt;"",N522,9999999999999)*1.1,deployment_raw[[#This Row],[Column10]] * IF($E$2="Deployment",deployment_raw[[#This Row],[Column5]],1))),"")</f>
        <v/>
      </c>
      <c r="K522" s="123" t="str">
        <f>IF(ISNUMBER(deployment_raw[[#This Row],[Column11]]), (MIN(IF(O522&lt;&gt;"",O522,9999999999999)*1.1,deployment_raw[[#This Row],[Column11]] * IF($E$2="Deployment",deployment_raw[[#This Row],[Column5]],1)/1048576)),"")</f>
        <v/>
      </c>
      <c r="L522" s="124" t="str">
        <f>IF(ISNUMBER(deployment_raw[[#This Row],[Column8]]),IF(OR(deployment_raw[[#This Row],[Column5]] &lt;&gt; 0,$E$2 &lt;&gt; "Deployment"), MAX(J522, P522, R522, ($L$2 * IF($E$2="Deployment",deployment_raw[[#This Row],[Column5]],1)),IF(T522&lt;&gt;"",VALUE(T522) * IF($E$2="Deployment",deployment_raw[[#This Row],[Column5]],1),0)), 0),"")</f>
        <v/>
      </c>
      <c r="M522" s="125" t="str">
        <f>IF(ISNUMBER(deployment_raw[[#This Row],[Column9]]),IF(OR(deployment_raw[[#This Row],[Column5]] &lt;&gt; 0,$E$2&lt;&gt;"Deployment"), MAX(K522, Q522, S522, ($M$2 * IF($E$2="Deployment",deployment_raw[[#This Row],[Column5]],1)),IF(U522&lt;&gt;"",VALUE(U522) * IF($E$2="Deployment",deployment_raw[[#This Row],[Column5]],1),0)), 0),"")</f>
        <v/>
      </c>
      <c r="N522" s="166" t="str">
        <f>IF(ISNUMBER(deployment_raw[[#This Row],[Column14]]), deployment_raw[[#This Row],[Column14]]/IF(OR($E$2="Deployment",deployment_raw[[#This Row],[Column5]]=0),1,deployment_raw[[#This Row],[Column5]]),"")</f>
        <v/>
      </c>
      <c r="O522" s="167" t="str">
        <f>IF(ISNUMBER(deployment_raw[[#This Row],[Column15]]), deployment_raw[[#This Row],[Column15]]/IF(OR($E$2="Deployment",deployment_raw[[#This Row],[Column5]]=0),1,deployment_raw[[#This Row],[Column5]])/1048576,"")</f>
        <v/>
      </c>
      <c r="P522" s="168" t="str">
        <f>IF(ISNUMBER(deployment_raw[[#This Row],[Column12]]), (MIN(IF(N522&lt;&gt;"",N522,9999999999999)*1.1,deployment_raw[[#This Row],[Column12]] * IF($E$2="Deployment",deployment_raw[[#This Row],[Column5]],1))*(1+$P$2)),"")</f>
        <v/>
      </c>
      <c r="Q522" s="167" t="str">
        <f>IF(ISNUMBER(deployment_raw[[#This Row],[Column13]]), (MIN(IF(O522&lt;&gt;"",O522,9999999999999)*1.1,deployment_raw[[#This Row],[Column13]] * IF($E$2="Deployment",deployment_raw[[#This Row],[Column5]],1)*(1+$Q$2)/1048576)),"")</f>
        <v/>
      </c>
      <c r="R522" s="169" t="str">
        <f>IF(ISNUMBER(deployment_raw[[#This Row],[Column8]]), (H522  * IF(N522&lt;&gt;0,$R$2,1)),"")</f>
        <v/>
      </c>
      <c r="S522" s="170" t="str">
        <f>IF(ISNUMBER(deployment_raw[[#This Row],[Column8]]), (I522  * IF(O522&lt;&gt;0,$S$2,1)),"")</f>
        <v/>
      </c>
      <c r="T522" s="202" t="str">
        <f>IF(AND(A522&lt;&gt;"",_xlfn.IFNA(MATCH(A522,'dynamic resource application '!$A$2:$A$100, 0),0)&lt;&gt;0), H522/(IF($E$2="Deployment",E522,1)),"")</f>
        <v/>
      </c>
      <c r="U522" s="211" t="str">
        <f>IF(AND(A522&lt;&gt;"",_xlfn.IFNA(MATCH(A522,'dynamic resource application '!$A$2:$A$100, 0),0)&lt;&gt;0), I522/(IF($E$2="Deployment",E522,1)),"")</f>
        <v/>
      </c>
    </row>
    <row r="523" spans="1:21" ht="15.75" customHeight="1" x14ac:dyDescent="0.25">
      <c r="A523" s="35" t="str">
        <f>IF(ISNONTEXT(deployment_raw[[#This Row],[Column1]]), "", deployment_raw[[#This Row],[Column1]])</f>
        <v/>
      </c>
      <c r="B523" s="36" t="str">
        <f>IF(ISNONTEXT(deployment_raw[[#This Row],[Column2]]), "", deployment_raw[[#This Row],[Column2]])</f>
        <v/>
      </c>
      <c r="C523" s="36" t="str">
        <f>IF(ISNONTEXT(deployment_raw[[#This Row],[Column3]]), "", deployment_raw[[#This Row],[Column3]])</f>
        <v/>
      </c>
      <c r="D523" s="36" t="str">
        <f>IF(ISNONTEXT(deployment_raw[[#This Row],[Column4]]), "", deployment_raw[[#This Row],[Column4]])</f>
        <v/>
      </c>
      <c r="E523" s="37" t="str">
        <f>IF(ISNUMBER(deployment_raw[[#This Row],[Column5]]), deployment_raw[[#This Row],[Column5]],"")</f>
        <v/>
      </c>
      <c r="F523" s="94" t="str">
        <f>IF(ISNUMBER(deployment_raw[[#This Row],[Column6]]), (deployment_raw[[#This Row],[Column6]] * IF($E$2="Deployment",deployment_raw[[#This Row],[Column5]],1)),"")</f>
        <v/>
      </c>
      <c r="G523" s="95" t="str">
        <f>IF(ISNUMBER(deployment_raw[[#This Row],[Column7]]), (deployment_raw[[#This Row],[Column7]] * IF($E$2="Deployment",deployment_raw[[#This Row],[Column5]],1))/1048576,"")</f>
        <v/>
      </c>
      <c r="H523" s="95" t="str">
        <f>IF(ISNUMBER(deployment_raw[[#This Row],[Column8]]), (deployment_raw[[#This Row],[Column8]]  * IF($E$2="Deployment",deployment_raw[[#This Row],[Column5]],1)),"")</f>
        <v/>
      </c>
      <c r="I523" s="96" t="str">
        <f>IF(ISNUMBER(deployment_raw[[#This Row],[Column9]]), (deployment_raw[[#This Row],[Column9]] * IF($E$2="Deployment",deployment_raw[[#This Row],[Column5]],1))/1048576,"")</f>
        <v/>
      </c>
      <c r="J523" s="122" t="str">
        <f>IF(ISNUMBER(deployment_raw[[#This Row],[Column10]]), (MIN(IF(N523&lt;&gt;"",N523,9999999999999)*1.1,deployment_raw[[#This Row],[Column10]] * IF($E$2="Deployment",deployment_raw[[#This Row],[Column5]],1))),"")</f>
        <v/>
      </c>
      <c r="K523" s="123" t="str">
        <f>IF(ISNUMBER(deployment_raw[[#This Row],[Column11]]), (MIN(IF(O523&lt;&gt;"",O523,9999999999999)*1.1,deployment_raw[[#This Row],[Column11]] * IF($E$2="Deployment",deployment_raw[[#This Row],[Column5]],1)/1048576)),"")</f>
        <v/>
      </c>
      <c r="L523" s="124" t="str">
        <f>IF(ISNUMBER(deployment_raw[[#This Row],[Column8]]),IF(OR(deployment_raw[[#This Row],[Column5]] &lt;&gt; 0,$E$2 &lt;&gt; "Deployment"), MAX(J523, P523, R523, ($L$2 * IF($E$2="Deployment",deployment_raw[[#This Row],[Column5]],1)),IF(T523&lt;&gt;"",VALUE(T523) * IF($E$2="Deployment",deployment_raw[[#This Row],[Column5]],1),0)), 0),"")</f>
        <v/>
      </c>
      <c r="M523" s="125" t="str">
        <f>IF(ISNUMBER(deployment_raw[[#This Row],[Column9]]),IF(OR(deployment_raw[[#This Row],[Column5]] &lt;&gt; 0,$E$2&lt;&gt;"Deployment"), MAX(K523, Q523, S523, ($M$2 * IF($E$2="Deployment",deployment_raw[[#This Row],[Column5]],1)),IF(U523&lt;&gt;"",VALUE(U523) * IF($E$2="Deployment",deployment_raw[[#This Row],[Column5]],1),0)), 0),"")</f>
        <v/>
      </c>
      <c r="N523" s="166" t="str">
        <f>IF(ISNUMBER(deployment_raw[[#This Row],[Column14]]), deployment_raw[[#This Row],[Column14]]/IF(OR($E$2="Deployment",deployment_raw[[#This Row],[Column5]]=0),1,deployment_raw[[#This Row],[Column5]]),"")</f>
        <v/>
      </c>
      <c r="O523" s="167" t="str">
        <f>IF(ISNUMBER(deployment_raw[[#This Row],[Column15]]), deployment_raw[[#This Row],[Column15]]/IF(OR($E$2="Deployment",deployment_raw[[#This Row],[Column5]]=0),1,deployment_raw[[#This Row],[Column5]])/1048576,"")</f>
        <v/>
      </c>
      <c r="P523" s="168" t="str">
        <f>IF(ISNUMBER(deployment_raw[[#This Row],[Column12]]), (MIN(IF(N523&lt;&gt;"",N523,9999999999999)*1.1,deployment_raw[[#This Row],[Column12]] * IF($E$2="Deployment",deployment_raw[[#This Row],[Column5]],1))*(1+$P$2)),"")</f>
        <v/>
      </c>
      <c r="Q523" s="167" t="str">
        <f>IF(ISNUMBER(deployment_raw[[#This Row],[Column13]]), (MIN(IF(O523&lt;&gt;"",O523,9999999999999)*1.1,deployment_raw[[#This Row],[Column13]] * IF($E$2="Deployment",deployment_raw[[#This Row],[Column5]],1)*(1+$Q$2)/1048576)),"")</f>
        <v/>
      </c>
      <c r="R523" s="169" t="str">
        <f>IF(ISNUMBER(deployment_raw[[#This Row],[Column8]]), (H523  * IF(N523&lt;&gt;0,$R$2,1)),"")</f>
        <v/>
      </c>
      <c r="S523" s="170" t="str">
        <f>IF(ISNUMBER(deployment_raw[[#This Row],[Column8]]), (I523  * IF(O523&lt;&gt;0,$S$2,1)),"")</f>
        <v/>
      </c>
      <c r="T523" s="202" t="str">
        <f>IF(AND(A523&lt;&gt;"",_xlfn.IFNA(MATCH(A523,'dynamic resource application '!$A$2:$A$100, 0),0)&lt;&gt;0), H523/(IF($E$2="Deployment",E523,1)),"")</f>
        <v/>
      </c>
      <c r="U523" s="211" t="str">
        <f>IF(AND(A523&lt;&gt;"",_xlfn.IFNA(MATCH(A523,'dynamic resource application '!$A$2:$A$100, 0),0)&lt;&gt;0), I523/(IF($E$2="Deployment",E523,1)),"")</f>
        <v/>
      </c>
    </row>
    <row r="524" spans="1:21" ht="15.75" customHeight="1" x14ac:dyDescent="0.25">
      <c r="A524" s="35" t="str">
        <f>IF(ISNONTEXT(deployment_raw[[#This Row],[Column1]]), "", deployment_raw[[#This Row],[Column1]])</f>
        <v/>
      </c>
      <c r="B524" s="36" t="str">
        <f>IF(ISNONTEXT(deployment_raw[[#This Row],[Column2]]), "", deployment_raw[[#This Row],[Column2]])</f>
        <v/>
      </c>
      <c r="C524" s="36" t="str">
        <f>IF(ISNONTEXT(deployment_raw[[#This Row],[Column3]]), "", deployment_raw[[#This Row],[Column3]])</f>
        <v/>
      </c>
      <c r="D524" s="36" t="str">
        <f>IF(ISNONTEXT(deployment_raw[[#This Row],[Column4]]), "", deployment_raw[[#This Row],[Column4]])</f>
        <v/>
      </c>
      <c r="E524" s="37" t="str">
        <f>IF(ISNUMBER(deployment_raw[[#This Row],[Column5]]), deployment_raw[[#This Row],[Column5]],"")</f>
        <v/>
      </c>
      <c r="F524" s="94" t="str">
        <f>IF(ISNUMBER(deployment_raw[[#This Row],[Column6]]), (deployment_raw[[#This Row],[Column6]] * IF($E$2="Deployment",deployment_raw[[#This Row],[Column5]],1)),"")</f>
        <v/>
      </c>
      <c r="G524" s="95" t="str">
        <f>IF(ISNUMBER(deployment_raw[[#This Row],[Column7]]), (deployment_raw[[#This Row],[Column7]] * IF($E$2="Deployment",deployment_raw[[#This Row],[Column5]],1))/1048576,"")</f>
        <v/>
      </c>
      <c r="H524" s="95" t="str">
        <f>IF(ISNUMBER(deployment_raw[[#This Row],[Column8]]), (deployment_raw[[#This Row],[Column8]]  * IF($E$2="Deployment",deployment_raw[[#This Row],[Column5]],1)),"")</f>
        <v/>
      </c>
      <c r="I524" s="96" t="str">
        <f>IF(ISNUMBER(deployment_raw[[#This Row],[Column9]]), (deployment_raw[[#This Row],[Column9]] * IF($E$2="Deployment",deployment_raw[[#This Row],[Column5]],1))/1048576,"")</f>
        <v/>
      </c>
      <c r="J524" s="122" t="str">
        <f>IF(ISNUMBER(deployment_raw[[#This Row],[Column10]]), (MIN(IF(N524&lt;&gt;"",N524,9999999999999)*1.1,deployment_raw[[#This Row],[Column10]] * IF($E$2="Deployment",deployment_raw[[#This Row],[Column5]],1))),"")</f>
        <v/>
      </c>
      <c r="K524" s="123" t="str">
        <f>IF(ISNUMBER(deployment_raw[[#This Row],[Column11]]), (MIN(IF(O524&lt;&gt;"",O524,9999999999999)*1.1,deployment_raw[[#This Row],[Column11]] * IF($E$2="Deployment",deployment_raw[[#This Row],[Column5]],1)/1048576)),"")</f>
        <v/>
      </c>
      <c r="L524" s="124" t="str">
        <f>IF(ISNUMBER(deployment_raw[[#This Row],[Column8]]),IF(OR(deployment_raw[[#This Row],[Column5]] &lt;&gt; 0,$E$2 &lt;&gt; "Deployment"), MAX(J524, P524, R524, ($L$2 * IF($E$2="Deployment",deployment_raw[[#This Row],[Column5]],1)),IF(T524&lt;&gt;"",VALUE(T524) * IF($E$2="Deployment",deployment_raw[[#This Row],[Column5]],1),0)), 0),"")</f>
        <v/>
      </c>
      <c r="M524" s="125" t="str">
        <f>IF(ISNUMBER(deployment_raw[[#This Row],[Column9]]),IF(OR(deployment_raw[[#This Row],[Column5]] &lt;&gt; 0,$E$2&lt;&gt;"Deployment"), MAX(K524, Q524, S524, ($M$2 * IF($E$2="Deployment",deployment_raw[[#This Row],[Column5]],1)),IF(U524&lt;&gt;"",VALUE(U524) * IF($E$2="Deployment",deployment_raw[[#This Row],[Column5]],1),0)), 0),"")</f>
        <v/>
      </c>
      <c r="N524" s="166" t="str">
        <f>IF(ISNUMBER(deployment_raw[[#This Row],[Column14]]), deployment_raw[[#This Row],[Column14]]/IF(OR($E$2="Deployment",deployment_raw[[#This Row],[Column5]]=0),1,deployment_raw[[#This Row],[Column5]]),"")</f>
        <v/>
      </c>
      <c r="O524" s="167" t="str">
        <f>IF(ISNUMBER(deployment_raw[[#This Row],[Column15]]), deployment_raw[[#This Row],[Column15]]/IF(OR($E$2="Deployment",deployment_raw[[#This Row],[Column5]]=0),1,deployment_raw[[#This Row],[Column5]])/1048576,"")</f>
        <v/>
      </c>
      <c r="P524" s="168" t="str">
        <f>IF(ISNUMBER(deployment_raw[[#This Row],[Column12]]), (MIN(IF(N524&lt;&gt;"",N524,9999999999999)*1.1,deployment_raw[[#This Row],[Column12]] * IF($E$2="Deployment",deployment_raw[[#This Row],[Column5]],1))*(1+$P$2)),"")</f>
        <v/>
      </c>
      <c r="Q524" s="167" t="str">
        <f>IF(ISNUMBER(deployment_raw[[#This Row],[Column13]]), (MIN(IF(O524&lt;&gt;"",O524,9999999999999)*1.1,deployment_raw[[#This Row],[Column13]] * IF($E$2="Deployment",deployment_raw[[#This Row],[Column5]],1)*(1+$Q$2)/1048576)),"")</f>
        <v/>
      </c>
      <c r="R524" s="169" t="str">
        <f>IF(ISNUMBER(deployment_raw[[#This Row],[Column8]]), (H524  * IF(N524&lt;&gt;0,$R$2,1)),"")</f>
        <v/>
      </c>
      <c r="S524" s="170" t="str">
        <f>IF(ISNUMBER(deployment_raw[[#This Row],[Column8]]), (I524  * IF(O524&lt;&gt;0,$S$2,1)),"")</f>
        <v/>
      </c>
      <c r="T524" s="202" t="str">
        <f>IF(AND(A524&lt;&gt;"",_xlfn.IFNA(MATCH(A524,'dynamic resource application '!$A$2:$A$100, 0),0)&lt;&gt;0), H524/(IF($E$2="Deployment",E524,1)),"")</f>
        <v/>
      </c>
      <c r="U524" s="211" t="str">
        <f>IF(AND(A524&lt;&gt;"",_xlfn.IFNA(MATCH(A524,'dynamic resource application '!$A$2:$A$100, 0),0)&lt;&gt;0), I524/(IF($E$2="Deployment",E524,1)),"")</f>
        <v/>
      </c>
    </row>
    <row r="525" spans="1:21" ht="15.75" customHeight="1" x14ac:dyDescent="0.25">
      <c r="A525" s="35" t="str">
        <f>IF(ISNONTEXT(deployment_raw[[#This Row],[Column1]]), "", deployment_raw[[#This Row],[Column1]])</f>
        <v/>
      </c>
      <c r="B525" s="36" t="str">
        <f>IF(ISNONTEXT(deployment_raw[[#This Row],[Column2]]), "", deployment_raw[[#This Row],[Column2]])</f>
        <v/>
      </c>
      <c r="C525" s="36" t="str">
        <f>IF(ISNONTEXT(deployment_raw[[#This Row],[Column3]]), "", deployment_raw[[#This Row],[Column3]])</f>
        <v/>
      </c>
      <c r="D525" s="36" t="str">
        <f>IF(ISNONTEXT(deployment_raw[[#This Row],[Column4]]), "", deployment_raw[[#This Row],[Column4]])</f>
        <v/>
      </c>
      <c r="E525" s="37" t="str">
        <f>IF(ISNUMBER(deployment_raw[[#This Row],[Column5]]), deployment_raw[[#This Row],[Column5]],"")</f>
        <v/>
      </c>
      <c r="F525" s="94" t="str">
        <f>IF(ISNUMBER(deployment_raw[[#This Row],[Column6]]), (deployment_raw[[#This Row],[Column6]] * IF($E$2="Deployment",deployment_raw[[#This Row],[Column5]],1)),"")</f>
        <v/>
      </c>
      <c r="G525" s="95" t="str">
        <f>IF(ISNUMBER(deployment_raw[[#This Row],[Column7]]), (deployment_raw[[#This Row],[Column7]] * IF($E$2="Deployment",deployment_raw[[#This Row],[Column5]],1))/1048576,"")</f>
        <v/>
      </c>
      <c r="H525" s="95" t="str">
        <f>IF(ISNUMBER(deployment_raw[[#This Row],[Column8]]), (deployment_raw[[#This Row],[Column8]]  * IF($E$2="Deployment",deployment_raw[[#This Row],[Column5]],1)),"")</f>
        <v/>
      </c>
      <c r="I525" s="96" t="str">
        <f>IF(ISNUMBER(deployment_raw[[#This Row],[Column9]]), (deployment_raw[[#This Row],[Column9]] * IF($E$2="Deployment",deployment_raw[[#This Row],[Column5]],1))/1048576,"")</f>
        <v/>
      </c>
      <c r="J525" s="122" t="str">
        <f>IF(ISNUMBER(deployment_raw[[#This Row],[Column10]]), (MIN(IF(N525&lt;&gt;"",N525,9999999999999)*1.1,deployment_raw[[#This Row],[Column10]] * IF($E$2="Deployment",deployment_raw[[#This Row],[Column5]],1))),"")</f>
        <v/>
      </c>
      <c r="K525" s="123" t="str">
        <f>IF(ISNUMBER(deployment_raw[[#This Row],[Column11]]), (MIN(IF(O525&lt;&gt;"",O525,9999999999999)*1.1,deployment_raw[[#This Row],[Column11]] * IF($E$2="Deployment",deployment_raw[[#This Row],[Column5]],1)/1048576)),"")</f>
        <v/>
      </c>
      <c r="L525" s="124" t="str">
        <f>IF(ISNUMBER(deployment_raw[[#This Row],[Column8]]),IF(OR(deployment_raw[[#This Row],[Column5]] &lt;&gt; 0,$E$2 &lt;&gt; "Deployment"), MAX(J525, P525, R525, ($L$2 * IF($E$2="Deployment",deployment_raw[[#This Row],[Column5]],1)),IF(T525&lt;&gt;"",VALUE(T525) * IF($E$2="Deployment",deployment_raw[[#This Row],[Column5]],1),0)), 0),"")</f>
        <v/>
      </c>
      <c r="M525" s="125" t="str">
        <f>IF(ISNUMBER(deployment_raw[[#This Row],[Column9]]),IF(OR(deployment_raw[[#This Row],[Column5]] &lt;&gt; 0,$E$2&lt;&gt;"Deployment"), MAX(K525, Q525, S525, ($M$2 * IF($E$2="Deployment",deployment_raw[[#This Row],[Column5]],1)),IF(U525&lt;&gt;"",VALUE(U525) * IF($E$2="Deployment",deployment_raw[[#This Row],[Column5]],1),0)), 0),"")</f>
        <v/>
      </c>
      <c r="N525" s="166" t="str">
        <f>IF(ISNUMBER(deployment_raw[[#This Row],[Column14]]), deployment_raw[[#This Row],[Column14]]/IF(OR($E$2="Deployment",deployment_raw[[#This Row],[Column5]]=0),1,deployment_raw[[#This Row],[Column5]]),"")</f>
        <v/>
      </c>
      <c r="O525" s="167" t="str">
        <f>IF(ISNUMBER(deployment_raw[[#This Row],[Column15]]), deployment_raw[[#This Row],[Column15]]/IF(OR($E$2="Deployment",deployment_raw[[#This Row],[Column5]]=0),1,deployment_raw[[#This Row],[Column5]])/1048576,"")</f>
        <v/>
      </c>
      <c r="P525" s="168" t="str">
        <f>IF(ISNUMBER(deployment_raw[[#This Row],[Column12]]), (MIN(IF(N525&lt;&gt;"",N525,9999999999999)*1.1,deployment_raw[[#This Row],[Column12]] * IF($E$2="Deployment",deployment_raw[[#This Row],[Column5]],1))*(1+$P$2)),"")</f>
        <v/>
      </c>
      <c r="Q525" s="167" t="str">
        <f>IF(ISNUMBER(deployment_raw[[#This Row],[Column13]]), (MIN(IF(O525&lt;&gt;"",O525,9999999999999)*1.1,deployment_raw[[#This Row],[Column13]] * IF($E$2="Deployment",deployment_raw[[#This Row],[Column5]],1)*(1+$Q$2)/1048576)),"")</f>
        <v/>
      </c>
      <c r="R525" s="169" t="str">
        <f>IF(ISNUMBER(deployment_raw[[#This Row],[Column8]]), (H525  * IF(N525&lt;&gt;0,$R$2,1)),"")</f>
        <v/>
      </c>
      <c r="S525" s="170" t="str">
        <f>IF(ISNUMBER(deployment_raw[[#This Row],[Column8]]), (I525  * IF(O525&lt;&gt;0,$S$2,1)),"")</f>
        <v/>
      </c>
      <c r="T525" s="202" t="str">
        <f>IF(AND(A525&lt;&gt;"",_xlfn.IFNA(MATCH(A525,'dynamic resource application '!$A$2:$A$100, 0),0)&lt;&gt;0), H525/(IF($E$2="Deployment",E525,1)),"")</f>
        <v/>
      </c>
      <c r="U525" s="211" t="str">
        <f>IF(AND(A525&lt;&gt;"",_xlfn.IFNA(MATCH(A525,'dynamic resource application '!$A$2:$A$100, 0),0)&lt;&gt;0), I525/(IF($E$2="Deployment",E525,1)),"")</f>
        <v/>
      </c>
    </row>
    <row r="526" spans="1:21" ht="15.75" customHeight="1" x14ac:dyDescent="0.25">
      <c r="A526" s="35" t="str">
        <f>IF(ISNONTEXT(deployment_raw[[#This Row],[Column1]]), "", deployment_raw[[#This Row],[Column1]])</f>
        <v/>
      </c>
      <c r="B526" s="36" t="str">
        <f>IF(ISNONTEXT(deployment_raw[[#This Row],[Column2]]), "", deployment_raw[[#This Row],[Column2]])</f>
        <v/>
      </c>
      <c r="C526" s="36" t="str">
        <f>IF(ISNONTEXT(deployment_raw[[#This Row],[Column3]]), "", deployment_raw[[#This Row],[Column3]])</f>
        <v/>
      </c>
      <c r="D526" s="36" t="str">
        <f>IF(ISNONTEXT(deployment_raw[[#This Row],[Column4]]), "", deployment_raw[[#This Row],[Column4]])</f>
        <v/>
      </c>
      <c r="E526" s="37" t="str">
        <f>IF(ISNUMBER(deployment_raw[[#This Row],[Column5]]), deployment_raw[[#This Row],[Column5]],"")</f>
        <v/>
      </c>
      <c r="F526" s="94" t="str">
        <f>IF(ISNUMBER(deployment_raw[[#This Row],[Column6]]), (deployment_raw[[#This Row],[Column6]] * IF($E$2="Deployment",deployment_raw[[#This Row],[Column5]],1)),"")</f>
        <v/>
      </c>
      <c r="G526" s="95" t="str">
        <f>IF(ISNUMBER(deployment_raw[[#This Row],[Column7]]), (deployment_raw[[#This Row],[Column7]] * IF($E$2="Deployment",deployment_raw[[#This Row],[Column5]],1))/1048576,"")</f>
        <v/>
      </c>
      <c r="H526" s="95" t="str">
        <f>IF(ISNUMBER(deployment_raw[[#This Row],[Column8]]), (deployment_raw[[#This Row],[Column8]]  * IF($E$2="Deployment",deployment_raw[[#This Row],[Column5]],1)),"")</f>
        <v/>
      </c>
      <c r="I526" s="96" t="str">
        <f>IF(ISNUMBER(deployment_raw[[#This Row],[Column9]]), (deployment_raw[[#This Row],[Column9]] * IF($E$2="Deployment",deployment_raw[[#This Row],[Column5]],1))/1048576,"")</f>
        <v/>
      </c>
      <c r="J526" s="122" t="str">
        <f>IF(ISNUMBER(deployment_raw[[#This Row],[Column10]]), (MIN(IF(N526&lt;&gt;"",N526,9999999999999)*1.1,deployment_raw[[#This Row],[Column10]] * IF($E$2="Deployment",deployment_raw[[#This Row],[Column5]],1))),"")</f>
        <v/>
      </c>
      <c r="K526" s="123" t="str">
        <f>IF(ISNUMBER(deployment_raw[[#This Row],[Column11]]), (MIN(IF(O526&lt;&gt;"",O526,9999999999999)*1.1,deployment_raw[[#This Row],[Column11]] * IF($E$2="Deployment",deployment_raw[[#This Row],[Column5]],1)/1048576)),"")</f>
        <v/>
      </c>
      <c r="L526" s="124" t="str">
        <f>IF(ISNUMBER(deployment_raw[[#This Row],[Column8]]),IF(OR(deployment_raw[[#This Row],[Column5]] &lt;&gt; 0,$E$2 &lt;&gt; "Deployment"), MAX(J526, P526, R526, ($L$2 * IF($E$2="Deployment",deployment_raw[[#This Row],[Column5]],1)),IF(T526&lt;&gt;"",VALUE(T526) * IF($E$2="Deployment",deployment_raw[[#This Row],[Column5]],1),0)), 0),"")</f>
        <v/>
      </c>
      <c r="M526" s="125" t="str">
        <f>IF(ISNUMBER(deployment_raw[[#This Row],[Column9]]),IF(OR(deployment_raw[[#This Row],[Column5]] &lt;&gt; 0,$E$2&lt;&gt;"Deployment"), MAX(K526, Q526, S526, ($M$2 * IF($E$2="Deployment",deployment_raw[[#This Row],[Column5]],1)),IF(U526&lt;&gt;"",VALUE(U526) * IF($E$2="Deployment",deployment_raw[[#This Row],[Column5]],1),0)), 0),"")</f>
        <v/>
      </c>
      <c r="N526" s="166" t="str">
        <f>IF(ISNUMBER(deployment_raw[[#This Row],[Column14]]), deployment_raw[[#This Row],[Column14]]/IF(OR($E$2="Deployment",deployment_raw[[#This Row],[Column5]]=0),1,deployment_raw[[#This Row],[Column5]]),"")</f>
        <v/>
      </c>
      <c r="O526" s="167" t="str">
        <f>IF(ISNUMBER(deployment_raw[[#This Row],[Column15]]), deployment_raw[[#This Row],[Column15]]/IF(OR($E$2="Deployment",deployment_raw[[#This Row],[Column5]]=0),1,deployment_raw[[#This Row],[Column5]])/1048576,"")</f>
        <v/>
      </c>
      <c r="P526" s="168" t="str">
        <f>IF(ISNUMBER(deployment_raw[[#This Row],[Column12]]), (MIN(IF(N526&lt;&gt;"",N526,9999999999999)*1.1,deployment_raw[[#This Row],[Column12]] * IF($E$2="Deployment",deployment_raw[[#This Row],[Column5]],1))*(1+$P$2)),"")</f>
        <v/>
      </c>
      <c r="Q526" s="167" t="str">
        <f>IF(ISNUMBER(deployment_raw[[#This Row],[Column13]]), (MIN(IF(O526&lt;&gt;"",O526,9999999999999)*1.1,deployment_raw[[#This Row],[Column13]] * IF($E$2="Deployment",deployment_raw[[#This Row],[Column5]],1)*(1+$Q$2)/1048576)),"")</f>
        <v/>
      </c>
      <c r="R526" s="169" t="str">
        <f>IF(ISNUMBER(deployment_raw[[#This Row],[Column8]]), (H526  * IF(N526&lt;&gt;0,$R$2,1)),"")</f>
        <v/>
      </c>
      <c r="S526" s="170" t="str">
        <f>IF(ISNUMBER(deployment_raw[[#This Row],[Column8]]), (I526  * IF(O526&lt;&gt;0,$S$2,1)),"")</f>
        <v/>
      </c>
      <c r="T526" s="202" t="str">
        <f>IF(AND(A526&lt;&gt;"",_xlfn.IFNA(MATCH(A526,'dynamic resource application '!$A$2:$A$100, 0),0)&lt;&gt;0), H526/(IF($E$2="Deployment",E526,1)),"")</f>
        <v/>
      </c>
      <c r="U526" s="211" t="str">
        <f>IF(AND(A526&lt;&gt;"",_xlfn.IFNA(MATCH(A526,'dynamic resource application '!$A$2:$A$100, 0),0)&lt;&gt;0), I526/(IF($E$2="Deployment",E526,1)),"")</f>
        <v/>
      </c>
    </row>
    <row r="527" spans="1:21" ht="15.75" customHeight="1" x14ac:dyDescent="0.25">
      <c r="A527" s="35" t="str">
        <f>IF(ISNONTEXT(deployment_raw[[#This Row],[Column1]]), "", deployment_raw[[#This Row],[Column1]])</f>
        <v/>
      </c>
      <c r="B527" s="36" t="str">
        <f>IF(ISNONTEXT(deployment_raw[[#This Row],[Column2]]), "", deployment_raw[[#This Row],[Column2]])</f>
        <v/>
      </c>
      <c r="C527" s="36" t="str">
        <f>IF(ISNONTEXT(deployment_raw[[#This Row],[Column3]]), "", deployment_raw[[#This Row],[Column3]])</f>
        <v/>
      </c>
      <c r="D527" s="36" t="str">
        <f>IF(ISNONTEXT(deployment_raw[[#This Row],[Column4]]), "", deployment_raw[[#This Row],[Column4]])</f>
        <v/>
      </c>
      <c r="E527" s="37" t="str">
        <f>IF(ISNUMBER(deployment_raw[[#This Row],[Column5]]), deployment_raw[[#This Row],[Column5]],"")</f>
        <v/>
      </c>
      <c r="F527" s="94" t="str">
        <f>IF(ISNUMBER(deployment_raw[[#This Row],[Column6]]), (deployment_raw[[#This Row],[Column6]] * IF($E$2="Deployment",deployment_raw[[#This Row],[Column5]],1)),"")</f>
        <v/>
      </c>
      <c r="G527" s="95" t="str">
        <f>IF(ISNUMBER(deployment_raw[[#This Row],[Column7]]), (deployment_raw[[#This Row],[Column7]] * IF($E$2="Deployment",deployment_raw[[#This Row],[Column5]],1))/1048576,"")</f>
        <v/>
      </c>
      <c r="H527" s="95" t="str">
        <f>IF(ISNUMBER(deployment_raw[[#This Row],[Column8]]), (deployment_raw[[#This Row],[Column8]]  * IF($E$2="Deployment",deployment_raw[[#This Row],[Column5]],1)),"")</f>
        <v/>
      </c>
      <c r="I527" s="96" t="str">
        <f>IF(ISNUMBER(deployment_raw[[#This Row],[Column9]]), (deployment_raw[[#This Row],[Column9]] * IF($E$2="Deployment",deployment_raw[[#This Row],[Column5]],1))/1048576,"")</f>
        <v/>
      </c>
      <c r="J527" s="122" t="str">
        <f>IF(ISNUMBER(deployment_raw[[#This Row],[Column10]]), (MIN(IF(N527&lt;&gt;"",N527,9999999999999)*1.1,deployment_raw[[#This Row],[Column10]] * IF($E$2="Deployment",deployment_raw[[#This Row],[Column5]],1))),"")</f>
        <v/>
      </c>
      <c r="K527" s="123" t="str">
        <f>IF(ISNUMBER(deployment_raw[[#This Row],[Column11]]), (MIN(IF(O527&lt;&gt;"",O527,9999999999999)*1.1,deployment_raw[[#This Row],[Column11]] * IF($E$2="Deployment",deployment_raw[[#This Row],[Column5]],1)/1048576)),"")</f>
        <v/>
      </c>
      <c r="L527" s="124" t="str">
        <f>IF(ISNUMBER(deployment_raw[[#This Row],[Column8]]),IF(OR(deployment_raw[[#This Row],[Column5]] &lt;&gt; 0,$E$2 &lt;&gt; "Deployment"), MAX(J527, P527, R527, ($L$2 * IF($E$2="Deployment",deployment_raw[[#This Row],[Column5]],1)),IF(T527&lt;&gt;"",VALUE(T527) * IF($E$2="Deployment",deployment_raw[[#This Row],[Column5]],1),0)), 0),"")</f>
        <v/>
      </c>
      <c r="M527" s="125" t="str">
        <f>IF(ISNUMBER(deployment_raw[[#This Row],[Column9]]),IF(OR(deployment_raw[[#This Row],[Column5]] &lt;&gt; 0,$E$2&lt;&gt;"Deployment"), MAX(K527, Q527, S527, ($M$2 * IF($E$2="Deployment",deployment_raw[[#This Row],[Column5]],1)),IF(U527&lt;&gt;"",VALUE(U527) * IF($E$2="Deployment",deployment_raw[[#This Row],[Column5]],1),0)), 0),"")</f>
        <v/>
      </c>
      <c r="N527" s="166" t="str">
        <f>IF(ISNUMBER(deployment_raw[[#This Row],[Column14]]), deployment_raw[[#This Row],[Column14]]/IF(OR($E$2="Deployment",deployment_raw[[#This Row],[Column5]]=0),1,deployment_raw[[#This Row],[Column5]]),"")</f>
        <v/>
      </c>
      <c r="O527" s="167" t="str">
        <f>IF(ISNUMBER(deployment_raw[[#This Row],[Column15]]), deployment_raw[[#This Row],[Column15]]/IF(OR($E$2="Deployment",deployment_raw[[#This Row],[Column5]]=0),1,deployment_raw[[#This Row],[Column5]])/1048576,"")</f>
        <v/>
      </c>
      <c r="P527" s="168" t="str">
        <f>IF(ISNUMBER(deployment_raw[[#This Row],[Column12]]), (MIN(IF(N527&lt;&gt;"",N527,9999999999999)*1.1,deployment_raw[[#This Row],[Column12]] * IF($E$2="Deployment",deployment_raw[[#This Row],[Column5]],1))*(1+$P$2)),"")</f>
        <v/>
      </c>
      <c r="Q527" s="167" t="str">
        <f>IF(ISNUMBER(deployment_raw[[#This Row],[Column13]]), (MIN(IF(O527&lt;&gt;"",O527,9999999999999)*1.1,deployment_raw[[#This Row],[Column13]] * IF($E$2="Deployment",deployment_raw[[#This Row],[Column5]],1)*(1+$Q$2)/1048576)),"")</f>
        <v/>
      </c>
      <c r="R527" s="169" t="str">
        <f>IF(ISNUMBER(deployment_raw[[#This Row],[Column8]]), (H527  * IF(N527&lt;&gt;0,$R$2,1)),"")</f>
        <v/>
      </c>
      <c r="S527" s="170" t="str">
        <f>IF(ISNUMBER(deployment_raw[[#This Row],[Column8]]), (I527  * IF(O527&lt;&gt;0,$S$2,1)),"")</f>
        <v/>
      </c>
      <c r="T527" s="202" t="str">
        <f>IF(AND(A527&lt;&gt;"",_xlfn.IFNA(MATCH(A527,'dynamic resource application '!$A$2:$A$100, 0),0)&lt;&gt;0), H527/(IF($E$2="Deployment",E527,1)),"")</f>
        <v/>
      </c>
      <c r="U527" s="211" t="str">
        <f>IF(AND(A527&lt;&gt;"",_xlfn.IFNA(MATCH(A527,'dynamic resource application '!$A$2:$A$100, 0),0)&lt;&gt;0), I527/(IF($E$2="Deployment",E527,1)),"")</f>
        <v/>
      </c>
    </row>
    <row r="528" spans="1:21" ht="15.75" customHeight="1" x14ac:dyDescent="0.25">
      <c r="A528" s="35" t="str">
        <f>IF(ISNONTEXT(deployment_raw[[#This Row],[Column1]]), "", deployment_raw[[#This Row],[Column1]])</f>
        <v/>
      </c>
      <c r="B528" s="36" t="str">
        <f>IF(ISNONTEXT(deployment_raw[[#This Row],[Column2]]), "", deployment_raw[[#This Row],[Column2]])</f>
        <v/>
      </c>
      <c r="C528" s="36" t="str">
        <f>IF(ISNONTEXT(deployment_raw[[#This Row],[Column3]]), "", deployment_raw[[#This Row],[Column3]])</f>
        <v/>
      </c>
      <c r="D528" s="36" t="str">
        <f>IF(ISNONTEXT(deployment_raw[[#This Row],[Column4]]), "", deployment_raw[[#This Row],[Column4]])</f>
        <v/>
      </c>
      <c r="E528" s="37" t="str">
        <f>IF(ISNUMBER(deployment_raw[[#This Row],[Column5]]), deployment_raw[[#This Row],[Column5]],"")</f>
        <v/>
      </c>
      <c r="F528" s="94" t="str">
        <f>IF(ISNUMBER(deployment_raw[[#This Row],[Column6]]), (deployment_raw[[#This Row],[Column6]] * IF($E$2="Deployment",deployment_raw[[#This Row],[Column5]],1)),"")</f>
        <v/>
      </c>
      <c r="G528" s="95" t="str">
        <f>IF(ISNUMBER(deployment_raw[[#This Row],[Column7]]), (deployment_raw[[#This Row],[Column7]] * IF($E$2="Deployment",deployment_raw[[#This Row],[Column5]],1))/1048576,"")</f>
        <v/>
      </c>
      <c r="H528" s="95" t="str">
        <f>IF(ISNUMBER(deployment_raw[[#This Row],[Column8]]), (deployment_raw[[#This Row],[Column8]]  * IF($E$2="Deployment",deployment_raw[[#This Row],[Column5]],1)),"")</f>
        <v/>
      </c>
      <c r="I528" s="96" t="str">
        <f>IF(ISNUMBER(deployment_raw[[#This Row],[Column9]]), (deployment_raw[[#This Row],[Column9]] * IF($E$2="Deployment",deployment_raw[[#This Row],[Column5]],1))/1048576,"")</f>
        <v/>
      </c>
      <c r="J528" s="122" t="str">
        <f>IF(ISNUMBER(deployment_raw[[#This Row],[Column10]]), (MIN(IF(N528&lt;&gt;"",N528,9999999999999)*1.1,deployment_raw[[#This Row],[Column10]] * IF($E$2="Deployment",deployment_raw[[#This Row],[Column5]],1))),"")</f>
        <v/>
      </c>
      <c r="K528" s="123" t="str">
        <f>IF(ISNUMBER(deployment_raw[[#This Row],[Column11]]), (MIN(IF(O528&lt;&gt;"",O528,9999999999999)*1.1,deployment_raw[[#This Row],[Column11]] * IF($E$2="Deployment",deployment_raw[[#This Row],[Column5]],1)/1048576)),"")</f>
        <v/>
      </c>
      <c r="L528" s="124" t="str">
        <f>IF(ISNUMBER(deployment_raw[[#This Row],[Column8]]),IF(OR(deployment_raw[[#This Row],[Column5]] &lt;&gt; 0,$E$2 &lt;&gt; "Deployment"), MAX(J528, P528, R528, ($L$2 * IF($E$2="Deployment",deployment_raw[[#This Row],[Column5]],1)),IF(T528&lt;&gt;"",VALUE(T528) * IF($E$2="Deployment",deployment_raw[[#This Row],[Column5]],1),0)), 0),"")</f>
        <v/>
      </c>
      <c r="M528" s="125" t="str">
        <f>IF(ISNUMBER(deployment_raw[[#This Row],[Column9]]),IF(OR(deployment_raw[[#This Row],[Column5]] &lt;&gt; 0,$E$2&lt;&gt;"Deployment"), MAX(K528, Q528, S528, ($M$2 * IF($E$2="Deployment",deployment_raw[[#This Row],[Column5]],1)),IF(U528&lt;&gt;"",VALUE(U528) * IF($E$2="Deployment",deployment_raw[[#This Row],[Column5]],1),0)), 0),"")</f>
        <v/>
      </c>
      <c r="N528" s="166" t="str">
        <f>IF(ISNUMBER(deployment_raw[[#This Row],[Column14]]), deployment_raw[[#This Row],[Column14]]/IF(OR($E$2="Deployment",deployment_raw[[#This Row],[Column5]]=0),1,deployment_raw[[#This Row],[Column5]]),"")</f>
        <v/>
      </c>
      <c r="O528" s="167" t="str">
        <f>IF(ISNUMBER(deployment_raw[[#This Row],[Column15]]), deployment_raw[[#This Row],[Column15]]/IF(OR($E$2="Deployment",deployment_raw[[#This Row],[Column5]]=0),1,deployment_raw[[#This Row],[Column5]])/1048576,"")</f>
        <v/>
      </c>
      <c r="P528" s="168" t="str">
        <f>IF(ISNUMBER(deployment_raw[[#This Row],[Column12]]), (MIN(IF(N528&lt;&gt;"",N528,9999999999999)*1.1,deployment_raw[[#This Row],[Column12]] * IF($E$2="Deployment",deployment_raw[[#This Row],[Column5]],1))*(1+$P$2)),"")</f>
        <v/>
      </c>
      <c r="Q528" s="167" t="str">
        <f>IF(ISNUMBER(deployment_raw[[#This Row],[Column13]]), (MIN(IF(O528&lt;&gt;"",O528,9999999999999)*1.1,deployment_raw[[#This Row],[Column13]] * IF($E$2="Deployment",deployment_raw[[#This Row],[Column5]],1)*(1+$Q$2)/1048576)),"")</f>
        <v/>
      </c>
      <c r="R528" s="169" t="str">
        <f>IF(ISNUMBER(deployment_raw[[#This Row],[Column8]]), (H528  * IF(N528&lt;&gt;0,$R$2,1)),"")</f>
        <v/>
      </c>
      <c r="S528" s="170" t="str">
        <f>IF(ISNUMBER(deployment_raw[[#This Row],[Column8]]), (I528  * IF(O528&lt;&gt;0,$S$2,1)),"")</f>
        <v/>
      </c>
      <c r="T528" s="202" t="str">
        <f>IF(AND(A528&lt;&gt;"",_xlfn.IFNA(MATCH(A528,'dynamic resource application '!$A$2:$A$100, 0),0)&lt;&gt;0), H528/(IF($E$2="Deployment",E528,1)),"")</f>
        <v/>
      </c>
      <c r="U528" s="211" t="str">
        <f>IF(AND(A528&lt;&gt;"",_xlfn.IFNA(MATCH(A528,'dynamic resource application '!$A$2:$A$100, 0),0)&lt;&gt;0), I528/(IF($E$2="Deployment",E528,1)),"")</f>
        <v/>
      </c>
    </row>
    <row r="529" spans="1:21" ht="15.75" customHeight="1" x14ac:dyDescent="0.25">
      <c r="A529" s="35" t="str">
        <f>IF(ISNONTEXT(deployment_raw[[#This Row],[Column1]]), "", deployment_raw[[#This Row],[Column1]])</f>
        <v/>
      </c>
      <c r="B529" s="36" t="str">
        <f>IF(ISNONTEXT(deployment_raw[[#This Row],[Column2]]), "", deployment_raw[[#This Row],[Column2]])</f>
        <v/>
      </c>
      <c r="C529" s="36" t="str">
        <f>IF(ISNONTEXT(deployment_raw[[#This Row],[Column3]]), "", deployment_raw[[#This Row],[Column3]])</f>
        <v/>
      </c>
      <c r="D529" s="36" t="str">
        <f>IF(ISNONTEXT(deployment_raw[[#This Row],[Column4]]), "", deployment_raw[[#This Row],[Column4]])</f>
        <v/>
      </c>
      <c r="E529" s="37" t="str">
        <f>IF(ISNUMBER(deployment_raw[[#This Row],[Column5]]), deployment_raw[[#This Row],[Column5]],"")</f>
        <v/>
      </c>
      <c r="F529" s="94" t="str">
        <f>IF(ISNUMBER(deployment_raw[[#This Row],[Column6]]), (deployment_raw[[#This Row],[Column6]] * IF($E$2="Deployment",deployment_raw[[#This Row],[Column5]],1)),"")</f>
        <v/>
      </c>
      <c r="G529" s="95" t="str">
        <f>IF(ISNUMBER(deployment_raw[[#This Row],[Column7]]), (deployment_raw[[#This Row],[Column7]] * IF($E$2="Deployment",deployment_raw[[#This Row],[Column5]],1))/1048576,"")</f>
        <v/>
      </c>
      <c r="H529" s="95" t="str">
        <f>IF(ISNUMBER(deployment_raw[[#This Row],[Column8]]), (deployment_raw[[#This Row],[Column8]]  * IF($E$2="Deployment",deployment_raw[[#This Row],[Column5]],1)),"")</f>
        <v/>
      </c>
      <c r="I529" s="96" t="str">
        <f>IF(ISNUMBER(deployment_raw[[#This Row],[Column9]]), (deployment_raw[[#This Row],[Column9]] * IF($E$2="Deployment",deployment_raw[[#This Row],[Column5]],1))/1048576,"")</f>
        <v/>
      </c>
      <c r="J529" s="122" t="str">
        <f>IF(ISNUMBER(deployment_raw[[#This Row],[Column10]]), (MIN(IF(N529&lt;&gt;"",N529,9999999999999)*1.1,deployment_raw[[#This Row],[Column10]] * IF($E$2="Deployment",deployment_raw[[#This Row],[Column5]],1))),"")</f>
        <v/>
      </c>
      <c r="K529" s="123" t="str">
        <f>IF(ISNUMBER(deployment_raw[[#This Row],[Column11]]), (MIN(IF(O529&lt;&gt;"",O529,9999999999999)*1.1,deployment_raw[[#This Row],[Column11]] * IF($E$2="Deployment",deployment_raw[[#This Row],[Column5]],1)/1048576)),"")</f>
        <v/>
      </c>
      <c r="L529" s="124" t="str">
        <f>IF(ISNUMBER(deployment_raw[[#This Row],[Column8]]),IF(OR(deployment_raw[[#This Row],[Column5]] &lt;&gt; 0,$E$2 &lt;&gt; "Deployment"), MAX(J529, P529, R529, ($L$2 * IF($E$2="Deployment",deployment_raw[[#This Row],[Column5]],1)),IF(T529&lt;&gt;"",VALUE(T529) * IF($E$2="Deployment",deployment_raw[[#This Row],[Column5]],1),0)), 0),"")</f>
        <v/>
      </c>
      <c r="M529" s="125" t="str">
        <f>IF(ISNUMBER(deployment_raw[[#This Row],[Column9]]),IF(OR(deployment_raw[[#This Row],[Column5]] &lt;&gt; 0,$E$2&lt;&gt;"Deployment"), MAX(K529, Q529, S529, ($M$2 * IF($E$2="Deployment",deployment_raw[[#This Row],[Column5]],1)),IF(U529&lt;&gt;"",VALUE(U529) * IF($E$2="Deployment",deployment_raw[[#This Row],[Column5]],1),0)), 0),"")</f>
        <v/>
      </c>
      <c r="N529" s="166" t="str">
        <f>IF(ISNUMBER(deployment_raw[[#This Row],[Column14]]), deployment_raw[[#This Row],[Column14]]/IF(OR($E$2="Deployment",deployment_raw[[#This Row],[Column5]]=0),1,deployment_raw[[#This Row],[Column5]]),"")</f>
        <v/>
      </c>
      <c r="O529" s="167" t="str">
        <f>IF(ISNUMBER(deployment_raw[[#This Row],[Column15]]), deployment_raw[[#This Row],[Column15]]/IF(OR($E$2="Deployment",deployment_raw[[#This Row],[Column5]]=0),1,deployment_raw[[#This Row],[Column5]])/1048576,"")</f>
        <v/>
      </c>
      <c r="P529" s="168" t="str">
        <f>IF(ISNUMBER(deployment_raw[[#This Row],[Column12]]), (MIN(IF(N529&lt;&gt;"",N529,9999999999999)*1.1,deployment_raw[[#This Row],[Column12]] * IF($E$2="Deployment",deployment_raw[[#This Row],[Column5]],1))*(1+$P$2)),"")</f>
        <v/>
      </c>
      <c r="Q529" s="167" t="str">
        <f>IF(ISNUMBER(deployment_raw[[#This Row],[Column13]]), (MIN(IF(O529&lt;&gt;"",O529,9999999999999)*1.1,deployment_raw[[#This Row],[Column13]] * IF($E$2="Deployment",deployment_raw[[#This Row],[Column5]],1)*(1+$Q$2)/1048576)),"")</f>
        <v/>
      </c>
      <c r="R529" s="169" t="str">
        <f>IF(ISNUMBER(deployment_raw[[#This Row],[Column8]]), (H529  * IF(N529&lt;&gt;0,$R$2,1)),"")</f>
        <v/>
      </c>
      <c r="S529" s="170" t="str">
        <f>IF(ISNUMBER(deployment_raw[[#This Row],[Column8]]), (I529  * IF(O529&lt;&gt;0,$S$2,1)),"")</f>
        <v/>
      </c>
      <c r="T529" s="202" t="str">
        <f>IF(AND(A529&lt;&gt;"",_xlfn.IFNA(MATCH(A529,'dynamic resource application '!$A$2:$A$100, 0),0)&lt;&gt;0), H529/(IF($E$2="Deployment",E529,1)),"")</f>
        <v/>
      </c>
      <c r="U529" s="211" t="str">
        <f>IF(AND(A529&lt;&gt;"",_xlfn.IFNA(MATCH(A529,'dynamic resource application '!$A$2:$A$100, 0),0)&lt;&gt;0), I529/(IF($E$2="Deployment",E529,1)),"")</f>
        <v/>
      </c>
    </row>
    <row r="530" spans="1:21" ht="15.75" customHeight="1" x14ac:dyDescent="0.25">
      <c r="A530" s="35" t="str">
        <f>IF(ISNONTEXT(deployment_raw[[#This Row],[Column1]]), "", deployment_raw[[#This Row],[Column1]])</f>
        <v/>
      </c>
      <c r="B530" s="36" t="str">
        <f>IF(ISNONTEXT(deployment_raw[[#This Row],[Column2]]), "", deployment_raw[[#This Row],[Column2]])</f>
        <v/>
      </c>
      <c r="C530" s="36" t="str">
        <f>IF(ISNONTEXT(deployment_raw[[#This Row],[Column3]]), "", deployment_raw[[#This Row],[Column3]])</f>
        <v/>
      </c>
      <c r="D530" s="36" t="str">
        <f>IF(ISNONTEXT(deployment_raw[[#This Row],[Column4]]), "", deployment_raw[[#This Row],[Column4]])</f>
        <v/>
      </c>
      <c r="E530" s="37" t="str">
        <f>IF(ISNUMBER(deployment_raw[[#This Row],[Column5]]), deployment_raw[[#This Row],[Column5]],"")</f>
        <v/>
      </c>
      <c r="F530" s="94" t="str">
        <f>IF(ISNUMBER(deployment_raw[[#This Row],[Column6]]), (deployment_raw[[#This Row],[Column6]] * IF($E$2="Deployment",deployment_raw[[#This Row],[Column5]],1)),"")</f>
        <v/>
      </c>
      <c r="G530" s="95" t="str">
        <f>IF(ISNUMBER(deployment_raw[[#This Row],[Column7]]), (deployment_raw[[#This Row],[Column7]] * IF($E$2="Deployment",deployment_raw[[#This Row],[Column5]],1))/1048576,"")</f>
        <v/>
      </c>
      <c r="H530" s="95" t="str">
        <f>IF(ISNUMBER(deployment_raw[[#This Row],[Column8]]), (deployment_raw[[#This Row],[Column8]]  * IF($E$2="Deployment",deployment_raw[[#This Row],[Column5]],1)),"")</f>
        <v/>
      </c>
      <c r="I530" s="96" t="str">
        <f>IF(ISNUMBER(deployment_raw[[#This Row],[Column9]]), (deployment_raw[[#This Row],[Column9]] * IF($E$2="Deployment",deployment_raw[[#This Row],[Column5]],1))/1048576,"")</f>
        <v/>
      </c>
      <c r="J530" s="122" t="str">
        <f>IF(ISNUMBER(deployment_raw[[#This Row],[Column10]]), (MIN(IF(N530&lt;&gt;"",N530,9999999999999)*1.1,deployment_raw[[#This Row],[Column10]] * IF($E$2="Deployment",deployment_raw[[#This Row],[Column5]],1))),"")</f>
        <v/>
      </c>
      <c r="K530" s="123" t="str">
        <f>IF(ISNUMBER(deployment_raw[[#This Row],[Column11]]), (MIN(IF(O530&lt;&gt;"",O530,9999999999999)*1.1,deployment_raw[[#This Row],[Column11]] * IF($E$2="Deployment",deployment_raw[[#This Row],[Column5]],1)/1048576)),"")</f>
        <v/>
      </c>
      <c r="L530" s="124" t="str">
        <f>IF(ISNUMBER(deployment_raw[[#This Row],[Column8]]),IF(OR(deployment_raw[[#This Row],[Column5]] &lt;&gt; 0,$E$2 &lt;&gt; "Deployment"), MAX(J530, P530, R530, ($L$2 * IF($E$2="Deployment",deployment_raw[[#This Row],[Column5]],1)),IF(T530&lt;&gt;"",VALUE(T530) * IF($E$2="Deployment",deployment_raw[[#This Row],[Column5]],1),0)), 0),"")</f>
        <v/>
      </c>
      <c r="M530" s="125" t="str">
        <f>IF(ISNUMBER(deployment_raw[[#This Row],[Column9]]),IF(OR(deployment_raw[[#This Row],[Column5]] &lt;&gt; 0,$E$2&lt;&gt;"Deployment"), MAX(K530, Q530, S530, ($M$2 * IF($E$2="Deployment",deployment_raw[[#This Row],[Column5]],1)),IF(U530&lt;&gt;"",VALUE(U530) * IF($E$2="Deployment",deployment_raw[[#This Row],[Column5]],1),0)), 0),"")</f>
        <v/>
      </c>
      <c r="N530" s="166" t="str">
        <f>IF(ISNUMBER(deployment_raw[[#This Row],[Column14]]), deployment_raw[[#This Row],[Column14]]/IF(OR($E$2="Deployment",deployment_raw[[#This Row],[Column5]]=0),1,deployment_raw[[#This Row],[Column5]]),"")</f>
        <v/>
      </c>
      <c r="O530" s="167" t="str">
        <f>IF(ISNUMBER(deployment_raw[[#This Row],[Column15]]), deployment_raw[[#This Row],[Column15]]/IF(OR($E$2="Deployment",deployment_raw[[#This Row],[Column5]]=0),1,deployment_raw[[#This Row],[Column5]])/1048576,"")</f>
        <v/>
      </c>
      <c r="P530" s="168" t="str">
        <f>IF(ISNUMBER(deployment_raw[[#This Row],[Column12]]), (MIN(IF(N530&lt;&gt;"",N530,9999999999999)*1.1,deployment_raw[[#This Row],[Column12]] * IF($E$2="Deployment",deployment_raw[[#This Row],[Column5]],1))*(1+$P$2)),"")</f>
        <v/>
      </c>
      <c r="Q530" s="167" t="str">
        <f>IF(ISNUMBER(deployment_raw[[#This Row],[Column13]]), (MIN(IF(O530&lt;&gt;"",O530,9999999999999)*1.1,deployment_raw[[#This Row],[Column13]] * IF($E$2="Deployment",deployment_raw[[#This Row],[Column5]],1)*(1+$Q$2)/1048576)),"")</f>
        <v/>
      </c>
      <c r="R530" s="169" t="str">
        <f>IF(ISNUMBER(deployment_raw[[#This Row],[Column8]]), (H530  * IF(N530&lt;&gt;0,$R$2,1)),"")</f>
        <v/>
      </c>
      <c r="S530" s="170" t="str">
        <f>IF(ISNUMBER(deployment_raw[[#This Row],[Column8]]), (I530  * IF(O530&lt;&gt;0,$S$2,1)),"")</f>
        <v/>
      </c>
      <c r="T530" s="202" t="str">
        <f>IF(AND(A530&lt;&gt;"",_xlfn.IFNA(MATCH(A530,'dynamic resource application '!$A$2:$A$100, 0),0)&lt;&gt;0), H530/(IF($E$2="Deployment",E530,1)),"")</f>
        <v/>
      </c>
      <c r="U530" s="211" t="str">
        <f>IF(AND(A530&lt;&gt;"",_xlfn.IFNA(MATCH(A530,'dynamic resource application '!$A$2:$A$100, 0),0)&lt;&gt;0), I530/(IF($E$2="Deployment",E530,1)),"")</f>
        <v/>
      </c>
    </row>
    <row r="531" spans="1:21" ht="15.75" customHeight="1" x14ac:dyDescent="0.25">
      <c r="A531" s="35" t="str">
        <f>IF(ISNONTEXT(deployment_raw[[#This Row],[Column1]]), "", deployment_raw[[#This Row],[Column1]])</f>
        <v/>
      </c>
      <c r="B531" s="36" t="str">
        <f>IF(ISNONTEXT(deployment_raw[[#This Row],[Column2]]), "", deployment_raw[[#This Row],[Column2]])</f>
        <v/>
      </c>
      <c r="C531" s="36" t="str">
        <f>IF(ISNONTEXT(deployment_raw[[#This Row],[Column3]]), "", deployment_raw[[#This Row],[Column3]])</f>
        <v/>
      </c>
      <c r="D531" s="36" t="str">
        <f>IF(ISNONTEXT(deployment_raw[[#This Row],[Column4]]), "", deployment_raw[[#This Row],[Column4]])</f>
        <v/>
      </c>
      <c r="E531" s="37" t="str">
        <f>IF(ISNUMBER(deployment_raw[[#This Row],[Column5]]), deployment_raw[[#This Row],[Column5]],"")</f>
        <v/>
      </c>
      <c r="F531" s="94" t="str">
        <f>IF(ISNUMBER(deployment_raw[[#This Row],[Column6]]), (deployment_raw[[#This Row],[Column6]] * IF($E$2="Deployment",deployment_raw[[#This Row],[Column5]],1)),"")</f>
        <v/>
      </c>
      <c r="G531" s="95" t="str">
        <f>IF(ISNUMBER(deployment_raw[[#This Row],[Column7]]), (deployment_raw[[#This Row],[Column7]] * IF($E$2="Deployment",deployment_raw[[#This Row],[Column5]],1))/1048576,"")</f>
        <v/>
      </c>
      <c r="H531" s="95" t="str">
        <f>IF(ISNUMBER(deployment_raw[[#This Row],[Column8]]), (deployment_raw[[#This Row],[Column8]]  * IF($E$2="Deployment",deployment_raw[[#This Row],[Column5]],1)),"")</f>
        <v/>
      </c>
      <c r="I531" s="96" t="str">
        <f>IF(ISNUMBER(deployment_raw[[#This Row],[Column9]]), (deployment_raw[[#This Row],[Column9]] * IF($E$2="Deployment",deployment_raw[[#This Row],[Column5]],1))/1048576,"")</f>
        <v/>
      </c>
      <c r="J531" s="122" t="str">
        <f>IF(ISNUMBER(deployment_raw[[#This Row],[Column10]]), (MIN(IF(N531&lt;&gt;"",N531,9999999999999)*1.1,deployment_raw[[#This Row],[Column10]] * IF($E$2="Deployment",deployment_raw[[#This Row],[Column5]],1))),"")</f>
        <v/>
      </c>
      <c r="K531" s="123" t="str">
        <f>IF(ISNUMBER(deployment_raw[[#This Row],[Column11]]), (MIN(IF(O531&lt;&gt;"",O531,9999999999999)*1.1,deployment_raw[[#This Row],[Column11]] * IF($E$2="Deployment",deployment_raw[[#This Row],[Column5]],1)/1048576)),"")</f>
        <v/>
      </c>
      <c r="L531" s="124" t="str">
        <f>IF(ISNUMBER(deployment_raw[[#This Row],[Column8]]),IF(OR(deployment_raw[[#This Row],[Column5]] &lt;&gt; 0,$E$2 &lt;&gt; "Deployment"), MAX(J531, P531, R531, ($L$2 * IF($E$2="Deployment",deployment_raw[[#This Row],[Column5]],1)),IF(T531&lt;&gt;"",VALUE(T531) * IF($E$2="Deployment",deployment_raw[[#This Row],[Column5]],1),0)), 0),"")</f>
        <v/>
      </c>
      <c r="M531" s="125" t="str">
        <f>IF(ISNUMBER(deployment_raw[[#This Row],[Column9]]),IF(OR(deployment_raw[[#This Row],[Column5]] &lt;&gt; 0,$E$2&lt;&gt;"Deployment"), MAX(K531, Q531, S531, ($M$2 * IF($E$2="Deployment",deployment_raw[[#This Row],[Column5]],1)),IF(U531&lt;&gt;"",VALUE(U531) * IF($E$2="Deployment",deployment_raw[[#This Row],[Column5]],1),0)), 0),"")</f>
        <v/>
      </c>
      <c r="N531" s="166" t="str">
        <f>IF(ISNUMBER(deployment_raw[[#This Row],[Column14]]), deployment_raw[[#This Row],[Column14]]/IF(OR($E$2="Deployment",deployment_raw[[#This Row],[Column5]]=0),1,deployment_raw[[#This Row],[Column5]]),"")</f>
        <v/>
      </c>
      <c r="O531" s="167" t="str">
        <f>IF(ISNUMBER(deployment_raw[[#This Row],[Column15]]), deployment_raw[[#This Row],[Column15]]/IF(OR($E$2="Deployment",deployment_raw[[#This Row],[Column5]]=0),1,deployment_raw[[#This Row],[Column5]])/1048576,"")</f>
        <v/>
      </c>
      <c r="P531" s="168" t="str">
        <f>IF(ISNUMBER(deployment_raw[[#This Row],[Column12]]), (MIN(IF(N531&lt;&gt;"",N531,9999999999999)*1.1,deployment_raw[[#This Row],[Column12]] * IF($E$2="Deployment",deployment_raw[[#This Row],[Column5]],1))*(1+$P$2)),"")</f>
        <v/>
      </c>
      <c r="Q531" s="167" t="str">
        <f>IF(ISNUMBER(deployment_raw[[#This Row],[Column13]]), (MIN(IF(O531&lt;&gt;"",O531,9999999999999)*1.1,deployment_raw[[#This Row],[Column13]] * IF($E$2="Deployment",deployment_raw[[#This Row],[Column5]],1)*(1+$Q$2)/1048576)),"")</f>
        <v/>
      </c>
      <c r="R531" s="169" t="str">
        <f>IF(ISNUMBER(deployment_raw[[#This Row],[Column8]]), (H531  * IF(N531&lt;&gt;0,$R$2,1)),"")</f>
        <v/>
      </c>
      <c r="S531" s="170" t="str">
        <f>IF(ISNUMBER(deployment_raw[[#This Row],[Column8]]), (I531  * IF(O531&lt;&gt;0,$S$2,1)),"")</f>
        <v/>
      </c>
      <c r="T531" s="202" t="str">
        <f>IF(AND(A531&lt;&gt;"",_xlfn.IFNA(MATCH(A531,'dynamic resource application '!$A$2:$A$100, 0),0)&lt;&gt;0), H531/(IF($E$2="Deployment",E531,1)),"")</f>
        <v/>
      </c>
      <c r="U531" s="211" t="str">
        <f>IF(AND(A531&lt;&gt;"",_xlfn.IFNA(MATCH(A531,'dynamic resource application '!$A$2:$A$100, 0),0)&lt;&gt;0), I531/(IF($E$2="Deployment",E531,1)),"")</f>
        <v/>
      </c>
    </row>
    <row r="532" spans="1:21" ht="15.75" customHeight="1" x14ac:dyDescent="0.25">
      <c r="A532" s="35" t="str">
        <f>IF(ISNONTEXT(deployment_raw[[#This Row],[Column1]]), "", deployment_raw[[#This Row],[Column1]])</f>
        <v/>
      </c>
      <c r="B532" s="36" t="str">
        <f>IF(ISNONTEXT(deployment_raw[[#This Row],[Column2]]), "", deployment_raw[[#This Row],[Column2]])</f>
        <v/>
      </c>
      <c r="C532" s="36" t="str">
        <f>IF(ISNONTEXT(deployment_raw[[#This Row],[Column3]]), "", deployment_raw[[#This Row],[Column3]])</f>
        <v/>
      </c>
      <c r="D532" s="36" t="str">
        <f>IF(ISNONTEXT(deployment_raw[[#This Row],[Column4]]), "", deployment_raw[[#This Row],[Column4]])</f>
        <v/>
      </c>
      <c r="E532" s="37" t="str">
        <f>IF(ISNUMBER(deployment_raw[[#This Row],[Column5]]), deployment_raw[[#This Row],[Column5]],"")</f>
        <v/>
      </c>
      <c r="F532" s="94" t="str">
        <f>IF(ISNUMBER(deployment_raw[[#This Row],[Column6]]), (deployment_raw[[#This Row],[Column6]] * IF($E$2="Deployment",deployment_raw[[#This Row],[Column5]],1)),"")</f>
        <v/>
      </c>
      <c r="G532" s="95" t="str">
        <f>IF(ISNUMBER(deployment_raw[[#This Row],[Column7]]), (deployment_raw[[#This Row],[Column7]] * IF($E$2="Deployment",deployment_raw[[#This Row],[Column5]],1))/1048576,"")</f>
        <v/>
      </c>
      <c r="H532" s="95" t="str">
        <f>IF(ISNUMBER(deployment_raw[[#This Row],[Column8]]), (deployment_raw[[#This Row],[Column8]]  * IF($E$2="Deployment",deployment_raw[[#This Row],[Column5]],1)),"")</f>
        <v/>
      </c>
      <c r="I532" s="96" t="str">
        <f>IF(ISNUMBER(deployment_raw[[#This Row],[Column9]]), (deployment_raw[[#This Row],[Column9]] * IF($E$2="Deployment",deployment_raw[[#This Row],[Column5]],1))/1048576,"")</f>
        <v/>
      </c>
      <c r="J532" s="122" t="str">
        <f>IF(ISNUMBER(deployment_raw[[#This Row],[Column10]]), (MIN(IF(N532&lt;&gt;"",N532,9999999999999)*1.1,deployment_raw[[#This Row],[Column10]] * IF($E$2="Deployment",deployment_raw[[#This Row],[Column5]],1))),"")</f>
        <v/>
      </c>
      <c r="K532" s="123" t="str">
        <f>IF(ISNUMBER(deployment_raw[[#This Row],[Column11]]), (MIN(IF(O532&lt;&gt;"",O532,9999999999999)*1.1,deployment_raw[[#This Row],[Column11]] * IF($E$2="Deployment",deployment_raw[[#This Row],[Column5]],1)/1048576)),"")</f>
        <v/>
      </c>
      <c r="L532" s="124" t="str">
        <f>IF(ISNUMBER(deployment_raw[[#This Row],[Column8]]),IF(OR(deployment_raw[[#This Row],[Column5]] &lt;&gt; 0,$E$2 &lt;&gt; "Deployment"), MAX(J532, P532, R532, ($L$2 * IF($E$2="Deployment",deployment_raw[[#This Row],[Column5]],1)),IF(T532&lt;&gt;"",VALUE(T532) * IF($E$2="Deployment",deployment_raw[[#This Row],[Column5]],1),0)), 0),"")</f>
        <v/>
      </c>
      <c r="M532" s="125" t="str">
        <f>IF(ISNUMBER(deployment_raw[[#This Row],[Column9]]),IF(OR(deployment_raw[[#This Row],[Column5]] &lt;&gt; 0,$E$2&lt;&gt;"Deployment"), MAX(K532, Q532, S532, ($M$2 * IF($E$2="Deployment",deployment_raw[[#This Row],[Column5]],1)),IF(U532&lt;&gt;"",VALUE(U532) * IF($E$2="Deployment",deployment_raw[[#This Row],[Column5]],1),0)), 0),"")</f>
        <v/>
      </c>
      <c r="N532" s="166" t="str">
        <f>IF(ISNUMBER(deployment_raw[[#This Row],[Column14]]), deployment_raw[[#This Row],[Column14]]/IF(OR($E$2="Deployment",deployment_raw[[#This Row],[Column5]]=0),1,deployment_raw[[#This Row],[Column5]]),"")</f>
        <v/>
      </c>
      <c r="O532" s="167" t="str">
        <f>IF(ISNUMBER(deployment_raw[[#This Row],[Column15]]), deployment_raw[[#This Row],[Column15]]/IF(OR($E$2="Deployment",deployment_raw[[#This Row],[Column5]]=0),1,deployment_raw[[#This Row],[Column5]])/1048576,"")</f>
        <v/>
      </c>
      <c r="P532" s="168" t="str">
        <f>IF(ISNUMBER(deployment_raw[[#This Row],[Column12]]), (MIN(IF(N532&lt;&gt;"",N532,9999999999999)*1.1,deployment_raw[[#This Row],[Column12]] * IF($E$2="Deployment",deployment_raw[[#This Row],[Column5]],1))*(1+$P$2)),"")</f>
        <v/>
      </c>
      <c r="Q532" s="167" t="str">
        <f>IF(ISNUMBER(deployment_raw[[#This Row],[Column13]]), (MIN(IF(O532&lt;&gt;"",O532,9999999999999)*1.1,deployment_raw[[#This Row],[Column13]] * IF($E$2="Deployment",deployment_raw[[#This Row],[Column5]],1)*(1+$Q$2)/1048576)),"")</f>
        <v/>
      </c>
      <c r="R532" s="169" t="str">
        <f>IF(ISNUMBER(deployment_raw[[#This Row],[Column8]]), (H532  * IF(N532&lt;&gt;0,$R$2,1)),"")</f>
        <v/>
      </c>
      <c r="S532" s="170" t="str">
        <f>IF(ISNUMBER(deployment_raw[[#This Row],[Column8]]), (I532  * IF(O532&lt;&gt;0,$S$2,1)),"")</f>
        <v/>
      </c>
      <c r="T532" s="202" t="str">
        <f>IF(AND(A532&lt;&gt;"",_xlfn.IFNA(MATCH(A532,'dynamic resource application '!$A$2:$A$100, 0),0)&lt;&gt;0), H532/(IF($E$2="Deployment",E532,1)),"")</f>
        <v/>
      </c>
      <c r="U532" s="211" t="str">
        <f>IF(AND(A532&lt;&gt;"",_xlfn.IFNA(MATCH(A532,'dynamic resource application '!$A$2:$A$100, 0),0)&lt;&gt;0), I532/(IF($E$2="Deployment",E532,1)),"")</f>
        <v/>
      </c>
    </row>
    <row r="533" spans="1:21" ht="15.75" customHeight="1" x14ac:dyDescent="0.25">
      <c r="A533" s="35" t="str">
        <f>IF(ISNONTEXT(deployment_raw[[#This Row],[Column1]]), "", deployment_raw[[#This Row],[Column1]])</f>
        <v/>
      </c>
      <c r="B533" s="36" t="str">
        <f>IF(ISNONTEXT(deployment_raw[[#This Row],[Column2]]), "", deployment_raw[[#This Row],[Column2]])</f>
        <v/>
      </c>
      <c r="C533" s="36" t="str">
        <f>IF(ISNONTEXT(deployment_raw[[#This Row],[Column3]]), "", deployment_raw[[#This Row],[Column3]])</f>
        <v/>
      </c>
      <c r="D533" s="36" t="str">
        <f>IF(ISNONTEXT(deployment_raw[[#This Row],[Column4]]), "", deployment_raw[[#This Row],[Column4]])</f>
        <v/>
      </c>
      <c r="E533" s="37" t="str">
        <f>IF(ISNUMBER(deployment_raw[[#This Row],[Column5]]), deployment_raw[[#This Row],[Column5]],"")</f>
        <v/>
      </c>
      <c r="F533" s="94" t="str">
        <f>IF(ISNUMBER(deployment_raw[[#This Row],[Column6]]), (deployment_raw[[#This Row],[Column6]] * IF($E$2="Deployment",deployment_raw[[#This Row],[Column5]],1)),"")</f>
        <v/>
      </c>
      <c r="G533" s="95" t="str">
        <f>IF(ISNUMBER(deployment_raw[[#This Row],[Column7]]), (deployment_raw[[#This Row],[Column7]] * IF($E$2="Deployment",deployment_raw[[#This Row],[Column5]],1))/1048576,"")</f>
        <v/>
      </c>
      <c r="H533" s="95" t="str">
        <f>IF(ISNUMBER(deployment_raw[[#This Row],[Column8]]), (deployment_raw[[#This Row],[Column8]]  * IF($E$2="Deployment",deployment_raw[[#This Row],[Column5]],1)),"")</f>
        <v/>
      </c>
      <c r="I533" s="96" t="str">
        <f>IF(ISNUMBER(deployment_raw[[#This Row],[Column9]]), (deployment_raw[[#This Row],[Column9]] * IF($E$2="Deployment",deployment_raw[[#This Row],[Column5]],1))/1048576,"")</f>
        <v/>
      </c>
      <c r="J533" s="122" t="str">
        <f>IF(ISNUMBER(deployment_raw[[#This Row],[Column10]]), (MIN(IF(N533&lt;&gt;"",N533,9999999999999)*1.1,deployment_raw[[#This Row],[Column10]] * IF($E$2="Deployment",deployment_raw[[#This Row],[Column5]],1))),"")</f>
        <v/>
      </c>
      <c r="K533" s="123" t="str">
        <f>IF(ISNUMBER(deployment_raw[[#This Row],[Column11]]), (MIN(IF(O533&lt;&gt;"",O533,9999999999999)*1.1,deployment_raw[[#This Row],[Column11]] * IF($E$2="Deployment",deployment_raw[[#This Row],[Column5]],1)/1048576)),"")</f>
        <v/>
      </c>
      <c r="L533" s="124" t="str">
        <f>IF(ISNUMBER(deployment_raw[[#This Row],[Column8]]),IF(OR(deployment_raw[[#This Row],[Column5]] &lt;&gt; 0,$E$2 &lt;&gt; "Deployment"), MAX(J533, P533, R533, ($L$2 * IF($E$2="Deployment",deployment_raw[[#This Row],[Column5]],1)),IF(T533&lt;&gt;"",VALUE(T533) * IF($E$2="Deployment",deployment_raw[[#This Row],[Column5]],1),0)), 0),"")</f>
        <v/>
      </c>
      <c r="M533" s="125" t="str">
        <f>IF(ISNUMBER(deployment_raw[[#This Row],[Column9]]),IF(OR(deployment_raw[[#This Row],[Column5]] &lt;&gt; 0,$E$2&lt;&gt;"Deployment"), MAX(K533, Q533, S533, ($M$2 * IF($E$2="Deployment",deployment_raw[[#This Row],[Column5]],1)),IF(U533&lt;&gt;"",VALUE(U533) * IF($E$2="Deployment",deployment_raw[[#This Row],[Column5]],1),0)), 0),"")</f>
        <v/>
      </c>
      <c r="N533" s="166" t="str">
        <f>IF(ISNUMBER(deployment_raw[[#This Row],[Column14]]), deployment_raw[[#This Row],[Column14]]/IF(OR($E$2="Deployment",deployment_raw[[#This Row],[Column5]]=0),1,deployment_raw[[#This Row],[Column5]]),"")</f>
        <v/>
      </c>
      <c r="O533" s="167" t="str">
        <f>IF(ISNUMBER(deployment_raw[[#This Row],[Column15]]), deployment_raw[[#This Row],[Column15]]/IF(OR($E$2="Deployment",deployment_raw[[#This Row],[Column5]]=0),1,deployment_raw[[#This Row],[Column5]])/1048576,"")</f>
        <v/>
      </c>
      <c r="P533" s="168" t="str">
        <f>IF(ISNUMBER(deployment_raw[[#This Row],[Column12]]), (MIN(IF(N533&lt;&gt;"",N533,9999999999999)*1.1,deployment_raw[[#This Row],[Column12]] * IF($E$2="Deployment",deployment_raw[[#This Row],[Column5]],1))*(1+$P$2)),"")</f>
        <v/>
      </c>
      <c r="Q533" s="167" t="str">
        <f>IF(ISNUMBER(deployment_raw[[#This Row],[Column13]]), (MIN(IF(O533&lt;&gt;"",O533,9999999999999)*1.1,deployment_raw[[#This Row],[Column13]] * IF($E$2="Deployment",deployment_raw[[#This Row],[Column5]],1)*(1+$Q$2)/1048576)),"")</f>
        <v/>
      </c>
      <c r="R533" s="169" t="str">
        <f>IF(ISNUMBER(deployment_raw[[#This Row],[Column8]]), (H533  * IF(N533&lt;&gt;0,$R$2,1)),"")</f>
        <v/>
      </c>
      <c r="S533" s="170" t="str">
        <f>IF(ISNUMBER(deployment_raw[[#This Row],[Column8]]), (I533  * IF(O533&lt;&gt;0,$S$2,1)),"")</f>
        <v/>
      </c>
      <c r="T533" s="202" t="str">
        <f>IF(AND(A533&lt;&gt;"",_xlfn.IFNA(MATCH(A533,'dynamic resource application '!$A$2:$A$100, 0),0)&lt;&gt;0), H533/(IF($E$2="Deployment",E533,1)),"")</f>
        <v/>
      </c>
      <c r="U533" s="211" t="str">
        <f>IF(AND(A533&lt;&gt;"",_xlfn.IFNA(MATCH(A533,'dynamic resource application '!$A$2:$A$100, 0),0)&lt;&gt;0), I533/(IF($E$2="Deployment",E533,1)),"")</f>
        <v/>
      </c>
    </row>
    <row r="534" spans="1:21" ht="15.75" customHeight="1" x14ac:dyDescent="0.25">
      <c r="A534" s="35" t="str">
        <f>IF(ISNONTEXT(deployment_raw[[#This Row],[Column1]]), "", deployment_raw[[#This Row],[Column1]])</f>
        <v/>
      </c>
      <c r="B534" s="36" t="str">
        <f>IF(ISNONTEXT(deployment_raw[[#This Row],[Column2]]), "", deployment_raw[[#This Row],[Column2]])</f>
        <v/>
      </c>
      <c r="C534" s="36" t="str">
        <f>IF(ISNONTEXT(deployment_raw[[#This Row],[Column3]]), "", deployment_raw[[#This Row],[Column3]])</f>
        <v/>
      </c>
      <c r="D534" s="36" t="str">
        <f>IF(ISNONTEXT(deployment_raw[[#This Row],[Column4]]), "", deployment_raw[[#This Row],[Column4]])</f>
        <v/>
      </c>
      <c r="E534" s="37" t="str">
        <f>IF(ISNUMBER(deployment_raw[[#This Row],[Column5]]), deployment_raw[[#This Row],[Column5]],"")</f>
        <v/>
      </c>
      <c r="F534" s="94" t="str">
        <f>IF(ISNUMBER(deployment_raw[[#This Row],[Column6]]), (deployment_raw[[#This Row],[Column6]] * IF($E$2="Deployment",deployment_raw[[#This Row],[Column5]],1)),"")</f>
        <v/>
      </c>
      <c r="G534" s="95" t="str">
        <f>IF(ISNUMBER(deployment_raw[[#This Row],[Column7]]), (deployment_raw[[#This Row],[Column7]] * IF($E$2="Deployment",deployment_raw[[#This Row],[Column5]],1))/1048576,"")</f>
        <v/>
      </c>
      <c r="H534" s="95" t="str">
        <f>IF(ISNUMBER(deployment_raw[[#This Row],[Column8]]), (deployment_raw[[#This Row],[Column8]]  * IF($E$2="Deployment",deployment_raw[[#This Row],[Column5]],1)),"")</f>
        <v/>
      </c>
      <c r="I534" s="96" t="str">
        <f>IF(ISNUMBER(deployment_raw[[#This Row],[Column9]]), (deployment_raw[[#This Row],[Column9]] * IF($E$2="Deployment",deployment_raw[[#This Row],[Column5]],1))/1048576,"")</f>
        <v/>
      </c>
      <c r="J534" s="122" t="str">
        <f>IF(ISNUMBER(deployment_raw[[#This Row],[Column10]]), (MIN(IF(N534&lt;&gt;"",N534,9999999999999)*1.1,deployment_raw[[#This Row],[Column10]] * IF($E$2="Deployment",deployment_raw[[#This Row],[Column5]],1))),"")</f>
        <v/>
      </c>
      <c r="K534" s="123" t="str">
        <f>IF(ISNUMBER(deployment_raw[[#This Row],[Column11]]), (MIN(IF(O534&lt;&gt;"",O534,9999999999999)*1.1,deployment_raw[[#This Row],[Column11]] * IF($E$2="Deployment",deployment_raw[[#This Row],[Column5]],1)/1048576)),"")</f>
        <v/>
      </c>
      <c r="L534" s="124" t="str">
        <f>IF(ISNUMBER(deployment_raw[[#This Row],[Column8]]),IF(OR(deployment_raw[[#This Row],[Column5]] &lt;&gt; 0,$E$2 &lt;&gt; "Deployment"), MAX(J534, P534, R534, ($L$2 * IF($E$2="Deployment",deployment_raw[[#This Row],[Column5]],1)),IF(T534&lt;&gt;"",VALUE(T534) * IF($E$2="Deployment",deployment_raw[[#This Row],[Column5]],1),0)), 0),"")</f>
        <v/>
      </c>
      <c r="M534" s="125" t="str">
        <f>IF(ISNUMBER(deployment_raw[[#This Row],[Column9]]),IF(OR(deployment_raw[[#This Row],[Column5]] &lt;&gt; 0,$E$2&lt;&gt;"Deployment"), MAX(K534, Q534, S534, ($M$2 * IF($E$2="Deployment",deployment_raw[[#This Row],[Column5]],1)),IF(U534&lt;&gt;"",VALUE(U534) * IF($E$2="Deployment",deployment_raw[[#This Row],[Column5]],1),0)), 0),"")</f>
        <v/>
      </c>
      <c r="N534" s="166" t="str">
        <f>IF(ISNUMBER(deployment_raw[[#This Row],[Column14]]), deployment_raw[[#This Row],[Column14]]/IF(OR($E$2="Deployment",deployment_raw[[#This Row],[Column5]]=0),1,deployment_raw[[#This Row],[Column5]]),"")</f>
        <v/>
      </c>
      <c r="O534" s="167" t="str">
        <f>IF(ISNUMBER(deployment_raw[[#This Row],[Column15]]), deployment_raw[[#This Row],[Column15]]/IF(OR($E$2="Deployment",deployment_raw[[#This Row],[Column5]]=0),1,deployment_raw[[#This Row],[Column5]])/1048576,"")</f>
        <v/>
      </c>
      <c r="P534" s="168" t="str">
        <f>IF(ISNUMBER(deployment_raw[[#This Row],[Column12]]), (MIN(IF(N534&lt;&gt;"",N534,9999999999999)*1.1,deployment_raw[[#This Row],[Column12]] * IF($E$2="Deployment",deployment_raw[[#This Row],[Column5]],1))*(1+$P$2)),"")</f>
        <v/>
      </c>
      <c r="Q534" s="167" t="str">
        <f>IF(ISNUMBER(deployment_raw[[#This Row],[Column13]]), (MIN(IF(O534&lt;&gt;"",O534,9999999999999)*1.1,deployment_raw[[#This Row],[Column13]] * IF($E$2="Deployment",deployment_raw[[#This Row],[Column5]],1)*(1+$Q$2)/1048576)),"")</f>
        <v/>
      </c>
      <c r="R534" s="169" t="str">
        <f>IF(ISNUMBER(deployment_raw[[#This Row],[Column8]]), (H534  * IF(N534&lt;&gt;0,$R$2,1)),"")</f>
        <v/>
      </c>
      <c r="S534" s="170" t="str">
        <f>IF(ISNUMBER(deployment_raw[[#This Row],[Column8]]), (I534  * IF(O534&lt;&gt;0,$S$2,1)),"")</f>
        <v/>
      </c>
      <c r="T534" s="202" t="str">
        <f>IF(AND(A534&lt;&gt;"",_xlfn.IFNA(MATCH(A534,'dynamic resource application '!$A$2:$A$100, 0),0)&lt;&gt;0), H534/(IF($E$2="Deployment",E534,1)),"")</f>
        <v/>
      </c>
      <c r="U534" s="211" t="str">
        <f>IF(AND(A534&lt;&gt;"",_xlfn.IFNA(MATCH(A534,'dynamic resource application '!$A$2:$A$100, 0),0)&lt;&gt;0), I534/(IF($E$2="Deployment",E534,1)),"")</f>
        <v/>
      </c>
    </row>
    <row r="535" spans="1:21" ht="15.75" customHeight="1" x14ac:dyDescent="0.25">
      <c r="A535" s="35" t="str">
        <f>IF(ISNONTEXT(deployment_raw[[#This Row],[Column1]]), "", deployment_raw[[#This Row],[Column1]])</f>
        <v/>
      </c>
      <c r="B535" s="36" t="str">
        <f>IF(ISNONTEXT(deployment_raw[[#This Row],[Column2]]), "", deployment_raw[[#This Row],[Column2]])</f>
        <v/>
      </c>
      <c r="C535" s="36" t="str">
        <f>IF(ISNONTEXT(deployment_raw[[#This Row],[Column3]]), "", deployment_raw[[#This Row],[Column3]])</f>
        <v/>
      </c>
      <c r="D535" s="36" t="str">
        <f>IF(ISNONTEXT(deployment_raw[[#This Row],[Column4]]), "", deployment_raw[[#This Row],[Column4]])</f>
        <v/>
      </c>
      <c r="E535" s="37" t="str">
        <f>IF(ISNUMBER(deployment_raw[[#This Row],[Column5]]), deployment_raw[[#This Row],[Column5]],"")</f>
        <v/>
      </c>
      <c r="F535" s="94" t="str">
        <f>IF(ISNUMBER(deployment_raw[[#This Row],[Column6]]), (deployment_raw[[#This Row],[Column6]] * IF($E$2="Deployment",deployment_raw[[#This Row],[Column5]],1)),"")</f>
        <v/>
      </c>
      <c r="G535" s="95" t="str">
        <f>IF(ISNUMBER(deployment_raw[[#This Row],[Column7]]), (deployment_raw[[#This Row],[Column7]] * IF($E$2="Deployment",deployment_raw[[#This Row],[Column5]],1))/1048576,"")</f>
        <v/>
      </c>
      <c r="H535" s="95" t="str">
        <f>IF(ISNUMBER(deployment_raw[[#This Row],[Column8]]), (deployment_raw[[#This Row],[Column8]]  * IF($E$2="Deployment",deployment_raw[[#This Row],[Column5]],1)),"")</f>
        <v/>
      </c>
      <c r="I535" s="96" t="str">
        <f>IF(ISNUMBER(deployment_raw[[#This Row],[Column9]]), (deployment_raw[[#This Row],[Column9]] * IF($E$2="Deployment",deployment_raw[[#This Row],[Column5]],1))/1048576,"")</f>
        <v/>
      </c>
      <c r="J535" s="122" t="str">
        <f>IF(ISNUMBER(deployment_raw[[#This Row],[Column10]]), (MIN(IF(N535&lt;&gt;"",N535,9999999999999)*1.1,deployment_raw[[#This Row],[Column10]] * IF($E$2="Deployment",deployment_raw[[#This Row],[Column5]],1))),"")</f>
        <v/>
      </c>
      <c r="K535" s="123" t="str">
        <f>IF(ISNUMBER(deployment_raw[[#This Row],[Column11]]), (MIN(IF(O535&lt;&gt;"",O535,9999999999999)*1.1,deployment_raw[[#This Row],[Column11]] * IF($E$2="Deployment",deployment_raw[[#This Row],[Column5]],1)/1048576)),"")</f>
        <v/>
      </c>
      <c r="L535" s="124" t="str">
        <f>IF(ISNUMBER(deployment_raw[[#This Row],[Column8]]),IF(OR(deployment_raw[[#This Row],[Column5]] &lt;&gt; 0,$E$2 &lt;&gt; "Deployment"), MAX(J535, P535, R535, ($L$2 * IF($E$2="Deployment",deployment_raw[[#This Row],[Column5]],1)),IF(T535&lt;&gt;"",VALUE(T535) * IF($E$2="Deployment",deployment_raw[[#This Row],[Column5]],1),0)), 0),"")</f>
        <v/>
      </c>
      <c r="M535" s="125" t="str">
        <f>IF(ISNUMBER(deployment_raw[[#This Row],[Column9]]),IF(OR(deployment_raw[[#This Row],[Column5]] &lt;&gt; 0,$E$2&lt;&gt;"Deployment"), MAX(K535, Q535, S535, ($M$2 * IF($E$2="Deployment",deployment_raw[[#This Row],[Column5]],1)),IF(U535&lt;&gt;"",VALUE(U535) * IF($E$2="Deployment",deployment_raw[[#This Row],[Column5]],1),0)), 0),"")</f>
        <v/>
      </c>
      <c r="N535" s="166" t="str">
        <f>IF(ISNUMBER(deployment_raw[[#This Row],[Column14]]), deployment_raw[[#This Row],[Column14]]/IF(OR($E$2="Deployment",deployment_raw[[#This Row],[Column5]]=0),1,deployment_raw[[#This Row],[Column5]]),"")</f>
        <v/>
      </c>
      <c r="O535" s="167" t="str">
        <f>IF(ISNUMBER(deployment_raw[[#This Row],[Column15]]), deployment_raw[[#This Row],[Column15]]/IF(OR($E$2="Deployment",deployment_raw[[#This Row],[Column5]]=0),1,deployment_raw[[#This Row],[Column5]])/1048576,"")</f>
        <v/>
      </c>
      <c r="P535" s="168" t="str">
        <f>IF(ISNUMBER(deployment_raw[[#This Row],[Column12]]), (MIN(IF(N535&lt;&gt;"",N535,9999999999999)*1.1,deployment_raw[[#This Row],[Column12]] * IF($E$2="Deployment",deployment_raw[[#This Row],[Column5]],1))*(1+$P$2)),"")</f>
        <v/>
      </c>
      <c r="Q535" s="167" t="str">
        <f>IF(ISNUMBER(deployment_raw[[#This Row],[Column13]]), (MIN(IF(O535&lt;&gt;"",O535,9999999999999)*1.1,deployment_raw[[#This Row],[Column13]] * IF($E$2="Deployment",deployment_raw[[#This Row],[Column5]],1)*(1+$Q$2)/1048576)),"")</f>
        <v/>
      </c>
      <c r="R535" s="169" t="str">
        <f>IF(ISNUMBER(deployment_raw[[#This Row],[Column8]]), (H535  * IF(N535&lt;&gt;0,$R$2,1)),"")</f>
        <v/>
      </c>
      <c r="S535" s="170" t="str">
        <f>IF(ISNUMBER(deployment_raw[[#This Row],[Column8]]), (I535  * IF(O535&lt;&gt;0,$S$2,1)),"")</f>
        <v/>
      </c>
      <c r="T535" s="202" t="str">
        <f>IF(AND(A535&lt;&gt;"",_xlfn.IFNA(MATCH(A535,'dynamic resource application '!$A$2:$A$100, 0),0)&lt;&gt;0), H535/(IF($E$2="Deployment",E535,1)),"")</f>
        <v/>
      </c>
      <c r="U535" s="211" t="str">
        <f>IF(AND(A535&lt;&gt;"",_xlfn.IFNA(MATCH(A535,'dynamic resource application '!$A$2:$A$100, 0),0)&lt;&gt;0), I535/(IF($E$2="Deployment",E535,1)),"")</f>
        <v/>
      </c>
    </row>
    <row r="536" spans="1:21" ht="15.75" customHeight="1" x14ac:dyDescent="0.25">
      <c r="A536" s="35" t="str">
        <f>IF(ISNONTEXT(deployment_raw[[#This Row],[Column1]]), "", deployment_raw[[#This Row],[Column1]])</f>
        <v/>
      </c>
      <c r="B536" s="36" t="str">
        <f>IF(ISNONTEXT(deployment_raw[[#This Row],[Column2]]), "", deployment_raw[[#This Row],[Column2]])</f>
        <v/>
      </c>
      <c r="C536" s="36" t="str">
        <f>IF(ISNONTEXT(deployment_raw[[#This Row],[Column3]]), "", deployment_raw[[#This Row],[Column3]])</f>
        <v/>
      </c>
      <c r="D536" s="36" t="str">
        <f>IF(ISNONTEXT(deployment_raw[[#This Row],[Column4]]), "", deployment_raw[[#This Row],[Column4]])</f>
        <v/>
      </c>
      <c r="E536" s="37" t="str">
        <f>IF(ISNUMBER(deployment_raw[[#This Row],[Column5]]), deployment_raw[[#This Row],[Column5]],"")</f>
        <v/>
      </c>
      <c r="F536" s="94" t="str">
        <f>IF(ISNUMBER(deployment_raw[[#This Row],[Column6]]), (deployment_raw[[#This Row],[Column6]] * IF($E$2="Deployment",deployment_raw[[#This Row],[Column5]],1)),"")</f>
        <v/>
      </c>
      <c r="G536" s="95" t="str">
        <f>IF(ISNUMBER(deployment_raw[[#This Row],[Column7]]), (deployment_raw[[#This Row],[Column7]] * IF($E$2="Deployment",deployment_raw[[#This Row],[Column5]],1))/1048576,"")</f>
        <v/>
      </c>
      <c r="H536" s="95" t="str">
        <f>IF(ISNUMBER(deployment_raw[[#This Row],[Column8]]), (deployment_raw[[#This Row],[Column8]]  * IF($E$2="Deployment",deployment_raw[[#This Row],[Column5]],1)),"")</f>
        <v/>
      </c>
      <c r="I536" s="96" t="str">
        <f>IF(ISNUMBER(deployment_raw[[#This Row],[Column9]]), (deployment_raw[[#This Row],[Column9]] * IF($E$2="Deployment",deployment_raw[[#This Row],[Column5]],1))/1048576,"")</f>
        <v/>
      </c>
      <c r="J536" s="122" t="str">
        <f>IF(ISNUMBER(deployment_raw[[#This Row],[Column10]]), (MIN(IF(N536&lt;&gt;"",N536,9999999999999)*1.1,deployment_raw[[#This Row],[Column10]] * IF($E$2="Deployment",deployment_raw[[#This Row],[Column5]],1))),"")</f>
        <v/>
      </c>
      <c r="K536" s="123" t="str">
        <f>IF(ISNUMBER(deployment_raw[[#This Row],[Column11]]), (MIN(IF(O536&lt;&gt;"",O536,9999999999999)*1.1,deployment_raw[[#This Row],[Column11]] * IF($E$2="Deployment",deployment_raw[[#This Row],[Column5]],1)/1048576)),"")</f>
        <v/>
      </c>
      <c r="L536" s="124" t="str">
        <f>IF(ISNUMBER(deployment_raw[[#This Row],[Column8]]),IF(OR(deployment_raw[[#This Row],[Column5]] &lt;&gt; 0,$E$2 &lt;&gt; "Deployment"), MAX(J536, P536, R536, ($L$2 * IF($E$2="Deployment",deployment_raw[[#This Row],[Column5]],1)),IF(T536&lt;&gt;"",VALUE(T536) * IF($E$2="Deployment",deployment_raw[[#This Row],[Column5]],1),0)), 0),"")</f>
        <v/>
      </c>
      <c r="M536" s="125" t="str">
        <f>IF(ISNUMBER(deployment_raw[[#This Row],[Column9]]),IF(OR(deployment_raw[[#This Row],[Column5]] &lt;&gt; 0,$E$2&lt;&gt;"Deployment"), MAX(K536, Q536, S536, ($M$2 * IF($E$2="Deployment",deployment_raw[[#This Row],[Column5]],1)),IF(U536&lt;&gt;"",VALUE(U536) * IF($E$2="Deployment",deployment_raw[[#This Row],[Column5]],1),0)), 0),"")</f>
        <v/>
      </c>
      <c r="N536" s="166" t="str">
        <f>IF(ISNUMBER(deployment_raw[[#This Row],[Column14]]), deployment_raw[[#This Row],[Column14]]/IF(OR($E$2="Deployment",deployment_raw[[#This Row],[Column5]]=0),1,deployment_raw[[#This Row],[Column5]]),"")</f>
        <v/>
      </c>
      <c r="O536" s="167" t="str">
        <f>IF(ISNUMBER(deployment_raw[[#This Row],[Column15]]), deployment_raw[[#This Row],[Column15]]/IF(OR($E$2="Deployment",deployment_raw[[#This Row],[Column5]]=0),1,deployment_raw[[#This Row],[Column5]])/1048576,"")</f>
        <v/>
      </c>
      <c r="P536" s="168" t="str">
        <f>IF(ISNUMBER(deployment_raw[[#This Row],[Column12]]), (MIN(IF(N536&lt;&gt;"",N536,9999999999999)*1.1,deployment_raw[[#This Row],[Column12]] * IF($E$2="Deployment",deployment_raw[[#This Row],[Column5]],1))*(1+$P$2)),"")</f>
        <v/>
      </c>
      <c r="Q536" s="167" t="str">
        <f>IF(ISNUMBER(deployment_raw[[#This Row],[Column13]]), (MIN(IF(O536&lt;&gt;"",O536,9999999999999)*1.1,deployment_raw[[#This Row],[Column13]] * IF($E$2="Deployment",deployment_raw[[#This Row],[Column5]],1)*(1+$Q$2)/1048576)),"")</f>
        <v/>
      </c>
      <c r="R536" s="169" t="str">
        <f>IF(ISNUMBER(deployment_raw[[#This Row],[Column8]]), (H536  * IF(N536&lt;&gt;0,$R$2,1)),"")</f>
        <v/>
      </c>
      <c r="S536" s="170" t="str">
        <f>IF(ISNUMBER(deployment_raw[[#This Row],[Column8]]), (I536  * IF(O536&lt;&gt;0,$S$2,1)),"")</f>
        <v/>
      </c>
      <c r="T536" s="202" t="str">
        <f>IF(AND(A536&lt;&gt;"",_xlfn.IFNA(MATCH(A536,'dynamic resource application '!$A$2:$A$100, 0),0)&lt;&gt;0), H536/(IF($E$2="Deployment",E536,1)),"")</f>
        <v/>
      </c>
      <c r="U536" s="211" t="str">
        <f>IF(AND(A536&lt;&gt;"",_xlfn.IFNA(MATCH(A536,'dynamic resource application '!$A$2:$A$100, 0),0)&lt;&gt;0), I536/(IF($E$2="Deployment",E536,1)),"")</f>
        <v/>
      </c>
    </row>
    <row r="537" spans="1:21" ht="15.75" customHeight="1" x14ac:dyDescent="0.25">
      <c r="A537" s="35" t="str">
        <f>IF(ISNONTEXT(deployment_raw[[#This Row],[Column1]]), "", deployment_raw[[#This Row],[Column1]])</f>
        <v/>
      </c>
      <c r="B537" s="36" t="str">
        <f>IF(ISNONTEXT(deployment_raw[[#This Row],[Column2]]), "", deployment_raw[[#This Row],[Column2]])</f>
        <v/>
      </c>
      <c r="C537" s="36" t="str">
        <f>IF(ISNONTEXT(deployment_raw[[#This Row],[Column3]]), "", deployment_raw[[#This Row],[Column3]])</f>
        <v/>
      </c>
      <c r="D537" s="36" t="str">
        <f>IF(ISNONTEXT(deployment_raw[[#This Row],[Column4]]), "", deployment_raw[[#This Row],[Column4]])</f>
        <v/>
      </c>
      <c r="E537" s="37" t="str">
        <f>IF(ISNUMBER(deployment_raw[[#This Row],[Column5]]), deployment_raw[[#This Row],[Column5]],"")</f>
        <v/>
      </c>
      <c r="F537" s="94" t="str">
        <f>IF(ISNUMBER(deployment_raw[[#This Row],[Column6]]), (deployment_raw[[#This Row],[Column6]] * IF($E$2="Deployment",deployment_raw[[#This Row],[Column5]],1)),"")</f>
        <v/>
      </c>
      <c r="G537" s="95" t="str">
        <f>IF(ISNUMBER(deployment_raw[[#This Row],[Column7]]), (deployment_raw[[#This Row],[Column7]] * IF($E$2="Deployment",deployment_raw[[#This Row],[Column5]],1))/1048576,"")</f>
        <v/>
      </c>
      <c r="H537" s="95" t="str">
        <f>IF(ISNUMBER(deployment_raw[[#This Row],[Column8]]), (deployment_raw[[#This Row],[Column8]]  * IF($E$2="Deployment",deployment_raw[[#This Row],[Column5]],1)),"")</f>
        <v/>
      </c>
      <c r="I537" s="96" t="str">
        <f>IF(ISNUMBER(deployment_raw[[#This Row],[Column9]]), (deployment_raw[[#This Row],[Column9]] * IF($E$2="Deployment",deployment_raw[[#This Row],[Column5]],1))/1048576,"")</f>
        <v/>
      </c>
      <c r="J537" s="122" t="str">
        <f>IF(ISNUMBER(deployment_raw[[#This Row],[Column10]]), (MIN(IF(N537&lt;&gt;"",N537,9999999999999)*1.1,deployment_raw[[#This Row],[Column10]] * IF($E$2="Deployment",deployment_raw[[#This Row],[Column5]],1))),"")</f>
        <v/>
      </c>
      <c r="K537" s="123" t="str">
        <f>IF(ISNUMBER(deployment_raw[[#This Row],[Column11]]), (MIN(IF(O537&lt;&gt;"",O537,9999999999999)*1.1,deployment_raw[[#This Row],[Column11]] * IF($E$2="Deployment",deployment_raw[[#This Row],[Column5]],1)/1048576)),"")</f>
        <v/>
      </c>
      <c r="L537" s="124" t="str">
        <f>IF(ISNUMBER(deployment_raw[[#This Row],[Column8]]),IF(OR(deployment_raw[[#This Row],[Column5]] &lt;&gt; 0,$E$2 &lt;&gt; "Deployment"), MAX(J537, P537, R537, ($L$2 * IF($E$2="Deployment",deployment_raw[[#This Row],[Column5]],1)),IF(T537&lt;&gt;"",VALUE(T537) * IF($E$2="Deployment",deployment_raw[[#This Row],[Column5]],1),0)), 0),"")</f>
        <v/>
      </c>
      <c r="M537" s="125" t="str">
        <f>IF(ISNUMBER(deployment_raw[[#This Row],[Column9]]),IF(OR(deployment_raw[[#This Row],[Column5]] &lt;&gt; 0,$E$2&lt;&gt;"Deployment"), MAX(K537, Q537, S537, ($M$2 * IF($E$2="Deployment",deployment_raw[[#This Row],[Column5]],1)),IF(U537&lt;&gt;"",VALUE(U537) * IF($E$2="Deployment",deployment_raw[[#This Row],[Column5]],1),0)), 0),"")</f>
        <v/>
      </c>
      <c r="N537" s="166" t="str">
        <f>IF(ISNUMBER(deployment_raw[[#This Row],[Column14]]), deployment_raw[[#This Row],[Column14]]/IF(OR($E$2="Deployment",deployment_raw[[#This Row],[Column5]]=0),1,deployment_raw[[#This Row],[Column5]]),"")</f>
        <v/>
      </c>
      <c r="O537" s="167" t="str">
        <f>IF(ISNUMBER(deployment_raw[[#This Row],[Column15]]), deployment_raw[[#This Row],[Column15]]/IF(OR($E$2="Deployment",deployment_raw[[#This Row],[Column5]]=0),1,deployment_raw[[#This Row],[Column5]])/1048576,"")</f>
        <v/>
      </c>
      <c r="P537" s="168" t="str">
        <f>IF(ISNUMBER(deployment_raw[[#This Row],[Column12]]), (MIN(IF(N537&lt;&gt;"",N537,9999999999999)*1.1,deployment_raw[[#This Row],[Column12]] * IF($E$2="Deployment",deployment_raw[[#This Row],[Column5]],1))*(1+$P$2)),"")</f>
        <v/>
      </c>
      <c r="Q537" s="167" t="str">
        <f>IF(ISNUMBER(deployment_raw[[#This Row],[Column13]]), (MIN(IF(O537&lt;&gt;"",O537,9999999999999)*1.1,deployment_raw[[#This Row],[Column13]] * IF($E$2="Deployment",deployment_raw[[#This Row],[Column5]],1)*(1+$Q$2)/1048576)),"")</f>
        <v/>
      </c>
      <c r="R537" s="169" t="str">
        <f>IF(ISNUMBER(deployment_raw[[#This Row],[Column8]]), (H537  * IF(N537&lt;&gt;0,$R$2,1)),"")</f>
        <v/>
      </c>
      <c r="S537" s="170" t="str">
        <f>IF(ISNUMBER(deployment_raw[[#This Row],[Column8]]), (I537  * IF(O537&lt;&gt;0,$S$2,1)),"")</f>
        <v/>
      </c>
      <c r="T537" s="202" t="str">
        <f>IF(AND(A537&lt;&gt;"",_xlfn.IFNA(MATCH(A537,'dynamic resource application '!$A$2:$A$100, 0),0)&lt;&gt;0), H537/(IF($E$2="Deployment",E537,1)),"")</f>
        <v/>
      </c>
      <c r="U537" s="211" t="str">
        <f>IF(AND(A537&lt;&gt;"",_xlfn.IFNA(MATCH(A537,'dynamic resource application '!$A$2:$A$100, 0),0)&lt;&gt;0), I537/(IF($E$2="Deployment",E537,1)),"")</f>
        <v/>
      </c>
    </row>
    <row r="538" spans="1:21" ht="15.75" customHeight="1" x14ac:dyDescent="0.25">
      <c r="A538" s="35" t="str">
        <f>IF(ISNONTEXT(deployment_raw[[#This Row],[Column1]]), "", deployment_raw[[#This Row],[Column1]])</f>
        <v/>
      </c>
      <c r="B538" s="36" t="str">
        <f>IF(ISNONTEXT(deployment_raw[[#This Row],[Column2]]), "", deployment_raw[[#This Row],[Column2]])</f>
        <v/>
      </c>
      <c r="C538" s="36" t="str">
        <f>IF(ISNONTEXT(deployment_raw[[#This Row],[Column3]]), "", deployment_raw[[#This Row],[Column3]])</f>
        <v/>
      </c>
      <c r="D538" s="36" t="str">
        <f>IF(ISNONTEXT(deployment_raw[[#This Row],[Column4]]), "", deployment_raw[[#This Row],[Column4]])</f>
        <v/>
      </c>
      <c r="E538" s="37" t="str">
        <f>IF(ISNUMBER(deployment_raw[[#This Row],[Column5]]), deployment_raw[[#This Row],[Column5]],"")</f>
        <v/>
      </c>
      <c r="F538" s="94" t="str">
        <f>IF(ISNUMBER(deployment_raw[[#This Row],[Column6]]), (deployment_raw[[#This Row],[Column6]] * IF($E$2="Deployment",deployment_raw[[#This Row],[Column5]],1)),"")</f>
        <v/>
      </c>
      <c r="G538" s="95" t="str">
        <f>IF(ISNUMBER(deployment_raw[[#This Row],[Column7]]), (deployment_raw[[#This Row],[Column7]] * IF($E$2="Deployment",deployment_raw[[#This Row],[Column5]],1))/1048576,"")</f>
        <v/>
      </c>
      <c r="H538" s="95" t="str">
        <f>IF(ISNUMBER(deployment_raw[[#This Row],[Column8]]), (deployment_raw[[#This Row],[Column8]]  * IF($E$2="Deployment",deployment_raw[[#This Row],[Column5]],1)),"")</f>
        <v/>
      </c>
      <c r="I538" s="96" t="str">
        <f>IF(ISNUMBER(deployment_raw[[#This Row],[Column9]]), (deployment_raw[[#This Row],[Column9]] * IF($E$2="Deployment",deployment_raw[[#This Row],[Column5]],1))/1048576,"")</f>
        <v/>
      </c>
      <c r="J538" s="122" t="str">
        <f>IF(ISNUMBER(deployment_raw[[#This Row],[Column10]]), (MIN(IF(N538&lt;&gt;"",N538,9999999999999)*1.1,deployment_raw[[#This Row],[Column10]] * IF($E$2="Deployment",deployment_raw[[#This Row],[Column5]],1))),"")</f>
        <v/>
      </c>
      <c r="K538" s="123" t="str">
        <f>IF(ISNUMBER(deployment_raw[[#This Row],[Column11]]), (MIN(IF(O538&lt;&gt;"",O538,9999999999999)*1.1,deployment_raw[[#This Row],[Column11]] * IF($E$2="Deployment",deployment_raw[[#This Row],[Column5]],1)/1048576)),"")</f>
        <v/>
      </c>
      <c r="L538" s="124" t="str">
        <f>IF(ISNUMBER(deployment_raw[[#This Row],[Column8]]),IF(OR(deployment_raw[[#This Row],[Column5]] &lt;&gt; 0,$E$2 &lt;&gt; "Deployment"), MAX(J538, P538, R538, ($L$2 * IF($E$2="Deployment",deployment_raw[[#This Row],[Column5]],1)),IF(T538&lt;&gt;"",VALUE(T538) * IF($E$2="Deployment",deployment_raw[[#This Row],[Column5]],1),0)), 0),"")</f>
        <v/>
      </c>
      <c r="M538" s="125" t="str">
        <f>IF(ISNUMBER(deployment_raw[[#This Row],[Column9]]),IF(OR(deployment_raw[[#This Row],[Column5]] &lt;&gt; 0,$E$2&lt;&gt;"Deployment"), MAX(K538, Q538, S538, ($M$2 * IF($E$2="Deployment",deployment_raw[[#This Row],[Column5]],1)),IF(U538&lt;&gt;"",VALUE(U538) * IF($E$2="Deployment",deployment_raw[[#This Row],[Column5]],1),0)), 0),"")</f>
        <v/>
      </c>
      <c r="N538" s="166" t="str">
        <f>IF(ISNUMBER(deployment_raw[[#This Row],[Column14]]), deployment_raw[[#This Row],[Column14]]/IF(OR($E$2="Deployment",deployment_raw[[#This Row],[Column5]]=0),1,deployment_raw[[#This Row],[Column5]]),"")</f>
        <v/>
      </c>
      <c r="O538" s="167" t="str">
        <f>IF(ISNUMBER(deployment_raw[[#This Row],[Column15]]), deployment_raw[[#This Row],[Column15]]/IF(OR($E$2="Deployment",deployment_raw[[#This Row],[Column5]]=0),1,deployment_raw[[#This Row],[Column5]])/1048576,"")</f>
        <v/>
      </c>
      <c r="P538" s="168" t="str">
        <f>IF(ISNUMBER(deployment_raw[[#This Row],[Column12]]), (MIN(IF(N538&lt;&gt;"",N538,9999999999999)*1.1,deployment_raw[[#This Row],[Column12]] * IF($E$2="Deployment",deployment_raw[[#This Row],[Column5]],1))*(1+$P$2)),"")</f>
        <v/>
      </c>
      <c r="Q538" s="167" t="str">
        <f>IF(ISNUMBER(deployment_raw[[#This Row],[Column13]]), (MIN(IF(O538&lt;&gt;"",O538,9999999999999)*1.1,deployment_raw[[#This Row],[Column13]] * IF($E$2="Deployment",deployment_raw[[#This Row],[Column5]],1)*(1+$Q$2)/1048576)),"")</f>
        <v/>
      </c>
      <c r="R538" s="169" t="str">
        <f>IF(ISNUMBER(deployment_raw[[#This Row],[Column8]]), (H538  * IF(N538&lt;&gt;0,$R$2,1)),"")</f>
        <v/>
      </c>
      <c r="S538" s="170" t="str">
        <f>IF(ISNUMBER(deployment_raw[[#This Row],[Column8]]), (I538  * IF(O538&lt;&gt;0,$S$2,1)),"")</f>
        <v/>
      </c>
      <c r="T538" s="202" t="str">
        <f>IF(AND(A538&lt;&gt;"",_xlfn.IFNA(MATCH(A538,'dynamic resource application '!$A$2:$A$100, 0),0)&lt;&gt;0), H538/(IF($E$2="Deployment",E538,1)),"")</f>
        <v/>
      </c>
      <c r="U538" s="211" t="str">
        <f>IF(AND(A538&lt;&gt;"",_xlfn.IFNA(MATCH(A538,'dynamic resource application '!$A$2:$A$100, 0),0)&lt;&gt;0), I538/(IF($E$2="Deployment",E538,1)),"")</f>
        <v/>
      </c>
    </row>
    <row r="539" spans="1:21" ht="15.75" customHeight="1" x14ac:dyDescent="0.25">
      <c r="A539" s="35" t="str">
        <f>IF(ISNONTEXT(deployment_raw[[#This Row],[Column1]]), "", deployment_raw[[#This Row],[Column1]])</f>
        <v/>
      </c>
      <c r="B539" s="36" t="str">
        <f>IF(ISNONTEXT(deployment_raw[[#This Row],[Column2]]), "", deployment_raw[[#This Row],[Column2]])</f>
        <v/>
      </c>
      <c r="C539" s="36" t="str">
        <f>IF(ISNONTEXT(deployment_raw[[#This Row],[Column3]]), "", deployment_raw[[#This Row],[Column3]])</f>
        <v/>
      </c>
      <c r="D539" s="36" t="str">
        <f>IF(ISNONTEXT(deployment_raw[[#This Row],[Column4]]), "", deployment_raw[[#This Row],[Column4]])</f>
        <v/>
      </c>
      <c r="E539" s="37" t="str">
        <f>IF(ISNUMBER(deployment_raw[[#This Row],[Column5]]), deployment_raw[[#This Row],[Column5]],"")</f>
        <v/>
      </c>
      <c r="F539" s="94" t="str">
        <f>IF(ISNUMBER(deployment_raw[[#This Row],[Column6]]), (deployment_raw[[#This Row],[Column6]] * IF($E$2="Deployment",deployment_raw[[#This Row],[Column5]],1)),"")</f>
        <v/>
      </c>
      <c r="G539" s="95" t="str">
        <f>IF(ISNUMBER(deployment_raw[[#This Row],[Column7]]), (deployment_raw[[#This Row],[Column7]] * IF($E$2="Deployment",deployment_raw[[#This Row],[Column5]],1))/1048576,"")</f>
        <v/>
      </c>
      <c r="H539" s="95" t="str">
        <f>IF(ISNUMBER(deployment_raw[[#This Row],[Column8]]), (deployment_raw[[#This Row],[Column8]]  * IF($E$2="Deployment",deployment_raw[[#This Row],[Column5]],1)),"")</f>
        <v/>
      </c>
      <c r="I539" s="96" t="str">
        <f>IF(ISNUMBER(deployment_raw[[#This Row],[Column9]]), (deployment_raw[[#This Row],[Column9]] * IF($E$2="Deployment",deployment_raw[[#This Row],[Column5]],1))/1048576,"")</f>
        <v/>
      </c>
      <c r="J539" s="122" t="str">
        <f>IF(ISNUMBER(deployment_raw[[#This Row],[Column10]]), (MIN(IF(N539&lt;&gt;"",N539,9999999999999)*1.1,deployment_raw[[#This Row],[Column10]] * IF($E$2="Deployment",deployment_raw[[#This Row],[Column5]],1))),"")</f>
        <v/>
      </c>
      <c r="K539" s="123" t="str">
        <f>IF(ISNUMBER(deployment_raw[[#This Row],[Column11]]), (MIN(IF(O539&lt;&gt;"",O539,9999999999999)*1.1,deployment_raw[[#This Row],[Column11]] * IF($E$2="Deployment",deployment_raw[[#This Row],[Column5]],1)/1048576)),"")</f>
        <v/>
      </c>
      <c r="L539" s="124" t="str">
        <f>IF(ISNUMBER(deployment_raw[[#This Row],[Column8]]),IF(OR(deployment_raw[[#This Row],[Column5]] &lt;&gt; 0,$E$2 &lt;&gt; "Deployment"), MAX(J539, P539, R539, ($L$2 * IF($E$2="Deployment",deployment_raw[[#This Row],[Column5]],1)),IF(T539&lt;&gt;"",VALUE(T539) * IF($E$2="Deployment",deployment_raw[[#This Row],[Column5]],1),0)), 0),"")</f>
        <v/>
      </c>
      <c r="M539" s="125" t="str">
        <f>IF(ISNUMBER(deployment_raw[[#This Row],[Column9]]),IF(OR(deployment_raw[[#This Row],[Column5]] &lt;&gt; 0,$E$2&lt;&gt;"Deployment"), MAX(K539, Q539, S539, ($M$2 * IF($E$2="Deployment",deployment_raw[[#This Row],[Column5]],1)),IF(U539&lt;&gt;"",VALUE(U539) * IF($E$2="Deployment",deployment_raw[[#This Row],[Column5]],1),0)), 0),"")</f>
        <v/>
      </c>
      <c r="N539" s="166" t="str">
        <f>IF(ISNUMBER(deployment_raw[[#This Row],[Column14]]), deployment_raw[[#This Row],[Column14]]/IF(OR($E$2="Deployment",deployment_raw[[#This Row],[Column5]]=0),1,deployment_raw[[#This Row],[Column5]]),"")</f>
        <v/>
      </c>
      <c r="O539" s="167" t="str">
        <f>IF(ISNUMBER(deployment_raw[[#This Row],[Column15]]), deployment_raw[[#This Row],[Column15]]/IF(OR($E$2="Deployment",deployment_raw[[#This Row],[Column5]]=0),1,deployment_raw[[#This Row],[Column5]])/1048576,"")</f>
        <v/>
      </c>
      <c r="P539" s="168" t="str">
        <f>IF(ISNUMBER(deployment_raw[[#This Row],[Column12]]), (MIN(IF(N539&lt;&gt;"",N539,9999999999999)*1.1,deployment_raw[[#This Row],[Column12]] * IF($E$2="Deployment",deployment_raw[[#This Row],[Column5]],1))*(1+$P$2)),"")</f>
        <v/>
      </c>
      <c r="Q539" s="167" t="str">
        <f>IF(ISNUMBER(deployment_raw[[#This Row],[Column13]]), (MIN(IF(O539&lt;&gt;"",O539,9999999999999)*1.1,deployment_raw[[#This Row],[Column13]] * IF($E$2="Deployment",deployment_raw[[#This Row],[Column5]],1)*(1+$Q$2)/1048576)),"")</f>
        <v/>
      </c>
      <c r="R539" s="169" t="str">
        <f>IF(ISNUMBER(deployment_raw[[#This Row],[Column8]]), (H539  * IF(N539&lt;&gt;0,$R$2,1)),"")</f>
        <v/>
      </c>
      <c r="S539" s="170" t="str">
        <f>IF(ISNUMBER(deployment_raw[[#This Row],[Column8]]), (I539  * IF(O539&lt;&gt;0,$S$2,1)),"")</f>
        <v/>
      </c>
      <c r="T539" s="202" t="str">
        <f>IF(AND(A539&lt;&gt;"",_xlfn.IFNA(MATCH(A539,'dynamic resource application '!$A$2:$A$100, 0),0)&lt;&gt;0), H539/(IF($E$2="Deployment",E539,1)),"")</f>
        <v/>
      </c>
      <c r="U539" s="211" t="str">
        <f>IF(AND(A539&lt;&gt;"",_xlfn.IFNA(MATCH(A539,'dynamic resource application '!$A$2:$A$100, 0),0)&lt;&gt;0), I539/(IF($E$2="Deployment",E539,1)),"")</f>
        <v/>
      </c>
    </row>
    <row r="540" spans="1:21" ht="15.75" customHeight="1" x14ac:dyDescent="0.25">
      <c r="A540" s="35" t="str">
        <f>IF(ISNONTEXT(deployment_raw[[#This Row],[Column1]]), "", deployment_raw[[#This Row],[Column1]])</f>
        <v/>
      </c>
      <c r="B540" s="36" t="str">
        <f>IF(ISNONTEXT(deployment_raw[[#This Row],[Column2]]), "", deployment_raw[[#This Row],[Column2]])</f>
        <v/>
      </c>
      <c r="C540" s="36" t="str">
        <f>IF(ISNONTEXT(deployment_raw[[#This Row],[Column3]]), "", deployment_raw[[#This Row],[Column3]])</f>
        <v/>
      </c>
      <c r="D540" s="36" t="str">
        <f>IF(ISNONTEXT(deployment_raw[[#This Row],[Column4]]), "", deployment_raw[[#This Row],[Column4]])</f>
        <v/>
      </c>
      <c r="E540" s="37" t="str">
        <f>IF(ISNUMBER(deployment_raw[[#This Row],[Column5]]), deployment_raw[[#This Row],[Column5]],"")</f>
        <v/>
      </c>
      <c r="F540" s="94" t="str">
        <f>IF(ISNUMBER(deployment_raw[[#This Row],[Column6]]), (deployment_raw[[#This Row],[Column6]] * IF($E$2="Deployment",deployment_raw[[#This Row],[Column5]],1)),"")</f>
        <v/>
      </c>
      <c r="G540" s="95" t="str">
        <f>IF(ISNUMBER(deployment_raw[[#This Row],[Column7]]), (deployment_raw[[#This Row],[Column7]] * IF($E$2="Deployment",deployment_raw[[#This Row],[Column5]],1))/1048576,"")</f>
        <v/>
      </c>
      <c r="H540" s="95" t="str">
        <f>IF(ISNUMBER(deployment_raw[[#This Row],[Column8]]), (deployment_raw[[#This Row],[Column8]]  * IF($E$2="Deployment",deployment_raw[[#This Row],[Column5]],1)),"")</f>
        <v/>
      </c>
      <c r="I540" s="96" t="str">
        <f>IF(ISNUMBER(deployment_raw[[#This Row],[Column9]]), (deployment_raw[[#This Row],[Column9]] * IF($E$2="Deployment",deployment_raw[[#This Row],[Column5]],1))/1048576,"")</f>
        <v/>
      </c>
      <c r="J540" s="122" t="str">
        <f>IF(ISNUMBER(deployment_raw[[#This Row],[Column10]]), (MIN(IF(N540&lt;&gt;"",N540,9999999999999)*1.1,deployment_raw[[#This Row],[Column10]] * IF($E$2="Deployment",deployment_raw[[#This Row],[Column5]],1))),"")</f>
        <v/>
      </c>
      <c r="K540" s="123" t="str">
        <f>IF(ISNUMBER(deployment_raw[[#This Row],[Column11]]), (MIN(IF(O540&lt;&gt;"",O540,9999999999999)*1.1,deployment_raw[[#This Row],[Column11]] * IF($E$2="Deployment",deployment_raw[[#This Row],[Column5]],1)/1048576)),"")</f>
        <v/>
      </c>
      <c r="L540" s="124" t="str">
        <f>IF(ISNUMBER(deployment_raw[[#This Row],[Column8]]),IF(OR(deployment_raw[[#This Row],[Column5]] &lt;&gt; 0,$E$2 &lt;&gt; "Deployment"), MAX(J540, P540, R540, ($L$2 * IF($E$2="Deployment",deployment_raw[[#This Row],[Column5]],1)),IF(T540&lt;&gt;"",VALUE(T540) * IF($E$2="Deployment",deployment_raw[[#This Row],[Column5]],1),0)), 0),"")</f>
        <v/>
      </c>
      <c r="M540" s="125" t="str">
        <f>IF(ISNUMBER(deployment_raw[[#This Row],[Column9]]),IF(OR(deployment_raw[[#This Row],[Column5]] &lt;&gt; 0,$E$2&lt;&gt;"Deployment"), MAX(K540, Q540, S540, ($M$2 * IF($E$2="Deployment",deployment_raw[[#This Row],[Column5]],1)),IF(U540&lt;&gt;"",VALUE(U540) * IF($E$2="Deployment",deployment_raw[[#This Row],[Column5]],1),0)), 0),"")</f>
        <v/>
      </c>
      <c r="N540" s="166" t="str">
        <f>IF(ISNUMBER(deployment_raw[[#This Row],[Column14]]), deployment_raw[[#This Row],[Column14]]/IF(OR($E$2="Deployment",deployment_raw[[#This Row],[Column5]]=0),1,deployment_raw[[#This Row],[Column5]]),"")</f>
        <v/>
      </c>
      <c r="O540" s="167" t="str">
        <f>IF(ISNUMBER(deployment_raw[[#This Row],[Column15]]), deployment_raw[[#This Row],[Column15]]/IF(OR($E$2="Deployment",deployment_raw[[#This Row],[Column5]]=0),1,deployment_raw[[#This Row],[Column5]])/1048576,"")</f>
        <v/>
      </c>
      <c r="P540" s="168" t="str">
        <f>IF(ISNUMBER(deployment_raw[[#This Row],[Column12]]), (MIN(IF(N540&lt;&gt;"",N540,9999999999999)*1.1,deployment_raw[[#This Row],[Column12]] * IF($E$2="Deployment",deployment_raw[[#This Row],[Column5]],1))*(1+$P$2)),"")</f>
        <v/>
      </c>
      <c r="Q540" s="167" t="str">
        <f>IF(ISNUMBER(deployment_raw[[#This Row],[Column13]]), (MIN(IF(O540&lt;&gt;"",O540,9999999999999)*1.1,deployment_raw[[#This Row],[Column13]] * IF($E$2="Deployment",deployment_raw[[#This Row],[Column5]],1)*(1+$Q$2)/1048576)),"")</f>
        <v/>
      </c>
      <c r="R540" s="169" t="str">
        <f>IF(ISNUMBER(deployment_raw[[#This Row],[Column8]]), (H540  * IF(N540&lt;&gt;0,$R$2,1)),"")</f>
        <v/>
      </c>
      <c r="S540" s="170" t="str">
        <f>IF(ISNUMBER(deployment_raw[[#This Row],[Column8]]), (I540  * IF(O540&lt;&gt;0,$S$2,1)),"")</f>
        <v/>
      </c>
      <c r="T540" s="202" t="str">
        <f>IF(AND(A540&lt;&gt;"",_xlfn.IFNA(MATCH(A540,'dynamic resource application '!$A$2:$A$100, 0),0)&lt;&gt;0), H540/(IF($E$2="Deployment",E540,1)),"")</f>
        <v/>
      </c>
      <c r="U540" s="211" t="str">
        <f>IF(AND(A540&lt;&gt;"",_xlfn.IFNA(MATCH(A540,'dynamic resource application '!$A$2:$A$100, 0),0)&lt;&gt;0), I540/(IF($E$2="Deployment",E540,1)),"")</f>
        <v/>
      </c>
    </row>
    <row r="541" spans="1:21" ht="15.75" customHeight="1" x14ac:dyDescent="0.25">
      <c r="A541" s="35" t="str">
        <f>IF(ISNONTEXT(deployment_raw[[#This Row],[Column1]]), "", deployment_raw[[#This Row],[Column1]])</f>
        <v/>
      </c>
      <c r="B541" s="36" t="str">
        <f>IF(ISNONTEXT(deployment_raw[[#This Row],[Column2]]), "", deployment_raw[[#This Row],[Column2]])</f>
        <v/>
      </c>
      <c r="C541" s="36" t="str">
        <f>IF(ISNONTEXT(deployment_raw[[#This Row],[Column3]]), "", deployment_raw[[#This Row],[Column3]])</f>
        <v/>
      </c>
      <c r="D541" s="36" t="str">
        <f>IF(ISNONTEXT(deployment_raw[[#This Row],[Column4]]), "", deployment_raw[[#This Row],[Column4]])</f>
        <v/>
      </c>
      <c r="E541" s="37" t="str">
        <f>IF(ISNUMBER(deployment_raw[[#This Row],[Column5]]), deployment_raw[[#This Row],[Column5]],"")</f>
        <v/>
      </c>
      <c r="F541" s="94" t="str">
        <f>IF(ISNUMBER(deployment_raw[[#This Row],[Column6]]), (deployment_raw[[#This Row],[Column6]] * IF($E$2="Deployment",deployment_raw[[#This Row],[Column5]],1)),"")</f>
        <v/>
      </c>
      <c r="G541" s="95" t="str">
        <f>IF(ISNUMBER(deployment_raw[[#This Row],[Column7]]), (deployment_raw[[#This Row],[Column7]] * IF($E$2="Deployment",deployment_raw[[#This Row],[Column5]],1))/1048576,"")</f>
        <v/>
      </c>
      <c r="H541" s="95" t="str">
        <f>IF(ISNUMBER(deployment_raw[[#This Row],[Column8]]), (deployment_raw[[#This Row],[Column8]]  * IF($E$2="Deployment",deployment_raw[[#This Row],[Column5]],1)),"")</f>
        <v/>
      </c>
      <c r="I541" s="96" t="str">
        <f>IF(ISNUMBER(deployment_raw[[#This Row],[Column9]]), (deployment_raw[[#This Row],[Column9]] * IF($E$2="Deployment",deployment_raw[[#This Row],[Column5]],1))/1048576,"")</f>
        <v/>
      </c>
      <c r="J541" s="122" t="str">
        <f>IF(ISNUMBER(deployment_raw[[#This Row],[Column10]]), (MIN(IF(N541&lt;&gt;"",N541,9999999999999)*1.1,deployment_raw[[#This Row],[Column10]] * IF($E$2="Deployment",deployment_raw[[#This Row],[Column5]],1))),"")</f>
        <v/>
      </c>
      <c r="K541" s="123" t="str">
        <f>IF(ISNUMBER(deployment_raw[[#This Row],[Column11]]), (MIN(IF(O541&lt;&gt;"",O541,9999999999999)*1.1,deployment_raw[[#This Row],[Column11]] * IF($E$2="Deployment",deployment_raw[[#This Row],[Column5]],1)/1048576)),"")</f>
        <v/>
      </c>
      <c r="L541" s="124" t="str">
        <f>IF(ISNUMBER(deployment_raw[[#This Row],[Column8]]),IF(OR(deployment_raw[[#This Row],[Column5]] &lt;&gt; 0,$E$2 &lt;&gt; "Deployment"), MAX(J541, P541, R541, ($L$2 * IF($E$2="Deployment",deployment_raw[[#This Row],[Column5]],1)),IF(T541&lt;&gt;"",VALUE(T541) * IF($E$2="Deployment",deployment_raw[[#This Row],[Column5]],1),0)), 0),"")</f>
        <v/>
      </c>
      <c r="M541" s="125" t="str">
        <f>IF(ISNUMBER(deployment_raw[[#This Row],[Column9]]),IF(OR(deployment_raw[[#This Row],[Column5]] &lt;&gt; 0,$E$2&lt;&gt;"Deployment"), MAX(K541, Q541, S541, ($M$2 * IF($E$2="Deployment",deployment_raw[[#This Row],[Column5]],1)),IF(U541&lt;&gt;"",VALUE(U541) * IF($E$2="Deployment",deployment_raw[[#This Row],[Column5]],1),0)), 0),"")</f>
        <v/>
      </c>
      <c r="N541" s="166" t="str">
        <f>IF(ISNUMBER(deployment_raw[[#This Row],[Column14]]), deployment_raw[[#This Row],[Column14]]/IF(OR($E$2="Deployment",deployment_raw[[#This Row],[Column5]]=0),1,deployment_raw[[#This Row],[Column5]]),"")</f>
        <v/>
      </c>
      <c r="O541" s="167" t="str">
        <f>IF(ISNUMBER(deployment_raw[[#This Row],[Column15]]), deployment_raw[[#This Row],[Column15]]/IF(OR($E$2="Deployment",deployment_raw[[#This Row],[Column5]]=0),1,deployment_raw[[#This Row],[Column5]])/1048576,"")</f>
        <v/>
      </c>
      <c r="P541" s="168" t="str">
        <f>IF(ISNUMBER(deployment_raw[[#This Row],[Column12]]), (MIN(IF(N541&lt;&gt;"",N541,9999999999999)*1.1,deployment_raw[[#This Row],[Column12]] * IF($E$2="Deployment",deployment_raw[[#This Row],[Column5]],1))*(1+$P$2)),"")</f>
        <v/>
      </c>
      <c r="Q541" s="167" t="str">
        <f>IF(ISNUMBER(deployment_raw[[#This Row],[Column13]]), (MIN(IF(O541&lt;&gt;"",O541,9999999999999)*1.1,deployment_raw[[#This Row],[Column13]] * IF($E$2="Deployment",deployment_raw[[#This Row],[Column5]],1)*(1+$Q$2)/1048576)),"")</f>
        <v/>
      </c>
      <c r="R541" s="169" t="str">
        <f>IF(ISNUMBER(deployment_raw[[#This Row],[Column8]]), (H541  * IF(N541&lt;&gt;0,$R$2,1)),"")</f>
        <v/>
      </c>
      <c r="S541" s="170" t="str">
        <f>IF(ISNUMBER(deployment_raw[[#This Row],[Column8]]), (I541  * IF(O541&lt;&gt;0,$S$2,1)),"")</f>
        <v/>
      </c>
      <c r="T541" s="202" t="str">
        <f>IF(AND(A541&lt;&gt;"",_xlfn.IFNA(MATCH(A541,'dynamic resource application '!$A$2:$A$100, 0),0)&lt;&gt;0), H541/(IF($E$2="Deployment",E541,1)),"")</f>
        <v/>
      </c>
      <c r="U541" s="211" t="str">
        <f>IF(AND(A541&lt;&gt;"",_xlfn.IFNA(MATCH(A541,'dynamic resource application '!$A$2:$A$100, 0),0)&lt;&gt;0), I541/(IF($E$2="Deployment",E541,1)),"")</f>
        <v/>
      </c>
    </row>
    <row r="542" spans="1:21" ht="15.75" customHeight="1" x14ac:dyDescent="0.25">
      <c r="A542" s="35" t="str">
        <f>IF(ISNONTEXT(deployment_raw[[#This Row],[Column1]]), "", deployment_raw[[#This Row],[Column1]])</f>
        <v/>
      </c>
      <c r="B542" s="36" t="str">
        <f>IF(ISNONTEXT(deployment_raw[[#This Row],[Column2]]), "", deployment_raw[[#This Row],[Column2]])</f>
        <v/>
      </c>
      <c r="C542" s="36" t="str">
        <f>IF(ISNONTEXT(deployment_raw[[#This Row],[Column3]]), "", deployment_raw[[#This Row],[Column3]])</f>
        <v/>
      </c>
      <c r="D542" s="36" t="str">
        <f>IF(ISNONTEXT(deployment_raw[[#This Row],[Column4]]), "", deployment_raw[[#This Row],[Column4]])</f>
        <v/>
      </c>
      <c r="E542" s="37" t="str">
        <f>IF(ISNUMBER(deployment_raw[[#This Row],[Column5]]), deployment_raw[[#This Row],[Column5]],"")</f>
        <v/>
      </c>
      <c r="F542" s="94" t="str">
        <f>IF(ISNUMBER(deployment_raw[[#This Row],[Column6]]), (deployment_raw[[#This Row],[Column6]] * IF($E$2="Deployment",deployment_raw[[#This Row],[Column5]],1)),"")</f>
        <v/>
      </c>
      <c r="G542" s="95" t="str">
        <f>IF(ISNUMBER(deployment_raw[[#This Row],[Column7]]), (deployment_raw[[#This Row],[Column7]] * IF($E$2="Deployment",deployment_raw[[#This Row],[Column5]],1))/1048576,"")</f>
        <v/>
      </c>
      <c r="H542" s="95" t="str">
        <f>IF(ISNUMBER(deployment_raw[[#This Row],[Column8]]), (deployment_raw[[#This Row],[Column8]]  * IF($E$2="Deployment",deployment_raw[[#This Row],[Column5]],1)),"")</f>
        <v/>
      </c>
      <c r="I542" s="96" t="str">
        <f>IF(ISNUMBER(deployment_raw[[#This Row],[Column9]]), (deployment_raw[[#This Row],[Column9]] * IF($E$2="Deployment",deployment_raw[[#This Row],[Column5]],1))/1048576,"")</f>
        <v/>
      </c>
      <c r="J542" s="122" t="str">
        <f>IF(ISNUMBER(deployment_raw[[#This Row],[Column10]]), (MIN(IF(N542&lt;&gt;"",N542,9999999999999)*1.1,deployment_raw[[#This Row],[Column10]] * IF($E$2="Deployment",deployment_raw[[#This Row],[Column5]],1))),"")</f>
        <v/>
      </c>
      <c r="K542" s="123" t="str">
        <f>IF(ISNUMBER(deployment_raw[[#This Row],[Column11]]), (MIN(IF(O542&lt;&gt;"",O542,9999999999999)*1.1,deployment_raw[[#This Row],[Column11]] * IF($E$2="Deployment",deployment_raw[[#This Row],[Column5]],1)/1048576)),"")</f>
        <v/>
      </c>
      <c r="L542" s="124" t="str">
        <f>IF(ISNUMBER(deployment_raw[[#This Row],[Column8]]),IF(OR(deployment_raw[[#This Row],[Column5]] &lt;&gt; 0,$E$2 &lt;&gt; "Deployment"), MAX(J542, P542, R542, ($L$2 * IF($E$2="Deployment",deployment_raw[[#This Row],[Column5]],1)),IF(T542&lt;&gt;"",VALUE(T542) * IF($E$2="Deployment",deployment_raw[[#This Row],[Column5]],1),0)), 0),"")</f>
        <v/>
      </c>
      <c r="M542" s="125" t="str">
        <f>IF(ISNUMBER(deployment_raw[[#This Row],[Column9]]),IF(OR(deployment_raw[[#This Row],[Column5]] &lt;&gt; 0,$E$2&lt;&gt;"Deployment"), MAX(K542, Q542, S542, ($M$2 * IF($E$2="Deployment",deployment_raw[[#This Row],[Column5]],1)),IF(U542&lt;&gt;"",VALUE(U542) * IF($E$2="Deployment",deployment_raw[[#This Row],[Column5]],1),0)), 0),"")</f>
        <v/>
      </c>
      <c r="N542" s="166" t="str">
        <f>IF(ISNUMBER(deployment_raw[[#This Row],[Column14]]), deployment_raw[[#This Row],[Column14]]/IF(OR($E$2="Deployment",deployment_raw[[#This Row],[Column5]]=0),1,deployment_raw[[#This Row],[Column5]]),"")</f>
        <v/>
      </c>
      <c r="O542" s="167" t="str">
        <f>IF(ISNUMBER(deployment_raw[[#This Row],[Column15]]), deployment_raw[[#This Row],[Column15]]/IF(OR($E$2="Deployment",deployment_raw[[#This Row],[Column5]]=0),1,deployment_raw[[#This Row],[Column5]])/1048576,"")</f>
        <v/>
      </c>
      <c r="P542" s="168" t="str">
        <f>IF(ISNUMBER(deployment_raw[[#This Row],[Column12]]), (MIN(IF(N542&lt;&gt;"",N542,9999999999999)*1.1,deployment_raw[[#This Row],[Column12]] * IF($E$2="Deployment",deployment_raw[[#This Row],[Column5]],1))*(1+$P$2)),"")</f>
        <v/>
      </c>
      <c r="Q542" s="167" t="str">
        <f>IF(ISNUMBER(deployment_raw[[#This Row],[Column13]]), (MIN(IF(O542&lt;&gt;"",O542,9999999999999)*1.1,deployment_raw[[#This Row],[Column13]] * IF($E$2="Deployment",deployment_raw[[#This Row],[Column5]],1)*(1+$Q$2)/1048576)),"")</f>
        <v/>
      </c>
      <c r="R542" s="169" t="str">
        <f>IF(ISNUMBER(deployment_raw[[#This Row],[Column8]]), (H542  * IF(N542&lt;&gt;0,$R$2,1)),"")</f>
        <v/>
      </c>
      <c r="S542" s="170" t="str">
        <f>IF(ISNUMBER(deployment_raw[[#This Row],[Column8]]), (I542  * IF(O542&lt;&gt;0,$S$2,1)),"")</f>
        <v/>
      </c>
      <c r="T542" s="202" t="str">
        <f>IF(AND(A542&lt;&gt;"",_xlfn.IFNA(MATCH(A542,'dynamic resource application '!$A$2:$A$100, 0),0)&lt;&gt;0), H542/(IF($E$2="Deployment",E542,1)),"")</f>
        <v/>
      </c>
      <c r="U542" s="211" t="str">
        <f>IF(AND(A542&lt;&gt;"",_xlfn.IFNA(MATCH(A542,'dynamic resource application '!$A$2:$A$100, 0),0)&lt;&gt;0), I542/(IF($E$2="Deployment",E542,1)),"")</f>
        <v/>
      </c>
    </row>
    <row r="543" spans="1:21" ht="15.75" customHeight="1" x14ac:dyDescent="0.25">
      <c r="A543" s="35" t="str">
        <f>IF(ISNONTEXT(deployment_raw[[#This Row],[Column1]]), "", deployment_raw[[#This Row],[Column1]])</f>
        <v/>
      </c>
      <c r="B543" s="36" t="str">
        <f>IF(ISNONTEXT(deployment_raw[[#This Row],[Column2]]), "", deployment_raw[[#This Row],[Column2]])</f>
        <v/>
      </c>
      <c r="C543" s="36" t="str">
        <f>IF(ISNONTEXT(deployment_raw[[#This Row],[Column3]]), "", deployment_raw[[#This Row],[Column3]])</f>
        <v/>
      </c>
      <c r="D543" s="36" t="str">
        <f>IF(ISNONTEXT(deployment_raw[[#This Row],[Column4]]), "", deployment_raw[[#This Row],[Column4]])</f>
        <v/>
      </c>
      <c r="E543" s="37" t="str">
        <f>IF(ISNUMBER(deployment_raw[[#This Row],[Column5]]), deployment_raw[[#This Row],[Column5]],"")</f>
        <v/>
      </c>
      <c r="F543" s="94" t="str">
        <f>IF(ISNUMBER(deployment_raw[[#This Row],[Column6]]), (deployment_raw[[#This Row],[Column6]] * IF($E$2="Deployment",deployment_raw[[#This Row],[Column5]],1)),"")</f>
        <v/>
      </c>
      <c r="G543" s="95" t="str">
        <f>IF(ISNUMBER(deployment_raw[[#This Row],[Column7]]), (deployment_raw[[#This Row],[Column7]] * IF($E$2="Deployment",deployment_raw[[#This Row],[Column5]],1))/1048576,"")</f>
        <v/>
      </c>
      <c r="H543" s="95" t="str">
        <f>IF(ISNUMBER(deployment_raw[[#This Row],[Column8]]), (deployment_raw[[#This Row],[Column8]]  * IF($E$2="Deployment",deployment_raw[[#This Row],[Column5]],1)),"")</f>
        <v/>
      </c>
      <c r="I543" s="96" t="str">
        <f>IF(ISNUMBER(deployment_raw[[#This Row],[Column9]]), (deployment_raw[[#This Row],[Column9]] * IF($E$2="Deployment",deployment_raw[[#This Row],[Column5]],1))/1048576,"")</f>
        <v/>
      </c>
      <c r="J543" s="122" t="str">
        <f>IF(ISNUMBER(deployment_raw[[#This Row],[Column10]]), (MIN(IF(N543&lt;&gt;"",N543,9999999999999)*1.1,deployment_raw[[#This Row],[Column10]] * IF($E$2="Deployment",deployment_raw[[#This Row],[Column5]],1))),"")</f>
        <v/>
      </c>
      <c r="K543" s="123" t="str">
        <f>IF(ISNUMBER(deployment_raw[[#This Row],[Column11]]), (MIN(IF(O543&lt;&gt;"",O543,9999999999999)*1.1,deployment_raw[[#This Row],[Column11]] * IF($E$2="Deployment",deployment_raw[[#This Row],[Column5]],1)/1048576)),"")</f>
        <v/>
      </c>
      <c r="L543" s="124" t="str">
        <f>IF(ISNUMBER(deployment_raw[[#This Row],[Column8]]),IF(OR(deployment_raw[[#This Row],[Column5]] &lt;&gt; 0,$E$2 &lt;&gt; "Deployment"), MAX(J543, P543, R543, ($L$2 * IF($E$2="Deployment",deployment_raw[[#This Row],[Column5]],1)),IF(T543&lt;&gt;"",VALUE(T543) * IF($E$2="Deployment",deployment_raw[[#This Row],[Column5]],1),0)), 0),"")</f>
        <v/>
      </c>
      <c r="M543" s="125" t="str">
        <f>IF(ISNUMBER(deployment_raw[[#This Row],[Column9]]),IF(OR(deployment_raw[[#This Row],[Column5]] &lt;&gt; 0,$E$2&lt;&gt;"Deployment"), MAX(K543, Q543, S543, ($M$2 * IF($E$2="Deployment",deployment_raw[[#This Row],[Column5]],1)),IF(U543&lt;&gt;"",VALUE(U543) * IF($E$2="Deployment",deployment_raw[[#This Row],[Column5]],1),0)), 0),"")</f>
        <v/>
      </c>
      <c r="N543" s="166" t="str">
        <f>IF(ISNUMBER(deployment_raw[[#This Row],[Column14]]), deployment_raw[[#This Row],[Column14]]/IF(OR($E$2="Deployment",deployment_raw[[#This Row],[Column5]]=0),1,deployment_raw[[#This Row],[Column5]]),"")</f>
        <v/>
      </c>
      <c r="O543" s="167" t="str">
        <f>IF(ISNUMBER(deployment_raw[[#This Row],[Column15]]), deployment_raw[[#This Row],[Column15]]/IF(OR($E$2="Deployment",deployment_raw[[#This Row],[Column5]]=0),1,deployment_raw[[#This Row],[Column5]])/1048576,"")</f>
        <v/>
      </c>
      <c r="P543" s="168" t="str">
        <f>IF(ISNUMBER(deployment_raw[[#This Row],[Column12]]), (MIN(IF(N543&lt;&gt;"",N543,9999999999999)*1.1,deployment_raw[[#This Row],[Column12]] * IF($E$2="Deployment",deployment_raw[[#This Row],[Column5]],1))*(1+$P$2)),"")</f>
        <v/>
      </c>
      <c r="Q543" s="167" t="str">
        <f>IF(ISNUMBER(deployment_raw[[#This Row],[Column13]]), (MIN(IF(O543&lt;&gt;"",O543,9999999999999)*1.1,deployment_raw[[#This Row],[Column13]] * IF($E$2="Deployment",deployment_raw[[#This Row],[Column5]],1)*(1+$Q$2)/1048576)),"")</f>
        <v/>
      </c>
      <c r="R543" s="169" t="str">
        <f>IF(ISNUMBER(deployment_raw[[#This Row],[Column8]]), (H543  * IF(N543&lt;&gt;0,$R$2,1)),"")</f>
        <v/>
      </c>
      <c r="S543" s="170" t="str">
        <f>IF(ISNUMBER(deployment_raw[[#This Row],[Column8]]), (I543  * IF(O543&lt;&gt;0,$S$2,1)),"")</f>
        <v/>
      </c>
      <c r="T543" s="202" t="str">
        <f>IF(AND(A543&lt;&gt;"",_xlfn.IFNA(MATCH(A543,'dynamic resource application '!$A$2:$A$100, 0),0)&lt;&gt;0), H543/(IF($E$2="Deployment",E543,1)),"")</f>
        <v/>
      </c>
      <c r="U543" s="211" t="str">
        <f>IF(AND(A543&lt;&gt;"",_xlfn.IFNA(MATCH(A543,'dynamic resource application '!$A$2:$A$100, 0),0)&lt;&gt;0), I543/(IF($E$2="Deployment",E543,1)),"")</f>
        <v/>
      </c>
    </row>
    <row r="544" spans="1:21" ht="15.75" customHeight="1" x14ac:dyDescent="0.25">
      <c r="A544" s="35" t="str">
        <f>IF(ISNONTEXT(deployment_raw[[#This Row],[Column1]]), "", deployment_raw[[#This Row],[Column1]])</f>
        <v/>
      </c>
      <c r="B544" s="36" t="str">
        <f>IF(ISNONTEXT(deployment_raw[[#This Row],[Column2]]), "", deployment_raw[[#This Row],[Column2]])</f>
        <v/>
      </c>
      <c r="C544" s="36" t="str">
        <f>IF(ISNONTEXT(deployment_raw[[#This Row],[Column3]]), "", deployment_raw[[#This Row],[Column3]])</f>
        <v/>
      </c>
      <c r="D544" s="36" t="str">
        <f>IF(ISNONTEXT(deployment_raw[[#This Row],[Column4]]), "", deployment_raw[[#This Row],[Column4]])</f>
        <v/>
      </c>
      <c r="E544" s="37" t="str">
        <f>IF(ISNUMBER(deployment_raw[[#This Row],[Column5]]), deployment_raw[[#This Row],[Column5]],"")</f>
        <v/>
      </c>
      <c r="F544" s="94" t="str">
        <f>IF(ISNUMBER(deployment_raw[[#This Row],[Column6]]), (deployment_raw[[#This Row],[Column6]] * IF($E$2="Deployment",deployment_raw[[#This Row],[Column5]],1)),"")</f>
        <v/>
      </c>
      <c r="G544" s="95" t="str">
        <f>IF(ISNUMBER(deployment_raw[[#This Row],[Column7]]), (deployment_raw[[#This Row],[Column7]] * IF($E$2="Deployment",deployment_raw[[#This Row],[Column5]],1))/1048576,"")</f>
        <v/>
      </c>
      <c r="H544" s="95" t="str">
        <f>IF(ISNUMBER(deployment_raw[[#This Row],[Column8]]), (deployment_raw[[#This Row],[Column8]]  * IF($E$2="Deployment",deployment_raw[[#This Row],[Column5]],1)),"")</f>
        <v/>
      </c>
      <c r="I544" s="96" t="str">
        <f>IF(ISNUMBER(deployment_raw[[#This Row],[Column9]]), (deployment_raw[[#This Row],[Column9]] * IF($E$2="Deployment",deployment_raw[[#This Row],[Column5]],1))/1048576,"")</f>
        <v/>
      </c>
      <c r="J544" s="122" t="str">
        <f>IF(ISNUMBER(deployment_raw[[#This Row],[Column10]]), (MIN(IF(N544&lt;&gt;"",N544,9999999999999)*1.1,deployment_raw[[#This Row],[Column10]] * IF($E$2="Deployment",deployment_raw[[#This Row],[Column5]],1))),"")</f>
        <v/>
      </c>
      <c r="K544" s="123" t="str">
        <f>IF(ISNUMBER(deployment_raw[[#This Row],[Column11]]), (MIN(IF(O544&lt;&gt;"",O544,9999999999999)*1.1,deployment_raw[[#This Row],[Column11]] * IF($E$2="Deployment",deployment_raw[[#This Row],[Column5]],1)/1048576)),"")</f>
        <v/>
      </c>
      <c r="L544" s="124" t="str">
        <f>IF(ISNUMBER(deployment_raw[[#This Row],[Column8]]),IF(OR(deployment_raw[[#This Row],[Column5]] &lt;&gt; 0,$E$2 &lt;&gt; "Deployment"), MAX(J544, P544, R544, ($L$2 * IF($E$2="Deployment",deployment_raw[[#This Row],[Column5]],1)),IF(T544&lt;&gt;"",VALUE(T544) * IF($E$2="Deployment",deployment_raw[[#This Row],[Column5]],1),0)), 0),"")</f>
        <v/>
      </c>
      <c r="M544" s="125" t="str">
        <f>IF(ISNUMBER(deployment_raw[[#This Row],[Column9]]),IF(OR(deployment_raw[[#This Row],[Column5]] &lt;&gt; 0,$E$2&lt;&gt;"Deployment"), MAX(K544, Q544, S544, ($M$2 * IF($E$2="Deployment",deployment_raw[[#This Row],[Column5]],1)),IF(U544&lt;&gt;"",VALUE(U544) * IF($E$2="Deployment",deployment_raw[[#This Row],[Column5]],1),0)), 0),"")</f>
        <v/>
      </c>
      <c r="N544" s="166" t="str">
        <f>IF(ISNUMBER(deployment_raw[[#This Row],[Column14]]), deployment_raw[[#This Row],[Column14]]/IF(OR($E$2="Deployment",deployment_raw[[#This Row],[Column5]]=0),1,deployment_raw[[#This Row],[Column5]]),"")</f>
        <v/>
      </c>
      <c r="O544" s="167" t="str">
        <f>IF(ISNUMBER(deployment_raw[[#This Row],[Column15]]), deployment_raw[[#This Row],[Column15]]/IF(OR($E$2="Deployment",deployment_raw[[#This Row],[Column5]]=0),1,deployment_raw[[#This Row],[Column5]])/1048576,"")</f>
        <v/>
      </c>
      <c r="P544" s="168" t="str">
        <f>IF(ISNUMBER(deployment_raw[[#This Row],[Column12]]), (MIN(IF(N544&lt;&gt;"",N544,9999999999999)*1.1,deployment_raw[[#This Row],[Column12]] * IF($E$2="Deployment",deployment_raw[[#This Row],[Column5]],1))*(1+$P$2)),"")</f>
        <v/>
      </c>
      <c r="Q544" s="167" t="str">
        <f>IF(ISNUMBER(deployment_raw[[#This Row],[Column13]]), (MIN(IF(O544&lt;&gt;"",O544,9999999999999)*1.1,deployment_raw[[#This Row],[Column13]] * IF($E$2="Deployment",deployment_raw[[#This Row],[Column5]],1)*(1+$Q$2)/1048576)),"")</f>
        <v/>
      </c>
      <c r="R544" s="169" t="str">
        <f>IF(ISNUMBER(deployment_raw[[#This Row],[Column8]]), (H544  * IF(N544&lt;&gt;0,$R$2,1)),"")</f>
        <v/>
      </c>
      <c r="S544" s="170" t="str">
        <f>IF(ISNUMBER(deployment_raw[[#This Row],[Column8]]), (I544  * IF(O544&lt;&gt;0,$S$2,1)),"")</f>
        <v/>
      </c>
      <c r="T544" s="202" t="str">
        <f>IF(AND(A544&lt;&gt;"",_xlfn.IFNA(MATCH(A544,'dynamic resource application '!$A$2:$A$100, 0),0)&lt;&gt;0), H544/(IF($E$2="Deployment",E544,1)),"")</f>
        <v/>
      </c>
      <c r="U544" s="211" t="str">
        <f>IF(AND(A544&lt;&gt;"",_xlfn.IFNA(MATCH(A544,'dynamic resource application '!$A$2:$A$100, 0),0)&lt;&gt;0), I544/(IF($E$2="Deployment",E544,1)),"")</f>
        <v/>
      </c>
    </row>
    <row r="545" spans="1:21" ht="15.75" customHeight="1" x14ac:dyDescent="0.25">
      <c r="A545" s="35" t="str">
        <f>IF(ISNONTEXT(deployment_raw[[#This Row],[Column1]]), "", deployment_raw[[#This Row],[Column1]])</f>
        <v/>
      </c>
      <c r="B545" s="36" t="str">
        <f>IF(ISNONTEXT(deployment_raw[[#This Row],[Column2]]), "", deployment_raw[[#This Row],[Column2]])</f>
        <v/>
      </c>
      <c r="C545" s="36" t="str">
        <f>IF(ISNONTEXT(deployment_raw[[#This Row],[Column3]]), "", deployment_raw[[#This Row],[Column3]])</f>
        <v/>
      </c>
      <c r="D545" s="36" t="str">
        <f>IF(ISNONTEXT(deployment_raw[[#This Row],[Column4]]), "", deployment_raw[[#This Row],[Column4]])</f>
        <v/>
      </c>
      <c r="E545" s="37" t="str">
        <f>IF(ISNUMBER(deployment_raw[[#This Row],[Column5]]), deployment_raw[[#This Row],[Column5]],"")</f>
        <v/>
      </c>
      <c r="F545" s="94" t="str">
        <f>IF(ISNUMBER(deployment_raw[[#This Row],[Column6]]), (deployment_raw[[#This Row],[Column6]] * IF($E$2="Deployment",deployment_raw[[#This Row],[Column5]],1)),"")</f>
        <v/>
      </c>
      <c r="G545" s="95" t="str">
        <f>IF(ISNUMBER(deployment_raw[[#This Row],[Column7]]), (deployment_raw[[#This Row],[Column7]] * IF($E$2="Deployment",deployment_raw[[#This Row],[Column5]],1))/1048576,"")</f>
        <v/>
      </c>
      <c r="H545" s="95" t="str">
        <f>IF(ISNUMBER(deployment_raw[[#This Row],[Column8]]), (deployment_raw[[#This Row],[Column8]]  * IF($E$2="Deployment",deployment_raw[[#This Row],[Column5]],1)),"")</f>
        <v/>
      </c>
      <c r="I545" s="96" t="str">
        <f>IF(ISNUMBER(deployment_raw[[#This Row],[Column9]]), (deployment_raw[[#This Row],[Column9]] * IF($E$2="Deployment",deployment_raw[[#This Row],[Column5]],1))/1048576,"")</f>
        <v/>
      </c>
      <c r="J545" s="122" t="str">
        <f>IF(ISNUMBER(deployment_raw[[#This Row],[Column10]]), (MIN(IF(N545&lt;&gt;"",N545,9999999999999)*1.1,deployment_raw[[#This Row],[Column10]] * IF($E$2="Deployment",deployment_raw[[#This Row],[Column5]],1))),"")</f>
        <v/>
      </c>
      <c r="K545" s="123" t="str">
        <f>IF(ISNUMBER(deployment_raw[[#This Row],[Column11]]), (MIN(IF(O545&lt;&gt;"",O545,9999999999999)*1.1,deployment_raw[[#This Row],[Column11]] * IF($E$2="Deployment",deployment_raw[[#This Row],[Column5]],1)/1048576)),"")</f>
        <v/>
      </c>
      <c r="L545" s="124" t="str">
        <f>IF(ISNUMBER(deployment_raw[[#This Row],[Column8]]),IF(OR(deployment_raw[[#This Row],[Column5]] &lt;&gt; 0,$E$2 &lt;&gt; "Deployment"), MAX(J545, P545, R545, ($L$2 * IF($E$2="Deployment",deployment_raw[[#This Row],[Column5]],1)),IF(T545&lt;&gt;"",VALUE(T545) * IF($E$2="Deployment",deployment_raw[[#This Row],[Column5]],1),0)), 0),"")</f>
        <v/>
      </c>
      <c r="M545" s="125" t="str">
        <f>IF(ISNUMBER(deployment_raw[[#This Row],[Column9]]),IF(OR(deployment_raw[[#This Row],[Column5]] &lt;&gt; 0,$E$2&lt;&gt;"Deployment"), MAX(K545, Q545, S545, ($M$2 * IF($E$2="Deployment",deployment_raw[[#This Row],[Column5]],1)),IF(U545&lt;&gt;"",VALUE(U545) * IF($E$2="Deployment",deployment_raw[[#This Row],[Column5]],1),0)), 0),"")</f>
        <v/>
      </c>
      <c r="N545" s="166" t="str">
        <f>IF(ISNUMBER(deployment_raw[[#This Row],[Column14]]), deployment_raw[[#This Row],[Column14]]/IF(OR($E$2="Deployment",deployment_raw[[#This Row],[Column5]]=0),1,deployment_raw[[#This Row],[Column5]]),"")</f>
        <v/>
      </c>
      <c r="O545" s="167" t="str">
        <f>IF(ISNUMBER(deployment_raw[[#This Row],[Column15]]), deployment_raw[[#This Row],[Column15]]/IF(OR($E$2="Deployment",deployment_raw[[#This Row],[Column5]]=0),1,deployment_raw[[#This Row],[Column5]])/1048576,"")</f>
        <v/>
      </c>
      <c r="P545" s="168" t="str">
        <f>IF(ISNUMBER(deployment_raw[[#This Row],[Column12]]), (MIN(IF(N545&lt;&gt;"",N545,9999999999999)*1.1,deployment_raw[[#This Row],[Column12]] * IF($E$2="Deployment",deployment_raw[[#This Row],[Column5]],1))*(1+$P$2)),"")</f>
        <v/>
      </c>
      <c r="Q545" s="167" t="str">
        <f>IF(ISNUMBER(deployment_raw[[#This Row],[Column13]]), (MIN(IF(O545&lt;&gt;"",O545,9999999999999)*1.1,deployment_raw[[#This Row],[Column13]] * IF($E$2="Deployment",deployment_raw[[#This Row],[Column5]],1)*(1+$Q$2)/1048576)),"")</f>
        <v/>
      </c>
      <c r="R545" s="169" t="str">
        <f>IF(ISNUMBER(deployment_raw[[#This Row],[Column8]]), (H545  * IF(N545&lt;&gt;0,$R$2,1)),"")</f>
        <v/>
      </c>
      <c r="S545" s="170" t="str">
        <f>IF(ISNUMBER(deployment_raw[[#This Row],[Column8]]), (I545  * IF(O545&lt;&gt;0,$S$2,1)),"")</f>
        <v/>
      </c>
      <c r="T545" s="202" t="str">
        <f>IF(AND(A545&lt;&gt;"",_xlfn.IFNA(MATCH(A545,'dynamic resource application '!$A$2:$A$100, 0),0)&lt;&gt;0), H545/(IF($E$2="Deployment",E545,1)),"")</f>
        <v/>
      </c>
      <c r="U545" s="211" t="str">
        <f>IF(AND(A545&lt;&gt;"",_xlfn.IFNA(MATCH(A545,'dynamic resource application '!$A$2:$A$100, 0),0)&lt;&gt;0), I545/(IF($E$2="Deployment",E545,1)),"")</f>
        <v/>
      </c>
    </row>
    <row r="546" spans="1:21" ht="15.75" customHeight="1" x14ac:dyDescent="0.25">
      <c r="A546" s="35" t="str">
        <f>IF(ISNONTEXT(deployment_raw[[#This Row],[Column1]]), "", deployment_raw[[#This Row],[Column1]])</f>
        <v/>
      </c>
      <c r="B546" s="36" t="str">
        <f>IF(ISNONTEXT(deployment_raw[[#This Row],[Column2]]), "", deployment_raw[[#This Row],[Column2]])</f>
        <v/>
      </c>
      <c r="C546" s="36" t="str">
        <f>IF(ISNONTEXT(deployment_raw[[#This Row],[Column3]]), "", deployment_raw[[#This Row],[Column3]])</f>
        <v/>
      </c>
      <c r="D546" s="36" t="str">
        <f>IF(ISNONTEXT(deployment_raw[[#This Row],[Column4]]), "", deployment_raw[[#This Row],[Column4]])</f>
        <v/>
      </c>
      <c r="E546" s="37" t="str">
        <f>IF(ISNUMBER(deployment_raw[[#This Row],[Column5]]), deployment_raw[[#This Row],[Column5]],"")</f>
        <v/>
      </c>
      <c r="F546" s="94" t="str">
        <f>IF(ISNUMBER(deployment_raw[[#This Row],[Column6]]), (deployment_raw[[#This Row],[Column6]] * IF($E$2="Deployment",deployment_raw[[#This Row],[Column5]],1)),"")</f>
        <v/>
      </c>
      <c r="G546" s="95" t="str">
        <f>IF(ISNUMBER(deployment_raw[[#This Row],[Column7]]), (deployment_raw[[#This Row],[Column7]] * IF($E$2="Deployment",deployment_raw[[#This Row],[Column5]],1))/1048576,"")</f>
        <v/>
      </c>
      <c r="H546" s="95" t="str">
        <f>IF(ISNUMBER(deployment_raw[[#This Row],[Column8]]), (deployment_raw[[#This Row],[Column8]]  * IF($E$2="Deployment",deployment_raw[[#This Row],[Column5]],1)),"")</f>
        <v/>
      </c>
      <c r="I546" s="96" t="str">
        <f>IF(ISNUMBER(deployment_raw[[#This Row],[Column9]]), (deployment_raw[[#This Row],[Column9]] * IF($E$2="Deployment",deployment_raw[[#This Row],[Column5]],1))/1048576,"")</f>
        <v/>
      </c>
      <c r="J546" s="122" t="str">
        <f>IF(ISNUMBER(deployment_raw[[#This Row],[Column10]]), (MIN(IF(N546&lt;&gt;"",N546,9999999999999)*1.1,deployment_raw[[#This Row],[Column10]] * IF($E$2="Deployment",deployment_raw[[#This Row],[Column5]],1))),"")</f>
        <v/>
      </c>
      <c r="K546" s="123" t="str">
        <f>IF(ISNUMBER(deployment_raw[[#This Row],[Column11]]), (MIN(IF(O546&lt;&gt;"",O546,9999999999999)*1.1,deployment_raw[[#This Row],[Column11]] * IF($E$2="Deployment",deployment_raw[[#This Row],[Column5]],1)/1048576)),"")</f>
        <v/>
      </c>
      <c r="L546" s="124" t="str">
        <f>IF(ISNUMBER(deployment_raw[[#This Row],[Column8]]),IF(OR(deployment_raw[[#This Row],[Column5]] &lt;&gt; 0,$E$2 &lt;&gt; "Deployment"), MAX(J546, P546, R546, ($L$2 * IF($E$2="Deployment",deployment_raw[[#This Row],[Column5]],1)),IF(T546&lt;&gt;"",VALUE(T546) * IF($E$2="Deployment",deployment_raw[[#This Row],[Column5]],1),0)), 0),"")</f>
        <v/>
      </c>
      <c r="M546" s="125" t="str">
        <f>IF(ISNUMBER(deployment_raw[[#This Row],[Column9]]),IF(OR(deployment_raw[[#This Row],[Column5]] &lt;&gt; 0,$E$2&lt;&gt;"Deployment"), MAX(K546, Q546, S546, ($M$2 * IF($E$2="Deployment",deployment_raw[[#This Row],[Column5]],1)),IF(U546&lt;&gt;"",VALUE(U546) * IF($E$2="Deployment",deployment_raw[[#This Row],[Column5]],1),0)), 0),"")</f>
        <v/>
      </c>
      <c r="N546" s="166" t="str">
        <f>IF(ISNUMBER(deployment_raw[[#This Row],[Column14]]), deployment_raw[[#This Row],[Column14]]/IF(OR($E$2="Deployment",deployment_raw[[#This Row],[Column5]]=0),1,deployment_raw[[#This Row],[Column5]]),"")</f>
        <v/>
      </c>
      <c r="O546" s="167" t="str">
        <f>IF(ISNUMBER(deployment_raw[[#This Row],[Column15]]), deployment_raw[[#This Row],[Column15]]/IF(OR($E$2="Deployment",deployment_raw[[#This Row],[Column5]]=0),1,deployment_raw[[#This Row],[Column5]])/1048576,"")</f>
        <v/>
      </c>
      <c r="P546" s="168" t="str">
        <f>IF(ISNUMBER(deployment_raw[[#This Row],[Column12]]), (MIN(IF(N546&lt;&gt;"",N546,9999999999999)*1.1,deployment_raw[[#This Row],[Column12]] * IF($E$2="Deployment",deployment_raw[[#This Row],[Column5]],1))*(1+$P$2)),"")</f>
        <v/>
      </c>
      <c r="Q546" s="167" t="str">
        <f>IF(ISNUMBER(deployment_raw[[#This Row],[Column13]]), (MIN(IF(O546&lt;&gt;"",O546,9999999999999)*1.1,deployment_raw[[#This Row],[Column13]] * IF($E$2="Deployment",deployment_raw[[#This Row],[Column5]],1)*(1+$Q$2)/1048576)),"")</f>
        <v/>
      </c>
      <c r="R546" s="169" t="str">
        <f>IF(ISNUMBER(deployment_raw[[#This Row],[Column8]]), (H546  * IF(N546&lt;&gt;0,$R$2,1)),"")</f>
        <v/>
      </c>
      <c r="S546" s="170" t="str">
        <f>IF(ISNUMBER(deployment_raw[[#This Row],[Column8]]), (I546  * IF(O546&lt;&gt;0,$S$2,1)),"")</f>
        <v/>
      </c>
      <c r="T546" s="202" t="str">
        <f>IF(AND(A546&lt;&gt;"",_xlfn.IFNA(MATCH(A546,'dynamic resource application '!$A$2:$A$100, 0),0)&lt;&gt;0), H546/(IF($E$2="Deployment",E546,1)),"")</f>
        <v/>
      </c>
      <c r="U546" s="211" t="str">
        <f>IF(AND(A546&lt;&gt;"",_xlfn.IFNA(MATCH(A546,'dynamic resource application '!$A$2:$A$100, 0),0)&lt;&gt;0), I546/(IF($E$2="Deployment",E546,1)),"")</f>
        <v/>
      </c>
    </row>
    <row r="547" spans="1:21" ht="15.75" customHeight="1" x14ac:dyDescent="0.25">
      <c r="A547" s="35" t="str">
        <f>IF(ISNONTEXT(deployment_raw[[#This Row],[Column1]]), "", deployment_raw[[#This Row],[Column1]])</f>
        <v/>
      </c>
      <c r="B547" s="36" t="str">
        <f>IF(ISNONTEXT(deployment_raw[[#This Row],[Column2]]), "", deployment_raw[[#This Row],[Column2]])</f>
        <v/>
      </c>
      <c r="C547" s="36" t="str">
        <f>IF(ISNONTEXT(deployment_raw[[#This Row],[Column3]]), "", deployment_raw[[#This Row],[Column3]])</f>
        <v/>
      </c>
      <c r="D547" s="36" t="str">
        <f>IF(ISNONTEXT(deployment_raw[[#This Row],[Column4]]), "", deployment_raw[[#This Row],[Column4]])</f>
        <v/>
      </c>
      <c r="E547" s="37" t="str">
        <f>IF(ISNUMBER(deployment_raw[[#This Row],[Column5]]), deployment_raw[[#This Row],[Column5]],"")</f>
        <v/>
      </c>
      <c r="F547" s="94" t="str">
        <f>IF(ISNUMBER(deployment_raw[[#This Row],[Column6]]), (deployment_raw[[#This Row],[Column6]] * IF($E$2="Deployment",deployment_raw[[#This Row],[Column5]],1)),"")</f>
        <v/>
      </c>
      <c r="G547" s="95" t="str">
        <f>IF(ISNUMBER(deployment_raw[[#This Row],[Column7]]), (deployment_raw[[#This Row],[Column7]] * IF($E$2="Deployment",deployment_raw[[#This Row],[Column5]],1))/1048576,"")</f>
        <v/>
      </c>
      <c r="H547" s="95" t="str">
        <f>IF(ISNUMBER(deployment_raw[[#This Row],[Column8]]), (deployment_raw[[#This Row],[Column8]]  * IF($E$2="Deployment",deployment_raw[[#This Row],[Column5]],1)),"")</f>
        <v/>
      </c>
      <c r="I547" s="96" t="str">
        <f>IF(ISNUMBER(deployment_raw[[#This Row],[Column9]]), (deployment_raw[[#This Row],[Column9]] * IF($E$2="Deployment",deployment_raw[[#This Row],[Column5]],1))/1048576,"")</f>
        <v/>
      </c>
      <c r="J547" s="122" t="str">
        <f>IF(ISNUMBER(deployment_raw[[#This Row],[Column10]]), (MIN(IF(N547&lt;&gt;"",N547,9999999999999)*1.1,deployment_raw[[#This Row],[Column10]] * IF($E$2="Deployment",deployment_raw[[#This Row],[Column5]],1))),"")</f>
        <v/>
      </c>
      <c r="K547" s="123" t="str">
        <f>IF(ISNUMBER(deployment_raw[[#This Row],[Column11]]), (MIN(IF(O547&lt;&gt;"",O547,9999999999999)*1.1,deployment_raw[[#This Row],[Column11]] * IF($E$2="Deployment",deployment_raw[[#This Row],[Column5]],1)/1048576)),"")</f>
        <v/>
      </c>
      <c r="L547" s="124" t="str">
        <f>IF(ISNUMBER(deployment_raw[[#This Row],[Column8]]),IF(OR(deployment_raw[[#This Row],[Column5]] &lt;&gt; 0,$E$2 &lt;&gt; "Deployment"), MAX(J547, P547, R547, ($L$2 * IF($E$2="Deployment",deployment_raw[[#This Row],[Column5]],1)),IF(T547&lt;&gt;"",VALUE(T547) * IF($E$2="Deployment",deployment_raw[[#This Row],[Column5]],1),0)), 0),"")</f>
        <v/>
      </c>
      <c r="M547" s="125" t="str">
        <f>IF(ISNUMBER(deployment_raw[[#This Row],[Column9]]),IF(OR(deployment_raw[[#This Row],[Column5]] &lt;&gt; 0,$E$2&lt;&gt;"Deployment"), MAX(K547, Q547, S547, ($M$2 * IF($E$2="Deployment",deployment_raw[[#This Row],[Column5]],1)),IF(U547&lt;&gt;"",VALUE(U547) * IF($E$2="Deployment",deployment_raw[[#This Row],[Column5]],1),0)), 0),"")</f>
        <v/>
      </c>
      <c r="N547" s="166" t="str">
        <f>IF(ISNUMBER(deployment_raw[[#This Row],[Column14]]), deployment_raw[[#This Row],[Column14]]/IF(OR($E$2="Deployment",deployment_raw[[#This Row],[Column5]]=0),1,deployment_raw[[#This Row],[Column5]]),"")</f>
        <v/>
      </c>
      <c r="O547" s="167" t="str">
        <f>IF(ISNUMBER(deployment_raw[[#This Row],[Column15]]), deployment_raw[[#This Row],[Column15]]/IF(OR($E$2="Deployment",deployment_raw[[#This Row],[Column5]]=0),1,deployment_raw[[#This Row],[Column5]])/1048576,"")</f>
        <v/>
      </c>
      <c r="P547" s="168" t="str">
        <f>IF(ISNUMBER(deployment_raw[[#This Row],[Column12]]), (MIN(IF(N547&lt;&gt;"",N547,9999999999999)*1.1,deployment_raw[[#This Row],[Column12]] * IF($E$2="Deployment",deployment_raw[[#This Row],[Column5]],1))*(1+$P$2)),"")</f>
        <v/>
      </c>
      <c r="Q547" s="167" t="str">
        <f>IF(ISNUMBER(deployment_raw[[#This Row],[Column13]]), (MIN(IF(O547&lt;&gt;"",O547,9999999999999)*1.1,deployment_raw[[#This Row],[Column13]] * IF($E$2="Deployment",deployment_raw[[#This Row],[Column5]],1)*(1+$Q$2)/1048576)),"")</f>
        <v/>
      </c>
      <c r="R547" s="169" t="str">
        <f>IF(ISNUMBER(deployment_raw[[#This Row],[Column8]]), (H547  * IF(N547&lt;&gt;0,$R$2,1)),"")</f>
        <v/>
      </c>
      <c r="S547" s="170" t="str">
        <f>IF(ISNUMBER(deployment_raw[[#This Row],[Column8]]), (I547  * IF(O547&lt;&gt;0,$S$2,1)),"")</f>
        <v/>
      </c>
      <c r="T547" s="202" t="str">
        <f>IF(AND(A547&lt;&gt;"",_xlfn.IFNA(MATCH(A547,'dynamic resource application '!$A$2:$A$100, 0),0)&lt;&gt;0), H547/(IF($E$2="Deployment",E547,1)),"")</f>
        <v/>
      </c>
      <c r="U547" s="211" t="str">
        <f>IF(AND(A547&lt;&gt;"",_xlfn.IFNA(MATCH(A547,'dynamic resource application '!$A$2:$A$100, 0),0)&lt;&gt;0), I547/(IF($E$2="Deployment",E547,1)),"")</f>
        <v/>
      </c>
    </row>
    <row r="548" spans="1:21" ht="15.75" customHeight="1" x14ac:dyDescent="0.25">
      <c r="A548" s="35" t="str">
        <f>IF(ISNONTEXT(deployment_raw[[#This Row],[Column1]]), "", deployment_raw[[#This Row],[Column1]])</f>
        <v/>
      </c>
      <c r="B548" s="36" t="str">
        <f>IF(ISNONTEXT(deployment_raw[[#This Row],[Column2]]), "", deployment_raw[[#This Row],[Column2]])</f>
        <v/>
      </c>
      <c r="C548" s="36" t="str">
        <f>IF(ISNONTEXT(deployment_raw[[#This Row],[Column3]]), "", deployment_raw[[#This Row],[Column3]])</f>
        <v/>
      </c>
      <c r="D548" s="36" t="str">
        <f>IF(ISNONTEXT(deployment_raw[[#This Row],[Column4]]), "", deployment_raw[[#This Row],[Column4]])</f>
        <v/>
      </c>
      <c r="E548" s="37" t="str">
        <f>IF(ISNUMBER(deployment_raw[[#This Row],[Column5]]), deployment_raw[[#This Row],[Column5]],"")</f>
        <v/>
      </c>
      <c r="F548" s="94" t="str">
        <f>IF(ISNUMBER(deployment_raw[[#This Row],[Column6]]), (deployment_raw[[#This Row],[Column6]] * IF($E$2="Deployment",deployment_raw[[#This Row],[Column5]],1)),"")</f>
        <v/>
      </c>
      <c r="G548" s="95" t="str">
        <f>IF(ISNUMBER(deployment_raw[[#This Row],[Column7]]), (deployment_raw[[#This Row],[Column7]] * IF($E$2="Deployment",deployment_raw[[#This Row],[Column5]],1))/1048576,"")</f>
        <v/>
      </c>
      <c r="H548" s="95" t="str">
        <f>IF(ISNUMBER(deployment_raw[[#This Row],[Column8]]), (deployment_raw[[#This Row],[Column8]]  * IF($E$2="Deployment",deployment_raw[[#This Row],[Column5]],1)),"")</f>
        <v/>
      </c>
      <c r="I548" s="96" t="str">
        <f>IF(ISNUMBER(deployment_raw[[#This Row],[Column9]]), (deployment_raw[[#This Row],[Column9]] * IF($E$2="Deployment",deployment_raw[[#This Row],[Column5]],1))/1048576,"")</f>
        <v/>
      </c>
      <c r="J548" s="122" t="str">
        <f>IF(ISNUMBER(deployment_raw[[#This Row],[Column10]]), (MIN(IF(N548&lt;&gt;"",N548,9999999999999)*1.1,deployment_raw[[#This Row],[Column10]] * IF($E$2="Deployment",deployment_raw[[#This Row],[Column5]],1))),"")</f>
        <v/>
      </c>
      <c r="K548" s="123" t="str">
        <f>IF(ISNUMBER(deployment_raw[[#This Row],[Column11]]), (MIN(IF(O548&lt;&gt;"",O548,9999999999999)*1.1,deployment_raw[[#This Row],[Column11]] * IF($E$2="Deployment",deployment_raw[[#This Row],[Column5]],1)/1048576)),"")</f>
        <v/>
      </c>
      <c r="L548" s="124" t="str">
        <f>IF(ISNUMBER(deployment_raw[[#This Row],[Column8]]),IF(OR(deployment_raw[[#This Row],[Column5]] &lt;&gt; 0,$E$2 &lt;&gt; "Deployment"), MAX(J548, P548, R548, ($L$2 * IF($E$2="Deployment",deployment_raw[[#This Row],[Column5]],1)),IF(T548&lt;&gt;"",VALUE(T548) * IF($E$2="Deployment",deployment_raw[[#This Row],[Column5]],1),0)), 0),"")</f>
        <v/>
      </c>
      <c r="M548" s="125" t="str">
        <f>IF(ISNUMBER(deployment_raw[[#This Row],[Column9]]),IF(OR(deployment_raw[[#This Row],[Column5]] &lt;&gt; 0,$E$2&lt;&gt;"Deployment"), MAX(K548, Q548, S548, ($M$2 * IF($E$2="Deployment",deployment_raw[[#This Row],[Column5]],1)),IF(U548&lt;&gt;"",VALUE(U548) * IF($E$2="Deployment",deployment_raw[[#This Row],[Column5]],1),0)), 0),"")</f>
        <v/>
      </c>
      <c r="N548" s="166" t="str">
        <f>IF(ISNUMBER(deployment_raw[[#This Row],[Column14]]), deployment_raw[[#This Row],[Column14]]/IF(OR($E$2="Deployment",deployment_raw[[#This Row],[Column5]]=0),1,deployment_raw[[#This Row],[Column5]]),"")</f>
        <v/>
      </c>
      <c r="O548" s="167" t="str">
        <f>IF(ISNUMBER(deployment_raw[[#This Row],[Column15]]), deployment_raw[[#This Row],[Column15]]/IF(OR($E$2="Deployment",deployment_raw[[#This Row],[Column5]]=0),1,deployment_raw[[#This Row],[Column5]])/1048576,"")</f>
        <v/>
      </c>
      <c r="P548" s="168" t="str">
        <f>IF(ISNUMBER(deployment_raw[[#This Row],[Column12]]), (MIN(IF(N548&lt;&gt;"",N548,9999999999999)*1.1,deployment_raw[[#This Row],[Column12]] * IF($E$2="Deployment",deployment_raw[[#This Row],[Column5]],1))*(1+$P$2)),"")</f>
        <v/>
      </c>
      <c r="Q548" s="167" t="str">
        <f>IF(ISNUMBER(deployment_raw[[#This Row],[Column13]]), (MIN(IF(O548&lt;&gt;"",O548,9999999999999)*1.1,deployment_raw[[#This Row],[Column13]] * IF($E$2="Deployment",deployment_raw[[#This Row],[Column5]],1)*(1+$Q$2)/1048576)),"")</f>
        <v/>
      </c>
      <c r="R548" s="169" t="str">
        <f>IF(ISNUMBER(deployment_raw[[#This Row],[Column8]]), (H548  * IF(N548&lt;&gt;0,$R$2,1)),"")</f>
        <v/>
      </c>
      <c r="S548" s="170" t="str">
        <f>IF(ISNUMBER(deployment_raw[[#This Row],[Column8]]), (I548  * IF(O548&lt;&gt;0,$S$2,1)),"")</f>
        <v/>
      </c>
      <c r="T548" s="202" t="str">
        <f>IF(AND(A548&lt;&gt;"",_xlfn.IFNA(MATCH(A548,'dynamic resource application '!$A$2:$A$100, 0),0)&lt;&gt;0), H548/(IF($E$2="Deployment",E548,1)),"")</f>
        <v/>
      </c>
      <c r="U548" s="211" t="str">
        <f>IF(AND(A548&lt;&gt;"",_xlfn.IFNA(MATCH(A548,'dynamic resource application '!$A$2:$A$100, 0),0)&lt;&gt;0), I548/(IF($E$2="Deployment",E548,1)),"")</f>
        <v/>
      </c>
    </row>
    <row r="549" spans="1:21" ht="15.75" customHeight="1" x14ac:dyDescent="0.25">
      <c r="A549" s="35" t="str">
        <f>IF(ISNONTEXT(deployment_raw[[#This Row],[Column1]]), "", deployment_raw[[#This Row],[Column1]])</f>
        <v/>
      </c>
      <c r="B549" s="36" t="str">
        <f>IF(ISNONTEXT(deployment_raw[[#This Row],[Column2]]), "", deployment_raw[[#This Row],[Column2]])</f>
        <v/>
      </c>
      <c r="C549" s="36" t="str">
        <f>IF(ISNONTEXT(deployment_raw[[#This Row],[Column3]]), "", deployment_raw[[#This Row],[Column3]])</f>
        <v/>
      </c>
      <c r="D549" s="36" t="str">
        <f>IF(ISNONTEXT(deployment_raw[[#This Row],[Column4]]), "", deployment_raw[[#This Row],[Column4]])</f>
        <v/>
      </c>
      <c r="E549" s="37" t="str">
        <f>IF(ISNUMBER(deployment_raw[[#This Row],[Column5]]), deployment_raw[[#This Row],[Column5]],"")</f>
        <v/>
      </c>
      <c r="F549" s="94" t="str">
        <f>IF(ISNUMBER(deployment_raw[[#This Row],[Column6]]), (deployment_raw[[#This Row],[Column6]] * IF($E$2="Deployment",deployment_raw[[#This Row],[Column5]],1)),"")</f>
        <v/>
      </c>
      <c r="G549" s="95" t="str">
        <f>IF(ISNUMBER(deployment_raw[[#This Row],[Column7]]), (deployment_raw[[#This Row],[Column7]] * IF($E$2="Deployment",deployment_raw[[#This Row],[Column5]],1))/1048576,"")</f>
        <v/>
      </c>
      <c r="H549" s="95" t="str">
        <f>IF(ISNUMBER(deployment_raw[[#This Row],[Column8]]), (deployment_raw[[#This Row],[Column8]]  * IF($E$2="Deployment",deployment_raw[[#This Row],[Column5]],1)),"")</f>
        <v/>
      </c>
      <c r="I549" s="96" t="str">
        <f>IF(ISNUMBER(deployment_raw[[#This Row],[Column9]]), (deployment_raw[[#This Row],[Column9]] * IF($E$2="Deployment",deployment_raw[[#This Row],[Column5]],1))/1048576,"")</f>
        <v/>
      </c>
      <c r="J549" s="122" t="str">
        <f>IF(ISNUMBER(deployment_raw[[#This Row],[Column10]]), (MIN(IF(N549&lt;&gt;"",N549,9999999999999)*1.1,deployment_raw[[#This Row],[Column10]] * IF($E$2="Deployment",deployment_raw[[#This Row],[Column5]],1))),"")</f>
        <v/>
      </c>
      <c r="K549" s="123" t="str">
        <f>IF(ISNUMBER(deployment_raw[[#This Row],[Column11]]), (MIN(IF(O549&lt;&gt;"",O549,9999999999999)*1.1,deployment_raw[[#This Row],[Column11]] * IF($E$2="Deployment",deployment_raw[[#This Row],[Column5]],1)/1048576)),"")</f>
        <v/>
      </c>
      <c r="L549" s="124" t="str">
        <f>IF(ISNUMBER(deployment_raw[[#This Row],[Column8]]),IF(OR(deployment_raw[[#This Row],[Column5]] &lt;&gt; 0,$E$2 &lt;&gt; "Deployment"), MAX(J549, P549, R549, ($L$2 * IF($E$2="Deployment",deployment_raw[[#This Row],[Column5]],1)),IF(T549&lt;&gt;"",VALUE(T549) * IF($E$2="Deployment",deployment_raw[[#This Row],[Column5]],1),0)), 0),"")</f>
        <v/>
      </c>
      <c r="M549" s="125" t="str">
        <f>IF(ISNUMBER(deployment_raw[[#This Row],[Column9]]),IF(OR(deployment_raw[[#This Row],[Column5]] &lt;&gt; 0,$E$2&lt;&gt;"Deployment"), MAX(K549, Q549, S549, ($M$2 * IF($E$2="Deployment",deployment_raw[[#This Row],[Column5]],1)),IF(U549&lt;&gt;"",VALUE(U549) * IF($E$2="Deployment",deployment_raw[[#This Row],[Column5]],1),0)), 0),"")</f>
        <v/>
      </c>
      <c r="N549" s="166" t="str">
        <f>IF(ISNUMBER(deployment_raw[[#This Row],[Column14]]), deployment_raw[[#This Row],[Column14]]/IF(OR($E$2="Deployment",deployment_raw[[#This Row],[Column5]]=0),1,deployment_raw[[#This Row],[Column5]]),"")</f>
        <v/>
      </c>
      <c r="O549" s="167" t="str">
        <f>IF(ISNUMBER(deployment_raw[[#This Row],[Column15]]), deployment_raw[[#This Row],[Column15]]/IF(OR($E$2="Deployment",deployment_raw[[#This Row],[Column5]]=0),1,deployment_raw[[#This Row],[Column5]])/1048576,"")</f>
        <v/>
      </c>
      <c r="P549" s="168" t="str">
        <f>IF(ISNUMBER(deployment_raw[[#This Row],[Column12]]), (MIN(IF(N549&lt;&gt;"",N549,9999999999999)*1.1,deployment_raw[[#This Row],[Column12]] * IF($E$2="Deployment",deployment_raw[[#This Row],[Column5]],1))*(1+$P$2)),"")</f>
        <v/>
      </c>
      <c r="Q549" s="167" t="str">
        <f>IF(ISNUMBER(deployment_raw[[#This Row],[Column13]]), (MIN(IF(O549&lt;&gt;"",O549,9999999999999)*1.1,deployment_raw[[#This Row],[Column13]] * IF($E$2="Deployment",deployment_raw[[#This Row],[Column5]],1)*(1+$Q$2)/1048576)),"")</f>
        <v/>
      </c>
      <c r="R549" s="169" t="str">
        <f>IF(ISNUMBER(deployment_raw[[#This Row],[Column8]]), (H549  * IF(N549&lt;&gt;0,$R$2,1)),"")</f>
        <v/>
      </c>
      <c r="S549" s="170" t="str">
        <f>IF(ISNUMBER(deployment_raw[[#This Row],[Column8]]), (I549  * IF(O549&lt;&gt;0,$S$2,1)),"")</f>
        <v/>
      </c>
      <c r="T549" s="202" t="str">
        <f>IF(AND(A549&lt;&gt;"",_xlfn.IFNA(MATCH(A549,'dynamic resource application '!$A$2:$A$100, 0),0)&lt;&gt;0), H549/(IF($E$2="Deployment",E549,1)),"")</f>
        <v/>
      </c>
      <c r="U549" s="211" t="str">
        <f>IF(AND(A549&lt;&gt;"",_xlfn.IFNA(MATCH(A549,'dynamic resource application '!$A$2:$A$100, 0),0)&lt;&gt;0), I549/(IF($E$2="Deployment",E549,1)),"")</f>
        <v/>
      </c>
    </row>
    <row r="550" spans="1:21" ht="15.75" customHeight="1" x14ac:dyDescent="0.25">
      <c r="A550" s="35" t="str">
        <f>IF(ISNONTEXT(deployment_raw[[#This Row],[Column1]]), "", deployment_raw[[#This Row],[Column1]])</f>
        <v/>
      </c>
      <c r="B550" s="36" t="str">
        <f>IF(ISNONTEXT(deployment_raw[[#This Row],[Column2]]), "", deployment_raw[[#This Row],[Column2]])</f>
        <v/>
      </c>
      <c r="C550" s="36" t="str">
        <f>IF(ISNONTEXT(deployment_raw[[#This Row],[Column3]]), "", deployment_raw[[#This Row],[Column3]])</f>
        <v/>
      </c>
      <c r="D550" s="36" t="str">
        <f>IF(ISNONTEXT(deployment_raw[[#This Row],[Column4]]), "", deployment_raw[[#This Row],[Column4]])</f>
        <v/>
      </c>
      <c r="E550" s="37" t="str">
        <f>IF(ISNUMBER(deployment_raw[[#This Row],[Column5]]), deployment_raw[[#This Row],[Column5]],"")</f>
        <v/>
      </c>
      <c r="F550" s="94" t="str">
        <f>IF(ISNUMBER(deployment_raw[[#This Row],[Column6]]), (deployment_raw[[#This Row],[Column6]] * IF($E$2="Deployment",deployment_raw[[#This Row],[Column5]],1)),"")</f>
        <v/>
      </c>
      <c r="G550" s="95" t="str">
        <f>IF(ISNUMBER(deployment_raw[[#This Row],[Column7]]), (deployment_raw[[#This Row],[Column7]] * IF($E$2="Deployment",deployment_raw[[#This Row],[Column5]],1))/1048576,"")</f>
        <v/>
      </c>
      <c r="H550" s="95" t="str">
        <f>IF(ISNUMBER(deployment_raw[[#This Row],[Column8]]), (deployment_raw[[#This Row],[Column8]]  * IF($E$2="Deployment",deployment_raw[[#This Row],[Column5]],1)),"")</f>
        <v/>
      </c>
      <c r="I550" s="96" t="str">
        <f>IF(ISNUMBER(deployment_raw[[#This Row],[Column9]]), (deployment_raw[[#This Row],[Column9]] * IF($E$2="Deployment",deployment_raw[[#This Row],[Column5]],1))/1048576,"")</f>
        <v/>
      </c>
      <c r="J550" s="122" t="str">
        <f>IF(ISNUMBER(deployment_raw[[#This Row],[Column10]]), (MIN(IF(N550&lt;&gt;"",N550,9999999999999)*1.1,deployment_raw[[#This Row],[Column10]] * IF($E$2="Deployment",deployment_raw[[#This Row],[Column5]],1))),"")</f>
        <v/>
      </c>
      <c r="K550" s="123" t="str">
        <f>IF(ISNUMBER(deployment_raw[[#This Row],[Column11]]), (MIN(IF(O550&lt;&gt;"",O550,9999999999999)*1.1,deployment_raw[[#This Row],[Column11]] * IF($E$2="Deployment",deployment_raw[[#This Row],[Column5]],1)/1048576)),"")</f>
        <v/>
      </c>
      <c r="L550" s="124" t="str">
        <f>IF(ISNUMBER(deployment_raw[[#This Row],[Column8]]),IF(OR(deployment_raw[[#This Row],[Column5]] &lt;&gt; 0,$E$2 &lt;&gt; "Deployment"), MAX(J550, P550, R550, ($L$2 * IF($E$2="Deployment",deployment_raw[[#This Row],[Column5]],1)),IF(T550&lt;&gt;"",VALUE(T550) * IF($E$2="Deployment",deployment_raw[[#This Row],[Column5]],1),0)), 0),"")</f>
        <v/>
      </c>
      <c r="M550" s="125" t="str">
        <f>IF(ISNUMBER(deployment_raw[[#This Row],[Column9]]),IF(OR(deployment_raw[[#This Row],[Column5]] &lt;&gt; 0,$E$2&lt;&gt;"Deployment"), MAX(K550, Q550, S550, ($M$2 * IF($E$2="Deployment",deployment_raw[[#This Row],[Column5]],1)),IF(U550&lt;&gt;"",VALUE(U550) * IF($E$2="Deployment",deployment_raw[[#This Row],[Column5]],1),0)), 0),"")</f>
        <v/>
      </c>
      <c r="N550" s="166" t="str">
        <f>IF(ISNUMBER(deployment_raw[[#This Row],[Column14]]), deployment_raw[[#This Row],[Column14]]/IF(OR($E$2="Deployment",deployment_raw[[#This Row],[Column5]]=0),1,deployment_raw[[#This Row],[Column5]]),"")</f>
        <v/>
      </c>
      <c r="O550" s="167" t="str">
        <f>IF(ISNUMBER(deployment_raw[[#This Row],[Column15]]), deployment_raw[[#This Row],[Column15]]/IF(OR($E$2="Deployment",deployment_raw[[#This Row],[Column5]]=0),1,deployment_raw[[#This Row],[Column5]])/1048576,"")</f>
        <v/>
      </c>
      <c r="P550" s="168" t="str">
        <f>IF(ISNUMBER(deployment_raw[[#This Row],[Column12]]), (MIN(IF(N550&lt;&gt;"",N550,9999999999999)*1.1,deployment_raw[[#This Row],[Column12]] * IF($E$2="Deployment",deployment_raw[[#This Row],[Column5]],1))*(1+$P$2)),"")</f>
        <v/>
      </c>
      <c r="Q550" s="167" t="str">
        <f>IF(ISNUMBER(deployment_raw[[#This Row],[Column13]]), (MIN(IF(O550&lt;&gt;"",O550,9999999999999)*1.1,deployment_raw[[#This Row],[Column13]] * IF($E$2="Deployment",deployment_raw[[#This Row],[Column5]],1)*(1+$Q$2)/1048576)),"")</f>
        <v/>
      </c>
      <c r="R550" s="169" t="str">
        <f>IF(ISNUMBER(deployment_raw[[#This Row],[Column8]]), (H550  * IF(N550&lt;&gt;0,$R$2,1)),"")</f>
        <v/>
      </c>
      <c r="S550" s="170" t="str">
        <f>IF(ISNUMBER(deployment_raw[[#This Row],[Column8]]), (I550  * IF(O550&lt;&gt;0,$S$2,1)),"")</f>
        <v/>
      </c>
      <c r="T550" s="202" t="str">
        <f>IF(AND(A550&lt;&gt;"",_xlfn.IFNA(MATCH(A550,'dynamic resource application '!$A$2:$A$100, 0),0)&lt;&gt;0), H550/(IF($E$2="Deployment",E550,1)),"")</f>
        <v/>
      </c>
      <c r="U550" s="211" t="str">
        <f>IF(AND(A550&lt;&gt;"",_xlfn.IFNA(MATCH(A550,'dynamic resource application '!$A$2:$A$100, 0),0)&lt;&gt;0), I550/(IF($E$2="Deployment",E550,1)),"")</f>
        <v/>
      </c>
    </row>
    <row r="551" spans="1:21" ht="15.75" customHeight="1" x14ac:dyDescent="0.25">
      <c r="A551" s="35" t="str">
        <f>IF(ISNONTEXT(deployment_raw[[#This Row],[Column1]]), "", deployment_raw[[#This Row],[Column1]])</f>
        <v/>
      </c>
      <c r="B551" s="36" t="str">
        <f>IF(ISNONTEXT(deployment_raw[[#This Row],[Column2]]), "", deployment_raw[[#This Row],[Column2]])</f>
        <v/>
      </c>
      <c r="C551" s="36" t="str">
        <f>IF(ISNONTEXT(deployment_raw[[#This Row],[Column3]]), "", deployment_raw[[#This Row],[Column3]])</f>
        <v/>
      </c>
      <c r="D551" s="36" t="str">
        <f>IF(ISNONTEXT(deployment_raw[[#This Row],[Column4]]), "", deployment_raw[[#This Row],[Column4]])</f>
        <v/>
      </c>
      <c r="E551" s="37" t="str">
        <f>IF(ISNUMBER(deployment_raw[[#This Row],[Column5]]), deployment_raw[[#This Row],[Column5]],"")</f>
        <v/>
      </c>
      <c r="F551" s="94" t="str">
        <f>IF(ISNUMBER(deployment_raw[[#This Row],[Column6]]), (deployment_raw[[#This Row],[Column6]] * IF($E$2="Deployment",deployment_raw[[#This Row],[Column5]],1)),"")</f>
        <v/>
      </c>
      <c r="G551" s="95" t="str">
        <f>IF(ISNUMBER(deployment_raw[[#This Row],[Column7]]), (deployment_raw[[#This Row],[Column7]] * IF($E$2="Deployment",deployment_raw[[#This Row],[Column5]],1))/1048576,"")</f>
        <v/>
      </c>
      <c r="H551" s="95" t="str">
        <f>IF(ISNUMBER(deployment_raw[[#This Row],[Column8]]), (deployment_raw[[#This Row],[Column8]]  * IF($E$2="Deployment",deployment_raw[[#This Row],[Column5]],1)),"")</f>
        <v/>
      </c>
      <c r="I551" s="96" t="str">
        <f>IF(ISNUMBER(deployment_raw[[#This Row],[Column9]]), (deployment_raw[[#This Row],[Column9]] * IF($E$2="Deployment",deployment_raw[[#This Row],[Column5]],1))/1048576,"")</f>
        <v/>
      </c>
      <c r="J551" s="122" t="str">
        <f>IF(ISNUMBER(deployment_raw[[#This Row],[Column10]]), (MIN(IF(N551&lt;&gt;"",N551,9999999999999)*1.1,deployment_raw[[#This Row],[Column10]] * IF($E$2="Deployment",deployment_raw[[#This Row],[Column5]],1))),"")</f>
        <v/>
      </c>
      <c r="K551" s="123" t="str">
        <f>IF(ISNUMBER(deployment_raw[[#This Row],[Column11]]), (MIN(IF(O551&lt;&gt;"",O551,9999999999999)*1.1,deployment_raw[[#This Row],[Column11]] * IF($E$2="Deployment",deployment_raw[[#This Row],[Column5]],1)/1048576)),"")</f>
        <v/>
      </c>
      <c r="L551" s="124" t="str">
        <f>IF(ISNUMBER(deployment_raw[[#This Row],[Column8]]),IF(OR(deployment_raw[[#This Row],[Column5]] &lt;&gt; 0,$E$2 &lt;&gt; "Deployment"), MAX(J551, P551, R551, ($L$2 * IF($E$2="Deployment",deployment_raw[[#This Row],[Column5]],1)),IF(T551&lt;&gt;"",VALUE(T551) * IF($E$2="Deployment",deployment_raw[[#This Row],[Column5]],1),0)), 0),"")</f>
        <v/>
      </c>
      <c r="M551" s="125" t="str">
        <f>IF(ISNUMBER(deployment_raw[[#This Row],[Column9]]),IF(OR(deployment_raw[[#This Row],[Column5]] &lt;&gt; 0,$E$2&lt;&gt;"Deployment"), MAX(K551, Q551, S551, ($M$2 * IF($E$2="Deployment",deployment_raw[[#This Row],[Column5]],1)),IF(U551&lt;&gt;"",VALUE(U551) * IF($E$2="Deployment",deployment_raw[[#This Row],[Column5]],1),0)), 0),"")</f>
        <v/>
      </c>
      <c r="N551" s="166" t="str">
        <f>IF(ISNUMBER(deployment_raw[[#This Row],[Column14]]), deployment_raw[[#This Row],[Column14]]/IF(OR($E$2="Deployment",deployment_raw[[#This Row],[Column5]]=0),1,deployment_raw[[#This Row],[Column5]]),"")</f>
        <v/>
      </c>
      <c r="O551" s="167" t="str">
        <f>IF(ISNUMBER(deployment_raw[[#This Row],[Column15]]), deployment_raw[[#This Row],[Column15]]/IF(OR($E$2="Deployment",deployment_raw[[#This Row],[Column5]]=0),1,deployment_raw[[#This Row],[Column5]])/1048576,"")</f>
        <v/>
      </c>
      <c r="P551" s="168" t="str">
        <f>IF(ISNUMBER(deployment_raw[[#This Row],[Column12]]), (MIN(IF(N551&lt;&gt;"",N551,9999999999999)*1.1,deployment_raw[[#This Row],[Column12]] * IF($E$2="Deployment",deployment_raw[[#This Row],[Column5]],1))*(1+$P$2)),"")</f>
        <v/>
      </c>
      <c r="Q551" s="167" t="str">
        <f>IF(ISNUMBER(deployment_raw[[#This Row],[Column13]]), (MIN(IF(O551&lt;&gt;"",O551,9999999999999)*1.1,deployment_raw[[#This Row],[Column13]] * IF($E$2="Deployment",deployment_raw[[#This Row],[Column5]],1)*(1+$Q$2)/1048576)),"")</f>
        <v/>
      </c>
      <c r="R551" s="169" t="str">
        <f>IF(ISNUMBER(deployment_raw[[#This Row],[Column8]]), (H551  * IF(N551&lt;&gt;0,$R$2,1)),"")</f>
        <v/>
      </c>
      <c r="S551" s="170" t="str">
        <f>IF(ISNUMBER(deployment_raw[[#This Row],[Column8]]), (I551  * IF(O551&lt;&gt;0,$S$2,1)),"")</f>
        <v/>
      </c>
      <c r="T551" s="202" t="str">
        <f>IF(AND(A551&lt;&gt;"",_xlfn.IFNA(MATCH(A551,'dynamic resource application '!$A$2:$A$100, 0),0)&lt;&gt;0), H551/(IF($E$2="Deployment",E551,1)),"")</f>
        <v/>
      </c>
      <c r="U551" s="211" t="str">
        <f>IF(AND(A551&lt;&gt;"",_xlfn.IFNA(MATCH(A551,'dynamic resource application '!$A$2:$A$100, 0),0)&lt;&gt;0), I551/(IF($E$2="Deployment",E551,1)),"")</f>
        <v/>
      </c>
    </row>
    <row r="552" spans="1:21" ht="15.75" customHeight="1" x14ac:dyDescent="0.25">
      <c r="A552" s="35" t="str">
        <f>IF(ISNONTEXT(deployment_raw[[#This Row],[Column1]]), "", deployment_raw[[#This Row],[Column1]])</f>
        <v/>
      </c>
      <c r="B552" s="36" t="str">
        <f>IF(ISNONTEXT(deployment_raw[[#This Row],[Column2]]), "", deployment_raw[[#This Row],[Column2]])</f>
        <v/>
      </c>
      <c r="C552" s="36" t="str">
        <f>IF(ISNONTEXT(deployment_raw[[#This Row],[Column3]]), "", deployment_raw[[#This Row],[Column3]])</f>
        <v/>
      </c>
      <c r="D552" s="36" t="str">
        <f>IF(ISNONTEXT(deployment_raw[[#This Row],[Column4]]), "", deployment_raw[[#This Row],[Column4]])</f>
        <v/>
      </c>
      <c r="E552" s="37" t="str">
        <f>IF(ISNUMBER(deployment_raw[[#This Row],[Column5]]), deployment_raw[[#This Row],[Column5]],"")</f>
        <v/>
      </c>
      <c r="F552" s="94" t="str">
        <f>IF(ISNUMBER(deployment_raw[[#This Row],[Column6]]), (deployment_raw[[#This Row],[Column6]] * IF($E$2="Deployment",deployment_raw[[#This Row],[Column5]],1)),"")</f>
        <v/>
      </c>
      <c r="G552" s="95" t="str">
        <f>IF(ISNUMBER(deployment_raw[[#This Row],[Column7]]), (deployment_raw[[#This Row],[Column7]] * IF($E$2="Deployment",deployment_raw[[#This Row],[Column5]],1))/1048576,"")</f>
        <v/>
      </c>
      <c r="H552" s="95" t="str">
        <f>IF(ISNUMBER(deployment_raw[[#This Row],[Column8]]), (deployment_raw[[#This Row],[Column8]]  * IF($E$2="Deployment",deployment_raw[[#This Row],[Column5]],1)),"")</f>
        <v/>
      </c>
      <c r="I552" s="96" t="str">
        <f>IF(ISNUMBER(deployment_raw[[#This Row],[Column9]]), (deployment_raw[[#This Row],[Column9]] * IF($E$2="Deployment",deployment_raw[[#This Row],[Column5]],1))/1048576,"")</f>
        <v/>
      </c>
      <c r="J552" s="122" t="str">
        <f>IF(ISNUMBER(deployment_raw[[#This Row],[Column10]]), (MIN(IF(N552&lt;&gt;"",N552,9999999999999)*1.1,deployment_raw[[#This Row],[Column10]] * IF($E$2="Deployment",deployment_raw[[#This Row],[Column5]],1))),"")</f>
        <v/>
      </c>
      <c r="K552" s="123" t="str">
        <f>IF(ISNUMBER(deployment_raw[[#This Row],[Column11]]), (MIN(IF(O552&lt;&gt;"",O552,9999999999999)*1.1,deployment_raw[[#This Row],[Column11]] * IF($E$2="Deployment",deployment_raw[[#This Row],[Column5]],1)/1048576)),"")</f>
        <v/>
      </c>
      <c r="L552" s="124" t="str">
        <f>IF(ISNUMBER(deployment_raw[[#This Row],[Column8]]),IF(OR(deployment_raw[[#This Row],[Column5]] &lt;&gt; 0,$E$2 &lt;&gt; "Deployment"), MAX(J552, P552, R552, ($L$2 * IF($E$2="Deployment",deployment_raw[[#This Row],[Column5]],1)),IF(T552&lt;&gt;"",VALUE(T552) * IF($E$2="Deployment",deployment_raw[[#This Row],[Column5]],1),0)), 0),"")</f>
        <v/>
      </c>
      <c r="M552" s="125" t="str">
        <f>IF(ISNUMBER(deployment_raw[[#This Row],[Column9]]),IF(OR(deployment_raw[[#This Row],[Column5]] &lt;&gt; 0,$E$2&lt;&gt;"Deployment"), MAX(K552, Q552, S552, ($M$2 * IF($E$2="Deployment",deployment_raw[[#This Row],[Column5]],1)),IF(U552&lt;&gt;"",VALUE(U552) * IF($E$2="Deployment",deployment_raw[[#This Row],[Column5]],1),0)), 0),"")</f>
        <v/>
      </c>
      <c r="N552" s="166" t="str">
        <f>IF(ISNUMBER(deployment_raw[[#This Row],[Column14]]), deployment_raw[[#This Row],[Column14]]/IF(OR($E$2="Deployment",deployment_raw[[#This Row],[Column5]]=0),1,deployment_raw[[#This Row],[Column5]]),"")</f>
        <v/>
      </c>
      <c r="O552" s="167" t="str">
        <f>IF(ISNUMBER(deployment_raw[[#This Row],[Column15]]), deployment_raw[[#This Row],[Column15]]/IF(OR($E$2="Deployment",deployment_raw[[#This Row],[Column5]]=0),1,deployment_raw[[#This Row],[Column5]])/1048576,"")</f>
        <v/>
      </c>
      <c r="P552" s="168" t="str">
        <f>IF(ISNUMBER(deployment_raw[[#This Row],[Column12]]), (MIN(IF(N552&lt;&gt;"",N552,9999999999999)*1.1,deployment_raw[[#This Row],[Column12]] * IF($E$2="Deployment",deployment_raw[[#This Row],[Column5]],1))*(1+$P$2)),"")</f>
        <v/>
      </c>
      <c r="Q552" s="167" t="str">
        <f>IF(ISNUMBER(deployment_raw[[#This Row],[Column13]]), (MIN(IF(O552&lt;&gt;"",O552,9999999999999)*1.1,deployment_raw[[#This Row],[Column13]] * IF($E$2="Deployment",deployment_raw[[#This Row],[Column5]],1)*(1+$Q$2)/1048576)),"")</f>
        <v/>
      </c>
      <c r="R552" s="169" t="str">
        <f>IF(ISNUMBER(deployment_raw[[#This Row],[Column8]]), (H552  * IF(N552&lt;&gt;0,$R$2,1)),"")</f>
        <v/>
      </c>
      <c r="S552" s="170" t="str">
        <f>IF(ISNUMBER(deployment_raw[[#This Row],[Column8]]), (I552  * IF(O552&lt;&gt;0,$S$2,1)),"")</f>
        <v/>
      </c>
      <c r="T552" s="202" t="str">
        <f>IF(AND(A552&lt;&gt;"",_xlfn.IFNA(MATCH(A552,'dynamic resource application '!$A$2:$A$100, 0),0)&lt;&gt;0), H552/(IF($E$2="Deployment",E552,1)),"")</f>
        <v/>
      </c>
      <c r="U552" s="211" t="str">
        <f>IF(AND(A552&lt;&gt;"",_xlfn.IFNA(MATCH(A552,'dynamic resource application '!$A$2:$A$100, 0),0)&lt;&gt;0), I552/(IF($E$2="Deployment",E552,1)),"")</f>
        <v/>
      </c>
    </row>
    <row r="553" spans="1:21" ht="15.75" customHeight="1" x14ac:dyDescent="0.25">
      <c r="A553" s="35" t="str">
        <f>IF(ISNONTEXT(deployment_raw[[#This Row],[Column1]]), "", deployment_raw[[#This Row],[Column1]])</f>
        <v/>
      </c>
      <c r="B553" s="36" t="str">
        <f>IF(ISNONTEXT(deployment_raw[[#This Row],[Column2]]), "", deployment_raw[[#This Row],[Column2]])</f>
        <v/>
      </c>
      <c r="C553" s="36" t="str">
        <f>IF(ISNONTEXT(deployment_raw[[#This Row],[Column3]]), "", deployment_raw[[#This Row],[Column3]])</f>
        <v/>
      </c>
      <c r="D553" s="36" t="str">
        <f>IF(ISNONTEXT(deployment_raw[[#This Row],[Column4]]), "", deployment_raw[[#This Row],[Column4]])</f>
        <v/>
      </c>
      <c r="E553" s="37" t="str">
        <f>IF(ISNUMBER(deployment_raw[[#This Row],[Column5]]), deployment_raw[[#This Row],[Column5]],"")</f>
        <v/>
      </c>
      <c r="F553" s="94" t="str">
        <f>IF(ISNUMBER(deployment_raw[[#This Row],[Column6]]), (deployment_raw[[#This Row],[Column6]] * IF($E$2="Deployment",deployment_raw[[#This Row],[Column5]],1)),"")</f>
        <v/>
      </c>
      <c r="G553" s="95" t="str">
        <f>IF(ISNUMBER(deployment_raw[[#This Row],[Column7]]), (deployment_raw[[#This Row],[Column7]] * IF($E$2="Deployment",deployment_raw[[#This Row],[Column5]],1))/1048576,"")</f>
        <v/>
      </c>
      <c r="H553" s="95" t="str">
        <f>IF(ISNUMBER(deployment_raw[[#This Row],[Column8]]), (deployment_raw[[#This Row],[Column8]]  * IF($E$2="Deployment",deployment_raw[[#This Row],[Column5]],1)),"")</f>
        <v/>
      </c>
      <c r="I553" s="96" t="str">
        <f>IF(ISNUMBER(deployment_raw[[#This Row],[Column9]]), (deployment_raw[[#This Row],[Column9]] * IF($E$2="Deployment",deployment_raw[[#This Row],[Column5]],1))/1048576,"")</f>
        <v/>
      </c>
      <c r="J553" s="122" t="str">
        <f>IF(ISNUMBER(deployment_raw[[#This Row],[Column10]]), (MIN(IF(N553&lt;&gt;"",N553,9999999999999)*1.1,deployment_raw[[#This Row],[Column10]] * IF($E$2="Deployment",deployment_raw[[#This Row],[Column5]],1))),"")</f>
        <v/>
      </c>
      <c r="K553" s="123" t="str">
        <f>IF(ISNUMBER(deployment_raw[[#This Row],[Column11]]), (MIN(IF(O553&lt;&gt;"",O553,9999999999999)*1.1,deployment_raw[[#This Row],[Column11]] * IF($E$2="Deployment",deployment_raw[[#This Row],[Column5]],1)/1048576)),"")</f>
        <v/>
      </c>
      <c r="L553" s="124" t="str">
        <f>IF(ISNUMBER(deployment_raw[[#This Row],[Column8]]),IF(OR(deployment_raw[[#This Row],[Column5]] &lt;&gt; 0,$E$2 &lt;&gt; "Deployment"), MAX(J553, P553, R553, ($L$2 * IF($E$2="Deployment",deployment_raw[[#This Row],[Column5]],1)),IF(T553&lt;&gt;"",VALUE(T553) * IF($E$2="Deployment",deployment_raw[[#This Row],[Column5]],1),0)), 0),"")</f>
        <v/>
      </c>
      <c r="M553" s="125" t="str">
        <f>IF(ISNUMBER(deployment_raw[[#This Row],[Column9]]),IF(OR(deployment_raw[[#This Row],[Column5]] &lt;&gt; 0,$E$2&lt;&gt;"Deployment"), MAX(K553, Q553, S553, ($M$2 * IF($E$2="Deployment",deployment_raw[[#This Row],[Column5]],1)),IF(U553&lt;&gt;"",VALUE(U553) * IF($E$2="Deployment",deployment_raw[[#This Row],[Column5]],1),0)), 0),"")</f>
        <v/>
      </c>
      <c r="N553" s="166" t="str">
        <f>IF(ISNUMBER(deployment_raw[[#This Row],[Column14]]), deployment_raw[[#This Row],[Column14]]/IF(OR($E$2="Deployment",deployment_raw[[#This Row],[Column5]]=0),1,deployment_raw[[#This Row],[Column5]]),"")</f>
        <v/>
      </c>
      <c r="O553" s="167" t="str">
        <f>IF(ISNUMBER(deployment_raw[[#This Row],[Column15]]), deployment_raw[[#This Row],[Column15]]/IF(OR($E$2="Deployment",deployment_raw[[#This Row],[Column5]]=0),1,deployment_raw[[#This Row],[Column5]])/1048576,"")</f>
        <v/>
      </c>
      <c r="P553" s="168" t="str">
        <f>IF(ISNUMBER(deployment_raw[[#This Row],[Column12]]), (MIN(IF(N553&lt;&gt;"",N553,9999999999999)*1.1,deployment_raw[[#This Row],[Column12]] * IF($E$2="Deployment",deployment_raw[[#This Row],[Column5]],1))*(1+$P$2)),"")</f>
        <v/>
      </c>
      <c r="Q553" s="167" t="str">
        <f>IF(ISNUMBER(deployment_raw[[#This Row],[Column13]]), (MIN(IF(O553&lt;&gt;"",O553,9999999999999)*1.1,deployment_raw[[#This Row],[Column13]] * IF($E$2="Deployment",deployment_raw[[#This Row],[Column5]],1)*(1+$Q$2)/1048576)),"")</f>
        <v/>
      </c>
      <c r="R553" s="169" t="str">
        <f>IF(ISNUMBER(deployment_raw[[#This Row],[Column8]]), (H553  * IF(N553&lt;&gt;0,$R$2,1)),"")</f>
        <v/>
      </c>
      <c r="S553" s="170" t="str">
        <f>IF(ISNUMBER(deployment_raw[[#This Row],[Column8]]), (I553  * IF(O553&lt;&gt;0,$S$2,1)),"")</f>
        <v/>
      </c>
      <c r="T553" s="202" t="str">
        <f>IF(AND(A553&lt;&gt;"",_xlfn.IFNA(MATCH(A553,'dynamic resource application '!$A$2:$A$100, 0),0)&lt;&gt;0), H553/(IF($E$2="Deployment",E553,1)),"")</f>
        <v/>
      </c>
      <c r="U553" s="211" t="str">
        <f>IF(AND(A553&lt;&gt;"",_xlfn.IFNA(MATCH(A553,'dynamic resource application '!$A$2:$A$100, 0),0)&lt;&gt;0), I553/(IF($E$2="Deployment",E553,1)),"")</f>
        <v/>
      </c>
    </row>
    <row r="554" spans="1:21" ht="15.75" customHeight="1" x14ac:dyDescent="0.25">
      <c r="A554" s="35" t="str">
        <f>IF(ISNONTEXT(deployment_raw[[#This Row],[Column1]]), "", deployment_raw[[#This Row],[Column1]])</f>
        <v/>
      </c>
      <c r="B554" s="36" t="str">
        <f>IF(ISNONTEXT(deployment_raw[[#This Row],[Column2]]), "", deployment_raw[[#This Row],[Column2]])</f>
        <v/>
      </c>
      <c r="C554" s="36" t="str">
        <f>IF(ISNONTEXT(deployment_raw[[#This Row],[Column3]]), "", deployment_raw[[#This Row],[Column3]])</f>
        <v/>
      </c>
      <c r="D554" s="36" t="str">
        <f>IF(ISNONTEXT(deployment_raw[[#This Row],[Column4]]), "", deployment_raw[[#This Row],[Column4]])</f>
        <v/>
      </c>
      <c r="E554" s="37" t="str">
        <f>IF(ISNUMBER(deployment_raw[[#This Row],[Column5]]), deployment_raw[[#This Row],[Column5]],"")</f>
        <v/>
      </c>
      <c r="F554" s="94" t="str">
        <f>IF(ISNUMBER(deployment_raw[[#This Row],[Column6]]), (deployment_raw[[#This Row],[Column6]] * IF($E$2="Deployment",deployment_raw[[#This Row],[Column5]],1)),"")</f>
        <v/>
      </c>
      <c r="G554" s="95" t="str">
        <f>IF(ISNUMBER(deployment_raw[[#This Row],[Column7]]), (deployment_raw[[#This Row],[Column7]] * IF($E$2="Deployment",deployment_raw[[#This Row],[Column5]],1))/1048576,"")</f>
        <v/>
      </c>
      <c r="H554" s="95" t="str">
        <f>IF(ISNUMBER(deployment_raw[[#This Row],[Column8]]), (deployment_raw[[#This Row],[Column8]]  * IF($E$2="Deployment",deployment_raw[[#This Row],[Column5]],1)),"")</f>
        <v/>
      </c>
      <c r="I554" s="96" t="str">
        <f>IF(ISNUMBER(deployment_raw[[#This Row],[Column9]]), (deployment_raw[[#This Row],[Column9]] * IF($E$2="Deployment",deployment_raw[[#This Row],[Column5]],1))/1048576,"")</f>
        <v/>
      </c>
      <c r="J554" s="122" t="str">
        <f>IF(ISNUMBER(deployment_raw[[#This Row],[Column10]]), (MIN(IF(N554&lt;&gt;"",N554,9999999999999)*1.1,deployment_raw[[#This Row],[Column10]] * IF($E$2="Deployment",deployment_raw[[#This Row],[Column5]],1))),"")</f>
        <v/>
      </c>
      <c r="K554" s="123" t="str">
        <f>IF(ISNUMBER(deployment_raw[[#This Row],[Column11]]), (MIN(IF(O554&lt;&gt;"",O554,9999999999999)*1.1,deployment_raw[[#This Row],[Column11]] * IF($E$2="Deployment",deployment_raw[[#This Row],[Column5]],1)/1048576)),"")</f>
        <v/>
      </c>
      <c r="L554" s="124" t="str">
        <f>IF(ISNUMBER(deployment_raw[[#This Row],[Column8]]),IF(OR(deployment_raw[[#This Row],[Column5]] &lt;&gt; 0,$E$2 &lt;&gt; "Deployment"), MAX(J554, P554, R554, ($L$2 * IF($E$2="Deployment",deployment_raw[[#This Row],[Column5]],1)),IF(T554&lt;&gt;"",VALUE(T554) * IF($E$2="Deployment",deployment_raw[[#This Row],[Column5]],1),0)), 0),"")</f>
        <v/>
      </c>
      <c r="M554" s="125" t="str">
        <f>IF(ISNUMBER(deployment_raw[[#This Row],[Column9]]),IF(OR(deployment_raw[[#This Row],[Column5]] &lt;&gt; 0,$E$2&lt;&gt;"Deployment"), MAX(K554, Q554, S554, ($M$2 * IF($E$2="Deployment",deployment_raw[[#This Row],[Column5]],1)),IF(U554&lt;&gt;"",VALUE(U554) * IF($E$2="Deployment",deployment_raw[[#This Row],[Column5]],1),0)), 0),"")</f>
        <v/>
      </c>
      <c r="N554" s="166" t="str">
        <f>IF(ISNUMBER(deployment_raw[[#This Row],[Column14]]), deployment_raw[[#This Row],[Column14]]/IF(OR($E$2="Deployment",deployment_raw[[#This Row],[Column5]]=0),1,deployment_raw[[#This Row],[Column5]]),"")</f>
        <v/>
      </c>
      <c r="O554" s="167" t="str">
        <f>IF(ISNUMBER(deployment_raw[[#This Row],[Column15]]), deployment_raw[[#This Row],[Column15]]/IF(OR($E$2="Deployment",deployment_raw[[#This Row],[Column5]]=0),1,deployment_raw[[#This Row],[Column5]])/1048576,"")</f>
        <v/>
      </c>
      <c r="P554" s="168" t="str">
        <f>IF(ISNUMBER(deployment_raw[[#This Row],[Column12]]), (MIN(IF(N554&lt;&gt;"",N554,9999999999999)*1.1,deployment_raw[[#This Row],[Column12]] * IF($E$2="Deployment",deployment_raw[[#This Row],[Column5]],1))*(1+$P$2)),"")</f>
        <v/>
      </c>
      <c r="Q554" s="167" t="str">
        <f>IF(ISNUMBER(deployment_raw[[#This Row],[Column13]]), (MIN(IF(O554&lt;&gt;"",O554,9999999999999)*1.1,deployment_raw[[#This Row],[Column13]] * IF($E$2="Deployment",deployment_raw[[#This Row],[Column5]],1)*(1+$Q$2)/1048576)),"")</f>
        <v/>
      </c>
      <c r="R554" s="169" t="str">
        <f>IF(ISNUMBER(deployment_raw[[#This Row],[Column8]]), (H554  * IF(N554&lt;&gt;0,$R$2,1)),"")</f>
        <v/>
      </c>
      <c r="S554" s="170" t="str">
        <f>IF(ISNUMBER(deployment_raw[[#This Row],[Column8]]), (I554  * IF(O554&lt;&gt;0,$S$2,1)),"")</f>
        <v/>
      </c>
      <c r="T554" s="202" t="str">
        <f>IF(AND(A554&lt;&gt;"",_xlfn.IFNA(MATCH(A554,'dynamic resource application '!$A$2:$A$100, 0),0)&lt;&gt;0), H554/(IF($E$2="Deployment",E554,1)),"")</f>
        <v/>
      </c>
      <c r="U554" s="211" t="str">
        <f>IF(AND(A554&lt;&gt;"",_xlfn.IFNA(MATCH(A554,'dynamic resource application '!$A$2:$A$100, 0),0)&lt;&gt;0), I554/(IF($E$2="Deployment",E554,1)),"")</f>
        <v/>
      </c>
    </row>
    <row r="555" spans="1:21" ht="15.75" customHeight="1" x14ac:dyDescent="0.25">
      <c r="A555" s="35" t="str">
        <f>IF(ISNONTEXT(deployment_raw[[#This Row],[Column1]]), "", deployment_raw[[#This Row],[Column1]])</f>
        <v/>
      </c>
      <c r="B555" s="36" t="str">
        <f>IF(ISNONTEXT(deployment_raw[[#This Row],[Column2]]), "", deployment_raw[[#This Row],[Column2]])</f>
        <v/>
      </c>
      <c r="C555" s="36" t="str">
        <f>IF(ISNONTEXT(deployment_raw[[#This Row],[Column3]]), "", deployment_raw[[#This Row],[Column3]])</f>
        <v/>
      </c>
      <c r="D555" s="36" t="str">
        <f>IF(ISNONTEXT(deployment_raw[[#This Row],[Column4]]), "", deployment_raw[[#This Row],[Column4]])</f>
        <v/>
      </c>
      <c r="E555" s="37" t="str">
        <f>IF(ISNUMBER(deployment_raw[[#This Row],[Column5]]), deployment_raw[[#This Row],[Column5]],"")</f>
        <v/>
      </c>
      <c r="F555" s="94" t="str">
        <f>IF(ISNUMBER(deployment_raw[[#This Row],[Column6]]), (deployment_raw[[#This Row],[Column6]] * IF($E$2="Deployment",deployment_raw[[#This Row],[Column5]],1)),"")</f>
        <v/>
      </c>
      <c r="G555" s="95" t="str">
        <f>IF(ISNUMBER(deployment_raw[[#This Row],[Column7]]), (deployment_raw[[#This Row],[Column7]] * IF($E$2="Deployment",deployment_raw[[#This Row],[Column5]],1))/1048576,"")</f>
        <v/>
      </c>
      <c r="H555" s="95" t="str">
        <f>IF(ISNUMBER(deployment_raw[[#This Row],[Column8]]), (deployment_raw[[#This Row],[Column8]]  * IF($E$2="Deployment",deployment_raw[[#This Row],[Column5]],1)),"")</f>
        <v/>
      </c>
      <c r="I555" s="96" t="str">
        <f>IF(ISNUMBER(deployment_raw[[#This Row],[Column9]]), (deployment_raw[[#This Row],[Column9]] * IF($E$2="Deployment",deployment_raw[[#This Row],[Column5]],1))/1048576,"")</f>
        <v/>
      </c>
      <c r="J555" s="122" t="str">
        <f>IF(ISNUMBER(deployment_raw[[#This Row],[Column10]]), (MIN(IF(N555&lt;&gt;"",N555,9999999999999)*1.1,deployment_raw[[#This Row],[Column10]] * IF($E$2="Deployment",deployment_raw[[#This Row],[Column5]],1))),"")</f>
        <v/>
      </c>
      <c r="K555" s="123" t="str">
        <f>IF(ISNUMBER(deployment_raw[[#This Row],[Column11]]), (MIN(IF(O555&lt;&gt;"",O555,9999999999999)*1.1,deployment_raw[[#This Row],[Column11]] * IF($E$2="Deployment",deployment_raw[[#This Row],[Column5]],1)/1048576)),"")</f>
        <v/>
      </c>
      <c r="L555" s="124" t="str">
        <f>IF(ISNUMBER(deployment_raw[[#This Row],[Column8]]),IF(OR(deployment_raw[[#This Row],[Column5]] &lt;&gt; 0,$E$2 &lt;&gt; "Deployment"), MAX(J555, P555, R555, ($L$2 * IF($E$2="Deployment",deployment_raw[[#This Row],[Column5]],1)),IF(T555&lt;&gt;"",VALUE(T555) * IF($E$2="Deployment",deployment_raw[[#This Row],[Column5]],1),0)), 0),"")</f>
        <v/>
      </c>
      <c r="M555" s="125" t="str">
        <f>IF(ISNUMBER(deployment_raw[[#This Row],[Column9]]),IF(OR(deployment_raw[[#This Row],[Column5]] &lt;&gt; 0,$E$2&lt;&gt;"Deployment"), MAX(K555, Q555, S555, ($M$2 * IF($E$2="Deployment",deployment_raw[[#This Row],[Column5]],1)),IF(U555&lt;&gt;"",VALUE(U555) * IF($E$2="Deployment",deployment_raw[[#This Row],[Column5]],1),0)), 0),"")</f>
        <v/>
      </c>
      <c r="N555" s="166" t="str">
        <f>IF(ISNUMBER(deployment_raw[[#This Row],[Column14]]), deployment_raw[[#This Row],[Column14]]/IF(OR($E$2="Deployment",deployment_raw[[#This Row],[Column5]]=0),1,deployment_raw[[#This Row],[Column5]]),"")</f>
        <v/>
      </c>
      <c r="O555" s="167" t="str">
        <f>IF(ISNUMBER(deployment_raw[[#This Row],[Column15]]), deployment_raw[[#This Row],[Column15]]/IF(OR($E$2="Deployment",deployment_raw[[#This Row],[Column5]]=0),1,deployment_raw[[#This Row],[Column5]])/1048576,"")</f>
        <v/>
      </c>
      <c r="P555" s="168" t="str">
        <f>IF(ISNUMBER(deployment_raw[[#This Row],[Column12]]), (MIN(IF(N555&lt;&gt;"",N555,9999999999999)*1.1,deployment_raw[[#This Row],[Column12]] * IF($E$2="Deployment",deployment_raw[[#This Row],[Column5]],1))*(1+$P$2)),"")</f>
        <v/>
      </c>
      <c r="Q555" s="167" t="str">
        <f>IF(ISNUMBER(deployment_raw[[#This Row],[Column13]]), (MIN(IF(O555&lt;&gt;"",O555,9999999999999)*1.1,deployment_raw[[#This Row],[Column13]] * IF($E$2="Deployment",deployment_raw[[#This Row],[Column5]],1)*(1+$Q$2)/1048576)),"")</f>
        <v/>
      </c>
      <c r="R555" s="169" t="str">
        <f>IF(ISNUMBER(deployment_raw[[#This Row],[Column8]]), (H555  * IF(N555&lt;&gt;0,$R$2,1)),"")</f>
        <v/>
      </c>
      <c r="S555" s="170" t="str">
        <f>IF(ISNUMBER(deployment_raw[[#This Row],[Column8]]), (I555  * IF(O555&lt;&gt;0,$S$2,1)),"")</f>
        <v/>
      </c>
      <c r="T555" s="202" t="str">
        <f>IF(AND(A555&lt;&gt;"",_xlfn.IFNA(MATCH(A555,'dynamic resource application '!$A$2:$A$100, 0),0)&lt;&gt;0), H555/(IF($E$2="Deployment",E555,1)),"")</f>
        <v/>
      </c>
      <c r="U555" s="211" t="str">
        <f>IF(AND(A555&lt;&gt;"",_xlfn.IFNA(MATCH(A555,'dynamic resource application '!$A$2:$A$100, 0),0)&lt;&gt;0), I555/(IF($E$2="Deployment",E555,1)),"")</f>
        <v/>
      </c>
    </row>
    <row r="556" spans="1:21" ht="15.75" customHeight="1" x14ac:dyDescent="0.25">
      <c r="A556" s="35" t="str">
        <f>IF(ISNONTEXT(deployment_raw[[#This Row],[Column1]]), "", deployment_raw[[#This Row],[Column1]])</f>
        <v/>
      </c>
      <c r="B556" s="36" t="str">
        <f>IF(ISNONTEXT(deployment_raw[[#This Row],[Column2]]), "", deployment_raw[[#This Row],[Column2]])</f>
        <v/>
      </c>
      <c r="C556" s="36" t="str">
        <f>IF(ISNONTEXT(deployment_raw[[#This Row],[Column3]]), "", deployment_raw[[#This Row],[Column3]])</f>
        <v/>
      </c>
      <c r="D556" s="36" t="str">
        <f>IF(ISNONTEXT(deployment_raw[[#This Row],[Column4]]), "", deployment_raw[[#This Row],[Column4]])</f>
        <v/>
      </c>
      <c r="E556" s="37" t="str">
        <f>IF(ISNUMBER(deployment_raw[[#This Row],[Column5]]), deployment_raw[[#This Row],[Column5]],"")</f>
        <v/>
      </c>
      <c r="F556" s="94" t="str">
        <f>IF(ISNUMBER(deployment_raw[[#This Row],[Column6]]), (deployment_raw[[#This Row],[Column6]] * IF($E$2="Deployment",deployment_raw[[#This Row],[Column5]],1)),"")</f>
        <v/>
      </c>
      <c r="G556" s="95" t="str">
        <f>IF(ISNUMBER(deployment_raw[[#This Row],[Column7]]), (deployment_raw[[#This Row],[Column7]] * IF($E$2="Deployment",deployment_raw[[#This Row],[Column5]],1))/1048576,"")</f>
        <v/>
      </c>
      <c r="H556" s="95" t="str">
        <f>IF(ISNUMBER(deployment_raw[[#This Row],[Column8]]), (deployment_raw[[#This Row],[Column8]]  * IF($E$2="Deployment",deployment_raw[[#This Row],[Column5]],1)),"")</f>
        <v/>
      </c>
      <c r="I556" s="96" t="str">
        <f>IF(ISNUMBER(deployment_raw[[#This Row],[Column9]]), (deployment_raw[[#This Row],[Column9]] * IF($E$2="Deployment",deployment_raw[[#This Row],[Column5]],1))/1048576,"")</f>
        <v/>
      </c>
      <c r="J556" s="122" t="str">
        <f>IF(ISNUMBER(deployment_raw[[#This Row],[Column10]]), (MIN(IF(N556&lt;&gt;"",N556,9999999999999)*1.1,deployment_raw[[#This Row],[Column10]] * IF($E$2="Deployment",deployment_raw[[#This Row],[Column5]],1))),"")</f>
        <v/>
      </c>
      <c r="K556" s="123" t="str">
        <f>IF(ISNUMBER(deployment_raw[[#This Row],[Column11]]), (MIN(IF(O556&lt;&gt;"",O556,9999999999999)*1.1,deployment_raw[[#This Row],[Column11]] * IF($E$2="Deployment",deployment_raw[[#This Row],[Column5]],1)/1048576)),"")</f>
        <v/>
      </c>
      <c r="L556" s="124" t="str">
        <f>IF(ISNUMBER(deployment_raw[[#This Row],[Column8]]),IF(OR(deployment_raw[[#This Row],[Column5]] &lt;&gt; 0,$E$2 &lt;&gt; "Deployment"), MAX(J556, P556, R556, ($L$2 * IF($E$2="Deployment",deployment_raw[[#This Row],[Column5]],1)),IF(T556&lt;&gt;"",VALUE(T556) * IF($E$2="Deployment",deployment_raw[[#This Row],[Column5]],1),0)), 0),"")</f>
        <v/>
      </c>
      <c r="M556" s="125" t="str">
        <f>IF(ISNUMBER(deployment_raw[[#This Row],[Column9]]),IF(OR(deployment_raw[[#This Row],[Column5]] &lt;&gt; 0,$E$2&lt;&gt;"Deployment"), MAX(K556, Q556, S556, ($M$2 * IF($E$2="Deployment",deployment_raw[[#This Row],[Column5]],1)),IF(U556&lt;&gt;"",VALUE(U556) * IF($E$2="Deployment",deployment_raw[[#This Row],[Column5]],1),0)), 0),"")</f>
        <v/>
      </c>
      <c r="N556" s="166" t="str">
        <f>IF(ISNUMBER(deployment_raw[[#This Row],[Column14]]), deployment_raw[[#This Row],[Column14]]/IF(OR($E$2="Deployment",deployment_raw[[#This Row],[Column5]]=0),1,deployment_raw[[#This Row],[Column5]]),"")</f>
        <v/>
      </c>
      <c r="O556" s="167" t="str">
        <f>IF(ISNUMBER(deployment_raw[[#This Row],[Column15]]), deployment_raw[[#This Row],[Column15]]/IF(OR($E$2="Deployment",deployment_raw[[#This Row],[Column5]]=0),1,deployment_raw[[#This Row],[Column5]])/1048576,"")</f>
        <v/>
      </c>
      <c r="P556" s="168" t="str">
        <f>IF(ISNUMBER(deployment_raw[[#This Row],[Column12]]), (MIN(IF(N556&lt;&gt;"",N556,9999999999999)*1.1,deployment_raw[[#This Row],[Column12]] * IF($E$2="Deployment",deployment_raw[[#This Row],[Column5]],1))*(1+$P$2)),"")</f>
        <v/>
      </c>
      <c r="Q556" s="167" t="str">
        <f>IF(ISNUMBER(deployment_raw[[#This Row],[Column13]]), (MIN(IF(O556&lt;&gt;"",O556,9999999999999)*1.1,deployment_raw[[#This Row],[Column13]] * IF($E$2="Deployment",deployment_raw[[#This Row],[Column5]],1)*(1+$Q$2)/1048576)),"")</f>
        <v/>
      </c>
      <c r="R556" s="169" t="str">
        <f>IF(ISNUMBER(deployment_raw[[#This Row],[Column8]]), (H556  * IF(N556&lt;&gt;0,$R$2,1)),"")</f>
        <v/>
      </c>
      <c r="S556" s="170" t="str">
        <f>IF(ISNUMBER(deployment_raw[[#This Row],[Column8]]), (I556  * IF(O556&lt;&gt;0,$S$2,1)),"")</f>
        <v/>
      </c>
      <c r="T556" s="202" t="str">
        <f>IF(AND(A556&lt;&gt;"",_xlfn.IFNA(MATCH(A556,'dynamic resource application '!$A$2:$A$100, 0),0)&lt;&gt;0), H556/(IF($E$2="Deployment",E556,1)),"")</f>
        <v/>
      </c>
      <c r="U556" s="211" t="str">
        <f>IF(AND(A556&lt;&gt;"",_xlfn.IFNA(MATCH(A556,'dynamic resource application '!$A$2:$A$100, 0),0)&lt;&gt;0), I556/(IF($E$2="Deployment",E556,1)),"")</f>
        <v/>
      </c>
    </row>
    <row r="557" spans="1:21" ht="15.75" customHeight="1" x14ac:dyDescent="0.25">
      <c r="A557" s="35" t="str">
        <f>IF(ISNONTEXT(deployment_raw[[#This Row],[Column1]]), "", deployment_raw[[#This Row],[Column1]])</f>
        <v/>
      </c>
      <c r="B557" s="36" t="str">
        <f>IF(ISNONTEXT(deployment_raw[[#This Row],[Column2]]), "", deployment_raw[[#This Row],[Column2]])</f>
        <v/>
      </c>
      <c r="C557" s="36" t="str">
        <f>IF(ISNONTEXT(deployment_raw[[#This Row],[Column3]]), "", deployment_raw[[#This Row],[Column3]])</f>
        <v/>
      </c>
      <c r="D557" s="36" t="str">
        <f>IF(ISNONTEXT(deployment_raw[[#This Row],[Column4]]), "", deployment_raw[[#This Row],[Column4]])</f>
        <v/>
      </c>
      <c r="E557" s="37" t="str">
        <f>IF(ISNUMBER(deployment_raw[[#This Row],[Column5]]), deployment_raw[[#This Row],[Column5]],"")</f>
        <v/>
      </c>
      <c r="F557" s="94" t="str">
        <f>IF(ISNUMBER(deployment_raw[[#This Row],[Column6]]), (deployment_raw[[#This Row],[Column6]] * IF($E$2="Deployment",deployment_raw[[#This Row],[Column5]],1)),"")</f>
        <v/>
      </c>
      <c r="G557" s="95" t="str">
        <f>IF(ISNUMBER(deployment_raw[[#This Row],[Column7]]), (deployment_raw[[#This Row],[Column7]] * IF($E$2="Deployment",deployment_raw[[#This Row],[Column5]],1))/1048576,"")</f>
        <v/>
      </c>
      <c r="H557" s="95" t="str">
        <f>IF(ISNUMBER(deployment_raw[[#This Row],[Column8]]), (deployment_raw[[#This Row],[Column8]]  * IF($E$2="Deployment",deployment_raw[[#This Row],[Column5]],1)),"")</f>
        <v/>
      </c>
      <c r="I557" s="96" t="str">
        <f>IF(ISNUMBER(deployment_raw[[#This Row],[Column9]]), (deployment_raw[[#This Row],[Column9]] * IF($E$2="Deployment",deployment_raw[[#This Row],[Column5]],1))/1048576,"")</f>
        <v/>
      </c>
      <c r="J557" s="122" t="str">
        <f>IF(ISNUMBER(deployment_raw[[#This Row],[Column10]]), (MIN(IF(N557&lt;&gt;"",N557,9999999999999)*1.1,deployment_raw[[#This Row],[Column10]] * IF($E$2="Deployment",deployment_raw[[#This Row],[Column5]],1))),"")</f>
        <v/>
      </c>
      <c r="K557" s="123" t="str">
        <f>IF(ISNUMBER(deployment_raw[[#This Row],[Column11]]), (MIN(IF(O557&lt;&gt;"",O557,9999999999999)*1.1,deployment_raw[[#This Row],[Column11]] * IF($E$2="Deployment",deployment_raw[[#This Row],[Column5]],1)/1048576)),"")</f>
        <v/>
      </c>
      <c r="L557" s="124" t="str">
        <f>IF(ISNUMBER(deployment_raw[[#This Row],[Column8]]),IF(OR(deployment_raw[[#This Row],[Column5]] &lt;&gt; 0,$E$2 &lt;&gt; "Deployment"), MAX(J557, P557, R557, ($L$2 * IF($E$2="Deployment",deployment_raw[[#This Row],[Column5]],1)),IF(T557&lt;&gt;"",VALUE(T557) * IF($E$2="Deployment",deployment_raw[[#This Row],[Column5]],1),0)), 0),"")</f>
        <v/>
      </c>
      <c r="M557" s="125" t="str">
        <f>IF(ISNUMBER(deployment_raw[[#This Row],[Column9]]),IF(OR(deployment_raw[[#This Row],[Column5]] &lt;&gt; 0,$E$2&lt;&gt;"Deployment"), MAX(K557, Q557, S557, ($M$2 * IF($E$2="Deployment",deployment_raw[[#This Row],[Column5]],1)),IF(U557&lt;&gt;"",VALUE(U557) * IF($E$2="Deployment",deployment_raw[[#This Row],[Column5]],1),0)), 0),"")</f>
        <v/>
      </c>
      <c r="N557" s="166" t="str">
        <f>IF(ISNUMBER(deployment_raw[[#This Row],[Column14]]), deployment_raw[[#This Row],[Column14]]/IF(OR($E$2="Deployment",deployment_raw[[#This Row],[Column5]]=0),1,deployment_raw[[#This Row],[Column5]]),"")</f>
        <v/>
      </c>
      <c r="O557" s="167" t="str">
        <f>IF(ISNUMBER(deployment_raw[[#This Row],[Column15]]), deployment_raw[[#This Row],[Column15]]/IF(OR($E$2="Deployment",deployment_raw[[#This Row],[Column5]]=0),1,deployment_raw[[#This Row],[Column5]])/1048576,"")</f>
        <v/>
      </c>
      <c r="P557" s="168" t="str">
        <f>IF(ISNUMBER(deployment_raw[[#This Row],[Column12]]), (MIN(IF(N557&lt;&gt;"",N557,9999999999999)*1.1,deployment_raw[[#This Row],[Column12]] * IF($E$2="Deployment",deployment_raw[[#This Row],[Column5]],1))*(1+$P$2)),"")</f>
        <v/>
      </c>
      <c r="Q557" s="167" t="str">
        <f>IF(ISNUMBER(deployment_raw[[#This Row],[Column13]]), (MIN(IF(O557&lt;&gt;"",O557,9999999999999)*1.1,deployment_raw[[#This Row],[Column13]] * IF($E$2="Deployment",deployment_raw[[#This Row],[Column5]],1)*(1+$Q$2)/1048576)),"")</f>
        <v/>
      </c>
      <c r="R557" s="169" t="str">
        <f>IF(ISNUMBER(deployment_raw[[#This Row],[Column8]]), (H557  * IF(N557&lt;&gt;0,$R$2,1)),"")</f>
        <v/>
      </c>
      <c r="S557" s="170" t="str">
        <f>IF(ISNUMBER(deployment_raw[[#This Row],[Column8]]), (I557  * IF(O557&lt;&gt;0,$S$2,1)),"")</f>
        <v/>
      </c>
      <c r="T557" s="202" t="str">
        <f>IF(AND(A557&lt;&gt;"",_xlfn.IFNA(MATCH(A557,'dynamic resource application '!$A$2:$A$100, 0),0)&lt;&gt;0), H557/(IF($E$2="Deployment",E557,1)),"")</f>
        <v/>
      </c>
      <c r="U557" s="211" t="str">
        <f>IF(AND(A557&lt;&gt;"",_xlfn.IFNA(MATCH(A557,'dynamic resource application '!$A$2:$A$100, 0),0)&lt;&gt;0), I557/(IF($E$2="Deployment",E557,1)),"")</f>
        <v/>
      </c>
    </row>
    <row r="558" spans="1:21" ht="15.75" customHeight="1" x14ac:dyDescent="0.25">
      <c r="A558" s="35" t="str">
        <f>IF(ISNONTEXT(deployment_raw[[#This Row],[Column1]]), "", deployment_raw[[#This Row],[Column1]])</f>
        <v/>
      </c>
      <c r="B558" s="36" t="str">
        <f>IF(ISNONTEXT(deployment_raw[[#This Row],[Column2]]), "", deployment_raw[[#This Row],[Column2]])</f>
        <v/>
      </c>
      <c r="C558" s="36" t="str">
        <f>IF(ISNONTEXT(deployment_raw[[#This Row],[Column3]]), "", deployment_raw[[#This Row],[Column3]])</f>
        <v/>
      </c>
      <c r="D558" s="36" t="str">
        <f>IF(ISNONTEXT(deployment_raw[[#This Row],[Column4]]), "", deployment_raw[[#This Row],[Column4]])</f>
        <v/>
      </c>
      <c r="E558" s="37" t="str">
        <f>IF(ISNUMBER(deployment_raw[[#This Row],[Column5]]), deployment_raw[[#This Row],[Column5]],"")</f>
        <v/>
      </c>
      <c r="F558" s="94" t="str">
        <f>IF(ISNUMBER(deployment_raw[[#This Row],[Column6]]), (deployment_raw[[#This Row],[Column6]] * IF($E$2="Deployment",deployment_raw[[#This Row],[Column5]],1)),"")</f>
        <v/>
      </c>
      <c r="G558" s="95" t="str">
        <f>IF(ISNUMBER(deployment_raw[[#This Row],[Column7]]), (deployment_raw[[#This Row],[Column7]] * IF($E$2="Deployment",deployment_raw[[#This Row],[Column5]],1))/1048576,"")</f>
        <v/>
      </c>
      <c r="H558" s="95" t="str">
        <f>IF(ISNUMBER(deployment_raw[[#This Row],[Column8]]), (deployment_raw[[#This Row],[Column8]]  * IF($E$2="Deployment",deployment_raw[[#This Row],[Column5]],1)),"")</f>
        <v/>
      </c>
      <c r="I558" s="96" t="str">
        <f>IF(ISNUMBER(deployment_raw[[#This Row],[Column9]]), (deployment_raw[[#This Row],[Column9]] * IF($E$2="Deployment",deployment_raw[[#This Row],[Column5]],1))/1048576,"")</f>
        <v/>
      </c>
      <c r="J558" s="122" t="str">
        <f>IF(ISNUMBER(deployment_raw[[#This Row],[Column10]]), (MIN(IF(N558&lt;&gt;"",N558,9999999999999)*1.1,deployment_raw[[#This Row],[Column10]] * IF($E$2="Deployment",deployment_raw[[#This Row],[Column5]],1))),"")</f>
        <v/>
      </c>
      <c r="K558" s="123" t="str">
        <f>IF(ISNUMBER(deployment_raw[[#This Row],[Column11]]), (MIN(IF(O558&lt;&gt;"",O558,9999999999999)*1.1,deployment_raw[[#This Row],[Column11]] * IF($E$2="Deployment",deployment_raw[[#This Row],[Column5]],1)/1048576)),"")</f>
        <v/>
      </c>
      <c r="L558" s="124" t="str">
        <f>IF(ISNUMBER(deployment_raw[[#This Row],[Column8]]),IF(OR(deployment_raw[[#This Row],[Column5]] &lt;&gt; 0,$E$2 &lt;&gt; "Deployment"), MAX(J558, P558, R558, ($L$2 * IF($E$2="Deployment",deployment_raw[[#This Row],[Column5]],1)),IF(T558&lt;&gt;"",VALUE(T558) * IF($E$2="Deployment",deployment_raw[[#This Row],[Column5]],1),0)), 0),"")</f>
        <v/>
      </c>
      <c r="M558" s="125" t="str">
        <f>IF(ISNUMBER(deployment_raw[[#This Row],[Column9]]),IF(OR(deployment_raw[[#This Row],[Column5]] &lt;&gt; 0,$E$2&lt;&gt;"Deployment"), MAX(K558, Q558, S558, ($M$2 * IF($E$2="Deployment",deployment_raw[[#This Row],[Column5]],1)),IF(U558&lt;&gt;"",VALUE(U558) * IF($E$2="Deployment",deployment_raw[[#This Row],[Column5]],1),0)), 0),"")</f>
        <v/>
      </c>
      <c r="N558" s="166" t="str">
        <f>IF(ISNUMBER(deployment_raw[[#This Row],[Column14]]), deployment_raw[[#This Row],[Column14]]/IF(OR($E$2="Deployment",deployment_raw[[#This Row],[Column5]]=0),1,deployment_raw[[#This Row],[Column5]]),"")</f>
        <v/>
      </c>
      <c r="O558" s="167" t="str">
        <f>IF(ISNUMBER(deployment_raw[[#This Row],[Column15]]), deployment_raw[[#This Row],[Column15]]/IF(OR($E$2="Deployment",deployment_raw[[#This Row],[Column5]]=0),1,deployment_raw[[#This Row],[Column5]])/1048576,"")</f>
        <v/>
      </c>
      <c r="P558" s="168" t="str">
        <f>IF(ISNUMBER(deployment_raw[[#This Row],[Column12]]), (MIN(IF(N558&lt;&gt;"",N558,9999999999999)*1.1,deployment_raw[[#This Row],[Column12]] * IF($E$2="Deployment",deployment_raw[[#This Row],[Column5]],1))*(1+$P$2)),"")</f>
        <v/>
      </c>
      <c r="Q558" s="167" t="str">
        <f>IF(ISNUMBER(deployment_raw[[#This Row],[Column13]]), (MIN(IF(O558&lt;&gt;"",O558,9999999999999)*1.1,deployment_raw[[#This Row],[Column13]] * IF($E$2="Deployment",deployment_raw[[#This Row],[Column5]],1)*(1+$Q$2)/1048576)),"")</f>
        <v/>
      </c>
      <c r="R558" s="169" t="str">
        <f>IF(ISNUMBER(deployment_raw[[#This Row],[Column8]]), (H558  * IF(N558&lt;&gt;0,$R$2,1)),"")</f>
        <v/>
      </c>
      <c r="S558" s="170" t="str">
        <f>IF(ISNUMBER(deployment_raw[[#This Row],[Column8]]), (I558  * IF(O558&lt;&gt;0,$S$2,1)),"")</f>
        <v/>
      </c>
      <c r="T558" s="202" t="str">
        <f>IF(AND(A558&lt;&gt;"",_xlfn.IFNA(MATCH(A558,'dynamic resource application '!$A$2:$A$100, 0),0)&lt;&gt;0), H558/(IF($E$2="Deployment",E558,1)),"")</f>
        <v/>
      </c>
      <c r="U558" s="211" t="str">
        <f>IF(AND(A558&lt;&gt;"",_xlfn.IFNA(MATCH(A558,'dynamic resource application '!$A$2:$A$100, 0),0)&lt;&gt;0), I558/(IF($E$2="Deployment",E558,1)),"")</f>
        <v/>
      </c>
    </row>
    <row r="559" spans="1:21" ht="15.75" customHeight="1" x14ac:dyDescent="0.25">
      <c r="A559" s="35" t="str">
        <f>IF(ISNONTEXT(deployment_raw[[#This Row],[Column1]]), "", deployment_raw[[#This Row],[Column1]])</f>
        <v/>
      </c>
      <c r="B559" s="36" t="str">
        <f>IF(ISNONTEXT(deployment_raw[[#This Row],[Column2]]), "", deployment_raw[[#This Row],[Column2]])</f>
        <v/>
      </c>
      <c r="C559" s="36" t="str">
        <f>IF(ISNONTEXT(deployment_raw[[#This Row],[Column3]]), "", deployment_raw[[#This Row],[Column3]])</f>
        <v/>
      </c>
      <c r="D559" s="36" t="str">
        <f>IF(ISNONTEXT(deployment_raw[[#This Row],[Column4]]), "", deployment_raw[[#This Row],[Column4]])</f>
        <v/>
      </c>
      <c r="E559" s="37" t="str">
        <f>IF(ISNUMBER(deployment_raw[[#This Row],[Column5]]), deployment_raw[[#This Row],[Column5]],"")</f>
        <v/>
      </c>
      <c r="F559" s="94" t="str">
        <f>IF(ISNUMBER(deployment_raw[[#This Row],[Column6]]), (deployment_raw[[#This Row],[Column6]] * IF($E$2="Deployment",deployment_raw[[#This Row],[Column5]],1)),"")</f>
        <v/>
      </c>
      <c r="G559" s="95" t="str">
        <f>IF(ISNUMBER(deployment_raw[[#This Row],[Column7]]), (deployment_raw[[#This Row],[Column7]] * IF($E$2="Deployment",deployment_raw[[#This Row],[Column5]],1))/1048576,"")</f>
        <v/>
      </c>
      <c r="H559" s="95" t="str">
        <f>IF(ISNUMBER(deployment_raw[[#This Row],[Column8]]), (deployment_raw[[#This Row],[Column8]]  * IF($E$2="Deployment",deployment_raw[[#This Row],[Column5]],1)),"")</f>
        <v/>
      </c>
      <c r="I559" s="96" t="str">
        <f>IF(ISNUMBER(deployment_raw[[#This Row],[Column9]]), (deployment_raw[[#This Row],[Column9]] * IF($E$2="Deployment",deployment_raw[[#This Row],[Column5]],1))/1048576,"")</f>
        <v/>
      </c>
      <c r="J559" s="122" t="str">
        <f>IF(ISNUMBER(deployment_raw[[#This Row],[Column10]]), (MIN(IF(N559&lt;&gt;"",N559,9999999999999)*1.1,deployment_raw[[#This Row],[Column10]] * IF($E$2="Deployment",deployment_raw[[#This Row],[Column5]],1))),"")</f>
        <v/>
      </c>
      <c r="K559" s="123" t="str">
        <f>IF(ISNUMBER(deployment_raw[[#This Row],[Column11]]), (MIN(IF(O559&lt;&gt;"",O559,9999999999999)*1.1,deployment_raw[[#This Row],[Column11]] * IF($E$2="Deployment",deployment_raw[[#This Row],[Column5]],1)/1048576)),"")</f>
        <v/>
      </c>
      <c r="L559" s="124" t="str">
        <f>IF(ISNUMBER(deployment_raw[[#This Row],[Column8]]),IF(OR(deployment_raw[[#This Row],[Column5]] &lt;&gt; 0,$E$2 &lt;&gt; "Deployment"), MAX(J559, P559, R559, ($L$2 * IF($E$2="Deployment",deployment_raw[[#This Row],[Column5]],1)),IF(T559&lt;&gt;"",VALUE(T559) * IF($E$2="Deployment",deployment_raw[[#This Row],[Column5]],1),0)), 0),"")</f>
        <v/>
      </c>
      <c r="M559" s="125" t="str">
        <f>IF(ISNUMBER(deployment_raw[[#This Row],[Column9]]),IF(OR(deployment_raw[[#This Row],[Column5]] &lt;&gt; 0,$E$2&lt;&gt;"Deployment"), MAX(K559, Q559, S559, ($M$2 * IF($E$2="Deployment",deployment_raw[[#This Row],[Column5]],1)),IF(U559&lt;&gt;"",VALUE(U559) * IF($E$2="Deployment",deployment_raw[[#This Row],[Column5]],1),0)), 0),"")</f>
        <v/>
      </c>
      <c r="N559" s="166" t="str">
        <f>IF(ISNUMBER(deployment_raw[[#This Row],[Column14]]), deployment_raw[[#This Row],[Column14]]/IF(OR($E$2="Deployment",deployment_raw[[#This Row],[Column5]]=0),1,deployment_raw[[#This Row],[Column5]]),"")</f>
        <v/>
      </c>
      <c r="O559" s="167" t="str">
        <f>IF(ISNUMBER(deployment_raw[[#This Row],[Column15]]), deployment_raw[[#This Row],[Column15]]/IF(OR($E$2="Deployment",deployment_raw[[#This Row],[Column5]]=0),1,deployment_raw[[#This Row],[Column5]])/1048576,"")</f>
        <v/>
      </c>
      <c r="P559" s="168" t="str">
        <f>IF(ISNUMBER(deployment_raw[[#This Row],[Column12]]), (MIN(IF(N559&lt;&gt;"",N559,9999999999999)*1.1,deployment_raw[[#This Row],[Column12]] * IF($E$2="Deployment",deployment_raw[[#This Row],[Column5]],1))*(1+$P$2)),"")</f>
        <v/>
      </c>
      <c r="Q559" s="167" t="str">
        <f>IF(ISNUMBER(deployment_raw[[#This Row],[Column13]]), (MIN(IF(O559&lt;&gt;"",O559,9999999999999)*1.1,deployment_raw[[#This Row],[Column13]] * IF($E$2="Deployment",deployment_raw[[#This Row],[Column5]],1)*(1+$Q$2)/1048576)),"")</f>
        <v/>
      </c>
      <c r="R559" s="169" t="str">
        <f>IF(ISNUMBER(deployment_raw[[#This Row],[Column8]]), (H559  * IF(N559&lt;&gt;0,$R$2,1)),"")</f>
        <v/>
      </c>
      <c r="S559" s="170" t="str">
        <f>IF(ISNUMBER(deployment_raw[[#This Row],[Column8]]), (I559  * IF(O559&lt;&gt;0,$S$2,1)),"")</f>
        <v/>
      </c>
      <c r="T559" s="202" t="str">
        <f>IF(AND(A559&lt;&gt;"",_xlfn.IFNA(MATCH(A559,'dynamic resource application '!$A$2:$A$100, 0),0)&lt;&gt;0), H559/(IF($E$2="Deployment",E559,1)),"")</f>
        <v/>
      </c>
      <c r="U559" s="211" t="str">
        <f>IF(AND(A559&lt;&gt;"",_xlfn.IFNA(MATCH(A559,'dynamic resource application '!$A$2:$A$100, 0),0)&lt;&gt;0), I559/(IF($E$2="Deployment",E559,1)),"")</f>
        <v/>
      </c>
    </row>
    <row r="560" spans="1:21" ht="15.75" customHeight="1" x14ac:dyDescent="0.25">
      <c r="A560" s="35" t="str">
        <f>IF(ISNONTEXT(deployment_raw[[#This Row],[Column1]]), "", deployment_raw[[#This Row],[Column1]])</f>
        <v/>
      </c>
      <c r="B560" s="36" t="str">
        <f>IF(ISNONTEXT(deployment_raw[[#This Row],[Column2]]), "", deployment_raw[[#This Row],[Column2]])</f>
        <v/>
      </c>
      <c r="C560" s="36" t="str">
        <f>IF(ISNONTEXT(deployment_raw[[#This Row],[Column3]]), "", deployment_raw[[#This Row],[Column3]])</f>
        <v/>
      </c>
      <c r="D560" s="36" t="str">
        <f>IF(ISNONTEXT(deployment_raw[[#This Row],[Column4]]), "", deployment_raw[[#This Row],[Column4]])</f>
        <v/>
      </c>
      <c r="E560" s="37" t="str">
        <f>IF(ISNUMBER(deployment_raw[[#This Row],[Column5]]), deployment_raw[[#This Row],[Column5]],"")</f>
        <v/>
      </c>
      <c r="F560" s="94" t="str">
        <f>IF(ISNUMBER(deployment_raw[[#This Row],[Column6]]), (deployment_raw[[#This Row],[Column6]] * IF($E$2="Deployment",deployment_raw[[#This Row],[Column5]],1)),"")</f>
        <v/>
      </c>
      <c r="G560" s="95" t="str">
        <f>IF(ISNUMBER(deployment_raw[[#This Row],[Column7]]), (deployment_raw[[#This Row],[Column7]] * IF($E$2="Deployment",deployment_raw[[#This Row],[Column5]],1))/1048576,"")</f>
        <v/>
      </c>
      <c r="H560" s="95" t="str">
        <f>IF(ISNUMBER(deployment_raw[[#This Row],[Column8]]), (deployment_raw[[#This Row],[Column8]]  * IF($E$2="Deployment",deployment_raw[[#This Row],[Column5]],1)),"")</f>
        <v/>
      </c>
      <c r="I560" s="96" t="str">
        <f>IF(ISNUMBER(deployment_raw[[#This Row],[Column9]]), (deployment_raw[[#This Row],[Column9]] * IF($E$2="Deployment",deployment_raw[[#This Row],[Column5]],1))/1048576,"")</f>
        <v/>
      </c>
      <c r="J560" s="122" t="str">
        <f>IF(ISNUMBER(deployment_raw[[#This Row],[Column10]]), (MIN(IF(N560&lt;&gt;"",N560,9999999999999)*1.1,deployment_raw[[#This Row],[Column10]] * IF($E$2="Deployment",deployment_raw[[#This Row],[Column5]],1))),"")</f>
        <v/>
      </c>
      <c r="K560" s="123" t="str">
        <f>IF(ISNUMBER(deployment_raw[[#This Row],[Column11]]), (MIN(IF(O560&lt;&gt;"",O560,9999999999999)*1.1,deployment_raw[[#This Row],[Column11]] * IF($E$2="Deployment",deployment_raw[[#This Row],[Column5]],1)/1048576)),"")</f>
        <v/>
      </c>
      <c r="L560" s="124" t="str">
        <f>IF(ISNUMBER(deployment_raw[[#This Row],[Column8]]),IF(OR(deployment_raw[[#This Row],[Column5]] &lt;&gt; 0,$E$2 &lt;&gt; "Deployment"), MAX(J560, P560, R560, ($L$2 * IF($E$2="Deployment",deployment_raw[[#This Row],[Column5]],1)),IF(T560&lt;&gt;"",VALUE(T560) * IF($E$2="Deployment",deployment_raw[[#This Row],[Column5]],1),0)), 0),"")</f>
        <v/>
      </c>
      <c r="M560" s="125" t="str">
        <f>IF(ISNUMBER(deployment_raw[[#This Row],[Column9]]),IF(OR(deployment_raw[[#This Row],[Column5]] &lt;&gt; 0,$E$2&lt;&gt;"Deployment"), MAX(K560, Q560, S560, ($M$2 * IF($E$2="Deployment",deployment_raw[[#This Row],[Column5]],1)),IF(U560&lt;&gt;"",VALUE(U560) * IF($E$2="Deployment",deployment_raw[[#This Row],[Column5]],1),0)), 0),"")</f>
        <v/>
      </c>
      <c r="N560" s="166" t="str">
        <f>IF(ISNUMBER(deployment_raw[[#This Row],[Column14]]), deployment_raw[[#This Row],[Column14]]/IF(OR($E$2="Deployment",deployment_raw[[#This Row],[Column5]]=0),1,deployment_raw[[#This Row],[Column5]]),"")</f>
        <v/>
      </c>
      <c r="O560" s="167" t="str">
        <f>IF(ISNUMBER(deployment_raw[[#This Row],[Column15]]), deployment_raw[[#This Row],[Column15]]/IF(OR($E$2="Deployment",deployment_raw[[#This Row],[Column5]]=0),1,deployment_raw[[#This Row],[Column5]])/1048576,"")</f>
        <v/>
      </c>
      <c r="P560" s="168" t="str">
        <f>IF(ISNUMBER(deployment_raw[[#This Row],[Column12]]), (MIN(IF(N560&lt;&gt;"",N560,9999999999999)*1.1,deployment_raw[[#This Row],[Column12]] * IF($E$2="Deployment",deployment_raw[[#This Row],[Column5]],1))*(1+$P$2)),"")</f>
        <v/>
      </c>
      <c r="Q560" s="167" t="str">
        <f>IF(ISNUMBER(deployment_raw[[#This Row],[Column13]]), (MIN(IF(O560&lt;&gt;"",O560,9999999999999)*1.1,deployment_raw[[#This Row],[Column13]] * IF($E$2="Deployment",deployment_raw[[#This Row],[Column5]],1)*(1+$Q$2)/1048576)),"")</f>
        <v/>
      </c>
      <c r="R560" s="169" t="str">
        <f>IF(ISNUMBER(deployment_raw[[#This Row],[Column8]]), (H560  * IF(N560&lt;&gt;0,$R$2,1)),"")</f>
        <v/>
      </c>
      <c r="S560" s="170" t="str">
        <f>IF(ISNUMBER(deployment_raw[[#This Row],[Column8]]), (I560  * IF(O560&lt;&gt;0,$S$2,1)),"")</f>
        <v/>
      </c>
      <c r="T560" s="202" t="str">
        <f>IF(AND(A560&lt;&gt;"",_xlfn.IFNA(MATCH(A560,'dynamic resource application '!$A$2:$A$100, 0),0)&lt;&gt;0), H560/(IF($E$2="Deployment",E560,1)),"")</f>
        <v/>
      </c>
      <c r="U560" s="211" t="str">
        <f>IF(AND(A560&lt;&gt;"",_xlfn.IFNA(MATCH(A560,'dynamic resource application '!$A$2:$A$100, 0),0)&lt;&gt;0), I560/(IF($E$2="Deployment",E560,1)),"")</f>
        <v/>
      </c>
    </row>
    <row r="561" spans="1:21" ht="15.75" customHeight="1" x14ac:dyDescent="0.25">
      <c r="A561" s="35" t="str">
        <f>IF(ISNONTEXT(deployment_raw[[#This Row],[Column1]]), "", deployment_raw[[#This Row],[Column1]])</f>
        <v/>
      </c>
      <c r="B561" s="36" t="str">
        <f>IF(ISNONTEXT(deployment_raw[[#This Row],[Column2]]), "", deployment_raw[[#This Row],[Column2]])</f>
        <v/>
      </c>
      <c r="C561" s="36" t="str">
        <f>IF(ISNONTEXT(deployment_raw[[#This Row],[Column3]]), "", deployment_raw[[#This Row],[Column3]])</f>
        <v/>
      </c>
      <c r="D561" s="36" t="str">
        <f>IF(ISNONTEXT(deployment_raw[[#This Row],[Column4]]), "", deployment_raw[[#This Row],[Column4]])</f>
        <v/>
      </c>
      <c r="E561" s="37" t="str">
        <f>IF(ISNUMBER(deployment_raw[[#This Row],[Column5]]), deployment_raw[[#This Row],[Column5]],"")</f>
        <v/>
      </c>
      <c r="F561" s="94" t="str">
        <f>IF(ISNUMBER(deployment_raw[[#This Row],[Column6]]), (deployment_raw[[#This Row],[Column6]] * IF($E$2="Deployment",deployment_raw[[#This Row],[Column5]],1)),"")</f>
        <v/>
      </c>
      <c r="G561" s="95" t="str">
        <f>IF(ISNUMBER(deployment_raw[[#This Row],[Column7]]), (deployment_raw[[#This Row],[Column7]] * IF($E$2="Deployment",deployment_raw[[#This Row],[Column5]],1))/1048576,"")</f>
        <v/>
      </c>
      <c r="H561" s="95" t="str">
        <f>IF(ISNUMBER(deployment_raw[[#This Row],[Column8]]), (deployment_raw[[#This Row],[Column8]]  * IF($E$2="Deployment",deployment_raw[[#This Row],[Column5]],1)),"")</f>
        <v/>
      </c>
      <c r="I561" s="96" t="str">
        <f>IF(ISNUMBER(deployment_raw[[#This Row],[Column9]]), (deployment_raw[[#This Row],[Column9]] * IF($E$2="Deployment",deployment_raw[[#This Row],[Column5]],1))/1048576,"")</f>
        <v/>
      </c>
      <c r="J561" s="122" t="str">
        <f>IF(ISNUMBER(deployment_raw[[#This Row],[Column10]]), (MIN(IF(N561&lt;&gt;"",N561,9999999999999)*1.1,deployment_raw[[#This Row],[Column10]] * IF($E$2="Deployment",deployment_raw[[#This Row],[Column5]],1))),"")</f>
        <v/>
      </c>
      <c r="K561" s="123" t="str">
        <f>IF(ISNUMBER(deployment_raw[[#This Row],[Column11]]), (MIN(IF(O561&lt;&gt;"",O561,9999999999999)*1.1,deployment_raw[[#This Row],[Column11]] * IF($E$2="Deployment",deployment_raw[[#This Row],[Column5]],1)/1048576)),"")</f>
        <v/>
      </c>
      <c r="L561" s="124" t="str">
        <f>IF(ISNUMBER(deployment_raw[[#This Row],[Column8]]),IF(OR(deployment_raw[[#This Row],[Column5]] &lt;&gt; 0,$E$2 &lt;&gt; "Deployment"), MAX(J561, P561, R561, ($L$2 * IF($E$2="Deployment",deployment_raw[[#This Row],[Column5]],1)),IF(T561&lt;&gt;"",VALUE(T561) * IF($E$2="Deployment",deployment_raw[[#This Row],[Column5]],1),0)), 0),"")</f>
        <v/>
      </c>
      <c r="M561" s="125" t="str">
        <f>IF(ISNUMBER(deployment_raw[[#This Row],[Column9]]),IF(OR(deployment_raw[[#This Row],[Column5]] &lt;&gt; 0,$E$2&lt;&gt;"Deployment"), MAX(K561, Q561, S561, ($M$2 * IF($E$2="Deployment",deployment_raw[[#This Row],[Column5]],1)),IF(U561&lt;&gt;"",VALUE(U561) * IF($E$2="Deployment",deployment_raw[[#This Row],[Column5]],1),0)), 0),"")</f>
        <v/>
      </c>
      <c r="N561" s="166" t="str">
        <f>IF(ISNUMBER(deployment_raw[[#This Row],[Column14]]), deployment_raw[[#This Row],[Column14]]/IF(OR($E$2="Deployment",deployment_raw[[#This Row],[Column5]]=0),1,deployment_raw[[#This Row],[Column5]]),"")</f>
        <v/>
      </c>
      <c r="O561" s="167" t="str">
        <f>IF(ISNUMBER(deployment_raw[[#This Row],[Column15]]), deployment_raw[[#This Row],[Column15]]/IF(OR($E$2="Deployment",deployment_raw[[#This Row],[Column5]]=0),1,deployment_raw[[#This Row],[Column5]])/1048576,"")</f>
        <v/>
      </c>
      <c r="P561" s="168" t="str">
        <f>IF(ISNUMBER(deployment_raw[[#This Row],[Column12]]), (MIN(IF(N561&lt;&gt;"",N561,9999999999999)*1.1,deployment_raw[[#This Row],[Column12]] * IF($E$2="Deployment",deployment_raw[[#This Row],[Column5]],1))*(1+$P$2)),"")</f>
        <v/>
      </c>
      <c r="Q561" s="167" t="str">
        <f>IF(ISNUMBER(deployment_raw[[#This Row],[Column13]]), (MIN(IF(O561&lt;&gt;"",O561,9999999999999)*1.1,deployment_raw[[#This Row],[Column13]] * IF($E$2="Deployment",deployment_raw[[#This Row],[Column5]],1)*(1+$Q$2)/1048576)),"")</f>
        <v/>
      </c>
      <c r="R561" s="169" t="str">
        <f>IF(ISNUMBER(deployment_raw[[#This Row],[Column8]]), (H561  * IF(N561&lt;&gt;0,$R$2,1)),"")</f>
        <v/>
      </c>
      <c r="S561" s="170" t="str">
        <f>IF(ISNUMBER(deployment_raw[[#This Row],[Column8]]), (I561  * IF(O561&lt;&gt;0,$S$2,1)),"")</f>
        <v/>
      </c>
      <c r="T561" s="202" t="str">
        <f>IF(AND(A561&lt;&gt;"",_xlfn.IFNA(MATCH(A561,'dynamic resource application '!$A$2:$A$100, 0),0)&lt;&gt;0), H561/(IF($E$2="Deployment",E561,1)),"")</f>
        <v/>
      </c>
      <c r="U561" s="211" t="str">
        <f>IF(AND(A561&lt;&gt;"",_xlfn.IFNA(MATCH(A561,'dynamic resource application '!$A$2:$A$100, 0),0)&lt;&gt;0), I561/(IF($E$2="Deployment",E561,1)),"")</f>
        <v/>
      </c>
    </row>
    <row r="562" spans="1:21" ht="15.75" customHeight="1" x14ac:dyDescent="0.25">
      <c r="A562" s="35" t="str">
        <f>IF(ISNONTEXT(deployment_raw[[#This Row],[Column1]]), "", deployment_raw[[#This Row],[Column1]])</f>
        <v/>
      </c>
      <c r="B562" s="36" t="str">
        <f>IF(ISNONTEXT(deployment_raw[[#This Row],[Column2]]), "", deployment_raw[[#This Row],[Column2]])</f>
        <v/>
      </c>
      <c r="C562" s="36" t="str">
        <f>IF(ISNONTEXT(deployment_raw[[#This Row],[Column3]]), "", deployment_raw[[#This Row],[Column3]])</f>
        <v/>
      </c>
      <c r="D562" s="36" t="str">
        <f>IF(ISNONTEXT(deployment_raw[[#This Row],[Column4]]), "", deployment_raw[[#This Row],[Column4]])</f>
        <v/>
      </c>
      <c r="E562" s="37" t="str">
        <f>IF(ISNUMBER(deployment_raw[[#This Row],[Column5]]), deployment_raw[[#This Row],[Column5]],"")</f>
        <v/>
      </c>
      <c r="F562" s="94" t="str">
        <f>IF(ISNUMBER(deployment_raw[[#This Row],[Column6]]), (deployment_raw[[#This Row],[Column6]] * IF($E$2="Deployment",deployment_raw[[#This Row],[Column5]],1)),"")</f>
        <v/>
      </c>
      <c r="G562" s="95" t="str">
        <f>IF(ISNUMBER(deployment_raw[[#This Row],[Column7]]), (deployment_raw[[#This Row],[Column7]] * IF($E$2="Deployment",deployment_raw[[#This Row],[Column5]],1))/1048576,"")</f>
        <v/>
      </c>
      <c r="H562" s="95" t="str">
        <f>IF(ISNUMBER(deployment_raw[[#This Row],[Column8]]), (deployment_raw[[#This Row],[Column8]]  * IF($E$2="Deployment",deployment_raw[[#This Row],[Column5]],1)),"")</f>
        <v/>
      </c>
      <c r="I562" s="96" t="str">
        <f>IF(ISNUMBER(deployment_raw[[#This Row],[Column9]]), (deployment_raw[[#This Row],[Column9]] * IF($E$2="Deployment",deployment_raw[[#This Row],[Column5]],1))/1048576,"")</f>
        <v/>
      </c>
      <c r="J562" s="122" t="str">
        <f>IF(ISNUMBER(deployment_raw[[#This Row],[Column10]]), (MIN(IF(N562&lt;&gt;"",N562,9999999999999)*1.1,deployment_raw[[#This Row],[Column10]] * IF($E$2="Deployment",deployment_raw[[#This Row],[Column5]],1))),"")</f>
        <v/>
      </c>
      <c r="K562" s="123" t="str">
        <f>IF(ISNUMBER(deployment_raw[[#This Row],[Column11]]), (MIN(IF(O562&lt;&gt;"",O562,9999999999999)*1.1,deployment_raw[[#This Row],[Column11]] * IF($E$2="Deployment",deployment_raw[[#This Row],[Column5]],1)/1048576)),"")</f>
        <v/>
      </c>
      <c r="L562" s="124" t="str">
        <f>IF(ISNUMBER(deployment_raw[[#This Row],[Column8]]),IF(OR(deployment_raw[[#This Row],[Column5]] &lt;&gt; 0,$E$2 &lt;&gt; "Deployment"), MAX(J562, P562, R562, ($L$2 * IF($E$2="Deployment",deployment_raw[[#This Row],[Column5]],1)),IF(T562&lt;&gt;"",VALUE(T562) * IF($E$2="Deployment",deployment_raw[[#This Row],[Column5]],1),0)), 0),"")</f>
        <v/>
      </c>
      <c r="M562" s="125" t="str">
        <f>IF(ISNUMBER(deployment_raw[[#This Row],[Column9]]),IF(OR(deployment_raw[[#This Row],[Column5]] &lt;&gt; 0,$E$2&lt;&gt;"Deployment"), MAX(K562, Q562, S562, ($M$2 * IF($E$2="Deployment",deployment_raw[[#This Row],[Column5]],1)),IF(U562&lt;&gt;"",VALUE(U562) * IF($E$2="Deployment",deployment_raw[[#This Row],[Column5]],1),0)), 0),"")</f>
        <v/>
      </c>
      <c r="N562" s="166" t="str">
        <f>IF(ISNUMBER(deployment_raw[[#This Row],[Column14]]), deployment_raw[[#This Row],[Column14]]/IF(OR($E$2="Deployment",deployment_raw[[#This Row],[Column5]]=0),1,deployment_raw[[#This Row],[Column5]]),"")</f>
        <v/>
      </c>
      <c r="O562" s="167" t="str">
        <f>IF(ISNUMBER(deployment_raw[[#This Row],[Column15]]), deployment_raw[[#This Row],[Column15]]/IF(OR($E$2="Deployment",deployment_raw[[#This Row],[Column5]]=0),1,deployment_raw[[#This Row],[Column5]])/1048576,"")</f>
        <v/>
      </c>
      <c r="P562" s="168" t="str">
        <f>IF(ISNUMBER(deployment_raw[[#This Row],[Column12]]), (MIN(IF(N562&lt;&gt;"",N562,9999999999999)*1.1,deployment_raw[[#This Row],[Column12]] * IF($E$2="Deployment",deployment_raw[[#This Row],[Column5]],1))*(1+$P$2)),"")</f>
        <v/>
      </c>
      <c r="Q562" s="167" t="str">
        <f>IF(ISNUMBER(deployment_raw[[#This Row],[Column13]]), (MIN(IF(O562&lt;&gt;"",O562,9999999999999)*1.1,deployment_raw[[#This Row],[Column13]] * IF($E$2="Deployment",deployment_raw[[#This Row],[Column5]],1)*(1+$Q$2)/1048576)),"")</f>
        <v/>
      </c>
      <c r="R562" s="169" t="str">
        <f>IF(ISNUMBER(deployment_raw[[#This Row],[Column8]]), (H562  * IF(N562&lt;&gt;0,$R$2,1)),"")</f>
        <v/>
      </c>
      <c r="S562" s="170" t="str">
        <f>IF(ISNUMBER(deployment_raw[[#This Row],[Column8]]), (I562  * IF(O562&lt;&gt;0,$S$2,1)),"")</f>
        <v/>
      </c>
      <c r="T562" s="202" t="str">
        <f>IF(AND(A562&lt;&gt;"",_xlfn.IFNA(MATCH(A562,'dynamic resource application '!$A$2:$A$100, 0),0)&lt;&gt;0), H562/(IF($E$2="Deployment",E562,1)),"")</f>
        <v/>
      </c>
      <c r="U562" s="211" t="str">
        <f>IF(AND(A562&lt;&gt;"",_xlfn.IFNA(MATCH(A562,'dynamic resource application '!$A$2:$A$100, 0),0)&lt;&gt;0), I562/(IF($E$2="Deployment",E562,1)),"")</f>
        <v/>
      </c>
    </row>
    <row r="563" spans="1:21" ht="15.75" customHeight="1" x14ac:dyDescent="0.25">
      <c r="A563" s="35" t="str">
        <f>IF(ISNONTEXT(deployment_raw[[#This Row],[Column1]]), "", deployment_raw[[#This Row],[Column1]])</f>
        <v/>
      </c>
      <c r="B563" s="36" t="str">
        <f>IF(ISNONTEXT(deployment_raw[[#This Row],[Column2]]), "", deployment_raw[[#This Row],[Column2]])</f>
        <v/>
      </c>
      <c r="C563" s="36" t="str">
        <f>IF(ISNONTEXT(deployment_raw[[#This Row],[Column3]]), "", deployment_raw[[#This Row],[Column3]])</f>
        <v/>
      </c>
      <c r="D563" s="36" t="str">
        <f>IF(ISNONTEXT(deployment_raw[[#This Row],[Column4]]), "", deployment_raw[[#This Row],[Column4]])</f>
        <v/>
      </c>
      <c r="E563" s="37" t="str">
        <f>IF(ISNUMBER(deployment_raw[[#This Row],[Column5]]), deployment_raw[[#This Row],[Column5]],"")</f>
        <v/>
      </c>
      <c r="F563" s="94" t="str">
        <f>IF(ISNUMBER(deployment_raw[[#This Row],[Column6]]), (deployment_raw[[#This Row],[Column6]] * IF($E$2="Deployment",deployment_raw[[#This Row],[Column5]],1)),"")</f>
        <v/>
      </c>
      <c r="G563" s="95" t="str">
        <f>IF(ISNUMBER(deployment_raw[[#This Row],[Column7]]), (deployment_raw[[#This Row],[Column7]] * IF($E$2="Deployment",deployment_raw[[#This Row],[Column5]],1))/1048576,"")</f>
        <v/>
      </c>
      <c r="H563" s="95" t="str">
        <f>IF(ISNUMBER(deployment_raw[[#This Row],[Column8]]), (deployment_raw[[#This Row],[Column8]]  * IF($E$2="Deployment",deployment_raw[[#This Row],[Column5]],1)),"")</f>
        <v/>
      </c>
      <c r="I563" s="96" t="str">
        <f>IF(ISNUMBER(deployment_raw[[#This Row],[Column9]]), (deployment_raw[[#This Row],[Column9]] * IF($E$2="Deployment",deployment_raw[[#This Row],[Column5]],1))/1048576,"")</f>
        <v/>
      </c>
      <c r="J563" s="122" t="str">
        <f>IF(ISNUMBER(deployment_raw[[#This Row],[Column10]]), (MIN(IF(N563&lt;&gt;"",N563,9999999999999)*1.1,deployment_raw[[#This Row],[Column10]] * IF($E$2="Deployment",deployment_raw[[#This Row],[Column5]],1))),"")</f>
        <v/>
      </c>
      <c r="K563" s="123" t="str">
        <f>IF(ISNUMBER(deployment_raw[[#This Row],[Column11]]), (MIN(IF(O563&lt;&gt;"",O563,9999999999999)*1.1,deployment_raw[[#This Row],[Column11]] * IF($E$2="Deployment",deployment_raw[[#This Row],[Column5]],1)/1048576)),"")</f>
        <v/>
      </c>
      <c r="L563" s="124" t="str">
        <f>IF(ISNUMBER(deployment_raw[[#This Row],[Column8]]),IF(OR(deployment_raw[[#This Row],[Column5]] &lt;&gt; 0,$E$2 &lt;&gt; "Deployment"), MAX(J563, P563, R563, ($L$2 * IF($E$2="Deployment",deployment_raw[[#This Row],[Column5]],1)),IF(T563&lt;&gt;"",VALUE(T563) * IF($E$2="Deployment",deployment_raw[[#This Row],[Column5]],1),0)), 0),"")</f>
        <v/>
      </c>
      <c r="M563" s="125" t="str">
        <f>IF(ISNUMBER(deployment_raw[[#This Row],[Column9]]),IF(OR(deployment_raw[[#This Row],[Column5]] &lt;&gt; 0,$E$2&lt;&gt;"Deployment"), MAX(K563, Q563, S563, ($M$2 * IF($E$2="Deployment",deployment_raw[[#This Row],[Column5]],1)),IF(U563&lt;&gt;"",VALUE(U563) * IF($E$2="Deployment",deployment_raw[[#This Row],[Column5]],1),0)), 0),"")</f>
        <v/>
      </c>
      <c r="N563" s="166" t="str">
        <f>IF(ISNUMBER(deployment_raw[[#This Row],[Column14]]), deployment_raw[[#This Row],[Column14]]/IF(OR($E$2="Deployment",deployment_raw[[#This Row],[Column5]]=0),1,deployment_raw[[#This Row],[Column5]]),"")</f>
        <v/>
      </c>
      <c r="O563" s="167" t="str">
        <f>IF(ISNUMBER(deployment_raw[[#This Row],[Column15]]), deployment_raw[[#This Row],[Column15]]/IF(OR($E$2="Deployment",deployment_raw[[#This Row],[Column5]]=0),1,deployment_raw[[#This Row],[Column5]])/1048576,"")</f>
        <v/>
      </c>
      <c r="P563" s="168" t="str">
        <f>IF(ISNUMBER(deployment_raw[[#This Row],[Column12]]), (MIN(IF(N563&lt;&gt;"",N563,9999999999999)*1.1,deployment_raw[[#This Row],[Column12]] * IF($E$2="Deployment",deployment_raw[[#This Row],[Column5]],1))*(1+$P$2)),"")</f>
        <v/>
      </c>
      <c r="Q563" s="167" t="str">
        <f>IF(ISNUMBER(deployment_raw[[#This Row],[Column13]]), (MIN(IF(O563&lt;&gt;"",O563,9999999999999)*1.1,deployment_raw[[#This Row],[Column13]] * IF($E$2="Deployment",deployment_raw[[#This Row],[Column5]],1)*(1+$Q$2)/1048576)),"")</f>
        <v/>
      </c>
      <c r="R563" s="169" t="str">
        <f>IF(ISNUMBER(deployment_raw[[#This Row],[Column8]]), (H563  * IF(N563&lt;&gt;0,$R$2,1)),"")</f>
        <v/>
      </c>
      <c r="S563" s="170" t="str">
        <f>IF(ISNUMBER(deployment_raw[[#This Row],[Column8]]), (I563  * IF(O563&lt;&gt;0,$S$2,1)),"")</f>
        <v/>
      </c>
      <c r="T563" s="202" t="str">
        <f>IF(AND(A563&lt;&gt;"",_xlfn.IFNA(MATCH(A563,'dynamic resource application '!$A$2:$A$100, 0),0)&lt;&gt;0), H563/(IF($E$2="Deployment",E563,1)),"")</f>
        <v/>
      </c>
      <c r="U563" s="211" t="str">
        <f>IF(AND(A563&lt;&gt;"",_xlfn.IFNA(MATCH(A563,'dynamic resource application '!$A$2:$A$100, 0),0)&lt;&gt;0), I563/(IF($E$2="Deployment",E563,1)),"")</f>
        <v/>
      </c>
    </row>
    <row r="564" spans="1:21" ht="15.75" customHeight="1" x14ac:dyDescent="0.25">
      <c r="A564" s="35" t="str">
        <f>IF(ISNONTEXT(deployment_raw[[#This Row],[Column1]]), "", deployment_raw[[#This Row],[Column1]])</f>
        <v/>
      </c>
      <c r="B564" s="36" t="str">
        <f>IF(ISNONTEXT(deployment_raw[[#This Row],[Column2]]), "", deployment_raw[[#This Row],[Column2]])</f>
        <v/>
      </c>
      <c r="C564" s="36" t="str">
        <f>IF(ISNONTEXT(deployment_raw[[#This Row],[Column3]]), "", deployment_raw[[#This Row],[Column3]])</f>
        <v/>
      </c>
      <c r="D564" s="36" t="str">
        <f>IF(ISNONTEXT(deployment_raw[[#This Row],[Column4]]), "", deployment_raw[[#This Row],[Column4]])</f>
        <v/>
      </c>
      <c r="E564" s="37" t="str">
        <f>IF(ISNUMBER(deployment_raw[[#This Row],[Column5]]), deployment_raw[[#This Row],[Column5]],"")</f>
        <v/>
      </c>
      <c r="F564" s="94" t="str">
        <f>IF(ISNUMBER(deployment_raw[[#This Row],[Column6]]), (deployment_raw[[#This Row],[Column6]] * IF($E$2="Deployment",deployment_raw[[#This Row],[Column5]],1)),"")</f>
        <v/>
      </c>
      <c r="G564" s="95" t="str">
        <f>IF(ISNUMBER(deployment_raw[[#This Row],[Column7]]), (deployment_raw[[#This Row],[Column7]] * IF($E$2="Deployment",deployment_raw[[#This Row],[Column5]],1))/1048576,"")</f>
        <v/>
      </c>
      <c r="H564" s="95" t="str">
        <f>IF(ISNUMBER(deployment_raw[[#This Row],[Column8]]), (deployment_raw[[#This Row],[Column8]]  * IF($E$2="Deployment",deployment_raw[[#This Row],[Column5]],1)),"")</f>
        <v/>
      </c>
      <c r="I564" s="96" t="str">
        <f>IF(ISNUMBER(deployment_raw[[#This Row],[Column9]]), (deployment_raw[[#This Row],[Column9]] * IF($E$2="Deployment",deployment_raw[[#This Row],[Column5]],1))/1048576,"")</f>
        <v/>
      </c>
      <c r="J564" s="122" t="str">
        <f>IF(ISNUMBER(deployment_raw[[#This Row],[Column10]]), (MIN(IF(N564&lt;&gt;"",N564,9999999999999)*1.1,deployment_raw[[#This Row],[Column10]] * IF($E$2="Deployment",deployment_raw[[#This Row],[Column5]],1))),"")</f>
        <v/>
      </c>
      <c r="K564" s="123" t="str">
        <f>IF(ISNUMBER(deployment_raw[[#This Row],[Column11]]), (MIN(IF(O564&lt;&gt;"",O564,9999999999999)*1.1,deployment_raw[[#This Row],[Column11]] * IF($E$2="Deployment",deployment_raw[[#This Row],[Column5]],1)/1048576)),"")</f>
        <v/>
      </c>
      <c r="L564" s="124" t="str">
        <f>IF(ISNUMBER(deployment_raw[[#This Row],[Column8]]),IF(OR(deployment_raw[[#This Row],[Column5]] &lt;&gt; 0,$E$2 &lt;&gt; "Deployment"), MAX(J564, P564, R564, ($L$2 * IF($E$2="Deployment",deployment_raw[[#This Row],[Column5]],1)),IF(T564&lt;&gt;"",VALUE(T564) * IF($E$2="Deployment",deployment_raw[[#This Row],[Column5]],1),0)), 0),"")</f>
        <v/>
      </c>
      <c r="M564" s="125" t="str">
        <f>IF(ISNUMBER(deployment_raw[[#This Row],[Column9]]),IF(OR(deployment_raw[[#This Row],[Column5]] &lt;&gt; 0,$E$2&lt;&gt;"Deployment"), MAX(K564, Q564, S564, ($M$2 * IF($E$2="Deployment",deployment_raw[[#This Row],[Column5]],1)),IF(U564&lt;&gt;"",VALUE(U564) * IF($E$2="Deployment",deployment_raw[[#This Row],[Column5]],1),0)), 0),"")</f>
        <v/>
      </c>
      <c r="N564" s="166" t="str">
        <f>IF(ISNUMBER(deployment_raw[[#This Row],[Column14]]), deployment_raw[[#This Row],[Column14]]/IF(OR($E$2="Deployment",deployment_raw[[#This Row],[Column5]]=0),1,deployment_raw[[#This Row],[Column5]]),"")</f>
        <v/>
      </c>
      <c r="O564" s="167" t="str">
        <f>IF(ISNUMBER(deployment_raw[[#This Row],[Column15]]), deployment_raw[[#This Row],[Column15]]/IF(OR($E$2="Deployment",deployment_raw[[#This Row],[Column5]]=0),1,deployment_raw[[#This Row],[Column5]])/1048576,"")</f>
        <v/>
      </c>
      <c r="P564" s="168" t="str">
        <f>IF(ISNUMBER(deployment_raw[[#This Row],[Column12]]), (MIN(IF(N564&lt;&gt;"",N564,9999999999999)*1.1,deployment_raw[[#This Row],[Column12]] * IF($E$2="Deployment",deployment_raw[[#This Row],[Column5]],1))*(1+$P$2)),"")</f>
        <v/>
      </c>
      <c r="Q564" s="167" t="str">
        <f>IF(ISNUMBER(deployment_raw[[#This Row],[Column13]]), (MIN(IF(O564&lt;&gt;"",O564,9999999999999)*1.1,deployment_raw[[#This Row],[Column13]] * IF($E$2="Deployment",deployment_raw[[#This Row],[Column5]],1)*(1+$Q$2)/1048576)),"")</f>
        <v/>
      </c>
      <c r="R564" s="169" t="str">
        <f>IF(ISNUMBER(deployment_raw[[#This Row],[Column8]]), (H564  * IF(N564&lt;&gt;0,$R$2,1)),"")</f>
        <v/>
      </c>
      <c r="S564" s="170" t="str">
        <f>IF(ISNUMBER(deployment_raw[[#This Row],[Column8]]), (I564  * IF(O564&lt;&gt;0,$S$2,1)),"")</f>
        <v/>
      </c>
      <c r="T564" s="202" t="str">
        <f>IF(AND(A564&lt;&gt;"",_xlfn.IFNA(MATCH(A564,'dynamic resource application '!$A$2:$A$100, 0),0)&lt;&gt;0), H564/(IF($E$2="Deployment",E564,1)),"")</f>
        <v/>
      </c>
      <c r="U564" s="211" t="str">
        <f>IF(AND(A564&lt;&gt;"",_xlfn.IFNA(MATCH(A564,'dynamic resource application '!$A$2:$A$100, 0),0)&lt;&gt;0), I564/(IF($E$2="Deployment",E564,1)),"")</f>
        <v/>
      </c>
    </row>
    <row r="565" spans="1:21" ht="15.75" customHeight="1" x14ac:dyDescent="0.25">
      <c r="A565" s="35" t="str">
        <f>IF(ISNONTEXT(deployment_raw[[#This Row],[Column1]]), "", deployment_raw[[#This Row],[Column1]])</f>
        <v/>
      </c>
      <c r="B565" s="36" t="str">
        <f>IF(ISNONTEXT(deployment_raw[[#This Row],[Column2]]), "", deployment_raw[[#This Row],[Column2]])</f>
        <v/>
      </c>
      <c r="C565" s="36" t="str">
        <f>IF(ISNONTEXT(deployment_raw[[#This Row],[Column3]]), "", deployment_raw[[#This Row],[Column3]])</f>
        <v/>
      </c>
      <c r="D565" s="36" t="str">
        <f>IF(ISNONTEXT(deployment_raw[[#This Row],[Column4]]), "", deployment_raw[[#This Row],[Column4]])</f>
        <v/>
      </c>
      <c r="E565" s="37" t="str">
        <f>IF(ISNUMBER(deployment_raw[[#This Row],[Column5]]), deployment_raw[[#This Row],[Column5]],"")</f>
        <v/>
      </c>
      <c r="F565" s="94" t="str">
        <f>IF(ISNUMBER(deployment_raw[[#This Row],[Column6]]), (deployment_raw[[#This Row],[Column6]] * IF($E$2="Deployment",deployment_raw[[#This Row],[Column5]],1)),"")</f>
        <v/>
      </c>
      <c r="G565" s="95" t="str">
        <f>IF(ISNUMBER(deployment_raw[[#This Row],[Column7]]), (deployment_raw[[#This Row],[Column7]] * IF($E$2="Deployment",deployment_raw[[#This Row],[Column5]],1))/1048576,"")</f>
        <v/>
      </c>
      <c r="H565" s="95" t="str">
        <f>IF(ISNUMBER(deployment_raw[[#This Row],[Column8]]), (deployment_raw[[#This Row],[Column8]]  * IF($E$2="Deployment",deployment_raw[[#This Row],[Column5]],1)),"")</f>
        <v/>
      </c>
      <c r="I565" s="96" t="str">
        <f>IF(ISNUMBER(deployment_raw[[#This Row],[Column9]]), (deployment_raw[[#This Row],[Column9]] * IF($E$2="Deployment",deployment_raw[[#This Row],[Column5]],1))/1048576,"")</f>
        <v/>
      </c>
      <c r="J565" s="122" t="str">
        <f>IF(ISNUMBER(deployment_raw[[#This Row],[Column10]]), (MIN(IF(N565&lt;&gt;"",N565,9999999999999)*1.1,deployment_raw[[#This Row],[Column10]] * IF($E$2="Deployment",deployment_raw[[#This Row],[Column5]],1))),"")</f>
        <v/>
      </c>
      <c r="K565" s="123" t="str">
        <f>IF(ISNUMBER(deployment_raw[[#This Row],[Column11]]), (MIN(IF(O565&lt;&gt;"",O565,9999999999999)*1.1,deployment_raw[[#This Row],[Column11]] * IF($E$2="Deployment",deployment_raw[[#This Row],[Column5]],1)/1048576)),"")</f>
        <v/>
      </c>
      <c r="L565" s="124" t="str">
        <f>IF(ISNUMBER(deployment_raw[[#This Row],[Column8]]),IF(OR(deployment_raw[[#This Row],[Column5]] &lt;&gt; 0,$E$2 &lt;&gt; "Deployment"), MAX(J565, P565, R565, ($L$2 * IF($E$2="Deployment",deployment_raw[[#This Row],[Column5]],1)),IF(T565&lt;&gt;"",VALUE(T565) * IF($E$2="Deployment",deployment_raw[[#This Row],[Column5]],1),0)), 0),"")</f>
        <v/>
      </c>
      <c r="M565" s="125" t="str">
        <f>IF(ISNUMBER(deployment_raw[[#This Row],[Column9]]),IF(OR(deployment_raw[[#This Row],[Column5]] &lt;&gt; 0,$E$2&lt;&gt;"Deployment"), MAX(K565, Q565, S565, ($M$2 * IF($E$2="Deployment",deployment_raw[[#This Row],[Column5]],1)),IF(U565&lt;&gt;"",VALUE(U565) * IF($E$2="Deployment",deployment_raw[[#This Row],[Column5]],1),0)), 0),"")</f>
        <v/>
      </c>
      <c r="N565" s="166" t="str">
        <f>IF(ISNUMBER(deployment_raw[[#This Row],[Column14]]), deployment_raw[[#This Row],[Column14]]/IF(OR($E$2="Deployment",deployment_raw[[#This Row],[Column5]]=0),1,deployment_raw[[#This Row],[Column5]]),"")</f>
        <v/>
      </c>
      <c r="O565" s="167" t="str">
        <f>IF(ISNUMBER(deployment_raw[[#This Row],[Column15]]), deployment_raw[[#This Row],[Column15]]/IF(OR($E$2="Deployment",deployment_raw[[#This Row],[Column5]]=0),1,deployment_raw[[#This Row],[Column5]])/1048576,"")</f>
        <v/>
      </c>
      <c r="P565" s="168" t="str">
        <f>IF(ISNUMBER(deployment_raw[[#This Row],[Column12]]), (MIN(IF(N565&lt;&gt;"",N565,9999999999999)*1.1,deployment_raw[[#This Row],[Column12]] * IF($E$2="Deployment",deployment_raw[[#This Row],[Column5]],1))*(1+$P$2)),"")</f>
        <v/>
      </c>
      <c r="Q565" s="167" t="str">
        <f>IF(ISNUMBER(deployment_raw[[#This Row],[Column13]]), (MIN(IF(O565&lt;&gt;"",O565,9999999999999)*1.1,deployment_raw[[#This Row],[Column13]] * IF($E$2="Deployment",deployment_raw[[#This Row],[Column5]],1)*(1+$Q$2)/1048576)),"")</f>
        <v/>
      </c>
      <c r="R565" s="169" t="str">
        <f>IF(ISNUMBER(deployment_raw[[#This Row],[Column8]]), (H565  * IF(N565&lt;&gt;0,$R$2,1)),"")</f>
        <v/>
      </c>
      <c r="S565" s="170" t="str">
        <f>IF(ISNUMBER(deployment_raw[[#This Row],[Column8]]), (I565  * IF(O565&lt;&gt;0,$S$2,1)),"")</f>
        <v/>
      </c>
      <c r="T565" s="202" t="str">
        <f>IF(AND(A565&lt;&gt;"",_xlfn.IFNA(MATCH(A565,'dynamic resource application '!$A$2:$A$100, 0),0)&lt;&gt;0), H565/(IF($E$2="Deployment",E565,1)),"")</f>
        <v/>
      </c>
      <c r="U565" s="211" t="str">
        <f>IF(AND(A565&lt;&gt;"",_xlfn.IFNA(MATCH(A565,'dynamic resource application '!$A$2:$A$100, 0),0)&lt;&gt;0), I565/(IF($E$2="Deployment",E565,1)),"")</f>
        <v/>
      </c>
    </row>
    <row r="566" spans="1:21" ht="15.75" customHeight="1" x14ac:dyDescent="0.25">
      <c r="A566" s="35" t="str">
        <f>IF(ISNONTEXT(deployment_raw[[#This Row],[Column1]]), "", deployment_raw[[#This Row],[Column1]])</f>
        <v/>
      </c>
      <c r="B566" s="36" t="str">
        <f>IF(ISNONTEXT(deployment_raw[[#This Row],[Column2]]), "", deployment_raw[[#This Row],[Column2]])</f>
        <v/>
      </c>
      <c r="C566" s="36" t="str">
        <f>IF(ISNONTEXT(deployment_raw[[#This Row],[Column3]]), "", deployment_raw[[#This Row],[Column3]])</f>
        <v/>
      </c>
      <c r="D566" s="36" t="str">
        <f>IF(ISNONTEXT(deployment_raw[[#This Row],[Column4]]), "", deployment_raw[[#This Row],[Column4]])</f>
        <v/>
      </c>
      <c r="E566" s="37" t="str">
        <f>IF(ISNUMBER(deployment_raw[[#This Row],[Column5]]), deployment_raw[[#This Row],[Column5]],"")</f>
        <v/>
      </c>
      <c r="F566" s="94" t="str">
        <f>IF(ISNUMBER(deployment_raw[[#This Row],[Column6]]), (deployment_raw[[#This Row],[Column6]] * IF($E$2="Deployment",deployment_raw[[#This Row],[Column5]],1)),"")</f>
        <v/>
      </c>
      <c r="G566" s="95" t="str">
        <f>IF(ISNUMBER(deployment_raw[[#This Row],[Column7]]), (deployment_raw[[#This Row],[Column7]] * IF($E$2="Deployment",deployment_raw[[#This Row],[Column5]],1))/1048576,"")</f>
        <v/>
      </c>
      <c r="H566" s="95" t="str">
        <f>IF(ISNUMBER(deployment_raw[[#This Row],[Column8]]), (deployment_raw[[#This Row],[Column8]]  * IF($E$2="Deployment",deployment_raw[[#This Row],[Column5]],1)),"")</f>
        <v/>
      </c>
      <c r="I566" s="96" t="str">
        <f>IF(ISNUMBER(deployment_raw[[#This Row],[Column9]]), (deployment_raw[[#This Row],[Column9]] * IF($E$2="Deployment",deployment_raw[[#This Row],[Column5]],1))/1048576,"")</f>
        <v/>
      </c>
      <c r="J566" s="122" t="str">
        <f>IF(ISNUMBER(deployment_raw[[#This Row],[Column10]]), (MIN(IF(N566&lt;&gt;"",N566,9999999999999)*1.1,deployment_raw[[#This Row],[Column10]] * IF($E$2="Deployment",deployment_raw[[#This Row],[Column5]],1))),"")</f>
        <v/>
      </c>
      <c r="K566" s="123" t="str">
        <f>IF(ISNUMBER(deployment_raw[[#This Row],[Column11]]), (MIN(IF(O566&lt;&gt;"",O566,9999999999999)*1.1,deployment_raw[[#This Row],[Column11]] * IF($E$2="Deployment",deployment_raw[[#This Row],[Column5]],1)/1048576)),"")</f>
        <v/>
      </c>
      <c r="L566" s="124" t="str">
        <f>IF(ISNUMBER(deployment_raw[[#This Row],[Column8]]),IF(OR(deployment_raw[[#This Row],[Column5]] &lt;&gt; 0,$E$2 &lt;&gt; "Deployment"), MAX(J566, P566, R566, ($L$2 * IF($E$2="Deployment",deployment_raw[[#This Row],[Column5]],1)),IF(T566&lt;&gt;"",VALUE(T566) * IF($E$2="Deployment",deployment_raw[[#This Row],[Column5]],1),0)), 0),"")</f>
        <v/>
      </c>
      <c r="M566" s="125" t="str">
        <f>IF(ISNUMBER(deployment_raw[[#This Row],[Column9]]),IF(OR(deployment_raw[[#This Row],[Column5]] &lt;&gt; 0,$E$2&lt;&gt;"Deployment"), MAX(K566, Q566, S566, ($M$2 * IF($E$2="Deployment",deployment_raw[[#This Row],[Column5]],1)),IF(U566&lt;&gt;"",VALUE(U566) * IF($E$2="Deployment",deployment_raw[[#This Row],[Column5]],1),0)), 0),"")</f>
        <v/>
      </c>
      <c r="N566" s="166" t="str">
        <f>IF(ISNUMBER(deployment_raw[[#This Row],[Column14]]), deployment_raw[[#This Row],[Column14]]/IF(OR($E$2="Deployment",deployment_raw[[#This Row],[Column5]]=0),1,deployment_raw[[#This Row],[Column5]]),"")</f>
        <v/>
      </c>
      <c r="O566" s="167" t="str">
        <f>IF(ISNUMBER(deployment_raw[[#This Row],[Column15]]), deployment_raw[[#This Row],[Column15]]/IF(OR($E$2="Deployment",deployment_raw[[#This Row],[Column5]]=0),1,deployment_raw[[#This Row],[Column5]])/1048576,"")</f>
        <v/>
      </c>
      <c r="P566" s="168" t="str">
        <f>IF(ISNUMBER(deployment_raw[[#This Row],[Column12]]), (MIN(IF(N566&lt;&gt;"",N566,9999999999999)*1.1,deployment_raw[[#This Row],[Column12]] * IF($E$2="Deployment",deployment_raw[[#This Row],[Column5]],1))*(1+$P$2)),"")</f>
        <v/>
      </c>
      <c r="Q566" s="167" t="str">
        <f>IF(ISNUMBER(deployment_raw[[#This Row],[Column13]]), (MIN(IF(O566&lt;&gt;"",O566,9999999999999)*1.1,deployment_raw[[#This Row],[Column13]] * IF($E$2="Deployment",deployment_raw[[#This Row],[Column5]],1)*(1+$Q$2)/1048576)),"")</f>
        <v/>
      </c>
      <c r="R566" s="169" t="str">
        <f>IF(ISNUMBER(deployment_raw[[#This Row],[Column8]]), (H566  * IF(N566&lt;&gt;0,$R$2,1)),"")</f>
        <v/>
      </c>
      <c r="S566" s="170" t="str">
        <f>IF(ISNUMBER(deployment_raw[[#This Row],[Column8]]), (I566  * IF(O566&lt;&gt;0,$S$2,1)),"")</f>
        <v/>
      </c>
      <c r="T566" s="202" t="str">
        <f>IF(AND(A566&lt;&gt;"",_xlfn.IFNA(MATCH(A566,'dynamic resource application '!$A$2:$A$100, 0),0)&lt;&gt;0), H566/(IF($E$2="Deployment",E566,1)),"")</f>
        <v/>
      </c>
      <c r="U566" s="211" t="str">
        <f>IF(AND(A566&lt;&gt;"",_xlfn.IFNA(MATCH(A566,'dynamic resource application '!$A$2:$A$100, 0),0)&lt;&gt;0), I566/(IF($E$2="Deployment",E566,1)),"")</f>
        <v/>
      </c>
    </row>
    <row r="567" spans="1:21" ht="15.75" customHeight="1" x14ac:dyDescent="0.25">
      <c r="A567" s="35" t="str">
        <f>IF(ISNONTEXT(deployment_raw[[#This Row],[Column1]]), "", deployment_raw[[#This Row],[Column1]])</f>
        <v/>
      </c>
      <c r="B567" s="36" t="str">
        <f>IF(ISNONTEXT(deployment_raw[[#This Row],[Column2]]), "", deployment_raw[[#This Row],[Column2]])</f>
        <v/>
      </c>
      <c r="C567" s="36" t="str">
        <f>IF(ISNONTEXT(deployment_raw[[#This Row],[Column3]]), "", deployment_raw[[#This Row],[Column3]])</f>
        <v/>
      </c>
      <c r="D567" s="36" t="str">
        <f>IF(ISNONTEXT(deployment_raw[[#This Row],[Column4]]), "", deployment_raw[[#This Row],[Column4]])</f>
        <v/>
      </c>
      <c r="E567" s="37" t="str">
        <f>IF(ISNUMBER(deployment_raw[[#This Row],[Column5]]), deployment_raw[[#This Row],[Column5]],"")</f>
        <v/>
      </c>
      <c r="F567" s="94" t="str">
        <f>IF(ISNUMBER(deployment_raw[[#This Row],[Column6]]), (deployment_raw[[#This Row],[Column6]] * IF($E$2="Deployment",deployment_raw[[#This Row],[Column5]],1)),"")</f>
        <v/>
      </c>
      <c r="G567" s="95" t="str">
        <f>IF(ISNUMBER(deployment_raw[[#This Row],[Column7]]), (deployment_raw[[#This Row],[Column7]] * IF($E$2="Deployment",deployment_raw[[#This Row],[Column5]],1))/1048576,"")</f>
        <v/>
      </c>
      <c r="H567" s="95" t="str">
        <f>IF(ISNUMBER(deployment_raw[[#This Row],[Column8]]), (deployment_raw[[#This Row],[Column8]]  * IF($E$2="Deployment",deployment_raw[[#This Row],[Column5]],1)),"")</f>
        <v/>
      </c>
      <c r="I567" s="96" t="str">
        <f>IF(ISNUMBER(deployment_raw[[#This Row],[Column9]]), (deployment_raw[[#This Row],[Column9]] * IF($E$2="Deployment",deployment_raw[[#This Row],[Column5]],1))/1048576,"")</f>
        <v/>
      </c>
      <c r="J567" s="122" t="str">
        <f>IF(ISNUMBER(deployment_raw[[#This Row],[Column10]]), (MIN(IF(N567&lt;&gt;"",N567,9999999999999)*1.1,deployment_raw[[#This Row],[Column10]] * IF($E$2="Deployment",deployment_raw[[#This Row],[Column5]],1))),"")</f>
        <v/>
      </c>
      <c r="K567" s="123" t="str">
        <f>IF(ISNUMBER(deployment_raw[[#This Row],[Column11]]), (MIN(IF(O567&lt;&gt;"",O567,9999999999999)*1.1,deployment_raw[[#This Row],[Column11]] * IF($E$2="Deployment",deployment_raw[[#This Row],[Column5]],1)/1048576)),"")</f>
        <v/>
      </c>
      <c r="L567" s="124" t="str">
        <f>IF(ISNUMBER(deployment_raw[[#This Row],[Column8]]),IF(OR(deployment_raw[[#This Row],[Column5]] &lt;&gt; 0,$E$2 &lt;&gt; "Deployment"), MAX(J567, P567, R567, ($L$2 * IF($E$2="Deployment",deployment_raw[[#This Row],[Column5]],1)),IF(T567&lt;&gt;"",VALUE(T567) * IF($E$2="Deployment",deployment_raw[[#This Row],[Column5]],1),0)), 0),"")</f>
        <v/>
      </c>
      <c r="M567" s="125" t="str">
        <f>IF(ISNUMBER(deployment_raw[[#This Row],[Column9]]),IF(OR(deployment_raw[[#This Row],[Column5]] &lt;&gt; 0,$E$2&lt;&gt;"Deployment"), MAX(K567, Q567, S567, ($M$2 * IF($E$2="Deployment",deployment_raw[[#This Row],[Column5]],1)),IF(U567&lt;&gt;"",VALUE(U567) * IF($E$2="Deployment",deployment_raw[[#This Row],[Column5]],1),0)), 0),"")</f>
        <v/>
      </c>
      <c r="N567" s="166" t="str">
        <f>IF(ISNUMBER(deployment_raw[[#This Row],[Column14]]), deployment_raw[[#This Row],[Column14]]/IF(OR($E$2="Deployment",deployment_raw[[#This Row],[Column5]]=0),1,deployment_raw[[#This Row],[Column5]]),"")</f>
        <v/>
      </c>
      <c r="O567" s="167" t="str">
        <f>IF(ISNUMBER(deployment_raw[[#This Row],[Column15]]), deployment_raw[[#This Row],[Column15]]/IF(OR($E$2="Deployment",deployment_raw[[#This Row],[Column5]]=0),1,deployment_raw[[#This Row],[Column5]])/1048576,"")</f>
        <v/>
      </c>
      <c r="P567" s="168" t="str">
        <f>IF(ISNUMBER(deployment_raw[[#This Row],[Column12]]), (MIN(IF(N567&lt;&gt;"",N567,9999999999999)*1.1,deployment_raw[[#This Row],[Column12]] * IF($E$2="Deployment",deployment_raw[[#This Row],[Column5]],1))*(1+$P$2)),"")</f>
        <v/>
      </c>
      <c r="Q567" s="167" t="str">
        <f>IF(ISNUMBER(deployment_raw[[#This Row],[Column13]]), (MIN(IF(O567&lt;&gt;"",O567,9999999999999)*1.1,deployment_raw[[#This Row],[Column13]] * IF($E$2="Deployment",deployment_raw[[#This Row],[Column5]],1)*(1+$Q$2)/1048576)),"")</f>
        <v/>
      </c>
      <c r="R567" s="169" t="str">
        <f>IF(ISNUMBER(deployment_raw[[#This Row],[Column8]]), (H567  * IF(N567&lt;&gt;0,$R$2,1)),"")</f>
        <v/>
      </c>
      <c r="S567" s="170" t="str">
        <f>IF(ISNUMBER(deployment_raw[[#This Row],[Column8]]), (I567  * IF(O567&lt;&gt;0,$S$2,1)),"")</f>
        <v/>
      </c>
      <c r="T567" s="202" t="str">
        <f>IF(AND(A567&lt;&gt;"",_xlfn.IFNA(MATCH(A567,'dynamic resource application '!$A$2:$A$100, 0),0)&lt;&gt;0), H567/(IF($E$2="Deployment",E567,1)),"")</f>
        <v/>
      </c>
      <c r="U567" s="211" t="str">
        <f>IF(AND(A567&lt;&gt;"",_xlfn.IFNA(MATCH(A567,'dynamic resource application '!$A$2:$A$100, 0),0)&lt;&gt;0), I567/(IF($E$2="Deployment",E567,1)),"")</f>
        <v/>
      </c>
    </row>
    <row r="568" spans="1:21" ht="15.75" customHeight="1" x14ac:dyDescent="0.25">
      <c r="A568" s="35" t="str">
        <f>IF(ISNONTEXT(deployment_raw[[#This Row],[Column1]]), "", deployment_raw[[#This Row],[Column1]])</f>
        <v/>
      </c>
      <c r="B568" s="36" t="str">
        <f>IF(ISNONTEXT(deployment_raw[[#This Row],[Column2]]), "", deployment_raw[[#This Row],[Column2]])</f>
        <v/>
      </c>
      <c r="C568" s="36" t="str">
        <f>IF(ISNONTEXT(deployment_raw[[#This Row],[Column3]]), "", deployment_raw[[#This Row],[Column3]])</f>
        <v/>
      </c>
      <c r="D568" s="36" t="str">
        <f>IF(ISNONTEXT(deployment_raw[[#This Row],[Column4]]), "", deployment_raw[[#This Row],[Column4]])</f>
        <v/>
      </c>
      <c r="E568" s="37" t="str">
        <f>IF(ISNUMBER(deployment_raw[[#This Row],[Column5]]), deployment_raw[[#This Row],[Column5]],"")</f>
        <v/>
      </c>
      <c r="F568" s="94" t="str">
        <f>IF(ISNUMBER(deployment_raw[[#This Row],[Column6]]), (deployment_raw[[#This Row],[Column6]] * IF($E$2="Deployment",deployment_raw[[#This Row],[Column5]],1)),"")</f>
        <v/>
      </c>
      <c r="G568" s="95" t="str">
        <f>IF(ISNUMBER(deployment_raw[[#This Row],[Column7]]), (deployment_raw[[#This Row],[Column7]] * IF($E$2="Deployment",deployment_raw[[#This Row],[Column5]],1))/1048576,"")</f>
        <v/>
      </c>
      <c r="H568" s="95" t="str">
        <f>IF(ISNUMBER(deployment_raw[[#This Row],[Column8]]), (deployment_raw[[#This Row],[Column8]]  * IF($E$2="Deployment",deployment_raw[[#This Row],[Column5]],1)),"")</f>
        <v/>
      </c>
      <c r="I568" s="96" t="str">
        <f>IF(ISNUMBER(deployment_raw[[#This Row],[Column9]]), (deployment_raw[[#This Row],[Column9]] * IF($E$2="Deployment",deployment_raw[[#This Row],[Column5]],1))/1048576,"")</f>
        <v/>
      </c>
      <c r="J568" s="122" t="str">
        <f>IF(ISNUMBER(deployment_raw[[#This Row],[Column10]]), (MIN(IF(N568&lt;&gt;"",N568,9999999999999)*1.1,deployment_raw[[#This Row],[Column10]] * IF($E$2="Deployment",deployment_raw[[#This Row],[Column5]],1))),"")</f>
        <v/>
      </c>
      <c r="K568" s="123" t="str">
        <f>IF(ISNUMBER(deployment_raw[[#This Row],[Column11]]), (MIN(IF(O568&lt;&gt;"",O568,9999999999999)*1.1,deployment_raw[[#This Row],[Column11]] * IF($E$2="Deployment",deployment_raw[[#This Row],[Column5]],1)/1048576)),"")</f>
        <v/>
      </c>
      <c r="L568" s="124" t="str">
        <f>IF(ISNUMBER(deployment_raw[[#This Row],[Column8]]),IF(OR(deployment_raw[[#This Row],[Column5]] &lt;&gt; 0,$E$2 &lt;&gt; "Deployment"), MAX(J568, P568, R568, ($L$2 * IF($E$2="Deployment",deployment_raw[[#This Row],[Column5]],1)),IF(T568&lt;&gt;"",VALUE(T568) * IF($E$2="Deployment",deployment_raw[[#This Row],[Column5]],1),0)), 0),"")</f>
        <v/>
      </c>
      <c r="M568" s="125" t="str">
        <f>IF(ISNUMBER(deployment_raw[[#This Row],[Column9]]),IF(OR(deployment_raw[[#This Row],[Column5]] &lt;&gt; 0,$E$2&lt;&gt;"Deployment"), MAX(K568, Q568, S568, ($M$2 * IF($E$2="Deployment",deployment_raw[[#This Row],[Column5]],1)),IF(U568&lt;&gt;"",VALUE(U568) * IF($E$2="Deployment",deployment_raw[[#This Row],[Column5]],1),0)), 0),"")</f>
        <v/>
      </c>
      <c r="N568" s="166" t="str">
        <f>IF(ISNUMBER(deployment_raw[[#This Row],[Column14]]), deployment_raw[[#This Row],[Column14]]/IF(OR($E$2="Deployment",deployment_raw[[#This Row],[Column5]]=0),1,deployment_raw[[#This Row],[Column5]]),"")</f>
        <v/>
      </c>
      <c r="O568" s="167" t="str">
        <f>IF(ISNUMBER(deployment_raw[[#This Row],[Column15]]), deployment_raw[[#This Row],[Column15]]/IF(OR($E$2="Deployment",deployment_raw[[#This Row],[Column5]]=0),1,deployment_raw[[#This Row],[Column5]])/1048576,"")</f>
        <v/>
      </c>
      <c r="P568" s="168" t="str">
        <f>IF(ISNUMBER(deployment_raw[[#This Row],[Column12]]), (MIN(IF(N568&lt;&gt;"",N568,9999999999999)*1.1,deployment_raw[[#This Row],[Column12]] * IF($E$2="Deployment",deployment_raw[[#This Row],[Column5]],1))*(1+$P$2)),"")</f>
        <v/>
      </c>
      <c r="Q568" s="167" t="str">
        <f>IF(ISNUMBER(deployment_raw[[#This Row],[Column13]]), (MIN(IF(O568&lt;&gt;"",O568,9999999999999)*1.1,deployment_raw[[#This Row],[Column13]] * IF($E$2="Deployment",deployment_raw[[#This Row],[Column5]],1)*(1+$Q$2)/1048576)),"")</f>
        <v/>
      </c>
      <c r="R568" s="169" t="str">
        <f>IF(ISNUMBER(deployment_raw[[#This Row],[Column8]]), (H568  * IF(N568&lt;&gt;0,$R$2,1)),"")</f>
        <v/>
      </c>
      <c r="S568" s="170" t="str">
        <f>IF(ISNUMBER(deployment_raw[[#This Row],[Column8]]), (I568  * IF(O568&lt;&gt;0,$S$2,1)),"")</f>
        <v/>
      </c>
      <c r="T568" s="202" t="str">
        <f>IF(AND(A568&lt;&gt;"",_xlfn.IFNA(MATCH(A568,'dynamic resource application '!$A$2:$A$100, 0),0)&lt;&gt;0), H568/(IF($E$2="Deployment",E568,1)),"")</f>
        <v/>
      </c>
      <c r="U568" s="211" t="str">
        <f>IF(AND(A568&lt;&gt;"",_xlfn.IFNA(MATCH(A568,'dynamic resource application '!$A$2:$A$100, 0),0)&lt;&gt;0), I568/(IF($E$2="Deployment",E568,1)),"")</f>
        <v/>
      </c>
    </row>
    <row r="569" spans="1:21" ht="15.75" customHeight="1" x14ac:dyDescent="0.25">
      <c r="A569" s="35" t="str">
        <f>IF(ISNONTEXT(deployment_raw[[#This Row],[Column1]]), "", deployment_raw[[#This Row],[Column1]])</f>
        <v/>
      </c>
      <c r="B569" s="36" t="str">
        <f>IF(ISNONTEXT(deployment_raw[[#This Row],[Column2]]), "", deployment_raw[[#This Row],[Column2]])</f>
        <v/>
      </c>
      <c r="C569" s="36" t="str">
        <f>IF(ISNONTEXT(deployment_raw[[#This Row],[Column3]]), "", deployment_raw[[#This Row],[Column3]])</f>
        <v/>
      </c>
      <c r="D569" s="36" t="str">
        <f>IF(ISNONTEXT(deployment_raw[[#This Row],[Column4]]), "", deployment_raw[[#This Row],[Column4]])</f>
        <v/>
      </c>
      <c r="E569" s="37" t="str">
        <f>IF(ISNUMBER(deployment_raw[[#This Row],[Column5]]), deployment_raw[[#This Row],[Column5]],"")</f>
        <v/>
      </c>
      <c r="F569" s="94" t="str">
        <f>IF(ISNUMBER(deployment_raw[[#This Row],[Column6]]), (deployment_raw[[#This Row],[Column6]] * IF($E$2="Deployment",deployment_raw[[#This Row],[Column5]],1)),"")</f>
        <v/>
      </c>
      <c r="G569" s="95" t="str">
        <f>IF(ISNUMBER(deployment_raw[[#This Row],[Column7]]), (deployment_raw[[#This Row],[Column7]] * IF($E$2="Deployment",deployment_raw[[#This Row],[Column5]],1))/1048576,"")</f>
        <v/>
      </c>
      <c r="H569" s="95" t="str">
        <f>IF(ISNUMBER(deployment_raw[[#This Row],[Column8]]), (deployment_raw[[#This Row],[Column8]]  * IF($E$2="Deployment",deployment_raw[[#This Row],[Column5]],1)),"")</f>
        <v/>
      </c>
      <c r="I569" s="96" t="str">
        <f>IF(ISNUMBER(deployment_raw[[#This Row],[Column9]]), (deployment_raw[[#This Row],[Column9]] * IF($E$2="Deployment",deployment_raw[[#This Row],[Column5]],1))/1048576,"")</f>
        <v/>
      </c>
      <c r="J569" s="122" t="str">
        <f>IF(ISNUMBER(deployment_raw[[#This Row],[Column10]]), (MIN(IF(N569&lt;&gt;"",N569,9999999999999)*1.1,deployment_raw[[#This Row],[Column10]] * IF($E$2="Deployment",deployment_raw[[#This Row],[Column5]],1))),"")</f>
        <v/>
      </c>
      <c r="K569" s="123" t="str">
        <f>IF(ISNUMBER(deployment_raw[[#This Row],[Column11]]), (MIN(IF(O569&lt;&gt;"",O569,9999999999999)*1.1,deployment_raw[[#This Row],[Column11]] * IF($E$2="Deployment",deployment_raw[[#This Row],[Column5]],1)/1048576)),"")</f>
        <v/>
      </c>
      <c r="L569" s="124" t="str">
        <f>IF(ISNUMBER(deployment_raw[[#This Row],[Column8]]),IF(OR(deployment_raw[[#This Row],[Column5]] &lt;&gt; 0,$E$2 &lt;&gt; "Deployment"), MAX(J569, P569, R569, ($L$2 * IF($E$2="Deployment",deployment_raw[[#This Row],[Column5]],1)),IF(T569&lt;&gt;"",VALUE(T569) * IF($E$2="Deployment",deployment_raw[[#This Row],[Column5]],1),0)), 0),"")</f>
        <v/>
      </c>
      <c r="M569" s="125" t="str">
        <f>IF(ISNUMBER(deployment_raw[[#This Row],[Column9]]),IF(OR(deployment_raw[[#This Row],[Column5]] &lt;&gt; 0,$E$2&lt;&gt;"Deployment"), MAX(K569, Q569, S569, ($M$2 * IF($E$2="Deployment",deployment_raw[[#This Row],[Column5]],1)),IF(U569&lt;&gt;"",VALUE(U569) * IF($E$2="Deployment",deployment_raw[[#This Row],[Column5]],1),0)), 0),"")</f>
        <v/>
      </c>
      <c r="N569" s="166" t="str">
        <f>IF(ISNUMBER(deployment_raw[[#This Row],[Column14]]), deployment_raw[[#This Row],[Column14]]/IF(OR($E$2="Deployment",deployment_raw[[#This Row],[Column5]]=0),1,deployment_raw[[#This Row],[Column5]]),"")</f>
        <v/>
      </c>
      <c r="O569" s="167" t="str">
        <f>IF(ISNUMBER(deployment_raw[[#This Row],[Column15]]), deployment_raw[[#This Row],[Column15]]/IF(OR($E$2="Deployment",deployment_raw[[#This Row],[Column5]]=0),1,deployment_raw[[#This Row],[Column5]])/1048576,"")</f>
        <v/>
      </c>
      <c r="P569" s="168" t="str">
        <f>IF(ISNUMBER(deployment_raw[[#This Row],[Column12]]), (MIN(IF(N569&lt;&gt;"",N569,9999999999999)*1.1,deployment_raw[[#This Row],[Column12]] * IF($E$2="Deployment",deployment_raw[[#This Row],[Column5]],1))*(1+$P$2)),"")</f>
        <v/>
      </c>
      <c r="Q569" s="167" t="str">
        <f>IF(ISNUMBER(deployment_raw[[#This Row],[Column13]]), (MIN(IF(O569&lt;&gt;"",O569,9999999999999)*1.1,deployment_raw[[#This Row],[Column13]] * IF($E$2="Deployment",deployment_raw[[#This Row],[Column5]],1)*(1+$Q$2)/1048576)),"")</f>
        <v/>
      </c>
      <c r="R569" s="169" t="str">
        <f>IF(ISNUMBER(deployment_raw[[#This Row],[Column8]]), (H569  * IF(N569&lt;&gt;0,$R$2,1)),"")</f>
        <v/>
      </c>
      <c r="S569" s="170" t="str">
        <f>IF(ISNUMBER(deployment_raw[[#This Row],[Column8]]), (I569  * IF(O569&lt;&gt;0,$S$2,1)),"")</f>
        <v/>
      </c>
      <c r="T569" s="202" t="str">
        <f>IF(AND(A569&lt;&gt;"",_xlfn.IFNA(MATCH(A569,'dynamic resource application '!$A$2:$A$100, 0),0)&lt;&gt;0), H569/(IF($E$2="Deployment",E569,1)),"")</f>
        <v/>
      </c>
      <c r="U569" s="211" t="str">
        <f>IF(AND(A569&lt;&gt;"",_xlfn.IFNA(MATCH(A569,'dynamic resource application '!$A$2:$A$100, 0),0)&lt;&gt;0), I569/(IF($E$2="Deployment",E569,1)),"")</f>
        <v/>
      </c>
    </row>
    <row r="570" spans="1:21" ht="15.75" customHeight="1" x14ac:dyDescent="0.25">
      <c r="A570" s="35" t="str">
        <f>IF(ISNONTEXT(deployment_raw[[#This Row],[Column1]]), "", deployment_raw[[#This Row],[Column1]])</f>
        <v/>
      </c>
      <c r="B570" s="36" t="str">
        <f>IF(ISNONTEXT(deployment_raw[[#This Row],[Column2]]), "", deployment_raw[[#This Row],[Column2]])</f>
        <v/>
      </c>
      <c r="C570" s="36" t="str">
        <f>IF(ISNONTEXT(deployment_raw[[#This Row],[Column3]]), "", deployment_raw[[#This Row],[Column3]])</f>
        <v/>
      </c>
      <c r="D570" s="36" t="str">
        <f>IF(ISNONTEXT(deployment_raw[[#This Row],[Column4]]), "", deployment_raw[[#This Row],[Column4]])</f>
        <v/>
      </c>
      <c r="E570" s="37" t="str">
        <f>IF(ISNUMBER(deployment_raw[[#This Row],[Column5]]), deployment_raw[[#This Row],[Column5]],"")</f>
        <v/>
      </c>
      <c r="F570" s="94" t="str">
        <f>IF(ISNUMBER(deployment_raw[[#This Row],[Column6]]), (deployment_raw[[#This Row],[Column6]] * IF($E$2="Deployment",deployment_raw[[#This Row],[Column5]],1)),"")</f>
        <v/>
      </c>
      <c r="G570" s="95" t="str">
        <f>IF(ISNUMBER(deployment_raw[[#This Row],[Column7]]), (deployment_raw[[#This Row],[Column7]] * IF($E$2="Deployment",deployment_raw[[#This Row],[Column5]],1))/1048576,"")</f>
        <v/>
      </c>
      <c r="H570" s="95" t="str">
        <f>IF(ISNUMBER(deployment_raw[[#This Row],[Column8]]), (deployment_raw[[#This Row],[Column8]]  * IF($E$2="Deployment",deployment_raw[[#This Row],[Column5]],1)),"")</f>
        <v/>
      </c>
      <c r="I570" s="96" t="str">
        <f>IF(ISNUMBER(deployment_raw[[#This Row],[Column9]]), (deployment_raw[[#This Row],[Column9]] * IF($E$2="Deployment",deployment_raw[[#This Row],[Column5]],1))/1048576,"")</f>
        <v/>
      </c>
      <c r="J570" s="122" t="str">
        <f>IF(ISNUMBER(deployment_raw[[#This Row],[Column10]]), (MIN(IF(N570&lt;&gt;"",N570,9999999999999)*1.1,deployment_raw[[#This Row],[Column10]] * IF($E$2="Deployment",deployment_raw[[#This Row],[Column5]],1))),"")</f>
        <v/>
      </c>
      <c r="K570" s="123" t="str">
        <f>IF(ISNUMBER(deployment_raw[[#This Row],[Column11]]), (MIN(IF(O570&lt;&gt;"",O570,9999999999999)*1.1,deployment_raw[[#This Row],[Column11]] * IF($E$2="Deployment",deployment_raw[[#This Row],[Column5]],1)/1048576)),"")</f>
        <v/>
      </c>
      <c r="L570" s="124" t="str">
        <f>IF(ISNUMBER(deployment_raw[[#This Row],[Column8]]),IF(OR(deployment_raw[[#This Row],[Column5]] &lt;&gt; 0,$E$2 &lt;&gt; "Deployment"), MAX(J570, P570, R570, ($L$2 * IF($E$2="Deployment",deployment_raw[[#This Row],[Column5]],1)),IF(T570&lt;&gt;"",VALUE(T570) * IF($E$2="Deployment",deployment_raw[[#This Row],[Column5]],1),0)), 0),"")</f>
        <v/>
      </c>
      <c r="M570" s="125" t="str">
        <f>IF(ISNUMBER(deployment_raw[[#This Row],[Column9]]),IF(OR(deployment_raw[[#This Row],[Column5]] &lt;&gt; 0,$E$2&lt;&gt;"Deployment"), MAX(K570, Q570, S570, ($M$2 * IF($E$2="Deployment",deployment_raw[[#This Row],[Column5]],1)),IF(U570&lt;&gt;"",VALUE(U570) * IF($E$2="Deployment",deployment_raw[[#This Row],[Column5]],1),0)), 0),"")</f>
        <v/>
      </c>
      <c r="N570" s="166" t="str">
        <f>IF(ISNUMBER(deployment_raw[[#This Row],[Column14]]), deployment_raw[[#This Row],[Column14]]/IF(OR($E$2="Deployment",deployment_raw[[#This Row],[Column5]]=0),1,deployment_raw[[#This Row],[Column5]]),"")</f>
        <v/>
      </c>
      <c r="O570" s="167" t="str">
        <f>IF(ISNUMBER(deployment_raw[[#This Row],[Column15]]), deployment_raw[[#This Row],[Column15]]/IF(OR($E$2="Deployment",deployment_raw[[#This Row],[Column5]]=0),1,deployment_raw[[#This Row],[Column5]])/1048576,"")</f>
        <v/>
      </c>
      <c r="P570" s="168" t="str">
        <f>IF(ISNUMBER(deployment_raw[[#This Row],[Column12]]), (MIN(IF(N570&lt;&gt;"",N570,9999999999999)*1.1,deployment_raw[[#This Row],[Column12]] * IF($E$2="Deployment",deployment_raw[[#This Row],[Column5]],1))*(1+$P$2)),"")</f>
        <v/>
      </c>
      <c r="Q570" s="167" t="str">
        <f>IF(ISNUMBER(deployment_raw[[#This Row],[Column13]]), (MIN(IF(O570&lt;&gt;"",O570,9999999999999)*1.1,deployment_raw[[#This Row],[Column13]] * IF($E$2="Deployment",deployment_raw[[#This Row],[Column5]],1)*(1+$Q$2)/1048576)),"")</f>
        <v/>
      </c>
      <c r="R570" s="169" t="str">
        <f>IF(ISNUMBER(deployment_raw[[#This Row],[Column8]]), (H570  * IF(N570&lt;&gt;0,$R$2,1)),"")</f>
        <v/>
      </c>
      <c r="S570" s="170" t="str">
        <f>IF(ISNUMBER(deployment_raw[[#This Row],[Column8]]), (I570  * IF(O570&lt;&gt;0,$S$2,1)),"")</f>
        <v/>
      </c>
      <c r="T570" s="202" t="str">
        <f>IF(AND(A570&lt;&gt;"",_xlfn.IFNA(MATCH(A570,'dynamic resource application '!$A$2:$A$100, 0),0)&lt;&gt;0), H570/(IF($E$2="Deployment",E570,1)),"")</f>
        <v/>
      </c>
      <c r="U570" s="211" t="str">
        <f>IF(AND(A570&lt;&gt;"",_xlfn.IFNA(MATCH(A570,'dynamic resource application '!$A$2:$A$100, 0),0)&lt;&gt;0), I570/(IF($E$2="Deployment",E570,1)),"")</f>
        <v/>
      </c>
    </row>
    <row r="571" spans="1:21" ht="15.75" customHeight="1" x14ac:dyDescent="0.25">
      <c r="A571" s="35" t="str">
        <f>IF(ISNONTEXT(deployment_raw[[#This Row],[Column1]]), "", deployment_raw[[#This Row],[Column1]])</f>
        <v/>
      </c>
      <c r="B571" s="36" t="str">
        <f>IF(ISNONTEXT(deployment_raw[[#This Row],[Column2]]), "", deployment_raw[[#This Row],[Column2]])</f>
        <v/>
      </c>
      <c r="C571" s="36" t="str">
        <f>IF(ISNONTEXT(deployment_raw[[#This Row],[Column3]]), "", deployment_raw[[#This Row],[Column3]])</f>
        <v/>
      </c>
      <c r="D571" s="36" t="str">
        <f>IF(ISNONTEXT(deployment_raw[[#This Row],[Column4]]), "", deployment_raw[[#This Row],[Column4]])</f>
        <v/>
      </c>
      <c r="E571" s="37" t="str">
        <f>IF(ISNUMBER(deployment_raw[[#This Row],[Column5]]), deployment_raw[[#This Row],[Column5]],"")</f>
        <v/>
      </c>
      <c r="F571" s="94" t="str">
        <f>IF(ISNUMBER(deployment_raw[[#This Row],[Column6]]), (deployment_raw[[#This Row],[Column6]] * IF($E$2="Deployment",deployment_raw[[#This Row],[Column5]],1)),"")</f>
        <v/>
      </c>
      <c r="G571" s="95" t="str">
        <f>IF(ISNUMBER(deployment_raw[[#This Row],[Column7]]), (deployment_raw[[#This Row],[Column7]] * IF($E$2="Deployment",deployment_raw[[#This Row],[Column5]],1))/1048576,"")</f>
        <v/>
      </c>
      <c r="H571" s="95" t="str">
        <f>IF(ISNUMBER(deployment_raw[[#This Row],[Column8]]), (deployment_raw[[#This Row],[Column8]]  * IF($E$2="Deployment",deployment_raw[[#This Row],[Column5]],1)),"")</f>
        <v/>
      </c>
      <c r="I571" s="96" t="str">
        <f>IF(ISNUMBER(deployment_raw[[#This Row],[Column9]]), (deployment_raw[[#This Row],[Column9]] * IF($E$2="Deployment",deployment_raw[[#This Row],[Column5]],1))/1048576,"")</f>
        <v/>
      </c>
      <c r="J571" s="122" t="str">
        <f>IF(ISNUMBER(deployment_raw[[#This Row],[Column10]]), (MIN(IF(N571&lt;&gt;"",N571,9999999999999)*1.1,deployment_raw[[#This Row],[Column10]] * IF($E$2="Deployment",deployment_raw[[#This Row],[Column5]],1))),"")</f>
        <v/>
      </c>
      <c r="K571" s="123" t="str">
        <f>IF(ISNUMBER(deployment_raw[[#This Row],[Column11]]), (MIN(IF(O571&lt;&gt;"",O571,9999999999999)*1.1,deployment_raw[[#This Row],[Column11]] * IF($E$2="Deployment",deployment_raw[[#This Row],[Column5]],1)/1048576)),"")</f>
        <v/>
      </c>
      <c r="L571" s="124" t="str">
        <f>IF(ISNUMBER(deployment_raw[[#This Row],[Column8]]),IF(OR(deployment_raw[[#This Row],[Column5]] &lt;&gt; 0,$E$2 &lt;&gt; "Deployment"), MAX(J571, P571, R571, ($L$2 * IF($E$2="Deployment",deployment_raw[[#This Row],[Column5]],1)),IF(T571&lt;&gt;"",VALUE(T571) * IF($E$2="Deployment",deployment_raw[[#This Row],[Column5]],1),0)), 0),"")</f>
        <v/>
      </c>
      <c r="M571" s="125" t="str">
        <f>IF(ISNUMBER(deployment_raw[[#This Row],[Column9]]),IF(OR(deployment_raw[[#This Row],[Column5]] &lt;&gt; 0,$E$2&lt;&gt;"Deployment"), MAX(K571, Q571, S571, ($M$2 * IF($E$2="Deployment",deployment_raw[[#This Row],[Column5]],1)),IF(U571&lt;&gt;"",VALUE(U571) * IF($E$2="Deployment",deployment_raw[[#This Row],[Column5]],1),0)), 0),"")</f>
        <v/>
      </c>
      <c r="N571" s="166" t="str">
        <f>IF(ISNUMBER(deployment_raw[[#This Row],[Column14]]), deployment_raw[[#This Row],[Column14]]/IF(OR($E$2="Deployment",deployment_raw[[#This Row],[Column5]]=0),1,deployment_raw[[#This Row],[Column5]]),"")</f>
        <v/>
      </c>
      <c r="O571" s="167" t="str">
        <f>IF(ISNUMBER(deployment_raw[[#This Row],[Column15]]), deployment_raw[[#This Row],[Column15]]/IF(OR($E$2="Deployment",deployment_raw[[#This Row],[Column5]]=0),1,deployment_raw[[#This Row],[Column5]])/1048576,"")</f>
        <v/>
      </c>
      <c r="P571" s="168" t="str">
        <f>IF(ISNUMBER(deployment_raw[[#This Row],[Column12]]), (MIN(IF(N571&lt;&gt;"",N571,9999999999999)*1.1,deployment_raw[[#This Row],[Column12]] * IF($E$2="Deployment",deployment_raw[[#This Row],[Column5]],1))*(1+$P$2)),"")</f>
        <v/>
      </c>
      <c r="Q571" s="167" t="str">
        <f>IF(ISNUMBER(deployment_raw[[#This Row],[Column13]]), (MIN(IF(O571&lt;&gt;"",O571,9999999999999)*1.1,deployment_raw[[#This Row],[Column13]] * IF($E$2="Deployment",deployment_raw[[#This Row],[Column5]],1)*(1+$Q$2)/1048576)),"")</f>
        <v/>
      </c>
      <c r="R571" s="169" t="str">
        <f>IF(ISNUMBER(deployment_raw[[#This Row],[Column8]]), (H571  * IF(N571&lt;&gt;0,$R$2,1)),"")</f>
        <v/>
      </c>
      <c r="S571" s="170" t="str">
        <f>IF(ISNUMBER(deployment_raw[[#This Row],[Column8]]), (I571  * IF(O571&lt;&gt;0,$S$2,1)),"")</f>
        <v/>
      </c>
      <c r="T571" s="202" t="str">
        <f>IF(AND(A571&lt;&gt;"",_xlfn.IFNA(MATCH(A571,'dynamic resource application '!$A$2:$A$100, 0),0)&lt;&gt;0), H571/(IF($E$2="Deployment",E571,1)),"")</f>
        <v/>
      </c>
      <c r="U571" s="211" t="str">
        <f>IF(AND(A571&lt;&gt;"",_xlfn.IFNA(MATCH(A571,'dynamic resource application '!$A$2:$A$100, 0),0)&lt;&gt;0), I571/(IF($E$2="Deployment",E571,1)),"")</f>
        <v/>
      </c>
    </row>
    <row r="572" spans="1:21" ht="15.75" customHeight="1" x14ac:dyDescent="0.25">
      <c r="A572" s="35" t="str">
        <f>IF(ISNONTEXT(deployment_raw[[#This Row],[Column1]]), "", deployment_raw[[#This Row],[Column1]])</f>
        <v/>
      </c>
      <c r="B572" s="36" t="str">
        <f>IF(ISNONTEXT(deployment_raw[[#This Row],[Column2]]), "", deployment_raw[[#This Row],[Column2]])</f>
        <v/>
      </c>
      <c r="C572" s="36" t="str">
        <f>IF(ISNONTEXT(deployment_raw[[#This Row],[Column3]]), "", deployment_raw[[#This Row],[Column3]])</f>
        <v/>
      </c>
      <c r="D572" s="36" t="str">
        <f>IF(ISNONTEXT(deployment_raw[[#This Row],[Column4]]), "", deployment_raw[[#This Row],[Column4]])</f>
        <v/>
      </c>
      <c r="E572" s="37" t="str">
        <f>IF(ISNUMBER(deployment_raw[[#This Row],[Column5]]), deployment_raw[[#This Row],[Column5]],"")</f>
        <v/>
      </c>
      <c r="F572" s="94" t="str">
        <f>IF(ISNUMBER(deployment_raw[[#This Row],[Column6]]), (deployment_raw[[#This Row],[Column6]] * IF($E$2="Deployment",deployment_raw[[#This Row],[Column5]],1)),"")</f>
        <v/>
      </c>
      <c r="G572" s="95" t="str">
        <f>IF(ISNUMBER(deployment_raw[[#This Row],[Column7]]), (deployment_raw[[#This Row],[Column7]] * IF($E$2="Deployment",deployment_raw[[#This Row],[Column5]],1))/1048576,"")</f>
        <v/>
      </c>
      <c r="H572" s="95" t="str">
        <f>IF(ISNUMBER(deployment_raw[[#This Row],[Column8]]), (deployment_raw[[#This Row],[Column8]]  * IF($E$2="Deployment",deployment_raw[[#This Row],[Column5]],1)),"")</f>
        <v/>
      </c>
      <c r="I572" s="96" t="str">
        <f>IF(ISNUMBER(deployment_raw[[#This Row],[Column9]]), (deployment_raw[[#This Row],[Column9]] * IF($E$2="Deployment",deployment_raw[[#This Row],[Column5]],1))/1048576,"")</f>
        <v/>
      </c>
      <c r="J572" s="122" t="str">
        <f>IF(ISNUMBER(deployment_raw[[#This Row],[Column10]]), (MIN(IF(N572&lt;&gt;"",N572,9999999999999)*1.1,deployment_raw[[#This Row],[Column10]] * IF($E$2="Deployment",deployment_raw[[#This Row],[Column5]],1))),"")</f>
        <v/>
      </c>
      <c r="K572" s="123" t="str">
        <f>IF(ISNUMBER(deployment_raw[[#This Row],[Column11]]), (MIN(IF(O572&lt;&gt;"",O572,9999999999999)*1.1,deployment_raw[[#This Row],[Column11]] * IF($E$2="Deployment",deployment_raw[[#This Row],[Column5]],1)/1048576)),"")</f>
        <v/>
      </c>
      <c r="L572" s="124" t="str">
        <f>IF(ISNUMBER(deployment_raw[[#This Row],[Column8]]),IF(OR(deployment_raw[[#This Row],[Column5]] &lt;&gt; 0,$E$2 &lt;&gt; "Deployment"), MAX(J572, P572, R572, ($L$2 * IF($E$2="Deployment",deployment_raw[[#This Row],[Column5]],1)),IF(T572&lt;&gt;"",VALUE(T572) * IF($E$2="Deployment",deployment_raw[[#This Row],[Column5]],1),0)), 0),"")</f>
        <v/>
      </c>
      <c r="M572" s="125" t="str">
        <f>IF(ISNUMBER(deployment_raw[[#This Row],[Column9]]),IF(OR(deployment_raw[[#This Row],[Column5]] &lt;&gt; 0,$E$2&lt;&gt;"Deployment"), MAX(K572, Q572, S572, ($M$2 * IF($E$2="Deployment",deployment_raw[[#This Row],[Column5]],1)),IF(U572&lt;&gt;"",VALUE(U572) * IF($E$2="Deployment",deployment_raw[[#This Row],[Column5]],1),0)), 0),"")</f>
        <v/>
      </c>
      <c r="N572" s="166" t="str">
        <f>IF(ISNUMBER(deployment_raw[[#This Row],[Column14]]), deployment_raw[[#This Row],[Column14]]/IF(OR($E$2="Deployment",deployment_raw[[#This Row],[Column5]]=0),1,deployment_raw[[#This Row],[Column5]]),"")</f>
        <v/>
      </c>
      <c r="O572" s="167" t="str">
        <f>IF(ISNUMBER(deployment_raw[[#This Row],[Column15]]), deployment_raw[[#This Row],[Column15]]/IF(OR($E$2="Deployment",deployment_raw[[#This Row],[Column5]]=0),1,deployment_raw[[#This Row],[Column5]])/1048576,"")</f>
        <v/>
      </c>
      <c r="P572" s="168" t="str">
        <f>IF(ISNUMBER(deployment_raw[[#This Row],[Column12]]), (MIN(IF(N572&lt;&gt;"",N572,9999999999999)*1.1,deployment_raw[[#This Row],[Column12]] * IF($E$2="Deployment",deployment_raw[[#This Row],[Column5]],1))*(1+$P$2)),"")</f>
        <v/>
      </c>
      <c r="Q572" s="167" t="str">
        <f>IF(ISNUMBER(deployment_raw[[#This Row],[Column13]]), (MIN(IF(O572&lt;&gt;"",O572,9999999999999)*1.1,deployment_raw[[#This Row],[Column13]] * IF($E$2="Deployment",deployment_raw[[#This Row],[Column5]],1)*(1+$Q$2)/1048576)),"")</f>
        <v/>
      </c>
      <c r="R572" s="169" t="str">
        <f>IF(ISNUMBER(deployment_raw[[#This Row],[Column8]]), (H572  * IF(N572&lt;&gt;0,$R$2,1)),"")</f>
        <v/>
      </c>
      <c r="S572" s="170" t="str">
        <f>IF(ISNUMBER(deployment_raw[[#This Row],[Column8]]), (I572  * IF(O572&lt;&gt;0,$S$2,1)),"")</f>
        <v/>
      </c>
      <c r="T572" s="202" t="str">
        <f>IF(AND(A572&lt;&gt;"",_xlfn.IFNA(MATCH(A572,'dynamic resource application '!$A$2:$A$100, 0),0)&lt;&gt;0), H572/(IF($E$2="Deployment",E572,1)),"")</f>
        <v/>
      </c>
      <c r="U572" s="211" t="str">
        <f>IF(AND(A572&lt;&gt;"",_xlfn.IFNA(MATCH(A572,'dynamic resource application '!$A$2:$A$100, 0),0)&lt;&gt;0), I572/(IF($E$2="Deployment",E572,1)),"")</f>
        <v/>
      </c>
    </row>
    <row r="573" spans="1:21" ht="15.75" customHeight="1" x14ac:dyDescent="0.25">
      <c r="A573" s="35" t="str">
        <f>IF(ISNONTEXT(deployment_raw[[#This Row],[Column1]]), "", deployment_raw[[#This Row],[Column1]])</f>
        <v/>
      </c>
      <c r="B573" s="36" t="str">
        <f>IF(ISNONTEXT(deployment_raw[[#This Row],[Column2]]), "", deployment_raw[[#This Row],[Column2]])</f>
        <v/>
      </c>
      <c r="C573" s="36" t="str">
        <f>IF(ISNONTEXT(deployment_raw[[#This Row],[Column3]]), "", deployment_raw[[#This Row],[Column3]])</f>
        <v/>
      </c>
      <c r="D573" s="36" t="str">
        <f>IF(ISNONTEXT(deployment_raw[[#This Row],[Column4]]), "", deployment_raw[[#This Row],[Column4]])</f>
        <v/>
      </c>
      <c r="E573" s="37" t="str">
        <f>IF(ISNUMBER(deployment_raw[[#This Row],[Column5]]), deployment_raw[[#This Row],[Column5]],"")</f>
        <v/>
      </c>
      <c r="F573" s="94" t="str">
        <f>IF(ISNUMBER(deployment_raw[[#This Row],[Column6]]), (deployment_raw[[#This Row],[Column6]] * IF($E$2="Deployment",deployment_raw[[#This Row],[Column5]],1)),"")</f>
        <v/>
      </c>
      <c r="G573" s="95" t="str">
        <f>IF(ISNUMBER(deployment_raw[[#This Row],[Column7]]), (deployment_raw[[#This Row],[Column7]] * IF($E$2="Deployment",deployment_raw[[#This Row],[Column5]],1))/1048576,"")</f>
        <v/>
      </c>
      <c r="H573" s="95" t="str">
        <f>IF(ISNUMBER(deployment_raw[[#This Row],[Column8]]), (deployment_raw[[#This Row],[Column8]]  * IF($E$2="Deployment",deployment_raw[[#This Row],[Column5]],1)),"")</f>
        <v/>
      </c>
      <c r="I573" s="96" t="str">
        <f>IF(ISNUMBER(deployment_raw[[#This Row],[Column9]]), (deployment_raw[[#This Row],[Column9]] * IF($E$2="Deployment",deployment_raw[[#This Row],[Column5]],1))/1048576,"")</f>
        <v/>
      </c>
      <c r="J573" s="122" t="str">
        <f>IF(ISNUMBER(deployment_raw[[#This Row],[Column10]]), (MIN(IF(N573&lt;&gt;"",N573,9999999999999)*1.1,deployment_raw[[#This Row],[Column10]] * IF($E$2="Deployment",deployment_raw[[#This Row],[Column5]],1))),"")</f>
        <v/>
      </c>
      <c r="K573" s="123" t="str">
        <f>IF(ISNUMBER(deployment_raw[[#This Row],[Column11]]), (MIN(IF(O573&lt;&gt;"",O573,9999999999999)*1.1,deployment_raw[[#This Row],[Column11]] * IF($E$2="Deployment",deployment_raw[[#This Row],[Column5]],1)/1048576)),"")</f>
        <v/>
      </c>
      <c r="L573" s="124" t="str">
        <f>IF(ISNUMBER(deployment_raw[[#This Row],[Column8]]),IF(OR(deployment_raw[[#This Row],[Column5]] &lt;&gt; 0,$E$2 &lt;&gt; "Deployment"), MAX(J573, P573, R573, ($L$2 * IF($E$2="Deployment",deployment_raw[[#This Row],[Column5]],1)),IF(T573&lt;&gt;"",VALUE(T573) * IF($E$2="Deployment",deployment_raw[[#This Row],[Column5]],1),0)), 0),"")</f>
        <v/>
      </c>
      <c r="M573" s="125" t="str">
        <f>IF(ISNUMBER(deployment_raw[[#This Row],[Column9]]),IF(OR(deployment_raw[[#This Row],[Column5]] &lt;&gt; 0,$E$2&lt;&gt;"Deployment"), MAX(K573, Q573, S573, ($M$2 * IF($E$2="Deployment",deployment_raw[[#This Row],[Column5]],1)),IF(U573&lt;&gt;"",VALUE(U573) * IF($E$2="Deployment",deployment_raw[[#This Row],[Column5]],1),0)), 0),"")</f>
        <v/>
      </c>
      <c r="N573" s="166" t="str">
        <f>IF(ISNUMBER(deployment_raw[[#This Row],[Column14]]), deployment_raw[[#This Row],[Column14]]/IF(OR($E$2="Deployment",deployment_raw[[#This Row],[Column5]]=0),1,deployment_raw[[#This Row],[Column5]]),"")</f>
        <v/>
      </c>
      <c r="O573" s="167" t="str">
        <f>IF(ISNUMBER(deployment_raw[[#This Row],[Column15]]), deployment_raw[[#This Row],[Column15]]/IF(OR($E$2="Deployment",deployment_raw[[#This Row],[Column5]]=0),1,deployment_raw[[#This Row],[Column5]])/1048576,"")</f>
        <v/>
      </c>
      <c r="P573" s="168" t="str">
        <f>IF(ISNUMBER(deployment_raw[[#This Row],[Column12]]), (MIN(IF(N573&lt;&gt;"",N573,9999999999999)*1.1,deployment_raw[[#This Row],[Column12]] * IF($E$2="Deployment",deployment_raw[[#This Row],[Column5]],1))*(1+$P$2)),"")</f>
        <v/>
      </c>
      <c r="Q573" s="167" t="str">
        <f>IF(ISNUMBER(deployment_raw[[#This Row],[Column13]]), (MIN(IF(O573&lt;&gt;"",O573,9999999999999)*1.1,deployment_raw[[#This Row],[Column13]] * IF($E$2="Deployment",deployment_raw[[#This Row],[Column5]],1)*(1+$Q$2)/1048576)),"")</f>
        <v/>
      </c>
      <c r="R573" s="169" t="str">
        <f>IF(ISNUMBER(deployment_raw[[#This Row],[Column8]]), (H573  * IF(N573&lt;&gt;0,$R$2,1)),"")</f>
        <v/>
      </c>
      <c r="S573" s="170" t="str">
        <f>IF(ISNUMBER(deployment_raw[[#This Row],[Column8]]), (I573  * IF(O573&lt;&gt;0,$S$2,1)),"")</f>
        <v/>
      </c>
      <c r="T573" s="202" t="str">
        <f>IF(AND(A573&lt;&gt;"",_xlfn.IFNA(MATCH(A573,'dynamic resource application '!$A$2:$A$100, 0),0)&lt;&gt;0), H573/(IF($E$2="Deployment",E573,1)),"")</f>
        <v/>
      </c>
      <c r="U573" s="211" t="str">
        <f>IF(AND(A573&lt;&gt;"",_xlfn.IFNA(MATCH(A573,'dynamic resource application '!$A$2:$A$100, 0),0)&lt;&gt;0), I573/(IF($E$2="Deployment",E573,1)),"")</f>
        <v/>
      </c>
    </row>
    <row r="574" spans="1:21" ht="15.75" customHeight="1" x14ac:dyDescent="0.25">
      <c r="A574" s="35" t="str">
        <f>IF(ISNONTEXT(deployment_raw[[#This Row],[Column1]]), "", deployment_raw[[#This Row],[Column1]])</f>
        <v/>
      </c>
      <c r="B574" s="36" t="str">
        <f>IF(ISNONTEXT(deployment_raw[[#This Row],[Column2]]), "", deployment_raw[[#This Row],[Column2]])</f>
        <v/>
      </c>
      <c r="C574" s="36" t="str">
        <f>IF(ISNONTEXT(deployment_raw[[#This Row],[Column3]]), "", deployment_raw[[#This Row],[Column3]])</f>
        <v/>
      </c>
      <c r="D574" s="36" t="str">
        <f>IF(ISNONTEXT(deployment_raw[[#This Row],[Column4]]), "", deployment_raw[[#This Row],[Column4]])</f>
        <v/>
      </c>
      <c r="E574" s="37" t="str">
        <f>IF(ISNUMBER(deployment_raw[[#This Row],[Column5]]), deployment_raw[[#This Row],[Column5]],"")</f>
        <v/>
      </c>
      <c r="F574" s="94" t="str">
        <f>IF(ISNUMBER(deployment_raw[[#This Row],[Column6]]), (deployment_raw[[#This Row],[Column6]] * IF($E$2="Deployment",deployment_raw[[#This Row],[Column5]],1)),"")</f>
        <v/>
      </c>
      <c r="G574" s="95" t="str">
        <f>IF(ISNUMBER(deployment_raw[[#This Row],[Column7]]), (deployment_raw[[#This Row],[Column7]] * IF($E$2="Deployment",deployment_raw[[#This Row],[Column5]],1))/1048576,"")</f>
        <v/>
      </c>
      <c r="H574" s="95" t="str">
        <f>IF(ISNUMBER(deployment_raw[[#This Row],[Column8]]), (deployment_raw[[#This Row],[Column8]]  * IF($E$2="Deployment",deployment_raw[[#This Row],[Column5]],1)),"")</f>
        <v/>
      </c>
      <c r="I574" s="96" t="str">
        <f>IF(ISNUMBER(deployment_raw[[#This Row],[Column9]]), (deployment_raw[[#This Row],[Column9]] * IF($E$2="Deployment",deployment_raw[[#This Row],[Column5]],1))/1048576,"")</f>
        <v/>
      </c>
      <c r="J574" s="122" t="str">
        <f>IF(ISNUMBER(deployment_raw[[#This Row],[Column10]]), (MIN(IF(N574&lt;&gt;"",N574,9999999999999)*1.1,deployment_raw[[#This Row],[Column10]] * IF($E$2="Deployment",deployment_raw[[#This Row],[Column5]],1))),"")</f>
        <v/>
      </c>
      <c r="K574" s="123" t="str">
        <f>IF(ISNUMBER(deployment_raw[[#This Row],[Column11]]), (MIN(IF(O574&lt;&gt;"",O574,9999999999999)*1.1,deployment_raw[[#This Row],[Column11]] * IF($E$2="Deployment",deployment_raw[[#This Row],[Column5]],1)/1048576)),"")</f>
        <v/>
      </c>
      <c r="L574" s="124" t="str">
        <f>IF(ISNUMBER(deployment_raw[[#This Row],[Column8]]),IF(OR(deployment_raw[[#This Row],[Column5]] &lt;&gt; 0,$E$2 &lt;&gt; "Deployment"), MAX(J574, P574, R574, ($L$2 * IF($E$2="Deployment",deployment_raw[[#This Row],[Column5]],1)),IF(T574&lt;&gt;"",VALUE(T574) * IF($E$2="Deployment",deployment_raw[[#This Row],[Column5]],1),0)), 0),"")</f>
        <v/>
      </c>
      <c r="M574" s="125" t="str">
        <f>IF(ISNUMBER(deployment_raw[[#This Row],[Column9]]),IF(OR(deployment_raw[[#This Row],[Column5]] &lt;&gt; 0,$E$2&lt;&gt;"Deployment"), MAX(K574, Q574, S574, ($M$2 * IF($E$2="Deployment",deployment_raw[[#This Row],[Column5]],1)),IF(U574&lt;&gt;"",VALUE(U574) * IF($E$2="Deployment",deployment_raw[[#This Row],[Column5]],1),0)), 0),"")</f>
        <v/>
      </c>
      <c r="N574" s="166" t="str">
        <f>IF(ISNUMBER(deployment_raw[[#This Row],[Column14]]), deployment_raw[[#This Row],[Column14]]/IF(OR($E$2="Deployment",deployment_raw[[#This Row],[Column5]]=0),1,deployment_raw[[#This Row],[Column5]]),"")</f>
        <v/>
      </c>
      <c r="O574" s="167" t="str">
        <f>IF(ISNUMBER(deployment_raw[[#This Row],[Column15]]), deployment_raw[[#This Row],[Column15]]/IF(OR($E$2="Deployment",deployment_raw[[#This Row],[Column5]]=0),1,deployment_raw[[#This Row],[Column5]])/1048576,"")</f>
        <v/>
      </c>
      <c r="P574" s="168" t="str">
        <f>IF(ISNUMBER(deployment_raw[[#This Row],[Column12]]), (MIN(IF(N574&lt;&gt;"",N574,9999999999999)*1.1,deployment_raw[[#This Row],[Column12]] * IF($E$2="Deployment",deployment_raw[[#This Row],[Column5]],1))*(1+$P$2)),"")</f>
        <v/>
      </c>
      <c r="Q574" s="167" t="str">
        <f>IF(ISNUMBER(deployment_raw[[#This Row],[Column13]]), (MIN(IF(O574&lt;&gt;"",O574,9999999999999)*1.1,deployment_raw[[#This Row],[Column13]] * IF($E$2="Deployment",deployment_raw[[#This Row],[Column5]],1)*(1+$Q$2)/1048576)),"")</f>
        <v/>
      </c>
      <c r="R574" s="169" t="str">
        <f>IF(ISNUMBER(deployment_raw[[#This Row],[Column8]]), (H574  * IF(N574&lt;&gt;0,$R$2,1)),"")</f>
        <v/>
      </c>
      <c r="S574" s="170" t="str">
        <f>IF(ISNUMBER(deployment_raw[[#This Row],[Column8]]), (I574  * IF(O574&lt;&gt;0,$S$2,1)),"")</f>
        <v/>
      </c>
      <c r="T574" s="202" t="str">
        <f>IF(AND(A574&lt;&gt;"",_xlfn.IFNA(MATCH(A574,'dynamic resource application '!$A$2:$A$100, 0),0)&lt;&gt;0), H574/(IF($E$2="Deployment",E574,1)),"")</f>
        <v/>
      </c>
      <c r="U574" s="211" t="str">
        <f>IF(AND(A574&lt;&gt;"",_xlfn.IFNA(MATCH(A574,'dynamic resource application '!$A$2:$A$100, 0),0)&lt;&gt;0), I574/(IF($E$2="Deployment",E574,1)),"")</f>
        <v/>
      </c>
    </row>
    <row r="575" spans="1:21" ht="15.75" customHeight="1" x14ac:dyDescent="0.25">
      <c r="A575" s="35" t="str">
        <f>IF(ISNONTEXT(deployment_raw[[#This Row],[Column1]]), "", deployment_raw[[#This Row],[Column1]])</f>
        <v/>
      </c>
      <c r="B575" s="36" t="str">
        <f>IF(ISNONTEXT(deployment_raw[[#This Row],[Column2]]), "", deployment_raw[[#This Row],[Column2]])</f>
        <v/>
      </c>
      <c r="C575" s="36" t="str">
        <f>IF(ISNONTEXT(deployment_raw[[#This Row],[Column3]]), "", deployment_raw[[#This Row],[Column3]])</f>
        <v/>
      </c>
      <c r="D575" s="36" t="str">
        <f>IF(ISNONTEXT(deployment_raw[[#This Row],[Column4]]), "", deployment_raw[[#This Row],[Column4]])</f>
        <v/>
      </c>
      <c r="E575" s="37" t="str">
        <f>IF(ISNUMBER(deployment_raw[[#This Row],[Column5]]), deployment_raw[[#This Row],[Column5]],"")</f>
        <v/>
      </c>
      <c r="F575" s="94" t="str">
        <f>IF(ISNUMBER(deployment_raw[[#This Row],[Column6]]), (deployment_raw[[#This Row],[Column6]] * IF($E$2="Deployment",deployment_raw[[#This Row],[Column5]],1)),"")</f>
        <v/>
      </c>
      <c r="G575" s="95" t="str">
        <f>IF(ISNUMBER(deployment_raw[[#This Row],[Column7]]), (deployment_raw[[#This Row],[Column7]] * IF($E$2="Deployment",deployment_raw[[#This Row],[Column5]],1))/1048576,"")</f>
        <v/>
      </c>
      <c r="H575" s="95" t="str">
        <f>IF(ISNUMBER(deployment_raw[[#This Row],[Column8]]), (deployment_raw[[#This Row],[Column8]]  * IF($E$2="Deployment",deployment_raw[[#This Row],[Column5]],1)),"")</f>
        <v/>
      </c>
      <c r="I575" s="96" t="str">
        <f>IF(ISNUMBER(deployment_raw[[#This Row],[Column9]]), (deployment_raw[[#This Row],[Column9]] * IF($E$2="Deployment",deployment_raw[[#This Row],[Column5]],1))/1048576,"")</f>
        <v/>
      </c>
      <c r="J575" s="122" t="str">
        <f>IF(ISNUMBER(deployment_raw[[#This Row],[Column10]]), (MIN(IF(N575&lt;&gt;"",N575,9999999999999)*1.1,deployment_raw[[#This Row],[Column10]] * IF($E$2="Deployment",deployment_raw[[#This Row],[Column5]],1))),"")</f>
        <v/>
      </c>
      <c r="K575" s="123" t="str">
        <f>IF(ISNUMBER(deployment_raw[[#This Row],[Column11]]), (MIN(IF(O575&lt;&gt;"",O575,9999999999999)*1.1,deployment_raw[[#This Row],[Column11]] * IF($E$2="Deployment",deployment_raw[[#This Row],[Column5]],1)/1048576)),"")</f>
        <v/>
      </c>
      <c r="L575" s="124" t="str">
        <f>IF(ISNUMBER(deployment_raw[[#This Row],[Column8]]),IF(OR(deployment_raw[[#This Row],[Column5]] &lt;&gt; 0,$E$2 &lt;&gt; "Deployment"), MAX(J575, P575, R575, ($L$2 * IF($E$2="Deployment",deployment_raw[[#This Row],[Column5]],1)),IF(T575&lt;&gt;"",VALUE(T575) * IF($E$2="Deployment",deployment_raw[[#This Row],[Column5]],1),0)), 0),"")</f>
        <v/>
      </c>
      <c r="M575" s="125" t="str">
        <f>IF(ISNUMBER(deployment_raw[[#This Row],[Column9]]),IF(OR(deployment_raw[[#This Row],[Column5]] &lt;&gt; 0,$E$2&lt;&gt;"Deployment"), MAX(K575, Q575, S575, ($M$2 * IF($E$2="Deployment",deployment_raw[[#This Row],[Column5]],1)),IF(U575&lt;&gt;"",VALUE(U575) * IF($E$2="Deployment",deployment_raw[[#This Row],[Column5]],1),0)), 0),"")</f>
        <v/>
      </c>
      <c r="N575" s="166" t="str">
        <f>IF(ISNUMBER(deployment_raw[[#This Row],[Column14]]), deployment_raw[[#This Row],[Column14]]/IF(OR($E$2="Deployment",deployment_raw[[#This Row],[Column5]]=0),1,deployment_raw[[#This Row],[Column5]]),"")</f>
        <v/>
      </c>
      <c r="O575" s="167" t="str">
        <f>IF(ISNUMBER(deployment_raw[[#This Row],[Column15]]), deployment_raw[[#This Row],[Column15]]/IF(OR($E$2="Deployment",deployment_raw[[#This Row],[Column5]]=0),1,deployment_raw[[#This Row],[Column5]])/1048576,"")</f>
        <v/>
      </c>
      <c r="P575" s="168" t="str">
        <f>IF(ISNUMBER(deployment_raw[[#This Row],[Column12]]), (MIN(IF(N575&lt;&gt;"",N575,9999999999999)*1.1,deployment_raw[[#This Row],[Column12]] * IF($E$2="Deployment",deployment_raw[[#This Row],[Column5]],1))*(1+$P$2)),"")</f>
        <v/>
      </c>
      <c r="Q575" s="167" t="str">
        <f>IF(ISNUMBER(deployment_raw[[#This Row],[Column13]]), (MIN(IF(O575&lt;&gt;"",O575,9999999999999)*1.1,deployment_raw[[#This Row],[Column13]] * IF($E$2="Deployment",deployment_raw[[#This Row],[Column5]],1)*(1+$Q$2)/1048576)),"")</f>
        <v/>
      </c>
      <c r="R575" s="169" t="str">
        <f>IF(ISNUMBER(deployment_raw[[#This Row],[Column8]]), (H575  * IF(N575&lt;&gt;0,$R$2,1)),"")</f>
        <v/>
      </c>
      <c r="S575" s="170" t="str">
        <f>IF(ISNUMBER(deployment_raw[[#This Row],[Column8]]), (I575  * IF(O575&lt;&gt;0,$S$2,1)),"")</f>
        <v/>
      </c>
      <c r="T575" s="202" t="str">
        <f>IF(AND(A575&lt;&gt;"",_xlfn.IFNA(MATCH(A575,'dynamic resource application '!$A$2:$A$100, 0),0)&lt;&gt;0), H575/(IF($E$2="Deployment",E575,1)),"")</f>
        <v/>
      </c>
      <c r="U575" s="211" t="str">
        <f>IF(AND(A575&lt;&gt;"",_xlfn.IFNA(MATCH(A575,'dynamic resource application '!$A$2:$A$100, 0),0)&lt;&gt;0), I575/(IF($E$2="Deployment",E575,1)),"")</f>
        <v/>
      </c>
    </row>
    <row r="576" spans="1:21" ht="15.75" customHeight="1" x14ac:dyDescent="0.25">
      <c r="A576" s="35" t="str">
        <f>IF(ISNONTEXT(deployment_raw[[#This Row],[Column1]]), "", deployment_raw[[#This Row],[Column1]])</f>
        <v/>
      </c>
      <c r="B576" s="36" t="str">
        <f>IF(ISNONTEXT(deployment_raw[[#This Row],[Column2]]), "", deployment_raw[[#This Row],[Column2]])</f>
        <v/>
      </c>
      <c r="C576" s="36" t="str">
        <f>IF(ISNONTEXT(deployment_raw[[#This Row],[Column3]]), "", deployment_raw[[#This Row],[Column3]])</f>
        <v/>
      </c>
      <c r="D576" s="36" t="str">
        <f>IF(ISNONTEXT(deployment_raw[[#This Row],[Column4]]), "", deployment_raw[[#This Row],[Column4]])</f>
        <v/>
      </c>
      <c r="E576" s="37" t="str">
        <f>IF(ISNUMBER(deployment_raw[[#This Row],[Column5]]), deployment_raw[[#This Row],[Column5]],"")</f>
        <v/>
      </c>
      <c r="F576" s="94" t="str">
        <f>IF(ISNUMBER(deployment_raw[[#This Row],[Column6]]), (deployment_raw[[#This Row],[Column6]] * IF($E$2="Deployment",deployment_raw[[#This Row],[Column5]],1)),"")</f>
        <v/>
      </c>
      <c r="G576" s="95" t="str">
        <f>IF(ISNUMBER(deployment_raw[[#This Row],[Column7]]), (deployment_raw[[#This Row],[Column7]] * IF($E$2="Deployment",deployment_raw[[#This Row],[Column5]],1))/1048576,"")</f>
        <v/>
      </c>
      <c r="H576" s="95" t="str">
        <f>IF(ISNUMBER(deployment_raw[[#This Row],[Column8]]), (deployment_raw[[#This Row],[Column8]]  * IF($E$2="Deployment",deployment_raw[[#This Row],[Column5]],1)),"")</f>
        <v/>
      </c>
      <c r="I576" s="96" t="str">
        <f>IF(ISNUMBER(deployment_raw[[#This Row],[Column9]]), (deployment_raw[[#This Row],[Column9]] * IF($E$2="Deployment",deployment_raw[[#This Row],[Column5]],1))/1048576,"")</f>
        <v/>
      </c>
      <c r="J576" s="122" t="str">
        <f>IF(ISNUMBER(deployment_raw[[#This Row],[Column10]]), (MIN(IF(N576&lt;&gt;"",N576,9999999999999)*1.1,deployment_raw[[#This Row],[Column10]] * IF($E$2="Deployment",deployment_raw[[#This Row],[Column5]],1))),"")</f>
        <v/>
      </c>
      <c r="K576" s="123" t="str">
        <f>IF(ISNUMBER(deployment_raw[[#This Row],[Column11]]), (MIN(IF(O576&lt;&gt;"",O576,9999999999999)*1.1,deployment_raw[[#This Row],[Column11]] * IF($E$2="Deployment",deployment_raw[[#This Row],[Column5]],1)/1048576)),"")</f>
        <v/>
      </c>
      <c r="L576" s="124" t="str">
        <f>IF(ISNUMBER(deployment_raw[[#This Row],[Column8]]),IF(OR(deployment_raw[[#This Row],[Column5]] &lt;&gt; 0,$E$2 &lt;&gt; "Deployment"), MAX(J576, P576, R576, ($L$2 * IF($E$2="Deployment",deployment_raw[[#This Row],[Column5]],1)),IF(T576&lt;&gt;"",VALUE(T576) * IF($E$2="Deployment",deployment_raw[[#This Row],[Column5]],1),0)), 0),"")</f>
        <v/>
      </c>
      <c r="M576" s="125" t="str">
        <f>IF(ISNUMBER(deployment_raw[[#This Row],[Column9]]),IF(OR(deployment_raw[[#This Row],[Column5]] &lt;&gt; 0,$E$2&lt;&gt;"Deployment"), MAX(K576, Q576, S576, ($M$2 * IF($E$2="Deployment",deployment_raw[[#This Row],[Column5]],1)),IF(U576&lt;&gt;"",VALUE(U576) * IF($E$2="Deployment",deployment_raw[[#This Row],[Column5]],1),0)), 0),"")</f>
        <v/>
      </c>
      <c r="N576" s="166" t="str">
        <f>IF(ISNUMBER(deployment_raw[[#This Row],[Column14]]), deployment_raw[[#This Row],[Column14]]/IF(OR($E$2="Deployment",deployment_raw[[#This Row],[Column5]]=0),1,deployment_raw[[#This Row],[Column5]]),"")</f>
        <v/>
      </c>
      <c r="O576" s="167" t="str">
        <f>IF(ISNUMBER(deployment_raw[[#This Row],[Column15]]), deployment_raw[[#This Row],[Column15]]/IF(OR($E$2="Deployment",deployment_raw[[#This Row],[Column5]]=0),1,deployment_raw[[#This Row],[Column5]])/1048576,"")</f>
        <v/>
      </c>
      <c r="P576" s="168" t="str">
        <f>IF(ISNUMBER(deployment_raw[[#This Row],[Column12]]), (MIN(IF(N576&lt;&gt;"",N576,9999999999999)*1.1,deployment_raw[[#This Row],[Column12]] * IF($E$2="Deployment",deployment_raw[[#This Row],[Column5]],1))*(1+$P$2)),"")</f>
        <v/>
      </c>
      <c r="Q576" s="167" t="str">
        <f>IF(ISNUMBER(deployment_raw[[#This Row],[Column13]]), (MIN(IF(O576&lt;&gt;"",O576,9999999999999)*1.1,deployment_raw[[#This Row],[Column13]] * IF($E$2="Deployment",deployment_raw[[#This Row],[Column5]],1)*(1+$Q$2)/1048576)),"")</f>
        <v/>
      </c>
      <c r="R576" s="169" t="str">
        <f>IF(ISNUMBER(deployment_raw[[#This Row],[Column8]]), (H576  * IF(N576&lt;&gt;0,$R$2,1)),"")</f>
        <v/>
      </c>
      <c r="S576" s="170" t="str">
        <f>IF(ISNUMBER(deployment_raw[[#This Row],[Column8]]), (I576  * IF(O576&lt;&gt;0,$S$2,1)),"")</f>
        <v/>
      </c>
      <c r="T576" s="202" t="str">
        <f>IF(AND(A576&lt;&gt;"",_xlfn.IFNA(MATCH(A576,'dynamic resource application '!$A$2:$A$100, 0),0)&lt;&gt;0), H576/(IF($E$2="Deployment",E576,1)),"")</f>
        <v/>
      </c>
      <c r="U576" s="211" t="str">
        <f>IF(AND(A576&lt;&gt;"",_xlfn.IFNA(MATCH(A576,'dynamic resource application '!$A$2:$A$100, 0),0)&lt;&gt;0), I576/(IF($E$2="Deployment",E576,1)),"")</f>
        <v/>
      </c>
    </row>
    <row r="577" spans="1:21" ht="15.75" customHeight="1" x14ac:dyDescent="0.25">
      <c r="A577" s="35" t="str">
        <f>IF(ISNONTEXT(deployment_raw[[#This Row],[Column1]]), "", deployment_raw[[#This Row],[Column1]])</f>
        <v/>
      </c>
      <c r="B577" s="36" t="str">
        <f>IF(ISNONTEXT(deployment_raw[[#This Row],[Column2]]), "", deployment_raw[[#This Row],[Column2]])</f>
        <v/>
      </c>
      <c r="C577" s="36" t="str">
        <f>IF(ISNONTEXT(deployment_raw[[#This Row],[Column3]]), "", deployment_raw[[#This Row],[Column3]])</f>
        <v/>
      </c>
      <c r="D577" s="36" t="str">
        <f>IF(ISNONTEXT(deployment_raw[[#This Row],[Column4]]), "", deployment_raw[[#This Row],[Column4]])</f>
        <v/>
      </c>
      <c r="E577" s="37" t="str">
        <f>IF(ISNUMBER(deployment_raw[[#This Row],[Column5]]), deployment_raw[[#This Row],[Column5]],"")</f>
        <v/>
      </c>
      <c r="F577" s="94" t="str">
        <f>IF(ISNUMBER(deployment_raw[[#This Row],[Column6]]), (deployment_raw[[#This Row],[Column6]] * IF($E$2="Deployment",deployment_raw[[#This Row],[Column5]],1)),"")</f>
        <v/>
      </c>
      <c r="G577" s="95" t="str">
        <f>IF(ISNUMBER(deployment_raw[[#This Row],[Column7]]), (deployment_raw[[#This Row],[Column7]] * IF($E$2="Deployment",deployment_raw[[#This Row],[Column5]],1))/1048576,"")</f>
        <v/>
      </c>
      <c r="H577" s="95" t="str">
        <f>IF(ISNUMBER(deployment_raw[[#This Row],[Column8]]), (deployment_raw[[#This Row],[Column8]]  * IF($E$2="Deployment",deployment_raw[[#This Row],[Column5]],1)),"")</f>
        <v/>
      </c>
      <c r="I577" s="96" t="str">
        <f>IF(ISNUMBER(deployment_raw[[#This Row],[Column9]]), (deployment_raw[[#This Row],[Column9]] * IF($E$2="Deployment",deployment_raw[[#This Row],[Column5]],1))/1048576,"")</f>
        <v/>
      </c>
      <c r="J577" s="122" t="str">
        <f>IF(ISNUMBER(deployment_raw[[#This Row],[Column10]]), (MIN(IF(N577&lt;&gt;"",N577,9999999999999)*1.1,deployment_raw[[#This Row],[Column10]] * IF($E$2="Deployment",deployment_raw[[#This Row],[Column5]],1))),"")</f>
        <v/>
      </c>
      <c r="K577" s="123" t="str">
        <f>IF(ISNUMBER(deployment_raw[[#This Row],[Column11]]), (MIN(IF(O577&lt;&gt;"",O577,9999999999999)*1.1,deployment_raw[[#This Row],[Column11]] * IF($E$2="Deployment",deployment_raw[[#This Row],[Column5]],1)/1048576)),"")</f>
        <v/>
      </c>
      <c r="L577" s="124" t="str">
        <f>IF(ISNUMBER(deployment_raw[[#This Row],[Column8]]),IF(OR(deployment_raw[[#This Row],[Column5]] &lt;&gt; 0,$E$2 &lt;&gt; "Deployment"), MAX(J577, P577, R577, ($L$2 * IF($E$2="Deployment",deployment_raw[[#This Row],[Column5]],1)),IF(T577&lt;&gt;"",VALUE(T577) * IF($E$2="Deployment",deployment_raw[[#This Row],[Column5]],1),0)), 0),"")</f>
        <v/>
      </c>
      <c r="M577" s="125" t="str">
        <f>IF(ISNUMBER(deployment_raw[[#This Row],[Column9]]),IF(OR(deployment_raw[[#This Row],[Column5]] &lt;&gt; 0,$E$2&lt;&gt;"Deployment"), MAX(K577, Q577, S577, ($M$2 * IF($E$2="Deployment",deployment_raw[[#This Row],[Column5]],1)),IF(U577&lt;&gt;"",VALUE(U577) * IF($E$2="Deployment",deployment_raw[[#This Row],[Column5]],1),0)), 0),"")</f>
        <v/>
      </c>
      <c r="N577" s="166" t="str">
        <f>IF(ISNUMBER(deployment_raw[[#This Row],[Column14]]), deployment_raw[[#This Row],[Column14]]/IF(OR($E$2="Deployment",deployment_raw[[#This Row],[Column5]]=0),1,deployment_raw[[#This Row],[Column5]]),"")</f>
        <v/>
      </c>
      <c r="O577" s="167" t="str">
        <f>IF(ISNUMBER(deployment_raw[[#This Row],[Column15]]), deployment_raw[[#This Row],[Column15]]/IF(OR($E$2="Deployment",deployment_raw[[#This Row],[Column5]]=0),1,deployment_raw[[#This Row],[Column5]])/1048576,"")</f>
        <v/>
      </c>
      <c r="P577" s="168" t="str">
        <f>IF(ISNUMBER(deployment_raw[[#This Row],[Column12]]), (MIN(IF(N577&lt;&gt;"",N577,9999999999999)*1.1,deployment_raw[[#This Row],[Column12]] * IF($E$2="Deployment",deployment_raw[[#This Row],[Column5]],1))*(1+$P$2)),"")</f>
        <v/>
      </c>
      <c r="Q577" s="167" t="str">
        <f>IF(ISNUMBER(deployment_raw[[#This Row],[Column13]]), (MIN(IF(O577&lt;&gt;"",O577,9999999999999)*1.1,deployment_raw[[#This Row],[Column13]] * IF($E$2="Deployment",deployment_raw[[#This Row],[Column5]],1)*(1+$Q$2)/1048576)),"")</f>
        <v/>
      </c>
      <c r="R577" s="169" t="str">
        <f>IF(ISNUMBER(deployment_raw[[#This Row],[Column8]]), (H577  * IF(N577&lt;&gt;0,$R$2,1)),"")</f>
        <v/>
      </c>
      <c r="S577" s="170" t="str">
        <f>IF(ISNUMBER(deployment_raw[[#This Row],[Column8]]), (I577  * IF(O577&lt;&gt;0,$S$2,1)),"")</f>
        <v/>
      </c>
      <c r="T577" s="202" t="str">
        <f>IF(AND(A577&lt;&gt;"",_xlfn.IFNA(MATCH(A577,'dynamic resource application '!$A$2:$A$100, 0),0)&lt;&gt;0), H577/(IF($E$2="Deployment",E577,1)),"")</f>
        <v/>
      </c>
      <c r="U577" s="211" t="str">
        <f>IF(AND(A577&lt;&gt;"",_xlfn.IFNA(MATCH(A577,'dynamic resource application '!$A$2:$A$100, 0),0)&lt;&gt;0), I577/(IF($E$2="Deployment",E577,1)),"")</f>
        <v/>
      </c>
    </row>
    <row r="578" spans="1:21" ht="15.75" customHeight="1" x14ac:dyDescent="0.25">
      <c r="A578" s="35" t="str">
        <f>IF(ISNONTEXT(deployment_raw[[#This Row],[Column1]]), "", deployment_raw[[#This Row],[Column1]])</f>
        <v/>
      </c>
      <c r="B578" s="36" t="str">
        <f>IF(ISNONTEXT(deployment_raw[[#This Row],[Column2]]), "", deployment_raw[[#This Row],[Column2]])</f>
        <v/>
      </c>
      <c r="C578" s="36" t="str">
        <f>IF(ISNONTEXT(deployment_raw[[#This Row],[Column3]]), "", deployment_raw[[#This Row],[Column3]])</f>
        <v/>
      </c>
      <c r="D578" s="36" t="str">
        <f>IF(ISNONTEXT(deployment_raw[[#This Row],[Column4]]), "", deployment_raw[[#This Row],[Column4]])</f>
        <v/>
      </c>
      <c r="E578" s="37" t="str">
        <f>IF(ISNUMBER(deployment_raw[[#This Row],[Column5]]), deployment_raw[[#This Row],[Column5]],"")</f>
        <v/>
      </c>
      <c r="F578" s="94" t="str">
        <f>IF(ISNUMBER(deployment_raw[[#This Row],[Column6]]), (deployment_raw[[#This Row],[Column6]] * IF($E$2="Deployment",deployment_raw[[#This Row],[Column5]],1)),"")</f>
        <v/>
      </c>
      <c r="G578" s="95" t="str">
        <f>IF(ISNUMBER(deployment_raw[[#This Row],[Column7]]), (deployment_raw[[#This Row],[Column7]] * IF($E$2="Deployment",deployment_raw[[#This Row],[Column5]],1))/1048576,"")</f>
        <v/>
      </c>
      <c r="H578" s="95" t="str">
        <f>IF(ISNUMBER(deployment_raw[[#This Row],[Column8]]), (deployment_raw[[#This Row],[Column8]]  * IF($E$2="Deployment",deployment_raw[[#This Row],[Column5]],1)),"")</f>
        <v/>
      </c>
      <c r="I578" s="96" t="str">
        <f>IF(ISNUMBER(deployment_raw[[#This Row],[Column9]]), (deployment_raw[[#This Row],[Column9]] * IF($E$2="Deployment",deployment_raw[[#This Row],[Column5]],1))/1048576,"")</f>
        <v/>
      </c>
      <c r="J578" s="122" t="str">
        <f>IF(ISNUMBER(deployment_raw[[#This Row],[Column10]]), (MIN(IF(N578&lt;&gt;"",N578,9999999999999)*1.1,deployment_raw[[#This Row],[Column10]] * IF($E$2="Deployment",deployment_raw[[#This Row],[Column5]],1))),"")</f>
        <v/>
      </c>
      <c r="K578" s="123" t="str">
        <f>IF(ISNUMBER(deployment_raw[[#This Row],[Column11]]), (MIN(IF(O578&lt;&gt;"",O578,9999999999999)*1.1,deployment_raw[[#This Row],[Column11]] * IF($E$2="Deployment",deployment_raw[[#This Row],[Column5]],1)/1048576)),"")</f>
        <v/>
      </c>
      <c r="L578" s="124" t="str">
        <f>IF(ISNUMBER(deployment_raw[[#This Row],[Column8]]),IF(OR(deployment_raw[[#This Row],[Column5]] &lt;&gt; 0,$E$2 &lt;&gt; "Deployment"), MAX(J578, P578, R578, ($L$2 * IF($E$2="Deployment",deployment_raw[[#This Row],[Column5]],1)),IF(T578&lt;&gt;"",VALUE(T578) * IF($E$2="Deployment",deployment_raw[[#This Row],[Column5]],1),0)), 0),"")</f>
        <v/>
      </c>
      <c r="M578" s="125" t="str">
        <f>IF(ISNUMBER(deployment_raw[[#This Row],[Column9]]),IF(OR(deployment_raw[[#This Row],[Column5]] &lt;&gt; 0,$E$2&lt;&gt;"Deployment"), MAX(K578, Q578, S578, ($M$2 * IF($E$2="Deployment",deployment_raw[[#This Row],[Column5]],1)),IF(U578&lt;&gt;"",VALUE(U578) * IF($E$2="Deployment",deployment_raw[[#This Row],[Column5]],1),0)), 0),"")</f>
        <v/>
      </c>
      <c r="N578" s="166" t="str">
        <f>IF(ISNUMBER(deployment_raw[[#This Row],[Column14]]), deployment_raw[[#This Row],[Column14]]/IF(OR($E$2="Deployment",deployment_raw[[#This Row],[Column5]]=0),1,deployment_raw[[#This Row],[Column5]]),"")</f>
        <v/>
      </c>
      <c r="O578" s="167" t="str">
        <f>IF(ISNUMBER(deployment_raw[[#This Row],[Column15]]), deployment_raw[[#This Row],[Column15]]/IF(OR($E$2="Deployment",deployment_raw[[#This Row],[Column5]]=0),1,deployment_raw[[#This Row],[Column5]])/1048576,"")</f>
        <v/>
      </c>
      <c r="P578" s="168" t="str">
        <f>IF(ISNUMBER(deployment_raw[[#This Row],[Column12]]), (MIN(IF(N578&lt;&gt;"",N578,9999999999999)*1.1,deployment_raw[[#This Row],[Column12]] * IF($E$2="Deployment",deployment_raw[[#This Row],[Column5]],1))*(1+$P$2)),"")</f>
        <v/>
      </c>
      <c r="Q578" s="167" t="str">
        <f>IF(ISNUMBER(deployment_raw[[#This Row],[Column13]]), (MIN(IF(O578&lt;&gt;"",O578,9999999999999)*1.1,deployment_raw[[#This Row],[Column13]] * IF($E$2="Deployment",deployment_raw[[#This Row],[Column5]],1)*(1+$Q$2)/1048576)),"")</f>
        <v/>
      </c>
      <c r="R578" s="169" t="str">
        <f>IF(ISNUMBER(deployment_raw[[#This Row],[Column8]]), (H578  * IF(N578&lt;&gt;0,$R$2,1)),"")</f>
        <v/>
      </c>
      <c r="S578" s="170" t="str">
        <f>IF(ISNUMBER(deployment_raw[[#This Row],[Column8]]), (I578  * IF(O578&lt;&gt;0,$S$2,1)),"")</f>
        <v/>
      </c>
      <c r="T578" s="202" t="str">
        <f>IF(AND(A578&lt;&gt;"",_xlfn.IFNA(MATCH(A578,'dynamic resource application '!$A$2:$A$100, 0),0)&lt;&gt;0), H578/(IF($E$2="Deployment",E578,1)),"")</f>
        <v/>
      </c>
      <c r="U578" s="211" t="str">
        <f>IF(AND(A578&lt;&gt;"",_xlfn.IFNA(MATCH(A578,'dynamic resource application '!$A$2:$A$100, 0),0)&lt;&gt;0), I578/(IF($E$2="Deployment",E578,1)),"")</f>
        <v/>
      </c>
    </row>
    <row r="579" spans="1:21" ht="15.75" customHeight="1" x14ac:dyDescent="0.25">
      <c r="A579" s="35" t="str">
        <f>IF(ISNONTEXT(deployment_raw[[#This Row],[Column1]]), "", deployment_raw[[#This Row],[Column1]])</f>
        <v/>
      </c>
      <c r="B579" s="36" t="str">
        <f>IF(ISNONTEXT(deployment_raw[[#This Row],[Column2]]), "", deployment_raw[[#This Row],[Column2]])</f>
        <v/>
      </c>
      <c r="C579" s="36" t="str">
        <f>IF(ISNONTEXT(deployment_raw[[#This Row],[Column3]]), "", deployment_raw[[#This Row],[Column3]])</f>
        <v/>
      </c>
      <c r="D579" s="36" t="str">
        <f>IF(ISNONTEXT(deployment_raw[[#This Row],[Column4]]), "", deployment_raw[[#This Row],[Column4]])</f>
        <v/>
      </c>
      <c r="E579" s="37" t="str">
        <f>IF(ISNUMBER(deployment_raw[[#This Row],[Column5]]), deployment_raw[[#This Row],[Column5]],"")</f>
        <v/>
      </c>
      <c r="F579" s="94" t="str">
        <f>IF(ISNUMBER(deployment_raw[[#This Row],[Column6]]), (deployment_raw[[#This Row],[Column6]] * IF($E$2="Deployment",deployment_raw[[#This Row],[Column5]],1)),"")</f>
        <v/>
      </c>
      <c r="G579" s="95" t="str">
        <f>IF(ISNUMBER(deployment_raw[[#This Row],[Column7]]), (deployment_raw[[#This Row],[Column7]] * IF($E$2="Deployment",deployment_raw[[#This Row],[Column5]],1))/1048576,"")</f>
        <v/>
      </c>
      <c r="H579" s="95" t="str">
        <f>IF(ISNUMBER(deployment_raw[[#This Row],[Column8]]), (deployment_raw[[#This Row],[Column8]]  * IF($E$2="Deployment",deployment_raw[[#This Row],[Column5]],1)),"")</f>
        <v/>
      </c>
      <c r="I579" s="96" t="str">
        <f>IF(ISNUMBER(deployment_raw[[#This Row],[Column9]]), (deployment_raw[[#This Row],[Column9]] * IF($E$2="Deployment",deployment_raw[[#This Row],[Column5]],1))/1048576,"")</f>
        <v/>
      </c>
      <c r="J579" s="122" t="str">
        <f>IF(ISNUMBER(deployment_raw[[#This Row],[Column10]]), (MIN(IF(N579&lt;&gt;"",N579,9999999999999)*1.1,deployment_raw[[#This Row],[Column10]] * IF($E$2="Deployment",deployment_raw[[#This Row],[Column5]],1))),"")</f>
        <v/>
      </c>
      <c r="K579" s="123" t="str">
        <f>IF(ISNUMBER(deployment_raw[[#This Row],[Column11]]), (MIN(IF(O579&lt;&gt;"",O579,9999999999999)*1.1,deployment_raw[[#This Row],[Column11]] * IF($E$2="Deployment",deployment_raw[[#This Row],[Column5]],1)/1048576)),"")</f>
        <v/>
      </c>
      <c r="L579" s="124" t="str">
        <f>IF(ISNUMBER(deployment_raw[[#This Row],[Column8]]),IF(OR(deployment_raw[[#This Row],[Column5]] &lt;&gt; 0,$E$2 &lt;&gt; "Deployment"), MAX(J579, P579, R579, ($L$2 * IF($E$2="Deployment",deployment_raw[[#This Row],[Column5]],1)),IF(T579&lt;&gt;"",VALUE(T579) * IF($E$2="Deployment",deployment_raw[[#This Row],[Column5]],1),0)), 0),"")</f>
        <v/>
      </c>
      <c r="M579" s="125" t="str">
        <f>IF(ISNUMBER(deployment_raw[[#This Row],[Column9]]),IF(OR(deployment_raw[[#This Row],[Column5]] &lt;&gt; 0,$E$2&lt;&gt;"Deployment"), MAX(K579, Q579, S579, ($M$2 * IF($E$2="Deployment",deployment_raw[[#This Row],[Column5]],1)),IF(U579&lt;&gt;"",VALUE(U579) * IF($E$2="Deployment",deployment_raw[[#This Row],[Column5]],1),0)), 0),"")</f>
        <v/>
      </c>
      <c r="N579" s="166" t="str">
        <f>IF(ISNUMBER(deployment_raw[[#This Row],[Column14]]), deployment_raw[[#This Row],[Column14]]/IF(OR($E$2="Deployment",deployment_raw[[#This Row],[Column5]]=0),1,deployment_raw[[#This Row],[Column5]]),"")</f>
        <v/>
      </c>
      <c r="O579" s="167" t="str">
        <f>IF(ISNUMBER(deployment_raw[[#This Row],[Column15]]), deployment_raw[[#This Row],[Column15]]/IF(OR($E$2="Deployment",deployment_raw[[#This Row],[Column5]]=0),1,deployment_raw[[#This Row],[Column5]])/1048576,"")</f>
        <v/>
      </c>
      <c r="P579" s="168" t="str">
        <f>IF(ISNUMBER(deployment_raw[[#This Row],[Column12]]), (MIN(IF(N579&lt;&gt;"",N579,9999999999999)*1.1,deployment_raw[[#This Row],[Column12]] * IF($E$2="Deployment",deployment_raw[[#This Row],[Column5]],1))*(1+$P$2)),"")</f>
        <v/>
      </c>
      <c r="Q579" s="167" t="str">
        <f>IF(ISNUMBER(deployment_raw[[#This Row],[Column13]]), (MIN(IF(O579&lt;&gt;"",O579,9999999999999)*1.1,deployment_raw[[#This Row],[Column13]] * IF($E$2="Deployment",deployment_raw[[#This Row],[Column5]],1)*(1+$Q$2)/1048576)),"")</f>
        <v/>
      </c>
      <c r="R579" s="169" t="str">
        <f>IF(ISNUMBER(deployment_raw[[#This Row],[Column8]]), (H579  * IF(N579&lt;&gt;0,$R$2,1)),"")</f>
        <v/>
      </c>
      <c r="S579" s="170" t="str">
        <f>IF(ISNUMBER(deployment_raw[[#This Row],[Column8]]), (I579  * IF(O579&lt;&gt;0,$S$2,1)),"")</f>
        <v/>
      </c>
      <c r="T579" s="202" t="str">
        <f>IF(AND(A579&lt;&gt;"",_xlfn.IFNA(MATCH(A579,'dynamic resource application '!$A$2:$A$100, 0),0)&lt;&gt;0), H579/(IF($E$2="Deployment",E579,1)),"")</f>
        <v/>
      </c>
      <c r="U579" s="211" t="str">
        <f>IF(AND(A579&lt;&gt;"",_xlfn.IFNA(MATCH(A579,'dynamic resource application '!$A$2:$A$100, 0),0)&lt;&gt;0), I579/(IF($E$2="Deployment",E579,1)),"")</f>
        <v/>
      </c>
    </row>
    <row r="580" spans="1:21" ht="15.75" customHeight="1" x14ac:dyDescent="0.25">
      <c r="A580" s="35" t="str">
        <f>IF(ISNONTEXT(deployment_raw[[#This Row],[Column1]]), "", deployment_raw[[#This Row],[Column1]])</f>
        <v/>
      </c>
      <c r="B580" s="36" t="str">
        <f>IF(ISNONTEXT(deployment_raw[[#This Row],[Column2]]), "", deployment_raw[[#This Row],[Column2]])</f>
        <v/>
      </c>
      <c r="C580" s="36" t="str">
        <f>IF(ISNONTEXT(deployment_raw[[#This Row],[Column3]]), "", deployment_raw[[#This Row],[Column3]])</f>
        <v/>
      </c>
      <c r="D580" s="36" t="str">
        <f>IF(ISNONTEXT(deployment_raw[[#This Row],[Column4]]), "", deployment_raw[[#This Row],[Column4]])</f>
        <v/>
      </c>
      <c r="E580" s="37" t="str">
        <f>IF(ISNUMBER(deployment_raw[[#This Row],[Column5]]), deployment_raw[[#This Row],[Column5]],"")</f>
        <v/>
      </c>
      <c r="F580" s="94" t="str">
        <f>IF(ISNUMBER(deployment_raw[[#This Row],[Column6]]), (deployment_raw[[#This Row],[Column6]] * IF($E$2="Deployment",deployment_raw[[#This Row],[Column5]],1)),"")</f>
        <v/>
      </c>
      <c r="G580" s="95" t="str">
        <f>IF(ISNUMBER(deployment_raw[[#This Row],[Column7]]), (deployment_raw[[#This Row],[Column7]] * IF($E$2="Deployment",deployment_raw[[#This Row],[Column5]],1))/1048576,"")</f>
        <v/>
      </c>
      <c r="H580" s="95" t="str">
        <f>IF(ISNUMBER(deployment_raw[[#This Row],[Column8]]), (deployment_raw[[#This Row],[Column8]]  * IF($E$2="Deployment",deployment_raw[[#This Row],[Column5]],1)),"")</f>
        <v/>
      </c>
      <c r="I580" s="96" t="str">
        <f>IF(ISNUMBER(deployment_raw[[#This Row],[Column9]]), (deployment_raw[[#This Row],[Column9]] * IF($E$2="Deployment",deployment_raw[[#This Row],[Column5]],1))/1048576,"")</f>
        <v/>
      </c>
      <c r="J580" s="122" t="str">
        <f>IF(ISNUMBER(deployment_raw[[#This Row],[Column10]]), (MIN(IF(N580&lt;&gt;"",N580,9999999999999)*1.1,deployment_raw[[#This Row],[Column10]] * IF($E$2="Deployment",deployment_raw[[#This Row],[Column5]],1))),"")</f>
        <v/>
      </c>
      <c r="K580" s="123" t="str">
        <f>IF(ISNUMBER(deployment_raw[[#This Row],[Column11]]), (MIN(IF(O580&lt;&gt;"",O580,9999999999999)*1.1,deployment_raw[[#This Row],[Column11]] * IF($E$2="Deployment",deployment_raw[[#This Row],[Column5]],1)/1048576)),"")</f>
        <v/>
      </c>
      <c r="L580" s="124" t="str">
        <f>IF(ISNUMBER(deployment_raw[[#This Row],[Column8]]),IF(OR(deployment_raw[[#This Row],[Column5]] &lt;&gt; 0,$E$2 &lt;&gt; "Deployment"), MAX(J580, P580, R580, ($L$2 * IF($E$2="Deployment",deployment_raw[[#This Row],[Column5]],1)),IF(T580&lt;&gt;"",VALUE(T580) * IF($E$2="Deployment",deployment_raw[[#This Row],[Column5]],1),0)), 0),"")</f>
        <v/>
      </c>
      <c r="M580" s="125" t="str">
        <f>IF(ISNUMBER(deployment_raw[[#This Row],[Column9]]),IF(OR(deployment_raw[[#This Row],[Column5]] &lt;&gt; 0,$E$2&lt;&gt;"Deployment"), MAX(K580, Q580, S580, ($M$2 * IF($E$2="Deployment",deployment_raw[[#This Row],[Column5]],1)),IF(U580&lt;&gt;"",VALUE(U580) * IF($E$2="Deployment",deployment_raw[[#This Row],[Column5]],1),0)), 0),"")</f>
        <v/>
      </c>
      <c r="N580" s="166" t="str">
        <f>IF(ISNUMBER(deployment_raw[[#This Row],[Column14]]), deployment_raw[[#This Row],[Column14]]/IF(OR($E$2="Deployment",deployment_raw[[#This Row],[Column5]]=0),1,deployment_raw[[#This Row],[Column5]]),"")</f>
        <v/>
      </c>
      <c r="O580" s="167" t="str">
        <f>IF(ISNUMBER(deployment_raw[[#This Row],[Column15]]), deployment_raw[[#This Row],[Column15]]/IF(OR($E$2="Deployment",deployment_raw[[#This Row],[Column5]]=0),1,deployment_raw[[#This Row],[Column5]])/1048576,"")</f>
        <v/>
      </c>
      <c r="P580" s="168" t="str">
        <f>IF(ISNUMBER(deployment_raw[[#This Row],[Column12]]), (MIN(IF(N580&lt;&gt;"",N580,9999999999999)*1.1,deployment_raw[[#This Row],[Column12]] * IF($E$2="Deployment",deployment_raw[[#This Row],[Column5]],1))*(1+$P$2)),"")</f>
        <v/>
      </c>
      <c r="Q580" s="167" t="str">
        <f>IF(ISNUMBER(deployment_raw[[#This Row],[Column13]]), (MIN(IF(O580&lt;&gt;"",O580,9999999999999)*1.1,deployment_raw[[#This Row],[Column13]] * IF($E$2="Deployment",deployment_raw[[#This Row],[Column5]],1)*(1+$Q$2)/1048576)),"")</f>
        <v/>
      </c>
      <c r="R580" s="169" t="str">
        <f>IF(ISNUMBER(deployment_raw[[#This Row],[Column8]]), (H580  * IF(N580&lt;&gt;0,$R$2,1)),"")</f>
        <v/>
      </c>
      <c r="S580" s="170" t="str">
        <f>IF(ISNUMBER(deployment_raw[[#This Row],[Column8]]), (I580  * IF(O580&lt;&gt;0,$S$2,1)),"")</f>
        <v/>
      </c>
      <c r="T580" s="202" t="str">
        <f>IF(AND(A580&lt;&gt;"",_xlfn.IFNA(MATCH(A580,'dynamic resource application '!$A$2:$A$100, 0),0)&lt;&gt;0), H580/(IF($E$2="Deployment",E580,1)),"")</f>
        <v/>
      </c>
      <c r="U580" s="211" t="str">
        <f>IF(AND(A580&lt;&gt;"",_xlfn.IFNA(MATCH(A580,'dynamic resource application '!$A$2:$A$100, 0),0)&lt;&gt;0), I580/(IF($E$2="Deployment",E580,1)),"")</f>
        <v/>
      </c>
    </row>
    <row r="581" spans="1:21" ht="15.75" customHeight="1" x14ac:dyDescent="0.25">
      <c r="A581" s="35" t="str">
        <f>IF(ISNONTEXT(deployment_raw[[#This Row],[Column1]]), "", deployment_raw[[#This Row],[Column1]])</f>
        <v/>
      </c>
      <c r="B581" s="36" t="str">
        <f>IF(ISNONTEXT(deployment_raw[[#This Row],[Column2]]), "", deployment_raw[[#This Row],[Column2]])</f>
        <v/>
      </c>
      <c r="C581" s="36" t="str">
        <f>IF(ISNONTEXT(deployment_raw[[#This Row],[Column3]]), "", deployment_raw[[#This Row],[Column3]])</f>
        <v/>
      </c>
      <c r="D581" s="36" t="str">
        <f>IF(ISNONTEXT(deployment_raw[[#This Row],[Column4]]), "", deployment_raw[[#This Row],[Column4]])</f>
        <v/>
      </c>
      <c r="E581" s="37" t="str">
        <f>IF(ISNUMBER(deployment_raw[[#This Row],[Column5]]), deployment_raw[[#This Row],[Column5]],"")</f>
        <v/>
      </c>
      <c r="F581" s="94" t="str">
        <f>IF(ISNUMBER(deployment_raw[[#This Row],[Column6]]), (deployment_raw[[#This Row],[Column6]] * IF($E$2="Deployment",deployment_raw[[#This Row],[Column5]],1)),"")</f>
        <v/>
      </c>
      <c r="G581" s="95" t="str">
        <f>IF(ISNUMBER(deployment_raw[[#This Row],[Column7]]), (deployment_raw[[#This Row],[Column7]] * IF($E$2="Deployment",deployment_raw[[#This Row],[Column5]],1))/1048576,"")</f>
        <v/>
      </c>
      <c r="H581" s="95" t="str">
        <f>IF(ISNUMBER(deployment_raw[[#This Row],[Column8]]), (deployment_raw[[#This Row],[Column8]]  * IF($E$2="Deployment",deployment_raw[[#This Row],[Column5]],1)),"")</f>
        <v/>
      </c>
      <c r="I581" s="96" t="str">
        <f>IF(ISNUMBER(deployment_raw[[#This Row],[Column9]]), (deployment_raw[[#This Row],[Column9]] * IF($E$2="Deployment",deployment_raw[[#This Row],[Column5]],1))/1048576,"")</f>
        <v/>
      </c>
      <c r="J581" s="122" t="str">
        <f>IF(ISNUMBER(deployment_raw[[#This Row],[Column10]]), (MIN(IF(N581&lt;&gt;"",N581,9999999999999)*1.1,deployment_raw[[#This Row],[Column10]] * IF($E$2="Deployment",deployment_raw[[#This Row],[Column5]],1))),"")</f>
        <v/>
      </c>
      <c r="K581" s="123" t="str">
        <f>IF(ISNUMBER(deployment_raw[[#This Row],[Column11]]), (MIN(IF(O581&lt;&gt;"",O581,9999999999999)*1.1,deployment_raw[[#This Row],[Column11]] * IF($E$2="Deployment",deployment_raw[[#This Row],[Column5]],1)/1048576)),"")</f>
        <v/>
      </c>
      <c r="L581" s="124" t="str">
        <f>IF(ISNUMBER(deployment_raw[[#This Row],[Column8]]),IF(OR(deployment_raw[[#This Row],[Column5]] &lt;&gt; 0,$E$2 &lt;&gt; "Deployment"), MAX(J581, P581, R581, ($L$2 * IF($E$2="Deployment",deployment_raw[[#This Row],[Column5]],1)),IF(T581&lt;&gt;"",VALUE(T581) * IF($E$2="Deployment",deployment_raw[[#This Row],[Column5]],1),0)), 0),"")</f>
        <v/>
      </c>
      <c r="M581" s="125" t="str">
        <f>IF(ISNUMBER(deployment_raw[[#This Row],[Column9]]),IF(OR(deployment_raw[[#This Row],[Column5]] &lt;&gt; 0,$E$2&lt;&gt;"Deployment"), MAX(K581, Q581, S581, ($M$2 * IF($E$2="Deployment",deployment_raw[[#This Row],[Column5]],1)),IF(U581&lt;&gt;"",VALUE(U581) * IF($E$2="Deployment",deployment_raw[[#This Row],[Column5]],1),0)), 0),"")</f>
        <v/>
      </c>
      <c r="N581" s="166" t="str">
        <f>IF(ISNUMBER(deployment_raw[[#This Row],[Column14]]), deployment_raw[[#This Row],[Column14]]/IF(OR($E$2="Deployment",deployment_raw[[#This Row],[Column5]]=0),1,deployment_raw[[#This Row],[Column5]]),"")</f>
        <v/>
      </c>
      <c r="O581" s="167" t="str">
        <f>IF(ISNUMBER(deployment_raw[[#This Row],[Column15]]), deployment_raw[[#This Row],[Column15]]/IF(OR($E$2="Deployment",deployment_raw[[#This Row],[Column5]]=0),1,deployment_raw[[#This Row],[Column5]])/1048576,"")</f>
        <v/>
      </c>
      <c r="P581" s="168" t="str">
        <f>IF(ISNUMBER(deployment_raw[[#This Row],[Column12]]), (MIN(IF(N581&lt;&gt;"",N581,9999999999999)*1.1,deployment_raw[[#This Row],[Column12]] * IF($E$2="Deployment",deployment_raw[[#This Row],[Column5]],1))*(1+$P$2)),"")</f>
        <v/>
      </c>
      <c r="Q581" s="167" t="str">
        <f>IF(ISNUMBER(deployment_raw[[#This Row],[Column13]]), (MIN(IF(O581&lt;&gt;"",O581,9999999999999)*1.1,deployment_raw[[#This Row],[Column13]] * IF($E$2="Deployment",deployment_raw[[#This Row],[Column5]],1)*(1+$Q$2)/1048576)),"")</f>
        <v/>
      </c>
      <c r="R581" s="169" t="str">
        <f>IF(ISNUMBER(deployment_raw[[#This Row],[Column8]]), (H581  * IF(N581&lt;&gt;0,$R$2,1)),"")</f>
        <v/>
      </c>
      <c r="S581" s="170" t="str">
        <f>IF(ISNUMBER(deployment_raw[[#This Row],[Column8]]), (I581  * IF(O581&lt;&gt;0,$S$2,1)),"")</f>
        <v/>
      </c>
      <c r="T581" s="202" t="str">
        <f>IF(AND(A581&lt;&gt;"",_xlfn.IFNA(MATCH(A581,'dynamic resource application '!$A$2:$A$100, 0),0)&lt;&gt;0), H581/(IF($E$2="Deployment",E581,1)),"")</f>
        <v/>
      </c>
      <c r="U581" s="211" t="str">
        <f>IF(AND(A581&lt;&gt;"",_xlfn.IFNA(MATCH(A581,'dynamic resource application '!$A$2:$A$100, 0),0)&lt;&gt;0), I581/(IF($E$2="Deployment",E581,1)),"")</f>
        <v/>
      </c>
    </row>
    <row r="582" spans="1:21" ht="15.75" customHeight="1" x14ac:dyDescent="0.25">
      <c r="A582" s="35" t="str">
        <f>IF(ISNONTEXT(deployment_raw[[#This Row],[Column1]]), "", deployment_raw[[#This Row],[Column1]])</f>
        <v/>
      </c>
      <c r="B582" s="36" t="str">
        <f>IF(ISNONTEXT(deployment_raw[[#This Row],[Column2]]), "", deployment_raw[[#This Row],[Column2]])</f>
        <v/>
      </c>
      <c r="C582" s="36" t="str">
        <f>IF(ISNONTEXT(deployment_raw[[#This Row],[Column3]]), "", deployment_raw[[#This Row],[Column3]])</f>
        <v/>
      </c>
      <c r="D582" s="36" t="str">
        <f>IF(ISNONTEXT(deployment_raw[[#This Row],[Column4]]), "", deployment_raw[[#This Row],[Column4]])</f>
        <v/>
      </c>
      <c r="E582" s="37" t="str">
        <f>IF(ISNUMBER(deployment_raw[[#This Row],[Column5]]), deployment_raw[[#This Row],[Column5]],"")</f>
        <v/>
      </c>
      <c r="F582" s="94" t="str">
        <f>IF(ISNUMBER(deployment_raw[[#This Row],[Column6]]), (deployment_raw[[#This Row],[Column6]] * IF($E$2="Deployment",deployment_raw[[#This Row],[Column5]],1)),"")</f>
        <v/>
      </c>
      <c r="G582" s="95" t="str">
        <f>IF(ISNUMBER(deployment_raw[[#This Row],[Column7]]), (deployment_raw[[#This Row],[Column7]] * IF($E$2="Deployment",deployment_raw[[#This Row],[Column5]],1))/1048576,"")</f>
        <v/>
      </c>
      <c r="H582" s="95" t="str">
        <f>IF(ISNUMBER(deployment_raw[[#This Row],[Column8]]), (deployment_raw[[#This Row],[Column8]]  * IF($E$2="Deployment",deployment_raw[[#This Row],[Column5]],1)),"")</f>
        <v/>
      </c>
      <c r="I582" s="96" t="str">
        <f>IF(ISNUMBER(deployment_raw[[#This Row],[Column9]]), (deployment_raw[[#This Row],[Column9]] * IF($E$2="Deployment",deployment_raw[[#This Row],[Column5]],1))/1048576,"")</f>
        <v/>
      </c>
      <c r="J582" s="122" t="str">
        <f>IF(ISNUMBER(deployment_raw[[#This Row],[Column10]]), (MIN(IF(N582&lt;&gt;"",N582,9999999999999)*1.1,deployment_raw[[#This Row],[Column10]] * IF($E$2="Deployment",deployment_raw[[#This Row],[Column5]],1))),"")</f>
        <v/>
      </c>
      <c r="K582" s="123" t="str">
        <f>IF(ISNUMBER(deployment_raw[[#This Row],[Column11]]), (MIN(IF(O582&lt;&gt;"",O582,9999999999999)*1.1,deployment_raw[[#This Row],[Column11]] * IF($E$2="Deployment",deployment_raw[[#This Row],[Column5]],1)/1048576)),"")</f>
        <v/>
      </c>
      <c r="L582" s="124" t="str">
        <f>IF(ISNUMBER(deployment_raw[[#This Row],[Column8]]),IF(OR(deployment_raw[[#This Row],[Column5]] &lt;&gt; 0,$E$2 &lt;&gt; "Deployment"), MAX(J582, P582, R582, ($L$2 * IF($E$2="Deployment",deployment_raw[[#This Row],[Column5]],1)),IF(T582&lt;&gt;"",VALUE(T582) * IF($E$2="Deployment",deployment_raw[[#This Row],[Column5]],1),0)), 0),"")</f>
        <v/>
      </c>
      <c r="M582" s="125" t="str">
        <f>IF(ISNUMBER(deployment_raw[[#This Row],[Column9]]),IF(OR(deployment_raw[[#This Row],[Column5]] &lt;&gt; 0,$E$2&lt;&gt;"Deployment"), MAX(K582, Q582, S582, ($M$2 * IF($E$2="Deployment",deployment_raw[[#This Row],[Column5]],1)),IF(U582&lt;&gt;"",VALUE(U582) * IF($E$2="Deployment",deployment_raw[[#This Row],[Column5]],1),0)), 0),"")</f>
        <v/>
      </c>
      <c r="N582" s="166" t="str">
        <f>IF(ISNUMBER(deployment_raw[[#This Row],[Column14]]), deployment_raw[[#This Row],[Column14]]/IF(OR($E$2="Deployment",deployment_raw[[#This Row],[Column5]]=0),1,deployment_raw[[#This Row],[Column5]]),"")</f>
        <v/>
      </c>
      <c r="O582" s="167" t="str">
        <f>IF(ISNUMBER(deployment_raw[[#This Row],[Column15]]), deployment_raw[[#This Row],[Column15]]/IF(OR($E$2="Deployment",deployment_raw[[#This Row],[Column5]]=0),1,deployment_raw[[#This Row],[Column5]])/1048576,"")</f>
        <v/>
      </c>
      <c r="P582" s="168" t="str">
        <f>IF(ISNUMBER(deployment_raw[[#This Row],[Column12]]), (MIN(IF(N582&lt;&gt;"",N582,9999999999999)*1.1,deployment_raw[[#This Row],[Column12]] * IF($E$2="Deployment",deployment_raw[[#This Row],[Column5]],1))*(1+$P$2)),"")</f>
        <v/>
      </c>
      <c r="Q582" s="167" t="str">
        <f>IF(ISNUMBER(deployment_raw[[#This Row],[Column13]]), (MIN(IF(O582&lt;&gt;"",O582,9999999999999)*1.1,deployment_raw[[#This Row],[Column13]] * IF($E$2="Deployment",deployment_raw[[#This Row],[Column5]],1)*(1+$Q$2)/1048576)),"")</f>
        <v/>
      </c>
      <c r="R582" s="169" t="str">
        <f>IF(ISNUMBER(deployment_raw[[#This Row],[Column8]]), (H582  * IF(N582&lt;&gt;0,$R$2,1)),"")</f>
        <v/>
      </c>
      <c r="S582" s="170" t="str">
        <f>IF(ISNUMBER(deployment_raw[[#This Row],[Column8]]), (I582  * IF(O582&lt;&gt;0,$S$2,1)),"")</f>
        <v/>
      </c>
      <c r="T582" s="202" t="str">
        <f>IF(AND(A582&lt;&gt;"",_xlfn.IFNA(MATCH(A582,'dynamic resource application '!$A$2:$A$100, 0),0)&lt;&gt;0), H582/(IF($E$2="Deployment",E582,1)),"")</f>
        <v/>
      </c>
      <c r="U582" s="211" t="str">
        <f>IF(AND(A582&lt;&gt;"",_xlfn.IFNA(MATCH(A582,'dynamic resource application '!$A$2:$A$100, 0),0)&lt;&gt;0), I582/(IF($E$2="Deployment",E582,1)),"")</f>
        <v/>
      </c>
    </row>
    <row r="583" spans="1:21" ht="15.75" customHeight="1" x14ac:dyDescent="0.25">
      <c r="A583" s="35" t="str">
        <f>IF(ISNONTEXT(deployment_raw[[#This Row],[Column1]]), "", deployment_raw[[#This Row],[Column1]])</f>
        <v/>
      </c>
      <c r="B583" s="36" t="str">
        <f>IF(ISNONTEXT(deployment_raw[[#This Row],[Column2]]), "", deployment_raw[[#This Row],[Column2]])</f>
        <v/>
      </c>
      <c r="C583" s="36" t="str">
        <f>IF(ISNONTEXT(deployment_raw[[#This Row],[Column3]]), "", deployment_raw[[#This Row],[Column3]])</f>
        <v/>
      </c>
      <c r="D583" s="36" t="str">
        <f>IF(ISNONTEXT(deployment_raw[[#This Row],[Column4]]), "", deployment_raw[[#This Row],[Column4]])</f>
        <v/>
      </c>
      <c r="E583" s="37" t="str">
        <f>IF(ISNUMBER(deployment_raw[[#This Row],[Column5]]), deployment_raw[[#This Row],[Column5]],"")</f>
        <v/>
      </c>
      <c r="F583" s="94" t="str">
        <f>IF(ISNUMBER(deployment_raw[[#This Row],[Column6]]), (deployment_raw[[#This Row],[Column6]] * IF($E$2="Deployment",deployment_raw[[#This Row],[Column5]],1)),"")</f>
        <v/>
      </c>
      <c r="G583" s="95" t="str">
        <f>IF(ISNUMBER(deployment_raw[[#This Row],[Column7]]), (deployment_raw[[#This Row],[Column7]] * IF($E$2="Deployment",deployment_raw[[#This Row],[Column5]],1))/1048576,"")</f>
        <v/>
      </c>
      <c r="H583" s="95" t="str">
        <f>IF(ISNUMBER(deployment_raw[[#This Row],[Column8]]), (deployment_raw[[#This Row],[Column8]]  * IF($E$2="Deployment",deployment_raw[[#This Row],[Column5]],1)),"")</f>
        <v/>
      </c>
      <c r="I583" s="96" t="str">
        <f>IF(ISNUMBER(deployment_raw[[#This Row],[Column9]]), (deployment_raw[[#This Row],[Column9]] * IF($E$2="Deployment",deployment_raw[[#This Row],[Column5]],1))/1048576,"")</f>
        <v/>
      </c>
      <c r="J583" s="122" t="str">
        <f>IF(ISNUMBER(deployment_raw[[#This Row],[Column10]]), (MIN(IF(N583&lt;&gt;"",N583,9999999999999)*1.1,deployment_raw[[#This Row],[Column10]] * IF($E$2="Deployment",deployment_raw[[#This Row],[Column5]],1))),"")</f>
        <v/>
      </c>
      <c r="K583" s="123" t="str">
        <f>IF(ISNUMBER(deployment_raw[[#This Row],[Column11]]), (MIN(IF(O583&lt;&gt;"",O583,9999999999999)*1.1,deployment_raw[[#This Row],[Column11]] * IF($E$2="Deployment",deployment_raw[[#This Row],[Column5]],1)/1048576)),"")</f>
        <v/>
      </c>
      <c r="L583" s="124" t="str">
        <f>IF(ISNUMBER(deployment_raw[[#This Row],[Column8]]),IF(OR(deployment_raw[[#This Row],[Column5]] &lt;&gt; 0,$E$2 &lt;&gt; "Deployment"), MAX(J583, P583, R583, ($L$2 * IF($E$2="Deployment",deployment_raw[[#This Row],[Column5]],1)),IF(T583&lt;&gt;"",VALUE(T583) * IF($E$2="Deployment",deployment_raw[[#This Row],[Column5]],1),0)), 0),"")</f>
        <v/>
      </c>
      <c r="M583" s="125" t="str">
        <f>IF(ISNUMBER(deployment_raw[[#This Row],[Column9]]),IF(OR(deployment_raw[[#This Row],[Column5]] &lt;&gt; 0,$E$2&lt;&gt;"Deployment"), MAX(K583, Q583, S583, ($M$2 * IF($E$2="Deployment",deployment_raw[[#This Row],[Column5]],1)),IF(U583&lt;&gt;"",VALUE(U583) * IF($E$2="Deployment",deployment_raw[[#This Row],[Column5]],1),0)), 0),"")</f>
        <v/>
      </c>
      <c r="N583" s="166" t="str">
        <f>IF(ISNUMBER(deployment_raw[[#This Row],[Column14]]), deployment_raw[[#This Row],[Column14]]/IF(OR($E$2="Deployment",deployment_raw[[#This Row],[Column5]]=0),1,deployment_raw[[#This Row],[Column5]]),"")</f>
        <v/>
      </c>
      <c r="O583" s="167" t="str">
        <f>IF(ISNUMBER(deployment_raw[[#This Row],[Column15]]), deployment_raw[[#This Row],[Column15]]/IF(OR($E$2="Deployment",deployment_raw[[#This Row],[Column5]]=0),1,deployment_raw[[#This Row],[Column5]])/1048576,"")</f>
        <v/>
      </c>
      <c r="P583" s="168" t="str">
        <f>IF(ISNUMBER(deployment_raw[[#This Row],[Column12]]), (MIN(IF(N583&lt;&gt;"",N583,9999999999999)*1.1,deployment_raw[[#This Row],[Column12]] * IF($E$2="Deployment",deployment_raw[[#This Row],[Column5]],1))*(1+$P$2)),"")</f>
        <v/>
      </c>
      <c r="Q583" s="167" t="str">
        <f>IF(ISNUMBER(deployment_raw[[#This Row],[Column13]]), (MIN(IF(O583&lt;&gt;"",O583,9999999999999)*1.1,deployment_raw[[#This Row],[Column13]] * IF($E$2="Deployment",deployment_raw[[#This Row],[Column5]],1)*(1+$Q$2)/1048576)),"")</f>
        <v/>
      </c>
      <c r="R583" s="169" t="str">
        <f>IF(ISNUMBER(deployment_raw[[#This Row],[Column8]]), (H583  * IF(N583&lt;&gt;0,$R$2,1)),"")</f>
        <v/>
      </c>
      <c r="S583" s="170" t="str">
        <f>IF(ISNUMBER(deployment_raw[[#This Row],[Column8]]), (I583  * IF(O583&lt;&gt;0,$S$2,1)),"")</f>
        <v/>
      </c>
      <c r="T583" s="202" t="str">
        <f>IF(AND(A583&lt;&gt;"",_xlfn.IFNA(MATCH(A583,'dynamic resource application '!$A$2:$A$100, 0),0)&lt;&gt;0), H583/(IF($E$2="Deployment",E583,1)),"")</f>
        <v/>
      </c>
      <c r="U583" s="211" t="str">
        <f>IF(AND(A583&lt;&gt;"",_xlfn.IFNA(MATCH(A583,'dynamic resource application '!$A$2:$A$100, 0),0)&lt;&gt;0), I583/(IF($E$2="Deployment",E583,1)),"")</f>
        <v/>
      </c>
    </row>
    <row r="584" spans="1:21" ht="15.75" customHeight="1" x14ac:dyDescent="0.25">
      <c r="A584" s="35" t="str">
        <f>IF(ISNONTEXT(deployment_raw[[#This Row],[Column1]]), "", deployment_raw[[#This Row],[Column1]])</f>
        <v/>
      </c>
      <c r="B584" s="36" t="str">
        <f>IF(ISNONTEXT(deployment_raw[[#This Row],[Column2]]), "", deployment_raw[[#This Row],[Column2]])</f>
        <v/>
      </c>
      <c r="C584" s="36" t="str">
        <f>IF(ISNONTEXT(deployment_raw[[#This Row],[Column3]]), "", deployment_raw[[#This Row],[Column3]])</f>
        <v/>
      </c>
      <c r="D584" s="36" t="str">
        <f>IF(ISNONTEXT(deployment_raw[[#This Row],[Column4]]), "", deployment_raw[[#This Row],[Column4]])</f>
        <v/>
      </c>
      <c r="E584" s="37" t="str">
        <f>IF(ISNUMBER(deployment_raw[[#This Row],[Column5]]), deployment_raw[[#This Row],[Column5]],"")</f>
        <v/>
      </c>
      <c r="F584" s="94" t="str">
        <f>IF(ISNUMBER(deployment_raw[[#This Row],[Column6]]), (deployment_raw[[#This Row],[Column6]] * IF($E$2="Deployment",deployment_raw[[#This Row],[Column5]],1)),"")</f>
        <v/>
      </c>
      <c r="G584" s="95" t="str">
        <f>IF(ISNUMBER(deployment_raw[[#This Row],[Column7]]), (deployment_raw[[#This Row],[Column7]] * IF($E$2="Deployment",deployment_raw[[#This Row],[Column5]],1))/1048576,"")</f>
        <v/>
      </c>
      <c r="H584" s="95" t="str">
        <f>IF(ISNUMBER(deployment_raw[[#This Row],[Column8]]), (deployment_raw[[#This Row],[Column8]]  * IF($E$2="Deployment",deployment_raw[[#This Row],[Column5]],1)),"")</f>
        <v/>
      </c>
      <c r="I584" s="96" t="str">
        <f>IF(ISNUMBER(deployment_raw[[#This Row],[Column9]]), (deployment_raw[[#This Row],[Column9]] * IF($E$2="Deployment",deployment_raw[[#This Row],[Column5]],1))/1048576,"")</f>
        <v/>
      </c>
      <c r="J584" s="122" t="str">
        <f>IF(ISNUMBER(deployment_raw[[#This Row],[Column10]]), (MIN(IF(N584&lt;&gt;"",N584,9999999999999)*1.1,deployment_raw[[#This Row],[Column10]] * IF($E$2="Deployment",deployment_raw[[#This Row],[Column5]],1))),"")</f>
        <v/>
      </c>
      <c r="K584" s="123" t="str">
        <f>IF(ISNUMBER(deployment_raw[[#This Row],[Column11]]), (MIN(IF(O584&lt;&gt;"",O584,9999999999999)*1.1,deployment_raw[[#This Row],[Column11]] * IF($E$2="Deployment",deployment_raw[[#This Row],[Column5]],1)/1048576)),"")</f>
        <v/>
      </c>
      <c r="L584" s="124" t="str">
        <f>IF(ISNUMBER(deployment_raw[[#This Row],[Column8]]),IF(OR(deployment_raw[[#This Row],[Column5]] &lt;&gt; 0,$E$2 &lt;&gt; "Deployment"), MAX(J584, P584, R584, ($L$2 * IF($E$2="Deployment",deployment_raw[[#This Row],[Column5]],1)),IF(T584&lt;&gt;"",VALUE(T584) * IF($E$2="Deployment",deployment_raw[[#This Row],[Column5]],1),0)), 0),"")</f>
        <v/>
      </c>
      <c r="M584" s="125" t="str">
        <f>IF(ISNUMBER(deployment_raw[[#This Row],[Column9]]),IF(OR(deployment_raw[[#This Row],[Column5]] &lt;&gt; 0,$E$2&lt;&gt;"Deployment"), MAX(K584, Q584, S584, ($M$2 * IF($E$2="Deployment",deployment_raw[[#This Row],[Column5]],1)),IF(U584&lt;&gt;"",VALUE(U584) * IF($E$2="Deployment",deployment_raw[[#This Row],[Column5]],1),0)), 0),"")</f>
        <v/>
      </c>
      <c r="N584" s="166" t="str">
        <f>IF(ISNUMBER(deployment_raw[[#This Row],[Column14]]), deployment_raw[[#This Row],[Column14]]/IF(OR($E$2="Deployment",deployment_raw[[#This Row],[Column5]]=0),1,deployment_raw[[#This Row],[Column5]]),"")</f>
        <v/>
      </c>
      <c r="O584" s="167" t="str">
        <f>IF(ISNUMBER(deployment_raw[[#This Row],[Column15]]), deployment_raw[[#This Row],[Column15]]/IF(OR($E$2="Deployment",deployment_raw[[#This Row],[Column5]]=0),1,deployment_raw[[#This Row],[Column5]])/1048576,"")</f>
        <v/>
      </c>
      <c r="P584" s="168" t="str">
        <f>IF(ISNUMBER(deployment_raw[[#This Row],[Column12]]), (MIN(IF(N584&lt;&gt;"",N584,9999999999999)*1.1,deployment_raw[[#This Row],[Column12]] * IF($E$2="Deployment",deployment_raw[[#This Row],[Column5]],1))*(1+$P$2)),"")</f>
        <v/>
      </c>
      <c r="Q584" s="167" t="str">
        <f>IF(ISNUMBER(deployment_raw[[#This Row],[Column13]]), (MIN(IF(O584&lt;&gt;"",O584,9999999999999)*1.1,deployment_raw[[#This Row],[Column13]] * IF($E$2="Deployment",deployment_raw[[#This Row],[Column5]],1)*(1+$Q$2)/1048576)),"")</f>
        <v/>
      </c>
      <c r="R584" s="169" t="str">
        <f>IF(ISNUMBER(deployment_raw[[#This Row],[Column8]]), (H584  * IF(N584&lt;&gt;0,$R$2,1)),"")</f>
        <v/>
      </c>
      <c r="S584" s="170" t="str">
        <f>IF(ISNUMBER(deployment_raw[[#This Row],[Column8]]), (I584  * IF(O584&lt;&gt;0,$S$2,1)),"")</f>
        <v/>
      </c>
      <c r="T584" s="202" t="str">
        <f>IF(AND(A584&lt;&gt;"",_xlfn.IFNA(MATCH(A584,'dynamic resource application '!$A$2:$A$100, 0),0)&lt;&gt;0), H584/(IF($E$2="Deployment",E584,1)),"")</f>
        <v/>
      </c>
      <c r="U584" s="211" t="str">
        <f>IF(AND(A584&lt;&gt;"",_xlfn.IFNA(MATCH(A584,'dynamic resource application '!$A$2:$A$100, 0),0)&lt;&gt;0), I584/(IF($E$2="Deployment",E584,1)),"")</f>
        <v/>
      </c>
    </row>
    <row r="585" spans="1:21" ht="15.75" customHeight="1" x14ac:dyDescent="0.25">
      <c r="A585" s="35" t="str">
        <f>IF(ISNONTEXT(deployment_raw[[#This Row],[Column1]]), "", deployment_raw[[#This Row],[Column1]])</f>
        <v/>
      </c>
      <c r="B585" s="36" t="str">
        <f>IF(ISNONTEXT(deployment_raw[[#This Row],[Column2]]), "", deployment_raw[[#This Row],[Column2]])</f>
        <v/>
      </c>
      <c r="C585" s="36" t="str">
        <f>IF(ISNONTEXT(deployment_raw[[#This Row],[Column3]]), "", deployment_raw[[#This Row],[Column3]])</f>
        <v/>
      </c>
      <c r="D585" s="36" t="str">
        <f>IF(ISNONTEXT(deployment_raw[[#This Row],[Column4]]), "", deployment_raw[[#This Row],[Column4]])</f>
        <v/>
      </c>
      <c r="E585" s="37" t="str">
        <f>IF(ISNUMBER(deployment_raw[[#This Row],[Column5]]), deployment_raw[[#This Row],[Column5]],"")</f>
        <v/>
      </c>
      <c r="F585" s="94" t="str">
        <f>IF(ISNUMBER(deployment_raw[[#This Row],[Column6]]), (deployment_raw[[#This Row],[Column6]] * IF($E$2="Deployment",deployment_raw[[#This Row],[Column5]],1)),"")</f>
        <v/>
      </c>
      <c r="G585" s="95" t="str">
        <f>IF(ISNUMBER(deployment_raw[[#This Row],[Column7]]), (deployment_raw[[#This Row],[Column7]] * IF($E$2="Deployment",deployment_raw[[#This Row],[Column5]],1))/1048576,"")</f>
        <v/>
      </c>
      <c r="H585" s="95" t="str">
        <f>IF(ISNUMBER(deployment_raw[[#This Row],[Column8]]), (deployment_raw[[#This Row],[Column8]]  * IF($E$2="Deployment",deployment_raw[[#This Row],[Column5]],1)),"")</f>
        <v/>
      </c>
      <c r="I585" s="96" t="str">
        <f>IF(ISNUMBER(deployment_raw[[#This Row],[Column9]]), (deployment_raw[[#This Row],[Column9]] * IF($E$2="Deployment",deployment_raw[[#This Row],[Column5]],1))/1048576,"")</f>
        <v/>
      </c>
      <c r="J585" s="122" t="str">
        <f>IF(ISNUMBER(deployment_raw[[#This Row],[Column10]]), (MIN(IF(N585&lt;&gt;"",N585,9999999999999)*1.1,deployment_raw[[#This Row],[Column10]] * IF($E$2="Deployment",deployment_raw[[#This Row],[Column5]],1))),"")</f>
        <v/>
      </c>
      <c r="K585" s="123" t="str">
        <f>IF(ISNUMBER(deployment_raw[[#This Row],[Column11]]), (MIN(IF(O585&lt;&gt;"",O585,9999999999999)*1.1,deployment_raw[[#This Row],[Column11]] * IF($E$2="Deployment",deployment_raw[[#This Row],[Column5]],1)/1048576)),"")</f>
        <v/>
      </c>
      <c r="L585" s="124" t="str">
        <f>IF(ISNUMBER(deployment_raw[[#This Row],[Column8]]),IF(OR(deployment_raw[[#This Row],[Column5]] &lt;&gt; 0,$E$2 &lt;&gt; "Deployment"), MAX(J585, P585, R585, ($L$2 * IF($E$2="Deployment",deployment_raw[[#This Row],[Column5]],1)),IF(T585&lt;&gt;"",VALUE(T585) * IF($E$2="Deployment",deployment_raw[[#This Row],[Column5]],1),0)), 0),"")</f>
        <v/>
      </c>
      <c r="M585" s="125" t="str">
        <f>IF(ISNUMBER(deployment_raw[[#This Row],[Column9]]),IF(OR(deployment_raw[[#This Row],[Column5]] &lt;&gt; 0,$E$2&lt;&gt;"Deployment"), MAX(K585, Q585, S585, ($M$2 * IF($E$2="Deployment",deployment_raw[[#This Row],[Column5]],1)),IF(U585&lt;&gt;"",VALUE(U585) * IF($E$2="Deployment",deployment_raw[[#This Row],[Column5]],1),0)), 0),"")</f>
        <v/>
      </c>
      <c r="N585" s="166" t="str">
        <f>IF(ISNUMBER(deployment_raw[[#This Row],[Column14]]), deployment_raw[[#This Row],[Column14]]/IF(OR($E$2="Deployment",deployment_raw[[#This Row],[Column5]]=0),1,deployment_raw[[#This Row],[Column5]]),"")</f>
        <v/>
      </c>
      <c r="O585" s="167" t="str">
        <f>IF(ISNUMBER(deployment_raw[[#This Row],[Column15]]), deployment_raw[[#This Row],[Column15]]/IF(OR($E$2="Deployment",deployment_raw[[#This Row],[Column5]]=0),1,deployment_raw[[#This Row],[Column5]])/1048576,"")</f>
        <v/>
      </c>
      <c r="P585" s="168" t="str">
        <f>IF(ISNUMBER(deployment_raw[[#This Row],[Column12]]), (MIN(IF(N585&lt;&gt;"",N585,9999999999999)*1.1,deployment_raw[[#This Row],[Column12]] * IF($E$2="Deployment",deployment_raw[[#This Row],[Column5]],1))*(1+$P$2)),"")</f>
        <v/>
      </c>
      <c r="Q585" s="167" t="str">
        <f>IF(ISNUMBER(deployment_raw[[#This Row],[Column13]]), (MIN(IF(O585&lt;&gt;"",O585,9999999999999)*1.1,deployment_raw[[#This Row],[Column13]] * IF($E$2="Deployment",deployment_raw[[#This Row],[Column5]],1)*(1+$Q$2)/1048576)),"")</f>
        <v/>
      </c>
      <c r="R585" s="169" t="str">
        <f>IF(ISNUMBER(deployment_raw[[#This Row],[Column8]]), (H585  * IF(N585&lt;&gt;0,$R$2,1)),"")</f>
        <v/>
      </c>
      <c r="S585" s="170" t="str">
        <f>IF(ISNUMBER(deployment_raw[[#This Row],[Column8]]), (I585  * IF(O585&lt;&gt;0,$S$2,1)),"")</f>
        <v/>
      </c>
      <c r="T585" s="202" t="str">
        <f>IF(AND(A585&lt;&gt;"",_xlfn.IFNA(MATCH(A585,'dynamic resource application '!$A$2:$A$100, 0),0)&lt;&gt;0), H585/(IF($E$2="Deployment",E585,1)),"")</f>
        <v/>
      </c>
      <c r="U585" s="211" t="str">
        <f>IF(AND(A585&lt;&gt;"",_xlfn.IFNA(MATCH(A585,'dynamic resource application '!$A$2:$A$100, 0),0)&lt;&gt;0), I585/(IF($E$2="Deployment",E585,1)),"")</f>
        <v/>
      </c>
    </row>
    <row r="586" spans="1:21" ht="15.75" customHeight="1" x14ac:dyDescent="0.25">
      <c r="A586" s="35" t="str">
        <f>IF(ISNONTEXT(deployment_raw[[#This Row],[Column1]]), "", deployment_raw[[#This Row],[Column1]])</f>
        <v/>
      </c>
      <c r="B586" s="36" t="str">
        <f>IF(ISNONTEXT(deployment_raw[[#This Row],[Column2]]), "", deployment_raw[[#This Row],[Column2]])</f>
        <v/>
      </c>
      <c r="C586" s="36" t="str">
        <f>IF(ISNONTEXT(deployment_raw[[#This Row],[Column3]]), "", deployment_raw[[#This Row],[Column3]])</f>
        <v/>
      </c>
      <c r="D586" s="36" t="str">
        <f>IF(ISNONTEXT(deployment_raw[[#This Row],[Column4]]), "", deployment_raw[[#This Row],[Column4]])</f>
        <v/>
      </c>
      <c r="E586" s="37" t="str">
        <f>IF(ISNUMBER(deployment_raw[[#This Row],[Column5]]), deployment_raw[[#This Row],[Column5]],"")</f>
        <v/>
      </c>
      <c r="F586" s="94" t="str">
        <f>IF(ISNUMBER(deployment_raw[[#This Row],[Column6]]), (deployment_raw[[#This Row],[Column6]] * IF($E$2="Deployment",deployment_raw[[#This Row],[Column5]],1)),"")</f>
        <v/>
      </c>
      <c r="G586" s="95" t="str">
        <f>IF(ISNUMBER(deployment_raw[[#This Row],[Column7]]), (deployment_raw[[#This Row],[Column7]] * IF($E$2="Deployment",deployment_raw[[#This Row],[Column5]],1))/1048576,"")</f>
        <v/>
      </c>
      <c r="H586" s="95" t="str">
        <f>IF(ISNUMBER(deployment_raw[[#This Row],[Column8]]), (deployment_raw[[#This Row],[Column8]]  * IF($E$2="Deployment",deployment_raw[[#This Row],[Column5]],1)),"")</f>
        <v/>
      </c>
      <c r="I586" s="96" t="str">
        <f>IF(ISNUMBER(deployment_raw[[#This Row],[Column9]]), (deployment_raw[[#This Row],[Column9]] * IF($E$2="Deployment",deployment_raw[[#This Row],[Column5]],1))/1048576,"")</f>
        <v/>
      </c>
      <c r="J586" s="122" t="str">
        <f>IF(ISNUMBER(deployment_raw[[#This Row],[Column10]]), (MIN(IF(N586&lt;&gt;"",N586,9999999999999)*1.1,deployment_raw[[#This Row],[Column10]] * IF($E$2="Deployment",deployment_raw[[#This Row],[Column5]],1))),"")</f>
        <v/>
      </c>
      <c r="K586" s="123" t="str">
        <f>IF(ISNUMBER(deployment_raw[[#This Row],[Column11]]), (MIN(IF(O586&lt;&gt;"",O586,9999999999999)*1.1,deployment_raw[[#This Row],[Column11]] * IF($E$2="Deployment",deployment_raw[[#This Row],[Column5]],1)/1048576)),"")</f>
        <v/>
      </c>
      <c r="L586" s="124" t="str">
        <f>IF(ISNUMBER(deployment_raw[[#This Row],[Column8]]),IF(OR(deployment_raw[[#This Row],[Column5]] &lt;&gt; 0,$E$2 &lt;&gt; "Deployment"), MAX(J586, P586, R586, ($L$2 * IF($E$2="Deployment",deployment_raw[[#This Row],[Column5]],1)),IF(T586&lt;&gt;"",VALUE(T586) * IF($E$2="Deployment",deployment_raw[[#This Row],[Column5]],1),0)), 0),"")</f>
        <v/>
      </c>
      <c r="M586" s="125" t="str">
        <f>IF(ISNUMBER(deployment_raw[[#This Row],[Column9]]),IF(OR(deployment_raw[[#This Row],[Column5]] &lt;&gt; 0,$E$2&lt;&gt;"Deployment"), MAX(K586, Q586, S586, ($M$2 * IF($E$2="Deployment",deployment_raw[[#This Row],[Column5]],1)),IF(U586&lt;&gt;"",VALUE(U586) * IF($E$2="Deployment",deployment_raw[[#This Row],[Column5]],1),0)), 0),"")</f>
        <v/>
      </c>
      <c r="N586" s="166" t="str">
        <f>IF(ISNUMBER(deployment_raw[[#This Row],[Column14]]), deployment_raw[[#This Row],[Column14]]/IF(OR($E$2="Deployment",deployment_raw[[#This Row],[Column5]]=0),1,deployment_raw[[#This Row],[Column5]]),"")</f>
        <v/>
      </c>
      <c r="O586" s="167" t="str">
        <f>IF(ISNUMBER(deployment_raw[[#This Row],[Column15]]), deployment_raw[[#This Row],[Column15]]/IF(OR($E$2="Deployment",deployment_raw[[#This Row],[Column5]]=0),1,deployment_raw[[#This Row],[Column5]])/1048576,"")</f>
        <v/>
      </c>
      <c r="P586" s="168" t="str">
        <f>IF(ISNUMBER(deployment_raw[[#This Row],[Column12]]), (MIN(IF(N586&lt;&gt;"",N586,9999999999999)*1.1,deployment_raw[[#This Row],[Column12]] * IF($E$2="Deployment",deployment_raw[[#This Row],[Column5]],1))*(1+$P$2)),"")</f>
        <v/>
      </c>
      <c r="Q586" s="167" t="str">
        <f>IF(ISNUMBER(deployment_raw[[#This Row],[Column13]]), (MIN(IF(O586&lt;&gt;"",O586,9999999999999)*1.1,deployment_raw[[#This Row],[Column13]] * IF($E$2="Deployment",deployment_raw[[#This Row],[Column5]],1)*(1+$Q$2)/1048576)),"")</f>
        <v/>
      </c>
      <c r="R586" s="169" t="str">
        <f>IF(ISNUMBER(deployment_raw[[#This Row],[Column8]]), (H586  * IF(N586&lt;&gt;0,$R$2,1)),"")</f>
        <v/>
      </c>
      <c r="S586" s="170" t="str">
        <f>IF(ISNUMBER(deployment_raw[[#This Row],[Column8]]), (I586  * IF(O586&lt;&gt;0,$S$2,1)),"")</f>
        <v/>
      </c>
      <c r="T586" s="202" t="str">
        <f>IF(AND(A586&lt;&gt;"",_xlfn.IFNA(MATCH(A586,'dynamic resource application '!$A$2:$A$100, 0),0)&lt;&gt;0), H586/(IF($E$2="Deployment",E586,1)),"")</f>
        <v/>
      </c>
      <c r="U586" s="211" t="str">
        <f>IF(AND(A586&lt;&gt;"",_xlfn.IFNA(MATCH(A586,'dynamic resource application '!$A$2:$A$100, 0),0)&lt;&gt;0), I586/(IF($E$2="Deployment",E586,1)),"")</f>
        <v/>
      </c>
    </row>
    <row r="587" spans="1:21" ht="15.75" customHeight="1" x14ac:dyDescent="0.25">
      <c r="A587" s="35" t="str">
        <f>IF(ISNONTEXT(deployment_raw[[#This Row],[Column1]]), "", deployment_raw[[#This Row],[Column1]])</f>
        <v/>
      </c>
      <c r="B587" s="36" t="str">
        <f>IF(ISNONTEXT(deployment_raw[[#This Row],[Column2]]), "", deployment_raw[[#This Row],[Column2]])</f>
        <v/>
      </c>
      <c r="C587" s="36" t="str">
        <f>IF(ISNONTEXT(deployment_raw[[#This Row],[Column3]]), "", deployment_raw[[#This Row],[Column3]])</f>
        <v/>
      </c>
      <c r="D587" s="36" t="str">
        <f>IF(ISNONTEXT(deployment_raw[[#This Row],[Column4]]), "", deployment_raw[[#This Row],[Column4]])</f>
        <v/>
      </c>
      <c r="E587" s="37" t="str">
        <f>IF(ISNUMBER(deployment_raw[[#This Row],[Column5]]), deployment_raw[[#This Row],[Column5]],"")</f>
        <v/>
      </c>
      <c r="F587" s="94" t="str">
        <f>IF(ISNUMBER(deployment_raw[[#This Row],[Column6]]), (deployment_raw[[#This Row],[Column6]] * IF($E$2="Deployment",deployment_raw[[#This Row],[Column5]],1)),"")</f>
        <v/>
      </c>
      <c r="G587" s="95" t="str">
        <f>IF(ISNUMBER(deployment_raw[[#This Row],[Column7]]), (deployment_raw[[#This Row],[Column7]] * IF($E$2="Deployment",deployment_raw[[#This Row],[Column5]],1))/1048576,"")</f>
        <v/>
      </c>
      <c r="H587" s="95" t="str">
        <f>IF(ISNUMBER(deployment_raw[[#This Row],[Column8]]), (deployment_raw[[#This Row],[Column8]]  * IF($E$2="Deployment",deployment_raw[[#This Row],[Column5]],1)),"")</f>
        <v/>
      </c>
      <c r="I587" s="96" t="str">
        <f>IF(ISNUMBER(deployment_raw[[#This Row],[Column9]]), (deployment_raw[[#This Row],[Column9]] * IF($E$2="Deployment",deployment_raw[[#This Row],[Column5]],1))/1048576,"")</f>
        <v/>
      </c>
      <c r="J587" s="122" t="str">
        <f>IF(ISNUMBER(deployment_raw[[#This Row],[Column10]]), (MIN(IF(N587&lt;&gt;"",N587,9999999999999)*1.1,deployment_raw[[#This Row],[Column10]] * IF($E$2="Deployment",deployment_raw[[#This Row],[Column5]],1))),"")</f>
        <v/>
      </c>
      <c r="K587" s="123" t="str">
        <f>IF(ISNUMBER(deployment_raw[[#This Row],[Column11]]), (MIN(IF(O587&lt;&gt;"",O587,9999999999999)*1.1,deployment_raw[[#This Row],[Column11]] * IF($E$2="Deployment",deployment_raw[[#This Row],[Column5]],1)/1048576)),"")</f>
        <v/>
      </c>
      <c r="L587" s="124" t="str">
        <f>IF(ISNUMBER(deployment_raw[[#This Row],[Column8]]),IF(OR(deployment_raw[[#This Row],[Column5]] &lt;&gt; 0,$E$2 &lt;&gt; "Deployment"), MAX(J587, P587, R587, ($L$2 * IF($E$2="Deployment",deployment_raw[[#This Row],[Column5]],1)),IF(T587&lt;&gt;"",VALUE(T587) * IF($E$2="Deployment",deployment_raw[[#This Row],[Column5]],1),0)), 0),"")</f>
        <v/>
      </c>
      <c r="M587" s="125" t="str">
        <f>IF(ISNUMBER(deployment_raw[[#This Row],[Column9]]),IF(OR(deployment_raw[[#This Row],[Column5]] &lt;&gt; 0,$E$2&lt;&gt;"Deployment"), MAX(K587, Q587, S587, ($M$2 * IF($E$2="Deployment",deployment_raw[[#This Row],[Column5]],1)),IF(U587&lt;&gt;"",VALUE(U587) * IF($E$2="Deployment",deployment_raw[[#This Row],[Column5]],1),0)), 0),"")</f>
        <v/>
      </c>
      <c r="N587" s="166" t="str">
        <f>IF(ISNUMBER(deployment_raw[[#This Row],[Column14]]), deployment_raw[[#This Row],[Column14]]/IF(OR($E$2="Deployment",deployment_raw[[#This Row],[Column5]]=0),1,deployment_raw[[#This Row],[Column5]]),"")</f>
        <v/>
      </c>
      <c r="O587" s="167" t="str">
        <f>IF(ISNUMBER(deployment_raw[[#This Row],[Column15]]), deployment_raw[[#This Row],[Column15]]/IF(OR($E$2="Deployment",deployment_raw[[#This Row],[Column5]]=0),1,deployment_raw[[#This Row],[Column5]])/1048576,"")</f>
        <v/>
      </c>
      <c r="P587" s="168" t="str">
        <f>IF(ISNUMBER(deployment_raw[[#This Row],[Column12]]), (MIN(IF(N587&lt;&gt;"",N587,9999999999999)*1.1,deployment_raw[[#This Row],[Column12]] * IF($E$2="Deployment",deployment_raw[[#This Row],[Column5]],1))*(1+$P$2)),"")</f>
        <v/>
      </c>
      <c r="Q587" s="167" t="str">
        <f>IF(ISNUMBER(deployment_raw[[#This Row],[Column13]]), (MIN(IF(O587&lt;&gt;"",O587,9999999999999)*1.1,deployment_raw[[#This Row],[Column13]] * IF($E$2="Deployment",deployment_raw[[#This Row],[Column5]],1)*(1+$Q$2)/1048576)),"")</f>
        <v/>
      </c>
      <c r="R587" s="169" t="str">
        <f>IF(ISNUMBER(deployment_raw[[#This Row],[Column8]]), (H587  * IF(N587&lt;&gt;0,$R$2,1)),"")</f>
        <v/>
      </c>
      <c r="S587" s="170" t="str">
        <f>IF(ISNUMBER(deployment_raw[[#This Row],[Column8]]), (I587  * IF(O587&lt;&gt;0,$S$2,1)),"")</f>
        <v/>
      </c>
      <c r="T587" s="202" t="str">
        <f>IF(AND(A587&lt;&gt;"",_xlfn.IFNA(MATCH(A587,'dynamic resource application '!$A$2:$A$100, 0),0)&lt;&gt;0), H587/(IF($E$2="Deployment",E587,1)),"")</f>
        <v/>
      </c>
      <c r="U587" s="211" t="str">
        <f>IF(AND(A587&lt;&gt;"",_xlfn.IFNA(MATCH(A587,'dynamic resource application '!$A$2:$A$100, 0),0)&lt;&gt;0), I587/(IF($E$2="Deployment",E587,1)),"")</f>
        <v/>
      </c>
    </row>
    <row r="588" spans="1:21" ht="15.75" customHeight="1" x14ac:dyDescent="0.25">
      <c r="A588" s="35" t="str">
        <f>IF(ISNONTEXT(deployment_raw[[#This Row],[Column1]]), "", deployment_raw[[#This Row],[Column1]])</f>
        <v/>
      </c>
      <c r="B588" s="36" t="str">
        <f>IF(ISNONTEXT(deployment_raw[[#This Row],[Column2]]), "", deployment_raw[[#This Row],[Column2]])</f>
        <v/>
      </c>
      <c r="C588" s="36" t="str">
        <f>IF(ISNONTEXT(deployment_raw[[#This Row],[Column3]]), "", deployment_raw[[#This Row],[Column3]])</f>
        <v/>
      </c>
      <c r="D588" s="36" t="str">
        <f>IF(ISNONTEXT(deployment_raw[[#This Row],[Column4]]), "", deployment_raw[[#This Row],[Column4]])</f>
        <v/>
      </c>
      <c r="E588" s="37" t="str">
        <f>IF(ISNUMBER(deployment_raw[[#This Row],[Column5]]), deployment_raw[[#This Row],[Column5]],"")</f>
        <v/>
      </c>
      <c r="F588" s="94" t="str">
        <f>IF(ISNUMBER(deployment_raw[[#This Row],[Column6]]), (deployment_raw[[#This Row],[Column6]] * IF($E$2="Deployment",deployment_raw[[#This Row],[Column5]],1)),"")</f>
        <v/>
      </c>
      <c r="G588" s="95" t="str">
        <f>IF(ISNUMBER(deployment_raw[[#This Row],[Column7]]), (deployment_raw[[#This Row],[Column7]] * IF($E$2="Deployment",deployment_raw[[#This Row],[Column5]],1))/1048576,"")</f>
        <v/>
      </c>
      <c r="H588" s="95" t="str">
        <f>IF(ISNUMBER(deployment_raw[[#This Row],[Column8]]), (deployment_raw[[#This Row],[Column8]]  * IF($E$2="Deployment",deployment_raw[[#This Row],[Column5]],1)),"")</f>
        <v/>
      </c>
      <c r="I588" s="96" t="str">
        <f>IF(ISNUMBER(deployment_raw[[#This Row],[Column9]]), (deployment_raw[[#This Row],[Column9]] * IF($E$2="Deployment",deployment_raw[[#This Row],[Column5]],1))/1048576,"")</f>
        <v/>
      </c>
      <c r="J588" s="122" t="str">
        <f>IF(ISNUMBER(deployment_raw[[#This Row],[Column10]]), (MIN(IF(N588&lt;&gt;"",N588,9999999999999)*1.1,deployment_raw[[#This Row],[Column10]] * IF($E$2="Deployment",deployment_raw[[#This Row],[Column5]],1))),"")</f>
        <v/>
      </c>
      <c r="K588" s="123" t="str">
        <f>IF(ISNUMBER(deployment_raw[[#This Row],[Column11]]), (MIN(IF(O588&lt;&gt;"",O588,9999999999999)*1.1,deployment_raw[[#This Row],[Column11]] * IF($E$2="Deployment",deployment_raw[[#This Row],[Column5]],1)/1048576)),"")</f>
        <v/>
      </c>
      <c r="L588" s="124" t="str">
        <f>IF(ISNUMBER(deployment_raw[[#This Row],[Column8]]),IF(OR(deployment_raw[[#This Row],[Column5]] &lt;&gt; 0,$E$2 &lt;&gt; "Deployment"), MAX(J588, P588, R588, ($L$2 * IF($E$2="Deployment",deployment_raw[[#This Row],[Column5]],1)),IF(T588&lt;&gt;"",VALUE(T588) * IF($E$2="Deployment",deployment_raw[[#This Row],[Column5]],1),0)), 0),"")</f>
        <v/>
      </c>
      <c r="M588" s="125" t="str">
        <f>IF(ISNUMBER(deployment_raw[[#This Row],[Column9]]),IF(OR(deployment_raw[[#This Row],[Column5]] &lt;&gt; 0,$E$2&lt;&gt;"Deployment"), MAX(K588, Q588, S588, ($M$2 * IF($E$2="Deployment",deployment_raw[[#This Row],[Column5]],1)),IF(U588&lt;&gt;"",VALUE(U588) * IF($E$2="Deployment",deployment_raw[[#This Row],[Column5]],1),0)), 0),"")</f>
        <v/>
      </c>
      <c r="N588" s="166" t="str">
        <f>IF(ISNUMBER(deployment_raw[[#This Row],[Column14]]), deployment_raw[[#This Row],[Column14]]/IF(OR($E$2="Deployment",deployment_raw[[#This Row],[Column5]]=0),1,deployment_raw[[#This Row],[Column5]]),"")</f>
        <v/>
      </c>
      <c r="O588" s="167" t="str">
        <f>IF(ISNUMBER(deployment_raw[[#This Row],[Column15]]), deployment_raw[[#This Row],[Column15]]/IF(OR($E$2="Deployment",deployment_raw[[#This Row],[Column5]]=0),1,deployment_raw[[#This Row],[Column5]])/1048576,"")</f>
        <v/>
      </c>
      <c r="P588" s="168" t="str">
        <f>IF(ISNUMBER(deployment_raw[[#This Row],[Column12]]), (MIN(IF(N588&lt;&gt;"",N588,9999999999999)*1.1,deployment_raw[[#This Row],[Column12]] * IF($E$2="Deployment",deployment_raw[[#This Row],[Column5]],1))*(1+$P$2)),"")</f>
        <v/>
      </c>
      <c r="Q588" s="167" t="str">
        <f>IF(ISNUMBER(deployment_raw[[#This Row],[Column13]]), (MIN(IF(O588&lt;&gt;"",O588,9999999999999)*1.1,deployment_raw[[#This Row],[Column13]] * IF($E$2="Deployment",deployment_raw[[#This Row],[Column5]],1)*(1+$Q$2)/1048576)),"")</f>
        <v/>
      </c>
      <c r="R588" s="169" t="str">
        <f>IF(ISNUMBER(deployment_raw[[#This Row],[Column8]]), (H588  * IF(N588&lt;&gt;0,$R$2,1)),"")</f>
        <v/>
      </c>
      <c r="S588" s="170" t="str">
        <f>IF(ISNUMBER(deployment_raw[[#This Row],[Column8]]), (I588  * IF(O588&lt;&gt;0,$S$2,1)),"")</f>
        <v/>
      </c>
      <c r="T588" s="202" t="str">
        <f>IF(AND(A588&lt;&gt;"",_xlfn.IFNA(MATCH(A588,'dynamic resource application '!$A$2:$A$100, 0),0)&lt;&gt;0), H588/(IF($E$2="Deployment",E588,1)),"")</f>
        <v/>
      </c>
      <c r="U588" s="211" t="str">
        <f>IF(AND(A588&lt;&gt;"",_xlfn.IFNA(MATCH(A588,'dynamic resource application '!$A$2:$A$100, 0),0)&lt;&gt;0), I588/(IF($E$2="Deployment",E588,1)),"")</f>
        <v/>
      </c>
    </row>
    <row r="589" spans="1:21" ht="15.75" customHeight="1" x14ac:dyDescent="0.25">
      <c r="A589" s="35" t="str">
        <f>IF(ISNONTEXT(deployment_raw[[#This Row],[Column1]]), "", deployment_raw[[#This Row],[Column1]])</f>
        <v/>
      </c>
      <c r="B589" s="36" t="str">
        <f>IF(ISNONTEXT(deployment_raw[[#This Row],[Column2]]), "", deployment_raw[[#This Row],[Column2]])</f>
        <v/>
      </c>
      <c r="C589" s="36" t="str">
        <f>IF(ISNONTEXT(deployment_raw[[#This Row],[Column3]]), "", deployment_raw[[#This Row],[Column3]])</f>
        <v/>
      </c>
      <c r="D589" s="36" t="str">
        <f>IF(ISNONTEXT(deployment_raw[[#This Row],[Column4]]), "", deployment_raw[[#This Row],[Column4]])</f>
        <v/>
      </c>
      <c r="E589" s="37" t="str">
        <f>IF(ISNUMBER(deployment_raw[[#This Row],[Column5]]), deployment_raw[[#This Row],[Column5]],"")</f>
        <v/>
      </c>
      <c r="F589" s="94" t="str">
        <f>IF(ISNUMBER(deployment_raw[[#This Row],[Column6]]), (deployment_raw[[#This Row],[Column6]] * IF($E$2="Deployment",deployment_raw[[#This Row],[Column5]],1)),"")</f>
        <v/>
      </c>
      <c r="G589" s="95" t="str">
        <f>IF(ISNUMBER(deployment_raw[[#This Row],[Column7]]), (deployment_raw[[#This Row],[Column7]] * IF($E$2="Deployment",deployment_raw[[#This Row],[Column5]],1))/1048576,"")</f>
        <v/>
      </c>
      <c r="H589" s="95" t="str">
        <f>IF(ISNUMBER(deployment_raw[[#This Row],[Column8]]), (deployment_raw[[#This Row],[Column8]]  * IF($E$2="Deployment",deployment_raw[[#This Row],[Column5]],1)),"")</f>
        <v/>
      </c>
      <c r="I589" s="96" t="str">
        <f>IF(ISNUMBER(deployment_raw[[#This Row],[Column9]]), (deployment_raw[[#This Row],[Column9]] * IF($E$2="Deployment",deployment_raw[[#This Row],[Column5]],1))/1048576,"")</f>
        <v/>
      </c>
      <c r="J589" s="122" t="str">
        <f>IF(ISNUMBER(deployment_raw[[#This Row],[Column10]]), (MIN(IF(N589&lt;&gt;"",N589,9999999999999)*1.1,deployment_raw[[#This Row],[Column10]] * IF($E$2="Deployment",deployment_raw[[#This Row],[Column5]],1))),"")</f>
        <v/>
      </c>
      <c r="K589" s="123" t="str">
        <f>IF(ISNUMBER(deployment_raw[[#This Row],[Column11]]), (MIN(IF(O589&lt;&gt;"",O589,9999999999999)*1.1,deployment_raw[[#This Row],[Column11]] * IF($E$2="Deployment",deployment_raw[[#This Row],[Column5]],1)/1048576)),"")</f>
        <v/>
      </c>
      <c r="L589" s="124" t="str">
        <f>IF(ISNUMBER(deployment_raw[[#This Row],[Column8]]),IF(OR(deployment_raw[[#This Row],[Column5]] &lt;&gt; 0,$E$2 &lt;&gt; "Deployment"), MAX(J589, P589, R589, ($L$2 * IF($E$2="Deployment",deployment_raw[[#This Row],[Column5]],1)),IF(T589&lt;&gt;"",VALUE(T589) * IF($E$2="Deployment",deployment_raw[[#This Row],[Column5]],1),0)), 0),"")</f>
        <v/>
      </c>
      <c r="M589" s="125" t="str">
        <f>IF(ISNUMBER(deployment_raw[[#This Row],[Column9]]),IF(OR(deployment_raw[[#This Row],[Column5]] &lt;&gt; 0,$E$2&lt;&gt;"Deployment"), MAX(K589, Q589, S589, ($M$2 * IF($E$2="Deployment",deployment_raw[[#This Row],[Column5]],1)),IF(U589&lt;&gt;"",VALUE(U589) * IF($E$2="Deployment",deployment_raw[[#This Row],[Column5]],1),0)), 0),"")</f>
        <v/>
      </c>
      <c r="N589" s="166" t="str">
        <f>IF(ISNUMBER(deployment_raw[[#This Row],[Column14]]), deployment_raw[[#This Row],[Column14]]/IF(OR($E$2="Deployment",deployment_raw[[#This Row],[Column5]]=0),1,deployment_raw[[#This Row],[Column5]]),"")</f>
        <v/>
      </c>
      <c r="O589" s="167" t="str">
        <f>IF(ISNUMBER(deployment_raw[[#This Row],[Column15]]), deployment_raw[[#This Row],[Column15]]/IF(OR($E$2="Deployment",deployment_raw[[#This Row],[Column5]]=0),1,deployment_raw[[#This Row],[Column5]])/1048576,"")</f>
        <v/>
      </c>
      <c r="P589" s="168" t="str">
        <f>IF(ISNUMBER(deployment_raw[[#This Row],[Column12]]), (MIN(IF(N589&lt;&gt;"",N589,9999999999999)*1.1,deployment_raw[[#This Row],[Column12]] * IF($E$2="Deployment",deployment_raw[[#This Row],[Column5]],1))*(1+$P$2)),"")</f>
        <v/>
      </c>
      <c r="Q589" s="167" t="str">
        <f>IF(ISNUMBER(deployment_raw[[#This Row],[Column13]]), (MIN(IF(O589&lt;&gt;"",O589,9999999999999)*1.1,deployment_raw[[#This Row],[Column13]] * IF($E$2="Deployment",deployment_raw[[#This Row],[Column5]],1)*(1+$Q$2)/1048576)),"")</f>
        <v/>
      </c>
      <c r="R589" s="169" t="str">
        <f>IF(ISNUMBER(deployment_raw[[#This Row],[Column8]]), (H589  * IF(N589&lt;&gt;0,$R$2,1)),"")</f>
        <v/>
      </c>
      <c r="S589" s="170" t="str">
        <f>IF(ISNUMBER(deployment_raw[[#This Row],[Column8]]), (I589  * IF(O589&lt;&gt;0,$S$2,1)),"")</f>
        <v/>
      </c>
      <c r="T589" s="202" t="str">
        <f>IF(AND(A589&lt;&gt;"",_xlfn.IFNA(MATCH(A589,'dynamic resource application '!$A$2:$A$100, 0),0)&lt;&gt;0), H589/(IF($E$2="Deployment",E589,1)),"")</f>
        <v/>
      </c>
      <c r="U589" s="211" t="str">
        <f>IF(AND(A589&lt;&gt;"",_xlfn.IFNA(MATCH(A589,'dynamic resource application '!$A$2:$A$100, 0),0)&lt;&gt;0), I589/(IF($E$2="Deployment",E589,1)),"")</f>
        <v/>
      </c>
    </row>
    <row r="590" spans="1:21" ht="15.75" customHeight="1" x14ac:dyDescent="0.25">
      <c r="A590" s="35" t="str">
        <f>IF(ISNONTEXT(deployment_raw[[#This Row],[Column1]]), "", deployment_raw[[#This Row],[Column1]])</f>
        <v/>
      </c>
      <c r="B590" s="36" t="str">
        <f>IF(ISNONTEXT(deployment_raw[[#This Row],[Column2]]), "", deployment_raw[[#This Row],[Column2]])</f>
        <v/>
      </c>
      <c r="C590" s="36" t="str">
        <f>IF(ISNONTEXT(deployment_raw[[#This Row],[Column3]]), "", deployment_raw[[#This Row],[Column3]])</f>
        <v/>
      </c>
      <c r="D590" s="36" t="str">
        <f>IF(ISNONTEXT(deployment_raw[[#This Row],[Column4]]), "", deployment_raw[[#This Row],[Column4]])</f>
        <v/>
      </c>
      <c r="E590" s="37" t="str">
        <f>IF(ISNUMBER(deployment_raw[[#This Row],[Column5]]), deployment_raw[[#This Row],[Column5]],"")</f>
        <v/>
      </c>
      <c r="F590" s="94" t="str">
        <f>IF(ISNUMBER(deployment_raw[[#This Row],[Column6]]), (deployment_raw[[#This Row],[Column6]] * IF($E$2="Deployment",deployment_raw[[#This Row],[Column5]],1)),"")</f>
        <v/>
      </c>
      <c r="G590" s="95" t="str">
        <f>IF(ISNUMBER(deployment_raw[[#This Row],[Column7]]), (deployment_raw[[#This Row],[Column7]] * IF($E$2="Deployment",deployment_raw[[#This Row],[Column5]],1))/1048576,"")</f>
        <v/>
      </c>
      <c r="H590" s="95" t="str">
        <f>IF(ISNUMBER(deployment_raw[[#This Row],[Column8]]), (deployment_raw[[#This Row],[Column8]]  * IF($E$2="Deployment",deployment_raw[[#This Row],[Column5]],1)),"")</f>
        <v/>
      </c>
      <c r="I590" s="96" t="str">
        <f>IF(ISNUMBER(deployment_raw[[#This Row],[Column9]]), (deployment_raw[[#This Row],[Column9]] * IF($E$2="Deployment",deployment_raw[[#This Row],[Column5]],1))/1048576,"")</f>
        <v/>
      </c>
      <c r="J590" s="122" t="str">
        <f>IF(ISNUMBER(deployment_raw[[#This Row],[Column10]]), (MIN(IF(N590&lt;&gt;"",N590,9999999999999)*1.1,deployment_raw[[#This Row],[Column10]] * IF($E$2="Deployment",deployment_raw[[#This Row],[Column5]],1))),"")</f>
        <v/>
      </c>
      <c r="K590" s="123" t="str">
        <f>IF(ISNUMBER(deployment_raw[[#This Row],[Column11]]), (MIN(IF(O590&lt;&gt;"",O590,9999999999999)*1.1,deployment_raw[[#This Row],[Column11]] * IF($E$2="Deployment",deployment_raw[[#This Row],[Column5]],1)/1048576)),"")</f>
        <v/>
      </c>
      <c r="L590" s="124" t="str">
        <f>IF(ISNUMBER(deployment_raw[[#This Row],[Column8]]),IF(OR(deployment_raw[[#This Row],[Column5]] &lt;&gt; 0,$E$2 &lt;&gt; "Deployment"), MAX(J590, P590, R590, ($L$2 * IF($E$2="Deployment",deployment_raw[[#This Row],[Column5]],1)),IF(T590&lt;&gt;"",VALUE(T590) * IF($E$2="Deployment",deployment_raw[[#This Row],[Column5]],1),0)), 0),"")</f>
        <v/>
      </c>
      <c r="M590" s="125" t="str">
        <f>IF(ISNUMBER(deployment_raw[[#This Row],[Column9]]),IF(OR(deployment_raw[[#This Row],[Column5]] &lt;&gt; 0,$E$2&lt;&gt;"Deployment"), MAX(K590, Q590, S590, ($M$2 * IF($E$2="Deployment",deployment_raw[[#This Row],[Column5]],1)),IF(U590&lt;&gt;"",VALUE(U590) * IF($E$2="Deployment",deployment_raw[[#This Row],[Column5]],1),0)), 0),"")</f>
        <v/>
      </c>
      <c r="N590" s="166" t="str">
        <f>IF(ISNUMBER(deployment_raw[[#This Row],[Column14]]), deployment_raw[[#This Row],[Column14]]/IF(OR($E$2="Deployment",deployment_raw[[#This Row],[Column5]]=0),1,deployment_raw[[#This Row],[Column5]]),"")</f>
        <v/>
      </c>
      <c r="O590" s="167" t="str">
        <f>IF(ISNUMBER(deployment_raw[[#This Row],[Column15]]), deployment_raw[[#This Row],[Column15]]/IF(OR($E$2="Deployment",deployment_raw[[#This Row],[Column5]]=0),1,deployment_raw[[#This Row],[Column5]])/1048576,"")</f>
        <v/>
      </c>
      <c r="P590" s="168" t="str">
        <f>IF(ISNUMBER(deployment_raw[[#This Row],[Column12]]), (MIN(IF(N590&lt;&gt;"",N590,9999999999999)*1.1,deployment_raw[[#This Row],[Column12]] * IF($E$2="Deployment",deployment_raw[[#This Row],[Column5]],1))*(1+$P$2)),"")</f>
        <v/>
      </c>
      <c r="Q590" s="167" t="str">
        <f>IF(ISNUMBER(deployment_raw[[#This Row],[Column13]]), (MIN(IF(O590&lt;&gt;"",O590,9999999999999)*1.1,deployment_raw[[#This Row],[Column13]] * IF($E$2="Deployment",deployment_raw[[#This Row],[Column5]],1)*(1+$Q$2)/1048576)),"")</f>
        <v/>
      </c>
      <c r="R590" s="169" t="str">
        <f>IF(ISNUMBER(deployment_raw[[#This Row],[Column8]]), (H590  * IF(N590&lt;&gt;0,$R$2,1)),"")</f>
        <v/>
      </c>
      <c r="S590" s="170" t="str">
        <f>IF(ISNUMBER(deployment_raw[[#This Row],[Column8]]), (I590  * IF(O590&lt;&gt;0,$S$2,1)),"")</f>
        <v/>
      </c>
      <c r="T590" s="202" t="str">
        <f>IF(AND(A590&lt;&gt;"",_xlfn.IFNA(MATCH(A590,'dynamic resource application '!$A$2:$A$100, 0),0)&lt;&gt;0), H590/(IF($E$2="Deployment",E590,1)),"")</f>
        <v/>
      </c>
      <c r="U590" s="211" t="str">
        <f>IF(AND(A590&lt;&gt;"",_xlfn.IFNA(MATCH(A590,'dynamic resource application '!$A$2:$A$100, 0),0)&lt;&gt;0), I590/(IF($E$2="Deployment",E590,1)),"")</f>
        <v/>
      </c>
    </row>
    <row r="591" spans="1:21" ht="15.75" customHeight="1" x14ac:dyDescent="0.25">
      <c r="A591" s="35" t="str">
        <f>IF(ISNONTEXT(deployment_raw[[#This Row],[Column1]]), "", deployment_raw[[#This Row],[Column1]])</f>
        <v/>
      </c>
      <c r="B591" s="36" t="str">
        <f>IF(ISNONTEXT(deployment_raw[[#This Row],[Column2]]), "", deployment_raw[[#This Row],[Column2]])</f>
        <v/>
      </c>
      <c r="C591" s="36" t="str">
        <f>IF(ISNONTEXT(deployment_raw[[#This Row],[Column3]]), "", deployment_raw[[#This Row],[Column3]])</f>
        <v/>
      </c>
      <c r="D591" s="36" t="str">
        <f>IF(ISNONTEXT(deployment_raw[[#This Row],[Column4]]), "", deployment_raw[[#This Row],[Column4]])</f>
        <v/>
      </c>
      <c r="E591" s="37" t="str">
        <f>IF(ISNUMBER(deployment_raw[[#This Row],[Column5]]), deployment_raw[[#This Row],[Column5]],"")</f>
        <v/>
      </c>
      <c r="F591" s="94" t="str">
        <f>IF(ISNUMBER(deployment_raw[[#This Row],[Column6]]), (deployment_raw[[#This Row],[Column6]] * IF($E$2="Deployment",deployment_raw[[#This Row],[Column5]],1)),"")</f>
        <v/>
      </c>
      <c r="G591" s="95" t="str">
        <f>IF(ISNUMBER(deployment_raw[[#This Row],[Column7]]), (deployment_raw[[#This Row],[Column7]] * IF($E$2="Deployment",deployment_raw[[#This Row],[Column5]],1))/1048576,"")</f>
        <v/>
      </c>
      <c r="H591" s="95" t="str">
        <f>IF(ISNUMBER(deployment_raw[[#This Row],[Column8]]), (deployment_raw[[#This Row],[Column8]]  * IF($E$2="Deployment",deployment_raw[[#This Row],[Column5]],1)),"")</f>
        <v/>
      </c>
      <c r="I591" s="96" t="str">
        <f>IF(ISNUMBER(deployment_raw[[#This Row],[Column9]]), (deployment_raw[[#This Row],[Column9]] * IF($E$2="Deployment",deployment_raw[[#This Row],[Column5]],1))/1048576,"")</f>
        <v/>
      </c>
      <c r="J591" s="122" t="str">
        <f>IF(ISNUMBER(deployment_raw[[#This Row],[Column10]]), (MIN(IF(N591&lt;&gt;"",N591,9999999999999)*1.1,deployment_raw[[#This Row],[Column10]] * IF($E$2="Deployment",deployment_raw[[#This Row],[Column5]],1))),"")</f>
        <v/>
      </c>
      <c r="K591" s="123" t="str">
        <f>IF(ISNUMBER(deployment_raw[[#This Row],[Column11]]), (MIN(IF(O591&lt;&gt;"",O591,9999999999999)*1.1,deployment_raw[[#This Row],[Column11]] * IF($E$2="Deployment",deployment_raw[[#This Row],[Column5]],1)/1048576)),"")</f>
        <v/>
      </c>
      <c r="L591" s="124" t="str">
        <f>IF(ISNUMBER(deployment_raw[[#This Row],[Column8]]),IF(OR(deployment_raw[[#This Row],[Column5]] &lt;&gt; 0,$E$2 &lt;&gt; "Deployment"), MAX(J591, P591, R591, ($L$2 * IF($E$2="Deployment",deployment_raw[[#This Row],[Column5]],1)),IF(T591&lt;&gt;"",VALUE(T591) * IF($E$2="Deployment",deployment_raw[[#This Row],[Column5]],1),0)), 0),"")</f>
        <v/>
      </c>
      <c r="M591" s="125" t="str">
        <f>IF(ISNUMBER(deployment_raw[[#This Row],[Column9]]),IF(OR(deployment_raw[[#This Row],[Column5]] &lt;&gt; 0,$E$2&lt;&gt;"Deployment"), MAX(K591, Q591, S591, ($M$2 * IF($E$2="Deployment",deployment_raw[[#This Row],[Column5]],1)),IF(U591&lt;&gt;"",VALUE(U591) * IF($E$2="Deployment",deployment_raw[[#This Row],[Column5]],1),0)), 0),"")</f>
        <v/>
      </c>
      <c r="N591" s="166" t="str">
        <f>IF(ISNUMBER(deployment_raw[[#This Row],[Column14]]), deployment_raw[[#This Row],[Column14]]/IF(OR($E$2="Deployment",deployment_raw[[#This Row],[Column5]]=0),1,deployment_raw[[#This Row],[Column5]]),"")</f>
        <v/>
      </c>
      <c r="O591" s="167" t="str">
        <f>IF(ISNUMBER(deployment_raw[[#This Row],[Column15]]), deployment_raw[[#This Row],[Column15]]/IF(OR($E$2="Deployment",deployment_raw[[#This Row],[Column5]]=0),1,deployment_raw[[#This Row],[Column5]])/1048576,"")</f>
        <v/>
      </c>
      <c r="P591" s="168" t="str">
        <f>IF(ISNUMBER(deployment_raw[[#This Row],[Column12]]), (MIN(IF(N591&lt;&gt;"",N591,9999999999999)*1.1,deployment_raw[[#This Row],[Column12]] * IF($E$2="Deployment",deployment_raw[[#This Row],[Column5]],1))*(1+$P$2)),"")</f>
        <v/>
      </c>
      <c r="Q591" s="167" t="str">
        <f>IF(ISNUMBER(deployment_raw[[#This Row],[Column13]]), (MIN(IF(O591&lt;&gt;"",O591,9999999999999)*1.1,deployment_raw[[#This Row],[Column13]] * IF($E$2="Deployment",deployment_raw[[#This Row],[Column5]],1)*(1+$Q$2)/1048576)),"")</f>
        <v/>
      </c>
      <c r="R591" s="169" t="str">
        <f>IF(ISNUMBER(deployment_raw[[#This Row],[Column8]]), (H591  * IF(N591&lt;&gt;0,$R$2,1)),"")</f>
        <v/>
      </c>
      <c r="S591" s="170" t="str">
        <f>IF(ISNUMBER(deployment_raw[[#This Row],[Column8]]), (I591  * IF(O591&lt;&gt;0,$S$2,1)),"")</f>
        <v/>
      </c>
      <c r="T591" s="202" t="str">
        <f>IF(AND(A591&lt;&gt;"",_xlfn.IFNA(MATCH(A591,'dynamic resource application '!$A$2:$A$100, 0),0)&lt;&gt;0), H591/(IF($E$2="Deployment",E591,1)),"")</f>
        <v/>
      </c>
      <c r="U591" s="211" t="str">
        <f>IF(AND(A591&lt;&gt;"",_xlfn.IFNA(MATCH(A591,'dynamic resource application '!$A$2:$A$100, 0),0)&lt;&gt;0), I591/(IF($E$2="Deployment",E591,1)),"")</f>
        <v/>
      </c>
    </row>
    <row r="592" spans="1:21" ht="15.75" customHeight="1" x14ac:dyDescent="0.25">
      <c r="A592" s="35" t="str">
        <f>IF(ISNONTEXT(deployment_raw[[#This Row],[Column1]]), "", deployment_raw[[#This Row],[Column1]])</f>
        <v/>
      </c>
      <c r="B592" s="36" t="str">
        <f>IF(ISNONTEXT(deployment_raw[[#This Row],[Column2]]), "", deployment_raw[[#This Row],[Column2]])</f>
        <v/>
      </c>
      <c r="C592" s="36" t="str">
        <f>IF(ISNONTEXT(deployment_raw[[#This Row],[Column3]]), "", deployment_raw[[#This Row],[Column3]])</f>
        <v/>
      </c>
      <c r="D592" s="36" t="str">
        <f>IF(ISNONTEXT(deployment_raw[[#This Row],[Column4]]), "", deployment_raw[[#This Row],[Column4]])</f>
        <v/>
      </c>
      <c r="E592" s="37" t="str">
        <f>IF(ISNUMBER(deployment_raw[[#This Row],[Column5]]), deployment_raw[[#This Row],[Column5]],"")</f>
        <v/>
      </c>
      <c r="F592" s="94" t="str">
        <f>IF(ISNUMBER(deployment_raw[[#This Row],[Column6]]), (deployment_raw[[#This Row],[Column6]] * IF($E$2="Deployment",deployment_raw[[#This Row],[Column5]],1)),"")</f>
        <v/>
      </c>
      <c r="G592" s="95" t="str">
        <f>IF(ISNUMBER(deployment_raw[[#This Row],[Column7]]), (deployment_raw[[#This Row],[Column7]] * IF($E$2="Deployment",deployment_raw[[#This Row],[Column5]],1))/1048576,"")</f>
        <v/>
      </c>
      <c r="H592" s="95" t="str">
        <f>IF(ISNUMBER(deployment_raw[[#This Row],[Column8]]), (deployment_raw[[#This Row],[Column8]]  * IF($E$2="Deployment",deployment_raw[[#This Row],[Column5]],1)),"")</f>
        <v/>
      </c>
      <c r="I592" s="96" t="str">
        <f>IF(ISNUMBER(deployment_raw[[#This Row],[Column9]]), (deployment_raw[[#This Row],[Column9]] * IF($E$2="Deployment",deployment_raw[[#This Row],[Column5]],1))/1048576,"")</f>
        <v/>
      </c>
      <c r="J592" s="122" t="str">
        <f>IF(ISNUMBER(deployment_raw[[#This Row],[Column10]]), (MIN(IF(N592&lt;&gt;"",N592,9999999999999)*1.1,deployment_raw[[#This Row],[Column10]] * IF($E$2="Deployment",deployment_raw[[#This Row],[Column5]],1))),"")</f>
        <v/>
      </c>
      <c r="K592" s="123" t="str">
        <f>IF(ISNUMBER(deployment_raw[[#This Row],[Column11]]), (MIN(IF(O592&lt;&gt;"",O592,9999999999999)*1.1,deployment_raw[[#This Row],[Column11]] * IF($E$2="Deployment",deployment_raw[[#This Row],[Column5]],1)/1048576)),"")</f>
        <v/>
      </c>
      <c r="L592" s="124" t="str">
        <f>IF(ISNUMBER(deployment_raw[[#This Row],[Column8]]),IF(OR(deployment_raw[[#This Row],[Column5]] &lt;&gt; 0,$E$2 &lt;&gt; "Deployment"), MAX(J592, P592, R592, ($L$2 * IF($E$2="Deployment",deployment_raw[[#This Row],[Column5]],1)),IF(T592&lt;&gt;"",VALUE(T592) * IF($E$2="Deployment",deployment_raw[[#This Row],[Column5]],1),0)), 0),"")</f>
        <v/>
      </c>
      <c r="M592" s="125" t="str">
        <f>IF(ISNUMBER(deployment_raw[[#This Row],[Column9]]),IF(OR(deployment_raw[[#This Row],[Column5]] &lt;&gt; 0,$E$2&lt;&gt;"Deployment"), MAX(K592, Q592, S592, ($M$2 * IF($E$2="Deployment",deployment_raw[[#This Row],[Column5]],1)),IF(U592&lt;&gt;"",VALUE(U592) * IF($E$2="Deployment",deployment_raw[[#This Row],[Column5]],1),0)), 0),"")</f>
        <v/>
      </c>
      <c r="N592" s="166" t="str">
        <f>IF(ISNUMBER(deployment_raw[[#This Row],[Column14]]), deployment_raw[[#This Row],[Column14]]/IF(OR($E$2="Deployment",deployment_raw[[#This Row],[Column5]]=0),1,deployment_raw[[#This Row],[Column5]]),"")</f>
        <v/>
      </c>
      <c r="O592" s="167" t="str">
        <f>IF(ISNUMBER(deployment_raw[[#This Row],[Column15]]), deployment_raw[[#This Row],[Column15]]/IF(OR($E$2="Deployment",deployment_raw[[#This Row],[Column5]]=0),1,deployment_raw[[#This Row],[Column5]])/1048576,"")</f>
        <v/>
      </c>
      <c r="P592" s="168" t="str">
        <f>IF(ISNUMBER(deployment_raw[[#This Row],[Column12]]), (MIN(IF(N592&lt;&gt;"",N592,9999999999999)*1.1,deployment_raw[[#This Row],[Column12]] * IF($E$2="Deployment",deployment_raw[[#This Row],[Column5]],1))*(1+$P$2)),"")</f>
        <v/>
      </c>
      <c r="Q592" s="167" t="str">
        <f>IF(ISNUMBER(deployment_raw[[#This Row],[Column13]]), (MIN(IF(O592&lt;&gt;"",O592,9999999999999)*1.1,deployment_raw[[#This Row],[Column13]] * IF($E$2="Deployment",deployment_raw[[#This Row],[Column5]],1)*(1+$Q$2)/1048576)),"")</f>
        <v/>
      </c>
      <c r="R592" s="169" t="str">
        <f>IF(ISNUMBER(deployment_raw[[#This Row],[Column8]]), (H592  * IF(N592&lt;&gt;0,$R$2,1)),"")</f>
        <v/>
      </c>
      <c r="S592" s="170" t="str">
        <f>IF(ISNUMBER(deployment_raw[[#This Row],[Column8]]), (I592  * IF(O592&lt;&gt;0,$S$2,1)),"")</f>
        <v/>
      </c>
      <c r="T592" s="202" t="str">
        <f>IF(AND(A592&lt;&gt;"",_xlfn.IFNA(MATCH(A592,'dynamic resource application '!$A$2:$A$100, 0),0)&lt;&gt;0), H592/(IF($E$2="Deployment",E592,1)),"")</f>
        <v/>
      </c>
      <c r="U592" s="211" t="str">
        <f>IF(AND(A592&lt;&gt;"",_xlfn.IFNA(MATCH(A592,'dynamic resource application '!$A$2:$A$100, 0),0)&lt;&gt;0), I592/(IF($E$2="Deployment",E592,1)),"")</f>
        <v/>
      </c>
    </row>
    <row r="593" spans="1:21" ht="15.75" customHeight="1" x14ac:dyDescent="0.25">
      <c r="A593" s="35" t="str">
        <f>IF(ISNONTEXT(deployment_raw[[#This Row],[Column1]]), "", deployment_raw[[#This Row],[Column1]])</f>
        <v/>
      </c>
      <c r="B593" s="36" t="str">
        <f>IF(ISNONTEXT(deployment_raw[[#This Row],[Column2]]), "", deployment_raw[[#This Row],[Column2]])</f>
        <v/>
      </c>
      <c r="C593" s="36" t="str">
        <f>IF(ISNONTEXT(deployment_raw[[#This Row],[Column3]]), "", deployment_raw[[#This Row],[Column3]])</f>
        <v/>
      </c>
      <c r="D593" s="36" t="str">
        <f>IF(ISNONTEXT(deployment_raw[[#This Row],[Column4]]), "", deployment_raw[[#This Row],[Column4]])</f>
        <v/>
      </c>
      <c r="E593" s="37" t="str">
        <f>IF(ISNUMBER(deployment_raw[[#This Row],[Column5]]), deployment_raw[[#This Row],[Column5]],"")</f>
        <v/>
      </c>
      <c r="F593" s="94" t="str">
        <f>IF(ISNUMBER(deployment_raw[[#This Row],[Column6]]), (deployment_raw[[#This Row],[Column6]] * IF($E$2="Deployment",deployment_raw[[#This Row],[Column5]],1)),"")</f>
        <v/>
      </c>
      <c r="G593" s="95" t="str">
        <f>IF(ISNUMBER(deployment_raw[[#This Row],[Column7]]), (deployment_raw[[#This Row],[Column7]] * IF($E$2="Deployment",deployment_raw[[#This Row],[Column5]],1))/1048576,"")</f>
        <v/>
      </c>
      <c r="H593" s="95" t="str">
        <f>IF(ISNUMBER(deployment_raw[[#This Row],[Column8]]), (deployment_raw[[#This Row],[Column8]]  * IF($E$2="Deployment",deployment_raw[[#This Row],[Column5]],1)),"")</f>
        <v/>
      </c>
      <c r="I593" s="96" t="str">
        <f>IF(ISNUMBER(deployment_raw[[#This Row],[Column9]]), (deployment_raw[[#This Row],[Column9]] * IF($E$2="Deployment",deployment_raw[[#This Row],[Column5]],1))/1048576,"")</f>
        <v/>
      </c>
      <c r="J593" s="122" t="str">
        <f>IF(ISNUMBER(deployment_raw[[#This Row],[Column10]]), (MIN(IF(N593&lt;&gt;"",N593,9999999999999)*1.1,deployment_raw[[#This Row],[Column10]] * IF($E$2="Deployment",deployment_raw[[#This Row],[Column5]],1))),"")</f>
        <v/>
      </c>
      <c r="K593" s="123" t="str">
        <f>IF(ISNUMBER(deployment_raw[[#This Row],[Column11]]), (MIN(IF(O593&lt;&gt;"",O593,9999999999999)*1.1,deployment_raw[[#This Row],[Column11]] * IF($E$2="Deployment",deployment_raw[[#This Row],[Column5]],1)/1048576)),"")</f>
        <v/>
      </c>
      <c r="L593" s="124" t="str">
        <f>IF(ISNUMBER(deployment_raw[[#This Row],[Column8]]),IF(OR(deployment_raw[[#This Row],[Column5]] &lt;&gt; 0,$E$2 &lt;&gt; "Deployment"), MAX(J593, P593, R593, ($L$2 * IF($E$2="Deployment",deployment_raw[[#This Row],[Column5]],1)),IF(T593&lt;&gt;"",VALUE(T593) * IF($E$2="Deployment",deployment_raw[[#This Row],[Column5]],1),0)), 0),"")</f>
        <v/>
      </c>
      <c r="M593" s="125" t="str">
        <f>IF(ISNUMBER(deployment_raw[[#This Row],[Column9]]),IF(OR(deployment_raw[[#This Row],[Column5]] &lt;&gt; 0,$E$2&lt;&gt;"Deployment"), MAX(K593, Q593, S593, ($M$2 * IF($E$2="Deployment",deployment_raw[[#This Row],[Column5]],1)),IF(U593&lt;&gt;"",VALUE(U593) * IF($E$2="Deployment",deployment_raw[[#This Row],[Column5]],1),0)), 0),"")</f>
        <v/>
      </c>
      <c r="N593" s="166" t="str">
        <f>IF(ISNUMBER(deployment_raw[[#This Row],[Column14]]), deployment_raw[[#This Row],[Column14]]/IF(OR($E$2="Deployment",deployment_raw[[#This Row],[Column5]]=0),1,deployment_raw[[#This Row],[Column5]]),"")</f>
        <v/>
      </c>
      <c r="O593" s="167" t="str">
        <f>IF(ISNUMBER(deployment_raw[[#This Row],[Column15]]), deployment_raw[[#This Row],[Column15]]/IF(OR($E$2="Deployment",deployment_raw[[#This Row],[Column5]]=0),1,deployment_raw[[#This Row],[Column5]])/1048576,"")</f>
        <v/>
      </c>
      <c r="P593" s="168" t="str">
        <f>IF(ISNUMBER(deployment_raw[[#This Row],[Column12]]), (MIN(IF(N593&lt;&gt;"",N593,9999999999999)*1.1,deployment_raw[[#This Row],[Column12]] * IF($E$2="Deployment",deployment_raw[[#This Row],[Column5]],1))*(1+$P$2)),"")</f>
        <v/>
      </c>
      <c r="Q593" s="167" t="str">
        <f>IF(ISNUMBER(deployment_raw[[#This Row],[Column13]]), (MIN(IF(O593&lt;&gt;"",O593,9999999999999)*1.1,deployment_raw[[#This Row],[Column13]] * IF($E$2="Deployment",deployment_raw[[#This Row],[Column5]],1)*(1+$Q$2)/1048576)),"")</f>
        <v/>
      </c>
      <c r="R593" s="169" t="str">
        <f>IF(ISNUMBER(deployment_raw[[#This Row],[Column8]]), (H593  * IF(N593&lt;&gt;0,$R$2,1)),"")</f>
        <v/>
      </c>
      <c r="S593" s="170" t="str">
        <f>IF(ISNUMBER(deployment_raw[[#This Row],[Column8]]), (I593  * IF(O593&lt;&gt;0,$S$2,1)),"")</f>
        <v/>
      </c>
      <c r="T593" s="202" t="str">
        <f>IF(AND(A593&lt;&gt;"",_xlfn.IFNA(MATCH(A593,'dynamic resource application '!$A$2:$A$100, 0),0)&lt;&gt;0), H593/(IF($E$2="Deployment",E593,1)),"")</f>
        <v/>
      </c>
      <c r="U593" s="211" t="str">
        <f>IF(AND(A593&lt;&gt;"",_xlfn.IFNA(MATCH(A593,'dynamic resource application '!$A$2:$A$100, 0),0)&lt;&gt;0), I593/(IF($E$2="Deployment",E593,1)),"")</f>
        <v/>
      </c>
    </row>
    <row r="594" spans="1:21" ht="15.75" customHeight="1" x14ac:dyDescent="0.25">
      <c r="A594" s="35" t="str">
        <f>IF(ISNONTEXT(deployment_raw[[#This Row],[Column1]]), "", deployment_raw[[#This Row],[Column1]])</f>
        <v/>
      </c>
      <c r="B594" s="36" t="str">
        <f>IF(ISNONTEXT(deployment_raw[[#This Row],[Column2]]), "", deployment_raw[[#This Row],[Column2]])</f>
        <v/>
      </c>
      <c r="C594" s="36" t="str">
        <f>IF(ISNONTEXT(deployment_raw[[#This Row],[Column3]]), "", deployment_raw[[#This Row],[Column3]])</f>
        <v/>
      </c>
      <c r="D594" s="36" t="str">
        <f>IF(ISNONTEXT(deployment_raw[[#This Row],[Column4]]), "", deployment_raw[[#This Row],[Column4]])</f>
        <v/>
      </c>
      <c r="E594" s="37" t="str">
        <f>IF(ISNUMBER(deployment_raw[[#This Row],[Column5]]), deployment_raw[[#This Row],[Column5]],"")</f>
        <v/>
      </c>
      <c r="F594" s="94" t="str">
        <f>IF(ISNUMBER(deployment_raw[[#This Row],[Column6]]), (deployment_raw[[#This Row],[Column6]] * IF($E$2="Deployment",deployment_raw[[#This Row],[Column5]],1)),"")</f>
        <v/>
      </c>
      <c r="G594" s="95" t="str">
        <f>IF(ISNUMBER(deployment_raw[[#This Row],[Column7]]), (deployment_raw[[#This Row],[Column7]] * IF($E$2="Deployment",deployment_raw[[#This Row],[Column5]],1))/1048576,"")</f>
        <v/>
      </c>
      <c r="H594" s="95" t="str">
        <f>IF(ISNUMBER(deployment_raw[[#This Row],[Column8]]), (deployment_raw[[#This Row],[Column8]]  * IF($E$2="Deployment",deployment_raw[[#This Row],[Column5]],1)),"")</f>
        <v/>
      </c>
      <c r="I594" s="96" t="str">
        <f>IF(ISNUMBER(deployment_raw[[#This Row],[Column9]]), (deployment_raw[[#This Row],[Column9]] * IF($E$2="Deployment",deployment_raw[[#This Row],[Column5]],1))/1048576,"")</f>
        <v/>
      </c>
      <c r="J594" s="122" t="str">
        <f>IF(ISNUMBER(deployment_raw[[#This Row],[Column10]]), (MIN(IF(N594&lt;&gt;"",N594,9999999999999)*1.1,deployment_raw[[#This Row],[Column10]] * IF($E$2="Deployment",deployment_raw[[#This Row],[Column5]],1))),"")</f>
        <v/>
      </c>
      <c r="K594" s="123" t="str">
        <f>IF(ISNUMBER(deployment_raw[[#This Row],[Column11]]), (MIN(IF(O594&lt;&gt;"",O594,9999999999999)*1.1,deployment_raw[[#This Row],[Column11]] * IF($E$2="Deployment",deployment_raw[[#This Row],[Column5]],1)/1048576)),"")</f>
        <v/>
      </c>
      <c r="L594" s="124" t="str">
        <f>IF(ISNUMBER(deployment_raw[[#This Row],[Column8]]),IF(OR(deployment_raw[[#This Row],[Column5]] &lt;&gt; 0,$E$2 &lt;&gt; "Deployment"), MAX(J594, P594, R594, ($L$2 * IF($E$2="Deployment",deployment_raw[[#This Row],[Column5]],1)),IF(T594&lt;&gt;"",VALUE(T594) * IF($E$2="Deployment",deployment_raw[[#This Row],[Column5]],1),0)), 0),"")</f>
        <v/>
      </c>
      <c r="M594" s="125" t="str">
        <f>IF(ISNUMBER(deployment_raw[[#This Row],[Column9]]),IF(OR(deployment_raw[[#This Row],[Column5]] &lt;&gt; 0,$E$2&lt;&gt;"Deployment"), MAX(K594, Q594, S594, ($M$2 * IF($E$2="Deployment",deployment_raw[[#This Row],[Column5]],1)),IF(U594&lt;&gt;"",VALUE(U594) * IF($E$2="Deployment",deployment_raw[[#This Row],[Column5]],1),0)), 0),"")</f>
        <v/>
      </c>
      <c r="N594" s="166" t="str">
        <f>IF(ISNUMBER(deployment_raw[[#This Row],[Column14]]), deployment_raw[[#This Row],[Column14]]/IF(OR($E$2="Deployment",deployment_raw[[#This Row],[Column5]]=0),1,deployment_raw[[#This Row],[Column5]]),"")</f>
        <v/>
      </c>
      <c r="O594" s="167" t="str">
        <f>IF(ISNUMBER(deployment_raw[[#This Row],[Column15]]), deployment_raw[[#This Row],[Column15]]/IF(OR($E$2="Deployment",deployment_raw[[#This Row],[Column5]]=0),1,deployment_raw[[#This Row],[Column5]])/1048576,"")</f>
        <v/>
      </c>
      <c r="P594" s="168" t="str">
        <f>IF(ISNUMBER(deployment_raw[[#This Row],[Column12]]), (MIN(IF(N594&lt;&gt;"",N594,9999999999999)*1.1,deployment_raw[[#This Row],[Column12]] * IF($E$2="Deployment",deployment_raw[[#This Row],[Column5]],1))*(1+$P$2)),"")</f>
        <v/>
      </c>
      <c r="Q594" s="167" t="str">
        <f>IF(ISNUMBER(deployment_raw[[#This Row],[Column13]]), (MIN(IF(O594&lt;&gt;"",O594,9999999999999)*1.1,deployment_raw[[#This Row],[Column13]] * IF($E$2="Deployment",deployment_raw[[#This Row],[Column5]],1)*(1+$Q$2)/1048576)),"")</f>
        <v/>
      </c>
      <c r="R594" s="169" t="str">
        <f>IF(ISNUMBER(deployment_raw[[#This Row],[Column8]]), (H594  * IF(N594&lt;&gt;0,$R$2,1)),"")</f>
        <v/>
      </c>
      <c r="S594" s="170" t="str">
        <f>IF(ISNUMBER(deployment_raw[[#This Row],[Column8]]), (I594  * IF(O594&lt;&gt;0,$S$2,1)),"")</f>
        <v/>
      </c>
      <c r="T594" s="202" t="str">
        <f>IF(AND(A594&lt;&gt;"",_xlfn.IFNA(MATCH(A594,'dynamic resource application '!$A$2:$A$100, 0),0)&lt;&gt;0), H594/(IF($E$2="Deployment",E594,1)),"")</f>
        <v/>
      </c>
      <c r="U594" s="211" t="str">
        <f>IF(AND(A594&lt;&gt;"",_xlfn.IFNA(MATCH(A594,'dynamic resource application '!$A$2:$A$100, 0),0)&lt;&gt;0), I594/(IF($E$2="Deployment",E594,1)),"")</f>
        <v/>
      </c>
    </row>
    <row r="595" spans="1:21" ht="15.75" customHeight="1" x14ac:dyDescent="0.25">
      <c r="A595" s="35" t="str">
        <f>IF(ISNONTEXT(deployment_raw[[#This Row],[Column1]]), "", deployment_raw[[#This Row],[Column1]])</f>
        <v/>
      </c>
      <c r="B595" s="36" t="str">
        <f>IF(ISNONTEXT(deployment_raw[[#This Row],[Column2]]), "", deployment_raw[[#This Row],[Column2]])</f>
        <v/>
      </c>
      <c r="C595" s="36" t="str">
        <f>IF(ISNONTEXT(deployment_raw[[#This Row],[Column3]]), "", deployment_raw[[#This Row],[Column3]])</f>
        <v/>
      </c>
      <c r="D595" s="36" t="str">
        <f>IF(ISNONTEXT(deployment_raw[[#This Row],[Column4]]), "", deployment_raw[[#This Row],[Column4]])</f>
        <v/>
      </c>
      <c r="E595" s="37" t="str">
        <f>IF(ISNUMBER(deployment_raw[[#This Row],[Column5]]), deployment_raw[[#This Row],[Column5]],"")</f>
        <v/>
      </c>
      <c r="F595" s="94" t="str">
        <f>IF(ISNUMBER(deployment_raw[[#This Row],[Column6]]), (deployment_raw[[#This Row],[Column6]] * IF($E$2="Deployment",deployment_raw[[#This Row],[Column5]],1)),"")</f>
        <v/>
      </c>
      <c r="G595" s="95" t="str">
        <f>IF(ISNUMBER(deployment_raw[[#This Row],[Column7]]), (deployment_raw[[#This Row],[Column7]] * IF($E$2="Deployment",deployment_raw[[#This Row],[Column5]],1))/1048576,"")</f>
        <v/>
      </c>
      <c r="H595" s="95" t="str">
        <f>IF(ISNUMBER(deployment_raw[[#This Row],[Column8]]), (deployment_raw[[#This Row],[Column8]]  * IF($E$2="Deployment",deployment_raw[[#This Row],[Column5]],1)),"")</f>
        <v/>
      </c>
      <c r="I595" s="96" t="str">
        <f>IF(ISNUMBER(deployment_raw[[#This Row],[Column9]]), (deployment_raw[[#This Row],[Column9]] * IF($E$2="Deployment",deployment_raw[[#This Row],[Column5]],1))/1048576,"")</f>
        <v/>
      </c>
      <c r="J595" s="122" t="str">
        <f>IF(ISNUMBER(deployment_raw[[#This Row],[Column10]]), (MIN(IF(N595&lt;&gt;"",N595,9999999999999)*1.1,deployment_raw[[#This Row],[Column10]] * IF($E$2="Deployment",deployment_raw[[#This Row],[Column5]],1))),"")</f>
        <v/>
      </c>
      <c r="K595" s="123" t="str">
        <f>IF(ISNUMBER(deployment_raw[[#This Row],[Column11]]), (MIN(IF(O595&lt;&gt;"",O595,9999999999999)*1.1,deployment_raw[[#This Row],[Column11]] * IF($E$2="Deployment",deployment_raw[[#This Row],[Column5]],1)/1048576)),"")</f>
        <v/>
      </c>
      <c r="L595" s="124" t="str">
        <f>IF(ISNUMBER(deployment_raw[[#This Row],[Column8]]),IF(OR(deployment_raw[[#This Row],[Column5]] &lt;&gt; 0,$E$2 &lt;&gt; "Deployment"), MAX(J595, P595, R595, ($L$2 * IF($E$2="Deployment",deployment_raw[[#This Row],[Column5]],1)),IF(T595&lt;&gt;"",VALUE(T595) * IF($E$2="Deployment",deployment_raw[[#This Row],[Column5]],1),0)), 0),"")</f>
        <v/>
      </c>
      <c r="M595" s="125" t="str">
        <f>IF(ISNUMBER(deployment_raw[[#This Row],[Column9]]),IF(OR(deployment_raw[[#This Row],[Column5]] &lt;&gt; 0,$E$2&lt;&gt;"Deployment"), MAX(K595, Q595, S595, ($M$2 * IF($E$2="Deployment",deployment_raw[[#This Row],[Column5]],1)),IF(U595&lt;&gt;"",VALUE(U595) * IF($E$2="Deployment",deployment_raw[[#This Row],[Column5]],1),0)), 0),"")</f>
        <v/>
      </c>
      <c r="N595" s="166" t="str">
        <f>IF(ISNUMBER(deployment_raw[[#This Row],[Column14]]), deployment_raw[[#This Row],[Column14]]/IF(OR($E$2="Deployment",deployment_raw[[#This Row],[Column5]]=0),1,deployment_raw[[#This Row],[Column5]]),"")</f>
        <v/>
      </c>
      <c r="O595" s="167" t="str">
        <f>IF(ISNUMBER(deployment_raw[[#This Row],[Column15]]), deployment_raw[[#This Row],[Column15]]/IF(OR($E$2="Deployment",deployment_raw[[#This Row],[Column5]]=0),1,deployment_raw[[#This Row],[Column5]])/1048576,"")</f>
        <v/>
      </c>
      <c r="P595" s="168" t="str">
        <f>IF(ISNUMBER(deployment_raw[[#This Row],[Column12]]), (MIN(IF(N595&lt;&gt;"",N595,9999999999999)*1.1,deployment_raw[[#This Row],[Column12]] * IF($E$2="Deployment",deployment_raw[[#This Row],[Column5]],1))*(1+$P$2)),"")</f>
        <v/>
      </c>
      <c r="Q595" s="167" t="str">
        <f>IF(ISNUMBER(deployment_raw[[#This Row],[Column13]]), (MIN(IF(O595&lt;&gt;"",O595,9999999999999)*1.1,deployment_raw[[#This Row],[Column13]] * IF($E$2="Deployment",deployment_raw[[#This Row],[Column5]],1)*(1+$Q$2)/1048576)),"")</f>
        <v/>
      </c>
      <c r="R595" s="169" t="str">
        <f>IF(ISNUMBER(deployment_raw[[#This Row],[Column8]]), (H595  * IF(N595&lt;&gt;0,$R$2,1)),"")</f>
        <v/>
      </c>
      <c r="S595" s="170" t="str">
        <f>IF(ISNUMBER(deployment_raw[[#This Row],[Column8]]), (I595  * IF(O595&lt;&gt;0,$S$2,1)),"")</f>
        <v/>
      </c>
      <c r="T595" s="202" t="str">
        <f>IF(AND(A595&lt;&gt;"",_xlfn.IFNA(MATCH(A595,'dynamic resource application '!$A$2:$A$100, 0),0)&lt;&gt;0), H595/(IF($E$2="Deployment",E595,1)),"")</f>
        <v/>
      </c>
      <c r="U595" s="211" t="str">
        <f>IF(AND(A595&lt;&gt;"",_xlfn.IFNA(MATCH(A595,'dynamic resource application '!$A$2:$A$100, 0),0)&lt;&gt;0), I595/(IF($E$2="Deployment",E595,1)),"")</f>
        <v/>
      </c>
    </row>
    <row r="596" spans="1:21" ht="15.75" customHeight="1" x14ac:dyDescent="0.25">
      <c r="A596" s="35" t="str">
        <f>IF(ISNONTEXT(deployment_raw[[#This Row],[Column1]]), "", deployment_raw[[#This Row],[Column1]])</f>
        <v/>
      </c>
      <c r="B596" s="36" t="str">
        <f>IF(ISNONTEXT(deployment_raw[[#This Row],[Column2]]), "", deployment_raw[[#This Row],[Column2]])</f>
        <v/>
      </c>
      <c r="C596" s="36" t="str">
        <f>IF(ISNONTEXT(deployment_raw[[#This Row],[Column3]]), "", deployment_raw[[#This Row],[Column3]])</f>
        <v/>
      </c>
      <c r="D596" s="36" t="str">
        <f>IF(ISNONTEXT(deployment_raw[[#This Row],[Column4]]), "", deployment_raw[[#This Row],[Column4]])</f>
        <v/>
      </c>
      <c r="E596" s="37" t="str">
        <f>IF(ISNUMBER(deployment_raw[[#This Row],[Column5]]), deployment_raw[[#This Row],[Column5]],"")</f>
        <v/>
      </c>
      <c r="F596" s="94" t="str">
        <f>IF(ISNUMBER(deployment_raw[[#This Row],[Column6]]), (deployment_raw[[#This Row],[Column6]] * IF($E$2="Deployment",deployment_raw[[#This Row],[Column5]],1)),"")</f>
        <v/>
      </c>
      <c r="G596" s="95" t="str">
        <f>IF(ISNUMBER(deployment_raw[[#This Row],[Column7]]), (deployment_raw[[#This Row],[Column7]] * IF($E$2="Deployment",deployment_raw[[#This Row],[Column5]],1))/1048576,"")</f>
        <v/>
      </c>
      <c r="H596" s="95" t="str">
        <f>IF(ISNUMBER(deployment_raw[[#This Row],[Column8]]), (deployment_raw[[#This Row],[Column8]]  * IF($E$2="Deployment",deployment_raw[[#This Row],[Column5]],1)),"")</f>
        <v/>
      </c>
      <c r="I596" s="96" t="str">
        <f>IF(ISNUMBER(deployment_raw[[#This Row],[Column9]]), (deployment_raw[[#This Row],[Column9]] * IF($E$2="Deployment",deployment_raw[[#This Row],[Column5]],1))/1048576,"")</f>
        <v/>
      </c>
      <c r="J596" s="122" t="str">
        <f>IF(ISNUMBER(deployment_raw[[#This Row],[Column10]]), (MIN(IF(N596&lt;&gt;"",N596,9999999999999)*1.1,deployment_raw[[#This Row],[Column10]] * IF($E$2="Deployment",deployment_raw[[#This Row],[Column5]],1))),"")</f>
        <v/>
      </c>
      <c r="K596" s="123" t="str">
        <f>IF(ISNUMBER(deployment_raw[[#This Row],[Column11]]), (MIN(IF(O596&lt;&gt;"",O596,9999999999999)*1.1,deployment_raw[[#This Row],[Column11]] * IF($E$2="Deployment",deployment_raw[[#This Row],[Column5]],1)/1048576)),"")</f>
        <v/>
      </c>
      <c r="L596" s="124" t="str">
        <f>IF(ISNUMBER(deployment_raw[[#This Row],[Column8]]),IF(OR(deployment_raw[[#This Row],[Column5]] &lt;&gt; 0,$E$2 &lt;&gt; "Deployment"), MAX(J596, P596, R596, ($L$2 * IF($E$2="Deployment",deployment_raw[[#This Row],[Column5]],1)),IF(T596&lt;&gt;"",VALUE(T596) * IF($E$2="Deployment",deployment_raw[[#This Row],[Column5]],1),0)), 0),"")</f>
        <v/>
      </c>
      <c r="M596" s="125" t="str">
        <f>IF(ISNUMBER(deployment_raw[[#This Row],[Column9]]),IF(OR(deployment_raw[[#This Row],[Column5]] &lt;&gt; 0,$E$2&lt;&gt;"Deployment"), MAX(K596, Q596, S596, ($M$2 * IF($E$2="Deployment",deployment_raw[[#This Row],[Column5]],1)),IF(U596&lt;&gt;"",VALUE(U596) * IF($E$2="Deployment",deployment_raw[[#This Row],[Column5]],1),0)), 0),"")</f>
        <v/>
      </c>
      <c r="N596" s="166" t="str">
        <f>IF(ISNUMBER(deployment_raw[[#This Row],[Column14]]), deployment_raw[[#This Row],[Column14]]/IF(OR($E$2="Deployment",deployment_raw[[#This Row],[Column5]]=0),1,deployment_raw[[#This Row],[Column5]]),"")</f>
        <v/>
      </c>
      <c r="O596" s="167" t="str">
        <f>IF(ISNUMBER(deployment_raw[[#This Row],[Column15]]), deployment_raw[[#This Row],[Column15]]/IF(OR($E$2="Deployment",deployment_raw[[#This Row],[Column5]]=0),1,deployment_raw[[#This Row],[Column5]])/1048576,"")</f>
        <v/>
      </c>
      <c r="P596" s="168" t="str">
        <f>IF(ISNUMBER(deployment_raw[[#This Row],[Column12]]), (MIN(IF(N596&lt;&gt;"",N596,9999999999999)*1.1,deployment_raw[[#This Row],[Column12]] * IF($E$2="Deployment",deployment_raw[[#This Row],[Column5]],1))*(1+$P$2)),"")</f>
        <v/>
      </c>
      <c r="Q596" s="167" t="str">
        <f>IF(ISNUMBER(deployment_raw[[#This Row],[Column13]]), (MIN(IF(O596&lt;&gt;"",O596,9999999999999)*1.1,deployment_raw[[#This Row],[Column13]] * IF($E$2="Deployment",deployment_raw[[#This Row],[Column5]],1)*(1+$Q$2)/1048576)),"")</f>
        <v/>
      </c>
      <c r="R596" s="169" t="str">
        <f>IF(ISNUMBER(deployment_raw[[#This Row],[Column8]]), (H596  * IF(N596&lt;&gt;0,$R$2,1)),"")</f>
        <v/>
      </c>
      <c r="S596" s="170" t="str">
        <f>IF(ISNUMBER(deployment_raw[[#This Row],[Column8]]), (I596  * IF(O596&lt;&gt;0,$S$2,1)),"")</f>
        <v/>
      </c>
      <c r="T596" s="202" t="str">
        <f>IF(AND(A596&lt;&gt;"",_xlfn.IFNA(MATCH(A596,'dynamic resource application '!$A$2:$A$100, 0),0)&lt;&gt;0), H596/(IF($E$2="Deployment",E596,1)),"")</f>
        <v/>
      </c>
      <c r="U596" s="211" t="str">
        <f>IF(AND(A596&lt;&gt;"",_xlfn.IFNA(MATCH(A596,'dynamic resource application '!$A$2:$A$100, 0),0)&lt;&gt;0), I596/(IF($E$2="Deployment",E596,1)),"")</f>
        <v/>
      </c>
    </row>
    <row r="597" spans="1:21" ht="15.75" customHeight="1" x14ac:dyDescent="0.25">
      <c r="A597" s="35" t="str">
        <f>IF(ISNONTEXT(deployment_raw[[#This Row],[Column1]]), "", deployment_raw[[#This Row],[Column1]])</f>
        <v/>
      </c>
      <c r="B597" s="36" t="str">
        <f>IF(ISNONTEXT(deployment_raw[[#This Row],[Column2]]), "", deployment_raw[[#This Row],[Column2]])</f>
        <v/>
      </c>
      <c r="C597" s="36" t="str">
        <f>IF(ISNONTEXT(deployment_raw[[#This Row],[Column3]]), "", deployment_raw[[#This Row],[Column3]])</f>
        <v/>
      </c>
      <c r="D597" s="36" t="str">
        <f>IF(ISNONTEXT(deployment_raw[[#This Row],[Column4]]), "", deployment_raw[[#This Row],[Column4]])</f>
        <v/>
      </c>
      <c r="E597" s="37" t="str">
        <f>IF(ISNUMBER(deployment_raw[[#This Row],[Column5]]), deployment_raw[[#This Row],[Column5]],"")</f>
        <v/>
      </c>
      <c r="F597" s="94" t="str">
        <f>IF(ISNUMBER(deployment_raw[[#This Row],[Column6]]), (deployment_raw[[#This Row],[Column6]] * IF($E$2="Deployment",deployment_raw[[#This Row],[Column5]],1)),"")</f>
        <v/>
      </c>
      <c r="G597" s="95" t="str">
        <f>IF(ISNUMBER(deployment_raw[[#This Row],[Column7]]), (deployment_raw[[#This Row],[Column7]] * IF($E$2="Deployment",deployment_raw[[#This Row],[Column5]],1))/1048576,"")</f>
        <v/>
      </c>
      <c r="H597" s="95" t="str">
        <f>IF(ISNUMBER(deployment_raw[[#This Row],[Column8]]), (deployment_raw[[#This Row],[Column8]]  * IF($E$2="Deployment",deployment_raw[[#This Row],[Column5]],1)),"")</f>
        <v/>
      </c>
      <c r="I597" s="96" t="str">
        <f>IF(ISNUMBER(deployment_raw[[#This Row],[Column9]]), (deployment_raw[[#This Row],[Column9]] * IF($E$2="Deployment",deployment_raw[[#This Row],[Column5]],1))/1048576,"")</f>
        <v/>
      </c>
      <c r="J597" s="122" t="str">
        <f>IF(ISNUMBER(deployment_raw[[#This Row],[Column10]]), (MIN(IF(N597&lt;&gt;"",N597,9999999999999)*1.1,deployment_raw[[#This Row],[Column10]] * IF($E$2="Deployment",deployment_raw[[#This Row],[Column5]],1))),"")</f>
        <v/>
      </c>
      <c r="K597" s="123" t="str">
        <f>IF(ISNUMBER(deployment_raw[[#This Row],[Column11]]), (MIN(IF(O597&lt;&gt;"",O597,9999999999999)*1.1,deployment_raw[[#This Row],[Column11]] * IF($E$2="Deployment",deployment_raw[[#This Row],[Column5]],1)/1048576)),"")</f>
        <v/>
      </c>
      <c r="L597" s="124" t="str">
        <f>IF(ISNUMBER(deployment_raw[[#This Row],[Column8]]),IF(OR(deployment_raw[[#This Row],[Column5]] &lt;&gt; 0,$E$2 &lt;&gt; "Deployment"), MAX(J597, P597, R597, ($L$2 * IF($E$2="Deployment",deployment_raw[[#This Row],[Column5]],1)),IF(T597&lt;&gt;"",VALUE(T597) * IF($E$2="Deployment",deployment_raw[[#This Row],[Column5]],1),0)), 0),"")</f>
        <v/>
      </c>
      <c r="M597" s="125" t="str">
        <f>IF(ISNUMBER(deployment_raw[[#This Row],[Column9]]),IF(OR(deployment_raw[[#This Row],[Column5]] &lt;&gt; 0,$E$2&lt;&gt;"Deployment"), MAX(K597, Q597, S597, ($M$2 * IF($E$2="Deployment",deployment_raw[[#This Row],[Column5]],1)),IF(U597&lt;&gt;"",VALUE(U597) * IF($E$2="Deployment",deployment_raw[[#This Row],[Column5]],1),0)), 0),"")</f>
        <v/>
      </c>
      <c r="N597" s="166" t="str">
        <f>IF(ISNUMBER(deployment_raw[[#This Row],[Column14]]), deployment_raw[[#This Row],[Column14]]/IF(OR($E$2="Deployment",deployment_raw[[#This Row],[Column5]]=0),1,deployment_raw[[#This Row],[Column5]]),"")</f>
        <v/>
      </c>
      <c r="O597" s="167" t="str">
        <f>IF(ISNUMBER(deployment_raw[[#This Row],[Column15]]), deployment_raw[[#This Row],[Column15]]/IF(OR($E$2="Deployment",deployment_raw[[#This Row],[Column5]]=0),1,deployment_raw[[#This Row],[Column5]])/1048576,"")</f>
        <v/>
      </c>
      <c r="P597" s="168" t="str">
        <f>IF(ISNUMBER(deployment_raw[[#This Row],[Column12]]), (MIN(IF(N597&lt;&gt;"",N597,9999999999999)*1.1,deployment_raw[[#This Row],[Column12]] * IF($E$2="Deployment",deployment_raw[[#This Row],[Column5]],1))*(1+$P$2)),"")</f>
        <v/>
      </c>
      <c r="Q597" s="167" t="str">
        <f>IF(ISNUMBER(deployment_raw[[#This Row],[Column13]]), (MIN(IF(O597&lt;&gt;"",O597,9999999999999)*1.1,deployment_raw[[#This Row],[Column13]] * IF($E$2="Deployment",deployment_raw[[#This Row],[Column5]],1)*(1+$Q$2)/1048576)),"")</f>
        <v/>
      </c>
      <c r="R597" s="169" t="str">
        <f>IF(ISNUMBER(deployment_raw[[#This Row],[Column8]]), (H597  * IF(N597&lt;&gt;0,$R$2,1)),"")</f>
        <v/>
      </c>
      <c r="S597" s="170" t="str">
        <f>IF(ISNUMBER(deployment_raw[[#This Row],[Column8]]), (I597  * IF(O597&lt;&gt;0,$S$2,1)),"")</f>
        <v/>
      </c>
      <c r="T597" s="202" t="str">
        <f>IF(AND(A597&lt;&gt;"",_xlfn.IFNA(MATCH(A597,'dynamic resource application '!$A$2:$A$100, 0),0)&lt;&gt;0), H597/(IF($E$2="Deployment",E597,1)),"")</f>
        <v/>
      </c>
      <c r="U597" s="211" t="str">
        <f>IF(AND(A597&lt;&gt;"",_xlfn.IFNA(MATCH(A597,'dynamic resource application '!$A$2:$A$100, 0),0)&lt;&gt;0), I597/(IF($E$2="Deployment",E597,1)),"")</f>
        <v/>
      </c>
    </row>
    <row r="598" spans="1:21" ht="15.75" customHeight="1" x14ac:dyDescent="0.25">
      <c r="A598" s="35" t="str">
        <f>IF(ISNONTEXT(deployment_raw[[#This Row],[Column1]]), "", deployment_raw[[#This Row],[Column1]])</f>
        <v/>
      </c>
      <c r="B598" s="36" t="str">
        <f>IF(ISNONTEXT(deployment_raw[[#This Row],[Column2]]), "", deployment_raw[[#This Row],[Column2]])</f>
        <v/>
      </c>
      <c r="C598" s="36" t="str">
        <f>IF(ISNONTEXT(deployment_raw[[#This Row],[Column3]]), "", deployment_raw[[#This Row],[Column3]])</f>
        <v/>
      </c>
      <c r="D598" s="36" t="str">
        <f>IF(ISNONTEXT(deployment_raw[[#This Row],[Column4]]), "", deployment_raw[[#This Row],[Column4]])</f>
        <v/>
      </c>
      <c r="E598" s="37" t="str">
        <f>IF(ISNUMBER(deployment_raw[[#This Row],[Column5]]), deployment_raw[[#This Row],[Column5]],"")</f>
        <v/>
      </c>
      <c r="F598" s="94" t="str">
        <f>IF(ISNUMBER(deployment_raw[[#This Row],[Column6]]), (deployment_raw[[#This Row],[Column6]] * IF($E$2="Deployment",deployment_raw[[#This Row],[Column5]],1)),"")</f>
        <v/>
      </c>
      <c r="G598" s="95" t="str">
        <f>IF(ISNUMBER(deployment_raw[[#This Row],[Column7]]), (deployment_raw[[#This Row],[Column7]] * IF($E$2="Deployment",deployment_raw[[#This Row],[Column5]],1))/1048576,"")</f>
        <v/>
      </c>
      <c r="H598" s="95" t="str">
        <f>IF(ISNUMBER(deployment_raw[[#This Row],[Column8]]), (deployment_raw[[#This Row],[Column8]]  * IF($E$2="Deployment",deployment_raw[[#This Row],[Column5]],1)),"")</f>
        <v/>
      </c>
      <c r="I598" s="96" t="str">
        <f>IF(ISNUMBER(deployment_raw[[#This Row],[Column9]]), (deployment_raw[[#This Row],[Column9]] * IF($E$2="Deployment",deployment_raw[[#This Row],[Column5]],1))/1048576,"")</f>
        <v/>
      </c>
      <c r="J598" s="122" t="str">
        <f>IF(ISNUMBER(deployment_raw[[#This Row],[Column10]]), (MIN(IF(N598&lt;&gt;"",N598,9999999999999)*1.1,deployment_raw[[#This Row],[Column10]] * IF($E$2="Deployment",deployment_raw[[#This Row],[Column5]],1))),"")</f>
        <v/>
      </c>
      <c r="K598" s="123" t="str">
        <f>IF(ISNUMBER(deployment_raw[[#This Row],[Column11]]), (MIN(IF(O598&lt;&gt;"",O598,9999999999999)*1.1,deployment_raw[[#This Row],[Column11]] * IF($E$2="Deployment",deployment_raw[[#This Row],[Column5]],1)/1048576)),"")</f>
        <v/>
      </c>
      <c r="L598" s="124" t="str">
        <f>IF(ISNUMBER(deployment_raw[[#This Row],[Column8]]),IF(OR(deployment_raw[[#This Row],[Column5]] &lt;&gt; 0,$E$2 &lt;&gt; "Deployment"), MAX(J598, P598, R598, ($L$2 * IF($E$2="Deployment",deployment_raw[[#This Row],[Column5]],1)),IF(T598&lt;&gt;"",VALUE(T598) * IF($E$2="Deployment",deployment_raw[[#This Row],[Column5]],1),0)), 0),"")</f>
        <v/>
      </c>
      <c r="M598" s="125" t="str">
        <f>IF(ISNUMBER(deployment_raw[[#This Row],[Column9]]),IF(OR(deployment_raw[[#This Row],[Column5]] &lt;&gt; 0,$E$2&lt;&gt;"Deployment"), MAX(K598, Q598, S598, ($M$2 * IF($E$2="Deployment",deployment_raw[[#This Row],[Column5]],1)),IF(U598&lt;&gt;"",VALUE(U598) * IF($E$2="Deployment",deployment_raw[[#This Row],[Column5]],1),0)), 0),"")</f>
        <v/>
      </c>
      <c r="N598" s="166" t="str">
        <f>IF(ISNUMBER(deployment_raw[[#This Row],[Column14]]), deployment_raw[[#This Row],[Column14]]/IF(OR($E$2="Deployment",deployment_raw[[#This Row],[Column5]]=0),1,deployment_raw[[#This Row],[Column5]]),"")</f>
        <v/>
      </c>
      <c r="O598" s="167" t="str">
        <f>IF(ISNUMBER(deployment_raw[[#This Row],[Column15]]), deployment_raw[[#This Row],[Column15]]/IF(OR($E$2="Deployment",deployment_raw[[#This Row],[Column5]]=0),1,deployment_raw[[#This Row],[Column5]])/1048576,"")</f>
        <v/>
      </c>
      <c r="P598" s="168" t="str">
        <f>IF(ISNUMBER(deployment_raw[[#This Row],[Column12]]), (MIN(IF(N598&lt;&gt;"",N598,9999999999999)*1.1,deployment_raw[[#This Row],[Column12]] * IF($E$2="Deployment",deployment_raw[[#This Row],[Column5]],1))*(1+$P$2)),"")</f>
        <v/>
      </c>
      <c r="Q598" s="167" t="str">
        <f>IF(ISNUMBER(deployment_raw[[#This Row],[Column13]]), (MIN(IF(O598&lt;&gt;"",O598,9999999999999)*1.1,deployment_raw[[#This Row],[Column13]] * IF($E$2="Deployment",deployment_raw[[#This Row],[Column5]],1)*(1+$Q$2)/1048576)),"")</f>
        <v/>
      </c>
      <c r="R598" s="169" t="str">
        <f>IF(ISNUMBER(deployment_raw[[#This Row],[Column8]]), (H598  * IF(N598&lt;&gt;0,$R$2,1)),"")</f>
        <v/>
      </c>
      <c r="S598" s="170" t="str">
        <f>IF(ISNUMBER(deployment_raw[[#This Row],[Column8]]), (I598  * IF(O598&lt;&gt;0,$S$2,1)),"")</f>
        <v/>
      </c>
      <c r="T598" s="202" t="str">
        <f>IF(AND(A598&lt;&gt;"",_xlfn.IFNA(MATCH(A598,'dynamic resource application '!$A$2:$A$100, 0),0)&lt;&gt;0), H598/(IF($E$2="Deployment",E598,1)),"")</f>
        <v/>
      </c>
      <c r="U598" s="211" t="str">
        <f>IF(AND(A598&lt;&gt;"",_xlfn.IFNA(MATCH(A598,'dynamic resource application '!$A$2:$A$100, 0),0)&lt;&gt;0), I598/(IF($E$2="Deployment",E598,1)),"")</f>
        <v/>
      </c>
    </row>
    <row r="599" spans="1:21" ht="15.75" customHeight="1" x14ac:dyDescent="0.25">
      <c r="A599" s="35" t="str">
        <f>IF(ISNONTEXT(deployment_raw[[#This Row],[Column1]]), "", deployment_raw[[#This Row],[Column1]])</f>
        <v/>
      </c>
      <c r="B599" s="36" t="str">
        <f>IF(ISNONTEXT(deployment_raw[[#This Row],[Column2]]), "", deployment_raw[[#This Row],[Column2]])</f>
        <v/>
      </c>
      <c r="C599" s="36" t="str">
        <f>IF(ISNONTEXT(deployment_raw[[#This Row],[Column3]]), "", deployment_raw[[#This Row],[Column3]])</f>
        <v/>
      </c>
      <c r="D599" s="36" t="str">
        <f>IF(ISNONTEXT(deployment_raw[[#This Row],[Column4]]), "", deployment_raw[[#This Row],[Column4]])</f>
        <v/>
      </c>
      <c r="E599" s="37" t="str">
        <f>IF(ISNUMBER(deployment_raw[[#This Row],[Column5]]), deployment_raw[[#This Row],[Column5]],"")</f>
        <v/>
      </c>
      <c r="F599" s="94" t="str">
        <f>IF(ISNUMBER(deployment_raw[[#This Row],[Column6]]), (deployment_raw[[#This Row],[Column6]] * IF($E$2="Deployment",deployment_raw[[#This Row],[Column5]],1)),"")</f>
        <v/>
      </c>
      <c r="G599" s="95" t="str">
        <f>IF(ISNUMBER(deployment_raw[[#This Row],[Column7]]), (deployment_raw[[#This Row],[Column7]] * IF($E$2="Deployment",deployment_raw[[#This Row],[Column5]],1))/1048576,"")</f>
        <v/>
      </c>
      <c r="H599" s="95" t="str">
        <f>IF(ISNUMBER(deployment_raw[[#This Row],[Column8]]), (deployment_raw[[#This Row],[Column8]]  * IF($E$2="Deployment",deployment_raw[[#This Row],[Column5]],1)),"")</f>
        <v/>
      </c>
      <c r="I599" s="96" t="str">
        <f>IF(ISNUMBER(deployment_raw[[#This Row],[Column9]]), (deployment_raw[[#This Row],[Column9]] * IF($E$2="Deployment",deployment_raw[[#This Row],[Column5]],1))/1048576,"")</f>
        <v/>
      </c>
      <c r="J599" s="122" t="str">
        <f>IF(ISNUMBER(deployment_raw[[#This Row],[Column10]]), (MIN(IF(N599&lt;&gt;"",N599,9999999999999)*1.1,deployment_raw[[#This Row],[Column10]] * IF($E$2="Deployment",deployment_raw[[#This Row],[Column5]],1))),"")</f>
        <v/>
      </c>
      <c r="K599" s="123" t="str">
        <f>IF(ISNUMBER(deployment_raw[[#This Row],[Column11]]), (MIN(IF(O599&lt;&gt;"",O599,9999999999999)*1.1,deployment_raw[[#This Row],[Column11]] * IF($E$2="Deployment",deployment_raw[[#This Row],[Column5]],1)/1048576)),"")</f>
        <v/>
      </c>
      <c r="L599" s="124" t="str">
        <f>IF(ISNUMBER(deployment_raw[[#This Row],[Column8]]),IF(OR(deployment_raw[[#This Row],[Column5]] &lt;&gt; 0,$E$2 &lt;&gt; "Deployment"), MAX(J599, P599, R599, ($L$2 * IF($E$2="Deployment",deployment_raw[[#This Row],[Column5]],1)),IF(T599&lt;&gt;"",VALUE(T599) * IF($E$2="Deployment",deployment_raw[[#This Row],[Column5]],1),0)), 0),"")</f>
        <v/>
      </c>
      <c r="M599" s="125" t="str">
        <f>IF(ISNUMBER(deployment_raw[[#This Row],[Column9]]),IF(OR(deployment_raw[[#This Row],[Column5]] &lt;&gt; 0,$E$2&lt;&gt;"Deployment"), MAX(K599, Q599, S599, ($M$2 * IF($E$2="Deployment",deployment_raw[[#This Row],[Column5]],1)),IF(U599&lt;&gt;"",VALUE(U599) * IF($E$2="Deployment",deployment_raw[[#This Row],[Column5]],1),0)), 0),"")</f>
        <v/>
      </c>
      <c r="N599" s="166" t="str">
        <f>IF(ISNUMBER(deployment_raw[[#This Row],[Column14]]), deployment_raw[[#This Row],[Column14]]/IF(OR($E$2="Deployment",deployment_raw[[#This Row],[Column5]]=0),1,deployment_raw[[#This Row],[Column5]]),"")</f>
        <v/>
      </c>
      <c r="O599" s="167" t="str">
        <f>IF(ISNUMBER(deployment_raw[[#This Row],[Column15]]), deployment_raw[[#This Row],[Column15]]/IF(OR($E$2="Deployment",deployment_raw[[#This Row],[Column5]]=0),1,deployment_raw[[#This Row],[Column5]])/1048576,"")</f>
        <v/>
      </c>
      <c r="P599" s="168" t="str">
        <f>IF(ISNUMBER(deployment_raw[[#This Row],[Column12]]), (MIN(IF(N599&lt;&gt;"",N599,9999999999999)*1.1,deployment_raw[[#This Row],[Column12]] * IF($E$2="Deployment",deployment_raw[[#This Row],[Column5]],1))*(1+$P$2)),"")</f>
        <v/>
      </c>
      <c r="Q599" s="167" t="str">
        <f>IF(ISNUMBER(deployment_raw[[#This Row],[Column13]]), (MIN(IF(O599&lt;&gt;"",O599,9999999999999)*1.1,deployment_raw[[#This Row],[Column13]] * IF($E$2="Deployment",deployment_raw[[#This Row],[Column5]],1)*(1+$Q$2)/1048576)),"")</f>
        <v/>
      </c>
      <c r="R599" s="169" t="str">
        <f>IF(ISNUMBER(deployment_raw[[#This Row],[Column8]]), (H599  * IF(N599&lt;&gt;0,$R$2,1)),"")</f>
        <v/>
      </c>
      <c r="S599" s="170" t="str">
        <f>IF(ISNUMBER(deployment_raw[[#This Row],[Column8]]), (I599  * IF(O599&lt;&gt;0,$S$2,1)),"")</f>
        <v/>
      </c>
      <c r="T599" s="202" t="str">
        <f>IF(AND(A599&lt;&gt;"",_xlfn.IFNA(MATCH(A599,'dynamic resource application '!$A$2:$A$100, 0),0)&lt;&gt;0), H599/(IF($E$2="Deployment",E599,1)),"")</f>
        <v/>
      </c>
      <c r="U599" s="211" t="str">
        <f>IF(AND(A599&lt;&gt;"",_xlfn.IFNA(MATCH(A599,'dynamic resource application '!$A$2:$A$100, 0),0)&lt;&gt;0), I599/(IF($E$2="Deployment",E599,1)),"")</f>
        <v/>
      </c>
    </row>
    <row r="600" spans="1:21" ht="15.75" customHeight="1" x14ac:dyDescent="0.25">
      <c r="A600" s="35" t="str">
        <f>IF(ISNONTEXT(deployment_raw[[#This Row],[Column1]]), "", deployment_raw[[#This Row],[Column1]])</f>
        <v/>
      </c>
      <c r="B600" s="36" t="str">
        <f>IF(ISNONTEXT(deployment_raw[[#This Row],[Column2]]), "", deployment_raw[[#This Row],[Column2]])</f>
        <v/>
      </c>
      <c r="C600" s="36" t="str">
        <f>IF(ISNONTEXT(deployment_raw[[#This Row],[Column3]]), "", deployment_raw[[#This Row],[Column3]])</f>
        <v/>
      </c>
      <c r="D600" s="36" t="str">
        <f>IF(ISNONTEXT(deployment_raw[[#This Row],[Column4]]), "", deployment_raw[[#This Row],[Column4]])</f>
        <v/>
      </c>
      <c r="E600" s="37" t="str">
        <f>IF(ISNUMBER(deployment_raw[[#This Row],[Column5]]), deployment_raw[[#This Row],[Column5]],"")</f>
        <v/>
      </c>
      <c r="F600" s="94" t="str">
        <f>IF(ISNUMBER(deployment_raw[[#This Row],[Column6]]), (deployment_raw[[#This Row],[Column6]] * IF($E$2="Deployment",deployment_raw[[#This Row],[Column5]],1)),"")</f>
        <v/>
      </c>
      <c r="G600" s="95" t="str">
        <f>IF(ISNUMBER(deployment_raw[[#This Row],[Column7]]), (deployment_raw[[#This Row],[Column7]] * IF($E$2="Deployment",deployment_raw[[#This Row],[Column5]],1))/1048576,"")</f>
        <v/>
      </c>
      <c r="H600" s="95" t="str">
        <f>IF(ISNUMBER(deployment_raw[[#This Row],[Column8]]), (deployment_raw[[#This Row],[Column8]]  * IF($E$2="Deployment",deployment_raw[[#This Row],[Column5]],1)),"")</f>
        <v/>
      </c>
      <c r="I600" s="96" t="str">
        <f>IF(ISNUMBER(deployment_raw[[#This Row],[Column9]]), (deployment_raw[[#This Row],[Column9]] * IF($E$2="Deployment",deployment_raw[[#This Row],[Column5]],1))/1048576,"")</f>
        <v/>
      </c>
      <c r="J600" s="122" t="str">
        <f>IF(ISNUMBER(deployment_raw[[#This Row],[Column10]]), (MIN(IF(N600&lt;&gt;"",N600,9999999999999)*1.1,deployment_raw[[#This Row],[Column10]] * IF($E$2="Deployment",deployment_raw[[#This Row],[Column5]],1))),"")</f>
        <v/>
      </c>
      <c r="K600" s="123" t="str">
        <f>IF(ISNUMBER(deployment_raw[[#This Row],[Column11]]), (MIN(IF(O600&lt;&gt;"",O600,9999999999999)*1.1,deployment_raw[[#This Row],[Column11]] * IF($E$2="Deployment",deployment_raw[[#This Row],[Column5]],1)/1048576)),"")</f>
        <v/>
      </c>
      <c r="L600" s="124" t="str">
        <f>IF(ISNUMBER(deployment_raw[[#This Row],[Column8]]),IF(OR(deployment_raw[[#This Row],[Column5]] &lt;&gt; 0,$E$2 &lt;&gt; "Deployment"), MAX(J600, P600, R600, ($L$2 * IF($E$2="Deployment",deployment_raw[[#This Row],[Column5]],1)),IF(T600&lt;&gt;"",VALUE(T600) * IF($E$2="Deployment",deployment_raw[[#This Row],[Column5]],1),0)), 0),"")</f>
        <v/>
      </c>
      <c r="M600" s="125" t="str">
        <f>IF(ISNUMBER(deployment_raw[[#This Row],[Column9]]),IF(OR(deployment_raw[[#This Row],[Column5]] &lt;&gt; 0,$E$2&lt;&gt;"Deployment"), MAX(K600, Q600, S600, ($M$2 * IF($E$2="Deployment",deployment_raw[[#This Row],[Column5]],1)),IF(U600&lt;&gt;"",VALUE(U600) * IF($E$2="Deployment",deployment_raw[[#This Row],[Column5]],1),0)), 0),"")</f>
        <v/>
      </c>
      <c r="N600" s="166" t="str">
        <f>IF(ISNUMBER(deployment_raw[[#This Row],[Column14]]), deployment_raw[[#This Row],[Column14]]/IF(OR($E$2="Deployment",deployment_raw[[#This Row],[Column5]]=0),1,deployment_raw[[#This Row],[Column5]]),"")</f>
        <v/>
      </c>
      <c r="O600" s="167" t="str">
        <f>IF(ISNUMBER(deployment_raw[[#This Row],[Column15]]), deployment_raw[[#This Row],[Column15]]/IF(OR($E$2="Deployment",deployment_raw[[#This Row],[Column5]]=0),1,deployment_raw[[#This Row],[Column5]])/1048576,"")</f>
        <v/>
      </c>
      <c r="P600" s="168" t="str">
        <f>IF(ISNUMBER(deployment_raw[[#This Row],[Column12]]), (MIN(IF(N600&lt;&gt;"",N600,9999999999999)*1.1,deployment_raw[[#This Row],[Column12]] * IF($E$2="Deployment",deployment_raw[[#This Row],[Column5]],1))*(1+$P$2)),"")</f>
        <v/>
      </c>
      <c r="Q600" s="167" t="str">
        <f>IF(ISNUMBER(deployment_raw[[#This Row],[Column13]]), (MIN(IF(O600&lt;&gt;"",O600,9999999999999)*1.1,deployment_raw[[#This Row],[Column13]] * IF($E$2="Deployment",deployment_raw[[#This Row],[Column5]],1)*(1+$Q$2)/1048576)),"")</f>
        <v/>
      </c>
      <c r="R600" s="169" t="str">
        <f>IF(ISNUMBER(deployment_raw[[#This Row],[Column8]]), (H600  * IF(N600&lt;&gt;0,$R$2,1)),"")</f>
        <v/>
      </c>
      <c r="S600" s="170" t="str">
        <f>IF(ISNUMBER(deployment_raw[[#This Row],[Column8]]), (I600  * IF(O600&lt;&gt;0,$S$2,1)),"")</f>
        <v/>
      </c>
      <c r="T600" s="202" t="str">
        <f>IF(AND(A600&lt;&gt;"",_xlfn.IFNA(MATCH(A600,'dynamic resource application '!$A$2:$A$100, 0),0)&lt;&gt;0), H600/(IF($E$2="Deployment",E600,1)),"")</f>
        <v/>
      </c>
      <c r="U600" s="211" t="str">
        <f>IF(AND(A600&lt;&gt;"",_xlfn.IFNA(MATCH(A600,'dynamic resource application '!$A$2:$A$100, 0),0)&lt;&gt;0), I600/(IF($E$2="Deployment",E600,1)),"")</f>
        <v/>
      </c>
    </row>
    <row r="601" spans="1:21" ht="15.75" customHeight="1" x14ac:dyDescent="0.25">
      <c r="A601" s="35" t="str">
        <f>IF(ISNONTEXT(deployment_raw[[#This Row],[Column1]]), "", deployment_raw[[#This Row],[Column1]])</f>
        <v/>
      </c>
      <c r="B601" s="36" t="str">
        <f>IF(ISNONTEXT(deployment_raw[[#This Row],[Column2]]), "", deployment_raw[[#This Row],[Column2]])</f>
        <v/>
      </c>
      <c r="C601" s="36" t="str">
        <f>IF(ISNONTEXT(deployment_raw[[#This Row],[Column3]]), "", deployment_raw[[#This Row],[Column3]])</f>
        <v/>
      </c>
      <c r="D601" s="36" t="str">
        <f>IF(ISNONTEXT(deployment_raw[[#This Row],[Column4]]), "", deployment_raw[[#This Row],[Column4]])</f>
        <v/>
      </c>
      <c r="E601" s="37" t="str">
        <f>IF(ISNUMBER(deployment_raw[[#This Row],[Column5]]), deployment_raw[[#This Row],[Column5]],"")</f>
        <v/>
      </c>
      <c r="F601" s="94" t="str">
        <f>IF(ISNUMBER(deployment_raw[[#This Row],[Column6]]), (deployment_raw[[#This Row],[Column6]] * IF($E$2="Deployment",deployment_raw[[#This Row],[Column5]],1)),"")</f>
        <v/>
      </c>
      <c r="G601" s="95" t="str">
        <f>IF(ISNUMBER(deployment_raw[[#This Row],[Column7]]), (deployment_raw[[#This Row],[Column7]] * IF($E$2="Deployment",deployment_raw[[#This Row],[Column5]],1))/1048576,"")</f>
        <v/>
      </c>
      <c r="H601" s="95" t="str">
        <f>IF(ISNUMBER(deployment_raw[[#This Row],[Column8]]), (deployment_raw[[#This Row],[Column8]]  * IF($E$2="Deployment",deployment_raw[[#This Row],[Column5]],1)),"")</f>
        <v/>
      </c>
      <c r="I601" s="96" t="str">
        <f>IF(ISNUMBER(deployment_raw[[#This Row],[Column9]]), (deployment_raw[[#This Row],[Column9]] * IF($E$2="Deployment",deployment_raw[[#This Row],[Column5]],1))/1048576,"")</f>
        <v/>
      </c>
      <c r="J601" s="122" t="str">
        <f>IF(ISNUMBER(deployment_raw[[#This Row],[Column10]]), (MIN(IF(N601&lt;&gt;"",N601,9999999999999)*1.1,deployment_raw[[#This Row],[Column10]] * IF($E$2="Deployment",deployment_raw[[#This Row],[Column5]],1))),"")</f>
        <v/>
      </c>
      <c r="K601" s="123" t="str">
        <f>IF(ISNUMBER(deployment_raw[[#This Row],[Column11]]), (MIN(IF(O601&lt;&gt;"",O601,9999999999999)*1.1,deployment_raw[[#This Row],[Column11]] * IF($E$2="Deployment",deployment_raw[[#This Row],[Column5]],1)/1048576)),"")</f>
        <v/>
      </c>
      <c r="L601" s="124" t="str">
        <f>IF(ISNUMBER(deployment_raw[[#This Row],[Column8]]),IF(OR(deployment_raw[[#This Row],[Column5]] &lt;&gt; 0,$E$2 &lt;&gt; "Deployment"), MAX(J601, P601, R601, ($L$2 * IF($E$2="Deployment",deployment_raw[[#This Row],[Column5]],1)),IF(T601&lt;&gt;"",VALUE(T601) * IF($E$2="Deployment",deployment_raw[[#This Row],[Column5]],1),0)), 0),"")</f>
        <v/>
      </c>
      <c r="M601" s="125" t="str">
        <f>IF(ISNUMBER(deployment_raw[[#This Row],[Column9]]),IF(OR(deployment_raw[[#This Row],[Column5]] &lt;&gt; 0,$E$2&lt;&gt;"Deployment"), MAX(K601, Q601, S601, ($M$2 * IF($E$2="Deployment",deployment_raw[[#This Row],[Column5]],1)),IF(U601&lt;&gt;"",VALUE(U601) * IF($E$2="Deployment",deployment_raw[[#This Row],[Column5]],1),0)), 0),"")</f>
        <v/>
      </c>
      <c r="N601" s="166" t="str">
        <f>IF(ISNUMBER(deployment_raw[[#This Row],[Column14]]), deployment_raw[[#This Row],[Column14]]/IF(OR($E$2="Deployment",deployment_raw[[#This Row],[Column5]]=0),1,deployment_raw[[#This Row],[Column5]]),"")</f>
        <v/>
      </c>
      <c r="O601" s="167" t="str">
        <f>IF(ISNUMBER(deployment_raw[[#This Row],[Column15]]), deployment_raw[[#This Row],[Column15]]/IF(OR($E$2="Deployment",deployment_raw[[#This Row],[Column5]]=0),1,deployment_raw[[#This Row],[Column5]])/1048576,"")</f>
        <v/>
      </c>
      <c r="P601" s="168" t="str">
        <f>IF(ISNUMBER(deployment_raw[[#This Row],[Column12]]), (MIN(IF(N601&lt;&gt;"",N601,9999999999999)*1.1,deployment_raw[[#This Row],[Column12]] * IF($E$2="Deployment",deployment_raw[[#This Row],[Column5]],1))*(1+$P$2)),"")</f>
        <v/>
      </c>
      <c r="Q601" s="167" t="str">
        <f>IF(ISNUMBER(deployment_raw[[#This Row],[Column13]]), (MIN(IF(O601&lt;&gt;"",O601,9999999999999)*1.1,deployment_raw[[#This Row],[Column13]] * IF($E$2="Deployment",deployment_raw[[#This Row],[Column5]],1)*(1+$Q$2)/1048576)),"")</f>
        <v/>
      </c>
      <c r="R601" s="169" t="str">
        <f>IF(ISNUMBER(deployment_raw[[#This Row],[Column8]]), (H601  * IF(N601&lt;&gt;0,$R$2,1)),"")</f>
        <v/>
      </c>
      <c r="S601" s="170" t="str">
        <f>IF(ISNUMBER(deployment_raw[[#This Row],[Column8]]), (I601  * IF(O601&lt;&gt;0,$S$2,1)),"")</f>
        <v/>
      </c>
      <c r="T601" s="202" t="str">
        <f>IF(AND(A601&lt;&gt;"",_xlfn.IFNA(MATCH(A601,'dynamic resource application '!$A$2:$A$100, 0),0)&lt;&gt;0), H601/(IF($E$2="Deployment",E601,1)),"")</f>
        <v/>
      </c>
      <c r="U601" s="211" t="str">
        <f>IF(AND(A601&lt;&gt;"",_xlfn.IFNA(MATCH(A601,'dynamic resource application '!$A$2:$A$100, 0),0)&lt;&gt;0), I601/(IF($E$2="Deployment",E601,1)),"")</f>
        <v/>
      </c>
    </row>
    <row r="602" spans="1:21" ht="15.75" customHeight="1" x14ac:dyDescent="0.25">
      <c r="A602" s="35" t="str">
        <f>IF(ISNONTEXT(deployment_raw[[#This Row],[Column1]]), "", deployment_raw[[#This Row],[Column1]])</f>
        <v/>
      </c>
      <c r="B602" s="36" t="str">
        <f>IF(ISNONTEXT(deployment_raw[[#This Row],[Column2]]), "", deployment_raw[[#This Row],[Column2]])</f>
        <v/>
      </c>
      <c r="C602" s="36" t="str">
        <f>IF(ISNONTEXT(deployment_raw[[#This Row],[Column3]]), "", deployment_raw[[#This Row],[Column3]])</f>
        <v/>
      </c>
      <c r="D602" s="36" t="str">
        <f>IF(ISNONTEXT(deployment_raw[[#This Row],[Column4]]), "", deployment_raw[[#This Row],[Column4]])</f>
        <v/>
      </c>
      <c r="E602" s="37" t="str">
        <f>IF(ISNUMBER(deployment_raw[[#This Row],[Column5]]), deployment_raw[[#This Row],[Column5]],"")</f>
        <v/>
      </c>
      <c r="F602" s="94" t="str">
        <f>IF(ISNUMBER(deployment_raw[[#This Row],[Column6]]), (deployment_raw[[#This Row],[Column6]] * IF($E$2="Deployment",deployment_raw[[#This Row],[Column5]],1)),"")</f>
        <v/>
      </c>
      <c r="G602" s="95" t="str">
        <f>IF(ISNUMBER(deployment_raw[[#This Row],[Column7]]), (deployment_raw[[#This Row],[Column7]] * IF($E$2="Deployment",deployment_raw[[#This Row],[Column5]],1))/1048576,"")</f>
        <v/>
      </c>
      <c r="H602" s="95" t="str">
        <f>IF(ISNUMBER(deployment_raw[[#This Row],[Column8]]), (deployment_raw[[#This Row],[Column8]]  * IF($E$2="Deployment",deployment_raw[[#This Row],[Column5]],1)),"")</f>
        <v/>
      </c>
      <c r="I602" s="96" t="str">
        <f>IF(ISNUMBER(deployment_raw[[#This Row],[Column9]]), (deployment_raw[[#This Row],[Column9]] * IF($E$2="Deployment",deployment_raw[[#This Row],[Column5]],1))/1048576,"")</f>
        <v/>
      </c>
      <c r="J602" s="122" t="str">
        <f>IF(ISNUMBER(deployment_raw[[#This Row],[Column10]]), (MIN(IF(N602&lt;&gt;"",N602,9999999999999)*1.1,deployment_raw[[#This Row],[Column10]] * IF($E$2="Deployment",deployment_raw[[#This Row],[Column5]],1))),"")</f>
        <v/>
      </c>
      <c r="K602" s="123" t="str">
        <f>IF(ISNUMBER(deployment_raw[[#This Row],[Column11]]), (MIN(IF(O602&lt;&gt;"",O602,9999999999999)*1.1,deployment_raw[[#This Row],[Column11]] * IF($E$2="Deployment",deployment_raw[[#This Row],[Column5]],1)/1048576)),"")</f>
        <v/>
      </c>
      <c r="L602" s="124" t="str">
        <f>IF(ISNUMBER(deployment_raw[[#This Row],[Column8]]),IF(OR(deployment_raw[[#This Row],[Column5]] &lt;&gt; 0,$E$2 &lt;&gt; "Deployment"), MAX(J602, P602, R602, ($L$2 * IF($E$2="Deployment",deployment_raw[[#This Row],[Column5]],1)),IF(T602&lt;&gt;"",VALUE(T602) * IF($E$2="Deployment",deployment_raw[[#This Row],[Column5]],1),0)), 0),"")</f>
        <v/>
      </c>
      <c r="M602" s="125" t="str">
        <f>IF(ISNUMBER(deployment_raw[[#This Row],[Column9]]),IF(OR(deployment_raw[[#This Row],[Column5]] &lt;&gt; 0,$E$2&lt;&gt;"Deployment"), MAX(K602, Q602, S602, ($M$2 * IF($E$2="Deployment",deployment_raw[[#This Row],[Column5]],1)),IF(U602&lt;&gt;"",VALUE(U602) * IF($E$2="Deployment",deployment_raw[[#This Row],[Column5]],1),0)), 0),"")</f>
        <v/>
      </c>
      <c r="N602" s="166" t="str">
        <f>IF(ISNUMBER(deployment_raw[[#This Row],[Column14]]), deployment_raw[[#This Row],[Column14]]/IF(OR($E$2="Deployment",deployment_raw[[#This Row],[Column5]]=0),1,deployment_raw[[#This Row],[Column5]]),"")</f>
        <v/>
      </c>
      <c r="O602" s="167" t="str">
        <f>IF(ISNUMBER(deployment_raw[[#This Row],[Column15]]), deployment_raw[[#This Row],[Column15]]/IF(OR($E$2="Deployment",deployment_raw[[#This Row],[Column5]]=0),1,deployment_raw[[#This Row],[Column5]])/1048576,"")</f>
        <v/>
      </c>
      <c r="P602" s="168" t="str">
        <f>IF(ISNUMBER(deployment_raw[[#This Row],[Column12]]), (MIN(IF(N602&lt;&gt;"",N602,9999999999999)*1.1,deployment_raw[[#This Row],[Column12]] * IF($E$2="Deployment",deployment_raw[[#This Row],[Column5]],1))*(1+$P$2)),"")</f>
        <v/>
      </c>
      <c r="Q602" s="167" t="str">
        <f>IF(ISNUMBER(deployment_raw[[#This Row],[Column13]]), (MIN(IF(O602&lt;&gt;"",O602,9999999999999)*1.1,deployment_raw[[#This Row],[Column13]] * IF($E$2="Deployment",deployment_raw[[#This Row],[Column5]],1)*(1+$Q$2)/1048576)),"")</f>
        <v/>
      </c>
      <c r="R602" s="169" t="str">
        <f>IF(ISNUMBER(deployment_raw[[#This Row],[Column8]]), (H602  * IF(N602&lt;&gt;0,$R$2,1)),"")</f>
        <v/>
      </c>
      <c r="S602" s="170" t="str">
        <f>IF(ISNUMBER(deployment_raw[[#This Row],[Column8]]), (I602  * IF(O602&lt;&gt;0,$S$2,1)),"")</f>
        <v/>
      </c>
      <c r="T602" s="202" t="str">
        <f>IF(AND(A602&lt;&gt;"",_xlfn.IFNA(MATCH(A602,'dynamic resource application '!$A$2:$A$100, 0),0)&lt;&gt;0), H602/(IF($E$2="Deployment",E602,1)),"")</f>
        <v/>
      </c>
      <c r="U602" s="211" t="str">
        <f>IF(AND(A602&lt;&gt;"",_xlfn.IFNA(MATCH(A602,'dynamic resource application '!$A$2:$A$100, 0),0)&lt;&gt;0), I602/(IF($E$2="Deployment",E602,1)),"")</f>
        <v/>
      </c>
    </row>
    <row r="603" spans="1:21" ht="15.75" customHeight="1" x14ac:dyDescent="0.25">
      <c r="A603" s="35" t="str">
        <f>IF(ISNONTEXT(deployment_raw[[#This Row],[Column1]]), "", deployment_raw[[#This Row],[Column1]])</f>
        <v/>
      </c>
      <c r="B603" s="36" t="str">
        <f>IF(ISNONTEXT(deployment_raw[[#This Row],[Column2]]), "", deployment_raw[[#This Row],[Column2]])</f>
        <v/>
      </c>
      <c r="C603" s="36" t="str">
        <f>IF(ISNONTEXT(deployment_raw[[#This Row],[Column3]]), "", deployment_raw[[#This Row],[Column3]])</f>
        <v/>
      </c>
      <c r="D603" s="36" t="str">
        <f>IF(ISNONTEXT(deployment_raw[[#This Row],[Column4]]), "", deployment_raw[[#This Row],[Column4]])</f>
        <v/>
      </c>
      <c r="E603" s="37" t="str">
        <f>IF(ISNUMBER(deployment_raw[[#This Row],[Column5]]), deployment_raw[[#This Row],[Column5]],"")</f>
        <v/>
      </c>
      <c r="F603" s="94" t="str">
        <f>IF(ISNUMBER(deployment_raw[[#This Row],[Column6]]), (deployment_raw[[#This Row],[Column6]] * IF($E$2="Deployment",deployment_raw[[#This Row],[Column5]],1)),"")</f>
        <v/>
      </c>
      <c r="G603" s="95" t="str">
        <f>IF(ISNUMBER(deployment_raw[[#This Row],[Column7]]), (deployment_raw[[#This Row],[Column7]] * IF($E$2="Deployment",deployment_raw[[#This Row],[Column5]],1))/1048576,"")</f>
        <v/>
      </c>
      <c r="H603" s="95" t="str">
        <f>IF(ISNUMBER(deployment_raw[[#This Row],[Column8]]), (deployment_raw[[#This Row],[Column8]]  * IF($E$2="Deployment",deployment_raw[[#This Row],[Column5]],1)),"")</f>
        <v/>
      </c>
      <c r="I603" s="96" t="str">
        <f>IF(ISNUMBER(deployment_raw[[#This Row],[Column9]]), (deployment_raw[[#This Row],[Column9]] * IF($E$2="Deployment",deployment_raw[[#This Row],[Column5]],1))/1048576,"")</f>
        <v/>
      </c>
      <c r="J603" s="122" t="str">
        <f>IF(ISNUMBER(deployment_raw[[#This Row],[Column10]]), (MIN(IF(N603&lt;&gt;"",N603,9999999999999)*1.1,deployment_raw[[#This Row],[Column10]] * IF($E$2="Deployment",deployment_raw[[#This Row],[Column5]],1))),"")</f>
        <v/>
      </c>
      <c r="K603" s="123" t="str">
        <f>IF(ISNUMBER(deployment_raw[[#This Row],[Column11]]), (MIN(IF(O603&lt;&gt;"",O603,9999999999999)*1.1,deployment_raw[[#This Row],[Column11]] * IF($E$2="Deployment",deployment_raw[[#This Row],[Column5]],1)/1048576)),"")</f>
        <v/>
      </c>
      <c r="L603" s="124" t="str">
        <f>IF(ISNUMBER(deployment_raw[[#This Row],[Column8]]),IF(OR(deployment_raw[[#This Row],[Column5]] &lt;&gt; 0,$E$2 &lt;&gt; "Deployment"), MAX(J603, P603, R603, ($L$2 * IF($E$2="Deployment",deployment_raw[[#This Row],[Column5]],1)),IF(T603&lt;&gt;"",VALUE(T603) * IF($E$2="Deployment",deployment_raw[[#This Row],[Column5]],1),0)), 0),"")</f>
        <v/>
      </c>
      <c r="M603" s="125" t="str">
        <f>IF(ISNUMBER(deployment_raw[[#This Row],[Column9]]),IF(OR(deployment_raw[[#This Row],[Column5]] &lt;&gt; 0,$E$2&lt;&gt;"Deployment"), MAX(K603, Q603, S603, ($M$2 * IF($E$2="Deployment",deployment_raw[[#This Row],[Column5]],1)),IF(U603&lt;&gt;"",VALUE(U603) * IF($E$2="Deployment",deployment_raw[[#This Row],[Column5]],1),0)), 0),"")</f>
        <v/>
      </c>
      <c r="N603" s="166" t="str">
        <f>IF(ISNUMBER(deployment_raw[[#This Row],[Column14]]), deployment_raw[[#This Row],[Column14]]/IF(OR($E$2="Deployment",deployment_raw[[#This Row],[Column5]]=0),1,deployment_raw[[#This Row],[Column5]]),"")</f>
        <v/>
      </c>
      <c r="O603" s="167" t="str">
        <f>IF(ISNUMBER(deployment_raw[[#This Row],[Column15]]), deployment_raw[[#This Row],[Column15]]/IF(OR($E$2="Deployment",deployment_raw[[#This Row],[Column5]]=0),1,deployment_raw[[#This Row],[Column5]])/1048576,"")</f>
        <v/>
      </c>
      <c r="P603" s="168" t="str">
        <f>IF(ISNUMBER(deployment_raw[[#This Row],[Column12]]), (MIN(IF(N603&lt;&gt;"",N603,9999999999999)*1.1,deployment_raw[[#This Row],[Column12]] * IF($E$2="Deployment",deployment_raw[[#This Row],[Column5]],1))*(1+$P$2)),"")</f>
        <v/>
      </c>
      <c r="Q603" s="167" t="str">
        <f>IF(ISNUMBER(deployment_raw[[#This Row],[Column13]]), (MIN(IF(O603&lt;&gt;"",O603,9999999999999)*1.1,deployment_raw[[#This Row],[Column13]] * IF($E$2="Deployment",deployment_raw[[#This Row],[Column5]],1)*(1+$Q$2)/1048576)),"")</f>
        <v/>
      </c>
      <c r="R603" s="169" t="str">
        <f>IF(ISNUMBER(deployment_raw[[#This Row],[Column8]]), (H603  * IF(N603&lt;&gt;0,$R$2,1)),"")</f>
        <v/>
      </c>
      <c r="S603" s="170" t="str">
        <f>IF(ISNUMBER(deployment_raw[[#This Row],[Column8]]), (I603  * IF(O603&lt;&gt;0,$S$2,1)),"")</f>
        <v/>
      </c>
      <c r="T603" s="202" t="str">
        <f>IF(AND(A603&lt;&gt;"",_xlfn.IFNA(MATCH(A603,'dynamic resource application '!$A$2:$A$100, 0),0)&lt;&gt;0), H603/(IF($E$2="Deployment",E603,1)),"")</f>
        <v/>
      </c>
      <c r="U603" s="211" t="str">
        <f>IF(AND(A603&lt;&gt;"",_xlfn.IFNA(MATCH(A603,'dynamic resource application '!$A$2:$A$100, 0),0)&lt;&gt;0), I603/(IF($E$2="Deployment",E603,1)),"")</f>
        <v/>
      </c>
    </row>
    <row r="604" spans="1:21" ht="15.75" customHeight="1" x14ac:dyDescent="0.25">
      <c r="A604" s="35" t="str">
        <f>IF(ISNONTEXT(deployment_raw[[#This Row],[Column1]]), "", deployment_raw[[#This Row],[Column1]])</f>
        <v/>
      </c>
      <c r="B604" s="36" t="str">
        <f>IF(ISNONTEXT(deployment_raw[[#This Row],[Column2]]), "", deployment_raw[[#This Row],[Column2]])</f>
        <v/>
      </c>
      <c r="C604" s="36" t="str">
        <f>IF(ISNONTEXT(deployment_raw[[#This Row],[Column3]]), "", deployment_raw[[#This Row],[Column3]])</f>
        <v/>
      </c>
      <c r="D604" s="36" t="str">
        <f>IF(ISNONTEXT(deployment_raw[[#This Row],[Column4]]), "", deployment_raw[[#This Row],[Column4]])</f>
        <v/>
      </c>
      <c r="E604" s="37" t="str">
        <f>IF(ISNUMBER(deployment_raw[[#This Row],[Column5]]), deployment_raw[[#This Row],[Column5]],"")</f>
        <v/>
      </c>
      <c r="F604" s="94" t="str">
        <f>IF(ISNUMBER(deployment_raw[[#This Row],[Column6]]), (deployment_raw[[#This Row],[Column6]] * IF($E$2="Deployment",deployment_raw[[#This Row],[Column5]],1)),"")</f>
        <v/>
      </c>
      <c r="G604" s="95" t="str">
        <f>IF(ISNUMBER(deployment_raw[[#This Row],[Column7]]), (deployment_raw[[#This Row],[Column7]] * IF($E$2="Deployment",deployment_raw[[#This Row],[Column5]],1))/1048576,"")</f>
        <v/>
      </c>
      <c r="H604" s="95" t="str">
        <f>IF(ISNUMBER(deployment_raw[[#This Row],[Column8]]), (deployment_raw[[#This Row],[Column8]]  * IF($E$2="Deployment",deployment_raw[[#This Row],[Column5]],1)),"")</f>
        <v/>
      </c>
      <c r="I604" s="96" t="str">
        <f>IF(ISNUMBER(deployment_raw[[#This Row],[Column9]]), (deployment_raw[[#This Row],[Column9]] * IF($E$2="Deployment",deployment_raw[[#This Row],[Column5]],1))/1048576,"")</f>
        <v/>
      </c>
      <c r="J604" s="122" t="str">
        <f>IF(ISNUMBER(deployment_raw[[#This Row],[Column10]]), (MIN(IF(N604&lt;&gt;"",N604,9999999999999)*1.1,deployment_raw[[#This Row],[Column10]] * IF($E$2="Deployment",deployment_raw[[#This Row],[Column5]],1))),"")</f>
        <v/>
      </c>
      <c r="K604" s="123" t="str">
        <f>IF(ISNUMBER(deployment_raw[[#This Row],[Column11]]), (MIN(IF(O604&lt;&gt;"",O604,9999999999999)*1.1,deployment_raw[[#This Row],[Column11]] * IF($E$2="Deployment",deployment_raw[[#This Row],[Column5]],1)/1048576)),"")</f>
        <v/>
      </c>
      <c r="L604" s="124" t="str">
        <f>IF(ISNUMBER(deployment_raw[[#This Row],[Column8]]),IF(OR(deployment_raw[[#This Row],[Column5]] &lt;&gt; 0,$E$2 &lt;&gt; "Deployment"), MAX(J604, P604, R604, ($L$2 * IF($E$2="Deployment",deployment_raw[[#This Row],[Column5]],1)),IF(T604&lt;&gt;"",VALUE(T604) * IF($E$2="Deployment",deployment_raw[[#This Row],[Column5]],1),0)), 0),"")</f>
        <v/>
      </c>
      <c r="M604" s="125" t="str">
        <f>IF(ISNUMBER(deployment_raw[[#This Row],[Column9]]),IF(OR(deployment_raw[[#This Row],[Column5]] &lt;&gt; 0,$E$2&lt;&gt;"Deployment"), MAX(K604, Q604, S604, ($M$2 * IF($E$2="Deployment",deployment_raw[[#This Row],[Column5]],1)),IF(U604&lt;&gt;"",VALUE(U604) * IF($E$2="Deployment",deployment_raw[[#This Row],[Column5]],1),0)), 0),"")</f>
        <v/>
      </c>
      <c r="N604" s="166" t="str">
        <f>IF(ISNUMBER(deployment_raw[[#This Row],[Column14]]), deployment_raw[[#This Row],[Column14]]/IF(OR($E$2="Deployment",deployment_raw[[#This Row],[Column5]]=0),1,deployment_raw[[#This Row],[Column5]]),"")</f>
        <v/>
      </c>
      <c r="O604" s="167" t="str">
        <f>IF(ISNUMBER(deployment_raw[[#This Row],[Column15]]), deployment_raw[[#This Row],[Column15]]/IF(OR($E$2="Deployment",deployment_raw[[#This Row],[Column5]]=0),1,deployment_raw[[#This Row],[Column5]])/1048576,"")</f>
        <v/>
      </c>
      <c r="P604" s="168" t="str">
        <f>IF(ISNUMBER(deployment_raw[[#This Row],[Column12]]), (MIN(IF(N604&lt;&gt;"",N604,9999999999999)*1.1,deployment_raw[[#This Row],[Column12]] * IF($E$2="Deployment",deployment_raw[[#This Row],[Column5]],1))*(1+$P$2)),"")</f>
        <v/>
      </c>
      <c r="Q604" s="167" t="str">
        <f>IF(ISNUMBER(deployment_raw[[#This Row],[Column13]]), (MIN(IF(O604&lt;&gt;"",O604,9999999999999)*1.1,deployment_raw[[#This Row],[Column13]] * IF($E$2="Deployment",deployment_raw[[#This Row],[Column5]],1)*(1+$Q$2)/1048576)),"")</f>
        <v/>
      </c>
      <c r="R604" s="169" t="str">
        <f>IF(ISNUMBER(deployment_raw[[#This Row],[Column8]]), (H604  * IF(N604&lt;&gt;0,$R$2,1)),"")</f>
        <v/>
      </c>
      <c r="S604" s="170" t="str">
        <f>IF(ISNUMBER(deployment_raw[[#This Row],[Column8]]), (I604  * IF(O604&lt;&gt;0,$S$2,1)),"")</f>
        <v/>
      </c>
      <c r="T604" s="202" t="str">
        <f>IF(AND(A604&lt;&gt;"",_xlfn.IFNA(MATCH(A604,'dynamic resource application '!$A$2:$A$100, 0),0)&lt;&gt;0), H604/(IF($E$2="Deployment",E604,1)),"")</f>
        <v/>
      </c>
      <c r="U604" s="211" t="str">
        <f>IF(AND(A604&lt;&gt;"",_xlfn.IFNA(MATCH(A604,'dynamic resource application '!$A$2:$A$100, 0),0)&lt;&gt;0), I604/(IF($E$2="Deployment",E604,1)),"")</f>
        <v/>
      </c>
    </row>
    <row r="605" spans="1:21" ht="15.75" customHeight="1" x14ac:dyDescent="0.25">
      <c r="A605" s="35" t="str">
        <f>IF(ISNONTEXT(deployment_raw[[#This Row],[Column1]]), "", deployment_raw[[#This Row],[Column1]])</f>
        <v/>
      </c>
      <c r="B605" s="36" t="str">
        <f>IF(ISNONTEXT(deployment_raw[[#This Row],[Column2]]), "", deployment_raw[[#This Row],[Column2]])</f>
        <v/>
      </c>
      <c r="C605" s="36" t="str">
        <f>IF(ISNONTEXT(deployment_raw[[#This Row],[Column3]]), "", deployment_raw[[#This Row],[Column3]])</f>
        <v/>
      </c>
      <c r="D605" s="36" t="str">
        <f>IF(ISNONTEXT(deployment_raw[[#This Row],[Column4]]), "", deployment_raw[[#This Row],[Column4]])</f>
        <v/>
      </c>
      <c r="E605" s="37" t="str">
        <f>IF(ISNUMBER(deployment_raw[[#This Row],[Column5]]), deployment_raw[[#This Row],[Column5]],"")</f>
        <v/>
      </c>
      <c r="F605" s="94" t="str">
        <f>IF(ISNUMBER(deployment_raw[[#This Row],[Column6]]), (deployment_raw[[#This Row],[Column6]] * IF($E$2="Deployment",deployment_raw[[#This Row],[Column5]],1)),"")</f>
        <v/>
      </c>
      <c r="G605" s="95" t="str">
        <f>IF(ISNUMBER(deployment_raw[[#This Row],[Column7]]), (deployment_raw[[#This Row],[Column7]] * IF($E$2="Deployment",deployment_raw[[#This Row],[Column5]],1))/1048576,"")</f>
        <v/>
      </c>
      <c r="H605" s="95" t="str">
        <f>IF(ISNUMBER(deployment_raw[[#This Row],[Column8]]), (deployment_raw[[#This Row],[Column8]]  * IF($E$2="Deployment",deployment_raw[[#This Row],[Column5]],1)),"")</f>
        <v/>
      </c>
      <c r="I605" s="96" t="str">
        <f>IF(ISNUMBER(deployment_raw[[#This Row],[Column9]]), (deployment_raw[[#This Row],[Column9]] * IF($E$2="Deployment",deployment_raw[[#This Row],[Column5]],1))/1048576,"")</f>
        <v/>
      </c>
      <c r="J605" s="122" t="str">
        <f>IF(ISNUMBER(deployment_raw[[#This Row],[Column10]]), (MIN(IF(N605&lt;&gt;"",N605,9999999999999)*1.1,deployment_raw[[#This Row],[Column10]] * IF($E$2="Deployment",deployment_raw[[#This Row],[Column5]],1))),"")</f>
        <v/>
      </c>
      <c r="K605" s="123" t="str">
        <f>IF(ISNUMBER(deployment_raw[[#This Row],[Column11]]), (MIN(IF(O605&lt;&gt;"",O605,9999999999999)*1.1,deployment_raw[[#This Row],[Column11]] * IF($E$2="Deployment",deployment_raw[[#This Row],[Column5]],1)/1048576)),"")</f>
        <v/>
      </c>
      <c r="L605" s="124" t="str">
        <f>IF(ISNUMBER(deployment_raw[[#This Row],[Column8]]),IF(OR(deployment_raw[[#This Row],[Column5]] &lt;&gt; 0,$E$2 &lt;&gt; "Deployment"), MAX(J605, P605, R605, ($L$2 * IF($E$2="Deployment",deployment_raw[[#This Row],[Column5]],1)),IF(T605&lt;&gt;"",VALUE(T605) * IF($E$2="Deployment",deployment_raw[[#This Row],[Column5]],1),0)), 0),"")</f>
        <v/>
      </c>
      <c r="M605" s="125" t="str">
        <f>IF(ISNUMBER(deployment_raw[[#This Row],[Column9]]),IF(OR(deployment_raw[[#This Row],[Column5]] &lt;&gt; 0,$E$2&lt;&gt;"Deployment"), MAX(K605, Q605, S605, ($M$2 * IF($E$2="Deployment",deployment_raw[[#This Row],[Column5]],1)),IF(U605&lt;&gt;"",VALUE(U605) * IF($E$2="Deployment",deployment_raw[[#This Row],[Column5]],1),0)), 0),"")</f>
        <v/>
      </c>
      <c r="N605" s="166" t="str">
        <f>IF(ISNUMBER(deployment_raw[[#This Row],[Column14]]), deployment_raw[[#This Row],[Column14]]/IF(OR($E$2="Deployment",deployment_raw[[#This Row],[Column5]]=0),1,deployment_raw[[#This Row],[Column5]]),"")</f>
        <v/>
      </c>
      <c r="O605" s="167" t="str">
        <f>IF(ISNUMBER(deployment_raw[[#This Row],[Column15]]), deployment_raw[[#This Row],[Column15]]/IF(OR($E$2="Deployment",deployment_raw[[#This Row],[Column5]]=0),1,deployment_raw[[#This Row],[Column5]])/1048576,"")</f>
        <v/>
      </c>
      <c r="P605" s="168" t="str">
        <f>IF(ISNUMBER(deployment_raw[[#This Row],[Column12]]), (MIN(IF(N605&lt;&gt;"",N605,9999999999999)*1.1,deployment_raw[[#This Row],[Column12]] * IF($E$2="Deployment",deployment_raw[[#This Row],[Column5]],1))*(1+$P$2)),"")</f>
        <v/>
      </c>
      <c r="Q605" s="167" t="str">
        <f>IF(ISNUMBER(deployment_raw[[#This Row],[Column13]]), (MIN(IF(O605&lt;&gt;"",O605,9999999999999)*1.1,deployment_raw[[#This Row],[Column13]] * IF($E$2="Deployment",deployment_raw[[#This Row],[Column5]],1)*(1+$Q$2)/1048576)),"")</f>
        <v/>
      </c>
      <c r="R605" s="169" t="str">
        <f>IF(ISNUMBER(deployment_raw[[#This Row],[Column8]]), (H605  * IF(N605&lt;&gt;0,$R$2,1)),"")</f>
        <v/>
      </c>
      <c r="S605" s="170" t="str">
        <f>IF(ISNUMBER(deployment_raw[[#This Row],[Column8]]), (I605  * IF(O605&lt;&gt;0,$S$2,1)),"")</f>
        <v/>
      </c>
      <c r="T605" s="202" t="str">
        <f>IF(AND(A605&lt;&gt;"",_xlfn.IFNA(MATCH(A605,'dynamic resource application '!$A$2:$A$100, 0),0)&lt;&gt;0), H605/(IF($E$2="Deployment",E605,1)),"")</f>
        <v/>
      </c>
      <c r="U605" s="211" t="str">
        <f>IF(AND(A605&lt;&gt;"",_xlfn.IFNA(MATCH(A605,'dynamic resource application '!$A$2:$A$100, 0),0)&lt;&gt;0), I605/(IF($E$2="Deployment",E605,1)),"")</f>
        <v/>
      </c>
    </row>
    <row r="606" spans="1:21" ht="15.75" customHeight="1" x14ac:dyDescent="0.25">
      <c r="A606" s="35" t="str">
        <f>IF(ISNONTEXT(deployment_raw[[#This Row],[Column1]]), "", deployment_raw[[#This Row],[Column1]])</f>
        <v/>
      </c>
      <c r="B606" s="36" t="str">
        <f>IF(ISNONTEXT(deployment_raw[[#This Row],[Column2]]), "", deployment_raw[[#This Row],[Column2]])</f>
        <v/>
      </c>
      <c r="C606" s="36" t="str">
        <f>IF(ISNONTEXT(deployment_raw[[#This Row],[Column3]]), "", deployment_raw[[#This Row],[Column3]])</f>
        <v/>
      </c>
      <c r="D606" s="36" t="str">
        <f>IF(ISNONTEXT(deployment_raw[[#This Row],[Column4]]), "", deployment_raw[[#This Row],[Column4]])</f>
        <v/>
      </c>
      <c r="E606" s="37" t="str">
        <f>IF(ISNUMBER(deployment_raw[[#This Row],[Column5]]), deployment_raw[[#This Row],[Column5]],"")</f>
        <v/>
      </c>
      <c r="F606" s="94" t="str">
        <f>IF(ISNUMBER(deployment_raw[[#This Row],[Column6]]), (deployment_raw[[#This Row],[Column6]] * IF($E$2="Deployment",deployment_raw[[#This Row],[Column5]],1)),"")</f>
        <v/>
      </c>
      <c r="G606" s="95" t="str">
        <f>IF(ISNUMBER(deployment_raw[[#This Row],[Column7]]), (deployment_raw[[#This Row],[Column7]] * IF($E$2="Deployment",deployment_raw[[#This Row],[Column5]],1))/1048576,"")</f>
        <v/>
      </c>
      <c r="H606" s="95" t="str">
        <f>IF(ISNUMBER(deployment_raw[[#This Row],[Column8]]), (deployment_raw[[#This Row],[Column8]]  * IF($E$2="Deployment",deployment_raw[[#This Row],[Column5]],1)),"")</f>
        <v/>
      </c>
      <c r="I606" s="96" t="str">
        <f>IF(ISNUMBER(deployment_raw[[#This Row],[Column9]]), (deployment_raw[[#This Row],[Column9]] * IF($E$2="Deployment",deployment_raw[[#This Row],[Column5]],1))/1048576,"")</f>
        <v/>
      </c>
      <c r="J606" s="122" t="str">
        <f>IF(ISNUMBER(deployment_raw[[#This Row],[Column10]]), (MIN(IF(N606&lt;&gt;"",N606,9999999999999)*1.1,deployment_raw[[#This Row],[Column10]] * IF($E$2="Deployment",deployment_raw[[#This Row],[Column5]],1))),"")</f>
        <v/>
      </c>
      <c r="K606" s="123" t="str">
        <f>IF(ISNUMBER(deployment_raw[[#This Row],[Column11]]), (MIN(IF(O606&lt;&gt;"",O606,9999999999999)*1.1,deployment_raw[[#This Row],[Column11]] * IF($E$2="Deployment",deployment_raw[[#This Row],[Column5]],1)/1048576)),"")</f>
        <v/>
      </c>
      <c r="L606" s="124" t="str">
        <f>IF(ISNUMBER(deployment_raw[[#This Row],[Column8]]),IF(OR(deployment_raw[[#This Row],[Column5]] &lt;&gt; 0,$E$2 &lt;&gt; "Deployment"), MAX(J606, P606, R606, ($L$2 * IF($E$2="Deployment",deployment_raw[[#This Row],[Column5]],1)),IF(T606&lt;&gt;"",VALUE(T606) * IF($E$2="Deployment",deployment_raw[[#This Row],[Column5]],1),0)), 0),"")</f>
        <v/>
      </c>
      <c r="M606" s="125" t="str">
        <f>IF(ISNUMBER(deployment_raw[[#This Row],[Column9]]),IF(OR(deployment_raw[[#This Row],[Column5]] &lt;&gt; 0,$E$2&lt;&gt;"Deployment"), MAX(K606, Q606, S606, ($M$2 * IF($E$2="Deployment",deployment_raw[[#This Row],[Column5]],1)),IF(U606&lt;&gt;"",VALUE(U606) * IF($E$2="Deployment",deployment_raw[[#This Row],[Column5]],1),0)), 0),"")</f>
        <v/>
      </c>
      <c r="N606" s="166" t="str">
        <f>IF(ISNUMBER(deployment_raw[[#This Row],[Column14]]), deployment_raw[[#This Row],[Column14]]/IF(OR($E$2="Deployment",deployment_raw[[#This Row],[Column5]]=0),1,deployment_raw[[#This Row],[Column5]]),"")</f>
        <v/>
      </c>
      <c r="O606" s="167" t="str">
        <f>IF(ISNUMBER(deployment_raw[[#This Row],[Column15]]), deployment_raw[[#This Row],[Column15]]/IF(OR($E$2="Deployment",deployment_raw[[#This Row],[Column5]]=0),1,deployment_raw[[#This Row],[Column5]])/1048576,"")</f>
        <v/>
      </c>
      <c r="P606" s="168" t="str">
        <f>IF(ISNUMBER(deployment_raw[[#This Row],[Column12]]), (MIN(IF(N606&lt;&gt;"",N606,9999999999999)*1.1,deployment_raw[[#This Row],[Column12]] * IF($E$2="Deployment",deployment_raw[[#This Row],[Column5]],1))*(1+$P$2)),"")</f>
        <v/>
      </c>
      <c r="Q606" s="167" t="str">
        <f>IF(ISNUMBER(deployment_raw[[#This Row],[Column13]]), (MIN(IF(O606&lt;&gt;"",O606,9999999999999)*1.1,deployment_raw[[#This Row],[Column13]] * IF($E$2="Deployment",deployment_raw[[#This Row],[Column5]],1)*(1+$Q$2)/1048576)),"")</f>
        <v/>
      </c>
      <c r="R606" s="169" t="str">
        <f>IF(ISNUMBER(deployment_raw[[#This Row],[Column8]]), (H606  * IF(N606&lt;&gt;0,$R$2,1)),"")</f>
        <v/>
      </c>
      <c r="S606" s="170" t="str">
        <f>IF(ISNUMBER(deployment_raw[[#This Row],[Column8]]), (I606  * IF(O606&lt;&gt;0,$S$2,1)),"")</f>
        <v/>
      </c>
      <c r="T606" s="202" t="str">
        <f>IF(AND(A606&lt;&gt;"",_xlfn.IFNA(MATCH(A606,'dynamic resource application '!$A$2:$A$100, 0),0)&lt;&gt;0), H606/(IF($E$2="Deployment",E606,1)),"")</f>
        <v/>
      </c>
      <c r="U606" s="211" t="str">
        <f>IF(AND(A606&lt;&gt;"",_xlfn.IFNA(MATCH(A606,'dynamic resource application '!$A$2:$A$100, 0),0)&lt;&gt;0), I606/(IF($E$2="Deployment",E606,1)),"")</f>
        <v/>
      </c>
    </row>
    <row r="607" spans="1:21" ht="15.75" customHeight="1" x14ac:dyDescent="0.25">
      <c r="A607" s="35" t="str">
        <f>IF(ISNONTEXT(deployment_raw[[#This Row],[Column1]]), "", deployment_raw[[#This Row],[Column1]])</f>
        <v/>
      </c>
      <c r="B607" s="36" t="str">
        <f>IF(ISNONTEXT(deployment_raw[[#This Row],[Column2]]), "", deployment_raw[[#This Row],[Column2]])</f>
        <v/>
      </c>
      <c r="C607" s="36" t="str">
        <f>IF(ISNONTEXT(deployment_raw[[#This Row],[Column3]]), "", deployment_raw[[#This Row],[Column3]])</f>
        <v/>
      </c>
      <c r="D607" s="36" t="str">
        <f>IF(ISNONTEXT(deployment_raw[[#This Row],[Column4]]), "", deployment_raw[[#This Row],[Column4]])</f>
        <v/>
      </c>
      <c r="E607" s="37" t="str">
        <f>IF(ISNUMBER(deployment_raw[[#This Row],[Column5]]), deployment_raw[[#This Row],[Column5]],"")</f>
        <v/>
      </c>
      <c r="F607" s="94" t="str">
        <f>IF(ISNUMBER(deployment_raw[[#This Row],[Column6]]), (deployment_raw[[#This Row],[Column6]] * IF($E$2="Deployment",deployment_raw[[#This Row],[Column5]],1)),"")</f>
        <v/>
      </c>
      <c r="G607" s="95" t="str">
        <f>IF(ISNUMBER(deployment_raw[[#This Row],[Column7]]), (deployment_raw[[#This Row],[Column7]] * IF($E$2="Deployment",deployment_raw[[#This Row],[Column5]],1))/1048576,"")</f>
        <v/>
      </c>
      <c r="H607" s="95" t="str">
        <f>IF(ISNUMBER(deployment_raw[[#This Row],[Column8]]), (deployment_raw[[#This Row],[Column8]]  * IF($E$2="Deployment",deployment_raw[[#This Row],[Column5]],1)),"")</f>
        <v/>
      </c>
      <c r="I607" s="96" t="str">
        <f>IF(ISNUMBER(deployment_raw[[#This Row],[Column9]]), (deployment_raw[[#This Row],[Column9]] * IF($E$2="Deployment",deployment_raw[[#This Row],[Column5]],1))/1048576,"")</f>
        <v/>
      </c>
      <c r="J607" s="122" t="str">
        <f>IF(ISNUMBER(deployment_raw[[#This Row],[Column10]]), (MIN(IF(N607&lt;&gt;"",N607,9999999999999)*1.1,deployment_raw[[#This Row],[Column10]] * IF($E$2="Deployment",deployment_raw[[#This Row],[Column5]],1))),"")</f>
        <v/>
      </c>
      <c r="K607" s="123" t="str">
        <f>IF(ISNUMBER(deployment_raw[[#This Row],[Column11]]), (MIN(IF(O607&lt;&gt;"",O607,9999999999999)*1.1,deployment_raw[[#This Row],[Column11]] * IF($E$2="Deployment",deployment_raw[[#This Row],[Column5]],1)/1048576)),"")</f>
        <v/>
      </c>
      <c r="L607" s="124" t="str">
        <f>IF(ISNUMBER(deployment_raw[[#This Row],[Column8]]),IF(OR(deployment_raw[[#This Row],[Column5]] &lt;&gt; 0,$E$2 &lt;&gt; "Deployment"), MAX(J607, P607, R607, ($L$2 * IF($E$2="Deployment",deployment_raw[[#This Row],[Column5]],1)),IF(T607&lt;&gt;"",VALUE(T607) * IF($E$2="Deployment",deployment_raw[[#This Row],[Column5]],1),0)), 0),"")</f>
        <v/>
      </c>
      <c r="M607" s="125" t="str">
        <f>IF(ISNUMBER(deployment_raw[[#This Row],[Column9]]),IF(OR(deployment_raw[[#This Row],[Column5]] &lt;&gt; 0,$E$2&lt;&gt;"Deployment"), MAX(K607, Q607, S607, ($M$2 * IF($E$2="Deployment",deployment_raw[[#This Row],[Column5]],1)),IF(U607&lt;&gt;"",VALUE(U607) * IF($E$2="Deployment",deployment_raw[[#This Row],[Column5]],1),0)), 0),"")</f>
        <v/>
      </c>
      <c r="N607" s="166" t="str">
        <f>IF(ISNUMBER(deployment_raw[[#This Row],[Column14]]), deployment_raw[[#This Row],[Column14]]/IF(OR($E$2="Deployment",deployment_raw[[#This Row],[Column5]]=0),1,deployment_raw[[#This Row],[Column5]]),"")</f>
        <v/>
      </c>
      <c r="O607" s="167" t="str">
        <f>IF(ISNUMBER(deployment_raw[[#This Row],[Column15]]), deployment_raw[[#This Row],[Column15]]/IF(OR($E$2="Deployment",deployment_raw[[#This Row],[Column5]]=0),1,deployment_raw[[#This Row],[Column5]])/1048576,"")</f>
        <v/>
      </c>
      <c r="P607" s="168" t="str">
        <f>IF(ISNUMBER(deployment_raw[[#This Row],[Column12]]), (MIN(IF(N607&lt;&gt;"",N607,9999999999999)*1.1,deployment_raw[[#This Row],[Column12]] * IF($E$2="Deployment",deployment_raw[[#This Row],[Column5]],1))*(1+$P$2)),"")</f>
        <v/>
      </c>
      <c r="Q607" s="167" t="str">
        <f>IF(ISNUMBER(deployment_raw[[#This Row],[Column13]]), (MIN(IF(O607&lt;&gt;"",O607,9999999999999)*1.1,deployment_raw[[#This Row],[Column13]] * IF($E$2="Deployment",deployment_raw[[#This Row],[Column5]],1)*(1+$Q$2)/1048576)),"")</f>
        <v/>
      </c>
      <c r="R607" s="169" t="str">
        <f>IF(ISNUMBER(deployment_raw[[#This Row],[Column8]]), (H607  * IF(N607&lt;&gt;0,$R$2,1)),"")</f>
        <v/>
      </c>
      <c r="S607" s="170" t="str">
        <f>IF(ISNUMBER(deployment_raw[[#This Row],[Column8]]), (I607  * IF(O607&lt;&gt;0,$S$2,1)),"")</f>
        <v/>
      </c>
      <c r="T607" s="202" t="str">
        <f>IF(AND(A607&lt;&gt;"",_xlfn.IFNA(MATCH(A607,'dynamic resource application '!$A$2:$A$100, 0),0)&lt;&gt;0), H607/(IF($E$2="Deployment",E607,1)),"")</f>
        <v/>
      </c>
      <c r="U607" s="211" t="str">
        <f>IF(AND(A607&lt;&gt;"",_xlfn.IFNA(MATCH(A607,'dynamic resource application '!$A$2:$A$100, 0),0)&lt;&gt;0), I607/(IF($E$2="Deployment",E607,1)),"")</f>
        <v/>
      </c>
    </row>
    <row r="608" spans="1:21" ht="15.75" customHeight="1" x14ac:dyDescent="0.25">
      <c r="A608" s="35" t="str">
        <f>IF(ISNONTEXT(deployment_raw[[#This Row],[Column1]]), "", deployment_raw[[#This Row],[Column1]])</f>
        <v/>
      </c>
      <c r="B608" s="36" t="str">
        <f>IF(ISNONTEXT(deployment_raw[[#This Row],[Column2]]), "", deployment_raw[[#This Row],[Column2]])</f>
        <v/>
      </c>
      <c r="C608" s="36" t="str">
        <f>IF(ISNONTEXT(deployment_raw[[#This Row],[Column3]]), "", deployment_raw[[#This Row],[Column3]])</f>
        <v/>
      </c>
      <c r="D608" s="36" t="str">
        <f>IF(ISNONTEXT(deployment_raw[[#This Row],[Column4]]), "", deployment_raw[[#This Row],[Column4]])</f>
        <v/>
      </c>
      <c r="E608" s="37" t="str">
        <f>IF(ISNUMBER(deployment_raw[[#This Row],[Column5]]), deployment_raw[[#This Row],[Column5]],"")</f>
        <v/>
      </c>
      <c r="F608" s="94" t="str">
        <f>IF(ISNUMBER(deployment_raw[[#This Row],[Column6]]), (deployment_raw[[#This Row],[Column6]] * IF($E$2="Deployment",deployment_raw[[#This Row],[Column5]],1)),"")</f>
        <v/>
      </c>
      <c r="G608" s="95" t="str">
        <f>IF(ISNUMBER(deployment_raw[[#This Row],[Column7]]), (deployment_raw[[#This Row],[Column7]] * IF($E$2="Deployment",deployment_raw[[#This Row],[Column5]],1))/1048576,"")</f>
        <v/>
      </c>
      <c r="H608" s="95" t="str">
        <f>IF(ISNUMBER(deployment_raw[[#This Row],[Column8]]), (deployment_raw[[#This Row],[Column8]]  * IF($E$2="Deployment",deployment_raw[[#This Row],[Column5]],1)),"")</f>
        <v/>
      </c>
      <c r="I608" s="96" t="str">
        <f>IF(ISNUMBER(deployment_raw[[#This Row],[Column9]]), (deployment_raw[[#This Row],[Column9]] * IF($E$2="Deployment",deployment_raw[[#This Row],[Column5]],1))/1048576,"")</f>
        <v/>
      </c>
      <c r="J608" s="122" t="str">
        <f>IF(ISNUMBER(deployment_raw[[#This Row],[Column10]]), (MIN(IF(N608&lt;&gt;"",N608,9999999999999)*1.1,deployment_raw[[#This Row],[Column10]] * IF($E$2="Deployment",deployment_raw[[#This Row],[Column5]],1))),"")</f>
        <v/>
      </c>
      <c r="K608" s="123" t="str">
        <f>IF(ISNUMBER(deployment_raw[[#This Row],[Column11]]), (MIN(IF(O608&lt;&gt;"",O608,9999999999999)*1.1,deployment_raw[[#This Row],[Column11]] * IF($E$2="Deployment",deployment_raw[[#This Row],[Column5]],1)/1048576)),"")</f>
        <v/>
      </c>
      <c r="L608" s="124" t="str">
        <f>IF(ISNUMBER(deployment_raw[[#This Row],[Column8]]),IF(OR(deployment_raw[[#This Row],[Column5]] &lt;&gt; 0,$E$2 &lt;&gt; "Deployment"), MAX(J608, P608, R608, ($L$2 * IF($E$2="Deployment",deployment_raw[[#This Row],[Column5]],1)),IF(T608&lt;&gt;"",VALUE(T608) * IF($E$2="Deployment",deployment_raw[[#This Row],[Column5]],1),0)), 0),"")</f>
        <v/>
      </c>
      <c r="M608" s="125" t="str">
        <f>IF(ISNUMBER(deployment_raw[[#This Row],[Column9]]),IF(OR(deployment_raw[[#This Row],[Column5]] &lt;&gt; 0,$E$2&lt;&gt;"Deployment"), MAX(K608, Q608, S608, ($M$2 * IF($E$2="Deployment",deployment_raw[[#This Row],[Column5]],1)),IF(U608&lt;&gt;"",VALUE(U608) * IF($E$2="Deployment",deployment_raw[[#This Row],[Column5]],1),0)), 0),"")</f>
        <v/>
      </c>
      <c r="N608" s="166" t="str">
        <f>IF(ISNUMBER(deployment_raw[[#This Row],[Column14]]), deployment_raw[[#This Row],[Column14]]/IF(OR($E$2="Deployment",deployment_raw[[#This Row],[Column5]]=0),1,deployment_raw[[#This Row],[Column5]]),"")</f>
        <v/>
      </c>
      <c r="O608" s="167" t="str">
        <f>IF(ISNUMBER(deployment_raw[[#This Row],[Column15]]), deployment_raw[[#This Row],[Column15]]/IF(OR($E$2="Deployment",deployment_raw[[#This Row],[Column5]]=0),1,deployment_raw[[#This Row],[Column5]])/1048576,"")</f>
        <v/>
      </c>
      <c r="P608" s="168" t="str">
        <f>IF(ISNUMBER(deployment_raw[[#This Row],[Column12]]), (MIN(IF(N608&lt;&gt;"",N608,9999999999999)*1.1,deployment_raw[[#This Row],[Column12]] * IF($E$2="Deployment",deployment_raw[[#This Row],[Column5]],1))*(1+$P$2)),"")</f>
        <v/>
      </c>
      <c r="Q608" s="167" t="str">
        <f>IF(ISNUMBER(deployment_raw[[#This Row],[Column13]]), (MIN(IF(O608&lt;&gt;"",O608,9999999999999)*1.1,deployment_raw[[#This Row],[Column13]] * IF($E$2="Deployment",deployment_raw[[#This Row],[Column5]],1)*(1+$Q$2)/1048576)),"")</f>
        <v/>
      </c>
      <c r="R608" s="169" t="str">
        <f>IF(ISNUMBER(deployment_raw[[#This Row],[Column8]]), (H608  * IF(N608&lt;&gt;0,$R$2,1)),"")</f>
        <v/>
      </c>
      <c r="S608" s="170" t="str">
        <f>IF(ISNUMBER(deployment_raw[[#This Row],[Column8]]), (I608  * IF(O608&lt;&gt;0,$S$2,1)),"")</f>
        <v/>
      </c>
      <c r="T608" s="202" t="str">
        <f>IF(AND(A608&lt;&gt;"",_xlfn.IFNA(MATCH(A608,'dynamic resource application '!$A$2:$A$100, 0),0)&lt;&gt;0), H608/(IF($E$2="Deployment",E608,1)),"")</f>
        <v/>
      </c>
      <c r="U608" s="211" t="str">
        <f>IF(AND(A608&lt;&gt;"",_xlfn.IFNA(MATCH(A608,'dynamic resource application '!$A$2:$A$100, 0),0)&lt;&gt;0), I608/(IF($E$2="Deployment",E608,1)),"")</f>
        <v/>
      </c>
    </row>
    <row r="609" spans="1:21" ht="15.75" customHeight="1" x14ac:dyDescent="0.25">
      <c r="A609" s="35" t="str">
        <f>IF(ISNONTEXT(deployment_raw[[#This Row],[Column1]]), "", deployment_raw[[#This Row],[Column1]])</f>
        <v/>
      </c>
      <c r="B609" s="36" t="str">
        <f>IF(ISNONTEXT(deployment_raw[[#This Row],[Column2]]), "", deployment_raw[[#This Row],[Column2]])</f>
        <v/>
      </c>
      <c r="C609" s="36" t="str">
        <f>IF(ISNONTEXT(deployment_raw[[#This Row],[Column3]]), "", deployment_raw[[#This Row],[Column3]])</f>
        <v/>
      </c>
      <c r="D609" s="36" t="str">
        <f>IF(ISNONTEXT(deployment_raw[[#This Row],[Column4]]), "", deployment_raw[[#This Row],[Column4]])</f>
        <v/>
      </c>
      <c r="E609" s="37" t="str">
        <f>IF(ISNUMBER(deployment_raw[[#This Row],[Column5]]), deployment_raw[[#This Row],[Column5]],"")</f>
        <v/>
      </c>
      <c r="F609" s="94" t="str">
        <f>IF(ISNUMBER(deployment_raw[[#This Row],[Column6]]), (deployment_raw[[#This Row],[Column6]] * IF($E$2="Deployment",deployment_raw[[#This Row],[Column5]],1)),"")</f>
        <v/>
      </c>
      <c r="G609" s="95" t="str">
        <f>IF(ISNUMBER(deployment_raw[[#This Row],[Column7]]), (deployment_raw[[#This Row],[Column7]] * IF($E$2="Deployment",deployment_raw[[#This Row],[Column5]],1))/1048576,"")</f>
        <v/>
      </c>
      <c r="H609" s="95" t="str">
        <f>IF(ISNUMBER(deployment_raw[[#This Row],[Column8]]), (deployment_raw[[#This Row],[Column8]]  * IF($E$2="Deployment",deployment_raw[[#This Row],[Column5]],1)),"")</f>
        <v/>
      </c>
      <c r="I609" s="96" t="str">
        <f>IF(ISNUMBER(deployment_raw[[#This Row],[Column9]]), (deployment_raw[[#This Row],[Column9]] * IF($E$2="Deployment",deployment_raw[[#This Row],[Column5]],1))/1048576,"")</f>
        <v/>
      </c>
      <c r="J609" s="122" t="str">
        <f>IF(ISNUMBER(deployment_raw[[#This Row],[Column10]]), (MIN(IF(N609&lt;&gt;"",N609,9999999999999)*1.1,deployment_raw[[#This Row],[Column10]] * IF($E$2="Deployment",deployment_raw[[#This Row],[Column5]],1))),"")</f>
        <v/>
      </c>
      <c r="K609" s="123" t="str">
        <f>IF(ISNUMBER(deployment_raw[[#This Row],[Column11]]), (MIN(IF(O609&lt;&gt;"",O609,9999999999999)*1.1,deployment_raw[[#This Row],[Column11]] * IF($E$2="Deployment",deployment_raw[[#This Row],[Column5]],1)/1048576)),"")</f>
        <v/>
      </c>
      <c r="L609" s="124" t="str">
        <f>IF(ISNUMBER(deployment_raw[[#This Row],[Column8]]),IF(OR(deployment_raw[[#This Row],[Column5]] &lt;&gt; 0,$E$2 &lt;&gt; "Deployment"), MAX(J609, P609, R609, ($L$2 * IF($E$2="Deployment",deployment_raw[[#This Row],[Column5]],1)),IF(T609&lt;&gt;"",VALUE(T609) * IF($E$2="Deployment",deployment_raw[[#This Row],[Column5]],1),0)), 0),"")</f>
        <v/>
      </c>
      <c r="M609" s="125" t="str">
        <f>IF(ISNUMBER(deployment_raw[[#This Row],[Column9]]),IF(OR(deployment_raw[[#This Row],[Column5]] &lt;&gt; 0,$E$2&lt;&gt;"Deployment"), MAX(K609, Q609, S609, ($M$2 * IF($E$2="Deployment",deployment_raw[[#This Row],[Column5]],1)),IF(U609&lt;&gt;"",VALUE(U609) * IF($E$2="Deployment",deployment_raw[[#This Row],[Column5]],1),0)), 0),"")</f>
        <v/>
      </c>
      <c r="N609" s="166" t="str">
        <f>IF(ISNUMBER(deployment_raw[[#This Row],[Column14]]), deployment_raw[[#This Row],[Column14]]/IF(OR($E$2="Deployment",deployment_raw[[#This Row],[Column5]]=0),1,deployment_raw[[#This Row],[Column5]]),"")</f>
        <v/>
      </c>
      <c r="O609" s="167" t="str">
        <f>IF(ISNUMBER(deployment_raw[[#This Row],[Column15]]), deployment_raw[[#This Row],[Column15]]/IF(OR($E$2="Deployment",deployment_raw[[#This Row],[Column5]]=0),1,deployment_raw[[#This Row],[Column5]])/1048576,"")</f>
        <v/>
      </c>
      <c r="P609" s="168" t="str">
        <f>IF(ISNUMBER(deployment_raw[[#This Row],[Column12]]), (MIN(IF(N609&lt;&gt;"",N609,9999999999999)*1.1,deployment_raw[[#This Row],[Column12]] * IF($E$2="Deployment",deployment_raw[[#This Row],[Column5]],1))*(1+$P$2)),"")</f>
        <v/>
      </c>
      <c r="Q609" s="167" t="str">
        <f>IF(ISNUMBER(deployment_raw[[#This Row],[Column13]]), (MIN(IF(O609&lt;&gt;"",O609,9999999999999)*1.1,deployment_raw[[#This Row],[Column13]] * IF($E$2="Deployment",deployment_raw[[#This Row],[Column5]],1)*(1+$Q$2)/1048576)),"")</f>
        <v/>
      </c>
      <c r="R609" s="169" t="str">
        <f>IF(ISNUMBER(deployment_raw[[#This Row],[Column8]]), (H609  * IF(N609&lt;&gt;0,$R$2,1)),"")</f>
        <v/>
      </c>
      <c r="S609" s="170" t="str">
        <f>IF(ISNUMBER(deployment_raw[[#This Row],[Column8]]), (I609  * IF(O609&lt;&gt;0,$S$2,1)),"")</f>
        <v/>
      </c>
      <c r="T609" s="202" t="str">
        <f>IF(AND(A609&lt;&gt;"",_xlfn.IFNA(MATCH(A609,'dynamic resource application '!$A$2:$A$100, 0),0)&lt;&gt;0), H609/(IF($E$2="Deployment",E609,1)),"")</f>
        <v/>
      </c>
      <c r="U609" s="211" t="str">
        <f>IF(AND(A609&lt;&gt;"",_xlfn.IFNA(MATCH(A609,'dynamic resource application '!$A$2:$A$100, 0),0)&lt;&gt;0), I609/(IF($E$2="Deployment",E609,1)),"")</f>
        <v/>
      </c>
    </row>
    <row r="610" spans="1:21" ht="15.75" customHeight="1" x14ac:dyDescent="0.25">
      <c r="A610" s="35" t="str">
        <f>IF(ISNONTEXT(deployment_raw[[#This Row],[Column1]]), "", deployment_raw[[#This Row],[Column1]])</f>
        <v/>
      </c>
      <c r="B610" s="36" t="str">
        <f>IF(ISNONTEXT(deployment_raw[[#This Row],[Column2]]), "", deployment_raw[[#This Row],[Column2]])</f>
        <v/>
      </c>
      <c r="C610" s="36" t="str">
        <f>IF(ISNONTEXT(deployment_raw[[#This Row],[Column3]]), "", deployment_raw[[#This Row],[Column3]])</f>
        <v/>
      </c>
      <c r="D610" s="36" t="str">
        <f>IF(ISNONTEXT(deployment_raw[[#This Row],[Column4]]), "", deployment_raw[[#This Row],[Column4]])</f>
        <v/>
      </c>
      <c r="E610" s="37" t="str">
        <f>IF(ISNUMBER(deployment_raw[[#This Row],[Column5]]), deployment_raw[[#This Row],[Column5]],"")</f>
        <v/>
      </c>
      <c r="F610" s="94" t="str">
        <f>IF(ISNUMBER(deployment_raw[[#This Row],[Column6]]), (deployment_raw[[#This Row],[Column6]] * IF($E$2="Deployment",deployment_raw[[#This Row],[Column5]],1)),"")</f>
        <v/>
      </c>
      <c r="G610" s="95" t="str">
        <f>IF(ISNUMBER(deployment_raw[[#This Row],[Column7]]), (deployment_raw[[#This Row],[Column7]] * IF($E$2="Deployment",deployment_raw[[#This Row],[Column5]],1))/1048576,"")</f>
        <v/>
      </c>
      <c r="H610" s="95" t="str">
        <f>IF(ISNUMBER(deployment_raw[[#This Row],[Column8]]), (deployment_raw[[#This Row],[Column8]]  * IF($E$2="Deployment",deployment_raw[[#This Row],[Column5]],1)),"")</f>
        <v/>
      </c>
      <c r="I610" s="96" t="str">
        <f>IF(ISNUMBER(deployment_raw[[#This Row],[Column9]]), (deployment_raw[[#This Row],[Column9]] * IF($E$2="Deployment",deployment_raw[[#This Row],[Column5]],1))/1048576,"")</f>
        <v/>
      </c>
      <c r="J610" s="122" t="str">
        <f>IF(ISNUMBER(deployment_raw[[#This Row],[Column10]]), (MIN(IF(N610&lt;&gt;"",N610,9999999999999)*1.1,deployment_raw[[#This Row],[Column10]] * IF($E$2="Deployment",deployment_raw[[#This Row],[Column5]],1))),"")</f>
        <v/>
      </c>
      <c r="K610" s="123" t="str">
        <f>IF(ISNUMBER(deployment_raw[[#This Row],[Column11]]), (MIN(IF(O610&lt;&gt;"",O610,9999999999999)*1.1,deployment_raw[[#This Row],[Column11]] * IF($E$2="Deployment",deployment_raw[[#This Row],[Column5]],1)/1048576)),"")</f>
        <v/>
      </c>
      <c r="L610" s="124" t="str">
        <f>IF(ISNUMBER(deployment_raw[[#This Row],[Column8]]),IF(OR(deployment_raw[[#This Row],[Column5]] &lt;&gt; 0,$E$2 &lt;&gt; "Deployment"), MAX(J610, P610, R610, ($L$2 * IF($E$2="Deployment",deployment_raw[[#This Row],[Column5]],1)),IF(T610&lt;&gt;"",VALUE(T610) * IF($E$2="Deployment",deployment_raw[[#This Row],[Column5]],1),0)), 0),"")</f>
        <v/>
      </c>
      <c r="M610" s="125" t="str">
        <f>IF(ISNUMBER(deployment_raw[[#This Row],[Column9]]),IF(OR(deployment_raw[[#This Row],[Column5]] &lt;&gt; 0,$E$2&lt;&gt;"Deployment"), MAX(K610, Q610, S610, ($M$2 * IF($E$2="Deployment",deployment_raw[[#This Row],[Column5]],1)),IF(U610&lt;&gt;"",VALUE(U610) * IF($E$2="Deployment",deployment_raw[[#This Row],[Column5]],1),0)), 0),"")</f>
        <v/>
      </c>
      <c r="N610" s="166" t="str">
        <f>IF(ISNUMBER(deployment_raw[[#This Row],[Column14]]), deployment_raw[[#This Row],[Column14]]/IF(OR($E$2="Deployment",deployment_raw[[#This Row],[Column5]]=0),1,deployment_raw[[#This Row],[Column5]]),"")</f>
        <v/>
      </c>
      <c r="O610" s="167" t="str">
        <f>IF(ISNUMBER(deployment_raw[[#This Row],[Column15]]), deployment_raw[[#This Row],[Column15]]/IF(OR($E$2="Deployment",deployment_raw[[#This Row],[Column5]]=0),1,deployment_raw[[#This Row],[Column5]])/1048576,"")</f>
        <v/>
      </c>
      <c r="P610" s="168" t="str">
        <f>IF(ISNUMBER(deployment_raw[[#This Row],[Column12]]), (MIN(IF(N610&lt;&gt;"",N610,9999999999999)*1.1,deployment_raw[[#This Row],[Column12]] * IF($E$2="Deployment",deployment_raw[[#This Row],[Column5]],1))*(1+$P$2)),"")</f>
        <v/>
      </c>
      <c r="Q610" s="167" t="str">
        <f>IF(ISNUMBER(deployment_raw[[#This Row],[Column13]]), (MIN(IF(O610&lt;&gt;"",O610,9999999999999)*1.1,deployment_raw[[#This Row],[Column13]] * IF($E$2="Deployment",deployment_raw[[#This Row],[Column5]],1)*(1+$Q$2)/1048576)),"")</f>
        <v/>
      </c>
      <c r="R610" s="169" t="str">
        <f>IF(ISNUMBER(deployment_raw[[#This Row],[Column8]]), (H610  * IF(N610&lt;&gt;0,$R$2,1)),"")</f>
        <v/>
      </c>
      <c r="S610" s="170" t="str">
        <f>IF(ISNUMBER(deployment_raw[[#This Row],[Column8]]), (I610  * IF(O610&lt;&gt;0,$S$2,1)),"")</f>
        <v/>
      </c>
      <c r="T610" s="202" t="str">
        <f>IF(AND(A610&lt;&gt;"",_xlfn.IFNA(MATCH(A610,'dynamic resource application '!$A$2:$A$100, 0),0)&lt;&gt;0), H610/(IF($E$2="Deployment",E610,1)),"")</f>
        <v/>
      </c>
      <c r="U610" s="211" t="str">
        <f>IF(AND(A610&lt;&gt;"",_xlfn.IFNA(MATCH(A610,'dynamic resource application '!$A$2:$A$100, 0),0)&lt;&gt;0), I610/(IF($E$2="Deployment",E610,1)),"")</f>
        <v/>
      </c>
    </row>
    <row r="611" spans="1:21" ht="15.75" customHeight="1" x14ac:dyDescent="0.25">
      <c r="A611" s="35" t="str">
        <f>IF(ISNONTEXT(deployment_raw[[#This Row],[Column1]]), "", deployment_raw[[#This Row],[Column1]])</f>
        <v/>
      </c>
      <c r="B611" s="36" t="str">
        <f>IF(ISNONTEXT(deployment_raw[[#This Row],[Column2]]), "", deployment_raw[[#This Row],[Column2]])</f>
        <v/>
      </c>
      <c r="C611" s="36" t="str">
        <f>IF(ISNONTEXT(deployment_raw[[#This Row],[Column3]]), "", deployment_raw[[#This Row],[Column3]])</f>
        <v/>
      </c>
      <c r="D611" s="36" t="str">
        <f>IF(ISNONTEXT(deployment_raw[[#This Row],[Column4]]), "", deployment_raw[[#This Row],[Column4]])</f>
        <v/>
      </c>
      <c r="E611" s="37" t="str">
        <f>IF(ISNUMBER(deployment_raw[[#This Row],[Column5]]), deployment_raw[[#This Row],[Column5]],"")</f>
        <v/>
      </c>
      <c r="F611" s="94" t="str">
        <f>IF(ISNUMBER(deployment_raw[[#This Row],[Column6]]), (deployment_raw[[#This Row],[Column6]] * IF($E$2="Deployment",deployment_raw[[#This Row],[Column5]],1)),"")</f>
        <v/>
      </c>
      <c r="G611" s="95" t="str">
        <f>IF(ISNUMBER(deployment_raw[[#This Row],[Column7]]), (deployment_raw[[#This Row],[Column7]] * IF($E$2="Deployment",deployment_raw[[#This Row],[Column5]],1))/1048576,"")</f>
        <v/>
      </c>
      <c r="H611" s="95" t="str">
        <f>IF(ISNUMBER(deployment_raw[[#This Row],[Column8]]), (deployment_raw[[#This Row],[Column8]]  * IF($E$2="Deployment",deployment_raw[[#This Row],[Column5]],1)),"")</f>
        <v/>
      </c>
      <c r="I611" s="96" t="str">
        <f>IF(ISNUMBER(deployment_raw[[#This Row],[Column9]]), (deployment_raw[[#This Row],[Column9]] * IF($E$2="Deployment",deployment_raw[[#This Row],[Column5]],1))/1048576,"")</f>
        <v/>
      </c>
      <c r="J611" s="122" t="str">
        <f>IF(ISNUMBER(deployment_raw[[#This Row],[Column10]]), (MIN(IF(N611&lt;&gt;"",N611,9999999999999)*1.1,deployment_raw[[#This Row],[Column10]] * IF($E$2="Deployment",deployment_raw[[#This Row],[Column5]],1))),"")</f>
        <v/>
      </c>
      <c r="K611" s="123" t="str">
        <f>IF(ISNUMBER(deployment_raw[[#This Row],[Column11]]), (MIN(IF(O611&lt;&gt;"",O611,9999999999999)*1.1,deployment_raw[[#This Row],[Column11]] * IF($E$2="Deployment",deployment_raw[[#This Row],[Column5]],1)/1048576)),"")</f>
        <v/>
      </c>
      <c r="L611" s="124" t="str">
        <f>IF(ISNUMBER(deployment_raw[[#This Row],[Column8]]),IF(OR(deployment_raw[[#This Row],[Column5]] &lt;&gt; 0,$E$2 &lt;&gt; "Deployment"), MAX(J611, P611, R611, ($L$2 * IF($E$2="Deployment",deployment_raw[[#This Row],[Column5]],1)),IF(T611&lt;&gt;"",VALUE(T611) * IF($E$2="Deployment",deployment_raw[[#This Row],[Column5]],1),0)), 0),"")</f>
        <v/>
      </c>
      <c r="M611" s="125" t="str">
        <f>IF(ISNUMBER(deployment_raw[[#This Row],[Column9]]),IF(OR(deployment_raw[[#This Row],[Column5]] &lt;&gt; 0,$E$2&lt;&gt;"Deployment"), MAX(K611, Q611, S611, ($M$2 * IF($E$2="Deployment",deployment_raw[[#This Row],[Column5]],1)),IF(U611&lt;&gt;"",VALUE(U611) * IF($E$2="Deployment",deployment_raw[[#This Row],[Column5]],1),0)), 0),"")</f>
        <v/>
      </c>
      <c r="N611" s="166" t="str">
        <f>IF(ISNUMBER(deployment_raw[[#This Row],[Column14]]), deployment_raw[[#This Row],[Column14]]/IF(OR($E$2="Deployment",deployment_raw[[#This Row],[Column5]]=0),1,deployment_raw[[#This Row],[Column5]]),"")</f>
        <v/>
      </c>
      <c r="O611" s="167" t="str">
        <f>IF(ISNUMBER(deployment_raw[[#This Row],[Column15]]), deployment_raw[[#This Row],[Column15]]/IF(OR($E$2="Deployment",deployment_raw[[#This Row],[Column5]]=0),1,deployment_raw[[#This Row],[Column5]])/1048576,"")</f>
        <v/>
      </c>
      <c r="P611" s="168" t="str">
        <f>IF(ISNUMBER(deployment_raw[[#This Row],[Column12]]), (MIN(IF(N611&lt;&gt;"",N611,9999999999999)*1.1,deployment_raw[[#This Row],[Column12]] * IF($E$2="Deployment",deployment_raw[[#This Row],[Column5]],1))*(1+$P$2)),"")</f>
        <v/>
      </c>
      <c r="Q611" s="167" t="str">
        <f>IF(ISNUMBER(deployment_raw[[#This Row],[Column13]]), (MIN(IF(O611&lt;&gt;"",O611,9999999999999)*1.1,deployment_raw[[#This Row],[Column13]] * IF($E$2="Deployment",deployment_raw[[#This Row],[Column5]],1)*(1+$Q$2)/1048576)),"")</f>
        <v/>
      </c>
      <c r="R611" s="169" t="str">
        <f>IF(ISNUMBER(deployment_raw[[#This Row],[Column8]]), (H611  * IF(N611&lt;&gt;0,$R$2,1)),"")</f>
        <v/>
      </c>
      <c r="S611" s="170" t="str">
        <f>IF(ISNUMBER(deployment_raw[[#This Row],[Column8]]), (I611  * IF(O611&lt;&gt;0,$S$2,1)),"")</f>
        <v/>
      </c>
      <c r="T611" s="202" t="str">
        <f>IF(AND(A611&lt;&gt;"",_xlfn.IFNA(MATCH(A611,'dynamic resource application '!$A$2:$A$100, 0),0)&lt;&gt;0), H611/(IF($E$2="Deployment",E611,1)),"")</f>
        <v/>
      </c>
      <c r="U611" s="211" t="str">
        <f>IF(AND(A611&lt;&gt;"",_xlfn.IFNA(MATCH(A611,'dynamic resource application '!$A$2:$A$100, 0),0)&lt;&gt;0), I611/(IF($E$2="Deployment",E611,1)),"")</f>
        <v/>
      </c>
    </row>
    <row r="612" spans="1:21" ht="15.75" customHeight="1" x14ac:dyDescent="0.25">
      <c r="A612" s="35" t="str">
        <f>IF(ISNONTEXT(deployment_raw[[#This Row],[Column1]]), "", deployment_raw[[#This Row],[Column1]])</f>
        <v/>
      </c>
      <c r="B612" s="36" t="str">
        <f>IF(ISNONTEXT(deployment_raw[[#This Row],[Column2]]), "", deployment_raw[[#This Row],[Column2]])</f>
        <v/>
      </c>
      <c r="C612" s="36" t="str">
        <f>IF(ISNONTEXT(deployment_raw[[#This Row],[Column3]]), "", deployment_raw[[#This Row],[Column3]])</f>
        <v/>
      </c>
      <c r="D612" s="36" t="str">
        <f>IF(ISNONTEXT(deployment_raw[[#This Row],[Column4]]), "", deployment_raw[[#This Row],[Column4]])</f>
        <v/>
      </c>
      <c r="E612" s="37" t="str">
        <f>IF(ISNUMBER(deployment_raw[[#This Row],[Column5]]), deployment_raw[[#This Row],[Column5]],"")</f>
        <v/>
      </c>
      <c r="F612" s="94" t="str">
        <f>IF(ISNUMBER(deployment_raw[[#This Row],[Column6]]), (deployment_raw[[#This Row],[Column6]] * IF($E$2="Deployment",deployment_raw[[#This Row],[Column5]],1)),"")</f>
        <v/>
      </c>
      <c r="G612" s="95" t="str">
        <f>IF(ISNUMBER(deployment_raw[[#This Row],[Column7]]), (deployment_raw[[#This Row],[Column7]] * IF($E$2="Deployment",deployment_raw[[#This Row],[Column5]],1))/1048576,"")</f>
        <v/>
      </c>
      <c r="H612" s="95" t="str">
        <f>IF(ISNUMBER(deployment_raw[[#This Row],[Column8]]), (deployment_raw[[#This Row],[Column8]]  * IF($E$2="Deployment",deployment_raw[[#This Row],[Column5]],1)),"")</f>
        <v/>
      </c>
      <c r="I612" s="96" t="str">
        <f>IF(ISNUMBER(deployment_raw[[#This Row],[Column9]]), (deployment_raw[[#This Row],[Column9]] * IF($E$2="Deployment",deployment_raw[[#This Row],[Column5]],1))/1048576,"")</f>
        <v/>
      </c>
      <c r="J612" s="122" t="str">
        <f>IF(ISNUMBER(deployment_raw[[#This Row],[Column10]]), (MIN(IF(N612&lt;&gt;"",N612,9999999999999)*1.1,deployment_raw[[#This Row],[Column10]] * IF($E$2="Deployment",deployment_raw[[#This Row],[Column5]],1))),"")</f>
        <v/>
      </c>
      <c r="K612" s="123" t="str">
        <f>IF(ISNUMBER(deployment_raw[[#This Row],[Column11]]), (MIN(IF(O612&lt;&gt;"",O612,9999999999999)*1.1,deployment_raw[[#This Row],[Column11]] * IF($E$2="Deployment",deployment_raw[[#This Row],[Column5]],1)/1048576)),"")</f>
        <v/>
      </c>
      <c r="L612" s="124" t="str">
        <f>IF(ISNUMBER(deployment_raw[[#This Row],[Column8]]),IF(OR(deployment_raw[[#This Row],[Column5]] &lt;&gt; 0,$E$2 &lt;&gt; "Deployment"), MAX(J612, P612, R612, ($L$2 * IF($E$2="Deployment",deployment_raw[[#This Row],[Column5]],1)),IF(T612&lt;&gt;"",VALUE(T612) * IF($E$2="Deployment",deployment_raw[[#This Row],[Column5]],1),0)), 0),"")</f>
        <v/>
      </c>
      <c r="M612" s="125" t="str">
        <f>IF(ISNUMBER(deployment_raw[[#This Row],[Column9]]),IF(OR(deployment_raw[[#This Row],[Column5]] &lt;&gt; 0,$E$2&lt;&gt;"Deployment"), MAX(K612, Q612, S612, ($M$2 * IF($E$2="Deployment",deployment_raw[[#This Row],[Column5]],1)),IF(U612&lt;&gt;"",VALUE(U612) * IF($E$2="Deployment",deployment_raw[[#This Row],[Column5]],1),0)), 0),"")</f>
        <v/>
      </c>
      <c r="N612" s="166" t="str">
        <f>IF(ISNUMBER(deployment_raw[[#This Row],[Column14]]), deployment_raw[[#This Row],[Column14]]/IF(OR($E$2="Deployment",deployment_raw[[#This Row],[Column5]]=0),1,deployment_raw[[#This Row],[Column5]]),"")</f>
        <v/>
      </c>
      <c r="O612" s="167" t="str">
        <f>IF(ISNUMBER(deployment_raw[[#This Row],[Column15]]), deployment_raw[[#This Row],[Column15]]/IF(OR($E$2="Deployment",deployment_raw[[#This Row],[Column5]]=0),1,deployment_raw[[#This Row],[Column5]])/1048576,"")</f>
        <v/>
      </c>
      <c r="P612" s="168" t="str">
        <f>IF(ISNUMBER(deployment_raw[[#This Row],[Column12]]), (MIN(IF(N612&lt;&gt;"",N612,9999999999999)*1.1,deployment_raw[[#This Row],[Column12]] * IF($E$2="Deployment",deployment_raw[[#This Row],[Column5]],1))*(1+$P$2)),"")</f>
        <v/>
      </c>
      <c r="Q612" s="167" t="str">
        <f>IF(ISNUMBER(deployment_raw[[#This Row],[Column13]]), (MIN(IF(O612&lt;&gt;"",O612,9999999999999)*1.1,deployment_raw[[#This Row],[Column13]] * IF($E$2="Deployment",deployment_raw[[#This Row],[Column5]],1)*(1+$Q$2)/1048576)),"")</f>
        <v/>
      </c>
      <c r="R612" s="169" t="str">
        <f>IF(ISNUMBER(deployment_raw[[#This Row],[Column8]]), (H612  * IF(N612&lt;&gt;0,$R$2,1)),"")</f>
        <v/>
      </c>
      <c r="S612" s="170" t="str">
        <f>IF(ISNUMBER(deployment_raw[[#This Row],[Column8]]), (I612  * IF(O612&lt;&gt;0,$S$2,1)),"")</f>
        <v/>
      </c>
      <c r="T612" s="202" t="str">
        <f>IF(AND(A612&lt;&gt;"",_xlfn.IFNA(MATCH(A612,'dynamic resource application '!$A$2:$A$100, 0),0)&lt;&gt;0), H612/(IF($E$2="Deployment",E612,1)),"")</f>
        <v/>
      </c>
      <c r="U612" s="211" t="str">
        <f>IF(AND(A612&lt;&gt;"",_xlfn.IFNA(MATCH(A612,'dynamic resource application '!$A$2:$A$100, 0),0)&lt;&gt;0), I612/(IF($E$2="Deployment",E612,1)),"")</f>
        <v/>
      </c>
    </row>
    <row r="613" spans="1:21" ht="15.75" customHeight="1" x14ac:dyDescent="0.25">
      <c r="A613" s="35" t="str">
        <f>IF(ISNONTEXT(deployment_raw[[#This Row],[Column1]]), "", deployment_raw[[#This Row],[Column1]])</f>
        <v/>
      </c>
      <c r="B613" s="36" t="str">
        <f>IF(ISNONTEXT(deployment_raw[[#This Row],[Column2]]), "", deployment_raw[[#This Row],[Column2]])</f>
        <v/>
      </c>
      <c r="C613" s="36" t="str">
        <f>IF(ISNONTEXT(deployment_raw[[#This Row],[Column3]]), "", deployment_raw[[#This Row],[Column3]])</f>
        <v/>
      </c>
      <c r="D613" s="36" t="str">
        <f>IF(ISNONTEXT(deployment_raw[[#This Row],[Column4]]), "", deployment_raw[[#This Row],[Column4]])</f>
        <v/>
      </c>
      <c r="E613" s="37" t="str">
        <f>IF(ISNUMBER(deployment_raw[[#This Row],[Column5]]), deployment_raw[[#This Row],[Column5]],"")</f>
        <v/>
      </c>
      <c r="F613" s="94" t="str">
        <f>IF(ISNUMBER(deployment_raw[[#This Row],[Column6]]), (deployment_raw[[#This Row],[Column6]] * IF($E$2="Deployment",deployment_raw[[#This Row],[Column5]],1)),"")</f>
        <v/>
      </c>
      <c r="G613" s="95" t="str">
        <f>IF(ISNUMBER(deployment_raw[[#This Row],[Column7]]), (deployment_raw[[#This Row],[Column7]] * IF($E$2="Deployment",deployment_raw[[#This Row],[Column5]],1))/1048576,"")</f>
        <v/>
      </c>
      <c r="H613" s="95" t="str">
        <f>IF(ISNUMBER(deployment_raw[[#This Row],[Column8]]), (deployment_raw[[#This Row],[Column8]]  * IF($E$2="Deployment",deployment_raw[[#This Row],[Column5]],1)),"")</f>
        <v/>
      </c>
      <c r="I613" s="96" t="str">
        <f>IF(ISNUMBER(deployment_raw[[#This Row],[Column9]]), (deployment_raw[[#This Row],[Column9]] * IF($E$2="Deployment",deployment_raw[[#This Row],[Column5]],1))/1048576,"")</f>
        <v/>
      </c>
      <c r="J613" s="122" t="str">
        <f>IF(ISNUMBER(deployment_raw[[#This Row],[Column10]]), (MIN(IF(N613&lt;&gt;"",N613,9999999999999)*1.1,deployment_raw[[#This Row],[Column10]] * IF($E$2="Deployment",deployment_raw[[#This Row],[Column5]],1))),"")</f>
        <v/>
      </c>
      <c r="K613" s="123" t="str">
        <f>IF(ISNUMBER(deployment_raw[[#This Row],[Column11]]), (MIN(IF(O613&lt;&gt;"",O613,9999999999999)*1.1,deployment_raw[[#This Row],[Column11]] * IF($E$2="Deployment",deployment_raw[[#This Row],[Column5]],1)/1048576)),"")</f>
        <v/>
      </c>
      <c r="L613" s="124" t="str">
        <f>IF(ISNUMBER(deployment_raw[[#This Row],[Column8]]),IF(OR(deployment_raw[[#This Row],[Column5]] &lt;&gt; 0,$E$2 &lt;&gt; "Deployment"), MAX(J613, P613, R613, ($L$2 * IF($E$2="Deployment",deployment_raw[[#This Row],[Column5]],1)),IF(T613&lt;&gt;"",VALUE(T613) * IF($E$2="Deployment",deployment_raw[[#This Row],[Column5]],1),0)), 0),"")</f>
        <v/>
      </c>
      <c r="M613" s="125" t="str">
        <f>IF(ISNUMBER(deployment_raw[[#This Row],[Column9]]),IF(OR(deployment_raw[[#This Row],[Column5]] &lt;&gt; 0,$E$2&lt;&gt;"Deployment"), MAX(K613, Q613, S613, ($M$2 * IF($E$2="Deployment",deployment_raw[[#This Row],[Column5]],1)),IF(U613&lt;&gt;"",VALUE(U613) * IF($E$2="Deployment",deployment_raw[[#This Row],[Column5]],1),0)), 0),"")</f>
        <v/>
      </c>
      <c r="N613" s="166" t="str">
        <f>IF(ISNUMBER(deployment_raw[[#This Row],[Column14]]), deployment_raw[[#This Row],[Column14]]/IF(OR($E$2="Deployment",deployment_raw[[#This Row],[Column5]]=0),1,deployment_raw[[#This Row],[Column5]]),"")</f>
        <v/>
      </c>
      <c r="O613" s="167" t="str">
        <f>IF(ISNUMBER(deployment_raw[[#This Row],[Column15]]), deployment_raw[[#This Row],[Column15]]/IF(OR($E$2="Deployment",deployment_raw[[#This Row],[Column5]]=0),1,deployment_raw[[#This Row],[Column5]])/1048576,"")</f>
        <v/>
      </c>
      <c r="P613" s="168" t="str">
        <f>IF(ISNUMBER(deployment_raw[[#This Row],[Column12]]), (MIN(IF(N613&lt;&gt;"",N613,9999999999999)*1.1,deployment_raw[[#This Row],[Column12]] * IF($E$2="Deployment",deployment_raw[[#This Row],[Column5]],1))*(1+$P$2)),"")</f>
        <v/>
      </c>
      <c r="Q613" s="167" t="str">
        <f>IF(ISNUMBER(deployment_raw[[#This Row],[Column13]]), (MIN(IF(O613&lt;&gt;"",O613,9999999999999)*1.1,deployment_raw[[#This Row],[Column13]] * IF($E$2="Deployment",deployment_raw[[#This Row],[Column5]],1)*(1+$Q$2)/1048576)),"")</f>
        <v/>
      </c>
      <c r="R613" s="169" t="str">
        <f>IF(ISNUMBER(deployment_raw[[#This Row],[Column8]]), (H613  * IF(N613&lt;&gt;0,$R$2,1)),"")</f>
        <v/>
      </c>
      <c r="S613" s="170" t="str">
        <f>IF(ISNUMBER(deployment_raw[[#This Row],[Column8]]), (I613  * IF(O613&lt;&gt;0,$S$2,1)),"")</f>
        <v/>
      </c>
      <c r="T613" s="202" t="str">
        <f>IF(AND(A613&lt;&gt;"",_xlfn.IFNA(MATCH(A613,'dynamic resource application '!$A$2:$A$100, 0),0)&lt;&gt;0), H613/(IF($E$2="Deployment",E613,1)),"")</f>
        <v/>
      </c>
      <c r="U613" s="211" t="str">
        <f>IF(AND(A613&lt;&gt;"",_xlfn.IFNA(MATCH(A613,'dynamic resource application '!$A$2:$A$100, 0),0)&lt;&gt;0), I613/(IF($E$2="Deployment",E613,1)),"")</f>
        <v/>
      </c>
    </row>
    <row r="614" spans="1:21" ht="15.75" customHeight="1" x14ac:dyDescent="0.25">
      <c r="A614" s="35" t="str">
        <f>IF(ISNONTEXT(deployment_raw[[#This Row],[Column1]]), "", deployment_raw[[#This Row],[Column1]])</f>
        <v/>
      </c>
      <c r="B614" s="36" t="str">
        <f>IF(ISNONTEXT(deployment_raw[[#This Row],[Column2]]), "", deployment_raw[[#This Row],[Column2]])</f>
        <v/>
      </c>
      <c r="C614" s="36" t="str">
        <f>IF(ISNONTEXT(deployment_raw[[#This Row],[Column3]]), "", deployment_raw[[#This Row],[Column3]])</f>
        <v/>
      </c>
      <c r="D614" s="36" t="str">
        <f>IF(ISNONTEXT(deployment_raw[[#This Row],[Column4]]), "", deployment_raw[[#This Row],[Column4]])</f>
        <v/>
      </c>
      <c r="E614" s="37" t="str">
        <f>IF(ISNUMBER(deployment_raw[[#This Row],[Column5]]), deployment_raw[[#This Row],[Column5]],"")</f>
        <v/>
      </c>
      <c r="F614" s="94" t="str">
        <f>IF(ISNUMBER(deployment_raw[[#This Row],[Column6]]), (deployment_raw[[#This Row],[Column6]] * IF($E$2="Deployment",deployment_raw[[#This Row],[Column5]],1)),"")</f>
        <v/>
      </c>
      <c r="G614" s="95" t="str">
        <f>IF(ISNUMBER(deployment_raw[[#This Row],[Column7]]), (deployment_raw[[#This Row],[Column7]] * IF($E$2="Deployment",deployment_raw[[#This Row],[Column5]],1))/1048576,"")</f>
        <v/>
      </c>
      <c r="H614" s="95" t="str">
        <f>IF(ISNUMBER(deployment_raw[[#This Row],[Column8]]), (deployment_raw[[#This Row],[Column8]]  * IF($E$2="Deployment",deployment_raw[[#This Row],[Column5]],1)),"")</f>
        <v/>
      </c>
      <c r="I614" s="96" t="str">
        <f>IF(ISNUMBER(deployment_raw[[#This Row],[Column9]]), (deployment_raw[[#This Row],[Column9]] * IF($E$2="Deployment",deployment_raw[[#This Row],[Column5]],1))/1048576,"")</f>
        <v/>
      </c>
      <c r="J614" s="122" t="str">
        <f>IF(ISNUMBER(deployment_raw[[#This Row],[Column10]]), (MIN(IF(N614&lt;&gt;"",N614,9999999999999)*1.1,deployment_raw[[#This Row],[Column10]] * IF($E$2="Deployment",deployment_raw[[#This Row],[Column5]],1))),"")</f>
        <v/>
      </c>
      <c r="K614" s="123" t="str">
        <f>IF(ISNUMBER(deployment_raw[[#This Row],[Column11]]), (MIN(IF(O614&lt;&gt;"",O614,9999999999999)*1.1,deployment_raw[[#This Row],[Column11]] * IF($E$2="Deployment",deployment_raw[[#This Row],[Column5]],1)/1048576)),"")</f>
        <v/>
      </c>
      <c r="L614" s="124" t="str">
        <f>IF(ISNUMBER(deployment_raw[[#This Row],[Column8]]),IF(OR(deployment_raw[[#This Row],[Column5]] &lt;&gt; 0,$E$2 &lt;&gt; "Deployment"), MAX(J614, P614, R614, ($L$2 * IF($E$2="Deployment",deployment_raw[[#This Row],[Column5]],1)),IF(T614&lt;&gt;"",VALUE(T614) * IF($E$2="Deployment",deployment_raw[[#This Row],[Column5]],1),0)), 0),"")</f>
        <v/>
      </c>
      <c r="M614" s="125" t="str">
        <f>IF(ISNUMBER(deployment_raw[[#This Row],[Column9]]),IF(OR(deployment_raw[[#This Row],[Column5]] &lt;&gt; 0,$E$2&lt;&gt;"Deployment"), MAX(K614, Q614, S614, ($M$2 * IF($E$2="Deployment",deployment_raw[[#This Row],[Column5]],1)),IF(U614&lt;&gt;"",VALUE(U614) * IF($E$2="Deployment",deployment_raw[[#This Row],[Column5]],1),0)), 0),"")</f>
        <v/>
      </c>
      <c r="N614" s="166" t="str">
        <f>IF(ISNUMBER(deployment_raw[[#This Row],[Column14]]), deployment_raw[[#This Row],[Column14]]/IF(OR($E$2="Deployment",deployment_raw[[#This Row],[Column5]]=0),1,deployment_raw[[#This Row],[Column5]]),"")</f>
        <v/>
      </c>
      <c r="O614" s="167" t="str">
        <f>IF(ISNUMBER(deployment_raw[[#This Row],[Column15]]), deployment_raw[[#This Row],[Column15]]/IF(OR($E$2="Deployment",deployment_raw[[#This Row],[Column5]]=0),1,deployment_raw[[#This Row],[Column5]])/1048576,"")</f>
        <v/>
      </c>
      <c r="P614" s="168" t="str">
        <f>IF(ISNUMBER(deployment_raw[[#This Row],[Column12]]), (MIN(IF(N614&lt;&gt;"",N614,9999999999999)*1.1,deployment_raw[[#This Row],[Column12]] * IF($E$2="Deployment",deployment_raw[[#This Row],[Column5]],1))*(1+$P$2)),"")</f>
        <v/>
      </c>
      <c r="Q614" s="167" t="str">
        <f>IF(ISNUMBER(deployment_raw[[#This Row],[Column13]]), (MIN(IF(O614&lt;&gt;"",O614,9999999999999)*1.1,deployment_raw[[#This Row],[Column13]] * IF($E$2="Deployment",deployment_raw[[#This Row],[Column5]],1)*(1+$Q$2)/1048576)),"")</f>
        <v/>
      </c>
      <c r="R614" s="169" t="str">
        <f>IF(ISNUMBER(deployment_raw[[#This Row],[Column8]]), (H614  * IF(N614&lt;&gt;0,$R$2,1)),"")</f>
        <v/>
      </c>
      <c r="S614" s="170" t="str">
        <f>IF(ISNUMBER(deployment_raw[[#This Row],[Column8]]), (I614  * IF(O614&lt;&gt;0,$S$2,1)),"")</f>
        <v/>
      </c>
      <c r="T614" s="202" t="str">
        <f>IF(AND(A614&lt;&gt;"",_xlfn.IFNA(MATCH(A614,'dynamic resource application '!$A$2:$A$100, 0),0)&lt;&gt;0), H614/(IF($E$2="Deployment",E614,1)),"")</f>
        <v/>
      </c>
      <c r="U614" s="211" t="str">
        <f>IF(AND(A614&lt;&gt;"",_xlfn.IFNA(MATCH(A614,'dynamic resource application '!$A$2:$A$100, 0),0)&lt;&gt;0), I614/(IF($E$2="Deployment",E614,1)),"")</f>
        <v/>
      </c>
    </row>
    <row r="615" spans="1:21" ht="15.75" customHeight="1" x14ac:dyDescent="0.25">
      <c r="A615" s="35" t="str">
        <f>IF(ISNONTEXT(deployment_raw[[#This Row],[Column1]]), "", deployment_raw[[#This Row],[Column1]])</f>
        <v/>
      </c>
      <c r="B615" s="36" t="str">
        <f>IF(ISNONTEXT(deployment_raw[[#This Row],[Column2]]), "", deployment_raw[[#This Row],[Column2]])</f>
        <v/>
      </c>
      <c r="C615" s="36" t="str">
        <f>IF(ISNONTEXT(deployment_raw[[#This Row],[Column3]]), "", deployment_raw[[#This Row],[Column3]])</f>
        <v/>
      </c>
      <c r="D615" s="36" t="str">
        <f>IF(ISNONTEXT(deployment_raw[[#This Row],[Column4]]), "", deployment_raw[[#This Row],[Column4]])</f>
        <v/>
      </c>
      <c r="E615" s="37" t="str">
        <f>IF(ISNUMBER(deployment_raw[[#This Row],[Column5]]), deployment_raw[[#This Row],[Column5]],"")</f>
        <v/>
      </c>
      <c r="F615" s="94" t="str">
        <f>IF(ISNUMBER(deployment_raw[[#This Row],[Column6]]), (deployment_raw[[#This Row],[Column6]] * IF($E$2="Deployment",deployment_raw[[#This Row],[Column5]],1)),"")</f>
        <v/>
      </c>
      <c r="G615" s="95" t="str">
        <f>IF(ISNUMBER(deployment_raw[[#This Row],[Column7]]), (deployment_raw[[#This Row],[Column7]] * IF($E$2="Deployment",deployment_raw[[#This Row],[Column5]],1))/1048576,"")</f>
        <v/>
      </c>
      <c r="H615" s="95" t="str">
        <f>IF(ISNUMBER(deployment_raw[[#This Row],[Column8]]), (deployment_raw[[#This Row],[Column8]]  * IF($E$2="Deployment",deployment_raw[[#This Row],[Column5]],1)),"")</f>
        <v/>
      </c>
      <c r="I615" s="96" t="str">
        <f>IF(ISNUMBER(deployment_raw[[#This Row],[Column9]]), (deployment_raw[[#This Row],[Column9]] * IF($E$2="Deployment",deployment_raw[[#This Row],[Column5]],1))/1048576,"")</f>
        <v/>
      </c>
      <c r="J615" s="122" t="str">
        <f>IF(ISNUMBER(deployment_raw[[#This Row],[Column10]]), (MIN(IF(N615&lt;&gt;"",N615,9999999999999)*1.1,deployment_raw[[#This Row],[Column10]] * IF($E$2="Deployment",deployment_raw[[#This Row],[Column5]],1))),"")</f>
        <v/>
      </c>
      <c r="K615" s="123" t="str">
        <f>IF(ISNUMBER(deployment_raw[[#This Row],[Column11]]), (MIN(IF(O615&lt;&gt;"",O615,9999999999999)*1.1,deployment_raw[[#This Row],[Column11]] * IF($E$2="Deployment",deployment_raw[[#This Row],[Column5]],1)/1048576)),"")</f>
        <v/>
      </c>
      <c r="L615" s="124" t="str">
        <f>IF(ISNUMBER(deployment_raw[[#This Row],[Column8]]),IF(OR(deployment_raw[[#This Row],[Column5]] &lt;&gt; 0,$E$2 &lt;&gt; "Deployment"), MAX(J615, P615, R615, ($L$2 * IF($E$2="Deployment",deployment_raw[[#This Row],[Column5]],1)),IF(T615&lt;&gt;"",VALUE(T615) * IF($E$2="Deployment",deployment_raw[[#This Row],[Column5]],1),0)), 0),"")</f>
        <v/>
      </c>
      <c r="M615" s="125" t="str">
        <f>IF(ISNUMBER(deployment_raw[[#This Row],[Column9]]),IF(OR(deployment_raw[[#This Row],[Column5]] &lt;&gt; 0,$E$2&lt;&gt;"Deployment"), MAX(K615, Q615, S615, ($M$2 * IF($E$2="Deployment",deployment_raw[[#This Row],[Column5]],1)),IF(U615&lt;&gt;"",VALUE(U615) * IF($E$2="Deployment",deployment_raw[[#This Row],[Column5]],1),0)), 0),"")</f>
        <v/>
      </c>
      <c r="N615" s="166" t="str">
        <f>IF(ISNUMBER(deployment_raw[[#This Row],[Column14]]), deployment_raw[[#This Row],[Column14]]/IF(OR($E$2="Deployment",deployment_raw[[#This Row],[Column5]]=0),1,deployment_raw[[#This Row],[Column5]]),"")</f>
        <v/>
      </c>
      <c r="O615" s="167" t="str">
        <f>IF(ISNUMBER(deployment_raw[[#This Row],[Column15]]), deployment_raw[[#This Row],[Column15]]/IF(OR($E$2="Deployment",deployment_raw[[#This Row],[Column5]]=0),1,deployment_raw[[#This Row],[Column5]])/1048576,"")</f>
        <v/>
      </c>
      <c r="P615" s="168" t="str">
        <f>IF(ISNUMBER(deployment_raw[[#This Row],[Column12]]), (MIN(IF(N615&lt;&gt;"",N615,9999999999999)*1.1,deployment_raw[[#This Row],[Column12]] * IF($E$2="Deployment",deployment_raw[[#This Row],[Column5]],1))*(1+$P$2)),"")</f>
        <v/>
      </c>
      <c r="Q615" s="167" t="str">
        <f>IF(ISNUMBER(deployment_raw[[#This Row],[Column13]]), (MIN(IF(O615&lt;&gt;"",O615,9999999999999)*1.1,deployment_raw[[#This Row],[Column13]] * IF($E$2="Deployment",deployment_raw[[#This Row],[Column5]],1)*(1+$Q$2)/1048576)),"")</f>
        <v/>
      </c>
      <c r="R615" s="169" t="str">
        <f>IF(ISNUMBER(deployment_raw[[#This Row],[Column8]]), (H615  * IF(N615&lt;&gt;0,$R$2,1)),"")</f>
        <v/>
      </c>
      <c r="S615" s="170" t="str">
        <f>IF(ISNUMBER(deployment_raw[[#This Row],[Column8]]), (I615  * IF(O615&lt;&gt;0,$S$2,1)),"")</f>
        <v/>
      </c>
      <c r="T615" s="202" t="str">
        <f>IF(AND(A615&lt;&gt;"",_xlfn.IFNA(MATCH(A615,'dynamic resource application '!$A$2:$A$100, 0),0)&lt;&gt;0), H615/(IF($E$2="Deployment",E615,1)),"")</f>
        <v/>
      </c>
      <c r="U615" s="211" t="str">
        <f>IF(AND(A615&lt;&gt;"",_xlfn.IFNA(MATCH(A615,'dynamic resource application '!$A$2:$A$100, 0),0)&lt;&gt;0), I615/(IF($E$2="Deployment",E615,1)),"")</f>
        <v/>
      </c>
    </row>
    <row r="616" spans="1:21" ht="15.75" customHeight="1" x14ac:dyDescent="0.25">
      <c r="A616" s="35" t="str">
        <f>IF(ISNONTEXT(deployment_raw[[#This Row],[Column1]]), "", deployment_raw[[#This Row],[Column1]])</f>
        <v/>
      </c>
      <c r="B616" s="36" t="str">
        <f>IF(ISNONTEXT(deployment_raw[[#This Row],[Column2]]), "", deployment_raw[[#This Row],[Column2]])</f>
        <v/>
      </c>
      <c r="C616" s="36" t="str">
        <f>IF(ISNONTEXT(deployment_raw[[#This Row],[Column3]]), "", deployment_raw[[#This Row],[Column3]])</f>
        <v/>
      </c>
      <c r="D616" s="36" t="str">
        <f>IF(ISNONTEXT(deployment_raw[[#This Row],[Column4]]), "", deployment_raw[[#This Row],[Column4]])</f>
        <v/>
      </c>
      <c r="E616" s="37" t="str">
        <f>IF(ISNUMBER(deployment_raw[[#This Row],[Column5]]), deployment_raw[[#This Row],[Column5]],"")</f>
        <v/>
      </c>
      <c r="F616" s="94" t="str">
        <f>IF(ISNUMBER(deployment_raw[[#This Row],[Column6]]), (deployment_raw[[#This Row],[Column6]] * IF($E$2="Deployment",deployment_raw[[#This Row],[Column5]],1)),"")</f>
        <v/>
      </c>
      <c r="G616" s="95" t="str">
        <f>IF(ISNUMBER(deployment_raw[[#This Row],[Column7]]), (deployment_raw[[#This Row],[Column7]] * IF($E$2="Deployment",deployment_raw[[#This Row],[Column5]],1))/1048576,"")</f>
        <v/>
      </c>
      <c r="H616" s="95" t="str">
        <f>IF(ISNUMBER(deployment_raw[[#This Row],[Column8]]), (deployment_raw[[#This Row],[Column8]]  * IF($E$2="Deployment",deployment_raw[[#This Row],[Column5]],1)),"")</f>
        <v/>
      </c>
      <c r="I616" s="96" t="str">
        <f>IF(ISNUMBER(deployment_raw[[#This Row],[Column9]]), (deployment_raw[[#This Row],[Column9]] * IF($E$2="Deployment",deployment_raw[[#This Row],[Column5]],1))/1048576,"")</f>
        <v/>
      </c>
      <c r="J616" s="122" t="str">
        <f>IF(ISNUMBER(deployment_raw[[#This Row],[Column10]]), (MIN(IF(N616&lt;&gt;"",N616,9999999999999)*1.1,deployment_raw[[#This Row],[Column10]] * IF($E$2="Deployment",deployment_raw[[#This Row],[Column5]],1))),"")</f>
        <v/>
      </c>
      <c r="K616" s="123" t="str">
        <f>IF(ISNUMBER(deployment_raw[[#This Row],[Column11]]), (MIN(IF(O616&lt;&gt;"",O616,9999999999999)*1.1,deployment_raw[[#This Row],[Column11]] * IF($E$2="Deployment",deployment_raw[[#This Row],[Column5]],1)/1048576)),"")</f>
        <v/>
      </c>
      <c r="L616" s="124" t="str">
        <f>IF(ISNUMBER(deployment_raw[[#This Row],[Column8]]),IF(OR(deployment_raw[[#This Row],[Column5]] &lt;&gt; 0,$E$2 &lt;&gt; "Deployment"), MAX(J616, P616, R616, ($L$2 * IF($E$2="Deployment",deployment_raw[[#This Row],[Column5]],1)),IF(T616&lt;&gt;"",VALUE(T616) * IF($E$2="Deployment",deployment_raw[[#This Row],[Column5]],1),0)), 0),"")</f>
        <v/>
      </c>
      <c r="M616" s="125" t="str">
        <f>IF(ISNUMBER(deployment_raw[[#This Row],[Column9]]),IF(OR(deployment_raw[[#This Row],[Column5]] &lt;&gt; 0,$E$2&lt;&gt;"Deployment"), MAX(K616, Q616, S616, ($M$2 * IF($E$2="Deployment",deployment_raw[[#This Row],[Column5]],1)),IF(U616&lt;&gt;"",VALUE(U616) * IF($E$2="Deployment",deployment_raw[[#This Row],[Column5]],1),0)), 0),"")</f>
        <v/>
      </c>
      <c r="N616" s="166" t="str">
        <f>IF(ISNUMBER(deployment_raw[[#This Row],[Column14]]), deployment_raw[[#This Row],[Column14]]/IF(OR($E$2="Deployment",deployment_raw[[#This Row],[Column5]]=0),1,deployment_raw[[#This Row],[Column5]]),"")</f>
        <v/>
      </c>
      <c r="O616" s="167" t="str">
        <f>IF(ISNUMBER(deployment_raw[[#This Row],[Column15]]), deployment_raw[[#This Row],[Column15]]/IF(OR($E$2="Deployment",deployment_raw[[#This Row],[Column5]]=0),1,deployment_raw[[#This Row],[Column5]])/1048576,"")</f>
        <v/>
      </c>
      <c r="P616" s="168" t="str">
        <f>IF(ISNUMBER(deployment_raw[[#This Row],[Column12]]), (MIN(IF(N616&lt;&gt;"",N616,9999999999999)*1.1,deployment_raw[[#This Row],[Column12]] * IF($E$2="Deployment",deployment_raw[[#This Row],[Column5]],1))*(1+$P$2)),"")</f>
        <v/>
      </c>
      <c r="Q616" s="167" t="str">
        <f>IF(ISNUMBER(deployment_raw[[#This Row],[Column13]]), (MIN(IF(O616&lt;&gt;"",O616,9999999999999)*1.1,deployment_raw[[#This Row],[Column13]] * IF($E$2="Deployment",deployment_raw[[#This Row],[Column5]],1)*(1+$Q$2)/1048576)),"")</f>
        <v/>
      </c>
      <c r="R616" s="169" t="str">
        <f>IF(ISNUMBER(deployment_raw[[#This Row],[Column8]]), (H616  * IF(N616&lt;&gt;0,$R$2,1)),"")</f>
        <v/>
      </c>
      <c r="S616" s="170" t="str">
        <f>IF(ISNUMBER(deployment_raw[[#This Row],[Column8]]), (I616  * IF(O616&lt;&gt;0,$S$2,1)),"")</f>
        <v/>
      </c>
      <c r="T616" s="202" t="str">
        <f>IF(AND(A616&lt;&gt;"",_xlfn.IFNA(MATCH(A616,'dynamic resource application '!$A$2:$A$100, 0),0)&lt;&gt;0), H616/(IF($E$2="Deployment",E616,1)),"")</f>
        <v/>
      </c>
      <c r="U616" s="211" t="str">
        <f>IF(AND(A616&lt;&gt;"",_xlfn.IFNA(MATCH(A616,'dynamic resource application '!$A$2:$A$100, 0),0)&lt;&gt;0), I616/(IF($E$2="Deployment",E616,1)),"")</f>
        <v/>
      </c>
    </row>
    <row r="617" spans="1:21" ht="15.75" customHeight="1" x14ac:dyDescent="0.25">
      <c r="A617" s="35" t="str">
        <f>IF(ISNONTEXT(deployment_raw[[#This Row],[Column1]]), "", deployment_raw[[#This Row],[Column1]])</f>
        <v/>
      </c>
      <c r="B617" s="36" t="str">
        <f>IF(ISNONTEXT(deployment_raw[[#This Row],[Column2]]), "", deployment_raw[[#This Row],[Column2]])</f>
        <v/>
      </c>
      <c r="C617" s="36" t="str">
        <f>IF(ISNONTEXT(deployment_raw[[#This Row],[Column3]]), "", deployment_raw[[#This Row],[Column3]])</f>
        <v/>
      </c>
      <c r="D617" s="36" t="str">
        <f>IF(ISNONTEXT(deployment_raw[[#This Row],[Column4]]), "", deployment_raw[[#This Row],[Column4]])</f>
        <v/>
      </c>
      <c r="E617" s="37" t="str">
        <f>IF(ISNUMBER(deployment_raw[[#This Row],[Column5]]), deployment_raw[[#This Row],[Column5]],"")</f>
        <v/>
      </c>
      <c r="F617" s="94" t="str">
        <f>IF(ISNUMBER(deployment_raw[[#This Row],[Column6]]), (deployment_raw[[#This Row],[Column6]] * IF($E$2="Deployment",deployment_raw[[#This Row],[Column5]],1)),"")</f>
        <v/>
      </c>
      <c r="G617" s="95" t="str">
        <f>IF(ISNUMBER(deployment_raw[[#This Row],[Column7]]), (deployment_raw[[#This Row],[Column7]] * IF($E$2="Deployment",deployment_raw[[#This Row],[Column5]],1))/1048576,"")</f>
        <v/>
      </c>
      <c r="H617" s="95" t="str">
        <f>IF(ISNUMBER(deployment_raw[[#This Row],[Column8]]), (deployment_raw[[#This Row],[Column8]]  * IF($E$2="Deployment",deployment_raw[[#This Row],[Column5]],1)),"")</f>
        <v/>
      </c>
      <c r="I617" s="96" t="str">
        <f>IF(ISNUMBER(deployment_raw[[#This Row],[Column9]]), (deployment_raw[[#This Row],[Column9]] * IF($E$2="Deployment",deployment_raw[[#This Row],[Column5]],1))/1048576,"")</f>
        <v/>
      </c>
      <c r="J617" s="122" t="str">
        <f>IF(ISNUMBER(deployment_raw[[#This Row],[Column10]]), (MIN(IF(N617&lt;&gt;"",N617,9999999999999)*1.1,deployment_raw[[#This Row],[Column10]] * IF($E$2="Deployment",deployment_raw[[#This Row],[Column5]],1))),"")</f>
        <v/>
      </c>
      <c r="K617" s="123" t="str">
        <f>IF(ISNUMBER(deployment_raw[[#This Row],[Column11]]), (MIN(IF(O617&lt;&gt;"",O617,9999999999999)*1.1,deployment_raw[[#This Row],[Column11]] * IF($E$2="Deployment",deployment_raw[[#This Row],[Column5]],1)/1048576)),"")</f>
        <v/>
      </c>
      <c r="L617" s="124" t="str">
        <f>IF(ISNUMBER(deployment_raw[[#This Row],[Column8]]),IF(OR(deployment_raw[[#This Row],[Column5]] &lt;&gt; 0,$E$2 &lt;&gt; "Deployment"), MAX(J617, P617, R617, ($L$2 * IF($E$2="Deployment",deployment_raw[[#This Row],[Column5]],1)),IF(T617&lt;&gt;"",VALUE(T617) * IF($E$2="Deployment",deployment_raw[[#This Row],[Column5]],1),0)), 0),"")</f>
        <v/>
      </c>
      <c r="M617" s="125" t="str">
        <f>IF(ISNUMBER(deployment_raw[[#This Row],[Column9]]),IF(OR(deployment_raw[[#This Row],[Column5]] &lt;&gt; 0,$E$2&lt;&gt;"Deployment"), MAX(K617, Q617, S617, ($M$2 * IF($E$2="Deployment",deployment_raw[[#This Row],[Column5]],1)),IF(U617&lt;&gt;"",VALUE(U617) * IF($E$2="Deployment",deployment_raw[[#This Row],[Column5]],1),0)), 0),"")</f>
        <v/>
      </c>
      <c r="N617" s="166" t="str">
        <f>IF(ISNUMBER(deployment_raw[[#This Row],[Column14]]), deployment_raw[[#This Row],[Column14]]/IF(OR($E$2="Deployment",deployment_raw[[#This Row],[Column5]]=0),1,deployment_raw[[#This Row],[Column5]]),"")</f>
        <v/>
      </c>
      <c r="O617" s="167" t="str">
        <f>IF(ISNUMBER(deployment_raw[[#This Row],[Column15]]), deployment_raw[[#This Row],[Column15]]/IF(OR($E$2="Deployment",deployment_raw[[#This Row],[Column5]]=0),1,deployment_raw[[#This Row],[Column5]])/1048576,"")</f>
        <v/>
      </c>
      <c r="P617" s="168" t="str">
        <f>IF(ISNUMBER(deployment_raw[[#This Row],[Column12]]), (MIN(IF(N617&lt;&gt;"",N617,9999999999999)*1.1,deployment_raw[[#This Row],[Column12]] * IF($E$2="Deployment",deployment_raw[[#This Row],[Column5]],1))*(1+$P$2)),"")</f>
        <v/>
      </c>
      <c r="Q617" s="167" t="str">
        <f>IF(ISNUMBER(deployment_raw[[#This Row],[Column13]]), (MIN(IF(O617&lt;&gt;"",O617,9999999999999)*1.1,deployment_raw[[#This Row],[Column13]] * IF($E$2="Deployment",deployment_raw[[#This Row],[Column5]],1)*(1+$Q$2)/1048576)),"")</f>
        <v/>
      </c>
      <c r="R617" s="169" t="str">
        <f>IF(ISNUMBER(deployment_raw[[#This Row],[Column8]]), (H617  * IF(N617&lt;&gt;0,$R$2,1)),"")</f>
        <v/>
      </c>
      <c r="S617" s="170" t="str">
        <f>IF(ISNUMBER(deployment_raw[[#This Row],[Column8]]), (I617  * IF(O617&lt;&gt;0,$S$2,1)),"")</f>
        <v/>
      </c>
      <c r="T617" s="202" t="str">
        <f>IF(AND(A617&lt;&gt;"",_xlfn.IFNA(MATCH(A617,'dynamic resource application '!$A$2:$A$100, 0),0)&lt;&gt;0), H617/(IF($E$2="Deployment",E617,1)),"")</f>
        <v/>
      </c>
      <c r="U617" s="211" t="str">
        <f>IF(AND(A617&lt;&gt;"",_xlfn.IFNA(MATCH(A617,'dynamic resource application '!$A$2:$A$100, 0),0)&lt;&gt;0), I617/(IF($E$2="Deployment",E617,1)),"")</f>
        <v/>
      </c>
    </row>
    <row r="618" spans="1:21" ht="15.75" customHeight="1" x14ac:dyDescent="0.25">
      <c r="A618" s="35" t="str">
        <f>IF(ISNONTEXT(deployment_raw[[#This Row],[Column1]]), "", deployment_raw[[#This Row],[Column1]])</f>
        <v/>
      </c>
      <c r="B618" s="36" t="str">
        <f>IF(ISNONTEXT(deployment_raw[[#This Row],[Column2]]), "", deployment_raw[[#This Row],[Column2]])</f>
        <v/>
      </c>
      <c r="C618" s="36" t="str">
        <f>IF(ISNONTEXT(deployment_raw[[#This Row],[Column3]]), "", deployment_raw[[#This Row],[Column3]])</f>
        <v/>
      </c>
      <c r="D618" s="36" t="str">
        <f>IF(ISNONTEXT(deployment_raw[[#This Row],[Column4]]), "", deployment_raw[[#This Row],[Column4]])</f>
        <v/>
      </c>
      <c r="E618" s="37" t="str">
        <f>IF(ISNUMBER(deployment_raw[[#This Row],[Column5]]), deployment_raw[[#This Row],[Column5]],"")</f>
        <v/>
      </c>
      <c r="F618" s="94" t="str">
        <f>IF(ISNUMBER(deployment_raw[[#This Row],[Column6]]), (deployment_raw[[#This Row],[Column6]] * IF($E$2="Deployment",deployment_raw[[#This Row],[Column5]],1)),"")</f>
        <v/>
      </c>
      <c r="G618" s="95" t="str">
        <f>IF(ISNUMBER(deployment_raw[[#This Row],[Column7]]), (deployment_raw[[#This Row],[Column7]] * IF($E$2="Deployment",deployment_raw[[#This Row],[Column5]],1))/1048576,"")</f>
        <v/>
      </c>
      <c r="H618" s="95" t="str">
        <f>IF(ISNUMBER(deployment_raw[[#This Row],[Column8]]), (deployment_raw[[#This Row],[Column8]]  * IF($E$2="Deployment",deployment_raw[[#This Row],[Column5]],1)),"")</f>
        <v/>
      </c>
      <c r="I618" s="96" t="str">
        <f>IF(ISNUMBER(deployment_raw[[#This Row],[Column9]]), (deployment_raw[[#This Row],[Column9]] * IF($E$2="Deployment",deployment_raw[[#This Row],[Column5]],1))/1048576,"")</f>
        <v/>
      </c>
      <c r="J618" s="122" t="str">
        <f>IF(ISNUMBER(deployment_raw[[#This Row],[Column10]]), (MIN(IF(N618&lt;&gt;"",N618,9999999999999)*1.1,deployment_raw[[#This Row],[Column10]] * IF($E$2="Deployment",deployment_raw[[#This Row],[Column5]],1))),"")</f>
        <v/>
      </c>
      <c r="K618" s="123" t="str">
        <f>IF(ISNUMBER(deployment_raw[[#This Row],[Column11]]), (MIN(IF(O618&lt;&gt;"",O618,9999999999999)*1.1,deployment_raw[[#This Row],[Column11]] * IF($E$2="Deployment",deployment_raw[[#This Row],[Column5]],1)/1048576)),"")</f>
        <v/>
      </c>
      <c r="L618" s="124" t="str">
        <f>IF(ISNUMBER(deployment_raw[[#This Row],[Column8]]),IF(OR(deployment_raw[[#This Row],[Column5]] &lt;&gt; 0,$E$2 &lt;&gt; "Deployment"), MAX(J618, P618, R618, ($L$2 * IF($E$2="Deployment",deployment_raw[[#This Row],[Column5]],1)),IF(T618&lt;&gt;"",VALUE(T618) * IF($E$2="Deployment",deployment_raw[[#This Row],[Column5]],1),0)), 0),"")</f>
        <v/>
      </c>
      <c r="M618" s="125" t="str">
        <f>IF(ISNUMBER(deployment_raw[[#This Row],[Column9]]),IF(OR(deployment_raw[[#This Row],[Column5]] &lt;&gt; 0,$E$2&lt;&gt;"Deployment"), MAX(K618, Q618, S618, ($M$2 * IF($E$2="Deployment",deployment_raw[[#This Row],[Column5]],1)),IF(U618&lt;&gt;"",VALUE(U618) * IF($E$2="Deployment",deployment_raw[[#This Row],[Column5]],1),0)), 0),"")</f>
        <v/>
      </c>
      <c r="N618" s="166" t="str">
        <f>IF(ISNUMBER(deployment_raw[[#This Row],[Column14]]), deployment_raw[[#This Row],[Column14]]/IF(OR($E$2="Deployment",deployment_raw[[#This Row],[Column5]]=0),1,deployment_raw[[#This Row],[Column5]]),"")</f>
        <v/>
      </c>
      <c r="O618" s="167" t="str">
        <f>IF(ISNUMBER(deployment_raw[[#This Row],[Column15]]), deployment_raw[[#This Row],[Column15]]/IF(OR($E$2="Deployment",deployment_raw[[#This Row],[Column5]]=0),1,deployment_raw[[#This Row],[Column5]])/1048576,"")</f>
        <v/>
      </c>
      <c r="P618" s="168" t="str">
        <f>IF(ISNUMBER(deployment_raw[[#This Row],[Column12]]), (MIN(IF(N618&lt;&gt;"",N618,9999999999999)*1.1,deployment_raw[[#This Row],[Column12]] * IF($E$2="Deployment",deployment_raw[[#This Row],[Column5]],1))*(1+$P$2)),"")</f>
        <v/>
      </c>
      <c r="Q618" s="167" t="str">
        <f>IF(ISNUMBER(deployment_raw[[#This Row],[Column13]]), (MIN(IF(O618&lt;&gt;"",O618,9999999999999)*1.1,deployment_raw[[#This Row],[Column13]] * IF($E$2="Deployment",deployment_raw[[#This Row],[Column5]],1)*(1+$Q$2)/1048576)),"")</f>
        <v/>
      </c>
      <c r="R618" s="169" t="str">
        <f>IF(ISNUMBER(deployment_raw[[#This Row],[Column8]]), (H618  * IF(N618&lt;&gt;0,$R$2,1)),"")</f>
        <v/>
      </c>
      <c r="S618" s="170" t="str">
        <f>IF(ISNUMBER(deployment_raw[[#This Row],[Column8]]), (I618  * IF(O618&lt;&gt;0,$S$2,1)),"")</f>
        <v/>
      </c>
      <c r="T618" s="202" t="str">
        <f>IF(AND(A618&lt;&gt;"",_xlfn.IFNA(MATCH(A618,'dynamic resource application '!$A$2:$A$100, 0),0)&lt;&gt;0), H618/(IF($E$2="Deployment",E618,1)),"")</f>
        <v/>
      </c>
      <c r="U618" s="211" t="str">
        <f>IF(AND(A618&lt;&gt;"",_xlfn.IFNA(MATCH(A618,'dynamic resource application '!$A$2:$A$100, 0),0)&lt;&gt;0), I618/(IF($E$2="Deployment",E618,1)),"")</f>
        <v/>
      </c>
    </row>
    <row r="619" spans="1:21" ht="15.75" customHeight="1" x14ac:dyDescent="0.25">
      <c r="A619" s="35" t="str">
        <f>IF(ISNONTEXT(deployment_raw[[#This Row],[Column1]]), "", deployment_raw[[#This Row],[Column1]])</f>
        <v/>
      </c>
      <c r="B619" s="36" t="str">
        <f>IF(ISNONTEXT(deployment_raw[[#This Row],[Column2]]), "", deployment_raw[[#This Row],[Column2]])</f>
        <v/>
      </c>
      <c r="C619" s="36" t="str">
        <f>IF(ISNONTEXT(deployment_raw[[#This Row],[Column3]]), "", deployment_raw[[#This Row],[Column3]])</f>
        <v/>
      </c>
      <c r="D619" s="36" t="str">
        <f>IF(ISNONTEXT(deployment_raw[[#This Row],[Column4]]), "", deployment_raw[[#This Row],[Column4]])</f>
        <v/>
      </c>
      <c r="E619" s="37" t="str">
        <f>IF(ISNUMBER(deployment_raw[[#This Row],[Column5]]), deployment_raw[[#This Row],[Column5]],"")</f>
        <v/>
      </c>
      <c r="F619" s="94" t="str">
        <f>IF(ISNUMBER(deployment_raw[[#This Row],[Column6]]), (deployment_raw[[#This Row],[Column6]] * IF($E$2="Deployment",deployment_raw[[#This Row],[Column5]],1)),"")</f>
        <v/>
      </c>
      <c r="G619" s="95" t="str">
        <f>IF(ISNUMBER(deployment_raw[[#This Row],[Column7]]), (deployment_raw[[#This Row],[Column7]] * IF($E$2="Deployment",deployment_raw[[#This Row],[Column5]],1))/1048576,"")</f>
        <v/>
      </c>
      <c r="H619" s="95" t="str">
        <f>IF(ISNUMBER(deployment_raw[[#This Row],[Column8]]), (deployment_raw[[#This Row],[Column8]]  * IF($E$2="Deployment",deployment_raw[[#This Row],[Column5]],1)),"")</f>
        <v/>
      </c>
      <c r="I619" s="96" t="str">
        <f>IF(ISNUMBER(deployment_raw[[#This Row],[Column9]]), (deployment_raw[[#This Row],[Column9]] * IF($E$2="Deployment",deployment_raw[[#This Row],[Column5]],1))/1048576,"")</f>
        <v/>
      </c>
      <c r="J619" s="122" t="str">
        <f>IF(ISNUMBER(deployment_raw[[#This Row],[Column10]]), (MIN(IF(N619&lt;&gt;"",N619,9999999999999)*1.1,deployment_raw[[#This Row],[Column10]] * IF($E$2="Deployment",deployment_raw[[#This Row],[Column5]],1))),"")</f>
        <v/>
      </c>
      <c r="K619" s="123" t="str">
        <f>IF(ISNUMBER(deployment_raw[[#This Row],[Column11]]), (MIN(IF(O619&lt;&gt;"",O619,9999999999999)*1.1,deployment_raw[[#This Row],[Column11]] * IF($E$2="Deployment",deployment_raw[[#This Row],[Column5]],1)/1048576)),"")</f>
        <v/>
      </c>
      <c r="L619" s="124" t="str">
        <f>IF(ISNUMBER(deployment_raw[[#This Row],[Column8]]),IF(OR(deployment_raw[[#This Row],[Column5]] &lt;&gt; 0,$E$2 &lt;&gt; "Deployment"), MAX(J619, P619, R619, ($L$2 * IF($E$2="Deployment",deployment_raw[[#This Row],[Column5]],1)),IF(T619&lt;&gt;"",VALUE(T619) * IF($E$2="Deployment",deployment_raw[[#This Row],[Column5]],1),0)), 0),"")</f>
        <v/>
      </c>
      <c r="M619" s="125" t="str">
        <f>IF(ISNUMBER(deployment_raw[[#This Row],[Column9]]),IF(OR(deployment_raw[[#This Row],[Column5]] &lt;&gt; 0,$E$2&lt;&gt;"Deployment"), MAX(K619, Q619, S619, ($M$2 * IF($E$2="Deployment",deployment_raw[[#This Row],[Column5]],1)),IF(U619&lt;&gt;"",VALUE(U619) * IF($E$2="Deployment",deployment_raw[[#This Row],[Column5]],1),0)), 0),"")</f>
        <v/>
      </c>
      <c r="N619" s="166" t="str">
        <f>IF(ISNUMBER(deployment_raw[[#This Row],[Column14]]), deployment_raw[[#This Row],[Column14]]/IF(OR($E$2="Deployment",deployment_raw[[#This Row],[Column5]]=0),1,deployment_raw[[#This Row],[Column5]]),"")</f>
        <v/>
      </c>
      <c r="O619" s="167" t="str">
        <f>IF(ISNUMBER(deployment_raw[[#This Row],[Column15]]), deployment_raw[[#This Row],[Column15]]/IF(OR($E$2="Deployment",deployment_raw[[#This Row],[Column5]]=0),1,deployment_raw[[#This Row],[Column5]])/1048576,"")</f>
        <v/>
      </c>
      <c r="P619" s="168" t="str">
        <f>IF(ISNUMBER(deployment_raw[[#This Row],[Column12]]), (MIN(IF(N619&lt;&gt;"",N619,9999999999999)*1.1,deployment_raw[[#This Row],[Column12]] * IF($E$2="Deployment",deployment_raw[[#This Row],[Column5]],1))*(1+$P$2)),"")</f>
        <v/>
      </c>
      <c r="Q619" s="167" t="str">
        <f>IF(ISNUMBER(deployment_raw[[#This Row],[Column13]]), (MIN(IF(O619&lt;&gt;"",O619,9999999999999)*1.1,deployment_raw[[#This Row],[Column13]] * IF($E$2="Deployment",deployment_raw[[#This Row],[Column5]],1)*(1+$Q$2)/1048576)),"")</f>
        <v/>
      </c>
      <c r="R619" s="169" t="str">
        <f>IF(ISNUMBER(deployment_raw[[#This Row],[Column8]]), (H619  * IF(N619&lt;&gt;0,$R$2,1)),"")</f>
        <v/>
      </c>
      <c r="S619" s="170" t="str">
        <f>IF(ISNUMBER(deployment_raw[[#This Row],[Column8]]), (I619  * IF(O619&lt;&gt;0,$S$2,1)),"")</f>
        <v/>
      </c>
      <c r="T619" s="202" t="str">
        <f>IF(AND(A619&lt;&gt;"",_xlfn.IFNA(MATCH(A619,'dynamic resource application '!$A$2:$A$100, 0),0)&lt;&gt;0), H619/(IF($E$2="Deployment",E619,1)),"")</f>
        <v/>
      </c>
      <c r="U619" s="211" t="str">
        <f>IF(AND(A619&lt;&gt;"",_xlfn.IFNA(MATCH(A619,'dynamic resource application '!$A$2:$A$100, 0),0)&lt;&gt;0), I619/(IF($E$2="Deployment",E619,1)),"")</f>
        <v/>
      </c>
    </row>
    <row r="620" spans="1:21" ht="15.75" customHeight="1" x14ac:dyDescent="0.25">
      <c r="A620" s="35" t="str">
        <f>IF(ISNONTEXT(deployment_raw[[#This Row],[Column1]]), "", deployment_raw[[#This Row],[Column1]])</f>
        <v/>
      </c>
      <c r="B620" s="36" t="str">
        <f>IF(ISNONTEXT(deployment_raw[[#This Row],[Column2]]), "", deployment_raw[[#This Row],[Column2]])</f>
        <v/>
      </c>
      <c r="C620" s="36" t="str">
        <f>IF(ISNONTEXT(deployment_raw[[#This Row],[Column3]]), "", deployment_raw[[#This Row],[Column3]])</f>
        <v/>
      </c>
      <c r="D620" s="36" t="str">
        <f>IF(ISNONTEXT(deployment_raw[[#This Row],[Column4]]), "", deployment_raw[[#This Row],[Column4]])</f>
        <v/>
      </c>
      <c r="E620" s="37" t="str">
        <f>IF(ISNUMBER(deployment_raw[[#This Row],[Column5]]), deployment_raw[[#This Row],[Column5]],"")</f>
        <v/>
      </c>
      <c r="F620" s="94" t="str">
        <f>IF(ISNUMBER(deployment_raw[[#This Row],[Column6]]), (deployment_raw[[#This Row],[Column6]] * IF($E$2="Deployment",deployment_raw[[#This Row],[Column5]],1)),"")</f>
        <v/>
      </c>
      <c r="G620" s="95" t="str">
        <f>IF(ISNUMBER(deployment_raw[[#This Row],[Column7]]), (deployment_raw[[#This Row],[Column7]] * IF($E$2="Deployment",deployment_raw[[#This Row],[Column5]],1))/1048576,"")</f>
        <v/>
      </c>
      <c r="H620" s="95" t="str">
        <f>IF(ISNUMBER(deployment_raw[[#This Row],[Column8]]), (deployment_raw[[#This Row],[Column8]]  * IF($E$2="Deployment",deployment_raw[[#This Row],[Column5]],1)),"")</f>
        <v/>
      </c>
      <c r="I620" s="96" t="str">
        <f>IF(ISNUMBER(deployment_raw[[#This Row],[Column9]]), (deployment_raw[[#This Row],[Column9]] * IF($E$2="Deployment",deployment_raw[[#This Row],[Column5]],1))/1048576,"")</f>
        <v/>
      </c>
      <c r="J620" s="122" t="str">
        <f>IF(ISNUMBER(deployment_raw[[#This Row],[Column10]]), (MIN(IF(N620&lt;&gt;"",N620,9999999999999)*1.1,deployment_raw[[#This Row],[Column10]] * IF($E$2="Deployment",deployment_raw[[#This Row],[Column5]],1))),"")</f>
        <v/>
      </c>
      <c r="K620" s="123" t="str">
        <f>IF(ISNUMBER(deployment_raw[[#This Row],[Column11]]), (MIN(IF(O620&lt;&gt;"",O620,9999999999999)*1.1,deployment_raw[[#This Row],[Column11]] * IF($E$2="Deployment",deployment_raw[[#This Row],[Column5]],1)/1048576)),"")</f>
        <v/>
      </c>
      <c r="L620" s="124" t="str">
        <f>IF(ISNUMBER(deployment_raw[[#This Row],[Column8]]),IF(OR(deployment_raw[[#This Row],[Column5]] &lt;&gt; 0,$E$2 &lt;&gt; "Deployment"), MAX(J620, P620, R620, ($L$2 * IF($E$2="Deployment",deployment_raw[[#This Row],[Column5]],1)),IF(T620&lt;&gt;"",VALUE(T620) * IF($E$2="Deployment",deployment_raw[[#This Row],[Column5]],1),0)), 0),"")</f>
        <v/>
      </c>
      <c r="M620" s="125" t="str">
        <f>IF(ISNUMBER(deployment_raw[[#This Row],[Column9]]),IF(OR(deployment_raw[[#This Row],[Column5]] &lt;&gt; 0,$E$2&lt;&gt;"Deployment"), MAX(K620, Q620, S620, ($M$2 * IF($E$2="Deployment",deployment_raw[[#This Row],[Column5]],1)),IF(U620&lt;&gt;"",VALUE(U620) * IF($E$2="Deployment",deployment_raw[[#This Row],[Column5]],1),0)), 0),"")</f>
        <v/>
      </c>
      <c r="N620" s="166" t="str">
        <f>IF(ISNUMBER(deployment_raw[[#This Row],[Column14]]), deployment_raw[[#This Row],[Column14]]/IF(OR($E$2="Deployment",deployment_raw[[#This Row],[Column5]]=0),1,deployment_raw[[#This Row],[Column5]]),"")</f>
        <v/>
      </c>
      <c r="O620" s="167" t="str">
        <f>IF(ISNUMBER(deployment_raw[[#This Row],[Column15]]), deployment_raw[[#This Row],[Column15]]/IF(OR($E$2="Deployment",deployment_raw[[#This Row],[Column5]]=0),1,deployment_raw[[#This Row],[Column5]])/1048576,"")</f>
        <v/>
      </c>
      <c r="P620" s="168" t="str">
        <f>IF(ISNUMBER(deployment_raw[[#This Row],[Column12]]), (MIN(IF(N620&lt;&gt;"",N620,9999999999999)*1.1,deployment_raw[[#This Row],[Column12]] * IF($E$2="Deployment",deployment_raw[[#This Row],[Column5]],1))*(1+$P$2)),"")</f>
        <v/>
      </c>
      <c r="Q620" s="167" t="str">
        <f>IF(ISNUMBER(deployment_raw[[#This Row],[Column13]]), (MIN(IF(O620&lt;&gt;"",O620,9999999999999)*1.1,deployment_raw[[#This Row],[Column13]] * IF($E$2="Deployment",deployment_raw[[#This Row],[Column5]],1)*(1+$Q$2)/1048576)),"")</f>
        <v/>
      </c>
      <c r="R620" s="169" t="str">
        <f>IF(ISNUMBER(deployment_raw[[#This Row],[Column8]]), (H620  * IF(N620&lt;&gt;0,$R$2,1)),"")</f>
        <v/>
      </c>
      <c r="S620" s="170" t="str">
        <f>IF(ISNUMBER(deployment_raw[[#This Row],[Column8]]), (I620  * IF(O620&lt;&gt;0,$S$2,1)),"")</f>
        <v/>
      </c>
      <c r="T620" s="202" t="str">
        <f>IF(AND(A620&lt;&gt;"",_xlfn.IFNA(MATCH(A620,'dynamic resource application '!$A$2:$A$100, 0),0)&lt;&gt;0), H620/(IF($E$2="Deployment",E620,1)),"")</f>
        <v/>
      </c>
      <c r="U620" s="211" t="str">
        <f>IF(AND(A620&lt;&gt;"",_xlfn.IFNA(MATCH(A620,'dynamic resource application '!$A$2:$A$100, 0),0)&lt;&gt;0), I620/(IF($E$2="Deployment",E620,1)),"")</f>
        <v/>
      </c>
    </row>
    <row r="621" spans="1:21" ht="15.75" customHeight="1" x14ac:dyDescent="0.25">
      <c r="A621" s="35" t="str">
        <f>IF(ISNONTEXT(deployment_raw[[#This Row],[Column1]]), "", deployment_raw[[#This Row],[Column1]])</f>
        <v/>
      </c>
      <c r="B621" s="36" t="str">
        <f>IF(ISNONTEXT(deployment_raw[[#This Row],[Column2]]), "", deployment_raw[[#This Row],[Column2]])</f>
        <v/>
      </c>
      <c r="C621" s="36" t="str">
        <f>IF(ISNONTEXT(deployment_raw[[#This Row],[Column3]]), "", deployment_raw[[#This Row],[Column3]])</f>
        <v/>
      </c>
      <c r="D621" s="36" t="str">
        <f>IF(ISNONTEXT(deployment_raw[[#This Row],[Column4]]), "", deployment_raw[[#This Row],[Column4]])</f>
        <v/>
      </c>
      <c r="E621" s="37" t="str">
        <f>IF(ISNUMBER(deployment_raw[[#This Row],[Column5]]), deployment_raw[[#This Row],[Column5]],"")</f>
        <v/>
      </c>
      <c r="F621" s="94" t="str">
        <f>IF(ISNUMBER(deployment_raw[[#This Row],[Column6]]), (deployment_raw[[#This Row],[Column6]] * IF($E$2="Deployment",deployment_raw[[#This Row],[Column5]],1)),"")</f>
        <v/>
      </c>
      <c r="G621" s="95" t="str">
        <f>IF(ISNUMBER(deployment_raw[[#This Row],[Column7]]), (deployment_raw[[#This Row],[Column7]] * IF($E$2="Deployment",deployment_raw[[#This Row],[Column5]],1))/1048576,"")</f>
        <v/>
      </c>
      <c r="H621" s="95" t="str">
        <f>IF(ISNUMBER(deployment_raw[[#This Row],[Column8]]), (deployment_raw[[#This Row],[Column8]]  * IF($E$2="Deployment",deployment_raw[[#This Row],[Column5]],1)),"")</f>
        <v/>
      </c>
      <c r="I621" s="96" t="str">
        <f>IF(ISNUMBER(deployment_raw[[#This Row],[Column9]]), (deployment_raw[[#This Row],[Column9]] * IF($E$2="Deployment",deployment_raw[[#This Row],[Column5]],1))/1048576,"")</f>
        <v/>
      </c>
      <c r="J621" s="122" t="str">
        <f>IF(ISNUMBER(deployment_raw[[#This Row],[Column10]]), (MIN(IF(N621&lt;&gt;"",N621,9999999999999)*1.1,deployment_raw[[#This Row],[Column10]] * IF($E$2="Deployment",deployment_raw[[#This Row],[Column5]],1))),"")</f>
        <v/>
      </c>
      <c r="K621" s="123" t="str">
        <f>IF(ISNUMBER(deployment_raw[[#This Row],[Column11]]), (MIN(IF(O621&lt;&gt;"",O621,9999999999999)*1.1,deployment_raw[[#This Row],[Column11]] * IF($E$2="Deployment",deployment_raw[[#This Row],[Column5]],1)/1048576)),"")</f>
        <v/>
      </c>
      <c r="L621" s="124" t="str">
        <f>IF(ISNUMBER(deployment_raw[[#This Row],[Column8]]),IF(OR(deployment_raw[[#This Row],[Column5]] &lt;&gt; 0,$E$2 &lt;&gt; "Deployment"), MAX(J621, P621, R621, ($L$2 * IF($E$2="Deployment",deployment_raw[[#This Row],[Column5]],1)),IF(T621&lt;&gt;"",VALUE(T621) * IF($E$2="Deployment",deployment_raw[[#This Row],[Column5]],1),0)), 0),"")</f>
        <v/>
      </c>
      <c r="M621" s="125" t="str">
        <f>IF(ISNUMBER(deployment_raw[[#This Row],[Column9]]),IF(OR(deployment_raw[[#This Row],[Column5]] &lt;&gt; 0,$E$2&lt;&gt;"Deployment"), MAX(K621, Q621, S621, ($M$2 * IF($E$2="Deployment",deployment_raw[[#This Row],[Column5]],1)),IF(U621&lt;&gt;"",VALUE(U621) * IF($E$2="Deployment",deployment_raw[[#This Row],[Column5]],1),0)), 0),"")</f>
        <v/>
      </c>
      <c r="N621" s="166" t="str">
        <f>IF(ISNUMBER(deployment_raw[[#This Row],[Column14]]), deployment_raw[[#This Row],[Column14]]/IF(OR($E$2="Deployment",deployment_raw[[#This Row],[Column5]]=0),1,deployment_raw[[#This Row],[Column5]]),"")</f>
        <v/>
      </c>
      <c r="O621" s="167" t="str">
        <f>IF(ISNUMBER(deployment_raw[[#This Row],[Column15]]), deployment_raw[[#This Row],[Column15]]/IF(OR($E$2="Deployment",deployment_raw[[#This Row],[Column5]]=0),1,deployment_raw[[#This Row],[Column5]])/1048576,"")</f>
        <v/>
      </c>
      <c r="P621" s="168" t="str">
        <f>IF(ISNUMBER(deployment_raw[[#This Row],[Column12]]), (MIN(IF(N621&lt;&gt;"",N621,9999999999999)*1.1,deployment_raw[[#This Row],[Column12]] * IF($E$2="Deployment",deployment_raw[[#This Row],[Column5]],1))*(1+$P$2)),"")</f>
        <v/>
      </c>
      <c r="Q621" s="167" t="str">
        <f>IF(ISNUMBER(deployment_raw[[#This Row],[Column13]]), (MIN(IF(O621&lt;&gt;"",O621,9999999999999)*1.1,deployment_raw[[#This Row],[Column13]] * IF($E$2="Deployment",deployment_raw[[#This Row],[Column5]],1)*(1+$Q$2)/1048576)),"")</f>
        <v/>
      </c>
      <c r="R621" s="169" t="str">
        <f>IF(ISNUMBER(deployment_raw[[#This Row],[Column8]]), (H621  * IF(N621&lt;&gt;0,$R$2,1)),"")</f>
        <v/>
      </c>
      <c r="S621" s="170" t="str">
        <f>IF(ISNUMBER(deployment_raw[[#This Row],[Column8]]), (I621  * IF(O621&lt;&gt;0,$S$2,1)),"")</f>
        <v/>
      </c>
      <c r="T621" s="202" t="str">
        <f>IF(AND(A621&lt;&gt;"",_xlfn.IFNA(MATCH(A621,'dynamic resource application '!$A$2:$A$100, 0),0)&lt;&gt;0), H621/(IF($E$2="Deployment",E621,1)),"")</f>
        <v/>
      </c>
      <c r="U621" s="211" t="str">
        <f>IF(AND(A621&lt;&gt;"",_xlfn.IFNA(MATCH(A621,'dynamic resource application '!$A$2:$A$100, 0),0)&lt;&gt;0), I621/(IF($E$2="Deployment",E621,1)),"")</f>
        <v/>
      </c>
    </row>
    <row r="622" spans="1:21" ht="15.75" customHeight="1" x14ac:dyDescent="0.25">
      <c r="A622" s="35" t="str">
        <f>IF(ISNONTEXT(deployment_raw[[#This Row],[Column1]]), "", deployment_raw[[#This Row],[Column1]])</f>
        <v/>
      </c>
      <c r="B622" s="36" t="str">
        <f>IF(ISNONTEXT(deployment_raw[[#This Row],[Column2]]), "", deployment_raw[[#This Row],[Column2]])</f>
        <v/>
      </c>
      <c r="C622" s="36" t="str">
        <f>IF(ISNONTEXT(deployment_raw[[#This Row],[Column3]]), "", deployment_raw[[#This Row],[Column3]])</f>
        <v/>
      </c>
      <c r="D622" s="36" t="str">
        <f>IF(ISNONTEXT(deployment_raw[[#This Row],[Column4]]), "", deployment_raw[[#This Row],[Column4]])</f>
        <v/>
      </c>
      <c r="E622" s="37" t="str">
        <f>IF(ISNUMBER(deployment_raw[[#This Row],[Column5]]), deployment_raw[[#This Row],[Column5]],"")</f>
        <v/>
      </c>
      <c r="F622" s="94" t="str">
        <f>IF(ISNUMBER(deployment_raw[[#This Row],[Column6]]), (deployment_raw[[#This Row],[Column6]] * IF($E$2="Deployment",deployment_raw[[#This Row],[Column5]],1)),"")</f>
        <v/>
      </c>
      <c r="G622" s="95" t="str">
        <f>IF(ISNUMBER(deployment_raw[[#This Row],[Column7]]), (deployment_raw[[#This Row],[Column7]] * IF($E$2="Deployment",deployment_raw[[#This Row],[Column5]],1))/1048576,"")</f>
        <v/>
      </c>
      <c r="H622" s="95" t="str">
        <f>IF(ISNUMBER(deployment_raw[[#This Row],[Column8]]), (deployment_raw[[#This Row],[Column8]]  * IF($E$2="Deployment",deployment_raw[[#This Row],[Column5]],1)),"")</f>
        <v/>
      </c>
      <c r="I622" s="96" t="str">
        <f>IF(ISNUMBER(deployment_raw[[#This Row],[Column9]]), (deployment_raw[[#This Row],[Column9]] * IF($E$2="Deployment",deployment_raw[[#This Row],[Column5]],1))/1048576,"")</f>
        <v/>
      </c>
      <c r="J622" s="122" t="str">
        <f>IF(ISNUMBER(deployment_raw[[#This Row],[Column10]]), (MIN(IF(N622&lt;&gt;"",N622,9999999999999)*1.1,deployment_raw[[#This Row],[Column10]] * IF($E$2="Deployment",deployment_raw[[#This Row],[Column5]],1))),"")</f>
        <v/>
      </c>
      <c r="K622" s="123" t="str">
        <f>IF(ISNUMBER(deployment_raw[[#This Row],[Column11]]), (MIN(IF(O622&lt;&gt;"",O622,9999999999999)*1.1,deployment_raw[[#This Row],[Column11]] * IF($E$2="Deployment",deployment_raw[[#This Row],[Column5]],1)/1048576)),"")</f>
        <v/>
      </c>
      <c r="L622" s="124" t="str">
        <f>IF(ISNUMBER(deployment_raw[[#This Row],[Column8]]),IF(OR(deployment_raw[[#This Row],[Column5]] &lt;&gt; 0,$E$2 &lt;&gt; "Deployment"), MAX(J622, P622, R622, ($L$2 * IF($E$2="Deployment",deployment_raw[[#This Row],[Column5]],1)),IF(T622&lt;&gt;"",VALUE(T622) * IF($E$2="Deployment",deployment_raw[[#This Row],[Column5]],1),0)), 0),"")</f>
        <v/>
      </c>
      <c r="M622" s="125" t="str">
        <f>IF(ISNUMBER(deployment_raw[[#This Row],[Column9]]),IF(OR(deployment_raw[[#This Row],[Column5]] &lt;&gt; 0,$E$2&lt;&gt;"Deployment"), MAX(K622, Q622, S622, ($M$2 * IF($E$2="Deployment",deployment_raw[[#This Row],[Column5]],1)),IF(U622&lt;&gt;"",VALUE(U622) * IF($E$2="Deployment",deployment_raw[[#This Row],[Column5]],1),0)), 0),"")</f>
        <v/>
      </c>
      <c r="N622" s="166" t="str">
        <f>IF(ISNUMBER(deployment_raw[[#This Row],[Column14]]), deployment_raw[[#This Row],[Column14]]/IF(OR($E$2="Deployment",deployment_raw[[#This Row],[Column5]]=0),1,deployment_raw[[#This Row],[Column5]]),"")</f>
        <v/>
      </c>
      <c r="O622" s="167" t="str">
        <f>IF(ISNUMBER(deployment_raw[[#This Row],[Column15]]), deployment_raw[[#This Row],[Column15]]/IF(OR($E$2="Deployment",deployment_raw[[#This Row],[Column5]]=0),1,deployment_raw[[#This Row],[Column5]])/1048576,"")</f>
        <v/>
      </c>
      <c r="P622" s="168" t="str">
        <f>IF(ISNUMBER(deployment_raw[[#This Row],[Column12]]), (MIN(IF(N622&lt;&gt;"",N622,9999999999999)*1.1,deployment_raw[[#This Row],[Column12]] * IF($E$2="Deployment",deployment_raw[[#This Row],[Column5]],1))*(1+$P$2)),"")</f>
        <v/>
      </c>
      <c r="Q622" s="167" t="str">
        <f>IF(ISNUMBER(deployment_raw[[#This Row],[Column13]]), (MIN(IF(O622&lt;&gt;"",O622,9999999999999)*1.1,deployment_raw[[#This Row],[Column13]] * IF($E$2="Deployment",deployment_raw[[#This Row],[Column5]],1)*(1+$Q$2)/1048576)),"")</f>
        <v/>
      </c>
      <c r="R622" s="169" t="str">
        <f>IF(ISNUMBER(deployment_raw[[#This Row],[Column8]]), (H622  * IF(N622&lt;&gt;0,$R$2,1)),"")</f>
        <v/>
      </c>
      <c r="S622" s="170" t="str">
        <f>IF(ISNUMBER(deployment_raw[[#This Row],[Column8]]), (I622  * IF(O622&lt;&gt;0,$S$2,1)),"")</f>
        <v/>
      </c>
      <c r="T622" s="202" t="str">
        <f>IF(AND(A622&lt;&gt;"",_xlfn.IFNA(MATCH(A622,'dynamic resource application '!$A$2:$A$100, 0),0)&lt;&gt;0), H622/(IF($E$2="Deployment",E622,1)),"")</f>
        <v/>
      </c>
      <c r="U622" s="211" t="str">
        <f>IF(AND(A622&lt;&gt;"",_xlfn.IFNA(MATCH(A622,'dynamic resource application '!$A$2:$A$100, 0),0)&lt;&gt;0), I622/(IF($E$2="Deployment",E622,1)),"")</f>
        <v/>
      </c>
    </row>
    <row r="623" spans="1:21" ht="15.75" customHeight="1" x14ac:dyDescent="0.25">
      <c r="A623" s="35" t="str">
        <f>IF(ISNONTEXT(deployment_raw[[#This Row],[Column1]]), "", deployment_raw[[#This Row],[Column1]])</f>
        <v/>
      </c>
      <c r="B623" s="36" t="str">
        <f>IF(ISNONTEXT(deployment_raw[[#This Row],[Column2]]), "", deployment_raw[[#This Row],[Column2]])</f>
        <v/>
      </c>
      <c r="C623" s="36" t="str">
        <f>IF(ISNONTEXT(deployment_raw[[#This Row],[Column3]]), "", deployment_raw[[#This Row],[Column3]])</f>
        <v/>
      </c>
      <c r="D623" s="36" t="str">
        <f>IF(ISNONTEXT(deployment_raw[[#This Row],[Column4]]), "", deployment_raw[[#This Row],[Column4]])</f>
        <v/>
      </c>
      <c r="E623" s="37" t="str">
        <f>IF(ISNUMBER(deployment_raw[[#This Row],[Column5]]), deployment_raw[[#This Row],[Column5]],"")</f>
        <v/>
      </c>
      <c r="F623" s="94" t="str">
        <f>IF(ISNUMBER(deployment_raw[[#This Row],[Column6]]), (deployment_raw[[#This Row],[Column6]] * IF($E$2="Deployment",deployment_raw[[#This Row],[Column5]],1)),"")</f>
        <v/>
      </c>
      <c r="G623" s="95" t="str">
        <f>IF(ISNUMBER(deployment_raw[[#This Row],[Column7]]), (deployment_raw[[#This Row],[Column7]] * IF($E$2="Deployment",deployment_raw[[#This Row],[Column5]],1))/1048576,"")</f>
        <v/>
      </c>
      <c r="H623" s="95" t="str">
        <f>IF(ISNUMBER(deployment_raw[[#This Row],[Column8]]), (deployment_raw[[#This Row],[Column8]]  * IF($E$2="Deployment",deployment_raw[[#This Row],[Column5]],1)),"")</f>
        <v/>
      </c>
      <c r="I623" s="96" t="str">
        <f>IF(ISNUMBER(deployment_raw[[#This Row],[Column9]]), (deployment_raw[[#This Row],[Column9]] * IF($E$2="Deployment",deployment_raw[[#This Row],[Column5]],1))/1048576,"")</f>
        <v/>
      </c>
      <c r="J623" s="122" t="str">
        <f>IF(ISNUMBER(deployment_raw[[#This Row],[Column10]]), (MIN(IF(N623&lt;&gt;"",N623,9999999999999)*1.1,deployment_raw[[#This Row],[Column10]] * IF($E$2="Deployment",deployment_raw[[#This Row],[Column5]],1))),"")</f>
        <v/>
      </c>
      <c r="K623" s="123" t="str">
        <f>IF(ISNUMBER(deployment_raw[[#This Row],[Column11]]), (MIN(IF(O623&lt;&gt;"",O623,9999999999999)*1.1,deployment_raw[[#This Row],[Column11]] * IF($E$2="Deployment",deployment_raw[[#This Row],[Column5]],1)/1048576)),"")</f>
        <v/>
      </c>
      <c r="L623" s="124" t="str">
        <f>IF(ISNUMBER(deployment_raw[[#This Row],[Column8]]),IF(OR(deployment_raw[[#This Row],[Column5]] &lt;&gt; 0,$E$2 &lt;&gt; "Deployment"), MAX(J623, P623, R623, ($L$2 * IF($E$2="Deployment",deployment_raw[[#This Row],[Column5]],1)),IF(T623&lt;&gt;"",VALUE(T623) * IF($E$2="Deployment",deployment_raw[[#This Row],[Column5]],1),0)), 0),"")</f>
        <v/>
      </c>
      <c r="M623" s="125" t="str">
        <f>IF(ISNUMBER(deployment_raw[[#This Row],[Column9]]),IF(OR(deployment_raw[[#This Row],[Column5]] &lt;&gt; 0,$E$2&lt;&gt;"Deployment"), MAX(K623, Q623, S623, ($M$2 * IF($E$2="Deployment",deployment_raw[[#This Row],[Column5]],1)),IF(U623&lt;&gt;"",VALUE(U623) * IF($E$2="Deployment",deployment_raw[[#This Row],[Column5]],1),0)), 0),"")</f>
        <v/>
      </c>
      <c r="N623" s="166" t="str">
        <f>IF(ISNUMBER(deployment_raw[[#This Row],[Column14]]), deployment_raw[[#This Row],[Column14]]/IF(OR($E$2="Deployment",deployment_raw[[#This Row],[Column5]]=0),1,deployment_raw[[#This Row],[Column5]]),"")</f>
        <v/>
      </c>
      <c r="O623" s="167" t="str">
        <f>IF(ISNUMBER(deployment_raw[[#This Row],[Column15]]), deployment_raw[[#This Row],[Column15]]/IF(OR($E$2="Deployment",deployment_raw[[#This Row],[Column5]]=0),1,deployment_raw[[#This Row],[Column5]])/1048576,"")</f>
        <v/>
      </c>
      <c r="P623" s="168" t="str">
        <f>IF(ISNUMBER(deployment_raw[[#This Row],[Column12]]), (MIN(IF(N623&lt;&gt;"",N623,9999999999999)*1.1,deployment_raw[[#This Row],[Column12]] * IF($E$2="Deployment",deployment_raw[[#This Row],[Column5]],1))*(1+$P$2)),"")</f>
        <v/>
      </c>
      <c r="Q623" s="167" t="str">
        <f>IF(ISNUMBER(deployment_raw[[#This Row],[Column13]]), (MIN(IF(O623&lt;&gt;"",O623,9999999999999)*1.1,deployment_raw[[#This Row],[Column13]] * IF($E$2="Deployment",deployment_raw[[#This Row],[Column5]],1)*(1+$Q$2)/1048576)),"")</f>
        <v/>
      </c>
      <c r="R623" s="169" t="str">
        <f>IF(ISNUMBER(deployment_raw[[#This Row],[Column8]]), (H623  * IF(N623&lt;&gt;0,$R$2,1)),"")</f>
        <v/>
      </c>
      <c r="S623" s="170" t="str">
        <f>IF(ISNUMBER(deployment_raw[[#This Row],[Column8]]), (I623  * IF(O623&lt;&gt;0,$S$2,1)),"")</f>
        <v/>
      </c>
      <c r="T623" s="202" t="str">
        <f>IF(AND(A623&lt;&gt;"",_xlfn.IFNA(MATCH(A623,'dynamic resource application '!$A$2:$A$100, 0),0)&lt;&gt;0), H623/(IF($E$2="Deployment",E623,1)),"")</f>
        <v/>
      </c>
      <c r="U623" s="211" t="str">
        <f>IF(AND(A623&lt;&gt;"",_xlfn.IFNA(MATCH(A623,'dynamic resource application '!$A$2:$A$100, 0),0)&lt;&gt;0), I623/(IF($E$2="Deployment",E623,1)),"")</f>
        <v/>
      </c>
    </row>
    <row r="624" spans="1:21" ht="15.75" customHeight="1" x14ac:dyDescent="0.25">
      <c r="A624" s="35" t="str">
        <f>IF(ISNONTEXT(deployment_raw[[#This Row],[Column1]]), "", deployment_raw[[#This Row],[Column1]])</f>
        <v/>
      </c>
      <c r="B624" s="36" t="str">
        <f>IF(ISNONTEXT(deployment_raw[[#This Row],[Column2]]), "", deployment_raw[[#This Row],[Column2]])</f>
        <v/>
      </c>
      <c r="C624" s="36" t="str">
        <f>IF(ISNONTEXT(deployment_raw[[#This Row],[Column3]]), "", deployment_raw[[#This Row],[Column3]])</f>
        <v/>
      </c>
      <c r="D624" s="36" t="str">
        <f>IF(ISNONTEXT(deployment_raw[[#This Row],[Column4]]), "", deployment_raw[[#This Row],[Column4]])</f>
        <v/>
      </c>
      <c r="E624" s="37" t="str">
        <f>IF(ISNUMBER(deployment_raw[[#This Row],[Column5]]), deployment_raw[[#This Row],[Column5]],"")</f>
        <v/>
      </c>
      <c r="F624" s="94" t="str">
        <f>IF(ISNUMBER(deployment_raw[[#This Row],[Column6]]), (deployment_raw[[#This Row],[Column6]] * IF($E$2="Deployment",deployment_raw[[#This Row],[Column5]],1)),"")</f>
        <v/>
      </c>
      <c r="G624" s="95" t="str">
        <f>IF(ISNUMBER(deployment_raw[[#This Row],[Column7]]), (deployment_raw[[#This Row],[Column7]] * IF($E$2="Deployment",deployment_raw[[#This Row],[Column5]],1))/1048576,"")</f>
        <v/>
      </c>
      <c r="H624" s="95" t="str">
        <f>IF(ISNUMBER(deployment_raw[[#This Row],[Column8]]), (deployment_raw[[#This Row],[Column8]]  * IF($E$2="Deployment",deployment_raw[[#This Row],[Column5]],1)),"")</f>
        <v/>
      </c>
      <c r="I624" s="96" t="str">
        <f>IF(ISNUMBER(deployment_raw[[#This Row],[Column9]]), (deployment_raw[[#This Row],[Column9]] * IF($E$2="Deployment",deployment_raw[[#This Row],[Column5]],1))/1048576,"")</f>
        <v/>
      </c>
      <c r="J624" s="122" t="str">
        <f>IF(ISNUMBER(deployment_raw[[#This Row],[Column10]]), (MIN(IF(N624&lt;&gt;"",N624,9999999999999)*1.1,deployment_raw[[#This Row],[Column10]] * IF($E$2="Deployment",deployment_raw[[#This Row],[Column5]],1))),"")</f>
        <v/>
      </c>
      <c r="K624" s="123" t="str">
        <f>IF(ISNUMBER(deployment_raw[[#This Row],[Column11]]), (MIN(IF(O624&lt;&gt;"",O624,9999999999999)*1.1,deployment_raw[[#This Row],[Column11]] * IF($E$2="Deployment",deployment_raw[[#This Row],[Column5]],1)/1048576)),"")</f>
        <v/>
      </c>
      <c r="L624" s="124" t="str">
        <f>IF(ISNUMBER(deployment_raw[[#This Row],[Column8]]),IF(OR(deployment_raw[[#This Row],[Column5]] &lt;&gt; 0,$E$2 &lt;&gt; "Deployment"), MAX(J624, P624, R624, ($L$2 * IF($E$2="Deployment",deployment_raw[[#This Row],[Column5]],1)),IF(T624&lt;&gt;"",VALUE(T624) * IF($E$2="Deployment",deployment_raw[[#This Row],[Column5]],1),0)), 0),"")</f>
        <v/>
      </c>
      <c r="M624" s="125" t="str">
        <f>IF(ISNUMBER(deployment_raw[[#This Row],[Column9]]),IF(OR(deployment_raw[[#This Row],[Column5]] &lt;&gt; 0,$E$2&lt;&gt;"Deployment"), MAX(K624, Q624, S624, ($M$2 * IF($E$2="Deployment",deployment_raw[[#This Row],[Column5]],1)),IF(U624&lt;&gt;"",VALUE(U624) * IF($E$2="Deployment",deployment_raw[[#This Row],[Column5]],1),0)), 0),"")</f>
        <v/>
      </c>
      <c r="N624" s="166" t="str">
        <f>IF(ISNUMBER(deployment_raw[[#This Row],[Column14]]), deployment_raw[[#This Row],[Column14]]/IF(OR($E$2="Deployment",deployment_raw[[#This Row],[Column5]]=0),1,deployment_raw[[#This Row],[Column5]]),"")</f>
        <v/>
      </c>
      <c r="O624" s="167" t="str">
        <f>IF(ISNUMBER(deployment_raw[[#This Row],[Column15]]), deployment_raw[[#This Row],[Column15]]/IF(OR($E$2="Deployment",deployment_raw[[#This Row],[Column5]]=0),1,deployment_raw[[#This Row],[Column5]])/1048576,"")</f>
        <v/>
      </c>
      <c r="P624" s="168" t="str">
        <f>IF(ISNUMBER(deployment_raw[[#This Row],[Column12]]), (MIN(IF(N624&lt;&gt;"",N624,9999999999999)*1.1,deployment_raw[[#This Row],[Column12]] * IF($E$2="Deployment",deployment_raw[[#This Row],[Column5]],1))*(1+$P$2)),"")</f>
        <v/>
      </c>
      <c r="Q624" s="167" t="str">
        <f>IF(ISNUMBER(deployment_raw[[#This Row],[Column13]]), (MIN(IF(O624&lt;&gt;"",O624,9999999999999)*1.1,deployment_raw[[#This Row],[Column13]] * IF($E$2="Deployment",deployment_raw[[#This Row],[Column5]],1)*(1+$Q$2)/1048576)),"")</f>
        <v/>
      </c>
      <c r="R624" s="169" t="str">
        <f>IF(ISNUMBER(deployment_raw[[#This Row],[Column8]]), (H624  * IF(N624&lt;&gt;0,$R$2,1)),"")</f>
        <v/>
      </c>
      <c r="S624" s="170" t="str">
        <f>IF(ISNUMBER(deployment_raw[[#This Row],[Column8]]), (I624  * IF(O624&lt;&gt;0,$S$2,1)),"")</f>
        <v/>
      </c>
      <c r="T624" s="202" t="str">
        <f>IF(AND(A624&lt;&gt;"",_xlfn.IFNA(MATCH(A624,'dynamic resource application '!$A$2:$A$100, 0),0)&lt;&gt;0), H624/(IF($E$2="Deployment",E624,1)),"")</f>
        <v/>
      </c>
      <c r="U624" s="211" t="str">
        <f>IF(AND(A624&lt;&gt;"",_xlfn.IFNA(MATCH(A624,'dynamic resource application '!$A$2:$A$100, 0),0)&lt;&gt;0), I624/(IF($E$2="Deployment",E624,1)),"")</f>
        <v/>
      </c>
    </row>
    <row r="625" spans="1:21" ht="15.75" customHeight="1" x14ac:dyDescent="0.25">
      <c r="A625" s="35" t="str">
        <f>IF(ISNONTEXT(deployment_raw[[#This Row],[Column1]]), "", deployment_raw[[#This Row],[Column1]])</f>
        <v/>
      </c>
      <c r="B625" s="36" t="str">
        <f>IF(ISNONTEXT(deployment_raw[[#This Row],[Column2]]), "", deployment_raw[[#This Row],[Column2]])</f>
        <v/>
      </c>
      <c r="C625" s="36" t="str">
        <f>IF(ISNONTEXT(deployment_raw[[#This Row],[Column3]]), "", deployment_raw[[#This Row],[Column3]])</f>
        <v/>
      </c>
      <c r="D625" s="36" t="str">
        <f>IF(ISNONTEXT(deployment_raw[[#This Row],[Column4]]), "", deployment_raw[[#This Row],[Column4]])</f>
        <v/>
      </c>
      <c r="E625" s="37" t="str">
        <f>IF(ISNUMBER(deployment_raw[[#This Row],[Column5]]), deployment_raw[[#This Row],[Column5]],"")</f>
        <v/>
      </c>
      <c r="F625" s="94" t="str">
        <f>IF(ISNUMBER(deployment_raw[[#This Row],[Column6]]), (deployment_raw[[#This Row],[Column6]] * IF($E$2="Deployment",deployment_raw[[#This Row],[Column5]],1)),"")</f>
        <v/>
      </c>
      <c r="G625" s="95" t="str">
        <f>IF(ISNUMBER(deployment_raw[[#This Row],[Column7]]), (deployment_raw[[#This Row],[Column7]] * IF($E$2="Deployment",deployment_raw[[#This Row],[Column5]],1))/1048576,"")</f>
        <v/>
      </c>
      <c r="H625" s="95" t="str">
        <f>IF(ISNUMBER(deployment_raw[[#This Row],[Column8]]), (deployment_raw[[#This Row],[Column8]]  * IF($E$2="Deployment",deployment_raw[[#This Row],[Column5]],1)),"")</f>
        <v/>
      </c>
      <c r="I625" s="96" t="str">
        <f>IF(ISNUMBER(deployment_raw[[#This Row],[Column9]]), (deployment_raw[[#This Row],[Column9]] * IF($E$2="Deployment",deployment_raw[[#This Row],[Column5]],1))/1048576,"")</f>
        <v/>
      </c>
      <c r="J625" s="122" t="str">
        <f>IF(ISNUMBER(deployment_raw[[#This Row],[Column10]]), (MIN(IF(N625&lt;&gt;"",N625,9999999999999)*1.1,deployment_raw[[#This Row],[Column10]] * IF($E$2="Deployment",deployment_raw[[#This Row],[Column5]],1))),"")</f>
        <v/>
      </c>
      <c r="K625" s="123" t="str">
        <f>IF(ISNUMBER(deployment_raw[[#This Row],[Column11]]), (MIN(IF(O625&lt;&gt;"",O625,9999999999999)*1.1,deployment_raw[[#This Row],[Column11]] * IF($E$2="Deployment",deployment_raw[[#This Row],[Column5]],1)/1048576)),"")</f>
        <v/>
      </c>
      <c r="L625" s="124" t="str">
        <f>IF(ISNUMBER(deployment_raw[[#This Row],[Column8]]),IF(OR(deployment_raw[[#This Row],[Column5]] &lt;&gt; 0,$E$2 &lt;&gt; "Deployment"), MAX(J625, P625, R625, ($L$2 * IF($E$2="Deployment",deployment_raw[[#This Row],[Column5]],1)),IF(T625&lt;&gt;"",VALUE(T625) * IF($E$2="Deployment",deployment_raw[[#This Row],[Column5]],1),0)), 0),"")</f>
        <v/>
      </c>
      <c r="M625" s="125" t="str">
        <f>IF(ISNUMBER(deployment_raw[[#This Row],[Column9]]),IF(OR(deployment_raw[[#This Row],[Column5]] &lt;&gt; 0,$E$2&lt;&gt;"Deployment"), MAX(K625, Q625, S625, ($M$2 * IF($E$2="Deployment",deployment_raw[[#This Row],[Column5]],1)),IF(U625&lt;&gt;"",VALUE(U625) * IF($E$2="Deployment",deployment_raw[[#This Row],[Column5]],1),0)), 0),"")</f>
        <v/>
      </c>
      <c r="N625" s="166" t="str">
        <f>IF(ISNUMBER(deployment_raw[[#This Row],[Column14]]), deployment_raw[[#This Row],[Column14]]/IF(OR($E$2="Deployment",deployment_raw[[#This Row],[Column5]]=0),1,deployment_raw[[#This Row],[Column5]]),"")</f>
        <v/>
      </c>
      <c r="O625" s="167" t="str">
        <f>IF(ISNUMBER(deployment_raw[[#This Row],[Column15]]), deployment_raw[[#This Row],[Column15]]/IF(OR($E$2="Deployment",deployment_raw[[#This Row],[Column5]]=0),1,deployment_raw[[#This Row],[Column5]])/1048576,"")</f>
        <v/>
      </c>
      <c r="P625" s="168" t="str">
        <f>IF(ISNUMBER(deployment_raw[[#This Row],[Column12]]), (MIN(IF(N625&lt;&gt;"",N625,9999999999999)*1.1,deployment_raw[[#This Row],[Column12]] * IF($E$2="Deployment",deployment_raw[[#This Row],[Column5]],1))*(1+$P$2)),"")</f>
        <v/>
      </c>
      <c r="Q625" s="167" t="str">
        <f>IF(ISNUMBER(deployment_raw[[#This Row],[Column13]]), (MIN(IF(O625&lt;&gt;"",O625,9999999999999)*1.1,deployment_raw[[#This Row],[Column13]] * IF($E$2="Deployment",deployment_raw[[#This Row],[Column5]],1)*(1+$Q$2)/1048576)),"")</f>
        <v/>
      </c>
      <c r="R625" s="169" t="str">
        <f>IF(ISNUMBER(deployment_raw[[#This Row],[Column8]]), (H625  * IF(N625&lt;&gt;0,$R$2,1)),"")</f>
        <v/>
      </c>
      <c r="S625" s="170" t="str">
        <f>IF(ISNUMBER(deployment_raw[[#This Row],[Column8]]), (I625  * IF(O625&lt;&gt;0,$S$2,1)),"")</f>
        <v/>
      </c>
      <c r="T625" s="202" t="str">
        <f>IF(AND(A625&lt;&gt;"",_xlfn.IFNA(MATCH(A625,'dynamic resource application '!$A$2:$A$100, 0),0)&lt;&gt;0), H625/(IF($E$2="Deployment",E625,1)),"")</f>
        <v/>
      </c>
      <c r="U625" s="211" t="str">
        <f>IF(AND(A625&lt;&gt;"",_xlfn.IFNA(MATCH(A625,'dynamic resource application '!$A$2:$A$100, 0),0)&lt;&gt;0), I625/(IF($E$2="Deployment",E625,1)),"")</f>
        <v/>
      </c>
    </row>
    <row r="626" spans="1:21" ht="15.75" customHeight="1" x14ac:dyDescent="0.25">
      <c r="A626" s="35" t="str">
        <f>IF(ISNONTEXT(deployment_raw[[#This Row],[Column1]]), "", deployment_raw[[#This Row],[Column1]])</f>
        <v/>
      </c>
      <c r="B626" s="36" t="str">
        <f>IF(ISNONTEXT(deployment_raw[[#This Row],[Column2]]), "", deployment_raw[[#This Row],[Column2]])</f>
        <v/>
      </c>
      <c r="C626" s="36" t="str">
        <f>IF(ISNONTEXT(deployment_raw[[#This Row],[Column3]]), "", deployment_raw[[#This Row],[Column3]])</f>
        <v/>
      </c>
      <c r="D626" s="36" t="str">
        <f>IF(ISNONTEXT(deployment_raw[[#This Row],[Column4]]), "", deployment_raw[[#This Row],[Column4]])</f>
        <v/>
      </c>
      <c r="E626" s="37" t="str">
        <f>IF(ISNUMBER(deployment_raw[[#This Row],[Column5]]), deployment_raw[[#This Row],[Column5]],"")</f>
        <v/>
      </c>
      <c r="F626" s="94" t="str">
        <f>IF(ISNUMBER(deployment_raw[[#This Row],[Column6]]), (deployment_raw[[#This Row],[Column6]] * IF($E$2="Deployment",deployment_raw[[#This Row],[Column5]],1)),"")</f>
        <v/>
      </c>
      <c r="G626" s="95" t="str">
        <f>IF(ISNUMBER(deployment_raw[[#This Row],[Column7]]), (deployment_raw[[#This Row],[Column7]] * IF($E$2="Deployment",deployment_raw[[#This Row],[Column5]],1))/1048576,"")</f>
        <v/>
      </c>
      <c r="H626" s="95" t="str">
        <f>IF(ISNUMBER(deployment_raw[[#This Row],[Column8]]), (deployment_raw[[#This Row],[Column8]]  * IF($E$2="Deployment",deployment_raw[[#This Row],[Column5]],1)),"")</f>
        <v/>
      </c>
      <c r="I626" s="96" t="str">
        <f>IF(ISNUMBER(deployment_raw[[#This Row],[Column9]]), (deployment_raw[[#This Row],[Column9]] * IF($E$2="Deployment",deployment_raw[[#This Row],[Column5]],1))/1048576,"")</f>
        <v/>
      </c>
      <c r="J626" s="122" t="str">
        <f>IF(ISNUMBER(deployment_raw[[#This Row],[Column10]]), (MIN(IF(N626&lt;&gt;"",N626,9999999999999)*1.1,deployment_raw[[#This Row],[Column10]] * IF($E$2="Deployment",deployment_raw[[#This Row],[Column5]],1))),"")</f>
        <v/>
      </c>
      <c r="K626" s="123" t="str">
        <f>IF(ISNUMBER(deployment_raw[[#This Row],[Column11]]), (MIN(IF(O626&lt;&gt;"",O626,9999999999999)*1.1,deployment_raw[[#This Row],[Column11]] * IF($E$2="Deployment",deployment_raw[[#This Row],[Column5]],1)/1048576)),"")</f>
        <v/>
      </c>
      <c r="L626" s="124" t="str">
        <f>IF(ISNUMBER(deployment_raw[[#This Row],[Column8]]),IF(OR(deployment_raw[[#This Row],[Column5]] &lt;&gt; 0,$E$2 &lt;&gt; "Deployment"), MAX(J626, P626, R626, ($L$2 * IF($E$2="Deployment",deployment_raw[[#This Row],[Column5]],1)),IF(T626&lt;&gt;"",VALUE(T626) * IF($E$2="Deployment",deployment_raw[[#This Row],[Column5]],1),0)), 0),"")</f>
        <v/>
      </c>
      <c r="M626" s="125" t="str">
        <f>IF(ISNUMBER(deployment_raw[[#This Row],[Column9]]),IF(OR(deployment_raw[[#This Row],[Column5]] &lt;&gt; 0,$E$2&lt;&gt;"Deployment"), MAX(K626, Q626, S626, ($M$2 * IF($E$2="Deployment",deployment_raw[[#This Row],[Column5]],1)),IF(U626&lt;&gt;"",VALUE(U626) * IF($E$2="Deployment",deployment_raw[[#This Row],[Column5]],1),0)), 0),"")</f>
        <v/>
      </c>
      <c r="N626" s="166" t="str">
        <f>IF(ISNUMBER(deployment_raw[[#This Row],[Column14]]), deployment_raw[[#This Row],[Column14]]/IF(OR($E$2="Deployment",deployment_raw[[#This Row],[Column5]]=0),1,deployment_raw[[#This Row],[Column5]]),"")</f>
        <v/>
      </c>
      <c r="O626" s="167" t="str">
        <f>IF(ISNUMBER(deployment_raw[[#This Row],[Column15]]), deployment_raw[[#This Row],[Column15]]/IF(OR($E$2="Deployment",deployment_raw[[#This Row],[Column5]]=0),1,deployment_raw[[#This Row],[Column5]])/1048576,"")</f>
        <v/>
      </c>
      <c r="P626" s="168" t="str">
        <f>IF(ISNUMBER(deployment_raw[[#This Row],[Column12]]), (MIN(IF(N626&lt;&gt;"",N626,9999999999999)*1.1,deployment_raw[[#This Row],[Column12]] * IF($E$2="Deployment",deployment_raw[[#This Row],[Column5]],1))*(1+$P$2)),"")</f>
        <v/>
      </c>
      <c r="Q626" s="167" t="str">
        <f>IF(ISNUMBER(deployment_raw[[#This Row],[Column13]]), (MIN(IF(O626&lt;&gt;"",O626,9999999999999)*1.1,deployment_raw[[#This Row],[Column13]] * IF($E$2="Deployment",deployment_raw[[#This Row],[Column5]],1)*(1+$Q$2)/1048576)),"")</f>
        <v/>
      </c>
      <c r="R626" s="169" t="str">
        <f>IF(ISNUMBER(deployment_raw[[#This Row],[Column8]]), (H626  * IF(N626&lt;&gt;0,$R$2,1)),"")</f>
        <v/>
      </c>
      <c r="S626" s="170" t="str">
        <f>IF(ISNUMBER(deployment_raw[[#This Row],[Column8]]), (I626  * IF(O626&lt;&gt;0,$S$2,1)),"")</f>
        <v/>
      </c>
      <c r="T626" s="202" t="str">
        <f>IF(AND(A626&lt;&gt;"",_xlfn.IFNA(MATCH(A626,'dynamic resource application '!$A$2:$A$100, 0),0)&lt;&gt;0), H626/(IF($E$2="Deployment",E626,1)),"")</f>
        <v/>
      </c>
      <c r="U626" s="211" t="str">
        <f>IF(AND(A626&lt;&gt;"",_xlfn.IFNA(MATCH(A626,'dynamic resource application '!$A$2:$A$100, 0),0)&lt;&gt;0), I626/(IF($E$2="Deployment",E626,1)),"")</f>
        <v/>
      </c>
    </row>
    <row r="627" spans="1:21" ht="15.75" customHeight="1" x14ac:dyDescent="0.25">
      <c r="A627" s="35" t="str">
        <f>IF(ISNONTEXT(deployment_raw[[#This Row],[Column1]]), "", deployment_raw[[#This Row],[Column1]])</f>
        <v/>
      </c>
      <c r="B627" s="36" t="str">
        <f>IF(ISNONTEXT(deployment_raw[[#This Row],[Column2]]), "", deployment_raw[[#This Row],[Column2]])</f>
        <v/>
      </c>
      <c r="C627" s="36" t="str">
        <f>IF(ISNONTEXT(deployment_raw[[#This Row],[Column3]]), "", deployment_raw[[#This Row],[Column3]])</f>
        <v/>
      </c>
      <c r="D627" s="36" t="str">
        <f>IF(ISNONTEXT(deployment_raw[[#This Row],[Column4]]), "", deployment_raw[[#This Row],[Column4]])</f>
        <v/>
      </c>
      <c r="E627" s="37" t="str">
        <f>IF(ISNUMBER(deployment_raw[[#This Row],[Column5]]), deployment_raw[[#This Row],[Column5]],"")</f>
        <v/>
      </c>
      <c r="F627" s="94" t="str">
        <f>IF(ISNUMBER(deployment_raw[[#This Row],[Column6]]), (deployment_raw[[#This Row],[Column6]] * IF($E$2="Deployment",deployment_raw[[#This Row],[Column5]],1)),"")</f>
        <v/>
      </c>
      <c r="G627" s="95" t="str">
        <f>IF(ISNUMBER(deployment_raw[[#This Row],[Column7]]), (deployment_raw[[#This Row],[Column7]] * IF($E$2="Deployment",deployment_raw[[#This Row],[Column5]],1))/1048576,"")</f>
        <v/>
      </c>
      <c r="H627" s="95" t="str">
        <f>IF(ISNUMBER(deployment_raw[[#This Row],[Column8]]), (deployment_raw[[#This Row],[Column8]]  * IF($E$2="Deployment",deployment_raw[[#This Row],[Column5]],1)),"")</f>
        <v/>
      </c>
      <c r="I627" s="96" t="str">
        <f>IF(ISNUMBER(deployment_raw[[#This Row],[Column9]]), (deployment_raw[[#This Row],[Column9]] * IF($E$2="Deployment",deployment_raw[[#This Row],[Column5]],1))/1048576,"")</f>
        <v/>
      </c>
      <c r="J627" s="122" t="str">
        <f>IF(ISNUMBER(deployment_raw[[#This Row],[Column10]]), (MIN(IF(N627&lt;&gt;"",N627,9999999999999)*1.1,deployment_raw[[#This Row],[Column10]] * IF($E$2="Deployment",deployment_raw[[#This Row],[Column5]],1))),"")</f>
        <v/>
      </c>
      <c r="K627" s="123" t="str">
        <f>IF(ISNUMBER(deployment_raw[[#This Row],[Column11]]), (MIN(IF(O627&lt;&gt;"",O627,9999999999999)*1.1,deployment_raw[[#This Row],[Column11]] * IF($E$2="Deployment",deployment_raw[[#This Row],[Column5]],1)/1048576)),"")</f>
        <v/>
      </c>
      <c r="L627" s="124" t="str">
        <f>IF(ISNUMBER(deployment_raw[[#This Row],[Column8]]),IF(OR(deployment_raw[[#This Row],[Column5]] &lt;&gt; 0,$E$2 &lt;&gt; "Deployment"), MAX(J627, P627, R627, ($L$2 * IF($E$2="Deployment",deployment_raw[[#This Row],[Column5]],1)),IF(T627&lt;&gt;"",VALUE(T627) * IF($E$2="Deployment",deployment_raw[[#This Row],[Column5]],1),0)), 0),"")</f>
        <v/>
      </c>
      <c r="M627" s="125" t="str">
        <f>IF(ISNUMBER(deployment_raw[[#This Row],[Column9]]),IF(OR(deployment_raw[[#This Row],[Column5]] &lt;&gt; 0,$E$2&lt;&gt;"Deployment"), MAX(K627, Q627, S627, ($M$2 * IF($E$2="Deployment",deployment_raw[[#This Row],[Column5]],1)),IF(U627&lt;&gt;"",VALUE(U627) * IF($E$2="Deployment",deployment_raw[[#This Row],[Column5]],1),0)), 0),"")</f>
        <v/>
      </c>
      <c r="N627" s="166" t="str">
        <f>IF(ISNUMBER(deployment_raw[[#This Row],[Column14]]), deployment_raw[[#This Row],[Column14]]/IF(OR($E$2="Deployment",deployment_raw[[#This Row],[Column5]]=0),1,deployment_raw[[#This Row],[Column5]]),"")</f>
        <v/>
      </c>
      <c r="O627" s="167" t="str">
        <f>IF(ISNUMBER(deployment_raw[[#This Row],[Column15]]), deployment_raw[[#This Row],[Column15]]/IF(OR($E$2="Deployment",deployment_raw[[#This Row],[Column5]]=0),1,deployment_raw[[#This Row],[Column5]])/1048576,"")</f>
        <v/>
      </c>
      <c r="P627" s="168" t="str">
        <f>IF(ISNUMBER(deployment_raw[[#This Row],[Column12]]), (MIN(IF(N627&lt;&gt;"",N627,9999999999999)*1.1,deployment_raw[[#This Row],[Column12]] * IF($E$2="Deployment",deployment_raw[[#This Row],[Column5]],1))*(1+$P$2)),"")</f>
        <v/>
      </c>
      <c r="Q627" s="167" t="str">
        <f>IF(ISNUMBER(deployment_raw[[#This Row],[Column13]]), (MIN(IF(O627&lt;&gt;"",O627,9999999999999)*1.1,deployment_raw[[#This Row],[Column13]] * IF($E$2="Deployment",deployment_raw[[#This Row],[Column5]],1)*(1+$Q$2)/1048576)),"")</f>
        <v/>
      </c>
      <c r="R627" s="169" t="str">
        <f>IF(ISNUMBER(deployment_raw[[#This Row],[Column8]]), (H627  * IF(N627&lt;&gt;0,$R$2,1)),"")</f>
        <v/>
      </c>
      <c r="S627" s="170" t="str">
        <f>IF(ISNUMBER(deployment_raw[[#This Row],[Column8]]), (I627  * IF(O627&lt;&gt;0,$S$2,1)),"")</f>
        <v/>
      </c>
      <c r="T627" s="202" t="str">
        <f>IF(AND(A627&lt;&gt;"",_xlfn.IFNA(MATCH(A627,'dynamic resource application '!$A$2:$A$100, 0),0)&lt;&gt;0), H627/(IF($E$2="Deployment",E627,1)),"")</f>
        <v/>
      </c>
      <c r="U627" s="211" t="str">
        <f>IF(AND(A627&lt;&gt;"",_xlfn.IFNA(MATCH(A627,'dynamic resource application '!$A$2:$A$100, 0),0)&lt;&gt;0), I627/(IF($E$2="Deployment",E627,1)),"")</f>
        <v/>
      </c>
    </row>
    <row r="628" spans="1:21" ht="15.75" customHeight="1" x14ac:dyDescent="0.25">
      <c r="A628" s="35" t="str">
        <f>IF(ISNONTEXT(deployment_raw[[#This Row],[Column1]]), "", deployment_raw[[#This Row],[Column1]])</f>
        <v/>
      </c>
      <c r="B628" s="36" t="str">
        <f>IF(ISNONTEXT(deployment_raw[[#This Row],[Column2]]), "", deployment_raw[[#This Row],[Column2]])</f>
        <v/>
      </c>
      <c r="C628" s="36" t="str">
        <f>IF(ISNONTEXT(deployment_raw[[#This Row],[Column3]]), "", deployment_raw[[#This Row],[Column3]])</f>
        <v/>
      </c>
      <c r="D628" s="36" t="str">
        <f>IF(ISNONTEXT(deployment_raw[[#This Row],[Column4]]), "", deployment_raw[[#This Row],[Column4]])</f>
        <v/>
      </c>
      <c r="E628" s="37" t="str">
        <f>IF(ISNUMBER(deployment_raw[[#This Row],[Column5]]), deployment_raw[[#This Row],[Column5]],"")</f>
        <v/>
      </c>
      <c r="F628" s="94" t="str">
        <f>IF(ISNUMBER(deployment_raw[[#This Row],[Column6]]), (deployment_raw[[#This Row],[Column6]] * IF($E$2="Deployment",deployment_raw[[#This Row],[Column5]],1)),"")</f>
        <v/>
      </c>
      <c r="G628" s="95" t="str">
        <f>IF(ISNUMBER(deployment_raw[[#This Row],[Column7]]), (deployment_raw[[#This Row],[Column7]] * IF($E$2="Deployment",deployment_raw[[#This Row],[Column5]],1))/1048576,"")</f>
        <v/>
      </c>
      <c r="H628" s="95" t="str">
        <f>IF(ISNUMBER(deployment_raw[[#This Row],[Column8]]), (deployment_raw[[#This Row],[Column8]]  * IF($E$2="Deployment",deployment_raw[[#This Row],[Column5]],1)),"")</f>
        <v/>
      </c>
      <c r="I628" s="96" t="str">
        <f>IF(ISNUMBER(deployment_raw[[#This Row],[Column9]]), (deployment_raw[[#This Row],[Column9]] * IF($E$2="Deployment",deployment_raw[[#This Row],[Column5]],1))/1048576,"")</f>
        <v/>
      </c>
      <c r="J628" s="122" t="str">
        <f>IF(ISNUMBER(deployment_raw[[#This Row],[Column10]]), (MIN(IF(N628&lt;&gt;"",N628,9999999999999)*1.1,deployment_raw[[#This Row],[Column10]] * IF($E$2="Deployment",deployment_raw[[#This Row],[Column5]],1))),"")</f>
        <v/>
      </c>
      <c r="K628" s="123" t="str">
        <f>IF(ISNUMBER(deployment_raw[[#This Row],[Column11]]), (MIN(IF(O628&lt;&gt;"",O628,9999999999999)*1.1,deployment_raw[[#This Row],[Column11]] * IF($E$2="Deployment",deployment_raw[[#This Row],[Column5]],1)/1048576)),"")</f>
        <v/>
      </c>
      <c r="L628" s="124" t="str">
        <f>IF(ISNUMBER(deployment_raw[[#This Row],[Column8]]),IF(OR(deployment_raw[[#This Row],[Column5]] &lt;&gt; 0,$E$2 &lt;&gt; "Deployment"), MAX(J628, P628, R628, ($L$2 * IF($E$2="Deployment",deployment_raw[[#This Row],[Column5]],1)),IF(T628&lt;&gt;"",VALUE(T628) * IF($E$2="Deployment",deployment_raw[[#This Row],[Column5]],1),0)), 0),"")</f>
        <v/>
      </c>
      <c r="M628" s="125" t="str">
        <f>IF(ISNUMBER(deployment_raw[[#This Row],[Column9]]),IF(OR(deployment_raw[[#This Row],[Column5]] &lt;&gt; 0,$E$2&lt;&gt;"Deployment"), MAX(K628, Q628, S628, ($M$2 * IF($E$2="Deployment",deployment_raw[[#This Row],[Column5]],1)),IF(U628&lt;&gt;"",VALUE(U628) * IF($E$2="Deployment",deployment_raw[[#This Row],[Column5]],1),0)), 0),"")</f>
        <v/>
      </c>
      <c r="N628" s="166" t="str">
        <f>IF(ISNUMBER(deployment_raw[[#This Row],[Column14]]), deployment_raw[[#This Row],[Column14]]/IF(OR($E$2="Deployment",deployment_raw[[#This Row],[Column5]]=0),1,deployment_raw[[#This Row],[Column5]]),"")</f>
        <v/>
      </c>
      <c r="O628" s="167" t="str">
        <f>IF(ISNUMBER(deployment_raw[[#This Row],[Column15]]), deployment_raw[[#This Row],[Column15]]/IF(OR($E$2="Deployment",deployment_raw[[#This Row],[Column5]]=0),1,deployment_raw[[#This Row],[Column5]])/1048576,"")</f>
        <v/>
      </c>
      <c r="P628" s="168" t="str">
        <f>IF(ISNUMBER(deployment_raw[[#This Row],[Column12]]), (MIN(IF(N628&lt;&gt;"",N628,9999999999999)*1.1,deployment_raw[[#This Row],[Column12]] * IF($E$2="Deployment",deployment_raw[[#This Row],[Column5]],1))*(1+$P$2)),"")</f>
        <v/>
      </c>
      <c r="Q628" s="167" t="str">
        <f>IF(ISNUMBER(deployment_raw[[#This Row],[Column13]]), (MIN(IF(O628&lt;&gt;"",O628,9999999999999)*1.1,deployment_raw[[#This Row],[Column13]] * IF($E$2="Deployment",deployment_raw[[#This Row],[Column5]],1)*(1+$Q$2)/1048576)),"")</f>
        <v/>
      </c>
      <c r="R628" s="169" t="str">
        <f>IF(ISNUMBER(deployment_raw[[#This Row],[Column8]]), (H628  * IF(N628&lt;&gt;0,$R$2,1)),"")</f>
        <v/>
      </c>
      <c r="S628" s="170" t="str">
        <f>IF(ISNUMBER(deployment_raw[[#This Row],[Column8]]), (I628  * IF(O628&lt;&gt;0,$S$2,1)),"")</f>
        <v/>
      </c>
      <c r="T628" s="202" t="str">
        <f>IF(AND(A628&lt;&gt;"",_xlfn.IFNA(MATCH(A628,'dynamic resource application '!$A$2:$A$100, 0),0)&lt;&gt;0), H628/(IF($E$2="Deployment",E628,1)),"")</f>
        <v/>
      </c>
      <c r="U628" s="211" t="str">
        <f>IF(AND(A628&lt;&gt;"",_xlfn.IFNA(MATCH(A628,'dynamic resource application '!$A$2:$A$100, 0),0)&lt;&gt;0), I628/(IF($E$2="Deployment",E628,1)),"")</f>
        <v/>
      </c>
    </row>
    <row r="629" spans="1:21" ht="15.75" customHeight="1" x14ac:dyDescent="0.25">
      <c r="A629" s="35" t="str">
        <f>IF(ISNONTEXT(deployment_raw[[#This Row],[Column1]]), "", deployment_raw[[#This Row],[Column1]])</f>
        <v/>
      </c>
      <c r="B629" s="36" t="str">
        <f>IF(ISNONTEXT(deployment_raw[[#This Row],[Column2]]), "", deployment_raw[[#This Row],[Column2]])</f>
        <v/>
      </c>
      <c r="C629" s="36" t="str">
        <f>IF(ISNONTEXT(deployment_raw[[#This Row],[Column3]]), "", deployment_raw[[#This Row],[Column3]])</f>
        <v/>
      </c>
      <c r="D629" s="36" t="str">
        <f>IF(ISNONTEXT(deployment_raw[[#This Row],[Column4]]), "", deployment_raw[[#This Row],[Column4]])</f>
        <v/>
      </c>
      <c r="E629" s="37" t="str">
        <f>IF(ISNUMBER(deployment_raw[[#This Row],[Column5]]), deployment_raw[[#This Row],[Column5]],"")</f>
        <v/>
      </c>
      <c r="F629" s="94" t="str">
        <f>IF(ISNUMBER(deployment_raw[[#This Row],[Column6]]), (deployment_raw[[#This Row],[Column6]] * IF($E$2="Deployment",deployment_raw[[#This Row],[Column5]],1)),"")</f>
        <v/>
      </c>
      <c r="G629" s="95" t="str">
        <f>IF(ISNUMBER(deployment_raw[[#This Row],[Column7]]), (deployment_raw[[#This Row],[Column7]] * IF($E$2="Deployment",deployment_raw[[#This Row],[Column5]],1))/1048576,"")</f>
        <v/>
      </c>
      <c r="H629" s="95" t="str">
        <f>IF(ISNUMBER(deployment_raw[[#This Row],[Column8]]), (deployment_raw[[#This Row],[Column8]]  * IF($E$2="Deployment",deployment_raw[[#This Row],[Column5]],1)),"")</f>
        <v/>
      </c>
      <c r="I629" s="96" t="str">
        <f>IF(ISNUMBER(deployment_raw[[#This Row],[Column9]]), (deployment_raw[[#This Row],[Column9]] * IF($E$2="Deployment",deployment_raw[[#This Row],[Column5]],1))/1048576,"")</f>
        <v/>
      </c>
      <c r="J629" s="122" t="str">
        <f>IF(ISNUMBER(deployment_raw[[#This Row],[Column10]]), (MIN(IF(N629&lt;&gt;"",N629,9999999999999)*1.1,deployment_raw[[#This Row],[Column10]] * IF($E$2="Deployment",deployment_raw[[#This Row],[Column5]],1))),"")</f>
        <v/>
      </c>
      <c r="K629" s="123" t="str">
        <f>IF(ISNUMBER(deployment_raw[[#This Row],[Column11]]), (MIN(IF(O629&lt;&gt;"",O629,9999999999999)*1.1,deployment_raw[[#This Row],[Column11]] * IF($E$2="Deployment",deployment_raw[[#This Row],[Column5]],1)/1048576)),"")</f>
        <v/>
      </c>
      <c r="L629" s="124" t="str">
        <f>IF(ISNUMBER(deployment_raw[[#This Row],[Column8]]),IF(OR(deployment_raw[[#This Row],[Column5]] &lt;&gt; 0,$E$2 &lt;&gt; "Deployment"), MAX(J629, P629, R629, ($L$2 * IF($E$2="Deployment",deployment_raw[[#This Row],[Column5]],1)),IF(T629&lt;&gt;"",VALUE(T629) * IF($E$2="Deployment",deployment_raw[[#This Row],[Column5]],1),0)), 0),"")</f>
        <v/>
      </c>
      <c r="M629" s="125" t="str">
        <f>IF(ISNUMBER(deployment_raw[[#This Row],[Column9]]),IF(OR(deployment_raw[[#This Row],[Column5]] &lt;&gt; 0,$E$2&lt;&gt;"Deployment"), MAX(K629, Q629, S629, ($M$2 * IF($E$2="Deployment",deployment_raw[[#This Row],[Column5]],1)),IF(U629&lt;&gt;"",VALUE(U629) * IF($E$2="Deployment",deployment_raw[[#This Row],[Column5]],1),0)), 0),"")</f>
        <v/>
      </c>
      <c r="N629" s="166" t="str">
        <f>IF(ISNUMBER(deployment_raw[[#This Row],[Column14]]), deployment_raw[[#This Row],[Column14]]/IF(OR($E$2="Deployment",deployment_raw[[#This Row],[Column5]]=0),1,deployment_raw[[#This Row],[Column5]]),"")</f>
        <v/>
      </c>
      <c r="O629" s="167" t="str">
        <f>IF(ISNUMBER(deployment_raw[[#This Row],[Column15]]), deployment_raw[[#This Row],[Column15]]/IF(OR($E$2="Deployment",deployment_raw[[#This Row],[Column5]]=0),1,deployment_raw[[#This Row],[Column5]])/1048576,"")</f>
        <v/>
      </c>
      <c r="P629" s="168" t="str">
        <f>IF(ISNUMBER(deployment_raw[[#This Row],[Column12]]), (MIN(IF(N629&lt;&gt;"",N629,9999999999999)*1.1,deployment_raw[[#This Row],[Column12]] * IF($E$2="Deployment",deployment_raw[[#This Row],[Column5]],1))*(1+$P$2)),"")</f>
        <v/>
      </c>
      <c r="Q629" s="167" t="str">
        <f>IF(ISNUMBER(deployment_raw[[#This Row],[Column13]]), (MIN(IF(O629&lt;&gt;"",O629,9999999999999)*1.1,deployment_raw[[#This Row],[Column13]] * IF($E$2="Deployment",deployment_raw[[#This Row],[Column5]],1)*(1+$Q$2)/1048576)),"")</f>
        <v/>
      </c>
      <c r="R629" s="169" t="str">
        <f>IF(ISNUMBER(deployment_raw[[#This Row],[Column8]]), (H629  * IF(N629&lt;&gt;0,$R$2,1)),"")</f>
        <v/>
      </c>
      <c r="S629" s="170" t="str">
        <f>IF(ISNUMBER(deployment_raw[[#This Row],[Column8]]), (I629  * IF(O629&lt;&gt;0,$S$2,1)),"")</f>
        <v/>
      </c>
      <c r="T629" s="202" t="str">
        <f>IF(AND(A629&lt;&gt;"",_xlfn.IFNA(MATCH(A629,'dynamic resource application '!$A$2:$A$100, 0),0)&lt;&gt;0), H629/(IF($E$2="Deployment",E629,1)),"")</f>
        <v/>
      </c>
      <c r="U629" s="211" t="str">
        <f>IF(AND(A629&lt;&gt;"",_xlfn.IFNA(MATCH(A629,'dynamic resource application '!$A$2:$A$100, 0),0)&lt;&gt;0), I629/(IF($E$2="Deployment",E629,1)),"")</f>
        <v/>
      </c>
    </row>
    <row r="630" spans="1:21" ht="15.75" customHeight="1" x14ac:dyDescent="0.25">
      <c r="A630" s="35" t="str">
        <f>IF(ISNONTEXT(deployment_raw[[#This Row],[Column1]]), "", deployment_raw[[#This Row],[Column1]])</f>
        <v/>
      </c>
      <c r="B630" s="36" t="str">
        <f>IF(ISNONTEXT(deployment_raw[[#This Row],[Column2]]), "", deployment_raw[[#This Row],[Column2]])</f>
        <v/>
      </c>
      <c r="C630" s="36" t="str">
        <f>IF(ISNONTEXT(deployment_raw[[#This Row],[Column3]]), "", deployment_raw[[#This Row],[Column3]])</f>
        <v/>
      </c>
      <c r="D630" s="36" t="str">
        <f>IF(ISNONTEXT(deployment_raw[[#This Row],[Column4]]), "", deployment_raw[[#This Row],[Column4]])</f>
        <v/>
      </c>
      <c r="E630" s="37" t="str">
        <f>IF(ISNUMBER(deployment_raw[[#This Row],[Column5]]), deployment_raw[[#This Row],[Column5]],"")</f>
        <v/>
      </c>
      <c r="F630" s="94" t="str">
        <f>IF(ISNUMBER(deployment_raw[[#This Row],[Column6]]), (deployment_raw[[#This Row],[Column6]] * IF($E$2="Deployment",deployment_raw[[#This Row],[Column5]],1)),"")</f>
        <v/>
      </c>
      <c r="G630" s="95" t="str">
        <f>IF(ISNUMBER(deployment_raw[[#This Row],[Column7]]), (deployment_raw[[#This Row],[Column7]] * IF($E$2="Deployment",deployment_raw[[#This Row],[Column5]],1))/1048576,"")</f>
        <v/>
      </c>
      <c r="H630" s="95" t="str">
        <f>IF(ISNUMBER(deployment_raw[[#This Row],[Column8]]), (deployment_raw[[#This Row],[Column8]]  * IF($E$2="Deployment",deployment_raw[[#This Row],[Column5]],1)),"")</f>
        <v/>
      </c>
      <c r="I630" s="96" t="str">
        <f>IF(ISNUMBER(deployment_raw[[#This Row],[Column9]]), (deployment_raw[[#This Row],[Column9]] * IF($E$2="Deployment",deployment_raw[[#This Row],[Column5]],1))/1048576,"")</f>
        <v/>
      </c>
      <c r="J630" s="122" t="str">
        <f>IF(ISNUMBER(deployment_raw[[#This Row],[Column10]]), (MIN(IF(N630&lt;&gt;"",N630,9999999999999)*1.1,deployment_raw[[#This Row],[Column10]] * IF($E$2="Deployment",deployment_raw[[#This Row],[Column5]],1))),"")</f>
        <v/>
      </c>
      <c r="K630" s="123" t="str">
        <f>IF(ISNUMBER(deployment_raw[[#This Row],[Column11]]), (MIN(IF(O630&lt;&gt;"",O630,9999999999999)*1.1,deployment_raw[[#This Row],[Column11]] * IF($E$2="Deployment",deployment_raw[[#This Row],[Column5]],1)/1048576)),"")</f>
        <v/>
      </c>
      <c r="L630" s="124" t="str">
        <f>IF(ISNUMBER(deployment_raw[[#This Row],[Column8]]),IF(OR(deployment_raw[[#This Row],[Column5]] &lt;&gt; 0,$E$2 &lt;&gt; "Deployment"), MAX(J630, P630, R630, ($L$2 * IF($E$2="Deployment",deployment_raw[[#This Row],[Column5]],1)),IF(T630&lt;&gt;"",VALUE(T630) * IF($E$2="Deployment",deployment_raw[[#This Row],[Column5]],1),0)), 0),"")</f>
        <v/>
      </c>
      <c r="M630" s="125" t="str">
        <f>IF(ISNUMBER(deployment_raw[[#This Row],[Column9]]),IF(OR(deployment_raw[[#This Row],[Column5]] &lt;&gt; 0,$E$2&lt;&gt;"Deployment"), MAX(K630, Q630, S630, ($M$2 * IF($E$2="Deployment",deployment_raw[[#This Row],[Column5]],1)),IF(U630&lt;&gt;"",VALUE(U630) * IF($E$2="Deployment",deployment_raw[[#This Row],[Column5]],1),0)), 0),"")</f>
        <v/>
      </c>
      <c r="N630" s="166" t="str">
        <f>IF(ISNUMBER(deployment_raw[[#This Row],[Column14]]), deployment_raw[[#This Row],[Column14]]/IF(OR($E$2="Deployment",deployment_raw[[#This Row],[Column5]]=0),1,deployment_raw[[#This Row],[Column5]]),"")</f>
        <v/>
      </c>
      <c r="O630" s="167" t="str">
        <f>IF(ISNUMBER(deployment_raw[[#This Row],[Column15]]), deployment_raw[[#This Row],[Column15]]/IF(OR($E$2="Deployment",deployment_raw[[#This Row],[Column5]]=0),1,deployment_raw[[#This Row],[Column5]])/1048576,"")</f>
        <v/>
      </c>
      <c r="P630" s="168" t="str">
        <f>IF(ISNUMBER(deployment_raw[[#This Row],[Column12]]), (MIN(IF(N630&lt;&gt;"",N630,9999999999999)*1.1,deployment_raw[[#This Row],[Column12]] * IF($E$2="Deployment",deployment_raw[[#This Row],[Column5]],1))*(1+$P$2)),"")</f>
        <v/>
      </c>
      <c r="Q630" s="167" t="str">
        <f>IF(ISNUMBER(deployment_raw[[#This Row],[Column13]]), (MIN(IF(O630&lt;&gt;"",O630,9999999999999)*1.1,deployment_raw[[#This Row],[Column13]] * IF($E$2="Deployment",deployment_raw[[#This Row],[Column5]],1)*(1+$Q$2)/1048576)),"")</f>
        <v/>
      </c>
      <c r="R630" s="169" t="str">
        <f>IF(ISNUMBER(deployment_raw[[#This Row],[Column8]]), (H630  * IF(N630&lt;&gt;0,$R$2,1)),"")</f>
        <v/>
      </c>
      <c r="S630" s="170" t="str">
        <f>IF(ISNUMBER(deployment_raw[[#This Row],[Column8]]), (I630  * IF(O630&lt;&gt;0,$S$2,1)),"")</f>
        <v/>
      </c>
      <c r="T630" s="202" t="str">
        <f>IF(AND(A630&lt;&gt;"",_xlfn.IFNA(MATCH(A630,'dynamic resource application '!$A$2:$A$100, 0),0)&lt;&gt;0), H630/(IF($E$2="Deployment",E630,1)),"")</f>
        <v/>
      </c>
      <c r="U630" s="211" t="str">
        <f>IF(AND(A630&lt;&gt;"",_xlfn.IFNA(MATCH(A630,'dynamic resource application '!$A$2:$A$100, 0),0)&lt;&gt;0), I630/(IF($E$2="Deployment",E630,1)),"")</f>
        <v/>
      </c>
    </row>
    <row r="631" spans="1:21" ht="15.75" customHeight="1" x14ac:dyDescent="0.25">
      <c r="A631" s="35" t="str">
        <f>IF(ISNONTEXT(deployment_raw[[#This Row],[Column1]]), "", deployment_raw[[#This Row],[Column1]])</f>
        <v/>
      </c>
      <c r="B631" s="36" t="str">
        <f>IF(ISNONTEXT(deployment_raw[[#This Row],[Column2]]), "", deployment_raw[[#This Row],[Column2]])</f>
        <v/>
      </c>
      <c r="C631" s="36" t="str">
        <f>IF(ISNONTEXT(deployment_raw[[#This Row],[Column3]]), "", deployment_raw[[#This Row],[Column3]])</f>
        <v/>
      </c>
      <c r="D631" s="36" t="str">
        <f>IF(ISNONTEXT(deployment_raw[[#This Row],[Column4]]), "", deployment_raw[[#This Row],[Column4]])</f>
        <v/>
      </c>
      <c r="E631" s="37" t="str">
        <f>IF(ISNUMBER(deployment_raw[[#This Row],[Column5]]), deployment_raw[[#This Row],[Column5]],"")</f>
        <v/>
      </c>
      <c r="F631" s="94" t="str">
        <f>IF(ISNUMBER(deployment_raw[[#This Row],[Column6]]), (deployment_raw[[#This Row],[Column6]] * IF($E$2="Deployment",deployment_raw[[#This Row],[Column5]],1)),"")</f>
        <v/>
      </c>
      <c r="G631" s="95" t="str">
        <f>IF(ISNUMBER(deployment_raw[[#This Row],[Column7]]), (deployment_raw[[#This Row],[Column7]] * IF($E$2="Deployment",deployment_raw[[#This Row],[Column5]],1))/1048576,"")</f>
        <v/>
      </c>
      <c r="H631" s="95" t="str">
        <f>IF(ISNUMBER(deployment_raw[[#This Row],[Column8]]), (deployment_raw[[#This Row],[Column8]]  * IF($E$2="Deployment",deployment_raw[[#This Row],[Column5]],1)),"")</f>
        <v/>
      </c>
      <c r="I631" s="96" t="str">
        <f>IF(ISNUMBER(deployment_raw[[#This Row],[Column9]]), (deployment_raw[[#This Row],[Column9]] * IF($E$2="Deployment",deployment_raw[[#This Row],[Column5]],1))/1048576,"")</f>
        <v/>
      </c>
      <c r="J631" s="122" t="str">
        <f>IF(ISNUMBER(deployment_raw[[#This Row],[Column10]]), (MIN(IF(N631&lt;&gt;"",N631,9999999999999)*1.1,deployment_raw[[#This Row],[Column10]] * IF($E$2="Deployment",deployment_raw[[#This Row],[Column5]],1))),"")</f>
        <v/>
      </c>
      <c r="K631" s="123" t="str">
        <f>IF(ISNUMBER(deployment_raw[[#This Row],[Column11]]), (MIN(IF(O631&lt;&gt;"",O631,9999999999999)*1.1,deployment_raw[[#This Row],[Column11]] * IF($E$2="Deployment",deployment_raw[[#This Row],[Column5]],1)/1048576)),"")</f>
        <v/>
      </c>
      <c r="L631" s="124" t="str">
        <f>IF(ISNUMBER(deployment_raw[[#This Row],[Column8]]),IF(OR(deployment_raw[[#This Row],[Column5]] &lt;&gt; 0,$E$2 &lt;&gt; "Deployment"), MAX(J631, P631, R631, ($L$2 * IF($E$2="Deployment",deployment_raw[[#This Row],[Column5]],1)),IF(T631&lt;&gt;"",VALUE(T631) * IF($E$2="Deployment",deployment_raw[[#This Row],[Column5]],1),0)), 0),"")</f>
        <v/>
      </c>
      <c r="M631" s="125" t="str">
        <f>IF(ISNUMBER(deployment_raw[[#This Row],[Column9]]),IF(OR(deployment_raw[[#This Row],[Column5]] &lt;&gt; 0,$E$2&lt;&gt;"Deployment"), MAX(K631, Q631, S631, ($M$2 * IF($E$2="Deployment",deployment_raw[[#This Row],[Column5]],1)),IF(U631&lt;&gt;"",VALUE(U631) * IF($E$2="Deployment",deployment_raw[[#This Row],[Column5]],1),0)), 0),"")</f>
        <v/>
      </c>
      <c r="N631" s="166" t="str">
        <f>IF(ISNUMBER(deployment_raw[[#This Row],[Column14]]), deployment_raw[[#This Row],[Column14]]/IF(OR($E$2="Deployment",deployment_raw[[#This Row],[Column5]]=0),1,deployment_raw[[#This Row],[Column5]]),"")</f>
        <v/>
      </c>
      <c r="O631" s="167" t="str">
        <f>IF(ISNUMBER(deployment_raw[[#This Row],[Column15]]), deployment_raw[[#This Row],[Column15]]/IF(OR($E$2="Deployment",deployment_raw[[#This Row],[Column5]]=0),1,deployment_raw[[#This Row],[Column5]])/1048576,"")</f>
        <v/>
      </c>
      <c r="P631" s="168" t="str">
        <f>IF(ISNUMBER(deployment_raw[[#This Row],[Column12]]), (MIN(IF(N631&lt;&gt;"",N631,9999999999999)*1.1,deployment_raw[[#This Row],[Column12]] * IF($E$2="Deployment",deployment_raw[[#This Row],[Column5]],1))*(1+$P$2)),"")</f>
        <v/>
      </c>
      <c r="Q631" s="167" t="str">
        <f>IF(ISNUMBER(deployment_raw[[#This Row],[Column13]]), (MIN(IF(O631&lt;&gt;"",O631,9999999999999)*1.1,deployment_raw[[#This Row],[Column13]] * IF($E$2="Deployment",deployment_raw[[#This Row],[Column5]],1)*(1+$Q$2)/1048576)),"")</f>
        <v/>
      </c>
      <c r="R631" s="169" t="str">
        <f>IF(ISNUMBER(deployment_raw[[#This Row],[Column8]]), (H631  * IF(N631&lt;&gt;0,$R$2,1)),"")</f>
        <v/>
      </c>
      <c r="S631" s="170" t="str">
        <f>IF(ISNUMBER(deployment_raw[[#This Row],[Column8]]), (I631  * IF(O631&lt;&gt;0,$S$2,1)),"")</f>
        <v/>
      </c>
      <c r="T631" s="202" t="str">
        <f>IF(AND(A631&lt;&gt;"",_xlfn.IFNA(MATCH(A631,'dynamic resource application '!$A$2:$A$100, 0),0)&lt;&gt;0), H631/(IF($E$2="Deployment",E631,1)),"")</f>
        <v/>
      </c>
      <c r="U631" s="211" t="str">
        <f>IF(AND(A631&lt;&gt;"",_xlfn.IFNA(MATCH(A631,'dynamic resource application '!$A$2:$A$100, 0),0)&lt;&gt;0), I631/(IF($E$2="Deployment",E631,1)),"")</f>
        <v/>
      </c>
    </row>
    <row r="632" spans="1:21" ht="15.75" customHeight="1" x14ac:dyDescent="0.25">
      <c r="A632" s="35" t="str">
        <f>IF(ISNONTEXT(deployment_raw[[#This Row],[Column1]]), "", deployment_raw[[#This Row],[Column1]])</f>
        <v/>
      </c>
      <c r="B632" s="36" t="str">
        <f>IF(ISNONTEXT(deployment_raw[[#This Row],[Column2]]), "", deployment_raw[[#This Row],[Column2]])</f>
        <v/>
      </c>
      <c r="C632" s="36" t="str">
        <f>IF(ISNONTEXT(deployment_raw[[#This Row],[Column3]]), "", deployment_raw[[#This Row],[Column3]])</f>
        <v/>
      </c>
      <c r="D632" s="36" t="str">
        <f>IF(ISNONTEXT(deployment_raw[[#This Row],[Column4]]), "", deployment_raw[[#This Row],[Column4]])</f>
        <v/>
      </c>
      <c r="E632" s="37" t="str">
        <f>IF(ISNUMBER(deployment_raw[[#This Row],[Column5]]), deployment_raw[[#This Row],[Column5]],"")</f>
        <v/>
      </c>
      <c r="F632" s="94" t="str">
        <f>IF(ISNUMBER(deployment_raw[[#This Row],[Column6]]), (deployment_raw[[#This Row],[Column6]] * IF($E$2="Deployment",deployment_raw[[#This Row],[Column5]],1)),"")</f>
        <v/>
      </c>
      <c r="G632" s="95" t="str">
        <f>IF(ISNUMBER(deployment_raw[[#This Row],[Column7]]), (deployment_raw[[#This Row],[Column7]] * IF($E$2="Deployment",deployment_raw[[#This Row],[Column5]],1))/1048576,"")</f>
        <v/>
      </c>
      <c r="H632" s="95" t="str">
        <f>IF(ISNUMBER(deployment_raw[[#This Row],[Column8]]), (deployment_raw[[#This Row],[Column8]]  * IF($E$2="Deployment",deployment_raw[[#This Row],[Column5]],1)),"")</f>
        <v/>
      </c>
      <c r="I632" s="96" t="str">
        <f>IF(ISNUMBER(deployment_raw[[#This Row],[Column9]]), (deployment_raw[[#This Row],[Column9]] * IF($E$2="Deployment",deployment_raw[[#This Row],[Column5]],1))/1048576,"")</f>
        <v/>
      </c>
      <c r="J632" s="122" t="str">
        <f>IF(ISNUMBER(deployment_raw[[#This Row],[Column10]]), (MIN(IF(N632&lt;&gt;"",N632,9999999999999)*1.1,deployment_raw[[#This Row],[Column10]] * IF($E$2="Deployment",deployment_raw[[#This Row],[Column5]],1))),"")</f>
        <v/>
      </c>
      <c r="K632" s="123" t="str">
        <f>IF(ISNUMBER(deployment_raw[[#This Row],[Column11]]), (MIN(IF(O632&lt;&gt;"",O632,9999999999999)*1.1,deployment_raw[[#This Row],[Column11]] * IF($E$2="Deployment",deployment_raw[[#This Row],[Column5]],1)/1048576)),"")</f>
        <v/>
      </c>
      <c r="L632" s="124" t="str">
        <f>IF(ISNUMBER(deployment_raw[[#This Row],[Column8]]),IF(OR(deployment_raw[[#This Row],[Column5]] &lt;&gt; 0,$E$2 &lt;&gt; "Deployment"), MAX(J632, P632, R632, ($L$2 * IF($E$2="Deployment",deployment_raw[[#This Row],[Column5]],1)),IF(T632&lt;&gt;"",VALUE(T632) * IF($E$2="Deployment",deployment_raw[[#This Row],[Column5]],1),0)), 0),"")</f>
        <v/>
      </c>
      <c r="M632" s="125" t="str">
        <f>IF(ISNUMBER(deployment_raw[[#This Row],[Column9]]),IF(OR(deployment_raw[[#This Row],[Column5]] &lt;&gt; 0,$E$2&lt;&gt;"Deployment"), MAX(K632, Q632, S632, ($M$2 * IF($E$2="Deployment",deployment_raw[[#This Row],[Column5]],1)),IF(U632&lt;&gt;"",VALUE(U632) * IF($E$2="Deployment",deployment_raw[[#This Row],[Column5]],1),0)), 0),"")</f>
        <v/>
      </c>
      <c r="N632" s="166" t="str">
        <f>IF(ISNUMBER(deployment_raw[[#This Row],[Column14]]), deployment_raw[[#This Row],[Column14]]/IF(OR($E$2="Deployment",deployment_raw[[#This Row],[Column5]]=0),1,deployment_raw[[#This Row],[Column5]]),"")</f>
        <v/>
      </c>
      <c r="O632" s="167" t="str">
        <f>IF(ISNUMBER(deployment_raw[[#This Row],[Column15]]), deployment_raw[[#This Row],[Column15]]/IF(OR($E$2="Deployment",deployment_raw[[#This Row],[Column5]]=0),1,deployment_raw[[#This Row],[Column5]])/1048576,"")</f>
        <v/>
      </c>
      <c r="P632" s="168" t="str">
        <f>IF(ISNUMBER(deployment_raw[[#This Row],[Column12]]), (MIN(IF(N632&lt;&gt;"",N632,9999999999999)*1.1,deployment_raw[[#This Row],[Column12]] * IF($E$2="Deployment",deployment_raw[[#This Row],[Column5]],1))*(1+$P$2)),"")</f>
        <v/>
      </c>
      <c r="Q632" s="167" t="str">
        <f>IF(ISNUMBER(deployment_raw[[#This Row],[Column13]]), (MIN(IF(O632&lt;&gt;"",O632,9999999999999)*1.1,deployment_raw[[#This Row],[Column13]] * IF($E$2="Deployment",deployment_raw[[#This Row],[Column5]],1)*(1+$Q$2)/1048576)),"")</f>
        <v/>
      </c>
      <c r="R632" s="169" t="str">
        <f>IF(ISNUMBER(deployment_raw[[#This Row],[Column8]]), (H632  * IF(N632&lt;&gt;0,$R$2,1)),"")</f>
        <v/>
      </c>
      <c r="S632" s="170" t="str">
        <f>IF(ISNUMBER(deployment_raw[[#This Row],[Column8]]), (I632  * IF(O632&lt;&gt;0,$S$2,1)),"")</f>
        <v/>
      </c>
      <c r="T632" s="202" t="str">
        <f>IF(AND(A632&lt;&gt;"",_xlfn.IFNA(MATCH(A632,'dynamic resource application '!$A$2:$A$100, 0),0)&lt;&gt;0), H632/(IF($E$2="Deployment",E632,1)),"")</f>
        <v/>
      </c>
      <c r="U632" s="211" t="str">
        <f>IF(AND(A632&lt;&gt;"",_xlfn.IFNA(MATCH(A632,'dynamic resource application '!$A$2:$A$100, 0),0)&lt;&gt;0), I632/(IF($E$2="Deployment",E632,1)),"")</f>
        <v/>
      </c>
    </row>
    <row r="633" spans="1:21" ht="15.75" customHeight="1" x14ac:dyDescent="0.25">
      <c r="A633" s="35" t="str">
        <f>IF(ISNONTEXT(deployment_raw[[#This Row],[Column1]]), "", deployment_raw[[#This Row],[Column1]])</f>
        <v/>
      </c>
      <c r="B633" s="36" t="str">
        <f>IF(ISNONTEXT(deployment_raw[[#This Row],[Column2]]), "", deployment_raw[[#This Row],[Column2]])</f>
        <v/>
      </c>
      <c r="C633" s="36" t="str">
        <f>IF(ISNONTEXT(deployment_raw[[#This Row],[Column3]]), "", deployment_raw[[#This Row],[Column3]])</f>
        <v/>
      </c>
      <c r="D633" s="36" t="str">
        <f>IF(ISNONTEXT(deployment_raw[[#This Row],[Column4]]), "", deployment_raw[[#This Row],[Column4]])</f>
        <v/>
      </c>
      <c r="E633" s="37" t="str">
        <f>IF(ISNUMBER(deployment_raw[[#This Row],[Column5]]), deployment_raw[[#This Row],[Column5]],"")</f>
        <v/>
      </c>
      <c r="F633" s="94" t="str">
        <f>IF(ISNUMBER(deployment_raw[[#This Row],[Column6]]), (deployment_raw[[#This Row],[Column6]] * IF($E$2="Deployment",deployment_raw[[#This Row],[Column5]],1)),"")</f>
        <v/>
      </c>
      <c r="G633" s="95" t="str">
        <f>IF(ISNUMBER(deployment_raw[[#This Row],[Column7]]), (deployment_raw[[#This Row],[Column7]] * IF($E$2="Deployment",deployment_raw[[#This Row],[Column5]],1))/1048576,"")</f>
        <v/>
      </c>
      <c r="H633" s="95" t="str">
        <f>IF(ISNUMBER(deployment_raw[[#This Row],[Column8]]), (deployment_raw[[#This Row],[Column8]]  * IF($E$2="Deployment",deployment_raw[[#This Row],[Column5]],1)),"")</f>
        <v/>
      </c>
      <c r="I633" s="96" t="str">
        <f>IF(ISNUMBER(deployment_raw[[#This Row],[Column9]]), (deployment_raw[[#This Row],[Column9]] * IF($E$2="Deployment",deployment_raw[[#This Row],[Column5]],1))/1048576,"")</f>
        <v/>
      </c>
      <c r="J633" s="122" t="str">
        <f>IF(ISNUMBER(deployment_raw[[#This Row],[Column10]]), (MIN(IF(N633&lt;&gt;"",N633,9999999999999)*1.1,deployment_raw[[#This Row],[Column10]] * IF($E$2="Deployment",deployment_raw[[#This Row],[Column5]],1))),"")</f>
        <v/>
      </c>
      <c r="K633" s="123" t="str">
        <f>IF(ISNUMBER(deployment_raw[[#This Row],[Column11]]), (MIN(IF(O633&lt;&gt;"",O633,9999999999999)*1.1,deployment_raw[[#This Row],[Column11]] * IF($E$2="Deployment",deployment_raw[[#This Row],[Column5]],1)/1048576)),"")</f>
        <v/>
      </c>
      <c r="L633" s="124" t="str">
        <f>IF(ISNUMBER(deployment_raw[[#This Row],[Column8]]),IF(OR(deployment_raw[[#This Row],[Column5]] &lt;&gt; 0,$E$2 &lt;&gt; "Deployment"), MAX(J633, P633, R633, ($L$2 * IF($E$2="Deployment",deployment_raw[[#This Row],[Column5]],1)),IF(T633&lt;&gt;"",VALUE(T633) * IF($E$2="Deployment",deployment_raw[[#This Row],[Column5]],1),0)), 0),"")</f>
        <v/>
      </c>
      <c r="M633" s="125" t="str">
        <f>IF(ISNUMBER(deployment_raw[[#This Row],[Column9]]),IF(OR(deployment_raw[[#This Row],[Column5]] &lt;&gt; 0,$E$2&lt;&gt;"Deployment"), MAX(K633, Q633, S633, ($M$2 * IF($E$2="Deployment",deployment_raw[[#This Row],[Column5]],1)),IF(U633&lt;&gt;"",VALUE(U633) * IF($E$2="Deployment",deployment_raw[[#This Row],[Column5]],1),0)), 0),"")</f>
        <v/>
      </c>
      <c r="N633" s="166" t="str">
        <f>IF(ISNUMBER(deployment_raw[[#This Row],[Column14]]), deployment_raw[[#This Row],[Column14]]/IF(OR($E$2="Deployment",deployment_raw[[#This Row],[Column5]]=0),1,deployment_raw[[#This Row],[Column5]]),"")</f>
        <v/>
      </c>
      <c r="O633" s="167" t="str">
        <f>IF(ISNUMBER(deployment_raw[[#This Row],[Column15]]), deployment_raw[[#This Row],[Column15]]/IF(OR($E$2="Deployment",deployment_raw[[#This Row],[Column5]]=0),1,deployment_raw[[#This Row],[Column5]])/1048576,"")</f>
        <v/>
      </c>
      <c r="P633" s="168" t="str">
        <f>IF(ISNUMBER(deployment_raw[[#This Row],[Column12]]), (MIN(IF(N633&lt;&gt;"",N633,9999999999999)*1.1,deployment_raw[[#This Row],[Column12]] * IF($E$2="Deployment",deployment_raw[[#This Row],[Column5]],1))*(1+$P$2)),"")</f>
        <v/>
      </c>
      <c r="Q633" s="167" t="str">
        <f>IF(ISNUMBER(deployment_raw[[#This Row],[Column13]]), (MIN(IF(O633&lt;&gt;"",O633,9999999999999)*1.1,deployment_raw[[#This Row],[Column13]] * IF($E$2="Deployment",deployment_raw[[#This Row],[Column5]],1)*(1+$Q$2)/1048576)),"")</f>
        <v/>
      </c>
      <c r="R633" s="169" t="str">
        <f>IF(ISNUMBER(deployment_raw[[#This Row],[Column8]]), (H633  * IF(N633&lt;&gt;0,$R$2,1)),"")</f>
        <v/>
      </c>
      <c r="S633" s="170" t="str">
        <f>IF(ISNUMBER(deployment_raw[[#This Row],[Column8]]), (I633  * IF(O633&lt;&gt;0,$S$2,1)),"")</f>
        <v/>
      </c>
      <c r="T633" s="202" t="str">
        <f>IF(AND(A633&lt;&gt;"",_xlfn.IFNA(MATCH(A633,'dynamic resource application '!$A$2:$A$100, 0),0)&lt;&gt;0), H633/(IF($E$2="Deployment",E633,1)),"")</f>
        <v/>
      </c>
      <c r="U633" s="211" t="str">
        <f>IF(AND(A633&lt;&gt;"",_xlfn.IFNA(MATCH(A633,'dynamic resource application '!$A$2:$A$100, 0),0)&lt;&gt;0), I633/(IF($E$2="Deployment",E633,1)),"")</f>
        <v/>
      </c>
    </row>
    <row r="634" spans="1:21" ht="15.75" customHeight="1" x14ac:dyDescent="0.25">
      <c r="A634" s="35" t="str">
        <f>IF(ISNONTEXT(deployment_raw[[#This Row],[Column1]]), "", deployment_raw[[#This Row],[Column1]])</f>
        <v/>
      </c>
      <c r="B634" s="36" t="str">
        <f>IF(ISNONTEXT(deployment_raw[[#This Row],[Column2]]), "", deployment_raw[[#This Row],[Column2]])</f>
        <v/>
      </c>
      <c r="C634" s="36" t="str">
        <f>IF(ISNONTEXT(deployment_raw[[#This Row],[Column3]]), "", deployment_raw[[#This Row],[Column3]])</f>
        <v/>
      </c>
      <c r="D634" s="36" t="str">
        <f>IF(ISNONTEXT(deployment_raw[[#This Row],[Column4]]), "", deployment_raw[[#This Row],[Column4]])</f>
        <v/>
      </c>
      <c r="E634" s="37" t="str">
        <f>IF(ISNUMBER(deployment_raw[[#This Row],[Column5]]), deployment_raw[[#This Row],[Column5]],"")</f>
        <v/>
      </c>
      <c r="F634" s="94" t="str">
        <f>IF(ISNUMBER(deployment_raw[[#This Row],[Column6]]), (deployment_raw[[#This Row],[Column6]] * IF($E$2="Deployment",deployment_raw[[#This Row],[Column5]],1)),"")</f>
        <v/>
      </c>
      <c r="G634" s="95" t="str">
        <f>IF(ISNUMBER(deployment_raw[[#This Row],[Column7]]), (deployment_raw[[#This Row],[Column7]] * IF($E$2="Deployment",deployment_raw[[#This Row],[Column5]],1))/1048576,"")</f>
        <v/>
      </c>
      <c r="H634" s="95" t="str">
        <f>IF(ISNUMBER(deployment_raw[[#This Row],[Column8]]), (deployment_raw[[#This Row],[Column8]]  * IF($E$2="Deployment",deployment_raw[[#This Row],[Column5]],1)),"")</f>
        <v/>
      </c>
      <c r="I634" s="96" t="str">
        <f>IF(ISNUMBER(deployment_raw[[#This Row],[Column9]]), (deployment_raw[[#This Row],[Column9]] * IF($E$2="Deployment",deployment_raw[[#This Row],[Column5]],1))/1048576,"")</f>
        <v/>
      </c>
      <c r="J634" s="122" t="str">
        <f>IF(ISNUMBER(deployment_raw[[#This Row],[Column10]]), (MIN(IF(N634&lt;&gt;"",N634,9999999999999)*1.1,deployment_raw[[#This Row],[Column10]] * IF($E$2="Deployment",deployment_raw[[#This Row],[Column5]],1))),"")</f>
        <v/>
      </c>
      <c r="K634" s="123" t="str">
        <f>IF(ISNUMBER(deployment_raw[[#This Row],[Column11]]), (MIN(IF(O634&lt;&gt;"",O634,9999999999999)*1.1,deployment_raw[[#This Row],[Column11]] * IF($E$2="Deployment",deployment_raw[[#This Row],[Column5]],1)/1048576)),"")</f>
        <v/>
      </c>
      <c r="L634" s="124" t="str">
        <f>IF(ISNUMBER(deployment_raw[[#This Row],[Column8]]),IF(OR(deployment_raw[[#This Row],[Column5]] &lt;&gt; 0,$E$2 &lt;&gt; "Deployment"), MAX(J634, P634, R634, ($L$2 * IF($E$2="Deployment",deployment_raw[[#This Row],[Column5]],1)),IF(T634&lt;&gt;"",VALUE(T634) * IF($E$2="Deployment",deployment_raw[[#This Row],[Column5]],1),0)), 0),"")</f>
        <v/>
      </c>
      <c r="M634" s="125" t="str">
        <f>IF(ISNUMBER(deployment_raw[[#This Row],[Column9]]),IF(OR(deployment_raw[[#This Row],[Column5]] &lt;&gt; 0,$E$2&lt;&gt;"Deployment"), MAX(K634, Q634, S634, ($M$2 * IF($E$2="Deployment",deployment_raw[[#This Row],[Column5]],1)),IF(U634&lt;&gt;"",VALUE(U634) * IF($E$2="Deployment",deployment_raw[[#This Row],[Column5]],1),0)), 0),"")</f>
        <v/>
      </c>
      <c r="N634" s="166" t="str">
        <f>IF(ISNUMBER(deployment_raw[[#This Row],[Column14]]), deployment_raw[[#This Row],[Column14]]/IF(OR($E$2="Deployment",deployment_raw[[#This Row],[Column5]]=0),1,deployment_raw[[#This Row],[Column5]]),"")</f>
        <v/>
      </c>
      <c r="O634" s="167" t="str">
        <f>IF(ISNUMBER(deployment_raw[[#This Row],[Column15]]), deployment_raw[[#This Row],[Column15]]/IF(OR($E$2="Deployment",deployment_raw[[#This Row],[Column5]]=0),1,deployment_raw[[#This Row],[Column5]])/1048576,"")</f>
        <v/>
      </c>
      <c r="P634" s="168" t="str">
        <f>IF(ISNUMBER(deployment_raw[[#This Row],[Column12]]), (MIN(IF(N634&lt;&gt;"",N634,9999999999999)*1.1,deployment_raw[[#This Row],[Column12]] * IF($E$2="Deployment",deployment_raw[[#This Row],[Column5]],1))*(1+$P$2)),"")</f>
        <v/>
      </c>
      <c r="Q634" s="167" t="str">
        <f>IF(ISNUMBER(deployment_raw[[#This Row],[Column13]]), (MIN(IF(O634&lt;&gt;"",O634,9999999999999)*1.1,deployment_raw[[#This Row],[Column13]] * IF($E$2="Deployment",deployment_raw[[#This Row],[Column5]],1)*(1+$Q$2)/1048576)),"")</f>
        <v/>
      </c>
      <c r="R634" s="169" t="str">
        <f>IF(ISNUMBER(deployment_raw[[#This Row],[Column8]]), (H634  * IF(N634&lt;&gt;0,$R$2,1)),"")</f>
        <v/>
      </c>
      <c r="S634" s="170" t="str">
        <f>IF(ISNUMBER(deployment_raw[[#This Row],[Column8]]), (I634  * IF(O634&lt;&gt;0,$S$2,1)),"")</f>
        <v/>
      </c>
      <c r="T634" s="202" t="str">
        <f>IF(AND(A634&lt;&gt;"",_xlfn.IFNA(MATCH(A634,'dynamic resource application '!$A$2:$A$100, 0),0)&lt;&gt;0), H634/(IF($E$2="Deployment",E634,1)),"")</f>
        <v/>
      </c>
      <c r="U634" s="211" t="str">
        <f>IF(AND(A634&lt;&gt;"",_xlfn.IFNA(MATCH(A634,'dynamic resource application '!$A$2:$A$100, 0),0)&lt;&gt;0), I634/(IF($E$2="Deployment",E634,1)),"")</f>
        <v/>
      </c>
    </row>
    <row r="635" spans="1:21" ht="15.75" customHeight="1" x14ac:dyDescent="0.25">
      <c r="A635" s="35" t="str">
        <f>IF(ISNONTEXT(deployment_raw[[#This Row],[Column1]]), "", deployment_raw[[#This Row],[Column1]])</f>
        <v/>
      </c>
      <c r="B635" s="36" t="str">
        <f>IF(ISNONTEXT(deployment_raw[[#This Row],[Column2]]), "", deployment_raw[[#This Row],[Column2]])</f>
        <v/>
      </c>
      <c r="C635" s="36" t="str">
        <f>IF(ISNONTEXT(deployment_raw[[#This Row],[Column3]]), "", deployment_raw[[#This Row],[Column3]])</f>
        <v/>
      </c>
      <c r="D635" s="36" t="str">
        <f>IF(ISNONTEXT(deployment_raw[[#This Row],[Column4]]), "", deployment_raw[[#This Row],[Column4]])</f>
        <v/>
      </c>
      <c r="E635" s="37" t="str">
        <f>IF(ISNUMBER(deployment_raw[[#This Row],[Column5]]), deployment_raw[[#This Row],[Column5]],"")</f>
        <v/>
      </c>
      <c r="F635" s="94" t="str">
        <f>IF(ISNUMBER(deployment_raw[[#This Row],[Column6]]), (deployment_raw[[#This Row],[Column6]] * IF($E$2="Deployment",deployment_raw[[#This Row],[Column5]],1)),"")</f>
        <v/>
      </c>
      <c r="G635" s="95" t="str">
        <f>IF(ISNUMBER(deployment_raw[[#This Row],[Column7]]), (deployment_raw[[#This Row],[Column7]] * IF($E$2="Deployment",deployment_raw[[#This Row],[Column5]],1))/1048576,"")</f>
        <v/>
      </c>
      <c r="H635" s="95" t="str">
        <f>IF(ISNUMBER(deployment_raw[[#This Row],[Column8]]), (deployment_raw[[#This Row],[Column8]]  * IF($E$2="Deployment",deployment_raw[[#This Row],[Column5]],1)),"")</f>
        <v/>
      </c>
      <c r="I635" s="96" t="str">
        <f>IF(ISNUMBER(deployment_raw[[#This Row],[Column9]]), (deployment_raw[[#This Row],[Column9]] * IF($E$2="Deployment",deployment_raw[[#This Row],[Column5]],1))/1048576,"")</f>
        <v/>
      </c>
      <c r="J635" s="122" t="str">
        <f>IF(ISNUMBER(deployment_raw[[#This Row],[Column10]]), (MIN(IF(N635&lt;&gt;"",N635,9999999999999)*1.1,deployment_raw[[#This Row],[Column10]] * IF($E$2="Deployment",deployment_raw[[#This Row],[Column5]],1))),"")</f>
        <v/>
      </c>
      <c r="K635" s="123" t="str">
        <f>IF(ISNUMBER(deployment_raw[[#This Row],[Column11]]), (MIN(IF(O635&lt;&gt;"",O635,9999999999999)*1.1,deployment_raw[[#This Row],[Column11]] * IF($E$2="Deployment",deployment_raw[[#This Row],[Column5]],1)/1048576)),"")</f>
        <v/>
      </c>
      <c r="L635" s="124" t="str">
        <f>IF(ISNUMBER(deployment_raw[[#This Row],[Column8]]),IF(OR(deployment_raw[[#This Row],[Column5]] &lt;&gt; 0,$E$2 &lt;&gt; "Deployment"), MAX(J635, P635, R635, ($L$2 * IF($E$2="Deployment",deployment_raw[[#This Row],[Column5]],1)),IF(T635&lt;&gt;"",VALUE(T635) * IF($E$2="Deployment",deployment_raw[[#This Row],[Column5]],1),0)), 0),"")</f>
        <v/>
      </c>
      <c r="M635" s="125" t="str">
        <f>IF(ISNUMBER(deployment_raw[[#This Row],[Column9]]),IF(OR(deployment_raw[[#This Row],[Column5]] &lt;&gt; 0,$E$2&lt;&gt;"Deployment"), MAX(K635, Q635, S635, ($M$2 * IF($E$2="Deployment",deployment_raw[[#This Row],[Column5]],1)),IF(U635&lt;&gt;"",VALUE(U635) * IF($E$2="Deployment",deployment_raw[[#This Row],[Column5]],1),0)), 0),"")</f>
        <v/>
      </c>
      <c r="N635" s="166" t="str">
        <f>IF(ISNUMBER(deployment_raw[[#This Row],[Column14]]), deployment_raw[[#This Row],[Column14]]/IF(OR($E$2="Deployment",deployment_raw[[#This Row],[Column5]]=0),1,deployment_raw[[#This Row],[Column5]]),"")</f>
        <v/>
      </c>
      <c r="O635" s="167" t="str">
        <f>IF(ISNUMBER(deployment_raw[[#This Row],[Column15]]), deployment_raw[[#This Row],[Column15]]/IF(OR($E$2="Deployment",deployment_raw[[#This Row],[Column5]]=0),1,deployment_raw[[#This Row],[Column5]])/1048576,"")</f>
        <v/>
      </c>
      <c r="P635" s="168" t="str">
        <f>IF(ISNUMBER(deployment_raw[[#This Row],[Column12]]), (MIN(IF(N635&lt;&gt;"",N635,9999999999999)*1.1,deployment_raw[[#This Row],[Column12]] * IF($E$2="Deployment",deployment_raw[[#This Row],[Column5]],1))*(1+$P$2)),"")</f>
        <v/>
      </c>
      <c r="Q635" s="167" t="str">
        <f>IF(ISNUMBER(deployment_raw[[#This Row],[Column13]]), (MIN(IF(O635&lt;&gt;"",O635,9999999999999)*1.1,deployment_raw[[#This Row],[Column13]] * IF($E$2="Deployment",deployment_raw[[#This Row],[Column5]],1)*(1+$Q$2)/1048576)),"")</f>
        <v/>
      </c>
      <c r="R635" s="169" t="str">
        <f>IF(ISNUMBER(deployment_raw[[#This Row],[Column8]]), (H635  * IF(N635&lt;&gt;0,$R$2,1)),"")</f>
        <v/>
      </c>
      <c r="S635" s="170" t="str">
        <f>IF(ISNUMBER(deployment_raw[[#This Row],[Column8]]), (I635  * IF(O635&lt;&gt;0,$S$2,1)),"")</f>
        <v/>
      </c>
      <c r="T635" s="202" t="str">
        <f>IF(AND(A635&lt;&gt;"",_xlfn.IFNA(MATCH(A635,'dynamic resource application '!$A$2:$A$100, 0),0)&lt;&gt;0), H635/(IF($E$2="Deployment",E635,1)),"")</f>
        <v/>
      </c>
      <c r="U635" s="211" t="str">
        <f>IF(AND(A635&lt;&gt;"",_xlfn.IFNA(MATCH(A635,'dynamic resource application '!$A$2:$A$100, 0),0)&lt;&gt;0), I635/(IF($E$2="Deployment",E635,1)),"")</f>
        <v/>
      </c>
    </row>
    <row r="636" spans="1:21" ht="15.75" customHeight="1" x14ac:dyDescent="0.25">
      <c r="A636" s="35" t="str">
        <f>IF(ISNONTEXT(deployment_raw[[#This Row],[Column1]]), "", deployment_raw[[#This Row],[Column1]])</f>
        <v/>
      </c>
      <c r="B636" s="36" t="str">
        <f>IF(ISNONTEXT(deployment_raw[[#This Row],[Column2]]), "", deployment_raw[[#This Row],[Column2]])</f>
        <v/>
      </c>
      <c r="C636" s="36" t="str">
        <f>IF(ISNONTEXT(deployment_raw[[#This Row],[Column3]]), "", deployment_raw[[#This Row],[Column3]])</f>
        <v/>
      </c>
      <c r="D636" s="36" t="str">
        <f>IF(ISNONTEXT(deployment_raw[[#This Row],[Column4]]), "", deployment_raw[[#This Row],[Column4]])</f>
        <v/>
      </c>
      <c r="E636" s="37" t="str">
        <f>IF(ISNUMBER(deployment_raw[[#This Row],[Column5]]), deployment_raw[[#This Row],[Column5]],"")</f>
        <v/>
      </c>
      <c r="F636" s="94" t="str">
        <f>IF(ISNUMBER(deployment_raw[[#This Row],[Column6]]), (deployment_raw[[#This Row],[Column6]] * IF($E$2="Deployment",deployment_raw[[#This Row],[Column5]],1)),"")</f>
        <v/>
      </c>
      <c r="G636" s="95" t="str">
        <f>IF(ISNUMBER(deployment_raw[[#This Row],[Column7]]), (deployment_raw[[#This Row],[Column7]] * IF($E$2="Deployment",deployment_raw[[#This Row],[Column5]],1))/1048576,"")</f>
        <v/>
      </c>
      <c r="H636" s="95" t="str">
        <f>IF(ISNUMBER(deployment_raw[[#This Row],[Column8]]), (deployment_raw[[#This Row],[Column8]]  * IF($E$2="Deployment",deployment_raw[[#This Row],[Column5]],1)),"")</f>
        <v/>
      </c>
      <c r="I636" s="96" t="str">
        <f>IF(ISNUMBER(deployment_raw[[#This Row],[Column9]]), (deployment_raw[[#This Row],[Column9]] * IF($E$2="Deployment",deployment_raw[[#This Row],[Column5]],1))/1048576,"")</f>
        <v/>
      </c>
      <c r="J636" s="122" t="str">
        <f>IF(ISNUMBER(deployment_raw[[#This Row],[Column10]]), (MIN(IF(N636&lt;&gt;"",N636,9999999999999)*1.1,deployment_raw[[#This Row],[Column10]] * IF($E$2="Deployment",deployment_raw[[#This Row],[Column5]],1))),"")</f>
        <v/>
      </c>
      <c r="K636" s="123" t="str">
        <f>IF(ISNUMBER(deployment_raw[[#This Row],[Column11]]), (MIN(IF(O636&lt;&gt;"",O636,9999999999999)*1.1,deployment_raw[[#This Row],[Column11]] * IF($E$2="Deployment",deployment_raw[[#This Row],[Column5]],1)/1048576)),"")</f>
        <v/>
      </c>
      <c r="L636" s="124" t="str">
        <f>IF(ISNUMBER(deployment_raw[[#This Row],[Column8]]),IF(OR(deployment_raw[[#This Row],[Column5]] &lt;&gt; 0,$E$2 &lt;&gt; "Deployment"), MAX(J636, P636, R636, ($L$2 * IF($E$2="Deployment",deployment_raw[[#This Row],[Column5]],1)),IF(T636&lt;&gt;"",VALUE(T636) * IF($E$2="Deployment",deployment_raw[[#This Row],[Column5]],1),0)), 0),"")</f>
        <v/>
      </c>
      <c r="M636" s="125" t="str">
        <f>IF(ISNUMBER(deployment_raw[[#This Row],[Column9]]),IF(OR(deployment_raw[[#This Row],[Column5]] &lt;&gt; 0,$E$2&lt;&gt;"Deployment"), MAX(K636, Q636, S636, ($M$2 * IF($E$2="Deployment",deployment_raw[[#This Row],[Column5]],1)),IF(U636&lt;&gt;"",VALUE(U636) * IF($E$2="Deployment",deployment_raw[[#This Row],[Column5]],1),0)), 0),"")</f>
        <v/>
      </c>
      <c r="N636" s="166" t="str">
        <f>IF(ISNUMBER(deployment_raw[[#This Row],[Column14]]), deployment_raw[[#This Row],[Column14]]/IF(OR($E$2="Deployment",deployment_raw[[#This Row],[Column5]]=0),1,deployment_raw[[#This Row],[Column5]]),"")</f>
        <v/>
      </c>
      <c r="O636" s="167" t="str">
        <f>IF(ISNUMBER(deployment_raw[[#This Row],[Column15]]), deployment_raw[[#This Row],[Column15]]/IF(OR($E$2="Deployment",deployment_raw[[#This Row],[Column5]]=0),1,deployment_raw[[#This Row],[Column5]])/1048576,"")</f>
        <v/>
      </c>
      <c r="P636" s="168" t="str">
        <f>IF(ISNUMBER(deployment_raw[[#This Row],[Column12]]), (MIN(IF(N636&lt;&gt;"",N636,9999999999999)*1.1,deployment_raw[[#This Row],[Column12]] * IF($E$2="Deployment",deployment_raw[[#This Row],[Column5]],1))*(1+$P$2)),"")</f>
        <v/>
      </c>
      <c r="Q636" s="167" t="str">
        <f>IF(ISNUMBER(deployment_raw[[#This Row],[Column13]]), (MIN(IF(O636&lt;&gt;"",O636,9999999999999)*1.1,deployment_raw[[#This Row],[Column13]] * IF($E$2="Deployment",deployment_raw[[#This Row],[Column5]],1)*(1+$Q$2)/1048576)),"")</f>
        <v/>
      </c>
      <c r="R636" s="169" t="str">
        <f>IF(ISNUMBER(deployment_raw[[#This Row],[Column8]]), (H636  * IF(N636&lt;&gt;0,$R$2,1)),"")</f>
        <v/>
      </c>
      <c r="S636" s="170" t="str">
        <f>IF(ISNUMBER(deployment_raw[[#This Row],[Column8]]), (I636  * IF(O636&lt;&gt;0,$S$2,1)),"")</f>
        <v/>
      </c>
      <c r="T636" s="202" t="str">
        <f>IF(AND(A636&lt;&gt;"",_xlfn.IFNA(MATCH(A636,'dynamic resource application '!$A$2:$A$100, 0),0)&lt;&gt;0), H636/(IF($E$2="Deployment",E636,1)),"")</f>
        <v/>
      </c>
      <c r="U636" s="211" t="str">
        <f>IF(AND(A636&lt;&gt;"",_xlfn.IFNA(MATCH(A636,'dynamic resource application '!$A$2:$A$100, 0),0)&lt;&gt;0), I636/(IF($E$2="Deployment",E636,1)),"")</f>
        <v/>
      </c>
    </row>
    <row r="637" spans="1:21" ht="15.75" customHeight="1" x14ac:dyDescent="0.25">
      <c r="A637" s="35" t="str">
        <f>IF(ISNONTEXT(deployment_raw[[#This Row],[Column1]]), "", deployment_raw[[#This Row],[Column1]])</f>
        <v/>
      </c>
      <c r="B637" s="36" t="str">
        <f>IF(ISNONTEXT(deployment_raw[[#This Row],[Column2]]), "", deployment_raw[[#This Row],[Column2]])</f>
        <v/>
      </c>
      <c r="C637" s="36" t="str">
        <f>IF(ISNONTEXT(deployment_raw[[#This Row],[Column3]]), "", deployment_raw[[#This Row],[Column3]])</f>
        <v/>
      </c>
      <c r="D637" s="36" t="str">
        <f>IF(ISNONTEXT(deployment_raw[[#This Row],[Column4]]), "", deployment_raw[[#This Row],[Column4]])</f>
        <v/>
      </c>
      <c r="E637" s="37" t="str">
        <f>IF(ISNUMBER(deployment_raw[[#This Row],[Column5]]), deployment_raw[[#This Row],[Column5]],"")</f>
        <v/>
      </c>
      <c r="F637" s="94" t="str">
        <f>IF(ISNUMBER(deployment_raw[[#This Row],[Column6]]), (deployment_raw[[#This Row],[Column6]] * IF($E$2="Deployment",deployment_raw[[#This Row],[Column5]],1)),"")</f>
        <v/>
      </c>
      <c r="G637" s="95" t="str">
        <f>IF(ISNUMBER(deployment_raw[[#This Row],[Column7]]), (deployment_raw[[#This Row],[Column7]] * IF($E$2="Deployment",deployment_raw[[#This Row],[Column5]],1))/1048576,"")</f>
        <v/>
      </c>
      <c r="H637" s="95" t="str">
        <f>IF(ISNUMBER(deployment_raw[[#This Row],[Column8]]), (deployment_raw[[#This Row],[Column8]]  * IF($E$2="Deployment",deployment_raw[[#This Row],[Column5]],1)),"")</f>
        <v/>
      </c>
      <c r="I637" s="96" t="str">
        <f>IF(ISNUMBER(deployment_raw[[#This Row],[Column9]]), (deployment_raw[[#This Row],[Column9]] * IF($E$2="Deployment",deployment_raw[[#This Row],[Column5]],1))/1048576,"")</f>
        <v/>
      </c>
      <c r="J637" s="122" t="str">
        <f>IF(ISNUMBER(deployment_raw[[#This Row],[Column10]]), (MIN(IF(N637&lt;&gt;"",N637,9999999999999)*1.1,deployment_raw[[#This Row],[Column10]] * IF($E$2="Deployment",deployment_raw[[#This Row],[Column5]],1))),"")</f>
        <v/>
      </c>
      <c r="K637" s="123" t="str">
        <f>IF(ISNUMBER(deployment_raw[[#This Row],[Column11]]), (MIN(IF(O637&lt;&gt;"",O637,9999999999999)*1.1,deployment_raw[[#This Row],[Column11]] * IF($E$2="Deployment",deployment_raw[[#This Row],[Column5]],1)/1048576)),"")</f>
        <v/>
      </c>
      <c r="L637" s="124" t="str">
        <f>IF(ISNUMBER(deployment_raw[[#This Row],[Column8]]),IF(OR(deployment_raw[[#This Row],[Column5]] &lt;&gt; 0,$E$2 &lt;&gt; "Deployment"), MAX(J637, P637, R637, ($L$2 * IF($E$2="Deployment",deployment_raw[[#This Row],[Column5]],1)),IF(T637&lt;&gt;"",VALUE(T637) * IF($E$2="Deployment",deployment_raw[[#This Row],[Column5]],1),0)), 0),"")</f>
        <v/>
      </c>
      <c r="M637" s="125" t="str">
        <f>IF(ISNUMBER(deployment_raw[[#This Row],[Column9]]),IF(OR(deployment_raw[[#This Row],[Column5]] &lt;&gt; 0,$E$2&lt;&gt;"Deployment"), MAX(K637, Q637, S637, ($M$2 * IF($E$2="Deployment",deployment_raw[[#This Row],[Column5]],1)),IF(U637&lt;&gt;"",VALUE(U637) * IF($E$2="Deployment",deployment_raw[[#This Row],[Column5]],1),0)), 0),"")</f>
        <v/>
      </c>
      <c r="N637" s="166" t="str">
        <f>IF(ISNUMBER(deployment_raw[[#This Row],[Column14]]), deployment_raw[[#This Row],[Column14]]/IF(OR($E$2="Deployment",deployment_raw[[#This Row],[Column5]]=0),1,deployment_raw[[#This Row],[Column5]]),"")</f>
        <v/>
      </c>
      <c r="O637" s="167" t="str">
        <f>IF(ISNUMBER(deployment_raw[[#This Row],[Column15]]), deployment_raw[[#This Row],[Column15]]/IF(OR($E$2="Deployment",deployment_raw[[#This Row],[Column5]]=0),1,deployment_raw[[#This Row],[Column5]])/1048576,"")</f>
        <v/>
      </c>
      <c r="P637" s="168" t="str">
        <f>IF(ISNUMBER(deployment_raw[[#This Row],[Column12]]), (MIN(IF(N637&lt;&gt;"",N637,9999999999999)*1.1,deployment_raw[[#This Row],[Column12]] * IF($E$2="Deployment",deployment_raw[[#This Row],[Column5]],1))*(1+$P$2)),"")</f>
        <v/>
      </c>
      <c r="Q637" s="167" t="str">
        <f>IF(ISNUMBER(deployment_raw[[#This Row],[Column13]]), (MIN(IF(O637&lt;&gt;"",O637,9999999999999)*1.1,deployment_raw[[#This Row],[Column13]] * IF($E$2="Deployment",deployment_raw[[#This Row],[Column5]],1)*(1+$Q$2)/1048576)),"")</f>
        <v/>
      </c>
      <c r="R637" s="169" t="str">
        <f>IF(ISNUMBER(deployment_raw[[#This Row],[Column8]]), (H637  * IF(N637&lt;&gt;0,$R$2,1)),"")</f>
        <v/>
      </c>
      <c r="S637" s="170" t="str">
        <f>IF(ISNUMBER(deployment_raw[[#This Row],[Column8]]), (I637  * IF(O637&lt;&gt;0,$S$2,1)),"")</f>
        <v/>
      </c>
      <c r="T637" s="202" t="str">
        <f>IF(AND(A637&lt;&gt;"",_xlfn.IFNA(MATCH(A637,'dynamic resource application '!$A$2:$A$100, 0),0)&lt;&gt;0), H637/(IF($E$2="Deployment",E637,1)),"")</f>
        <v/>
      </c>
      <c r="U637" s="211" t="str">
        <f>IF(AND(A637&lt;&gt;"",_xlfn.IFNA(MATCH(A637,'dynamic resource application '!$A$2:$A$100, 0),0)&lt;&gt;0), I637/(IF($E$2="Deployment",E637,1)),"")</f>
        <v/>
      </c>
    </row>
    <row r="638" spans="1:21" ht="15.75" customHeight="1" x14ac:dyDescent="0.25">
      <c r="A638" s="35" t="str">
        <f>IF(ISNONTEXT(deployment_raw[[#This Row],[Column1]]), "", deployment_raw[[#This Row],[Column1]])</f>
        <v/>
      </c>
      <c r="B638" s="36" t="str">
        <f>IF(ISNONTEXT(deployment_raw[[#This Row],[Column2]]), "", deployment_raw[[#This Row],[Column2]])</f>
        <v/>
      </c>
      <c r="C638" s="36" t="str">
        <f>IF(ISNONTEXT(deployment_raw[[#This Row],[Column3]]), "", deployment_raw[[#This Row],[Column3]])</f>
        <v/>
      </c>
      <c r="D638" s="36" t="str">
        <f>IF(ISNONTEXT(deployment_raw[[#This Row],[Column4]]), "", deployment_raw[[#This Row],[Column4]])</f>
        <v/>
      </c>
      <c r="E638" s="37" t="str">
        <f>IF(ISNUMBER(deployment_raw[[#This Row],[Column5]]), deployment_raw[[#This Row],[Column5]],"")</f>
        <v/>
      </c>
      <c r="F638" s="94" t="str">
        <f>IF(ISNUMBER(deployment_raw[[#This Row],[Column6]]), (deployment_raw[[#This Row],[Column6]] * IF($E$2="Deployment",deployment_raw[[#This Row],[Column5]],1)),"")</f>
        <v/>
      </c>
      <c r="G638" s="95" t="str">
        <f>IF(ISNUMBER(deployment_raw[[#This Row],[Column7]]), (deployment_raw[[#This Row],[Column7]] * IF($E$2="Deployment",deployment_raw[[#This Row],[Column5]],1))/1048576,"")</f>
        <v/>
      </c>
      <c r="H638" s="95" t="str">
        <f>IF(ISNUMBER(deployment_raw[[#This Row],[Column8]]), (deployment_raw[[#This Row],[Column8]]  * IF($E$2="Deployment",deployment_raw[[#This Row],[Column5]],1)),"")</f>
        <v/>
      </c>
      <c r="I638" s="96" t="str">
        <f>IF(ISNUMBER(deployment_raw[[#This Row],[Column9]]), (deployment_raw[[#This Row],[Column9]] * IF($E$2="Deployment",deployment_raw[[#This Row],[Column5]],1))/1048576,"")</f>
        <v/>
      </c>
      <c r="J638" s="122" t="str">
        <f>IF(ISNUMBER(deployment_raw[[#This Row],[Column10]]), (MIN(IF(N638&lt;&gt;"",N638,9999999999999)*1.1,deployment_raw[[#This Row],[Column10]] * IF($E$2="Deployment",deployment_raw[[#This Row],[Column5]],1))),"")</f>
        <v/>
      </c>
      <c r="K638" s="123" t="str">
        <f>IF(ISNUMBER(deployment_raw[[#This Row],[Column11]]), (MIN(IF(O638&lt;&gt;"",O638,9999999999999)*1.1,deployment_raw[[#This Row],[Column11]] * IF($E$2="Deployment",deployment_raw[[#This Row],[Column5]],1)/1048576)),"")</f>
        <v/>
      </c>
      <c r="L638" s="124" t="str">
        <f>IF(ISNUMBER(deployment_raw[[#This Row],[Column8]]),IF(OR(deployment_raw[[#This Row],[Column5]] &lt;&gt; 0,$E$2 &lt;&gt; "Deployment"), MAX(J638, P638, R638, ($L$2 * IF($E$2="Deployment",deployment_raw[[#This Row],[Column5]],1)),IF(T638&lt;&gt;"",VALUE(T638) * IF($E$2="Deployment",deployment_raw[[#This Row],[Column5]],1),0)), 0),"")</f>
        <v/>
      </c>
      <c r="M638" s="125" t="str">
        <f>IF(ISNUMBER(deployment_raw[[#This Row],[Column9]]),IF(OR(deployment_raw[[#This Row],[Column5]] &lt;&gt; 0,$E$2&lt;&gt;"Deployment"), MAX(K638, Q638, S638, ($M$2 * IF($E$2="Deployment",deployment_raw[[#This Row],[Column5]],1)),IF(U638&lt;&gt;"",VALUE(U638) * IF($E$2="Deployment",deployment_raw[[#This Row],[Column5]],1),0)), 0),"")</f>
        <v/>
      </c>
      <c r="N638" s="166" t="str">
        <f>IF(ISNUMBER(deployment_raw[[#This Row],[Column14]]), deployment_raw[[#This Row],[Column14]]/IF(OR($E$2="Deployment",deployment_raw[[#This Row],[Column5]]=0),1,deployment_raw[[#This Row],[Column5]]),"")</f>
        <v/>
      </c>
      <c r="O638" s="167" t="str">
        <f>IF(ISNUMBER(deployment_raw[[#This Row],[Column15]]), deployment_raw[[#This Row],[Column15]]/IF(OR($E$2="Deployment",deployment_raw[[#This Row],[Column5]]=0),1,deployment_raw[[#This Row],[Column5]])/1048576,"")</f>
        <v/>
      </c>
      <c r="P638" s="168" t="str">
        <f>IF(ISNUMBER(deployment_raw[[#This Row],[Column12]]), (MIN(IF(N638&lt;&gt;"",N638,9999999999999)*1.1,deployment_raw[[#This Row],[Column12]] * IF($E$2="Deployment",deployment_raw[[#This Row],[Column5]],1))*(1+$P$2)),"")</f>
        <v/>
      </c>
      <c r="Q638" s="167" t="str">
        <f>IF(ISNUMBER(deployment_raw[[#This Row],[Column13]]), (MIN(IF(O638&lt;&gt;"",O638,9999999999999)*1.1,deployment_raw[[#This Row],[Column13]] * IF($E$2="Deployment",deployment_raw[[#This Row],[Column5]],1)*(1+$Q$2)/1048576)),"")</f>
        <v/>
      </c>
      <c r="R638" s="169" t="str">
        <f>IF(ISNUMBER(deployment_raw[[#This Row],[Column8]]), (H638  * IF(N638&lt;&gt;0,$R$2,1)),"")</f>
        <v/>
      </c>
      <c r="S638" s="170" t="str">
        <f>IF(ISNUMBER(deployment_raw[[#This Row],[Column8]]), (I638  * IF(O638&lt;&gt;0,$S$2,1)),"")</f>
        <v/>
      </c>
      <c r="T638" s="202" t="str">
        <f>IF(AND(A638&lt;&gt;"",_xlfn.IFNA(MATCH(A638,'dynamic resource application '!$A$2:$A$100, 0),0)&lt;&gt;0), H638/(IF($E$2="Deployment",E638,1)),"")</f>
        <v/>
      </c>
      <c r="U638" s="211" t="str">
        <f>IF(AND(A638&lt;&gt;"",_xlfn.IFNA(MATCH(A638,'dynamic resource application '!$A$2:$A$100, 0),0)&lt;&gt;0), I638/(IF($E$2="Deployment",E638,1)),"")</f>
        <v/>
      </c>
    </row>
    <row r="639" spans="1:21" ht="15.75" customHeight="1" x14ac:dyDescent="0.25">
      <c r="A639" s="35" t="str">
        <f>IF(ISNONTEXT(deployment_raw[[#This Row],[Column1]]), "", deployment_raw[[#This Row],[Column1]])</f>
        <v/>
      </c>
      <c r="B639" s="36" t="str">
        <f>IF(ISNONTEXT(deployment_raw[[#This Row],[Column2]]), "", deployment_raw[[#This Row],[Column2]])</f>
        <v/>
      </c>
      <c r="C639" s="36" t="str">
        <f>IF(ISNONTEXT(deployment_raw[[#This Row],[Column3]]), "", deployment_raw[[#This Row],[Column3]])</f>
        <v/>
      </c>
      <c r="D639" s="36" t="str">
        <f>IF(ISNONTEXT(deployment_raw[[#This Row],[Column4]]), "", deployment_raw[[#This Row],[Column4]])</f>
        <v/>
      </c>
      <c r="E639" s="37" t="str">
        <f>IF(ISNUMBER(deployment_raw[[#This Row],[Column5]]), deployment_raw[[#This Row],[Column5]],"")</f>
        <v/>
      </c>
      <c r="F639" s="94" t="str">
        <f>IF(ISNUMBER(deployment_raw[[#This Row],[Column6]]), (deployment_raw[[#This Row],[Column6]] * IF($E$2="Deployment",deployment_raw[[#This Row],[Column5]],1)),"")</f>
        <v/>
      </c>
      <c r="G639" s="95" t="str">
        <f>IF(ISNUMBER(deployment_raw[[#This Row],[Column7]]), (deployment_raw[[#This Row],[Column7]] * IF($E$2="Deployment",deployment_raw[[#This Row],[Column5]],1))/1048576,"")</f>
        <v/>
      </c>
      <c r="H639" s="95" t="str">
        <f>IF(ISNUMBER(deployment_raw[[#This Row],[Column8]]), (deployment_raw[[#This Row],[Column8]]  * IF($E$2="Deployment",deployment_raw[[#This Row],[Column5]],1)),"")</f>
        <v/>
      </c>
      <c r="I639" s="96" t="str">
        <f>IF(ISNUMBER(deployment_raw[[#This Row],[Column9]]), (deployment_raw[[#This Row],[Column9]] * IF($E$2="Deployment",deployment_raw[[#This Row],[Column5]],1))/1048576,"")</f>
        <v/>
      </c>
      <c r="J639" s="122" t="str">
        <f>IF(ISNUMBER(deployment_raw[[#This Row],[Column10]]), (MIN(IF(N639&lt;&gt;"",N639,9999999999999)*1.1,deployment_raw[[#This Row],[Column10]] * IF($E$2="Deployment",deployment_raw[[#This Row],[Column5]],1))),"")</f>
        <v/>
      </c>
      <c r="K639" s="123" t="str">
        <f>IF(ISNUMBER(deployment_raw[[#This Row],[Column11]]), (MIN(IF(O639&lt;&gt;"",O639,9999999999999)*1.1,deployment_raw[[#This Row],[Column11]] * IF($E$2="Deployment",deployment_raw[[#This Row],[Column5]],1)/1048576)),"")</f>
        <v/>
      </c>
      <c r="L639" s="124" t="str">
        <f>IF(ISNUMBER(deployment_raw[[#This Row],[Column8]]),IF(OR(deployment_raw[[#This Row],[Column5]] &lt;&gt; 0,$E$2 &lt;&gt; "Deployment"), MAX(J639, P639, R639, ($L$2 * IF($E$2="Deployment",deployment_raw[[#This Row],[Column5]],1)),IF(T639&lt;&gt;"",VALUE(T639) * IF($E$2="Deployment",deployment_raw[[#This Row],[Column5]],1),0)), 0),"")</f>
        <v/>
      </c>
      <c r="M639" s="125" t="str">
        <f>IF(ISNUMBER(deployment_raw[[#This Row],[Column9]]),IF(OR(deployment_raw[[#This Row],[Column5]] &lt;&gt; 0,$E$2&lt;&gt;"Deployment"), MAX(K639, Q639, S639, ($M$2 * IF($E$2="Deployment",deployment_raw[[#This Row],[Column5]],1)),IF(U639&lt;&gt;"",VALUE(U639) * IF($E$2="Deployment",deployment_raw[[#This Row],[Column5]],1),0)), 0),"")</f>
        <v/>
      </c>
      <c r="N639" s="166" t="str">
        <f>IF(ISNUMBER(deployment_raw[[#This Row],[Column14]]), deployment_raw[[#This Row],[Column14]]/IF(OR($E$2="Deployment",deployment_raw[[#This Row],[Column5]]=0),1,deployment_raw[[#This Row],[Column5]]),"")</f>
        <v/>
      </c>
      <c r="O639" s="167" t="str">
        <f>IF(ISNUMBER(deployment_raw[[#This Row],[Column15]]), deployment_raw[[#This Row],[Column15]]/IF(OR($E$2="Deployment",deployment_raw[[#This Row],[Column5]]=0),1,deployment_raw[[#This Row],[Column5]])/1048576,"")</f>
        <v/>
      </c>
      <c r="P639" s="168" t="str">
        <f>IF(ISNUMBER(deployment_raw[[#This Row],[Column12]]), (MIN(IF(N639&lt;&gt;"",N639,9999999999999)*1.1,deployment_raw[[#This Row],[Column12]] * IF($E$2="Deployment",deployment_raw[[#This Row],[Column5]],1))*(1+$P$2)),"")</f>
        <v/>
      </c>
      <c r="Q639" s="167" t="str">
        <f>IF(ISNUMBER(deployment_raw[[#This Row],[Column13]]), (MIN(IF(O639&lt;&gt;"",O639,9999999999999)*1.1,deployment_raw[[#This Row],[Column13]] * IF($E$2="Deployment",deployment_raw[[#This Row],[Column5]],1)*(1+$Q$2)/1048576)),"")</f>
        <v/>
      </c>
      <c r="R639" s="169" t="str">
        <f>IF(ISNUMBER(deployment_raw[[#This Row],[Column8]]), (H639  * IF(N639&lt;&gt;0,$R$2,1)),"")</f>
        <v/>
      </c>
      <c r="S639" s="170" t="str">
        <f>IF(ISNUMBER(deployment_raw[[#This Row],[Column8]]), (I639  * IF(O639&lt;&gt;0,$S$2,1)),"")</f>
        <v/>
      </c>
      <c r="T639" s="202" t="str">
        <f>IF(AND(A639&lt;&gt;"",_xlfn.IFNA(MATCH(A639,'dynamic resource application '!$A$2:$A$100, 0),0)&lt;&gt;0), H639/(IF($E$2="Deployment",E639,1)),"")</f>
        <v/>
      </c>
      <c r="U639" s="211" t="str">
        <f>IF(AND(A639&lt;&gt;"",_xlfn.IFNA(MATCH(A639,'dynamic resource application '!$A$2:$A$100, 0),0)&lt;&gt;0), I639/(IF($E$2="Deployment",E639,1)),"")</f>
        <v/>
      </c>
    </row>
    <row r="640" spans="1:21" ht="15.75" customHeight="1" x14ac:dyDescent="0.25">
      <c r="A640" s="35" t="str">
        <f>IF(ISNONTEXT(deployment_raw[[#This Row],[Column1]]), "", deployment_raw[[#This Row],[Column1]])</f>
        <v/>
      </c>
      <c r="B640" s="36" t="str">
        <f>IF(ISNONTEXT(deployment_raw[[#This Row],[Column2]]), "", deployment_raw[[#This Row],[Column2]])</f>
        <v/>
      </c>
      <c r="C640" s="36" t="str">
        <f>IF(ISNONTEXT(deployment_raw[[#This Row],[Column3]]), "", deployment_raw[[#This Row],[Column3]])</f>
        <v/>
      </c>
      <c r="D640" s="36" t="str">
        <f>IF(ISNONTEXT(deployment_raw[[#This Row],[Column4]]), "", deployment_raw[[#This Row],[Column4]])</f>
        <v/>
      </c>
      <c r="E640" s="37" t="str">
        <f>IF(ISNUMBER(deployment_raw[[#This Row],[Column5]]), deployment_raw[[#This Row],[Column5]],"")</f>
        <v/>
      </c>
      <c r="F640" s="94" t="str">
        <f>IF(ISNUMBER(deployment_raw[[#This Row],[Column6]]), (deployment_raw[[#This Row],[Column6]] * IF($E$2="Deployment",deployment_raw[[#This Row],[Column5]],1)),"")</f>
        <v/>
      </c>
      <c r="G640" s="95" t="str">
        <f>IF(ISNUMBER(deployment_raw[[#This Row],[Column7]]), (deployment_raw[[#This Row],[Column7]] * IF($E$2="Deployment",deployment_raw[[#This Row],[Column5]],1))/1048576,"")</f>
        <v/>
      </c>
      <c r="H640" s="95" t="str">
        <f>IF(ISNUMBER(deployment_raw[[#This Row],[Column8]]), (deployment_raw[[#This Row],[Column8]]  * IF($E$2="Deployment",deployment_raw[[#This Row],[Column5]],1)),"")</f>
        <v/>
      </c>
      <c r="I640" s="96" t="str">
        <f>IF(ISNUMBER(deployment_raw[[#This Row],[Column9]]), (deployment_raw[[#This Row],[Column9]] * IF($E$2="Deployment",deployment_raw[[#This Row],[Column5]],1))/1048576,"")</f>
        <v/>
      </c>
      <c r="J640" s="122" t="str">
        <f>IF(ISNUMBER(deployment_raw[[#This Row],[Column10]]), (MIN(IF(N640&lt;&gt;"",N640,9999999999999)*1.1,deployment_raw[[#This Row],[Column10]] * IF($E$2="Deployment",deployment_raw[[#This Row],[Column5]],1))),"")</f>
        <v/>
      </c>
      <c r="K640" s="123" t="str">
        <f>IF(ISNUMBER(deployment_raw[[#This Row],[Column11]]), (MIN(IF(O640&lt;&gt;"",O640,9999999999999)*1.1,deployment_raw[[#This Row],[Column11]] * IF($E$2="Deployment",deployment_raw[[#This Row],[Column5]],1)/1048576)),"")</f>
        <v/>
      </c>
      <c r="L640" s="124" t="str">
        <f>IF(ISNUMBER(deployment_raw[[#This Row],[Column8]]),IF(OR(deployment_raw[[#This Row],[Column5]] &lt;&gt; 0,$E$2 &lt;&gt; "Deployment"), MAX(J640, P640, R640, ($L$2 * IF($E$2="Deployment",deployment_raw[[#This Row],[Column5]],1)),IF(T640&lt;&gt;"",VALUE(T640) * IF($E$2="Deployment",deployment_raw[[#This Row],[Column5]],1),0)), 0),"")</f>
        <v/>
      </c>
      <c r="M640" s="125" t="str">
        <f>IF(ISNUMBER(deployment_raw[[#This Row],[Column9]]),IF(OR(deployment_raw[[#This Row],[Column5]] &lt;&gt; 0,$E$2&lt;&gt;"Deployment"), MAX(K640, Q640, S640, ($M$2 * IF($E$2="Deployment",deployment_raw[[#This Row],[Column5]],1)),IF(U640&lt;&gt;"",VALUE(U640) * IF($E$2="Deployment",deployment_raw[[#This Row],[Column5]],1),0)), 0),"")</f>
        <v/>
      </c>
      <c r="N640" s="166" t="str">
        <f>IF(ISNUMBER(deployment_raw[[#This Row],[Column14]]), deployment_raw[[#This Row],[Column14]]/IF(OR($E$2="Deployment",deployment_raw[[#This Row],[Column5]]=0),1,deployment_raw[[#This Row],[Column5]]),"")</f>
        <v/>
      </c>
      <c r="O640" s="167" t="str">
        <f>IF(ISNUMBER(deployment_raw[[#This Row],[Column15]]), deployment_raw[[#This Row],[Column15]]/IF(OR($E$2="Deployment",deployment_raw[[#This Row],[Column5]]=0),1,deployment_raw[[#This Row],[Column5]])/1048576,"")</f>
        <v/>
      </c>
      <c r="P640" s="168" t="str">
        <f>IF(ISNUMBER(deployment_raw[[#This Row],[Column12]]), (MIN(IF(N640&lt;&gt;"",N640,9999999999999)*1.1,deployment_raw[[#This Row],[Column12]] * IF($E$2="Deployment",deployment_raw[[#This Row],[Column5]],1))*(1+$P$2)),"")</f>
        <v/>
      </c>
      <c r="Q640" s="167" t="str">
        <f>IF(ISNUMBER(deployment_raw[[#This Row],[Column13]]), (MIN(IF(O640&lt;&gt;"",O640,9999999999999)*1.1,deployment_raw[[#This Row],[Column13]] * IF($E$2="Deployment",deployment_raw[[#This Row],[Column5]],1)*(1+$Q$2)/1048576)),"")</f>
        <v/>
      </c>
      <c r="R640" s="169" t="str">
        <f>IF(ISNUMBER(deployment_raw[[#This Row],[Column8]]), (H640  * IF(N640&lt;&gt;0,$R$2,1)),"")</f>
        <v/>
      </c>
      <c r="S640" s="170" t="str">
        <f>IF(ISNUMBER(deployment_raw[[#This Row],[Column8]]), (I640  * IF(O640&lt;&gt;0,$S$2,1)),"")</f>
        <v/>
      </c>
      <c r="T640" s="202" t="str">
        <f>IF(AND(A640&lt;&gt;"",_xlfn.IFNA(MATCH(A640,'dynamic resource application '!$A$2:$A$100, 0),0)&lt;&gt;0), H640/(IF($E$2="Deployment",E640,1)),"")</f>
        <v/>
      </c>
      <c r="U640" s="211" t="str">
        <f>IF(AND(A640&lt;&gt;"",_xlfn.IFNA(MATCH(A640,'dynamic resource application '!$A$2:$A$100, 0),0)&lt;&gt;0), I640/(IF($E$2="Deployment",E640,1)),"")</f>
        <v/>
      </c>
    </row>
    <row r="641" spans="1:21" ht="15.75" customHeight="1" x14ac:dyDescent="0.25">
      <c r="A641" s="35" t="str">
        <f>IF(ISNONTEXT(deployment_raw[[#This Row],[Column1]]), "", deployment_raw[[#This Row],[Column1]])</f>
        <v/>
      </c>
      <c r="B641" s="36" t="str">
        <f>IF(ISNONTEXT(deployment_raw[[#This Row],[Column2]]), "", deployment_raw[[#This Row],[Column2]])</f>
        <v/>
      </c>
      <c r="C641" s="36" t="str">
        <f>IF(ISNONTEXT(deployment_raw[[#This Row],[Column3]]), "", deployment_raw[[#This Row],[Column3]])</f>
        <v/>
      </c>
      <c r="D641" s="36" t="str">
        <f>IF(ISNONTEXT(deployment_raw[[#This Row],[Column4]]), "", deployment_raw[[#This Row],[Column4]])</f>
        <v/>
      </c>
      <c r="E641" s="37" t="str">
        <f>IF(ISNUMBER(deployment_raw[[#This Row],[Column5]]), deployment_raw[[#This Row],[Column5]],"")</f>
        <v/>
      </c>
      <c r="F641" s="94" t="str">
        <f>IF(ISNUMBER(deployment_raw[[#This Row],[Column6]]), (deployment_raw[[#This Row],[Column6]] * IF($E$2="Deployment",deployment_raw[[#This Row],[Column5]],1)),"")</f>
        <v/>
      </c>
      <c r="G641" s="95" t="str">
        <f>IF(ISNUMBER(deployment_raw[[#This Row],[Column7]]), (deployment_raw[[#This Row],[Column7]] * IF($E$2="Deployment",deployment_raw[[#This Row],[Column5]],1))/1048576,"")</f>
        <v/>
      </c>
      <c r="H641" s="95" t="str">
        <f>IF(ISNUMBER(deployment_raw[[#This Row],[Column8]]), (deployment_raw[[#This Row],[Column8]]  * IF($E$2="Deployment",deployment_raw[[#This Row],[Column5]],1)),"")</f>
        <v/>
      </c>
      <c r="I641" s="96" t="str">
        <f>IF(ISNUMBER(deployment_raw[[#This Row],[Column9]]), (deployment_raw[[#This Row],[Column9]] * IF($E$2="Deployment",deployment_raw[[#This Row],[Column5]],1))/1048576,"")</f>
        <v/>
      </c>
      <c r="J641" s="122" t="str">
        <f>IF(ISNUMBER(deployment_raw[[#This Row],[Column10]]), (MIN(IF(N641&lt;&gt;"",N641,9999999999999)*1.1,deployment_raw[[#This Row],[Column10]] * IF($E$2="Deployment",deployment_raw[[#This Row],[Column5]],1))),"")</f>
        <v/>
      </c>
      <c r="K641" s="123" t="str">
        <f>IF(ISNUMBER(deployment_raw[[#This Row],[Column11]]), (MIN(IF(O641&lt;&gt;"",O641,9999999999999)*1.1,deployment_raw[[#This Row],[Column11]] * IF($E$2="Deployment",deployment_raw[[#This Row],[Column5]],1)/1048576)),"")</f>
        <v/>
      </c>
      <c r="L641" s="124" t="str">
        <f>IF(ISNUMBER(deployment_raw[[#This Row],[Column8]]),IF(OR(deployment_raw[[#This Row],[Column5]] &lt;&gt; 0,$E$2 &lt;&gt; "Deployment"), MAX(J641, P641, R641, ($L$2 * IF($E$2="Deployment",deployment_raw[[#This Row],[Column5]],1)),IF(T641&lt;&gt;"",VALUE(T641) * IF($E$2="Deployment",deployment_raw[[#This Row],[Column5]],1),0)), 0),"")</f>
        <v/>
      </c>
      <c r="M641" s="125" t="str">
        <f>IF(ISNUMBER(deployment_raw[[#This Row],[Column9]]),IF(OR(deployment_raw[[#This Row],[Column5]] &lt;&gt; 0,$E$2&lt;&gt;"Deployment"), MAX(K641, Q641, S641, ($M$2 * IF($E$2="Deployment",deployment_raw[[#This Row],[Column5]],1)),IF(U641&lt;&gt;"",VALUE(U641) * IF($E$2="Deployment",deployment_raw[[#This Row],[Column5]],1),0)), 0),"")</f>
        <v/>
      </c>
      <c r="N641" s="166" t="str">
        <f>IF(ISNUMBER(deployment_raw[[#This Row],[Column14]]), deployment_raw[[#This Row],[Column14]]/IF(OR($E$2="Deployment",deployment_raw[[#This Row],[Column5]]=0),1,deployment_raw[[#This Row],[Column5]]),"")</f>
        <v/>
      </c>
      <c r="O641" s="167" t="str">
        <f>IF(ISNUMBER(deployment_raw[[#This Row],[Column15]]), deployment_raw[[#This Row],[Column15]]/IF(OR($E$2="Deployment",deployment_raw[[#This Row],[Column5]]=0),1,deployment_raw[[#This Row],[Column5]])/1048576,"")</f>
        <v/>
      </c>
      <c r="P641" s="168" t="str">
        <f>IF(ISNUMBER(deployment_raw[[#This Row],[Column12]]), (MIN(IF(N641&lt;&gt;"",N641,9999999999999)*1.1,deployment_raw[[#This Row],[Column12]] * IF($E$2="Deployment",deployment_raw[[#This Row],[Column5]],1))*(1+$P$2)),"")</f>
        <v/>
      </c>
      <c r="Q641" s="167" t="str">
        <f>IF(ISNUMBER(deployment_raw[[#This Row],[Column13]]), (MIN(IF(O641&lt;&gt;"",O641,9999999999999)*1.1,deployment_raw[[#This Row],[Column13]] * IF($E$2="Deployment",deployment_raw[[#This Row],[Column5]],1)*(1+$Q$2)/1048576)),"")</f>
        <v/>
      </c>
      <c r="R641" s="169" t="str">
        <f>IF(ISNUMBER(deployment_raw[[#This Row],[Column8]]), (H641  * IF(N641&lt;&gt;0,$R$2,1)),"")</f>
        <v/>
      </c>
      <c r="S641" s="170" t="str">
        <f>IF(ISNUMBER(deployment_raw[[#This Row],[Column8]]), (I641  * IF(O641&lt;&gt;0,$S$2,1)),"")</f>
        <v/>
      </c>
      <c r="T641" s="202" t="str">
        <f>IF(AND(A641&lt;&gt;"",_xlfn.IFNA(MATCH(A641,'dynamic resource application '!$A$2:$A$100, 0),0)&lt;&gt;0), H641/(IF($E$2="Deployment",E641,1)),"")</f>
        <v/>
      </c>
      <c r="U641" s="211" t="str">
        <f>IF(AND(A641&lt;&gt;"",_xlfn.IFNA(MATCH(A641,'dynamic resource application '!$A$2:$A$100, 0),0)&lt;&gt;0), I641/(IF($E$2="Deployment",E641,1)),"")</f>
        <v/>
      </c>
    </row>
    <row r="642" spans="1:21" ht="15.75" customHeight="1" x14ac:dyDescent="0.25">
      <c r="A642" s="35" t="str">
        <f>IF(ISNONTEXT(deployment_raw[[#This Row],[Column1]]), "", deployment_raw[[#This Row],[Column1]])</f>
        <v/>
      </c>
      <c r="B642" s="36" t="str">
        <f>IF(ISNONTEXT(deployment_raw[[#This Row],[Column2]]), "", deployment_raw[[#This Row],[Column2]])</f>
        <v/>
      </c>
      <c r="C642" s="36" t="str">
        <f>IF(ISNONTEXT(deployment_raw[[#This Row],[Column3]]), "", deployment_raw[[#This Row],[Column3]])</f>
        <v/>
      </c>
      <c r="D642" s="36" t="str">
        <f>IF(ISNONTEXT(deployment_raw[[#This Row],[Column4]]), "", deployment_raw[[#This Row],[Column4]])</f>
        <v/>
      </c>
      <c r="E642" s="37" t="str">
        <f>IF(ISNUMBER(deployment_raw[[#This Row],[Column5]]), deployment_raw[[#This Row],[Column5]],"")</f>
        <v/>
      </c>
      <c r="F642" s="94" t="str">
        <f>IF(ISNUMBER(deployment_raw[[#This Row],[Column6]]), (deployment_raw[[#This Row],[Column6]] * IF($E$2="Deployment",deployment_raw[[#This Row],[Column5]],1)),"")</f>
        <v/>
      </c>
      <c r="G642" s="95" t="str">
        <f>IF(ISNUMBER(deployment_raw[[#This Row],[Column7]]), (deployment_raw[[#This Row],[Column7]] * IF($E$2="Deployment",deployment_raw[[#This Row],[Column5]],1))/1048576,"")</f>
        <v/>
      </c>
      <c r="H642" s="95" t="str">
        <f>IF(ISNUMBER(deployment_raw[[#This Row],[Column8]]), (deployment_raw[[#This Row],[Column8]]  * IF($E$2="Deployment",deployment_raw[[#This Row],[Column5]],1)),"")</f>
        <v/>
      </c>
      <c r="I642" s="96" t="str">
        <f>IF(ISNUMBER(deployment_raw[[#This Row],[Column9]]), (deployment_raw[[#This Row],[Column9]] * IF($E$2="Deployment",deployment_raw[[#This Row],[Column5]],1))/1048576,"")</f>
        <v/>
      </c>
      <c r="J642" s="122" t="str">
        <f>IF(ISNUMBER(deployment_raw[[#This Row],[Column10]]), (MIN(IF(N642&lt;&gt;"",N642,9999999999999)*1.1,deployment_raw[[#This Row],[Column10]] * IF($E$2="Deployment",deployment_raw[[#This Row],[Column5]],1))),"")</f>
        <v/>
      </c>
      <c r="K642" s="123" t="str">
        <f>IF(ISNUMBER(deployment_raw[[#This Row],[Column11]]), (MIN(IF(O642&lt;&gt;"",O642,9999999999999)*1.1,deployment_raw[[#This Row],[Column11]] * IF($E$2="Deployment",deployment_raw[[#This Row],[Column5]],1)/1048576)),"")</f>
        <v/>
      </c>
      <c r="L642" s="124" t="str">
        <f>IF(ISNUMBER(deployment_raw[[#This Row],[Column8]]),IF(OR(deployment_raw[[#This Row],[Column5]] &lt;&gt; 0,$E$2 &lt;&gt; "Deployment"), MAX(J642, P642, R642, ($L$2 * IF($E$2="Deployment",deployment_raw[[#This Row],[Column5]],1)),IF(T642&lt;&gt;"",VALUE(T642) * IF($E$2="Deployment",deployment_raw[[#This Row],[Column5]],1),0)), 0),"")</f>
        <v/>
      </c>
      <c r="M642" s="125" t="str">
        <f>IF(ISNUMBER(deployment_raw[[#This Row],[Column9]]),IF(OR(deployment_raw[[#This Row],[Column5]] &lt;&gt; 0,$E$2&lt;&gt;"Deployment"), MAX(K642, Q642, S642, ($M$2 * IF($E$2="Deployment",deployment_raw[[#This Row],[Column5]],1)),IF(U642&lt;&gt;"",VALUE(U642) * IF($E$2="Deployment",deployment_raw[[#This Row],[Column5]],1),0)), 0),"")</f>
        <v/>
      </c>
      <c r="N642" s="166" t="str">
        <f>IF(ISNUMBER(deployment_raw[[#This Row],[Column14]]), deployment_raw[[#This Row],[Column14]]/IF(OR($E$2="Deployment",deployment_raw[[#This Row],[Column5]]=0),1,deployment_raw[[#This Row],[Column5]]),"")</f>
        <v/>
      </c>
      <c r="O642" s="167" t="str">
        <f>IF(ISNUMBER(deployment_raw[[#This Row],[Column15]]), deployment_raw[[#This Row],[Column15]]/IF(OR($E$2="Deployment",deployment_raw[[#This Row],[Column5]]=0),1,deployment_raw[[#This Row],[Column5]])/1048576,"")</f>
        <v/>
      </c>
      <c r="P642" s="168" t="str">
        <f>IF(ISNUMBER(deployment_raw[[#This Row],[Column12]]), (MIN(IF(N642&lt;&gt;"",N642,9999999999999)*1.1,deployment_raw[[#This Row],[Column12]] * IF($E$2="Deployment",deployment_raw[[#This Row],[Column5]],1))*(1+$P$2)),"")</f>
        <v/>
      </c>
      <c r="Q642" s="167" t="str">
        <f>IF(ISNUMBER(deployment_raw[[#This Row],[Column13]]), (MIN(IF(O642&lt;&gt;"",O642,9999999999999)*1.1,deployment_raw[[#This Row],[Column13]] * IF($E$2="Deployment",deployment_raw[[#This Row],[Column5]],1)*(1+$Q$2)/1048576)),"")</f>
        <v/>
      </c>
      <c r="R642" s="169" t="str">
        <f>IF(ISNUMBER(deployment_raw[[#This Row],[Column8]]), (H642  * IF(N642&lt;&gt;0,$R$2,1)),"")</f>
        <v/>
      </c>
      <c r="S642" s="170" t="str">
        <f>IF(ISNUMBER(deployment_raw[[#This Row],[Column8]]), (I642  * IF(O642&lt;&gt;0,$S$2,1)),"")</f>
        <v/>
      </c>
      <c r="T642" s="202" t="str">
        <f>IF(AND(A642&lt;&gt;"",_xlfn.IFNA(MATCH(A642,'dynamic resource application '!$A$2:$A$100, 0),0)&lt;&gt;0), H642/(IF($E$2="Deployment",E642,1)),"")</f>
        <v/>
      </c>
      <c r="U642" s="211" t="str">
        <f>IF(AND(A642&lt;&gt;"",_xlfn.IFNA(MATCH(A642,'dynamic resource application '!$A$2:$A$100, 0),0)&lt;&gt;0), I642/(IF($E$2="Deployment",E642,1)),"")</f>
        <v/>
      </c>
    </row>
    <row r="643" spans="1:21" ht="15.75" customHeight="1" x14ac:dyDescent="0.25">
      <c r="A643" s="35" t="str">
        <f>IF(ISNONTEXT(deployment_raw[[#This Row],[Column1]]), "", deployment_raw[[#This Row],[Column1]])</f>
        <v/>
      </c>
      <c r="B643" s="36" t="str">
        <f>IF(ISNONTEXT(deployment_raw[[#This Row],[Column2]]), "", deployment_raw[[#This Row],[Column2]])</f>
        <v/>
      </c>
      <c r="C643" s="36" t="str">
        <f>IF(ISNONTEXT(deployment_raw[[#This Row],[Column3]]), "", deployment_raw[[#This Row],[Column3]])</f>
        <v/>
      </c>
      <c r="D643" s="36" t="str">
        <f>IF(ISNONTEXT(deployment_raw[[#This Row],[Column4]]), "", deployment_raw[[#This Row],[Column4]])</f>
        <v/>
      </c>
      <c r="E643" s="37" t="str">
        <f>IF(ISNUMBER(deployment_raw[[#This Row],[Column5]]), deployment_raw[[#This Row],[Column5]],"")</f>
        <v/>
      </c>
      <c r="F643" s="94" t="str">
        <f>IF(ISNUMBER(deployment_raw[[#This Row],[Column6]]), (deployment_raw[[#This Row],[Column6]] * IF($E$2="Deployment",deployment_raw[[#This Row],[Column5]],1)),"")</f>
        <v/>
      </c>
      <c r="G643" s="95" t="str">
        <f>IF(ISNUMBER(deployment_raw[[#This Row],[Column7]]), (deployment_raw[[#This Row],[Column7]] * IF($E$2="Deployment",deployment_raw[[#This Row],[Column5]],1))/1048576,"")</f>
        <v/>
      </c>
      <c r="H643" s="95" t="str">
        <f>IF(ISNUMBER(deployment_raw[[#This Row],[Column8]]), (deployment_raw[[#This Row],[Column8]]  * IF($E$2="Deployment",deployment_raw[[#This Row],[Column5]],1)),"")</f>
        <v/>
      </c>
      <c r="I643" s="96" t="str">
        <f>IF(ISNUMBER(deployment_raw[[#This Row],[Column9]]), (deployment_raw[[#This Row],[Column9]] * IF($E$2="Deployment",deployment_raw[[#This Row],[Column5]],1))/1048576,"")</f>
        <v/>
      </c>
      <c r="J643" s="122" t="str">
        <f>IF(ISNUMBER(deployment_raw[[#This Row],[Column10]]), (MIN(IF(N643&lt;&gt;"",N643,9999999999999)*1.1,deployment_raw[[#This Row],[Column10]] * IF($E$2="Deployment",deployment_raw[[#This Row],[Column5]],1))),"")</f>
        <v/>
      </c>
      <c r="K643" s="123" t="str">
        <f>IF(ISNUMBER(deployment_raw[[#This Row],[Column11]]), (MIN(IF(O643&lt;&gt;"",O643,9999999999999)*1.1,deployment_raw[[#This Row],[Column11]] * IF($E$2="Deployment",deployment_raw[[#This Row],[Column5]],1)/1048576)),"")</f>
        <v/>
      </c>
      <c r="L643" s="124" t="str">
        <f>IF(ISNUMBER(deployment_raw[[#This Row],[Column8]]),IF(OR(deployment_raw[[#This Row],[Column5]] &lt;&gt; 0,$E$2 &lt;&gt; "Deployment"), MAX(J643, P643, R643, ($L$2 * IF($E$2="Deployment",deployment_raw[[#This Row],[Column5]],1)),IF(T643&lt;&gt;"",VALUE(T643) * IF($E$2="Deployment",deployment_raw[[#This Row],[Column5]],1),0)), 0),"")</f>
        <v/>
      </c>
      <c r="M643" s="125" t="str">
        <f>IF(ISNUMBER(deployment_raw[[#This Row],[Column9]]),IF(OR(deployment_raw[[#This Row],[Column5]] &lt;&gt; 0,$E$2&lt;&gt;"Deployment"), MAX(K643, Q643, S643, ($M$2 * IF($E$2="Deployment",deployment_raw[[#This Row],[Column5]],1)),IF(U643&lt;&gt;"",VALUE(U643) * IF($E$2="Deployment",deployment_raw[[#This Row],[Column5]],1),0)), 0),"")</f>
        <v/>
      </c>
      <c r="N643" s="166" t="str">
        <f>IF(ISNUMBER(deployment_raw[[#This Row],[Column14]]), deployment_raw[[#This Row],[Column14]]/IF(OR($E$2="Deployment",deployment_raw[[#This Row],[Column5]]=0),1,deployment_raw[[#This Row],[Column5]]),"")</f>
        <v/>
      </c>
      <c r="O643" s="167" t="str">
        <f>IF(ISNUMBER(deployment_raw[[#This Row],[Column15]]), deployment_raw[[#This Row],[Column15]]/IF(OR($E$2="Deployment",deployment_raw[[#This Row],[Column5]]=0),1,deployment_raw[[#This Row],[Column5]])/1048576,"")</f>
        <v/>
      </c>
      <c r="P643" s="168" t="str">
        <f>IF(ISNUMBER(deployment_raw[[#This Row],[Column12]]), (MIN(IF(N643&lt;&gt;"",N643,9999999999999)*1.1,deployment_raw[[#This Row],[Column12]] * IF($E$2="Deployment",deployment_raw[[#This Row],[Column5]],1))*(1+$P$2)),"")</f>
        <v/>
      </c>
      <c r="Q643" s="167" t="str">
        <f>IF(ISNUMBER(deployment_raw[[#This Row],[Column13]]), (MIN(IF(O643&lt;&gt;"",O643,9999999999999)*1.1,deployment_raw[[#This Row],[Column13]] * IF($E$2="Deployment",deployment_raw[[#This Row],[Column5]],1)*(1+$Q$2)/1048576)),"")</f>
        <v/>
      </c>
      <c r="R643" s="169" t="str">
        <f>IF(ISNUMBER(deployment_raw[[#This Row],[Column8]]), (H643  * IF(N643&lt;&gt;0,$R$2,1)),"")</f>
        <v/>
      </c>
      <c r="S643" s="170" t="str">
        <f>IF(ISNUMBER(deployment_raw[[#This Row],[Column8]]), (I643  * IF(O643&lt;&gt;0,$S$2,1)),"")</f>
        <v/>
      </c>
      <c r="T643" s="202" t="str">
        <f>IF(AND(A643&lt;&gt;"",_xlfn.IFNA(MATCH(A643,'dynamic resource application '!$A$2:$A$100, 0),0)&lt;&gt;0), H643/(IF($E$2="Deployment",E643,1)),"")</f>
        <v/>
      </c>
      <c r="U643" s="211" t="str">
        <f>IF(AND(A643&lt;&gt;"",_xlfn.IFNA(MATCH(A643,'dynamic resource application '!$A$2:$A$100, 0),0)&lt;&gt;0), I643/(IF($E$2="Deployment",E643,1)),"")</f>
        <v/>
      </c>
    </row>
    <row r="644" spans="1:21" ht="15.75" customHeight="1" x14ac:dyDescent="0.25">
      <c r="A644" s="35" t="str">
        <f>IF(ISNONTEXT(deployment_raw[[#This Row],[Column1]]), "", deployment_raw[[#This Row],[Column1]])</f>
        <v/>
      </c>
      <c r="B644" s="36" t="str">
        <f>IF(ISNONTEXT(deployment_raw[[#This Row],[Column2]]), "", deployment_raw[[#This Row],[Column2]])</f>
        <v/>
      </c>
      <c r="C644" s="36" t="str">
        <f>IF(ISNONTEXT(deployment_raw[[#This Row],[Column3]]), "", deployment_raw[[#This Row],[Column3]])</f>
        <v/>
      </c>
      <c r="D644" s="36" t="str">
        <f>IF(ISNONTEXT(deployment_raw[[#This Row],[Column4]]), "", deployment_raw[[#This Row],[Column4]])</f>
        <v/>
      </c>
      <c r="E644" s="37" t="str">
        <f>IF(ISNUMBER(deployment_raw[[#This Row],[Column5]]), deployment_raw[[#This Row],[Column5]],"")</f>
        <v/>
      </c>
      <c r="F644" s="94" t="str">
        <f>IF(ISNUMBER(deployment_raw[[#This Row],[Column6]]), (deployment_raw[[#This Row],[Column6]] * IF($E$2="Deployment",deployment_raw[[#This Row],[Column5]],1)),"")</f>
        <v/>
      </c>
      <c r="G644" s="95" t="str">
        <f>IF(ISNUMBER(deployment_raw[[#This Row],[Column7]]), (deployment_raw[[#This Row],[Column7]] * IF($E$2="Deployment",deployment_raw[[#This Row],[Column5]],1))/1048576,"")</f>
        <v/>
      </c>
      <c r="H644" s="95" t="str">
        <f>IF(ISNUMBER(deployment_raw[[#This Row],[Column8]]), (deployment_raw[[#This Row],[Column8]]  * IF($E$2="Deployment",deployment_raw[[#This Row],[Column5]],1)),"")</f>
        <v/>
      </c>
      <c r="I644" s="96" t="str">
        <f>IF(ISNUMBER(deployment_raw[[#This Row],[Column9]]), (deployment_raw[[#This Row],[Column9]] * IF($E$2="Deployment",deployment_raw[[#This Row],[Column5]],1))/1048576,"")</f>
        <v/>
      </c>
      <c r="J644" s="122" t="str">
        <f>IF(ISNUMBER(deployment_raw[[#This Row],[Column10]]), (MIN(IF(N644&lt;&gt;"",N644,9999999999999)*1.1,deployment_raw[[#This Row],[Column10]] * IF($E$2="Deployment",deployment_raw[[#This Row],[Column5]],1))),"")</f>
        <v/>
      </c>
      <c r="K644" s="123" t="str">
        <f>IF(ISNUMBER(deployment_raw[[#This Row],[Column11]]), (MIN(IF(O644&lt;&gt;"",O644,9999999999999)*1.1,deployment_raw[[#This Row],[Column11]] * IF($E$2="Deployment",deployment_raw[[#This Row],[Column5]],1)/1048576)),"")</f>
        <v/>
      </c>
      <c r="L644" s="124" t="str">
        <f>IF(ISNUMBER(deployment_raw[[#This Row],[Column8]]),IF(OR(deployment_raw[[#This Row],[Column5]] &lt;&gt; 0,$E$2 &lt;&gt; "Deployment"), MAX(J644, P644, R644, ($L$2 * IF($E$2="Deployment",deployment_raw[[#This Row],[Column5]],1)),IF(T644&lt;&gt;"",VALUE(T644) * IF($E$2="Deployment",deployment_raw[[#This Row],[Column5]],1),0)), 0),"")</f>
        <v/>
      </c>
      <c r="M644" s="125" t="str">
        <f>IF(ISNUMBER(deployment_raw[[#This Row],[Column9]]),IF(OR(deployment_raw[[#This Row],[Column5]] &lt;&gt; 0,$E$2&lt;&gt;"Deployment"), MAX(K644, Q644, S644, ($M$2 * IF($E$2="Deployment",deployment_raw[[#This Row],[Column5]],1)),IF(U644&lt;&gt;"",VALUE(U644) * IF($E$2="Deployment",deployment_raw[[#This Row],[Column5]],1),0)), 0),"")</f>
        <v/>
      </c>
      <c r="N644" s="166" t="str">
        <f>IF(ISNUMBER(deployment_raw[[#This Row],[Column14]]), deployment_raw[[#This Row],[Column14]]/IF(OR($E$2="Deployment",deployment_raw[[#This Row],[Column5]]=0),1,deployment_raw[[#This Row],[Column5]]),"")</f>
        <v/>
      </c>
      <c r="O644" s="167" t="str">
        <f>IF(ISNUMBER(deployment_raw[[#This Row],[Column15]]), deployment_raw[[#This Row],[Column15]]/IF(OR($E$2="Deployment",deployment_raw[[#This Row],[Column5]]=0),1,deployment_raw[[#This Row],[Column5]])/1048576,"")</f>
        <v/>
      </c>
      <c r="P644" s="168" t="str">
        <f>IF(ISNUMBER(deployment_raw[[#This Row],[Column12]]), (MIN(IF(N644&lt;&gt;"",N644,9999999999999)*1.1,deployment_raw[[#This Row],[Column12]] * IF($E$2="Deployment",deployment_raw[[#This Row],[Column5]],1))*(1+$P$2)),"")</f>
        <v/>
      </c>
      <c r="Q644" s="167" t="str">
        <f>IF(ISNUMBER(deployment_raw[[#This Row],[Column13]]), (MIN(IF(O644&lt;&gt;"",O644,9999999999999)*1.1,deployment_raw[[#This Row],[Column13]] * IF($E$2="Deployment",deployment_raw[[#This Row],[Column5]],1)*(1+$Q$2)/1048576)),"")</f>
        <v/>
      </c>
      <c r="R644" s="169" t="str">
        <f>IF(ISNUMBER(deployment_raw[[#This Row],[Column8]]), (H644  * IF(N644&lt;&gt;0,$R$2,1)),"")</f>
        <v/>
      </c>
      <c r="S644" s="170" t="str">
        <f>IF(ISNUMBER(deployment_raw[[#This Row],[Column8]]), (I644  * IF(O644&lt;&gt;0,$S$2,1)),"")</f>
        <v/>
      </c>
      <c r="T644" s="202" t="str">
        <f>IF(AND(A644&lt;&gt;"",_xlfn.IFNA(MATCH(A644,'dynamic resource application '!$A$2:$A$100, 0),0)&lt;&gt;0), H644/(IF($E$2="Deployment",E644,1)),"")</f>
        <v/>
      </c>
      <c r="U644" s="211" t="str">
        <f>IF(AND(A644&lt;&gt;"",_xlfn.IFNA(MATCH(A644,'dynamic resource application '!$A$2:$A$100, 0),0)&lt;&gt;0), I644/(IF($E$2="Deployment",E644,1)),"")</f>
        <v/>
      </c>
    </row>
    <row r="645" spans="1:21" ht="15.75" customHeight="1" x14ac:dyDescent="0.25">
      <c r="A645" s="35" t="str">
        <f>IF(ISNONTEXT(deployment_raw[[#This Row],[Column1]]), "", deployment_raw[[#This Row],[Column1]])</f>
        <v/>
      </c>
      <c r="B645" s="36" t="str">
        <f>IF(ISNONTEXT(deployment_raw[[#This Row],[Column2]]), "", deployment_raw[[#This Row],[Column2]])</f>
        <v/>
      </c>
      <c r="C645" s="36" t="str">
        <f>IF(ISNONTEXT(deployment_raw[[#This Row],[Column3]]), "", deployment_raw[[#This Row],[Column3]])</f>
        <v/>
      </c>
      <c r="D645" s="36" t="str">
        <f>IF(ISNONTEXT(deployment_raw[[#This Row],[Column4]]), "", deployment_raw[[#This Row],[Column4]])</f>
        <v/>
      </c>
      <c r="E645" s="37" t="str">
        <f>IF(ISNUMBER(deployment_raw[[#This Row],[Column5]]), deployment_raw[[#This Row],[Column5]],"")</f>
        <v/>
      </c>
      <c r="F645" s="94" t="str">
        <f>IF(ISNUMBER(deployment_raw[[#This Row],[Column6]]), (deployment_raw[[#This Row],[Column6]] * IF($E$2="Deployment",deployment_raw[[#This Row],[Column5]],1)),"")</f>
        <v/>
      </c>
      <c r="G645" s="95" t="str">
        <f>IF(ISNUMBER(deployment_raw[[#This Row],[Column7]]), (deployment_raw[[#This Row],[Column7]] * IF($E$2="Deployment",deployment_raw[[#This Row],[Column5]],1))/1048576,"")</f>
        <v/>
      </c>
      <c r="H645" s="95" t="str">
        <f>IF(ISNUMBER(deployment_raw[[#This Row],[Column8]]), (deployment_raw[[#This Row],[Column8]]  * IF($E$2="Deployment",deployment_raw[[#This Row],[Column5]],1)),"")</f>
        <v/>
      </c>
      <c r="I645" s="96" t="str">
        <f>IF(ISNUMBER(deployment_raw[[#This Row],[Column9]]), (deployment_raw[[#This Row],[Column9]] * IF($E$2="Deployment",deployment_raw[[#This Row],[Column5]],1))/1048576,"")</f>
        <v/>
      </c>
      <c r="J645" s="122" t="str">
        <f>IF(ISNUMBER(deployment_raw[[#This Row],[Column10]]), (MIN(IF(N645&lt;&gt;"",N645,9999999999999)*1.1,deployment_raw[[#This Row],[Column10]] * IF($E$2="Deployment",deployment_raw[[#This Row],[Column5]],1))),"")</f>
        <v/>
      </c>
      <c r="K645" s="123" t="str">
        <f>IF(ISNUMBER(deployment_raw[[#This Row],[Column11]]), (MIN(IF(O645&lt;&gt;"",O645,9999999999999)*1.1,deployment_raw[[#This Row],[Column11]] * IF($E$2="Deployment",deployment_raw[[#This Row],[Column5]],1)/1048576)),"")</f>
        <v/>
      </c>
      <c r="L645" s="124" t="str">
        <f>IF(ISNUMBER(deployment_raw[[#This Row],[Column8]]),IF(OR(deployment_raw[[#This Row],[Column5]] &lt;&gt; 0,$E$2 &lt;&gt; "Deployment"), MAX(J645, P645, R645, ($L$2 * IF($E$2="Deployment",deployment_raw[[#This Row],[Column5]],1)),IF(T645&lt;&gt;"",VALUE(T645) * IF($E$2="Deployment",deployment_raw[[#This Row],[Column5]],1),0)), 0),"")</f>
        <v/>
      </c>
      <c r="M645" s="125" t="str">
        <f>IF(ISNUMBER(deployment_raw[[#This Row],[Column9]]),IF(OR(deployment_raw[[#This Row],[Column5]] &lt;&gt; 0,$E$2&lt;&gt;"Deployment"), MAX(K645, Q645, S645, ($M$2 * IF($E$2="Deployment",deployment_raw[[#This Row],[Column5]],1)),IF(U645&lt;&gt;"",VALUE(U645) * IF($E$2="Deployment",deployment_raw[[#This Row],[Column5]],1),0)), 0),"")</f>
        <v/>
      </c>
      <c r="N645" s="166" t="str">
        <f>IF(ISNUMBER(deployment_raw[[#This Row],[Column14]]), deployment_raw[[#This Row],[Column14]]/IF(OR($E$2="Deployment",deployment_raw[[#This Row],[Column5]]=0),1,deployment_raw[[#This Row],[Column5]]),"")</f>
        <v/>
      </c>
      <c r="O645" s="167" t="str">
        <f>IF(ISNUMBER(deployment_raw[[#This Row],[Column15]]), deployment_raw[[#This Row],[Column15]]/IF(OR($E$2="Deployment",deployment_raw[[#This Row],[Column5]]=0),1,deployment_raw[[#This Row],[Column5]])/1048576,"")</f>
        <v/>
      </c>
      <c r="P645" s="168" t="str">
        <f>IF(ISNUMBER(deployment_raw[[#This Row],[Column12]]), (MIN(IF(N645&lt;&gt;"",N645,9999999999999)*1.1,deployment_raw[[#This Row],[Column12]] * IF($E$2="Deployment",deployment_raw[[#This Row],[Column5]],1))*(1+$P$2)),"")</f>
        <v/>
      </c>
      <c r="Q645" s="167" t="str">
        <f>IF(ISNUMBER(deployment_raw[[#This Row],[Column13]]), (MIN(IF(O645&lt;&gt;"",O645,9999999999999)*1.1,deployment_raw[[#This Row],[Column13]] * IF($E$2="Deployment",deployment_raw[[#This Row],[Column5]],1)*(1+$Q$2)/1048576)),"")</f>
        <v/>
      </c>
      <c r="R645" s="169" t="str">
        <f>IF(ISNUMBER(deployment_raw[[#This Row],[Column8]]), (H645  * IF(N645&lt;&gt;0,$R$2,1)),"")</f>
        <v/>
      </c>
      <c r="S645" s="170" t="str">
        <f>IF(ISNUMBER(deployment_raw[[#This Row],[Column8]]), (I645  * IF(O645&lt;&gt;0,$S$2,1)),"")</f>
        <v/>
      </c>
      <c r="T645" s="202" t="str">
        <f>IF(AND(A645&lt;&gt;"",_xlfn.IFNA(MATCH(A645,'dynamic resource application '!$A$2:$A$100, 0),0)&lt;&gt;0), H645/(IF($E$2="Deployment",E645,1)),"")</f>
        <v/>
      </c>
      <c r="U645" s="211" t="str">
        <f>IF(AND(A645&lt;&gt;"",_xlfn.IFNA(MATCH(A645,'dynamic resource application '!$A$2:$A$100, 0),0)&lt;&gt;0), I645/(IF($E$2="Deployment",E645,1)),"")</f>
        <v/>
      </c>
    </row>
    <row r="646" spans="1:21" ht="15.75" customHeight="1" x14ac:dyDescent="0.25">
      <c r="A646" s="35" t="str">
        <f>IF(ISNONTEXT(deployment_raw[[#This Row],[Column1]]), "", deployment_raw[[#This Row],[Column1]])</f>
        <v/>
      </c>
      <c r="B646" s="36" t="str">
        <f>IF(ISNONTEXT(deployment_raw[[#This Row],[Column2]]), "", deployment_raw[[#This Row],[Column2]])</f>
        <v/>
      </c>
      <c r="C646" s="36" t="str">
        <f>IF(ISNONTEXT(deployment_raw[[#This Row],[Column3]]), "", deployment_raw[[#This Row],[Column3]])</f>
        <v/>
      </c>
      <c r="D646" s="36" t="str">
        <f>IF(ISNONTEXT(deployment_raw[[#This Row],[Column4]]), "", deployment_raw[[#This Row],[Column4]])</f>
        <v/>
      </c>
      <c r="E646" s="37" t="str">
        <f>IF(ISNUMBER(deployment_raw[[#This Row],[Column5]]), deployment_raw[[#This Row],[Column5]],"")</f>
        <v/>
      </c>
      <c r="F646" s="94" t="str">
        <f>IF(ISNUMBER(deployment_raw[[#This Row],[Column6]]), (deployment_raw[[#This Row],[Column6]] * IF($E$2="Deployment",deployment_raw[[#This Row],[Column5]],1)),"")</f>
        <v/>
      </c>
      <c r="G646" s="95" t="str">
        <f>IF(ISNUMBER(deployment_raw[[#This Row],[Column7]]), (deployment_raw[[#This Row],[Column7]] * IF($E$2="Deployment",deployment_raw[[#This Row],[Column5]],1))/1048576,"")</f>
        <v/>
      </c>
      <c r="H646" s="95" t="str">
        <f>IF(ISNUMBER(deployment_raw[[#This Row],[Column8]]), (deployment_raw[[#This Row],[Column8]]  * IF($E$2="Deployment",deployment_raw[[#This Row],[Column5]],1)),"")</f>
        <v/>
      </c>
      <c r="I646" s="96" t="str">
        <f>IF(ISNUMBER(deployment_raw[[#This Row],[Column9]]), (deployment_raw[[#This Row],[Column9]] * IF($E$2="Deployment",deployment_raw[[#This Row],[Column5]],1))/1048576,"")</f>
        <v/>
      </c>
      <c r="J646" s="122" t="str">
        <f>IF(ISNUMBER(deployment_raw[[#This Row],[Column10]]), (MIN(IF(N646&lt;&gt;"",N646,9999999999999)*1.1,deployment_raw[[#This Row],[Column10]] * IF($E$2="Deployment",deployment_raw[[#This Row],[Column5]],1))),"")</f>
        <v/>
      </c>
      <c r="K646" s="123" t="str">
        <f>IF(ISNUMBER(deployment_raw[[#This Row],[Column11]]), (MIN(IF(O646&lt;&gt;"",O646,9999999999999)*1.1,deployment_raw[[#This Row],[Column11]] * IF($E$2="Deployment",deployment_raw[[#This Row],[Column5]],1)/1048576)),"")</f>
        <v/>
      </c>
      <c r="L646" s="124" t="str">
        <f>IF(ISNUMBER(deployment_raw[[#This Row],[Column8]]),IF(OR(deployment_raw[[#This Row],[Column5]] &lt;&gt; 0,$E$2 &lt;&gt; "Deployment"), MAX(J646, P646, R646, ($L$2 * IF($E$2="Deployment",deployment_raw[[#This Row],[Column5]],1)),IF(T646&lt;&gt;"",VALUE(T646) * IF($E$2="Deployment",deployment_raw[[#This Row],[Column5]],1),0)), 0),"")</f>
        <v/>
      </c>
      <c r="M646" s="125" t="str">
        <f>IF(ISNUMBER(deployment_raw[[#This Row],[Column9]]),IF(OR(deployment_raw[[#This Row],[Column5]] &lt;&gt; 0,$E$2&lt;&gt;"Deployment"), MAX(K646, Q646, S646, ($M$2 * IF($E$2="Deployment",deployment_raw[[#This Row],[Column5]],1)),IF(U646&lt;&gt;"",VALUE(U646) * IF($E$2="Deployment",deployment_raw[[#This Row],[Column5]],1),0)), 0),"")</f>
        <v/>
      </c>
      <c r="N646" s="166" t="str">
        <f>IF(ISNUMBER(deployment_raw[[#This Row],[Column14]]), deployment_raw[[#This Row],[Column14]]/IF(OR($E$2="Deployment",deployment_raw[[#This Row],[Column5]]=0),1,deployment_raw[[#This Row],[Column5]]),"")</f>
        <v/>
      </c>
      <c r="O646" s="167" t="str">
        <f>IF(ISNUMBER(deployment_raw[[#This Row],[Column15]]), deployment_raw[[#This Row],[Column15]]/IF(OR($E$2="Deployment",deployment_raw[[#This Row],[Column5]]=0),1,deployment_raw[[#This Row],[Column5]])/1048576,"")</f>
        <v/>
      </c>
      <c r="P646" s="168" t="str">
        <f>IF(ISNUMBER(deployment_raw[[#This Row],[Column12]]), (MIN(IF(N646&lt;&gt;"",N646,9999999999999)*1.1,deployment_raw[[#This Row],[Column12]] * IF($E$2="Deployment",deployment_raw[[#This Row],[Column5]],1))*(1+$P$2)),"")</f>
        <v/>
      </c>
      <c r="Q646" s="167" t="str">
        <f>IF(ISNUMBER(deployment_raw[[#This Row],[Column13]]), (MIN(IF(O646&lt;&gt;"",O646,9999999999999)*1.1,deployment_raw[[#This Row],[Column13]] * IF($E$2="Deployment",deployment_raw[[#This Row],[Column5]],1)*(1+$Q$2)/1048576)),"")</f>
        <v/>
      </c>
      <c r="R646" s="169" t="str">
        <f>IF(ISNUMBER(deployment_raw[[#This Row],[Column8]]), (H646  * IF(N646&lt;&gt;0,$R$2,1)),"")</f>
        <v/>
      </c>
      <c r="S646" s="170" t="str">
        <f>IF(ISNUMBER(deployment_raw[[#This Row],[Column8]]), (I646  * IF(O646&lt;&gt;0,$S$2,1)),"")</f>
        <v/>
      </c>
      <c r="T646" s="202" t="str">
        <f>IF(AND(A646&lt;&gt;"",_xlfn.IFNA(MATCH(A646,'dynamic resource application '!$A$2:$A$100, 0),0)&lt;&gt;0), H646/(IF($E$2="Deployment",E646,1)),"")</f>
        <v/>
      </c>
      <c r="U646" s="211" t="str">
        <f>IF(AND(A646&lt;&gt;"",_xlfn.IFNA(MATCH(A646,'dynamic resource application '!$A$2:$A$100, 0),0)&lt;&gt;0), I646/(IF($E$2="Deployment",E646,1)),"")</f>
        <v/>
      </c>
    </row>
    <row r="647" spans="1:21" ht="15.75" customHeight="1" x14ac:dyDescent="0.25">
      <c r="A647" s="35" t="str">
        <f>IF(ISNONTEXT(deployment_raw[[#This Row],[Column1]]), "", deployment_raw[[#This Row],[Column1]])</f>
        <v/>
      </c>
      <c r="B647" s="36" t="str">
        <f>IF(ISNONTEXT(deployment_raw[[#This Row],[Column2]]), "", deployment_raw[[#This Row],[Column2]])</f>
        <v/>
      </c>
      <c r="C647" s="36" t="str">
        <f>IF(ISNONTEXT(deployment_raw[[#This Row],[Column3]]), "", deployment_raw[[#This Row],[Column3]])</f>
        <v/>
      </c>
      <c r="D647" s="36" t="str">
        <f>IF(ISNONTEXT(deployment_raw[[#This Row],[Column4]]), "", deployment_raw[[#This Row],[Column4]])</f>
        <v/>
      </c>
      <c r="E647" s="37" t="str">
        <f>IF(ISNUMBER(deployment_raw[[#This Row],[Column5]]), deployment_raw[[#This Row],[Column5]],"")</f>
        <v/>
      </c>
      <c r="F647" s="94" t="str">
        <f>IF(ISNUMBER(deployment_raw[[#This Row],[Column6]]), (deployment_raw[[#This Row],[Column6]] * IF($E$2="Deployment",deployment_raw[[#This Row],[Column5]],1)),"")</f>
        <v/>
      </c>
      <c r="G647" s="95" t="str">
        <f>IF(ISNUMBER(deployment_raw[[#This Row],[Column7]]), (deployment_raw[[#This Row],[Column7]] * IF($E$2="Deployment",deployment_raw[[#This Row],[Column5]],1))/1048576,"")</f>
        <v/>
      </c>
      <c r="H647" s="95" t="str">
        <f>IF(ISNUMBER(deployment_raw[[#This Row],[Column8]]), (deployment_raw[[#This Row],[Column8]]  * IF($E$2="Deployment",deployment_raw[[#This Row],[Column5]],1)),"")</f>
        <v/>
      </c>
      <c r="I647" s="96" t="str">
        <f>IF(ISNUMBER(deployment_raw[[#This Row],[Column9]]), (deployment_raw[[#This Row],[Column9]] * IF($E$2="Deployment",deployment_raw[[#This Row],[Column5]],1))/1048576,"")</f>
        <v/>
      </c>
      <c r="J647" s="122" t="str">
        <f>IF(ISNUMBER(deployment_raw[[#This Row],[Column10]]), (MIN(IF(N647&lt;&gt;"",N647,9999999999999)*1.1,deployment_raw[[#This Row],[Column10]] * IF($E$2="Deployment",deployment_raw[[#This Row],[Column5]],1))),"")</f>
        <v/>
      </c>
      <c r="K647" s="123" t="str">
        <f>IF(ISNUMBER(deployment_raw[[#This Row],[Column11]]), (MIN(IF(O647&lt;&gt;"",O647,9999999999999)*1.1,deployment_raw[[#This Row],[Column11]] * IF($E$2="Deployment",deployment_raw[[#This Row],[Column5]],1)/1048576)),"")</f>
        <v/>
      </c>
      <c r="L647" s="124" t="str">
        <f>IF(ISNUMBER(deployment_raw[[#This Row],[Column8]]),IF(OR(deployment_raw[[#This Row],[Column5]] &lt;&gt; 0,$E$2 &lt;&gt; "Deployment"), MAX(J647, P647, R647, ($L$2 * IF($E$2="Deployment",deployment_raw[[#This Row],[Column5]],1)),IF(T647&lt;&gt;"",VALUE(T647) * IF($E$2="Deployment",deployment_raw[[#This Row],[Column5]],1),0)), 0),"")</f>
        <v/>
      </c>
      <c r="M647" s="125" t="str">
        <f>IF(ISNUMBER(deployment_raw[[#This Row],[Column9]]),IF(OR(deployment_raw[[#This Row],[Column5]] &lt;&gt; 0,$E$2&lt;&gt;"Deployment"), MAX(K647, Q647, S647, ($M$2 * IF($E$2="Deployment",deployment_raw[[#This Row],[Column5]],1)),IF(U647&lt;&gt;"",VALUE(U647) * IF($E$2="Deployment",deployment_raw[[#This Row],[Column5]],1),0)), 0),"")</f>
        <v/>
      </c>
      <c r="N647" s="166" t="str">
        <f>IF(ISNUMBER(deployment_raw[[#This Row],[Column14]]), deployment_raw[[#This Row],[Column14]]/IF(OR($E$2="Deployment",deployment_raw[[#This Row],[Column5]]=0),1,deployment_raw[[#This Row],[Column5]]),"")</f>
        <v/>
      </c>
      <c r="O647" s="167" t="str">
        <f>IF(ISNUMBER(deployment_raw[[#This Row],[Column15]]), deployment_raw[[#This Row],[Column15]]/IF(OR($E$2="Deployment",deployment_raw[[#This Row],[Column5]]=0),1,deployment_raw[[#This Row],[Column5]])/1048576,"")</f>
        <v/>
      </c>
      <c r="P647" s="168" t="str">
        <f>IF(ISNUMBER(deployment_raw[[#This Row],[Column12]]), (MIN(IF(N647&lt;&gt;"",N647,9999999999999)*1.1,deployment_raw[[#This Row],[Column12]] * IF($E$2="Deployment",deployment_raw[[#This Row],[Column5]],1))*(1+$P$2)),"")</f>
        <v/>
      </c>
      <c r="Q647" s="167" t="str">
        <f>IF(ISNUMBER(deployment_raw[[#This Row],[Column13]]), (MIN(IF(O647&lt;&gt;"",O647,9999999999999)*1.1,deployment_raw[[#This Row],[Column13]] * IF($E$2="Deployment",deployment_raw[[#This Row],[Column5]],1)*(1+$Q$2)/1048576)),"")</f>
        <v/>
      </c>
      <c r="R647" s="169" t="str">
        <f>IF(ISNUMBER(deployment_raw[[#This Row],[Column8]]), (H647  * IF(N647&lt;&gt;0,$R$2,1)),"")</f>
        <v/>
      </c>
      <c r="S647" s="170" t="str">
        <f>IF(ISNUMBER(deployment_raw[[#This Row],[Column8]]), (I647  * IF(O647&lt;&gt;0,$S$2,1)),"")</f>
        <v/>
      </c>
      <c r="T647" s="202" t="str">
        <f>IF(AND(A647&lt;&gt;"",_xlfn.IFNA(MATCH(A647,'dynamic resource application '!$A$2:$A$100, 0),0)&lt;&gt;0), H647/(IF($E$2="Deployment",E647,1)),"")</f>
        <v/>
      </c>
      <c r="U647" s="211" t="str">
        <f>IF(AND(A647&lt;&gt;"",_xlfn.IFNA(MATCH(A647,'dynamic resource application '!$A$2:$A$100, 0),0)&lt;&gt;0), I647/(IF($E$2="Deployment",E647,1)),"")</f>
        <v/>
      </c>
    </row>
    <row r="648" spans="1:21" ht="15.75" customHeight="1" x14ac:dyDescent="0.25">
      <c r="A648" s="35" t="str">
        <f>IF(ISNONTEXT(deployment_raw[[#This Row],[Column1]]), "", deployment_raw[[#This Row],[Column1]])</f>
        <v/>
      </c>
      <c r="B648" s="36" t="str">
        <f>IF(ISNONTEXT(deployment_raw[[#This Row],[Column2]]), "", deployment_raw[[#This Row],[Column2]])</f>
        <v/>
      </c>
      <c r="C648" s="36" t="str">
        <f>IF(ISNONTEXT(deployment_raw[[#This Row],[Column3]]), "", deployment_raw[[#This Row],[Column3]])</f>
        <v/>
      </c>
      <c r="D648" s="36" t="str">
        <f>IF(ISNONTEXT(deployment_raw[[#This Row],[Column4]]), "", deployment_raw[[#This Row],[Column4]])</f>
        <v/>
      </c>
      <c r="E648" s="37" t="str">
        <f>IF(ISNUMBER(deployment_raw[[#This Row],[Column5]]), deployment_raw[[#This Row],[Column5]],"")</f>
        <v/>
      </c>
      <c r="F648" s="94" t="str">
        <f>IF(ISNUMBER(deployment_raw[[#This Row],[Column6]]), (deployment_raw[[#This Row],[Column6]] * IF($E$2="Deployment",deployment_raw[[#This Row],[Column5]],1)),"")</f>
        <v/>
      </c>
      <c r="G648" s="95" t="str">
        <f>IF(ISNUMBER(deployment_raw[[#This Row],[Column7]]), (deployment_raw[[#This Row],[Column7]] * IF($E$2="Deployment",deployment_raw[[#This Row],[Column5]],1))/1048576,"")</f>
        <v/>
      </c>
      <c r="H648" s="95" t="str">
        <f>IF(ISNUMBER(deployment_raw[[#This Row],[Column8]]), (deployment_raw[[#This Row],[Column8]]  * IF($E$2="Deployment",deployment_raw[[#This Row],[Column5]],1)),"")</f>
        <v/>
      </c>
      <c r="I648" s="96" t="str">
        <f>IF(ISNUMBER(deployment_raw[[#This Row],[Column9]]), (deployment_raw[[#This Row],[Column9]] * IF($E$2="Deployment",deployment_raw[[#This Row],[Column5]],1))/1048576,"")</f>
        <v/>
      </c>
      <c r="J648" s="122" t="str">
        <f>IF(ISNUMBER(deployment_raw[[#This Row],[Column10]]), (MIN(IF(N648&lt;&gt;"",N648,9999999999999)*1.1,deployment_raw[[#This Row],[Column10]] * IF($E$2="Deployment",deployment_raw[[#This Row],[Column5]],1))),"")</f>
        <v/>
      </c>
      <c r="K648" s="123" t="str">
        <f>IF(ISNUMBER(deployment_raw[[#This Row],[Column11]]), (MIN(IF(O648&lt;&gt;"",O648,9999999999999)*1.1,deployment_raw[[#This Row],[Column11]] * IF($E$2="Deployment",deployment_raw[[#This Row],[Column5]],1)/1048576)),"")</f>
        <v/>
      </c>
      <c r="L648" s="124" t="str">
        <f>IF(ISNUMBER(deployment_raw[[#This Row],[Column8]]),IF(OR(deployment_raw[[#This Row],[Column5]] &lt;&gt; 0,$E$2 &lt;&gt; "Deployment"), MAX(J648, P648, R648, ($L$2 * IF($E$2="Deployment",deployment_raw[[#This Row],[Column5]],1)),IF(T648&lt;&gt;"",VALUE(T648) * IF($E$2="Deployment",deployment_raw[[#This Row],[Column5]],1),0)), 0),"")</f>
        <v/>
      </c>
      <c r="M648" s="125" t="str">
        <f>IF(ISNUMBER(deployment_raw[[#This Row],[Column9]]),IF(OR(deployment_raw[[#This Row],[Column5]] &lt;&gt; 0,$E$2&lt;&gt;"Deployment"), MAX(K648, Q648, S648, ($M$2 * IF($E$2="Deployment",deployment_raw[[#This Row],[Column5]],1)),IF(U648&lt;&gt;"",VALUE(U648) * IF($E$2="Deployment",deployment_raw[[#This Row],[Column5]],1),0)), 0),"")</f>
        <v/>
      </c>
      <c r="N648" s="166" t="str">
        <f>IF(ISNUMBER(deployment_raw[[#This Row],[Column14]]), deployment_raw[[#This Row],[Column14]]/IF(OR($E$2="Deployment",deployment_raw[[#This Row],[Column5]]=0),1,deployment_raw[[#This Row],[Column5]]),"")</f>
        <v/>
      </c>
      <c r="O648" s="167" t="str">
        <f>IF(ISNUMBER(deployment_raw[[#This Row],[Column15]]), deployment_raw[[#This Row],[Column15]]/IF(OR($E$2="Deployment",deployment_raw[[#This Row],[Column5]]=0),1,deployment_raw[[#This Row],[Column5]])/1048576,"")</f>
        <v/>
      </c>
      <c r="P648" s="168" t="str">
        <f>IF(ISNUMBER(deployment_raw[[#This Row],[Column12]]), (MIN(IF(N648&lt;&gt;"",N648,9999999999999)*1.1,deployment_raw[[#This Row],[Column12]] * IF($E$2="Deployment",deployment_raw[[#This Row],[Column5]],1))*(1+$P$2)),"")</f>
        <v/>
      </c>
      <c r="Q648" s="167" t="str">
        <f>IF(ISNUMBER(deployment_raw[[#This Row],[Column13]]), (MIN(IF(O648&lt;&gt;"",O648,9999999999999)*1.1,deployment_raw[[#This Row],[Column13]] * IF($E$2="Deployment",deployment_raw[[#This Row],[Column5]],1)*(1+$Q$2)/1048576)),"")</f>
        <v/>
      </c>
      <c r="R648" s="169" t="str">
        <f>IF(ISNUMBER(deployment_raw[[#This Row],[Column8]]), (H648  * IF(N648&lt;&gt;0,$R$2,1)),"")</f>
        <v/>
      </c>
      <c r="S648" s="170" t="str">
        <f>IF(ISNUMBER(deployment_raw[[#This Row],[Column8]]), (I648  * IF(O648&lt;&gt;0,$S$2,1)),"")</f>
        <v/>
      </c>
      <c r="T648" s="202" t="str">
        <f>IF(AND(A648&lt;&gt;"",_xlfn.IFNA(MATCH(A648,'dynamic resource application '!$A$2:$A$100, 0),0)&lt;&gt;0), H648/(IF($E$2="Deployment",E648,1)),"")</f>
        <v/>
      </c>
      <c r="U648" s="211" t="str">
        <f>IF(AND(A648&lt;&gt;"",_xlfn.IFNA(MATCH(A648,'dynamic resource application '!$A$2:$A$100, 0),0)&lt;&gt;0), I648/(IF($E$2="Deployment",E648,1)),"")</f>
        <v/>
      </c>
    </row>
    <row r="649" spans="1:21" ht="15.75" customHeight="1" x14ac:dyDescent="0.25">
      <c r="A649" s="35" t="str">
        <f>IF(ISNONTEXT(deployment_raw[[#This Row],[Column1]]), "", deployment_raw[[#This Row],[Column1]])</f>
        <v/>
      </c>
      <c r="B649" s="36" t="str">
        <f>IF(ISNONTEXT(deployment_raw[[#This Row],[Column2]]), "", deployment_raw[[#This Row],[Column2]])</f>
        <v/>
      </c>
      <c r="C649" s="36" t="str">
        <f>IF(ISNONTEXT(deployment_raw[[#This Row],[Column3]]), "", deployment_raw[[#This Row],[Column3]])</f>
        <v/>
      </c>
      <c r="D649" s="36" t="str">
        <f>IF(ISNONTEXT(deployment_raw[[#This Row],[Column4]]), "", deployment_raw[[#This Row],[Column4]])</f>
        <v/>
      </c>
      <c r="E649" s="37" t="str">
        <f>IF(ISNUMBER(deployment_raw[[#This Row],[Column5]]), deployment_raw[[#This Row],[Column5]],"")</f>
        <v/>
      </c>
      <c r="F649" s="94" t="str">
        <f>IF(ISNUMBER(deployment_raw[[#This Row],[Column6]]), (deployment_raw[[#This Row],[Column6]] * IF($E$2="Deployment",deployment_raw[[#This Row],[Column5]],1)),"")</f>
        <v/>
      </c>
      <c r="G649" s="95" t="str">
        <f>IF(ISNUMBER(deployment_raw[[#This Row],[Column7]]), (deployment_raw[[#This Row],[Column7]] * IF($E$2="Deployment",deployment_raw[[#This Row],[Column5]],1))/1048576,"")</f>
        <v/>
      </c>
      <c r="H649" s="95" t="str">
        <f>IF(ISNUMBER(deployment_raw[[#This Row],[Column8]]), (deployment_raw[[#This Row],[Column8]]  * IF($E$2="Deployment",deployment_raw[[#This Row],[Column5]],1)),"")</f>
        <v/>
      </c>
      <c r="I649" s="96" t="str">
        <f>IF(ISNUMBER(deployment_raw[[#This Row],[Column9]]), (deployment_raw[[#This Row],[Column9]] * IF($E$2="Deployment",deployment_raw[[#This Row],[Column5]],1))/1048576,"")</f>
        <v/>
      </c>
      <c r="J649" s="122" t="str">
        <f>IF(ISNUMBER(deployment_raw[[#This Row],[Column10]]), (MIN(IF(N649&lt;&gt;"",N649,9999999999999)*1.1,deployment_raw[[#This Row],[Column10]] * IF($E$2="Deployment",deployment_raw[[#This Row],[Column5]],1))),"")</f>
        <v/>
      </c>
      <c r="K649" s="123" t="str">
        <f>IF(ISNUMBER(deployment_raw[[#This Row],[Column11]]), (MIN(IF(O649&lt;&gt;"",O649,9999999999999)*1.1,deployment_raw[[#This Row],[Column11]] * IF($E$2="Deployment",deployment_raw[[#This Row],[Column5]],1)/1048576)),"")</f>
        <v/>
      </c>
      <c r="L649" s="124" t="str">
        <f>IF(ISNUMBER(deployment_raw[[#This Row],[Column8]]),IF(OR(deployment_raw[[#This Row],[Column5]] &lt;&gt; 0,$E$2 &lt;&gt; "Deployment"), MAX(J649, P649, R649, ($L$2 * IF($E$2="Deployment",deployment_raw[[#This Row],[Column5]],1)),IF(T649&lt;&gt;"",VALUE(T649) * IF($E$2="Deployment",deployment_raw[[#This Row],[Column5]],1),0)), 0),"")</f>
        <v/>
      </c>
      <c r="M649" s="125" t="str">
        <f>IF(ISNUMBER(deployment_raw[[#This Row],[Column9]]),IF(OR(deployment_raw[[#This Row],[Column5]] &lt;&gt; 0,$E$2&lt;&gt;"Deployment"), MAX(K649, Q649, S649, ($M$2 * IF($E$2="Deployment",deployment_raw[[#This Row],[Column5]],1)),IF(U649&lt;&gt;"",VALUE(U649) * IF($E$2="Deployment",deployment_raw[[#This Row],[Column5]],1),0)), 0),"")</f>
        <v/>
      </c>
      <c r="N649" s="166" t="str">
        <f>IF(ISNUMBER(deployment_raw[[#This Row],[Column14]]), deployment_raw[[#This Row],[Column14]]/IF(OR($E$2="Deployment",deployment_raw[[#This Row],[Column5]]=0),1,deployment_raw[[#This Row],[Column5]]),"")</f>
        <v/>
      </c>
      <c r="O649" s="167" t="str">
        <f>IF(ISNUMBER(deployment_raw[[#This Row],[Column15]]), deployment_raw[[#This Row],[Column15]]/IF(OR($E$2="Deployment",deployment_raw[[#This Row],[Column5]]=0),1,deployment_raw[[#This Row],[Column5]])/1048576,"")</f>
        <v/>
      </c>
      <c r="P649" s="168" t="str">
        <f>IF(ISNUMBER(deployment_raw[[#This Row],[Column12]]), (MIN(IF(N649&lt;&gt;"",N649,9999999999999)*1.1,deployment_raw[[#This Row],[Column12]] * IF($E$2="Deployment",deployment_raw[[#This Row],[Column5]],1))*(1+$P$2)),"")</f>
        <v/>
      </c>
      <c r="Q649" s="167" t="str">
        <f>IF(ISNUMBER(deployment_raw[[#This Row],[Column13]]), (MIN(IF(O649&lt;&gt;"",O649,9999999999999)*1.1,deployment_raw[[#This Row],[Column13]] * IF($E$2="Deployment",deployment_raw[[#This Row],[Column5]],1)*(1+$Q$2)/1048576)),"")</f>
        <v/>
      </c>
      <c r="R649" s="169" t="str">
        <f>IF(ISNUMBER(deployment_raw[[#This Row],[Column8]]), (H649  * IF(N649&lt;&gt;0,$R$2,1)),"")</f>
        <v/>
      </c>
      <c r="S649" s="170" t="str">
        <f>IF(ISNUMBER(deployment_raw[[#This Row],[Column8]]), (I649  * IF(O649&lt;&gt;0,$S$2,1)),"")</f>
        <v/>
      </c>
      <c r="T649" s="202" t="str">
        <f>IF(AND(A649&lt;&gt;"",_xlfn.IFNA(MATCH(A649,'dynamic resource application '!$A$2:$A$100, 0),0)&lt;&gt;0), H649/(IF($E$2="Deployment",E649,1)),"")</f>
        <v/>
      </c>
      <c r="U649" s="211" t="str">
        <f>IF(AND(A649&lt;&gt;"",_xlfn.IFNA(MATCH(A649,'dynamic resource application '!$A$2:$A$100, 0),0)&lt;&gt;0), I649/(IF($E$2="Deployment",E649,1)),"")</f>
        <v/>
      </c>
    </row>
    <row r="650" spans="1:21" ht="15.75" customHeight="1" x14ac:dyDescent="0.25">
      <c r="A650" s="35" t="str">
        <f>IF(ISNONTEXT(deployment_raw[[#This Row],[Column1]]), "", deployment_raw[[#This Row],[Column1]])</f>
        <v/>
      </c>
      <c r="B650" s="36" t="str">
        <f>IF(ISNONTEXT(deployment_raw[[#This Row],[Column2]]), "", deployment_raw[[#This Row],[Column2]])</f>
        <v/>
      </c>
      <c r="C650" s="36" t="str">
        <f>IF(ISNONTEXT(deployment_raw[[#This Row],[Column3]]), "", deployment_raw[[#This Row],[Column3]])</f>
        <v/>
      </c>
      <c r="D650" s="36" t="str">
        <f>IF(ISNONTEXT(deployment_raw[[#This Row],[Column4]]), "", deployment_raw[[#This Row],[Column4]])</f>
        <v/>
      </c>
      <c r="E650" s="37" t="str">
        <f>IF(ISNUMBER(deployment_raw[[#This Row],[Column5]]), deployment_raw[[#This Row],[Column5]],"")</f>
        <v/>
      </c>
      <c r="F650" s="94" t="str">
        <f>IF(ISNUMBER(deployment_raw[[#This Row],[Column6]]), (deployment_raw[[#This Row],[Column6]] * IF($E$2="Deployment",deployment_raw[[#This Row],[Column5]],1)),"")</f>
        <v/>
      </c>
      <c r="G650" s="95" t="str">
        <f>IF(ISNUMBER(deployment_raw[[#This Row],[Column7]]), (deployment_raw[[#This Row],[Column7]] * IF($E$2="Deployment",deployment_raw[[#This Row],[Column5]],1))/1048576,"")</f>
        <v/>
      </c>
      <c r="H650" s="95" t="str">
        <f>IF(ISNUMBER(deployment_raw[[#This Row],[Column8]]), (deployment_raw[[#This Row],[Column8]]  * IF($E$2="Deployment",deployment_raw[[#This Row],[Column5]],1)),"")</f>
        <v/>
      </c>
      <c r="I650" s="96" t="str">
        <f>IF(ISNUMBER(deployment_raw[[#This Row],[Column9]]), (deployment_raw[[#This Row],[Column9]] * IF($E$2="Deployment",deployment_raw[[#This Row],[Column5]],1))/1048576,"")</f>
        <v/>
      </c>
      <c r="J650" s="122" t="str">
        <f>IF(ISNUMBER(deployment_raw[[#This Row],[Column10]]), (MIN(IF(N650&lt;&gt;"",N650,9999999999999)*1.1,deployment_raw[[#This Row],[Column10]] * IF($E$2="Deployment",deployment_raw[[#This Row],[Column5]],1))),"")</f>
        <v/>
      </c>
      <c r="K650" s="123" t="str">
        <f>IF(ISNUMBER(deployment_raw[[#This Row],[Column11]]), (MIN(IF(O650&lt;&gt;"",O650,9999999999999)*1.1,deployment_raw[[#This Row],[Column11]] * IF($E$2="Deployment",deployment_raw[[#This Row],[Column5]],1)/1048576)),"")</f>
        <v/>
      </c>
      <c r="L650" s="124" t="str">
        <f>IF(ISNUMBER(deployment_raw[[#This Row],[Column8]]),IF(OR(deployment_raw[[#This Row],[Column5]] &lt;&gt; 0,$E$2 &lt;&gt; "Deployment"), MAX(J650, P650, R650, ($L$2 * IF($E$2="Deployment",deployment_raw[[#This Row],[Column5]],1)),IF(T650&lt;&gt;"",VALUE(T650) * IF($E$2="Deployment",deployment_raw[[#This Row],[Column5]],1),0)), 0),"")</f>
        <v/>
      </c>
      <c r="M650" s="125" t="str">
        <f>IF(ISNUMBER(deployment_raw[[#This Row],[Column9]]),IF(OR(deployment_raw[[#This Row],[Column5]] &lt;&gt; 0,$E$2&lt;&gt;"Deployment"), MAX(K650, Q650, S650, ($M$2 * IF($E$2="Deployment",deployment_raw[[#This Row],[Column5]],1)),IF(U650&lt;&gt;"",VALUE(U650) * IF($E$2="Deployment",deployment_raw[[#This Row],[Column5]],1),0)), 0),"")</f>
        <v/>
      </c>
      <c r="N650" s="166" t="str">
        <f>IF(ISNUMBER(deployment_raw[[#This Row],[Column14]]), deployment_raw[[#This Row],[Column14]]/IF(OR($E$2="Deployment",deployment_raw[[#This Row],[Column5]]=0),1,deployment_raw[[#This Row],[Column5]]),"")</f>
        <v/>
      </c>
      <c r="O650" s="167" t="str">
        <f>IF(ISNUMBER(deployment_raw[[#This Row],[Column15]]), deployment_raw[[#This Row],[Column15]]/IF(OR($E$2="Deployment",deployment_raw[[#This Row],[Column5]]=0),1,deployment_raw[[#This Row],[Column5]])/1048576,"")</f>
        <v/>
      </c>
      <c r="P650" s="168" t="str">
        <f>IF(ISNUMBER(deployment_raw[[#This Row],[Column12]]), (MIN(IF(N650&lt;&gt;"",N650,9999999999999)*1.1,deployment_raw[[#This Row],[Column12]] * IF($E$2="Deployment",deployment_raw[[#This Row],[Column5]],1))*(1+$P$2)),"")</f>
        <v/>
      </c>
      <c r="Q650" s="167" t="str">
        <f>IF(ISNUMBER(deployment_raw[[#This Row],[Column13]]), (MIN(IF(O650&lt;&gt;"",O650,9999999999999)*1.1,deployment_raw[[#This Row],[Column13]] * IF($E$2="Deployment",deployment_raw[[#This Row],[Column5]],1)*(1+$Q$2)/1048576)),"")</f>
        <v/>
      </c>
      <c r="R650" s="169" t="str">
        <f>IF(ISNUMBER(deployment_raw[[#This Row],[Column8]]), (H650  * IF(N650&lt;&gt;0,$R$2,1)),"")</f>
        <v/>
      </c>
      <c r="S650" s="170" t="str">
        <f>IF(ISNUMBER(deployment_raw[[#This Row],[Column8]]), (I650  * IF(O650&lt;&gt;0,$S$2,1)),"")</f>
        <v/>
      </c>
      <c r="T650" s="202" t="str">
        <f>IF(AND(A650&lt;&gt;"",_xlfn.IFNA(MATCH(A650,'dynamic resource application '!$A$2:$A$100, 0),0)&lt;&gt;0), H650/(IF($E$2="Deployment",E650,1)),"")</f>
        <v/>
      </c>
      <c r="U650" s="211" t="str">
        <f>IF(AND(A650&lt;&gt;"",_xlfn.IFNA(MATCH(A650,'dynamic resource application '!$A$2:$A$100, 0),0)&lt;&gt;0), I650/(IF($E$2="Deployment",E650,1)),"")</f>
        <v/>
      </c>
    </row>
    <row r="651" spans="1:21" ht="15.75" customHeight="1" x14ac:dyDescent="0.25">
      <c r="A651" s="35" t="str">
        <f>IF(ISNONTEXT(deployment_raw[[#This Row],[Column1]]), "", deployment_raw[[#This Row],[Column1]])</f>
        <v/>
      </c>
      <c r="B651" s="36" t="str">
        <f>IF(ISNONTEXT(deployment_raw[[#This Row],[Column2]]), "", deployment_raw[[#This Row],[Column2]])</f>
        <v/>
      </c>
      <c r="C651" s="36" t="str">
        <f>IF(ISNONTEXT(deployment_raw[[#This Row],[Column3]]), "", deployment_raw[[#This Row],[Column3]])</f>
        <v/>
      </c>
      <c r="D651" s="36" t="str">
        <f>IF(ISNONTEXT(deployment_raw[[#This Row],[Column4]]), "", deployment_raw[[#This Row],[Column4]])</f>
        <v/>
      </c>
      <c r="E651" s="37" t="str">
        <f>IF(ISNUMBER(deployment_raw[[#This Row],[Column5]]), deployment_raw[[#This Row],[Column5]],"")</f>
        <v/>
      </c>
      <c r="F651" s="94" t="str">
        <f>IF(ISNUMBER(deployment_raw[[#This Row],[Column6]]), (deployment_raw[[#This Row],[Column6]] * IF($E$2="Deployment",deployment_raw[[#This Row],[Column5]],1)),"")</f>
        <v/>
      </c>
      <c r="G651" s="95" t="str">
        <f>IF(ISNUMBER(deployment_raw[[#This Row],[Column7]]), (deployment_raw[[#This Row],[Column7]] * IF($E$2="Deployment",deployment_raw[[#This Row],[Column5]],1))/1048576,"")</f>
        <v/>
      </c>
      <c r="H651" s="95" t="str">
        <f>IF(ISNUMBER(deployment_raw[[#This Row],[Column8]]), (deployment_raw[[#This Row],[Column8]]  * IF($E$2="Deployment",deployment_raw[[#This Row],[Column5]],1)),"")</f>
        <v/>
      </c>
      <c r="I651" s="96" t="str">
        <f>IF(ISNUMBER(deployment_raw[[#This Row],[Column9]]), (deployment_raw[[#This Row],[Column9]] * IF($E$2="Deployment",deployment_raw[[#This Row],[Column5]],1))/1048576,"")</f>
        <v/>
      </c>
      <c r="J651" s="122" t="str">
        <f>IF(ISNUMBER(deployment_raw[[#This Row],[Column10]]), (MIN(IF(N651&lt;&gt;"",N651,9999999999999)*1.1,deployment_raw[[#This Row],[Column10]] * IF($E$2="Deployment",deployment_raw[[#This Row],[Column5]],1))),"")</f>
        <v/>
      </c>
      <c r="K651" s="123" t="str">
        <f>IF(ISNUMBER(deployment_raw[[#This Row],[Column11]]), (MIN(IF(O651&lt;&gt;"",O651,9999999999999)*1.1,deployment_raw[[#This Row],[Column11]] * IF($E$2="Deployment",deployment_raw[[#This Row],[Column5]],1)/1048576)),"")</f>
        <v/>
      </c>
      <c r="L651" s="124" t="str">
        <f>IF(ISNUMBER(deployment_raw[[#This Row],[Column8]]),IF(OR(deployment_raw[[#This Row],[Column5]] &lt;&gt; 0,$E$2 &lt;&gt; "Deployment"), MAX(J651, P651, R651, ($L$2 * IF($E$2="Deployment",deployment_raw[[#This Row],[Column5]],1)),IF(T651&lt;&gt;"",VALUE(T651) * IF($E$2="Deployment",deployment_raw[[#This Row],[Column5]],1),0)), 0),"")</f>
        <v/>
      </c>
      <c r="M651" s="125" t="str">
        <f>IF(ISNUMBER(deployment_raw[[#This Row],[Column9]]),IF(OR(deployment_raw[[#This Row],[Column5]] &lt;&gt; 0,$E$2&lt;&gt;"Deployment"), MAX(K651, Q651, S651, ($M$2 * IF($E$2="Deployment",deployment_raw[[#This Row],[Column5]],1)),IF(U651&lt;&gt;"",VALUE(U651) * IF($E$2="Deployment",deployment_raw[[#This Row],[Column5]],1),0)), 0),"")</f>
        <v/>
      </c>
      <c r="N651" s="166" t="str">
        <f>IF(ISNUMBER(deployment_raw[[#This Row],[Column14]]), deployment_raw[[#This Row],[Column14]]/IF(OR($E$2="Deployment",deployment_raw[[#This Row],[Column5]]=0),1,deployment_raw[[#This Row],[Column5]]),"")</f>
        <v/>
      </c>
      <c r="O651" s="167" t="str">
        <f>IF(ISNUMBER(deployment_raw[[#This Row],[Column15]]), deployment_raw[[#This Row],[Column15]]/IF(OR($E$2="Deployment",deployment_raw[[#This Row],[Column5]]=0),1,deployment_raw[[#This Row],[Column5]])/1048576,"")</f>
        <v/>
      </c>
      <c r="P651" s="168" t="str">
        <f>IF(ISNUMBER(deployment_raw[[#This Row],[Column12]]), (MIN(IF(N651&lt;&gt;"",N651,9999999999999)*1.1,deployment_raw[[#This Row],[Column12]] * IF($E$2="Deployment",deployment_raw[[#This Row],[Column5]],1))*(1+$P$2)),"")</f>
        <v/>
      </c>
      <c r="Q651" s="167" t="str">
        <f>IF(ISNUMBER(deployment_raw[[#This Row],[Column13]]), (MIN(IF(O651&lt;&gt;"",O651,9999999999999)*1.1,deployment_raw[[#This Row],[Column13]] * IF($E$2="Deployment",deployment_raw[[#This Row],[Column5]],1)*(1+$Q$2)/1048576)),"")</f>
        <v/>
      </c>
      <c r="R651" s="169" t="str">
        <f>IF(ISNUMBER(deployment_raw[[#This Row],[Column8]]), (H651  * IF(N651&lt;&gt;0,$R$2,1)),"")</f>
        <v/>
      </c>
      <c r="S651" s="170" t="str">
        <f>IF(ISNUMBER(deployment_raw[[#This Row],[Column8]]), (I651  * IF(O651&lt;&gt;0,$S$2,1)),"")</f>
        <v/>
      </c>
      <c r="T651" s="202" t="str">
        <f>IF(AND(A651&lt;&gt;"",_xlfn.IFNA(MATCH(A651,'dynamic resource application '!$A$2:$A$100, 0),0)&lt;&gt;0), H651/(IF($E$2="Deployment",E651,1)),"")</f>
        <v/>
      </c>
      <c r="U651" s="211" t="str">
        <f>IF(AND(A651&lt;&gt;"",_xlfn.IFNA(MATCH(A651,'dynamic resource application '!$A$2:$A$100, 0),0)&lt;&gt;0), I651/(IF($E$2="Deployment",E651,1)),"")</f>
        <v/>
      </c>
    </row>
    <row r="652" spans="1:21" ht="15.75" customHeight="1" x14ac:dyDescent="0.25">
      <c r="A652" s="35" t="str">
        <f>IF(ISNONTEXT(deployment_raw[[#This Row],[Column1]]), "", deployment_raw[[#This Row],[Column1]])</f>
        <v/>
      </c>
      <c r="B652" s="36" t="str">
        <f>IF(ISNONTEXT(deployment_raw[[#This Row],[Column2]]), "", deployment_raw[[#This Row],[Column2]])</f>
        <v/>
      </c>
      <c r="C652" s="36" t="str">
        <f>IF(ISNONTEXT(deployment_raw[[#This Row],[Column3]]), "", deployment_raw[[#This Row],[Column3]])</f>
        <v/>
      </c>
      <c r="D652" s="36" t="str">
        <f>IF(ISNONTEXT(deployment_raw[[#This Row],[Column4]]), "", deployment_raw[[#This Row],[Column4]])</f>
        <v/>
      </c>
      <c r="E652" s="37" t="str">
        <f>IF(ISNUMBER(deployment_raw[[#This Row],[Column5]]), deployment_raw[[#This Row],[Column5]],"")</f>
        <v/>
      </c>
      <c r="F652" s="94" t="str">
        <f>IF(ISNUMBER(deployment_raw[[#This Row],[Column6]]), (deployment_raw[[#This Row],[Column6]] * IF($E$2="Deployment",deployment_raw[[#This Row],[Column5]],1)),"")</f>
        <v/>
      </c>
      <c r="G652" s="95" t="str">
        <f>IF(ISNUMBER(deployment_raw[[#This Row],[Column7]]), (deployment_raw[[#This Row],[Column7]] * IF($E$2="Deployment",deployment_raw[[#This Row],[Column5]],1))/1048576,"")</f>
        <v/>
      </c>
      <c r="H652" s="95" t="str">
        <f>IF(ISNUMBER(deployment_raw[[#This Row],[Column8]]), (deployment_raw[[#This Row],[Column8]]  * IF($E$2="Deployment",deployment_raw[[#This Row],[Column5]],1)),"")</f>
        <v/>
      </c>
      <c r="I652" s="96" t="str">
        <f>IF(ISNUMBER(deployment_raw[[#This Row],[Column9]]), (deployment_raw[[#This Row],[Column9]] * IF($E$2="Deployment",deployment_raw[[#This Row],[Column5]],1))/1048576,"")</f>
        <v/>
      </c>
      <c r="J652" s="122" t="str">
        <f>IF(ISNUMBER(deployment_raw[[#This Row],[Column10]]), (MIN(IF(N652&lt;&gt;"",N652,9999999999999)*1.1,deployment_raw[[#This Row],[Column10]] * IF($E$2="Deployment",deployment_raw[[#This Row],[Column5]],1))),"")</f>
        <v/>
      </c>
      <c r="K652" s="123" t="str">
        <f>IF(ISNUMBER(deployment_raw[[#This Row],[Column11]]), (MIN(IF(O652&lt;&gt;"",O652,9999999999999)*1.1,deployment_raw[[#This Row],[Column11]] * IF($E$2="Deployment",deployment_raw[[#This Row],[Column5]],1)/1048576)),"")</f>
        <v/>
      </c>
      <c r="L652" s="124" t="str">
        <f>IF(ISNUMBER(deployment_raw[[#This Row],[Column8]]),IF(OR(deployment_raw[[#This Row],[Column5]] &lt;&gt; 0,$E$2 &lt;&gt; "Deployment"), MAX(J652, P652, R652, ($L$2 * IF($E$2="Deployment",deployment_raw[[#This Row],[Column5]],1)),IF(T652&lt;&gt;"",VALUE(T652) * IF($E$2="Deployment",deployment_raw[[#This Row],[Column5]],1),0)), 0),"")</f>
        <v/>
      </c>
      <c r="M652" s="125" t="str">
        <f>IF(ISNUMBER(deployment_raw[[#This Row],[Column9]]),IF(OR(deployment_raw[[#This Row],[Column5]] &lt;&gt; 0,$E$2&lt;&gt;"Deployment"), MAX(K652, Q652, S652, ($M$2 * IF($E$2="Deployment",deployment_raw[[#This Row],[Column5]],1)),IF(U652&lt;&gt;"",VALUE(U652) * IF($E$2="Deployment",deployment_raw[[#This Row],[Column5]],1),0)), 0),"")</f>
        <v/>
      </c>
      <c r="N652" s="166" t="str">
        <f>IF(ISNUMBER(deployment_raw[[#This Row],[Column14]]), deployment_raw[[#This Row],[Column14]]/IF(OR($E$2="Deployment",deployment_raw[[#This Row],[Column5]]=0),1,deployment_raw[[#This Row],[Column5]]),"")</f>
        <v/>
      </c>
      <c r="O652" s="167" t="str">
        <f>IF(ISNUMBER(deployment_raw[[#This Row],[Column15]]), deployment_raw[[#This Row],[Column15]]/IF(OR($E$2="Deployment",deployment_raw[[#This Row],[Column5]]=0),1,deployment_raw[[#This Row],[Column5]])/1048576,"")</f>
        <v/>
      </c>
      <c r="P652" s="168" t="str">
        <f>IF(ISNUMBER(deployment_raw[[#This Row],[Column12]]), (MIN(IF(N652&lt;&gt;"",N652,9999999999999)*1.1,deployment_raw[[#This Row],[Column12]] * IF($E$2="Deployment",deployment_raw[[#This Row],[Column5]],1))*(1+$P$2)),"")</f>
        <v/>
      </c>
      <c r="Q652" s="167" t="str">
        <f>IF(ISNUMBER(deployment_raw[[#This Row],[Column13]]), (MIN(IF(O652&lt;&gt;"",O652,9999999999999)*1.1,deployment_raw[[#This Row],[Column13]] * IF($E$2="Deployment",deployment_raw[[#This Row],[Column5]],1)*(1+$Q$2)/1048576)),"")</f>
        <v/>
      </c>
      <c r="R652" s="169" t="str">
        <f>IF(ISNUMBER(deployment_raw[[#This Row],[Column8]]), (H652  * IF(N652&lt;&gt;0,$R$2,1)),"")</f>
        <v/>
      </c>
      <c r="S652" s="170" t="str">
        <f>IF(ISNUMBER(deployment_raw[[#This Row],[Column8]]), (I652  * IF(O652&lt;&gt;0,$S$2,1)),"")</f>
        <v/>
      </c>
      <c r="T652" s="202" t="str">
        <f>IF(AND(A652&lt;&gt;"",_xlfn.IFNA(MATCH(A652,'dynamic resource application '!$A$2:$A$100, 0),0)&lt;&gt;0), H652/(IF($E$2="Deployment",E652,1)),"")</f>
        <v/>
      </c>
      <c r="U652" s="211" t="str">
        <f>IF(AND(A652&lt;&gt;"",_xlfn.IFNA(MATCH(A652,'dynamic resource application '!$A$2:$A$100, 0),0)&lt;&gt;0), I652/(IF($E$2="Deployment",E652,1)),"")</f>
        <v/>
      </c>
    </row>
    <row r="653" spans="1:21" ht="15.75" customHeight="1" x14ac:dyDescent="0.25">
      <c r="A653" s="35" t="str">
        <f>IF(ISNONTEXT(deployment_raw[[#This Row],[Column1]]), "", deployment_raw[[#This Row],[Column1]])</f>
        <v/>
      </c>
      <c r="B653" s="36" t="str">
        <f>IF(ISNONTEXT(deployment_raw[[#This Row],[Column2]]), "", deployment_raw[[#This Row],[Column2]])</f>
        <v/>
      </c>
      <c r="C653" s="36" t="str">
        <f>IF(ISNONTEXT(deployment_raw[[#This Row],[Column3]]), "", deployment_raw[[#This Row],[Column3]])</f>
        <v/>
      </c>
      <c r="D653" s="36" t="str">
        <f>IF(ISNONTEXT(deployment_raw[[#This Row],[Column4]]), "", deployment_raw[[#This Row],[Column4]])</f>
        <v/>
      </c>
      <c r="E653" s="37" t="str">
        <f>IF(ISNUMBER(deployment_raw[[#This Row],[Column5]]), deployment_raw[[#This Row],[Column5]],"")</f>
        <v/>
      </c>
      <c r="F653" s="94" t="str">
        <f>IF(ISNUMBER(deployment_raw[[#This Row],[Column6]]), (deployment_raw[[#This Row],[Column6]] * IF($E$2="Deployment",deployment_raw[[#This Row],[Column5]],1)),"")</f>
        <v/>
      </c>
      <c r="G653" s="95" t="str">
        <f>IF(ISNUMBER(deployment_raw[[#This Row],[Column7]]), (deployment_raw[[#This Row],[Column7]] * IF($E$2="Deployment",deployment_raw[[#This Row],[Column5]],1))/1048576,"")</f>
        <v/>
      </c>
      <c r="H653" s="95" t="str">
        <f>IF(ISNUMBER(deployment_raw[[#This Row],[Column8]]), (deployment_raw[[#This Row],[Column8]]  * IF($E$2="Deployment",deployment_raw[[#This Row],[Column5]],1)),"")</f>
        <v/>
      </c>
      <c r="I653" s="96" t="str">
        <f>IF(ISNUMBER(deployment_raw[[#This Row],[Column9]]), (deployment_raw[[#This Row],[Column9]] * IF($E$2="Deployment",deployment_raw[[#This Row],[Column5]],1))/1048576,"")</f>
        <v/>
      </c>
      <c r="J653" s="122" t="str">
        <f>IF(ISNUMBER(deployment_raw[[#This Row],[Column10]]), (MIN(IF(N653&lt;&gt;"",N653,9999999999999)*1.1,deployment_raw[[#This Row],[Column10]] * IF($E$2="Deployment",deployment_raw[[#This Row],[Column5]],1))),"")</f>
        <v/>
      </c>
      <c r="K653" s="123" t="str">
        <f>IF(ISNUMBER(deployment_raw[[#This Row],[Column11]]), (MIN(IF(O653&lt;&gt;"",O653,9999999999999)*1.1,deployment_raw[[#This Row],[Column11]] * IF($E$2="Deployment",deployment_raw[[#This Row],[Column5]],1)/1048576)),"")</f>
        <v/>
      </c>
      <c r="L653" s="124" t="str">
        <f>IF(ISNUMBER(deployment_raw[[#This Row],[Column8]]),IF(OR(deployment_raw[[#This Row],[Column5]] &lt;&gt; 0,$E$2 &lt;&gt; "Deployment"), MAX(J653, P653, R653, ($L$2 * IF($E$2="Deployment",deployment_raw[[#This Row],[Column5]],1)),IF(T653&lt;&gt;"",VALUE(T653) * IF($E$2="Deployment",deployment_raw[[#This Row],[Column5]],1),0)), 0),"")</f>
        <v/>
      </c>
      <c r="M653" s="125" t="str">
        <f>IF(ISNUMBER(deployment_raw[[#This Row],[Column9]]),IF(OR(deployment_raw[[#This Row],[Column5]] &lt;&gt; 0,$E$2&lt;&gt;"Deployment"), MAX(K653, Q653, S653, ($M$2 * IF($E$2="Deployment",deployment_raw[[#This Row],[Column5]],1)),IF(U653&lt;&gt;"",VALUE(U653) * IF($E$2="Deployment",deployment_raw[[#This Row],[Column5]],1),0)), 0),"")</f>
        <v/>
      </c>
      <c r="N653" s="166" t="str">
        <f>IF(ISNUMBER(deployment_raw[[#This Row],[Column14]]), deployment_raw[[#This Row],[Column14]]/IF(OR($E$2="Deployment",deployment_raw[[#This Row],[Column5]]=0),1,deployment_raw[[#This Row],[Column5]]),"")</f>
        <v/>
      </c>
      <c r="O653" s="167" t="str">
        <f>IF(ISNUMBER(deployment_raw[[#This Row],[Column15]]), deployment_raw[[#This Row],[Column15]]/IF(OR($E$2="Deployment",deployment_raw[[#This Row],[Column5]]=0),1,deployment_raw[[#This Row],[Column5]])/1048576,"")</f>
        <v/>
      </c>
      <c r="P653" s="168" t="str">
        <f>IF(ISNUMBER(deployment_raw[[#This Row],[Column12]]), (MIN(IF(N653&lt;&gt;"",N653,9999999999999)*1.1,deployment_raw[[#This Row],[Column12]] * IF($E$2="Deployment",deployment_raw[[#This Row],[Column5]],1))*(1+$P$2)),"")</f>
        <v/>
      </c>
      <c r="Q653" s="167" t="str">
        <f>IF(ISNUMBER(deployment_raw[[#This Row],[Column13]]), (MIN(IF(O653&lt;&gt;"",O653,9999999999999)*1.1,deployment_raw[[#This Row],[Column13]] * IF($E$2="Deployment",deployment_raw[[#This Row],[Column5]],1)*(1+$Q$2)/1048576)),"")</f>
        <v/>
      </c>
      <c r="R653" s="169" t="str">
        <f>IF(ISNUMBER(deployment_raw[[#This Row],[Column8]]), (H653  * IF(N653&lt;&gt;0,$R$2,1)),"")</f>
        <v/>
      </c>
      <c r="S653" s="170" t="str">
        <f>IF(ISNUMBER(deployment_raw[[#This Row],[Column8]]), (I653  * IF(O653&lt;&gt;0,$S$2,1)),"")</f>
        <v/>
      </c>
      <c r="T653" s="202" t="str">
        <f>IF(AND(A653&lt;&gt;"",_xlfn.IFNA(MATCH(A653,'dynamic resource application '!$A$2:$A$100, 0),0)&lt;&gt;0), H653/(IF($E$2="Deployment",E653,1)),"")</f>
        <v/>
      </c>
      <c r="U653" s="211" t="str">
        <f>IF(AND(A653&lt;&gt;"",_xlfn.IFNA(MATCH(A653,'dynamic resource application '!$A$2:$A$100, 0),0)&lt;&gt;0), I653/(IF($E$2="Deployment",E653,1)),"")</f>
        <v/>
      </c>
    </row>
    <row r="654" spans="1:21" ht="15.75" customHeight="1" x14ac:dyDescent="0.25">
      <c r="A654" s="35" t="str">
        <f>IF(ISNONTEXT(deployment_raw[[#This Row],[Column1]]), "", deployment_raw[[#This Row],[Column1]])</f>
        <v/>
      </c>
      <c r="B654" s="36" t="str">
        <f>IF(ISNONTEXT(deployment_raw[[#This Row],[Column2]]), "", deployment_raw[[#This Row],[Column2]])</f>
        <v/>
      </c>
      <c r="C654" s="36" t="str">
        <f>IF(ISNONTEXT(deployment_raw[[#This Row],[Column3]]), "", deployment_raw[[#This Row],[Column3]])</f>
        <v/>
      </c>
      <c r="D654" s="36" t="str">
        <f>IF(ISNONTEXT(deployment_raw[[#This Row],[Column4]]), "", deployment_raw[[#This Row],[Column4]])</f>
        <v/>
      </c>
      <c r="E654" s="37" t="str">
        <f>IF(ISNUMBER(deployment_raw[[#This Row],[Column5]]), deployment_raw[[#This Row],[Column5]],"")</f>
        <v/>
      </c>
      <c r="F654" s="94" t="str">
        <f>IF(ISNUMBER(deployment_raw[[#This Row],[Column6]]), (deployment_raw[[#This Row],[Column6]] * IF($E$2="Deployment",deployment_raw[[#This Row],[Column5]],1)),"")</f>
        <v/>
      </c>
      <c r="G654" s="95" t="str">
        <f>IF(ISNUMBER(deployment_raw[[#This Row],[Column7]]), (deployment_raw[[#This Row],[Column7]] * IF($E$2="Deployment",deployment_raw[[#This Row],[Column5]],1))/1048576,"")</f>
        <v/>
      </c>
      <c r="H654" s="95" t="str">
        <f>IF(ISNUMBER(deployment_raw[[#This Row],[Column8]]), (deployment_raw[[#This Row],[Column8]]  * IF($E$2="Deployment",deployment_raw[[#This Row],[Column5]],1)),"")</f>
        <v/>
      </c>
      <c r="I654" s="96" t="str">
        <f>IF(ISNUMBER(deployment_raw[[#This Row],[Column9]]), (deployment_raw[[#This Row],[Column9]] * IF($E$2="Deployment",deployment_raw[[#This Row],[Column5]],1))/1048576,"")</f>
        <v/>
      </c>
      <c r="J654" s="122" t="str">
        <f>IF(ISNUMBER(deployment_raw[[#This Row],[Column10]]), (MIN(IF(N654&lt;&gt;"",N654,9999999999999)*1.1,deployment_raw[[#This Row],[Column10]] * IF($E$2="Deployment",deployment_raw[[#This Row],[Column5]],1))),"")</f>
        <v/>
      </c>
      <c r="K654" s="123" t="str">
        <f>IF(ISNUMBER(deployment_raw[[#This Row],[Column11]]), (MIN(IF(O654&lt;&gt;"",O654,9999999999999)*1.1,deployment_raw[[#This Row],[Column11]] * IF($E$2="Deployment",deployment_raw[[#This Row],[Column5]],1)/1048576)),"")</f>
        <v/>
      </c>
      <c r="L654" s="124" t="str">
        <f>IF(ISNUMBER(deployment_raw[[#This Row],[Column8]]),IF(OR(deployment_raw[[#This Row],[Column5]] &lt;&gt; 0,$E$2 &lt;&gt; "Deployment"), MAX(J654, P654, R654, ($L$2 * IF($E$2="Deployment",deployment_raw[[#This Row],[Column5]],1)),IF(T654&lt;&gt;"",VALUE(T654) * IF($E$2="Deployment",deployment_raw[[#This Row],[Column5]],1),0)), 0),"")</f>
        <v/>
      </c>
      <c r="M654" s="125" t="str">
        <f>IF(ISNUMBER(deployment_raw[[#This Row],[Column9]]),IF(OR(deployment_raw[[#This Row],[Column5]] &lt;&gt; 0,$E$2&lt;&gt;"Deployment"), MAX(K654, Q654, S654, ($M$2 * IF($E$2="Deployment",deployment_raw[[#This Row],[Column5]],1)),IF(U654&lt;&gt;"",VALUE(U654) * IF($E$2="Deployment",deployment_raw[[#This Row],[Column5]],1),0)), 0),"")</f>
        <v/>
      </c>
      <c r="N654" s="166" t="str">
        <f>IF(ISNUMBER(deployment_raw[[#This Row],[Column14]]), deployment_raw[[#This Row],[Column14]]/IF(OR($E$2="Deployment",deployment_raw[[#This Row],[Column5]]=0),1,deployment_raw[[#This Row],[Column5]]),"")</f>
        <v/>
      </c>
      <c r="O654" s="167" t="str">
        <f>IF(ISNUMBER(deployment_raw[[#This Row],[Column15]]), deployment_raw[[#This Row],[Column15]]/IF(OR($E$2="Deployment",deployment_raw[[#This Row],[Column5]]=0),1,deployment_raw[[#This Row],[Column5]])/1048576,"")</f>
        <v/>
      </c>
      <c r="P654" s="168" t="str">
        <f>IF(ISNUMBER(deployment_raw[[#This Row],[Column12]]), (MIN(IF(N654&lt;&gt;"",N654,9999999999999)*1.1,deployment_raw[[#This Row],[Column12]] * IF($E$2="Deployment",deployment_raw[[#This Row],[Column5]],1))*(1+$P$2)),"")</f>
        <v/>
      </c>
      <c r="Q654" s="167" t="str">
        <f>IF(ISNUMBER(deployment_raw[[#This Row],[Column13]]), (MIN(IF(O654&lt;&gt;"",O654,9999999999999)*1.1,deployment_raw[[#This Row],[Column13]] * IF($E$2="Deployment",deployment_raw[[#This Row],[Column5]],1)*(1+$Q$2)/1048576)),"")</f>
        <v/>
      </c>
      <c r="R654" s="169" t="str">
        <f>IF(ISNUMBER(deployment_raw[[#This Row],[Column8]]), (H654  * IF(N654&lt;&gt;0,$R$2,1)),"")</f>
        <v/>
      </c>
      <c r="S654" s="170" t="str">
        <f>IF(ISNUMBER(deployment_raw[[#This Row],[Column8]]), (I654  * IF(O654&lt;&gt;0,$S$2,1)),"")</f>
        <v/>
      </c>
      <c r="T654" s="202" t="str">
        <f>IF(AND(A654&lt;&gt;"",_xlfn.IFNA(MATCH(A654,'dynamic resource application '!$A$2:$A$100, 0),0)&lt;&gt;0), H654/(IF($E$2="Deployment",E654,1)),"")</f>
        <v/>
      </c>
      <c r="U654" s="211" t="str">
        <f>IF(AND(A654&lt;&gt;"",_xlfn.IFNA(MATCH(A654,'dynamic resource application '!$A$2:$A$100, 0),0)&lt;&gt;0), I654/(IF($E$2="Deployment",E654,1)),"")</f>
        <v/>
      </c>
    </row>
    <row r="655" spans="1:21" ht="15.75" customHeight="1" x14ac:dyDescent="0.25">
      <c r="A655" s="35" t="str">
        <f>IF(ISNONTEXT(deployment_raw[[#This Row],[Column1]]), "", deployment_raw[[#This Row],[Column1]])</f>
        <v/>
      </c>
      <c r="B655" s="36" t="str">
        <f>IF(ISNONTEXT(deployment_raw[[#This Row],[Column2]]), "", deployment_raw[[#This Row],[Column2]])</f>
        <v/>
      </c>
      <c r="C655" s="36" t="str">
        <f>IF(ISNONTEXT(deployment_raw[[#This Row],[Column3]]), "", deployment_raw[[#This Row],[Column3]])</f>
        <v/>
      </c>
      <c r="D655" s="36" t="str">
        <f>IF(ISNONTEXT(deployment_raw[[#This Row],[Column4]]), "", deployment_raw[[#This Row],[Column4]])</f>
        <v/>
      </c>
      <c r="E655" s="37" t="str">
        <f>IF(ISNUMBER(deployment_raw[[#This Row],[Column5]]), deployment_raw[[#This Row],[Column5]],"")</f>
        <v/>
      </c>
      <c r="F655" s="94" t="str">
        <f>IF(ISNUMBER(deployment_raw[[#This Row],[Column6]]), (deployment_raw[[#This Row],[Column6]] * IF($E$2="Deployment",deployment_raw[[#This Row],[Column5]],1)),"")</f>
        <v/>
      </c>
      <c r="G655" s="95" t="str">
        <f>IF(ISNUMBER(deployment_raw[[#This Row],[Column7]]), (deployment_raw[[#This Row],[Column7]] * IF($E$2="Deployment",deployment_raw[[#This Row],[Column5]],1))/1048576,"")</f>
        <v/>
      </c>
      <c r="H655" s="95" t="str">
        <f>IF(ISNUMBER(deployment_raw[[#This Row],[Column8]]), (deployment_raw[[#This Row],[Column8]]  * IF($E$2="Deployment",deployment_raw[[#This Row],[Column5]],1)),"")</f>
        <v/>
      </c>
      <c r="I655" s="96" t="str">
        <f>IF(ISNUMBER(deployment_raw[[#This Row],[Column9]]), (deployment_raw[[#This Row],[Column9]] * IF($E$2="Deployment",deployment_raw[[#This Row],[Column5]],1))/1048576,"")</f>
        <v/>
      </c>
      <c r="J655" s="122" t="str">
        <f>IF(ISNUMBER(deployment_raw[[#This Row],[Column10]]), (MIN(IF(N655&lt;&gt;"",N655,9999999999999)*1.1,deployment_raw[[#This Row],[Column10]] * IF($E$2="Deployment",deployment_raw[[#This Row],[Column5]],1))),"")</f>
        <v/>
      </c>
      <c r="K655" s="123" t="str">
        <f>IF(ISNUMBER(deployment_raw[[#This Row],[Column11]]), (MIN(IF(O655&lt;&gt;"",O655,9999999999999)*1.1,deployment_raw[[#This Row],[Column11]] * IF($E$2="Deployment",deployment_raw[[#This Row],[Column5]],1)/1048576)),"")</f>
        <v/>
      </c>
      <c r="L655" s="124" t="str">
        <f>IF(ISNUMBER(deployment_raw[[#This Row],[Column8]]),IF(OR(deployment_raw[[#This Row],[Column5]] &lt;&gt; 0,$E$2 &lt;&gt; "Deployment"), MAX(J655, P655, R655, ($L$2 * IF($E$2="Deployment",deployment_raw[[#This Row],[Column5]],1)),IF(T655&lt;&gt;"",VALUE(T655) * IF($E$2="Deployment",deployment_raw[[#This Row],[Column5]],1),0)), 0),"")</f>
        <v/>
      </c>
      <c r="M655" s="125" t="str">
        <f>IF(ISNUMBER(deployment_raw[[#This Row],[Column9]]),IF(OR(deployment_raw[[#This Row],[Column5]] &lt;&gt; 0,$E$2&lt;&gt;"Deployment"), MAX(K655, Q655, S655, ($M$2 * IF($E$2="Deployment",deployment_raw[[#This Row],[Column5]],1)),IF(U655&lt;&gt;"",VALUE(U655) * IF($E$2="Deployment",deployment_raw[[#This Row],[Column5]],1),0)), 0),"")</f>
        <v/>
      </c>
      <c r="N655" s="166" t="str">
        <f>IF(ISNUMBER(deployment_raw[[#This Row],[Column14]]), deployment_raw[[#This Row],[Column14]]/IF(OR($E$2="Deployment",deployment_raw[[#This Row],[Column5]]=0),1,deployment_raw[[#This Row],[Column5]]),"")</f>
        <v/>
      </c>
      <c r="O655" s="167" t="str">
        <f>IF(ISNUMBER(deployment_raw[[#This Row],[Column15]]), deployment_raw[[#This Row],[Column15]]/IF(OR($E$2="Deployment",deployment_raw[[#This Row],[Column5]]=0),1,deployment_raw[[#This Row],[Column5]])/1048576,"")</f>
        <v/>
      </c>
      <c r="P655" s="168" t="str">
        <f>IF(ISNUMBER(deployment_raw[[#This Row],[Column12]]), (MIN(IF(N655&lt;&gt;"",N655,9999999999999)*1.1,deployment_raw[[#This Row],[Column12]] * IF($E$2="Deployment",deployment_raw[[#This Row],[Column5]],1))*(1+$P$2)),"")</f>
        <v/>
      </c>
      <c r="Q655" s="167" t="str">
        <f>IF(ISNUMBER(deployment_raw[[#This Row],[Column13]]), (MIN(IF(O655&lt;&gt;"",O655,9999999999999)*1.1,deployment_raw[[#This Row],[Column13]] * IF($E$2="Deployment",deployment_raw[[#This Row],[Column5]],1)*(1+$Q$2)/1048576)),"")</f>
        <v/>
      </c>
      <c r="R655" s="169" t="str">
        <f>IF(ISNUMBER(deployment_raw[[#This Row],[Column8]]), (H655  * IF(N655&lt;&gt;0,$R$2,1)),"")</f>
        <v/>
      </c>
      <c r="S655" s="170" t="str">
        <f>IF(ISNUMBER(deployment_raw[[#This Row],[Column8]]), (I655  * IF(O655&lt;&gt;0,$S$2,1)),"")</f>
        <v/>
      </c>
      <c r="T655" s="202" t="str">
        <f>IF(AND(A655&lt;&gt;"",_xlfn.IFNA(MATCH(A655,'dynamic resource application '!$A$2:$A$100, 0),0)&lt;&gt;0), H655/(IF($E$2="Deployment",E655,1)),"")</f>
        <v/>
      </c>
      <c r="U655" s="211" t="str">
        <f>IF(AND(A655&lt;&gt;"",_xlfn.IFNA(MATCH(A655,'dynamic resource application '!$A$2:$A$100, 0),0)&lt;&gt;0), I655/(IF($E$2="Deployment",E655,1)),"")</f>
        <v/>
      </c>
    </row>
    <row r="656" spans="1:21" ht="15.75" customHeight="1" x14ac:dyDescent="0.25">
      <c r="A656" s="35" t="str">
        <f>IF(ISNONTEXT(deployment_raw[[#This Row],[Column1]]), "", deployment_raw[[#This Row],[Column1]])</f>
        <v/>
      </c>
      <c r="B656" s="36" t="str">
        <f>IF(ISNONTEXT(deployment_raw[[#This Row],[Column2]]), "", deployment_raw[[#This Row],[Column2]])</f>
        <v/>
      </c>
      <c r="C656" s="36" t="str">
        <f>IF(ISNONTEXT(deployment_raw[[#This Row],[Column3]]), "", deployment_raw[[#This Row],[Column3]])</f>
        <v/>
      </c>
      <c r="D656" s="36" t="str">
        <f>IF(ISNONTEXT(deployment_raw[[#This Row],[Column4]]), "", deployment_raw[[#This Row],[Column4]])</f>
        <v/>
      </c>
      <c r="E656" s="37" t="str">
        <f>IF(ISNUMBER(deployment_raw[[#This Row],[Column5]]), deployment_raw[[#This Row],[Column5]],"")</f>
        <v/>
      </c>
      <c r="F656" s="94" t="str">
        <f>IF(ISNUMBER(deployment_raw[[#This Row],[Column6]]), (deployment_raw[[#This Row],[Column6]] * IF($E$2="Deployment",deployment_raw[[#This Row],[Column5]],1)),"")</f>
        <v/>
      </c>
      <c r="G656" s="95" t="str">
        <f>IF(ISNUMBER(deployment_raw[[#This Row],[Column7]]), (deployment_raw[[#This Row],[Column7]] * IF($E$2="Deployment",deployment_raw[[#This Row],[Column5]],1))/1048576,"")</f>
        <v/>
      </c>
      <c r="H656" s="95" t="str">
        <f>IF(ISNUMBER(deployment_raw[[#This Row],[Column8]]), (deployment_raw[[#This Row],[Column8]]  * IF($E$2="Deployment",deployment_raw[[#This Row],[Column5]],1)),"")</f>
        <v/>
      </c>
      <c r="I656" s="96" t="str">
        <f>IF(ISNUMBER(deployment_raw[[#This Row],[Column9]]), (deployment_raw[[#This Row],[Column9]] * IF($E$2="Deployment",deployment_raw[[#This Row],[Column5]],1))/1048576,"")</f>
        <v/>
      </c>
      <c r="J656" s="122" t="str">
        <f>IF(ISNUMBER(deployment_raw[[#This Row],[Column10]]), (MIN(IF(N656&lt;&gt;"",N656,9999999999999)*1.1,deployment_raw[[#This Row],[Column10]] * IF($E$2="Deployment",deployment_raw[[#This Row],[Column5]],1))),"")</f>
        <v/>
      </c>
      <c r="K656" s="123" t="str">
        <f>IF(ISNUMBER(deployment_raw[[#This Row],[Column11]]), (MIN(IF(O656&lt;&gt;"",O656,9999999999999)*1.1,deployment_raw[[#This Row],[Column11]] * IF($E$2="Deployment",deployment_raw[[#This Row],[Column5]],1)/1048576)),"")</f>
        <v/>
      </c>
      <c r="L656" s="124" t="str">
        <f>IF(ISNUMBER(deployment_raw[[#This Row],[Column8]]),IF(OR(deployment_raw[[#This Row],[Column5]] &lt;&gt; 0,$E$2 &lt;&gt; "Deployment"), MAX(J656, P656, R656, ($L$2 * IF($E$2="Deployment",deployment_raw[[#This Row],[Column5]],1)),IF(T656&lt;&gt;"",VALUE(T656) * IF($E$2="Deployment",deployment_raw[[#This Row],[Column5]],1),0)), 0),"")</f>
        <v/>
      </c>
      <c r="M656" s="125" t="str">
        <f>IF(ISNUMBER(deployment_raw[[#This Row],[Column9]]),IF(OR(deployment_raw[[#This Row],[Column5]] &lt;&gt; 0,$E$2&lt;&gt;"Deployment"), MAX(K656, Q656, S656, ($M$2 * IF($E$2="Deployment",deployment_raw[[#This Row],[Column5]],1)),IF(U656&lt;&gt;"",VALUE(U656) * IF($E$2="Deployment",deployment_raw[[#This Row],[Column5]],1),0)), 0),"")</f>
        <v/>
      </c>
      <c r="N656" s="166" t="str">
        <f>IF(ISNUMBER(deployment_raw[[#This Row],[Column14]]), deployment_raw[[#This Row],[Column14]]/IF(OR($E$2="Deployment",deployment_raw[[#This Row],[Column5]]=0),1,deployment_raw[[#This Row],[Column5]]),"")</f>
        <v/>
      </c>
      <c r="O656" s="167" t="str">
        <f>IF(ISNUMBER(deployment_raw[[#This Row],[Column15]]), deployment_raw[[#This Row],[Column15]]/IF(OR($E$2="Deployment",deployment_raw[[#This Row],[Column5]]=0),1,deployment_raw[[#This Row],[Column5]])/1048576,"")</f>
        <v/>
      </c>
      <c r="P656" s="168" t="str">
        <f>IF(ISNUMBER(deployment_raw[[#This Row],[Column12]]), (MIN(IF(N656&lt;&gt;"",N656,9999999999999)*1.1,deployment_raw[[#This Row],[Column12]] * IF($E$2="Deployment",deployment_raw[[#This Row],[Column5]],1))*(1+$P$2)),"")</f>
        <v/>
      </c>
      <c r="Q656" s="167" t="str">
        <f>IF(ISNUMBER(deployment_raw[[#This Row],[Column13]]), (MIN(IF(O656&lt;&gt;"",O656,9999999999999)*1.1,deployment_raw[[#This Row],[Column13]] * IF($E$2="Deployment",deployment_raw[[#This Row],[Column5]],1)*(1+$Q$2)/1048576)),"")</f>
        <v/>
      </c>
      <c r="R656" s="169" t="str">
        <f>IF(ISNUMBER(deployment_raw[[#This Row],[Column8]]), (H656  * IF(N656&lt;&gt;0,$R$2,1)),"")</f>
        <v/>
      </c>
      <c r="S656" s="170" t="str">
        <f>IF(ISNUMBER(deployment_raw[[#This Row],[Column8]]), (I656  * IF(O656&lt;&gt;0,$S$2,1)),"")</f>
        <v/>
      </c>
      <c r="T656" s="202" t="str">
        <f>IF(AND(A656&lt;&gt;"",_xlfn.IFNA(MATCH(A656,'dynamic resource application '!$A$2:$A$100, 0),0)&lt;&gt;0), H656/(IF($E$2="Deployment",E656,1)),"")</f>
        <v/>
      </c>
      <c r="U656" s="211" t="str">
        <f>IF(AND(A656&lt;&gt;"",_xlfn.IFNA(MATCH(A656,'dynamic resource application '!$A$2:$A$100, 0),0)&lt;&gt;0), I656/(IF($E$2="Deployment",E656,1)),"")</f>
        <v/>
      </c>
    </row>
    <row r="657" spans="1:21" ht="15.75" customHeight="1" x14ac:dyDescent="0.25">
      <c r="A657" s="35" t="str">
        <f>IF(ISNONTEXT(deployment_raw[[#This Row],[Column1]]), "", deployment_raw[[#This Row],[Column1]])</f>
        <v/>
      </c>
      <c r="B657" s="36" t="str">
        <f>IF(ISNONTEXT(deployment_raw[[#This Row],[Column2]]), "", deployment_raw[[#This Row],[Column2]])</f>
        <v/>
      </c>
      <c r="C657" s="36" t="str">
        <f>IF(ISNONTEXT(deployment_raw[[#This Row],[Column3]]), "", deployment_raw[[#This Row],[Column3]])</f>
        <v/>
      </c>
      <c r="D657" s="36" t="str">
        <f>IF(ISNONTEXT(deployment_raw[[#This Row],[Column4]]), "", deployment_raw[[#This Row],[Column4]])</f>
        <v/>
      </c>
      <c r="E657" s="37" t="str">
        <f>IF(ISNUMBER(deployment_raw[[#This Row],[Column5]]), deployment_raw[[#This Row],[Column5]],"")</f>
        <v/>
      </c>
      <c r="F657" s="94" t="str">
        <f>IF(ISNUMBER(deployment_raw[[#This Row],[Column6]]), (deployment_raw[[#This Row],[Column6]] * IF($E$2="Deployment",deployment_raw[[#This Row],[Column5]],1)),"")</f>
        <v/>
      </c>
      <c r="G657" s="95" t="str">
        <f>IF(ISNUMBER(deployment_raw[[#This Row],[Column7]]), (deployment_raw[[#This Row],[Column7]] * IF($E$2="Deployment",deployment_raw[[#This Row],[Column5]],1))/1048576,"")</f>
        <v/>
      </c>
      <c r="H657" s="95" t="str">
        <f>IF(ISNUMBER(deployment_raw[[#This Row],[Column8]]), (deployment_raw[[#This Row],[Column8]]  * IF($E$2="Deployment",deployment_raw[[#This Row],[Column5]],1)),"")</f>
        <v/>
      </c>
      <c r="I657" s="96" t="str">
        <f>IF(ISNUMBER(deployment_raw[[#This Row],[Column9]]), (deployment_raw[[#This Row],[Column9]] * IF($E$2="Deployment",deployment_raw[[#This Row],[Column5]],1))/1048576,"")</f>
        <v/>
      </c>
      <c r="J657" s="122" t="str">
        <f>IF(ISNUMBER(deployment_raw[[#This Row],[Column10]]), (MIN(IF(N657&lt;&gt;"",N657,9999999999999)*1.1,deployment_raw[[#This Row],[Column10]] * IF($E$2="Deployment",deployment_raw[[#This Row],[Column5]],1))),"")</f>
        <v/>
      </c>
      <c r="K657" s="123" t="str">
        <f>IF(ISNUMBER(deployment_raw[[#This Row],[Column11]]), (MIN(IF(O657&lt;&gt;"",O657,9999999999999)*1.1,deployment_raw[[#This Row],[Column11]] * IF($E$2="Deployment",deployment_raw[[#This Row],[Column5]],1)/1048576)),"")</f>
        <v/>
      </c>
      <c r="L657" s="124" t="str">
        <f>IF(ISNUMBER(deployment_raw[[#This Row],[Column8]]),IF(OR(deployment_raw[[#This Row],[Column5]] &lt;&gt; 0,$E$2 &lt;&gt; "Deployment"), MAX(J657, P657, R657, ($L$2 * IF($E$2="Deployment",deployment_raw[[#This Row],[Column5]],1)),IF(T657&lt;&gt;"",VALUE(T657) * IF($E$2="Deployment",deployment_raw[[#This Row],[Column5]],1),0)), 0),"")</f>
        <v/>
      </c>
      <c r="M657" s="125" t="str">
        <f>IF(ISNUMBER(deployment_raw[[#This Row],[Column9]]),IF(OR(deployment_raw[[#This Row],[Column5]] &lt;&gt; 0,$E$2&lt;&gt;"Deployment"), MAX(K657, Q657, S657, ($M$2 * IF($E$2="Deployment",deployment_raw[[#This Row],[Column5]],1)),IF(U657&lt;&gt;"",VALUE(U657) * IF($E$2="Deployment",deployment_raw[[#This Row],[Column5]],1),0)), 0),"")</f>
        <v/>
      </c>
      <c r="N657" s="166" t="str">
        <f>IF(ISNUMBER(deployment_raw[[#This Row],[Column14]]), deployment_raw[[#This Row],[Column14]]/IF(OR($E$2="Deployment",deployment_raw[[#This Row],[Column5]]=0),1,deployment_raw[[#This Row],[Column5]]),"")</f>
        <v/>
      </c>
      <c r="O657" s="167" t="str">
        <f>IF(ISNUMBER(deployment_raw[[#This Row],[Column15]]), deployment_raw[[#This Row],[Column15]]/IF(OR($E$2="Deployment",deployment_raw[[#This Row],[Column5]]=0),1,deployment_raw[[#This Row],[Column5]])/1048576,"")</f>
        <v/>
      </c>
      <c r="P657" s="168" t="str">
        <f>IF(ISNUMBER(deployment_raw[[#This Row],[Column12]]), (MIN(IF(N657&lt;&gt;"",N657,9999999999999)*1.1,deployment_raw[[#This Row],[Column12]] * IF($E$2="Deployment",deployment_raw[[#This Row],[Column5]],1))*(1+$P$2)),"")</f>
        <v/>
      </c>
      <c r="Q657" s="167" t="str">
        <f>IF(ISNUMBER(deployment_raw[[#This Row],[Column13]]), (MIN(IF(O657&lt;&gt;"",O657,9999999999999)*1.1,deployment_raw[[#This Row],[Column13]] * IF($E$2="Deployment",deployment_raw[[#This Row],[Column5]],1)*(1+$Q$2)/1048576)),"")</f>
        <v/>
      </c>
      <c r="R657" s="169" t="str">
        <f>IF(ISNUMBER(deployment_raw[[#This Row],[Column8]]), (H657  * IF(N657&lt;&gt;0,$R$2,1)),"")</f>
        <v/>
      </c>
      <c r="S657" s="170" t="str">
        <f>IF(ISNUMBER(deployment_raw[[#This Row],[Column8]]), (I657  * IF(O657&lt;&gt;0,$S$2,1)),"")</f>
        <v/>
      </c>
      <c r="T657" s="202" t="str">
        <f>IF(AND(A657&lt;&gt;"",_xlfn.IFNA(MATCH(A657,'dynamic resource application '!$A$2:$A$100, 0),0)&lt;&gt;0), H657/(IF($E$2="Deployment",E657,1)),"")</f>
        <v/>
      </c>
      <c r="U657" s="211" t="str">
        <f>IF(AND(A657&lt;&gt;"",_xlfn.IFNA(MATCH(A657,'dynamic resource application '!$A$2:$A$100, 0),0)&lt;&gt;0), I657/(IF($E$2="Deployment",E657,1)),"")</f>
        <v/>
      </c>
    </row>
    <row r="658" spans="1:21" ht="15.75" customHeight="1" x14ac:dyDescent="0.25">
      <c r="A658" s="35" t="str">
        <f>IF(ISNONTEXT(deployment_raw[[#This Row],[Column1]]), "", deployment_raw[[#This Row],[Column1]])</f>
        <v/>
      </c>
      <c r="B658" s="36" t="str">
        <f>IF(ISNONTEXT(deployment_raw[[#This Row],[Column2]]), "", deployment_raw[[#This Row],[Column2]])</f>
        <v/>
      </c>
      <c r="C658" s="36" t="str">
        <f>IF(ISNONTEXT(deployment_raw[[#This Row],[Column3]]), "", deployment_raw[[#This Row],[Column3]])</f>
        <v/>
      </c>
      <c r="D658" s="36" t="str">
        <f>IF(ISNONTEXT(deployment_raw[[#This Row],[Column4]]), "", deployment_raw[[#This Row],[Column4]])</f>
        <v/>
      </c>
      <c r="E658" s="37" t="str">
        <f>IF(ISNUMBER(deployment_raw[[#This Row],[Column5]]), deployment_raw[[#This Row],[Column5]],"")</f>
        <v/>
      </c>
      <c r="F658" s="94" t="str">
        <f>IF(ISNUMBER(deployment_raw[[#This Row],[Column6]]), (deployment_raw[[#This Row],[Column6]] * IF($E$2="Deployment",deployment_raw[[#This Row],[Column5]],1)),"")</f>
        <v/>
      </c>
      <c r="G658" s="95" t="str">
        <f>IF(ISNUMBER(deployment_raw[[#This Row],[Column7]]), (deployment_raw[[#This Row],[Column7]] * IF($E$2="Deployment",deployment_raw[[#This Row],[Column5]],1))/1048576,"")</f>
        <v/>
      </c>
      <c r="H658" s="95" t="str">
        <f>IF(ISNUMBER(deployment_raw[[#This Row],[Column8]]), (deployment_raw[[#This Row],[Column8]]  * IF($E$2="Deployment",deployment_raw[[#This Row],[Column5]],1)),"")</f>
        <v/>
      </c>
      <c r="I658" s="96" t="str">
        <f>IF(ISNUMBER(deployment_raw[[#This Row],[Column9]]), (deployment_raw[[#This Row],[Column9]] * IF($E$2="Deployment",deployment_raw[[#This Row],[Column5]],1))/1048576,"")</f>
        <v/>
      </c>
      <c r="J658" s="122" t="str">
        <f>IF(ISNUMBER(deployment_raw[[#This Row],[Column10]]), (MIN(IF(N658&lt;&gt;"",N658,9999999999999)*1.1,deployment_raw[[#This Row],[Column10]] * IF($E$2="Deployment",deployment_raw[[#This Row],[Column5]],1))),"")</f>
        <v/>
      </c>
      <c r="K658" s="123" t="str">
        <f>IF(ISNUMBER(deployment_raw[[#This Row],[Column11]]), (MIN(IF(O658&lt;&gt;"",O658,9999999999999)*1.1,deployment_raw[[#This Row],[Column11]] * IF($E$2="Deployment",deployment_raw[[#This Row],[Column5]],1)/1048576)),"")</f>
        <v/>
      </c>
      <c r="L658" s="124" t="str">
        <f>IF(ISNUMBER(deployment_raw[[#This Row],[Column8]]),IF(OR(deployment_raw[[#This Row],[Column5]] &lt;&gt; 0,$E$2 &lt;&gt; "Deployment"), MAX(J658, P658, R658, ($L$2 * IF($E$2="Deployment",deployment_raw[[#This Row],[Column5]],1)),IF(T658&lt;&gt;"",VALUE(T658) * IF($E$2="Deployment",deployment_raw[[#This Row],[Column5]],1),0)), 0),"")</f>
        <v/>
      </c>
      <c r="M658" s="125" t="str">
        <f>IF(ISNUMBER(deployment_raw[[#This Row],[Column9]]),IF(OR(deployment_raw[[#This Row],[Column5]] &lt;&gt; 0,$E$2&lt;&gt;"Deployment"), MAX(K658, Q658, S658, ($M$2 * IF($E$2="Deployment",deployment_raw[[#This Row],[Column5]],1)),IF(U658&lt;&gt;"",VALUE(U658) * IF($E$2="Deployment",deployment_raw[[#This Row],[Column5]],1),0)), 0),"")</f>
        <v/>
      </c>
      <c r="N658" s="166" t="str">
        <f>IF(ISNUMBER(deployment_raw[[#This Row],[Column14]]), deployment_raw[[#This Row],[Column14]]/IF(OR($E$2="Deployment",deployment_raw[[#This Row],[Column5]]=0),1,deployment_raw[[#This Row],[Column5]]),"")</f>
        <v/>
      </c>
      <c r="O658" s="167" t="str">
        <f>IF(ISNUMBER(deployment_raw[[#This Row],[Column15]]), deployment_raw[[#This Row],[Column15]]/IF(OR($E$2="Deployment",deployment_raw[[#This Row],[Column5]]=0),1,deployment_raw[[#This Row],[Column5]])/1048576,"")</f>
        <v/>
      </c>
      <c r="P658" s="168" t="str">
        <f>IF(ISNUMBER(deployment_raw[[#This Row],[Column12]]), (MIN(IF(N658&lt;&gt;"",N658,9999999999999)*1.1,deployment_raw[[#This Row],[Column12]] * IF($E$2="Deployment",deployment_raw[[#This Row],[Column5]],1))*(1+$P$2)),"")</f>
        <v/>
      </c>
      <c r="Q658" s="167" t="str">
        <f>IF(ISNUMBER(deployment_raw[[#This Row],[Column13]]), (MIN(IF(O658&lt;&gt;"",O658,9999999999999)*1.1,deployment_raw[[#This Row],[Column13]] * IF($E$2="Deployment",deployment_raw[[#This Row],[Column5]],1)*(1+$Q$2)/1048576)),"")</f>
        <v/>
      </c>
      <c r="R658" s="169" t="str">
        <f>IF(ISNUMBER(deployment_raw[[#This Row],[Column8]]), (H658  * IF(N658&lt;&gt;0,$R$2,1)),"")</f>
        <v/>
      </c>
      <c r="S658" s="170" t="str">
        <f>IF(ISNUMBER(deployment_raw[[#This Row],[Column8]]), (I658  * IF(O658&lt;&gt;0,$S$2,1)),"")</f>
        <v/>
      </c>
      <c r="T658" s="202" t="str">
        <f>IF(AND(A658&lt;&gt;"",_xlfn.IFNA(MATCH(A658,'dynamic resource application '!$A$2:$A$100, 0),0)&lt;&gt;0), H658/(IF($E$2="Deployment",E658,1)),"")</f>
        <v/>
      </c>
      <c r="U658" s="211" t="str">
        <f>IF(AND(A658&lt;&gt;"",_xlfn.IFNA(MATCH(A658,'dynamic resource application '!$A$2:$A$100, 0),0)&lt;&gt;0), I658/(IF($E$2="Deployment",E658,1)),"")</f>
        <v/>
      </c>
    </row>
    <row r="659" spans="1:21" ht="15.75" customHeight="1" x14ac:dyDescent="0.25">
      <c r="A659" s="35" t="str">
        <f>IF(ISNONTEXT(deployment_raw[[#This Row],[Column1]]), "", deployment_raw[[#This Row],[Column1]])</f>
        <v/>
      </c>
      <c r="B659" s="36" t="str">
        <f>IF(ISNONTEXT(deployment_raw[[#This Row],[Column2]]), "", deployment_raw[[#This Row],[Column2]])</f>
        <v/>
      </c>
      <c r="C659" s="36" t="str">
        <f>IF(ISNONTEXT(deployment_raw[[#This Row],[Column3]]), "", deployment_raw[[#This Row],[Column3]])</f>
        <v/>
      </c>
      <c r="D659" s="36" t="str">
        <f>IF(ISNONTEXT(deployment_raw[[#This Row],[Column4]]), "", deployment_raw[[#This Row],[Column4]])</f>
        <v/>
      </c>
      <c r="E659" s="37" t="str">
        <f>IF(ISNUMBER(deployment_raw[[#This Row],[Column5]]), deployment_raw[[#This Row],[Column5]],"")</f>
        <v/>
      </c>
      <c r="F659" s="94" t="str">
        <f>IF(ISNUMBER(deployment_raw[[#This Row],[Column6]]), (deployment_raw[[#This Row],[Column6]] * IF($E$2="Deployment",deployment_raw[[#This Row],[Column5]],1)),"")</f>
        <v/>
      </c>
      <c r="G659" s="95" t="str">
        <f>IF(ISNUMBER(deployment_raw[[#This Row],[Column7]]), (deployment_raw[[#This Row],[Column7]] * IF($E$2="Deployment",deployment_raw[[#This Row],[Column5]],1))/1048576,"")</f>
        <v/>
      </c>
      <c r="H659" s="95" t="str">
        <f>IF(ISNUMBER(deployment_raw[[#This Row],[Column8]]), (deployment_raw[[#This Row],[Column8]]  * IF($E$2="Deployment",deployment_raw[[#This Row],[Column5]],1)),"")</f>
        <v/>
      </c>
      <c r="I659" s="96" t="str">
        <f>IF(ISNUMBER(deployment_raw[[#This Row],[Column9]]), (deployment_raw[[#This Row],[Column9]] * IF($E$2="Deployment",deployment_raw[[#This Row],[Column5]],1))/1048576,"")</f>
        <v/>
      </c>
      <c r="J659" s="122" t="str">
        <f>IF(ISNUMBER(deployment_raw[[#This Row],[Column10]]), (MIN(IF(N659&lt;&gt;"",N659,9999999999999)*1.1,deployment_raw[[#This Row],[Column10]] * IF($E$2="Deployment",deployment_raw[[#This Row],[Column5]],1))),"")</f>
        <v/>
      </c>
      <c r="K659" s="123" t="str">
        <f>IF(ISNUMBER(deployment_raw[[#This Row],[Column11]]), (MIN(IF(O659&lt;&gt;"",O659,9999999999999)*1.1,deployment_raw[[#This Row],[Column11]] * IF($E$2="Deployment",deployment_raw[[#This Row],[Column5]],1)/1048576)),"")</f>
        <v/>
      </c>
      <c r="L659" s="124" t="str">
        <f>IF(ISNUMBER(deployment_raw[[#This Row],[Column8]]),IF(OR(deployment_raw[[#This Row],[Column5]] &lt;&gt; 0,$E$2 &lt;&gt; "Deployment"), MAX(J659, P659, R659, ($L$2 * IF($E$2="Deployment",deployment_raw[[#This Row],[Column5]],1)),IF(T659&lt;&gt;"",VALUE(T659) * IF($E$2="Deployment",deployment_raw[[#This Row],[Column5]],1),0)), 0),"")</f>
        <v/>
      </c>
      <c r="M659" s="125" t="str">
        <f>IF(ISNUMBER(deployment_raw[[#This Row],[Column9]]),IF(OR(deployment_raw[[#This Row],[Column5]] &lt;&gt; 0,$E$2&lt;&gt;"Deployment"), MAX(K659, Q659, S659, ($M$2 * IF($E$2="Deployment",deployment_raw[[#This Row],[Column5]],1)),IF(U659&lt;&gt;"",VALUE(U659) * IF($E$2="Deployment",deployment_raw[[#This Row],[Column5]],1),0)), 0),"")</f>
        <v/>
      </c>
      <c r="N659" s="166" t="str">
        <f>IF(ISNUMBER(deployment_raw[[#This Row],[Column14]]), deployment_raw[[#This Row],[Column14]]/IF(OR($E$2="Deployment",deployment_raw[[#This Row],[Column5]]=0),1,deployment_raw[[#This Row],[Column5]]),"")</f>
        <v/>
      </c>
      <c r="O659" s="167" t="str">
        <f>IF(ISNUMBER(deployment_raw[[#This Row],[Column15]]), deployment_raw[[#This Row],[Column15]]/IF(OR($E$2="Deployment",deployment_raw[[#This Row],[Column5]]=0),1,deployment_raw[[#This Row],[Column5]])/1048576,"")</f>
        <v/>
      </c>
      <c r="P659" s="168" t="str">
        <f>IF(ISNUMBER(deployment_raw[[#This Row],[Column12]]), (MIN(IF(N659&lt;&gt;"",N659,9999999999999)*1.1,deployment_raw[[#This Row],[Column12]] * IF($E$2="Deployment",deployment_raw[[#This Row],[Column5]],1))*(1+$P$2)),"")</f>
        <v/>
      </c>
      <c r="Q659" s="167" t="str">
        <f>IF(ISNUMBER(deployment_raw[[#This Row],[Column13]]), (MIN(IF(O659&lt;&gt;"",O659,9999999999999)*1.1,deployment_raw[[#This Row],[Column13]] * IF($E$2="Deployment",deployment_raw[[#This Row],[Column5]],1)*(1+$Q$2)/1048576)),"")</f>
        <v/>
      </c>
      <c r="R659" s="169" t="str">
        <f>IF(ISNUMBER(deployment_raw[[#This Row],[Column8]]), (H659  * IF(N659&lt;&gt;0,$R$2,1)),"")</f>
        <v/>
      </c>
      <c r="S659" s="170" t="str">
        <f>IF(ISNUMBER(deployment_raw[[#This Row],[Column8]]), (I659  * IF(O659&lt;&gt;0,$S$2,1)),"")</f>
        <v/>
      </c>
      <c r="T659" s="202" t="str">
        <f>IF(AND(A659&lt;&gt;"",_xlfn.IFNA(MATCH(A659,'dynamic resource application '!$A$2:$A$100, 0),0)&lt;&gt;0), H659/(IF($E$2="Deployment",E659,1)),"")</f>
        <v/>
      </c>
      <c r="U659" s="211" t="str">
        <f>IF(AND(A659&lt;&gt;"",_xlfn.IFNA(MATCH(A659,'dynamic resource application '!$A$2:$A$100, 0),0)&lt;&gt;0), I659/(IF($E$2="Deployment",E659,1)),"")</f>
        <v/>
      </c>
    </row>
    <row r="660" spans="1:21" ht="15.75" customHeight="1" x14ac:dyDescent="0.25">
      <c r="A660" s="35" t="str">
        <f>IF(ISNONTEXT(deployment_raw[[#This Row],[Column1]]), "", deployment_raw[[#This Row],[Column1]])</f>
        <v/>
      </c>
      <c r="B660" s="36" t="str">
        <f>IF(ISNONTEXT(deployment_raw[[#This Row],[Column2]]), "", deployment_raw[[#This Row],[Column2]])</f>
        <v/>
      </c>
      <c r="C660" s="36" t="str">
        <f>IF(ISNONTEXT(deployment_raw[[#This Row],[Column3]]), "", deployment_raw[[#This Row],[Column3]])</f>
        <v/>
      </c>
      <c r="D660" s="36" t="str">
        <f>IF(ISNONTEXT(deployment_raw[[#This Row],[Column4]]), "", deployment_raw[[#This Row],[Column4]])</f>
        <v/>
      </c>
      <c r="E660" s="37" t="str">
        <f>IF(ISNUMBER(deployment_raw[[#This Row],[Column5]]), deployment_raw[[#This Row],[Column5]],"")</f>
        <v/>
      </c>
      <c r="F660" s="94" t="str">
        <f>IF(ISNUMBER(deployment_raw[[#This Row],[Column6]]), (deployment_raw[[#This Row],[Column6]] * IF($E$2="Deployment",deployment_raw[[#This Row],[Column5]],1)),"")</f>
        <v/>
      </c>
      <c r="G660" s="95" t="str">
        <f>IF(ISNUMBER(deployment_raw[[#This Row],[Column7]]), (deployment_raw[[#This Row],[Column7]] * IF($E$2="Deployment",deployment_raw[[#This Row],[Column5]],1))/1048576,"")</f>
        <v/>
      </c>
      <c r="H660" s="95" t="str">
        <f>IF(ISNUMBER(deployment_raw[[#This Row],[Column8]]), (deployment_raw[[#This Row],[Column8]]  * IF($E$2="Deployment",deployment_raw[[#This Row],[Column5]],1)),"")</f>
        <v/>
      </c>
      <c r="I660" s="96" t="str">
        <f>IF(ISNUMBER(deployment_raw[[#This Row],[Column9]]), (deployment_raw[[#This Row],[Column9]] * IF($E$2="Deployment",deployment_raw[[#This Row],[Column5]],1))/1048576,"")</f>
        <v/>
      </c>
      <c r="J660" s="122" t="str">
        <f>IF(ISNUMBER(deployment_raw[[#This Row],[Column10]]), (MIN(IF(N660&lt;&gt;"",N660,9999999999999)*1.1,deployment_raw[[#This Row],[Column10]] * IF($E$2="Deployment",deployment_raw[[#This Row],[Column5]],1))),"")</f>
        <v/>
      </c>
      <c r="K660" s="123" t="str">
        <f>IF(ISNUMBER(deployment_raw[[#This Row],[Column11]]), (MIN(IF(O660&lt;&gt;"",O660,9999999999999)*1.1,deployment_raw[[#This Row],[Column11]] * IF($E$2="Deployment",deployment_raw[[#This Row],[Column5]],1)/1048576)),"")</f>
        <v/>
      </c>
      <c r="L660" s="124" t="str">
        <f>IF(ISNUMBER(deployment_raw[[#This Row],[Column8]]),IF(OR(deployment_raw[[#This Row],[Column5]] &lt;&gt; 0,$E$2 &lt;&gt; "Deployment"), MAX(J660, P660, R660, ($L$2 * IF($E$2="Deployment",deployment_raw[[#This Row],[Column5]],1)),IF(T660&lt;&gt;"",VALUE(T660) * IF($E$2="Deployment",deployment_raw[[#This Row],[Column5]],1),0)), 0),"")</f>
        <v/>
      </c>
      <c r="M660" s="125" t="str">
        <f>IF(ISNUMBER(deployment_raw[[#This Row],[Column9]]),IF(OR(deployment_raw[[#This Row],[Column5]] &lt;&gt; 0,$E$2&lt;&gt;"Deployment"), MAX(K660, Q660, S660, ($M$2 * IF($E$2="Deployment",deployment_raw[[#This Row],[Column5]],1)),IF(U660&lt;&gt;"",VALUE(U660) * IF($E$2="Deployment",deployment_raw[[#This Row],[Column5]],1),0)), 0),"")</f>
        <v/>
      </c>
      <c r="N660" s="166" t="str">
        <f>IF(ISNUMBER(deployment_raw[[#This Row],[Column14]]), deployment_raw[[#This Row],[Column14]]/IF(OR($E$2="Deployment",deployment_raw[[#This Row],[Column5]]=0),1,deployment_raw[[#This Row],[Column5]]),"")</f>
        <v/>
      </c>
      <c r="O660" s="167" t="str">
        <f>IF(ISNUMBER(deployment_raw[[#This Row],[Column15]]), deployment_raw[[#This Row],[Column15]]/IF(OR($E$2="Deployment",deployment_raw[[#This Row],[Column5]]=0),1,deployment_raw[[#This Row],[Column5]])/1048576,"")</f>
        <v/>
      </c>
      <c r="P660" s="168" t="str">
        <f>IF(ISNUMBER(deployment_raw[[#This Row],[Column12]]), (MIN(IF(N660&lt;&gt;"",N660,9999999999999)*1.1,deployment_raw[[#This Row],[Column12]] * IF($E$2="Deployment",deployment_raw[[#This Row],[Column5]],1))*(1+$P$2)),"")</f>
        <v/>
      </c>
      <c r="Q660" s="167" t="str">
        <f>IF(ISNUMBER(deployment_raw[[#This Row],[Column13]]), (MIN(IF(O660&lt;&gt;"",O660,9999999999999)*1.1,deployment_raw[[#This Row],[Column13]] * IF($E$2="Deployment",deployment_raw[[#This Row],[Column5]],1)*(1+$Q$2)/1048576)),"")</f>
        <v/>
      </c>
      <c r="R660" s="169" t="str">
        <f>IF(ISNUMBER(deployment_raw[[#This Row],[Column8]]), (H660  * IF(N660&lt;&gt;0,$R$2,1)),"")</f>
        <v/>
      </c>
      <c r="S660" s="170" t="str">
        <f>IF(ISNUMBER(deployment_raw[[#This Row],[Column8]]), (I660  * IF(O660&lt;&gt;0,$S$2,1)),"")</f>
        <v/>
      </c>
      <c r="T660" s="202" t="str">
        <f>IF(AND(A660&lt;&gt;"",_xlfn.IFNA(MATCH(A660,'dynamic resource application '!$A$2:$A$100, 0),0)&lt;&gt;0), H660/(IF($E$2="Deployment",E660,1)),"")</f>
        <v/>
      </c>
      <c r="U660" s="211" t="str">
        <f>IF(AND(A660&lt;&gt;"",_xlfn.IFNA(MATCH(A660,'dynamic resource application '!$A$2:$A$100, 0),0)&lt;&gt;0), I660/(IF($E$2="Deployment",E660,1)),"")</f>
        <v/>
      </c>
    </row>
    <row r="661" spans="1:21" ht="15.75" customHeight="1" x14ac:dyDescent="0.25">
      <c r="A661" s="35" t="str">
        <f>IF(ISNONTEXT(deployment_raw[[#This Row],[Column1]]), "", deployment_raw[[#This Row],[Column1]])</f>
        <v/>
      </c>
      <c r="B661" s="36" t="str">
        <f>IF(ISNONTEXT(deployment_raw[[#This Row],[Column2]]), "", deployment_raw[[#This Row],[Column2]])</f>
        <v/>
      </c>
      <c r="C661" s="36" t="str">
        <f>IF(ISNONTEXT(deployment_raw[[#This Row],[Column3]]), "", deployment_raw[[#This Row],[Column3]])</f>
        <v/>
      </c>
      <c r="D661" s="36" t="str">
        <f>IF(ISNONTEXT(deployment_raw[[#This Row],[Column4]]), "", deployment_raw[[#This Row],[Column4]])</f>
        <v/>
      </c>
      <c r="E661" s="37" t="str">
        <f>IF(ISNUMBER(deployment_raw[[#This Row],[Column5]]), deployment_raw[[#This Row],[Column5]],"")</f>
        <v/>
      </c>
      <c r="F661" s="94" t="str">
        <f>IF(ISNUMBER(deployment_raw[[#This Row],[Column6]]), (deployment_raw[[#This Row],[Column6]] * IF($E$2="Deployment",deployment_raw[[#This Row],[Column5]],1)),"")</f>
        <v/>
      </c>
      <c r="G661" s="95" t="str">
        <f>IF(ISNUMBER(deployment_raw[[#This Row],[Column7]]), (deployment_raw[[#This Row],[Column7]] * IF($E$2="Deployment",deployment_raw[[#This Row],[Column5]],1))/1048576,"")</f>
        <v/>
      </c>
      <c r="H661" s="95" t="str">
        <f>IF(ISNUMBER(deployment_raw[[#This Row],[Column8]]), (deployment_raw[[#This Row],[Column8]]  * IF($E$2="Deployment",deployment_raw[[#This Row],[Column5]],1)),"")</f>
        <v/>
      </c>
      <c r="I661" s="96" t="str">
        <f>IF(ISNUMBER(deployment_raw[[#This Row],[Column9]]), (deployment_raw[[#This Row],[Column9]] * IF($E$2="Deployment",deployment_raw[[#This Row],[Column5]],1))/1048576,"")</f>
        <v/>
      </c>
      <c r="J661" s="122" t="str">
        <f>IF(ISNUMBER(deployment_raw[[#This Row],[Column10]]), (MIN(IF(N661&lt;&gt;"",N661,9999999999999)*1.1,deployment_raw[[#This Row],[Column10]] * IF($E$2="Deployment",deployment_raw[[#This Row],[Column5]],1))),"")</f>
        <v/>
      </c>
      <c r="K661" s="123" t="str">
        <f>IF(ISNUMBER(deployment_raw[[#This Row],[Column11]]), (MIN(IF(O661&lt;&gt;"",O661,9999999999999)*1.1,deployment_raw[[#This Row],[Column11]] * IF($E$2="Deployment",deployment_raw[[#This Row],[Column5]],1)/1048576)),"")</f>
        <v/>
      </c>
      <c r="L661" s="124" t="str">
        <f>IF(ISNUMBER(deployment_raw[[#This Row],[Column8]]),IF(OR(deployment_raw[[#This Row],[Column5]] &lt;&gt; 0,$E$2 &lt;&gt; "Deployment"), MAX(J661, P661, R661, ($L$2 * IF($E$2="Deployment",deployment_raw[[#This Row],[Column5]],1)),IF(T661&lt;&gt;"",VALUE(T661) * IF($E$2="Deployment",deployment_raw[[#This Row],[Column5]],1),0)), 0),"")</f>
        <v/>
      </c>
      <c r="M661" s="125" t="str">
        <f>IF(ISNUMBER(deployment_raw[[#This Row],[Column9]]),IF(OR(deployment_raw[[#This Row],[Column5]] &lt;&gt; 0,$E$2&lt;&gt;"Deployment"), MAX(K661, Q661, S661, ($M$2 * IF($E$2="Deployment",deployment_raw[[#This Row],[Column5]],1)),IF(U661&lt;&gt;"",VALUE(U661) * IF($E$2="Deployment",deployment_raw[[#This Row],[Column5]],1),0)), 0),"")</f>
        <v/>
      </c>
      <c r="N661" s="166" t="str">
        <f>IF(ISNUMBER(deployment_raw[[#This Row],[Column14]]), deployment_raw[[#This Row],[Column14]]/IF(OR($E$2="Deployment",deployment_raw[[#This Row],[Column5]]=0),1,deployment_raw[[#This Row],[Column5]]),"")</f>
        <v/>
      </c>
      <c r="O661" s="167" t="str">
        <f>IF(ISNUMBER(deployment_raw[[#This Row],[Column15]]), deployment_raw[[#This Row],[Column15]]/IF(OR($E$2="Deployment",deployment_raw[[#This Row],[Column5]]=0),1,deployment_raw[[#This Row],[Column5]])/1048576,"")</f>
        <v/>
      </c>
      <c r="P661" s="168" t="str">
        <f>IF(ISNUMBER(deployment_raw[[#This Row],[Column12]]), (MIN(IF(N661&lt;&gt;"",N661,9999999999999)*1.1,deployment_raw[[#This Row],[Column12]] * IF($E$2="Deployment",deployment_raw[[#This Row],[Column5]],1))*(1+$P$2)),"")</f>
        <v/>
      </c>
      <c r="Q661" s="167" t="str">
        <f>IF(ISNUMBER(deployment_raw[[#This Row],[Column13]]), (MIN(IF(O661&lt;&gt;"",O661,9999999999999)*1.1,deployment_raw[[#This Row],[Column13]] * IF($E$2="Deployment",deployment_raw[[#This Row],[Column5]],1)*(1+$Q$2)/1048576)),"")</f>
        <v/>
      </c>
      <c r="R661" s="169" t="str">
        <f>IF(ISNUMBER(deployment_raw[[#This Row],[Column8]]), (H661  * IF(N661&lt;&gt;0,$R$2,1)),"")</f>
        <v/>
      </c>
      <c r="S661" s="170" t="str">
        <f>IF(ISNUMBER(deployment_raw[[#This Row],[Column8]]), (I661  * IF(O661&lt;&gt;0,$S$2,1)),"")</f>
        <v/>
      </c>
      <c r="T661" s="202" t="str">
        <f>IF(AND(A661&lt;&gt;"",_xlfn.IFNA(MATCH(A661,'dynamic resource application '!$A$2:$A$100, 0),0)&lt;&gt;0), H661/(IF($E$2="Deployment",E661,1)),"")</f>
        <v/>
      </c>
      <c r="U661" s="211" t="str">
        <f>IF(AND(A661&lt;&gt;"",_xlfn.IFNA(MATCH(A661,'dynamic resource application '!$A$2:$A$100, 0),0)&lt;&gt;0), I661/(IF($E$2="Deployment",E661,1)),"")</f>
        <v/>
      </c>
    </row>
    <row r="662" spans="1:21" ht="15.75" customHeight="1" x14ac:dyDescent="0.25">
      <c r="A662" s="35" t="str">
        <f>IF(ISNONTEXT(deployment_raw[[#This Row],[Column1]]), "", deployment_raw[[#This Row],[Column1]])</f>
        <v/>
      </c>
      <c r="B662" s="36" t="str">
        <f>IF(ISNONTEXT(deployment_raw[[#This Row],[Column2]]), "", deployment_raw[[#This Row],[Column2]])</f>
        <v/>
      </c>
      <c r="C662" s="36" t="str">
        <f>IF(ISNONTEXT(deployment_raw[[#This Row],[Column3]]), "", deployment_raw[[#This Row],[Column3]])</f>
        <v/>
      </c>
      <c r="D662" s="36" t="str">
        <f>IF(ISNONTEXT(deployment_raw[[#This Row],[Column4]]), "", deployment_raw[[#This Row],[Column4]])</f>
        <v/>
      </c>
      <c r="E662" s="37" t="str">
        <f>IF(ISNUMBER(deployment_raw[[#This Row],[Column5]]), deployment_raw[[#This Row],[Column5]],"")</f>
        <v/>
      </c>
      <c r="F662" s="94" t="str">
        <f>IF(ISNUMBER(deployment_raw[[#This Row],[Column6]]), (deployment_raw[[#This Row],[Column6]] * IF($E$2="Deployment",deployment_raw[[#This Row],[Column5]],1)),"")</f>
        <v/>
      </c>
      <c r="G662" s="95" t="str">
        <f>IF(ISNUMBER(deployment_raw[[#This Row],[Column7]]), (deployment_raw[[#This Row],[Column7]] * IF($E$2="Deployment",deployment_raw[[#This Row],[Column5]],1))/1048576,"")</f>
        <v/>
      </c>
      <c r="H662" s="95" t="str">
        <f>IF(ISNUMBER(deployment_raw[[#This Row],[Column8]]), (deployment_raw[[#This Row],[Column8]]  * IF($E$2="Deployment",deployment_raw[[#This Row],[Column5]],1)),"")</f>
        <v/>
      </c>
      <c r="I662" s="96" t="str">
        <f>IF(ISNUMBER(deployment_raw[[#This Row],[Column9]]), (deployment_raw[[#This Row],[Column9]] * IF($E$2="Deployment",deployment_raw[[#This Row],[Column5]],1))/1048576,"")</f>
        <v/>
      </c>
      <c r="J662" s="122" t="str">
        <f>IF(ISNUMBER(deployment_raw[[#This Row],[Column10]]), (MIN(IF(N662&lt;&gt;"",N662,9999999999999)*1.1,deployment_raw[[#This Row],[Column10]] * IF($E$2="Deployment",deployment_raw[[#This Row],[Column5]],1))),"")</f>
        <v/>
      </c>
      <c r="K662" s="123" t="str">
        <f>IF(ISNUMBER(deployment_raw[[#This Row],[Column11]]), (MIN(IF(O662&lt;&gt;"",O662,9999999999999)*1.1,deployment_raw[[#This Row],[Column11]] * IF($E$2="Deployment",deployment_raw[[#This Row],[Column5]],1)/1048576)),"")</f>
        <v/>
      </c>
      <c r="L662" s="124" t="str">
        <f>IF(ISNUMBER(deployment_raw[[#This Row],[Column8]]),IF(OR(deployment_raw[[#This Row],[Column5]] &lt;&gt; 0,$E$2 &lt;&gt; "Deployment"), MAX(J662, P662, R662, ($L$2 * IF($E$2="Deployment",deployment_raw[[#This Row],[Column5]],1)),IF(T662&lt;&gt;"",VALUE(T662) * IF($E$2="Deployment",deployment_raw[[#This Row],[Column5]],1),0)), 0),"")</f>
        <v/>
      </c>
      <c r="M662" s="125" t="str">
        <f>IF(ISNUMBER(deployment_raw[[#This Row],[Column9]]),IF(OR(deployment_raw[[#This Row],[Column5]] &lt;&gt; 0,$E$2&lt;&gt;"Deployment"), MAX(K662, Q662, S662, ($M$2 * IF($E$2="Deployment",deployment_raw[[#This Row],[Column5]],1)),IF(U662&lt;&gt;"",VALUE(U662) * IF($E$2="Deployment",deployment_raw[[#This Row],[Column5]],1),0)), 0),"")</f>
        <v/>
      </c>
      <c r="N662" s="166" t="str">
        <f>IF(ISNUMBER(deployment_raw[[#This Row],[Column14]]), deployment_raw[[#This Row],[Column14]]/IF(OR($E$2="Deployment",deployment_raw[[#This Row],[Column5]]=0),1,deployment_raw[[#This Row],[Column5]]),"")</f>
        <v/>
      </c>
      <c r="O662" s="167" t="str">
        <f>IF(ISNUMBER(deployment_raw[[#This Row],[Column15]]), deployment_raw[[#This Row],[Column15]]/IF(OR($E$2="Deployment",deployment_raw[[#This Row],[Column5]]=0),1,deployment_raw[[#This Row],[Column5]])/1048576,"")</f>
        <v/>
      </c>
      <c r="P662" s="168" t="str">
        <f>IF(ISNUMBER(deployment_raw[[#This Row],[Column12]]), (MIN(IF(N662&lt;&gt;"",N662,9999999999999)*1.1,deployment_raw[[#This Row],[Column12]] * IF($E$2="Deployment",deployment_raw[[#This Row],[Column5]],1))*(1+$P$2)),"")</f>
        <v/>
      </c>
      <c r="Q662" s="167" t="str">
        <f>IF(ISNUMBER(deployment_raw[[#This Row],[Column13]]), (MIN(IF(O662&lt;&gt;"",O662,9999999999999)*1.1,deployment_raw[[#This Row],[Column13]] * IF($E$2="Deployment",deployment_raw[[#This Row],[Column5]],1)*(1+$Q$2)/1048576)),"")</f>
        <v/>
      </c>
      <c r="R662" s="169" t="str">
        <f>IF(ISNUMBER(deployment_raw[[#This Row],[Column8]]), (H662  * IF(N662&lt;&gt;0,$R$2,1)),"")</f>
        <v/>
      </c>
      <c r="S662" s="170" t="str">
        <f>IF(ISNUMBER(deployment_raw[[#This Row],[Column8]]), (I662  * IF(O662&lt;&gt;0,$S$2,1)),"")</f>
        <v/>
      </c>
      <c r="T662" s="202" t="str">
        <f>IF(AND(A662&lt;&gt;"",_xlfn.IFNA(MATCH(A662,'dynamic resource application '!$A$2:$A$100, 0),0)&lt;&gt;0), H662/(IF($E$2="Deployment",E662,1)),"")</f>
        <v/>
      </c>
      <c r="U662" s="211" t="str">
        <f>IF(AND(A662&lt;&gt;"",_xlfn.IFNA(MATCH(A662,'dynamic resource application '!$A$2:$A$100, 0),0)&lt;&gt;0), I662/(IF($E$2="Deployment",E662,1)),"")</f>
        <v/>
      </c>
    </row>
    <row r="663" spans="1:21" ht="15.75" customHeight="1" x14ac:dyDescent="0.25">
      <c r="A663" s="35" t="str">
        <f>IF(ISNONTEXT(deployment_raw[[#This Row],[Column1]]), "", deployment_raw[[#This Row],[Column1]])</f>
        <v/>
      </c>
      <c r="B663" s="36" t="str">
        <f>IF(ISNONTEXT(deployment_raw[[#This Row],[Column2]]), "", deployment_raw[[#This Row],[Column2]])</f>
        <v/>
      </c>
      <c r="C663" s="36" t="str">
        <f>IF(ISNONTEXT(deployment_raw[[#This Row],[Column3]]), "", deployment_raw[[#This Row],[Column3]])</f>
        <v/>
      </c>
      <c r="D663" s="36" t="str">
        <f>IF(ISNONTEXT(deployment_raw[[#This Row],[Column4]]), "", deployment_raw[[#This Row],[Column4]])</f>
        <v/>
      </c>
      <c r="E663" s="37" t="str">
        <f>IF(ISNUMBER(deployment_raw[[#This Row],[Column5]]), deployment_raw[[#This Row],[Column5]],"")</f>
        <v/>
      </c>
      <c r="F663" s="94" t="str">
        <f>IF(ISNUMBER(deployment_raw[[#This Row],[Column6]]), (deployment_raw[[#This Row],[Column6]] * IF($E$2="Deployment",deployment_raw[[#This Row],[Column5]],1)),"")</f>
        <v/>
      </c>
      <c r="G663" s="95" t="str">
        <f>IF(ISNUMBER(deployment_raw[[#This Row],[Column7]]), (deployment_raw[[#This Row],[Column7]] * IF($E$2="Deployment",deployment_raw[[#This Row],[Column5]],1))/1048576,"")</f>
        <v/>
      </c>
      <c r="H663" s="95" t="str">
        <f>IF(ISNUMBER(deployment_raw[[#This Row],[Column8]]), (deployment_raw[[#This Row],[Column8]]  * IF($E$2="Deployment",deployment_raw[[#This Row],[Column5]],1)),"")</f>
        <v/>
      </c>
      <c r="I663" s="96" t="str">
        <f>IF(ISNUMBER(deployment_raw[[#This Row],[Column9]]), (deployment_raw[[#This Row],[Column9]] * IF($E$2="Deployment",deployment_raw[[#This Row],[Column5]],1))/1048576,"")</f>
        <v/>
      </c>
      <c r="J663" s="122" t="str">
        <f>IF(ISNUMBER(deployment_raw[[#This Row],[Column10]]), (MIN(IF(N663&lt;&gt;"",N663,9999999999999)*1.1,deployment_raw[[#This Row],[Column10]] * IF($E$2="Deployment",deployment_raw[[#This Row],[Column5]],1))),"")</f>
        <v/>
      </c>
      <c r="K663" s="123" t="str">
        <f>IF(ISNUMBER(deployment_raw[[#This Row],[Column11]]), (MIN(IF(O663&lt;&gt;"",O663,9999999999999)*1.1,deployment_raw[[#This Row],[Column11]] * IF($E$2="Deployment",deployment_raw[[#This Row],[Column5]],1)/1048576)),"")</f>
        <v/>
      </c>
      <c r="L663" s="124" t="str">
        <f>IF(ISNUMBER(deployment_raw[[#This Row],[Column8]]),IF(OR(deployment_raw[[#This Row],[Column5]] &lt;&gt; 0,$E$2 &lt;&gt; "Deployment"), MAX(J663, P663, R663, ($L$2 * IF($E$2="Deployment",deployment_raw[[#This Row],[Column5]],1)),IF(T663&lt;&gt;"",VALUE(T663) * IF($E$2="Deployment",deployment_raw[[#This Row],[Column5]],1),0)), 0),"")</f>
        <v/>
      </c>
      <c r="M663" s="125" t="str">
        <f>IF(ISNUMBER(deployment_raw[[#This Row],[Column9]]),IF(OR(deployment_raw[[#This Row],[Column5]] &lt;&gt; 0,$E$2&lt;&gt;"Deployment"), MAX(K663, Q663, S663, ($M$2 * IF($E$2="Deployment",deployment_raw[[#This Row],[Column5]],1)),IF(U663&lt;&gt;"",VALUE(U663) * IF($E$2="Deployment",deployment_raw[[#This Row],[Column5]],1),0)), 0),"")</f>
        <v/>
      </c>
      <c r="N663" s="166" t="str">
        <f>IF(ISNUMBER(deployment_raw[[#This Row],[Column14]]), deployment_raw[[#This Row],[Column14]]/IF(OR($E$2="Deployment",deployment_raw[[#This Row],[Column5]]=0),1,deployment_raw[[#This Row],[Column5]]),"")</f>
        <v/>
      </c>
      <c r="O663" s="167" t="str">
        <f>IF(ISNUMBER(deployment_raw[[#This Row],[Column15]]), deployment_raw[[#This Row],[Column15]]/IF(OR($E$2="Deployment",deployment_raw[[#This Row],[Column5]]=0),1,deployment_raw[[#This Row],[Column5]])/1048576,"")</f>
        <v/>
      </c>
      <c r="P663" s="168" t="str">
        <f>IF(ISNUMBER(deployment_raw[[#This Row],[Column12]]), (MIN(IF(N663&lt;&gt;"",N663,9999999999999)*1.1,deployment_raw[[#This Row],[Column12]] * IF($E$2="Deployment",deployment_raw[[#This Row],[Column5]],1))*(1+$P$2)),"")</f>
        <v/>
      </c>
      <c r="Q663" s="167" t="str">
        <f>IF(ISNUMBER(deployment_raw[[#This Row],[Column13]]), (MIN(IF(O663&lt;&gt;"",O663,9999999999999)*1.1,deployment_raw[[#This Row],[Column13]] * IF($E$2="Deployment",deployment_raw[[#This Row],[Column5]],1)*(1+$Q$2)/1048576)),"")</f>
        <v/>
      </c>
      <c r="R663" s="169" t="str">
        <f>IF(ISNUMBER(deployment_raw[[#This Row],[Column8]]), (H663  * IF(N663&lt;&gt;0,$R$2,1)),"")</f>
        <v/>
      </c>
      <c r="S663" s="170" t="str">
        <f>IF(ISNUMBER(deployment_raw[[#This Row],[Column8]]), (I663  * IF(O663&lt;&gt;0,$S$2,1)),"")</f>
        <v/>
      </c>
      <c r="T663" s="202" t="str">
        <f>IF(AND(A663&lt;&gt;"",_xlfn.IFNA(MATCH(A663,'dynamic resource application '!$A$2:$A$100, 0),0)&lt;&gt;0), H663/(IF($E$2="Deployment",E663,1)),"")</f>
        <v/>
      </c>
      <c r="U663" s="211" t="str">
        <f>IF(AND(A663&lt;&gt;"",_xlfn.IFNA(MATCH(A663,'dynamic resource application '!$A$2:$A$100, 0),0)&lt;&gt;0), I663/(IF($E$2="Deployment",E663,1)),"")</f>
        <v/>
      </c>
    </row>
    <row r="664" spans="1:21" ht="15.75" customHeight="1" x14ac:dyDescent="0.25">
      <c r="A664" s="35" t="str">
        <f>IF(ISNONTEXT(deployment_raw[[#This Row],[Column1]]), "", deployment_raw[[#This Row],[Column1]])</f>
        <v/>
      </c>
      <c r="B664" s="36" t="str">
        <f>IF(ISNONTEXT(deployment_raw[[#This Row],[Column2]]), "", deployment_raw[[#This Row],[Column2]])</f>
        <v/>
      </c>
      <c r="C664" s="36" t="str">
        <f>IF(ISNONTEXT(deployment_raw[[#This Row],[Column3]]), "", deployment_raw[[#This Row],[Column3]])</f>
        <v/>
      </c>
      <c r="D664" s="36" t="str">
        <f>IF(ISNONTEXT(deployment_raw[[#This Row],[Column4]]), "", deployment_raw[[#This Row],[Column4]])</f>
        <v/>
      </c>
      <c r="E664" s="37" t="str">
        <f>IF(ISNUMBER(deployment_raw[[#This Row],[Column5]]), deployment_raw[[#This Row],[Column5]],"")</f>
        <v/>
      </c>
      <c r="F664" s="94" t="str">
        <f>IF(ISNUMBER(deployment_raw[[#This Row],[Column6]]), (deployment_raw[[#This Row],[Column6]] * IF($E$2="Deployment",deployment_raw[[#This Row],[Column5]],1)),"")</f>
        <v/>
      </c>
      <c r="G664" s="95" t="str">
        <f>IF(ISNUMBER(deployment_raw[[#This Row],[Column7]]), (deployment_raw[[#This Row],[Column7]] * IF($E$2="Deployment",deployment_raw[[#This Row],[Column5]],1))/1048576,"")</f>
        <v/>
      </c>
      <c r="H664" s="95" t="str">
        <f>IF(ISNUMBER(deployment_raw[[#This Row],[Column8]]), (deployment_raw[[#This Row],[Column8]]  * IF($E$2="Deployment",deployment_raw[[#This Row],[Column5]],1)),"")</f>
        <v/>
      </c>
      <c r="I664" s="96" t="str">
        <f>IF(ISNUMBER(deployment_raw[[#This Row],[Column9]]), (deployment_raw[[#This Row],[Column9]] * IF($E$2="Deployment",deployment_raw[[#This Row],[Column5]],1))/1048576,"")</f>
        <v/>
      </c>
      <c r="J664" s="122" t="str">
        <f>IF(ISNUMBER(deployment_raw[[#This Row],[Column10]]), (MIN(IF(N664&lt;&gt;"",N664,9999999999999)*1.1,deployment_raw[[#This Row],[Column10]] * IF($E$2="Deployment",deployment_raw[[#This Row],[Column5]],1))),"")</f>
        <v/>
      </c>
      <c r="K664" s="123" t="str">
        <f>IF(ISNUMBER(deployment_raw[[#This Row],[Column11]]), (MIN(IF(O664&lt;&gt;"",O664,9999999999999)*1.1,deployment_raw[[#This Row],[Column11]] * IF($E$2="Deployment",deployment_raw[[#This Row],[Column5]],1)/1048576)),"")</f>
        <v/>
      </c>
      <c r="L664" s="124" t="str">
        <f>IF(ISNUMBER(deployment_raw[[#This Row],[Column8]]),IF(OR(deployment_raw[[#This Row],[Column5]] &lt;&gt; 0,$E$2 &lt;&gt; "Deployment"), MAX(J664, P664, R664, ($L$2 * IF($E$2="Deployment",deployment_raw[[#This Row],[Column5]],1)),IF(T664&lt;&gt;"",VALUE(T664) * IF($E$2="Deployment",deployment_raw[[#This Row],[Column5]],1),0)), 0),"")</f>
        <v/>
      </c>
      <c r="M664" s="125" t="str">
        <f>IF(ISNUMBER(deployment_raw[[#This Row],[Column9]]),IF(OR(deployment_raw[[#This Row],[Column5]] &lt;&gt; 0,$E$2&lt;&gt;"Deployment"), MAX(K664, Q664, S664, ($M$2 * IF($E$2="Deployment",deployment_raw[[#This Row],[Column5]],1)),IF(U664&lt;&gt;"",VALUE(U664) * IF($E$2="Deployment",deployment_raw[[#This Row],[Column5]],1),0)), 0),"")</f>
        <v/>
      </c>
      <c r="N664" s="166" t="str">
        <f>IF(ISNUMBER(deployment_raw[[#This Row],[Column14]]), deployment_raw[[#This Row],[Column14]]/IF(OR($E$2="Deployment",deployment_raw[[#This Row],[Column5]]=0),1,deployment_raw[[#This Row],[Column5]]),"")</f>
        <v/>
      </c>
      <c r="O664" s="167" t="str">
        <f>IF(ISNUMBER(deployment_raw[[#This Row],[Column15]]), deployment_raw[[#This Row],[Column15]]/IF(OR($E$2="Deployment",deployment_raw[[#This Row],[Column5]]=0),1,deployment_raw[[#This Row],[Column5]])/1048576,"")</f>
        <v/>
      </c>
      <c r="P664" s="168" t="str">
        <f>IF(ISNUMBER(deployment_raw[[#This Row],[Column12]]), (MIN(IF(N664&lt;&gt;"",N664,9999999999999)*1.1,deployment_raw[[#This Row],[Column12]] * IF($E$2="Deployment",deployment_raw[[#This Row],[Column5]],1))*(1+$P$2)),"")</f>
        <v/>
      </c>
      <c r="Q664" s="167" t="str">
        <f>IF(ISNUMBER(deployment_raw[[#This Row],[Column13]]), (MIN(IF(O664&lt;&gt;"",O664,9999999999999)*1.1,deployment_raw[[#This Row],[Column13]] * IF($E$2="Deployment",deployment_raw[[#This Row],[Column5]],1)*(1+$Q$2)/1048576)),"")</f>
        <v/>
      </c>
      <c r="R664" s="169" t="str">
        <f>IF(ISNUMBER(deployment_raw[[#This Row],[Column8]]), (H664  * IF(N664&lt;&gt;0,$R$2,1)),"")</f>
        <v/>
      </c>
      <c r="S664" s="170" t="str">
        <f>IF(ISNUMBER(deployment_raw[[#This Row],[Column8]]), (I664  * IF(O664&lt;&gt;0,$S$2,1)),"")</f>
        <v/>
      </c>
      <c r="T664" s="202" t="str">
        <f>IF(AND(A664&lt;&gt;"",_xlfn.IFNA(MATCH(A664,'dynamic resource application '!$A$2:$A$100, 0),0)&lt;&gt;0), H664/(IF($E$2="Deployment",E664,1)),"")</f>
        <v/>
      </c>
      <c r="U664" s="211" t="str">
        <f>IF(AND(A664&lt;&gt;"",_xlfn.IFNA(MATCH(A664,'dynamic resource application '!$A$2:$A$100, 0),0)&lt;&gt;0), I664/(IF($E$2="Deployment",E664,1)),"")</f>
        <v/>
      </c>
    </row>
    <row r="665" spans="1:21" ht="15.75" customHeight="1" x14ac:dyDescent="0.25">
      <c r="A665" s="35" t="str">
        <f>IF(ISNONTEXT(deployment_raw[[#This Row],[Column1]]), "", deployment_raw[[#This Row],[Column1]])</f>
        <v/>
      </c>
      <c r="B665" s="36" t="str">
        <f>IF(ISNONTEXT(deployment_raw[[#This Row],[Column2]]), "", deployment_raw[[#This Row],[Column2]])</f>
        <v/>
      </c>
      <c r="C665" s="36" t="str">
        <f>IF(ISNONTEXT(deployment_raw[[#This Row],[Column3]]), "", deployment_raw[[#This Row],[Column3]])</f>
        <v/>
      </c>
      <c r="D665" s="36" t="str">
        <f>IF(ISNONTEXT(deployment_raw[[#This Row],[Column4]]), "", deployment_raw[[#This Row],[Column4]])</f>
        <v/>
      </c>
      <c r="E665" s="37" t="str">
        <f>IF(ISNUMBER(deployment_raw[[#This Row],[Column5]]), deployment_raw[[#This Row],[Column5]],"")</f>
        <v/>
      </c>
      <c r="F665" s="94" t="str">
        <f>IF(ISNUMBER(deployment_raw[[#This Row],[Column6]]), (deployment_raw[[#This Row],[Column6]] * IF($E$2="Deployment",deployment_raw[[#This Row],[Column5]],1)),"")</f>
        <v/>
      </c>
      <c r="G665" s="95" t="str">
        <f>IF(ISNUMBER(deployment_raw[[#This Row],[Column7]]), (deployment_raw[[#This Row],[Column7]] * IF($E$2="Deployment",deployment_raw[[#This Row],[Column5]],1))/1048576,"")</f>
        <v/>
      </c>
      <c r="H665" s="95" t="str">
        <f>IF(ISNUMBER(deployment_raw[[#This Row],[Column8]]), (deployment_raw[[#This Row],[Column8]]  * IF($E$2="Deployment",deployment_raw[[#This Row],[Column5]],1)),"")</f>
        <v/>
      </c>
      <c r="I665" s="96" t="str">
        <f>IF(ISNUMBER(deployment_raw[[#This Row],[Column9]]), (deployment_raw[[#This Row],[Column9]] * IF($E$2="Deployment",deployment_raw[[#This Row],[Column5]],1))/1048576,"")</f>
        <v/>
      </c>
      <c r="J665" s="122" t="str">
        <f>IF(ISNUMBER(deployment_raw[[#This Row],[Column10]]), (MIN(IF(N665&lt;&gt;"",N665,9999999999999)*1.1,deployment_raw[[#This Row],[Column10]] * IF($E$2="Deployment",deployment_raw[[#This Row],[Column5]],1))),"")</f>
        <v/>
      </c>
      <c r="K665" s="123" t="str">
        <f>IF(ISNUMBER(deployment_raw[[#This Row],[Column11]]), (MIN(IF(O665&lt;&gt;"",O665,9999999999999)*1.1,deployment_raw[[#This Row],[Column11]] * IF($E$2="Deployment",deployment_raw[[#This Row],[Column5]],1)/1048576)),"")</f>
        <v/>
      </c>
      <c r="L665" s="124" t="str">
        <f>IF(ISNUMBER(deployment_raw[[#This Row],[Column8]]),IF(OR(deployment_raw[[#This Row],[Column5]] &lt;&gt; 0,$E$2 &lt;&gt; "Deployment"), MAX(J665, P665, R665, ($L$2 * IF($E$2="Deployment",deployment_raw[[#This Row],[Column5]],1)),IF(T665&lt;&gt;"",VALUE(T665) * IF($E$2="Deployment",deployment_raw[[#This Row],[Column5]],1),0)), 0),"")</f>
        <v/>
      </c>
      <c r="M665" s="125" t="str">
        <f>IF(ISNUMBER(deployment_raw[[#This Row],[Column9]]),IF(OR(deployment_raw[[#This Row],[Column5]] &lt;&gt; 0,$E$2&lt;&gt;"Deployment"), MAX(K665, Q665, S665, ($M$2 * IF($E$2="Deployment",deployment_raw[[#This Row],[Column5]],1)),IF(U665&lt;&gt;"",VALUE(U665) * IF($E$2="Deployment",deployment_raw[[#This Row],[Column5]],1),0)), 0),"")</f>
        <v/>
      </c>
      <c r="N665" s="166" t="str">
        <f>IF(ISNUMBER(deployment_raw[[#This Row],[Column14]]), deployment_raw[[#This Row],[Column14]]/IF(OR($E$2="Deployment",deployment_raw[[#This Row],[Column5]]=0),1,deployment_raw[[#This Row],[Column5]]),"")</f>
        <v/>
      </c>
      <c r="O665" s="167" t="str">
        <f>IF(ISNUMBER(deployment_raw[[#This Row],[Column15]]), deployment_raw[[#This Row],[Column15]]/IF(OR($E$2="Deployment",deployment_raw[[#This Row],[Column5]]=0),1,deployment_raw[[#This Row],[Column5]])/1048576,"")</f>
        <v/>
      </c>
      <c r="P665" s="168" t="str">
        <f>IF(ISNUMBER(deployment_raw[[#This Row],[Column12]]), (MIN(IF(N665&lt;&gt;"",N665,9999999999999)*1.1,deployment_raw[[#This Row],[Column12]] * IF($E$2="Deployment",deployment_raw[[#This Row],[Column5]],1))*(1+$P$2)),"")</f>
        <v/>
      </c>
      <c r="Q665" s="167" t="str">
        <f>IF(ISNUMBER(deployment_raw[[#This Row],[Column13]]), (MIN(IF(O665&lt;&gt;"",O665,9999999999999)*1.1,deployment_raw[[#This Row],[Column13]] * IF($E$2="Deployment",deployment_raw[[#This Row],[Column5]],1)*(1+$Q$2)/1048576)),"")</f>
        <v/>
      </c>
      <c r="R665" s="169" t="str">
        <f>IF(ISNUMBER(deployment_raw[[#This Row],[Column8]]), (H665  * IF(N665&lt;&gt;0,$R$2,1)),"")</f>
        <v/>
      </c>
      <c r="S665" s="170" t="str">
        <f>IF(ISNUMBER(deployment_raw[[#This Row],[Column8]]), (I665  * IF(O665&lt;&gt;0,$S$2,1)),"")</f>
        <v/>
      </c>
      <c r="T665" s="202" t="str">
        <f>IF(AND(A665&lt;&gt;"",_xlfn.IFNA(MATCH(A665,'dynamic resource application '!$A$2:$A$100, 0),0)&lt;&gt;0), H665/(IF($E$2="Deployment",E665,1)),"")</f>
        <v/>
      </c>
      <c r="U665" s="211" t="str">
        <f>IF(AND(A665&lt;&gt;"",_xlfn.IFNA(MATCH(A665,'dynamic resource application '!$A$2:$A$100, 0),0)&lt;&gt;0), I665/(IF($E$2="Deployment",E665,1)),"")</f>
        <v/>
      </c>
    </row>
    <row r="666" spans="1:21" ht="15.75" customHeight="1" x14ac:dyDescent="0.25">
      <c r="A666" s="35" t="str">
        <f>IF(ISNONTEXT(deployment_raw[[#This Row],[Column1]]), "", deployment_raw[[#This Row],[Column1]])</f>
        <v/>
      </c>
      <c r="B666" s="36" t="str">
        <f>IF(ISNONTEXT(deployment_raw[[#This Row],[Column2]]), "", deployment_raw[[#This Row],[Column2]])</f>
        <v/>
      </c>
      <c r="C666" s="36" t="str">
        <f>IF(ISNONTEXT(deployment_raw[[#This Row],[Column3]]), "", deployment_raw[[#This Row],[Column3]])</f>
        <v/>
      </c>
      <c r="D666" s="36" t="str">
        <f>IF(ISNONTEXT(deployment_raw[[#This Row],[Column4]]), "", deployment_raw[[#This Row],[Column4]])</f>
        <v/>
      </c>
      <c r="E666" s="37" t="str">
        <f>IF(ISNUMBER(deployment_raw[[#This Row],[Column5]]), deployment_raw[[#This Row],[Column5]],"")</f>
        <v/>
      </c>
      <c r="F666" s="94" t="str">
        <f>IF(ISNUMBER(deployment_raw[[#This Row],[Column6]]), (deployment_raw[[#This Row],[Column6]] * IF($E$2="Deployment",deployment_raw[[#This Row],[Column5]],1)),"")</f>
        <v/>
      </c>
      <c r="G666" s="95" t="str">
        <f>IF(ISNUMBER(deployment_raw[[#This Row],[Column7]]), (deployment_raw[[#This Row],[Column7]] * IF($E$2="Deployment",deployment_raw[[#This Row],[Column5]],1))/1048576,"")</f>
        <v/>
      </c>
      <c r="H666" s="95" t="str">
        <f>IF(ISNUMBER(deployment_raw[[#This Row],[Column8]]), (deployment_raw[[#This Row],[Column8]]  * IF($E$2="Deployment",deployment_raw[[#This Row],[Column5]],1)),"")</f>
        <v/>
      </c>
      <c r="I666" s="96" t="str">
        <f>IF(ISNUMBER(deployment_raw[[#This Row],[Column9]]), (deployment_raw[[#This Row],[Column9]] * IF($E$2="Deployment",deployment_raw[[#This Row],[Column5]],1))/1048576,"")</f>
        <v/>
      </c>
      <c r="J666" s="122" t="str">
        <f>IF(ISNUMBER(deployment_raw[[#This Row],[Column10]]), (MIN(IF(N666&lt;&gt;"",N666,9999999999999)*1.1,deployment_raw[[#This Row],[Column10]] * IF($E$2="Deployment",deployment_raw[[#This Row],[Column5]],1))),"")</f>
        <v/>
      </c>
      <c r="K666" s="123" t="str">
        <f>IF(ISNUMBER(deployment_raw[[#This Row],[Column11]]), (MIN(IF(O666&lt;&gt;"",O666,9999999999999)*1.1,deployment_raw[[#This Row],[Column11]] * IF($E$2="Deployment",deployment_raw[[#This Row],[Column5]],1)/1048576)),"")</f>
        <v/>
      </c>
      <c r="L666" s="124" t="str">
        <f>IF(ISNUMBER(deployment_raw[[#This Row],[Column8]]),IF(OR(deployment_raw[[#This Row],[Column5]] &lt;&gt; 0,$E$2 &lt;&gt; "Deployment"), MAX(J666, P666, R666, ($L$2 * IF($E$2="Deployment",deployment_raw[[#This Row],[Column5]],1)),IF(T666&lt;&gt;"",VALUE(T666) * IF($E$2="Deployment",deployment_raw[[#This Row],[Column5]],1),0)), 0),"")</f>
        <v/>
      </c>
      <c r="M666" s="125" t="str">
        <f>IF(ISNUMBER(deployment_raw[[#This Row],[Column9]]),IF(OR(deployment_raw[[#This Row],[Column5]] &lt;&gt; 0,$E$2&lt;&gt;"Deployment"), MAX(K666, Q666, S666, ($M$2 * IF($E$2="Deployment",deployment_raw[[#This Row],[Column5]],1)),IF(U666&lt;&gt;"",VALUE(U666) * IF($E$2="Deployment",deployment_raw[[#This Row],[Column5]],1),0)), 0),"")</f>
        <v/>
      </c>
      <c r="N666" s="166" t="str">
        <f>IF(ISNUMBER(deployment_raw[[#This Row],[Column14]]), deployment_raw[[#This Row],[Column14]]/IF(OR($E$2="Deployment",deployment_raw[[#This Row],[Column5]]=0),1,deployment_raw[[#This Row],[Column5]]),"")</f>
        <v/>
      </c>
      <c r="O666" s="167" t="str">
        <f>IF(ISNUMBER(deployment_raw[[#This Row],[Column15]]), deployment_raw[[#This Row],[Column15]]/IF(OR($E$2="Deployment",deployment_raw[[#This Row],[Column5]]=0),1,deployment_raw[[#This Row],[Column5]])/1048576,"")</f>
        <v/>
      </c>
      <c r="P666" s="168" t="str">
        <f>IF(ISNUMBER(deployment_raw[[#This Row],[Column12]]), (MIN(IF(N666&lt;&gt;"",N666,9999999999999)*1.1,deployment_raw[[#This Row],[Column12]] * IF($E$2="Deployment",deployment_raw[[#This Row],[Column5]],1))*(1+$P$2)),"")</f>
        <v/>
      </c>
      <c r="Q666" s="167" t="str">
        <f>IF(ISNUMBER(deployment_raw[[#This Row],[Column13]]), (MIN(IF(O666&lt;&gt;"",O666,9999999999999)*1.1,deployment_raw[[#This Row],[Column13]] * IF($E$2="Deployment",deployment_raw[[#This Row],[Column5]],1)*(1+$Q$2)/1048576)),"")</f>
        <v/>
      </c>
      <c r="R666" s="169" t="str">
        <f>IF(ISNUMBER(deployment_raw[[#This Row],[Column8]]), (H666  * IF(N666&lt;&gt;0,$R$2,1)),"")</f>
        <v/>
      </c>
      <c r="S666" s="170" t="str">
        <f>IF(ISNUMBER(deployment_raw[[#This Row],[Column8]]), (I666  * IF(O666&lt;&gt;0,$S$2,1)),"")</f>
        <v/>
      </c>
      <c r="T666" s="202" t="str">
        <f>IF(AND(A666&lt;&gt;"",_xlfn.IFNA(MATCH(A666,'dynamic resource application '!$A$2:$A$100, 0),0)&lt;&gt;0), H666/(IF($E$2="Deployment",E666,1)),"")</f>
        <v/>
      </c>
      <c r="U666" s="211" t="str">
        <f>IF(AND(A666&lt;&gt;"",_xlfn.IFNA(MATCH(A666,'dynamic resource application '!$A$2:$A$100, 0),0)&lt;&gt;0), I666/(IF($E$2="Deployment",E666,1)),"")</f>
        <v/>
      </c>
    </row>
    <row r="667" spans="1:21" ht="15.75" customHeight="1" x14ac:dyDescent="0.25">
      <c r="A667" s="35" t="str">
        <f>IF(ISNONTEXT(deployment_raw[[#This Row],[Column1]]), "", deployment_raw[[#This Row],[Column1]])</f>
        <v/>
      </c>
      <c r="B667" s="36" t="str">
        <f>IF(ISNONTEXT(deployment_raw[[#This Row],[Column2]]), "", deployment_raw[[#This Row],[Column2]])</f>
        <v/>
      </c>
      <c r="C667" s="36" t="str">
        <f>IF(ISNONTEXT(deployment_raw[[#This Row],[Column3]]), "", deployment_raw[[#This Row],[Column3]])</f>
        <v/>
      </c>
      <c r="D667" s="36" t="str">
        <f>IF(ISNONTEXT(deployment_raw[[#This Row],[Column4]]), "", deployment_raw[[#This Row],[Column4]])</f>
        <v/>
      </c>
      <c r="E667" s="37" t="str">
        <f>IF(ISNUMBER(deployment_raw[[#This Row],[Column5]]), deployment_raw[[#This Row],[Column5]],"")</f>
        <v/>
      </c>
      <c r="F667" s="94" t="str">
        <f>IF(ISNUMBER(deployment_raw[[#This Row],[Column6]]), (deployment_raw[[#This Row],[Column6]] * IF($E$2="Deployment",deployment_raw[[#This Row],[Column5]],1)),"")</f>
        <v/>
      </c>
      <c r="G667" s="95" t="str">
        <f>IF(ISNUMBER(deployment_raw[[#This Row],[Column7]]), (deployment_raw[[#This Row],[Column7]] * IF($E$2="Deployment",deployment_raw[[#This Row],[Column5]],1))/1048576,"")</f>
        <v/>
      </c>
      <c r="H667" s="95" t="str">
        <f>IF(ISNUMBER(deployment_raw[[#This Row],[Column8]]), (deployment_raw[[#This Row],[Column8]]  * IF($E$2="Deployment",deployment_raw[[#This Row],[Column5]],1)),"")</f>
        <v/>
      </c>
      <c r="I667" s="96" t="str">
        <f>IF(ISNUMBER(deployment_raw[[#This Row],[Column9]]), (deployment_raw[[#This Row],[Column9]] * IF($E$2="Deployment",deployment_raw[[#This Row],[Column5]],1))/1048576,"")</f>
        <v/>
      </c>
      <c r="J667" s="122" t="str">
        <f>IF(ISNUMBER(deployment_raw[[#This Row],[Column10]]), (MIN(IF(N667&lt;&gt;"",N667,9999999999999)*1.1,deployment_raw[[#This Row],[Column10]] * IF($E$2="Deployment",deployment_raw[[#This Row],[Column5]],1))),"")</f>
        <v/>
      </c>
      <c r="K667" s="123" t="str">
        <f>IF(ISNUMBER(deployment_raw[[#This Row],[Column11]]), (MIN(IF(O667&lt;&gt;"",O667,9999999999999)*1.1,deployment_raw[[#This Row],[Column11]] * IF($E$2="Deployment",deployment_raw[[#This Row],[Column5]],1)/1048576)),"")</f>
        <v/>
      </c>
      <c r="L667" s="124" t="str">
        <f>IF(ISNUMBER(deployment_raw[[#This Row],[Column8]]),IF(OR(deployment_raw[[#This Row],[Column5]] &lt;&gt; 0,$E$2 &lt;&gt; "Deployment"), MAX(J667, P667, R667, ($L$2 * IF($E$2="Deployment",deployment_raw[[#This Row],[Column5]],1)),IF(T667&lt;&gt;"",VALUE(T667) * IF($E$2="Deployment",deployment_raw[[#This Row],[Column5]],1),0)), 0),"")</f>
        <v/>
      </c>
      <c r="M667" s="125" t="str">
        <f>IF(ISNUMBER(deployment_raw[[#This Row],[Column9]]),IF(OR(deployment_raw[[#This Row],[Column5]] &lt;&gt; 0,$E$2&lt;&gt;"Deployment"), MAX(K667, Q667, S667, ($M$2 * IF($E$2="Deployment",deployment_raw[[#This Row],[Column5]],1)),IF(U667&lt;&gt;"",VALUE(U667) * IF($E$2="Deployment",deployment_raw[[#This Row],[Column5]],1),0)), 0),"")</f>
        <v/>
      </c>
      <c r="N667" s="166" t="str">
        <f>IF(ISNUMBER(deployment_raw[[#This Row],[Column14]]), deployment_raw[[#This Row],[Column14]]/IF(OR($E$2="Deployment",deployment_raw[[#This Row],[Column5]]=0),1,deployment_raw[[#This Row],[Column5]]),"")</f>
        <v/>
      </c>
      <c r="O667" s="167" t="str">
        <f>IF(ISNUMBER(deployment_raw[[#This Row],[Column15]]), deployment_raw[[#This Row],[Column15]]/IF(OR($E$2="Deployment",deployment_raw[[#This Row],[Column5]]=0),1,deployment_raw[[#This Row],[Column5]])/1048576,"")</f>
        <v/>
      </c>
      <c r="P667" s="168" t="str">
        <f>IF(ISNUMBER(deployment_raw[[#This Row],[Column12]]), (MIN(IF(N667&lt;&gt;"",N667,9999999999999)*1.1,deployment_raw[[#This Row],[Column12]] * IF($E$2="Deployment",deployment_raw[[#This Row],[Column5]],1))*(1+$P$2)),"")</f>
        <v/>
      </c>
      <c r="Q667" s="167" t="str">
        <f>IF(ISNUMBER(deployment_raw[[#This Row],[Column13]]), (MIN(IF(O667&lt;&gt;"",O667,9999999999999)*1.1,deployment_raw[[#This Row],[Column13]] * IF($E$2="Deployment",deployment_raw[[#This Row],[Column5]],1)*(1+$Q$2)/1048576)),"")</f>
        <v/>
      </c>
      <c r="R667" s="169" t="str">
        <f>IF(ISNUMBER(deployment_raw[[#This Row],[Column8]]), (H667  * IF(N667&lt;&gt;0,$R$2,1)),"")</f>
        <v/>
      </c>
      <c r="S667" s="170" t="str">
        <f>IF(ISNUMBER(deployment_raw[[#This Row],[Column8]]), (I667  * IF(O667&lt;&gt;0,$S$2,1)),"")</f>
        <v/>
      </c>
      <c r="T667" s="202" t="str">
        <f>IF(AND(A667&lt;&gt;"",_xlfn.IFNA(MATCH(A667,'dynamic resource application '!$A$2:$A$100, 0),0)&lt;&gt;0), H667/(IF($E$2="Deployment",E667,1)),"")</f>
        <v/>
      </c>
      <c r="U667" s="211" t="str">
        <f>IF(AND(A667&lt;&gt;"",_xlfn.IFNA(MATCH(A667,'dynamic resource application '!$A$2:$A$100, 0),0)&lt;&gt;0), I667/(IF($E$2="Deployment",E667,1)),"")</f>
        <v/>
      </c>
    </row>
    <row r="668" spans="1:21" ht="15.75" customHeight="1" x14ac:dyDescent="0.25">
      <c r="A668" s="35" t="str">
        <f>IF(ISNONTEXT(deployment_raw[[#This Row],[Column1]]), "", deployment_raw[[#This Row],[Column1]])</f>
        <v/>
      </c>
      <c r="B668" s="36" t="str">
        <f>IF(ISNONTEXT(deployment_raw[[#This Row],[Column2]]), "", deployment_raw[[#This Row],[Column2]])</f>
        <v/>
      </c>
      <c r="C668" s="36" t="str">
        <f>IF(ISNONTEXT(deployment_raw[[#This Row],[Column3]]), "", deployment_raw[[#This Row],[Column3]])</f>
        <v/>
      </c>
      <c r="D668" s="36" t="str">
        <f>IF(ISNONTEXT(deployment_raw[[#This Row],[Column4]]), "", deployment_raw[[#This Row],[Column4]])</f>
        <v/>
      </c>
      <c r="E668" s="37" t="str">
        <f>IF(ISNUMBER(deployment_raw[[#This Row],[Column5]]), deployment_raw[[#This Row],[Column5]],"")</f>
        <v/>
      </c>
      <c r="F668" s="94" t="str">
        <f>IF(ISNUMBER(deployment_raw[[#This Row],[Column6]]), (deployment_raw[[#This Row],[Column6]] * IF($E$2="Deployment",deployment_raw[[#This Row],[Column5]],1)),"")</f>
        <v/>
      </c>
      <c r="G668" s="95" t="str">
        <f>IF(ISNUMBER(deployment_raw[[#This Row],[Column7]]), (deployment_raw[[#This Row],[Column7]] * IF($E$2="Deployment",deployment_raw[[#This Row],[Column5]],1))/1048576,"")</f>
        <v/>
      </c>
      <c r="H668" s="95" t="str">
        <f>IF(ISNUMBER(deployment_raw[[#This Row],[Column8]]), (deployment_raw[[#This Row],[Column8]]  * IF($E$2="Deployment",deployment_raw[[#This Row],[Column5]],1)),"")</f>
        <v/>
      </c>
      <c r="I668" s="96" t="str">
        <f>IF(ISNUMBER(deployment_raw[[#This Row],[Column9]]), (deployment_raw[[#This Row],[Column9]] * IF($E$2="Deployment",deployment_raw[[#This Row],[Column5]],1))/1048576,"")</f>
        <v/>
      </c>
      <c r="J668" s="122" t="str">
        <f>IF(ISNUMBER(deployment_raw[[#This Row],[Column10]]), (MIN(IF(N668&lt;&gt;"",N668,9999999999999)*1.1,deployment_raw[[#This Row],[Column10]] * IF($E$2="Deployment",deployment_raw[[#This Row],[Column5]],1))),"")</f>
        <v/>
      </c>
      <c r="K668" s="123" t="str">
        <f>IF(ISNUMBER(deployment_raw[[#This Row],[Column11]]), (MIN(IF(O668&lt;&gt;"",O668,9999999999999)*1.1,deployment_raw[[#This Row],[Column11]] * IF($E$2="Deployment",deployment_raw[[#This Row],[Column5]],1)/1048576)),"")</f>
        <v/>
      </c>
      <c r="L668" s="124" t="str">
        <f>IF(ISNUMBER(deployment_raw[[#This Row],[Column8]]),IF(OR(deployment_raw[[#This Row],[Column5]] &lt;&gt; 0,$E$2 &lt;&gt; "Deployment"), MAX(J668, P668, R668, ($L$2 * IF($E$2="Deployment",deployment_raw[[#This Row],[Column5]],1)),IF(T668&lt;&gt;"",VALUE(T668) * IF($E$2="Deployment",deployment_raw[[#This Row],[Column5]],1),0)), 0),"")</f>
        <v/>
      </c>
      <c r="M668" s="125" t="str">
        <f>IF(ISNUMBER(deployment_raw[[#This Row],[Column9]]),IF(OR(deployment_raw[[#This Row],[Column5]] &lt;&gt; 0,$E$2&lt;&gt;"Deployment"), MAX(K668, Q668, S668, ($M$2 * IF($E$2="Deployment",deployment_raw[[#This Row],[Column5]],1)),IF(U668&lt;&gt;"",VALUE(U668) * IF($E$2="Deployment",deployment_raw[[#This Row],[Column5]],1),0)), 0),"")</f>
        <v/>
      </c>
      <c r="N668" s="166" t="str">
        <f>IF(ISNUMBER(deployment_raw[[#This Row],[Column14]]), deployment_raw[[#This Row],[Column14]]/IF(OR($E$2="Deployment",deployment_raw[[#This Row],[Column5]]=0),1,deployment_raw[[#This Row],[Column5]]),"")</f>
        <v/>
      </c>
      <c r="O668" s="167" t="str">
        <f>IF(ISNUMBER(deployment_raw[[#This Row],[Column15]]), deployment_raw[[#This Row],[Column15]]/IF(OR($E$2="Deployment",deployment_raw[[#This Row],[Column5]]=0),1,deployment_raw[[#This Row],[Column5]])/1048576,"")</f>
        <v/>
      </c>
      <c r="P668" s="168" t="str">
        <f>IF(ISNUMBER(deployment_raw[[#This Row],[Column12]]), (MIN(IF(N668&lt;&gt;"",N668,9999999999999)*1.1,deployment_raw[[#This Row],[Column12]] * IF($E$2="Deployment",deployment_raw[[#This Row],[Column5]],1))*(1+$P$2)),"")</f>
        <v/>
      </c>
      <c r="Q668" s="167" t="str">
        <f>IF(ISNUMBER(deployment_raw[[#This Row],[Column13]]), (MIN(IF(O668&lt;&gt;"",O668,9999999999999)*1.1,deployment_raw[[#This Row],[Column13]] * IF($E$2="Deployment",deployment_raw[[#This Row],[Column5]],1)*(1+$Q$2)/1048576)),"")</f>
        <v/>
      </c>
      <c r="R668" s="169" t="str">
        <f>IF(ISNUMBER(deployment_raw[[#This Row],[Column8]]), (H668  * IF(N668&lt;&gt;0,$R$2,1)),"")</f>
        <v/>
      </c>
      <c r="S668" s="170" t="str">
        <f>IF(ISNUMBER(deployment_raw[[#This Row],[Column8]]), (I668  * IF(O668&lt;&gt;0,$S$2,1)),"")</f>
        <v/>
      </c>
      <c r="T668" s="202" t="str">
        <f>IF(AND(A668&lt;&gt;"",_xlfn.IFNA(MATCH(A668,'dynamic resource application '!$A$2:$A$100, 0),0)&lt;&gt;0), H668/(IF($E$2="Deployment",E668,1)),"")</f>
        <v/>
      </c>
      <c r="U668" s="211" t="str">
        <f>IF(AND(A668&lt;&gt;"",_xlfn.IFNA(MATCH(A668,'dynamic resource application '!$A$2:$A$100, 0),0)&lt;&gt;0), I668/(IF($E$2="Deployment",E668,1)),"")</f>
        <v/>
      </c>
    </row>
    <row r="669" spans="1:21" ht="15.75" customHeight="1" x14ac:dyDescent="0.25">
      <c r="A669" s="35" t="str">
        <f>IF(ISNONTEXT(deployment_raw[[#This Row],[Column1]]), "", deployment_raw[[#This Row],[Column1]])</f>
        <v/>
      </c>
      <c r="B669" s="36" t="str">
        <f>IF(ISNONTEXT(deployment_raw[[#This Row],[Column2]]), "", deployment_raw[[#This Row],[Column2]])</f>
        <v/>
      </c>
      <c r="C669" s="36" t="str">
        <f>IF(ISNONTEXT(deployment_raw[[#This Row],[Column3]]), "", deployment_raw[[#This Row],[Column3]])</f>
        <v/>
      </c>
      <c r="D669" s="36" t="str">
        <f>IF(ISNONTEXT(deployment_raw[[#This Row],[Column4]]), "", deployment_raw[[#This Row],[Column4]])</f>
        <v/>
      </c>
      <c r="E669" s="37" t="str">
        <f>IF(ISNUMBER(deployment_raw[[#This Row],[Column5]]), deployment_raw[[#This Row],[Column5]],"")</f>
        <v/>
      </c>
      <c r="F669" s="94" t="str">
        <f>IF(ISNUMBER(deployment_raw[[#This Row],[Column6]]), (deployment_raw[[#This Row],[Column6]] * IF($E$2="Deployment",deployment_raw[[#This Row],[Column5]],1)),"")</f>
        <v/>
      </c>
      <c r="G669" s="95" t="str">
        <f>IF(ISNUMBER(deployment_raw[[#This Row],[Column7]]), (deployment_raw[[#This Row],[Column7]] * IF($E$2="Deployment",deployment_raw[[#This Row],[Column5]],1))/1048576,"")</f>
        <v/>
      </c>
      <c r="H669" s="95" t="str">
        <f>IF(ISNUMBER(deployment_raw[[#This Row],[Column8]]), (deployment_raw[[#This Row],[Column8]]  * IF($E$2="Deployment",deployment_raw[[#This Row],[Column5]],1)),"")</f>
        <v/>
      </c>
      <c r="I669" s="96" t="str">
        <f>IF(ISNUMBER(deployment_raw[[#This Row],[Column9]]), (deployment_raw[[#This Row],[Column9]] * IF($E$2="Deployment",deployment_raw[[#This Row],[Column5]],1))/1048576,"")</f>
        <v/>
      </c>
      <c r="J669" s="122" t="str">
        <f>IF(ISNUMBER(deployment_raw[[#This Row],[Column10]]), (MIN(IF(N669&lt;&gt;"",N669,9999999999999)*1.1,deployment_raw[[#This Row],[Column10]] * IF($E$2="Deployment",deployment_raw[[#This Row],[Column5]],1))),"")</f>
        <v/>
      </c>
      <c r="K669" s="123" t="str">
        <f>IF(ISNUMBER(deployment_raw[[#This Row],[Column11]]), (MIN(IF(O669&lt;&gt;"",O669,9999999999999)*1.1,deployment_raw[[#This Row],[Column11]] * IF($E$2="Deployment",deployment_raw[[#This Row],[Column5]],1)/1048576)),"")</f>
        <v/>
      </c>
      <c r="L669" s="124" t="str">
        <f>IF(ISNUMBER(deployment_raw[[#This Row],[Column8]]),IF(OR(deployment_raw[[#This Row],[Column5]] &lt;&gt; 0,$E$2 &lt;&gt; "Deployment"), MAX(J669, P669, R669, ($L$2 * IF($E$2="Deployment",deployment_raw[[#This Row],[Column5]],1)),IF(T669&lt;&gt;"",VALUE(T669) * IF($E$2="Deployment",deployment_raw[[#This Row],[Column5]],1),0)), 0),"")</f>
        <v/>
      </c>
      <c r="M669" s="125" t="str">
        <f>IF(ISNUMBER(deployment_raw[[#This Row],[Column9]]),IF(OR(deployment_raw[[#This Row],[Column5]] &lt;&gt; 0,$E$2&lt;&gt;"Deployment"), MAX(K669, Q669, S669, ($M$2 * IF($E$2="Deployment",deployment_raw[[#This Row],[Column5]],1)),IF(U669&lt;&gt;"",VALUE(U669) * IF($E$2="Deployment",deployment_raw[[#This Row],[Column5]],1),0)), 0),"")</f>
        <v/>
      </c>
      <c r="N669" s="166" t="str">
        <f>IF(ISNUMBER(deployment_raw[[#This Row],[Column14]]), deployment_raw[[#This Row],[Column14]]/IF(OR($E$2="Deployment",deployment_raw[[#This Row],[Column5]]=0),1,deployment_raw[[#This Row],[Column5]]),"")</f>
        <v/>
      </c>
      <c r="O669" s="167" t="str">
        <f>IF(ISNUMBER(deployment_raw[[#This Row],[Column15]]), deployment_raw[[#This Row],[Column15]]/IF(OR($E$2="Deployment",deployment_raw[[#This Row],[Column5]]=0),1,deployment_raw[[#This Row],[Column5]])/1048576,"")</f>
        <v/>
      </c>
      <c r="P669" s="168" t="str">
        <f>IF(ISNUMBER(deployment_raw[[#This Row],[Column12]]), (MIN(IF(N669&lt;&gt;"",N669,9999999999999)*1.1,deployment_raw[[#This Row],[Column12]] * IF($E$2="Deployment",deployment_raw[[#This Row],[Column5]],1))*(1+$P$2)),"")</f>
        <v/>
      </c>
      <c r="Q669" s="167" t="str">
        <f>IF(ISNUMBER(deployment_raw[[#This Row],[Column13]]), (MIN(IF(O669&lt;&gt;"",O669,9999999999999)*1.1,deployment_raw[[#This Row],[Column13]] * IF($E$2="Deployment",deployment_raw[[#This Row],[Column5]],1)*(1+$Q$2)/1048576)),"")</f>
        <v/>
      </c>
      <c r="R669" s="169" t="str">
        <f>IF(ISNUMBER(deployment_raw[[#This Row],[Column8]]), (H669  * IF(N669&lt;&gt;0,$R$2,1)),"")</f>
        <v/>
      </c>
      <c r="S669" s="170" t="str">
        <f>IF(ISNUMBER(deployment_raw[[#This Row],[Column8]]), (I669  * IF(O669&lt;&gt;0,$S$2,1)),"")</f>
        <v/>
      </c>
      <c r="T669" s="202" t="str">
        <f>IF(AND(A669&lt;&gt;"",_xlfn.IFNA(MATCH(A669,'dynamic resource application '!$A$2:$A$100, 0),0)&lt;&gt;0), H669/(IF($E$2="Deployment",E669,1)),"")</f>
        <v/>
      </c>
      <c r="U669" s="211" t="str">
        <f>IF(AND(A669&lt;&gt;"",_xlfn.IFNA(MATCH(A669,'dynamic resource application '!$A$2:$A$100, 0),0)&lt;&gt;0), I669/(IF($E$2="Deployment",E669,1)),"")</f>
        <v/>
      </c>
    </row>
    <row r="670" spans="1:21" ht="15.75" customHeight="1" x14ac:dyDescent="0.25">
      <c r="A670" s="35" t="str">
        <f>IF(ISNONTEXT(deployment_raw[[#This Row],[Column1]]), "", deployment_raw[[#This Row],[Column1]])</f>
        <v/>
      </c>
      <c r="B670" s="36" t="str">
        <f>IF(ISNONTEXT(deployment_raw[[#This Row],[Column2]]), "", deployment_raw[[#This Row],[Column2]])</f>
        <v/>
      </c>
      <c r="C670" s="36" t="str">
        <f>IF(ISNONTEXT(deployment_raw[[#This Row],[Column3]]), "", deployment_raw[[#This Row],[Column3]])</f>
        <v/>
      </c>
      <c r="D670" s="36" t="str">
        <f>IF(ISNONTEXT(deployment_raw[[#This Row],[Column4]]), "", deployment_raw[[#This Row],[Column4]])</f>
        <v/>
      </c>
      <c r="E670" s="37" t="str">
        <f>IF(ISNUMBER(deployment_raw[[#This Row],[Column5]]), deployment_raw[[#This Row],[Column5]],"")</f>
        <v/>
      </c>
      <c r="F670" s="94" t="str">
        <f>IF(ISNUMBER(deployment_raw[[#This Row],[Column6]]), (deployment_raw[[#This Row],[Column6]] * IF($E$2="Deployment",deployment_raw[[#This Row],[Column5]],1)),"")</f>
        <v/>
      </c>
      <c r="G670" s="95" t="str">
        <f>IF(ISNUMBER(deployment_raw[[#This Row],[Column7]]), (deployment_raw[[#This Row],[Column7]] * IF($E$2="Deployment",deployment_raw[[#This Row],[Column5]],1))/1048576,"")</f>
        <v/>
      </c>
      <c r="H670" s="95" t="str">
        <f>IF(ISNUMBER(deployment_raw[[#This Row],[Column8]]), (deployment_raw[[#This Row],[Column8]]  * IF($E$2="Deployment",deployment_raw[[#This Row],[Column5]],1)),"")</f>
        <v/>
      </c>
      <c r="I670" s="96" t="str">
        <f>IF(ISNUMBER(deployment_raw[[#This Row],[Column9]]), (deployment_raw[[#This Row],[Column9]] * IF($E$2="Deployment",deployment_raw[[#This Row],[Column5]],1))/1048576,"")</f>
        <v/>
      </c>
      <c r="J670" s="122" t="str">
        <f>IF(ISNUMBER(deployment_raw[[#This Row],[Column10]]), (MIN(IF(N670&lt;&gt;"",N670,9999999999999)*1.1,deployment_raw[[#This Row],[Column10]] * IF($E$2="Deployment",deployment_raw[[#This Row],[Column5]],1))),"")</f>
        <v/>
      </c>
      <c r="K670" s="123" t="str">
        <f>IF(ISNUMBER(deployment_raw[[#This Row],[Column11]]), (MIN(IF(O670&lt;&gt;"",O670,9999999999999)*1.1,deployment_raw[[#This Row],[Column11]] * IF($E$2="Deployment",deployment_raw[[#This Row],[Column5]],1)/1048576)),"")</f>
        <v/>
      </c>
      <c r="L670" s="124" t="str">
        <f>IF(ISNUMBER(deployment_raw[[#This Row],[Column8]]),IF(OR(deployment_raw[[#This Row],[Column5]] &lt;&gt; 0,$E$2 &lt;&gt; "Deployment"), MAX(J670, P670, R670, ($L$2 * IF($E$2="Deployment",deployment_raw[[#This Row],[Column5]],1)),IF(T670&lt;&gt;"",VALUE(T670) * IF($E$2="Deployment",deployment_raw[[#This Row],[Column5]],1),0)), 0),"")</f>
        <v/>
      </c>
      <c r="M670" s="125" t="str">
        <f>IF(ISNUMBER(deployment_raw[[#This Row],[Column9]]),IF(OR(deployment_raw[[#This Row],[Column5]] &lt;&gt; 0,$E$2&lt;&gt;"Deployment"), MAX(K670, Q670, S670, ($M$2 * IF($E$2="Deployment",deployment_raw[[#This Row],[Column5]],1)),IF(U670&lt;&gt;"",VALUE(U670) * IF($E$2="Deployment",deployment_raw[[#This Row],[Column5]],1),0)), 0),"")</f>
        <v/>
      </c>
      <c r="N670" s="166" t="str">
        <f>IF(ISNUMBER(deployment_raw[[#This Row],[Column14]]), deployment_raw[[#This Row],[Column14]]/IF(OR($E$2="Deployment",deployment_raw[[#This Row],[Column5]]=0),1,deployment_raw[[#This Row],[Column5]]),"")</f>
        <v/>
      </c>
      <c r="O670" s="167" t="str">
        <f>IF(ISNUMBER(deployment_raw[[#This Row],[Column15]]), deployment_raw[[#This Row],[Column15]]/IF(OR($E$2="Deployment",deployment_raw[[#This Row],[Column5]]=0),1,deployment_raw[[#This Row],[Column5]])/1048576,"")</f>
        <v/>
      </c>
      <c r="P670" s="168" t="str">
        <f>IF(ISNUMBER(deployment_raw[[#This Row],[Column12]]), (MIN(IF(N670&lt;&gt;"",N670,9999999999999)*1.1,deployment_raw[[#This Row],[Column12]] * IF($E$2="Deployment",deployment_raw[[#This Row],[Column5]],1))*(1+$P$2)),"")</f>
        <v/>
      </c>
      <c r="Q670" s="167" t="str">
        <f>IF(ISNUMBER(deployment_raw[[#This Row],[Column13]]), (MIN(IF(O670&lt;&gt;"",O670,9999999999999)*1.1,deployment_raw[[#This Row],[Column13]] * IF($E$2="Deployment",deployment_raw[[#This Row],[Column5]],1)*(1+$Q$2)/1048576)),"")</f>
        <v/>
      </c>
      <c r="R670" s="169" t="str">
        <f>IF(ISNUMBER(deployment_raw[[#This Row],[Column8]]), (H670  * IF(N670&lt;&gt;0,$R$2,1)),"")</f>
        <v/>
      </c>
      <c r="S670" s="170" t="str">
        <f>IF(ISNUMBER(deployment_raw[[#This Row],[Column8]]), (I670  * IF(O670&lt;&gt;0,$S$2,1)),"")</f>
        <v/>
      </c>
      <c r="T670" s="202" t="str">
        <f>IF(AND(A670&lt;&gt;"",_xlfn.IFNA(MATCH(A670,'dynamic resource application '!$A$2:$A$100, 0),0)&lt;&gt;0), H670/(IF($E$2="Deployment",E670,1)),"")</f>
        <v/>
      </c>
      <c r="U670" s="211" t="str">
        <f>IF(AND(A670&lt;&gt;"",_xlfn.IFNA(MATCH(A670,'dynamic resource application '!$A$2:$A$100, 0),0)&lt;&gt;0), I670/(IF($E$2="Deployment",E670,1)),"")</f>
        <v/>
      </c>
    </row>
    <row r="671" spans="1:21" ht="15.75" customHeight="1" x14ac:dyDescent="0.25">
      <c r="A671" s="35" t="str">
        <f>IF(ISNONTEXT(deployment_raw[[#This Row],[Column1]]), "", deployment_raw[[#This Row],[Column1]])</f>
        <v/>
      </c>
      <c r="B671" s="36" t="str">
        <f>IF(ISNONTEXT(deployment_raw[[#This Row],[Column2]]), "", deployment_raw[[#This Row],[Column2]])</f>
        <v/>
      </c>
      <c r="C671" s="36" t="str">
        <f>IF(ISNONTEXT(deployment_raw[[#This Row],[Column3]]), "", deployment_raw[[#This Row],[Column3]])</f>
        <v/>
      </c>
      <c r="D671" s="36" t="str">
        <f>IF(ISNONTEXT(deployment_raw[[#This Row],[Column4]]), "", deployment_raw[[#This Row],[Column4]])</f>
        <v/>
      </c>
      <c r="E671" s="37" t="str">
        <f>IF(ISNUMBER(deployment_raw[[#This Row],[Column5]]), deployment_raw[[#This Row],[Column5]],"")</f>
        <v/>
      </c>
      <c r="F671" s="94" t="str">
        <f>IF(ISNUMBER(deployment_raw[[#This Row],[Column6]]), (deployment_raw[[#This Row],[Column6]] * IF($E$2="Deployment",deployment_raw[[#This Row],[Column5]],1)),"")</f>
        <v/>
      </c>
      <c r="G671" s="95" t="str">
        <f>IF(ISNUMBER(deployment_raw[[#This Row],[Column7]]), (deployment_raw[[#This Row],[Column7]] * IF($E$2="Deployment",deployment_raw[[#This Row],[Column5]],1))/1048576,"")</f>
        <v/>
      </c>
      <c r="H671" s="95" t="str">
        <f>IF(ISNUMBER(deployment_raw[[#This Row],[Column8]]), (deployment_raw[[#This Row],[Column8]]  * IF($E$2="Deployment",deployment_raw[[#This Row],[Column5]],1)),"")</f>
        <v/>
      </c>
      <c r="I671" s="96" t="str">
        <f>IF(ISNUMBER(deployment_raw[[#This Row],[Column9]]), (deployment_raw[[#This Row],[Column9]] * IF($E$2="Deployment",deployment_raw[[#This Row],[Column5]],1))/1048576,"")</f>
        <v/>
      </c>
      <c r="J671" s="122" t="str">
        <f>IF(ISNUMBER(deployment_raw[[#This Row],[Column10]]), (MIN(IF(N671&lt;&gt;"",N671,9999999999999)*1.1,deployment_raw[[#This Row],[Column10]] * IF($E$2="Deployment",deployment_raw[[#This Row],[Column5]],1))),"")</f>
        <v/>
      </c>
      <c r="K671" s="123" t="str">
        <f>IF(ISNUMBER(deployment_raw[[#This Row],[Column11]]), (MIN(IF(O671&lt;&gt;"",O671,9999999999999)*1.1,deployment_raw[[#This Row],[Column11]] * IF($E$2="Deployment",deployment_raw[[#This Row],[Column5]],1)/1048576)),"")</f>
        <v/>
      </c>
      <c r="L671" s="124" t="str">
        <f>IF(ISNUMBER(deployment_raw[[#This Row],[Column8]]),IF(OR(deployment_raw[[#This Row],[Column5]] &lt;&gt; 0,$E$2 &lt;&gt; "Deployment"), MAX(J671, P671, R671, ($L$2 * IF($E$2="Deployment",deployment_raw[[#This Row],[Column5]],1)),IF(T671&lt;&gt;"",VALUE(T671) * IF($E$2="Deployment",deployment_raw[[#This Row],[Column5]],1),0)), 0),"")</f>
        <v/>
      </c>
      <c r="M671" s="125" t="str">
        <f>IF(ISNUMBER(deployment_raw[[#This Row],[Column9]]),IF(OR(deployment_raw[[#This Row],[Column5]] &lt;&gt; 0,$E$2&lt;&gt;"Deployment"), MAX(K671, Q671, S671, ($M$2 * IF($E$2="Deployment",deployment_raw[[#This Row],[Column5]],1)),IF(U671&lt;&gt;"",VALUE(U671) * IF($E$2="Deployment",deployment_raw[[#This Row],[Column5]],1),0)), 0),"")</f>
        <v/>
      </c>
      <c r="N671" s="166" t="str">
        <f>IF(ISNUMBER(deployment_raw[[#This Row],[Column14]]), deployment_raw[[#This Row],[Column14]]/IF(OR($E$2="Deployment",deployment_raw[[#This Row],[Column5]]=0),1,deployment_raw[[#This Row],[Column5]]),"")</f>
        <v/>
      </c>
      <c r="O671" s="167" t="str">
        <f>IF(ISNUMBER(deployment_raw[[#This Row],[Column15]]), deployment_raw[[#This Row],[Column15]]/IF(OR($E$2="Deployment",deployment_raw[[#This Row],[Column5]]=0),1,deployment_raw[[#This Row],[Column5]])/1048576,"")</f>
        <v/>
      </c>
      <c r="P671" s="168" t="str">
        <f>IF(ISNUMBER(deployment_raw[[#This Row],[Column12]]), (MIN(IF(N671&lt;&gt;"",N671,9999999999999)*1.1,deployment_raw[[#This Row],[Column12]] * IF($E$2="Deployment",deployment_raw[[#This Row],[Column5]],1))*(1+$P$2)),"")</f>
        <v/>
      </c>
      <c r="Q671" s="167" t="str">
        <f>IF(ISNUMBER(deployment_raw[[#This Row],[Column13]]), (MIN(IF(O671&lt;&gt;"",O671,9999999999999)*1.1,deployment_raw[[#This Row],[Column13]] * IF($E$2="Deployment",deployment_raw[[#This Row],[Column5]],1)*(1+$Q$2)/1048576)),"")</f>
        <v/>
      </c>
      <c r="R671" s="169" t="str">
        <f>IF(ISNUMBER(deployment_raw[[#This Row],[Column8]]), (H671  * IF(N671&lt;&gt;0,$R$2,1)),"")</f>
        <v/>
      </c>
      <c r="S671" s="170" t="str">
        <f>IF(ISNUMBER(deployment_raw[[#This Row],[Column8]]), (I671  * IF(O671&lt;&gt;0,$S$2,1)),"")</f>
        <v/>
      </c>
      <c r="T671" s="202" t="str">
        <f>IF(AND(A671&lt;&gt;"",_xlfn.IFNA(MATCH(A671,'dynamic resource application '!$A$2:$A$100, 0),0)&lt;&gt;0), H671/(IF($E$2="Deployment",E671,1)),"")</f>
        <v/>
      </c>
      <c r="U671" s="211" t="str">
        <f>IF(AND(A671&lt;&gt;"",_xlfn.IFNA(MATCH(A671,'dynamic resource application '!$A$2:$A$100, 0),0)&lt;&gt;0), I671/(IF($E$2="Deployment",E671,1)),"")</f>
        <v/>
      </c>
    </row>
    <row r="672" spans="1:21" ht="15.75" customHeight="1" x14ac:dyDescent="0.25">
      <c r="A672" s="35" t="str">
        <f>IF(ISNONTEXT(deployment_raw[[#This Row],[Column1]]), "", deployment_raw[[#This Row],[Column1]])</f>
        <v/>
      </c>
      <c r="B672" s="36" t="str">
        <f>IF(ISNONTEXT(deployment_raw[[#This Row],[Column2]]), "", deployment_raw[[#This Row],[Column2]])</f>
        <v/>
      </c>
      <c r="C672" s="36" t="str">
        <f>IF(ISNONTEXT(deployment_raw[[#This Row],[Column3]]), "", deployment_raw[[#This Row],[Column3]])</f>
        <v/>
      </c>
      <c r="D672" s="36" t="str">
        <f>IF(ISNONTEXT(deployment_raw[[#This Row],[Column4]]), "", deployment_raw[[#This Row],[Column4]])</f>
        <v/>
      </c>
      <c r="E672" s="37" t="str">
        <f>IF(ISNUMBER(deployment_raw[[#This Row],[Column5]]), deployment_raw[[#This Row],[Column5]],"")</f>
        <v/>
      </c>
      <c r="F672" s="94" t="str">
        <f>IF(ISNUMBER(deployment_raw[[#This Row],[Column6]]), (deployment_raw[[#This Row],[Column6]] * IF($E$2="Deployment",deployment_raw[[#This Row],[Column5]],1)),"")</f>
        <v/>
      </c>
      <c r="G672" s="95" t="str">
        <f>IF(ISNUMBER(deployment_raw[[#This Row],[Column7]]), (deployment_raw[[#This Row],[Column7]] * IF($E$2="Deployment",deployment_raw[[#This Row],[Column5]],1))/1048576,"")</f>
        <v/>
      </c>
      <c r="H672" s="95" t="str">
        <f>IF(ISNUMBER(deployment_raw[[#This Row],[Column8]]), (deployment_raw[[#This Row],[Column8]]  * IF($E$2="Deployment",deployment_raw[[#This Row],[Column5]],1)),"")</f>
        <v/>
      </c>
      <c r="I672" s="96" t="str">
        <f>IF(ISNUMBER(deployment_raw[[#This Row],[Column9]]), (deployment_raw[[#This Row],[Column9]] * IF($E$2="Deployment",deployment_raw[[#This Row],[Column5]],1))/1048576,"")</f>
        <v/>
      </c>
      <c r="J672" s="122" t="str">
        <f>IF(ISNUMBER(deployment_raw[[#This Row],[Column10]]), (MIN(IF(N672&lt;&gt;"",N672,9999999999999)*1.1,deployment_raw[[#This Row],[Column10]] * IF($E$2="Deployment",deployment_raw[[#This Row],[Column5]],1))),"")</f>
        <v/>
      </c>
      <c r="K672" s="123" t="str">
        <f>IF(ISNUMBER(deployment_raw[[#This Row],[Column11]]), (MIN(IF(O672&lt;&gt;"",O672,9999999999999)*1.1,deployment_raw[[#This Row],[Column11]] * IF($E$2="Deployment",deployment_raw[[#This Row],[Column5]],1)/1048576)),"")</f>
        <v/>
      </c>
      <c r="L672" s="124" t="str">
        <f>IF(ISNUMBER(deployment_raw[[#This Row],[Column8]]),IF(OR(deployment_raw[[#This Row],[Column5]] &lt;&gt; 0,$E$2 &lt;&gt; "Deployment"), MAX(J672, P672, R672, ($L$2 * IF($E$2="Deployment",deployment_raw[[#This Row],[Column5]],1)),IF(T672&lt;&gt;"",VALUE(T672) * IF($E$2="Deployment",deployment_raw[[#This Row],[Column5]],1),0)), 0),"")</f>
        <v/>
      </c>
      <c r="M672" s="125" t="str">
        <f>IF(ISNUMBER(deployment_raw[[#This Row],[Column9]]),IF(OR(deployment_raw[[#This Row],[Column5]] &lt;&gt; 0,$E$2&lt;&gt;"Deployment"), MAX(K672, Q672, S672, ($M$2 * IF($E$2="Deployment",deployment_raw[[#This Row],[Column5]],1)),IF(U672&lt;&gt;"",VALUE(U672) * IF($E$2="Deployment",deployment_raw[[#This Row],[Column5]],1),0)), 0),"")</f>
        <v/>
      </c>
      <c r="N672" s="166" t="str">
        <f>IF(ISNUMBER(deployment_raw[[#This Row],[Column14]]), deployment_raw[[#This Row],[Column14]]/IF(OR($E$2="Deployment",deployment_raw[[#This Row],[Column5]]=0),1,deployment_raw[[#This Row],[Column5]]),"")</f>
        <v/>
      </c>
      <c r="O672" s="167" t="str">
        <f>IF(ISNUMBER(deployment_raw[[#This Row],[Column15]]), deployment_raw[[#This Row],[Column15]]/IF(OR($E$2="Deployment",deployment_raw[[#This Row],[Column5]]=0),1,deployment_raw[[#This Row],[Column5]])/1048576,"")</f>
        <v/>
      </c>
      <c r="P672" s="168" t="str">
        <f>IF(ISNUMBER(deployment_raw[[#This Row],[Column12]]), (MIN(IF(N672&lt;&gt;"",N672,9999999999999)*1.1,deployment_raw[[#This Row],[Column12]] * IF($E$2="Deployment",deployment_raw[[#This Row],[Column5]],1))*(1+$P$2)),"")</f>
        <v/>
      </c>
      <c r="Q672" s="167" t="str">
        <f>IF(ISNUMBER(deployment_raw[[#This Row],[Column13]]), (MIN(IF(O672&lt;&gt;"",O672,9999999999999)*1.1,deployment_raw[[#This Row],[Column13]] * IF($E$2="Deployment",deployment_raw[[#This Row],[Column5]],1)*(1+$Q$2)/1048576)),"")</f>
        <v/>
      </c>
      <c r="R672" s="169" t="str">
        <f>IF(ISNUMBER(deployment_raw[[#This Row],[Column8]]), (H672  * IF(N672&lt;&gt;0,$R$2,1)),"")</f>
        <v/>
      </c>
      <c r="S672" s="170" t="str">
        <f>IF(ISNUMBER(deployment_raw[[#This Row],[Column8]]), (I672  * IF(O672&lt;&gt;0,$S$2,1)),"")</f>
        <v/>
      </c>
      <c r="T672" s="202" t="str">
        <f>IF(AND(A672&lt;&gt;"",_xlfn.IFNA(MATCH(A672,'dynamic resource application '!$A$2:$A$100, 0),0)&lt;&gt;0), H672/(IF($E$2="Deployment",E672,1)),"")</f>
        <v/>
      </c>
      <c r="U672" s="211" t="str">
        <f>IF(AND(A672&lt;&gt;"",_xlfn.IFNA(MATCH(A672,'dynamic resource application '!$A$2:$A$100, 0),0)&lt;&gt;0), I672/(IF($E$2="Deployment",E672,1)),"")</f>
        <v/>
      </c>
    </row>
    <row r="673" spans="1:21" ht="15.75" customHeight="1" x14ac:dyDescent="0.25">
      <c r="A673" s="35" t="str">
        <f>IF(ISNONTEXT(deployment_raw[[#This Row],[Column1]]), "", deployment_raw[[#This Row],[Column1]])</f>
        <v/>
      </c>
      <c r="B673" s="36" t="str">
        <f>IF(ISNONTEXT(deployment_raw[[#This Row],[Column2]]), "", deployment_raw[[#This Row],[Column2]])</f>
        <v/>
      </c>
      <c r="C673" s="36" t="str">
        <f>IF(ISNONTEXT(deployment_raw[[#This Row],[Column3]]), "", deployment_raw[[#This Row],[Column3]])</f>
        <v/>
      </c>
      <c r="D673" s="36" t="str">
        <f>IF(ISNONTEXT(deployment_raw[[#This Row],[Column4]]), "", deployment_raw[[#This Row],[Column4]])</f>
        <v/>
      </c>
      <c r="E673" s="37" t="str">
        <f>IF(ISNUMBER(deployment_raw[[#This Row],[Column5]]), deployment_raw[[#This Row],[Column5]],"")</f>
        <v/>
      </c>
      <c r="F673" s="94" t="str">
        <f>IF(ISNUMBER(deployment_raw[[#This Row],[Column6]]), (deployment_raw[[#This Row],[Column6]] * IF($E$2="Deployment",deployment_raw[[#This Row],[Column5]],1)),"")</f>
        <v/>
      </c>
      <c r="G673" s="95" t="str">
        <f>IF(ISNUMBER(deployment_raw[[#This Row],[Column7]]), (deployment_raw[[#This Row],[Column7]] * IF($E$2="Deployment",deployment_raw[[#This Row],[Column5]],1))/1048576,"")</f>
        <v/>
      </c>
      <c r="H673" s="95" t="str">
        <f>IF(ISNUMBER(deployment_raw[[#This Row],[Column8]]), (deployment_raw[[#This Row],[Column8]]  * IF($E$2="Deployment",deployment_raw[[#This Row],[Column5]],1)),"")</f>
        <v/>
      </c>
      <c r="I673" s="96" t="str">
        <f>IF(ISNUMBER(deployment_raw[[#This Row],[Column9]]), (deployment_raw[[#This Row],[Column9]] * IF($E$2="Deployment",deployment_raw[[#This Row],[Column5]],1))/1048576,"")</f>
        <v/>
      </c>
      <c r="J673" s="122" t="str">
        <f>IF(ISNUMBER(deployment_raw[[#This Row],[Column10]]), (MIN(IF(N673&lt;&gt;"",N673,9999999999999)*1.1,deployment_raw[[#This Row],[Column10]] * IF($E$2="Deployment",deployment_raw[[#This Row],[Column5]],1))),"")</f>
        <v/>
      </c>
      <c r="K673" s="123" t="str">
        <f>IF(ISNUMBER(deployment_raw[[#This Row],[Column11]]), (MIN(IF(O673&lt;&gt;"",O673,9999999999999)*1.1,deployment_raw[[#This Row],[Column11]] * IF($E$2="Deployment",deployment_raw[[#This Row],[Column5]],1)/1048576)),"")</f>
        <v/>
      </c>
      <c r="L673" s="124" t="str">
        <f>IF(ISNUMBER(deployment_raw[[#This Row],[Column8]]),IF(OR(deployment_raw[[#This Row],[Column5]] &lt;&gt; 0,$E$2 &lt;&gt; "Deployment"), MAX(J673, P673, R673, ($L$2 * IF($E$2="Deployment",deployment_raw[[#This Row],[Column5]],1)),IF(T673&lt;&gt;"",VALUE(T673) * IF($E$2="Deployment",deployment_raw[[#This Row],[Column5]],1),0)), 0),"")</f>
        <v/>
      </c>
      <c r="M673" s="125" t="str">
        <f>IF(ISNUMBER(deployment_raw[[#This Row],[Column9]]),IF(OR(deployment_raw[[#This Row],[Column5]] &lt;&gt; 0,$E$2&lt;&gt;"Deployment"), MAX(K673, Q673, S673, ($M$2 * IF($E$2="Deployment",deployment_raw[[#This Row],[Column5]],1)),IF(U673&lt;&gt;"",VALUE(U673) * IF($E$2="Deployment",deployment_raw[[#This Row],[Column5]],1),0)), 0),"")</f>
        <v/>
      </c>
      <c r="N673" s="166" t="str">
        <f>IF(ISNUMBER(deployment_raw[[#This Row],[Column14]]), deployment_raw[[#This Row],[Column14]]/IF(OR($E$2="Deployment",deployment_raw[[#This Row],[Column5]]=0),1,deployment_raw[[#This Row],[Column5]]),"")</f>
        <v/>
      </c>
      <c r="O673" s="167" t="str">
        <f>IF(ISNUMBER(deployment_raw[[#This Row],[Column15]]), deployment_raw[[#This Row],[Column15]]/IF(OR($E$2="Deployment",deployment_raw[[#This Row],[Column5]]=0),1,deployment_raw[[#This Row],[Column5]])/1048576,"")</f>
        <v/>
      </c>
      <c r="P673" s="168" t="str">
        <f>IF(ISNUMBER(deployment_raw[[#This Row],[Column12]]), (MIN(IF(N673&lt;&gt;"",N673,9999999999999)*1.1,deployment_raw[[#This Row],[Column12]] * IF($E$2="Deployment",deployment_raw[[#This Row],[Column5]],1))*(1+$P$2)),"")</f>
        <v/>
      </c>
      <c r="Q673" s="167" t="str">
        <f>IF(ISNUMBER(deployment_raw[[#This Row],[Column13]]), (MIN(IF(O673&lt;&gt;"",O673,9999999999999)*1.1,deployment_raw[[#This Row],[Column13]] * IF($E$2="Deployment",deployment_raw[[#This Row],[Column5]],1)*(1+$Q$2)/1048576)),"")</f>
        <v/>
      </c>
      <c r="R673" s="169" t="str">
        <f>IF(ISNUMBER(deployment_raw[[#This Row],[Column8]]), (H673  * IF(N673&lt;&gt;0,$R$2,1)),"")</f>
        <v/>
      </c>
      <c r="S673" s="170" t="str">
        <f>IF(ISNUMBER(deployment_raw[[#This Row],[Column8]]), (I673  * IF(O673&lt;&gt;0,$S$2,1)),"")</f>
        <v/>
      </c>
      <c r="T673" s="202" t="str">
        <f>IF(AND(A673&lt;&gt;"",_xlfn.IFNA(MATCH(A673,'dynamic resource application '!$A$2:$A$100, 0),0)&lt;&gt;0), H673/(IF($E$2="Deployment",E673,1)),"")</f>
        <v/>
      </c>
      <c r="U673" s="211" t="str">
        <f>IF(AND(A673&lt;&gt;"",_xlfn.IFNA(MATCH(A673,'dynamic resource application '!$A$2:$A$100, 0),0)&lt;&gt;0), I673/(IF($E$2="Deployment",E673,1)),"")</f>
        <v/>
      </c>
    </row>
    <row r="674" spans="1:21" ht="15.75" customHeight="1" x14ac:dyDescent="0.25">
      <c r="A674" s="35" t="str">
        <f>IF(ISNONTEXT(deployment_raw[[#This Row],[Column1]]), "", deployment_raw[[#This Row],[Column1]])</f>
        <v/>
      </c>
      <c r="B674" s="36" t="str">
        <f>IF(ISNONTEXT(deployment_raw[[#This Row],[Column2]]), "", deployment_raw[[#This Row],[Column2]])</f>
        <v/>
      </c>
      <c r="C674" s="36" t="str">
        <f>IF(ISNONTEXT(deployment_raw[[#This Row],[Column3]]), "", deployment_raw[[#This Row],[Column3]])</f>
        <v/>
      </c>
      <c r="D674" s="36" t="str">
        <f>IF(ISNONTEXT(deployment_raw[[#This Row],[Column4]]), "", deployment_raw[[#This Row],[Column4]])</f>
        <v/>
      </c>
      <c r="E674" s="37" t="str">
        <f>IF(ISNUMBER(deployment_raw[[#This Row],[Column5]]), deployment_raw[[#This Row],[Column5]],"")</f>
        <v/>
      </c>
      <c r="F674" s="94" t="str">
        <f>IF(ISNUMBER(deployment_raw[[#This Row],[Column6]]), (deployment_raw[[#This Row],[Column6]] * IF($E$2="Deployment",deployment_raw[[#This Row],[Column5]],1)),"")</f>
        <v/>
      </c>
      <c r="G674" s="95" t="str">
        <f>IF(ISNUMBER(deployment_raw[[#This Row],[Column7]]), (deployment_raw[[#This Row],[Column7]] * IF($E$2="Deployment",deployment_raw[[#This Row],[Column5]],1))/1048576,"")</f>
        <v/>
      </c>
      <c r="H674" s="95" t="str">
        <f>IF(ISNUMBER(deployment_raw[[#This Row],[Column8]]), (deployment_raw[[#This Row],[Column8]]  * IF($E$2="Deployment",deployment_raw[[#This Row],[Column5]],1)),"")</f>
        <v/>
      </c>
      <c r="I674" s="96" t="str">
        <f>IF(ISNUMBER(deployment_raw[[#This Row],[Column9]]), (deployment_raw[[#This Row],[Column9]] * IF($E$2="Deployment",deployment_raw[[#This Row],[Column5]],1))/1048576,"")</f>
        <v/>
      </c>
      <c r="J674" s="122" t="str">
        <f>IF(ISNUMBER(deployment_raw[[#This Row],[Column10]]), (MIN(IF(N674&lt;&gt;"",N674,9999999999999)*1.1,deployment_raw[[#This Row],[Column10]] * IF($E$2="Deployment",deployment_raw[[#This Row],[Column5]],1))),"")</f>
        <v/>
      </c>
      <c r="K674" s="123" t="str">
        <f>IF(ISNUMBER(deployment_raw[[#This Row],[Column11]]), (MIN(IF(O674&lt;&gt;"",O674,9999999999999)*1.1,deployment_raw[[#This Row],[Column11]] * IF($E$2="Deployment",deployment_raw[[#This Row],[Column5]],1)/1048576)),"")</f>
        <v/>
      </c>
      <c r="L674" s="124" t="str">
        <f>IF(ISNUMBER(deployment_raw[[#This Row],[Column8]]),IF(OR(deployment_raw[[#This Row],[Column5]] &lt;&gt; 0,$E$2 &lt;&gt; "Deployment"), MAX(J674, P674, R674, ($L$2 * IF($E$2="Deployment",deployment_raw[[#This Row],[Column5]],1)),IF(T674&lt;&gt;"",VALUE(T674) * IF($E$2="Deployment",deployment_raw[[#This Row],[Column5]],1),0)), 0),"")</f>
        <v/>
      </c>
      <c r="M674" s="125" t="str">
        <f>IF(ISNUMBER(deployment_raw[[#This Row],[Column9]]),IF(OR(deployment_raw[[#This Row],[Column5]] &lt;&gt; 0,$E$2&lt;&gt;"Deployment"), MAX(K674, Q674, S674, ($M$2 * IF($E$2="Deployment",deployment_raw[[#This Row],[Column5]],1)),IF(U674&lt;&gt;"",VALUE(U674) * IF($E$2="Deployment",deployment_raw[[#This Row],[Column5]],1),0)), 0),"")</f>
        <v/>
      </c>
      <c r="N674" s="166" t="str">
        <f>IF(ISNUMBER(deployment_raw[[#This Row],[Column14]]), deployment_raw[[#This Row],[Column14]]/IF(OR($E$2="Deployment",deployment_raw[[#This Row],[Column5]]=0),1,deployment_raw[[#This Row],[Column5]]),"")</f>
        <v/>
      </c>
      <c r="O674" s="167" t="str">
        <f>IF(ISNUMBER(deployment_raw[[#This Row],[Column15]]), deployment_raw[[#This Row],[Column15]]/IF(OR($E$2="Deployment",deployment_raw[[#This Row],[Column5]]=0),1,deployment_raw[[#This Row],[Column5]])/1048576,"")</f>
        <v/>
      </c>
      <c r="P674" s="168" t="str">
        <f>IF(ISNUMBER(deployment_raw[[#This Row],[Column12]]), (MIN(IF(N674&lt;&gt;"",N674,9999999999999)*1.1,deployment_raw[[#This Row],[Column12]] * IF($E$2="Deployment",deployment_raw[[#This Row],[Column5]],1))*(1+$P$2)),"")</f>
        <v/>
      </c>
      <c r="Q674" s="167" t="str">
        <f>IF(ISNUMBER(deployment_raw[[#This Row],[Column13]]), (MIN(IF(O674&lt;&gt;"",O674,9999999999999)*1.1,deployment_raw[[#This Row],[Column13]] * IF($E$2="Deployment",deployment_raw[[#This Row],[Column5]],1)*(1+$Q$2)/1048576)),"")</f>
        <v/>
      </c>
      <c r="R674" s="169" t="str">
        <f>IF(ISNUMBER(deployment_raw[[#This Row],[Column8]]), (H674  * IF(N674&lt;&gt;0,$R$2,1)),"")</f>
        <v/>
      </c>
      <c r="S674" s="170" t="str">
        <f>IF(ISNUMBER(deployment_raw[[#This Row],[Column8]]), (I674  * IF(O674&lt;&gt;0,$S$2,1)),"")</f>
        <v/>
      </c>
      <c r="T674" s="202" t="str">
        <f>IF(AND(A674&lt;&gt;"",_xlfn.IFNA(MATCH(A674,'dynamic resource application '!$A$2:$A$100, 0),0)&lt;&gt;0), H674/(IF($E$2="Deployment",E674,1)),"")</f>
        <v/>
      </c>
      <c r="U674" s="211" t="str">
        <f>IF(AND(A674&lt;&gt;"",_xlfn.IFNA(MATCH(A674,'dynamic resource application '!$A$2:$A$100, 0),0)&lt;&gt;0), I674/(IF($E$2="Deployment",E674,1)),"")</f>
        <v/>
      </c>
    </row>
    <row r="675" spans="1:21" ht="15.75" customHeight="1" x14ac:dyDescent="0.25">
      <c r="A675" s="35" t="str">
        <f>IF(ISNONTEXT(deployment_raw[[#This Row],[Column1]]), "", deployment_raw[[#This Row],[Column1]])</f>
        <v/>
      </c>
      <c r="B675" s="36" t="str">
        <f>IF(ISNONTEXT(deployment_raw[[#This Row],[Column2]]), "", deployment_raw[[#This Row],[Column2]])</f>
        <v/>
      </c>
      <c r="C675" s="36" t="str">
        <f>IF(ISNONTEXT(deployment_raw[[#This Row],[Column3]]), "", deployment_raw[[#This Row],[Column3]])</f>
        <v/>
      </c>
      <c r="D675" s="36" t="str">
        <f>IF(ISNONTEXT(deployment_raw[[#This Row],[Column4]]), "", deployment_raw[[#This Row],[Column4]])</f>
        <v/>
      </c>
      <c r="E675" s="37" t="str">
        <f>IF(ISNUMBER(deployment_raw[[#This Row],[Column5]]), deployment_raw[[#This Row],[Column5]],"")</f>
        <v/>
      </c>
      <c r="F675" s="94" t="str">
        <f>IF(ISNUMBER(deployment_raw[[#This Row],[Column6]]), (deployment_raw[[#This Row],[Column6]] * IF($E$2="Deployment",deployment_raw[[#This Row],[Column5]],1)),"")</f>
        <v/>
      </c>
      <c r="G675" s="95" t="str">
        <f>IF(ISNUMBER(deployment_raw[[#This Row],[Column7]]), (deployment_raw[[#This Row],[Column7]] * IF($E$2="Deployment",deployment_raw[[#This Row],[Column5]],1))/1048576,"")</f>
        <v/>
      </c>
      <c r="H675" s="95" t="str">
        <f>IF(ISNUMBER(deployment_raw[[#This Row],[Column8]]), (deployment_raw[[#This Row],[Column8]]  * IF($E$2="Deployment",deployment_raw[[#This Row],[Column5]],1)),"")</f>
        <v/>
      </c>
      <c r="I675" s="96" t="str">
        <f>IF(ISNUMBER(deployment_raw[[#This Row],[Column9]]), (deployment_raw[[#This Row],[Column9]] * IF($E$2="Deployment",deployment_raw[[#This Row],[Column5]],1))/1048576,"")</f>
        <v/>
      </c>
      <c r="J675" s="122" t="str">
        <f>IF(ISNUMBER(deployment_raw[[#This Row],[Column10]]), (MIN(IF(N675&lt;&gt;"",N675,9999999999999)*1.1,deployment_raw[[#This Row],[Column10]] * IF($E$2="Deployment",deployment_raw[[#This Row],[Column5]],1))),"")</f>
        <v/>
      </c>
      <c r="K675" s="123" t="str">
        <f>IF(ISNUMBER(deployment_raw[[#This Row],[Column11]]), (MIN(IF(O675&lt;&gt;"",O675,9999999999999)*1.1,deployment_raw[[#This Row],[Column11]] * IF($E$2="Deployment",deployment_raw[[#This Row],[Column5]],1)/1048576)),"")</f>
        <v/>
      </c>
      <c r="L675" s="124" t="str">
        <f>IF(ISNUMBER(deployment_raw[[#This Row],[Column8]]),IF(OR(deployment_raw[[#This Row],[Column5]] &lt;&gt; 0,$E$2 &lt;&gt; "Deployment"), MAX(J675, P675, R675, ($L$2 * IF($E$2="Deployment",deployment_raw[[#This Row],[Column5]],1)),IF(T675&lt;&gt;"",VALUE(T675) * IF($E$2="Deployment",deployment_raw[[#This Row],[Column5]],1),0)), 0),"")</f>
        <v/>
      </c>
      <c r="M675" s="125" t="str">
        <f>IF(ISNUMBER(deployment_raw[[#This Row],[Column9]]),IF(OR(deployment_raw[[#This Row],[Column5]] &lt;&gt; 0,$E$2&lt;&gt;"Deployment"), MAX(K675, Q675, S675, ($M$2 * IF($E$2="Deployment",deployment_raw[[#This Row],[Column5]],1)),IF(U675&lt;&gt;"",VALUE(U675) * IF($E$2="Deployment",deployment_raw[[#This Row],[Column5]],1),0)), 0),"")</f>
        <v/>
      </c>
      <c r="N675" s="166" t="str">
        <f>IF(ISNUMBER(deployment_raw[[#This Row],[Column14]]), deployment_raw[[#This Row],[Column14]]/IF(OR($E$2="Deployment",deployment_raw[[#This Row],[Column5]]=0),1,deployment_raw[[#This Row],[Column5]]),"")</f>
        <v/>
      </c>
      <c r="O675" s="167" t="str">
        <f>IF(ISNUMBER(deployment_raw[[#This Row],[Column15]]), deployment_raw[[#This Row],[Column15]]/IF(OR($E$2="Deployment",deployment_raw[[#This Row],[Column5]]=0),1,deployment_raw[[#This Row],[Column5]])/1048576,"")</f>
        <v/>
      </c>
      <c r="P675" s="168" t="str">
        <f>IF(ISNUMBER(deployment_raw[[#This Row],[Column12]]), (MIN(IF(N675&lt;&gt;"",N675,9999999999999)*1.1,deployment_raw[[#This Row],[Column12]] * IF($E$2="Deployment",deployment_raw[[#This Row],[Column5]],1))*(1+$P$2)),"")</f>
        <v/>
      </c>
      <c r="Q675" s="167" t="str">
        <f>IF(ISNUMBER(deployment_raw[[#This Row],[Column13]]), (MIN(IF(O675&lt;&gt;"",O675,9999999999999)*1.1,deployment_raw[[#This Row],[Column13]] * IF($E$2="Deployment",deployment_raw[[#This Row],[Column5]],1)*(1+$Q$2)/1048576)),"")</f>
        <v/>
      </c>
      <c r="R675" s="169" t="str">
        <f>IF(ISNUMBER(deployment_raw[[#This Row],[Column8]]), (H675  * IF(N675&lt;&gt;0,$R$2,1)),"")</f>
        <v/>
      </c>
      <c r="S675" s="170" t="str">
        <f>IF(ISNUMBER(deployment_raw[[#This Row],[Column8]]), (I675  * IF(O675&lt;&gt;0,$S$2,1)),"")</f>
        <v/>
      </c>
      <c r="T675" s="202" t="str">
        <f>IF(AND(A675&lt;&gt;"",_xlfn.IFNA(MATCH(A675,'dynamic resource application '!$A$2:$A$100, 0),0)&lt;&gt;0), H675/(IF($E$2="Deployment",E675,1)),"")</f>
        <v/>
      </c>
      <c r="U675" s="211" t="str">
        <f>IF(AND(A675&lt;&gt;"",_xlfn.IFNA(MATCH(A675,'dynamic resource application '!$A$2:$A$100, 0),0)&lt;&gt;0), I675/(IF($E$2="Deployment",E675,1)),"")</f>
        <v/>
      </c>
    </row>
    <row r="676" spans="1:21" ht="15.75" customHeight="1" x14ac:dyDescent="0.25">
      <c r="A676" s="35" t="str">
        <f>IF(ISNONTEXT(deployment_raw[[#This Row],[Column1]]), "", deployment_raw[[#This Row],[Column1]])</f>
        <v/>
      </c>
      <c r="B676" s="36" t="str">
        <f>IF(ISNONTEXT(deployment_raw[[#This Row],[Column2]]), "", deployment_raw[[#This Row],[Column2]])</f>
        <v/>
      </c>
      <c r="C676" s="36" t="str">
        <f>IF(ISNONTEXT(deployment_raw[[#This Row],[Column3]]), "", deployment_raw[[#This Row],[Column3]])</f>
        <v/>
      </c>
      <c r="D676" s="36" t="str">
        <f>IF(ISNONTEXT(deployment_raw[[#This Row],[Column4]]), "", deployment_raw[[#This Row],[Column4]])</f>
        <v/>
      </c>
      <c r="E676" s="37" t="str">
        <f>IF(ISNUMBER(deployment_raw[[#This Row],[Column5]]), deployment_raw[[#This Row],[Column5]],"")</f>
        <v/>
      </c>
      <c r="F676" s="94" t="str">
        <f>IF(ISNUMBER(deployment_raw[[#This Row],[Column6]]), (deployment_raw[[#This Row],[Column6]] * IF($E$2="Deployment",deployment_raw[[#This Row],[Column5]],1)),"")</f>
        <v/>
      </c>
      <c r="G676" s="95" t="str">
        <f>IF(ISNUMBER(deployment_raw[[#This Row],[Column7]]), (deployment_raw[[#This Row],[Column7]] * IF($E$2="Deployment",deployment_raw[[#This Row],[Column5]],1))/1048576,"")</f>
        <v/>
      </c>
      <c r="H676" s="95" t="str">
        <f>IF(ISNUMBER(deployment_raw[[#This Row],[Column8]]), (deployment_raw[[#This Row],[Column8]]  * IF($E$2="Deployment",deployment_raw[[#This Row],[Column5]],1)),"")</f>
        <v/>
      </c>
      <c r="I676" s="96" t="str">
        <f>IF(ISNUMBER(deployment_raw[[#This Row],[Column9]]), (deployment_raw[[#This Row],[Column9]] * IF($E$2="Deployment",deployment_raw[[#This Row],[Column5]],1))/1048576,"")</f>
        <v/>
      </c>
      <c r="J676" s="122" t="str">
        <f>IF(ISNUMBER(deployment_raw[[#This Row],[Column10]]), (MIN(IF(N676&lt;&gt;"",N676,9999999999999)*1.1,deployment_raw[[#This Row],[Column10]] * IF($E$2="Deployment",deployment_raw[[#This Row],[Column5]],1))),"")</f>
        <v/>
      </c>
      <c r="K676" s="123" t="str">
        <f>IF(ISNUMBER(deployment_raw[[#This Row],[Column11]]), (MIN(IF(O676&lt;&gt;"",O676,9999999999999)*1.1,deployment_raw[[#This Row],[Column11]] * IF($E$2="Deployment",deployment_raw[[#This Row],[Column5]],1)/1048576)),"")</f>
        <v/>
      </c>
      <c r="L676" s="124" t="str">
        <f>IF(ISNUMBER(deployment_raw[[#This Row],[Column8]]),IF(OR(deployment_raw[[#This Row],[Column5]] &lt;&gt; 0,$E$2 &lt;&gt; "Deployment"), MAX(J676, P676, R676, ($L$2 * IF($E$2="Deployment",deployment_raw[[#This Row],[Column5]],1)),IF(T676&lt;&gt;"",VALUE(T676) * IF($E$2="Deployment",deployment_raw[[#This Row],[Column5]],1),0)), 0),"")</f>
        <v/>
      </c>
      <c r="M676" s="125" t="str">
        <f>IF(ISNUMBER(deployment_raw[[#This Row],[Column9]]),IF(OR(deployment_raw[[#This Row],[Column5]] &lt;&gt; 0,$E$2&lt;&gt;"Deployment"), MAX(K676, Q676, S676, ($M$2 * IF($E$2="Deployment",deployment_raw[[#This Row],[Column5]],1)),IF(U676&lt;&gt;"",VALUE(U676) * IF($E$2="Deployment",deployment_raw[[#This Row],[Column5]],1),0)), 0),"")</f>
        <v/>
      </c>
      <c r="N676" s="166" t="str">
        <f>IF(ISNUMBER(deployment_raw[[#This Row],[Column14]]), deployment_raw[[#This Row],[Column14]]/IF(OR($E$2="Deployment",deployment_raw[[#This Row],[Column5]]=0),1,deployment_raw[[#This Row],[Column5]]),"")</f>
        <v/>
      </c>
      <c r="O676" s="167" t="str">
        <f>IF(ISNUMBER(deployment_raw[[#This Row],[Column15]]), deployment_raw[[#This Row],[Column15]]/IF(OR($E$2="Deployment",deployment_raw[[#This Row],[Column5]]=0),1,deployment_raw[[#This Row],[Column5]])/1048576,"")</f>
        <v/>
      </c>
      <c r="P676" s="168" t="str">
        <f>IF(ISNUMBER(deployment_raw[[#This Row],[Column12]]), (MIN(IF(N676&lt;&gt;"",N676,9999999999999)*1.1,deployment_raw[[#This Row],[Column12]] * IF($E$2="Deployment",deployment_raw[[#This Row],[Column5]],1))*(1+$P$2)),"")</f>
        <v/>
      </c>
      <c r="Q676" s="167" t="str">
        <f>IF(ISNUMBER(deployment_raw[[#This Row],[Column13]]), (MIN(IF(O676&lt;&gt;"",O676,9999999999999)*1.1,deployment_raw[[#This Row],[Column13]] * IF($E$2="Deployment",deployment_raw[[#This Row],[Column5]],1)*(1+$Q$2)/1048576)),"")</f>
        <v/>
      </c>
      <c r="R676" s="169" t="str">
        <f>IF(ISNUMBER(deployment_raw[[#This Row],[Column8]]), (H676  * IF(N676&lt;&gt;0,$R$2,1)),"")</f>
        <v/>
      </c>
      <c r="S676" s="170" t="str">
        <f>IF(ISNUMBER(deployment_raw[[#This Row],[Column8]]), (I676  * IF(O676&lt;&gt;0,$S$2,1)),"")</f>
        <v/>
      </c>
      <c r="T676" s="202" t="str">
        <f>IF(AND(A676&lt;&gt;"",_xlfn.IFNA(MATCH(A676,'dynamic resource application '!$A$2:$A$100, 0),0)&lt;&gt;0), H676/(IF($E$2="Deployment",E676,1)),"")</f>
        <v/>
      </c>
      <c r="U676" s="211" t="str">
        <f>IF(AND(A676&lt;&gt;"",_xlfn.IFNA(MATCH(A676,'dynamic resource application '!$A$2:$A$100, 0),0)&lt;&gt;0), I676/(IF($E$2="Deployment",E676,1)),"")</f>
        <v/>
      </c>
    </row>
    <row r="677" spans="1:21" ht="15.75" customHeight="1" x14ac:dyDescent="0.25">
      <c r="A677" s="35" t="str">
        <f>IF(ISNONTEXT(deployment_raw[[#This Row],[Column1]]), "", deployment_raw[[#This Row],[Column1]])</f>
        <v/>
      </c>
      <c r="B677" s="36" t="str">
        <f>IF(ISNONTEXT(deployment_raw[[#This Row],[Column2]]), "", deployment_raw[[#This Row],[Column2]])</f>
        <v/>
      </c>
      <c r="C677" s="36" t="str">
        <f>IF(ISNONTEXT(deployment_raw[[#This Row],[Column3]]), "", deployment_raw[[#This Row],[Column3]])</f>
        <v/>
      </c>
      <c r="D677" s="36" t="str">
        <f>IF(ISNONTEXT(deployment_raw[[#This Row],[Column4]]), "", deployment_raw[[#This Row],[Column4]])</f>
        <v/>
      </c>
      <c r="E677" s="37" t="str">
        <f>IF(ISNUMBER(deployment_raw[[#This Row],[Column5]]), deployment_raw[[#This Row],[Column5]],"")</f>
        <v/>
      </c>
      <c r="F677" s="94" t="str">
        <f>IF(ISNUMBER(deployment_raw[[#This Row],[Column6]]), (deployment_raw[[#This Row],[Column6]] * IF($E$2="Deployment",deployment_raw[[#This Row],[Column5]],1)),"")</f>
        <v/>
      </c>
      <c r="G677" s="95" t="str">
        <f>IF(ISNUMBER(deployment_raw[[#This Row],[Column7]]), (deployment_raw[[#This Row],[Column7]] * IF($E$2="Deployment",deployment_raw[[#This Row],[Column5]],1))/1048576,"")</f>
        <v/>
      </c>
      <c r="H677" s="95" t="str">
        <f>IF(ISNUMBER(deployment_raw[[#This Row],[Column8]]), (deployment_raw[[#This Row],[Column8]]  * IF($E$2="Deployment",deployment_raw[[#This Row],[Column5]],1)),"")</f>
        <v/>
      </c>
      <c r="I677" s="96" t="str">
        <f>IF(ISNUMBER(deployment_raw[[#This Row],[Column9]]), (deployment_raw[[#This Row],[Column9]] * IF($E$2="Deployment",deployment_raw[[#This Row],[Column5]],1))/1048576,"")</f>
        <v/>
      </c>
      <c r="J677" s="122" t="str">
        <f>IF(ISNUMBER(deployment_raw[[#This Row],[Column10]]), (MIN(IF(N677&lt;&gt;"",N677,9999999999999)*1.1,deployment_raw[[#This Row],[Column10]] * IF($E$2="Deployment",deployment_raw[[#This Row],[Column5]],1))),"")</f>
        <v/>
      </c>
      <c r="K677" s="123" t="str">
        <f>IF(ISNUMBER(deployment_raw[[#This Row],[Column11]]), (MIN(IF(O677&lt;&gt;"",O677,9999999999999)*1.1,deployment_raw[[#This Row],[Column11]] * IF($E$2="Deployment",deployment_raw[[#This Row],[Column5]],1)/1048576)),"")</f>
        <v/>
      </c>
      <c r="L677" s="124" t="str">
        <f>IF(ISNUMBER(deployment_raw[[#This Row],[Column8]]),IF(OR(deployment_raw[[#This Row],[Column5]] &lt;&gt; 0,$E$2 &lt;&gt; "Deployment"), MAX(J677, P677, R677, ($L$2 * IF($E$2="Deployment",deployment_raw[[#This Row],[Column5]],1)),IF(T677&lt;&gt;"",VALUE(T677) * IF($E$2="Deployment",deployment_raw[[#This Row],[Column5]],1),0)), 0),"")</f>
        <v/>
      </c>
      <c r="M677" s="125" t="str">
        <f>IF(ISNUMBER(deployment_raw[[#This Row],[Column9]]),IF(OR(deployment_raw[[#This Row],[Column5]] &lt;&gt; 0,$E$2&lt;&gt;"Deployment"), MAX(K677, Q677, S677, ($M$2 * IF($E$2="Deployment",deployment_raw[[#This Row],[Column5]],1)),IF(U677&lt;&gt;"",VALUE(U677) * IF($E$2="Deployment",deployment_raw[[#This Row],[Column5]],1),0)), 0),"")</f>
        <v/>
      </c>
      <c r="N677" s="166" t="str">
        <f>IF(ISNUMBER(deployment_raw[[#This Row],[Column14]]), deployment_raw[[#This Row],[Column14]]/IF(OR($E$2="Deployment",deployment_raw[[#This Row],[Column5]]=0),1,deployment_raw[[#This Row],[Column5]]),"")</f>
        <v/>
      </c>
      <c r="O677" s="167" t="str">
        <f>IF(ISNUMBER(deployment_raw[[#This Row],[Column15]]), deployment_raw[[#This Row],[Column15]]/IF(OR($E$2="Deployment",deployment_raw[[#This Row],[Column5]]=0),1,deployment_raw[[#This Row],[Column5]])/1048576,"")</f>
        <v/>
      </c>
      <c r="P677" s="168" t="str">
        <f>IF(ISNUMBER(deployment_raw[[#This Row],[Column12]]), (MIN(IF(N677&lt;&gt;"",N677,9999999999999)*1.1,deployment_raw[[#This Row],[Column12]] * IF($E$2="Deployment",deployment_raw[[#This Row],[Column5]],1))*(1+$P$2)),"")</f>
        <v/>
      </c>
      <c r="Q677" s="167" t="str">
        <f>IF(ISNUMBER(deployment_raw[[#This Row],[Column13]]), (MIN(IF(O677&lt;&gt;"",O677,9999999999999)*1.1,deployment_raw[[#This Row],[Column13]] * IF($E$2="Deployment",deployment_raw[[#This Row],[Column5]],1)*(1+$Q$2)/1048576)),"")</f>
        <v/>
      </c>
      <c r="R677" s="169" t="str">
        <f>IF(ISNUMBER(deployment_raw[[#This Row],[Column8]]), (H677  * IF(N677&lt;&gt;0,$R$2,1)),"")</f>
        <v/>
      </c>
      <c r="S677" s="170" t="str">
        <f>IF(ISNUMBER(deployment_raw[[#This Row],[Column8]]), (I677  * IF(O677&lt;&gt;0,$S$2,1)),"")</f>
        <v/>
      </c>
      <c r="T677" s="202" t="str">
        <f>IF(AND(A677&lt;&gt;"",_xlfn.IFNA(MATCH(A677,'dynamic resource application '!$A$2:$A$100, 0),0)&lt;&gt;0), H677/(IF($E$2="Deployment",E677,1)),"")</f>
        <v/>
      </c>
      <c r="U677" s="211" t="str">
        <f>IF(AND(A677&lt;&gt;"",_xlfn.IFNA(MATCH(A677,'dynamic resource application '!$A$2:$A$100, 0),0)&lt;&gt;0), I677/(IF($E$2="Deployment",E677,1)),"")</f>
        <v/>
      </c>
    </row>
    <row r="678" spans="1:21" ht="15.75" customHeight="1" x14ac:dyDescent="0.25">
      <c r="A678" s="35" t="str">
        <f>IF(ISNONTEXT(deployment_raw[[#This Row],[Column1]]), "", deployment_raw[[#This Row],[Column1]])</f>
        <v/>
      </c>
      <c r="B678" s="36" t="str">
        <f>IF(ISNONTEXT(deployment_raw[[#This Row],[Column2]]), "", deployment_raw[[#This Row],[Column2]])</f>
        <v/>
      </c>
      <c r="C678" s="36" t="str">
        <f>IF(ISNONTEXT(deployment_raw[[#This Row],[Column3]]), "", deployment_raw[[#This Row],[Column3]])</f>
        <v/>
      </c>
      <c r="D678" s="36" t="str">
        <f>IF(ISNONTEXT(deployment_raw[[#This Row],[Column4]]), "", deployment_raw[[#This Row],[Column4]])</f>
        <v/>
      </c>
      <c r="E678" s="37" t="str">
        <f>IF(ISNUMBER(deployment_raw[[#This Row],[Column5]]), deployment_raw[[#This Row],[Column5]],"")</f>
        <v/>
      </c>
      <c r="F678" s="94" t="str">
        <f>IF(ISNUMBER(deployment_raw[[#This Row],[Column6]]), (deployment_raw[[#This Row],[Column6]] * IF($E$2="Deployment",deployment_raw[[#This Row],[Column5]],1)),"")</f>
        <v/>
      </c>
      <c r="G678" s="95" t="str">
        <f>IF(ISNUMBER(deployment_raw[[#This Row],[Column7]]), (deployment_raw[[#This Row],[Column7]] * IF($E$2="Deployment",deployment_raw[[#This Row],[Column5]],1))/1048576,"")</f>
        <v/>
      </c>
      <c r="H678" s="95" t="str">
        <f>IF(ISNUMBER(deployment_raw[[#This Row],[Column8]]), (deployment_raw[[#This Row],[Column8]]  * IF($E$2="Deployment",deployment_raw[[#This Row],[Column5]],1)),"")</f>
        <v/>
      </c>
      <c r="I678" s="96" t="str">
        <f>IF(ISNUMBER(deployment_raw[[#This Row],[Column9]]), (deployment_raw[[#This Row],[Column9]] * IF($E$2="Deployment",deployment_raw[[#This Row],[Column5]],1))/1048576,"")</f>
        <v/>
      </c>
      <c r="J678" s="122" t="str">
        <f>IF(ISNUMBER(deployment_raw[[#This Row],[Column10]]), (MIN(IF(N678&lt;&gt;"",N678,9999999999999)*1.1,deployment_raw[[#This Row],[Column10]] * IF($E$2="Deployment",deployment_raw[[#This Row],[Column5]],1))),"")</f>
        <v/>
      </c>
      <c r="K678" s="123" t="str">
        <f>IF(ISNUMBER(deployment_raw[[#This Row],[Column11]]), (MIN(IF(O678&lt;&gt;"",O678,9999999999999)*1.1,deployment_raw[[#This Row],[Column11]] * IF($E$2="Deployment",deployment_raw[[#This Row],[Column5]],1)/1048576)),"")</f>
        <v/>
      </c>
      <c r="L678" s="124" t="str">
        <f>IF(ISNUMBER(deployment_raw[[#This Row],[Column8]]),IF(OR(deployment_raw[[#This Row],[Column5]] &lt;&gt; 0,$E$2 &lt;&gt; "Deployment"), MAX(J678, P678, R678, ($L$2 * IF($E$2="Deployment",deployment_raw[[#This Row],[Column5]],1)),IF(T678&lt;&gt;"",VALUE(T678) * IF($E$2="Deployment",deployment_raw[[#This Row],[Column5]],1),0)), 0),"")</f>
        <v/>
      </c>
      <c r="M678" s="125" t="str">
        <f>IF(ISNUMBER(deployment_raw[[#This Row],[Column9]]),IF(OR(deployment_raw[[#This Row],[Column5]] &lt;&gt; 0,$E$2&lt;&gt;"Deployment"), MAX(K678, Q678, S678, ($M$2 * IF($E$2="Deployment",deployment_raw[[#This Row],[Column5]],1)),IF(U678&lt;&gt;"",VALUE(U678) * IF($E$2="Deployment",deployment_raw[[#This Row],[Column5]],1),0)), 0),"")</f>
        <v/>
      </c>
      <c r="N678" s="166" t="str">
        <f>IF(ISNUMBER(deployment_raw[[#This Row],[Column14]]), deployment_raw[[#This Row],[Column14]]/IF(OR($E$2="Deployment",deployment_raw[[#This Row],[Column5]]=0),1,deployment_raw[[#This Row],[Column5]]),"")</f>
        <v/>
      </c>
      <c r="O678" s="167" t="str">
        <f>IF(ISNUMBER(deployment_raw[[#This Row],[Column15]]), deployment_raw[[#This Row],[Column15]]/IF(OR($E$2="Deployment",deployment_raw[[#This Row],[Column5]]=0),1,deployment_raw[[#This Row],[Column5]])/1048576,"")</f>
        <v/>
      </c>
      <c r="P678" s="168" t="str">
        <f>IF(ISNUMBER(deployment_raw[[#This Row],[Column12]]), (MIN(IF(N678&lt;&gt;"",N678,9999999999999)*1.1,deployment_raw[[#This Row],[Column12]] * IF($E$2="Deployment",deployment_raw[[#This Row],[Column5]],1))*(1+$P$2)),"")</f>
        <v/>
      </c>
      <c r="Q678" s="167" t="str">
        <f>IF(ISNUMBER(deployment_raw[[#This Row],[Column13]]), (MIN(IF(O678&lt;&gt;"",O678,9999999999999)*1.1,deployment_raw[[#This Row],[Column13]] * IF($E$2="Deployment",deployment_raw[[#This Row],[Column5]],1)*(1+$Q$2)/1048576)),"")</f>
        <v/>
      </c>
      <c r="R678" s="169" t="str">
        <f>IF(ISNUMBER(deployment_raw[[#This Row],[Column8]]), (H678  * IF(N678&lt;&gt;0,$R$2,1)),"")</f>
        <v/>
      </c>
      <c r="S678" s="170" t="str">
        <f>IF(ISNUMBER(deployment_raw[[#This Row],[Column8]]), (I678  * IF(O678&lt;&gt;0,$S$2,1)),"")</f>
        <v/>
      </c>
      <c r="T678" s="202" t="str">
        <f>IF(AND(A678&lt;&gt;"",_xlfn.IFNA(MATCH(A678,'dynamic resource application '!$A$2:$A$100, 0),0)&lt;&gt;0), H678/(IF($E$2="Deployment",E678,1)),"")</f>
        <v/>
      </c>
      <c r="U678" s="211" t="str">
        <f>IF(AND(A678&lt;&gt;"",_xlfn.IFNA(MATCH(A678,'dynamic resource application '!$A$2:$A$100, 0),0)&lt;&gt;0), I678/(IF($E$2="Deployment",E678,1)),"")</f>
        <v/>
      </c>
    </row>
    <row r="679" spans="1:21" ht="15.75" customHeight="1" x14ac:dyDescent="0.25">
      <c r="A679" s="35" t="str">
        <f>IF(ISNONTEXT(deployment_raw[[#This Row],[Column1]]), "", deployment_raw[[#This Row],[Column1]])</f>
        <v/>
      </c>
      <c r="B679" s="36" t="str">
        <f>IF(ISNONTEXT(deployment_raw[[#This Row],[Column2]]), "", deployment_raw[[#This Row],[Column2]])</f>
        <v/>
      </c>
      <c r="C679" s="36" t="str">
        <f>IF(ISNONTEXT(deployment_raw[[#This Row],[Column3]]), "", deployment_raw[[#This Row],[Column3]])</f>
        <v/>
      </c>
      <c r="D679" s="36" t="str">
        <f>IF(ISNONTEXT(deployment_raw[[#This Row],[Column4]]), "", deployment_raw[[#This Row],[Column4]])</f>
        <v/>
      </c>
      <c r="E679" s="37" t="str">
        <f>IF(ISNUMBER(deployment_raw[[#This Row],[Column5]]), deployment_raw[[#This Row],[Column5]],"")</f>
        <v/>
      </c>
      <c r="F679" s="94" t="str">
        <f>IF(ISNUMBER(deployment_raw[[#This Row],[Column6]]), (deployment_raw[[#This Row],[Column6]] * IF($E$2="Deployment",deployment_raw[[#This Row],[Column5]],1)),"")</f>
        <v/>
      </c>
      <c r="G679" s="95" t="str">
        <f>IF(ISNUMBER(deployment_raw[[#This Row],[Column7]]), (deployment_raw[[#This Row],[Column7]] * IF($E$2="Deployment",deployment_raw[[#This Row],[Column5]],1))/1048576,"")</f>
        <v/>
      </c>
      <c r="H679" s="95" t="str">
        <f>IF(ISNUMBER(deployment_raw[[#This Row],[Column8]]), (deployment_raw[[#This Row],[Column8]]  * IF($E$2="Deployment",deployment_raw[[#This Row],[Column5]],1)),"")</f>
        <v/>
      </c>
      <c r="I679" s="96" t="str">
        <f>IF(ISNUMBER(deployment_raw[[#This Row],[Column9]]), (deployment_raw[[#This Row],[Column9]] * IF($E$2="Deployment",deployment_raw[[#This Row],[Column5]],1))/1048576,"")</f>
        <v/>
      </c>
      <c r="J679" s="122" t="str">
        <f>IF(ISNUMBER(deployment_raw[[#This Row],[Column10]]), (MIN(IF(N679&lt;&gt;"",N679,9999999999999)*1.1,deployment_raw[[#This Row],[Column10]] * IF($E$2="Deployment",deployment_raw[[#This Row],[Column5]],1))),"")</f>
        <v/>
      </c>
      <c r="K679" s="123" t="str">
        <f>IF(ISNUMBER(deployment_raw[[#This Row],[Column11]]), (MIN(IF(O679&lt;&gt;"",O679,9999999999999)*1.1,deployment_raw[[#This Row],[Column11]] * IF($E$2="Deployment",deployment_raw[[#This Row],[Column5]],1)/1048576)),"")</f>
        <v/>
      </c>
      <c r="L679" s="124" t="str">
        <f>IF(ISNUMBER(deployment_raw[[#This Row],[Column8]]),IF(OR(deployment_raw[[#This Row],[Column5]] &lt;&gt; 0,$E$2 &lt;&gt; "Deployment"), MAX(J679, P679, R679, ($L$2 * IF($E$2="Deployment",deployment_raw[[#This Row],[Column5]],1)),IF(T679&lt;&gt;"",VALUE(T679) * IF($E$2="Deployment",deployment_raw[[#This Row],[Column5]],1),0)), 0),"")</f>
        <v/>
      </c>
      <c r="M679" s="125" t="str">
        <f>IF(ISNUMBER(deployment_raw[[#This Row],[Column9]]),IF(OR(deployment_raw[[#This Row],[Column5]] &lt;&gt; 0,$E$2&lt;&gt;"Deployment"), MAX(K679, Q679, S679, ($M$2 * IF($E$2="Deployment",deployment_raw[[#This Row],[Column5]],1)),IF(U679&lt;&gt;"",VALUE(U679) * IF($E$2="Deployment",deployment_raw[[#This Row],[Column5]],1),0)), 0),"")</f>
        <v/>
      </c>
      <c r="N679" s="166" t="str">
        <f>IF(ISNUMBER(deployment_raw[[#This Row],[Column14]]), deployment_raw[[#This Row],[Column14]]/IF(OR($E$2="Deployment",deployment_raw[[#This Row],[Column5]]=0),1,deployment_raw[[#This Row],[Column5]]),"")</f>
        <v/>
      </c>
      <c r="O679" s="167" t="str">
        <f>IF(ISNUMBER(deployment_raw[[#This Row],[Column15]]), deployment_raw[[#This Row],[Column15]]/IF(OR($E$2="Deployment",deployment_raw[[#This Row],[Column5]]=0),1,deployment_raw[[#This Row],[Column5]])/1048576,"")</f>
        <v/>
      </c>
      <c r="P679" s="168" t="str">
        <f>IF(ISNUMBER(deployment_raw[[#This Row],[Column12]]), (MIN(IF(N679&lt;&gt;"",N679,9999999999999)*1.1,deployment_raw[[#This Row],[Column12]] * IF($E$2="Deployment",deployment_raw[[#This Row],[Column5]],1))*(1+$P$2)),"")</f>
        <v/>
      </c>
      <c r="Q679" s="167" t="str">
        <f>IF(ISNUMBER(deployment_raw[[#This Row],[Column13]]), (MIN(IF(O679&lt;&gt;"",O679,9999999999999)*1.1,deployment_raw[[#This Row],[Column13]] * IF($E$2="Deployment",deployment_raw[[#This Row],[Column5]],1)*(1+$Q$2)/1048576)),"")</f>
        <v/>
      </c>
      <c r="R679" s="169" t="str">
        <f>IF(ISNUMBER(deployment_raw[[#This Row],[Column8]]), (H679  * IF(N679&lt;&gt;0,$R$2,1)),"")</f>
        <v/>
      </c>
      <c r="S679" s="170" t="str">
        <f>IF(ISNUMBER(deployment_raw[[#This Row],[Column8]]), (I679  * IF(O679&lt;&gt;0,$S$2,1)),"")</f>
        <v/>
      </c>
      <c r="T679" s="202" t="str">
        <f>IF(AND(A679&lt;&gt;"",_xlfn.IFNA(MATCH(A679,'dynamic resource application '!$A$2:$A$100, 0),0)&lt;&gt;0), H679/(IF($E$2="Deployment",E679,1)),"")</f>
        <v/>
      </c>
      <c r="U679" s="211" t="str">
        <f>IF(AND(A679&lt;&gt;"",_xlfn.IFNA(MATCH(A679,'dynamic resource application '!$A$2:$A$100, 0),0)&lt;&gt;0), I679/(IF($E$2="Deployment",E679,1)),"")</f>
        <v/>
      </c>
    </row>
    <row r="680" spans="1:21" ht="15.75" customHeight="1" x14ac:dyDescent="0.25">
      <c r="A680" s="35" t="str">
        <f>IF(ISNONTEXT(deployment_raw[[#This Row],[Column1]]), "", deployment_raw[[#This Row],[Column1]])</f>
        <v/>
      </c>
      <c r="B680" s="36" t="str">
        <f>IF(ISNONTEXT(deployment_raw[[#This Row],[Column2]]), "", deployment_raw[[#This Row],[Column2]])</f>
        <v/>
      </c>
      <c r="C680" s="36" t="str">
        <f>IF(ISNONTEXT(deployment_raw[[#This Row],[Column3]]), "", deployment_raw[[#This Row],[Column3]])</f>
        <v/>
      </c>
      <c r="D680" s="36" t="str">
        <f>IF(ISNONTEXT(deployment_raw[[#This Row],[Column4]]), "", deployment_raw[[#This Row],[Column4]])</f>
        <v/>
      </c>
      <c r="E680" s="37" t="str">
        <f>IF(ISNUMBER(deployment_raw[[#This Row],[Column5]]), deployment_raw[[#This Row],[Column5]],"")</f>
        <v/>
      </c>
      <c r="F680" s="94" t="str">
        <f>IF(ISNUMBER(deployment_raw[[#This Row],[Column6]]), (deployment_raw[[#This Row],[Column6]] * IF($E$2="Deployment",deployment_raw[[#This Row],[Column5]],1)),"")</f>
        <v/>
      </c>
      <c r="G680" s="95" t="str">
        <f>IF(ISNUMBER(deployment_raw[[#This Row],[Column7]]), (deployment_raw[[#This Row],[Column7]] * IF($E$2="Deployment",deployment_raw[[#This Row],[Column5]],1))/1048576,"")</f>
        <v/>
      </c>
      <c r="H680" s="95" t="str">
        <f>IF(ISNUMBER(deployment_raw[[#This Row],[Column8]]), (deployment_raw[[#This Row],[Column8]]  * IF($E$2="Deployment",deployment_raw[[#This Row],[Column5]],1)),"")</f>
        <v/>
      </c>
      <c r="I680" s="96" t="str">
        <f>IF(ISNUMBER(deployment_raw[[#This Row],[Column9]]), (deployment_raw[[#This Row],[Column9]] * IF($E$2="Deployment",deployment_raw[[#This Row],[Column5]],1))/1048576,"")</f>
        <v/>
      </c>
      <c r="J680" s="122" t="str">
        <f>IF(ISNUMBER(deployment_raw[[#This Row],[Column10]]), (MIN(IF(N680&lt;&gt;"",N680,9999999999999)*1.1,deployment_raw[[#This Row],[Column10]] * IF($E$2="Deployment",deployment_raw[[#This Row],[Column5]],1))),"")</f>
        <v/>
      </c>
      <c r="K680" s="123" t="str">
        <f>IF(ISNUMBER(deployment_raw[[#This Row],[Column11]]), (MIN(IF(O680&lt;&gt;"",O680,9999999999999)*1.1,deployment_raw[[#This Row],[Column11]] * IF($E$2="Deployment",deployment_raw[[#This Row],[Column5]],1)/1048576)),"")</f>
        <v/>
      </c>
      <c r="L680" s="124" t="str">
        <f>IF(ISNUMBER(deployment_raw[[#This Row],[Column8]]),IF(OR(deployment_raw[[#This Row],[Column5]] &lt;&gt; 0,$E$2 &lt;&gt; "Deployment"), MAX(J680, P680, R680, ($L$2 * IF($E$2="Deployment",deployment_raw[[#This Row],[Column5]],1)),IF(T680&lt;&gt;"",VALUE(T680) * IF($E$2="Deployment",deployment_raw[[#This Row],[Column5]],1),0)), 0),"")</f>
        <v/>
      </c>
      <c r="M680" s="125" t="str">
        <f>IF(ISNUMBER(deployment_raw[[#This Row],[Column9]]),IF(OR(deployment_raw[[#This Row],[Column5]] &lt;&gt; 0,$E$2&lt;&gt;"Deployment"), MAX(K680, Q680, S680, ($M$2 * IF($E$2="Deployment",deployment_raw[[#This Row],[Column5]],1)),IF(U680&lt;&gt;"",VALUE(U680) * IF($E$2="Deployment",deployment_raw[[#This Row],[Column5]],1),0)), 0),"")</f>
        <v/>
      </c>
      <c r="N680" s="166" t="str">
        <f>IF(ISNUMBER(deployment_raw[[#This Row],[Column14]]), deployment_raw[[#This Row],[Column14]]/IF(OR($E$2="Deployment",deployment_raw[[#This Row],[Column5]]=0),1,deployment_raw[[#This Row],[Column5]]),"")</f>
        <v/>
      </c>
      <c r="O680" s="167" t="str">
        <f>IF(ISNUMBER(deployment_raw[[#This Row],[Column15]]), deployment_raw[[#This Row],[Column15]]/IF(OR($E$2="Deployment",deployment_raw[[#This Row],[Column5]]=0),1,deployment_raw[[#This Row],[Column5]])/1048576,"")</f>
        <v/>
      </c>
      <c r="P680" s="168" t="str">
        <f>IF(ISNUMBER(deployment_raw[[#This Row],[Column12]]), (MIN(IF(N680&lt;&gt;"",N680,9999999999999)*1.1,deployment_raw[[#This Row],[Column12]] * IF($E$2="Deployment",deployment_raw[[#This Row],[Column5]],1))*(1+$P$2)),"")</f>
        <v/>
      </c>
      <c r="Q680" s="167" t="str">
        <f>IF(ISNUMBER(deployment_raw[[#This Row],[Column13]]), (MIN(IF(O680&lt;&gt;"",O680,9999999999999)*1.1,deployment_raw[[#This Row],[Column13]] * IF($E$2="Deployment",deployment_raw[[#This Row],[Column5]],1)*(1+$Q$2)/1048576)),"")</f>
        <v/>
      </c>
      <c r="R680" s="169" t="str">
        <f>IF(ISNUMBER(deployment_raw[[#This Row],[Column8]]), (H680  * IF(N680&lt;&gt;0,$R$2,1)),"")</f>
        <v/>
      </c>
      <c r="S680" s="170" t="str">
        <f>IF(ISNUMBER(deployment_raw[[#This Row],[Column8]]), (I680  * IF(O680&lt;&gt;0,$S$2,1)),"")</f>
        <v/>
      </c>
      <c r="T680" s="202" t="str">
        <f>IF(AND(A680&lt;&gt;"",_xlfn.IFNA(MATCH(A680,'dynamic resource application '!$A$2:$A$100, 0),0)&lt;&gt;0), H680/(IF($E$2="Deployment",E680,1)),"")</f>
        <v/>
      </c>
      <c r="U680" s="211" t="str">
        <f>IF(AND(A680&lt;&gt;"",_xlfn.IFNA(MATCH(A680,'dynamic resource application '!$A$2:$A$100, 0),0)&lt;&gt;0), I680/(IF($E$2="Deployment",E680,1)),"")</f>
        <v/>
      </c>
    </row>
    <row r="681" spans="1:21" ht="15.75" customHeight="1" x14ac:dyDescent="0.25">
      <c r="A681" s="35" t="str">
        <f>IF(ISNONTEXT(deployment_raw[[#This Row],[Column1]]), "", deployment_raw[[#This Row],[Column1]])</f>
        <v/>
      </c>
      <c r="B681" s="36" t="str">
        <f>IF(ISNONTEXT(deployment_raw[[#This Row],[Column2]]), "", deployment_raw[[#This Row],[Column2]])</f>
        <v/>
      </c>
      <c r="C681" s="36" t="str">
        <f>IF(ISNONTEXT(deployment_raw[[#This Row],[Column3]]), "", deployment_raw[[#This Row],[Column3]])</f>
        <v/>
      </c>
      <c r="D681" s="36" t="str">
        <f>IF(ISNONTEXT(deployment_raw[[#This Row],[Column4]]), "", deployment_raw[[#This Row],[Column4]])</f>
        <v/>
      </c>
      <c r="E681" s="37" t="str">
        <f>IF(ISNUMBER(deployment_raw[[#This Row],[Column5]]), deployment_raw[[#This Row],[Column5]],"")</f>
        <v/>
      </c>
      <c r="F681" s="94" t="str">
        <f>IF(ISNUMBER(deployment_raw[[#This Row],[Column6]]), (deployment_raw[[#This Row],[Column6]] * IF($E$2="Deployment",deployment_raw[[#This Row],[Column5]],1)),"")</f>
        <v/>
      </c>
      <c r="G681" s="95" t="str">
        <f>IF(ISNUMBER(deployment_raw[[#This Row],[Column7]]), (deployment_raw[[#This Row],[Column7]] * IF($E$2="Deployment",deployment_raw[[#This Row],[Column5]],1))/1048576,"")</f>
        <v/>
      </c>
      <c r="H681" s="95" t="str">
        <f>IF(ISNUMBER(deployment_raw[[#This Row],[Column8]]), (deployment_raw[[#This Row],[Column8]]  * IF($E$2="Deployment",deployment_raw[[#This Row],[Column5]],1)),"")</f>
        <v/>
      </c>
      <c r="I681" s="96" t="str">
        <f>IF(ISNUMBER(deployment_raw[[#This Row],[Column9]]), (deployment_raw[[#This Row],[Column9]] * IF($E$2="Deployment",deployment_raw[[#This Row],[Column5]],1))/1048576,"")</f>
        <v/>
      </c>
      <c r="J681" s="122" t="str">
        <f>IF(ISNUMBER(deployment_raw[[#This Row],[Column10]]), (MIN(IF(N681&lt;&gt;"",N681,9999999999999)*1.1,deployment_raw[[#This Row],[Column10]] * IF($E$2="Deployment",deployment_raw[[#This Row],[Column5]],1))),"")</f>
        <v/>
      </c>
      <c r="K681" s="123" t="str">
        <f>IF(ISNUMBER(deployment_raw[[#This Row],[Column11]]), (MIN(IF(O681&lt;&gt;"",O681,9999999999999)*1.1,deployment_raw[[#This Row],[Column11]] * IF($E$2="Deployment",deployment_raw[[#This Row],[Column5]],1)/1048576)),"")</f>
        <v/>
      </c>
      <c r="L681" s="124" t="str">
        <f>IF(ISNUMBER(deployment_raw[[#This Row],[Column8]]),IF(OR(deployment_raw[[#This Row],[Column5]] &lt;&gt; 0,$E$2 &lt;&gt; "Deployment"), MAX(J681, P681, R681, ($L$2 * IF($E$2="Deployment",deployment_raw[[#This Row],[Column5]],1)),IF(T681&lt;&gt;"",VALUE(T681) * IF($E$2="Deployment",deployment_raw[[#This Row],[Column5]],1),0)), 0),"")</f>
        <v/>
      </c>
      <c r="M681" s="125" t="str">
        <f>IF(ISNUMBER(deployment_raw[[#This Row],[Column9]]),IF(OR(deployment_raw[[#This Row],[Column5]] &lt;&gt; 0,$E$2&lt;&gt;"Deployment"), MAX(K681, Q681, S681, ($M$2 * IF($E$2="Deployment",deployment_raw[[#This Row],[Column5]],1)),IF(U681&lt;&gt;"",VALUE(U681) * IF($E$2="Deployment",deployment_raw[[#This Row],[Column5]],1),0)), 0),"")</f>
        <v/>
      </c>
      <c r="N681" s="166" t="str">
        <f>IF(ISNUMBER(deployment_raw[[#This Row],[Column14]]), deployment_raw[[#This Row],[Column14]]/IF(OR($E$2="Deployment",deployment_raw[[#This Row],[Column5]]=0),1,deployment_raw[[#This Row],[Column5]]),"")</f>
        <v/>
      </c>
      <c r="O681" s="167" t="str">
        <f>IF(ISNUMBER(deployment_raw[[#This Row],[Column15]]), deployment_raw[[#This Row],[Column15]]/IF(OR($E$2="Deployment",deployment_raw[[#This Row],[Column5]]=0),1,deployment_raw[[#This Row],[Column5]])/1048576,"")</f>
        <v/>
      </c>
      <c r="P681" s="168" t="str">
        <f>IF(ISNUMBER(deployment_raw[[#This Row],[Column12]]), (MIN(IF(N681&lt;&gt;"",N681,9999999999999)*1.1,deployment_raw[[#This Row],[Column12]] * IF($E$2="Deployment",deployment_raw[[#This Row],[Column5]],1))*(1+$P$2)),"")</f>
        <v/>
      </c>
      <c r="Q681" s="167" t="str">
        <f>IF(ISNUMBER(deployment_raw[[#This Row],[Column13]]), (MIN(IF(O681&lt;&gt;"",O681,9999999999999)*1.1,deployment_raw[[#This Row],[Column13]] * IF($E$2="Deployment",deployment_raw[[#This Row],[Column5]],1)*(1+$Q$2)/1048576)),"")</f>
        <v/>
      </c>
      <c r="R681" s="169" t="str">
        <f>IF(ISNUMBER(deployment_raw[[#This Row],[Column8]]), (H681  * IF(N681&lt;&gt;0,$R$2,1)),"")</f>
        <v/>
      </c>
      <c r="S681" s="170" t="str">
        <f>IF(ISNUMBER(deployment_raw[[#This Row],[Column8]]), (I681  * IF(O681&lt;&gt;0,$S$2,1)),"")</f>
        <v/>
      </c>
      <c r="T681" s="202" t="str">
        <f>IF(AND(A681&lt;&gt;"",_xlfn.IFNA(MATCH(A681,'dynamic resource application '!$A$2:$A$100, 0),0)&lt;&gt;0), H681/(IF($E$2="Deployment",E681,1)),"")</f>
        <v/>
      </c>
      <c r="U681" s="211" t="str">
        <f>IF(AND(A681&lt;&gt;"",_xlfn.IFNA(MATCH(A681,'dynamic resource application '!$A$2:$A$100, 0),0)&lt;&gt;0), I681/(IF($E$2="Deployment",E681,1)),"")</f>
        <v/>
      </c>
    </row>
    <row r="682" spans="1:21" ht="15.75" customHeight="1" x14ac:dyDescent="0.25">
      <c r="A682" s="35" t="str">
        <f>IF(ISNONTEXT(deployment_raw[[#This Row],[Column1]]), "", deployment_raw[[#This Row],[Column1]])</f>
        <v/>
      </c>
      <c r="B682" s="36" t="str">
        <f>IF(ISNONTEXT(deployment_raw[[#This Row],[Column2]]), "", deployment_raw[[#This Row],[Column2]])</f>
        <v/>
      </c>
      <c r="C682" s="36" t="str">
        <f>IF(ISNONTEXT(deployment_raw[[#This Row],[Column3]]), "", deployment_raw[[#This Row],[Column3]])</f>
        <v/>
      </c>
      <c r="D682" s="36" t="str">
        <f>IF(ISNONTEXT(deployment_raw[[#This Row],[Column4]]), "", deployment_raw[[#This Row],[Column4]])</f>
        <v/>
      </c>
      <c r="E682" s="37" t="str">
        <f>IF(ISNUMBER(deployment_raw[[#This Row],[Column5]]), deployment_raw[[#This Row],[Column5]],"")</f>
        <v/>
      </c>
      <c r="F682" s="94" t="str">
        <f>IF(ISNUMBER(deployment_raw[[#This Row],[Column6]]), (deployment_raw[[#This Row],[Column6]] * IF($E$2="Deployment",deployment_raw[[#This Row],[Column5]],1)),"")</f>
        <v/>
      </c>
      <c r="G682" s="95" t="str">
        <f>IF(ISNUMBER(deployment_raw[[#This Row],[Column7]]), (deployment_raw[[#This Row],[Column7]] * IF($E$2="Deployment",deployment_raw[[#This Row],[Column5]],1))/1048576,"")</f>
        <v/>
      </c>
      <c r="H682" s="95" t="str">
        <f>IF(ISNUMBER(deployment_raw[[#This Row],[Column8]]), (deployment_raw[[#This Row],[Column8]]  * IF($E$2="Deployment",deployment_raw[[#This Row],[Column5]],1)),"")</f>
        <v/>
      </c>
      <c r="I682" s="96" t="str">
        <f>IF(ISNUMBER(deployment_raw[[#This Row],[Column9]]), (deployment_raw[[#This Row],[Column9]] * IF($E$2="Deployment",deployment_raw[[#This Row],[Column5]],1))/1048576,"")</f>
        <v/>
      </c>
      <c r="J682" s="122" t="str">
        <f>IF(ISNUMBER(deployment_raw[[#This Row],[Column10]]), (MIN(IF(N682&lt;&gt;"",N682,9999999999999)*1.1,deployment_raw[[#This Row],[Column10]] * IF($E$2="Deployment",deployment_raw[[#This Row],[Column5]],1))),"")</f>
        <v/>
      </c>
      <c r="K682" s="123" t="str">
        <f>IF(ISNUMBER(deployment_raw[[#This Row],[Column11]]), (MIN(IF(O682&lt;&gt;"",O682,9999999999999)*1.1,deployment_raw[[#This Row],[Column11]] * IF($E$2="Deployment",deployment_raw[[#This Row],[Column5]],1)/1048576)),"")</f>
        <v/>
      </c>
      <c r="L682" s="124" t="str">
        <f>IF(ISNUMBER(deployment_raw[[#This Row],[Column8]]),IF(OR(deployment_raw[[#This Row],[Column5]] &lt;&gt; 0,$E$2 &lt;&gt; "Deployment"), MAX(J682, P682, R682, ($L$2 * IF($E$2="Deployment",deployment_raw[[#This Row],[Column5]],1)),IF(T682&lt;&gt;"",VALUE(T682) * IF($E$2="Deployment",deployment_raw[[#This Row],[Column5]],1),0)), 0),"")</f>
        <v/>
      </c>
      <c r="M682" s="125" t="str">
        <f>IF(ISNUMBER(deployment_raw[[#This Row],[Column9]]),IF(OR(deployment_raw[[#This Row],[Column5]] &lt;&gt; 0,$E$2&lt;&gt;"Deployment"), MAX(K682, Q682, S682, ($M$2 * IF($E$2="Deployment",deployment_raw[[#This Row],[Column5]],1)),IF(U682&lt;&gt;"",VALUE(U682) * IF($E$2="Deployment",deployment_raw[[#This Row],[Column5]],1),0)), 0),"")</f>
        <v/>
      </c>
      <c r="N682" s="166" t="str">
        <f>IF(ISNUMBER(deployment_raw[[#This Row],[Column14]]), deployment_raw[[#This Row],[Column14]]/IF(OR($E$2="Deployment",deployment_raw[[#This Row],[Column5]]=0),1,deployment_raw[[#This Row],[Column5]]),"")</f>
        <v/>
      </c>
      <c r="O682" s="167" t="str">
        <f>IF(ISNUMBER(deployment_raw[[#This Row],[Column15]]), deployment_raw[[#This Row],[Column15]]/IF(OR($E$2="Deployment",deployment_raw[[#This Row],[Column5]]=0),1,deployment_raw[[#This Row],[Column5]])/1048576,"")</f>
        <v/>
      </c>
      <c r="P682" s="168" t="str">
        <f>IF(ISNUMBER(deployment_raw[[#This Row],[Column12]]), (MIN(IF(N682&lt;&gt;"",N682,9999999999999)*1.1,deployment_raw[[#This Row],[Column12]] * IF($E$2="Deployment",deployment_raw[[#This Row],[Column5]],1))*(1+$P$2)),"")</f>
        <v/>
      </c>
      <c r="Q682" s="167" t="str">
        <f>IF(ISNUMBER(deployment_raw[[#This Row],[Column13]]), (MIN(IF(O682&lt;&gt;"",O682,9999999999999)*1.1,deployment_raw[[#This Row],[Column13]] * IF($E$2="Deployment",deployment_raw[[#This Row],[Column5]],1)*(1+$Q$2)/1048576)),"")</f>
        <v/>
      </c>
      <c r="R682" s="169" t="str">
        <f>IF(ISNUMBER(deployment_raw[[#This Row],[Column8]]), (H682  * IF(N682&lt;&gt;0,$R$2,1)),"")</f>
        <v/>
      </c>
      <c r="S682" s="170" t="str">
        <f>IF(ISNUMBER(deployment_raw[[#This Row],[Column8]]), (I682  * IF(O682&lt;&gt;0,$S$2,1)),"")</f>
        <v/>
      </c>
      <c r="T682" s="202" t="str">
        <f>IF(AND(A682&lt;&gt;"",_xlfn.IFNA(MATCH(A682,'dynamic resource application '!$A$2:$A$100, 0),0)&lt;&gt;0), H682/(IF($E$2="Deployment",E682,1)),"")</f>
        <v/>
      </c>
      <c r="U682" s="211" t="str">
        <f>IF(AND(A682&lt;&gt;"",_xlfn.IFNA(MATCH(A682,'dynamic resource application '!$A$2:$A$100, 0),0)&lt;&gt;0), I682/(IF($E$2="Deployment",E682,1)),"")</f>
        <v/>
      </c>
    </row>
    <row r="683" spans="1:21" ht="15.75" customHeight="1" x14ac:dyDescent="0.25">
      <c r="A683" s="35" t="str">
        <f>IF(ISNONTEXT(deployment_raw[[#This Row],[Column1]]), "", deployment_raw[[#This Row],[Column1]])</f>
        <v/>
      </c>
      <c r="B683" s="36" t="str">
        <f>IF(ISNONTEXT(deployment_raw[[#This Row],[Column2]]), "", deployment_raw[[#This Row],[Column2]])</f>
        <v/>
      </c>
      <c r="C683" s="36" t="str">
        <f>IF(ISNONTEXT(deployment_raw[[#This Row],[Column3]]), "", deployment_raw[[#This Row],[Column3]])</f>
        <v/>
      </c>
      <c r="D683" s="36" t="str">
        <f>IF(ISNONTEXT(deployment_raw[[#This Row],[Column4]]), "", deployment_raw[[#This Row],[Column4]])</f>
        <v/>
      </c>
      <c r="E683" s="37" t="str">
        <f>IF(ISNUMBER(deployment_raw[[#This Row],[Column5]]), deployment_raw[[#This Row],[Column5]],"")</f>
        <v/>
      </c>
      <c r="F683" s="94" t="str">
        <f>IF(ISNUMBER(deployment_raw[[#This Row],[Column6]]), (deployment_raw[[#This Row],[Column6]] * IF($E$2="Deployment",deployment_raw[[#This Row],[Column5]],1)),"")</f>
        <v/>
      </c>
      <c r="G683" s="95" t="str">
        <f>IF(ISNUMBER(deployment_raw[[#This Row],[Column7]]), (deployment_raw[[#This Row],[Column7]] * IF($E$2="Deployment",deployment_raw[[#This Row],[Column5]],1))/1048576,"")</f>
        <v/>
      </c>
      <c r="H683" s="95" t="str">
        <f>IF(ISNUMBER(deployment_raw[[#This Row],[Column8]]), (deployment_raw[[#This Row],[Column8]]  * IF($E$2="Deployment",deployment_raw[[#This Row],[Column5]],1)),"")</f>
        <v/>
      </c>
      <c r="I683" s="96" t="str">
        <f>IF(ISNUMBER(deployment_raw[[#This Row],[Column9]]), (deployment_raw[[#This Row],[Column9]] * IF($E$2="Deployment",deployment_raw[[#This Row],[Column5]],1))/1048576,"")</f>
        <v/>
      </c>
      <c r="J683" s="122" t="str">
        <f>IF(ISNUMBER(deployment_raw[[#This Row],[Column10]]), (MIN(IF(N683&lt;&gt;"",N683,9999999999999)*1.1,deployment_raw[[#This Row],[Column10]] * IF($E$2="Deployment",deployment_raw[[#This Row],[Column5]],1))),"")</f>
        <v/>
      </c>
      <c r="K683" s="123" t="str">
        <f>IF(ISNUMBER(deployment_raw[[#This Row],[Column11]]), (MIN(IF(O683&lt;&gt;"",O683,9999999999999)*1.1,deployment_raw[[#This Row],[Column11]] * IF($E$2="Deployment",deployment_raw[[#This Row],[Column5]],1)/1048576)),"")</f>
        <v/>
      </c>
      <c r="L683" s="124" t="str">
        <f>IF(ISNUMBER(deployment_raw[[#This Row],[Column8]]),IF(OR(deployment_raw[[#This Row],[Column5]] &lt;&gt; 0,$E$2 &lt;&gt; "Deployment"), MAX(J683, P683, R683, ($L$2 * IF($E$2="Deployment",deployment_raw[[#This Row],[Column5]],1)),IF(T683&lt;&gt;"",VALUE(T683) * IF($E$2="Deployment",deployment_raw[[#This Row],[Column5]],1),0)), 0),"")</f>
        <v/>
      </c>
      <c r="M683" s="125" t="str">
        <f>IF(ISNUMBER(deployment_raw[[#This Row],[Column9]]),IF(OR(deployment_raw[[#This Row],[Column5]] &lt;&gt; 0,$E$2&lt;&gt;"Deployment"), MAX(K683, Q683, S683, ($M$2 * IF($E$2="Deployment",deployment_raw[[#This Row],[Column5]],1)),IF(U683&lt;&gt;"",VALUE(U683) * IF($E$2="Deployment",deployment_raw[[#This Row],[Column5]],1),0)), 0),"")</f>
        <v/>
      </c>
      <c r="N683" s="166" t="str">
        <f>IF(ISNUMBER(deployment_raw[[#This Row],[Column14]]), deployment_raw[[#This Row],[Column14]]/IF(OR($E$2="Deployment",deployment_raw[[#This Row],[Column5]]=0),1,deployment_raw[[#This Row],[Column5]]),"")</f>
        <v/>
      </c>
      <c r="O683" s="167" t="str">
        <f>IF(ISNUMBER(deployment_raw[[#This Row],[Column15]]), deployment_raw[[#This Row],[Column15]]/IF(OR($E$2="Deployment",deployment_raw[[#This Row],[Column5]]=0),1,deployment_raw[[#This Row],[Column5]])/1048576,"")</f>
        <v/>
      </c>
      <c r="P683" s="168" t="str">
        <f>IF(ISNUMBER(deployment_raw[[#This Row],[Column12]]), (MIN(IF(N683&lt;&gt;"",N683,9999999999999)*1.1,deployment_raw[[#This Row],[Column12]] * IF($E$2="Deployment",deployment_raw[[#This Row],[Column5]],1))*(1+$P$2)),"")</f>
        <v/>
      </c>
      <c r="Q683" s="167" t="str">
        <f>IF(ISNUMBER(deployment_raw[[#This Row],[Column13]]), (MIN(IF(O683&lt;&gt;"",O683,9999999999999)*1.1,deployment_raw[[#This Row],[Column13]] * IF($E$2="Deployment",deployment_raw[[#This Row],[Column5]],1)*(1+$Q$2)/1048576)),"")</f>
        <v/>
      </c>
      <c r="R683" s="169" t="str">
        <f>IF(ISNUMBER(deployment_raw[[#This Row],[Column8]]), (H683  * IF(N683&lt;&gt;0,$R$2,1)),"")</f>
        <v/>
      </c>
      <c r="S683" s="170" t="str">
        <f>IF(ISNUMBER(deployment_raw[[#This Row],[Column8]]), (I683  * IF(O683&lt;&gt;0,$S$2,1)),"")</f>
        <v/>
      </c>
      <c r="T683" s="202" t="str">
        <f>IF(AND(A683&lt;&gt;"",_xlfn.IFNA(MATCH(A683,'dynamic resource application '!$A$2:$A$100, 0),0)&lt;&gt;0), H683/(IF($E$2="Deployment",E683,1)),"")</f>
        <v/>
      </c>
      <c r="U683" s="211" t="str">
        <f>IF(AND(A683&lt;&gt;"",_xlfn.IFNA(MATCH(A683,'dynamic resource application '!$A$2:$A$100, 0),0)&lt;&gt;0), I683/(IF($E$2="Deployment",E683,1)),"")</f>
        <v/>
      </c>
    </row>
    <row r="684" spans="1:21" ht="15.75" customHeight="1" x14ac:dyDescent="0.25">
      <c r="A684" s="35" t="str">
        <f>IF(ISNONTEXT(deployment_raw[[#This Row],[Column1]]), "", deployment_raw[[#This Row],[Column1]])</f>
        <v/>
      </c>
      <c r="B684" s="36" t="str">
        <f>IF(ISNONTEXT(deployment_raw[[#This Row],[Column2]]), "", deployment_raw[[#This Row],[Column2]])</f>
        <v/>
      </c>
      <c r="C684" s="36" t="str">
        <f>IF(ISNONTEXT(deployment_raw[[#This Row],[Column3]]), "", deployment_raw[[#This Row],[Column3]])</f>
        <v/>
      </c>
      <c r="D684" s="36" t="str">
        <f>IF(ISNONTEXT(deployment_raw[[#This Row],[Column4]]), "", deployment_raw[[#This Row],[Column4]])</f>
        <v/>
      </c>
      <c r="E684" s="37" t="str">
        <f>IF(ISNUMBER(deployment_raw[[#This Row],[Column5]]), deployment_raw[[#This Row],[Column5]],"")</f>
        <v/>
      </c>
      <c r="F684" s="94" t="str">
        <f>IF(ISNUMBER(deployment_raw[[#This Row],[Column6]]), (deployment_raw[[#This Row],[Column6]] * IF($E$2="Deployment",deployment_raw[[#This Row],[Column5]],1)),"")</f>
        <v/>
      </c>
      <c r="G684" s="95" t="str">
        <f>IF(ISNUMBER(deployment_raw[[#This Row],[Column7]]), (deployment_raw[[#This Row],[Column7]] * IF($E$2="Deployment",deployment_raw[[#This Row],[Column5]],1))/1048576,"")</f>
        <v/>
      </c>
      <c r="H684" s="95" t="str">
        <f>IF(ISNUMBER(deployment_raw[[#This Row],[Column8]]), (deployment_raw[[#This Row],[Column8]]  * IF($E$2="Deployment",deployment_raw[[#This Row],[Column5]],1)),"")</f>
        <v/>
      </c>
      <c r="I684" s="96" t="str">
        <f>IF(ISNUMBER(deployment_raw[[#This Row],[Column9]]), (deployment_raw[[#This Row],[Column9]] * IF($E$2="Deployment",deployment_raw[[#This Row],[Column5]],1))/1048576,"")</f>
        <v/>
      </c>
      <c r="J684" s="122" t="str">
        <f>IF(ISNUMBER(deployment_raw[[#This Row],[Column10]]), (MIN(IF(N684&lt;&gt;"",N684,9999999999999)*1.1,deployment_raw[[#This Row],[Column10]] * IF($E$2="Deployment",deployment_raw[[#This Row],[Column5]],1))),"")</f>
        <v/>
      </c>
      <c r="K684" s="123" t="str">
        <f>IF(ISNUMBER(deployment_raw[[#This Row],[Column11]]), (MIN(IF(O684&lt;&gt;"",O684,9999999999999)*1.1,deployment_raw[[#This Row],[Column11]] * IF($E$2="Deployment",deployment_raw[[#This Row],[Column5]],1)/1048576)),"")</f>
        <v/>
      </c>
      <c r="L684" s="124" t="str">
        <f>IF(ISNUMBER(deployment_raw[[#This Row],[Column8]]),IF(OR(deployment_raw[[#This Row],[Column5]] &lt;&gt; 0,$E$2 &lt;&gt; "Deployment"), MAX(J684, P684, R684, ($L$2 * IF($E$2="Deployment",deployment_raw[[#This Row],[Column5]],1)),IF(T684&lt;&gt;"",VALUE(T684) * IF($E$2="Deployment",deployment_raw[[#This Row],[Column5]],1),0)), 0),"")</f>
        <v/>
      </c>
      <c r="M684" s="125" t="str">
        <f>IF(ISNUMBER(deployment_raw[[#This Row],[Column9]]),IF(OR(deployment_raw[[#This Row],[Column5]] &lt;&gt; 0,$E$2&lt;&gt;"Deployment"), MAX(K684, Q684, S684, ($M$2 * IF($E$2="Deployment",deployment_raw[[#This Row],[Column5]],1)),IF(U684&lt;&gt;"",VALUE(U684) * IF($E$2="Deployment",deployment_raw[[#This Row],[Column5]],1),0)), 0),"")</f>
        <v/>
      </c>
      <c r="N684" s="166" t="str">
        <f>IF(ISNUMBER(deployment_raw[[#This Row],[Column14]]), deployment_raw[[#This Row],[Column14]]/IF(OR($E$2="Deployment",deployment_raw[[#This Row],[Column5]]=0),1,deployment_raw[[#This Row],[Column5]]),"")</f>
        <v/>
      </c>
      <c r="O684" s="167" t="str">
        <f>IF(ISNUMBER(deployment_raw[[#This Row],[Column15]]), deployment_raw[[#This Row],[Column15]]/IF(OR($E$2="Deployment",deployment_raw[[#This Row],[Column5]]=0),1,deployment_raw[[#This Row],[Column5]])/1048576,"")</f>
        <v/>
      </c>
      <c r="P684" s="168" t="str">
        <f>IF(ISNUMBER(deployment_raw[[#This Row],[Column12]]), (MIN(IF(N684&lt;&gt;"",N684,9999999999999)*1.1,deployment_raw[[#This Row],[Column12]] * IF($E$2="Deployment",deployment_raw[[#This Row],[Column5]],1))*(1+$P$2)),"")</f>
        <v/>
      </c>
      <c r="Q684" s="167" t="str">
        <f>IF(ISNUMBER(deployment_raw[[#This Row],[Column13]]), (MIN(IF(O684&lt;&gt;"",O684,9999999999999)*1.1,deployment_raw[[#This Row],[Column13]] * IF($E$2="Deployment",deployment_raw[[#This Row],[Column5]],1)*(1+$Q$2)/1048576)),"")</f>
        <v/>
      </c>
      <c r="R684" s="169" t="str">
        <f>IF(ISNUMBER(deployment_raw[[#This Row],[Column8]]), (H684  * IF(N684&lt;&gt;0,$R$2,1)),"")</f>
        <v/>
      </c>
      <c r="S684" s="170" t="str">
        <f>IF(ISNUMBER(deployment_raw[[#This Row],[Column8]]), (I684  * IF(O684&lt;&gt;0,$S$2,1)),"")</f>
        <v/>
      </c>
      <c r="T684" s="202" t="str">
        <f>IF(AND(A684&lt;&gt;"",_xlfn.IFNA(MATCH(A684,'dynamic resource application '!$A$2:$A$100, 0),0)&lt;&gt;0), H684/(IF($E$2="Deployment",E684,1)),"")</f>
        <v/>
      </c>
      <c r="U684" s="211" t="str">
        <f>IF(AND(A684&lt;&gt;"",_xlfn.IFNA(MATCH(A684,'dynamic resource application '!$A$2:$A$100, 0),0)&lt;&gt;0), I684/(IF($E$2="Deployment",E684,1)),"")</f>
        <v/>
      </c>
    </row>
    <row r="685" spans="1:21" ht="15.75" customHeight="1" x14ac:dyDescent="0.25">
      <c r="A685" s="35" t="str">
        <f>IF(ISNONTEXT(deployment_raw[[#This Row],[Column1]]), "", deployment_raw[[#This Row],[Column1]])</f>
        <v/>
      </c>
      <c r="B685" s="36" t="str">
        <f>IF(ISNONTEXT(deployment_raw[[#This Row],[Column2]]), "", deployment_raw[[#This Row],[Column2]])</f>
        <v/>
      </c>
      <c r="C685" s="36" t="str">
        <f>IF(ISNONTEXT(deployment_raw[[#This Row],[Column3]]), "", deployment_raw[[#This Row],[Column3]])</f>
        <v/>
      </c>
      <c r="D685" s="36" t="str">
        <f>IF(ISNONTEXT(deployment_raw[[#This Row],[Column4]]), "", deployment_raw[[#This Row],[Column4]])</f>
        <v/>
      </c>
      <c r="E685" s="37" t="str">
        <f>IF(ISNUMBER(deployment_raw[[#This Row],[Column5]]), deployment_raw[[#This Row],[Column5]],"")</f>
        <v/>
      </c>
      <c r="F685" s="94" t="str">
        <f>IF(ISNUMBER(deployment_raw[[#This Row],[Column6]]), (deployment_raw[[#This Row],[Column6]] * IF($E$2="Deployment",deployment_raw[[#This Row],[Column5]],1)),"")</f>
        <v/>
      </c>
      <c r="G685" s="95" t="str">
        <f>IF(ISNUMBER(deployment_raw[[#This Row],[Column7]]), (deployment_raw[[#This Row],[Column7]] * IF($E$2="Deployment",deployment_raw[[#This Row],[Column5]],1))/1048576,"")</f>
        <v/>
      </c>
      <c r="H685" s="95" t="str">
        <f>IF(ISNUMBER(deployment_raw[[#This Row],[Column8]]), (deployment_raw[[#This Row],[Column8]]  * IF($E$2="Deployment",deployment_raw[[#This Row],[Column5]],1)),"")</f>
        <v/>
      </c>
      <c r="I685" s="96" t="str">
        <f>IF(ISNUMBER(deployment_raw[[#This Row],[Column9]]), (deployment_raw[[#This Row],[Column9]] * IF($E$2="Deployment",deployment_raw[[#This Row],[Column5]],1))/1048576,"")</f>
        <v/>
      </c>
      <c r="J685" s="122" t="str">
        <f>IF(ISNUMBER(deployment_raw[[#This Row],[Column10]]), (MIN(IF(N685&lt;&gt;"",N685,9999999999999)*1.1,deployment_raw[[#This Row],[Column10]] * IF($E$2="Deployment",deployment_raw[[#This Row],[Column5]],1))),"")</f>
        <v/>
      </c>
      <c r="K685" s="123" t="str">
        <f>IF(ISNUMBER(deployment_raw[[#This Row],[Column11]]), (MIN(IF(O685&lt;&gt;"",O685,9999999999999)*1.1,deployment_raw[[#This Row],[Column11]] * IF($E$2="Deployment",deployment_raw[[#This Row],[Column5]],1)/1048576)),"")</f>
        <v/>
      </c>
      <c r="L685" s="124" t="str">
        <f>IF(ISNUMBER(deployment_raw[[#This Row],[Column8]]),IF(OR(deployment_raw[[#This Row],[Column5]] &lt;&gt; 0,$E$2 &lt;&gt; "Deployment"), MAX(J685, P685, R685, ($L$2 * IF($E$2="Deployment",deployment_raw[[#This Row],[Column5]],1)),IF(T685&lt;&gt;"",VALUE(T685) * IF($E$2="Deployment",deployment_raw[[#This Row],[Column5]],1),0)), 0),"")</f>
        <v/>
      </c>
      <c r="M685" s="125" t="str">
        <f>IF(ISNUMBER(deployment_raw[[#This Row],[Column9]]),IF(OR(deployment_raw[[#This Row],[Column5]] &lt;&gt; 0,$E$2&lt;&gt;"Deployment"), MAX(K685, Q685, S685, ($M$2 * IF($E$2="Deployment",deployment_raw[[#This Row],[Column5]],1)),IF(U685&lt;&gt;"",VALUE(U685) * IF($E$2="Deployment",deployment_raw[[#This Row],[Column5]],1),0)), 0),"")</f>
        <v/>
      </c>
      <c r="N685" s="166" t="str">
        <f>IF(ISNUMBER(deployment_raw[[#This Row],[Column14]]), deployment_raw[[#This Row],[Column14]]/IF(OR($E$2="Deployment",deployment_raw[[#This Row],[Column5]]=0),1,deployment_raw[[#This Row],[Column5]]),"")</f>
        <v/>
      </c>
      <c r="O685" s="167" t="str">
        <f>IF(ISNUMBER(deployment_raw[[#This Row],[Column15]]), deployment_raw[[#This Row],[Column15]]/IF(OR($E$2="Deployment",deployment_raw[[#This Row],[Column5]]=0),1,deployment_raw[[#This Row],[Column5]])/1048576,"")</f>
        <v/>
      </c>
      <c r="P685" s="168" t="str">
        <f>IF(ISNUMBER(deployment_raw[[#This Row],[Column12]]), (MIN(IF(N685&lt;&gt;"",N685,9999999999999)*1.1,deployment_raw[[#This Row],[Column12]] * IF($E$2="Deployment",deployment_raw[[#This Row],[Column5]],1))*(1+$P$2)),"")</f>
        <v/>
      </c>
      <c r="Q685" s="167" t="str">
        <f>IF(ISNUMBER(deployment_raw[[#This Row],[Column13]]), (MIN(IF(O685&lt;&gt;"",O685,9999999999999)*1.1,deployment_raw[[#This Row],[Column13]] * IF($E$2="Deployment",deployment_raw[[#This Row],[Column5]],1)*(1+$Q$2)/1048576)),"")</f>
        <v/>
      </c>
      <c r="R685" s="169" t="str">
        <f>IF(ISNUMBER(deployment_raw[[#This Row],[Column8]]), (H685  * IF(N685&lt;&gt;0,$R$2,1)),"")</f>
        <v/>
      </c>
      <c r="S685" s="170" t="str">
        <f>IF(ISNUMBER(deployment_raw[[#This Row],[Column8]]), (I685  * IF(O685&lt;&gt;0,$S$2,1)),"")</f>
        <v/>
      </c>
      <c r="T685" s="202" t="str">
        <f>IF(AND(A685&lt;&gt;"",_xlfn.IFNA(MATCH(A685,'dynamic resource application '!$A$2:$A$100, 0),0)&lt;&gt;0), H685/(IF($E$2="Deployment",E685,1)),"")</f>
        <v/>
      </c>
      <c r="U685" s="211" t="str">
        <f>IF(AND(A685&lt;&gt;"",_xlfn.IFNA(MATCH(A685,'dynamic resource application '!$A$2:$A$100, 0),0)&lt;&gt;0), I685/(IF($E$2="Deployment",E685,1)),"")</f>
        <v/>
      </c>
    </row>
    <row r="686" spans="1:21" ht="15.75" customHeight="1" x14ac:dyDescent="0.25">
      <c r="A686" s="35" t="str">
        <f>IF(ISNONTEXT(deployment_raw[[#This Row],[Column1]]), "", deployment_raw[[#This Row],[Column1]])</f>
        <v/>
      </c>
      <c r="B686" s="36" t="str">
        <f>IF(ISNONTEXT(deployment_raw[[#This Row],[Column2]]), "", deployment_raw[[#This Row],[Column2]])</f>
        <v/>
      </c>
      <c r="C686" s="36" t="str">
        <f>IF(ISNONTEXT(deployment_raw[[#This Row],[Column3]]), "", deployment_raw[[#This Row],[Column3]])</f>
        <v/>
      </c>
      <c r="D686" s="36" t="str">
        <f>IF(ISNONTEXT(deployment_raw[[#This Row],[Column4]]), "", deployment_raw[[#This Row],[Column4]])</f>
        <v/>
      </c>
      <c r="E686" s="37" t="str">
        <f>IF(ISNUMBER(deployment_raw[[#This Row],[Column5]]), deployment_raw[[#This Row],[Column5]],"")</f>
        <v/>
      </c>
      <c r="F686" s="94" t="str">
        <f>IF(ISNUMBER(deployment_raw[[#This Row],[Column6]]), (deployment_raw[[#This Row],[Column6]] * IF($E$2="Deployment",deployment_raw[[#This Row],[Column5]],1)),"")</f>
        <v/>
      </c>
      <c r="G686" s="95" t="str">
        <f>IF(ISNUMBER(deployment_raw[[#This Row],[Column7]]), (deployment_raw[[#This Row],[Column7]] * IF($E$2="Deployment",deployment_raw[[#This Row],[Column5]],1))/1048576,"")</f>
        <v/>
      </c>
      <c r="H686" s="95" t="str">
        <f>IF(ISNUMBER(deployment_raw[[#This Row],[Column8]]), (deployment_raw[[#This Row],[Column8]]  * IF($E$2="Deployment",deployment_raw[[#This Row],[Column5]],1)),"")</f>
        <v/>
      </c>
      <c r="I686" s="96" t="str">
        <f>IF(ISNUMBER(deployment_raw[[#This Row],[Column9]]), (deployment_raw[[#This Row],[Column9]] * IF($E$2="Deployment",deployment_raw[[#This Row],[Column5]],1))/1048576,"")</f>
        <v/>
      </c>
      <c r="J686" s="122" t="str">
        <f>IF(ISNUMBER(deployment_raw[[#This Row],[Column10]]), (MIN(IF(N686&lt;&gt;"",N686,9999999999999)*1.1,deployment_raw[[#This Row],[Column10]] * IF($E$2="Deployment",deployment_raw[[#This Row],[Column5]],1))),"")</f>
        <v/>
      </c>
      <c r="K686" s="123" t="str">
        <f>IF(ISNUMBER(deployment_raw[[#This Row],[Column11]]), (MIN(IF(O686&lt;&gt;"",O686,9999999999999)*1.1,deployment_raw[[#This Row],[Column11]] * IF($E$2="Deployment",deployment_raw[[#This Row],[Column5]],1)/1048576)),"")</f>
        <v/>
      </c>
      <c r="L686" s="124" t="str">
        <f>IF(ISNUMBER(deployment_raw[[#This Row],[Column8]]),IF(OR(deployment_raw[[#This Row],[Column5]] &lt;&gt; 0,$E$2 &lt;&gt; "Deployment"), MAX(J686, P686, R686, ($L$2 * IF($E$2="Deployment",deployment_raw[[#This Row],[Column5]],1)),IF(T686&lt;&gt;"",VALUE(T686) * IF($E$2="Deployment",deployment_raw[[#This Row],[Column5]],1),0)), 0),"")</f>
        <v/>
      </c>
      <c r="M686" s="125" t="str">
        <f>IF(ISNUMBER(deployment_raw[[#This Row],[Column9]]),IF(OR(deployment_raw[[#This Row],[Column5]] &lt;&gt; 0,$E$2&lt;&gt;"Deployment"), MAX(K686, Q686, S686, ($M$2 * IF($E$2="Deployment",deployment_raw[[#This Row],[Column5]],1)),IF(U686&lt;&gt;"",VALUE(U686) * IF($E$2="Deployment",deployment_raw[[#This Row],[Column5]],1),0)), 0),"")</f>
        <v/>
      </c>
      <c r="N686" s="166" t="str">
        <f>IF(ISNUMBER(deployment_raw[[#This Row],[Column14]]), deployment_raw[[#This Row],[Column14]]/IF(OR($E$2="Deployment",deployment_raw[[#This Row],[Column5]]=0),1,deployment_raw[[#This Row],[Column5]]),"")</f>
        <v/>
      </c>
      <c r="O686" s="167" t="str">
        <f>IF(ISNUMBER(deployment_raw[[#This Row],[Column15]]), deployment_raw[[#This Row],[Column15]]/IF(OR($E$2="Deployment",deployment_raw[[#This Row],[Column5]]=0),1,deployment_raw[[#This Row],[Column5]])/1048576,"")</f>
        <v/>
      </c>
      <c r="P686" s="168" t="str">
        <f>IF(ISNUMBER(deployment_raw[[#This Row],[Column12]]), (MIN(IF(N686&lt;&gt;"",N686,9999999999999)*1.1,deployment_raw[[#This Row],[Column12]] * IF($E$2="Deployment",deployment_raw[[#This Row],[Column5]],1))*(1+$P$2)),"")</f>
        <v/>
      </c>
      <c r="Q686" s="167" t="str">
        <f>IF(ISNUMBER(deployment_raw[[#This Row],[Column13]]), (MIN(IF(O686&lt;&gt;"",O686,9999999999999)*1.1,deployment_raw[[#This Row],[Column13]] * IF($E$2="Deployment",deployment_raw[[#This Row],[Column5]],1)*(1+$Q$2)/1048576)),"")</f>
        <v/>
      </c>
      <c r="R686" s="169" t="str">
        <f>IF(ISNUMBER(deployment_raw[[#This Row],[Column8]]), (H686  * IF(N686&lt;&gt;0,$R$2,1)),"")</f>
        <v/>
      </c>
      <c r="S686" s="170" t="str">
        <f>IF(ISNUMBER(deployment_raw[[#This Row],[Column8]]), (I686  * IF(O686&lt;&gt;0,$S$2,1)),"")</f>
        <v/>
      </c>
      <c r="T686" s="202" t="str">
        <f>IF(AND(A686&lt;&gt;"",_xlfn.IFNA(MATCH(A686,'dynamic resource application '!$A$2:$A$100, 0),0)&lt;&gt;0), H686/(IF($E$2="Deployment",E686,1)),"")</f>
        <v/>
      </c>
      <c r="U686" s="211" t="str">
        <f>IF(AND(A686&lt;&gt;"",_xlfn.IFNA(MATCH(A686,'dynamic resource application '!$A$2:$A$100, 0),0)&lt;&gt;0), I686/(IF($E$2="Deployment",E686,1)),"")</f>
        <v/>
      </c>
    </row>
    <row r="687" spans="1:21" ht="15.75" customHeight="1" x14ac:dyDescent="0.25">
      <c r="A687" s="35" t="str">
        <f>IF(ISNONTEXT(deployment_raw[[#This Row],[Column1]]), "", deployment_raw[[#This Row],[Column1]])</f>
        <v/>
      </c>
      <c r="B687" s="36" t="str">
        <f>IF(ISNONTEXT(deployment_raw[[#This Row],[Column2]]), "", deployment_raw[[#This Row],[Column2]])</f>
        <v/>
      </c>
      <c r="C687" s="36" t="str">
        <f>IF(ISNONTEXT(deployment_raw[[#This Row],[Column3]]), "", deployment_raw[[#This Row],[Column3]])</f>
        <v/>
      </c>
      <c r="D687" s="36" t="str">
        <f>IF(ISNONTEXT(deployment_raw[[#This Row],[Column4]]), "", deployment_raw[[#This Row],[Column4]])</f>
        <v/>
      </c>
      <c r="E687" s="37" t="str">
        <f>IF(ISNUMBER(deployment_raw[[#This Row],[Column5]]), deployment_raw[[#This Row],[Column5]],"")</f>
        <v/>
      </c>
      <c r="F687" s="94" t="str">
        <f>IF(ISNUMBER(deployment_raw[[#This Row],[Column6]]), (deployment_raw[[#This Row],[Column6]] * IF($E$2="Deployment",deployment_raw[[#This Row],[Column5]],1)),"")</f>
        <v/>
      </c>
      <c r="G687" s="95" t="str">
        <f>IF(ISNUMBER(deployment_raw[[#This Row],[Column7]]), (deployment_raw[[#This Row],[Column7]] * IF($E$2="Deployment",deployment_raw[[#This Row],[Column5]],1))/1048576,"")</f>
        <v/>
      </c>
      <c r="H687" s="95" t="str">
        <f>IF(ISNUMBER(deployment_raw[[#This Row],[Column8]]), (deployment_raw[[#This Row],[Column8]]  * IF($E$2="Deployment",deployment_raw[[#This Row],[Column5]],1)),"")</f>
        <v/>
      </c>
      <c r="I687" s="96" t="str">
        <f>IF(ISNUMBER(deployment_raw[[#This Row],[Column9]]), (deployment_raw[[#This Row],[Column9]] * IF($E$2="Deployment",deployment_raw[[#This Row],[Column5]],1))/1048576,"")</f>
        <v/>
      </c>
      <c r="J687" s="122" t="str">
        <f>IF(ISNUMBER(deployment_raw[[#This Row],[Column10]]), (MIN(IF(N687&lt;&gt;"",N687,9999999999999)*1.1,deployment_raw[[#This Row],[Column10]] * IF($E$2="Deployment",deployment_raw[[#This Row],[Column5]],1))),"")</f>
        <v/>
      </c>
      <c r="K687" s="123" t="str">
        <f>IF(ISNUMBER(deployment_raw[[#This Row],[Column11]]), (MIN(IF(O687&lt;&gt;"",O687,9999999999999)*1.1,deployment_raw[[#This Row],[Column11]] * IF($E$2="Deployment",deployment_raw[[#This Row],[Column5]],1)/1048576)),"")</f>
        <v/>
      </c>
      <c r="L687" s="124" t="str">
        <f>IF(ISNUMBER(deployment_raw[[#This Row],[Column8]]),IF(OR(deployment_raw[[#This Row],[Column5]] &lt;&gt; 0,$E$2 &lt;&gt; "Deployment"), MAX(J687, P687, R687, ($L$2 * IF($E$2="Deployment",deployment_raw[[#This Row],[Column5]],1)),IF(T687&lt;&gt;"",VALUE(T687) * IF($E$2="Deployment",deployment_raw[[#This Row],[Column5]],1),0)), 0),"")</f>
        <v/>
      </c>
      <c r="M687" s="125" t="str">
        <f>IF(ISNUMBER(deployment_raw[[#This Row],[Column9]]),IF(OR(deployment_raw[[#This Row],[Column5]] &lt;&gt; 0,$E$2&lt;&gt;"Deployment"), MAX(K687, Q687, S687, ($M$2 * IF($E$2="Deployment",deployment_raw[[#This Row],[Column5]],1)),IF(U687&lt;&gt;"",VALUE(U687) * IF($E$2="Deployment",deployment_raw[[#This Row],[Column5]],1),0)), 0),"")</f>
        <v/>
      </c>
      <c r="N687" s="166" t="str">
        <f>IF(ISNUMBER(deployment_raw[[#This Row],[Column14]]), deployment_raw[[#This Row],[Column14]]/IF(OR($E$2="Deployment",deployment_raw[[#This Row],[Column5]]=0),1,deployment_raw[[#This Row],[Column5]]),"")</f>
        <v/>
      </c>
      <c r="O687" s="167" t="str">
        <f>IF(ISNUMBER(deployment_raw[[#This Row],[Column15]]), deployment_raw[[#This Row],[Column15]]/IF(OR($E$2="Deployment",deployment_raw[[#This Row],[Column5]]=0),1,deployment_raw[[#This Row],[Column5]])/1048576,"")</f>
        <v/>
      </c>
      <c r="P687" s="168" t="str">
        <f>IF(ISNUMBER(deployment_raw[[#This Row],[Column12]]), (MIN(IF(N687&lt;&gt;"",N687,9999999999999)*1.1,deployment_raw[[#This Row],[Column12]] * IF($E$2="Deployment",deployment_raw[[#This Row],[Column5]],1))*(1+$P$2)),"")</f>
        <v/>
      </c>
      <c r="Q687" s="167" t="str">
        <f>IF(ISNUMBER(deployment_raw[[#This Row],[Column13]]), (MIN(IF(O687&lt;&gt;"",O687,9999999999999)*1.1,deployment_raw[[#This Row],[Column13]] * IF($E$2="Deployment",deployment_raw[[#This Row],[Column5]],1)*(1+$Q$2)/1048576)),"")</f>
        <v/>
      </c>
      <c r="R687" s="169" t="str">
        <f>IF(ISNUMBER(deployment_raw[[#This Row],[Column8]]), (H687  * IF(N687&lt;&gt;0,$R$2,1)),"")</f>
        <v/>
      </c>
      <c r="S687" s="170" t="str">
        <f>IF(ISNUMBER(deployment_raw[[#This Row],[Column8]]), (I687  * IF(O687&lt;&gt;0,$S$2,1)),"")</f>
        <v/>
      </c>
      <c r="T687" s="202" t="str">
        <f>IF(AND(A687&lt;&gt;"",_xlfn.IFNA(MATCH(A687,'dynamic resource application '!$A$2:$A$100, 0),0)&lt;&gt;0), H687/(IF($E$2="Deployment",E687,1)),"")</f>
        <v/>
      </c>
      <c r="U687" s="211" t="str">
        <f>IF(AND(A687&lt;&gt;"",_xlfn.IFNA(MATCH(A687,'dynamic resource application '!$A$2:$A$100, 0),0)&lt;&gt;0), I687/(IF($E$2="Deployment",E687,1)),"")</f>
        <v/>
      </c>
    </row>
    <row r="688" spans="1:21" ht="15.75" customHeight="1" x14ac:dyDescent="0.25">
      <c r="A688" s="35" t="str">
        <f>IF(ISNONTEXT(deployment_raw[[#This Row],[Column1]]), "", deployment_raw[[#This Row],[Column1]])</f>
        <v/>
      </c>
      <c r="B688" s="36" t="str">
        <f>IF(ISNONTEXT(deployment_raw[[#This Row],[Column2]]), "", deployment_raw[[#This Row],[Column2]])</f>
        <v/>
      </c>
      <c r="C688" s="36" t="str">
        <f>IF(ISNONTEXT(deployment_raw[[#This Row],[Column3]]), "", deployment_raw[[#This Row],[Column3]])</f>
        <v/>
      </c>
      <c r="D688" s="36" t="str">
        <f>IF(ISNONTEXT(deployment_raw[[#This Row],[Column4]]), "", deployment_raw[[#This Row],[Column4]])</f>
        <v/>
      </c>
      <c r="E688" s="37" t="str">
        <f>IF(ISNUMBER(deployment_raw[[#This Row],[Column5]]), deployment_raw[[#This Row],[Column5]],"")</f>
        <v/>
      </c>
      <c r="F688" s="94" t="str">
        <f>IF(ISNUMBER(deployment_raw[[#This Row],[Column6]]), (deployment_raw[[#This Row],[Column6]] * IF($E$2="Deployment",deployment_raw[[#This Row],[Column5]],1)),"")</f>
        <v/>
      </c>
      <c r="G688" s="95" t="str">
        <f>IF(ISNUMBER(deployment_raw[[#This Row],[Column7]]), (deployment_raw[[#This Row],[Column7]] * IF($E$2="Deployment",deployment_raw[[#This Row],[Column5]],1))/1048576,"")</f>
        <v/>
      </c>
      <c r="H688" s="95" t="str">
        <f>IF(ISNUMBER(deployment_raw[[#This Row],[Column8]]), (deployment_raw[[#This Row],[Column8]]  * IF($E$2="Deployment",deployment_raw[[#This Row],[Column5]],1)),"")</f>
        <v/>
      </c>
      <c r="I688" s="96" t="str">
        <f>IF(ISNUMBER(deployment_raw[[#This Row],[Column9]]), (deployment_raw[[#This Row],[Column9]] * IF($E$2="Deployment",deployment_raw[[#This Row],[Column5]],1))/1048576,"")</f>
        <v/>
      </c>
      <c r="J688" s="122" t="str">
        <f>IF(ISNUMBER(deployment_raw[[#This Row],[Column10]]), (MIN(IF(N688&lt;&gt;"",N688,9999999999999)*1.1,deployment_raw[[#This Row],[Column10]] * IF($E$2="Deployment",deployment_raw[[#This Row],[Column5]],1))),"")</f>
        <v/>
      </c>
      <c r="K688" s="123" t="str">
        <f>IF(ISNUMBER(deployment_raw[[#This Row],[Column11]]), (MIN(IF(O688&lt;&gt;"",O688,9999999999999)*1.1,deployment_raw[[#This Row],[Column11]] * IF($E$2="Deployment",deployment_raw[[#This Row],[Column5]],1)/1048576)),"")</f>
        <v/>
      </c>
      <c r="L688" s="124" t="str">
        <f>IF(ISNUMBER(deployment_raw[[#This Row],[Column8]]),IF(OR(deployment_raw[[#This Row],[Column5]] &lt;&gt; 0,$E$2 &lt;&gt; "Deployment"), MAX(J688, P688, R688, ($L$2 * IF($E$2="Deployment",deployment_raw[[#This Row],[Column5]],1)),IF(T688&lt;&gt;"",VALUE(T688) * IF($E$2="Deployment",deployment_raw[[#This Row],[Column5]],1),0)), 0),"")</f>
        <v/>
      </c>
      <c r="M688" s="125" t="str">
        <f>IF(ISNUMBER(deployment_raw[[#This Row],[Column9]]),IF(OR(deployment_raw[[#This Row],[Column5]] &lt;&gt; 0,$E$2&lt;&gt;"Deployment"), MAX(K688, Q688, S688, ($M$2 * IF($E$2="Deployment",deployment_raw[[#This Row],[Column5]],1)),IF(U688&lt;&gt;"",VALUE(U688) * IF($E$2="Deployment",deployment_raw[[#This Row],[Column5]],1),0)), 0),"")</f>
        <v/>
      </c>
      <c r="N688" s="166" t="str">
        <f>IF(ISNUMBER(deployment_raw[[#This Row],[Column14]]), deployment_raw[[#This Row],[Column14]]/IF(OR($E$2="Deployment",deployment_raw[[#This Row],[Column5]]=0),1,deployment_raw[[#This Row],[Column5]]),"")</f>
        <v/>
      </c>
      <c r="O688" s="167" t="str">
        <f>IF(ISNUMBER(deployment_raw[[#This Row],[Column15]]), deployment_raw[[#This Row],[Column15]]/IF(OR($E$2="Deployment",deployment_raw[[#This Row],[Column5]]=0),1,deployment_raw[[#This Row],[Column5]])/1048576,"")</f>
        <v/>
      </c>
      <c r="P688" s="168" t="str">
        <f>IF(ISNUMBER(deployment_raw[[#This Row],[Column12]]), (MIN(IF(N688&lt;&gt;"",N688,9999999999999)*1.1,deployment_raw[[#This Row],[Column12]] * IF($E$2="Deployment",deployment_raw[[#This Row],[Column5]],1))*(1+$P$2)),"")</f>
        <v/>
      </c>
      <c r="Q688" s="167" t="str">
        <f>IF(ISNUMBER(deployment_raw[[#This Row],[Column13]]), (MIN(IF(O688&lt;&gt;"",O688,9999999999999)*1.1,deployment_raw[[#This Row],[Column13]] * IF($E$2="Deployment",deployment_raw[[#This Row],[Column5]],1)*(1+$Q$2)/1048576)),"")</f>
        <v/>
      </c>
      <c r="R688" s="169" t="str">
        <f>IF(ISNUMBER(deployment_raw[[#This Row],[Column8]]), (H688  * IF(N688&lt;&gt;0,$R$2,1)),"")</f>
        <v/>
      </c>
      <c r="S688" s="170" t="str">
        <f>IF(ISNUMBER(deployment_raw[[#This Row],[Column8]]), (I688  * IF(O688&lt;&gt;0,$S$2,1)),"")</f>
        <v/>
      </c>
      <c r="T688" s="202" t="str">
        <f>IF(AND(A688&lt;&gt;"",_xlfn.IFNA(MATCH(A688,'dynamic resource application '!$A$2:$A$100, 0),0)&lt;&gt;0), H688/(IF($E$2="Deployment",E688,1)),"")</f>
        <v/>
      </c>
      <c r="U688" s="211" t="str">
        <f>IF(AND(A688&lt;&gt;"",_xlfn.IFNA(MATCH(A688,'dynamic resource application '!$A$2:$A$100, 0),0)&lt;&gt;0), I688/(IF($E$2="Deployment",E688,1)),"")</f>
        <v/>
      </c>
    </row>
    <row r="689" spans="1:21" ht="15.75" customHeight="1" x14ac:dyDescent="0.25">
      <c r="A689" s="35" t="str">
        <f>IF(ISNONTEXT(deployment_raw[[#This Row],[Column1]]), "", deployment_raw[[#This Row],[Column1]])</f>
        <v/>
      </c>
      <c r="B689" s="36" t="str">
        <f>IF(ISNONTEXT(deployment_raw[[#This Row],[Column2]]), "", deployment_raw[[#This Row],[Column2]])</f>
        <v/>
      </c>
      <c r="C689" s="36" t="str">
        <f>IF(ISNONTEXT(deployment_raw[[#This Row],[Column3]]), "", deployment_raw[[#This Row],[Column3]])</f>
        <v/>
      </c>
      <c r="D689" s="36" t="str">
        <f>IF(ISNONTEXT(deployment_raw[[#This Row],[Column4]]), "", deployment_raw[[#This Row],[Column4]])</f>
        <v/>
      </c>
      <c r="E689" s="37" t="str">
        <f>IF(ISNUMBER(deployment_raw[[#This Row],[Column5]]), deployment_raw[[#This Row],[Column5]],"")</f>
        <v/>
      </c>
      <c r="F689" s="94" t="str">
        <f>IF(ISNUMBER(deployment_raw[[#This Row],[Column6]]), (deployment_raw[[#This Row],[Column6]] * IF($E$2="Deployment",deployment_raw[[#This Row],[Column5]],1)),"")</f>
        <v/>
      </c>
      <c r="G689" s="95" t="str">
        <f>IF(ISNUMBER(deployment_raw[[#This Row],[Column7]]), (deployment_raw[[#This Row],[Column7]] * IF($E$2="Deployment",deployment_raw[[#This Row],[Column5]],1))/1048576,"")</f>
        <v/>
      </c>
      <c r="H689" s="95" t="str">
        <f>IF(ISNUMBER(deployment_raw[[#This Row],[Column8]]), (deployment_raw[[#This Row],[Column8]]  * IF($E$2="Deployment",deployment_raw[[#This Row],[Column5]],1)),"")</f>
        <v/>
      </c>
      <c r="I689" s="96" t="str">
        <f>IF(ISNUMBER(deployment_raw[[#This Row],[Column9]]), (deployment_raw[[#This Row],[Column9]] * IF($E$2="Deployment",deployment_raw[[#This Row],[Column5]],1))/1048576,"")</f>
        <v/>
      </c>
      <c r="J689" s="122" t="str">
        <f>IF(ISNUMBER(deployment_raw[[#This Row],[Column10]]), (MIN(IF(N689&lt;&gt;"",N689,9999999999999)*1.1,deployment_raw[[#This Row],[Column10]] * IF($E$2="Deployment",deployment_raw[[#This Row],[Column5]],1))),"")</f>
        <v/>
      </c>
      <c r="K689" s="123" t="str">
        <f>IF(ISNUMBER(deployment_raw[[#This Row],[Column11]]), (MIN(IF(O689&lt;&gt;"",O689,9999999999999)*1.1,deployment_raw[[#This Row],[Column11]] * IF($E$2="Deployment",deployment_raw[[#This Row],[Column5]],1)/1048576)),"")</f>
        <v/>
      </c>
      <c r="L689" s="124" t="str">
        <f>IF(ISNUMBER(deployment_raw[[#This Row],[Column8]]),IF(OR(deployment_raw[[#This Row],[Column5]] &lt;&gt; 0,$E$2 &lt;&gt; "Deployment"), MAX(J689, P689, R689, ($L$2 * IF($E$2="Deployment",deployment_raw[[#This Row],[Column5]],1)),IF(T689&lt;&gt;"",VALUE(T689) * IF($E$2="Deployment",deployment_raw[[#This Row],[Column5]],1),0)), 0),"")</f>
        <v/>
      </c>
      <c r="M689" s="125" t="str">
        <f>IF(ISNUMBER(deployment_raw[[#This Row],[Column9]]),IF(OR(deployment_raw[[#This Row],[Column5]] &lt;&gt; 0,$E$2&lt;&gt;"Deployment"), MAX(K689, Q689, S689, ($M$2 * IF($E$2="Deployment",deployment_raw[[#This Row],[Column5]],1)),IF(U689&lt;&gt;"",VALUE(U689) * IF($E$2="Deployment",deployment_raw[[#This Row],[Column5]],1),0)), 0),"")</f>
        <v/>
      </c>
      <c r="N689" s="166" t="str">
        <f>IF(ISNUMBER(deployment_raw[[#This Row],[Column14]]), deployment_raw[[#This Row],[Column14]]/IF(OR($E$2="Deployment",deployment_raw[[#This Row],[Column5]]=0),1,deployment_raw[[#This Row],[Column5]]),"")</f>
        <v/>
      </c>
      <c r="O689" s="167" t="str">
        <f>IF(ISNUMBER(deployment_raw[[#This Row],[Column15]]), deployment_raw[[#This Row],[Column15]]/IF(OR($E$2="Deployment",deployment_raw[[#This Row],[Column5]]=0),1,deployment_raw[[#This Row],[Column5]])/1048576,"")</f>
        <v/>
      </c>
      <c r="P689" s="168" t="str">
        <f>IF(ISNUMBER(deployment_raw[[#This Row],[Column12]]), (MIN(IF(N689&lt;&gt;"",N689,9999999999999)*1.1,deployment_raw[[#This Row],[Column12]] * IF($E$2="Deployment",deployment_raw[[#This Row],[Column5]],1))*(1+$P$2)),"")</f>
        <v/>
      </c>
      <c r="Q689" s="167" t="str">
        <f>IF(ISNUMBER(deployment_raw[[#This Row],[Column13]]), (MIN(IF(O689&lt;&gt;"",O689,9999999999999)*1.1,deployment_raw[[#This Row],[Column13]] * IF($E$2="Deployment",deployment_raw[[#This Row],[Column5]],1)*(1+$Q$2)/1048576)),"")</f>
        <v/>
      </c>
      <c r="R689" s="169" t="str">
        <f>IF(ISNUMBER(deployment_raw[[#This Row],[Column8]]), (H689  * IF(N689&lt;&gt;0,$R$2,1)),"")</f>
        <v/>
      </c>
      <c r="S689" s="170" t="str">
        <f>IF(ISNUMBER(deployment_raw[[#This Row],[Column8]]), (I689  * IF(O689&lt;&gt;0,$S$2,1)),"")</f>
        <v/>
      </c>
      <c r="T689" s="202" t="str">
        <f>IF(AND(A689&lt;&gt;"",_xlfn.IFNA(MATCH(A689,'dynamic resource application '!$A$2:$A$100, 0),0)&lt;&gt;0), H689/(IF($E$2="Deployment",E689,1)),"")</f>
        <v/>
      </c>
      <c r="U689" s="211" t="str">
        <f>IF(AND(A689&lt;&gt;"",_xlfn.IFNA(MATCH(A689,'dynamic resource application '!$A$2:$A$100, 0),0)&lt;&gt;0), I689/(IF($E$2="Deployment",E689,1)),"")</f>
        <v/>
      </c>
    </row>
    <row r="690" spans="1:21" ht="15.75" customHeight="1" x14ac:dyDescent="0.25">
      <c r="A690" s="35" t="str">
        <f>IF(ISNONTEXT(deployment_raw[[#This Row],[Column1]]), "", deployment_raw[[#This Row],[Column1]])</f>
        <v/>
      </c>
      <c r="B690" s="36" t="str">
        <f>IF(ISNONTEXT(deployment_raw[[#This Row],[Column2]]), "", deployment_raw[[#This Row],[Column2]])</f>
        <v/>
      </c>
      <c r="C690" s="36" t="str">
        <f>IF(ISNONTEXT(deployment_raw[[#This Row],[Column3]]), "", deployment_raw[[#This Row],[Column3]])</f>
        <v/>
      </c>
      <c r="D690" s="36" t="str">
        <f>IF(ISNONTEXT(deployment_raw[[#This Row],[Column4]]), "", deployment_raw[[#This Row],[Column4]])</f>
        <v/>
      </c>
      <c r="E690" s="37" t="str">
        <f>IF(ISNUMBER(deployment_raw[[#This Row],[Column5]]), deployment_raw[[#This Row],[Column5]],"")</f>
        <v/>
      </c>
      <c r="F690" s="94" t="str">
        <f>IF(ISNUMBER(deployment_raw[[#This Row],[Column6]]), (deployment_raw[[#This Row],[Column6]] * IF($E$2="Deployment",deployment_raw[[#This Row],[Column5]],1)),"")</f>
        <v/>
      </c>
      <c r="G690" s="95" t="str">
        <f>IF(ISNUMBER(deployment_raw[[#This Row],[Column7]]), (deployment_raw[[#This Row],[Column7]] * IF($E$2="Deployment",deployment_raw[[#This Row],[Column5]],1))/1048576,"")</f>
        <v/>
      </c>
      <c r="H690" s="95" t="str">
        <f>IF(ISNUMBER(deployment_raw[[#This Row],[Column8]]), (deployment_raw[[#This Row],[Column8]]  * IF($E$2="Deployment",deployment_raw[[#This Row],[Column5]],1)),"")</f>
        <v/>
      </c>
      <c r="I690" s="96" t="str">
        <f>IF(ISNUMBER(deployment_raw[[#This Row],[Column9]]), (deployment_raw[[#This Row],[Column9]] * IF($E$2="Deployment",deployment_raw[[#This Row],[Column5]],1))/1048576,"")</f>
        <v/>
      </c>
      <c r="J690" s="122" t="str">
        <f>IF(ISNUMBER(deployment_raw[[#This Row],[Column10]]), (MIN(IF(N690&lt;&gt;"",N690,9999999999999)*1.1,deployment_raw[[#This Row],[Column10]] * IF($E$2="Deployment",deployment_raw[[#This Row],[Column5]],1))),"")</f>
        <v/>
      </c>
      <c r="K690" s="123" t="str">
        <f>IF(ISNUMBER(deployment_raw[[#This Row],[Column11]]), (MIN(IF(O690&lt;&gt;"",O690,9999999999999)*1.1,deployment_raw[[#This Row],[Column11]] * IF($E$2="Deployment",deployment_raw[[#This Row],[Column5]],1)/1048576)),"")</f>
        <v/>
      </c>
      <c r="L690" s="124" t="str">
        <f>IF(ISNUMBER(deployment_raw[[#This Row],[Column8]]),IF(OR(deployment_raw[[#This Row],[Column5]] &lt;&gt; 0,$E$2 &lt;&gt; "Deployment"), MAX(J690, P690, R690, ($L$2 * IF($E$2="Deployment",deployment_raw[[#This Row],[Column5]],1)),IF(T690&lt;&gt;"",VALUE(T690) * IF($E$2="Deployment",deployment_raw[[#This Row],[Column5]],1),0)), 0),"")</f>
        <v/>
      </c>
      <c r="M690" s="125" t="str">
        <f>IF(ISNUMBER(deployment_raw[[#This Row],[Column9]]),IF(OR(deployment_raw[[#This Row],[Column5]] &lt;&gt; 0,$E$2&lt;&gt;"Deployment"), MAX(K690, Q690, S690, ($M$2 * IF($E$2="Deployment",deployment_raw[[#This Row],[Column5]],1)),IF(U690&lt;&gt;"",VALUE(U690) * IF($E$2="Deployment",deployment_raw[[#This Row],[Column5]],1),0)), 0),"")</f>
        <v/>
      </c>
      <c r="N690" s="166" t="str">
        <f>IF(ISNUMBER(deployment_raw[[#This Row],[Column14]]), deployment_raw[[#This Row],[Column14]]/IF(OR($E$2="Deployment",deployment_raw[[#This Row],[Column5]]=0),1,deployment_raw[[#This Row],[Column5]]),"")</f>
        <v/>
      </c>
      <c r="O690" s="167" t="str">
        <f>IF(ISNUMBER(deployment_raw[[#This Row],[Column15]]), deployment_raw[[#This Row],[Column15]]/IF(OR($E$2="Deployment",deployment_raw[[#This Row],[Column5]]=0),1,deployment_raw[[#This Row],[Column5]])/1048576,"")</f>
        <v/>
      </c>
      <c r="P690" s="168" t="str">
        <f>IF(ISNUMBER(deployment_raw[[#This Row],[Column12]]), (MIN(IF(N690&lt;&gt;"",N690,9999999999999)*1.1,deployment_raw[[#This Row],[Column12]] * IF($E$2="Deployment",deployment_raw[[#This Row],[Column5]],1))*(1+$P$2)),"")</f>
        <v/>
      </c>
      <c r="Q690" s="167" t="str">
        <f>IF(ISNUMBER(deployment_raw[[#This Row],[Column13]]), (MIN(IF(O690&lt;&gt;"",O690,9999999999999)*1.1,deployment_raw[[#This Row],[Column13]] * IF($E$2="Deployment",deployment_raw[[#This Row],[Column5]],1)*(1+$Q$2)/1048576)),"")</f>
        <v/>
      </c>
      <c r="R690" s="169" t="str">
        <f>IF(ISNUMBER(deployment_raw[[#This Row],[Column8]]), (H690  * IF(N690&lt;&gt;0,$R$2,1)),"")</f>
        <v/>
      </c>
      <c r="S690" s="170" t="str">
        <f>IF(ISNUMBER(deployment_raw[[#This Row],[Column8]]), (I690  * IF(O690&lt;&gt;0,$S$2,1)),"")</f>
        <v/>
      </c>
      <c r="T690" s="202" t="str">
        <f>IF(AND(A690&lt;&gt;"",_xlfn.IFNA(MATCH(A690,'dynamic resource application '!$A$2:$A$100, 0),0)&lt;&gt;0), H690/(IF($E$2="Deployment",E690,1)),"")</f>
        <v/>
      </c>
      <c r="U690" s="211" t="str">
        <f>IF(AND(A690&lt;&gt;"",_xlfn.IFNA(MATCH(A690,'dynamic resource application '!$A$2:$A$100, 0),0)&lt;&gt;0), I690/(IF($E$2="Deployment",E690,1)),"")</f>
        <v/>
      </c>
    </row>
    <row r="691" spans="1:21" ht="15.75" customHeight="1" x14ac:dyDescent="0.25">
      <c r="A691" s="35" t="str">
        <f>IF(ISNONTEXT(deployment_raw[[#This Row],[Column1]]), "", deployment_raw[[#This Row],[Column1]])</f>
        <v/>
      </c>
      <c r="B691" s="36" t="str">
        <f>IF(ISNONTEXT(deployment_raw[[#This Row],[Column2]]), "", deployment_raw[[#This Row],[Column2]])</f>
        <v/>
      </c>
      <c r="C691" s="36" t="str">
        <f>IF(ISNONTEXT(deployment_raw[[#This Row],[Column3]]), "", deployment_raw[[#This Row],[Column3]])</f>
        <v/>
      </c>
      <c r="D691" s="36" t="str">
        <f>IF(ISNONTEXT(deployment_raw[[#This Row],[Column4]]), "", deployment_raw[[#This Row],[Column4]])</f>
        <v/>
      </c>
      <c r="E691" s="37" t="str">
        <f>IF(ISNUMBER(deployment_raw[[#This Row],[Column5]]), deployment_raw[[#This Row],[Column5]],"")</f>
        <v/>
      </c>
      <c r="F691" s="94" t="str">
        <f>IF(ISNUMBER(deployment_raw[[#This Row],[Column6]]), (deployment_raw[[#This Row],[Column6]] * IF($E$2="Deployment",deployment_raw[[#This Row],[Column5]],1)),"")</f>
        <v/>
      </c>
      <c r="G691" s="95" t="str">
        <f>IF(ISNUMBER(deployment_raw[[#This Row],[Column7]]), (deployment_raw[[#This Row],[Column7]] * IF($E$2="Deployment",deployment_raw[[#This Row],[Column5]],1))/1048576,"")</f>
        <v/>
      </c>
      <c r="H691" s="95" t="str">
        <f>IF(ISNUMBER(deployment_raw[[#This Row],[Column8]]), (deployment_raw[[#This Row],[Column8]]  * IF($E$2="Deployment",deployment_raw[[#This Row],[Column5]],1)),"")</f>
        <v/>
      </c>
      <c r="I691" s="96" t="str">
        <f>IF(ISNUMBER(deployment_raw[[#This Row],[Column9]]), (deployment_raw[[#This Row],[Column9]] * IF($E$2="Deployment",deployment_raw[[#This Row],[Column5]],1))/1048576,"")</f>
        <v/>
      </c>
      <c r="J691" s="122" t="str">
        <f>IF(ISNUMBER(deployment_raw[[#This Row],[Column10]]), (MIN(IF(N691&lt;&gt;"",N691,9999999999999)*1.1,deployment_raw[[#This Row],[Column10]] * IF($E$2="Deployment",deployment_raw[[#This Row],[Column5]],1))),"")</f>
        <v/>
      </c>
      <c r="K691" s="123" t="str">
        <f>IF(ISNUMBER(deployment_raw[[#This Row],[Column11]]), (MIN(IF(O691&lt;&gt;"",O691,9999999999999)*1.1,deployment_raw[[#This Row],[Column11]] * IF($E$2="Deployment",deployment_raw[[#This Row],[Column5]],1)/1048576)),"")</f>
        <v/>
      </c>
      <c r="L691" s="124" t="str">
        <f>IF(ISNUMBER(deployment_raw[[#This Row],[Column8]]),IF(OR(deployment_raw[[#This Row],[Column5]] &lt;&gt; 0,$E$2 &lt;&gt; "Deployment"), MAX(J691, P691, R691, ($L$2 * IF($E$2="Deployment",deployment_raw[[#This Row],[Column5]],1)),IF(T691&lt;&gt;"",VALUE(T691) * IF($E$2="Deployment",deployment_raw[[#This Row],[Column5]],1),0)), 0),"")</f>
        <v/>
      </c>
      <c r="M691" s="125" t="str">
        <f>IF(ISNUMBER(deployment_raw[[#This Row],[Column9]]),IF(OR(deployment_raw[[#This Row],[Column5]] &lt;&gt; 0,$E$2&lt;&gt;"Deployment"), MAX(K691, Q691, S691, ($M$2 * IF($E$2="Deployment",deployment_raw[[#This Row],[Column5]],1)),IF(U691&lt;&gt;"",VALUE(U691) * IF($E$2="Deployment",deployment_raw[[#This Row],[Column5]],1),0)), 0),"")</f>
        <v/>
      </c>
      <c r="N691" s="166" t="str">
        <f>IF(ISNUMBER(deployment_raw[[#This Row],[Column14]]), deployment_raw[[#This Row],[Column14]]/IF(OR($E$2="Deployment",deployment_raw[[#This Row],[Column5]]=0),1,deployment_raw[[#This Row],[Column5]]),"")</f>
        <v/>
      </c>
      <c r="O691" s="167" t="str">
        <f>IF(ISNUMBER(deployment_raw[[#This Row],[Column15]]), deployment_raw[[#This Row],[Column15]]/IF(OR($E$2="Deployment",deployment_raw[[#This Row],[Column5]]=0),1,deployment_raw[[#This Row],[Column5]])/1048576,"")</f>
        <v/>
      </c>
      <c r="P691" s="168" t="str">
        <f>IF(ISNUMBER(deployment_raw[[#This Row],[Column12]]), (MIN(IF(N691&lt;&gt;"",N691,9999999999999)*1.1,deployment_raw[[#This Row],[Column12]] * IF($E$2="Deployment",deployment_raw[[#This Row],[Column5]],1))*(1+$P$2)),"")</f>
        <v/>
      </c>
      <c r="Q691" s="167" t="str">
        <f>IF(ISNUMBER(deployment_raw[[#This Row],[Column13]]), (MIN(IF(O691&lt;&gt;"",O691,9999999999999)*1.1,deployment_raw[[#This Row],[Column13]] * IF($E$2="Deployment",deployment_raw[[#This Row],[Column5]],1)*(1+$Q$2)/1048576)),"")</f>
        <v/>
      </c>
      <c r="R691" s="169" t="str">
        <f>IF(ISNUMBER(deployment_raw[[#This Row],[Column8]]), (H691  * IF(N691&lt;&gt;0,$R$2,1)),"")</f>
        <v/>
      </c>
      <c r="S691" s="170" t="str">
        <f>IF(ISNUMBER(deployment_raw[[#This Row],[Column8]]), (I691  * IF(O691&lt;&gt;0,$S$2,1)),"")</f>
        <v/>
      </c>
      <c r="T691" s="202" t="str">
        <f>IF(AND(A691&lt;&gt;"",_xlfn.IFNA(MATCH(A691,'dynamic resource application '!$A$2:$A$100, 0),0)&lt;&gt;0), H691/(IF($E$2="Deployment",E691,1)),"")</f>
        <v/>
      </c>
      <c r="U691" s="211" t="str">
        <f>IF(AND(A691&lt;&gt;"",_xlfn.IFNA(MATCH(A691,'dynamic resource application '!$A$2:$A$100, 0),0)&lt;&gt;0), I691/(IF($E$2="Deployment",E691,1)),"")</f>
        <v/>
      </c>
    </row>
    <row r="692" spans="1:21" ht="15.75" customHeight="1" x14ac:dyDescent="0.25">
      <c r="A692" s="35" t="str">
        <f>IF(ISNONTEXT(deployment_raw[[#This Row],[Column1]]), "", deployment_raw[[#This Row],[Column1]])</f>
        <v/>
      </c>
      <c r="B692" s="36" t="str">
        <f>IF(ISNONTEXT(deployment_raw[[#This Row],[Column2]]), "", deployment_raw[[#This Row],[Column2]])</f>
        <v/>
      </c>
      <c r="C692" s="36" t="str">
        <f>IF(ISNONTEXT(deployment_raw[[#This Row],[Column3]]), "", deployment_raw[[#This Row],[Column3]])</f>
        <v/>
      </c>
      <c r="D692" s="36" t="str">
        <f>IF(ISNONTEXT(deployment_raw[[#This Row],[Column4]]), "", deployment_raw[[#This Row],[Column4]])</f>
        <v/>
      </c>
      <c r="E692" s="37" t="str">
        <f>IF(ISNUMBER(deployment_raw[[#This Row],[Column5]]), deployment_raw[[#This Row],[Column5]],"")</f>
        <v/>
      </c>
      <c r="F692" s="94" t="str">
        <f>IF(ISNUMBER(deployment_raw[[#This Row],[Column6]]), (deployment_raw[[#This Row],[Column6]] * IF($E$2="Deployment",deployment_raw[[#This Row],[Column5]],1)),"")</f>
        <v/>
      </c>
      <c r="G692" s="95" t="str">
        <f>IF(ISNUMBER(deployment_raw[[#This Row],[Column7]]), (deployment_raw[[#This Row],[Column7]] * IF($E$2="Deployment",deployment_raw[[#This Row],[Column5]],1))/1048576,"")</f>
        <v/>
      </c>
      <c r="H692" s="95" t="str">
        <f>IF(ISNUMBER(deployment_raw[[#This Row],[Column8]]), (deployment_raw[[#This Row],[Column8]]  * IF($E$2="Deployment",deployment_raw[[#This Row],[Column5]],1)),"")</f>
        <v/>
      </c>
      <c r="I692" s="96" t="str">
        <f>IF(ISNUMBER(deployment_raw[[#This Row],[Column9]]), (deployment_raw[[#This Row],[Column9]] * IF($E$2="Deployment",deployment_raw[[#This Row],[Column5]],1))/1048576,"")</f>
        <v/>
      </c>
      <c r="J692" s="122" t="str">
        <f>IF(ISNUMBER(deployment_raw[[#This Row],[Column10]]), (MIN(IF(N692&lt;&gt;"",N692,9999999999999)*1.1,deployment_raw[[#This Row],[Column10]] * IF($E$2="Deployment",deployment_raw[[#This Row],[Column5]],1))),"")</f>
        <v/>
      </c>
      <c r="K692" s="123" t="str">
        <f>IF(ISNUMBER(deployment_raw[[#This Row],[Column11]]), (MIN(IF(O692&lt;&gt;"",O692,9999999999999)*1.1,deployment_raw[[#This Row],[Column11]] * IF($E$2="Deployment",deployment_raw[[#This Row],[Column5]],1)/1048576)),"")</f>
        <v/>
      </c>
      <c r="L692" s="124" t="str">
        <f>IF(ISNUMBER(deployment_raw[[#This Row],[Column8]]),IF(OR(deployment_raw[[#This Row],[Column5]] &lt;&gt; 0,$E$2 &lt;&gt; "Deployment"), MAX(J692, P692, R692, ($L$2 * IF($E$2="Deployment",deployment_raw[[#This Row],[Column5]],1)),IF(T692&lt;&gt;"",VALUE(T692) * IF($E$2="Deployment",deployment_raw[[#This Row],[Column5]],1),0)), 0),"")</f>
        <v/>
      </c>
      <c r="M692" s="125" t="str">
        <f>IF(ISNUMBER(deployment_raw[[#This Row],[Column9]]),IF(OR(deployment_raw[[#This Row],[Column5]] &lt;&gt; 0,$E$2&lt;&gt;"Deployment"), MAX(K692, Q692, S692, ($M$2 * IF($E$2="Deployment",deployment_raw[[#This Row],[Column5]],1)),IF(U692&lt;&gt;"",VALUE(U692) * IF($E$2="Deployment",deployment_raw[[#This Row],[Column5]],1),0)), 0),"")</f>
        <v/>
      </c>
      <c r="N692" s="166" t="str">
        <f>IF(ISNUMBER(deployment_raw[[#This Row],[Column14]]), deployment_raw[[#This Row],[Column14]]/IF(OR($E$2="Deployment",deployment_raw[[#This Row],[Column5]]=0),1,deployment_raw[[#This Row],[Column5]]),"")</f>
        <v/>
      </c>
      <c r="O692" s="167" t="str">
        <f>IF(ISNUMBER(deployment_raw[[#This Row],[Column15]]), deployment_raw[[#This Row],[Column15]]/IF(OR($E$2="Deployment",deployment_raw[[#This Row],[Column5]]=0),1,deployment_raw[[#This Row],[Column5]])/1048576,"")</f>
        <v/>
      </c>
      <c r="P692" s="168" t="str">
        <f>IF(ISNUMBER(deployment_raw[[#This Row],[Column12]]), (MIN(IF(N692&lt;&gt;"",N692,9999999999999)*1.1,deployment_raw[[#This Row],[Column12]] * IF($E$2="Deployment",deployment_raw[[#This Row],[Column5]],1))*(1+$P$2)),"")</f>
        <v/>
      </c>
      <c r="Q692" s="167" t="str">
        <f>IF(ISNUMBER(deployment_raw[[#This Row],[Column13]]), (MIN(IF(O692&lt;&gt;"",O692,9999999999999)*1.1,deployment_raw[[#This Row],[Column13]] * IF($E$2="Deployment",deployment_raw[[#This Row],[Column5]],1)*(1+$Q$2)/1048576)),"")</f>
        <v/>
      </c>
      <c r="R692" s="169" t="str">
        <f>IF(ISNUMBER(deployment_raw[[#This Row],[Column8]]), (H692  * IF(N692&lt;&gt;0,$R$2,1)),"")</f>
        <v/>
      </c>
      <c r="S692" s="170" t="str">
        <f>IF(ISNUMBER(deployment_raw[[#This Row],[Column8]]), (I692  * IF(O692&lt;&gt;0,$S$2,1)),"")</f>
        <v/>
      </c>
      <c r="T692" s="202" t="str">
        <f>IF(AND(A692&lt;&gt;"",_xlfn.IFNA(MATCH(A692,'dynamic resource application '!$A$2:$A$100, 0),0)&lt;&gt;0), H692/(IF($E$2="Deployment",E692,1)),"")</f>
        <v/>
      </c>
      <c r="U692" s="211" t="str">
        <f>IF(AND(A692&lt;&gt;"",_xlfn.IFNA(MATCH(A692,'dynamic resource application '!$A$2:$A$100, 0),0)&lt;&gt;0), I692/(IF($E$2="Deployment",E692,1)),"")</f>
        <v/>
      </c>
    </row>
    <row r="693" spans="1:21" ht="15.75" customHeight="1" x14ac:dyDescent="0.25">
      <c r="A693" s="35" t="str">
        <f>IF(ISNONTEXT(deployment_raw[[#This Row],[Column1]]), "", deployment_raw[[#This Row],[Column1]])</f>
        <v/>
      </c>
      <c r="B693" s="36" t="str">
        <f>IF(ISNONTEXT(deployment_raw[[#This Row],[Column2]]), "", deployment_raw[[#This Row],[Column2]])</f>
        <v/>
      </c>
      <c r="C693" s="36" t="str">
        <f>IF(ISNONTEXT(deployment_raw[[#This Row],[Column3]]), "", deployment_raw[[#This Row],[Column3]])</f>
        <v/>
      </c>
      <c r="D693" s="36" t="str">
        <f>IF(ISNONTEXT(deployment_raw[[#This Row],[Column4]]), "", deployment_raw[[#This Row],[Column4]])</f>
        <v/>
      </c>
      <c r="E693" s="37" t="str">
        <f>IF(ISNUMBER(deployment_raw[[#This Row],[Column5]]), deployment_raw[[#This Row],[Column5]],"")</f>
        <v/>
      </c>
      <c r="F693" s="94" t="str">
        <f>IF(ISNUMBER(deployment_raw[[#This Row],[Column6]]), (deployment_raw[[#This Row],[Column6]] * IF($E$2="Deployment",deployment_raw[[#This Row],[Column5]],1)),"")</f>
        <v/>
      </c>
      <c r="G693" s="95" t="str">
        <f>IF(ISNUMBER(deployment_raw[[#This Row],[Column7]]), (deployment_raw[[#This Row],[Column7]] * IF($E$2="Deployment",deployment_raw[[#This Row],[Column5]],1))/1048576,"")</f>
        <v/>
      </c>
      <c r="H693" s="95" t="str">
        <f>IF(ISNUMBER(deployment_raw[[#This Row],[Column8]]), (deployment_raw[[#This Row],[Column8]]  * IF($E$2="Deployment",deployment_raw[[#This Row],[Column5]],1)),"")</f>
        <v/>
      </c>
      <c r="I693" s="96" t="str">
        <f>IF(ISNUMBER(deployment_raw[[#This Row],[Column9]]), (deployment_raw[[#This Row],[Column9]] * IF($E$2="Deployment",deployment_raw[[#This Row],[Column5]],1))/1048576,"")</f>
        <v/>
      </c>
      <c r="J693" s="122" t="str">
        <f>IF(ISNUMBER(deployment_raw[[#This Row],[Column10]]), (MIN(IF(N693&lt;&gt;"",N693,9999999999999)*1.1,deployment_raw[[#This Row],[Column10]] * IF($E$2="Deployment",deployment_raw[[#This Row],[Column5]],1))),"")</f>
        <v/>
      </c>
      <c r="K693" s="123" t="str">
        <f>IF(ISNUMBER(deployment_raw[[#This Row],[Column11]]), (MIN(IF(O693&lt;&gt;"",O693,9999999999999)*1.1,deployment_raw[[#This Row],[Column11]] * IF($E$2="Deployment",deployment_raw[[#This Row],[Column5]],1)/1048576)),"")</f>
        <v/>
      </c>
      <c r="L693" s="124" t="str">
        <f>IF(ISNUMBER(deployment_raw[[#This Row],[Column8]]),IF(OR(deployment_raw[[#This Row],[Column5]] &lt;&gt; 0,$E$2 &lt;&gt; "Deployment"), MAX(J693, P693, R693, ($L$2 * IF($E$2="Deployment",deployment_raw[[#This Row],[Column5]],1)),IF(T693&lt;&gt;"",VALUE(T693) * IF($E$2="Deployment",deployment_raw[[#This Row],[Column5]],1),0)), 0),"")</f>
        <v/>
      </c>
      <c r="M693" s="125" t="str">
        <f>IF(ISNUMBER(deployment_raw[[#This Row],[Column9]]),IF(OR(deployment_raw[[#This Row],[Column5]] &lt;&gt; 0,$E$2&lt;&gt;"Deployment"), MAX(K693, Q693, S693, ($M$2 * IF($E$2="Deployment",deployment_raw[[#This Row],[Column5]],1)),IF(U693&lt;&gt;"",VALUE(U693) * IF($E$2="Deployment",deployment_raw[[#This Row],[Column5]],1),0)), 0),"")</f>
        <v/>
      </c>
      <c r="N693" s="166" t="str">
        <f>IF(ISNUMBER(deployment_raw[[#This Row],[Column14]]), deployment_raw[[#This Row],[Column14]]/IF(OR($E$2="Deployment",deployment_raw[[#This Row],[Column5]]=0),1,deployment_raw[[#This Row],[Column5]]),"")</f>
        <v/>
      </c>
      <c r="O693" s="167" t="str">
        <f>IF(ISNUMBER(deployment_raw[[#This Row],[Column15]]), deployment_raw[[#This Row],[Column15]]/IF(OR($E$2="Deployment",deployment_raw[[#This Row],[Column5]]=0),1,deployment_raw[[#This Row],[Column5]])/1048576,"")</f>
        <v/>
      </c>
      <c r="P693" s="168" t="str">
        <f>IF(ISNUMBER(deployment_raw[[#This Row],[Column12]]), (MIN(IF(N693&lt;&gt;"",N693,9999999999999)*1.1,deployment_raw[[#This Row],[Column12]] * IF($E$2="Deployment",deployment_raw[[#This Row],[Column5]],1))*(1+$P$2)),"")</f>
        <v/>
      </c>
      <c r="Q693" s="167" t="str">
        <f>IF(ISNUMBER(deployment_raw[[#This Row],[Column13]]), (MIN(IF(O693&lt;&gt;"",O693,9999999999999)*1.1,deployment_raw[[#This Row],[Column13]] * IF($E$2="Deployment",deployment_raw[[#This Row],[Column5]],1)*(1+$Q$2)/1048576)),"")</f>
        <v/>
      </c>
      <c r="R693" s="169" t="str">
        <f>IF(ISNUMBER(deployment_raw[[#This Row],[Column8]]), (H693  * IF(N693&lt;&gt;0,$R$2,1)),"")</f>
        <v/>
      </c>
      <c r="S693" s="170" t="str">
        <f>IF(ISNUMBER(deployment_raw[[#This Row],[Column8]]), (I693  * IF(O693&lt;&gt;0,$S$2,1)),"")</f>
        <v/>
      </c>
      <c r="T693" s="202" t="str">
        <f>IF(AND(A693&lt;&gt;"",_xlfn.IFNA(MATCH(A693,'dynamic resource application '!$A$2:$A$100, 0),0)&lt;&gt;0), H693/(IF($E$2="Deployment",E693,1)),"")</f>
        <v/>
      </c>
      <c r="U693" s="211" t="str">
        <f>IF(AND(A693&lt;&gt;"",_xlfn.IFNA(MATCH(A693,'dynamic resource application '!$A$2:$A$100, 0),0)&lt;&gt;0), I693/(IF($E$2="Deployment",E693,1)),"")</f>
        <v/>
      </c>
    </row>
    <row r="694" spans="1:21" ht="15.75" customHeight="1" x14ac:dyDescent="0.25">
      <c r="A694" s="35" t="str">
        <f>IF(ISNONTEXT(deployment_raw[[#This Row],[Column1]]), "", deployment_raw[[#This Row],[Column1]])</f>
        <v/>
      </c>
      <c r="B694" s="36" t="str">
        <f>IF(ISNONTEXT(deployment_raw[[#This Row],[Column2]]), "", deployment_raw[[#This Row],[Column2]])</f>
        <v/>
      </c>
      <c r="C694" s="36" t="str">
        <f>IF(ISNONTEXT(deployment_raw[[#This Row],[Column3]]), "", deployment_raw[[#This Row],[Column3]])</f>
        <v/>
      </c>
      <c r="D694" s="36" t="str">
        <f>IF(ISNONTEXT(deployment_raw[[#This Row],[Column4]]), "", deployment_raw[[#This Row],[Column4]])</f>
        <v/>
      </c>
      <c r="E694" s="37" t="str">
        <f>IF(ISNUMBER(deployment_raw[[#This Row],[Column5]]), deployment_raw[[#This Row],[Column5]],"")</f>
        <v/>
      </c>
      <c r="F694" s="94" t="str">
        <f>IF(ISNUMBER(deployment_raw[[#This Row],[Column6]]), (deployment_raw[[#This Row],[Column6]] * IF($E$2="Deployment",deployment_raw[[#This Row],[Column5]],1)),"")</f>
        <v/>
      </c>
      <c r="G694" s="95" t="str">
        <f>IF(ISNUMBER(deployment_raw[[#This Row],[Column7]]), (deployment_raw[[#This Row],[Column7]] * IF($E$2="Deployment",deployment_raw[[#This Row],[Column5]],1))/1048576,"")</f>
        <v/>
      </c>
      <c r="H694" s="95" t="str">
        <f>IF(ISNUMBER(deployment_raw[[#This Row],[Column8]]), (deployment_raw[[#This Row],[Column8]]  * IF($E$2="Deployment",deployment_raw[[#This Row],[Column5]],1)),"")</f>
        <v/>
      </c>
      <c r="I694" s="96" t="str">
        <f>IF(ISNUMBER(deployment_raw[[#This Row],[Column9]]), (deployment_raw[[#This Row],[Column9]] * IF($E$2="Deployment",deployment_raw[[#This Row],[Column5]],1))/1048576,"")</f>
        <v/>
      </c>
      <c r="J694" s="122" t="str">
        <f>IF(ISNUMBER(deployment_raw[[#This Row],[Column10]]), (MIN(IF(N694&lt;&gt;"",N694,9999999999999)*1.1,deployment_raw[[#This Row],[Column10]] * IF($E$2="Deployment",deployment_raw[[#This Row],[Column5]],1))),"")</f>
        <v/>
      </c>
      <c r="K694" s="123" t="str">
        <f>IF(ISNUMBER(deployment_raw[[#This Row],[Column11]]), (MIN(IF(O694&lt;&gt;"",O694,9999999999999)*1.1,deployment_raw[[#This Row],[Column11]] * IF($E$2="Deployment",deployment_raw[[#This Row],[Column5]],1)/1048576)),"")</f>
        <v/>
      </c>
      <c r="L694" s="124" t="str">
        <f>IF(ISNUMBER(deployment_raw[[#This Row],[Column8]]),IF(OR(deployment_raw[[#This Row],[Column5]] &lt;&gt; 0,$E$2 &lt;&gt; "Deployment"), MAX(J694, P694, R694, ($L$2 * IF($E$2="Deployment",deployment_raw[[#This Row],[Column5]],1)),IF(T694&lt;&gt;"",VALUE(T694) * IF($E$2="Deployment",deployment_raw[[#This Row],[Column5]],1),0)), 0),"")</f>
        <v/>
      </c>
      <c r="M694" s="125" t="str">
        <f>IF(ISNUMBER(deployment_raw[[#This Row],[Column9]]),IF(OR(deployment_raw[[#This Row],[Column5]] &lt;&gt; 0,$E$2&lt;&gt;"Deployment"), MAX(K694, Q694, S694, ($M$2 * IF($E$2="Deployment",deployment_raw[[#This Row],[Column5]],1)),IF(U694&lt;&gt;"",VALUE(U694) * IF($E$2="Deployment",deployment_raw[[#This Row],[Column5]],1),0)), 0),"")</f>
        <v/>
      </c>
      <c r="N694" s="166" t="str">
        <f>IF(ISNUMBER(deployment_raw[[#This Row],[Column14]]), deployment_raw[[#This Row],[Column14]]/IF(OR($E$2="Deployment",deployment_raw[[#This Row],[Column5]]=0),1,deployment_raw[[#This Row],[Column5]]),"")</f>
        <v/>
      </c>
      <c r="O694" s="167" t="str">
        <f>IF(ISNUMBER(deployment_raw[[#This Row],[Column15]]), deployment_raw[[#This Row],[Column15]]/IF(OR($E$2="Deployment",deployment_raw[[#This Row],[Column5]]=0),1,deployment_raw[[#This Row],[Column5]])/1048576,"")</f>
        <v/>
      </c>
      <c r="P694" s="168" t="str">
        <f>IF(ISNUMBER(deployment_raw[[#This Row],[Column12]]), (MIN(IF(N694&lt;&gt;"",N694,9999999999999)*1.1,deployment_raw[[#This Row],[Column12]] * IF($E$2="Deployment",deployment_raw[[#This Row],[Column5]],1))*(1+$P$2)),"")</f>
        <v/>
      </c>
      <c r="Q694" s="167" t="str">
        <f>IF(ISNUMBER(deployment_raw[[#This Row],[Column13]]), (MIN(IF(O694&lt;&gt;"",O694,9999999999999)*1.1,deployment_raw[[#This Row],[Column13]] * IF($E$2="Deployment",deployment_raw[[#This Row],[Column5]],1)*(1+$Q$2)/1048576)),"")</f>
        <v/>
      </c>
      <c r="R694" s="169" t="str">
        <f>IF(ISNUMBER(deployment_raw[[#This Row],[Column8]]), (H694  * IF(N694&lt;&gt;0,$R$2,1)),"")</f>
        <v/>
      </c>
      <c r="S694" s="170" t="str">
        <f>IF(ISNUMBER(deployment_raw[[#This Row],[Column8]]), (I694  * IF(O694&lt;&gt;0,$S$2,1)),"")</f>
        <v/>
      </c>
      <c r="T694" s="202" t="str">
        <f>IF(AND(A694&lt;&gt;"",_xlfn.IFNA(MATCH(A694,'dynamic resource application '!$A$2:$A$100, 0),0)&lt;&gt;0), H694/(IF($E$2="Deployment",E694,1)),"")</f>
        <v/>
      </c>
      <c r="U694" s="211" t="str">
        <f>IF(AND(A694&lt;&gt;"",_xlfn.IFNA(MATCH(A694,'dynamic resource application '!$A$2:$A$100, 0),0)&lt;&gt;0), I694/(IF($E$2="Deployment",E694,1)),"")</f>
        <v/>
      </c>
    </row>
    <row r="695" spans="1:21" ht="15.75" customHeight="1" x14ac:dyDescent="0.25">
      <c r="A695" s="35" t="str">
        <f>IF(ISNONTEXT(deployment_raw[[#This Row],[Column1]]), "", deployment_raw[[#This Row],[Column1]])</f>
        <v/>
      </c>
      <c r="B695" s="36" t="str">
        <f>IF(ISNONTEXT(deployment_raw[[#This Row],[Column2]]), "", deployment_raw[[#This Row],[Column2]])</f>
        <v/>
      </c>
      <c r="C695" s="36" t="str">
        <f>IF(ISNONTEXT(deployment_raw[[#This Row],[Column3]]), "", deployment_raw[[#This Row],[Column3]])</f>
        <v/>
      </c>
      <c r="D695" s="36" t="str">
        <f>IF(ISNONTEXT(deployment_raw[[#This Row],[Column4]]), "", deployment_raw[[#This Row],[Column4]])</f>
        <v/>
      </c>
      <c r="E695" s="37" t="str">
        <f>IF(ISNUMBER(deployment_raw[[#This Row],[Column5]]), deployment_raw[[#This Row],[Column5]],"")</f>
        <v/>
      </c>
      <c r="F695" s="94" t="str">
        <f>IF(ISNUMBER(deployment_raw[[#This Row],[Column6]]), (deployment_raw[[#This Row],[Column6]] * IF($E$2="Deployment",deployment_raw[[#This Row],[Column5]],1)),"")</f>
        <v/>
      </c>
      <c r="G695" s="95" t="str">
        <f>IF(ISNUMBER(deployment_raw[[#This Row],[Column7]]), (deployment_raw[[#This Row],[Column7]] * IF($E$2="Deployment",deployment_raw[[#This Row],[Column5]],1))/1048576,"")</f>
        <v/>
      </c>
      <c r="H695" s="95" t="str">
        <f>IF(ISNUMBER(deployment_raw[[#This Row],[Column8]]), (deployment_raw[[#This Row],[Column8]]  * IF($E$2="Deployment",deployment_raw[[#This Row],[Column5]],1)),"")</f>
        <v/>
      </c>
      <c r="I695" s="96" t="str">
        <f>IF(ISNUMBER(deployment_raw[[#This Row],[Column9]]), (deployment_raw[[#This Row],[Column9]] * IF($E$2="Deployment",deployment_raw[[#This Row],[Column5]],1))/1048576,"")</f>
        <v/>
      </c>
      <c r="J695" s="122" t="str">
        <f>IF(ISNUMBER(deployment_raw[[#This Row],[Column10]]), (MIN(IF(N695&lt;&gt;"",N695,9999999999999)*1.1,deployment_raw[[#This Row],[Column10]] * IF($E$2="Deployment",deployment_raw[[#This Row],[Column5]],1))),"")</f>
        <v/>
      </c>
      <c r="K695" s="123" t="str">
        <f>IF(ISNUMBER(deployment_raw[[#This Row],[Column11]]), (MIN(IF(O695&lt;&gt;"",O695,9999999999999)*1.1,deployment_raw[[#This Row],[Column11]] * IF($E$2="Deployment",deployment_raw[[#This Row],[Column5]],1)/1048576)),"")</f>
        <v/>
      </c>
      <c r="L695" s="124" t="str">
        <f>IF(ISNUMBER(deployment_raw[[#This Row],[Column8]]),IF(OR(deployment_raw[[#This Row],[Column5]] &lt;&gt; 0,$E$2 &lt;&gt; "Deployment"), MAX(J695, P695, R695, ($L$2 * IF($E$2="Deployment",deployment_raw[[#This Row],[Column5]],1)),IF(T695&lt;&gt;"",VALUE(T695) * IF($E$2="Deployment",deployment_raw[[#This Row],[Column5]],1),0)), 0),"")</f>
        <v/>
      </c>
      <c r="M695" s="125" t="str">
        <f>IF(ISNUMBER(deployment_raw[[#This Row],[Column9]]),IF(OR(deployment_raw[[#This Row],[Column5]] &lt;&gt; 0,$E$2&lt;&gt;"Deployment"), MAX(K695, Q695, S695, ($M$2 * IF($E$2="Deployment",deployment_raw[[#This Row],[Column5]],1)),IF(U695&lt;&gt;"",VALUE(U695) * IF($E$2="Deployment",deployment_raw[[#This Row],[Column5]],1),0)), 0),"")</f>
        <v/>
      </c>
      <c r="N695" s="166" t="str">
        <f>IF(ISNUMBER(deployment_raw[[#This Row],[Column14]]), deployment_raw[[#This Row],[Column14]]/IF(OR($E$2="Deployment",deployment_raw[[#This Row],[Column5]]=0),1,deployment_raw[[#This Row],[Column5]]),"")</f>
        <v/>
      </c>
      <c r="O695" s="167" t="str">
        <f>IF(ISNUMBER(deployment_raw[[#This Row],[Column15]]), deployment_raw[[#This Row],[Column15]]/IF(OR($E$2="Deployment",deployment_raw[[#This Row],[Column5]]=0),1,deployment_raw[[#This Row],[Column5]])/1048576,"")</f>
        <v/>
      </c>
      <c r="P695" s="168" t="str">
        <f>IF(ISNUMBER(deployment_raw[[#This Row],[Column12]]), (MIN(IF(N695&lt;&gt;"",N695,9999999999999)*1.1,deployment_raw[[#This Row],[Column12]] * IF($E$2="Deployment",deployment_raw[[#This Row],[Column5]],1))*(1+$P$2)),"")</f>
        <v/>
      </c>
      <c r="Q695" s="167" t="str">
        <f>IF(ISNUMBER(deployment_raw[[#This Row],[Column13]]), (MIN(IF(O695&lt;&gt;"",O695,9999999999999)*1.1,deployment_raw[[#This Row],[Column13]] * IF($E$2="Deployment",deployment_raw[[#This Row],[Column5]],1)*(1+$Q$2)/1048576)),"")</f>
        <v/>
      </c>
      <c r="R695" s="169" t="str">
        <f>IF(ISNUMBER(deployment_raw[[#This Row],[Column8]]), (H695  * IF(N695&lt;&gt;0,$R$2,1)),"")</f>
        <v/>
      </c>
      <c r="S695" s="170" t="str">
        <f>IF(ISNUMBER(deployment_raw[[#This Row],[Column8]]), (I695  * IF(O695&lt;&gt;0,$S$2,1)),"")</f>
        <v/>
      </c>
      <c r="T695" s="202" t="str">
        <f>IF(AND(A695&lt;&gt;"",_xlfn.IFNA(MATCH(A695,'dynamic resource application '!$A$2:$A$100, 0),0)&lt;&gt;0), H695/(IF($E$2="Deployment",E695,1)),"")</f>
        <v/>
      </c>
      <c r="U695" s="211" t="str">
        <f>IF(AND(A695&lt;&gt;"",_xlfn.IFNA(MATCH(A695,'dynamic resource application '!$A$2:$A$100, 0),0)&lt;&gt;0), I695/(IF($E$2="Deployment",E695,1)),"")</f>
        <v/>
      </c>
    </row>
    <row r="696" spans="1:21" ht="15.75" customHeight="1" x14ac:dyDescent="0.25">
      <c r="A696" s="35" t="str">
        <f>IF(ISNONTEXT(deployment_raw[[#This Row],[Column1]]), "", deployment_raw[[#This Row],[Column1]])</f>
        <v/>
      </c>
      <c r="B696" s="36" t="str">
        <f>IF(ISNONTEXT(deployment_raw[[#This Row],[Column2]]), "", deployment_raw[[#This Row],[Column2]])</f>
        <v/>
      </c>
      <c r="C696" s="36" t="str">
        <f>IF(ISNONTEXT(deployment_raw[[#This Row],[Column3]]), "", deployment_raw[[#This Row],[Column3]])</f>
        <v/>
      </c>
      <c r="D696" s="36" t="str">
        <f>IF(ISNONTEXT(deployment_raw[[#This Row],[Column4]]), "", deployment_raw[[#This Row],[Column4]])</f>
        <v/>
      </c>
      <c r="E696" s="37" t="str">
        <f>IF(ISNUMBER(deployment_raw[[#This Row],[Column5]]), deployment_raw[[#This Row],[Column5]],"")</f>
        <v/>
      </c>
      <c r="F696" s="94" t="str">
        <f>IF(ISNUMBER(deployment_raw[[#This Row],[Column6]]), (deployment_raw[[#This Row],[Column6]] * IF($E$2="Deployment",deployment_raw[[#This Row],[Column5]],1)),"")</f>
        <v/>
      </c>
      <c r="G696" s="95" t="str">
        <f>IF(ISNUMBER(deployment_raw[[#This Row],[Column7]]), (deployment_raw[[#This Row],[Column7]] * IF($E$2="Deployment",deployment_raw[[#This Row],[Column5]],1))/1048576,"")</f>
        <v/>
      </c>
      <c r="H696" s="95" t="str">
        <f>IF(ISNUMBER(deployment_raw[[#This Row],[Column8]]), (deployment_raw[[#This Row],[Column8]]  * IF($E$2="Deployment",deployment_raw[[#This Row],[Column5]],1)),"")</f>
        <v/>
      </c>
      <c r="I696" s="96" t="str">
        <f>IF(ISNUMBER(deployment_raw[[#This Row],[Column9]]), (deployment_raw[[#This Row],[Column9]] * IF($E$2="Deployment",deployment_raw[[#This Row],[Column5]],1))/1048576,"")</f>
        <v/>
      </c>
      <c r="J696" s="122" t="str">
        <f>IF(ISNUMBER(deployment_raw[[#This Row],[Column10]]), (MIN(IF(N696&lt;&gt;"",N696,9999999999999)*1.1,deployment_raw[[#This Row],[Column10]] * IF($E$2="Deployment",deployment_raw[[#This Row],[Column5]],1))),"")</f>
        <v/>
      </c>
      <c r="K696" s="123" t="str">
        <f>IF(ISNUMBER(deployment_raw[[#This Row],[Column11]]), (MIN(IF(O696&lt;&gt;"",O696,9999999999999)*1.1,deployment_raw[[#This Row],[Column11]] * IF($E$2="Deployment",deployment_raw[[#This Row],[Column5]],1)/1048576)),"")</f>
        <v/>
      </c>
      <c r="L696" s="124" t="str">
        <f>IF(ISNUMBER(deployment_raw[[#This Row],[Column8]]),IF(OR(deployment_raw[[#This Row],[Column5]] &lt;&gt; 0,$E$2 &lt;&gt; "Deployment"), MAX(J696, P696, R696, ($L$2 * IF($E$2="Deployment",deployment_raw[[#This Row],[Column5]],1)),IF(T696&lt;&gt;"",VALUE(T696) * IF($E$2="Deployment",deployment_raw[[#This Row],[Column5]],1),0)), 0),"")</f>
        <v/>
      </c>
      <c r="M696" s="125" t="str">
        <f>IF(ISNUMBER(deployment_raw[[#This Row],[Column9]]),IF(OR(deployment_raw[[#This Row],[Column5]] &lt;&gt; 0,$E$2&lt;&gt;"Deployment"), MAX(K696, Q696, S696, ($M$2 * IF($E$2="Deployment",deployment_raw[[#This Row],[Column5]],1)),IF(U696&lt;&gt;"",VALUE(U696) * IF($E$2="Deployment",deployment_raw[[#This Row],[Column5]],1),0)), 0),"")</f>
        <v/>
      </c>
      <c r="N696" s="166" t="str">
        <f>IF(ISNUMBER(deployment_raw[[#This Row],[Column14]]), deployment_raw[[#This Row],[Column14]]/IF(OR($E$2="Deployment",deployment_raw[[#This Row],[Column5]]=0),1,deployment_raw[[#This Row],[Column5]]),"")</f>
        <v/>
      </c>
      <c r="O696" s="167" t="str">
        <f>IF(ISNUMBER(deployment_raw[[#This Row],[Column15]]), deployment_raw[[#This Row],[Column15]]/IF(OR($E$2="Deployment",deployment_raw[[#This Row],[Column5]]=0),1,deployment_raw[[#This Row],[Column5]])/1048576,"")</f>
        <v/>
      </c>
      <c r="P696" s="168" t="str">
        <f>IF(ISNUMBER(deployment_raw[[#This Row],[Column12]]), (MIN(IF(N696&lt;&gt;"",N696,9999999999999)*1.1,deployment_raw[[#This Row],[Column12]] * IF($E$2="Deployment",deployment_raw[[#This Row],[Column5]],1))*(1+$P$2)),"")</f>
        <v/>
      </c>
      <c r="Q696" s="167" t="str">
        <f>IF(ISNUMBER(deployment_raw[[#This Row],[Column13]]), (MIN(IF(O696&lt;&gt;"",O696,9999999999999)*1.1,deployment_raw[[#This Row],[Column13]] * IF($E$2="Deployment",deployment_raw[[#This Row],[Column5]],1)*(1+$Q$2)/1048576)),"")</f>
        <v/>
      </c>
      <c r="R696" s="169" t="str">
        <f>IF(ISNUMBER(deployment_raw[[#This Row],[Column8]]), (H696  * IF(N696&lt;&gt;0,$R$2,1)),"")</f>
        <v/>
      </c>
      <c r="S696" s="170" t="str">
        <f>IF(ISNUMBER(deployment_raw[[#This Row],[Column8]]), (I696  * IF(O696&lt;&gt;0,$S$2,1)),"")</f>
        <v/>
      </c>
      <c r="T696" s="202" t="str">
        <f>IF(AND(A696&lt;&gt;"",_xlfn.IFNA(MATCH(A696,'dynamic resource application '!$A$2:$A$100, 0),0)&lt;&gt;0), H696/(IF($E$2="Deployment",E696,1)),"")</f>
        <v/>
      </c>
      <c r="U696" s="211" t="str">
        <f>IF(AND(A696&lt;&gt;"",_xlfn.IFNA(MATCH(A696,'dynamic resource application '!$A$2:$A$100, 0),0)&lt;&gt;0), I696/(IF($E$2="Deployment",E696,1)),"")</f>
        <v/>
      </c>
    </row>
    <row r="697" spans="1:21" ht="15.75" customHeight="1" x14ac:dyDescent="0.25">
      <c r="A697" s="35" t="str">
        <f>IF(ISNONTEXT(deployment_raw[[#This Row],[Column1]]), "", deployment_raw[[#This Row],[Column1]])</f>
        <v/>
      </c>
      <c r="B697" s="36" t="str">
        <f>IF(ISNONTEXT(deployment_raw[[#This Row],[Column2]]), "", deployment_raw[[#This Row],[Column2]])</f>
        <v/>
      </c>
      <c r="C697" s="36" t="str">
        <f>IF(ISNONTEXT(deployment_raw[[#This Row],[Column3]]), "", deployment_raw[[#This Row],[Column3]])</f>
        <v/>
      </c>
      <c r="D697" s="36" t="str">
        <f>IF(ISNONTEXT(deployment_raw[[#This Row],[Column4]]), "", deployment_raw[[#This Row],[Column4]])</f>
        <v/>
      </c>
      <c r="E697" s="37" t="str">
        <f>IF(ISNUMBER(deployment_raw[[#This Row],[Column5]]), deployment_raw[[#This Row],[Column5]],"")</f>
        <v/>
      </c>
      <c r="F697" s="94" t="str">
        <f>IF(ISNUMBER(deployment_raw[[#This Row],[Column6]]), (deployment_raw[[#This Row],[Column6]] * IF($E$2="Deployment",deployment_raw[[#This Row],[Column5]],1)),"")</f>
        <v/>
      </c>
      <c r="G697" s="95" t="str">
        <f>IF(ISNUMBER(deployment_raw[[#This Row],[Column7]]), (deployment_raw[[#This Row],[Column7]] * IF($E$2="Deployment",deployment_raw[[#This Row],[Column5]],1))/1048576,"")</f>
        <v/>
      </c>
      <c r="H697" s="95" t="str">
        <f>IF(ISNUMBER(deployment_raw[[#This Row],[Column8]]), (deployment_raw[[#This Row],[Column8]]  * IF($E$2="Deployment",deployment_raw[[#This Row],[Column5]],1)),"")</f>
        <v/>
      </c>
      <c r="I697" s="96" t="str">
        <f>IF(ISNUMBER(deployment_raw[[#This Row],[Column9]]), (deployment_raw[[#This Row],[Column9]] * IF($E$2="Deployment",deployment_raw[[#This Row],[Column5]],1))/1048576,"")</f>
        <v/>
      </c>
      <c r="J697" s="122" t="str">
        <f>IF(ISNUMBER(deployment_raw[[#This Row],[Column10]]), (MIN(IF(N697&lt;&gt;"",N697,9999999999999)*1.1,deployment_raw[[#This Row],[Column10]] * IF($E$2="Deployment",deployment_raw[[#This Row],[Column5]],1))),"")</f>
        <v/>
      </c>
      <c r="K697" s="123" t="str">
        <f>IF(ISNUMBER(deployment_raw[[#This Row],[Column11]]), (MIN(IF(O697&lt;&gt;"",O697,9999999999999)*1.1,deployment_raw[[#This Row],[Column11]] * IF($E$2="Deployment",deployment_raw[[#This Row],[Column5]],1)/1048576)),"")</f>
        <v/>
      </c>
      <c r="L697" s="124" t="str">
        <f>IF(ISNUMBER(deployment_raw[[#This Row],[Column8]]),IF(OR(deployment_raw[[#This Row],[Column5]] &lt;&gt; 0,$E$2 &lt;&gt; "Deployment"), MAX(J697, P697, R697, ($L$2 * IF($E$2="Deployment",deployment_raw[[#This Row],[Column5]],1)),IF(T697&lt;&gt;"",VALUE(T697) * IF($E$2="Deployment",deployment_raw[[#This Row],[Column5]],1),0)), 0),"")</f>
        <v/>
      </c>
      <c r="M697" s="125" t="str">
        <f>IF(ISNUMBER(deployment_raw[[#This Row],[Column9]]),IF(OR(deployment_raw[[#This Row],[Column5]] &lt;&gt; 0,$E$2&lt;&gt;"Deployment"), MAX(K697, Q697, S697, ($M$2 * IF($E$2="Deployment",deployment_raw[[#This Row],[Column5]],1)),IF(U697&lt;&gt;"",VALUE(U697) * IF($E$2="Deployment",deployment_raw[[#This Row],[Column5]],1),0)), 0),"")</f>
        <v/>
      </c>
      <c r="N697" s="166" t="str">
        <f>IF(ISNUMBER(deployment_raw[[#This Row],[Column14]]), deployment_raw[[#This Row],[Column14]]/IF(OR($E$2="Deployment",deployment_raw[[#This Row],[Column5]]=0),1,deployment_raw[[#This Row],[Column5]]),"")</f>
        <v/>
      </c>
      <c r="O697" s="167" t="str">
        <f>IF(ISNUMBER(deployment_raw[[#This Row],[Column15]]), deployment_raw[[#This Row],[Column15]]/IF(OR($E$2="Deployment",deployment_raw[[#This Row],[Column5]]=0),1,deployment_raw[[#This Row],[Column5]])/1048576,"")</f>
        <v/>
      </c>
      <c r="P697" s="168" t="str">
        <f>IF(ISNUMBER(deployment_raw[[#This Row],[Column12]]), (MIN(IF(N697&lt;&gt;"",N697,9999999999999)*1.1,deployment_raw[[#This Row],[Column12]] * IF($E$2="Deployment",deployment_raw[[#This Row],[Column5]],1))*(1+$P$2)),"")</f>
        <v/>
      </c>
      <c r="Q697" s="167" t="str">
        <f>IF(ISNUMBER(deployment_raw[[#This Row],[Column13]]), (MIN(IF(O697&lt;&gt;"",O697,9999999999999)*1.1,deployment_raw[[#This Row],[Column13]] * IF($E$2="Deployment",deployment_raw[[#This Row],[Column5]],1)*(1+$Q$2)/1048576)),"")</f>
        <v/>
      </c>
      <c r="R697" s="169" t="str">
        <f>IF(ISNUMBER(deployment_raw[[#This Row],[Column8]]), (H697  * IF(N697&lt;&gt;0,$R$2,1)),"")</f>
        <v/>
      </c>
      <c r="S697" s="170" t="str">
        <f>IF(ISNUMBER(deployment_raw[[#This Row],[Column8]]), (I697  * IF(O697&lt;&gt;0,$S$2,1)),"")</f>
        <v/>
      </c>
      <c r="T697" s="202" t="str">
        <f>IF(AND(A697&lt;&gt;"",_xlfn.IFNA(MATCH(A697,'dynamic resource application '!$A$2:$A$100, 0),0)&lt;&gt;0), H697/(IF($E$2="Deployment",E697,1)),"")</f>
        <v/>
      </c>
      <c r="U697" s="211" t="str">
        <f>IF(AND(A697&lt;&gt;"",_xlfn.IFNA(MATCH(A697,'dynamic resource application '!$A$2:$A$100, 0),0)&lt;&gt;0), I697/(IF($E$2="Deployment",E697,1)),"")</f>
        <v/>
      </c>
    </row>
    <row r="698" spans="1:21" ht="15.75" customHeight="1" x14ac:dyDescent="0.25">
      <c r="A698" s="35" t="str">
        <f>IF(ISNONTEXT(deployment_raw[[#This Row],[Column1]]), "", deployment_raw[[#This Row],[Column1]])</f>
        <v/>
      </c>
      <c r="B698" s="36" t="str">
        <f>IF(ISNONTEXT(deployment_raw[[#This Row],[Column2]]), "", deployment_raw[[#This Row],[Column2]])</f>
        <v/>
      </c>
      <c r="C698" s="36" t="str">
        <f>IF(ISNONTEXT(deployment_raw[[#This Row],[Column3]]), "", deployment_raw[[#This Row],[Column3]])</f>
        <v/>
      </c>
      <c r="D698" s="36" t="str">
        <f>IF(ISNONTEXT(deployment_raw[[#This Row],[Column4]]), "", deployment_raw[[#This Row],[Column4]])</f>
        <v/>
      </c>
      <c r="E698" s="37" t="str">
        <f>IF(ISNUMBER(deployment_raw[[#This Row],[Column5]]), deployment_raw[[#This Row],[Column5]],"")</f>
        <v/>
      </c>
      <c r="F698" s="94" t="str">
        <f>IF(ISNUMBER(deployment_raw[[#This Row],[Column6]]), (deployment_raw[[#This Row],[Column6]] * IF($E$2="Deployment",deployment_raw[[#This Row],[Column5]],1)),"")</f>
        <v/>
      </c>
      <c r="G698" s="95" t="str">
        <f>IF(ISNUMBER(deployment_raw[[#This Row],[Column7]]), (deployment_raw[[#This Row],[Column7]] * IF($E$2="Deployment",deployment_raw[[#This Row],[Column5]],1))/1048576,"")</f>
        <v/>
      </c>
      <c r="H698" s="95" t="str">
        <f>IF(ISNUMBER(deployment_raw[[#This Row],[Column8]]), (deployment_raw[[#This Row],[Column8]]  * IF($E$2="Deployment",deployment_raw[[#This Row],[Column5]],1)),"")</f>
        <v/>
      </c>
      <c r="I698" s="96" t="str">
        <f>IF(ISNUMBER(deployment_raw[[#This Row],[Column9]]), (deployment_raw[[#This Row],[Column9]] * IF($E$2="Deployment",deployment_raw[[#This Row],[Column5]],1))/1048576,"")</f>
        <v/>
      </c>
      <c r="J698" s="122" t="str">
        <f>IF(ISNUMBER(deployment_raw[[#This Row],[Column10]]), (MIN(IF(N698&lt;&gt;"",N698,9999999999999)*1.1,deployment_raw[[#This Row],[Column10]] * IF($E$2="Deployment",deployment_raw[[#This Row],[Column5]],1))),"")</f>
        <v/>
      </c>
      <c r="K698" s="123" t="str">
        <f>IF(ISNUMBER(deployment_raw[[#This Row],[Column11]]), (MIN(IF(O698&lt;&gt;"",O698,9999999999999)*1.1,deployment_raw[[#This Row],[Column11]] * IF($E$2="Deployment",deployment_raw[[#This Row],[Column5]],1)/1048576)),"")</f>
        <v/>
      </c>
      <c r="L698" s="124" t="str">
        <f>IF(ISNUMBER(deployment_raw[[#This Row],[Column8]]),IF(OR(deployment_raw[[#This Row],[Column5]] &lt;&gt; 0,$E$2 &lt;&gt; "Deployment"), MAX(J698, P698, R698, ($L$2 * IF($E$2="Deployment",deployment_raw[[#This Row],[Column5]],1)),IF(T698&lt;&gt;"",VALUE(T698) * IF($E$2="Deployment",deployment_raw[[#This Row],[Column5]],1),0)), 0),"")</f>
        <v/>
      </c>
      <c r="M698" s="125" t="str">
        <f>IF(ISNUMBER(deployment_raw[[#This Row],[Column9]]),IF(OR(deployment_raw[[#This Row],[Column5]] &lt;&gt; 0,$E$2&lt;&gt;"Deployment"), MAX(K698, Q698, S698, ($M$2 * IF($E$2="Deployment",deployment_raw[[#This Row],[Column5]],1)),IF(U698&lt;&gt;"",VALUE(U698) * IF($E$2="Deployment",deployment_raw[[#This Row],[Column5]],1),0)), 0),"")</f>
        <v/>
      </c>
      <c r="N698" s="166" t="str">
        <f>IF(ISNUMBER(deployment_raw[[#This Row],[Column14]]), deployment_raw[[#This Row],[Column14]]/IF(OR($E$2="Deployment",deployment_raw[[#This Row],[Column5]]=0),1,deployment_raw[[#This Row],[Column5]]),"")</f>
        <v/>
      </c>
      <c r="O698" s="167" t="str">
        <f>IF(ISNUMBER(deployment_raw[[#This Row],[Column15]]), deployment_raw[[#This Row],[Column15]]/IF(OR($E$2="Deployment",deployment_raw[[#This Row],[Column5]]=0),1,deployment_raw[[#This Row],[Column5]])/1048576,"")</f>
        <v/>
      </c>
      <c r="P698" s="168" t="str">
        <f>IF(ISNUMBER(deployment_raw[[#This Row],[Column12]]), (MIN(IF(N698&lt;&gt;"",N698,9999999999999)*1.1,deployment_raw[[#This Row],[Column12]] * IF($E$2="Deployment",deployment_raw[[#This Row],[Column5]],1))*(1+$P$2)),"")</f>
        <v/>
      </c>
      <c r="Q698" s="167" t="str">
        <f>IF(ISNUMBER(deployment_raw[[#This Row],[Column13]]), (MIN(IF(O698&lt;&gt;"",O698,9999999999999)*1.1,deployment_raw[[#This Row],[Column13]] * IF($E$2="Deployment",deployment_raw[[#This Row],[Column5]],1)*(1+$Q$2)/1048576)),"")</f>
        <v/>
      </c>
      <c r="R698" s="169" t="str">
        <f>IF(ISNUMBER(deployment_raw[[#This Row],[Column8]]), (H698  * IF(N698&lt;&gt;0,$R$2,1)),"")</f>
        <v/>
      </c>
      <c r="S698" s="170" t="str">
        <f>IF(ISNUMBER(deployment_raw[[#This Row],[Column8]]), (I698  * IF(O698&lt;&gt;0,$S$2,1)),"")</f>
        <v/>
      </c>
      <c r="T698" s="202" t="str">
        <f>IF(AND(A698&lt;&gt;"",_xlfn.IFNA(MATCH(A698,'dynamic resource application '!$A$2:$A$100, 0),0)&lt;&gt;0), H698/(IF($E$2="Deployment",E698,1)),"")</f>
        <v/>
      </c>
      <c r="U698" s="211" t="str">
        <f>IF(AND(A698&lt;&gt;"",_xlfn.IFNA(MATCH(A698,'dynamic resource application '!$A$2:$A$100, 0),0)&lt;&gt;0), I698/(IF($E$2="Deployment",E698,1)),"")</f>
        <v/>
      </c>
    </row>
    <row r="699" spans="1:21" ht="15.75" customHeight="1" x14ac:dyDescent="0.25">
      <c r="A699" s="35" t="str">
        <f>IF(ISNONTEXT(deployment_raw[[#This Row],[Column1]]), "", deployment_raw[[#This Row],[Column1]])</f>
        <v/>
      </c>
      <c r="B699" s="36" t="str">
        <f>IF(ISNONTEXT(deployment_raw[[#This Row],[Column2]]), "", deployment_raw[[#This Row],[Column2]])</f>
        <v/>
      </c>
      <c r="C699" s="36" t="str">
        <f>IF(ISNONTEXT(deployment_raw[[#This Row],[Column3]]), "", deployment_raw[[#This Row],[Column3]])</f>
        <v/>
      </c>
      <c r="D699" s="36" t="str">
        <f>IF(ISNONTEXT(deployment_raw[[#This Row],[Column4]]), "", deployment_raw[[#This Row],[Column4]])</f>
        <v/>
      </c>
      <c r="E699" s="37" t="str">
        <f>IF(ISNUMBER(deployment_raw[[#This Row],[Column5]]), deployment_raw[[#This Row],[Column5]],"")</f>
        <v/>
      </c>
      <c r="F699" s="94" t="str">
        <f>IF(ISNUMBER(deployment_raw[[#This Row],[Column6]]), (deployment_raw[[#This Row],[Column6]] * IF($E$2="Deployment",deployment_raw[[#This Row],[Column5]],1)),"")</f>
        <v/>
      </c>
      <c r="G699" s="95" t="str">
        <f>IF(ISNUMBER(deployment_raw[[#This Row],[Column7]]), (deployment_raw[[#This Row],[Column7]] * IF($E$2="Deployment",deployment_raw[[#This Row],[Column5]],1))/1048576,"")</f>
        <v/>
      </c>
      <c r="H699" s="95" t="str">
        <f>IF(ISNUMBER(deployment_raw[[#This Row],[Column8]]), (deployment_raw[[#This Row],[Column8]]  * IF($E$2="Deployment",deployment_raw[[#This Row],[Column5]],1)),"")</f>
        <v/>
      </c>
      <c r="I699" s="96" t="str">
        <f>IF(ISNUMBER(deployment_raw[[#This Row],[Column9]]), (deployment_raw[[#This Row],[Column9]] * IF($E$2="Deployment",deployment_raw[[#This Row],[Column5]],1))/1048576,"")</f>
        <v/>
      </c>
      <c r="J699" s="122" t="str">
        <f>IF(ISNUMBER(deployment_raw[[#This Row],[Column10]]), (MIN(IF(N699&lt;&gt;"",N699,9999999999999)*1.1,deployment_raw[[#This Row],[Column10]] * IF($E$2="Deployment",deployment_raw[[#This Row],[Column5]],1))),"")</f>
        <v/>
      </c>
      <c r="K699" s="123" t="str">
        <f>IF(ISNUMBER(deployment_raw[[#This Row],[Column11]]), (MIN(IF(O699&lt;&gt;"",O699,9999999999999)*1.1,deployment_raw[[#This Row],[Column11]] * IF($E$2="Deployment",deployment_raw[[#This Row],[Column5]],1)/1048576)),"")</f>
        <v/>
      </c>
      <c r="L699" s="124" t="str">
        <f>IF(ISNUMBER(deployment_raw[[#This Row],[Column8]]),IF(OR(deployment_raw[[#This Row],[Column5]] &lt;&gt; 0,$E$2 &lt;&gt; "Deployment"), MAX(J699, P699, R699, ($L$2 * IF($E$2="Deployment",deployment_raw[[#This Row],[Column5]],1)),IF(T699&lt;&gt;"",VALUE(T699) * IF($E$2="Deployment",deployment_raw[[#This Row],[Column5]],1),0)), 0),"")</f>
        <v/>
      </c>
      <c r="M699" s="125" t="str">
        <f>IF(ISNUMBER(deployment_raw[[#This Row],[Column9]]),IF(OR(deployment_raw[[#This Row],[Column5]] &lt;&gt; 0,$E$2&lt;&gt;"Deployment"), MAX(K699, Q699, S699, ($M$2 * IF($E$2="Deployment",deployment_raw[[#This Row],[Column5]],1)),IF(U699&lt;&gt;"",VALUE(U699) * IF($E$2="Deployment",deployment_raw[[#This Row],[Column5]],1),0)), 0),"")</f>
        <v/>
      </c>
      <c r="N699" s="166" t="str">
        <f>IF(ISNUMBER(deployment_raw[[#This Row],[Column14]]), deployment_raw[[#This Row],[Column14]]/IF(OR($E$2="Deployment",deployment_raw[[#This Row],[Column5]]=0),1,deployment_raw[[#This Row],[Column5]]),"")</f>
        <v/>
      </c>
      <c r="O699" s="167" t="str">
        <f>IF(ISNUMBER(deployment_raw[[#This Row],[Column15]]), deployment_raw[[#This Row],[Column15]]/IF(OR($E$2="Deployment",deployment_raw[[#This Row],[Column5]]=0),1,deployment_raw[[#This Row],[Column5]])/1048576,"")</f>
        <v/>
      </c>
      <c r="P699" s="168" t="str">
        <f>IF(ISNUMBER(deployment_raw[[#This Row],[Column12]]), (MIN(IF(N699&lt;&gt;"",N699,9999999999999)*1.1,deployment_raw[[#This Row],[Column12]] * IF($E$2="Deployment",deployment_raw[[#This Row],[Column5]],1))*(1+$P$2)),"")</f>
        <v/>
      </c>
      <c r="Q699" s="167" t="str">
        <f>IF(ISNUMBER(deployment_raw[[#This Row],[Column13]]), (MIN(IF(O699&lt;&gt;"",O699,9999999999999)*1.1,deployment_raw[[#This Row],[Column13]] * IF($E$2="Deployment",deployment_raw[[#This Row],[Column5]],1)*(1+$Q$2)/1048576)),"")</f>
        <v/>
      </c>
      <c r="R699" s="169" t="str">
        <f>IF(ISNUMBER(deployment_raw[[#This Row],[Column8]]), (H699  * IF(N699&lt;&gt;0,$R$2,1)),"")</f>
        <v/>
      </c>
      <c r="S699" s="170" t="str">
        <f>IF(ISNUMBER(deployment_raw[[#This Row],[Column8]]), (I699  * IF(O699&lt;&gt;0,$S$2,1)),"")</f>
        <v/>
      </c>
      <c r="T699" s="202" t="str">
        <f>IF(AND(A699&lt;&gt;"",_xlfn.IFNA(MATCH(A699,'dynamic resource application '!$A$2:$A$100, 0),0)&lt;&gt;0), H699/(IF($E$2="Deployment",E699,1)),"")</f>
        <v/>
      </c>
      <c r="U699" s="211" t="str">
        <f>IF(AND(A699&lt;&gt;"",_xlfn.IFNA(MATCH(A699,'dynamic resource application '!$A$2:$A$100, 0),0)&lt;&gt;0), I699/(IF($E$2="Deployment",E699,1)),"")</f>
        <v/>
      </c>
    </row>
    <row r="700" spans="1:21" ht="15.75" customHeight="1" x14ac:dyDescent="0.25">
      <c r="A700" s="35" t="str">
        <f>IF(ISNONTEXT(deployment_raw[[#This Row],[Column1]]), "", deployment_raw[[#This Row],[Column1]])</f>
        <v/>
      </c>
      <c r="B700" s="36" t="str">
        <f>IF(ISNONTEXT(deployment_raw[[#This Row],[Column2]]), "", deployment_raw[[#This Row],[Column2]])</f>
        <v/>
      </c>
      <c r="C700" s="36" t="str">
        <f>IF(ISNONTEXT(deployment_raw[[#This Row],[Column3]]), "", deployment_raw[[#This Row],[Column3]])</f>
        <v/>
      </c>
      <c r="D700" s="36" t="str">
        <f>IF(ISNONTEXT(deployment_raw[[#This Row],[Column4]]), "", deployment_raw[[#This Row],[Column4]])</f>
        <v/>
      </c>
      <c r="E700" s="37" t="str">
        <f>IF(ISNUMBER(deployment_raw[[#This Row],[Column5]]), deployment_raw[[#This Row],[Column5]],"")</f>
        <v/>
      </c>
      <c r="F700" s="94" t="str">
        <f>IF(ISNUMBER(deployment_raw[[#This Row],[Column6]]), (deployment_raw[[#This Row],[Column6]] * IF($E$2="Deployment",deployment_raw[[#This Row],[Column5]],1)),"")</f>
        <v/>
      </c>
      <c r="G700" s="95" t="str">
        <f>IF(ISNUMBER(deployment_raw[[#This Row],[Column7]]), (deployment_raw[[#This Row],[Column7]] * IF($E$2="Deployment",deployment_raw[[#This Row],[Column5]],1))/1048576,"")</f>
        <v/>
      </c>
      <c r="H700" s="95" t="str">
        <f>IF(ISNUMBER(deployment_raw[[#This Row],[Column8]]), (deployment_raw[[#This Row],[Column8]]  * IF($E$2="Deployment",deployment_raw[[#This Row],[Column5]],1)),"")</f>
        <v/>
      </c>
      <c r="I700" s="96" t="str">
        <f>IF(ISNUMBER(deployment_raw[[#This Row],[Column9]]), (deployment_raw[[#This Row],[Column9]] * IF($E$2="Deployment",deployment_raw[[#This Row],[Column5]],1))/1048576,"")</f>
        <v/>
      </c>
      <c r="J700" s="122" t="str">
        <f>IF(ISNUMBER(deployment_raw[[#This Row],[Column10]]), (MIN(IF(N700&lt;&gt;"",N700,9999999999999)*1.1,deployment_raw[[#This Row],[Column10]] * IF($E$2="Deployment",deployment_raw[[#This Row],[Column5]],1))),"")</f>
        <v/>
      </c>
      <c r="K700" s="123" t="str">
        <f>IF(ISNUMBER(deployment_raw[[#This Row],[Column11]]), (MIN(IF(O700&lt;&gt;"",O700,9999999999999)*1.1,deployment_raw[[#This Row],[Column11]] * IF($E$2="Deployment",deployment_raw[[#This Row],[Column5]],1)/1048576)),"")</f>
        <v/>
      </c>
      <c r="L700" s="124" t="str">
        <f>IF(ISNUMBER(deployment_raw[[#This Row],[Column8]]),IF(OR(deployment_raw[[#This Row],[Column5]] &lt;&gt; 0,$E$2 &lt;&gt; "Deployment"), MAX(J700, P700, R700, ($L$2 * IF($E$2="Deployment",deployment_raw[[#This Row],[Column5]],1)),IF(T700&lt;&gt;"",VALUE(T700) * IF($E$2="Deployment",deployment_raw[[#This Row],[Column5]],1),0)), 0),"")</f>
        <v/>
      </c>
      <c r="M700" s="125" t="str">
        <f>IF(ISNUMBER(deployment_raw[[#This Row],[Column9]]),IF(OR(deployment_raw[[#This Row],[Column5]] &lt;&gt; 0,$E$2&lt;&gt;"Deployment"), MAX(K700, Q700, S700, ($M$2 * IF($E$2="Deployment",deployment_raw[[#This Row],[Column5]],1)),IF(U700&lt;&gt;"",VALUE(U700) * IF($E$2="Deployment",deployment_raw[[#This Row],[Column5]],1),0)), 0),"")</f>
        <v/>
      </c>
      <c r="N700" s="166" t="str">
        <f>IF(ISNUMBER(deployment_raw[[#This Row],[Column14]]), deployment_raw[[#This Row],[Column14]]/IF(OR($E$2="Deployment",deployment_raw[[#This Row],[Column5]]=0),1,deployment_raw[[#This Row],[Column5]]),"")</f>
        <v/>
      </c>
      <c r="O700" s="167" t="str">
        <f>IF(ISNUMBER(deployment_raw[[#This Row],[Column15]]), deployment_raw[[#This Row],[Column15]]/IF(OR($E$2="Deployment",deployment_raw[[#This Row],[Column5]]=0),1,deployment_raw[[#This Row],[Column5]])/1048576,"")</f>
        <v/>
      </c>
      <c r="P700" s="168" t="str">
        <f>IF(ISNUMBER(deployment_raw[[#This Row],[Column12]]), (MIN(IF(N700&lt;&gt;"",N700,9999999999999)*1.1,deployment_raw[[#This Row],[Column12]] * IF($E$2="Deployment",deployment_raw[[#This Row],[Column5]],1))*(1+$P$2)),"")</f>
        <v/>
      </c>
      <c r="Q700" s="167" t="str">
        <f>IF(ISNUMBER(deployment_raw[[#This Row],[Column13]]), (MIN(IF(O700&lt;&gt;"",O700,9999999999999)*1.1,deployment_raw[[#This Row],[Column13]] * IF($E$2="Deployment",deployment_raw[[#This Row],[Column5]],1)*(1+$Q$2)/1048576)),"")</f>
        <v/>
      </c>
      <c r="R700" s="169" t="str">
        <f>IF(ISNUMBER(deployment_raw[[#This Row],[Column8]]), (H700  * IF(N700&lt;&gt;0,$R$2,1)),"")</f>
        <v/>
      </c>
      <c r="S700" s="170" t="str">
        <f>IF(ISNUMBER(deployment_raw[[#This Row],[Column8]]), (I700  * IF(O700&lt;&gt;0,$S$2,1)),"")</f>
        <v/>
      </c>
      <c r="T700" s="202" t="str">
        <f>IF(AND(A700&lt;&gt;"",_xlfn.IFNA(MATCH(A700,'dynamic resource application '!$A$2:$A$100, 0),0)&lt;&gt;0), H700/(IF($E$2="Deployment",E700,1)),"")</f>
        <v/>
      </c>
      <c r="U700" s="211" t="str">
        <f>IF(AND(A700&lt;&gt;"",_xlfn.IFNA(MATCH(A700,'dynamic resource application '!$A$2:$A$100, 0),0)&lt;&gt;0), I700/(IF($E$2="Deployment",E700,1)),"")</f>
        <v/>
      </c>
    </row>
    <row r="701" spans="1:21" ht="15.75" customHeight="1" x14ac:dyDescent="0.25">
      <c r="A701" s="35" t="str">
        <f>IF(ISNONTEXT(deployment_raw[[#This Row],[Column1]]), "", deployment_raw[[#This Row],[Column1]])</f>
        <v/>
      </c>
      <c r="B701" s="36" t="str">
        <f>IF(ISNONTEXT(deployment_raw[[#This Row],[Column2]]), "", deployment_raw[[#This Row],[Column2]])</f>
        <v/>
      </c>
      <c r="C701" s="36" t="str">
        <f>IF(ISNONTEXT(deployment_raw[[#This Row],[Column3]]), "", deployment_raw[[#This Row],[Column3]])</f>
        <v/>
      </c>
      <c r="D701" s="36" t="str">
        <f>IF(ISNONTEXT(deployment_raw[[#This Row],[Column4]]), "", deployment_raw[[#This Row],[Column4]])</f>
        <v/>
      </c>
      <c r="E701" s="37" t="str">
        <f>IF(ISNUMBER(deployment_raw[[#This Row],[Column5]]), deployment_raw[[#This Row],[Column5]],"")</f>
        <v/>
      </c>
      <c r="F701" s="94" t="str">
        <f>IF(ISNUMBER(deployment_raw[[#This Row],[Column6]]), (deployment_raw[[#This Row],[Column6]] * IF($E$2="Deployment",deployment_raw[[#This Row],[Column5]],1)),"")</f>
        <v/>
      </c>
      <c r="G701" s="95" t="str">
        <f>IF(ISNUMBER(deployment_raw[[#This Row],[Column7]]), (deployment_raw[[#This Row],[Column7]] * IF($E$2="Deployment",deployment_raw[[#This Row],[Column5]],1))/1048576,"")</f>
        <v/>
      </c>
      <c r="H701" s="95" t="str">
        <f>IF(ISNUMBER(deployment_raw[[#This Row],[Column8]]), (deployment_raw[[#This Row],[Column8]]  * IF($E$2="Deployment",deployment_raw[[#This Row],[Column5]],1)),"")</f>
        <v/>
      </c>
      <c r="I701" s="96" t="str">
        <f>IF(ISNUMBER(deployment_raw[[#This Row],[Column9]]), (deployment_raw[[#This Row],[Column9]] * IF($E$2="Deployment",deployment_raw[[#This Row],[Column5]],1))/1048576,"")</f>
        <v/>
      </c>
      <c r="J701" s="122" t="str">
        <f>IF(ISNUMBER(deployment_raw[[#This Row],[Column10]]), (MIN(IF(N701&lt;&gt;"",N701,9999999999999)*1.1,deployment_raw[[#This Row],[Column10]] * IF($E$2="Deployment",deployment_raw[[#This Row],[Column5]],1))),"")</f>
        <v/>
      </c>
      <c r="K701" s="123" t="str">
        <f>IF(ISNUMBER(deployment_raw[[#This Row],[Column11]]), (MIN(IF(O701&lt;&gt;"",O701,9999999999999)*1.1,deployment_raw[[#This Row],[Column11]] * IF($E$2="Deployment",deployment_raw[[#This Row],[Column5]],1)/1048576)),"")</f>
        <v/>
      </c>
      <c r="L701" s="124" t="str">
        <f>IF(ISNUMBER(deployment_raw[[#This Row],[Column8]]),IF(OR(deployment_raw[[#This Row],[Column5]] &lt;&gt; 0,$E$2 &lt;&gt; "Deployment"), MAX(J701, P701, R701, ($L$2 * IF($E$2="Deployment",deployment_raw[[#This Row],[Column5]],1)),IF(T701&lt;&gt;"",VALUE(T701) * IF($E$2="Deployment",deployment_raw[[#This Row],[Column5]],1),0)), 0),"")</f>
        <v/>
      </c>
      <c r="M701" s="125" t="str">
        <f>IF(ISNUMBER(deployment_raw[[#This Row],[Column9]]),IF(OR(deployment_raw[[#This Row],[Column5]] &lt;&gt; 0,$E$2&lt;&gt;"Deployment"), MAX(K701, Q701, S701, ($M$2 * IF($E$2="Deployment",deployment_raw[[#This Row],[Column5]],1)),IF(U701&lt;&gt;"",VALUE(U701) * IF($E$2="Deployment",deployment_raw[[#This Row],[Column5]],1),0)), 0),"")</f>
        <v/>
      </c>
      <c r="N701" s="166" t="str">
        <f>IF(ISNUMBER(deployment_raw[[#This Row],[Column14]]), deployment_raw[[#This Row],[Column14]]/IF(OR($E$2="Deployment",deployment_raw[[#This Row],[Column5]]=0),1,deployment_raw[[#This Row],[Column5]]),"")</f>
        <v/>
      </c>
      <c r="O701" s="167" t="str">
        <f>IF(ISNUMBER(deployment_raw[[#This Row],[Column15]]), deployment_raw[[#This Row],[Column15]]/IF(OR($E$2="Deployment",deployment_raw[[#This Row],[Column5]]=0),1,deployment_raw[[#This Row],[Column5]])/1048576,"")</f>
        <v/>
      </c>
      <c r="P701" s="168" t="str">
        <f>IF(ISNUMBER(deployment_raw[[#This Row],[Column12]]), (MIN(IF(N701&lt;&gt;"",N701,9999999999999)*1.1,deployment_raw[[#This Row],[Column12]] * IF($E$2="Deployment",deployment_raw[[#This Row],[Column5]],1))*(1+$P$2)),"")</f>
        <v/>
      </c>
      <c r="Q701" s="167" t="str">
        <f>IF(ISNUMBER(deployment_raw[[#This Row],[Column13]]), (MIN(IF(O701&lt;&gt;"",O701,9999999999999)*1.1,deployment_raw[[#This Row],[Column13]] * IF($E$2="Deployment",deployment_raw[[#This Row],[Column5]],1)*(1+$Q$2)/1048576)),"")</f>
        <v/>
      </c>
      <c r="R701" s="169" t="str">
        <f>IF(ISNUMBER(deployment_raw[[#This Row],[Column8]]), (H701  * IF(N701&lt;&gt;0,$R$2,1)),"")</f>
        <v/>
      </c>
      <c r="S701" s="170" t="str">
        <f>IF(ISNUMBER(deployment_raw[[#This Row],[Column8]]), (I701  * IF(O701&lt;&gt;0,$S$2,1)),"")</f>
        <v/>
      </c>
      <c r="T701" s="202" t="str">
        <f>IF(AND(A701&lt;&gt;"",_xlfn.IFNA(MATCH(A701,'dynamic resource application '!$A$2:$A$100, 0),0)&lt;&gt;0), H701/(IF($E$2="Deployment",E701,1)),"")</f>
        <v/>
      </c>
      <c r="U701" s="211" t="str">
        <f>IF(AND(A701&lt;&gt;"",_xlfn.IFNA(MATCH(A701,'dynamic resource application '!$A$2:$A$100, 0),0)&lt;&gt;0), I701/(IF($E$2="Deployment",E701,1)),"")</f>
        <v/>
      </c>
    </row>
    <row r="702" spans="1:21" ht="15.75" customHeight="1" x14ac:dyDescent="0.25">
      <c r="A702" s="35" t="str">
        <f>IF(ISNONTEXT(deployment_raw[[#This Row],[Column1]]), "", deployment_raw[[#This Row],[Column1]])</f>
        <v/>
      </c>
      <c r="B702" s="36" t="str">
        <f>IF(ISNONTEXT(deployment_raw[[#This Row],[Column2]]), "", deployment_raw[[#This Row],[Column2]])</f>
        <v/>
      </c>
      <c r="C702" s="36" t="str">
        <f>IF(ISNONTEXT(deployment_raw[[#This Row],[Column3]]), "", deployment_raw[[#This Row],[Column3]])</f>
        <v/>
      </c>
      <c r="D702" s="36" t="str">
        <f>IF(ISNONTEXT(deployment_raw[[#This Row],[Column4]]), "", deployment_raw[[#This Row],[Column4]])</f>
        <v/>
      </c>
      <c r="E702" s="37" t="str">
        <f>IF(ISNUMBER(deployment_raw[[#This Row],[Column5]]), deployment_raw[[#This Row],[Column5]],"")</f>
        <v/>
      </c>
      <c r="F702" s="94" t="str">
        <f>IF(ISNUMBER(deployment_raw[[#This Row],[Column6]]), (deployment_raw[[#This Row],[Column6]] * IF($E$2="Deployment",deployment_raw[[#This Row],[Column5]],1)),"")</f>
        <v/>
      </c>
      <c r="G702" s="95" t="str">
        <f>IF(ISNUMBER(deployment_raw[[#This Row],[Column7]]), (deployment_raw[[#This Row],[Column7]] * IF($E$2="Deployment",deployment_raw[[#This Row],[Column5]],1))/1048576,"")</f>
        <v/>
      </c>
      <c r="H702" s="95" t="str">
        <f>IF(ISNUMBER(deployment_raw[[#This Row],[Column8]]), (deployment_raw[[#This Row],[Column8]]  * IF($E$2="Deployment",deployment_raw[[#This Row],[Column5]],1)),"")</f>
        <v/>
      </c>
      <c r="I702" s="96" t="str">
        <f>IF(ISNUMBER(deployment_raw[[#This Row],[Column9]]), (deployment_raw[[#This Row],[Column9]] * IF($E$2="Deployment",deployment_raw[[#This Row],[Column5]],1))/1048576,"")</f>
        <v/>
      </c>
      <c r="J702" s="122" t="str">
        <f>IF(ISNUMBER(deployment_raw[[#This Row],[Column10]]), (MIN(IF(N702&lt;&gt;"",N702,9999999999999)*1.1,deployment_raw[[#This Row],[Column10]] * IF($E$2="Deployment",deployment_raw[[#This Row],[Column5]],1))),"")</f>
        <v/>
      </c>
      <c r="K702" s="123" t="str">
        <f>IF(ISNUMBER(deployment_raw[[#This Row],[Column11]]), (MIN(IF(O702&lt;&gt;"",O702,9999999999999)*1.1,deployment_raw[[#This Row],[Column11]] * IF($E$2="Deployment",deployment_raw[[#This Row],[Column5]],1)/1048576)),"")</f>
        <v/>
      </c>
      <c r="L702" s="124" t="str">
        <f>IF(ISNUMBER(deployment_raw[[#This Row],[Column8]]),IF(OR(deployment_raw[[#This Row],[Column5]] &lt;&gt; 0,$E$2 &lt;&gt; "Deployment"), MAX(J702, P702, R702, ($L$2 * IF($E$2="Deployment",deployment_raw[[#This Row],[Column5]],1)),IF(T702&lt;&gt;"",VALUE(T702) * IF($E$2="Deployment",deployment_raw[[#This Row],[Column5]],1),0)), 0),"")</f>
        <v/>
      </c>
      <c r="M702" s="125" t="str">
        <f>IF(ISNUMBER(deployment_raw[[#This Row],[Column9]]),IF(OR(deployment_raw[[#This Row],[Column5]] &lt;&gt; 0,$E$2&lt;&gt;"Deployment"), MAX(K702, Q702, S702, ($M$2 * IF($E$2="Deployment",deployment_raw[[#This Row],[Column5]],1)),IF(U702&lt;&gt;"",VALUE(U702) * IF($E$2="Deployment",deployment_raw[[#This Row],[Column5]],1),0)), 0),"")</f>
        <v/>
      </c>
      <c r="N702" s="166" t="str">
        <f>IF(ISNUMBER(deployment_raw[[#This Row],[Column14]]), deployment_raw[[#This Row],[Column14]]/IF(OR($E$2="Deployment",deployment_raw[[#This Row],[Column5]]=0),1,deployment_raw[[#This Row],[Column5]]),"")</f>
        <v/>
      </c>
      <c r="O702" s="167" t="str">
        <f>IF(ISNUMBER(deployment_raw[[#This Row],[Column15]]), deployment_raw[[#This Row],[Column15]]/IF(OR($E$2="Deployment",deployment_raw[[#This Row],[Column5]]=0),1,deployment_raw[[#This Row],[Column5]])/1048576,"")</f>
        <v/>
      </c>
      <c r="P702" s="168" t="str">
        <f>IF(ISNUMBER(deployment_raw[[#This Row],[Column12]]), (MIN(IF(N702&lt;&gt;"",N702,9999999999999)*1.1,deployment_raw[[#This Row],[Column12]] * IF($E$2="Deployment",deployment_raw[[#This Row],[Column5]],1))*(1+$P$2)),"")</f>
        <v/>
      </c>
      <c r="Q702" s="167" t="str">
        <f>IF(ISNUMBER(deployment_raw[[#This Row],[Column13]]), (MIN(IF(O702&lt;&gt;"",O702,9999999999999)*1.1,deployment_raw[[#This Row],[Column13]] * IF($E$2="Deployment",deployment_raw[[#This Row],[Column5]],1)*(1+$Q$2)/1048576)),"")</f>
        <v/>
      </c>
      <c r="R702" s="169" t="str">
        <f>IF(ISNUMBER(deployment_raw[[#This Row],[Column8]]), (H702  * IF(N702&lt;&gt;0,$R$2,1)),"")</f>
        <v/>
      </c>
      <c r="S702" s="170" t="str">
        <f>IF(ISNUMBER(deployment_raw[[#This Row],[Column8]]), (I702  * IF(O702&lt;&gt;0,$S$2,1)),"")</f>
        <v/>
      </c>
      <c r="T702" s="202" t="str">
        <f>IF(AND(A702&lt;&gt;"",_xlfn.IFNA(MATCH(A702,'dynamic resource application '!$A$2:$A$100, 0),0)&lt;&gt;0), H702/(IF($E$2="Deployment",E702,1)),"")</f>
        <v/>
      </c>
      <c r="U702" s="211" t="str">
        <f>IF(AND(A702&lt;&gt;"",_xlfn.IFNA(MATCH(A702,'dynamic resource application '!$A$2:$A$100, 0),0)&lt;&gt;0), I702/(IF($E$2="Deployment",E702,1)),"")</f>
        <v/>
      </c>
    </row>
    <row r="703" spans="1:21" ht="15.75" customHeight="1" x14ac:dyDescent="0.25">
      <c r="A703" s="35" t="str">
        <f>IF(ISNONTEXT(deployment_raw[[#This Row],[Column1]]), "", deployment_raw[[#This Row],[Column1]])</f>
        <v/>
      </c>
      <c r="B703" s="36" t="str">
        <f>IF(ISNONTEXT(deployment_raw[[#This Row],[Column2]]), "", deployment_raw[[#This Row],[Column2]])</f>
        <v/>
      </c>
      <c r="C703" s="36" t="str">
        <f>IF(ISNONTEXT(deployment_raw[[#This Row],[Column3]]), "", deployment_raw[[#This Row],[Column3]])</f>
        <v/>
      </c>
      <c r="D703" s="36" t="str">
        <f>IF(ISNONTEXT(deployment_raw[[#This Row],[Column4]]), "", deployment_raw[[#This Row],[Column4]])</f>
        <v/>
      </c>
      <c r="E703" s="37" t="str">
        <f>IF(ISNUMBER(deployment_raw[[#This Row],[Column5]]), deployment_raw[[#This Row],[Column5]],"")</f>
        <v/>
      </c>
      <c r="F703" s="94" t="str">
        <f>IF(ISNUMBER(deployment_raw[[#This Row],[Column6]]), (deployment_raw[[#This Row],[Column6]] * IF($E$2="Deployment",deployment_raw[[#This Row],[Column5]],1)),"")</f>
        <v/>
      </c>
      <c r="G703" s="95" t="str">
        <f>IF(ISNUMBER(deployment_raw[[#This Row],[Column7]]), (deployment_raw[[#This Row],[Column7]] * IF($E$2="Deployment",deployment_raw[[#This Row],[Column5]],1))/1048576,"")</f>
        <v/>
      </c>
      <c r="H703" s="95" t="str">
        <f>IF(ISNUMBER(deployment_raw[[#This Row],[Column8]]), (deployment_raw[[#This Row],[Column8]]  * IF($E$2="Deployment",deployment_raw[[#This Row],[Column5]],1)),"")</f>
        <v/>
      </c>
      <c r="I703" s="96" t="str">
        <f>IF(ISNUMBER(deployment_raw[[#This Row],[Column9]]), (deployment_raw[[#This Row],[Column9]] * IF($E$2="Deployment",deployment_raw[[#This Row],[Column5]],1))/1048576,"")</f>
        <v/>
      </c>
      <c r="J703" s="122" t="str">
        <f>IF(ISNUMBER(deployment_raw[[#This Row],[Column10]]), (MIN(IF(N703&lt;&gt;"",N703,9999999999999)*1.1,deployment_raw[[#This Row],[Column10]] * IF($E$2="Deployment",deployment_raw[[#This Row],[Column5]],1))),"")</f>
        <v/>
      </c>
      <c r="K703" s="123" t="str">
        <f>IF(ISNUMBER(deployment_raw[[#This Row],[Column11]]), (MIN(IF(O703&lt;&gt;"",O703,9999999999999)*1.1,deployment_raw[[#This Row],[Column11]] * IF($E$2="Deployment",deployment_raw[[#This Row],[Column5]],1)/1048576)),"")</f>
        <v/>
      </c>
      <c r="L703" s="124" t="str">
        <f>IF(ISNUMBER(deployment_raw[[#This Row],[Column8]]),IF(OR(deployment_raw[[#This Row],[Column5]] &lt;&gt; 0,$E$2 &lt;&gt; "Deployment"), MAX(J703, P703, R703, ($L$2 * IF($E$2="Deployment",deployment_raw[[#This Row],[Column5]],1)),IF(T703&lt;&gt;"",VALUE(T703) * IF($E$2="Deployment",deployment_raw[[#This Row],[Column5]],1),0)), 0),"")</f>
        <v/>
      </c>
      <c r="M703" s="125" t="str">
        <f>IF(ISNUMBER(deployment_raw[[#This Row],[Column9]]),IF(OR(deployment_raw[[#This Row],[Column5]] &lt;&gt; 0,$E$2&lt;&gt;"Deployment"), MAX(K703, Q703, S703, ($M$2 * IF($E$2="Deployment",deployment_raw[[#This Row],[Column5]],1)),IF(U703&lt;&gt;"",VALUE(U703) * IF($E$2="Deployment",deployment_raw[[#This Row],[Column5]],1),0)), 0),"")</f>
        <v/>
      </c>
      <c r="N703" s="166" t="str">
        <f>IF(ISNUMBER(deployment_raw[[#This Row],[Column14]]), deployment_raw[[#This Row],[Column14]]/IF(OR($E$2="Deployment",deployment_raw[[#This Row],[Column5]]=0),1,deployment_raw[[#This Row],[Column5]]),"")</f>
        <v/>
      </c>
      <c r="O703" s="167" t="str">
        <f>IF(ISNUMBER(deployment_raw[[#This Row],[Column15]]), deployment_raw[[#This Row],[Column15]]/IF(OR($E$2="Deployment",deployment_raw[[#This Row],[Column5]]=0),1,deployment_raw[[#This Row],[Column5]])/1048576,"")</f>
        <v/>
      </c>
      <c r="P703" s="168" t="str">
        <f>IF(ISNUMBER(deployment_raw[[#This Row],[Column12]]), (MIN(IF(N703&lt;&gt;"",N703,9999999999999)*1.1,deployment_raw[[#This Row],[Column12]] * IF($E$2="Deployment",deployment_raw[[#This Row],[Column5]],1))*(1+$P$2)),"")</f>
        <v/>
      </c>
      <c r="Q703" s="167" t="str">
        <f>IF(ISNUMBER(deployment_raw[[#This Row],[Column13]]), (MIN(IF(O703&lt;&gt;"",O703,9999999999999)*1.1,deployment_raw[[#This Row],[Column13]] * IF($E$2="Deployment",deployment_raw[[#This Row],[Column5]],1)*(1+$Q$2)/1048576)),"")</f>
        <v/>
      </c>
      <c r="R703" s="169" t="str">
        <f>IF(ISNUMBER(deployment_raw[[#This Row],[Column8]]), (H703  * IF(N703&lt;&gt;0,$R$2,1)),"")</f>
        <v/>
      </c>
      <c r="S703" s="170" t="str">
        <f>IF(ISNUMBER(deployment_raw[[#This Row],[Column8]]), (I703  * IF(O703&lt;&gt;0,$S$2,1)),"")</f>
        <v/>
      </c>
      <c r="T703" s="202" t="str">
        <f>IF(AND(A703&lt;&gt;"",_xlfn.IFNA(MATCH(A703,'dynamic resource application '!$A$2:$A$100, 0),0)&lt;&gt;0), H703/(IF($E$2="Deployment",E703,1)),"")</f>
        <v/>
      </c>
      <c r="U703" s="211" t="str">
        <f>IF(AND(A703&lt;&gt;"",_xlfn.IFNA(MATCH(A703,'dynamic resource application '!$A$2:$A$100, 0),0)&lt;&gt;0), I703/(IF($E$2="Deployment",E703,1)),"")</f>
        <v/>
      </c>
    </row>
    <row r="704" spans="1:21" ht="15.75" customHeight="1" x14ac:dyDescent="0.25">
      <c r="A704" s="35" t="str">
        <f>IF(ISNONTEXT(deployment_raw[[#This Row],[Column1]]), "", deployment_raw[[#This Row],[Column1]])</f>
        <v/>
      </c>
      <c r="B704" s="36" t="str">
        <f>IF(ISNONTEXT(deployment_raw[[#This Row],[Column2]]), "", deployment_raw[[#This Row],[Column2]])</f>
        <v/>
      </c>
      <c r="C704" s="36" t="str">
        <f>IF(ISNONTEXT(deployment_raw[[#This Row],[Column3]]), "", deployment_raw[[#This Row],[Column3]])</f>
        <v/>
      </c>
      <c r="D704" s="36" t="str">
        <f>IF(ISNONTEXT(deployment_raw[[#This Row],[Column4]]), "", deployment_raw[[#This Row],[Column4]])</f>
        <v/>
      </c>
      <c r="E704" s="37" t="str">
        <f>IF(ISNUMBER(deployment_raw[[#This Row],[Column5]]), deployment_raw[[#This Row],[Column5]],"")</f>
        <v/>
      </c>
      <c r="F704" s="94" t="str">
        <f>IF(ISNUMBER(deployment_raw[[#This Row],[Column6]]), (deployment_raw[[#This Row],[Column6]] * IF($E$2="Deployment",deployment_raw[[#This Row],[Column5]],1)),"")</f>
        <v/>
      </c>
      <c r="G704" s="95" t="str">
        <f>IF(ISNUMBER(deployment_raw[[#This Row],[Column7]]), (deployment_raw[[#This Row],[Column7]] * IF($E$2="Deployment",deployment_raw[[#This Row],[Column5]],1))/1048576,"")</f>
        <v/>
      </c>
      <c r="H704" s="95" t="str">
        <f>IF(ISNUMBER(deployment_raw[[#This Row],[Column8]]), (deployment_raw[[#This Row],[Column8]]  * IF($E$2="Deployment",deployment_raw[[#This Row],[Column5]],1)),"")</f>
        <v/>
      </c>
      <c r="I704" s="96" t="str">
        <f>IF(ISNUMBER(deployment_raw[[#This Row],[Column9]]), (deployment_raw[[#This Row],[Column9]] * IF($E$2="Deployment",deployment_raw[[#This Row],[Column5]],1))/1048576,"")</f>
        <v/>
      </c>
      <c r="J704" s="122" t="str">
        <f>IF(ISNUMBER(deployment_raw[[#This Row],[Column10]]), (MIN(IF(N704&lt;&gt;"",N704,9999999999999)*1.1,deployment_raw[[#This Row],[Column10]] * IF($E$2="Deployment",deployment_raw[[#This Row],[Column5]],1))),"")</f>
        <v/>
      </c>
      <c r="K704" s="123" t="str">
        <f>IF(ISNUMBER(deployment_raw[[#This Row],[Column11]]), (MIN(IF(O704&lt;&gt;"",O704,9999999999999)*1.1,deployment_raw[[#This Row],[Column11]] * IF($E$2="Deployment",deployment_raw[[#This Row],[Column5]],1)/1048576)),"")</f>
        <v/>
      </c>
      <c r="L704" s="124" t="str">
        <f>IF(ISNUMBER(deployment_raw[[#This Row],[Column8]]),IF(OR(deployment_raw[[#This Row],[Column5]] &lt;&gt; 0,$E$2 &lt;&gt; "Deployment"), MAX(J704, P704, R704, ($L$2 * IF($E$2="Deployment",deployment_raw[[#This Row],[Column5]],1)),IF(T704&lt;&gt;"",VALUE(T704) * IF($E$2="Deployment",deployment_raw[[#This Row],[Column5]],1),0)), 0),"")</f>
        <v/>
      </c>
      <c r="M704" s="125" t="str">
        <f>IF(ISNUMBER(deployment_raw[[#This Row],[Column9]]),IF(OR(deployment_raw[[#This Row],[Column5]] &lt;&gt; 0,$E$2&lt;&gt;"Deployment"), MAX(K704, Q704, S704, ($M$2 * IF($E$2="Deployment",deployment_raw[[#This Row],[Column5]],1)),IF(U704&lt;&gt;"",VALUE(U704) * IF($E$2="Deployment",deployment_raw[[#This Row],[Column5]],1),0)), 0),"")</f>
        <v/>
      </c>
      <c r="N704" s="166" t="str">
        <f>IF(ISNUMBER(deployment_raw[[#This Row],[Column14]]), deployment_raw[[#This Row],[Column14]]/IF(OR($E$2="Deployment",deployment_raw[[#This Row],[Column5]]=0),1,deployment_raw[[#This Row],[Column5]]),"")</f>
        <v/>
      </c>
      <c r="O704" s="167" t="str">
        <f>IF(ISNUMBER(deployment_raw[[#This Row],[Column15]]), deployment_raw[[#This Row],[Column15]]/IF(OR($E$2="Deployment",deployment_raw[[#This Row],[Column5]]=0),1,deployment_raw[[#This Row],[Column5]])/1048576,"")</f>
        <v/>
      </c>
      <c r="P704" s="168" t="str">
        <f>IF(ISNUMBER(deployment_raw[[#This Row],[Column12]]), (MIN(IF(N704&lt;&gt;"",N704,9999999999999)*1.1,deployment_raw[[#This Row],[Column12]] * IF($E$2="Deployment",deployment_raw[[#This Row],[Column5]],1))*(1+$P$2)),"")</f>
        <v/>
      </c>
      <c r="Q704" s="167" t="str">
        <f>IF(ISNUMBER(deployment_raw[[#This Row],[Column13]]), (MIN(IF(O704&lt;&gt;"",O704,9999999999999)*1.1,deployment_raw[[#This Row],[Column13]] * IF($E$2="Deployment",deployment_raw[[#This Row],[Column5]],1)*(1+$Q$2)/1048576)),"")</f>
        <v/>
      </c>
      <c r="R704" s="169" t="str">
        <f>IF(ISNUMBER(deployment_raw[[#This Row],[Column8]]), (H704  * IF(N704&lt;&gt;0,$R$2,1)),"")</f>
        <v/>
      </c>
      <c r="S704" s="170" t="str">
        <f>IF(ISNUMBER(deployment_raw[[#This Row],[Column8]]), (I704  * IF(O704&lt;&gt;0,$S$2,1)),"")</f>
        <v/>
      </c>
      <c r="T704" s="202" t="str">
        <f>IF(AND(A704&lt;&gt;"",_xlfn.IFNA(MATCH(A704,'dynamic resource application '!$A$2:$A$100, 0),0)&lt;&gt;0), H704/(IF($E$2="Deployment",E704,1)),"")</f>
        <v/>
      </c>
      <c r="U704" s="211" t="str">
        <f>IF(AND(A704&lt;&gt;"",_xlfn.IFNA(MATCH(A704,'dynamic resource application '!$A$2:$A$100, 0),0)&lt;&gt;0), I704/(IF($E$2="Deployment",E704,1)),"")</f>
        <v/>
      </c>
    </row>
    <row r="705" spans="1:21" ht="15.75" customHeight="1" x14ac:dyDescent="0.25">
      <c r="A705" s="35" t="str">
        <f>IF(ISNONTEXT(deployment_raw[[#This Row],[Column1]]), "", deployment_raw[[#This Row],[Column1]])</f>
        <v/>
      </c>
      <c r="B705" s="36" t="str">
        <f>IF(ISNONTEXT(deployment_raw[[#This Row],[Column2]]), "", deployment_raw[[#This Row],[Column2]])</f>
        <v/>
      </c>
      <c r="C705" s="36" t="str">
        <f>IF(ISNONTEXT(deployment_raw[[#This Row],[Column3]]), "", deployment_raw[[#This Row],[Column3]])</f>
        <v/>
      </c>
      <c r="D705" s="36" t="str">
        <f>IF(ISNONTEXT(deployment_raw[[#This Row],[Column4]]), "", deployment_raw[[#This Row],[Column4]])</f>
        <v/>
      </c>
      <c r="E705" s="37" t="str">
        <f>IF(ISNUMBER(deployment_raw[[#This Row],[Column5]]), deployment_raw[[#This Row],[Column5]],"")</f>
        <v/>
      </c>
      <c r="F705" s="94" t="str">
        <f>IF(ISNUMBER(deployment_raw[[#This Row],[Column6]]), (deployment_raw[[#This Row],[Column6]] * IF($E$2="Deployment",deployment_raw[[#This Row],[Column5]],1)),"")</f>
        <v/>
      </c>
      <c r="G705" s="95" t="str">
        <f>IF(ISNUMBER(deployment_raw[[#This Row],[Column7]]), (deployment_raw[[#This Row],[Column7]] * IF($E$2="Deployment",deployment_raw[[#This Row],[Column5]],1))/1048576,"")</f>
        <v/>
      </c>
      <c r="H705" s="95" t="str">
        <f>IF(ISNUMBER(deployment_raw[[#This Row],[Column8]]), (deployment_raw[[#This Row],[Column8]]  * IF($E$2="Deployment",deployment_raw[[#This Row],[Column5]],1)),"")</f>
        <v/>
      </c>
      <c r="I705" s="96" t="str">
        <f>IF(ISNUMBER(deployment_raw[[#This Row],[Column9]]), (deployment_raw[[#This Row],[Column9]] * IF($E$2="Deployment",deployment_raw[[#This Row],[Column5]],1))/1048576,"")</f>
        <v/>
      </c>
      <c r="J705" s="122" t="str">
        <f>IF(ISNUMBER(deployment_raw[[#This Row],[Column10]]), (MIN(IF(N705&lt;&gt;"",N705,9999999999999)*1.1,deployment_raw[[#This Row],[Column10]] * IF($E$2="Deployment",deployment_raw[[#This Row],[Column5]],1))),"")</f>
        <v/>
      </c>
      <c r="K705" s="123" t="str">
        <f>IF(ISNUMBER(deployment_raw[[#This Row],[Column11]]), (MIN(IF(O705&lt;&gt;"",O705,9999999999999)*1.1,deployment_raw[[#This Row],[Column11]] * IF($E$2="Deployment",deployment_raw[[#This Row],[Column5]],1)/1048576)),"")</f>
        <v/>
      </c>
      <c r="L705" s="124" t="str">
        <f>IF(ISNUMBER(deployment_raw[[#This Row],[Column8]]),IF(OR(deployment_raw[[#This Row],[Column5]] &lt;&gt; 0,$E$2 &lt;&gt; "Deployment"), MAX(J705, P705, R705, ($L$2 * IF($E$2="Deployment",deployment_raw[[#This Row],[Column5]],1)),IF(T705&lt;&gt;"",VALUE(T705) * IF($E$2="Deployment",deployment_raw[[#This Row],[Column5]],1),0)), 0),"")</f>
        <v/>
      </c>
      <c r="M705" s="125" t="str">
        <f>IF(ISNUMBER(deployment_raw[[#This Row],[Column9]]),IF(OR(deployment_raw[[#This Row],[Column5]] &lt;&gt; 0,$E$2&lt;&gt;"Deployment"), MAX(K705, Q705, S705, ($M$2 * IF($E$2="Deployment",deployment_raw[[#This Row],[Column5]],1)),IF(U705&lt;&gt;"",VALUE(U705) * IF($E$2="Deployment",deployment_raw[[#This Row],[Column5]],1),0)), 0),"")</f>
        <v/>
      </c>
      <c r="N705" s="166" t="str">
        <f>IF(ISNUMBER(deployment_raw[[#This Row],[Column14]]), deployment_raw[[#This Row],[Column14]]/IF(OR($E$2="Deployment",deployment_raw[[#This Row],[Column5]]=0),1,deployment_raw[[#This Row],[Column5]]),"")</f>
        <v/>
      </c>
      <c r="O705" s="167" t="str">
        <f>IF(ISNUMBER(deployment_raw[[#This Row],[Column15]]), deployment_raw[[#This Row],[Column15]]/IF(OR($E$2="Deployment",deployment_raw[[#This Row],[Column5]]=0),1,deployment_raw[[#This Row],[Column5]])/1048576,"")</f>
        <v/>
      </c>
      <c r="P705" s="168" t="str">
        <f>IF(ISNUMBER(deployment_raw[[#This Row],[Column12]]), (MIN(IF(N705&lt;&gt;"",N705,9999999999999)*1.1,deployment_raw[[#This Row],[Column12]] * IF($E$2="Deployment",deployment_raw[[#This Row],[Column5]],1))*(1+$P$2)),"")</f>
        <v/>
      </c>
      <c r="Q705" s="167" t="str">
        <f>IF(ISNUMBER(deployment_raw[[#This Row],[Column13]]), (MIN(IF(O705&lt;&gt;"",O705,9999999999999)*1.1,deployment_raw[[#This Row],[Column13]] * IF($E$2="Deployment",deployment_raw[[#This Row],[Column5]],1)*(1+$Q$2)/1048576)),"")</f>
        <v/>
      </c>
      <c r="R705" s="169" t="str">
        <f>IF(ISNUMBER(deployment_raw[[#This Row],[Column8]]), (H705  * IF(N705&lt;&gt;0,$R$2,1)),"")</f>
        <v/>
      </c>
      <c r="S705" s="170" t="str">
        <f>IF(ISNUMBER(deployment_raw[[#This Row],[Column8]]), (I705  * IF(O705&lt;&gt;0,$S$2,1)),"")</f>
        <v/>
      </c>
      <c r="T705" s="202" t="str">
        <f>IF(AND(A705&lt;&gt;"",_xlfn.IFNA(MATCH(A705,'dynamic resource application '!$A$2:$A$100, 0),0)&lt;&gt;0), H705/(IF($E$2="Deployment",E705,1)),"")</f>
        <v/>
      </c>
      <c r="U705" s="211" t="str">
        <f>IF(AND(A705&lt;&gt;"",_xlfn.IFNA(MATCH(A705,'dynamic resource application '!$A$2:$A$100, 0),0)&lt;&gt;0), I705/(IF($E$2="Deployment",E705,1)),"")</f>
        <v/>
      </c>
    </row>
    <row r="706" spans="1:21" ht="15.75" customHeight="1" x14ac:dyDescent="0.25">
      <c r="A706" s="35" t="str">
        <f>IF(ISNONTEXT(deployment_raw[[#This Row],[Column1]]), "", deployment_raw[[#This Row],[Column1]])</f>
        <v/>
      </c>
      <c r="B706" s="36" t="str">
        <f>IF(ISNONTEXT(deployment_raw[[#This Row],[Column2]]), "", deployment_raw[[#This Row],[Column2]])</f>
        <v/>
      </c>
      <c r="C706" s="36" t="str">
        <f>IF(ISNONTEXT(deployment_raw[[#This Row],[Column3]]), "", deployment_raw[[#This Row],[Column3]])</f>
        <v/>
      </c>
      <c r="D706" s="36" t="str">
        <f>IF(ISNONTEXT(deployment_raw[[#This Row],[Column4]]), "", deployment_raw[[#This Row],[Column4]])</f>
        <v/>
      </c>
      <c r="E706" s="37" t="str">
        <f>IF(ISNUMBER(deployment_raw[[#This Row],[Column5]]), deployment_raw[[#This Row],[Column5]],"")</f>
        <v/>
      </c>
      <c r="F706" s="94" t="str">
        <f>IF(ISNUMBER(deployment_raw[[#This Row],[Column6]]), (deployment_raw[[#This Row],[Column6]] * IF($E$2="Deployment",deployment_raw[[#This Row],[Column5]],1)),"")</f>
        <v/>
      </c>
      <c r="G706" s="95" t="str">
        <f>IF(ISNUMBER(deployment_raw[[#This Row],[Column7]]), (deployment_raw[[#This Row],[Column7]] * IF($E$2="Deployment",deployment_raw[[#This Row],[Column5]],1))/1048576,"")</f>
        <v/>
      </c>
      <c r="H706" s="95" t="str">
        <f>IF(ISNUMBER(deployment_raw[[#This Row],[Column8]]), (deployment_raw[[#This Row],[Column8]]  * IF($E$2="Deployment",deployment_raw[[#This Row],[Column5]],1)),"")</f>
        <v/>
      </c>
      <c r="I706" s="96" t="str">
        <f>IF(ISNUMBER(deployment_raw[[#This Row],[Column9]]), (deployment_raw[[#This Row],[Column9]] * IF($E$2="Deployment",deployment_raw[[#This Row],[Column5]],1))/1048576,"")</f>
        <v/>
      </c>
      <c r="J706" s="122" t="str">
        <f>IF(ISNUMBER(deployment_raw[[#This Row],[Column10]]), (MIN(IF(N706&lt;&gt;"",N706,9999999999999)*1.1,deployment_raw[[#This Row],[Column10]] * IF($E$2="Deployment",deployment_raw[[#This Row],[Column5]],1))),"")</f>
        <v/>
      </c>
      <c r="K706" s="123" t="str">
        <f>IF(ISNUMBER(deployment_raw[[#This Row],[Column11]]), (MIN(IF(O706&lt;&gt;"",O706,9999999999999)*1.1,deployment_raw[[#This Row],[Column11]] * IF($E$2="Deployment",deployment_raw[[#This Row],[Column5]],1)/1048576)),"")</f>
        <v/>
      </c>
      <c r="L706" s="124" t="str">
        <f>IF(ISNUMBER(deployment_raw[[#This Row],[Column8]]),IF(OR(deployment_raw[[#This Row],[Column5]] &lt;&gt; 0,$E$2 &lt;&gt; "Deployment"), MAX(J706, P706, R706, ($L$2 * IF($E$2="Deployment",deployment_raw[[#This Row],[Column5]],1)),IF(T706&lt;&gt;"",VALUE(T706) * IF($E$2="Deployment",deployment_raw[[#This Row],[Column5]],1),0)), 0),"")</f>
        <v/>
      </c>
      <c r="M706" s="125" t="str">
        <f>IF(ISNUMBER(deployment_raw[[#This Row],[Column9]]),IF(OR(deployment_raw[[#This Row],[Column5]] &lt;&gt; 0,$E$2&lt;&gt;"Deployment"), MAX(K706, Q706, S706, ($M$2 * IF($E$2="Deployment",deployment_raw[[#This Row],[Column5]],1)),IF(U706&lt;&gt;"",VALUE(U706) * IF($E$2="Deployment",deployment_raw[[#This Row],[Column5]],1),0)), 0),"")</f>
        <v/>
      </c>
      <c r="N706" s="166" t="str">
        <f>IF(ISNUMBER(deployment_raw[[#This Row],[Column14]]), deployment_raw[[#This Row],[Column14]]/IF(OR($E$2="Deployment",deployment_raw[[#This Row],[Column5]]=0),1,deployment_raw[[#This Row],[Column5]]),"")</f>
        <v/>
      </c>
      <c r="O706" s="167" t="str">
        <f>IF(ISNUMBER(deployment_raw[[#This Row],[Column15]]), deployment_raw[[#This Row],[Column15]]/IF(OR($E$2="Deployment",deployment_raw[[#This Row],[Column5]]=0),1,deployment_raw[[#This Row],[Column5]])/1048576,"")</f>
        <v/>
      </c>
      <c r="P706" s="168" t="str">
        <f>IF(ISNUMBER(deployment_raw[[#This Row],[Column12]]), (MIN(IF(N706&lt;&gt;"",N706,9999999999999)*1.1,deployment_raw[[#This Row],[Column12]] * IF($E$2="Deployment",deployment_raw[[#This Row],[Column5]],1))*(1+$P$2)),"")</f>
        <v/>
      </c>
      <c r="Q706" s="167" t="str">
        <f>IF(ISNUMBER(deployment_raw[[#This Row],[Column13]]), (MIN(IF(O706&lt;&gt;"",O706,9999999999999)*1.1,deployment_raw[[#This Row],[Column13]] * IF($E$2="Deployment",deployment_raw[[#This Row],[Column5]],1)*(1+$Q$2)/1048576)),"")</f>
        <v/>
      </c>
      <c r="R706" s="169" t="str">
        <f>IF(ISNUMBER(deployment_raw[[#This Row],[Column8]]), (H706  * IF(N706&lt;&gt;0,$R$2,1)),"")</f>
        <v/>
      </c>
      <c r="S706" s="170" t="str">
        <f>IF(ISNUMBER(deployment_raw[[#This Row],[Column8]]), (I706  * IF(O706&lt;&gt;0,$S$2,1)),"")</f>
        <v/>
      </c>
      <c r="T706" s="202" t="str">
        <f>IF(AND(A706&lt;&gt;"",_xlfn.IFNA(MATCH(A706,'dynamic resource application '!$A$2:$A$100, 0),0)&lt;&gt;0), H706/(IF($E$2="Deployment",E706,1)),"")</f>
        <v/>
      </c>
      <c r="U706" s="211" t="str">
        <f>IF(AND(A706&lt;&gt;"",_xlfn.IFNA(MATCH(A706,'dynamic resource application '!$A$2:$A$100, 0),0)&lt;&gt;0), I706/(IF($E$2="Deployment",E706,1)),"")</f>
        <v/>
      </c>
    </row>
    <row r="707" spans="1:21" ht="15.75" customHeight="1" x14ac:dyDescent="0.25">
      <c r="A707" s="35" t="str">
        <f>IF(ISNONTEXT(deployment_raw[[#This Row],[Column1]]), "", deployment_raw[[#This Row],[Column1]])</f>
        <v/>
      </c>
      <c r="B707" s="36" t="str">
        <f>IF(ISNONTEXT(deployment_raw[[#This Row],[Column2]]), "", deployment_raw[[#This Row],[Column2]])</f>
        <v/>
      </c>
      <c r="C707" s="36" t="str">
        <f>IF(ISNONTEXT(deployment_raw[[#This Row],[Column3]]), "", deployment_raw[[#This Row],[Column3]])</f>
        <v/>
      </c>
      <c r="D707" s="36" t="str">
        <f>IF(ISNONTEXT(deployment_raw[[#This Row],[Column4]]), "", deployment_raw[[#This Row],[Column4]])</f>
        <v/>
      </c>
      <c r="E707" s="37" t="str">
        <f>IF(ISNUMBER(deployment_raw[[#This Row],[Column5]]), deployment_raw[[#This Row],[Column5]],"")</f>
        <v/>
      </c>
      <c r="F707" s="94" t="str">
        <f>IF(ISNUMBER(deployment_raw[[#This Row],[Column6]]), (deployment_raw[[#This Row],[Column6]] * IF($E$2="Deployment",deployment_raw[[#This Row],[Column5]],1)),"")</f>
        <v/>
      </c>
      <c r="G707" s="95" t="str">
        <f>IF(ISNUMBER(deployment_raw[[#This Row],[Column7]]), (deployment_raw[[#This Row],[Column7]] * IF($E$2="Deployment",deployment_raw[[#This Row],[Column5]],1))/1048576,"")</f>
        <v/>
      </c>
      <c r="H707" s="95" t="str">
        <f>IF(ISNUMBER(deployment_raw[[#This Row],[Column8]]), (deployment_raw[[#This Row],[Column8]]  * IF($E$2="Deployment",deployment_raw[[#This Row],[Column5]],1)),"")</f>
        <v/>
      </c>
      <c r="I707" s="96" t="str">
        <f>IF(ISNUMBER(deployment_raw[[#This Row],[Column9]]), (deployment_raw[[#This Row],[Column9]] * IF($E$2="Deployment",deployment_raw[[#This Row],[Column5]],1))/1048576,"")</f>
        <v/>
      </c>
      <c r="J707" s="122" t="str">
        <f>IF(ISNUMBER(deployment_raw[[#This Row],[Column10]]), (MIN(IF(N707&lt;&gt;"",N707,9999999999999)*1.1,deployment_raw[[#This Row],[Column10]] * IF($E$2="Deployment",deployment_raw[[#This Row],[Column5]],1))),"")</f>
        <v/>
      </c>
      <c r="K707" s="123" t="str">
        <f>IF(ISNUMBER(deployment_raw[[#This Row],[Column11]]), (MIN(IF(O707&lt;&gt;"",O707,9999999999999)*1.1,deployment_raw[[#This Row],[Column11]] * IF($E$2="Deployment",deployment_raw[[#This Row],[Column5]],1)/1048576)),"")</f>
        <v/>
      </c>
      <c r="L707" s="124" t="str">
        <f>IF(ISNUMBER(deployment_raw[[#This Row],[Column8]]),IF(OR(deployment_raw[[#This Row],[Column5]] &lt;&gt; 0,$E$2 &lt;&gt; "Deployment"), MAX(J707, P707, R707, ($L$2 * IF($E$2="Deployment",deployment_raw[[#This Row],[Column5]],1)),IF(T707&lt;&gt;"",VALUE(T707) * IF($E$2="Deployment",deployment_raw[[#This Row],[Column5]],1),0)), 0),"")</f>
        <v/>
      </c>
      <c r="M707" s="125" t="str">
        <f>IF(ISNUMBER(deployment_raw[[#This Row],[Column9]]),IF(OR(deployment_raw[[#This Row],[Column5]] &lt;&gt; 0,$E$2&lt;&gt;"Deployment"), MAX(K707, Q707, S707, ($M$2 * IF($E$2="Deployment",deployment_raw[[#This Row],[Column5]],1)),IF(U707&lt;&gt;"",VALUE(U707) * IF($E$2="Deployment",deployment_raw[[#This Row],[Column5]],1),0)), 0),"")</f>
        <v/>
      </c>
      <c r="N707" s="166" t="str">
        <f>IF(ISNUMBER(deployment_raw[[#This Row],[Column14]]), deployment_raw[[#This Row],[Column14]]/IF(OR($E$2="Deployment",deployment_raw[[#This Row],[Column5]]=0),1,deployment_raw[[#This Row],[Column5]]),"")</f>
        <v/>
      </c>
      <c r="O707" s="167" t="str">
        <f>IF(ISNUMBER(deployment_raw[[#This Row],[Column15]]), deployment_raw[[#This Row],[Column15]]/IF(OR($E$2="Deployment",deployment_raw[[#This Row],[Column5]]=0),1,deployment_raw[[#This Row],[Column5]])/1048576,"")</f>
        <v/>
      </c>
      <c r="P707" s="168" t="str">
        <f>IF(ISNUMBER(deployment_raw[[#This Row],[Column12]]), (MIN(IF(N707&lt;&gt;"",N707,9999999999999)*1.1,deployment_raw[[#This Row],[Column12]] * IF($E$2="Deployment",deployment_raw[[#This Row],[Column5]],1))*(1+$P$2)),"")</f>
        <v/>
      </c>
      <c r="Q707" s="167" t="str">
        <f>IF(ISNUMBER(deployment_raw[[#This Row],[Column13]]), (MIN(IF(O707&lt;&gt;"",O707,9999999999999)*1.1,deployment_raw[[#This Row],[Column13]] * IF($E$2="Deployment",deployment_raw[[#This Row],[Column5]],1)*(1+$Q$2)/1048576)),"")</f>
        <v/>
      </c>
      <c r="R707" s="169" t="str">
        <f>IF(ISNUMBER(deployment_raw[[#This Row],[Column8]]), (H707  * IF(N707&lt;&gt;0,$R$2,1)),"")</f>
        <v/>
      </c>
      <c r="S707" s="170" t="str">
        <f>IF(ISNUMBER(deployment_raw[[#This Row],[Column8]]), (I707  * IF(O707&lt;&gt;0,$S$2,1)),"")</f>
        <v/>
      </c>
      <c r="T707" s="202" t="str">
        <f>IF(AND(A707&lt;&gt;"",_xlfn.IFNA(MATCH(A707,'dynamic resource application '!$A$2:$A$100, 0),0)&lt;&gt;0), H707/(IF($E$2="Deployment",E707,1)),"")</f>
        <v/>
      </c>
      <c r="U707" s="211" t="str">
        <f>IF(AND(A707&lt;&gt;"",_xlfn.IFNA(MATCH(A707,'dynamic resource application '!$A$2:$A$100, 0),0)&lt;&gt;0), I707/(IF($E$2="Deployment",E707,1)),"")</f>
        <v/>
      </c>
    </row>
    <row r="708" spans="1:21" ht="15.75" customHeight="1" x14ac:dyDescent="0.25">
      <c r="A708" s="35" t="str">
        <f>IF(ISNONTEXT(deployment_raw[[#This Row],[Column1]]), "", deployment_raw[[#This Row],[Column1]])</f>
        <v/>
      </c>
      <c r="B708" s="36" t="str">
        <f>IF(ISNONTEXT(deployment_raw[[#This Row],[Column2]]), "", deployment_raw[[#This Row],[Column2]])</f>
        <v/>
      </c>
      <c r="C708" s="36" t="str">
        <f>IF(ISNONTEXT(deployment_raw[[#This Row],[Column3]]), "", deployment_raw[[#This Row],[Column3]])</f>
        <v/>
      </c>
      <c r="D708" s="36" t="str">
        <f>IF(ISNONTEXT(deployment_raw[[#This Row],[Column4]]), "", deployment_raw[[#This Row],[Column4]])</f>
        <v/>
      </c>
      <c r="E708" s="37" t="str">
        <f>IF(ISNUMBER(deployment_raw[[#This Row],[Column5]]), deployment_raw[[#This Row],[Column5]],"")</f>
        <v/>
      </c>
      <c r="F708" s="94" t="str">
        <f>IF(ISNUMBER(deployment_raw[[#This Row],[Column6]]), (deployment_raw[[#This Row],[Column6]] * IF($E$2="Deployment",deployment_raw[[#This Row],[Column5]],1)),"")</f>
        <v/>
      </c>
      <c r="G708" s="95" t="str">
        <f>IF(ISNUMBER(deployment_raw[[#This Row],[Column7]]), (deployment_raw[[#This Row],[Column7]] * IF($E$2="Deployment",deployment_raw[[#This Row],[Column5]],1))/1048576,"")</f>
        <v/>
      </c>
      <c r="H708" s="95" t="str">
        <f>IF(ISNUMBER(deployment_raw[[#This Row],[Column8]]), (deployment_raw[[#This Row],[Column8]]  * IF($E$2="Deployment",deployment_raw[[#This Row],[Column5]],1)),"")</f>
        <v/>
      </c>
      <c r="I708" s="96" t="str">
        <f>IF(ISNUMBER(deployment_raw[[#This Row],[Column9]]), (deployment_raw[[#This Row],[Column9]] * IF($E$2="Deployment",deployment_raw[[#This Row],[Column5]],1))/1048576,"")</f>
        <v/>
      </c>
      <c r="J708" s="122" t="str">
        <f>IF(ISNUMBER(deployment_raw[[#This Row],[Column10]]), (MIN(IF(N708&lt;&gt;"",N708,9999999999999)*1.1,deployment_raw[[#This Row],[Column10]] * IF($E$2="Deployment",deployment_raw[[#This Row],[Column5]],1))),"")</f>
        <v/>
      </c>
      <c r="K708" s="123" t="str">
        <f>IF(ISNUMBER(deployment_raw[[#This Row],[Column11]]), (MIN(IF(O708&lt;&gt;"",O708,9999999999999)*1.1,deployment_raw[[#This Row],[Column11]] * IF($E$2="Deployment",deployment_raw[[#This Row],[Column5]],1)/1048576)),"")</f>
        <v/>
      </c>
      <c r="L708" s="124" t="str">
        <f>IF(ISNUMBER(deployment_raw[[#This Row],[Column8]]),IF(OR(deployment_raw[[#This Row],[Column5]] &lt;&gt; 0,$E$2 &lt;&gt; "Deployment"), MAX(J708, P708, R708, ($L$2 * IF($E$2="Deployment",deployment_raw[[#This Row],[Column5]],1)),IF(T708&lt;&gt;"",VALUE(T708) * IF($E$2="Deployment",deployment_raw[[#This Row],[Column5]],1),0)), 0),"")</f>
        <v/>
      </c>
      <c r="M708" s="125" t="str">
        <f>IF(ISNUMBER(deployment_raw[[#This Row],[Column9]]),IF(OR(deployment_raw[[#This Row],[Column5]] &lt;&gt; 0,$E$2&lt;&gt;"Deployment"), MAX(K708, Q708, S708, ($M$2 * IF($E$2="Deployment",deployment_raw[[#This Row],[Column5]],1)),IF(U708&lt;&gt;"",VALUE(U708) * IF($E$2="Deployment",deployment_raw[[#This Row],[Column5]],1),0)), 0),"")</f>
        <v/>
      </c>
      <c r="N708" s="166" t="str">
        <f>IF(ISNUMBER(deployment_raw[[#This Row],[Column14]]), deployment_raw[[#This Row],[Column14]]/IF(OR($E$2="Deployment",deployment_raw[[#This Row],[Column5]]=0),1,deployment_raw[[#This Row],[Column5]]),"")</f>
        <v/>
      </c>
      <c r="O708" s="167" t="str">
        <f>IF(ISNUMBER(deployment_raw[[#This Row],[Column15]]), deployment_raw[[#This Row],[Column15]]/IF(OR($E$2="Deployment",deployment_raw[[#This Row],[Column5]]=0),1,deployment_raw[[#This Row],[Column5]])/1048576,"")</f>
        <v/>
      </c>
      <c r="P708" s="168" t="str">
        <f>IF(ISNUMBER(deployment_raw[[#This Row],[Column12]]), (MIN(IF(N708&lt;&gt;"",N708,9999999999999)*1.1,deployment_raw[[#This Row],[Column12]] * IF($E$2="Deployment",deployment_raw[[#This Row],[Column5]],1))*(1+$P$2)),"")</f>
        <v/>
      </c>
      <c r="Q708" s="167" t="str">
        <f>IF(ISNUMBER(deployment_raw[[#This Row],[Column13]]), (MIN(IF(O708&lt;&gt;"",O708,9999999999999)*1.1,deployment_raw[[#This Row],[Column13]] * IF($E$2="Deployment",deployment_raw[[#This Row],[Column5]],1)*(1+$Q$2)/1048576)),"")</f>
        <v/>
      </c>
      <c r="R708" s="169" t="str">
        <f>IF(ISNUMBER(deployment_raw[[#This Row],[Column8]]), (H708  * IF(N708&lt;&gt;0,$R$2,1)),"")</f>
        <v/>
      </c>
      <c r="S708" s="170" t="str">
        <f>IF(ISNUMBER(deployment_raw[[#This Row],[Column8]]), (I708  * IF(O708&lt;&gt;0,$S$2,1)),"")</f>
        <v/>
      </c>
      <c r="T708" s="202" t="str">
        <f>IF(AND(A708&lt;&gt;"",_xlfn.IFNA(MATCH(A708,'dynamic resource application '!$A$2:$A$100, 0),0)&lt;&gt;0), H708/(IF($E$2="Deployment",E708,1)),"")</f>
        <v/>
      </c>
      <c r="U708" s="211" t="str">
        <f>IF(AND(A708&lt;&gt;"",_xlfn.IFNA(MATCH(A708,'dynamic resource application '!$A$2:$A$100, 0),0)&lt;&gt;0), I708/(IF($E$2="Deployment",E708,1)),"")</f>
        <v/>
      </c>
    </row>
    <row r="709" spans="1:21" ht="15.75" customHeight="1" x14ac:dyDescent="0.25">
      <c r="A709" s="35" t="str">
        <f>IF(ISNONTEXT(deployment_raw[[#This Row],[Column1]]), "", deployment_raw[[#This Row],[Column1]])</f>
        <v/>
      </c>
      <c r="B709" s="36" t="str">
        <f>IF(ISNONTEXT(deployment_raw[[#This Row],[Column2]]), "", deployment_raw[[#This Row],[Column2]])</f>
        <v/>
      </c>
      <c r="C709" s="36" t="str">
        <f>IF(ISNONTEXT(deployment_raw[[#This Row],[Column3]]), "", deployment_raw[[#This Row],[Column3]])</f>
        <v/>
      </c>
      <c r="D709" s="36" t="str">
        <f>IF(ISNONTEXT(deployment_raw[[#This Row],[Column4]]), "", deployment_raw[[#This Row],[Column4]])</f>
        <v/>
      </c>
      <c r="E709" s="37" t="str">
        <f>IF(ISNUMBER(deployment_raw[[#This Row],[Column5]]), deployment_raw[[#This Row],[Column5]],"")</f>
        <v/>
      </c>
      <c r="F709" s="94" t="str">
        <f>IF(ISNUMBER(deployment_raw[[#This Row],[Column6]]), (deployment_raw[[#This Row],[Column6]] * IF($E$2="Deployment",deployment_raw[[#This Row],[Column5]],1)),"")</f>
        <v/>
      </c>
      <c r="G709" s="95" t="str">
        <f>IF(ISNUMBER(deployment_raw[[#This Row],[Column7]]), (deployment_raw[[#This Row],[Column7]] * IF($E$2="Deployment",deployment_raw[[#This Row],[Column5]],1))/1048576,"")</f>
        <v/>
      </c>
      <c r="H709" s="95" t="str">
        <f>IF(ISNUMBER(deployment_raw[[#This Row],[Column8]]), (deployment_raw[[#This Row],[Column8]]  * IF($E$2="Deployment",deployment_raw[[#This Row],[Column5]],1)),"")</f>
        <v/>
      </c>
      <c r="I709" s="96" t="str">
        <f>IF(ISNUMBER(deployment_raw[[#This Row],[Column9]]), (deployment_raw[[#This Row],[Column9]] * IF($E$2="Deployment",deployment_raw[[#This Row],[Column5]],1))/1048576,"")</f>
        <v/>
      </c>
      <c r="J709" s="122" t="str">
        <f>IF(ISNUMBER(deployment_raw[[#This Row],[Column10]]), (MIN(IF(N709&lt;&gt;"",N709,9999999999999)*1.1,deployment_raw[[#This Row],[Column10]] * IF($E$2="Deployment",deployment_raw[[#This Row],[Column5]],1))),"")</f>
        <v/>
      </c>
      <c r="K709" s="123" t="str">
        <f>IF(ISNUMBER(deployment_raw[[#This Row],[Column11]]), (MIN(IF(O709&lt;&gt;"",O709,9999999999999)*1.1,deployment_raw[[#This Row],[Column11]] * IF($E$2="Deployment",deployment_raw[[#This Row],[Column5]],1)/1048576)),"")</f>
        <v/>
      </c>
      <c r="L709" s="124" t="str">
        <f>IF(ISNUMBER(deployment_raw[[#This Row],[Column8]]),IF(OR(deployment_raw[[#This Row],[Column5]] &lt;&gt; 0,$E$2 &lt;&gt; "Deployment"), MAX(J709, P709, R709, ($L$2 * IF($E$2="Deployment",deployment_raw[[#This Row],[Column5]],1)),IF(T709&lt;&gt;"",VALUE(T709) * IF($E$2="Deployment",deployment_raw[[#This Row],[Column5]],1),0)), 0),"")</f>
        <v/>
      </c>
      <c r="M709" s="125" t="str">
        <f>IF(ISNUMBER(deployment_raw[[#This Row],[Column9]]),IF(OR(deployment_raw[[#This Row],[Column5]] &lt;&gt; 0,$E$2&lt;&gt;"Deployment"), MAX(K709, Q709, S709, ($M$2 * IF($E$2="Deployment",deployment_raw[[#This Row],[Column5]],1)),IF(U709&lt;&gt;"",VALUE(U709) * IF($E$2="Deployment",deployment_raw[[#This Row],[Column5]],1),0)), 0),"")</f>
        <v/>
      </c>
      <c r="N709" s="166" t="str">
        <f>IF(ISNUMBER(deployment_raw[[#This Row],[Column14]]), deployment_raw[[#This Row],[Column14]]/IF(OR($E$2="Deployment",deployment_raw[[#This Row],[Column5]]=0),1,deployment_raw[[#This Row],[Column5]]),"")</f>
        <v/>
      </c>
      <c r="O709" s="167" t="str">
        <f>IF(ISNUMBER(deployment_raw[[#This Row],[Column15]]), deployment_raw[[#This Row],[Column15]]/IF(OR($E$2="Deployment",deployment_raw[[#This Row],[Column5]]=0),1,deployment_raw[[#This Row],[Column5]])/1048576,"")</f>
        <v/>
      </c>
      <c r="P709" s="168" t="str">
        <f>IF(ISNUMBER(deployment_raw[[#This Row],[Column12]]), (MIN(IF(N709&lt;&gt;"",N709,9999999999999)*1.1,deployment_raw[[#This Row],[Column12]] * IF($E$2="Deployment",deployment_raw[[#This Row],[Column5]],1))*(1+$P$2)),"")</f>
        <v/>
      </c>
      <c r="Q709" s="167" t="str">
        <f>IF(ISNUMBER(deployment_raw[[#This Row],[Column13]]), (MIN(IF(O709&lt;&gt;"",O709,9999999999999)*1.1,deployment_raw[[#This Row],[Column13]] * IF($E$2="Deployment",deployment_raw[[#This Row],[Column5]],1)*(1+$Q$2)/1048576)),"")</f>
        <v/>
      </c>
      <c r="R709" s="169" t="str">
        <f>IF(ISNUMBER(deployment_raw[[#This Row],[Column8]]), (H709  * IF(N709&lt;&gt;0,$R$2,1)),"")</f>
        <v/>
      </c>
      <c r="S709" s="170" t="str">
        <f>IF(ISNUMBER(deployment_raw[[#This Row],[Column8]]), (I709  * IF(O709&lt;&gt;0,$S$2,1)),"")</f>
        <v/>
      </c>
      <c r="T709" s="202" t="str">
        <f>IF(AND(A709&lt;&gt;"",_xlfn.IFNA(MATCH(A709,'dynamic resource application '!$A$2:$A$100, 0),0)&lt;&gt;0), H709/(IF($E$2="Deployment",E709,1)),"")</f>
        <v/>
      </c>
      <c r="U709" s="211" t="str">
        <f>IF(AND(A709&lt;&gt;"",_xlfn.IFNA(MATCH(A709,'dynamic resource application '!$A$2:$A$100, 0),0)&lt;&gt;0), I709/(IF($E$2="Deployment",E709,1)),"")</f>
        <v/>
      </c>
    </row>
    <row r="710" spans="1:21" ht="15.75" customHeight="1" x14ac:dyDescent="0.25">
      <c r="A710" s="35" t="str">
        <f>IF(ISNONTEXT(deployment_raw[[#This Row],[Column1]]), "", deployment_raw[[#This Row],[Column1]])</f>
        <v/>
      </c>
      <c r="B710" s="36" t="str">
        <f>IF(ISNONTEXT(deployment_raw[[#This Row],[Column2]]), "", deployment_raw[[#This Row],[Column2]])</f>
        <v/>
      </c>
      <c r="C710" s="36" t="str">
        <f>IF(ISNONTEXT(deployment_raw[[#This Row],[Column3]]), "", deployment_raw[[#This Row],[Column3]])</f>
        <v/>
      </c>
      <c r="D710" s="36" t="str">
        <f>IF(ISNONTEXT(deployment_raw[[#This Row],[Column4]]), "", deployment_raw[[#This Row],[Column4]])</f>
        <v/>
      </c>
      <c r="E710" s="37" t="str">
        <f>IF(ISNUMBER(deployment_raw[[#This Row],[Column5]]), deployment_raw[[#This Row],[Column5]],"")</f>
        <v/>
      </c>
      <c r="F710" s="94" t="str">
        <f>IF(ISNUMBER(deployment_raw[[#This Row],[Column6]]), (deployment_raw[[#This Row],[Column6]] * IF($E$2="Deployment",deployment_raw[[#This Row],[Column5]],1)),"")</f>
        <v/>
      </c>
      <c r="G710" s="95" t="str">
        <f>IF(ISNUMBER(deployment_raw[[#This Row],[Column7]]), (deployment_raw[[#This Row],[Column7]] * IF($E$2="Deployment",deployment_raw[[#This Row],[Column5]],1))/1048576,"")</f>
        <v/>
      </c>
      <c r="H710" s="95" t="str">
        <f>IF(ISNUMBER(deployment_raw[[#This Row],[Column8]]), (deployment_raw[[#This Row],[Column8]]  * IF($E$2="Deployment",deployment_raw[[#This Row],[Column5]],1)),"")</f>
        <v/>
      </c>
      <c r="I710" s="96" t="str">
        <f>IF(ISNUMBER(deployment_raw[[#This Row],[Column9]]), (deployment_raw[[#This Row],[Column9]] * IF($E$2="Deployment",deployment_raw[[#This Row],[Column5]],1))/1048576,"")</f>
        <v/>
      </c>
      <c r="J710" s="122" t="str">
        <f>IF(ISNUMBER(deployment_raw[[#This Row],[Column10]]), (MIN(IF(N710&lt;&gt;"",N710,9999999999999)*1.1,deployment_raw[[#This Row],[Column10]] * IF($E$2="Deployment",deployment_raw[[#This Row],[Column5]],1))),"")</f>
        <v/>
      </c>
      <c r="K710" s="123" t="str">
        <f>IF(ISNUMBER(deployment_raw[[#This Row],[Column11]]), (MIN(IF(O710&lt;&gt;"",O710,9999999999999)*1.1,deployment_raw[[#This Row],[Column11]] * IF($E$2="Deployment",deployment_raw[[#This Row],[Column5]],1)/1048576)),"")</f>
        <v/>
      </c>
      <c r="L710" s="124" t="str">
        <f>IF(ISNUMBER(deployment_raw[[#This Row],[Column8]]),IF(OR(deployment_raw[[#This Row],[Column5]] &lt;&gt; 0,$E$2 &lt;&gt; "Deployment"), MAX(J710, P710, R710, ($L$2 * IF($E$2="Deployment",deployment_raw[[#This Row],[Column5]],1)),IF(T710&lt;&gt;"",VALUE(T710) * IF($E$2="Deployment",deployment_raw[[#This Row],[Column5]],1),0)), 0),"")</f>
        <v/>
      </c>
      <c r="M710" s="125" t="str">
        <f>IF(ISNUMBER(deployment_raw[[#This Row],[Column9]]),IF(OR(deployment_raw[[#This Row],[Column5]] &lt;&gt; 0,$E$2&lt;&gt;"Deployment"), MAX(K710, Q710, S710, ($M$2 * IF($E$2="Deployment",deployment_raw[[#This Row],[Column5]],1)),IF(U710&lt;&gt;"",VALUE(U710) * IF($E$2="Deployment",deployment_raw[[#This Row],[Column5]],1),0)), 0),"")</f>
        <v/>
      </c>
      <c r="N710" s="166" t="str">
        <f>IF(ISNUMBER(deployment_raw[[#This Row],[Column14]]), deployment_raw[[#This Row],[Column14]]/IF(OR($E$2="Deployment",deployment_raw[[#This Row],[Column5]]=0),1,deployment_raw[[#This Row],[Column5]]),"")</f>
        <v/>
      </c>
      <c r="O710" s="167" t="str">
        <f>IF(ISNUMBER(deployment_raw[[#This Row],[Column15]]), deployment_raw[[#This Row],[Column15]]/IF(OR($E$2="Deployment",deployment_raw[[#This Row],[Column5]]=0),1,deployment_raw[[#This Row],[Column5]])/1048576,"")</f>
        <v/>
      </c>
      <c r="P710" s="168" t="str">
        <f>IF(ISNUMBER(deployment_raw[[#This Row],[Column12]]), (MIN(IF(N710&lt;&gt;"",N710,9999999999999)*1.1,deployment_raw[[#This Row],[Column12]] * IF($E$2="Deployment",deployment_raw[[#This Row],[Column5]],1))*(1+$P$2)),"")</f>
        <v/>
      </c>
      <c r="Q710" s="167" t="str">
        <f>IF(ISNUMBER(deployment_raw[[#This Row],[Column13]]), (MIN(IF(O710&lt;&gt;"",O710,9999999999999)*1.1,deployment_raw[[#This Row],[Column13]] * IF($E$2="Deployment",deployment_raw[[#This Row],[Column5]],1)*(1+$Q$2)/1048576)),"")</f>
        <v/>
      </c>
      <c r="R710" s="169" t="str">
        <f>IF(ISNUMBER(deployment_raw[[#This Row],[Column8]]), (H710  * IF(N710&lt;&gt;0,$R$2,1)),"")</f>
        <v/>
      </c>
      <c r="S710" s="170" t="str">
        <f>IF(ISNUMBER(deployment_raw[[#This Row],[Column8]]), (I710  * IF(O710&lt;&gt;0,$S$2,1)),"")</f>
        <v/>
      </c>
      <c r="T710" s="202" t="str">
        <f>IF(AND(A710&lt;&gt;"",_xlfn.IFNA(MATCH(A710,'dynamic resource application '!$A$2:$A$100, 0),0)&lt;&gt;0), H710/(IF($E$2="Deployment",E710,1)),"")</f>
        <v/>
      </c>
      <c r="U710" s="211" t="str">
        <f>IF(AND(A710&lt;&gt;"",_xlfn.IFNA(MATCH(A710,'dynamic resource application '!$A$2:$A$100, 0),0)&lt;&gt;0), I710/(IF($E$2="Deployment",E710,1)),"")</f>
        <v/>
      </c>
    </row>
    <row r="711" spans="1:21" ht="15.75" customHeight="1" x14ac:dyDescent="0.25">
      <c r="A711" s="35" t="str">
        <f>IF(ISNONTEXT(deployment_raw[[#This Row],[Column1]]), "", deployment_raw[[#This Row],[Column1]])</f>
        <v/>
      </c>
      <c r="B711" s="36" t="str">
        <f>IF(ISNONTEXT(deployment_raw[[#This Row],[Column2]]), "", deployment_raw[[#This Row],[Column2]])</f>
        <v/>
      </c>
      <c r="C711" s="36" t="str">
        <f>IF(ISNONTEXT(deployment_raw[[#This Row],[Column3]]), "", deployment_raw[[#This Row],[Column3]])</f>
        <v/>
      </c>
      <c r="D711" s="36" t="str">
        <f>IF(ISNONTEXT(deployment_raw[[#This Row],[Column4]]), "", deployment_raw[[#This Row],[Column4]])</f>
        <v/>
      </c>
      <c r="E711" s="37" t="str">
        <f>IF(ISNUMBER(deployment_raw[[#This Row],[Column5]]), deployment_raw[[#This Row],[Column5]],"")</f>
        <v/>
      </c>
      <c r="F711" s="94" t="str">
        <f>IF(ISNUMBER(deployment_raw[[#This Row],[Column6]]), (deployment_raw[[#This Row],[Column6]] * IF($E$2="Deployment",deployment_raw[[#This Row],[Column5]],1)),"")</f>
        <v/>
      </c>
      <c r="G711" s="95" t="str">
        <f>IF(ISNUMBER(deployment_raw[[#This Row],[Column7]]), (deployment_raw[[#This Row],[Column7]] * IF($E$2="Deployment",deployment_raw[[#This Row],[Column5]],1))/1048576,"")</f>
        <v/>
      </c>
      <c r="H711" s="95" t="str">
        <f>IF(ISNUMBER(deployment_raw[[#This Row],[Column8]]), (deployment_raw[[#This Row],[Column8]]  * IF($E$2="Deployment",deployment_raw[[#This Row],[Column5]],1)),"")</f>
        <v/>
      </c>
      <c r="I711" s="96" t="str">
        <f>IF(ISNUMBER(deployment_raw[[#This Row],[Column9]]), (deployment_raw[[#This Row],[Column9]] * IF($E$2="Deployment",deployment_raw[[#This Row],[Column5]],1))/1048576,"")</f>
        <v/>
      </c>
      <c r="J711" s="122" t="str">
        <f>IF(ISNUMBER(deployment_raw[[#This Row],[Column10]]), (MIN(IF(N711&lt;&gt;"",N711,9999999999999)*1.1,deployment_raw[[#This Row],[Column10]] * IF($E$2="Deployment",deployment_raw[[#This Row],[Column5]],1))),"")</f>
        <v/>
      </c>
      <c r="K711" s="123" t="str">
        <f>IF(ISNUMBER(deployment_raw[[#This Row],[Column11]]), (MIN(IF(O711&lt;&gt;"",O711,9999999999999)*1.1,deployment_raw[[#This Row],[Column11]] * IF($E$2="Deployment",deployment_raw[[#This Row],[Column5]],1)/1048576)),"")</f>
        <v/>
      </c>
      <c r="L711" s="124" t="str">
        <f>IF(ISNUMBER(deployment_raw[[#This Row],[Column8]]),IF(OR(deployment_raw[[#This Row],[Column5]] &lt;&gt; 0,$E$2 &lt;&gt; "Deployment"), MAX(J711, P711, R711, ($L$2 * IF($E$2="Deployment",deployment_raw[[#This Row],[Column5]],1)),IF(T711&lt;&gt;"",VALUE(T711) * IF($E$2="Deployment",deployment_raw[[#This Row],[Column5]],1),0)), 0),"")</f>
        <v/>
      </c>
      <c r="M711" s="125" t="str">
        <f>IF(ISNUMBER(deployment_raw[[#This Row],[Column9]]),IF(OR(deployment_raw[[#This Row],[Column5]] &lt;&gt; 0,$E$2&lt;&gt;"Deployment"), MAX(K711, Q711, S711, ($M$2 * IF($E$2="Deployment",deployment_raw[[#This Row],[Column5]],1)),IF(U711&lt;&gt;"",VALUE(U711) * IF($E$2="Deployment",deployment_raw[[#This Row],[Column5]],1),0)), 0),"")</f>
        <v/>
      </c>
      <c r="N711" s="166" t="str">
        <f>IF(ISNUMBER(deployment_raw[[#This Row],[Column14]]), deployment_raw[[#This Row],[Column14]]/IF(OR($E$2="Deployment",deployment_raw[[#This Row],[Column5]]=0),1,deployment_raw[[#This Row],[Column5]]),"")</f>
        <v/>
      </c>
      <c r="O711" s="167" t="str">
        <f>IF(ISNUMBER(deployment_raw[[#This Row],[Column15]]), deployment_raw[[#This Row],[Column15]]/IF(OR($E$2="Deployment",deployment_raw[[#This Row],[Column5]]=0),1,deployment_raw[[#This Row],[Column5]])/1048576,"")</f>
        <v/>
      </c>
      <c r="P711" s="168" t="str">
        <f>IF(ISNUMBER(deployment_raw[[#This Row],[Column12]]), (MIN(IF(N711&lt;&gt;"",N711,9999999999999)*1.1,deployment_raw[[#This Row],[Column12]] * IF($E$2="Deployment",deployment_raw[[#This Row],[Column5]],1))*(1+$P$2)),"")</f>
        <v/>
      </c>
      <c r="Q711" s="167" t="str">
        <f>IF(ISNUMBER(deployment_raw[[#This Row],[Column13]]), (MIN(IF(O711&lt;&gt;"",O711,9999999999999)*1.1,deployment_raw[[#This Row],[Column13]] * IF($E$2="Deployment",deployment_raw[[#This Row],[Column5]],1)*(1+$Q$2)/1048576)),"")</f>
        <v/>
      </c>
      <c r="R711" s="169" t="str">
        <f>IF(ISNUMBER(deployment_raw[[#This Row],[Column8]]), (H711  * IF(N711&lt;&gt;0,$R$2,1)),"")</f>
        <v/>
      </c>
      <c r="S711" s="170" t="str">
        <f>IF(ISNUMBER(deployment_raw[[#This Row],[Column8]]), (I711  * IF(O711&lt;&gt;0,$S$2,1)),"")</f>
        <v/>
      </c>
      <c r="T711" s="202" t="str">
        <f>IF(AND(A711&lt;&gt;"",_xlfn.IFNA(MATCH(A711,'dynamic resource application '!$A$2:$A$100, 0),0)&lt;&gt;0), H711/(IF($E$2="Deployment",E711,1)),"")</f>
        <v/>
      </c>
      <c r="U711" s="211" t="str">
        <f>IF(AND(A711&lt;&gt;"",_xlfn.IFNA(MATCH(A711,'dynamic resource application '!$A$2:$A$100, 0),0)&lt;&gt;0), I711/(IF($E$2="Deployment",E711,1)),"")</f>
        <v/>
      </c>
    </row>
    <row r="712" spans="1:21" ht="15.75" customHeight="1" x14ac:dyDescent="0.25">
      <c r="A712" s="35" t="str">
        <f>IF(ISNONTEXT(deployment_raw[[#This Row],[Column1]]), "", deployment_raw[[#This Row],[Column1]])</f>
        <v/>
      </c>
      <c r="B712" s="36" t="str">
        <f>IF(ISNONTEXT(deployment_raw[[#This Row],[Column2]]), "", deployment_raw[[#This Row],[Column2]])</f>
        <v/>
      </c>
      <c r="C712" s="36" t="str">
        <f>IF(ISNONTEXT(deployment_raw[[#This Row],[Column3]]), "", deployment_raw[[#This Row],[Column3]])</f>
        <v/>
      </c>
      <c r="D712" s="36" t="str">
        <f>IF(ISNONTEXT(deployment_raw[[#This Row],[Column4]]), "", deployment_raw[[#This Row],[Column4]])</f>
        <v/>
      </c>
      <c r="E712" s="37" t="str">
        <f>IF(ISNUMBER(deployment_raw[[#This Row],[Column5]]), deployment_raw[[#This Row],[Column5]],"")</f>
        <v/>
      </c>
      <c r="F712" s="94" t="str">
        <f>IF(ISNUMBER(deployment_raw[[#This Row],[Column6]]), (deployment_raw[[#This Row],[Column6]] * IF($E$2="Deployment",deployment_raw[[#This Row],[Column5]],1)),"")</f>
        <v/>
      </c>
      <c r="G712" s="95" t="str">
        <f>IF(ISNUMBER(deployment_raw[[#This Row],[Column7]]), (deployment_raw[[#This Row],[Column7]] * IF($E$2="Deployment",deployment_raw[[#This Row],[Column5]],1))/1048576,"")</f>
        <v/>
      </c>
      <c r="H712" s="95" t="str">
        <f>IF(ISNUMBER(deployment_raw[[#This Row],[Column8]]), (deployment_raw[[#This Row],[Column8]]  * IF($E$2="Deployment",deployment_raw[[#This Row],[Column5]],1)),"")</f>
        <v/>
      </c>
      <c r="I712" s="96" t="str">
        <f>IF(ISNUMBER(deployment_raw[[#This Row],[Column9]]), (deployment_raw[[#This Row],[Column9]] * IF($E$2="Deployment",deployment_raw[[#This Row],[Column5]],1))/1048576,"")</f>
        <v/>
      </c>
      <c r="J712" s="122" t="str">
        <f>IF(ISNUMBER(deployment_raw[[#This Row],[Column10]]), (MIN(IF(N712&lt;&gt;"",N712,9999999999999)*1.1,deployment_raw[[#This Row],[Column10]] * IF($E$2="Deployment",deployment_raw[[#This Row],[Column5]],1))),"")</f>
        <v/>
      </c>
      <c r="K712" s="123" t="str">
        <f>IF(ISNUMBER(deployment_raw[[#This Row],[Column11]]), (MIN(IF(O712&lt;&gt;"",O712,9999999999999)*1.1,deployment_raw[[#This Row],[Column11]] * IF($E$2="Deployment",deployment_raw[[#This Row],[Column5]],1)/1048576)),"")</f>
        <v/>
      </c>
      <c r="L712" s="124" t="str">
        <f>IF(ISNUMBER(deployment_raw[[#This Row],[Column8]]),IF(OR(deployment_raw[[#This Row],[Column5]] &lt;&gt; 0,$E$2 &lt;&gt; "Deployment"), MAX(J712, P712, R712, ($L$2 * IF($E$2="Deployment",deployment_raw[[#This Row],[Column5]],1)),IF(T712&lt;&gt;"",VALUE(T712) * IF($E$2="Deployment",deployment_raw[[#This Row],[Column5]],1),0)), 0),"")</f>
        <v/>
      </c>
      <c r="M712" s="125" t="str">
        <f>IF(ISNUMBER(deployment_raw[[#This Row],[Column9]]),IF(OR(deployment_raw[[#This Row],[Column5]] &lt;&gt; 0,$E$2&lt;&gt;"Deployment"), MAX(K712, Q712, S712, ($M$2 * IF($E$2="Deployment",deployment_raw[[#This Row],[Column5]],1)),IF(U712&lt;&gt;"",VALUE(U712) * IF($E$2="Deployment",deployment_raw[[#This Row],[Column5]],1),0)), 0),"")</f>
        <v/>
      </c>
      <c r="N712" s="166" t="str">
        <f>IF(ISNUMBER(deployment_raw[[#This Row],[Column14]]), deployment_raw[[#This Row],[Column14]]/IF(OR($E$2="Deployment",deployment_raw[[#This Row],[Column5]]=0),1,deployment_raw[[#This Row],[Column5]]),"")</f>
        <v/>
      </c>
      <c r="O712" s="167" t="str">
        <f>IF(ISNUMBER(deployment_raw[[#This Row],[Column15]]), deployment_raw[[#This Row],[Column15]]/IF(OR($E$2="Deployment",deployment_raw[[#This Row],[Column5]]=0),1,deployment_raw[[#This Row],[Column5]])/1048576,"")</f>
        <v/>
      </c>
      <c r="P712" s="168" t="str">
        <f>IF(ISNUMBER(deployment_raw[[#This Row],[Column12]]), (MIN(IF(N712&lt;&gt;"",N712,9999999999999)*1.1,deployment_raw[[#This Row],[Column12]] * IF($E$2="Deployment",deployment_raw[[#This Row],[Column5]],1))*(1+$P$2)),"")</f>
        <v/>
      </c>
      <c r="Q712" s="167" t="str">
        <f>IF(ISNUMBER(deployment_raw[[#This Row],[Column13]]), (MIN(IF(O712&lt;&gt;"",O712,9999999999999)*1.1,deployment_raw[[#This Row],[Column13]] * IF($E$2="Deployment",deployment_raw[[#This Row],[Column5]],1)*(1+$Q$2)/1048576)),"")</f>
        <v/>
      </c>
      <c r="R712" s="169" t="str">
        <f>IF(ISNUMBER(deployment_raw[[#This Row],[Column8]]), (H712  * IF(N712&lt;&gt;0,$R$2,1)),"")</f>
        <v/>
      </c>
      <c r="S712" s="170" t="str">
        <f>IF(ISNUMBER(deployment_raw[[#This Row],[Column8]]), (I712  * IF(O712&lt;&gt;0,$S$2,1)),"")</f>
        <v/>
      </c>
      <c r="T712" s="202" t="str">
        <f>IF(AND(A712&lt;&gt;"",_xlfn.IFNA(MATCH(A712,'dynamic resource application '!$A$2:$A$100, 0),0)&lt;&gt;0), H712/(IF($E$2="Deployment",E712,1)),"")</f>
        <v/>
      </c>
      <c r="U712" s="211" t="str">
        <f>IF(AND(A712&lt;&gt;"",_xlfn.IFNA(MATCH(A712,'dynamic resource application '!$A$2:$A$100, 0),0)&lt;&gt;0), I712/(IF($E$2="Deployment",E712,1)),"")</f>
        <v/>
      </c>
    </row>
    <row r="713" spans="1:21" ht="15.75" customHeight="1" x14ac:dyDescent="0.25">
      <c r="A713" s="35" t="str">
        <f>IF(ISNONTEXT(deployment_raw[[#This Row],[Column1]]), "", deployment_raw[[#This Row],[Column1]])</f>
        <v/>
      </c>
      <c r="B713" s="36" t="str">
        <f>IF(ISNONTEXT(deployment_raw[[#This Row],[Column2]]), "", deployment_raw[[#This Row],[Column2]])</f>
        <v/>
      </c>
      <c r="C713" s="36" t="str">
        <f>IF(ISNONTEXT(deployment_raw[[#This Row],[Column3]]), "", deployment_raw[[#This Row],[Column3]])</f>
        <v/>
      </c>
      <c r="D713" s="36" t="str">
        <f>IF(ISNONTEXT(deployment_raw[[#This Row],[Column4]]), "", deployment_raw[[#This Row],[Column4]])</f>
        <v/>
      </c>
      <c r="E713" s="37" t="str">
        <f>IF(ISNUMBER(deployment_raw[[#This Row],[Column5]]), deployment_raw[[#This Row],[Column5]],"")</f>
        <v/>
      </c>
      <c r="F713" s="94" t="str">
        <f>IF(ISNUMBER(deployment_raw[[#This Row],[Column6]]), (deployment_raw[[#This Row],[Column6]] * IF($E$2="Deployment",deployment_raw[[#This Row],[Column5]],1)),"")</f>
        <v/>
      </c>
      <c r="G713" s="95" t="str">
        <f>IF(ISNUMBER(deployment_raw[[#This Row],[Column7]]), (deployment_raw[[#This Row],[Column7]] * IF($E$2="Deployment",deployment_raw[[#This Row],[Column5]],1))/1048576,"")</f>
        <v/>
      </c>
      <c r="H713" s="95" t="str">
        <f>IF(ISNUMBER(deployment_raw[[#This Row],[Column8]]), (deployment_raw[[#This Row],[Column8]]  * IF($E$2="Deployment",deployment_raw[[#This Row],[Column5]],1)),"")</f>
        <v/>
      </c>
      <c r="I713" s="96" t="str">
        <f>IF(ISNUMBER(deployment_raw[[#This Row],[Column9]]), (deployment_raw[[#This Row],[Column9]] * IF($E$2="Deployment",deployment_raw[[#This Row],[Column5]],1))/1048576,"")</f>
        <v/>
      </c>
      <c r="J713" s="122" t="str">
        <f>IF(ISNUMBER(deployment_raw[[#This Row],[Column10]]), (MIN(IF(N713&lt;&gt;"",N713,9999999999999)*1.1,deployment_raw[[#This Row],[Column10]] * IF($E$2="Deployment",deployment_raw[[#This Row],[Column5]],1))),"")</f>
        <v/>
      </c>
      <c r="K713" s="123" t="str">
        <f>IF(ISNUMBER(deployment_raw[[#This Row],[Column11]]), (MIN(IF(O713&lt;&gt;"",O713,9999999999999)*1.1,deployment_raw[[#This Row],[Column11]] * IF($E$2="Deployment",deployment_raw[[#This Row],[Column5]],1)/1048576)),"")</f>
        <v/>
      </c>
      <c r="L713" s="124" t="str">
        <f>IF(ISNUMBER(deployment_raw[[#This Row],[Column8]]),IF(OR(deployment_raw[[#This Row],[Column5]] &lt;&gt; 0,$E$2 &lt;&gt; "Deployment"), MAX(J713, P713, R713, ($L$2 * IF($E$2="Deployment",deployment_raw[[#This Row],[Column5]],1)),IF(T713&lt;&gt;"",VALUE(T713) * IF($E$2="Deployment",deployment_raw[[#This Row],[Column5]],1),0)), 0),"")</f>
        <v/>
      </c>
      <c r="M713" s="125" t="str">
        <f>IF(ISNUMBER(deployment_raw[[#This Row],[Column9]]),IF(OR(deployment_raw[[#This Row],[Column5]] &lt;&gt; 0,$E$2&lt;&gt;"Deployment"), MAX(K713, Q713, S713, ($M$2 * IF($E$2="Deployment",deployment_raw[[#This Row],[Column5]],1)),IF(U713&lt;&gt;"",VALUE(U713) * IF($E$2="Deployment",deployment_raw[[#This Row],[Column5]],1),0)), 0),"")</f>
        <v/>
      </c>
      <c r="N713" s="166" t="str">
        <f>IF(ISNUMBER(deployment_raw[[#This Row],[Column14]]), deployment_raw[[#This Row],[Column14]]/IF(OR($E$2="Deployment",deployment_raw[[#This Row],[Column5]]=0),1,deployment_raw[[#This Row],[Column5]]),"")</f>
        <v/>
      </c>
      <c r="O713" s="167" t="str">
        <f>IF(ISNUMBER(deployment_raw[[#This Row],[Column15]]), deployment_raw[[#This Row],[Column15]]/IF(OR($E$2="Deployment",deployment_raw[[#This Row],[Column5]]=0),1,deployment_raw[[#This Row],[Column5]])/1048576,"")</f>
        <v/>
      </c>
      <c r="P713" s="168" t="str">
        <f>IF(ISNUMBER(deployment_raw[[#This Row],[Column12]]), (MIN(IF(N713&lt;&gt;"",N713,9999999999999)*1.1,deployment_raw[[#This Row],[Column12]] * IF($E$2="Deployment",deployment_raw[[#This Row],[Column5]],1))*(1+$P$2)),"")</f>
        <v/>
      </c>
      <c r="Q713" s="167" t="str">
        <f>IF(ISNUMBER(deployment_raw[[#This Row],[Column13]]), (MIN(IF(O713&lt;&gt;"",O713,9999999999999)*1.1,deployment_raw[[#This Row],[Column13]] * IF($E$2="Deployment",deployment_raw[[#This Row],[Column5]],1)*(1+$Q$2)/1048576)),"")</f>
        <v/>
      </c>
      <c r="R713" s="169" t="str">
        <f>IF(ISNUMBER(deployment_raw[[#This Row],[Column8]]), (H713  * IF(N713&lt;&gt;0,$R$2,1)),"")</f>
        <v/>
      </c>
      <c r="S713" s="170" t="str">
        <f>IF(ISNUMBER(deployment_raw[[#This Row],[Column8]]), (I713  * IF(O713&lt;&gt;0,$S$2,1)),"")</f>
        <v/>
      </c>
      <c r="T713" s="202" t="str">
        <f>IF(AND(A713&lt;&gt;"",_xlfn.IFNA(MATCH(A713,'dynamic resource application '!$A$2:$A$100, 0),0)&lt;&gt;0), H713/(IF($E$2="Deployment",E713,1)),"")</f>
        <v/>
      </c>
      <c r="U713" s="211" t="str">
        <f>IF(AND(A713&lt;&gt;"",_xlfn.IFNA(MATCH(A713,'dynamic resource application '!$A$2:$A$100, 0),0)&lt;&gt;0), I713/(IF($E$2="Deployment",E713,1)),"")</f>
        <v/>
      </c>
    </row>
    <row r="714" spans="1:21" ht="15.75" customHeight="1" x14ac:dyDescent="0.25">
      <c r="A714" s="35" t="str">
        <f>IF(ISNONTEXT(deployment_raw[[#This Row],[Column1]]), "", deployment_raw[[#This Row],[Column1]])</f>
        <v/>
      </c>
      <c r="B714" s="36" t="str">
        <f>IF(ISNONTEXT(deployment_raw[[#This Row],[Column2]]), "", deployment_raw[[#This Row],[Column2]])</f>
        <v/>
      </c>
      <c r="C714" s="36" t="str">
        <f>IF(ISNONTEXT(deployment_raw[[#This Row],[Column3]]), "", deployment_raw[[#This Row],[Column3]])</f>
        <v/>
      </c>
      <c r="D714" s="36" t="str">
        <f>IF(ISNONTEXT(deployment_raw[[#This Row],[Column4]]), "", deployment_raw[[#This Row],[Column4]])</f>
        <v/>
      </c>
      <c r="E714" s="37" t="str">
        <f>IF(ISNUMBER(deployment_raw[[#This Row],[Column5]]), deployment_raw[[#This Row],[Column5]],"")</f>
        <v/>
      </c>
      <c r="F714" s="94" t="str">
        <f>IF(ISNUMBER(deployment_raw[[#This Row],[Column6]]), (deployment_raw[[#This Row],[Column6]] * IF($E$2="Deployment",deployment_raw[[#This Row],[Column5]],1)),"")</f>
        <v/>
      </c>
      <c r="G714" s="95" t="str">
        <f>IF(ISNUMBER(deployment_raw[[#This Row],[Column7]]), (deployment_raw[[#This Row],[Column7]] * IF($E$2="Deployment",deployment_raw[[#This Row],[Column5]],1))/1048576,"")</f>
        <v/>
      </c>
      <c r="H714" s="95" t="str">
        <f>IF(ISNUMBER(deployment_raw[[#This Row],[Column8]]), (deployment_raw[[#This Row],[Column8]]  * IF($E$2="Deployment",deployment_raw[[#This Row],[Column5]],1)),"")</f>
        <v/>
      </c>
      <c r="I714" s="96" t="str">
        <f>IF(ISNUMBER(deployment_raw[[#This Row],[Column9]]), (deployment_raw[[#This Row],[Column9]] * IF($E$2="Deployment",deployment_raw[[#This Row],[Column5]],1))/1048576,"")</f>
        <v/>
      </c>
      <c r="J714" s="122" t="str">
        <f>IF(ISNUMBER(deployment_raw[[#This Row],[Column10]]), (MIN(IF(N714&lt;&gt;"",N714,9999999999999)*1.1,deployment_raw[[#This Row],[Column10]] * IF($E$2="Deployment",deployment_raw[[#This Row],[Column5]],1))),"")</f>
        <v/>
      </c>
      <c r="K714" s="123" t="str">
        <f>IF(ISNUMBER(deployment_raw[[#This Row],[Column11]]), (MIN(IF(O714&lt;&gt;"",O714,9999999999999)*1.1,deployment_raw[[#This Row],[Column11]] * IF($E$2="Deployment",deployment_raw[[#This Row],[Column5]],1)/1048576)),"")</f>
        <v/>
      </c>
      <c r="L714" s="124" t="str">
        <f>IF(ISNUMBER(deployment_raw[[#This Row],[Column8]]),IF(OR(deployment_raw[[#This Row],[Column5]] &lt;&gt; 0,$E$2 &lt;&gt; "Deployment"), MAX(J714, P714, R714, ($L$2 * IF($E$2="Deployment",deployment_raw[[#This Row],[Column5]],1)),IF(T714&lt;&gt;"",VALUE(T714) * IF($E$2="Deployment",deployment_raw[[#This Row],[Column5]],1),0)), 0),"")</f>
        <v/>
      </c>
      <c r="M714" s="125" t="str">
        <f>IF(ISNUMBER(deployment_raw[[#This Row],[Column9]]),IF(OR(deployment_raw[[#This Row],[Column5]] &lt;&gt; 0,$E$2&lt;&gt;"Deployment"), MAX(K714, Q714, S714, ($M$2 * IF($E$2="Deployment",deployment_raw[[#This Row],[Column5]],1)),IF(U714&lt;&gt;"",VALUE(U714) * IF($E$2="Deployment",deployment_raw[[#This Row],[Column5]],1),0)), 0),"")</f>
        <v/>
      </c>
      <c r="N714" s="166" t="str">
        <f>IF(ISNUMBER(deployment_raw[[#This Row],[Column14]]), deployment_raw[[#This Row],[Column14]]/IF(OR($E$2="Deployment",deployment_raw[[#This Row],[Column5]]=0),1,deployment_raw[[#This Row],[Column5]]),"")</f>
        <v/>
      </c>
      <c r="O714" s="167" t="str">
        <f>IF(ISNUMBER(deployment_raw[[#This Row],[Column15]]), deployment_raw[[#This Row],[Column15]]/IF(OR($E$2="Deployment",deployment_raw[[#This Row],[Column5]]=0),1,deployment_raw[[#This Row],[Column5]])/1048576,"")</f>
        <v/>
      </c>
      <c r="P714" s="168" t="str">
        <f>IF(ISNUMBER(deployment_raw[[#This Row],[Column12]]), (MIN(IF(N714&lt;&gt;"",N714,9999999999999)*1.1,deployment_raw[[#This Row],[Column12]] * IF($E$2="Deployment",deployment_raw[[#This Row],[Column5]],1))*(1+$P$2)),"")</f>
        <v/>
      </c>
      <c r="Q714" s="167" t="str">
        <f>IF(ISNUMBER(deployment_raw[[#This Row],[Column13]]), (MIN(IF(O714&lt;&gt;"",O714,9999999999999)*1.1,deployment_raw[[#This Row],[Column13]] * IF($E$2="Deployment",deployment_raw[[#This Row],[Column5]],1)*(1+$Q$2)/1048576)),"")</f>
        <v/>
      </c>
      <c r="R714" s="169" t="str">
        <f>IF(ISNUMBER(deployment_raw[[#This Row],[Column8]]), (H714  * IF(N714&lt;&gt;0,$R$2,1)),"")</f>
        <v/>
      </c>
      <c r="S714" s="170" t="str">
        <f>IF(ISNUMBER(deployment_raw[[#This Row],[Column8]]), (I714  * IF(O714&lt;&gt;0,$S$2,1)),"")</f>
        <v/>
      </c>
      <c r="T714" s="202" t="str">
        <f>IF(AND(A714&lt;&gt;"",_xlfn.IFNA(MATCH(A714,'dynamic resource application '!$A$2:$A$100, 0),0)&lt;&gt;0), H714/(IF($E$2="Deployment",E714,1)),"")</f>
        <v/>
      </c>
      <c r="U714" s="211" t="str">
        <f>IF(AND(A714&lt;&gt;"",_xlfn.IFNA(MATCH(A714,'dynamic resource application '!$A$2:$A$100, 0),0)&lt;&gt;0), I714/(IF($E$2="Deployment",E714,1)),"")</f>
        <v/>
      </c>
    </row>
    <row r="715" spans="1:21" ht="15.75" customHeight="1" x14ac:dyDescent="0.25">
      <c r="A715" s="35" t="str">
        <f>IF(ISNONTEXT(deployment_raw[[#This Row],[Column1]]), "", deployment_raw[[#This Row],[Column1]])</f>
        <v/>
      </c>
      <c r="B715" s="36" t="str">
        <f>IF(ISNONTEXT(deployment_raw[[#This Row],[Column2]]), "", deployment_raw[[#This Row],[Column2]])</f>
        <v/>
      </c>
      <c r="C715" s="36" t="str">
        <f>IF(ISNONTEXT(deployment_raw[[#This Row],[Column3]]), "", deployment_raw[[#This Row],[Column3]])</f>
        <v/>
      </c>
      <c r="D715" s="36" t="str">
        <f>IF(ISNONTEXT(deployment_raw[[#This Row],[Column4]]), "", deployment_raw[[#This Row],[Column4]])</f>
        <v/>
      </c>
      <c r="E715" s="37" t="str">
        <f>IF(ISNUMBER(deployment_raw[[#This Row],[Column5]]), deployment_raw[[#This Row],[Column5]],"")</f>
        <v/>
      </c>
      <c r="F715" s="94" t="str">
        <f>IF(ISNUMBER(deployment_raw[[#This Row],[Column6]]), (deployment_raw[[#This Row],[Column6]] * IF($E$2="Deployment",deployment_raw[[#This Row],[Column5]],1)),"")</f>
        <v/>
      </c>
      <c r="G715" s="95" t="str">
        <f>IF(ISNUMBER(deployment_raw[[#This Row],[Column7]]), (deployment_raw[[#This Row],[Column7]] * IF($E$2="Deployment",deployment_raw[[#This Row],[Column5]],1))/1048576,"")</f>
        <v/>
      </c>
      <c r="H715" s="95" t="str">
        <f>IF(ISNUMBER(deployment_raw[[#This Row],[Column8]]), (deployment_raw[[#This Row],[Column8]]  * IF($E$2="Deployment",deployment_raw[[#This Row],[Column5]],1)),"")</f>
        <v/>
      </c>
      <c r="I715" s="96" t="str">
        <f>IF(ISNUMBER(deployment_raw[[#This Row],[Column9]]), (deployment_raw[[#This Row],[Column9]] * IF($E$2="Deployment",deployment_raw[[#This Row],[Column5]],1))/1048576,"")</f>
        <v/>
      </c>
      <c r="J715" s="122" t="str">
        <f>IF(ISNUMBER(deployment_raw[[#This Row],[Column10]]), (MIN(IF(N715&lt;&gt;"",N715,9999999999999)*1.1,deployment_raw[[#This Row],[Column10]] * IF($E$2="Deployment",deployment_raw[[#This Row],[Column5]],1))),"")</f>
        <v/>
      </c>
      <c r="K715" s="123" t="str">
        <f>IF(ISNUMBER(deployment_raw[[#This Row],[Column11]]), (MIN(IF(O715&lt;&gt;"",O715,9999999999999)*1.1,deployment_raw[[#This Row],[Column11]] * IF($E$2="Deployment",deployment_raw[[#This Row],[Column5]],1)/1048576)),"")</f>
        <v/>
      </c>
      <c r="L715" s="124" t="str">
        <f>IF(ISNUMBER(deployment_raw[[#This Row],[Column8]]),IF(OR(deployment_raw[[#This Row],[Column5]] &lt;&gt; 0,$E$2 &lt;&gt; "Deployment"), MAX(J715, P715, R715, ($L$2 * IF($E$2="Deployment",deployment_raw[[#This Row],[Column5]],1)),IF(T715&lt;&gt;"",VALUE(T715) * IF($E$2="Deployment",deployment_raw[[#This Row],[Column5]],1),0)), 0),"")</f>
        <v/>
      </c>
      <c r="M715" s="125" t="str">
        <f>IF(ISNUMBER(deployment_raw[[#This Row],[Column9]]),IF(OR(deployment_raw[[#This Row],[Column5]] &lt;&gt; 0,$E$2&lt;&gt;"Deployment"), MAX(K715, Q715, S715, ($M$2 * IF($E$2="Deployment",deployment_raw[[#This Row],[Column5]],1)),IF(U715&lt;&gt;"",VALUE(U715) * IF($E$2="Deployment",deployment_raw[[#This Row],[Column5]],1),0)), 0),"")</f>
        <v/>
      </c>
      <c r="N715" s="166" t="str">
        <f>IF(ISNUMBER(deployment_raw[[#This Row],[Column14]]), deployment_raw[[#This Row],[Column14]]/IF(OR($E$2="Deployment",deployment_raw[[#This Row],[Column5]]=0),1,deployment_raw[[#This Row],[Column5]]),"")</f>
        <v/>
      </c>
      <c r="O715" s="167" t="str">
        <f>IF(ISNUMBER(deployment_raw[[#This Row],[Column15]]), deployment_raw[[#This Row],[Column15]]/IF(OR($E$2="Deployment",deployment_raw[[#This Row],[Column5]]=0),1,deployment_raw[[#This Row],[Column5]])/1048576,"")</f>
        <v/>
      </c>
      <c r="P715" s="168" t="str">
        <f>IF(ISNUMBER(deployment_raw[[#This Row],[Column12]]), (MIN(IF(N715&lt;&gt;"",N715,9999999999999)*1.1,deployment_raw[[#This Row],[Column12]] * IF($E$2="Deployment",deployment_raw[[#This Row],[Column5]],1))*(1+$P$2)),"")</f>
        <v/>
      </c>
      <c r="Q715" s="167" t="str">
        <f>IF(ISNUMBER(deployment_raw[[#This Row],[Column13]]), (MIN(IF(O715&lt;&gt;"",O715,9999999999999)*1.1,deployment_raw[[#This Row],[Column13]] * IF($E$2="Deployment",deployment_raw[[#This Row],[Column5]],1)*(1+$Q$2)/1048576)),"")</f>
        <v/>
      </c>
      <c r="R715" s="169" t="str">
        <f>IF(ISNUMBER(deployment_raw[[#This Row],[Column8]]), (H715  * IF(N715&lt;&gt;0,$R$2,1)),"")</f>
        <v/>
      </c>
      <c r="S715" s="170" t="str">
        <f>IF(ISNUMBER(deployment_raw[[#This Row],[Column8]]), (I715  * IF(O715&lt;&gt;0,$S$2,1)),"")</f>
        <v/>
      </c>
      <c r="T715" s="202" t="str">
        <f>IF(AND(A715&lt;&gt;"",_xlfn.IFNA(MATCH(A715,'dynamic resource application '!$A$2:$A$100, 0),0)&lt;&gt;0), H715/(IF($E$2="Deployment",E715,1)),"")</f>
        <v/>
      </c>
      <c r="U715" s="211" t="str">
        <f>IF(AND(A715&lt;&gt;"",_xlfn.IFNA(MATCH(A715,'dynamic resource application '!$A$2:$A$100, 0),0)&lt;&gt;0), I715/(IF($E$2="Deployment",E715,1)),"")</f>
        <v/>
      </c>
    </row>
    <row r="716" spans="1:21" ht="15.75" customHeight="1" x14ac:dyDescent="0.25">
      <c r="A716" s="35" t="str">
        <f>IF(ISNONTEXT(deployment_raw[[#This Row],[Column1]]), "", deployment_raw[[#This Row],[Column1]])</f>
        <v/>
      </c>
      <c r="B716" s="36" t="str">
        <f>IF(ISNONTEXT(deployment_raw[[#This Row],[Column2]]), "", deployment_raw[[#This Row],[Column2]])</f>
        <v/>
      </c>
      <c r="C716" s="36" t="str">
        <f>IF(ISNONTEXT(deployment_raw[[#This Row],[Column3]]), "", deployment_raw[[#This Row],[Column3]])</f>
        <v/>
      </c>
      <c r="D716" s="36" t="str">
        <f>IF(ISNONTEXT(deployment_raw[[#This Row],[Column4]]), "", deployment_raw[[#This Row],[Column4]])</f>
        <v/>
      </c>
      <c r="E716" s="37" t="str">
        <f>IF(ISNUMBER(deployment_raw[[#This Row],[Column5]]), deployment_raw[[#This Row],[Column5]],"")</f>
        <v/>
      </c>
      <c r="F716" s="94" t="str">
        <f>IF(ISNUMBER(deployment_raw[[#This Row],[Column6]]), (deployment_raw[[#This Row],[Column6]] * IF($E$2="Deployment",deployment_raw[[#This Row],[Column5]],1)),"")</f>
        <v/>
      </c>
      <c r="G716" s="95" t="str">
        <f>IF(ISNUMBER(deployment_raw[[#This Row],[Column7]]), (deployment_raw[[#This Row],[Column7]] * IF($E$2="Deployment",deployment_raw[[#This Row],[Column5]],1))/1048576,"")</f>
        <v/>
      </c>
      <c r="H716" s="95" t="str">
        <f>IF(ISNUMBER(deployment_raw[[#This Row],[Column8]]), (deployment_raw[[#This Row],[Column8]]  * IF($E$2="Deployment",deployment_raw[[#This Row],[Column5]],1)),"")</f>
        <v/>
      </c>
      <c r="I716" s="96" t="str">
        <f>IF(ISNUMBER(deployment_raw[[#This Row],[Column9]]), (deployment_raw[[#This Row],[Column9]] * IF($E$2="Deployment",deployment_raw[[#This Row],[Column5]],1))/1048576,"")</f>
        <v/>
      </c>
      <c r="J716" s="122" t="str">
        <f>IF(ISNUMBER(deployment_raw[[#This Row],[Column10]]), (MIN(IF(N716&lt;&gt;"",N716,9999999999999)*1.1,deployment_raw[[#This Row],[Column10]] * IF($E$2="Deployment",deployment_raw[[#This Row],[Column5]],1))),"")</f>
        <v/>
      </c>
      <c r="K716" s="123" t="str">
        <f>IF(ISNUMBER(deployment_raw[[#This Row],[Column11]]), (MIN(IF(O716&lt;&gt;"",O716,9999999999999)*1.1,deployment_raw[[#This Row],[Column11]] * IF($E$2="Deployment",deployment_raw[[#This Row],[Column5]],1)/1048576)),"")</f>
        <v/>
      </c>
      <c r="L716" s="124" t="str">
        <f>IF(ISNUMBER(deployment_raw[[#This Row],[Column8]]),IF(OR(deployment_raw[[#This Row],[Column5]] &lt;&gt; 0,$E$2 &lt;&gt; "Deployment"), MAX(J716, P716, R716, ($L$2 * IF($E$2="Deployment",deployment_raw[[#This Row],[Column5]],1)),IF(T716&lt;&gt;"",VALUE(T716) * IF($E$2="Deployment",deployment_raw[[#This Row],[Column5]],1),0)), 0),"")</f>
        <v/>
      </c>
      <c r="M716" s="125" t="str">
        <f>IF(ISNUMBER(deployment_raw[[#This Row],[Column9]]),IF(OR(deployment_raw[[#This Row],[Column5]] &lt;&gt; 0,$E$2&lt;&gt;"Deployment"), MAX(K716, Q716, S716, ($M$2 * IF($E$2="Deployment",deployment_raw[[#This Row],[Column5]],1)),IF(U716&lt;&gt;"",VALUE(U716) * IF($E$2="Deployment",deployment_raw[[#This Row],[Column5]],1),0)), 0),"")</f>
        <v/>
      </c>
      <c r="N716" s="166" t="str">
        <f>IF(ISNUMBER(deployment_raw[[#This Row],[Column14]]), deployment_raw[[#This Row],[Column14]]/IF(OR($E$2="Deployment",deployment_raw[[#This Row],[Column5]]=0),1,deployment_raw[[#This Row],[Column5]]),"")</f>
        <v/>
      </c>
      <c r="O716" s="167" t="str">
        <f>IF(ISNUMBER(deployment_raw[[#This Row],[Column15]]), deployment_raw[[#This Row],[Column15]]/IF(OR($E$2="Deployment",deployment_raw[[#This Row],[Column5]]=0),1,deployment_raw[[#This Row],[Column5]])/1048576,"")</f>
        <v/>
      </c>
      <c r="P716" s="168" t="str">
        <f>IF(ISNUMBER(deployment_raw[[#This Row],[Column12]]), (MIN(IF(N716&lt;&gt;"",N716,9999999999999)*1.1,deployment_raw[[#This Row],[Column12]] * IF($E$2="Deployment",deployment_raw[[#This Row],[Column5]],1))*(1+$P$2)),"")</f>
        <v/>
      </c>
      <c r="Q716" s="167" t="str">
        <f>IF(ISNUMBER(deployment_raw[[#This Row],[Column13]]), (MIN(IF(O716&lt;&gt;"",O716,9999999999999)*1.1,deployment_raw[[#This Row],[Column13]] * IF($E$2="Deployment",deployment_raw[[#This Row],[Column5]],1)*(1+$Q$2)/1048576)),"")</f>
        <v/>
      </c>
      <c r="R716" s="169" t="str">
        <f>IF(ISNUMBER(deployment_raw[[#This Row],[Column8]]), (H716  * IF(N716&lt;&gt;0,$R$2,1)),"")</f>
        <v/>
      </c>
      <c r="S716" s="170" t="str">
        <f>IF(ISNUMBER(deployment_raw[[#This Row],[Column8]]), (I716  * IF(O716&lt;&gt;0,$S$2,1)),"")</f>
        <v/>
      </c>
      <c r="T716" s="202" t="str">
        <f>IF(AND(A716&lt;&gt;"",_xlfn.IFNA(MATCH(A716,'dynamic resource application '!$A$2:$A$100, 0),0)&lt;&gt;0), H716/(IF($E$2="Deployment",E716,1)),"")</f>
        <v/>
      </c>
      <c r="U716" s="211" t="str">
        <f>IF(AND(A716&lt;&gt;"",_xlfn.IFNA(MATCH(A716,'dynamic resource application '!$A$2:$A$100, 0),0)&lt;&gt;0), I716/(IF($E$2="Deployment",E716,1)),"")</f>
        <v/>
      </c>
    </row>
    <row r="717" spans="1:21" ht="15.75" customHeight="1" x14ac:dyDescent="0.25">
      <c r="A717" s="35" t="str">
        <f>IF(ISNONTEXT(deployment_raw[[#This Row],[Column1]]), "", deployment_raw[[#This Row],[Column1]])</f>
        <v/>
      </c>
      <c r="B717" s="36" t="str">
        <f>IF(ISNONTEXT(deployment_raw[[#This Row],[Column2]]), "", deployment_raw[[#This Row],[Column2]])</f>
        <v/>
      </c>
      <c r="C717" s="36" t="str">
        <f>IF(ISNONTEXT(deployment_raw[[#This Row],[Column3]]), "", deployment_raw[[#This Row],[Column3]])</f>
        <v/>
      </c>
      <c r="D717" s="36" t="str">
        <f>IF(ISNONTEXT(deployment_raw[[#This Row],[Column4]]), "", deployment_raw[[#This Row],[Column4]])</f>
        <v/>
      </c>
      <c r="E717" s="37" t="str">
        <f>IF(ISNUMBER(deployment_raw[[#This Row],[Column5]]), deployment_raw[[#This Row],[Column5]],"")</f>
        <v/>
      </c>
      <c r="F717" s="94" t="str">
        <f>IF(ISNUMBER(deployment_raw[[#This Row],[Column6]]), (deployment_raw[[#This Row],[Column6]] * IF($E$2="Deployment",deployment_raw[[#This Row],[Column5]],1)),"")</f>
        <v/>
      </c>
      <c r="G717" s="95" t="str">
        <f>IF(ISNUMBER(deployment_raw[[#This Row],[Column7]]), (deployment_raw[[#This Row],[Column7]] * IF($E$2="Deployment",deployment_raw[[#This Row],[Column5]],1))/1048576,"")</f>
        <v/>
      </c>
      <c r="H717" s="95" t="str">
        <f>IF(ISNUMBER(deployment_raw[[#This Row],[Column8]]), (deployment_raw[[#This Row],[Column8]]  * IF($E$2="Deployment",deployment_raw[[#This Row],[Column5]],1)),"")</f>
        <v/>
      </c>
      <c r="I717" s="96" t="str">
        <f>IF(ISNUMBER(deployment_raw[[#This Row],[Column9]]), (deployment_raw[[#This Row],[Column9]] * IF($E$2="Deployment",deployment_raw[[#This Row],[Column5]],1))/1048576,"")</f>
        <v/>
      </c>
      <c r="J717" s="122" t="str">
        <f>IF(ISNUMBER(deployment_raw[[#This Row],[Column10]]), (MIN(IF(N717&lt;&gt;"",N717,9999999999999)*1.1,deployment_raw[[#This Row],[Column10]] * IF($E$2="Deployment",deployment_raw[[#This Row],[Column5]],1))),"")</f>
        <v/>
      </c>
      <c r="K717" s="123" t="str">
        <f>IF(ISNUMBER(deployment_raw[[#This Row],[Column11]]), (MIN(IF(O717&lt;&gt;"",O717,9999999999999)*1.1,deployment_raw[[#This Row],[Column11]] * IF($E$2="Deployment",deployment_raw[[#This Row],[Column5]],1)/1048576)),"")</f>
        <v/>
      </c>
      <c r="L717" s="124" t="str">
        <f>IF(ISNUMBER(deployment_raw[[#This Row],[Column8]]),IF(OR(deployment_raw[[#This Row],[Column5]] &lt;&gt; 0,$E$2 &lt;&gt; "Deployment"), MAX(J717, P717, R717, ($L$2 * IF($E$2="Deployment",deployment_raw[[#This Row],[Column5]],1)),IF(T717&lt;&gt;"",VALUE(T717) * IF($E$2="Deployment",deployment_raw[[#This Row],[Column5]],1),0)), 0),"")</f>
        <v/>
      </c>
      <c r="M717" s="125" t="str">
        <f>IF(ISNUMBER(deployment_raw[[#This Row],[Column9]]),IF(OR(deployment_raw[[#This Row],[Column5]] &lt;&gt; 0,$E$2&lt;&gt;"Deployment"), MAX(K717, Q717, S717, ($M$2 * IF($E$2="Deployment",deployment_raw[[#This Row],[Column5]],1)),IF(U717&lt;&gt;"",VALUE(U717) * IF($E$2="Deployment",deployment_raw[[#This Row],[Column5]],1),0)), 0),"")</f>
        <v/>
      </c>
      <c r="N717" s="166" t="str">
        <f>IF(ISNUMBER(deployment_raw[[#This Row],[Column14]]), deployment_raw[[#This Row],[Column14]]/IF(OR($E$2="Deployment",deployment_raw[[#This Row],[Column5]]=0),1,deployment_raw[[#This Row],[Column5]]),"")</f>
        <v/>
      </c>
      <c r="O717" s="167" t="str">
        <f>IF(ISNUMBER(deployment_raw[[#This Row],[Column15]]), deployment_raw[[#This Row],[Column15]]/IF(OR($E$2="Deployment",deployment_raw[[#This Row],[Column5]]=0),1,deployment_raw[[#This Row],[Column5]])/1048576,"")</f>
        <v/>
      </c>
      <c r="P717" s="168" t="str">
        <f>IF(ISNUMBER(deployment_raw[[#This Row],[Column12]]), (MIN(IF(N717&lt;&gt;"",N717,9999999999999)*1.1,deployment_raw[[#This Row],[Column12]] * IF($E$2="Deployment",deployment_raw[[#This Row],[Column5]],1))*(1+$P$2)),"")</f>
        <v/>
      </c>
      <c r="Q717" s="167" t="str">
        <f>IF(ISNUMBER(deployment_raw[[#This Row],[Column13]]), (MIN(IF(O717&lt;&gt;"",O717,9999999999999)*1.1,deployment_raw[[#This Row],[Column13]] * IF($E$2="Deployment",deployment_raw[[#This Row],[Column5]],1)*(1+$Q$2)/1048576)),"")</f>
        <v/>
      </c>
      <c r="R717" s="169" t="str">
        <f>IF(ISNUMBER(deployment_raw[[#This Row],[Column8]]), (H717  * IF(N717&lt;&gt;0,$R$2,1)),"")</f>
        <v/>
      </c>
      <c r="S717" s="170" t="str">
        <f>IF(ISNUMBER(deployment_raw[[#This Row],[Column8]]), (I717  * IF(O717&lt;&gt;0,$S$2,1)),"")</f>
        <v/>
      </c>
      <c r="T717" s="202" t="str">
        <f>IF(AND(A717&lt;&gt;"",_xlfn.IFNA(MATCH(A717,'dynamic resource application '!$A$2:$A$100, 0),0)&lt;&gt;0), H717/(IF($E$2="Deployment",E717,1)),"")</f>
        <v/>
      </c>
      <c r="U717" s="211" t="str">
        <f>IF(AND(A717&lt;&gt;"",_xlfn.IFNA(MATCH(A717,'dynamic resource application '!$A$2:$A$100, 0),0)&lt;&gt;0), I717/(IF($E$2="Deployment",E717,1)),"")</f>
        <v/>
      </c>
    </row>
    <row r="718" spans="1:21" ht="15.75" customHeight="1" x14ac:dyDescent="0.25">
      <c r="A718" s="35" t="str">
        <f>IF(ISNONTEXT(deployment_raw[[#This Row],[Column1]]), "", deployment_raw[[#This Row],[Column1]])</f>
        <v/>
      </c>
      <c r="B718" s="36" t="str">
        <f>IF(ISNONTEXT(deployment_raw[[#This Row],[Column2]]), "", deployment_raw[[#This Row],[Column2]])</f>
        <v/>
      </c>
      <c r="C718" s="36" t="str">
        <f>IF(ISNONTEXT(deployment_raw[[#This Row],[Column3]]), "", deployment_raw[[#This Row],[Column3]])</f>
        <v/>
      </c>
      <c r="D718" s="36" t="str">
        <f>IF(ISNONTEXT(deployment_raw[[#This Row],[Column4]]), "", deployment_raw[[#This Row],[Column4]])</f>
        <v/>
      </c>
      <c r="E718" s="37" t="str">
        <f>IF(ISNUMBER(deployment_raw[[#This Row],[Column5]]), deployment_raw[[#This Row],[Column5]],"")</f>
        <v/>
      </c>
      <c r="F718" s="94" t="str">
        <f>IF(ISNUMBER(deployment_raw[[#This Row],[Column6]]), (deployment_raw[[#This Row],[Column6]] * IF($E$2="Deployment",deployment_raw[[#This Row],[Column5]],1)),"")</f>
        <v/>
      </c>
      <c r="G718" s="95" t="str">
        <f>IF(ISNUMBER(deployment_raw[[#This Row],[Column7]]), (deployment_raw[[#This Row],[Column7]] * IF($E$2="Deployment",deployment_raw[[#This Row],[Column5]],1))/1048576,"")</f>
        <v/>
      </c>
      <c r="H718" s="95" t="str">
        <f>IF(ISNUMBER(deployment_raw[[#This Row],[Column8]]), (deployment_raw[[#This Row],[Column8]]  * IF($E$2="Deployment",deployment_raw[[#This Row],[Column5]],1)),"")</f>
        <v/>
      </c>
      <c r="I718" s="96" t="str">
        <f>IF(ISNUMBER(deployment_raw[[#This Row],[Column9]]), (deployment_raw[[#This Row],[Column9]] * IF($E$2="Deployment",deployment_raw[[#This Row],[Column5]],1))/1048576,"")</f>
        <v/>
      </c>
      <c r="J718" s="122" t="str">
        <f>IF(ISNUMBER(deployment_raw[[#This Row],[Column10]]), (MIN(IF(N718&lt;&gt;"",N718,9999999999999)*1.1,deployment_raw[[#This Row],[Column10]] * IF($E$2="Deployment",deployment_raw[[#This Row],[Column5]],1))),"")</f>
        <v/>
      </c>
      <c r="K718" s="123" t="str">
        <f>IF(ISNUMBER(deployment_raw[[#This Row],[Column11]]), (MIN(IF(O718&lt;&gt;"",O718,9999999999999)*1.1,deployment_raw[[#This Row],[Column11]] * IF($E$2="Deployment",deployment_raw[[#This Row],[Column5]],1)/1048576)),"")</f>
        <v/>
      </c>
      <c r="L718" s="124" t="str">
        <f>IF(ISNUMBER(deployment_raw[[#This Row],[Column8]]),IF(OR(deployment_raw[[#This Row],[Column5]] &lt;&gt; 0,$E$2 &lt;&gt; "Deployment"), MAX(J718, P718, R718, ($L$2 * IF($E$2="Deployment",deployment_raw[[#This Row],[Column5]],1)),IF(T718&lt;&gt;"",VALUE(T718) * IF($E$2="Deployment",deployment_raw[[#This Row],[Column5]],1),0)), 0),"")</f>
        <v/>
      </c>
      <c r="M718" s="125" t="str">
        <f>IF(ISNUMBER(deployment_raw[[#This Row],[Column9]]),IF(OR(deployment_raw[[#This Row],[Column5]] &lt;&gt; 0,$E$2&lt;&gt;"Deployment"), MAX(K718, Q718, S718, ($M$2 * IF($E$2="Deployment",deployment_raw[[#This Row],[Column5]],1)),IF(U718&lt;&gt;"",VALUE(U718) * IF($E$2="Deployment",deployment_raw[[#This Row],[Column5]],1),0)), 0),"")</f>
        <v/>
      </c>
      <c r="N718" s="166" t="str">
        <f>IF(ISNUMBER(deployment_raw[[#This Row],[Column14]]), deployment_raw[[#This Row],[Column14]]/IF(OR($E$2="Deployment",deployment_raw[[#This Row],[Column5]]=0),1,deployment_raw[[#This Row],[Column5]]),"")</f>
        <v/>
      </c>
      <c r="O718" s="167" t="str">
        <f>IF(ISNUMBER(deployment_raw[[#This Row],[Column15]]), deployment_raw[[#This Row],[Column15]]/IF(OR($E$2="Deployment",deployment_raw[[#This Row],[Column5]]=0),1,deployment_raw[[#This Row],[Column5]])/1048576,"")</f>
        <v/>
      </c>
      <c r="P718" s="168" t="str">
        <f>IF(ISNUMBER(deployment_raw[[#This Row],[Column12]]), (MIN(IF(N718&lt;&gt;"",N718,9999999999999)*1.1,deployment_raw[[#This Row],[Column12]] * IF($E$2="Deployment",deployment_raw[[#This Row],[Column5]],1))*(1+$P$2)),"")</f>
        <v/>
      </c>
      <c r="Q718" s="167" t="str">
        <f>IF(ISNUMBER(deployment_raw[[#This Row],[Column13]]), (MIN(IF(O718&lt;&gt;"",O718,9999999999999)*1.1,deployment_raw[[#This Row],[Column13]] * IF($E$2="Deployment",deployment_raw[[#This Row],[Column5]],1)*(1+$Q$2)/1048576)),"")</f>
        <v/>
      </c>
      <c r="R718" s="169" t="str">
        <f>IF(ISNUMBER(deployment_raw[[#This Row],[Column8]]), (H718  * IF(N718&lt;&gt;0,$R$2,1)),"")</f>
        <v/>
      </c>
      <c r="S718" s="170" t="str">
        <f>IF(ISNUMBER(deployment_raw[[#This Row],[Column8]]), (I718  * IF(O718&lt;&gt;0,$S$2,1)),"")</f>
        <v/>
      </c>
      <c r="T718" s="202" t="str">
        <f>IF(AND(A718&lt;&gt;"",_xlfn.IFNA(MATCH(A718,'dynamic resource application '!$A$2:$A$100, 0),0)&lt;&gt;0), H718/(IF($E$2="Deployment",E718,1)),"")</f>
        <v/>
      </c>
      <c r="U718" s="211" t="str">
        <f>IF(AND(A718&lt;&gt;"",_xlfn.IFNA(MATCH(A718,'dynamic resource application '!$A$2:$A$100, 0),0)&lt;&gt;0), I718/(IF($E$2="Deployment",E718,1)),"")</f>
        <v/>
      </c>
    </row>
    <row r="719" spans="1:21" ht="15.75" customHeight="1" x14ac:dyDescent="0.25">
      <c r="A719" s="35" t="str">
        <f>IF(ISNONTEXT(deployment_raw[[#This Row],[Column1]]), "", deployment_raw[[#This Row],[Column1]])</f>
        <v/>
      </c>
      <c r="B719" s="36" t="str">
        <f>IF(ISNONTEXT(deployment_raw[[#This Row],[Column2]]), "", deployment_raw[[#This Row],[Column2]])</f>
        <v/>
      </c>
      <c r="C719" s="36" t="str">
        <f>IF(ISNONTEXT(deployment_raw[[#This Row],[Column3]]), "", deployment_raw[[#This Row],[Column3]])</f>
        <v/>
      </c>
      <c r="D719" s="36" t="str">
        <f>IF(ISNONTEXT(deployment_raw[[#This Row],[Column4]]), "", deployment_raw[[#This Row],[Column4]])</f>
        <v/>
      </c>
      <c r="E719" s="37" t="str">
        <f>IF(ISNUMBER(deployment_raw[[#This Row],[Column5]]), deployment_raw[[#This Row],[Column5]],"")</f>
        <v/>
      </c>
      <c r="F719" s="94" t="str">
        <f>IF(ISNUMBER(deployment_raw[[#This Row],[Column6]]), (deployment_raw[[#This Row],[Column6]] * IF($E$2="Deployment",deployment_raw[[#This Row],[Column5]],1)),"")</f>
        <v/>
      </c>
      <c r="G719" s="95" t="str">
        <f>IF(ISNUMBER(deployment_raw[[#This Row],[Column7]]), (deployment_raw[[#This Row],[Column7]] * IF($E$2="Deployment",deployment_raw[[#This Row],[Column5]],1))/1048576,"")</f>
        <v/>
      </c>
      <c r="H719" s="95" t="str">
        <f>IF(ISNUMBER(deployment_raw[[#This Row],[Column8]]), (deployment_raw[[#This Row],[Column8]]  * IF($E$2="Deployment",deployment_raw[[#This Row],[Column5]],1)),"")</f>
        <v/>
      </c>
      <c r="I719" s="96" t="str">
        <f>IF(ISNUMBER(deployment_raw[[#This Row],[Column9]]), (deployment_raw[[#This Row],[Column9]] * IF($E$2="Deployment",deployment_raw[[#This Row],[Column5]],1))/1048576,"")</f>
        <v/>
      </c>
      <c r="J719" s="122" t="str">
        <f>IF(ISNUMBER(deployment_raw[[#This Row],[Column10]]), (MIN(IF(N719&lt;&gt;"",N719,9999999999999)*1.1,deployment_raw[[#This Row],[Column10]] * IF($E$2="Deployment",deployment_raw[[#This Row],[Column5]],1))),"")</f>
        <v/>
      </c>
      <c r="K719" s="123" t="str">
        <f>IF(ISNUMBER(deployment_raw[[#This Row],[Column11]]), (MIN(IF(O719&lt;&gt;"",O719,9999999999999)*1.1,deployment_raw[[#This Row],[Column11]] * IF($E$2="Deployment",deployment_raw[[#This Row],[Column5]],1)/1048576)),"")</f>
        <v/>
      </c>
      <c r="L719" s="124" t="str">
        <f>IF(ISNUMBER(deployment_raw[[#This Row],[Column8]]),IF(OR(deployment_raw[[#This Row],[Column5]] &lt;&gt; 0,$E$2 &lt;&gt; "Deployment"), MAX(J719, P719, R719, ($L$2 * IF($E$2="Deployment",deployment_raw[[#This Row],[Column5]],1)),IF(T719&lt;&gt;"",VALUE(T719) * IF($E$2="Deployment",deployment_raw[[#This Row],[Column5]],1),0)), 0),"")</f>
        <v/>
      </c>
      <c r="M719" s="125" t="str">
        <f>IF(ISNUMBER(deployment_raw[[#This Row],[Column9]]),IF(OR(deployment_raw[[#This Row],[Column5]] &lt;&gt; 0,$E$2&lt;&gt;"Deployment"), MAX(K719, Q719, S719, ($M$2 * IF($E$2="Deployment",deployment_raw[[#This Row],[Column5]],1)),IF(U719&lt;&gt;"",VALUE(U719) * IF($E$2="Deployment",deployment_raw[[#This Row],[Column5]],1),0)), 0),"")</f>
        <v/>
      </c>
      <c r="N719" s="166" t="str">
        <f>IF(ISNUMBER(deployment_raw[[#This Row],[Column14]]), deployment_raw[[#This Row],[Column14]]/IF(OR($E$2="Deployment",deployment_raw[[#This Row],[Column5]]=0),1,deployment_raw[[#This Row],[Column5]]),"")</f>
        <v/>
      </c>
      <c r="O719" s="167" t="str">
        <f>IF(ISNUMBER(deployment_raw[[#This Row],[Column15]]), deployment_raw[[#This Row],[Column15]]/IF(OR($E$2="Deployment",deployment_raw[[#This Row],[Column5]]=0),1,deployment_raw[[#This Row],[Column5]])/1048576,"")</f>
        <v/>
      </c>
      <c r="P719" s="168" t="str">
        <f>IF(ISNUMBER(deployment_raw[[#This Row],[Column12]]), (MIN(IF(N719&lt;&gt;"",N719,9999999999999)*1.1,deployment_raw[[#This Row],[Column12]] * IF($E$2="Deployment",deployment_raw[[#This Row],[Column5]],1))*(1+$P$2)),"")</f>
        <v/>
      </c>
      <c r="Q719" s="167" t="str">
        <f>IF(ISNUMBER(deployment_raw[[#This Row],[Column13]]), (MIN(IF(O719&lt;&gt;"",O719,9999999999999)*1.1,deployment_raw[[#This Row],[Column13]] * IF($E$2="Deployment",deployment_raw[[#This Row],[Column5]],1)*(1+$Q$2)/1048576)),"")</f>
        <v/>
      </c>
      <c r="R719" s="169" t="str">
        <f>IF(ISNUMBER(deployment_raw[[#This Row],[Column8]]), (H719  * IF(N719&lt;&gt;0,$R$2,1)),"")</f>
        <v/>
      </c>
      <c r="S719" s="170" t="str">
        <f>IF(ISNUMBER(deployment_raw[[#This Row],[Column8]]), (I719  * IF(O719&lt;&gt;0,$S$2,1)),"")</f>
        <v/>
      </c>
      <c r="T719" s="202" t="str">
        <f>IF(AND(A719&lt;&gt;"",_xlfn.IFNA(MATCH(A719,'dynamic resource application '!$A$2:$A$100, 0),0)&lt;&gt;0), H719/(IF($E$2="Deployment",E719,1)),"")</f>
        <v/>
      </c>
      <c r="U719" s="211" t="str">
        <f>IF(AND(A719&lt;&gt;"",_xlfn.IFNA(MATCH(A719,'dynamic resource application '!$A$2:$A$100, 0),0)&lt;&gt;0), I719/(IF($E$2="Deployment",E719,1)),"")</f>
        <v/>
      </c>
    </row>
    <row r="720" spans="1:21" ht="15.75" customHeight="1" x14ac:dyDescent="0.25">
      <c r="A720" s="35" t="str">
        <f>IF(ISNONTEXT(deployment_raw[[#This Row],[Column1]]), "", deployment_raw[[#This Row],[Column1]])</f>
        <v/>
      </c>
      <c r="B720" s="36" t="str">
        <f>IF(ISNONTEXT(deployment_raw[[#This Row],[Column2]]), "", deployment_raw[[#This Row],[Column2]])</f>
        <v/>
      </c>
      <c r="C720" s="36" t="str">
        <f>IF(ISNONTEXT(deployment_raw[[#This Row],[Column3]]), "", deployment_raw[[#This Row],[Column3]])</f>
        <v/>
      </c>
      <c r="D720" s="36" t="str">
        <f>IF(ISNONTEXT(deployment_raw[[#This Row],[Column4]]), "", deployment_raw[[#This Row],[Column4]])</f>
        <v/>
      </c>
      <c r="E720" s="37" t="str">
        <f>IF(ISNUMBER(deployment_raw[[#This Row],[Column5]]), deployment_raw[[#This Row],[Column5]],"")</f>
        <v/>
      </c>
      <c r="F720" s="94" t="str">
        <f>IF(ISNUMBER(deployment_raw[[#This Row],[Column6]]), (deployment_raw[[#This Row],[Column6]] * IF($E$2="Deployment",deployment_raw[[#This Row],[Column5]],1)),"")</f>
        <v/>
      </c>
      <c r="G720" s="95" t="str">
        <f>IF(ISNUMBER(deployment_raw[[#This Row],[Column7]]), (deployment_raw[[#This Row],[Column7]] * IF($E$2="Deployment",deployment_raw[[#This Row],[Column5]],1))/1048576,"")</f>
        <v/>
      </c>
      <c r="H720" s="95" t="str">
        <f>IF(ISNUMBER(deployment_raw[[#This Row],[Column8]]), (deployment_raw[[#This Row],[Column8]]  * IF($E$2="Deployment",deployment_raw[[#This Row],[Column5]],1)),"")</f>
        <v/>
      </c>
      <c r="I720" s="96" t="str">
        <f>IF(ISNUMBER(deployment_raw[[#This Row],[Column9]]), (deployment_raw[[#This Row],[Column9]] * IF($E$2="Deployment",deployment_raw[[#This Row],[Column5]],1))/1048576,"")</f>
        <v/>
      </c>
      <c r="J720" s="122" t="str">
        <f>IF(ISNUMBER(deployment_raw[[#This Row],[Column10]]), (MIN(IF(N720&lt;&gt;"",N720,9999999999999)*1.1,deployment_raw[[#This Row],[Column10]] * IF($E$2="Deployment",deployment_raw[[#This Row],[Column5]],1))),"")</f>
        <v/>
      </c>
      <c r="K720" s="123" t="str">
        <f>IF(ISNUMBER(deployment_raw[[#This Row],[Column11]]), (MIN(IF(O720&lt;&gt;"",O720,9999999999999)*1.1,deployment_raw[[#This Row],[Column11]] * IF($E$2="Deployment",deployment_raw[[#This Row],[Column5]],1)/1048576)),"")</f>
        <v/>
      </c>
      <c r="L720" s="124" t="str">
        <f>IF(ISNUMBER(deployment_raw[[#This Row],[Column8]]),IF(OR(deployment_raw[[#This Row],[Column5]] &lt;&gt; 0,$E$2 &lt;&gt; "Deployment"), MAX(J720, P720, R720, ($L$2 * IF($E$2="Deployment",deployment_raw[[#This Row],[Column5]],1)),IF(T720&lt;&gt;"",VALUE(T720) * IF($E$2="Deployment",deployment_raw[[#This Row],[Column5]],1),0)), 0),"")</f>
        <v/>
      </c>
      <c r="M720" s="125" t="str">
        <f>IF(ISNUMBER(deployment_raw[[#This Row],[Column9]]),IF(OR(deployment_raw[[#This Row],[Column5]] &lt;&gt; 0,$E$2&lt;&gt;"Deployment"), MAX(K720, Q720, S720, ($M$2 * IF($E$2="Deployment",deployment_raw[[#This Row],[Column5]],1)),IF(U720&lt;&gt;"",VALUE(U720) * IF($E$2="Deployment",deployment_raw[[#This Row],[Column5]],1),0)), 0),"")</f>
        <v/>
      </c>
      <c r="N720" s="166" t="str">
        <f>IF(ISNUMBER(deployment_raw[[#This Row],[Column14]]), deployment_raw[[#This Row],[Column14]]/IF(OR($E$2="Deployment",deployment_raw[[#This Row],[Column5]]=0),1,deployment_raw[[#This Row],[Column5]]),"")</f>
        <v/>
      </c>
      <c r="O720" s="167" t="str">
        <f>IF(ISNUMBER(deployment_raw[[#This Row],[Column15]]), deployment_raw[[#This Row],[Column15]]/IF(OR($E$2="Deployment",deployment_raw[[#This Row],[Column5]]=0),1,deployment_raw[[#This Row],[Column5]])/1048576,"")</f>
        <v/>
      </c>
      <c r="P720" s="168" t="str">
        <f>IF(ISNUMBER(deployment_raw[[#This Row],[Column12]]), (MIN(IF(N720&lt;&gt;"",N720,9999999999999)*1.1,deployment_raw[[#This Row],[Column12]] * IF($E$2="Deployment",deployment_raw[[#This Row],[Column5]],1))*(1+$P$2)),"")</f>
        <v/>
      </c>
      <c r="Q720" s="167" t="str">
        <f>IF(ISNUMBER(deployment_raw[[#This Row],[Column13]]), (MIN(IF(O720&lt;&gt;"",O720,9999999999999)*1.1,deployment_raw[[#This Row],[Column13]] * IF($E$2="Deployment",deployment_raw[[#This Row],[Column5]],1)*(1+$Q$2)/1048576)),"")</f>
        <v/>
      </c>
      <c r="R720" s="169" t="str">
        <f>IF(ISNUMBER(deployment_raw[[#This Row],[Column8]]), (H720  * IF(N720&lt;&gt;0,$R$2,1)),"")</f>
        <v/>
      </c>
      <c r="S720" s="170" t="str">
        <f>IF(ISNUMBER(deployment_raw[[#This Row],[Column8]]), (I720  * IF(O720&lt;&gt;0,$S$2,1)),"")</f>
        <v/>
      </c>
      <c r="T720" s="202" t="str">
        <f>IF(AND(A720&lt;&gt;"",_xlfn.IFNA(MATCH(A720,'dynamic resource application '!$A$2:$A$100, 0),0)&lt;&gt;0), H720/(IF($E$2="Deployment",E720,1)),"")</f>
        <v/>
      </c>
      <c r="U720" s="211" t="str">
        <f>IF(AND(A720&lt;&gt;"",_xlfn.IFNA(MATCH(A720,'dynamic resource application '!$A$2:$A$100, 0),0)&lt;&gt;0), I720/(IF($E$2="Deployment",E720,1)),"")</f>
        <v/>
      </c>
    </row>
    <row r="721" spans="1:21" ht="15.75" customHeight="1" x14ac:dyDescent="0.25">
      <c r="A721" s="35" t="str">
        <f>IF(ISNONTEXT(deployment_raw[[#This Row],[Column1]]), "", deployment_raw[[#This Row],[Column1]])</f>
        <v/>
      </c>
      <c r="B721" s="36" t="str">
        <f>IF(ISNONTEXT(deployment_raw[[#This Row],[Column2]]), "", deployment_raw[[#This Row],[Column2]])</f>
        <v/>
      </c>
      <c r="C721" s="36" t="str">
        <f>IF(ISNONTEXT(deployment_raw[[#This Row],[Column3]]), "", deployment_raw[[#This Row],[Column3]])</f>
        <v/>
      </c>
      <c r="D721" s="36" t="str">
        <f>IF(ISNONTEXT(deployment_raw[[#This Row],[Column4]]), "", deployment_raw[[#This Row],[Column4]])</f>
        <v/>
      </c>
      <c r="E721" s="37" t="str">
        <f>IF(ISNUMBER(deployment_raw[[#This Row],[Column5]]), deployment_raw[[#This Row],[Column5]],"")</f>
        <v/>
      </c>
      <c r="F721" s="94" t="str">
        <f>IF(ISNUMBER(deployment_raw[[#This Row],[Column6]]), (deployment_raw[[#This Row],[Column6]] * IF($E$2="Deployment",deployment_raw[[#This Row],[Column5]],1)),"")</f>
        <v/>
      </c>
      <c r="G721" s="95" t="str">
        <f>IF(ISNUMBER(deployment_raw[[#This Row],[Column7]]), (deployment_raw[[#This Row],[Column7]] * IF($E$2="Deployment",deployment_raw[[#This Row],[Column5]],1))/1048576,"")</f>
        <v/>
      </c>
      <c r="H721" s="95" t="str">
        <f>IF(ISNUMBER(deployment_raw[[#This Row],[Column8]]), (deployment_raw[[#This Row],[Column8]]  * IF($E$2="Deployment",deployment_raw[[#This Row],[Column5]],1)),"")</f>
        <v/>
      </c>
      <c r="I721" s="96" t="str">
        <f>IF(ISNUMBER(deployment_raw[[#This Row],[Column9]]), (deployment_raw[[#This Row],[Column9]] * IF($E$2="Deployment",deployment_raw[[#This Row],[Column5]],1))/1048576,"")</f>
        <v/>
      </c>
      <c r="J721" s="122" t="str">
        <f>IF(ISNUMBER(deployment_raw[[#This Row],[Column10]]), (MIN(IF(N721&lt;&gt;"",N721,9999999999999)*1.1,deployment_raw[[#This Row],[Column10]] * IF($E$2="Deployment",deployment_raw[[#This Row],[Column5]],1))),"")</f>
        <v/>
      </c>
      <c r="K721" s="123" t="str">
        <f>IF(ISNUMBER(deployment_raw[[#This Row],[Column11]]), (MIN(IF(O721&lt;&gt;"",O721,9999999999999)*1.1,deployment_raw[[#This Row],[Column11]] * IF($E$2="Deployment",deployment_raw[[#This Row],[Column5]],1)/1048576)),"")</f>
        <v/>
      </c>
      <c r="L721" s="124" t="str">
        <f>IF(ISNUMBER(deployment_raw[[#This Row],[Column8]]),IF(OR(deployment_raw[[#This Row],[Column5]] &lt;&gt; 0,$E$2 &lt;&gt; "Deployment"), MAX(J721, P721, R721, ($L$2 * IF($E$2="Deployment",deployment_raw[[#This Row],[Column5]],1)),IF(T721&lt;&gt;"",VALUE(T721) * IF($E$2="Deployment",deployment_raw[[#This Row],[Column5]],1),0)), 0),"")</f>
        <v/>
      </c>
      <c r="M721" s="125" t="str">
        <f>IF(ISNUMBER(deployment_raw[[#This Row],[Column9]]),IF(OR(deployment_raw[[#This Row],[Column5]] &lt;&gt; 0,$E$2&lt;&gt;"Deployment"), MAX(K721, Q721, S721, ($M$2 * IF($E$2="Deployment",deployment_raw[[#This Row],[Column5]],1)),IF(U721&lt;&gt;"",VALUE(U721) * IF($E$2="Deployment",deployment_raw[[#This Row],[Column5]],1),0)), 0),"")</f>
        <v/>
      </c>
      <c r="N721" s="166" t="str">
        <f>IF(ISNUMBER(deployment_raw[[#This Row],[Column14]]), deployment_raw[[#This Row],[Column14]]/IF(OR($E$2="Deployment",deployment_raw[[#This Row],[Column5]]=0),1,deployment_raw[[#This Row],[Column5]]),"")</f>
        <v/>
      </c>
      <c r="O721" s="167" t="str">
        <f>IF(ISNUMBER(deployment_raw[[#This Row],[Column15]]), deployment_raw[[#This Row],[Column15]]/IF(OR($E$2="Deployment",deployment_raw[[#This Row],[Column5]]=0),1,deployment_raw[[#This Row],[Column5]])/1048576,"")</f>
        <v/>
      </c>
      <c r="P721" s="168" t="str">
        <f>IF(ISNUMBER(deployment_raw[[#This Row],[Column12]]), (MIN(IF(N721&lt;&gt;"",N721,9999999999999)*1.1,deployment_raw[[#This Row],[Column12]] * IF($E$2="Deployment",deployment_raw[[#This Row],[Column5]],1))*(1+$P$2)),"")</f>
        <v/>
      </c>
      <c r="Q721" s="167" t="str">
        <f>IF(ISNUMBER(deployment_raw[[#This Row],[Column13]]), (MIN(IF(O721&lt;&gt;"",O721,9999999999999)*1.1,deployment_raw[[#This Row],[Column13]] * IF($E$2="Deployment",deployment_raw[[#This Row],[Column5]],1)*(1+$Q$2)/1048576)),"")</f>
        <v/>
      </c>
      <c r="R721" s="169" t="str">
        <f>IF(ISNUMBER(deployment_raw[[#This Row],[Column8]]), (H721  * IF(N721&lt;&gt;0,$R$2,1)),"")</f>
        <v/>
      </c>
      <c r="S721" s="170" t="str">
        <f>IF(ISNUMBER(deployment_raw[[#This Row],[Column8]]), (I721  * IF(O721&lt;&gt;0,$S$2,1)),"")</f>
        <v/>
      </c>
      <c r="T721" s="202" t="str">
        <f>IF(AND(A721&lt;&gt;"",_xlfn.IFNA(MATCH(A721,'dynamic resource application '!$A$2:$A$100, 0),0)&lt;&gt;0), H721/(IF($E$2="Deployment",E721,1)),"")</f>
        <v/>
      </c>
      <c r="U721" s="211" t="str">
        <f>IF(AND(A721&lt;&gt;"",_xlfn.IFNA(MATCH(A721,'dynamic resource application '!$A$2:$A$100, 0),0)&lt;&gt;0), I721/(IF($E$2="Deployment",E721,1)),"")</f>
        <v/>
      </c>
    </row>
    <row r="722" spans="1:21" ht="15.75" customHeight="1" x14ac:dyDescent="0.25">
      <c r="A722" s="35" t="str">
        <f>IF(ISNONTEXT(deployment_raw[[#This Row],[Column1]]), "", deployment_raw[[#This Row],[Column1]])</f>
        <v/>
      </c>
      <c r="B722" s="36" t="str">
        <f>IF(ISNONTEXT(deployment_raw[[#This Row],[Column2]]), "", deployment_raw[[#This Row],[Column2]])</f>
        <v/>
      </c>
      <c r="C722" s="36" t="str">
        <f>IF(ISNONTEXT(deployment_raw[[#This Row],[Column3]]), "", deployment_raw[[#This Row],[Column3]])</f>
        <v/>
      </c>
      <c r="D722" s="36" t="str">
        <f>IF(ISNONTEXT(deployment_raw[[#This Row],[Column4]]), "", deployment_raw[[#This Row],[Column4]])</f>
        <v/>
      </c>
      <c r="E722" s="37" t="str">
        <f>IF(ISNUMBER(deployment_raw[[#This Row],[Column5]]), deployment_raw[[#This Row],[Column5]],"")</f>
        <v/>
      </c>
      <c r="F722" s="94" t="str">
        <f>IF(ISNUMBER(deployment_raw[[#This Row],[Column6]]), (deployment_raw[[#This Row],[Column6]] * IF($E$2="Deployment",deployment_raw[[#This Row],[Column5]],1)),"")</f>
        <v/>
      </c>
      <c r="G722" s="95" t="str">
        <f>IF(ISNUMBER(deployment_raw[[#This Row],[Column7]]), (deployment_raw[[#This Row],[Column7]] * IF($E$2="Deployment",deployment_raw[[#This Row],[Column5]],1))/1048576,"")</f>
        <v/>
      </c>
      <c r="H722" s="95" t="str">
        <f>IF(ISNUMBER(deployment_raw[[#This Row],[Column8]]), (deployment_raw[[#This Row],[Column8]]  * IF($E$2="Deployment",deployment_raw[[#This Row],[Column5]],1)),"")</f>
        <v/>
      </c>
      <c r="I722" s="96" t="str">
        <f>IF(ISNUMBER(deployment_raw[[#This Row],[Column9]]), (deployment_raw[[#This Row],[Column9]] * IF($E$2="Deployment",deployment_raw[[#This Row],[Column5]],1))/1048576,"")</f>
        <v/>
      </c>
      <c r="J722" s="122" t="str">
        <f>IF(ISNUMBER(deployment_raw[[#This Row],[Column10]]), (MIN(IF(N722&lt;&gt;"",N722,9999999999999)*1.1,deployment_raw[[#This Row],[Column10]] * IF($E$2="Deployment",deployment_raw[[#This Row],[Column5]],1))),"")</f>
        <v/>
      </c>
      <c r="K722" s="123" t="str">
        <f>IF(ISNUMBER(deployment_raw[[#This Row],[Column11]]), (MIN(IF(O722&lt;&gt;"",O722,9999999999999)*1.1,deployment_raw[[#This Row],[Column11]] * IF($E$2="Deployment",deployment_raw[[#This Row],[Column5]],1)/1048576)),"")</f>
        <v/>
      </c>
      <c r="L722" s="124" t="str">
        <f>IF(ISNUMBER(deployment_raw[[#This Row],[Column8]]),IF(OR(deployment_raw[[#This Row],[Column5]] &lt;&gt; 0,$E$2 &lt;&gt; "Deployment"), MAX(J722, P722, R722, ($L$2 * IF($E$2="Deployment",deployment_raw[[#This Row],[Column5]],1)),IF(T722&lt;&gt;"",VALUE(T722) * IF($E$2="Deployment",deployment_raw[[#This Row],[Column5]],1),0)), 0),"")</f>
        <v/>
      </c>
      <c r="M722" s="125" t="str">
        <f>IF(ISNUMBER(deployment_raw[[#This Row],[Column9]]),IF(OR(deployment_raw[[#This Row],[Column5]] &lt;&gt; 0,$E$2&lt;&gt;"Deployment"), MAX(K722, Q722, S722, ($M$2 * IF($E$2="Deployment",deployment_raw[[#This Row],[Column5]],1)),IF(U722&lt;&gt;"",VALUE(U722) * IF($E$2="Deployment",deployment_raw[[#This Row],[Column5]],1),0)), 0),"")</f>
        <v/>
      </c>
      <c r="N722" s="166" t="str">
        <f>IF(ISNUMBER(deployment_raw[[#This Row],[Column14]]), deployment_raw[[#This Row],[Column14]]/IF(OR($E$2="Deployment",deployment_raw[[#This Row],[Column5]]=0),1,deployment_raw[[#This Row],[Column5]]),"")</f>
        <v/>
      </c>
      <c r="O722" s="167" t="str">
        <f>IF(ISNUMBER(deployment_raw[[#This Row],[Column15]]), deployment_raw[[#This Row],[Column15]]/IF(OR($E$2="Deployment",deployment_raw[[#This Row],[Column5]]=0),1,deployment_raw[[#This Row],[Column5]])/1048576,"")</f>
        <v/>
      </c>
      <c r="P722" s="168" t="str">
        <f>IF(ISNUMBER(deployment_raw[[#This Row],[Column12]]), (MIN(IF(N722&lt;&gt;"",N722,9999999999999)*1.1,deployment_raw[[#This Row],[Column12]] * IF($E$2="Deployment",deployment_raw[[#This Row],[Column5]],1))*(1+$P$2)),"")</f>
        <v/>
      </c>
      <c r="Q722" s="167" t="str">
        <f>IF(ISNUMBER(deployment_raw[[#This Row],[Column13]]), (MIN(IF(O722&lt;&gt;"",O722,9999999999999)*1.1,deployment_raw[[#This Row],[Column13]] * IF($E$2="Deployment",deployment_raw[[#This Row],[Column5]],1)*(1+$Q$2)/1048576)),"")</f>
        <v/>
      </c>
      <c r="R722" s="169" t="str">
        <f>IF(ISNUMBER(deployment_raw[[#This Row],[Column8]]), (H722  * IF(N722&lt;&gt;0,$R$2,1)),"")</f>
        <v/>
      </c>
      <c r="S722" s="170" t="str">
        <f>IF(ISNUMBER(deployment_raw[[#This Row],[Column8]]), (I722  * IF(O722&lt;&gt;0,$S$2,1)),"")</f>
        <v/>
      </c>
      <c r="T722" s="202" t="str">
        <f>IF(AND(A722&lt;&gt;"",_xlfn.IFNA(MATCH(A722,'dynamic resource application '!$A$2:$A$100, 0),0)&lt;&gt;0), H722/(IF($E$2="Deployment",E722,1)),"")</f>
        <v/>
      </c>
      <c r="U722" s="211" t="str">
        <f>IF(AND(A722&lt;&gt;"",_xlfn.IFNA(MATCH(A722,'dynamic resource application '!$A$2:$A$100, 0),0)&lt;&gt;0), I722/(IF($E$2="Deployment",E722,1)),"")</f>
        <v/>
      </c>
    </row>
    <row r="723" spans="1:21" ht="15.75" customHeight="1" x14ac:dyDescent="0.25">
      <c r="A723" s="35" t="str">
        <f>IF(ISNONTEXT(deployment_raw[[#This Row],[Column1]]), "", deployment_raw[[#This Row],[Column1]])</f>
        <v/>
      </c>
      <c r="B723" s="36" t="str">
        <f>IF(ISNONTEXT(deployment_raw[[#This Row],[Column2]]), "", deployment_raw[[#This Row],[Column2]])</f>
        <v/>
      </c>
      <c r="C723" s="36" t="str">
        <f>IF(ISNONTEXT(deployment_raw[[#This Row],[Column3]]), "", deployment_raw[[#This Row],[Column3]])</f>
        <v/>
      </c>
      <c r="D723" s="36" t="str">
        <f>IF(ISNONTEXT(deployment_raw[[#This Row],[Column4]]), "", deployment_raw[[#This Row],[Column4]])</f>
        <v/>
      </c>
      <c r="E723" s="37" t="str">
        <f>IF(ISNUMBER(deployment_raw[[#This Row],[Column5]]), deployment_raw[[#This Row],[Column5]],"")</f>
        <v/>
      </c>
      <c r="F723" s="94" t="str">
        <f>IF(ISNUMBER(deployment_raw[[#This Row],[Column6]]), (deployment_raw[[#This Row],[Column6]] * IF($E$2="Deployment",deployment_raw[[#This Row],[Column5]],1)),"")</f>
        <v/>
      </c>
      <c r="G723" s="95" t="str">
        <f>IF(ISNUMBER(deployment_raw[[#This Row],[Column7]]), (deployment_raw[[#This Row],[Column7]] * IF($E$2="Deployment",deployment_raw[[#This Row],[Column5]],1))/1048576,"")</f>
        <v/>
      </c>
      <c r="H723" s="95" t="str">
        <f>IF(ISNUMBER(deployment_raw[[#This Row],[Column8]]), (deployment_raw[[#This Row],[Column8]]  * IF($E$2="Deployment",deployment_raw[[#This Row],[Column5]],1)),"")</f>
        <v/>
      </c>
      <c r="I723" s="96" t="str">
        <f>IF(ISNUMBER(deployment_raw[[#This Row],[Column9]]), (deployment_raw[[#This Row],[Column9]] * IF($E$2="Deployment",deployment_raw[[#This Row],[Column5]],1))/1048576,"")</f>
        <v/>
      </c>
      <c r="J723" s="122" t="str">
        <f>IF(ISNUMBER(deployment_raw[[#This Row],[Column10]]), (MIN(IF(N723&lt;&gt;"",N723,9999999999999)*1.1,deployment_raw[[#This Row],[Column10]] * IF($E$2="Deployment",deployment_raw[[#This Row],[Column5]],1))),"")</f>
        <v/>
      </c>
      <c r="K723" s="123" t="str">
        <f>IF(ISNUMBER(deployment_raw[[#This Row],[Column11]]), (MIN(IF(O723&lt;&gt;"",O723,9999999999999)*1.1,deployment_raw[[#This Row],[Column11]] * IF($E$2="Deployment",deployment_raw[[#This Row],[Column5]],1)/1048576)),"")</f>
        <v/>
      </c>
      <c r="L723" s="124" t="str">
        <f>IF(ISNUMBER(deployment_raw[[#This Row],[Column8]]),IF(OR(deployment_raw[[#This Row],[Column5]] &lt;&gt; 0,$E$2 &lt;&gt; "Deployment"), MAX(J723, P723, R723, ($L$2 * IF($E$2="Deployment",deployment_raw[[#This Row],[Column5]],1)),IF(T723&lt;&gt;"",VALUE(T723) * IF($E$2="Deployment",deployment_raw[[#This Row],[Column5]],1),0)), 0),"")</f>
        <v/>
      </c>
      <c r="M723" s="125" t="str">
        <f>IF(ISNUMBER(deployment_raw[[#This Row],[Column9]]),IF(OR(deployment_raw[[#This Row],[Column5]] &lt;&gt; 0,$E$2&lt;&gt;"Deployment"), MAX(K723, Q723, S723, ($M$2 * IF($E$2="Deployment",deployment_raw[[#This Row],[Column5]],1)),IF(U723&lt;&gt;"",VALUE(U723) * IF($E$2="Deployment",deployment_raw[[#This Row],[Column5]],1),0)), 0),"")</f>
        <v/>
      </c>
      <c r="N723" s="166" t="str">
        <f>IF(ISNUMBER(deployment_raw[[#This Row],[Column14]]), deployment_raw[[#This Row],[Column14]]/IF(OR($E$2="Deployment",deployment_raw[[#This Row],[Column5]]=0),1,deployment_raw[[#This Row],[Column5]]),"")</f>
        <v/>
      </c>
      <c r="O723" s="167" t="str">
        <f>IF(ISNUMBER(deployment_raw[[#This Row],[Column15]]), deployment_raw[[#This Row],[Column15]]/IF(OR($E$2="Deployment",deployment_raw[[#This Row],[Column5]]=0),1,deployment_raw[[#This Row],[Column5]])/1048576,"")</f>
        <v/>
      </c>
      <c r="P723" s="168" t="str">
        <f>IF(ISNUMBER(deployment_raw[[#This Row],[Column12]]), (MIN(IF(N723&lt;&gt;"",N723,9999999999999)*1.1,deployment_raw[[#This Row],[Column12]] * IF($E$2="Deployment",deployment_raw[[#This Row],[Column5]],1))*(1+$P$2)),"")</f>
        <v/>
      </c>
      <c r="Q723" s="167" t="str">
        <f>IF(ISNUMBER(deployment_raw[[#This Row],[Column13]]), (MIN(IF(O723&lt;&gt;"",O723,9999999999999)*1.1,deployment_raw[[#This Row],[Column13]] * IF($E$2="Deployment",deployment_raw[[#This Row],[Column5]],1)*(1+$Q$2)/1048576)),"")</f>
        <v/>
      </c>
      <c r="R723" s="169" t="str">
        <f>IF(ISNUMBER(deployment_raw[[#This Row],[Column8]]), (H723  * IF(N723&lt;&gt;0,$R$2,1)),"")</f>
        <v/>
      </c>
      <c r="S723" s="170" t="str">
        <f>IF(ISNUMBER(deployment_raw[[#This Row],[Column8]]), (I723  * IF(O723&lt;&gt;0,$S$2,1)),"")</f>
        <v/>
      </c>
      <c r="T723" s="202" t="str">
        <f>IF(AND(A723&lt;&gt;"",_xlfn.IFNA(MATCH(A723,'dynamic resource application '!$A$2:$A$100, 0),0)&lt;&gt;0), H723/(IF($E$2="Deployment",E723,1)),"")</f>
        <v/>
      </c>
      <c r="U723" s="211" t="str">
        <f>IF(AND(A723&lt;&gt;"",_xlfn.IFNA(MATCH(A723,'dynamic resource application '!$A$2:$A$100, 0),0)&lt;&gt;0), I723/(IF($E$2="Deployment",E723,1)),"")</f>
        <v/>
      </c>
    </row>
    <row r="724" spans="1:21" ht="15.75" customHeight="1" x14ac:dyDescent="0.25">
      <c r="A724" s="35" t="str">
        <f>IF(ISNONTEXT(deployment_raw[[#This Row],[Column1]]), "", deployment_raw[[#This Row],[Column1]])</f>
        <v/>
      </c>
      <c r="B724" s="36" t="str">
        <f>IF(ISNONTEXT(deployment_raw[[#This Row],[Column2]]), "", deployment_raw[[#This Row],[Column2]])</f>
        <v/>
      </c>
      <c r="C724" s="36" t="str">
        <f>IF(ISNONTEXT(deployment_raw[[#This Row],[Column3]]), "", deployment_raw[[#This Row],[Column3]])</f>
        <v/>
      </c>
      <c r="D724" s="36" t="str">
        <f>IF(ISNONTEXT(deployment_raw[[#This Row],[Column4]]), "", deployment_raw[[#This Row],[Column4]])</f>
        <v/>
      </c>
      <c r="E724" s="37" t="str">
        <f>IF(ISNUMBER(deployment_raw[[#This Row],[Column5]]), deployment_raw[[#This Row],[Column5]],"")</f>
        <v/>
      </c>
      <c r="F724" s="94" t="str">
        <f>IF(ISNUMBER(deployment_raw[[#This Row],[Column6]]), (deployment_raw[[#This Row],[Column6]] * IF($E$2="Deployment",deployment_raw[[#This Row],[Column5]],1)),"")</f>
        <v/>
      </c>
      <c r="G724" s="95" t="str">
        <f>IF(ISNUMBER(deployment_raw[[#This Row],[Column7]]), (deployment_raw[[#This Row],[Column7]] * IF($E$2="Deployment",deployment_raw[[#This Row],[Column5]],1))/1048576,"")</f>
        <v/>
      </c>
      <c r="H724" s="95" t="str">
        <f>IF(ISNUMBER(deployment_raw[[#This Row],[Column8]]), (deployment_raw[[#This Row],[Column8]]  * IF($E$2="Deployment",deployment_raw[[#This Row],[Column5]],1)),"")</f>
        <v/>
      </c>
      <c r="I724" s="96" t="str">
        <f>IF(ISNUMBER(deployment_raw[[#This Row],[Column9]]), (deployment_raw[[#This Row],[Column9]] * IF($E$2="Deployment",deployment_raw[[#This Row],[Column5]],1))/1048576,"")</f>
        <v/>
      </c>
      <c r="J724" s="122" t="str">
        <f>IF(ISNUMBER(deployment_raw[[#This Row],[Column10]]), (MIN(IF(N724&lt;&gt;"",N724,9999999999999)*1.1,deployment_raw[[#This Row],[Column10]] * IF($E$2="Deployment",deployment_raw[[#This Row],[Column5]],1))),"")</f>
        <v/>
      </c>
      <c r="K724" s="123" t="str">
        <f>IF(ISNUMBER(deployment_raw[[#This Row],[Column11]]), (MIN(IF(O724&lt;&gt;"",O724,9999999999999)*1.1,deployment_raw[[#This Row],[Column11]] * IF($E$2="Deployment",deployment_raw[[#This Row],[Column5]],1)/1048576)),"")</f>
        <v/>
      </c>
      <c r="L724" s="124" t="str">
        <f>IF(ISNUMBER(deployment_raw[[#This Row],[Column8]]),IF(OR(deployment_raw[[#This Row],[Column5]] &lt;&gt; 0,$E$2 &lt;&gt; "Deployment"), MAX(J724, P724, R724, ($L$2 * IF($E$2="Deployment",deployment_raw[[#This Row],[Column5]],1)),IF(T724&lt;&gt;"",VALUE(T724) * IF($E$2="Deployment",deployment_raw[[#This Row],[Column5]],1),0)), 0),"")</f>
        <v/>
      </c>
      <c r="M724" s="125" t="str">
        <f>IF(ISNUMBER(deployment_raw[[#This Row],[Column9]]),IF(OR(deployment_raw[[#This Row],[Column5]] &lt;&gt; 0,$E$2&lt;&gt;"Deployment"), MAX(K724, Q724, S724, ($M$2 * IF($E$2="Deployment",deployment_raw[[#This Row],[Column5]],1)),IF(U724&lt;&gt;"",VALUE(U724) * IF($E$2="Deployment",deployment_raw[[#This Row],[Column5]],1),0)), 0),"")</f>
        <v/>
      </c>
      <c r="N724" s="166" t="str">
        <f>IF(ISNUMBER(deployment_raw[[#This Row],[Column14]]), deployment_raw[[#This Row],[Column14]]/IF(OR($E$2="Deployment",deployment_raw[[#This Row],[Column5]]=0),1,deployment_raw[[#This Row],[Column5]]),"")</f>
        <v/>
      </c>
      <c r="O724" s="167" t="str">
        <f>IF(ISNUMBER(deployment_raw[[#This Row],[Column15]]), deployment_raw[[#This Row],[Column15]]/IF(OR($E$2="Deployment",deployment_raw[[#This Row],[Column5]]=0),1,deployment_raw[[#This Row],[Column5]])/1048576,"")</f>
        <v/>
      </c>
      <c r="P724" s="168" t="str">
        <f>IF(ISNUMBER(deployment_raw[[#This Row],[Column12]]), (MIN(IF(N724&lt;&gt;"",N724,9999999999999)*1.1,deployment_raw[[#This Row],[Column12]] * IF($E$2="Deployment",deployment_raw[[#This Row],[Column5]],1))*(1+$P$2)),"")</f>
        <v/>
      </c>
      <c r="Q724" s="167" t="str">
        <f>IF(ISNUMBER(deployment_raw[[#This Row],[Column13]]), (MIN(IF(O724&lt;&gt;"",O724,9999999999999)*1.1,deployment_raw[[#This Row],[Column13]] * IF($E$2="Deployment",deployment_raw[[#This Row],[Column5]],1)*(1+$Q$2)/1048576)),"")</f>
        <v/>
      </c>
      <c r="R724" s="169" t="str">
        <f>IF(ISNUMBER(deployment_raw[[#This Row],[Column8]]), (H724  * IF(N724&lt;&gt;0,$R$2,1)),"")</f>
        <v/>
      </c>
      <c r="S724" s="170" t="str">
        <f>IF(ISNUMBER(deployment_raw[[#This Row],[Column8]]), (I724  * IF(O724&lt;&gt;0,$S$2,1)),"")</f>
        <v/>
      </c>
      <c r="T724" s="202" t="str">
        <f>IF(AND(A724&lt;&gt;"",_xlfn.IFNA(MATCH(A724,'dynamic resource application '!$A$2:$A$100, 0),0)&lt;&gt;0), H724/(IF($E$2="Deployment",E724,1)),"")</f>
        <v/>
      </c>
      <c r="U724" s="211" t="str">
        <f>IF(AND(A724&lt;&gt;"",_xlfn.IFNA(MATCH(A724,'dynamic resource application '!$A$2:$A$100, 0),0)&lt;&gt;0), I724/(IF($E$2="Deployment",E724,1)),"")</f>
        <v/>
      </c>
    </row>
    <row r="725" spans="1:21" ht="15.75" customHeight="1" x14ac:dyDescent="0.25">
      <c r="A725" s="35" t="str">
        <f>IF(ISNONTEXT(deployment_raw[[#This Row],[Column1]]), "", deployment_raw[[#This Row],[Column1]])</f>
        <v/>
      </c>
      <c r="B725" s="36" t="str">
        <f>IF(ISNONTEXT(deployment_raw[[#This Row],[Column2]]), "", deployment_raw[[#This Row],[Column2]])</f>
        <v/>
      </c>
      <c r="C725" s="36" t="str">
        <f>IF(ISNONTEXT(deployment_raw[[#This Row],[Column3]]), "", deployment_raw[[#This Row],[Column3]])</f>
        <v/>
      </c>
      <c r="D725" s="36" t="str">
        <f>IF(ISNONTEXT(deployment_raw[[#This Row],[Column4]]), "", deployment_raw[[#This Row],[Column4]])</f>
        <v/>
      </c>
      <c r="E725" s="37" t="str">
        <f>IF(ISNUMBER(deployment_raw[[#This Row],[Column5]]), deployment_raw[[#This Row],[Column5]],"")</f>
        <v/>
      </c>
      <c r="F725" s="94" t="str">
        <f>IF(ISNUMBER(deployment_raw[[#This Row],[Column6]]), (deployment_raw[[#This Row],[Column6]] * IF($E$2="Deployment",deployment_raw[[#This Row],[Column5]],1)),"")</f>
        <v/>
      </c>
      <c r="G725" s="95" t="str">
        <f>IF(ISNUMBER(deployment_raw[[#This Row],[Column7]]), (deployment_raw[[#This Row],[Column7]] * IF($E$2="Deployment",deployment_raw[[#This Row],[Column5]],1))/1048576,"")</f>
        <v/>
      </c>
      <c r="H725" s="95" t="str">
        <f>IF(ISNUMBER(deployment_raw[[#This Row],[Column8]]), (deployment_raw[[#This Row],[Column8]]  * IF($E$2="Deployment",deployment_raw[[#This Row],[Column5]],1)),"")</f>
        <v/>
      </c>
      <c r="I725" s="96" t="str">
        <f>IF(ISNUMBER(deployment_raw[[#This Row],[Column9]]), (deployment_raw[[#This Row],[Column9]] * IF($E$2="Deployment",deployment_raw[[#This Row],[Column5]],1))/1048576,"")</f>
        <v/>
      </c>
      <c r="J725" s="122" t="str">
        <f>IF(ISNUMBER(deployment_raw[[#This Row],[Column10]]), (MIN(IF(N725&lt;&gt;"",N725,9999999999999)*1.1,deployment_raw[[#This Row],[Column10]] * IF($E$2="Deployment",deployment_raw[[#This Row],[Column5]],1))),"")</f>
        <v/>
      </c>
      <c r="K725" s="123" t="str">
        <f>IF(ISNUMBER(deployment_raw[[#This Row],[Column11]]), (MIN(IF(O725&lt;&gt;"",O725,9999999999999)*1.1,deployment_raw[[#This Row],[Column11]] * IF($E$2="Deployment",deployment_raw[[#This Row],[Column5]],1)/1048576)),"")</f>
        <v/>
      </c>
      <c r="L725" s="124" t="str">
        <f>IF(ISNUMBER(deployment_raw[[#This Row],[Column8]]),IF(OR(deployment_raw[[#This Row],[Column5]] &lt;&gt; 0,$E$2 &lt;&gt; "Deployment"), MAX(J725, P725, R725, ($L$2 * IF($E$2="Deployment",deployment_raw[[#This Row],[Column5]],1)),IF(T725&lt;&gt;"",VALUE(T725) * IF($E$2="Deployment",deployment_raw[[#This Row],[Column5]],1),0)), 0),"")</f>
        <v/>
      </c>
      <c r="M725" s="125" t="str">
        <f>IF(ISNUMBER(deployment_raw[[#This Row],[Column9]]),IF(OR(deployment_raw[[#This Row],[Column5]] &lt;&gt; 0,$E$2&lt;&gt;"Deployment"), MAX(K725, Q725, S725, ($M$2 * IF($E$2="Deployment",deployment_raw[[#This Row],[Column5]],1)),IF(U725&lt;&gt;"",VALUE(U725) * IF($E$2="Deployment",deployment_raw[[#This Row],[Column5]],1),0)), 0),"")</f>
        <v/>
      </c>
      <c r="N725" s="166" t="str">
        <f>IF(ISNUMBER(deployment_raw[[#This Row],[Column14]]), deployment_raw[[#This Row],[Column14]]/IF(OR($E$2="Deployment",deployment_raw[[#This Row],[Column5]]=0),1,deployment_raw[[#This Row],[Column5]]),"")</f>
        <v/>
      </c>
      <c r="O725" s="167" t="str">
        <f>IF(ISNUMBER(deployment_raw[[#This Row],[Column15]]), deployment_raw[[#This Row],[Column15]]/IF(OR($E$2="Deployment",deployment_raw[[#This Row],[Column5]]=0),1,deployment_raw[[#This Row],[Column5]])/1048576,"")</f>
        <v/>
      </c>
      <c r="P725" s="168" t="str">
        <f>IF(ISNUMBER(deployment_raw[[#This Row],[Column12]]), (MIN(IF(N725&lt;&gt;"",N725,9999999999999)*1.1,deployment_raw[[#This Row],[Column12]] * IF($E$2="Deployment",deployment_raw[[#This Row],[Column5]],1))*(1+$P$2)),"")</f>
        <v/>
      </c>
      <c r="Q725" s="167" t="str">
        <f>IF(ISNUMBER(deployment_raw[[#This Row],[Column13]]), (MIN(IF(O725&lt;&gt;"",O725,9999999999999)*1.1,deployment_raw[[#This Row],[Column13]] * IF($E$2="Deployment",deployment_raw[[#This Row],[Column5]],1)*(1+$Q$2)/1048576)),"")</f>
        <v/>
      </c>
      <c r="R725" s="169" t="str">
        <f>IF(ISNUMBER(deployment_raw[[#This Row],[Column8]]), (H725  * IF(N725&lt;&gt;0,$R$2,1)),"")</f>
        <v/>
      </c>
      <c r="S725" s="170" t="str">
        <f>IF(ISNUMBER(deployment_raw[[#This Row],[Column8]]), (I725  * IF(O725&lt;&gt;0,$S$2,1)),"")</f>
        <v/>
      </c>
      <c r="T725" s="202" t="str">
        <f>IF(AND(A725&lt;&gt;"",_xlfn.IFNA(MATCH(A725,'dynamic resource application '!$A$2:$A$100, 0),0)&lt;&gt;0), H725/(IF($E$2="Deployment",E725,1)),"")</f>
        <v/>
      </c>
      <c r="U725" s="211" t="str">
        <f>IF(AND(A725&lt;&gt;"",_xlfn.IFNA(MATCH(A725,'dynamic resource application '!$A$2:$A$100, 0),0)&lt;&gt;0), I725/(IF($E$2="Deployment",E725,1)),"")</f>
        <v/>
      </c>
    </row>
    <row r="726" spans="1:21" ht="15.75" customHeight="1" x14ac:dyDescent="0.25">
      <c r="A726" s="35" t="str">
        <f>IF(ISNONTEXT(deployment_raw[[#This Row],[Column1]]), "", deployment_raw[[#This Row],[Column1]])</f>
        <v/>
      </c>
      <c r="B726" s="36" t="str">
        <f>IF(ISNONTEXT(deployment_raw[[#This Row],[Column2]]), "", deployment_raw[[#This Row],[Column2]])</f>
        <v/>
      </c>
      <c r="C726" s="36" t="str">
        <f>IF(ISNONTEXT(deployment_raw[[#This Row],[Column3]]), "", deployment_raw[[#This Row],[Column3]])</f>
        <v/>
      </c>
      <c r="D726" s="36" t="str">
        <f>IF(ISNONTEXT(deployment_raw[[#This Row],[Column4]]), "", deployment_raw[[#This Row],[Column4]])</f>
        <v/>
      </c>
      <c r="E726" s="37" t="str">
        <f>IF(ISNUMBER(deployment_raw[[#This Row],[Column5]]), deployment_raw[[#This Row],[Column5]],"")</f>
        <v/>
      </c>
      <c r="F726" s="94" t="str">
        <f>IF(ISNUMBER(deployment_raw[[#This Row],[Column6]]), (deployment_raw[[#This Row],[Column6]] * IF($E$2="Deployment",deployment_raw[[#This Row],[Column5]],1)),"")</f>
        <v/>
      </c>
      <c r="G726" s="95" t="str">
        <f>IF(ISNUMBER(deployment_raw[[#This Row],[Column7]]), (deployment_raw[[#This Row],[Column7]] * IF($E$2="Deployment",deployment_raw[[#This Row],[Column5]],1))/1048576,"")</f>
        <v/>
      </c>
      <c r="H726" s="95" t="str">
        <f>IF(ISNUMBER(deployment_raw[[#This Row],[Column8]]), (deployment_raw[[#This Row],[Column8]]  * IF($E$2="Deployment",deployment_raw[[#This Row],[Column5]],1)),"")</f>
        <v/>
      </c>
      <c r="I726" s="96" t="str">
        <f>IF(ISNUMBER(deployment_raw[[#This Row],[Column9]]), (deployment_raw[[#This Row],[Column9]] * IF($E$2="Deployment",deployment_raw[[#This Row],[Column5]],1))/1048576,"")</f>
        <v/>
      </c>
      <c r="J726" s="122" t="str">
        <f>IF(ISNUMBER(deployment_raw[[#This Row],[Column10]]), (MIN(IF(N726&lt;&gt;"",N726,9999999999999)*1.1,deployment_raw[[#This Row],[Column10]] * IF($E$2="Deployment",deployment_raw[[#This Row],[Column5]],1))),"")</f>
        <v/>
      </c>
      <c r="K726" s="123" t="str">
        <f>IF(ISNUMBER(deployment_raw[[#This Row],[Column11]]), (MIN(IF(O726&lt;&gt;"",O726,9999999999999)*1.1,deployment_raw[[#This Row],[Column11]] * IF($E$2="Deployment",deployment_raw[[#This Row],[Column5]],1)/1048576)),"")</f>
        <v/>
      </c>
      <c r="L726" s="124" t="str">
        <f>IF(ISNUMBER(deployment_raw[[#This Row],[Column8]]),IF(OR(deployment_raw[[#This Row],[Column5]] &lt;&gt; 0,$E$2 &lt;&gt; "Deployment"), MAX(J726, P726, R726, ($L$2 * IF($E$2="Deployment",deployment_raw[[#This Row],[Column5]],1)),IF(T726&lt;&gt;"",VALUE(T726) * IF($E$2="Deployment",deployment_raw[[#This Row],[Column5]],1),0)), 0),"")</f>
        <v/>
      </c>
      <c r="M726" s="125" t="str">
        <f>IF(ISNUMBER(deployment_raw[[#This Row],[Column9]]),IF(OR(deployment_raw[[#This Row],[Column5]] &lt;&gt; 0,$E$2&lt;&gt;"Deployment"), MAX(K726, Q726, S726, ($M$2 * IF($E$2="Deployment",deployment_raw[[#This Row],[Column5]],1)),IF(U726&lt;&gt;"",VALUE(U726) * IF($E$2="Deployment",deployment_raw[[#This Row],[Column5]],1),0)), 0),"")</f>
        <v/>
      </c>
      <c r="N726" s="166" t="str">
        <f>IF(ISNUMBER(deployment_raw[[#This Row],[Column14]]), deployment_raw[[#This Row],[Column14]]/IF(OR($E$2="Deployment",deployment_raw[[#This Row],[Column5]]=0),1,deployment_raw[[#This Row],[Column5]]),"")</f>
        <v/>
      </c>
      <c r="O726" s="167" t="str">
        <f>IF(ISNUMBER(deployment_raw[[#This Row],[Column15]]), deployment_raw[[#This Row],[Column15]]/IF(OR($E$2="Deployment",deployment_raw[[#This Row],[Column5]]=0),1,deployment_raw[[#This Row],[Column5]])/1048576,"")</f>
        <v/>
      </c>
      <c r="P726" s="168" t="str">
        <f>IF(ISNUMBER(deployment_raw[[#This Row],[Column12]]), (MIN(IF(N726&lt;&gt;"",N726,9999999999999)*1.1,deployment_raw[[#This Row],[Column12]] * IF($E$2="Deployment",deployment_raw[[#This Row],[Column5]],1))*(1+$P$2)),"")</f>
        <v/>
      </c>
      <c r="Q726" s="167" t="str">
        <f>IF(ISNUMBER(deployment_raw[[#This Row],[Column13]]), (MIN(IF(O726&lt;&gt;"",O726,9999999999999)*1.1,deployment_raw[[#This Row],[Column13]] * IF($E$2="Deployment",deployment_raw[[#This Row],[Column5]],1)*(1+$Q$2)/1048576)),"")</f>
        <v/>
      </c>
      <c r="R726" s="169" t="str">
        <f>IF(ISNUMBER(deployment_raw[[#This Row],[Column8]]), (H726  * IF(N726&lt;&gt;0,$R$2,1)),"")</f>
        <v/>
      </c>
      <c r="S726" s="170" t="str">
        <f>IF(ISNUMBER(deployment_raw[[#This Row],[Column8]]), (I726  * IF(O726&lt;&gt;0,$S$2,1)),"")</f>
        <v/>
      </c>
      <c r="T726" s="202" t="str">
        <f>IF(AND(A726&lt;&gt;"",_xlfn.IFNA(MATCH(A726,'dynamic resource application '!$A$2:$A$100, 0),0)&lt;&gt;0), H726/(IF($E$2="Deployment",E726,1)),"")</f>
        <v/>
      </c>
      <c r="U726" s="211" t="str">
        <f>IF(AND(A726&lt;&gt;"",_xlfn.IFNA(MATCH(A726,'dynamic resource application '!$A$2:$A$100, 0),0)&lt;&gt;0), I726/(IF($E$2="Deployment",E726,1)),"")</f>
        <v/>
      </c>
    </row>
    <row r="727" spans="1:21" ht="15.75" customHeight="1" x14ac:dyDescent="0.25">
      <c r="A727" s="35" t="str">
        <f>IF(ISNONTEXT(deployment_raw[[#This Row],[Column1]]), "", deployment_raw[[#This Row],[Column1]])</f>
        <v/>
      </c>
      <c r="B727" s="36" t="str">
        <f>IF(ISNONTEXT(deployment_raw[[#This Row],[Column2]]), "", deployment_raw[[#This Row],[Column2]])</f>
        <v/>
      </c>
      <c r="C727" s="36" t="str">
        <f>IF(ISNONTEXT(deployment_raw[[#This Row],[Column3]]), "", deployment_raw[[#This Row],[Column3]])</f>
        <v/>
      </c>
      <c r="D727" s="36" t="str">
        <f>IF(ISNONTEXT(deployment_raw[[#This Row],[Column4]]), "", deployment_raw[[#This Row],[Column4]])</f>
        <v/>
      </c>
      <c r="E727" s="37" t="str">
        <f>IF(ISNUMBER(deployment_raw[[#This Row],[Column5]]), deployment_raw[[#This Row],[Column5]],"")</f>
        <v/>
      </c>
      <c r="F727" s="94" t="str">
        <f>IF(ISNUMBER(deployment_raw[[#This Row],[Column6]]), (deployment_raw[[#This Row],[Column6]] * IF($E$2="Deployment",deployment_raw[[#This Row],[Column5]],1)),"")</f>
        <v/>
      </c>
      <c r="G727" s="95" t="str">
        <f>IF(ISNUMBER(deployment_raw[[#This Row],[Column7]]), (deployment_raw[[#This Row],[Column7]] * IF($E$2="Deployment",deployment_raw[[#This Row],[Column5]],1))/1048576,"")</f>
        <v/>
      </c>
      <c r="H727" s="95" t="str">
        <f>IF(ISNUMBER(deployment_raw[[#This Row],[Column8]]), (deployment_raw[[#This Row],[Column8]]  * IF($E$2="Deployment",deployment_raw[[#This Row],[Column5]],1)),"")</f>
        <v/>
      </c>
      <c r="I727" s="96" t="str">
        <f>IF(ISNUMBER(deployment_raw[[#This Row],[Column9]]), (deployment_raw[[#This Row],[Column9]] * IF($E$2="Deployment",deployment_raw[[#This Row],[Column5]],1))/1048576,"")</f>
        <v/>
      </c>
      <c r="J727" s="122" t="str">
        <f>IF(ISNUMBER(deployment_raw[[#This Row],[Column10]]), (MIN(IF(N727&lt;&gt;"",N727,9999999999999)*1.1,deployment_raw[[#This Row],[Column10]] * IF($E$2="Deployment",deployment_raw[[#This Row],[Column5]],1))),"")</f>
        <v/>
      </c>
      <c r="K727" s="123" t="str">
        <f>IF(ISNUMBER(deployment_raw[[#This Row],[Column11]]), (MIN(IF(O727&lt;&gt;"",O727,9999999999999)*1.1,deployment_raw[[#This Row],[Column11]] * IF($E$2="Deployment",deployment_raw[[#This Row],[Column5]],1)/1048576)),"")</f>
        <v/>
      </c>
      <c r="L727" s="124" t="str">
        <f>IF(ISNUMBER(deployment_raw[[#This Row],[Column8]]),IF(OR(deployment_raw[[#This Row],[Column5]] &lt;&gt; 0,$E$2 &lt;&gt; "Deployment"), MAX(J727, P727, R727, ($L$2 * IF($E$2="Deployment",deployment_raw[[#This Row],[Column5]],1)),IF(T727&lt;&gt;"",VALUE(T727) * IF($E$2="Deployment",deployment_raw[[#This Row],[Column5]],1),0)), 0),"")</f>
        <v/>
      </c>
      <c r="M727" s="125" t="str">
        <f>IF(ISNUMBER(deployment_raw[[#This Row],[Column9]]),IF(OR(deployment_raw[[#This Row],[Column5]] &lt;&gt; 0,$E$2&lt;&gt;"Deployment"), MAX(K727, Q727, S727, ($M$2 * IF($E$2="Deployment",deployment_raw[[#This Row],[Column5]],1)),IF(U727&lt;&gt;"",VALUE(U727) * IF($E$2="Deployment",deployment_raw[[#This Row],[Column5]],1),0)), 0),"")</f>
        <v/>
      </c>
      <c r="N727" s="166" t="str">
        <f>IF(ISNUMBER(deployment_raw[[#This Row],[Column14]]), deployment_raw[[#This Row],[Column14]]/IF(OR($E$2="Deployment",deployment_raw[[#This Row],[Column5]]=0),1,deployment_raw[[#This Row],[Column5]]),"")</f>
        <v/>
      </c>
      <c r="O727" s="167" t="str">
        <f>IF(ISNUMBER(deployment_raw[[#This Row],[Column15]]), deployment_raw[[#This Row],[Column15]]/IF(OR($E$2="Deployment",deployment_raw[[#This Row],[Column5]]=0),1,deployment_raw[[#This Row],[Column5]])/1048576,"")</f>
        <v/>
      </c>
      <c r="P727" s="168" t="str">
        <f>IF(ISNUMBER(deployment_raw[[#This Row],[Column12]]), (MIN(IF(N727&lt;&gt;"",N727,9999999999999)*1.1,deployment_raw[[#This Row],[Column12]] * IF($E$2="Deployment",deployment_raw[[#This Row],[Column5]],1))*(1+$P$2)),"")</f>
        <v/>
      </c>
      <c r="Q727" s="167" t="str">
        <f>IF(ISNUMBER(deployment_raw[[#This Row],[Column13]]), (MIN(IF(O727&lt;&gt;"",O727,9999999999999)*1.1,deployment_raw[[#This Row],[Column13]] * IF($E$2="Deployment",deployment_raw[[#This Row],[Column5]],1)*(1+$Q$2)/1048576)),"")</f>
        <v/>
      </c>
      <c r="R727" s="169" t="str">
        <f>IF(ISNUMBER(deployment_raw[[#This Row],[Column8]]), (H727  * IF(N727&lt;&gt;0,$R$2,1)),"")</f>
        <v/>
      </c>
      <c r="S727" s="170" t="str">
        <f>IF(ISNUMBER(deployment_raw[[#This Row],[Column8]]), (I727  * IF(O727&lt;&gt;0,$S$2,1)),"")</f>
        <v/>
      </c>
      <c r="T727" s="202" t="str">
        <f>IF(AND(A727&lt;&gt;"",_xlfn.IFNA(MATCH(A727,'dynamic resource application '!$A$2:$A$100, 0),0)&lt;&gt;0), H727/(IF($E$2="Deployment",E727,1)),"")</f>
        <v/>
      </c>
      <c r="U727" s="211" t="str">
        <f>IF(AND(A727&lt;&gt;"",_xlfn.IFNA(MATCH(A727,'dynamic resource application '!$A$2:$A$100, 0),0)&lt;&gt;0), I727/(IF($E$2="Deployment",E727,1)),"")</f>
        <v/>
      </c>
    </row>
    <row r="728" spans="1:21" ht="15.75" customHeight="1" x14ac:dyDescent="0.25">
      <c r="A728" s="35" t="str">
        <f>IF(ISNONTEXT(deployment_raw[[#This Row],[Column1]]), "", deployment_raw[[#This Row],[Column1]])</f>
        <v/>
      </c>
      <c r="B728" s="36" t="str">
        <f>IF(ISNONTEXT(deployment_raw[[#This Row],[Column2]]), "", deployment_raw[[#This Row],[Column2]])</f>
        <v/>
      </c>
      <c r="C728" s="36" t="str">
        <f>IF(ISNONTEXT(deployment_raw[[#This Row],[Column3]]), "", deployment_raw[[#This Row],[Column3]])</f>
        <v/>
      </c>
      <c r="D728" s="36" t="str">
        <f>IF(ISNONTEXT(deployment_raw[[#This Row],[Column4]]), "", deployment_raw[[#This Row],[Column4]])</f>
        <v/>
      </c>
      <c r="E728" s="37" t="str">
        <f>IF(ISNUMBER(deployment_raw[[#This Row],[Column5]]), deployment_raw[[#This Row],[Column5]],"")</f>
        <v/>
      </c>
      <c r="F728" s="94" t="str">
        <f>IF(ISNUMBER(deployment_raw[[#This Row],[Column6]]), (deployment_raw[[#This Row],[Column6]] * IF($E$2="Deployment",deployment_raw[[#This Row],[Column5]],1)),"")</f>
        <v/>
      </c>
      <c r="G728" s="95" t="str">
        <f>IF(ISNUMBER(deployment_raw[[#This Row],[Column7]]), (deployment_raw[[#This Row],[Column7]] * IF($E$2="Deployment",deployment_raw[[#This Row],[Column5]],1))/1048576,"")</f>
        <v/>
      </c>
      <c r="H728" s="95" t="str">
        <f>IF(ISNUMBER(deployment_raw[[#This Row],[Column8]]), (deployment_raw[[#This Row],[Column8]]  * IF($E$2="Deployment",deployment_raw[[#This Row],[Column5]],1)),"")</f>
        <v/>
      </c>
      <c r="I728" s="96" t="str">
        <f>IF(ISNUMBER(deployment_raw[[#This Row],[Column9]]), (deployment_raw[[#This Row],[Column9]] * IF($E$2="Deployment",deployment_raw[[#This Row],[Column5]],1))/1048576,"")</f>
        <v/>
      </c>
      <c r="J728" s="122" t="str">
        <f>IF(ISNUMBER(deployment_raw[[#This Row],[Column10]]), (MIN(IF(N728&lt;&gt;"",N728,9999999999999)*1.1,deployment_raw[[#This Row],[Column10]] * IF($E$2="Deployment",deployment_raw[[#This Row],[Column5]],1))),"")</f>
        <v/>
      </c>
      <c r="K728" s="123" t="str">
        <f>IF(ISNUMBER(deployment_raw[[#This Row],[Column11]]), (MIN(IF(O728&lt;&gt;"",O728,9999999999999)*1.1,deployment_raw[[#This Row],[Column11]] * IF($E$2="Deployment",deployment_raw[[#This Row],[Column5]],1)/1048576)),"")</f>
        <v/>
      </c>
      <c r="L728" s="124" t="str">
        <f>IF(ISNUMBER(deployment_raw[[#This Row],[Column8]]),IF(OR(deployment_raw[[#This Row],[Column5]] &lt;&gt; 0,$E$2 &lt;&gt; "Deployment"), MAX(J728, P728, R728, ($L$2 * IF($E$2="Deployment",deployment_raw[[#This Row],[Column5]],1)),IF(T728&lt;&gt;"",VALUE(T728) * IF($E$2="Deployment",deployment_raw[[#This Row],[Column5]],1),0)), 0),"")</f>
        <v/>
      </c>
      <c r="M728" s="125" t="str">
        <f>IF(ISNUMBER(deployment_raw[[#This Row],[Column9]]),IF(OR(deployment_raw[[#This Row],[Column5]] &lt;&gt; 0,$E$2&lt;&gt;"Deployment"), MAX(K728, Q728, S728, ($M$2 * IF($E$2="Deployment",deployment_raw[[#This Row],[Column5]],1)),IF(U728&lt;&gt;"",VALUE(U728) * IF($E$2="Deployment",deployment_raw[[#This Row],[Column5]],1),0)), 0),"")</f>
        <v/>
      </c>
      <c r="N728" s="166" t="str">
        <f>IF(ISNUMBER(deployment_raw[[#This Row],[Column14]]), deployment_raw[[#This Row],[Column14]]/IF(OR($E$2="Deployment",deployment_raw[[#This Row],[Column5]]=0),1,deployment_raw[[#This Row],[Column5]]),"")</f>
        <v/>
      </c>
      <c r="O728" s="167" t="str">
        <f>IF(ISNUMBER(deployment_raw[[#This Row],[Column15]]), deployment_raw[[#This Row],[Column15]]/IF(OR($E$2="Deployment",deployment_raw[[#This Row],[Column5]]=0),1,deployment_raw[[#This Row],[Column5]])/1048576,"")</f>
        <v/>
      </c>
      <c r="P728" s="168" t="str">
        <f>IF(ISNUMBER(deployment_raw[[#This Row],[Column12]]), (MIN(IF(N728&lt;&gt;"",N728,9999999999999)*1.1,deployment_raw[[#This Row],[Column12]] * IF($E$2="Deployment",deployment_raw[[#This Row],[Column5]],1))*(1+$P$2)),"")</f>
        <v/>
      </c>
      <c r="Q728" s="167" t="str">
        <f>IF(ISNUMBER(deployment_raw[[#This Row],[Column13]]), (MIN(IF(O728&lt;&gt;"",O728,9999999999999)*1.1,deployment_raw[[#This Row],[Column13]] * IF($E$2="Deployment",deployment_raw[[#This Row],[Column5]],1)*(1+$Q$2)/1048576)),"")</f>
        <v/>
      </c>
      <c r="R728" s="169" t="str">
        <f>IF(ISNUMBER(deployment_raw[[#This Row],[Column8]]), (H728  * IF(N728&lt;&gt;0,$R$2,1)),"")</f>
        <v/>
      </c>
      <c r="S728" s="170" t="str">
        <f>IF(ISNUMBER(deployment_raw[[#This Row],[Column8]]), (I728  * IF(O728&lt;&gt;0,$S$2,1)),"")</f>
        <v/>
      </c>
      <c r="T728" s="202" t="str">
        <f>IF(AND(A728&lt;&gt;"",_xlfn.IFNA(MATCH(A728,'dynamic resource application '!$A$2:$A$100, 0),0)&lt;&gt;0), H728/(IF($E$2="Deployment",E728,1)),"")</f>
        <v/>
      </c>
      <c r="U728" s="211" t="str">
        <f>IF(AND(A728&lt;&gt;"",_xlfn.IFNA(MATCH(A728,'dynamic resource application '!$A$2:$A$100, 0),0)&lt;&gt;0), I728/(IF($E$2="Deployment",E728,1)),"")</f>
        <v/>
      </c>
    </row>
    <row r="729" spans="1:21" ht="15.75" customHeight="1" x14ac:dyDescent="0.25">
      <c r="A729" s="35" t="str">
        <f>IF(ISNONTEXT(deployment_raw[[#This Row],[Column1]]), "", deployment_raw[[#This Row],[Column1]])</f>
        <v/>
      </c>
      <c r="B729" s="36" t="str">
        <f>IF(ISNONTEXT(deployment_raw[[#This Row],[Column2]]), "", deployment_raw[[#This Row],[Column2]])</f>
        <v/>
      </c>
      <c r="C729" s="36" t="str">
        <f>IF(ISNONTEXT(deployment_raw[[#This Row],[Column3]]), "", deployment_raw[[#This Row],[Column3]])</f>
        <v/>
      </c>
      <c r="D729" s="36" t="str">
        <f>IF(ISNONTEXT(deployment_raw[[#This Row],[Column4]]), "", deployment_raw[[#This Row],[Column4]])</f>
        <v/>
      </c>
      <c r="E729" s="37" t="str">
        <f>IF(ISNUMBER(deployment_raw[[#This Row],[Column5]]), deployment_raw[[#This Row],[Column5]],"")</f>
        <v/>
      </c>
      <c r="F729" s="94" t="str">
        <f>IF(ISNUMBER(deployment_raw[[#This Row],[Column6]]), (deployment_raw[[#This Row],[Column6]] * IF($E$2="Deployment",deployment_raw[[#This Row],[Column5]],1)),"")</f>
        <v/>
      </c>
      <c r="G729" s="95" t="str">
        <f>IF(ISNUMBER(deployment_raw[[#This Row],[Column7]]), (deployment_raw[[#This Row],[Column7]] * IF($E$2="Deployment",deployment_raw[[#This Row],[Column5]],1))/1048576,"")</f>
        <v/>
      </c>
      <c r="H729" s="95" t="str">
        <f>IF(ISNUMBER(deployment_raw[[#This Row],[Column8]]), (deployment_raw[[#This Row],[Column8]]  * IF($E$2="Deployment",deployment_raw[[#This Row],[Column5]],1)),"")</f>
        <v/>
      </c>
      <c r="I729" s="96" t="str">
        <f>IF(ISNUMBER(deployment_raw[[#This Row],[Column9]]), (deployment_raw[[#This Row],[Column9]] * IF($E$2="Deployment",deployment_raw[[#This Row],[Column5]],1))/1048576,"")</f>
        <v/>
      </c>
      <c r="J729" s="122" t="str">
        <f>IF(ISNUMBER(deployment_raw[[#This Row],[Column10]]), (MIN(IF(N729&lt;&gt;"",N729,9999999999999)*1.1,deployment_raw[[#This Row],[Column10]] * IF($E$2="Deployment",deployment_raw[[#This Row],[Column5]],1))),"")</f>
        <v/>
      </c>
      <c r="K729" s="123" t="str">
        <f>IF(ISNUMBER(deployment_raw[[#This Row],[Column11]]), (MIN(IF(O729&lt;&gt;"",O729,9999999999999)*1.1,deployment_raw[[#This Row],[Column11]] * IF($E$2="Deployment",deployment_raw[[#This Row],[Column5]],1)/1048576)),"")</f>
        <v/>
      </c>
      <c r="L729" s="124" t="str">
        <f>IF(ISNUMBER(deployment_raw[[#This Row],[Column8]]),IF(OR(deployment_raw[[#This Row],[Column5]] &lt;&gt; 0,$E$2 &lt;&gt; "Deployment"), MAX(J729, P729, R729, ($L$2 * IF($E$2="Deployment",deployment_raw[[#This Row],[Column5]],1)),IF(T729&lt;&gt;"",VALUE(T729) * IF($E$2="Deployment",deployment_raw[[#This Row],[Column5]],1),0)), 0),"")</f>
        <v/>
      </c>
      <c r="M729" s="125" t="str">
        <f>IF(ISNUMBER(deployment_raw[[#This Row],[Column9]]),IF(OR(deployment_raw[[#This Row],[Column5]] &lt;&gt; 0,$E$2&lt;&gt;"Deployment"), MAX(K729, Q729, S729, ($M$2 * IF($E$2="Deployment",deployment_raw[[#This Row],[Column5]],1)),IF(U729&lt;&gt;"",VALUE(U729) * IF($E$2="Deployment",deployment_raw[[#This Row],[Column5]],1),0)), 0),"")</f>
        <v/>
      </c>
      <c r="N729" s="166" t="str">
        <f>IF(ISNUMBER(deployment_raw[[#This Row],[Column14]]), deployment_raw[[#This Row],[Column14]]/IF(OR($E$2="Deployment",deployment_raw[[#This Row],[Column5]]=0),1,deployment_raw[[#This Row],[Column5]]),"")</f>
        <v/>
      </c>
      <c r="O729" s="167" t="str">
        <f>IF(ISNUMBER(deployment_raw[[#This Row],[Column15]]), deployment_raw[[#This Row],[Column15]]/IF(OR($E$2="Deployment",deployment_raw[[#This Row],[Column5]]=0),1,deployment_raw[[#This Row],[Column5]])/1048576,"")</f>
        <v/>
      </c>
      <c r="P729" s="168" t="str">
        <f>IF(ISNUMBER(deployment_raw[[#This Row],[Column12]]), (MIN(IF(N729&lt;&gt;"",N729,9999999999999)*1.1,deployment_raw[[#This Row],[Column12]] * IF($E$2="Deployment",deployment_raw[[#This Row],[Column5]],1))*(1+$P$2)),"")</f>
        <v/>
      </c>
      <c r="Q729" s="167" t="str">
        <f>IF(ISNUMBER(deployment_raw[[#This Row],[Column13]]), (MIN(IF(O729&lt;&gt;"",O729,9999999999999)*1.1,deployment_raw[[#This Row],[Column13]] * IF($E$2="Deployment",deployment_raw[[#This Row],[Column5]],1)*(1+$Q$2)/1048576)),"")</f>
        <v/>
      </c>
      <c r="R729" s="169" t="str">
        <f>IF(ISNUMBER(deployment_raw[[#This Row],[Column8]]), (H729  * IF(N729&lt;&gt;0,$R$2,1)),"")</f>
        <v/>
      </c>
      <c r="S729" s="170" t="str">
        <f>IF(ISNUMBER(deployment_raw[[#This Row],[Column8]]), (I729  * IF(O729&lt;&gt;0,$S$2,1)),"")</f>
        <v/>
      </c>
      <c r="T729" s="202" t="str">
        <f>IF(AND(A729&lt;&gt;"",_xlfn.IFNA(MATCH(A729,'dynamic resource application '!$A$2:$A$100, 0),0)&lt;&gt;0), H729/(IF($E$2="Deployment",E729,1)),"")</f>
        <v/>
      </c>
      <c r="U729" s="211" t="str">
        <f>IF(AND(A729&lt;&gt;"",_xlfn.IFNA(MATCH(A729,'dynamic resource application '!$A$2:$A$100, 0),0)&lt;&gt;0), I729/(IF($E$2="Deployment",E729,1)),"")</f>
        <v/>
      </c>
    </row>
    <row r="730" spans="1:21" ht="15.75" customHeight="1" x14ac:dyDescent="0.25">
      <c r="A730" s="35" t="str">
        <f>IF(ISNONTEXT(deployment_raw[[#This Row],[Column1]]), "", deployment_raw[[#This Row],[Column1]])</f>
        <v/>
      </c>
      <c r="B730" s="36" t="str">
        <f>IF(ISNONTEXT(deployment_raw[[#This Row],[Column2]]), "", deployment_raw[[#This Row],[Column2]])</f>
        <v/>
      </c>
      <c r="C730" s="36" t="str">
        <f>IF(ISNONTEXT(deployment_raw[[#This Row],[Column3]]), "", deployment_raw[[#This Row],[Column3]])</f>
        <v/>
      </c>
      <c r="D730" s="36" t="str">
        <f>IF(ISNONTEXT(deployment_raw[[#This Row],[Column4]]), "", deployment_raw[[#This Row],[Column4]])</f>
        <v/>
      </c>
      <c r="E730" s="37" t="str">
        <f>IF(ISNUMBER(deployment_raw[[#This Row],[Column5]]), deployment_raw[[#This Row],[Column5]],"")</f>
        <v/>
      </c>
      <c r="F730" s="94" t="str">
        <f>IF(ISNUMBER(deployment_raw[[#This Row],[Column6]]), (deployment_raw[[#This Row],[Column6]] * IF($E$2="Deployment",deployment_raw[[#This Row],[Column5]],1)),"")</f>
        <v/>
      </c>
      <c r="G730" s="95" t="str">
        <f>IF(ISNUMBER(deployment_raw[[#This Row],[Column7]]), (deployment_raw[[#This Row],[Column7]] * IF($E$2="Deployment",deployment_raw[[#This Row],[Column5]],1))/1048576,"")</f>
        <v/>
      </c>
      <c r="H730" s="95" t="str">
        <f>IF(ISNUMBER(deployment_raw[[#This Row],[Column8]]), (deployment_raw[[#This Row],[Column8]]  * IF($E$2="Deployment",deployment_raw[[#This Row],[Column5]],1)),"")</f>
        <v/>
      </c>
      <c r="I730" s="96" t="str">
        <f>IF(ISNUMBER(deployment_raw[[#This Row],[Column9]]), (deployment_raw[[#This Row],[Column9]] * IF($E$2="Deployment",deployment_raw[[#This Row],[Column5]],1))/1048576,"")</f>
        <v/>
      </c>
      <c r="J730" s="122" t="str">
        <f>IF(ISNUMBER(deployment_raw[[#This Row],[Column10]]), (MIN(IF(N730&lt;&gt;"",N730,9999999999999)*1.1,deployment_raw[[#This Row],[Column10]] * IF($E$2="Deployment",deployment_raw[[#This Row],[Column5]],1))),"")</f>
        <v/>
      </c>
      <c r="K730" s="123" t="str">
        <f>IF(ISNUMBER(deployment_raw[[#This Row],[Column11]]), (MIN(IF(O730&lt;&gt;"",O730,9999999999999)*1.1,deployment_raw[[#This Row],[Column11]] * IF($E$2="Deployment",deployment_raw[[#This Row],[Column5]],1)/1048576)),"")</f>
        <v/>
      </c>
      <c r="L730" s="124" t="str">
        <f>IF(ISNUMBER(deployment_raw[[#This Row],[Column8]]),IF(OR(deployment_raw[[#This Row],[Column5]] &lt;&gt; 0,$E$2 &lt;&gt; "Deployment"), MAX(J730, P730, R730, ($L$2 * IF($E$2="Deployment",deployment_raw[[#This Row],[Column5]],1)),IF(T730&lt;&gt;"",VALUE(T730) * IF($E$2="Deployment",deployment_raw[[#This Row],[Column5]],1),0)), 0),"")</f>
        <v/>
      </c>
      <c r="M730" s="125" t="str">
        <f>IF(ISNUMBER(deployment_raw[[#This Row],[Column9]]),IF(OR(deployment_raw[[#This Row],[Column5]] &lt;&gt; 0,$E$2&lt;&gt;"Deployment"), MAX(K730, Q730, S730, ($M$2 * IF($E$2="Deployment",deployment_raw[[#This Row],[Column5]],1)),IF(U730&lt;&gt;"",VALUE(U730) * IF($E$2="Deployment",deployment_raw[[#This Row],[Column5]],1),0)), 0),"")</f>
        <v/>
      </c>
      <c r="N730" s="166" t="str">
        <f>IF(ISNUMBER(deployment_raw[[#This Row],[Column14]]), deployment_raw[[#This Row],[Column14]]/IF(OR($E$2="Deployment",deployment_raw[[#This Row],[Column5]]=0),1,deployment_raw[[#This Row],[Column5]]),"")</f>
        <v/>
      </c>
      <c r="O730" s="167" t="str">
        <f>IF(ISNUMBER(deployment_raw[[#This Row],[Column15]]), deployment_raw[[#This Row],[Column15]]/IF(OR($E$2="Deployment",deployment_raw[[#This Row],[Column5]]=0),1,deployment_raw[[#This Row],[Column5]])/1048576,"")</f>
        <v/>
      </c>
      <c r="P730" s="168" t="str">
        <f>IF(ISNUMBER(deployment_raw[[#This Row],[Column12]]), (MIN(IF(N730&lt;&gt;"",N730,9999999999999)*1.1,deployment_raw[[#This Row],[Column12]] * IF($E$2="Deployment",deployment_raw[[#This Row],[Column5]],1))*(1+$P$2)),"")</f>
        <v/>
      </c>
      <c r="Q730" s="167" t="str">
        <f>IF(ISNUMBER(deployment_raw[[#This Row],[Column13]]), (MIN(IF(O730&lt;&gt;"",O730,9999999999999)*1.1,deployment_raw[[#This Row],[Column13]] * IF($E$2="Deployment",deployment_raw[[#This Row],[Column5]],1)*(1+$Q$2)/1048576)),"")</f>
        <v/>
      </c>
      <c r="R730" s="169" t="str">
        <f>IF(ISNUMBER(deployment_raw[[#This Row],[Column8]]), (H730  * IF(N730&lt;&gt;0,$R$2,1)),"")</f>
        <v/>
      </c>
      <c r="S730" s="170" t="str">
        <f>IF(ISNUMBER(deployment_raw[[#This Row],[Column8]]), (I730  * IF(O730&lt;&gt;0,$S$2,1)),"")</f>
        <v/>
      </c>
      <c r="T730" s="202" t="str">
        <f>IF(AND(A730&lt;&gt;"",_xlfn.IFNA(MATCH(A730,'dynamic resource application '!$A$2:$A$100, 0),0)&lt;&gt;0), H730/(IF($E$2="Deployment",E730,1)),"")</f>
        <v/>
      </c>
      <c r="U730" s="211" t="str">
        <f>IF(AND(A730&lt;&gt;"",_xlfn.IFNA(MATCH(A730,'dynamic resource application '!$A$2:$A$100, 0),0)&lt;&gt;0), I730/(IF($E$2="Deployment",E730,1)),"")</f>
        <v/>
      </c>
    </row>
    <row r="731" spans="1:21" ht="15.75" customHeight="1" x14ac:dyDescent="0.25">
      <c r="A731" s="35" t="str">
        <f>IF(ISNONTEXT(deployment_raw[[#This Row],[Column1]]), "", deployment_raw[[#This Row],[Column1]])</f>
        <v/>
      </c>
      <c r="B731" s="36" t="str">
        <f>IF(ISNONTEXT(deployment_raw[[#This Row],[Column2]]), "", deployment_raw[[#This Row],[Column2]])</f>
        <v/>
      </c>
      <c r="C731" s="36" t="str">
        <f>IF(ISNONTEXT(deployment_raw[[#This Row],[Column3]]), "", deployment_raw[[#This Row],[Column3]])</f>
        <v/>
      </c>
      <c r="D731" s="36" t="str">
        <f>IF(ISNONTEXT(deployment_raw[[#This Row],[Column4]]), "", deployment_raw[[#This Row],[Column4]])</f>
        <v/>
      </c>
      <c r="E731" s="37" t="str">
        <f>IF(ISNUMBER(deployment_raw[[#This Row],[Column5]]), deployment_raw[[#This Row],[Column5]],"")</f>
        <v/>
      </c>
      <c r="F731" s="94" t="str">
        <f>IF(ISNUMBER(deployment_raw[[#This Row],[Column6]]), (deployment_raw[[#This Row],[Column6]] * IF($E$2="Deployment",deployment_raw[[#This Row],[Column5]],1)),"")</f>
        <v/>
      </c>
      <c r="G731" s="95" t="str">
        <f>IF(ISNUMBER(deployment_raw[[#This Row],[Column7]]), (deployment_raw[[#This Row],[Column7]] * IF($E$2="Deployment",deployment_raw[[#This Row],[Column5]],1))/1048576,"")</f>
        <v/>
      </c>
      <c r="H731" s="95" t="str">
        <f>IF(ISNUMBER(deployment_raw[[#This Row],[Column8]]), (deployment_raw[[#This Row],[Column8]]  * IF($E$2="Deployment",deployment_raw[[#This Row],[Column5]],1)),"")</f>
        <v/>
      </c>
      <c r="I731" s="96" t="str">
        <f>IF(ISNUMBER(deployment_raw[[#This Row],[Column9]]), (deployment_raw[[#This Row],[Column9]] * IF($E$2="Deployment",deployment_raw[[#This Row],[Column5]],1))/1048576,"")</f>
        <v/>
      </c>
      <c r="J731" s="122" t="str">
        <f>IF(ISNUMBER(deployment_raw[[#This Row],[Column10]]), (MIN(IF(N731&lt;&gt;"",N731,9999999999999)*1.1,deployment_raw[[#This Row],[Column10]] * IF($E$2="Deployment",deployment_raw[[#This Row],[Column5]],1))),"")</f>
        <v/>
      </c>
      <c r="K731" s="123" t="str">
        <f>IF(ISNUMBER(deployment_raw[[#This Row],[Column11]]), (MIN(IF(O731&lt;&gt;"",O731,9999999999999)*1.1,deployment_raw[[#This Row],[Column11]] * IF($E$2="Deployment",deployment_raw[[#This Row],[Column5]],1)/1048576)),"")</f>
        <v/>
      </c>
      <c r="L731" s="124" t="str">
        <f>IF(ISNUMBER(deployment_raw[[#This Row],[Column8]]),IF(OR(deployment_raw[[#This Row],[Column5]] &lt;&gt; 0,$E$2 &lt;&gt; "Deployment"), MAX(J731, P731, R731, ($L$2 * IF($E$2="Deployment",deployment_raw[[#This Row],[Column5]],1)),IF(T731&lt;&gt;"",VALUE(T731) * IF($E$2="Deployment",deployment_raw[[#This Row],[Column5]],1),0)), 0),"")</f>
        <v/>
      </c>
      <c r="M731" s="125" t="str">
        <f>IF(ISNUMBER(deployment_raw[[#This Row],[Column9]]),IF(OR(deployment_raw[[#This Row],[Column5]] &lt;&gt; 0,$E$2&lt;&gt;"Deployment"), MAX(K731, Q731, S731, ($M$2 * IF($E$2="Deployment",deployment_raw[[#This Row],[Column5]],1)),IF(U731&lt;&gt;"",VALUE(U731) * IF($E$2="Deployment",deployment_raw[[#This Row],[Column5]],1),0)), 0),"")</f>
        <v/>
      </c>
      <c r="N731" s="166" t="str">
        <f>IF(ISNUMBER(deployment_raw[[#This Row],[Column14]]), deployment_raw[[#This Row],[Column14]]/IF(OR($E$2="Deployment",deployment_raw[[#This Row],[Column5]]=0),1,deployment_raw[[#This Row],[Column5]]),"")</f>
        <v/>
      </c>
      <c r="O731" s="167" t="str">
        <f>IF(ISNUMBER(deployment_raw[[#This Row],[Column15]]), deployment_raw[[#This Row],[Column15]]/IF(OR($E$2="Deployment",deployment_raw[[#This Row],[Column5]]=0),1,deployment_raw[[#This Row],[Column5]])/1048576,"")</f>
        <v/>
      </c>
      <c r="P731" s="168" t="str">
        <f>IF(ISNUMBER(deployment_raw[[#This Row],[Column12]]), (MIN(IF(N731&lt;&gt;"",N731,9999999999999)*1.1,deployment_raw[[#This Row],[Column12]] * IF($E$2="Deployment",deployment_raw[[#This Row],[Column5]],1))*(1+$P$2)),"")</f>
        <v/>
      </c>
      <c r="Q731" s="167" t="str">
        <f>IF(ISNUMBER(deployment_raw[[#This Row],[Column13]]), (MIN(IF(O731&lt;&gt;"",O731,9999999999999)*1.1,deployment_raw[[#This Row],[Column13]] * IF($E$2="Deployment",deployment_raw[[#This Row],[Column5]],1)*(1+$Q$2)/1048576)),"")</f>
        <v/>
      </c>
      <c r="R731" s="169" t="str">
        <f>IF(ISNUMBER(deployment_raw[[#This Row],[Column8]]), (H731  * IF(N731&lt;&gt;0,$R$2,1)),"")</f>
        <v/>
      </c>
      <c r="S731" s="170" t="str">
        <f>IF(ISNUMBER(deployment_raw[[#This Row],[Column8]]), (I731  * IF(O731&lt;&gt;0,$S$2,1)),"")</f>
        <v/>
      </c>
      <c r="T731" s="202" t="str">
        <f>IF(AND(A731&lt;&gt;"",_xlfn.IFNA(MATCH(A731,'dynamic resource application '!$A$2:$A$100, 0),0)&lt;&gt;0), H731/(IF($E$2="Deployment",E731,1)),"")</f>
        <v/>
      </c>
      <c r="U731" s="211" t="str">
        <f>IF(AND(A731&lt;&gt;"",_xlfn.IFNA(MATCH(A731,'dynamic resource application '!$A$2:$A$100, 0),0)&lt;&gt;0), I731/(IF($E$2="Deployment",E731,1)),"")</f>
        <v/>
      </c>
    </row>
    <row r="732" spans="1:21" ht="15.75" customHeight="1" x14ac:dyDescent="0.25">
      <c r="A732" s="35" t="str">
        <f>IF(ISNONTEXT(deployment_raw[[#This Row],[Column1]]), "", deployment_raw[[#This Row],[Column1]])</f>
        <v/>
      </c>
      <c r="B732" s="36" t="str">
        <f>IF(ISNONTEXT(deployment_raw[[#This Row],[Column2]]), "", deployment_raw[[#This Row],[Column2]])</f>
        <v/>
      </c>
      <c r="C732" s="36" t="str">
        <f>IF(ISNONTEXT(deployment_raw[[#This Row],[Column3]]), "", deployment_raw[[#This Row],[Column3]])</f>
        <v/>
      </c>
      <c r="D732" s="36" t="str">
        <f>IF(ISNONTEXT(deployment_raw[[#This Row],[Column4]]), "", deployment_raw[[#This Row],[Column4]])</f>
        <v/>
      </c>
      <c r="E732" s="37" t="str">
        <f>IF(ISNUMBER(deployment_raw[[#This Row],[Column5]]), deployment_raw[[#This Row],[Column5]],"")</f>
        <v/>
      </c>
      <c r="F732" s="94" t="str">
        <f>IF(ISNUMBER(deployment_raw[[#This Row],[Column6]]), (deployment_raw[[#This Row],[Column6]] * IF($E$2="Deployment",deployment_raw[[#This Row],[Column5]],1)),"")</f>
        <v/>
      </c>
      <c r="G732" s="95" t="str">
        <f>IF(ISNUMBER(deployment_raw[[#This Row],[Column7]]), (deployment_raw[[#This Row],[Column7]] * IF($E$2="Deployment",deployment_raw[[#This Row],[Column5]],1))/1048576,"")</f>
        <v/>
      </c>
      <c r="H732" s="95" t="str">
        <f>IF(ISNUMBER(deployment_raw[[#This Row],[Column8]]), (deployment_raw[[#This Row],[Column8]]  * IF($E$2="Deployment",deployment_raw[[#This Row],[Column5]],1)),"")</f>
        <v/>
      </c>
      <c r="I732" s="96" t="str">
        <f>IF(ISNUMBER(deployment_raw[[#This Row],[Column9]]), (deployment_raw[[#This Row],[Column9]] * IF($E$2="Deployment",deployment_raw[[#This Row],[Column5]],1))/1048576,"")</f>
        <v/>
      </c>
      <c r="J732" s="122" t="str">
        <f>IF(ISNUMBER(deployment_raw[[#This Row],[Column10]]), (MIN(IF(N732&lt;&gt;"",N732,9999999999999)*1.1,deployment_raw[[#This Row],[Column10]] * IF($E$2="Deployment",deployment_raw[[#This Row],[Column5]],1))),"")</f>
        <v/>
      </c>
      <c r="K732" s="123" t="str">
        <f>IF(ISNUMBER(deployment_raw[[#This Row],[Column11]]), (MIN(IF(O732&lt;&gt;"",O732,9999999999999)*1.1,deployment_raw[[#This Row],[Column11]] * IF($E$2="Deployment",deployment_raw[[#This Row],[Column5]],1)/1048576)),"")</f>
        <v/>
      </c>
      <c r="L732" s="124" t="str">
        <f>IF(ISNUMBER(deployment_raw[[#This Row],[Column8]]),IF(OR(deployment_raw[[#This Row],[Column5]] &lt;&gt; 0,$E$2 &lt;&gt; "Deployment"), MAX(J732, P732, R732, ($L$2 * IF($E$2="Deployment",deployment_raw[[#This Row],[Column5]],1)),IF(T732&lt;&gt;"",VALUE(T732) * IF($E$2="Deployment",deployment_raw[[#This Row],[Column5]],1),0)), 0),"")</f>
        <v/>
      </c>
      <c r="M732" s="125" t="str">
        <f>IF(ISNUMBER(deployment_raw[[#This Row],[Column9]]),IF(OR(deployment_raw[[#This Row],[Column5]] &lt;&gt; 0,$E$2&lt;&gt;"Deployment"), MAX(K732, Q732, S732, ($M$2 * IF($E$2="Deployment",deployment_raw[[#This Row],[Column5]],1)),IF(U732&lt;&gt;"",VALUE(U732) * IF($E$2="Deployment",deployment_raw[[#This Row],[Column5]],1),0)), 0),"")</f>
        <v/>
      </c>
      <c r="N732" s="166" t="str">
        <f>IF(ISNUMBER(deployment_raw[[#This Row],[Column14]]), deployment_raw[[#This Row],[Column14]]/IF(OR($E$2="Deployment",deployment_raw[[#This Row],[Column5]]=0),1,deployment_raw[[#This Row],[Column5]]),"")</f>
        <v/>
      </c>
      <c r="O732" s="167" t="str">
        <f>IF(ISNUMBER(deployment_raw[[#This Row],[Column15]]), deployment_raw[[#This Row],[Column15]]/IF(OR($E$2="Deployment",deployment_raw[[#This Row],[Column5]]=0),1,deployment_raw[[#This Row],[Column5]])/1048576,"")</f>
        <v/>
      </c>
      <c r="P732" s="168" t="str">
        <f>IF(ISNUMBER(deployment_raw[[#This Row],[Column12]]), (MIN(IF(N732&lt;&gt;"",N732,9999999999999)*1.1,deployment_raw[[#This Row],[Column12]] * IF($E$2="Deployment",deployment_raw[[#This Row],[Column5]],1))*(1+$P$2)),"")</f>
        <v/>
      </c>
      <c r="Q732" s="167" t="str">
        <f>IF(ISNUMBER(deployment_raw[[#This Row],[Column13]]), (MIN(IF(O732&lt;&gt;"",O732,9999999999999)*1.1,deployment_raw[[#This Row],[Column13]] * IF($E$2="Deployment",deployment_raw[[#This Row],[Column5]],1)*(1+$Q$2)/1048576)),"")</f>
        <v/>
      </c>
      <c r="R732" s="169" t="str">
        <f>IF(ISNUMBER(deployment_raw[[#This Row],[Column8]]), (H732  * IF(N732&lt;&gt;0,$R$2,1)),"")</f>
        <v/>
      </c>
      <c r="S732" s="170" t="str">
        <f>IF(ISNUMBER(deployment_raw[[#This Row],[Column8]]), (I732  * IF(O732&lt;&gt;0,$S$2,1)),"")</f>
        <v/>
      </c>
      <c r="T732" s="202" t="str">
        <f>IF(AND(A732&lt;&gt;"",_xlfn.IFNA(MATCH(A732,'dynamic resource application '!$A$2:$A$100, 0),0)&lt;&gt;0), H732/(IF($E$2="Deployment",E732,1)),"")</f>
        <v/>
      </c>
      <c r="U732" s="211" t="str">
        <f>IF(AND(A732&lt;&gt;"",_xlfn.IFNA(MATCH(A732,'dynamic resource application '!$A$2:$A$100, 0),0)&lt;&gt;0), I732/(IF($E$2="Deployment",E732,1)),"")</f>
        <v/>
      </c>
    </row>
    <row r="733" spans="1:21" ht="15.75" customHeight="1" x14ac:dyDescent="0.25">
      <c r="A733" s="35" t="str">
        <f>IF(ISNONTEXT(deployment_raw[[#This Row],[Column1]]), "", deployment_raw[[#This Row],[Column1]])</f>
        <v/>
      </c>
      <c r="B733" s="36" t="str">
        <f>IF(ISNONTEXT(deployment_raw[[#This Row],[Column2]]), "", deployment_raw[[#This Row],[Column2]])</f>
        <v/>
      </c>
      <c r="C733" s="36" t="str">
        <f>IF(ISNONTEXT(deployment_raw[[#This Row],[Column3]]), "", deployment_raw[[#This Row],[Column3]])</f>
        <v/>
      </c>
      <c r="D733" s="36" t="str">
        <f>IF(ISNONTEXT(deployment_raw[[#This Row],[Column4]]), "", deployment_raw[[#This Row],[Column4]])</f>
        <v/>
      </c>
      <c r="E733" s="37" t="str">
        <f>IF(ISNUMBER(deployment_raw[[#This Row],[Column5]]), deployment_raw[[#This Row],[Column5]],"")</f>
        <v/>
      </c>
      <c r="F733" s="94" t="str">
        <f>IF(ISNUMBER(deployment_raw[[#This Row],[Column6]]), (deployment_raw[[#This Row],[Column6]] * IF($E$2="Deployment",deployment_raw[[#This Row],[Column5]],1)),"")</f>
        <v/>
      </c>
      <c r="G733" s="95" t="str">
        <f>IF(ISNUMBER(deployment_raw[[#This Row],[Column7]]), (deployment_raw[[#This Row],[Column7]] * IF($E$2="Deployment",deployment_raw[[#This Row],[Column5]],1))/1048576,"")</f>
        <v/>
      </c>
      <c r="H733" s="95" t="str">
        <f>IF(ISNUMBER(deployment_raw[[#This Row],[Column8]]), (deployment_raw[[#This Row],[Column8]]  * IF($E$2="Deployment",deployment_raw[[#This Row],[Column5]],1)),"")</f>
        <v/>
      </c>
      <c r="I733" s="96" t="str">
        <f>IF(ISNUMBER(deployment_raw[[#This Row],[Column9]]), (deployment_raw[[#This Row],[Column9]] * IF($E$2="Deployment",deployment_raw[[#This Row],[Column5]],1))/1048576,"")</f>
        <v/>
      </c>
      <c r="J733" s="122" t="str">
        <f>IF(ISNUMBER(deployment_raw[[#This Row],[Column10]]), (MIN(IF(N733&lt;&gt;"",N733,9999999999999)*1.1,deployment_raw[[#This Row],[Column10]] * IF($E$2="Deployment",deployment_raw[[#This Row],[Column5]],1))),"")</f>
        <v/>
      </c>
      <c r="K733" s="123" t="str">
        <f>IF(ISNUMBER(deployment_raw[[#This Row],[Column11]]), (MIN(IF(O733&lt;&gt;"",O733,9999999999999)*1.1,deployment_raw[[#This Row],[Column11]] * IF($E$2="Deployment",deployment_raw[[#This Row],[Column5]],1)/1048576)),"")</f>
        <v/>
      </c>
      <c r="L733" s="124" t="str">
        <f>IF(ISNUMBER(deployment_raw[[#This Row],[Column8]]),IF(OR(deployment_raw[[#This Row],[Column5]] &lt;&gt; 0,$E$2 &lt;&gt; "Deployment"), MAX(J733, P733, R733, ($L$2 * IF($E$2="Deployment",deployment_raw[[#This Row],[Column5]],1)),IF(T733&lt;&gt;"",VALUE(T733) * IF($E$2="Deployment",deployment_raw[[#This Row],[Column5]],1),0)), 0),"")</f>
        <v/>
      </c>
      <c r="M733" s="125" t="str">
        <f>IF(ISNUMBER(deployment_raw[[#This Row],[Column9]]),IF(OR(deployment_raw[[#This Row],[Column5]] &lt;&gt; 0,$E$2&lt;&gt;"Deployment"), MAX(K733, Q733, S733, ($M$2 * IF($E$2="Deployment",deployment_raw[[#This Row],[Column5]],1)),IF(U733&lt;&gt;"",VALUE(U733) * IF($E$2="Deployment",deployment_raw[[#This Row],[Column5]],1),0)), 0),"")</f>
        <v/>
      </c>
      <c r="N733" s="166" t="str">
        <f>IF(ISNUMBER(deployment_raw[[#This Row],[Column14]]), deployment_raw[[#This Row],[Column14]]/IF(OR($E$2="Deployment",deployment_raw[[#This Row],[Column5]]=0),1,deployment_raw[[#This Row],[Column5]]),"")</f>
        <v/>
      </c>
      <c r="O733" s="167" t="str">
        <f>IF(ISNUMBER(deployment_raw[[#This Row],[Column15]]), deployment_raw[[#This Row],[Column15]]/IF(OR($E$2="Deployment",deployment_raw[[#This Row],[Column5]]=0),1,deployment_raw[[#This Row],[Column5]])/1048576,"")</f>
        <v/>
      </c>
      <c r="P733" s="168" t="str">
        <f>IF(ISNUMBER(deployment_raw[[#This Row],[Column12]]), (MIN(IF(N733&lt;&gt;"",N733,9999999999999)*1.1,deployment_raw[[#This Row],[Column12]] * IF($E$2="Deployment",deployment_raw[[#This Row],[Column5]],1))*(1+$P$2)),"")</f>
        <v/>
      </c>
      <c r="Q733" s="167" t="str">
        <f>IF(ISNUMBER(deployment_raw[[#This Row],[Column13]]), (MIN(IF(O733&lt;&gt;"",O733,9999999999999)*1.1,deployment_raw[[#This Row],[Column13]] * IF($E$2="Deployment",deployment_raw[[#This Row],[Column5]],1)*(1+$Q$2)/1048576)),"")</f>
        <v/>
      </c>
      <c r="R733" s="169" t="str">
        <f>IF(ISNUMBER(deployment_raw[[#This Row],[Column8]]), (H733  * IF(N733&lt;&gt;0,$R$2,1)),"")</f>
        <v/>
      </c>
      <c r="S733" s="170" t="str">
        <f>IF(ISNUMBER(deployment_raw[[#This Row],[Column8]]), (I733  * IF(O733&lt;&gt;0,$S$2,1)),"")</f>
        <v/>
      </c>
      <c r="T733" s="202" t="str">
        <f>IF(AND(A733&lt;&gt;"",_xlfn.IFNA(MATCH(A733,'dynamic resource application '!$A$2:$A$100, 0),0)&lt;&gt;0), H733/(IF($E$2="Deployment",E733,1)),"")</f>
        <v/>
      </c>
      <c r="U733" s="211" t="str">
        <f>IF(AND(A733&lt;&gt;"",_xlfn.IFNA(MATCH(A733,'dynamic resource application '!$A$2:$A$100, 0),0)&lt;&gt;0), I733/(IF($E$2="Deployment",E733,1)),"")</f>
        <v/>
      </c>
    </row>
    <row r="734" spans="1:21" ht="15.75" customHeight="1" x14ac:dyDescent="0.25">
      <c r="A734" s="35" t="str">
        <f>IF(ISNONTEXT(deployment_raw[[#This Row],[Column1]]), "", deployment_raw[[#This Row],[Column1]])</f>
        <v/>
      </c>
      <c r="B734" s="36" t="str">
        <f>IF(ISNONTEXT(deployment_raw[[#This Row],[Column2]]), "", deployment_raw[[#This Row],[Column2]])</f>
        <v/>
      </c>
      <c r="C734" s="36" t="str">
        <f>IF(ISNONTEXT(deployment_raw[[#This Row],[Column3]]), "", deployment_raw[[#This Row],[Column3]])</f>
        <v/>
      </c>
      <c r="D734" s="36" t="str">
        <f>IF(ISNONTEXT(deployment_raw[[#This Row],[Column4]]), "", deployment_raw[[#This Row],[Column4]])</f>
        <v/>
      </c>
      <c r="E734" s="37" t="str">
        <f>IF(ISNUMBER(deployment_raw[[#This Row],[Column5]]), deployment_raw[[#This Row],[Column5]],"")</f>
        <v/>
      </c>
      <c r="F734" s="94" t="str">
        <f>IF(ISNUMBER(deployment_raw[[#This Row],[Column6]]), (deployment_raw[[#This Row],[Column6]] * IF($E$2="Deployment",deployment_raw[[#This Row],[Column5]],1)),"")</f>
        <v/>
      </c>
      <c r="G734" s="95" t="str">
        <f>IF(ISNUMBER(deployment_raw[[#This Row],[Column7]]), (deployment_raw[[#This Row],[Column7]] * IF($E$2="Deployment",deployment_raw[[#This Row],[Column5]],1))/1048576,"")</f>
        <v/>
      </c>
      <c r="H734" s="95" t="str">
        <f>IF(ISNUMBER(deployment_raw[[#This Row],[Column8]]), (deployment_raw[[#This Row],[Column8]]  * IF($E$2="Deployment",deployment_raw[[#This Row],[Column5]],1)),"")</f>
        <v/>
      </c>
      <c r="I734" s="96" t="str">
        <f>IF(ISNUMBER(deployment_raw[[#This Row],[Column9]]), (deployment_raw[[#This Row],[Column9]] * IF($E$2="Deployment",deployment_raw[[#This Row],[Column5]],1))/1048576,"")</f>
        <v/>
      </c>
      <c r="J734" s="122" t="str">
        <f>IF(ISNUMBER(deployment_raw[[#This Row],[Column10]]), (MIN(IF(N734&lt;&gt;"",N734,9999999999999)*1.1,deployment_raw[[#This Row],[Column10]] * IF($E$2="Deployment",deployment_raw[[#This Row],[Column5]],1))),"")</f>
        <v/>
      </c>
      <c r="K734" s="123" t="str">
        <f>IF(ISNUMBER(deployment_raw[[#This Row],[Column11]]), (MIN(IF(O734&lt;&gt;"",O734,9999999999999)*1.1,deployment_raw[[#This Row],[Column11]] * IF($E$2="Deployment",deployment_raw[[#This Row],[Column5]],1)/1048576)),"")</f>
        <v/>
      </c>
      <c r="L734" s="124" t="str">
        <f>IF(ISNUMBER(deployment_raw[[#This Row],[Column8]]),IF(OR(deployment_raw[[#This Row],[Column5]] &lt;&gt; 0,$E$2 &lt;&gt; "Deployment"), MAX(J734, P734, R734, ($L$2 * IF($E$2="Deployment",deployment_raw[[#This Row],[Column5]],1)),IF(T734&lt;&gt;"",VALUE(T734) * IF($E$2="Deployment",deployment_raw[[#This Row],[Column5]],1),0)), 0),"")</f>
        <v/>
      </c>
      <c r="M734" s="125" t="str">
        <f>IF(ISNUMBER(deployment_raw[[#This Row],[Column9]]),IF(OR(deployment_raw[[#This Row],[Column5]] &lt;&gt; 0,$E$2&lt;&gt;"Deployment"), MAX(K734, Q734, S734, ($M$2 * IF($E$2="Deployment",deployment_raw[[#This Row],[Column5]],1)),IF(U734&lt;&gt;"",VALUE(U734) * IF($E$2="Deployment",deployment_raw[[#This Row],[Column5]],1),0)), 0),"")</f>
        <v/>
      </c>
      <c r="N734" s="166" t="str">
        <f>IF(ISNUMBER(deployment_raw[[#This Row],[Column14]]), deployment_raw[[#This Row],[Column14]]/IF(OR($E$2="Deployment",deployment_raw[[#This Row],[Column5]]=0),1,deployment_raw[[#This Row],[Column5]]),"")</f>
        <v/>
      </c>
      <c r="O734" s="167" t="str">
        <f>IF(ISNUMBER(deployment_raw[[#This Row],[Column15]]), deployment_raw[[#This Row],[Column15]]/IF(OR($E$2="Deployment",deployment_raw[[#This Row],[Column5]]=0),1,deployment_raw[[#This Row],[Column5]])/1048576,"")</f>
        <v/>
      </c>
      <c r="P734" s="168" t="str">
        <f>IF(ISNUMBER(deployment_raw[[#This Row],[Column12]]), (MIN(IF(N734&lt;&gt;"",N734,9999999999999)*1.1,deployment_raw[[#This Row],[Column12]] * IF($E$2="Deployment",deployment_raw[[#This Row],[Column5]],1))*(1+$P$2)),"")</f>
        <v/>
      </c>
      <c r="Q734" s="167" t="str">
        <f>IF(ISNUMBER(deployment_raw[[#This Row],[Column13]]), (MIN(IF(O734&lt;&gt;"",O734,9999999999999)*1.1,deployment_raw[[#This Row],[Column13]] * IF($E$2="Deployment",deployment_raw[[#This Row],[Column5]],1)*(1+$Q$2)/1048576)),"")</f>
        <v/>
      </c>
      <c r="R734" s="169" t="str">
        <f>IF(ISNUMBER(deployment_raw[[#This Row],[Column8]]), (H734  * IF(N734&lt;&gt;0,$R$2,1)),"")</f>
        <v/>
      </c>
      <c r="S734" s="170" t="str">
        <f>IF(ISNUMBER(deployment_raw[[#This Row],[Column8]]), (I734  * IF(O734&lt;&gt;0,$S$2,1)),"")</f>
        <v/>
      </c>
      <c r="T734" s="202" t="str">
        <f>IF(AND(A734&lt;&gt;"",_xlfn.IFNA(MATCH(A734,'dynamic resource application '!$A$2:$A$100, 0),0)&lt;&gt;0), H734/(IF($E$2="Deployment",E734,1)),"")</f>
        <v/>
      </c>
      <c r="U734" s="211" t="str">
        <f>IF(AND(A734&lt;&gt;"",_xlfn.IFNA(MATCH(A734,'dynamic resource application '!$A$2:$A$100, 0),0)&lt;&gt;0), I734/(IF($E$2="Deployment",E734,1)),"")</f>
        <v/>
      </c>
    </row>
    <row r="735" spans="1:21" ht="15.75" customHeight="1" x14ac:dyDescent="0.25">
      <c r="A735" s="35" t="str">
        <f>IF(ISNONTEXT(deployment_raw[[#This Row],[Column1]]), "", deployment_raw[[#This Row],[Column1]])</f>
        <v/>
      </c>
      <c r="B735" s="36" t="str">
        <f>IF(ISNONTEXT(deployment_raw[[#This Row],[Column2]]), "", deployment_raw[[#This Row],[Column2]])</f>
        <v/>
      </c>
      <c r="C735" s="36" t="str">
        <f>IF(ISNONTEXT(deployment_raw[[#This Row],[Column3]]), "", deployment_raw[[#This Row],[Column3]])</f>
        <v/>
      </c>
      <c r="D735" s="36" t="str">
        <f>IF(ISNONTEXT(deployment_raw[[#This Row],[Column4]]), "", deployment_raw[[#This Row],[Column4]])</f>
        <v/>
      </c>
      <c r="E735" s="37" t="str">
        <f>IF(ISNUMBER(deployment_raw[[#This Row],[Column5]]), deployment_raw[[#This Row],[Column5]],"")</f>
        <v/>
      </c>
      <c r="F735" s="94" t="str">
        <f>IF(ISNUMBER(deployment_raw[[#This Row],[Column6]]), (deployment_raw[[#This Row],[Column6]] * IF($E$2="Deployment",deployment_raw[[#This Row],[Column5]],1)),"")</f>
        <v/>
      </c>
      <c r="G735" s="95" t="str">
        <f>IF(ISNUMBER(deployment_raw[[#This Row],[Column7]]), (deployment_raw[[#This Row],[Column7]] * IF($E$2="Deployment",deployment_raw[[#This Row],[Column5]],1))/1048576,"")</f>
        <v/>
      </c>
      <c r="H735" s="95" t="str">
        <f>IF(ISNUMBER(deployment_raw[[#This Row],[Column8]]), (deployment_raw[[#This Row],[Column8]]  * IF($E$2="Deployment",deployment_raw[[#This Row],[Column5]],1)),"")</f>
        <v/>
      </c>
      <c r="I735" s="96" t="str">
        <f>IF(ISNUMBER(deployment_raw[[#This Row],[Column9]]), (deployment_raw[[#This Row],[Column9]] * IF($E$2="Deployment",deployment_raw[[#This Row],[Column5]],1))/1048576,"")</f>
        <v/>
      </c>
      <c r="J735" s="122" t="str">
        <f>IF(ISNUMBER(deployment_raw[[#This Row],[Column10]]), (MIN(IF(N735&lt;&gt;"",N735,9999999999999)*1.1,deployment_raw[[#This Row],[Column10]] * IF($E$2="Deployment",deployment_raw[[#This Row],[Column5]],1))),"")</f>
        <v/>
      </c>
      <c r="K735" s="123" t="str">
        <f>IF(ISNUMBER(deployment_raw[[#This Row],[Column11]]), (MIN(IF(O735&lt;&gt;"",O735,9999999999999)*1.1,deployment_raw[[#This Row],[Column11]] * IF($E$2="Deployment",deployment_raw[[#This Row],[Column5]],1)/1048576)),"")</f>
        <v/>
      </c>
      <c r="L735" s="124" t="str">
        <f>IF(ISNUMBER(deployment_raw[[#This Row],[Column8]]),IF(OR(deployment_raw[[#This Row],[Column5]] &lt;&gt; 0,$E$2 &lt;&gt; "Deployment"), MAX(J735, P735, R735, ($L$2 * IF($E$2="Deployment",deployment_raw[[#This Row],[Column5]],1)),IF(T735&lt;&gt;"",VALUE(T735) * IF($E$2="Deployment",deployment_raw[[#This Row],[Column5]],1),0)), 0),"")</f>
        <v/>
      </c>
      <c r="M735" s="125" t="str">
        <f>IF(ISNUMBER(deployment_raw[[#This Row],[Column9]]),IF(OR(deployment_raw[[#This Row],[Column5]] &lt;&gt; 0,$E$2&lt;&gt;"Deployment"), MAX(K735, Q735, S735, ($M$2 * IF($E$2="Deployment",deployment_raw[[#This Row],[Column5]],1)),IF(U735&lt;&gt;"",VALUE(U735) * IF($E$2="Deployment",deployment_raw[[#This Row],[Column5]],1),0)), 0),"")</f>
        <v/>
      </c>
      <c r="N735" s="166" t="str">
        <f>IF(ISNUMBER(deployment_raw[[#This Row],[Column14]]), deployment_raw[[#This Row],[Column14]]/IF(OR($E$2="Deployment",deployment_raw[[#This Row],[Column5]]=0),1,deployment_raw[[#This Row],[Column5]]),"")</f>
        <v/>
      </c>
      <c r="O735" s="167" t="str">
        <f>IF(ISNUMBER(deployment_raw[[#This Row],[Column15]]), deployment_raw[[#This Row],[Column15]]/IF(OR($E$2="Deployment",deployment_raw[[#This Row],[Column5]]=0),1,deployment_raw[[#This Row],[Column5]])/1048576,"")</f>
        <v/>
      </c>
      <c r="P735" s="168" t="str">
        <f>IF(ISNUMBER(deployment_raw[[#This Row],[Column12]]), (MIN(IF(N735&lt;&gt;"",N735,9999999999999)*1.1,deployment_raw[[#This Row],[Column12]] * IF($E$2="Deployment",deployment_raw[[#This Row],[Column5]],1))*(1+$P$2)),"")</f>
        <v/>
      </c>
      <c r="Q735" s="167" t="str">
        <f>IF(ISNUMBER(deployment_raw[[#This Row],[Column13]]), (MIN(IF(O735&lt;&gt;"",O735,9999999999999)*1.1,deployment_raw[[#This Row],[Column13]] * IF($E$2="Deployment",deployment_raw[[#This Row],[Column5]],1)*(1+$Q$2)/1048576)),"")</f>
        <v/>
      </c>
      <c r="R735" s="169" t="str">
        <f>IF(ISNUMBER(deployment_raw[[#This Row],[Column8]]), (H735  * IF(N735&lt;&gt;0,$R$2,1)),"")</f>
        <v/>
      </c>
      <c r="S735" s="170" t="str">
        <f>IF(ISNUMBER(deployment_raw[[#This Row],[Column8]]), (I735  * IF(O735&lt;&gt;0,$S$2,1)),"")</f>
        <v/>
      </c>
      <c r="T735" s="202" t="str">
        <f>IF(AND(A735&lt;&gt;"",_xlfn.IFNA(MATCH(A735,'dynamic resource application '!$A$2:$A$100, 0),0)&lt;&gt;0), H735/(IF($E$2="Deployment",E735,1)),"")</f>
        <v/>
      </c>
      <c r="U735" s="211" t="str">
        <f>IF(AND(A735&lt;&gt;"",_xlfn.IFNA(MATCH(A735,'dynamic resource application '!$A$2:$A$100, 0),0)&lt;&gt;0), I735/(IF($E$2="Deployment",E735,1)),"")</f>
        <v/>
      </c>
    </row>
    <row r="736" spans="1:21" ht="15.75" customHeight="1" x14ac:dyDescent="0.25">
      <c r="A736" s="35" t="str">
        <f>IF(ISNONTEXT(deployment_raw[[#This Row],[Column1]]), "", deployment_raw[[#This Row],[Column1]])</f>
        <v/>
      </c>
      <c r="B736" s="36" t="str">
        <f>IF(ISNONTEXT(deployment_raw[[#This Row],[Column2]]), "", deployment_raw[[#This Row],[Column2]])</f>
        <v/>
      </c>
      <c r="C736" s="36" t="str">
        <f>IF(ISNONTEXT(deployment_raw[[#This Row],[Column3]]), "", deployment_raw[[#This Row],[Column3]])</f>
        <v/>
      </c>
      <c r="D736" s="36" t="str">
        <f>IF(ISNONTEXT(deployment_raw[[#This Row],[Column4]]), "", deployment_raw[[#This Row],[Column4]])</f>
        <v/>
      </c>
      <c r="E736" s="37" t="str">
        <f>IF(ISNUMBER(deployment_raw[[#This Row],[Column5]]), deployment_raw[[#This Row],[Column5]],"")</f>
        <v/>
      </c>
      <c r="F736" s="94" t="str">
        <f>IF(ISNUMBER(deployment_raw[[#This Row],[Column6]]), (deployment_raw[[#This Row],[Column6]] * IF($E$2="Deployment",deployment_raw[[#This Row],[Column5]],1)),"")</f>
        <v/>
      </c>
      <c r="G736" s="95" t="str">
        <f>IF(ISNUMBER(deployment_raw[[#This Row],[Column7]]), (deployment_raw[[#This Row],[Column7]] * IF($E$2="Deployment",deployment_raw[[#This Row],[Column5]],1))/1048576,"")</f>
        <v/>
      </c>
      <c r="H736" s="95" t="str">
        <f>IF(ISNUMBER(deployment_raw[[#This Row],[Column8]]), (deployment_raw[[#This Row],[Column8]]  * IF($E$2="Deployment",deployment_raw[[#This Row],[Column5]],1)),"")</f>
        <v/>
      </c>
      <c r="I736" s="96" t="str">
        <f>IF(ISNUMBER(deployment_raw[[#This Row],[Column9]]), (deployment_raw[[#This Row],[Column9]] * IF($E$2="Deployment",deployment_raw[[#This Row],[Column5]],1))/1048576,"")</f>
        <v/>
      </c>
      <c r="J736" s="122" t="str">
        <f>IF(ISNUMBER(deployment_raw[[#This Row],[Column10]]), (MIN(IF(N736&lt;&gt;"",N736,9999999999999)*1.1,deployment_raw[[#This Row],[Column10]] * IF($E$2="Deployment",deployment_raw[[#This Row],[Column5]],1))),"")</f>
        <v/>
      </c>
      <c r="K736" s="123" t="str">
        <f>IF(ISNUMBER(deployment_raw[[#This Row],[Column11]]), (MIN(IF(O736&lt;&gt;"",O736,9999999999999)*1.1,deployment_raw[[#This Row],[Column11]] * IF($E$2="Deployment",deployment_raw[[#This Row],[Column5]],1)/1048576)),"")</f>
        <v/>
      </c>
      <c r="L736" s="124" t="str">
        <f>IF(ISNUMBER(deployment_raw[[#This Row],[Column8]]),IF(OR(deployment_raw[[#This Row],[Column5]] &lt;&gt; 0,$E$2 &lt;&gt; "Deployment"), MAX(J736, P736, R736, ($L$2 * IF($E$2="Deployment",deployment_raw[[#This Row],[Column5]],1)),IF(T736&lt;&gt;"",VALUE(T736) * IF($E$2="Deployment",deployment_raw[[#This Row],[Column5]],1),0)), 0),"")</f>
        <v/>
      </c>
      <c r="M736" s="125" t="str">
        <f>IF(ISNUMBER(deployment_raw[[#This Row],[Column9]]),IF(OR(deployment_raw[[#This Row],[Column5]] &lt;&gt; 0,$E$2&lt;&gt;"Deployment"), MAX(K736, Q736, S736, ($M$2 * IF($E$2="Deployment",deployment_raw[[#This Row],[Column5]],1)),IF(U736&lt;&gt;"",VALUE(U736) * IF($E$2="Deployment",deployment_raw[[#This Row],[Column5]],1),0)), 0),"")</f>
        <v/>
      </c>
      <c r="N736" s="166" t="str">
        <f>IF(ISNUMBER(deployment_raw[[#This Row],[Column14]]), deployment_raw[[#This Row],[Column14]]/IF(OR($E$2="Deployment",deployment_raw[[#This Row],[Column5]]=0),1,deployment_raw[[#This Row],[Column5]]),"")</f>
        <v/>
      </c>
      <c r="O736" s="167" t="str">
        <f>IF(ISNUMBER(deployment_raw[[#This Row],[Column15]]), deployment_raw[[#This Row],[Column15]]/IF(OR($E$2="Deployment",deployment_raw[[#This Row],[Column5]]=0),1,deployment_raw[[#This Row],[Column5]])/1048576,"")</f>
        <v/>
      </c>
      <c r="P736" s="168" t="str">
        <f>IF(ISNUMBER(deployment_raw[[#This Row],[Column12]]), (MIN(IF(N736&lt;&gt;"",N736,9999999999999)*1.1,deployment_raw[[#This Row],[Column12]] * IF($E$2="Deployment",deployment_raw[[#This Row],[Column5]],1))*(1+$P$2)),"")</f>
        <v/>
      </c>
      <c r="Q736" s="167" t="str">
        <f>IF(ISNUMBER(deployment_raw[[#This Row],[Column13]]), (MIN(IF(O736&lt;&gt;"",O736,9999999999999)*1.1,deployment_raw[[#This Row],[Column13]] * IF($E$2="Deployment",deployment_raw[[#This Row],[Column5]],1)*(1+$Q$2)/1048576)),"")</f>
        <v/>
      </c>
      <c r="R736" s="169" t="str">
        <f>IF(ISNUMBER(deployment_raw[[#This Row],[Column8]]), (H736  * IF(N736&lt;&gt;0,$R$2,1)),"")</f>
        <v/>
      </c>
      <c r="S736" s="170" t="str">
        <f>IF(ISNUMBER(deployment_raw[[#This Row],[Column8]]), (I736  * IF(O736&lt;&gt;0,$S$2,1)),"")</f>
        <v/>
      </c>
      <c r="T736" s="202" t="str">
        <f>IF(AND(A736&lt;&gt;"",_xlfn.IFNA(MATCH(A736,'dynamic resource application '!$A$2:$A$100, 0),0)&lt;&gt;0), H736/(IF($E$2="Deployment",E736,1)),"")</f>
        <v/>
      </c>
      <c r="U736" s="211" t="str">
        <f>IF(AND(A736&lt;&gt;"",_xlfn.IFNA(MATCH(A736,'dynamic resource application '!$A$2:$A$100, 0),0)&lt;&gt;0), I736/(IF($E$2="Deployment",E736,1)),"")</f>
        <v/>
      </c>
    </row>
    <row r="737" spans="1:21" ht="15.75" customHeight="1" x14ac:dyDescent="0.25">
      <c r="A737" s="35" t="str">
        <f>IF(ISNONTEXT(deployment_raw[[#This Row],[Column1]]), "", deployment_raw[[#This Row],[Column1]])</f>
        <v/>
      </c>
      <c r="B737" s="36" t="str">
        <f>IF(ISNONTEXT(deployment_raw[[#This Row],[Column2]]), "", deployment_raw[[#This Row],[Column2]])</f>
        <v/>
      </c>
      <c r="C737" s="36" t="str">
        <f>IF(ISNONTEXT(deployment_raw[[#This Row],[Column3]]), "", deployment_raw[[#This Row],[Column3]])</f>
        <v/>
      </c>
      <c r="D737" s="36" t="str">
        <f>IF(ISNONTEXT(deployment_raw[[#This Row],[Column4]]), "", deployment_raw[[#This Row],[Column4]])</f>
        <v/>
      </c>
      <c r="E737" s="37" t="str">
        <f>IF(ISNUMBER(deployment_raw[[#This Row],[Column5]]), deployment_raw[[#This Row],[Column5]],"")</f>
        <v/>
      </c>
      <c r="F737" s="94" t="str">
        <f>IF(ISNUMBER(deployment_raw[[#This Row],[Column6]]), (deployment_raw[[#This Row],[Column6]] * IF($E$2="Deployment",deployment_raw[[#This Row],[Column5]],1)),"")</f>
        <v/>
      </c>
      <c r="G737" s="95" t="str">
        <f>IF(ISNUMBER(deployment_raw[[#This Row],[Column7]]), (deployment_raw[[#This Row],[Column7]] * IF($E$2="Deployment",deployment_raw[[#This Row],[Column5]],1))/1048576,"")</f>
        <v/>
      </c>
      <c r="H737" s="95" t="str">
        <f>IF(ISNUMBER(deployment_raw[[#This Row],[Column8]]), (deployment_raw[[#This Row],[Column8]]  * IF($E$2="Deployment",deployment_raw[[#This Row],[Column5]],1)),"")</f>
        <v/>
      </c>
      <c r="I737" s="96" t="str">
        <f>IF(ISNUMBER(deployment_raw[[#This Row],[Column9]]), (deployment_raw[[#This Row],[Column9]] * IF($E$2="Deployment",deployment_raw[[#This Row],[Column5]],1))/1048576,"")</f>
        <v/>
      </c>
      <c r="J737" s="122" t="str">
        <f>IF(ISNUMBER(deployment_raw[[#This Row],[Column10]]), (MIN(IF(N737&lt;&gt;"",N737,9999999999999)*1.1,deployment_raw[[#This Row],[Column10]] * IF($E$2="Deployment",deployment_raw[[#This Row],[Column5]],1))),"")</f>
        <v/>
      </c>
      <c r="K737" s="123" t="str">
        <f>IF(ISNUMBER(deployment_raw[[#This Row],[Column11]]), (MIN(IF(O737&lt;&gt;"",O737,9999999999999)*1.1,deployment_raw[[#This Row],[Column11]] * IF($E$2="Deployment",deployment_raw[[#This Row],[Column5]],1)/1048576)),"")</f>
        <v/>
      </c>
      <c r="L737" s="124" t="str">
        <f>IF(ISNUMBER(deployment_raw[[#This Row],[Column8]]),IF(OR(deployment_raw[[#This Row],[Column5]] &lt;&gt; 0,$E$2 &lt;&gt; "Deployment"), MAX(J737, P737, R737, ($L$2 * IF($E$2="Deployment",deployment_raw[[#This Row],[Column5]],1)),IF(T737&lt;&gt;"",VALUE(T737) * IF($E$2="Deployment",deployment_raw[[#This Row],[Column5]],1),0)), 0),"")</f>
        <v/>
      </c>
      <c r="M737" s="125" t="str">
        <f>IF(ISNUMBER(deployment_raw[[#This Row],[Column9]]),IF(OR(deployment_raw[[#This Row],[Column5]] &lt;&gt; 0,$E$2&lt;&gt;"Deployment"), MAX(K737, Q737, S737, ($M$2 * IF($E$2="Deployment",deployment_raw[[#This Row],[Column5]],1)),IF(U737&lt;&gt;"",VALUE(U737) * IF($E$2="Deployment",deployment_raw[[#This Row],[Column5]],1),0)), 0),"")</f>
        <v/>
      </c>
      <c r="N737" s="166" t="str">
        <f>IF(ISNUMBER(deployment_raw[[#This Row],[Column14]]), deployment_raw[[#This Row],[Column14]]/IF(OR($E$2="Deployment",deployment_raw[[#This Row],[Column5]]=0),1,deployment_raw[[#This Row],[Column5]]),"")</f>
        <v/>
      </c>
      <c r="O737" s="167" t="str">
        <f>IF(ISNUMBER(deployment_raw[[#This Row],[Column15]]), deployment_raw[[#This Row],[Column15]]/IF(OR($E$2="Deployment",deployment_raw[[#This Row],[Column5]]=0),1,deployment_raw[[#This Row],[Column5]])/1048576,"")</f>
        <v/>
      </c>
      <c r="P737" s="168" t="str">
        <f>IF(ISNUMBER(deployment_raw[[#This Row],[Column12]]), (MIN(IF(N737&lt;&gt;"",N737,9999999999999)*1.1,deployment_raw[[#This Row],[Column12]] * IF($E$2="Deployment",deployment_raw[[#This Row],[Column5]],1))*(1+$P$2)),"")</f>
        <v/>
      </c>
      <c r="Q737" s="167" t="str">
        <f>IF(ISNUMBER(deployment_raw[[#This Row],[Column13]]), (MIN(IF(O737&lt;&gt;"",O737,9999999999999)*1.1,deployment_raw[[#This Row],[Column13]] * IF($E$2="Deployment",deployment_raw[[#This Row],[Column5]],1)*(1+$Q$2)/1048576)),"")</f>
        <v/>
      </c>
      <c r="R737" s="169" t="str">
        <f>IF(ISNUMBER(deployment_raw[[#This Row],[Column8]]), (H737  * IF(N737&lt;&gt;0,$R$2,1)),"")</f>
        <v/>
      </c>
      <c r="S737" s="170" t="str">
        <f>IF(ISNUMBER(deployment_raw[[#This Row],[Column8]]), (I737  * IF(O737&lt;&gt;0,$S$2,1)),"")</f>
        <v/>
      </c>
      <c r="T737" s="202" t="str">
        <f>IF(AND(A737&lt;&gt;"",_xlfn.IFNA(MATCH(A737,'dynamic resource application '!$A$2:$A$100, 0),0)&lt;&gt;0), H737/(IF($E$2="Deployment",E737,1)),"")</f>
        <v/>
      </c>
      <c r="U737" s="211" t="str">
        <f>IF(AND(A737&lt;&gt;"",_xlfn.IFNA(MATCH(A737,'dynamic resource application '!$A$2:$A$100, 0),0)&lt;&gt;0), I737/(IF($E$2="Deployment",E737,1)),"")</f>
        <v/>
      </c>
    </row>
    <row r="738" spans="1:21" ht="15.75" customHeight="1" x14ac:dyDescent="0.25">
      <c r="A738" s="35" t="str">
        <f>IF(ISNONTEXT(deployment_raw[[#This Row],[Column1]]), "", deployment_raw[[#This Row],[Column1]])</f>
        <v/>
      </c>
      <c r="B738" s="36" t="str">
        <f>IF(ISNONTEXT(deployment_raw[[#This Row],[Column2]]), "", deployment_raw[[#This Row],[Column2]])</f>
        <v/>
      </c>
      <c r="C738" s="36" t="str">
        <f>IF(ISNONTEXT(deployment_raw[[#This Row],[Column3]]), "", deployment_raw[[#This Row],[Column3]])</f>
        <v/>
      </c>
      <c r="D738" s="36" t="str">
        <f>IF(ISNONTEXT(deployment_raw[[#This Row],[Column4]]), "", deployment_raw[[#This Row],[Column4]])</f>
        <v/>
      </c>
      <c r="E738" s="37" t="str">
        <f>IF(ISNUMBER(deployment_raw[[#This Row],[Column5]]), deployment_raw[[#This Row],[Column5]],"")</f>
        <v/>
      </c>
      <c r="F738" s="94" t="str">
        <f>IF(ISNUMBER(deployment_raw[[#This Row],[Column6]]), (deployment_raw[[#This Row],[Column6]] * IF($E$2="Deployment",deployment_raw[[#This Row],[Column5]],1)),"")</f>
        <v/>
      </c>
      <c r="G738" s="95" t="str">
        <f>IF(ISNUMBER(deployment_raw[[#This Row],[Column7]]), (deployment_raw[[#This Row],[Column7]] * IF($E$2="Deployment",deployment_raw[[#This Row],[Column5]],1))/1048576,"")</f>
        <v/>
      </c>
      <c r="H738" s="95" t="str">
        <f>IF(ISNUMBER(deployment_raw[[#This Row],[Column8]]), (deployment_raw[[#This Row],[Column8]]  * IF($E$2="Deployment",deployment_raw[[#This Row],[Column5]],1)),"")</f>
        <v/>
      </c>
      <c r="I738" s="96" t="str">
        <f>IF(ISNUMBER(deployment_raw[[#This Row],[Column9]]), (deployment_raw[[#This Row],[Column9]] * IF($E$2="Deployment",deployment_raw[[#This Row],[Column5]],1))/1048576,"")</f>
        <v/>
      </c>
      <c r="J738" s="122" t="str">
        <f>IF(ISNUMBER(deployment_raw[[#This Row],[Column10]]), (MIN(IF(N738&lt;&gt;"",N738,9999999999999)*1.1,deployment_raw[[#This Row],[Column10]] * IF($E$2="Deployment",deployment_raw[[#This Row],[Column5]],1))),"")</f>
        <v/>
      </c>
      <c r="K738" s="123" t="str">
        <f>IF(ISNUMBER(deployment_raw[[#This Row],[Column11]]), (MIN(IF(O738&lt;&gt;"",O738,9999999999999)*1.1,deployment_raw[[#This Row],[Column11]] * IF($E$2="Deployment",deployment_raw[[#This Row],[Column5]],1)/1048576)),"")</f>
        <v/>
      </c>
      <c r="L738" s="124" t="str">
        <f>IF(ISNUMBER(deployment_raw[[#This Row],[Column8]]),IF(OR(deployment_raw[[#This Row],[Column5]] &lt;&gt; 0,$E$2 &lt;&gt; "Deployment"), MAX(J738, P738, R738, ($L$2 * IF($E$2="Deployment",deployment_raw[[#This Row],[Column5]],1)),IF(T738&lt;&gt;"",VALUE(T738) * IF($E$2="Deployment",deployment_raw[[#This Row],[Column5]],1),0)), 0),"")</f>
        <v/>
      </c>
      <c r="M738" s="125" t="str">
        <f>IF(ISNUMBER(deployment_raw[[#This Row],[Column9]]),IF(OR(deployment_raw[[#This Row],[Column5]] &lt;&gt; 0,$E$2&lt;&gt;"Deployment"), MAX(K738, Q738, S738, ($M$2 * IF($E$2="Deployment",deployment_raw[[#This Row],[Column5]],1)),IF(U738&lt;&gt;"",VALUE(U738) * IF($E$2="Deployment",deployment_raw[[#This Row],[Column5]],1),0)), 0),"")</f>
        <v/>
      </c>
      <c r="N738" s="166" t="str">
        <f>IF(ISNUMBER(deployment_raw[[#This Row],[Column14]]), deployment_raw[[#This Row],[Column14]]/IF(OR($E$2="Deployment",deployment_raw[[#This Row],[Column5]]=0),1,deployment_raw[[#This Row],[Column5]]),"")</f>
        <v/>
      </c>
      <c r="O738" s="167" t="str">
        <f>IF(ISNUMBER(deployment_raw[[#This Row],[Column15]]), deployment_raw[[#This Row],[Column15]]/IF(OR($E$2="Deployment",deployment_raw[[#This Row],[Column5]]=0),1,deployment_raw[[#This Row],[Column5]])/1048576,"")</f>
        <v/>
      </c>
      <c r="P738" s="168" t="str">
        <f>IF(ISNUMBER(deployment_raw[[#This Row],[Column12]]), (MIN(IF(N738&lt;&gt;"",N738,9999999999999)*1.1,deployment_raw[[#This Row],[Column12]] * IF($E$2="Deployment",deployment_raw[[#This Row],[Column5]],1))*(1+$P$2)),"")</f>
        <v/>
      </c>
      <c r="Q738" s="167" t="str">
        <f>IF(ISNUMBER(deployment_raw[[#This Row],[Column13]]), (MIN(IF(O738&lt;&gt;"",O738,9999999999999)*1.1,deployment_raw[[#This Row],[Column13]] * IF($E$2="Deployment",deployment_raw[[#This Row],[Column5]],1)*(1+$Q$2)/1048576)),"")</f>
        <v/>
      </c>
      <c r="R738" s="169" t="str">
        <f>IF(ISNUMBER(deployment_raw[[#This Row],[Column8]]), (H738  * IF(N738&lt;&gt;0,$R$2,1)),"")</f>
        <v/>
      </c>
      <c r="S738" s="170" t="str">
        <f>IF(ISNUMBER(deployment_raw[[#This Row],[Column8]]), (I738  * IF(O738&lt;&gt;0,$S$2,1)),"")</f>
        <v/>
      </c>
      <c r="T738" s="202" t="str">
        <f>IF(AND(A738&lt;&gt;"",_xlfn.IFNA(MATCH(A738,'dynamic resource application '!$A$2:$A$100, 0),0)&lt;&gt;0), H738/(IF($E$2="Deployment",E738,1)),"")</f>
        <v/>
      </c>
      <c r="U738" s="211" t="str">
        <f>IF(AND(A738&lt;&gt;"",_xlfn.IFNA(MATCH(A738,'dynamic resource application '!$A$2:$A$100, 0),0)&lt;&gt;0), I738/(IF($E$2="Deployment",E738,1)),"")</f>
        <v/>
      </c>
    </row>
    <row r="739" spans="1:21" ht="15.75" customHeight="1" x14ac:dyDescent="0.25">
      <c r="A739" s="35" t="str">
        <f>IF(ISNONTEXT(deployment_raw[[#This Row],[Column1]]), "", deployment_raw[[#This Row],[Column1]])</f>
        <v/>
      </c>
      <c r="B739" s="36" t="str">
        <f>IF(ISNONTEXT(deployment_raw[[#This Row],[Column2]]), "", deployment_raw[[#This Row],[Column2]])</f>
        <v/>
      </c>
      <c r="C739" s="36" t="str">
        <f>IF(ISNONTEXT(deployment_raw[[#This Row],[Column3]]), "", deployment_raw[[#This Row],[Column3]])</f>
        <v/>
      </c>
      <c r="D739" s="36" t="str">
        <f>IF(ISNONTEXT(deployment_raw[[#This Row],[Column4]]), "", deployment_raw[[#This Row],[Column4]])</f>
        <v/>
      </c>
      <c r="E739" s="37" t="str">
        <f>IF(ISNUMBER(deployment_raw[[#This Row],[Column5]]), deployment_raw[[#This Row],[Column5]],"")</f>
        <v/>
      </c>
      <c r="F739" s="94" t="str">
        <f>IF(ISNUMBER(deployment_raw[[#This Row],[Column6]]), (deployment_raw[[#This Row],[Column6]] * IF($E$2="Deployment",deployment_raw[[#This Row],[Column5]],1)),"")</f>
        <v/>
      </c>
      <c r="G739" s="95" t="str">
        <f>IF(ISNUMBER(deployment_raw[[#This Row],[Column7]]), (deployment_raw[[#This Row],[Column7]] * IF($E$2="Deployment",deployment_raw[[#This Row],[Column5]],1))/1048576,"")</f>
        <v/>
      </c>
      <c r="H739" s="95" t="str">
        <f>IF(ISNUMBER(deployment_raw[[#This Row],[Column8]]), (deployment_raw[[#This Row],[Column8]]  * IF($E$2="Deployment",deployment_raw[[#This Row],[Column5]],1)),"")</f>
        <v/>
      </c>
      <c r="I739" s="96" t="str">
        <f>IF(ISNUMBER(deployment_raw[[#This Row],[Column9]]), (deployment_raw[[#This Row],[Column9]] * IF($E$2="Deployment",deployment_raw[[#This Row],[Column5]],1))/1048576,"")</f>
        <v/>
      </c>
      <c r="J739" s="122" t="str">
        <f>IF(ISNUMBER(deployment_raw[[#This Row],[Column10]]), (MIN(IF(N739&lt;&gt;"",N739,9999999999999)*1.1,deployment_raw[[#This Row],[Column10]] * IF($E$2="Deployment",deployment_raw[[#This Row],[Column5]],1))),"")</f>
        <v/>
      </c>
      <c r="K739" s="123" t="str">
        <f>IF(ISNUMBER(deployment_raw[[#This Row],[Column11]]), (MIN(IF(O739&lt;&gt;"",O739,9999999999999)*1.1,deployment_raw[[#This Row],[Column11]] * IF($E$2="Deployment",deployment_raw[[#This Row],[Column5]],1)/1048576)),"")</f>
        <v/>
      </c>
      <c r="L739" s="124" t="str">
        <f>IF(ISNUMBER(deployment_raw[[#This Row],[Column8]]),IF(OR(deployment_raw[[#This Row],[Column5]] &lt;&gt; 0,$E$2 &lt;&gt; "Deployment"), MAX(J739, P739, R739, ($L$2 * IF($E$2="Deployment",deployment_raw[[#This Row],[Column5]],1)),IF(T739&lt;&gt;"",VALUE(T739) * IF($E$2="Deployment",deployment_raw[[#This Row],[Column5]],1),0)), 0),"")</f>
        <v/>
      </c>
      <c r="M739" s="125" t="str">
        <f>IF(ISNUMBER(deployment_raw[[#This Row],[Column9]]),IF(OR(deployment_raw[[#This Row],[Column5]] &lt;&gt; 0,$E$2&lt;&gt;"Deployment"), MAX(K739, Q739, S739, ($M$2 * IF($E$2="Deployment",deployment_raw[[#This Row],[Column5]],1)),IF(U739&lt;&gt;"",VALUE(U739) * IF($E$2="Deployment",deployment_raw[[#This Row],[Column5]],1),0)), 0),"")</f>
        <v/>
      </c>
      <c r="N739" s="166" t="str">
        <f>IF(ISNUMBER(deployment_raw[[#This Row],[Column14]]), deployment_raw[[#This Row],[Column14]]/IF(OR($E$2="Deployment",deployment_raw[[#This Row],[Column5]]=0),1,deployment_raw[[#This Row],[Column5]]),"")</f>
        <v/>
      </c>
      <c r="O739" s="167" t="str">
        <f>IF(ISNUMBER(deployment_raw[[#This Row],[Column15]]), deployment_raw[[#This Row],[Column15]]/IF(OR($E$2="Deployment",deployment_raw[[#This Row],[Column5]]=0),1,deployment_raw[[#This Row],[Column5]])/1048576,"")</f>
        <v/>
      </c>
      <c r="P739" s="168" t="str">
        <f>IF(ISNUMBER(deployment_raw[[#This Row],[Column12]]), (MIN(IF(N739&lt;&gt;"",N739,9999999999999)*1.1,deployment_raw[[#This Row],[Column12]] * IF($E$2="Deployment",deployment_raw[[#This Row],[Column5]],1))*(1+$P$2)),"")</f>
        <v/>
      </c>
      <c r="Q739" s="167" t="str">
        <f>IF(ISNUMBER(deployment_raw[[#This Row],[Column13]]), (MIN(IF(O739&lt;&gt;"",O739,9999999999999)*1.1,deployment_raw[[#This Row],[Column13]] * IF($E$2="Deployment",deployment_raw[[#This Row],[Column5]],1)*(1+$Q$2)/1048576)),"")</f>
        <v/>
      </c>
      <c r="R739" s="169" t="str">
        <f>IF(ISNUMBER(deployment_raw[[#This Row],[Column8]]), (H739  * IF(N739&lt;&gt;0,$R$2,1)),"")</f>
        <v/>
      </c>
      <c r="S739" s="170" t="str">
        <f>IF(ISNUMBER(deployment_raw[[#This Row],[Column8]]), (I739  * IF(O739&lt;&gt;0,$S$2,1)),"")</f>
        <v/>
      </c>
      <c r="T739" s="202" t="str">
        <f>IF(AND(A739&lt;&gt;"",_xlfn.IFNA(MATCH(A739,'dynamic resource application '!$A$2:$A$100, 0),0)&lt;&gt;0), H739/(IF($E$2="Deployment",E739,1)),"")</f>
        <v/>
      </c>
      <c r="U739" s="211" t="str">
        <f>IF(AND(A739&lt;&gt;"",_xlfn.IFNA(MATCH(A739,'dynamic resource application '!$A$2:$A$100, 0),0)&lt;&gt;0), I739/(IF($E$2="Deployment",E739,1)),"")</f>
        <v/>
      </c>
    </row>
    <row r="740" spans="1:21" ht="15.75" customHeight="1" x14ac:dyDescent="0.25">
      <c r="A740" s="35" t="str">
        <f>IF(ISNONTEXT(deployment_raw[[#This Row],[Column1]]), "", deployment_raw[[#This Row],[Column1]])</f>
        <v/>
      </c>
      <c r="B740" s="36" t="str">
        <f>IF(ISNONTEXT(deployment_raw[[#This Row],[Column2]]), "", deployment_raw[[#This Row],[Column2]])</f>
        <v/>
      </c>
      <c r="C740" s="36" t="str">
        <f>IF(ISNONTEXT(deployment_raw[[#This Row],[Column3]]), "", deployment_raw[[#This Row],[Column3]])</f>
        <v/>
      </c>
      <c r="D740" s="36" t="str">
        <f>IF(ISNONTEXT(deployment_raw[[#This Row],[Column4]]), "", deployment_raw[[#This Row],[Column4]])</f>
        <v/>
      </c>
      <c r="E740" s="37" t="str">
        <f>IF(ISNUMBER(deployment_raw[[#This Row],[Column5]]), deployment_raw[[#This Row],[Column5]],"")</f>
        <v/>
      </c>
      <c r="F740" s="94" t="str">
        <f>IF(ISNUMBER(deployment_raw[[#This Row],[Column6]]), (deployment_raw[[#This Row],[Column6]] * IF($E$2="Deployment",deployment_raw[[#This Row],[Column5]],1)),"")</f>
        <v/>
      </c>
      <c r="G740" s="95" t="str">
        <f>IF(ISNUMBER(deployment_raw[[#This Row],[Column7]]), (deployment_raw[[#This Row],[Column7]] * IF($E$2="Deployment",deployment_raw[[#This Row],[Column5]],1))/1048576,"")</f>
        <v/>
      </c>
      <c r="H740" s="95" t="str">
        <f>IF(ISNUMBER(deployment_raw[[#This Row],[Column8]]), (deployment_raw[[#This Row],[Column8]]  * IF($E$2="Deployment",deployment_raw[[#This Row],[Column5]],1)),"")</f>
        <v/>
      </c>
      <c r="I740" s="96" t="str">
        <f>IF(ISNUMBER(deployment_raw[[#This Row],[Column9]]), (deployment_raw[[#This Row],[Column9]] * IF($E$2="Deployment",deployment_raw[[#This Row],[Column5]],1))/1048576,"")</f>
        <v/>
      </c>
      <c r="J740" s="122" t="str">
        <f>IF(ISNUMBER(deployment_raw[[#This Row],[Column10]]), (MIN(IF(N740&lt;&gt;"",N740,9999999999999)*1.1,deployment_raw[[#This Row],[Column10]] * IF($E$2="Deployment",deployment_raw[[#This Row],[Column5]],1))),"")</f>
        <v/>
      </c>
      <c r="K740" s="123" t="str">
        <f>IF(ISNUMBER(deployment_raw[[#This Row],[Column11]]), (MIN(IF(O740&lt;&gt;"",O740,9999999999999)*1.1,deployment_raw[[#This Row],[Column11]] * IF($E$2="Deployment",deployment_raw[[#This Row],[Column5]],1)/1048576)),"")</f>
        <v/>
      </c>
      <c r="L740" s="124" t="str">
        <f>IF(ISNUMBER(deployment_raw[[#This Row],[Column8]]),IF(OR(deployment_raw[[#This Row],[Column5]] &lt;&gt; 0,$E$2 &lt;&gt; "Deployment"), MAX(J740, P740, R740, ($L$2 * IF($E$2="Deployment",deployment_raw[[#This Row],[Column5]],1)),IF(T740&lt;&gt;"",VALUE(T740) * IF($E$2="Deployment",deployment_raw[[#This Row],[Column5]],1),0)), 0),"")</f>
        <v/>
      </c>
      <c r="M740" s="125" t="str">
        <f>IF(ISNUMBER(deployment_raw[[#This Row],[Column9]]),IF(OR(deployment_raw[[#This Row],[Column5]] &lt;&gt; 0,$E$2&lt;&gt;"Deployment"), MAX(K740, Q740, S740, ($M$2 * IF($E$2="Deployment",deployment_raw[[#This Row],[Column5]],1)),IF(U740&lt;&gt;"",VALUE(U740) * IF($E$2="Deployment",deployment_raw[[#This Row],[Column5]],1),0)), 0),"")</f>
        <v/>
      </c>
      <c r="N740" s="166" t="str">
        <f>IF(ISNUMBER(deployment_raw[[#This Row],[Column14]]), deployment_raw[[#This Row],[Column14]]/IF(OR($E$2="Deployment",deployment_raw[[#This Row],[Column5]]=0),1,deployment_raw[[#This Row],[Column5]]),"")</f>
        <v/>
      </c>
      <c r="O740" s="167" t="str">
        <f>IF(ISNUMBER(deployment_raw[[#This Row],[Column15]]), deployment_raw[[#This Row],[Column15]]/IF(OR($E$2="Deployment",deployment_raw[[#This Row],[Column5]]=0),1,deployment_raw[[#This Row],[Column5]])/1048576,"")</f>
        <v/>
      </c>
      <c r="P740" s="168" t="str">
        <f>IF(ISNUMBER(deployment_raw[[#This Row],[Column12]]), (MIN(IF(N740&lt;&gt;"",N740,9999999999999)*1.1,deployment_raw[[#This Row],[Column12]] * IF($E$2="Deployment",deployment_raw[[#This Row],[Column5]],1))*(1+$P$2)),"")</f>
        <v/>
      </c>
      <c r="Q740" s="167" t="str">
        <f>IF(ISNUMBER(deployment_raw[[#This Row],[Column13]]), (MIN(IF(O740&lt;&gt;"",O740,9999999999999)*1.1,deployment_raw[[#This Row],[Column13]] * IF($E$2="Deployment",deployment_raw[[#This Row],[Column5]],1)*(1+$Q$2)/1048576)),"")</f>
        <v/>
      </c>
      <c r="R740" s="169" t="str">
        <f>IF(ISNUMBER(deployment_raw[[#This Row],[Column8]]), (H740  * IF(N740&lt;&gt;0,$R$2,1)),"")</f>
        <v/>
      </c>
      <c r="S740" s="170" t="str">
        <f>IF(ISNUMBER(deployment_raw[[#This Row],[Column8]]), (I740  * IF(O740&lt;&gt;0,$S$2,1)),"")</f>
        <v/>
      </c>
      <c r="T740" s="202" t="str">
        <f>IF(AND(A740&lt;&gt;"",_xlfn.IFNA(MATCH(A740,'dynamic resource application '!$A$2:$A$100, 0),0)&lt;&gt;0), H740/(IF($E$2="Deployment",E740,1)),"")</f>
        <v/>
      </c>
      <c r="U740" s="211" t="str">
        <f>IF(AND(A740&lt;&gt;"",_xlfn.IFNA(MATCH(A740,'dynamic resource application '!$A$2:$A$100, 0),0)&lt;&gt;0), I740/(IF($E$2="Deployment",E740,1)),"")</f>
        <v/>
      </c>
    </row>
    <row r="741" spans="1:21" ht="15.75" customHeight="1" x14ac:dyDescent="0.25">
      <c r="A741" s="35" t="str">
        <f>IF(ISNONTEXT(deployment_raw[[#This Row],[Column1]]), "", deployment_raw[[#This Row],[Column1]])</f>
        <v/>
      </c>
      <c r="B741" s="36" t="str">
        <f>IF(ISNONTEXT(deployment_raw[[#This Row],[Column2]]), "", deployment_raw[[#This Row],[Column2]])</f>
        <v/>
      </c>
      <c r="C741" s="36" t="str">
        <f>IF(ISNONTEXT(deployment_raw[[#This Row],[Column3]]), "", deployment_raw[[#This Row],[Column3]])</f>
        <v/>
      </c>
      <c r="D741" s="36" t="str">
        <f>IF(ISNONTEXT(deployment_raw[[#This Row],[Column4]]), "", deployment_raw[[#This Row],[Column4]])</f>
        <v/>
      </c>
      <c r="E741" s="37" t="str">
        <f>IF(ISNUMBER(deployment_raw[[#This Row],[Column5]]), deployment_raw[[#This Row],[Column5]],"")</f>
        <v/>
      </c>
      <c r="F741" s="94" t="str">
        <f>IF(ISNUMBER(deployment_raw[[#This Row],[Column6]]), (deployment_raw[[#This Row],[Column6]] * IF($E$2="Deployment",deployment_raw[[#This Row],[Column5]],1)),"")</f>
        <v/>
      </c>
      <c r="G741" s="95" t="str">
        <f>IF(ISNUMBER(deployment_raw[[#This Row],[Column7]]), (deployment_raw[[#This Row],[Column7]] * IF($E$2="Deployment",deployment_raw[[#This Row],[Column5]],1))/1048576,"")</f>
        <v/>
      </c>
      <c r="H741" s="95" t="str">
        <f>IF(ISNUMBER(deployment_raw[[#This Row],[Column8]]), (deployment_raw[[#This Row],[Column8]]  * IF($E$2="Deployment",deployment_raw[[#This Row],[Column5]],1)),"")</f>
        <v/>
      </c>
      <c r="I741" s="96" t="str">
        <f>IF(ISNUMBER(deployment_raw[[#This Row],[Column9]]), (deployment_raw[[#This Row],[Column9]] * IF($E$2="Deployment",deployment_raw[[#This Row],[Column5]],1))/1048576,"")</f>
        <v/>
      </c>
      <c r="J741" s="122" t="str">
        <f>IF(ISNUMBER(deployment_raw[[#This Row],[Column10]]), (MIN(IF(N741&lt;&gt;"",N741,9999999999999)*1.1,deployment_raw[[#This Row],[Column10]] * IF($E$2="Deployment",deployment_raw[[#This Row],[Column5]],1))),"")</f>
        <v/>
      </c>
      <c r="K741" s="123" t="str">
        <f>IF(ISNUMBER(deployment_raw[[#This Row],[Column11]]), (MIN(IF(O741&lt;&gt;"",O741,9999999999999)*1.1,deployment_raw[[#This Row],[Column11]] * IF($E$2="Deployment",deployment_raw[[#This Row],[Column5]],1)/1048576)),"")</f>
        <v/>
      </c>
      <c r="L741" s="124" t="str">
        <f>IF(ISNUMBER(deployment_raw[[#This Row],[Column8]]),IF(OR(deployment_raw[[#This Row],[Column5]] &lt;&gt; 0,$E$2 &lt;&gt; "Deployment"), MAX(J741, P741, R741, ($L$2 * IF($E$2="Deployment",deployment_raw[[#This Row],[Column5]],1)),IF(T741&lt;&gt;"",VALUE(T741) * IF($E$2="Deployment",deployment_raw[[#This Row],[Column5]],1),0)), 0),"")</f>
        <v/>
      </c>
      <c r="M741" s="125" t="str">
        <f>IF(ISNUMBER(deployment_raw[[#This Row],[Column9]]),IF(OR(deployment_raw[[#This Row],[Column5]] &lt;&gt; 0,$E$2&lt;&gt;"Deployment"), MAX(K741, Q741, S741, ($M$2 * IF($E$2="Deployment",deployment_raw[[#This Row],[Column5]],1)),IF(U741&lt;&gt;"",VALUE(U741) * IF($E$2="Deployment",deployment_raw[[#This Row],[Column5]],1),0)), 0),"")</f>
        <v/>
      </c>
      <c r="N741" s="166" t="str">
        <f>IF(ISNUMBER(deployment_raw[[#This Row],[Column14]]), deployment_raw[[#This Row],[Column14]]/IF(OR($E$2="Deployment",deployment_raw[[#This Row],[Column5]]=0),1,deployment_raw[[#This Row],[Column5]]),"")</f>
        <v/>
      </c>
      <c r="O741" s="167" t="str">
        <f>IF(ISNUMBER(deployment_raw[[#This Row],[Column15]]), deployment_raw[[#This Row],[Column15]]/IF(OR($E$2="Deployment",deployment_raw[[#This Row],[Column5]]=0),1,deployment_raw[[#This Row],[Column5]])/1048576,"")</f>
        <v/>
      </c>
      <c r="P741" s="168" t="str">
        <f>IF(ISNUMBER(deployment_raw[[#This Row],[Column12]]), (MIN(IF(N741&lt;&gt;"",N741,9999999999999)*1.1,deployment_raw[[#This Row],[Column12]] * IF($E$2="Deployment",deployment_raw[[#This Row],[Column5]],1))*(1+$P$2)),"")</f>
        <v/>
      </c>
      <c r="Q741" s="167" t="str">
        <f>IF(ISNUMBER(deployment_raw[[#This Row],[Column13]]), (MIN(IF(O741&lt;&gt;"",O741,9999999999999)*1.1,deployment_raw[[#This Row],[Column13]] * IF($E$2="Deployment",deployment_raw[[#This Row],[Column5]],1)*(1+$Q$2)/1048576)),"")</f>
        <v/>
      </c>
      <c r="R741" s="169" t="str">
        <f>IF(ISNUMBER(deployment_raw[[#This Row],[Column8]]), (H741  * IF(N741&lt;&gt;0,$R$2,1)),"")</f>
        <v/>
      </c>
      <c r="S741" s="170" t="str">
        <f>IF(ISNUMBER(deployment_raw[[#This Row],[Column8]]), (I741  * IF(O741&lt;&gt;0,$S$2,1)),"")</f>
        <v/>
      </c>
      <c r="T741" s="202" t="str">
        <f>IF(AND(A741&lt;&gt;"",_xlfn.IFNA(MATCH(A741,'dynamic resource application '!$A$2:$A$100, 0),0)&lt;&gt;0), H741/(IF($E$2="Deployment",E741,1)),"")</f>
        <v/>
      </c>
      <c r="U741" s="211" t="str">
        <f>IF(AND(A741&lt;&gt;"",_xlfn.IFNA(MATCH(A741,'dynamic resource application '!$A$2:$A$100, 0),0)&lt;&gt;0), I741/(IF($E$2="Deployment",E741,1)),"")</f>
        <v/>
      </c>
    </row>
    <row r="742" spans="1:21" ht="15.75" customHeight="1" x14ac:dyDescent="0.25">
      <c r="A742" s="35" t="str">
        <f>IF(ISNONTEXT(deployment_raw[[#This Row],[Column1]]), "", deployment_raw[[#This Row],[Column1]])</f>
        <v/>
      </c>
      <c r="B742" s="36" t="str">
        <f>IF(ISNONTEXT(deployment_raw[[#This Row],[Column2]]), "", deployment_raw[[#This Row],[Column2]])</f>
        <v/>
      </c>
      <c r="C742" s="36" t="str">
        <f>IF(ISNONTEXT(deployment_raw[[#This Row],[Column3]]), "", deployment_raw[[#This Row],[Column3]])</f>
        <v/>
      </c>
      <c r="D742" s="36" t="str">
        <f>IF(ISNONTEXT(deployment_raw[[#This Row],[Column4]]), "", deployment_raw[[#This Row],[Column4]])</f>
        <v/>
      </c>
      <c r="E742" s="37" t="str">
        <f>IF(ISNUMBER(deployment_raw[[#This Row],[Column5]]), deployment_raw[[#This Row],[Column5]],"")</f>
        <v/>
      </c>
      <c r="F742" s="94" t="str">
        <f>IF(ISNUMBER(deployment_raw[[#This Row],[Column6]]), (deployment_raw[[#This Row],[Column6]] * IF($E$2="Deployment",deployment_raw[[#This Row],[Column5]],1)),"")</f>
        <v/>
      </c>
      <c r="G742" s="95" t="str">
        <f>IF(ISNUMBER(deployment_raw[[#This Row],[Column7]]), (deployment_raw[[#This Row],[Column7]] * IF($E$2="Deployment",deployment_raw[[#This Row],[Column5]],1))/1048576,"")</f>
        <v/>
      </c>
      <c r="H742" s="95" t="str">
        <f>IF(ISNUMBER(deployment_raw[[#This Row],[Column8]]), (deployment_raw[[#This Row],[Column8]]  * IF($E$2="Deployment",deployment_raw[[#This Row],[Column5]],1)),"")</f>
        <v/>
      </c>
      <c r="I742" s="96" t="str">
        <f>IF(ISNUMBER(deployment_raw[[#This Row],[Column9]]), (deployment_raw[[#This Row],[Column9]] * IF($E$2="Deployment",deployment_raw[[#This Row],[Column5]],1))/1048576,"")</f>
        <v/>
      </c>
      <c r="J742" s="122" t="str">
        <f>IF(ISNUMBER(deployment_raw[[#This Row],[Column10]]), (MIN(IF(N742&lt;&gt;"",N742,9999999999999)*1.1,deployment_raw[[#This Row],[Column10]] * IF($E$2="Deployment",deployment_raw[[#This Row],[Column5]],1))),"")</f>
        <v/>
      </c>
      <c r="K742" s="123" t="str">
        <f>IF(ISNUMBER(deployment_raw[[#This Row],[Column11]]), (MIN(IF(O742&lt;&gt;"",O742,9999999999999)*1.1,deployment_raw[[#This Row],[Column11]] * IF($E$2="Deployment",deployment_raw[[#This Row],[Column5]],1)/1048576)),"")</f>
        <v/>
      </c>
      <c r="L742" s="124" t="str">
        <f>IF(ISNUMBER(deployment_raw[[#This Row],[Column8]]),IF(OR(deployment_raw[[#This Row],[Column5]] &lt;&gt; 0,$E$2 &lt;&gt; "Deployment"), MAX(J742, P742, R742, ($L$2 * IF($E$2="Deployment",deployment_raw[[#This Row],[Column5]],1)),IF(T742&lt;&gt;"",VALUE(T742) * IF($E$2="Deployment",deployment_raw[[#This Row],[Column5]],1),0)), 0),"")</f>
        <v/>
      </c>
      <c r="M742" s="125" t="str">
        <f>IF(ISNUMBER(deployment_raw[[#This Row],[Column9]]),IF(OR(deployment_raw[[#This Row],[Column5]] &lt;&gt; 0,$E$2&lt;&gt;"Deployment"), MAX(K742, Q742, S742, ($M$2 * IF($E$2="Deployment",deployment_raw[[#This Row],[Column5]],1)),IF(U742&lt;&gt;"",VALUE(U742) * IF($E$2="Deployment",deployment_raw[[#This Row],[Column5]],1),0)), 0),"")</f>
        <v/>
      </c>
      <c r="N742" s="166" t="str">
        <f>IF(ISNUMBER(deployment_raw[[#This Row],[Column14]]), deployment_raw[[#This Row],[Column14]]/IF(OR($E$2="Deployment",deployment_raw[[#This Row],[Column5]]=0),1,deployment_raw[[#This Row],[Column5]]),"")</f>
        <v/>
      </c>
      <c r="O742" s="167" t="str">
        <f>IF(ISNUMBER(deployment_raw[[#This Row],[Column15]]), deployment_raw[[#This Row],[Column15]]/IF(OR($E$2="Deployment",deployment_raw[[#This Row],[Column5]]=0),1,deployment_raw[[#This Row],[Column5]])/1048576,"")</f>
        <v/>
      </c>
      <c r="P742" s="168" t="str">
        <f>IF(ISNUMBER(deployment_raw[[#This Row],[Column12]]), (MIN(IF(N742&lt;&gt;"",N742,9999999999999)*1.1,deployment_raw[[#This Row],[Column12]] * IF($E$2="Deployment",deployment_raw[[#This Row],[Column5]],1))*(1+$P$2)),"")</f>
        <v/>
      </c>
      <c r="Q742" s="167" t="str">
        <f>IF(ISNUMBER(deployment_raw[[#This Row],[Column13]]), (MIN(IF(O742&lt;&gt;"",O742,9999999999999)*1.1,deployment_raw[[#This Row],[Column13]] * IF($E$2="Deployment",deployment_raw[[#This Row],[Column5]],1)*(1+$Q$2)/1048576)),"")</f>
        <v/>
      </c>
      <c r="R742" s="169" t="str">
        <f>IF(ISNUMBER(deployment_raw[[#This Row],[Column8]]), (H742  * IF(N742&lt;&gt;0,$R$2,1)),"")</f>
        <v/>
      </c>
      <c r="S742" s="170" t="str">
        <f>IF(ISNUMBER(deployment_raw[[#This Row],[Column8]]), (I742  * IF(O742&lt;&gt;0,$S$2,1)),"")</f>
        <v/>
      </c>
      <c r="T742" s="202" t="str">
        <f>IF(AND(A742&lt;&gt;"",_xlfn.IFNA(MATCH(A742,'dynamic resource application '!$A$2:$A$100, 0),0)&lt;&gt;0), H742/(IF($E$2="Deployment",E742,1)),"")</f>
        <v/>
      </c>
      <c r="U742" s="211" t="str">
        <f>IF(AND(A742&lt;&gt;"",_xlfn.IFNA(MATCH(A742,'dynamic resource application '!$A$2:$A$100, 0),0)&lt;&gt;0), I742/(IF($E$2="Deployment",E742,1)),"")</f>
        <v/>
      </c>
    </row>
    <row r="743" spans="1:21" ht="15.75" customHeight="1" x14ac:dyDescent="0.25">
      <c r="A743" s="35" t="str">
        <f>IF(ISNONTEXT(deployment_raw[[#This Row],[Column1]]), "", deployment_raw[[#This Row],[Column1]])</f>
        <v/>
      </c>
      <c r="B743" s="36" t="str">
        <f>IF(ISNONTEXT(deployment_raw[[#This Row],[Column2]]), "", deployment_raw[[#This Row],[Column2]])</f>
        <v/>
      </c>
      <c r="C743" s="36" t="str">
        <f>IF(ISNONTEXT(deployment_raw[[#This Row],[Column3]]), "", deployment_raw[[#This Row],[Column3]])</f>
        <v/>
      </c>
      <c r="D743" s="36" t="str">
        <f>IF(ISNONTEXT(deployment_raw[[#This Row],[Column4]]), "", deployment_raw[[#This Row],[Column4]])</f>
        <v/>
      </c>
      <c r="E743" s="37" t="str">
        <f>IF(ISNUMBER(deployment_raw[[#This Row],[Column5]]), deployment_raw[[#This Row],[Column5]],"")</f>
        <v/>
      </c>
      <c r="F743" s="94" t="str">
        <f>IF(ISNUMBER(deployment_raw[[#This Row],[Column6]]), (deployment_raw[[#This Row],[Column6]] * IF($E$2="Deployment",deployment_raw[[#This Row],[Column5]],1)),"")</f>
        <v/>
      </c>
      <c r="G743" s="95" t="str">
        <f>IF(ISNUMBER(deployment_raw[[#This Row],[Column7]]), (deployment_raw[[#This Row],[Column7]] * IF($E$2="Deployment",deployment_raw[[#This Row],[Column5]],1))/1048576,"")</f>
        <v/>
      </c>
      <c r="H743" s="95" t="str">
        <f>IF(ISNUMBER(deployment_raw[[#This Row],[Column8]]), (deployment_raw[[#This Row],[Column8]]  * IF($E$2="Deployment",deployment_raw[[#This Row],[Column5]],1)),"")</f>
        <v/>
      </c>
      <c r="I743" s="96" t="str">
        <f>IF(ISNUMBER(deployment_raw[[#This Row],[Column9]]), (deployment_raw[[#This Row],[Column9]] * IF($E$2="Deployment",deployment_raw[[#This Row],[Column5]],1))/1048576,"")</f>
        <v/>
      </c>
      <c r="J743" s="122" t="str">
        <f>IF(ISNUMBER(deployment_raw[[#This Row],[Column10]]), (MIN(IF(N743&lt;&gt;"",N743,9999999999999)*1.1,deployment_raw[[#This Row],[Column10]] * IF($E$2="Deployment",deployment_raw[[#This Row],[Column5]],1))),"")</f>
        <v/>
      </c>
      <c r="K743" s="123" t="str">
        <f>IF(ISNUMBER(deployment_raw[[#This Row],[Column11]]), (MIN(IF(O743&lt;&gt;"",O743,9999999999999)*1.1,deployment_raw[[#This Row],[Column11]] * IF($E$2="Deployment",deployment_raw[[#This Row],[Column5]],1)/1048576)),"")</f>
        <v/>
      </c>
      <c r="L743" s="124" t="str">
        <f>IF(ISNUMBER(deployment_raw[[#This Row],[Column8]]),IF(OR(deployment_raw[[#This Row],[Column5]] &lt;&gt; 0,$E$2 &lt;&gt; "Deployment"), MAX(J743, P743, R743, ($L$2 * IF($E$2="Deployment",deployment_raw[[#This Row],[Column5]],1)),IF(T743&lt;&gt;"",VALUE(T743) * IF($E$2="Deployment",deployment_raw[[#This Row],[Column5]],1),0)), 0),"")</f>
        <v/>
      </c>
      <c r="M743" s="125" t="str">
        <f>IF(ISNUMBER(deployment_raw[[#This Row],[Column9]]),IF(OR(deployment_raw[[#This Row],[Column5]] &lt;&gt; 0,$E$2&lt;&gt;"Deployment"), MAX(K743, Q743, S743, ($M$2 * IF($E$2="Deployment",deployment_raw[[#This Row],[Column5]],1)),IF(U743&lt;&gt;"",VALUE(U743) * IF($E$2="Deployment",deployment_raw[[#This Row],[Column5]],1),0)), 0),"")</f>
        <v/>
      </c>
      <c r="N743" s="166" t="str">
        <f>IF(ISNUMBER(deployment_raw[[#This Row],[Column14]]), deployment_raw[[#This Row],[Column14]]/IF(OR($E$2="Deployment",deployment_raw[[#This Row],[Column5]]=0),1,deployment_raw[[#This Row],[Column5]]),"")</f>
        <v/>
      </c>
      <c r="O743" s="167" t="str">
        <f>IF(ISNUMBER(deployment_raw[[#This Row],[Column15]]), deployment_raw[[#This Row],[Column15]]/IF(OR($E$2="Deployment",deployment_raw[[#This Row],[Column5]]=0),1,deployment_raw[[#This Row],[Column5]])/1048576,"")</f>
        <v/>
      </c>
      <c r="P743" s="168" t="str">
        <f>IF(ISNUMBER(deployment_raw[[#This Row],[Column12]]), (MIN(IF(N743&lt;&gt;"",N743,9999999999999)*1.1,deployment_raw[[#This Row],[Column12]] * IF($E$2="Deployment",deployment_raw[[#This Row],[Column5]],1))*(1+$P$2)),"")</f>
        <v/>
      </c>
      <c r="Q743" s="167" t="str">
        <f>IF(ISNUMBER(deployment_raw[[#This Row],[Column13]]), (MIN(IF(O743&lt;&gt;"",O743,9999999999999)*1.1,deployment_raw[[#This Row],[Column13]] * IF($E$2="Deployment",deployment_raw[[#This Row],[Column5]],1)*(1+$Q$2)/1048576)),"")</f>
        <v/>
      </c>
      <c r="R743" s="169" t="str">
        <f>IF(ISNUMBER(deployment_raw[[#This Row],[Column8]]), (H743  * IF(N743&lt;&gt;0,$R$2,1)),"")</f>
        <v/>
      </c>
      <c r="S743" s="170" t="str">
        <f>IF(ISNUMBER(deployment_raw[[#This Row],[Column8]]), (I743  * IF(O743&lt;&gt;0,$S$2,1)),"")</f>
        <v/>
      </c>
      <c r="T743" s="202" t="str">
        <f>IF(AND(A743&lt;&gt;"",_xlfn.IFNA(MATCH(A743,'dynamic resource application '!$A$2:$A$100, 0),0)&lt;&gt;0), H743/(IF($E$2="Deployment",E743,1)),"")</f>
        <v/>
      </c>
      <c r="U743" s="211" t="str">
        <f>IF(AND(A743&lt;&gt;"",_xlfn.IFNA(MATCH(A743,'dynamic resource application '!$A$2:$A$100, 0),0)&lt;&gt;0), I743/(IF($E$2="Deployment",E743,1)),"")</f>
        <v/>
      </c>
    </row>
    <row r="744" spans="1:21" ht="15.75" customHeight="1" x14ac:dyDescent="0.25">
      <c r="A744" s="35" t="str">
        <f>IF(ISNONTEXT(deployment_raw[[#This Row],[Column1]]), "", deployment_raw[[#This Row],[Column1]])</f>
        <v/>
      </c>
      <c r="B744" s="36" t="str">
        <f>IF(ISNONTEXT(deployment_raw[[#This Row],[Column2]]), "", deployment_raw[[#This Row],[Column2]])</f>
        <v/>
      </c>
      <c r="C744" s="36" t="str">
        <f>IF(ISNONTEXT(deployment_raw[[#This Row],[Column3]]), "", deployment_raw[[#This Row],[Column3]])</f>
        <v/>
      </c>
      <c r="D744" s="36" t="str">
        <f>IF(ISNONTEXT(deployment_raw[[#This Row],[Column4]]), "", deployment_raw[[#This Row],[Column4]])</f>
        <v/>
      </c>
      <c r="E744" s="37" t="str">
        <f>IF(ISNUMBER(deployment_raw[[#This Row],[Column5]]), deployment_raw[[#This Row],[Column5]],"")</f>
        <v/>
      </c>
      <c r="F744" s="94" t="str">
        <f>IF(ISNUMBER(deployment_raw[[#This Row],[Column6]]), (deployment_raw[[#This Row],[Column6]] * IF($E$2="Deployment",deployment_raw[[#This Row],[Column5]],1)),"")</f>
        <v/>
      </c>
      <c r="G744" s="95" t="str">
        <f>IF(ISNUMBER(deployment_raw[[#This Row],[Column7]]), (deployment_raw[[#This Row],[Column7]] * IF($E$2="Deployment",deployment_raw[[#This Row],[Column5]],1))/1048576,"")</f>
        <v/>
      </c>
      <c r="H744" s="95" t="str">
        <f>IF(ISNUMBER(deployment_raw[[#This Row],[Column8]]), (deployment_raw[[#This Row],[Column8]]  * IF($E$2="Deployment",deployment_raw[[#This Row],[Column5]],1)),"")</f>
        <v/>
      </c>
      <c r="I744" s="96" t="str">
        <f>IF(ISNUMBER(deployment_raw[[#This Row],[Column9]]), (deployment_raw[[#This Row],[Column9]] * IF($E$2="Deployment",deployment_raw[[#This Row],[Column5]],1))/1048576,"")</f>
        <v/>
      </c>
      <c r="J744" s="122" t="str">
        <f>IF(ISNUMBER(deployment_raw[[#This Row],[Column10]]), (MIN(IF(N744&lt;&gt;"",N744,9999999999999)*1.1,deployment_raw[[#This Row],[Column10]] * IF($E$2="Deployment",deployment_raw[[#This Row],[Column5]],1))),"")</f>
        <v/>
      </c>
      <c r="K744" s="123" t="str">
        <f>IF(ISNUMBER(deployment_raw[[#This Row],[Column11]]), (MIN(IF(O744&lt;&gt;"",O744,9999999999999)*1.1,deployment_raw[[#This Row],[Column11]] * IF($E$2="Deployment",deployment_raw[[#This Row],[Column5]],1)/1048576)),"")</f>
        <v/>
      </c>
      <c r="L744" s="124" t="str">
        <f>IF(ISNUMBER(deployment_raw[[#This Row],[Column8]]),IF(OR(deployment_raw[[#This Row],[Column5]] &lt;&gt; 0,$E$2 &lt;&gt; "Deployment"), MAX(J744, P744, R744, ($L$2 * IF($E$2="Deployment",deployment_raw[[#This Row],[Column5]],1)),IF(T744&lt;&gt;"",VALUE(T744) * IF($E$2="Deployment",deployment_raw[[#This Row],[Column5]],1),0)), 0),"")</f>
        <v/>
      </c>
      <c r="M744" s="125" t="str">
        <f>IF(ISNUMBER(deployment_raw[[#This Row],[Column9]]),IF(OR(deployment_raw[[#This Row],[Column5]] &lt;&gt; 0,$E$2&lt;&gt;"Deployment"), MAX(K744, Q744, S744, ($M$2 * IF($E$2="Deployment",deployment_raw[[#This Row],[Column5]],1)),IF(U744&lt;&gt;"",VALUE(U744) * IF($E$2="Deployment",deployment_raw[[#This Row],[Column5]],1),0)), 0),"")</f>
        <v/>
      </c>
      <c r="N744" s="166" t="str">
        <f>IF(ISNUMBER(deployment_raw[[#This Row],[Column14]]), deployment_raw[[#This Row],[Column14]]/IF(OR($E$2="Deployment",deployment_raw[[#This Row],[Column5]]=0),1,deployment_raw[[#This Row],[Column5]]),"")</f>
        <v/>
      </c>
      <c r="O744" s="167" t="str">
        <f>IF(ISNUMBER(deployment_raw[[#This Row],[Column15]]), deployment_raw[[#This Row],[Column15]]/IF(OR($E$2="Deployment",deployment_raw[[#This Row],[Column5]]=0),1,deployment_raw[[#This Row],[Column5]])/1048576,"")</f>
        <v/>
      </c>
      <c r="P744" s="168" t="str">
        <f>IF(ISNUMBER(deployment_raw[[#This Row],[Column12]]), (MIN(IF(N744&lt;&gt;"",N744,9999999999999)*1.1,deployment_raw[[#This Row],[Column12]] * IF($E$2="Deployment",deployment_raw[[#This Row],[Column5]],1))*(1+$P$2)),"")</f>
        <v/>
      </c>
      <c r="Q744" s="167" t="str">
        <f>IF(ISNUMBER(deployment_raw[[#This Row],[Column13]]), (MIN(IF(O744&lt;&gt;"",O744,9999999999999)*1.1,deployment_raw[[#This Row],[Column13]] * IF($E$2="Deployment",deployment_raw[[#This Row],[Column5]],1)*(1+$Q$2)/1048576)),"")</f>
        <v/>
      </c>
      <c r="R744" s="169" t="str">
        <f>IF(ISNUMBER(deployment_raw[[#This Row],[Column8]]), (H744  * IF(N744&lt;&gt;0,$R$2,1)),"")</f>
        <v/>
      </c>
      <c r="S744" s="170" t="str">
        <f>IF(ISNUMBER(deployment_raw[[#This Row],[Column8]]), (I744  * IF(O744&lt;&gt;0,$S$2,1)),"")</f>
        <v/>
      </c>
      <c r="T744" s="202" t="str">
        <f>IF(AND(A744&lt;&gt;"",_xlfn.IFNA(MATCH(A744,'dynamic resource application '!$A$2:$A$100, 0),0)&lt;&gt;0), H744/(IF($E$2="Deployment",E744,1)),"")</f>
        <v/>
      </c>
      <c r="U744" s="211" t="str">
        <f>IF(AND(A744&lt;&gt;"",_xlfn.IFNA(MATCH(A744,'dynamic resource application '!$A$2:$A$100, 0),0)&lt;&gt;0), I744/(IF($E$2="Deployment",E744,1)),"")</f>
        <v/>
      </c>
    </row>
    <row r="745" spans="1:21" ht="15.75" customHeight="1" x14ac:dyDescent="0.25">
      <c r="A745" s="35" t="str">
        <f>IF(ISNONTEXT(deployment_raw[[#This Row],[Column1]]), "", deployment_raw[[#This Row],[Column1]])</f>
        <v/>
      </c>
      <c r="B745" s="36" t="str">
        <f>IF(ISNONTEXT(deployment_raw[[#This Row],[Column2]]), "", deployment_raw[[#This Row],[Column2]])</f>
        <v/>
      </c>
      <c r="C745" s="36" t="str">
        <f>IF(ISNONTEXT(deployment_raw[[#This Row],[Column3]]), "", deployment_raw[[#This Row],[Column3]])</f>
        <v/>
      </c>
      <c r="D745" s="36" t="str">
        <f>IF(ISNONTEXT(deployment_raw[[#This Row],[Column4]]), "", deployment_raw[[#This Row],[Column4]])</f>
        <v/>
      </c>
      <c r="E745" s="37" t="str">
        <f>IF(ISNUMBER(deployment_raw[[#This Row],[Column5]]), deployment_raw[[#This Row],[Column5]],"")</f>
        <v/>
      </c>
      <c r="F745" s="94" t="str">
        <f>IF(ISNUMBER(deployment_raw[[#This Row],[Column6]]), (deployment_raw[[#This Row],[Column6]] * IF($E$2="Deployment",deployment_raw[[#This Row],[Column5]],1)),"")</f>
        <v/>
      </c>
      <c r="G745" s="95" t="str">
        <f>IF(ISNUMBER(deployment_raw[[#This Row],[Column7]]), (deployment_raw[[#This Row],[Column7]] * IF($E$2="Deployment",deployment_raw[[#This Row],[Column5]],1))/1048576,"")</f>
        <v/>
      </c>
      <c r="H745" s="95" t="str">
        <f>IF(ISNUMBER(deployment_raw[[#This Row],[Column8]]), (deployment_raw[[#This Row],[Column8]]  * IF($E$2="Deployment",deployment_raw[[#This Row],[Column5]],1)),"")</f>
        <v/>
      </c>
      <c r="I745" s="96" t="str">
        <f>IF(ISNUMBER(deployment_raw[[#This Row],[Column9]]), (deployment_raw[[#This Row],[Column9]] * IF($E$2="Deployment",deployment_raw[[#This Row],[Column5]],1))/1048576,"")</f>
        <v/>
      </c>
      <c r="J745" s="122" t="str">
        <f>IF(ISNUMBER(deployment_raw[[#This Row],[Column10]]), (MIN(IF(N745&lt;&gt;"",N745,9999999999999)*1.1,deployment_raw[[#This Row],[Column10]] * IF($E$2="Deployment",deployment_raw[[#This Row],[Column5]],1))),"")</f>
        <v/>
      </c>
      <c r="K745" s="123" t="str">
        <f>IF(ISNUMBER(deployment_raw[[#This Row],[Column11]]), (MIN(IF(O745&lt;&gt;"",O745,9999999999999)*1.1,deployment_raw[[#This Row],[Column11]] * IF($E$2="Deployment",deployment_raw[[#This Row],[Column5]],1)/1048576)),"")</f>
        <v/>
      </c>
      <c r="L745" s="124" t="str">
        <f>IF(ISNUMBER(deployment_raw[[#This Row],[Column8]]),IF(OR(deployment_raw[[#This Row],[Column5]] &lt;&gt; 0,$E$2 &lt;&gt; "Deployment"), MAX(J745, P745, R745, ($L$2 * IF($E$2="Deployment",deployment_raw[[#This Row],[Column5]],1)),IF(T745&lt;&gt;"",VALUE(T745) * IF($E$2="Deployment",deployment_raw[[#This Row],[Column5]],1),0)), 0),"")</f>
        <v/>
      </c>
      <c r="M745" s="125" t="str">
        <f>IF(ISNUMBER(deployment_raw[[#This Row],[Column9]]),IF(OR(deployment_raw[[#This Row],[Column5]] &lt;&gt; 0,$E$2&lt;&gt;"Deployment"), MAX(K745, Q745, S745, ($M$2 * IF($E$2="Deployment",deployment_raw[[#This Row],[Column5]],1)),IF(U745&lt;&gt;"",VALUE(U745) * IF($E$2="Deployment",deployment_raw[[#This Row],[Column5]],1),0)), 0),"")</f>
        <v/>
      </c>
      <c r="N745" s="166" t="str">
        <f>IF(ISNUMBER(deployment_raw[[#This Row],[Column14]]), deployment_raw[[#This Row],[Column14]]/IF(OR($E$2="Deployment",deployment_raw[[#This Row],[Column5]]=0),1,deployment_raw[[#This Row],[Column5]]),"")</f>
        <v/>
      </c>
      <c r="O745" s="167" t="str">
        <f>IF(ISNUMBER(deployment_raw[[#This Row],[Column15]]), deployment_raw[[#This Row],[Column15]]/IF(OR($E$2="Deployment",deployment_raw[[#This Row],[Column5]]=0),1,deployment_raw[[#This Row],[Column5]])/1048576,"")</f>
        <v/>
      </c>
      <c r="P745" s="168" t="str">
        <f>IF(ISNUMBER(deployment_raw[[#This Row],[Column12]]), (MIN(IF(N745&lt;&gt;"",N745,9999999999999)*1.1,deployment_raw[[#This Row],[Column12]] * IF($E$2="Deployment",deployment_raw[[#This Row],[Column5]],1))*(1+$P$2)),"")</f>
        <v/>
      </c>
      <c r="Q745" s="167" t="str">
        <f>IF(ISNUMBER(deployment_raw[[#This Row],[Column13]]), (MIN(IF(O745&lt;&gt;"",O745,9999999999999)*1.1,deployment_raw[[#This Row],[Column13]] * IF($E$2="Deployment",deployment_raw[[#This Row],[Column5]],1)*(1+$Q$2)/1048576)),"")</f>
        <v/>
      </c>
      <c r="R745" s="169" t="str">
        <f>IF(ISNUMBER(deployment_raw[[#This Row],[Column8]]), (H745  * IF(N745&lt;&gt;0,$R$2,1)),"")</f>
        <v/>
      </c>
      <c r="S745" s="170" t="str">
        <f>IF(ISNUMBER(deployment_raw[[#This Row],[Column8]]), (I745  * IF(O745&lt;&gt;0,$S$2,1)),"")</f>
        <v/>
      </c>
      <c r="T745" s="202" t="str">
        <f>IF(AND(A745&lt;&gt;"",_xlfn.IFNA(MATCH(A745,'dynamic resource application '!$A$2:$A$100, 0),0)&lt;&gt;0), H745/(IF($E$2="Deployment",E745,1)),"")</f>
        <v/>
      </c>
      <c r="U745" s="211" t="str">
        <f>IF(AND(A745&lt;&gt;"",_xlfn.IFNA(MATCH(A745,'dynamic resource application '!$A$2:$A$100, 0),0)&lt;&gt;0), I745/(IF($E$2="Deployment",E745,1)),"")</f>
        <v/>
      </c>
    </row>
    <row r="746" spans="1:21" ht="15.75" customHeight="1" x14ac:dyDescent="0.25">
      <c r="A746" s="35" t="str">
        <f>IF(ISNONTEXT(deployment_raw[[#This Row],[Column1]]), "", deployment_raw[[#This Row],[Column1]])</f>
        <v/>
      </c>
      <c r="B746" s="36" t="str">
        <f>IF(ISNONTEXT(deployment_raw[[#This Row],[Column2]]), "", deployment_raw[[#This Row],[Column2]])</f>
        <v/>
      </c>
      <c r="C746" s="36" t="str">
        <f>IF(ISNONTEXT(deployment_raw[[#This Row],[Column3]]), "", deployment_raw[[#This Row],[Column3]])</f>
        <v/>
      </c>
      <c r="D746" s="36" t="str">
        <f>IF(ISNONTEXT(deployment_raw[[#This Row],[Column4]]), "", deployment_raw[[#This Row],[Column4]])</f>
        <v/>
      </c>
      <c r="E746" s="37" t="str">
        <f>IF(ISNUMBER(deployment_raw[[#This Row],[Column5]]), deployment_raw[[#This Row],[Column5]],"")</f>
        <v/>
      </c>
      <c r="F746" s="94" t="str">
        <f>IF(ISNUMBER(deployment_raw[[#This Row],[Column6]]), (deployment_raw[[#This Row],[Column6]] * IF($E$2="Deployment",deployment_raw[[#This Row],[Column5]],1)),"")</f>
        <v/>
      </c>
      <c r="G746" s="95" t="str">
        <f>IF(ISNUMBER(deployment_raw[[#This Row],[Column7]]), (deployment_raw[[#This Row],[Column7]] * IF($E$2="Deployment",deployment_raw[[#This Row],[Column5]],1))/1048576,"")</f>
        <v/>
      </c>
      <c r="H746" s="95" t="str">
        <f>IF(ISNUMBER(deployment_raw[[#This Row],[Column8]]), (deployment_raw[[#This Row],[Column8]]  * IF($E$2="Deployment",deployment_raw[[#This Row],[Column5]],1)),"")</f>
        <v/>
      </c>
      <c r="I746" s="96" t="str">
        <f>IF(ISNUMBER(deployment_raw[[#This Row],[Column9]]), (deployment_raw[[#This Row],[Column9]] * IF($E$2="Deployment",deployment_raw[[#This Row],[Column5]],1))/1048576,"")</f>
        <v/>
      </c>
      <c r="J746" s="122" t="str">
        <f>IF(ISNUMBER(deployment_raw[[#This Row],[Column10]]), (MIN(IF(N746&lt;&gt;"",N746,9999999999999)*1.1,deployment_raw[[#This Row],[Column10]] * IF($E$2="Deployment",deployment_raw[[#This Row],[Column5]],1))),"")</f>
        <v/>
      </c>
      <c r="K746" s="123" t="str">
        <f>IF(ISNUMBER(deployment_raw[[#This Row],[Column11]]), (MIN(IF(O746&lt;&gt;"",O746,9999999999999)*1.1,deployment_raw[[#This Row],[Column11]] * IF($E$2="Deployment",deployment_raw[[#This Row],[Column5]],1)/1048576)),"")</f>
        <v/>
      </c>
      <c r="L746" s="124" t="str">
        <f>IF(ISNUMBER(deployment_raw[[#This Row],[Column8]]),IF(OR(deployment_raw[[#This Row],[Column5]] &lt;&gt; 0,$E$2 &lt;&gt; "Deployment"), MAX(J746, P746, R746, ($L$2 * IF($E$2="Deployment",deployment_raw[[#This Row],[Column5]],1)),IF(T746&lt;&gt;"",VALUE(T746) * IF($E$2="Deployment",deployment_raw[[#This Row],[Column5]],1),0)), 0),"")</f>
        <v/>
      </c>
      <c r="M746" s="125" t="str">
        <f>IF(ISNUMBER(deployment_raw[[#This Row],[Column9]]),IF(OR(deployment_raw[[#This Row],[Column5]] &lt;&gt; 0,$E$2&lt;&gt;"Deployment"), MAX(K746, Q746, S746, ($M$2 * IF($E$2="Deployment",deployment_raw[[#This Row],[Column5]],1)),IF(U746&lt;&gt;"",VALUE(U746) * IF($E$2="Deployment",deployment_raw[[#This Row],[Column5]],1),0)), 0),"")</f>
        <v/>
      </c>
      <c r="N746" s="166" t="str">
        <f>IF(ISNUMBER(deployment_raw[[#This Row],[Column14]]), deployment_raw[[#This Row],[Column14]]/IF(OR($E$2="Deployment",deployment_raw[[#This Row],[Column5]]=0),1,deployment_raw[[#This Row],[Column5]]),"")</f>
        <v/>
      </c>
      <c r="O746" s="167" t="str">
        <f>IF(ISNUMBER(deployment_raw[[#This Row],[Column15]]), deployment_raw[[#This Row],[Column15]]/IF(OR($E$2="Deployment",deployment_raw[[#This Row],[Column5]]=0),1,deployment_raw[[#This Row],[Column5]])/1048576,"")</f>
        <v/>
      </c>
      <c r="P746" s="168" t="str">
        <f>IF(ISNUMBER(deployment_raw[[#This Row],[Column12]]), (MIN(IF(N746&lt;&gt;"",N746,9999999999999)*1.1,deployment_raw[[#This Row],[Column12]] * IF($E$2="Deployment",deployment_raw[[#This Row],[Column5]],1))*(1+$P$2)),"")</f>
        <v/>
      </c>
      <c r="Q746" s="167" t="str">
        <f>IF(ISNUMBER(deployment_raw[[#This Row],[Column13]]), (MIN(IF(O746&lt;&gt;"",O746,9999999999999)*1.1,deployment_raw[[#This Row],[Column13]] * IF($E$2="Deployment",deployment_raw[[#This Row],[Column5]],1)*(1+$Q$2)/1048576)),"")</f>
        <v/>
      </c>
      <c r="R746" s="169" t="str">
        <f>IF(ISNUMBER(deployment_raw[[#This Row],[Column8]]), (H746  * IF(N746&lt;&gt;0,$R$2,1)),"")</f>
        <v/>
      </c>
      <c r="S746" s="170" t="str">
        <f>IF(ISNUMBER(deployment_raw[[#This Row],[Column8]]), (I746  * IF(O746&lt;&gt;0,$S$2,1)),"")</f>
        <v/>
      </c>
      <c r="T746" s="202" t="str">
        <f>IF(AND(A746&lt;&gt;"",_xlfn.IFNA(MATCH(A746,'dynamic resource application '!$A$2:$A$100, 0),0)&lt;&gt;0), H746/(IF($E$2="Deployment",E746,1)),"")</f>
        <v/>
      </c>
      <c r="U746" s="211" t="str">
        <f>IF(AND(A746&lt;&gt;"",_xlfn.IFNA(MATCH(A746,'dynamic resource application '!$A$2:$A$100, 0),0)&lt;&gt;0), I746/(IF($E$2="Deployment",E746,1)),"")</f>
        <v/>
      </c>
    </row>
    <row r="747" spans="1:21" ht="15.75" customHeight="1" x14ac:dyDescent="0.25">
      <c r="A747" s="35" t="str">
        <f>IF(ISNONTEXT(deployment_raw[[#This Row],[Column1]]), "", deployment_raw[[#This Row],[Column1]])</f>
        <v/>
      </c>
      <c r="B747" s="36" t="str">
        <f>IF(ISNONTEXT(deployment_raw[[#This Row],[Column2]]), "", deployment_raw[[#This Row],[Column2]])</f>
        <v/>
      </c>
      <c r="C747" s="36" t="str">
        <f>IF(ISNONTEXT(deployment_raw[[#This Row],[Column3]]), "", deployment_raw[[#This Row],[Column3]])</f>
        <v/>
      </c>
      <c r="D747" s="36" t="str">
        <f>IF(ISNONTEXT(deployment_raw[[#This Row],[Column4]]), "", deployment_raw[[#This Row],[Column4]])</f>
        <v/>
      </c>
      <c r="E747" s="37" t="str">
        <f>IF(ISNUMBER(deployment_raw[[#This Row],[Column5]]), deployment_raw[[#This Row],[Column5]],"")</f>
        <v/>
      </c>
      <c r="F747" s="94" t="str">
        <f>IF(ISNUMBER(deployment_raw[[#This Row],[Column6]]), (deployment_raw[[#This Row],[Column6]] * IF($E$2="Deployment",deployment_raw[[#This Row],[Column5]],1)),"")</f>
        <v/>
      </c>
      <c r="G747" s="95" t="str">
        <f>IF(ISNUMBER(deployment_raw[[#This Row],[Column7]]), (deployment_raw[[#This Row],[Column7]] * IF($E$2="Deployment",deployment_raw[[#This Row],[Column5]],1))/1048576,"")</f>
        <v/>
      </c>
      <c r="H747" s="95" t="str">
        <f>IF(ISNUMBER(deployment_raw[[#This Row],[Column8]]), (deployment_raw[[#This Row],[Column8]]  * IF($E$2="Deployment",deployment_raw[[#This Row],[Column5]],1)),"")</f>
        <v/>
      </c>
      <c r="I747" s="96" t="str">
        <f>IF(ISNUMBER(deployment_raw[[#This Row],[Column9]]), (deployment_raw[[#This Row],[Column9]] * IF($E$2="Deployment",deployment_raw[[#This Row],[Column5]],1))/1048576,"")</f>
        <v/>
      </c>
      <c r="J747" s="122" t="str">
        <f>IF(ISNUMBER(deployment_raw[[#This Row],[Column10]]), (MIN(IF(N747&lt;&gt;"",N747,9999999999999)*1.1,deployment_raw[[#This Row],[Column10]] * IF($E$2="Deployment",deployment_raw[[#This Row],[Column5]],1))),"")</f>
        <v/>
      </c>
      <c r="K747" s="123" t="str">
        <f>IF(ISNUMBER(deployment_raw[[#This Row],[Column11]]), (MIN(IF(O747&lt;&gt;"",O747,9999999999999)*1.1,deployment_raw[[#This Row],[Column11]] * IF($E$2="Deployment",deployment_raw[[#This Row],[Column5]],1)/1048576)),"")</f>
        <v/>
      </c>
      <c r="L747" s="124" t="str">
        <f>IF(ISNUMBER(deployment_raw[[#This Row],[Column8]]),IF(OR(deployment_raw[[#This Row],[Column5]] &lt;&gt; 0,$E$2 &lt;&gt; "Deployment"), MAX(J747, P747, R747, ($L$2 * IF($E$2="Deployment",deployment_raw[[#This Row],[Column5]],1)),IF(T747&lt;&gt;"",VALUE(T747) * IF($E$2="Deployment",deployment_raw[[#This Row],[Column5]],1),0)), 0),"")</f>
        <v/>
      </c>
      <c r="M747" s="125" t="str">
        <f>IF(ISNUMBER(deployment_raw[[#This Row],[Column9]]),IF(OR(deployment_raw[[#This Row],[Column5]] &lt;&gt; 0,$E$2&lt;&gt;"Deployment"), MAX(K747, Q747, S747, ($M$2 * IF($E$2="Deployment",deployment_raw[[#This Row],[Column5]],1)),IF(U747&lt;&gt;"",VALUE(U747) * IF($E$2="Deployment",deployment_raw[[#This Row],[Column5]],1),0)), 0),"")</f>
        <v/>
      </c>
      <c r="N747" s="166" t="str">
        <f>IF(ISNUMBER(deployment_raw[[#This Row],[Column14]]), deployment_raw[[#This Row],[Column14]]/IF(OR($E$2="Deployment",deployment_raw[[#This Row],[Column5]]=0),1,deployment_raw[[#This Row],[Column5]]),"")</f>
        <v/>
      </c>
      <c r="O747" s="167" t="str">
        <f>IF(ISNUMBER(deployment_raw[[#This Row],[Column15]]), deployment_raw[[#This Row],[Column15]]/IF(OR($E$2="Deployment",deployment_raw[[#This Row],[Column5]]=0),1,deployment_raw[[#This Row],[Column5]])/1048576,"")</f>
        <v/>
      </c>
      <c r="P747" s="168" t="str">
        <f>IF(ISNUMBER(deployment_raw[[#This Row],[Column12]]), (MIN(IF(N747&lt;&gt;"",N747,9999999999999)*1.1,deployment_raw[[#This Row],[Column12]] * IF($E$2="Deployment",deployment_raw[[#This Row],[Column5]],1))*(1+$P$2)),"")</f>
        <v/>
      </c>
      <c r="Q747" s="167" t="str">
        <f>IF(ISNUMBER(deployment_raw[[#This Row],[Column13]]), (MIN(IF(O747&lt;&gt;"",O747,9999999999999)*1.1,deployment_raw[[#This Row],[Column13]] * IF($E$2="Deployment",deployment_raw[[#This Row],[Column5]],1)*(1+$Q$2)/1048576)),"")</f>
        <v/>
      </c>
      <c r="R747" s="169" t="str">
        <f>IF(ISNUMBER(deployment_raw[[#This Row],[Column8]]), (H747  * IF(N747&lt;&gt;0,$R$2,1)),"")</f>
        <v/>
      </c>
      <c r="S747" s="170" t="str">
        <f>IF(ISNUMBER(deployment_raw[[#This Row],[Column8]]), (I747  * IF(O747&lt;&gt;0,$S$2,1)),"")</f>
        <v/>
      </c>
      <c r="T747" s="202" t="str">
        <f>IF(AND(A747&lt;&gt;"",_xlfn.IFNA(MATCH(A747,'dynamic resource application '!$A$2:$A$100, 0),0)&lt;&gt;0), H747/(IF($E$2="Deployment",E747,1)),"")</f>
        <v/>
      </c>
      <c r="U747" s="211" t="str">
        <f>IF(AND(A747&lt;&gt;"",_xlfn.IFNA(MATCH(A747,'dynamic resource application '!$A$2:$A$100, 0),0)&lt;&gt;0), I747/(IF($E$2="Deployment",E747,1)),"")</f>
        <v/>
      </c>
    </row>
    <row r="748" spans="1:21" ht="15.75" customHeight="1" x14ac:dyDescent="0.25">
      <c r="A748" s="35" t="str">
        <f>IF(ISNONTEXT(deployment_raw[[#This Row],[Column1]]), "", deployment_raw[[#This Row],[Column1]])</f>
        <v/>
      </c>
      <c r="B748" s="36" t="str">
        <f>IF(ISNONTEXT(deployment_raw[[#This Row],[Column2]]), "", deployment_raw[[#This Row],[Column2]])</f>
        <v/>
      </c>
      <c r="C748" s="36" t="str">
        <f>IF(ISNONTEXT(deployment_raw[[#This Row],[Column3]]), "", deployment_raw[[#This Row],[Column3]])</f>
        <v/>
      </c>
      <c r="D748" s="36" t="str">
        <f>IF(ISNONTEXT(deployment_raw[[#This Row],[Column4]]), "", deployment_raw[[#This Row],[Column4]])</f>
        <v/>
      </c>
      <c r="E748" s="37" t="str">
        <f>IF(ISNUMBER(deployment_raw[[#This Row],[Column5]]), deployment_raw[[#This Row],[Column5]],"")</f>
        <v/>
      </c>
      <c r="F748" s="94" t="str">
        <f>IF(ISNUMBER(deployment_raw[[#This Row],[Column6]]), (deployment_raw[[#This Row],[Column6]] * IF($E$2="Deployment",deployment_raw[[#This Row],[Column5]],1)),"")</f>
        <v/>
      </c>
      <c r="G748" s="95" t="str">
        <f>IF(ISNUMBER(deployment_raw[[#This Row],[Column7]]), (deployment_raw[[#This Row],[Column7]] * IF($E$2="Deployment",deployment_raw[[#This Row],[Column5]],1))/1048576,"")</f>
        <v/>
      </c>
      <c r="H748" s="95" t="str">
        <f>IF(ISNUMBER(deployment_raw[[#This Row],[Column8]]), (deployment_raw[[#This Row],[Column8]]  * IF($E$2="Deployment",deployment_raw[[#This Row],[Column5]],1)),"")</f>
        <v/>
      </c>
      <c r="I748" s="96" t="str">
        <f>IF(ISNUMBER(deployment_raw[[#This Row],[Column9]]), (deployment_raw[[#This Row],[Column9]] * IF($E$2="Deployment",deployment_raw[[#This Row],[Column5]],1))/1048576,"")</f>
        <v/>
      </c>
      <c r="J748" s="122" t="str">
        <f>IF(ISNUMBER(deployment_raw[[#This Row],[Column10]]), (MIN(IF(N748&lt;&gt;"",N748,9999999999999)*1.1,deployment_raw[[#This Row],[Column10]] * IF($E$2="Deployment",deployment_raw[[#This Row],[Column5]],1))),"")</f>
        <v/>
      </c>
      <c r="K748" s="123" t="str">
        <f>IF(ISNUMBER(deployment_raw[[#This Row],[Column11]]), (MIN(IF(O748&lt;&gt;"",O748,9999999999999)*1.1,deployment_raw[[#This Row],[Column11]] * IF($E$2="Deployment",deployment_raw[[#This Row],[Column5]],1)/1048576)),"")</f>
        <v/>
      </c>
      <c r="L748" s="124" t="str">
        <f>IF(ISNUMBER(deployment_raw[[#This Row],[Column8]]),IF(OR(deployment_raw[[#This Row],[Column5]] &lt;&gt; 0,$E$2 &lt;&gt; "Deployment"), MAX(J748, P748, R748, ($L$2 * IF($E$2="Deployment",deployment_raw[[#This Row],[Column5]],1)),IF(T748&lt;&gt;"",VALUE(T748) * IF($E$2="Deployment",deployment_raw[[#This Row],[Column5]],1),0)), 0),"")</f>
        <v/>
      </c>
      <c r="M748" s="125" t="str">
        <f>IF(ISNUMBER(deployment_raw[[#This Row],[Column9]]),IF(OR(deployment_raw[[#This Row],[Column5]] &lt;&gt; 0,$E$2&lt;&gt;"Deployment"), MAX(K748, Q748, S748, ($M$2 * IF($E$2="Deployment",deployment_raw[[#This Row],[Column5]],1)),IF(U748&lt;&gt;"",VALUE(U748) * IF($E$2="Deployment",deployment_raw[[#This Row],[Column5]],1),0)), 0),"")</f>
        <v/>
      </c>
      <c r="N748" s="166" t="str">
        <f>IF(ISNUMBER(deployment_raw[[#This Row],[Column14]]), deployment_raw[[#This Row],[Column14]]/IF(OR($E$2="Deployment",deployment_raw[[#This Row],[Column5]]=0),1,deployment_raw[[#This Row],[Column5]]),"")</f>
        <v/>
      </c>
      <c r="O748" s="167" t="str">
        <f>IF(ISNUMBER(deployment_raw[[#This Row],[Column15]]), deployment_raw[[#This Row],[Column15]]/IF(OR($E$2="Deployment",deployment_raw[[#This Row],[Column5]]=0),1,deployment_raw[[#This Row],[Column5]])/1048576,"")</f>
        <v/>
      </c>
      <c r="P748" s="168" t="str">
        <f>IF(ISNUMBER(deployment_raw[[#This Row],[Column12]]), (MIN(IF(N748&lt;&gt;"",N748,9999999999999)*1.1,deployment_raw[[#This Row],[Column12]] * IF($E$2="Deployment",deployment_raw[[#This Row],[Column5]],1))*(1+$P$2)),"")</f>
        <v/>
      </c>
      <c r="Q748" s="167" t="str">
        <f>IF(ISNUMBER(deployment_raw[[#This Row],[Column13]]), (MIN(IF(O748&lt;&gt;"",O748,9999999999999)*1.1,deployment_raw[[#This Row],[Column13]] * IF($E$2="Deployment",deployment_raw[[#This Row],[Column5]],1)*(1+$Q$2)/1048576)),"")</f>
        <v/>
      </c>
      <c r="R748" s="169" t="str">
        <f>IF(ISNUMBER(deployment_raw[[#This Row],[Column8]]), (H748  * IF(N748&lt;&gt;0,$R$2,1)),"")</f>
        <v/>
      </c>
      <c r="S748" s="170" t="str">
        <f>IF(ISNUMBER(deployment_raw[[#This Row],[Column8]]), (I748  * IF(O748&lt;&gt;0,$S$2,1)),"")</f>
        <v/>
      </c>
      <c r="T748" s="202" t="str">
        <f>IF(AND(A748&lt;&gt;"",_xlfn.IFNA(MATCH(A748,'dynamic resource application '!$A$2:$A$100, 0),0)&lt;&gt;0), H748/(IF($E$2="Deployment",E748,1)),"")</f>
        <v/>
      </c>
      <c r="U748" s="211" t="str">
        <f>IF(AND(A748&lt;&gt;"",_xlfn.IFNA(MATCH(A748,'dynamic resource application '!$A$2:$A$100, 0),0)&lt;&gt;0), I748/(IF($E$2="Deployment",E748,1)),"")</f>
        <v/>
      </c>
    </row>
    <row r="749" spans="1:21" ht="15.75" customHeight="1" x14ac:dyDescent="0.25">
      <c r="A749" s="35" t="str">
        <f>IF(ISNONTEXT(deployment_raw[[#This Row],[Column1]]), "", deployment_raw[[#This Row],[Column1]])</f>
        <v/>
      </c>
      <c r="B749" s="36" t="str">
        <f>IF(ISNONTEXT(deployment_raw[[#This Row],[Column2]]), "", deployment_raw[[#This Row],[Column2]])</f>
        <v/>
      </c>
      <c r="C749" s="36" t="str">
        <f>IF(ISNONTEXT(deployment_raw[[#This Row],[Column3]]), "", deployment_raw[[#This Row],[Column3]])</f>
        <v/>
      </c>
      <c r="D749" s="36" t="str">
        <f>IF(ISNONTEXT(deployment_raw[[#This Row],[Column4]]), "", deployment_raw[[#This Row],[Column4]])</f>
        <v/>
      </c>
      <c r="E749" s="37" t="str">
        <f>IF(ISNUMBER(deployment_raw[[#This Row],[Column5]]), deployment_raw[[#This Row],[Column5]],"")</f>
        <v/>
      </c>
      <c r="F749" s="94" t="str">
        <f>IF(ISNUMBER(deployment_raw[[#This Row],[Column6]]), (deployment_raw[[#This Row],[Column6]] * IF($E$2="Deployment",deployment_raw[[#This Row],[Column5]],1)),"")</f>
        <v/>
      </c>
      <c r="G749" s="95" t="str">
        <f>IF(ISNUMBER(deployment_raw[[#This Row],[Column7]]), (deployment_raw[[#This Row],[Column7]] * IF($E$2="Deployment",deployment_raw[[#This Row],[Column5]],1))/1048576,"")</f>
        <v/>
      </c>
      <c r="H749" s="95" t="str">
        <f>IF(ISNUMBER(deployment_raw[[#This Row],[Column8]]), (deployment_raw[[#This Row],[Column8]]  * IF($E$2="Deployment",deployment_raw[[#This Row],[Column5]],1)),"")</f>
        <v/>
      </c>
      <c r="I749" s="96" t="str">
        <f>IF(ISNUMBER(deployment_raw[[#This Row],[Column9]]), (deployment_raw[[#This Row],[Column9]] * IF($E$2="Deployment",deployment_raw[[#This Row],[Column5]],1))/1048576,"")</f>
        <v/>
      </c>
      <c r="J749" s="122" t="str">
        <f>IF(ISNUMBER(deployment_raw[[#This Row],[Column10]]), (MIN(IF(N749&lt;&gt;"",N749,9999999999999)*1.1,deployment_raw[[#This Row],[Column10]] * IF($E$2="Deployment",deployment_raw[[#This Row],[Column5]],1))),"")</f>
        <v/>
      </c>
      <c r="K749" s="123" t="str">
        <f>IF(ISNUMBER(deployment_raw[[#This Row],[Column11]]), (MIN(IF(O749&lt;&gt;"",O749,9999999999999)*1.1,deployment_raw[[#This Row],[Column11]] * IF($E$2="Deployment",deployment_raw[[#This Row],[Column5]],1)/1048576)),"")</f>
        <v/>
      </c>
      <c r="L749" s="124" t="str">
        <f>IF(ISNUMBER(deployment_raw[[#This Row],[Column8]]),IF(OR(deployment_raw[[#This Row],[Column5]] &lt;&gt; 0,$E$2 &lt;&gt; "Deployment"), MAX(J749, P749, R749, ($L$2 * IF($E$2="Deployment",deployment_raw[[#This Row],[Column5]],1)),IF(T749&lt;&gt;"",VALUE(T749) * IF($E$2="Deployment",deployment_raw[[#This Row],[Column5]],1),0)), 0),"")</f>
        <v/>
      </c>
      <c r="M749" s="125" t="str">
        <f>IF(ISNUMBER(deployment_raw[[#This Row],[Column9]]),IF(OR(deployment_raw[[#This Row],[Column5]] &lt;&gt; 0,$E$2&lt;&gt;"Deployment"), MAX(K749, Q749, S749, ($M$2 * IF($E$2="Deployment",deployment_raw[[#This Row],[Column5]],1)),IF(U749&lt;&gt;"",VALUE(U749) * IF($E$2="Deployment",deployment_raw[[#This Row],[Column5]],1),0)), 0),"")</f>
        <v/>
      </c>
      <c r="N749" s="166" t="str">
        <f>IF(ISNUMBER(deployment_raw[[#This Row],[Column14]]), deployment_raw[[#This Row],[Column14]]/IF(OR($E$2="Deployment",deployment_raw[[#This Row],[Column5]]=0),1,deployment_raw[[#This Row],[Column5]]),"")</f>
        <v/>
      </c>
      <c r="O749" s="167" t="str">
        <f>IF(ISNUMBER(deployment_raw[[#This Row],[Column15]]), deployment_raw[[#This Row],[Column15]]/IF(OR($E$2="Deployment",deployment_raw[[#This Row],[Column5]]=0),1,deployment_raw[[#This Row],[Column5]])/1048576,"")</f>
        <v/>
      </c>
      <c r="P749" s="168" t="str">
        <f>IF(ISNUMBER(deployment_raw[[#This Row],[Column12]]), (MIN(IF(N749&lt;&gt;"",N749,9999999999999)*1.1,deployment_raw[[#This Row],[Column12]] * IF($E$2="Deployment",deployment_raw[[#This Row],[Column5]],1))*(1+$P$2)),"")</f>
        <v/>
      </c>
      <c r="Q749" s="167" t="str">
        <f>IF(ISNUMBER(deployment_raw[[#This Row],[Column13]]), (MIN(IF(O749&lt;&gt;"",O749,9999999999999)*1.1,deployment_raw[[#This Row],[Column13]] * IF($E$2="Deployment",deployment_raw[[#This Row],[Column5]],1)*(1+$Q$2)/1048576)),"")</f>
        <v/>
      </c>
      <c r="R749" s="169" t="str">
        <f>IF(ISNUMBER(deployment_raw[[#This Row],[Column8]]), (H749  * IF(N749&lt;&gt;0,$R$2,1)),"")</f>
        <v/>
      </c>
      <c r="S749" s="170" t="str">
        <f>IF(ISNUMBER(deployment_raw[[#This Row],[Column8]]), (I749  * IF(O749&lt;&gt;0,$S$2,1)),"")</f>
        <v/>
      </c>
      <c r="T749" s="202" t="str">
        <f>IF(AND(A749&lt;&gt;"",_xlfn.IFNA(MATCH(A749,'dynamic resource application '!$A$2:$A$100, 0),0)&lt;&gt;0), H749/(IF($E$2="Deployment",E749,1)),"")</f>
        <v/>
      </c>
      <c r="U749" s="211" t="str">
        <f>IF(AND(A749&lt;&gt;"",_xlfn.IFNA(MATCH(A749,'dynamic resource application '!$A$2:$A$100, 0),0)&lt;&gt;0), I749/(IF($E$2="Deployment",E749,1)),"")</f>
        <v/>
      </c>
    </row>
    <row r="750" spans="1:21" ht="15.75" customHeight="1" x14ac:dyDescent="0.25">
      <c r="A750" s="35" t="str">
        <f>IF(ISNONTEXT(deployment_raw[[#This Row],[Column1]]), "", deployment_raw[[#This Row],[Column1]])</f>
        <v/>
      </c>
      <c r="B750" s="36" t="str">
        <f>IF(ISNONTEXT(deployment_raw[[#This Row],[Column2]]), "", deployment_raw[[#This Row],[Column2]])</f>
        <v/>
      </c>
      <c r="C750" s="36" t="str">
        <f>IF(ISNONTEXT(deployment_raw[[#This Row],[Column3]]), "", deployment_raw[[#This Row],[Column3]])</f>
        <v/>
      </c>
      <c r="D750" s="36" t="str">
        <f>IF(ISNONTEXT(deployment_raw[[#This Row],[Column4]]), "", deployment_raw[[#This Row],[Column4]])</f>
        <v/>
      </c>
      <c r="E750" s="37" t="str">
        <f>IF(ISNUMBER(deployment_raw[[#This Row],[Column5]]), deployment_raw[[#This Row],[Column5]],"")</f>
        <v/>
      </c>
      <c r="F750" s="94" t="str">
        <f>IF(ISNUMBER(deployment_raw[[#This Row],[Column6]]), (deployment_raw[[#This Row],[Column6]] * IF($E$2="Deployment",deployment_raw[[#This Row],[Column5]],1)),"")</f>
        <v/>
      </c>
      <c r="G750" s="95" t="str">
        <f>IF(ISNUMBER(deployment_raw[[#This Row],[Column7]]), (deployment_raw[[#This Row],[Column7]] * IF($E$2="Deployment",deployment_raw[[#This Row],[Column5]],1))/1048576,"")</f>
        <v/>
      </c>
      <c r="H750" s="95" t="str">
        <f>IF(ISNUMBER(deployment_raw[[#This Row],[Column8]]), (deployment_raw[[#This Row],[Column8]]  * IF($E$2="Deployment",deployment_raw[[#This Row],[Column5]],1)),"")</f>
        <v/>
      </c>
      <c r="I750" s="96" t="str">
        <f>IF(ISNUMBER(deployment_raw[[#This Row],[Column9]]), (deployment_raw[[#This Row],[Column9]] * IF($E$2="Deployment",deployment_raw[[#This Row],[Column5]],1))/1048576,"")</f>
        <v/>
      </c>
      <c r="J750" s="122" t="str">
        <f>IF(ISNUMBER(deployment_raw[[#This Row],[Column10]]), (MIN(IF(N750&lt;&gt;"",N750,9999999999999)*1.1,deployment_raw[[#This Row],[Column10]] * IF($E$2="Deployment",deployment_raw[[#This Row],[Column5]],1))),"")</f>
        <v/>
      </c>
      <c r="K750" s="123" t="str">
        <f>IF(ISNUMBER(deployment_raw[[#This Row],[Column11]]), (MIN(IF(O750&lt;&gt;"",O750,9999999999999)*1.1,deployment_raw[[#This Row],[Column11]] * IF($E$2="Deployment",deployment_raw[[#This Row],[Column5]],1)/1048576)),"")</f>
        <v/>
      </c>
      <c r="L750" s="124" t="str">
        <f>IF(ISNUMBER(deployment_raw[[#This Row],[Column8]]),IF(OR(deployment_raw[[#This Row],[Column5]] &lt;&gt; 0,$E$2 &lt;&gt; "Deployment"), MAX(J750, P750, R750, ($L$2 * IF($E$2="Deployment",deployment_raw[[#This Row],[Column5]],1)),IF(T750&lt;&gt;"",VALUE(T750) * IF($E$2="Deployment",deployment_raw[[#This Row],[Column5]],1),0)), 0),"")</f>
        <v/>
      </c>
      <c r="M750" s="125" t="str">
        <f>IF(ISNUMBER(deployment_raw[[#This Row],[Column9]]),IF(OR(deployment_raw[[#This Row],[Column5]] &lt;&gt; 0,$E$2&lt;&gt;"Deployment"), MAX(K750, Q750, S750, ($M$2 * IF($E$2="Deployment",deployment_raw[[#This Row],[Column5]],1)),IF(U750&lt;&gt;"",VALUE(U750) * IF($E$2="Deployment",deployment_raw[[#This Row],[Column5]],1),0)), 0),"")</f>
        <v/>
      </c>
      <c r="N750" s="166" t="str">
        <f>IF(ISNUMBER(deployment_raw[[#This Row],[Column14]]), deployment_raw[[#This Row],[Column14]]/IF(OR($E$2="Deployment",deployment_raw[[#This Row],[Column5]]=0),1,deployment_raw[[#This Row],[Column5]]),"")</f>
        <v/>
      </c>
      <c r="O750" s="167" t="str">
        <f>IF(ISNUMBER(deployment_raw[[#This Row],[Column15]]), deployment_raw[[#This Row],[Column15]]/IF(OR($E$2="Deployment",deployment_raw[[#This Row],[Column5]]=0),1,deployment_raw[[#This Row],[Column5]])/1048576,"")</f>
        <v/>
      </c>
      <c r="P750" s="168" t="str">
        <f>IF(ISNUMBER(deployment_raw[[#This Row],[Column12]]), (MIN(IF(N750&lt;&gt;"",N750,9999999999999)*1.1,deployment_raw[[#This Row],[Column12]] * IF($E$2="Deployment",deployment_raw[[#This Row],[Column5]],1))*(1+$P$2)),"")</f>
        <v/>
      </c>
      <c r="Q750" s="167" t="str">
        <f>IF(ISNUMBER(deployment_raw[[#This Row],[Column13]]), (MIN(IF(O750&lt;&gt;"",O750,9999999999999)*1.1,deployment_raw[[#This Row],[Column13]] * IF($E$2="Deployment",deployment_raw[[#This Row],[Column5]],1)*(1+$Q$2)/1048576)),"")</f>
        <v/>
      </c>
      <c r="R750" s="169" t="str">
        <f>IF(ISNUMBER(deployment_raw[[#This Row],[Column8]]), (H750  * IF(N750&lt;&gt;0,$R$2,1)),"")</f>
        <v/>
      </c>
      <c r="S750" s="170" t="str">
        <f>IF(ISNUMBER(deployment_raw[[#This Row],[Column8]]), (I750  * IF(O750&lt;&gt;0,$S$2,1)),"")</f>
        <v/>
      </c>
      <c r="T750" s="202" t="str">
        <f>IF(AND(A750&lt;&gt;"",_xlfn.IFNA(MATCH(A750,'dynamic resource application '!$A$2:$A$100, 0),0)&lt;&gt;0), H750/(IF($E$2="Deployment",E750,1)),"")</f>
        <v/>
      </c>
      <c r="U750" s="211" t="str">
        <f>IF(AND(A750&lt;&gt;"",_xlfn.IFNA(MATCH(A750,'dynamic resource application '!$A$2:$A$100, 0),0)&lt;&gt;0), I750/(IF($E$2="Deployment",E750,1)),"")</f>
        <v/>
      </c>
    </row>
    <row r="751" spans="1:21" ht="15.75" customHeight="1" x14ac:dyDescent="0.25">
      <c r="A751" s="35" t="str">
        <f>IF(ISNONTEXT(deployment_raw[[#This Row],[Column1]]), "", deployment_raw[[#This Row],[Column1]])</f>
        <v/>
      </c>
      <c r="B751" s="36" t="str">
        <f>IF(ISNONTEXT(deployment_raw[[#This Row],[Column2]]), "", deployment_raw[[#This Row],[Column2]])</f>
        <v/>
      </c>
      <c r="C751" s="36" t="str">
        <f>IF(ISNONTEXT(deployment_raw[[#This Row],[Column3]]), "", deployment_raw[[#This Row],[Column3]])</f>
        <v/>
      </c>
      <c r="D751" s="36" t="str">
        <f>IF(ISNONTEXT(deployment_raw[[#This Row],[Column4]]), "", deployment_raw[[#This Row],[Column4]])</f>
        <v/>
      </c>
      <c r="E751" s="37" t="str">
        <f>IF(ISNUMBER(deployment_raw[[#This Row],[Column5]]), deployment_raw[[#This Row],[Column5]],"")</f>
        <v/>
      </c>
      <c r="F751" s="94" t="str">
        <f>IF(ISNUMBER(deployment_raw[[#This Row],[Column6]]), (deployment_raw[[#This Row],[Column6]] * IF($E$2="Deployment",deployment_raw[[#This Row],[Column5]],1)),"")</f>
        <v/>
      </c>
      <c r="G751" s="95" t="str">
        <f>IF(ISNUMBER(deployment_raw[[#This Row],[Column7]]), (deployment_raw[[#This Row],[Column7]] * IF($E$2="Deployment",deployment_raw[[#This Row],[Column5]],1))/1048576,"")</f>
        <v/>
      </c>
      <c r="H751" s="95" t="str">
        <f>IF(ISNUMBER(deployment_raw[[#This Row],[Column8]]), (deployment_raw[[#This Row],[Column8]]  * IF($E$2="Deployment",deployment_raw[[#This Row],[Column5]],1)),"")</f>
        <v/>
      </c>
      <c r="I751" s="96" t="str">
        <f>IF(ISNUMBER(deployment_raw[[#This Row],[Column9]]), (deployment_raw[[#This Row],[Column9]] * IF($E$2="Deployment",deployment_raw[[#This Row],[Column5]],1))/1048576,"")</f>
        <v/>
      </c>
      <c r="J751" s="122" t="str">
        <f>IF(ISNUMBER(deployment_raw[[#This Row],[Column10]]), (MIN(IF(N751&lt;&gt;"",N751,9999999999999)*1.1,deployment_raw[[#This Row],[Column10]] * IF($E$2="Deployment",deployment_raw[[#This Row],[Column5]],1))),"")</f>
        <v/>
      </c>
      <c r="K751" s="123" t="str">
        <f>IF(ISNUMBER(deployment_raw[[#This Row],[Column11]]), (MIN(IF(O751&lt;&gt;"",O751,9999999999999)*1.1,deployment_raw[[#This Row],[Column11]] * IF($E$2="Deployment",deployment_raw[[#This Row],[Column5]],1)/1048576)),"")</f>
        <v/>
      </c>
      <c r="L751" s="124" t="str">
        <f>IF(ISNUMBER(deployment_raw[[#This Row],[Column8]]),IF(OR(deployment_raw[[#This Row],[Column5]] &lt;&gt; 0,$E$2 &lt;&gt; "Deployment"), MAX(J751, P751, R751, ($L$2 * IF($E$2="Deployment",deployment_raw[[#This Row],[Column5]],1)),IF(T751&lt;&gt;"",VALUE(T751) * IF($E$2="Deployment",deployment_raw[[#This Row],[Column5]],1),0)), 0),"")</f>
        <v/>
      </c>
      <c r="M751" s="125" t="str">
        <f>IF(ISNUMBER(deployment_raw[[#This Row],[Column9]]),IF(OR(deployment_raw[[#This Row],[Column5]] &lt;&gt; 0,$E$2&lt;&gt;"Deployment"), MAX(K751, Q751, S751, ($M$2 * IF($E$2="Deployment",deployment_raw[[#This Row],[Column5]],1)),IF(U751&lt;&gt;"",VALUE(U751) * IF($E$2="Deployment",deployment_raw[[#This Row],[Column5]],1),0)), 0),"")</f>
        <v/>
      </c>
      <c r="N751" s="166" t="str">
        <f>IF(ISNUMBER(deployment_raw[[#This Row],[Column14]]), deployment_raw[[#This Row],[Column14]]/IF(OR($E$2="Deployment",deployment_raw[[#This Row],[Column5]]=0),1,deployment_raw[[#This Row],[Column5]]),"")</f>
        <v/>
      </c>
      <c r="O751" s="167" t="str">
        <f>IF(ISNUMBER(deployment_raw[[#This Row],[Column15]]), deployment_raw[[#This Row],[Column15]]/IF(OR($E$2="Deployment",deployment_raw[[#This Row],[Column5]]=0),1,deployment_raw[[#This Row],[Column5]])/1048576,"")</f>
        <v/>
      </c>
      <c r="P751" s="168" t="str">
        <f>IF(ISNUMBER(deployment_raw[[#This Row],[Column12]]), (MIN(IF(N751&lt;&gt;"",N751,9999999999999)*1.1,deployment_raw[[#This Row],[Column12]] * IF($E$2="Deployment",deployment_raw[[#This Row],[Column5]],1))*(1+$P$2)),"")</f>
        <v/>
      </c>
      <c r="Q751" s="167" t="str">
        <f>IF(ISNUMBER(deployment_raw[[#This Row],[Column13]]), (MIN(IF(O751&lt;&gt;"",O751,9999999999999)*1.1,deployment_raw[[#This Row],[Column13]] * IF($E$2="Deployment",deployment_raw[[#This Row],[Column5]],1)*(1+$Q$2)/1048576)),"")</f>
        <v/>
      </c>
      <c r="R751" s="169" t="str">
        <f>IF(ISNUMBER(deployment_raw[[#This Row],[Column8]]), (H751  * IF(N751&lt;&gt;0,$R$2,1)),"")</f>
        <v/>
      </c>
      <c r="S751" s="170" t="str">
        <f>IF(ISNUMBER(deployment_raw[[#This Row],[Column8]]), (I751  * IF(O751&lt;&gt;0,$S$2,1)),"")</f>
        <v/>
      </c>
      <c r="T751" s="202" t="str">
        <f>IF(AND(A751&lt;&gt;"",_xlfn.IFNA(MATCH(A751,'dynamic resource application '!$A$2:$A$100, 0),0)&lt;&gt;0), H751/(IF($E$2="Deployment",E751,1)),"")</f>
        <v/>
      </c>
      <c r="U751" s="211" t="str">
        <f>IF(AND(A751&lt;&gt;"",_xlfn.IFNA(MATCH(A751,'dynamic resource application '!$A$2:$A$100, 0),0)&lt;&gt;0), I751/(IF($E$2="Deployment",E751,1)),"")</f>
        <v/>
      </c>
    </row>
    <row r="752" spans="1:21" ht="15.75" customHeight="1" x14ac:dyDescent="0.25">
      <c r="A752" s="35" t="str">
        <f>IF(ISNONTEXT(deployment_raw[[#This Row],[Column1]]), "", deployment_raw[[#This Row],[Column1]])</f>
        <v/>
      </c>
      <c r="B752" s="36" t="str">
        <f>IF(ISNONTEXT(deployment_raw[[#This Row],[Column2]]), "", deployment_raw[[#This Row],[Column2]])</f>
        <v/>
      </c>
      <c r="C752" s="36" t="str">
        <f>IF(ISNONTEXT(deployment_raw[[#This Row],[Column3]]), "", deployment_raw[[#This Row],[Column3]])</f>
        <v/>
      </c>
      <c r="D752" s="36" t="str">
        <f>IF(ISNONTEXT(deployment_raw[[#This Row],[Column4]]), "", deployment_raw[[#This Row],[Column4]])</f>
        <v/>
      </c>
      <c r="E752" s="37" t="str">
        <f>IF(ISNUMBER(deployment_raw[[#This Row],[Column5]]), deployment_raw[[#This Row],[Column5]],"")</f>
        <v/>
      </c>
      <c r="F752" s="94" t="str">
        <f>IF(ISNUMBER(deployment_raw[[#This Row],[Column6]]), (deployment_raw[[#This Row],[Column6]] * IF($E$2="Deployment",deployment_raw[[#This Row],[Column5]],1)),"")</f>
        <v/>
      </c>
      <c r="G752" s="95" t="str">
        <f>IF(ISNUMBER(deployment_raw[[#This Row],[Column7]]), (deployment_raw[[#This Row],[Column7]] * IF($E$2="Deployment",deployment_raw[[#This Row],[Column5]],1))/1048576,"")</f>
        <v/>
      </c>
      <c r="H752" s="95" t="str">
        <f>IF(ISNUMBER(deployment_raw[[#This Row],[Column8]]), (deployment_raw[[#This Row],[Column8]]  * IF($E$2="Deployment",deployment_raw[[#This Row],[Column5]],1)),"")</f>
        <v/>
      </c>
      <c r="I752" s="96" t="str">
        <f>IF(ISNUMBER(deployment_raw[[#This Row],[Column9]]), (deployment_raw[[#This Row],[Column9]] * IF($E$2="Deployment",deployment_raw[[#This Row],[Column5]],1))/1048576,"")</f>
        <v/>
      </c>
      <c r="J752" s="122" t="str">
        <f>IF(ISNUMBER(deployment_raw[[#This Row],[Column10]]), (MIN(IF(N752&lt;&gt;"",N752,9999999999999)*1.1,deployment_raw[[#This Row],[Column10]] * IF($E$2="Deployment",deployment_raw[[#This Row],[Column5]],1))),"")</f>
        <v/>
      </c>
      <c r="K752" s="123" t="str">
        <f>IF(ISNUMBER(deployment_raw[[#This Row],[Column11]]), (MIN(IF(O752&lt;&gt;"",O752,9999999999999)*1.1,deployment_raw[[#This Row],[Column11]] * IF($E$2="Deployment",deployment_raw[[#This Row],[Column5]],1)/1048576)),"")</f>
        <v/>
      </c>
      <c r="L752" s="124" t="str">
        <f>IF(ISNUMBER(deployment_raw[[#This Row],[Column8]]),IF(OR(deployment_raw[[#This Row],[Column5]] &lt;&gt; 0,$E$2 &lt;&gt; "Deployment"), MAX(J752, P752, R752, ($L$2 * IF($E$2="Deployment",deployment_raw[[#This Row],[Column5]],1)),IF(T752&lt;&gt;"",VALUE(T752) * IF($E$2="Deployment",deployment_raw[[#This Row],[Column5]],1),0)), 0),"")</f>
        <v/>
      </c>
      <c r="M752" s="125" t="str">
        <f>IF(ISNUMBER(deployment_raw[[#This Row],[Column9]]),IF(OR(deployment_raw[[#This Row],[Column5]] &lt;&gt; 0,$E$2&lt;&gt;"Deployment"), MAX(K752, Q752, S752, ($M$2 * IF($E$2="Deployment",deployment_raw[[#This Row],[Column5]],1)),IF(U752&lt;&gt;"",VALUE(U752) * IF($E$2="Deployment",deployment_raw[[#This Row],[Column5]],1),0)), 0),"")</f>
        <v/>
      </c>
      <c r="N752" s="166" t="str">
        <f>IF(ISNUMBER(deployment_raw[[#This Row],[Column14]]), deployment_raw[[#This Row],[Column14]]/IF(OR($E$2="Deployment",deployment_raw[[#This Row],[Column5]]=0),1,deployment_raw[[#This Row],[Column5]]),"")</f>
        <v/>
      </c>
      <c r="O752" s="167" t="str">
        <f>IF(ISNUMBER(deployment_raw[[#This Row],[Column15]]), deployment_raw[[#This Row],[Column15]]/IF(OR($E$2="Deployment",deployment_raw[[#This Row],[Column5]]=0),1,deployment_raw[[#This Row],[Column5]])/1048576,"")</f>
        <v/>
      </c>
      <c r="P752" s="168" t="str">
        <f>IF(ISNUMBER(deployment_raw[[#This Row],[Column12]]), (MIN(IF(N752&lt;&gt;"",N752,9999999999999)*1.1,deployment_raw[[#This Row],[Column12]] * IF($E$2="Deployment",deployment_raw[[#This Row],[Column5]],1))*(1+$P$2)),"")</f>
        <v/>
      </c>
      <c r="Q752" s="167" t="str">
        <f>IF(ISNUMBER(deployment_raw[[#This Row],[Column13]]), (MIN(IF(O752&lt;&gt;"",O752,9999999999999)*1.1,deployment_raw[[#This Row],[Column13]] * IF($E$2="Deployment",deployment_raw[[#This Row],[Column5]],1)*(1+$Q$2)/1048576)),"")</f>
        <v/>
      </c>
      <c r="R752" s="169" t="str">
        <f>IF(ISNUMBER(deployment_raw[[#This Row],[Column8]]), (H752  * IF(N752&lt;&gt;0,$R$2,1)),"")</f>
        <v/>
      </c>
      <c r="S752" s="170" t="str">
        <f>IF(ISNUMBER(deployment_raw[[#This Row],[Column8]]), (I752  * IF(O752&lt;&gt;0,$S$2,1)),"")</f>
        <v/>
      </c>
      <c r="T752" s="202" t="str">
        <f>IF(AND(A752&lt;&gt;"",_xlfn.IFNA(MATCH(A752,'dynamic resource application '!$A$2:$A$100, 0),0)&lt;&gt;0), H752/(IF($E$2="Deployment",E752,1)),"")</f>
        <v/>
      </c>
      <c r="U752" s="211" t="str">
        <f>IF(AND(A752&lt;&gt;"",_xlfn.IFNA(MATCH(A752,'dynamic resource application '!$A$2:$A$100, 0),0)&lt;&gt;0), I752/(IF($E$2="Deployment",E752,1)),"")</f>
        <v/>
      </c>
    </row>
    <row r="753" spans="1:21" ht="15.75" customHeight="1" x14ac:dyDescent="0.25">
      <c r="A753" s="35" t="str">
        <f>IF(ISNONTEXT(deployment_raw[[#This Row],[Column1]]), "", deployment_raw[[#This Row],[Column1]])</f>
        <v/>
      </c>
      <c r="B753" s="36" t="str">
        <f>IF(ISNONTEXT(deployment_raw[[#This Row],[Column2]]), "", deployment_raw[[#This Row],[Column2]])</f>
        <v/>
      </c>
      <c r="C753" s="36" t="str">
        <f>IF(ISNONTEXT(deployment_raw[[#This Row],[Column3]]), "", deployment_raw[[#This Row],[Column3]])</f>
        <v/>
      </c>
      <c r="D753" s="36" t="str">
        <f>IF(ISNONTEXT(deployment_raw[[#This Row],[Column4]]), "", deployment_raw[[#This Row],[Column4]])</f>
        <v/>
      </c>
      <c r="E753" s="37" t="str">
        <f>IF(ISNUMBER(deployment_raw[[#This Row],[Column5]]), deployment_raw[[#This Row],[Column5]],"")</f>
        <v/>
      </c>
      <c r="F753" s="94" t="str">
        <f>IF(ISNUMBER(deployment_raw[[#This Row],[Column6]]), (deployment_raw[[#This Row],[Column6]] * IF($E$2="Deployment",deployment_raw[[#This Row],[Column5]],1)),"")</f>
        <v/>
      </c>
      <c r="G753" s="95" t="str">
        <f>IF(ISNUMBER(deployment_raw[[#This Row],[Column7]]), (deployment_raw[[#This Row],[Column7]] * IF($E$2="Deployment",deployment_raw[[#This Row],[Column5]],1))/1048576,"")</f>
        <v/>
      </c>
      <c r="H753" s="95" t="str">
        <f>IF(ISNUMBER(deployment_raw[[#This Row],[Column8]]), (deployment_raw[[#This Row],[Column8]]  * IF($E$2="Deployment",deployment_raw[[#This Row],[Column5]],1)),"")</f>
        <v/>
      </c>
      <c r="I753" s="96" t="str">
        <f>IF(ISNUMBER(deployment_raw[[#This Row],[Column9]]), (deployment_raw[[#This Row],[Column9]] * IF($E$2="Deployment",deployment_raw[[#This Row],[Column5]],1))/1048576,"")</f>
        <v/>
      </c>
      <c r="J753" s="122" t="str">
        <f>IF(ISNUMBER(deployment_raw[[#This Row],[Column10]]), (MIN(IF(N753&lt;&gt;"",N753,9999999999999)*1.1,deployment_raw[[#This Row],[Column10]] * IF($E$2="Deployment",deployment_raw[[#This Row],[Column5]],1))),"")</f>
        <v/>
      </c>
      <c r="K753" s="123" t="str">
        <f>IF(ISNUMBER(deployment_raw[[#This Row],[Column11]]), (MIN(IF(O753&lt;&gt;"",O753,9999999999999)*1.1,deployment_raw[[#This Row],[Column11]] * IF($E$2="Deployment",deployment_raw[[#This Row],[Column5]],1)/1048576)),"")</f>
        <v/>
      </c>
      <c r="L753" s="124" t="str">
        <f>IF(ISNUMBER(deployment_raw[[#This Row],[Column8]]),IF(OR(deployment_raw[[#This Row],[Column5]] &lt;&gt; 0,$E$2 &lt;&gt; "Deployment"), MAX(J753, P753, R753, ($L$2 * IF($E$2="Deployment",deployment_raw[[#This Row],[Column5]],1)),IF(T753&lt;&gt;"",VALUE(T753) * IF($E$2="Deployment",deployment_raw[[#This Row],[Column5]],1),0)), 0),"")</f>
        <v/>
      </c>
      <c r="M753" s="125" t="str">
        <f>IF(ISNUMBER(deployment_raw[[#This Row],[Column9]]),IF(OR(deployment_raw[[#This Row],[Column5]] &lt;&gt; 0,$E$2&lt;&gt;"Deployment"), MAX(K753, Q753, S753, ($M$2 * IF($E$2="Deployment",deployment_raw[[#This Row],[Column5]],1)),IF(U753&lt;&gt;"",VALUE(U753) * IF($E$2="Deployment",deployment_raw[[#This Row],[Column5]],1),0)), 0),"")</f>
        <v/>
      </c>
      <c r="N753" s="166" t="str">
        <f>IF(ISNUMBER(deployment_raw[[#This Row],[Column14]]), deployment_raw[[#This Row],[Column14]]/IF(OR($E$2="Deployment",deployment_raw[[#This Row],[Column5]]=0),1,deployment_raw[[#This Row],[Column5]]),"")</f>
        <v/>
      </c>
      <c r="O753" s="167" t="str">
        <f>IF(ISNUMBER(deployment_raw[[#This Row],[Column15]]), deployment_raw[[#This Row],[Column15]]/IF(OR($E$2="Deployment",deployment_raw[[#This Row],[Column5]]=0),1,deployment_raw[[#This Row],[Column5]])/1048576,"")</f>
        <v/>
      </c>
      <c r="P753" s="168" t="str">
        <f>IF(ISNUMBER(deployment_raw[[#This Row],[Column12]]), (MIN(IF(N753&lt;&gt;"",N753,9999999999999)*1.1,deployment_raw[[#This Row],[Column12]] * IF($E$2="Deployment",deployment_raw[[#This Row],[Column5]],1))*(1+$P$2)),"")</f>
        <v/>
      </c>
      <c r="Q753" s="167" t="str">
        <f>IF(ISNUMBER(deployment_raw[[#This Row],[Column13]]), (MIN(IF(O753&lt;&gt;"",O753,9999999999999)*1.1,deployment_raw[[#This Row],[Column13]] * IF($E$2="Deployment",deployment_raw[[#This Row],[Column5]],1)*(1+$Q$2)/1048576)),"")</f>
        <v/>
      </c>
      <c r="R753" s="169" t="str">
        <f>IF(ISNUMBER(deployment_raw[[#This Row],[Column8]]), (H753  * IF(N753&lt;&gt;0,$R$2,1)),"")</f>
        <v/>
      </c>
      <c r="S753" s="170" t="str">
        <f>IF(ISNUMBER(deployment_raw[[#This Row],[Column8]]), (I753  * IF(O753&lt;&gt;0,$S$2,1)),"")</f>
        <v/>
      </c>
      <c r="T753" s="202" t="str">
        <f>IF(AND(A753&lt;&gt;"",_xlfn.IFNA(MATCH(A753,'dynamic resource application '!$A$2:$A$100, 0),0)&lt;&gt;0), H753/(IF($E$2="Deployment",E753,1)),"")</f>
        <v/>
      </c>
      <c r="U753" s="211" t="str">
        <f>IF(AND(A753&lt;&gt;"",_xlfn.IFNA(MATCH(A753,'dynamic resource application '!$A$2:$A$100, 0),0)&lt;&gt;0), I753/(IF($E$2="Deployment",E753,1)),"")</f>
        <v/>
      </c>
    </row>
    <row r="754" spans="1:21" ht="15.75" customHeight="1" x14ac:dyDescent="0.25">
      <c r="A754" s="35" t="str">
        <f>IF(ISNONTEXT(deployment_raw[[#This Row],[Column1]]), "", deployment_raw[[#This Row],[Column1]])</f>
        <v/>
      </c>
      <c r="B754" s="36" t="str">
        <f>IF(ISNONTEXT(deployment_raw[[#This Row],[Column2]]), "", deployment_raw[[#This Row],[Column2]])</f>
        <v/>
      </c>
      <c r="C754" s="36" t="str">
        <f>IF(ISNONTEXT(deployment_raw[[#This Row],[Column3]]), "", deployment_raw[[#This Row],[Column3]])</f>
        <v/>
      </c>
      <c r="D754" s="36" t="str">
        <f>IF(ISNONTEXT(deployment_raw[[#This Row],[Column4]]), "", deployment_raw[[#This Row],[Column4]])</f>
        <v/>
      </c>
      <c r="E754" s="37" t="str">
        <f>IF(ISNUMBER(deployment_raw[[#This Row],[Column5]]), deployment_raw[[#This Row],[Column5]],"")</f>
        <v/>
      </c>
      <c r="F754" s="94" t="str">
        <f>IF(ISNUMBER(deployment_raw[[#This Row],[Column6]]), (deployment_raw[[#This Row],[Column6]] * IF($E$2="Deployment",deployment_raw[[#This Row],[Column5]],1)),"")</f>
        <v/>
      </c>
      <c r="G754" s="95" t="str">
        <f>IF(ISNUMBER(deployment_raw[[#This Row],[Column7]]), (deployment_raw[[#This Row],[Column7]] * IF($E$2="Deployment",deployment_raw[[#This Row],[Column5]],1))/1048576,"")</f>
        <v/>
      </c>
      <c r="H754" s="95" t="str">
        <f>IF(ISNUMBER(deployment_raw[[#This Row],[Column8]]), (deployment_raw[[#This Row],[Column8]]  * IF($E$2="Deployment",deployment_raw[[#This Row],[Column5]],1)),"")</f>
        <v/>
      </c>
      <c r="I754" s="96" t="str">
        <f>IF(ISNUMBER(deployment_raw[[#This Row],[Column9]]), (deployment_raw[[#This Row],[Column9]] * IF($E$2="Deployment",deployment_raw[[#This Row],[Column5]],1))/1048576,"")</f>
        <v/>
      </c>
      <c r="J754" s="122" t="str">
        <f>IF(ISNUMBER(deployment_raw[[#This Row],[Column10]]), (MIN(IF(N754&lt;&gt;"",N754,9999999999999)*1.1,deployment_raw[[#This Row],[Column10]] * IF($E$2="Deployment",deployment_raw[[#This Row],[Column5]],1))),"")</f>
        <v/>
      </c>
      <c r="K754" s="123" t="str">
        <f>IF(ISNUMBER(deployment_raw[[#This Row],[Column11]]), (MIN(IF(O754&lt;&gt;"",O754,9999999999999)*1.1,deployment_raw[[#This Row],[Column11]] * IF($E$2="Deployment",deployment_raw[[#This Row],[Column5]],1)/1048576)),"")</f>
        <v/>
      </c>
      <c r="L754" s="124" t="str">
        <f>IF(ISNUMBER(deployment_raw[[#This Row],[Column8]]),IF(OR(deployment_raw[[#This Row],[Column5]] &lt;&gt; 0,$E$2 &lt;&gt; "Deployment"), MAX(J754, P754, R754, ($L$2 * IF($E$2="Deployment",deployment_raw[[#This Row],[Column5]],1)),IF(T754&lt;&gt;"",VALUE(T754) * IF($E$2="Deployment",deployment_raw[[#This Row],[Column5]],1),0)), 0),"")</f>
        <v/>
      </c>
      <c r="M754" s="125" t="str">
        <f>IF(ISNUMBER(deployment_raw[[#This Row],[Column9]]),IF(OR(deployment_raw[[#This Row],[Column5]] &lt;&gt; 0,$E$2&lt;&gt;"Deployment"), MAX(K754, Q754, S754, ($M$2 * IF($E$2="Deployment",deployment_raw[[#This Row],[Column5]],1)),IF(U754&lt;&gt;"",VALUE(U754) * IF($E$2="Deployment",deployment_raw[[#This Row],[Column5]],1),0)), 0),"")</f>
        <v/>
      </c>
      <c r="N754" s="166" t="str">
        <f>IF(ISNUMBER(deployment_raw[[#This Row],[Column14]]), deployment_raw[[#This Row],[Column14]]/IF(OR($E$2="Deployment",deployment_raw[[#This Row],[Column5]]=0),1,deployment_raw[[#This Row],[Column5]]),"")</f>
        <v/>
      </c>
      <c r="O754" s="167" t="str">
        <f>IF(ISNUMBER(deployment_raw[[#This Row],[Column15]]), deployment_raw[[#This Row],[Column15]]/IF(OR($E$2="Deployment",deployment_raw[[#This Row],[Column5]]=0),1,deployment_raw[[#This Row],[Column5]])/1048576,"")</f>
        <v/>
      </c>
      <c r="P754" s="168" t="str">
        <f>IF(ISNUMBER(deployment_raw[[#This Row],[Column12]]), (MIN(IF(N754&lt;&gt;"",N754,9999999999999)*1.1,deployment_raw[[#This Row],[Column12]] * IF($E$2="Deployment",deployment_raw[[#This Row],[Column5]],1))*(1+$P$2)),"")</f>
        <v/>
      </c>
      <c r="Q754" s="167" t="str">
        <f>IF(ISNUMBER(deployment_raw[[#This Row],[Column13]]), (MIN(IF(O754&lt;&gt;"",O754,9999999999999)*1.1,deployment_raw[[#This Row],[Column13]] * IF($E$2="Deployment",deployment_raw[[#This Row],[Column5]],1)*(1+$Q$2)/1048576)),"")</f>
        <v/>
      </c>
      <c r="R754" s="169" t="str">
        <f>IF(ISNUMBER(deployment_raw[[#This Row],[Column8]]), (H754  * IF(N754&lt;&gt;0,$R$2,1)),"")</f>
        <v/>
      </c>
      <c r="S754" s="170" t="str">
        <f>IF(ISNUMBER(deployment_raw[[#This Row],[Column8]]), (I754  * IF(O754&lt;&gt;0,$S$2,1)),"")</f>
        <v/>
      </c>
      <c r="T754" s="202" t="str">
        <f>IF(AND(A754&lt;&gt;"",_xlfn.IFNA(MATCH(A754,'dynamic resource application '!$A$2:$A$100, 0),0)&lt;&gt;0), H754/(IF($E$2="Deployment",E754,1)),"")</f>
        <v/>
      </c>
      <c r="U754" s="211" t="str">
        <f>IF(AND(A754&lt;&gt;"",_xlfn.IFNA(MATCH(A754,'dynamic resource application '!$A$2:$A$100, 0),0)&lt;&gt;0), I754/(IF($E$2="Deployment",E754,1)),"")</f>
        <v/>
      </c>
    </row>
    <row r="755" spans="1:21" ht="15.75" customHeight="1" x14ac:dyDescent="0.25">
      <c r="A755" s="35" t="str">
        <f>IF(ISNONTEXT(deployment_raw[[#This Row],[Column1]]), "", deployment_raw[[#This Row],[Column1]])</f>
        <v/>
      </c>
      <c r="B755" s="36" t="str">
        <f>IF(ISNONTEXT(deployment_raw[[#This Row],[Column2]]), "", deployment_raw[[#This Row],[Column2]])</f>
        <v/>
      </c>
      <c r="C755" s="36" t="str">
        <f>IF(ISNONTEXT(deployment_raw[[#This Row],[Column3]]), "", deployment_raw[[#This Row],[Column3]])</f>
        <v/>
      </c>
      <c r="D755" s="36" t="str">
        <f>IF(ISNONTEXT(deployment_raw[[#This Row],[Column4]]), "", deployment_raw[[#This Row],[Column4]])</f>
        <v/>
      </c>
      <c r="E755" s="37" t="str">
        <f>IF(ISNUMBER(deployment_raw[[#This Row],[Column5]]), deployment_raw[[#This Row],[Column5]],"")</f>
        <v/>
      </c>
      <c r="F755" s="94" t="str">
        <f>IF(ISNUMBER(deployment_raw[[#This Row],[Column6]]), (deployment_raw[[#This Row],[Column6]] * IF($E$2="Deployment",deployment_raw[[#This Row],[Column5]],1)),"")</f>
        <v/>
      </c>
      <c r="G755" s="95" t="str">
        <f>IF(ISNUMBER(deployment_raw[[#This Row],[Column7]]), (deployment_raw[[#This Row],[Column7]] * IF($E$2="Deployment",deployment_raw[[#This Row],[Column5]],1))/1048576,"")</f>
        <v/>
      </c>
      <c r="H755" s="95" t="str">
        <f>IF(ISNUMBER(deployment_raw[[#This Row],[Column8]]), (deployment_raw[[#This Row],[Column8]]  * IF($E$2="Deployment",deployment_raw[[#This Row],[Column5]],1)),"")</f>
        <v/>
      </c>
      <c r="I755" s="96" t="str">
        <f>IF(ISNUMBER(deployment_raw[[#This Row],[Column9]]), (deployment_raw[[#This Row],[Column9]] * IF($E$2="Deployment",deployment_raw[[#This Row],[Column5]],1))/1048576,"")</f>
        <v/>
      </c>
      <c r="J755" s="122" t="str">
        <f>IF(ISNUMBER(deployment_raw[[#This Row],[Column10]]), (MIN(IF(N755&lt;&gt;"",N755,9999999999999)*1.1,deployment_raw[[#This Row],[Column10]] * IF($E$2="Deployment",deployment_raw[[#This Row],[Column5]],1))),"")</f>
        <v/>
      </c>
      <c r="K755" s="123" t="str">
        <f>IF(ISNUMBER(deployment_raw[[#This Row],[Column11]]), (MIN(IF(O755&lt;&gt;"",O755,9999999999999)*1.1,deployment_raw[[#This Row],[Column11]] * IF($E$2="Deployment",deployment_raw[[#This Row],[Column5]],1)/1048576)),"")</f>
        <v/>
      </c>
      <c r="L755" s="124" t="str">
        <f>IF(ISNUMBER(deployment_raw[[#This Row],[Column8]]),IF(OR(deployment_raw[[#This Row],[Column5]] &lt;&gt; 0,$E$2 &lt;&gt; "Deployment"), MAX(J755, P755, R755, ($L$2 * IF($E$2="Deployment",deployment_raw[[#This Row],[Column5]],1)),IF(T755&lt;&gt;"",VALUE(T755) * IF($E$2="Deployment",deployment_raw[[#This Row],[Column5]],1),0)), 0),"")</f>
        <v/>
      </c>
      <c r="M755" s="125" t="str">
        <f>IF(ISNUMBER(deployment_raw[[#This Row],[Column9]]),IF(OR(deployment_raw[[#This Row],[Column5]] &lt;&gt; 0,$E$2&lt;&gt;"Deployment"), MAX(K755, Q755, S755, ($M$2 * IF($E$2="Deployment",deployment_raw[[#This Row],[Column5]],1)),IF(U755&lt;&gt;"",VALUE(U755) * IF($E$2="Deployment",deployment_raw[[#This Row],[Column5]],1),0)), 0),"")</f>
        <v/>
      </c>
      <c r="N755" s="166" t="str">
        <f>IF(ISNUMBER(deployment_raw[[#This Row],[Column14]]), deployment_raw[[#This Row],[Column14]]/IF(OR($E$2="Deployment",deployment_raw[[#This Row],[Column5]]=0),1,deployment_raw[[#This Row],[Column5]]),"")</f>
        <v/>
      </c>
      <c r="O755" s="167" t="str">
        <f>IF(ISNUMBER(deployment_raw[[#This Row],[Column15]]), deployment_raw[[#This Row],[Column15]]/IF(OR($E$2="Deployment",deployment_raw[[#This Row],[Column5]]=0),1,deployment_raw[[#This Row],[Column5]])/1048576,"")</f>
        <v/>
      </c>
      <c r="P755" s="168" t="str">
        <f>IF(ISNUMBER(deployment_raw[[#This Row],[Column12]]), (MIN(IF(N755&lt;&gt;"",N755,9999999999999)*1.1,deployment_raw[[#This Row],[Column12]] * IF($E$2="Deployment",deployment_raw[[#This Row],[Column5]],1))*(1+$P$2)),"")</f>
        <v/>
      </c>
      <c r="Q755" s="167" t="str">
        <f>IF(ISNUMBER(deployment_raw[[#This Row],[Column13]]), (MIN(IF(O755&lt;&gt;"",O755,9999999999999)*1.1,deployment_raw[[#This Row],[Column13]] * IF($E$2="Deployment",deployment_raw[[#This Row],[Column5]],1)*(1+$Q$2)/1048576)),"")</f>
        <v/>
      </c>
      <c r="R755" s="169" t="str">
        <f>IF(ISNUMBER(deployment_raw[[#This Row],[Column8]]), (H755  * IF(N755&lt;&gt;0,$R$2,1)),"")</f>
        <v/>
      </c>
      <c r="S755" s="170" t="str">
        <f>IF(ISNUMBER(deployment_raw[[#This Row],[Column8]]), (I755  * IF(O755&lt;&gt;0,$S$2,1)),"")</f>
        <v/>
      </c>
      <c r="T755" s="202" t="str">
        <f>IF(AND(A755&lt;&gt;"",_xlfn.IFNA(MATCH(A755,'dynamic resource application '!$A$2:$A$100, 0),0)&lt;&gt;0), H755/(IF($E$2="Deployment",E755,1)),"")</f>
        <v/>
      </c>
      <c r="U755" s="211" t="str">
        <f>IF(AND(A755&lt;&gt;"",_xlfn.IFNA(MATCH(A755,'dynamic resource application '!$A$2:$A$100, 0),0)&lt;&gt;0), I755/(IF($E$2="Deployment",E755,1)),"")</f>
        <v/>
      </c>
    </row>
    <row r="756" spans="1:21" ht="15.75" customHeight="1" x14ac:dyDescent="0.25">
      <c r="A756" s="35" t="str">
        <f>IF(ISNONTEXT(deployment_raw[[#This Row],[Column1]]), "", deployment_raw[[#This Row],[Column1]])</f>
        <v/>
      </c>
      <c r="B756" s="36" t="str">
        <f>IF(ISNONTEXT(deployment_raw[[#This Row],[Column2]]), "", deployment_raw[[#This Row],[Column2]])</f>
        <v/>
      </c>
      <c r="C756" s="36" t="str">
        <f>IF(ISNONTEXT(deployment_raw[[#This Row],[Column3]]), "", deployment_raw[[#This Row],[Column3]])</f>
        <v/>
      </c>
      <c r="D756" s="36" t="str">
        <f>IF(ISNONTEXT(deployment_raw[[#This Row],[Column4]]), "", deployment_raw[[#This Row],[Column4]])</f>
        <v/>
      </c>
      <c r="E756" s="37" t="str">
        <f>IF(ISNUMBER(deployment_raw[[#This Row],[Column5]]), deployment_raw[[#This Row],[Column5]],"")</f>
        <v/>
      </c>
      <c r="F756" s="94" t="str">
        <f>IF(ISNUMBER(deployment_raw[[#This Row],[Column6]]), (deployment_raw[[#This Row],[Column6]] * IF($E$2="Deployment",deployment_raw[[#This Row],[Column5]],1)),"")</f>
        <v/>
      </c>
      <c r="G756" s="95" t="str">
        <f>IF(ISNUMBER(deployment_raw[[#This Row],[Column7]]), (deployment_raw[[#This Row],[Column7]] * IF($E$2="Deployment",deployment_raw[[#This Row],[Column5]],1))/1048576,"")</f>
        <v/>
      </c>
      <c r="H756" s="95" t="str">
        <f>IF(ISNUMBER(deployment_raw[[#This Row],[Column8]]), (deployment_raw[[#This Row],[Column8]]  * IF($E$2="Deployment",deployment_raw[[#This Row],[Column5]],1)),"")</f>
        <v/>
      </c>
      <c r="I756" s="96" t="str">
        <f>IF(ISNUMBER(deployment_raw[[#This Row],[Column9]]), (deployment_raw[[#This Row],[Column9]] * IF($E$2="Deployment",deployment_raw[[#This Row],[Column5]],1))/1048576,"")</f>
        <v/>
      </c>
      <c r="J756" s="122" t="str">
        <f>IF(ISNUMBER(deployment_raw[[#This Row],[Column10]]), (MIN(IF(N756&lt;&gt;"",N756,9999999999999)*1.1,deployment_raw[[#This Row],[Column10]] * IF($E$2="Deployment",deployment_raw[[#This Row],[Column5]],1))),"")</f>
        <v/>
      </c>
      <c r="K756" s="123" t="str">
        <f>IF(ISNUMBER(deployment_raw[[#This Row],[Column11]]), (MIN(IF(O756&lt;&gt;"",O756,9999999999999)*1.1,deployment_raw[[#This Row],[Column11]] * IF($E$2="Deployment",deployment_raw[[#This Row],[Column5]],1)/1048576)),"")</f>
        <v/>
      </c>
      <c r="L756" s="124" t="str">
        <f>IF(ISNUMBER(deployment_raw[[#This Row],[Column8]]),IF(OR(deployment_raw[[#This Row],[Column5]] &lt;&gt; 0,$E$2 &lt;&gt; "Deployment"), MAX(J756, P756, R756, ($L$2 * IF($E$2="Deployment",deployment_raw[[#This Row],[Column5]],1)),IF(T756&lt;&gt;"",VALUE(T756) * IF($E$2="Deployment",deployment_raw[[#This Row],[Column5]],1),0)), 0),"")</f>
        <v/>
      </c>
      <c r="M756" s="125" t="str">
        <f>IF(ISNUMBER(deployment_raw[[#This Row],[Column9]]),IF(OR(deployment_raw[[#This Row],[Column5]] &lt;&gt; 0,$E$2&lt;&gt;"Deployment"), MAX(K756, Q756, S756, ($M$2 * IF($E$2="Deployment",deployment_raw[[#This Row],[Column5]],1)),IF(U756&lt;&gt;"",VALUE(U756) * IF($E$2="Deployment",deployment_raw[[#This Row],[Column5]],1),0)), 0),"")</f>
        <v/>
      </c>
      <c r="N756" s="166" t="str">
        <f>IF(ISNUMBER(deployment_raw[[#This Row],[Column14]]), deployment_raw[[#This Row],[Column14]]/IF(OR($E$2="Deployment",deployment_raw[[#This Row],[Column5]]=0),1,deployment_raw[[#This Row],[Column5]]),"")</f>
        <v/>
      </c>
      <c r="O756" s="167" t="str">
        <f>IF(ISNUMBER(deployment_raw[[#This Row],[Column15]]), deployment_raw[[#This Row],[Column15]]/IF(OR($E$2="Deployment",deployment_raw[[#This Row],[Column5]]=0),1,deployment_raw[[#This Row],[Column5]])/1048576,"")</f>
        <v/>
      </c>
      <c r="P756" s="168" t="str">
        <f>IF(ISNUMBER(deployment_raw[[#This Row],[Column12]]), (MIN(IF(N756&lt;&gt;"",N756,9999999999999)*1.1,deployment_raw[[#This Row],[Column12]] * IF($E$2="Deployment",deployment_raw[[#This Row],[Column5]],1))*(1+$P$2)),"")</f>
        <v/>
      </c>
      <c r="Q756" s="167" t="str">
        <f>IF(ISNUMBER(deployment_raw[[#This Row],[Column13]]), (MIN(IF(O756&lt;&gt;"",O756,9999999999999)*1.1,deployment_raw[[#This Row],[Column13]] * IF($E$2="Deployment",deployment_raw[[#This Row],[Column5]],1)*(1+$Q$2)/1048576)),"")</f>
        <v/>
      </c>
      <c r="R756" s="169" t="str">
        <f>IF(ISNUMBER(deployment_raw[[#This Row],[Column8]]), (H756  * IF(N756&lt;&gt;0,$R$2,1)),"")</f>
        <v/>
      </c>
      <c r="S756" s="170" t="str">
        <f>IF(ISNUMBER(deployment_raw[[#This Row],[Column8]]), (I756  * IF(O756&lt;&gt;0,$S$2,1)),"")</f>
        <v/>
      </c>
      <c r="T756" s="202" t="str">
        <f>IF(AND(A756&lt;&gt;"",_xlfn.IFNA(MATCH(A756,'dynamic resource application '!$A$2:$A$100, 0),0)&lt;&gt;0), H756/(IF($E$2="Deployment",E756,1)),"")</f>
        <v/>
      </c>
      <c r="U756" s="211" t="str">
        <f>IF(AND(A756&lt;&gt;"",_xlfn.IFNA(MATCH(A756,'dynamic resource application '!$A$2:$A$100, 0),0)&lt;&gt;0), I756/(IF($E$2="Deployment",E756,1)),"")</f>
        <v/>
      </c>
    </row>
    <row r="757" spans="1:21" ht="15.75" customHeight="1" x14ac:dyDescent="0.25">
      <c r="A757" s="35" t="str">
        <f>IF(ISNONTEXT(deployment_raw[[#This Row],[Column1]]), "", deployment_raw[[#This Row],[Column1]])</f>
        <v/>
      </c>
      <c r="B757" s="36" t="str">
        <f>IF(ISNONTEXT(deployment_raw[[#This Row],[Column2]]), "", deployment_raw[[#This Row],[Column2]])</f>
        <v/>
      </c>
      <c r="C757" s="36" t="str">
        <f>IF(ISNONTEXT(deployment_raw[[#This Row],[Column3]]), "", deployment_raw[[#This Row],[Column3]])</f>
        <v/>
      </c>
      <c r="D757" s="36" t="str">
        <f>IF(ISNONTEXT(deployment_raw[[#This Row],[Column4]]), "", deployment_raw[[#This Row],[Column4]])</f>
        <v/>
      </c>
      <c r="E757" s="37" t="str">
        <f>IF(ISNUMBER(deployment_raw[[#This Row],[Column5]]), deployment_raw[[#This Row],[Column5]],"")</f>
        <v/>
      </c>
      <c r="F757" s="94" t="str">
        <f>IF(ISNUMBER(deployment_raw[[#This Row],[Column6]]), (deployment_raw[[#This Row],[Column6]] * IF($E$2="Deployment",deployment_raw[[#This Row],[Column5]],1)),"")</f>
        <v/>
      </c>
      <c r="G757" s="95" t="str">
        <f>IF(ISNUMBER(deployment_raw[[#This Row],[Column7]]), (deployment_raw[[#This Row],[Column7]] * IF($E$2="Deployment",deployment_raw[[#This Row],[Column5]],1))/1048576,"")</f>
        <v/>
      </c>
      <c r="H757" s="95" t="str">
        <f>IF(ISNUMBER(deployment_raw[[#This Row],[Column8]]), (deployment_raw[[#This Row],[Column8]]  * IF($E$2="Deployment",deployment_raw[[#This Row],[Column5]],1)),"")</f>
        <v/>
      </c>
      <c r="I757" s="96" t="str">
        <f>IF(ISNUMBER(deployment_raw[[#This Row],[Column9]]), (deployment_raw[[#This Row],[Column9]] * IF($E$2="Deployment",deployment_raw[[#This Row],[Column5]],1))/1048576,"")</f>
        <v/>
      </c>
      <c r="J757" s="122" t="str">
        <f>IF(ISNUMBER(deployment_raw[[#This Row],[Column10]]), (MIN(IF(N757&lt;&gt;"",N757,9999999999999)*1.1,deployment_raw[[#This Row],[Column10]] * IF($E$2="Deployment",deployment_raw[[#This Row],[Column5]],1))),"")</f>
        <v/>
      </c>
      <c r="K757" s="123" t="str">
        <f>IF(ISNUMBER(deployment_raw[[#This Row],[Column11]]), (MIN(IF(O757&lt;&gt;"",O757,9999999999999)*1.1,deployment_raw[[#This Row],[Column11]] * IF($E$2="Deployment",deployment_raw[[#This Row],[Column5]],1)/1048576)),"")</f>
        <v/>
      </c>
      <c r="L757" s="124" t="str">
        <f>IF(ISNUMBER(deployment_raw[[#This Row],[Column8]]),IF(OR(deployment_raw[[#This Row],[Column5]] &lt;&gt; 0,$E$2 &lt;&gt; "Deployment"), MAX(J757, P757, R757, ($L$2 * IF($E$2="Deployment",deployment_raw[[#This Row],[Column5]],1)),IF(T757&lt;&gt;"",VALUE(T757) * IF($E$2="Deployment",deployment_raw[[#This Row],[Column5]],1),0)), 0),"")</f>
        <v/>
      </c>
      <c r="M757" s="125" t="str">
        <f>IF(ISNUMBER(deployment_raw[[#This Row],[Column9]]),IF(OR(deployment_raw[[#This Row],[Column5]] &lt;&gt; 0,$E$2&lt;&gt;"Deployment"), MAX(K757, Q757, S757, ($M$2 * IF($E$2="Deployment",deployment_raw[[#This Row],[Column5]],1)),IF(U757&lt;&gt;"",VALUE(U757) * IF($E$2="Deployment",deployment_raw[[#This Row],[Column5]],1),0)), 0),"")</f>
        <v/>
      </c>
      <c r="N757" s="166" t="str">
        <f>IF(ISNUMBER(deployment_raw[[#This Row],[Column14]]), deployment_raw[[#This Row],[Column14]]/IF(OR($E$2="Deployment",deployment_raw[[#This Row],[Column5]]=0),1,deployment_raw[[#This Row],[Column5]]),"")</f>
        <v/>
      </c>
      <c r="O757" s="167" t="str">
        <f>IF(ISNUMBER(deployment_raw[[#This Row],[Column15]]), deployment_raw[[#This Row],[Column15]]/IF(OR($E$2="Deployment",deployment_raw[[#This Row],[Column5]]=0),1,deployment_raw[[#This Row],[Column5]])/1048576,"")</f>
        <v/>
      </c>
      <c r="P757" s="168" t="str">
        <f>IF(ISNUMBER(deployment_raw[[#This Row],[Column12]]), (MIN(IF(N757&lt;&gt;"",N757,9999999999999)*1.1,deployment_raw[[#This Row],[Column12]] * IF($E$2="Deployment",deployment_raw[[#This Row],[Column5]],1))*(1+$P$2)),"")</f>
        <v/>
      </c>
      <c r="Q757" s="167" t="str">
        <f>IF(ISNUMBER(deployment_raw[[#This Row],[Column13]]), (MIN(IF(O757&lt;&gt;"",O757,9999999999999)*1.1,deployment_raw[[#This Row],[Column13]] * IF($E$2="Deployment",deployment_raw[[#This Row],[Column5]],1)*(1+$Q$2)/1048576)),"")</f>
        <v/>
      </c>
      <c r="R757" s="169" t="str">
        <f>IF(ISNUMBER(deployment_raw[[#This Row],[Column8]]), (H757  * IF(N757&lt;&gt;0,$R$2,1)),"")</f>
        <v/>
      </c>
      <c r="S757" s="170" t="str">
        <f>IF(ISNUMBER(deployment_raw[[#This Row],[Column8]]), (I757  * IF(O757&lt;&gt;0,$S$2,1)),"")</f>
        <v/>
      </c>
      <c r="T757" s="202" t="str">
        <f>IF(AND(A757&lt;&gt;"",_xlfn.IFNA(MATCH(A757,'dynamic resource application '!$A$2:$A$100, 0),0)&lt;&gt;0), H757/(IF($E$2="Deployment",E757,1)),"")</f>
        <v/>
      </c>
      <c r="U757" s="211" t="str">
        <f>IF(AND(A757&lt;&gt;"",_xlfn.IFNA(MATCH(A757,'dynamic resource application '!$A$2:$A$100, 0),0)&lt;&gt;0), I757/(IF($E$2="Deployment",E757,1)),"")</f>
        <v/>
      </c>
    </row>
    <row r="758" spans="1:21" ht="15.75" customHeight="1" x14ac:dyDescent="0.25">
      <c r="A758" s="35" t="str">
        <f>IF(ISNONTEXT(deployment_raw[[#This Row],[Column1]]), "", deployment_raw[[#This Row],[Column1]])</f>
        <v/>
      </c>
      <c r="B758" s="36" t="str">
        <f>IF(ISNONTEXT(deployment_raw[[#This Row],[Column2]]), "", deployment_raw[[#This Row],[Column2]])</f>
        <v/>
      </c>
      <c r="C758" s="36" t="str">
        <f>IF(ISNONTEXT(deployment_raw[[#This Row],[Column3]]), "", deployment_raw[[#This Row],[Column3]])</f>
        <v/>
      </c>
      <c r="D758" s="36" t="str">
        <f>IF(ISNONTEXT(deployment_raw[[#This Row],[Column4]]), "", deployment_raw[[#This Row],[Column4]])</f>
        <v/>
      </c>
      <c r="E758" s="37" t="str">
        <f>IF(ISNUMBER(deployment_raw[[#This Row],[Column5]]), deployment_raw[[#This Row],[Column5]],"")</f>
        <v/>
      </c>
      <c r="F758" s="94" t="str">
        <f>IF(ISNUMBER(deployment_raw[[#This Row],[Column6]]), (deployment_raw[[#This Row],[Column6]] * IF($E$2="Deployment",deployment_raw[[#This Row],[Column5]],1)),"")</f>
        <v/>
      </c>
      <c r="G758" s="95" t="str">
        <f>IF(ISNUMBER(deployment_raw[[#This Row],[Column7]]), (deployment_raw[[#This Row],[Column7]] * IF($E$2="Deployment",deployment_raw[[#This Row],[Column5]],1))/1048576,"")</f>
        <v/>
      </c>
      <c r="H758" s="95" t="str">
        <f>IF(ISNUMBER(deployment_raw[[#This Row],[Column8]]), (deployment_raw[[#This Row],[Column8]]  * IF($E$2="Deployment",deployment_raw[[#This Row],[Column5]],1)),"")</f>
        <v/>
      </c>
      <c r="I758" s="96" t="str">
        <f>IF(ISNUMBER(deployment_raw[[#This Row],[Column9]]), (deployment_raw[[#This Row],[Column9]] * IF($E$2="Deployment",deployment_raw[[#This Row],[Column5]],1))/1048576,"")</f>
        <v/>
      </c>
      <c r="J758" s="122" t="str">
        <f>IF(ISNUMBER(deployment_raw[[#This Row],[Column10]]), (MIN(IF(N758&lt;&gt;"",N758,9999999999999)*1.1,deployment_raw[[#This Row],[Column10]] * IF($E$2="Deployment",deployment_raw[[#This Row],[Column5]],1))),"")</f>
        <v/>
      </c>
      <c r="K758" s="123" t="str">
        <f>IF(ISNUMBER(deployment_raw[[#This Row],[Column11]]), (MIN(IF(O758&lt;&gt;"",O758,9999999999999)*1.1,deployment_raw[[#This Row],[Column11]] * IF($E$2="Deployment",deployment_raw[[#This Row],[Column5]],1)/1048576)),"")</f>
        <v/>
      </c>
      <c r="L758" s="124" t="str">
        <f>IF(ISNUMBER(deployment_raw[[#This Row],[Column8]]),IF(OR(deployment_raw[[#This Row],[Column5]] &lt;&gt; 0,$E$2 &lt;&gt; "Deployment"), MAX(J758, P758, R758, ($L$2 * IF($E$2="Deployment",deployment_raw[[#This Row],[Column5]],1)),IF(T758&lt;&gt;"",VALUE(T758) * IF($E$2="Deployment",deployment_raw[[#This Row],[Column5]],1),0)), 0),"")</f>
        <v/>
      </c>
      <c r="M758" s="125" t="str">
        <f>IF(ISNUMBER(deployment_raw[[#This Row],[Column9]]),IF(OR(deployment_raw[[#This Row],[Column5]] &lt;&gt; 0,$E$2&lt;&gt;"Deployment"), MAX(K758, Q758, S758, ($M$2 * IF($E$2="Deployment",deployment_raw[[#This Row],[Column5]],1)),IF(U758&lt;&gt;"",VALUE(U758) * IF($E$2="Deployment",deployment_raw[[#This Row],[Column5]],1),0)), 0),"")</f>
        <v/>
      </c>
      <c r="N758" s="166" t="str">
        <f>IF(ISNUMBER(deployment_raw[[#This Row],[Column14]]), deployment_raw[[#This Row],[Column14]]/IF(OR($E$2="Deployment",deployment_raw[[#This Row],[Column5]]=0),1,deployment_raw[[#This Row],[Column5]]),"")</f>
        <v/>
      </c>
      <c r="O758" s="167" t="str">
        <f>IF(ISNUMBER(deployment_raw[[#This Row],[Column15]]), deployment_raw[[#This Row],[Column15]]/IF(OR($E$2="Deployment",deployment_raw[[#This Row],[Column5]]=0),1,deployment_raw[[#This Row],[Column5]])/1048576,"")</f>
        <v/>
      </c>
      <c r="P758" s="168" t="str">
        <f>IF(ISNUMBER(deployment_raw[[#This Row],[Column12]]), (MIN(IF(N758&lt;&gt;"",N758,9999999999999)*1.1,deployment_raw[[#This Row],[Column12]] * IF($E$2="Deployment",deployment_raw[[#This Row],[Column5]],1))*(1+$P$2)),"")</f>
        <v/>
      </c>
      <c r="Q758" s="167" t="str">
        <f>IF(ISNUMBER(deployment_raw[[#This Row],[Column13]]), (MIN(IF(O758&lt;&gt;"",O758,9999999999999)*1.1,deployment_raw[[#This Row],[Column13]] * IF($E$2="Deployment",deployment_raw[[#This Row],[Column5]],1)*(1+$Q$2)/1048576)),"")</f>
        <v/>
      </c>
      <c r="R758" s="169" t="str">
        <f>IF(ISNUMBER(deployment_raw[[#This Row],[Column8]]), (H758  * IF(N758&lt;&gt;0,$R$2,1)),"")</f>
        <v/>
      </c>
      <c r="S758" s="170" t="str">
        <f>IF(ISNUMBER(deployment_raw[[#This Row],[Column8]]), (I758  * IF(O758&lt;&gt;0,$S$2,1)),"")</f>
        <v/>
      </c>
      <c r="T758" s="202" t="str">
        <f>IF(AND(A758&lt;&gt;"",_xlfn.IFNA(MATCH(A758,'dynamic resource application '!$A$2:$A$100, 0),0)&lt;&gt;0), H758/(IF($E$2="Deployment",E758,1)),"")</f>
        <v/>
      </c>
      <c r="U758" s="211" t="str">
        <f>IF(AND(A758&lt;&gt;"",_xlfn.IFNA(MATCH(A758,'dynamic resource application '!$A$2:$A$100, 0),0)&lt;&gt;0), I758/(IF($E$2="Deployment",E758,1)),"")</f>
        <v/>
      </c>
    </row>
    <row r="759" spans="1:21" ht="15.75" customHeight="1" x14ac:dyDescent="0.25">
      <c r="A759" s="35" t="str">
        <f>IF(ISNONTEXT(deployment_raw[[#This Row],[Column1]]), "", deployment_raw[[#This Row],[Column1]])</f>
        <v/>
      </c>
      <c r="B759" s="36" t="str">
        <f>IF(ISNONTEXT(deployment_raw[[#This Row],[Column2]]), "", deployment_raw[[#This Row],[Column2]])</f>
        <v/>
      </c>
      <c r="C759" s="36" t="str">
        <f>IF(ISNONTEXT(deployment_raw[[#This Row],[Column3]]), "", deployment_raw[[#This Row],[Column3]])</f>
        <v/>
      </c>
      <c r="D759" s="36" t="str">
        <f>IF(ISNONTEXT(deployment_raw[[#This Row],[Column4]]), "", deployment_raw[[#This Row],[Column4]])</f>
        <v/>
      </c>
      <c r="E759" s="37" t="str">
        <f>IF(ISNUMBER(deployment_raw[[#This Row],[Column5]]), deployment_raw[[#This Row],[Column5]],"")</f>
        <v/>
      </c>
      <c r="F759" s="94" t="str">
        <f>IF(ISNUMBER(deployment_raw[[#This Row],[Column6]]), (deployment_raw[[#This Row],[Column6]] * IF($E$2="Deployment",deployment_raw[[#This Row],[Column5]],1)),"")</f>
        <v/>
      </c>
      <c r="G759" s="95" t="str">
        <f>IF(ISNUMBER(deployment_raw[[#This Row],[Column7]]), (deployment_raw[[#This Row],[Column7]] * IF($E$2="Deployment",deployment_raw[[#This Row],[Column5]],1))/1048576,"")</f>
        <v/>
      </c>
      <c r="H759" s="95" t="str">
        <f>IF(ISNUMBER(deployment_raw[[#This Row],[Column8]]), (deployment_raw[[#This Row],[Column8]]  * IF($E$2="Deployment",deployment_raw[[#This Row],[Column5]],1)),"")</f>
        <v/>
      </c>
      <c r="I759" s="96" t="str">
        <f>IF(ISNUMBER(deployment_raw[[#This Row],[Column9]]), (deployment_raw[[#This Row],[Column9]] * IF($E$2="Deployment",deployment_raw[[#This Row],[Column5]],1))/1048576,"")</f>
        <v/>
      </c>
      <c r="J759" s="122" t="str">
        <f>IF(ISNUMBER(deployment_raw[[#This Row],[Column10]]), (MIN(IF(N759&lt;&gt;"",N759,9999999999999)*1.1,deployment_raw[[#This Row],[Column10]] * IF($E$2="Deployment",deployment_raw[[#This Row],[Column5]],1))),"")</f>
        <v/>
      </c>
      <c r="K759" s="123" t="str">
        <f>IF(ISNUMBER(deployment_raw[[#This Row],[Column11]]), (MIN(IF(O759&lt;&gt;"",O759,9999999999999)*1.1,deployment_raw[[#This Row],[Column11]] * IF($E$2="Deployment",deployment_raw[[#This Row],[Column5]],1)/1048576)),"")</f>
        <v/>
      </c>
      <c r="L759" s="124" t="str">
        <f>IF(ISNUMBER(deployment_raw[[#This Row],[Column8]]),IF(OR(deployment_raw[[#This Row],[Column5]] &lt;&gt; 0,$E$2 &lt;&gt; "Deployment"), MAX(J759, P759, R759, ($L$2 * IF($E$2="Deployment",deployment_raw[[#This Row],[Column5]],1)),IF(T759&lt;&gt;"",VALUE(T759) * IF($E$2="Deployment",deployment_raw[[#This Row],[Column5]],1),0)), 0),"")</f>
        <v/>
      </c>
      <c r="M759" s="125" t="str">
        <f>IF(ISNUMBER(deployment_raw[[#This Row],[Column9]]),IF(OR(deployment_raw[[#This Row],[Column5]] &lt;&gt; 0,$E$2&lt;&gt;"Deployment"), MAX(K759, Q759, S759, ($M$2 * IF($E$2="Deployment",deployment_raw[[#This Row],[Column5]],1)),IF(U759&lt;&gt;"",VALUE(U759) * IF($E$2="Deployment",deployment_raw[[#This Row],[Column5]],1),0)), 0),"")</f>
        <v/>
      </c>
      <c r="N759" s="166" t="str">
        <f>IF(ISNUMBER(deployment_raw[[#This Row],[Column14]]), deployment_raw[[#This Row],[Column14]]/IF(OR($E$2="Deployment",deployment_raw[[#This Row],[Column5]]=0),1,deployment_raw[[#This Row],[Column5]]),"")</f>
        <v/>
      </c>
      <c r="O759" s="167" t="str">
        <f>IF(ISNUMBER(deployment_raw[[#This Row],[Column15]]), deployment_raw[[#This Row],[Column15]]/IF(OR($E$2="Deployment",deployment_raw[[#This Row],[Column5]]=0),1,deployment_raw[[#This Row],[Column5]])/1048576,"")</f>
        <v/>
      </c>
      <c r="P759" s="168" t="str">
        <f>IF(ISNUMBER(deployment_raw[[#This Row],[Column12]]), (MIN(IF(N759&lt;&gt;"",N759,9999999999999)*1.1,deployment_raw[[#This Row],[Column12]] * IF($E$2="Deployment",deployment_raw[[#This Row],[Column5]],1))*(1+$P$2)),"")</f>
        <v/>
      </c>
      <c r="Q759" s="167" t="str">
        <f>IF(ISNUMBER(deployment_raw[[#This Row],[Column13]]), (MIN(IF(O759&lt;&gt;"",O759,9999999999999)*1.1,deployment_raw[[#This Row],[Column13]] * IF($E$2="Deployment",deployment_raw[[#This Row],[Column5]],1)*(1+$Q$2)/1048576)),"")</f>
        <v/>
      </c>
      <c r="R759" s="169" t="str">
        <f>IF(ISNUMBER(deployment_raw[[#This Row],[Column8]]), (H759  * IF(N759&lt;&gt;0,$R$2,1)),"")</f>
        <v/>
      </c>
      <c r="S759" s="170" t="str">
        <f>IF(ISNUMBER(deployment_raw[[#This Row],[Column8]]), (I759  * IF(O759&lt;&gt;0,$S$2,1)),"")</f>
        <v/>
      </c>
      <c r="T759" s="202" t="str">
        <f>IF(AND(A759&lt;&gt;"",_xlfn.IFNA(MATCH(A759,'dynamic resource application '!$A$2:$A$100, 0),0)&lt;&gt;0), H759/(IF($E$2="Deployment",E759,1)),"")</f>
        <v/>
      </c>
      <c r="U759" s="211" t="str">
        <f>IF(AND(A759&lt;&gt;"",_xlfn.IFNA(MATCH(A759,'dynamic resource application '!$A$2:$A$100, 0),0)&lt;&gt;0), I759/(IF($E$2="Deployment",E759,1)),"")</f>
        <v/>
      </c>
    </row>
    <row r="760" spans="1:21" ht="15.75" customHeight="1" x14ac:dyDescent="0.25">
      <c r="A760" s="35" t="str">
        <f>IF(ISNONTEXT(deployment_raw[[#This Row],[Column1]]), "", deployment_raw[[#This Row],[Column1]])</f>
        <v/>
      </c>
      <c r="B760" s="36" t="str">
        <f>IF(ISNONTEXT(deployment_raw[[#This Row],[Column2]]), "", deployment_raw[[#This Row],[Column2]])</f>
        <v/>
      </c>
      <c r="C760" s="36" t="str">
        <f>IF(ISNONTEXT(deployment_raw[[#This Row],[Column3]]), "", deployment_raw[[#This Row],[Column3]])</f>
        <v/>
      </c>
      <c r="D760" s="36" t="str">
        <f>IF(ISNONTEXT(deployment_raw[[#This Row],[Column4]]), "", deployment_raw[[#This Row],[Column4]])</f>
        <v/>
      </c>
      <c r="E760" s="37" t="str">
        <f>IF(ISNUMBER(deployment_raw[[#This Row],[Column5]]), deployment_raw[[#This Row],[Column5]],"")</f>
        <v/>
      </c>
      <c r="F760" s="94" t="str">
        <f>IF(ISNUMBER(deployment_raw[[#This Row],[Column6]]), (deployment_raw[[#This Row],[Column6]] * IF($E$2="Deployment",deployment_raw[[#This Row],[Column5]],1)),"")</f>
        <v/>
      </c>
      <c r="G760" s="95" t="str">
        <f>IF(ISNUMBER(deployment_raw[[#This Row],[Column7]]), (deployment_raw[[#This Row],[Column7]] * IF($E$2="Deployment",deployment_raw[[#This Row],[Column5]],1))/1048576,"")</f>
        <v/>
      </c>
      <c r="H760" s="95" t="str">
        <f>IF(ISNUMBER(deployment_raw[[#This Row],[Column8]]), (deployment_raw[[#This Row],[Column8]]  * IF($E$2="Deployment",deployment_raw[[#This Row],[Column5]],1)),"")</f>
        <v/>
      </c>
      <c r="I760" s="96" t="str">
        <f>IF(ISNUMBER(deployment_raw[[#This Row],[Column9]]), (deployment_raw[[#This Row],[Column9]] * IF($E$2="Deployment",deployment_raw[[#This Row],[Column5]],1))/1048576,"")</f>
        <v/>
      </c>
      <c r="J760" s="122" t="str">
        <f>IF(ISNUMBER(deployment_raw[[#This Row],[Column10]]), (MIN(IF(N760&lt;&gt;"",N760,9999999999999)*1.1,deployment_raw[[#This Row],[Column10]] * IF($E$2="Deployment",deployment_raw[[#This Row],[Column5]],1))),"")</f>
        <v/>
      </c>
      <c r="K760" s="123" t="str">
        <f>IF(ISNUMBER(deployment_raw[[#This Row],[Column11]]), (MIN(IF(O760&lt;&gt;"",O760,9999999999999)*1.1,deployment_raw[[#This Row],[Column11]] * IF($E$2="Deployment",deployment_raw[[#This Row],[Column5]],1)/1048576)),"")</f>
        <v/>
      </c>
      <c r="L760" s="124" t="str">
        <f>IF(ISNUMBER(deployment_raw[[#This Row],[Column8]]),IF(OR(deployment_raw[[#This Row],[Column5]] &lt;&gt; 0,$E$2 &lt;&gt; "Deployment"), MAX(J760, P760, R760, ($L$2 * IF($E$2="Deployment",deployment_raw[[#This Row],[Column5]],1)),IF(T760&lt;&gt;"",VALUE(T760) * IF($E$2="Deployment",deployment_raw[[#This Row],[Column5]],1),0)), 0),"")</f>
        <v/>
      </c>
      <c r="M760" s="125" t="str">
        <f>IF(ISNUMBER(deployment_raw[[#This Row],[Column9]]),IF(OR(deployment_raw[[#This Row],[Column5]] &lt;&gt; 0,$E$2&lt;&gt;"Deployment"), MAX(K760, Q760, S760, ($M$2 * IF($E$2="Deployment",deployment_raw[[#This Row],[Column5]],1)),IF(U760&lt;&gt;"",VALUE(U760) * IF($E$2="Deployment",deployment_raw[[#This Row],[Column5]],1),0)), 0),"")</f>
        <v/>
      </c>
      <c r="N760" s="166" t="str">
        <f>IF(ISNUMBER(deployment_raw[[#This Row],[Column14]]), deployment_raw[[#This Row],[Column14]]/IF(OR($E$2="Deployment",deployment_raw[[#This Row],[Column5]]=0),1,deployment_raw[[#This Row],[Column5]]),"")</f>
        <v/>
      </c>
      <c r="O760" s="167" t="str">
        <f>IF(ISNUMBER(deployment_raw[[#This Row],[Column15]]), deployment_raw[[#This Row],[Column15]]/IF(OR($E$2="Deployment",deployment_raw[[#This Row],[Column5]]=0),1,deployment_raw[[#This Row],[Column5]])/1048576,"")</f>
        <v/>
      </c>
      <c r="P760" s="168" t="str">
        <f>IF(ISNUMBER(deployment_raw[[#This Row],[Column12]]), (MIN(IF(N760&lt;&gt;"",N760,9999999999999)*1.1,deployment_raw[[#This Row],[Column12]] * IF($E$2="Deployment",deployment_raw[[#This Row],[Column5]],1))*(1+$P$2)),"")</f>
        <v/>
      </c>
      <c r="Q760" s="167" t="str">
        <f>IF(ISNUMBER(deployment_raw[[#This Row],[Column13]]), (MIN(IF(O760&lt;&gt;"",O760,9999999999999)*1.1,deployment_raw[[#This Row],[Column13]] * IF($E$2="Deployment",deployment_raw[[#This Row],[Column5]],1)*(1+$Q$2)/1048576)),"")</f>
        <v/>
      </c>
      <c r="R760" s="169" t="str">
        <f>IF(ISNUMBER(deployment_raw[[#This Row],[Column8]]), (H760  * IF(N760&lt;&gt;0,$R$2,1)),"")</f>
        <v/>
      </c>
      <c r="S760" s="170" t="str">
        <f>IF(ISNUMBER(deployment_raw[[#This Row],[Column8]]), (I760  * IF(O760&lt;&gt;0,$S$2,1)),"")</f>
        <v/>
      </c>
      <c r="T760" s="202" t="str">
        <f>IF(AND(A760&lt;&gt;"",_xlfn.IFNA(MATCH(A760,'dynamic resource application '!$A$2:$A$100, 0),0)&lt;&gt;0), H760/(IF($E$2="Deployment",E760,1)),"")</f>
        <v/>
      </c>
      <c r="U760" s="211" t="str">
        <f>IF(AND(A760&lt;&gt;"",_xlfn.IFNA(MATCH(A760,'dynamic resource application '!$A$2:$A$100, 0),0)&lt;&gt;0), I760/(IF($E$2="Deployment",E760,1)),"")</f>
        <v/>
      </c>
    </row>
    <row r="761" spans="1:21" ht="15.75" customHeight="1" x14ac:dyDescent="0.25">
      <c r="A761" s="35" t="str">
        <f>IF(ISNONTEXT(deployment_raw[[#This Row],[Column1]]), "", deployment_raw[[#This Row],[Column1]])</f>
        <v/>
      </c>
      <c r="B761" s="36" t="str">
        <f>IF(ISNONTEXT(deployment_raw[[#This Row],[Column2]]), "", deployment_raw[[#This Row],[Column2]])</f>
        <v/>
      </c>
      <c r="C761" s="36" t="str">
        <f>IF(ISNONTEXT(deployment_raw[[#This Row],[Column3]]), "", deployment_raw[[#This Row],[Column3]])</f>
        <v/>
      </c>
      <c r="D761" s="36" t="str">
        <f>IF(ISNONTEXT(deployment_raw[[#This Row],[Column4]]), "", deployment_raw[[#This Row],[Column4]])</f>
        <v/>
      </c>
      <c r="E761" s="37" t="str">
        <f>IF(ISNUMBER(deployment_raw[[#This Row],[Column5]]), deployment_raw[[#This Row],[Column5]],"")</f>
        <v/>
      </c>
      <c r="F761" s="94" t="str">
        <f>IF(ISNUMBER(deployment_raw[[#This Row],[Column6]]), (deployment_raw[[#This Row],[Column6]] * IF($E$2="Deployment",deployment_raw[[#This Row],[Column5]],1)),"")</f>
        <v/>
      </c>
      <c r="G761" s="95" t="str">
        <f>IF(ISNUMBER(deployment_raw[[#This Row],[Column7]]), (deployment_raw[[#This Row],[Column7]] * IF($E$2="Deployment",deployment_raw[[#This Row],[Column5]],1))/1048576,"")</f>
        <v/>
      </c>
      <c r="H761" s="95" t="str">
        <f>IF(ISNUMBER(deployment_raw[[#This Row],[Column8]]), (deployment_raw[[#This Row],[Column8]]  * IF($E$2="Deployment",deployment_raw[[#This Row],[Column5]],1)),"")</f>
        <v/>
      </c>
      <c r="I761" s="96" t="str">
        <f>IF(ISNUMBER(deployment_raw[[#This Row],[Column9]]), (deployment_raw[[#This Row],[Column9]] * IF($E$2="Deployment",deployment_raw[[#This Row],[Column5]],1))/1048576,"")</f>
        <v/>
      </c>
      <c r="J761" s="122" t="str">
        <f>IF(ISNUMBER(deployment_raw[[#This Row],[Column10]]), (MIN(IF(N761&lt;&gt;"",N761,9999999999999)*1.1,deployment_raw[[#This Row],[Column10]] * IF($E$2="Deployment",deployment_raw[[#This Row],[Column5]],1))),"")</f>
        <v/>
      </c>
      <c r="K761" s="123" t="str">
        <f>IF(ISNUMBER(deployment_raw[[#This Row],[Column11]]), (MIN(IF(O761&lt;&gt;"",O761,9999999999999)*1.1,deployment_raw[[#This Row],[Column11]] * IF($E$2="Deployment",deployment_raw[[#This Row],[Column5]],1)/1048576)),"")</f>
        <v/>
      </c>
      <c r="L761" s="124" t="str">
        <f>IF(ISNUMBER(deployment_raw[[#This Row],[Column8]]),IF(OR(deployment_raw[[#This Row],[Column5]] &lt;&gt; 0,$E$2 &lt;&gt; "Deployment"), MAX(J761, P761, R761, ($L$2 * IF($E$2="Deployment",deployment_raw[[#This Row],[Column5]],1)),IF(T761&lt;&gt;"",VALUE(T761) * IF($E$2="Deployment",deployment_raw[[#This Row],[Column5]],1),0)), 0),"")</f>
        <v/>
      </c>
      <c r="M761" s="125" t="str">
        <f>IF(ISNUMBER(deployment_raw[[#This Row],[Column9]]),IF(OR(deployment_raw[[#This Row],[Column5]] &lt;&gt; 0,$E$2&lt;&gt;"Deployment"), MAX(K761, Q761, S761, ($M$2 * IF($E$2="Deployment",deployment_raw[[#This Row],[Column5]],1)),IF(U761&lt;&gt;"",VALUE(U761) * IF($E$2="Deployment",deployment_raw[[#This Row],[Column5]],1),0)), 0),"")</f>
        <v/>
      </c>
      <c r="N761" s="166" t="str">
        <f>IF(ISNUMBER(deployment_raw[[#This Row],[Column14]]), deployment_raw[[#This Row],[Column14]]/IF(OR($E$2="Deployment",deployment_raw[[#This Row],[Column5]]=0),1,deployment_raw[[#This Row],[Column5]]),"")</f>
        <v/>
      </c>
      <c r="O761" s="167" t="str">
        <f>IF(ISNUMBER(deployment_raw[[#This Row],[Column15]]), deployment_raw[[#This Row],[Column15]]/IF(OR($E$2="Deployment",deployment_raw[[#This Row],[Column5]]=0),1,deployment_raw[[#This Row],[Column5]])/1048576,"")</f>
        <v/>
      </c>
      <c r="P761" s="168" t="str">
        <f>IF(ISNUMBER(deployment_raw[[#This Row],[Column12]]), (MIN(IF(N761&lt;&gt;"",N761,9999999999999)*1.1,deployment_raw[[#This Row],[Column12]] * IF($E$2="Deployment",deployment_raw[[#This Row],[Column5]],1))*(1+$P$2)),"")</f>
        <v/>
      </c>
      <c r="Q761" s="167" t="str">
        <f>IF(ISNUMBER(deployment_raw[[#This Row],[Column13]]), (MIN(IF(O761&lt;&gt;"",O761,9999999999999)*1.1,deployment_raw[[#This Row],[Column13]] * IF($E$2="Deployment",deployment_raw[[#This Row],[Column5]],1)*(1+$Q$2)/1048576)),"")</f>
        <v/>
      </c>
      <c r="R761" s="169" t="str">
        <f>IF(ISNUMBER(deployment_raw[[#This Row],[Column8]]), (H761  * IF(N761&lt;&gt;0,$R$2,1)),"")</f>
        <v/>
      </c>
      <c r="S761" s="170" t="str">
        <f>IF(ISNUMBER(deployment_raw[[#This Row],[Column8]]), (I761  * IF(O761&lt;&gt;0,$S$2,1)),"")</f>
        <v/>
      </c>
      <c r="T761" s="202" t="str">
        <f>IF(AND(A761&lt;&gt;"",_xlfn.IFNA(MATCH(A761,'dynamic resource application '!$A$2:$A$100, 0),0)&lt;&gt;0), H761/(IF($E$2="Deployment",E761,1)),"")</f>
        <v/>
      </c>
      <c r="U761" s="211" t="str">
        <f>IF(AND(A761&lt;&gt;"",_xlfn.IFNA(MATCH(A761,'dynamic resource application '!$A$2:$A$100, 0),0)&lt;&gt;0), I761/(IF($E$2="Deployment",E761,1)),"")</f>
        <v/>
      </c>
    </row>
    <row r="762" spans="1:21" ht="15.75" customHeight="1" x14ac:dyDescent="0.25">
      <c r="A762" s="35" t="str">
        <f>IF(ISNONTEXT(deployment_raw[[#This Row],[Column1]]), "", deployment_raw[[#This Row],[Column1]])</f>
        <v/>
      </c>
      <c r="B762" s="36" t="str">
        <f>IF(ISNONTEXT(deployment_raw[[#This Row],[Column2]]), "", deployment_raw[[#This Row],[Column2]])</f>
        <v/>
      </c>
      <c r="C762" s="36" t="str">
        <f>IF(ISNONTEXT(deployment_raw[[#This Row],[Column3]]), "", deployment_raw[[#This Row],[Column3]])</f>
        <v/>
      </c>
      <c r="D762" s="36" t="str">
        <f>IF(ISNONTEXT(deployment_raw[[#This Row],[Column4]]), "", deployment_raw[[#This Row],[Column4]])</f>
        <v/>
      </c>
      <c r="E762" s="37" t="str">
        <f>IF(ISNUMBER(deployment_raw[[#This Row],[Column5]]), deployment_raw[[#This Row],[Column5]],"")</f>
        <v/>
      </c>
      <c r="F762" s="94" t="str">
        <f>IF(ISNUMBER(deployment_raw[[#This Row],[Column6]]), (deployment_raw[[#This Row],[Column6]] * IF($E$2="Deployment",deployment_raw[[#This Row],[Column5]],1)),"")</f>
        <v/>
      </c>
      <c r="G762" s="95" t="str">
        <f>IF(ISNUMBER(deployment_raw[[#This Row],[Column7]]), (deployment_raw[[#This Row],[Column7]] * IF($E$2="Deployment",deployment_raw[[#This Row],[Column5]],1))/1048576,"")</f>
        <v/>
      </c>
      <c r="H762" s="95" t="str">
        <f>IF(ISNUMBER(deployment_raw[[#This Row],[Column8]]), (deployment_raw[[#This Row],[Column8]]  * IF($E$2="Deployment",deployment_raw[[#This Row],[Column5]],1)),"")</f>
        <v/>
      </c>
      <c r="I762" s="96" t="str">
        <f>IF(ISNUMBER(deployment_raw[[#This Row],[Column9]]), (deployment_raw[[#This Row],[Column9]] * IF($E$2="Deployment",deployment_raw[[#This Row],[Column5]],1))/1048576,"")</f>
        <v/>
      </c>
      <c r="J762" s="122" t="str">
        <f>IF(ISNUMBER(deployment_raw[[#This Row],[Column10]]), (MIN(IF(N762&lt;&gt;"",N762,9999999999999)*1.1,deployment_raw[[#This Row],[Column10]] * IF($E$2="Deployment",deployment_raw[[#This Row],[Column5]],1))),"")</f>
        <v/>
      </c>
      <c r="K762" s="123" t="str">
        <f>IF(ISNUMBER(deployment_raw[[#This Row],[Column11]]), (MIN(IF(O762&lt;&gt;"",O762,9999999999999)*1.1,deployment_raw[[#This Row],[Column11]] * IF($E$2="Deployment",deployment_raw[[#This Row],[Column5]],1)/1048576)),"")</f>
        <v/>
      </c>
      <c r="L762" s="124" t="str">
        <f>IF(ISNUMBER(deployment_raw[[#This Row],[Column8]]),IF(OR(deployment_raw[[#This Row],[Column5]] &lt;&gt; 0,$E$2 &lt;&gt; "Deployment"), MAX(J762, P762, R762, ($L$2 * IF($E$2="Deployment",deployment_raw[[#This Row],[Column5]],1)),IF(T762&lt;&gt;"",VALUE(T762) * IF($E$2="Deployment",deployment_raw[[#This Row],[Column5]],1),0)), 0),"")</f>
        <v/>
      </c>
      <c r="M762" s="125" t="str">
        <f>IF(ISNUMBER(deployment_raw[[#This Row],[Column9]]),IF(OR(deployment_raw[[#This Row],[Column5]] &lt;&gt; 0,$E$2&lt;&gt;"Deployment"), MAX(K762, Q762, S762, ($M$2 * IF($E$2="Deployment",deployment_raw[[#This Row],[Column5]],1)),IF(U762&lt;&gt;"",VALUE(U762) * IF($E$2="Deployment",deployment_raw[[#This Row],[Column5]],1),0)), 0),"")</f>
        <v/>
      </c>
      <c r="N762" s="166" t="str">
        <f>IF(ISNUMBER(deployment_raw[[#This Row],[Column14]]), deployment_raw[[#This Row],[Column14]]/IF(OR($E$2="Deployment",deployment_raw[[#This Row],[Column5]]=0),1,deployment_raw[[#This Row],[Column5]]),"")</f>
        <v/>
      </c>
      <c r="O762" s="167" t="str">
        <f>IF(ISNUMBER(deployment_raw[[#This Row],[Column15]]), deployment_raw[[#This Row],[Column15]]/IF(OR($E$2="Deployment",deployment_raw[[#This Row],[Column5]]=0),1,deployment_raw[[#This Row],[Column5]])/1048576,"")</f>
        <v/>
      </c>
      <c r="P762" s="168" t="str">
        <f>IF(ISNUMBER(deployment_raw[[#This Row],[Column12]]), (MIN(IF(N762&lt;&gt;"",N762,9999999999999)*1.1,deployment_raw[[#This Row],[Column12]] * IF($E$2="Deployment",deployment_raw[[#This Row],[Column5]],1))*(1+$P$2)),"")</f>
        <v/>
      </c>
      <c r="Q762" s="167" t="str">
        <f>IF(ISNUMBER(deployment_raw[[#This Row],[Column13]]), (MIN(IF(O762&lt;&gt;"",O762,9999999999999)*1.1,deployment_raw[[#This Row],[Column13]] * IF($E$2="Deployment",deployment_raw[[#This Row],[Column5]],1)*(1+$Q$2)/1048576)),"")</f>
        <v/>
      </c>
      <c r="R762" s="169" t="str">
        <f>IF(ISNUMBER(deployment_raw[[#This Row],[Column8]]), (H762  * IF(N762&lt;&gt;0,$R$2,1)),"")</f>
        <v/>
      </c>
      <c r="S762" s="170" t="str">
        <f>IF(ISNUMBER(deployment_raw[[#This Row],[Column8]]), (I762  * IF(O762&lt;&gt;0,$S$2,1)),"")</f>
        <v/>
      </c>
      <c r="T762" s="202" t="str">
        <f>IF(AND(A762&lt;&gt;"",_xlfn.IFNA(MATCH(A762,'dynamic resource application '!$A$2:$A$100, 0),0)&lt;&gt;0), H762/(IF($E$2="Deployment",E762,1)),"")</f>
        <v/>
      </c>
      <c r="U762" s="211" t="str">
        <f>IF(AND(A762&lt;&gt;"",_xlfn.IFNA(MATCH(A762,'dynamic resource application '!$A$2:$A$100, 0),0)&lt;&gt;0), I762/(IF($E$2="Deployment",E762,1)),"")</f>
        <v/>
      </c>
    </row>
    <row r="763" spans="1:21" ht="15.75" customHeight="1" x14ac:dyDescent="0.25">
      <c r="A763" s="35" t="str">
        <f>IF(ISNONTEXT(deployment_raw[[#This Row],[Column1]]), "", deployment_raw[[#This Row],[Column1]])</f>
        <v/>
      </c>
      <c r="B763" s="36" t="str">
        <f>IF(ISNONTEXT(deployment_raw[[#This Row],[Column2]]), "", deployment_raw[[#This Row],[Column2]])</f>
        <v/>
      </c>
      <c r="C763" s="36" t="str">
        <f>IF(ISNONTEXT(deployment_raw[[#This Row],[Column3]]), "", deployment_raw[[#This Row],[Column3]])</f>
        <v/>
      </c>
      <c r="D763" s="36" t="str">
        <f>IF(ISNONTEXT(deployment_raw[[#This Row],[Column4]]), "", deployment_raw[[#This Row],[Column4]])</f>
        <v/>
      </c>
      <c r="E763" s="37" t="str">
        <f>IF(ISNUMBER(deployment_raw[[#This Row],[Column5]]), deployment_raw[[#This Row],[Column5]],"")</f>
        <v/>
      </c>
      <c r="F763" s="94" t="str">
        <f>IF(ISNUMBER(deployment_raw[[#This Row],[Column6]]), (deployment_raw[[#This Row],[Column6]] * IF($E$2="Deployment",deployment_raw[[#This Row],[Column5]],1)),"")</f>
        <v/>
      </c>
      <c r="G763" s="95" t="str">
        <f>IF(ISNUMBER(deployment_raw[[#This Row],[Column7]]), (deployment_raw[[#This Row],[Column7]] * IF($E$2="Deployment",deployment_raw[[#This Row],[Column5]],1))/1048576,"")</f>
        <v/>
      </c>
      <c r="H763" s="95" t="str">
        <f>IF(ISNUMBER(deployment_raw[[#This Row],[Column8]]), (deployment_raw[[#This Row],[Column8]]  * IF($E$2="Deployment",deployment_raw[[#This Row],[Column5]],1)),"")</f>
        <v/>
      </c>
      <c r="I763" s="96" t="str">
        <f>IF(ISNUMBER(deployment_raw[[#This Row],[Column9]]), (deployment_raw[[#This Row],[Column9]] * IF($E$2="Deployment",deployment_raw[[#This Row],[Column5]],1))/1048576,"")</f>
        <v/>
      </c>
      <c r="J763" s="122" t="str">
        <f>IF(ISNUMBER(deployment_raw[[#This Row],[Column10]]), (MIN(IF(N763&lt;&gt;"",N763,9999999999999)*1.1,deployment_raw[[#This Row],[Column10]] * IF($E$2="Deployment",deployment_raw[[#This Row],[Column5]],1))),"")</f>
        <v/>
      </c>
      <c r="K763" s="123" t="str">
        <f>IF(ISNUMBER(deployment_raw[[#This Row],[Column11]]), (MIN(IF(O763&lt;&gt;"",O763,9999999999999)*1.1,deployment_raw[[#This Row],[Column11]] * IF($E$2="Deployment",deployment_raw[[#This Row],[Column5]],1)/1048576)),"")</f>
        <v/>
      </c>
      <c r="L763" s="124" t="str">
        <f>IF(ISNUMBER(deployment_raw[[#This Row],[Column8]]),IF(OR(deployment_raw[[#This Row],[Column5]] &lt;&gt; 0,$E$2 &lt;&gt; "Deployment"), MAX(J763, P763, R763, ($L$2 * IF($E$2="Deployment",deployment_raw[[#This Row],[Column5]],1)),IF(T763&lt;&gt;"",VALUE(T763) * IF($E$2="Deployment",deployment_raw[[#This Row],[Column5]],1),0)), 0),"")</f>
        <v/>
      </c>
      <c r="M763" s="125" t="str">
        <f>IF(ISNUMBER(deployment_raw[[#This Row],[Column9]]),IF(OR(deployment_raw[[#This Row],[Column5]] &lt;&gt; 0,$E$2&lt;&gt;"Deployment"), MAX(K763, Q763, S763, ($M$2 * IF($E$2="Deployment",deployment_raw[[#This Row],[Column5]],1)),IF(U763&lt;&gt;"",VALUE(U763) * IF($E$2="Deployment",deployment_raw[[#This Row],[Column5]],1),0)), 0),"")</f>
        <v/>
      </c>
      <c r="N763" s="166" t="str">
        <f>IF(ISNUMBER(deployment_raw[[#This Row],[Column14]]), deployment_raw[[#This Row],[Column14]]/IF(OR($E$2="Deployment",deployment_raw[[#This Row],[Column5]]=0),1,deployment_raw[[#This Row],[Column5]]),"")</f>
        <v/>
      </c>
      <c r="O763" s="167" t="str">
        <f>IF(ISNUMBER(deployment_raw[[#This Row],[Column15]]), deployment_raw[[#This Row],[Column15]]/IF(OR($E$2="Deployment",deployment_raw[[#This Row],[Column5]]=0),1,deployment_raw[[#This Row],[Column5]])/1048576,"")</f>
        <v/>
      </c>
      <c r="P763" s="168" t="str">
        <f>IF(ISNUMBER(deployment_raw[[#This Row],[Column12]]), (MIN(IF(N763&lt;&gt;"",N763,9999999999999)*1.1,deployment_raw[[#This Row],[Column12]] * IF($E$2="Deployment",deployment_raw[[#This Row],[Column5]],1))*(1+$P$2)),"")</f>
        <v/>
      </c>
      <c r="Q763" s="167" t="str">
        <f>IF(ISNUMBER(deployment_raw[[#This Row],[Column13]]), (MIN(IF(O763&lt;&gt;"",O763,9999999999999)*1.1,deployment_raw[[#This Row],[Column13]] * IF($E$2="Deployment",deployment_raw[[#This Row],[Column5]],1)*(1+$Q$2)/1048576)),"")</f>
        <v/>
      </c>
      <c r="R763" s="169" t="str">
        <f>IF(ISNUMBER(deployment_raw[[#This Row],[Column8]]), (H763  * IF(N763&lt;&gt;0,$R$2,1)),"")</f>
        <v/>
      </c>
      <c r="S763" s="170" t="str">
        <f>IF(ISNUMBER(deployment_raw[[#This Row],[Column8]]), (I763  * IF(O763&lt;&gt;0,$S$2,1)),"")</f>
        <v/>
      </c>
      <c r="T763" s="202" t="str">
        <f>IF(AND(A763&lt;&gt;"",_xlfn.IFNA(MATCH(A763,'dynamic resource application '!$A$2:$A$100, 0),0)&lt;&gt;0), H763/(IF($E$2="Deployment",E763,1)),"")</f>
        <v/>
      </c>
      <c r="U763" s="211" t="str">
        <f>IF(AND(A763&lt;&gt;"",_xlfn.IFNA(MATCH(A763,'dynamic resource application '!$A$2:$A$100, 0),0)&lt;&gt;0), I763/(IF($E$2="Deployment",E763,1)),"")</f>
        <v/>
      </c>
    </row>
    <row r="764" spans="1:21" ht="15.75" customHeight="1" x14ac:dyDescent="0.25">
      <c r="A764" s="35" t="str">
        <f>IF(ISNONTEXT(deployment_raw[[#This Row],[Column1]]), "", deployment_raw[[#This Row],[Column1]])</f>
        <v/>
      </c>
      <c r="B764" s="36" t="str">
        <f>IF(ISNONTEXT(deployment_raw[[#This Row],[Column2]]), "", deployment_raw[[#This Row],[Column2]])</f>
        <v/>
      </c>
      <c r="C764" s="36" t="str">
        <f>IF(ISNONTEXT(deployment_raw[[#This Row],[Column3]]), "", deployment_raw[[#This Row],[Column3]])</f>
        <v/>
      </c>
      <c r="D764" s="36" t="str">
        <f>IF(ISNONTEXT(deployment_raw[[#This Row],[Column4]]), "", deployment_raw[[#This Row],[Column4]])</f>
        <v/>
      </c>
      <c r="E764" s="37" t="str">
        <f>IF(ISNUMBER(deployment_raw[[#This Row],[Column5]]), deployment_raw[[#This Row],[Column5]],"")</f>
        <v/>
      </c>
      <c r="F764" s="94" t="str">
        <f>IF(ISNUMBER(deployment_raw[[#This Row],[Column6]]), (deployment_raw[[#This Row],[Column6]] * IF($E$2="Deployment",deployment_raw[[#This Row],[Column5]],1)),"")</f>
        <v/>
      </c>
      <c r="G764" s="95" t="str">
        <f>IF(ISNUMBER(deployment_raw[[#This Row],[Column7]]), (deployment_raw[[#This Row],[Column7]] * IF($E$2="Deployment",deployment_raw[[#This Row],[Column5]],1))/1048576,"")</f>
        <v/>
      </c>
      <c r="H764" s="95" t="str">
        <f>IF(ISNUMBER(deployment_raw[[#This Row],[Column8]]), (deployment_raw[[#This Row],[Column8]]  * IF($E$2="Deployment",deployment_raw[[#This Row],[Column5]],1)),"")</f>
        <v/>
      </c>
      <c r="I764" s="96" t="str">
        <f>IF(ISNUMBER(deployment_raw[[#This Row],[Column9]]), (deployment_raw[[#This Row],[Column9]] * IF($E$2="Deployment",deployment_raw[[#This Row],[Column5]],1))/1048576,"")</f>
        <v/>
      </c>
      <c r="J764" s="122" t="str">
        <f>IF(ISNUMBER(deployment_raw[[#This Row],[Column10]]), (MIN(IF(N764&lt;&gt;"",N764,9999999999999)*1.1,deployment_raw[[#This Row],[Column10]] * IF($E$2="Deployment",deployment_raw[[#This Row],[Column5]],1))),"")</f>
        <v/>
      </c>
      <c r="K764" s="123" t="str">
        <f>IF(ISNUMBER(deployment_raw[[#This Row],[Column11]]), (MIN(IF(O764&lt;&gt;"",O764,9999999999999)*1.1,deployment_raw[[#This Row],[Column11]] * IF($E$2="Deployment",deployment_raw[[#This Row],[Column5]],1)/1048576)),"")</f>
        <v/>
      </c>
      <c r="L764" s="124" t="str">
        <f>IF(ISNUMBER(deployment_raw[[#This Row],[Column8]]),IF(OR(deployment_raw[[#This Row],[Column5]] &lt;&gt; 0,$E$2 &lt;&gt; "Deployment"), MAX(J764, P764, R764, ($L$2 * IF($E$2="Deployment",deployment_raw[[#This Row],[Column5]],1)),IF(T764&lt;&gt;"",VALUE(T764) * IF($E$2="Deployment",deployment_raw[[#This Row],[Column5]],1),0)), 0),"")</f>
        <v/>
      </c>
      <c r="M764" s="125" t="str">
        <f>IF(ISNUMBER(deployment_raw[[#This Row],[Column9]]),IF(OR(deployment_raw[[#This Row],[Column5]] &lt;&gt; 0,$E$2&lt;&gt;"Deployment"), MAX(K764, Q764, S764, ($M$2 * IF($E$2="Deployment",deployment_raw[[#This Row],[Column5]],1)),IF(U764&lt;&gt;"",VALUE(U764) * IF($E$2="Deployment",deployment_raw[[#This Row],[Column5]],1),0)), 0),"")</f>
        <v/>
      </c>
      <c r="N764" s="166" t="str">
        <f>IF(ISNUMBER(deployment_raw[[#This Row],[Column14]]), deployment_raw[[#This Row],[Column14]]/IF(OR($E$2="Deployment",deployment_raw[[#This Row],[Column5]]=0),1,deployment_raw[[#This Row],[Column5]]),"")</f>
        <v/>
      </c>
      <c r="O764" s="167" t="str">
        <f>IF(ISNUMBER(deployment_raw[[#This Row],[Column15]]), deployment_raw[[#This Row],[Column15]]/IF(OR($E$2="Deployment",deployment_raw[[#This Row],[Column5]]=0),1,deployment_raw[[#This Row],[Column5]])/1048576,"")</f>
        <v/>
      </c>
      <c r="P764" s="168" t="str">
        <f>IF(ISNUMBER(deployment_raw[[#This Row],[Column12]]), (MIN(IF(N764&lt;&gt;"",N764,9999999999999)*1.1,deployment_raw[[#This Row],[Column12]] * IF($E$2="Deployment",deployment_raw[[#This Row],[Column5]],1))*(1+$P$2)),"")</f>
        <v/>
      </c>
      <c r="Q764" s="167" t="str">
        <f>IF(ISNUMBER(deployment_raw[[#This Row],[Column13]]), (MIN(IF(O764&lt;&gt;"",O764,9999999999999)*1.1,deployment_raw[[#This Row],[Column13]] * IF($E$2="Deployment",deployment_raw[[#This Row],[Column5]],1)*(1+$Q$2)/1048576)),"")</f>
        <v/>
      </c>
      <c r="R764" s="169" t="str">
        <f>IF(ISNUMBER(deployment_raw[[#This Row],[Column8]]), (H764  * IF(N764&lt;&gt;0,$R$2,1)),"")</f>
        <v/>
      </c>
      <c r="S764" s="170" t="str">
        <f>IF(ISNUMBER(deployment_raw[[#This Row],[Column8]]), (I764  * IF(O764&lt;&gt;0,$S$2,1)),"")</f>
        <v/>
      </c>
      <c r="T764" s="202" t="str">
        <f>IF(AND(A764&lt;&gt;"",_xlfn.IFNA(MATCH(A764,'dynamic resource application '!$A$2:$A$100, 0),0)&lt;&gt;0), H764/(IF($E$2="Deployment",E764,1)),"")</f>
        <v/>
      </c>
      <c r="U764" s="211" t="str">
        <f>IF(AND(A764&lt;&gt;"",_xlfn.IFNA(MATCH(A764,'dynamic resource application '!$A$2:$A$100, 0),0)&lt;&gt;0), I764/(IF($E$2="Deployment",E764,1)),"")</f>
        <v/>
      </c>
    </row>
    <row r="765" spans="1:21" ht="15.75" customHeight="1" x14ac:dyDescent="0.25">
      <c r="A765" s="35" t="str">
        <f>IF(ISNONTEXT(deployment_raw[[#This Row],[Column1]]), "", deployment_raw[[#This Row],[Column1]])</f>
        <v/>
      </c>
      <c r="B765" s="36" t="str">
        <f>IF(ISNONTEXT(deployment_raw[[#This Row],[Column2]]), "", deployment_raw[[#This Row],[Column2]])</f>
        <v/>
      </c>
      <c r="C765" s="36" t="str">
        <f>IF(ISNONTEXT(deployment_raw[[#This Row],[Column3]]), "", deployment_raw[[#This Row],[Column3]])</f>
        <v/>
      </c>
      <c r="D765" s="36" t="str">
        <f>IF(ISNONTEXT(deployment_raw[[#This Row],[Column4]]), "", deployment_raw[[#This Row],[Column4]])</f>
        <v/>
      </c>
      <c r="E765" s="37" t="str">
        <f>IF(ISNUMBER(deployment_raw[[#This Row],[Column5]]), deployment_raw[[#This Row],[Column5]],"")</f>
        <v/>
      </c>
      <c r="F765" s="94" t="str">
        <f>IF(ISNUMBER(deployment_raw[[#This Row],[Column6]]), (deployment_raw[[#This Row],[Column6]] * IF($E$2="Deployment",deployment_raw[[#This Row],[Column5]],1)),"")</f>
        <v/>
      </c>
      <c r="G765" s="95" t="str">
        <f>IF(ISNUMBER(deployment_raw[[#This Row],[Column7]]), (deployment_raw[[#This Row],[Column7]] * IF($E$2="Deployment",deployment_raw[[#This Row],[Column5]],1))/1048576,"")</f>
        <v/>
      </c>
      <c r="H765" s="95" t="str">
        <f>IF(ISNUMBER(deployment_raw[[#This Row],[Column8]]), (deployment_raw[[#This Row],[Column8]]  * IF($E$2="Deployment",deployment_raw[[#This Row],[Column5]],1)),"")</f>
        <v/>
      </c>
      <c r="I765" s="96" t="str">
        <f>IF(ISNUMBER(deployment_raw[[#This Row],[Column9]]), (deployment_raw[[#This Row],[Column9]] * IF($E$2="Deployment",deployment_raw[[#This Row],[Column5]],1))/1048576,"")</f>
        <v/>
      </c>
      <c r="J765" s="122" t="str">
        <f>IF(ISNUMBER(deployment_raw[[#This Row],[Column10]]), (MIN(IF(N765&lt;&gt;"",N765,9999999999999)*1.1,deployment_raw[[#This Row],[Column10]] * IF($E$2="Deployment",deployment_raw[[#This Row],[Column5]],1))),"")</f>
        <v/>
      </c>
      <c r="K765" s="123" t="str">
        <f>IF(ISNUMBER(deployment_raw[[#This Row],[Column11]]), (MIN(IF(O765&lt;&gt;"",O765,9999999999999)*1.1,deployment_raw[[#This Row],[Column11]] * IF($E$2="Deployment",deployment_raw[[#This Row],[Column5]],1)/1048576)),"")</f>
        <v/>
      </c>
      <c r="L765" s="124" t="str">
        <f>IF(ISNUMBER(deployment_raw[[#This Row],[Column8]]),IF(OR(deployment_raw[[#This Row],[Column5]] &lt;&gt; 0,$E$2 &lt;&gt; "Deployment"), MAX(J765, P765, R765, ($L$2 * IF($E$2="Deployment",deployment_raw[[#This Row],[Column5]],1)),IF(T765&lt;&gt;"",VALUE(T765) * IF($E$2="Deployment",deployment_raw[[#This Row],[Column5]],1),0)), 0),"")</f>
        <v/>
      </c>
      <c r="M765" s="125" t="str">
        <f>IF(ISNUMBER(deployment_raw[[#This Row],[Column9]]),IF(OR(deployment_raw[[#This Row],[Column5]] &lt;&gt; 0,$E$2&lt;&gt;"Deployment"), MAX(K765, Q765, S765, ($M$2 * IF($E$2="Deployment",deployment_raw[[#This Row],[Column5]],1)),IF(U765&lt;&gt;"",VALUE(U765) * IF($E$2="Deployment",deployment_raw[[#This Row],[Column5]],1),0)), 0),"")</f>
        <v/>
      </c>
      <c r="N765" s="166" t="str">
        <f>IF(ISNUMBER(deployment_raw[[#This Row],[Column14]]), deployment_raw[[#This Row],[Column14]]/IF(OR($E$2="Deployment",deployment_raw[[#This Row],[Column5]]=0),1,deployment_raw[[#This Row],[Column5]]),"")</f>
        <v/>
      </c>
      <c r="O765" s="167" t="str">
        <f>IF(ISNUMBER(deployment_raw[[#This Row],[Column15]]), deployment_raw[[#This Row],[Column15]]/IF(OR($E$2="Deployment",deployment_raw[[#This Row],[Column5]]=0),1,deployment_raw[[#This Row],[Column5]])/1048576,"")</f>
        <v/>
      </c>
      <c r="P765" s="168" t="str">
        <f>IF(ISNUMBER(deployment_raw[[#This Row],[Column12]]), (MIN(IF(N765&lt;&gt;"",N765,9999999999999)*1.1,deployment_raw[[#This Row],[Column12]] * IF($E$2="Deployment",deployment_raw[[#This Row],[Column5]],1))*(1+$P$2)),"")</f>
        <v/>
      </c>
      <c r="Q765" s="167" t="str">
        <f>IF(ISNUMBER(deployment_raw[[#This Row],[Column13]]), (MIN(IF(O765&lt;&gt;"",O765,9999999999999)*1.1,deployment_raw[[#This Row],[Column13]] * IF($E$2="Deployment",deployment_raw[[#This Row],[Column5]],1)*(1+$Q$2)/1048576)),"")</f>
        <v/>
      </c>
      <c r="R765" s="169" t="str">
        <f>IF(ISNUMBER(deployment_raw[[#This Row],[Column8]]), (H765  * IF(N765&lt;&gt;0,$R$2,1)),"")</f>
        <v/>
      </c>
      <c r="S765" s="170" t="str">
        <f>IF(ISNUMBER(deployment_raw[[#This Row],[Column8]]), (I765  * IF(O765&lt;&gt;0,$S$2,1)),"")</f>
        <v/>
      </c>
      <c r="T765" s="202" t="str">
        <f>IF(AND(A765&lt;&gt;"",_xlfn.IFNA(MATCH(A765,'dynamic resource application '!$A$2:$A$100, 0),0)&lt;&gt;0), H765/(IF($E$2="Deployment",E765,1)),"")</f>
        <v/>
      </c>
      <c r="U765" s="211" t="str">
        <f>IF(AND(A765&lt;&gt;"",_xlfn.IFNA(MATCH(A765,'dynamic resource application '!$A$2:$A$100, 0),0)&lt;&gt;0), I765/(IF($E$2="Deployment",E765,1)),"")</f>
        <v/>
      </c>
    </row>
    <row r="766" spans="1:21" ht="15.75" customHeight="1" x14ac:dyDescent="0.25">
      <c r="A766" s="35" t="str">
        <f>IF(ISNONTEXT(deployment_raw[[#This Row],[Column1]]), "", deployment_raw[[#This Row],[Column1]])</f>
        <v/>
      </c>
      <c r="B766" s="36" t="str">
        <f>IF(ISNONTEXT(deployment_raw[[#This Row],[Column2]]), "", deployment_raw[[#This Row],[Column2]])</f>
        <v/>
      </c>
      <c r="C766" s="36" t="str">
        <f>IF(ISNONTEXT(deployment_raw[[#This Row],[Column3]]), "", deployment_raw[[#This Row],[Column3]])</f>
        <v/>
      </c>
      <c r="D766" s="36" t="str">
        <f>IF(ISNONTEXT(deployment_raw[[#This Row],[Column4]]), "", deployment_raw[[#This Row],[Column4]])</f>
        <v/>
      </c>
      <c r="E766" s="37" t="str">
        <f>IF(ISNUMBER(deployment_raw[[#This Row],[Column5]]), deployment_raw[[#This Row],[Column5]],"")</f>
        <v/>
      </c>
      <c r="F766" s="94" t="str">
        <f>IF(ISNUMBER(deployment_raw[[#This Row],[Column6]]), (deployment_raw[[#This Row],[Column6]] * IF($E$2="Deployment",deployment_raw[[#This Row],[Column5]],1)),"")</f>
        <v/>
      </c>
      <c r="G766" s="95" t="str">
        <f>IF(ISNUMBER(deployment_raw[[#This Row],[Column7]]), (deployment_raw[[#This Row],[Column7]] * IF($E$2="Deployment",deployment_raw[[#This Row],[Column5]],1))/1048576,"")</f>
        <v/>
      </c>
      <c r="H766" s="95" t="str">
        <f>IF(ISNUMBER(deployment_raw[[#This Row],[Column8]]), (deployment_raw[[#This Row],[Column8]]  * IF($E$2="Deployment",deployment_raw[[#This Row],[Column5]],1)),"")</f>
        <v/>
      </c>
      <c r="I766" s="96" t="str">
        <f>IF(ISNUMBER(deployment_raw[[#This Row],[Column9]]), (deployment_raw[[#This Row],[Column9]] * IF($E$2="Deployment",deployment_raw[[#This Row],[Column5]],1))/1048576,"")</f>
        <v/>
      </c>
      <c r="J766" s="122" t="str">
        <f>IF(ISNUMBER(deployment_raw[[#This Row],[Column10]]), (MIN(IF(N766&lt;&gt;"",N766,9999999999999)*1.1,deployment_raw[[#This Row],[Column10]] * IF($E$2="Deployment",deployment_raw[[#This Row],[Column5]],1))),"")</f>
        <v/>
      </c>
      <c r="K766" s="123" t="str">
        <f>IF(ISNUMBER(deployment_raw[[#This Row],[Column11]]), (MIN(IF(O766&lt;&gt;"",O766,9999999999999)*1.1,deployment_raw[[#This Row],[Column11]] * IF($E$2="Deployment",deployment_raw[[#This Row],[Column5]],1)/1048576)),"")</f>
        <v/>
      </c>
      <c r="L766" s="124" t="str">
        <f>IF(ISNUMBER(deployment_raw[[#This Row],[Column8]]),IF(OR(deployment_raw[[#This Row],[Column5]] &lt;&gt; 0,$E$2 &lt;&gt; "Deployment"), MAX(J766, P766, R766, ($L$2 * IF($E$2="Deployment",deployment_raw[[#This Row],[Column5]],1)),IF(T766&lt;&gt;"",VALUE(T766) * IF($E$2="Deployment",deployment_raw[[#This Row],[Column5]],1),0)), 0),"")</f>
        <v/>
      </c>
      <c r="M766" s="125" t="str">
        <f>IF(ISNUMBER(deployment_raw[[#This Row],[Column9]]),IF(OR(deployment_raw[[#This Row],[Column5]] &lt;&gt; 0,$E$2&lt;&gt;"Deployment"), MAX(K766, Q766, S766, ($M$2 * IF($E$2="Deployment",deployment_raw[[#This Row],[Column5]],1)),IF(U766&lt;&gt;"",VALUE(U766) * IF($E$2="Deployment",deployment_raw[[#This Row],[Column5]],1),0)), 0),"")</f>
        <v/>
      </c>
      <c r="N766" s="166" t="str">
        <f>IF(ISNUMBER(deployment_raw[[#This Row],[Column14]]), deployment_raw[[#This Row],[Column14]]/IF(OR($E$2="Deployment",deployment_raw[[#This Row],[Column5]]=0),1,deployment_raw[[#This Row],[Column5]]),"")</f>
        <v/>
      </c>
      <c r="O766" s="167" t="str">
        <f>IF(ISNUMBER(deployment_raw[[#This Row],[Column15]]), deployment_raw[[#This Row],[Column15]]/IF(OR($E$2="Deployment",deployment_raw[[#This Row],[Column5]]=0),1,deployment_raw[[#This Row],[Column5]])/1048576,"")</f>
        <v/>
      </c>
      <c r="P766" s="168" t="str">
        <f>IF(ISNUMBER(deployment_raw[[#This Row],[Column12]]), (MIN(IF(N766&lt;&gt;"",N766,9999999999999)*1.1,deployment_raw[[#This Row],[Column12]] * IF($E$2="Deployment",deployment_raw[[#This Row],[Column5]],1))*(1+$P$2)),"")</f>
        <v/>
      </c>
      <c r="Q766" s="167" t="str">
        <f>IF(ISNUMBER(deployment_raw[[#This Row],[Column13]]), (MIN(IF(O766&lt;&gt;"",O766,9999999999999)*1.1,deployment_raw[[#This Row],[Column13]] * IF($E$2="Deployment",deployment_raw[[#This Row],[Column5]],1)*(1+$Q$2)/1048576)),"")</f>
        <v/>
      </c>
      <c r="R766" s="169" t="str">
        <f>IF(ISNUMBER(deployment_raw[[#This Row],[Column8]]), (H766  * IF(N766&lt;&gt;0,$R$2,1)),"")</f>
        <v/>
      </c>
      <c r="S766" s="170" t="str">
        <f>IF(ISNUMBER(deployment_raw[[#This Row],[Column8]]), (I766  * IF(O766&lt;&gt;0,$S$2,1)),"")</f>
        <v/>
      </c>
      <c r="T766" s="202" t="str">
        <f>IF(AND(A766&lt;&gt;"",_xlfn.IFNA(MATCH(A766,'dynamic resource application '!$A$2:$A$100, 0),0)&lt;&gt;0), H766/(IF($E$2="Deployment",E766,1)),"")</f>
        <v/>
      </c>
      <c r="U766" s="211" t="str">
        <f>IF(AND(A766&lt;&gt;"",_xlfn.IFNA(MATCH(A766,'dynamic resource application '!$A$2:$A$100, 0),0)&lt;&gt;0), I766/(IF($E$2="Deployment",E766,1)),"")</f>
        <v/>
      </c>
    </row>
    <row r="767" spans="1:21" ht="15.75" customHeight="1" x14ac:dyDescent="0.25">
      <c r="A767" s="35" t="str">
        <f>IF(ISNONTEXT(deployment_raw[[#This Row],[Column1]]), "", deployment_raw[[#This Row],[Column1]])</f>
        <v/>
      </c>
      <c r="B767" s="36" t="str">
        <f>IF(ISNONTEXT(deployment_raw[[#This Row],[Column2]]), "", deployment_raw[[#This Row],[Column2]])</f>
        <v/>
      </c>
      <c r="C767" s="36" t="str">
        <f>IF(ISNONTEXT(deployment_raw[[#This Row],[Column3]]), "", deployment_raw[[#This Row],[Column3]])</f>
        <v/>
      </c>
      <c r="D767" s="36" t="str">
        <f>IF(ISNONTEXT(deployment_raw[[#This Row],[Column4]]), "", deployment_raw[[#This Row],[Column4]])</f>
        <v/>
      </c>
      <c r="E767" s="37" t="str">
        <f>IF(ISNUMBER(deployment_raw[[#This Row],[Column5]]), deployment_raw[[#This Row],[Column5]],"")</f>
        <v/>
      </c>
      <c r="F767" s="94" t="str">
        <f>IF(ISNUMBER(deployment_raw[[#This Row],[Column6]]), (deployment_raw[[#This Row],[Column6]] * IF($E$2="Deployment",deployment_raw[[#This Row],[Column5]],1)),"")</f>
        <v/>
      </c>
      <c r="G767" s="95" t="str">
        <f>IF(ISNUMBER(deployment_raw[[#This Row],[Column7]]), (deployment_raw[[#This Row],[Column7]] * IF($E$2="Deployment",deployment_raw[[#This Row],[Column5]],1))/1048576,"")</f>
        <v/>
      </c>
      <c r="H767" s="95" t="str">
        <f>IF(ISNUMBER(deployment_raw[[#This Row],[Column8]]), (deployment_raw[[#This Row],[Column8]]  * IF($E$2="Deployment",deployment_raw[[#This Row],[Column5]],1)),"")</f>
        <v/>
      </c>
      <c r="I767" s="96" t="str">
        <f>IF(ISNUMBER(deployment_raw[[#This Row],[Column9]]), (deployment_raw[[#This Row],[Column9]] * IF($E$2="Deployment",deployment_raw[[#This Row],[Column5]],1))/1048576,"")</f>
        <v/>
      </c>
      <c r="J767" s="122" t="str">
        <f>IF(ISNUMBER(deployment_raw[[#This Row],[Column10]]), (MIN(IF(N767&lt;&gt;"",N767,9999999999999)*1.1,deployment_raw[[#This Row],[Column10]] * IF($E$2="Deployment",deployment_raw[[#This Row],[Column5]],1))),"")</f>
        <v/>
      </c>
      <c r="K767" s="123" t="str">
        <f>IF(ISNUMBER(deployment_raw[[#This Row],[Column11]]), (MIN(IF(O767&lt;&gt;"",O767,9999999999999)*1.1,deployment_raw[[#This Row],[Column11]] * IF($E$2="Deployment",deployment_raw[[#This Row],[Column5]],1)/1048576)),"")</f>
        <v/>
      </c>
      <c r="L767" s="124" t="str">
        <f>IF(ISNUMBER(deployment_raw[[#This Row],[Column8]]),IF(OR(deployment_raw[[#This Row],[Column5]] &lt;&gt; 0,$E$2 &lt;&gt; "Deployment"), MAX(J767, P767, R767, ($L$2 * IF($E$2="Deployment",deployment_raw[[#This Row],[Column5]],1)),IF(T767&lt;&gt;"",VALUE(T767) * IF($E$2="Deployment",deployment_raw[[#This Row],[Column5]],1),0)), 0),"")</f>
        <v/>
      </c>
      <c r="M767" s="125" t="str">
        <f>IF(ISNUMBER(deployment_raw[[#This Row],[Column9]]),IF(OR(deployment_raw[[#This Row],[Column5]] &lt;&gt; 0,$E$2&lt;&gt;"Deployment"), MAX(K767, Q767, S767, ($M$2 * IF($E$2="Deployment",deployment_raw[[#This Row],[Column5]],1)),IF(U767&lt;&gt;"",VALUE(U767) * IF($E$2="Deployment",deployment_raw[[#This Row],[Column5]],1),0)), 0),"")</f>
        <v/>
      </c>
      <c r="N767" s="166" t="str">
        <f>IF(ISNUMBER(deployment_raw[[#This Row],[Column14]]), deployment_raw[[#This Row],[Column14]]/IF(OR($E$2="Deployment",deployment_raw[[#This Row],[Column5]]=0),1,deployment_raw[[#This Row],[Column5]]),"")</f>
        <v/>
      </c>
      <c r="O767" s="167" t="str">
        <f>IF(ISNUMBER(deployment_raw[[#This Row],[Column15]]), deployment_raw[[#This Row],[Column15]]/IF(OR($E$2="Deployment",deployment_raw[[#This Row],[Column5]]=0),1,deployment_raw[[#This Row],[Column5]])/1048576,"")</f>
        <v/>
      </c>
      <c r="P767" s="168" t="str">
        <f>IF(ISNUMBER(deployment_raw[[#This Row],[Column12]]), (MIN(IF(N767&lt;&gt;"",N767,9999999999999)*1.1,deployment_raw[[#This Row],[Column12]] * IF($E$2="Deployment",deployment_raw[[#This Row],[Column5]],1))*(1+$P$2)),"")</f>
        <v/>
      </c>
      <c r="Q767" s="167" t="str">
        <f>IF(ISNUMBER(deployment_raw[[#This Row],[Column13]]), (MIN(IF(O767&lt;&gt;"",O767,9999999999999)*1.1,deployment_raw[[#This Row],[Column13]] * IF($E$2="Deployment",deployment_raw[[#This Row],[Column5]],1)*(1+$Q$2)/1048576)),"")</f>
        <v/>
      </c>
      <c r="R767" s="169" t="str">
        <f>IF(ISNUMBER(deployment_raw[[#This Row],[Column8]]), (H767  * IF(N767&lt;&gt;0,$R$2,1)),"")</f>
        <v/>
      </c>
      <c r="S767" s="170" t="str">
        <f>IF(ISNUMBER(deployment_raw[[#This Row],[Column8]]), (I767  * IF(O767&lt;&gt;0,$S$2,1)),"")</f>
        <v/>
      </c>
      <c r="T767" s="202" t="str">
        <f>IF(AND(A767&lt;&gt;"",_xlfn.IFNA(MATCH(A767,'dynamic resource application '!$A$2:$A$100, 0),0)&lt;&gt;0), H767/(IF($E$2="Deployment",E767,1)),"")</f>
        <v/>
      </c>
      <c r="U767" s="211" t="str">
        <f>IF(AND(A767&lt;&gt;"",_xlfn.IFNA(MATCH(A767,'dynamic resource application '!$A$2:$A$100, 0),0)&lt;&gt;0), I767/(IF($E$2="Deployment",E767,1)),"")</f>
        <v/>
      </c>
    </row>
    <row r="768" spans="1:21" ht="15.75" customHeight="1" x14ac:dyDescent="0.25">
      <c r="A768" s="35" t="str">
        <f>IF(ISNONTEXT(deployment_raw[[#This Row],[Column1]]), "", deployment_raw[[#This Row],[Column1]])</f>
        <v/>
      </c>
      <c r="B768" s="36" t="str">
        <f>IF(ISNONTEXT(deployment_raw[[#This Row],[Column2]]), "", deployment_raw[[#This Row],[Column2]])</f>
        <v/>
      </c>
      <c r="C768" s="36" t="str">
        <f>IF(ISNONTEXT(deployment_raw[[#This Row],[Column3]]), "", deployment_raw[[#This Row],[Column3]])</f>
        <v/>
      </c>
      <c r="D768" s="36" t="str">
        <f>IF(ISNONTEXT(deployment_raw[[#This Row],[Column4]]), "", deployment_raw[[#This Row],[Column4]])</f>
        <v/>
      </c>
      <c r="E768" s="37" t="str">
        <f>IF(ISNUMBER(deployment_raw[[#This Row],[Column5]]), deployment_raw[[#This Row],[Column5]],"")</f>
        <v/>
      </c>
      <c r="F768" s="94" t="str">
        <f>IF(ISNUMBER(deployment_raw[[#This Row],[Column6]]), (deployment_raw[[#This Row],[Column6]] * IF($E$2="Deployment",deployment_raw[[#This Row],[Column5]],1)),"")</f>
        <v/>
      </c>
      <c r="G768" s="95" t="str">
        <f>IF(ISNUMBER(deployment_raw[[#This Row],[Column7]]), (deployment_raw[[#This Row],[Column7]] * IF($E$2="Deployment",deployment_raw[[#This Row],[Column5]],1))/1048576,"")</f>
        <v/>
      </c>
      <c r="H768" s="95" t="str">
        <f>IF(ISNUMBER(deployment_raw[[#This Row],[Column8]]), (deployment_raw[[#This Row],[Column8]]  * IF($E$2="Deployment",deployment_raw[[#This Row],[Column5]],1)),"")</f>
        <v/>
      </c>
      <c r="I768" s="96" t="str">
        <f>IF(ISNUMBER(deployment_raw[[#This Row],[Column9]]), (deployment_raw[[#This Row],[Column9]] * IF($E$2="Deployment",deployment_raw[[#This Row],[Column5]],1))/1048576,"")</f>
        <v/>
      </c>
      <c r="J768" s="122" t="str">
        <f>IF(ISNUMBER(deployment_raw[[#This Row],[Column10]]), (MIN(IF(N768&lt;&gt;"",N768,9999999999999)*1.1,deployment_raw[[#This Row],[Column10]] * IF($E$2="Deployment",deployment_raw[[#This Row],[Column5]],1))),"")</f>
        <v/>
      </c>
      <c r="K768" s="123" t="str">
        <f>IF(ISNUMBER(deployment_raw[[#This Row],[Column11]]), (MIN(IF(O768&lt;&gt;"",O768,9999999999999)*1.1,deployment_raw[[#This Row],[Column11]] * IF($E$2="Deployment",deployment_raw[[#This Row],[Column5]],1)/1048576)),"")</f>
        <v/>
      </c>
      <c r="L768" s="124" t="str">
        <f>IF(ISNUMBER(deployment_raw[[#This Row],[Column8]]),IF(OR(deployment_raw[[#This Row],[Column5]] &lt;&gt; 0,$E$2 &lt;&gt; "Deployment"), MAX(J768, P768, R768, ($L$2 * IF($E$2="Deployment",deployment_raw[[#This Row],[Column5]],1)),IF(T768&lt;&gt;"",VALUE(T768) * IF($E$2="Deployment",deployment_raw[[#This Row],[Column5]],1),0)), 0),"")</f>
        <v/>
      </c>
      <c r="M768" s="125" t="str">
        <f>IF(ISNUMBER(deployment_raw[[#This Row],[Column9]]),IF(OR(deployment_raw[[#This Row],[Column5]] &lt;&gt; 0,$E$2&lt;&gt;"Deployment"), MAX(K768, Q768, S768, ($M$2 * IF($E$2="Deployment",deployment_raw[[#This Row],[Column5]],1)),IF(U768&lt;&gt;"",VALUE(U768) * IF($E$2="Deployment",deployment_raw[[#This Row],[Column5]],1),0)), 0),"")</f>
        <v/>
      </c>
      <c r="N768" s="166" t="str">
        <f>IF(ISNUMBER(deployment_raw[[#This Row],[Column14]]), deployment_raw[[#This Row],[Column14]]/IF(OR($E$2="Deployment",deployment_raw[[#This Row],[Column5]]=0),1,deployment_raw[[#This Row],[Column5]]),"")</f>
        <v/>
      </c>
      <c r="O768" s="167" t="str">
        <f>IF(ISNUMBER(deployment_raw[[#This Row],[Column15]]), deployment_raw[[#This Row],[Column15]]/IF(OR($E$2="Deployment",deployment_raw[[#This Row],[Column5]]=0),1,deployment_raw[[#This Row],[Column5]])/1048576,"")</f>
        <v/>
      </c>
      <c r="P768" s="168" t="str">
        <f>IF(ISNUMBER(deployment_raw[[#This Row],[Column12]]), (MIN(IF(N768&lt;&gt;"",N768,9999999999999)*1.1,deployment_raw[[#This Row],[Column12]] * IF($E$2="Deployment",deployment_raw[[#This Row],[Column5]],1))*(1+$P$2)),"")</f>
        <v/>
      </c>
      <c r="Q768" s="167" t="str">
        <f>IF(ISNUMBER(deployment_raw[[#This Row],[Column13]]), (MIN(IF(O768&lt;&gt;"",O768,9999999999999)*1.1,deployment_raw[[#This Row],[Column13]] * IF($E$2="Deployment",deployment_raw[[#This Row],[Column5]],1)*(1+$Q$2)/1048576)),"")</f>
        <v/>
      </c>
      <c r="R768" s="169" t="str">
        <f>IF(ISNUMBER(deployment_raw[[#This Row],[Column8]]), (H768  * IF(N768&lt;&gt;0,$R$2,1)),"")</f>
        <v/>
      </c>
      <c r="S768" s="170" t="str">
        <f>IF(ISNUMBER(deployment_raw[[#This Row],[Column8]]), (I768  * IF(O768&lt;&gt;0,$S$2,1)),"")</f>
        <v/>
      </c>
      <c r="T768" s="202" t="str">
        <f>IF(AND(A768&lt;&gt;"",_xlfn.IFNA(MATCH(A768,'dynamic resource application '!$A$2:$A$100, 0),0)&lt;&gt;0), H768/(IF($E$2="Deployment",E768,1)),"")</f>
        <v/>
      </c>
      <c r="U768" s="211" t="str">
        <f>IF(AND(A768&lt;&gt;"",_xlfn.IFNA(MATCH(A768,'dynamic resource application '!$A$2:$A$100, 0),0)&lt;&gt;0), I768/(IF($E$2="Deployment",E768,1)),"")</f>
        <v/>
      </c>
    </row>
    <row r="769" spans="1:21" ht="15.75" customHeight="1" x14ac:dyDescent="0.25">
      <c r="A769" s="35" t="str">
        <f>IF(ISNONTEXT(deployment_raw[[#This Row],[Column1]]), "", deployment_raw[[#This Row],[Column1]])</f>
        <v/>
      </c>
      <c r="B769" s="36" t="str">
        <f>IF(ISNONTEXT(deployment_raw[[#This Row],[Column2]]), "", deployment_raw[[#This Row],[Column2]])</f>
        <v/>
      </c>
      <c r="C769" s="36" t="str">
        <f>IF(ISNONTEXT(deployment_raw[[#This Row],[Column3]]), "", deployment_raw[[#This Row],[Column3]])</f>
        <v/>
      </c>
      <c r="D769" s="36" t="str">
        <f>IF(ISNONTEXT(deployment_raw[[#This Row],[Column4]]), "", deployment_raw[[#This Row],[Column4]])</f>
        <v/>
      </c>
      <c r="E769" s="37" t="str">
        <f>IF(ISNUMBER(deployment_raw[[#This Row],[Column5]]), deployment_raw[[#This Row],[Column5]],"")</f>
        <v/>
      </c>
      <c r="F769" s="94" t="str">
        <f>IF(ISNUMBER(deployment_raw[[#This Row],[Column6]]), (deployment_raw[[#This Row],[Column6]] * IF($E$2="Deployment",deployment_raw[[#This Row],[Column5]],1)),"")</f>
        <v/>
      </c>
      <c r="G769" s="95" t="str">
        <f>IF(ISNUMBER(deployment_raw[[#This Row],[Column7]]), (deployment_raw[[#This Row],[Column7]] * IF($E$2="Deployment",deployment_raw[[#This Row],[Column5]],1))/1048576,"")</f>
        <v/>
      </c>
      <c r="H769" s="95" t="str">
        <f>IF(ISNUMBER(deployment_raw[[#This Row],[Column8]]), (deployment_raw[[#This Row],[Column8]]  * IF($E$2="Deployment",deployment_raw[[#This Row],[Column5]],1)),"")</f>
        <v/>
      </c>
      <c r="I769" s="96" t="str">
        <f>IF(ISNUMBER(deployment_raw[[#This Row],[Column9]]), (deployment_raw[[#This Row],[Column9]] * IF($E$2="Deployment",deployment_raw[[#This Row],[Column5]],1))/1048576,"")</f>
        <v/>
      </c>
      <c r="J769" s="122" t="str">
        <f>IF(ISNUMBER(deployment_raw[[#This Row],[Column10]]), (MIN(IF(N769&lt;&gt;"",N769,9999999999999)*1.1,deployment_raw[[#This Row],[Column10]] * IF($E$2="Deployment",deployment_raw[[#This Row],[Column5]],1))),"")</f>
        <v/>
      </c>
      <c r="K769" s="123" t="str">
        <f>IF(ISNUMBER(deployment_raw[[#This Row],[Column11]]), (MIN(IF(O769&lt;&gt;"",O769,9999999999999)*1.1,deployment_raw[[#This Row],[Column11]] * IF($E$2="Deployment",deployment_raw[[#This Row],[Column5]],1)/1048576)),"")</f>
        <v/>
      </c>
      <c r="L769" s="124" t="str">
        <f>IF(ISNUMBER(deployment_raw[[#This Row],[Column8]]),IF(OR(deployment_raw[[#This Row],[Column5]] &lt;&gt; 0,$E$2 &lt;&gt; "Deployment"), MAX(J769, P769, R769, ($L$2 * IF($E$2="Deployment",deployment_raw[[#This Row],[Column5]],1)),IF(T769&lt;&gt;"",VALUE(T769) * IF($E$2="Deployment",deployment_raw[[#This Row],[Column5]],1),0)), 0),"")</f>
        <v/>
      </c>
      <c r="M769" s="125" t="str">
        <f>IF(ISNUMBER(deployment_raw[[#This Row],[Column9]]),IF(OR(deployment_raw[[#This Row],[Column5]] &lt;&gt; 0,$E$2&lt;&gt;"Deployment"), MAX(K769, Q769, S769, ($M$2 * IF($E$2="Deployment",deployment_raw[[#This Row],[Column5]],1)),IF(U769&lt;&gt;"",VALUE(U769) * IF($E$2="Deployment",deployment_raw[[#This Row],[Column5]],1),0)), 0),"")</f>
        <v/>
      </c>
      <c r="N769" s="166" t="str">
        <f>IF(ISNUMBER(deployment_raw[[#This Row],[Column14]]), deployment_raw[[#This Row],[Column14]]/IF(OR($E$2="Deployment",deployment_raw[[#This Row],[Column5]]=0),1,deployment_raw[[#This Row],[Column5]]),"")</f>
        <v/>
      </c>
      <c r="O769" s="167" t="str">
        <f>IF(ISNUMBER(deployment_raw[[#This Row],[Column15]]), deployment_raw[[#This Row],[Column15]]/IF(OR($E$2="Deployment",deployment_raw[[#This Row],[Column5]]=0),1,deployment_raw[[#This Row],[Column5]])/1048576,"")</f>
        <v/>
      </c>
      <c r="P769" s="168" t="str">
        <f>IF(ISNUMBER(deployment_raw[[#This Row],[Column12]]), (MIN(IF(N769&lt;&gt;"",N769,9999999999999)*1.1,deployment_raw[[#This Row],[Column12]] * IF($E$2="Deployment",deployment_raw[[#This Row],[Column5]],1))*(1+$P$2)),"")</f>
        <v/>
      </c>
      <c r="Q769" s="167" t="str">
        <f>IF(ISNUMBER(deployment_raw[[#This Row],[Column13]]), (MIN(IF(O769&lt;&gt;"",O769,9999999999999)*1.1,deployment_raw[[#This Row],[Column13]] * IF($E$2="Deployment",deployment_raw[[#This Row],[Column5]],1)*(1+$Q$2)/1048576)),"")</f>
        <v/>
      </c>
      <c r="R769" s="169" t="str">
        <f>IF(ISNUMBER(deployment_raw[[#This Row],[Column8]]), (H769  * IF(N769&lt;&gt;0,$R$2,1)),"")</f>
        <v/>
      </c>
      <c r="S769" s="170" t="str">
        <f>IF(ISNUMBER(deployment_raw[[#This Row],[Column8]]), (I769  * IF(O769&lt;&gt;0,$S$2,1)),"")</f>
        <v/>
      </c>
      <c r="T769" s="202" t="str">
        <f>IF(AND(A769&lt;&gt;"",_xlfn.IFNA(MATCH(A769,'dynamic resource application '!$A$2:$A$100, 0),0)&lt;&gt;0), H769/(IF($E$2="Deployment",E769,1)),"")</f>
        <v/>
      </c>
      <c r="U769" s="211" t="str">
        <f>IF(AND(A769&lt;&gt;"",_xlfn.IFNA(MATCH(A769,'dynamic resource application '!$A$2:$A$100, 0),0)&lt;&gt;0), I769/(IF($E$2="Deployment",E769,1)),"")</f>
        <v/>
      </c>
    </row>
    <row r="770" spans="1:21" ht="15.75" customHeight="1" x14ac:dyDescent="0.25">
      <c r="A770" s="35" t="str">
        <f>IF(ISNONTEXT(deployment_raw[[#This Row],[Column1]]), "", deployment_raw[[#This Row],[Column1]])</f>
        <v/>
      </c>
      <c r="B770" s="36" t="str">
        <f>IF(ISNONTEXT(deployment_raw[[#This Row],[Column2]]), "", deployment_raw[[#This Row],[Column2]])</f>
        <v/>
      </c>
      <c r="C770" s="36" t="str">
        <f>IF(ISNONTEXT(deployment_raw[[#This Row],[Column3]]), "", deployment_raw[[#This Row],[Column3]])</f>
        <v/>
      </c>
      <c r="D770" s="36" t="str">
        <f>IF(ISNONTEXT(deployment_raw[[#This Row],[Column4]]), "", deployment_raw[[#This Row],[Column4]])</f>
        <v/>
      </c>
      <c r="E770" s="37" t="str">
        <f>IF(ISNUMBER(deployment_raw[[#This Row],[Column5]]), deployment_raw[[#This Row],[Column5]],"")</f>
        <v/>
      </c>
      <c r="F770" s="94" t="str">
        <f>IF(ISNUMBER(deployment_raw[[#This Row],[Column6]]), (deployment_raw[[#This Row],[Column6]] * IF($E$2="Deployment",deployment_raw[[#This Row],[Column5]],1)),"")</f>
        <v/>
      </c>
      <c r="G770" s="95" t="str">
        <f>IF(ISNUMBER(deployment_raw[[#This Row],[Column7]]), (deployment_raw[[#This Row],[Column7]] * IF($E$2="Deployment",deployment_raw[[#This Row],[Column5]],1))/1048576,"")</f>
        <v/>
      </c>
      <c r="H770" s="95" t="str">
        <f>IF(ISNUMBER(deployment_raw[[#This Row],[Column8]]), (deployment_raw[[#This Row],[Column8]]  * IF($E$2="Deployment",deployment_raw[[#This Row],[Column5]],1)),"")</f>
        <v/>
      </c>
      <c r="I770" s="96" t="str">
        <f>IF(ISNUMBER(deployment_raw[[#This Row],[Column9]]), (deployment_raw[[#This Row],[Column9]] * IF($E$2="Deployment",deployment_raw[[#This Row],[Column5]],1))/1048576,"")</f>
        <v/>
      </c>
      <c r="J770" s="122" t="str">
        <f>IF(ISNUMBER(deployment_raw[[#This Row],[Column10]]), (MIN(IF(N770&lt;&gt;"",N770,9999999999999)*1.1,deployment_raw[[#This Row],[Column10]] * IF($E$2="Deployment",deployment_raw[[#This Row],[Column5]],1))),"")</f>
        <v/>
      </c>
      <c r="K770" s="123" t="str">
        <f>IF(ISNUMBER(deployment_raw[[#This Row],[Column11]]), (MIN(IF(O770&lt;&gt;"",O770,9999999999999)*1.1,deployment_raw[[#This Row],[Column11]] * IF($E$2="Deployment",deployment_raw[[#This Row],[Column5]],1)/1048576)),"")</f>
        <v/>
      </c>
      <c r="L770" s="124" t="str">
        <f>IF(ISNUMBER(deployment_raw[[#This Row],[Column8]]),IF(OR(deployment_raw[[#This Row],[Column5]] &lt;&gt; 0,$E$2 &lt;&gt; "Deployment"), MAX(J770, P770, R770, ($L$2 * IF($E$2="Deployment",deployment_raw[[#This Row],[Column5]],1)),IF(T770&lt;&gt;"",VALUE(T770) * IF($E$2="Deployment",deployment_raw[[#This Row],[Column5]],1),0)), 0),"")</f>
        <v/>
      </c>
      <c r="M770" s="125" t="str">
        <f>IF(ISNUMBER(deployment_raw[[#This Row],[Column9]]),IF(OR(deployment_raw[[#This Row],[Column5]] &lt;&gt; 0,$E$2&lt;&gt;"Deployment"), MAX(K770, Q770, S770, ($M$2 * IF($E$2="Deployment",deployment_raw[[#This Row],[Column5]],1)),IF(U770&lt;&gt;"",VALUE(U770) * IF($E$2="Deployment",deployment_raw[[#This Row],[Column5]],1),0)), 0),"")</f>
        <v/>
      </c>
      <c r="N770" s="166" t="str">
        <f>IF(ISNUMBER(deployment_raw[[#This Row],[Column14]]), deployment_raw[[#This Row],[Column14]]/IF(OR($E$2="Deployment",deployment_raw[[#This Row],[Column5]]=0),1,deployment_raw[[#This Row],[Column5]]),"")</f>
        <v/>
      </c>
      <c r="O770" s="167" t="str">
        <f>IF(ISNUMBER(deployment_raw[[#This Row],[Column15]]), deployment_raw[[#This Row],[Column15]]/IF(OR($E$2="Deployment",deployment_raw[[#This Row],[Column5]]=0),1,deployment_raw[[#This Row],[Column5]])/1048576,"")</f>
        <v/>
      </c>
      <c r="P770" s="168" t="str">
        <f>IF(ISNUMBER(deployment_raw[[#This Row],[Column12]]), (MIN(IF(N770&lt;&gt;"",N770,9999999999999)*1.1,deployment_raw[[#This Row],[Column12]] * IF($E$2="Deployment",deployment_raw[[#This Row],[Column5]],1))*(1+$P$2)),"")</f>
        <v/>
      </c>
      <c r="Q770" s="167" t="str">
        <f>IF(ISNUMBER(deployment_raw[[#This Row],[Column13]]), (MIN(IF(O770&lt;&gt;"",O770,9999999999999)*1.1,deployment_raw[[#This Row],[Column13]] * IF($E$2="Deployment",deployment_raw[[#This Row],[Column5]],1)*(1+$Q$2)/1048576)),"")</f>
        <v/>
      </c>
      <c r="R770" s="169" t="str">
        <f>IF(ISNUMBER(deployment_raw[[#This Row],[Column8]]), (H770  * IF(N770&lt;&gt;0,$R$2,1)),"")</f>
        <v/>
      </c>
      <c r="S770" s="170" t="str">
        <f>IF(ISNUMBER(deployment_raw[[#This Row],[Column8]]), (I770  * IF(O770&lt;&gt;0,$S$2,1)),"")</f>
        <v/>
      </c>
      <c r="T770" s="202" t="str">
        <f>IF(AND(A770&lt;&gt;"",_xlfn.IFNA(MATCH(A770,'dynamic resource application '!$A$2:$A$100, 0),0)&lt;&gt;0), H770/(IF($E$2="Deployment",E770,1)),"")</f>
        <v/>
      </c>
      <c r="U770" s="211" t="str">
        <f>IF(AND(A770&lt;&gt;"",_xlfn.IFNA(MATCH(A770,'dynamic resource application '!$A$2:$A$100, 0),0)&lt;&gt;0), I770/(IF($E$2="Deployment",E770,1)),"")</f>
        <v/>
      </c>
    </row>
    <row r="771" spans="1:21" ht="15.75" customHeight="1" x14ac:dyDescent="0.25">
      <c r="A771" s="35" t="str">
        <f>IF(ISNONTEXT(deployment_raw[[#This Row],[Column1]]), "", deployment_raw[[#This Row],[Column1]])</f>
        <v/>
      </c>
      <c r="B771" s="36" t="str">
        <f>IF(ISNONTEXT(deployment_raw[[#This Row],[Column2]]), "", deployment_raw[[#This Row],[Column2]])</f>
        <v/>
      </c>
      <c r="C771" s="36" t="str">
        <f>IF(ISNONTEXT(deployment_raw[[#This Row],[Column3]]), "", deployment_raw[[#This Row],[Column3]])</f>
        <v/>
      </c>
      <c r="D771" s="36" t="str">
        <f>IF(ISNONTEXT(deployment_raw[[#This Row],[Column4]]), "", deployment_raw[[#This Row],[Column4]])</f>
        <v/>
      </c>
      <c r="E771" s="37" t="str">
        <f>IF(ISNUMBER(deployment_raw[[#This Row],[Column5]]), deployment_raw[[#This Row],[Column5]],"")</f>
        <v/>
      </c>
      <c r="F771" s="94" t="str">
        <f>IF(ISNUMBER(deployment_raw[[#This Row],[Column6]]), (deployment_raw[[#This Row],[Column6]] * IF($E$2="Deployment",deployment_raw[[#This Row],[Column5]],1)),"")</f>
        <v/>
      </c>
      <c r="G771" s="95" t="str">
        <f>IF(ISNUMBER(deployment_raw[[#This Row],[Column7]]), (deployment_raw[[#This Row],[Column7]] * IF($E$2="Deployment",deployment_raw[[#This Row],[Column5]],1))/1048576,"")</f>
        <v/>
      </c>
      <c r="H771" s="95" t="str">
        <f>IF(ISNUMBER(deployment_raw[[#This Row],[Column8]]), (deployment_raw[[#This Row],[Column8]]  * IF($E$2="Deployment",deployment_raw[[#This Row],[Column5]],1)),"")</f>
        <v/>
      </c>
      <c r="I771" s="96" t="str">
        <f>IF(ISNUMBER(deployment_raw[[#This Row],[Column9]]), (deployment_raw[[#This Row],[Column9]] * IF($E$2="Deployment",deployment_raw[[#This Row],[Column5]],1))/1048576,"")</f>
        <v/>
      </c>
      <c r="J771" s="122" t="str">
        <f>IF(ISNUMBER(deployment_raw[[#This Row],[Column10]]), (MIN(IF(N771&lt;&gt;"",N771,9999999999999)*1.1,deployment_raw[[#This Row],[Column10]] * IF($E$2="Deployment",deployment_raw[[#This Row],[Column5]],1))),"")</f>
        <v/>
      </c>
      <c r="K771" s="123" t="str">
        <f>IF(ISNUMBER(deployment_raw[[#This Row],[Column11]]), (MIN(IF(O771&lt;&gt;"",O771,9999999999999)*1.1,deployment_raw[[#This Row],[Column11]] * IF($E$2="Deployment",deployment_raw[[#This Row],[Column5]],1)/1048576)),"")</f>
        <v/>
      </c>
      <c r="L771" s="124" t="str">
        <f>IF(ISNUMBER(deployment_raw[[#This Row],[Column8]]),IF(OR(deployment_raw[[#This Row],[Column5]] &lt;&gt; 0,$E$2 &lt;&gt; "Deployment"), MAX(J771, P771, R771, ($L$2 * IF($E$2="Deployment",deployment_raw[[#This Row],[Column5]],1)),IF(T771&lt;&gt;"",VALUE(T771) * IF($E$2="Deployment",deployment_raw[[#This Row],[Column5]],1),0)), 0),"")</f>
        <v/>
      </c>
      <c r="M771" s="125" t="str">
        <f>IF(ISNUMBER(deployment_raw[[#This Row],[Column9]]),IF(OR(deployment_raw[[#This Row],[Column5]] &lt;&gt; 0,$E$2&lt;&gt;"Deployment"), MAX(K771, Q771, S771, ($M$2 * IF($E$2="Deployment",deployment_raw[[#This Row],[Column5]],1)),IF(U771&lt;&gt;"",VALUE(U771) * IF($E$2="Deployment",deployment_raw[[#This Row],[Column5]],1),0)), 0),"")</f>
        <v/>
      </c>
      <c r="N771" s="166" t="str">
        <f>IF(ISNUMBER(deployment_raw[[#This Row],[Column14]]), deployment_raw[[#This Row],[Column14]]/IF(OR($E$2="Deployment",deployment_raw[[#This Row],[Column5]]=0),1,deployment_raw[[#This Row],[Column5]]),"")</f>
        <v/>
      </c>
      <c r="O771" s="167" t="str">
        <f>IF(ISNUMBER(deployment_raw[[#This Row],[Column15]]), deployment_raw[[#This Row],[Column15]]/IF(OR($E$2="Deployment",deployment_raw[[#This Row],[Column5]]=0),1,deployment_raw[[#This Row],[Column5]])/1048576,"")</f>
        <v/>
      </c>
      <c r="P771" s="168" t="str">
        <f>IF(ISNUMBER(deployment_raw[[#This Row],[Column12]]), (MIN(IF(N771&lt;&gt;"",N771,9999999999999)*1.1,deployment_raw[[#This Row],[Column12]] * IF($E$2="Deployment",deployment_raw[[#This Row],[Column5]],1))*(1+$P$2)),"")</f>
        <v/>
      </c>
      <c r="Q771" s="167" t="str">
        <f>IF(ISNUMBER(deployment_raw[[#This Row],[Column13]]), (MIN(IF(O771&lt;&gt;"",O771,9999999999999)*1.1,deployment_raw[[#This Row],[Column13]] * IF($E$2="Deployment",deployment_raw[[#This Row],[Column5]],1)*(1+$Q$2)/1048576)),"")</f>
        <v/>
      </c>
      <c r="R771" s="169" t="str">
        <f>IF(ISNUMBER(deployment_raw[[#This Row],[Column8]]), (H771  * IF(N771&lt;&gt;0,$R$2,1)),"")</f>
        <v/>
      </c>
      <c r="S771" s="170" t="str">
        <f>IF(ISNUMBER(deployment_raw[[#This Row],[Column8]]), (I771  * IF(O771&lt;&gt;0,$S$2,1)),"")</f>
        <v/>
      </c>
      <c r="T771" s="202" t="str">
        <f>IF(AND(A771&lt;&gt;"",_xlfn.IFNA(MATCH(A771,'dynamic resource application '!$A$2:$A$100, 0),0)&lt;&gt;0), H771/(IF($E$2="Deployment",E771,1)),"")</f>
        <v/>
      </c>
      <c r="U771" s="211" t="str">
        <f>IF(AND(A771&lt;&gt;"",_xlfn.IFNA(MATCH(A771,'dynamic resource application '!$A$2:$A$100, 0),0)&lt;&gt;0), I771/(IF($E$2="Deployment",E771,1)),"")</f>
        <v/>
      </c>
    </row>
    <row r="772" spans="1:21" ht="15.75" customHeight="1" x14ac:dyDescent="0.25">
      <c r="A772" s="35" t="str">
        <f>IF(ISNONTEXT(deployment_raw[[#This Row],[Column1]]), "", deployment_raw[[#This Row],[Column1]])</f>
        <v/>
      </c>
      <c r="B772" s="36" t="str">
        <f>IF(ISNONTEXT(deployment_raw[[#This Row],[Column2]]), "", deployment_raw[[#This Row],[Column2]])</f>
        <v/>
      </c>
      <c r="C772" s="36" t="str">
        <f>IF(ISNONTEXT(deployment_raw[[#This Row],[Column3]]), "", deployment_raw[[#This Row],[Column3]])</f>
        <v/>
      </c>
      <c r="D772" s="36" t="str">
        <f>IF(ISNONTEXT(deployment_raw[[#This Row],[Column4]]), "", deployment_raw[[#This Row],[Column4]])</f>
        <v/>
      </c>
      <c r="E772" s="37" t="str">
        <f>IF(ISNUMBER(deployment_raw[[#This Row],[Column5]]), deployment_raw[[#This Row],[Column5]],"")</f>
        <v/>
      </c>
      <c r="F772" s="94" t="str">
        <f>IF(ISNUMBER(deployment_raw[[#This Row],[Column6]]), (deployment_raw[[#This Row],[Column6]] * IF($E$2="Deployment",deployment_raw[[#This Row],[Column5]],1)),"")</f>
        <v/>
      </c>
      <c r="G772" s="95" t="str">
        <f>IF(ISNUMBER(deployment_raw[[#This Row],[Column7]]), (deployment_raw[[#This Row],[Column7]] * IF($E$2="Deployment",deployment_raw[[#This Row],[Column5]],1))/1048576,"")</f>
        <v/>
      </c>
      <c r="H772" s="95" t="str">
        <f>IF(ISNUMBER(deployment_raw[[#This Row],[Column8]]), (deployment_raw[[#This Row],[Column8]]  * IF($E$2="Deployment",deployment_raw[[#This Row],[Column5]],1)),"")</f>
        <v/>
      </c>
      <c r="I772" s="96" t="str">
        <f>IF(ISNUMBER(deployment_raw[[#This Row],[Column9]]), (deployment_raw[[#This Row],[Column9]] * IF($E$2="Deployment",deployment_raw[[#This Row],[Column5]],1))/1048576,"")</f>
        <v/>
      </c>
      <c r="J772" s="122" t="str">
        <f>IF(ISNUMBER(deployment_raw[[#This Row],[Column10]]), (MIN(IF(N772&lt;&gt;"",N772,9999999999999)*1.1,deployment_raw[[#This Row],[Column10]] * IF($E$2="Deployment",deployment_raw[[#This Row],[Column5]],1))),"")</f>
        <v/>
      </c>
      <c r="K772" s="123" t="str">
        <f>IF(ISNUMBER(deployment_raw[[#This Row],[Column11]]), (MIN(IF(O772&lt;&gt;"",O772,9999999999999)*1.1,deployment_raw[[#This Row],[Column11]] * IF($E$2="Deployment",deployment_raw[[#This Row],[Column5]],1)/1048576)),"")</f>
        <v/>
      </c>
      <c r="L772" s="124" t="str">
        <f>IF(ISNUMBER(deployment_raw[[#This Row],[Column8]]),IF(OR(deployment_raw[[#This Row],[Column5]] &lt;&gt; 0,$E$2 &lt;&gt; "Deployment"), MAX(J772, P772, R772, ($L$2 * IF($E$2="Deployment",deployment_raw[[#This Row],[Column5]],1)),IF(T772&lt;&gt;"",VALUE(T772) * IF($E$2="Deployment",deployment_raw[[#This Row],[Column5]],1),0)), 0),"")</f>
        <v/>
      </c>
      <c r="M772" s="125" t="str">
        <f>IF(ISNUMBER(deployment_raw[[#This Row],[Column9]]),IF(OR(deployment_raw[[#This Row],[Column5]] &lt;&gt; 0,$E$2&lt;&gt;"Deployment"), MAX(K772, Q772, S772, ($M$2 * IF($E$2="Deployment",deployment_raw[[#This Row],[Column5]],1)),IF(U772&lt;&gt;"",VALUE(U772) * IF($E$2="Deployment",deployment_raw[[#This Row],[Column5]],1),0)), 0),"")</f>
        <v/>
      </c>
      <c r="N772" s="166" t="str">
        <f>IF(ISNUMBER(deployment_raw[[#This Row],[Column14]]), deployment_raw[[#This Row],[Column14]]/IF(OR($E$2="Deployment",deployment_raw[[#This Row],[Column5]]=0),1,deployment_raw[[#This Row],[Column5]]),"")</f>
        <v/>
      </c>
      <c r="O772" s="167" t="str">
        <f>IF(ISNUMBER(deployment_raw[[#This Row],[Column15]]), deployment_raw[[#This Row],[Column15]]/IF(OR($E$2="Deployment",deployment_raw[[#This Row],[Column5]]=0),1,deployment_raw[[#This Row],[Column5]])/1048576,"")</f>
        <v/>
      </c>
      <c r="P772" s="168" t="str">
        <f>IF(ISNUMBER(deployment_raw[[#This Row],[Column12]]), (MIN(IF(N772&lt;&gt;"",N772,9999999999999)*1.1,deployment_raw[[#This Row],[Column12]] * IF($E$2="Deployment",deployment_raw[[#This Row],[Column5]],1))*(1+$P$2)),"")</f>
        <v/>
      </c>
      <c r="Q772" s="167" t="str">
        <f>IF(ISNUMBER(deployment_raw[[#This Row],[Column13]]), (MIN(IF(O772&lt;&gt;"",O772,9999999999999)*1.1,deployment_raw[[#This Row],[Column13]] * IF($E$2="Deployment",deployment_raw[[#This Row],[Column5]],1)*(1+$Q$2)/1048576)),"")</f>
        <v/>
      </c>
      <c r="R772" s="169" t="str">
        <f>IF(ISNUMBER(deployment_raw[[#This Row],[Column8]]), (H772  * IF(N772&lt;&gt;0,$R$2,1)),"")</f>
        <v/>
      </c>
      <c r="S772" s="170" t="str">
        <f>IF(ISNUMBER(deployment_raw[[#This Row],[Column8]]), (I772  * IF(O772&lt;&gt;0,$S$2,1)),"")</f>
        <v/>
      </c>
      <c r="T772" s="202" t="str">
        <f>IF(AND(A772&lt;&gt;"",_xlfn.IFNA(MATCH(A772,'dynamic resource application '!$A$2:$A$100, 0),0)&lt;&gt;0), H772/(IF($E$2="Deployment",E772,1)),"")</f>
        <v/>
      </c>
      <c r="U772" s="211" t="str">
        <f>IF(AND(A772&lt;&gt;"",_xlfn.IFNA(MATCH(A772,'dynamic resource application '!$A$2:$A$100, 0),0)&lt;&gt;0), I772/(IF($E$2="Deployment",E772,1)),"")</f>
        <v/>
      </c>
    </row>
    <row r="773" spans="1:21" ht="15.75" customHeight="1" x14ac:dyDescent="0.25">
      <c r="A773" s="35" t="str">
        <f>IF(ISNONTEXT(deployment_raw[[#This Row],[Column1]]), "", deployment_raw[[#This Row],[Column1]])</f>
        <v/>
      </c>
      <c r="B773" s="36" t="str">
        <f>IF(ISNONTEXT(deployment_raw[[#This Row],[Column2]]), "", deployment_raw[[#This Row],[Column2]])</f>
        <v/>
      </c>
      <c r="C773" s="36" t="str">
        <f>IF(ISNONTEXT(deployment_raw[[#This Row],[Column3]]), "", deployment_raw[[#This Row],[Column3]])</f>
        <v/>
      </c>
      <c r="D773" s="36" t="str">
        <f>IF(ISNONTEXT(deployment_raw[[#This Row],[Column4]]), "", deployment_raw[[#This Row],[Column4]])</f>
        <v/>
      </c>
      <c r="E773" s="37" t="str">
        <f>IF(ISNUMBER(deployment_raw[[#This Row],[Column5]]), deployment_raw[[#This Row],[Column5]],"")</f>
        <v/>
      </c>
      <c r="F773" s="94" t="str">
        <f>IF(ISNUMBER(deployment_raw[[#This Row],[Column6]]), (deployment_raw[[#This Row],[Column6]] * IF($E$2="Deployment",deployment_raw[[#This Row],[Column5]],1)),"")</f>
        <v/>
      </c>
      <c r="G773" s="95" t="str">
        <f>IF(ISNUMBER(deployment_raw[[#This Row],[Column7]]), (deployment_raw[[#This Row],[Column7]] * IF($E$2="Deployment",deployment_raw[[#This Row],[Column5]],1))/1048576,"")</f>
        <v/>
      </c>
      <c r="H773" s="95" t="str">
        <f>IF(ISNUMBER(deployment_raw[[#This Row],[Column8]]), (deployment_raw[[#This Row],[Column8]]  * IF($E$2="Deployment",deployment_raw[[#This Row],[Column5]],1)),"")</f>
        <v/>
      </c>
      <c r="I773" s="96" t="str">
        <f>IF(ISNUMBER(deployment_raw[[#This Row],[Column9]]), (deployment_raw[[#This Row],[Column9]] * IF($E$2="Deployment",deployment_raw[[#This Row],[Column5]],1))/1048576,"")</f>
        <v/>
      </c>
      <c r="J773" s="122" t="str">
        <f>IF(ISNUMBER(deployment_raw[[#This Row],[Column10]]), (MIN(IF(N773&lt;&gt;"",N773,9999999999999)*1.1,deployment_raw[[#This Row],[Column10]] * IF($E$2="Deployment",deployment_raw[[#This Row],[Column5]],1))),"")</f>
        <v/>
      </c>
      <c r="K773" s="123" t="str">
        <f>IF(ISNUMBER(deployment_raw[[#This Row],[Column11]]), (MIN(IF(O773&lt;&gt;"",O773,9999999999999)*1.1,deployment_raw[[#This Row],[Column11]] * IF($E$2="Deployment",deployment_raw[[#This Row],[Column5]],1)/1048576)),"")</f>
        <v/>
      </c>
      <c r="L773" s="124" t="str">
        <f>IF(ISNUMBER(deployment_raw[[#This Row],[Column8]]),IF(OR(deployment_raw[[#This Row],[Column5]] &lt;&gt; 0,$E$2 &lt;&gt; "Deployment"), MAX(J773, P773, R773, ($L$2 * IF($E$2="Deployment",deployment_raw[[#This Row],[Column5]],1)),IF(T773&lt;&gt;"",VALUE(T773) * IF($E$2="Deployment",deployment_raw[[#This Row],[Column5]],1),0)), 0),"")</f>
        <v/>
      </c>
      <c r="M773" s="125" t="str">
        <f>IF(ISNUMBER(deployment_raw[[#This Row],[Column9]]),IF(OR(deployment_raw[[#This Row],[Column5]] &lt;&gt; 0,$E$2&lt;&gt;"Deployment"), MAX(K773, Q773, S773, ($M$2 * IF($E$2="Deployment",deployment_raw[[#This Row],[Column5]],1)),IF(U773&lt;&gt;"",VALUE(U773) * IF($E$2="Deployment",deployment_raw[[#This Row],[Column5]],1),0)), 0),"")</f>
        <v/>
      </c>
      <c r="N773" s="166" t="str">
        <f>IF(ISNUMBER(deployment_raw[[#This Row],[Column14]]), deployment_raw[[#This Row],[Column14]]/IF(OR($E$2="Deployment",deployment_raw[[#This Row],[Column5]]=0),1,deployment_raw[[#This Row],[Column5]]),"")</f>
        <v/>
      </c>
      <c r="O773" s="167" t="str">
        <f>IF(ISNUMBER(deployment_raw[[#This Row],[Column15]]), deployment_raw[[#This Row],[Column15]]/IF(OR($E$2="Deployment",deployment_raw[[#This Row],[Column5]]=0),1,deployment_raw[[#This Row],[Column5]])/1048576,"")</f>
        <v/>
      </c>
      <c r="P773" s="168" t="str">
        <f>IF(ISNUMBER(deployment_raw[[#This Row],[Column12]]), (MIN(IF(N773&lt;&gt;"",N773,9999999999999)*1.1,deployment_raw[[#This Row],[Column12]] * IF($E$2="Deployment",deployment_raw[[#This Row],[Column5]],1))*(1+$P$2)),"")</f>
        <v/>
      </c>
      <c r="Q773" s="167" t="str">
        <f>IF(ISNUMBER(deployment_raw[[#This Row],[Column13]]), (MIN(IF(O773&lt;&gt;"",O773,9999999999999)*1.1,deployment_raw[[#This Row],[Column13]] * IF($E$2="Deployment",deployment_raw[[#This Row],[Column5]],1)*(1+$Q$2)/1048576)),"")</f>
        <v/>
      </c>
      <c r="R773" s="169" t="str">
        <f>IF(ISNUMBER(deployment_raw[[#This Row],[Column8]]), (H773  * IF(N773&lt;&gt;0,$R$2,1)),"")</f>
        <v/>
      </c>
      <c r="S773" s="170" t="str">
        <f>IF(ISNUMBER(deployment_raw[[#This Row],[Column8]]), (I773  * IF(O773&lt;&gt;0,$S$2,1)),"")</f>
        <v/>
      </c>
      <c r="T773" s="202" t="str">
        <f>IF(AND(A773&lt;&gt;"",_xlfn.IFNA(MATCH(A773,'dynamic resource application '!$A$2:$A$100, 0),0)&lt;&gt;0), H773/(IF($E$2="Deployment",E773,1)),"")</f>
        <v/>
      </c>
      <c r="U773" s="211" t="str">
        <f>IF(AND(A773&lt;&gt;"",_xlfn.IFNA(MATCH(A773,'dynamic resource application '!$A$2:$A$100, 0),0)&lt;&gt;0), I773/(IF($E$2="Deployment",E773,1)),"")</f>
        <v/>
      </c>
    </row>
    <row r="774" spans="1:21" ht="15.75" customHeight="1" x14ac:dyDescent="0.25">
      <c r="A774" s="35" t="str">
        <f>IF(ISNONTEXT(deployment_raw[[#This Row],[Column1]]), "", deployment_raw[[#This Row],[Column1]])</f>
        <v/>
      </c>
      <c r="B774" s="36" t="str">
        <f>IF(ISNONTEXT(deployment_raw[[#This Row],[Column2]]), "", deployment_raw[[#This Row],[Column2]])</f>
        <v/>
      </c>
      <c r="C774" s="36" t="str">
        <f>IF(ISNONTEXT(deployment_raw[[#This Row],[Column3]]), "", deployment_raw[[#This Row],[Column3]])</f>
        <v/>
      </c>
      <c r="D774" s="36" t="str">
        <f>IF(ISNONTEXT(deployment_raw[[#This Row],[Column4]]), "", deployment_raw[[#This Row],[Column4]])</f>
        <v/>
      </c>
      <c r="E774" s="37" t="str">
        <f>IF(ISNUMBER(deployment_raw[[#This Row],[Column5]]), deployment_raw[[#This Row],[Column5]],"")</f>
        <v/>
      </c>
      <c r="F774" s="94" t="str">
        <f>IF(ISNUMBER(deployment_raw[[#This Row],[Column6]]), (deployment_raw[[#This Row],[Column6]] * IF($E$2="Deployment",deployment_raw[[#This Row],[Column5]],1)),"")</f>
        <v/>
      </c>
      <c r="G774" s="95" t="str">
        <f>IF(ISNUMBER(deployment_raw[[#This Row],[Column7]]), (deployment_raw[[#This Row],[Column7]] * IF($E$2="Deployment",deployment_raw[[#This Row],[Column5]],1))/1048576,"")</f>
        <v/>
      </c>
      <c r="H774" s="95" t="str">
        <f>IF(ISNUMBER(deployment_raw[[#This Row],[Column8]]), (deployment_raw[[#This Row],[Column8]]  * IF($E$2="Deployment",deployment_raw[[#This Row],[Column5]],1)),"")</f>
        <v/>
      </c>
      <c r="I774" s="96" t="str">
        <f>IF(ISNUMBER(deployment_raw[[#This Row],[Column9]]), (deployment_raw[[#This Row],[Column9]] * IF($E$2="Deployment",deployment_raw[[#This Row],[Column5]],1))/1048576,"")</f>
        <v/>
      </c>
      <c r="J774" s="122" t="str">
        <f>IF(ISNUMBER(deployment_raw[[#This Row],[Column10]]), (MIN(IF(N774&lt;&gt;"",N774,9999999999999)*1.1,deployment_raw[[#This Row],[Column10]] * IF($E$2="Deployment",deployment_raw[[#This Row],[Column5]],1))),"")</f>
        <v/>
      </c>
      <c r="K774" s="123" t="str">
        <f>IF(ISNUMBER(deployment_raw[[#This Row],[Column11]]), (MIN(IF(O774&lt;&gt;"",O774,9999999999999)*1.1,deployment_raw[[#This Row],[Column11]] * IF($E$2="Deployment",deployment_raw[[#This Row],[Column5]],1)/1048576)),"")</f>
        <v/>
      </c>
      <c r="L774" s="124" t="str">
        <f>IF(ISNUMBER(deployment_raw[[#This Row],[Column8]]),IF(OR(deployment_raw[[#This Row],[Column5]] &lt;&gt; 0,$E$2 &lt;&gt; "Deployment"), MAX(J774, P774, R774, ($L$2 * IF($E$2="Deployment",deployment_raw[[#This Row],[Column5]],1)),IF(T774&lt;&gt;"",VALUE(T774) * IF($E$2="Deployment",deployment_raw[[#This Row],[Column5]],1),0)), 0),"")</f>
        <v/>
      </c>
      <c r="M774" s="125" t="str">
        <f>IF(ISNUMBER(deployment_raw[[#This Row],[Column9]]),IF(OR(deployment_raw[[#This Row],[Column5]] &lt;&gt; 0,$E$2&lt;&gt;"Deployment"), MAX(K774, Q774, S774, ($M$2 * IF($E$2="Deployment",deployment_raw[[#This Row],[Column5]],1)),IF(U774&lt;&gt;"",VALUE(U774) * IF($E$2="Deployment",deployment_raw[[#This Row],[Column5]],1),0)), 0),"")</f>
        <v/>
      </c>
      <c r="N774" s="166" t="str">
        <f>IF(ISNUMBER(deployment_raw[[#This Row],[Column14]]), deployment_raw[[#This Row],[Column14]]/IF(OR($E$2="Deployment",deployment_raw[[#This Row],[Column5]]=0),1,deployment_raw[[#This Row],[Column5]]),"")</f>
        <v/>
      </c>
      <c r="O774" s="167" t="str">
        <f>IF(ISNUMBER(deployment_raw[[#This Row],[Column15]]), deployment_raw[[#This Row],[Column15]]/IF(OR($E$2="Deployment",deployment_raw[[#This Row],[Column5]]=0),1,deployment_raw[[#This Row],[Column5]])/1048576,"")</f>
        <v/>
      </c>
      <c r="P774" s="168" t="str">
        <f>IF(ISNUMBER(deployment_raw[[#This Row],[Column12]]), (MIN(IF(N774&lt;&gt;"",N774,9999999999999)*1.1,deployment_raw[[#This Row],[Column12]] * IF($E$2="Deployment",deployment_raw[[#This Row],[Column5]],1))*(1+$P$2)),"")</f>
        <v/>
      </c>
      <c r="Q774" s="167" t="str">
        <f>IF(ISNUMBER(deployment_raw[[#This Row],[Column13]]), (MIN(IF(O774&lt;&gt;"",O774,9999999999999)*1.1,deployment_raw[[#This Row],[Column13]] * IF($E$2="Deployment",deployment_raw[[#This Row],[Column5]],1)*(1+$Q$2)/1048576)),"")</f>
        <v/>
      </c>
      <c r="R774" s="169" t="str">
        <f>IF(ISNUMBER(deployment_raw[[#This Row],[Column8]]), (H774  * IF(N774&lt;&gt;0,$R$2,1)),"")</f>
        <v/>
      </c>
      <c r="S774" s="170" t="str">
        <f>IF(ISNUMBER(deployment_raw[[#This Row],[Column8]]), (I774  * IF(O774&lt;&gt;0,$S$2,1)),"")</f>
        <v/>
      </c>
      <c r="T774" s="202" t="str">
        <f>IF(AND(A774&lt;&gt;"",_xlfn.IFNA(MATCH(A774,'dynamic resource application '!$A$2:$A$100, 0),0)&lt;&gt;0), H774/(IF($E$2="Deployment",E774,1)),"")</f>
        <v/>
      </c>
      <c r="U774" s="211" t="str">
        <f>IF(AND(A774&lt;&gt;"",_xlfn.IFNA(MATCH(A774,'dynamic resource application '!$A$2:$A$100, 0),0)&lt;&gt;0), I774/(IF($E$2="Deployment",E774,1)),"")</f>
        <v/>
      </c>
    </row>
    <row r="775" spans="1:21" ht="15.75" customHeight="1" x14ac:dyDescent="0.25">
      <c r="A775" s="35" t="str">
        <f>IF(ISNONTEXT(deployment_raw[[#This Row],[Column1]]), "", deployment_raw[[#This Row],[Column1]])</f>
        <v/>
      </c>
      <c r="B775" s="36" t="str">
        <f>IF(ISNONTEXT(deployment_raw[[#This Row],[Column2]]), "", deployment_raw[[#This Row],[Column2]])</f>
        <v/>
      </c>
      <c r="C775" s="36" t="str">
        <f>IF(ISNONTEXT(deployment_raw[[#This Row],[Column3]]), "", deployment_raw[[#This Row],[Column3]])</f>
        <v/>
      </c>
      <c r="D775" s="36" t="str">
        <f>IF(ISNONTEXT(deployment_raw[[#This Row],[Column4]]), "", deployment_raw[[#This Row],[Column4]])</f>
        <v/>
      </c>
      <c r="E775" s="37" t="str">
        <f>IF(ISNUMBER(deployment_raw[[#This Row],[Column5]]), deployment_raw[[#This Row],[Column5]],"")</f>
        <v/>
      </c>
      <c r="F775" s="94" t="str">
        <f>IF(ISNUMBER(deployment_raw[[#This Row],[Column6]]), (deployment_raw[[#This Row],[Column6]] * IF($E$2="Deployment",deployment_raw[[#This Row],[Column5]],1)),"")</f>
        <v/>
      </c>
      <c r="G775" s="95" t="str">
        <f>IF(ISNUMBER(deployment_raw[[#This Row],[Column7]]), (deployment_raw[[#This Row],[Column7]] * IF($E$2="Deployment",deployment_raw[[#This Row],[Column5]],1))/1048576,"")</f>
        <v/>
      </c>
      <c r="H775" s="95" t="str">
        <f>IF(ISNUMBER(deployment_raw[[#This Row],[Column8]]), (deployment_raw[[#This Row],[Column8]]  * IF($E$2="Deployment",deployment_raw[[#This Row],[Column5]],1)),"")</f>
        <v/>
      </c>
      <c r="I775" s="96" t="str">
        <f>IF(ISNUMBER(deployment_raw[[#This Row],[Column9]]), (deployment_raw[[#This Row],[Column9]] * IF($E$2="Deployment",deployment_raw[[#This Row],[Column5]],1))/1048576,"")</f>
        <v/>
      </c>
      <c r="J775" s="122" t="str">
        <f>IF(ISNUMBER(deployment_raw[[#This Row],[Column10]]), (MIN(IF(N775&lt;&gt;"",N775,9999999999999)*1.1,deployment_raw[[#This Row],[Column10]] * IF($E$2="Deployment",deployment_raw[[#This Row],[Column5]],1))),"")</f>
        <v/>
      </c>
      <c r="K775" s="123" t="str">
        <f>IF(ISNUMBER(deployment_raw[[#This Row],[Column11]]), (MIN(IF(O775&lt;&gt;"",O775,9999999999999)*1.1,deployment_raw[[#This Row],[Column11]] * IF($E$2="Deployment",deployment_raw[[#This Row],[Column5]],1)/1048576)),"")</f>
        <v/>
      </c>
      <c r="L775" s="124" t="str">
        <f>IF(ISNUMBER(deployment_raw[[#This Row],[Column8]]),IF(OR(deployment_raw[[#This Row],[Column5]] &lt;&gt; 0,$E$2 &lt;&gt; "Deployment"), MAX(J775, P775, R775, ($L$2 * IF($E$2="Deployment",deployment_raw[[#This Row],[Column5]],1)),IF(T775&lt;&gt;"",VALUE(T775) * IF($E$2="Deployment",deployment_raw[[#This Row],[Column5]],1),0)), 0),"")</f>
        <v/>
      </c>
      <c r="M775" s="125" t="str">
        <f>IF(ISNUMBER(deployment_raw[[#This Row],[Column9]]),IF(OR(deployment_raw[[#This Row],[Column5]] &lt;&gt; 0,$E$2&lt;&gt;"Deployment"), MAX(K775, Q775, S775, ($M$2 * IF($E$2="Deployment",deployment_raw[[#This Row],[Column5]],1)),IF(U775&lt;&gt;"",VALUE(U775) * IF($E$2="Deployment",deployment_raw[[#This Row],[Column5]],1),0)), 0),"")</f>
        <v/>
      </c>
      <c r="N775" s="166" t="str">
        <f>IF(ISNUMBER(deployment_raw[[#This Row],[Column14]]), deployment_raw[[#This Row],[Column14]]/IF(OR($E$2="Deployment",deployment_raw[[#This Row],[Column5]]=0),1,deployment_raw[[#This Row],[Column5]]),"")</f>
        <v/>
      </c>
      <c r="O775" s="167" t="str">
        <f>IF(ISNUMBER(deployment_raw[[#This Row],[Column15]]), deployment_raw[[#This Row],[Column15]]/IF(OR($E$2="Deployment",deployment_raw[[#This Row],[Column5]]=0),1,deployment_raw[[#This Row],[Column5]])/1048576,"")</f>
        <v/>
      </c>
      <c r="P775" s="168" t="str">
        <f>IF(ISNUMBER(deployment_raw[[#This Row],[Column12]]), (MIN(IF(N775&lt;&gt;"",N775,9999999999999)*1.1,deployment_raw[[#This Row],[Column12]] * IF($E$2="Deployment",deployment_raw[[#This Row],[Column5]],1))*(1+$P$2)),"")</f>
        <v/>
      </c>
      <c r="Q775" s="167" t="str">
        <f>IF(ISNUMBER(deployment_raw[[#This Row],[Column13]]), (MIN(IF(O775&lt;&gt;"",O775,9999999999999)*1.1,deployment_raw[[#This Row],[Column13]] * IF($E$2="Deployment",deployment_raw[[#This Row],[Column5]],1)*(1+$Q$2)/1048576)),"")</f>
        <v/>
      </c>
      <c r="R775" s="169" t="str">
        <f>IF(ISNUMBER(deployment_raw[[#This Row],[Column8]]), (H775  * IF(N775&lt;&gt;0,$R$2,1)),"")</f>
        <v/>
      </c>
      <c r="S775" s="170" t="str">
        <f>IF(ISNUMBER(deployment_raw[[#This Row],[Column8]]), (I775  * IF(O775&lt;&gt;0,$S$2,1)),"")</f>
        <v/>
      </c>
      <c r="T775" s="202" t="str">
        <f>IF(AND(A775&lt;&gt;"",_xlfn.IFNA(MATCH(A775,'dynamic resource application '!$A$2:$A$100, 0),0)&lt;&gt;0), H775/(IF($E$2="Deployment",E775,1)),"")</f>
        <v/>
      </c>
      <c r="U775" s="211" t="str">
        <f>IF(AND(A775&lt;&gt;"",_xlfn.IFNA(MATCH(A775,'dynamic resource application '!$A$2:$A$100, 0),0)&lt;&gt;0), I775/(IF($E$2="Deployment",E775,1)),"")</f>
        <v/>
      </c>
    </row>
    <row r="776" spans="1:21" ht="15.75" customHeight="1" x14ac:dyDescent="0.25">
      <c r="A776" s="35" t="str">
        <f>IF(ISNONTEXT(deployment_raw[[#This Row],[Column1]]), "", deployment_raw[[#This Row],[Column1]])</f>
        <v/>
      </c>
      <c r="B776" s="36" t="str">
        <f>IF(ISNONTEXT(deployment_raw[[#This Row],[Column2]]), "", deployment_raw[[#This Row],[Column2]])</f>
        <v/>
      </c>
      <c r="C776" s="36" t="str">
        <f>IF(ISNONTEXT(deployment_raw[[#This Row],[Column3]]), "", deployment_raw[[#This Row],[Column3]])</f>
        <v/>
      </c>
      <c r="D776" s="36" t="str">
        <f>IF(ISNONTEXT(deployment_raw[[#This Row],[Column4]]), "", deployment_raw[[#This Row],[Column4]])</f>
        <v/>
      </c>
      <c r="E776" s="37" t="str">
        <f>IF(ISNUMBER(deployment_raw[[#This Row],[Column5]]), deployment_raw[[#This Row],[Column5]],"")</f>
        <v/>
      </c>
      <c r="F776" s="94" t="str">
        <f>IF(ISNUMBER(deployment_raw[[#This Row],[Column6]]), (deployment_raw[[#This Row],[Column6]] * IF($E$2="Deployment",deployment_raw[[#This Row],[Column5]],1)),"")</f>
        <v/>
      </c>
      <c r="G776" s="95" t="str">
        <f>IF(ISNUMBER(deployment_raw[[#This Row],[Column7]]), (deployment_raw[[#This Row],[Column7]] * IF($E$2="Deployment",deployment_raw[[#This Row],[Column5]],1))/1048576,"")</f>
        <v/>
      </c>
      <c r="H776" s="95" t="str">
        <f>IF(ISNUMBER(deployment_raw[[#This Row],[Column8]]), (deployment_raw[[#This Row],[Column8]]  * IF($E$2="Deployment",deployment_raw[[#This Row],[Column5]],1)),"")</f>
        <v/>
      </c>
      <c r="I776" s="96" t="str">
        <f>IF(ISNUMBER(deployment_raw[[#This Row],[Column9]]), (deployment_raw[[#This Row],[Column9]] * IF($E$2="Deployment",deployment_raw[[#This Row],[Column5]],1))/1048576,"")</f>
        <v/>
      </c>
      <c r="J776" s="122" t="str">
        <f>IF(ISNUMBER(deployment_raw[[#This Row],[Column10]]), (MIN(IF(N776&lt;&gt;"",N776,9999999999999)*1.1,deployment_raw[[#This Row],[Column10]] * IF($E$2="Deployment",deployment_raw[[#This Row],[Column5]],1))),"")</f>
        <v/>
      </c>
      <c r="K776" s="123" t="str">
        <f>IF(ISNUMBER(deployment_raw[[#This Row],[Column11]]), (MIN(IF(O776&lt;&gt;"",O776,9999999999999)*1.1,deployment_raw[[#This Row],[Column11]] * IF($E$2="Deployment",deployment_raw[[#This Row],[Column5]],1)/1048576)),"")</f>
        <v/>
      </c>
      <c r="L776" s="124" t="str">
        <f>IF(ISNUMBER(deployment_raw[[#This Row],[Column8]]),IF(OR(deployment_raw[[#This Row],[Column5]] &lt;&gt; 0,$E$2 &lt;&gt; "Deployment"), MAX(J776, P776, R776, ($L$2 * IF($E$2="Deployment",deployment_raw[[#This Row],[Column5]],1)),IF(T776&lt;&gt;"",VALUE(T776) * IF($E$2="Deployment",deployment_raw[[#This Row],[Column5]],1),0)), 0),"")</f>
        <v/>
      </c>
      <c r="M776" s="125" t="str">
        <f>IF(ISNUMBER(deployment_raw[[#This Row],[Column9]]),IF(OR(deployment_raw[[#This Row],[Column5]] &lt;&gt; 0,$E$2&lt;&gt;"Deployment"), MAX(K776, Q776, S776, ($M$2 * IF($E$2="Deployment",deployment_raw[[#This Row],[Column5]],1)),IF(U776&lt;&gt;"",VALUE(U776) * IF($E$2="Deployment",deployment_raw[[#This Row],[Column5]],1),0)), 0),"")</f>
        <v/>
      </c>
      <c r="N776" s="166" t="str">
        <f>IF(ISNUMBER(deployment_raw[[#This Row],[Column14]]), deployment_raw[[#This Row],[Column14]]/IF(OR($E$2="Deployment",deployment_raw[[#This Row],[Column5]]=0),1,deployment_raw[[#This Row],[Column5]]),"")</f>
        <v/>
      </c>
      <c r="O776" s="167" t="str">
        <f>IF(ISNUMBER(deployment_raw[[#This Row],[Column15]]), deployment_raw[[#This Row],[Column15]]/IF(OR($E$2="Deployment",deployment_raw[[#This Row],[Column5]]=0),1,deployment_raw[[#This Row],[Column5]])/1048576,"")</f>
        <v/>
      </c>
      <c r="P776" s="168" t="str">
        <f>IF(ISNUMBER(deployment_raw[[#This Row],[Column12]]), (MIN(IF(N776&lt;&gt;"",N776,9999999999999)*1.1,deployment_raw[[#This Row],[Column12]] * IF($E$2="Deployment",deployment_raw[[#This Row],[Column5]],1))*(1+$P$2)),"")</f>
        <v/>
      </c>
      <c r="Q776" s="167" t="str">
        <f>IF(ISNUMBER(deployment_raw[[#This Row],[Column13]]), (MIN(IF(O776&lt;&gt;"",O776,9999999999999)*1.1,deployment_raw[[#This Row],[Column13]] * IF($E$2="Deployment",deployment_raw[[#This Row],[Column5]],1)*(1+$Q$2)/1048576)),"")</f>
        <v/>
      </c>
      <c r="R776" s="169" t="str">
        <f>IF(ISNUMBER(deployment_raw[[#This Row],[Column8]]), (H776  * IF(N776&lt;&gt;0,$R$2,1)),"")</f>
        <v/>
      </c>
      <c r="S776" s="170" t="str">
        <f>IF(ISNUMBER(deployment_raw[[#This Row],[Column8]]), (I776  * IF(O776&lt;&gt;0,$S$2,1)),"")</f>
        <v/>
      </c>
      <c r="T776" s="202" t="str">
        <f>IF(AND(A776&lt;&gt;"",_xlfn.IFNA(MATCH(A776,'dynamic resource application '!$A$2:$A$100, 0),0)&lt;&gt;0), H776/(IF($E$2="Deployment",E776,1)),"")</f>
        <v/>
      </c>
      <c r="U776" s="211" t="str">
        <f>IF(AND(A776&lt;&gt;"",_xlfn.IFNA(MATCH(A776,'dynamic resource application '!$A$2:$A$100, 0),0)&lt;&gt;0), I776/(IF($E$2="Deployment",E776,1)),"")</f>
        <v/>
      </c>
    </row>
    <row r="777" spans="1:21" ht="15.75" customHeight="1" x14ac:dyDescent="0.25">
      <c r="A777" s="35" t="str">
        <f>IF(ISNONTEXT(deployment_raw[[#This Row],[Column1]]), "", deployment_raw[[#This Row],[Column1]])</f>
        <v/>
      </c>
      <c r="B777" s="36" t="str">
        <f>IF(ISNONTEXT(deployment_raw[[#This Row],[Column2]]), "", deployment_raw[[#This Row],[Column2]])</f>
        <v/>
      </c>
      <c r="C777" s="36" t="str">
        <f>IF(ISNONTEXT(deployment_raw[[#This Row],[Column3]]), "", deployment_raw[[#This Row],[Column3]])</f>
        <v/>
      </c>
      <c r="D777" s="36" t="str">
        <f>IF(ISNONTEXT(deployment_raw[[#This Row],[Column4]]), "", deployment_raw[[#This Row],[Column4]])</f>
        <v/>
      </c>
      <c r="E777" s="37" t="str">
        <f>IF(ISNUMBER(deployment_raw[[#This Row],[Column5]]), deployment_raw[[#This Row],[Column5]],"")</f>
        <v/>
      </c>
      <c r="F777" s="94" t="str">
        <f>IF(ISNUMBER(deployment_raw[[#This Row],[Column6]]), (deployment_raw[[#This Row],[Column6]] * IF($E$2="Deployment",deployment_raw[[#This Row],[Column5]],1)),"")</f>
        <v/>
      </c>
      <c r="G777" s="95" t="str">
        <f>IF(ISNUMBER(deployment_raw[[#This Row],[Column7]]), (deployment_raw[[#This Row],[Column7]] * IF($E$2="Deployment",deployment_raw[[#This Row],[Column5]],1))/1048576,"")</f>
        <v/>
      </c>
      <c r="H777" s="95" t="str">
        <f>IF(ISNUMBER(deployment_raw[[#This Row],[Column8]]), (deployment_raw[[#This Row],[Column8]]  * IF($E$2="Deployment",deployment_raw[[#This Row],[Column5]],1)),"")</f>
        <v/>
      </c>
      <c r="I777" s="96" t="str">
        <f>IF(ISNUMBER(deployment_raw[[#This Row],[Column9]]), (deployment_raw[[#This Row],[Column9]] * IF($E$2="Deployment",deployment_raw[[#This Row],[Column5]],1))/1048576,"")</f>
        <v/>
      </c>
      <c r="J777" s="122" t="str">
        <f>IF(ISNUMBER(deployment_raw[[#This Row],[Column10]]), (MIN(IF(N777&lt;&gt;"",N777,9999999999999)*1.1,deployment_raw[[#This Row],[Column10]] * IF($E$2="Deployment",deployment_raw[[#This Row],[Column5]],1))),"")</f>
        <v/>
      </c>
      <c r="K777" s="123" t="str">
        <f>IF(ISNUMBER(deployment_raw[[#This Row],[Column11]]), (MIN(IF(O777&lt;&gt;"",O777,9999999999999)*1.1,deployment_raw[[#This Row],[Column11]] * IF($E$2="Deployment",deployment_raw[[#This Row],[Column5]],1)/1048576)),"")</f>
        <v/>
      </c>
      <c r="L777" s="124" t="str">
        <f>IF(ISNUMBER(deployment_raw[[#This Row],[Column8]]),IF(OR(deployment_raw[[#This Row],[Column5]] &lt;&gt; 0,$E$2 &lt;&gt; "Deployment"), MAX(J777, P777, R777, ($L$2 * IF($E$2="Deployment",deployment_raw[[#This Row],[Column5]],1)),IF(T777&lt;&gt;"",VALUE(T777) * IF($E$2="Deployment",deployment_raw[[#This Row],[Column5]],1),0)), 0),"")</f>
        <v/>
      </c>
      <c r="M777" s="125" t="str">
        <f>IF(ISNUMBER(deployment_raw[[#This Row],[Column9]]),IF(OR(deployment_raw[[#This Row],[Column5]] &lt;&gt; 0,$E$2&lt;&gt;"Deployment"), MAX(K777, Q777, S777, ($M$2 * IF($E$2="Deployment",deployment_raw[[#This Row],[Column5]],1)),IF(U777&lt;&gt;"",VALUE(U777) * IF($E$2="Deployment",deployment_raw[[#This Row],[Column5]],1),0)), 0),"")</f>
        <v/>
      </c>
      <c r="N777" s="166" t="str">
        <f>IF(ISNUMBER(deployment_raw[[#This Row],[Column14]]), deployment_raw[[#This Row],[Column14]]/IF(OR($E$2="Deployment",deployment_raw[[#This Row],[Column5]]=0),1,deployment_raw[[#This Row],[Column5]]),"")</f>
        <v/>
      </c>
      <c r="O777" s="167" t="str">
        <f>IF(ISNUMBER(deployment_raw[[#This Row],[Column15]]), deployment_raw[[#This Row],[Column15]]/IF(OR($E$2="Deployment",deployment_raw[[#This Row],[Column5]]=0),1,deployment_raw[[#This Row],[Column5]])/1048576,"")</f>
        <v/>
      </c>
      <c r="P777" s="168" t="str">
        <f>IF(ISNUMBER(deployment_raw[[#This Row],[Column12]]), (MIN(IF(N777&lt;&gt;"",N777,9999999999999)*1.1,deployment_raw[[#This Row],[Column12]] * IF($E$2="Deployment",deployment_raw[[#This Row],[Column5]],1))*(1+$P$2)),"")</f>
        <v/>
      </c>
      <c r="Q777" s="167" t="str">
        <f>IF(ISNUMBER(deployment_raw[[#This Row],[Column13]]), (MIN(IF(O777&lt;&gt;"",O777,9999999999999)*1.1,deployment_raw[[#This Row],[Column13]] * IF($E$2="Deployment",deployment_raw[[#This Row],[Column5]],1)*(1+$Q$2)/1048576)),"")</f>
        <v/>
      </c>
      <c r="R777" s="169" t="str">
        <f>IF(ISNUMBER(deployment_raw[[#This Row],[Column8]]), (H777  * IF(N777&lt;&gt;0,$R$2,1)),"")</f>
        <v/>
      </c>
      <c r="S777" s="170" t="str">
        <f>IF(ISNUMBER(deployment_raw[[#This Row],[Column8]]), (I777  * IF(O777&lt;&gt;0,$S$2,1)),"")</f>
        <v/>
      </c>
      <c r="T777" s="202" t="str">
        <f>IF(AND(A777&lt;&gt;"",_xlfn.IFNA(MATCH(A777,'dynamic resource application '!$A$2:$A$100, 0),0)&lt;&gt;0), H777/(IF($E$2="Deployment",E777,1)),"")</f>
        <v/>
      </c>
      <c r="U777" s="211" t="str">
        <f>IF(AND(A777&lt;&gt;"",_xlfn.IFNA(MATCH(A777,'dynamic resource application '!$A$2:$A$100, 0),0)&lt;&gt;0), I777/(IF($E$2="Deployment",E777,1)),"")</f>
        <v/>
      </c>
    </row>
    <row r="778" spans="1:21" ht="15.75" customHeight="1" x14ac:dyDescent="0.25">
      <c r="A778" s="35" t="str">
        <f>IF(ISNONTEXT(deployment_raw[[#This Row],[Column1]]), "", deployment_raw[[#This Row],[Column1]])</f>
        <v/>
      </c>
      <c r="B778" s="36" t="str">
        <f>IF(ISNONTEXT(deployment_raw[[#This Row],[Column2]]), "", deployment_raw[[#This Row],[Column2]])</f>
        <v/>
      </c>
      <c r="C778" s="36" t="str">
        <f>IF(ISNONTEXT(deployment_raw[[#This Row],[Column3]]), "", deployment_raw[[#This Row],[Column3]])</f>
        <v/>
      </c>
      <c r="D778" s="36" t="str">
        <f>IF(ISNONTEXT(deployment_raw[[#This Row],[Column4]]), "", deployment_raw[[#This Row],[Column4]])</f>
        <v/>
      </c>
      <c r="E778" s="37" t="str">
        <f>IF(ISNUMBER(deployment_raw[[#This Row],[Column5]]), deployment_raw[[#This Row],[Column5]],"")</f>
        <v/>
      </c>
      <c r="F778" s="94" t="str">
        <f>IF(ISNUMBER(deployment_raw[[#This Row],[Column6]]), (deployment_raw[[#This Row],[Column6]] * IF($E$2="Deployment",deployment_raw[[#This Row],[Column5]],1)),"")</f>
        <v/>
      </c>
      <c r="G778" s="95" t="str">
        <f>IF(ISNUMBER(deployment_raw[[#This Row],[Column7]]), (deployment_raw[[#This Row],[Column7]] * IF($E$2="Deployment",deployment_raw[[#This Row],[Column5]],1))/1048576,"")</f>
        <v/>
      </c>
      <c r="H778" s="95" t="str">
        <f>IF(ISNUMBER(deployment_raw[[#This Row],[Column8]]), (deployment_raw[[#This Row],[Column8]]  * IF($E$2="Deployment",deployment_raw[[#This Row],[Column5]],1)),"")</f>
        <v/>
      </c>
      <c r="I778" s="96" t="str">
        <f>IF(ISNUMBER(deployment_raw[[#This Row],[Column9]]), (deployment_raw[[#This Row],[Column9]] * IF($E$2="Deployment",deployment_raw[[#This Row],[Column5]],1))/1048576,"")</f>
        <v/>
      </c>
      <c r="J778" s="122" t="str">
        <f>IF(ISNUMBER(deployment_raw[[#This Row],[Column10]]), (MIN(IF(N778&lt;&gt;"",N778,9999999999999)*1.1,deployment_raw[[#This Row],[Column10]] * IF($E$2="Deployment",deployment_raw[[#This Row],[Column5]],1))),"")</f>
        <v/>
      </c>
      <c r="K778" s="123" t="str">
        <f>IF(ISNUMBER(deployment_raw[[#This Row],[Column11]]), (MIN(IF(O778&lt;&gt;"",O778,9999999999999)*1.1,deployment_raw[[#This Row],[Column11]] * IF($E$2="Deployment",deployment_raw[[#This Row],[Column5]],1)/1048576)),"")</f>
        <v/>
      </c>
      <c r="L778" s="124" t="str">
        <f>IF(ISNUMBER(deployment_raw[[#This Row],[Column8]]),IF(OR(deployment_raw[[#This Row],[Column5]] &lt;&gt; 0,$E$2 &lt;&gt; "Deployment"), MAX(J778, P778, R778, ($L$2 * IF($E$2="Deployment",deployment_raw[[#This Row],[Column5]],1)),IF(T778&lt;&gt;"",VALUE(T778) * IF($E$2="Deployment",deployment_raw[[#This Row],[Column5]],1),0)), 0),"")</f>
        <v/>
      </c>
      <c r="M778" s="125" t="str">
        <f>IF(ISNUMBER(deployment_raw[[#This Row],[Column9]]),IF(OR(deployment_raw[[#This Row],[Column5]] &lt;&gt; 0,$E$2&lt;&gt;"Deployment"), MAX(K778, Q778, S778, ($M$2 * IF($E$2="Deployment",deployment_raw[[#This Row],[Column5]],1)),IF(U778&lt;&gt;"",VALUE(U778) * IF($E$2="Deployment",deployment_raw[[#This Row],[Column5]],1),0)), 0),"")</f>
        <v/>
      </c>
      <c r="N778" s="166" t="str">
        <f>IF(ISNUMBER(deployment_raw[[#This Row],[Column14]]), deployment_raw[[#This Row],[Column14]]/IF(OR($E$2="Deployment",deployment_raw[[#This Row],[Column5]]=0),1,deployment_raw[[#This Row],[Column5]]),"")</f>
        <v/>
      </c>
      <c r="O778" s="167" t="str">
        <f>IF(ISNUMBER(deployment_raw[[#This Row],[Column15]]), deployment_raw[[#This Row],[Column15]]/IF(OR($E$2="Deployment",deployment_raw[[#This Row],[Column5]]=0),1,deployment_raw[[#This Row],[Column5]])/1048576,"")</f>
        <v/>
      </c>
      <c r="P778" s="168" t="str">
        <f>IF(ISNUMBER(deployment_raw[[#This Row],[Column12]]), (MIN(IF(N778&lt;&gt;"",N778,9999999999999)*1.1,deployment_raw[[#This Row],[Column12]] * IF($E$2="Deployment",deployment_raw[[#This Row],[Column5]],1))*(1+$P$2)),"")</f>
        <v/>
      </c>
      <c r="Q778" s="167" t="str">
        <f>IF(ISNUMBER(deployment_raw[[#This Row],[Column13]]), (MIN(IF(O778&lt;&gt;"",O778,9999999999999)*1.1,deployment_raw[[#This Row],[Column13]] * IF($E$2="Deployment",deployment_raw[[#This Row],[Column5]],1)*(1+$Q$2)/1048576)),"")</f>
        <v/>
      </c>
      <c r="R778" s="169" t="str">
        <f>IF(ISNUMBER(deployment_raw[[#This Row],[Column8]]), (H778  * IF(N778&lt;&gt;0,$R$2,1)),"")</f>
        <v/>
      </c>
      <c r="S778" s="170" t="str">
        <f>IF(ISNUMBER(deployment_raw[[#This Row],[Column8]]), (I778  * IF(O778&lt;&gt;0,$S$2,1)),"")</f>
        <v/>
      </c>
      <c r="T778" s="202" t="str">
        <f>IF(AND(A778&lt;&gt;"",_xlfn.IFNA(MATCH(A778,'dynamic resource application '!$A$2:$A$100, 0),0)&lt;&gt;0), H778/(IF($E$2="Deployment",E778,1)),"")</f>
        <v/>
      </c>
      <c r="U778" s="211" t="str">
        <f>IF(AND(A778&lt;&gt;"",_xlfn.IFNA(MATCH(A778,'dynamic resource application '!$A$2:$A$100, 0),0)&lt;&gt;0), I778/(IF($E$2="Deployment",E778,1)),"")</f>
        <v/>
      </c>
    </row>
    <row r="779" spans="1:21" ht="15.75" customHeight="1" x14ac:dyDescent="0.25">
      <c r="A779" s="35" t="str">
        <f>IF(ISNONTEXT(deployment_raw[[#This Row],[Column1]]), "", deployment_raw[[#This Row],[Column1]])</f>
        <v/>
      </c>
      <c r="B779" s="36" t="str">
        <f>IF(ISNONTEXT(deployment_raw[[#This Row],[Column2]]), "", deployment_raw[[#This Row],[Column2]])</f>
        <v/>
      </c>
      <c r="C779" s="36" t="str">
        <f>IF(ISNONTEXT(deployment_raw[[#This Row],[Column3]]), "", deployment_raw[[#This Row],[Column3]])</f>
        <v/>
      </c>
      <c r="D779" s="36" t="str">
        <f>IF(ISNONTEXT(deployment_raw[[#This Row],[Column4]]), "", deployment_raw[[#This Row],[Column4]])</f>
        <v/>
      </c>
      <c r="E779" s="37" t="str">
        <f>IF(ISNUMBER(deployment_raw[[#This Row],[Column5]]), deployment_raw[[#This Row],[Column5]],"")</f>
        <v/>
      </c>
      <c r="F779" s="94" t="str">
        <f>IF(ISNUMBER(deployment_raw[[#This Row],[Column6]]), (deployment_raw[[#This Row],[Column6]] * IF($E$2="Deployment",deployment_raw[[#This Row],[Column5]],1)),"")</f>
        <v/>
      </c>
      <c r="G779" s="95" t="str">
        <f>IF(ISNUMBER(deployment_raw[[#This Row],[Column7]]), (deployment_raw[[#This Row],[Column7]] * IF($E$2="Deployment",deployment_raw[[#This Row],[Column5]],1))/1048576,"")</f>
        <v/>
      </c>
      <c r="H779" s="95" t="str">
        <f>IF(ISNUMBER(deployment_raw[[#This Row],[Column8]]), (deployment_raw[[#This Row],[Column8]]  * IF($E$2="Deployment",deployment_raw[[#This Row],[Column5]],1)),"")</f>
        <v/>
      </c>
      <c r="I779" s="96" t="str">
        <f>IF(ISNUMBER(deployment_raw[[#This Row],[Column9]]), (deployment_raw[[#This Row],[Column9]] * IF($E$2="Deployment",deployment_raw[[#This Row],[Column5]],1))/1048576,"")</f>
        <v/>
      </c>
      <c r="J779" s="122" t="str">
        <f>IF(ISNUMBER(deployment_raw[[#This Row],[Column10]]), (MIN(IF(N779&lt;&gt;"",N779,9999999999999)*1.1,deployment_raw[[#This Row],[Column10]] * IF($E$2="Deployment",deployment_raw[[#This Row],[Column5]],1))),"")</f>
        <v/>
      </c>
      <c r="K779" s="123" t="str">
        <f>IF(ISNUMBER(deployment_raw[[#This Row],[Column11]]), (MIN(IF(O779&lt;&gt;"",O779,9999999999999)*1.1,deployment_raw[[#This Row],[Column11]] * IF($E$2="Deployment",deployment_raw[[#This Row],[Column5]],1)/1048576)),"")</f>
        <v/>
      </c>
      <c r="L779" s="124" t="str">
        <f>IF(ISNUMBER(deployment_raw[[#This Row],[Column8]]),IF(OR(deployment_raw[[#This Row],[Column5]] &lt;&gt; 0,$E$2 &lt;&gt; "Deployment"), MAX(J779, P779, R779, ($L$2 * IF($E$2="Deployment",deployment_raw[[#This Row],[Column5]],1)),IF(T779&lt;&gt;"",VALUE(T779) * IF($E$2="Deployment",deployment_raw[[#This Row],[Column5]],1),0)), 0),"")</f>
        <v/>
      </c>
      <c r="M779" s="125" t="str">
        <f>IF(ISNUMBER(deployment_raw[[#This Row],[Column9]]),IF(OR(deployment_raw[[#This Row],[Column5]] &lt;&gt; 0,$E$2&lt;&gt;"Deployment"), MAX(K779, Q779, S779, ($M$2 * IF($E$2="Deployment",deployment_raw[[#This Row],[Column5]],1)),IF(U779&lt;&gt;"",VALUE(U779) * IF($E$2="Deployment",deployment_raw[[#This Row],[Column5]],1),0)), 0),"")</f>
        <v/>
      </c>
      <c r="N779" s="166" t="str">
        <f>IF(ISNUMBER(deployment_raw[[#This Row],[Column14]]), deployment_raw[[#This Row],[Column14]]/IF(OR($E$2="Deployment",deployment_raw[[#This Row],[Column5]]=0),1,deployment_raw[[#This Row],[Column5]]),"")</f>
        <v/>
      </c>
      <c r="O779" s="167" t="str">
        <f>IF(ISNUMBER(deployment_raw[[#This Row],[Column15]]), deployment_raw[[#This Row],[Column15]]/IF(OR($E$2="Deployment",deployment_raw[[#This Row],[Column5]]=0),1,deployment_raw[[#This Row],[Column5]])/1048576,"")</f>
        <v/>
      </c>
      <c r="P779" s="168" t="str">
        <f>IF(ISNUMBER(deployment_raw[[#This Row],[Column12]]), (MIN(IF(N779&lt;&gt;"",N779,9999999999999)*1.1,deployment_raw[[#This Row],[Column12]] * IF($E$2="Deployment",deployment_raw[[#This Row],[Column5]],1))*(1+$P$2)),"")</f>
        <v/>
      </c>
      <c r="Q779" s="167" t="str">
        <f>IF(ISNUMBER(deployment_raw[[#This Row],[Column13]]), (MIN(IF(O779&lt;&gt;"",O779,9999999999999)*1.1,deployment_raw[[#This Row],[Column13]] * IF($E$2="Deployment",deployment_raw[[#This Row],[Column5]],1)*(1+$Q$2)/1048576)),"")</f>
        <v/>
      </c>
      <c r="R779" s="169" t="str">
        <f>IF(ISNUMBER(deployment_raw[[#This Row],[Column8]]), (H779  * IF(N779&lt;&gt;0,$R$2,1)),"")</f>
        <v/>
      </c>
      <c r="S779" s="170" t="str">
        <f>IF(ISNUMBER(deployment_raw[[#This Row],[Column8]]), (I779  * IF(O779&lt;&gt;0,$S$2,1)),"")</f>
        <v/>
      </c>
      <c r="T779" s="202" t="str">
        <f>IF(AND(A779&lt;&gt;"",_xlfn.IFNA(MATCH(A779,'dynamic resource application '!$A$2:$A$100, 0),0)&lt;&gt;0), H779/(IF($E$2="Deployment",E779,1)),"")</f>
        <v/>
      </c>
      <c r="U779" s="211" t="str">
        <f>IF(AND(A779&lt;&gt;"",_xlfn.IFNA(MATCH(A779,'dynamic resource application '!$A$2:$A$100, 0),0)&lt;&gt;0), I779/(IF($E$2="Deployment",E779,1)),"")</f>
        <v/>
      </c>
    </row>
    <row r="780" spans="1:21" ht="15.75" customHeight="1" x14ac:dyDescent="0.25">
      <c r="A780" s="35" t="str">
        <f>IF(ISNONTEXT(deployment_raw[[#This Row],[Column1]]), "", deployment_raw[[#This Row],[Column1]])</f>
        <v/>
      </c>
      <c r="B780" s="36" t="str">
        <f>IF(ISNONTEXT(deployment_raw[[#This Row],[Column2]]), "", deployment_raw[[#This Row],[Column2]])</f>
        <v/>
      </c>
      <c r="C780" s="36" t="str">
        <f>IF(ISNONTEXT(deployment_raw[[#This Row],[Column3]]), "", deployment_raw[[#This Row],[Column3]])</f>
        <v/>
      </c>
      <c r="D780" s="36" t="str">
        <f>IF(ISNONTEXT(deployment_raw[[#This Row],[Column4]]), "", deployment_raw[[#This Row],[Column4]])</f>
        <v/>
      </c>
      <c r="E780" s="37" t="str">
        <f>IF(ISNUMBER(deployment_raw[[#This Row],[Column5]]), deployment_raw[[#This Row],[Column5]],"")</f>
        <v/>
      </c>
      <c r="F780" s="94" t="str">
        <f>IF(ISNUMBER(deployment_raw[[#This Row],[Column6]]), (deployment_raw[[#This Row],[Column6]] * IF($E$2="Deployment",deployment_raw[[#This Row],[Column5]],1)),"")</f>
        <v/>
      </c>
      <c r="G780" s="95" t="str">
        <f>IF(ISNUMBER(deployment_raw[[#This Row],[Column7]]), (deployment_raw[[#This Row],[Column7]] * IF($E$2="Deployment",deployment_raw[[#This Row],[Column5]],1))/1048576,"")</f>
        <v/>
      </c>
      <c r="H780" s="95" t="str">
        <f>IF(ISNUMBER(deployment_raw[[#This Row],[Column8]]), (deployment_raw[[#This Row],[Column8]]  * IF($E$2="Deployment",deployment_raw[[#This Row],[Column5]],1)),"")</f>
        <v/>
      </c>
      <c r="I780" s="96" t="str">
        <f>IF(ISNUMBER(deployment_raw[[#This Row],[Column9]]), (deployment_raw[[#This Row],[Column9]] * IF($E$2="Deployment",deployment_raw[[#This Row],[Column5]],1))/1048576,"")</f>
        <v/>
      </c>
      <c r="J780" s="122" t="str">
        <f>IF(ISNUMBER(deployment_raw[[#This Row],[Column10]]), (MIN(IF(N780&lt;&gt;"",N780,9999999999999)*1.1,deployment_raw[[#This Row],[Column10]] * IF($E$2="Deployment",deployment_raw[[#This Row],[Column5]],1))),"")</f>
        <v/>
      </c>
      <c r="K780" s="123" t="str">
        <f>IF(ISNUMBER(deployment_raw[[#This Row],[Column11]]), (MIN(IF(O780&lt;&gt;"",O780,9999999999999)*1.1,deployment_raw[[#This Row],[Column11]] * IF($E$2="Deployment",deployment_raw[[#This Row],[Column5]],1)/1048576)),"")</f>
        <v/>
      </c>
      <c r="L780" s="124" t="str">
        <f>IF(ISNUMBER(deployment_raw[[#This Row],[Column8]]),IF(OR(deployment_raw[[#This Row],[Column5]] &lt;&gt; 0,$E$2 &lt;&gt; "Deployment"), MAX(J780, P780, R780, ($L$2 * IF($E$2="Deployment",deployment_raw[[#This Row],[Column5]],1)),IF(T780&lt;&gt;"",VALUE(T780) * IF($E$2="Deployment",deployment_raw[[#This Row],[Column5]],1),0)), 0),"")</f>
        <v/>
      </c>
      <c r="M780" s="125" t="str">
        <f>IF(ISNUMBER(deployment_raw[[#This Row],[Column9]]),IF(OR(deployment_raw[[#This Row],[Column5]] &lt;&gt; 0,$E$2&lt;&gt;"Deployment"), MAX(K780, Q780, S780, ($M$2 * IF($E$2="Deployment",deployment_raw[[#This Row],[Column5]],1)),IF(U780&lt;&gt;"",VALUE(U780) * IF($E$2="Deployment",deployment_raw[[#This Row],[Column5]],1),0)), 0),"")</f>
        <v/>
      </c>
      <c r="N780" s="166" t="str">
        <f>IF(ISNUMBER(deployment_raw[[#This Row],[Column14]]), deployment_raw[[#This Row],[Column14]]/IF(OR($E$2="Deployment",deployment_raw[[#This Row],[Column5]]=0),1,deployment_raw[[#This Row],[Column5]]),"")</f>
        <v/>
      </c>
      <c r="O780" s="167" t="str">
        <f>IF(ISNUMBER(deployment_raw[[#This Row],[Column15]]), deployment_raw[[#This Row],[Column15]]/IF(OR($E$2="Deployment",deployment_raw[[#This Row],[Column5]]=0),1,deployment_raw[[#This Row],[Column5]])/1048576,"")</f>
        <v/>
      </c>
      <c r="P780" s="168" t="str">
        <f>IF(ISNUMBER(deployment_raw[[#This Row],[Column12]]), (MIN(IF(N780&lt;&gt;"",N780,9999999999999)*1.1,deployment_raw[[#This Row],[Column12]] * IF($E$2="Deployment",deployment_raw[[#This Row],[Column5]],1))*(1+$P$2)),"")</f>
        <v/>
      </c>
      <c r="Q780" s="167" t="str">
        <f>IF(ISNUMBER(deployment_raw[[#This Row],[Column13]]), (MIN(IF(O780&lt;&gt;"",O780,9999999999999)*1.1,deployment_raw[[#This Row],[Column13]] * IF($E$2="Deployment",deployment_raw[[#This Row],[Column5]],1)*(1+$Q$2)/1048576)),"")</f>
        <v/>
      </c>
      <c r="R780" s="169" t="str">
        <f>IF(ISNUMBER(deployment_raw[[#This Row],[Column8]]), (H780  * IF(N780&lt;&gt;0,$R$2,1)),"")</f>
        <v/>
      </c>
      <c r="S780" s="170" t="str">
        <f>IF(ISNUMBER(deployment_raw[[#This Row],[Column8]]), (I780  * IF(O780&lt;&gt;0,$S$2,1)),"")</f>
        <v/>
      </c>
      <c r="T780" s="202" t="str">
        <f>IF(AND(A780&lt;&gt;"",_xlfn.IFNA(MATCH(A780,'dynamic resource application '!$A$2:$A$100, 0),0)&lt;&gt;0), H780/(IF($E$2="Deployment",E780,1)),"")</f>
        <v/>
      </c>
      <c r="U780" s="211" t="str">
        <f>IF(AND(A780&lt;&gt;"",_xlfn.IFNA(MATCH(A780,'dynamic resource application '!$A$2:$A$100, 0),0)&lt;&gt;0), I780/(IF($E$2="Deployment",E780,1)),"")</f>
        <v/>
      </c>
    </row>
    <row r="781" spans="1:21" ht="15.75" customHeight="1" x14ac:dyDescent="0.25">
      <c r="A781" s="35" t="str">
        <f>IF(ISNONTEXT(deployment_raw[[#This Row],[Column1]]), "", deployment_raw[[#This Row],[Column1]])</f>
        <v/>
      </c>
      <c r="B781" s="36" t="str">
        <f>IF(ISNONTEXT(deployment_raw[[#This Row],[Column2]]), "", deployment_raw[[#This Row],[Column2]])</f>
        <v/>
      </c>
      <c r="C781" s="36" t="str">
        <f>IF(ISNONTEXT(deployment_raw[[#This Row],[Column3]]), "", deployment_raw[[#This Row],[Column3]])</f>
        <v/>
      </c>
      <c r="D781" s="36" t="str">
        <f>IF(ISNONTEXT(deployment_raw[[#This Row],[Column4]]), "", deployment_raw[[#This Row],[Column4]])</f>
        <v/>
      </c>
      <c r="E781" s="37" t="str">
        <f>IF(ISNUMBER(deployment_raw[[#This Row],[Column5]]), deployment_raw[[#This Row],[Column5]],"")</f>
        <v/>
      </c>
      <c r="F781" s="94" t="str">
        <f>IF(ISNUMBER(deployment_raw[[#This Row],[Column6]]), (deployment_raw[[#This Row],[Column6]] * IF($E$2="Deployment",deployment_raw[[#This Row],[Column5]],1)),"")</f>
        <v/>
      </c>
      <c r="G781" s="95" t="str">
        <f>IF(ISNUMBER(deployment_raw[[#This Row],[Column7]]), (deployment_raw[[#This Row],[Column7]] * IF($E$2="Deployment",deployment_raw[[#This Row],[Column5]],1))/1048576,"")</f>
        <v/>
      </c>
      <c r="H781" s="95" t="str">
        <f>IF(ISNUMBER(deployment_raw[[#This Row],[Column8]]), (deployment_raw[[#This Row],[Column8]]  * IF($E$2="Deployment",deployment_raw[[#This Row],[Column5]],1)),"")</f>
        <v/>
      </c>
      <c r="I781" s="96" t="str">
        <f>IF(ISNUMBER(deployment_raw[[#This Row],[Column9]]), (deployment_raw[[#This Row],[Column9]] * IF($E$2="Deployment",deployment_raw[[#This Row],[Column5]],1))/1048576,"")</f>
        <v/>
      </c>
      <c r="J781" s="122" t="str">
        <f>IF(ISNUMBER(deployment_raw[[#This Row],[Column10]]), (MIN(IF(N781&lt;&gt;"",N781,9999999999999)*1.1,deployment_raw[[#This Row],[Column10]] * IF($E$2="Deployment",deployment_raw[[#This Row],[Column5]],1))),"")</f>
        <v/>
      </c>
      <c r="K781" s="123" t="str">
        <f>IF(ISNUMBER(deployment_raw[[#This Row],[Column11]]), (MIN(IF(O781&lt;&gt;"",O781,9999999999999)*1.1,deployment_raw[[#This Row],[Column11]] * IF($E$2="Deployment",deployment_raw[[#This Row],[Column5]],1)/1048576)),"")</f>
        <v/>
      </c>
      <c r="L781" s="124" t="str">
        <f>IF(ISNUMBER(deployment_raw[[#This Row],[Column8]]),IF(OR(deployment_raw[[#This Row],[Column5]] &lt;&gt; 0,$E$2 &lt;&gt; "Deployment"), MAX(J781, P781, R781, ($L$2 * IF($E$2="Deployment",deployment_raw[[#This Row],[Column5]],1)),IF(T781&lt;&gt;"",VALUE(T781) * IF($E$2="Deployment",deployment_raw[[#This Row],[Column5]],1),0)), 0),"")</f>
        <v/>
      </c>
      <c r="M781" s="125" t="str">
        <f>IF(ISNUMBER(deployment_raw[[#This Row],[Column9]]),IF(OR(deployment_raw[[#This Row],[Column5]] &lt;&gt; 0,$E$2&lt;&gt;"Deployment"), MAX(K781, Q781, S781, ($M$2 * IF($E$2="Deployment",deployment_raw[[#This Row],[Column5]],1)),IF(U781&lt;&gt;"",VALUE(U781) * IF($E$2="Deployment",deployment_raw[[#This Row],[Column5]],1),0)), 0),"")</f>
        <v/>
      </c>
      <c r="N781" s="166" t="str">
        <f>IF(ISNUMBER(deployment_raw[[#This Row],[Column14]]), deployment_raw[[#This Row],[Column14]]/IF(OR($E$2="Deployment",deployment_raw[[#This Row],[Column5]]=0),1,deployment_raw[[#This Row],[Column5]]),"")</f>
        <v/>
      </c>
      <c r="O781" s="167" t="str">
        <f>IF(ISNUMBER(deployment_raw[[#This Row],[Column15]]), deployment_raw[[#This Row],[Column15]]/IF(OR($E$2="Deployment",deployment_raw[[#This Row],[Column5]]=0),1,deployment_raw[[#This Row],[Column5]])/1048576,"")</f>
        <v/>
      </c>
      <c r="P781" s="168" t="str">
        <f>IF(ISNUMBER(deployment_raw[[#This Row],[Column12]]), (MIN(IF(N781&lt;&gt;"",N781,9999999999999)*1.1,deployment_raw[[#This Row],[Column12]] * IF($E$2="Deployment",deployment_raw[[#This Row],[Column5]],1))*(1+$P$2)),"")</f>
        <v/>
      </c>
      <c r="Q781" s="167" t="str">
        <f>IF(ISNUMBER(deployment_raw[[#This Row],[Column13]]), (MIN(IF(O781&lt;&gt;"",O781,9999999999999)*1.1,deployment_raw[[#This Row],[Column13]] * IF($E$2="Deployment",deployment_raw[[#This Row],[Column5]],1)*(1+$Q$2)/1048576)),"")</f>
        <v/>
      </c>
      <c r="R781" s="169" t="str">
        <f>IF(ISNUMBER(deployment_raw[[#This Row],[Column8]]), (H781  * IF(N781&lt;&gt;0,$R$2,1)),"")</f>
        <v/>
      </c>
      <c r="S781" s="170" t="str">
        <f>IF(ISNUMBER(deployment_raw[[#This Row],[Column8]]), (I781  * IF(O781&lt;&gt;0,$S$2,1)),"")</f>
        <v/>
      </c>
      <c r="T781" s="202" t="str">
        <f>IF(AND(A781&lt;&gt;"",_xlfn.IFNA(MATCH(A781,'dynamic resource application '!$A$2:$A$100, 0),0)&lt;&gt;0), H781/(IF($E$2="Deployment",E781,1)),"")</f>
        <v/>
      </c>
      <c r="U781" s="211" t="str">
        <f>IF(AND(A781&lt;&gt;"",_xlfn.IFNA(MATCH(A781,'dynamic resource application '!$A$2:$A$100, 0),0)&lt;&gt;0), I781/(IF($E$2="Deployment",E781,1)),"")</f>
        <v/>
      </c>
    </row>
    <row r="782" spans="1:21" ht="15.75" customHeight="1" x14ac:dyDescent="0.25">
      <c r="A782" s="35" t="str">
        <f>IF(ISNONTEXT(deployment_raw[[#This Row],[Column1]]), "", deployment_raw[[#This Row],[Column1]])</f>
        <v/>
      </c>
      <c r="B782" s="36" t="str">
        <f>IF(ISNONTEXT(deployment_raw[[#This Row],[Column2]]), "", deployment_raw[[#This Row],[Column2]])</f>
        <v/>
      </c>
      <c r="C782" s="36" t="str">
        <f>IF(ISNONTEXT(deployment_raw[[#This Row],[Column3]]), "", deployment_raw[[#This Row],[Column3]])</f>
        <v/>
      </c>
      <c r="D782" s="36" t="str">
        <f>IF(ISNONTEXT(deployment_raw[[#This Row],[Column4]]), "", deployment_raw[[#This Row],[Column4]])</f>
        <v/>
      </c>
      <c r="E782" s="37" t="str">
        <f>IF(ISNUMBER(deployment_raw[[#This Row],[Column5]]), deployment_raw[[#This Row],[Column5]],"")</f>
        <v/>
      </c>
      <c r="F782" s="94" t="str">
        <f>IF(ISNUMBER(deployment_raw[[#This Row],[Column6]]), (deployment_raw[[#This Row],[Column6]] * IF($E$2="Deployment",deployment_raw[[#This Row],[Column5]],1)),"")</f>
        <v/>
      </c>
      <c r="G782" s="95" t="str">
        <f>IF(ISNUMBER(deployment_raw[[#This Row],[Column7]]), (deployment_raw[[#This Row],[Column7]] * IF($E$2="Deployment",deployment_raw[[#This Row],[Column5]],1))/1048576,"")</f>
        <v/>
      </c>
      <c r="H782" s="95" t="str">
        <f>IF(ISNUMBER(deployment_raw[[#This Row],[Column8]]), (deployment_raw[[#This Row],[Column8]]  * IF($E$2="Deployment",deployment_raw[[#This Row],[Column5]],1)),"")</f>
        <v/>
      </c>
      <c r="I782" s="96" t="str">
        <f>IF(ISNUMBER(deployment_raw[[#This Row],[Column9]]), (deployment_raw[[#This Row],[Column9]] * IF($E$2="Deployment",deployment_raw[[#This Row],[Column5]],1))/1048576,"")</f>
        <v/>
      </c>
      <c r="J782" s="122" t="str">
        <f>IF(ISNUMBER(deployment_raw[[#This Row],[Column10]]), (MIN(IF(N782&lt;&gt;"",N782,9999999999999)*1.1,deployment_raw[[#This Row],[Column10]] * IF($E$2="Deployment",deployment_raw[[#This Row],[Column5]],1))),"")</f>
        <v/>
      </c>
      <c r="K782" s="123" t="str">
        <f>IF(ISNUMBER(deployment_raw[[#This Row],[Column11]]), (MIN(IF(O782&lt;&gt;"",O782,9999999999999)*1.1,deployment_raw[[#This Row],[Column11]] * IF($E$2="Deployment",deployment_raw[[#This Row],[Column5]],1)/1048576)),"")</f>
        <v/>
      </c>
      <c r="L782" s="124" t="str">
        <f>IF(ISNUMBER(deployment_raw[[#This Row],[Column8]]),IF(OR(deployment_raw[[#This Row],[Column5]] &lt;&gt; 0,$E$2 &lt;&gt; "Deployment"), MAX(J782, P782, R782, ($L$2 * IF($E$2="Deployment",deployment_raw[[#This Row],[Column5]],1)),IF(T782&lt;&gt;"",VALUE(T782) * IF($E$2="Deployment",deployment_raw[[#This Row],[Column5]],1),0)), 0),"")</f>
        <v/>
      </c>
      <c r="M782" s="125" t="str">
        <f>IF(ISNUMBER(deployment_raw[[#This Row],[Column9]]),IF(OR(deployment_raw[[#This Row],[Column5]] &lt;&gt; 0,$E$2&lt;&gt;"Deployment"), MAX(K782, Q782, S782, ($M$2 * IF($E$2="Deployment",deployment_raw[[#This Row],[Column5]],1)),IF(U782&lt;&gt;"",VALUE(U782) * IF($E$2="Deployment",deployment_raw[[#This Row],[Column5]],1),0)), 0),"")</f>
        <v/>
      </c>
      <c r="N782" s="166" t="str">
        <f>IF(ISNUMBER(deployment_raw[[#This Row],[Column14]]), deployment_raw[[#This Row],[Column14]]/IF(OR($E$2="Deployment",deployment_raw[[#This Row],[Column5]]=0),1,deployment_raw[[#This Row],[Column5]]),"")</f>
        <v/>
      </c>
      <c r="O782" s="167" t="str">
        <f>IF(ISNUMBER(deployment_raw[[#This Row],[Column15]]), deployment_raw[[#This Row],[Column15]]/IF(OR($E$2="Deployment",deployment_raw[[#This Row],[Column5]]=0),1,deployment_raw[[#This Row],[Column5]])/1048576,"")</f>
        <v/>
      </c>
      <c r="P782" s="168" t="str">
        <f>IF(ISNUMBER(deployment_raw[[#This Row],[Column12]]), (MIN(IF(N782&lt;&gt;"",N782,9999999999999)*1.1,deployment_raw[[#This Row],[Column12]] * IF($E$2="Deployment",deployment_raw[[#This Row],[Column5]],1))*(1+$P$2)),"")</f>
        <v/>
      </c>
      <c r="Q782" s="167" t="str">
        <f>IF(ISNUMBER(deployment_raw[[#This Row],[Column13]]), (MIN(IF(O782&lt;&gt;"",O782,9999999999999)*1.1,deployment_raw[[#This Row],[Column13]] * IF($E$2="Deployment",deployment_raw[[#This Row],[Column5]],1)*(1+$Q$2)/1048576)),"")</f>
        <v/>
      </c>
      <c r="R782" s="169" t="str">
        <f>IF(ISNUMBER(deployment_raw[[#This Row],[Column8]]), (H782  * IF(N782&lt;&gt;0,$R$2,1)),"")</f>
        <v/>
      </c>
      <c r="S782" s="170" t="str">
        <f>IF(ISNUMBER(deployment_raw[[#This Row],[Column8]]), (I782  * IF(O782&lt;&gt;0,$S$2,1)),"")</f>
        <v/>
      </c>
      <c r="T782" s="202" t="str">
        <f>IF(AND(A782&lt;&gt;"",_xlfn.IFNA(MATCH(A782,'dynamic resource application '!$A$2:$A$100, 0),0)&lt;&gt;0), H782/(IF($E$2="Deployment",E782,1)),"")</f>
        <v/>
      </c>
      <c r="U782" s="211" t="str">
        <f>IF(AND(A782&lt;&gt;"",_xlfn.IFNA(MATCH(A782,'dynamic resource application '!$A$2:$A$100, 0),0)&lt;&gt;0), I782/(IF($E$2="Deployment",E782,1)),"")</f>
        <v/>
      </c>
    </row>
    <row r="783" spans="1:21" ht="15.75" customHeight="1" x14ac:dyDescent="0.25">
      <c r="A783" s="35" t="str">
        <f>IF(ISNONTEXT(deployment_raw[[#This Row],[Column1]]), "", deployment_raw[[#This Row],[Column1]])</f>
        <v/>
      </c>
      <c r="B783" s="36" t="str">
        <f>IF(ISNONTEXT(deployment_raw[[#This Row],[Column2]]), "", deployment_raw[[#This Row],[Column2]])</f>
        <v/>
      </c>
      <c r="C783" s="36" t="str">
        <f>IF(ISNONTEXT(deployment_raw[[#This Row],[Column3]]), "", deployment_raw[[#This Row],[Column3]])</f>
        <v/>
      </c>
      <c r="D783" s="36" t="str">
        <f>IF(ISNONTEXT(deployment_raw[[#This Row],[Column4]]), "", deployment_raw[[#This Row],[Column4]])</f>
        <v/>
      </c>
      <c r="E783" s="37" t="str">
        <f>IF(ISNUMBER(deployment_raw[[#This Row],[Column5]]), deployment_raw[[#This Row],[Column5]],"")</f>
        <v/>
      </c>
      <c r="F783" s="94" t="str">
        <f>IF(ISNUMBER(deployment_raw[[#This Row],[Column6]]), (deployment_raw[[#This Row],[Column6]] * IF($E$2="Deployment",deployment_raw[[#This Row],[Column5]],1)),"")</f>
        <v/>
      </c>
      <c r="G783" s="95" t="str">
        <f>IF(ISNUMBER(deployment_raw[[#This Row],[Column7]]), (deployment_raw[[#This Row],[Column7]] * IF($E$2="Deployment",deployment_raw[[#This Row],[Column5]],1))/1048576,"")</f>
        <v/>
      </c>
      <c r="H783" s="95" t="str">
        <f>IF(ISNUMBER(deployment_raw[[#This Row],[Column8]]), (deployment_raw[[#This Row],[Column8]]  * IF($E$2="Deployment",deployment_raw[[#This Row],[Column5]],1)),"")</f>
        <v/>
      </c>
      <c r="I783" s="96" t="str">
        <f>IF(ISNUMBER(deployment_raw[[#This Row],[Column9]]), (deployment_raw[[#This Row],[Column9]] * IF($E$2="Deployment",deployment_raw[[#This Row],[Column5]],1))/1048576,"")</f>
        <v/>
      </c>
      <c r="J783" s="122" t="str">
        <f>IF(ISNUMBER(deployment_raw[[#This Row],[Column10]]), (MIN(IF(N783&lt;&gt;"",N783,9999999999999)*1.1,deployment_raw[[#This Row],[Column10]] * IF($E$2="Deployment",deployment_raw[[#This Row],[Column5]],1))),"")</f>
        <v/>
      </c>
      <c r="K783" s="123" t="str">
        <f>IF(ISNUMBER(deployment_raw[[#This Row],[Column11]]), (MIN(IF(O783&lt;&gt;"",O783,9999999999999)*1.1,deployment_raw[[#This Row],[Column11]] * IF($E$2="Deployment",deployment_raw[[#This Row],[Column5]],1)/1048576)),"")</f>
        <v/>
      </c>
      <c r="L783" s="124" t="str">
        <f>IF(ISNUMBER(deployment_raw[[#This Row],[Column8]]),IF(OR(deployment_raw[[#This Row],[Column5]] &lt;&gt; 0,$E$2 &lt;&gt; "Deployment"), MAX(J783, P783, R783, ($L$2 * IF($E$2="Deployment",deployment_raw[[#This Row],[Column5]],1)),IF(T783&lt;&gt;"",VALUE(T783) * IF($E$2="Deployment",deployment_raw[[#This Row],[Column5]],1),0)), 0),"")</f>
        <v/>
      </c>
      <c r="M783" s="125" t="str">
        <f>IF(ISNUMBER(deployment_raw[[#This Row],[Column9]]),IF(OR(deployment_raw[[#This Row],[Column5]] &lt;&gt; 0,$E$2&lt;&gt;"Deployment"), MAX(K783, Q783, S783, ($M$2 * IF($E$2="Deployment",deployment_raw[[#This Row],[Column5]],1)),IF(U783&lt;&gt;"",VALUE(U783) * IF($E$2="Deployment",deployment_raw[[#This Row],[Column5]],1),0)), 0),"")</f>
        <v/>
      </c>
      <c r="N783" s="166" t="str">
        <f>IF(ISNUMBER(deployment_raw[[#This Row],[Column14]]), deployment_raw[[#This Row],[Column14]]/IF(OR($E$2="Deployment",deployment_raw[[#This Row],[Column5]]=0),1,deployment_raw[[#This Row],[Column5]]),"")</f>
        <v/>
      </c>
      <c r="O783" s="167" t="str">
        <f>IF(ISNUMBER(deployment_raw[[#This Row],[Column15]]), deployment_raw[[#This Row],[Column15]]/IF(OR($E$2="Deployment",deployment_raw[[#This Row],[Column5]]=0),1,deployment_raw[[#This Row],[Column5]])/1048576,"")</f>
        <v/>
      </c>
      <c r="P783" s="168" t="str">
        <f>IF(ISNUMBER(deployment_raw[[#This Row],[Column12]]), (MIN(IF(N783&lt;&gt;"",N783,9999999999999)*1.1,deployment_raw[[#This Row],[Column12]] * IF($E$2="Deployment",deployment_raw[[#This Row],[Column5]],1))*(1+$P$2)),"")</f>
        <v/>
      </c>
      <c r="Q783" s="167" t="str">
        <f>IF(ISNUMBER(deployment_raw[[#This Row],[Column13]]), (MIN(IF(O783&lt;&gt;"",O783,9999999999999)*1.1,deployment_raw[[#This Row],[Column13]] * IF($E$2="Deployment",deployment_raw[[#This Row],[Column5]],1)*(1+$Q$2)/1048576)),"")</f>
        <v/>
      </c>
      <c r="R783" s="169" t="str">
        <f>IF(ISNUMBER(deployment_raw[[#This Row],[Column8]]), (H783  * IF(N783&lt;&gt;0,$R$2,1)),"")</f>
        <v/>
      </c>
      <c r="S783" s="170" t="str">
        <f>IF(ISNUMBER(deployment_raw[[#This Row],[Column8]]), (I783  * IF(O783&lt;&gt;0,$S$2,1)),"")</f>
        <v/>
      </c>
      <c r="T783" s="202" t="str">
        <f>IF(AND(A783&lt;&gt;"",_xlfn.IFNA(MATCH(A783,'dynamic resource application '!$A$2:$A$100, 0),0)&lt;&gt;0), H783/(IF($E$2="Deployment",E783,1)),"")</f>
        <v/>
      </c>
      <c r="U783" s="211" t="str">
        <f>IF(AND(A783&lt;&gt;"",_xlfn.IFNA(MATCH(A783,'dynamic resource application '!$A$2:$A$100, 0),0)&lt;&gt;0), I783/(IF($E$2="Deployment",E783,1)),"")</f>
        <v/>
      </c>
    </row>
    <row r="784" spans="1:21" ht="15.75" customHeight="1" x14ac:dyDescent="0.25">
      <c r="A784" s="35" t="str">
        <f>IF(ISNONTEXT(deployment_raw[[#This Row],[Column1]]), "", deployment_raw[[#This Row],[Column1]])</f>
        <v/>
      </c>
      <c r="B784" s="36" t="str">
        <f>IF(ISNONTEXT(deployment_raw[[#This Row],[Column2]]), "", deployment_raw[[#This Row],[Column2]])</f>
        <v/>
      </c>
      <c r="C784" s="36" t="str">
        <f>IF(ISNONTEXT(deployment_raw[[#This Row],[Column3]]), "", deployment_raw[[#This Row],[Column3]])</f>
        <v/>
      </c>
      <c r="D784" s="36" t="str">
        <f>IF(ISNONTEXT(deployment_raw[[#This Row],[Column4]]), "", deployment_raw[[#This Row],[Column4]])</f>
        <v/>
      </c>
      <c r="E784" s="37" t="str">
        <f>IF(ISNUMBER(deployment_raw[[#This Row],[Column5]]), deployment_raw[[#This Row],[Column5]],"")</f>
        <v/>
      </c>
      <c r="F784" s="94" t="str">
        <f>IF(ISNUMBER(deployment_raw[[#This Row],[Column6]]), (deployment_raw[[#This Row],[Column6]] * IF($E$2="Deployment",deployment_raw[[#This Row],[Column5]],1)),"")</f>
        <v/>
      </c>
      <c r="G784" s="95" t="str">
        <f>IF(ISNUMBER(deployment_raw[[#This Row],[Column7]]), (deployment_raw[[#This Row],[Column7]] * IF($E$2="Deployment",deployment_raw[[#This Row],[Column5]],1))/1048576,"")</f>
        <v/>
      </c>
      <c r="H784" s="95" t="str">
        <f>IF(ISNUMBER(deployment_raw[[#This Row],[Column8]]), (deployment_raw[[#This Row],[Column8]]  * IF($E$2="Deployment",deployment_raw[[#This Row],[Column5]],1)),"")</f>
        <v/>
      </c>
      <c r="I784" s="96" t="str">
        <f>IF(ISNUMBER(deployment_raw[[#This Row],[Column9]]), (deployment_raw[[#This Row],[Column9]] * IF($E$2="Deployment",deployment_raw[[#This Row],[Column5]],1))/1048576,"")</f>
        <v/>
      </c>
      <c r="J784" s="122" t="str">
        <f>IF(ISNUMBER(deployment_raw[[#This Row],[Column10]]), (MIN(IF(N784&lt;&gt;"",N784,9999999999999)*1.1,deployment_raw[[#This Row],[Column10]] * IF($E$2="Deployment",deployment_raw[[#This Row],[Column5]],1))),"")</f>
        <v/>
      </c>
      <c r="K784" s="123" t="str">
        <f>IF(ISNUMBER(deployment_raw[[#This Row],[Column11]]), (MIN(IF(O784&lt;&gt;"",O784,9999999999999)*1.1,deployment_raw[[#This Row],[Column11]] * IF($E$2="Deployment",deployment_raw[[#This Row],[Column5]],1)/1048576)),"")</f>
        <v/>
      </c>
      <c r="L784" s="124" t="str">
        <f>IF(ISNUMBER(deployment_raw[[#This Row],[Column8]]),IF(OR(deployment_raw[[#This Row],[Column5]] &lt;&gt; 0,$E$2 &lt;&gt; "Deployment"), MAX(J784, P784, R784, ($L$2 * IF($E$2="Deployment",deployment_raw[[#This Row],[Column5]],1)),IF(T784&lt;&gt;"",VALUE(T784) * IF($E$2="Deployment",deployment_raw[[#This Row],[Column5]],1),0)), 0),"")</f>
        <v/>
      </c>
      <c r="M784" s="125" t="str">
        <f>IF(ISNUMBER(deployment_raw[[#This Row],[Column9]]),IF(OR(deployment_raw[[#This Row],[Column5]] &lt;&gt; 0,$E$2&lt;&gt;"Deployment"), MAX(K784, Q784, S784, ($M$2 * IF($E$2="Deployment",deployment_raw[[#This Row],[Column5]],1)),IF(U784&lt;&gt;"",VALUE(U784) * IF($E$2="Deployment",deployment_raw[[#This Row],[Column5]],1),0)), 0),"")</f>
        <v/>
      </c>
      <c r="N784" s="166" t="str">
        <f>IF(ISNUMBER(deployment_raw[[#This Row],[Column14]]), deployment_raw[[#This Row],[Column14]]/IF(OR($E$2="Deployment",deployment_raw[[#This Row],[Column5]]=0),1,deployment_raw[[#This Row],[Column5]]),"")</f>
        <v/>
      </c>
      <c r="O784" s="167" t="str">
        <f>IF(ISNUMBER(deployment_raw[[#This Row],[Column15]]), deployment_raw[[#This Row],[Column15]]/IF(OR($E$2="Deployment",deployment_raw[[#This Row],[Column5]]=0),1,deployment_raw[[#This Row],[Column5]])/1048576,"")</f>
        <v/>
      </c>
      <c r="P784" s="168" t="str">
        <f>IF(ISNUMBER(deployment_raw[[#This Row],[Column12]]), (MIN(IF(N784&lt;&gt;"",N784,9999999999999)*1.1,deployment_raw[[#This Row],[Column12]] * IF($E$2="Deployment",deployment_raw[[#This Row],[Column5]],1))*(1+$P$2)),"")</f>
        <v/>
      </c>
      <c r="Q784" s="167" t="str">
        <f>IF(ISNUMBER(deployment_raw[[#This Row],[Column13]]), (MIN(IF(O784&lt;&gt;"",O784,9999999999999)*1.1,deployment_raw[[#This Row],[Column13]] * IF($E$2="Deployment",deployment_raw[[#This Row],[Column5]],1)*(1+$Q$2)/1048576)),"")</f>
        <v/>
      </c>
      <c r="R784" s="169" t="str">
        <f>IF(ISNUMBER(deployment_raw[[#This Row],[Column8]]), (H784  * IF(N784&lt;&gt;0,$R$2,1)),"")</f>
        <v/>
      </c>
      <c r="S784" s="170" t="str">
        <f>IF(ISNUMBER(deployment_raw[[#This Row],[Column8]]), (I784  * IF(O784&lt;&gt;0,$S$2,1)),"")</f>
        <v/>
      </c>
      <c r="T784" s="202" t="str">
        <f>IF(AND(A784&lt;&gt;"",_xlfn.IFNA(MATCH(A784,'dynamic resource application '!$A$2:$A$100, 0),0)&lt;&gt;0), H784/(IF($E$2="Deployment",E784,1)),"")</f>
        <v/>
      </c>
      <c r="U784" s="211" t="str">
        <f>IF(AND(A784&lt;&gt;"",_xlfn.IFNA(MATCH(A784,'dynamic resource application '!$A$2:$A$100, 0),0)&lt;&gt;0), I784/(IF($E$2="Deployment",E784,1)),"")</f>
        <v/>
      </c>
    </row>
    <row r="785" spans="1:21" ht="15.75" customHeight="1" x14ac:dyDescent="0.25">
      <c r="A785" s="35" t="str">
        <f>IF(ISNONTEXT(deployment_raw[[#This Row],[Column1]]), "", deployment_raw[[#This Row],[Column1]])</f>
        <v/>
      </c>
      <c r="B785" s="36" t="str">
        <f>IF(ISNONTEXT(deployment_raw[[#This Row],[Column2]]), "", deployment_raw[[#This Row],[Column2]])</f>
        <v/>
      </c>
      <c r="C785" s="36" t="str">
        <f>IF(ISNONTEXT(deployment_raw[[#This Row],[Column3]]), "", deployment_raw[[#This Row],[Column3]])</f>
        <v/>
      </c>
      <c r="D785" s="36" t="str">
        <f>IF(ISNONTEXT(deployment_raw[[#This Row],[Column4]]), "", deployment_raw[[#This Row],[Column4]])</f>
        <v/>
      </c>
      <c r="E785" s="37" t="str">
        <f>IF(ISNUMBER(deployment_raw[[#This Row],[Column5]]), deployment_raw[[#This Row],[Column5]],"")</f>
        <v/>
      </c>
      <c r="F785" s="94" t="str">
        <f>IF(ISNUMBER(deployment_raw[[#This Row],[Column6]]), (deployment_raw[[#This Row],[Column6]] * IF($E$2="Deployment",deployment_raw[[#This Row],[Column5]],1)),"")</f>
        <v/>
      </c>
      <c r="G785" s="95" t="str">
        <f>IF(ISNUMBER(deployment_raw[[#This Row],[Column7]]), (deployment_raw[[#This Row],[Column7]] * IF($E$2="Deployment",deployment_raw[[#This Row],[Column5]],1))/1048576,"")</f>
        <v/>
      </c>
      <c r="H785" s="95" t="str">
        <f>IF(ISNUMBER(deployment_raw[[#This Row],[Column8]]), (deployment_raw[[#This Row],[Column8]]  * IF($E$2="Deployment",deployment_raw[[#This Row],[Column5]],1)),"")</f>
        <v/>
      </c>
      <c r="I785" s="96" t="str">
        <f>IF(ISNUMBER(deployment_raw[[#This Row],[Column9]]), (deployment_raw[[#This Row],[Column9]] * IF($E$2="Deployment",deployment_raw[[#This Row],[Column5]],1))/1048576,"")</f>
        <v/>
      </c>
      <c r="J785" s="122" t="str">
        <f>IF(ISNUMBER(deployment_raw[[#This Row],[Column10]]), (MIN(IF(N785&lt;&gt;"",N785,9999999999999)*1.1,deployment_raw[[#This Row],[Column10]] * IF($E$2="Deployment",deployment_raw[[#This Row],[Column5]],1))),"")</f>
        <v/>
      </c>
      <c r="K785" s="123" t="str">
        <f>IF(ISNUMBER(deployment_raw[[#This Row],[Column11]]), (MIN(IF(O785&lt;&gt;"",O785,9999999999999)*1.1,deployment_raw[[#This Row],[Column11]] * IF($E$2="Deployment",deployment_raw[[#This Row],[Column5]],1)/1048576)),"")</f>
        <v/>
      </c>
      <c r="L785" s="124" t="str">
        <f>IF(ISNUMBER(deployment_raw[[#This Row],[Column8]]),IF(OR(deployment_raw[[#This Row],[Column5]] &lt;&gt; 0,$E$2 &lt;&gt; "Deployment"), MAX(J785, P785, R785, ($L$2 * IF($E$2="Deployment",deployment_raw[[#This Row],[Column5]],1)),IF(T785&lt;&gt;"",VALUE(T785) * IF($E$2="Deployment",deployment_raw[[#This Row],[Column5]],1),0)), 0),"")</f>
        <v/>
      </c>
      <c r="M785" s="125" t="str">
        <f>IF(ISNUMBER(deployment_raw[[#This Row],[Column9]]),IF(OR(deployment_raw[[#This Row],[Column5]] &lt;&gt; 0,$E$2&lt;&gt;"Deployment"), MAX(K785, Q785, S785, ($M$2 * IF($E$2="Deployment",deployment_raw[[#This Row],[Column5]],1)),IF(U785&lt;&gt;"",VALUE(U785) * IF($E$2="Deployment",deployment_raw[[#This Row],[Column5]],1),0)), 0),"")</f>
        <v/>
      </c>
      <c r="N785" s="166" t="str">
        <f>IF(ISNUMBER(deployment_raw[[#This Row],[Column14]]), deployment_raw[[#This Row],[Column14]]/IF(OR($E$2="Deployment",deployment_raw[[#This Row],[Column5]]=0),1,deployment_raw[[#This Row],[Column5]]),"")</f>
        <v/>
      </c>
      <c r="O785" s="167" t="str">
        <f>IF(ISNUMBER(deployment_raw[[#This Row],[Column15]]), deployment_raw[[#This Row],[Column15]]/IF(OR($E$2="Deployment",deployment_raw[[#This Row],[Column5]]=0),1,deployment_raw[[#This Row],[Column5]])/1048576,"")</f>
        <v/>
      </c>
      <c r="P785" s="168" t="str">
        <f>IF(ISNUMBER(deployment_raw[[#This Row],[Column12]]), (MIN(IF(N785&lt;&gt;"",N785,9999999999999)*1.1,deployment_raw[[#This Row],[Column12]] * IF($E$2="Deployment",deployment_raw[[#This Row],[Column5]],1))*(1+$P$2)),"")</f>
        <v/>
      </c>
      <c r="Q785" s="167" t="str">
        <f>IF(ISNUMBER(deployment_raw[[#This Row],[Column13]]), (MIN(IF(O785&lt;&gt;"",O785,9999999999999)*1.1,deployment_raw[[#This Row],[Column13]] * IF($E$2="Deployment",deployment_raw[[#This Row],[Column5]],1)*(1+$Q$2)/1048576)),"")</f>
        <v/>
      </c>
      <c r="R785" s="169" t="str">
        <f>IF(ISNUMBER(deployment_raw[[#This Row],[Column8]]), (H785  * IF(N785&lt;&gt;0,$R$2,1)),"")</f>
        <v/>
      </c>
      <c r="S785" s="170" t="str">
        <f>IF(ISNUMBER(deployment_raw[[#This Row],[Column8]]), (I785  * IF(O785&lt;&gt;0,$S$2,1)),"")</f>
        <v/>
      </c>
      <c r="T785" s="202" t="str">
        <f>IF(AND(A785&lt;&gt;"",_xlfn.IFNA(MATCH(A785,'dynamic resource application '!$A$2:$A$100, 0),0)&lt;&gt;0), H785/(IF($E$2="Deployment",E785,1)),"")</f>
        <v/>
      </c>
      <c r="U785" s="211" t="str">
        <f>IF(AND(A785&lt;&gt;"",_xlfn.IFNA(MATCH(A785,'dynamic resource application '!$A$2:$A$100, 0),0)&lt;&gt;0), I785/(IF($E$2="Deployment",E785,1)),"")</f>
        <v/>
      </c>
    </row>
    <row r="786" spans="1:21" ht="15.75" customHeight="1" x14ac:dyDescent="0.25">
      <c r="A786" s="35" t="str">
        <f>IF(ISNONTEXT(deployment_raw[[#This Row],[Column1]]), "", deployment_raw[[#This Row],[Column1]])</f>
        <v/>
      </c>
      <c r="B786" s="36" t="str">
        <f>IF(ISNONTEXT(deployment_raw[[#This Row],[Column2]]), "", deployment_raw[[#This Row],[Column2]])</f>
        <v/>
      </c>
      <c r="C786" s="36" t="str">
        <f>IF(ISNONTEXT(deployment_raw[[#This Row],[Column3]]), "", deployment_raw[[#This Row],[Column3]])</f>
        <v/>
      </c>
      <c r="D786" s="36" t="str">
        <f>IF(ISNONTEXT(deployment_raw[[#This Row],[Column4]]), "", deployment_raw[[#This Row],[Column4]])</f>
        <v/>
      </c>
      <c r="E786" s="37" t="str">
        <f>IF(ISNUMBER(deployment_raw[[#This Row],[Column5]]), deployment_raw[[#This Row],[Column5]],"")</f>
        <v/>
      </c>
      <c r="F786" s="94" t="str">
        <f>IF(ISNUMBER(deployment_raw[[#This Row],[Column6]]), (deployment_raw[[#This Row],[Column6]] * IF($E$2="Deployment",deployment_raw[[#This Row],[Column5]],1)),"")</f>
        <v/>
      </c>
      <c r="G786" s="95" t="str">
        <f>IF(ISNUMBER(deployment_raw[[#This Row],[Column7]]), (deployment_raw[[#This Row],[Column7]] * IF($E$2="Deployment",deployment_raw[[#This Row],[Column5]],1))/1048576,"")</f>
        <v/>
      </c>
      <c r="H786" s="95" t="str">
        <f>IF(ISNUMBER(deployment_raw[[#This Row],[Column8]]), (deployment_raw[[#This Row],[Column8]]  * IF($E$2="Deployment",deployment_raw[[#This Row],[Column5]],1)),"")</f>
        <v/>
      </c>
      <c r="I786" s="96" t="str">
        <f>IF(ISNUMBER(deployment_raw[[#This Row],[Column9]]), (deployment_raw[[#This Row],[Column9]] * IF($E$2="Deployment",deployment_raw[[#This Row],[Column5]],1))/1048576,"")</f>
        <v/>
      </c>
      <c r="J786" s="122" t="str">
        <f>IF(ISNUMBER(deployment_raw[[#This Row],[Column10]]), (MIN(IF(N786&lt;&gt;"",N786,9999999999999)*1.1,deployment_raw[[#This Row],[Column10]] * IF($E$2="Deployment",deployment_raw[[#This Row],[Column5]],1))),"")</f>
        <v/>
      </c>
      <c r="K786" s="123" t="str">
        <f>IF(ISNUMBER(deployment_raw[[#This Row],[Column11]]), (MIN(IF(O786&lt;&gt;"",O786,9999999999999)*1.1,deployment_raw[[#This Row],[Column11]] * IF($E$2="Deployment",deployment_raw[[#This Row],[Column5]],1)/1048576)),"")</f>
        <v/>
      </c>
      <c r="L786" s="124" t="str">
        <f>IF(ISNUMBER(deployment_raw[[#This Row],[Column8]]),IF(OR(deployment_raw[[#This Row],[Column5]] &lt;&gt; 0,$E$2 &lt;&gt; "Deployment"), MAX(J786, P786, R786, ($L$2 * IF($E$2="Deployment",deployment_raw[[#This Row],[Column5]],1)),IF(T786&lt;&gt;"",VALUE(T786) * IF($E$2="Deployment",deployment_raw[[#This Row],[Column5]],1),0)), 0),"")</f>
        <v/>
      </c>
      <c r="M786" s="125" t="str">
        <f>IF(ISNUMBER(deployment_raw[[#This Row],[Column9]]),IF(OR(deployment_raw[[#This Row],[Column5]] &lt;&gt; 0,$E$2&lt;&gt;"Deployment"), MAX(K786, Q786, S786, ($M$2 * IF($E$2="Deployment",deployment_raw[[#This Row],[Column5]],1)),IF(U786&lt;&gt;"",VALUE(U786) * IF($E$2="Deployment",deployment_raw[[#This Row],[Column5]],1),0)), 0),"")</f>
        <v/>
      </c>
      <c r="N786" s="166" t="str">
        <f>IF(ISNUMBER(deployment_raw[[#This Row],[Column14]]), deployment_raw[[#This Row],[Column14]]/IF(OR($E$2="Deployment",deployment_raw[[#This Row],[Column5]]=0),1,deployment_raw[[#This Row],[Column5]]),"")</f>
        <v/>
      </c>
      <c r="O786" s="167" t="str">
        <f>IF(ISNUMBER(deployment_raw[[#This Row],[Column15]]), deployment_raw[[#This Row],[Column15]]/IF(OR($E$2="Deployment",deployment_raw[[#This Row],[Column5]]=0),1,deployment_raw[[#This Row],[Column5]])/1048576,"")</f>
        <v/>
      </c>
      <c r="P786" s="168" t="str">
        <f>IF(ISNUMBER(deployment_raw[[#This Row],[Column12]]), (MIN(IF(N786&lt;&gt;"",N786,9999999999999)*1.1,deployment_raw[[#This Row],[Column12]] * IF($E$2="Deployment",deployment_raw[[#This Row],[Column5]],1))*(1+$P$2)),"")</f>
        <v/>
      </c>
      <c r="Q786" s="167" t="str">
        <f>IF(ISNUMBER(deployment_raw[[#This Row],[Column13]]), (MIN(IF(O786&lt;&gt;"",O786,9999999999999)*1.1,deployment_raw[[#This Row],[Column13]] * IF($E$2="Deployment",deployment_raw[[#This Row],[Column5]],1)*(1+$Q$2)/1048576)),"")</f>
        <v/>
      </c>
      <c r="R786" s="169" t="str">
        <f>IF(ISNUMBER(deployment_raw[[#This Row],[Column8]]), (H786  * IF(N786&lt;&gt;0,$R$2,1)),"")</f>
        <v/>
      </c>
      <c r="S786" s="170" t="str">
        <f>IF(ISNUMBER(deployment_raw[[#This Row],[Column8]]), (I786  * IF(O786&lt;&gt;0,$S$2,1)),"")</f>
        <v/>
      </c>
      <c r="T786" s="202" t="str">
        <f>IF(AND(A786&lt;&gt;"",_xlfn.IFNA(MATCH(A786,'dynamic resource application '!$A$2:$A$100, 0),0)&lt;&gt;0), H786/(IF($E$2="Deployment",E786,1)),"")</f>
        <v/>
      </c>
      <c r="U786" s="211" t="str">
        <f>IF(AND(A786&lt;&gt;"",_xlfn.IFNA(MATCH(A786,'dynamic resource application '!$A$2:$A$100, 0),0)&lt;&gt;0), I786/(IF($E$2="Deployment",E786,1)),"")</f>
        <v/>
      </c>
    </row>
    <row r="787" spans="1:21" ht="15.75" customHeight="1" x14ac:dyDescent="0.25">
      <c r="A787" s="35" t="str">
        <f>IF(ISNONTEXT(deployment_raw[[#This Row],[Column1]]), "", deployment_raw[[#This Row],[Column1]])</f>
        <v/>
      </c>
      <c r="B787" s="36" t="str">
        <f>IF(ISNONTEXT(deployment_raw[[#This Row],[Column2]]), "", deployment_raw[[#This Row],[Column2]])</f>
        <v/>
      </c>
      <c r="C787" s="36" t="str">
        <f>IF(ISNONTEXT(deployment_raw[[#This Row],[Column3]]), "", deployment_raw[[#This Row],[Column3]])</f>
        <v/>
      </c>
      <c r="D787" s="36" t="str">
        <f>IF(ISNONTEXT(deployment_raw[[#This Row],[Column4]]), "", deployment_raw[[#This Row],[Column4]])</f>
        <v/>
      </c>
      <c r="E787" s="37" t="str">
        <f>IF(ISNUMBER(deployment_raw[[#This Row],[Column5]]), deployment_raw[[#This Row],[Column5]],"")</f>
        <v/>
      </c>
      <c r="F787" s="94" t="str">
        <f>IF(ISNUMBER(deployment_raw[[#This Row],[Column6]]), (deployment_raw[[#This Row],[Column6]] * IF($E$2="Deployment",deployment_raw[[#This Row],[Column5]],1)),"")</f>
        <v/>
      </c>
      <c r="G787" s="95" t="str">
        <f>IF(ISNUMBER(deployment_raw[[#This Row],[Column7]]), (deployment_raw[[#This Row],[Column7]] * IF($E$2="Deployment",deployment_raw[[#This Row],[Column5]],1))/1048576,"")</f>
        <v/>
      </c>
      <c r="H787" s="95" t="str">
        <f>IF(ISNUMBER(deployment_raw[[#This Row],[Column8]]), (deployment_raw[[#This Row],[Column8]]  * IF($E$2="Deployment",deployment_raw[[#This Row],[Column5]],1)),"")</f>
        <v/>
      </c>
      <c r="I787" s="96" t="str">
        <f>IF(ISNUMBER(deployment_raw[[#This Row],[Column9]]), (deployment_raw[[#This Row],[Column9]] * IF($E$2="Deployment",deployment_raw[[#This Row],[Column5]],1))/1048576,"")</f>
        <v/>
      </c>
      <c r="J787" s="122" t="str">
        <f>IF(ISNUMBER(deployment_raw[[#This Row],[Column10]]), (MIN(IF(N787&lt;&gt;"",N787,9999999999999)*1.1,deployment_raw[[#This Row],[Column10]] * IF($E$2="Deployment",deployment_raw[[#This Row],[Column5]],1))),"")</f>
        <v/>
      </c>
      <c r="K787" s="123" t="str">
        <f>IF(ISNUMBER(deployment_raw[[#This Row],[Column11]]), (MIN(IF(O787&lt;&gt;"",O787,9999999999999)*1.1,deployment_raw[[#This Row],[Column11]] * IF($E$2="Deployment",deployment_raw[[#This Row],[Column5]],1)/1048576)),"")</f>
        <v/>
      </c>
      <c r="L787" s="124" t="str">
        <f>IF(ISNUMBER(deployment_raw[[#This Row],[Column8]]),IF(OR(deployment_raw[[#This Row],[Column5]] &lt;&gt; 0,$E$2 &lt;&gt; "Deployment"), MAX(J787, P787, R787, ($L$2 * IF($E$2="Deployment",deployment_raw[[#This Row],[Column5]],1)),IF(T787&lt;&gt;"",VALUE(T787) * IF($E$2="Deployment",deployment_raw[[#This Row],[Column5]],1),0)), 0),"")</f>
        <v/>
      </c>
      <c r="M787" s="125" t="str">
        <f>IF(ISNUMBER(deployment_raw[[#This Row],[Column9]]),IF(OR(deployment_raw[[#This Row],[Column5]] &lt;&gt; 0,$E$2&lt;&gt;"Deployment"), MAX(K787, Q787, S787, ($M$2 * IF($E$2="Deployment",deployment_raw[[#This Row],[Column5]],1)),IF(U787&lt;&gt;"",VALUE(U787) * IF($E$2="Deployment",deployment_raw[[#This Row],[Column5]],1),0)), 0),"")</f>
        <v/>
      </c>
      <c r="N787" s="166" t="str">
        <f>IF(ISNUMBER(deployment_raw[[#This Row],[Column14]]), deployment_raw[[#This Row],[Column14]]/IF(OR($E$2="Deployment",deployment_raw[[#This Row],[Column5]]=0),1,deployment_raw[[#This Row],[Column5]]),"")</f>
        <v/>
      </c>
      <c r="O787" s="167" t="str">
        <f>IF(ISNUMBER(deployment_raw[[#This Row],[Column15]]), deployment_raw[[#This Row],[Column15]]/IF(OR($E$2="Deployment",deployment_raw[[#This Row],[Column5]]=0),1,deployment_raw[[#This Row],[Column5]])/1048576,"")</f>
        <v/>
      </c>
      <c r="P787" s="168" t="str">
        <f>IF(ISNUMBER(deployment_raw[[#This Row],[Column12]]), (MIN(IF(N787&lt;&gt;"",N787,9999999999999)*1.1,deployment_raw[[#This Row],[Column12]] * IF($E$2="Deployment",deployment_raw[[#This Row],[Column5]],1))*(1+$P$2)),"")</f>
        <v/>
      </c>
      <c r="Q787" s="167" t="str">
        <f>IF(ISNUMBER(deployment_raw[[#This Row],[Column13]]), (MIN(IF(O787&lt;&gt;"",O787,9999999999999)*1.1,deployment_raw[[#This Row],[Column13]] * IF($E$2="Deployment",deployment_raw[[#This Row],[Column5]],1)*(1+$Q$2)/1048576)),"")</f>
        <v/>
      </c>
      <c r="R787" s="169" t="str">
        <f>IF(ISNUMBER(deployment_raw[[#This Row],[Column8]]), (H787  * IF(N787&lt;&gt;0,$R$2,1)),"")</f>
        <v/>
      </c>
      <c r="S787" s="170" t="str">
        <f>IF(ISNUMBER(deployment_raw[[#This Row],[Column8]]), (I787  * IF(O787&lt;&gt;0,$S$2,1)),"")</f>
        <v/>
      </c>
      <c r="T787" s="202" t="str">
        <f>IF(AND(A787&lt;&gt;"",_xlfn.IFNA(MATCH(A787,'dynamic resource application '!$A$2:$A$100, 0),0)&lt;&gt;0), H787/(IF($E$2="Deployment",E787,1)),"")</f>
        <v/>
      </c>
      <c r="U787" s="211" t="str">
        <f>IF(AND(A787&lt;&gt;"",_xlfn.IFNA(MATCH(A787,'dynamic resource application '!$A$2:$A$100, 0),0)&lt;&gt;0), I787/(IF($E$2="Deployment",E787,1)),"")</f>
        <v/>
      </c>
    </row>
    <row r="788" spans="1:21" ht="15.75" customHeight="1" x14ac:dyDescent="0.25">
      <c r="A788" s="35" t="str">
        <f>IF(ISNONTEXT(deployment_raw[[#This Row],[Column1]]), "", deployment_raw[[#This Row],[Column1]])</f>
        <v/>
      </c>
      <c r="B788" s="36" t="str">
        <f>IF(ISNONTEXT(deployment_raw[[#This Row],[Column2]]), "", deployment_raw[[#This Row],[Column2]])</f>
        <v/>
      </c>
      <c r="C788" s="36" t="str">
        <f>IF(ISNONTEXT(deployment_raw[[#This Row],[Column3]]), "", deployment_raw[[#This Row],[Column3]])</f>
        <v/>
      </c>
      <c r="D788" s="36" t="str">
        <f>IF(ISNONTEXT(deployment_raw[[#This Row],[Column4]]), "", deployment_raw[[#This Row],[Column4]])</f>
        <v/>
      </c>
      <c r="E788" s="37" t="str">
        <f>IF(ISNUMBER(deployment_raw[[#This Row],[Column5]]), deployment_raw[[#This Row],[Column5]],"")</f>
        <v/>
      </c>
      <c r="F788" s="94" t="str">
        <f>IF(ISNUMBER(deployment_raw[[#This Row],[Column6]]), (deployment_raw[[#This Row],[Column6]] * IF($E$2="Deployment",deployment_raw[[#This Row],[Column5]],1)),"")</f>
        <v/>
      </c>
      <c r="G788" s="95" t="str">
        <f>IF(ISNUMBER(deployment_raw[[#This Row],[Column7]]), (deployment_raw[[#This Row],[Column7]] * IF($E$2="Deployment",deployment_raw[[#This Row],[Column5]],1))/1048576,"")</f>
        <v/>
      </c>
      <c r="H788" s="95" t="str">
        <f>IF(ISNUMBER(deployment_raw[[#This Row],[Column8]]), (deployment_raw[[#This Row],[Column8]]  * IF($E$2="Deployment",deployment_raw[[#This Row],[Column5]],1)),"")</f>
        <v/>
      </c>
      <c r="I788" s="96" t="str">
        <f>IF(ISNUMBER(deployment_raw[[#This Row],[Column9]]), (deployment_raw[[#This Row],[Column9]] * IF($E$2="Deployment",deployment_raw[[#This Row],[Column5]],1))/1048576,"")</f>
        <v/>
      </c>
      <c r="J788" s="122" t="str">
        <f>IF(ISNUMBER(deployment_raw[[#This Row],[Column10]]), (MIN(IF(N788&lt;&gt;"",N788,9999999999999)*1.1,deployment_raw[[#This Row],[Column10]] * IF($E$2="Deployment",deployment_raw[[#This Row],[Column5]],1))),"")</f>
        <v/>
      </c>
      <c r="K788" s="123" t="str">
        <f>IF(ISNUMBER(deployment_raw[[#This Row],[Column11]]), (MIN(IF(O788&lt;&gt;"",O788,9999999999999)*1.1,deployment_raw[[#This Row],[Column11]] * IF($E$2="Deployment",deployment_raw[[#This Row],[Column5]],1)/1048576)),"")</f>
        <v/>
      </c>
      <c r="L788" s="124" t="str">
        <f>IF(ISNUMBER(deployment_raw[[#This Row],[Column8]]),IF(OR(deployment_raw[[#This Row],[Column5]] &lt;&gt; 0,$E$2 &lt;&gt; "Deployment"), MAX(J788, P788, R788, ($L$2 * IF($E$2="Deployment",deployment_raw[[#This Row],[Column5]],1)),IF(T788&lt;&gt;"",VALUE(T788) * IF($E$2="Deployment",deployment_raw[[#This Row],[Column5]],1),0)), 0),"")</f>
        <v/>
      </c>
      <c r="M788" s="125" t="str">
        <f>IF(ISNUMBER(deployment_raw[[#This Row],[Column9]]),IF(OR(deployment_raw[[#This Row],[Column5]] &lt;&gt; 0,$E$2&lt;&gt;"Deployment"), MAX(K788, Q788, S788, ($M$2 * IF($E$2="Deployment",deployment_raw[[#This Row],[Column5]],1)),IF(U788&lt;&gt;"",VALUE(U788) * IF($E$2="Deployment",deployment_raw[[#This Row],[Column5]],1),0)), 0),"")</f>
        <v/>
      </c>
      <c r="N788" s="166" t="str">
        <f>IF(ISNUMBER(deployment_raw[[#This Row],[Column14]]), deployment_raw[[#This Row],[Column14]]/IF(OR($E$2="Deployment",deployment_raw[[#This Row],[Column5]]=0),1,deployment_raw[[#This Row],[Column5]]),"")</f>
        <v/>
      </c>
      <c r="O788" s="167" t="str">
        <f>IF(ISNUMBER(deployment_raw[[#This Row],[Column15]]), deployment_raw[[#This Row],[Column15]]/IF(OR($E$2="Deployment",deployment_raw[[#This Row],[Column5]]=0),1,deployment_raw[[#This Row],[Column5]])/1048576,"")</f>
        <v/>
      </c>
      <c r="P788" s="168" t="str">
        <f>IF(ISNUMBER(deployment_raw[[#This Row],[Column12]]), (MIN(IF(N788&lt;&gt;"",N788,9999999999999)*1.1,deployment_raw[[#This Row],[Column12]] * IF($E$2="Deployment",deployment_raw[[#This Row],[Column5]],1))*(1+$P$2)),"")</f>
        <v/>
      </c>
      <c r="Q788" s="167" t="str">
        <f>IF(ISNUMBER(deployment_raw[[#This Row],[Column13]]), (MIN(IF(O788&lt;&gt;"",O788,9999999999999)*1.1,deployment_raw[[#This Row],[Column13]] * IF($E$2="Deployment",deployment_raw[[#This Row],[Column5]],1)*(1+$Q$2)/1048576)),"")</f>
        <v/>
      </c>
      <c r="R788" s="169" t="str">
        <f>IF(ISNUMBER(deployment_raw[[#This Row],[Column8]]), (H788  * IF(N788&lt;&gt;0,$R$2,1)),"")</f>
        <v/>
      </c>
      <c r="S788" s="170" t="str">
        <f>IF(ISNUMBER(deployment_raw[[#This Row],[Column8]]), (I788  * IF(O788&lt;&gt;0,$S$2,1)),"")</f>
        <v/>
      </c>
      <c r="T788" s="202" t="str">
        <f>IF(AND(A788&lt;&gt;"",_xlfn.IFNA(MATCH(A788,'dynamic resource application '!$A$2:$A$100, 0),0)&lt;&gt;0), H788/(IF($E$2="Deployment",E788,1)),"")</f>
        <v/>
      </c>
      <c r="U788" s="211" t="str">
        <f>IF(AND(A788&lt;&gt;"",_xlfn.IFNA(MATCH(A788,'dynamic resource application '!$A$2:$A$100, 0),0)&lt;&gt;0), I788/(IF($E$2="Deployment",E788,1)),"")</f>
        <v/>
      </c>
    </row>
    <row r="789" spans="1:21" ht="15.75" customHeight="1" x14ac:dyDescent="0.25">
      <c r="A789" s="35" t="str">
        <f>IF(ISNONTEXT(deployment_raw[[#This Row],[Column1]]), "", deployment_raw[[#This Row],[Column1]])</f>
        <v/>
      </c>
      <c r="B789" s="36" t="str">
        <f>IF(ISNONTEXT(deployment_raw[[#This Row],[Column2]]), "", deployment_raw[[#This Row],[Column2]])</f>
        <v/>
      </c>
      <c r="C789" s="36" t="str">
        <f>IF(ISNONTEXT(deployment_raw[[#This Row],[Column3]]), "", deployment_raw[[#This Row],[Column3]])</f>
        <v/>
      </c>
      <c r="D789" s="36" t="str">
        <f>IF(ISNONTEXT(deployment_raw[[#This Row],[Column4]]), "", deployment_raw[[#This Row],[Column4]])</f>
        <v/>
      </c>
      <c r="E789" s="37" t="str">
        <f>IF(ISNUMBER(deployment_raw[[#This Row],[Column5]]), deployment_raw[[#This Row],[Column5]],"")</f>
        <v/>
      </c>
      <c r="F789" s="94" t="str">
        <f>IF(ISNUMBER(deployment_raw[[#This Row],[Column6]]), (deployment_raw[[#This Row],[Column6]] * IF($E$2="Deployment",deployment_raw[[#This Row],[Column5]],1)),"")</f>
        <v/>
      </c>
      <c r="G789" s="95" t="str">
        <f>IF(ISNUMBER(deployment_raw[[#This Row],[Column7]]), (deployment_raw[[#This Row],[Column7]] * IF($E$2="Deployment",deployment_raw[[#This Row],[Column5]],1))/1048576,"")</f>
        <v/>
      </c>
      <c r="H789" s="95" t="str">
        <f>IF(ISNUMBER(deployment_raw[[#This Row],[Column8]]), (deployment_raw[[#This Row],[Column8]]  * IF($E$2="Deployment",deployment_raw[[#This Row],[Column5]],1)),"")</f>
        <v/>
      </c>
      <c r="I789" s="96" t="str">
        <f>IF(ISNUMBER(deployment_raw[[#This Row],[Column9]]), (deployment_raw[[#This Row],[Column9]] * IF($E$2="Deployment",deployment_raw[[#This Row],[Column5]],1))/1048576,"")</f>
        <v/>
      </c>
      <c r="J789" s="122" t="str">
        <f>IF(ISNUMBER(deployment_raw[[#This Row],[Column10]]), (MIN(IF(N789&lt;&gt;"",N789,9999999999999)*1.1,deployment_raw[[#This Row],[Column10]] * IF($E$2="Deployment",deployment_raw[[#This Row],[Column5]],1))),"")</f>
        <v/>
      </c>
      <c r="K789" s="123" t="str">
        <f>IF(ISNUMBER(deployment_raw[[#This Row],[Column11]]), (MIN(IF(O789&lt;&gt;"",O789,9999999999999)*1.1,deployment_raw[[#This Row],[Column11]] * IF($E$2="Deployment",deployment_raw[[#This Row],[Column5]],1)/1048576)),"")</f>
        <v/>
      </c>
      <c r="L789" s="124" t="str">
        <f>IF(ISNUMBER(deployment_raw[[#This Row],[Column8]]),IF(OR(deployment_raw[[#This Row],[Column5]] &lt;&gt; 0,$E$2 &lt;&gt; "Deployment"), MAX(J789, P789, R789, ($L$2 * IF($E$2="Deployment",deployment_raw[[#This Row],[Column5]],1)),IF(T789&lt;&gt;"",VALUE(T789) * IF($E$2="Deployment",deployment_raw[[#This Row],[Column5]],1),0)), 0),"")</f>
        <v/>
      </c>
      <c r="M789" s="125" t="str">
        <f>IF(ISNUMBER(deployment_raw[[#This Row],[Column9]]),IF(OR(deployment_raw[[#This Row],[Column5]] &lt;&gt; 0,$E$2&lt;&gt;"Deployment"), MAX(K789, Q789, S789, ($M$2 * IF($E$2="Deployment",deployment_raw[[#This Row],[Column5]],1)),IF(U789&lt;&gt;"",VALUE(U789) * IF($E$2="Deployment",deployment_raw[[#This Row],[Column5]],1),0)), 0),"")</f>
        <v/>
      </c>
      <c r="N789" s="166" t="str">
        <f>IF(ISNUMBER(deployment_raw[[#This Row],[Column14]]), deployment_raw[[#This Row],[Column14]]/IF(OR($E$2="Deployment",deployment_raw[[#This Row],[Column5]]=0),1,deployment_raw[[#This Row],[Column5]]),"")</f>
        <v/>
      </c>
      <c r="O789" s="167" t="str">
        <f>IF(ISNUMBER(deployment_raw[[#This Row],[Column15]]), deployment_raw[[#This Row],[Column15]]/IF(OR($E$2="Deployment",deployment_raw[[#This Row],[Column5]]=0),1,deployment_raw[[#This Row],[Column5]])/1048576,"")</f>
        <v/>
      </c>
      <c r="P789" s="168" t="str">
        <f>IF(ISNUMBER(deployment_raw[[#This Row],[Column12]]), (MIN(IF(N789&lt;&gt;"",N789,9999999999999)*1.1,deployment_raw[[#This Row],[Column12]] * IF($E$2="Deployment",deployment_raw[[#This Row],[Column5]],1))*(1+$P$2)),"")</f>
        <v/>
      </c>
      <c r="Q789" s="167" t="str">
        <f>IF(ISNUMBER(deployment_raw[[#This Row],[Column13]]), (MIN(IF(O789&lt;&gt;"",O789,9999999999999)*1.1,deployment_raw[[#This Row],[Column13]] * IF($E$2="Deployment",deployment_raw[[#This Row],[Column5]],1)*(1+$Q$2)/1048576)),"")</f>
        <v/>
      </c>
      <c r="R789" s="169" t="str">
        <f>IF(ISNUMBER(deployment_raw[[#This Row],[Column8]]), (H789  * IF(N789&lt;&gt;0,$R$2,1)),"")</f>
        <v/>
      </c>
      <c r="S789" s="170" t="str">
        <f>IF(ISNUMBER(deployment_raw[[#This Row],[Column8]]), (I789  * IF(O789&lt;&gt;0,$S$2,1)),"")</f>
        <v/>
      </c>
      <c r="T789" s="202" t="str">
        <f>IF(AND(A789&lt;&gt;"",_xlfn.IFNA(MATCH(A789,'dynamic resource application '!$A$2:$A$100, 0),0)&lt;&gt;0), H789/(IF($E$2="Deployment",E789,1)),"")</f>
        <v/>
      </c>
      <c r="U789" s="211" t="str">
        <f>IF(AND(A789&lt;&gt;"",_xlfn.IFNA(MATCH(A789,'dynamic resource application '!$A$2:$A$100, 0),0)&lt;&gt;0), I789/(IF($E$2="Deployment",E789,1)),"")</f>
        <v/>
      </c>
    </row>
    <row r="790" spans="1:21" ht="15.75" customHeight="1" x14ac:dyDescent="0.25">
      <c r="A790" s="35" t="str">
        <f>IF(ISNONTEXT(deployment_raw[[#This Row],[Column1]]), "", deployment_raw[[#This Row],[Column1]])</f>
        <v/>
      </c>
      <c r="B790" s="36" t="str">
        <f>IF(ISNONTEXT(deployment_raw[[#This Row],[Column2]]), "", deployment_raw[[#This Row],[Column2]])</f>
        <v/>
      </c>
      <c r="C790" s="36" t="str">
        <f>IF(ISNONTEXT(deployment_raw[[#This Row],[Column3]]), "", deployment_raw[[#This Row],[Column3]])</f>
        <v/>
      </c>
      <c r="D790" s="36" t="str">
        <f>IF(ISNONTEXT(deployment_raw[[#This Row],[Column4]]), "", deployment_raw[[#This Row],[Column4]])</f>
        <v/>
      </c>
      <c r="E790" s="37" t="str">
        <f>IF(ISNUMBER(deployment_raw[[#This Row],[Column5]]), deployment_raw[[#This Row],[Column5]],"")</f>
        <v/>
      </c>
      <c r="F790" s="94" t="str">
        <f>IF(ISNUMBER(deployment_raw[[#This Row],[Column6]]), (deployment_raw[[#This Row],[Column6]] * IF($E$2="Deployment",deployment_raw[[#This Row],[Column5]],1)),"")</f>
        <v/>
      </c>
      <c r="G790" s="95" t="str">
        <f>IF(ISNUMBER(deployment_raw[[#This Row],[Column7]]), (deployment_raw[[#This Row],[Column7]] * IF($E$2="Deployment",deployment_raw[[#This Row],[Column5]],1))/1048576,"")</f>
        <v/>
      </c>
      <c r="H790" s="95" t="str">
        <f>IF(ISNUMBER(deployment_raw[[#This Row],[Column8]]), (deployment_raw[[#This Row],[Column8]]  * IF($E$2="Deployment",deployment_raw[[#This Row],[Column5]],1)),"")</f>
        <v/>
      </c>
      <c r="I790" s="96" t="str">
        <f>IF(ISNUMBER(deployment_raw[[#This Row],[Column9]]), (deployment_raw[[#This Row],[Column9]] * IF($E$2="Deployment",deployment_raw[[#This Row],[Column5]],1))/1048576,"")</f>
        <v/>
      </c>
      <c r="J790" s="122" t="str">
        <f>IF(ISNUMBER(deployment_raw[[#This Row],[Column10]]), (MIN(IF(N790&lt;&gt;"",N790,9999999999999)*1.1,deployment_raw[[#This Row],[Column10]] * IF($E$2="Deployment",deployment_raw[[#This Row],[Column5]],1))),"")</f>
        <v/>
      </c>
      <c r="K790" s="123" t="str">
        <f>IF(ISNUMBER(deployment_raw[[#This Row],[Column11]]), (MIN(IF(O790&lt;&gt;"",O790,9999999999999)*1.1,deployment_raw[[#This Row],[Column11]] * IF($E$2="Deployment",deployment_raw[[#This Row],[Column5]],1)/1048576)),"")</f>
        <v/>
      </c>
      <c r="L790" s="124" t="str">
        <f>IF(ISNUMBER(deployment_raw[[#This Row],[Column8]]),IF(OR(deployment_raw[[#This Row],[Column5]] &lt;&gt; 0,$E$2 &lt;&gt; "Deployment"), MAX(J790, P790, R790, ($L$2 * IF($E$2="Deployment",deployment_raw[[#This Row],[Column5]],1)),IF(T790&lt;&gt;"",VALUE(T790) * IF($E$2="Deployment",deployment_raw[[#This Row],[Column5]],1),0)), 0),"")</f>
        <v/>
      </c>
      <c r="M790" s="125" t="str">
        <f>IF(ISNUMBER(deployment_raw[[#This Row],[Column9]]),IF(OR(deployment_raw[[#This Row],[Column5]] &lt;&gt; 0,$E$2&lt;&gt;"Deployment"), MAX(K790, Q790, S790, ($M$2 * IF($E$2="Deployment",deployment_raw[[#This Row],[Column5]],1)),IF(U790&lt;&gt;"",VALUE(U790) * IF($E$2="Deployment",deployment_raw[[#This Row],[Column5]],1),0)), 0),"")</f>
        <v/>
      </c>
      <c r="N790" s="166" t="str">
        <f>IF(ISNUMBER(deployment_raw[[#This Row],[Column14]]), deployment_raw[[#This Row],[Column14]]/IF(OR($E$2="Deployment",deployment_raw[[#This Row],[Column5]]=0),1,deployment_raw[[#This Row],[Column5]]),"")</f>
        <v/>
      </c>
      <c r="O790" s="167" t="str">
        <f>IF(ISNUMBER(deployment_raw[[#This Row],[Column15]]), deployment_raw[[#This Row],[Column15]]/IF(OR($E$2="Deployment",deployment_raw[[#This Row],[Column5]]=0),1,deployment_raw[[#This Row],[Column5]])/1048576,"")</f>
        <v/>
      </c>
      <c r="P790" s="168" t="str">
        <f>IF(ISNUMBER(deployment_raw[[#This Row],[Column12]]), (MIN(IF(N790&lt;&gt;"",N790,9999999999999)*1.1,deployment_raw[[#This Row],[Column12]] * IF($E$2="Deployment",deployment_raw[[#This Row],[Column5]],1))*(1+$P$2)),"")</f>
        <v/>
      </c>
      <c r="Q790" s="167" t="str">
        <f>IF(ISNUMBER(deployment_raw[[#This Row],[Column13]]), (MIN(IF(O790&lt;&gt;"",O790,9999999999999)*1.1,deployment_raw[[#This Row],[Column13]] * IF($E$2="Deployment",deployment_raw[[#This Row],[Column5]],1)*(1+$Q$2)/1048576)),"")</f>
        <v/>
      </c>
      <c r="R790" s="169" t="str">
        <f>IF(ISNUMBER(deployment_raw[[#This Row],[Column8]]), (H790  * IF(N790&lt;&gt;0,$R$2,1)),"")</f>
        <v/>
      </c>
      <c r="S790" s="170" t="str">
        <f>IF(ISNUMBER(deployment_raw[[#This Row],[Column8]]), (I790  * IF(O790&lt;&gt;0,$S$2,1)),"")</f>
        <v/>
      </c>
      <c r="T790" s="202" t="str">
        <f>IF(AND(A790&lt;&gt;"",_xlfn.IFNA(MATCH(A790,'dynamic resource application '!$A$2:$A$100, 0),0)&lt;&gt;0), H790/(IF($E$2="Deployment",E790,1)),"")</f>
        <v/>
      </c>
      <c r="U790" s="211" t="str">
        <f>IF(AND(A790&lt;&gt;"",_xlfn.IFNA(MATCH(A790,'dynamic resource application '!$A$2:$A$100, 0),0)&lt;&gt;0), I790/(IF($E$2="Deployment",E790,1)),"")</f>
        <v/>
      </c>
    </row>
    <row r="791" spans="1:21" ht="15.75" customHeight="1" x14ac:dyDescent="0.25">
      <c r="A791" s="35" t="str">
        <f>IF(ISNONTEXT(deployment_raw[[#This Row],[Column1]]), "", deployment_raw[[#This Row],[Column1]])</f>
        <v/>
      </c>
      <c r="B791" s="36" t="str">
        <f>IF(ISNONTEXT(deployment_raw[[#This Row],[Column2]]), "", deployment_raw[[#This Row],[Column2]])</f>
        <v/>
      </c>
      <c r="C791" s="36" t="str">
        <f>IF(ISNONTEXT(deployment_raw[[#This Row],[Column3]]), "", deployment_raw[[#This Row],[Column3]])</f>
        <v/>
      </c>
      <c r="D791" s="36" t="str">
        <f>IF(ISNONTEXT(deployment_raw[[#This Row],[Column4]]), "", deployment_raw[[#This Row],[Column4]])</f>
        <v/>
      </c>
      <c r="E791" s="37" t="str">
        <f>IF(ISNUMBER(deployment_raw[[#This Row],[Column5]]), deployment_raw[[#This Row],[Column5]],"")</f>
        <v/>
      </c>
      <c r="F791" s="94" t="str">
        <f>IF(ISNUMBER(deployment_raw[[#This Row],[Column6]]), (deployment_raw[[#This Row],[Column6]] * IF($E$2="Deployment",deployment_raw[[#This Row],[Column5]],1)),"")</f>
        <v/>
      </c>
      <c r="G791" s="95" t="str">
        <f>IF(ISNUMBER(deployment_raw[[#This Row],[Column7]]), (deployment_raw[[#This Row],[Column7]] * IF($E$2="Deployment",deployment_raw[[#This Row],[Column5]],1))/1048576,"")</f>
        <v/>
      </c>
      <c r="H791" s="95" t="str">
        <f>IF(ISNUMBER(deployment_raw[[#This Row],[Column8]]), (deployment_raw[[#This Row],[Column8]]  * IF($E$2="Deployment",deployment_raw[[#This Row],[Column5]],1)),"")</f>
        <v/>
      </c>
      <c r="I791" s="96" t="str">
        <f>IF(ISNUMBER(deployment_raw[[#This Row],[Column9]]), (deployment_raw[[#This Row],[Column9]] * IF($E$2="Deployment",deployment_raw[[#This Row],[Column5]],1))/1048576,"")</f>
        <v/>
      </c>
      <c r="J791" s="122" t="str">
        <f>IF(ISNUMBER(deployment_raw[[#This Row],[Column10]]), (MIN(IF(N791&lt;&gt;"",N791,9999999999999)*1.1,deployment_raw[[#This Row],[Column10]] * IF($E$2="Deployment",deployment_raw[[#This Row],[Column5]],1))),"")</f>
        <v/>
      </c>
      <c r="K791" s="123" t="str">
        <f>IF(ISNUMBER(deployment_raw[[#This Row],[Column11]]), (MIN(IF(O791&lt;&gt;"",O791,9999999999999)*1.1,deployment_raw[[#This Row],[Column11]] * IF($E$2="Deployment",deployment_raw[[#This Row],[Column5]],1)/1048576)),"")</f>
        <v/>
      </c>
      <c r="L791" s="124" t="str">
        <f>IF(ISNUMBER(deployment_raw[[#This Row],[Column8]]),IF(OR(deployment_raw[[#This Row],[Column5]] &lt;&gt; 0,$E$2 &lt;&gt; "Deployment"), MAX(J791, P791, R791, ($L$2 * IF($E$2="Deployment",deployment_raw[[#This Row],[Column5]],1)),IF(T791&lt;&gt;"",VALUE(T791) * IF($E$2="Deployment",deployment_raw[[#This Row],[Column5]],1),0)), 0),"")</f>
        <v/>
      </c>
      <c r="M791" s="125" t="str">
        <f>IF(ISNUMBER(deployment_raw[[#This Row],[Column9]]),IF(OR(deployment_raw[[#This Row],[Column5]] &lt;&gt; 0,$E$2&lt;&gt;"Deployment"), MAX(K791, Q791, S791, ($M$2 * IF($E$2="Deployment",deployment_raw[[#This Row],[Column5]],1)),IF(U791&lt;&gt;"",VALUE(U791) * IF($E$2="Deployment",deployment_raw[[#This Row],[Column5]],1),0)), 0),"")</f>
        <v/>
      </c>
      <c r="N791" s="166" t="str">
        <f>IF(ISNUMBER(deployment_raw[[#This Row],[Column14]]), deployment_raw[[#This Row],[Column14]]/IF(OR($E$2="Deployment",deployment_raw[[#This Row],[Column5]]=0),1,deployment_raw[[#This Row],[Column5]]),"")</f>
        <v/>
      </c>
      <c r="O791" s="167" t="str">
        <f>IF(ISNUMBER(deployment_raw[[#This Row],[Column15]]), deployment_raw[[#This Row],[Column15]]/IF(OR($E$2="Deployment",deployment_raw[[#This Row],[Column5]]=0),1,deployment_raw[[#This Row],[Column5]])/1048576,"")</f>
        <v/>
      </c>
      <c r="P791" s="168" t="str">
        <f>IF(ISNUMBER(deployment_raw[[#This Row],[Column12]]), (MIN(IF(N791&lt;&gt;"",N791,9999999999999)*1.1,deployment_raw[[#This Row],[Column12]] * IF($E$2="Deployment",deployment_raw[[#This Row],[Column5]],1))*(1+$P$2)),"")</f>
        <v/>
      </c>
      <c r="Q791" s="167" t="str">
        <f>IF(ISNUMBER(deployment_raw[[#This Row],[Column13]]), (MIN(IF(O791&lt;&gt;"",O791,9999999999999)*1.1,deployment_raw[[#This Row],[Column13]] * IF($E$2="Deployment",deployment_raw[[#This Row],[Column5]],1)*(1+$Q$2)/1048576)),"")</f>
        <v/>
      </c>
      <c r="R791" s="169" t="str">
        <f>IF(ISNUMBER(deployment_raw[[#This Row],[Column8]]), (H791  * IF(N791&lt;&gt;0,$R$2,1)),"")</f>
        <v/>
      </c>
      <c r="S791" s="170" t="str">
        <f>IF(ISNUMBER(deployment_raw[[#This Row],[Column8]]), (I791  * IF(O791&lt;&gt;0,$S$2,1)),"")</f>
        <v/>
      </c>
      <c r="T791" s="202" t="str">
        <f>IF(AND(A791&lt;&gt;"",_xlfn.IFNA(MATCH(A791,'dynamic resource application '!$A$2:$A$100, 0),0)&lt;&gt;0), H791/(IF($E$2="Deployment",E791,1)),"")</f>
        <v/>
      </c>
      <c r="U791" s="211" t="str">
        <f>IF(AND(A791&lt;&gt;"",_xlfn.IFNA(MATCH(A791,'dynamic resource application '!$A$2:$A$100, 0),0)&lt;&gt;0), I791/(IF($E$2="Deployment",E791,1)),"")</f>
        <v/>
      </c>
    </row>
    <row r="792" spans="1:21" ht="15.75" customHeight="1" x14ac:dyDescent="0.25">
      <c r="A792" s="35" t="str">
        <f>IF(ISNONTEXT(deployment_raw[[#This Row],[Column1]]), "", deployment_raw[[#This Row],[Column1]])</f>
        <v/>
      </c>
      <c r="B792" s="36" t="str">
        <f>IF(ISNONTEXT(deployment_raw[[#This Row],[Column2]]), "", deployment_raw[[#This Row],[Column2]])</f>
        <v/>
      </c>
      <c r="C792" s="36" t="str">
        <f>IF(ISNONTEXT(deployment_raw[[#This Row],[Column3]]), "", deployment_raw[[#This Row],[Column3]])</f>
        <v/>
      </c>
      <c r="D792" s="36" t="str">
        <f>IF(ISNONTEXT(deployment_raw[[#This Row],[Column4]]), "", deployment_raw[[#This Row],[Column4]])</f>
        <v/>
      </c>
      <c r="E792" s="37" t="str">
        <f>IF(ISNUMBER(deployment_raw[[#This Row],[Column5]]), deployment_raw[[#This Row],[Column5]],"")</f>
        <v/>
      </c>
      <c r="F792" s="94" t="str">
        <f>IF(ISNUMBER(deployment_raw[[#This Row],[Column6]]), (deployment_raw[[#This Row],[Column6]] * IF($E$2="Deployment",deployment_raw[[#This Row],[Column5]],1)),"")</f>
        <v/>
      </c>
      <c r="G792" s="95" t="str">
        <f>IF(ISNUMBER(deployment_raw[[#This Row],[Column7]]), (deployment_raw[[#This Row],[Column7]] * IF($E$2="Deployment",deployment_raw[[#This Row],[Column5]],1))/1048576,"")</f>
        <v/>
      </c>
      <c r="H792" s="95" t="str">
        <f>IF(ISNUMBER(deployment_raw[[#This Row],[Column8]]), (deployment_raw[[#This Row],[Column8]]  * IF($E$2="Deployment",deployment_raw[[#This Row],[Column5]],1)),"")</f>
        <v/>
      </c>
      <c r="I792" s="96" t="str">
        <f>IF(ISNUMBER(deployment_raw[[#This Row],[Column9]]), (deployment_raw[[#This Row],[Column9]] * IF($E$2="Deployment",deployment_raw[[#This Row],[Column5]],1))/1048576,"")</f>
        <v/>
      </c>
      <c r="J792" s="122" t="str">
        <f>IF(ISNUMBER(deployment_raw[[#This Row],[Column10]]), (MIN(IF(N792&lt;&gt;"",N792,9999999999999)*1.1,deployment_raw[[#This Row],[Column10]] * IF($E$2="Deployment",deployment_raw[[#This Row],[Column5]],1))),"")</f>
        <v/>
      </c>
      <c r="K792" s="123" t="str">
        <f>IF(ISNUMBER(deployment_raw[[#This Row],[Column11]]), (MIN(IF(O792&lt;&gt;"",O792,9999999999999)*1.1,deployment_raw[[#This Row],[Column11]] * IF($E$2="Deployment",deployment_raw[[#This Row],[Column5]],1)/1048576)),"")</f>
        <v/>
      </c>
      <c r="L792" s="124" t="str">
        <f>IF(ISNUMBER(deployment_raw[[#This Row],[Column8]]),IF(OR(deployment_raw[[#This Row],[Column5]] &lt;&gt; 0,$E$2 &lt;&gt; "Deployment"), MAX(J792, P792, R792, ($L$2 * IF($E$2="Deployment",deployment_raw[[#This Row],[Column5]],1)),IF(T792&lt;&gt;"",VALUE(T792) * IF($E$2="Deployment",deployment_raw[[#This Row],[Column5]],1),0)), 0),"")</f>
        <v/>
      </c>
      <c r="M792" s="125" t="str">
        <f>IF(ISNUMBER(deployment_raw[[#This Row],[Column9]]),IF(OR(deployment_raw[[#This Row],[Column5]] &lt;&gt; 0,$E$2&lt;&gt;"Deployment"), MAX(K792, Q792, S792, ($M$2 * IF($E$2="Deployment",deployment_raw[[#This Row],[Column5]],1)),IF(U792&lt;&gt;"",VALUE(U792) * IF($E$2="Deployment",deployment_raw[[#This Row],[Column5]],1),0)), 0),"")</f>
        <v/>
      </c>
      <c r="N792" s="166" t="str">
        <f>IF(ISNUMBER(deployment_raw[[#This Row],[Column14]]), deployment_raw[[#This Row],[Column14]]/IF(OR($E$2="Deployment",deployment_raw[[#This Row],[Column5]]=0),1,deployment_raw[[#This Row],[Column5]]),"")</f>
        <v/>
      </c>
      <c r="O792" s="167" t="str">
        <f>IF(ISNUMBER(deployment_raw[[#This Row],[Column15]]), deployment_raw[[#This Row],[Column15]]/IF(OR($E$2="Deployment",deployment_raw[[#This Row],[Column5]]=0),1,deployment_raw[[#This Row],[Column5]])/1048576,"")</f>
        <v/>
      </c>
      <c r="P792" s="168" t="str">
        <f>IF(ISNUMBER(deployment_raw[[#This Row],[Column12]]), (MIN(IF(N792&lt;&gt;"",N792,9999999999999)*1.1,deployment_raw[[#This Row],[Column12]] * IF($E$2="Deployment",deployment_raw[[#This Row],[Column5]],1))*(1+$P$2)),"")</f>
        <v/>
      </c>
      <c r="Q792" s="167" t="str">
        <f>IF(ISNUMBER(deployment_raw[[#This Row],[Column13]]), (MIN(IF(O792&lt;&gt;"",O792,9999999999999)*1.1,deployment_raw[[#This Row],[Column13]] * IF($E$2="Deployment",deployment_raw[[#This Row],[Column5]],1)*(1+$Q$2)/1048576)),"")</f>
        <v/>
      </c>
      <c r="R792" s="169" t="str">
        <f>IF(ISNUMBER(deployment_raw[[#This Row],[Column8]]), (H792  * IF(N792&lt;&gt;0,$R$2,1)),"")</f>
        <v/>
      </c>
      <c r="S792" s="170" t="str">
        <f>IF(ISNUMBER(deployment_raw[[#This Row],[Column8]]), (I792  * IF(O792&lt;&gt;0,$S$2,1)),"")</f>
        <v/>
      </c>
      <c r="T792" s="202" t="str">
        <f>IF(AND(A792&lt;&gt;"",_xlfn.IFNA(MATCH(A792,'dynamic resource application '!$A$2:$A$100, 0),0)&lt;&gt;0), H792/(IF($E$2="Deployment",E792,1)),"")</f>
        <v/>
      </c>
      <c r="U792" s="211" t="str">
        <f>IF(AND(A792&lt;&gt;"",_xlfn.IFNA(MATCH(A792,'dynamic resource application '!$A$2:$A$100, 0),0)&lt;&gt;0), I792/(IF($E$2="Deployment",E792,1)),"")</f>
        <v/>
      </c>
    </row>
    <row r="793" spans="1:21" ht="15.75" customHeight="1" x14ac:dyDescent="0.25">
      <c r="A793" s="35" t="str">
        <f>IF(ISNONTEXT(deployment_raw[[#This Row],[Column1]]), "", deployment_raw[[#This Row],[Column1]])</f>
        <v/>
      </c>
      <c r="B793" s="36" t="str">
        <f>IF(ISNONTEXT(deployment_raw[[#This Row],[Column2]]), "", deployment_raw[[#This Row],[Column2]])</f>
        <v/>
      </c>
      <c r="C793" s="36" t="str">
        <f>IF(ISNONTEXT(deployment_raw[[#This Row],[Column3]]), "", deployment_raw[[#This Row],[Column3]])</f>
        <v/>
      </c>
      <c r="D793" s="36" t="str">
        <f>IF(ISNONTEXT(deployment_raw[[#This Row],[Column4]]), "", deployment_raw[[#This Row],[Column4]])</f>
        <v/>
      </c>
      <c r="E793" s="37" t="str">
        <f>IF(ISNUMBER(deployment_raw[[#This Row],[Column5]]), deployment_raw[[#This Row],[Column5]],"")</f>
        <v/>
      </c>
      <c r="F793" s="94" t="str">
        <f>IF(ISNUMBER(deployment_raw[[#This Row],[Column6]]), (deployment_raw[[#This Row],[Column6]] * IF($E$2="Deployment",deployment_raw[[#This Row],[Column5]],1)),"")</f>
        <v/>
      </c>
      <c r="G793" s="95" t="str">
        <f>IF(ISNUMBER(deployment_raw[[#This Row],[Column7]]), (deployment_raw[[#This Row],[Column7]] * IF($E$2="Deployment",deployment_raw[[#This Row],[Column5]],1))/1048576,"")</f>
        <v/>
      </c>
      <c r="H793" s="95" t="str">
        <f>IF(ISNUMBER(deployment_raw[[#This Row],[Column8]]), (deployment_raw[[#This Row],[Column8]]  * IF($E$2="Deployment",deployment_raw[[#This Row],[Column5]],1)),"")</f>
        <v/>
      </c>
      <c r="I793" s="96" t="str">
        <f>IF(ISNUMBER(deployment_raw[[#This Row],[Column9]]), (deployment_raw[[#This Row],[Column9]] * IF($E$2="Deployment",deployment_raw[[#This Row],[Column5]],1))/1048576,"")</f>
        <v/>
      </c>
      <c r="J793" s="122" t="str">
        <f>IF(ISNUMBER(deployment_raw[[#This Row],[Column10]]), (MIN(IF(N793&lt;&gt;"",N793,9999999999999)*1.1,deployment_raw[[#This Row],[Column10]] * IF($E$2="Deployment",deployment_raw[[#This Row],[Column5]],1))),"")</f>
        <v/>
      </c>
      <c r="K793" s="123" t="str">
        <f>IF(ISNUMBER(deployment_raw[[#This Row],[Column11]]), (MIN(IF(O793&lt;&gt;"",O793,9999999999999)*1.1,deployment_raw[[#This Row],[Column11]] * IF($E$2="Deployment",deployment_raw[[#This Row],[Column5]],1)/1048576)),"")</f>
        <v/>
      </c>
      <c r="L793" s="124" t="str">
        <f>IF(ISNUMBER(deployment_raw[[#This Row],[Column8]]),IF(OR(deployment_raw[[#This Row],[Column5]] &lt;&gt; 0,$E$2 &lt;&gt; "Deployment"), MAX(J793, P793, R793, ($L$2 * IF($E$2="Deployment",deployment_raw[[#This Row],[Column5]],1)),IF(T793&lt;&gt;"",VALUE(T793) * IF($E$2="Deployment",deployment_raw[[#This Row],[Column5]],1),0)), 0),"")</f>
        <v/>
      </c>
      <c r="M793" s="125" t="str">
        <f>IF(ISNUMBER(deployment_raw[[#This Row],[Column9]]),IF(OR(deployment_raw[[#This Row],[Column5]] &lt;&gt; 0,$E$2&lt;&gt;"Deployment"), MAX(K793, Q793, S793, ($M$2 * IF($E$2="Deployment",deployment_raw[[#This Row],[Column5]],1)),IF(U793&lt;&gt;"",VALUE(U793) * IF($E$2="Deployment",deployment_raw[[#This Row],[Column5]],1),0)), 0),"")</f>
        <v/>
      </c>
      <c r="N793" s="166" t="str">
        <f>IF(ISNUMBER(deployment_raw[[#This Row],[Column14]]), deployment_raw[[#This Row],[Column14]]/IF(OR($E$2="Deployment",deployment_raw[[#This Row],[Column5]]=0),1,deployment_raw[[#This Row],[Column5]]),"")</f>
        <v/>
      </c>
      <c r="O793" s="167" t="str">
        <f>IF(ISNUMBER(deployment_raw[[#This Row],[Column15]]), deployment_raw[[#This Row],[Column15]]/IF(OR($E$2="Deployment",deployment_raw[[#This Row],[Column5]]=0),1,deployment_raw[[#This Row],[Column5]])/1048576,"")</f>
        <v/>
      </c>
      <c r="P793" s="168" t="str">
        <f>IF(ISNUMBER(deployment_raw[[#This Row],[Column12]]), (MIN(IF(N793&lt;&gt;"",N793,9999999999999)*1.1,deployment_raw[[#This Row],[Column12]] * IF($E$2="Deployment",deployment_raw[[#This Row],[Column5]],1))*(1+$P$2)),"")</f>
        <v/>
      </c>
      <c r="Q793" s="167" t="str">
        <f>IF(ISNUMBER(deployment_raw[[#This Row],[Column13]]), (MIN(IF(O793&lt;&gt;"",O793,9999999999999)*1.1,deployment_raw[[#This Row],[Column13]] * IF($E$2="Deployment",deployment_raw[[#This Row],[Column5]],1)*(1+$Q$2)/1048576)),"")</f>
        <v/>
      </c>
      <c r="R793" s="169" t="str">
        <f>IF(ISNUMBER(deployment_raw[[#This Row],[Column8]]), (H793  * IF(N793&lt;&gt;0,$R$2,1)),"")</f>
        <v/>
      </c>
      <c r="S793" s="170" t="str">
        <f>IF(ISNUMBER(deployment_raw[[#This Row],[Column8]]), (I793  * IF(O793&lt;&gt;0,$S$2,1)),"")</f>
        <v/>
      </c>
      <c r="T793" s="202" t="str">
        <f>IF(AND(A793&lt;&gt;"",_xlfn.IFNA(MATCH(A793,'dynamic resource application '!$A$2:$A$100, 0),0)&lt;&gt;0), H793/(IF($E$2="Deployment",E793,1)),"")</f>
        <v/>
      </c>
      <c r="U793" s="211" t="str">
        <f>IF(AND(A793&lt;&gt;"",_xlfn.IFNA(MATCH(A793,'dynamic resource application '!$A$2:$A$100, 0),0)&lt;&gt;0), I793/(IF($E$2="Deployment",E793,1)),"")</f>
        <v/>
      </c>
    </row>
    <row r="794" spans="1:21" ht="15.75" customHeight="1" x14ac:dyDescent="0.25">
      <c r="A794" s="35" t="str">
        <f>IF(ISNONTEXT(deployment_raw[[#This Row],[Column1]]), "", deployment_raw[[#This Row],[Column1]])</f>
        <v/>
      </c>
      <c r="B794" s="36" t="str">
        <f>IF(ISNONTEXT(deployment_raw[[#This Row],[Column2]]), "", deployment_raw[[#This Row],[Column2]])</f>
        <v/>
      </c>
      <c r="C794" s="36" t="str">
        <f>IF(ISNONTEXT(deployment_raw[[#This Row],[Column3]]), "", deployment_raw[[#This Row],[Column3]])</f>
        <v/>
      </c>
      <c r="D794" s="36" t="str">
        <f>IF(ISNONTEXT(deployment_raw[[#This Row],[Column4]]), "", deployment_raw[[#This Row],[Column4]])</f>
        <v/>
      </c>
      <c r="E794" s="37" t="str">
        <f>IF(ISNUMBER(deployment_raw[[#This Row],[Column5]]), deployment_raw[[#This Row],[Column5]],"")</f>
        <v/>
      </c>
      <c r="F794" s="94" t="str">
        <f>IF(ISNUMBER(deployment_raw[[#This Row],[Column6]]), (deployment_raw[[#This Row],[Column6]] * IF($E$2="Deployment",deployment_raw[[#This Row],[Column5]],1)),"")</f>
        <v/>
      </c>
      <c r="G794" s="95" t="str">
        <f>IF(ISNUMBER(deployment_raw[[#This Row],[Column7]]), (deployment_raw[[#This Row],[Column7]] * IF($E$2="Deployment",deployment_raw[[#This Row],[Column5]],1))/1048576,"")</f>
        <v/>
      </c>
      <c r="H794" s="95" t="str">
        <f>IF(ISNUMBER(deployment_raw[[#This Row],[Column8]]), (deployment_raw[[#This Row],[Column8]]  * IF($E$2="Deployment",deployment_raw[[#This Row],[Column5]],1)),"")</f>
        <v/>
      </c>
      <c r="I794" s="96" t="str">
        <f>IF(ISNUMBER(deployment_raw[[#This Row],[Column9]]), (deployment_raw[[#This Row],[Column9]] * IF($E$2="Deployment",deployment_raw[[#This Row],[Column5]],1))/1048576,"")</f>
        <v/>
      </c>
      <c r="J794" s="122" t="str">
        <f>IF(ISNUMBER(deployment_raw[[#This Row],[Column10]]), (MIN(IF(N794&lt;&gt;"",N794,9999999999999)*1.1,deployment_raw[[#This Row],[Column10]] * IF($E$2="Deployment",deployment_raw[[#This Row],[Column5]],1))),"")</f>
        <v/>
      </c>
      <c r="K794" s="123" t="str">
        <f>IF(ISNUMBER(deployment_raw[[#This Row],[Column11]]), (MIN(IF(O794&lt;&gt;"",O794,9999999999999)*1.1,deployment_raw[[#This Row],[Column11]] * IF($E$2="Deployment",deployment_raw[[#This Row],[Column5]],1)/1048576)),"")</f>
        <v/>
      </c>
      <c r="L794" s="124" t="str">
        <f>IF(ISNUMBER(deployment_raw[[#This Row],[Column8]]),IF(OR(deployment_raw[[#This Row],[Column5]] &lt;&gt; 0,$E$2 &lt;&gt; "Deployment"), MAX(J794, P794, R794, ($L$2 * IF($E$2="Deployment",deployment_raw[[#This Row],[Column5]],1)),IF(T794&lt;&gt;"",VALUE(T794) * IF($E$2="Deployment",deployment_raw[[#This Row],[Column5]],1),0)), 0),"")</f>
        <v/>
      </c>
      <c r="M794" s="125" t="str">
        <f>IF(ISNUMBER(deployment_raw[[#This Row],[Column9]]),IF(OR(deployment_raw[[#This Row],[Column5]] &lt;&gt; 0,$E$2&lt;&gt;"Deployment"), MAX(K794, Q794, S794, ($M$2 * IF($E$2="Deployment",deployment_raw[[#This Row],[Column5]],1)),IF(U794&lt;&gt;"",VALUE(U794) * IF($E$2="Deployment",deployment_raw[[#This Row],[Column5]],1),0)), 0),"")</f>
        <v/>
      </c>
      <c r="N794" s="166" t="str">
        <f>IF(ISNUMBER(deployment_raw[[#This Row],[Column14]]), deployment_raw[[#This Row],[Column14]]/IF(OR($E$2="Deployment",deployment_raw[[#This Row],[Column5]]=0),1,deployment_raw[[#This Row],[Column5]]),"")</f>
        <v/>
      </c>
      <c r="O794" s="167" t="str">
        <f>IF(ISNUMBER(deployment_raw[[#This Row],[Column15]]), deployment_raw[[#This Row],[Column15]]/IF(OR($E$2="Deployment",deployment_raw[[#This Row],[Column5]]=0),1,deployment_raw[[#This Row],[Column5]])/1048576,"")</f>
        <v/>
      </c>
      <c r="P794" s="168" t="str">
        <f>IF(ISNUMBER(deployment_raw[[#This Row],[Column12]]), (MIN(IF(N794&lt;&gt;"",N794,9999999999999)*1.1,deployment_raw[[#This Row],[Column12]] * IF($E$2="Deployment",deployment_raw[[#This Row],[Column5]],1))*(1+$P$2)),"")</f>
        <v/>
      </c>
      <c r="Q794" s="167" t="str">
        <f>IF(ISNUMBER(deployment_raw[[#This Row],[Column13]]), (MIN(IF(O794&lt;&gt;"",O794,9999999999999)*1.1,deployment_raw[[#This Row],[Column13]] * IF($E$2="Deployment",deployment_raw[[#This Row],[Column5]],1)*(1+$Q$2)/1048576)),"")</f>
        <v/>
      </c>
      <c r="R794" s="169" t="str">
        <f>IF(ISNUMBER(deployment_raw[[#This Row],[Column8]]), (H794  * IF(N794&lt;&gt;0,$R$2,1)),"")</f>
        <v/>
      </c>
      <c r="S794" s="170" t="str">
        <f>IF(ISNUMBER(deployment_raw[[#This Row],[Column8]]), (I794  * IF(O794&lt;&gt;0,$S$2,1)),"")</f>
        <v/>
      </c>
      <c r="T794" s="202" t="str">
        <f>IF(AND(A794&lt;&gt;"",_xlfn.IFNA(MATCH(A794,'dynamic resource application '!$A$2:$A$100, 0),0)&lt;&gt;0), H794/(IF($E$2="Deployment",E794,1)),"")</f>
        <v/>
      </c>
      <c r="U794" s="211" t="str">
        <f>IF(AND(A794&lt;&gt;"",_xlfn.IFNA(MATCH(A794,'dynamic resource application '!$A$2:$A$100, 0),0)&lt;&gt;0), I794/(IF($E$2="Deployment",E794,1)),"")</f>
        <v/>
      </c>
    </row>
    <row r="795" spans="1:21" ht="15.75" customHeight="1" x14ac:dyDescent="0.25">
      <c r="A795" s="35" t="str">
        <f>IF(ISNONTEXT(deployment_raw[[#This Row],[Column1]]), "", deployment_raw[[#This Row],[Column1]])</f>
        <v/>
      </c>
      <c r="B795" s="36" t="str">
        <f>IF(ISNONTEXT(deployment_raw[[#This Row],[Column2]]), "", deployment_raw[[#This Row],[Column2]])</f>
        <v/>
      </c>
      <c r="C795" s="36" t="str">
        <f>IF(ISNONTEXT(deployment_raw[[#This Row],[Column3]]), "", deployment_raw[[#This Row],[Column3]])</f>
        <v/>
      </c>
      <c r="D795" s="36" t="str">
        <f>IF(ISNONTEXT(deployment_raw[[#This Row],[Column4]]), "", deployment_raw[[#This Row],[Column4]])</f>
        <v/>
      </c>
      <c r="E795" s="37" t="str">
        <f>IF(ISNUMBER(deployment_raw[[#This Row],[Column5]]), deployment_raw[[#This Row],[Column5]],"")</f>
        <v/>
      </c>
      <c r="F795" s="94" t="str">
        <f>IF(ISNUMBER(deployment_raw[[#This Row],[Column6]]), (deployment_raw[[#This Row],[Column6]] * IF($E$2="Deployment",deployment_raw[[#This Row],[Column5]],1)),"")</f>
        <v/>
      </c>
      <c r="G795" s="95" t="str">
        <f>IF(ISNUMBER(deployment_raw[[#This Row],[Column7]]), (deployment_raw[[#This Row],[Column7]] * IF($E$2="Deployment",deployment_raw[[#This Row],[Column5]],1))/1048576,"")</f>
        <v/>
      </c>
      <c r="H795" s="95" t="str">
        <f>IF(ISNUMBER(deployment_raw[[#This Row],[Column8]]), (deployment_raw[[#This Row],[Column8]]  * IF($E$2="Deployment",deployment_raw[[#This Row],[Column5]],1)),"")</f>
        <v/>
      </c>
      <c r="I795" s="96" t="str">
        <f>IF(ISNUMBER(deployment_raw[[#This Row],[Column9]]), (deployment_raw[[#This Row],[Column9]] * IF($E$2="Deployment",deployment_raw[[#This Row],[Column5]],1))/1048576,"")</f>
        <v/>
      </c>
      <c r="J795" s="122" t="str">
        <f>IF(ISNUMBER(deployment_raw[[#This Row],[Column10]]), (MIN(IF(N795&lt;&gt;"",N795,9999999999999)*1.1,deployment_raw[[#This Row],[Column10]] * IF($E$2="Deployment",deployment_raw[[#This Row],[Column5]],1))),"")</f>
        <v/>
      </c>
      <c r="K795" s="123" t="str">
        <f>IF(ISNUMBER(deployment_raw[[#This Row],[Column11]]), (MIN(IF(O795&lt;&gt;"",O795,9999999999999)*1.1,deployment_raw[[#This Row],[Column11]] * IF($E$2="Deployment",deployment_raw[[#This Row],[Column5]],1)/1048576)),"")</f>
        <v/>
      </c>
      <c r="L795" s="124" t="str">
        <f>IF(ISNUMBER(deployment_raw[[#This Row],[Column8]]),IF(OR(deployment_raw[[#This Row],[Column5]] &lt;&gt; 0,$E$2 &lt;&gt; "Deployment"), MAX(J795, P795, R795, ($L$2 * IF($E$2="Deployment",deployment_raw[[#This Row],[Column5]],1)),IF(T795&lt;&gt;"",VALUE(T795) * IF($E$2="Deployment",deployment_raw[[#This Row],[Column5]],1),0)), 0),"")</f>
        <v/>
      </c>
      <c r="M795" s="125" t="str">
        <f>IF(ISNUMBER(deployment_raw[[#This Row],[Column9]]),IF(OR(deployment_raw[[#This Row],[Column5]] &lt;&gt; 0,$E$2&lt;&gt;"Deployment"), MAX(K795, Q795, S795, ($M$2 * IF($E$2="Deployment",deployment_raw[[#This Row],[Column5]],1)),IF(U795&lt;&gt;"",VALUE(U795) * IF($E$2="Deployment",deployment_raw[[#This Row],[Column5]],1),0)), 0),"")</f>
        <v/>
      </c>
      <c r="N795" s="166" t="str">
        <f>IF(ISNUMBER(deployment_raw[[#This Row],[Column14]]), deployment_raw[[#This Row],[Column14]]/IF(OR($E$2="Deployment",deployment_raw[[#This Row],[Column5]]=0),1,deployment_raw[[#This Row],[Column5]]),"")</f>
        <v/>
      </c>
      <c r="O795" s="167" t="str">
        <f>IF(ISNUMBER(deployment_raw[[#This Row],[Column15]]), deployment_raw[[#This Row],[Column15]]/IF(OR($E$2="Deployment",deployment_raw[[#This Row],[Column5]]=0),1,deployment_raw[[#This Row],[Column5]])/1048576,"")</f>
        <v/>
      </c>
      <c r="P795" s="168" t="str">
        <f>IF(ISNUMBER(deployment_raw[[#This Row],[Column12]]), (MIN(IF(N795&lt;&gt;"",N795,9999999999999)*1.1,deployment_raw[[#This Row],[Column12]] * IF($E$2="Deployment",deployment_raw[[#This Row],[Column5]],1))*(1+$P$2)),"")</f>
        <v/>
      </c>
      <c r="Q795" s="167" t="str">
        <f>IF(ISNUMBER(deployment_raw[[#This Row],[Column13]]), (MIN(IF(O795&lt;&gt;"",O795,9999999999999)*1.1,deployment_raw[[#This Row],[Column13]] * IF($E$2="Deployment",deployment_raw[[#This Row],[Column5]],1)*(1+$Q$2)/1048576)),"")</f>
        <v/>
      </c>
      <c r="R795" s="169" t="str">
        <f>IF(ISNUMBER(deployment_raw[[#This Row],[Column8]]), (H795  * IF(N795&lt;&gt;0,$R$2,1)),"")</f>
        <v/>
      </c>
      <c r="S795" s="170" t="str">
        <f>IF(ISNUMBER(deployment_raw[[#This Row],[Column8]]), (I795  * IF(O795&lt;&gt;0,$S$2,1)),"")</f>
        <v/>
      </c>
      <c r="T795" s="202" t="str">
        <f>IF(AND(A795&lt;&gt;"",_xlfn.IFNA(MATCH(A795,'dynamic resource application '!$A$2:$A$100, 0),0)&lt;&gt;0), H795/(IF($E$2="Deployment",E795,1)),"")</f>
        <v/>
      </c>
      <c r="U795" s="211" t="str">
        <f>IF(AND(A795&lt;&gt;"",_xlfn.IFNA(MATCH(A795,'dynamic resource application '!$A$2:$A$100, 0),0)&lt;&gt;0), I795/(IF($E$2="Deployment",E795,1)),"")</f>
        <v/>
      </c>
    </row>
    <row r="796" spans="1:21" ht="15.75" customHeight="1" x14ac:dyDescent="0.25">
      <c r="A796" s="35" t="str">
        <f>IF(ISNONTEXT(deployment_raw[[#This Row],[Column1]]), "", deployment_raw[[#This Row],[Column1]])</f>
        <v/>
      </c>
      <c r="B796" s="36" t="str">
        <f>IF(ISNONTEXT(deployment_raw[[#This Row],[Column2]]), "", deployment_raw[[#This Row],[Column2]])</f>
        <v/>
      </c>
      <c r="C796" s="36" t="str">
        <f>IF(ISNONTEXT(deployment_raw[[#This Row],[Column3]]), "", deployment_raw[[#This Row],[Column3]])</f>
        <v/>
      </c>
      <c r="D796" s="36" t="str">
        <f>IF(ISNONTEXT(deployment_raw[[#This Row],[Column4]]), "", deployment_raw[[#This Row],[Column4]])</f>
        <v/>
      </c>
      <c r="E796" s="37" t="str">
        <f>IF(ISNUMBER(deployment_raw[[#This Row],[Column5]]), deployment_raw[[#This Row],[Column5]],"")</f>
        <v/>
      </c>
      <c r="F796" s="94" t="str">
        <f>IF(ISNUMBER(deployment_raw[[#This Row],[Column6]]), (deployment_raw[[#This Row],[Column6]] * IF($E$2="Deployment",deployment_raw[[#This Row],[Column5]],1)),"")</f>
        <v/>
      </c>
      <c r="G796" s="95" t="str">
        <f>IF(ISNUMBER(deployment_raw[[#This Row],[Column7]]), (deployment_raw[[#This Row],[Column7]] * IF($E$2="Deployment",deployment_raw[[#This Row],[Column5]],1))/1048576,"")</f>
        <v/>
      </c>
      <c r="H796" s="95" t="str">
        <f>IF(ISNUMBER(deployment_raw[[#This Row],[Column8]]), (deployment_raw[[#This Row],[Column8]]  * IF($E$2="Deployment",deployment_raw[[#This Row],[Column5]],1)),"")</f>
        <v/>
      </c>
      <c r="I796" s="96" t="str">
        <f>IF(ISNUMBER(deployment_raw[[#This Row],[Column9]]), (deployment_raw[[#This Row],[Column9]] * IF($E$2="Deployment",deployment_raw[[#This Row],[Column5]],1))/1048576,"")</f>
        <v/>
      </c>
      <c r="J796" s="122" t="str">
        <f>IF(ISNUMBER(deployment_raw[[#This Row],[Column10]]), (MIN(IF(N796&lt;&gt;"",N796,9999999999999)*1.1,deployment_raw[[#This Row],[Column10]] * IF($E$2="Deployment",deployment_raw[[#This Row],[Column5]],1))),"")</f>
        <v/>
      </c>
      <c r="K796" s="123" t="str">
        <f>IF(ISNUMBER(deployment_raw[[#This Row],[Column11]]), (MIN(IF(O796&lt;&gt;"",O796,9999999999999)*1.1,deployment_raw[[#This Row],[Column11]] * IF($E$2="Deployment",deployment_raw[[#This Row],[Column5]],1)/1048576)),"")</f>
        <v/>
      </c>
      <c r="L796" s="124" t="str">
        <f>IF(ISNUMBER(deployment_raw[[#This Row],[Column8]]),IF(OR(deployment_raw[[#This Row],[Column5]] &lt;&gt; 0,$E$2 &lt;&gt; "Deployment"), MAX(J796, P796, R796, ($L$2 * IF($E$2="Deployment",deployment_raw[[#This Row],[Column5]],1)),IF(T796&lt;&gt;"",VALUE(T796) * IF($E$2="Deployment",deployment_raw[[#This Row],[Column5]],1),0)), 0),"")</f>
        <v/>
      </c>
      <c r="M796" s="125" t="str">
        <f>IF(ISNUMBER(deployment_raw[[#This Row],[Column9]]),IF(OR(deployment_raw[[#This Row],[Column5]] &lt;&gt; 0,$E$2&lt;&gt;"Deployment"), MAX(K796, Q796, S796, ($M$2 * IF($E$2="Deployment",deployment_raw[[#This Row],[Column5]],1)),IF(U796&lt;&gt;"",VALUE(U796) * IF($E$2="Deployment",deployment_raw[[#This Row],[Column5]],1),0)), 0),"")</f>
        <v/>
      </c>
      <c r="N796" s="166" t="str">
        <f>IF(ISNUMBER(deployment_raw[[#This Row],[Column14]]), deployment_raw[[#This Row],[Column14]]/IF(OR($E$2="Deployment",deployment_raw[[#This Row],[Column5]]=0),1,deployment_raw[[#This Row],[Column5]]),"")</f>
        <v/>
      </c>
      <c r="O796" s="167" t="str">
        <f>IF(ISNUMBER(deployment_raw[[#This Row],[Column15]]), deployment_raw[[#This Row],[Column15]]/IF(OR($E$2="Deployment",deployment_raw[[#This Row],[Column5]]=0),1,deployment_raw[[#This Row],[Column5]])/1048576,"")</f>
        <v/>
      </c>
      <c r="P796" s="168" t="str">
        <f>IF(ISNUMBER(deployment_raw[[#This Row],[Column12]]), (MIN(IF(N796&lt;&gt;"",N796,9999999999999)*1.1,deployment_raw[[#This Row],[Column12]] * IF($E$2="Deployment",deployment_raw[[#This Row],[Column5]],1))*(1+$P$2)),"")</f>
        <v/>
      </c>
      <c r="Q796" s="167" t="str">
        <f>IF(ISNUMBER(deployment_raw[[#This Row],[Column13]]), (MIN(IF(O796&lt;&gt;"",O796,9999999999999)*1.1,deployment_raw[[#This Row],[Column13]] * IF($E$2="Deployment",deployment_raw[[#This Row],[Column5]],1)*(1+$Q$2)/1048576)),"")</f>
        <v/>
      </c>
      <c r="R796" s="169" t="str">
        <f>IF(ISNUMBER(deployment_raw[[#This Row],[Column8]]), (H796  * IF(N796&lt;&gt;0,$R$2,1)),"")</f>
        <v/>
      </c>
      <c r="S796" s="170" t="str">
        <f>IF(ISNUMBER(deployment_raw[[#This Row],[Column8]]), (I796  * IF(O796&lt;&gt;0,$S$2,1)),"")</f>
        <v/>
      </c>
      <c r="T796" s="202" t="str">
        <f>IF(AND(A796&lt;&gt;"",_xlfn.IFNA(MATCH(A796,'dynamic resource application '!$A$2:$A$100, 0),0)&lt;&gt;0), H796/(IF($E$2="Deployment",E796,1)),"")</f>
        <v/>
      </c>
      <c r="U796" s="211" t="str">
        <f>IF(AND(A796&lt;&gt;"",_xlfn.IFNA(MATCH(A796,'dynamic resource application '!$A$2:$A$100, 0),0)&lt;&gt;0), I796/(IF($E$2="Deployment",E796,1)),"")</f>
        <v/>
      </c>
    </row>
    <row r="797" spans="1:21" ht="15.75" customHeight="1" x14ac:dyDescent="0.25">
      <c r="A797" s="35" t="str">
        <f>IF(ISNONTEXT(deployment_raw[[#This Row],[Column1]]), "", deployment_raw[[#This Row],[Column1]])</f>
        <v/>
      </c>
      <c r="B797" s="36" t="str">
        <f>IF(ISNONTEXT(deployment_raw[[#This Row],[Column2]]), "", deployment_raw[[#This Row],[Column2]])</f>
        <v/>
      </c>
      <c r="C797" s="36" t="str">
        <f>IF(ISNONTEXT(deployment_raw[[#This Row],[Column3]]), "", deployment_raw[[#This Row],[Column3]])</f>
        <v/>
      </c>
      <c r="D797" s="36" t="str">
        <f>IF(ISNONTEXT(deployment_raw[[#This Row],[Column4]]), "", deployment_raw[[#This Row],[Column4]])</f>
        <v/>
      </c>
      <c r="E797" s="37" t="str">
        <f>IF(ISNUMBER(deployment_raw[[#This Row],[Column5]]), deployment_raw[[#This Row],[Column5]],"")</f>
        <v/>
      </c>
      <c r="F797" s="94" t="str">
        <f>IF(ISNUMBER(deployment_raw[[#This Row],[Column6]]), (deployment_raw[[#This Row],[Column6]] * IF($E$2="Deployment",deployment_raw[[#This Row],[Column5]],1)),"")</f>
        <v/>
      </c>
      <c r="G797" s="95" t="str">
        <f>IF(ISNUMBER(deployment_raw[[#This Row],[Column7]]), (deployment_raw[[#This Row],[Column7]] * IF($E$2="Deployment",deployment_raw[[#This Row],[Column5]],1))/1048576,"")</f>
        <v/>
      </c>
      <c r="H797" s="95" t="str">
        <f>IF(ISNUMBER(deployment_raw[[#This Row],[Column8]]), (deployment_raw[[#This Row],[Column8]]  * IF($E$2="Deployment",deployment_raw[[#This Row],[Column5]],1)),"")</f>
        <v/>
      </c>
      <c r="I797" s="96" t="str">
        <f>IF(ISNUMBER(deployment_raw[[#This Row],[Column9]]), (deployment_raw[[#This Row],[Column9]] * IF($E$2="Deployment",deployment_raw[[#This Row],[Column5]],1))/1048576,"")</f>
        <v/>
      </c>
      <c r="J797" s="122" t="str">
        <f>IF(ISNUMBER(deployment_raw[[#This Row],[Column10]]), (MIN(IF(N797&lt;&gt;"",N797,9999999999999)*1.1,deployment_raw[[#This Row],[Column10]] * IF($E$2="Deployment",deployment_raw[[#This Row],[Column5]],1))),"")</f>
        <v/>
      </c>
      <c r="K797" s="123" t="str">
        <f>IF(ISNUMBER(deployment_raw[[#This Row],[Column11]]), (MIN(IF(O797&lt;&gt;"",O797,9999999999999)*1.1,deployment_raw[[#This Row],[Column11]] * IF($E$2="Deployment",deployment_raw[[#This Row],[Column5]],1)/1048576)),"")</f>
        <v/>
      </c>
      <c r="L797" s="124" t="str">
        <f>IF(ISNUMBER(deployment_raw[[#This Row],[Column8]]),IF(OR(deployment_raw[[#This Row],[Column5]] &lt;&gt; 0,$E$2 &lt;&gt; "Deployment"), MAX(J797, P797, R797, ($L$2 * IF($E$2="Deployment",deployment_raw[[#This Row],[Column5]],1)),IF(T797&lt;&gt;"",VALUE(T797) * IF($E$2="Deployment",deployment_raw[[#This Row],[Column5]],1),0)), 0),"")</f>
        <v/>
      </c>
      <c r="M797" s="125" t="str">
        <f>IF(ISNUMBER(deployment_raw[[#This Row],[Column9]]),IF(OR(deployment_raw[[#This Row],[Column5]] &lt;&gt; 0,$E$2&lt;&gt;"Deployment"), MAX(K797, Q797, S797, ($M$2 * IF($E$2="Deployment",deployment_raw[[#This Row],[Column5]],1)),IF(U797&lt;&gt;"",VALUE(U797) * IF($E$2="Deployment",deployment_raw[[#This Row],[Column5]],1),0)), 0),"")</f>
        <v/>
      </c>
      <c r="N797" s="166" t="str">
        <f>IF(ISNUMBER(deployment_raw[[#This Row],[Column14]]), deployment_raw[[#This Row],[Column14]]/IF(OR($E$2="Deployment",deployment_raw[[#This Row],[Column5]]=0),1,deployment_raw[[#This Row],[Column5]]),"")</f>
        <v/>
      </c>
      <c r="O797" s="167" t="str">
        <f>IF(ISNUMBER(deployment_raw[[#This Row],[Column15]]), deployment_raw[[#This Row],[Column15]]/IF(OR($E$2="Deployment",deployment_raw[[#This Row],[Column5]]=0),1,deployment_raw[[#This Row],[Column5]])/1048576,"")</f>
        <v/>
      </c>
      <c r="P797" s="168" t="str">
        <f>IF(ISNUMBER(deployment_raw[[#This Row],[Column12]]), (MIN(IF(N797&lt;&gt;"",N797,9999999999999)*1.1,deployment_raw[[#This Row],[Column12]] * IF($E$2="Deployment",deployment_raw[[#This Row],[Column5]],1))*(1+$P$2)),"")</f>
        <v/>
      </c>
      <c r="Q797" s="167" t="str">
        <f>IF(ISNUMBER(deployment_raw[[#This Row],[Column13]]), (MIN(IF(O797&lt;&gt;"",O797,9999999999999)*1.1,deployment_raw[[#This Row],[Column13]] * IF($E$2="Deployment",deployment_raw[[#This Row],[Column5]],1)*(1+$Q$2)/1048576)),"")</f>
        <v/>
      </c>
      <c r="R797" s="169" t="str">
        <f>IF(ISNUMBER(deployment_raw[[#This Row],[Column8]]), (H797  * IF(N797&lt;&gt;0,$R$2,1)),"")</f>
        <v/>
      </c>
      <c r="S797" s="170" t="str">
        <f>IF(ISNUMBER(deployment_raw[[#This Row],[Column8]]), (I797  * IF(O797&lt;&gt;0,$S$2,1)),"")</f>
        <v/>
      </c>
      <c r="T797" s="202" t="str">
        <f>IF(AND(A797&lt;&gt;"",_xlfn.IFNA(MATCH(A797,'dynamic resource application '!$A$2:$A$100, 0),0)&lt;&gt;0), H797/(IF($E$2="Deployment",E797,1)),"")</f>
        <v/>
      </c>
      <c r="U797" s="211" t="str">
        <f>IF(AND(A797&lt;&gt;"",_xlfn.IFNA(MATCH(A797,'dynamic resource application '!$A$2:$A$100, 0),0)&lt;&gt;0), I797/(IF($E$2="Deployment",E797,1)),"")</f>
        <v/>
      </c>
    </row>
    <row r="798" spans="1:21" ht="15.75" customHeight="1" x14ac:dyDescent="0.25">
      <c r="A798" s="35" t="str">
        <f>IF(ISNONTEXT(deployment_raw[[#This Row],[Column1]]), "", deployment_raw[[#This Row],[Column1]])</f>
        <v/>
      </c>
      <c r="B798" s="36" t="str">
        <f>IF(ISNONTEXT(deployment_raw[[#This Row],[Column2]]), "", deployment_raw[[#This Row],[Column2]])</f>
        <v/>
      </c>
      <c r="C798" s="36" t="str">
        <f>IF(ISNONTEXT(deployment_raw[[#This Row],[Column3]]), "", deployment_raw[[#This Row],[Column3]])</f>
        <v/>
      </c>
      <c r="D798" s="36" t="str">
        <f>IF(ISNONTEXT(deployment_raw[[#This Row],[Column4]]), "", deployment_raw[[#This Row],[Column4]])</f>
        <v/>
      </c>
      <c r="E798" s="37" t="str">
        <f>IF(ISNUMBER(deployment_raw[[#This Row],[Column5]]), deployment_raw[[#This Row],[Column5]],"")</f>
        <v/>
      </c>
      <c r="F798" s="94" t="str">
        <f>IF(ISNUMBER(deployment_raw[[#This Row],[Column6]]), (deployment_raw[[#This Row],[Column6]] * IF($E$2="Deployment",deployment_raw[[#This Row],[Column5]],1)),"")</f>
        <v/>
      </c>
      <c r="G798" s="95" t="str">
        <f>IF(ISNUMBER(deployment_raw[[#This Row],[Column7]]), (deployment_raw[[#This Row],[Column7]] * IF($E$2="Deployment",deployment_raw[[#This Row],[Column5]],1))/1048576,"")</f>
        <v/>
      </c>
      <c r="H798" s="95" t="str">
        <f>IF(ISNUMBER(deployment_raw[[#This Row],[Column8]]), (deployment_raw[[#This Row],[Column8]]  * IF($E$2="Deployment",deployment_raw[[#This Row],[Column5]],1)),"")</f>
        <v/>
      </c>
      <c r="I798" s="96" t="str">
        <f>IF(ISNUMBER(deployment_raw[[#This Row],[Column9]]), (deployment_raw[[#This Row],[Column9]] * IF($E$2="Deployment",deployment_raw[[#This Row],[Column5]],1))/1048576,"")</f>
        <v/>
      </c>
      <c r="J798" s="122" t="str">
        <f>IF(ISNUMBER(deployment_raw[[#This Row],[Column10]]), (MIN(IF(N798&lt;&gt;"",N798,9999999999999)*1.1,deployment_raw[[#This Row],[Column10]] * IF($E$2="Deployment",deployment_raw[[#This Row],[Column5]],1))),"")</f>
        <v/>
      </c>
      <c r="K798" s="123" t="str">
        <f>IF(ISNUMBER(deployment_raw[[#This Row],[Column11]]), (MIN(IF(O798&lt;&gt;"",O798,9999999999999)*1.1,deployment_raw[[#This Row],[Column11]] * IF($E$2="Deployment",deployment_raw[[#This Row],[Column5]],1)/1048576)),"")</f>
        <v/>
      </c>
      <c r="L798" s="124" t="str">
        <f>IF(ISNUMBER(deployment_raw[[#This Row],[Column8]]),IF(OR(deployment_raw[[#This Row],[Column5]] &lt;&gt; 0,$E$2 &lt;&gt; "Deployment"), MAX(J798, P798, R798, ($L$2 * IF($E$2="Deployment",deployment_raw[[#This Row],[Column5]],1)),IF(T798&lt;&gt;"",VALUE(T798) * IF($E$2="Deployment",deployment_raw[[#This Row],[Column5]],1),0)), 0),"")</f>
        <v/>
      </c>
      <c r="M798" s="125" t="str">
        <f>IF(ISNUMBER(deployment_raw[[#This Row],[Column9]]),IF(OR(deployment_raw[[#This Row],[Column5]] &lt;&gt; 0,$E$2&lt;&gt;"Deployment"), MAX(K798, Q798, S798, ($M$2 * IF($E$2="Deployment",deployment_raw[[#This Row],[Column5]],1)),IF(U798&lt;&gt;"",VALUE(U798) * IF($E$2="Deployment",deployment_raw[[#This Row],[Column5]],1),0)), 0),"")</f>
        <v/>
      </c>
      <c r="N798" s="166" t="str">
        <f>IF(ISNUMBER(deployment_raw[[#This Row],[Column14]]), deployment_raw[[#This Row],[Column14]]/IF(OR($E$2="Deployment",deployment_raw[[#This Row],[Column5]]=0),1,deployment_raw[[#This Row],[Column5]]),"")</f>
        <v/>
      </c>
      <c r="O798" s="167" t="str">
        <f>IF(ISNUMBER(deployment_raw[[#This Row],[Column15]]), deployment_raw[[#This Row],[Column15]]/IF(OR($E$2="Deployment",deployment_raw[[#This Row],[Column5]]=0),1,deployment_raw[[#This Row],[Column5]])/1048576,"")</f>
        <v/>
      </c>
      <c r="P798" s="168" t="str">
        <f>IF(ISNUMBER(deployment_raw[[#This Row],[Column12]]), (MIN(IF(N798&lt;&gt;"",N798,9999999999999)*1.1,deployment_raw[[#This Row],[Column12]] * IF($E$2="Deployment",deployment_raw[[#This Row],[Column5]],1))*(1+$P$2)),"")</f>
        <v/>
      </c>
      <c r="Q798" s="167" t="str">
        <f>IF(ISNUMBER(deployment_raw[[#This Row],[Column13]]), (MIN(IF(O798&lt;&gt;"",O798,9999999999999)*1.1,deployment_raw[[#This Row],[Column13]] * IF($E$2="Deployment",deployment_raw[[#This Row],[Column5]],1)*(1+$Q$2)/1048576)),"")</f>
        <v/>
      </c>
      <c r="R798" s="169" t="str">
        <f>IF(ISNUMBER(deployment_raw[[#This Row],[Column8]]), (H798  * IF(N798&lt;&gt;0,$R$2,1)),"")</f>
        <v/>
      </c>
      <c r="S798" s="170" t="str">
        <f>IF(ISNUMBER(deployment_raw[[#This Row],[Column8]]), (I798  * IF(O798&lt;&gt;0,$S$2,1)),"")</f>
        <v/>
      </c>
      <c r="T798" s="202" t="str">
        <f>IF(AND(A798&lt;&gt;"",_xlfn.IFNA(MATCH(A798,'dynamic resource application '!$A$2:$A$100, 0),0)&lt;&gt;0), H798/(IF($E$2="Deployment",E798,1)),"")</f>
        <v/>
      </c>
      <c r="U798" s="211" t="str">
        <f>IF(AND(A798&lt;&gt;"",_xlfn.IFNA(MATCH(A798,'dynamic resource application '!$A$2:$A$100, 0),0)&lt;&gt;0), I798/(IF($E$2="Deployment",E798,1)),"")</f>
        <v/>
      </c>
    </row>
    <row r="799" spans="1:21" ht="15.75" customHeight="1" x14ac:dyDescent="0.25">
      <c r="A799" s="35" t="str">
        <f>IF(ISNONTEXT(deployment_raw[[#This Row],[Column1]]), "", deployment_raw[[#This Row],[Column1]])</f>
        <v/>
      </c>
      <c r="B799" s="36" t="str">
        <f>IF(ISNONTEXT(deployment_raw[[#This Row],[Column2]]), "", deployment_raw[[#This Row],[Column2]])</f>
        <v/>
      </c>
      <c r="C799" s="36" t="str">
        <f>IF(ISNONTEXT(deployment_raw[[#This Row],[Column3]]), "", deployment_raw[[#This Row],[Column3]])</f>
        <v/>
      </c>
      <c r="D799" s="36" t="str">
        <f>IF(ISNONTEXT(deployment_raw[[#This Row],[Column4]]), "", deployment_raw[[#This Row],[Column4]])</f>
        <v/>
      </c>
      <c r="E799" s="37" t="str">
        <f>IF(ISNUMBER(deployment_raw[[#This Row],[Column5]]), deployment_raw[[#This Row],[Column5]],"")</f>
        <v/>
      </c>
      <c r="F799" s="94" t="str">
        <f>IF(ISNUMBER(deployment_raw[[#This Row],[Column6]]), (deployment_raw[[#This Row],[Column6]] * IF($E$2="Deployment",deployment_raw[[#This Row],[Column5]],1)),"")</f>
        <v/>
      </c>
      <c r="G799" s="95" t="str">
        <f>IF(ISNUMBER(deployment_raw[[#This Row],[Column7]]), (deployment_raw[[#This Row],[Column7]] * IF($E$2="Deployment",deployment_raw[[#This Row],[Column5]],1))/1048576,"")</f>
        <v/>
      </c>
      <c r="H799" s="95" t="str">
        <f>IF(ISNUMBER(deployment_raw[[#This Row],[Column8]]), (deployment_raw[[#This Row],[Column8]]  * IF($E$2="Deployment",deployment_raw[[#This Row],[Column5]],1)),"")</f>
        <v/>
      </c>
      <c r="I799" s="96" t="str">
        <f>IF(ISNUMBER(deployment_raw[[#This Row],[Column9]]), (deployment_raw[[#This Row],[Column9]] * IF($E$2="Deployment",deployment_raw[[#This Row],[Column5]],1))/1048576,"")</f>
        <v/>
      </c>
      <c r="J799" s="122" t="str">
        <f>IF(ISNUMBER(deployment_raw[[#This Row],[Column10]]), (MIN(IF(N799&lt;&gt;"",N799,9999999999999)*1.1,deployment_raw[[#This Row],[Column10]] * IF($E$2="Deployment",deployment_raw[[#This Row],[Column5]],1))),"")</f>
        <v/>
      </c>
      <c r="K799" s="123" t="str">
        <f>IF(ISNUMBER(deployment_raw[[#This Row],[Column11]]), (MIN(IF(O799&lt;&gt;"",O799,9999999999999)*1.1,deployment_raw[[#This Row],[Column11]] * IF($E$2="Deployment",deployment_raw[[#This Row],[Column5]],1)/1048576)),"")</f>
        <v/>
      </c>
      <c r="L799" s="124" t="str">
        <f>IF(ISNUMBER(deployment_raw[[#This Row],[Column8]]),IF(OR(deployment_raw[[#This Row],[Column5]] &lt;&gt; 0,$E$2 &lt;&gt; "Deployment"), MAX(J799, P799, R799, ($L$2 * IF($E$2="Deployment",deployment_raw[[#This Row],[Column5]],1)),IF(T799&lt;&gt;"",VALUE(T799) * IF($E$2="Deployment",deployment_raw[[#This Row],[Column5]],1),0)), 0),"")</f>
        <v/>
      </c>
      <c r="M799" s="125" t="str">
        <f>IF(ISNUMBER(deployment_raw[[#This Row],[Column9]]),IF(OR(deployment_raw[[#This Row],[Column5]] &lt;&gt; 0,$E$2&lt;&gt;"Deployment"), MAX(K799, Q799, S799, ($M$2 * IF($E$2="Deployment",deployment_raw[[#This Row],[Column5]],1)),IF(U799&lt;&gt;"",VALUE(U799) * IF($E$2="Deployment",deployment_raw[[#This Row],[Column5]],1),0)), 0),"")</f>
        <v/>
      </c>
      <c r="N799" s="166" t="str">
        <f>IF(ISNUMBER(deployment_raw[[#This Row],[Column14]]), deployment_raw[[#This Row],[Column14]]/IF(OR($E$2="Deployment",deployment_raw[[#This Row],[Column5]]=0),1,deployment_raw[[#This Row],[Column5]]),"")</f>
        <v/>
      </c>
      <c r="O799" s="167" t="str">
        <f>IF(ISNUMBER(deployment_raw[[#This Row],[Column15]]), deployment_raw[[#This Row],[Column15]]/IF(OR($E$2="Deployment",deployment_raw[[#This Row],[Column5]]=0),1,deployment_raw[[#This Row],[Column5]])/1048576,"")</f>
        <v/>
      </c>
      <c r="P799" s="168" t="str">
        <f>IF(ISNUMBER(deployment_raw[[#This Row],[Column12]]), (MIN(IF(N799&lt;&gt;"",N799,9999999999999)*1.1,deployment_raw[[#This Row],[Column12]] * IF($E$2="Deployment",deployment_raw[[#This Row],[Column5]],1))*(1+$P$2)),"")</f>
        <v/>
      </c>
      <c r="Q799" s="167" t="str">
        <f>IF(ISNUMBER(deployment_raw[[#This Row],[Column13]]), (MIN(IF(O799&lt;&gt;"",O799,9999999999999)*1.1,deployment_raw[[#This Row],[Column13]] * IF($E$2="Deployment",deployment_raw[[#This Row],[Column5]],1)*(1+$Q$2)/1048576)),"")</f>
        <v/>
      </c>
      <c r="R799" s="169" t="str">
        <f>IF(ISNUMBER(deployment_raw[[#This Row],[Column8]]), (H799  * IF(N799&lt;&gt;0,$R$2,1)),"")</f>
        <v/>
      </c>
      <c r="S799" s="170" t="str">
        <f>IF(ISNUMBER(deployment_raw[[#This Row],[Column8]]), (I799  * IF(O799&lt;&gt;0,$S$2,1)),"")</f>
        <v/>
      </c>
      <c r="T799" s="202" t="str">
        <f>IF(AND(A799&lt;&gt;"",_xlfn.IFNA(MATCH(A799,'dynamic resource application '!$A$2:$A$100, 0),0)&lt;&gt;0), H799/(IF($E$2="Deployment",E799,1)),"")</f>
        <v/>
      </c>
      <c r="U799" s="211" t="str">
        <f>IF(AND(A799&lt;&gt;"",_xlfn.IFNA(MATCH(A799,'dynamic resource application '!$A$2:$A$100, 0),0)&lt;&gt;0), I799/(IF($E$2="Deployment",E799,1)),"")</f>
        <v/>
      </c>
    </row>
    <row r="800" spans="1:21" ht="15.75" customHeight="1" x14ac:dyDescent="0.25">
      <c r="A800" s="35" t="str">
        <f>IF(ISNONTEXT(deployment_raw[[#This Row],[Column1]]), "", deployment_raw[[#This Row],[Column1]])</f>
        <v/>
      </c>
      <c r="B800" s="36" t="str">
        <f>IF(ISNONTEXT(deployment_raw[[#This Row],[Column2]]), "", deployment_raw[[#This Row],[Column2]])</f>
        <v/>
      </c>
      <c r="C800" s="36" t="str">
        <f>IF(ISNONTEXT(deployment_raw[[#This Row],[Column3]]), "", deployment_raw[[#This Row],[Column3]])</f>
        <v/>
      </c>
      <c r="D800" s="36" t="str">
        <f>IF(ISNONTEXT(deployment_raw[[#This Row],[Column4]]), "", deployment_raw[[#This Row],[Column4]])</f>
        <v/>
      </c>
      <c r="E800" s="37" t="str">
        <f>IF(ISNUMBER(deployment_raw[[#This Row],[Column5]]), deployment_raw[[#This Row],[Column5]],"")</f>
        <v/>
      </c>
      <c r="F800" s="94" t="str">
        <f>IF(ISNUMBER(deployment_raw[[#This Row],[Column6]]), (deployment_raw[[#This Row],[Column6]] * IF($E$2="Deployment",deployment_raw[[#This Row],[Column5]],1)),"")</f>
        <v/>
      </c>
      <c r="G800" s="95" t="str">
        <f>IF(ISNUMBER(deployment_raw[[#This Row],[Column7]]), (deployment_raw[[#This Row],[Column7]] * IF($E$2="Deployment",deployment_raw[[#This Row],[Column5]],1))/1048576,"")</f>
        <v/>
      </c>
      <c r="H800" s="95" t="str">
        <f>IF(ISNUMBER(deployment_raw[[#This Row],[Column8]]), (deployment_raw[[#This Row],[Column8]]  * IF($E$2="Deployment",deployment_raw[[#This Row],[Column5]],1)),"")</f>
        <v/>
      </c>
      <c r="I800" s="96" t="str">
        <f>IF(ISNUMBER(deployment_raw[[#This Row],[Column9]]), (deployment_raw[[#This Row],[Column9]] * IF($E$2="Deployment",deployment_raw[[#This Row],[Column5]],1))/1048576,"")</f>
        <v/>
      </c>
      <c r="J800" s="122" t="str">
        <f>IF(ISNUMBER(deployment_raw[[#This Row],[Column10]]), (MIN(IF(N800&lt;&gt;"",N800,9999999999999)*1.1,deployment_raw[[#This Row],[Column10]] * IF($E$2="Deployment",deployment_raw[[#This Row],[Column5]],1))),"")</f>
        <v/>
      </c>
      <c r="K800" s="123" t="str">
        <f>IF(ISNUMBER(deployment_raw[[#This Row],[Column11]]), (MIN(IF(O800&lt;&gt;"",O800,9999999999999)*1.1,deployment_raw[[#This Row],[Column11]] * IF($E$2="Deployment",deployment_raw[[#This Row],[Column5]],1)/1048576)),"")</f>
        <v/>
      </c>
      <c r="L800" s="124" t="str">
        <f>IF(ISNUMBER(deployment_raw[[#This Row],[Column8]]),IF(OR(deployment_raw[[#This Row],[Column5]] &lt;&gt; 0,$E$2 &lt;&gt; "Deployment"), MAX(J800, P800, R800, ($L$2 * IF($E$2="Deployment",deployment_raw[[#This Row],[Column5]],1)),IF(T800&lt;&gt;"",VALUE(T800) * IF($E$2="Deployment",deployment_raw[[#This Row],[Column5]],1),0)), 0),"")</f>
        <v/>
      </c>
      <c r="M800" s="125" t="str">
        <f>IF(ISNUMBER(deployment_raw[[#This Row],[Column9]]),IF(OR(deployment_raw[[#This Row],[Column5]] &lt;&gt; 0,$E$2&lt;&gt;"Deployment"), MAX(K800, Q800, S800, ($M$2 * IF($E$2="Deployment",deployment_raw[[#This Row],[Column5]],1)),IF(U800&lt;&gt;"",VALUE(U800) * IF($E$2="Deployment",deployment_raw[[#This Row],[Column5]],1),0)), 0),"")</f>
        <v/>
      </c>
      <c r="N800" s="166" t="str">
        <f>IF(ISNUMBER(deployment_raw[[#This Row],[Column14]]), deployment_raw[[#This Row],[Column14]]/IF(OR($E$2="Deployment",deployment_raw[[#This Row],[Column5]]=0),1,deployment_raw[[#This Row],[Column5]]),"")</f>
        <v/>
      </c>
      <c r="O800" s="167" t="str">
        <f>IF(ISNUMBER(deployment_raw[[#This Row],[Column15]]), deployment_raw[[#This Row],[Column15]]/IF(OR($E$2="Deployment",deployment_raw[[#This Row],[Column5]]=0),1,deployment_raw[[#This Row],[Column5]])/1048576,"")</f>
        <v/>
      </c>
      <c r="P800" s="168" t="str">
        <f>IF(ISNUMBER(deployment_raw[[#This Row],[Column12]]), (MIN(IF(N800&lt;&gt;"",N800,9999999999999)*1.1,deployment_raw[[#This Row],[Column12]] * IF($E$2="Deployment",deployment_raw[[#This Row],[Column5]],1))*(1+$P$2)),"")</f>
        <v/>
      </c>
      <c r="Q800" s="167" t="str">
        <f>IF(ISNUMBER(deployment_raw[[#This Row],[Column13]]), (MIN(IF(O800&lt;&gt;"",O800,9999999999999)*1.1,deployment_raw[[#This Row],[Column13]] * IF($E$2="Deployment",deployment_raw[[#This Row],[Column5]],1)*(1+$Q$2)/1048576)),"")</f>
        <v/>
      </c>
      <c r="R800" s="169" t="str">
        <f>IF(ISNUMBER(deployment_raw[[#This Row],[Column8]]), (H800  * IF(N800&lt;&gt;0,$R$2,1)),"")</f>
        <v/>
      </c>
      <c r="S800" s="170" t="str">
        <f>IF(ISNUMBER(deployment_raw[[#This Row],[Column8]]), (I800  * IF(O800&lt;&gt;0,$S$2,1)),"")</f>
        <v/>
      </c>
      <c r="T800" s="202" t="str">
        <f>IF(AND(A800&lt;&gt;"",_xlfn.IFNA(MATCH(A800,'dynamic resource application '!$A$2:$A$100, 0),0)&lt;&gt;0), H800/(IF($E$2="Deployment",E800,1)),"")</f>
        <v/>
      </c>
      <c r="U800" s="211" t="str">
        <f>IF(AND(A800&lt;&gt;"",_xlfn.IFNA(MATCH(A800,'dynamic resource application '!$A$2:$A$100, 0),0)&lt;&gt;0), I800/(IF($E$2="Deployment",E800,1)),"")</f>
        <v/>
      </c>
    </row>
    <row r="801" spans="1:21" ht="15.75" customHeight="1" x14ac:dyDescent="0.25">
      <c r="A801" s="35" t="str">
        <f>IF(ISNONTEXT(deployment_raw[[#This Row],[Column1]]), "", deployment_raw[[#This Row],[Column1]])</f>
        <v/>
      </c>
      <c r="B801" s="36" t="str">
        <f>IF(ISNONTEXT(deployment_raw[[#This Row],[Column2]]), "", deployment_raw[[#This Row],[Column2]])</f>
        <v/>
      </c>
      <c r="C801" s="36" t="str">
        <f>IF(ISNONTEXT(deployment_raw[[#This Row],[Column3]]), "", deployment_raw[[#This Row],[Column3]])</f>
        <v/>
      </c>
      <c r="D801" s="36" t="str">
        <f>IF(ISNONTEXT(deployment_raw[[#This Row],[Column4]]), "", deployment_raw[[#This Row],[Column4]])</f>
        <v/>
      </c>
      <c r="E801" s="37" t="str">
        <f>IF(ISNUMBER(deployment_raw[[#This Row],[Column5]]), deployment_raw[[#This Row],[Column5]],"")</f>
        <v/>
      </c>
      <c r="F801" s="94" t="str">
        <f>IF(ISNUMBER(deployment_raw[[#This Row],[Column6]]), (deployment_raw[[#This Row],[Column6]] * IF($E$2="Deployment",deployment_raw[[#This Row],[Column5]],1)),"")</f>
        <v/>
      </c>
      <c r="G801" s="95" t="str">
        <f>IF(ISNUMBER(deployment_raw[[#This Row],[Column7]]), (deployment_raw[[#This Row],[Column7]] * IF($E$2="Deployment",deployment_raw[[#This Row],[Column5]],1))/1048576,"")</f>
        <v/>
      </c>
      <c r="H801" s="95" t="str">
        <f>IF(ISNUMBER(deployment_raw[[#This Row],[Column8]]), (deployment_raw[[#This Row],[Column8]]  * IF($E$2="Deployment",deployment_raw[[#This Row],[Column5]],1)),"")</f>
        <v/>
      </c>
      <c r="I801" s="96" t="str">
        <f>IF(ISNUMBER(deployment_raw[[#This Row],[Column9]]), (deployment_raw[[#This Row],[Column9]] * IF($E$2="Deployment",deployment_raw[[#This Row],[Column5]],1))/1048576,"")</f>
        <v/>
      </c>
      <c r="J801" s="122" t="str">
        <f>IF(ISNUMBER(deployment_raw[[#This Row],[Column10]]), (MIN(IF(N801&lt;&gt;"",N801,9999999999999)*1.1,deployment_raw[[#This Row],[Column10]] * IF($E$2="Deployment",deployment_raw[[#This Row],[Column5]],1))),"")</f>
        <v/>
      </c>
      <c r="K801" s="123" t="str">
        <f>IF(ISNUMBER(deployment_raw[[#This Row],[Column11]]), (MIN(IF(O801&lt;&gt;"",O801,9999999999999)*1.1,deployment_raw[[#This Row],[Column11]] * IF($E$2="Deployment",deployment_raw[[#This Row],[Column5]],1)/1048576)),"")</f>
        <v/>
      </c>
      <c r="L801" s="124" t="str">
        <f>IF(ISNUMBER(deployment_raw[[#This Row],[Column8]]),IF(OR(deployment_raw[[#This Row],[Column5]] &lt;&gt; 0,$E$2 &lt;&gt; "Deployment"), MAX(J801, P801, R801, ($L$2 * IF($E$2="Deployment",deployment_raw[[#This Row],[Column5]],1)),IF(T801&lt;&gt;"",VALUE(T801) * IF($E$2="Deployment",deployment_raw[[#This Row],[Column5]],1),0)), 0),"")</f>
        <v/>
      </c>
      <c r="M801" s="125" t="str">
        <f>IF(ISNUMBER(deployment_raw[[#This Row],[Column9]]),IF(OR(deployment_raw[[#This Row],[Column5]] &lt;&gt; 0,$E$2&lt;&gt;"Deployment"), MAX(K801, Q801, S801, ($M$2 * IF($E$2="Deployment",deployment_raw[[#This Row],[Column5]],1)),IF(U801&lt;&gt;"",VALUE(U801) * IF($E$2="Deployment",deployment_raw[[#This Row],[Column5]],1),0)), 0),"")</f>
        <v/>
      </c>
      <c r="N801" s="166" t="str">
        <f>IF(ISNUMBER(deployment_raw[[#This Row],[Column14]]), deployment_raw[[#This Row],[Column14]]/IF(OR($E$2="Deployment",deployment_raw[[#This Row],[Column5]]=0),1,deployment_raw[[#This Row],[Column5]]),"")</f>
        <v/>
      </c>
      <c r="O801" s="167" t="str">
        <f>IF(ISNUMBER(deployment_raw[[#This Row],[Column15]]), deployment_raw[[#This Row],[Column15]]/IF(OR($E$2="Deployment",deployment_raw[[#This Row],[Column5]]=0),1,deployment_raw[[#This Row],[Column5]])/1048576,"")</f>
        <v/>
      </c>
      <c r="P801" s="168" t="str">
        <f>IF(ISNUMBER(deployment_raw[[#This Row],[Column12]]), (MIN(IF(N801&lt;&gt;"",N801,9999999999999)*1.1,deployment_raw[[#This Row],[Column12]] * IF($E$2="Deployment",deployment_raw[[#This Row],[Column5]],1))*(1+$P$2)),"")</f>
        <v/>
      </c>
      <c r="Q801" s="167" t="str">
        <f>IF(ISNUMBER(deployment_raw[[#This Row],[Column13]]), (MIN(IF(O801&lt;&gt;"",O801,9999999999999)*1.1,deployment_raw[[#This Row],[Column13]] * IF($E$2="Deployment",deployment_raw[[#This Row],[Column5]],1)*(1+$Q$2)/1048576)),"")</f>
        <v/>
      </c>
      <c r="R801" s="169" t="str">
        <f>IF(ISNUMBER(deployment_raw[[#This Row],[Column8]]), (H801  * IF(N801&lt;&gt;0,$R$2,1)),"")</f>
        <v/>
      </c>
      <c r="S801" s="170" t="str">
        <f>IF(ISNUMBER(deployment_raw[[#This Row],[Column8]]), (I801  * IF(O801&lt;&gt;0,$S$2,1)),"")</f>
        <v/>
      </c>
      <c r="T801" s="202" t="str">
        <f>IF(AND(A801&lt;&gt;"",_xlfn.IFNA(MATCH(A801,'dynamic resource application '!$A$2:$A$100, 0),0)&lt;&gt;0), H801/(IF($E$2="Deployment",E801,1)),"")</f>
        <v/>
      </c>
      <c r="U801" s="211" t="str">
        <f>IF(AND(A801&lt;&gt;"",_xlfn.IFNA(MATCH(A801,'dynamic resource application '!$A$2:$A$100, 0),0)&lt;&gt;0), I801/(IF($E$2="Deployment",E801,1)),"")</f>
        <v/>
      </c>
    </row>
    <row r="802" spans="1:21" ht="15.75" customHeight="1" x14ac:dyDescent="0.25">
      <c r="A802" s="35" t="str">
        <f>IF(ISNONTEXT(deployment_raw[[#This Row],[Column1]]), "", deployment_raw[[#This Row],[Column1]])</f>
        <v/>
      </c>
      <c r="B802" s="36" t="str">
        <f>IF(ISNONTEXT(deployment_raw[[#This Row],[Column2]]), "", deployment_raw[[#This Row],[Column2]])</f>
        <v/>
      </c>
      <c r="C802" s="36" t="str">
        <f>IF(ISNONTEXT(deployment_raw[[#This Row],[Column3]]), "", deployment_raw[[#This Row],[Column3]])</f>
        <v/>
      </c>
      <c r="D802" s="36" t="str">
        <f>IF(ISNONTEXT(deployment_raw[[#This Row],[Column4]]), "", deployment_raw[[#This Row],[Column4]])</f>
        <v/>
      </c>
      <c r="E802" s="37" t="str">
        <f>IF(ISNUMBER(deployment_raw[[#This Row],[Column5]]), deployment_raw[[#This Row],[Column5]],"")</f>
        <v/>
      </c>
      <c r="F802" s="94" t="str">
        <f>IF(ISNUMBER(deployment_raw[[#This Row],[Column6]]), (deployment_raw[[#This Row],[Column6]] * IF($E$2="Deployment",deployment_raw[[#This Row],[Column5]],1)),"")</f>
        <v/>
      </c>
      <c r="G802" s="95" t="str">
        <f>IF(ISNUMBER(deployment_raw[[#This Row],[Column7]]), (deployment_raw[[#This Row],[Column7]] * IF($E$2="Deployment",deployment_raw[[#This Row],[Column5]],1))/1048576,"")</f>
        <v/>
      </c>
      <c r="H802" s="95" t="str">
        <f>IF(ISNUMBER(deployment_raw[[#This Row],[Column8]]), (deployment_raw[[#This Row],[Column8]]  * IF($E$2="Deployment",deployment_raw[[#This Row],[Column5]],1)),"")</f>
        <v/>
      </c>
      <c r="I802" s="96" t="str">
        <f>IF(ISNUMBER(deployment_raw[[#This Row],[Column9]]), (deployment_raw[[#This Row],[Column9]] * IF($E$2="Deployment",deployment_raw[[#This Row],[Column5]],1))/1048576,"")</f>
        <v/>
      </c>
      <c r="J802" s="122" t="str">
        <f>IF(ISNUMBER(deployment_raw[[#This Row],[Column10]]), (MIN(IF(N802&lt;&gt;"",N802,9999999999999)*1.1,deployment_raw[[#This Row],[Column10]] * IF($E$2="Deployment",deployment_raw[[#This Row],[Column5]],1))),"")</f>
        <v/>
      </c>
      <c r="K802" s="123" t="str">
        <f>IF(ISNUMBER(deployment_raw[[#This Row],[Column11]]), (MIN(IF(O802&lt;&gt;"",O802,9999999999999)*1.1,deployment_raw[[#This Row],[Column11]] * IF($E$2="Deployment",deployment_raw[[#This Row],[Column5]],1)/1048576)),"")</f>
        <v/>
      </c>
      <c r="L802" s="124" t="str">
        <f>IF(ISNUMBER(deployment_raw[[#This Row],[Column8]]),IF(OR(deployment_raw[[#This Row],[Column5]] &lt;&gt; 0,$E$2 &lt;&gt; "Deployment"), MAX(J802, P802, R802, ($L$2 * IF($E$2="Deployment",deployment_raw[[#This Row],[Column5]],1)),IF(T802&lt;&gt;"",VALUE(T802) * IF($E$2="Deployment",deployment_raw[[#This Row],[Column5]],1),0)), 0),"")</f>
        <v/>
      </c>
      <c r="M802" s="125" t="str">
        <f>IF(ISNUMBER(deployment_raw[[#This Row],[Column9]]),IF(OR(deployment_raw[[#This Row],[Column5]] &lt;&gt; 0,$E$2&lt;&gt;"Deployment"), MAX(K802, Q802, S802, ($M$2 * IF($E$2="Deployment",deployment_raw[[#This Row],[Column5]],1)),IF(U802&lt;&gt;"",VALUE(U802) * IF($E$2="Deployment",deployment_raw[[#This Row],[Column5]],1),0)), 0),"")</f>
        <v/>
      </c>
      <c r="N802" s="166" t="str">
        <f>IF(ISNUMBER(deployment_raw[[#This Row],[Column14]]), deployment_raw[[#This Row],[Column14]]/IF(OR($E$2="Deployment",deployment_raw[[#This Row],[Column5]]=0),1,deployment_raw[[#This Row],[Column5]]),"")</f>
        <v/>
      </c>
      <c r="O802" s="167" t="str">
        <f>IF(ISNUMBER(deployment_raw[[#This Row],[Column15]]), deployment_raw[[#This Row],[Column15]]/IF(OR($E$2="Deployment",deployment_raw[[#This Row],[Column5]]=0),1,deployment_raw[[#This Row],[Column5]])/1048576,"")</f>
        <v/>
      </c>
      <c r="P802" s="168" t="str">
        <f>IF(ISNUMBER(deployment_raw[[#This Row],[Column12]]), (MIN(IF(N802&lt;&gt;"",N802,9999999999999)*1.1,deployment_raw[[#This Row],[Column12]] * IF($E$2="Deployment",deployment_raw[[#This Row],[Column5]],1))*(1+$P$2)),"")</f>
        <v/>
      </c>
      <c r="Q802" s="167" t="str">
        <f>IF(ISNUMBER(deployment_raw[[#This Row],[Column13]]), (MIN(IF(O802&lt;&gt;"",O802,9999999999999)*1.1,deployment_raw[[#This Row],[Column13]] * IF($E$2="Deployment",deployment_raw[[#This Row],[Column5]],1)*(1+$Q$2)/1048576)),"")</f>
        <v/>
      </c>
      <c r="R802" s="169" t="str">
        <f>IF(ISNUMBER(deployment_raw[[#This Row],[Column8]]), (H802  * IF(N802&lt;&gt;0,$R$2,1)),"")</f>
        <v/>
      </c>
      <c r="S802" s="170" t="str">
        <f>IF(ISNUMBER(deployment_raw[[#This Row],[Column8]]), (I802  * IF(O802&lt;&gt;0,$S$2,1)),"")</f>
        <v/>
      </c>
      <c r="T802" s="202" t="str">
        <f>IF(AND(A802&lt;&gt;"",_xlfn.IFNA(MATCH(A802,'dynamic resource application '!$A$2:$A$100, 0),0)&lt;&gt;0), H802/(IF($E$2="Deployment",E802,1)),"")</f>
        <v/>
      </c>
      <c r="U802" s="211" t="str">
        <f>IF(AND(A802&lt;&gt;"",_xlfn.IFNA(MATCH(A802,'dynamic resource application '!$A$2:$A$100, 0),0)&lt;&gt;0), I802/(IF($E$2="Deployment",E802,1)),"")</f>
        <v/>
      </c>
    </row>
    <row r="803" spans="1:21" ht="15.75" customHeight="1" x14ac:dyDescent="0.25">
      <c r="A803" s="35" t="str">
        <f>IF(ISNONTEXT(deployment_raw[[#This Row],[Column1]]), "", deployment_raw[[#This Row],[Column1]])</f>
        <v/>
      </c>
      <c r="B803" s="36" t="str">
        <f>IF(ISNONTEXT(deployment_raw[[#This Row],[Column2]]), "", deployment_raw[[#This Row],[Column2]])</f>
        <v/>
      </c>
      <c r="C803" s="36" t="str">
        <f>IF(ISNONTEXT(deployment_raw[[#This Row],[Column3]]), "", deployment_raw[[#This Row],[Column3]])</f>
        <v/>
      </c>
      <c r="D803" s="36" t="str">
        <f>IF(ISNONTEXT(deployment_raw[[#This Row],[Column4]]), "", deployment_raw[[#This Row],[Column4]])</f>
        <v/>
      </c>
      <c r="E803" s="37" t="str">
        <f>IF(ISNUMBER(deployment_raw[[#This Row],[Column5]]), deployment_raw[[#This Row],[Column5]],"")</f>
        <v/>
      </c>
      <c r="F803" s="94" t="str">
        <f>IF(ISNUMBER(deployment_raw[[#This Row],[Column6]]), (deployment_raw[[#This Row],[Column6]] * IF($E$2="Deployment",deployment_raw[[#This Row],[Column5]],1)),"")</f>
        <v/>
      </c>
      <c r="G803" s="95" t="str">
        <f>IF(ISNUMBER(deployment_raw[[#This Row],[Column7]]), (deployment_raw[[#This Row],[Column7]] * IF($E$2="Deployment",deployment_raw[[#This Row],[Column5]],1))/1048576,"")</f>
        <v/>
      </c>
      <c r="H803" s="95" t="str">
        <f>IF(ISNUMBER(deployment_raw[[#This Row],[Column8]]), (deployment_raw[[#This Row],[Column8]]  * IF($E$2="Deployment",deployment_raw[[#This Row],[Column5]],1)),"")</f>
        <v/>
      </c>
      <c r="I803" s="96" t="str">
        <f>IF(ISNUMBER(deployment_raw[[#This Row],[Column9]]), (deployment_raw[[#This Row],[Column9]] * IF($E$2="Deployment",deployment_raw[[#This Row],[Column5]],1))/1048576,"")</f>
        <v/>
      </c>
      <c r="J803" s="122" t="str">
        <f>IF(ISNUMBER(deployment_raw[[#This Row],[Column10]]), (MIN(IF(N803&lt;&gt;"",N803,9999999999999)*1.1,deployment_raw[[#This Row],[Column10]] * IF($E$2="Deployment",deployment_raw[[#This Row],[Column5]],1))),"")</f>
        <v/>
      </c>
      <c r="K803" s="123" t="str">
        <f>IF(ISNUMBER(deployment_raw[[#This Row],[Column11]]), (MIN(IF(O803&lt;&gt;"",O803,9999999999999)*1.1,deployment_raw[[#This Row],[Column11]] * IF($E$2="Deployment",deployment_raw[[#This Row],[Column5]],1)/1048576)),"")</f>
        <v/>
      </c>
      <c r="L803" s="124" t="str">
        <f>IF(ISNUMBER(deployment_raw[[#This Row],[Column8]]),IF(OR(deployment_raw[[#This Row],[Column5]] &lt;&gt; 0,$E$2 &lt;&gt; "Deployment"), MAX(J803, P803, R803, ($L$2 * IF($E$2="Deployment",deployment_raw[[#This Row],[Column5]],1)),IF(T803&lt;&gt;"",VALUE(T803) * IF($E$2="Deployment",deployment_raw[[#This Row],[Column5]],1),0)), 0),"")</f>
        <v/>
      </c>
      <c r="M803" s="125" t="str">
        <f>IF(ISNUMBER(deployment_raw[[#This Row],[Column9]]),IF(OR(deployment_raw[[#This Row],[Column5]] &lt;&gt; 0,$E$2&lt;&gt;"Deployment"), MAX(K803, Q803, S803, ($M$2 * IF($E$2="Deployment",deployment_raw[[#This Row],[Column5]],1)),IF(U803&lt;&gt;"",VALUE(U803) * IF($E$2="Deployment",deployment_raw[[#This Row],[Column5]],1),0)), 0),"")</f>
        <v/>
      </c>
      <c r="N803" s="166" t="str">
        <f>IF(ISNUMBER(deployment_raw[[#This Row],[Column14]]), deployment_raw[[#This Row],[Column14]]/IF(OR($E$2="Deployment",deployment_raw[[#This Row],[Column5]]=0),1,deployment_raw[[#This Row],[Column5]]),"")</f>
        <v/>
      </c>
      <c r="O803" s="167" t="str">
        <f>IF(ISNUMBER(deployment_raw[[#This Row],[Column15]]), deployment_raw[[#This Row],[Column15]]/IF(OR($E$2="Deployment",deployment_raw[[#This Row],[Column5]]=0),1,deployment_raw[[#This Row],[Column5]])/1048576,"")</f>
        <v/>
      </c>
      <c r="P803" s="168" t="str">
        <f>IF(ISNUMBER(deployment_raw[[#This Row],[Column12]]), (MIN(IF(N803&lt;&gt;"",N803,9999999999999)*1.1,deployment_raw[[#This Row],[Column12]] * IF($E$2="Deployment",deployment_raw[[#This Row],[Column5]],1))*(1+$P$2)),"")</f>
        <v/>
      </c>
      <c r="Q803" s="167" t="str">
        <f>IF(ISNUMBER(deployment_raw[[#This Row],[Column13]]), (MIN(IF(O803&lt;&gt;"",O803,9999999999999)*1.1,deployment_raw[[#This Row],[Column13]] * IF($E$2="Deployment",deployment_raw[[#This Row],[Column5]],1)*(1+$Q$2)/1048576)),"")</f>
        <v/>
      </c>
      <c r="R803" s="169" t="str">
        <f>IF(ISNUMBER(deployment_raw[[#This Row],[Column8]]), (H803  * IF(N803&lt;&gt;0,$R$2,1)),"")</f>
        <v/>
      </c>
      <c r="S803" s="170" t="str">
        <f>IF(ISNUMBER(deployment_raw[[#This Row],[Column8]]), (I803  * IF(O803&lt;&gt;0,$S$2,1)),"")</f>
        <v/>
      </c>
      <c r="T803" s="202" t="str">
        <f>IF(AND(A803&lt;&gt;"",_xlfn.IFNA(MATCH(A803,'dynamic resource application '!$A$2:$A$100, 0),0)&lt;&gt;0), H803/(IF($E$2="Deployment",E803,1)),"")</f>
        <v/>
      </c>
      <c r="U803" s="211" t="str">
        <f>IF(AND(A803&lt;&gt;"",_xlfn.IFNA(MATCH(A803,'dynamic resource application '!$A$2:$A$100, 0),0)&lt;&gt;0), I803/(IF($E$2="Deployment",E803,1)),"")</f>
        <v/>
      </c>
    </row>
    <row r="804" spans="1:21" ht="15.75" customHeight="1" x14ac:dyDescent="0.25">
      <c r="A804" s="35" t="str">
        <f>IF(ISNONTEXT(deployment_raw[[#This Row],[Column1]]), "", deployment_raw[[#This Row],[Column1]])</f>
        <v/>
      </c>
      <c r="B804" s="36" t="str">
        <f>IF(ISNONTEXT(deployment_raw[[#This Row],[Column2]]), "", deployment_raw[[#This Row],[Column2]])</f>
        <v/>
      </c>
      <c r="C804" s="36" t="str">
        <f>IF(ISNONTEXT(deployment_raw[[#This Row],[Column3]]), "", deployment_raw[[#This Row],[Column3]])</f>
        <v/>
      </c>
      <c r="D804" s="36" t="str">
        <f>IF(ISNONTEXT(deployment_raw[[#This Row],[Column4]]), "", deployment_raw[[#This Row],[Column4]])</f>
        <v/>
      </c>
      <c r="E804" s="37" t="str">
        <f>IF(ISNUMBER(deployment_raw[[#This Row],[Column5]]), deployment_raw[[#This Row],[Column5]],"")</f>
        <v/>
      </c>
      <c r="F804" s="94" t="str">
        <f>IF(ISNUMBER(deployment_raw[[#This Row],[Column6]]), (deployment_raw[[#This Row],[Column6]] * IF($E$2="Deployment",deployment_raw[[#This Row],[Column5]],1)),"")</f>
        <v/>
      </c>
      <c r="G804" s="95" t="str">
        <f>IF(ISNUMBER(deployment_raw[[#This Row],[Column7]]), (deployment_raw[[#This Row],[Column7]] * IF($E$2="Deployment",deployment_raw[[#This Row],[Column5]],1))/1048576,"")</f>
        <v/>
      </c>
      <c r="H804" s="95" t="str">
        <f>IF(ISNUMBER(deployment_raw[[#This Row],[Column8]]), (deployment_raw[[#This Row],[Column8]]  * IF($E$2="Deployment",deployment_raw[[#This Row],[Column5]],1)),"")</f>
        <v/>
      </c>
      <c r="I804" s="96" t="str">
        <f>IF(ISNUMBER(deployment_raw[[#This Row],[Column9]]), (deployment_raw[[#This Row],[Column9]] * IF($E$2="Deployment",deployment_raw[[#This Row],[Column5]],1))/1048576,"")</f>
        <v/>
      </c>
      <c r="J804" s="122" t="str">
        <f>IF(ISNUMBER(deployment_raw[[#This Row],[Column10]]), (MIN(IF(N804&lt;&gt;"",N804,9999999999999)*1.1,deployment_raw[[#This Row],[Column10]] * IF($E$2="Deployment",deployment_raw[[#This Row],[Column5]],1))),"")</f>
        <v/>
      </c>
      <c r="K804" s="123" t="str">
        <f>IF(ISNUMBER(deployment_raw[[#This Row],[Column11]]), (MIN(IF(O804&lt;&gt;"",O804,9999999999999)*1.1,deployment_raw[[#This Row],[Column11]] * IF($E$2="Deployment",deployment_raw[[#This Row],[Column5]],1)/1048576)),"")</f>
        <v/>
      </c>
      <c r="L804" s="124" t="str">
        <f>IF(ISNUMBER(deployment_raw[[#This Row],[Column8]]),IF(OR(deployment_raw[[#This Row],[Column5]] &lt;&gt; 0,$E$2 &lt;&gt; "Deployment"), MAX(J804, P804, R804, ($L$2 * IF($E$2="Deployment",deployment_raw[[#This Row],[Column5]],1)),IF(T804&lt;&gt;"",VALUE(T804) * IF($E$2="Deployment",deployment_raw[[#This Row],[Column5]],1),0)), 0),"")</f>
        <v/>
      </c>
      <c r="M804" s="125" t="str">
        <f>IF(ISNUMBER(deployment_raw[[#This Row],[Column9]]),IF(OR(deployment_raw[[#This Row],[Column5]] &lt;&gt; 0,$E$2&lt;&gt;"Deployment"), MAX(K804, Q804, S804, ($M$2 * IF($E$2="Deployment",deployment_raw[[#This Row],[Column5]],1)),IF(U804&lt;&gt;"",VALUE(U804) * IF($E$2="Deployment",deployment_raw[[#This Row],[Column5]],1),0)), 0),"")</f>
        <v/>
      </c>
      <c r="N804" s="166" t="str">
        <f>IF(ISNUMBER(deployment_raw[[#This Row],[Column14]]), deployment_raw[[#This Row],[Column14]]/IF(OR($E$2="Deployment",deployment_raw[[#This Row],[Column5]]=0),1,deployment_raw[[#This Row],[Column5]]),"")</f>
        <v/>
      </c>
      <c r="O804" s="167" t="str">
        <f>IF(ISNUMBER(deployment_raw[[#This Row],[Column15]]), deployment_raw[[#This Row],[Column15]]/IF(OR($E$2="Deployment",deployment_raw[[#This Row],[Column5]]=0),1,deployment_raw[[#This Row],[Column5]])/1048576,"")</f>
        <v/>
      </c>
      <c r="P804" s="168" t="str">
        <f>IF(ISNUMBER(deployment_raw[[#This Row],[Column12]]), (MIN(IF(N804&lt;&gt;"",N804,9999999999999)*1.1,deployment_raw[[#This Row],[Column12]] * IF($E$2="Deployment",deployment_raw[[#This Row],[Column5]],1))*(1+$P$2)),"")</f>
        <v/>
      </c>
      <c r="Q804" s="167" t="str">
        <f>IF(ISNUMBER(deployment_raw[[#This Row],[Column13]]), (MIN(IF(O804&lt;&gt;"",O804,9999999999999)*1.1,deployment_raw[[#This Row],[Column13]] * IF($E$2="Deployment",deployment_raw[[#This Row],[Column5]],1)*(1+$Q$2)/1048576)),"")</f>
        <v/>
      </c>
      <c r="R804" s="169" t="str">
        <f>IF(ISNUMBER(deployment_raw[[#This Row],[Column8]]), (H804  * IF(N804&lt;&gt;0,$R$2,1)),"")</f>
        <v/>
      </c>
      <c r="S804" s="170" t="str">
        <f>IF(ISNUMBER(deployment_raw[[#This Row],[Column8]]), (I804  * IF(O804&lt;&gt;0,$S$2,1)),"")</f>
        <v/>
      </c>
      <c r="T804" s="202" t="str">
        <f>IF(AND(A804&lt;&gt;"",_xlfn.IFNA(MATCH(A804,'dynamic resource application '!$A$2:$A$100, 0),0)&lt;&gt;0), H804/(IF($E$2="Deployment",E804,1)),"")</f>
        <v/>
      </c>
      <c r="U804" s="211" t="str">
        <f>IF(AND(A804&lt;&gt;"",_xlfn.IFNA(MATCH(A804,'dynamic resource application '!$A$2:$A$100, 0),0)&lt;&gt;0), I804/(IF($E$2="Deployment",E804,1)),"")</f>
        <v/>
      </c>
    </row>
    <row r="805" spans="1:21" ht="15.75" customHeight="1" x14ac:dyDescent="0.25">
      <c r="A805" s="35" t="str">
        <f>IF(ISNONTEXT(deployment_raw[[#This Row],[Column1]]), "", deployment_raw[[#This Row],[Column1]])</f>
        <v/>
      </c>
      <c r="B805" s="36" t="str">
        <f>IF(ISNONTEXT(deployment_raw[[#This Row],[Column2]]), "", deployment_raw[[#This Row],[Column2]])</f>
        <v/>
      </c>
      <c r="C805" s="36" t="str">
        <f>IF(ISNONTEXT(deployment_raw[[#This Row],[Column3]]), "", deployment_raw[[#This Row],[Column3]])</f>
        <v/>
      </c>
      <c r="D805" s="36" t="str">
        <f>IF(ISNONTEXT(deployment_raw[[#This Row],[Column4]]), "", deployment_raw[[#This Row],[Column4]])</f>
        <v/>
      </c>
      <c r="E805" s="37" t="str">
        <f>IF(ISNUMBER(deployment_raw[[#This Row],[Column5]]), deployment_raw[[#This Row],[Column5]],"")</f>
        <v/>
      </c>
      <c r="F805" s="94" t="str">
        <f>IF(ISNUMBER(deployment_raw[[#This Row],[Column6]]), (deployment_raw[[#This Row],[Column6]] * IF($E$2="Deployment",deployment_raw[[#This Row],[Column5]],1)),"")</f>
        <v/>
      </c>
      <c r="G805" s="95" t="str">
        <f>IF(ISNUMBER(deployment_raw[[#This Row],[Column7]]), (deployment_raw[[#This Row],[Column7]] * IF($E$2="Deployment",deployment_raw[[#This Row],[Column5]],1))/1048576,"")</f>
        <v/>
      </c>
      <c r="H805" s="95" t="str">
        <f>IF(ISNUMBER(deployment_raw[[#This Row],[Column8]]), (deployment_raw[[#This Row],[Column8]]  * IF($E$2="Deployment",deployment_raw[[#This Row],[Column5]],1)),"")</f>
        <v/>
      </c>
      <c r="I805" s="96" t="str">
        <f>IF(ISNUMBER(deployment_raw[[#This Row],[Column9]]), (deployment_raw[[#This Row],[Column9]] * IF($E$2="Deployment",deployment_raw[[#This Row],[Column5]],1))/1048576,"")</f>
        <v/>
      </c>
      <c r="J805" s="122" t="str">
        <f>IF(ISNUMBER(deployment_raw[[#This Row],[Column10]]), (MIN(IF(N805&lt;&gt;"",N805,9999999999999)*1.1,deployment_raw[[#This Row],[Column10]] * IF($E$2="Deployment",deployment_raw[[#This Row],[Column5]],1))),"")</f>
        <v/>
      </c>
      <c r="K805" s="123" t="str">
        <f>IF(ISNUMBER(deployment_raw[[#This Row],[Column11]]), (MIN(IF(O805&lt;&gt;"",O805,9999999999999)*1.1,deployment_raw[[#This Row],[Column11]] * IF($E$2="Deployment",deployment_raw[[#This Row],[Column5]],1)/1048576)),"")</f>
        <v/>
      </c>
      <c r="L805" s="124" t="str">
        <f>IF(ISNUMBER(deployment_raw[[#This Row],[Column8]]),IF(OR(deployment_raw[[#This Row],[Column5]] &lt;&gt; 0,$E$2 &lt;&gt; "Deployment"), MAX(J805, P805, R805, ($L$2 * IF($E$2="Deployment",deployment_raw[[#This Row],[Column5]],1)),IF(T805&lt;&gt;"",VALUE(T805) * IF($E$2="Deployment",deployment_raw[[#This Row],[Column5]],1),0)), 0),"")</f>
        <v/>
      </c>
      <c r="M805" s="125" t="str">
        <f>IF(ISNUMBER(deployment_raw[[#This Row],[Column9]]),IF(OR(deployment_raw[[#This Row],[Column5]] &lt;&gt; 0,$E$2&lt;&gt;"Deployment"), MAX(K805, Q805, S805, ($M$2 * IF($E$2="Deployment",deployment_raw[[#This Row],[Column5]],1)),IF(U805&lt;&gt;"",VALUE(U805) * IF($E$2="Deployment",deployment_raw[[#This Row],[Column5]],1),0)), 0),"")</f>
        <v/>
      </c>
      <c r="N805" s="166" t="str">
        <f>IF(ISNUMBER(deployment_raw[[#This Row],[Column14]]), deployment_raw[[#This Row],[Column14]]/IF(OR($E$2="Deployment",deployment_raw[[#This Row],[Column5]]=0),1,deployment_raw[[#This Row],[Column5]]),"")</f>
        <v/>
      </c>
      <c r="O805" s="167" t="str">
        <f>IF(ISNUMBER(deployment_raw[[#This Row],[Column15]]), deployment_raw[[#This Row],[Column15]]/IF(OR($E$2="Deployment",deployment_raw[[#This Row],[Column5]]=0),1,deployment_raw[[#This Row],[Column5]])/1048576,"")</f>
        <v/>
      </c>
      <c r="P805" s="168" t="str">
        <f>IF(ISNUMBER(deployment_raw[[#This Row],[Column12]]), (MIN(IF(N805&lt;&gt;"",N805,9999999999999)*1.1,deployment_raw[[#This Row],[Column12]] * IF($E$2="Deployment",deployment_raw[[#This Row],[Column5]],1))*(1+$P$2)),"")</f>
        <v/>
      </c>
      <c r="Q805" s="167" t="str">
        <f>IF(ISNUMBER(deployment_raw[[#This Row],[Column13]]), (MIN(IF(O805&lt;&gt;"",O805,9999999999999)*1.1,deployment_raw[[#This Row],[Column13]] * IF($E$2="Deployment",deployment_raw[[#This Row],[Column5]],1)*(1+$Q$2)/1048576)),"")</f>
        <v/>
      </c>
      <c r="R805" s="169" t="str">
        <f>IF(ISNUMBER(deployment_raw[[#This Row],[Column8]]), (H805  * IF(N805&lt;&gt;0,$R$2,1)),"")</f>
        <v/>
      </c>
      <c r="S805" s="170" t="str">
        <f>IF(ISNUMBER(deployment_raw[[#This Row],[Column8]]), (I805  * IF(O805&lt;&gt;0,$S$2,1)),"")</f>
        <v/>
      </c>
      <c r="T805" s="202" t="str">
        <f>IF(AND(A805&lt;&gt;"",_xlfn.IFNA(MATCH(A805,'dynamic resource application '!$A$2:$A$100, 0),0)&lt;&gt;0), H805/(IF($E$2="Deployment",E805,1)),"")</f>
        <v/>
      </c>
      <c r="U805" s="211" t="str">
        <f>IF(AND(A805&lt;&gt;"",_xlfn.IFNA(MATCH(A805,'dynamic resource application '!$A$2:$A$100, 0),0)&lt;&gt;0), I805/(IF($E$2="Deployment",E805,1)),"")</f>
        <v/>
      </c>
    </row>
    <row r="806" spans="1:21" ht="15.75" customHeight="1" x14ac:dyDescent="0.25">
      <c r="A806" s="35" t="str">
        <f>IF(ISNONTEXT(deployment_raw[[#This Row],[Column1]]), "", deployment_raw[[#This Row],[Column1]])</f>
        <v/>
      </c>
      <c r="B806" s="36" t="str">
        <f>IF(ISNONTEXT(deployment_raw[[#This Row],[Column2]]), "", deployment_raw[[#This Row],[Column2]])</f>
        <v/>
      </c>
      <c r="C806" s="36" t="str">
        <f>IF(ISNONTEXT(deployment_raw[[#This Row],[Column3]]), "", deployment_raw[[#This Row],[Column3]])</f>
        <v/>
      </c>
      <c r="D806" s="36" t="str">
        <f>IF(ISNONTEXT(deployment_raw[[#This Row],[Column4]]), "", deployment_raw[[#This Row],[Column4]])</f>
        <v/>
      </c>
      <c r="E806" s="37" t="str">
        <f>IF(ISNUMBER(deployment_raw[[#This Row],[Column5]]), deployment_raw[[#This Row],[Column5]],"")</f>
        <v/>
      </c>
      <c r="F806" s="94" t="str">
        <f>IF(ISNUMBER(deployment_raw[[#This Row],[Column6]]), (deployment_raw[[#This Row],[Column6]] * IF($E$2="Deployment",deployment_raw[[#This Row],[Column5]],1)),"")</f>
        <v/>
      </c>
      <c r="G806" s="95" t="str">
        <f>IF(ISNUMBER(deployment_raw[[#This Row],[Column7]]), (deployment_raw[[#This Row],[Column7]] * IF($E$2="Deployment",deployment_raw[[#This Row],[Column5]],1))/1048576,"")</f>
        <v/>
      </c>
      <c r="H806" s="95" t="str">
        <f>IF(ISNUMBER(deployment_raw[[#This Row],[Column8]]), (deployment_raw[[#This Row],[Column8]]  * IF($E$2="Deployment",deployment_raw[[#This Row],[Column5]],1)),"")</f>
        <v/>
      </c>
      <c r="I806" s="96" t="str">
        <f>IF(ISNUMBER(deployment_raw[[#This Row],[Column9]]), (deployment_raw[[#This Row],[Column9]] * IF($E$2="Deployment",deployment_raw[[#This Row],[Column5]],1))/1048576,"")</f>
        <v/>
      </c>
      <c r="J806" s="122" t="str">
        <f>IF(ISNUMBER(deployment_raw[[#This Row],[Column10]]), (MIN(IF(N806&lt;&gt;"",N806,9999999999999)*1.1,deployment_raw[[#This Row],[Column10]] * IF($E$2="Deployment",deployment_raw[[#This Row],[Column5]],1))),"")</f>
        <v/>
      </c>
      <c r="K806" s="123" t="str">
        <f>IF(ISNUMBER(deployment_raw[[#This Row],[Column11]]), (MIN(IF(O806&lt;&gt;"",O806,9999999999999)*1.1,deployment_raw[[#This Row],[Column11]] * IF($E$2="Deployment",deployment_raw[[#This Row],[Column5]],1)/1048576)),"")</f>
        <v/>
      </c>
      <c r="L806" s="124" t="str">
        <f>IF(ISNUMBER(deployment_raw[[#This Row],[Column8]]),IF(OR(deployment_raw[[#This Row],[Column5]] &lt;&gt; 0,$E$2 &lt;&gt; "Deployment"), MAX(J806, P806, R806, ($L$2 * IF($E$2="Deployment",deployment_raw[[#This Row],[Column5]],1)),IF(T806&lt;&gt;"",VALUE(T806) * IF($E$2="Deployment",deployment_raw[[#This Row],[Column5]],1),0)), 0),"")</f>
        <v/>
      </c>
      <c r="M806" s="125" t="str">
        <f>IF(ISNUMBER(deployment_raw[[#This Row],[Column9]]),IF(OR(deployment_raw[[#This Row],[Column5]] &lt;&gt; 0,$E$2&lt;&gt;"Deployment"), MAX(K806, Q806, S806, ($M$2 * IF($E$2="Deployment",deployment_raw[[#This Row],[Column5]],1)),IF(U806&lt;&gt;"",VALUE(U806) * IF($E$2="Deployment",deployment_raw[[#This Row],[Column5]],1),0)), 0),"")</f>
        <v/>
      </c>
      <c r="N806" s="166" t="str">
        <f>IF(ISNUMBER(deployment_raw[[#This Row],[Column14]]), deployment_raw[[#This Row],[Column14]]/IF(OR($E$2="Deployment",deployment_raw[[#This Row],[Column5]]=0),1,deployment_raw[[#This Row],[Column5]]),"")</f>
        <v/>
      </c>
      <c r="O806" s="167" t="str">
        <f>IF(ISNUMBER(deployment_raw[[#This Row],[Column15]]), deployment_raw[[#This Row],[Column15]]/IF(OR($E$2="Deployment",deployment_raw[[#This Row],[Column5]]=0),1,deployment_raw[[#This Row],[Column5]])/1048576,"")</f>
        <v/>
      </c>
      <c r="P806" s="168" t="str">
        <f>IF(ISNUMBER(deployment_raw[[#This Row],[Column12]]), (MIN(IF(N806&lt;&gt;"",N806,9999999999999)*1.1,deployment_raw[[#This Row],[Column12]] * IF($E$2="Deployment",deployment_raw[[#This Row],[Column5]],1))*(1+$P$2)),"")</f>
        <v/>
      </c>
      <c r="Q806" s="167" t="str">
        <f>IF(ISNUMBER(deployment_raw[[#This Row],[Column13]]), (MIN(IF(O806&lt;&gt;"",O806,9999999999999)*1.1,deployment_raw[[#This Row],[Column13]] * IF($E$2="Deployment",deployment_raw[[#This Row],[Column5]],1)*(1+$Q$2)/1048576)),"")</f>
        <v/>
      </c>
      <c r="R806" s="169" t="str">
        <f>IF(ISNUMBER(deployment_raw[[#This Row],[Column8]]), (H806  * IF(N806&lt;&gt;0,$R$2,1)),"")</f>
        <v/>
      </c>
      <c r="S806" s="170" t="str">
        <f>IF(ISNUMBER(deployment_raw[[#This Row],[Column8]]), (I806  * IF(O806&lt;&gt;0,$S$2,1)),"")</f>
        <v/>
      </c>
      <c r="T806" s="202" t="str">
        <f>IF(AND(A806&lt;&gt;"",_xlfn.IFNA(MATCH(A806,'dynamic resource application '!$A$2:$A$100, 0),0)&lt;&gt;0), H806/(IF($E$2="Deployment",E806,1)),"")</f>
        <v/>
      </c>
      <c r="U806" s="211" t="str">
        <f>IF(AND(A806&lt;&gt;"",_xlfn.IFNA(MATCH(A806,'dynamic resource application '!$A$2:$A$100, 0),0)&lt;&gt;0), I806/(IF($E$2="Deployment",E806,1)),"")</f>
        <v/>
      </c>
    </row>
    <row r="807" spans="1:21" ht="15.75" customHeight="1" x14ac:dyDescent="0.25">
      <c r="A807" s="35" t="str">
        <f>IF(ISNONTEXT(deployment_raw[[#This Row],[Column1]]), "", deployment_raw[[#This Row],[Column1]])</f>
        <v/>
      </c>
      <c r="B807" s="36" t="str">
        <f>IF(ISNONTEXT(deployment_raw[[#This Row],[Column2]]), "", deployment_raw[[#This Row],[Column2]])</f>
        <v/>
      </c>
      <c r="C807" s="36" t="str">
        <f>IF(ISNONTEXT(deployment_raw[[#This Row],[Column3]]), "", deployment_raw[[#This Row],[Column3]])</f>
        <v/>
      </c>
      <c r="D807" s="36" t="str">
        <f>IF(ISNONTEXT(deployment_raw[[#This Row],[Column4]]), "", deployment_raw[[#This Row],[Column4]])</f>
        <v/>
      </c>
      <c r="E807" s="37" t="str">
        <f>IF(ISNUMBER(deployment_raw[[#This Row],[Column5]]), deployment_raw[[#This Row],[Column5]],"")</f>
        <v/>
      </c>
      <c r="F807" s="94" t="str">
        <f>IF(ISNUMBER(deployment_raw[[#This Row],[Column6]]), (deployment_raw[[#This Row],[Column6]] * IF($E$2="Deployment",deployment_raw[[#This Row],[Column5]],1)),"")</f>
        <v/>
      </c>
      <c r="G807" s="95" t="str">
        <f>IF(ISNUMBER(deployment_raw[[#This Row],[Column7]]), (deployment_raw[[#This Row],[Column7]] * IF($E$2="Deployment",deployment_raw[[#This Row],[Column5]],1))/1048576,"")</f>
        <v/>
      </c>
      <c r="H807" s="95" t="str">
        <f>IF(ISNUMBER(deployment_raw[[#This Row],[Column8]]), (deployment_raw[[#This Row],[Column8]]  * IF($E$2="Deployment",deployment_raw[[#This Row],[Column5]],1)),"")</f>
        <v/>
      </c>
      <c r="I807" s="96" t="str">
        <f>IF(ISNUMBER(deployment_raw[[#This Row],[Column9]]), (deployment_raw[[#This Row],[Column9]] * IF($E$2="Deployment",deployment_raw[[#This Row],[Column5]],1))/1048576,"")</f>
        <v/>
      </c>
      <c r="J807" s="122" t="str">
        <f>IF(ISNUMBER(deployment_raw[[#This Row],[Column10]]), (MIN(IF(N807&lt;&gt;"",N807,9999999999999)*1.1,deployment_raw[[#This Row],[Column10]] * IF($E$2="Deployment",deployment_raw[[#This Row],[Column5]],1))),"")</f>
        <v/>
      </c>
      <c r="K807" s="123" t="str">
        <f>IF(ISNUMBER(deployment_raw[[#This Row],[Column11]]), (MIN(IF(O807&lt;&gt;"",O807,9999999999999)*1.1,deployment_raw[[#This Row],[Column11]] * IF($E$2="Deployment",deployment_raw[[#This Row],[Column5]],1)/1048576)),"")</f>
        <v/>
      </c>
      <c r="L807" s="124" t="str">
        <f>IF(ISNUMBER(deployment_raw[[#This Row],[Column8]]),IF(OR(deployment_raw[[#This Row],[Column5]] &lt;&gt; 0,$E$2 &lt;&gt; "Deployment"), MAX(J807, P807, R807, ($L$2 * IF($E$2="Deployment",deployment_raw[[#This Row],[Column5]],1)),IF(T807&lt;&gt;"",VALUE(T807) * IF($E$2="Deployment",deployment_raw[[#This Row],[Column5]],1),0)), 0),"")</f>
        <v/>
      </c>
      <c r="M807" s="125" t="str">
        <f>IF(ISNUMBER(deployment_raw[[#This Row],[Column9]]),IF(OR(deployment_raw[[#This Row],[Column5]] &lt;&gt; 0,$E$2&lt;&gt;"Deployment"), MAX(K807, Q807, S807, ($M$2 * IF($E$2="Deployment",deployment_raw[[#This Row],[Column5]],1)),IF(U807&lt;&gt;"",VALUE(U807) * IF($E$2="Deployment",deployment_raw[[#This Row],[Column5]],1),0)), 0),"")</f>
        <v/>
      </c>
      <c r="N807" s="166" t="str">
        <f>IF(ISNUMBER(deployment_raw[[#This Row],[Column14]]), deployment_raw[[#This Row],[Column14]]/IF(OR($E$2="Deployment",deployment_raw[[#This Row],[Column5]]=0),1,deployment_raw[[#This Row],[Column5]]),"")</f>
        <v/>
      </c>
      <c r="O807" s="167" t="str">
        <f>IF(ISNUMBER(deployment_raw[[#This Row],[Column15]]), deployment_raw[[#This Row],[Column15]]/IF(OR($E$2="Deployment",deployment_raw[[#This Row],[Column5]]=0),1,deployment_raw[[#This Row],[Column5]])/1048576,"")</f>
        <v/>
      </c>
      <c r="P807" s="168" t="str">
        <f>IF(ISNUMBER(deployment_raw[[#This Row],[Column12]]), (MIN(IF(N807&lt;&gt;"",N807,9999999999999)*1.1,deployment_raw[[#This Row],[Column12]] * IF($E$2="Deployment",deployment_raw[[#This Row],[Column5]],1))*(1+$P$2)),"")</f>
        <v/>
      </c>
      <c r="Q807" s="167" t="str">
        <f>IF(ISNUMBER(deployment_raw[[#This Row],[Column13]]), (MIN(IF(O807&lt;&gt;"",O807,9999999999999)*1.1,deployment_raw[[#This Row],[Column13]] * IF($E$2="Deployment",deployment_raw[[#This Row],[Column5]],1)*(1+$Q$2)/1048576)),"")</f>
        <v/>
      </c>
      <c r="R807" s="169" t="str">
        <f>IF(ISNUMBER(deployment_raw[[#This Row],[Column8]]), (H807  * IF(N807&lt;&gt;0,$R$2,1)),"")</f>
        <v/>
      </c>
      <c r="S807" s="170" t="str">
        <f>IF(ISNUMBER(deployment_raw[[#This Row],[Column8]]), (I807  * IF(O807&lt;&gt;0,$S$2,1)),"")</f>
        <v/>
      </c>
      <c r="T807" s="202" t="str">
        <f>IF(AND(A807&lt;&gt;"",_xlfn.IFNA(MATCH(A807,'dynamic resource application '!$A$2:$A$100, 0),0)&lt;&gt;0), H807/(IF($E$2="Deployment",E807,1)),"")</f>
        <v/>
      </c>
      <c r="U807" s="211" t="str">
        <f>IF(AND(A807&lt;&gt;"",_xlfn.IFNA(MATCH(A807,'dynamic resource application '!$A$2:$A$100, 0),0)&lt;&gt;0), I807/(IF($E$2="Deployment",E807,1)),"")</f>
        <v/>
      </c>
    </row>
    <row r="808" spans="1:21" ht="15.75" customHeight="1" x14ac:dyDescent="0.25">
      <c r="A808" s="35" t="str">
        <f>IF(ISNONTEXT(deployment_raw[[#This Row],[Column1]]), "", deployment_raw[[#This Row],[Column1]])</f>
        <v/>
      </c>
      <c r="B808" s="36" t="str">
        <f>IF(ISNONTEXT(deployment_raw[[#This Row],[Column2]]), "", deployment_raw[[#This Row],[Column2]])</f>
        <v/>
      </c>
      <c r="C808" s="36" t="str">
        <f>IF(ISNONTEXT(deployment_raw[[#This Row],[Column3]]), "", deployment_raw[[#This Row],[Column3]])</f>
        <v/>
      </c>
      <c r="D808" s="36" t="str">
        <f>IF(ISNONTEXT(deployment_raw[[#This Row],[Column4]]), "", deployment_raw[[#This Row],[Column4]])</f>
        <v/>
      </c>
      <c r="E808" s="37" t="str">
        <f>IF(ISNUMBER(deployment_raw[[#This Row],[Column5]]), deployment_raw[[#This Row],[Column5]],"")</f>
        <v/>
      </c>
      <c r="F808" s="94" t="str">
        <f>IF(ISNUMBER(deployment_raw[[#This Row],[Column6]]), (deployment_raw[[#This Row],[Column6]] * IF($E$2="Deployment",deployment_raw[[#This Row],[Column5]],1)),"")</f>
        <v/>
      </c>
      <c r="G808" s="95" t="str">
        <f>IF(ISNUMBER(deployment_raw[[#This Row],[Column7]]), (deployment_raw[[#This Row],[Column7]] * IF($E$2="Deployment",deployment_raw[[#This Row],[Column5]],1))/1048576,"")</f>
        <v/>
      </c>
      <c r="H808" s="95" t="str">
        <f>IF(ISNUMBER(deployment_raw[[#This Row],[Column8]]), (deployment_raw[[#This Row],[Column8]]  * IF($E$2="Deployment",deployment_raw[[#This Row],[Column5]],1)),"")</f>
        <v/>
      </c>
      <c r="I808" s="96" t="str">
        <f>IF(ISNUMBER(deployment_raw[[#This Row],[Column9]]), (deployment_raw[[#This Row],[Column9]] * IF($E$2="Deployment",deployment_raw[[#This Row],[Column5]],1))/1048576,"")</f>
        <v/>
      </c>
      <c r="J808" s="122" t="str">
        <f>IF(ISNUMBER(deployment_raw[[#This Row],[Column10]]), (MIN(IF(N808&lt;&gt;"",N808,9999999999999)*1.1,deployment_raw[[#This Row],[Column10]] * IF($E$2="Deployment",deployment_raw[[#This Row],[Column5]],1))),"")</f>
        <v/>
      </c>
      <c r="K808" s="123" t="str">
        <f>IF(ISNUMBER(deployment_raw[[#This Row],[Column11]]), (MIN(IF(O808&lt;&gt;"",O808,9999999999999)*1.1,deployment_raw[[#This Row],[Column11]] * IF($E$2="Deployment",deployment_raw[[#This Row],[Column5]],1)/1048576)),"")</f>
        <v/>
      </c>
      <c r="L808" s="124" t="str">
        <f>IF(ISNUMBER(deployment_raw[[#This Row],[Column8]]),IF(OR(deployment_raw[[#This Row],[Column5]] &lt;&gt; 0,$E$2 &lt;&gt; "Deployment"), MAX(J808, P808, R808, ($L$2 * IF($E$2="Deployment",deployment_raw[[#This Row],[Column5]],1)),IF(T808&lt;&gt;"",VALUE(T808) * IF($E$2="Deployment",deployment_raw[[#This Row],[Column5]],1),0)), 0),"")</f>
        <v/>
      </c>
      <c r="M808" s="125" t="str">
        <f>IF(ISNUMBER(deployment_raw[[#This Row],[Column9]]),IF(OR(deployment_raw[[#This Row],[Column5]] &lt;&gt; 0,$E$2&lt;&gt;"Deployment"), MAX(K808, Q808, S808, ($M$2 * IF($E$2="Deployment",deployment_raw[[#This Row],[Column5]],1)),IF(U808&lt;&gt;"",VALUE(U808) * IF($E$2="Deployment",deployment_raw[[#This Row],[Column5]],1),0)), 0),"")</f>
        <v/>
      </c>
      <c r="N808" s="166" t="str">
        <f>IF(ISNUMBER(deployment_raw[[#This Row],[Column14]]), deployment_raw[[#This Row],[Column14]]/IF(OR($E$2="Deployment",deployment_raw[[#This Row],[Column5]]=0),1,deployment_raw[[#This Row],[Column5]]),"")</f>
        <v/>
      </c>
      <c r="O808" s="167" t="str">
        <f>IF(ISNUMBER(deployment_raw[[#This Row],[Column15]]), deployment_raw[[#This Row],[Column15]]/IF(OR($E$2="Deployment",deployment_raw[[#This Row],[Column5]]=0),1,deployment_raw[[#This Row],[Column5]])/1048576,"")</f>
        <v/>
      </c>
      <c r="P808" s="168" t="str">
        <f>IF(ISNUMBER(deployment_raw[[#This Row],[Column12]]), (MIN(IF(N808&lt;&gt;"",N808,9999999999999)*1.1,deployment_raw[[#This Row],[Column12]] * IF($E$2="Deployment",deployment_raw[[#This Row],[Column5]],1))*(1+$P$2)),"")</f>
        <v/>
      </c>
      <c r="Q808" s="167" t="str">
        <f>IF(ISNUMBER(deployment_raw[[#This Row],[Column13]]), (MIN(IF(O808&lt;&gt;"",O808,9999999999999)*1.1,deployment_raw[[#This Row],[Column13]] * IF($E$2="Deployment",deployment_raw[[#This Row],[Column5]],1)*(1+$Q$2)/1048576)),"")</f>
        <v/>
      </c>
      <c r="R808" s="169" t="str">
        <f>IF(ISNUMBER(deployment_raw[[#This Row],[Column8]]), (H808  * IF(N808&lt;&gt;0,$R$2,1)),"")</f>
        <v/>
      </c>
      <c r="S808" s="170" t="str">
        <f>IF(ISNUMBER(deployment_raw[[#This Row],[Column8]]), (I808  * IF(O808&lt;&gt;0,$S$2,1)),"")</f>
        <v/>
      </c>
      <c r="T808" s="202" t="str">
        <f>IF(AND(A808&lt;&gt;"",_xlfn.IFNA(MATCH(A808,'dynamic resource application '!$A$2:$A$100, 0),0)&lt;&gt;0), H808/(IF($E$2="Deployment",E808,1)),"")</f>
        <v/>
      </c>
      <c r="U808" s="211" t="str">
        <f>IF(AND(A808&lt;&gt;"",_xlfn.IFNA(MATCH(A808,'dynamic resource application '!$A$2:$A$100, 0),0)&lt;&gt;0), I808/(IF($E$2="Deployment",E808,1)),"")</f>
        <v/>
      </c>
    </row>
    <row r="809" spans="1:21" ht="15.75" customHeight="1" x14ac:dyDescent="0.25">
      <c r="A809" s="35" t="str">
        <f>IF(ISNONTEXT(deployment_raw[[#This Row],[Column1]]), "", deployment_raw[[#This Row],[Column1]])</f>
        <v/>
      </c>
      <c r="B809" s="36" t="str">
        <f>IF(ISNONTEXT(deployment_raw[[#This Row],[Column2]]), "", deployment_raw[[#This Row],[Column2]])</f>
        <v/>
      </c>
      <c r="C809" s="36" t="str">
        <f>IF(ISNONTEXT(deployment_raw[[#This Row],[Column3]]), "", deployment_raw[[#This Row],[Column3]])</f>
        <v/>
      </c>
      <c r="D809" s="36" t="str">
        <f>IF(ISNONTEXT(deployment_raw[[#This Row],[Column4]]), "", deployment_raw[[#This Row],[Column4]])</f>
        <v/>
      </c>
      <c r="E809" s="37" t="str">
        <f>IF(ISNUMBER(deployment_raw[[#This Row],[Column5]]), deployment_raw[[#This Row],[Column5]],"")</f>
        <v/>
      </c>
      <c r="F809" s="94" t="str">
        <f>IF(ISNUMBER(deployment_raw[[#This Row],[Column6]]), (deployment_raw[[#This Row],[Column6]] * IF($E$2="Deployment",deployment_raw[[#This Row],[Column5]],1)),"")</f>
        <v/>
      </c>
      <c r="G809" s="95" t="str">
        <f>IF(ISNUMBER(deployment_raw[[#This Row],[Column7]]), (deployment_raw[[#This Row],[Column7]] * IF($E$2="Deployment",deployment_raw[[#This Row],[Column5]],1))/1048576,"")</f>
        <v/>
      </c>
      <c r="H809" s="95" t="str">
        <f>IF(ISNUMBER(deployment_raw[[#This Row],[Column8]]), (deployment_raw[[#This Row],[Column8]]  * IF($E$2="Deployment",deployment_raw[[#This Row],[Column5]],1)),"")</f>
        <v/>
      </c>
      <c r="I809" s="96" t="str">
        <f>IF(ISNUMBER(deployment_raw[[#This Row],[Column9]]), (deployment_raw[[#This Row],[Column9]] * IF($E$2="Deployment",deployment_raw[[#This Row],[Column5]],1))/1048576,"")</f>
        <v/>
      </c>
      <c r="J809" s="122" t="str">
        <f>IF(ISNUMBER(deployment_raw[[#This Row],[Column10]]), (MIN(IF(N809&lt;&gt;"",N809,9999999999999)*1.1,deployment_raw[[#This Row],[Column10]] * IF($E$2="Deployment",deployment_raw[[#This Row],[Column5]],1))),"")</f>
        <v/>
      </c>
      <c r="K809" s="123" t="str">
        <f>IF(ISNUMBER(deployment_raw[[#This Row],[Column11]]), (MIN(IF(O809&lt;&gt;"",O809,9999999999999)*1.1,deployment_raw[[#This Row],[Column11]] * IF($E$2="Deployment",deployment_raw[[#This Row],[Column5]],1)/1048576)),"")</f>
        <v/>
      </c>
      <c r="L809" s="124" t="str">
        <f>IF(ISNUMBER(deployment_raw[[#This Row],[Column8]]),IF(OR(deployment_raw[[#This Row],[Column5]] &lt;&gt; 0,$E$2 &lt;&gt; "Deployment"), MAX(J809, P809, R809, ($L$2 * IF($E$2="Deployment",deployment_raw[[#This Row],[Column5]],1)),IF(T809&lt;&gt;"",VALUE(T809) * IF($E$2="Deployment",deployment_raw[[#This Row],[Column5]],1),0)), 0),"")</f>
        <v/>
      </c>
      <c r="M809" s="125" t="str">
        <f>IF(ISNUMBER(deployment_raw[[#This Row],[Column9]]),IF(OR(deployment_raw[[#This Row],[Column5]] &lt;&gt; 0,$E$2&lt;&gt;"Deployment"), MAX(K809, Q809, S809, ($M$2 * IF($E$2="Deployment",deployment_raw[[#This Row],[Column5]],1)),IF(U809&lt;&gt;"",VALUE(U809) * IF($E$2="Deployment",deployment_raw[[#This Row],[Column5]],1),0)), 0),"")</f>
        <v/>
      </c>
      <c r="N809" s="166" t="str">
        <f>IF(ISNUMBER(deployment_raw[[#This Row],[Column14]]), deployment_raw[[#This Row],[Column14]]/IF(OR($E$2="Deployment",deployment_raw[[#This Row],[Column5]]=0),1,deployment_raw[[#This Row],[Column5]]),"")</f>
        <v/>
      </c>
      <c r="O809" s="167" t="str">
        <f>IF(ISNUMBER(deployment_raw[[#This Row],[Column15]]), deployment_raw[[#This Row],[Column15]]/IF(OR($E$2="Deployment",deployment_raw[[#This Row],[Column5]]=0),1,deployment_raw[[#This Row],[Column5]])/1048576,"")</f>
        <v/>
      </c>
      <c r="P809" s="168" t="str">
        <f>IF(ISNUMBER(deployment_raw[[#This Row],[Column12]]), (MIN(IF(N809&lt;&gt;"",N809,9999999999999)*1.1,deployment_raw[[#This Row],[Column12]] * IF($E$2="Deployment",deployment_raw[[#This Row],[Column5]],1))*(1+$P$2)),"")</f>
        <v/>
      </c>
      <c r="Q809" s="167" t="str">
        <f>IF(ISNUMBER(deployment_raw[[#This Row],[Column13]]), (MIN(IF(O809&lt;&gt;"",O809,9999999999999)*1.1,deployment_raw[[#This Row],[Column13]] * IF($E$2="Deployment",deployment_raw[[#This Row],[Column5]],1)*(1+$Q$2)/1048576)),"")</f>
        <v/>
      </c>
      <c r="R809" s="169" t="str">
        <f>IF(ISNUMBER(deployment_raw[[#This Row],[Column8]]), (H809  * IF(N809&lt;&gt;0,$R$2,1)),"")</f>
        <v/>
      </c>
      <c r="S809" s="170" t="str">
        <f>IF(ISNUMBER(deployment_raw[[#This Row],[Column8]]), (I809  * IF(O809&lt;&gt;0,$S$2,1)),"")</f>
        <v/>
      </c>
      <c r="T809" s="202" t="str">
        <f>IF(AND(A809&lt;&gt;"",_xlfn.IFNA(MATCH(A809,'dynamic resource application '!$A$2:$A$100, 0),0)&lt;&gt;0), H809/(IF($E$2="Deployment",E809,1)),"")</f>
        <v/>
      </c>
      <c r="U809" s="211" t="str">
        <f>IF(AND(A809&lt;&gt;"",_xlfn.IFNA(MATCH(A809,'dynamic resource application '!$A$2:$A$100, 0),0)&lt;&gt;0), I809/(IF($E$2="Deployment",E809,1)),"")</f>
        <v/>
      </c>
    </row>
    <row r="810" spans="1:21" ht="15.75" customHeight="1" x14ac:dyDescent="0.25">
      <c r="A810" s="35" t="str">
        <f>IF(ISNONTEXT(deployment_raw[[#This Row],[Column1]]), "", deployment_raw[[#This Row],[Column1]])</f>
        <v/>
      </c>
      <c r="B810" s="36" t="str">
        <f>IF(ISNONTEXT(deployment_raw[[#This Row],[Column2]]), "", deployment_raw[[#This Row],[Column2]])</f>
        <v/>
      </c>
      <c r="C810" s="36" t="str">
        <f>IF(ISNONTEXT(deployment_raw[[#This Row],[Column3]]), "", deployment_raw[[#This Row],[Column3]])</f>
        <v/>
      </c>
      <c r="D810" s="36" t="str">
        <f>IF(ISNONTEXT(deployment_raw[[#This Row],[Column4]]), "", deployment_raw[[#This Row],[Column4]])</f>
        <v/>
      </c>
      <c r="E810" s="37" t="str">
        <f>IF(ISNUMBER(deployment_raw[[#This Row],[Column5]]), deployment_raw[[#This Row],[Column5]],"")</f>
        <v/>
      </c>
      <c r="F810" s="94" t="str">
        <f>IF(ISNUMBER(deployment_raw[[#This Row],[Column6]]), (deployment_raw[[#This Row],[Column6]] * IF($E$2="Deployment",deployment_raw[[#This Row],[Column5]],1)),"")</f>
        <v/>
      </c>
      <c r="G810" s="95" t="str">
        <f>IF(ISNUMBER(deployment_raw[[#This Row],[Column7]]), (deployment_raw[[#This Row],[Column7]] * IF($E$2="Deployment",deployment_raw[[#This Row],[Column5]],1))/1048576,"")</f>
        <v/>
      </c>
      <c r="H810" s="95" t="str">
        <f>IF(ISNUMBER(deployment_raw[[#This Row],[Column8]]), (deployment_raw[[#This Row],[Column8]]  * IF($E$2="Deployment",deployment_raw[[#This Row],[Column5]],1)),"")</f>
        <v/>
      </c>
      <c r="I810" s="96" t="str">
        <f>IF(ISNUMBER(deployment_raw[[#This Row],[Column9]]), (deployment_raw[[#This Row],[Column9]] * IF($E$2="Deployment",deployment_raw[[#This Row],[Column5]],1))/1048576,"")</f>
        <v/>
      </c>
      <c r="J810" s="122" t="str">
        <f>IF(ISNUMBER(deployment_raw[[#This Row],[Column10]]), (MIN(IF(N810&lt;&gt;"",N810,9999999999999)*1.1,deployment_raw[[#This Row],[Column10]] * IF($E$2="Deployment",deployment_raw[[#This Row],[Column5]],1))),"")</f>
        <v/>
      </c>
      <c r="K810" s="123" t="str">
        <f>IF(ISNUMBER(deployment_raw[[#This Row],[Column11]]), (MIN(IF(O810&lt;&gt;"",O810,9999999999999)*1.1,deployment_raw[[#This Row],[Column11]] * IF($E$2="Deployment",deployment_raw[[#This Row],[Column5]],1)/1048576)),"")</f>
        <v/>
      </c>
      <c r="L810" s="124" t="str">
        <f>IF(ISNUMBER(deployment_raw[[#This Row],[Column8]]),IF(OR(deployment_raw[[#This Row],[Column5]] &lt;&gt; 0,$E$2 &lt;&gt; "Deployment"), MAX(J810, P810, R810, ($L$2 * IF($E$2="Deployment",deployment_raw[[#This Row],[Column5]],1)),IF(T810&lt;&gt;"",VALUE(T810) * IF($E$2="Deployment",deployment_raw[[#This Row],[Column5]],1),0)), 0),"")</f>
        <v/>
      </c>
      <c r="M810" s="125" t="str">
        <f>IF(ISNUMBER(deployment_raw[[#This Row],[Column9]]),IF(OR(deployment_raw[[#This Row],[Column5]] &lt;&gt; 0,$E$2&lt;&gt;"Deployment"), MAX(K810, Q810, S810, ($M$2 * IF($E$2="Deployment",deployment_raw[[#This Row],[Column5]],1)),IF(U810&lt;&gt;"",VALUE(U810) * IF($E$2="Deployment",deployment_raw[[#This Row],[Column5]],1),0)), 0),"")</f>
        <v/>
      </c>
      <c r="N810" s="166" t="str">
        <f>IF(ISNUMBER(deployment_raw[[#This Row],[Column14]]), deployment_raw[[#This Row],[Column14]]/IF(OR($E$2="Deployment",deployment_raw[[#This Row],[Column5]]=0),1,deployment_raw[[#This Row],[Column5]]),"")</f>
        <v/>
      </c>
      <c r="O810" s="167" t="str">
        <f>IF(ISNUMBER(deployment_raw[[#This Row],[Column15]]), deployment_raw[[#This Row],[Column15]]/IF(OR($E$2="Deployment",deployment_raw[[#This Row],[Column5]]=0),1,deployment_raw[[#This Row],[Column5]])/1048576,"")</f>
        <v/>
      </c>
      <c r="P810" s="168" t="str">
        <f>IF(ISNUMBER(deployment_raw[[#This Row],[Column12]]), (MIN(IF(N810&lt;&gt;"",N810,9999999999999)*1.1,deployment_raw[[#This Row],[Column12]] * IF($E$2="Deployment",deployment_raw[[#This Row],[Column5]],1))*(1+$P$2)),"")</f>
        <v/>
      </c>
      <c r="Q810" s="167" t="str">
        <f>IF(ISNUMBER(deployment_raw[[#This Row],[Column13]]), (MIN(IF(O810&lt;&gt;"",O810,9999999999999)*1.1,deployment_raw[[#This Row],[Column13]] * IF($E$2="Deployment",deployment_raw[[#This Row],[Column5]],1)*(1+$Q$2)/1048576)),"")</f>
        <v/>
      </c>
      <c r="R810" s="169" t="str">
        <f>IF(ISNUMBER(deployment_raw[[#This Row],[Column8]]), (H810  * IF(N810&lt;&gt;0,$R$2,1)),"")</f>
        <v/>
      </c>
      <c r="S810" s="170" t="str">
        <f>IF(ISNUMBER(deployment_raw[[#This Row],[Column8]]), (I810  * IF(O810&lt;&gt;0,$S$2,1)),"")</f>
        <v/>
      </c>
      <c r="T810" s="202" t="str">
        <f>IF(AND(A810&lt;&gt;"",_xlfn.IFNA(MATCH(A810,'dynamic resource application '!$A$2:$A$100, 0),0)&lt;&gt;0), H810/(IF($E$2="Deployment",E810,1)),"")</f>
        <v/>
      </c>
      <c r="U810" s="211" t="str">
        <f>IF(AND(A810&lt;&gt;"",_xlfn.IFNA(MATCH(A810,'dynamic resource application '!$A$2:$A$100, 0),0)&lt;&gt;0), I810/(IF($E$2="Deployment",E810,1)),"")</f>
        <v/>
      </c>
    </row>
    <row r="811" spans="1:21" ht="15.75" customHeight="1" x14ac:dyDescent="0.25">
      <c r="A811" s="35" t="str">
        <f>IF(ISNONTEXT(deployment_raw[[#This Row],[Column1]]), "", deployment_raw[[#This Row],[Column1]])</f>
        <v/>
      </c>
      <c r="B811" s="36" t="str">
        <f>IF(ISNONTEXT(deployment_raw[[#This Row],[Column2]]), "", deployment_raw[[#This Row],[Column2]])</f>
        <v/>
      </c>
      <c r="C811" s="36" t="str">
        <f>IF(ISNONTEXT(deployment_raw[[#This Row],[Column3]]), "", deployment_raw[[#This Row],[Column3]])</f>
        <v/>
      </c>
      <c r="D811" s="36" t="str">
        <f>IF(ISNONTEXT(deployment_raw[[#This Row],[Column4]]), "", deployment_raw[[#This Row],[Column4]])</f>
        <v/>
      </c>
      <c r="E811" s="37" t="str">
        <f>IF(ISNUMBER(deployment_raw[[#This Row],[Column5]]), deployment_raw[[#This Row],[Column5]],"")</f>
        <v/>
      </c>
      <c r="F811" s="94" t="str">
        <f>IF(ISNUMBER(deployment_raw[[#This Row],[Column6]]), (deployment_raw[[#This Row],[Column6]] * IF($E$2="Deployment",deployment_raw[[#This Row],[Column5]],1)),"")</f>
        <v/>
      </c>
      <c r="G811" s="95" t="str">
        <f>IF(ISNUMBER(deployment_raw[[#This Row],[Column7]]), (deployment_raw[[#This Row],[Column7]] * IF($E$2="Deployment",deployment_raw[[#This Row],[Column5]],1))/1048576,"")</f>
        <v/>
      </c>
      <c r="H811" s="95" t="str">
        <f>IF(ISNUMBER(deployment_raw[[#This Row],[Column8]]), (deployment_raw[[#This Row],[Column8]]  * IF($E$2="Deployment",deployment_raw[[#This Row],[Column5]],1)),"")</f>
        <v/>
      </c>
      <c r="I811" s="96" t="str">
        <f>IF(ISNUMBER(deployment_raw[[#This Row],[Column9]]), (deployment_raw[[#This Row],[Column9]] * IF($E$2="Deployment",deployment_raw[[#This Row],[Column5]],1))/1048576,"")</f>
        <v/>
      </c>
      <c r="J811" s="122" t="str">
        <f>IF(ISNUMBER(deployment_raw[[#This Row],[Column10]]), (MIN(IF(N811&lt;&gt;"",N811,9999999999999)*1.1,deployment_raw[[#This Row],[Column10]] * IF($E$2="Deployment",deployment_raw[[#This Row],[Column5]],1))),"")</f>
        <v/>
      </c>
      <c r="K811" s="123" t="str">
        <f>IF(ISNUMBER(deployment_raw[[#This Row],[Column11]]), (MIN(IF(O811&lt;&gt;"",O811,9999999999999)*1.1,deployment_raw[[#This Row],[Column11]] * IF($E$2="Deployment",deployment_raw[[#This Row],[Column5]],1)/1048576)),"")</f>
        <v/>
      </c>
      <c r="L811" s="124" t="str">
        <f>IF(ISNUMBER(deployment_raw[[#This Row],[Column8]]),IF(OR(deployment_raw[[#This Row],[Column5]] &lt;&gt; 0,$E$2 &lt;&gt; "Deployment"), MAX(J811, P811, R811, ($L$2 * IF($E$2="Deployment",deployment_raw[[#This Row],[Column5]],1)),IF(T811&lt;&gt;"",VALUE(T811) * IF($E$2="Deployment",deployment_raw[[#This Row],[Column5]],1),0)), 0),"")</f>
        <v/>
      </c>
      <c r="M811" s="125" t="str">
        <f>IF(ISNUMBER(deployment_raw[[#This Row],[Column9]]),IF(OR(deployment_raw[[#This Row],[Column5]] &lt;&gt; 0,$E$2&lt;&gt;"Deployment"), MAX(K811, Q811, S811, ($M$2 * IF($E$2="Deployment",deployment_raw[[#This Row],[Column5]],1)),IF(U811&lt;&gt;"",VALUE(U811) * IF($E$2="Deployment",deployment_raw[[#This Row],[Column5]],1),0)), 0),"")</f>
        <v/>
      </c>
      <c r="N811" s="166" t="str">
        <f>IF(ISNUMBER(deployment_raw[[#This Row],[Column14]]), deployment_raw[[#This Row],[Column14]]/IF(OR($E$2="Deployment",deployment_raw[[#This Row],[Column5]]=0),1,deployment_raw[[#This Row],[Column5]]),"")</f>
        <v/>
      </c>
      <c r="O811" s="167" t="str">
        <f>IF(ISNUMBER(deployment_raw[[#This Row],[Column15]]), deployment_raw[[#This Row],[Column15]]/IF(OR($E$2="Deployment",deployment_raw[[#This Row],[Column5]]=0),1,deployment_raw[[#This Row],[Column5]])/1048576,"")</f>
        <v/>
      </c>
      <c r="P811" s="168" t="str">
        <f>IF(ISNUMBER(deployment_raw[[#This Row],[Column12]]), (MIN(IF(N811&lt;&gt;"",N811,9999999999999)*1.1,deployment_raw[[#This Row],[Column12]] * IF($E$2="Deployment",deployment_raw[[#This Row],[Column5]],1))*(1+$P$2)),"")</f>
        <v/>
      </c>
      <c r="Q811" s="167" t="str">
        <f>IF(ISNUMBER(deployment_raw[[#This Row],[Column13]]), (MIN(IF(O811&lt;&gt;"",O811,9999999999999)*1.1,deployment_raw[[#This Row],[Column13]] * IF($E$2="Deployment",deployment_raw[[#This Row],[Column5]],1)*(1+$Q$2)/1048576)),"")</f>
        <v/>
      </c>
      <c r="R811" s="169" t="str">
        <f>IF(ISNUMBER(deployment_raw[[#This Row],[Column8]]), (H811  * IF(N811&lt;&gt;0,$R$2,1)),"")</f>
        <v/>
      </c>
      <c r="S811" s="170" t="str">
        <f>IF(ISNUMBER(deployment_raw[[#This Row],[Column8]]), (I811  * IF(O811&lt;&gt;0,$S$2,1)),"")</f>
        <v/>
      </c>
      <c r="T811" s="202" t="str">
        <f>IF(AND(A811&lt;&gt;"",_xlfn.IFNA(MATCH(A811,'dynamic resource application '!$A$2:$A$100, 0),0)&lt;&gt;0), H811/(IF($E$2="Deployment",E811,1)),"")</f>
        <v/>
      </c>
      <c r="U811" s="211" t="str">
        <f>IF(AND(A811&lt;&gt;"",_xlfn.IFNA(MATCH(A811,'dynamic resource application '!$A$2:$A$100, 0),0)&lt;&gt;0), I811/(IF($E$2="Deployment",E811,1)),"")</f>
        <v/>
      </c>
    </row>
    <row r="812" spans="1:21" ht="15.75" customHeight="1" x14ac:dyDescent="0.25">
      <c r="A812" s="35" t="str">
        <f>IF(ISNONTEXT(deployment_raw[[#This Row],[Column1]]), "", deployment_raw[[#This Row],[Column1]])</f>
        <v/>
      </c>
      <c r="B812" s="36" t="str">
        <f>IF(ISNONTEXT(deployment_raw[[#This Row],[Column2]]), "", deployment_raw[[#This Row],[Column2]])</f>
        <v/>
      </c>
      <c r="C812" s="36" t="str">
        <f>IF(ISNONTEXT(deployment_raw[[#This Row],[Column3]]), "", deployment_raw[[#This Row],[Column3]])</f>
        <v/>
      </c>
      <c r="D812" s="36" t="str">
        <f>IF(ISNONTEXT(deployment_raw[[#This Row],[Column4]]), "", deployment_raw[[#This Row],[Column4]])</f>
        <v/>
      </c>
      <c r="E812" s="37" t="str">
        <f>IF(ISNUMBER(deployment_raw[[#This Row],[Column5]]), deployment_raw[[#This Row],[Column5]],"")</f>
        <v/>
      </c>
      <c r="F812" s="94" t="str">
        <f>IF(ISNUMBER(deployment_raw[[#This Row],[Column6]]), (deployment_raw[[#This Row],[Column6]] * IF($E$2="Deployment",deployment_raw[[#This Row],[Column5]],1)),"")</f>
        <v/>
      </c>
      <c r="G812" s="95" t="str">
        <f>IF(ISNUMBER(deployment_raw[[#This Row],[Column7]]), (deployment_raw[[#This Row],[Column7]] * IF($E$2="Deployment",deployment_raw[[#This Row],[Column5]],1))/1048576,"")</f>
        <v/>
      </c>
      <c r="H812" s="95" t="str">
        <f>IF(ISNUMBER(deployment_raw[[#This Row],[Column8]]), (deployment_raw[[#This Row],[Column8]]  * IF($E$2="Deployment",deployment_raw[[#This Row],[Column5]],1)),"")</f>
        <v/>
      </c>
      <c r="I812" s="96" t="str">
        <f>IF(ISNUMBER(deployment_raw[[#This Row],[Column9]]), (deployment_raw[[#This Row],[Column9]] * IF($E$2="Deployment",deployment_raw[[#This Row],[Column5]],1))/1048576,"")</f>
        <v/>
      </c>
      <c r="J812" s="122" t="str">
        <f>IF(ISNUMBER(deployment_raw[[#This Row],[Column10]]), (MIN(IF(N812&lt;&gt;"",N812,9999999999999)*1.1,deployment_raw[[#This Row],[Column10]] * IF($E$2="Deployment",deployment_raw[[#This Row],[Column5]],1))),"")</f>
        <v/>
      </c>
      <c r="K812" s="123" t="str">
        <f>IF(ISNUMBER(deployment_raw[[#This Row],[Column11]]), (MIN(IF(O812&lt;&gt;"",O812,9999999999999)*1.1,deployment_raw[[#This Row],[Column11]] * IF($E$2="Deployment",deployment_raw[[#This Row],[Column5]],1)/1048576)),"")</f>
        <v/>
      </c>
      <c r="L812" s="124" t="str">
        <f>IF(ISNUMBER(deployment_raw[[#This Row],[Column8]]),IF(OR(deployment_raw[[#This Row],[Column5]] &lt;&gt; 0,$E$2 &lt;&gt; "Deployment"), MAX(J812, P812, R812, ($L$2 * IF($E$2="Deployment",deployment_raw[[#This Row],[Column5]],1)),IF(T812&lt;&gt;"",VALUE(T812) * IF($E$2="Deployment",deployment_raw[[#This Row],[Column5]],1),0)), 0),"")</f>
        <v/>
      </c>
      <c r="M812" s="125" t="str">
        <f>IF(ISNUMBER(deployment_raw[[#This Row],[Column9]]),IF(OR(deployment_raw[[#This Row],[Column5]] &lt;&gt; 0,$E$2&lt;&gt;"Deployment"), MAX(K812, Q812, S812, ($M$2 * IF($E$2="Deployment",deployment_raw[[#This Row],[Column5]],1)),IF(U812&lt;&gt;"",VALUE(U812) * IF($E$2="Deployment",deployment_raw[[#This Row],[Column5]],1),0)), 0),"")</f>
        <v/>
      </c>
      <c r="N812" s="166" t="str">
        <f>IF(ISNUMBER(deployment_raw[[#This Row],[Column14]]), deployment_raw[[#This Row],[Column14]]/IF(OR($E$2="Deployment",deployment_raw[[#This Row],[Column5]]=0),1,deployment_raw[[#This Row],[Column5]]),"")</f>
        <v/>
      </c>
      <c r="O812" s="167" t="str">
        <f>IF(ISNUMBER(deployment_raw[[#This Row],[Column15]]), deployment_raw[[#This Row],[Column15]]/IF(OR($E$2="Deployment",deployment_raw[[#This Row],[Column5]]=0),1,deployment_raw[[#This Row],[Column5]])/1048576,"")</f>
        <v/>
      </c>
      <c r="P812" s="168" t="str">
        <f>IF(ISNUMBER(deployment_raw[[#This Row],[Column12]]), (MIN(IF(N812&lt;&gt;"",N812,9999999999999)*1.1,deployment_raw[[#This Row],[Column12]] * IF($E$2="Deployment",deployment_raw[[#This Row],[Column5]],1))*(1+$P$2)),"")</f>
        <v/>
      </c>
      <c r="Q812" s="167" t="str">
        <f>IF(ISNUMBER(deployment_raw[[#This Row],[Column13]]), (MIN(IF(O812&lt;&gt;"",O812,9999999999999)*1.1,deployment_raw[[#This Row],[Column13]] * IF($E$2="Deployment",deployment_raw[[#This Row],[Column5]],1)*(1+$Q$2)/1048576)),"")</f>
        <v/>
      </c>
      <c r="R812" s="169" t="str">
        <f>IF(ISNUMBER(deployment_raw[[#This Row],[Column8]]), (H812  * IF(N812&lt;&gt;0,$R$2,1)),"")</f>
        <v/>
      </c>
      <c r="S812" s="170" t="str">
        <f>IF(ISNUMBER(deployment_raw[[#This Row],[Column8]]), (I812  * IF(O812&lt;&gt;0,$S$2,1)),"")</f>
        <v/>
      </c>
      <c r="T812" s="202" t="str">
        <f>IF(AND(A812&lt;&gt;"",_xlfn.IFNA(MATCH(A812,'dynamic resource application '!$A$2:$A$100, 0),0)&lt;&gt;0), H812/(IF($E$2="Deployment",E812,1)),"")</f>
        <v/>
      </c>
      <c r="U812" s="211" t="str">
        <f>IF(AND(A812&lt;&gt;"",_xlfn.IFNA(MATCH(A812,'dynamic resource application '!$A$2:$A$100, 0),0)&lt;&gt;0), I812/(IF($E$2="Deployment",E812,1)),"")</f>
        <v/>
      </c>
    </row>
    <row r="813" spans="1:21" ht="15.75" customHeight="1" x14ac:dyDescent="0.25">
      <c r="A813" s="35" t="str">
        <f>IF(ISNONTEXT(deployment_raw[[#This Row],[Column1]]), "", deployment_raw[[#This Row],[Column1]])</f>
        <v/>
      </c>
      <c r="B813" s="36" t="str">
        <f>IF(ISNONTEXT(deployment_raw[[#This Row],[Column2]]), "", deployment_raw[[#This Row],[Column2]])</f>
        <v/>
      </c>
      <c r="C813" s="36" t="str">
        <f>IF(ISNONTEXT(deployment_raw[[#This Row],[Column3]]), "", deployment_raw[[#This Row],[Column3]])</f>
        <v/>
      </c>
      <c r="D813" s="36" t="str">
        <f>IF(ISNONTEXT(deployment_raw[[#This Row],[Column4]]), "", deployment_raw[[#This Row],[Column4]])</f>
        <v/>
      </c>
      <c r="E813" s="37" t="str">
        <f>IF(ISNUMBER(deployment_raw[[#This Row],[Column5]]), deployment_raw[[#This Row],[Column5]],"")</f>
        <v/>
      </c>
      <c r="F813" s="94" t="str">
        <f>IF(ISNUMBER(deployment_raw[[#This Row],[Column6]]), (deployment_raw[[#This Row],[Column6]] * IF($E$2="Deployment",deployment_raw[[#This Row],[Column5]],1)),"")</f>
        <v/>
      </c>
      <c r="G813" s="95" t="str">
        <f>IF(ISNUMBER(deployment_raw[[#This Row],[Column7]]), (deployment_raw[[#This Row],[Column7]] * IF($E$2="Deployment",deployment_raw[[#This Row],[Column5]],1))/1048576,"")</f>
        <v/>
      </c>
      <c r="H813" s="95" t="str">
        <f>IF(ISNUMBER(deployment_raw[[#This Row],[Column8]]), (deployment_raw[[#This Row],[Column8]]  * IF($E$2="Deployment",deployment_raw[[#This Row],[Column5]],1)),"")</f>
        <v/>
      </c>
      <c r="I813" s="96" t="str">
        <f>IF(ISNUMBER(deployment_raw[[#This Row],[Column9]]), (deployment_raw[[#This Row],[Column9]] * IF($E$2="Deployment",deployment_raw[[#This Row],[Column5]],1))/1048576,"")</f>
        <v/>
      </c>
      <c r="J813" s="122" t="str">
        <f>IF(ISNUMBER(deployment_raw[[#This Row],[Column10]]), (MIN(IF(N813&lt;&gt;"",N813,9999999999999)*1.1,deployment_raw[[#This Row],[Column10]] * IF($E$2="Deployment",deployment_raw[[#This Row],[Column5]],1))),"")</f>
        <v/>
      </c>
      <c r="K813" s="123" t="str">
        <f>IF(ISNUMBER(deployment_raw[[#This Row],[Column11]]), (MIN(IF(O813&lt;&gt;"",O813,9999999999999)*1.1,deployment_raw[[#This Row],[Column11]] * IF($E$2="Deployment",deployment_raw[[#This Row],[Column5]],1)/1048576)),"")</f>
        <v/>
      </c>
      <c r="L813" s="124" t="str">
        <f>IF(ISNUMBER(deployment_raw[[#This Row],[Column8]]),IF(OR(deployment_raw[[#This Row],[Column5]] &lt;&gt; 0,$E$2 &lt;&gt; "Deployment"), MAX(J813, P813, R813, ($L$2 * IF($E$2="Deployment",deployment_raw[[#This Row],[Column5]],1)),IF(T813&lt;&gt;"",VALUE(T813) * IF($E$2="Deployment",deployment_raw[[#This Row],[Column5]],1),0)), 0),"")</f>
        <v/>
      </c>
      <c r="M813" s="125" t="str">
        <f>IF(ISNUMBER(deployment_raw[[#This Row],[Column9]]),IF(OR(deployment_raw[[#This Row],[Column5]] &lt;&gt; 0,$E$2&lt;&gt;"Deployment"), MAX(K813, Q813, S813, ($M$2 * IF($E$2="Deployment",deployment_raw[[#This Row],[Column5]],1)),IF(U813&lt;&gt;"",VALUE(U813) * IF($E$2="Deployment",deployment_raw[[#This Row],[Column5]],1),0)), 0),"")</f>
        <v/>
      </c>
      <c r="N813" s="166" t="str">
        <f>IF(ISNUMBER(deployment_raw[[#This Row],[Column14]]), deployment_raw[[#This Row],[Column14]]/IF(OR($E$2="Deployment",deployment_raw[[#This Row],[Column5]]=0),1,deployment_raw[[#This Row],[Column5]]),"")</f>
        <v/>
      </c>
      <c r="O813" s="167" t="str">
        <f>IF(ISNUMBER(deployment_raw[[#This Row],[Column15]]), deployment_raw[[#This Row],[Column15]]/IF(OR($E$2="Deployment",deployment_raw[[#This Row],[Column5]]=0),1,deployment_raw[[#This Row],[Column5]])/1048576,"")</f>
        <v/>
      </c>
      <c r="P813" s="168" t="str">
        <f>IF(ISNUMBER(deployment_raw[[#This Row],[Column12]]), (MIN(IF(N813&lt;&gt;"",N813,9999999999999)*1.1,deployment_raw[[#This Row],[Column12]] * IF($E$2="Deployment",deployment_raw[[#This Row],[Column5]],1))*(1+$P$2)),"")</f>
        <v/>
      </c>
      <c r="Q813" s="167" t="str">
        <f>IF(ISNUMBER(deployment_raw[[#This Row],[Column13]]), (MIN(IF(O813&lt;&gt;"",O813,9999999999999)*1.1,deployment_raw[[#This Row],[Column13]] * IF($E$2="Deployment",deployment_raw[[#This Row],[Column5]],1)*(1+$Q$2)/1048576)),"")</f>
        <v/>
      </c>
      <c r="R813" s="169" t="str">
        <f>IF(ISNUMBER(deployment_raw[[#This Row],[Column8]]), (H813  * IF(N813&lt;&gt;0,$R$2,1)),"")</f>
        <v/>
      </c>
      <c r="S813" s="170" t="str">
        <f>IF(ISNUMBER(deployment_raw[[#This Row],[Column8]]), (I813  * IF(O813&lt;&gt;0,$S$2,1)),"")</f>
        <v/>
      </c>
      <c r="T813" s="202" t="str">
        <f>IF(AND(A813&lt;&gt;"",_xlfn.IFNA(MATCH(A813,'dynamic resource application '!$A$2:$A$100, 0),0)&lt;&gt;0), H813/(IF($E$2="Deployment",E813,1)),"")</f>
        <v/>
      </c>
      <c r="U813" s="211" t="str">
        <f>IF(AND(A813&lt;&gt;"",_xlfn.IFNA(MATCH(A813,'dynamic resource application '!$A$2:$A$100, 0),0)&lt;&gt;0), I813/(IF($E$2="Deployment",E813,1)),"")</f>
        <v/>
      </c>
    </row>
    <row r="814" spans="1:21" ht="15.75" customHeight="1" x14ac:dyDescent="0.25">
      <c r="A814" s="35" t="str">
        <f>IF(ISNONTEXT(deployment_raw[[#This Row],[Column1]]), "", deployment_raw[[#This Row],[Column1]])</f>
        <v/>
      </c>
      <c r="B814" s="36" t="str">
        <f>IF(ISNONTEXT(deployment_raw[[#This Row],[Column2]]), "", deployment_raw[[#This Row],[Column2]])</f>
        <v/>
      </c>
      <c r="C814" s="36" t="str">
        <f>IF(ISNONTEXT(deployment_raw[[#This Row],[Column3]]), "", deployment_raw[[#This Row],[Column3]])</f>
        <v/>
      </c>
      <c r="D814" s="36" t="str">
        <f>IF(ISNONTEXT(deployment_raw[[#This Row],[Column4]]), "", deployment_raw[[#This Row],[Column4]])</f>
        <v/>
      </c>
      <c r="E814" s="37" t="str">
        <f>IF(ISNUMBER(deployment_raw[[#This Row],[Column5]]), deployment_raw[[#This Row],[Column5]],"")</f>
        <v/>
      </c>
      <c r="F814" s="94" t="str">
        <f>IF(ISNUMBER(deployment_raw[[#This Row],[Column6]]), (deployment_raw[[#This Row],[Column6]] * IF($E$2="Deployment",deployment_raw[[#This Row],[Column5]],1)),"")</f>
        <v/>
      </c>
      <c r="G814" s="95" t="str">
        <f>IF(ISNUMBER(deployment_raw[[#This Row],[Column7]]), (deployment_raw[[#This Row],[Column7]] * IF($E$2="Deployment",deployment_raw[[#This Row],[Column5]],1))/1048576,"")</f>
        <v/>
      </c>
      <c r="H814" s="95" t="str">
        <f>IF(ISNUMBER(deployment_raw[[#This Row],[Column8]]), (deployment_raw[[#This Row],[Column8]]  * IF($E$2="Deployment",deployment_raw[[#This Row],[Column5]],1)),"")</f>
        <v/>
      </c>
      <c r="I814" s="96" t="str">
        <f>IF(ISNUMBER(deployment_raw[[#This Row],[Column9]]), (deployment_raw[[#This Row],[Column9]] * IF($E$2="Deployment",deployment_raw[[#This Row],[Column5]],1))/1048576,"")</f>
        <v/>
      </c>
      <c r="J814" s="122" t="str">
        <f>IF(ISNUMBER(deployment_raw[[#This Row],[Column10]]), (MIN(IF(N814&lt;&gt;"",N814,9999999999999)*1.1,deployment_raw[[#This Row],[Column10]] * IF($E$2="Deployment",deployment_raw[[#This Row],[Column5]],1))),"")</f>
        <v/>
      </c>
      <c r="K814" s="123" t="str">
        <f>IF(ISNUMBER(deployment_raw[[#This Row],[Column11]]), (MIN(IF(O814&lt;&gt;"",O814,9999999999999)*1.1,deployment_raw[[#This Row],[Column11]] * IF($E$2="Deployment",deployment_raw[[#This Row],[Column5]],1)/1048576)),"")</f>
        <v/>
      </c>
      <c r="L814" s="124" t="str">
        <f>IF(ISNUMBER(deployment_raw[[#This Row],[Column8]]),IF(OR(deployment_raw[[#This Row],[Column5]] &lt;&gt; 0,$E$2 &lt;&gt; "Deployment"), MAX(J814, P814, R814, ($L$2 * IF($E$2="Deployment",deployment_raw[[#This Row],[Column5]],1)),IF(T814&lt;&gt;"",VALUE(T814) * IF($E$2="Deployment",deployment_raw[[#This Row],[Column5]],1),0)), 0),"")</f>
        <v/>
      </c>
      <c r="M814" s="125" t="str">
        <f>IF(ISNUMBER(deployment_raw[[#This Row],[Column9]]),IF(OR(deployment_raw[[#This Row],[Column5]] &lt;&gt; 0,$E$2&lt;&gt;"Deployment"), MAX(K814, Q814, S814, ($M$2 * IF($E$2="Deployment",deployment_raw[[#This Row],[Column5]],1)),IF(U814&lt;&gt;"",VALUE(U814) * IF($E$2="Deployment",deployment_raw[[#This Row],[Column5]],1),0)), 0),"")</f>
        <v/>
      </c>
      <c r="N814" s="166" t="str">
        <f>IF(ISNUMBER(deployment_raw[[#This Row],[Column14]]), deployment_raw[[#This Row],[Column14]]/IF(OR($E$2="Deployment",deployment_raw[[#This Row],[Column5]]=0),1,deployment_raw[[#This Row],[Column5]]),"")</f>
        <v/>
      </c>
      <c r="O814" s="167" t="str">
        <f>IF(ISNUMBER(deployment_raw[[#This Row],[Column15]]), deployment_raw[[#This Row],[Column15]]/IF(OR($E$2="Deployment",deployment_raw[[#This Row],[Column5]]=0),1,deployment_raw[[#This Row],[Column5]])/1048576,"")</f>
        <v/>
      </c>
      <c r="P814" s="168" t="str">
        <f>IF(ISNUMBER(deployment_raw[[#This Row],[Column12]]), (MIN(IF(N814&lt;&gt;"",N814,9999999999999)*1.1,deployment_raw[[#This Row],[Column12]] * IF($E$2="Deployment",deployment_raw[[#This Row],[Column5]],1))*(1+$P$2)),"")</f>
        <v/>
      </c>
      <c r="Q814" s="167" t="str">
        <f>IF(ISNUMBER(deployment_raw[[#This Row],[Column13]]), (MIN(IF(O814&lt;&gt;"",O814,9999999999999)*1.1,deployment_raw[[#This Row],[Column13]] * IF($E$2="Deployment",deployment_raw[[#This Row],[Column5]],1)*(1+$Q$2)/1048576)),"")</f>
        <v/>
      </c>
      <c r="R814" s="169" t="str">
        <f>IF(ISNUMBER(deployment_raw[[#This Row],[Column8]]), (H814  * IF(N814&lt;&gt;0,$R$2,1)),"")</f>
        <v/>
      </c>
      <c r="S814" s="170" t="str">
        <f>IF(ISNUMBER(deployment_raw[[#This Row],[Column8]]), (I814  * IF(O814&lt;&gt;0,$S$2,1)),"")</f>
        <v/>
      </c>
      <c r="T814" s="202" t="str">
        <f>IF(AND(A814&lt;&gt;"",_xlfn.IFNA(MATCH(A814,'dynamic resource application '!$A$2:$A$100, 0),0)&lt;&gt;0), H814/(IF($E$2="Deployment",E814,1)),"")</f>
        <v/>
      </c>
      <c r="U814" s="211" t="str">
        <f>IF(AND(A814&lt;&gt;"",_xlfn.IFNA(MATCH(A814,'dynamic resource application '!$A$2:$A$100, 0),0)&lt;&gt;0), I814/(IF($E$2="Deployment",E814,1)),"")</f>
        <v/>
      </c>
    </row>
    <row r="815" spans="1:21" ht="15.75" customHeight="1" x14ac:dyDescent="0.25">
      <c r="A815" s="35" t="str">
        <f>IF(ISNONTEXT(deployment_raw[[#This Row],[Column1]]), "", deployment_raw[[#This Row],[Column1]])</f>
        <v/>
      </c>
      <c r="B815" s="36" t="str">
        <f>IF(ISNONTEXT(deployment_raw[[#This Row],[Column2]]), "", deployment_raw[[#This Row],[Column2]])</f>
        <v/>
      </c>
      <c r="C815" s="36" t="str">
        <f>IF(ISNONTEXT(deployment_raw[[#This Row],[Column3]]), "", deployment_raw[[#This Row],[Column3]])</f>
        <v/>
      </c>
      <c r="D815" s="36" t="str">
        <f>IF(ISNONTEXT(deployment_raw[[#This Row],[Column4]]), "", deployment_raw[[#This Row],[Column4]])</f>
        <v/>
      </c>
      <c r="E815" s="37" t="str">
        <f>IF(ISNUMBER(deployment_raw[[#This Row],[Column5]]), deployment_raw[[#This Row],[Column5]],"")</f>
        <v/>
      </c>
      <c r="F815" s="94" t="str">
        <f>IF(ISNUMBER(deployment_raw[[#This Row],[Column6]]), (deployment_raw[[#This Row],[Column6]] * IF($E$2="Deployment",deployment_raw[[#This Row],[Column5]],1)),"")</f>
        <v/>
      </c>
      <c r="G815" s="95" t="str">
        <f>IF(ISNUMBER(deployment_raw[[#This Row],[Column7]]), (deployment_raw[[#This Row],[Column7]] * IF($E$2="Deployment",deployment_raw[[#This Row],[Column5]],1))/1048576,"")</f>
        <v/>
      </c>
      <c r="H815" s="95" t="str">
        <f>IF(ISNUMBER(deployment_raw[[#This Row],[Column8]]), (deployment_raw[[#This Row],[Column8]]  * IF($E$2="Deployment",deployment_raw[[#This Row],[Column5]],1)),"")</f>
        <v/>
      </c>
      <c r="I815" s="96" t="str">
        <f>IF(ISNUMBER(deployment_raw[[#This Row],[Column9]]), (deployment_raw[[#This Row],[Column9]] * IF($E$2="Deployment",deployment_raw[[#This Row],[Column5]],1))/1048576,"")</f>
        <v/>
      </c>
      <c r="J815" s="122" t="str">
        <f>IF(ISNUMBER(deployment_raw[[#This Row],[Column10]]), (MIN(IF(N815&lt;&gt;"",N815,9999999999999)*1.1,deployment_raw[[#This Row],[Column10]] * IF($E$2="Deployment",deployment_raw[[#This Row],[Column5]],1))),"")</f>
        <v/>
      </c>
      <c r="K815" s="123" t="str">
        <f>IF(ISNUMBER(deployment_raw[[#This Row],[Column11]]), (MIN(IF(O815&lt;&gt;"",O815,9999999999999)*1.1,deployment_raw[[#This Row],[Column11]] * IF($E$2="Deployment",deployment_raw[[#This Row],[Column5]],1)/1048576)),"")</f>
        <v/>
      </c>
      <c r="L815" s="124" t="str">
        <f>IF(ISNUMBER(deployment_raw[[#This Row],[Column8]]),IF(OR(deployment_raw[[#This Row],[Column5]] &lt;&gt; 0,$E$2 &lt;&gt; "Deployment"), MAX(J815, P815, R815, ($L$2 * IF($E$2="Deployment",deployment_raw[[#This Row],[Column5]],1)),IF(T815&lt;&gt;"",VALUE(T815) * IF($E$2="Deployment",deployment_raw[[#This Row],[Column5]],1),0)), 0),"")</f>
        <v/>
      </c>
      <c r="M815" s="125" t="str">
        <f>IF(ISNUMBER(deployment_raw[[#This Row],[Column9]]),IF(OR(deployment_raw[[#This Row],[Column5]] &lt;&gt; 0,$E$2&lt;&gt;"Deployment"), MAX(K815, Q815, S815, ($M$2 * IF($E$2="Deployment",deployment_raw[[#This Row],[Column5]],1)),IF(U815&lt;&gt;"",VALUE(U815) * IF($E$2="Deployment",deployment_raw[[#This Row],[Column5]],1),0)), 0),"")</f>
        <v/>
      </c>
      <c r="N815" s="166" t="str">
        <f>IF(ISNUMBER(deployment_raw[[#This Row],[Column14]]), deployment_raw[[#This Row],[Column14]]/IF(OR($E$2="Deployment",deployment_raw[[#This Row],[Column5]]=0),1,deployment_raw[[#This Row],[Column5]]),"")</f>
        <v/>
      </c>
      <c r="O815" s="167" t="str">
        <f>IF(ISNUMBER(deployment_raw[[#This Row],[Column15]]), deployment_raw[[#This Row],[Column15]]/IF(OR($E$2="Deployment",deployment_raw[[#This Row],[Column5]]=0),1,deployment_raw[[#This Row],[Column5]])/1048576,"")</f>
        <v/>
      </c>
      <c r="P815" s="168" t="str">
        <f>IF(ISNUMBER(deployment_raw[[#This Row],[Column12]]), (MIN(IF(N815&lt;&gt;"",N815,9999999999999)*1.1,deployment_raw[[#This Row],[Column12]] * IF($E$2="Deployment",deployment_raw[[#This Row],[Column5]],1))*(1+$P$2)),"")</f>
        <v/>
      </c>
      <c r="Q815" s="167" t="str">
        <f>IF(ISNUMBER(deployment_raw[[#This Row],[Column13]]), (MIN(IF(O815&lt;&gt;"",O815,9999999999999)*1.1,deployment_raw[[#This Row],[Column13]] * IF($E$2="Deployment",deployment_raw[[#This Row],[Column5]],1)*(1+$Q$2)/1048576)),"")</f>
        <v/>
      </c>
      <c r="R815" s="169" t="str">
        <f>IF(ISNUMBER(deployment_raw[[#This Row],[Column8]]), (H815  * IF(N815&lt;&gt;0,$R$2,1)),"")</f>
        <v/>
      </c>
      <c r="S815" s="170" t="str">
        <f>IF(ISNUMBER(deployment_raw[[#This Row],[Column8]]), (I815  * IF(O815&lt;&gt;0,$S$2,1)),"")</f>
        <v/>
      </c>
      <c r="T815" s="202" t="str">
        <f>IF(AND(A815&lt;&gt;"",_xlfn.IFNA(MATCH(A815,'dynamic resource application '!$A$2:$A$100, 0),0)&lt;&gt;0), H815/(IF($E$2="Deployment",E815,1)),"")</f>
        <v/>
      </c>
      <c r="U815" s="211" t="str">
        <f>IF(AND(A815&lt;&gt;"",_xlfn.IFNA(MATCH(A815,'dynamic resource application '!$A$2:$A$100, 0),0)&lt;&gt;0), I815/(IF($E$2="Deployment",E815,1)),"")</f>
        <v/>
      </c>
    </row>
    <row r="816" spans="1:21" ht="15.75" customHeight="1" x14ac:dyDescent="0.25">
      <c r="A816" s="35" t="str">
        <f>IF(ISNONTEXT(deployment_raw[[#This Row],[Column1]]), "", deployment_raw[[#This Row],[Column1]])</f>
        <v/>
      </c>
      <c r="B816" s="36" t="str">
        <f>IF(ISNONTEXT(deployment_raw[[#This Row],[Column2]]), "", deployment_raw[[#This Row],[Column2]])</f>
        <v/>
      </c>
      <c r="C816" s="36" t="str">
        <f>IF(ISNONTEXT(deployment_raw[[#This Row],[Column3]]), "", deployment_raw[[#This Row],[Column3]])</f>
        <v/>
      </c>
      <c r="D816" s="36" t="str">
        <f>IF(ISNONTEXT(deployment_raw[[#This Row],[Column4]]), "", deployment_raw[[#This Row],[Column4]])</f>
        <v/>
      </c>
      <c r="E816" s="37" t="str">
        <f>IF(ISNUMBER(deployment_raw[[#This Row],[Column5]]), deployment_raw[[#This Row],[Column5]],"")</f>
        <v/>
      </c>
      <c r="F816" s="94" t="str">
        <f>IF(ISNUMBER(deployment_raw[[#This Row],[Column6]]), (deployment_raw[[#This Row],[Column6]] * IF($E$2="Deployment",deployment_raw[[#This Row],[Column5]],1)),"")</f>
        <v/>
      </c>
      <c r="G816" s="95" t="str">
        <f>IF(ISNUMBER(deployment_raw[[#This Row],[Column7]]), (deployment_raw[[#This Row],[Column7]] * IF($E$2="Deployment",deployment_raw[[#This Row],[Column5]],1))/1048576,"")</f>
        <v/>
      </c>
      <c r="H816" s="95" t="str">
        <f>IF(ISNUMBER(deployment_raw[[#This Row],[Column8]]), (deployment_raw[[#This Row],[Column8]]  * IF($E$2="Deployment",deployment_raw[[#This Row],[Column5]],1)),"")</f>
        <v/>
      </c>
      <c r="I816" s="96" t="str">
        <f>IF(ISNUMBER(deployment_raw[[#This Row],[Column9]]), (deployment_raw[[#This Row],[Column9]] * IF($E$2="Deployment",deployment_raw[[#This Row],[Column5]],1))/1048576,"")</f>
        <v/>
      </c>
      <c r="J816" s="122" t="str">
        <f>IF(ISNUMBER(deployment_raw[[#This Row],[Column10]]), (MIN(IF(N816&lt;&gt;"",N816,9999999999999)*1.1,deployment_raw[[#This Row],[Column10]] * IF($E$2="Deployment",deployment_raw[[#This Row],[Column5]],1))),"")</f>
        <v/>
      </c>
      <c r="K816" s="123" t="str">
        <f>IF(ISNUMBER(deployment_raw[[#This Row],[Column11]]), (MIN(IF(O816&lt;&gt;"",O816,9999999999999)*1.1,deployment_raw[[#This Row],[Column11]] * IF($E$2="Deployment",deployment_raw[[#This Row],[Column5]],1)/1048576)),"")</f>
        <v/>
      </c>
      <c r="L816" s="124" t="str">
        <f>IF(ISNUMBER(deployment_raw[[#This Row],[Column8]]),IF(OR(deployment_raw[[#This Row],[Column5]] &lt;&gt; 0,$E$2 &lt;&gt; "Deployment"), MAX(J816, P816, R816, ($L$2 * IF($E$2="Deployment",deployment_raw[[#This Row],[Column5]],1)),IF(T816&lt;&gt;"",VALUE(T816) * IF($E$2="Deployment",deployment_raw[[#This Row],[Column5]],1),0)), 0),"")</f>
        <v/>
      </c>
      <c r="M816" s="125" t="str">
        <f>IF(ISNUMBER(deployment_raw[[#This Row],[Column9]]),IF(OR(deployment_raw[[#This Row],[Column5]] &lt;&gt; 0,$E$2&lt;&gt;"Deployment"), MAX(K816, Q816, S816, ($M$2 * IF($E$2="Deployment",deployment_raw[[#This Row],[Column5]],1)),IF(U816&lt;&gt;"",VALUE(U816) * IF($E$2="Deployment",deployment_raw[[#This Row],[Column5]],1),0)), 0),"")</f>
        <v/>
      </c>
      <c r="N816" s="166" t="str">
        <f>IF(ISNUMBER(deployment_raw[[#This Row],[Column14]]), deployment_raw[[#This Row],[Column14]]/IF(OR($E$2="Deployment",deployment_raw[[#This Row],[Column5]]=0),1,deployment_raw[[#This Row],[Column5]]),"")</f>
        <v/>
      </c>
      <c r="O816" s="167" t="str">
        <f>IF(ISNUMBER(deployment_raw[[#This Row],[Column15]]), deployment_raw[[#This Row],[Column15]]/IF(OR($E$2="Deployment",deployment_raw[[#This Row],[Column5]]=0),1,deployment_raw[[#This Row],[Column5]])/1048576,"")</f>
        <v/>
      </c>
      <c r="P816" s="168" t="str">
        <f>IF(ISNUMBER(deployment_raw[[#This Row],[Column12]]), (MIN(IF(N816&lt;&gt;"",N816,9999999999999)*1.1,deployment_raw[[#This Row],[Column12]] * IF($E$2="Deployment",deployment_raw[[#This Row],[Column5]],1))*(1+$P$2)),"")</f>
        <v/>
      </c>
      <c r="Q816" s="167" t="str">
        <f>IF(ISNUMBER(deployment_raw[[#This Row],[Column13]]), (MIN(IF(O816&lt;&gt;"",O816,9999999999999)*1.1,deployment_raw[[#This Row],[Column13]] * IF($E$2="Deployment",deployment_raw[[#This Row],[Column5]],1)*(1+$Q$2)/1048576)),"")</f>
        <v/>
      </c>
      <c r="R816" s="169" t="str">
        <f>IF(ISNUMBER(deployment_raw[[#This Row],[Column8]]), (H816  * IF(N816&lt;&gt;0,$R$2,1)),"")</f>
        <v/>
      </c>
      <c r="S816" s="170" t="str">
        <f>IF(ISNUMBER(deployment_raw[[#This Row],[Column8]]), (I816  * IF(O816&lt;&gt;0,$S$2,1)),"")</f>
        <v/>
      </c>
      <c r="T816" s="202" t="str">
        <f>IF(AND(A816&lt;&gt;"",_xlfn.IFNA(MATCH(A816,'dynamic resource application '!$A$2:$A$100, 0),0)&lt;&gt;0), H816/(IF($E$2="Deployment",E816,1)),"")</f>
        <v/>
      </c>
      <c r="U816" s="211" t="str">
        <f>IF(AND(A816&lt;&gt;"",_xlfn.IFNA(MATCH(A816,'dynamic resource application '!$A$2:$A$100, 0),0)&lt;&gt;0), I816/(IF($E$2="Deployment",E816,1)),"")</f>
        <v/>
      </c>
    </row>
    <row r="817" spans="1:21" ht="15.75" customHeight="1" x14ac:dyDescent="0.25">
      <c r="A817" s="35" t="str">
        <f>IF(ISNONTEXT(deployment_raw[[#This Row],[Column1]]), "", deployment_raw[[#This Row],[Column1]])</f>
        <v/>
      </c>
      <c r="B817" s="36" t="str">
        <f>IF(ISNONTEXT(deployment_raw[[#This Row],[Column2]]), "", deployment_raw[[#This Row],[Column2]])</f>
        <v/>
      </c>
      <c r="C817" s="36" t="str">
        <f>IF(ISNONTEXT(deployment_raw[[#This Row],[Column3]]), "", deployment_raw[[#This Row],[Column3]])</f>
        <v/>
      </c>
      <c r="D817" s="36" t="str">
        <f>IF(ISNONTEXT(deployment_raw[[#This Row],[Column4]]), "", deployment_raw[[#This Row],[Column4]])</f>
        <v/>
      </c>
      <c r="E817" s="37" t="str">
        <f>IF(ISNUMBER(deployment_raw[[#This Row],[Column5]]), deployment_raw[[#This Row],[Column5]],"")</f>
        <v/>
      </c>
      <c r="F817" s="94" t="str">
        <f>IF(ISNUMBER(deployment_raw[[#This Row],[Column6]]), (deployment_raw[[#This Row],[Column6]] * IF($E$2="Deployment",deployment_raw[[#This Row],[Column5]],1)),"")</f>
        <v/>
      </c>
      <c r="G817" s="95" t="str">
        <f>IF(ISNUMBER(deployment_raw[[#This Row],[Column7]]), (deployment_raw[[#This Row],[Column7]] * IF($E$2="Deployment",deployment_raw[[#This Row],[Column5]],1))/1048576,"")</f>
        <v/>
      </c>
      <c r="H817" s="95" t="str">
        <f>IF(ISNUMBER(deployment_raw[[#This Row],[Column8]]), (deployment_raw[[#This Row],[Column8]]  * IF($E$2="Deployment",deployment_raw[[#This Row],[Column5]],1)),"")</f>
        <v/>
      </c>
      <c r="I817" s="96" t="str">
        <f>IF(ISNUMBER(deployment_raw[[#This Row],[Column9]]), (deployment_raw[[#This Row],[Column9]] * IF($E$2="Deployment",deployment_raw[[#This Row],[Column5]],1))/1048576,"")</f>
        <v/>
      </c>
      <c r="J817" s="122" t="str">
        <f>IF(ISNUMBER(deployment_raw[[#This Row],[Column10]]), (MIN(IF(N817&lt;&gt;"",N817,9999999999999)*1.1,deployment_raw[[#This Row],[Column10]] * IF($E$2="Deployment",deployment_raw[[#This Row],[Column5]],1))),"")</f>
        <v/>
      </c>
      <c r="K817" s="123" t="str">
        <f>IF(ISNUMBER(deployment_raw[[#This Row],[Column11]]), (MIN(IF(O817&lt;&gt;"",O817,9999999999999)*1.1,deployment_raw[[#This Row],[Column11]] * IF($E$2="Deployment",deployment_raw[[#This Row],[Column5]],1)/1048576)),"")</f>
        <v/>
      </c>
      <c r="L817" s="124" t="str">
        <f>IF(ISNUMBER(deployment_raw[[#This Row],[Column8]]),IF(OR(deployment_raw[[#This Row],[Column5]] &lt;&gt; 0,$E$2 &lt;&gt; "Deployment"), MAX(J817, P817, R817, ($L$2 * IF($E$2="Deployment",deployment_raw[[#This Row],[Column5]],1)),IF(T817&lt;&gt;"",VALUE(T817) * IF($E$2="Deployment",deployment_raw[[#This Row],[Column5]],1),0)), 0),"")</f>
        <v/>
      </c>
      <c r="M817" s="125" t="str">
        <f>IF(ISNUMBER(deployment_raw[[#This Row],[Column9]]),IF(OR(deployment_raw[[#This Row],[Column5]] &lt;&gt; 0,$E$2&lt;&gt;"Deployment"), MAX(K817, Q817, S817, ($M$2 * IF($E$2="Deployment",deployment_raw[[#This Row],[Column5]],1)),IF(U817&lt;&gt;"",VALUE(U817) * IF($E$2="Deployment",deployment_raw[[#This Row],[Column5]],1),0)), 0),"")</f>
        <v/>
      </c>
      <c r="N817" s="166" t="str">
        <f>IF(ISNUMBER(deployment_raw[[#This Row],[Column14]]), deployment_raw[[#This Row],[Column14]]/IF(OR($E$2="Deployment",deployment_raw[[#This Row],[Column5]]=0),1,deployment_raw[[#This Row],[Column5]]),"")</f>
        <v/>
      </c>
      <c r="O817" s="167" t="str">
        <f>IF(ISNUMBER(deployment_raw[[#This Row],[Column15]]), deployment_raw[[#This Row],[Column15]]/IF(OR($E$2="Deployment",deployment_raw[[#This Row],[Column5]]=0),1,deployment_raw[[#This Row],[Column5]])/1048576,"")</f>
        <v/>
      </c>
      <c r="P817" s="168" t="str">
        <f>IF(ISNUMBER(deployment_raw[[#This Row],[Column12]]), (MIN(IF(N817&lt;&gt;"",N817,9999999999999)*1.1,deployment_raw[[#This Row],[Column12]] * IF($E$2="Deployment",deployment_raw[[#This Row],[Column5]],1))*(1+$P$2)),"")</f>
        <v/>
      </c>
      <c r="Q817" s="167" t="str">
        <f>IF(ISNUMBER(deployment_raw[[#This Row],[Column13]]), (MIN(IF(O817&lt;&gt;"",O817,9999999999999)*1.1,deployment_raw[[#This Row],[Column13]] * IF($E$2="Deployment",deployment_raw[[#This Row],[Column5]],1)*(1+$Q$2)/1048576)),"")</f>
        <v/>
      </c>
      <c r="R817" s="169" t="str">
        <f>IF(ISNUMBER(deployment_raw[[#This Row],[Column8]]), (H817  * IF(N817&lt;&gt;0,$R$2,1)),"")</f>
        <v/>
      </c>
      <c r="S817" s="170" t="str">
        <f>IF(ISNUMBER(deployment_raw[[#This Row],[Column8]]), (I817  * IF(O817&lt;&gt;0,$S$2,1)),"")</f>
        <v/>
      </c>
      <c r="T817" s="202" t="str">
        <f>IF(AND(A817&lt;&gt;"",_xlfn.IFNA(MATCH(A817,'dynamic resource application '!$A$2:$A$100, 0),0)&lt;&gt;0), H817/(IF($E$2="Deployment",E817,1)),"")</f>
        <v/>
      </c>
      <c r="U817" s="211" t="str">
        <f>IF(AND(A817&lt;&gt;"",_xlfn.IFNA(MATCH(A817,'dynamic resource application '!$A$2:$A$100, 0),0)&lt;&gt;0), I817/(IF($E$2="Deployment",E817,1)),"")</f>
        <v/>
      </c>
    </row>
    <row r="818" spans="1:21" ht="15.75" customHeight="1" x14ac:dyDescent="0.25">
      <c r="A818" s="35" t="str">
        <f>IF(ISNONTEXT(deployment_raw[[#This Row],[Column1]]), "", deployment_raw[[#This Row],[Column1]])</f>
        <v/>
      </c>
      <c r="B818" s="36" t="str">
        <f>IF(ISNONTEXT(deployment_raw[[#This Row],[Column2]]), "", deployment_raw[[#This Row],[Column2]])</f>
        <v/>
      </c>
      <c r="C818" s="36" t="str">
        <f>IF(ISNONTEXT(deployment_raw[[#This Row],[Column3]]), "", deployment_raw[[#This Row],[Column3]])</f>
        <v/>
      </c>
      <c r="D818" s="36" t="str">
        <f>IF(ISNONTEXT(deployment_raw[[#This Row],[Column4]]), "", deployment_raw[[#This Row],[Column4]])</f>
        <v/>
      </c>
      <c r="E818" s="37" t="str">
        <f>IF(ISNUMBER(deployment_raw[[#This Row],[Column5]]), deployment_raw[[#This Row],[Column5]],"")</f>
        <v/>
      </c>
      <c r="F818" s="94" t="str">
        <f>IF(ISNUMBER(deployment_raw[[#This Row],[Column6]]), (deployment_raw[[#This Row],[Column6]] * IF($E$2="Deployment",deployment_raw[[#This Row],[Column5]],1)),"")</f>
        <v/>
      </c>
      <c r="G818" s="95" t="str">
        <f>IF(ISNUMBER(deployment_raw[[#This Row],[Column7]]), (deployment_raw[[#This Row],[Column7]] * IF($E$2="Deployment",deployment_raw[[#This Row],[Column5]],1))/1048576,"")</f>
        <v/>
      </c>
      <c r="H818" s="95" t="str">
        <f>IF(ISNUMBER(deployment_raw[[#This Row],[Column8]]), (deployment_raw[[#This Row],[Column8]]  * IF($E$2="Deployment",deployment_raw[[#This Row],[Column5]],1)),"")</f>
        <v/>
      </c>
      <c r="I818" s="96" t="str">
        <f>IF(ISNUMBER(deployment_raw[[#This Row],[Column9]]), (deployment_raw[[#This Row],[Column9]] * IF($E$2="Deployment",deployment_raw[[#This Row],[Column5]],1))/1048576,"")</f>
        <v/>
      </c>
      <c r="J818" s="122" t="str">
        <f>IF(ISNUMBER(deployment_raw[[#This Row],[Column10]]), (MIN(IF(N818&lt;&gt;"",N818,9999999999999)*1.1,deployment_raw[[#This Row],[Column10]] * IF($E$2="Deployment",deployment_raw[[#This Row],[Column5]],1))),"")</f>
        <v/>
      </c>
      <c r="K818" s="123" t="str">
        <f>IF(ISNUMBER(deployment_raw[[#This Row],[Column11]]), (MIN(IF(O818&lt;&gt;"",O818,9999999999999)*1.1,deployment_raw[[#This Row],[Column11]] * IF($E$2="Deployment",deployment_raw[[#This Row],[Column5]],1)/1048576)),"")</f>
        <v/>
      </c>
      <c r="L818" s="124" t="str">
        <f>IF(ISNUMBER(deployment_raw[[#This Row],[Column8]]),IF(OR(deployment_raw[[#This Row],[Column5]] &lt;&gt; 0,$E$2 &lt;&gt; "Deployment"), MAX(J818, P818, R818, ($L$2 * IF($E$2="Deployment",deployment_raw[[#This Row],[Column5]],1)),IF(T818&lt;&gt;"",VALUE(T818) * IF($E$2="Deployment",deployment_raw[[#This Row],[Column5]],1),0)), 0),"")</f>
        <v/>
      </c>
      <c r="M818" s="125" t="str">
        <f>IF(ISNUMBER(deployment_raw[[#This Row],[Column9]]),IF(OR(deployment_raw[[#This Row],[Column5]] &lt;&gt; 0,$E$2&lt;&gt;"Deployment"), MAX(K818, Q818, S818, ($M$2 * IF($E$2="Deployment",deployment_raw[[#This Row],[Column5]],1)),IF(U818&lt;&gt;"",VALUE(U818) * IF($E$2="Deployment",deployment_raw[[#This Row],[Column5]],1),0)), 0),"")</f>
        <v/>
      </c>
      <c r="N818" s="166" t="str">
        <f>IF(ISNUMBER(deployment_raw[[#This Row],[Column14]]), deployment_raw[[#This Row],[Column14]]/IF(OR($E$2="Deployment",deployment_raw[[#This Row],[Column5]]=0),1,deployment_raw[[#This Row],[Column5]]),"")</f>
        <v/>
      </c>
      <c r="O818" s="167" t="str">
        <f>IF(ISNUMBER(deployment_raw[[#This Row],[Column15]]), deployment_raw[[#This Row],[Column15]]/IF(OR($E$2="Deployment",deployment_raw[[#This Row],[Column5]]=0),1,deployment_raw[[#This Row],[Column5]])/1048576,"")</f>
        <v/>
      </c>
      <c r="P818" s="168" t="str">
        <f>IF(ISNUMBER(deployment_raw[[#This Row],[Column12]]), (MIN(IF(N818&lt;&gt;"",N818,9999999999999)*1.1,deployment_raw[[#This Row],[Column12]] * IF($E$2="Deployment",deployment_raw[[#This Row],[Column5]],1))*(1+$P$2)),"")</f>
        <v/>
      </c>
      <c r="Q818" s="167" t="str">
        <f>IF(ISNUMBER(deployment_raw[[#This Row],[Column13]]), (MIN(IF(O818&lt;&gt;"",O818,9999999999999)*1.1,deployment_raw[[#This Row],[Column13]] * IF($E$2="Deployment",deployment_raw[[#This Row],[Column5]],1)*(1+$Q$2)/1048576)),"")</f>
        <v/>
      </c>
      <c r="R818" s="169" t="str">
        <f>IF(ISNUMBER(deployment_raw[[#This Row],[Column8]]), (H818  * IF(N818&lt;&gt;0,$R$2,1)),"")</f>
        <v/>
      </c>
      <c r="S818" s="170" t="str">
        <f>IF(ISNUMBER(deployment_raw[[#This Row],[Column8]]), (I818  * IF(O818&lt;&gt;0,$S$2,1)),"")</f>
        <v/>
      </c>
      <c r="T818" s="202" t="str">
        <f>IF(AND(A818&lt;&gt;"",_xlfn.IFNA(MATCH(A818,'dynamic resource application '!$A$2:$A$100, 0),0)&lt;&gt;0), H818/(IF($E$2="Deployment",E818,1)),"")</f>
        <v/>
      </c>
      <c r="U818" s="211" t="str">
        <f>IF(AND(A818&lt;&gt;"",_xlfn.IFNA(MATCH(A818,'dynamic resource application '!$A$2:$A$100, 0),0)&lt;&gt;0), I818/(IF($E$2="Deployment",E818,1)),"")</f>
        <v/>
      </c>
    </row>
    <row r="819" spans="1:21" ht="15.75" customHeight="1" x14ac:dyDescent="0.25">
      <c r="A819" s="35" t="str">
        <f>IF(ISNONTEXT(deployment_raw[[#This Row],[Column1]]), "", deployment_raw[[#This Row],[Column1]])</f>
        <v/>
      </c>
      <c r="B819" s="36" t="str">
        <f>IF(ISNONTEXT(deployment_raw[[#This Row],[Column2]]), "", deployment_raw[[#This Row],[Column2]])</f>
        <v/>
      </c>
      <c r="C819" s="36" t="str">
        <f>IF(ISNONTEXT(deployment_raw[[#This Row],[Column3]]), "", deployment_raw[[#This Row],[Column3]])</f>
        <v/>
      </c>
      <c r="D819" s="36" t="str">
        <f>IF(ISNONTEXT(deployment_raw[[#This Row],[Column4]]), "", deployment_raw[[#This Row],[Column4]])</f>
        <v/>
      </c>
      <c r="E819" s="37" t="str">
        <f>IF(ISNUMBER(deployment_raw[[#This Row],[Column5]]), deployment_raw[[#This Row],[Column5]],"")</f>
        <v/>
      </c>
      <c r="F819" s="94" t="str">
        <f>IF(ISNUMBER(deployment_raw[[#This Row],[Column6]]), (deployment_raw[[#This Row],[Column6]] * IF($E$2="Deployment",deployment_raw[[#This Row],[Column5]],1)),"")</f>
        <v/>
      </c>
      <c r="G819" s="95" t="str">
        <f>IF(ISNUMBER(deployment_raw[[#This Row],[Column7]]), (deployment_raw[[#This Row],[Column7]] * IF($E$2="Deployment",deployment_raw[[#This Row],[Column5]],1))/1048576,"")</f>
        <v/>
      </c>
      <c r="H819" s="95" t="str">
        <f>IF(ISNUMBER(deployment_raw[[#This Row],[Column8]]), (deployment_raw[[#This Row],[Column8]]  * IF($E$2="Deployment",deployment_raw[[#This Row],[Column5]],1)),"")</f>
        <v/>
      </c>
      <c r="I819" s="96" t="str">
        <f>IF(ISNUMBER(deployment_raw[[#This Row],[Column9]]), (deployment_raw[[#This Row],[Column9]] * IF($E$2="Deployment",deployment_raw[[#This Row],[Column5]],1))/1048576,"")</f>
        <v/>
      </c>
      <c r="J819" s="122" t="str">
        <f>IF(ISNUMBER(deployment_raw[[#This Row],[Column10]]), (MIN(IF(N819&lt;&gt;"",N819,9999999999999)*1.1,deployment_raw[[#This Row],[Column10]] * IF($E$2="Deployment",deployment_raw[[#This Row],[Column5]],1))),"")</f>
        <v/>
      </c>
      <c r="K819" s="123" t="str">
        <f>IF(ISNUMBER(deployment_raw[[#This Row],[Column11]]), (MIN(IF(O819&lt;&gt;"",O819,9999999999999)*1.1,deployment_raw[[#This Row],[Column11]] * IF($E$2="Deployment",deployment_raw[[#This Row],[Column5]],1)/1048576)),"")</f>
        <v/>
      </c>
      <c r="L819" s="124" t="str">
        <f>IF(ISNUMBER(deployment_raw[[#This Row],[Column8]]),IF(OR(deployment_raw[[#This Row],[Column5]] &lt;&gt; 0,$E$2 &lt;&gt; "Deployment"), MAX(J819, P819, R819, ($L$2 * IF($E$2="Deployment",deployment_raw[[#This Row],[Column5]],1)),IF(T819&lt;&gt;"",VALUE(T819) * IF($E$2="Deployment",deployment_raw[[#This Row],[Column5]],1),0)), 0),"")</f>
        <v/>
      </c>
      <c r="M819" s="125" t="str">
        <f>IF(ISNUMBER(deployment_raw[[#This Row],[Column9]]),IF(OR(deployment_raw[[#This Row],[Column5]] &lt;&gt; 0,$E$2&lt;&gt;"Deployment"), MAX(K819, Q819, S819, ($M$2 * IF($E$2="Deployment",deployment_raw[[#This Row],[Column5]],1)),IF(U819&lt;&gt;"",VALUE(U819) * IF($E$2="Deployment",deployment_raw[[#This Row],[Column5]],1),0)), 0),"")</f>
        <v/>
      </c>
      <c r="N819" s="166" t="str">
        <f>IF(ISNUMBER(deployment_raw[[#This Row],[Column14]]), deployment_raw[[#This Row],[Column14]]/IF(OR($E$2="Deployment",deployment_raw[[#This Row],[Column5]]=0),1,deployment_raw[[#This Row],[Column5]]),"")</f>
        <v/>
      </c>
      <c r="O819" s="167" t="str">
        <f>IF(ISNUMBER(deployment_raw[[#This Row],[Column15]]), deployment_raw[[#This Row],[Column15]]/IF(OR($E$2="Deployment",deployment_raw[[#This Row],[Column5]]=0),1,deployment_raw[[#This Row],[Column5]])/1048576,"")</f>
        <v/>
      </c>
      <c r="P819" s="168" t="str">
        <f>IF(ISNUMBER(deployment_raw[[#This Row],[Column12]]), (MIN(IF(N819&lt;&gt;"",N819,9999999999999)*1.1,deployment_raw[[#This Row],[Column12]] * IF($E$2="Deployment",deployment_raw[[#This Row],[Column5]],1))*(1+$P$2)),"")</f>
        <v/>
      </c>
      <c r="Q819" s="167" t="str">
        <f>IF(ISNUMBER(deployment_raw[[#This Row],[Column13]]), (MIN(IF(O819&lt;&gt;"",O819,9999999999999)*1.1,deployment_raw[[#This Row],[Column13]] * IF($E$2="Deployment",deployment_raw[[#This Row],[Column5]],1)*(1+$Q$2)/1048576)),"")</f>
        <v/>
      </c>
      <c r="R819" s="169" t="str">
        <f>IF(ISNUMBER(deployment_raw[[#This Row],[Column8]]), (H819  * IF(N819&lt;&gt;0,$R$2,1)),"")</f>
        <v/>
      </c>
      <c r="S819" s="170" t="str">
        <f>IF(ISNUMBER(deployment_raw[[#This Row],[Column8]]), (I819  * IF(O819&lt;&gt;0,$S$2,1)),"")</f>
        <v/>
      </c>
      <c r="T819" s="202" t="str">
        <f>IF(AND(A819&lt;&gt;"",_xlfn.IFNA(MATCH(A819,'dynamic resource application '!$A$2:$A$100, 0),0)&lt;&gt;0), H819/(IF($E$2="Deployment",E819,1)),"")</f>
        <v/>
      </c>
      <c r="U819" s="211" t="str">
        <f>IF(AND(A819&lt;&gt;"",_xlfn.IFNA(MATCH(A819,'dynamic resource application '!$A$2:$A$100, 0),0)&lt;&gt;0), I819/(IF($E$2="Deployment",E819,1)),"")</f>
        <v/>
      </c>
    </row>
    <row r="820" spans="1:21" ht="15.75" customHeight="1" x14ac:dyDescent="0.25">
      <c r="A820" s="35" t="str">
        <f>IF(ISNONTEXT(deployment_raw[[#This Row],[Column1]]), "", deployment_raw[[#This Row],[Column1]])</f>
        <v/>
      </c>
      <c r="B820" s="36" t="str">
        <f>IF(ISNONTEXT(deployment_raw[[#This Row],[Column2]]), "", deployment_raw[[#This Row],[Column2]])</f>
        <v/>
      </c>
      <c r="C820" s="36" t="str">
        <f>IF(ISNONTEXT(deployment_raw[[#This Row],[Column3]]), "", deployment_raw[[#This Row],[Column3]])</f>
        <v/>
      </c>
      <c r="D820" s="36" t="str">
        <f>IF(ISNONTEXT(deployment_raw[[#This Row],[Column4]]), "", deployment_raw[[#This Row],[Column4]])</f>
        <v/>
      </c>
      <c r="E820" s="37" t="str">
        <f>IF(ISNUMBER(deployment_raw[[#This Row],[Column5]]), deployment_raw[[#This Row],[Column5]],"")</f>
        <v/>
      </c>
      <c r="F820" s="94" t="str">
        <f>IF(ISNUMBER(deployment_raw[[#This Row],[Column6]]), (deployment_raw[[#This Row],[Column6]] * IF($E$2="Deployment",deployment_raw[[#This Row],[Column5]],1)),"")</f>
        <v/>
      </c>
      <c r="G820" s="95" t="str">
        <f>IF(ISNUMBER(deployment_raw[[#This Row],[Column7]]), (deployment_raw[[#This Row],[Column7]] * IF($E$2="Deployment",deployment_raw[[#This Row],[Column5]],1))/1048576,"")</f>
        <v/>
      </c>
      <c r="H820" s="95" t="str">
        <f>IF(ISNUMBER(deployment_raw[[#This Row],[Column8]]), (deployment_raw[[#This Row],[Column8]]  * IF($E$2="Deployment",deployment_raw[[#This Row],[Column5]],1)),"")</f>
        <v/>
      </c>
      <c r="I820" s="96" t="str">
        <f>IF(ISNUMBER(deployment_raw[[#This Row],[Column9]]), (deployment_raw[[#This Row],[Column9]] * IF($E$2="Deployment",deployment_raw[[#This Row],[Column5]],1))/1048576,"")</f>
        <v/>
      </c>
      <c r="J820" s="122" t="str">
        <f>IF(ISNUMBER(deployment_raw[[#This Row],[Column10]]), (MIN(IF(N820&lt;&gt;"",N820,9999999999999)*1.1,deployment_raw[[#This Row],[Column10]] * IF($E$2="Deployment",deployment_raw[[#This Row],[Column5]],1))),"")</f>
        <v/>
      </c>
      <c r="K820" s="123" t="str">
        <f>IF(ISNUMBER(deployment_raw[[#This Row],[Column11]]), (MIN(IF(O820&lt;&gt;"",O820,9999999999999)*1.1,deployment_raw[[#This Row],[Column11]] * IF($E$2="Deployment",deployment_raw[[#This Row],[Column5]],1)/1048576)),"")</f>
        <v/>
      </c>
      <c r="L820" s="124" t="str">
        <f>IF(ISNUMBER(deployment_raw[[#This Row],[Column8]]),IF(OR(deployment_raw[[#This Row],[Column5]] &lt;&gt; 0,$E$2 &lt;&gt; "Deployment"), MAX(J820, P820, R820, ($L$2 * IF($E$2="Deployment",deployment_raw[[#This Row],[Column5]],1)),IF(T820&lt;&gt;"",VALUE(T820) * IF($E$2="Deployment",deployment_raw[[#This Row],[Column5]],1),0)), 0),"")</f>
        <v/>
      </c>
      <c r="M820" s="125" t="str">
        <f>IF(ISNUMBER(deployment_raw[[#This Row],[Column9]]),IF(OR(deployment_raw[[#This Row],[Column5]] &lt;&gt; 0,$E$2&lt;&gt;"Deployment"), MAX(K820, Q820, S820, ($M$2 * IF($E$2="Deployment",deployment_raw[[#This Row],[Column5]],1)),IF(U820&lt;&gt;"",VALUE(U820) * IF($E$2="Deployment",deployment_raw[[#This Row],[Column5]],1),0)), 0),"")</f>
        <v/>
      </c>
      <c r="N820" s="166" t="str">
        <f>IF(ISNUMBER(deployment_raw[[#This Row],[Column14]]), deployment_raw[[#This Row],[Column14]]/IF(OR($E$2="Deployment",deployment_raw[[#This Row],[Column5]]=0),1,deployment_raw[[#This Row],[Column5]]),"")</f>
        <v/>
      </c>
      <c r="O820" s="167" t="str">
        <f>IF(ISNUMBER(deployment_raw[[#This Row],[Column15]]), deployment_raw[[#This Row],[Column15]]/IF(OR($E$2="Deployment",deployment_raw[[#This Row],[Column5]]=0),1,deployment_raw[[#This Row],[Column5]])/1048576,"")</f>
        <v/>
      </c>
      <c r="P820" s="168" t="str">
        <f>IF(ISNUMBER(deployment_raw[[#This Row],[Column12]]), (MIN(IF(N820&lt;&gt;"",N820,9999999999999)*1.1,deployment_raw[[#This Row],[Column12]] * IF($E$2="Deployment",deployment_raw[[#This Row],[Column5]],1))*(1+$P$2)),"")</f>
        <v/>
      </c>
      <c r="Q820" s="167" t="str">
        <f>IF(ISNUMBER(deployment_raw[[#This Row],[Column13]]), (MIN(IF(O820&lt;&gt;"",O820,9999999999999)*1.1,deployment_raw[[#This Row],[Column13]] * IF($E$2="Deployment",deployment_raw[[#This Row],[Column5]],1)*(1+$Q$2)/1048576)),"")</f>
        <v/>
      </c>
      <c r="R820" s="169" t="str">
        <f>IF(ISNUMBER(deployment_raw[[#This Row],[Column8]]), (H820  * IF(N820&lt;&gt;0,$R$2,1)),"")</f>
        <v/>
      </c>
      <c r="S820" s="170" t="str">
        <f>IF(ISNUMBER(deployment_raw[[#This Row],[Column8]]), (I820  * IF(O820&lt;&gt;0,$S$2,1)),"")</f>
        <v/>
      </c>
      <c r="T820" s="202" t="str">
        <f>IF(AND(A820&lt;&gt;"",_xlfn.IFNA(MATCH(A820,'dynamic resource application '!$A$2:$A$100, 0),0)&lt;&gt;0), H820/(IF($E$2="Deployment",E820,1)),"")</f>
        <v/>
      </c>
      <c r="U820" s="211" t="str">
        <f>IF(AND(A820&lt;&gt;"",_xlfn.IFNA(MATCH(A820,'dynamic resource application '!$A$2:$A$100, 0),0)&lt;&gt;0), I820/(IF($E$2="Deployment",E820,1)),"")</f>
        <v/>
      </c>
    </row>
    <row r="821" spans="1:21" ht="15.75" customHeight="1" x14ac:dyDescent="0.25">
      <c r="A821" s="35" t="str">
        <f>IF(ISNONTEXT(deployment_raw[[#This Row],[Column1]]), "", deployment_raw[[#This Row],[Column1]])</f>
        <v/>
      </c>
      <c r="B821" s="36" t="str">
        <f>IF(ISNONTEXT(deployment_raw[[#This Row],[Column2]]), "", deployment_raw[[#This Row],[Column2]])</f>
        <v/>
      </c>
      <c r="C821" s="36" t="str">
        <f>IF(ISNONTEXT(deployment_raw[[#This Row],[Column3]]), "", deployment_raw[[#This Row],[Column3]])</f>
        <v/>
      </c>
      <c r="D821" s="36" t="str">
        <f>IF(ISNONTEXT(deployment_raw[[#This Row],[Column4]]), "", deployment_raw[[#This Row],[Column4]])</f>
        <v/>
      </c>
      <c r="E821" s="37" t="str">
        <f>IF(ISNUMBER(deployment_raw[[#This Row],[Column5]]), deployment_raw[[#This Row],[Column5]],"")</f>
        <v/>
      </c>
      <c r="F821" s="94" t="str">
        <f>IF(ISNUMBER(deployment_raw[[#This Row],[Column6]]), (deployment_raw[[#This Row],[Column6]] * IF($E$2="Deployment",deployment_raw[[#This Row],[Column5]],1)),"")</f>
        <v/>
      </c>
      <c r="G821" s="95" t="str">
        <f>IF(ISNUMBER(deployment_raw[[#This Row],[Column7]]), (deployment_raw[[#This Row],[Column7]] * IF($E$2="Deployment",deployment_raw[[#This Row],[Column5]],1))/1048576,"")</f>
        <v/>
      </c>
      <c r="H821" s="95" t="str">
        <f>IF(ISNUMBER(deployment_raw[[#This Row],[Column8]]), (deployment_raw[[#This Row],[Column8]]  * IF($E$2="Deployment",deployment_raw[[#This Row],[Column5]],1)),"")</f>
        <v/>
      </c>
      <c r="I821" s="96" t="str">
        <f>IF(ISNUMBER(deployment_raw[[#This Row],[Column9]]), (deployment_raw[[#This Row],[Column9]] * IF($E$2="Deployment",deployment_raw[[#This Row],[Column5]],1))/1048576,"")</f>
        <v/>
      </c>
      <c r="J821" s="122" t="str">
        <f>IF(ISNUMBER(deployment_raw[[#This Row],[Column10]]), (MIN(IF(N821&lt;&gt;"",N821,9999999999999)*1.1,deployment_raw[[#This Row],[Column10]] * IF($E$2="Deployment",deployment_raw[[#This Row],[Column5]],1))),"")</f>
        <v/>
      </c>
      <c r="K821" s="123" t="str">
        <f>IF(ISNUMBER(deployment_raw[[#This Row],[Column11]]), (MIN(IF(O821&lt;&gt;"",O821,9999999999999)*1.1,deployment_raw[[#This Row],[Column11]] * IF($E$2="Deployment",deployment_raw[[#This Row],[Column5]],1)/1048576)),"")</f>
        <v/>
      </c>
      <c r="L821" s="124" t="str">
        <f>IF(ISNUMBER(deployment_raw[[#This Row],[Column8]]),IF(OR(deployment_raw[[#This Row],[Column5]] &lt;&gt; 0,$E$2 &lt;&gt; "Deployment"), MAX(J821, P821, R821, ($L$2 * IF($E$2="Deployment",deployment_raw[[#This Row],[Column5]],1)),IF(T821&lt;&gt;"",VALUE(T821) * IF($E$2="Deployment",deployment_raw[[#This Row],[Column5]],1),0)), 0),"")</f>
        <v/>
      </c>
      <c r="M821" s="125" t="str">
        <f>IF(ISNUMBER(deployment_raw[[#This Row],[Column9]]),IF(OR(deployment_raw[[#This Row],[Column5]] &lt;&gt; 0,$E$2&lt;&gt;"Deployment"), MAX(K821, Q821, S821, ($M$2 * IF($E$2="Deployment",deployment_raw[[#This Row],[Column5]],1)),IF(U821&lt;&gt;"",VALUE(U821) * IF($E$2="Deployment",deployment_raw[[#This Row],[Column5]],1),0)), 0),"")</f>
        <v/>
      </c>
      <c r="N821" s="166" t="str">
        <f>IF(ISNUMBER(deployment_raw[[#This Row],[Column14]]), deployment_raw[[#This Row],[Column14]]/IF(OR($E$2="Deployment",deployment_raw[[#This Row],[Column5]]=0),1,deployment_raw[[#This Row],[Column5]]),"")</f>
        <v/>
      </c>
      <c r="O821" s="167" t="str">
        <f>IF(ISNUMBER(deployment_raw[[#This Row],[Column15]]), deployment_raw[[#This Row],[Column15]]/IF(OR($E$2="Deployment",deployment_raw[[#This Row],[Column5]]=0),1,deployment_raw[[#This Row],[Column5]])/1048576,"")</f>
        <v/>
      </c>
      <c r="P821" s="168" t="str">
        <f>IF(ISNUMBER(deployment_raw[[#This Row],[Column12]]), (MIN(IF(N821&lt;&gt;"",N821,9999999999999)*1.1,deployment_raw[[#This Row],[Column12]] * IF($E$2="Deployment",deployment_raw[[#This Row],[Column5]],1))*(1+$P$2)),"")</f>
        <v/>
      </c>
      <c r="Q821" s="167" t="str">
        <f>IF(ISNUMBER(deployment_raw[[#This Row],[Column13]]), (MIN(IF(O821&lt;&gt;"",O821,9999999999999)*1.1,deployment_raw[[#This Row],[Column13]] * IF($E$2="Deployment",deployment_raw[[#This Row],[Column5]],1)*(1+$Q$2)/1048576)),"")</f>
        <v/>
      </c>
      <c r="R821" s="169" t="str">
        <f>IF(ISNUMBER(deployment_raw[[#This Row],[Column8]]), (H821  * IF(N821&lt;&gt;0,$R$2,1)),"")</f>
        <v/>
      </c>
      <c r="S821" s="170" t="str">
        <f>IF(ISNUMBER(deployment_raw[[#This Row],[Column8]]), (I821  * IF(O821&lt;&gt;0,$S$2,1)),"")</f>
        <v/>
      </c>
      <c r="T821" s="202" t="str">
        <f>IF(AND(A821&lt;&gt;"",_xlfn.IFNA(MATCH(A821,'dynamic resource application '!$A$2:$A$100, 0),0)&lt;&gt;0), H821/(IF($E$2="Deployment",E821,1)),"")</f>
        <v/>
      </c>
      <c r="U821" s="211" t="str">
        <f>IF(AND(A821&lt;&gt;"",_xlfn.IFNA(MATCH(A821,'dynamic resource application '!$A$2:$A$100, 0),0)&lt;&gt;0), I821/(IF($E$2="Deployment",E821,1)),"")</f>
        <v/>
      </c>
    </row>
    <row r="822" spans="1:21" ht="15.75" customHeight="1" x14ac:dyDescent="0.25">
      <c r="A822" s="35" t="str">
        <f>IF(ISNONTEXT(deployment_raw[[#This Row],[Column1]]), "", deployment_raw[[#This Row],[Column1]])</f>
        <v/>
      </c>
      <c r="B822" s="36" t="str">
        <f>IF(ISNONTEXT(deployment_raw[[#This Row],[Column2]]), "", deployment_raw[[#This Row],[Column2]])</f>
        <v/>
      </c>
      <c r="C822" s="36" t="str">
        <f>IF(ISNONTEXT(deployment_raw[[#This Row],[Column3]]), "", deployment_raw[[#This Row],[Column3]])</f>
        <v/>
      </c>
      <c r="D822" s="36" t="str">
        <f>IF(ISNONTEXT(deployment_raw[[#This Row],[Column4]]), "", deployment_raw[[#This Row],[Column4]])</f>
        <v/>
      </c>
      <c r="E822" s="37" t="str">
        <f>IF(ISNUMBER(deployment_raw[[#This Row],[Column5]]), deployment_raw[[#This Row],[Column5]],"")</f>
        <v/>
      </c>
      <c r="F822" s="94" t="str">
        <f>IF(ISNUMBER(deployment_raw[[#This Row],[Column6]]), (deployment_raw[[#This Row],[Column6]] * IF($E$2="Deployment",deployment_raw[[#This Row],[Column5]],1)),"")</f>
        <v/>
      </c>
      <c r="G822" s="95" t="str">
        <f>IF(ISNUMBER(deployment_raw[[#This Row],[Column7]]), (deployment_raw[[#This Row],[Column7]] * IF($E$2="Deployment",deployment_raw[[#This Row],[Column5]],1))/1048576,"")</f>
        <v/>
      </c>
      <c r="H822" s="95" t="str">
        <f>IF(ISNUMBER(deployment_raw[[#This Row],[Column8]]), (deployment_raw[[#This Row],[Column8]]  * IF($E$2="Deployment",deployment_raw[[#This Row],[Column5]],1)),"")</f>
        <v/>
      </c>
      <c r="I822" s="96" t="str">
        <f>IF(ISNUMBER(deployment_raw[[#This Row],[Column9]]), (deployment_raw[[#This Row],[Column9]] * IF($E$2="Deployment",deployment_raw[[#This Row],[Column5]],1))/1048576,"")</f>
        <v/>
      </c>
      <c r="J822" s="122" t="str">
        <f>IF(ISNUMBER(deployment_raw[[#This Row],[Column10]]), (MIN(IF(N822&lt;&gt;"",N822,9999999999999)*1.1,deployment_raw[[#This Row],[Column10]] * IF($E$2="Deployment",deployment_raw[[#This Row],[Column5]],1))),"")</f>
        <v/>
      </c>
      <c r="K822" s="123" t="str">
        <f>IF(ISNUMBER(deployment_raw[[#This Row],[Column11]]), (MIN(IF(O822&lt;&gt;"",O822,9999999999999)*1.1,deployment_raw[[#This Row],[Column11]] * IF($E$2="Deployment",deployment_raw[[#This Row],[Column5]],1)/1048576)),"")</f>
        <v/>
      </c>
      <c r="L822" s="124" t="str">
        <f>IF(ISNUMBER(deployment_raw[[#This Row],[Column8]]),IF(OR(deployment_raw[[#This Row],[Column5]] &lt;&gt; 0,$E$2 &lt;&gt; "Deployment"), MAX(J822, P822, R822, ($L$2 * IF($E$2="Deployment",deployment_raw[[#This Row],[Column5]],1)),IF(T822&lt;&gt;"",VALUE(T822) * IF($E$2="Deployment",deployment_raw[[#This Row],[Column5]],1),0)), 0),"")</f>
        <v/>
      </c>
      <c r="M822" s="125" t="str">
        <f>IF(ISNUMBER(deployment_raw[[#This Row],[Column9]]),IF(OR(deployment_raw[[#This Row],[Column5]] &lt;&gt; 0,$E$2&lt;&gt;"Deployment"), MAX(K822, Q822, S822, ($M$2 * IF($E$2="Deployment",deployment_raw[[#This Row],[Column5]],1)),IF(U822&lt;&gt;"",VALUE(U822) * IF($E$2="Deployment",deployment_raw[[#This Row],[Column5]],1),0)), 0),"")</f>
        <v/>
      </c>
      <c r="N822" s="166" t="str">
        <f>IF(ISNUMBER(deployment_raw[[#This Row],[Column14]]), deployment_raw[[#This Row],[Column14]]/IF(OR($E$2="Deployment",deployment_raw[[#This Row],[Column5]]=0),1,deployment_raw[[#This Row],[Column5]]),"")</f>
        <v/>
      </c>
      <c r="O822" s="167" t="str">
        <f>IF(ISNUMBER(deployment_raw[[#This Row],[Column15]]), deployment_raw[[#This Row],[Column15]]/IF(OR($E$2="Deployment",deployment_raw[[#This Row],[Column5]]=0),1,deployment_raw[[#This Row],[Column5]])/1048576,"")</f>
        <v/>
      </c>
      <c r="P822" s="168" t="str">
        <f>IF(ISNUMBER(deployment_raw[[#This Row],[Column12]]), (MIN(IF(N822&lt;&gt;"",N822,9999999999999)*1.1,deployment_raw[[#This Row],[Column12]] * IF($E$2="Deployment",deployment_raw[[#This Row],[Column5]],1))*(1+$P$2)),"")</f>
        <v/>
      </c>
      <c r="Q822" s="167" t="str">
        <f>IF(ISNUMBER(deployment_raw[[#This Row],[Column13]]), (MIN(IF(O822&lt;&gt;"",O822,9999999999999)*1.1,deployment_raw[[#This Row],[Column13]] * IF($E$2="Deployment",deployment_raw[[#This Row],[Column5]],1)*(1+$Q$2)/1048576)),"")</f>
        <v/>
      </c>
      <c r="R822" s="169" t="str">
        <f>IF(ISNUMBER(deployment_raw[[#This Row],[Column8]]), (H822  * IF(N822&lt;&gt;0,$R$2,1)),"")</f>
        <v/>
      </c>
      <c r="S822" s="170" t="str">
        <f>IF(ISNUMBER(deployment_raw[[#This Row],[Column8]]), (I822  * IF(O822&lt;&gt;0,$S$2,1)),"")</f>
        <v/>
      </c>
      <c r="T822" s="202" t="str">
        <f>IF(AND(A822&lt;&gt;"",_xlfn.IFNA(MATCH(A822,'dynamic resource application '!$A$2:$A$100, 0),0)&lt;&gt;0), H822/(IF($E$2="Deployment",E822,1)),"")</f>
        <v/>
      </c>
      <c r="U822" s="211" t="str">
        <f>IF(AND(A822&lt;&gt;"",_xlfn.IFNA(MATCH(A822,'dynamic resource application '!$A$2:$A$100, 0),0)&lt;&gt;0), I822/(IF($E$2="Deployment",E822,1)),"")</f>
        <v/>
      </c>
    </row>
    <row r="823" spans="1:21" ht="15.75" customHeight="1" x14ac:dyDescent="0.25">
      <c r="A823" s="35" t="str">
        <f>IF(ISNONTEXT(deployment_raw[[#This Row],[Column1]]), "", deployment_raw[[#This Row],[Column1]])</f>
        <v/>
      </c>
      <c r="B823" s="36" t="str">
        <f>IF(ISNONTEXT(deployment_raw[[#This Row],[Column2]]), "", deployment_raw[[#This Row],[Column2]])</f>
        <v/>
      </c>
      <c r="C823" s="36" t="str">
        <f>IF(ISNONTEXT(deployment_raw[[#This Row],[Column3]]), "", deployment_raw[[#This Row],[Column3]])</f>
        <v/>
      </c>
      <c r="D823" s="36" t="str">
        <f>IF(ISNONTEXT(deployment_raw[[#This Row],[Column4]]), "", deployment_raw[[#This Row],[Column4]])</f>
        <v/>
      </c>
      <c r="E823" s="37" t="str">
        <f>IF(ISNUMBER(deployment_raw[[#This Row],[Column5]]), deployment_raw[[#This Row],[Column5]],"")</f>
        <v/>
      </c>
      <c r="F823" s="94" t="str">
        <f>IF(ISNUMBER(deployment_raw[[#This Row],[Column6]]), (deployment_raw[[#This Row],[Column6]] * IF($E$2="Deployment",deployment_raw[[#This Row],[Column5]],1)),"")</f>
        <v/>
      </c>
      <c r="G823" s="95" t="str">
        <f>IF(ISNUMBER(deployment_raw[[#This Row],[Column7]]), (deployment_raw[[#This Row],[Column7]] * IF($E$2="Deployment",deployment_raw[[#This Row],[Column5]],1))/1048576,"")</f>
        <v/>
      </c>
      <c r="H823" s="95" t="str">
        <f>IF(ISNUMBER(deployment_raw[[#This Row],[Column8]]), (deployment_raw[[#This Row],[Column8]]  * IF($E$2="Deployment",deployment_raw[[#This Row],[Column5]],1)),"")</f>
        <v/>
      </c>
      <c r="I823" s="96" t="str">
        <f>IF(ISNUMBER(deployment_raw[[#This Row],[Column9]]), (deployment_raw[[#This Row],[Column9]] * IF($E$2="Deployment",deployment_raw[[#This Row],[Column5]],1))/1048576,"")</f>
        <v/>
      </c>
      <c r="J823" s="122" t="str">
        <f>IF(ISNUMBER(deployment_raw[[#This Row],[Column10]]), (MIN(IF(N823&lt;&gt;"",N823,9999999999999)*1.1,deployment_raw[[#This Row],[Column10]] * IF($E$2="Deployment",deployment_raw[[#This Row],[Column5]],1))),"")</f>
        <v/>
      </c>
      <c r="K823" s="123" t="str">
        <f>IF(ISNUMBER(deployment_raw[[#This Row],[Column11]]), (MIN(IF(O823&lt;&gt;"",O823,9999999999999)*1.1,deployment_raw[[#This Row],[Column11]] * IF($E$2="Deployment",deployment_raw[[#This Row],[Column5]],1)/1048576)),"")</f>
        <v/>
      </c>
      <c r="L823" s="124" t="str">
        <f>IF(ISNUMBER(deployment_raw[[#This Row],[Column8]]),IF(OR(deployment_raw[[#This Row],[Column5]] &lt;&gt; 0,$E$2 &lt;&gt; "Deployment"), MAX(J823, P823, R823, ($L$2 * IF($E$2="Deployment",deployment_raw[[#This Row],[Column5]],1)),IF(T823&lt;&gt;"",VALUE(T823) * IF($E$2="Deployment",deployment_raw[[#This Row],[Column5]],1),0)), 0),"")</f>
        <v/>
      </c>
      <c r="M823" s="125" t="str">
        <f>IF(ISNUMBER(deployment_raw[[#This Row],[Column9]]),IF(OR(deployment_raw[[#This Row],[Column5]] &lt;&gt; 0,$E$2&lt;&gt;"Deployment"), MAX(K823, Q823, S823, ($M$2 * IF($E$2="Deployment",deployment_raw[[#This Row],[Column5]],1)),IF(U823&lt;&gt;"",VALUE(U823) * IF($E$2="Deployment",deployment_raw[[#This Row],[Column5]],1),0)), 0),"")</f>
        <v/>
      </c>
      <c r="N823" s="166" t="str">
        <f>IF(ISNUMBER(deployment_raw[[#This Row],[Column14]]), deployment_raw[[#This Row],[Column14]]/IF(OR($E$2="Deployment",deployment_raw[[#This Row],[Column5]]=0),1,deployment_raw[[#This Row],[Column5]]),"")</f>
        <v/>
      </c>
      <c r="O823" s="167" t="str">
        <f>IF(ISNUMBER(deployment_raw[[#This Row],[Column15]]), deployment_raw[[#This Row],[Column15]]/IF(OR($E$2="Deployment",deployment_raw[[#This Row],[Column5]]=0),1,deployment_raw[[#This Row],[Column5]])/1048576,"")</f>
        <v/>
      </c>
      <c r="P823" s="168" t="str">
        <f>IF(ISNUMBER(deployment_raw[[#This Row],[Column12]]), (MIN(IF(N823&lt;&gt;"",N823,9999999999999)*1.1,deployment_raw[[#This Row],[Column12]] * IF($E$2="Deployment",deployment_raw[[#This Row],[Column5]],1))*(1+$P$2)),"")</f>
        <v/>
      </c>
      <c r="Q823" s="167" t="str">
        <f>IF(ISNUMBER(deployment_raw[[#This Row],[Column13]]), (MIN(IF(O823&lt;&gt;"",O823,9999999999999)*1.1,deployment_raw[[#This Row],[Column13]] * IF($E$2="Deployment",deployment_raw[[#This Row],[Column5]],1)*(1+$Q$2)/1048576)),"")</f>
        <v/>
      </c>
      <c r="R823" s="169" t="str">
        <f>IF(ISNUMBER(deployment_raw[[#This Row],[Column8]]), (H823  * IF(N823&lt;&gt;0,$R$2,1)),"")</f>
        <v/>
      </c>
      <c r="S823" s="170" t="str">
        <f>IF(ISNUMBER(deployment_raw[[#This Row],[Column8]]), (I823  * IF(O823&lt;&gt;0,$S$2,1)),"")</f>
        <v/>
      </c>
      <c r="T823" s="202" t="str">
        <f>IF(AND(A823&lt;&gt;"",_xlfn.IFNA(MATCH(A823,'dynamic resource application '!$A$2:$A$100, 0),0)&lt;&gt;0), H823/(IF($E$2="Deployment",E823,1)),"")</f>
        <v/>
      </c>
      <c r="U823" s="211" t="str">
        <f>IF(AND(A823&lt;&gt;"",_xlfn.IFNA(MATCH(A823,'dynamic resource application '!$A$2:$A$100, 0),0)&lt;&gt;0), I823/(IF($E$2="Deployment",E823,1)),"")</f>
        <v/>
      </c>
    </row>
    <row r="824" spans="1:21" ht="15.75" customHeight="1" x14ac:dyDescent="0.25">
      <c r="A824" s="35" t="str">
        <f>IF(ISNONTEXT(deployment_raw[[#This Row],[Column1]]), "", deployment_raw[[#This Row],[Column1]])</f>
        <v/>
      </c>
      <c r="B824" s="36" t="str">
        <f>IF(ISNONTEXT(deployment_raw[[#This Row],[Column2]]), "", deployment_raw[[#This Row],[Column2]])</f>
        <v/>
      </c>
      <c r="C824" s="36" t="str">
        <f>IF(ISNONTEXT(deployment_raw[[#This Row],[Column3]]), "", deployment_raw[[#This Row],[Column3]])</f>
        <v/>
      </c>
      <c r="D824" s="36" t="str">
        <f>IF(ISNONTEXT(deployment_raw[[#This Row],[Column4]]), "", deployment_raw[[#This Row],[Column4]])</f>
        <v/>
      </c>
      <c r="E824" s="37" t="str">
        <f>IF(ISNUMBER(deployment_raw[[#This Row],[Column5]]), deployment_raw[[#This Row],[Column5]],"")</f>
        <v/>
      </c>
      <c r="F824" s="94" t="str">
        <f>IF(ISNUMBER(deployment_raw[[#This Row],[Column6]]), (deployment_raw[[#This Row],[Column6]] * IF($E$2="Deployment",deployment_raw[[#This Row],[Column5]],1)),"")</f>
        <v/>
      </c>
      <c r="G824" s="95" t="str">
        <f>IF(ISNUMBER(deployment_raw[[#This Row],[Column7]]), (deployment_raw[[#This Row],[Column7]] * IF($E$2="Deployment",deployment_raw[[#This Row],[Column5]],1))/1048576,"")</f>
        <v/>
      </c>
      <c r="H824" s="95" t="str">
        <f>IF(ISNUMBER(deployment_raw[[#This Row],[Column8]]), (deployment_raw[[#This Row],[Column8]]  * IF($E$2="Deployment",deployment_raw[[#This Row],[Column5]],1)),"")</f>
        <v/>
      </c>
      <c r="I824" s="96" t="str">
        <f>IF(ISNUMBER(deployment_raw[[#This Row],[Column9]]), (deployment_raw[[#This Row],[Column9]] * IF($E$2="Deployment",deployment_raw[[#This Row],[Column5]],1))/1048576,"")</f>
        <v/>
      </c>
      <c r="J824" s="122" t="str">
        <f>IF(ISNUMBER(deployment_raw[[#This Row],[Column10]]), (MIN(IF(N824&lt;&gt;"",N824,9999999999999)*1.1,deployment_raw[[#This Row],[Column10]] * IF($E$2="Deployment",deployment_raw[[#This Row],[Column5]],1))),"")</f>
        <v/>
      </c>
      <c r="K824" s="123" t="str">
        <f>IF(ISNUMBER(deployment_raw[[#This Row],[Column11]]), (MIN(IF(O824&lt;&gt;"",O824,9999999999999)*1.1,deployment_raw[[#This Row],[Column11]] * IF($E$2="Deployment",deployment_raw[[#This Row],[Column5]],1)/1048576)),"")</f>
        <v/>
      </c>
      <c r="L824" s="124" t="str">
        <f>IF(ISNUMBER(deployment_raw[[#This Row],[Column8]]),IF(OR(deployment_raw[[#This Row],[Column5]] &lt;&gt; 0,$E$2 &lt;&gt; "Deployment"), MAX(J824, P824, R824, ($L$2 * IF($E$2="Deployment",deployment_raw[[#This Row],[Column5]],1)),IF(T824&lt;&gt;"",VALUE(T824) * IF($E$2="Deployment",deployment_raw[[#This Row],[Column5]],1),0)), 0),"")</f>
        <v/>
      </c>
      <c r="M824" s="125" t="str">
        <f>IF(ISNUMBER(deployment_raw[[#This Row],[Column9]]),IF(OR(deployment_raw[[#This Row],[Column5]] &lt;&gt; 0,$E$2&lt;&gt;"Deployment"), MAX(K824, Q824, S824, ($M$2 * IF($E$2="Deployment",deployment_raw[[#This Row],[Column5]],1)),IF(U824&lt;&gt;"",VALUE(U824) * IF($E$2="Deployment",deployment_raw[[#This Row],[Column5]],1),0)), 0),"")</f>
        <v/>
      </c>
      <c r="N824" s="166" t="str">
        <f>IF(ISNUMBER(deployment_raw[[#This Row],[Column14]]), deployment_raw[[#This Row],[Column14]]/IF(OR($E$2="Deployment",deployment_raw[[#This Row],[Column5]]=0),1,deployment_raw[[#This Row],[Column5]]),"")</f>
        <v/>
      </c>
      <c r="O824" s="167" t="str">
        <f>IF(ISNUMBER(deployment_raw[[#This Row],[Column15]]), deployment_raw[[#This Row],[Column15]]/IF(OR($E$2="Deployment",deployment_raw[[#This Row],[Column5]]=0),1,deployment_raw[[#This Row],[Column5]])/1048576,"")</f>
        <v/>
      </c>
      <c r="P824" s="168" t="str">
        <f>IF(ISNUMBER(deployment_raw[[#This Row],[Column12]]), (MIN(IF(N824&lt;&gt;"",N824,9999999999999)*1.1,deployment_raw[[#This Row],[Column12]] * IF($E$2="Deployment",deployment_raw[[#This Row],[Column5]],1))*(1+$P$2)),"")</f>
        <v/>
      </c>
      <c r="Q824" s="167" t="str">
        <f>IF(ISNUMBER(deployment_raw[[#This Row],[Column13]]), (MIN(IF(O824&lt;&gt;"",O824,9999999999999)*1.1,deployment_raw[[#This Row],[Column13]] * IF($E$2="Deployment",deployment_raw[[#This Row],[Column5]],1)*(1+$Q$2)/1048576)),"")</f>
        <v/>
      </c>
      <c r="R824" s="169" t="str">
        <f>IF(ISNUMBER(deployment_raw[[#This Row],[Column8]]), (H824  * IF(N824&lt;&gt;0,$R$2,1)),"")</f>
        <v/>
      </c>
      <c r="S824" s="170" t="str">
        <f>IF(ISNUMBER(deployment_raw[[#This Row],[Column8]]), (I824  * IF(O824&lt;&gt;0,$S$2,1)),"")</f>
        <v/>
      </c>
      <c r="T824" s="202" t="str">
        <f>IF(AND(A824&lt;&gt;"",_xlfn.IFNA(MATCH(A824,'dynamic resource application '!$A$2:$A$100, 0),0)&lt;&gt;0), H824/(IF($E$2="Deployment",E824,1)),"")</f>
        <v/>
      </c>
      <c r="U824" s="211" t="str">
        <f>IF(AND(A824&lt;&gt;"",_xlfn.IFNA(MATCH(A824,'dynamic resource application '!$A$2:$A$100, 0),0)&lt;&gt;0), I824/(IF($E$2="Deployment",E824,1)),"")</f>
        <v/>
      </c>
    </row>
    <row r="825" spans="1:21" ht="15.75" customHeight="1" x14ac:dyDescent="0.25">
      <c r="A825" s="35" t="str">
        <f>IF(ISNONTEXT(deployment_raw[[#This Row],[Column1]]), "", deployment_raw[[#This Row],[Column1]])</f>
        <v/>
      </c>
      <c r="B825" s="36" t="str">
        <f>IF(ISNONTEXT(deployment_raw[[#This Row],[Column2]]), "", deployment_raw[[#This Row],[Column2]])</f>
        <v/>
      </c>
      <c r="C825" s="36" t="str">
        <f>IF(ISNONTEXT(deployment_raw[[#This Row],[Column3]]), "", deployment_raw[[#This Row],[Column3]])</f>
        <v/>
      </c>
      <c r="D825" s="36" t="str">
        <f>IF(ISNONTEXT(deployment_raw[[#This Row],[Column4]]), "", deployment_raw[[#This Row],[Column4]])</f>
        <v/>
      </c>
      <c r="E825" s="37" t="str">
        <f>IF(ISNUMBER(deployment_raw[[#This Row],[Column5]]), deployment_raw[[#This Row],[Column5]],"")</f>
        <v/>
      </c>
      <c r="F825" s="94" t="str">
        <f>IF(ISNUMBER(deployment_raw[[#This Row],[Column6]]), (deployment_raw[[#This Row],[Column6]] * IF($E$2="Deployment",deployment_raw[[#This Row],[Column5]],1)),"")</f>
        <v/>
      </c>
      <c r="G825" s="95" t="str">
        <f>IF(ISNUMBER(deployment_raw[[#This Row],[Column7]]), (deployment_raw[[#This Row],[Column7]] * IF($E$2="Deployment",deployment_raw[[#This Row],[Column5]],1))/1048576,"")</f>
        <v/>
      </c>
      <c r="H825" s="95" t="str">
        <f>IF(ISNUMBER(deployment_raw[[#This Row],[Column8]]), (deployment_raw[[#This Row],[Column8]]  * IF($E$2="Deployment",deployment_raw[[#This Row],[Column5]],1)),"")</f>
        <v/>
      </c>
      <c r="I825" s="96" t="str">
        <f>IF(ISNUMBER(deployment_raw[[#This Row],[Column9]]), (deployment_raw[[#This Row],[Column9]] * IF($E$2="Deployment",deployment_raw[[#This Row],[Column5]],1))/1048576,"")</f>
        <v/>
      </c>
      <c r="J825" s="122" t="str">
        <f>IF(ISNUMBER(deployment_raw[[#This Row],[Column10]]), (MIN(IF(N825&lt;&gt;"",N825,9999999999999)*1.1,deployment_raw[[#This Row],[Column10]] * IF($E$2="Deployment",deployment_raw[[#This Row],[Column5]],1))),"")</f>
        <v/>
      </c>
      <c r="K825" s="123" t="str">
        <f>IF(ISNUMBER(deployment_raw[[#This Row],[Column11]]), (MIN(IF(O825&lt;&gt;"",O825,9999999999999)*1.1,deployment_raw[[#This Row],[Column11]] * IF($E$2="Deployment",deployment_raw[[#This Row],[Column5]],1)/1048576)),"")</f>
        <v/>
      </c>
      <c r="L825" s="124" t="str">
        <f>IF(ISNUMBER(deployment_raw[[#This Row],[Column8]]),IF(OR(deployment_raw[[#This Row],[Column5]] &lt;&gt; 0,$E$2 &lt;&gt; "Deployment"), MAX(J825, P825, R825, ($L$2 * IF($E$2="Deployment",deployment_raw[[#This Row],[Column5]],1)),IF(T825&lt;&gt;"",VALUE(T825) * IF($E$2="Deployment",deployment_raw[[#This Row],[Column5]],1),0)), 0),"")</f>
        <v/>
      </c>
      <c r="M825" s="125" t="str">
        <f>IF(ISNUMBER(deployment_raw[[#This Row],[Column9]]),IF(OR(deployment_raw[[#This Row],[Column5]] &lt;&gt; 0,$E$2&lt;&gt;"Deployment"), MAX(K825, Q825, S825, ($M$2 * IF($E$2="Deployment",deployment_raw[[#This Row],[Column5]],1)),IF(U825&lt;&gt;"",VALUE(U825) * IF($E$2="Deployment",deployment_raw[[#This Row],[Column5]],1),0)), 0),"")</f>
        <v/>
      </c>
      <c r="N825" s="166" t="str">
        <f>IF(ISNUMBER(deployment_raw[[#This Row],[Column14]]), deployment_raw[[#This Row],[Column14]]/IF(OR($E$2="Deployment",deployment_raw[[#This Row],[Column5]]=0),1,deployment_raw[[#This Row],[Column5]]),"")</f>
        <v/>
      </c>
      <c r="O825" s="167" t="str">
        <f>IF(ISNUMBER(deployment_raw[[#This Row],[Column15]]), deployment_raw[[#This Row],[Column15]]/IF(OR($E$2="Deployment",deployment_raw[[#This Row],[Column5]]=0),1,deployment_raw[[#This Row],[Column5]])/1048576,"")</f>
        <v/>
      </c>
      <c r="P825" s="168" t="str">
        <f>IF(ISNUMBER(deployment_raw[[#This Row],[Column12]]), (MIN(IF(N825&lt;&gt;"",N825,9999999999999)*1.1,deployment_raw[[#This Row],[Column12]] * IF($E$2="Deployment",deployment_raw[[#This Row],[Column5]],1))*(1+$P$2)),"")</f>
        <v/>
      </c>
      <c r="Q825" s="167" t="str">
        <f>IF(ISNUMBER(deployment_raw[[#This Row],[Column13]]), (MIN(IF(O825&lt;&gt;"",O825,9999999999999)*1.1,deployment_raw[[#This Row],[Column13]] * IF($E$2="Deployment",deployment_raw[[#This Row],[Column5]],1)*(1+$Q$2)/1048576)),"")</f>
        <v/>
      </c>
      <c r="R825" s="169" t="str">
        <f>IF(ISNUMBER(deployment_raw[[#This Row],[Column8]]), (H825  * IF(N825&lt;&gt;0,$R$2,1)),"")</f>
        <v/>
      </c>
      <c r="S825" s="170" t="str">
        <f>IF(ISNUMBER(deployment_raw[[#This Row],[Column8]]), (I825  * IF(O825&lt;&gt;0,$S$2,1)),"")</f>
        <v/>
      </c>
      <c r="T825" s="202" t="str">
        <f>IF(AND(A825&lt;&gt;"",_xlfn.IFNA(MATCH(A825,'dynamic resource application '!$A$2:$A$100, 0),0)&lt;&gt;0), H825/(IF($E$2="Deployment",E825,1)),"")</f>
        <v/>
      </c>
      <c r="U825" s="211" t="str">
        <f>IF(AND(A825&lt;&gt;"",_xlfn.IFNA(MATCH(A825,'dynamic resource application '!$A$2:$A$100, 0),0)&lt;&gt;0), I825/(IF($E$2="Deployment",E825,1)),"")</f>
        <v/>
      </c>
    </row>
    <row r="826" spans="1:21" ht="15.75" customHeight="1" x14ac:dyDescent="0.25">
      <c r="A826" s="35" t="str">
        <f>IF(ISNONTEXT(deployment_raw[[#This Row],[Column1]]), "", deployment_raw[[#This Row],[Column1]])</f>
        <v/>
      </c>
      <c r="B826" s="36" t="str">
        <f>IF(ISNONTEXT(deployment_raw[[#This Row],[Column2]]), "", deployment_raw[[#This Row],[Column2]])</f>
        <v/>
      </c>
      <c r="C826" s="36" t="str">
        <f>IF(ISNONTEXT(deployment_raw[[#This Row],[Column3]]), "", deployment_raw[[#This Row],[Column3]])</f>
        <v/>
      </c>
      <c r="D826" s="36" t="str">
        <f>IF(ISNONTEXT(deployment_raw[[#This Row],[Column4]]), "", deployment_raw[[#This Row],[Column4]])</f>
        <v/>
      </c>
      <c r="E826" s="37" t="str">
        <f>IF(ISNUMBER(deployment_raw[[#This Row],[Column5]]), deployment_raw[[#This Row],[Column5]],"")</f>
        <v/>
      </c>
      <c r="F826" s="94" t="str">
        <f>IF(ISNUMBER(deployment_raw[[#This Row],[Column6]]), (deployment_raw[[#This Row],[Column6]] * IF($E$2="Deployment",deployment_raw[[#This Row],[Column5]],1)),"")</f>
        <v/>
      </c>
      <c r="G826" s="95" t="str">
        <f>IF(ISNUMBER(deployment_raw[[#This Row],[Column7]]), (deployment_raw[[#This Row],[Column7]] * IF($E$2="Deployment",deployment_raw[[#This Row],[Column5]],1))/1048576,"")</f>
        <v/>
      </c>
      <c r="H826" s="95" t="str">
        <f>IF(ISNUMBER(deployment_raw[[#This Row],[Column8]]), (deployment_raw[[#This Row],[Column8]]  * IF($E$2="Deployment",deployment_raw[[#This Row],[Column5]],1)),"")</f>
        <v/>
      </c>
      <c r="I826" s="96" t="str">
        <f>IF(ISNUMBER(deployment_raw[[#This Row],[Column9]]), (deployment_raw[[#This Row],[Column9]] * IF($E$2="Deployment",deployment_raw[[#This Row],[Column5]],1))/1048576,"")</f>
        <v/>
      </c>
      <c r="J826" s="122" t="str">
        <f>IF(ISNUMBER(deployment_raw[[#This Row],[Column10]]), (MIN(IF(N826&lt;&gt;"",N826,9999999999999)*1.1,deployment_raw[[#This Row],[Column10]] * IF($E$2="Deployment",deployment_raw[[#This Row],[Column5]],1))),"")</f>
        <v/>
      </c>
      <c r="K826" s="123" t="str">
        <f>IF(ISNUMBER(deployment_raw[[#This Row],[Column11]]), (MIN(IF(O826&lt;&gt;"",O826,9999999999999)*1.1,deployment_raw[[#This Row],[Column11]] * IF($E$2="Deployment",deployment_raw[[#This Row],[Column5]],1)/1048576)),"")</f>
        <v/>
      </c>
      <c r="L826" s="124" t="str">
        <f>IF(ISNUMBER(deployment_raw[[#This Row],[Column8]]),IF(OR(deployment_raw[[#This Row],[Column5]] &lt;&gt; 0,$E$2 &lt;&gt; "Deployment"), MAX(J826, P826, R826, ($L$2 * IF($E$2="Deployment",deployment_raw[[#This Row],[Column5]],1)),IF(T826&lt;&gt;"",VALUE(T826) * IF($E$2="Deployment",deployment_raw[[#This Row],[Column5]],1),0)), 0),"")</f>
        <v/>
      </c>
      <c r="M826" s="125" t="str">
        <f>IF(ISNUMBER(deployment_raw[[#This Row],[Column9]]),IF(OR(deployment_raw[[#This Row],[Column5]] &lt;&gt; 0,$E$2&lt;&gt;"Deployment"), MAX(K826, Q826, S826, ($M$2 * IF($E$2="Deployment",deployment_raw[[#This Row],[Column5]],1)),IF(U826&lt;&gt;"",VALUE(U826) * IF($E$2="Deployment",deployment_raw[[#This Row],[Column5]],1),0)), 0),"")</f>
        <v/>
      </c>
      <c r="N826" s="166" t="str">
        <f>IF(ISNUMBER(deployment_raw[[#This Row],[Column14]]), deployment_raw[[#This Row],[Column14]]/IF(OR($E$2="Deployment",deployment_raw[[#This Row],[Column5]]=0),1,deployment_raw[[#This Row],[Column5]]),"")</f>
        <v/>
      </c>
      <c r="O826" s="167" t="str">
        <f>IF(ISNUMBER(deployment_raw[[#This Row],[Column15]]), deployment_raw[[#This Row],[Column15]]/IF(OR($E$2="Deployment",deployment_raw[[#This Row],[Column5]]=0),1,deployment_raw[[#This Row],[Column5]])/1048576,"")</f>
        <v/>
      </c>
      <c r="P826" s="168" t="str">
        <f>IF(ISNUMBER(deployment_raw[[#This Row],[Column12]]), (MIN(IF(N826&lt;&gt;"",N826,9999999999999)*1.1,deployment_raw[[#This Row],[Column12]] * IF($E$2="Deployment",deployment_raw[[#This Row],[Column5]],1))*(1+$P$2)),"")</f>
        <v/>
      </c>
      <c r="Q826" s="167" t="str">
        <f>IF(ISNUMBER(deployment_raw[[#This Row],[Column13]]), (MIN(IF(O826&lt;&gt;"",O826,9999999999999)*1.1,deployment_raw[[#This Row],[Column13]] * IF($E$2="Deployment",deployment_raw[[#This Row],[Column5]],1)*(1+$Q$2)/1048576)),"")</f>
        <v/>
      </c>
      <c r="R826" s="169" t="str">
        <f>IF(ISNUMBER(deployment_raw[[#This Row],[Column8]]), (H826  * IF(N826&lt;&gt;0,$R$2,1)),"")</f>
        <v/>
      </c>
      <c r="S826" s="170" t="str">
        <f>IF(ISNUMBER(deployment_raw[[#This Row],[Column8]]), (I826  * IF(O826&lt;&gt;0,$S$2,1)),"")</f>
        <v/>
      </c>
      <c r="T826" s="202" t="str">
        <f>IF(AND(A826&lt;&gt;"",_xlfn.IFNA(MATCH(A826,'dynamic resource application '!$A$2:$A$100, 0),0)&lt;&gt;0), H826/(IF($E$2="Deployment",E826,1)),"")</f>
        <v/>
      </c>
      <c r="U826" s="211" t="str">
        <f>IF(AND(A826&lt;&gt;"",_xlfn.IFNA(MATCH(A826,'dynamic resource application '!$A$2:$A$100, 0),0)&lt;&gt;0), I826/(IF($E$2="Deployment",E826,1)),"")</f>
        <v/>
      </c>
    </row>
    <row r="827" spans="1:21" ht="15.75" customHeight="1" x14ac:dyDescent="0.25">
      <c r="A827" s="35" t="str">
        <f>IF(ISNONTEXT(deployment_raw[[#This Row],[Column1]]), "", deployment_raw[[#This Row],[Column1]])</f>
        <v/>
      </c>
      <c r="B827" s="36" t="str">
        <f>IF(ISNONTEXT(deployment_raw[[#This Row],[Column2]]), "", deployment_raw[[#This Row],[Column2]])</f>
        <v/>
      </c>
      <c r="C827" s="36" t="str">
        <f>IF(ISNONTEXT(deployment_raw[[#This Row],[Column3]]), "", deployment_raw[[#This Row],[Column3]])</f>
        <v/>
      </c>
      <c r="D827" s="36" t="str">
        <f>IF(ISNONTEXT(deployment_raw[[#This Row],[Column4]]), "", deployment_raw[[#This Row],[Column4]])</f>
        <v/>
      </c>
      <c r="E827" s="37" t="str">
        <f>IF(ISNUMBER(deployment_raw[[#This Row],[Column5]]), deployment_raw[[#This Row],[Column5]],"")</f>
        <v/>
      </c>
      <c r="F827" s="94" t="str">
        <f>IF(ISNUMBER(deployment_raw[[#This Row],[Column6]]), (deployment_raw[[#This Row],[Column6]] * IF($E$2="Deployment",deployment_raw[[#This Row],[Column5]],1)),"")</f>
        <v/>
      </c>
      <c r="G827" s="95" t="str">
        <f>IF(ISNUMBER(deployment_raw[[#This Row],[Column7]]), (deployment_raw[[#This Row],[Column7]] * IF($E$2="Deployment",deployment_raw[[#This Row],[Column5]],1))/1048576,"")</f>
        <v/>
      </c>
      <c r="H827" s="95" t="str">
        <f>IF(ISNUMBER(deployment_raw[[#This Row],[Column8]]), (deployment_raw[[#This Row],[Column8]]  * IF($E$2="Deployment",deployment_raw[[#This Row],[Column5]],1)),"")</f>
        <v/>
      </c>
      <c r="I827" s="96" t="str">
        <f>IF(ISNUMBER(deployment_raw[[#This Row],[Column9]]), (deployment_raw[[#This Row],[Column9]] * IF($E$2="Deployment",deployment_raw[[#This Row],[Column5]],1))/1048576,"")</f>
        <v/>
      </c>
      <c r="J827" s="122" t="str">
        <f>IF(ISNUMBER(deployment_raw[[#This Row],[Column10]]), (MIN(IF(N827&lt;&gt;"",N827,9999999999999)*1.1,deployment_raw[[#This Row],[Column10]] * IF($E$2="Deployment",deployment_raw[[#This Row],[Column5]],1))),"")</f>
        <v/>
      </c>
      <c r="K827" s="123" t="str">
        <f>IF(ISNUMBER(deployment_raw[[#This Row],[Column11]]), (MIN(IF(O827&lt;&gt;"",O827,9999999999999)*1.1,deployment_raw[[#This Row],[Column11]] * IF($E$2="Deployment",deployment_raw[[#This Row],[Column5]],1)/1048576)),"")</f>
        <v/>
      </c>
      <c r="L827" s="124" t="str">
        <f>IF(ISNUMBER(deployment_raw[[#This Row],[Column8]]),IF(OR(deployment_raw[[#This Row],[Column5]] &lt;&gt; 0,$E$2 &lt;&gt; "Deployment"), MAX(J827, P827, R827, ($L$2 * IF($E$2="Deployment",deployment_raw[[#This Row],[Column5]],1)),IF(T827&lt;&gt;"",VALUE(T827) * IF($E$2="Deployment",deployment_raw[[#This Row],[Column5]],1),0)), 0),"")</f>
        <v/>
      </c>
      <c r="M827" s="125" t="str">
        <f>IF(ISNUMBER(deployment_raw[[#This Row],[Column9]]),IF(OR(deployment_raw[[#This Row],[Column5]] &lt;&gt; 0,$E$2&lt;&gt;"Deployment"), MAX(K827, Q827, S827, ($M$2 * IF($E$2="Deployment",deployment_raw[[#This Row],[Column5]],1)),IF(U827&lt;&gt;"",VALUE(U827) * IF($E$2="Deployment",deployment_raw[[#This Row],[Column5]],1),0)), 0),"")</f>
        <v/>
      </c>
      <c r="N827" s="166" t="str">
        <f>IF(ISNUMBER(deployment_raw[[#This Row],[Column14]]), deployment_raw[[#This Row],[Column14]]/IF(OR($E$2="Deployment",deployment_raw[[#This Row],[Column5]]=0),1,deployment_raw[[#This Row],[Column5]]),"")</f>
        <v/>
      </c>
      <c r="O827" s="167" t="str">
        <f>IF(ISNUMBER(deployment_raw[[#This Row],[Column15]]), deployment_raw[[#This Row],[Column15]]/IF(OR($E$2="Deployment",deployment_raw[[#This Row],[Column5]]=0),1,deployment_raw[[#This Row],[Column5]])/1048576,"")</f>
        <v/>
      </c>
      <c r="P827" s="168" t="str">
        <f>IF(ISNUMBER(deployment_raw[[#This Row],[Column12]]), (MIN(IF(N827&lt;&gt;"",N827,9999999999999)*1.1,deployment_raw[[#This Row],[Column12]] * IF($E$2="Deployment",deployment_raw[[#This Row],[Column5]],1))*(1+$P$2)),"")</f>
        <v/>
      </c>
      <c r="Q827" s="167" t="str">
        <f>IF(ISNUMBER(deployment_raw[[#This Row],[Column13]]), (MIN(IF(O827&lt;&gt;"",O827,9999999999999)*1.1,deployment_raw[[#This Row],[Column13]] * IF($E$2="Deployment",deployment_raw[[#This Row],[Column5]],1)*(1+$Q$2)/1048576)),"")</f>
        <v/>
      </c>
      <c r="R827" s="169" t="str">
        <f>IF(ISNUMBER(deployment_raw[[#This Row],[Column8]]), (H827  * IF(N827&lt;&gt;0,$R$2,1)),"")</f>
        <v/>
      </c>
      <c r="S827" s="170" t="str">
        <f>IF(ISNUMBER(deployment_raw[[#This Row],[Column8]]), (I827  * IF(O827&lt;&gt;0,$S$2,1)),"")</f>
        <v/>
      </c>
      <c r="T827" s="202" t="str">
        <f>IF(AND(A827&lt;&gt;"",_xlfn.IFNA(MATCH(A827,'dynamic resource application '!$A$2:$A$100, 0),0)&lt;&gt;0), H827/(IF($E$2="Deployment",E827,1)),"")</f>
        <v/>
      </c>
      <c r="U827" s="211" t="str">
        <f>IF(AND(A827&lt;&gt;"",_xlfn.IFNA(MATCH(A827,'dynamic resource application '!$A$2:$A$100, 0),0)&lt;&gt;0), I827/(IF($E$2="Deployment",E827,1)),"")</f>
        <v/>
      </c>
    </row>
    <row r="828" spans="1:21" ht="15.75" customHeight="1" x14ac:dyDescent="0.25">
      <c r="A828" s="35" t="str">
        <f>IF(ISNONTEXT(deployment_raw[[#This Row],[Column1]]), "", deployment_raw[[#This Row],[Column1]])</f>
        <v/>
      </c>
      <c r="B828" s="36" t="str">
        <f>IF(ISNONTEXT(deployment_raw[[#This Row],[Column2]]), "", deployment_raw[[#This Row],[Column2]])</f>
        <v/>
      </c>
      <c r="C828" s="36" t="str">
        <f>IF(ISNONTEXT(deployment_raw[[#This Row],[Column3]]), "", deployment_raw[[#This Row],[Column3]])</f>
        <v/>
      </c>
      <c r="D828" s="36" t="str">
        <f>IF(ISNONTEXT(deployment_raw[[#This Row],[Column4]]), "", deployment_raw[[#This Row],[Column4]])</f>
        <v/>
      </c>
      <c r="E828" s="37" t="str">
        <f>IF(ISNUMBER(deployment_raw[[#This Row],[Column5]]), deployment_raw[[#This Row],[Column5]],"")</f>
        <v/>
      </c>
      <c r="F828" s="94" t="str">
        <f>IF(ISNUMBER(deployment_raw[[#This Row],[Column6]]), (deployment_raw[[#This Row],[Column6]] * IF($E$2="Deployment",deployment_raw[[#This Row],[Column5]],1)),"")</f>
        <v/>
      </c>
      <c r="G828" s="95" t="str">
        <f>IF(ISNUMBER(deployment_raw[[#This Row],[Column7]]), (deployment_raw[[#This Row],[Column7]] * IF($E$2="Deployment",deployment_raw[[#This Row],[Column5]],1))/1048576,"")</f>
        <v/>
      </c>
      <c r="H828" s="95" t="str">
        <f>IF(ISNUMBER(deployment_raw[[#This Row],[Column8]]), (deployment_raw[[#This Row],[Column8]]  * IF($E$2="Deployment",deployment_raw[[#This Row],[Column5]],1)),"")</f>
        <v/>
      </c>
      <c r="I828" s="96" t="str">
        <f>IF(ISNUMBER(deployment_raw[[#This Row],[Column9]]), (deployment_raw[[#This Row],[Column9]] * IF($E$2="Deployment",deployment_raw[[#This Row],[Column5]],1))/1048576,"")</f>
        <v/>
      </c>
      <c r="J828" s="122" t="str">
        <f>IF(ISNUMBER(deployment_raw[[#This Row],[Column10]]), (MIN(IF(N828&lt;&gt;"",N828,9999999999999)*1.1,deployment_raw[[#This Row],[Column10]] * IF($E$2="Deployment",deployment_raw[[#This Row],[Column5]],1))),"")</f>
        <v/>
      </c>
      <c r="K828" s="123" t="str">
        <f>IF(ISNUMBER(deployment_raw[[#This Row],[Column11]]), (MIN(IF(O828&lt;&gt;"",O828,9999999999999)*1.1,deployment_raw[[#This Row],[Column11]] * IF($E$2="Deployment",deployment_raw[[#This Row],[Column5]],1)/1048576)),"")</f>
        <v/>
      </c>
      <c r="L828" s="124" t="str">
        <f>IF(ISNUMBER(deployment_raw[[#This Row],[Column8]]),IF(OR(deployment_raw[[#This Row],[Column5]] &lt;&gt; 0,$E$2 &lt;&gt; "Deployment"), MAX(J828, P828, R828, ($L$2 * IF($E$2="Deployment",deployment_raw[[#This Row],[Column5]],1)),IF(T828&lt;&gt;"",VALUE(T828) * IF($E$2="Deployment",deployment_raw[[#This Row],[Column5]],1),0)), 0),"")</f>
        <v/>
      </c>
      <c r="M828" s="125" t="str">
        <f>IF(ISNUMBER(deployment_raw[[#This Row],[Column9]]),IF(OR(deployment_raw[[#This Row],[Column5]] &lt;&gt; 0,$E$2&lt;&gt;"Deployment"), MAX(K828, Q828, S828, ($M$2 * IF($E$2="Deployment",deployment_raw[[#This Row],[Column5]],1)),IF(U828&lt;&gt;"",VALUE(U828) * IF($E$2="Deployment",deployment_raw[[#This Row],[Column5]],1),0)), 0),"")</f>
        <v/>
      </c>
      <c r="N828" s="166" t="str">
        <f>IF(ISNUMBER(deployment_raw[[#This Row],[Column14]]), deployment_raw[[#This Row],[Column14]]/IF(OR($E$2="Deployment",deployment_raw[[#This Row],[Column5]]=0),1,deployment_raw[[#This Row],[Column5]]),"")</f>
        <v/>
      </c>
      <c r="O828" s="167" t="str">
        <f>IF(ISNUMBER(deployment_raw[[#This Row],[Column15]]), deployment_raw[[#This Row],[Column15]]/IF(OR($E$2="Deployment",deployment_raw[[#This Row],[Column5]]=0),1,deployment_raw[[#This Row],[Column5]])/1048576,"")</f>
        <v/>
      </c>
      <c r="P828" s="168" t="str">
        <f>IF(ISNUMBER(deployment_raw[[#This Row],[Column12]]), (MIN(IF(N828&lt;&gt;"",N828,9999999999999)*1.1,deployment_raw[[#This Row],[Column12]] * IF($E$2="Deployment",deployment_raw[[#This Row],[Column5]],1))*(1+$P$2)),"")</f>
        <v/>
      </c>
      <c r="Q828" s="167" t="str">
        <f>IF(ISNUMBER(deployment_raw[[#This Row],[Column13]]), (MIN(IF(O828&lt;&gt;"",O828,9999999999999)*1.1,deployment_raw[[#This Row],[Column13]] * IF($E$2="Deployment",deployment_raw[[#This Row],[Column5]],1)*(1+$Q$2)/1048576)),"")</f>
        <v/>
      </c>
      <c r="R828" s="169" t="str">
        <f>IF(ISNUMBER(deployment_raw[[#This Row],[Column8]]), (H828  * IF(N828&lt;&gt;0,$R$2,1)),"")</f>
        <v/>
      </c>
      <c r="S828" s="170" t="str">
        <f>IF(ISNUMBER(deployment_raw[[#This Row],[Column8]]), (I828  * IF(O828&lt;&gt;0,$S$2,1)),"")</f>
        <v/>
      </c>
      <c r="T828" s="202" t="str">
        <f>IF(AND(A828&lt;&gt;"",_xlfn.IFNA(MATCH(A828,'dynamic resource application '!$A$2:$A$100, 0),0)&lt;&gt;0), H828/(IF($E$2="Deployment",E828,1)),"")</f>
        <v/>
      </c>
      <c r="U828" s="211" t="str">
        <f>IF(AND(A828&lt;&gt;"",_xlfn.IFNA(MATCH(A828,'dynamic resource application '!$A$2:$A$100, 0),0)&lt;&gt;0), I828/(IF($E$2="Deployment",E828,1)),"")</f>
        <v/>
      </c>
    </row>
    <row r="829" spans="1:21" ht="15.75" customHeight="1" x14ac:dyDescent="0.25">
      <c r="A829" s="35" t="str">
        <f>IF(ISNONTEXT(deployment_raw[[#This Row],[Column1]]), "", deployment_raw[[#This Row],[Column1]])</f>
        <v/>
      </c>
      <c r="B829" s="36" t="str">
        <f>IF(ISNONTEXT(deployment_raw[[#This Row],[Column2]]), "", deployment_raw[[#This Row],[Column2]])</f>
        <v/>
      </c>
      <c r="C829" s="36" t="str">
        <f>IF(ISNONTEXT(deployment_raw[[#This Row],[Column3]]), "", deployment_raw[[#This Row],[Column3]])</f>
        <v/>
      </c>
      <c r="D829" s="36" t="str">
        <f>IF(ISNONTEXT(deployment_raw[[#This Row],[Column4]]), "", deployment_raw[[#This Row],[Column4]])</f>
        <v/>
      </c>
      <c r="E829" s="37" t="str">
        <f>IF(ISNUMBER(deployment_raw[[#This Row],[Column5]]), deployment_raw[[#This Row],[Column5]],"")</f>
        <v/>
      </c>
      <c r="F829" s="94" t="str">
        <f>IF(ISNUMBER(deployment_raw[[#This Row],[Column6]]), (deployment_raw[[#This Row],[Column6]] * IF($E$2="Deployment",deployment_raw[[#This Row],[Column5]],1)),"")</f>
        <v/>
      </c>
      <c r="G829" s="95" t="str">
        <f>IF(ISNUMBER(deployment_raw[[#This Row],[Column7]]), (deployment_raw[[#This Row],[Column7]] * IF($E$2="Deployment",deployment_raw[[#This Row],[Column5]],1))/1048576,"")</f>
        <v/>
      </c>
      <c r="H829" s="95" t="str">
        <f>IF(ISNUMBER(deployment_raw[[#This Row],[Column8]]), (deployment_raw[[#This Row],[Column8]]  * IF($E$2="Deployment",deployment_raw[[#This Row],[Column5]],1)),"")</f>
        <v/>
      </c>
      <c r="I829" s="96" t="str">
        <f>IF(ISNUMBER(deployment_raw[[#This Row],[Column9]]), (deployment_raw[[#This Row],[Column9]] * IF($E$2="Deployment",deployment_raw[[#This Row],[Column5]],1))/1048576,"")</f>
        <v/>
      </c>
      <c r="J829" s="122" t="str">
        <f>IF(ISNUMBER(deployment_raw[[#This Row],[Column10]]), (MIN(IF(N829&lt;&gt;"",N829,9999999999999)*1.1,deployment_raw[[#This Row],[Column10]] * IF($E$2="Deployment",deployment_raw[[#This Row],[Column5]],1))),"")</f>
        <v/>
      </c>
      <c r="K829" s="123" t="str">
        <f>IF(ISNUMBER(deployment_raw[[#This Row],[Column11]]), (MIN(IF(O829&lt;&gt;"",O829,9999999999999)*1.1,deployment_raw[[#This Row],[Column11]] * IF($E$2="Deployment",deployment_raw[[#This Row],[Column5]],1)/1048576)),"")</f>
        <v/>
      </c>
      <c r="L829" s="124" t="str">
        <f>IF(ISNUMBER(deployment_raw[[#This Row],[Column8]]),IF(OR(deployment_raw[[#This Row],[Column5]] &lt;&gt; 0,$E$2 &lt;&gt; "Deployment"), MAX(J829, P829, R829, ($L$2 * IF($E$2="Deployment",deployment_raw[[#This Row],[Column5]],1)),IF(T829&lt;&gt;"",VALUE(T829) * IF($E$2="Deployment",deployment_raw[[#This Row],[Column5]],1),0)), 0),"")</f>
        <v/>
      </c>
      <c r="M829" s="125" t="str">
        <f>IF(ISNUMBER(deployment_raw[[#This Row],[Column9]]),IF(OR(deployment_raw[[#This Row],[Column5]] &lt;&gt; 0,$E$2&lt;&gt;"Deployment"), MAX(K829, Q829, S829, ($M$2 * IF($E$2="Deployment",deployment_raw[[#This Row],[Column5]],1)),IF(U829&lt;&gt;"",VALUE(U829) * IF($E$2="Deployment",deployment_raw[[#This Row],[Column5]],1),0)), 0),"")</f>
        <v/>
      </c>
      <c r="N829" s="166" t="str">
        <f>IF(ISNUMBER(deployment_raw[[#This Row],[Column14]]), deployment_raw[[#This Row],[Column14]]/IF(OR($E$2="Deployment",deployment_raw[[#This Row],[Column5]]=0),1,deployment_raw[[#This Row],[Column5]]),"")</f>
        <v/>
      </c>
      <c r="O829" s="167" t="str">
        <f>IF(ISNUMBER(deployment_raw[[#This Row],[Column15]]), deployment_raw[[#This Row],[Column15]]/IF(OR($E$2="Deployment",deployment_raw[[#This Row],[Column5]]=0),1,deployment_raw[[#This Row],[Column5]])/1048576,"")</f>
        <v/>
      </c>
      <c r="P829" s="168" t="str">
        <f>IF(ISNUMBER(deployment_raw[[#This Row],[Column12]]), (MIN(IF(N829&lt;&gt;"",N829,9999999999999)*1.1,deployment_raw[[#This Row],[Column12]] * IF($E$2="Deployment",deployment_raw[[#This Row],[Column5]],1))*(1+$P$2)),"")</f>
        <v/>
      </c>
      <c r="Q829" s="167" t="str">
        <f>IF(ISNUMBER(deployment_raw[[#This Row],[Column13]]), (MIN(IF(O829&lt;&gt;"",O829,9999999999999)*1.1,deployment_raw[[#This Row],[Column13]] * IF($E$2="Deployment",deployment_raw[[#This Row],[Column5]],1)*(1+$Q$2)/1048576)),"")</f>
        <v/>
      </c>
      <c r="R829" s="169" t="str">
        <f>IF(ISNUMBER(deployment_raw[[#This Row],[Column8]]), (H829  * IF(N829&lt;&gt;0,$R$2,1)),"")</f>
        <v/>
      </c>
      <c r="S829" s="170" t="str">
        <f>IF(ISNUMBER(deployment_raw[[#This Row],[Column8]]), (I829  * IF(O829&lt;&gt;0,$S$2,1)),"")</f>
        <v/>
      </c>
      <c r="T829" s="202" t="str">
        <f>IF(AND(A829&lt;&gt;"",_xlfn.IFNA(MATCH(A829,'dynamic resource application '!$A$2:$A$100, 0),0)&lt;&gt;0), H829/(IF($E$2="Deployment",E829,1)),"")</f>
        <v/>
      </c>
      <c r="U829" s="211" t="str">
        <f>IF(AND(A829&lt;&gt;"",_xlfn.IFNA(MATCH(A829,'dynamic resource application '!$A$2:$A$100, 0),0)&lt;&gt;0), I829/(IF($E$2="Deployment",E829,1)),"")</f>
        <v/>
      </c>
    </row>
    <row r="830" spans="1:21" ht="15.75" customHeight="1" x14ac:dyDescent="0.25">
      <c r="A830" s="35" t="str">
        <f>IF(ISNONTEXT(deployment_raw[[#This Row],[Column1]]), "", deployment_raw[[#This Row],[Column1]])</f>
        <v/>
      </c>
      <c r="B830" s="36" t="str">
        <f>IF(ISNONTEXT(deployment_raw[[#This Row],[Column2]]), "", deployment_raw[[#This Row],[Column2]])</f>
        <v/>
      </c>
      <c r="C830" s="36" t="str">
        <f>IF(ISNONTEXT(deployment_raw[[#This Row],[Column3]]), "", deployment_raw[[#This Row],[Column3]])</f>
        <v/>
      </c>
      <c r="D830" s="36" t="str">
        <f>IF(ISNONTEXT(deployment_raw[[#This Row],[Column4]]), "", deployment_raw[[#This Row],[Column4]])</f>
        <v/>
      </c>
      <c r="E830" s="37" t="str">
        <f>IF(ISNUMBER(deployment_raw[[#This Row],[Column5]]), deployment_raw[[#This Row],[Column5]],"")</f>
        <v/>
      </c>
      <c r="F830" s="94" t="str">
        <f>IF(ISNUMBER(deployment_raw[[#This Row],[Column6]]), (deployment_raw[[#This Row],[Column6]] * IF($E$2="Deployment",deployment_raw[[#This Row],[Column5]],1)),"")</f>
        <v/>
      </c>
      <c r="G830" s="95" t="str">
        <f>IF(ISNUMBER(deployment_raw[[#This Row],[Column7]]), (deployment_raw[[#This Row],[Column7]] * IF($E$2="Deployment",deployment_raw[[#This Row],[Column5]],1))/1048576,"")</f>
        <v/>
      </c>
      <c r="H830" s="95" t="str">
        <f>IF(ISNUMBER(deployment_raw[[#This Row],[Column8]]), (deployment_raw[[#This Row],[Column8]]  * IF($E$2="Deployment",deployment_raw[[#This Row],[Column5]],1)),"")</f>
        <v/>
      </c>
      <c r="I830" s="96" t="str">
        <f>IF(ISNUMBER(deployment_raw[[#This Row],[Column9]]), (deployment_raw[[#This Row],[Column9]] * IF($E$2="Deployment",deployment_raw[[#This Row],[Column5]],1))/1048576,"")</f>
        <v/>
      </c>
      <c r="J830" s="122" t="str">
        <f>IF(ISNUMBER(deployment_raw[[#This Row],[Column10]]), (MIN(IF(N830&lt;&gt;"",N830,9999999999999)*1.1,deployment_raw[[#This Row],[Column10]] * IF($E$2="Deployment",deployment_raw[[#This Row],[Column5]],1))),"")</f>
        <v/>
      </c>
      <c r="K830" s="123" t="str">
        <f>IF(ISNUMBER(deployment_raw[[#This Row],[Column11]]), (MIN(IF(O830&lt;&gt;"",O830,9999999999999)*1.1,deployment_raw[[#This Row],[Column11]] * IF($E$2="Deployment",deployment_raw[[#This Row],[Column5]],1)/1048576)),"")</f>
        <v/>
      </c>
      <c r="L830" s="124" t="str">
        <f>IF(ISNUMBER(deployment_raw[[#This Row],[Column8]]),IF(OR(deployment_raw[[#This Row],[Column5]] &lt;&gt; 0,$E$2 &lt;&gt; "Deployment"), MAX(J830, P830, R830, ($L$2 * IF($E$2="Deployment",deployment_raw[[#This Row],[Column5]],1)),IF(T830&lt;&gt;"",VALUE(T830) * IF($E$2="Deployment",deployment_raw[[#This Row],[Column5]],1),0)), 0),"")</f>
        <v/>
      </c>
      <c r="M830" s="125" t="str">
        <f>IF(ISNUMBER(deployment_raw[[#This Row],[Column9]]),IF(OR(deployment_raw[[#This Row],[Column5]] &lt;&gt; 0,$E$2&lt;&gt;"Deployment"), MAX(K830, Q830, S830, ($M$2 * IF($E$2="Deployment",deployment_raw[[#This Row],[Column5]],1)),IF(U830&lt;&gt;"",VALUE(U830) * IF($E$2="Deployment",deployment_raw[[#This Row],[Column5]],1),0)), 0),"")</f>
        <v/>
      </c>
      <c r="N830" s="166" t="str">
        <f>IF(ISNUMBER(deployment_raw[[#This Row],[Column14]]), deployment_raw[[#This Row],[Column14]]/IF(OR($E$2="Deployment",deployment_raw[[#This Row],[Column5]]=0),1,deployment_raw[[#This Row],[Column5]]),"")</f>
        <v/>
      </c>
      <c r="O830" s="167" t="str">
        <f>IF(ISNUMBER(deployment_raw[[#This Row],[Column15]]), deployment_raw[[#This Row],[Column15]]/IF(OR($E$2="Deployment",deployment_raw[[#This Row],[Column5]]=0),1,deployment_raw[[#This Row],[Column5]])/1048576,"")</f>
        <v/>
      </c>
      <c r="P830" s="168" t="str">
        <f>IF(ISNUMBER(deployment_raw[[#This Row],[Column12]]), (MIN(IF(N830&lt;&gt;"",N830,9999999999999)*1.1,deployment_raw[[#This Row],[Column12]] * IF($E$2="Deployment",deployment_raw[[#This Row],[Column5]],1))*(1+$P$2)),"")</f>
        <v/>
      </c>
      <c r="Q830" s="167" t="str">
        <f>IF(ISNUMBER(deployment_raw[[#This Row],[Column13]]), (MIN(IF(O830&lt;&gt;"",O830,9999999999999)*1.1,deployment_raw[[#This Row],[Column13]] * IF($E$2="Deployment",deployment_raw[[#This Row],[Column5]],1)*(1+$Q$2)/1048576)),"")</f>
        <v/>
      </c>
      <c r="R830" s="169" t="str">
        <f>IF(ISNUMBER(deployment_raw[[#This Row],[Column8]]), (H830  * IF(N830&lt;&gt;0,$R$2,1)),"")</f>
        <v/>
      </c>
      <c r="S830" s="170" t="str">
        <f>IF(ISNUMBER(deployment_raw[[#This Row],[Column8]]), (I830  * IF(O830&lt;&gt;0,$S$2,1)),"")</f>
        <v/>
      </c>
      <c r="T830" s="202" t="str">
        <f>IF(AND(A830&lt;&gt;"",_xlfn.IFNA(MATCH(A830,'dynamic resource application '!$A$2:$A$100, 0),0)&lt;&gt;0), H830/(IF($E$2="Deployment",E830,1)),"")</f>
        <v/>
      </c>
      <c r="U830" s="211" t="str">
        <f>IF(AND(A830&lt;&gt;"",_xlfn.IFNA(MATCH(A830,'dynamic resource application '!$A$2:$A$100, 0),0)&lt;&gt;0), I830/(IF($E$2="Deployment",E830,1)),"")</f>
        <v/>
      </c>
    </row>
    <row r="831" spans="1:21" ht="15.75" customHeight="1" x14ac:dyDescent="0.25">
      <c r="A831" s="35" t="str">
        <f>IF(ISNONTEXT(deployment_raw[[#This Row],[Column1]]), "", deployment_raw[[#This Row],[Column1]])</f>
        <v/>
      </c>
      <c r="B831" s="36" t="str">
        <f>IF(ISNONTEXT(deployment_raw[[#This Row],[Column2]]), "", deployment_raw[[#This Row],[Column2]])</f>
        <v/>
      </c>
      <c r="C831" s="36" t="str">
        <f>IF(ISNONTEXT(deployment_raw[[#This Row],[Column3]]), "", deployment_raw[[#This Row],[Column3]])</f>
        <v/>
      </c>
      <c r="D831" s="36" t="str">
        <f>IF(ISNONTEXT(deployment_raw[[#This Row],[Column4]]), "", deployment_raw[[#This Row],[Column4]])</f>
        <v/>
      </c>
      <c r="E831" s="37" t="str">
        <f>IF(ISNUMBER(deployment_raw[[#This Row],[Column5]]), deployment_raw[[#This Row],[Column5]],"")</f>
        <v/>
      </c>
      <c r="F831" s="94" t="str">
        <f>IF(ISNUMBER(deployment_raw[[#This Row],[Column6]]), (deployment_raw[[#This Row],[Column6]] * IF($E$2="Deployment",deployment_raw[[#This Row],[Column5]],1)),"")</f>
        <v/>
      </c>
      <c r="G831" s="95" t="str">
        <f>IF(ISNUMBER(deployment_raw[[#This Row],[Column7]]), (deployment_raw[[#This Row],[Column7]] * IF($E$2="Deployment",deployment_raw[[#This Row],[Column5]],1))/1048576,"")</f>
        <v/>
      </c>
      <c r="H831" s="95" t="str">
        <f>IF(ISNUMBER(deployment_raw[[#This Row],[Column8]]), (deployment_raw[[#This Row],[Column8]]  * IF($E$2="Deployment",deployment_raw[[#This Row],[Column5]],1)),"")</f>
        <v/>
      </c>
      <c r="I831" s="96" t="str">
        <f>IF(ISNUMBER(deployment_raw[[#This Row],[Column9]]), (deployment_raw[[#This Row],[Column9]] * IF($E$2="Deployment",deployment_raw[[#This Row],[Column5]],1))/1048576,"")</f>
        <v/>
      </c>
      <c r="J831" s="122" t="str">
        <f>IF(ISNUMBER(deployment_raw[[#This Row],[Column10]]), (MIN(IF(N831&lt;&gt;"",N831,9999999999999)*1.1,deployment_raw[[#This Row],[Column10]] * IF($E$2="Deployment",deployment_raw[[#This Row],[Column5]],1))),"")</f>
        <v/>
      </c>
      <c r="K831" s="123" t="str">
        <f>IF(ISNUMBER(deployment_raw[[#This Row],[Column11]]), (MIN(IF(O831&lt;&gt;"",O831,9999999999999)*1.1,deployment_raw[[#This Row],[Column11]] * IF($E$2="Deployment",deployment_raw[[#This Row],[Column5]],1)/1048576)),"")</f>
        <v/>
      </c>
      <c r="L831" s="124" t="str">
        <f>IF(ISNUMBER(deployment_raw[[#This Row],[Column8]]),IF(OR(deployment_raw[[#This Row],[Column5]] &lt;&gt; 0,$E$2 &lt;&gt; "Deployment"), MAX(J831, P831, R831, ($L$2 * IF($E$2="Deployment",deployment_raw[[#This Row],[Column5]],1)),IF(T831&lt;&gt;"",VALUE(T831) * IF($E$2="Deployment",deployment_raw[[#This Row],[Column5]],1),0)), 0),"")</f>
        <v/>
      </c>
      <c r="M831" s="125" t="str">
        <f>IF(ISNUMBER(deployment_raw[[#This Row],[Column9]]),IF(OR(deployment_raw[[#This Row],[Column5]] &lt;&gt; 0,$E$2&lt;&gt;"Deployment"), MAX(K831, Q831, S831, ($M$2 * IF($E$2="Deployment",deployment_raw[[#This Row],[Column5]],1)),IF(U831&lt;&gt;"",VALUE(U831) * IF($E$2="Deployment",deployment_raw[[#This Row],[Column5]],1),0)), 0),"")</f>
        <v/>
      </c>
      <c r="N831" s="166" t="str">
        <f>IF(ISNUMBER(deployment_raw[[#This Row],[Column14]]), deployment_raw[[#This Row],[Column14]]/IF(OR($E$2="Deployment",deployment_raw[[#This Row],[Column5]]=0),1,deployment_raw[[#This Row],[Column5]]),"")</f>
        <v/>
      </c>
      <c r="O831" s="167" t="str">
        <f>IF(ISNUMBER(deployment_raw[[#This Row],[Column15]]), deployment_raw[[#This Row],[Column15]]/IF(OR($E$2="Deployment",deployment_raw[[#This Row],[Column5]]=0),1,deployment_raw[[#This Row],[Column5]])/1048576,"")</f>
        <v/>
      </c>
      <c r="P831" s="168" t="str">
        <f>IF(ISNUMBER(deployment_raw[[#This Row],[Column12]]), (MIN(IF(N831&lt;&gt;"",N831,9999999999999)*1.1,deployment_raw[[#This Row],[Column12]] * IF($E$2="Deployment",deployment_raw[[#This Row],[Column5]],1))*(1+$P$2)),"")</f>
        <v/>
      </c>
      <c r="Q831" s="167" t="str">
        <f>IF(ISNUMBER(deployment_raw[[#This Row],[Column13]]), (MIN(IF(O831&lt;&gt;"",O831,9999999999999)*1.1,deployment_raw[[#This Row],[Column13]] * IF($E$2="Deployment",deployment_raw[[#This Row],[Column5]],1)*(1+$Q$2)/1048576)),"")</f>
        <v/>
      </c>
      <c r="R831" s="169" t="str">
        <f>IF(ISNUMBER(deployment_raw[[#This Row],[Column8]]), (H831  * IF(N831&lt;&gt;0,$R$2,1)),"")</f>
        <v/>
      </c>
      <c r="S831" s="170" t="str">
        <f>IF(ISNUMBER(deployment_raw[[#This Row],[Column8]]), (I831  * IF(O831&lt;&gt;0,$S$2,1)),"")</f>
        <v/>
      </c>
      <c r="T831" s="202" t="str">
        <f>IF(AND(A831&lt;&gt;"",_xlfn.IFNA(MATCH(A831,'dynamic resource application '!$A$2:$A$100, 0),0)&lt;&gt;0), H831/(IF($E$2="Deployment",E831,1)),"")</f>
        <v/>
      </c>
      <c r="U831" s="211" t="str">
        <f>IF(AND(A831&lt;&gt;"",_xlfn.IFNA(MATCH(A831,'dynamic resource application '!$A$2:$A$100, 0),0)&lt;&gt;0), I831/(IF($E$2="Deployment",E831,1)),"")</f>
        <v/>
      </c>
    </row>
    <row r="832" spans="1:21" ht="15.75" customHeight="1" x14ac:dyDescent="0.25">
      <c r="A832" s="35" t="str">
        <f>IF(ISNONTEXT(deployment_raw[[#This Row],[Column1]]), "", deployment_raw[[#This Row],[Column1]])</f>
        <v/>
      </c>
      <c r="B832" s="36" t="str">
        <f>IF(ISNONTEXT(deployment_raw[[#This Row],[Column2]]), "", deployment_raw[[#This Row],[Column2]])</f>
        <v/>
      </c>
      <c r="C832" s="36" t="str">
        <f>IF(ISNONTEXT(deployment_raw[[#This Row],[Column3]]), "", deployment_raw[[#This Row],[Column3]])</f>
        <v/>
      </c>
      <c r="D832" s="36" t="str">
        <f>IF(ISNONTEXT(deployment_raw[[#This Row],[Column4]]), "", deployment_raw[[#This Row],[Column4]])</f>
        <v/>
      </c>
      <c r="E832" s="37" t="str">
        <f>IF(ISNUMBER(deployment_raw[[#This Row],[Column5]]), deployment_raw[[#This Row],[Column5]],"")</f>
        <v/>
      </c>
      <c r="F832" s="94" t="str">
        <f>IF(ISNUMBER(deployment_raw[[#This Row],[Column6]]), (deployment_raw[[#This Row],[Column6]] * IF($E$2="Deployment",deployment_raw[[#This Row],[Column5]],1)),"")</f>
        <v/>
      </c>
      <c r="G832" s="95" t="str">
        <f>IF(ISNUMBER(deployment_raw[[#This Row],[Column7]]), (deployment_raw[[#This Row],[Column7]] * IF($E$2="Deployment",deployment_raw[[#This Row],[Column5]],1))/1048576,"")</f>
        <v/>
      </c>
      <c r="H832" s="95" t="str">
        <f>IF(ISNUMBER(deployment_raw[[#This Row],[Column8]]), (deployment_raw[[#This Row],[Column8]]  * IF($E$2="Deployment",deployment_raw[[#This Row],[Column5]],1)),"")</f>
        <v/>
      </c>
      <c r="I832" s="96" t="str">
        <f>IF(ISNUMBER(deployment_raw[[#This Row],[Column9]]), (deployment_raw[[#This Row],[Column9]] * IF($E$2="Deployment",deployment_raw[[#This Row],[Column5]],1))/1048576,"")</f>
        <v/>
      </c>
      <c r="J832" s="122" t="str">
        <f>IF(ISNUMBER(deployment_raw[[#This Row],[Column10]]), (MIN(IF(N832&lt;&gt;"",N832,9999999999999)*1.1,deployment_raw[[#This Row],[Column10]] * IF($E$2="Deployment",deployment_raw[[#This Row],[Column5]],1))),"")</f>
        <v/>
      </c>
      <c r="K832" s="123" t="str">
        <f>IF(ISNUMBER(deployment_raw[[#This Row],[Column11]]), (MIN(IF(O832&lt;&gt;"",O832,9999999999999)*1.1,deployment_raw[[#This Row],[Column11]] * IF($E$2="Deployment",deployment_raw[[#This Row],[Column5]],1)/1048576)),"")</f>
        <v/>
      </c>
      <c r="L832" s="124" t="str">
        <f>IF(ISNUMBER(deployment_raw[[#This Row],[Column8]]),IF(OR(deployment_raw[[#This Row],[Column5]] &lt;&gt; 0,$E$2 &lt;&gt; "Deployment"), MAX(J832, P832, R832, ($L$2 * IF($E$2="Deployment",deployment_raw[[#This Row],[Column5]],1)),IF(T832&lt;&gt;"",VALUE(T832) * IF($E$2="Deployment",deployment_raw[[#This Row],[Column5]],1),0)), 0),"")</f>
        <v/>
      </c>
      <c r="M832" s="125" t="str">
        <f>IF(ISNUMBER(deployment_raw[[#This Row],[Column9]]),IF(OR(deployment_raw[[#This Row],[Column5]] &lt;&gt; 0,$E$2&lt;&gt;"Deployment"), MAX(K832, Q832, S832, ($M$2 * IF($E$2="Deployment",deployment_raw[[#This Row],[Column5]],1)),IF(U832&lt;&gt;"",VALUE(U832) * IF($E$2="Deployment",deployment_raw[[#This Row],[Column5]],1),0)), 0),"")</f>
        <v/>
      </c>
      <c r="N832" s="166" t="str">
        <f>IF(ISNUMBER(deployment_raw[[#This Row],[Column14]]), deployment_raw[[#This Row],[Column14]]/IF(OR($E$2="Deployment",deployment_raw[[#This Row],[Column5]]=0),1,deployment_raw[[#This Row],[Column5]]),"")</f>
        <v/>
      </c>
      <c r="O832" s="167" t="str">
        <f>IF(ISNUMBER(deployment_raw[[#This Row],[Column15]]), deployment_raw[[#This Row],[Column15]]/IF(OR($E$2="Deployment",deployment_raw[[#This Row],[Column5]]=0),1,deployment_raw[[#This Row],[Column5]])/1048576,"")</f>
        <v/>
      </c>
      <c r="P832" s="168" t="str">
        <f>IF(ISNUMBER(deployment_raw[[#This Row],[Column12]]), (MIN(IF(N832&lt;&gt;"",N832,9999999999999)*1.1,deployment_raw[[#This Row],[Column12]] * IF($E$2="Deployment",deployment_raw[[#This Row],[Column5]],1))*(1+$P$2)),"")</f>
        <v/>
      </c>
      <c r="Q832" s="167" t="str">
        <f>IF(ISNUMBER(deployment_raw[[#This Row],[Column13]]), (MIN(IF(O832&lt;&gt;"",O832,9999999999999)*1.1,deployment_raw[[#This Row],[Column13]] * IF($E$2="Deployment",deployment_raw[[#This Row],[Column5]],1)*(1+$Q$2)/1048576)),"")</f>
        <v/>
      </c>
      <c r="R832" s="169" t="str">
        <f>IF(ISNUMBER(deployment_raw[[#This Row],[Column8]]), (H832  * IF(N832&lt;&gt;0,$R$2,1)),"")</f>
        <v/>
      </c>
      <c r="S832" s="170" t="str">
        <f>IF(ISNUMBER(deployment_raw[[#This Row],[Column8]]), (I832  * IF(O832&lt;&gt;0,$S$2,1)),"")</f>
        <v/>
      </c>
      <c r="T832" s="202" t="str">
        <f>IF(AND(A832&lt;&gt;"",_xlfn.IFNA(MATCH(A832,'dynamic resource application '!$A$2:$A$100, 0),0)&lt;&gt;0), H832/(IF($E$2="Deployment",E832,1)),"")</f>
        <v/>
      </c>
      <c r="U832" s="211" t="str">
        <f>IF(AND(A832&lt;&gt;"",_xlfn.IFNA(MATCH(A832,'dynamic resource application '!$A$2:$A$100, 0),0)&lt;&gt;0), I832/(IF($E$2="Deployment",E832,1)),"")</f>
        <v/>
      </c>
    </row>
    <row r="833" spans="1:21" ht="15.75" customHeight="1" x14ac:dyDescent="0.25">
      <c r="A833" s="35" t="str">
        <f>IF(ISNONTEXT(deployment_raw[[#This Row],[Column1]]), "", deployment_raw[[#This Row],[Column1]])</f>
        <v/>
      </c>
      <c r="B833" s="36" t="str">
        <f>IF(ISNONTEXT(deployment_raw[[#This Row],[Column2]]), "", deployment_raw[[#This Row],[Column2]])</f>
        <v/>
      </c>
      <c r="C833" s="36" t="str">
        <f>IF(ISNONTEXT(deployment_raw[[#This Row],[Column3]]), "", deployment_raw[[#This Row],[Column3]])</f>
        <v/>
      </c>
      <c r="D833" s="36" t="str">
        <f>IF(ISNONTEXT(deployment_raw[[#This Row],[Column4]]), "", deployment_raw[[#This Row],[Column4]])</f>
        <v/>
      </c>
      <c r="E833" s="37" t="str">
        <f>IF(ISNUMBER(deployment_raw[[#This Row],[Column5]]), deployment_raw[[#This Row],[Column5]],"")</f>
        <v/>
      </c>
      <c r="F833" s="94" t="str">
        <f>IF(ISNUMBER(deployment_raw[[#This Row],[Column6]]), (deployment_raw[[#This Row],[Column6]] * IF($E$2="Deployment",deployment_raw[[#This Row],[Column5]],1)),"")</f>
        <v/>
      </c>
      <c r="G833" s="95" t="str">
        <f>IF(ISNUMBER(deployment_raw[[#This Row],[Column7]]), (deployment_raw[[#This Row],[Column7]] * IF($E$2="Deployment",deployment_raw[[#This Row],[Column5]],1))/1048576,"")</f>
        <v/>
      </c>
      <c r="H833" s="95" t="str">
        <f>IF(ISNUMBER(deployment_raw[[#This Row],[Column8]]), (deployment_raw[[#This Row],[Column8]]  * IF($E$2="Deployment",deployment_raw[[#This Row],[Column5]],1)),"")</f>
        <v/>
      </c>
      <c r="I833" s="96" t="str">
        <f>IF(ISNUMBER(deployment_raw[[#This Row],[Column9]]), (deployment_raw[[#This Row],[Column9]] * IF($E$2="Deployment",deployment_raw[[#This Row],[Column5]],1))/1048576,"")</f>
        <v/>
      </c>
      <c r="J833" s="122" t="str">
        <f>IF(ISNUMBER(deployment_raw[[#This Row],[Column10]]), (MIN(IF(N833&lt;&gt;"",N833,9999999999999)*1.1,deployment_raw[[#This Row],[Column10]] * IF($E$2="Deployment",deployment_raw[[#This Row],[Column5]],1))),"")</f>
        <v/>
      </c>
      <c r="K833" s="123" t="str">
        <f>IF(ISNUMBER(deployment_raw[[#This Row],[Column11]]), (MIN(IF(O833&lt;&gt;"",O833,9999999999999)*1.1,deployment_raw[[#This Row],[Column11]] * IF($E$2="Deployment",deployment_raw[[#This Row],[Column5]],1)/1048576)),"")</f>
        <v/>
      </c>
      <c r="L833" s="124" t="str">
        <f>IF(ISNUMBER(deployment_raw[[#This Row],[Column8]]),IF(OR(deployment_raw[[#This Row],[Column5]] &lt;&gt; 0,$E$2 &lt;&gt; "Deployment"), MAX(J833, P833, R833, ($L$2 * IF($E$2="Deployment",deployment_raw[[#This Row],[Column5]],1)),IF(T833&lt;&gt;"",VALUE(T833) * IF($E$2="Deployment",deployment_raw[[#This Row],[Column5]],1),0)), 0),"")</f>
        <v/>
      </c>
      <c r="M833" s="125" t="str">
        <f>IF(ISNUMBER(deployment_raw[[#This Row],[Column9]]),IF(OR(deployment_raw[[#This Row],[Column5]] &lt;&gt; 0,$E$2&lt;&gt;"Deployment"), MAX(K833, Q833, S833, ($M$2 * IF($E$2="Deployment",deployment_raw[[#This Row],[Column5]],1)),IF(U833&lt;&gt;"",VALUE(U833) * IF($E$2="Deployment",deployment_raw[[#This Row],[Column5]],1),0)), 0),"")</f>
        <v/>
      </c>
      <c r="N833" s="166" t="str">
        <f>IF(ISNUMBER(deployment_raw[[#This Row],[Column14]]), deployment_raw[[#This Row],[Column14]]/IF(OR($E$2="Deployment",deployment_raw[[#This Row],[Column5]]=0),1,deployment_raw[[#This Row],[Column5]]),"")</f>
        <v/>
      </c>
      <c r="O833" s="167" t="str">
        <f>IF(ISNUMBER(deployment_raw[[#This Row],[Column15]]), deployment_raw[[#This Row],[Column15]]/IF(OR($E$2="Deployment",deployment_raw[[#This Row],[Column5]]=0),1,deployment_raw[[#This Row],[Column5]])/1048576,"")</f>
        <v/>
      </c>
      <c r="P833" s="168" t="str">
        <f>IF(ISNUMBER(deployment_raw[[#This Row],[Column12]]), (MIN(IF(N833&lt;&gt;"",N833,9999999999999)*1.1,deployment_raw[[#This Row],[Column12]] * IF($E$2="Deployment",deployment_raw[[#This Row],[Column5]],1))*(1+$P$2)),"")</f>
        <v/>
      </c>
      <c r="Q833" s="167" t="str">
        <f>IF(ISNUMBER(deployment_raw[[#This Row],[Column13]]), (MIN(IF(O833&lt;&gt;"",O833,9999999999999)*1.1,deployment_raw[[#This Row],[Column13]] * IF($E$2="Deployment",deployment_raw[[#This Row],[Column5]],1)*(1+$Q$2)/1048576)),"")</f>
        <v/>
      </c>
      <c r="R833" s="169" t="str">
        <f>IF(ISNUMBER(deployment_raw[[#This Row],[Column8]]), (H833  * IF(N833&lt;&gt;0,$R$2,1)),"")</f>
        <v/>
      </c>
      <c r="S833" s="170" t="str">
        <f>IF(ISNUMBER(deployment_raw[[#This Row],[Column8]]), (I833  * IF(O833&lt;&gt;0,$S$2,1)),"")</f>
        <v/>
      </c>
      <c r="T833" s="202" t="str">
        <f>IF(AND(A833&lt;&gt;"",_xlfn.IFNA(MATCH(A833,'dynamic resource application '!$A$2:$A$100, 0),0)&lt;&gt;0), H833/(IF($E$2="Deployment",E833,1)),"")</f>
        <v/>
      </c>
      <c r="U833" s="211" t="str">
        <f>IF(AND(A833&lt;&gt;"",_xlfn.IFNA(MATCH(A833,'dynamic resource application '!$A$2:$A$100, 0),0)&lt;&gt;0), I833/(IF($E$2="Deployment",E833,1)),"")</f>
        <v/>
      </c>
    </row>
    <row r="834" spans="1:21" ht="15.75" customHeight="1" x14ac:dyDescent="0.25">
      <c r="A834" s="35" t="str">
        <f>IF(ISNONTEXT(deployment_raw[[#This Row],[Column1]]), "", deployment_raw[[#This Row],[Column1]])</f>
        <v/>
      </c>
      <c r="B834" s="36" t="str">
        <f>IF(ISNONTEXT(deployment_raw[[#This Row],[Column2]]), "", deployment_raw[[#This Row],[Column2]])</f>
        <v/>
      </c>
      <c r="C834" s="36" t="str">
        <f>IF(ISNONTEXT(deployment_raw[[#This Row],[Column3]]), "", deployment_raw[[#This Row],[Column3]])</f>
        <v/>
      </c>
      <c r="D834" s="36" t="str">
        <f>IF(ISNONTEXT(deployment_raw[[#This Row],[Column4]]), "", deployment_raw[[#This Row],[Column4]])</f>
        <v/>
      </c>
      <c r="E834" s="37" t="str">
        <f>IF(ISNUMBER(deployment_raw[[#This Row],[Column5]]), deployment_raw[[#This Row],[Column5]],"")</f>
        <v/>
      </c>
      <c r="F834" s="94" t="str">
        <f>IF(ISNUMBER(deployment_raw[[#This Row],[Column6]]), (deployment_raw[[#This Row],[Column6]] * IF($E$2="Deployment",deployment_raw[[#This Row],[Column5]],1)),"")</f>
        <v/>
      </c>
      <c r="G834" s="95" t="str">
        <f>IF(ISNUMBER(deployment_raw[[#This Row],[Column7]]), (deployment_raw[[#This Row],[Column7]] * IF($E$2="Deployment",deployment_raw[[#This Row],[Column5]],1))/1048576,"")</f>
        <v/>
      </c>
      <c r="H834" s="95" t="str">
        <f>IF(ISNUMBER(deployment_raw[[#This Row],[Column8]]), (deployment_raw[[#This Row],[Column8]]  * IF($E$2="Deployment",deployment_raw[[#This Row],[Column5]],1)),"")</f>
        <v/>
      </c>
      <c r="I834" s="96" t="str">
        <f>IF(ISNUMBER(deployment_raw[[#This Row],[Column9]]), (deployment_raw[[#This Row],[Column9]] * IF($E$2="Deployment",deployment_raw[[#This Row],[Column5]],1))/1048576,"")</f>
        <v/>
      </c>
      <c r="J834" s="122" t="str">
        <f>IF(ISNUMBER(deployment_raw[[#This Row],[Column10]]), (MIN(IF(N834&lt;&gt;"",N834,9999999999999)*1.1,deployment_raw[[#This Row],[Column10]] * IF($E$2="Deployment",deployment_raw[[#This Row],[Column5]],1))),"")</f>
        <v/>
      </c>
      <c r="K834" s="123" t="str">
        <f>IF(ISNUMBER(deployment_raw[[#This Row],[Column11]]), (MIN(IF(O834&lt;&gt;"",O834,9999999999999)*1.1,deployment_raw[[#This Row],[Column11]] * IF($E$2="Deployment",deployment_raw[[#This Row],[Column5]],1)/1048576)),"")</f>
        <v/>
      </c>
      <c r="L834" s="124" t="str">
        <f>IF(ISNUMBER(deployment_raw[[#This Row],[Column8]]),IF(OR(deployment_raw[[#This Row],[Column5]] &lt;&gt; 0,$E$2 &lt;&gt; "Deployment"), MAX(J834, P834, R834, ($L$2 * IF($E$2="Deployment",deployment_raw[[#This Row],[Column5]],1)),IF(T834&lt;&gt;"",VALUE(T834) * IF($E$2="Deployment",deployment_raw[[#This Row],[Column5]],1),0)), 0),"")</f>
        <v/>
      </c>
      <c r="M834" s="125" t="str">
        <f>IF(ISNUMBER(deployment_raw[[#This Row],[Column9]]),IF(OR(deployment_raw[[#This Row],[Column5]] &lt;&gt; 0,$E$2&lt;&gt;"Deployment"), MAX(K834, Q834, S834, ($M$2 * IF($E$2="Deployment",deployment_raw[[#This Row],[Column5]],1)),IF(U834&lt;&gt;"",VALUE(U834) * IF($E$2="Deployment",deployment_raw[[#This Row],[Column5]],1),0)), 0),"")</f>
        <v/>
      </c>
      <c r="N834" s="166" t="str">
        <f>IF(ISNUMBER(deployment_raw[[#This Row],[Column14]]), deployment_raw[[#This Row],[Column14]]/IF(OR($E$2="Deployment",deployment_raw[[#This Row],[Column5]]=0),1,deployment_raw[[#This Row],[Column5]]),"")</f>
        <v/>
      </c>
      <c r="O834" s="167" t="str">
        <f>IF(ISNUMBER(deployment_raw[[#This Row],[Column15]]), deployment_raw[[#This Row],[Column15]]/IF(OR($E$2="Deployment",deployment_raw[[#This Row],[Column5]]=0),1,deployment_raw[[#This Row],[Column5]])/1048576,"")</f>
        <v/>
      </c>
      <c r="P834" s="168" t="str">
        <f>IF(ISNUMBER(deployment_raw[[#This Row],[Column12]]), (MIN(IF(N834&lt;&gt;"",N834,9999999999999)*1.1,deployment_raw[[#This Row],[Column12]] * IF($E$2="Deployment",deployment_raw[[#This Row],[Column5]],1))*(1+$P$2)),"")</f>
        <v/>
      </c>
      <c r="Q834" s="167" t="str">
        <f>IF(ISNUMBER(deployment_raw[[#This Row],[Column13]]), (MIN(IF(O834&lt;&gt;"",O834,9999999999999)*1.1,deployment_raw[[#This Row],[Column13]] * IF($E$2="Deployment",deployment_raw[[#This Row],[Column5]],1)*(1+$Q$2)/1048576)),"")</f>
        <v/>
      </c>
      <c r="R834" s="169" t="str">
        <f>IF(ISNUMBER(deployment_raw[[#This Row],[Column8]]), (H834  * IF(N834&lt;&gt;0,$R$2,1)),"")</f>
        <v/>
      </c>
      <c r="S834" s="170" t="str">
        <f>IF(ISNUMBER(deployment_raw[[#This Row],[Column8]]), (I834  * IF(O834&lt;&gt;0,$S$2,1)),"")</f>
        <v/>
      </c>
      <c r="T834" s="202" t="str">
        <f>IF(AND(A834&lt;&gt;"",_xlfn.IFNA(MATCH(A834,'dynamic resource application '!$A$2:$A$100, 0),0)&lt;&gt;0), H834/(IF($E$2="Deployment",E834,1)),"")</f>
        <v/>
      </c>
      <c r="U834" s="211" t="str">
        <f>IF(AND(A834&lt;&gt;"",_xlfn.IFNA(MATCH(A834,'dynamic resource application '!$A$2:$A$100, 0),0)&lt;&gt;0), I834/(IF($E$2="Deployment",E834,1)),"")</f>
        <v/>
      </c>
    </row>
    <row r="835" spans="1:21" ht="15.75" customHeight="1" x14ac:dyDescent="0.25">
      <c r="A835" s="35" t="str">
        <f>IF(ISNONTEXT(deployment_raw[[#This Row],[Column1]]), "", deployment_raw[[#This Row],[Column1]])</f>
        <v/>
      </c>
      <c r="B835" s="36" t="str">
        <f>IF(ISNONTEXT(deployment_raw[[#This Row],[Column2]]), "", deployment_raw[[#This Row],[Column2]])</f>
        <v/>
      </c>
      <c r="C835" s="36" t="str">
        <f>IF(ISNONTEXT(deployment_raw[[#This Row],[Column3]]), "", deployment_raw[[#This Row],[Column3]])</f>
        <v/>
      </c>
      <c r="D835" s="36" t="str">
        <f>IF(ISNONTEXT(deployment_raw[[#This Row],[Column4]]), "", deployment_raw[[#This Row],[Column4]])</f>
        <v/>
      </c>
      <c r="E835" s="37" t="str">
        <f>IF(ISNUMBER(deployment_raw[[#This Row],[Column5]]), deployment_raw[[#This Row],[Column5]],"")</f>
        <v/>
      </c>
      <c r="F835" s="94" t="str">
        <f>IF(ISNUMBER(deployment_raw[[#This Row],[Column6]]), (deployment_raw[[#This Row],[Column6]] * IF($E$2="Deployment",deployment_raw[[#This Row],[Column5]],1)),"")</f>
        <v/>
      </c>
      <c r="G835" s="95" t="str">
        <f>IF(ISNUMBER(deployment_raw[[#This Row],[Column7]]), (deployment_raw[[#This Row],[Column7]] * IF($E$2="Deployment",deployment_raw[[#This Row],[Column5]],1))/1048576,"")</f>
        <v/>
      </c>
      <c r="H835" s="95" t="str">
        <f>IF(ISNUMBER(deployment_raw[[#This Row],[Column8]]), (deployment_raw[[#This Row],[Column8]]  * IF($E$2="Deployment",deployment_raw[[#This Row],[Column5]],1)),"")</f>
        <v/>
      </c>
      <c r="I835" s="96" t="str">
        <f>IF(ISNUMBER(deployment_raw[[#This Row],[Column9]]), (deployment_raw[[#This Row],[Column9]] * IF($E$2="Deployment",deployment_raw[[#This Row],[Column5]],1))/1048576,"")</f>
        <v/>
      </c>
      <c r="J835" s="122" t="str">
        <f>IF(ISNUMBER(deployment_raw[[#This Row],[Column10]]), (MIN(IF(N835&lt;&gt;"",N835,9999999999999)*1.1,deployment_raw[[#This Row],[Column10]] * IF($E$2="Deployment",deployment_raw[[#This Row],[Column5]],1))),"")</f>
        <v/>
      </c>
      <c r="K835" s="123" t="str">
        <f>IF(ISNUMBER(deployment_raw[[#This Row],[Column11]]), (MIN(IF(O835&lt;&gt;"",O835,9999999999999)*1.1,deployment_raw[[#This Row],[Column11]] * IF($E$2="Deployment",deployment_raw[[#This Row],[Column5]],1)/1048576)),"")</f>
        <v/>
      </c>
      <c r="L835" s="124" t="str">
        <f>IF(ISNUMBER(deployment_raw[[#This Row],[Column8]]),IF(OR(deployment_raw[[#This Row],[Column5]] &lt;&gt; 0,$E$2 &lt;&gt; "Deployment"), MAX(J835, P835, R835, ($L$2 * IF($E$2="Deployment",deployment_raw[[#This Row],[Column5]],1)),IF(T835&lt;&gt;"",VALUE(T835) * IF($E$2="Deployment",deployment_raw[[#This Row],[Column5]],1),0)), 0),"")</f>
        <v/>
      </c>
      <c r="M835" s="125" t="str">
        <f>IF(ISNUMBER(deployment_raw[[#This Row],[Column9]]),IF(OR(deployment_raw[[#This Row],[Column5]] &lt;&gt; 0,$E$2&lt;&gt;"Deployment"), MAX(K835, Q835, S835, ($M$2 * IF($E$2="Deployment",deployment_raw[[#This Row],[Column5]],1)),IF(U835&lt;&gt;"",VALUE(U835) * IF($E$2="Deployment",deployment_raw[[#This Row],[Column5]],1),0)), 0),"")</f>
        <v/>
      </c>
      <c r="N835" s="166" t="str">
        <f>IF(ISNUMBER(deployment_raw[[#This Row],[Column14]]), deployment_raw[[#This Row],[Column14]]/IF(OR($E$2="Deployment",deployment_raw[[#This Row],[Column5]]=0),1,deployment_raw[[#This Row],[Column5]]),"")</f>
        <v/>
      </c>
      <c r="O835" s="167" t="str">
        <f>IF(ISNUMBER(deployment_raw[[#This Row],[Column15]]), deployment_raw[[#This Row],[Column15]]/IF(OR($E$2="Deployment",deployment_raw[[#This Row],[Column5]]=0),1,deployment_raw[[#This Row],[Column5]])/1048576,"")</f>
        <v/>
      </c>
      <c r="P835" s="168" t="str">
        <f>IF(ISNUMBER(deployment_raw[[#This Row],[Column12]]), (MIN(IF(N835&lt;&gt;"",N835,9999999999999)*1.1,deployment_raw[[#This Row],[Column12]] * IF($E$2="Deployment",deployment_raw[[#This Row],[Column5]],1))*(1+$P$2)),"")</f>
        <v/>
      </c>
      <c r="Q835" s="167" t="str">
        <f>IF(ISNUMBER(deployment_raw[[#This Row],[Column13]]), (MIN(IF(O835&lt;&gt;"",O835,9999999999999)*1.1,deployment_raw[[#This Row],[Column13]] * IF($E$2="Deployment",deployment_raw[[#This Row],[Column5]],1)*(1+$Q$2)/1048576)),"")</f>
        <v/>
      </c>
      <c r="R835" s="169" t="str">
        <f>IF(ISNUMBER(deployment_raw[[#This Row],[Column8]]), (H835  * IF(N835&lt;&gt;0,$R$2,1)),"")</f>
        <v/>
      </c>
      <c r="S835" s="170" t="str">
        <f>IF(ISNUMBER(deployment_raw[[#This Row],[Column8]]), (I835  * IF(O835&lt;&gt;0,$S$2,1)),"")</f>
        <v/>
      </c>
      <c r="T835" s="202" t="str">
        <f>IF(AND(A835&lt;&gt;"",_xlfn.IFNA(MATCH(A835,'dynamic resource application '!$A$2:$A$100, 0),0)&lt;&gt;0), H835/(IF($E$2="Deployment",E835,1)),"")</f>
        <v/>
      </c>
      <c r="U835" s="211" t="str">
        <f>IF(AND(A835&lt;&gt;"",_xlfn.IFNA(MATCH(A835,'dynamic resource application '!$A$2:$A$100, 0),0)&lt;&gt;0), I835/(IF($E$2="Deployment",E835,1)),"")</f>
        <v/>
      </c>
    </row>
    <row r="836" spans="1:21" ht="15.75" customHeight="1" x14ac:dyDescent="0.25">
      <c r="A836" s="35" t="str">
        <f>IF(ISNONTEXT(deployment_raw[[#This Row],[Column1]]), "", deployment_raw[[#This Row],[Column1]])</f>
        <v/>
      </c>
      <c r="B836" s="36" t="str">
        <f>IF(ISNONTEXT(deployment_raw[[#This Row],[Column2]]), "", deployment_raw[[#This Row],[Column2]])</f>
        <v/>
      </c>
      <c r="C836" s="36" t="str">
        <f>IF(ISNONTEXT(deployment_raw[[#This Row],[Column3]]), "", deployment_raw[[#This Row],[Column3]])</f>
        <v/>
      </c>
      <c r="D836" s="36" t="str">
        <f>IF(ISNONTEXT(deployment_raw[[#This Row],[Column4]]), "", deployment_raw[[#This Row],[Column4]])</f>
        <v/>
      </c>
      <c r="E836" s="37" t="str">
        <f>IF(ISNUMBER(deployment_raw[[#This Row],[Column5]]), deployment_raw[[#This Row],[Column5]],"")</f>
        <v/>
      </c>
      <c r="F836" s="94" t="str">
        <f>IF(ISNUMBER(deployment_raw[[#This Row],[Column6]]), (deployment_raw[[#This Row],[Column6]] * IF($E$2="Deployment",deployment_raw[[#This Row],[Column5]],1)),"")</f>
        <v/>
      </c>
      <c r="G836" s="95" t="str">
        <f>IF(ISNUMBER(deployment_raw[[#This Row],[Column7]]), (deployment_raw[[#This Row],[Column7]] * IF($E$2="Deployment",deployment_raw[[#This Row],[Column5]],1))/1048576,"")</f>
        <v/>
      </c>
      <c r="H836" s="95" t="str">
        <f>IF(ISNUMBER(deployment_raw[[#This Row],[Column8]]), (deployment_raw[[#This Row],[Column8]]  * IF($E$2="Deployment",deployment_raw[[#This Row],[Column5]],1)),"")</f>
        <v/>
      </c>
      <c r="I836" s="96" t="str">
        <f>IF(ISNUMBER(deployment_raw[[#This Row],[Column9]]), (deployment_raw[[#This Row],[Column9]] * IF($E$2="Deployment",deployment_raw[[#This Row],[Column5]],1))/1048576,"")</f>
        <v/>
      </c>
      <c r="J836" s="122" t="str">
        <f>IF(ISNUMBER(deployment_raw[[#This Row],[Column10]]), (MIN(IF(N836&lt;&gt;"",N836,9999999999999)*1.1,deployment_raw[[#This Row],[Column10]] * IF($E$2="Deployment",deployment_raw[[#This Row],[Column5]],1))),"")</f>
        <v/>
      </c>
      <c r="K836" s="123" t="str">
        <f>IF(ISNUMBER(deployment_raw[[#This Row],[Column11]]), (MIN(IF(O836&lt;&gt;"",O836,9999999999999)*1.1,deployment_raw[[#This Row],[Column11]] * IF($E$2="Deployment",deployment_raw[[#This Row],[Column5]],1)/1048576)),"")</f>
        <v/>
      </c>
      <c r="L836" s="124" t="str">
        <f>IF(ISNUMBER(deployment_raw[[#This Row],[Column8]]),IF(OR(deployment_raw[[#This Row],[Column5]] &lt;&gt; 0,$E$2 &lt;&gt; "Deployment"), MAX(J836, P836, R836, ($L$2 * IF($E$2="Deployment",deployment_raw[[#This Row],[Column5]],1)),IF(T836&lt;&gt;"",VALUE(T836) * IF($E$2="Deployment",deployment_raw[[#This Row],[Column5]],1),0)), 0),"")</f>
        <v/>
      </c>
      <c r="M836" s="125" t="str">
        <f>IF(ISNUMBER(deployment_raw[[#This Row],[Column9]]),IF(OR(deployment_raw[[#This Row],[Column5]] &lt;&gt; 0,$E$2&lt;&gt;"Deployment"), MAX(K836, Q836, S836, ($M$2 * IF($E$2="Deployment",deployment_raw[[#This Row],[Column5]],1)),IF(U836&lt;&gt;"",VALUE(U836) * IF($E$2="Deployment",deployment_raw[[#This Row],[Column5]],1),0)), 0),"")</f>
        <v/>
      </c>
      <c r="N836" s="166" t="str">
        <f>IF(ISNUMBER(deployment_raw[[#This Row],[Column14]]), deployment_raw[[#This Row],[Column14]]/IF(OR($E$2="Deployment",deployment_raw[[#This Row],[Column5]]=0),1,deployment_raw[[#This Row],[Column5]]),"")</f>
        <v/>
      </c>
      <c r="O836" s="167" t="str">
        <f>IF(ISNUMBER(deployment_raw[[#This Row],[Column15]]), deployment_raw[[#This Row],[Column15]]/IF(OR($E$2="Deployment",deployment_raw[[#This Row],[Column5]]=0),1,deployment_raw[[#This Row],[Column5]])/1048576,"")</f>
        <v/>
      </c>
      <c r="P836" s="168" t="str">
        <f>IF(ISNUMBER(deployment_raw[[#This Row],[Column12]]), (MIN(IF(N836&lt;&gt;"",N836,9999999999999)*1.1,deployment_raw[[#This Row],[Column12]] * IF($E$2="Deployment",deployment_raw[[#This Row],[Column5]],1))*(1+$P$2)),"")</f>
        <v/>
      </c>
      <c r="Q836" s="167" t="str">
        <f>IF(ISNUMBER(deployment_raw[[#This Row],[Column13]]), (MIN(IF(O836&lt;&gt;"",O836,9999999999999)*1.1,deployment_raw[[#This Row],[Column13]] * IF($E$2="Deployment",deployment_raw[[#This Row],[Column5]],1)*(1+$Q$2)/1048576)),"")</f>
        <v/>
      </c>
      <c r="R836" s="169" t="str">
        <f>IF(ISNUMBER(deployment_raw[[#This Row],[Column8]]), (H836  * IF(N836&lt;&gt;0,$R$2,1)),"")</f>
        <v/>
      </c>
      <c r="S836" s="170" t="str">
        <f>IF(ISNUMBER(deployment_raw[[#This Row],[Column8]]), (I836  * IF(O836&lt;&gt;0,$S$2,1)),"")</f>
        <v/>
      </c>
      <c r="T836" s="202" t="str">
        <f>IF(AND(A836&lt;&gt;"",_xlfn.IFNA(MATCH(A836,'dynamic resource application '!$A$2:$A$100, 0),0)&lt;&gt;0), H836/(IF($E$2="Deployment",E836,1)),"")</f>
        <v/>
      </c>
      <c r="U836" s="211" t="str">
        <f>IF(AND(A836&lt;&gt;"",_xlfn.IFNA(MATCH(A836,'dynamic resource application '!$A$2:$A$100, 0),0)&lt;&gt;0), I836/(IF($E$2="Deployment",E836,1)),"")</f>
        <v/>
      </c>
    </row>
    <row r="837" spans="1:21" ht="15.75" customHeight="1" x14ac:dyDescent="0.25">
      <c r="A837" s="35" t="str">
        <f>IF(ISNONTEXT(deployment_raw[[#This Row],[Column1]]), "", deployment_raw[[#This Row],[Column1]])</f>
        <v/>
      </c>
      <c r="B837" s="36" t="str">
        <f>IF(ISNONTEXT(deployment_raw[[#This Row],[Column2]]), "", deployment_raw[[#This Row],[Column2]])</f>
        <v/>
      </c>
      <c r="C837" s="36" t="str">
        <f>IF(ISNONTEXT(deployment_raw[[#This Row],[Column3]]), "", deployment_raw[[#This Row],[Column3]])</f>
        <v/>
      </c>
      <c r="D837" s="36" t="str">
        <f>IF(ISNONTEXT(deployment_raw[[#This Row],[Column4]]), "", deployment_raw[[#This Row],[Column4]])</f>
        <v/>
      </c>
      <c r="E837" s="37" t="str">
        <f>IF(ISNUMBER(deployment_raw[[#This Row],[Column5]]), deployment_raw[[#This Row],[Column5]],"")</f>
        <v/>
      </c>
      <c r="F837" s="94" t="str">
        <f>IF(ISNUMBER(deployment_raw[[#This Row],[Column6]]), (deployment_raw[[#This Row],[Column6]] * IF($E$2="Deployment",deployment_raw[[#This Row],[Column5]],1)),"")</f>
        <v/>
      </c>
      <c r="G837" s="95" t="str">
        <f>IF(ISNUMBER(deployment_raw[[#This Row],[Column7]]), (deployment_raw[[#This Row],[Column7]] * IF($E$2="Deployment",deployment_raw[[#This Row],[Column5]],1))/1048576,"")</f>
        <v/>
      </c>
      <c r="H837" s="95" t="str">
        <f>IF(ISNUMBER(deployment_raw[[#This Row],[Column8]]), (deployment_raw[[#This Row],[Column8]]  * IF($E$2="Deployment",deployment_raw[[#This Row],[Column5]],1)),"")</f>
        <v/>
      </c>
      <c r="I837" s="96" t="str">
        <f>IF(ISNUMBER(deployment_raw[[#This Row],[Column9]]), (deployment_raw[[#This Row],[Column9]] * IF($E$2="Deployment",deployment_raw[[#This Row],[Column5]],1))/1048576,"")</f>
        <v/>
      </c>
      <c r="J837" s="122" t="str">
        <f>IF(ISNUMBER(deployment_raw[[#This Row],[Column10]]), (MIN(IF(N837&lt;&gt;"",N837,9999999999999)*1.1,deployment_raw[[#This Row],[Column10]] * IF($E$2="Deployment",deployment_raw[[#This Row],[Column5]],1))),"")</f>
        <v/>
      </c>
      <c r="K837" s="123" t="str">
        <f>IF(ISNUMBER(deployment_raw[[#This Row],[Column11]]), (MIN(IF(O837&lt;&gt;"",O837,9999999999999)*1.1,deployment_raw[[#This Row],[Column11]] * IF($E$2="Deployment",deployment_raw[[#This Row],[Column5]],1)/1048576)),"")</f>
        <v/>
      </c>
      <c r="L837" s="124" t="str">
        <f>IF(ISNUMBER(deployment_raw[[#This Row],[Column8]]),IF(OR(deployment_raw[[#This Row],[Column5]] &lt;&gt; 0,$E$2 &lt;&gt; "Deployment"), MAX(J837, P837, R837, ($L$2 * IF($E$2="Deployment",deployment_raw[[#This Row],[Column5]],1)),IF(T837&lt;&gt;"",VALUE(T837) * IF($E$2="Deployment",deployment_raw[[#This Row],[Column5]],1),0)), 0),"")</f>
        <v/>
      </c>
      <c r="M837" s="125" t="str">
        <f>IF(ISNUMBER(deployment_raw[[#This Row],[Column9]]),IF(OR(deployment_raw[[#This Row],[Column5]] &lt;&gt; 0,$E$2&lt;&gt;"Deployment"), MAX(K837, Q837, S837, ($M$2 * IF($E$2="Deployment",deployment_raw[[#This Row],[Column5]],1)),IF(U837&lt;&gt;"",VALUE(U837) * IF($E$2="Deployment",deployment_raw[[#This Row],[Column5]],1),0)), 0),"")</f>
        <v/>
      </c>
      <c r="N837" s="166" t="str">
        <f>IF(ISNUMBER(deployment_raw[[#This Row],[Column14]]), deployment_raw[[#This Row],[Column14]]/IF(OR($E$2="Deployment",deployment_raw[[#This Row],[Column5]]=0),1,deployment_raw[[#This Row],[Column5]]),"")</f>
        <v/>
      </c>
      <c r="O837" s="167" t="str">
        <f>IF(ISNUMBER(deployment_raw[[#This Row],[Column15]]), deployment_raw[[#This Row],[Column15]]/IF(OR($E$2="Deployment",deployment_raw[[#This Row],[Column5]]=0),1,deployment_raw[[#This Row],[Column5]])/1048576,"")</f>
        <v/>
      </c>
      <c r="P837" s="168" t="str">
        <f>IF(ISNUMBER(deployment_raw[[#This Row],[Column12]]), (MIN(IF(N837&lt;&gt;"",N837,9999999999999)*1.1,deployment_raw[[#This Row],[Column12]] * IF($E$2="Deployment",deployment_raw[[#This Row],[Column5]],1))*(1+$P$2)),"")</f>
        <v/>
      </c>
      <c r="Q837" s="167" t="str">
        <f>IF(ISNUMBER(deployment_raw[[#This Row],[Column13]]), (MIN(IF(O837&lt;&gt;"",O837,9999999999999)*1.1,deployment_raw[[#This Row],[Column13]] * IF($E$2="Deployment",deployment_raw[[#This Row],[Column5]],1)*(1+$Q$2)/1048576)),"")</f>
        <v/>
      </c>
      <c r="R837" s="169" t="str">
        <f>IF(ISNUMBER(deployment_raw[[#This Row],[Column8]]), (H837  * IF(N837&lt;&gt;0,$R$2,1)),"")</f>
        <v/>
      </c>
      <c r="S837" s="170" t="str">
        <f>IF(ISNUMBER(deployment_raw[[#This Row],[Column8]]), (I837  * IF(O837&lt;&gt;0,$S$2,1)),"")</f>
        <v/>
      </c>
      <c r="T837" s="202" t="str">
        <f>IF(AND(A837&lt;&gt;"",_xlfn.IFNA(MATCH(A837,'dynamic resource application '!$A$2:$A$100, 0),0)&lt;&gt;0), H837/(IF($E$2="Deployment",E837,1)),"")</f>
        <v/>
      </c>
      <c r="U837" s="211" t="str">
        <f>IF(AND(A837&lt;&gt;"",_xlfn.IFNA(MATCH(A837,'dynamic resource application '!$A$2:$A$100, 0),0)&lt;&gt;0), I837/(IF($E$2="Deployment",E837,1)),"")</f>
        <v/>
      </c>
    </row>
    <row r="838" spans="1:21" ht="15.75" customHeight="1" x14ac:dyDescent="0.25">
      <c r="A838" s="35" t="str">
        <f>IF(ISNONTEXT(deployment_raw[[#This Row],[Column1]]), "", deployment_raw[[#This Row],[Column1]])</f>
        <v/>
      </c>
      <c r="B838" s="36" t="str">
        <f>IF(ISNONTEXT(deployment_raw[[#This Row],[Column2]]), "", deployment_raw[[#This Row],[Column2]])</f>
        <v/>
      </c>
      <c r="C838" s="36" t="str">
        <f>IF(ISNONTEXT(deployment_raw[[#This Row],[Column3]]), "", deployment_raw[[#This Row],[Column3]])</f>
        <v/>
      </c>
      <c r="D838" s="36" t="str">
        <f>IF(ISNONTEXT(deployment_raw[[#This Row],[Column4]]), "", deployment_raw[[#This Row],[Column4]])</f>
        <v/>
      </c>
      <c r="E838" s="37" t="str">
        <f>IF(ISNUMBER(deployment_raw[[#This Row],[Column5]]), deployment_raw[[#This Row],[Column5]],"")</f>
        <v/>
      </c>
      <c r="F838" s="94" t="str">
        <f>IF(ISNUMBER(deployment_raw[[#This Row],[Column6]]), (deployment_raw[[#This Row],[Column6]] * IF($E$2="Deployment",deployment_raw[[#This Row],[Column5]],1)),"")</f>
        <v/>
      </c>
      <c r="G838" s="95" t="str">
        <f>IF(ISNUMBER(deployment_raw[[#This Row],[Column7]]), (deployment_raw[[#This Row],[Column7]] * IF($E$2="Deployment",deployment_raw[[#This Row],[Column5]],1))/1048576,"")</f>
        <v/>
      </c>
      <c r="H838" s="95" t="str">
        <f>IF(ISNUMBER(deployment_raw[[#This Row],[Column8]]), (deployment_raw[[#This Row],[Column8]]  * IF($E$2="Deployment",deployment_raw[[#This Row],[Column5]],1)),"")</f>
        <v/>
      </c>
      <c r="I838" s="96" t="str">
        <f>IF(ISNUMBER(deployment_raw[[#This Row],[Column9]]), (deployment_raw[[#This Row],[Column9]] * IF($E$2="Deployment",deployment_raw[[#This Row],[Column5]],1))/1048576,"")</f>
        <v/>
      </c>
      <c r="J838" s="122" t="str">
        <f>IF(ISNUMBER(deployment_raw[[#This Row],[Column10]]), (MIN(IF(N838&lt;&gt;"",N838,9999999999999)*1.1,deployment_raw[[#This Row],[Column10]] * IF($E$2="Deployment",deployment_raw[[#This Row],[Column5]],1))),"")</f>
        <v/>
      </c>
      <c r="K838" s="123" t="str">
        <f>IF(ISNUMBER(deployment_raw[[#This Row],[Column11]]), (MIN(IF(O838&lt;&gt;"",O838,9999999999999)*1.1,deployment_raw[[#This Row],[Column11]] * IF($E$2="Deployment",deployment_raw[[#This Row],[Column5]],1)/1048576)),"")</f>
        <v/>
      </c>
      <c r="L838" s="124" t="str">
        <f>IF(ISNUMBER(deployment_raw[[#This Row],[Column8]]),IF(OR(deployment_raw[[#This Row],[Column5]] &lt;&gt; 0,$E$2 &lt;&gt; "Deployment"), MAX(J838, P838, R838, ($L$2 * IF($E$2="Deployment",deployment_raw[[#This Row],[Column5]],1)),IF(T838&lt;&gt;"",VALUE(T838) * IF($E$2="Deployment",deployment_raw[[#This Row],[Column5]],1),0)), 0),"")</f>
        <v/>
      </c>
      <c r="M838" s="125" t="str">
        <f>IF(ISNUMBER(deployment_raw[[#This Row],[Column9]]),IF(OR(deployment_raw[[#This Row],[Column5]] &lt;&gt; 0,$E$2&lt;&gt;"Deployment"), MAX(K838, Q838, S838, ($M$2 * IF($E$2="Deployment",deployment_raw[[#This Row],[Column5]],1)),IF(U838&lt;&gt;"",VALUE(U838) * IF($E$2="Deployment",deployment_raw[[#This Row],[Column5]],1),0)), 0),"")</f>
        <v/>
      </c>
      <c r="N838" s="166" t="str">
        <f>IF(ISNUMBER(deployment_raw[[#This Row],[Column14]]), deployment_raw[[#This Row],[Column14]]/IF(OR($E$2="Deployment",deployment_raw[[#This Row],[Column5]]=0),1,deployment_raw[[#This Row],[Column5]]),"")</f>
        <v/>
      </c>
      <c r="O838" s="167" t="str">
        <f>IF(ISNUMBER(deployment_raw[[#This Row],[Column15]]), deployment_raw[[#This Row],[Column15]]/IF(OR($E$2="Deployment",deployment_raw[[#This Row],[Column5]]=0),1,deployment_raw[[#This Row],[Column5]])/1048576,"")</f>
        <v/>
      </c>
      <c r="P838" s="168" t="str">
        <f>IF(ISNUMBER(deployment_raw[[#This Row],[Column12]]), (MIN(IF(N838&lt;&gt;"",N838,9999999999999)*1.1,deployment_raw[[#This Row],[Column12]] * IF($E$2="Deployment",deployment_raw[[#This Row],[Column5]],1))*(1+$P$2)),"")</f>
        <v/>
      </c>
      <c r="Q838" s="167" t="str">
        <f>IF(ISNUMBER(deployment_raw[[#This Row],[Column13]]), (MIN(IF(O838&lt;&gt;"",O838,9999999999999)*1.1,deployment_raw[[#This Row],[Column13]] * IF($E$2="Deployment",deployment_raw[[#This Row],[Column5]],1)*(1+$Q$2)/1048576)),"")</f>
        <v/>
      </c>
      <c r="R838" s="169" t="str">
        <f>IF(ISNUMBER(deployment_raw[[#This Row],[Column8]]), (H838  * IF(N838&lt;&gt;0,$R$2,1)),"")</f>
        <v/>
      </c>
      <c r="S838" s="170" t="str">
        <f>IF(ISNUMBER(deployment_raw[[#This Row],[Column8]]), (I838  * IF(O838&lt;&gt;0,$S$2,1)),"")</f>
        <v/>
      </c>
      <c r="T838" s="202" t="str">
        <f>IF(AND(A838&lt;&gt;"",_xlfn.IFNA(MATCH(A838,'dynamic resource application '!$A$2:$A$100, 0),0)&lt;&gt;0), H838/(IF($E$2="Deployment",E838,1)),"")</f>
        <v/>
      </c>
      <c r="U838" s="211" t="str">
        <f>IF(AND(A838&lt;&gt;"",_xlfn.IFNA(MATCH(A838,'dynamic resource application '!$A$2:$A$100, 0),0)&lt;&gt;0), I838/(IF($E$2="Deployment",E838,1)),"")</f>
        <v/>
      </c>
    </row>
    <row r="839" spans="1:21" ht="15.75" customHeight="1" x14ac:dyDescent="0.25">
      <c r="A839" s="35" t="str">
        <f>IF(ISNONTEXT(deployment_raw[[#This Row],[Column1]]), "", deployment_raw[[#This Row],[Column1]])</f>
        <v/>
      </c>
      <c r="B839" s="36" t="str">
        <f>IF(ISNONTEXT(deployment_raw[[#This Row],[Column2]]), "", deployment_raw[[#This Row],[Column2]])</f>
        <v/>
      </c>
      <c r="C839" s="36" t="str">
        <f>IF(ISNONTEXT(deployment_raw[[#This Row],[Column3]]), "", deployment_raw[[#This Row],[Column3]])</f>
        <v/>
      </c>
      <c r="D839" s="36" t="str">
        <f>IF(ISNONTEXT(deployment_raw[[#This Row],[Column4]]), "", deployment_raw[[#This Row],[Column4]])</f>
        <v/>
      </c>
      <c r="E839" s="37" t="str">
        <f>IF(ISNUMBER(deployment_raw[[#This Row],[Column5]]), deployment_raw[[#This Row],[Column5]],"")</f>
        <v/>
      </c>
      <c r="F839" s="94" t="str">
        <f>IF(ISNUMBER(deployment_raw[[#This Row],[Column6]]), (deployment_raw[[#This Row],[Column6]] * IF($E$2="Deployment",deployment_raw[[#This Row],[Column5]],1)),"")</f>
        <v/>
      </c>
      <c r="G839" s="95" t="str">
        <f>IF(ISNUMBER(deployment_raw[[#This Row],[Column7]]), (deployment_raw[[#This Row],[Column7]] * IF($E$2="Deployment",deployment_raw[[#This Row],[Column5]],1))/1048576,"")</f>
        <v/>
      </c>
      <c r="H839" s="95" t="str">
        <f>IF(ISNUMBER(deployment_raw[[#This Row],[Column8]]), (deployment_raw[[#This Row],[Column8]]  * IF($E$2="Deployment",deployment_raw[[#This Row],[Column5]],1)),"")</f>
        <v/>
      </c>
      <c r="I839" s="96" t="str">
        <f>IF(ISNUMBER(deployment_raw[[#This Row],[Column9]]), (deployment_raw[[#This Row],[Column9]] * IF($E$2="Deployment",deployment_raw[[#This Row],[Column5]],1))/1048576,"")</f>
        <v/>
      </c>
      <c r="J839" s="122" t="str">
        <f>IF(ISNUMBER(deployment_raw[[#This Row],[Column10]]), (MIN(IF(N839&lt;&gt;"",N839,9999999999999)*1.1,deployment_raw[[#This Row],[Column10]] * IF($E$2="Deployment",deployment_raw[[#This Row],[Column5]],1))),"")</f>
        <v/>
      </c>
      <c r="K839" s="123" t="str">
        <f>IF(ISNUMBER(deployment_raw[[#This Row],[Column11]]), (MIN(IF(O839&lt;&gt;"",O839,9999999999999)*1.1,deployment_raw[[#This Row],[Column11]] * IF($E$2="Deployment",deployment_raw[[#This Row],[Column5]],1)/1048576)),"")</f>
        <v/>
      </c>
      <c r="L839" s="124" t="str">
        <f>IF(ISNUMBER(deployment_raw[[#This Row],[Column8]]),IF(OR(deployment_raw[[#This Row],[Column5]] &lt;&gt; 0,$E$2 &lt;&gt; "Deployment"), MAX(J839, P839, R839, ($L$2 * IF($E$2="Deployment",deployment_raw[[#This Row],[Column5]],1)),IF(T839&lt;&gt;"",VALUE(T839) * IF($E$2="Deployment",deployment_raw[[#This Row],[Column5]],1),0)), 0),"")</f>
        <v/>
      </c>
      <c r="M839" s="125" t="str">
        <f>IF(ISNUMBER(deployment_raw[[#This Row],[Column9]]),IF(OR(deployment_raw[[#This Row],[Column5]] &lt;&gt; 0,$E$2&lt;&gt;"Deployment"), MAX(K839, Q839, S839, ($M$2 * IF($E$2="Deployment",deployment_raw[[#This Row],[Column5]],1)),IF(U839&lt;&gt;"",VALUE(U839) * IF($E$2="Deployment",deployment_raw[[#This Row],[Column5]],1),0)), 0),"")</f>
        <v/>
      </c>
      <c r="N839" s="166" t="str">
        <f>IF(ISNUMBER(deployment_raw[[#This Row],[Column14]]), deployment_raw[[#This Row],[Column14]]/IF(OR($E$2="Deployment",deployment_raw[[#This Row],[Column5]]=0),1,deployment_raw[[#This Row],[Column5]]),"")</f>
        <v/>
      </c>
      <c r="O839" s="167" t="str">
        <f>IF(ISNUMBER(deployment_raw[[#This Row],[Column15]]), deployment_raw[[#This Row],[Column15]]/IF(OR($E$2="Deployment",deployment_raw[[#This Row],[Column5]]=0),1,deployment_raw[[#This Row],[Column5]])/1048576,"")</f>
        <v/>
      </c>
      <c r="P839" s="168" t="str">
        <f>IF(ISNUMBER(deployment_raw[[#This Row],[Column12]]), (MIN(IF(N839&lt;&gt;"",N839,9999999999999)*1.1,deployment_raw[[#This Row],[Column12]] * IF($E$2="Deployment",deployment_raw[[#This Row],[Column5]],1))*(1+$P$2)),"")</f>
        <v/>
      </c>
      <c r="Q839" s="167" t="str">
        <f>IF(ISNUMBER(deployment_raw[[#This Row],[Column13]]), (MIN(IF(O839&lt;&gt;"",O839,9999999999999)*1.1,deployment_raw[[#This Row],[Column13]] * IF($E$2="Deployment",deployment_raw[[#This Row],[Column5]],1)*(1+$Q$2)/1048576)),"")</f>
        <v/>
      </c>
      <c r="R839" s="169" t="str">
        <f>IF(ISNUMBER(deployment_raw[[#This Row],[Column8]]), (H839  * IF(N839&lt;&gt;0,$R$2,1)),"")</f>
        <v/>
      </c>
      <c r="S839" s="170" t="str">
        <f>IF(ISNUMBER(deployment_raw[[#This Row],[Column8]]), (I839  * IF(O839&lt;&gt;0,$S$2,1)),"")</f>
        <v/>
      </c>
      <c r="T839" s="202" t="str">
        <f>IF(AND(A839&lt;&gt;"",_xlfn.IFNA(MATCH(A839,'dynamic resource application '!$A$2:$A$100, 0),0)&lt;&gt;0), H839/(IF($E$2="Deployment",E839,1)),"")</f>
        <v/>
      </c>
      <c r="U839" s="211" t="str">
        <f>IF(AND(A839&lt;&gt;"",_xlfn.IFNA(MATCH(A839,'dynamic resource application '!$A$2:$A$100, 0),0)&lt;&gt;0), I839/(IF($E$2="Deployment",E839,1)),"")</f>
        <v/>
      </c>
    </row>
    <row r="840" spans="1:21" ht="15.75" customHeight="1" x14ac:dyDescent="0.25">
      <c r="A840" s="35" t="str">
        <f>IF(ISNONTEXT(deployment_raw[[#This Row],[Column1]]), "", deployment_raw[[#This Row],[Column1]])</f>
        <v/>
      </c>
      <c r="B840" s="36" t="str">
        <f>IF(ISNONTEXT(deployment_raw[[#This Row],[Column2]]), "", deployment_raw[[#This Row],[Column2]])</f>
        <v/>
      </c>
      <c r="C840" s="36" t="str">
        <f>IF(ISNONTEXT(deployment_raw[[#This Row],[Column3]]), "", deployment_raw[[#This Row],[Column3]])</f>
        <v/>
      </c>
      <c r="D840" s="36" t="str">
        <f>IF(ISNONTEXT(deployment_raw[[#This Row],[Column4]]), "", deployment_raw[[#This Row],[Column4]])</f>
        <v/>
      </c>
      <c r="E840" s="37" t="str">
        <f>IF(ISNUMBER(deployment_raw[[#This Row],[Column5]]), deployment_raw[[#This Row],[Column5]],"")</f>
        <v/>
      </c>
      <c r="F840" s="94" t="str">
        <f>IF(ISNUMBER(deployment_raw[[#This Row],[Column6]]), (deployment_raw[[#This Row],[Column6]] * IF($E$2="Deployment",deployment_raw[[#This Row],[Column5]],1)),"")</f>
        <v/>
      </c>
      <c r="G840" s="95" t="str">
        <f>IF(ISNUMBER(deployment_raw[[#This Row],[Column7]]), (deployment_raw[[#This Row],[Column7]] * IF($E$2="Deployment",deployment_raw[[#This Row],[Column5]],1))/1048576,"")</f>
        <v/>
      </c>
      <c r="H840" s="95" t="str">
        <f>IF(ISNUMBER(deployment_raw[[#This Row],[Column8]]), (deployment_raw[[#This Row],[Column8]]  * IF($E$2="Deployment",deployment_raw[[#This Row],[Column5]],1)),"")</f>
        <v/>
      </c>
      <c r="I840" s="96" t="str">
        <f>IF(ISNUMBER(deployment_raw[[#This Row],[Column9]]), (deployment_raw[[#This Row],[Column9]] * IF($E$2="Deployment",deployment_raw[[#This Row],[Column5]],1))/1048576,"")</f>
        <v/>
      </c>
      <c r="J840" s="122" t="str">
        <f>IF(ISNUMBER(deployment_raw[[#This Row],[Column10]]), (MIN(IF(N840&lt;&gt;"",N840,9999999999999)*1.1,deployment_raw[[#This Row],[Column10]] * IF($E$2="Deployment",deployment_raw[[#This Row],[Column5]],1))),"")</f>
        <v/>
      </c>
      <c r="K840" s="123" t="str">
        <f>IF(ISNUMBER(deployment_raw[[#This Row],[Column11]]), (MIN(IF(O840&lt;&gt;"",O840,9999999999999)*1.1,deployment_raw[[#This Row],[Column11]] * IF($E$2="Deployment",deployment_raw[[#This Row],[Column5]],1)/1048576)),"")</f>
        <v/>
      </c>
      <c r="L840" s="124" t="str">
        <f>IF(ISNUMBER(deployment_raw[[#This Row],[Column8]]),IF(OR(deployment_raw[[#This Row],[Column5]] &lt;&gt; 0,$E$2 &lt;&gt; "Deployment"), MAX(J840, P840, R840, ($L$2 * IF($E$2="Deployment",deployment_raw[[#This Row],[Column5]],1)),IF(T840&lt;&gt;"",VALUE(T840) * IF($E$2="Deployment",deployment_raw[[#This Row],[Column5]],1),0)), 0),"")</f>
        <v/>
      </c>
      <c r="M840" s="125" t="str">
        <f>IF(ISNUMBER(deployment_raw[[#This Row],[Column9]]),IF(OR(deployment_raw[[#This Row],[Column5]] &lt;&gt; 0,$E$2&lt;&gt;"Deployment"), MAX(K840, Q840, S840, ($M$2 * IF($E$2="Deployment",deployment_raw[[#This Row],[Column5]],1)),IF(U840&lt;&gt;"",VALUE(U840) * IF($E$2="Deployment",deployment_raw[[#This Row],[Column5]],1),0)), 0),"")</f>
        <v/>
      </c>
      <c r="N840" s="166" t="str">
        <f>IF(ISNUMBER(deployment_raw[[#This Row],[Column14]]), deployment_raw[[#This Row],[Column14]]/IF(OR($E$2="Deployment",deployment_raw[[#This Row],[Column5]]=0),1,deployment_raw[[#This Row],[Column5]]),"")</f>
        <v/>
      </c>
      <c r="O840" s="167" t="str">
        <f>IF(ISNUMBER(deployment_raw[[#This Row],[Column15]]), deployment_raw[[#This Row],[Column15]]/IF(OR($E$2="Deployment",deployment_raw[[#This Row],[Column5]]=0),1,deployment_raw[[#This Row],[Column5]])/1048576,"")</f>
        <v/>
      </c>
      <c r="P840" s="168" t="str">
        <f>IF(ISNUMBER(deployment_raw[[#This Row],[Column12]]), (MIN(IF(N840&lt;&gt;"",N840,9999999999999)*1.1,deployment_raw[[#This Row],[Column12]] * IF($E$2="Deployment",deployment_raw[[#This Row],[Column5]],1))*(1+$P$2)),"")</f>
        <v/>
      </c>
      <c r="Q840" s="167" t="str">
        <f>IF(ISNUMBER(deployment_raw[[#This Row],[Column13]]), (MIN(IF(O840&lt;&gt;"",O840,9999999999999)*1.1,deployment_raw[[#This Row],[Column13]] * IF($E$2="Deployment",deployment_raw[[#This Row],[Column5]],1)*(1+$Q$2)/1048576)),"")</f>
        <v/>
      </c>
      <c r="R840" s="169" t="str">
        <f>IF(ISNUMBER(deployment_raw[[#This Row],[Column8]]), (H840  * IF(N840&lt;&gt;0,$R$2,1)),"")</f>
        <v/>
      </c>
      <c r="S840" s="170" t="str">
        <f>IF(ISNUMBER(deployment_raw[[#This Row],[Column8]]), (I840  * IF(O840&lt;&gt;0,$S$2,1)),"")</f>
        <v/>
      </c>
      <c r="T840" s="202" t="str">
        <f>IF(AND(A840&lt;&gt;"",_xlfn.IFNA(MATCH(A840,'dynamic resource application '!$A$2:$A$100, 0),0)&lt;&gt;0), H840/(IF($E$2="Deployment",E840,1)),"")</f>
        <v/>
      </c>
      <c r="U840" s="211" t="str">
        <f>IF(AND(A840&lt;&gt;"",_xlfn.IFNA(MATCH(A840,'dynamic resource application '!$A$2:$A$100, 0),0)&lt;&gt;0), I840/(IF($E$2="Deployment",E840,1)),"")</f>
        <v/>
      </c>
    </row>
    <row r="841" spans="1:21" ht="15.75" customHeight="1" x14ac:dyDescent="0.25">
      <c r="A841" s="35" t="str">
        <f>IF(ISNONTEXT(deployment_raw[[#This Row],[Column1]]), "", deployment_raw[[#This Row],[Column1]])</f>
        <v/>
      </c>
      <c r="B841" s="36" t="str">
        <f>IF(ISNONTEXT(deployment_raw[[#This Row],[Column2]]), "", deployment_raw[[#This Row],[Column2]])</f>
        <v/>
      </c>
      <c r="C841" s="36" t="str">
        <f>IF(ISNONTEXT(deployment_raw[[#This Row],[Column3]]), "", deployment_raw[[#This Row],[Column3]])</f>
        <v/>
      </c>
      <c r="D841" s="36" t="str">
        <f>IF(ISNONTEXT(deployment_raw[[#This Row],[Column4]]), "", deployment_raw[[#This Row],[Column4]])</f>
        <v/>
      </c>
      <c r="E841" s="37" t="str">
        <f>IF(ISNUMBER(deployment_raw[[#This Row],[Column5]]), deployment_raw[[#This Row],[Column5]],"")</f>
        <v/>
      </c>
      <c r="F841" s="94" t="str">
        <f>IF(ISNUMBER(deployment_raw[[#This Row],[Column6]]), (deployment_raw[[#This Row],[Column6]] * IF($E$2="Deployment",deployment_raw[[#This Row],[Column5]],1)),"")</f>
        <v/>
      </c>
      <c r="G841" s="95" t="str">
        <f>IF(ISNUMBER(deployment_raw[[#This Row],[Column7]]), (deployment_raw[[#This Row],[Column7]] * IF($E$2="Deployment",deployment_raw[[#This Row],[Column5]],1))/1048576,"")</f>
        <v/>
      </c>
      <c r="H841" s="95" t="str">
        <f>IF(ISNUMBER(deployment_raw[[#This Row],[Column8]]), (deployment_raw[[#This Row],[Column8]]  * IF($E$2="Deployment",deployment_raw[[#This Row],[Column5]],1)),"")</f>
        <v/>
      </c>
      <c r="I841" s="96" t="str">
        <f>IF(ISNUMBER(deployment_raw[[#This Row],[Column9]]), (deployment_raw[[#This Row],[Column9]] * IF($E$2="Deployment",deployment_raw[[#This Row],[Column5]],1))/1048576,"")</f>
        <v/>
      </c>
      <c r="J841" s="122" t="str">
        <f>IF(ISNUMBER(deployment_raw[[#This Row],[Column10]]), (MIN(IF(N841&lt;&gt;"",N841,9999999999999)*1.1,deployment_raw[[#This Row],[Column10]] * IF($E$2="Deployment",deployment_raw[[#This Row],[Column5]],1))),"")</f>
        <v/>
      </c>
      <c r="K841" s="123" t="str">
        <f>IF(ISNUMBER(deployment_raw[[#This Row],[Column11]]), (MIN(IF(O841&lt;&gt;"",O841,9999999999999)*1.1,deployment_raw[[#This Row],[Column11]] * IF($E$2="Deployment",deployment_raw[[#This Row],[Column5]],1)/1048576)),"")</f>
        <v/>
      </c>
      <c r="L841" s="124" t="str">
        <f>IF(ISNUMBER(deployment_raw[[#This Row],[Column8]]),IF(OR(deployment_raw[[#This Row],[Column5]] &lt;&gt; 0,$E$2 &lt;&gt; "Deployment"), MAX(J841, P841, R841, ($L$2 * IF($E$2="Deployment",deployment_raw[[#This Row],[Column5]],1)),IF(T841&lt;&gt;"",VALUE(T841) * IF($E$2="Deployment",deployment_raw[[#This Row],[Column5]],1),0)), 0),"")</f>
        <v/>
      </c>
      <c r="M841" s="125" t="str">
        <f>IF(ISNUMBER(deployment_raw[[#This Row],[Column9]]),IF(OR(deployment_raw[[#This Row],[Column5]] &lt;&gt; 0,$E$2&lt;&gt;"Deployment"), MAX(K841, Q841, S841, ($M$2 * IF($E$2="Deployment",deployment_raw[[#This Row],[Column5]],1)),IF(U841&lt;&gt;"",VALUE(U841) * IF($E$2="Deployment",deployment_raw[[#This Row],[Column5]],1),0)), 0),"")</f>
        <v/>
      </c>
      <c r="N841" s="166" t="str">
        <f>IF(ISNUMBER(deployment_raw[[#This Row],[Column14]]), deployment_raw[[#This Row],[Column14]]/IF(OR($E$2="Deployment",deployment_raw[[#This Row],[Column5]]=0),1,deployment_raw[[#This Row],[Column5]]),"")</f>
        <v/>
      </c>
      <c r="O841" s="167" t="str">
        <f>IF(ISNUMBER(deployment_raw[[#This Row],[Column15]]), deployment_raw[[#This Row],[Column15]]/IF(OR($E$2="Deployment",deployment_raw[[#This Row],[Column5]]=0),1,deployment_raw[[#This Row],[Column5]])/1048576,"")</f>
        <v/>
      </c>
      <c r="P841" s="168" t="str">
        <f>IF(ISNUMBER(deployment_raw[[#This Row],[Column12]]), (MIN(IF(N841&lt;&gt;"",N841,9999999999999)*1.1,deployment_raw[[#This Row],[Column12]] * IF($E$2="Deployment",deployment_raw[[#This Row],[Column5]],1))*(1+$P$2)),"")</f>
        <v/>
      </c>
      <c r="Q841" s="167" t="str">
        <f>IF(ISNUMBER(deployment_raw[[#This Row],[Column13]]), (MIN(IF(O841&lt;&gt;"",O841,9999999999999)*1.1,deployment_raw[[#This Row],[Column13]] * IF($E$2="Deployment",deployment_raw[[#This Row],[Column5]],1)*(1+$Q$2)/1048576)),"")</f>
        <v/>
      </c>
      <c r="R841" s="169" t="str">
        <f>IF(ISNUMBER(deployment_raw[[#This Row],[Column8]]), (H841  * IF(N841&lt;&gt;0,$R$2,1)),"")</f>
        <v/>
      </c>
      <c r="S841" s="170" t="str">
        <f>IF(ISNUMBER(deployment_raw[[#This Row],[Column8]]), (I841  * IF(O841&lt;&gt;0,$S$2,1)),"")</f>
        <v/>
      </c>
      <c r="T841" s="202" t="str">
        <f>IF(AND(A841&lt;&gt;"",_xlfn.IFNA(MATCH(A841,'dynamic resource application '!$A$2:$A$100, 0),0)&lt;&gt;0), H841/(IF($E$2="Deployment",E841,1)),"")</f>
        <v/>
      </c>
      <c r="U841" s="211" t="str">
        <f>IF(AND(A841&lt;&gt;"",_xlfn.IFNA(MATCH(A841,'dynamic resource application '!$A$2:$A$100, 0),0)&lt;&gt;0), I841/(IF($E$2="Deployment",E841,1)),"")</f>
        <v/>
      </c>
    </row>
    <row r="842" spans="1:21" ht="15.75" customHeight="1" x14ac:dyDescent="0.25">
      <c r="A842" s="35" t="str">
        <f>IF(ISNONTEXT(deployment_raw[[#This Row],[Column1]]), "", deployment_raw[[#This Row],[Column1]])</f>
        <v/>
      </c>
      <c r="B842" s="36" t="str">
        <f>IF(ISNONTEXT(deployment_raw[[#This Row],[Column2]]), "", deployment_raw[[#This Row],[Column2]])</f>
        <v/>
      </c>
      <c r="C842" s="36" t="str">
        <f>IF(ISNONTEXT(deployment_raw[[#This Row],[Column3]]), "", deployment_raw[[#This Row],[Column3]])</f>
        <v/>
      </c>
      <c r="D842" s="36" t="str">
        <f>IF(ISNONTEXT(deployment_raw[[#This Row],[Column4]]), "", deployment_raw[[#This Row],[Column4]])</f>
        <v/>
      </c>
      <c r="E842" s="37" t="str">
        <f>IF(ISNUMBER(deployment_raw[[#This Row],[Column5]]), deployment_raw[[#This Row],[Column5]],"")</f>
        <v/>
      </c>
      <c r="F842" s="94" t="str">
        <f>IF(ISNUMBER(deployment_raw[[#This Row],[Column6]]), (deployment_raw[[#This Row],[Column6]] * IF($E$2="Deployment",deployment_raw[[#This Row],[Column5]],1)),"")</f>
        <v/>
      </c>
      <c r="G842" s="95" t="str">
        <f>IF(ISNUMBER(deployment_raw[[#This Row],[Column7]]), (deployment_raw[[#This Row],[Column7]] * IF($E$2="Deployment",deployment_raw[[#This Row],[Column5]],1))/1048576,"")</f>
        <v/>
      </c>
      <c r="H842" s="95" t="str">
        <f>IF(ISNUMBER(deployment_raw[[#This Row],[Column8]]), (deployment_raw[[#This Row],[Column8]]  * IF($E$2="Deployment",deployment_raw[[#This Row],[Column5]],1)),"")</f>
        <v/>
      </c>
      <c r="I842" s="96" t="str">
        <f>IF(ISNUMBER(deployment_raw[[#This Row],[Column9]]), (deployment_raw[[#This Row],[Column9]] * IF($E$2="Deployment",deployment_raw[[#This Row],[Column5]],1))/1048576,"")</f>
        <v/>
      </c>
      <c r="J842" s="122" t="str">
        <f>IF(ISNUMBER(deployment_raw[[#This Row],[Column10]]), (MIN(IF(N842&lt;&gt;"",N842,9999999999999)*1.1,deployment_raw[[#This Row],[Column10]] * IF($E$2="Deployment",deployment_raw[[#This Row],[Column5]],1))),"")</f>
        <v/>
      </c>
      <c r="K842" s="123" t="str">
        <f>IF(ISNUMBER(deployment_raw[[#This Row],[Column11]]), (MIN(IF(O842&lt;&gt;"",O842,9999999999999)*1.1,deployment_raw[[#This Row],[Column11]] * IF($E$2="Deployment",deployment_raw[[#This Row],[Column5]],1)/1048576)),"")</f>
        <v/>
      </c>
      <c r="L842" s="124" t="str">
        <f>IF(ISNUMBER(deployment_raw[[#This Row],[Column8]]),IF(OR(deployment_raw[[#This Row],[Column5]] &lt;&gt; 0,$E$2 &lt;&gt; "Deployment"), MAX(J842, P842, R842, ($L$2 * IF($E$2="Deployment",deployment_raw[[#This Row],[Column5]],1)),IF(T842&lt;&gt;"",VALUE(T842) * IF($E$2="Deployment",deployment_raw[[#This Row],[Column5]],1),0)), 0),"")</f>
        <v/>
      </c>
      <c r="M842" s="125" t="str">
        <f>IF(ISNUMBER(deployment_raw[[#This Row],[Column9]]),IF(OR(deployment_raw[[#This Row],[Column5]] &lt;&gt; 0,$E$2&lt;&gt;"Deployment"), MAX(K842, Q842, S842, ($M$2 * IF($E$2="Deployment",deployment_raw[[#This Row],[Column5]],1)),IF(U842&lt;&gt;"",VALUE(U842) * IF($E$2="Deployment",deployment_raw[[#This Row],[Column5]],1),0)), 0),"")</f>
        <v/>
      </c>
      <c r="N842" s="166" t="str">
        <f>IF(ISNUMBER(deployment_raw[[#This Row],[Column14]]), deployment_raw[[#This Row],[Column14]]/IF(OR($E$2="Deployment",deployment_raw[[#This Row],[Column5]]=0),1,deployment_raw[[#This Row],[Column5]]),"")</f>
        <v/>
      </c>
      <c r="O842" s="167" t="str">
        <f>IF(ISNUMBER(deployment_raw[[#This Row],[Column15]]), deployment_raw[[#This Row],[Column15]]/IF(OR($E$2="Deployment",deployment_raw[[#This Row],[Column5]]=0),1,deployment_raw[[#This Row],[Column5]])/1048576,"")</f>
        <v/>
      </c>
      <c r="P842" s="168" t="str">
        <f>IF(ISNUMBER(deployment_raw[[#This Row],[Column12]]), (MIN(IF(N842&lt;&gt;"",N842,9999999999999)*1.1,deployment_raw[[#This Row],[Column12]] * IF($E$2="Deployment",deployment_raw[[#This Row],[Column5]],1))*(1+$P$2)),"")</f>
        <v/>
      </c>
      <c r="Q842" s="167" t="str">
        <f>IF(ISNUMBER(deployment_raw[[#This Row],[Column13]]), (MIN(IF(O842&lt;&gt;"",O842,9999999999999)*1.1,deployment_raw[[#This Row],[Column13]] * IF($E$2="Deployment",deployment_raw[[#This Row],[Column5]],1)*(1+$Q$2)/1048576)),"")</f>
        <v/>
      </c>
      <c r="R842" s="169" t="str">
        <f>IF(ISNUMBER(deployment_raw[[#This Row],[Column8]]), (H842  * IF(N842&lt;&gt;0,$R$2,1)),"")</f>
        <v/>
      </c>
      <c r="S842" s="170" t="str">
        <f>IF(ISNUMBER(deployment_raw[[#This Row],[Column8]]), (I842  * IF(O842&lt;&gt;0,$S$2,1)),"")</f>
        <v/>
      </c>
      <c r="T842" s="202" t="str">
        <f>IF(AND(A842&lt;&gt;"",_xlfn.IFNA(MATCH(A842,'dynamic resource application '!$A$2:$A$100, 0),0)&lt;&gt;0), H842/(IF($E$2="Deployment",E842,1)),"")</f>
        <v/>
      </c>
      <c r="U842" s="211" t="str">
        <f>IF(AND(A842&lt;&gt;"",_xlfn.IFNA(MATCH(A842,'dynamic resource application '!$A$2:$A$100, 0),0)&lt;&gt;0), I842/(IF($E$2="Deployment",E842,1)),"")</f>
        <v/>
      </c>
    </row>
    <row r="843" spans="1:21" ht="15.75" customHeight="1" x14ac:dyDescent="0.25">
      <c r="A843" s="35" t="str">
        <f>IF(ISNONTEXT(deployment_raw[[#This Row],[Column1]]), "", deployment_raw[[#This Row],[Column1]])</f>
        <v/>
      </c>
      <c r="B843" s="36" t="str">
        <f>IF(ISNONTEXT(deployment_raw[[#This Row],[Column2]]), "", deployment_raw[[#This Row],[Column2]])</f>
        <v/>
      </c>
      <c r="C843" s="36" t="str">
        <f>IF(ISNONTEXT(deployment_raw[[#This Row],[Column3]]), "", deployment_raw[[#This Row],[Column3]])</f>
        <v/>
      </c>
      <c r="D843" s="36" t="str">
        <f>IF(ISNONTEXT(deployment_raw[[#This Row],[Column4]]), "", deployment_raw[[#This Row],[Column4]])</f>
        <v/>
      </c>
      <c r="E843" s="37" t="str">
        <f>IF(ISNUMBER(deployment_raw[[#This Row],[Column5]]), deployment_raw[[#This Row],[Column5]],"")</f>
        <v/>
      </c>
      <c r="F843" s="94" t="str">
        <f>IF(ISNUMBER(deployment_raw[[#This Row],[Column6]]), (deployment_raw[[#This Row],[Column6]] * IF($E$2="Deployment",deployment_raw[[#This Row],[Column5]],1)),"")</f>
        <v/>
      </c>
      <c r="G843" s="95" t="str">
        <f>IF(ISNUMBER(deployment_raw[[#This Row],[Column7]]), (deployment_raw[[#This Row],[Column7]] * IF($E$2="Deployment",deployment_raw[[#This Row],[Column5]],1))/1048576,"")</f>
        <v/>
      </c>
      <c r="H843" s="95" t="str">
        <f>IF(ISNUMBER(deployment_raw[[#This Row],[Column8]]), (deployment_raw[[#This Row],[Column8]]  * IF($E$2="Deployment",deployment_raw[[#This Row],[Column5]],1)),"")</f>
        <v/>
      </c>
      <c r="I843" s="96" t="str">
        <f>IF(ISNUMBER(deployment_raw[[#This Row],[Column9]]), (deployment_raw[[#This Row],[Column9]] * IF($E$2="Deployment",deployment_raw[[#This Row],[Column5]],1))/1048576,"")</f>
        <v/>
      </c>
      <c r="J843" s="122" t="str">
        <f>IF(ISNUMBER(deployment_raw[[#This Row],[Column10]]), (MIN(IF(N843&lt;&gt;"",N843,9999999999999)*1.1,deployment_raw[[#This Row],[Column10]] * IF($E$2="Deployment",deployment_raw[[#This Row],[Column5]],1))),"")</f>
        <v/>
      </c>
      <c r="K843" s="123" t="str">
        <f>IF(ISNUMBER(deployment_raw[[#This Row],[Column11]]), (MIN(IF(O843&lt;&gt;"",O843,9999999999999)*1.1,deployment_raw[[#This Row],[Column11]] * IF($E$2="Deployment",deployment_raw[[#This Row],[Column5]],1)/1048576)),"")</f>
        <v/>
      </c>
      <c r="L843" s="124" t="str">
        <f>IF(ISNUMBER(deployment_raw[[#This Row],[Column8]]),IF(OR(deployment_raw[[#This Row],[Column5]] &lt;&gt; 0,$E$2 &lt;&gt; "Deployment"), MAX(J843, P843, R843, ($L$2 * IF($E$2="Deployment",deployment_raw[[#This Row],[Column5]],1)),IF(T843&lt;&gt;"",VALUE(T843) * IF($E$2="Deployment",deployment_raw[[#This Row],[Column5]],1),0)), 0),"")</f>
        <v/>
      </c>
      <c r="M843" s="125" t="str">
        <f>IF(ISNUMBER(deployment_raw[[#This Row],[Column9]]),IF(OR(deployment_raw[[#This Row],[Column5]] &lt;&gt; 0,$E$2&lt;&gt;"Deployment"), MAX(K843, Q843, S843, ($M$2 * IF($E$2="Deployment",deployment_raw[[#This Row],[Column5]],1)),IF(U843&lt;&gt;"",VALUE(U843) * IF($E$2="Deployment",deployment_raw[[#This Row],[Column5]],1),0)), 0),"")</f>
        <v/>
      </c>
      <c r="N843" s="166" t="str">
        <f>IF(ISNUMBER(deployment_raw[[#This Row],[Column14]]), deployment_raw[[#This Row],[Column14]]/IF(OR($E$2="Deployment",deployment_raw[[#This Row],[Column5]]=0),1,deployment_raw[[#This Row],[Column5]]),"")</f>
        <v/>
      </c>
      <c r="O843" s="167" t="str">
        <f>IF(ISNUMBER(deployment_raw[[#This Row],[Column15]]), deployment_raw[[#This Row],[Column15]]/IF(OR($E$2="Deployment",deployment_raw[[#This Row],[Column5]]=0),1,deployment_raw[[#This Row],[Column5]])/1048576,"")</f>
        <v/>
      </c>
      <c r="P843" s="168" t="str">
        <f>IF(ISNUMBER(deployment_raw[[#This Row],[Column12]]), (MIN(IF(N843&lt;&gt;"",N843,9999999999999)*1.1,deployment_raw[[#This Row],[Column12]] * IF($E$2="Deployment",deployment_raw[[#This Row],[Column5]],1))*(1+$P$2)),"")</f>
        <v/>
      </c>
      <c r="Q843" s="167" t="str">
        <f>IF(ISNUMBER(deployment_raw[[#This Row],[Column13]]), (MIN(IF(O843&lt;&gt;"",O843,9999999999999)*1.1,deployment_raw[[#This Row],[Column13]] * IF($E$2="Deployment",deployment_raw[[#This Row],[Column5]],1)*(1+$Q$2)/1048576)),"")</f>
        <v/>
      </c>
      <c r="R843" s="169" t="str">
        <f>IF(ISNUMBER(deployment_raw[[#This Row],[Column8]]), (H843  * IF(N843&lt;&gt;0,$R$2,1)),"")</f>
        <v/>
      </c>
      <c r="S843" s="170" t="str">
        <f>IF(ISNUMBER(deployment_raw[[#This Row],[Column8]]), (I843  * IF(O843&lt;&gt;0,$S$2,1)),"")</f>
        <v/>
      </c>
      <c r="T843" s="202" t="str">
        <f>IF(AND(A843&lt;&gt;"",_xlfn.IFNA(MATCH(A843,'dynamic resource application '!$A$2:$A$100, 0),0)&lt;&gt;0), H843/(IF($E$2="Deployment",E843,1)),"")</f>
        <v/>
      </c>
      <c r="U843" s="211" t="str">
        <f>IF(AND(A843&lt;&gt;"",_xlfn.IFNA(MATCH(A843,'dynamic resource application '!$A$2:$A$100, 0),0)&lt;&gt;0), I843/(IF($E$2="Deployment",E843,1)),"")</f>
        <v/>
      </c>
    </row>
    <row r="844" spans="1:21" ht="15.75" customHeight="1" x14ac:dyDescent="0.25">
      <c r="A844" s="35" t="str">
        <f>IF(ISNONTEXT(deployment_raw[[#This Row],[Column1]]), "", deployment_raw[[#This Row],[Column1]])</f>
        <v/>
      </c>
      <c r="B844" s="36" t="str">
        <f>IF(ISNONTEXT(deployment_raw[[#This Row],[Column2]]), "", deployment_raw[[#This Row],[Column2]])</f>
        <v/>
      </c>
      <c r="C844" s="36" t="str">
        <f>IF(ISNONTEXT(deployment_raw[[#This Row],[Column3]]), "", deployment_raw[[#This Row],[Column3]])</f>
        <v/>
      </c>
      <c r="D844" s="36" t="str">
        <f>IF(ISNONTEXT(deployment_raw[[#This Row],[Column4]]), "", deployment_raw[[#This Row],[Column4]])</f>
        <v/>
      </c>
      <c r="E844" s="37" t="str">
        <f>IF(ISNUMBER(deployment_raw[[#This Row],[Column5]]), deployment_raw[[#This Row],[Column5]],"")</f>
        <v/>
      </c>
      <c r="F844" s="94" t="str">
        <f>IF(ISNUMBER(deployment_raw[[#This Row],[Column6]]), (deployment_raw[[#This Row],[Column6]] * IF($E$2="Deployment",deployment_raw[[#This Row],[Column5]],1)),"")</f>
        <v/>
      </c>
      <c r="G844" s="95" t="str">
        <f>IF(ISNUMBER(deployment_raw[[#This Row],[Column7]]), (deployment_raw[[#This Row],[Column7]] * IF($E$2="Deployment",deployment_raw[[#This Row],[Column5]],1))/1048576,"")</f>
        <v/>
      </c>
      <c r="H844" s="95" t="str">
        <f>IF(ISNUMBER(deployment_raw[[#This Row],[Column8]]), (deployment_raw[[#This Row],[Column8]]  * IF($E$2="Deployment",deployment_raw[[#This Row],[Column5]],1)),"")</f>
        <v/>
      </c>
      <c r="I844" s="96" t="str">
        <f>IF(ISNUMBER(deployment_raw[[#This Row],[Column9]]), (deployment_raw[[#This Row],[Column9]] * IF($E$2="Deployment",deployment_raw[[#This Row],[Column5]],1))/1048576,"")</f>
        <v/>
      </c>
      <c r="J844" s="122" t="str">
        <f>IF(ISNUMBER(deployment_raw[[#This Row],[Column10]]), (MIN(IF(N844&lt;&gt;"",N844,9999999999999)*1.1,deployment_raw[[#This Row],[Column10]] * IF($E$2="Deployment",deployment_raw[[#This Row],[Column5]],1))),"")</f>
        <v/>
      </c>
      <c r="K844" s="123" t="str">
        <f>IF(ISNUMBER(deployment_raw[[#This Row],[Column11]]), (MIN(IF(O844&lt;&gt;"",O844,9999999999999)*1.1,deployment_raw[[#This Row],[Column11]] * IF($E$2="Deployment",deployment_raw[[#This Row],[Column5]],1)/1048576)),"")</f>
        <v/>
      </c>
      <c r="L844" s="124" t="str">
        <f>IF(ISNUMBER(deployment_raw[[#This Row],[Column8]]),IF(OR(deployment_raw[[#This Row],[Column5]] &lt;&gt; 0,$E$2 &lt;&gt; "Deployment"), MAX(J844, P844, R844, ($L$2 * IF($E$2="Deployment",deployment_raw[[#This Row],[Column5]],1)),IF(T844&lt;&gt;"",VALUE(T844) * IF($E$2="Deployment",deployment_raw[[#This Row],[Column5]],1),0)), 0),"")</f>
        <v/>
      </c>
      <c r="M844" s="125" t="str">
        <f>IF(ISNUMBER(deployment_raw[[#This Row],[Column9]]),IF(OR(deployment_raw[[#This Row],[Column5]] &lt;&gt; 0,$E$2&lt;&gt;"Deployment"), MAX(K844, Q844, S844, ($M$2 * IF($E$2="Deployment",deployment_raw[[#This Row],[Column5]],1)),IF(U844&lt;&gt;"",VALUE(U844) * IF($E$2="Deployment",deployment_raw[[#This Row],[Column5]],1),0)), 0),"")</f>
        <v/>
      </c>
      <c r="N844" s="166" t="str">
        <f>IF(ISNUMBER(deployment_raw[[#This Row],[Column14]]), deployment_raw[[#This Row],[Column14]]/IF(OR($E$2="Deployment",deployment_raw[[#This Row],[Column5]]=0),1,deployment_raw[[#This Row],[Column5]]),"")</f>
        <v/>
      </c>
      <c r="O844" s="167" t="str">
        <f>IF(ISNUMBER(deployment_raw[[#This Row],[Column15]]), deployment_raw[[#This Row],[Column15]]/IF(OR($E$2="Deployment",deployment_raw[[#This Row],[Column5]]=0),1,deployment_raw[[#This Row],[Column5]])/1048576,"")</f>
        <v/>
      </c>
      <c r="P844" s="168" t="str">
        <f>IF(ISNUMBER(deployment_raw[[#This Row],[Column12]]), (MIN(IF(N844&lt;&gt;"",N844,9999999999999)*1.1,deployment_raw[[#This Row],[Column12]] * IF($E$2="Deployment",deployment_raw[[#This Row],[Column5]],1))*(1+$P$2)),"")</f>
        <v/>
      </c>
      <c r="Q844" s="167" t="str">
        <f>IF(ISNUMBER(deployment_raw[[#This Row],[Column13]]), (MIN(IF(O844&lt;&gt;"",O844,9999999999999)*1.1,deployment_raw[[#This Row],[Column13]] * IF($E$2="Deployment",deployment_raw[[#This Row],[Column5]],1)*(1+$Q$2)/1048576)),"")</f>
        <v/>
      </c>
      <c r="R844" s="169" t="str">
        <f>IF(ISNUMBER(deployment_raw[[#This Row],[Column8]]), (H844  * IF(N844&lt;&gt;0,$R$2,1)),"")</f>
        <v/>
      </c>
      <c r="S844" s="170" t="str">
        <f>IF(ISNUMBER(deployment_raw[[#This Row],[Column8]]), (I844  * IF(O844&lt;&gt;0,$S$2,1)),"")</f>
        <v/>
      </c>
      <c r="T844" s="202" t="str">
        <f>IF(AND(A844&lt;&gt;"",_xlfn.IFNA(MATCH(A844,'dynamic resource application '!$A$2:$A$100, 0),0)&lt;&gt;0), H844/(IF($E$2="Deployment",E844,1)),"")</f>
        <v/>
      </c>
      <c r="U844" s="211" t="str">
        <f>IF(AND(A844&lt;&gt;"",_xlfn.IFNA(MATCH(A844,'dynamic resource application '!$A$2:$A$100, 0),0)&lt;&gt;0), I844/(IF($E$2="Deployment",E844,1)),"")</f>
        <v/>
      </c>
    </row>
    <row r="845" spans="1:21" ht="15.75" customHeight="1" x14ac:dyDescent="0.25">
      <c r="A845" s="35" t="str">
        <f>IF(ISNONTEXT(deployment_raw[[#This Row],[Column1]]), "", deployment_raw[[#This Row],[Column1]])</f>
        <v/>
      </c>
      <c r="B845" s="36" t="str">
        <f>IF(ISNONTEXT(deployment_raw[[#This Row],[Column2]]), "", deployment_raw[[#This Row],[Column2]])</f>
        <v/>
      </c>
      <c r="C845" s="36" t="str">
        <f>IF(ISNONTEXT(deployment_raw[[#This Row],[Column3]]), "", deployment_raw[[#This Row],[Column3]])</f>
        <v/>
      </c>
      <c r="D845" s="36" t="str">
        <f>IF(ISNONTEXT(deployment_raw[[#This Row],[Column4]]), "", deployment_raw[[#This Row],[Column4]])</f>
        <v/>
      </c>
      <c r="E845" s="37" t="str">
        <f>IF(ISNUMBER(deployment_raw[[#This Row],[Column5]]), deployment_raw[[#This Row],[Column5]],"")</f>
        <v/>
      </c>
      <c r="F845" s="94" t="str">
        <f>IF(ISNUMBER(deployment_raw[[#This Row],[Column6]]), (deployment_raw[[#This Row],[Column6]] * IF($E$2="Deployment",deployment_raw[[#This Row],[Column5]],1)),"")</f>
        <v/>
      </c>
      <c r="G845" s="95" t="str">
        <f>IF(ISNUMBER(deployment_raw[[#This Row],[Column7]]), (deployment_raw[[#This Row],[Column7]] * IF($E$2="Deployment",deployment_raw[[#This Row],[Column5]],1))/1048576,"")</f>
        <v/>
      </c>
      <c r="H845" s="95" t="str">
        <f>IF(ISNUMBER(deployment_raw[[#This Row],[Column8]]), (deployment_raw[[#This Row],[Column8]]  * IF($E$2="Deployment",deployment_raw[[#This Row],[Column5]],1)),"")</f>
        <v/>
      </c>
      <c r="I845" s="96" t="str">
        <f>IF(ISNUMBER(deployment_raw[[#This Row],[Column9]]), (deployment_raw[[#This Row],[Column9]] * IF($E$2="Deployment",deployment_raw[[#This Row],[Column5]],1))/1048576,"")</f>
        <v/>
      </c>
      <c r="J845" s="122" t="str">
        <f>IF(ISNUMBER(deployment_raw[[#This Row],[Column10]]), (MIN(IF(N845&lt;&gt;"",N845,9999999999999)*1.1,deployment_raw[[#This Row],[Column10]] * IF($E$2="Deployment",deployment_raw[[#This Row],[Column5]],1))),"")</f>
        <v/>
      </c>
      <c r="K845" s="123" t="str">
        <f>IF(ISNUMBER(deployment_raw[[#This Row],[Column11]]), (MIN(IF(O845&lt;&gt;"",O845,9999999999999)*1.1,deployment_raw[[#This Row],[Column11]] * IF($E$2="Deployment",deployment_raw[[#This Row],[Column5]],1)/1048576)),"")</f>
        <v/>
      </c>
      <c r="L845" s="124" t="str">
        <f>IF(ISNUMBER(deployment_raw[[#This Row],[Column8]]),IF(OR(deployment_raw[[#This Row],[Column5]] &lt;&gt; 0,$E$2 &lt;&gt; "Deployment"), MAX(J845, P845, R845, ($L$2 * IF($E$2="Deployment",deployment_raw[[#This Row],[Column5]],1)),IF(T845&lt;&gt;"",VALUE(T845) * IF($E$2="Deployment",deployment_raw[[#This Row],[Column5]],1),0)), 0),"")</f>
        <v/>
      </c>
      <c r="M845" s="125" t="str">
        <f>IF(ISNUMBER(deployment_raw[[#This Row],[Column9]]),IF(OR(deployment_raw[[#This Row],[Column5]] &lt;&gt; 0,$E$2&lt;&gt;"Deployment"), MAX(K845, Q845, S845, ($M$2 * IF($E$2="Deployment",deployment_raw[[#This Row],[Column5]],1)),IF(U845&lt;&gt;"",VALUE(U845) * IF($E$2="Deployment",deployment_raw[[#This Row],[Column5]],1),0)), 0),"")</f>
        <v/>
      </c>
      <c r="N845" s="166" t="str">
        <f>IF(ISNUMBER(deployment_raw[[#This Row],[Column14]]), deployment_raw[[#This Row],[Column14]]/IF(OR($E$2="Deployment",deployment_raw[[#This Row],[Column5]]=0),1,deployment_raw[[#This Row],[Column5]]),"")</f>
        <v/>
      </c>
      <c r="O845" s="167" t="str">
        <f>IF(ISNUMBER(deployment_raw[[#This Row],[Column15]]), deployment_raw[[#This Row],[Column15]]/IF(OR($E$2="Deployment",deployment_raw[[#This Row],[Column5]]=0),1,deployment_raw[[#This Row],[Column5]])/1048576,"")</f>
        <v/>
      </c>
      <c r="P845" s="168" t="str">
        <f>IF(ISNUMBER(deployment_raw[[#This Row],[Column12]]), (MIN(IF(N845&lt;&gt;"",N845,9999999999999)*1.1,deployment_raw[[#This Row],[Column12]] * IF($E$2="Deployment",deployment_raw[[#This Row],[Column5]],1))*(1+$P$2)),"")</f>
        <v/>
      </c>
      <c r="Q845" s="167" t="str">
        <f>IF(ISNUMBER(deployment_raw[[#This Row],[Column13]]), (MIN(IF(O845&lt;&gt;"",O845,9999999999999)*1.1,deployment_raw[[#This Row],[Column13]] * IF($E$2="Deployment",deployment_raw[[#This Row],[Column5]],1)*(1+$Q$2)/1048576)),"")</f>
        <v/>
      </c>
      <c r="R845" s="169" t="str">
        <f>IF(ISNUMBER(deployment_raw[[#This Row],[Column8]]), (H845  * IF(N845&lt;&gt;0,$R$2,1)),"")</f>
        <v/>
      </c>
      <c r="S845" s="170" t="str">
        <f>IF(ISNUMBER(deployment_raw[[#This Row],[Column8]]), (I845  * IF(O845&lt;&gt;0,$S$2,1)),"")</f>
        <v/>
      </c>
      <c r="T845" s="202" t="str">
        <f>IF(AND(A845&lt;&gt;"",_xlfn.IFNA(MATCH(A845,'dynamic resource application '!$A$2:$A$100, 0),0)&lt;&gt;0), H845/(IF($E$2="Deployment",E845,1)),"")</f>
        <v/>
      </c>
      <c r="U845" s="211" t="str">
        <f>IF(AND(A845&lt;&gt;"",_xlfn.IFNA(MATCH(A845,'dynamic resource application '!$A$2:$A$100, 0),0)&lt;&gt;0), I845/(IF($E$2="Deployment",E845,1)),"")</f>
        <v/>
      </c>
    </row>
    <row r="846" spans="1:21" ht="15.75" customHeight="1" x14ac:dyDescent="0.25">
      <c r="A846" s="35" t="str">
        <f>IF(ISNONTEXT(deployment_raw[[#This Row],[Column1]]), "", deployment_raw[[#This Row],[Column1]])</f>
        <v/>
      </c>
      <c r="B846" s="36" t="str">
        <f>IF(ISNONTEXT(deployment_raw[[#This Row],[Column2]]), "", deployment_raw[[#This Row],[Column2]])</f>
        <v/>
      </c>
      <c r="C846" s="36" t="str">
        <f>IF(ISNONTEXT(deployment_raw[[#This Row],[Column3]]), "", deployment_raw[[#This Row],[Column3]])</f>
        <v/>
      </c>
      <c r="D846" s="36" t="str">
        <f>IF(ISNONTEXT(deployment_raw[[#This Row],[Column4]]), "", deployment_raw[[#This Row],[Column4]])</f>
        <v/>
      </c>
      <c r="E846" s="37" t="str">
        <f>IF(ISNUMBER(deployment_raw[[#This Row],[Column5]]), deployment_raw[[#This Row],[Column5]],"")</f>
        <v/>
      </c>
      <c r="F846" s="94" t="str">
        <f>IF(ISNUMBER(deployment_raw[[#This Row],[Column6]]), (deployment_raw[[#This Row],[Column6]] * IF($E$2="Deployment",deployment_raw[[#This Row],[Column5]],1)),"")</f>
        <v/>
      </c>
      <c r="G846" s="95" t="str">
        <f>IF(ISNUMBER(deployment_raw[[#This Row],[Column7]]), (deployment_raw[[#This Row],[Column7]] * IF($E$2="Deployment",deployment_raw[[#This Row],[Column5]],1))/1048576,"")</f>
        <v/>
      </c>
      <c r="H846" s="95" t="str">
        <f>IF(ISNUMBER(deployment_raw[[#This Row],[Column8]]), (deployment_raw[[#This Row],[Column8]]  * IF($E$2="Deployment",deployment_raw[[#This Row],[Column5]],1)),"")</f>
        <v/>
      </c>
      <c r="I846" s="96" t="str">
        <f>IF(ISNUMBER(deployment_raw[[#This Row],[Column9]]), (deployment_raw[[#This Row],[Column9]] * IF($E$2="Deployment",deployment_raw[[#This Row],[Column5]],1))/1048576,"")</f>
        <v/>
      </c>
      <c r="J846" s="122" t="str">
        <f>IF(ISNUMBER(deployment_raw[[#This Row],[Column10]]), (MIN(IF(N846&lt;&gt;"",N846,9999999999999)*1.1,deployment_raw[[#This Row],[Column10]] * IF($E$2="Deployment",deployment_raw[[#This Row],[Column5]],1))),"")</f>
        <v/>
      </c>
      <c r="K846" s="123" t="str">
        <f>IF(ISNUMBER(deployment_raw[[#This Row],[Column11]]), (MIN(IF(O846&lt;&gt;"",O846,9999999999999)*1.1,deployment_raw[[#This Row],[Column11]] * IF($E$2="Deployment",deployment_raw[[#This Row],[Column5]],1)/1048576)),"")</f>
        <v/>
      </c>
      <c r="L846" s="124" t="str">
        <f>IF(ISNUMBER(deployment_raw[[#This Row],[Column8]]),IF(OR(deployment_raw[[#This Row],[Column5]] &lt;&gt; 0,$E$2 &lt;&gt; "Deployment"), MAX(J846, P846, R846, ($L$2 * IF($E$2="Deployment",deployment_raw[[#This Row],[Column5]],1)),IF(T846&lt;&gt;"",VALUE(T846) * IF($E$2="Deployment",deployment_raw[[#This Row],[Column5]],1),0)), 0),"")</f>
        <v/>
      </c>
      <c r="M846" s="125" t="str">
        <f>IF(ISNUMBER(deployment_raw[[#This Row],[Column9]]),IF(OR(deployment_raw[[#This Row],[Column5]] &lt;&gt; 0,$E$2&lt;&gt;"Deployment"), MAX(K846, Q846, S846, ($M$2 * IF($E$2="Deployment",deployment_raw[[#This Row],[Column5]],1)),IF(U846&lt;&gt;"",VALUE(U846) * IF($E$2="Deployment",deployment_raw[[#This Row],[Column5]],1),0)), 0),"")</f>
        <v/>
      </c>
      <c r="N846" s="166" t="str">
        <f>IF(ISNUMBER(deployment_raw[[#This Row],[Column14]]), deployment_raw[[#This Row],[Column14]]/IF(OR($E$2="Deployment",deployment_raw[[#This Row],[Column5]]=0),1,deployment_raw[[#This Row],[Column5]]),"")</f>
        <v/>
      </c>
      <c r="O846" s="167" t="str">
        <f>IF(ISNUMBER(deployment_raw[[#This Row],[Column15]]), deployment_raw[[#This Row],[Column15]]/IF(OR($E$2="Deployment",deployment_raw[[#This Row],[Column5]]=0),1,deployment_raw[[#This Row],[Column5]])/1048576,"")</f>
        <v/>
      </c>
      <c r="P846" s="168" t="str">
        <f>IF(ISNUMBER(deployment_raw[[#This Row],[Column12]]), (MIN(IF(N846&lt;&gt;"",N846,9999999999999)*1.1,deployment_raw[[#This Row],[Column12]] * IF($E$2="Deployment",deployment_raw[[#This Row],[Column5]],1))*(1+$P$2)),"")</f>
        <v/>
      </c>
      <c r="Q846" s="167" t="str">
        <f>IF(ISNUMBER(deployment_raw[[#This Row],[Column13]]), (MIN(IF(O846&lt;&gt;"",O846,9999999999999)*1.1,deployment_raw[[#This Row],[Column13]] * IF($E$2="Deployment",deployment_raw[[#This Row],[Column5]],1)*(1+$Q$2)/1048576)),"")</f>
        <v/>
      </c>
      <c r="R846" s="169" t="str">
        <f>IF(ISNUMBER(deployment_raw[[#This Row],[Column8]]), (H846  * IF(N846&lt;&gt;0,$R$2,1)),"")</f>
        <v/>
      </c>
      <c r="S846" s="170" t="str">
        <f>IF(ISNUMBER(deployment_raw[[#This Row],[Column8]]), (I846  * IF(O846&lt;&gt;0,$S$2,1)),"")</f>
        <v/>
      </c>
      <c r="T846" s="202" t="str">
        <f>IF(AND(A846&lt;&gt;"",_xlfn.IFNA(MATCH(A846,'dynamic resource application '!$A$2:$A$100, 0),0)&lt;&gt;0), H846/(IF($E$2="Deployment",E846,1)),"")</f>
        <v/>
      </c>
      <c r="U846" s="211" t="str">
        <f>IF(AND(A846&lt;&gt;"",_xlfn.IFNA(MATCH(A846,'dynamic resource application '!$A$2:$A$100, 0),0)&lt;&gt;0), I846/(IF($E$2="Deployment",E846,1)),"")</f>
        <v/>
      </c>
    </row>
    <row r="847" spans="1:21" ht="15.75" customHeight="1" x14ac:dyDescent="0.25">
      <c r="A847" s="35" t="str">
        <f>IF(ISNONTEXT(deployment_raw[[#This Row],[Column1]]), "", deployment_raw[[#This Row],[Column1]])</f>
        <v/>
      </c>
      <c r="B847" s="36" t="str">
        <f>IF(ISNONTEXT(deployment_raw[[#This Row],[Column2]]), "", deployment_raw[[#This Row],[Column2]])</f>
        <v/>
      </c>
      <c r="C847" s="36" t="str">
        <f>IF(ISNONTEXT(deployment_raw[[#This Row],[Column3]]), "", deployment_raw[[#This Row],[Column3]])</f>
        <v/>
      </c>
      <c r="D847" s="36" t="str">
        <f>IF(ISNONTEXT(deployment_raw[[#This Row],[Column4]]), "", deployment_raw[[#This Row],[Column4]])</f>
        <v/>
      </c>
      <c r="E847" s="37" t="str">
        <f>IF(ISNUMBER(deployment_raw[[#This Row],[Column5]]), deployment_raw[[#This Row],[Column5]],"")</f>
        <v/>
      </c>
      <c r="F847" s="94" t="str">
        <f>IF(ISNUMBER(deployment_raw[[#This Row],[Column6]]), (deployment_raw[[#This Row],[Column6]] * IF($E$2="Deployment",deployment_raw[[#This Row],[Column5]],1)),"")</f>
        <v/>
      </c>
      <c r="G847" s="95" t="str">
        <f>IF(ISNUMBER(deployment_raw[[#This Row],[Column7]]), (deployment_raw[[#This Row],[Column7]] * IF($E$2="Deployment",deployment_raw[[#This Row],[Column5]],1))/1048576,"")</f>
        <v/>
      </c>
      <c r="H847" s="95" t="str">
        <f>IF(ISNUMBER(deployment_raw[[#This Row],[Column8]]), (deployment_raw[[#This Row],[Column8]]  * IF($E$2="Deployment",deployment_raw[[#This Row],[Column5]],1)),"")</f>
        <v/>
      </c>
      <c r="I847" s="96" t="str">
        <f>IF(ISNUMBER(deployment_raw[[#This Row],[Column9]]), (deployment_raw[[#This Row],[Column9]] * IF($E$2="Deployment",deployment_raw[[#This Row],[Column5]],1))/1048576,"")</f>
        <v/>
      </c>
      <c r="J847" s="122" t="str">
        <f>IF(ISNUMBER(deployment_raw[[#This Row],[Column10]]), (MIN(IF(N847&lt;&gt;"",N847,9999999999999)*1.1,deployment_raw[[#This Row],[Column10]] * IF($E$2="Deployment",deployment_raw[[#This Row],[Column5]],1))),"")</f>
        <v/>
      </c>
      <c r="K847" s="123" t="str">
        <f>IF(ISNUMBER(deployment_raw[[#This Row],[Column11]]), (MIN(IF(O847&lt;&gt;"",O847,9999999999999)*1.1,deployment_raw[[#This Row],[Column11]] * IF($E$2="Deployment",deployment_raw[[#This Row],[Column5]],1)/1048576)),"")</f>
        <v/>
      </c>
      <c r="L847" s="124" t="str">
        <f>IF(ISNUMBER(deployment_raw[[#This Row],[Column8]]),IF(OR(deployment_raw[[#This Row],[Column5]] &lt;&gt; 0,$E$2 &lt;&gt; "Deployment"), MAX(J847, P847, R847, ($L$2 * IF($E$2="Deployment",deployment_raw[[#This Row],[Column5]],1)),IF(T847&lt;&gt;"",VALUE(T847) * IF($E$2="Deployment",deployment_raw[[#This Row],[Column5]],1),0)), 0),"")</f>
        <v/>
      </c>
      <c r="M847" s="125" t="str">
        <f>IF(ISNUMBER(deployment_raw[[#This Row],[Column9]]),IF(OR(deployment_raw[[#This Row],[Column5]] &lt;&gt; 0,$E$2&lt;&gt;"Deployment"), MAX(K847, Q847, S847, ($M$2 * IF($E$2="Deployment",deployment_raw[[#This Row],[Column5]],1)),IF(U847&lt;&gt;"",VALUE(U847) * IF($E$2="Deployment",deployment_raw[[#This Row],[Column5]],1),0)), 0),"")</f>
        <v/>
      </c>
      <c r="N847" s="166" t="str">
        <f>IF(ISNUMBER(deployment_raw[[#This Row],[Column14]]), deployment_raw[[#This Row],[Column14]]/IF(OR($E$2="Deployment",deployment_raw[[#This Row],[Column5]]=0),1,deployment_raw[[#This Row],[Column5]]),"")</f>
        <v/>
      </c>
      <c r="O847" s="167" t="str">
        <f>IF(ISNUMBER(deployment_raw[[#This Row],[Column15]]), deployment_raw[[#This Row],[Column15]]/IF(OR($E$2="Deployment",deployment_raw[[#This Row],[Column5]]=0),1,deployment_raw[[#This Row],[Column5]])/1048576,"")</f>
        <v/>
      </c>
      <c r="P847" s="168" t="str">
        <f>IF(ISNUMBER(deployment_raw[[#This Row],[Column12]]), (MIN(IF(N847&lt;&gt;"",N847,9999999999999)*1.1,deployment_raw[[#This Row],[Column12]] * IF($E$2="Deployment",deployment_raw[[#This Row],[Column5]],1))*(1+$P$2)),"")</f>
        <v/>
      </c>
      <c r="Q847" s="167" t="str">
        <f>IF(ISNUMBER(deployment_raw[[#This Row],[Column13]]), (MIN(IF(O847&lt;&gt;"",O847,9999999999999)*1.1,deployment_raw[[#This Row],[Column13]] * IF($E$2="Deployment",deployment_raw[[#This Row],[Column5]],1)*(1+$Q$2)/1048576)),"")</f>
        <v/>
      </c>
      <c r="R847" s="169" t="str">
        <f>IF(ISNUMBER(deployment_raw[[#This Row],[Column8]]), (H847  * IF(N847&lt;&gt;0,$R$2,1)),"")</f>
        <v/>
      </c>
      <c r="S847" s="170" t="str">
        <f>IF(ISNUMBER(deployment_raw[[#This Row],[Column8]]), (I847  * IF(O847&lt;&gt;0,$S$2,1)),"")</f>
        <v/>
      </c>
      <c r="T847" s="202" t="str">
        <f>IF(AND(A847&lt;&gt;"",_xlfn.IFNA(MATCH(A847,'dynamic resource application '!$A$2:$A$100, 0),0)&lt;&gt;0), H847/(IF($E$2="Deployment",E847,1)),"")</f>
        <v/>
      </c>
      <c r="U847" s="211" t="str">
        <f>IF(AND(A847&lt;&gt;"",_xlfn.IFNA(MATCH(A847,'dynamic resource application '!$A$2:$A$100, 0),0)&lt;&gt;0), I847/(IF($E$2="Deployment",E847,1)),"")</f>
        <v/>
      </c>
    </row>
    <row r="848" spans="1:21" ht="15.75" customHeight="1" x14ac:dyDescent="0.25">
      <c r="A848" s="35" t="str">
        <f>IF(ISNONTEXT(deployment_raw[[#This Row],[Column1]]), "", deployment_raw[[#This Row],[Column1]])</f>
        <v/>
      </c>
      <c r="B848" s="36" t="str">
        <f>IF(ISNONTEXT(deployment_raw[[#This Row],[Column2]]), "", deployment_raw[[#This Row],[Column2]])</f>
        <v/>
      </c>
      <c r="C848" s="36" t="str">
        <f>IF(ISNONTEXT(deployment_raw[[#This Row],[Column3]]), "", deployment_raw[[#This Row],[Column3]])</f>
        <v/>
      </c>
      <c r="D848" s="36" t="str">
        <f>IF(ISNONTEXT(deployment_raw[[#This Row],[Column4]]), "", deployment_raw[[#This Row],[Column4]])</f>
        <v/>
      </c>
      <c r="E848" s="37" t="str">
        <f>IF(ISNUMBER(deployment_raw[[#This Row],[Column5]]), deployment_raw[[#This Row],[Column5]],"")</f>
        <v/>
      </c>
      <c r="F848" s="94" t="str">
        <f>IF(ISNUMBER(deployment_raw[[#This Row],[Column6]]), (deployment_raw[[#This Row],[Column6]] * IF($E$2="Deployment",deployment_raw[[#This Row],[Column5]],1)),"")</f>
        <v/>
      </c>
      <c r="G848" s="95" t="str">
        <f>IF(ISNUMBER(deployment_raw[[#This Row],[Column7]]), (deployment_raw[[#This Row],[Column7]] * IF($E$2="Deployment",deployment_raw[[#This Row],[Column5]],1))/1048576,"")</f>
        <v/>
      </c>
      <c r="H848" s="95" t="str">
        <f>IF(ISNUMBER(deployment_raw[[#This Row],[Column8]]), (deployment_raw[[#This Row],[Column8]]  * IF($E$2="Deployment",deployment_raw[[#This Row],[Column5]],1)),"")</f>
        <v/>
      </c>
      <c r="I848" s="96" t="str">
        <f>IF(ISNUMBER(deployment_raw[[#This Row],[Column9]]), (deployment_raw[[#This Row],[Column9]] * IF($E$2="Deployment",deployment_raw[[#This Row],[Column5]],1))/1048576,"")</f>
        <v/>
      </c>
      <c r="J848" s="122" t="str">
        <f>IF(ISNUMBER(deployment_raw[[#This Row],[Column10]]), (MIN(IF(N848&lt;&gt;"",N848,9999999999999)*1.1,deployment_raw[[#This Row],[Column10]] * IF($E$2="Deployment",deployment_raw[[#This Row],[Column5]],1))),"")</f>
        <v/>
      </c>
      <c r="K848" s="123" t="str">
        <f>IF(ISNUMBER(deployment_raw[[#This Row],[Column11]]), (MIN(IF(O848&lt;&gt;"",O848,9999999999999)*1.1,deployment_raw[[#This Row],[Column11]] * IF($E$2="Deployment",deployment_raw[[#This Row],[Column5]],1)/1048576)),"")</f>
        <v/>
      </c>
      <c r="L848" s="124" t="str">
        <f>IF(ISNUMBER(deployment_raw[[#This Row],[Column8]]),IF(OR(deployment_raw[[#This Row],[Column5]] &lt;&gt; 0,$E$2 &lt;&gt; "Deployment"), MAX(J848, P848, R848, ($L$2 * IF($E$2="Deployment",deployment_raw[[#This Row],[Column5]],1)),IF(T848&lt;&gt;"",VALUE(T848) * IF($E$2="Deployment",deployment_raw[[#This Row],[Column5]],1),0)), 0),"")</f>
        <v/>
      </c>
      <c r="M848" s="125" t="str">
        <f>IF(ISNUMBER(deployment_raw[[#This Row],[Column9]]),IF(OR(deployment_raw[[#This Row],[Column5]] &lt;&gt; 0,$E$2&lt;&gt;"Deployment"), MAX(K848, Q848, S848, ($M$2 * IF($E$2="Deployment",deployment_raw[[#This Row],[Column5]],1)),IF(U848&lt;&gt;"",VALUE(U848) * IF($E$2="Deployment",deployment_raw[[#This Row],[Column5]],1),0)), 0),"")</f>
        <v/>
      </c>
      <c r="N848" s="166" t="str">
        <f>IF(ISNUMBER(deployment_raw[[#This Row],[Column14]]), deployment_raw[[#This Row],[Column14]]/IF(OR($E$2="Deployment",deployment_raw[[#This Row],[Column5]]=0),1,deployment_raw[[#This Row],[Column5]]),"")</f>
        <v/>
      </c>
      <c r="O848" s="167" t="str">
        <f>IF(ISNUMBER(deployment_raw[[#This Row],[Column15]]), deployment_raw[[#This Row],[Column15]]/IF(OR($E$2="Deployment",deployment_raw[[#This Row],[Column5]]=0),1,deployment_raw[[#This Row],[Column5]])/1048576,"")</f>
        <v/>
      </c>
      <c r="P848" s="168" t="str">
        <f>IF(ISNUMBER(deployment_raw[[#This Row],[Column12]]), (MIN(IF(N848&lt;&gt;"",N848,9999999999999)*1.1,deployment_raw[[#This Row],[Column12]] * IF($E$2="Deployment",deployment_raw[[#This Row],[Column5]],1))*(1+$P$2)),"")</f>
        <v/>
      </c>
      <c r="Q848" s="167" t="str">
        <f>IF(ISNUMBER(deployment_raw[[#This Row],[Column13]]), (MIN(IF(O848&lt;&gt;"",O848,9999999999999)*1.1,deployment_raw[[#This Row],[Column13]] * IF($E$2="Deployment",deployment_raw[[#This Row],[Column5]],1)*(1+$Q$2)/1048576)),"")</f>
        <v/>
      </c>
      <c r="R848" s="169" t="str">
        <f>IF(ISNUMBER(deployment_raw[[#This Row],[Column8]]), (H848  * IF(N848&lt;&gt;0,$R$2,1)),"")</f>
        <v/>
      </c>
      <c r="S848" s="170" t="str">
        <f>IF(ISNUMBER(deployment_raw[[#This Row],[Column8]]), (I848  * IF(O848&lt;&gt;0,$S$2,1)),"")</f>
        <v/>
      </c>
      <c r="T848" s="202" t="str">
        <f>IF(AND(A848&lt;&gt;"",_xlfn.IFNA(MATCH(A848,'dynamic resource application '!$A$2:$A$100, 0),0)&lt;&gt;0), H848/(IF($E$2="Deployment",E848,1)),"")</f>
        <v/>
      </c>
      <c r="U848" s="211" t="str">
        <f>IF(AND(A848&lt;&gt;"",_xlfn.IFNA(MATCH(A848,'dynamic resource application '!$A$2:$A$100, 0),0)&lt;&gt;0), I848/(IF($E$2="Deployment",E848,1)),"")</f>
        <v/>
      </c>
    </row>
    <row r="849" spans="1:21" ht="15.75" customHeight="1" x14ac:dyDescent="0.25">
      <c r="A849" s="35" t="str">
        <f>IF(ISNONTEXT(deployment_raw[[#This Row],[Column1]]), "", deployment_raw[[#This Row],[Column1]])</f>
        <v/>
      </c>
      <c r="B849" s="36" t="str">
        <f>IF(ISNONTEXT(deployment_raw[[#This Row],[Column2]]), "", deployment_raw[[#This Row],[Column2]])</f>
        <v/>
      </c>
      <c r="C849" s="36" t="str">
        <f>IF(ISNONTEXT(deployment_raw[[#This Row],[Column3]]), "", deployment_raw[[#This Row],[Column3]])</f>
        <v/>
      </c>
      <c r="D849" s="36" t="str">
        <f>IF(ISNONTEXT(deployment_raw[[#This Row],[Column4]]), "", deployment_raw[[#This Row],[Column4]])</f>
        <v/>
      </c>
      <c r="E849" s="37" t="str">
        <f>IF(ISNUMBER(deployment_raw[[#This Row],[Column5]]), deployment_raw[[#This Row],[Column5]],"")</f>
        <v/>
      </c>
      <c r="F849" s="94" t="str">
        <f>IF(ISNUMBER(deployment_raw[[#This Row],[Column6]]), (deployment_raw[[#This Row],[Column6]] * IF($E$2="Deployment",deployment_raw[[#This Row],[Column5]],1)),"")</f>
        <v/>
      </c>
      <c r="G849" s="95" t="str">
        <f>IF(ISNUMBER(deployment_raw[[#This Row],[Column7]]), (deployment_raw[[#This Row],[Column7]] * IF($E$2="Deployment",deployment_raw[[#This Row],[Column5]],1))/1048576,"")</f>
        <v/>
      </c>
      <c r="H849" s="95" t="str">
        <f>IF(ISNUMBER(deployment_raw[[#This Row],[Column8]]), (deployment_raw[[#This Row],[Column8]]  * IF($E$2="Deployment",deployment_raw[[#This Row],[Column5]],1)),"")</f>
        <v/>
      </c>
      <c r="I849" s="96" t="str">
        <f>IF(ISNUMBER(deployment_raw[[#This Row],[Column9]]), (deployment_raw[[#This Row],[Column9]] * IF($E$2="Deployment",deployment_raw[[#This Row],[Column5]],1))/1048576,"")</f>
        <v/>
      </c>
      <c r="J849" s="122" t="str">
        <f>IF(ISNUMBER(deployment_raw[[#This Row],[Column10]]), (MIN(IF(N849&lt;&gt;"",N849,9999999999999)*1.1,deployment_raw[[#This Row],[Column10]] * IF($E$2="Deployment",deployment_raw[[#This Row],[Column5]],1))),"")</f>
        <v/>
      </c>
      <c r="K849" s="123" t="str">
        <f>IF(ISNUMBER(deployment_raw[[#This Row],[Column11]]), (MIN(IF(O849&lt;&gt;"",O849,9999999999999)*1.1,deployment_raw[[#This Row],[Column11]] * IF($E$2="Deployment",deployment_raw[[#This Row],[Column5]],1)/1048576)),"")</f>
        <v/>
      </c>
      <c r="L849" s="124" t="str">
        <f>IF(ISNUMBER(deployment_raw[[#This Row],[Column8]]),IF(OR(deployment_raw[[#This Row],[Column5]] &lt;&gt; 0,$E$2 &lt;&gt; "Deployment"), MAX(J849, P849, R849, ($L$2 * IF($E$2="Deployment",deployment_raw[[#This Row],[Column5]],1)),IF(T849&lt;&gt;"",VALUE(T849) * IF($E$2="Deployment",deployment_raw[[#This Row],[Column5]],1),0)), 0),"")</f>
        <v/>
      </c>
      <c r="M849" s="125" t="str">
        <f>IF(ISNUMBER(deployment_raw[[#This Row],[Column9]]),IF(OR(deployment_raw[[#This Row],[Column5]] &lt;&gt; 0,$E$2&lt;&gt;"Deployment"), MAX(K849, Q849, S849, ($M$2 * IF($E$2="Deployment",deployment_raw[[#This Row],[Column5]],1)),IF(U849&lt;&gt;"",VALUE(U849) * IF($E$2="Deployment",deployment_raw[[#This Row],[Column5]],1),0)), 0),"")</f>
        <v/>
      </c>
      <c r="N849" s="166" t="str">
        <f>IF(ISNUMBER(deployment_raw[[#This Row],[Column14]]), deployment_raw[[#This Row],[Column14]]/IF(OR($E$2="Deployment",deployment_raw[[#This Row],[Column5]]=0),1,deployment_raw[[#This Row],[Column5]]),"")</f>
        <v/>
      </c>
      <c r="O849" s="167" t="str">
        <f>IF(ISNUMBER(deployment_raw[[#This Row],[Column15]]), deployment_raw[[#This Row],[Column15]]/IF(OR($E$2="Deployment",deployment_raw[[#This Row],[Column5]]=0),1,deployment_raw[[#This Row],[Column5]])/1048576,"")</f>
        <v/>
      </c>
      <c r="P849" s="168" t="str">
        <f>IF(ISNUMBER(deployment_raw[[#This Row],[Column12]]), (MIN(IF(N849&lt;&gt;"",N849,9999999999999)*1.1,deployment_raw[[#This Row],[Column12]] * IF($E$2="Deployment",deployment_raw[[#This Row],[Column5]],1))*(1+$P$2)),"")</f>
        <v/>
      </c>
      <c r="Q849" s="167" t="str">
        <f>IF(ISNUMBER(deployment_raw[[#This Row],[Column13]]), (MIN(IF(O849&lt;&gt;"",O849,9999999999999)*1.1,deployment_raw[[#This Row],[Column13]] * IF($E$2="Deployment",deployment_raw[[#This Row],[Column5]],1)*(1+$Q$2)/1048576)),"")</f>
        <v/>
      </c>
      <c r="R849" s="169" t="str">
        <f>IF(ISNUMBER(deployment_raw[[#This Row],[Column8]]), (H849  * IF(N849&lt;&gt;0,$R$2,1)),"")</f>
        <v/>
      </c>
      <c r="S849" s="170" t="str">
        <f>IF(ISNUMBER(deployment_raw[[#This Row],[Column8]]), (I849  * IF(O849&lt;&gt;0,$S$2,1)),"")</f>
        <v/>
      </c>
      <c r="T849" s="202" t="str">
        <f>IF(AND(A849&lt;&gt;"",_xlfn.IFNA(MATCH(A849,'dynamic resource application '!$A$2:$A$100, 0),0)&lt;&gt;0), H849/(IF($E$2="Deployment",E849,1)),"")</f>
        <v/>
      </c>
      <c r="U849" s="211" t="str">
        <f>IF(AND(A849&lt;&gt;"",_xlfn.IFNA(MATCH(A849,'dynamic resource application '!$A$2:$A$100, 0),0)&lt;&gt;0), I849/(IF($E$2="Deployment",E849,1)),"")</f>
        <v/>
      </c>
    </row>
    <row r="850" spans="1:21" ht="15.75" customHeight="1" x14ac:dyDescent="0.25">
      <c r="A850" s="35" t="str">
        <f>IF(ISNONTEXT(deployment_raw[[#This Row],[Column1]]), "", deployment_raw[[#This Row],[Column1]])</f>
        <v/>
      </c>
      <c r="B850" s="36" t="str">
        <f>IF(ISNONTEXT(deployment_raw[[#This Row],[Column2]]), "", deployment_raw[[#This Row],[Column2]])</f>
        <v/>
      </c>
      <c r="C850" s="36" t="str">
        <f>IF(ISNONTEXT(deployment_raw[[#This Row],[Column3]]), "", deployment_raw[[#This Row],[Column3]])</f>
        <v/>
      </c>
      <c r="D850" s="36" t="str">
        <f>IF(ISNONTEXT(deployment_raw[[#This Row],[Column4]]), "", deployment_raw[[#This Row],[Column4]])</f>
        <v/>
      </c>
      <c r="E850" s="37" t="str">
        <f>IF(ISNUMBER(deployment_raw[[#This Row],[Column5]]), deployment_raw[[#This Row],[Column5]],"")</f>
        <v/>
      </c>
      <c r="F850" s="94" t="str">
        <f>IF(ISNUMBER(deployment_raw[[#This Row],[Column6]]), (deployment_raw[[#This Row],[Column6]] * IF($E$2="Deployment",deployment_raw[[#This Row],[Column5]],1)),"")</f>
        <v/>
      </c>
      <c r="G850" s="95" t="str">
        <f>IF(ISNUMBER(deployment_raw[[#This Row],[Column7]]), (deployment_raw[[#This Row],[Column7]] * IF($E$2="Deployment",deployment_raw[[#This Row],[Column5]],1))/1048576,"")</f>
        <v/>
      </c>
      <c r="H850" s="95" t="str">
        <f>IF(ISNUMBER(deployment_raw[[#This Row],[Column8]]), (deployment_raw[[#This Row],[Column8]]  * IF($E$2="Deployment",deployment_raw[[#This Row],[Column5]],1)),"")</f>
        <v/>
      </c>
      <c r="I850" s="96" t="str">
        <f>IF(ISNUMBER(deployment_raw[[#This Row],[Column9]]), (deployment_raw[[#This Row],[Column9]] * IF($E$2="Deployment",deployment_raw[[#This Row],[Column5]],1))/1048576,"")</f>
        <v/>
      </c>
      <c r="J850" s="122" t="str">
        <f>IF(ISNUMBER(deployment_raw[[#This Row],[Column10]]), (MIN(IF(N850&lt;&gt;"",N850,9999999999999)*1.1,deployment_raw[[#This Row],[Column10]] * IF($E$2="Deployment",deployment_raw[[#This Row],[Column5]],1))),"")</f>
        <v/>
      </c>
      <c r="K850" s="123" t="str">
        <f>IF(ISNUMBER(deployment_raw[[#This Row],[Column11]]), (MIN(IF(O850&lt;&gt;"",O850,9999999999999)*1.1,deployment_raw[[#This Row],[Column11]] * IF($E$2="Deployment",deployment_raw[[#This Row],[Column5]],1)/1048576)),"")</f>
        <v/>
      </c>
      <c r="L850" s="124" t="str">
        <f>IF(ISNUMBER(deployment_raw[[#This Row],[Column8]]),IF(OR(deployment_raw[[#This Row],[Column5]] &lt;&gt; 0,$E$2 &lt;&gt; "Deployment"), MAX(J850, P850, R850, ($L$2 * IF($E$2="Deployment",deployment_raw[[#This Row],[Column5]],1)),IF(T850&lt;&gt;"",VALUE(T850) * IF($E$2="Deployment",deployment_raw[[#This Row],[Column5]],1),0)), 0),"")</f>
        <v/>
      </c>
      <c r="M850" s="125" t="str">
        <f>IF(ISNUMBER(deployment_raw[[#This Row],[Column9]]),IF(OR(deployment_raw[[#This Row],[Column5]] &lt;&gt; 0,$E$2&lt;&gt;"Deployment"), MAX(K850, Q850, S850, ($M$2 * IF($E$2="Deployment",deployment_raw[[#This Row],[Column5]],1)),IF(U850&lt;&gt;"",VALUE(U850) * IF($E$2="Deployment",deployment_raw[[#This Row],[Column5]],1),0)), 0),"")</f>
        <v/>
      </c>
      <c r="N850" s="166" t="str">
        <f>IF(ISNUMBER(deployment_raw[[#This Row],[Column14]]), deployment_raw[[#This Row],[Column14]]/IF(OR($E$2="Deployment",deployment_raw[[#This Row],[Column5]]=0),1,deployment_raw[[#This Row],[Column5]]),"")</f>
        <v/>
      </c>
      <c r="O850" s="167" t="str">
        <f>IF(ISNUMBER(deployment_raw[[#This Row],[Column15]]), deployment_raw[[#This Row],[Column15]]/IF(OR($E$2="Deployment",deployment_raw[[#This Row],[Column5]]=0),1,deployment_raw[[#This Row],[Column5]])/1048576,"")</f>
        <v/>
      </c>
      <c r="P850" s="168" t="str">
        <f>IF(ISNUMBER(deployment_raw[[#This Row],[Column12]]), (MIN(IF(N850&lt;&gt;"",N850,9999999999999)*1.1,deployment_raw[[#This Row],[Column12]] * IF($E$2="Deployment",deployment_raw[[#This Row],[Column5]],1))*(1+$P$2)),"")</f>
        <v/>
      </c>
      <c r="Q850" s="167" t="str">
        <f>IF(ISNUMBER(deployment_raw[[#This Row],[Column13]]), (MIN(IF(O850&lt;&gt;"",O850,9999999999999)*1.1,deployment_raw[[#This Row],[Column13]] * IF($E$2="Deployment",deployment_raw[[#This Row],[Column5]],1)*(1+$Q$2)/1048576)),"")</f>
        <v/>
      </c>
      <c r="R850" s="169" t="str">
        <f>IF(ISNUMBER(deployment_raw[[#This Row],[Column8]]), (H850  * IF(N850&lt;&gt;0,$R$2,1)),"")</f>
        <v/>
      </c>
      <c r="S850" s="170" t="str">
        <f>IF(ISNUMBER(deployment_raw[[#This Row],[Column8]]), (I850  * IF(O850&lt;&gt;0,$S$2,1)),"")</f>
        <v/>
      </c>
      <c r="T850" s="202" t="str">
        <f>IF(AND(A850&lt;&gt;"",_xlfn.IFNA(MATCH(A850,'dynamic resource application '!$A$2:$A$100, 0),0)&lt;&gt;0), H850/(IF($E$2="Deployment",E850,1)),"")</f>
        <v/>
      </c>
      <c r="U850" s="211" t="str">
        <f>IF(AND(A850&lt;&gt;"",_xlfn.IFNA(MATCH(A850,'dynamic resource application '!$A$2:$A$100, 0),0)&lt;&gt;0), I850/(IF($E$2="Deployment",E850,1)),"")</f>
        <v/>
      </c>
    </row>
    <row r="851" spans="1:21" ht="15.75" customHeight="1" x14ac:dyDescent="0.25">
      <c r="A851" s="35" t="str">
        <f>IF(ISNONTEXT(deployment_raw[[#This Row],[Column1]]), "", deployment_raw[[#This Row],[Column1]])</f>
        <v/>
      </c>
      <c r="B851" s="36" t="str">
        <f>IF(ISNONTEXT(deployment_raw[[#This Row],[Column2]]), "", deployment_raw[[#This Row],[Column2]])</f>
        <v/>
      </c>
      <c r="C851" s="36" t="str">
        <f>IF(ISNONTEXT(deployment_raw[[#This Row],[Column3]]), "", deployment_raw[[#This Row],[Column3]])</f>
        <v/>
      </c>
      <c r="D851" s="36" t="str">
        <f>IF(ISNONTEXT(deployment_raw[[#This Row],[Column4]]), "", deployment_raw[[#This Row],[Column4]])</f>
        <v/>
      </c>
      <c r="E851" s="37" t="str">
        <f>IF(ISNUMBER(deployment_raw[[#This Row],[Column5]]), deployment_raw[[#This Row],[Column5]],"")</f>
        <v/>
      </c>
      <c r="F851" s="94" t="str">
        <f>IF(ISNUMBER(deployment_raw[[#This Row],[Column6]]), (deployment_raw[[#This Row],[Column6]] * IF($E$2="Deployment",deployment_raw[[#This Row],[Column5]],1)),"")</f>
        <v/>
      </c>
      <c r="G851" s="95" t="str">
        <f>IF(ISNUMBER(deployment_raw[[#This Row],[Column7]]), (deployment_raw[[#This Row],[Column7]] * IF($E$2="Deployment",deployment_raw[[#This Row],[Column5]],1))/1048576,"")</f>
        <v/>
      </c>
      <c r="H851" s="95" t="str">
        <f>IF(ISNUMBER(deployment_raw[[#This Row],[Column8]]), (deployment_raw[[#This Row],[Column8]]  * IF($E$2="Deployment",deployment_raw[[#This Row],[Column5]],1)),"")</f>
        <v/>
      </c>
      <c r="I851" s="96" t="str">
        <f>IF(ISNUMBER(deployment_raw[[#This Row],[Column9]]), (deployment_raw[[#This Row],[Column9]] * IF($E$2="Deployment",deployment_raw[[#This Row],[Column5]],1))/1048576,"")</f>
        <v/>
      </c>
      <c r="J851" s="122" t="str">
        <f>IF(ISNUMBER(deployment_raw[[#This Row],[Column10]]), (MIN(IF(N851&lt;&gt;"",N851,9999999999999)*1.1,deployment_raw[[#This Row],[Column10]] * IF($E$2="Deployment",deployment_raw[[#This Row],[Column5]],1))),"")</f>
        <v/>
      </c>
      <c r="K851" s="123" t="str">
        <f>IF(ISNUMBER(deployment_raw[[#This Row],[Column11]]), (MIN(IF(O851&lt;&gt;"",O851,9999999999999)*1.1,deployment_raw[[#This Row],[Column11]] * IF($E$2="Deployment",deployment_raw[[#This Row],[Column5]],1)/1048576)),"")</f>
        <v/>
      </c>
      <c r="L851" s="124" t="str">
        <f>IF(ISNUMBER(deployment_raw[[#This Row],[Column8]]),IF(OR(deployment_raw[[#This Row],[Column5]] &lt;&gt; 0,$E$2 &lt;&gt; "Deployment"), MAX(J851, P851, R851, ($L$2 * IF($E$2="Deployment",deployment_raw[[#This Row],[Column5]],1)),IF(T851&lt;&gt;"",VALUE(T851) * IF($E$2="Deployment",deployment_raw[[#This Row],[Column5]],1),0)), 0),"")</f>
        <v/>
      </c>
      <c r="M851" s="125" t="str">
        <f>IF(ISNUMBER(deployment_raw[[#This Row],[Column9]]),IF(OR(deployment_raw[[#This Row],[Column5]] &lt;&gt; 0,$E$2&lt;&gt;"Deployment"), MAX(K851, Q851, S851, ($M$2 * IF($E$2="Deployment",deployment_raw[[#This Row],[Column5]],1)),IF(U851&lt;&gt;"",VALUE(U851) * IF($E$2="Deployment",deployment_raw[[#This Row],[Column5]],1),0)), 0),"")</f>
        <v/>
      </c>
      <c r="N851" s="166" t="str">
        <f>IF(ISNUMBER(deployment_raw[[#This Row],[Column14]]), deployment_raw[[#This Row],[Column14]]/IF(OR($E$2="Deployment",deployment_raw[[#This Row],[Column5]]=0),1,deployment_raw[[#This Row],[Column5]]),"")</f>
        <v/>
      </c>
      <c r="O851" s="167" t="str">
        <f>IF(ISNUMBER(deployment_raw[[#This Row],[Column15]]), deployment_raw[[#This Row],[Column15]]/IF(OR($E$2="Deployment",deployment_raw[[#This Row],[Column5]]=0),1,deployment_raw[[#This Row],[Column5]])/1048576,"")</f>
        <v/>
      </c>
      <c r="P851" s="168" t="str">
        <f>IF(ISNUMBER(deployment_raw[[#This Row],[Column12]]), (MIN(IF(N851&lt;&gt;"",N851,9999999999999)*1.1,deployment_raw[[#This Row],[Column12]] * IF($E$2="Deployment",deployment_raw[[#This Row],[Column5]],1))*(1+$P$2)),"")</f>
        <v/>
      </c>
      <c r="Q851" s="167" t="str">
        <f>IF(ISNUMBER(deployment_raw[[#This Row],[Column13]]), (MIN(IF(O851&lt;&gt;"",O851,9999999999999)*1.1,deployment_raw[[#This Row],[Column13]] * IF($E$2="Deployment",deployment_raw[[#This Row],[Column5]],1)*(1+$Q$2)/1048576)),"")</f>
        <v/>
      </c>
      <c r="R851" s="169" t="str">
        <f>IF(ISNUMBER(deployment_raw[[#This Row],[Column8]]), (H851  * IF(N851&lt;&gt;0,$R$2,1)),"")</f>
        <v/>
      </c>
      <c r="S851" s="170" t="str">
        <f>IF(ISNUMBER(deployment_raw[[#This Row],[Column8]]), (I851  * IF(O851&lt;&gt;0,$S$2,1)),"")</f>
        <v/>
      </c>
      <c r="T851" s="202" t="str">
        <f>IF(AND(A851&lt;&gt;"",_xlfn.IFNA(MATCH(A851,'dynamic resource application '!$A$2:$A$100, 0),0)&lt;&gt;0), H851/(IF($E$2="Deployment",E851,1)),"")</f>
        <v/>
      </c>
      <c r="U851" s="211" t="str">
        <f>IF(AND(A851&lt;&gt;"",_xlfn.IFNA(MATCH(A851,'dynamic resource application '!$A$2:$A$100, 0),0)&lt;&gt;0), I851/(IF($E$2="Deployment",E851,1)),"")</f>
        <v/>
      </c>
    </row>
    <row r="852" spans="1:21" ht="15.75" customHeight="1" x14ac:dyDescent="0.25">
      <c r="A852" s="35" t="str">
        <f>IF(ISNONTEXT(deployment_raw[[#This Row],[Column1]]), "", deployment_raw[[#This Row],[Column1]])</f>
        <v/>
      </c>
      <c r="B852" s="36" t="str">
        <f>IF(ISNONTEXT(deployment_raw[[#This Row],[Column2]]), "", deployment_raw[[#This Row],[Column2]])</f>
        <v/>
      </c>
      <c r="C852" s="36" t="str">
        <f>IF(ISNONTEXT(deployment_raw[[#This Row],[Column3]]), "", deployment_raw[[#This Row],[Column3]])</f>
        <v/>
      </c>
      <c r="D852" s="36" t="str">
        <f>IF(ISNONTEXT(deployment_raw[[#This Row],[Column4]]), "", deployment_raw[[#This Row],[Column4]])</f>
        <v/>
      </c>
      <c r="E852" s="37" t="str">
        <f>IF(ISNUMBER(deployment_raw[[#This Row],[Column5]]), deployment_raw[[#This Row],[Column5]],"")</f>
        <v/>
      </c>
      <c r="F852" s="94" t="str">
        <f>IF(ISNUMBER(deployment_raw[[#This Row],[Column6]]), (deployment_raw[[#This Row],[Column6]] * IF($E$2="Deployment",deployment_raw[[#This Row],[Column5]],1)),"")</f>
        <v/>
      </c>
      <c r="G852" s="95" t="str">
        <f>IF(ISNUMBER(deployment_raw[[#This Row],[Column7]]), (deployment_raw[[#This Row],[Column7]] * IF($E$2="Deployment",deployment_raw[[#This Row],[Column5]],1))/1048576,"")</f>
        <v/>
      </c>
      <c r="H852" s="95" t="str">
        <f>IF(ISNUMBER(deployment_raw[[#This Row],[Column8]]), (deployment_raw[[#This Row],[Column8]]  * IF($E$2="Deployment",deployment_raw[[#This Row],[Column5]],1)),"")</f>
        <v/>
      </c>
      <c r="I852" s="96" t="str">
        <f>IF(ISNUMBER(deployment_raw[[#This Row],[Column9]]), (deployment_raw[[#This Row],[Column9]] * IF($E$2="Deployment",deployment_raw[[#This Row],[Column5]],1))/1048576,"")</f>
        <v/>
      </c>
      <c r="J852" s="122" t="str">
        <f>IF(ISNUMBER(deployment_raw[[#This Row],[Column10]]), (MIN(IF(N852&lt;&gt;"",N852,9999999999999)*1.1,deployment_raw[[#This Row],[Column10]] * IF($E$2="Deployment",deployment_raw[[#This Row],[Column5]],1))),"")</f>
        <v/>
      </c>
      <c r="K852" s="123" t="str">
        <f>IF(ISNUMBER(deployment_raw[[#This Row],[Column11]]), (MIN(IF(O852&lt;&gt;"",O852,9999999999999)*1.1,deployment_raw[[#This Row],[Column11]] * IF($E$2="Deployment",deployment_raw[[#This Row],[Column5]],1)/1048576)),"")</f>
        <v/>
      </c>
      <c r="L852" s="124" t="str">
        <f>IF(ISNUMBER(deployment_raw[[#This Row],[Column8]]),IF(OR(deployment_raw[[#This Row],[Column5]] &lt;&gt; 0,$E$2 &lt;&gt; "Deployment"), MAX(J852, P852, R852, ($L$2 * IF($E$2="Deployment",deployment_raw[[#This Row],[Column5]],1)),IF(T852&lt;&gt;"",VALUE(T852) * IF($E$2="Deployment",deployment_raw[[#This Row],[Column5]],1),0)), 0),"")</f>
        <v/>
      </c>
      <c r="M852" s="125" t="str">
        <f>IF(ISNUMBER(deployment_raw[[#This Row],[Column9]]),IF(OR(deployment_raw[[#This Row],[Column5]] &lt;&gt; 0,$E$2&lt;&gt;"Deployment"), MAX(K852, Q852, S852, ($M$2 * IF($E$2="Deployment",deployment_raw[[#This Row],[Column5]],1)),IF(U852&lt;&gt;"",VALUE(U852) * IF($E$2="Deployment",deployment_raw[[#This Row],[Column5]],1),0)), 0),"")</f>
        <v/>
      </c>
      <c r="N852" s="166" t="str">
        <f>IF(ISNUMBER(deployment_raw[[#This Row],[Column14]]), deployment_raw[[#This Row],[Column14]]/IF(OR($E$2="Deployment",deployment_raw[[#This Row],[Column5]]=0),1,deployment_raw[[#This Row],[Column5]]),"")</f>
        <v/>
      </c>
      <c r="O852" s="167" t="str">
        <f>IF(ISNUMBER(deployment_raw[[#This Row],[Column15]]), deployment_raw[[#This Row],[Column15]]/IF(OR($E$2="Deployment",deployment_raw[[#This Row],[Column5]]=0),1,deployment_raw[[#This Row],[Column5]])/1048576,"")</f>
        <v/>
      </c>
      <c r="P852" s="168" t="str">
        <f>IF(ISNUMBER(deployment_raw[[#This Row],[Column12]]), (MIN(IF(N852&lt;&gt;"",N852,9999999999999)*1.1,deployment_raw[[#This Row],[Column12]] * IF($E$2="Deployment",deployment_raw[[#This Row],[Column5]],1))*(1+$P$2)),"")</f>
        <v/>
      </c>
      <c r="Q852" s="167" t="str">
        <f>IF(ISNUMBER(deployment_raw[[#This Row],[Column13]]), (MIN(IF(O852&lt;&gt;"",O852,9999999999999)*1.1,deployment_raw[[#This Row],[Column13]] * IF($E$2="Deployment",deployment_raw[[#This Row],[Column5]],1)*(1+$Q$2)/1048576)),"")</f>
        <v/>
      </c>
      <c r="R852" s="169" t="str">
        <f>IF(ISNUMBER(deployment_raw[[#This Row],[Column8]]), (H852  * IF(N852&lt;&gt;0,$R$2,1)),"")</f>
        <v/>
      </c>
      <c r="S852" s="170" t="str">
        <f>IF(ISNUMBER(deployment_raw[[#This Row],[Column8]]), (I852  * IF(O852&lt;&gt;0,$S$2,1)),"")</f>
        <v/>
      </c>
      <c r="T852" s="202" t="str">
        <f>IF(AND(A852&lt;&gt;"",_xlfn.IFNA(MATCH(A852,'dynamic resource application '!$A$2:$A$100, 0),0)&lt;&gt;0), H852/(IF($E$2="Deployment",E852,1)),"")</f>
        <v/>
      </c>
      <c r="U852" s="211" t="str">
        <f>IF(AND(A852&lt;&gt;"",_xlfn.IFNA(MATCH(A852,'dynamic resource application '!$A$2:$A$100, 0),0)&lt;&gt;0), I852/(IF($E$2="Deployment",E852,1)),"")</f>
        <v/>
      </c>
    </row>
    <row r="853" spans="1:21" ht="15.75" customHeight="1" x14ac:dyDescent="0.25">
      <c r="A853" s="35" t="str">
        <f>IF(ISNONTEXT(deployment_raw[[#This Row],[Column1]]), "", deployment_raw[[#This Row],[Column1]])</f>
        <v/>
      </c>
      <c r="B853" s="36" t="str">
        <f>IF(ISNONTEXT(deployment_raw[[#This Row],[Column2]]), "", deployment_raw[[#This Row],[Column2]])</f>
        <v/>
      </c>
      <c r="C853" s="36" t="str">
        <f>IF(ISNONTEXT(deployment_raw[[#This Row],[Column3]]), "", deployment_raw[[#This Row],[Column3]])</f>
        <v/>
      </c>
      <c r="D853" s="36" t="str">
        <f>IF(ISNONTEXT(deployment_raw[[#This Row],[Column4]]), "", deployment_raw[[#This Row],[Column4]])</f>
        <v/>
      </c>
      <c r="E853" s="37" t="str">
        <f>IF(ISNUMBER(deployment_raw[[#This Row],[Column5]]), deployment_raw[[#This Row],[Column5]],"")</f>
        <v/>
      </c>
      <c r="F853" s="94" t="str">
        <f>IF(ISNUMBER(deployment_raw[[#This Row],[Column6]]), (deployment_raw[[#This Row],[Column6]] * IF($E$2="Deployment",deployment_raw[[#This Row],[Column5]],1)),"")</f>
        <v/>
      </c>
      <c r="G853" s="95" t="str">
        <f>IF(ISNUMBER(deployment_raw[[#This Row],[Column7]]), (deployment_raw[[#This Row],[Column7]] * IF($E$2="Deployment",deployment_raw[[#This Row],[Column5]],1))/1048576,"")</f>
        <v/>
      </c>
      <c r="H853" s="95" t="str">
        <f>IF(ISNUMBER(deployment_raw[[#This Row],[Column8]]), (deployment_raw[[#This Row],[Column8]]  * IF($E$2="Deployment",deployment_raw[[#This Row],[Column5]],1)),"")</f>
        <v/>
      </c>
      <c r="I853" s="96" t="str">
        <f>IF(ISNUMBER(deployment_raw[[#This Row],[Column9]]), (deployment_raw[[#This Row],[Column9]] * IF($E$2="Deployment",deployment_raw[[#This Row],[Column5]],1))/1048576,"")</f>
        <v/>
      </c>
      <c r="J853" s="122" t="str">
        <f>IF(ISNUMBER(deployment_raw[[#This Row],[Column10]]), (MIN(IF(N853&lt;&gt;"",N853,9999999999999)*1.1,deployment_raw[[#This Row],[Column10]] * IF($E$2="Deployment",deployment_raw[[#This Row],[Column5]],1))),"")</f>
        <v/>
      </c>
      <c r="K853" s="123" t="str">
        <f>IF(ISNUMBER(deployment_raw[[#This Row],[Column11]]), (MIN(IF(O853&lt;&gt;"",O853,9999999999999)*1.1,deployment_raw[[#This Row],[Column11]] * IF($E$2="Deployment",deployment_raw[[#This Row],[Column5]],1)/1048576)),"")</f>
        <v/>
      </c>
      <c r="L853" s="124" t="str">
        <f>IF(ISNUMBER(deployment_raw[[#This Row],[Column8]]),IF(OR(deployment_raw[[#This Row],[Column5]] &lt;&gt; 0,$E$2 &lt;&gt; "Deployment"), MAX(J853, P853, R853, ($L$2 * IF($E$2="Deployment",deployment_raw[[#This Row],[Column5]],1)),IF(T853&lt;&gt;"",VALUE(T853) * IF($E$2="Deployment",deployment_raw[[#This Row],[Column5]],1),0)), 0),"")</f>
        <v/>
      </c>
      <c r="M853" s="125" t="str">
        <f>IF(ISNUMBER(deployment_raw[[#This Row],[Column9]]),IF(OR(deployment_raw[[#This Row],[Column5]] &lt;&gt; 0,$E$2&lt;&gt;"Deployment"), MAX(K853, Q853, S853, ($M$2 * IF($E$2="Deployment",deployment_raw[[#This Row],[Column5]],1)),IF(U853&lt;&gt;"",VALUE(U853) * IF($E$2="Deployment",deployment_raw[[#This Row],[Column5]],1),0)), 0),"")</f>
        <v/>
      </c>
      <c r="N853" s="166" t="str">
        <f>IF(ISNUMBER(deployment_raw[[#This Row],[Column14]]), deployment_raw[[#This Row],[Column14]]/IF(OR($E$2="Deployment",deployment_raw[[#This Row],[Column5]]=0),1,deployment_raw[[#This Row],[Column5]]),"")</f>
        <v/>
      </c>
      <c r="O853" s="167" t="str">
        <f>IF(ISNUMBER(deployment_raw[[#This Row],[Column15]]), deployment_raw[[#This Row],[Column15]]/IF(OR($E$2="Deployment",deployment_raw[[#This Row],[Column5]]=0),1,deployment_raw[[#This Row],[Column5]])/1048576,"")</f>
        <v/>
      </c>
      <c r="P853" s="168" t="str">
        <f>IF(ISNUMBER(deployment_raw[[#This Row],[Column12]]), (MIN(IF(N853&lt;&gt;"",N853,9999999999999)*1.1,deployment_raw[[#This Row],[Column12]] * IF($E$2="Deployment",deployment_raw[[#This Row],[Column5]],1))*(1+$P$2)),"")</f>
        <v/>
      </c>
      <c r="Q853" s="167" t="str">
        <f>IF(ISNUMBER(deployment_raw[[#This Row],[Column13]]), (MIN(IF(O853&lt;&gt;"",O853,9999999999999)*1.1,deployment_raw[[#This Row],[Column13]] * IF($E$2="Deployment",deployment_raw[[#This Row],[Column5]],1)*(1+$Q$2)/1048576)),"")</f>
        <v/>
      </c>
      <c r="R853" s="169" t="str">
        <f>IF(ISNUMBER(deployment_raw[[#This Row],[Column8]]), (H853  * IF(N853&lt;&gt;0,$R$2,1)),"")</f>
        <v/>
      </c>
      <c r="S853" s="170" t="str">
        <f>IF(ISNUMBER(deployment_raw[[#This Row],[Column8]]), (I853  * IF(O853&lt;&gt;0,$S$2,1)),"")</f>
        <v/>
      </c>
      <c r="T853" s="202" t="str">
        <f>IF(AND(A853&lt;&gt;"",_xlfn.IFNA(MATCH(A853,'dynamic resource application '!$A$2:$A$100, 0),0)&lt;&gt;0), H853/(IF($E$2="Deployment",E853,1)),"")</f>
        <v/>
      </c>
      <c r="U853" s="211" t="str">
        <f>IF(AND(A853&lt;&gt;"",_xlfn.IFNA(MATCH(A853,'dynamic resource application '!$A$2:$A$100, 0),0)&lt;&gt;0), I853/(IF($E$2="Deployment",E853,1)),"")</f>
        <v/>
      </c>
    </row>
    <row r="854" spans="1:21" ht="15.75" customHeight="1" x14ac:dyDescent="0.25">
      <c r="A854" s="35" t="str">
        <f>IF(ISNONTEXT(deployment_raw[[#This Row],[Column1]]), "", deployment_raw[[#This Row],[Column1]])</f>
        <v/>
      </c>
      <c r="B854" s="36" t="str">
        <f>IF(ISNONTEXT(deployment_raw[[#This Row],[Column2]]), "", deployment_raw[[#This Row],[Column2]])</f>
        <v/>
      </c>
      <c r="C854" s="36" t="str">
        <f>IF(ISNONTEXT(deployment_raw[[#This Row],[Column3]]), "", deployment_raw[[#This Row],[Column3]])</f>
        <v/>
      </c>
      <c r="D854" s="36" t="str">
        <f>IF(ISNONTEXT(deployment_raw[[#This Row],[Column4]]), "", deployment_raw[[#This Row],[Column4]])</f>
        <v/>
      </c>
      <c r="E854" s="37" t="str">
        <f>IF(ISNUMBER(deployment_raw[[#This Row],[Column5]]), deployment_raw[[#This Row],[Column5]],"")</f>
        <v/>
      </c>
      <c r="F854" s="94" t="str">
        <f>IF(ISNUMBER(deployment_raw[[#This Row],[Column6]]), (deployment_raw[[#This Row],[Column6]] * IF($E$2="Deployment",deployment_raw[[#This Row],[Column5]],1)),"")</f>
        <v/>
      </c>
      <c r="G854" s="95" t="str">
        <f>IF(ISNUMBER(deployment_raw[[#This Row],[Column7]]), (deployment_raw[[#This Row],[Column7]] * IF($E$2="Deployment",deployment_raw[[#This Row],[Column5]],1))/1048576,"")</f>
        <v/>
      </c>
      <c r="H854" s="95" t="str">
        <f>IF(ISNUMBER(deployment_raw[[#This Row],[Column8]]), (deployment_raw[[#This Row],[Column8]]  * IF($E$2="Deployment",deployment_raw[[#This Row],[Column5]],1)),"")</f>
        <v/>
      </c>
      <c r="I854" s="96" t="str">
        <f>IF(ISNUMBER(deployment_raw[[#This Row],[Column9]]), (deployment_raw[[#This Row],[Column9]] * IF($E$2="Deployment",deployment_raw[[#This Row],[Column5]],1))/1048576,"")</f>
        <v/>
      </c>
      <c r="J854" s="122" t="str">
        <f>IF(ISNUMBER(deployment_raw[[#This Row],[Column10]]), (MIN(IF(N854&lt;&gt;"",N854,9999999999999)*1.1,deployment_raw[[#This Row],[Column10]] * IF($E$2="Deployment",deployment_raw[[#This Row],[Column5]],1))),"")</f>
        <v/>
      </c>
      <c r="K854" s="123" t="str">
        <f>IF(ISNUMBER(deployment_raw[[#This Row],[Column11]]), (MIN(IF(O854&lt;&gt;"",O854,9999999999999)*1.1,deployment_raw[[#This Row],[Column11]] * IF($E$2="Deployment",deployment_raw[[#This Row],[Column5]],1)/1048576)),"")</f>
        <v/>
      </c>
      <c r="L854" s="124" t="str">
        <f>IF(ISNUMBER(deployment_raw[[#This Row],[Column8]]),IF(OR(deployment_raw[[#This Row],[Column5]] &lt;&gt; 0,$E$2 &lt;&gt; "Deployment"), MAX(J854, P854, R854, ($L$2 * IF($E$2="Deployment",deployment_raw[[#This Row],[Column5]],1)),IF(T854&lt;&gt;"",VALUE(T854) * IF($E$2="Deployment",deployment_raw[[#This Row],[Column5]],1),0)), 0),"")</f>
        <v/>
      </c>
      <c r="M854" s="125" t="str">
        <f>IF(ISNUMBER(deployment_raw[[#This Row],[Column9]]),IF(OR(deployment_raw[[#This Row],[Column5]] &lt;&gt; 0,$E$2&lt;&gt;"Deployment"), MAX(K854, Q854, S854, ($M$2 * IF($E$2="Deployment",deployment_raw[[#This Row],[Column5]],1)),IF(U854&lt;&gt;"",VALUE(U854) * IF($E$2="Deployment",deployment_raw[[#This Row],[Column5]],1),0)), 0),"")</f>
        <v/>
      </c>
      <c r="N854" s="166" t="str">
        <f>IF(ISNUMBER(deployment_raw[[#This Row],[Column14]]), deployment_raw[[#This Row],[Column14]]/IF(OR($E$2="Deployment",deployment_raw[[#This Row],[Column5]]=0),1,deployment_raw[[#This Row],[Column5]]),"")</f>
        <v/>
      </c>
      <c r="O854" s="167" t="str">
        <f>IF(ISNUMBER(deployment_raw[[#This Row],[Column15]]), deployment_raw[[#This Row],[Column15]]/IF(OR($E$2="Deployment",deployment_raw[[#This Row],[Column5]]=0),1,deployment_raw[[#This Row],[Column5]])/1048576,"")</f>
        <v/>
      </c>
      <c r="P854" s="168" t="str">
        <f>IF(ISNUMBER(deployment_raw[[#This Row],[Column12]]), (MIN(IF(N854&lt;&gt;"",N854,9999999999999)*1.1,deployment_raw[[#This Row],[Column12]] * IF($E$2="Deployment",deployment_raw[[#This Row],[Column5]],1))*(1+$P$2)),"")</f>
        <v/>
      </c>
      <c r="Q854" s="167" t="str">
        <f>IF(ISNUMBER(deployment_raw[[#This Row],[Column13]]), (MIN(IF(O854&lt;&gt;"",O854,9999999999999)*1.1,deployment_raw[[#This Row],[Column13]] * IF($E$2="Deployment",deployment_raw[[#This Row],[Column5]],1)*(1+$Q$2)/1048576)),"")</f>
        <v/>
      </c>
      <c r="R854" s="169" t="str">
        <f>IF(ISNUMBER(deployment_raw[[#This Row],[Column8]]), (H854  * IF(N854&lt;&gt;0,$R$2,1)),"")</f>
        <v/>
      </c>
      <c r="S854" s="170" t="str">
        <f>IF(ISNUMBER(deployment_raw[[#This Row],[Column8]]), (I854  * IF(O854&lt;&gt;0,$S$2,1)),"")</f>
        <v/>
      </c>
      <c r="T854" s="202" t="str">
        <f>IF(AND(A854&lt;&gt;"",_xlfn.IFNA(MATCH(A854,'dynamic resource application '!$A$2:$A$100, 0),0)&lt;&gt;0), H854/(IF($E$2="Deployment",E854,1)),"")</f>
        <v/>
      </c>
      <c r="U854" s="211" t="str">
        <f>IF(AND(A854&lt;&gt;"",_xlfn.IFNA(MATCH(A854,'dynamic resource application '!$A$2:$A$100, 0),0)&lt;&gt;0), I854/(IF($E$2="Deployment",E854,1)),"")</f>
        <v/>
      </c>
    </row>
    <row r="855" spans="1:21" ht="15.75" customHeight="1" x14ac:dyDescent="0.25">
      <c r="A855" s="35" t="str">
        <f>IF(ISNONTEXT(deployment_raw[[#This Row],[Column1]]), "", deployment_raw[[#This Row],[Column1]])</f>
        <v/>
      </c>
      <c r="B855" s="36" t="str">
        <f>IF(ISNONTEXT(deployment_raw[[#This Row],[Column2]]), "", deployment_raw[[#This Row],[Column2]])</f>
        <v/>
      </c>
      <c r="C855" s="36" t="str">
        <f>IF(ISNONTEXT(deployment_raw[[#This Row],[Column3]]), "", deployment_raw[[#This Row],[Column3]])</f>
        <v/>
      </c>
      <c r="D855" s="36" t="str">
        <f>IF(ISNONTEXT(deployment_raw[[#This Row],[Column4]]), "", deployment_raw[[#This Row],[Column4]])</f>
        <v/>
      </c>
      <c r="E855" s="37" t="str">
        <f>IF(ISNUMBER(deployment_raw[[#This Row],[Column5]]), deployment_raw[[#This Row],[Column5]],"")</f>
        <v/>
      </c>
      <c r="F855" s="94" t="str">
        <f>IF(ISNUMBER(deployment_raw[[#This Row],[Column6]]), (deployment_raw[[#This Row],[Column6]] * IF($E$2="Deployment",deployment_raw[[#This Row],[Column5]],1)),"")</f>
        <v/>
      </c>
      <c r="G855" s="95" t="str">
        <f>IF(ISNUMBER(deployment_raw[[#This Row],[Column7]]), (deployment_raw[[#This Row],[Column7]] * IF($E$2="Deployment",deployment_raw[[#This Row],[Column5]],1))/1048576,"")</f>
        <v/>
      </c>
      <c r="H855" s="95" t="str">
        <f>IF(ISNUMBER(deployment_raw[[#This Row],[Column8]]), (deployment_raw[[#This Row],[Column8]]  * IF($E$2="Deployment",deployment_raw[[#This Row],[Column5]],1)),"")</f>
        <v/>
      </c>
      <c r="I855" s="96" t="str">
        <f>IF(ISNUMBER(deployment_raw[[#This Row],[Column9]]), (deployment_raw[[#This Row],[Column9]] * IF($E$2="Deployment",deployment_raw[[#This Row],[Column5]],1))/1048576,"")</f>
        <v/>
      </c>
      <c r="J855" s="122" t="str">
        <f>IF(ISNUMBER(deployment_raw[[#This Row],[Column10]]), (MIN(IF(N855&lt;&gt;"",N855,9999999999999)*1.1,deployment_raw[[#This Row],[Column10]] * IF($E$2="Deployment",deployment_raw[[#This Row],[Column5]],1))),"")</f>
        <v/>
      </c>
      <c r="K855" s="123" t="str">
        <f>IF(ISNUMBER(deployment_raw[[#This Row],[Column11]]), (MIN(IF(O855&lt;&gt;"",O855,9999999999999)*1.1,deployment_raw[[#This Row],[Column11]] * IF($E$2="Deployment",deployment_raw[[#This Row],[Column5]],1)/1048576)),"")</f>
        <v/>
      </c>
      <c r="L855" s="124" t="str">
        <f>IF(ISNUMBER(deployment_raw[[#This Row],[Column8]]),IF(OR(deployment_raw[[#This Row],[Column5]] &lt;&gt; 0,$E$2 &lt;&gt; "Deployment"), MAX(J855, P855, R855, ($L$2 * IF($E$2="Deployment",deployment_raw[[#This Row],[Column5]],1)),IF(T855&lt;&gt;"",VALUE(T855) * IF($E$2="Deployment",deployment_raw[[#This Row],[Column5]],1),0)), 0),"")</f>
        <v/>
      </c>
      <c r="M855" s="125" t="str">
        <f>IF(ISNUMBER(deployment_raw[[#This Row],[Column9]]),IF(OR(deployment_raw[[#This Row],[Column5]] &lt;&gt; 0,$E$2&lt;&gt;"Deployment"), MAX(K855, Q855, S855, ($M$2 * IF($E$2="Deployment",deployment_raw[[#This Row],[Column5]],1)),IF(U855&lt;&gt;"",VALUE(U855) * IF($E$2="Deployment",deployment_raw[[#This Row],[Column5]],1),0)), 0),"")</f>
        <v/>
      </c>
      <c r="N855" s="166" t="str">
        <f>IF(ISNUMBER(deployment_raw[[#This Row],[Column14]]), deployment_raw[[#This Row],[Column14]]/IF(OR($E$2="Deployment",deployment_raw[[#This Row],[Column5]]=0),1,deployment_raw[[#This Row],[Column5]]),"")</f>
        <v/>
      </c>
      <c r="O855" s="167" t="str">
        <f>IF(ISNUMBER(deployment_raw[[#This Row],[Column15]]), deployment_raw[[#This Row],[Column15]]/IF(OR($E$2="Deployment",deployment_raw[[#This Row],[Column5]]=0),1,deployment_raw[[#This Row],[Column5]])/1048576,"")</f>
        <v/>
      </c>
      <c r="P855" s="168" t="str">
        <f>IF(ISNUMBER(deployment_raw[[#This Row],[Column12]]), (MIN(IF(N855&lt;&gt;"",N855,9999999999999)*1.1,deployment_raw[[#This Row],[Column12]] * IF($E$2="Deployment",deployment_raw[[#This Row],[Column5]],1))*(1+$P$2)),"")</f>
        <v/>
      </c>
      <c r="Q855" s="167" t="str">
        <f>IF(ISNUMBER(deployment_raw[[#This Row],[Column13]]), (MIN(IF(O855&lt;&gt;"",O855,9999999999999)*1.1,deployment_raw[[#This Row],[Column13]] * IF($E$2="Deployment",deployment_raw[[#This Row],[Column5]],1)*(1+$Q$2)/1048576)),"")</f>
        <v/>
      </c>
      <c r="R855" s="169" t="str">
        <f>IF(ISNUMBER(deployment_raw[[#This Row],[Column8]]), (H855  * IF(N855&lt;&gt;0,$R$2,1)),"")</f>
        <v/>
      </c>
      <c r="S855" s="170" t="str">
        <f>IF(ISNUMBER(deployment_raw[[#This Row],[Column8]]), (I855  * IF(O855&lt;&gt;0,$S$2,1)),"")</f>
        <v/>
      </c>
      <c r="T855" s="202" t="str">
        <f>IF(AND(A855&lt;&gt;"",_xlfn.IFNA(MATCH(A855,'dynamic resource application '!$A$2:$A$100, 0),0)&lt;&gt;0), H855/(IF($E$2="Deployment",E855,1)),"")</f>
        <v/>
      </c>
      <c r="U855" s="211" t="str">
        <f>IF(AND(A855&lt;&gt;"",_xlfn.IFNA(MATCH(A855,'dynamic resource application '!$A$2:$A$100, 0),0)&lt;&gt;0), I855/(IF($E$2="Deployment",E855,1)),"")</f>
        <v/>
      </c>
    </row>
    <row r="856" spans="1:21" ht="15.75" customHeight="1" x14ac:dyDescent="0.25">
      <c r="A856" s="35" t="str">
        <f>IF(ISNONTEXT(deployment_raw[[#This Row],[Column1]]), "", deployment_raw[[#This Row],[Column1]])</f>
        <v/>
      </c>
      <c r="B856" s="36" t="str">
        <f>IF(ISNONTEXT(deployment_raw[[#This Row],[Column2]]), "", deployment_raw[[#This Row],[Column2]])</f>
        <v/>
      </c>
      <c r="C856" s="36" t="str">
        <f>IF(ISNONTEXT(deployment_raw[[#This Row],[Column3]]), "", deployment_raw[[#This Row],[Column3]])</f>
        <v/>
      </c>
      <c r="D856" s="36" t="str">
        <f>IF(ISNONTEXT(deployment_raw[[#This Row],[Column4]]), "", deployment_raw[[#This Row],[Column4]])</f>
        <v/>
      </c>
      <c r="E856" s="37" t="str">
        <f>IF(ISNUMBER(deployment_raw[[#This Row],[Column5]]), deployment_raw[[#This Row],[Column5]],"")</f>
        <v/>
      </c>
      <c r="F856" s="94" t="str">
        <f>IF(ISNUMBER(deployment_raw[[#This Row],[Column6]]), (deployment_raw[[#This Row],[Column6]] * IF($E$2="Deployment",deployment_raw[[#This Row],[Column5]],1)),"")</f>
        <v/>
      </c>
      <c r="G856" s="95" t="str">
        <f>IF(ISNUMBER(deployment_raw[[#This Row],[Column7]]), (deployment_raw[[#This Row],[Column7]] * IF($E$2="Deployment",deployment_raw[[#This Row],[Column5]],1))/1048576,"")</f>
        <v/>
      </c>
      <c r="H856" s="95" t="str">
        <f>IF(ISNUMBER(deployment_raw[[#This Row],[Column8]]), (deployment_raw[[#This Row],[Column8]]  * IF($E$2="Deployment",deployment_raw[[#This Row],[Column5]],1)),"")</f>
        <v/>
      </c>
      <c r="I856" s="96" t="str">
        <f>IF(ISNUMBER(deployment_raw[[#This Row],[Column9]]), (deployment_raw[[#This Row],[Column9]] * IF($E$2="Deployment",deployment_raw[[#This Row],[Column5]],1))/1048576,"")</f>
        <v/>
      </c>
      <c r="J856" s="122" t="str">
        <f>IF(ISNUMBER(deployment_raw[[#This Row],[Column10]]), (MIN(IF(N856&lt;&gt;"",N856,9999999999999)*1.1,deployment_raw[[#This Row],[Column10]] * IF($E$2="Deployment",deployment_raw[[#This Row],[Column5]],1))),"")</f>
        <v/>
      </c>
      <c r="K856" s="123" t="str">
        <f>IF(ISNUMBER(deployment_raw[[#This Row],[Column11]]), (MIN(IF(O856&lt;&gt;"",O856,9999999999999)*1.1,deployment_raw[[#This Row],[Column11]] * IF($E$2="Deployment",deployment_raw[[#This Row],[Column5]],1)/1048576)),"")</f>
        <v/>
      </c>
      <c r="L856" s="124" t="str">
        <f>IF(ISNUMBER(deployment_raw[[#This Row],[Column8]]),IF(OR(deployment_raw[[#This Row],[Column5]] &lt;&gt; 0,$E$2 &lt;&gt; "Deployment"), MAX(J856, P856, R856, ($L$2 * IF($E$2="Deployment",deployment_raw[[#This Row],[Column5]],1)),IF(T856&lt;&gt;"",VALUE(T856) * IF($E$2="Deployment",deployment_raw[[#This Row],[Column5]],1),0)), 0),"")</f>
        <v/>
      </c>
      <c r="M856" s="125" t="str">
        <f>IF(ISNUMBER(deployment_raw[[#This Row],[Column9]]),IF(OR(deployment_raw[[#This Row],[Column5]] &lt;&gt; 0,$E$2&lt;&gt;"Deployment"), MAX(K856, Q856, S856, ($M$2 * IF($E$2="Deployment",deployment_raw[[#This Row],[Column5]],1)),IF(U856&lt;&gt;"",VALUE(U856) * IF($E$2="Deployment",deployment_raw[[#This Row],[Column5]],1),0)), 0),"")</f>
        <v/>
      </c>
      <c r="N856" s="166" t="str">
        <f>IF(ISNUMBER(deployment_raw[[#This Row],[Column14]]), deployment_raw[[#This Row],[Column14]]/IF(OR($E$2="Deployment",deployment_raw[[#This Row],[Column5]]=0),1,deployment_raw[[#This Row],[Column5]]),"")</f>
        <v/>
      </c>
      <c r="O856" s="167" t="str">
        <f>IF(ISNUMBER(deployment_raw[[#This Row],[Column15]]), deployment_raw[[#This Row],[Column15]]/IF(OR($E$2="Deployment",deployment_raw[[#This Row],[Column5]]=0),1,deployment_raw[[#This Row],[Column5]])/1048576,"")</f>
        <v/>
      </c>
      <c r="P856" s="168" t="str">
        <f>IF(ISNUMBER(deployment_raw[[#This Row],[Column12]]), (MIN(IF(N856&lt;&gt;"",N856,9999999999999)*1.1,deployment_raw[[#This Row],[Column12]] * IF($E$2="Deployment",deployment_raw[[#This Row],[Column5]],1))*(1+$P$2)),"")</f>
        <v/>
      </c>
      <c r="Q856" s="167" t="str">
        <f>IF(ISNUMBER(deployment_raw[[#This Row],[Column13]]), (MIN(IF(O856&lt;&gt;"",O856,9999999999999)*1.1,deployment_raw[[#This Row],[Column13]] * IF($E$2="Deployment",deployment_raw[[#This Row],[Column5]],1)*(1+$Q$2)/1048576)),"")</f>
        <v/>
      </c>
      <c r="R856" s="169" t="str">
        <f>IF(ISNUMBER(deployment_raw[[#This Row],[Column8]]), (H856  * IF(N856&lt;&gt;0,$R$2,1)),"")</f>
        <v/>
      </c>
      <c r="S856" s="170" t="str">
        <f>IF(ISNUMBER(deployment_raw[[#This Row],[Column8]]), (I856  * IF(O856&lt;&gt;0,$S$2,1)),"")</f>
        <v/>
      </c>
      <c r="T856" s="202" t="str">
        <f>IF(AND(A856&lt;&gt;"",_xlfn.IFNA(MATCH(A856,'dynamic resource application '!$A$2:$A$100, 0),0)&lt;&gt;0), H856/(IF($E$2="Deployment",E856,1)),"")</f>
        <v/>
      </c>
      <c r="U856" s="211" t="str">
        <f>IF(AND(A856&lt;&gt;"",_xlfn.IFNA(MATCH(A856,'dynamic resource application '!$A$2:$A$100, 0),0)&lt;&gt;0), I856/(IF($E$2="Deployment",E856,1)),"")</f>
        <v/>
      </c>
    </row>
    <row r="857" spans="1:21" ht="15.75" customHeight="1" x14ac:dyDescent="0.25">
      <c r="A857" s="35" t="str">
        <f>IF(ISNONTEXT(deployment_raw[[#This Row],[Column1]]), "", deployment_raw[[#This Row],[Column1]])</f>
        <v/>
      </c>
      <c r="B857" s="36" t="str">
        <f>IF(ISNONTEXT(deployment_raw[[#This Row],[Column2]]), "", deployment_raw[[#This Row],[Column2]])</f>
        <v/>
      </c>
      <c r="C857" s="36" t="str">
        <f>IF(ISNONTEXT(deployment_raw[[#This Row],[Column3]]), "", deployment_raw[[#This Row],[Column3]])</f>
        <v/>
      </c>
      <c r="D857" s="36" t="str">
        <f>IF(ISNONTEXT(deployment_raw[[#This Row],[Column4]]), "", deployment_raw[[#This Row],[Column4]])</f>
        <v/>
      </c>
      <c r="E857" s="37" t="str">
        <f>IF(ISNUMBER(deployment_raw[[#This Row],[Column5]]), deployment_raw[[#This Row],[Column5]],"")</f>
        <v/>
      </c>
      <c r="F857" s="94" t="str">
        <f>IF(ISNUMBER(deployment_raw[[#This Row],[Column6]]), (deployment_raw[[#This Row],[Column6]] * IF($E$2="Deployment",deployment_raw[[#This Row],[Column5]],1)),"")</f>
        <v/>
      </c>
      <c r="G857" s="95" t="str">
        <f>IF(ISNUMBER(deployment_raw[[#This Row],[Column7]]), (deployment_raw[[#This Row],[Column7]] * IF($E$2="Deployment",deployment_raw[[#This Row],[Column5]],1))/1048576,"")</f>
        <v/>
      </c>
      <c r="H857" s="95" t="str">
        <f>IF(ISNUMBER(deployment_raw[[#This Row],[Column8]]), (deployment_raw[[#This Row],[Column8]]  * IF($E$2="Deployment",deployment_raw[[#This Row],[Column5]],1)),"")</f>
        <v/>
      </c>
      <c r="I857" s="96" t="str">
        <f>IF(ISNUMBER(deployment_raw[[#This Row],[Column9]]), (deployment_raw[[#This Row],[Column9]] * IF($E$2="Deployment",deployment_raw[[#This Row],[Column5]],1))/1048576,"")</f>
        <v/>
      </c>
      <c r="J857" s="122" t="str">
        <f>IF(ISNUMBER(deployment_raw[[#This Row],[Column10]]), (MIN(IF(N857&lt;&gt;"",N857,9999999999999)*1.1,deployment_raw[[#This Row],[Column10]] * IF($E$2="Deployment",deployment_raw[[#This Row],[Column5]],1))),"")</f>
        <v/>
      </c>
      <c r="K857" s="123" t="str">
        <f>IF(ISNUMBER(deployment_raw[[#This Row],[Column11]]), (MIN(IF(O857&lt;&gt;"",O857,9999999999999)*1.1,deployment_raw[[#This Row],[Column11]] * IF($E$2="Deployment",deployment_raw[[#This Row],[Column5]],1)/1048576)),"")</f>
        <v/>
      </c>
      <c r="L857" s="124" t="str">
        <f>IF(ISNUMBER(deployment_raw[[#This Row],[Column8]]),IF(OR(deployment_raw[[#This Row],[Column5]] &lt;&gt; 0,$E$2 &lt;&gt; "Deployment"), MAX(J857, P857, R857, ($L$2 * IF($E$2="Deployment",deployment_raw[[#This Row],[Column5]],1)),IF(T857&lt;&gt;"",VALUE(T857) * IF($E$2="Deployment",deployment_raw[[#This Row],[Column5]],1),0)), 0),"")</f>
        <v/>
      </c>
      <c r="M857" s="125" t="str">
        <f>IF(ISNUMBER(deployment_raw[[#This Row],[Column9]]),IF(OR(deployment_raw[[#This Row],[Column5]] &lt;&gt; 0,$E$2&lt;&gt;"Deployment"), MAX(K857, Q857, S857, ($M$2 * IF($E$2="Deployment",deployment_raw[[#This Row],[Column5]],1)),IF(U857&lt;&gt;"",VALUE(U857) * IF($E$2="Deployment",deployment_raw[[#This Row],[Column5]],1),0)), 0),"")</f>
        <v/>
      </c>
      <c r="N857" s="166" t="str">
        <f>IF(ISNUMBER(deployment_raw[[#This Row],[Column14]]), deployment_raw[[#This Row],[Column14]]/IF(OR($E$2="Deployment",deployment_raw[[#This Row],[Column5]]=0),1,deployment_raw[[#This Row],[Column5]]),"")</f>
        <v/>
      </c>
      <c r="O857" s="167" t="str">
        <f>IF(ISNUMBER(deployment_raw[[#This Row],[Column15]]), deployment_raw[[#This Row],[Column15]]/IF(OR($E$2="Deployment",deployment_raw[[#This Row],[Column5]]=0),1,deployment_raw[[#This Row],[Column5]])/1048576,"")</f>
        <v/>
      </c>
      <c r="P857" s="168" t="str">
        <f>IF(ISNUMBER(deployment_raw[[#This Row],[Column12]]), (MIN(IF(N857&lt;&gt;"",N857,9999999999999)*1.1,deployment_raw[[#This Row],[Column12]] * IF($E$2="Deployment",deployment_raw[[#This Row],[Column5]],1))*(1+$P$2)),"")</f>
        <v/>
      </c>
      <c r="Q857" s="167" t="str">
        <f>IF(ISNUMBER(deployment_raw[[#This Row],[Column13]]), (MIN(IF(O857&lt;&gt;"",O857,9999999999999)*1.1,deployment_raw[[#This Row],[Column13]] * IF($E$2="Deployment",deployment_raw[[#This Row],[Column5]],1)*(1+$Q$2)/1048576)),"")</f>
        <v/>
      </c>
      <c r="R857" s="169" t="str">
        <f>IF(ISNUMBER(deployment_raw[[#This Row],[Column8]]), (H857  * IF(N857&lt;&gt;0,$R$2,1)),"")</f>
        <v/>
      </c>
      <c r="S857" s="170" t="str">
        <f>IF(ISNUMBER(deployment_raw[[#This Row],[Column8]]), (I857  * IF(O857&lt;&gt;0,$S$2,1)),"")</f>
        <v/>
      </c>
      <c r="T857" s="202" t="str">
        <f>IF(AND(A857&lt;&gt;"",_xlfn.IFNA(MATCH(A857,'dynamic resource application '!$A$2:$A$100, 0),0)&lt;&gt;0), H857/(IF($E$2="Deployment",E857,1)),"")</f>
        <v/>
      </c>
      <c r="U857" s="211" t="str">
        <f>IF(AND(A857&lt;&gt;"",_xlfn.IFNA(MATCH(A857,'dynamic resource application '!$A$2:$A$100, 0),0)&lt;&gt;0), I857/(IF($E$2="Deployment",E857,1)),"")</f>
        <v/>
      </c>
    </row>
    <row r="858" spans="1:21" ht="15.75" customHeight="1" x14ac:dyDescent="0.25">
      <c r="A858" s="35" t="str">
        <f>IF(ISNONTEXT(deployment_raw[[#This Row],[Column1]]), "", deployment_raw[[#This Row],[Column1]])</f>
        <v/>
      </c>
      <c r="B858" s="36" t="str">
        <f>IF(ISNONTEXT(deployment_raw[[#This Row],[Column2]]), "", deployment_raw[[#This Row],[Column2]])</f>
        <v/>
      </c>
      <c r="C858" s="36" t="str">
        <f>IF(ISNONTEXT(deployment_raw[[#This Row],[Column3]]), "", deployment_raw[[#This Row],[Column3]])</f>
        <v/>
      </c>
      <c r="D858" s="36" t="str">
        <f>IF(ISNONTEXT(deployment_raw[[#This Row],[Column4]]), "", deployment_raw[[#This Row],[Column4]])</f>
        <v/>
      </c>
      <c r="E858" s="37" t="str">
        <f>IF(ISNUMBER(deployment_raw[[#This Row],[Column5]]), deployment_raw[[#This Row],[Column5]],"")</f>
        <v/>
      </c>
      <c r="F858" s="94" t="str">
        <f>IF(ISNUMBER(deployment_raw[[#This Row],[Column6]]), (deployment_raw[[#This Row],[Column6]] * IF($E$2="Deployment",deployment_raw[[#This Row],[Column5]],1)),"")</f>
        <v/>
      </c>
      <c r="G858" s="95" t="str">
        <f>IF(ISNUMBER(deployment_raw[[#This Row],[Column7]]), (deployment_raw[[#This Row],[Column7]] * IF($E$2="Deployment",deployment_raw[[#This Row],[Column5]],1))/1048576,"")</f>
        <v/>
      </c>
      <c r="H858" s="95" t="str">
        <f>IF(ISNUMBER(deployment_raw[[#This Row],[Column8]]), (deployment_raw[[#This Row],[Column8]]  * IF($E$2="Deployment",deployment_raw[[#This Row],[Column5]],1)),"")</f>
        <v/>
      </c>
      <c r="I858" s="96" t="str">
        <f>IF(ISNUMBER(deployment_raw[[#This Row],[Column9]]), (deployment_raw[[#This Row],[Column9]] * IF($E$2="Deployment",deployment_raw[[#This Row],[Column5]],1))/1048576,"")</f>
        <v/>
      </c>
      <c r="J858" s="122" t="str">
        <f>IF(ISNUMBER(deployment_raw[[#This Row],[Column10]]), (MIN(IF(N858&lt;&gt;"",N858,9999999999999)*1.1,deployment_raw[[#This Row],[Column10]] * IF($E$2="Deployment",deployment_raw[[#This Row],[Column5]],1))),"")</f>
        <v/>
      </c>
      <c r="K858" s="123" t="str">
        <f>IF(ISNUMBER(deployment_raw[[#This Row],[Column11]]), (MIN(IF(O858&lt;&gt;"",O858,9999999999999)*1.1,deployment_raw[[#This Row],[Column11]] * IF($E$2="Deployment",deployment_raw[[#This Row],[Column5]],1)/1048576)),"")</f>
        <v/>
      </c>
      <c r="L858" s="124" t="str">
        <f>IF(ISNUMBER(deployment_raw[[#This Row],[Column8]]),IF(OR(deployment_raw[[#This Row],[Column5]] &lt;&gt; 0,$E$2 &lt;&gt; "Deployment"), MAX(J858, P858, R858, ($L$2 * IF($E$2="Deployment",deployment_raw[[#This Row],[Column5]],1)),IF(T858&lt;&gt;"",VALUE(T858) * IF($E$2="Deployment",deployment_raw[[#This Row],[Column5]],1),0)), 0),"")</f>
        <v/>
      </c>
      <c r="M858" s="125" t="str">
        <f>IF(ISNUMBER(deployment_raw[[#This Row],[Column9]]),IF(OR(deployment_raw[[#This Row],[Column5]] &lt;&gt; 0,$E$2&lt;&gt;"Deployment"), MAX(K858, Q858, S858, ($M$2 * IF($E$2="Deployment",deployment_raw[[#This Row],[Column5]],1)),IF(U858&lt;&gt;"",VALUE(U858) * IF($E$2="Deployment",deployment_raw[[#This Row],[Column5]],1),0)), 0),"")</f>
        <v/>
      </c>
      <c r="N858" s="166" t="str">
        <f>IF(ISNUMBER(deployment_raw[[#This Row],[Column14]]), deployment_raw[[#This Row],[Column14]]/IF(OR($E$2="Deployment",deployment_raw[[#This Row],[Column5]]=0),1,deployment_raw[[#This Row],[Column5]]),"")</f>
        <v/>
      </c>
      <c r="O858" s="167" t="str">
        <f>IF(ISNUMBER(deployment_raw[[#This Row],[Column15]]), deployment_raw[[#This Row],[Column15]]/IF(OR($E$2="Deployment",deployment_raw[[#This Row],[Column5]]=0),1,deployment_raw[[#This Row],[Column5]])/1048576,"")</f>
        <v/>
      </c>
      <c r="P858" s="168" t="str">
        <f>IF(ISNUMBER(deployment_raw[[#This Row],[Column12]]), (MIN(IF(N858&lt;&gt;"",N858,9999999999999)*1.1,deployment_raw[[#This Row],[Column12]] * IF($E$2="Deployment",deployment_raw[[#This Row],[Column5]],1))*(1+$P$2)),"")</f>
        <v/>
      </c>
      <c r="Q858" s="167" t="str">
        <f>IF(ISNUMBER(deployment_raw[[#This Row],[Column13]]), (MIN(IF(O858&lt;&gt;"",O858,9999999999999)*1.1,deployment_raw[[#This Row],[Column13]] * IF($E$2="Deployment",deployment_raw[[#This Row],[Column5]],1)*(1+$Q$2)/1048576)),"")</f>
        <v/>
      </c>
      <c r="R858" s="169" t="str">
        <f>IF(ISNUMBER(deployment_raw[[#This Row],[Column8]]), (H858  * IF(N858&lt;&gt;0,$R$2,1)),"")</f>
        <v/>
      </c>
      <c r="S858" s="170" t="str">
        <f>IF(ISNUMBER(deployment_raw[[#This Row],[Column8]]), (I858  * IF(O858&lt;&gt;0,$S$2,1)),"")</f>
        <v/>
      </c>
      <c r="T858" s="202" t="str">
        <f>IF(AND(A858&lt;&gt;"",_xlfn.IFNA(MATCH(A858,'dynamic resource application '!$A$2:$A$100, 0),0)&lt;&gt;0), H858/(IF($E$2="Deployment",E858,1)),"")</f>
        <v/>
      </c>
      <c r="U858" s="211" t="str">
        <f>IF(AND(A858&lt;&gt;"",_xlfn.IFNA(MATCH(A858,'dynamic resource application '!$A$2:$A$100, 0),0)&lt;&gt;0), I858/(IF($E$2="Deployment",E858,1)),"")</f>
        <v/>
      </c>
    </row>
    <row r="859" spans="1:21" ht="15.75" customHeight="1" x14ac:dyDescent="0.25">
      <c r="A859" s="35" t="str">
        <f>IF(ISNONTEXT(deployment_raw[[#This Row],[Column1]]), "", deployment_raw[[#This Row],[Column1]])</f>
        <v/>
      </c>
      <c r="B859" s="36" t="str">
        <f>IF(ISNONTEXT(deployment_raw[[#This Row],[Column2]]), "", deployment_raw[[#This Row],[Column2]])</f>
        <v/>
      </c>
      <c r="C859" s="36" t="str">
        <f>IF(ISNONTEXT(deployment_raw[[#This Row],[Column3]]), "", deployment_raw[[#This Row],[Column3]])</f>
        <v/>
      </c>
      <c r="D859" s="36" t="str">
        <f>IF(ISNONTEXT(deployment_raw[[#This Row],[Column4]]), "", deployment_raw[[#This Row],[Column4]])</f>
        <v/>
      </c>
      <c r="E859" s="37" t="str">
        <f>IF(ISNUMBER(deployment_raw[[#This Row],[Column5]]), deployment_raw[[#This Row],[Column5]],"")</f>
        <v/>
      </c>
      <c r="F859" s="94" t="str">
        <f>IF(ISNUMBER(deployment_raw[[#This Row],[Column6]]), (deployment_raw[[#This Row],[Column6]] * IF($E$2="Deployment",deployment_raw[[#This Row],[Column5]],1)),"")</f>
        <v/>
      </c>
      <c r="G859" s="95" t="str">
        <f>IF(ISNUMBER(deployment_raw[[#This Row],[Column7]]), (deployment_raw[[#This Row],[Column7]] * IF($E$2="Deployment",deployment_raw[[#This Row],[Column5]],1))/1048576,"")</f>
        <v/>
      </c>
      <c r="H859" s="95" t="str">
        <f>IF(ISNUMBER(deployment_raw[[#This Row],[Column8]]), (deployment_raw[[#This Row],[Column8]]  * IF($E$2="Deployment",deployment_raw[[#This Row],[Column5]],1)),"")</f>
        <v/>
      </c>
      <c r="I859" s="96" t="str">
        <f>IF(ISNUMBER(deployment_raw[[#This Row],[Column9]]), (deployment_raw[[#This Row],[Column9]] * IF($E$2="Deployment",deployment_raw[[#This Row],[Column5]],1))/1048576,"")</f>
        <v/>
      </c>
      <c r="J859" s="122" t="str">
        <f>IF(ISNUMBER(deployment_raw[[#This Row],[Column10]]), (MIN(IF(N859&lt;&gt;"",N859,9999999999999)*1.1,deployment_raw[[#This Row],[Column10]] * IF($E$2="Deployment",deployment_raw[[#This Row],[Column5]],1))),"")</f>
        <v/>
      </c>
      <c r="K859" s="123" t="str">
        <f>IF(ISNUMBER(deployment_raw[[#This Row],[Column11]]), (MIN(IF(O859&lt;&gt;"",O859,9999999999999)*1.1,deployment_raw[[#This Row],[Column11]] * IF($E$2="Deployment",deployment_raw[[#This Row],[Column5]],1)/1048576)),"")</f>
        <v/>
      </c>
      <c r="L859" s="124" t="str">
        <f>IF(ISNUMBER(deployment_raw[[#This Row],[Column8]]),IF(OR(deployment_raw[[#This Row],[Column5]] &lt;&gt; 0,$E$2 &lt;&gt; "Deployment"), MAX(J859, P859, R859, ($L$2 * IF($E$2="Deployment",deployment_raw[[#This Row],[Column5]],1)),IF(T859&lt;&gt;"",VALUE(T859) * IF($E$2="Deployment",deployment_raw[[#This Row],[Column5]],1),0)), 0),"")</f>
        <v/>
      </c>
      <c r="M859" s="125" t="str">
        <f>IF(ISNUMBER(deployment_raw[[#This Row],[Column9]]),IF(OR(deployment_raw[[#This Row],[Column5]] &lt;&gt; 0,$E$2&lt;&gt;"Deployment"), MAX(K859, Q859, S859, ($M$2 * IF($E$2="Deployment",deployment_raw[[#This Row],[Column5]],1)),IF(U859&lt;&gt;"",VALUE(U859) * IF($E$2="Deployment",deployment_raw[[#This Row],[Column5]],1),0)), 0),"")</f>
        <v/>
      </c>
      <c r="N859" s="166" t="str">
        <f>IF(ISNUMBER(deployment_raw[[#This Row],[Column14]]), deployment_raw[[#This Row],[Column14]]/IF(OR($E$2="Deployment",deployment_raw[[#This Row],[Column5]]=0),1,deployment_raw[[#This Row],[Column5]]),"")</f>
        <v/>
      </c>
      <c r="O859" s="167" t="str">
        <f>IF(ISNUMBER(deployment_raw[[#This Row],[Column15]]), deployment_raw[[#This Row],[Column15]]/IF(OR($E$2="Deployment",deployment_raw[[#This Row],[Column5]]=0),1,deployment_raw[[#This Row],[Column5]])/1048576,"")</f>
        <v/>
      </c>
      <c r="P859" s="168" t="str">
        <f>IF(ISNUMBER(deployment_raw[[#This Row],[Column12]]), (MIN(IF(N859&lt;&gt;"",N859,9999999999999)*1.1,deployment_raw[[#This Row],[Column12]] * IF($E$2="Deployment",deployment_raw[[#This Row],[Column5]],1))*(1+$P$2)),"")</f>
        <v/>
      </c>
      <c r="Q859" s="167" t="str">
        <f>IF(ISNUMBER(deployment_raw[[#This Row],[Column13]]), (MIN(IF(O859&lt;&gt;"",O859,9999999999999)*1.1,deployment_raw[[#This Row],[Column13]] * IF($E$2="Deployment",deployment_raw[[#This Row],[Column5]],1)*(1+$Q$2)/1048576)),"")</f>
        <v/>
      </c>
      <c r="R859" s="169" t="str">
        <f>IF(ISNUMBER(deployment_raw[[#This Row],[Column8]]), (H859  * IF(N859&lt;&gt;0,$R$2,1)),"")</f>
        <v/>
      </c>
      <c r="S859" s="170" t="str">
        <f>IF(ISNUMBER(deployment_raw[[#This Row],[Column8]]), (I859  * IF(O859&lt;&gt;0,$S$2,1)),"")</f>
        <v/>
      </c>
      <c r="T859" s="202" t="str">
        <f>IF(AND(A859&lt;&gt;"",_xlfn.IFNA(MATCH(A859,'dynamic resource application '!$A$2:$A$100, 0),0)&lt;&gt;0), H859/(IF($E$2="Deployment",E859,1)),"")</f>
        <v/>
      </c>
      <c r="U859" s="211" t="str">
        <f>IF(AND(A859&lt;&gt;"",_xlfn.IFNA(MATCH(A859,'dynamic resource application '!$A$2:$A$100, 0),0)&lt;&gt;0), I859/(IF($E$2="Deployment",E859,1)),"")</f>
        <v/>
      </c>
    </row>
    <row r="860" spans="1:21" ht="15.75" customHeight="1" x14ac:dyDescent="0.25">
      <c r="A860" s="35" t="str">
        <f>IF(ISNONTEXT(deployment_raw[[#This Row],[Column1]]), "", deployment_raw[[#This Row],[Column1]])</f>
        <v/>
      </c>
      <c r="B860" s="36" t="str">
        <f>IF(ISNONTEXT(deployment_raw[[#This Row],[Column2]]), "", deployment_raw[[#This Row],[Column2]])</f>
        <v/>
      </c>
      <c r="C860" s="36" t="str">
        <f>IF(ISNONTEXT(deployment_raw[[#This Row],[Column3]]), "", deployment_raw[[#This Row],[Column3]])</f>
        <v/>
      </c>
      <c r="D860" s="36" t="str">
        <f>IF(ISNONTEXT(deployment_raw[[#This Row],[Column4]]), "", deployment_raw[[#This Row],[Column4]])</f>
        <v/>
      </c>
      <c r="E860" s="37" t="str">
        <f>IF(ISNUMBER(deployment_raw[[#This Row],[Column5]]), deployment_raw[[#This Row],[Column5]],"")</f>
        <v/>
      </c>
      <c r="F860" s="94" t="str">
        <f>IF(ISNUMBER(deployment_raw[[#This Row],[Column6]]), (deployment_raw[[#This Row],[Column6]] * IF($E$2="Deployment",deployment_raw[[#This Row],[Column5]],1)),"")</f>
        <v/>
      </c>
      <c r="G860" s="95" t="str">
        <f>IF(ISNUMBER(deployment_raw[[#This Row],[Column7]]), (deployment_raw[[#This Row],[Column7]] * IF($E$2="Deployment",deployment_raw[[#This Row],[Column5]],1))/1048576,"")</f>
        <v/>
      </c>
      <c r="H860" s="95" t="str">
        <f>IF(ISNUMBER(deployment_raw[[#This Row],[Column8]]), (deployment_raw[[#This Row],[Column8]]  * IF($E$2="Deployment",deployment_raw[[#This Row],[Column5]],1)),"")</f>
        <v/>
      </c>
      <c r="I860" s="96" t="str">
        <f>IF(ISNUMBER(deployment_raw[[#This Row],[Column9]]), (deployment_raw[[#This Row],[Column9]] * IF($E$2="Deployment",deployment_raw[[#This Row],[Column5]],1))/1048576,"")</f>
        <v/>
      </c>
      <c r="J860" s="122" t="str">
        <f>IF(ISNUMBER(deployment_raw[[#This Row],[Column10]]), (MIN(IF(N860&lt;&gt;"",N860,9999999999999)*1.1,deployment_raw[[#This Row],[Column10]] * IF($E$2="Deployment",deployment_raw[[#This Row],[Column5]],1))),"")</f>
        <v/>
      </c>
      <c r="K860" s="123" t="str">
        <f>IF(ISNUMBER(deployment_raw[[#This Row],[Column11]]), (MIN(IF(O860&lt;&gt;"",O860,9999999999999)*1.1,deployment_raw[[#This Row],[Column11]] * IF($E$2="Deployment",deployment_raw[[#This Row],[Column5]],1)/1048576)),"")</f>
        <v/>
      </c>
      <c r="L860" s="124" t="str">
        <f>IF(ISNUMBER(deployment_raw[[#This Row],[Column8]]),IF(OR(deployment_raw[[#This Row],[Column5]] &lt;&gt; 0,$E$2 &lt;&gt; "Deployment"), MAX(J860, P860, R860, ($L$2 * IF($E$2="Deployment",deployment_raw[[#This Row],[Column5]],1)),IF(T860&lt;&gt;"",VALUE(T860) * IF($E$2="Deployment",deployment_raw[[#This Row],[Column5]],1),0)), 0),"")</f>
        <v/>
      </c>
      <c r="M860" s="125" t="str">
        <f>IF(ISNUMBER(deployment_raw[[#This Row],[Column9]]),IF(OR(deployment_raw[[#This Row],[Column5]] &lt;&gt; 0,$E$2&lt;&gt;"Deployment"), MAX(K860, Q860, S860, ($M$2 * IF($E$2="Deployment",deployment_raw[[#This Row],[Column5]],1)),IF(U860&lt;&gt;"",VALUE(U860) * IF($E$2="Deployment",deployment_raw[[#This Row],[Column5]],1),0)), 0),"")</f>
        <v/>
      </c>
      <c r="N860" s="166" t="str">
        <f>IF(ISNUMBER(deployment_raw[[#This Row],[Column14]]), deployment_raw[[#This Row],[Column14]]/IF(OR($E$2="Deployment",deployment_raw[[#This Row],[Column5]]=0),1,deployment_raw[[#This Row],[Column5]]),"")</f>
        <v/>
      </c>
      <c r="O860" s="167" t="str">
        <f>IF(ISNUMBER(deployment_raw[[#This Row],[Column15]]), deployment_raw[[#This Row],[Column15]]/IF(OR($E$2="Deployment",deployment_raw[[#This Row],[Column5]]=0),1,deployment_raw[[#This Row],[Column5]])/1048576,"")</f>
        <v/>
      </c>
      <c r="P860" s="168" t="str">
        <f>IF(ISNUMBER(deployment_raw[[#This Row],[Column12]]), (MIN(IF(N860&lt;&gt;"",N860,9999999999999)*1.1,deployment_raw[[#This Row],[Column12]] * IF($E$2="Deployment",deployment_raw[[#This Row],[Column5]],1))*(1+$P$2)),"")</f>
        <v/>
      </c>
      <c r="Q860" s="167" t="str">
        <f>IF(ISNUMBER(deployment_raw[[#This Row],[Column13]]), (MIN(IF(O860&lt;&gt;"",O860,9999999999999)*1.1,deployment_raw[[#This Row],[Column13]] * IF($E$2="Deployment",deployment_raw[[#This Row],[Column5]],1)*(1+$Q$2)/1048576)),"")</f>
        <v/>
      </c>
      <c r="R860" s="169" t="str">
        <f>IF(ISNUMBER(deployment_raw[[#This Row],[Column8]]), (H860  * IF(N860&lt;&gt;0,$R$2,1)),"")</f>
        <v/>
      </c>
      <c r="S860" s="170" t="str">
        <f>IF(ISNUMBER(deployment_raw[[#This Row],[Column8]]), (I860  * IF(O860&lt;&gt;0,$S$2,1)),"")</f>
        <v/>
      </c>
      <c r="T860" s="202" t="str">
        <f>IF(AND(A860&lt;&gt;"",_xlfn.IFNA(MATCH(A860,'dynamic resource application '!$A$2:$A$100, 0),0)&lt;&gt;0), H860/(IF($E$2="Deployment",E860,1)),"")</f>
        <v/>
      </c>
      <c r="U860" s="211" t="str">
        <f>IF(AND(A860&lt;&gt;"",_xlfn.IFNA(MATCH(A860,'dynamic resource application '!$A$2:$A$100, 0),0)&lt;&gt;0), I860/(IF($E$2="Deployment",E860,1)),"")</f>
        <v/>
      </c>
    </row>
    <row r="861" spans="1:21" ht="15.75" customHeight="1" x14ac:dyDescent="0.25">
      <c r="A861" s="35" t="str">
        <f>IF(ISNONTEXT(deployment_raw[[#This Row],[Column1]]), "", deployment_raw[[#This Row],[Column1]])</f>
        <v/>
      </c>
      <c r="B861" s="36" t="str">
        <f>IF(ISNONTEXT(deployment_raw[[#This Row],[Column2]]), "", deployment_raw[[#This Row],[Column2]])</f>
        <v/>
      </c>
      <c r="C861" s="36" t="str">
        <f>IF(ISNONTEXT(deployment_raw[[#This Row],[Column3]]), "", deployment_raw[[#This Row],[Column3]])</f>
        <v/>
      </c>
      <c r="D861" s="36" t="str">
        <f>IF(ISNONTEXT(deployment_raw[[#This Row],[Column4]]), "", deployment_raw[[#This Row],[Column4]])</f>
        <v/>
      </c>
      <c r="E861" s="37" t="str">
        <f>IF(ISNUMBER(deployment_raw[[#This Row],[Column5]]), deployment_raw[[#This Row],[Column5]],"")</f>
        <v/>
      </c>
      <c r="F861" s="94" t="str">
        <f>IF(ISNUMBER(deployment_raw[[#This Row],[Column6]]), (deployment_raw[[#This Row],[Column6]] * IF($E$2="Deployment",deployment_raw[[#This Row],[Column5]],1)),"")</f>
        <v/>
      </c>
      <c r="G861" s="95" t="str">
        <f>IF(ISNUMBER(deployment_raw[[#This Row],[Column7]]), (deployment_raw[[#This Row],[Column7]] * IF($E$2="Deployment",deployment_raw[[#This Row],[Column5]],1))/1048576,"")</f>
        <v/>
      </c>
      <c r="H861" s="95" t="str">
        <f>IF(ISNUMBER(deployment_raw[[#This Row],[Column8]]), (deployment_raw[[#This Row],[Column8]]  * IF($E$2="Deployment",deployment_raw[[#This Row],[Column5]],1)),"")</f>
        <v/>
      </c>
      <c r="I861" s="96" t="str">
        <f>IF(ISNUMBER(deployment_raw[[#This Row],[Column9]]), (deployment_raw[[#This Row],[Column9]] * IF($E$2="Deployment",deployment_raw[[#This Row],[Column5]],1))/1048576,"")</f>
        <v/>
      </c>
      <c r="J861" s="122" t="str">
        <f>IF(ISNUMBER(deployment_raw[[#This Row],[Column10]]), (MIN(IF(N861&lt;&gt;"",N861,9999999999999)*1.1,deployment_raw[[#This Row],[Column10]] * IF($E$2="Deployment",deployment_raw[[#This Row],[Column5]],1))),"")</f>
        <v/>
      </c>
      <c r="K861" s="123" t="str">
        <f>IF(ISNUMBER(deployment_raw[[#This Row],[Column11]]), (MIN(IF(O861&lt;&gt;"",O861,9999999999999)*1.1,deployment_raw[[#This Row],[Column11]] * IF($E$2="Deployment",deployment_raw[[#This Row],[Column5]],1)/1048576)),"")</f>
        <v/>
      </c>
      <c r="L861" s="124" t="str">
        <f>IF(ISNUMBER(deployment_raw[[#This Row],[Column8]]),IF(OR(deployment_raw[[#This Row],[Column5]] &lt;&gt; 0,$E$2 &lt;&gt; "Deployment"), MAX(J861, P861, R861, ($L$2 * IF($E$2="Deployment",deployment_raw[[#This Row],[Column5]],1)),IF(T861&lt;&gt;"",VALUE(T861) * IF($E$2="Deployment",deployment_raw[[#This Row],[Column5]],1),0)), 0),"")</f>
        <v/>
      </c>
      <c r="M861" s="125" t="str">
        <f>IF(ISNUMBER(deployment_raw[[#This Row],[Column9]]),IF(OR(deployment_raw[[#This Row],[Column5]] &lt;&gt; 0,$E$2&lt;&gt;"Deployment"), MAX(K861, Q861, S861, ($M$2 * IF($E$2="Deployment",deployment_raw[[#This Row],[Column5]],1)),IF(U861&lt;&gt;"",VALUE(U861) * IF($E$2="Deployment",deployment_raw[[#This Row],[Column5]],1),0)), 0),"")</f>
        <v/>
      </c>
      <c r="N861" s="166" t="str">
        <f>IF(ISNUMBER(deployment_raw[[#This Row],[Column14]]), deployment_raw[[#This Row],[Column14]]/IF(OR($E$2="Deployment",deployment_raw[[#This Row],[Column5]]=0),1,deployment_raw[[#This Row],[Column5]]),"")</f>
        <v/>
      </c>
      <c r="O861" s="167" t="str">
        <f>IF(ISNUMBER(deployment_raw[[#This Row],[Column15]]), deployment_raw[[#This Row],[Column15]]/IF(OR($E$2="Deployment",deployment_raw[[#This Row],[Column5]]=0),1,deployment_raw[[#This Row],[Column5]])/1048576,"")</f>
        <v/>
      </c>
      <c r="P861" s="168" t="str">
        <f>IF(ISNUMBER(deployment_raw[[#This Row],[Column12]]), (MIN(IF(N861&lt;&gt;"",N861,9999999999999)*1.1,deployment_raw[[#This Row],[Column12]] * IF($E$2="Deployment",deployment_raw[[#This Row],[Column5]],1))*(1+$P$2)),"")</f>
        <v/>
      </c>
      <c r="Q861" s="167" t="str">
        <f>IF(ISNUMBER(deployment_raw[[#This Row],[Column13]]), (MIN(IF(O861&lt;&gt;"",O861,9999999999999)*1.1,deployment_raw[[#This Row],[Column13]] * IF($E$2="Deployment",deployment_raw[[#This Row],[Column5]],1)*(1+$Q$2)/1048576)),"")</f>
        <v/>
      </c>
      <c r="R861" s="169" t="str">
        <f>IF(ISNUMBER(deployment_raw[[#This Row],[Column8]]), (H861  * IF(N861&lt;&gt;0,$R$2,1)),"")</f>
        <v/>
      </c>
      <c r="S861" s="170" t="str">
        <f>IF(ISNUMBER(deployment_raw[[#This Row],[Column8]]), (I861  * IF(O861&lt;&gt;0,$S$2,1)),"")</f>
        <v/>
      </c>
      <c r="T861" s="202" t="str">
        <f>IF(AND(A861&lt;&gt;"",_xlfn.IFNA(MATCH(A861,'dynamic resource application '!$A$2:$A$100, 0),0)&lt;&gt;0), H861/(IF($E$2="Deployment",E861,1)),"")</f>
        <v/>
      </c>
      <c r="U861" s="211" t="str">
        <f>IF(AND(A861&lt;&gt;"",_xlfn.IFNA(MATCH(A861,'dynamic resource application '!$A$2:$A$100, 0),0)&lt;&gt;0), I861/(IF($E$2="Deployment",E861,1)),"")</f>
        <v/>
      </c>
    </row>
    <row r="862" spans="1:21" ht="15.75" customHeight="1" x14ac:dyDescent="0.25">
      <c r="A862" s="35" t="str">
        <f>IF(ISNONTEXT(deployment_raw[[#This Row],[Column1]]), "", deployment_raw[[#This Row],[Column1]])</f>
        <v/>
      </c>
      <c r="B862" s="36" t="str">
        <f>IF(ISNONTEXT(deployment_raw[[#This Row],[Column2]]), "", deployment_raw[[#This Row],[Column2]])</f>
        <v/>
      </c>
      <c r="C862" s="36" t="str">
        <f>IF(ISNONTEXT(deployment_raw[[#This Row],[Column3]]), "", deployment_raw[[#This Row],[Column3]])</f>
        <v/>
      </c>
      <c r="D862" s="36" t="str">
        <f>IF(ISNONTEXT(deployment_raw[[#This Row],[Column4]]), "", deployment_raw[[#This Row],[Column4]])</f>
        <v/>
      </c>
      <c r="E862" s="37" t="str">
        <f>IF(ISNUMBER(deployment_raw[[#This Row],[Column5]]), deployment_raw[[#This Row],[Column5]],"")</f>
        <v/>
      </c>
      <c r="F862" s="94" t="str">
        <f>IF(ISNUMBER(deployment_raw[[#This Row],[Column6]]), (deployment_raw[[#This Row],[Column6]] * IF($E$2="Deployment",deployment_raw[[#This Row],[Column5]],1)),"")</f>
        <v/>
      </c>
      <c r="G862" s="95" t="str">
        <f>IF(ISNUMBER(deployment_raw[[#This Row],[Column7]]), (deployment_raw[[#This Row],[Column7]] * IF($E$2="Deployment",deployment_raw[[#This Row],[Column5]],1))/1048576,"")</f>
        <v/>
      </c>
      <c r="H862" s="95" t="str">
        <f>IF(ISNUMBER(deployment_raw[[#This Row],[Column8]]), (deployment_raw[[#This Row],[Column8]]  * IF($E$2="Deployment",deployment_raw[[#This Row],[Column5]],1)),"")</f>
        <v/>
      </c>
      <c r="I862" s="96" t="str">
        <f>IF(ISNUMBER(deployment_raw[[#This Row],[Column9]]), (deployment_raw[[#This Row],[Column9]] * IF($E$2="Deployment",deployment_raw[[#This Row],[Column5]],1))/1048576,"")</f>
        <v/>
      </c>
      <c r="J862" s="122" t="str">
        <f>IF(ISNUMBER(deployment_raw[[#This Row],[Column10]]), (MIN(IF(N862&lt;&gt;"",N862,9999999999999)*1.1,deployment_raw[[#This Row],[Column10]] * IF($E$2="Deployment",deployment_raw[[#This Row],[Column5]],1))),"")</f>
        <v/>
      </c>
      <c r="K862" s="123" t="str">
        <f>IF(ISNUMBER(deployment_raw[[#This Row],[Column11]]), (MIN(IF(O862&lt;&gt;"",O862,9999999999999)*1.1,deployment_raw[[#This Row],[Column11]] * IF($E$2="Deployment",deployment_raw[[#This Row],[Column5]],1)/1048576)),"")</f>
        <v/>
      </c>
      <c r="L862" s="124" t="str">
        <f>IF(ISNUMBER(deployment_raw[[#This Row],[Column8]]),IF(OR(deployment_raw[[#This Row],[Column5]] &lt;&gt; 0,$E$2 &lt;&gt; "Deployment"), MAX(J862, P862, R862, ($L$2 * IF($E$2="Deployment",deployment_raw[[#This Row],[Column5]],1)),IF(T862&lt;&gt;"",VALUE(T862) * IF($E$2="Deployment",deployment_raw[[#This Row],[Column5]],1),0)), 0),"")</f>
        <v/>
      </c>
      <c r="M862" s="125" t="str">
        <f>IF(ISNUMBER(deployment_raw[[#This Row],[Column9]]),IF(OR(deployment_raw[[#This Row],[Column5]] &lt;&gt; 0,$E$2&lt;&gt;"Deployment"), MAX(K862, Q862, S862, ($M$2 * IF($E$2="Deployment",deployment_raw[[#This Row],[Column5]],1)),IF(U862&lt;&gt;"",VALUE(U862) * IF($E$2="Deployment",deployment_raw[[#This Row],[Column5]],1),0)), 0),"")</f>
        <v/>
      </c>
      <c r="N862" s="166" t="str">
        <f>IF(ISNUMBER(deployment_raw[[#This Row],[Column14]]), deployment_raw[[#This Row],[Column14]]/IF(OR($E$2="Deployment",deployment_raw[[#This Row],[Column5]]=0),1,deployment_raw[[#This Row],[Column5]]),"")</f>
        <v/>
      </c>
      <c r="O862" s="167" t="str">
        <f>IF(ISNUMBER(deployment_raw[[#This Row],[Column15]]), deployment_raw[[#This Row],[Column15]]/IF(OR($E$2="Deployment",deployment_raw[[#This Row],[Column5]]=0),1,deployment_raw[[#This Row],[Column5]])/1048576,"")</f>
        <v/>
      </c>
      <c r="P862" s="168" t="str">
        <f>IF(ISNUMBER(deployment_raw[[#This Row],[Column12]]), (MIN(IF(N862&lt;&gt;"",N862,9999999999999)*1.1,deployment_raw[[#This Row],[Column12]] * IF($E$2="Deployment",deployment_raw[[#This Row],[Column5]],1))*(1+$P$2)),"")</f>
        <v/>
      </c>
      <c r="Q862" s="167" t="str">
        <f>IF(ISNUMBER(deployment_raw[[#This Row],[Column13]]), (MIN(IF(O862&lt;&gt;"",O862,9999999999999)*1.1,deployment_raw[[#This Row],[Column13]] * IF($E$2="Deployment",deployment_raw[[#This Row],[Column5]],1)*(1+$Q$2)/1048576)),"")</f>
        <v/>
      </c>
      <c r="R862" s="169" t="str">
        <f>IF(ISNUMBER(deployment_raw[[#This Row],[Column8]]), (H862  * IF(N862&lt;&gt;0,$R$2,1)),"")</f>
        <v/>
      </c>
      <c r="S862" s="170" t="str">
        <f>IF(ISNUMBER(deployment_raw[[#This Row],[Column8]]), (I862  * IF(O862&lt;&gt;0,$S$2,1)),"")</f>
        <v/>
      </c>
      <c r="T862" s="202" t="str">
        <f>IF(AND(A862&lt;&gt;"",_xlfn.IFNA(MATCH(A862,'dynamic resource application '!$A$2:$A$100, 0),0)&lt;&gt;0), H862/(IF($E$2="Deployment",E862,1)),"")</f>
        <v/>
      </c>
      <c r="U862" s="211" t="str">
        <f>IF(AND(A862&lt;&gt;"",_xlfn.IFNA(MATCH(A862,'dynamic resource application '!$A$2:$A$100, 0),0)&lt;&gt;0), I862/(IF($E$2="Deployment",E862,1)),"")</f>
        <v/>
      </c>
    </row>
    <row r="863" spans="1:21" ht="15.75" customHeight="1" x14ac:dyDescent="0.25">
      <c r="A863" s="35" t="str">
        <f>IF(ISNONTEXT(deployment_raw[[#This Row],[Column1]]), "", deployment_raw[[#This Row],[Column1]])</f>
        <v/>
      </c>
      <c r="B863" s="36" t="str">
        <f>IF(ISNONTEXT(deployment_raw[[#This Row],[Column2]]), "", deployment_raw[[#This Row],[Column2]])</f>
        <v/>
      </c>
      <c r="C863" s="36" t="str">
        <f>IF(ISNONTEXT(deployment_raw[[#This Row],[Column3]]), "", deployment_raw[[#This Row],[Column3]])</f>
        <v/>
      </c>
      <c r="D863" s="36" t="str">
        <f>IF(ISNONTEXT(deployment_raw[[#This Row],[Column4]]), "", deployment_raw[[#This Row],[Column4]])</f>
        <v/>
      </c>
      <c r="E863" s="37" t="str">
        <f>IF(ISNUMBER(deployment_raw[[#This Row],[Column5]]), deployment_raw[[#This Row],[Column5]],"")</f>
        <v/>
      </c>
      <c r="F863" s="94" t="str">
        <f>IF(ISNUMBER(deployment_raw[[#This Row],[Column6]]), (deployment_raw[[#This Row],[Column6]] * IF($E$2="Deployment",deployment_raw[[#This Row],[Column5]],1)),"")</f>
        <v/>
      </c>
      <c r="G863" s="95" t="str">
        <f>IF(ISNUMBER(deployment_raw[[#This Row],[Column7]]), (deployment_raw[[#This Row],[Column7]] * IF($E$2="Deployment",deployment_raw[[#This Row],[Column5]],1))/1048576,"")</f>
        <v/>
      </c>
      <c r="H863" s="95" t="str">
        <f>IF(ISNUMBER(deployment_raw[[#This Row],[Column8]]), (deployment_raw[[#This Row],[Column8]]  * IF($E$2="Deployment",deployment_raw[[#This Row],[Column5]],1)),"")</f>
        <v/>
      </c>
      <c r="I863" s="96" t="str">
        <f>IF(ISNUMBER(deployment_raw[[#This Row],[Column9]]), (deployment_raw[[#This Row],[Column9]] * IF($E$2="Deployment",deployment_raw[[#This Row],[Column5]],1))/1048576,"")</f>
        <v/>
      </c>
      <c r="J863" s="122" t="str">
        <f>IF(ISNUMBER(deployment_raw[[#This Row],[Column10]]), (MIN(IF(N863&lt;&gt;"",N863,9999999999999)*1.1,deployment_raw[[#This Row],[Column10]] * IF($E$2="Deployment",deployment_raw[[#This Row],[Column5]],1))),"")</f>
        <v/>
      </c>
      <c r="K863" s="123" t="str">
        <f>IF(ISNUMBER(deployment_raw[[#This Row],[Column11]]), (MIN(IF(O863&lt;&gt;"",O863,9999999999999)*1.1,deployment_raw[[#This Row],[Column11]] * IF($E$2="Deployment",deployment_raw[[#This Row],[Column5]],1)/1048576)),"")</f>
        <v/>
      </c>
      <c r="L863" s="124" t="str">
        <f>IF(ISNUMBER(deployment_raw[[#This Row],[Column8]]),IF(OR(deployment_raw[[#This Row],[Column5]] &lt;&gt; 0,$E$2 &lt;&gt; "Deployment"), MAX(J863, P863, R863, ($L$2 * IF($E$2="Deployment",deployment_raw[[#This Row],[Column5]],1)),IF(T863&lt;&gt;"",VALUE(T863) * IF($E$2="Deployment",deployment_raw[[#This Row],[Column5]],1),0)), 0),"")</f>
        <v/>
      </c>
      <c r="M863" s="125" t="str">
        <f>IF(ISNUMBER(deployment_raw[[#This Row],[Column9]]),IF(OR(deployment_raw[[#This Row],[Column5]] &lt;&gt; 0,$E$2&lt;&gt;"Deployment"), MAX(K863, Q863, S863, ($M$2 * IF($E$2="Deployment",deployment_raw[[#This Row],[Column5]],1)),IF(U863&lt;&gt;"",VALUE(U863) * IF($E$2="Deployment",deployment_raw[[#This Row],[Column5]],1),0)), 0),"")</f>
        <v/>
      </c>
      <c r="N863" s="166" t="str">
        <f>IF(ISNUMBER(deployment_raw[[#This Row],[Column14]]), deployment_raw[[#This Row],[Column14]]/IF(OR($E$2="Deployment",deployment_raw[[#This Row],[Column5]]=0),1,deployment_raw[[#This Row],[Column5]]),"")</f>
        <v/>
      </c>
      <c r="O863" s="167" t="str">
        <f>IF(ISNUMBER(deployment_raw[[#This Row],[Column15]]), deployment_raw[[#This Row],[Column15]]/IF(OR($E$2="Deployment",deployment_raw[[#This Row],[Column5]]=0),1,deployment_raw[[#This Row],[Column5]])/1048576,"")</f>
        <v/>
      </c>
      <c r="P863" s="168" t="str">
        <f>IF(ISNUMBER(deployment_raw[[#This Row],[Column12]]), (MIN(IF(N863&lt;&gt;"",N863,9999999999999)*1.1,deployment_raw[[#This Row],[Column12]] * IF($E$2="Deployment",deployment_raw[[#This Row],[Column5]],1))*(1+$P$2)),"")</f>
        <v/>
      </c>
      <c r="Q863" s="167" t="str">
        <f>IF(ISNUMBER(deployment_raw[[#This Row],[Column13]]), (MIN(IF(O863&lt;&gt;"",O863,9999999999999)*1.1,deployment_raw[[#This Row],[Column13]] * IF($E$2="Deployment",deployment_raw[[#This Row],[Column5]],1)*(1+$Q$2)/1048576)),"")</f>
        <v/>
      </c>
      <c r="R863" s="169" t="str">
        <f>IF(ISNUMBER(deployment_raw[[#This Row],[Column8]]), (H863  * IF(N863&lt;&gt;0,$R$2,1)),"")</f>
        <v/>
      </c>
      <c r="S863" s="170" t="str">
        <f>IF(ISNUMBER(deployment_raw[[#This Row],[Column8]]), (I863  * IF(O863&lt;&gt;0,$S$2,1)),"")</f>
        <v/>
      </c>
      <c r="T863" s="202" t="str">
        <f>IF(AND(A863&lt;&gt;"",_xlfn.IFNA(MATCH(A863,'dynamic resource application '!$A$2:$A$100, 0),0)&lt;&gt;0), H863/(IF($E$2="Deployment",E863,1)),"")</f>
        <v/>
      </c>
      <c r="U863" s="211" t="str">
        <f>IF(AND(A863&lt;&gt;"",_xlfn.IFNA(MATCH(A863,'dynamic resource application '!$A$2:$A$100, 0),0)&lt;&gt;0), I863/(IF($E$2="Deployment",E863,1)),"")</f>
        <v/>
      </c>
    </row>
    <row r="864" spans="1:21" ht="15.75" customHeight="1" x14ac:dyDescent="0.25">
      <c r="A864" s="35" t="str">
        <f>IF(ISNONTEXT(deployment_raw[[#This Row],[Column1]]), "", deployment_raw[[#This Row],[Column1]])</f>
        <v/>
      </c>
      <c r="B864" s="36" t="str">
        <f>IF(ISNONTEXT(deployment_raw[[#This Row],[Column2]]), "", deployment_raw[[#This Row],[Column2]])</f>
        <v/>
      </c>
      <c r="C864" s="36" t="str">
        <f>IF(ISNONTEXT(deployment_raw[[#This Row],[Column3]]), "", deployment_raw[[#This Row],[Column3]])</f>
        <v/>
      </c>
      <c r="D864" s="36" t="str">
        <f>IF(ISNONTEXT(deployment_raw[[#This Row],[Column4]]), "", deployment_raw[[#This Row],[Column4]])</f>
        <v/>
      </c>
      <c r="E864" s="37" t="str">
        <f>IF(ISNUMBER(deployment_raw[[#This Row],[Column5]]), deployment_raw[[#This Row],[Column5]],"")</f>
        <v/>
      </c>
      <c r="F864" s="94" t="str">
        <f>IF(ISNUMBER(deployment_raw[[#This Row],[Column6]]), (deployment_raw[[#This Row],[Column6]] * IF($E$2="Deployment",deployment_raw[[#This Row],[Column5]],1)),"")</f>
        <v/>
      </c>
      <c r="G864" s="95" t="str">
        <f>IF(ISNUMBER(deployment_raw[[#This Row],[Column7]]), (deployment_raw[[#This Row],[Column7]] * IF($E$2="Deployment",deployment_raw[[#This Row],[Column5]],1))/1048576,"")</f>
        <v/>
      </c>
      <c r="H864" s="95" t="str">
        <f>IF(ISNUMBER(deployment_raw[[#This Row],[Column8]]), (deployment_raw[[#This Row],[Column8]]  * IF($E$2="Deployment",deployment_raw[[#This Row],[Column5]],1)),"")</f>
        <v/>
      </c>
      <c r="I864" s="96" t="str">
        <f>IF(ISNUMBER(deployment_raw[[#This Row],[Column9]]), (deployment_raw[[#This Row],[Column9]] * IF($E$2="Deployment",deployment_raw[[#This Row],[Column5]],1))/1048576,"")</f>
        <v/>
      </c>
      <c r="J864" s="122" t="str">
        <f>IF(ISNUMBER(deployment_raw[[#This Row],[Column10]]), (MIN(IF(N864&lt;&gt;"",N864,9999999999999)*1.1,deployment_raw[[#This Row],[Column10]] * IF($E$2="Deployment",deployment_raw[[#This Row],[Column5]],1))),"")</f>
        <v/>
      </c>
      <c r="K864" s="123" t="str">
        <f>IF(ISNUMBER(deployment_raw[[#This Row],[Column11]]), (MIN(IF(O864&lt;&gt;"",O864,9999999999999)*1.1,deployment_raw[[#This Row],[Column11]] * IF($E$2="Deployment",deployment_raw[[#This Row],[Column5]],1)/1048576)),"")</f>
        <v/>
      </c>
      <c r="L864" s="124" t="str">
        <f>IF(ISNUMBER(deployment_raw[[#This Row],[Column8]]),IF(OR(deployment_raw[[#This Row],[Column5]] &lt;&gt; 0,$E$2 &lt;&gt; "Deployment"), MAX(J864, P864, R864, ($L$2 * IF($E$2="Deployment",deployment_raw[[#This Row],[Column5]],1)),IF(T864&lt;&gt;"",VALUE(T864) * IF($E$2="Deployment",deployment_raw[[#This Row],[Column5]],1),0)), 0),"")</f>
        <v/>
      </c>
      <c r="M864" s="125" t="str">
        <f>IF(ISNUMBER(deployment_raw[[#This Row],[Column9]]),IF(OR(deployment_raw[[#This Row],[Column5]] &lt;&gt; 0,$E$2&lt;&gt;"Deployment"), MAX(K864, Q864, S864, ($M$2 * IF($E$2="Deployment",deployment_raw[[#This Row],[Column5]],1)),IF(U864&lt;&gt;"",VALUE(U864) * IF($E$2="Deployment",deployment_raw[[#This Row],[Column5]],1),0)), 0),"")</f>
        <v/>
      </c>
      <c r="N864" s="166" t="str">
        <f>IF(ISNUMBER(deployment_raw[[#This Row],[Column14]]), deployment_raw[[#This Row],[Column14]]/IF(OR($E$2="Deployment",deployment_raw[[#This Row],[Column5]]=0),1,deployment_raw[[#This Row],[Column5]]),"")</f>
        <v/>
      </c>
      <c r="O864" s="167" t="str">
        <f>IF(ISNUMBER(deployment_raw[[#This Row],[Column15]]), deployment_raw[[#This Row],[Column15]]/IF(OR($E$2="Deployment",deployment_raw[[#This Row],[Column5]]=0),1,deployment_raw[[#This Row],[Column5]])/1048576,"")</f>
        <v/>
      </c>
      <c r="P864" s="168" t="str">
        <f>IF(ISNUMBER(deployment_raw[[#This Row],[Column12]]), (MIN(IF(N864&lt;&gt;"",N864,9999999999999)*1.1,deployment_raw[[#This Row],[Column12]] * IF($E$2="Deployment",deployment_raw[[#This Row],[Column5]],1))*(1+$P$2)),"")</f>
        <v/>
      </c>
      <c r="Q864" s="167" t="str">
        <f>IF(ISNUMBER(deployment_raw[[#This Row],[Column13]]), (MIN(IF(O864&lt;&gt;"",O864,9999999999999)*1.1,deployment_raw[[#This Row],[Column13]] * IF($E$2="Deployment",deployment_raw[[#This Row],[Column5]],1)*(1+$Q$2)/1048576)),"")</f>
        <v/>
      </c>
      <c r="R864" s="169" t="str">
        <f>IF(ISNUMBER(deployment_raw[[#This Row],[Column8]]), (H864  * IF(N864&lt;&gt;0,$R$2,1)),"")</f>
        <v/>
      </c>
      <c r="S864" s="170" t="str">
        <f>IF(ISNUMBER(deployment_raw[[#This Row],[Column8]]), (I864  * IF(O864&lt;&gt;0,$S$2,1)),"")</f>
        <v/>
      </c>
      <c r="T864" s="202" t="str">
        <f>IF(AND(A864&lt;&gt;"",_xlfn.IFNA(MATCH(A864,'dynamic resource application '!$A$2:$A$100, 0),0)&lt;&gt;0), H864/(IF($E$2="Deployment",E864,1)),"")</f>
        <v/>
      </c>
      <c r="U864" s="211" t="str">
        <f>IF(AND(A864&lt;&gt;"",_xlfn.IFNA(MATCH(A864,'dynamic resource application '!$A$2:$A$100, 0),0)&lt;&gt;0), I864/(IF($E$2="Deployment",E864,1)),"")</f>
        <v/>
      </c>
    </row>
    <row r="865" spans="1:21" ht="15.75" customHeight="1" x14ac:dyDescent="0.25">
      <c r="A865" s="35" t="str">
        <f>IF(ISNONTEXT(deployment_raw[[#This Row],[Column1]]), "", deployment_raw[[#This Row],[Column1]])</f>
        <v/>
      </c>
      <c r="B865" s="36" t="str">
        <f>IF(ISNONTEXT(deployment_raw[[#This Row],[Column2]]), "", deployment_raw[[#This Row],[Column2]])</f>
        <v/>
      </c>
      <c r="C865" s="36" t="str">
        <f>IF(ISNONTEXT(deployment_raw[[#This Row],[Column3]]), "", deployment_raw[[#This Row],[Column3]])</f>
        <v/>
      </c>
      <c r="D865" s="36" t="str">
        <f>IF(ISNONTEXT(deployment_raw[[#This Row],[Column4]]), "", deployment_raw[[#This Row],[Column4]])</f>
        <v/>
      </c>
      <c r="E865" s="37" t="str">
        <f>IF(ISNUMBER(deployment_raw[[#This Row],[Column5]]), deployment_raw[[#This Row],[Column5]],"")</f>
        <v/>
      </c>
      <c r="F865" s="94" t="str">
        <f>IF(ISNUMBER(deployment_raw[[#This Row],[Column6]]), (deployment_raw[[#This Row],[Column6]] * IF($E$2="Deployment",deployment_raw[[#This Row],[Column5]],1)),"")</f>
        <v/>
      </c>
      <c r="G865" s="95" t="str">
        <f>IF(ISNUMBER(deployment_raw[[#This Row],[Column7]]), (deployment_raw[[#This Row],[Column7]] * IF($E$2="Deployment",deployment_raw[[#This Row],[Column5]],1))/1048576,"")</f>
        <v/>
      </c>
      <c r="H865" s="95" t="str">
        <f>IF(ISNUMBER(deployment_raw[[#This Row],[Column8]]), (deployment_raw[[#This Row],[Column8]]  * IF($E$2="Deployment",deployment_raw[[#This Row],[Column5]],1)),"")</f>
        <v/>
      </c>
      <c r="I865" s="96" t="str">
        <f>IF(ISNUMBER(deployment_raw[[#This Row],[Column9]]), (deployment_raw[[#This Row],[Column9]] * IF($E$2="Deployment",deployment_raw[[#This Row],[Column5]],1))/1048576,"")</f>
        <v/>
      </c>
      <c r="J865" s="122" t="str">
        <f>IF(ISNUMBER(deployment_raw[[#This Row],[Column10]]), (MIN(IF(N865&lt;&gt;"",N865,9999999999999)*1.1,deployment_raw[[#This Row],[Column10]] * IF($E$2="Deployment",deployment_raw[[#This Row],[Column5]],1))),"")</f>
        <v/>
      </c>
      <c r="K865" s="123" t="str">
        <f>IF(ISNUMBER(deployment_raw[[#This Row],[Column11]]), (MIN(IF(O865&lt;&gt;"",O865,9999999999999)*1.1,deployment_raw[[#This Row],[Column11]] * IF($E$2="Deployment",deployment_raw[[#This Row],[Column5]],1)/1048576)),"")</f>
        <v/>
      </c>
      <c r="L865" s="124" t="str">
        <f>IF(ISNUMBER(deployment_raw[[#This Row],[Column8]]),IF(OR(deployment_raw[[#This Row],[Column5]] &lt;&gt; 0,$E$2 &lt;&gt; "Deployment"), MAX(J865, P865, R865, ($L$2 * IF($E$2="Deployment",deployment_raw[[#This Row],[Column5]],1)),IF(T865&lt;&gt;"",VALUE(T865) * IF($E$2="Deployment",deployment_raw[[#This Row],[Column5]],1),0)), 0),"")</f>
        <v/>
      </c>
      <c r="M865" s="125" t="str">
        <f>IF(ISNUMBER(deployment_raw[[#This Row],[Column9]]),IF(OR(deployment_raw[[#This Row],[Column5]] &lt;&gt; 0,$E$2&lt;&gt;"Deployment"), MAX(K865, Q865, S865, ($M$2 * IF($E$2="Deployment",deployment_raw[[#This Row],[Column5]],1)),IF(U865&lt;&gt;"",VALUE(U865) * IF($E$2="Deployment",deployment_raw[[#This Row],[Column5]],1),0)), 0),"")</f>
        <v/>
      </c>
      <c r="N865" s="166" t="str">
        <f>IF(ISNUMBER(deployment_raw[[#This Row],[Column14]]), deployment_raw[[#This Row],[Column14]]/IF(OR($E$2="Deployment",deployment_raw[[#This Row],[Column5]]=0),1,deployment_raw[[#This Row],[Column5]]),"")</f>
        <v/>
      </c>
      <c r="O865" s="167" t="str">
        <f>IF(ISNUMBER(deployment_raw[[#This Row],[Column15]]), deployment_raw[[#This Row],[Column15]]/IF(OR($E$2="Deployment",deployment_raw[[#This Row],[Column5]]=0),1,deployment_raw[[#This Row],[Column5]])/1048576,"")</f>
        <v/>
      </c>
      <c r="P865" s="168" t="str">
        <f>IF(ISNUMBER(deployment_raw[[#This Row],[Column12]]), (MIN(IF(N865&lt;&gt;"",N865,9999999999999)*1.1,deployment_raw[[#This Row],[Column12]] * IF($E$2="Deployment",deployment_raw[[#This Row],[Column5]],1))*(1+$P$2)),"")</f>
        <v/>
      </c>
      <c r="Q865" s="167" t="str">
        <f>IF(ISNUMBER(deployment_raw[[#This Row],[Column13]]), (MIN(IF(O865&lt;&gt;"",O865,9999999999999)*1.1,deployment_raw[[#This Row],[Column13]] * IF($E$2="Deployment",deployment_raw[[#This Row],[Column5]],1)*(1+$Q$2)/1048576)),"")</f>
        <v/>
      </c>
      <c r="R865" s="169" t="str">
        <f>IF(ISNUMBER(deployment_raw[[#This Row],[Column8]]), (H865  * IF(N865&lt;&gt;0,$R$2,1)),"")</f>
        <v/>
      </c>
      <c r="S865" s="170" t="str">
        <f>IF(ISNUMBER(deployment_raw[[#This Row],[Column8]]), (I865  * IF(O865&lt;&gt;0,$S$2,1)),"")</f>
        <v/>
      </c>
      <c r="T865" s="202" t="str">
        <f>IF(AND(A865&lt;&gt;"",_xlfn.IFNA(MATCH(A865,'dynamic resource application '!$A$2:$A$100, 0),0)&lt;&gt;0), H865/(IF($E$2="Deployment",E865,1)),"")</f>
        <v/>
      </c>
      <c r="U865" s="211" t="str">
        <f>IF(AND(A865&lt;&gt;"",_xlfn.IFNA(MATCH(A865,'dynamic resource application '!$A$2:$A$100, 0),0)&lt;&gt;0), I865/(IF($E$2="Deployment",E865,1)),"")</f>
        <v/>
      </c>
    </row>
    <row r="866" spans="1:21" ht="15.75" customHeight="1" x14ac:dyDescent="0.25">
      <c r="A866" s="35" t="str">
        <f>IF(ISNONTEXT(deployment_raw[[#This Row],[Column1]]), "", deployment_raw[[#This Row],[Column1]])</f>
        <v/>
      </c>
      <c r="B866" s="36" t="str">
        <f>IF(ISNONTEXT(deployment_raw[[#This Row],[Column2]]), "", deployment_raw[[#This Row],[Column2]])</f>
        <v/>
      </c>
      <c r="C866" s="36" t="str">
        <f>IF(ISNONTEXT(deployment_raw[[#This Row],[Column3]]), "", deployment_raw[[#This Row],[Column3]])</f>
        <v/>
      </c>
      <c r="D866" s="36" t="str">
        <f>IF(ISNONTEXT(deployment_raw[[#This Row],[Column4]]), "", deployment_raw[[#This Row],[Column4]])</f>
        <v/>
      </c>
      <c r="E866" s="37" t="str">
        <f>IF(ISNUMBER(deployment_raw[[#This Row],[Column5]]), deployment_raw[[#This Row],[Column5]],"")</f>
        <v/>
      </c>
      <c r="F866" s="94" t="str">
        <f>IF(ISNUMBER(deployment_raw[[#This Row],[Column6]]), (deployment_raw[[#This Row],[Column6]] * IF($E$2="Deployment",deployment_raw[[#This Row],[Column5]],1)),"")</f>
        <v/>
      </c>
      <c r="G866" s="95" t="str">
        <f>IF(ISNUMBER(deployment_raw[[#This Row],[Column7]]), (deployment_raw[[#This Row],[Column7]] * IF($E$2="Deployment",deployment_raw[[#This Row],[Column5]],1))/1048576,"")</f>
        <v/>
      </c>
      <c r="H866" s="95" t="str">
        <f>IF(ISNUMBER(deployment_raw[[#This Row],[Column8]]), (deployment_raw[[#This Row],[Column8]]  * IF($E$2="Deployment",deployment_raw[[#This Row],[Column5]],1)),"")</f>
        <v/>
      </c>
      <c r="I866" s="96" t="str">
        <f>IF(ISNUMBER(deployment_raw[[#This Row],[Column9]]), (deployment_raw[[#This Row],[Column9]] * IF($E$2="Deployment",deployment_raw[[#This Row],[Column5]],1))/1048576,"")</f>
        <v/>
      </c>
      <c r="J866" s="122" t="str">
        <f>IF(ISNUMBER(deployment_raw[[#This Row],[Column10]]), (MIN(IF(N866&lt;&gt;"",N866,9999999999999)*1.1,deployment_raw[[#This Row],[Column10]] * IF($E$2="Deployment",deployment_raw[[#This Row],[Column5]],1))),"")</f>
        <v/>
      </c>
      <c r="K866" s="123" t="str">
        <f>IF(ISNUMBER(deployment_raw[[#This Row],[Column11]]), (MIN(IF(O866&lt;&gt;"",O866,9999999999999)*1.1,deployment_raw[[#This Row],[Column11]] * IF($E$2="Deployment",deployment_raw[[#This Row],[Column5]],1)/1048576)),"")</f>
        <v/>
      </c>
      <c r="L866" s="124" t="str">
        <f>IF(ISNUMBER(deployment_raw[[#This Row],[Column8]]),IF(OR(deployment_raw[[#This Row],[Column5]] &lt;&gt; 0,$E$2 &lt;&gt; "Deployment"), MAX(J866, P866, R866, ($L$2 * IF($E$2="Deployment",deployment_raw[[#This Row],[Column5]],1)),IF(T866&lt;&gt;"",VALUE(T866) * IF($E$2="Deployment",deployment_raw[[#This Row],[Column5]],1),0)), 0),"")</f>
        <v/>
      </c>
      <c r="M866" s="125" t="str">
        <f>IF(ISNUMBER(deployment_raw[[#This Row],[Column9]]),IF(OR(deployment_raw[[#This Row],[Column5]] &lt;&gt; 0,$E$2&lt;&gt;"Deployment"), MAX(K866, Q866, S866, ($M$2 * IF($E$2="Deployment",deployment_raw[[#This Row],[Column5]],1)),IF(U866&lt;&gt;"",VALUE(U866) * IF($E$2="Deployment",deployment_raw[[#This Row],[Column5]],1),0)), 0),"")</f>
        <v/>
      </c>
      <c r="N866" s="166" t="str">
        <f>IF(ISNUMBER(deployment_raw[[#This Row],[Column14]]), deployment_raw[[#This Row],[Column14]]/IF(OR($E$2="Deployment",deployment_raw[[#This Row],[Column5]]=0),1,deployment_raw[[#This Row],[Column5]]),"")</f>
        <v/>
      </c>
      <c r="O866" s="167" t="str">
        <f>IF(ISNUMBER(deployment_raw[[#This Row],[Column15]]), deployment_raw[[#This Row],[Column15]]/IF(OR($E$2="Deployment",deployment_raw[[#This Row],[Column5]]=0),1,deployment_raw[[#This Row],[Column5]])/1048576,"")</f>
        <v/>
      </c>
      <c r="P866" s="168" t="str">
        <f>IF(ISNUMBER(deployment_raw[[#This Row],[Column12]]), (MIN(IF(N866&lt;&gt;"",N866,9999999999999)*1.1,deployment_raw[[#This Row],[Column12]] * IF($E$2="Deployment",deployment_raw[[#This Row],[Column5]],1))*(1+$P$2)),"")</f>
        <v/>
      </c>
      <c r="Q866" s="167" t="str">
        <f>IF(ISNUMBER(deployment_raw[[#This Row],[Column13]]), (MIN(IF(O866&lt;&gt;"",O866,9999999999999)*1.1,deployment_raw[[#This Row],[Column13]] * IF($E$2="Deployment",deployment_raw[[#This Row],[Column5]],1)*(1+$Q$2)/1048576)),"")</f>
        <v/>
      </c>
      <c r="R866" s="169" t="str">
        <f>IF(ISNUMBER(deployment_raw[[#This Row],[Column8]]), (H866  * IF(N866&lt;&gt;0,$R$2,1)),"")</f>
        <v/>
      </c>
      <c r="S866" s="170" t="str">
        <f>IF(ISNUMBER(deployment_raw[[#This Row],[Column8]]), (I866  * IF(O866&lt;&gt;0,$S$2,1)),"")</f>
        <v/>
      </c>
      <c r="T866" s="202" t="str">
        <f>IF(AND(A866&lt;&gt;"",_xlfn.IFNA(MATCH(A866,'dynamic resource application '!$A$2:$A$100, 0),0)&lt;&gt;0), H866/(IF($E$2="Deployment",E866,1)),"")</f>
        <v/>
      </c>
      <c r="U866" s="211" t="str">
        <f>IF(AND(A866&lt;&gt;"",_xlfn.IFNA(MATCH(A866,'dynamic resource application '!$A$2:$A$100, 0),0)&lt;&gt;0), I866/(IF($E$2="Deployment",E866,1)),"")</f>
        <v/>
      </c>
    </row>
    <row r="867" spans="1:21" ht="15.75" customHeight="1" x14ac:dyDescent="0.25">
      <c r="A867" s="35" t="str">
        <f>IF(ISNONTEXT(deployment_raw[[#This Row],[Column1]]), "", deployment_raw[[#This Row],[Column1]])</f>
        <v/>
      </c>
      <c r="B867" s="36" t="str">
        <f>IF(ISNONTEXT(deployment_raw[[#This Row],[Column2]]), "", deployment_raw[[#This Row],[Column2]])</f>
        <v/>
      </c>
      <c r="C867" s="36" t="str">
        <f>IF(ISNONTEXT(deployment_raw[[#This Row],[Column3]]), "", deployment_raw[[#This Row],[Column3]])</f>
        <v/>
      </c>
      <c r="D867" s="36" t="str">
        <f>IF(ISNONTEXT(deployment_raw[[#This Row],[Column4]]), "", deployment_raw[[#This Row],[Column4]])</f>
        <v/>
      </c>
      <c r="E867" s="37" t="str">
        <f>IF(ISNUMBER(deployment_raw[[#This Row],[Column5]]), deployment_raw[[#This Row],[Column5]],"")</f>
        <v/>
      </c>
      <c r="F867" s="94" t="str">
        <f>IF(ISNUMBER(deployment_raw[[#This Row],[Column6]]), (deployment_raw[[#This Row],[Column6]] * IF($E$2="Deployment",deployment_raw[[#This Row],[Column5]],1)),"")</f>
        <v/>
      </c>
      <c r="G867" s="95" t="str">
        <f>IF(ISNUMBER(deployment_raw[[#This Row],[Column7]]), (deployment_raw[[#This Row],[Column7]] * IF($E$2="Deployment",deployment_raw[[#This Row],[Column5]],1))/1048576,"")</f>
        <v/>
      </c>
      <c r="H867" s="95" t="str">
        <f>IF(ISNUMBER(deployment_raw[[#This Row],[Column8]]), (deployment_raw[[#This Row],[Column8]]  * IF($E$2="Deployment",deployment_raw[[#This Row],[Column5]],1)),"")</f>
        <v/>
      </c>
      <c r="I867" s="96" t="str">
        <f>IF(ISNUMBER(deployment_raw[[#This Row],[Column9]]), (deployment_raw[[#This Row],[Column9]] * IF($E$2="Deployment",deployment_raw[[#This Row],[Column5]],1))/1048576,"")</f>
        <v/>
      </c>
      <c r="J867" s="122" t="str">
        <f>IF(ISNUMBER(deployment_raw[[#This Row],[Column10]]), (MIN(IF(N867&lt;&gt;"",N867,9999999999999)*1.1,deployment_raw[[#This Row],[Column10]] * IF($E$2="Deployment",deployment_raw[[#This Row],[Column5]],1))),"")</f>
        <v/>
      </c>
      <c r="K867" s="123" t="str">
        <f>IF(ISNUMBER(deployment_raw[[#This Row],[Column11]]), (MIN(IF(O867&lt;&gt;"",O867,9999999999999)*1.1,deployment_raw[[#This Row],[Column11]] * IF($E$2="Deployment",deployment_raw[[#This Row],[Column5]],1)/1048576)),"")</f>
        <v/>
      </c>
      <c r="L867" s="124" t="str">
        <f>IF(ISNUMBER(deployment_raw[[#This Row],[Column8]]),IF(OR(deployment_raw[[#This Row],[Column5]] &lt;&gt; 0,$E$2 &lt;&gt; "Deployment"), MAX(J867, P867, R867, ($L$2 * IF($E$2="Deployment",deployment_raw[[#This Row],[Column5]],1)),IF(T867&lt;&gt;"",VALUE(T867) * IF($E$2="Deployment",deployment_raw[[#This Row],[Column5]],1),0)), 0),"")</f>
        <v/>
      </c>
      <c r="M867" s="125" t="str">
        <f>IF(ISNUMBER(deployment_raw[[#This Row],[Column9]]),IF(OR(deployment_raw[[#This Row],[Column5]] &lt;&gt; 0,$E$2&lt;&gt;"Deployment"), MAX(K867, Q867, S867, ($M$2 * IF($E$2="Deployment",deployment_raw[[#This Row],[Column5]],1)),IF(U867&lt;&gt;"",VALUE(U867) * IF($E$2="Deployment",deployment_raw[[#This Row],[Column5]],1),0)), 0),"")</f>
        <v/>
      </c>
      <c r="N867" s="166" t="str">
        <f>IF(ISNUMBER(deployment_raw[[#This Row],[Column14]]), deployment_raw[[#This Row],[Column14]]/IF(OR($E$2="Deployment",deployment_raw[[#This Row],[Column5]]=0),1,deployment_raw[[#This Row],[Column5]]),"")</f>
        <v/>
      </c>
      <c r="O867" s="167" t="str">
        <f>IF(ISNUMBER(deployment_raw[[#This Row],[Column15]]), deployment_raw[[#This Row],[Column15]]/IF(OR($E$2="Deployment",deployment_raw[[#This Row],[Column5]]=0),1,deployment_raw[[#This Row],[Column5]])/1048576,"")</f>
        <v/>
      </c>
      <c r="P867" s="168" t="str">
        <f>IF(ISNUMBER(deployment_raw[[#This Row],[Column12]]), (MIN(IF(N867&lt;&gt;"",N867,9999999999999)*1.1,deployment_raw[[#This Row],[Column12]] * IF($E$2="Deployment",deployment_raw[[#This Row],[Column5]],1))*(1+$P$2)),"")</f>
        <v/>
      </c>
      <c r="Q867" s="167" t="str">
        <f>IF(ISNUMBER(deployment_raw[[#This Row],[Column13]]), (MIN(IF(O867&lt;&gt;"",O867,9999999999999)*1.1,deployment_raw[[#This Row],[Column13]] * IF($E$2="Deployment",deployment_raw[[#This Row],[Column5]],1)*(1+$Q$2)/1048576)),"")</f>
        <v/>
      </c>
      <c r="R867" s="169" t="str">
        <f>IF(ISNUMBER(deployment_raw[[#This Row],[Column8]]), (H867  * IF(N867&lt;&gt;0,$R$2,1)),"")</f>
        <v/>
      </c>
      <c r="S867" s="170" t="str">
        <f>IF(ISNUMBER(deployment_raw[[#This Row],[Column8]]), (I867  * IF(O867&lt;&gt;0,$S$2,1)),"")</f>
        <v/>
      </c>
      <c r="T867" s="202" t="str">
        <f>IF(AND(A867&lt;&gt;"",_xlfn.IFNA(MATCH(A867,'dynamic resource application '!$A$2:$A$100, 0),0)&lt;&gt;0), H867/(IF($E$2="Deployment",E867,1)),"")</f>
        <v/>
      </c>
      <c r="U867" s="211" t="str">
        <f>IF(AND(A867&lt;&gt;"",_xlfn.IFNA(MATCH(A867,'dynamic resource application '!$A$2:$A$100, 0),0)&lt;&gt;0), I867/(IF($E$2="Deployment",E867,1)),"")</f>
        <v/>
      </c>
    </row>
    <row r="868" spans="1:21" ht="15.75" customHeight="1" x14ac:dyDescent="0.25">
      <c r="A868" s="35" t="str">
        <f>IF(ISNONTEXT(deployment_raw[[#This Row],[Column1]]), "", deployment_raw[[#This Row],[Column1]])</f>
        <v/>
      </c>
      <c r="B868" s="36" t="str">
        <f>IF(ISNONTEXT(deployment_raw[[#This Row],[Column2]]), "", deployment_raw[[#This Row],[Column2]])</f>
        <v/>
      </c>
      <c r="C868" s="36" t="str">
        <f>IF(ISNONTEXT(deployment_raw[[#This Row],[Column3]]), "", deployment_raw[[#This Row],[Column3]])</f>
        <v/>
      </c>
      <c r="D868" s="36" t="str">
        <f>IF(ISNONTEXT(deployment_raw[[#This Row],[Column4]]), "", deployment_raw[[#This Row],[Column4]])</f>
        <v/>
      </c>
      <c r="E868" s="37" t="str">
        <f>IF(ISNUMBER(deployment_raw[[#This Row],[Column5]]), deployment_raw[[#This Row],[Column5]],"")</f>
        <v/>
      </c>
      <c r="F868" s="94" t="str">
        <f>IF(ISNUMBER(deployment_raw[[#This Row],[Column6]]), (deployment_raw[[#This Row],[Column6]] * IF($E$2="Deployment",deployment_raw[[#This Row],[Column5]],1)),"")</f>
        <v/>
      </c>
      <c r="G868" s="95" t="str">
        <f>IF(ISNUMBER(deployment_raw[[#This Row],[Column7]]), (deployment_raw[[#This Row],[Column7]] * IF($E$2="Deployment",deployment_raw[[#This Row],[Column5]],1))/1048576,"")</f>
        <v/>
      </c>
      <c r="H868" s="95" t="str">
        <f>IF(ISNUMBER(deployment_raw[[#This Row],[Column8]]), (deployment_raw[[#This Row],[Column8]]  * IF($E$2="Deployment",deployment_raw[[#This Row],[Column5]],1)),"")</f>
        <v/>
      </c>
      <c r="I868" s="96" t="str">
        <f>IF(ISNUMBER(deployment_raw[[#This Row],[Column9]]), (deployment_raw[[#This Row],[Column9]] * IF($E$2="Deployment",deployment_raw[[#This Row],[Column5]],1))/1048576,"")</f>
        <v/>
      </c>
      <c r="J868" s="122" t="str">
        <f>IF(ISNUMBER(deployment_raw[[#This Row],[Column10]]), (MIN(IF(N868&lt;&gt;"",N868,9999999999999)*1.1,deployment_raw[[#This Row],[Column10]] * IF($E$2="Deployment",deployment_raw[[#This Row],[Column5]],1))),"")</f>
        <v/>
      </c>
      <c r="K868" s="123" t="str">
        <f>IF(ISNUMBER(deployment_raw[[#This Row],[Column11]]), (MIN(IF(O868&lt;&gt;"",O868,9999999999999)*1.1,deployment_raw[[#This Row],[Column11]] * IF($E$2="Deployment",deployment_raw[[#This Row],[Column5]],1)/1048576)),"")</f>
        <v/>
      </c>
      <c r="L868" s="124" t="str">
        <f>IF(ISNUMBER(deployment_raw[[#This Row],[Column8]]),IF(OR(deployment_raw[[#This Row],[Column5]] &lt;&gt; 0,$E$2 &lt;&gt; "Deployment"), MAX(J868, P868, R868, ($L$2 * IF($E$2="Deployment",deployment_raw[[#This Row],[Column5]],1)),IF(T868&lt;&gt;"",VALUE(T868) * IF($E$2="Deployment",deployment_raw[[#This Row],[Column5]],1),0)), 0),"")</f>
        <v/>
      </c>
      <c r="M868" s="125" t="str">
        <f>IF(ISNUMBER(deployment_raw[[#This Row],[Column9]]),IF(OR(deployment_raw[[#This Row],[Column5]] &lt;&gt; 0,$E$2&lt;&gt;"Deployment"), MAX(K868, Q868, S868, ($M$2 * IF($E$2="Deployment",deployment_raw[[#This Row],[Column5]],1)),IF(U868&lt;&gt;"",VALUE(U868) * IF($E$2="Deployment",deployment_raw[[#This Row],[Column5]],1),0)), 0),"")</f>
        <v/>
      </c>
      <c r="N868" s="166" t="str">
        <f>IF(ISNUMBER(deployment_raw[[#This Row],[Column14]]), deployment_raw[[#This Row],[Column14]]/IF(OR($E$2="Deployment",deployment_raw[[#This Row],[Column5]]=0),1,deployment_raw[[#This Row],[Column5]]),"")</f>
        <v/>
      </c>
      <c r="O868" s="167" t="str">
        <f>IF(ISNUMBER(deployment_raw[[#This Row],[Column15]]), deployment_raw[[#This Row],[Column15]]/IF(OR($E$2="Deployment",deployment_raw[[#This Row],[Column5]]=0),1,deployment_raw[[#This Row],[Column5]])/1048576,"")</f>
        <v/>
      </c>
      <c r="P868" s="168" t="str">
        <f>IF(ISNUMBER(deployment_raw[[#This Row],[Column12]]), (MIN(IF(N868&lt;&gt;"",N868,9999999999999)*1.1,deployment_raw[[#This Row],[Column12]] * IF($E$2="Deployment",deployment_raw[[#This Row],[Column5]],1))*(1+$P$2)),"")</f>
        <v/>
      </c>
      <c r="Q868" s="167" t="str">
        <f>IF(ISNUMBER(deployment_raw[[#This Row],[Column13]]), (MIN(IF(O868&lt;&gt;"",O868,9999999999999)*1.1,deployment_raw[[#This Row],[Column13]] * IF($E$2="Deployment",deployment_raw[[#This Row],[Column5]],1)*(1+$Q$2)/1048576)),"")</f>
        <v/>
      </c>
      <c r="R868" s="169" t="str">
        <f>IF(ISNUMBER(deployment_raw[[#This Row],[Column8]]), (H868  * IF(N868&lt;&gt;0,$R$2,1)),"")</f>
        <v/>
      </c>
      <c r="S868" s="170" t="str">
        <f>IF(ISNUMBER(deployment_raw[[#This Row],[Column8]]), (I868  * IF(O868&lt;&gt;0,$S$2,1)),"")</f>
        <v/>
      </c>
      <c r="T868" s="202" t="str">
        <f>IF(AND(A868&lt;&gt;"",_xlfn.IFNA(MATCH(A868,'dynamic resource application '!$A$2:$A$100, 0),0)&lt;&gt;0), H868/(IF($E$2="Deployment",E868,1)),"")</f>
        <v/>
      </c>
      <c r="U868" s="211" t="str">
        <f>IF(AND(A868&lt;&gt;"",_xlfn.IFNA(MATCH(A868,'dynamic resource application '!$A$2:$A$100, 0),0)&lt;&gt;0), I868/(IF($E$2="Deployment",E868,1)),"")</f>
        <v/>
      </c>
    </row>
    <row r="869" spans="1:21" ht="15" customHeight="1" x14ac:dyDescent="0.25">
      <c r="A869" s="35" t="str">
        <f>IF(ISNONTEXT(deployment_raw[[#This Row],[Column1]]), "", deployment_raw[[#This Row],[Column1]])</f>
        <v/>
      </c>
      <c r="B869" s="36" t="str">
        <f>IF(ISNONTEXT(deployment_raw[[#This Row],[Column2]]), "", deployment_raw[[#This Row],[Column2]])</f>
        <v/>
      </c>
      <c r="C869" s="36" t="str">
        <f>IF(ISNONTEXT(deployment_raw[[#This Row],[Column3]]), "", deployment_raw[[#This Row],[Column3]])</f>
        <v/>
      </c>
      <c r="D869" s="36" t="str">
        <f>IF(ISNONTEXT(deployment_raw[[#This Row],[Column4]]), "", deployment_raw[[#This Row],[Column4]])</f>
        <v/>
      </c>
      <c r="E869" s="37" t="str">
        <f>IF(ISNUMBER(deployment_raw[[#This Row],[Column5]]), deployment_raw[[#This Row],[Column5]],"")</f>
        <v/>
      </c>
      <c r="F869" s="94" t="str">
        <f>IF(ISNUMBER(deployment_raw[[#This Row],[Column6]]), (deployment_raw[[#This Row],[Column6]] * IF($E$2="Deployment",deployment_raw[[#This Row],[Column5]],1)),"")</f>
        <v/>
      </c>
      <c r="G869" s="95" t="str">
        <f>IF(ISNUMBER(deployment_raw[[#This Row],[Column7]]), (deployment_raw[[#This Row],[Column7]] * IF($E$2="Deployment",deployment_raw[[#This Row],[Column5]],1))/1048576,"")</f>
        <v/>
      </c>
      <c r="H869" s="95" t="str">
        <f>IF(ISNUMBER(deployment_raw[[#This Row],[Column8]]), (deployment_raw[[#This Row],[Column8]]  * IF($E$2="Deployment",deployment_raw[[#This Row],[Column5]],1)),"")</f>
        <v/>
      </c>
      <c r="I869" s="96" t="str">
        <f>IF(ISNUMBER(deployment_raw[[#This Row],[Column9]]), (deployment_raw[[#This Row],[Column9]] * IF($E$2="Deployment",deployment_raw[[#This Row],[Column5]],1))/1048576,"")</f>
        <v/>
      </c>
      <c r="J869" s="122" t="str">
        <f>IF(ISNUMBER(deployment_raw[[#This Row],[Column10]]), (MIN(IF(N869&lt;&gt;"",N869,9999999999999)*1.1,deployment_raw[[#This Row],[Column10]] * IF($E$2="Deployment",deployment_raw[[#This Row],[Column5]],1))),"")</f>
        <v/>
      </c>
      <c r="K869" s="123" t="str">
        <f>IF(ISNUMBER(deployment_raw[[#This Row],[Column11]]), (MIN(IF(O869&lt;&gt;"",O869,9999999999999)*1.1,deployment_raw[[#This Row],[Column11]] * IF($E$2="Deployment",deployment_raw[[#This Row],[Column5]],1)/1048576)),"")</f>
        <v/>
      </c>
      <c r="L869" s="124" t="str">
        <f>IF(ISNUMBER(deployment_raw[[#This Row],[Column8]]),IF(OR(deployment_raw[[#This Row],[Column5]] &lt;&gt; 0,$E$2 &lt;&gt; "Deployment"), MAX(J869, P869, R869, ($L$2 * IF($E$2="Deployment",deployment_raw[[#This Row],[Column5]],1)),IF(T869&lt;&gt;"",VALUE(T869) * IF($E$2="Deployment",deployment_raw[[#This Row],[Column5]],1),0)), 0),"")</f>
        <v/>
      </c>
      <c r="M869" s="125" t="str">
        <f>IF(ISNUMBER(deployment_raw[[#This Row],[Column9]]),IF(OR(deployment_raw[[#This Row],[Column5]] &lt;&gt; 0,$E$2&lt;&gt;"Deployment"), MAX(K869, Q869, S869, ($M$2 * IF($E$2="Deployment",deployment_raw[[#This Row],[Column5]],1)),IF(U869&lt;&gt;"",VALUE(U869) * IF($E$2="Deployment",deployment_raw[[#This Row],[Column5]],1),0)), 0),"")</f>
        <v/>
      </c>
      <c r="N869" s="166" t="str">
        <f>IF(ISNUMBER(deployment_raw[[#This Row],[Column14]]), deployment_raw[[#This Row],[Column14]]/IF(OR($E$2="Deployment",deployment_raw[[#This Row],[Column5]]=0),1,deployment_raw[[#This Row],[Column5]]),"")</f>
        <v/>
      </c>
      <c r="O869" s="167" t="str">
        <f>IF(ISNUMBER(deployment_raw[[#This Row],[Column15]]), deployment_raw[[#This Row],[Column15]]/IF(OR($E$2="Deployment",deployment_raw[[#This Row],[Column5]]=0),1,deployment_raw[[#This Row],[Column5]])/1048576,"")</f>
        <v/>
      </c>
      <c r="P869" s="168" t="str">
        <f>IF(ISNUMBER(deployment_raw[[#This Row],[Column12]]), (MIN(IF(N869&lt;&gt;"",N869,9999999999999)*1.1,deployment_raw[[#This Row],[Column12]] * IF($E$2="Deployment",deployment_raw[[#This Row],[Column5]],1))*(1+$P$2)),"")</f>
        <v/>
      </c>
      <c r="Q869" s="167" t="str">
        <f>IF(ISNUMBER(deployment_raw[[#This Row],[Column13]]), (MIN(IF(O869&lt;&gt;"",O869,9999999999999)*1.1,deployment_raw[[#This Row],[Column13]] * IF($E$2="Deployment",deployment_raw[[#This Row],[Column5]],1)*(1+$Q$2)/1048576)),"")</f>
        <v/>
      </c>
      <c r="R869" s="169" t="str">
        <f>IF(ISNUMBER(deployment_raw[[#This Row],[Column8]]), (H869  * IF(N869&lt;&gt;0,$R$2,1)),"")</f>
        <v/>
      </c>
      <c r="S869" s="170" t="str">
        <f>IF(ISNUMBER(deployment_raw[[#This Row],[Column8]]), (I869  * IF(O869&lt;&gt;0,$S$2,1)),"")</f>
        <v/>
      </c>
      <c r="T869" s="202" t="str">
        <f>IF(AND(A869&lt;&gt;"",_xlfn.IFNA(MATCH(A869,'dynamic resource application '!$A$2:$A$100, 0),0)&lt;&gt;0), H869/(IF($E$2="Deployment",E869,1)),"")</f>
        <v/>
      </c>
      <c r="U869" s="211" t="str">
        <f>IF(AND(A869&lt;&gt;"",_xlfn.IFNA(MATCH(A869,'dynamic resource application '!$A$2:$A$100, 0),0)&lt;&gt;0), I869/(IF($E$2="Deployment",E869,1)),"")</f>
        <v/>
      </c>
    </row>
    <row r="870" spans="1:21" ht="15" customHeight="1" x14ac:dyDescent="0.25">
      <c r="A870" s="35" t="str">
        <f>IF(ISNONTEXT(deployment_raw[[#This Row],[Column1]]), "", deployment_raw[[#This Row],[Column1]])</f>
        <v/>
      </c>
      <c r="B870" s="36" t="str">
        <f>IF(ISNONTEXT(deployment_raw[[#This Row],[Column2]]), "", deployment_raw[[#This Row],[Column2]])</f>
        <v/>
      </c>
      <c r="C870" s="36" t="str">
        <f>IF(ISNONTEXT(deployment_raw[[#This Row],[Column3]]), "", deployment_raw[[#This Row],[Column3]])</f>
        <v/>
      </c>
      <c r="D870" s="36" t="str">
        <f>IF(ISNONTEXT(deployment_raw[[#This Row],[Column4]]), "", deployment_raw[[#This Row],[Column4]])</f>
        <v/>
      </c>
      <c r="E870" s="37" t="str">
        <f>IF(ISNUMBER(deployment_raw[[#This Row],[Column5]]), deployment_raw[[#This Row],[Column5]],"")</f>
        <v/>
      </c>
      <c r="F870" s="94" t="str">
        <f>IF(ISNUMBER(deployment_raw[[#This Row],[Column6]]), (deployment_raw[[#This Row],[Column6]] * IF($E$2="Deployment",deployment_raw[[#This Row],[Column5]],1)),"")</f>
        <v/>
      </c>
      <c r="G870" s="95" t="str">
        <f>IF(ISNUMBER(deployment_raw[[#This Row],[Column7]]), (deployment_raw[[#This Row],[Column7]] * IF($E$2="Deployment",deployment_raw[[#This Row],[Column5]],1))/1048576,"")</f>
        <v/>
      </c>
      <c r="H870" s="95" t="str">
        <f>IF(ISNUMBER(deployment_raw[[#This Row],[Column8]]), (deployment_raw[[#This Row],[Column8]]  * IF($E$2="Deployment",deployment_raw[[#This Row],[Column5]],1)),"")</f>
        <v/>
      </c>
      <c r="I870" s="96" t="str">
        <f>IF(ISNUMBER(deployment_raw[[#This Row],[Column9]]), (deployment_raw[[#This Row],[Column9]] * IF($E$2="Deployment",deployment_raw[[#This Row],[Column5]],1))/1048576,"")</f>
        <v/>
      </c>
      <c r="J870" s="122" t="str">
        <f>IF(ISNUMBER(deployment_raw[[#This Row],[Column10]]), (MIN(IF(N870&lt;&gt;"",N870,9999999999999)*1.1,deployment_raw[[#This Row],[Column10]] * IF($E$2="Deployment",deployment_raw[[#This Row],[Column5]],1))),"")</f>
        <v/>
      </c>
      <c r="K870" s="123" t="str">
        <f>IF(ISNUMBER(deployment_raw[[#This Row],[Column11]]), (MIN(IF(O870&lt;&gt;"",O870,9999999999999)*1.1,deployment_raw[[#This Row],[Column11]] * IF($E$2="Deployment",deployment_raw[[#This Row],[Column5]],1)/1048576)),"")</f>
        <v/>
      </c>
      <c r="L870" s="124" t="str">
        <f>IF(ISNUMBER(deployment_raw[[#This Row],[Column8]]),IF(OR(deployment_raw[[#This Row],[Column5]] &lt;&gt; 0,$E$2 &lt;&gt; "Deployment"), MAX(J870, P870, R870, ($L$2 * IF($E$2="Deployment",deployment_raw[[#This Row],[Column5]],1)),IF(T870&lt;&gt;"",VALUE(T870) * IF($E$2="Deployment",deployment_raw[[#This Row],[Column5]],1),0)), 0),"")</f>
        <v/>
      </c>
      <c r="M870" s="125" t="str">
        <f>IF(ISNUMBER(deployment_raw[[#This Row],[Column9]]),IF(OR(deployment_raw[[#This Row],[Column5]] &lt;&gt; 0,$E$2&lt;&gt;"Deployment"), MAX(K870, Q870, S870, ($M$2 * IF($E$2="Deployment",deployment_raw[[#This Row],[Column5]],1)),IF(U870&lt;&gt;"",VALUE(U870) * IF($E$2="Deployment",deployment_raw[[#This Row],[Column5]],1),0)), 0),"")</f>
        <v/>
      </c>
      <c r="N870" s="166" t="str">
        <f>IF(ISNUMBER(deployment_raw[[#This Row],[Column14]]), deployment_raw[[#This Row],[Column14]]/IF(OR($E$2="Deployment",deployment_raw[[#This Row],[Column5]]=0),1,deployment_raw[[#This Row],[Column5]]),"")</f>
        <v/>
      </c>
      <c r="O870" s="167" t="str">
        <f>IF(ISNUMBER(deployment_raw[[#This Row],[Column15]]), deployment_raw[[#This Row],[Column15]]/IF(OR($E$2="Deployment",deployment_raw[[#This Row],[Column5]]=0),1,deployment_raw[[#This Row],[Column5]])/1048576,"")</f>
        <v/>
      </c>
      <c r="P870" s="168" t="str">
        <f>IF(ISNUMBER(deployment_raw[[#This Row],[Column12]]), (MIN(IF(N870&lt;&gt;"",N870,9999999999999)*1.1,deployment_raw[[#This Row],[Column12]] * IF($E$2="Deployment",deployment_raw[[#This Row],[Column5]],1))*(1+$P$2)),"")</f>
        <v/>
      </c>
      <c r="Q870" s="167" t="str">
        <f>IF(ISNUMBER(deployment_raw[[#This Row],[Column13]]), (MIN(IF(O870&lt;&gt;"",O870,9999999999999)*1.1,deployment_raw[[#This Row],[Column13]] * IF($E$2="Deployment",deployment_raw[[#This Row],[Column5]],1)*(1+$Q$2)/1048576)),"")</f>
        <v/>
      </c>
      <c r="R870" s="169" t="str">
        <f>IF(ISNUMBER(deployment_raw[[#This Row],[Column8]]), (H870  * IF(N870&lt;&gt;0,$R$2,1)),"")</f>
        <v/>
      </c>
      <c r="S870" s="170" t="str">
        <f>IF(ISNUMBER(deployment_raw[[#This Row],[Column8]]), (I870  * IF(O870&lt;&gt;0,$S$2,1)),"")</f>
        <v/>
      </c>
      <c r="T870" s="202" t="str">
        <f>IF(AND(A870&lt;&gt;"",_xlfn.IFNA(MATCH(A870,'dynamic resource application '!$A$2:$A$100, 0),0)&lt;&gt;0), H870/(IF($E$2="Deployment",E870,1)),"")</f>
        <v/>
      </c>
      <c r="U870" s="211" t="str">
        <f>IF(AND(A870&lt;&gt;"",_xlfn.IFNA(MATCH(A870,'dynamic resource application '!$A$2:$A$100, 0),0)&lt;&gt;0), I870/(IF($E$2="Deployment",E870,1)),"")</f>
        <v/>
      </c>
    </row>
    <row r="871" spans="1:21" ht="15" customHeight="1" x14ac:dyDescent="0.25">
      <c r="A871" s="35" t="str">
        <f>IF(ISNONTEXT(deployment_raw[[#This Row],[Column1]]), "", deployment_raw[[#This Row],[Column1]])</f>
        <v/>
      </c>
      <c r="B871" s="36" t="str">
        <f>IF(ISNONTEXT(deployment_raw[[#This Row],[Column2]]), "", deployment_raw[[#This Row],[Column2]])</f>
        <v/>
      </c>
      <c r="C871" s="36" t="str">
        <f>IF(ISNONTEXT(deployment_raw[[#This Row],[Column3]]), "", deployment_raw[[#This Row],[Column3]])</f>
        <v/>
      </c>
      <c r="D871" s="36" t="str">
        <f>IF(ISNONTEXT(deployment_raw[[#This Row],[Column4]]), "", deployment_raw[[#This Row],[Column4]])</f>
        <v/>
      </c>
      <c r="E871" s="37" t="str">
        <f>IF(ISNUMBER(deployment_raw[[#This Row],[Column5]]), deployment_raw[[#This Row],[Column5]],"")</f>
        <v/>
      </c>
      <c r="F871" s="94" t="str">
        <f>IF(ISNUMBER(deployment_raw[[#This Row],[Column6]]), (deployment_raw[[#This Row],[Column6]] * IF($E$2="Deployment",deployment_raw[[#This Row],[Column5]],1)),"")</f>
        <v/>
      </c>
      <c r="G871" s="95" t="str">
        <f>IF(ISNUMBER(deployment_raw[[#This Row],[Column7]]), (deployment_raw[[#This Row],[Column7]] * IF($E$2="Deployment",deployment_raw[[#This Row],[Column5]],1))/1048576,"")</f>
        <v/>
      </c>
      <c r="H871" s="95" t="str">
        <f>IF(ISNUMBER(deployment_raw[[#This Row],[Column8]]), (deployment_raw[[#This Row],[Column8]]  * IF($E$2="Deployment",deployment_raw[[#This Row],[Column5]],1)),"")</f>
        <v/>
      </c>
      <c r="I871" s="96" t="str">
        <f>IF(ISNUMBER(deployment_raw[[#This Row],[Column9]]), (deployment_raw[[#This Row],[Column9]] * IF($E$2="Deployment",deployment_raw[[#This Row],[Column5]],1))/1048576,"")</f>
        <v/>
      </c>
      <c r="J871" s="122" t="str">
        <f>IF(ISNUMBER(deployment_raw[[#This Row],[Column10]]), (MIN(IF(N871&lt;&gt;"",N871,9999999999999)*1.1,deployment_raw[[#This Row],[Column10]] * IF($E$2="Deployment",deployment_raw[[#This Row],[Column5]],1))),"")</f>
        <v/>
      </c>
      <c r="K871" s="123" t="str">
        <f>IF(ISNUMBER(deployment_raw[[#This Row],[Column11]]), (MIN(IF(O871&lt;&gt;"",O871,9999999999999)*1.1,deployment_raw[[#This Row],[Column11]] * IF($E$2="Deployment",deployment_raw[[#This Row],[Column5]],1)/1048576)),"")</f>
        <v/>
      </c>
      <c r="L871" s="124" t="str">
        <f>IF(ISNUMBER(deployment_raw[[#This Row],[Column8]]),IF(OR(deployment_raw[[#This Row],[Column5]] &lt;&gt; 0,$E$2 &lt;&gt; "Deployment"), MAX(J871, P871, R871, ($L$2 * IF($E$2="Deployment",deployment_raw[[#This Row],[Column5]],1)),IF(T871&lt;&gt;"",VALUE(T871) * IF($E$2="Deployment",deployment_raw[[#This Row],[Column5]],1),0)), 0),"")</f>
        <v/>
      </c>
      <c r="M871" s="125" t="str">
        <f>IF(ISNUMBER(deployment_raw[[#This Row],[Column9]]),IF(OR(deployment_raw[[#This Row],[Column5]] &lt;&gt; 0,$E$2&lt;&gt;"Deployment"), MAX(K871, Q871, S871, ($M$2 * IF($E$2="Deployment",deployment_raw[[#This Row],[Column5]],1)),IF(U871&lt;&gt;"",VALUE(U871) * IF($E$2="Deployment",deployment_raw[[#This Row],[Column5]],1),0)), 0),"")</f>
        <v/>
      </c>
      <c r="N871" s="166" t="str">
        <f>IF(ISNUMBER(deployment_raw[[#This Row],[Column14]]), deployment_raw[[#This Row],[Column14]]/IF(OR($E$2="Deployment",deployment_raw[[#This Row],[Column5]]=0),1,deployment_raw[[#This Row],[Column5]]),"")</f>
        <v/>
      </c>
      <c r="O871" s="167" t="str">
        <f>IF(ISNUMBER(deployment_raw[[#This Row],[Column15]]), deployment_raw[[#This Row],[Column15]]/IF(OR($E$2="Deployment",deployment_raw[[#This Row],[Column5]]=0),1,deployment_raw[[#This Row],[Column5]])/1048576,"")</f>
        <v/>
      </c>
      <c r="P871" s="168" t="str">
        <f>IF(ISNUMBER(deployment_raw[[#This Row],[Column12]]), (MIN(IF(N871&lt;&gt;"",N871,9999999999999)*1.1,deployment_raw[[#This Row],[Column12]] * IF($E$2="Deployment",deployment_raw[[#This Row],[Column5]],1))*(1+$P$2)),"")</f>
        <v/>
      </c>
      <c r="Q871" s="167" t="str">
        <f>IF(ISNUMBER(deployment_raw[[#This Row],[Column13]]), (MIN(IF(O871&lt;&gt;"",O871,9999999999999)*1.1,deployment_raw[[#This Row],[Column13]] * IF($E$2="Deployment",deployment_raw[[#This Row],[Column5]],1)*(1+$Q$2)/1048576)),"")</f>
        <v/>
      </c>
      <c r="R871" s="169" t="str">
        <f>IF(ISNUMBER(deployment_raw[[#This Row],[Column8]]), (H871  * IF(N871&lt;&gt;0,$R$2,1)),"")</f>
        <v/>
      </c>
      <c r="S871" s="170" t="str">
        <f>IF(ISNUMBER(deployment_raw[[#This Row],[Column8]]), (I871  * IF(O871&lt;&gt;0,$S$2,1)),"")</f>
        <v/>
      </c>
      <c r="T871" s="202" t="str">
        <f>IF(AND(A871&lt;&gt;"",_xlfn.IFNA(MATCH(A871,'dynamic resource application '!$A$2:$A$100, 0),0)&lt;&gt;0), H871/(IF($E$2="Deployment",E871,1)),"")</f>
        <v/>
      </c>
      <c r="U871" s="211" t="str">
        <f>IF(AND(A871&lt;&gt;"",_xlfn.IFNA(MATCH(A871,'dynamic resource application '!$A$2:$A$100, 0),0)&lt;&gt;0), I871/(IF($E$2="Deployment",E871,1)),"")</f>
        <v/>
      </c>
    </row>
    <row r="872" spans="1:21" ht="15" customHeight="1" x14ac:dyDescent="0.25">
      <c r="A872" s="35" t="str">
        <f>IF(ISNONTEXT(deployment_raw[[#This Row],[Column1]]), "", deployment_raw[[#This Row],[Column1]])</f>
        <v/>
      </c>
      <c r="B872" s="36" t="str">
        <f>IF(ISNONTEXT(deployment_raw[[#This Row],[Column2]]), "", deployment_raw[[#This Row],[Column2]])</f>
        <v/>
      </c>
      <c r="C872" s="36" t="str">
        <f>IF(ISNONTEXT(deployment_raw[[#This Row],[Column3]]), "", deployment_raw[[#This Row],[Column3]])</f>
        <v/>
      </c>
      <c r="D872" s="36" t="str">
        <f>IF(ISNONTEXT(deployment_raw[[#This Row],[Column4]]), "", deployment_raw[[#This Row],[Column4]])</f>
        <v/>
      </c>
      <c r="E872" s="37" t="str">
        <f>IF(ISNUMBER(deployment_raw[[#This Row],[Column5]]), deployment_raw[[#This Row],[Column5]],"")</f>
        <v/>
      </c>
      <c r="F872" s="94" t="str">
        <f>IF(ISNUMBER(deployment_raw[[#This Row],[Column6]]), (deployment_raw[[#This Row],[Column6]] * IF($E$2="Deployment",deployment_raw[[#This Row],[Column5]],1)),"")</f>
        <v/>
      </c>
      <c r="G872" s="95" t="str">
        <f>IF(ISNUMBER(deployment_raw[[#This Row],[Column7]]), (deployment_raw[[#This Row],[Column7]] * IF($E$2="Deployment",deployment_raw[[#This Row],[Column5]],1))/1048576,"")</f>
        <v/>
      </c>
      <c r="H872" s="95" t="str">
        <f>IF(ISNUMBER(deployment_raw[[#This Row],[Column8]]), (deployment_raw[[#This Row],[Column8]]  * IF($E$2="Deployment",deployment_raw[[#This Row],[Column5]],1)),"")</f>
        <v/>
      </c>
      <c r="I872" s="96" t="str">
        <f>IF(ISNUMBER(deployment_raw[[#This Row],[Column9]]), (deployment_raw[[#This Row],[Column9]] * IF($E$2="Deployment",deployment_raw[[#This Row],[Column5]],1))/1048576,"")</f>
        <v/>
      </c>
      <c r="J872" s="122" t="str">
        <f>IF(ISNUMBER(deployment_raw[[#This Row],[Column10]]), (MIN(IF(N872&lt;&gt;"",N872,9999999999999)*1.1,deployment_raw[[#This Row],[Column10]] * IF($E$2="Deployment",deployment_raw[[#This Row],[Column5]],1))),"")</f>
        <v/>
      </c>
      <c r="K872" s="123" t="str">
        <f>IF(ISNUMBER(deployment_raw[[#This Row],[Column11]]), (MIN(IF(O872&lt;&gt;"",O872,9999999999999)*1.1,deployment_raw[[#This Row],[Column11]] * IF($E$2="Deployment",deployment_raw[[#This Row],[Column5]],1)/1048576)),"")</f>
        <v/>
      </c>
      <c r="L872" s="124" t="str">
        <f>IF(ISNUMBER(deployment_raw[[#This Row],[Column8]]),IF(OR(deployment_raw[[#This Row],[Column5]] &lt;&gt; 0,$E$2 &lt;&gt; "Deployment"), MAX(J872, P872, R872, ($L$2 * IF($E$2="Deployment",deployment_raw[[#This Row],[Column5]],1)),IF(T872&lt;&gt;"",VALUE(T872) * IF($E$2="Deployment",deployment_raw[[#This Row],[Column5]],1),0)), 0),"")</f>
        <v/>
      </c>
      <c r="M872" s="125" t="str">
        <f>IF(ISNUMBER(deployment_raw[[#This Row],[Column9]]),IF(OR(deployment_raw[[#This Row],[Column5]] &lt;&gt; 0,$E$2&lt;&gt;"Deployment"), MAX(K872, Q872, S872, ($M$2 * IF($E$2="Deployment",deployment_raw[[#This Row],[Column5]],1)),IF(U872&lt;&gt;"",VALUE(U872) * IF($E$2="Deployment",deployment_raw[[#This Row],[Column5]],1),0)), 0),"")</f>
        <v/>
      </c>
      <c r="N872" s="166" t="str">
        <f>IF(ISNUMBER(deployment_raw[[#This Row],[Column14]]), deployment_raw[[#This Row],[Column14]]/IF(OR($E$2="Deployment",deployment_raw[[#This Row],[Column5]]=0),1,deployment_raw[[#This Row],[Column5]]),"")</f>
        <v/>
      </c>
      <c r="O872" s="167" t="str">
        <f>IF(ISNUMBER(deployment_raw[[#This Row],[Column15]]), deployment_raw[[#This Row],[Column15]]/IF(OR($E$2="Deployment",deployment_raw[[#This Row],[Column5]]=0),1,deployment_raw[[#This Row],[Column5]])/1048576,"")</f>
        <v/>
      </c>
      <c r="P872" s="168" t="str">
        <f>IF(ISNUMBER(deployment_raw[[#This Row],[Column12]]), (MIN(IF(N872&lt;&gt;"",N872,9999999999999)*1.1,deployment_raw[[#This Row],[Column12]] * IF($E$2="Deployment",deployment_raw[[#This Row],[Column5]],1))*(1+$P$2)),"")</f>
        <v/>
      </c>
      <c r="Q872" s="167" t="str">
        <f>IF(ISNUMBER(deployment_raw[[#This Row],[Column13]]), (MIN(IF(O872&lt;&gt;"",O872,9999999999999)*1.1,deployment_raw[[#This Row],[Column13]] * IF($E$2="Deployment",deployment_raw[[#This Row],[Column5]],1)*(1+$Q$2)/1048576)),"")</f>
        <v/>
      </c>
      <c r="R872" s="169" t="str">
        <f>IF(ISNUMBER(deployment_raw[[#This Row],[Column8]]), (H872  * IF(N872&lt;&gt;0,$R$2,1)),"")</f>
        <v/>
      </c>
      <c r="S872" s="170" t="str">
        <f>IF(ISNUMBER(deployment_raw[[#This Row],[Column8]]), (I872  * IF(O872&lt;&gt;0,$S$2,1)),"")</f>
        <v/>
      </c>
      <c r="T872" s="202" t="str">
        <f>IF(AND(A872&lt;&gt;"",_xlfn.IFNA(MATCH(A872,'dynamic resource application '!$A$2:$A$100, 0),0)&lt;&gt;0), H872/(IF($E$2="Deployment",E872,1)),"")</f>
        <v/>
      </c>
      <c r="U872" s="211" t="str">
        <f>IF(AND(A872&lt;&gt;"",_xlfn.IFNA(MATCH(A872,'dynamic resource application '!$A$2:$A$100, 0),0)&lt;&gt;0), I872/(IF($E$2="Deployment",E872,1)),"")</f>
        <v/>
      </c>
    </row>
    <row r="873" spans="1:21" ht="15" customHeight="1" x14ac:dyDescent="0.25">
      <c r="A873" s="35" t="str">
        <f>IF(ISNONTEXT(deployment_raw[[#This Row],[Column1]]), "", deployment_raw[[#This Row],[Column1]])</f>
        <v/>
      </c>
      <c r="B873" s="36" t="str">
        <f>IF(ISNONTEXT(deployment_raw[[#This Row],[Column2]]), "", deployment_raw[[#This Row],[Column2]])</f>
        <v/>
      </c>
      <c r="C873" s="36" t="str">
        <f>IF(ISNONTEXT(deployment_raw[[#This Row],[Column3]]), "", deployment_raw[[#This Row],[Column3]])</f>
        <v/>
      </c>
      <c r="D873" s="36" t="str">
        <f>IF(ISNONTEXT(deployment_raw[[#This Row],[Column4]]), "", deployment_raw[[#This Row],[Column4]])</f>
        <v/>
      </c>
      <c r="E873" s="37" t="str">
        <f>IF(ISNUMBER(deployment_raw[[#This Row],[Column5]]), deployment_raw[[#This Row],[Column5]],"")</f>
        <v/>
      </c>
      <c r="F873" s="94" t="str">
        <f>IF(ISNUMBER(deployment_raw[[#This Row],[Column6]]), (deployment_raw[[#This Row],[Column6]] * IF($E$2="Deployment",deployment_raw[[#This Row],[Column5]],1)),"")</f>
        <v/>
      </c>
      <c r="G873" s="95" t="str">
        <f>IF(ISNUMBER(deployment_raw[[#This Row],[Column7]]), (deployment_raw[[#This Row],[Column7]] * IF($E$2="Deployment",deployment_raw[[#This Row],[Column5]],1))/1048576,"")</f>
        <v/>
      </c>
      <c r="H873" s="95" t="str">
        <f>IF(ISNUMBER(deployment_raw[[#This Row],[Column8]]), (deployment_raw[[#This Row],[Column8]]  * IF($E$2="Deployment",deployment_raw[[#This Row],[Column5]],1)),"")</f>
        <v/>
      </c>
      <c r="I873" s="96" t="str">
        <f>IF(ISNUMBER(deployment_raw[[#This Row],[Column9]]), (deployment_raw[[#This Row],[Column9]] * IF($E$2="Deployment",deployment_raw[[#This Row],[Column5]],1))/1048576,"")</f>
        <v/>
      </c>
      <c r="J873" s="122" t="str">
        <f>IF(ISNUMBER(deployment_raw[[#This Row],[Column10]]), (MIN(IF(N873&lt;&gt;"",N873,9999999999999)*1.1,deployment_raw[[#This Row],[Column10]] * IF($E$2="Deployment",deployment_raw[[#This Row],[Column5]],1))),"")</f>
        <v/>
      </c>
      <c r="K873" s="123" t="str">
        <f>IF(ISNUMBER(deployment_raw[[#This Row],[Column11]]), (MIN(IF(O873&lt;&gt;"",O873,9999999999999)*1.1,deployment_raw[[#This Row],[Column11]] * IF($E$2="Deployment",deployment_raw[[#This Row],[Column5]],1)/1048576)),"")</f>
        <v/>
      </c>
      <c r="L873" s="124" t="str">
        <f>IF(ISNUMBER(deployment_raw[[#This Row],[Column8]]),IF(OR(deployment_raw[[#This Row],[Column5]] &lt;&gt; 0,$E$2 &lt;&gt; "Deployment"), MAX(J873, P873, R873, ($L$2 * IF($E$2="Deployment",deployment_raw[[#This Row],[Column5]],1)),IF(T873&lt;&gt;"",VALUE(T873) * IF($E$2="Deployment",deployment_raw[[#This Row],[Column5]],1),0)), 0),"")</f>
        <v/>
      </c>
      <c r="M873" s="125" t="str">
        <f>IF(ISNUMBER(deployment_raw[[#This Row],[Column9]]),IF(OR(deployment_raw[[#This Row],[Column5]] &lt;&gt; 0,$E$2&lt;&gt;"Deployment"), MAX(K873, Q873, S873, ($M$2 * IF($E$2="Deployment",deployment_raw[[#This Row],[Column5]],1)),IF(U873&lt;&gt;"",VALUE(U873) * IF($E$2="Deployment",deployment_raw[[#This Row],[Column5]],1),0)), 0),"")</f>
        <v/>
      </c>
      <c r="N873" s="166" t="str">
        <f>IF(ISNUMBER(deployment_raw[[#This Row],[Column14]]), deployment_raw[[#This Row],[Column14]]/IF(OR($E$2="Deployment",deployment_raw[[#This Row],[Column5]]=0),1,deployment_raw[[#This Row],[Column5]]),"")</f>
        <v/>
      </c>
      <c r="O873" s="167" t="str">
        <f>IF(ISNUMBER(deployment_raw[[#This Row],[Column15]]), deployment_raw[[#This Row],[Column15]]/IF(OR($E$2="Deployment",deployment_raw[[#This Row],[Column5]]=0),1,deployment_raw[[#This Row],[Column5]])/1048576,"")</f>
        <v/>
      </c>
      <c r="P873" s="168" t="str">
        <f>IF(ISNUMBER(deployment_raw[[#This Row],[Column12]]), (MIN(IF(N873&lt;&gt;"",N873,9999999999999)*1.1,deployment_raw[[#This Row],[Column12]] * IF($E$2="Deployment",deployment_raw[[#This Row],[Column5]],1))*(1+$P$2)),"")</f>
        <v/>
      </c>
      <c r="Q873" s="167" t="str">
        <f>IF(ISNUMBER(deployment_raw[[#This Row],[Column13]]), (MIN(IF(O873&lt;&gt;"",O873,9999999999999)*1.1,deployment_raw[[#This Row],[Column13]] * IF($E$2="Deployment",deployment_raw[[#This Row],[Column5]],1)*(1+$Q$2)/1048576)),"")</f>
        <v/>
      </c>
      <c r="R873" s="169" t="str">
        <f>IF(ISNUMBER(deployment_raw[[#This Row],[Column8]]), (H873  * IF(N873&lt;&gt;0,$R$2,1)),"")</f>
        <v/>
      </c>
      <c r="S873" s="170" t="str">
        <f>IF(ISNUMBER(deployment_raw[[#This Row],[Column8]]), (I873  * IF(O873&lt;&gt;0,$S$2,1)),"")</f>
        <v/>
      </c>
      <c r="T873" s="202" t="str">
        <f>IF(AND(A873&lt;&gt;"",_xlfn.IFNA(MATCH(A873,'dynamic resource application '!$A$2:$A$100, 0),0)&lt;&gt;0), H873/(IF($E$2="Deployment",E873,1)),"")</f>
        <v/>
      </c>
      <c r="U873" s="211" t="str">
        <f>IF(AND(A873&lt;&gt;"",_xlfn.IFNA(MATCH(A873,'dynamic resource application '!$A$2:$A$100, 0),0)&lt;&gt;0), I873/(IF($E$2="Deployment",E873,1)),"")</f>
        <v/>
      </c>
    </row>
    <row r="874" spans="1:21" ht="15" customHeight="1" x14ac:dyDescent="0.25">
      <c r="A874" s="35" t="str">
        <f>IF(ISNONTEXT(deployment_raw[[#This Row],[Column1]]), "", deployment_raw[[#This Row],[Column1]])</f>
        <v/>
      </c>
      <c r="B874" s="36" t="str">
        <f>IF(ISNONTEXT(deployment_raw[[#This Row],[Column2]]), "", deployment_raw[[#This Row],[Column2]])</f>
        <v/>
      </c>
      <c r="C874" s="36" t="str">
        <f>IF(ISNONTEXT(deployment_raw[[#This Row],[Column3]]), "", deployment_raw[[#This Row],[Column3]])</f>
        <v/>
      </c>
      <c r="D874" s="36" t="str">
        <f>IF(ISNONTEXT(deployment_raw[[#This Row],[Column4]]), "", deployment_raw[[#This Row],[Column4]])</f>
        <v/>
      </c>
      <c r="E874" s="37" t="str">
        <f>IF(ISNUMBER(deployment_raw[[#This Row],[Column5]]), deployment_raw[[#This Row],[Column5]],"")</f>
        <v/>
      </c>
      <c r="F874" s="94" t="str">
        <f>IF(ISNUMBER(deployment_raw[[#This Row],[Column6]]), (deployment_raw[[#This Row],[Column6]] * IF($E$2="Deployment",deployment_raw[[#This Row],[Column5]],1)),"")</f>
        <v/>
      </c>
      <c r="G874" s="95" t="str">
        <f>IF(ISNUMBER(deployment_raw[[#This Row],[Column7]]), (deployment_raw[[#This Row],[Column7]] * IF($E$2="Deployment",deployment_raw[[#This Row],[Column5]],1))/1048576,"")</f>
        <v/>
      </c>
      <c r="H874" s="95" t="str">
        <f>IF(ISNUMBER(deployment_raw[[#This Row],[Column8]]), (deployment_raw[[#This Row],[Column8]]  * IF($E$2="Deployment",deployment_raw[[#This Row],[Column5]],1)),"")</f>
        <v/>
      </c>
      <c r="I874" s="96" t="str">
        <f>IF(ISNUMBER(deployment_raw[[#This Row],[Column9]]), (deployment_raw[[#This Row],[Column9]] * IF($E$2="Deployment",deployment_raw[[#This Row],[Column5]],1))/1048576,"")</f>
        <v/>
      </c>
      <c r="J874" s="122" t="str">
        <f>IF(ISNUMBER(deployment_raw[[#This Row],[Column10]]), (MIN(IF(N874&lt;&gt;"",N874,9999999999999)*1.1,deployment_raw[[#This Row],[Column10]] * IF($E$2="Deployment",deployment_raw[[#This Row],[Column5]],1))),"")</f>
        <v/>
      </c>
      <c r="K874" s="123" t="str">
        <f>IF(ISNUMBER(deployment_raw[[#This Row],[Column11]]), (MIN(IF(O874&lt;&gt;"",O874,9999999999999)*1.1,deployment_raw[[#This Row],[Column11]] * IF($E$2="Deployment",deployment_raw[[#This Row],[Column5]],1)/1048576)),"")</f>
        <v/>
      </c>
      <c r="L874" s="124" t="str">
        <f>IF(ISNUMBER(deployment_raw[[#This Row],[Column8]]),IF(OR(deployment_raw[[#This Row],[Column5]] &lt;&gt; 0,$E$2 &lt;&gt; "Deployment"), MAX(J874, P874, R874, ($L$2 * IF($E$2="Deployment",deployment_raw[[#This Row],[Column5]],1)),IF(T874&lt;&gt;"",VALUE(T874) * IF($E$2="Deployment",deployment_raw[[#This Row],[Column5]],1),0)), 0),"")</f>
        <v/>
      </c>
      <c r="M874" s="125" t="str">
        <f>IF(ISNUMBER(deployment_raw[[#This Row],[Column9]]),IF(OR(deployment_raw[[#This Row],[Column5]] &lt;&gt; 0,$E$2&lt;&gt;"Deployment"), MAX(K874, Q874, S874, ($M$2 * IF($E$2="Deployment",deployment_raw[[#This Row],[Column5]],1)),IF(U874&lt;&gt;"",VALUE(U874) * IF($E$2="Deployment",deployment_raw[[#This Row],[Column5]],1),0)), 0),"")</f>
        <v/>
      </c>
      <c r="N874" s="166" t="str">
        <f>IF(ISNUMBER(deployment_raw[[#This Row],[Column14]]), deployment_raw[[#This Row],[Column14]]/IF(OR($E$2="Deployment",deployment_raw[[#This Row],[Column5]]=0),1,deployment_raw[[#This Row],[Column5]]),"")</f>
        <v/>
      </c>
      <c r="O874" s="167" t="str">
        <f>IF(ISNUMBER(deployment_raw[[#This Row],[Column15]]), deployment_raw[[#This Row],[Column15]]/IF(OR($E$2="Deployment",deployment_raw[[#This Row],[Column5]]=0),1,deployment_raw[[#This Row],[Column5]])/1048576,"")</f>
        <v/>
      </c>
      <c r="P874" s="168" t="str">
        <f>IF(ISNUMBER(deployment_raw[[#This Row],[Column12]]), (MIN(IF(N874&lt;&gt;"",N874,9999999999999)*1.1,deployment_raw[[#This Row],[Column12]] * IF($E$2="Deployment",deployment_raw[[#This Row],[Column5]],1))*(1+$P$2)),"")</f>
        <v/>
      </c>
      <c r="Q874" s="167" t="str">
        <f>IF(ISNUMBER(deployment_raw[[#This Row],[Column13]]), (MIN(IF(O874&lt;&gt;"",O874,9999999999999)*1.1,deployment_raw[[#This Row],[Column13]] * IF($E$2="Deployment",deployment_raw[[#This Row],[Column5]],1)*(1+$Q$2)/1048576)),"")</f>
        <v/>
      </c>
      <c r="R874" s="169" t="str">
        <f>IF(ISNUMBER(deployment_raw[[#This Row],[Column8]]), (H874  * IF(N874&lt;&gt;0,$R$2,1)),"")</f>
        <v/>
      </c>
      <c r="S874" s="170" t="str">
        <f>IF(ISNUMBER(deployment_raw[[#This Row],[Column8]]), (I874  * IF(O874&lt;&gt;0,$S$2,1)),"")</f>
        <v/>
      </c>
      <c r="T874" s="202" t="str">
        <f>IF(AND(A874&lt;&gt;"",_xlfn.IFNA(MATCH(A874,'dynamic resource application '!$A$2:$A$100, 0),0)&lt;&gt;0), H874/(IF($E$2="Deployment",E874,1)),"")</f>
        <v/>
      </c>
      <c r="U874" s="211" t="str">
        <f>IF(AND(A874&lt;&gt;"",_xlfn.IFNA(MATCH(A874,'dynamic resource application '!$A$2:$A$100, 0),0)&lt;&gt;0), I874/(IF($E$2="Deployment",E874,1)),"")</f>
        <v/>
      </c>
    </row>
    <row r="875" spans="1:21" ht="15" customHeight="1" x14ac:dyDescent="0.25">
      <c r="A875" s="35" t="str">
        <f>IF(ISNONTEXT(deployment_raw[[#This Row],[Column1]]), "", deployment_raw[[#This Row],[Column1]])</f>
        <v/>
      </c>
      <c r="B875" s="36" t="str">
        <f>IF(ISNONTEXT(deployment_raw[[#This Row],[Column2]]), "", deployment_raw[[#This Row],[Column2]])</f>
        <v/>
      </c>
      <c r="C875" s="36" t="str">
        <f>IF(ISNONTEXT(deployment_raw[[#This Row],[Column3]]), "", deployment_raw[[#This Row],[Column3]])</f>
        <v/>
      </c>
      <c r="D875" s="36" t="str">
        <f>IF(ISNONTEXT(deployment_raw[[#This Row],[Column4]]), "", deployment_raw[[#This Row],[Column4]])</f>
        <v/>
      </c>
      <c r="E875" s="37" t="str">
        <f>IF(ISNUMBER(deployment_raw[[#This Row],[Column5]]), deployment_raw[[#This Row],[Column5]],"")</f>
        <v/>
      </c>
      <c r="F875" s="94" t="str">
        <f>IF(ISNUMBER(deployment_raw[[#This Row],[Column6]]), (deployment_raw[[#This Row],[Column6]] * IF($E$2="Deployment",deployment_raw[[#This Row],[Column5]],1)),"")</f>
        <v/>
      </c>
      <c r="G875" s="95" t="str">
        <f>IF(ISNUMBER(deployment_raw[[#This Row],[Column7]]), (deployment_raw[[#This Row],[Column7]] * IF($E$2="Deployment",deployment_raw[[#This Row],[Column5]],1))/1048576,"")</f>
        <v/>
      </c>
      <c r="H875" s="95" t="str">
        <f>IF(ISNUMBER(deployment_raw[[#This Row],[Column8]]), (deployment_raw[[#This Row],[Column8]]  * IF($E$2="Deployment",deployment_raw[[#This Row],[Column5]],1)),"")</f>
        <v/>
      </c>
      <c r="I875" s="96" t="str">
        <f>IF(ISNUMBER(deployment_raw[[#This Row],[Column9]]), (deployment_raw[[#This Row],[Column9]] * IF($E$2="Deployment",deployment_raw[[#This Row],[Column5]],1))/1048576,"")</f>
        <v/>
      </c>
      <c r="J875" s="122" t="str">
        <f>IF(ISNUMBER(deployment_raw[[#This Row],[Column10]]), (MIN(IF(N875&lt;&gt;"",N875,9999999999999)*1.1,deployment_raw[[#This Row],[Column10]] * IF($E$2="Deployment",deployment_raw[[#This Row],[Column5]],1))),"")</f>
        <v/>
      </c>
      <c r="K875" s="123" t="str">
        <f>IF(ISNUMBER(deployment_raw[[#This Row],[Column11]]), (MIN(IF(O875&lt;&gt;"",O875,9999999999999)*1.1,deployment_raw[[#This Row],[Column11]] * IF($E$2="Deployment",deployment_raw[[#This Row],[Column5]],1)/1048576)),"")</f>
        <v/>
      </c>
      <c r="L875" s="124" t="str">
        <f>IF(ISNUMBER(deployment_raw[[#This Row],[Column8]]),IF(OR(deployment_raw[[#This Row],[Column5]] &lt;&gt; 0,$E$2 &lt;&gt; "Deployment"), MAX(J875, P875, R875, ($L$2 * IF($E$2="Deployment",deployment_raw[[#This Row],[Column5]],1)),IF(T875&lt;&gt;"",VALUE(T875) * IF($E$2="Deployment",deployment_raw[[#This Row],[Column5]],1),0)), 0),"")</f>
        <v/>
      </c>
      <c r="M875" s="125" t="str">
        <f>IF(ISNUMBER(deployment_raw[[#This Row],[Column9]]),IF(OR(deployment_raw[[#This Row],[Column5]] &lt;&gt; 0,$E$2&lt;&gt;"Deployment"), MAX(K875, Q875, S875, ($M$2 * IF($E$2="Deployment",deployment_raw[[#This Row],[Column5]],1)),IF(U875&lt;&gt;"",VALUE(U875) * IF($E$2="Deployment",deployment_raw[[#This Row],[Column5]],1),0)), 0),"")</f>
        <v/>
      </c>
      <c r="N875" s="166" t="str">
        <f>IF(ISNUMBER(deployment_raw[[#This Row],[Column14]]), deployment_raw[[#This Row],[Column14]]/IF(OR($E$2="Deployment",deployment_raw[[#This Row],[Column5]]=0),1,deployment_raw[[#This Row],[Column5]]),"")</f>
        <v/>
      </c>
      <c r="O875" s="167" t="str">
        <f>IF(ISNUMBER(deployment_raw[[#This Row],[Column15]]), deployment_raw[[#This Row],[Column15]]/IF(OR($E$2="Deployment",deployment_raw[[#This Row],[Column5]]=0),1,deployment_raw[[#This Row],[Column5]])/1048576,"")</f>
        <v/>
      </c>
      <c r="P875" s="168" t="str">
        <f>IF(ISNUMBER(deployment_raw[[#This Row],[Column12]]), (MIN(IF(N875&lt;&gt;"",N875,9999999999999)*1.1,deployment_raw[[#This Row],[Column12]] * IF($E$2="Deployment",deployment_raw[[#This Row],[Column5]],1))*(1+$P$2)),"")</f>
        <v/>
      </c>
      <c r="Q875" s="167" t="str">
        <f>IF(ISNUMBER(deployment_raw[[#This Row],[Column13]]), (MIN(IF(O875&lt;&gt;"",O875,9999999999999)*1.1,deployment_raw[[#This Row],[Column13]] * IF($E$2="Deployment",deployment_raw[[#This Row],[Column5]],1)*(1+$Q$2)/1048576)),"")</f>
        <v/>
      </c>
      <c r="R875" s="169" t="str">
        <f>IF(ISNUMBER(deployment_raw[[#This Row],[Column8]]), (H875  * IF(N875&lt;&gt;0,$R$2,1)),"")</f>
        <v/>
      </c>
      <c r="S875" s="170" t="str">
        <f>IF(ISNUMBER(deployment_raw[[#This Row],[Column8]]), (I875  * IF(O875&lt;&gt;0,$S$2,1)),"")</f>
        <v/>
      </c>
      <c r="T875" s="202" t="str">
        <f>IF(AND(A875&lt;&gt;"",_xlfn.IFNA(MATCH(A875,'dynamic resource application '!$A$2:$A$100, 0),0)&lt;&gt;0), H875/(IF($E$2="Deployment",E875,1)),"")</f>
        <v/>
      </c>
      <c r="U875" s="211" t="str">
        <f>IF(AND(A875&lt;&gt;"",_xlfn.IFNA(MATCH(A875,'dynamic resource application '!$A$2:$A$100, 0),0)&lt;&gt;0), I875/(IF($E$2="Deployment",E875,1)),"")</f>
        <v/>
      </c>
    </row>
    <row r="876" spans="1:21" ht="15" customHeight="1" x14ac:dyDescent="0.25">
      <c r="A876" s="35" t="str">
        <f>IF(ISNONTEXT(deployment_raw[[#This Row],[Column1]]), "", deployment_raw[[#This Row],[Column1]])</f>
        <v/>
      </c>
      <c r="B876" s="36" t="str">
        <f>IF(ISNONTEXT(deployment_raw[[#This Row],[Column2]]), "", deployment_raw[[#This Row],[Column2]])</f>
        <v/>
      </c>
      <c r="C876" s="36" t="str">
        <f>IF(ISNONTEXT(deployment_raw[[#This Row],[Column3]]), "", deployment_raw[[#This Row],[Column3]])</f>
        <v/>
      </c>
      <c r="D876" s="36" t="str">
        <f>IF(ISNONTEXT(deployment_raw[[#This Row],[Column4]]), "", deployment_raw[[#This Row],[Column4]])</f>
        <v/>
      </c>
      <c r="E876" s="37" t="str">
        <f>IF(ISNUMBER(deployment_raw[[#This Row],[Column5]]), deployment_raw[[#This Row],[Column5]],"")</f>
        <v/>
      </c>
      <c r="F876" s="94" t="str">
        <f>IF(ISNUMBER(deployment_raw[[#This Row],[Column6]]), (deployment_raw[[#This Row],[Column6]] * IF($E$2="Deployment",deployment_raw[[#This Row],[Column5]],1)),"")</f>
        <v/>
      </c>
      <c r="G876" s="95" t="str">
        <f>IF(ISNUMBER(deployment_raw[[#This Row],[Column7]]), (deployment_raw[[#This Row],[Column7]] * IF($E$2="Deployment",deployment_raw[[#This Row],[Column5]],1))/1048576,"")</f>
        <v/>
      </c>
      <c r="H876" s="95" t="str">
        <f>IF(ISNUMBER(deployment_raw[[#This Row],[Column8]]), (deployment_raw[[#This Row],[Column8]]  * IF($E$2="Deployment",deployment_raw[[#This Row],[Column5]],1)),"")</f>
        <v/>
      </c>
      <c r="I876" s="96" t="str">
        <f>IF(ISNUMBER(deployment_raw[[#This Row],[Column9]]), (deployment_raw[[#This Row],[Column9]] * IF($E$2="Deployment",deployment_raw[[#This Row],[Column5]],1))/1048576,"")</f>
        <v/>
      </c>
      <c r="J876" s="122" t="str">
        <f>IF(ISNUMBER(deployment_raw[[#This Row],[Column10]]), (MIN(IF(N876&lt;&gt;"",N876,9999999999999)*1.1,deployment_raw[[#This Row],[Column10]] * IF($E$2="Deployment",deployment_raw[[#This Row],[Column5]],1))),"")</f>
        <v/>
      </c>
      <c r="K876" s="123" t="str">
        <f>IF(ISNUMBER(deployment_raw[[#This Row],[Column11]]), (MIN(IF(O876&lt;&gt;"",O876,9999999999999)*1.1,deployment_raw[[#This Row],[Column11]] * IF($E$2="Deployment",deployment_raw[[#This Row],[Column5]],1)/1048576)),"")</f>
        <v/>
      </c>
      <c r="L876" s="124" t="str">
        <f>IF(ISNUMBER(deployment_raw[[#This Row],[Column8]]),IF(OR(deployment_raw[[#This Row],[Column5]] &lt;&gt; 0,$E$2 &lt;&gt; "Deployment"), MAX(J876, P876, R876, ($L$2 * IF($E$2="Deployment",deployment_raw[[#This Row],[Column5]],1)),IF(T876&lt;&gt;"",VALUE(T876) * IF($E$2="Deployment",deployment_raw[[#This Row],[Column5]],1),0)), 0),"")</f>
        <v/>
      </c>
      <c r="M876" s="125" t="str">
        <f>IF(ISNUMBER(deployment_raw[[#This Row],[Column9]]),IF(OR(deployment_raw[[#This Row],[Column5]] &lt;&gt; 0,$E$2&lt;&gt;"Deployment"), MAX(K876, Q876, S876, ($M$2 * IF($E$2="Deployment",deployment_raw[[#This Row],[Column5]],1)),IF(U876&lt;&gt;"",VALUE(U876) * IF($E$2="Deployment",deployment_raw[[#This Row],[Column5]],1),0)), 0),"")</f>
        <v/>
      </c>
      <c r="N876" s="166" t="str">
        <f>IF(ISNUMBER(deployment_raw[[#This Row],[Column14]]), deployment_raw[[#This Row],[Column14]]/IF(OR($E$2="Deployment",deployment_raw[[#This Row],[Column5]]=0),1,deployment_raw[[#This Row],[Column5]]),"")</f>
        <v/>
      </c>
      <c r="O876" s="167" t="str">
        <f>IF(ISNUMBER(deployment_raw[[#This Row],[Column15]]), deployment_raw[[#This Row],[Column15]]/IF(OR($E$2="Deployment",deployment_raw[[#This Row],[Column5]]=0),1,deployment_raw[[#This Row],[Column5]])/1048576,"")</f>
        <v/>
      </c>
      <c r="P876" s="168" t="str">
        <f>IF(ISNUMBER(deployment_raw[[#This Row],[Column12]]), (MIN(IF(N876&lt;&gt;"",N876,9999999999999)*1.1,deployment_raw[[#This Row],[Column12]] * IF($E$2="Deployment",deployment_raw[[#This Row],[Column5]],1))*(1+$P$2)),"")</f>
        <v/>
      </c>
      <c r="Q876" s="167" t="str">
        <f>IF(ISNUMBER(deployment_raw[[#This Row],[Column13]]), (MIN(IF(O876&lt;&gt;"",O876,9999999999999)*1.1,deployment_raw[[#This Row],[Column13]] * IF($E$2="Deployment",deployment_raw[[#This Row],[Column5]],1)*(1+$Q$2)/1048576)),"")</f>
        <v/>
      </c>
      <c r="R876" s="169" t="str">
        <f>IF(ISNUMBER(deployment_raw[[#This Row],[Column8]]), (H876  * IF(N876&lt;&gt;0,$R$2,1)),"")</f>
        <v/>
      </c>
      <c r="S876" s="170" t="str">
        <f>IF(ISNUMBER(deployment_raw[[#This Row],[Column8]]), (I876  * IF(O876&lt;&gt;0,$S$2,1)),"")</f>
        <v/>
      </c>
      <c r="T876" s="202" t="str">
        <f>IF(AND(A876&lt;&gt;"",_xlfn.IFNA(MATCH(A876,'dynamic resource application '!$A$2:$A$100, 0),0)&lt;&gt;0), H876/(IF($E$2="Deployment",E876,1)),"")</f>
        <v/>
      </c>
      <c r="U876" s="211" t="str">
        <f>IF(AND(A876&lt;&gt;"",_xlfn.IFNA(MATCH(A876,'dynamic resource application '!$A$2:$A$100, 0),0)&lt;&gt;0), I876/(IF($E$2="Deployment",E876,1)),"")</f>
        <v/>
      </c>
    </row>
    <row r="877" spans="1:21" ht="15" customHeight="1" x14ac:dyDescent="0.25">
      <c r="A877" s="35" t="str">
        <f>IF(ISNONTEXT(deployment_raw[[#This Row],[Column1]]), "", deployment_raw[[#This Row],[Column1]])</f>
        <v/>
      </c>
      <c r="B877" s="36" t="str">
        <f>IF(ISNONTEXT(deployment_raw[[#This Row],[Column2]]), "", deployment_raw[[#This Row],[Column2]])</f>
        <v/>
      </c>
      <c r="C877" s="36" t="str">
        <f>IF(ISNONTEXT(deployment_raw[[#This Row],[Column3]]), "", deployment_raw[[#This Row],[Column3]])</f>
        <v/>
      </c>
      <c r="D877" s="36" t="str">
        <f>IF(ISNONTEXT(deployment_raw[[#This Row],[Column4]]), "", deployment_raw[[#This Row],[Column4]])</f>
        <v/>
      </c>
      <c r="E877" s="37" t="str">
        <f>IF(ISNUMBER(deployment_raw[[#This Row],[Column5]]), deployment_raw[[#This Row],[Column5]],"")</f>
        <v/>
      </c>
      <c r="F877" s="94" t="str">
        <f>IF(ISNUMBER(deployment_raw[[#This Row],[Column6]]), (deployment_raw[[#This Row],[Column6]] * IF($E$2="Deployment",deployment_raw[[#This Row],[Column5]],1)),"")</f>
        <v/>
      </c>
      <c r="G877" s="95" t="str">
        <f>IF(ISNUMBER(deployment_raw[[#This Row],[Column7]]), (deployment_raw[[#This Row],[Column7]] * IF($E$2="Deployment",deployment_raw[[#This Row],[Column5]],1))/1048576,"")</f>
        <v/>
      </c>
      <c r="H877" s="95" t="str">
        <f>IF(ISNUMBER(deployment_raw[[#This Row],[Column8]]), (deployment_raw[[#This Row],[Column8]]  * IF($E$2="Deployment",deployment_raw[[#This Row],[Column5]],1)),"")</f>
        <v/>
      </c>
      <c r="I877" s="96" t="str">
        <f>IF(ISNUMBER(deployment_raw[[#This Row],[Column9]]), (deployment_raw[[#This Row],[Column9]] * IF($E$2="Deployment",deployment_raw[[#This Row],[Column5]],1))/1048576,"")</f>
        <v/>
      </c>
      <c r="J877" s="122" t="str">
        <f>IF(ISNUMBER(deployment_raw[[#This Row],[Column10]]), (MIN(IF(N877&lt;&gt;"",N877,9999999999999)*1.1,deployment_raw[[#This Row],[Column10]] * IF($E$2="Deployment",deployment_raw[[#This Row],[Column5]],1))),"")</f>
        <v/>
      </c>
      <c r="K877" s="123" t="str">
        <f>IF(ISNUMBER(deployment_raw[[#This Row],[Column11]]), (MIN(IF(O877&lt;&gt;"",O877,9999999999999)*1.1,deployment_raw[[#This Row],[Column11]] * IF($E$2="Deployment",deployment_raw[[#This Row],[Column5]],1)/1048576)),"")</f>
        <v/>
      </c>
      <c r="L877" s="124" t="str">
        <f>IF(ISNUMBER(deployment_raw[[#This Row],[Column8]]),IF(OR(deployment_raw[[#This Row],[Column5]] &lt;&gt; 0,$E$2 &lt;&gt; "Deployment"), MAX(J877, P877, R877, ($L$2 * IF($E$2="Deployment",deployment_raw[[#This Row],[Column5]],1)),IF(T877&lt;&gt;"",VALUE(T877) * IF($E$2="Deployment",deployment_raw[[#This Row],[Column5]],1),0)), 0),"")</f>
        <v/>
      </c>
      <c r="M877" s="125" t="str">
        <f>IF(ISNUMBER(deployment_raw[[#This Row],[Column9]]),IF(OR(deployment_raw[[#This Row],[Column5]] &lt;&gt; 0,$E$2&lt;&gt;"Deployment"), MAX(K877, Q877, S877, ($M$2 * IF($E$2="Deployment",deployment_raw[[#This Row],[Column5]],1)),IF(U877&lt;&gt;"",VALUE(U877) * IF($E$2="Deployment",deployment_raw[[#This Row],[Column5]],1),0)), 0),"")</f>
        <v/>
      </c>
      <c r="N877" s="166" t="str">
        <f>IF(ISNUMBER(deployment_raw[[#This Row],[Column14]]), deployment_raw[[#This Row],[Column14]]/IF(OR($E$2="Deployment",deployment_raw[[#This Row],[Column5]]=0),1,deployment_raw[[#This Row],[Column5]]),"")</f>
        <v/>
      </c>
      <c r="O877" s="167" t="str">
        <f>IF(ISNUMBER(deployment_raw[[#This Row],[Column15]]), deployment_raw[[#This Row],[Column15]]/IF(OR($E$2="Deployment",deployment_raw[[#This Row],[Column5]]=0),1,deployment_raw[[#This Row],[Column5]])/1048576,"")</f>
        <v/>
      </c>
      <c r="P877" s="168" t="str">
        <f>IF(ISNUMBER(deployment_raw[[#This Row],[Column12]]), (MIN(IF(N877&lt;&gt;"",N877,9999999999999)*1.1,deployment_raw[[#This Row],[Column12]] * IF($E$2="Deployment",deployment_raw[[#This Row],[Column5]],1))*(1+$P$2)),"")</f>
        <v/>
      </c>
      <c r="Q877" s="167" t="str">
        <f>IF(ISNUMBER(deployment_raw[[#This Row],[Column13]]), (MIN(IF(O877&lt;&gt;"",O877,9999999999999)*1.1,deployment_raw[[#This Row],[Column13]] * IF($E$2="Deployment",deployment_raw[[#This Row],[Column5]],1)*(1+$Q$2)/1048576)),"")</f>
        <v/>
      </c>
      <c r="R877" s="169" t="str">
        <f>IF(ISNUMBER(deployment_raw[[#This Row],[Column8]]), (H877  * IF(N877&lt;&gt;0,$R$2,1)),"")</f>
        <v/>
      </c>
      <c r="S877" s="170" t="str">
        <f>IF(ISNUMBER(deployment_raw[[#This Row],[Column8]]), (I877  * IF(O877&lt;&gt;0,$S$2,1)),"")</f>
        <v/>
      </c>
      <c r="T877" s="202" t="str">
        <f>IF(AND(A877&lt;&gt;"",_xlfn.IFNA(MATCH(A877,'dynamic resource application '!$A$2:$A$100, 0),0)&lt;&gt;0), H877/(IF($E$2="Deployment",E877,1)),"")</f>
        <v/>
      </c>
      <c r="U877" s="211" t="str">
        <f>IF(AND(A877&lt;&gt;"",_xlfn.IFNA(MATCH(A877,'dynamic resource application '!$A$2:$A$100, 0),0)&lt;&gt;0), I877/(IF($E$2="Deployment",E877,1)),"")</f>
        <v/>
      </c>
    </row>
    <row r="878" spans="1:21" ht="15" customHeight="1" x14ac:dyDescent="0.25">
      <c r="A878" s="35" t="str">
        <f>IF(ISNONTEXT(deployment_raw[[#This Row],[Column1]]), "", deployment_raw[[#This Row],[Column1]])</f>
        <v/>
      </c>
      <c r="B878" s="36" t="str">
        <f>IF(ISNONTEXT(deployment_raw[[#This Row],[Column2]]), "", deployment_raw[[#This Row],[Column2]])</f>
        <v/>
      </c>
      <c r="C878" s="36" t="str">
        <f>IF(ISNONTEXT(deployment_raw[[#This Row],[Column3]]), "", deployment_raw[[#This Row],[Column3]])</f>
        <v/>
      </c>
      <c r="D878" s="36" t="str">
        <f>IF(ISNONTEXT(deployment_raw[[#This Row],[Column4]]), "", deployment_raw[[#This Row],[Column4]])</f>
        <v/>
      </c>
      <c r="E878" s="37" t="str">
        <f>IF(ISNUMBER(deployment_raw[[#This Row],[Column5]]), deployment_raw[[#This Row],[Column5]],"")</f>
        <v/>
      </c>
      <c r="F878" s="94" t="str">
        <f>IF(ISNUMBER(deployment_raw[[#This Row],[Column6]]), (deployment_raw[[#This Row],[Column6]] * IF($E$2="Deployment",deployment_raw[[#This Row],[Column5]],1)),"")</f>
        <v/>
      </c>
      <c r="G878" s="95" t="str">
        <f>IF(ISNUMBER(deployment_raw[[#This Row],[Column7]]), (deployment_raw[[#This Row],[Column7]] * IF($E$2="Deployment",deployment_raw[[#This Row],[Column5]],1))/1048576,"")</f>
        <v/>
      </c>
      <c r="H878" s="95" t="str">
        <f>IF(ISNUMBER(deployment_raw[[#This Row],[Column8]]), (deployment_raw[[#This Row],[Column8]]  * IF($E$2="Deployment",deployment_raw[[#This Row],[Column5]],1)),"")</f>
        <v/>
      </c>
      <c r="I878" s="96" t="str">
        <f>IF(ISNUMBER(deployment_raw[[#This Row],[Column9]]), (deployment_raw[[#This Row],[Column9]] * IF($E$2="Deployment",deployment_raw[[#This Row],[Column5]],1))/1048576,"")</f>
        <v/>
      </c>
      <c r="J878" s="122" t="str">
        <f>IF(ISNUMBER(deployment_raw[[#This Row],[Column10]]), (MIN(IF(N878&lt;&gt;"",N878,9999999999999)*1.1,deployment_raw[[#This Row],[Column10]] * IF($E$2="Deployment",deployment_raw[[#This Row],[Column5]],1))),"")</f>
        <v/>
      </c>
      <c r="K878" s="123" t="str">
        <f>IF(ISNUMBER(deployment_raw[[#This Row],[Column11]]), (MIN(IF(O878&lt;&gt;"",O878,9999999999999)*1.1,deployment_raw[[#This Row],[Column11]] * IF($E$2="Deployment",deployment_raw[[#This Row],[Column5]],1)/1048576)),"")</f>
        <v/>
      </c>
      <c r="L878" s="124" t="str">
        <f>IF(ISNUMBER(deployment_raw[[#This Row],[Column8]]),IF(OR(deployment_raw[[#This Row],[Column5]] &lt;&gt; 0,$E$2 &lt;&gt; "Deployment"), MAX(J878, P878, R878, ($L$2 * IF($E$2="Deployment",deployment_raw[[#This Row],[Column5]],1)),IF(T878&lt;&gt;"",VALUE(T878) * IF($E$2="Deployment",deployment_raw[[#This Row],[Column5]],1),0)), 0),"")</f>
        <v/>
      </c>
      <c r="M878" s="125" t="str">
        <f>IF(ISNUMBER(deployment_raw[[#This Row],[Column9]]),IF(OR(deployment_raw[[#This Row],[Column5]] &lt;&gt; 0,$E$2&lt;&gt;"Deployment"), MAX(K878, Q878, S878, ($M$2 * IF($E$2="Deployment",deployment_raw[[#This Row],[Column5]],1)),IF(U878&lt;&gt;"",VALUE(U878) * IF($E$2="Deployment",deployment_raw[[#This Row],[Column5]],1),0)), 0),"")</f>
        <v/>
      </c>
      <c r="N878" s="166" t="str">
        <f>IF(ISNUMBER(deployment_raw[[#This Row],[Column14]]), deployment_raw[[#This Row],[Column14]]/IF(OR($E$2="Deployment",deployment_raw[[#This Row],[Column5]]=0),1,deployment_raw[[#This Row],[Column5]]),"")</f>
        <v/>
      </c>
      <c r="O878" s="167" t="str">
        <f>IF(ISNUMBER(deployment_raw[[#This Row],[Column15]]), deployment_raw[[#This Row],[Column15]]/IF(OR($E$2="Deployment",deployment_raw[[#This Row],[Column5]]=0),1,deployment_raw[[#This Row],[Column5]])/1048576,"")</f>
        <v/>
      </c>
      <c r="P878" s="168" t="str">
        <f>IF(ISNUMBER(deployment_raw[[#This Row],[Column12]]), (MIN(IF(N878&lt;&gt;"",N878,9999999999999)*1.1,deployment_raw[[#This Row],[Column12]] * IF($E$2="Deployment",deployment_raw[[#This Row],[Column5]],1))*(1+$P$2)),"")</f>
        <v/>
      </c>
      <c r="Q878" s="167" t="str">
        <f>IF(ISNUMBER(deployment_raw[[#This Row],[Column13]]), (MIN(IF(O878&lt;&gt;"",O878,9999999999999)*1.1,deployment_raw[[#This Row],[Column13]] * IF($E$2="Deployment",deployment_raw[[#This Row],[Column5]],1)*(1+$Q$2)/1048576)),"")</f>
        <v/>
      </c>
      <c r="R878" s="169" t="str">
        <f>IF(ISNUMBER(deployment_raw[[#This Row],[Column8]]), (H878  * IF(N878&lt;&gt;0,$R$2,1)),"")</f>
        <v/>
      </c>
      <c r="S878" s="170" t="str">
        <f>IF(ISNUMBER(deployment_raw[[#This Row],[Column8]]), (I878  * IF(O878&lt;&gt;0,$S$2,1)),"")</f>
        <v/>
      </c>
      <c r="T878" s="202" t="str">
        <f>IF(AND(A878&lt;&gt;"",_xlfn.IFNA(MATCH(A878,'dynamic resource application '!$A$2:$A$100, 0),0)&lt;&gt;0), H878/(IF($E$2="Deployment",E878,1)),"")</f>
        <v/>
      </c>
      <c r="U878" s="211" t="str">
        <f>IF(AND(A878&lt;&gt;"",_xlfn.IFNA(MATCH(A878,'dynamic resource application '!$A$2:$A$100, 0),0)&lt;&gt;0), I878/(IF($E$2="Deployment",E878,1)),"")</f>
        <v/>
      </c>
    </row>
    <row r="879" spans="1:21" ht="15" customHeight="1" x14ac:dyDescent="0.25">
      <c r="A879" s="35" t="str">
        <f>IF(ISNONTEXT(deployment_raw[[#This Row],[Column1]]), "", deployment_raw[[#This Row],[Column1]])</f>
        <v/>
      </c>
      <c r="B879" s="36" t="str">
        <f>IF(ISNONTEXT(deployment_raw[[#This Row],[Column2]]), "", deployment_raw[[#This Row],[Column2]])</f>
        <v/>
      </c>
      <c r="C879" s="36" t="str">
        <f>IF(ISNONTEXT(deployment_raw[[#This Row],[Column3]]), "", deployment_raw[[#This Row],[Column3]])</f>
        <v/>
      </c>
      <c r="D879" s="36" t="str">
        <f>IF(ISNONTEXT(deployment_raw[[#This Row],[Column4]]), "", deployment_raw[[#This Row],[Column4]])</f>
        <v/>
      </c>
      <c r="E879" s="37" t="str">
        <f>IF(ISNUMBER(deployment_raw[[#This Row],[Column5]]), deployment_raw[[#This Row],[Column5]],"")</f>
        <v/>
      </c>
      <c r="F879" s="94" t="str">
        <f>IF(ISNUMBER(deployment_raw[[#This Row],[Column6]]), (deployment_raw[[#This Row],[Column6]] * IF($E$2="Deployment",deployment_raw[[#This Row],[Column5]],1)),"")</f>
        <v/>
      </c>
      <c r="G879" s="95" t="str">
        <f>IF(ISNUMBER(deployment_raw[[#This Row],[Column7]]), (deployment_raw[[#This Row],[Column7]] * IF($E$2="Deployment",deployment_raw[[#This Row],[Column5]],1))/1048576,"")</f>
        <v/>
      </c>
      <c r="H879" s="95" t="str">
        <f>IF(ISNUMBER(deployment_raw[[#This Row],[Column8]]), (deployment_raw[[#This Row],[Column8]]  * IF($E$2="Deployment",deployment_raw[[#This Row],[Column5]],1)),"")</f>
        <v/>
      </c>
      <c r="I879" s="96" t="str">
        <f>IF(ISNUMBER(deployment_raw[[#This Row],[Column9]]), (deployment_raw[[#This Row],[Column9]] * IF($E$2="Deployment",deployment_raw[[#This Row],[Column5]],1))/1048576,"")</f>
        <v/>
      </c>
      <c r="J879" s="122" t="str">
        <f>IF(ISNUMBER(deployment_raw[[#This Row],[Column10]]), (MIN(IF(N879&lt;&gt;"",N879,9999999999999)*1.1,deployment_raw[[#This Row],[Column10]] * IF($E$2="Deployment",deployment_raw[[#This Row],[Column5]],1))),"")</f>
        <v/>
      </c>
      <c r="K879" s="123" t="str">
        <f>IF(ISNUMBER(deployment_raw[[#This Row],[Column11]]), (MIN(IF(O879&lt;&gt;"",O879,9999999999999)*1.1,deployment_raw[[#This Row],[Column11]] * IF($E$2="Deployment",deployment_raw[[#This Row],[Column5]],1)/1048576)),"")</f>
        <v/>
      </c>
      <c r="L879" s="124" t="str">
        <f>IF(ISNUMBER(deployment_raw[[#This Row],[Column8]]),IF(OR(deployment_raw[[#This Row],[Column5]] &lt;&gt; 0,$E$2 &lt;&gt; "Deployment"), MAX(J879, P879, R879, ($L$2 * IF($E$2="Deployment",deployment_raw[[#This Row],[Column5]],1)),IF(T879&lt;&gt;"",VALUE(T879) * IF($E$2="Deployment",deployment_raw[[#This Row],[Column5]],1),0)), 0),"")</f>
        <v/>
      </c>
      <c r="M879" s="125" t="str">
        <f>IF(ISNUMBER(deployment_raw[[#This Row],[Column9]]),IF(OR(deployment_raw[[#This Row],[Column5]] &lt;&gt; 0,$E$2&lt;&gt;"Deployment"), MAX(K879, Q879, S879, ($M$2 * IF($E$2="Deployment",deployment_raw[[#This Row],[Column5]],1)),IF(U879&lt;&gt;"",VALUE(U879) * IF($E$2="Deployment",deployment_raw[[#This Row],[Column5]],1),0)), 0),"")</f>
        <v/>
      </c>
      <c r="N879" s="166" t="str">
        <f>IF(ISNUMBER(deployment_raw[[#This Row],[Column14]]), deployment_raw[[#This Row],[Column14]]/IF(OR($E$2="Deployment",deployment_raw[[#This Row],[Column5]]=0),1,deployment_raw[[#This Row],[Column5]]),"")</f>
        <v/>
      </c>
      <c r="O879" s="167" t="str">
        <f>IF(ISNUMBER(deployment_raw[[#This Row],[Column15]]), deployment_raw[[#This Row],[Column15]]/IF(OR($E$2="Deployment",deployment_raw[[#This Row],[Column5]]=0),1,deployment_raw[[#This Row],[Column5]])/1048576,"")</f>
        <v/>
      </c>
      <c r="P879" s="168" t="str">
        <f>IF(ISNUMBER(deployment_raw[[#This Row],[Column12]]), (MIN(IF(N879&lt;&gt;"",N879,9999999999999)*1.1,deployment_raw[[#This Row],[Column12]] * IF($E$2="Deployment",deployment_raw[[#This Row],[Column5]],1))*(1+$P$2)),"")</f>
        <v/>
      </c>
      <c r="Q879" s="167" t="str">
        <f>IF(ISNUMBER(deployment_raw[[#This Row],[Column13]]), (MIN(IF(O879&lt;&gt;"",O879,9999999999999)*1.1,deployment_raw[[#This Row],[Column13]] * IF($E$2="Deployment",deployment_raw[[#This Row],[Column5]],1)*(1+$Q$2)/1048576)),"")</f>
        <v/>
      </c>
      <c r="R879" s="169" t="str">
        <f>IF(ISNUMBER(deployment_raw[[#This Row],[Column8]]), (H879  * IF(N879&lt;&gt;0,$R$2,1)),"")</f>
        <v/>
      </c>
      <c r="S879" s="170" t="str">
        <f>IF(ISNUMBER(deployment_raw[[#This Row],[Column8]]), (I879  * IF(O879&lt;&gt;0,$S$2,1)),"")</f>
        <v/>
      </c>
      <c r="T879" s="202" t="str">
        <f>IF(AND(A879&lt;&gt;"",_xlfn.IFNA(MATCH(A879,'dynamic resource application '!$A$2:$A$100, 0),0)&lt;&gt;0), H879/(IF($E$2="Deployment",E879,1)),"")</f>
        <v/>
      </c>
      <c r="U879" s="211" t="str">
        <f>IF(AND(A879&lt;&gt;"",_xlfn.IFNA(MATCH(A879,'dynamic resource application '!$A$2:$A$100, 0),0)&lt;&gt;0), I879/(IF($E$2="Deployment",E879,1)),"")</f>
        <v/>
      </c>
    </row>
    <row r="880" spans="1:21" ht="15" customHeight="1" x14ac:dyDescent="0.25">
      <c r="A880" s="35" t="str">
        <f>IF(ISNONTEXT(deployment_raw[[#This Row],[Column1]]), "", deployment_raw[[#This Row],[Column1]])</f>
        <v/>
      </c>
      <c r="B880" s="36" t="str">
        <f>IF(ISNONTEXT(deployment_raw[[#This Row],[Column2]]), "", deployment_raw[[#This Row],[Column2]])</f>
        <v/>
      </c>
      <c r="C880" s="36" t="str">
        <f>IF(ISNONTEXT(deployment_raw[[#This Row],[Column3]]), "", deployment_raw[[#This Row],[Column3]])</f>
        <v/>
      </c>
      <c r="D880" s="36" t="str">
        <f>IF(ISNONTEXT(deployment_raw[[#This Row],[Column4]]), "", deployment_raw[[#This Row],[Column4]])</f>
        <v/>
      </c>
      <c r="E880" s="37" t="str">
        <f>IF(ISNUMBER(deployment_raw[[#This Row],[Column5]]), deployment_raw[[#This Row],[Column5]],"")</f>
        <v/>
      </c>
      <c r="F880" s="94" t="str">
        <f>IF(ISNUMBER(deployment_raw[[#This Row],[Column6]]), (deployment_raw[[#This Row],[Column6]] * IF($E$2="Deployment",deployment_raw[[#This Row],[Column5]],1)),"")</f>
        <v/>
      </c>
      <c r="G880" s="95" t="str">
        <f>IF(ISNUMBER(deployment_raw[[#This Row],[Column7]]), (deployment_raw[[#This Row],[Column7]] * IF($E$2="Deployment",deployment_raw[[#This Row],[Column5]],1))/1048576,"")</f>
        <v/>
      </c>
      <c r="H880" s="95" t="str">
        <f>IF(ISNUMBER(deployment_raw[[#This Row],[Column8]]), (deployment_raw[[#This Row],[Column8]]  * IF($E$2="Deployment",deployment_raw[[#This Row],[Column5]],1)),"")</f>
        <v/>
      </c>
      <c r="I880" s="96" t="str">
        <f>IF(ISNUMBER(deployment_raw[[#This Row],[Column9]]), (deployment_raw[[#This Row],[Column9]] * IF($E$2="Deployment",deployment_raw[[#This Row],[Column5]],1))/1048576,"")</f>
        <v/>
      </c>
      <c r="J880" s="122" t="str">
        <f>IF(ISNUMBER(deployment_raw[[#This Row],[Column10]]), (MIN(IF(N880&lt;&gt;"",N880,9999999999999)*1.1,deployment_raw[[#This Row],[Column10]] * IF($E$2="Deployment",deployment_raw[[#This Row],[Column5]],1))),"")</f>
        <v/>
      </c>
      <c r="K880" s="123" t="str">
        <f>IF(ISNUMBER(deployment_raw[[#This Row],[Column11]]), (MIN(IF(O880&lt;&gt;"",O880,9999999999999)*1.1,deployment_raw[[#This Row],[Column11]] * IF($E$2="Deployment",deployment_raw[[#This Row],[Column5]],1)/1048576)),"")</f>
        <v/>
      </c>
      <c r="L880" s="124" t="str">
        <f>IF(ISNUMBER(deployment_raw[[#This Row],[Column8]]),IF(OR(deployment_raw[[#This Row],[Column5]] &lt;&gt; 0,$E$2 &lt;&gt; "Deployment"), MAX(J880, P880, R880, ($L$2 * IF($E$2="Deployment",deployment_raw[[#This Row],[Column5]],1)),IF(T880&lt;&gt;"",VALUE(T880) * IF($E$2="Deployment",deployment_raw[[#This Row],[Column5]],1),0)), 0),"")</f>
        <v/>
      </c>
      <c r="M880" s="125" t="str">
        <f>IF(ISNUMBER(deployment_raw[[#This Row],[Column9]]),IF(OR(deployment_raw[[#This Row],[Column5]] &lt;&gt; 0,$E$2&lt;&gt;"Deployment"), MAX(K880, Q880, S880, ($M$2 * IF($E$2="Deployment",deployment_raw[[#This Row],[Column5]],1)),IF(U880&lt;&gt;"",VALUE(U880) * IF($E$2="Deployment",deployment_raw[[#This Row],[Column5]],1),0)), 0),"")</f>
        <v/>
      </c>
      <c r="N880" s="166" t="str">
        <f>IF(ISNUMBER(deployment_raw[[#This Row],[Column14]]), deployment_raw[[#This Row],[Column14]]/IF(OR($E$2="Deployment",deployment_raw[[#This Row],[Column5]]=0),1,deployment_raw[[#This Row],[Column5]]),"")</f>
        <v/>
      </c>
      <c r="O880" s="167" t="str">
        <f>IF(ISNUMBER(deployment_raw[[#This Row],[Column15]]), deployment_raw[[#This Row],[Column15]]/IF(OR($E$2="Deployment",deployment_raw[[#This Row],[Column5]]=0),1,deployment_raw[[#This Row],[Column5]])/1048576,"")</f>
        <v/>
      </c>
      <c r="P880" s="168" t="str">
        <f>IF(ISNUMBER(deployment_raw[[#This Row],[Column12]]), (MIN(IF(N880&lt;&gt;"",N880,9999999999999)*1.1,deployment_raw[[#This Row],[Column12]] * IF($E$2="Deployment",deployment_raw[[#This Row],[Column5]],1))*(1+$P$2)),"")</f>
        <v/>
      </c>
      <c r="Q880" s="167" t="str">
        <f>IF(ISNUMBER(deployment_raw[[#This Row],[Column13]]), (MIN(IF(O880&lt;&gt;"",O880,9999999999999)*1.1,deployment_raw[[#This Row],[Column13]] * IF($E$2="Deployment",deployment_raw[[#This Row],[Column5]],1)*(1+$Q$2)/1048576)),"")</f>
        <v/>
      </c>
      <c r="R880" s="169" t="str">
        <f>IF(ISNUMBER(deployment_raw[[#This Row],[Column8]]), (H880  * IF(N880&lt;&gt;0,$R$2,1)),"")</f>
        <v/>
      </c>
      <c r="S880" s="170" t="str">
        <f>IF(ISNUMBER(deployment_raw[[#This Row],[Column8]]), (I880  * IF(O880&lt;&gt;0,$S$2,1)),"")</f>
        <v/>
      </c>
      <c r="T880" s="202" t="str">
        <f>IF(AND(A880&lt;&gt;"",_xlfn.IFNA(MATCH(A880,'dynamic resource application '!$A$2:$A$100, 0),0)&lt;&gt;0), H880/(IF($E$2="Deployment",E880,1)),"")</f>
        <v/>
      </c>
      <c r="U880" s="211" t="str">
        <f>IF(AND(A880&lt;&gt;"",_xlfn.IFNA(MATCH(A880,'dynamic resource application '!$A$2:$A$100, 0),0)&lt;&gt;0), I880/(IF($E$2="Deployment",E880,1)),"")</f>
        <v/>
      </c>
    </row>
    <row r="881" spans="1:21" ht="15" customHeight="1" x14ac:dyDescent="0.25">
      <c r="A881" s="35" t="str">
        <f>IF(ISNONTEXT(deployment_raw[[#This Row],[Column1]]), "", deployment_raw[[#This Row],[Column1]])</f>
        <v/>
      </c>
      <c r="B881" s="36" t="str">
        <f>IF(ISNONTEXT(deployment_raw[[#This Row],[Column2]]), "", deployment_raw[[#This Row],[Column2]])</f>
        <v/>
      </c>
      <c r="C881" s="36" t="str">
        <f>IF(ISNONTEXT(deployment_raw[[#This Row],[Column3]]), "", deployment_raw[[#This Row],[Column3]])</f>
        <v/>
      </c>
      <c r="D881" s="36" t="str">
        <f>IF(ISNONTEXT(deployment_raw[[#This Row],[Column4]]), "", deployment_raw[[#This Row],[Column4]])</f>
        <v/>
      </c>
      <c r="E881" s="37" t="str">
        <f>IF(ISNUMBER(deployment_raw[[#This Row],[Column5]]), deployment_raw[[#This Row],[Column5]],"")</f>
        <v/>
      </c>
      <c r="F881" s="94" t="str">
        <f>IF(ISNUMBER(deployment_raw[[#This Row],[Column6]]), (deployment_raw[[#This Row],[Column6]] * IF($E$2="Deployment",deployment_raw[[#This Row],[Column5]],1)),"")</f>
        <v/>
      </c>
      <c r="G881" s="95" t="str">
        <f>IF(ISNUMBER(deployment_raw[[#This Row],[Column7]]), (deployment_raw[[#This Row],[Column7]] * IF($E$2="Deployment",deployment_raw[[#This Row],[Column5]],1))/1048576,"")</f>
        <v/>
      </c>
      <c r="H881" s="95" t="str">
        <f>IF(ISNUMBER(deployment_raw[[#This Row],[Column8]]), (deployment_raw[[#This Row],[Column8]]  * IF($E$2="Deployment",deployment_raw[[#This Row],[Column5]],1)),"")</f>
        <v/>
      </c>
      <c r="I881" s="96" t="str">
        <f>IF(ISNUMBER(deployment_raw[[#This Row],[Column9]]), (deployment_raw[[#This Row],[Column9]] * IF($E$2="Deployment",deployment_raw[[#This Row],[Column5]],1))/1048576,"")</f>
        <v/>
      </c>
      <c r="J881" s="122" t="str">
        <f>IF(ISNUMBER(deployment_raw[[#This Row],[Column10]]), (MIN(IF(N881&lt;&gt;"",N881,9999999999999)*1.1,deployment_raw[[#This Row],[Column10]] * IF($E$2="Deployment",deployment_raw[[#This Row],[Column5]],1))),"")</f>
        <v/>
      </c>
      <c r="K881" s="123" t="str">
        <f>IF(ISNUMBER(deployment_raw[[#This Row],[Column11]]), (MIN(IF(O881&lt;&gt;"",O881,9999999999999)*1.1,deployment_raw[[#This Row],[Column11]] * IF($E$2="Deployment",deployment_raw[[#This Row],[Column5]],1)/1048576)),"")</f>
        <v/>
      </c>
      <c r="L881" s="124" t="str">
        <f>IF(ISNUMBER(deployment_raw[[#This Row],[Column8]]),IF(OR(deployment_raw[[#This Row],[Column5]] &lt;&gt; 0,$E$2 &lt;&gt; "Deployment"), MAX(J881, P881, R881, ($L$2 * IF($E$2="Deployment",deployment_raw[[#This Row],[Column5]],1)),IF(T881&lt;&gt;"",VALUE(T881) * IF($E$2="Deployment",deployment_raw[[#This Row],[Column5]],1),0)), 0),"")</f>
        <v/>
      </c>
      <c r="M881" s="125" t="str">
        <f>IF(ISNUMBER(deployment_raw[[#This Row],[Column9]]),IF(OR(deployment_raw[[#This Row],[Column5]] &lt;&gt; 0,$E$2&lt;&gt;"Deployment"), MAX(K881, Q881, S881, ($M$2 * IF($E$2="Deployment",deployment_raw[[#This Row],[Column5]],1)),IF(U881&lt;&gt;"",VALUE(U881) * IF($E$2="Deployment",deployment_raw[[#This Row],[Column5]],1),0)), 0),"")</f>
        <v/>
      </c>
      <c r="N881" s="166" t="str">
        <f>IF(ISNUMBER(deployment_raw[[#This Row],[Column14]]), deployment_raw[[#This Row],[Column14]]/IF(OR($E$2="Deployment",deployment_raw[[#This Row],[Column5]]=0),1,deployment_raw[[#This Row],[Column5]]),"")</f>
        <v/>
      </c>
      <c r="O881" s="167" t="str">
        <f>IF(ISNUMBER(deployment_raw[[#This Row],[Column15]]), deployment_raw[[#This Row],[Column15]]/IF(OR($E$2="Deployment",deployment_raw[[#This Row],[Column5]]=0),1,deployment_raw[[#This Row],[Column5]])/1048576,"")</f>
        <v/>
      </c>
      <c r="P881" s="168" t="str">
        <f>IF(ISNUMBER(deployment_raw[[#This Row],[Column12]]), (MIN(IF(N881&lt;&gt;"",N881,9999999999999)*1.1,deployment_raw[[#This Row],[Column12]] * IF($E$2="Deployment",deployment_raw[[#This Row],[Column5]],1))*(1+$P$2)),"")</f>
        <v/>
      </c>
      <c r="Q881" s="167" t="str">
        <f>IF(ISNUMBER(deployment_raw[[#This Row],[Column13]]), (MIN(IF(O881&lt;&gt;"",O881,9999999999999)*1.1,deployment_raw[[#This Row],[Column13]] * IF($E$2="Deployment",deployment_raw[[#This Row],[Column5]],1)*(1+$Q$2)/1048576)),"")</f>
        <v/>
      </c>
      <c r="R881" s="169" t="str">
        <f>IF(ISNUMBER(deployment_raw[[#This Row],[Column8]]), (H881  * IF(N881&lt;&gt;0,$R$2,1)),"")</f>
        <v/>
      </c>
      <c r="S881" s="170" t="str">
        <f>IF(ISNUMBER(deployment_raw[[#This Row],[Column8]]), (I881  * IF(O881&lt;&gt;0,$S$2,1)),"")</f>
        <v/>
      </c>
      <c r="T881" s="202" t="str">
        <f>IF(AND(A881&lt;&gt;"",_xlfn.IFNA(MATCH(A881,'dynamic resource application '!$A$2:$A$100, 0),0)&lt;&gt;0), H881/(IF($E$2="Deployment",E881,1)),"")</f>
        <v/>
      </c>
      <c r="U881" s="211" t="str">
        <f>IF(AND(A881&lt;&gt;"",_xlfn.IFNA(MATCH(A881,'dynamic resource application '!$A$2:$A$100, 0),0)&lt;&gt;0), I881/(IF($E$2="Deployment",E881,1)),"")</f>
        <v/>
      </c>
    </row>
    <row r="882" spans="1:21" ht="15" customHeight="1" x14ac:dyDescent="0.25">
      <c r="A882" s="35" t="str">
        <f>IF(ISNONTEXT(deployment_raw[[#This Row],[Column1]]), "", deployment_raw[[#This Row],[Column1]])</f>
        <v/>
      </c>
      <c r="B882" s="36" t="str">
        <f>IF(ISNONTEXT(deployment_raw[[#This Row],[Column2]]), "", deployment_raw[[#This Row],[Column2]])</f>
        <v/>
      </c>
      <c r="C882" s="36" t="str">
        <f>IF(ISNONTEXT(deployment_raw[[#This Row],[Column3]]), "", deployment_raw[[#This Row],[Column3]])</f>
        <v/>
      </c>
      <c r="D882" s="36" t="str">
        <f>IF(ISNONTEXT(deployment_raw[[#This Row],[Column4]]), "", deployment_raw[[#This Row],[Column4]])</f>
        <v/>
      </c>
      <c r="E882" s="37" t="str">
        <f>IF(ISNUMBER(deployment_raw[[#This Row],[Column5]]), deployment_raw[[#This Row],[Column5]],"")</f>
        <v/>
      </c>
      <c r="F882" s="94" t="str">
        <f>IF(ISNUMBER(deployment_raw[[#This Row],[Column6]]), (deployment_raw[[#This Row],[Column6]] * IF($E$2="Deployment",deployment_raw[[#This Row],[Column5]],1)),"")</f>
        <v/>
      </c>
      <c r="G882" s="95" t="str">
        <f>IF(ISNUMBER(deployment_raw[[#This Row],[Column7]]), (deployment_raw[[#This Row],[Column7]] * IF($E$2="Deployment",deployment_raw[[#This Row],[Column5]],1))/1048576,"")</f>
        <v/>
      </c>
      <c r="H882" s="95" t="str">
        <f>IF(ISNUMBER(deployment_raw[[#This Row],[Column8]]), (deployment_raw[[#This Row],[Column8]]  * IF($E$2="Deployment",deployment_raw[[#This Row],[Column5]],1)),"")</f>
        <v/>
      </c>
      <c r="I882" s="96" t="str">
        <f>IF(ISNUMBER(deployment_raw[[#This Row],[Column9]]), (deployment_raw[[#This Row],[Column9]] * IF($E$2="Deployment",deployment_raw[[#This Row],[Column5]],1))/1048576,"")</f>
        <v/>
      </c>
      <c r="J882" s="122" t="str">
        <f>IF(ISNUMBER(deployment_raw[[#This Row],[Column10]]), (MIN(IF(N882&lt;&gt;"",N882,9999999999999)*1.1,deployment_raw[[#This Row],[Column10]] * IF($E$2="Deployment",deployment_raw[[#This Row],[Column5]],1))),"")</f>
        <v/>
      </c>
      <c r="K882" s="123" t="str">
        <f>IF(ISNUMBER(deployment_raw[[#This Row],[Column11]]), (MIN(IF(O882&lt;&gt;"",O882,9999999999999)*1.1,deployment_raw[[#This Row],[Column11]] * IF($E$2="Deployment",deployment_raw[[#This Row],[Column5]],1)/1048576)),"")</f>
        <v/>
      </c>
      <c r="L882" s="124" t="str">
        <f>IF(ISNUMBER(deployment_raw[[#This Row],[Column8]]),IF(OR(deployment_raw[[#This Row],[Column5]] &lt;&gt; 0,$E$2 &lt;&gt; "Deployment"), MAX(J882, P882, R882, ($L$2 * IF($E$2="Deployment",deployment_raw[[#This Row],[Column5]],1)),IF(T882&lt;&gt;"",VALUE(T882) * IF($E$2="Deployment",deployment_raw[[#This Row],[Column5]],1),0)), 0),"")</f>
        <v/>
      </c>
      <c r="M882" s="125" t="str">
        <f>IF(ISNUMBER(deployment_raw[[#This Row],[Column9]]),IF(OR(deployment_raw[[#This Row],[Column5]] &lt;&gt; 0,$E$2&lt;&gt;"Deployment"), MAX(K882, Q882, S882, ($M$2 * IF($E$2="Deployment",deployment_raw[[#This Row],[Column5]],1)),IF(U882&lt;&gt;"",VALUE(U882) * IF($E$2="Deployment",deployment_raw[[#This Row],[Column5]],1),0)), 0),"")</f>
        <v/>
      </c>
      <c r="N882" s="166" t="str">
        <f>IF(ISNUMBER(deployment_raw[[#This Row],[Column14]]), deployment_raw[[#This Row],[Column14]]/IF(OR($E$2="Deployment",deployment_raw[[#This Row],[Column5]]=0),1,deployment_raw[[#This Row],[Column5]]),"")</f>
        <v/>
      </c>
      <c r="O882" s="167" t="str">
        <f>IF(ISNUMBER(deployment_raw[[#This Row],[Column15]]), deployment_raw[[#This Row],[Column15]]/IF(OR($E$2="Deployment",deployment_raw[[#This Row],[Column5]]=0),1,deployment_raw[[#This Row],[Column5]])/1048576,"")</f>
        <v/>
      </c>
      <c r="P882" s="168" t="str">
        <f>IF(ISNUMBER(deployment_raw[[#This Row],[Column12]]), (MIN(IF(N882&lt;&gt;"",N882,9999999999999)*1.1,deployment_raw[[#This Row],[Column12]] * IF($E$2="Deployment",deployment_raw[[#This Row],[Column5]],1))*(1+$P$2)),"")</f>
        <v/>
      </c>
      <c r="Q882" s="167" t="str">
        <f>IF(ISNUMBER(deployment_raw[[#This Row],[Column13]]), (MIN(IF(O882&lt;&gt;"",O882,9999999999999)*1.1,deployment_raw[[#This Row],[Column13]] * IF($E$2="Deployment",deployment_raw[[#This Row],[Column5]],1)*(1+$Q$2)/1048576)),"")</f>
        <v/>
      </c>
      <c r="R882" s="169" t="str">
        <f>IF(ISNUMBER(deployment_raw[[#This Row],[Column8]]), (H882  * IF(N882&lt;&gt;0,$R$2,1)),"")</f>
        <v/>
      </c>
      <c r="S882" s="170" t="str">
        <f>IF(ISNUMBER(deployment_raw[[#This Row],[Column8]]), (I882  * IF(O882&lt;&gt;0,$S$2,1)),"")</f>
        <v/>
      </c>
      <c r="T882" s="202" t="str">
        <f>IF(AND(A882&lt;&gt;"",_xlfn.IFNA(MATCH(A882,'dynamic resource application '!$A$2:$A$100, 0),0)&lt;&gt;0), H882/(IF($E$2="Deployment",E882,1)),"")</f>
        <v/>
      </c>
      <c r="U882" s="211" t="str">
        <f>IF(AND(A882&lt;&gt;"",_xlfn.IFNA(MATCH(A882,'dynamic resource application '!$A$2:$A$100, 0),0)&lt;&gt;0), I882/(IF($E$2="Deployment",E882,1)),"")</f>
        <v/>
      </c>
    </row>
    <row r="883" spans="1:21" ht="15" customHeight="1" x14ac:dyDescent="0.25">
      <c r="A883" s="35" t="str">
        <f>IF(ISNONTEXT(deployment_raw[[#This Row],[Column1]]), "", deployment_raw[[#This Row],[Column1]])</f>
        <v/>
      </c>
      <c r="B883" s="36" t="str">
        <f>IF(ISNONTEXT(deployment_raw[[#This Row],[Column2]]), "", deployment_raw[[#This Row],[Column2]])</f>
        <v/>
      </c>
      <c r="C883" s="36" t="str">
        <f>IF(ISNONTEXT(deployment_raw[[#This Row],[Column3]]), "", deployment_raw[[#This Row],[Column3]])</f>
        <v/>
      </c>
      <c r="D883" s="36" t="str">
        <f>IF(ISNONTEXT(deployment_raw[[#This Row],[Column4]]), "", deployment_raw[[#This Row],[Column4]])</f>
        <v/>
      </c>
      <c r="E883" s="37" t="str">
        <f>IF(ISNUMBER(deployment_raw[[#This Row],[Column5]]), deployment_raw[[#This Row],[Column5]],"")</f>
        <v/>
      </c>
      <c r="F883" s="94" t="str">
        <f>IF(ISNUMBER(deployment_raw[[#This Row],[Column6]]), (deployment_raw[[#This Row],[Column6]] * IF($E$2="Deployment",deployment_raw[[#This Row],[Column5]],1)),"")</f>
        <v/>
      </c>
      <c r="G883" s="95" t="str">
        <f>IF(ISNUMBER(deployment_raw[[#This Row],[Column7]]), (deployment_raw[[#This Row],[Column7]] * IF($E$2="Deployment",deployment_raw[[#This Row],[Column5]],1))/1048576,"")</f>
        <v/>
      </c>
      <c r="H883" s="95" t="str">
        <f>IF(ISNUMBER(deployment_raw[[#This Row],[Column8]]), (deployment_raw[[#This Row],[Column8]]  * IF($E$2="Deployment",deployment_raw[[#This Row],[Column5]],1)),"")</f>
        <v/>
      </c>
      <c r="I883" s="96" t="str">
        <f>IF(ISNUMBER(deployment_raw[[#This Row],[Column9]]), (deployment_raw[[#This Row],[Column9]] * IF($E$2="Deployment",deployment_raw[[#This Row],[Column5]],1))/1048576,"")</f>
        <v/>
      </c>
      <c r="J883" s="122" t="str">
        <f>IF(ISNUMBER(deployment_raw[[#This Row],[Column10]]), (MIN(IF(N883&lt;&gt;"",N883,9999999999999)*1.1,deployment_raw[[#This Row],[Column10]] * IF($E$2="Deployment",deployment_raw[[#This Row],[Column5]],1))),"")</f>
        <v/>
      </c>
      <c r="K883" s="123" t="str">
        <f>IF(ISNUMBER(deployment_raw[[#This Row],[Column11]]), (MIN(IF(O883&lt;&gt;"",O883,9999999999999)*1.1,deployment_raw[[#This Row],[Column11]] * IF($E$2="Deployment",deployment_raw[[#This Row],[Column5]],1)/1048576)),"")</f>
        <v/>
      </c>
      <c r="L883" s="124" t="str">
        <f>IF(ISNUMBER(deployment_raw[[#This Row],[Column8]]),IF(OR(deployment_raw[[#This Row],[Column5]] &lt;&gt; 0,$E$2 &lt;&gt; "Deployment"), MAX(J883, P883, R883, ($L$2 * IF($E$2="Deployment",deployment_raw[[#This Row],[Column5]],1)),IF(T883&lt;&gt;"",VALUE(T883) * IF($E$2="Deployment",deployment_raw[[#This Row],[Column5]],1),0)), 0),"")</f>
        <v/>
      </c>
      <c r="M883" s="125" t="str">
        <f>IF(ISNUMBER(deployment_raw[[#This Row],[Column9]]),IF(OR(deployment_raw[[#This Row],[Column5]] &lt;&gt; 0,$E$2&lt;&gt;"Deployment"), MAX(K883, Q883, S883, ($M$2 * IF($E$2="Deployment",deployment_raw[[#This Row],[Column5]],1)),IF(U883&lt;&gt;"",VALUE(U883) * IF($E$2="Deployment",deployment_raw[[#This Row],[Column5]],1),0)), 0),"")</f>
        <v/>
      </c>
      <c r="N883" s="166" t="str">
        <f>IF(ISNUMBER(deployment_raw[[#This Row],[Column14]]), deployment_raw[[#This Row],[Column14]]/IF(OR($E$2="Deployment",deployment_raw[[#This Row],[Column5]]=0),1,deployment_raw[[#This Row],[Column5]]),"")</f>
        <v/>
      </c>
      <c r="O883" s="167" t="str">
        <f>IF(ISNUMBER(deployment_raw[[#This Row],[Column15]]), deployment_raw[[#This Row],[Column15]]/IF(OR($E$2="Deployment",deployment_raw[[#This Row],[Column5]]=0),1,deployment_raw[[#This Row],[Column5]])/1048576,"")</f>
        <v/>
      </c>
      <c r="P883" s="168" t="str">
        <f>IF(ISNUMBER(deployment_raw[[#This Row],[Column12]]), (MIN(IF(N883&lt;&gt;"",N883,9999999999999)*1.1,deployment_raw[[#This Row],[Column12]] * IF($E$2="Deployment",deployment_raw[[#This Row],[Column5]],1))*(1+$P$2)),"")</f>
        <v/>
      </c>
      <c r="Q883" s="167" t="str">
        <f>IF(ISNUMBER(deployment_raw[[#This Row],[Column13]]), (MIN(IF(O883&lt;&gt;"",O883,9999999999999)*1.1,deployment_raw[[#This Row],[Column13]] * IF($E$2="Deployment",deployment_raw[[#This Row],[Column5]],1)*(1+$Q$2)/1048576)),"")</f>
        <v/>
      </c>
      <c r="R883" s="169" t="str">
        <f>IF(ISNUMBER(deployment_raw[[#This Row],[Column8]]), (H883  * IF(N883&lt;&gt;0,$R$2,1)),"")</f>
        <v/>
      </c>
      <c r="S883" s="170" t="str">
        <f>IF(ISNUMBER(deployment_raw[[#This Row],[Column8]]), (I883  * IF(O883&lt;&gt;0,$S$2,1)),"")</f>
        <v/>
      </c>
      <c r="T883" s="202" t="str">
        <f>IF(AND(A883&lt;&gt;"",_xlfn.IFNA(MATCH(A883,'dynamic resource application '!$A$2:$A$100, 0),0)&lt;&gt;0), H883/(IF($E$2="Deployment",E883,1)),"")</f>
        <v/>
      </c>
      <c r="U883" s="211" t="str">
        <f>IF(AND(A883&lt;&gt;"",_xlfn.IFNA(MATCH(A883,'dynamic resource application '!$A$2:$A$100, 0),0)&lt;&gt;0), I883/(IF($E$2="Deployment",E883,1)),"")</f>
        <v/>
      </c>
    </row>
    <row r="884" spans="1:21" ht="15" customHeight="1" x14ac:dyDescent="0.25">
      <c r="A884" s="35" t="str">
        <f>IF(ISNONTEXT(deployment_raw[[#This Row],[Column1]]), "", deployment_raw[[#This Row],[Column1]])</f>
        <v/>
      </c>
      <c r="B884" s="36" t="str">
        <f>IF(ISNONTEXT(deployment_raw[[#This Row],[Column2]]), "", deployment_raw[[#This Row],[Column2]])</f>
        <v/>
      </c>
      <c r="C884" s="36" t="str">
        <f>IF(ISNONTEXT(deployment_raw[[#This Row],[Column3]]), "", deployment_raw[[#This Row],[Column3]])</f>
        <v/>
      </c>
      <c r="D884" s="36" t="str">
        <f>IF(ISNONTEXT(deployment_raw[[#This Row],[Column4]]), "", deployment_raw[[#This Row],[Column4]])</f>
        <v/>
      </c>
      <c r="E884" s="37" t="str">
        <f>IF(ISNUMBER(deployment_raw[[#This Row],[Column5]]), deployment_raw[[#This Row],[Column5]],"")</f>
        <v/>
      </c>
      <c r="F884" s="94" t="str">
        <f>IF(ISNUMBER(deployment_raw[[#This Row],[Column6]]), (deployment_raw[[#This Row],[Column6]] * IF($E$2="Deployment",deployment_raw[[#This Row],[Column5]],1)),"")</f>
        <v/>
      </c>
      <c r="G884" s="95" t="str">
        <f>IF(ISNUMBER(deployment_raw[[#This Row],[Column7]]), (deployment_raw[[#This Row],[Column7]] * IF($E$2="Deployment",deployment_raw[[#This Row],[Column5]],1))/1048576,"")</f>
        <v/>
      </c>
      <c r="H884" s="95" t="str">
        <f>IF(ISNUMBER(deployment_raw[[#This Row],[Column8]]), (deployment_raw[[#This Row],[Column8]]  * IF($E$2="Deployment",deployment_raw[[#This Row],[Column5]],1)),"")</f>
        <v/>
      </c>
      <c r="I884" s="96" t="str">
        <f>IF(ISNUMBER(deployment_raw[[#This Row],[Column9]]), (deployment_raw[[#This Row],[Column9]] * IF($E$2="Deployment",deployment_raw[[#This Row],[Column5]],1))/1048576,"")</f>
        <v/>
      </c>
      <c r="J884" s="122" t="str">
        <f>IF(ISNUMBER(deployment_raw[[#This Row],[Column10]]), (MIN(IF(N884&lt;&gt;"",N884,9999999999999)*1.1,deployment_raw[[#This Row],[Column10]] * IF($E$2="Deployment",deployment_raw[[#This Row],[Column5]],1))),"")</f>
        <v/>
      </c>
      <c r="K884" s="123" t="str">
        <f>IF(ISNUMBER(deployment_raw[[#This Row],[Column11]]), (MIN(IF(O884&lt;&gt;"",O884,9999999999999)*1.1,deployment_raw[[#This Row],[Column11]] * IF($E$2="Deployment",deployment_raw[[#This Row],[Column5]],1)/1048576)),"")</f>
        <v/>
      </c>
      <c r="L884" s="124" t="str">
        <f>IF(ISNUMBER(deployment_raw[[#This Row],[Column8]]),IF(OR(deployment_raw[[#This Row],[Column5]] &lt;&gt; 0,$E$2 &lt;&gt; "Deployment"), MAX(J884, P884, R884, ($L$2 * IF($E$2="Deployment",deployment_raw[[#This Row],[Column5]],1)),IF(T884&lt;&gt;"",VALUE(T884) * IF($E$2="Deployment",deployment_raw[[#This Row],[Column5]],1),0)), 0),"")</f>
        <v/>
      </c>
      <c r="M884" s="125" t="str">
        <f>IF(ISNUMBER(deployment_raw[[#This Row],[Column9]]),IF(OR(deployment_raw[[#This Row],[Column5]] &lt;&gt; 0,$E$2&lt;&gt;"Deployment"), MAX(K884, Q884, S884, ($M$2 * IF($E$2="Deployment",deployment_raw[[#This Row],[Column5]],1)),IF(U884&lt;&gt;"",VALUE(U884) * IF($E$2="Deployment",deployment_raw[[#This Row],[Column5]],1),0)), 0),"")</f>
        <v/>
      </c>
      <c r="N884" s="166" t="str">
        <f>IF(ISNUMBER(deployment_raw[[#This Row],[Column14]]), deployment_raw[[#This Row],[Column14]]/IF(OR($E$2="Deployment",deployment_raw[[#This Row],[Column5]]=0),1,deployment_raw[[#This Row],[Column5]]),"")</f>
        <v/>
      </c>
      <c r="O884" s="167" t="str">
        <f>IF(ISNUMBER(deployment_raw[[#This Row],[Column15]]), deployment_raw[[#This Row],[Column15]]/IF(OR($E$2="Deployment",deployment_raw[[#This Row],[Column5]]=0),1,deployment_raw[[#This Row],[Column5]])/1048576,"")</f>
        <v/>
      </c>
      <c r="P884" s="168" t="str">
        <f>IF(ISNUMBER(deployment_raw[[#This Row],[Column12]]), (MIN(IF(N884&lt;&gt;"",N884,9999999999999)*1.1,deployment_raw[[#This Row],[Column12]] * IF($E$2="Deployment",deployment_raw[[#This Row],[Column5]],1))*(1+$P$2)),"")</f>
        <v/>
      </c>
      <c r="Q884" s="167" t="str">
        <f>IF(ISNUMBER(deployment_raw[[#This Row],[Column13]]), (MIN(IF(O884&lt;&gt;"",O884,9999999999999)*1.1,deployment_raw[[#This Row],[Column13]] * IF($E$2="Deployment",deployment_raw[[#This Row],[Column5]],1)*(1+$Q$2)/1048576)),"")</f>
        <v/>
      </c>
      <c r="R884" s="169" t="str">
        <f>IF(ISNUMBER(deployment_raw[[#This Row],[Column8]]), (H884  * IF(N884&lt;&gt;0,$R$2,1)),"")</f>
        <v/>
      </c>
      <c r="S884" s="170" t="str">
        <f>IF(ISNUMBER(deployment_raw[[#This Row],[Column8]]), (I884  * IF(O884&lt;&gt;0,$S$2,1)),"")</f>
        <v/>
      </c>
      <c r="T884" s="202" t="str">
        <f>IF(AND(A884&lt;&gt;"",_xlfn.IFNA(MATCH(A884,'dynamic resource application '!$A$2:$A$100, 0),0)&lt;&gt;0), H884/(IF($E$2="Deployment",E884,1)),"")</f>
        <v/>
      </c>
      <c r="U884" s="211" t="str">
        <f>IF(AND(A884&lt;&gt;"",_xlfn.IFNA(MATCH(A884,'dynamic resource application '!$A$2:$A$100, 0),0)&lt;&gt;0), I884/(IF($E$2="Deployment",E884,1)),"")</f>
        <v/>
      </c>
    </row>
    <row r="885" spans="1:21" ht="15" customHeight="1" x14ac:dyDescent="0.25">
      <c r="A885" s="35" t="str">
        <f>IF(ISNONTEXT(deployment_raw[[#This Row],[Column1]]), "", deployment_raw[[#This Row],[Column1]])</f>
        <v/>
      </c>
      <c r="B885" s="36" t="str">
        <f>IF(ISNONTEXT(deployment_raw[[#This Row],[Column2]]), "", deployment_raw[[#This Row],[Column2]])</f>
        <v/>
      </c>
      <c r="C885" s="36" t="str">
        <f>IF(ISNONTEXT(deployment_raw[[#This Row],[Column3]]), "", deployment_raw[[#This Row],[Column3]])</f>
        <v/>
      </c>
      <c r="D885" s="36" t="str">
        <f>IF(ISNONTEXT(deployment_raw[[#This Row],[Column4]]), "", deployment_raw[[#This Row],[Column4]])</f>
        <v/>
      </c>
      <c r="E885" s="37" t="str">
        <f>IF(ISNUMBER(deployment_raw[[#This Row],[Column5]]), deployment_raw[[#This Row],[Column5]],"")</f>
        <v/>
      </c>
      <c r="F885" s="94" t="str">
        <f>IF(ISNUMBER(deployment_raw[[#This Row],[Column6]]), (deployment_raw[[#This Row],[Column6]] * IF($E$2="Deployment",deployment_raw[[#This Row],[Column5]],1)),"")</f>
        <v/>
      </c>
      <c r="G885" s="95" t="str">
        <f>IF(ISNUMBER(deployment_raw[[#This Row],[Column7]]), (deployment_raw[[#This Row],[Column7]] * IF($E$2="Deployment",deployment_raw[[#This Row],[Column5]],1))/1048576,"")</f>
        <v/>
      </c>
      <c r="H885" s="95" t="str">
        <f>IF(ISNUMBER(deployment_raw[[#This Row],[Column8]]), (deployment_raw[[#This Row],[Column8]]  * IF($E$2="Deployment",deployment_raw[[#This Row],[Column5]],1)),"")</f>
        <v/>
      </c>
      <c r="I885" s="96" t="str">
        <f>IF(ISNUMBER(deployment_raw[[#This Row],[Column9]]), (deployment_raw[[#This Row],[Column9]] * IF($E$2="Deployment",deployment_raw[[#This Row],[Column5]],1))/1048576,"")</f>
        <v/>
      </c>
      <c r="J885" s="122" t="str">
        <f>IF(ISNUMBER(deployment_raw[[#This Row],[Column10]]), (MIN(IF(N885&lt;&gt;"",N885,9999999999999)*1.1,deployment_raw[[#This Row],[Column10]] * IF($E$2="Deployment",deployment_raw[[#This Row],[Column5]],1))),"")</f>
        <v/>
      </c>
      <c r="K885" s="123" t="str">
        <f>IF(ISNUMBER(deployment_raw[[#This Row],[Column11]]), (MIN(IF(O885&lt;&gt;"",O885,9999999999999)*1.1,deployment_raw[[#This Row],[Column11]] * IF($E$2="Deployment",deployment_raw[[#This Row],[Column5]],1)/1048576)),"")</f>
        <v/>
      </c>
      <c r="L885" s="124" t="str">
        <f>IF(ISNUMBER(deployment_raw[[#This Row],[Column8]]),IF(OR(deployment_raw[[#This Row],[Column5]] &lt;&gt; 0,$E$2 &lt;&gt; "Deployment"), MAX(J885, P885, R885, ($L$2 * IF($E$2="Deployment",deployment_raw[[#This Row],[Column5]],1)),IF(T885&lt;&gt;"",VALUE(T885) * IF($E$2="Deployment",deployment_raw[[#This Row],[Column5]],1),0)), 0),"")</f>
        <v/>
      </c>
      <c r="M885" s="125" t="str">
        <f>IF(ISNUMBER(deployment_raw[[#This Row],[Column9]]),IF(OR(deployment_raw[[#This Row],[Column5]] &lt;&gt; 0,$E$2&lt;&gt;"Deployment"), MAX(K885, Q885, S885, ($M$2 * IF($E$2="Deployment",deployment_raw[[#This Row],[Column5]],1)),IF(U885&lt;&gt;"",VALUE(U885) * IF($E$2="Deployment",deployment_raw[[#This Row],[Column5]],1),0)), 0),"")</f>
        <v/>
      </c>
      <c r="N885" s="166" t="str">
        <f>IF(ISNUMBER(deployment_raw[[#This Row],[Column14]]), deployment_raw[[#This Row],[Column14]]/IF(OR($E$2="Deployment",deployment_raw[[#This Row],[Column5]]=0),1,deployment_raw[[#This Row],[Column5]]),"")</f>
        <v/>
      </c>
      <c r="O885" s="167" t="str">
        <f>IF(ISNUMBER(deployment_raw[[#This Row],[Column15]]), deployment_raw[[#This Row],[Column15]]/IF(OR($E$2="Deployment",deployment_raw[[#This Row],[Column5]]=0),1,deployment_raw[[#This Row],[Column5]])/1048576,"")</f>
        <v/>
      </c>
      <c r="P885" s="168" t="str">
        <f>IF(ISNUMBER(deployment_raw[[#This Row],[Column12]]), (MIN(IF(N885&lt;&gt;"",N885,9999999999999)*1.1,deployment_raw[[#This Row],[Column12]] * IF($E$2="Deployment",deployment_raw[[#This Row],[Column5]],1))*(1+$P$2)),"")</f>
        <v/>
      </c>
      <c r="Q885" s="167" t="str">
        <f>IF(ISNUMBER(deployment_raw[[#This Row],[Column13]]), (MIN(IF(O885&lt;&gt;"",O885,9999999999999)*1.1,deployment_raw[[#This Row],[Column13]] * IF($E$2="Deployment",deployment_raw[[#This Row],[Column5]],1)*(1+$Q$2)/1048576)),"")</f>
        <v/>
      </c>
      <c r="R885" s="169" t="str">
        <f>IF(ISNUMBER(deployment_raw[[#This Row],[Column8]]), (H885  * IF(N885&lt;&gt;0,$R$2,1)),"")</f>
        <v/>
      </c>
      <c r="S885" s="170" t="str">
        <f>IF(ISNUMBER(deployment_raw[[#This Row],[Column8]]), (I885  * IF(O885&lt;&gt;0,$S$2,1)),"")</f>
        <v/>
      </c>
      <c r="T885" s="202" t="str">
        <f>IF(AND(A885&lt;&gt;"",_xlfn.IFNA(MATCH(A885,'dynamic resource application '!$A$2:$A$100, 0),0)&lt;&gt;0), H885/(IF($E$2="Deployment",E885,1)),"")</f>
        <v/>
      </c>
      <c r="U885" s="211" t="str">
        <f>IF(AND(A885&lt;&gt;"",_xlfn.IFNA(MATCH(A885,'dynamic resource application '!$A$2:$A$100, 0),0)&lt;&gt;0), I885/(IF($E$2="Deployment",E885,1)),"")</f>
        <v/>
      </c>
    </row>
    <row r="886" spans="1:21" ht="15" customHeight="1" x14ac:dyDescent="0.25">
      <c r="A886" s="35" t="str">
        <f>IF(ISNONTEXT(deployment_raw[[#This Row],[Column1]]), "", deployment_raw[[#This Row],[Column1]])</f>
        <v/>
      </c>
      <c r="B886" s="36" t="str">
        <f>IF(ISNONTEXT(deployment_raw[[#This Row],[Column2]]), "", deployment_raw[[#This Row],[Column2]])</f>
        <v/>
      </c>
      <c r="C886" s="36" t="str">
        <f>IF(ISNONTEXT(deployment_raw[[#This Row],[Column3]]), "", deployment_raw[[#This Row],[Column3]])</f>
        <v/>
      </c>
      <c r="D886" s="36" t="str">
        <f>IF(ISNONTEXT(deployment_raw[[#This Row],[Column4]]), "", deployment_raw[[#This Row],[Column4]])</f>
        <v/>
      </c>
      <c r="E886" s="37" t="str">
        <f>IF(ISNUMBER(deployment_raw[[#This Row],[Column5]]), deployment_raw[[#This Row],[Column5]],"")</f>
        <v/>
      </c>
      <c r="F886" s="94" t="str">
        <f>IF(ISNUMBER(deployment_raw[[#This Row],[Column6]]), (deployment_raw[[#This Row],[Column6]] * IF($E$2="Deployment",deployment_raw[[#This Row],[Column5]],1)),"")</f>
        <v/>
      </c>
      <c r="G886" s="95" t="str">
        <f>IF(ISNUMBER(deployment_raw[[#This Row],[Column7]]), (deployment_raw[[#This Row],[Column7]] * IF($E$2="Deployment",deployment_raw[[#This Row],[Column5]],1))/1048576,"")</f>
        <v/>
      </c>
      <c r="H886" s="95" t="str">
        <f>IF(ISNUMBER(deployment_raw[[#This Row],[Column8]]), (deployment_raw[[#This Row],[Column8]]  * IF($E$2="Deployment",deployment_raw[[#This Row],[Column5]],1)),"")</f>
        <v/>
      </c>
      <c r="I886" s="96" t="str">
        <f>IF(ISNUMBER(deployment_raw[[#This Row],[Column9]]), (deployment_raw[[#This Row],[Column9]] * IF($E$2="Deployment",deployment_raw[[#This Row],[Column5]],1))/1048576,"")</f>
        <v/>
      </c>
      <c r="J886" s="122" t="str">
        <f>IF(ISNUMBER(deployment_raw[[#This Row],[Column10]]), (MIN(IF(N886&lt;&gt;"",N886,9999999999999)*1.1,deployment_raw[[#This Row],[Column10]] * IF($E$2="Deployment",deployment_raw[[#This Row],[Column5]],1))),"")</f>
        <v/>
      </c>
      <c r="K886" s="123" t="str">
        <f>IF(ISNUMBER(deployment_raw[[#This Row],[Column11]]), (MIN(IF(O886&lt;&gt;"",O886,9999999999999)*1.1,deployment_raw[[#This Row],[Column11]] * IF($E$2="Deployment",deployment_raw[[#This Row],[Column5]],1)/1048576)),"")</f>
        <v/>
      </c>
      <c r="L886" s="124" t="str">
        <f>IF(ISNUMBER(deployment_raw[[#This Row],[Column8]]),IF(OR(deployment_raw[[#This Row],[Column5]] &lt;&gt; 0,$E$2 &lt;&gt; "Deployment"), MAX(J886, P886, R886, ($L$2 * IF($E$2="Deployment",deployment_raw[[#This Row],[Column5]],1)),IF(T886&lt;&gt;"",VALUE(T886) * IF($E$2="Deployment",deployment_raw[[#This Row],[Column5]],1),0)), 0),"")</f>
        <v/>
      </c>
      <c r="M886" s="125" t="str">
        <f>IF(ISNUMBER(deployment_raw[[#This Row],[Column9]]),IF(OR(deployment_raw[[#This Row],[Column5]] &lt;&gt; 0,$E$2&lt;&gt;"Deployment"), MAX(K886, Q886, S886, ($M$2 * IF($E$2="Deployment",deployment_raw[[#This Row],[Column5]],1)),IF(U886&lt;&gt;"",VALUE(U886) * IF($E$2="Deployment",deployment_raw[[#This Row],[Column5]],1),0)), 0),"")</f>
        <v/>
      </c>
      <c r="N886" s="166" t="str">
        <f>IF(ISNUMBER(deployment_raw[[#This Row],[Column14]]), deployment_raw[[#This Row],[Column14]]/IF(OR($E$2="Deployment",deployment_raw[[#This Row],[Column5]]=0),1,deployment_raw[[#This Row],[Column5]]),"")</f>
        <v/>
      </c>
      <c r="O886" s="167" t="str">
        <f>IF(ISNUMBER(deployment_raw[[#This Row],[Column15]]), deployment_raw[[#This Row],[Column15]]/IF(OR($E$2="Deployment",deployment_raw[[#This Row],[Column5]]=0),1,deployment_raw[[#This Row],[Column5]])/1048576,"")</f>
        <v/>
      </c>
      <c r="P886" s="168" t="str">
        <f>IF(ISNUMBER(deployment_raw[[#This Row],[Column12]]), (MIN(IF(N886&lt;&gt;"",N886,9999999999999)*1.1,deployment_raw[[#This Row],[Column12]] * IF($E$2="Deployment",deployment_raw[[#This Row],[Column5]],1))*(1+$P$2)),"")</f>
        <v/>
      </c>
      <c r="Q886" s="167" t="str">
        <f>IF(ISNUMBER(deployment_raw[[#This Row],[Column13]]), (MIN(IF(O886&lt;&gt;"",O886,9999999999999)*1.1,deployment_raw[[#This Row],[Column13]] * IF($E$2="Deployment",deployment_raw[[#This Row],[Column5]],1)*(1+$Q$2)/1048576)),"")</f>
        <v/>
      </c>
      <c r="R886" s="169" t="str">
        <f>IF(ISNUMBER(deployment_raw[[#This Row],[Column8]]), (H886  * IF(N886&lt;&gt;0,$R$2,1)),"")</f>
        <v/>
      </c>
      <c r="S886" s="170" t="str">
        <f>IF(ISNUMBER(deployment_raw[[#This Row],[Column8]]), (I886  * IF(O886&lt;&gt;0,$S$2,1)),"")</f>
        <v/>
      </c>
      <c r="T886" s="202" t="str">
        <f>IF(AND(A886&lt;&gt;"",_xlfn.IFNA(MATCH(A886,'dynamic resource application '!$A$2:$A$100, 0),0)&lt;&gt;0), H886/(IF($E$2="Deployment",E886,1)),"")</f>
        <v/>
      </c>
      <c r="U886" s="211" t="str">
        <f>IF(AND(A886&lt;&gt;"",_xlfn.IFNA(MATCH(A886,'dynamic resource application '!$A$2:$A$100, 0),0)&lt;&gt;0), I886/(IF($E$2="Deployment",E886,1)),"")</f>
        <v/>
      </c>
    </row>
    <row r="887" spans="1:21" ht="15" customHeight="1" x14ac:dyDescent="0.25">
      <c r="A887" s="35" t="str">
        <f>IF(ISNONTEXT(deployment_raw[[#This Row],[Column1]]), "", deployment_raw[[#This Row],[Column1]])</f>
        <v/>
      </c>
      <c r="B887" s="36" t="str">
        <f>IF(ISNONTEXT(deployment_raw[[#This Row],[Column2]]), "", deployment_raw[[#This Row],[Column2]])</f>
        <v/>
      </c>
      <c r="C887" s="36" t="str">
        <f>IF(ISNONTEXT(deployment_raw[[#This Row],[Column3]]), "", deployment_raw[[#This Row],[Column3]])</f>
        <v/>
      </c>
      <c r="D887" s="36" t="str">
        <f>IF(ISNONTEXT(deployment_raw[[#This Row],[Column4]]), "", deployment_raw[[#This Row],[Column4]])</f>
        <v/>
      </c>
      <c r="E887" s="37" t="str">
        <f>IF(ISNUMBER(deployment_raw[[#This Row],[Column5]]), deployment_raw[[#This Row],[Column5]],"")</f>
        <v/>
      </c>
      <c r="F887" s="94" t="str">
        <f>IF(ISNUMBER(deployment_raw[[#This Row],[Column6]]), (deployment_raw[[#This Row],[Column6]] * IF($E$2="Deployment",deployment_raw[[#This Row],[Column5]],1)),"")</f>
        <v/>
      </c>
      <c r="G887" s="95" t="str">
        <f>IF(ISNUMBER(deployment_raw[[#This Row],[Column7]]), (deployment_raw[[#This Row],[Column7]] * IF($E$2="Deployment",deployment_raw[[#This Row],[Column5]],1))/1048576,"")</f>
        <v/>
      </c>
      <c r="H887" s="95" t="str">
        <f>IF(ISNUMBER(deployment_raw[[#This Row],[Column8]]), (deployment_raw[[#This Row],[Column8]]  * IF($E$2="Deployment",deployment_raw[[#This Row],[Column5]],1)),"")</f>
        <v/>
      </c>
      <c r="I887" s="96" t="str">
        <f>IF(ISNUMBER(deployment_raw[[#This Row],[Column9]]), (deployment_raw[[#This Row],[Column9]] * IF($E$2="Deployment",deployment_raw[[#This Row],[Column5]],1))/1048576,"")</f>
        <v/>
      </c>
      <c r="J887" s="122" t="str">
        <f>IF(ISNUMBER(deployment_raw[[#This Row],[Column10]]), (MIN(IF(N887&lt;&gt;"",N887,9999999999999)*1.1,deployment_raw[[#This Row],[Column10]] * IF($E$2="Deployment",deployment_raw[[#This Row],[Column5]],1))),"")</f>
        <v/>
      </c>
      <c r="K887" s="123" t="str">
        <f>IF(ISNUMBER(deployment_raw[[#This Row],[Column11]]), (MIN(IF(O887&lt;&gt;"",O887,9999999999999)*1.1,deployment_raw[[#This Row],[Column11]] * IF($E$2="Deployment",deployment_raw[[#This Row],[Column5]],1)/1048576)),"")</f>
        <v/>
      </c>
      <c r="L887" s="124" t="str">
        <f>IF(ISNUMBER(deployment_raw[[#This Row],[Column8]]),IF(OR(deployment_raw[[#This Row],[Column5]] &lt;&gt; 0,$E$2 &lt;&gt; "Deployment"), MAX(J887, P887, R887, ($L$2 * IF($E$2="Deployment",deployment_raw[[#This Row],[Column5]],1)),IF(T887&lt;&gt;"",VALUE(T887) * IF($E$2="Deployment",deployment_raw[[#This Row],[Column5]],1),0)), 0),"")</f>
        <v/>
      </c>
      <c r="M887" s="125" t="str">
        <f>IF(ISNUMBER(deployment_raw[[#This Row],[Column9]]),IF(OR(deployment_raw[[#This Row],[Column5]] &lt;&gt; 0,$E$2&lt;&gt;"Deployment"), MAX(K887, Q887, S887, ($M$2 * IF($E$2="Deployment",deployment_raw[[#This Row],[Column5]],1)),IF(U887&lt;&gt;"",VALUE(U887) * IF($E$2="Deployment",deployment_raw[[#This Row],[Column5]],1),0)), 0),"")</f>
        <v/>
      </c>
      <c r="N887" s="166" t="str">
        <f>IF(ISNUMBER(deployment_raw[[#This Row],[Column14]]), deployment_raw[[#This Row],[Column14]]/IF(OR($E$2="Deployment",deployment_raw[[#This Row],[Column5]]=0),1,deployment_raw[[#This Row],[Column5]]),"")</f>
        <v/>
      </c>
      <c r="O887" s="167" t="str">
        <f>IF(ISNUMBER(deployment_raw[[#This Row],[Column15]]), deployment_raw[[#This Row],[Column15]]/IF(OR($E$2="Deployment",deployment_raw[[#This Row],[Column5]]=0),1,deployment_raw[[#This Row],[Column5]])/1048576,"")</f>
        <v/>
      </c>
      <c r="P887" s="168" t="str">
        <f>IF(ISNUMBER(deployment_raw[[#This Row],[Column12]]), (MIN(IF(N887&lt;&gt;"",N887,9999999999999)*1.1,deployment_raw[[#This Row],[Column12]] * IF($E$2="Deployment",deployment_raw[[#This Row],[Column5]],1))*(1+$P$2)),"")</f>
        <v/>
      </c>
      <c r="Q887" s="167" t="str">
        <f>IF(ISNUMBER(deployment_raw[[#This Row],[Column13]]), (MIN(IF(O887&lt;&gt;"",O887,9999999999999)*1.1,deployment_raw[[#This Row],[Column13]] * IF($E$2="Deployment",deployment_raw[[#This Row],[Column5]],1)*(1+$Q$2)/1048576)),"")</f>
        <v/>
      </c>
      <c r="R887" s="169" t="str">
        <f>IF(ISNUMBER(deployment_raw[[#This Row],[Column8]]), (H887  * IF(N887&lt;&gt;0,$R$2,1)),"")</f>
        <v/>
      </c>
      <c r="S887" s="170" t="str">
        <f>IF(ISNUMBER(deployment_raw[[#This Row],[Column8]]), (I887  * IF(O887&lt;&gt;0,$S$2,1)),"")</f>
        <v/>
      </c>
      <c r="T887" s="202" t="str">
        <f>IF(AND(A887&lt;&gt;"",_xlfn.IFNA(MATCH(A887,'dynamic resource application '!$A$2:$A$100, 0),0)&lt;&gt;0), H887/(IF($E$2="Deployment",E887,1)),"")</f>
        <v/>
      </c>
      <c r="U887" s="211" t="str">
        <f>IF(AND(A887&lt;&gt;"",_xlfn.IFNA(MATCH(A887,'dynamic resource application '!$A$2:$A$100, 0),0)&lt;&gt;0), I887/(IF($E$2="Deployment",E887,1)),"")</f>
        <v/>
      </c>
    </row>
    <row r="888" spans="1:21" ht="15" customHeight="1" x14ac:dyDescent="0.25">
      <c r="A888" s="35" t="str">
        <f>IF(ISNONTEXT(deployment_raw[[#This Row],[Column1]]), "", deployment_raw[[#This Row],[Column1]])</f>
        <v/>
      </c>
      <c r="B888" s="36" t="str">
        <f>IF(ISNONTEXT(deployment_raw[[#This Row],[Column2]]), "", deployment_raw[[#This Row],[Column2]])</f>
        <v/>
      </c>
      <c r="C888" s="36" t="str">
        <f>IF(ISNONTEXT(deployment_raw[[#This Row],[Column3]]), "", deployment_raw[[#This Row],[Column3]])</f>
        <v/>
      </c>
      <c r="D888" s="36" t="str">
        <f>IF(ISNONTEXT(deployment_raw[[#This Row],[Column4]]), "", deployment_raw[[#This Row],[Column4]])</f>
        <v/>
      </c>
      <c r="E888" s="37" t="str">
        <f>IF(ISNUMBER(deployment_raw[[#This Row],[Column5]]), deployment_raw[[#This Row],[Column5]],"")</f>
        <v/>
      </c>
      <c r="F888" s="94" t="str">
        <f>IF(ISNUMBER(deployment_raw[[#This Row],[Column6]]), (deployment_raw[[#This Row],[Column6]] * IF($E$2="Deployment",deployment_raw[[#This Row],[Column5]],1)),"")</f>
        <v/>
      </c>
      <c r="G888" s="95" t="str">
        <f>IF(ISNUMBER(deployment_raw[[#This Row],[Column7]]), (deployment_raw[[#This Row],[Column7]] * IF($E$2="Deployment",deployment_raw[[#This Row],[Column5]],1))/1048576,"")</f>
        <v/>
      </c>
      <c r="H888" s="95" t="str">
        <f>IF(ISNUMBER(deployment_raw[[#This Row],[Column8]]), (deployment_raw[[#This Row],[Column8]]  * IF($E$2="Deployment",deployment_raw[[#This Row],[Column5]],1)),"")</f>
        <v/>
      </c>
      <c r="I888" s="96" t="str">
        <f>IF(ISNUMBER(deployment_raw[[#This Row],[Column9]]), (deployment_raw[[#This Row],[Column9]] * IF($E$2="Deployment",deployment_raw[[#This Row],[Column5]],1))/1048576,"")</f>
        <v/>
      </c>
      <c r="J888" s="122" t="str">
        <f>IF(ISNUMBER(deployment_raw[[#This Row],[Column10]]), (MIN(IF(N888&lt;&gt;"",N888,9999999999999)*1.1,deployment_raw[[#This Row],[Column10]] * IF($E$2="Deployment",deployment_raw[[#This Row],[Column5]],1))),"")</f>
        <v/>
      </c>
      <c r="K888" s="123" t="str">
        <f>IF(ISNUMBER(deployment_raw[[#This Row],[Column11]]), (MIN(IF(O888&lt;&gt;"",O888,9999999999999)*1.1,deployment_raw[[#This Row],[Column11]] * IF($E$2="Deployment",deployment_raw[[#This Row],[Column5]],1)/1048576)),"")</f>
        <v/>
      </c>
      <c r="L888" s="124" t="str">
        <f>IF(ISNUMBER(deployment_raw[[#This Row],[Column8]]),IF(OR(deployment_raw[[#This Row],[Column5]] &lt;&gt; 0,$E$2 &lt;&gt; "Deployment"), MAX(J888, P888, R888, ($L$2 * IF($E$2="Deployment",deployment_raw[[#This Row],[Column5]],1)),IF(T888&lt;&gt;"",VALUE(T888) * IF($E$2="Deployment",deployment_raw[[#This Row],[Column5]],1),0)), 0),"")</f>
        <v/>
      </c>
      <c r="M888" s="125" t="str">
        <f>IF(ISNUMBER(deployment_raw[[#This Row],[Column9]]),IF(OR(deployment_raw[[#This Row],[Column5]] &lt;&gt; 0,$E$2&lt;&gt;"Deployment"), MAX(K888, Q888, S888, ($M$2 * IF($E$2="Deployment",deployment_raw[[#This Row],[Column5]],1)),IF(U888&lt;&gt;"",VALUE(U888) * IF($E$2="Deployment",deployment_raw[[#This Row],[Column5]],1),0)), 0),"")</f>
        <v/>
      </c>
      <c r="N888" s="166" t="str">
        <f>IF(ISNUMBER(deployment_raw[[#This Row],[Column14]]), deployment_raw[[#This Row],[Column14]]/IF(OR($E$2="Deployment",deployment_raw[[#This Row],[Column5]]=0),1,deployment_raw[[#This Row],[Column5]]),"")</f>
        <v/>
      </c>
      <c r="O888" s="167" t="str">
        <f>IF(ISNUMBER(deployment_raw[[#This Row],[Column15]]), deployment_raw[[#This Row],[Column15]]/IF(OR($E$2="Deployment",deployment_raw[[#This Row],[Column5]]=0),1,deployment_raw[[#This Row],[Column5]])/1048576,"")</f>
        <v/>
      </c>
      <c r="P888" s="168" t="str">
        <f>IF(ISNUMBER(deployment_raw[[#This Row],[Column12]]), (MIN(IF(N888&lt;&gt;"",N888,9999999999999)*1.1,deployment_raw[[#This Row],[Column12]] * IF($E$2="Deployment",deployment_raw[[#This Row],[Column5]],1))*(1+$P$2)),"")</f>
        <v/>
      </c>
      <c r="Q888" s="167" t="str">
        <f>IF(ISNUMBER(deployment_raw[[#This Row],[Column13]]), (MIN(IF(O888&lt;&gt;"",O888,9999999999999)*1.1,deployment_raw[[#This Row],[Column13]] * IF($E$2="Deployment",deployment_raw[[#This Row],[Column5]],1)*(1+$Q$2)/1048576)),"")</f>
        <v/>
      </c>
      <c r="R888" s="169" t="str">
        <f>IF(ISNUMBER(deployment_raw[[#This Row],[Column8]]), (H888  * IF(N888&lt;&gt;0,$R$2,1)),"")</f>
        <v/>
      </c>
      <c r="S888" s="170" t="str">
        <f>IF(ISNUMBER(deployment_raw[[#This Row],[Column8]]), (I888  * IF(O888&lt;&gt;0,$S$2,1)),"")</f>
        <v/>
      </c>
      <c r="T888" s="202" t="str">
        <f>IF(AND(A888&lt;&gt;"",_xlfn.IFNA(MATCH(A888,'dynamic resource application '!$A$2:$A$100, 0),0)&lt;&gt;0), H888/(IF($E$2="Deployment",E888,1)),"")</f>
        <v/>
      </c>
      <c r="U888" s="211" t="str">
        <f>IF(AND(A888&lt;&gt;"",_xlfn.IFNA(MATCH(A888,'dynamic resource application '!$A$2:$A$100, 0),0)&lt;&gt;0), I888/(IF($E$2="Deployment",E888,1)),"")</f>
        <v/>
      </c>
    </row>
    <row r="889" spans="1:21" ht="15" customHeight="1" x14ac:dyDescent="0.25">
      <c r="A889" s="35" t="str">
        <f>IF(ISNONTEXT(deployment_raw[[#This Row],[Column1]]), "", deployment_raw[[#This Row],[Column1]])</f>
        <v/>
      </c>
      <c r="B889" s="36" t="str">
        <f>IF(ISNONTEXT(deployment_raw[[#This Row],[Column2]]), "", deployment_raw[[#This Row],[Column2]])</f>
        <v/>
      </c>
      <c r="C889" s="36" t="str">
        <f>IF(ISNONTEXT(deployment_raw[[#This Row],[Column3]]), "", deployment_raw[[#This Row],[Column3]])</f>
        <v/>
      </c>
      <c r="D889" s="36" t="str">
        <f>IF(ISNONTEXT(deployment_raw[[#This Row],[Column4]]), "", deployment_raw[[#This Row],[Column4]])</f>
        <v/>
      </c>
      <c r="E889" s="37" t="str">
        <f>IF(ISNUMBER(deployment_raw[[#This Row],[Column5]]), deployment_raw[[#This Row],[Column5]],"")</f>
        <v/>
      </c>
      <c r="F889" s="94" t="str">
        <f>IF(ISNUMBER(deployment_raw[[#This Row],[Column6]]), (deployment_raw[[#This Row],[Column6]] * IF($E$2="Deployment",deployment_raw[[#This Row],[Column5]],1)),"")</f>
        <v/>
      </c>
      <c r="G889" s="95" t="str">
        <f>IF(ISNUMBER(deployment_raw[[#This Row],[Column7]]), (deployment_raw[[#This Row],[Column7]] * IF($E$2="Deployment",deployment_raw[[#This Row],[Column5]],1))/1048576,"")</f>
        <v/>
      </c>
      <c r="H889" s="95" t="str">
        <f>IF(ISNUMBER(deployment_raw[[#This Row],[Column8]]), (deployment_raw[[#This Row],[Column8]]  * IF($E$2="Deployment",deployment_raw[[#This Row],[Column5]],1)),"")</f>
        <v/>
      </c>
      <c r="I889" s="96" t="str">
        <f>IF(ISNUMBER(deployment_raw[[#This Row],[Column9]]), (deployment_raw[[#This Row],[Column9]] * IF($E$2="Deployment",deployment_raw[[#This Row],[Column5]],1))/1048576,"")</f>
        <v/>
      </c>
      <c r="J889" s="122" t="str">
        <f>IF(ISNUMBER(deployment_raw[[#This Row],[Column10]]), (MIN(IF(N889&lt;&gt;"",N889,9999999999999)*1.1,deployment_raw[[#This Row],[Column10]] * IF($E$2="Deployment",deployment_raw[[#This Row],[Column5]],1))),"")</f>
        <v/>
      </c>
      <c r="K889" s="123" t="str">
        <f>IF(ISNUMBER(deployment_raw[[#This Row],[Column11]]), (MIN(IF(O889&lt;&gt;"",O889,9999999999999)*1.1,deployment_raw[[#This Row],[Column11]] * IF($E$2="Deployment",deployment_raw[[#This Row],[Column5]],1)/1048576)),"")</f>
        <v/>
      </c>
      <c r="L889" s="124" t="str">
        <f>IF(ISNUMBER(deployment_raw[[#This Row],[Column8]]),IF(OR(deployment_raw[[#This Row],[Column5]] &lt;&gt; 0,$E$2 &lt;&gt; "Deployment"), MAX(J889, P889, R889, ($L$2 * IF($E$2="Deployment",deployment_raw[[#This Row],[Column5]],1)),IF(T889&lt;&gt;"",VALUE(T889) * IF($E$2="Deployment",deployment_raw[[#This Row],[Column5]],1),0)), 0),"")</f>
        <v/>
      </c>
      <c r="M889" s="125" t="str">
        <f>IF(ISNUMBER(deployment_raw[[#This Row],[Column9]]),IF(OR(deployment_raw[[#This Row],[Column5]] &lt;&gt; 0,$E$2&lt;&gt;"Deployment"), MAX(K889, Q889, S889, ($M$2 * IF($E$2="Deployment",deployment_raw[[#This Row],[Column5]],1)),IF(U889&lt;&gt;"",VALUE(U889) * IF($E$2="Deployment",deployment_raw[[#This Row],[Column5]],1),0)), 0),"")</f>
        <v/>
      </c>
      <c r="N889" s="166" t="str">
        <f>IF(ISNUMBER(deployment_raw[[#This Row],[Column14]]), deployment_raw[[#This Row],[Column14]]/IF(OR($E$2="Deployment",deployment_raw[[#This Row],[Column5]]=0),1,deployment_raw[[#This Row],[Column5]]),"")</f>
        <v/>
      </c>
      <c r="O889" s="167" t="str">
        <f>IF(ISNUMBER(deployment_raw[[#This Row],[Column15]]), deployment_raw[[#This Row],[Column15]]/IF(OR($E$2="Deployment",deployment_raw[[#This Row],[Column5]]=0),1,deployment_raw[[#This Row],[Column5]])/1048576,"")</f>
        <v/>
      </c>
      <c r="P889" s="168" t="str">
        <f>IF(ISNUMBER(deployment_raw[[#This Row],[Column12]]), (MIN(IF(N889&lt;&gt;"",N889,9999999999999)*1.1,deployment_raw[[#This Row],[Column12]] * IF($E$2="Deployment",deployment_raw[[#This Row],[Column5]],1))*(1+$P$2)),"")</f>
        <v/>
      </c>
      <c r="Q889" s="167" t="str">
        <f>IF(ISNUMBER(deployment_raw[[#This Row],[Column13]]), (MIN(IF(O889&lt;&gt;"",O889,9999999999999)*1.1,deployment_raw[[#This Row],[Column13]] * IF($E$2="Deployment",deployment_raw[[#This Row],[Column5]],1)*(1+$Q$2)/1048576)),"")</f>
        <v/>
      </c>
      <c r="R889" s="169" t="str">
        <f>IF(ISNUMBER(deployment_raw[[#This Row],[Column8]]), (H889  * IF(N889&lt;&gt;0,$R$2,1)),"")</f>
        <v/>
      </c>
      <c r="S889" s="170" t="str">
        <f>IF(ISNUMBER(deployment_raw[[#This Row],[Column8]]), (I889  * IF(O889&lt;&gt;0,$S$2,1)),"")</f>
        <v/>
      </c>
      <c r="T889" s="202" t="str">
        <f>IF(AND(A889&lt;&gt;"",_xlfn.IFNA(MATCH(A889,'dynamic resource application '!$A$2:$A$100, 0),0)&lt;&gt;0), H889/(IF($E$2="Deployment",E889,1)),"")</f>
        <v/>
      </c>
      <c r="U889" s="211" t="str">
        <f>IF(AND(A889&lt;&gt;"",_xlfn.IFNA(MATCH(A889,'dynamic resource application '!$A$2:$A$100, 0),0)&lt;&gt;0), I889/(IF($E$2="Deployment",E889,1)),"")</f>
        <v/>
      </c>
    </row>
    <row r="890" spans="1:21" ht="15" customHeight="1" x14ac:dyDescent="0.25">
      <c r="A890" s="35" t="str">
        <f>IF(ISNONTEXT(deployment_raw[[#This Row],[Column1]]), "", deployment_raw[[#This Row],[Column1]])</f>
        <v/>
      </c>
      <c r="B890" s="36" t="str">
        <f>IF(ISNONTEXT(deployment_raw[[#This Row],[Column2]]), "", deployment_raw[[#This Row],[Column2]])</f>
        <v/>
      </c>
      <c r="C890" s="36" t="str">
        <f>IF(ISNONTEXT(deployment_raw[[#This Row],[Column3]]), "", deployment_raw[[#This Row],[Column3]])</f>
        <v/>
      </c>
      <c r="D890" s="36" t="str">
        <f>IF(ISNONTEXT(deployment_raw[[#This Row],[Column4]]), "", deployment_raw[[#This Row],[Column4]])</f>
        <v/>
      </c>
      <c r="E890" s="37" t="str">
        <f>IF(ISNUMBER(deployment_raw[[#This Row],[Column5]]), deployment_raw[[#This Row],[Column5]],"")</f>
        <v/>
      </c>
      <c r="F890" s="94" t="str">
        <f>IF(ISNUMBER(deployment_raw[[#This Row],[Column6]]), (deployment_raw[[#This Row],[Column6]] * IF($E$2="Deployment",deployment_raw[[#This Row],[Column5]],1)),"")</f>
        <v/>
      </c>
      <c r="G890" s="95" t="str">
        <f>IF(ISNUMBER(deployment_raw[[#This Row],[Column7]]), (deployment_raw[[#This Row],[Column7]] * IF($E$2="Deployment",deployment_raw[[#This Row],[Column5]],1))/1048576,"")</f>
        <v/>
      </c>
      <c r="H890" s="95" t="str">
        <f>IF(ISNUMBER(deployment_raw[[#This Row],[Column8]]), (deployment_raw[[#This Row],[Column8]]  * IF($E$2="Deployment",deployment_raw[[#This Row],[Column5]],1)),"")</f>
        <v/>
      </c>
      <c r="I890" s="96" t="str">
        <f>IF(ISNUMBER(deployment_raw[[#This Row],[Column9]]), (deployment_raw[[#This Row],[Column9]] * IF($E$2="Deployment",deployment_raw[[#This Row],[Column5]],1))/1048576,"")</f>
        <v/>
      </c>
      <c r="J890" s="122" t="str">
        <f>IF(ISNUMBER(deployment_raw[[#This Row],[Column10]]), (MIN(IF(N890&lt;&gt;"",N890,9999999999999)*1.1,deployment_raw[[#This Row],[Column10]] * IF($E$2="Deployment",deployment_raw[[#This Row],[Column5]],1))),"")</f>
        <v/>
      </c>
      <c r="K890" s="123" t="str">
        <f>IF(ISNUMBER(deployment_raw[[#This Row],[Column11]]), (MIN(IF(O890&lt;&gt;"",O890,9999999999999)*1.1,deployment_raw[[#This Row],[Column11]] * IF($E$2="Deployment",deployment_raw[[#This Row],[Column5]],1)/1048576)),"")</f>
        <v/>
      </c>
      <c r="L890" s="124" t="str">
        <f>IF(ISNUMBER(deployment_raw[[#This Row],[Column8]]),IF(OR(deployment_raw[[#This Row],[Column5]] &lt;&gt; 0,$E$2 &lt;&gt; "Deployment"), MAX(J890, P890, R890, ($L$2 * IF($E$2="Deployment",deployment_raw[[#This Row],[Column5]],1)),IF(T890&lt;&gt;"",VALUE(T890) * IF($E$2="Deployment",deployment_raw[[#This Row],[Column5]],1),0)), 0),"")</f>
        <v/>
      </c>
      <c r="M890" s="125" t="str">
        <f>IF(ISNUMBER(deployment_raw[[#This Row],[Column9]]),IF(OR(deployment_raw[[#This Row],[Column5]] &lt;&gt; 0,$E$2&lt;&gt;"Deployment"), MAX(K890, Q890, S890, ($M$2 * IF($E$2="Deployment",deployment_raw[[#This Row],[Column5]],1)),IF(U890&lt;&gt;"",VALUE(U890) * IF($E$2="Deployment",deployment_raw[[#This Row],[Column5]],1),0)), 0),"")</f>
        <v/>
      </c>
      <c r="N890" s="166" t="str">
        <f>IF(ISNUMBER(deployment_raw[[#This Row],[Column14]]), deployment_raw[[#This Row],[Column14]]/IF(OR($E$2="Deployment",deployment_raw[[#This Row],[Column5]]=0),1,deployment_raw[[#This Row],[Column5]]),"")</f>
        <v/>
      </c>
      <c r="O890" s="167" t="str">
        <f>IF(ISNUMBER(deployment_raw[[#This Row],[Column15]]), deployment_raw[[#This Row],[Column15]]/IF(OR($E$2="Deployment",deployment_raw[[#This Row],[Column5]]=0),1,deployment_raw[[#This Row],[Column5]])/1048576,"")</f>
        <v/>
      </c>
      <c r="P890" s="168" t="str">
        <f>IF(ISNUMBER(deployment_raw[[#This Row],[Column12]]), (MIN(IF(N890&lt;&gt;"",N890,9999999999999)*1.1,deployment_raw[[#This Row],[Column12]] * IF($E$2="Deployment",deployment_raw[[#This Row],[Column5]],1))*(1+$P$2)),"")</f>
        <v/>
      </c>
      <c r="Q890" s="167" t="str">
        <f>IF(ISNUMBER(deployment_raw[[#This Row],[Column13]]), (MIN(IF(O890&lt;&gt;"",O890,9999999999999)*1.1,deployment_raw[[#This Row],[Column13]] * IF($E$2="Deployment",deployment_raw[[#This Row],[Column5]],1)*(1+$Q$2)/1048576)),"")</f>
        <v/>
      </c>
      <c r="R890" s="169" t="str">
        <f>IF(ISNUMBER(deployment_raw[[#This Row],[Column8]]), (H890  * IF(N890&lt;&gt;0,$R$2,1)),"")</f>
        <v/>
      </c>
      <c r="S890" s="170" t="str">
        <f>IF(ISNUMBER(deployment_raw[[#This Row],[Column8]]), (I890  * IF(O890&lt;&gt;0,$S$2,1)),"")</f>
        <v/>
      </c>
      <c r="T890" s="202" t="str">
        <f>IF(AND(A890&lt;&gt;"",_xlfn.IFNA(MATCH(A890,'dynamic resource application '!$A$2:$A$100, 0),0)&lt;&gt;0), H890/(IF($E$2="Deployment",E890,1)),"")</f>
        <v/>
      </c>
      <c r="U890" s="211" t="str">
        <f>IF(AND(A890&lt;&gt;"",_xlfn.IFNA(MATCH(A890,'dynamic resource application '!$A$2:$A$100, 0),0)&lt;&gt;0), I890/(IF($E$2="Deployment",E890,1)),"")</f>
        <v/>
      </c>
    </row>
    <row r="891" spans="1:21" ht="15" customHeight="1" x14ac:dyDescent="0.25">
      <c r="A891" s="35" t="str">
        <f>IF(ISNONTEXT(deployment_raw[[#This Row],[Column1]]), "", deployment_raw[[#This Row],[Column1]])</f>
        <v/>
      </c>
      <c r="B891" s="36" t="str">
        <f>IF(ISNONTEXT(deployment_raw[[#This Row],[Column2]]), "", deployment_raw[[#This Row],[Column2]])</f>
        <v/>
      </c>
      <c r="C891" s="36" t="str">
        <f>IF(ISNONTEXT(deployment_raw[[#This Row],[Column3]]), "", deployment_raw[[#This Row],[Column3]])</f>
        <v/>
      </c>
      <c r="D891" s="36" t="str">
        <f>IF(ISNONTEXT(deployment_raw[[#This Row],[Column4]]), "", deployment_raw[[#This Row],[Column4]])</f>
        <v/>
      </c>
      <c r="E891" s="37" t="str">
        <f>IF(ISNUMBER(deployment_raw[[#This Row],[Column5]]), deployment_raw[[#This Row],[Column5]],"")</f>
        <v/>
      </c>
      <c r="F891" s="94" t="str">
        <f>IF(ISNUMBER(deployment_raw[[#This Row],[Column6]]), (deployment_raw[[#This Row],[Column6]] * IF($E$2="Deployment",deployment_raw[[#This Row],[Column5]],1)),"")</f>
        <v/>
      </c>
      <c r="G891" s="95" t="str">
        <f>IF(ISNUMBER(deployment_raw[[#This Row],[Column7]]), (deployment_raw[[#This Row],[Column7]] * IF($E$2="Deployment",deployment_raw[[#This Row],[Column5]],1))/1048576,"")</f>
        <v/>
      </c>
      <c r="H891" s="95" t="str">
        <f>IF(ISNUMBER(deployment_raw[[#This Row],[Column8]]), (deployment_raw[[#This Row],[Column8]]  * IF($E$2="Deployment",deployment_raw[[#This Row],[Column5]],1)),"")</f>
        <v/>
      </c>
      <c r="I891" s="96" t="str">
        <f>IF(ISNUMBER(deployment_raw[[#This Row],[Column9]]), (deployment_raw[[#This Row],[Column9]] * IF($E$2="Deployment",deployment_raw[[#This Row],[Column5]],1))/1048576,"")</f>
        <v/>
      </c>
      <c r="J891" s="122" t="str">
        <f>IF(ISNUMBER(deployment_raw[[#This Row],[Column10]]), (MIN(IF(N891&lt;&gt;"",N891,9999999999999)*1.1,deployment_raw[[#This Row],[Column10]] * IF($E$2="Deployment",deployment_raw[[#This Row],[Column5]],1))),"")</f>
        <v/>
      </c>
      <c r="K891" s="123" t="str">
        <f>IF(ISNUMBER(deployment_raw[[#This Row],[Column11]]), (MIN(IF(O891&lt;&gt;"",O891,9999999999999)*1.1,deployment_raw[[#This Row],[Column11]] * IF($E$2="Deployment",deployment_raw[[#This Row],[Column5]],1)/1048576)),"")</f>
        <v/>
      </c>
      <c r="L891" s="124" t="str">
        <f>IF(ISNUMBER(deployment_raw[[#This Row],[Column8]]),IF(OR(deployment_raw[[#This Row],[Column5]] &lt;&gt; 0,$E$2 &lt;&gt; "Deployment"), MAX(J891, P891, R891, ($L$2 * IF($E$2="Deployment",deployment_raw[[#This Row],[Column5]],1)),IF(T891&lt;&gt;"",VALUE(T891) * IF($E$2="Deployment",deployment_raw[[#This Row],[Column5]],1),0)), 0),"")</f>
        <v/>
      </c>
      <c r="M891" s="125" t="str">
        <f>IF(ISNUMBER(deployment_raw[[#This Row],[Column9]]),IF(OR(deployment_raw[[#This Row],[Column5]] &lt;&gt; 0,$E$2&lt;&gt;"Deployment"), MAX(K891, Q891, S891, ($M$2 * IF($E$2="Deployment",deployment_raw[[#This Row],[Column5]],1)),IF(U891&lt;&gt;"",VALUE(U891) * IF($E$2="Deployment",deployment_raw[[#This Row],[Column5]],1),0)), 0),"")</f>
        <v/>
      </c>
      <c r="N891" s="166" t="str">
        <f>IF(ISNUMBER(deployment_raw[[#This Row],[Column14]]), deployment_raw[[#This Row],[Column14]]/IF(OR($E$2="Deployment",deployment_raw[[#This Row],[Column5]]=0),1,deployment_raw[[#This Row],[Column5]]),"")</f>
        <v/>
      </c>
      <c r="O891" s="167" t="str">
        <f>IF(ISNUMBER(deployment_raw[[#This Row],[Column15]]), deployment_raw[[#This Row],[Column15]]/IF(OR($E$2="Deployment",deployment_raw[[#This Row],[Column5]]=0),1,deployment_raw[[#This Row],[Column5]])/1048576,"")</f>
        <v/>
      </c>
      <c r="P891" s="168" t="str">
        <f>IF(ISNUMBER(deployment_raw[[#This Row],[Column12]]), (MIN(IF(N891&lt;&gt;"",N891,9999999999999)*1.1,deployment_raw[[#This Row],[Column12]] * IF($E$2="Deployment",deployment_raw[[#This Row],[Column5]],1))*(1+$P$2)),"")</f>
        <v/>
      </c>
      <c r="Q891" s="167" t="str">
        <f>IF(ISNUMBER(deployment_raw[[#This Row],[Column13]]), (MIN(IF(O891&lt;&gt;"",O891,9999999999999)*1.1,deployment_raw[[#This Row],[Column13]] * IF($E$2="Deployment",deployment_raw[[#This Row],[Column5]],1)*(1+$Q$2)/1048576)),"")</f>
        <v/>
      </c>
      <c r="R891" s="169" t="str">
        <f>IF(ISNUMBER(deployment_raw[[#This Row],[Column8]]), (H891  * IF(N891&lt;&gt;0,$R$2,1)),"")</f>
        <v/>
      </c>
      <c r="S891" s="170" t="str">
        <f>IF(ISNUMBER(deployment_raw[[#This Row],[Column8]]), (I891  * IF(O891&lt;&gt;0,$S$2,1)),"")</f>
        <v/>
      </c>
      <c r="T891" s="202" t="str">
        <f>IF(AND(A891&lt;&gt;"",_xlfn.IFNA(MATCH(A891,'dynamic resource application '!$A$2:$A$100, 0),0)&lt;&gt;0), H891/(IF($E$2="Deployment",E891,1)),"")</f>
        <v/>
      </c>
      <c r="U891" s="211" t="str">
        <f>IF(AND(A891&lt;&gt;"",_xlfn.IFNA(MATCH(A891,'dynamic resource application '!$A$2:$A$100, 0),0)&lt;&gt;0), I891/(IF($E$2="Deployment",E891,1)),"")</f>
        <v/>
      </c>
    </row>
    <row r="892" spans="1:21" ht="15" customHeight="1" x14ac:dyDescent="0.25">
      <c r="A892" s="35" t="str">
        <f>IF(ISNONTEXT(deployment_raw[[#This Row],[Column1]]), "", deployment_raw[[#This Row],[Column1]])</f>
        <v/>
      </c>
      <c r="B892" s="36" t="str">
        <f>IF(ISNONTEXT(deployment_raw[[#This Row],[Column2]]), "", deployment_raw[[#This Row],[Column2]])</f>
        <v/>
      </c>
      <c r="C892" s="36" t="str">
        <f>IF(ISNONTEXT(deployment_raw[[#This Row],[Column3]]), "", deployment_raw[[#This Row],[Column3]])</f>
        <v/>
      </c>
      <c r="D892" s="36" t="str">
        <f>IF(ISNONTEXT(deployment_raw[[#This Row],[Column4]]), "", deployment_raw[[#This Row],[Column4]])</f>
        <v/>
      </c>
      <c r="E892" s="37" t="str">
        <f>IF(ISNUMBER(deployment_raw[[#This Row],[Column5]]), deployment_raw[[#This Row],[Column5]],"")</f>
        <v/>
      </c>
      <c r="F892" s="94" t="str">
        <f>IF(ISNUMBER(deployment_raw[[#This Row],[Column6]]), (deployment_raw[[#This Row],[Column6]] * IF($E$2="Deployment",deployment_raw[[#This Row],[Column5]],1)),"")</f>
        <v/>
      </c>
      <c r="G892" s="95" t="str">
        <f>IF(ISNUMBER(deployment_raw[[#This Row],[Column7]]), (deployment_raw[[#This Row],[Column7]] * IF($E$2="Deployment",deployment_raw[[#This Row],[Column5]],1))/1048576,"")</f>
        <v/>
      </c>
      <c r="H892" s="95" t="str">
        <f>IF(ISNUMBER(deployment_raw[[#This Row],[Column8]]), (deployment_raw[[#This Row],[Column8]]  * IF($E$2="Deployment",deployment_raw[[#This Row],[Column5]],1)),"")</f>
        <v/>
      </c>
      <c r="I892" s="96" t="str">
        <f>IF(ISNUMBER(deployment_raw[[#This Row],[Column9]]), (deployment_raw[[#This Row],[Column9]] * IF($E$2="Deployment",deployment_raw[[#This Row],[Column5]],1))/1048576,"")</f>
        <v/>
      </c>
      <c r="J892" s="122" t="str">
        <f>IF(ISNUMBER(deployment_raw[[#This Row],[Column10]]), (MIN(IF(N892&lt;&gt;"",N892,9999999999999)*1.1,deployment_raw[[#This Row],[Column10]] * IF($E$2="Deployment",deployment_raw[[#This Row],[Column5]],1))),"")</f>
        <v/>
      </c>
      <c r="K892" s="123" t="str">
        <f>IF(ISNUMBER(deployment_raw[[#This Row],[Column11]]), (MIN(IF(O892&lt;&gt;"",O892,9999999999999)*1.1,deployment_raw[[#This Row],[Column11]] * IF($E$2="Deployment",deployment_raw[[#This Row],[Column5]],1)/1048576)),"")</f>
        <v/>
      </c>
      <c r="L892" s="124" t="str">
        <f>IF(ISNUMBER(deployment_raw[[#This Row],[Column8]]),IF(OR(deployment_raw[[#This Row],[Column5]] &lt;&gt; 0,$E$2 &lt;&gt; "Deployment"), MAX(J892, P892, R892, ($L$2 * IF($E$2="Deployment",deployment_raw[[#This Row],[Column5]],1)),IF(T892&lt;&gt;"",VALUE(T892) * IF($E$2="Deployment",deployment_raw[[#This Row],[Column5]],1),0)), 0),"")</f>
        <v/>
      </c>
      <c r="M892" s="125" t="str">
        <f>IF(ISNUMBER(deployment_raw[[#This Row],[Column9]]),IF(OR(deployment_raw[[#This Row],[Column5]] &lt;&gt; 0,$E$2&lt;&gt;"Deployment"), MAX(K892, Q892, S892, ($M$2 * IF($E$2="Deployment",deployment_raw[[#This Row],[Column5]],1)),IF(U892&lt;&gt;"",VALUE(U892) * IF($E$2="Deployment",deployment_raw[[#This Row],[Column5]],1),0)), 0),"")</f>
        <v/>
      </c>
      <c r="N892" s="166" t="str">
        <f>IF(ISNUMBER(deployment_raw[[#This Row],[Column14]]), deployment_raw[[#This Row],[Column14]]/IF(OR($E$2="Deployment",deployment_raw[[#This Row],[Column5]]=0),1,deployment_raw[[#This Row],[Column5]]),"")</f>
        <v/>
      </c>
      <c r="O892" s="167" t="str">
        <f>IF(ISNUMBER(deployment_raw[[#This Row],[Column15]]), deployment_raw[[#This Row],[Column15]]/IF(OR($E$2="Deployment",deployment_raw[[#This Row],[Column5]]=0),1,deployment_raw[[#This Row],[Column5]])/1048576,"")</f>
        <v/>
      </c>
      <c r="P892" s="168" t="str">
        <f>IF(ISNUMBER(deployment_raw[[#This Row],[Column12]]), (MIN(IF(N892&lt;&gt;"",N892,9999999999999)*1.1,deployment_raw[[#This Row],[Column12]] * IF($E$2="Deployment",deployment_raw[[#This Row],[Column5]],1))*(1+$P$2)),"")</f>
        <v/>
      </c>
      <c r="Q892" s="167" t="str">
        <f>IF(ISNUMBER(deployment_raw[[#This Row],[Column13]]), (MIN(IF(O892&lt;&gt;"",O892,9999999999999)*1.1,deployment_raw[[#This Row],[Column13]] * IF($E$2="Deployment",deployment_raw[[#This Row],[Column5]],1)*(1+$Q$2)/1048576)),"")</f>
        <v/>
      </c>
      <c r="R892" s="169" t="str">
        <f>IF(ISNUMBER(deployment_raw[[#This Row],[Column8]]), (H892  * IF(N892&lt;&gt;0,$R$2,1)),"")</f>
        <v/>
      </c>
      <c r="S892" s="170" t="str">
        <f>IF(ISNUMBER(deployment_raw[[#This Row],[Column8]]), (I892  * IF(O892&lt;&gt;0,$S$2,1)),"")</f>
        <v/>
      </c>
      <c r="T892" s="202" t="str">
        <f>IF(AND(A892&lt;&gt;"",_xlfn.IFNA(MATCH(A892,'dynamic resource application '!$A$2:$A$100, 0),0)&lt;&gt;0), H892/(IF($E$2="Deployment",E892,1)),"")</f>
        <v/>
      </c>
      <c r="U892" s="211" t="str">
        <f>IF(AND(A892&lt;&gt;"",_xlfn.IFNA(MATCH(A892,'dynamic resource application '!$A$2:$A$100, 0),0)&lt;&gt;0), I892/(IF($E$2="Deployment",E892,1)),"")</f>
        <v/>
      </c>
    </row>
    <row r="893" spans="1:21" ht="15" customHeight="1" x14ac:dyDescent="0.25">
      <c r="A893" s="35" t="str">
        <f>IF(ISNONTEXT(deployment_raw[[#This Row],[Column1]]), "", deployment_raw[[#This Row],[Column1]])</f>
        <v/>
      </c>
      <c r="B893" s="36" t="str">
        <f>IF(ISNONTEXT(deployment_raw[[#This Row],[Column2]]), "", deployment_raw[[#This Row],[Column2]])</f>
        <v/>
      </c>
      <c r="C893" s="36" t="str">
        <f>IF(ISNONTEXT(deployment_raw[[#This Row],[Column3]]), "", deployment_raw[[#This Row],[Column3]])</f>
        <v/>
      </c>
      <c r="D893" s="36" t="str">
        <f>IF(ISNONTEXT(deployment_raw[[#This Row],[Column4]]), "", deployment_raw[[#This Row],[Column4]])</f>
        <v/>
      </c>
      <c r="E893" s="37" t="str">
        <f>IF(ISNUMBER(deployment_raw[[#This Row],[Column5]]), deployment_raw[[#This Row],[Column5]],"")</f>
        <v/>
      </c>
      <c r="F893" s="94" t="str">
        <f>IF(ISNUMBER(deployment_raw[[#This Row],[Column6]]), (deployment_raw[[#This Row],[Column6]] * IF($E$2="Deployment",deployment_raw[[#This Row],[Column5]],1)),"")</f>
        <v/>
      </c>
      <c r="G893" s="95" t="str">
        <f>IF(ISNUMBER(deployment_raw[[#This Row],[Column7]]), (deployment_raw[[#This Row],[Column7]] * IF($E$2="Deployment",deployment_raw[[#This Row],[Column5]],1))/1048576,"")</f>
        <v/>
      </c>
      <c r="H893" s="95" t="str">
        <f>IF(ISNUMBER(deployment_raw[[#This Row],[Column8]]), (deployment_raw[[#This Row],[Column8]]  * IF($E$2="Deployment",deployment_raw[[#This Row],[Column5]],1)),"")</f>
        <v/>
      </c>
      <c r="I893" s="96" t="str">
        <f>IF(ISNUMBER(deployment_raw[[#This Row],[Column9]]), (deployment_raw[[#This Row],[Column9]] * IF($E$2="Deployment",deployment_raw[[#This Row],[Column5]],1))/1048576,"")</f>
        <v/>
      </c>
      <c r="J893" s="122" t="str">
        <f>IF(ISNUMBER(deployment_raw[[#This Row],[Column10]]), (MIN(IF(N893&lt;&gt;"",N893,9999999999999)*1.1,deployment_raw[[#This Row],[Column10]] * IF($E$2="Deployment",deployment_raw[[#This Row],[Column5]],1))),"")</f>
        <v/>
      </c>
      <c r="K893" s="123" t="str">
        <f>IF(ISNUMBER(deployment_raw[[#This Row],[Column11]]), (MIN(IF(O893&lt;&gt;"",O893,9999999999999)*1.1,deployment_raw[[#This Row],[Column11]] * IF($E$2="Deployment",deployment_raw[[#This Row],[Column5]],1)/1048576)),"")</f>
        <v/>
      </c>
      <c r="L893" s="124" t="str">
        <f>IF(ISNUMBER(deployment_raw[[#This Row],[Column8]]),IF(OR(deployment_raw[[#This Row],[Column5]] &lt;&gt; 0,$E$2 &lt;&gt; "Deployment"), MAX(J893, P893, R893, ($L$2 * IF($E$2="Deployment",deployment_raw[[#This Row],[Column5]],1)),IF(T893&lt;&gt;"",VALUE(T893) * IF($E$2="Deployment",deployment_raw[[#This Row],[Column5]],1),0)), 0),"")</f>
        <v/>
      </c>
      <c r="M893" s="125" t="str">
        <f>IF(ISNUMBER(deployment_raw[[#This Row],[Column9]]),IF(OR(deployment_raw[[#This Row],[Column5]] &lt;&gt; 0,$E$2&lt;&gt;"Deployment"), MAX(K893, Q893, S893, ($M$2 * IF($E$2="Deployment",deployment_raw[[#This Row],[Column5]],1)),IF(U893&lt;&gt;"",VALUE(U893) * IF($E$2="Deployment",deployment_raw[[#This Row],[Column5]],1),0)), 0),"")</f>
        <v/>
      </c>
      <c r="N893" s="166" t="str">
        <f>IF(ISNUMBER(deployment_raw[[#This Row],[Column14]]), deployment_raw[[#This Row],[Column14]]/IF(OR($E$2="Deployment",deployment_raw[[#This Row],[Column5]]=0),1,deployment_raw[[#This Row],[Column5]]),"")</f>
        <v/>
      </c>
      <c r="O893" s="167" t="str">
        <f>IF(ISNUMBER(deployment_raw[[#This Row],[Column15]]), deployment_raw[[#This Row],[Column15]]/IF(OR($E$2="Deployment",deployment_raw[[#This Row],[Column5]]=0),1,deployment_raw[[#This Row],[Column5]])/1048576,"")</f>
        <v/>
      </c>
      <c r="P893" s="168" t="str">
        <f>IF(ISNUMBER(deployment_raw[[#This Row],[Column12]]), (MIN(IF(N893&lt;&gt;"",N893,9999999999999)*1.1,deployment_raw[[#This Row],[Column12]] * IF($E$2="Deployment",deployment_raw[[#This Row],[Column5]],1))*(1+$P$2)),"")</f>
        <v/>
      </c>
      <c r="Q893" s="167" t="str">
        <f>IF(ISNUMBER(deployment_raw[[#This Row],[Column13]]), (MIN(IF(O893&lt;&gt;"",O893,9999999999999)*1.1,deployment_raw[[#This Row],[Column13]] * IF($E$2="Deployment",deployment_raw[[#This Row],[Column5]],1)*(1+$Q$2)/1048576)),"")</f>
        <v/>
      </c>
      <c r="R893" s="169" t="str">
        <f>IF(ISNUMBER(deployment_raw[[#This Row],[Column8]]), (H893  * IF(N893&lt;&gt;0,$R$2,1)),"")</f>
        <v/>
      </c>
      <c r="S893" s="170" t="str">
        <f>IF(ISNUMBER(deployment_raw[[#This Row],[Column8]]), (I893  * IF(O893&lt;&gt;0,$S$2,1)),"")</f>
        <v/>
      </c>
      <c r="T893" s="202" t="str">
        <f>IF(AND(A893&lt;&gt;"",_xlfn.IFNA(MATCH(A893,'dynamic resource application '!$A$2:$A$100, 0),0)&lt;&gt;0), H893/(IF($E$2="Deployment",E893,1)),"")</f>
        <v/>
      </c>
      <c r="U893" s="211" t="str">
        <f>IF(AND(A893&lt;&gt;"",_xlfn.IFNA(MATCH(A893,'dynamic resource application '!$A$2:$A$100, 0),0)&lt;&gt;0), I893/(IF($E$2="Deployment",E893,1)),"")</f>
        <v/>
      </c>
    </row>
    <row r="894" spans="1:21" ht="15" customHeight="1" x14ac:dyDescent="0.25">
      <c r="A894" s="35" t="str">
        <f>IF(ISNONTEXT(deployment_raw[[#This Row],[Column1]]), "", deployment_raw[[#This Row],[Column1]])</f>
        <v/>
      </c>
      <c r="B894" s="36" t="str">
        <f>IF(ISNONTEXT(deployment_raw[[#This Row],[Column2]]), "", deployment_raw[[#This Row],[Column2]])</f>
        <v/>
      </c>
      <c r="C894" s="36" t="str">
        <f>IF(ISNONTEXT(deployment_raw[[#This Row],[Column3]]), "", deployment_raw[[#This Row],[Column3]])</f>
        <v/>
      </c>
      <c r="D894" s="36" t="str">
        <f>IF(ISNONTEXT(deployment_raw[[#This Row],[Column4]]), "", deployment_raw[[#This Row],[Column4]])</f>
        <v/>
      </c>
      <c r="E894" s="37" t="str">
        <f>IF(ISNUMBER(deployment_raw[[#This Row],[Column5]]), deployment_raw[[#This Row],[Column5]],"")</f>
        <v/>
      </c>
      <c r="F894" s="94" t="str">
        <f>IF(ISNUMBER(deployment_raw[[#This Row],[Column6]]), (deployment_raw[[#This Row],[Column6]] * IF($E$2="Deployment",deployment_raw[[#This Row],[Column5]],1)),"")</f>
        <v/>
      </c>
      <c r="G894" s="95" t="str">
        <f>IF(ISNUMBER(deployment_raw[[#This Row],[Column7]]), (deployment_raw[[#This Row],[Column7]] * IF($E$2="Deployment",deployment_raw[[#This Row],[Column5]],1))/1048576,"")</f>
        <v/>
      </c>
      <c r="H894" s="95" t="str">
        <f>IF(ISNUMBER(deployment_raw[[#This Row],[Column8]]), (deployment_raw[[#This Row],[Column8]]  * IF($E$2="Deployment",deployment_raw[[#This Row],[Column5]],1)),"")</f>
        <v/>
      </c>
      <c r="I894" s="96" t="str">
        <f>IF(ISNUMBER(deployment_raw[[#This Row],[Column9]]), (deployment_raw[[#This Row],[Column9]] * IF($E$2="Deployment",deployment_raw[[#This Row],[Column5]],1))/1048576,"")</f>
        <v/>
      </c>
      <c r="J894" s="122" t="str">
        <f>IF(ISNUMBER(deployment_raw[[#This Row],[Column10]]), (MIN(IF(N894&lt;&gt;"",N894,9999999999999)*1.1,deployment_raw[[#This Row],[Column10]] * IF($E$2="Deployment",deployment_raw[[#This Row],[Column5]],1))),"")</f>
        <v/>
      </c>
      <c r="K894" s="123" t="str">
        <f>IF(ISNUMBER(deployment_raw[[#This Row],[Column11]]), (MIN(IF(O894&lt;&gt;"",O894,9999999999999)*1.1,deployment_raw[[#This Row],[Column11]] * IF($E$2="Deployment",deployment_raw[[#This Row],[Column5]],1)/1048576)),"")</f>
        <v/>
      </c>
      <c r="L894" s="124" t="str">
        <f>IF(ISNUMBER(deployment_raw[[#This Row],[Column8]]),IF(OR(deployment_raw[[#This Row],[Column5]] &lt;&gt; 0,$E$2 &lt;&gt; "Deployment"), MAX(J894, P894, R894, ($L$2 * IF($E$2="Deployment",deployment_raw[[#This Row],[Column5]],1)),IF(T894&lt;&gt;"",VALUE(T894) * IF($E$2="Deployment",deployment_raw[[#This Row],[Column5]],1),0)), 0),"")</f>
        <v/>
      </c>
      <c r="M894" s="125" t="str">
        <f>IF(ISNUMBER(deployment_raw[[#This Row],[Column9]]),IF(OR(deployment_raw[[#This Row],[Column5]] &lt;&gt; 0,$E$2&lt;&gt;"Deployment"), MAX(K894, Q894, S894, ($M$2 * IF($E$2="Deployment",deployment_raw[[#This Row],[Column5]],1)),IF(U894&lt;&gt;"",VALUE(U894) * IF($E$2="Deployment",deployment_raw[[#This Row],[Column5]],1),0)), 0),"")</f>
        <v/>
      </c>
      <c r="N894" s="166" t="str">
        <f>IF(ISNUMBER(deployment_raw[[#This Row],[Column14]]), deployment_raw[[#This Row],[Column14]]/IF(OR($E$2="Deployment",deployment_raw[[#This Row],[Column5]]=0),1,deployment_raw[[#This Row],[Column5]]),"")</f>
        <v/>
      </c>
      <c r="O894" s="167" t="str">
        <f>IF(ISNUMBER(deployment_raw[[#This Row],[Column15]]), deployment_raw[[#This Row],[Column15]]/IF(OR($E$2="Deployment",deployment_raw[[#This Row],[Column5]]=0),1,deployment_raw[[#This Row],[Column5]])/1048576,"")</f>
        <v/>
      </c>
      <c r="P894" s="168" t="str">
        <f>IF(ISNUMBER(deployment_raw[[#This Row],[Column12]]), (MIN(IF(N894&lt;&gt;"",N894,9999999999999)*1.1,deployment_raw[[#This Row],[Column12]] * IF($E$2="Deployment",deployment_raw[[#This Row],[Column5]],1))*(1+$P$2)),"")</f>
        <v/>
      </c>
      <c r="Q894" s="167" t="str">
        <f>IF(ISNUMBER(deployment_raw[[#This Row],[Column13]]), (MIN(IF(O894&lt;&gt;"",O894,9999999999999)*1.1,deployment_raw[[#This Row],[Column13]] * IF($E$2="Deployment",deployment_raw[[#This Row],[Column5]],1)*(1+$Q$2)/1048576)),"")</f>
        <v/>
      </c>
      <c r="R894" s="169" t="str">
        <f>IF(ISNUMBER(deployment_raw[[#This Row],[Column8]]), (H894  * IF(N894&lt;&gt;0,$R$2,1)),"")</f>
        <v/>
      </c>
      <c r="S894" s="170" t="str">
        <f>IF(ISNUMBER(deployment_raw[[#This Row],[Column8]]), (I894  * IF(O894&lt;&gt;0,$S$2,1)),"")</f>
        <v/>
      </c>
      <c r="T894" s="202" t="str">
        <f>IF(AND(A894&lt;&gt;"",_xlfn.IFNA(MATCH(A894,'dynamic resource application '!$A$2:$A$100, 0),0)&lt;&gt;0), H894/(IF($E$2="Deployment",E894,1)),"")</f>
        <v/>
      </c>
      <c r="U894" s="211" t="str">
        <f>IF(AND(A894&lt;&gt;"",_xlfn.IFNA(MATCH(A894,'dynamic resource application '!$A$2:$A$100, 0),0)&lt;&gt;0), I894/(IF($E$2="Deployment",E894,1)),"")</f>
        <v/>
      </c>
    </row>
    <row r="895" spans="1:21" ht="15" customHeight="1" x14ac:dyDescent="0.25">
      <c r="A895" s="35" t="str">
        <f>IF(ISNONTEXT(deployment_raw[[#This Row],[Column1]]), "", deployment_raw[[#This Row],[Column1]])</f>
        <v/>
      </c>
      <c r="B895" s="36" t="str">
        <f>IF(ISNONTEXT(deployment_raw[[#This Row],[Column2]]), "", deployment_raw[[#This Row],[Column2]])</f>
        <v/>
      </c>
      <c r="C895" s="36" t="str">
        <f>IF(ISNONTEXT(deployment_raw[[#This Row],[Column3]]), "", deployment_raw[[#This Row],[Column3]])</f>
        <v/>
      </c>
      <c r="D895" s="36" t="str">
        <f>IF(ISNONTEXT(deployment_raw[[#This Row],[Column4]]), "", deployment_raw[[#This Row],[Column4]])</f>
        <v/>
      </c>
      <c r="E895" s="37" t="str">
        <f>IF(ISNUMBER(deployment_raw[[#This Row],[Column5]]), deployment_raw[[#This Row],[Column5]],"")</f>
        <v/>
      </c>
      <c r="F895" s="94" t="str">
        <f>IF(ISNUMBER(deployment_raw[[#This Row],[Column6]]), (deployment_raw[[#This Row],[Column6]] * IF($E$2="Deployment",deployment_raw[[#This Row],[Column5]],1)),"")</f>
        <v/>
      </c>
      <c r="G895" s="95" t="str">
        <f>IF(ISNUMBER(deployment_raw[[#This Row],[Column7]]), (deployment_raw[[#This Row],[Column7]] * IF($E$2="Deployment",deployment_raw[[#This Row],[Column5]],1))/1048576,"")</f>
        <v/>
      </c>
      <c r="H895" s="95" t="str">
        <f>IF(ISNUMBER(deployment_raw[[#This Row],[Column8]]), (deployment_raw[[#This Row],[Column8]]  * IF($E$2="Deployment",deployment_raw[[#This Row],[Column5]],1)),"")</f>
        <v/>
      </c>
      <c r="I895" s="96" t="str">
        <f>IF(ISNUMBER(deployment_raw[[#This Row],[Column9]]), (deployment_raw[[#This Row],[Column9]] * IF($E$2="Deployment",deployment_raw[[#This Row],[Column5]],1))/1048576,"")</f>
        <v/>
      </c>
      <c r="J895" s="122" t="str">
        <f>IF(ISNUMBER(deployment_raw[[#This Row],[Column10]]), (MIN(IF(N895&lt;&gt;"",N895,9999999999999)*1.1,deployment_raw[[#This Row],[Column10]] * IF($E$2="Deployment",deployment_raw[[#This Row],[Column5]],1))),"")</f>
        <v/>
      </c>
      <c r="K895" s="123" t="str">
        <f>IF(ISNUMBER(deployment_raw[[#This Row],[Column11]]), (MIN(IF(O895&lt;&gt;"",O895,9999999999999)*1.1,deployment_raw[[#This Row],[Column11]] * IF($E$2="Deployment",deployment_raw[[#This Row],[Column5]],1)/1048576)),"")</f>
        <v/>
      </c>
      <c r="L895" s="124" t="str">
        <f>IF(ISNUMBER(deployment_raw[[#This Row],[Column8]]),IF(OR(deployment_raw[[#This Row],[Column5]] &lt;&gt; 0,$E$2 &lt;&gt; "Deployment"), MAX(J895, P895, R895, ($L$2 * IF($E$2="Deployment",deployment_raw[[#This Row],[Column5]],1)),IF(T895&lt;&gt;"",VALUE(T895) * IF($E$2="Deployment",deployment_raw[[#This Row],[Column5]],1),0)), 0),"")</f>
        <v/>
      </c>
      <c r="M895" s="125" t="str">
        <f>IF(ISNUMBER(deployment_raw[[#This Row],[Column9]]),IF(OR(deployment_raw[[#This Row],[Column5]] &lt;&gt; 0,$E$2&lt;&gt;"Deployment"), MAX(K895, Q895, S895, ($M$2 * IF($E$2="Deployment",deployment_raw[[#This Row],[Column5]],1)),IF(U895&lt;&gt;"",VALUE(U895) * IF($E$2="Deployment",deployment_raw[[#This Row],[Column5]],1),0)), 0),"")</f>
        <v/>
      </c>
      <c r="N895" s="166" t="str">
        <f>IF(ISNUMBER(deployment_raw[[#This Row],[Column14]]), deployment_raw[[#This Row],[Column14]]/IF(OR($E$2="Deployment",deployment_raw[[#This Row],[Column5]]=0),1,deployment_raw[[#This Row],[Column5]]),"")</f>
        <v/>
      </c>
      <c r="O895" s="167" t="str">
        <f>IF(ISNUMBER(deployment_raw[[#This Row],[Column15]]), deployment_raw[[#This Row],[Column15]]/IF(OR($E$2="Deployment",deployment_raw[[#This Row],[Column5]]=0),1,deployment_raw[[#This Row],[Column5]])/1048576,"")</f>
        <v/>
      </c>
      <c r="P895" s="168" t="str">
        <f>IF(ISNUMBER(deployment_raw[[#This Row],[Column12]]), (MIN(IF(N895&lt;&gt;"",N895,9999999999999)*1.1,deployment_raw[[#This Row],[Column12]] * IF($E$2="Deployment",deployment_raw[[#This Row],[Column5]],1))*(1+$P$2)),"")</f>
        <v/>
      </c>
      <c r="Q895" s="167" t="str">
        <f>IF(ISNUMBER(deployment_raw[[#This Row],[Column13]]), (MIN(IF(O895&lt;&gt;"",O895,9999999999999)*1.1,deployment_raw[[#This Row],[Column13]] * IF($E$2="Deployment",deployment_raw[[#This Row],[Column5]],1)*(1+$Q$2)/1048576)),"")</f>
        <v/>
      </c>
      <c r="R895" s="169" t="str">
        <f>IF(ISNUMBER(deployment_raw[[#This Row],[Column8]]), (H895  * IF(N895&lt;&gt;0,$R$2,1)),"")</f>
        <v/>
      </c>
      <c r="S895" s="170" t="str">
        <f>IF(ISNUMBER(deployment_raw[[#This Row],[Column8]]), (I895  * IF(O895&lt;&gt;0,$S$2,1)),"")</f>
        <v/>
      </c>
      <c r="T895" s="202" t="str">
        <f>IF(AND(A895&lt;&gt;"",_xlfn.IFNA(MATCH(A895,'dynamic resource application '!$A$2:$A$100, 0),0)&lt;&gt;0), H895/(IF($E$2="Deployment",E895,1)),"")</f>
        <v/>
      </c>
      <c r="U895" s="211" t="str">
        <f>IF(AND(A895&lt;&gt;"",_xlfn.IFNA(MATCH(A895,'dynamic resource application '!$A$2:$A$100, 0),0)&lt;&gt;0), I895/(IF($E$2="Deployment",E895,1)),"")</f>
        <v/>
      </c>
    </row>
    <row r="896" spans="1:21" ht="15" customHeight="1" x14ac:dyDescent="0.25">
      <c r="A896" s="35" t="str">
        <f>IF(ISNONTEXT(deployment_raw[[#This Row],[Column1]]), "", deployment_raw[[#This Row],[Column1]])</f>
        <v/>
      </c>
      <c r="B896" s="36" t="str">
        <f>IF(ISNONTEXT(deployment_raw[[#This Row],[Column2]]), "", deployment_raw[[#This Row],[Column2]])</f>
        <v/>
      </c>
      <c r="C896" s="36" t="str">
        <f>IF(ISNONTEXT(deployment_raw[[#This Row],[Column3]]), "", deployment_raw[[#This Row],[Column3]])</f>
        <v/>
      </c>
      <c r="D896" s="36" t="str">
        <f>IF(ISNONTEXT(deployment_raw[[#This Row],[Column4]]), "", deployment_raw[[#This Row],[Column4]])</f>
        <v/>
      </c>
      <c r="E896" s="37" t="str">
        <f>IF(ISNUMBER(deployment_raw[[#This Row],[Column5]]), deployment_raw[[#This Row],[Column5]],"")</f>
        <v/>
      </c>
      <c r="F896" s="94" t="str">
        <f>IF(ISNUMBER(deployment_raw[[#This Row],[Column6]]), (deployment_raw[[#This Row],[Column6]] * IF($E$2="Deployment",deployment_raw[[#This Row],[Column5]],1)),"")</f>
        <v/>
      </c>
      <c r="G896" s="95" t="str">
        <f>IF(ISNUMBER(deployment_raw[[#This Row],[Column7]]), (deployment_raw[[#This Row],[Column7]] * IF($E$2="Deployment",deployment_raw[[#This Row],[Column5]],1))/1048576,"")</f>
        <v/>
      </c>
      <c r="H896" s="95" t="str">
        <f>IF(ISNUMBER(deployment_raw[[#This Row],[Column8]]), (deployment_raw[[#This Row],[Column8]]  * IF($E$2="Deployment",deployment_raw[[#This Row],[Column5]],1)),"")</f>
        <v/>
      </c>
      <c r="I896" s="96" t="str">
        <f>IF(ISNUMBER(deployment_raw[[#This Row],[Column9]]), (deployment_raw[[#This Row],[Column9]] * IF($E$2="Deployment",deployment_raw[[#This Row],[Column5]],1))/1048576,"")</f>
        <v/>
      </c>
      <c r="J896" s="122" t="str">
        <f>IF(ISNUMBER(deployment_raw[[#This Row],[Column10]]), (MIN(IF(N896&lt;&gt;"",N896,9999999999999)*1.1,deployment_raw[[#This Row],[Column10]] * IF($E$2="Deployment",deployment_raw[[#This Row],[Column5]],1))),"")</f>
        <v/>
      </c>
      <c r="K896" s="123" t="str">
        <f>IF(ISNUMBER(deployment_raw[[#This Row],[Column11]]), (MIN(IF(O896&lt;&gt;"",O896,9999999999999)*1.1,deployment_raw[[#This Row],[Column11]] * IF($E$2="Deployment",deployment_raw[[#This Row],[Column5]],1)/1048576)),"")</f>
        <v/>
      </c>
      <c r="L896" s="124" t="str">
        <f>IF(ISNUMBER(deployment_raw[[#This Row],[Column8]]),IF(OR(deployment_raw[[#This Row],[Column5]] &lt;&gt; 0,$E$2 &lt;&gt; "Deployment"), MAX(J896, P896, R896, ($L$2 * IF($E$2="Deployment",deployment_raw[[#This Row],[Column5]],1)),IF(T896&lt;&gt;"",VALUE(T896) * IF($E$2="Deployment",deployment_raw[[#This Row],[Column5]],1),0)), 0),"")</f>
        <v/>
      </c>
      <c r="M896" s="125" t="str">
        <f>IF(ISNUMBER(deployment_raw[[#This Row],[Column9]]),IF(OR(deployment_raw[[#This Row],[Column5]] &lt;&gt; 0,$E$2&lt;&gt;"Deployment"), MAX(K896, Q896, S896, ($M$2 * IF($E$2="Deployment",deployment_raw[[#This Row],[Column5]],1)),IF(U896&lt;&gt;"",VALUE(U896) * IF($E$2="Deployment",deployment_raw[[#This Row],[Column5]],1),0)), 0),"")</f>
        <v/>
      </c>
      <c r="N896" s="166" t="str">
        <f>IF(ISNUMBER(deployment_raw[[#This Row],[Column14]]), deployment_raw[[#This Row],[Column14]]/IF(OR($E$2="Deployment",deployment_raw[[#This Row],[Column5]]=0),1,deployment_raw[[#This Row],[Column5]]),"")</f>
        <v/>
      </c>
      <c r="O896" s="167" t="str">
        <f>IF(ISNUMBER(deployment_raw[[#This Row],[Column15]]), deployment_raw[[#This Row],[Column15]]/IF(OR($E$2="Deployment",deployment_raw[[#This Row],[Column5]]=0),1,deployment_raw[[#This Row],[Column5]])/1048576,"")</f>
        <v/>
      </c>
      <c r="P896" s="168" t="str">
        <f>IF(ISNUMBER(deployment_raw[[#This Row],[Column12]]), (MIN(IF(N896&lt;&gt;"",N896,9999999999999)*1.1,deployment_raw[[#This Row],[Column12]] * IF($E$2="Deployment",deployment_raw[[#This Row],[Column5]],1))*(1+$P$2)),"")</f>
        <v/>
      </c>
      <c r="Q896" s="167" t="str">
        <f>IF(ISNUMBER(deployment_raw[[#This Row],[Column13]]), (MIN(IF(O896&lt;&gt;"",O896,9999999999999)*1.1,deployment_raw[[#This Row],[Column13]] * IF($E$2="Deployment",deployment_raw[[#This Row],[Column5]],1)*(1+$Q$2)/1048576)),"")</f>
        <v/>
      </c>
      <c r="R896" s="169" t="str">
        <f>IF(ISNUMBER(deployment_raw[[#This Row],[Column8]]), (H896  * IF(N896&lt;&gt;0,$R$2,1)),"")</f>
        <v/>
      </c>
      <c r="S896" s="170" t="str">
        <f>IF(ISNUMBER(deployment_raw[[#This Row],[Column8]]), (I896  * IF(O896&lt;&gt;0,$S$2,1)),"")</f>
        <v/>
      </c>
      <c r="T896" s="202" t="str">
        <f>IF(AND(A896&lt;&gt;"",_xlfn.IFNA(MATCH(A896,'dynamic resource application '!$A$2:$A$100, 0),0)&lt;&gt;0), H896/(IF($E$2="Deployment",E896,1)),"")</f>
        <v/>
      </c>
      <c r="U896" s="211" t="str">
        <f>IF(AND(A896&lt;&gt;"",_xlfn.IFNA(MATCH(A896,'dynamic resource application '!$A$2:$A$100, 0),0)&lt;&gt;0), I896/(IF($E$2="Deployment",E896,1)),"")</f>
        <v/>
      </c>
    </row>
    <row r="897" spans="1:21" ht="15" customHeight="1" x14ac:dyDescent="0.25">
      <c r="A897" s="35" t="str">
        <f>IF(ISNONTEXT(deployment_raw[[#This Row],[Column1]]), "", deployment_raw[[#This Row],[Column1]])</f>
        <v/>
      </c>
      <c r="B897" s="36" t="str">
        <f>IF(ISNONTEXT(deployment_raw[[#This Row],[Column2]]), "", deployment_raw[[#This Row],[Column2]])</f>
        <v/>
      </c>
      <c r="C897" s="36" t="str">
        <f>IF(ISNONTEXT(deployment_raw[[#This Row],[Column3]]), "", deployment_raw[[#This Row],[Column3]])</f>
        <v/>
      </c>
      <c r="D897" s="36" t="str">
        <f>IF(ISNONTEXT(deployment_raw[[#This Row],[Column4]]), "", deployment_raw[[#This Row],[Column4]])</f>
        <v/>
      </c>
      <c r="E897" s="37" t="str">
        <f>IF(ISNUMBER(deployment_raw[[#This Row],[Column5]]), deployment_raw[[#This Row],[Column5]],"")</f>
        <v/>
      </c>
      <c r="F897" s="94" t="str">
        <f>IF(ISNUMBER(deployment_raw[[#This Row],[Column6]]), (deployment_raw[[#This Row],[Column6]] * IF($E$2="Deployment",deployment_raw[[#This Row],[Column5]],1)),"")</f>
        <v/>
      </c>
      <c r="G897" s="95" t="str">
        <f>IF(ISNUMBER(deployment_raw[[#This Row],[Column7]]), (deployment_raw[[#This Row],[Column7]] * IF($E$2="Deployment",deployment_raw[[#This Row],[Column5]],1))/1048576,"")</f>
        <v/>
      </c>
      <c r="H897" s="95" t="str">
        <f>IF(ISNUMBER(deployment_raw[[#This Row],[Column8]]), (deployment_raw[[#This Row],[Column8]]  * IF($E$2="Deployment",deployment_raw[[#This Row],[Column5]],1)),"")</f>
        <v/>
      </c>
      <c r="I897" s="96" t="str">
        <f>IF(ISNUMBER(deployment_raw[[#This Row],[Column9]]), (deployment_raw[[#This Row],[Column9]] * IF($E$2="Deployment",deployment_raw[[#This Row],[Column5]],1))/1048576,"")</f>
        <v/>
      </c>
      <c r="J897" s="122" t="str">
        <f>IF(ISNUMBER(deployment_raw[[#This Row],[Column10]]), (MIN(IF(N897&lt;&gt;"",N897,9999999999999)*1.1,deployment_raw[[#This Row],[Column10]] * IF($E$2="Deployment",deployment_raw[[#This Row],[Column5]],1))),"")</f>
        <v/>
      </c>
      <c r="K897" s="123" t="str">
        <f>IF(ISNUMBER(deployment_raw[[#This Row],[Column11]]), (MIN(IF(O897&lt;&gt;"",O897,9999999999999)*1.1,deployment_raw[[#This Row],[Column11]] * IF($E$2="Deployment",deployment_raw[[#This Row],[Column5]],1)/1048576)),"")</f>
        <v/>
      </c>
      <c r="L897" s="124" t="str">
        <f>IF(ISNUMBER(deployment_raw[[#This Row],[Column8]]),IF(OR(deployment_raw[[#This Row],[Column5]] &lt;&gt; 0,$E$2 &lt;&gt; "Deployment"), MAX(J897, P897, R897, ($L$2 * IF($E$2="Deployment",deployment_raw[[#This Row],[Column5]],1)),IF(T897&lt;&gt;"",VALUE(T897) * IF($E$2="Deployment",deployment_raw[[#This Row],[Column5]],1),0)), 0),"")</f>
        <v/>
      </c>
      <c r="M897" s="125" t="str">
        <f>IF(ISNUMBER(deployment_raw[[#This Row],[Column9]]),IF(OR(deployment_raw[[#This Row],[Column5]] &lt;&gt; 0,$E$2&lt;&gt;"Deployment"), MAX(K897, Q897, S897, ($M$2 * IF($E$2="Deployment",deployment_raw[[#This Row],[Column5]],1)),IF(U897&lt;&gt;"",VALUE(U897) * IF($E$2="Deployment",deployment_raw[[#This Row],[Column5]],1),0)), 0),"")</f>
        <v/>
      </c>
      <c r="N897" s="166" t="str">
        <f>IF(ISNUMBER(deployment_raw[[#This Row],[Column14]]), deployment_raw[[#This Row],[Column14]]/IF(OR($E$2="Deployment",deployment_raw[[#This Row],[Column5]]=0),1,deployment_raw[[#This Row],[Column5]]),"")</f>
        <v/>
      </c>
      <c r="O897" s="167" t="str">
        <f>IF(ISNUMBER(deployment_raw[[#This Row],[Column15]]), deployment_raw[[#This Row],[Column15]]/IF(OR($E$2="Deployment",deployment_raw[[#This Row],[Column5]]=0),1,deployment_raw[[#This Row],[Column5]])/1048576,"")</f>
        <v/>
      </c>
      <c r="P897" s="168" t="str">
        <f>IF(ISNUMBER(deployment_raw[[#This Row],[Column12]]), (MIN(IF(N897&lt;&gt;"",N897,9999999999999)*1.1,deployment_raw[[#This Row],[Column12]] * IF($E$2="Deployment",deployment_raw[[#This Row],[Column5]],1))*(1+$P$2)),"")</f>
        <v/>
      </c>
      <c r="Q897" s="167" t="str">
        <f>IF(ISNUMBER(deployment_raw[[#This Row],[Column13]]), (MIN(IF(O897&lt;&gt;"",O897,9999999999999)*1.1,deployment_raw[[#This Row],[Column13]] * IF($E$2="Deployment",deployment_raw[[#This Row],[Column5]],1)*(1+$Q$2)/1048576)),"")</f>
        <v/>
      </c>
      <c r="R897" s="169" t="str">
        <f>IF(ISNUMBER(deployment_raw[[#This Row],[Column8]]), (H897  * IF(N897&lt;&gt;0,$R$2,1)),"")</f>
        <v/>
      </c>
      <c r="S897" s="170" t="str">
        <f>IF(ISNUMBER(deployment_raw[[#This Row],[Column8]]), (I897  * IF(O897&lt;&gt;0,$S$2,1)),"")</f>
        <v/>
      </c>
      <c r="T897" s="202" t="str">
        <f>IF(AND(A897&lt;&gt;"",_xlfn.IFNA(MATCH(A897,'dynamic resource application '!$A$2:$A$100, 0),0)&lt;&gt;0), H897/(IF($E$2="Deployment",E897,1)),"")</f>
        <v/>
      </c>
      <c r="U897" s="211" t="str">
        <f>IF(AND(A897&lt;&gt;"",_xlfn.IFNA(MATCH(A897,'dynamic resource application '!$A$2:$A$100, 0),0)&lt;&gt;0), I897/(IF($E$2="Deployment",E897,1)),"")</f>
        <v/>
      </c>
    </row>
    <row r="898" spans="1:21" ht="15" customHeight="1" x14ac:dyDescent="0.25">
      <c r="A898" s="35" t="str">
        <f>IF(ISNONTEXT(deployment_raw[[#This Row],[Column1]]), "", deployment_raw[[#This Row],[Column1]])</f>
        <v/>
      </c>
      <c r="B898" s="36" t="str">
        <f>IF(ISNONTEXT(deployment_raw[[#This Row],[Column2]]), "", deployment_raw[[#This Row],[Column2]])</f>
        <v/>
      </c>
      <c r="C898" s="36" t="str">
        <f>IF(ISNONTEXT(deployment_raw[[#This Row],[Column3]]), "", deployment_raw[[#This Row],[Column3]])</f>
        <v/>
      </c>
      <c r="D898" s="36" t="str">
        <f>IF(ISNONTEXT(deployment_raw[[#This Row],[Column4]]), "", deployment_raw[[#This Row],[Column4]])</f>
        <v/>
      </c>
      <c r="E898" s="37" t="str">
        <f>IF(ISNUMBER(deployment_raw[[#This Row],[Column5]]), deployment_raw[[#This Row],[Column5]],"")</f>
        <v/>
      </c>
      <c r="F898" s="94" t="str">
        <f>IF(ISNUMBER(deployment_raw[[#This Row],[Column6]]), (deployment_raw[[#This Row],[Column6]] * IF($E$2="Deployment",deployment_raw[[#This Row],[Column5]],1)),"")</f>
        <v/>
      </c>
      <c r="G898" s="95" t="str">
        <f>IF(ISNUMBER(deployment_raw[[#This Row],[Column7]]), (deployment_raw[[#This Row],[Column7]] * IF($E$2="Deployment",deployment_raw[[#This Row],[Column5]],1))/1048576,"")</f>
        <v/>
      </c>
      <c r="H898" s="95" t="str">
        <f>IF(ISNUMBER(deployment_raw[[#This Row],[Column8]]), (deployment_raw[[#This Row],[Column8]]  * IF($E$2="Deployment",deployment_raw[[#This Row],[Column5]],1)),"")</f>
        <v/>
      </c>
      <c r="I898" s="96" t="str">
        <f>IF(ISNUMBER(deployment_raw[[#This Row],[Column9]]), (deployment_raw[[#This Row],[Column9]] * IF($E$2="Deployment",deployment_raw[[#This Row],[Column5]],1))/1048576,"")</f>
        <v/>
      </c>
      <c r="J898" s="122" t="str">
        <f>IF(ISNUMBER(deployment_raw[[#This Row],[Column10]]), (MIN(IF(N898&lt;&gt;"",N898,9999999999999)*1.1,deployment_raw[[#This Row],[Column10]] * IF($E$2="Deployment",deployment_raw[[#This Row],[Column5]],1))),"")</f>
        <v/>
      </c>
      <c r="K898" s="123" t="str">
        <f>IF(ISNUMBER(deployment_raw[[#This Row],[Column11]]), (MIN(IF(O898&lt;&gt;"",O898,9999999999999)*1.1,deployment_raw[[#This Row],[Column11]] * IF($E$2="Deployment",deployment_raw[[#This Row],[Column5]],1)/1048576)),"")</f>
        <v/>
      </c>
      <c r="L898" s="124" t="str">
        <f>IF(ISNUMBER(deployment_raw[[#This Row],[Column8]]),IF(OR(deployment_raw[[#This Row],[Column5]] &lt;&gt; 0,$E$2 &lt;&gt; "Deployment"), MAX(J898, P898, R898, ($L$2 * IF($E$2="Deployment",deployment_raw[[#This Row],[Column5]],1)),IF(T898&lt;&gt;"",VALUE(T898) * IF($E$2="Deployment",deployment_raw[[#This Row],[Column5]],1),0)), 0),"")</f>
        <v/>
      </c>
      <c r="M898" s="125" t="str">
        <f>IF(ISNUMBER(deployment_raw[[#This Row],[Column9]]),IF(OR(deployment_raw[[#This Row],[Column5]] &lt;&gt; 0,$E$2&lt;&gt;"Deployment"), MAX(K898, Q898, S898, ($M$2 * IF($E$2="Deployment",deployment_raw[[#This Row],[Column5]],1)),IF(U898&lt;&gt;"",VALUE(U898) * IF($E$2="Deployment",deployment_raw[[#This Row],[Column5]],1),0)), 0),"")</f>
        <v/>
      </c>
      <c r="N898" s="166" t="str">
        <f>IF(ISNUMBER(deployment_raw[[#This Row],[Column14]]), deployment_raw[[#This Row],[Column14]]/IF(OR($E$2="Deployment",deployment_raw[[#This Row],[Column5]]=0),1,deployment_raw[[#This Row],[Column5]]),"")</f>
        <v/>
      </c>
      <c r="O898" s="167" t="str">
        <f>IF(ISNUMBER(deployment_raw[[#This Row],[Column15]]), deployment_raw[[#This Row],[Column15]]/IF(OR($E$2="Deployment",deployment_raw[[#This Row],[Column5]]=0),1,deployment_raw[[#This Row],[Column5]])/1048576,"")</f>
        <v/>
      </c>
      <c r="P898" s="168" t="str">
        <f>IF(ISNUMBER(deployment_raw[[#This Row],[Column12]]), (MIN(IF(N898&lt;&gt;"",N898,9999999999999)*1.1,deployment_raw[[#This Row],[Column12]] * IF($E$2="Deployment",deployment_raw[[#This Row],[Column5]],1))*(1+$P$2)),"")</f>
        <v/>
      </c>
      <c r="Q898" s="167" t="str">
        <f>IF(ISNUMBER(deployment_raw[[#This Row],[Column13]]), (MIN(IF(O898&lt;&gt;"",O898,9999999999999)*1.1,deployment_raw[[#This Row],[Column13]] * IF($E$2="Deployment",deployment_raw[[#This Row],[Column5]],1)*(1+$Q$2)/1048576)),"")</f>
        <v/>
      </c>
      <c r="R898" s="169" t="str">
        <f>IF(ISNUMBER(deployment_raw[[#This Row],[Column8]]), (H898  * IF(N898&lt;&gt;0,$R$2,1)),"")</f>
        <v/>
      </c>
      <c r="S898" s="170" t="str">
        <f>IF(ISNUMBER(deployment_raw[[#This Row],[Column8]]), (I898  * IF(O898&lt;&gt;0,$S$2,1)),"")</f>
        <v/>
      </c>
      <c r="T898" s="202" t="str">
        <f>IF(AND(A898&lt;&gt;"",_xlfn.IFNA(MATCH(A898,'dynamic resource application '!$A$2:$A$100, 0),0)&lt;&gt;0), H898/(IF($E$2="Deployment",E898,1)),"")</f>
        <v/>
      </c>
      <c r="U898" s="211" t="str">
        <f>IF(AND(A898&lt;&gt;"",_xlfn.IFNA(MATCH(A898,'dynamic resource application '!$A$2:$A$100, 0),0)&lt;&gt;0), I898/(IF($E$2="Deployment",E898,1)),"")</f>
        <v/>
      </c>
    </row>
    <row r="899" spans="1:21" ht="15" customHeight="1" x14ac:dyDescent="0.25">
      <c r="A899" s="35" t="str">
        <f>IF(ISNONTEXT(deployment_raw[[#This Row],[Column1]]), "", deployment_raw[[#This Row],[Column1]])</f>
        <v/>
      </c>
      <c r="B899" s="36" t="str">
        <f>IF(ISNONTEXT(deployment_raw[[#This Row],[Column2]]), "", deployment_raw[[#This Row],[Column2]])</f>
        <v/>
      </c>
      <c r="C899" s="36" t="str">
        <f>IF(ISNONTEXT(deployment_raw[[#This Row],[Column3]]), "", deployment_raw[[#This Row],[Column3]])</f>
        <v/>
      </c>
      <c r="D899" s="36" t="str">
        <f>IF(ISNONTEXT(deployment_raw[[#This Row],[Column4]]), "", deployment_raw[[#This Row],[Column4]])</f>
        <v/>
      </c>
      <c r="E899" s="37" t="str">
        <f>IF(ISNUMBER(deployment_raw[[#This Row],[Column5]]), deployment_raw[[#This Row],[Column5]],"")</f>
        <v/>
      </c>
      <c r="F899" s="94" t="str">
        <f>IF(ISNUMBER(deployment_raw[[#This Row],[Column6]]), (deployment_raw[[#This Row],[Column6]] * IF($E$2="Deployment",deployment_raw[[#This Row],[Column5]],1)),"")</f>
        <v/>
      </c>
      <c r="G899" s="95" t="str">
        <f>IF(ISNUMBER(deployment_raw[[#This Row],[Column7]]), (deployment_raw[[#This Row],[Column7]] * IF($E$2="Deployment",deployment_raw[[#This Row],[Column5]],1))/1048576,"")</f>
        <v/>
      </c>
      <c r="H899" s="95" t="str">
        <f>IF(ISNUMBER(deployment_raw[[#This Row],[Column8]]), (deployment_raw[[#This Row],[Column8]]  * IF($E$2="Deployment",deployment_raw[[#This Row],[Column5]],1)),"")</f>
        <v/>
      </c>
      <c r="I899" s="96" t="str">
        <f>IF(ISNUMBER(deployment_raw[[#This Row],[Column9]]), (deployment_raw[[#This Row],[Column9]] * IF($E$2="Deployment",deployment_raw[[#This Row],[Column5]],1))/1048576,"")</f>
        <v/>
      </c>
      <c r="J899" s="122" t="str">
        <f>IF(ISNUMBER(deployment_raw[[#This Row],[Column10]]), (MIN(IF(N899&lt;&gt;"",N899,9999999999999)*1.1,deployment_raw[[#This Row],[Column10]] * IF($E$2="Deployment",deployment_raw[[#This Row],[Column5]],1))),"")</f>
        <v/>
      </c>
      <c r="K899" s="123" t="str">
        <f>IF(ISNUMBER(deployment_raw[[#This Row],[Column11]]), (MIN(IF(O899&lt;&gt;"",O899,9999999999999)*1.1,deployment_raw[[#This Row],[Column11]] * IF($E$2="Deployment",deployment_raw[[#This Row],[Column5]],1)/1048576)),"")</f>
        <v/>
      </c>
      <c r="L899" s="124" t="str">
        <f>IF(ISNUMBER(deployment_raw[[#This Row],[Column8]]),IF(OR(deployment_raw[[#This Row],[Column5]] &lt;&gt; 0,$E$2 &lt;&gt; "Deployment"), MAX(J899, P899, R899, ($L$2 * IF($E$2="Deployment",deployment_raw[[#This Row],[Column5]],1)),IF(T899&lt;&gt;"",VALUE(T899) * IF($E$2="Deployment",deployment_raw[[#This Row],[Column5]],1),0)), 0),"")</f>
        <v/>
      </c>
      <c r="M899" s="125" t="str">
        <f>IF(ISNUMBER(deployment_raw[[#This Row],[Column9]]),IF(OR(deployment_raw[[#This Row],[Column5]] &lt;&gt; 0,$E$2&lt;&gt;"Deployment"), MAX(K899, Q899, S899, ($M$2 * IF($E$2="Deployment",deployment_raw[[#This Row],[Column5]],1)),IF(U899&lt;&gt;"",VALUE(U899) * IF($E$2="Deployment",deployment_raw[[#This Row],[Column5]],1),0)), 0),"")</f>
        <v/>
      </c>
      <c r="N899" s="166" t="str">
        <f>IF(ISNUMBER(deployment_raw[[#This Row],[Column14]]), deployment_raw[[#This Row],[Column14]]/IF(OR($E$2="Deployment",deployment_raw[[#This Row],[Column5]]=0),1,deployment_raw[[#This Row],[Column5]]),"")</f>
        <v/>
      </c>
      <c r="O899" s="167" t="str">
        <f>IF(ISNUMBER(deployment_raw[[#This Row],[Column15]]), deployment_raw[[#This Row],[Column15]]/IF(OR($E$2="Deployment",deployment_raw[[#This Row],[Column5]]=0),1,deployment_raw[[#This Row],[Column5]])/1048576,"")</f>
        <v/>
      </c>
      <c r="P899" s="168" t="str">
        <f>IF(ISNUMBER(deployment_raw[[#This Row],[Column12]]), (MIN(IF(N899&lt;&gt;"",N899,9999999999999)*1.1,deployment_raw[[#This Row],[Column12]] * IF($E$2="Deployment",deployment_raw[[#This Row],[Column5]],1))*(1+$P$2)),"")</f>
        <v/>
      </c>
      <c r="Q899" s="167" t="str">
        <f>IF(ISNUMBER(deployment_raw[[#This Row],[Column13]]), (MIN(IF(O899&lt;&gt;"",O899,9999999999999)*1.1,deployment_raw[[#This Row],[Column13]] * IF($E$2="Deployment",deployment_raw[[#This Row],[Column5]],1)*(1+$Q$2)/1048576)),"")</f>
        <v/>
      </c>
      <c r="R899" s="169" t="str">
        <f>IF(ISNUMBER(deployment_raw[[#This Row],[Column8]]), (H899  * IF(N899&lt;&gt;0,$R$2,1)),"")</f>
        <v/>
      </c>
      <c r="S899" s="170" t="str">
        <f>IF(ISNUMBER(deployment_raw[[#This Row],[Column8]]), (I899  * IF(O899&lt;&gt;0,$S$2,1)),"")</f>
        <v/>
      </c>
      <c r="T899" s="202" t="str">
        <f>IF(AND(A899&lt;&gt;"",_xlfn.IFNA(MATCH(A899,'dynamic resource application '!$A$2:$A$100, 0),0)&lt;&gt;0), H899/(IF($E$2="Deployment",E899,1)),"")</f>
        <v/>
      </c>
      <c r="U899" s="211" t="str">
        <f>IF(AND(A899&lt;&gt;"",_xlfn.IFNA(MATCH(A899,'dynamic resource application '!$A$2:$A$100, 0),0)&lt;&gt;0), I899/(IF($E$2="Deployment",E899,1)),"")</f>
        <v/>
      </c>
    </row>
    <row r="900" spans="1:21" ht="15" customHeight="1" x14ac:dyDescent="0.25">
      <c r="A900" s="35" t="str">
        <f>IF(ISNONTEXT(deployment_raw[[#This Row],[Column1]]), "", deployment_raw[[#This Row],[Column1]])</f>
        <v/>
      </c>
      <c r="B900" s="36" t="str">
        <f>IF(ISNONTEXT(deployment_raw[[#This Row],[Column2]]), "", deployment_raw[[#This Row],[Column2]])</f>
        <v/>
      </c>
      <c r="C900" s="36" t="str">
        <f>IF(ISNONTEXT(deployment_raw[[#This Row],[Column3]]), "", deployment_raw[[#This Row],[Column3]])</f>
        <v/>
      </c>
      <c r="D900" s="36" t="str">
        <f>IF(ISNONTEXT(deployment_raw[[#This Row],[Column4]]), "", deployment_raw[[#This Row],[Column4]])</f>
        <v/>
      </c>
      <c r="E900" s="37" t="str">
        <f>IF(ISNUMBER(deployment_raw[[#This Row],[Column5]]), deployment_raw[[#This Row],[Column5]],"")</f>
        <v/>
      </c>
      <c r="F900" s="94" t="str">
        <f>IF(ISNUMBER(deployment_raw[[#This Row],[Column6]]), (deployment_raw[[#This Row],[Column6]] * IF($E$2="Deployment",deployment_raw[[#This Row],[Column5]],1)),"")</f>
        <v/>
      </c>
      <c r="G900" s="95" t="str">
        <f>IF(ISNUMBER(deployment_raw[[#This Row],[Column7]]), (deployment_raw[[#This Row],[Column7]] * IF($E$2="Deployment",deployment_raw[[#This Row],[Column5]],1))/1048576,"")</f>
        <v/>
      </c>
      <c r="H900" s="95" t="str">
        <f>IF(ISNUMBER(deployment_raw[[#This Row],[Column8]]), (deployment_raw[[#This Row],[Column8]]  * IF($E$2="Deployment",deployment_raw[[#This Row],[Column5]],1)),"")</f>
        <v/>
      </c>
      <c r="I900" s="96" t="str">
        <f>IF(ISNUMBER(deployment_raw[[#This Row],[Column9]]), (deployment_raw[[#This Row],[Column9]] * IF($E$2="Deployment",deployment_raw[[#This Row],[Column5]],1))/1048576,"")</f>
        <v/>
      </c>
      <c r="J900" s="122" t="str">
        <f>IF(ISNUMBER(deployment_raw[[#This Row],[Column10]]), (MIN(IF(N900&lt;&gt;"",N900,9999999999999)*1.1,deployment_raw[[#This Row],[Column10]] * IF($E$2="Deployment",deployment_raw[[#This Row],[Column5]],1))),"")</f>
        <v/>
      </c>
      <c r="K900" s="123" t="str">
        <f>IF(ISNUMBER(deployment_raw[[#This Row],[Column11]]), (MIN(IF(O900&lt;&gt;"",O900,9999999999999)*1.1,deployment_raw[[#This Row],[Column11]] * IF($E$2="Deployment",deployment_raw[[#This Row],[Column5]],1)/1048576)),"")</f>
        <v/>
      </c>
      <c r="L900" s="124" t="str">
        <f>IF(ISNUMBER(deployment_raw[[#This Row],[Column8]]),IF(OR(deployment_raw[[#This Row],[Column5]] &lt;&gt; 0,$E$2 &lt;&gt; "Deployment"), MAX(J900, P900, R900, ($L$2 * IF($E$2="Deployment",deployment_raw[[#This Row],[Column5]],1)),IF(T900&lt;&gt;"",VALUE(T900) * IF($E$2="Deployment",deployment_raw[[#This Row],[Column5]],1),0)), 0),"")</f>
        <v/>
      </c>
      <c r="M900" s="125" t="str">
        <f>IF(ISNUMBER(deployment_raw[[#This Row],[Column9]]),IF(OR(deployment_raw[[#This Row],[Column5]] &lt;&gt; 0,$E$2&lt;&gt;"Deployment"), MAX(K900, Q900, S900, ($M$2 * IF($E$2="Deployment",deployment_raw[[#This Row],[Column5]],1)),IF(U900&lt;&gt;"",VALUE(U900) * IF($E$2="Deployment",deployment_raw[[#This Row],[Column5]],1),0)), 0),"")</f>
        <v/>
      </c>
      <c r="N900" s="166" t="str">
        <f>IF(ISNUMBER(deployment_raw[[#This Row],[Column14]]), deployment_raw[[#This Row],[Column14]]/IF(OR($E$2="Deployment",deployment_raw[[#This Row],[Column5]]=0),1,deployment_raw[[#This Row],[Column5]]),"")</f>
        <v/>
      </c>
      <c r="O900" s="167" t="str">
        <f>IF(ISNUMBER(deployment_raw[[#This Row],[Column15]]), deployment_raw[[#This Row],[Column15]]/IF(OR($E$2="Deployment",deployment_raw[[#This Row],[Column5]]=0),1,deployment_raw[[#This Row],[Column5]])/1048576,"")</f>
        <v/>
      </c>
      <c r="P900" s="168" t="str">
        <f>IF(ISNUMBER(deployment_raw[[#This Row],[Column12]]), (MIN(IF(N900&lt;&gt;"",N900,9999999999999)*1.1,deployment_raw[[#This Row],[Column12]] * IF($E$2="Deployment",deployment_raw[[#This Row],[Column5]],1))*(1+$P$2)),"")</f>
        <v/>
      </c>
      <c r="Q900" s="167" t="str">
        <f>IF(ISNUMBER(deployment_raw[[#This Row],[Column13]]), (MIN(IF(O900&lt;&gt;"",O900,9999999999999)*1.1,deployment_raw[[#This Row],[Column13]] * IF($E$2="Deployment",deployment_raw[[#This Row],[Column5]],1)*(1+$Q$2)/1048576)),"")</f>
        <v/>
      </c>
      <c r="R900" s="169" t="str">
        <f>IF(ISNUMBER(deployment_raw[[#This Row],[Column8]]), (H900  * IF(N900&lt;&gt;0,$R$2,1)),"")</f>
        <v/>
      </c>
      <c r="S900" s="170" t="str">
        <f>IF(ISNUMBER(deployment_raw[[#This Row],[Column8]]), (I900  * IF(O900&lt;&gt;0,$S$2,1)),"")</f>
        <v/>
      </c>
      <c r="T900" s="202" t="str">
        <f>IF(AND(A900&lt;&gt;"",_xlfn.IFNA(MATCH(A900,'dynamic resource application '!$A$2:$A$100, 0),0)&lt;&gt;0), H900/(IF($E$2="Deployment",E900,1)),"")</f>
        <v/>
      </c>
      <c r="U900" s="211" t="str">
        <f>IF(AND(A900&lt;&gt;"",_xlfn.IFNA(MATCH(A900,'dynamic resource application '!$A$2:$A$100, 0),0)&lt;&gt;0), I900/(IF($E$2="Deployment",E900,1)),"")</f>
        <v/>
      </c>
    </row>
    <row r="901" spans="1:21" ht="15" customHeight="1" x14ac:dyDescent="0.25">
      <c r="A901" s="35" t="str">
        <f>IF(ISNONTEXT(deployment_raw[[#This Row],[Column1]]), "", deployment_raw[[#This Row],[Column1]])</f>
        <v/>
      </c>
      <c r="B901" s="36" t="str">
        <f>IF(ISNONTEXT(deployment_raw[[#This Row],[Column2]]), "", deployment_raw[[#This Row],[Column2]])</f>
        <v/>
      </c>
      <c r="C901" s="36" t="str">
        <f>IF(ISNONTEXT(deployment_raw[[#This Row],[Column3]]), "", deployment_raw[[#This Row],[Column3]])</f>
        <v/>
      </c>
      <c r="D901" s="36" t="str">
        <f>IF(ISNONTEXT(deployment_raw[[#This Row],[Column4]]), "", deployment_raw[[#This Row],[Column4]])</f>
        <v/>
      </c>
      <c r="E901" s="37" t="str">
        <f>IF(ISNUMBER(deployment_raw[[#This Row],[Column5]]), deployment_raw[[#This Row],[Column5]],"")</f>
        <v/>
      </c>
      <c r="F901" s="94" t="str">
        <f>IF(ISNUMBER(deployment_raw[[#This Row],[Column6]]), (deployment_raw[[#This Row],[Column6]] * IF($E$2="Deployment",deployment_raw[[#This Row],[Column5]],1)),"")</f>
        <v/>
      </c>
      <c r="G901" s="95" t="str">
        <f>IF(ISNUMBER(deployment_raw[[#This Row],[Column7]]), (deployment_raw[[#This Row],[Column7]] * IF($E$2="Deployment",deployment_raw[[#This Row],[Column5]],1))/1048576,"")</f>
        <v/>
      </c>
      <c r="H901" s="95" t="str">
        <f>IF(ISNUMBER(deployment_raw[[#This Row],[Column8]]), (deployment_raw[[#This Row],[Column8]]  * IF($E$2="Deployment",deployment_raw[[#This Row],[Column5]],1)),"")</f>
        <v/>
      </c>
      <c r="I901" s="96" t="str">
        <f>IF(ISNUMBER(deployment_raw[[#This Row],[Column9]]), (deployment_raw[[#This Row],[Column9]] * IF($E$2="Deployment",deployment_raw[[#This Row],[Column5]],1))/1048576,"")</f>
        <v/>
      </c>
      <c r="J901" s="122" t="str">
        <f>IF(ISNUMBER(deployment_raw[[#This Row],[Column10]]), (MIN(IF(N901&lt;&gt;"",N901,9999999999999)*1.1,deployment_raw[[#This Row],[Column10]] * IF($E$2="Deployment",deployment_raw[[#This Row],[Column5]],1))),"")</f>
        <v/>
      </c>
      <c r="K901" s="123" t="str">
        <f>IF(ISNUMBER(deployment_raw[[#This Row],[Column11]]), (MIN(IF(O901&lt;&gt;"",O901,9999999999999)*1.1,deployment_raw[[#This Row],[Column11]] * IF($E$2="Deployment",deployment_raw[[#This Row],[Column5]],1)/1048576)),"")</f>
        <v/>
      </c>
      <c r="L901" s="124" t="str">
        <f>IF(ISNUMBER(deployment_raw[[#This Row],[Column8]]),IF(OR(deployment_raw[[#This Row],[Column5]] &lt;&gt; 0,$E$2 &lt;&gt; "Deployment"), MAX(J901, P901, R901, ($L$2 * IF($E$2="Deployment",deployment_raw[[#This Row],[Column5]],1)),IF(T901&lt;&gt;"",VALUE(T901) * IF($E$2="Deployment",deployment_raw[[#This Row],[Column5]],1),0)), 0),"")</f>
        <v/>
      </c>
      <c r="M901" s="125" t="str">
        <f>IF(ISNUMBER(deployment_raw[[#This Row],[Column9]]),IF(OR(deployment_raw[[#This Row],[Column5]] &lt;&gt; 0,$E$2&lt;&gt;"Deployment"), MAX(K901, Q901, S901, ($M$2 * IF($E$2="Deployment",deployment_raw[[#This Row],[Column5]],1)),IF(U901&lt;&gt;"",VALUE(U901) * IF($E$2="Deployment",deployment_raw[[#This Row],[Column5]],1),0)), 0),"")</f>
        <v/>
      </c>
      <c r="N901" s="166" t="str">
        <f>IF(ISNUMBER(deployment_raw[[#This Row],[Column14]]), deployment_raw[[#This Row],[Column14]]/IF(OR($E$2="Deployment",deployment_raw[[#This Row],[Column5]]=0),1,deployment_raw[[#This Row],[Column5]]),"")</f>
        <v/>
      </c>
      <c r="O901" s="167" t="str">
        <f>IF(ISNUMBER(deployment_raw[[#This Row],[Column15]]), deployment_raw[[#This Row],[Column15]]/IF(OR($E$2="Deployment",deployment_raw[[#This Row],[Column5]]=0),1,deployment_raw[[#This Row],[Column5]])/1048576,"")</f>
        <v/>
      </c>
      <c r="P901" s="168" t="str">
        <f>IF(ISNUMBER(deployment_raw[[#This Row],[Column12]]), (MIN(IF(N901&lt;&gt;"",N901,9999999999999)*1.1,deployment_raw[[#This Row],[Column12]] * IF($E$2="Deployment",deployment_raw[[#This Row],[Column5]],1))*(1+$P$2)),"")</f>
        <v/>
      </c>
      <c r="Q901" s="167" t="str">
        <f>IF(ISNUMBER(deployment_raw[[#This Row],[Column13]]), (MIN(IF(O901&lt;&gt;"",O901,9999999999999)*1.1,deployment_raw[[#This Row],[Column13]] * IF($E$2="Deployment",deployment_raw[[#This Row],[Column5]],1)*(1+$Q$2)/1048576)),"")</f>
        <v/>
      </c>
      <c r="R901" s="169" t="str">
        <f>IF(ISNUMBER(deployment_raw[[#This Row],[Column8]]), (H901  * IF(N901&lt;&gt;0,$R$2,1)),"")</f>
        <v/>
      </c>
      <c r="S901" s="170" t="str">
        <f>IF(ISNUMBER(deployment_raw[[#This Row],[Column8]]), (I901  * IF(O901&lt;&gt;0,$S$2,1)),"")</f>
        <v/>
      </c>
      <c r="T901" s="202" t="str">
        <f>IF(AND(A901&lt;&gt;"",_xlfn.IFNA(MATCH(A901,'dynamic resource application '!$A$2:$A$100, 0),0)&lt;&gt;0), H901/(IF($E$2="Deployment",E901,1)),"")</f>
        <v/>
      </c>
      <c r="U901" s="211" t="str">
        <f>IF(AND(A901&lt;&gt;"",_xlfn.IFNA(MATCH(A901,'dynamic resource application '!$A$2:$A$100, 0),0)&lt;&gt;0), I901/(IF($E$2="Deployment",E901,1)),"")</f>
        <v/>
      </c>
    </row>
    <row r="902" spans="1:21" ht="15" customHeight="1" x14ac:dyDescent="0.25">
      <c r="A902" s="35" t="str">
        <f>IF(ISNONTEXT(deployment_raw[[#This Row],[Column1]]), "", deployment_raw[[#This Row],[Column1]])</f>
        <v/>
      </c>
      <c r="B902" s="36" t="str">
        <f>IF(ISNONTEXT(deployment_raw[[#This Row],[Column2]]), "", deployment_raw[[#This Row],[Column2]])</f>
        <v/>
      </c>
      <c r="C902" s="36" t="str">
        <f>IF(ISNONTEXT(deployment_raw[[#This Row],[Column3]]), "", deployment_raw[[#This Row],[Column3]])</f>
        <v/>
      </c>
      <c r="D902" s="36" t="str">
        <f>IF(ISNONTEXT(deployment_raw[[#This Row],[Column4]]), "", deployment_raw[[#This Row],[Column4]])</f>
        <v/>
      </c>
      <c r="E902" s="37" t="str">
        <f>IF(ISNUMBER(deployment_raw[[#This Row],[Column5]]), deployment_raw[[#This Row],[Column5]],"")</f>
        <v/>
      </c>
      <c r="F902" s="94" t="str">
        <f>IF(ISNUMBER(deployment_raw[[#This Row],[Column6]]), (deployment_raw[[#This Row],[Column6]] * IF($E$2="Deployment",deployment_raw[[#This Row],[Column5]],1)),"")</f>
        <v/>
      </c>
      <c r="G902" s="95" t="str">
        <f>IF(ISNUMBER(deployment_raw[[#This Row],[Column7]]), (deployment_raw[[#This Row],[Column7]] * IF($E$2="Deployment",deployment_raw[[#This Row],[Column5]],1))/1048576,"")</f>
        <v/>
      </c>
      <c r="H902" s="95" t="str">
        <f>IF(ISNUMBER(deployment_raw[[#This Row],[Column8]]), (deployment_raw[[#This Row],[Column8]]  * IF($E$2="Deployment",deployment_raw[[#This Row],[Column5]],1)),"")</f>
        <v/>
      </c>
      <c r="I902" s="96" t="str">
        <f>IF(ISNUMBER(deployment_raw[[#This Row],[Column9]]), (deployment_raw[[#This Row],[Column9]] * IF($E$2="Deployment",deployment_raw[[#This Row],[Column5]],1))/1048576,"")</f>
        <v/>
      </c>
      <c r="J902" s="122" t="str">
        <f>IF(ISNUMBER(deployment_raw[[#This Row],[Column10]]), (MIN(IF(N902&lt;&gt;"",N902,9999999999999)*1.1,deployment_raw[[#This Row],[Column10]] * IF($E$2="Deployment",deployment_raw[[#This Row],[Column5]],1))),"")</f>
        <v/>
      </c>
      <c r="K902" s="123" t="str">
        <f>IF(ISNUMBER(deployment_raw[[#This Row],[Column11]]), (MIN(IF(O902&lt;&gt;"",O902,9999999999999)*1.1,deployment_raw[[#This Row],[Column11]] * IF($E$2="Deployment",deployment_raw[[#This Row],[Column5]],1)/1048576)),"")</f>
        <v/>
      </c>
      <c r="L902" s="124" t="str">
        <f>IF(ISNUMBER(deployment_raw[[#This Row],[Column8]]),IF(OR(deployment_raw[[#This Row],[Column5]] &lt;&gt; 0,$E$2 &lt;&gt; "Deployment"), MAX(J902, P902, R902, ($L$2 * IF($E$2="Deployment",deployment_raw[[#This Row],[Column5]],1)),IF(T902&lt;&gt;"",VALUE(T902) * IF($E$2="Deployment",deployment_raw[[#This Row],[Column5]],1),0)), 0),"")</f>
        <v/>
      </c>
      <c r="M902" s="125" t="str">
        <f>IF(ISNUMBER(deployment_raw[[#This Row],[Column9]]),IF(OR(deployment_raw[[#This Row],[Column5]] &lt;&gt; 0,$E$2&lt;&gt;"Deployment"), MAX(K902, Q902, S902, ($M$2 * IF($E$2="Deployment",deployment_raw[[#This Row],[Column5]],1)),IF(U902&lt;&gt;"",VALUE(U902) * IF($E$2="Deployment",deployment_raw[[#This Row],[Column5]],1),0)), 0),"")</f>
        <v/>
      </c>
      <c r="N902" s="166" t="str">
        <f>IF(ISNUMBER(deployment_raw[[#This Row],[Column14]]), deployment_raw[[#This Row],[Column14]]/IF(OR($E$2="Deployment",deployment_raw[[#This Row],[Column5]]=0),1,deployment_raw[[#This Row],[Column5]]),"")</f>
        <v/>
      </c>
      <c r="O902" s="167" t="str">
        <f>IF(ISNUMBER(deployment_raw[[#This Row],[Column15]]), deployment_raw[[#This Row],[Column15]]/IF(OR($E$2="Deployment",deployment_raw[[#This Row],[Column5]]=0),1,deployment_raw[[#This Row],[Column5]])/1048576,"")</f>
        <v/>
      </c>
      <c r="P902" s="168" t="str">
        <f>IF(ISNUMBER(deployment_raw[[#This Row],[Column12]]), (MIN(IF(N902&lt;&gt;"",N902,9999999999999)*1.1,deployment_raw[[#This Row],[Column12]] * IF($E$2="Deployment",deployment_raw[[#This Row],[Column5]],1))*(1+$P$2)),"")</f>
        <v/>
      </c>
      <c r="Q902" s="167" t="str">
        <f>IF(ISNUMBER(deployment_raw[[#This Row],[Column13]]), (MIN(IF(O902&lt;&gt;"",O902,9999999999999)*1.1,deployment_raw[[#This Row],[Column13]] * IF($E$2="Deployment",deployment_raw[[#This Row],[Column5]],1)*(1+$Q$2)/1048576)),"")</f>
        <v/>
      </c>
      <c r="R902" s="169" t="str">
        <f>IF(ISNUMBER(deployment_raw[[#This Row],[Column8]]), (H902  * IF(N902&lt;&gt;0,$R$2,1)),"")</f>
        <v/>
      </c>
      <c r="S902" s="170" t="str">
        <f>IF(ISNUMBER(deployment_raw[[#This Row],[Column8]]), (I902  * IF(O902&lt;&gt;0,$S$2,1)),"")</f>
        <v/>
      </c>
      <c r="T902" s="202" t="str">
        <f>IF(AND(A902&lt;&gt;"",_xlfn.IFNA(MATCH(A902,'dynamic resource application '!$A$2:$A$100, 0),0)&lt;&gt;0), H902/(IF($E$2="Deployment",E902,1)),"")</f>
        <v/>
      </c>
      <c r="U902" s="211" t="str">
        <f>IF(AND(A902&lt;&gt;"",_xlfn.IFNA(MATCH(A902,'dynamic resource application '!$A$2:$A$100, 0),0)&lt;&gt;0), I902/(IF($E$2="Deployment",E902,1)),"")</f>
        <v/>
      </c>
    </row>
    <row r="903" spans="1:21" ht="15" customHeight="1" x14ac:dyDescent="0.25">
      <c r="A903" s="35" t="str">
        <f>IF(ISNONTEXT(deployment_raw[[#This Row],[Column1]]), "", deployment_raw[[#This Row],[Column1]])</f>
        <v/>
      </c>
      <c r="B903" s="36" t="str">
        <f>IF(ISNONTEXT(deployment_raw[[#This Row],[Column2]]), "", deployment_raw[[#This Row],[Column2]])</f>
        <v/>
      </c>
      <c r="C903" s="36" t="str">
        <f>IF(ISNONTEXT(deployment_raw[[#This Row],[Column3]]), "", deployment_raw[[#This Row],[Column3]])</f>
        <v/>
      </c>
      <c r="D903" s="36" t="str">
        <f>IF(ISNONTEXT(deployment_raw[[#This Row],[Column4]]), "", deployment_raw[[#This Row],[Column4]])</f>
        <v/>
      </c>
      <c r="E903" s="37" t="str">
        <f>IF(ISNUMBER(deployment_raw[[#This Row],[Column5]]), deployment_raw[[#This Row],[Column5]],"")</f>
        <v/>
      </c>
      <c r="F903" s="94" t="str">
        <f>IF(ISNUMBER(deployment_raw[[#This Row],[Column6]]), (deployment_raw[[#This Row],[Column6]] * IF($E$2="Deployment",deployment_raw[[#This Row],[Column5]],1)),"")</f>
        <v/>
      </c>
      <c r="G903" s="95" t="str">
        <f>IF(ISNUMBER(deployment_raw[[#This Row],[Column7]]), (deployment_raw[[#This Row],[Column7]] * IF($E$2="Deployment",deployment_raw[[#This Row],[Column5]],1))/1048576,"")</f>
        <v/>
      </c>
      <c r="H903" s="95" t="str">
        <f>IF(ISNUMBER(deployment_raw[[#This Row],[Column8]]), (deployment_raw[[#This Row],[Column8]]  * IF($E$2="Deployment",deployment_raw[[#This Row],[Column5]],1)),"")</f>
        <v/>
      </c>
      <c r="I903" s="96" t="str">
        <f>IF(ISNUMBER(deployment_raw[[#This Row],[Column9]]), (deployment_raw[[#This Row],[Column9]] * IF($E$2="Deployment",deployment_raw[[#This Row],[Column5]],1))/1048576,"")</f>
        <v/>
      </c>
      <c r="J903" s="122" t="str">
        <f>IF(ISNUMBER(deployment_raw[[#This Row],[Column10]]), (MIN(IF(N903&lt;&gt;"",N903,9999999999999)*1.1,deployment_raw[[#This Row],[Column10]] * IF($E$2="Deployment",deployment_raw[[#This Row],[Column5]],1))),"")</f>
        <v/>
      </c>
      <c r="K903" s="123" t="str">
        <f>IF(ISNUMBER(deployment_raw[[#This Row],[Column11]]), (MIN(IF(O903&lt;&gt;"",O903,9999999999999)*1.1,deployment_raw[[#This Row],[Column11]] * IF($E$2="Deployment",deployment_raw[[#This Row],[Column5]],1)/1048576)),"")</f>
        <v/>
      </c>
      <c r="L903" s="124" t="str">
        <f>IF(ISNUMBER(deployment_raw[[#This Row],[Column8]]),IF(OR(deployment_raw[[#This Row],[Column5]] &lt;&gt; 0,$E$2 &lt;&gt; "Deployment"), MAX(J903, P903, R903, ($L$2 * IF($E$2="Deployment",deployment_raw[[#This Row],[Column5]],1)),IF(T903&lt;&gt;"",VALUE(T903) * IF($E$2="Deployment",deployment_raw[[#This Row],[Column5]],1),0)), 0),"")</f>
        <v/>
      </c>
      <c r="M903" s="125" t="str">
        <f>IF(ISNUMBER(deployment_raw[[#This Row],[Column9]]),IF(OR(deployment_raw[[#This Row],[Column5]] &lt;&gt; 0,$E$2&lt;&gt;"Deployment"), MAX(K903, Q903, S903, ($M$2 * IF($E$2="Deployment",deployment_raw[[#This Row],[Column5]],1)),IF(U903&lt;&gt;"",VALUE(U903) * IF($E$2="Deployment",deployment_raw[[#This Row],[Column5]],1),0)), 0),"")</f>
        <v/>
      </c>
      <c r="N903" s="166" t="str">
        <f>IF(ISNUMBER(deployment_raw[[#This Row],[Column14]]), deployment_raw[[#This Row],[Column14]]/IF(OR($E$2="Deployment",deployment_raw[[#This Row],[Column5]]=0),1,deployment_raw[[#This Row],[Column5]]),"")</f>
        <v/>
      </c>
      <c r="O903" s="167" t="str">
        <f>IF(ISNUMBER(deployment_raw[[#This Row],[Column15]]), deployment_raw[[#This Row],[Column15]]/IF(OR($E$2="Deployment",deployment_raw[[#This Row],[Column5]]=0),1,deployment_raw[[#This Row],[Column5]])/1048576,"")</f>
        <v/>
      </c>
      <c r="P903" s="168" t="str">
        <f>IF(ISNUMBER(deployment_raw[[#This Row],[Column12]]), (MIN(IF(N903&lt;&gt;"",N903,9999999999999)*1.1,deployment_raw[[#This Row],[Column12]] * IF($E$2="Deployment",deployment_raw[[#This Row],[Column5]],1))*(1+$P$2)),"")</f>
        <v/>
      </c>
      <c r="Q903" s="167" t="str">
        <f>IF(ISNUMBER(deployment_raw[[#This Row],[Column13]]), (MIN(IF(O903&lt;&gt;"",O903,9999999999999)*1.1,deployment_raw[[#This Row],[Column13]] * IF($E$2="Deployment",deployment_raw[[#This Row],[Column5]],1)*(1+$Q$2)/1048576)),"")</f>
        <v/>
      </c>
      <c r="R903" s="169" t="str">
        <f>IF(ISNUMBER(deployment_raw[[#This Row],[Column8]]), (H903  * IF(N903&lt;&gt;0,$R$2,1)),"")</f>
        <v/>
      </c>
      <c r="S903" s="170" t="str">
        <f>IF(ISNUMBER(deployment_raw[[#This Row],[Column8]]), (I903  * IF(O903&lt;&gt;0,$S$2,1)),"")</f>
        <v/>
      </c>
      <c r="T903" s="202" t="str">
        <f>IF(AND(A903&lt;&gt;"",_xlfn.IFNA(MATCH(A903,'dynamic resource application '!$A$2:$A$100, 0),0)&lt;&gt;0), H903/(IF($E$2="Deployment",E903,1)),"")</f>
        <v/>
      </c>
      <c r="U903" s="211" t="str">
        <f>IF(AND(A903&lt;&gt;"",_xlfn.IFNA(MATCH(A903,'dynamic resource application '!$A$2:$A$100, 0),0)&lt;&gt;0), I903/(IF($E$2="Deployment",E903,1)),"")</f>
        <v/>
      </c>
    </row>
    <row r="904" spans="1:21" ht="15" customHeight="1" x14ac:dyDescent="0.25">
      <c r="A904" s="35" t="str">
        <f>IF(ISNONTEXT(deployment_raw[[#This Row],[Column1]]), "", deployment_raw[[#This Row],[Column1]])</f>
        <v/>
      </c>
      <c r="B904" s="36" t="str">
        <f>IF(ISNONTEXT(deployment_raw[[#This Row],[Column2]]), "", deployment_raw[[#This Row],[Column2]])</f>
        <v/>
      </c>
      <c r="C904" s="36" t="str">
        <f>IF(ISNONTEXT(deployment_raw[[#This Row],[Column3]]), "", deployment_raw[[#This Row],[Column3]])</f>
        <v/>
      </c>
      <c r="D904" s="36" t="str">
        <f>IF(ISNONTEXT(deployment_raw[[#This Row],[Column4]]), "", deployment_raw[[#This Row],[Column4]])</f>
        <v/>
      </c>
      <c r="E904" s="37" t="str">
        <f>IF(ISNUMBER(deployment_raw[[#This Row],[Column5]]), deployment_raw[[#This Row],[Column5]],"")</f>
        <v/>
      </c>
      <c r="F904" s="94" t="str">
        <f>IF(ISNUMBER(deployment_raw[[#This Row],[Column6]]), (deployment_raw[[#This Row],[Column6]] * IF($E$2="Deployment",deployment_raw[[#This Row],[Column5]],1)),"")</f>
        <v/>
      </c>
      <c r="G904" s="95" t="str">
        <f>IF(ISNUMBER(deployment_raw[[#This Row],[Column7]]), (deployment_raw[[#This Row],[Column7]] * IF($E$2="Deployment",deployment_raw[[#This Row],[Column5]],1))/1048576,"")</f>
        <v/>
      </c>
      <c r="H904" s="95" t="str">
        <f>IF(ISNUMBER(deployment_raw[[#This Row],[Column8]]), (deployment_raw[[#This Row],[Column8]]  * IF($E$2="Deployment",deployment_raw[[#This Row],[Column5]],1)),"")</f>
        <v/>
      </c>
      <c r="I904" s="96" t="str">
        <f>IF(ISNUMBER(deployment_raw[[#This Row],[Column9]]), (deployment_raw[[#This Row],[Column9]] * IF($E$2="Deployment",deployment_raw[[#This Row],[Column5]],1))/1048576,"")</f>
        <v/>
      </c>
      <c r="J904" s="122" t="str">
        <f>IF(ISNUMBER(deployment_raw[[#This Row],[Column10]]), (MIN(IF(N904&lt;&gt;"",N904,9999999999999)*1.1,deployment_raw[[#This Row],[Column10]] * IF($E$2="Deployment",deployment_raw[[#This Row],[Column5]],1))),"")</f>
        <v/>
      </c>
      <c r="K904" s="123" t="str">
        <f>IF(ISNUMBER(deployment_raw[[#This Row],[Column11]]), (MIN(IF(O904&lt;&gt;"",O904,9999999999999)*1.1,deployment_raw[[#This Row],[Column11]] * IF($E$2="Deployment",deployment_raw[[#This Row],[Column5]],1)/1048576)),"")</f>
        <v/>
      </c>
      <c r="L904" s="124" t="str">
        <f>IF(ISNUMBER(deployment_raw[[#This Row],[Column8]]),IF(OR(deployment_raw[[#This Row],[Column5]] &lt;&gt; 0,$E$2 &lt;&gt; "Deployment"), MAX(J904, P904, R904, ($L$2 * IF($E$2="Deployment",deployment_raw[[#This Row],[Column5]],1)),IF(T904&lt;&gt;"",VALUE(T904) * IF($E$2="Deployment",deployment_raw[[#This Row],[Column5]],1),0)), 0),"")</f>
        <v/>
      </c>
      <c r="M904" s="125" t="str">
        <f>IF(ISNUMBER(deployment_raw[[#This Row],[Column9]]),IF(OR(deployment_raw[[#This Row],[Column5]] &lt;&gt; 0,$E$2&lt;&gt;"Deployment"), MAX(K904, Q904, S904, ($M$2 * IF($E$2="Deployment",deployment_raw[[#This Row],[Column5]],1)),IF(U904&lt;&gt;"",VALUE(U904) * IF($E$2="Deployment",deployment_raw[[#This Row],[Column5]],1),0)), 0),"")</f>
        <v/>
      </c>
      <c r="N904" s="166" t="str">
        <f>IF(ISNUMBER(deployment_raw[[#This Row],[Column14]]), deployment_raw[[#This Row],[Column14]]/IF(OR($E$2="Deployment",deployment_raw[[#This Row],[Column5]]=0),1,deployment_raw[[#This Row],[Column5]]),"")</f>
        <v/>
      </c>
      <c r="O904" s="167" t="str">
        <f>IF(ISNUMBER(deployment_raw[[#This Row],[Column15]]), deployment_raw[[#This Row],[Column15]]/IF(OR($E$2="Deployment",deployment_raw[[#This Row],[Column5]]=0),1,deployment_raw[[#This Row],[Column5]])/1048576,"")</f>
        <v/>
      </c>
      <c r="P904" s="168" t="str">
        <f>IF(ISNUMBER(deployment_raw[[#This Row],[Column12]]), (MIN(IF(N904&lt;&gt;"",N904,9999999999999)*1.1,deployment_raw[[#This Row],[Column12]] * IF($E$2="Deployment",deployment_raw[[#This Row],[Column5]],1))*(1+$P$2)),"")</f>
        <v/>
      </c>
      <c r="Q904" s="167" t="str">
        <f>IF(ISNUMBER(deployment_raw[[#This Row],[Column13]]), (MIN(IF(O904&lt;&gt;"",O904,9999999999999)*1.1,deployment_raw[[#This Row],[Column13]] * IF($E$2="Deployment",deployment_raw[[#This Row],[Column5]],1)*(1+$Q$2)/1048576)),"")</f>
        <v/>
      </c>
      <c r="R904" s="169" t="str">
        <f>IF(ISNUMBER(deployment_raw[[#This Row],[Column8]]), (H904  * IF(N904&lt;&gt;0,$R$2,1)),"")</f>
        <v/>
      </c>
      <c r="S904" s="170" t="str">
        <f>IF(ISNUMBER(deployment_raw[[#This Row],[Column8]]), (I904  * IF(O904&lt;&gt;0,$S$2,1)),"")</f>
        <v/>
      </c>
      <c r="T904" s="202" t="str">
        <f>IF(AND(A904&lt;&gt;"",_xlfn.IFNA(MATCH(A904,'dynamic resource application '!$A$2:$A$100, 0),0)&lt;&gt;0), H904/(IF($E$2="Deployment",E904,1)),"")</f>
        <v/>
      </c>
      <c r="U904" s="211" t="str">
        <f>IF(AND(A904&lt;&gt;"",_xlfn.IFNA(MATCH(A904,'dynamic resource application '!$A$2:$A$100, 0),0)&lt;&gt;0), I904/(IF($E$2="Deployment",E904,1)),"")</f>
        <v/>
      </c>
    </row>
    <row r="905" spans="1:21" ht="15" customHeight="1" x14ac:dyDescent="0.25">
      <c r="A905" s="35" t="str">
        <f>IF(ISNONTEXT(deployment_raw[[#This Row],[Column1]]), "", deployment_raw[[#This Row],[Column1]])</f>
        <v/>
      </c>
      <c r="B905" s="36" t="str">
        <f>IF(ISNONTEXT(deployment_raw[[#This Row],[Column2]]), "", deployment_raw[[#This Row],[Column2]])</f>
        <v/>
      </c>
      <c r="C905" s="36" t="str">
        <f>IF(ISNONTEXT(deployment_raw[[#This Row],[Column3]]), "", deployment_raw[[#This Row],[Column3]])</f>
        <v/>
      </c>
      <c r="D905" s="36" t="str">
        <f>IF(ISNONTEXT(deployment_raw[[#This Row],[Column4]]), "", deployment_raw[[#This Row],[Column4]])</f>
        <v/>
      </c>
      <c r="E905" s="37" t="str">
        <f>IF(ISNUMBER(deployment_raw[[#This Row],[Column5]]), deployment_raw[[#This Row],[Column5]],"")</f>
        <v/>
      </c>
      <c r="F905" s="94" t="str">
        <f>IF(ISNUMBER(deployment_raw[[#This Row],[Column6]]), (deployment_raw[[#This Row],[Column6]] * IF($E$2="Deployment",deployment_raw[[#This Row],[Column5]],1)),"")</f>
        <v/>
      </c>
      <c r="G905" s="95" t="str">
        <f>IF(ISNUMBER(deployment_raw[[#This Row],[Column7]]), (deployment_raw[[#This Row],[Column7]] * IF($E$2="Deployment",deployment_raw[[#This Row],[Column5]],1))/1048576,"")</f>
        <v/>
      </c>
      <c r="H905" s="95" t="str">
        <f>IF(ISNUMBER(deployment_raw[[#This Row],[Column8]]), (deployment_raw[[#This Row],[Column8]]  * IF($E$2="Deployment",deployment_raw[[#This Row],[Column5]],1)),"")</f>
        <v/>
      </c>
      <c r="I905" s="96" t="str">
        <f>IF(ISNUMBER(deployment_raw[[#This Row],[Column9]]), (deployment_raw[[#This Row],[Column9]] * IF($E$2="Deployment",deployment_raw[[#This Row],[Column5]],1))/1048576,"")</f>
        <v/>
      </c>
      <c r="J905" s="122" t="str">
        <f>IF(ISNUMBER(deployment_raw[[#This Row],[Column10]]), (MIN(IF(N905&lt;&gt;"",N905,9999999999999)*1.1,deployment_raw[[#This Row],[Column10]] * IF($E$2="Deployment",deployment_raw[[#This Row],[Column5]],1))),"")</f>
        <v/>
      </c>
      <c r="K905" s="123" t="str">
        <f>IF(ISNUMBER(deployment_raw[[#This Row],[Column11]]), (MIN(IF(O905&lt;&gt;"",O905,9999999999999)*1.1,deployment_raw[[#This Row],[Column11]] * IF($E$2="Deployment",deployment_raw[[#This Row],[Column5]],1)/1048576)),"")</f>
        <v/>
      </c>
      <c r="L905" s="124" t="str">
        <f>IF(ISNUMBER(deployment_raw[[#This Row],[Column8]]),IF(OR(deployment_raw[[#This Row],[Column5]] &lt;&gt; 0,$E$2 &lt;&gt; "Deployment"), MAX(J905, P905, R905, ($L$2 * IF($E$2="Deployment",deployment_raw[[#This Row],[Column5]],1)),IF(T905&lt;&gt;"",VALUE(T905) * IF($E$2="Deployment",deployment_raw[[#This Row],[Column5]],1),0)), 0),"")</f>
        <v/>
      </c>
      <c r="M905" s="125" t="str">
        <f>IF(ISNUMBER(deployment_raw[[#This Row],[Column9]]),IF(OR(deployment_raw[[#This Row],[Column5]] &lt;&gt; 0,$E$2&lt;&gt;"Deployment"), MAX(K905, Q905, S905, ($M$2 * IF($E$2="Deployment",deployment_raw[[#This Row],[Column5]],1)),IF(U905&lt;&gt;"",VALUE(U905) * IF($E$2="Deployment",deployment_raw[[#This Row],[Column5]],1),0)), 0),"")</f>
        <v/>
      </c>
      <c r="N905" s="166" t="str">
        <f>IF(ISNUMBER(deployment_raw[[#This Row],[Column14]]), deployment_raw[[#This Row],[Column14]]/IF(OR($E$2="Deployment",deployment_raw[[#This Row],[Column5]]=0),1,deployment_raw[[#This Row],[Column5]]),"")</f>
        <v/>
      </c>
      <c r="O905" s="167" t="str">
        <f>IF(ISNUMBER(deployment_raw[[#This Row],[Column15]]), deployment_raw[[#This Row],[Column15]]/IF(OR($E$2="Deployment",deployment_raw[[#This Row],[Column5]]=0),1,deployment_raw[[#This Row],[Column5]])/1048576,"")</f>
        <v/>
      </c>
      <c r="P905" s="168" t="str">
        <f>IF(ISNUMBER(deployment_raw[[#This Row],[Column12]]), (MIN(IF(N905&lt;&gt;"",N905,9999999999999)*1.1,deployment_raw[[#This Row],[Column12]] * IF($E$2="Deployment",deployment_raw[[#This Row],[Column5]],1))*(1+$P$2)),"")</f>
        <v/>
      </c>
      <c r="Q905" s="167" t="str">
        <f>IF(ISNUMBER(deployment_raw[[#This Row],[Column13]]), (MIN(IF(O905&lt;&gt;"",O905,9999999999999)*1.1,deployment_raw[[#This Row],[Column13]] * IF($E$2="Deployment",deployment_raw[[#This Row],[Column5]],1)*(1+$Q$2)/1048576)),"")</f>
        <v/>
      </c>
      <c r="R905" s="169" t="str">
        <f>IF(ISNUMBER(deployment_raw[[#This Row],[Column8]]), (H905  * IF(N905&lt;&gt;0,$R$2,1)),"")</f>
        <v/>
      </c>
      <c r="S905" s="170" t="str">
        <f>IF(ISNUMBER(deployment_raw[[#This Row],[Column8]]), (I905  * IF(O905&lt;&gt;0,$S$2,1)),"")</f>
        <v/>
      </c>
      <c r="T905" s="202" t="str">
        <f>IF(AND(A905&lt;&gt;"",_xlfn.IFNA(MATCH(A905,'dynamic resource application '!$A$2:$A$100, 0),0)&lt;&gt;0), H905/(IF($E$2="Deployment",E905,1)),"")</f>
        <v/>
      </c>
      <c r="U905" s="211" t="str">
        <f>IF(AND(A905&lt;&gt;"",_xlfn.IFNA(MATCH(A905,'dynamic resource application '!$A$2:$A$100, 0),0)&lt;&gt;0), I905/(IF($E$2="Deployment",E905,1)),"")</f>
        <v/>
      </c>
    </row>
    <row r="906" spans="1:21" ht="15" customHeight="1" x14ac:dyDescent="0.25">
      <c r="A906" s="35" t="str">
        <f>IF(ISNONTEXT(deployment_raw[[#This Row],[Column1]]), "", deployment_raw[[#This Row],[Column1]])</f>
        <v/>
      </c>
      <c r="B906" s="36" t="str">
        <f>IF(ISNONTEXT(deployment_raw[[#This Row],[Column2]]), "", deployment_raw[[#This Row],[Column2]])</f>
        <v/>
      </c>
      <c r="C906" s="36" t="str">
        <f>IF(ISNONTEXT(deployment_raw[[#This Row],[Column3]]), "", deployment_raw[[#This Row],[Column3]])</f>
        <v/>
      </c>
      <c r="D906" s="36" t="str">
        <f>IF(ISNONTEXT(deployment_raw[[#This Row],[Column4]]), "", deployment_raw[[#This Row],[Column4]])</f>
        <v/>
      </c>
      <c r="E906" s="37" t="str">
        <f>IF(ISNUMBER(deployment_raw[[#This Row],[Column5]]), deployment_raw[[#This Row],[Column5]],"")</f>
        <v/>
      </c>
      <c r="F906" s="94" t="str">
        <f>IF(ISNUMBER(deployment_raw[[#This Row],[Column6]]), (deployment_raw[[#This Row],[Column6]] * IF($E$2="Deployment",deployment_raw[[#This Row],[Column5]],1)),"")</f>
        <v/>
      </c>
      <c r="G906" s="95" t="str">
        <f>IF(ISNUMBER(deployment_raw[[#This Row],[Column7]]), (deployment_raw[[#This Row],[Column7]] * IF($E$2="Deployment",deployment_raw[[#This Row],[Column5]],1))/1048576,"")</f>
        <v/>
      </c>
      <c r="H906" s="95" t="str">
        <f>IF(ISNUMBER(deployment_raw[[#This Row],[Column8]]), (deployment_raw[[#This Row],[Column8]]  * IF($E$2="Deployment",deployment_raw[[#This Row],[Column5]],1)),"")</f>
        <v/>
      </c>
      <c r="I906" s="96" t="str">
        <f>IF(ISNUMBER(deployment_raw[[#This Row],[Column9]]), (deployment_raw[[#This Row],[Column9]] * IF($E$2="Deployment",deployment_raw[[#This Row],[Column5]],1))/1048576,"")</f>
        <v/>
      </c>
      <c r="J906" s="122" t="str">
        <f>IF(ISNUMBER(deployment_raw[[#This Row],[Column10]]), (MIN(IF(N906&lt;&gt;"",N906,9999999999999)*1.1,deployment_raw[[#This Row],[Column10]] * IF($E$2="Deployment",deployment_raw[[#This Row],[Column5]],1))),"")</f>
        <v/>
      </c>
      <c r="K906" s="123" t="str">
        <f>IF(ISNUMBER(deployment_raw[[#This Row],[Column11]]), (MIN(IF(O906&lt;&gt;"",O906,9999999999999)*1.1,deployment_raw[[#This Row],[Column11]] * IF($E$2="Deployment",deployment_raw[[#This Row],[Column5]],1)/1048576)),"")</f>
        <v/>
      </c>
      <c r="L906" s="124" t="str">
        <f>IF(ISNUMBER(deployment_raw[[#This Row],[Column8]]),IF(OR(deployment_raw[[#This Row],[Column5]] &lt;&gt; 0,$E$2 &lt;&gt; "Deployment"), MAX(J906, P906, R906, ($L$2 * IF($E$2="Deployment",deployment_raw[[#This Row],[Column5]],1)),IF(T906&lt;&gt;"",VALUE(T906) * IF($E$2="Deployment",deployment_raw[[#This Row],[Column5]],1),0)), 0),"")</f>
        <v/>
      </c>
      <c r="M906" s="125" t="str">
        <f>IF(ISNUMBER(deployment_raw[[#This Row],[Column9]]),IF(OR(deployment_raw[[#This Row],[Column5]] &lt;&gt; 0,$E$2&lt;&gt;"Deployment"), MAX(K906, Q906, S906, ($M$2 * IF($E$2="Deployment",deployment_raw[[#This Row],[Column5]],1)),IF(U906&lt;&gt;"",VALUE(U906) * IF($E$2="Deployment",deployment_raw[[#This Row],[Column5]],1),0)), 0),"")</f>
        <v/>
      </c>
      <c r="N906" s="166" t="str">
        <f>IF(ISNUMBER(deployment_raw[[#This Row],[Column14]]), deployment_raw[[#This Row],[Column14]]/IF(OR($E$2="Deployment",deployment_raw[[#This Row],[Column5]]=0),1,deployment_raw[[#This Row],[Column5]]),"")</f>
        <v/>
      </c>
      <c r="O906" s="167" t="str">
        <f>IF(ISNUMBER(deployment_raw[[#This Row],[Column15]]), deployment_raw[[#This Row],[Column15]]/IF(OR($E$2="Deployment",deployment_raw[[#This Row],[Column5]]=0),1,deployment_raw[[#This Row],[Column5]])/1048576,"")</f>
        <v/>
      </c>
      <c r="P906" s="168" t="str">
        <f>IF(ISNUMBER(deployment_raw[[#This Row],[Column12]]), (MIN(IF(N906&lt;&gt;"",N906,9999999999999)*1.1,deployment_raw[[#This Row],[Column12]] * IF($E$2="Deployment",deployment_raw[[#This Row],[Column5]],1))*(1+$P$2)),"")</f>
        <v/>
      </c>
      <c r="Q906" s="167" t="str">
        <f>IF(ISNUMBER(deployment_raw[[#This Row],[Column13]]), (MIN(IF(O906&lt;&gt;"",O906,9999999999999)*1.1,deployment_raw[[#This Row],[Column13]] * IF($E$2="Deployment",deployment_raw[[#This Row],[Column5]],1)*(1+$Q$2)/1048576)),"")</f>
        <v/>
      </c>
      <c r="R906" s="169" t="str">
        <f>IF(ISNUMBER(deployment_raw[[#This Row],[Column8]]), (H906  * IF(N906&lt;&gt;0,$R$2,1)),"")</f>
        <v/>
      </c>
      <c r="S906" s="170" t="str">
        <f>IF(ISNUMBER(deployment_raw[[#This Row],[Column8]]), (I906  * IF(O906&lt;&gt;0,$S$2,1)),"")</f>
        <v/>
      </c>
      <c r="T906" s="202" t="str">
        <f>IF(AND(A906&lt;&gt;"",_xlfn.IFNA(MATCH(A906,'dynamic resource application '!$A$2:$A$100, 0),0)&lt;&gt;0), H906/(IF($E$2="Deployment",E906,1)),"")</f>
        <v/>
      </c>
      <c r="U906" s="211" t="str">
        <f>IF(AND(A906&lt;&gt;"",_xlfn.IFNA(MATCH(A906,'dynamic resource application '!$A$2:$A$100, 0),0)&lt;&gt;0), I906/(IF($E$2="Deployment",E906,1)),"")</f>
        <v/>
      </c>
    </row>
    <row r="907" spans="1:21" ht="15" customHeight="1" x14ac:dyDescent="0.25">
      <c r="A907" s="35" t="str">
        <f>IF(ISNONTEXT(deployment_raw[[#This Row],[Column1]]), "", deployment_raw[[#This Row],[Column1]])</f>
        <v/>
      </c>
      <c r="B907" s="36" t="str">
        <f>IF(ISNONTEXT(deployment_raw[[#This Row],[Column2]]), "", deployment_raw[[#This Row],[Column2]])</f>
        <v/>
      </c>
      <c r="C907" s="36" t="str">
        <f>IF(ISNONTEXT(deployment_raw[[#This Row],[Column3]]), "", deployment_raw[[#This Row],[Column3]])</f>
        <v/>
      </c>
      <c r="D907" s="36" t="str">
        <f>IF(ISNONTEXT(deployment_raw[[#This Row],[Column4]]), "", deployment_raw[[#This Row],[Column4]])</f>
        <v/>
      </c>
      <c r="E907" s="37" t="str">
        <f>IF(ISNUMBER(deployment_raw[[#This Row],[Column5]]), deployment_raw[[#This Row],[Column5]],"")</f>
        <v/>
      </c>
      <c r="F907" s="94" t="str">
        <f>IF(ISNUMBER(deployment_raw[[#This Row],[Column6]]), (deployment_raw[[#This Row],[Column6]] * IF($E$2="Deployment",deployment_raw[[#This Row],[Column5]],1)),"")</f>
        <v/>
      </c>
      <c r="G907" s="95" t="str">
        <f>IF(ISNUMBER(deployment_raw[[#This Row],[Column7]]), (deployment_raw[[#This Row],[Column7]] * IF($E$2="Deployment",deployment_raw[[#This Row],[Column5]],1))/1048576,"")</f>
        <v/>
      </c>
      <c r="H907" s="95" t="str">
        <f>IF(ISNUMBER(deployment_raw[[#This Row],[Column8]]), (deployment_raw[[#This Row],[Column8]]  * IF($E$2="Deployment",deployment_raw[[#This Row],[Column5]],1)),"")</f>
        <v/>
      </c>
      <c r="I907" s="96" t="str">
        <f>IF(ISNUMBER(deployment_raw[[#This Row],[Column9]]), (deployment_raw[[#This Row],[Column9]] * IF($E$2="Deployment",deployment_raw[[#This Row],[Column5]],1))/1048576,"")</f>
        <v/>
      </c>
      <c r="J907" s="122" t="str">
        <f>IF(ISNUMBER(deployment_raw[[#This Row],[Column10]]), (MIN(IF(N907&lt;&gt;"",N907,9999999999999)*1.1,deployment_raw[[#This Row],[Column10]] * IF($E$2="Deployment",deployment_raw[[#This Row],[Column5]],1))),"")</f>
        <v/>
      </c>
      <c r="K907" s="123" t="str">
        <f>IF(ISNUMBER(deployment_raw[[#This Row],[Column11]]), (MIN(IF(O907&lt;&gt;"",O907,9999999999999)*1.1,deployment_raw[[#This Row],[Column11]] * IF($E$2="Deployment",deployment_raw[[#This Row],[Column5]],1)/1048576)),"")</f>
        <v/>
      </c>
      <c r="L907" s="124" t="str">
        <f>IF(ISNUMBER(deployment_raw[[#This Row],[Column8]]),IF(OR(deployment_raw[[#This Row],[Column5]] &lt;&gt; 0,$E$2 &lt;&gt; "Deployment"), MAX(J907, P907, R907, ($L$2 * IF($E$2="Deployment",deployment_raw[[#This Row],[Column5]],1)),IF(T907&lt;&gt;"",VALUE(T907) * IF($E$2="Deployment",deployment_raw[[#This Row],[Column5]],1),0)), 0),"")</f>
        <v/>
      </c>
      <c r="M907" s="125" t="str">
        <f>IF(ISNUMBER(deployment_raw[[#This Row],[Column9]]),IF(OR(deployment_raw[[#This Row],[Column5]] &lt;&gt; 0,$E$2&lt;&gt;"Deployment"), MAX(K907, Q907, S907, ($M$2 * IF($E$2="Deployment",deployment_raw[[#This Row],[Column5]],1)),IF(U907&lt;&gt;"",VALUE(U907) * IF($E$2="Deployment",deployment_raw[[#This Row],[Column5]],1),0)), 0),"")</f>
        <v/>
      </c>
      <c r="N907" s="166" t="str">
        <f>IF(ISNUMBER(deployment_raw[[#This Row],[Column14]]), deployment_raw[[#This Row],[Column14]]/IF(OR($E$2="Deployment",deployment_raw[[#This Row],[Column5]]=0),1,deployment_raw[[#This Row],[Column5]]),"")</f>
        <v/>
      </c>
      <c r="O907" s="167" t="str">
        <f>IF(ISNUMBER(deployment_raw[[#This Row],[Column15]]), deployment_raw[[#This Row],[Column15]]/IF(OR($E$2="Deployment",deployment_raw[[#This Row],[Column5]]=0),1,deployment_raw[[#This Row],[Column5]])/1048576,"")</f>
        <v/>
      </c>
      <c r="P907" s="168" t="str">
        <f>IF(ISNUMBER(deployment_raw[[#This Row],[Column12]]), (MIN(IF(N907&lt;&gt;"",N907,9999999999999)*1.1,deployment_raw[[#This Row],[Column12]] * IF($E$2="Deployment",deployment_raw[[#This Row],[Column5]],1))*(1+$P$2)),"")</f>
        <v/>
      </c>
      <c r="Q907" s="167" t="str">
        <f>IF(ISNUMBER(deployment_raw[[#This Row],[Column13]]), (MIN(IF(O907&lt;&gt;"",O907,9999999999999)*1.1,deployment_raw[[#This Row],[Column13]] * IF($E$2="Deployment",deployment_raw[[#This Row],[Column5]],1)*(1+$Q$2)/1048576)),"")</f>
        <v/>
      </c>
      <c r="R907" s="169" t="str">
        <f>IF(ISNUMBER(deployment_raw[[#This Row],[Column8]]), (H907  * IF(N907&lt;&gt;0,$R$2,1)),"")</f>
        <v/>
      </c>
      <c r="S907" s="170" t="str">
        <f>IF(ISNUMBER(deployment_raw[[#This Row],[Column8]]), (I907  * IF(O907&lt;&gt;0,$S$2,1)),"")</f>
        <v/>
      </c>
      <c r="T907" s="202" t="str">
        <f>IF(AND(A907&lt;&gt;"",_xlfn.IFNA(MATCH(A907,'dynamic resource application '!$A$2:$A$100, 0),0)&lt;&gt;0), H907/(IF($E$2="Deployment",E907,1)),"")</f>
        <v/>
      </c>
      <c r="U907" s="211" t="str">
        <f>IF(AND(A907&lt;&gt;"",_xlfn.IFNA(MATCH(A907,'dynamic resource application '!$A$2:$A$100, 0),0)&lt;&gt;0), I907/(IF($E$2="Deployment",E907,1)),"")</f>
        <v/>
      </c>
    </row>
    <row r="908" spans="1:21" ht="15" customHeight="1" x14ac:dyDescent="0.25">
      <c r="A908" s="35" t="str">
        <f>IF(ISNONTEXT(deployment_raw[[#This Row],[Column1]]), "", deployment_raw[[#This Row],[Column1]])</f>
        <v/>
      </c>
      <c r="B908" s="36" t="str">
        <f>IF(ISNONTEXT(deployment_raw[[#This Row],[Column2]]), "", deployment_raw[[#This Row],[Column2]])</f>
        <v/>
      </c>
      <c r="C908" s="36" t="str">
        <f>IF(ISNONTEXT(deployment_raw[[#This Row],[Column3]]), "", deployment_raw[[#This Row],[Column3]])</f>
        <v/>
      </c>
      <c r="D908" s="36" t="str">
        <f>IF(ISNONTEXT(deployment_raw[[#This Row],[Column4]]), "", deployment_raw[[#This Row],[Column4]])</f>
        <v/>
      </c>
      <c r="E908" s="37" t="str">
        <f>IF(ISNUMBER(deployment_raw[[#This Row],[Column5]]), deployment_raw[[#This Row],[Column5]],"")</f>
        <v/>
      </c>
      <c r="F908" s="94" t="str">
        <f>IF(ISNUMBER(deployment_raw[[#This Row],[Column6]]), (deployment_raw[[#This Row],[Column6]] * IF($E$2="Deployment",deployment_raw[[#This Row],[Column5]],1)),"")</f>
        <v/>
      </c>
      <c r="G908" s="95" t="str">
        <f>IF(ISNUMBER(deployment_raw[[#This Row],[Column7]]), (deployment_raw[[#This Row],[Column7]] * IF($E$2="Deployment",deployment_raw[[#This Row],[Column5]],1))/1048576,"")</f>
        <v/>
      </c>
      <c r="H908" s="95" t="str">
        <f>IF(ISNUMBER(deployment_raw[[#This Row],[Column8]]), (deployment_raw[[#This Row],[Column8]]  * IF($E$2="Deployment",deployment_raw[[#This Row],[Column5]],1)),"")</f>
        <v/>
      </c>
      <c r="I908" s="96" t="str">
        <f>IF(ISNUMBER(deployment_raw[[#This Row],[Column9]]), (deployment_raw[[#This Row],[Column9]] * IF($E$2="Deployment",deployment_raw[[#This Row],[Column5]],1))/1048576,"")</f>
        <v/>
      </c>
      <c r="J908" s="122" t="str">
        <f>IF(ISNUMBER(deployment_raw[[#This Row],[Column10]]), (MIN(IF(N908&lt;&gt;"",N908,9999999999999)*1.1,deployment_raw[[#This Row],[Column10]] * IF($E$2="Deployment",deployment_raw[[#This Row],[Column5]],1))),"")</f>
        <v/>
      </c>
      <c r="K908" s="123" t="str">
        <f>IF(ISNUMBER(deployment_raw[[#This Row],[Column11]]), (MIN(IF(O908&lt;&gt;"",O908,9999999999999)*1.1,deployment_raw[[#This Row],[Column11]] * IF($E$2="Deployment",deployment_raw[[#This Row],[Column5]],1)/1048576)),"")</f>
        <v/>
      </c>
      <c r="L908" s="124" t="str">
        <f>IF(ISNUMBER(deployment_raw[[#This Row],[Column8]]),IF(OR(deployment_raw[[#This Row],[Column5]] &lt;&gt; 0,$E$2 &lt;&gt; "Deployment"), MAX(J908, P908, R908, ($L$2 * IF($E$2="Deployment",deployment_raw[[#This Row],[Column5]],1)),IF(T908&lt;&gt;"",VALUE(T908) * IF($E$2="Deployment",deployment_raw[[#This Row],[Column5]],1),0)), 0),"")</f>
        <v/>
      </c>
      <c r="M908" s="125" t="str">
        <f>IF(ISNUMBER(deployment_raw[[#This Row],[Column9]]),IF(OR(deployment_raw[[#This Row],[Column5]] &lt;&gt; 0,$E$2&lt;&gt;"Deployment"), MAX(K908, Q908, S908, ($M$2 * IF($E$2="Deployment",deployment_raw[[#This Row],[Column5]],1)),IF(U908&lt;&gt;"",VALUE(U908) * IF($E$2="Deployment",deployment_raw[[#This Row],[Column5]],1),0)), 0),"")</f>
        <v/>
      </c>
      <c r="N908" s="166" t="str">
        <f>IF(ISNUMBER(deployment_raw[[#This Row],[Column14]]), deployment_raw[[#This Row],[Column14]]/IF(OR($E$2="Deployment",deployment_raw[[#This Row],[Column5]]=0),1,deployment_raw[[#This Row],[Column5]]),"")</f>
        <v/>
      </c>
      <c r="O908" s="167" t="str">
        <f>IF(ISNUMBER(deployment_raw[[#This Row],[Column15]]), deployment_raw[[#This Row],[Column15]]/IF(OR($E$2="Deployment",deployment_raw[[#This Row],[Column5]]=0),1,deployment_raw[[#This Row],[Column5]])/1048576,"")</f>
        <v/>
      </c>
      <c r="P908" s="168" t="str">
        <f>IF(ISNUMBER(deployment_raw[[#This Row],[Column12]]), (MIN(IF(N908&lt;&gt;"",N908,9999999999999)*1.1,deployment_raw[[#This Row],[Column12]] * IF($E$2="Deployment",deployment_raw[[#This Row],[Column5]],1))*(1+$P$2)),"")</f>
        <v/>
      </c>
      <c r="Q908" s="167" t="str">
        <f>IF(ISNUMBER(deployment_raw[[#This Row],[Column13]]), (MIN(IF(O908&lt;&gt;"",O908,9999999999999)*1.1,deployment_raw[[#This Row],[Column13]] * IF($E$2="Deployment",deployment_raw[[#This Row],[Column5]],1)*(1+$Q$2)/1048576)),"")</f>
        <v/>
      </c>
      <c r="R908" s="169" t="str">
        <f>IF(ISNUMBER(deployment_raw[[#This Row],[Column8]]), (H908  * IF(N908&lt;&gt;0,$R$2,1)),"")</f>
        <v/>
      </c>
      <c r="S908" s="170" t="str">
        <f>IF(ISNUMBER(deployment_raw[[#This Row],[Column8]]), (I908  * IF(O908&lt;&gt;0,$S$2,1)),"")</f>
        <v/>
      </c>
      <c r="T908" s="202" t="str">
        <f>IF(AND(A908&lt;&gt;"",_xlfn.IFNA(MATCH(A908,'dynamic resource application '!$A$2:$A$100, 0),0)&lt;&gt;0), H908/(IF($E$2="Deployment",E908,1)),"")</f>
        <v/>
      </c>
      <c r="U908" s="211" t="str">
        <f>IF(AND(A908&lt;&gt;"",_xlfn.IFNA(MATCH(A908,'dynamic resource application '!$A$2:$A$100, 0),0)&lt;&gt;0), I908/(IF($E$2="Deployment",E908,1)),"")</f>
        <v/>
      </c>
    </row>
    <row r="909" spans="1:21" ht="15" customHeight="1" x14ac:dyDescent="0.25">
      <c r="A909" s="35" t="str">
        <f>IF(ISNONTEXT(deployment_raw[[#This Row],[Column1]]), "", deployment_raw[[#This Row],[Column1]])</f>
        <v/>
      </c>
      <c r="B909" s="36" t="str">
        <f>IF(ISNONTEXT(deployment_raw[[#This Row],[Column2]]), "", deployment_raw[[#This Row],[Column2]])</f>
        <v/>
      </c>
      <c r="C909" s="36" t="str">
        <f>IF(ISNONTEXT(deployment_raw[[#This Row],[Column3]]), "", deployment_raw[[#This Row],[Column3]])</f>
        <v/>
      </c>
      <c r="D909" s="36" t="str">
        <f>IF(ISNONTEXT(deployment_raw[[#This Row],[Column4]]), "", deployment_raw[[#This Row],[Column4]])</f>
        <v/>
      </c>
      <c r="E909" s="37" t="str">
        <f>IF(ISNUMBER(deployment_raw[[#This Row],[Column5]]), deployment_raw[[#This Row],[Column5]],"")</f>
        <v/>
      </c>
      <c r="F909" s="94" t="str">
        <f>IF(ISNUMBER(deployment_raw[[#This Row],[Column6]]), (deployment_raw[[#This Row],[Column6]] * IF($E$2="Deployment",deployment_raw[[#This Row],[Column5]],1)),"")</f>
        <v/>
      </c>
      <c r="G909" s="95" t="str">
        <f>IF(ISNUMBER(deployment_raw[[#This Row],[Column7]]), (deployment_raw[[#This Row],[Column7]] * IF($E$2="Deployment",deployment_raw[[#This Row],[Column5]],1))/1048576,"")</f>
        <v/>
      </c>
      <c r="H909" s="95" t="str">
        <f>IF(ISNUMBER(deployment_raw[[#This Row],[Column8]]), (deployment_raw[[#This Row],[Column8]]  * IF($E$2="Deployment",deployment_raw[[#This Row],[Column5]],1)),"")</f>
        <v/>
      </c>
      <c r="I909" s="96" t="str">
        <f>IF(ISNUMBER(deployment_raw[[#This Row],[Column9]]), (deployment_raw[[#This Row],[Column9]] * IF($E$2="Deployment",deployment_raw[[#This Row],[Column5]],1))/1048576,"")</f>
        <v/>
      </c>
      <c r="J909" s="122" t="str">
        <f>IF(ISNUMBER(deployment_raw[[#This Row],[Column10]]), (MIN(IF(N909&lt;&gt;"",N909,9999999999999)*1.1,deployment_raw[[#This Row],[Column10]] * IF($E$2="Deployment",deployment_raw[[#This Row],[Column5]],1))),"")</f>
        <v/>
      </c>
      <c r="K909" s="123" t="str">
        <f>IF(ISNUMBER(deployment_raw[[#This Row],[Column11]]), (MIN(IF(O909&lt;&gt;"",O909,9999999999999)*1.1,deployment_raw[[#This Row],[Column11]] * IF($E$2="Deployment",deployment_raw[[#This Row],[Column5]],1)/1048576)),"")</f>
        <v/>
      </c>
      <c r="L909" s="124" t="str">
        <f>IF(ISNUMBER(deployment_raw[[#This Row],[Column8]]),IF(OR(deployment_raw[[#This Row],[Column5]] &lt;&gt; 0,$E$2 &lt;&gt; "Deployment"), MAX(J909, P909, R909, ($L$2 * IF($E$2="Deployment",deployment_raw[[#This Row],[Column5]],1)),IF(T909&lt;&gt;"",VALUE(T909) * IF($E$2="Deployment",deployment_raw[[#This Row],[Column5]],1),0)), 0),"")</f>
        <v/>
      </c>
      <c r="M909" s="125" t="str">
        <f>IF(ISNUMBER(deployment_raw[[#This Row],[Column9]]),IF(OR(deployment_raw[[#This Row],[Column5]] &lt;&gt; 0,$E$2&lt;&gt;"Deployment"), MAX(K909, Q909, S909, ($M$2 * IF($E$2="Deployment",deployment_raw[[#This Row],[Column5]],1)),IF(U909&lt;&gt;"",VALUE(U909) * IF($E$2="Deployment",deployment_raw[[#This Row],[Column5]],1),0)), 0),"")</f>
        <v/>
      </c>
      <c r="N909" s="166" t="str">
        <f>IF(ISNUMBER(deployment_raw[[#This Row],[Column14]]), deployment_raw[[#This Row],[Column14]]/IF(OR($E$2="Deployment",deployment_raw[[#This Row],[Column5]]=0),1,deployment_raw[[#This Row],[Column5]]),"")</f>
        <v/>
      </c>
      <c r="O909" s="167" t="str">
        <f>IF(ISNUMBER(deployment_raw[[#This Row],[Column15]]), deployment_raw[[#This Row],[Column15]]/IF(OR($E$2="Deployment",deployment_raw[[#This Row],[Column5]]=0),1,deployment_raw[[#This Row],[Column5]])/1048576,"")</f>
        <v/>
      </c>
      <c r="P909" s="168" t="str">
        <f>IF(ISNUMBER(deployment_raw[[#This Row],[Column12]]), (MIN(IF(N909&lt;&gt;"",N909,9999999999999)*1.1,deployment_raw[[#This Row],[Column12]] * IF($E$2="Deployment",deployment_raw[[#This Row],[Column5]],1))*(1+$P$2)),"")</f>
        <v/>
      </c>
      <c r="Q909" s="167" t="str">
        <f>IF(ISNUMBER(deployment_raw[[#This Row],[Column13]]), (MIN(IF(O909&lt;&gt;"",O909,9999999999999)*1.1,deployment_raw[[#This Row],[Column13]] * IF($E$2="Deployment",deployment_raw[[#This Row],[Column5]],1)*(1+$Q$2)/1048576)),"")</f>
        <v/>
      </c>
      <c r="R909" s="169" t="str">
        <f>IF(ISNUMBER(deployment_raw[[#This Row],[Column8]]), (H909  * IF(N909&lt;&gt;0,$R$2,1)),"")</f>
        <v/>
      </c>
      <c r="S909" s="170" t="str">
        <f>IF(ISNUMBER(deployment_raw[[#This Row],[Column8]]), (I909  * IF(O909&lt;&gt;0,$S$2,1)),"")</f>
        <v/>
      </c>
      <c r="T909" s="202" t="str">
        <f>IF(AND(A909&lt;&gt;"",_xlfn.IFNA(MATCH(A909,'dynamic resource application '!$A$2:$A$100, 0),0)&lt;&gt;0), H909/(IF($E$2="Deployment",E909,1)),"")</f>
        <v/>
      </c>
      <c r="U909" s="211" t="str">
        <f>IF(AND(A909&lt;&gt;"",_xlfn.IFNA(MATCH(A909,'dynamic resource application '!$A$2:$A$100, 0),0)&lt;&gt;0), I909/(IF($E$2="Deployment",E909,1)),"")</f>
        <v/>
      </c>
    </row>
    <row r="910" spans="1:21" ht="15" customHeight="1" x14ac:dyDescent="0.25">
      <c r="A910" s="35" t="str">
        <f>IF(ISNONTEXT(deployment_raw[[#This Row],[Column1]]), "", deployment_raw[[#This Row],[Column1]])</f>
        <v/>
      </c>
      <c r="B910" s="36" t="str">
        <f>IF(ISNONTEXT(deployment_raw[[#This Row],[Column2]]), "", deployment_raw[[#This Row],[Column2]])</f>
        <v/>
      </c>
      <c r="C910" s="36" t="str">
        <f>IF(ISNONTEXT(deployment_raw[[#This Row],[Column3]]), "", deployment_raw[[#This Row],[Column3]])</f>
        <v/>
      </c>
      <c r="D910" s="36" t="str">
        <f>IF(ISNONTEXT(deployment_raw[[#This Row],[Column4]]), "", deployment_raw[[#This Row],[Column4]])</f>
        <v/>
      </c>
      <c r="E910" s="37" t="str">
        <f>IF(ISNUMBER(deployment_raw[[#This Row],[Column5]]), deployment_raw[[#This Row],[Column5]],"")</f>
        <v/>
      </c>
      <c r="F910" s="94" t="str">
        <f>IF(ISNUMBER(deployment_raw[[#This Row],[Column6]]), (deployment_raw[[#This Row],[Column6]] * IF($E$2="Deployment",deployment_raw[[#This Row],[Column5]],1)),"")</f>
        <v/>
      </c>
      <c r="G910" s="95" t="str">
        <f>IF(ISNUMBER(deployment_raw[[#This Row],[Column7]]), (deployment_raw[[#This Row],[Column7]] * IF($E$2="Deployment",deployment_raw[[#This Row],[Column5]],1))/1048576,"")</f>
        <v/>
      </c>
      <c r="H910" s="95" t="str">
        <f>IF(ISNUMBER(deployment_raw[[#This Row],[Column8]]), (deployment_raw[[#This Row],[Column8]]  * IF($E$2="Deployment",deployment_raw[[#This Row],[Column5]],1)),"")</f>
        <v/>
      </c>
      <c r="I910" s="96" t="str">
        <f>IF(ISNUMBER(deployment_raw[[#This Row],[Column9]]), (deployment_raw[[#This Row],[Column9]] * IF($E$2="Deployment",deployment_raw[[#This Row],[Column5]],1))/1048576,"")</f>
        <v/>
      </c>
      <c r="J910" s="122" t="str">
        <f>IF(ISNUMBER(deployment_raw[[#This Row],[Column10]]), (MIN(IF(N910&lt;&gt;"",N910,9999999999999)*1.1,deployment_raw[[#This Row],[Column10]] * IF($E$2="Deployment",deployment_raw[[#This Row],[Column5]],1))),"")</f>
        <v/>
      </c>
      <c r="K910" s="123" t="str">
        <f>IF(ISNUMBER(deployment_raw[[#This Row],[Column11]]), (MIN(IF(O910&lt;&gt;"",O910,9999999999999)*1.1,deployment_raw[[#This Row],[Column11]] * IF($E$2="Deployment",deployment_raw[[#This Row],[Column5]],1)/1048576)),"")</f>
        <v/>
      </c>
      <c r="L910" s="124" t="str">
        <f>IF(ISNUMBER(deployment_raw[[#This Row],[Column8]]),IF(OR(deployment_raw[[#This Row],[Column5]] &lt;&gt; 0,$E$2 &lt;&gt; "Deployment"), MAX(J910, P910, R910, ($L$2 * IF($E$2="Deployment",deployment_raw[[#This Row],[Column5]],1)),IF(T910&lt;&gt;"",VALUE(T910) * IF($E$2="Deployment",deployment_raw[[#This Row],[Column5]],1),0)), 0),"")</f>
        <v/>
      </c>
      <c r="M910" s="125" t="str">
        <f>IF(ISNUMBER(deployment_raw[[#This Row],[Column9]]),IF(OR(deployment_raw[[#This Row],[Column5]] &lt;&gt; 0,$E$2&lt;&gt;"Deployment"), MAX(K910, Q910, S910, ($M$2 * IF($E$2="Deployment",deployment_raw[[#This Row],[Column5]],1)),IF(U910&lt;&gt;"",VALUE(U910) * IF($E$2="Deployment",deployment_raw[[#This Row],[Column5]],1),0)), 0),"")</f>
        <v/>
      </c>
      <c r="N910" s="166" t="str">
        <f>IF(ISNUMBER(deployment_raw[[#This Row],[Column14]]), deployment_raw[[#This Row],[Column14]]/IF(OR($E$2="Deployment",deployment_raw[[#This Row],[Column5]]=0),1,deployment_raw[[#This Row],[Column5]]),"")</f>
        <v/>
      </c>
      <c r="O910" s="167" t="str">
        <f>IF(ISNUMBER(deployment_raw[[#This Row],[Column15]]), deployment_raw[[#This Row],[Column15]]/IF(OR($E$2="Deployment",deployment_raw[[#This Row],[Column5]]=0),1,deployment_raw[[#This Row],[Column5]])/1048576,"")</f>
        <v/>
      </c>
      <c r="P910" s="168" t="str">
        <f>IF(ISNUMBER(deployment_raw[[#This Row],[Column12]]), (MIN(IF(N910&lt;&gt;"",N910,9999999999999)*1.1,deployment_raw[[#This Row],[Column12]] * IF($E$2="Deployment",deployment_raw[[#This Row],[Column5]],1))*(1+$P$2)),"")</f>
        <v/>
      </c>
      <c r="Q910" s="167" t="str">
        <f>IF(ISNUMBER(deployment_raw[[#This Row],[Column13]]), (MIN(IF(O910&lt;&gt;"",O910,9999999999999)*1.1,deployment_raw[[#This Row],[Column13]] * IF($E$2="Deployment",deployment_raw[[#This Row],[Column5]],1)*(1+$Q$2)/1048576)),"")</f>
        <v/>
      </c>
      <c r="R910" s="169" t="str">
        <f>IF(ISNUMBER(deployment_raw[[#This Row],[Column8]]), (H910  * IF(N910&lt;&gt;0,$R$2,1)),"")</f>
        <v/>
      </c>
      <c r="S910" s="170" t="str">
        <f>IF(ISNUMBER(deployment_raw[[#This Row],[Column8]]), (I910  * IF(O910&lt;&gt;0,$S$2,1)),"")</f>
        <v/>
      </c>
      <c r="T910" s="202" t="str">
        <f>IF(AND(A910&lt;&gt;"",_xlfn.IFNA(MATCH(A910,'dynamic resource application '!$A$2:$A$100, 0),0)&lt;&gt;0), H910/(IF($E$2="Deployment",E910,1)),"")</f>
        <v/>
      </c>
      <c r="U910" s="211" t="str">
        <f>IF(AND(A910&lt;&gt;"",_xlfn.IFNA(MATCH(A910,'dynamic resource application '!$A$2:$A$100, 0),0)&lt;&gt;0), I910/(IF($E$2="Deployment",E910,1)),"")</f>
        <v/>
      </c>
    </row>
    <row r="911" spans="1:21" ht="15" customHeight="1" x14ac:dyDescent="0.25">
      <c r="A911" s="35" t="str">
        <f>IF(ISNONTEXT(deployment_raw[[#This Row],[Column1]]), "", deployment_raw[[#This Row],[Column1]])</f>
        <v/>
      </c>
      <c r="B911" s="36" t="str">
        <f>IF(ISNONTEXT(deployment_raw[[#This Row],[Column2]]), "", deployment_raw[[#This Row],[Column2]])</f>
        <v/>
      </c>
      <c r="C911" s="36" t="str">
        <f>IF(ISNONTEXT(deployment_raw[[#This Row],[Column3]]), "", deployment_raw[[#This Row],[Column3]])</f>
        <v/>
      </c>
      <c r="D911" s="36" t="str">
        <f>IF(ISNONTEXT(deployment_raw[[#This Row],[Column4]]), "", deployment_raw[[#This Row],[Column4]])</f>
        <v/>
      </c>
      <c r="E911" s="37" t="str">
        <f>IF(ISNUMBER(deployment_raw[[#This Row],[Column5]]), deployment_raw[[#This Row],[Column5]],"")</f>
        <v/>
      </c>
      <c r="F911" s="94" t="str">
        <f>IF(ISNUMBER(deployment_raw[[#This Row],[Column6]]), (deployment_raw[[#This Row],[Column6]] * IF($E$2="Deployment",deployment_raw[[#This Row],[Column5]],1)),"")</f>
        <v/>
      </c>
      <c r="G911" s="95" t="str">
        <f>IF(ISNUMBER(deployment_raw[[#This Row],[Column7]]), (deployment_raw[[#This Row],[Column7]] * IF($E$2="Deployment",deployment_raw[[#This Row],[Column5]],1))/1048576,"")</f>
        <v/>
      </c>
      <c r="H911" s="95" t="str">
        <f>IF(ISNUMBER(deployment_raw[[#This Row],[Column8]]), (deployment_raw[[#This Row],[Column8]]  * IF($E$2="Deployment",deployment_raw[[#This Row],[Column5]],1)),"")</f>
        <v/>
      </c>
      <c r="I911" s="96" t="str">
        <f>IF(ISNUMBER(deployment_raw[[#This Row],[Column9]]), (deployment_raw[[#This Row],[Column9]] * IF($E$2="Deployment",deployment_raw[[#This Row],[Column5]],1))/1048576,"")</f>
        <v/>
      </c>
      <c r="J911" s="122" t="str">
        <f>IF(ISNUMBER(deployment_raw[[#This Row],[Column10]]), (MIN(IF(N911&lt;&gt;"",N911,9999999999999)*1.1,deployment_raw[[#This Row],[Column10]] * IF($E$2="Deployment",deployment_raw[[#This Row],[Column5]],1))),"")</f>
        <v/>
      </c>
      <c r="K911" s="123" t="str">
        <f>IF(ISNUMBER(deployment_raw[[#This Row],[Column11]]), (MIN(IF(O911&lt;&gt;"",O911,9999999999999)*1.1,deployment_raw[[#This Row],[Column11]] * IF($E$2="Deployment",deployment_raw[[#This Row],[Column5]],1)/1048576)),"")</f>
        <v/>
      </c>
      <c r="L911" s="124" t="str">
        <f>IF(ISNUMBER(deployment_raw[[#This Row],[Column8]]),IF(OR(deployment_raw[[#This Row],[Column5]] &lt;&gt; 0,$E$2 &lt;&gt; "Deployment"), MAX(J911, P911, R911, ($L$2 * IF($E$2="Deployment",deployment_raw[[#This Row],[Column5]],1)),IF(T911&lt;&gt;"",VALUE(T911) * IF($E$2="Deployment",deployment_raw[[#This Row],[Column5]],1),0)), 0),"")</f>
        <v/>
      </c>
      <c r="M911" s="125" t="str">
        <f>IF(ISNUMBER(deployment_raw[[#This Row],[Column9]]),IF(OR(deployment_raw[[#This Row],[Column5]] &lt;&gt; 0,$E$2&lt;&gt;"Deployment"), MAX(K911, Q911, S911, ($M$2 * IF($E$2="Deployment",deployment_raw[[#This Row],[Column5]],1)),IF(U911&lt;&gt;"",VALUE(U911) * IF($E$2="Deployment",deployment_raw[[#This Row],[Column5]],1),0)), 0),"")</f>
        <v/>
      </c>
      <c r="N911" s="166" t="str">
        <f>IF(ISNUMBER(deployment_raw[[#This Row],[Column14]]), deployment_raw[[#This Row],[Column14]]/IF(OR($E$2="Deployment",deployment_raw[[#This Row],[Column5]]=0),1,deployment_raw[[#This Row],[Column5]]),"")</f>
        <v/>
      </c>
      <c r="O911" s="167" t="str">
        <f>IF(ISNUMBER(deployment_raw[[#This Row],[Column15]]), deployment_raw[[#This Row],[Column15]]/IF(OR($E$2="Deployment",deployment_raw[[#This Row],[Column5]]=0),1,deployment_raw[[#This Row],[Column5]])/1048576,"")</f>
        <v/>
      </c>
      <c r="P911" s="168" t="str">
        <f>IF(ISNUMBER(deployment_raw[[#This Row],[Column12]]), (MIN(IF(N911&lt;&gt;"",N911,9999999999999)*1.1,deployment_raw[[#This Row],[Column12]] * IF($E$2="Deployment",deployment_raw[[#This Row],[Column5]],1))*(1+$P$2)),"")</f>
        <v/>
      </c>
      <c r="Q911" s="167" t="str">
        <f>IF(ISNUMBER(deployment_raw[[#This Row],[Column13]]), (MIN(IF(O911&lt;&gt;"",O911,9999999999999)*1.1,deployment_raw[[#This Row],[Column13]] * IF($E$2="Deployment",deployment_raw[[#This Row],[Column5]],1)*(1+$Q$2)/1048576)),"")</f>
        <v/>
      </c>
      <c r="R911" s="169" t="str">
        <f>IF(ISNUMBER(deployment_raw[[#This Row],[Column8]]), (H911  * IF(N911&lt;&gt;0,$R$2,1)),"")</f>
        <v/>
      </c>
      <c r="S911" s="170" t="str">
        <f>IF(ISNUMBER(deployment_raw[[#This Row],[Column8]]), (I911  * IF(O911&lt;&gt;0,$S$2,1)),"")</f>
        <v/>
      </c>
      <c r="T911" s="202" t="str">
        <f>IF(AND(A911&lt;&gt;"",_xlfn.IFNA(MATCH(A911,'dynamic resource application '!$A$2:$A$100, 0),0)&lt;&gt;0), H911/(IF($E$2="Deployment",E911,1)),"")</f>
        <v/>
      </c>
      <c r="U911" s="211" t="str">
        <f>IF(AND(A911&lt;&gt;"",_xlfn.IFNA(MATCH(A911,'dynamic resource application '!$A$2:$A$100, 0),0)&lt;&gt;0), I911/(IF($E$2="Deployment",E911,1)),"")</f>
        <v/>
      </c>
    </row>
    <row r="912" spans="1:21" ht="15" customHeight="1" x14ac:dyDescent="0.25">
      <c r="A912" s="35" t="str">
        <f>IF(ISNONTEXT(deployment_raw[[#This Row],[Column1]]), "", deployment_raw[[#This Row],[Column1]])</f>
        <v/>
      </c>
      <c r="B912" s="36" t="str">
        <f>IF(ISNONTEXT(deployment_raw[[#This Row],[Column2]]), "", deployment_raw[[#This Row],[Column2]])</f>
        <v/>
      </c>
      <c r="C912" s="36" t="str">
        <f>IF(ISNONTEXT(deployment_raw[[#This Row],[Column3]]), "", deployment_raw[[#This Row],[Column3]])</f>
        <v/>
      </c>
      <c r="D912" s="36" t="str">
        <f>IF(ISNONTEXT(deployment_raw[[#This Row],[Column4]]), "", deployment_raw[[#This Row],[Column4]])</f>
        <v/>
      </c>
      <c r="E912" s="37" t="str">
        <f>IF(ISNUMBER(deployment_raw[[#This Row],[Column5]]), deployment_raw[[#This Row],[Column5]],"")</f>
        <v/>
      </c>
      <c r="F912" s="94" t="str">
        <f>IF(ISNUMBER(deployment_raw[[#This Row],[Column6]]), (deployment_raw[[#This Row],[Column6]] * IF($E$2="Deployment",deployment_raw[[#This Row],[Column5]],1)),"")</f>
        <v/>
      </c>
      <c r="G912" s="95" t="str">
        <f>IF(ISNUMBER(deployment_raw[[#This Row],[Column7]]), (deployment_raw[[#This Row],[Column7]] * IF($E$2="Deployment",deployment_raw[[#This Row],[Column5]],1))/1048576,"")</f>
        <v/>
      </c>
      <c r="H912" s="95" t="str">
        <f>IF(ISNUMBER(deployment_raw[[#This Row],[Column8]]), (deployment_raw[[#This Row],[Column8]]  * IF($E$2="Deployment",deployment_raw[[#This Row],[Column5]],1)),"")</f>
        <v/>
      </c>
      <c r="I912" s="96" t="str">
        <f>IF(ISNUMBER(deployment_raw[[#This Row],[Column9]]), (deployment_raw[[#This Row],[Column9]] * IF($E$2="Deployment",deployment_raw[[#This Row],[Column5]],1))/1048576,"")</f>
        <v/>
      </c>
      <c r="J912" s="122" t="str">
        <f>IF(ISNUMBER(deployment_raw[[#This Row],[Column10]]), (MIN(IF(N912&lt;&gt;"",N912,9999999999999)*1.1,deployment_raw[[#This Row],[Column10]] * IF($E$2="Deployment",deployment_raw[[#This Row],[Column5]],1))),"")</f>
        <v/>
      </c>
      <c r="K912" s="123" t="str">
        <f>IF(ISNUMBER(deployment_raw[[#This Row],[Column11]]), (MIN(IF(O912&lt;&gt;"",O912,9999999999999)*1.1,deployment_raw[[#This Row],[Column11]] * IF($E$2="Deployment",deployment_raw[[#This Row],[Column5]],1)/1048576)),"")</f>
        <v/>
      </c>
      <c r="L912" s="124" t="str">
        <f>IF(ISNUMBER(deployment_raw[[#This Row],[Column8]]),IF(OR(deployment_raw[[#This Row],[Column5]] &lt;&gt; 0,$E$2 &lt;&gt; "Deployment"), MAX(J912, P912, R912, ($L$2 * IF($E$2="Deployment",deployment_raw[[#This Row],[Column5]],1)),IF(T912&lt;&gt;"",VALUE(T912) * IF($E$2="Deployment",deployment_raw[[#This Row],[Column5]],1),0)), 0),"")</f>
        <v/>
      </c>
      <c r="M912" s="125" t="str">
        <f>IF(ISNUMBER(deployment_raw[[#This Row],[Column9]]),IF(OR(deployment_raw[[#This Row],[Column5]] &lt;&gt; 0,$E$2&lt;&gt;"Deployment"), MAX(K912, Q912, S912, ($M$2 * IF($E$2="Deployment",deployment_raw[[#This Row],[Column5]],1)),IF(U912&lt;&gt;"",VALUE(U912) * IF($E$2="Deployment",deployment_raw[[#This Row],[Column5]],1),0)), 0),"")</f>
        <v/>
      </c>
      <c r="N912" s="166" t="str">
        <f>IF(ISNUMBER(deployment_raw[[#This Row],[Column14]]), deployment_raw[[#This Row],[Column14]]/IF(OR($E$2="Deployment",deployment_raw[[#This Row],[Column5]]=0),1,deployment_raw[[#This Row],[Column5]]),"")</f>
        <v/>
      </c>
      <c r="O912" s="167" t="str">
        <f>IF(ISNUMBER(deployment_raw[[#This Row],[Column15]]), deployment_raw[[#This Row],[Column15]]/IF(OR($E$2="Deployment",deployment_raw[[#This Row],[Column5]]=0),1,deployment_raw[[#This Row],[Column5]])/1048576,"")</f>
        <v/>
      </c>
      <c r="P912" s="168" t="str">
        <f>IF(ISNUMBER(deployment_raw[[#This Row],[Column12]]), (MIN(IF(N912&lt;&gt;"",N912,9999999999999)*1.1,deployment_raw[[#This Row],[Column12]] * IF($E$2="Deployment",deployment_raw[[#This Row],[Column5]],1))*(1+$P$2)),"")</f>
        <v/>
      </c>
      <c r="Q912" s="167" t="str">
        <f>IF(ISNUMBER(deployment_raw[[#This Row],[Column13]]), (MIN(IF(O912&lt;&gt;"",O912,9999999999999)*1.1,deployment_raw[[#This Row],[Column13]] * IF($E$2="Deployment",deployment_raw[[#This Row],[Column5]],1)*(1+$Q$2)/1048576)),"")</f>
        <v/>
      </c>
      <c r="R912" s="169" t="str">
        <f>IF(ISNUMBER(deployment_raw[[#This Row],[Column8]]), (H912  * IF(N912&lt;&gt;0,$R$2,1)),"")</f>
        <v/>
      </c>
      <c r="S912" s="170" t="str">
        <f>IF(ISNUMBER(deployment_raw[[#This Row],[Column8]]), (I912  * IF(O912&lt;&gt;0,$S$2,1)),"")</f>
        <v/>
      </c>
      <c r="T912" s="202" t="str">
        <f>IF(AND(A912&lt;&gt;"",_xlfn.IFNA(MATCH(A912,'dynamic resource application '!$A$2:$A$100, 0),0)&lt;&gt;0), H912/(IF($E$2="Deployment",E912,1)),"")</f>
        <v/>
      </c>
      <c r="U912" s="211" t="str">
        <f>IF(AND(A912&lt;&gt;"",_xlfn.IFNA(MATCH(A912,'dynamic resource application '!$A$2:$A$100, 0),0)&lt;&gt;0), I912/(IF($E$2="Deployment",E912,1)),"")</f>
        <v/>
      </c>
    </row>
    <row r="913" spans="1:21" ht="15" customHeight="1" x14ac:dyDescent="0.25">
      <c r="A913" s="35" t="str">
        <f>IF(ISNONTEXT(deployment_raw[[#This Row],[Column1]]), "", deployment_raw[[#This Row],[Column1]])</f>
        <v/>
      </c>
      <c r="B913" s="36" t="str">
        <f>IF(ISNONTEXT(deployment_raw[[#This Row],[Column2]]), "", deployment_raw[[#This Row],[Column2]])</f>
        <v/>
      </c>
      <c r="C913" s="36" t="str">
        <f>IF(ISNONTEXT(deployment_raw[[#This Row],[Column3]]), "", deployment_raw[[#This Row],[Column3]])</f>
        <v/>
      </c>
      <c r="D913" s="36" t="str">
        <f>IF(ISNONTEXT(deployment_raw[[#This Row],[Column4]]), "", deployment_raw[[#This Row],[Column4]])</f>
        <v/>
      </c>
      <c r="E913" s="37" t="str">
        <f>IF(ISNUMBER(deployment_raw[[#This Row],[Column5]]), deployment_raw[[#This Row],[Column5]],"")</f>
        <v/>
      </c>
      <c r="F913" s="94" t="str">
        <f>IF(ISNUMBER(deployment_raw[[#This Row],[Column6]]), (deployment_raw[[#This Row],[Column6]] * IF($E$2="Deployment",deployment_raw[[#This Row],[Column5]],1)),"")</f>
        <v/>
      </c>
      <c r="G913" s="95" t="str">
        <f>IF(ISNUMBER(deployment_raw[[#This Row],[Column7]]), (deployment_raw[[#This Row],[Column7]] * IF($E$2="Deployment",deployment_raw[[#This Row],[Column5]],1))/1048576,"")</f>
        <v/>
      </c>
      <c r="H913" s="95" t="str">
        <f>IF(ISNUMBER(deployment_raw[[#This Row],[Column8]]), (deployment_raw[[#This Row],[Column8]]  * IF($E$2="Deployment",deployment_raw[[#This Row],[Column5]],1)),"")</f>
        <v/>
      </c>
      <c r="I913" s="96" t="str">
        <f>IF(ISNUMBER(deployment_raw[[#This Row],[Column9]]), (deployment_raw[[#This Row],[Column9]] * IF($E$2="Deployment",deployment_raw[[#This Row],[Column5]],1))/1048576,"")</f>
        <v/>
      </c>
      <c r="J913" s="122" t="str">
        <f>IF(ISNUMBER(deployment_raw[[#This Row],[Column10]]), (MIN(IF(N913&lt;&gt;"",N913,9999999999999)*1.1,deployment_raw[[#This Row],[Column10]] * IF($E$2="Deployment",deployment_raw[[#This Row],[Column5]],1))),"")</f>
        <v/>
      </c>
      <c r="K913" s="123" t="str">
        <f>IF(ISNUMBER(deployment_raw[[#This Row],[Column11]]), (MIN(IF(O913&lt;&gt;"",O913,9999999999999)*1.1,deployment_raw[[#This Row],[Column11]] * IF($E$2="Deployment",deployment_raw[[#This Row],[Column5]],1)/1048576)),"")</f>
        <v/>
      </c>
      <c r="L913" s="124" t="str">
        <f>IF(ISNUMBER(deployment_raw[[#This Row],[Column8]]),IF(OR(deployment_raw[[#This Row],[Column5]] &lt;&gt; 0,$E$2 &lt;&gt; "Deployment"), MAX(J913, P913, R913, ($L$2 * IF($E$2="Deployment",deployment_raw[[#This Row],[Column5]],1)),IF(T913&lt;&gt;"",VALUE(T913) * IF($E$2="Deployment",deployment_raw[[#This Row],[Column5]],1),0)), 0),"")</f>
        <v/>
      </c>
      <c r="M913" s="125" t="str">
        <f>IF(ISNUMBER(deployment_raw[[#This Row],[Column9]]),IF(OR(deployment_raw[[#This Row],[Column5]] &lt;&gt; 0,$E$2&lt;&gt;"Deployment"), MAX(K913, Q913, S913, ($M$2 * IF($E$2="Deployment",deployment_raw[[#This Row],[Column5]],1)),IF(U913&lt;&gt;"",VALUE(U913) * IF($E$2="Deployment",deployment_raw[[#This Row],[Column5]],1),0)), 0),"")</f>
        <v/>
      </c>
      <c r="N913" s="166" t="str">
        <f>IF(ISNUMBER(deployment_raw[[#This Row],[Column14]]), deployment_raw[[#This Row],[Column14]]/IF(OR($E$2="Deployment",deployment_raw[[#This Row],[Column5]]=0),1,deployment_raw[[#This Row],[Column5]]),"")</f>
        <v/>
      </c>
      <c r="O913" s="167" t="str">
        <f>IF(ISNUMBER(deployment_raw[[#This Row],[Column15]]), deployment_raw[[#This Row],[Column15]]/IF(OR($E$2="Deployment",deployment_raw[[#This Row],[Column5]]=0),1,deployment_raw[[#This Row],[Column5]])/1048576,"")</f>
        <v/>
      </c>
      <c r="P913" s="168" t="str">
        <f>IF(ISNUMBER(deployment_raw[[#This Row],[Column12]]), (MIN(IF(N913&lt;&gt;"",N913,9999999999999)*1.1,deployment_raw[[#This Row],[Column12]] * IF($E$2="Deployment",deployment_raw[[#This Row],[Column5]],1))*(1+$P$2)),"")</f>
        <v/>
      </c>
      <c r="Q913" s="167" t="str">
        <f>IF(ISNUMBER(deployment_raw[[#This Row],[Column13]]), (MIN(IF(O913&lt;&gt;"",O913,9999999999999)*1.1,deployment_raw[[#This Row],[Column13]] * IF($E$2="Deployment",deployment_raw[[#This Row],[Column5]],1)*(1+$Q$2)/1048576)),"")</f>
        <v/>
      </c>
      <c r="R913" s="169" t="str">
        <f>IF(ISNUMBER(deployment_raw[[#This Row],[Column8]]), (H913  * IF(N913&lt;&gt;0,$R$2,1)),"")</f>
        <v/>
      </c>
      <c r="S913" s="170" t="str">
        <f>IF(ISNUMBER(deployment_raw[[#This Row],[Column8]]), (I913  * IF(O913&lt;&gt;0,$S$2,1)),"")</f>
        <v/>
      </c>
      <c r="T913" s="202" t="str">
        <f>IF(AND(A913&lt;&gt;"",_xlfn.IFNA(MATCH(A913,'dynamic resource application '!$A$2:$A$100, 0),0)&lt;&gt;0), H913/(IF($E$2="Deployment",E913,1)),"")</f>
        <v/>
      </c>
      <c r="U913" s="211" t="str">
        <f>IF(AND(A913&lt;&gt;"",_xlfn.IFNA(MATCH(A913,'dynamic resource application '!$A$2:$A$100, 0),0)&lt;&gt;0), I913/(IF($E$2="Deployment",E913,1)),"")</f>
        <v/>
      </c>
    </row>
    <row r="914" spans="1:21" ht="15" customHeight="1" x14ac:dyDescent="0.25">
      <c r="A914" s="35" t="str">
        <f>IF(ISNONTEXT(deployment_raw[[#This Row],[Column1]]), "", deployment_raw[[#This Row],[Column1]])</f>
        <v/>
      </c>
      <c r="B914" s="36" t="str">
        <f>IF(ISNONTEXT(deployment_raw[[#This Row],[Column2]]), "", deployment_raw[[#This Row],[Column2]])</f>
        <v/>
      </c>
      <c r="C914" s="36" t="str">
        <f>IF(ISNONTEXT(deployment_raw[[#This Row],[Column3]]), "", deployment_raw[[#This Row],[Column3]])</f>
        <v/>
      </c>
      <c r="D914" s="36" t="str">
        <f>IF(ISNONTEXT(deployment_raw[[#This Row],[Column4]]), "", deployment_raw[[#This Row],[Column4]])</f>
        <v/>
      </c>
      <c r="E914" s="37" t="str">
        <f>IF(ISNUMBER(deployment_raw[[#This Row],[Column5]]), deployment_raw[[#This Row],[Column5]],"")</f>
        <v/>
      </c>
      <c r="F914" s="94" t="str">
        <f>IF(ISNUMBER(deployment_raw[[#This Row],[Column6]]), (deployment_raw[[#This Row],[Column6]] * IF($E$2="Deployment",deployment_raw[[#This Row],[Column5]],1)),"")</f>
        <v/>
      </c>
      <c r="G914" s="95" t="str">
        <f>IF(ISNUMBER(deployment_raw[[#This Row],[Column7]]), (deployment_raw[[#This Row],[Column7]] * IF($E$2="Deployment",deployment_raw[[#This Row],[Column5]],1))/1048576,"")</f>
        <v/>
      </c>
      <c r="H914" s="95" t="str">
        <f>IF(ISNUMBER(deployment_raw[[#This Row],[Column8]]), (deployment_raw[[#This Row],[Column8]]  * IF($E$2="Deployment",deployment_raw[[#This Row],[Column5]],1)),"")</f>
        <v/>
      </c>
      <c r="I914" s="96" t="str">
        <f>IF(ISNUMBER(deployment_raw[[#This Row],[Column9]]), (deployment_raw[[#This Row],[Column9]] * IF($E$2="Deployment",deployment_raw[[#This Row],[Column5]],1))/1048576,"")</f>
        <v/>
      </c>
      <c r="J914" s="122" t="str">
        <f>IF(ISNUMBER(deployment_raw[[#This Row],[Column10]]), (MIN(IF(N914&lt;&gt;"",N914,9999999999999)*1.1,deployment_raw[[#This Row],[Column10]] * IF($E$2="Deployment",deployment_raw[[#This Row],[Column5]],1))),"")</f>
        <v/>
      </c>
      <c r="K914" s="123" t="str">
        <f>IF(ISNUMBER(deployment_raw[[#This Row],[Column11]]), (MIN(IF(O914&lt;&gt;"",O914,9999999999999)*1.1,deployment_raw[[#This Row],[Column11]] * IF($E$2="Deployment",deployment_raw[[#This Row],[Column5]],1)/1048576)),"")</f>
        <v/>
      </c>
      <c r="L914" s="124" t="str">
        <f>IF(ISNUMBER(deployment_raw[[#This Row],[Column8]]),IF(OR(deployment_raw[[#This Row],[Column5]] &lt;&gt; 0,$E$2 &lt;&gt; "Deployment"), MAX(J914, P914, R914, ($L$2 * IF($E$2="Deployment",deployment_raw[[#This Row],[Column5]],1)),IF(T914&lt;&gt;"",VALUE(T914) * IF($E$2="Deployment",deployment_raw[[#This Row],[Column5]],1),0)), 0),"")</f>
        <v/>
      </c>
      <c r="M914" s="125" t="str">
        <f>IF(ISNUMBER(deployment_raw[[#This Row],[Column9]]),IF(OR(deployment_raw[[#This Row],[Column5]] &lt;&gt; 0,$E$2&lt;&gt;"Deployment"), MAX(K914, Q914, S914, ($M$2 * IF($E$2="Deployment",deployment_raw[[#This Row],[Column5]],1)),IF(U914&lt;&gt;"",VALUE(U914) * IF($E$2="Deployment",deployment_raw[[#This Row],[Column5]],1),0)), 0),"")</f>
        <v/>
      </c>
      <c r="N914" s="166" t="str">
        <f>IF(ISNUMBER(deployment_raw[[#This Row],[Column14]]), deployment_raw[[#This Row],[Column14]]/IF(OR($E$2="Deployment",deployment_raw[[#This Row],[Column5]]=0),1,deployment_raw[[#This Row],[Column5]]),"")</f>
        <v/>
      </c>
      <c r="O914" s="167" t="str">
        <f>IF(ISNUMBER(deployment_raw[[#This Row],[Column15]]), deployment_raw[[#This Row],[Column15]]/IF(OR($E$2="Deployment",deployment_raw[[#This Row],[Column5]]=0),1,deployment_raw[[#This Row],[Column5]])/1048576,"")</f>
        <v/>
      </c>
      <c r="P914" s="168" t="str">
        <f>IF(ISNUMBER(deployment_raw[[#This Row],[Column12]]), (MIN(IF(N914&lt;&gt;"",N914,9999999999999)*1.1,deployment_raw[[#This Row],[Column12]] * IF($E$2="Deployment",deployment_raw[[#This Row],[Column5]],1))*(1+$P$2)),"")</f>
        <v/>
      </c>
      <c r="Q914" s="167" t="str">
        <f>IF(ISNUMBER(deployment_raw[[#This Row],[Column13]]), (MIN(IF(O914&lt;&gt;"",O914,9999999999999)*1.1,deployment_raw[[#This Row],[Column13]] * IF($E$2="Deployment",deployment_raw[[#This Row],[Column5]],1)*(1+$Q$2)/1048576)),"")</f>
        <v/>
      </c>
      <c r="R914" s="169" t="str">
        <f>IF(ISNUMBER(deployment_raw[[#This Row],[Column8]]), (H914  * IF(N914&lt;&gt;0,$R$2,1)),"")</f>
        <v/>
      </c>
      <c r="S914" s="170" t="str">
        <f>IF(ISNUMBER(deployment_raw[[#This Row],[Column8]]), (I914  * IF(O914&lt;&gt;0,$S$2,1)),"")</f>
        <v/>
      </c>
      <c r="T914" s="202" t="str">
        <f>IF(AND(A914&lt;&gt;"",_xlfn.IFNA(MATCH(A914,'dynamic resource application '!$A$2:$A$100, 0),0)&lt;&gt;0), H914/(IF($E$2="Deployment",E914,1)),"")</f>
        <v/>
      </c>
      <c r="U914" s="211" t="str">
        <f>IF(AND(A914&lt;&gt;"",_xlfn.IFNA(MATCH(A914,'dynamic resource application '!$A$2:$A$100, 0),0)&lt;&gt;0), I914/(IF($E$2="Deployment",E914,1)),"")</f>
        <v/>
      </c>
    </row>
    <row r="915" spans="1:21" ht="15" customHeight="1" x14ac:dyDescent="0.25">
      <c r="A915" s="35" t="str">
        <f>IF(ISNONTEXT(deployment_raw[[#This Row],[Column1]]), "", deployment_raw[[#This Row],[Column1]])</f>
        <v/>
      </c>
      <c r="B915" s="36" t="str">
        <f>IF(ISNONTEXT(deployment_raw[[#This Row],[Column2]]), "", deployment_raw[[#This Row],[Column2]])</f>
        <v/>
      </c>
      <c r="C915" s="36" t="str">
        <f>IF(ISNONTEXT(deployment_raw[[#This Row],[Column3]]), "", deployment_raw[[#This Row],[Column3]])</f>
        <v/>
      </c>
      <c r="D915" s="36" t="str">
        <f>IF(ISNONTEXT(deployment_raw[[#This Row],[Column4]]), "", deployment_raw[[#This Row],[Column4]])</f>
        <v/>
      </c>
      <c r="E915" s="37" t="str">
        <f>IF(ISNUMBER(deployment_raw[[#This Row],[Column5]]), deployment_raw[[#This Row],[Column5]],"")</f>
        <v/>
      </c>
      <c r="F915" s="94" t="str">
        <f>IF(ISNUMBER(deployment_raw[[#This Row],[Column6]]), (deployment_raw[[#This Row],[Column6]] * IF($E$2="Deployment",deployment_raw[[#This Row],[Column5]],1)),"")</f>
        <v/>
      </c>
      <c r="G915" s="95" t="str">
        <f>IF(ISNUMBER(deployment_raw[[#This Row],[Column7]]), (deployment_raw[[#This Row],[Column7]] * IF($E$2="Deployment",deployment_raw[[#This Row],[Column5]],1))/1048576,"")</f>
        <v/>
      </c>
      <c r="H915" s="95" t="str">
        <f>IF(ISNUMBER(deployment_raw[[#This Row],[Column8]]), (deployment_raw[[#This Row],[Column8]]  * IF($E$2="Deployment",deployment_raw[[#This Row],[Column5]],1)),"")</f>
        <v/>
      </c>
      <c r="I915" s="96" t="str">
        <f>IF(ISNUMBER(deployment_raw[[#This Row],[Column9]]), (deployment_raw[[#This Row],[Column9]] * IF($E$2="Deployment",deployment_raw[[#This Row],[Column5]],1))/1048576,"")</f>
        <v/>
      </c>
      <c r="J915" s="122" t="str">
        <f>IF(ISNUMBER(deployment_raw[[#This Row],[Column10]]), (MIN(IF(N915&lt;&gt;"",N915,9999999999999)*1.1,deployment_raw[[#This Row],[Column10]] * IF($E$2="Deployment",deployment_raw[[#This Row],[Column5]],1))),"")</f>
        <v/>
      </c>
      <c r="K915" s="123" t="str">
        <f>IF(ISNUMBER(deployment_raw[[#This Row],[Column11]]), (MIN(IF(O915&lt;&gt;"",O915,9999999999999)*1.1,deployment_raw[[#This Row],[Column11]] * IF($E$2="Deployment",deployment_raw[[#This Row],[Column5]],1)/1048576)),"")</f>
        <v/>
      </c>
      <c r="L915" s="124" t="str">
        <f>IF(ISNUMBER(deployment_raw[[#This Row],[Column8]]),IF(OR(deployment_raw[[#This Row],[Column5]] &lt;&gt; 0,$E$2 &lt;&gt; "Deployment"), MAX(J915, P915, R915, ($L$2 * IF($E$2="Deployment",deployment_raw[[#This Row],[Column5]],1)),IF(T915&lt;&gt;"",VALUE(T915) * IF($E$2="Deployment",deployment_raw[[#This Row],[Column5]],1),0)), 0),"")</f>
        <v/>
      </c>
      <c r="M915" s="125" t="str">
        <f>IF(ISNUMBER(deployment_raw[[#This Row],[Column9]]),IF(OR(deployment_raw[[#This Row],[Column5]] &lt;&gt; 0,$E$2&lt;&gt;"Deployment"), MAX(K915, Q915, S915, ($M$2 * IF($E$2="Deployment",deployment_raw[[#This Row],[Column5]],1)),IF(U915&lt;&gt;"",VALUE(U915) * IF($E$2="Deployment",deployment_raw[[#This Row],[Column5]],1),0)), 0),"")</f>
        <v/>
      </c>
      <c r="N915" s="166" t="str">
        <f>IF(ISNUMBER(deployment_raw[[#This Row],[Column14]]), deployment_raw[[#This Row],[Column14]]/IF(OR($E$2="Deployment",deployment_raw[[#This Row],[Column5]]=0),1,deployment_raw[[#This Row],[Column5]]),"")</f>
        <v/>
      </c>
      <c r="O915" s="167" t="str">
        <f>IF(ISNUMBER(deployment_raw[[#This Row],[Column15]]), deployment_raw[[#This Row],[Column15]]/IF(OR($E$2="Deployment",deployment_raw[[#This Row],[Column5]]=0),1,deployment_raw[[#This Row],[Column5]])/1048576,"")</f>
        <v/>
      </c>
      <c r="P915" s="168" t="str">
        <f>IF(ISNUMBER(deployment_raw[[#This Row],[Column12]]), (MIN(IF(N915&lt;&gt;"",N915,9999999999999)*1.1,deployment_raw[[#This Row],[Column12]] * IF($E$2="Deployment",deployment_raw[[#This Row],[Column5]],1))*(1+$P$2)),"")</f>
        <v/>
      </c>
      <c r="Q915" s="167" t="str">
        <f>IF(ISNUMBER(deployment_raw[[#This Row],[Column13]]), (MIN(IF(O915&lt;&gt;"",O915,9999999999999)*1.1,deployment_raw[[#This Row],[Column13]] * IF($E$2="Deployment",deployment_raw[[#This Row],[Column5]],1)*(1+$Q$2)/1048576)),"")</f>
        <v/>
      </c>
      <c r="R915" s="169" t="str">
        <f>IF(ISNUMBER(deployment_raw[[#This Row],[Column8]]), (H915  * IF(N915&lt;&gt;0,$R$2,1)),"")</f>
        <v/>
      </c>
      <c r="S915" s="170" t="str">
        <f>IF(ISNUMBER(deployment_raw[[#This Row],[Column8]]), (I915  * IF(O915&lt;&gt;0,$S$2,1)),"")</f>
        <v/>
      </c>
      <c r="T915" s="202" t="str">
        <f>IF(AND(A915&lt;&gt;"",_xlfn.IFNA(MATCH(A915,'dynamic resource application '!$A$2:$A$100, 0),0)&lt;&gt;0), H915/(IF($E$2="Deployment",E915,1)),"")</f>
        <v/>
      </c>
      <c r="U915" s="211" t="str">
        <f>IF(AND(A915&lt;&gt;"",_xlfn.IFNA(MATCH(A915,'dynamic resource application '!$A$2:$A$100, 0),0)&lt;&gt;0), I915/(IF($E$2="Deployment",E915,1)),"")</f>
        <v/>
      </c>
    </row>
    <row r="916" spans="1:21" ht="15" customHeight="1" x14ac:dyDescent="0.25">
      <c r="A916" s="35" t="str">
        <f>IF(ISNONTEXT(deployment_raw[[#This Row],[Column1]]), "", deployment_raw[[#This Row],[Column1]])</f>
        <v/>
      </c>
      <c r="B916" s="36" t="str">
        <f>IF(ISNONTEXT(deployment_raw[[#This Row],[Column2]]), "", deployment_raw[[#This Row],[Column2]])</f>
        <v/>
      </c>
      <c r="C916" s="36" t="str">
        <f>IF(ISNONTEXT(deployment_raw[[#This Row],[Column3]]), "", deployment_raw[[#This Row],[Column3]])</f>
        <v/>
      </c>
      <c r="D916" s="36" t="str">
        <f>IF(ISNONTEXT(deployment_raw[[#This Row],[Column4]]), "", deployment_raw[[#This Row],[Column4]])</f>
        <v/>
      </c>
      <c r="E916" s="37" t="str">
        <f>IF(ISNUMBER(deployment_raw[[#This Row],[Column5]]), deployment_raw[[#This Row],[Column5]],"")</f>
        <v/>
      </c>
      <c r="F916" s="94" t="str">
        <f>IF(ISNUMBER(deployment_raw[[#This Row],[Column6]]), (deployment_raw[[#This Row],[Column6]] * IF($E$2="Deployment",deployment_raw[[#This Row],[Column5]],1)),"")</f>
        <v/>
      </c>
      <c r="G916" s="95" t="str">
        <f>IF(ISNUMBER(deployment_raw[[#This Row],[Column7]]), (deployment_raw[[#This Row],[Column7]] * IF($E$2="Deployment",deployment_raw[[#This Row],[Column5]],1))/1048576,"")</f>
        <v/>
      </c>
      <c r="H916" s="95" t="str">
        <f>IF(ISNUMBER(deployment_raw[[#This Row],[Column8]]), (deployment_raw[[#This Row],[Column8]]  * IF($E$2="Deployment",deployment_raw[[#This Row],[Column5]],1)),"")</f>
        <v/>
      </c>
      <c r="I916" s="96" t="str">
        <f>IF(ISNUMBER(deployment_raw[[#This Row],[Column9]]), (deployment_raw[[#This Row],[Column9]] * IF($E$2="Deployment",deployment_raw[[#This Row],[Column5]],1))/1048576,"")</f>
        <v/>
      </c>
      <c r="J916" s="122" t="str">
        <f>IF(ISNUMBER(deployment_raw[[#This Row],[Column10]]), (MIN(IF(N916&lt;&gt;"",N916,9999999999999)*1.1,deployment_raw[[#This Row],[Column10]] * IF($E$2="Deployment",deployment_raw[[#This Row],[Column5]],1))),"")</f>
        <v/>
      </c>
      <c r="K916" s="123" t="str">
        <f>IF(ISNUMBER(deployment_raw[[#This Row],[Column11]]), (MIN(IF(O916&lt;&gt;"",O916,9999999999999)*1.1,deployment_raw[[#This Row],[Column11]] * IF($E$2="Deployment",deployment_raw[[#This Row],[Column5]],1)/1048576)),"")</f>
        <v/>
      </c>
      <c r="L916" s="124" t="str">
        <f>IF(ISNUMBER(deployment_raw[[#This Row],[Column8]]),IF(OR(deployment_raw[[#This Row],[Column5]] &lt;&gt; 0,$E$2 &lt;&gt; "Deployment"), MAX(J916, P916, R916, ($L$2 * IF($E$2="Deployment",deployment_raw[[#This Row],[Column5]],1)),IF(T916&lt;&gt;"",VALUE(T916) * IF($E$2="Deployment",deployment_raw[[#This Row],[Column5]],1),0)), 0),"")</f>
        <v/>
      </c>
      <c r="M916" s="125" t="str">
        <f>IF(ISNUMBER(deployment_raw[[#This Row],[Column9]]),IF(OR(deployment_raw[[#This Row],[Column5]] &lt;&gt; 0,$E$2&lt;&gt;"Deployment"), MAX(K916, Q916, S916, ($M$2 * IF($E$2="Deployment",deployment_raw[[#This Row],[Column5]],1)),IF(U916&lt;&gt;"",VALUE(U916) * IF($E$2="Deployment",deployment_raw[[#This Row],[Column5]],1),0)), 0),"")</f>
        <v/>
      </c>
      <c r="N916" s="166" t="str">
        <f>IF(ISNUMBER(deployment_raw[[#This Row],[Column14]]), deployment_raw[[#This Row],[Column14]]/IF(OR($E$2="Deployment",deployment_raw[[#This Row],[Column5]]=0),1,deployment_raw[[#This Row],[Column5]]),"")</f>
        <v/>
      </c>
      <c r="O916" s="167" t="str">
        <f>IF(ISNUMBER(deployment_raw[[#This Row],[Column15]]), deployment_raw[[#This Row],[Column15]]/IF(OR($E$2="Deployment",deployment_raw[[#This Row],[Column5]]=0),1,deployment_raw[[#This Row],[Column5]])/1048576,"")</f>
        <v/>
      </c>
      <c r="P916" s="168" t="str">
        <f>IF(ISNUMBER(deployment_raw[[#This Row],[Column12]]), (MIN(IF(N916&lt;&gt;"",N916,9999999999999)*1.1,deployment_raw[[#This Row],[Column12]] * IF($E$2="Deployment",deployment_raw[[#This Row],[Column5]],1))*(1+$P$2)),"")</f>
        <v/>
      </c>
      <c r="Q916" s="167" t="str">
        <f>IF(ISNUMBER(deployment_raw[[#This Row],[Column13]]), (MIN(IF(O916&lt;&gt;"",O916,9999999999999)*1.1,deployment_raw[[#This Row],[Column13]] * IF($E$2="Deployment",deployment_raw[[#This Row],[Column5]],1)*(1+$Q$2)/1048576)),"")</f>
        <v/>
      </c>
      <c r="R916" s="169" t="str">
        <f>IF(ISNUMBER(deployment_raw[[#This Row],[Column8]]), (H916  * IF(N916&lt;&gt;0,$R$2,1)),"")</f>
        <v/>
      </c>
      <c r="S916" s="170" t="str">
        <f>IF(ISNUMBER(deployment_raw[[#This Row],[Column8]]), (I916  * IF(O916&lt;&gt;0,$S$2,1)),"")</f>
        <v/>
      </c>
      <c r="T916" s="202" t="str">
        <f>IF(AND(A916&lt;&gt;"",_xlfn.IFNA(MATCH(A916,'dynamic resource application '!$A$2:$A$100, 0),0)&lt;&gt;0), H916/(IF($E$2="Deployment",E916,1)),"")</f>
        <v/>
      </c>
      <c r="U916" s="211" t="str">
        <f>IF(AND(A916&lt;&gt;"",_xlfn.IFNA(MATCH(A916,'dynamic resource application '!$A$2:$A$100, 0),0)&lt;&gt;0), I916/(IF($E$2="Deployment",E916,1)),"")</f>
        <v/>
      </c>
    </row>
    <row r="917" spans="1:21" ht="15" customHeight="1" x14ac:dyDescent="0.25">
      <c r="A917" s="35" t="str">
        <f>IF(ISNONTEXT(deployment_raw[[#This Row],[Column1]]), "", deployment_raw[[#This Row],[Column1]])</f>
        <v/>
      </c>
      <c r="B917" s="36" t="str">
        <f>IF(ISNONTEXT(deployment_raw[[#This Row],[Column2]]), "", deployment_raw[[#This Row],[Column2]])</f>
        <v/>
      </c>
      <c r="C917" s="36" t="str">
        <f>IF(ISNONTEXT(deployment_raw[[#This Row],[Column3]]), "", deployment_raw[[#This Row],[Column3]])</f>
        <v/>
      </c>
      <c r="D917" s="36" t="str">
        <f>IF(ISNONTEXT(deployment_raw[[#This Row],[Column4]]), "", deployment_raw[[#This Row],[Column4]])</f>
        <v/>
      </c>
      <c r="E917" s="37" t="str">
        <f>IF(ISNUMBER(deployment_raw[[#This Row],[Column5]]), deployment_raw[[#This Row],[Column5]],"")</f>
        <v/>
      </c>
      <c r="F917" s="94" t="str">
        <f>IF(ISNUMBER(deployment_raw[[#This Row],[Column6]]), (deployment_raw[[#This Row],[Column6]] * IF($E$2="Deployment",deployment_raw[[#This Row],[Column5]],1)),"")</f>
        <v/>
      </c>
      <c r="G917" s="95" t="str">
        <f>IF(ISNUMBER(deployment_raw[[#This Row],[Column7]]), (deployment_raw[[#This Row],[Column7]] * IF($E$2="Deployment",deployment_raw[[#This Row],[Column5]],1))/1048576,"")</f>
        <v/>
      </c>
      <c r="H917" s="95" t="str">
        <f>IF(ISNUMBER(deployment_raw[[#This Row],[Column8]]), (deployment_raw[[#This Row],[Column8]]  * IF($E$2="Deployment",deployment_raw[[#This Row],[Column5]],1)),"")</f>
        <v/>
      </c>
      <c r="I917" s="96" t="str">
        <f>IF(ISNUMBER(deployment_raw[[#This Row],[Column9]]), (deployment_raw[[#This Row],[Column9]] * IF($E$2="Deployment",deployment_raw[[#This Row],[Column5]],1))/1048576,"")</f>
        <v/>
      </c>
      <c r="J917" s="122" t="str">
        <f>IF(ISNUMBER(deployment_raw[[#This Row],[Column10]]), (MIN(IF(N917&lt;&gt;"",N917,9999999999999)*1.1,deployment_raw[[#This Row],[Column10]] * IF($E$2="Deployment",deployment_raw[[#This Row],[Column5]],1))),"")</f>
        <v/>
      </c>
      <c r="K917" s="123" t="str">
        <f>IF(ISNUMBER(deployment_raw[[#This Row],[Column11]]), (MIN(IF(O917&lt;&gt;"",O917,9999999999999)*1.1,deployment_raw[[#This Row],[Column11]] * IF($E$2="Deployment",deployment_raw[[#This Row],[Column5]],1)/1048576)),"")</f>
        <v/>
      </c>
      <c r="L917" s="124" t="str">
        <f>IF(ISNUMBER(deployment_raw[[#This Row],[Column8]]),IF(OR(deployment_raw[[#This Row],[Column5]] &lt;&gt; 0,$E$2 &lt;&gt; "Deployment"), MAX(J917, P917, R917, ($L$2 * IF($E$2="Deployment",deployment_raw[[#This Row],[Column5]],1)),IF(T917&lt;&gt;"",VALUE(T917) * IF($E$2="Deployment",deployment_raw[[#This Row],[Column5]],1),0)), 0),"")</f>
        <v/>
      </c>
      <c r="M917" s="125" t="str">
        <f>IF(ISNUMBER(deployment_raw[[#This Row],[Column9]]),IF(OR(deployment_raw[[#This Row],[Column5]] &lt;&gt; 0,$E$2&lt;&gt;"Deployment"), MAX(K917, Q917, S917, ($M$2 * IF($E$2="Deployment",deployment_raw[[#This Row],[Column5]],1)),IF(U917&lt;&gt;"",VALUE(U917) * IF($E$2="Deployment",deployment_raw[[#This Row],[Column5]],1),0)), 0),"")</f>
        <v/>
      </c>
      <c r="N917" s="166" t="str">
        <f>IF(ISNUMBER(deployment_raw[[#This Row],[Column14]]), deployment_raw[[#This Row],[Column14]]/IF(OR($E$2="Deployment",deployment_raw[[#This Row],[Column5]]=0),1,deployment_raw[[#This Row],[Column5]]),"")</f>
        <v/>
      </c>
      <c r="O917" s="167" t="str">
        <f>IF(ISNUMBER(deployment_raw[[#This Row],[Column15]]), deployment_raw[[#This Row],[Column15]]/IF(OR($E$2="Deployment",deployment_raw[[#This Row],[Column5]]=0),1,deployment_raw[[#This Row],[Column5]])/1048576,"")</f>
        <v/>
      </c>
      <c r="P917" s="168" t="str">
        <f>IF(ISNUMBER(deployment_raw[[#This Row],[Column12]]), (MIN(IF(N917&lt;&gt;"",N917,9999999999999)*1.1,deployment_raw[[#This Row],[Column12]] * IF($E$2="Deployment",deployment_raw[[#This Row],[Column5]],1))*(1+$P$2)),"")</f>
        <v/>
      </c>
      <c r="Q917" s="167" t="str">
        <f>IF(ISNUMBER(deployment_raw[[#This Row],[Column13]]), (MIN(IF(O917&lt;&gt;"",O917,9999999999999)*1.1,deployment_raw[[#This Row],[Column13]] * IF($E$2="Deployment",deployment_raw[[#This Row],[Column5]],1)*(1+$Q$2)/1048576)),"")</f>
        <v/>
      </c>
      <c r="R917" s="169" t="str">
        <f>IF(ISNUMBER(deployment_raw[[#This Row],[Column8]]), (H917  * IF(N917&lt;&gt;0,$R$2,1)),"")</f>
        <v/>
      </c>
      <c r="S917" s="170" t="str">
        <f>IF(ISNUMBER(deployment_raw[[#This Row],[Column8]]), (I917  * IF(O917&lt;&gt;0,$S$2,1)),"")</f>
        <v/>
      </c>
      <c r="T917" s="202" t="str">
        <f>IF(AND(A917&lt;&gt;"",_xlfn.IFNA(MATCH(A917,'dynamic resource application '!$A$2:$A$100, 0),0)&lt;&gt;0), H917/(IF($E$2="Deployment",E917,1)),"")</f>
        <v/>
      </c>
      <c r="U917" s="211" t="str">
        <f>IF(AND(A917&lt;&gt;"",_xlfn.IFNA(MATCH(A917,'dynamic resource application '!$A$2:$A$100, 0),0)&lt;&gt;0), I917/(IF($E$2="Deployment",E917,1)),"")</f>
        <v/>
      </c>
    </row>
    <row r="918" spans="1:21" ht="15" customHeight="1" x14ac:dyDescent="0.25">
      <c r="A918" s="35" t="str">
        <f>IF(ISNONTEXT(deployment_raw[[#This Row],[Column1]]), "", deployment_raw[[#This Row],[Column1]])</f>
        <v/>
      </c>
      <c r="B918" s="36" t="str">
        <f>IF(ISNONTEXT(deployment_raw[[#This Row],[Column2]]), "", deployment_raw[[#This Row],[Column2]])</f>
        <v/>
      </c>
      <c r="C918" s="36" t="str">
        <f>IF(ISNONTEXT(deployment_raw[[#This Row],[Column3]]), "", deployment_raw[[#This Row],[Column3]])</f>
        <v/>
      </c>
      <c r="D918" s="36" t="str">
        <f>IF(ISNONTEXT(deployment_raw[[#This Row],[Column4]]), "", deployment_raw[[#This Row],[Column4]])</f>
        <v/>
      </c>
      <c r="E918" s="37" t="str">
        <f>IF(ISNUMBER(deployment_raw[[#This Row],[Column5]]), deployment_raw[[#This Row],[Column5]],"")</f>
        <v/>
      </c>
      <c r="F918" s="94" t="str">
        <f>IF(ISNUMBER(deployment_raw[[#This Row],[Column6]]), (deployment_raw[[#This Row],[Column6]] * IF($E$2="Deployment",deployment_raw[[#This Row],[Column5]],1)),"")</f>
        <v/>
      </c>
      <c r="G918" s="95" t="str">
        <f>IF(ISNUMBER(deployment_raw[[#This Row],[Column7]]), (deployment_raw[[#This Row],[Column7]] * IF($E$2="Deployment",deployment_raw[[#This Row],[Column5]],1))/1048576,"")</f>
        <v/>
      </c>
      <c r="H918" s="95" t="str">
        <f>IF(ISNUMBER(deployment_raw[[#This Row],[Column8]]), (deployment_raw[[#This Row],[Column8]]  * IF($E$2="Deployment",deployment_raw[[#This Row],[Column5]],1)),"")</f>
        <v/>
      </c>
      <c r="I918" s="96" t="str">
        <f>IF(ISNUMBER(deployment_raw[[#This Row],[Column9]]), (deployment_raw[[#This Row],[Column9]] * IF($E$2="Deployment",deployment_raw[[#This Row],[Column5]],1))/1048576,"")</f>
        <v/>
      </c>
      <c r="J918" s="122" t="str">
        <f>IF(ISNUMBER(deployment_raw[[#This Row],[Column10]]), (MIN(IF(N918&lt;&gt;"",N918,9999999999999)*1.1,deployment_raw[[#This Row],[Column10]] * IF($E$2="Deployment",deployment_raw[[#This Row],[Column5]],1))),"")</f>
        <v/>
      </c>
      <c r="K918" s="123" t="str">
        <f>IF(ISNUMBER(deployment_raw[[#This Row],[Column11]]), (MIN(IF(O918&lt;&gt;"",O918,9999999999999)*1.1,deployment_raw[[#This Row],[Column11]] * IF($E$2="Deployment",deployment_raw[[#This Row],[Column5]],1)/1048576)),"")</f>
        <v/>
      </c>
      <c r="L918" s="124" t="str">
        <f>IF(ISNUMBER(deployment_raw[[#This Row],[Column8]]),IF(OR(deployment_raw[[#This Row],[Column5]] &lt;&gt; 0,$E$2 &lt;&gt; "Deployment"), MAX(J918, P918, R918, ($L$2 * IF($E$2="Deployment",deployment_raw[[#This Row],[Column5]],1)),IF(T918&lt;&gt;"",VALUE(T918) * IF($E$2="Deployment",deployment_raw[[#This Row],[Column5]],1),0)), 0),"")</f>
        <v/>
      </c>
      <c r="M918" s="125" t="str">
        <f>IF(ISNUMBER(deployment_raw[[#This Row],[Column9]]),IF(OR(deployment_raw[[#This Row],[Column5]] &lt;&gt; 0,$E$2&lt;&gt;"Deployment"), MAX(K918, Q918, S918, ($M$2 * IF($E$2="Deployment",deployment_raw[[#This Row],[Column5]],1)),IF(U918&lt;&gt;"",VALUE(U918) * IF($E$2="Deployment",deployment_raw[[#This Row],[Column5]],1),0)), 0),"")</f>
        <v/>
      </c>
      <c r="N918" s="166" t="str">
        <f>IF(ISNUMBER(deployment_raw[[#This Row],[Column14]]), deployment_raw[[#This Row],[Column14]]/IF(OR($E$2="Deployment",deployment_raw[[#This Row],[Column5]]=0),1,deployment_raw[[#This Row],[Column5]]),"")</f>
        <v/>
      </c>
      <c r="O918" s="167" t="str">
        <f>IF(ISNUMBER(deployment_raw[[#This Row],[Column15]]), deployment_raw[[#This Row],[Column15]]/IF(OR($E$2="Deployment",deployment_raw[[#This Row],[Column5]]=0),1,deployment_raw[[#This Row],[Column5]])/1048576,"")</f>
        <v/>
      </c>
      <c r="P918" s="168" t="str">
        <f>IF(ISNUMBER(deployment_raw[[#This Row],[Column12]]), (MIN(IF(N918&lt;&gt;"",N918,9999999999999)*1.1,deployment_raw[[#This Row],[Column12]] * IF($E$2="Deployment",deployment_raw[[#This Row],[Column5]],1))*(1+$P$2)),"")</f>
        <v/>
      </c>
      <c r="Q918" s="167" t="str">
        <f>IF(ISNUMBER(deployment_raw[[#This Row],[Column13]]), (MIN(IF(O918&lt;&gt;"",O918,9999999999999)*1.1,deployment_raw[[#This Row],[Column13]] * IF($E$2="Deployment",deployment_raw[[#This Row],[Column5]],1)*(1+$Q$2)/1048576)),"")</f>
        <v/>
      </c>
      <c r="R918" s="169" t="str">
        <f>IF(ISNUMBER(deployment_raw[[#This Row],[Column8]]), (H918  * IF(N918&lt;&gt;0,$R$2,1)),"")</f>
        <v/>
      </c>
      <c r="S918" s="170" t="str">
        <f>IF(ISNUMBER(deployment_raw[[#This Row],[Column8]]), (I918  * IF(O918&lt;&gt;0,$S$2,1)),"")</f>
        <v/>
      </c>
      <c r="T918" s="202" t="str">
        <f>IF(AND(A918&lt;&gt;"",_xlfn.IFNA(MATCH(A918,'dynamic resource application '!$A$2:$A$100, 0),0)&lt;&gt;0), H918/(IF($E$2="Deployment",E918,1)),"")</f>
        <v/>
      </c>
      <c r="U918" s="211" t="str">
        <f>IF(AND(A918&lt;&gt;"",_xlfn.IFNA(MATCH(A918,'dynamic resource application '!$A$2:$A$100, 0),0)&lt;&gt;0), I918/(IF($E$2="Deployment",E918,1)),"")</f>
        <v/>
      </c>
    </row>
    <row r="919" spans="1:21" ht="15" customHeight="1" x14ac:dyDescent="0.25">
      <c r="A919" s="35" t="str">
        <f>IF(ISNONTEXT(deployment_raw[[#This Row],[Column1]]), "", deployment_raw[[#This Row],[Column1]])</f>
        <v/>
      </c>
      <c r="B919" s="36" t="str">
        <f>IF(ISNONTEXT(deployment_raw[[#This Row],[Column2]]), "", deployment_raw[[#This Row],[Column2]])</f>
        <v/>
      </c>
      <c r="C919" s="36" t="str">
        <f>IF(ISNONTEXT(deployment_raw[[#This Row],[Column3]]), "", deployment_raw[[#This Row],[Column3]])</f>
        <v/>
      </c>
      <c r="D919" s="36" t="str">
        <f>IF(ISNONTEXT(deployment_raw[[#This Row],[Column4]]), "", deployment_raw[[#This Row],[Column4]])</f>
        <v/>
      </c>
      <c r="E919" s="37" t="str">
        <f>IF(ISNUMBER(deployment_raw[[#This Row],[Column5]]), deployment_raw[[#This Row],[Column5]],"")</f>
        <v/>
      </c>
      <c r="F919" s="94" t="str">
        <f>IF(ISNUMBER(deployment_raw[[#This Row],[Column6]]), (deployment_raw[[#This Row],[Column6]] * IF($E$2="Deployment",deployment_raw[[#This Row],[Column5]],1)),"")</f>
        <v/>
      </c>
      <c r="G919" s="95" t="str">
        <f>IF(ISNUMBER(deployment_raw[[#This Row],[Column7]]), (deployment_raw[[#This Row],[Column7]] * IF($E$2="Deployment",deployment_raw[[#This Row],[Column5]],1))/1048576,"")</f>
        <v/>
      </c>
      <c r="H919" s="95" t="str">
        <f>IF(ISNUMBER(deployment_raw[[#This Row],[Column8]]), (deployment_raw[[#This Row],[Column8]]  * IF($E$2="Deployment",deployment_raw[[#This Row],[Column5]],1)),"")</f>
        <v/>
      </c>
      <c r="I919" s="96" t="str">
        <f>IF(ISNUMBER(deployment_raw[[#This Row],[Column9]]), (deployment_raw[[#This Row],[Column9]] * IF($E$2="Deployment",deployment_raw[[#This Row],[Column5]],1))/1048576,"")</f>
        <v/>
      </c>
      <c r="J919" s="122" t="str">
        <f>IF(ISNUMBER(deployment_raw[[#This Row],[Column10]]), (MIN(IF(N919&lt;&gt;"",N919,9999999999999)*1.1,deployment_raw[[#This Row],[Column10]] * IF($E$2="Deployment",deployment_raw[[#This Row],[Column5]],1))),"")</f>
        <v/>
      </c>
      <c r="K919" s="123" t="str">
        <f>IF(ISNUMBER(deployment_raw[[#This Row],[Column11]]), (MIN(IF(O919&lt;&gt;"",O919,9999999999999)*1.1,deployment_raw[[#This Row],[Column11]] * IF($E$2="Deployment",deployment_raw[[#This Row],[Column5]],1)/1048576)),"")</f>
        <v/>
      </c>
      <c r="L919" s="124" t="str">
        <f>IF(ISNUMBER(deployment_raw[[#This Row],[Column8]]),IF(OR(deployment_raw[[#This Row],[Column5]] &lt;&gt; 0,$E$2 &lt;&gt; "Deployment"), MAX(J919, P919, R919, ($L$2 * IF($E$2="Deployment",deployment_raw[[#This Row],[Column5]],1)),IF(T919&lt;&gt;"",VALUE(T919) * IF($E$2="Deployment",deployment_raw[[#This Row],[Column5]],1),0)), 0),"")</f>
        <v/>
      </c>
      <c r="M919" s="125" t="str">
        <f>IF(ISNUMBER(deployment_raw[[#This Row],[Column9]]),IF(OR(deployment_raw[[#This Row],[Column5]] &lt;&gt; 0,$E$2&lt;&gt;"Deployment"), MAX(K919, Q919, S919, ($M$2 * IF($E$2="Deployment",deployment_raw[[#This Row],[Column5]],1)),IF(U919&lt;&gt;"",VALUE(U919) * IF($E$2="Deployment",deployment_raw[[#This Row],[Column5]],1),0)), 0),"")</f>
        <v/>
      </c>
      <c r="N919" s="166" t="str">
        <f>IF(ISNUMBER(deployment_raw[[#This Row],[Column14]]), deployment_raw[[#This Row],[Column14]]/IF(OR($E$2="Deployment",deployment_raw[[#This Row],[Column5]]=0),1,deployment_raw[[#This Row],[Column5]]),"")</f>
        <v/>
      </c>
      <c r="O919" s="167" t="str">
        <f>IF(ISNUMBER(deployment_raw[[#This Row],[Column15]]), deployment_raw[[#This Row],[Column15]]/IF(OR($E$2="Deployment",deployment_raw[[#This Row],[Column5]]=0),1,deployment_raw[[#This Row],[Column5]])/1048576,"")</f>
        <v/>
      </c>
      <c r="P919" s="168" t="str">
        <f>IF(ISNUMBER(deployment_raw[[#This Row],[Column12]]), (MIN(IF(N919&lt;&gt;"",N919,9999999999999)*1.1,deployment_raw[[#This Row],[Column12]] * IF($E$2="Deployment",deployment_raw[[#This Row],[Column5]],1))*(1+$P$2)),"")</f>
        <v/>
      </c>
      <c r="Q919" s="167" t="str">
        <f>IF(ISNUMBER(deployment_raw[[#This Row],[Column13]]), (MIN(IF(O919&lt;&gt;"",O919,9999999999999)*1.1,deployment_raw[[#This Row],[Column13]] * IF($E$2="Deployment",deployment_raw[[#This Row],[Column5]],1)*(1+$Q$2)/1048576)),"")</f>
        <v/>
      </c>
      <c r="R919" s="169" t="str">
        <f>IF(ISNUMBER(deployment_raw[[#This Row],[Column8]]), (H919  * IF(N919&lt;&gt;0,$R$2,1)),"")</f>
        <v/>
      </c>
      <c r="S919" s="170" t="str">
        <f>IF(ISNUMBER(deployment_raw[[#This Row],[Column8]]), (I919  * IF(O919&lt;&gt;0,$S$2,1)),"")</f>
        <v/>
      </c>
      <c r="T919" s="202" t="str">
        <f>IF(AND(A919&lt;&gt;"",_xlfn.IFNA(MATCH(A919,'dynamic resource application '!$A$2:$A$100, 0),0)&lt;&gt;0), H919/(IF($E$2="Deployment",E919,1)),"")</f>
        <v/>
      </c>
      <c r="U919" s="211" t="str">
        <f>IF(AND(A919&lt;&gt;"",_xlfn.IFNA(MATCH(A919,'dynamic resource application '!$A$2:$A$100, 0),0)&lt;&gt;0), I919/(IF($E$2="Deployment",E919,1)),"")</f>
        <v/>
      </c>
    </row>
    <row r="920" spans="1:21" ht="15" customHeight="1" x14ac:dyDescent="0.25">
      <c r="A920" s="35" t="str">
        <f>IF(ISNONTEXT(deployment_raw[[#This Row],[Column1]]), "", deployment_raw[[#This Row],[Column1]])</f>
        <v/>
      </c>
      <c r="B920" s="36" t="str">
        <f>IF(ISNONTEXT(deployment_raw[[#This Row],[Column2]]), "", deployment_raw[[#This Row],[Column2]])</f>
        <v/>
      </c>
      <c r="C920" s="36" t="str">
        <f>IF(ISNONTEXT(deployment_raw[[#This Row],[Column3]]), "", deployment_raw[[#This Row],[Column3]])</f>
        <v/>
      </c>
      <c r="D920" s="36" t="str">
        <f>IF(ISNONTEXT(deployment_raw[[#This Row],[Column4]]), "", deployment_raw[[#This Row],[Column4]])</f>
        <v/>
      </c>
      <c r="E920" s="37" t="str">
        <f>IF(ISNUMBER(deployment_raw[[#This Row],[Column5]]), deployment_raw[[#This Row],[Column5]],"")</f>
        <v/>
      </c>
      <c r="F920" s="94" t="str">
        <f>IF(ISNUMBER(deployment_raw[[#This Row],[Column6]]), (deployment_raw[[#This Row],[Column6]] * IF($E$2="Deployment",deployment_raw[[#This Row],[Column5]],1)),"")</f>
        <v/>
      </c>
      <c r="G920" s="95" t="str">
        <f>IF(ISNUMBER(deployment_raw[[#This Row],[Column7]]), (deployment_raw[[#This Row],[Column7]] * IF($E$2="Deployment",deployment_raw[[#This Row],[Column5]],1))/1048576,"")</f>
        <v/>
      </c>
      <c r="H920" s="95" t="str">
        <f>IF(ISNUMBER(deployment_raw[[#This Row],[Column8]]), (deployment_raw[[#This Row],[Column8]]  * IF($E$2="Deployment",deployment_raw[[#This Row],[Column5]],1)),"")</f>
        <v/>
      </c>
      <c r="I920" s="96" t="str">
        <f>IF(ISNUMBER(deployment_raw[[#This Row],[Column9]]), (deployment_raw[[#This Row],[Column9]] * IF($E$2="Deployment",deployment_raw[[#This Row],[Column5]],1))/1048576,"")</f>
        <v/>
      </c>
      <c r="J920" s="122" t="str">
        <f>IF(ISNUMBER(deployment_raw[[#This Row],[Column10]]), (MIN(IF(N920&lt;&gt;"",N920,9999999999999)*1.1,deployment_raw[[#This Row],[Column10]] * IF($E$2="Deployment",deployment_raw[[#This Row],[Column5]],1))),"")</f>
        <v/>
      </c>
      <c r="K920" s="123" t="str">
        <f>IF(ISNUMBER(deployment_raw[[#This Row],[Column11]]), (MIN(IF(O920&lt;&gt;"",O920,9999999999999)*1.1,deployment_raw[[#This Row],[Column11]] * IF($E$2="Deployment",deployment_raw[[#This Row],[Column5]],1)/1048576)),"")</f>
        <v/>
      </c>
      <c r="L920" s="124" t="str">
        <f>IF(ISNUMBER(deployment_raw[[#This Row],[Column8]]),IF(OR(deployment_raw[[#This Row],[Column5]] &lt;&gt; 0,$E$2 &lt;&gt; "Deployment"), MAX(J920, P920, R920, ($L$2 * IF($E$2="Deployment",deployment_raw[[#This Row],[Column5]],1)),IF(T920&lt;&gt;"",VALUE(T920) * IF($E$2="Deployment",deployment_raw[[#This Row],[Column5]],1),0)), 0),"")</f>
        <v/>
      </c>
      <c r="M920" s="125" t="str">
        <f>IF(ISNUMBER(deployment_raw[[#This Row],[Column9]]),IF(OR(deployment_raw[[#This Row],[Column5]] &lt;&gt; 0,$E$2&lt;&gt;"Deployment"), MAX(K920, Q920, S920, ($M$2 * IF($E$2="Deployment",deployment_raw[[#This Row],[Column5]],1)),IF(U920&lt;&gt;"",VALUE(U920) * IF($E$2="Deployment",deployment_raw[[#This Row],[Column5]],1),0)), 0),"")</f>
        <v/>
      </c>
      <c r="N920" s="166" t="str">
        <f>IF(ISNUMBER(deployment_raw[[#This Row],[Column14]]), deployment_raw[[#This Row],[Column14]]/IF(OR($E$2="Deployment",deployment_raw[[#This Row],[Column5]]=0),1,deployment_raw[[#This Row],[Column5]]),"")</f>
        <v/>
      </c>
      <c r="O920" s="167" t="str">
        <f>IF(ISNUMBER(deployment_raw[[#This Row],[Column15]]), deployment_raw[[#This Row],[Column15]]/IF(OR($E$2="Deployment",deployment_raw[[#This Row],[Column5]]=0),1,deployment_raw[[#This Row],[Column5]])/1048576,"")</f>
        <v/>
      </c>
      <c r="P920" s="168" t="str">
        <f>IF(ISNUMBER(deployment_raw[[#This Row],[Column12]]), (MIN(IF(N920&lt;&gt;"",N920,9999999999999)*1.1,deployment_raw[[#This Row],[Column12]] * IF($E$2="Deployment",deployment_raw[[#This Row],[Column5]],1))*(1+$P$2)),"")</f>
        <v/>
      </c>
      <c r="Q920" s="167" t="str">
        <f>IF(ISNUMBER(deployment_raw[[#This Row],[Column13]]), (MIN(IF(O920&lt;&gt;"",O920,9999999999999)*1.1,deployment_raw[[#This Row],[Column13]] * IF($E$2="Deployment",deployment_raw[[#This Row],[Column5]],1)*(1+$Q$2)/1048576)),"")</f>
        <v/>
      </c>
      <c r="R920" s="169" t="str">
        <f>IF(ISNUMBER(deployment_raw[[#This Row],[Column8]]), (H920  * IF(N920&lt;&gt;0,$R$2,1)),"")</f>
        <v/>
      </c>
      <c r="S920" s="170" t="str">
        <f>IF(ISNUMBER(deployment_raw[[#This Row],[Column8]]), (I920  * IF(O920&lt;&gt;0,$S$2,1)),"")</f>
        <v/>
      </c>
      <c r="T920" s="202" t="str">
        <f>IF(AND(A920&lt;&gt;"",_xlfn.IFNA(MATCH(A920,'dynamic resource application '!$A$2:$A$100, 0),0)&lt;&gt;0), H920/(IF($E$2="Deployment",E920,1)),"")</f>
        <v/>
      </c>
      <c r="U920" s="211" t="str">
        <f>IF(AND(A920&lt;&gt;"",_xlfn.IFNA(MATCH(A920,'dynamic resource application '!$A$2:$A$100, 0),0)&lt;&gt;0), I920/(IF($E$2="Deployment",E920,1)),"")</f>
        <v/>
      </c>
    </row>
    <row r="921" spans="1:21" ht="15" customHeight="1" x14ac:dyDescent="0.25">
      <c r="A921" s="35" t="str">
        <f>IF(ISNONTEXT(deployment_raw[[#This Row],[Column1]]), "", deployment_raw[[#This Row],[Column1]])</f>
        <v/>
      </c>
      <c r="B921" s="36" t="str">
        <f>IF(ISNONTEXT(deployment_raw[[#This Row],[Column2]]), "", deployment_raw[[#This Row],[Column2]])</f>
        <v/>
      </c>
      <c r="C921" s="36" t="str">
        <f>IF(ISNONTEXT(deployment_raw[[#This Row],[Column3]]), "", deployment_raw[[#This Row],[Column3]])</f>
        <v/>
      </c>
      <c r="D921" s="36" t="str">
        <f>IF(ISNONTEXT(deployment_raw[[#This Row],[Column4]]), "", deployment_raw[[#This Row],[Column4]])</f>
        <v/>
      </c>
      <c r="E921" s="37" t="str">
        <f>IF(ISNUMBER(deployment_raw[[#This Row],[Column5]]), deployment_raw[[#This Row],[Column5]],"")</f>
        <v/>
      </c>
      <c r="F921" s="94" t="str">
        <f>IF(ISNUMBER(deployment_raw[[#This Row],[Column6]]), (deployment_raw[[#This Row],[Column6]] * IF($E$2="Deployment",deployment_raw[[#This Row],[Column5]],1)),"")</f>
        <v/>
      </c>
      <c r="G921" s="95" t="str">
        <f>IF(ISNUMBER(deployment_raw[[#This Row],[Column7]]), (deployment_raw[[#This Row],[Column7]] * IF($E$2="Deployment",deployment_raw[[#This Row],[Column5]],1))/1048576,"")</f>
        <v/>
      </c>
      <c r="H921" s="95" t="str">
        <f>IF(ISNUMBER(deployment_raw[[#This Row],[Column8]]), (deployment_raw[[#This Row],[Column8]]  * IF($E$2="Deployment",deployment_raw[[#This Row],[Column5]],1)),"")</f>
        <v/>
      </c>
      <c r="I921" s="96" t="str">
        <f>IF(ISNUMBER(deployment_raw[[#This Row],[Column9]]), (deployment_raw[[#This Row],[Column9]] * IF($E$2="Deployment",deployment_raw[[#This Row],[Column5]],1))/1048576,"")</f>
        <v/>
      </c>
      <c r="J921" s="122" t="str">
        <f>IF(ISNUMBER(deployment_raw[[#This Row],[Column10]]), (MIN(IF(N921&lt;&gt;"",N921,9999999999999)*1.1,deployment_raw[[#This Row],[Column10]] * IF($E$2="Deployment",deployment_raw[[#This Row],[Column5]],1))),"")</f>
        <v/>
      </c>
      <c r="K921" s="123" t="str">
        <f>IF(ISNUMBER(deployment_raw[[#This Row],[Column11]]), (MIN(IF(O921&lt;&gt;"",O921,9999999999999)*1.1,deployment_raw[[#This Row],[Column11]] * IF($E$2="Deployment",deployment_raw[[#This Row],[Column5]],1)/1048576)),"")</f>
        <v/>
      </c>
      <c r="L921" s="124" t="str">
        <f>IF(ISNUMBER(deployment_raw[[#This Row],[Column8]]),IF(OR(deployment_raw[[#This Row],[Column5]] &lt;&gt; 0,$E$2 &lt;&gt; "Deployment"), MAX(J921, P921, R921, ($L$2 * IF($E$2="Deployment",deployment_raw[[#This Row],[Column5]],1)),IF(T921&lt;&gt;"",VALUE(T921) * IF($E$2="Deployment",deployment_raw[[#This Row],[Column5]],1),0)), 0),"")</f>
        <v/>
      </c>
      <c r="M921" s="125" t="str">
        <f>IF(ISNUMBER(deployment_raw[[#This Row],[Column9]]),IF(OR(deployment_raw[[#This Row],[Column5]] &lt;&gt; 0,$E$2&lt;&gt;"Deployment"), MAX(K921, Q921, S921, ($M$2 * IF($E$2="Deployment",deployment_raw[[#This Row],[Column5]],1)),IF(U921&lt;&gt;"",VALUE(U921) * IF($E$2="Deployment",deployment_raw[[#This Row],[Column5]],1),0)), 0),"")</f>
        <v/>
      </c>
      <c r="N921" s="166" t="str">
        <f>IF(ISNUMBER(deployment_raw[[#This Row],[Column14]]), deployment_raw[[#This Row],[Column14]]/IF(OR($E$2="Deployment",deployment_raw[[#This Row],[Column5]]=0),1,deployment_raw[[#This Row],[Column5]]),"")</f>
        <v/>
      </c>
      <c r="O921" s="167" t="str">
        <f>IF(ISNUMBER(deployment_raw[[#This Row],[Column15]]), deployment_raw[[#This Row],[Column15]]/IF(OR($E$2="Deployment",deployment_raw[[#This Row],[Column5]]=0),1,deployment_raw[[#This Row],[Column5]])/1048576,"")</f>
        <v/>
      </c>
      <c r="P921" s="168" t="str">
        <f>IF(ISNUMBER(deployment_raw[[#This Row],[Column12]]), (MIN(IF(N921&lt;&gt;"",N921,9999999999999)*1.1,deployment_raw[[#This Row],[Column12]] * IF($E$2="Deployment",deployment_raw[[#This Row],[Column5]],1))*(1+$P$2)),"")</f>
        <v/>
      </c>
      <c r="Q921" s="167" t="str">
        <f>IF(ISNUMBER(deployment_raw[[#This Row],[Column13]]), (MIN(IF(O921&lt;&gt;"",O921,9999999999999)*1.1,deployment_raw[[#This Row],[Column13]] * IF($E$2="Deployment",deployment_raw[[#This Row],[Column5]],1)*(1+$Q$2)/1048576)),"")</f>
        <v/>
      </c>
      <c r="R921" s="169" t="str">
        <f>IF(ISNUMBER(deployment_raw[[#This Row],[Column8]]), (H921  * IF(N921&lt;&gt;0,$R$2,1)),"")</f>
        <v/>
      </c>
      <c r="S921" s="170" t="str">
        <f>IF(ISNUMBER(deployment_raw[[#This Row],[Column8]]), (I921  * IF(O921&lt;&gt;0,$S$2,1)),"")</f>
        <v/>
      </c>
      <c r="T921" s="202" t="str">
        <f>IF(AND(A921&lt;&gt;"",_xlfn.IFNA(MATCH(A921,'dynamic resource application '!$A$2:$A$100, 0),0)&lt;&gt;0), H921/(IF($E$2="Deployment",E921,1)),"")</f>
        <v/>
      </c>
      <c r="U921" s="211" t="str">
        <f>IF(AND(A921&lt;&gt;"",_xlfn.IFNA(MATCH(A921,'dynamic resource application '!$A$2:$A$100, 0),0)&lt;&gt;0), I921/(IF($E$2="Deployment",E921,1)),"")</f>
        <v/>
      </c>
    </row>
    <row r="922" spans="1:21" ht="15" customHeight="1" x14ac:dyDescent="0.25">
      <c r="A922" s="35" t="str">
        <f>IF(ISNONTEXT(deployment_raw[[#This Row],[Column1]]), "", deployment_raw[[#This Row],[Column1]])</f>
        <v/>
      </c>
      <c r="B922" s="36" t="str">
        <f>IF(ISNONTEXT(deployment_raw[[#This Row],[Column2]]), "", deployment_raw[[#This Row],[Column2]])</f>
        <v/>
      </c>
      <c r="C922" s="36" t="str">
        <f>IF(ISNONTEXT(deployment_raw[[#This Row],[Column3]]), "", deployment_raw[[#This Row],[Column3]])</f>
        <v/>
      </c>
      <c r="D922" s="36" t="str">
        <f>IF(ISNONTEXT(deployment_raw[[#This Row],[Column4]]), "", deployment_raw[[#This Row],[Column4]])</f>
        <v/>
      </c>
      <c r="E922" s="37" t="str">
        <f>IF(ISNUMBER(deployment_raw[[#This Row],[Column5]]), deployment_raw[[#This Row],[Column5]],"")</f>
        <v/>
      </c>
      <c r="F922" s="94" t="str">
        <f>IF(ISNUMBER(deployment_raw[[#This Row],[Column6]]), (deployment_raw[[#This Row],[Column6]] * IF($E$2="Deployment",deployment_raw[[#This Row],[Column5]],1)),"")</f>
        <v/>
      </c>
      <c r="G922" s="95" t="str">
        <f>IF(ISNUMBER(deployment_raw[[#This Row],[Column7]]), (deployment_raw[[#This Row],[Column7]] * IF($E$2="Deployment",deployment_raw[[#This Row],[Column5]],1))/1048576,"")</f>
        <v/>
      </c>
      <c r="H922" s="95" t="str">
        <f>IF(ISNUMBER(deployment_raw[[#This Row],[Column8]]), (deployment_raw[[#This Row],[Column8]]  * IF($E$2="Deployment",deployment_raw[[#This Row],[Column5]],1)),"")</f>
        <v/>
      </c>
      <c r="I922" s="96" t="str">
        <f>IF(ISNUMBER(deployment_raw[[#This Row],[Column9]]), (deployment_raw[[#This Row],[Column9]] * IF($E$2="Deployment",deployment_raw[[#This Row],[Column5]],1))/1048576,"")</f>
        <v/>
      </c>
      <c r="J922" s="122" t="str">
        <f>IF(ISNUMBER(deployment_raw[[#This Row],[Column10]]), (MIN(IF(N922&lt;&gt;"",N922,9999999999999)*1.1,deployment_raw[[#This Row],[Column10]] * IF($E$2="Deployment",deployment_raw[[#This Row],[Column5]],1))),"")</f>
        <v/>
      </c>
      <c r="K922" s="123" t="str">
        <f>IF(ISNUMBER(deployment_raw[[#This Row],[Column11]]), (MIN(IF(O922&lt;&gt;"",O922,9999999999999)*1.1,deployment_raw[[#This Row],[Column11]] * IF($E$2="Deployment",deployment_raw[[#This Row],[Column5]],1)/1048576)),"")</f>
        <v/>
      </c>
      <c r="L922" s="124" t="str">
        <f>IF(ISNUMBER(deployment_raw[[#This Row],[Column8]]),IF(OR(deployment_raw[[#This Row],[Column5]] &lt;&gt; 0,$E$2 &lt;&gt; "Deployment"), MAX(J922, P922, R922, ($L$2 * IF($E$2="Deployment",deployment_raw[[#This Row],[Column5]],1)),IF(T922&lt;&gt;"",VALUE(T922) * IF($E$2="Deployment",deployment_raw[[#This Row],[Column5]],1),0)), 0),"")</f>
        <v/>
      </c>
      <c r="M922" s="125" t="str">
        <f>IF(ISNUMBER(deployment_raw[[#This Row],[Column9]]),IF(OR(deployment_raw[[#This Row],[Column5]] &lt;&gt; 0,$E$2&lt;&gt;"Deployment"), MAX(K922, Q922, S922, ($M$2 * IF($E$2="Deployment",deployment_raw[[#This Row],[Column5]],1)),IF(U922&lt;&gt;"",VALUE(U922) * IF($E$2="Deployment",deployment_raw[[#This Row],[Column5]],1),0)), 0),"")</f>
        <v/>
      </c>
      <c r="N922" s="166" t="str">
        <f>IF(ISNUMBER(deployment_raw[[#This Row],[Column14]]), deployment_raw[[#This Row],[Column14]]/IF(OR($E$2="Deployment",deployment_raw[[#This Row],[Column5]]=0),1,deployment_raw[[#This Row],[Column5]]),"")</f>
        <v/>
      </c>
      <c r="O922" s="167" t="str">
        <f>IF(ISNUMBER(deployment_raw[[#This Row],[Column15]]), deployment_raw[[#This Row],[Column15]]/IF(OR($E$2="Deployment",deployment_raw[[#This Row],[Column5]]=0),1,deployment_raw[[#This Row],[Column5]])/1048576,"")</f>
        <v/>
      </c>
      <c r="P922" s="168" t="str">
        <f>IF(ISNUMBER(deployment_raw[[#This Row],[Column12]]), (MIN(IF(N922&lt;&gt;"",N922,9999999999999)*1.1,deployment_raw[[#This Row],[Column12]] * IF($E$2="Deployment",deployment_raw[[#This Row],[Column5]],1))*(1+$P$2)),"")</f>
        <v/>
      </c>
      <c r="Q922" s="167" t="str">
        <f>IF(ISNUMBER(deployment_raw[[#This Row],[Column13]]), (MIN(IF(O922&lt;&gt;"",O922,9999999999999)*1.1,deployment_raw[[#This Row],[Column13]] * IF($E$2="Deployment",deployment_raw[[#This Row],[Column5]],1)*(1+$Q$2)/1048576)),"")</f>
        <v/>
      </c>
      <c r="R922" s="169" t="str">
        <f>IF(ISNUMBER(deployment_raw[[#This Row],[Column8]]), (H922  * IF(N922&lt;&gt;0,$R$2,1)),"")</f>
        <v/>
      </c>
      <c r="S922" s="170" t="str">
        <f>IF(ISNUMBER(deployment_raw[[#This Row],[Column8]]), (I922  * IF(O922&lt;&gt;0,$S$2,1)),"")</f>
        <v/>
      </c>
      <c r="T922" s="202" t="str">
        <f>IF(AND(A922&lt;&gt;"",_xlfn.IFNA(MATCH(A922,'dynamic resource application '!$A$2:$A$100, 0),0)&lt;&gt;0), H922/(IF($E$2="Deployment",E922,1)),"")</f>
        <v/>
      </c>
      <c r="U922" s="211" t="str">
        <f>IF(AND(A922&lt;&gt;"",_xlfn.IFNA(MATCH(A922,'dynamic resource application '!$A$2:$A$100, 0),0)&lt;&gt;0), I922/(IF($E$2="Deployment",E922,1)),"")</f>
        <v/>
      </c>
    </row>
    <row r="923" spans="1:21" ht="15" customHeight="1" x14ac:dyDescent="0.25">
      <c r="A923" s="35" t="str">
        <f>IF(ISNONTEXT(deployment_raw[[#This Row],[Column1]]), "", deployment_raw[[#This Row],[Column1]])</f>
        <v/>
      </c>
      <c r="B923" s="36" t="str">
        <f>IF(ISNONTEXT(deployment_raw[[#This Row],[Column2]]), "", deployment_raw[[#This Row],[Column2]])</f>
        <v/>
      </c>
      <c r="C923" s="36" t="str">
        <f>IF(ISNONTEXT(deployment_raw[[#This Row],[Column3]]), "", deployment_raw[[#This Row],[Column3]])</f>
        <v/>
      </c>
      <c r="D923" s="36" t="str">
        <f>IF(ISNONTEXT(deployment_raw[[#This Row],[Column4]]), "", deployment_raw[[#This Row],[Column4]])</f>
        <v/>
      </c>
      <c r="E923" s="37" t="str">
        <f>IF(ISNUMBER(deployment_raw[[#This Row],[Column5]]), deployment_raw[[#This Row],[Column5]],"")</f>
        <v/>
      </c>
      <c r="F923" s="94" t="str">
        <f>IF(ISNUMBER(deployment_raw[[#This Row],[Column6]]), (deployment_raw[[#This Row],[Column6]] * IF($E$2="Deployment",deployment_raw[[#This Row],[Column5]],1)),"")</f>
        <v/>
      </c>
      <c r="G923" s="95" t="str">
        <f>IF(ISNUMBER(deployment_raw[[#This Row],[Column7]]), (deployment_raw[[#This Row],[Column7]] * IF($E$2="Deployment",deployment_raw[[#This Row],[Column5]],1))/1048576,"")</f>
        <v/>
      </c>
      <c r="H923" s="95" t="str">
        <f>IF(ISNUMBER(deployment_raw[[#This Row],[Column8]]), (deployment_raw[[#This Row],[Column8]]  * IF($E$2="Deployment",deployment_raw[[#This Row],[Column5]],1)),"")</f>
        <v/>
      </c>
      <c r="I923" s="96" t="str">
        <f>IF(ISNUMBER(deployment_raw[[#This Row],[Column9]]), (deployment_raw[[#This Row],[Column9]] * IF($E$2="Deployment",deployment_raw[[#This Row],[Column5]],1))/1048576,"")</f>
        <v/>
      </c>
      <c r="J923" s="122" t="str">
        <f>IF(ISNUMBER(deployment_raw[[#This Row],[Column10]]), (MIN(IF(N923&lt;&gt;"",N923,9999999999999)*1.1,deployment_raw[[#This Row],[Column10]] * IF($E$2="Deployment",deployment_raw[[#This Row],[Column5]],1))),"")</f>
        <v/>
      </c>
      <c r="K923" s="123" t="str">
        <f>IF(ISNUMBER(deployment_raw[[#This Row],[Column11]]), (MIN(IF(O923&lt;&gt;"",O923,9999999999999)*1.1,deployment_raw[[#This Row],[Column11]] * IF($E$2="Deployment",deployment_raw[[#This Row],[Column5]],1)/1048576)),"")</f>
        <v/>
      </c>
      <c r="L923" s="124" t="str">
        <f>IF(ISNUMBER(deployment_raw[[#This Row],[Column8]]),IF(OR(deployment_raw[[#This Row],[Column5]] &lt;&gt; 0,$E$2 &lt;&gt; "Deployment"), MAX(J923, P923, R923, ($L$2 * IF($E$2="Deployment",deployment_raw[[#This Row],[Column5]],1)),IF(T923&lt;&gt;"",VALUE(T923) * IF($E$2="Deployment",deployment_raw[[#This Row],[Column5]],1),0)), 0),"")</f>
        <v/>
      </c>
      <c r="M923" s="125" t="str">
        <f>IF(ISNUMBER(deployment_raw[[#This Row],[Column9]]),IF(OR(deployment_raw[[#This Row],[Column5]] &lt;&gt; 0,$E$2&lt;&gt;"Deployment"), MAX(K923, Q923, S923, ($M$2 * IF($E$2="Deployment",deployment_raw[[#This Row],[Column5]],1)),IF(U923&lt;&gt;"",VALUE(U923) * IF($E$2="Deployment",deployment_raw[[#This Row],[Column5]],1),0)), 0),"")</f>
        <v/>
      </c>
      <c r="N923" s="166" t="str">
        <f>IF(ISNUMBER(deployment_raw[[#This Row],[Column14]]), deployment_raw[[#This Row],[Column14]]/IF(OR($E$2="Deployment",deployment_raw[[#This Row],[Column5]]=0),1,deployment_raw[[#This Row],[Column5]]),"")</f>
        <v/>
      </c>
      <c r="O923" s="167" t="str">
        <f>IF(ISNUMBER(deployment_raw[[#This Row],[Column15]]), deployment_raw[[#This Row],[Column15]]/IF(OR($E$2="Deployment",deployment_raw[[#This Row],[Column5]]=0),1,deployment_raw[[#This Row],[Column5]])/1048576,"")</f>
        <v/>
      </c>
      <c r="P923" s="168" t="str">
        <f>IF(ISNUMBER(deployment_raw[[#This Row],[Column12]]), (MIN(IF(N923&lt;&gt;"",N923,9999999999999)*1.1,deployment_raw[[#This Row],[Column12]] * IF($E$2="Deployment",deployment_raw[[#This Row],[Column5]],1))*(1+$P$2)),"")</f>
        <v/>
      </c>
      <c r="Q923" s="167" t="str">
        <f>IF(ISNUMBER(deployment_raw[[#This Row],[Column13]]), (MIN(IF(O923&lt;&gt;"",O923,9999999999999)*1.1,deployment_raw[[#This Row],[Column13]] * IF($E$2="Deployment",deployment_raw[[#This Row],[Column5]],1)*(1+$Q$2)/1048576)),"")</f>
        <v/>
      </c>
      <c r="R923" s="169" t="str">
        <f>IF(ISNUMBER(deployment_raw[[#This Row],[Column8]]), (H923  * IF(N923&lt;&gt;0,$R$2,1)),"")</f>
        <v/>
      </c>
      <c r="S923" s="170" t="str">
        <f>IF(ISNUMBER(deployment_raw[[#This Row],[Column8]]), (I923  * IF(O923&lt;&gt;0,$S$2,1)),"")</f>
        <v/>
      </c>
      <c r="T923" s="202" t="str">
        <f>IF(AND(A923&lt;&gt;"",_xlfn.IFNA(MATCH(A923,'dynamic resource application '!$A$2:$A$100, 0),0)&lt;&gt;0), H923/(IF($E$2="Deployment",E923,1)),"")</f>
        <v/>
      </c>
      <c r="U923" s="211" t="str">
        <f>IF(AND(A923&lt;&gt;"",_xlfn.IFNA(MATCH(A923,'dynamic resource application '!$A$2:$A$100, 0),0)&lt;&gt;0), I923/(IF($E$2="Deployment",E923,1)),"")</f>
        <v/>
      </c>
    </row>
    <row r="924" spans="1:21" ht="15" customHeight="1" x14ac:dyDescent="0.25">
      <c r="A924" s="35" t="str">
        <f>IF(ISNONTEXT(deployment_raw[[#This Row],[Column1]]), "", deployment_raw[[#This Row],[Column1]])</f>
        <v/>
      </c>
      <c r="B924" s="36" t="str">
        <f>IF(ISNONTEXT(deployment_raw[[#This Row],[Column2]]), "", deployment_raw[[#This Row],[Column2]])</f>
        <v/>
      </c>
      <c r="C924" s="36" t="str">
        <f>IF(ISNONTEXT(deployment_raw[[#This Row],[Column3]]), "", deployment_raw[[#This Row],[Column3]])</f>
        <v/>
      </c>
      <c r="D924" s="36" t="str">
        <f>IF(ISNONTEXT(deployment_raw[[#This Row],[Column4]]), "", deployment_raw[[#This Row],[Column4]])</f>
        <v/>
      </c>
      <c r="E924" s="37" t="str">
        <f>IF(ISNUMBER(deployment_raw[[#This Row],[Column5]]), deployment_raw[[#This Row],[Column5]],"")</f>
        <v/>
      </c>
      <c r="F924" s="94" t="str">
        <f>IF(ISNUMBER(deployment_raw[[#This Row],[Column6]]), (deployment_raw[[#This Row],[Column6]] * IF($E$2="Deployment",deployment_raw[[#This Row],[Column5]],1)),"")</f>
        <v/>
      </c>
      <c r="G924" s="95" t="str">
        <f>IF(ISNUMBER(deployment_raw[[#This Row],[Column7]]), (deployment_raw[[#This Row],[Column7]] * IF($E$2="Deployment",deployment_raw[[#This Row],[Column5]],1))/1048576,"")</f>
        <v/>
      </c>
      <c r="H924" s="95" t="str">
        <f>IF(ISNUMBER(deployment_raw[[#This Row],[Column8]]), (deployment_raw[[#This Row],[Column8]]  * IF($E$2="Deployment",deployment_raw[[#This Row],[Column5]],1)),"")</f>
        <v/>
      </c>
      <c r="I924" s="96" t="str">
        <f>IF(ISNUMBER(deployment_raw[[#This Row],[Column9]]), (deployment_raw[[#This Row],[Column9]] * IF($E$2="Deployment",deployment_raw[[#This Row],[Column5]],1))/1048576,"")</f>
        <v/>
      </c>
      <c r="J924" s="122" t="str">
        <f>IF(ISNUMBER(deployment_raw[[#This Row],[Column10]]), (MIN(IF(N924&lt;&gt;"",N924,9999999999999)*1.1,deployment_raw[[#This Row],[Column10]] * IF($E$2="Deployment",deployment_raw[[#This Row],[Column5]],1))),"")</f>
        <v/>
      </c>
      <c r="K924" s="123" t="str">
        <f>IF(ISNUMBER(deployment_raw[[#This Row],[Column11]]), (MIN(IF(O924&lt;&gt;"",O924,9999999999999)*1.1,deployment_raw[[#This Row],[Column11]] * IF($E$2="Deployment",deployment_raw[[#This Row],[Column5]],1)/1048576)),"")</f>
        <v/>
      </c>
      <c r="L924" s="124" t="str">
        <f>IF(ISNUMBER(deployment_raw[[#This Row],[Column8]]),IF(OR(deployment_raw[[#This Row],[Column5]] &lt;&gt; 0,$E$2 &lt;&gt; "Deployment"), MAX(J924, P924, R924, ($L$2 * IF($E$2="Deployment",deployment_raw[[#This Row],[Column5]],1)),IF(T924&lt;&gt;"",VALUE(T924) * IF($E$2="Deployment",deployment_raw[[#This Row],[Column5]],1),0)), 0),"")</f>
        <v/>
      </c>
      <c r="M924" s="125" t="str">
        <f>IF(ISNUMBER(deployment_raw[[#This Row],[Column9]]),IF(OR(deployment_raw[[#This Row],[Column5]] &lt;&gt; 0,$E$2&lt;&gt;"Deployment"), MAX(K924, Q924, S924, ($M$2 * IF($E$2="Deployment",deployment_raw[[#This Row],[Column5]],1)),IF(U924&lt;&gt;"",VALUE(U924) * IF($E$2="Deployment",deployment_raw[[#This Row],[Column5]],1),0)), 0),"")</f>
        <v/>
      </c>
      <c r="N924" s="166" t="str">
        <f>IF(ISNUMBER(deployment_raw[[#This Row],[Column14]]), deployment_raw[[#This Row],[Column14]]/IF(OR($E$2="Deployment",deployment_raw[[#This Row],[Column5]]=0),1,deployment_raw[[#This Row],[Column5]]),"")</f>
        <v/>
      </c>
      <c r="O924" s="167" t="str">
        <f>IF(ISNUMBER(deployment_raw[[#This Row],[Column15]]), deployment_raw[[#This Row],[Column15]]/IF(OR($E$2="Deployment",deployment_raw[[#This Row],[Column5]]=0),1,deployment_raw[[#This Row],[Column5]])/1048576,"")</f>
        <v/>
      </c>
      <c r="P924" s="168" t="str">
        <f>IF(ISNUMBER(deployment_raw[[#This Row],[Column12]]), (MIN(IF(N924&lt;&gt;"",N924,9999999999999)*1.1,deployment_raw[[#This Row],[Column12]] * IF($E$2="Deployment",deployment_raw[[#This Row],[Column5]],1))*(1+$P$2)),"")</f>
        <v/>
      </c>
      <c r="Q924" s="167" t="str">
        <f>IF(ISNUMBER(deployment_raw[[#This Row],[Column13]]), (MIN(IF(O924&lt;&gt;"",O924,9999999999999)*1.1,deployment_raw[[#This Row],[Column13]] * IF($E$2="Deployment",deployment_raw[[#This Row],[Column5]],1)*(1+$Q$2)/1048576)),"")</f>
        <v/>
      </c>
      <c r="R924" s="169" t="str">
        <f>IF(ISNUMBER(deployment_raw[[#This Row],[Column8]]), (H924  * IF(N924&lt;&gt;0,$R$2,1)),"")</f>
        <v/>
      </c>
      <c r="S924" s="170" t="str">
        <f>IF(ISNUMBER(deployment_raw[[#This Row],[Column8]]), (I924  * IF(O924&lt;&gt;0,$S$2,1)),"")</f>
        <v/>
      </c>
      <c r="T924" s="202" t="str">
        <f>IF(AND(A924&lt;&gt;"",_xlfn.IFNA(MATCH(A924,'dynamic resource application '!$A$2:$A$100, 0),0)&lt;&gt;0), H924/(IF($E$2="Deployment",E924,1)),"")</f>
        <v/>
      </c>
      <c r="U924" s="211" t="str">
        <f>IF(AND(A924&lt;&gt;"",_xlfn.IFNA(MATCH(A924,'dynamic resource application '!$A$2:$A$100, 0),0)&lt;&gt;0), I924/(IF($E$2="Deployment",E924,1)),"")</f>
        <v/>
      </c>
    </row>
    <row r="925" spans="1:21" ht="15" customHeight="1" x14ac:dyDescent="0.25">
      <c r="A925" s="35" t="str">
        <f>IF(ISNONTEXT(deployment_raw[[#This Row],[Column1]]), "", deployment_raw[[#This Row],[Column1]])</f>
        <v/>
      </c>
      <c r="B925" s="36" t="str">
        <f>IF(ISNONTEXT(deployment_raw[[#This Row],[Column2]]), "", deployment_raw[[#This Row],[Column2]])</f>
        <v/>
      </c>
      <c r="C925" s="36" t="str">
        <f>IF(ISNONTEXT(deployment_raw[[#This Row],[Column3]]), "", deployment_raw[[#This Row],[Column3]])</f>
        <v/>
      </c>
      <c r="D925" s="36" t="str">
        <f>IF(ISNONTEXT(deployment_raw[[#This Row],[Column4]]), "", deployment_raw[[#This Row],[Column4]])</f>
        <v/>
      </c>
      <c r="E925" s="37" t="str">
        <f>IF(ISNUMBER(deployment_raw[[#This Row],[Column5]]), deployment_raw[[#This Row],[Column5]],"")</f>
        <v/>
      </c>
      <c r="F925" s="94" t="str">
        <f>IF(ISNUMBER(deployment_raw[[#This Row],[Column6]]), (deployment_raw[[#This Row],[Column6]] * IF($E$2="Deployment",deployment_raw[[#This Row],[Column5]],1)),"")</f>
        <v/>
      </c>
      <c r="G925" s="95" t="str">
        <f>IF(ISNUMBER(deployment_raw[[#This Row],[Column7]]), (deployment_raw[[#This Row],[Column7]] * IF($E$2="Deployment",deployment_raw[[#This Row],[Column5]],1))/1048576,"")</f>
        <v/>
      </c>
      <c r="H925" s="95" t="str">
        <f>IF(ISNUMBER(deployment_raw[[#This Row],[Column8]]), (deployment_raw[[#This Row],[Column8]]  * IF($E$2="Deployment",deployment_raw[[#This Row],[Column5]],1)),"")</f>
        <v/>
      </c>
      <c r="I925" s="96" t="str">
        <f>IF(ISNUMBER(deployment_raw[[#This Row],[Column9]]), (deployment_raw[[#This Row],[Column9]] * IF($E$2="Deployment",deployment_raw[[#This Row],[Column5]],1))/1048576,"")</f>
        <v/>
      </c>
      <c r="J925" s="122" t="str">
        <f>IF(ISNUMBER(deployment_raw[[#This Row],[Column10]]), (MIN(IF(N925&lt;&gt;"",N925,9999999999999)*1.1,deployment_raw[[#This Row],[Column10]] * IF($E$2="Deployment",deployment_raw[[#This Row],[Column5]],1))),"")</f>
        <v/>
      </c>
      <c r="K925" s="123" t="str">
        <f>IF(ISNUMBER(deployment_raw[[#This Row],[Column11]]), (MIN(IF(O925&lt;&gt;"",O925,9999999999999)*1.1,deployment_raw[[#This Row],[Column11]] * IF($E$2="Deployment",deployment_raw[[#This Row],[Column5]],1)/1048576)),"")</f>
        <v/>
      </c>
      <c r="L925" s="124" t="str">
        <f>IF(ISNUMBER(deployment_raw[[#This Row],[Column8]]),IF(OR(deployment_raw[[#This Row],[Column5]] &lt;&gt; 0,$E$2 &lt;&gt; "Deployment"), MAX(J925, P925, R925, ($L$2 * IF($E$2="Deployment",deployment_raw[[#This Row],[Column5]],1)),IF(T925&lt;&gt;"",VALUE(T925) * IF($E$2="Deployment",deployment_raw[[#This Row],[Column5]],1),0)), 0),"")</f>
        <v/>
      </c>
      <c r="M925" s="125" t="str">
        <f>IF(ISNUMBER(deployment_raw[[#This Row],[Column9]]),IF(OR(deployment_raw[[#This Row],[Column5]] &lt;&gt; 0,$E$2&lt;&gt;"Deployment"), MAX(K925, Q925, S925, ($M$2 * IF($E$2="Deployment",deployment_raw[[#This Row],[Column5]],1)),IF(U925&lt;&gt;"",VALUE(U925) * IF($E$2="Deployment",deployment_raw[[#This Row],[Column5]],1),0)), 0),"")</f>
        <v/>
      </c>
      <c r="N925" s="166" t="str">
        <f>IF(ISNUMBER(deployment_raw[[#This Row],[Column14]]), deployment_raw[[#This Row],[Column14]]/IF(OR($E$2="Deployment",deployment_raw[[#This Row],[Column5]]=0),1,deployment_raw[[#This Row],[Column5]]),"")</f>
        <v/>
      </c>
      <c r="O925" s="167" t="str">
        <f>IF(ISNUMBER(deployment_raw[[#This Row],[Column15]]), deployment_raw[[#This Row],[Column15]]/IF(OR($E$2="Deployment",deployment_raw[[#This Row],[Column5]]=0),1,deployment_raw[[#This Row],[Column5]])/1048576,"")</f>
        <v/>
      </c>
      <c r="P925" s="168" t="str">
        <f>IF(ISNUMBER(deployment_raw[[#This Row],[Column12]]), (MIN(IF(N925&lt;&gt;"",N925,9999999999999)*1.1,deployment_raw[[#This Row],[Column12]] * IF($E$2="Deployment",deployment_raw[[#This Row],[Column5]],1))*(1+$P$2)),"")</f>
        <v/>
      </c>
      <c r="Q925" s="167" t="str">
        <f>IF(ISNUMBER(deployment_raw[[#This Row],[Column13]]), (MIN(IF(O925&lt;&gt;"",O925,9999999999999)*1.1,deployment_raw[[#This Row],[Column13]] * IF($E$2="Deployment",deployment_raw[[#This Row],[Column5]],1)*(1+$Q$2)/1048576)),"")</f>
        <v/>
      </c>
      <c r="R925" s="169" t="str">
        <f>IF(ISNUMBER(deployment_raw[[#This Row],[Column8]]), (H925  * IF(N925&lt;&gt;0,$R$2,1)),"")</f>
        <v/>
      </c>
      <c r="S925" s="170" t="str">
        <f>IF(ISNUMBER(deployment_raw[[#This Row],[Column8]]), (I925  * IF(O925&lt;&gt;0,$S$2,1)),"")</f>
        <v/>
      </c>
      <c r="T925" s="202" t="str">
        <f>IF(AND(A925&lt;&gt;"",_xlfn.IFNA(MATCH(A925,'dynamic resource application '!$A$2:$A$100, 0),0)&lt;&gt;0), H925/(IF($E$2="Deployment",E925,1)),"")</f>
        <v/>
      </c>
      <c r="U925" s="211" t="str">
        <f>IF(AND(A925&lt;&gt;"",_xlfn.IFNA(MATCH(A925,'dynamic resource application '!$A$2:$A$100, 0),0)&lt;&gt;0), I925/(IF($E$2="Deployment",E925,1)),"")</f>
        <v/>
      </c>
    </row>
    <row r="926" spans="1:21" ht="15" customHeight="1" x14ac:dyDescent="0.25">
      <c r="A926" s="35" t="str">
        <f>IF(ISNONTEXT(deployment_raw[[#This Row],[Column1]]), "", deployment_raw[[#This Row],[Column1]])</f>
        <v/>
      </c>
      <c r="B926" s="36" t="str">
        <f>IF(ISNONTEXT(deployment_raw[[#This Row],[Column2]]), "", deployment_raw[[#This Row],[Column2]])</f>
        <v/>
      </c>
      <c r="C926" s="36" t="str">
        <f>IF(ISNONTEXT(deployment_raw[[#This Row],[Column3]]), "", deployment_raw[[#This Row],[Column3]])</f>
        <v/>
      </c>
      <c r="D926" s="36" t="str">
        <f>IF(ISNONTEXT(deployment_raw[[#This Row],[Column4]]), "", deployment_raw[[#This Row],[Column4]])</f>
        <v/>
      </c>
      <c r="E926" s="37" t="str">
        <f>IF(ISNUMBER(deployment_raw[[#This Row],[Column5]]), deployment_raw[[#This Row],[Column5]],"")</f>
        <v/>
      </c>
      <c r="F926" s="94" t="str">
        <f>IF(ISNUMBER(deployment_raw[[#This Row],[Column6]]), (deployment_raw[[#This Row],[Column6]] * IF($E$2="Deployment",deployment_raw[[#This Row],[Column5]],1)),"")</f>
        <v/>
      </c>
      <c r="G926" s="95" t="str">
        <f>IF(ISNUMBER(deployment_raw[[#This Row],[Column7]]), (deployment_raw[[#This Row],[Column7]] * IF($E$2="Deployment",deployment_raw[[#This Row],[Column5]],1))/1048576,"")</f>
        <v/>
      </c>
      <c r="H926" s="95" t="str">
        <f>IF(ISNUMBER(deployment_raw[[#This Row],[Column8]]), (deployment_raw[[#This Row],[Column8]]  * IF($E$2="Deployment",deployment_raw[[#This Row],[Column5]],1)),"")</f>
        <v/>
      </c>
      <c r="I926" s="96" t="str">
        <f>IF(ISNUMBER(deployment_raw[[#This Row],[Column9]]), (deployment_raw[[#This Row],[Column9]] * IF($E$2="Deployment",deployment_raw[[#This Row],[Column5]],1))/1048576,"")</f>
        <v/>
      </c>
      <c r="J926" s="122" t="str">
        <f>IF(ISNUMBER(deployment_raw[[#This Row],[Column10]]), (MIN(IF(N926&lt;&gt;"",N926,9999999999999)*1.1,deployment_raw[[#This Row],[Column10]] * IF($E$2="Deployment",deployment_raw[[#This Row],[Column5]],1))),"")</f>
        <v/>
      </c>
      <c r="K926" s="123" t="str">
        <f>IF(ISNUMBER(deployment_raw[[#This Row],[Column11]]), (MIN(IF(O926&lt;&gt;"",O926,9999999999999)*1.1,deployment_raw[[#This Row],[Column11]] * IF($E$2="Deployment",deployment_raw[[#This Row],[Column5]],1)/1048576)),"")</f>
        <v/>
      </c>
      <c r="L926" s="124" t="str">
        <f>IF(ISNUMBER(deployment_raw[[#This Row],[Column8]]),IF(OR(deployment_raw[[#This Row],[Column5]] &lt;&gt; 0,$E$2 &lt;&gt; "Deployment"), MAX(J926, P926, R926, ($L$2 * IF($E$2="Deployment",deployment_raw[[#This Row],[Column5]],1)),IF(T926&lt;&gt;"",VALUE(T926) * IF($E$2="Deployment",deployment_raw[[#This Row],[Column5]],1),0)), 0),"")</f>
        <v/>
      </c>
      <c r="M926" s="125" t="str">
        <f>IF(ISNUMBER(deployment_raw[[#This Row],[Column9]]),IF(OR(deployment_raw[[#This Row],[Column5]] &lt;&gt; 0,$E$2&lt;&gt;"Deployment"), MAX(K926, Q926, S926, ($M$2 * IF($E$2="Deployment",deployment_raw[[#This Row],[Column5]],1)),IF(U926&lt;&gt;"",VALUE(U926) * IF($E$2="Deployment",deployment_raw[[#This Row],[Column5]],1),0)), 0),"")</f>
        <v/>
      </c>
      <c r="N926" s="166" t="str">
        <f>IF(ISNUMBER(deployment_raw[[#This Row],[Column14]]), deployment_raw[[#This Row],[Column14]]/IF(OR($E$2="Deployment",deployment_raw[[#This Row],[Column5]]=0),1,deployment_raw[[#This Row],[Column5]]),"")</f>
        <v/>
      </c>
      <c r="O926" s="167" t="str">
        <f>IF(ISNUMBER(deployment_raw[[#This Row],[Column15]]), deployment_raw[[#This Row],[Column15]]/IF(OR($E$2="Deployment",deployment_raw[[#This Row],[Column5]]=0),1,deployment_raw[[#This Row],[Column5]])/1048576,"")</f>
        <v/>
      </c>
      <c r="P926" s="168" t="str">
        <f>IF(ISNUMBER(deployment_raw[[#This Row],[Column12]]), (MIN(IF(N926&lt;&gt;"",N926,9999999999999)*1.1,deployment_raw[[#This Row],[Column12]] * IF($E$2="Deployment",deployment_raw[[#This Row],[Column5]],1))*(1+$P$2)),"")</f>
        <v/>
      </c>
      <c r="Q926" s="167" t="str">
        <f>IF(ISNUMBER(deployment_raw[[#This Row],[Column13]]), (MIN(IF(O926&lt;&gt;"",O926,9999999999999)*1.1,deployment_raw[[#This Row],[Column13]] * IF($E$2="Deployment",deployment_raw[[#This Row],[Column5]],1)*(1+$Q$2)/1048576)),"")</f>
        <v/>
      </c>
      <c r="R926" s="169" t="str">
        <f>IF(ISNUMBER(deployment_raw[[#This Row],[Column8]]), (H926  * IF(N926&lt;&gt;0,$R$2,1)),"")</f>
        <v/>
      </c>
      <c r="S926" s="170" t="str">
        <f>IF(ISNUMBER(deployment_raw[[#This Row],[Column8]]), (I926  * IF(O926&lt;&gt;0,$S$2,1)),"")</f>
        <v/>
      </c>
      <c r="T926" s="202" t="str">
        <f>IF(AND(A926&lt;&gt;"",_xlfn.IFNA(MATCH(A926,'dynamic resource application '!$A$2:$A$100, 0),0)&lt;&gt;0), H926/(IF($E$2="Deployment",E926,1)),"")</f>
        <v/>
      </c>
      <c r="U926" s="211" t="str">
        <f>IF(AND(A926&lt;&gt;"",_xlfn.IFNA(MATCH(A926,'dynamic resource application '!$A$2:$A$100, 0),0)&lt;&gt;0), I926/(IF($E$2="Deployment",E926,1)),"")</f>
        <v/>
      </c>
    </row>
    <row r="927" spans="1:21" ht="15" customHeight="1" x14ac:dyDescent="0.25">
      <c r="A927" s="35" t="str">
        <f>IF(ISNONTEXT(deployment_raw[[#This Row],[Column1]]), "", deployment_raw[[#This Row],[Column1]])</f>
        <v/>
      </c>
      <c r="B927" s="36" t="str">
        <f>IF(ISNONTEXT(deployment_raw[[#This Row],[Column2]]), "", deployment_raw[[#This Row],[Column2]])</f>
        <v/>
      </c>
      <c r="C927" s="36" t="str">
        <f>IF(ISNONTEXT(deployment_raw[[#This Row],[Column3]]), "", deployment_raw[[#This Row],[Column3]])</f>
        <v/>
      </c>
      <c r="D927" s="36" t="str">
        <f>IF(ISNONTEXT(deployment_raw[[#This Row],[Column4]]), "", deployment_raw[[#This Row],[Column4]])</f>
        <v/>
      </c>
      <c r="E927" s="37" t="str">
        <f>IF(ISNUMBER(deployment_raw[[#This Row],[Column5]]), deployment_raw[[#This Row],[Column5]],"")</f>
        <v/>
      </c>
      <c r="F927" s="94" t="str">
        <f>IF(ISNUMBER(deployment_raw[[#This Row],[Column6]]), (deployment_raw[[#This Row],[Column6]] * IF($E$2="Deployment",deployment_raw[[#This Row],[Column5]],1)),"")</f>
        <v/>
      </c>
      <c r="G927" s="95" t="str">
        <f>IF(ISNUMBER(deployment_raw[[#This Row],[Column7]]), (deployment_raw[[#This Row],[Column7]] * IF($E$2="Deployment",deployment_raw[[#This Row],[Column5]],1))/1048576,"")</f>
        <v/>
      </c>
      <c r="H927" s="95" t="str">
        <f>IF(ISNUMBER(deployment_raw[[#This Row],[Column8]]), (deployment_raw[[#This Row],[Column8]]  * IF($E$2="Deployment",deployment_raw[[#This Row],[Column5]],1)),"")</f>
        <v/>
      </c>
      <c r="I927" s="96" t="str">
        <f>IF(ISNUMBER(deployment_raw[[#This Row],[Column9]]), (deployment_raw[[#This Row],[Column9]] * IF($E$2="Deployment",deployment_raw[[#This Row],[Column5]],1))/1048576,"")</f>
        <v/>
      </c>
      <c r="J927" s="122" t="str">
        <f>IF(ISNUMBER(deployment_raw[[#This Row],[Column10]]), (MIN(IF(N927&lt;&gt;"",N927,9999999999999)*1.1,deployment_raw[[#This Row],[Column10]] * IF($E$2="Deployment",deployment_raw[[#This Row],[Column5]],1))),"")</f>
        <v/>
      </c>
      <c r="K927" s="123" t="str">
        <f>IF(ISNUMBER(deployment_raw[[#This Row],[Column11]]), (MIN(IF(O927&lt;&gt;"",O927,9999999999999)*1.1,deployment_raw[[#This Row],[Column11]] * IF($E$2="Deployment",deployment_raw[[#This Row],[Column5]],1)/1048576)),"")</f>
        <v/>
      </c>
      <c r="L927" s="124" t="str">
        <f>IF(ISNUMBER(deployment_raw[[#This Row],[Column8]]),IF(OR(deployment_raw[[#This Row],[Column5]] &lt;&gt; 0,$E$2 &lt;&gt; "Deployment"), MAX(J927, P927, R927, ($L$2 * IF($E$2="Deployment",deployment_raw[[#This Row],[Column5]],1)),IF(T927&lt;&gt;"",VALUE(T927) * IF($E$2="Deployment",deployment_raw[[#This Row],[Column5]],1),0)), 0),"")</f>
        <v/>
      </c>
      <c r="M927" s="125" t="str">
        <f>IF(ISNUMBER(deployment_raw[[#This Row],[Column9]]),IF(OR(deployment_raw[[#This Row],[Column5]] &lt;&gt; 0,$E$2&lt;&gt;"Deployment"), MAX(K927, Q927, S927, ($M$2 * IF($E$2="Deployment",deployment_raw[[#This Row],[Column5]],1)),IF(U927&lt;&gt;"",VALUE(U927) * IF($E$2="Deployment",deployment_raw[[#This Row],[Column5]],1),0)), 0),"")</f>
        <v/>
      </c>
      <c r="N927" s="166" t="str">
        <f>IF(ISNUMBER(deployment_raw[[#This Row],[Column14]]), deployment_raw[[#This Row],[Column14]]/IF(OR($E$2="Deployment",deployment_raw[[#This Row],[Column5]]=0),1,deployment_raw[[#This Row],[Column5]]),"")</f>
        <v/>
      </c>
      <c r="O927" s="167" t="str">
        <f>IF(ISNUMBER(deployment_raw[[#This Row],[Column15]]), deployment_raw[[#This Row],[Column15]]/IF(OR($E$2="Deployment",deployment_raw[[#This Row],[Column5]]=0),1,deployment_raw[[#This Row],[Column5]])/1048576,"")</f>
        <v/>
      </c>
      <c r="P927" s="168" t="str">
        <f>IF(ISNUMBER(deployment_raw[[#This Row],[Column12]]), (MIN(IF(N927&lt;&gt;"",N927,9999999999999)*1.1,deployment_raw[[#This Row],[Column12]] * IF($E$2="Deployment",deployment_raw[[#This Row],[Column5]],1))*(1+$P$2)),"")</f>
        <v/>
      </c>
      <c r="Q927" s="167" t="str">
        <f>IF(ISNUMBER(deployment_raw[[#This Row],[Column13]]), (MIN(IF(O927&lt;&gt;"",O927,9999999999999)*1.1,deployment_raw[[#This Row],[Column13]] * IF($E$2="Deployment",deployment_raw[[#This Row],[Column5]],1)*(1+$Q$2)/1048576)),"")</f>
        <v/>
      </c>
      <c r="R927" s="169" t="str">
        <f>IF(ISNUMBER(deployment_raw[[#This Row],[Column8]]), (H927  * IF(N927&lt;&gt;0,$R$2,1)),"")</f>
        <v/>
      </c>
      <c r="S927" s="170" t="str">
        <f>IF(ISNUMBER(deployment_raw[[#This Row],[Column8]]), (I927  * IF(O927&lt;&gt;0,$S$2,1)),"")</f>
        <v/>
      </c>
      <c r="T927" s="202" t="str">
        <f>IF(AND(A927&lt;&gt;"",_xlfn.IFNA(MATCH(A927,'dynamic resource application '!$A$2:$A$100, 0),0)&lt;&gt;0), H927/(IF($E$2="Deployment",E927,1)),"")</f>
        <v/>
      </c>
      <c r="U927" s="211" t="str">
        <f>IF(AND(A927&lt;&gt;"",_xlfn.IFNA(MATCH(A927,'dynamic resource application '!$A$2:$A$100, 0),0)&lt;&gt;0), I927/(IF($E$2="Deployment",E927,1)),"")</f>
        <v/>
      </c>
    </row>
    <row r="928" spans="1:21" ht="15" customHeight="1" x14ac:dyDescent="0.25">
      <c r="A928" s="35" t="str">
        <f>IF(ISNONTEXT(deployment_raw[[#This Row],[Column1]]), "", deployment_raw[[#This Row],[Column1]])</f>
        <v/>
      </c>
      <c r="B928" s="36" t="str">
        <f>IF(ISNONTEXT(deployment_raw[[#This Row],[Column2]]), "", deployment_raw[[#This Row],[Column2]])</f>
        <v/>
      </c>
      <c r="C928" s="36" t="str">
        <f>IF(ISNONTEXT(deployment_raw[[#This Row],[Column3]]), "", deployment_raw[[#This Row],[Column3]])</f>
        <v/>
      </c>
      <c r="D928" s="36" t="str">
        <f>IF(ISNONTEXT(deployment_raw[[#This Row],[Column4]]), "", deployment_raw[[#This Row],[Column4]])</f>
        <v/>
      </c>
      <c r="E928" s="37" t="str">
        <f>IF(ISNUMBER(deployment_raw[[#This Row],[Column5]]), deployment_raw[[#This Row],[Column5]],"")</f>
        <v/>
      </c>
      <c r="F928" s="94" t="str">
        <f>IF(ISNUMBER(deployment_raw[[#This Row],[Column6]]), (deployment_raw[[#This Row],[Column6]] * IF($E$2="Deployment",deployment_raw[[#This Row],[Column5]],1)),"")</f>
        <v/>
      </c>
      <c r="G928" s="95" t="str">
        <f>IF(ISNUMBER(deployment_raw[[#This Row],[Column7]]), (deployment_raw[[#This Row],[Column7]] * IF($E$2="Deployment",deployment_raw[[#This Row],[Column5]],1))/1048576,"")</f>
        <v/>
      </c>
      <c r="H928" s="95" t="str">
        <f>IF(ISNUMBER(deployment_raw[[#This Row],[Column8]]), (deployment_raw[[#This Row],[Column8]]  * IF($E$2="Deployment",deployment_raw[[#This Row],[Column5]],1)),"")</f>
        <v/>
      </c>
      <c r="I928" s="96" t="str">
        <f>IF(ISNUMBER(deployment_raw[[#This Row],[Column9]]), (deployment_raw[[#This Row],[Column9]] * IF($E$2="Deployment",deployment_raw[[#This Row],[Column5]],1))/1048576,"")</f>
        <v/>
      </c>
      <c r="J928" s="122" t="str">
        <f>IF(ISNUMBER(deployment_raw[[#This Row],[Column10]]), (MIN(IF(N928&lt;&gt;"",N928,9999999999999)*1.1,deployment_raw[[#This Row],[Column10]] * IF($E$2="Deployment",deployment_raw[[#This Row],[Column5]],1))),"")</f>
        <v/>
      </c>
      <c r="K928" s="123" t="str">
        <f>IF(ISNUMBER(deployment_raw[[#This Row],[Column11]]), (MIN(IF(O928&lt;&gt;"",O928,9999999999999)*1.1,deployment_raw[[#This Row],[Column11]] * IF($E$2="Deployment",deployment_raw[[#This Row],[Column5]],1)/1048576)),"")</f>
        <v/>
      </c>
      <c r="L928" s="124" t="str">
        <f>IF(ISNUMBER(deployment_raw[[#This Row],[Column8]]),IF(OR(deployment_raw[[#This Row],[Column5]] &lt;&gt; 0,$E$2 &lt;&gt; "Deployment"), MAX(J928, P928, R928, ($L$2 * IF($E$2="Deployment",deployment_raw[[#This Row],[Column5]],1)),IF(T928&lt;&gt;"",VALUE(T928) * IF($E$2="Deployment",deployment_raw[[#This Row],[Column5]],1),0)), 0),"")</f>
        <v/>
      </c>
      <c r="M928" s="125" t="str">
        <f>IF(ISNUMBER(deployment_raw[[#This Row],[Column9]]),IF(OR(deployment_raw[[#This Row],[Column5]] &lt;&gt; 0,$E$2&lt;&gt;"Deployment"), MAX(K928, Q928, S928, ($M$2 * IF($E$2="Deployment",deployment_raw[[#This Row],[Column5]],1)),IF(U928&lt;&gt;"",VALUE(U928) * IF($E$2="Deployment",deployment_raw[[#This Row],[Column5]],1),0)), 0),"")</f>
        <v/>
      </c>
      <c r="N928" s="166" t="str">
        <f>IF(ISNUMBER(deployment_raw[[#This Row],[Column14]]), deployment_raw[[#This Row],[Column14]]/IF(OR($E$2="Deployment",deployment_raw[[#This Row],[Column5]]=0),1,deployment_raw[[#This Row],[Column5]]),"")</f>
        <v/>
      </c>
      <c r="O928" s="167" t="str">
        <f>IF(ISNUMBER(deployment_raw[[#This Row],[Column15]]), deployment_raw[[#This Row],[Column15]]/IF(OR($E$2="Deployment",deployment_raw[[#This Row],[Column5]]=0),1,deployment_raw[[#This Row],[Column5]])/1048576,"")</f>
        <v/>
      </c>
      <c r="P928" s="168" t="str">
        <f>IF(ISNUMBER(deployment_raw[[#This Row],[Column12]]), (MIN(IF(N928&lt;&gt;"",N928,9999999999999)*1.1,deployment_raw[[#This Row],[Column12]] * IF($E$2="Deployment",deployment_raw[[#This Row],[Column5]],1))*(1+$P$2)),"")</f>
        <v/>
      </c>
      <c r="Q928" s="167" t="str">
        <f>IF(ISNUMBER(deployment_raw[[#This Row],[Column13]]), (MIN(IF(O928&lt;&gt;"",O928,9999999999999)*1.1,deployment_raw[[#This Row],[Column13]] * IF($E$2="Deployment",deployment_raw[[#This Row],[Column5]],1)*(1+$Q$2)/1048576)),"")</f>
        <v/>
      </c>
      <c r="R928" s="169" t="str">
        <f>IF(ISNUMBER(deployment_raw[[#This Row],[Column8]]), (H928  * IF(N928&lt;&gt;0,$R$2,1)),"")</f>
        <v/>
      </c>
      <c r="S928" s="170" t="str">
        <f>IF(ISNUMBER(deployment_raw[[#This Row],[Column8]]), (I928  * IF(O928&lt;&gt;0,$S$2,1)),"")</f>
        <v/>
      </c>
      <c r="T928" s="202" t="str">
        <f>IF(AND(A928&lt;&gt;"",_xlfn.IFNA(MATCH(A928,'dynamic resource application '!$A$2:$A$100, 0),0)&lt;&gt;0), H928/(IF($E$2="Deployment",E928,1)),"")</f>
        <v/>
      </c>
      <c r="U928" s="211" t="str">
        <f>IF(AND(A928&lt;&gt;"",_xlfn.IFNA(MATCH(A928,'dynamic resource application '!$A$2:$A$100, 0),0)&lt;&gt;0), I928/(IF($E$2="Deployment",E928,1)),"")</f>
        <v/>
      </c>
    </row>
    <row r="929" spans="1:21" ht="15" customHeight="1" x14ac:dyDescent="0.25">
      <c r="A929" s="35" t="str">
        <f>IF(ISNONTEXT(deployment_raw[[#This Row],[Column1]]), "", deployment_raw[[#This Row],[Column1]])</f>
        <v/>
      </c>
      <c r="B929" s="36" t="str">
        <f>IF(ISNONTEXT(deployment_raw[[#This Row],[Column2]]), "", deployment_raw[[#This Row],[Column2]])</f>
        <v/>
      </c>
      <c r="C929" s="36" t="str">
        <f>IF(ISNONTEXT(deployment_raw[[#This Row],[Column3]]), "", deployment_raw[[#This Row],[Column3]])</f>
        <v/>
      </c>
      <c r="D929" s="36" t="str">
        <f>IF(ISNONTEXT(deployment_raw[[#This Row],[Column4]]), "", deployment_raw[[#This Row],[Column4]])</f>
        <v/>
      </c>
      <c r="E929" s="37" t="str">
        <f>IF(ISNUMBER(deployment_raw[[#This Row],[Column5]]), deployment_raw[[#This Row],[Column5]],"")</f>
        <v/>
      </c>
      <c r="F929" s="94" t="str">
        <f>IF(ISNUMBER(deployment_raw[[#This Row],[Column6]]), (deployment_raw[[#This Row],[Column6]] * IF($E$2="Deployment",deployment_raw[[#This Row],[Column5]],1)),"")</f>
        <v/>
      </c>
      <c r="G929" s="95" t="str">
        <f>IF(ISNUMBER(deployment_raw[[#This Row],[Column7]]), (deployment_raw[[#This Row],[Column7]] * IF($E$2="Deployment",deployment_raw[[#This Row],[Column5]],1))/1048576,"")</f>
        <v/>
      </c>
      <c r="H929" s="95" t="str">
        <f>IF(ISNUMBER(deployment_raw[[#This Row],[Column8]]), (deployment_raw[[#This Row],[Column8]]  * IF($E$2="Deployment",deployment_raw[[#This Row],[Column5]],1)),"")</f>
        <v/>
      </c>
      <c r="I929" s="96" t="str">
        <f>IF(ISNUMBER(deployment_raw[[#This Row],[Column9]]), (deployment_raw[[#This Row],[Column9]] * IF($E$2="Deployment",deployment_raw[[#This Row],[Column5]],1))/1048576,"")</f>
        <v/>
      </c>
      <c r="J929" s="122" t="str">
        <f>IF(ISNUMBER(deployment_raw[[#This Row],[Column10]]), (MIN(IF(N929&lt;&gt;"",N929,9999999999999)*1.1,deployment_raw[[#This Row],[Column10]] * IF($E$2="Deployment",deployment_raw[[#This Row],[Column5]],1))),"")</f>
        <v/>
      </c>
      <c r="K929" s="123" t="str">
        <f>IF(ISNUMBER(deployment_raw[[#This Row],[Column11]]), (MIN(IF(O929&lt;&gt;"",O929,9999999999999)*1.1,deployment_raw[[#This Row],[Column11]] * IF($E$2="Deployment",deployment_raw[[#This Row],[Column5]],1)/1048576)),"")</f>
        <v/>
      </c>
      <c r="L929" s="124" t="str">
        <f>IF(ISNUMBER(deployment_raw[[#This Row],[Column8]]),IF(OR(deployment_raw[[#This Row],[Column5]] &lt;&gt; 0,$E$2 &lt;&gt; "Deployment"), MAX(J929, P929, R929, ($L$2 * IF($E$2="Deployment",deployment_raw[[#This Row],[Column5]],1)),IF(T929&lt;&gt;"",VALUE(T929) * IF($E$2="Deployment",deployment_raw[[#This Row],[Column5]],1),0)), 0),"")</f>
        <v/>
      </c>
      <c r="M929" s="125" t="str">
        <f>IF(ISNUMBER(deployment_raw[[#This Row],[Column9]]),IF(OR(deployment_raw[[#This Row],[Column5]] &lt;&gt; 0,$E$2&lt;&gt;"Deployment"), MAX(K929, Q929, S929, ($M$2 * IF($E$2="Deployment",deployment_raw[[#This Row],[Column5]],1)),IF(U929&lt;&gt;"",VALUE(U929) * IF($E$2="Deployment",deployment_raw[[#This Row],[Column5]],1),0)), 0),"")</f>
        <v/>
      </c>
      <c r="N929" s="166" t="str">
        <f>IF(ISNUMBER(deployment_raw[[#This Row],[Column14]]), deployment_raw[[#This Row],[Column14]]/IF(OR($E$2="Deployment",deployment_raw[[#This Row],[Column5]]=0),1,deployment_raw[[#This Row],[Column5]]),"")</f>
        <v/>
      </c>
      <c r="O929" s="167" t="str">
        <f>IF(ISNUMBER(deployment_raw[[#This Row],[Column15]]), deployment_raw[[#This Row],[Column15]]/IF(OR($E$2="Deployment",deployment_raw[[#This Row],[Column5]]=0),1,deployment_raw[[#This Row],[Column5]])/1048576,"")</f>
        <v/>
      </c>
      <c r="P929" s="168" t="str">
        <f>IF(ISNUMBER(deployment_raw[[#This Row],[Column12]]), (MIN(IF(N929&lt;&gt;"",N929,9999999999999)*1.1,deployment_raw[[#This Row],[Column12]] * IF($E$2="Deployment",deployment_raw[[#This Row],[Column5]],1))*(1+$P$2)),"")</f>
        <v/>
      </c>
      <c r="Q929" s="167" t="str">
        <f>IF(ISNUMBER(deployment_raw[[#This Row],[Column13]]), (MIN(IF(O929&lt;&gt;"",O929,9999999999999)*1.1,deployment_raw[[#This Row],[Column13]] * IF($E$2="Deployment",deployment_raw[[#This Row],[Column5]],1)*(1+$Q$2)/1048576)),"")</f>
        <v/>
      </c>
      <c r="R929" s="169" t="str">
        <f>IF(ISNUMBER(deployment_raw[[#This Row],[Column8]]), (H929  * IF(N929&lt;&gt;0,$R$2,1)),"")</f>
        <v/>
      </c>
      <c r="S929" s="170" t="str">
        <f>IF(ISNUMBER(deployment_raw[[#This Row],[Column8]]), (I929  * IF(O929&lt;&gt;0,$S$2,1)),"")</f>
        <v/>
      </c>
      <c r="T929" s="202" t="str">
        <f>IF(AND(A929&lt;&gt;"",_xlfn.IFNA(MATCH(A929,'dynamic resource application '!$A$2:$A$100, 0),0)&lt;&gt;0), H929/(IF($E$2="Deployment",E929,1)),"")</f>
        <v/>
      </c>
      <c r="U929" s="211" t="str">
        <f>IF(AND(A929&lt;&gt;"",_xlfn.IFNA(MATCH(A929,'dynamic resource application '!$A$2:$A$100, 0),0)&lt;&gt;0), I929/(IF($E$2="Deployment",E929,1)),"")</f>
        <v/>
      </c>
    </row>
    <row r="930" spans="1:21" ht="15" customHeight="1" x14ac:dyDescent="0.25">
      <c r="A930" s="35" t="str">
        <f>IF(ISNONTEXT(deployment_raw[[#This Row],[Column1]]), "", deployment_raw[[#This Row],[Column1]])</f>
        <v/>
      </c>
      <c r="B930" s="36" t="str">
        <f>IF(ISNONTEXT(deployment_raw[[#This Row],[Column2]]), "", deployment_raw[[#This Row],[Column2]])</f>
        <v/>
      </c>
      <c r="C930" s="36" t="str">
        <f>IF(ISNONTEXT(deployment_raw[[#This Row],[Column3]]), "", deployment_raw[[#This Row],[Column3]])</f>
        <v/>
      </c>
      <c r="D930" s="36" t="str">
        <f>IF(ISNONTEXT(deployment_raw[[#This Row],[Column4]]), "", deployment_raw[[#This Row],[Column4]])</f>
        <v/>
      </c>
      <c r="E930" s="37" t="str">
        <f>IF(ISNUMBER(deployment_raw[[#This Row],[Column5]]), deployment_raw[[#This Row],[Column5]],"")</f>
        <v/>
      </c>
      <c r="F930" s="94" t="str">
        <f>IF(ISNUMBER(deployment_raw[[#This Row],[Column6]]), (deployment_raw[[#This Row],[Column6]] * IF($E$2="Deployment",deployment_raw[[#This Row],[Column5]],1)),"")</f>
        <v/>
      </c>
      <c r="G930" s="95" t="str">
        <f>IF(ISNUMBER(deployment_raw[[#This Row],[Column7]]), (deployment_raw[[#This Row],[Column7]] * IF($E$2="Deployment",deployment_raw[[#This Row],[Column5]],1))/1048576,"")</f>
        <v/>
      </c>
      <c r="H930" s="95" t="str">
        <f>IF(ISNUMBER(deployment_raw[[#This Row],[Column8]]), (deployment_raw[[#This Row],[Column8]]  * IF($E$2="Deployment",deployment_raw[[#This Row],[Column5]],1)),"")</f>
        <v/>
      </c>
      <c r="I930" s="96" t="str">
        <f>IF(ISNUMBER(deployment_raw[[#This Row],[Column9]]), (deployment_raw[[#This Row],[Column9]] * IF($E$2="Deployment",deployment_raw[[#This Row],[Column5]],1))/1048576,"")</f>
        <v/>
      </c>
      <c r="J930" s="122" t="str">
        <f>IF(ISNUMBER(deployment_raw[[#This Row],[Column10]]), (MIN(IF(N930&lt;&gt;"",N930,9999999999999)*1.1,deployment_raw[[#This Row],[Column10]] * IF($E$2="Deployment",deployment_raw[[#This Row],[Column5]],1))),"")</f>
        <v/>
      </c>
      <c r="K930" s="123" t="str">
        <f>IF(ISNUMBER(deployment_raw[[#This Row],[Column11]]), (MIN(IF(O930&lt;&gt;"",O930,9999999999999)*1.1,deployment_raw[[#This Row],[Column11]] * IF($E$2="Deployment",deployment_raw[[#This Row],[Column5]],1)/1048576)),"")</f>
        <v/>
      </c>
      <c r="L930" s="124" t="str">
        <f>IF(ISNUMBER(deployment_raw[[#This Row],[Column8]]),IF(OR(deployment_raw[[#This Row],[Column5]] &lt;&gt; 0,$E$2 &lt;&gt; "Deployment"), MAX(J930, P930, R930, ($L$2 * IF($E$2="Deployment",deployment_raw[[#This Row],[Column5]],1)),IF(T930&lt;&gt;"",VALUE(T930) * IF($E$2="Deployment",deployment_raw[[#This Row],[Column5]],1),0)), 0),"")</f>
        <v/>
      </c>
      <c r="M930" s="125" t="str">
        <f>IF(ISNUMBER(deployment_raw[[#This Row],[Column9]]),IF(OR(deployment_raw[[#This Row],[Column5]] &lt;&gt; 0,$E$2&lt;&gt;"Deployment"), MAX(K930, Q930, S930, ($M$2 * IF($E$2="Deployment",deployment_raw[[#This Row],[Column5]],1)),IF(U930&lt;&gt;"",VALUE(U930) * IF($E$2="Deployment",deployment_raw[[#This Row],[Column5]],1),0)), 0),"")</f>
        <v/>
      </c>
      <c r="N930" s="166" t="str">
        <f>IF(ISNUMBER(deployment_raw[[#This Row],[Column14]]), deployment_raw[[#This Row],[Column14]]/IF(OR($E$2="Deployment",deployment_raw[[#This Row],[Column5]]=0),1,deployment_raw[[#This Row],[Column5]]),"")</f>
        <v/>
      </c>
      <c r="O930" s="167" t="str">
        <f>IF(ISNUMBER(deployment_raw[[#This Row],[Column15]]), deployment_raw[[#This Row],[Column15]]/IF(OR($E$2="Deployment",deployment_raw[[#This Row],[Column5]]=0),1,deployment_raw[[#This Row],[Column5]])/1048576,"")</f>
        <v/>
      </c>
      <c r="P930" s="168" t="str">
        <f>IF(ISNUMBER(deployment_raw[[#This Row],[Column12]]), (MIN(IF(N930&lt;&gt;"",N930,9999999999999)*1.1,deployment_raw[[#This Row],[Column12]] * IF($E$2="Deployment",deployment_raw[[#This Row],[Column5]],1))*(1+$P$2)),"")</f>
        <v/>
      </c>
      <c r="Q930" s="167" t="str">
        <f>IF(ISNUMBER(deployment_raw[[#This Row],[Column13]]), (MIN(IF(O930&lt;&gt;"",O930,9999999999999)*1.1,deployment_raw[[#This Row],[Column13]] * IF($E$2="Deployment",deployment_raw[[#This Row],[Column5]],1)*(1+$Q$2)/1048576)),"")</f>
        <v/>
      </c>
      <c r="R930" s="169" t="str">
        <f>IF(ISNUMBER(deployment_raw[[#This Row],[Column8]]), (H930  * IF(N930&lt;&gt;0,$R$2,1)),"")</f>
        <v/>
      </c>
      <c r="S930" s="170" t="str">
        <f>IF(ISNUMBER(deployment_raw[[#This Row],[Column8]]), (I930  * IF(O930&lt;&gt;0,$S$2,1)),"")</f>
        <v/>
      </c>
      <c r="T930" s="202" t="str">
        <f>IF(AND(A930&lt;&gt;"",_xlfn.IFNA(MATCH(A930,'dynamic resource application '!$A$2:$A$100, 0),0)&lt;&gt;0), H930/(IF($E$2="Deployment",E930,1)),"")</f>
        <v/>
      </c>
      <c r="U930" s="211" t="str">
        <f>IF(AND(A930&lt;&gt;"",_xlfn.IFNA(MATCH(A930,'dynamic resource application '!$A$2:$A$100, 0),0)&lt;&gt;0), I930/(IF($E$2="Deployment",E930,1)),"")</f>
        <v/>
      </c>
    </row>
    <row r="931" spans="1:21" ht="15" customHeight="1" x14ac:dyDescent="0.25">
      <c r="A931" s="35" t="str">
        <f>IF(ISNONTEXT(deployment_raw[[#This Row],[Column1]]), "", deployment_raw[[#This Row],[Column1]])</f>
        <v/>
      </c>
      <c r="B931" s="36" t="str">
        <f>IF(ISNONTEXT(deployment_raw[[#This Row],[Column2]]), "", deployment_raw[[#This Row],[Column2]])</f>
        <v/>
      </c>
      <c r="C931" s="36" t="str">
        <f>IF(ISNONTEXT(deployment_raw[[#This Row],[Column3]]), "", deployment_raw[[#This Row],[Column3]])</f>
        <v/>
      </c>
      <c r="D931" s="36" t="str">
        <f>IF(ISNONTEXT(deployment_raw[[#This Row],[Column4]]), "", deployment_raw[[#This Row],[Column4]])</f>
        <v/>
      </c>
      <c r="E931" s="37" t="str">
        <f>IF(ISNUMBER(deployment_raw[[#This Row],[Column5]]), deployment_raw[[#This Row],[Column5]],"")</f>
        <v/>
      </c>
      <c r="F931" s="94" t="str">
        <f>IF(ISNUMBER(deployment_raw[[#This Row],[Column6]]), (deployment_raw[[#This Row],[Column6]] * IF($E$2="Deployment",deployment_raw[[#This Row],[Column5]],1)),"")</f>
        <v/>
      </c>
      <c r="G931" s="95" t="str">
        <f>IF(ISNUMBER(deployment_raw[[#This Row],[Column7]]), (deployment_raw[[#This Row],[Column7]] * IF($E$2="Deployment",deployment_raw[[#This Row],[Column5]],1))/1048576,"")</f>
        <v/>
      </c>
      <c r="H931" s="95" t="str">
        <f>IF(ISNUMBER(deployment_raw[[#This Row],[Column8]]), (deployment_raw[[#This Row],[Column8]]  * IF($E$2="Deployment",deployment_raw[[#This Row],[Column5]],1)),"")</f>
        <v/>
      </c>
      <c r="I931" s="96" t="str">
        <f>IF(ISNUMBER(deployment_raw[[#This Row],[Column9]]), (deployment_raw[[#This Row],[Column9]] * IF($E$2="Deployment",deployment_raw[[#This Row],[Column5]],1))/1048576,"")</f>
        <v/>
      </c>
      <c r="J931" s="122" t="str">
        <f>IF(ISNUMBER(deployment_raw[[#This Row],[Column10]]), (MIN(IF(N931&lt;&gt;"",N931,9999999999999)*1.1,deployment_raw[[#This Row],[Column10]] * IF($E$2="Deployment",deployment_raw[[#This Row],[Column5]],1))),"")</f>
        <v/>
      </c>
      <c r="K931" s="123" t="str">
        <f>IF(ISNUMBER(deployment_raw[[#This Row],[Column11]]), (MIN(IF(O931&lt;&gt;"",O931,9999999999999)*1.1,deployment_raw[[#This Row],[Column11]] * IF($E$2="Deployment",deployment_raw[[#This Row],[Column5]],1)/1048576)),"")</f>
        <v/>
      </c>
      <c r="L931" s="124" t="str">
        <f>IF(ISNUMBER(deployment_raw[[#This Row],[Column8]]),IF(OR(deployment_raw[[#This Row],[Column5]] &lt;&gt; 0,$E$2 &lt;&gt; "Deployment"), MAX(J931, P931, R931, ($L$2 * IF($E$2="Deployment",deployment_raw[[#This Row],[Column5]],1)),IF(T931&lt;&gt;"",VALUE(T931) * IF($E$2="Deployment",deployment_raw[[#This Row],[Column5]],1),0)), 0),"")</f>
        <v/>
      </c>
      <c r="M931" s="125" t="str">
        <f>IF(ISNUMBER(deployment_raw[[#This Row],[Column9]]),IF(OR(deployment_raw[[#This Row],[Column5]] &lt;&gt; 0,$E$2&lt;&gt;"Deployment"), MAX(K931, Q931, S931, ($M$2 * IF($E$2="Deployment",deployment_raw[[#This Row],[Column5]],1)),IF(U931&lt;&gt;"",VALUE(U931) * IF($E$2="Deployment",deployment_raw[[#This Row],[Column5]],1),0)), 0),"")</f>
        <v/>
      </c>
      <c r="N931" s="166" t="str">
        <f>IF(ISNUMBER(deployment_raw[[#This Row],[Column14]]), deployment_raw[[#This Row],[Column14]]/IF(OR($E$2="Deployment",deployment_raw[[#This Row],[Column5]]=0),1,deployment_raw[[#This Row],[Column5]]),"")</f>
        <v/>
      </c>
      <c r="O931" s="167" t="str">
        <f>IF(ISNUMBER(deployment_raw[[#This Row],[Column15]]), deployment_raw[[#This Row],[Column15]]/IF(OR($E$2="Deployment",deployment_raw[[#This Row],[Column5]]=0),1,deployment_raw[[#This Row],[Column5]])/1048576,"")</f>
        <v/>
      </c>
      <c r="P931" s="168" t="str">
        <f>IF(ISNUMBER(deployment_raw[[#This Row],[Column12]]), (MIN(IF(N931&lt;&gt;"",N931,9999999999999)*1.1,deployment_raw[[#This Row],[Column12]] * IF($E$2="Deployment",deployment_raw[[#This Row],[Column5]],1))*(1+$P$2)),"")</f>
        <v/>
      </c>
      <c r="Q931" s="167" t="str">
        <f>IF(ISNUMBER(deployment_raw[[#This Row],[Column13]]), (MIN(IF(O931&lt;&gt;"",O931,9999999999999)*1.1,deployment_raw[[#This Row],[Column13]] * IF($E$2="Deployment",deployment_raw[[#This Row],[Column5]],1)*(1+$Q$2)/1048576)),"")</f>
        <v/>
      </c>
      <c r="R931" s="169" t="str">
        <f>IF(ISNUMBER(deployment_raw[[#This Row],[Column8]]), (H931  * IF(N931&lt;&gt;0,$R$2,1)),"")</f>
        <v/>
      </c>
      <c r="S931" s="170" t="str">
        <f>IF(ISNUMBER(deployment_raw[[#This Row],[Column8]]), (I931  * IF(O931&lt;&gt;0,$S$2,1)),"")</f>
        <v/>
      </c>
      <c r="T931" s="202" t="str">
        <f>IF(AND(A931&lt;&gt;"",_xlfn.IFNA(MATCH(A931,'dynamic resource application '!$A$2:$A$100, 0),0)&lt;&gt;0), H931/(IF($E$2="Deployment",E931,1)),"")</f>
        <v/>
      </c>
      <c r="U931" s="211" t="str">
        <f>IF(AND(A931&lt;&gt;"",_xlfn.IFNA(MATCH(A931,'dynamic resource application '!$A$2:$A$100, 0),0)&lt;&gt;0), I931/(IF($E$2="Deployment",E931,1)),"")</f>
        <v/>
      </c>
    </row>
    <row r="932" spans="1:21" ht="15" customHeight="1" x14ac:dyDescent="0.25">
      <c r="A932" s="35" t="str">
        <f>IF(ISNONTEXT(deployment_raw[[#This Row],[Column1]]), "", deployment_raw[[#This Row],[Column1]])</f>
        <v/>
      </c>
      <c r="B932" s="36" t="str">
        <f>IF(ISNONTEXT(deployment_raw[[#This Row],[Column2]]), "", deployment_raw[[#This Row],[Column2]])</f>
        <v/>
      </c>
      <c r="C932" s="36" t="str">
        <f>IF(ISNONTEXT(deployment_raw[[#This Row],[Column3]]), "", deployment_raw[[#This Row],[Column3]])</f>
        <v/>
      </c>
      <c r="D932" s="36" t="str">
        <f>IF(ISNONTEXT(deployment_raw[[#This Row],[Column4]]), "", deployment_raw[[#This Row],[Column4]])</f>
        <v/>
      </c>
      <c r="E932" s="37" t="str">
        <f>IF(ISNUMBER(deployment_raw[[#This Row],[Column5]]), deployment_raw[[#This Row],[Column5]],"")</f>
        <v/>
      </c>
      <c r="F932" s="94" t="str">
        <f>IF(ISNUMBER(deployment_raw[[#This Row],[Column6]]), (deployment_raw[[#This Row],[Column6]] * IF($E$2="Deployment",deployment_raw[[#This Row],[Column5]],1)),"")</f>
        <v/>
      </c>
      <c r="G932" s="95" t="str">
        <f>IF(ISNUMBER(deployment_raw[[#This Row],[Column7]]), (deployment_raw[[#This Row],[Column7]] * IF($E$2="Deployment",deployment_raw[[#This Row],[Column5]],1))/1048576,"")</f>
        <v/>
      </c>
      <c r="H932" s="95" t="str">
        <f>IF(ISNUMBER(deployment_raw[[#This Row],[Column8]]), (deployment_raw[[#This Row],[Column8]]  * IF($E$2="Deployment",deployment_raw[[#This Row],[Column5]],1)),"")</f>
        <v/>
      </c>
      <c r="I932" s="96" t="str">
        <f>IF(ISNUMBER(deployment_raw[[#This Row],[Column9]]), (deployment_raw[[#This Row],[Column9]] * IF($E$2="Deployment",deployment_raw[[#This Row],[Column5]],1))/1048576,"")</f>
        <v/>
      </c>
      <c r="J932" s="122" t="str">
        <f>IF(ISNUMBER(deployment_raw[[#This Row],[Column10]]), (MIN(IF(N932&lt;&gt;"",N932,9999999999999)*1.1,deployment_raw[[#This Row],[Column10]] * IF($E$2="Deployment",deployment_raw[[#This Row],[Column5]],1))),"")</f>
        <v/>
      </c>
      <c r="K932" s="123" t="str">
        <f>IF(ISNUMBER(deployment_raw[[#This Row],[Column11]]), (MIN(IF(O932&lt;&gt;"",O932,9999999999999)*1.1,deployment_raw[[#This Row],[Column11]] * IF($E$2="Deployment",deployment_raw[[#This Row],[Column5]],1)/1048576)),"")</f>
        <v/>
      </c>
      <c r="L932" s="124" t="str">
        <f>IF(ISNUMBER(deployment_raw[[#This Row],[Column8]]),IF(OR(deployment_raw[[#This Row],[Column5]] &lt;&gt; 0,$E$2 &lt;&gt; "Deployment"), MAX(J932, P932, R932, ($L$2 * IF($E$2="Deployment",deployment_raw[[#This Row],[Column5]],1)),IF(T932&lt;&gt;"",VALUE(T932) * IF($E$2="Deployment",deployment_raw[[#This Row],[Column5]],1),0)), 0),"")</f>
        <v/>
      </c>
      <c r="M932" s="125" t="str">
        <f>IF(ISNUMBER(deployment_raw[[#This Row],[Column9]]),IF(OR(deployment_raw[[#This Row],[Column5]] &lt;&gt; 0,$E$2&lt;&gt;"Deployment"), MAX(K932, Q932, S932, ($M$2 * IF($E$2="Deployment",deployment_raw[[#This Row],[Column5]],1)),IF(U932&lt;&gt;"",VALUE(U932) * IF($E$2="Deployment",deployment_raw[[#This Row],[Column5]],1),0)), 0),"")</f>
        <v/>
      </c>
      <c r="N932" s="166" t="str">
        <f>IF(ISNUMBER(deployment_raw[[#This Row],[Column14]]), deployment_raw[[#This Row],[Column14]]/IF(OR($E$2="Deployment",deployment_raw[[#This Row],[Column5]]=0),1,deployment_raw[[#This Row],[Column5]]),"")</f>
        <v/>
      </c>
      <c r="O932" s="167" t="str">
        <f>IF(ISNUMBER(deployment_raw[[#This Row],[Column15]]), deployment_raw[[#This Row],[Column15]]/IF(OR($E$2="Deployment",deployment_raw[[#This Row],[Column5]]=0),1,deployment_raw[[#This Row],[Column5]])/1048576,"")</f>
        <v/>
      </c>
      <c r="P932" s="168" t="str">
        <f>IF(ISNUMBER(deployment_raw[[#This Row],[Column12]]), (MIN(IF(N932&lt;&gt;"",N932,9999999999999)*1.1,deployment_raw[[#This Row],[Column12]] * IF($E$2="Deployment",deployment_raw[[#This Row],[Column5]],1))*(1+$P$2)),"")</f>
        <v/>
      </c>
      <c r="Q932" s="167" t="str">
        <f>IF(ISNUMBER(deployment_raw[[#This Row],[Column13]]), (MIN(IF(O932&lt;&gt;"",O932,9999999999999)*1.1,deployment_raw[[#This Row],[Column13]] * IF($E$2="Deployment",deployment_raw[[#This Row],[Column5]],1)*(1+$Q$2)/1048576)),"")</f>
        <v/>
      </c>
      <c r="R932" s="169" t="str">
        <f>IF(ISNUMBER(deployment_raw[[#This Row],[Column8]]), (H932  * IF(N932&lt;&gt;0,$R$2,1)),"")</f>
        <v/>
      </c>
      <c r="S932" s="170" t="str">
        <f>IF(ISNUMBER(deployment_raw[[#This Row],[Column8]]), (I932  * IF(O932&lt;&gt;0,$S$2,1)),"")</f>
        <v/>
      </c>
      <c r="T932" s="202" t="str">
        <f>IF(AND(A932&lt;&gt;"",_xlfn.IFNA(MATCH(A932,'dynamic resource application '!$A$2:$A$100, 0),0)&lt;&gt;0), H932/(IF($E$2="Deployment",E932,1)),"")</f>
        <v/>
      </c>
      <c r="U932" s="211" t="str">
        <f>IF(AND(A932&lt;&gt;"",_xlfn.IFNA(MATCH(A932,'dynamic resource application '!$A$2:$A$100, 0),0)&lt;&gt;0), I932/(IF($E$2="Deployment",E932,1)),"")</f>
        <v/>
      </c>
    </row>
    <row r="933" spans="1:21" ht="15" customHeight="1" x14ac:dyDescent="0.25">
      <c r="A933" s="35" t="str">
        <f>IF(ISNONTEXT(deployment_raw[[#This Row],[Column1]]), "", deployment_raw[[#This Row],[Column1]])</f>
        <v/>
      </c>
      <c r="B933" s="36" t="str">
        <f>IF(ISNONTEXT(deployment_raw[[#This Row],[Column2]]), "", deployment_raw[[#This Row],[Column2]])</f>
        <v/>
      </c>
      <c r="C933" s="36" t="str">
        <f>IF(ISNONTEXT(deployment_raw[[#This Row],[Column3]]), "", deployment_raw[[#This Row],[Column3]])</f>
        <v/>
      </c>
      <c r="D933" s="36" t="str">
        <f>IF(ISNONTEXT(deployment_raw[[#This Row],[Column4]]), "", deployment_raw[[#This Row],[Column4]])</f>
        <v/>
      </c>
      <c r="E933" s="37" t="str">
        <f>IF(ISNUMBER(deployment_raw[[#This Row],[Column5]]), deployment_raw[[#This Row],[Column5]],"")</f>
        <v/>
      </c>
      <c r="F933" s="94" t="str">
        <f>IF(ISNUMBER(deployment_raw[[#This Row],[Column6]]), (deployment_raw[[#This Row],[Column6]] * IF($E$2="Deployment",deployment_raw[[#This Row],[Column5]],1)),"")</f>
        <v/>
      </c>
      <c r="G933" s="95" t="str">
        <f>IF(ISNUMBER(deployment_raw[[#This Row],[Column7]]), (deployment_raw[[#This Row],[Column7]] * IF($E$2="Deployment",deployment_raw[[#This Row],[Column5]],1))/1048576,"")</f>
        <v/>
      </c>
      <c r="H933" s="95" t="str">
        <f>IF(ISNUMBER(deployment_raw[[#This Row],[Column8]]), (deployment_raw[[#This Row],[Column8]]  * IF($E$2="Deployment",deployment_raw[[#This Row],[Column5]],1)),"")</f>
        <v/>
      </c>
      <c r="I933" s="96" t="str">
        <f>IF(ISNUMBER(deployment_raw[[#This Row],[Column9]]), (deployment_raw[[#This Row],[Column9]] * IF($E$2="Deployment",deployment_raw[[#This Row],[Column5]],1))/1048576,"")</f>
        <v/>
      </c>
      <c r="J933" s="122" t="str">
        <f>IF(ISNUMBER(deployment_raw[[#This Row],[Column10]]), (MIN(IF(N933&lt;&gt;"",N933,9999999999999)*1.1,deployment_raw[[#This Row],[Column10]] * IF($E$2="Deployment",deployment_raw[[#This Row],[Column5]],1))),"")</f>
        <v/>
      </c>
      <c r="K933" s="123" t="str">
        <f>IF(ISNUMBER(deployment_raw[[#This Row],[Column11]]), (MIN(IF(O933&lt;&gt;"",O933,9999999999999)*1.1,deployment_raw[[#This Row],[Column11]] * IF($E$2="Deployment",deployment_raw[[#This Row],[Column5]],1)/1048576)),"")</f>
        <v/>
      </c>
      <c r="L933" s="124" t="str">
        <f>IF(ISNUMBER(deployment_raw[[#This Row],[Column8]]),IF(OR(deployment_raw[[#This Row],[Column5]] &lt;&gt; 0,$E$2 &lt;&gt; "Deployment"), MAX(J933, P933, R933, ($L$2 * IF($E$2="Deployment",deployment_raw[[#This Row],[Column5]],1)),IF(T933&lt;&gt;"",VALUE(T933) * IF($E$2="Deployment",deployment_raw[[#This Row],[Column5]],1),0)), 0),"")</f>
        <v/>
      </c>
      <c r="M933" s="125" t="str">
        <f>IF(ISNUMBER(deployment_raw[[#This Row],[Column9]]),IF(OR(deployment_raw[[#This Row],[Column5]] &lt;&gt; 0,$E$2&lt;&gt;"Deployment"), MAX(K933, Q933, S933, ($M$2 * IF($E$2="Deployment",deployment_raw[[#This Row],[Column5]],1)),IF(U933&lt;&gt;"",VALUE(U933) * IF($E$2="Deployment",deployment_raw[[#This Row],[Column5]],1),0)), 0),"")</f>
        <v/>
      </c>
      <c r="N933" s="166" t="str">
        <f>IF(ISNUMBER(deployment_raw[[#This Row],[Column14]]), deployment_raw[[#This Row],[Column14]]/IF(OR($E$2="Deployment",deployment_raw[[#This Row],[Column5]]=0),1,deployment_raw[[#This Row],[Column5]]),"")</f>
        <v/>
      </c>
      <c r="O933" s="167" t="str">
        <f>IF(ISNUMBER(deployment_raw[[#This Row],[Column15]]), deployment_raw[[#This Row],[Column15]]/IF(OR($E$2="Deployment",deployment_raw[[#This Row],[Column5]]=0),1,deployment_raw[[#This Row],[Column5]])/1048576,"")</f>
        <v/>
      </c>
      <c r="P933" s="168" t="str">
        <f>IF(ISNUMBER(deployment_raw[[#This Row],[Column12]]), (MIN(IF(N933&lt;&gt;"",N933,9999999999999)*1.1,deployment_raw[[#This Row],[Column12]] * IF($E$2="Deployment",deployment_raw[[#This Row],[Column5]],1))*(1+$P$2)),"")</f>
        <v/>
      </c>
      <c r="Q933" s="167" t="str">
        <f>IF(ISNUMBER(deployment_raw[[#This Row],[Column13]]), (MIN(IF(O933&lt;&gt;"",O933,9999999999999)*1.1,deployment_raw[[#This Row],[Column13]] * IF($E$2="Deployment",deployment_raw[[#This Row],[Column5]],1)*(1+$Q$2)/1048576)),"")</f>
        <v/>
      </c>
      <c r="R933" s="169" t="str">
        <f>IF(ISNUMBER(deployment_raw[[#This Row],[Column8]]), (H933  * IF(N933&lt;&gt;0,$R$2,1)),"")</f>
        <v/>
      </c>
      <c r="S933" s="170" t="str">
        <f>IF(ISNUMBER(deployment_raw[[#This Row],[Column8]]), (I933  * IF(O933&lt;&gt;0,$S$2,1)),"")</f>
        <v/>
      </c>
      <c r="T933" s="202" t="str">
        <f>IF(AND(A933&lt;&gt;"",_xlfn.IFNA(MATCH(A933,'dynamic resource application '!$A$2:$A$100, 0),0)&lt;&gt;0), H933/(IF($E$2="Deployment",E933,1)),"")</f>
        <v/>
      </c>
      <c r="U933" s="211" t="str">
        <f>IF(AND(A933&lt;&gt;"",_xlfn.IFNA(MATCH(A933,'dynamic resource application '!$A$2:$A$100, 0),0)&lt;&gt;0), I933/(IF($E$2="Deployment",E933,1)),"")</f>
        <v/>
      </c>
    </row>
    <row r="934" spans="1:21" ht="15" customHeight="1" x14ac:dyDescent="0.25">
      <c r="A934" s="35" t="str">
        <f>IF(ISNONTEXT(deployment_raw[[#This Row],[Column1]]), "", deployment_raw[[#This Row],[Column1]])</f>
        <v/>
      </c>
      <c r="B934" s="36" t="str">
        <f>IF(ISNONTEXT(deployment_raw[[#This Row],[Column2]]), "", deployment_raw[[#This Row],[Column2]])</f>
        <v/>
      </c>
      <c r="C934" s="36" t="str">
        <f>IF(ISNONTEXT(deployment_raw[[#This Row],[Column3]]), "", deployment_raw[[#This Row],[Column3]])</f>
        <v/>
      </c>
      <c r="D934" s="36" t="str">
        <f>IF(ISNONTEXT(deployment_raw[[#This Row],[Column4]]), "", deployment_raw[[#This Row],[Column4]])</f>
        <v/>
      </c>
      <c r="E934" s="37" t="str">
        <f>IF(ISNUMBER(deployment_raw[[#This Row],[Column5]]), deployment_raw[[#This Row],[Column5]],"")</f>
        <v/>
      </c>
      <c r="F934" s="94" t="str">
        <f>IF(ISNUMBER(deployment_raw[[#This Row],[Column6]]), (deployment_raw[[#This Row],[Column6]] * IF($E$2="Deployment",deployment_raw[[#This Row],[Column5]],1)),"")</f>
        <v/>
      </c>
      <c r="G934" s="95" t="str">
        <f>IF(ISNUMBER(deployment_raw[[#This Row],[Column7]]), (deployment_raw[[#This Row],[Column7]] * IF($E$2="Deployment",deployment_raw[[#This Row],[Column5]],1))/1048576,"")</f>
        <v/>
      </c>
      <c r="H934" s="95" t="str">
        <f>IF(ISNUMBER(deployment_raw[[#This Row],[Column8]]), (deployment_raw[[#This Row],[Column8]]  * IF($E$2="Deployment",deployment_raw[[#This Row],[Column5]],1)),"")</f>
        <v/>
      </c>
      <c r="I934" s="96" t="str">
        <f>IF(ISNUMBER(deployment_raw[[#This Row],[Column9]]), (deployment_raw[[#This Row],[Column9]] * IF($E$2="Deployment",deployment_raw[[#This Row],[Column5]],1))/1048576,"")</f>
        <v/>
      </c>
      <c r="J934" s="122" t="str">
        <f>IF(ISNUMBER(deployment_raw[[#This Row],[Column10]]), (MIN(IF(N934&lt;&gt;"",N934,9999999999999)*1.1,deployment_raw[[#This Row],[Column10]] * IF($E$2="Deployment",deployment_raw[[#This Row],[Column5]],1))),"")</f>
        <v/>
      </c>
      <c r="K934" s="123" t="str">
        <f>IF(ISNUMBER(deployment_raw[[#This Row],[Column11]]), (MIN(IF(O934&lt;&gt;"",O934,9999999999999)*1.1,deployment_raw[[#This Row],[Column11]] * IF($E$2="Deployment",deployment_raw[[#This Row],[Column5]],1)/1048576)),"")</f>
        <v/>
      </c>
      <c r="L934" s="124" t="str">
        <f>IF(ISNUMBER(deployment_raw[[#This Row],[Column8]]),IF(OR(deployment_raw[[#This Row],[Column5]] &lt;&gt; 0,$E$2 &lt;&gt; "Deployment"), MAX(J934, P934, R934, ($L$2 * IF($E$2="Deployment",deployment_raw[[#This Row],[Column5]],1)),IF(T934&lt;&gt;"",VALUE(T934) * IF($E$2="Deployment",deployment_raw[[#This Row],[Column5]],1),0)), 0),"")</f>
        <v/>
      </c>
      <c r="M934" s="125" t="str">
        <f>IF(ISNUMBER(deployment_raw[[#This Row],[Column9]]),IF(OR(deployment_raw[[#This Row],[Column5]] &lt;&gt; 0,$E$2&lt;&gt;"Deployment"), MAX(K934, Q934, S934, ($M$2 * IF($E$2="Deployment",deployment_raw[[#This Row],[Column5]],1)),IF(U934&lt;&gt;"",VALUE(U934) * IF($E$2="Deployment",deployment_raw[[#This Row],[Column5]],1),0)), 0),"")</f>
        <v/>
      </c>
      <c r="N934" s="166" t="str">
        <f>IF(ISNUMBER(deployment_raw[[#This Row],[Column14]]), deployment_raw[[#This Row],[Column14]]/IF(OR($E$2="Deployment",deployment_raw[[#This Row],[Column5]]=0),1,deployment_raw[[#This Row],[Column5]]),"")</f>
        <v/>
      </c>
      <c r="O934" s="167" t="str">
        <f>IF(ISNUMBER(deployment_raw[[#This Row],[Column15]]), deployment_raw[[#This Row],[Column15]]/IF(OR($E$2="Deployment",deployment_raw[[#This Row],[Column5]]=0),1,deployment_raw[[#This Row],[Column5]])/1048576,"")</f>
        <v/>
      </c>
      <c r="P934" s="168" t="str">
        <f>IF(ISNUMBER(deployment_raw[[#This Row],[Column12]]), (MIN(IF(N934&lt;&gt;"",N934,9999999999999)*1.1,deployment_raw[[#This Row],[Column12]] * IF($E$2="Deployment",deployment_raw[[#This Row],[Column5]],1))*(1+$P$2)),"")</f>
        <v/>
      </c>
      <c r="Q934" s="167" t="str">
        <f>IF(ISNUMBER(deployment_raw[[#This Row],[Column13]]), (MIN(IF(O934&lt;&gt;"",O934,9999999999999)*1.1,deployment_raw[[#This Row],[Column13]] * IF($E$2="Deployment",deployment_raw[[#This Row],[Column5]],1)*(1+$Q$2)/1048576)),"")</f>
        <v/>
      </c>
      <c r="R934" s="169" t="str">
        <f>IF(ISNUMBER(deployment_raw[[#This Row],[Column8]]), (H934  * IF(N934&lt;&gt;0,$R$2,1)),"")</f>
        <v/>
      </c>
      <c r="S934" s="170" t="str">
        <f>IF(ISNUMBER(deployment_raw[[#This Row],[Column8]]), (I934  * IF(O934&lt;&gt;0,$S$2,1)),"")</f>
        <v/>
      </c>
      <c r="T934" s="202" t="str">
        <f>IF(AND(A934&lt;&gt;"",_xlfn.IFNA(MATCH(A934,'dynamic resource application '!$A$2:$A$100, 0),0)&lt;&gt;0), H934/(IF($E$2="Deployment",E934,1)),"")</f>
        <v/>
      </c>
      <c r="U934" s="211" t="str">
        <f>IF(AND(A934&lt;&gt;"",_xlfn.IFNA(MATCH(A934,'dynamic resource application '!$A$2:$A$100, 0),0)&lt;&gt;0), I934/(IF($E$2="Deployment",E934,1)),"")</f>
        <v/>
      </c>
    </row>
    <row r="935" spans="1:21" ht="15" customHeight="1" x14ac:dyDescent="0.25">
      <c r="A935" s="35" t="str">
        <f>IF(ISNONTEXT(deployment_raw[[#This Row],[Column1]]), "", deployment_raw[[#This Row],[Column1]])</f>
        <v/>
      </c>
      <c r="B935" s="36" t="str">
        <f>IF(ISNONTEXT(deployment_raw[[#This Row],[Column2]]), "", deployment_raw[[#This Row],[Column2]])</f>
        <v/>
      </c>
      <c r="C935" s="36" t="str">
        <f>IF(ISNONTEXT(deployment_raw[[#This Row],[Column3]]), "", deployment_raw[[#This Row],[Column3]])</f>
        <v/>
      </c>
      <c r="D935" s="36" t="str">
        <f>IF(ISNONTEXT(deployment_raw[[#This Row],[Column4]]), "", deployment_raw[[#This Row],[Column4]])</f>
        <v/>
      </c>
      <c r="E935" s="37" t="str">
        <f>IF(ISNUMBER(deployment_raw[[#This Row],[Column5]]), deployment_raw[[#This Row],[Column5]],"")</f>
        <v/>
      </c>
      <c r="F935" s="94" t="str">
        <f>IF(ISNUMBER(deployment_raw[[#This Row],[Column6]]), (deployment_raw[[#This Row],[Column6]] * IF($E$2="Deployment",deployment_raw[[#This Row],[Column5]],1)),"")</f>
        <v/>
      </c>
      <c r="G935" s="95" t="str">
        <f>IF(ISNUMBER(deployment_raw[[#This Row],[Column7]]), (deployment_raw[[#This Row],[Column7]] * IF($E$2="Deployment",deployment_raw[[#This Row],[Column5]],1))/1048576,"")</f>
        <v/>
      </c>
      <c r="H935" s="95" t="str">
        <f>IF(ISNUMBER(deployment_raw[[#This Row],[Column8]]), (deployment_raw[[#This Row],[Column8]]  * IF($E$2="Deployment",deployment_raw[[#This Row],[Column5]],1)),"")</f>
        <v/>
      </c>
      <c r="I935" s="96" t="str">
        <f>IF(ISNUMBER(deployment_raw[[#This Row],[Column9]]), (deployment_raw[[#This Row],[Column9]] * IF($E$2="Deployment",deployment_raw[[#This Row],[Column5]],1))/1048576,"")</f>
        <v/>
      </c>
      <c r="J935" s="122" t="str">
        <f>IF(ISNUMBER(deployment_raw[[#This Row],[Column10]]), (MIN(IF(N935&lt;&gt;"",N935,9999999999999)*1.1,deployment_raw[[#This Row],[Column10]] * IF($E$2="Deployment",deployment_raw[[#This Row],[Column5]],1))),"")</f>
        <v/>
      </c>
      <c r="K935" s="123" t="str">
        <f>IF(ISNUMBER(deployment_raw[[#This Row],[Column11]]), (MIN(IF(O935&lt;&gt;"",O935,9999999999999)*1.1,deployment_raw[[#This Row],[Column11]] * IF($E$2="Deployment",deployment_raw[[#This Row],[Column5]],1)/1048576)),"")</f>
        <v/>
      </c>
      <c r="L935" s="124" t="str">
        <f>IF(ISNUMBER(deployment_raw[[#This Row],[Column8]]),IF(OR(deployment_raw[[#This Row],[Column5]] &lt;&gt; 0,$E$2 &lt;&gt; "Deployment"), MAX(J935, P935, R935, ($L$2 * IF($E$2="Deployment",deployment_raw[[#This Row],[Column5]],1)),IF(T935&lt;&gt;"",VALUE(T935) * IF($E$2="Deployment",deployment_raw[[#This Row],[Column5]],1),0)), 0),"")</f>
        <v/>
      </c>
      <c r="M935" s="125" t="str">
        <f>IF(ISNUMBER(deployment_raw[[#This Row],[Column9]]),IF(OR(deployment_raw[[#This Row],[Column5]] &lt;&gt; 0,$E$2&lt;&gt;"Deployment"), MAX(K935, Q935, S935, ($M$2 * IF($E$2="Deployment",deployment_raw[[#This Row],[Column5]],1)),IF(U935&lt;&gt;"",VALUE(U935) * IF($E$2="Deployment",deployment_raw[[#This Row],[Column5]],1),0)), 0),"")</f>
        <v/>
      </c>
      <c r="N935" s="166" t="str">
        <f>IF(ISNUMBER(deployment_raw[[#This Row],[Column14]]), deployment_raw[[#This Row],[Column14]]/IF(OR($E$2="Deployment",deployment_raw[[#This Row],[Column5]]=0),1,deployment_raw[[#This Row],[Column5]]),"")</f>
        <v/>
      </c>
      <c r="O935" s="167" t="str">
        <f>IF(ISNUMBER(deployment_raw[[#This Row],[Column15]]), deployment_raw[[#This Row],[Column15]]/IF(OR($E$2="Deployment",deployment_raw[[#This Row],[Column5]]=0),1,deployment_raw[[#This Row],[Column5]])/1048576,"")</f>
        <v/>
      </c>
      <c r="P935" s="168" t="str">
        <f>IF(ISNUMBER(deployment_raw[[#This Row],[Column12]]), (MIN(IF(N935&lt;&gt;"",N935,9999999999999)*1.1,deployment_raw[[#This Row],[Column12]] * IF($E$2="Deployment",deployment_raw[[#This Row],[Column5]],1))*(1+$P$2)),"")</f>
        <v/>
      </c>
      <c r="Q935" s="167" t="str">
        <f>IF(ISNUMBER(deployment_raw[[#This Row],[Column13]]), (MIN(IF(O935&lt;&gt;"",O935,9999999999999)*1.1,deployment_raw[[#This Row],[Column13]] * IF($E$2="Deployment",deployment_raw[[#This Row],[Column5]],1)*(1+$Q$2)/1048576)),"")</f>
        <v/>
      </c>
      <c r="R935" s="169" t="str">
        <f>IF(ISNUMBER(deployment_raw[[#This Row],[Column8]]), (H935  * IF(N935&lt;&gt;0,$R$2,1)),"")</f>
        <v/>
      </c>
      <c r="S935" s="170" t="str">
        <f>IF(ISNUMBER(deployment_raw[[#This Row],[Column8]]), (I935  * IF(O935&lt;&gt;0,$S$2,1)),"")</f>
        <v/>
      </c>
      <c r="T935" s="202" t="str">
        <f>IF(AND(A935&lt;&gt;"",_xlfn.IFNA(MATCH(A935,'dynamic resource application '!$A$2:$A$100, 0),0)&lt;&gt;0), H935/(IF($E$2="Deployment",E935,1)),"")</f>
        <v/>
      </c>
      <c r="U935" s="211" t="str">
        <f>IF(AND(A935&lt;&gt;"",_xlfn.IFNA(MATCH(A935,'dynamic resource application '!$A$2:$A$100, 0),0)&lt;&gt;0), I935/(IF($E$2="Deployment",E935,1)),"")</f>
        <v/>
      </c>
    </row>
    <row r="936" spans="1:21" ht="15" customHeight="1" x14ac:dyDescent="0.25">
      <c r="A936" s="35" t="str">
        <f>IF(ISNONTEXT(deployment_raw[[#This Row],[Column1]]), "", deployment_raw[[#This Row],[Column1]])</f>
        <v/>
      </c>
      <c r="B936" s="36" t="str">
        <f>IF(ISNONTEXT(deployment_raw[[#This Row],[Column2]]), "", deployment_raw[[#This Row],[Column2]])</f>
        <v/>
      </c>
      <c r="C936" s="36" t="str">
        <f>IF(ISNONTEXT(deployment_raw[[#This Row],[Column3]]), "", deployment_raw[[#This Row],[Column3]])</f>
        <v/>
      </c>
      <c r="D936" s="36" t="str">
        <f>IF(ISNONTEXT(deployment_raw[[#This Row],[Column4]]), "", deployment_raw[[#This Row],[Column4]])</f>
        <v/>
      </c>
      <c r="E936" s="37" t="str">
        <f>IF(ISNUMBER(deployment_raw[[#This Row],[Column5]]), deployment_raw[[#This Row],[Column5]],"")</f>
        <v/>
      </c>
      <c r="F936" s="94" t="str">
        <f>IF(ISNUMBER(deployment_raw[[#This Row],[Column6]]), (deployment_raw[[#This Row],[Column6]] * IF($E$2="Deployment",deployment_raw[[#This Row],[Column5]],1)),"")</f>
        <v/>
      </c>
      <c r="G936" s="95" t="str">
        <f>IF(ISNUMBER(deployment_raw[[#This Row],[Column7]]), (deployment_raw[[#This Row],[Column7]] * IF($E$2="Deployment",deployment_raw[[#This Row],[Column5]],1))/1048576,"")</f>
        <v/>
      </c>
      <c r="H936" s="95" t="str">
        <f>IF(ISNUMBER(deployment_raw[[#This Row],[Column8]]), (deployment_raw[[#This Row],[Column8]]  * IF($E$2="Deployment",deployment_raw[[#This Row],[Column5]],1)),"")</f>
        <v/>
      </c>
      <c r="I936" s="96" t="str">
        <f>IF(ISNUMBER(deployment_raw[[#This Row],[Column9]]), (deployment_raw[[#This Row],[Column9]] * IF($E$2="Deployment",deployment_raw[[#This Row],[Column5]],1))/1048576,"")</f>
        <v/>
      </c>
      <c r="J936" s="122" t="str">
        <f>IF(ISNUMBER(deployment_raw[[#This Row],[Column10]]), (MIN(IF(N936&lt;&gt;"",N936,9999999999999)*1.1,deployment_raw[[#This Row],[Column10]] * IF($E$2="Deployment",deployment_raw[[#This Row],[Column5]],1))),"")</f>
        <v/>
      </c>
      <c r="K936" s="123" t="str">
        <f>IF(ISNUMBER(deployment_raw[[#This Row],[Column11]]), (MIN(IF(O936&lt;&gt;"",O936,9999999999999)*1.1,deployment_raw[[#This Row],[Column11]] * IF($E$2="Deployment",deployment_raw[[#This Row],[Column5]],1)/1048576)),"")</f>
        <v/>
      </c>
      <c r="L936" s="124" t="str">
        <f>IF(ISNUMBER(deployment_raw[[#This Row],[Column8]]),IF(OR(deployment_raw[[#This Row],[Column5]] &lt;&gt; 0,$E$2 &lt;&gt; "Deployment"), MAX(J936, P936, R936, ($L$2 * IF($E$2="Deployment",deployment_raw[[#This Row],[Column5]],1)),IF(T936&lt;&gt;"",VALUE(T936) * IF($E$2="Deployment",deployment_raw[[#This Row],[Column5]],1),0)), 0),"")</f>
        <v/>
      </c>
      <c r="M936" s="125" t="str">
        <f>IF(ISNUMBER(deployment_raw[[#This Row],[Column9]]),IF(OR(deployment_raw[[#This Row],[Column5]] &lt;&gt; 0,$E$2&lt;&gt;"Deployment"), MAX(K936, Q936, S936, ($M$2 * IF($E$2="Deployment",deployment_raw[[#This Row],[Column5]],1)),IF(U936&lt;&gt;"",VALUE(U936) * IF($E$2="Deployment",deployment_raw[[#This Row],[Column5]],1),0)), 0),"")</f>
        <v/>
      </c>
      <c r="N936" s="166" t="str">
        <f>IF(ISNUMBER(deployment_raw[[#This Row],[Column14]]), deployment_raw[[#This Row],[Column14]]/IF(OR($E$2="Deployment",deployment_raw[[#This Row],[Column5]]=0),1,deployment_raw[[#This Row],[Column5]]),"")</f>
        <v/>
      </c>
      <c r="O936" s="167" t="str">
        <f>IF(ISNUMBER(deployment_raw[[#This Row],[Column15]]), deployment_raw[[#This Row],[Column15]]/IF(OR($E$2="Deployment",deployment_raw[[#This Row],[Column5]]=0),1,deployment_raw[[#This Row],[Column5]])/1048576,"")</f>
        <v/>
      </c>
      <c r="P936" s="168" t="str">
        <f>IF(ISNUMBER(deployment_raw[[#This Row],[Column12]]), (MIN(IF(N936&lt;&gt;"",N936,9999999999999)*1.1,deployment_raw[[#This Row],[Column12]] * IF($E$2="Deployment",deployment_raw[[#This Row],[Column5]],1))*(1+$P$2)),"")</f>
        <v/>
      </c>
      <c r="Q936" s="167" t="str">
        <f>IF(ISNUMBER(deployment_raw[[#This Row],[Column13]]), (MIN(IF(O936&lt;&gt;"",O936,9999999999999)*1.1,deployment_raw[[#This Row],[Column13]] * IF($E$2="Deployment",deployment_raw[[#This Row],[Column5]],1)*(1+$Q$2)/1048576)),"")</f>
        <v/>
      </c>
      <c r="R936" s="169" t="str">
        <f>IF(ISNUMBER(deployment_raw[[#This Row],[Column8]]), (H936  * IF(N936&lt;&gt;0,$R$2,1)),"")</f>
        <v/>
      </c>
      <c r="S936" s="170" t="str">
        <f>IF(ISNUMBER(deployment_raw[[#This Row],[Column8]]), (I936  * IF(O936&lt;&gt;0,$S$2,1)),"")</f>
        <v/>
      </c>
      <c r="T936" s="202" t="str">
        <f>IF(AND(A936&lt;&gt;"",_xlfn.IFNA(MATCH(A936,'dynamic resource application '!$A$2:$A$100, 0),0)&lt;&gt;0), H936/(IF($E$2="Deployment",E936,1)),"")</f>
        <v/>
      </c>
      <c r="U936" s="211" t="str">
        <f>IF(AND(A936&lt;&gt;"",_xlfn.IFNA(MATCH(A936,'dynamic resource application '!$A$2:$A$100, 0),0)&lt;&gt;0), I936/(IF($E$2="Deployment",E936,1)),"")</f>
        <v/>
      </c>
    </row>
    <row r="937" spans="1:21" ht="15" customHeight="1" x14ac:dyDescent="0.25">
      <c r="A937" s="35" t="str">
        <f>IF(ISNONTEXT(deployment_raw[[#This Row],[Column1]]), "", deployment_raw[[#This Row],[Column1]])</f>
        <v/>
      </c>
      <c r="B937" s="36" t="str">
        <f>IF(ISNONTEXT(deployment_raw[[#This Row],[Column2]]), "", deployment_raw[[#This Row],[Column2]])</f>
        <v/>
      </c>
      <c r="C937" s="36" t="str">
        <f>IF(ISNONTEXT(deployment_raw[[#This Row],[Column3]]), "", deployment_raw[[#This Row],[Column3]])</f>
        <v/>
      </c>
      <c r="D937" s="36" t="str">
        <f>IF(ISNONTEXT(deployment_raw[[#This Row],[Column4]]), "", deployment_raw[[#This Row],[Column4]])</f>
        <v/>
      </c>
      <c r="E937" s="37" t="str">
        <f>IF(ISNUMBER(deployment_raw[[#This Row],[Column5]]), deployment_raw[[#This Row],[Column5]],"")</f>
        <v/>
      </c>
      <c r="F937" s="94" t="str">
        <f>IF(ISNUMBER(deployment_raw[[#This Row],[Column6]]), (deployment_raw[[#This Row],[Column6]] * IF($E$2="Deployment",deployment_raw[[#This Row],[Column5]],1)),"")</f>
        <v/>
      </c>
      <c r="G937" s="95" t="str">
        <f>IF(ISNUMBER(deployment_raw[[#This Row],[Column7]]), (deployment_raw[[#This Row],[Column7]] * IF($E$2="Deployment",deployment_raw[[#This Row],[Column5]],1))/1048576,"")</f>
        <v/>
      </c>
      <c r="H937" s="95" t="str">
        <f>IF(ISNUMBER(deployment_raw[[#This Row],[Column8]]), (deployment_raw[[#This Row],[Column8]]  * IF($E$2="Deployment",deployment_raw[[#This Row],[Column5]],1)),"")</f>
        <v/>
      </c>
      <c r="I937" s="96" t="str">
        <f>IF(ISNUMBER(deployment_raw[[#This Row],[Column9]]), (deployment_raw[[#This Row],[Column9]] * IF($E$2="Deployment",deployment_raw[[#This Row],[Column5]],1))/1048576,"")</f>
        <v/>
      </c>
      <c r="J937" s="122" t="str">
        <f>IF(ISNUMBER(deployment_raw[[#This Row],[Column10]]), (MIN(IF(N937&lt;&gt;"",N937,9999999999999)*1.1,deployment_raw[[#This Row],[Column10]] * IF($E$2="Deployment",deployment_raw[[#This Row],[Column5]],1))),"")</f>
        <v/>
      </c>
      <c r="K937" s="123" t="str">
        <f>IF(ISNUMBER(deployment_raw[[#This Row],[Column11]]), (MIN(IF(O937&lt;&gt;"",O937,9999999999999)*1.1,deployment_raw[[#This Row],[Column11]] * IF($E$2="Deployment",deployment_raw[[#This Row],[Column5]],1)/1048576)),"")</f>
        <v/>
      </c>
      <c r="L937" s="124" t="str">
        <f>IF(ISNUMBER(deployment_raw[[#This Row],[Column8]]),IF(OR(deployment_raw[[#This Row],[Column5]] &lt;&gt; 0,$E$2 &lt;&gt; "Deployment"), MAX(J937, P937, R937, ($L$2 * IF($E$2="Deployment",deployment_raw[[#This Row],[Column5]],1)),IF(T937&lt;&gt;"",VALUE(T937) * IF($E$2="Deployment",deployment_raw[[#This Row],[Column5]],1),0)), 0),"")</f>
        <v/>
      </c>
      <c r="M937" s="125" t="str">
        <f>IF(ISNUMBER(deployment_raw[[#This Row],[Column9]]),IF(OR(deployment_raw[[#This Row],[Column5]] &lt;&gt; 0,$E$2&lt;&gt;"Deployment"), MAX(K937, Q937, S937, ($M$2 * IF($E$2="Deployment",deployment_raw[[#This Row],[Column5]],1)),IF(U937&lt;&gt;"",VALUE(U937) * IF($E$2="Deployment",deployment_raw[[#This Row],[Column5]],1),0)), 0),"")</f>
        <v/>
      </c>
      <c r="N937" s="166" t="str">
        <f>IF(ISNUMBER(deployment_raw[[#This Row],[Column14]]), deployment_raw[[#This Row],[Column14]]/IF(OR($E$2="Deployment",deployment_raw[[#This Row],[Column5]]=0),1,deployment_raw[[#This Row],[Column5]]),"")</f>
        <v/>
      </c>
      <c r="O937" s="167" t="str">
        <f>IF(ISNUMBER(deployment_raw[[#This Row],[Column15]]), deployment_raw[[#This Row],[Column15]]/IF(OR($E$2="Deployment",deployment_raw[[#This Row],[Column5]]=0),1,deployment_raw[[#This Row],[Column5]])/1048576,"")</f>
        <v/>
      </c>
      <c r="P937" s="168" t="str">
        <f>IF(ISNUMBER(deployment_raw[[#This Row],[Column12]]), (MIN(IF(N937&lt;&gt;"",N937,9999999999999)*1.1,deployment_raw[[#This Row],[Column12]] * IF($E$2="Deployment",deployment_raw[[#This Row],[Column5]],1))*(1+$P$2)),"")</f>
        <v/>
      </c>
      <c r="Q937" s="167" t="str">
        <f>IF(ISNUMBER(deployment_raw[[#This Row],[Column13]]), (MIN(IF(O937&lt;&gt;"",O937,9999999999999)*1.1,deployment_raw[[#This Row],[Column13]] * IF($E$2="Deployment",deployment_raw[[#This Row],[Column5]],1)*(1+$Q$2)/1048576)),"")</f>
        <v/>
      </c>
      <c r="R937" s="169" t="str">
        <f>IF(ISNUMBER(deployment_raw[[#This Row],[Column8]]), (H937  * IF(N937&lt;&gt;0,$R$2,1)),"")</f>
        <v/>
      </c>
      <c r="S937" s="170" t="str">
        <f>IF(ISNUMBER(deployment_raw[[#This Row],[Column8]]), (I937  * IF(O937&lt;&gt;0,$S$2,1)),"")</f>
        <v/>
      </c>
      <c r="T937" s="202" t="str">
        <f>IF(AND(A937&lt;&gt;"",_xlfn.IFNA(MATCH(A937,'dynamic resource application '!$A$2:$A$100, 0),0)&lt;&gt;0), H937/(IF($E$2="Deployment",E937,1)),"")</f>
        <v/>
      </c>
      <c r="U937" s="211" t="str">
        <f>IF(AND(A937&lt;&gt;"",_xlfn.IFNA(MATCH(A937,'dynamic resource application '!$A$2:$A$100, 0),0)&lt;&gt;0), I937/(IF($E$2="Deployment",E937,1)),"")</f>
        <v/>
      </c>
    </row>
    <row r="938" spans="1:21" ht="15" customHeight="1" x14ac:dyDescent="0.25">
      <c r="A938" s="35" t="str">
        <f>IF(ISNONTEXT(deployment_raw[[#This Row],[Column1]]), "", deployment_raw[[#This Row],[Column1]])</f>
        <v/>
      </c>
      <c r="B938" s="36" t="str">
        <f>IF(ISNONTEXT(deployment_raw[[#This Row],[Column2]]), "", deployment_raw[[#This Row],[Column2]])</f>
        <v/>
      </c>
      <c r="C938" s="36" t="str">
        <f>IF(ISNONTEXT(deployment_raw[[#This Row],[Column3]]), "", deployment_raw[[#This Row],[Column3]])</f>
        <v/>
      </c>
      <c r="D938" s="36" t="str">
        <f>IF(ISNONTEXT(deployment_raw[[#This Row],[Column4]]), "", deployment_raw[[#This Row],[Column4]])</f>
        <v/>
      </c>
      <c r="E938" s="37" t="str">
        <f>IF(ISNUMBER(deployment_raw[[#This Row],[Column5]]), deployment_raw[[#This Row],[Column5]],"")</f>
        <v/>
      </c>
      <c r="F938" s="94" t="str">
        <f>IF(ISNUMBER(deployment_raw[[#This Row],[Column6]]), (deployment_raw[[#This Row],[Column6]] * IF($E$2="Deployment",deployment_raw[[#This Row],[Column5]],1)),"")</f>
        <v/>
      </c>
      <c r="G938" s="95" t="str">
        <f>IF(ISNUMBER(deployment_raw[[#This Row],[Column7]]), (deployment_raw[[#This Row],[Column7]] * IF($E$2="Deployment",deployment_raw[[#This Row],[Column5]],1))/1048576,"")</f>
        <v/>
      </c>
      <c r="H938" s="95" t="str">
        <f>IF(ISNUMBER(deployment_raw[[#This Row],[Column8]]), (deployment_raw[[#This Row],[Column8]]  * IF($E$2="Deployment",deployment_raw[[#This Row],[Column5]],1)),"")</f>
        <v/>
      </c>
      <c r="I938" s="96" t="str">
        <f>IF(ISNUMBER(deployment_raw[[#This Row],[Column9]]), (deployment_raw[[#This Row],[Column9]] * IF($E$2="Deployment",deployment_raw[[#This Row],[Column5]],1))/1048576,"")</f>
        <v/>
      </c>
      <c r="J938" s="122" t="str">
        <f>IF(ISNUMBER(deployment_raw[[#This Row],[Column10]]), (MIN(IF(N938&lt;&gt;"",N938,9999999999999)*1.1,deployment_raw[[#This Row],[Column10]] * IF($E$2="Deployment",deployment_raw[[#This Row],[Column5]],1))),"")</f>
        <v/>
      </c>
      <c r="K938" s="123" t="str">
        <f>IF(ISNUMBER(deployment_raw[[#This Row],[Column11]]), (MIN(IF(O938&lt;&gt;"",O938,9999999999999)*1.1,deployment_raw[[#This Row],[Column11]] * IF($E$2="Deployment",deployment_raw[[#This Row],[Column5]],1)/1048576)),"")</f>
        <v/>
      </c>
      <c r="L938" s="124" t="str">
        <f>IF(ISNUMBER(deployment_raw[[#This Row],[Column8]]),IF(OR(deployment_raw[[#This Row],[Column5]] &lt;&gt; 0,$E$2 &lt;&gt; "Deployment"), MAX(J938, P938, R938, ($L$2 * IF($E$2="Deployment",deployment_raw[[#This Row],[Column5]],1)),IF(T938&lt;&gt;"",VALUE(T938) * IF($E$2="Deployment",deployment_raw[[#This Row],[Column5]],1),0)), 0),"")</f>
        <v/>
      </c>
      <c r="M938" s="125" t="str">
        <f>IF(ISNUMBER(deployment_raw[[#This Row],[Column9]]),IF(OR(deployment_raw[[#This Row],[Column5]] &lt;&gt; 0,$E$2&lt;&gt;"Deployment"), MAX(K938, Q938, S938, ($M$2 * IF($E$2="Deployment",deployment_raw[[#This Row],[Column5]],1)),IF(U938&lt;&gt;"",VALUE(U938) * IF($E$2="Deployment",deployment_raw[[#This Row],[Column5]],1),0)), 0),"")</f>
        <v/>
      </c>
      <c r="N938" s="166" t="str">
        <f>IF(ISNUMBER(deployment_raw[[#This Row],[Column14]]), deployment_raw[[#This Row],[Column14]]/IF(OR($E$2="Deployment",deployment_raw[[#This Row],[Column5]]=0),1,deployment_raw[[#This Row],[Column5]]),"")</f>
        <v/>
      </c>
      <c r="O938" s="167" t="str">
        <f>IF(ISNUMBER(deployment_raw[[#This Row],[Column15]]), deployment_raw[[#This Row],[Column15]]/IF(OR($E$2="Deployment",deployment_raw[[#This Row],[Column5]]=0),1,deployment_raw[[#This Row],[Column5]])/1048576,"")</f>
        <v/>
      </c>
      <c r="P938" s="168" t="str">
        <f>IF(ISNUMBER(deployment_raw[[#This Row],[Column12]]), (MIN(IF(N938&lt;&gt;"",N938,9999999999999)*1.1,deployment_raw[[#This Row],[Column12]] * IF($E$2="Deployment",deployment_raw[[#This Row],[Column5]],1))*(1+$P$2)),"")</f>
        <v/>
      </c>
      <c r="Q938" s="167" t="str">
        <f>IF(ISNUMBER(deployment_raw[[#This Row],[Column13]]), (MIN(IF(O938&lt;&gt;"",O938,9999999999999)*1.1,deployment_raw[[#This Row],[Column13]] * IF($E$2="Deployment",deployment_raw[[#This Row],[Column5]],1)*(1+$Q$2)/1048576)),"")</f>
        <v/>
      </c>
      <c r="R938" s="169" t="str">
        <f>IF(ISNUMBER(deployment_raw[[#This Row],[Column8]]), (H938  * IF(N938&lt;&gt;0,$R$2,1)),"")</f>
        <v/>
      </c>
      <c r="S938" s="170" t="str">
        <f>IF(ISNUMBER(deployment_raw[[#This Row],[Column8]]), (I938  * IF(O938&lt;&gt;0,$S$2,1)),"")</f>
        <v/>
      </c>
      <c r="T938" s="202" t="str">
        <f>IF(AND(A938&lt;&gt;"",_xlfn.IFNA(MATCH(A938,'dynamic resource application '!$A$2:$A$100, 0),0)&lt;&gt;0), H938/(IF($E$2="Deployment",E938,1)),"")</f>
        <v/>
      </c>
      <c r="U938" s="211" t="str">
        <f>IF(AND(A938&lt;&gt;"",_xlfn.IFNA(MATCH(A938,'dynamic resource application '!$A$2:$A$100, 0),0)&lt;&gt;0), I938/(IF($E$2="Deployment",E938,1)),"")</f>
        <v/>
      </c>
    </row>
    <row r="939" spans="1:21" ht="15" customHeight="1" x14ac:dyDescent="0.25">
      <c r="A939" s="35" t="str">
        <f>IF(ISNONTEXT(deployment_raw[[#This Row],[Column1]]), "", deployment_raw[[#This Row],[Column1]])</f>
        <v/>
      </c>
      <c r="B939" s="36" t="str">
        <f>IF(ISNONTEXT(deployment_raw[[#This Row],[Column2]]), "", deployment_raw[[#This Row],[Column2]])</f>
        <v/>
      </c>
      <c r="C939" s="36" t="str">
        <f>IF(ISNONTEXT(deployment_raw[[#This Row],[Column3]]), "", deployment_raw[[#This Row],[Column3]])</f>
        <v/>
      </c>
      <c r="D939" s="36" t="str">
        <f>IF(ISNONTEXT(deployment_raw[[#This Row],[Column4]]), "", deployment_raw[[#This Row],[Column4]])</f>
        <v/>
      </c>
      <c r="E939" s="37" t="str">
        <f>IF(ISNUMBER(deployment_raw[[#This Row],[Column5]]), deployment_raw[[#This Row],[Column5]],"")</f>
        <v/>
      </c>
      <c r="F939" s="94" t="str">
        <f>IF(ISNUMBER(deployment_raw[[#This Row],[Column6]]), (deployment_raw[[#This Row],[Column6]] * IF($E$2="Deployment",deployment_raw[[#This Row],[Column5]],1)),"")</f>
        <v/>
      </c>
      <c r="G939" s="95" t="str">
        <f>IF(ISNUMBER(deployment_raw[[#This Row],[Column7]]), (deployment_raw[[#This Row],[Column7]] * IF($E$2="Deployment",deployment_raw[[#This Row],[Column5]],1))/1048576,"")</f>
        <v/>
      </c>
      <c r="H939" s="95" t="str">
        <f>IF(ISNUMBER(deployment_raw[[#This Row],[Column8]]), (deployment_raw[[#This Row],[Column8]]  * IF($E$2="Deployment",deployment_raw[[#This Row],[Column5]],1)),"")</f>
        <v/>
      </c>
      <c r="I939" s="96" t="str">
        <f>IF(ISNUMBER(deployment_raw[[#This Row],[Column9]]), (deployment_raw[[#This Row],[Column9]] * IF($E$2="Deployment",deployment_raw[[#This Row],[Column5]],1))/1048576,"")</f>
        <v/>
      </c>
      <c r="J939" s="122" t="str">
        <f>IF(ISNUMBER(deployment_raw[[#This Row],[Column10]]), (MIN(IF(N939&lt;&gt;"",N939,9999999999999)*1.1,deployment_raw[[#This Row],[Column10]] * IF($E$2="Deployment",deployment_raw[[#This Row],[Column5]],1))),"")</f>
        <v/>
      </c>
      <c r="K939" s="123" t="str">
        <f>IF(ISNUMBER(deployment_raw[[#This Row],[Column11]]), (MIN(IF(O939&lt;&gt;"",O939,9999999999999)*1.1,deployment_raw[[#This Row],[Column11]] * IF($E$2="Deployment",deployment_raw[[#This Row],[Column5]],1)/1048576)),"")</f>
        <v/>
      </c>
      <c r="L939" s="124" t="str">
        <f>IF(ISNUMBER(deployment_raw[[#This Row],[Column8]]),IF(OR(deployment_raw[[#This Row],[Column5]] &lt;&gt; 0,$E$2 &lt;&gt; "Deployment"), MAX(J939, P939, R939, ($L$2 * IF($E$2="Deployment",deployment_raw[[#This Row],[Column5]],1)),IF(T939&lt;&gt;"",VALUE(T939) * IF($E$2="Deployment",deployment_raw[[#This Row],[Column5]],1),0)), 0),"")</f>
        <v/>
      </c>
      <c r="M939" s="125" t="str">
        <f>IF(ISNUMBER(deployment_raw[[#This Row],[Column9]]),IF(OR(deployment_raw[[#This Row],[Column5]] &lt;&gt; 0,$E$2&lt;&gt;"Deployment"), MAX(K939, Q939, S939, ($M$2 * IF($E$2="Deployment",deployment_raw[[#This Row],[Column5]],1)),IF(U939&lt;&gt;"",VALUE(U939) * IF($E$2="Deployment",deployment_raw[[#This Row],[Column5]],1),0)), 0),"")</f>
        <v/>
      </c>
      <c r="N939" s="166" t="str">
        <f>IF(ISNUMBER(deployment_raw[[#This Row],[Column14]]), deployment_raw[[#This Row],[Column14]]/IF(OR($E$2="Deployment",deployment_raw[[#This Row],[Column5]]=0),1,deployment_raw[[#This Row],[Column5]]),"")</f>
        <v/>
      </c>
      <c r="O939" s="167" t="str">
        <f>IF(ISNUMBER(deployment_raw[[#This Row],[Column15]]), deployment_raw[[#This Row],[Column15]]/IF(OR($E$2="Deployment",deployment_raw[[#This Row],[Column5]]=0),1,deployment_raw[[#This Row],[Column5]])/1048576,"")</f>
        <v/>
      </c>
      <c r="P939" s="168" t="str">
        <f>IF(ISNUMBER(deployment_raw[[#This Row],[Column12]]), (MIN(IF(N939&lt;&gt;"",N939,9999999999999)*1.1,deployment_raw[[#This Row],[Column12]] * IF($E$2="Deployment",deployment_raw[[#This Row],[Column5]],1))*(1+$P$2)),"")</f>
        <v/>
      </c>
      <c r="Q939" s="167" t="str">
        <f>IF(ISNUMBER(deployment_raw[[#This Row],[Column13]]), (MIN(IF(O939&lt;&gt;"",O939,9999999999999)*1.1,deployment_raw[[#This Row],[Column13]] * IF($E$2="Deployment",deployment_raw[[#This Row],[Column5]],1)*(1+$Q$2)/1048576)),"")</f>
        <v/>
      </c>
      <c r="R939" s="169" t="str">
        <f>IF(ISNUMBER(deployment_raw[[#This Row],[Column8]]), (H939  * IF(N939&lt;&gt;0,$R$2,1)),"")</f>
        <v/>
      </c>
      <c r="S939" s="170" t="str">
        <f>IF(ISNUMBER(deployment_raw[[#This Row],[Column8]]), (I939  * IF(O939&lt;&gt;0,$S$2,1)),"")</f>
        <v/>
      </c>
      <c r="T939" s="202" t="str">
        <f>IF(AND(A939&lt;&gt;"",_xlfn.IFNA(MATCH(A939,'dynamic resource application '!$A$2:$A$100, 0),0)&lt;&gt;0), H939/(IF($E$2="Deployment",E939,1)),"")</f>
        <v/>
      </c>
      <c r="U939" s="211" t="str">
        <f>IF(AND(A939&lt;&gt;"",_xlfn.IFNA(MATCH(A939,'dynamic resource application '!$A$2:$A$100, 0),0)&lt;&gt;0), I939/(IF($E$2="Deployment",E939,1)),"")</f>
        <v/>
      </c>
    </row>
    <row r="940" spans="1:21" ht="15" customHeight="1" x14ac:dyDescent="0.25">
      <c r="A940" s="35" t="str">
        <f>IF(ISNONTEXT(deployment_raw[[#This Row],[Column1]]), "", deployment_raw[[#This Row],[Column1]])</f>
        <v/>
      </c>
      <c r="B940" s="36" t="str">
        <f>IF(ISNONTEXT(deployment_raw[[#This Row],[Column2]]), "", deployment_raw[[#This Row],[Column2]])</f>
        <v/>
      </c>
      <c r="C940" s="36" t="str">
        <f>IF(ISNONTEXT(deployment_raw[[#This Row],[Column3]]), "", deployment_raw[[#This Row],[Column3]])</f>
        <v/>
      </c>
      <c r="D940" s="36" t="str">
        <f>IF(ISNONTEXT(deployment_raw[[#This Row],[Column4]]), "", deployment_raw[[#This Row],[Column4]])</f>
        <v/>
      </c>
      <c r="E940" s="37" t="str">
        <f>IF(ISNUMBER(deployment_raw[[#This Row],[Column5]]), deployment_raw[[#This Row],[Column5]],"")</f>
        <v/>
      </c>
      <c r="F940" s="94" t="str">
        <f>IF(ISNUMBER(deployment_raw[[#This Row],[Column6]]), (deployment_raw[[#This Row],[Column6]] * IF($E$2="Deployment",deployment_raw[[#This Row],[Column5]],1)),"")</f>
        <v/>
      </c>
      <c r="G940" s="95" t="str">
        <f>IF(ISNUMBER(deployment_raw[[#This Row],[Column7]]), (deployment_raw[[#This Row],[Column7]] * IF($E$2="Deployment",deployment_raw[[#This Row],[Column5]],1))/1048576,"")</f>
        <v/>
      </c>
      <c r="H940" s="95" t="str">
        <f>IF(ISNUMBER(deployment_raw[[#This Row],[Column8]]), (deployment_raw[[#This Row],[Column8]]  * IF($E$2="Deployment",deployment_raw[[#This Row],[Column5]],1)),"")</f>
        <v/>
      </c>
      <c r="I940" s="96" t="str">
        <f>IF(ISNUMBER(deployment_raw[[#This Row],[Column9]]), (deployment_raw[[#This Row],[Column9]] * IF($E$2="Deployment",deployment_raw[[#This Row],[Column5]],1))/1048576,"")</f>
        <v/>
      </c>
      <c r="J940" s="122" t="str">
        <f>IF(ISNUMBER(deployment_raw[[#This Row],[Column10]]), (MIN(IF(N940&lt;&gt;"",N940,9999999999999)*1.1,deployment_raw[[#This Row],[Column10]] * IF($E$2="Deployment",deployment_raw[[#This Row],[Column5]],1))),"")</f>
        <v/>
      </c>
      <c r="K940" s="123" t="str">
        <f>IF(ISNUMBER(deployment_raw[[#This Row],[Column11]]), (MIN(IF(O940&lt;&gt;"",O940,9999999999999)*1.1,deployment_raw[[#This Row],[Column11]] * IF($E$2="Deployment",deployment_raw[[#This Row],[Column5]],1)/1048576)),"")</f>
        <v/>
      </c>
      <c r="L940" s="124" t="str">
        <f>IF(ISNUMBER(deployment_raw[[#This Row],[Column8]]),IF(OR(deployment_raw[[#This Row],[Column5]] &lt;&gt; 0,$E$2 &lt;&gt; "Deployment"), MAX(J940, P940, R940, ($L$2 * IF($E$2="Deployment",deployment_raw[[#This Row],[Column5]],1)),IF(T940&lt;&gt;"",VALUE(T940) * IF($E$2="Deployment",deployment_raw[[#This Row],[Column5]],1),0)), 0),"")</f>
        <v/>
      </c>
      <c r="M940" s="125" t="str">
        <f>IF(ISNUMBER(deployment_raw[[#This Row],[Column9]]),IF(OR(deployment_raw[[#This Row],[Column5]] &lt;&gt; 0,$E$2&lt;&gt;"Deployment"), MAX(K940, Q940, S940, ($M$2 * IF($E$2="Deployment",deployment_raw[[#This Row],[Column5]],1)),IF(U940&lt;&gt;"",VALUE(U940) * IF($E$2="Deployment",deployment_raw[[#This Row],[Column5]],1),0)), 0),"")</f>
        <v/>
      </c>
      <c r="N940" s="166" t="str">
        <f>IF(ISNUMBER(deployment_raw[[#This Row],[Column14]]), deployment_raw[[#This Row],[Column14]]/IF(OR($E$2="Deployment",deployment_raw[[#This Row],[Column5]]=0),1,deployment_raw[[#This Row],[Column5]]),"")</f>
        <v/>
      </c>
      <c r="O940" s="167" t="str">
        <f>IF(ISNUMBER(deployment_raw[[#This Row],[Column15]]), deployment_raw[[#This Row],[Column15]]/IF(OR($E$2="Deployment",deployment_raw[[#This Row],[Column5]]=0),1,deployment_raw[[#This Row],[Column5]])/1048576,"")</f>
        <v/>
      </c>
      <c r="P940" s="168" t="str">
        <f>IF(ISNUMBER(deployment_raw[[#This Row],[Column12]]), (MIN(IF(N940&lt;&gt;"",N940,9999999999999)*1.1,deployment_raw[[#This Row],[Column12]] * IF($E$2="Deployment",deployment_raw[[#This Row],[Column5]],1))*(1+$P$2)),"")</f>
        <v/>
      </c>
      <c r="Q940" s="167" t="str">
        <f>IF(ISNUMBER(deployment_raw[[#This Row],[Column13]]), (MIN(IF(O940&lt;&gt;"",O940,9999999999999)*1.1,deployment_raw[[#This Row],[Column13]] * IF($E$2="Deployment",deployment_raw[[#This Row],[Column5]],1)*(1+$Q$2)/1048576)),"")</f>
        <v/>
      </c>
      <c r="R940" s="169" t="str">
        <f>IF(ISNUMBER(deployment_raw[[#This Row],[Column8]]), (H940  * IF(N940&lt;&gt;0,$R$2,1)),"")</f>
        <v/>
      </c>
      <c r="S940" s="170" t="str">
        <f>IF(ISNUMBER(deployment_raw[[#This Row],[Column8]]), (I940  * IF(O940&lt;&gt;0,$S$2,1)),"")</f>
        <v/>
      </c>
      <c r="T940" s="202" t="str">
        <f>IF(AND(A940&lt;&gt;"",_xlfn.IFNA(MATCH(A940,'dynamic resource application '!$A$2:$A$100, 0),0)&lt;&gt;0), H940/(IF($E$2="Deployment",E940,1)),"")</f>
        <v/>
      </c>
      <c r="U940" s="211" t="str">
        <f>IF(AND(A940&lt;&gt;"",_xlfn.IFNA(MATCH(A940,'dynamic resource application '!$A$2:$A$100, 0),0)&lt;&gt;0), I940/(IF($E$2="Deployment",E940,1)),"")</f>
        <v/>
      </c>
    </row>
    <row r="941" spans="1:21" ht="15" customHeight="1" x14ac:dyDescent="0.25">
      <c r="A941" s="35" t="str">
        <f>IF(ISNONTEXT(deployment_raw[[#This Row],[Column1]]), "", deployment_raw[[#This Row],[Column1]])</f>
        <v/>
      </c>
      <c r="B941" s="36" t="str">
        <f>IF(ISNONTEXT(deployment_raw[[#This Row],[Column2]]), "", deployment_raw[[#This Row],[Column2]])</f>
        <v/>
      </c>
      <c r="C941" s="36" t="str">
        <f>IF(ISNONTEXT(deployment_raw[[#This Row],[Column3]]), "", deployment_raw[[#This Row],[Column3]])</f>
        <v/>
      </c>
      <c r="D941" s="36" t="str">
        <f>IF(ISNONTEXT(deployment_raw[[#This Row],[Column4]]), "", deployment_raw[[#This Row],[Column4]])</f>
        <v/>
      </c>
      <c r="E941" s="37" t="str">
        <f>IF(ISNUMBER(deployment_raw[[#This Row],[Column5]]), deployment_raw[[#This Row],[Column5]],"")</f>
        <v/>
      </c>
      <c r="F941" s="94" t="str">
        <f>IF(ISNUMBER(deployment_raw[[#This Row],[Column6]]), (deployment_raw[[#This Row],[Column6]] * IF($E$2="Deployment",deployment_raw[[#This Row],[Column5]],1)),"")</f>
        <v/>
      </c>
      <c r="G941" s="95" t="str">
        <f>IF(ISNUMBER(deployment_raw[[#This Row],[Column7]]), (deployment_raw[[#This Row],[Column7]] * IF($E$2="Deployment",deployment_raw[[#This Row],[Column5]],1))/1048576,"")</f>
        <v/>
      </c>
      <c r="H941" s="95" t="str">
        <f>IF(ISNUMBER(deployment_raw[[#This Row],[Column8]]), (deployment_raw[[#This Row],[Column8]]  * IF($E$2="Deployment",deployment_raw[[#This Row],[Column5]],1)),"")</f>
        <v/>
      </c>
      <c r="I941" s="96" t="str">
        <f>IF(ISNUMBER(deployment_raw[[#This Row],[Column9]]), (deployment_raw[[#This Row],[Column9]] * IF($E$2="Deployment",deployment_raw[[#This Row],[Column5]],1))/1048576,"")</f>
        <v/>
      </c>
      <c r="J941" s="122" t="str">
        <f>IF(ISNUMBER(deployment_raw[[#This Row],[Column10]]), (MIN(IF(N941&lt;&gt;"",N941,9999999999999)*1.1,deployment_raw[[#This Row],[Column10]] * IF($E$2="Deployment",deployment_raw[[#This Row],[Column5]],1))),"")</f>
        <v/>
      </c>
      <c r="K941" s="123" t="str">
        <f>IF(ISNUMBER(deployment_raw[[#This Row],[Column11]]), (MIN(IF(O941&lt;&gt;"",O941,9999999999999)*1.1,deployment_raw[[#This Row],[Column11]] * IF($E$2="Deployment",deployment_raw[[#This Row],[Column5]],1)/1048576)),"")</f>
        <v/>
      </c>
      <c r="L941" s="124" t="str">
        <f>IF(ISNUMBER(deployment_raw[[#This Row],[Column8]]),IF(OR(deployment_raw[[#This Row],[Column5]] &lt;&gt; 0,$E$2 &lt;&gt; "Deployment"), MAX(J941, P941, R941, ($L$2 * IF($E$2="Deployment",deployment_raw[[#This Row],[Column5]],1)),IF(T941&lt;&gt;"",VALUE(T941) * IF($E$2="Deployment",deployment_raw[[#This Row],[Column5]],1),0)), 0),"")</f>
        <v/>
      </c>
      <c r="M941" s="125" t="str">
        <f>IF(ISNUMBER(deployment_raw[[#This Row],[Column9]]),IF(OR(deployment_raw[[#This Row],[Column5]] &lt;&gt; 0,$E$2&lt;&gt;"Deployment"), MAX(K941, Q941, S941, ($M$2 * IF($E$2="Deployment",deployment_raw[[#This Row],[Column5]],1)),IF(U941&lt;&gt;"",VALUE(U941) * IF($E$2="Deployment",deployment_raw[[#This Row],[Column5]],1),0)), 0),"")</f>
        <v/>
      </c>
      <c r="N941" s="166" t="str">
        <f>IF(ISNUMBER(deployment_raw[[#This Row],[Column14]]), deployment_raw[[#This Row],[Column14]]/IF(OR($E$2="Deployment",deployment_raw[[#This Row],[Column5]]=0),1,deployment_raw[[#This Row],[Column5]]),"")</f>
        <v/>
      </c>
      <c r="O941" s="167" t="str">
        <f>IF(ISNUMBER(deployment_raw[[#This Row],[Column15]]), deployment_raw[[#This Row],[Column15]]/IF(OR($E$2="Deployment",deployment_raw[[#This Row],[Column5]]=0),1,deployment_raw[[#This Row],[Column5]])/1048576,"")</f>
        <v/>
      </c>
      <c r="P941" s="168" t="str">
        <f>IF(ISNUMBER(deployment_raw[[#This Row],[Column12]]), (MIN(IF(N941&lt;&gt;"",N941,9999999999999)*1.1,deployment_raw[[#This Row],[Column12]] * IF($E$2="Deployment",deployment_raw[[#This Row],[Column5]],1))*(1+$P$2)),"")</f>
        <v/>
      </c>
      <c r="Q941" s="167" t="str">
        <f>IF(ISNUMBER(deployment_raw[[#This Row],[Column13]]), (MIN(IF(O941&lt;&gt;"",O941,9999999999999)*1.1,deployment_raw[[#This Row],[Column13]] * IF($E$2="Deployment",deployment_raw[[#This Row],[Column5]],1)*(1+$Q$2)/1048576)),"")</f>
        <v/>
      </c>
      <c r="R941" s="169" t="str">
        <f>IF(ISNUMBER(deployment_raw[[#This Row],[Column8]]), (H941  * IF(N941&lt;&gt;0,$R$2,1)),"")</f>
        <v/>
      </c>
      <c r="S941" s="170" t="str">
        <f>IF(ISNUMBER(deployment_raw[[#This Row],[Column8]]), (I941  * IF(O941&lt;&gt;0,$S$2,1)),"")</f>
        <v/>
      </c>
      <c r="T941" s="202" t="str">
        <f>IF(AND(A941&lt;&gt;"",_xlfn.IFNA(MATCH(A941,'dynamic resource application '!$A$2:$A$100, 0),0)&lt;&gt;0), H941/(IF($E$2="Deployment",E941,1)),"")</f>
        <v/>
      </c>
      <c r="U941" s="211" t="str">
        <f>IF(AND(A941&lt;&gt;"",_xlfn.IFNA(MATCH(A941,'dynamic resource application '!$A$2:$A$100, 0),0)&lt;&gt;0), I941/(IF($E$2="Deployment",E941,1)),"")</f>
        <v/>
      </c>
    </row>
    <row r="942" spans="1:21" ht="15" customHeight="1" x14ac:dyDescent="0.25">
      <c r="A942" s="35" t="str">
        <f>IF(ISNONTEXT(deployment_raw[[#This Row],[Column1]]), "", deployment_raw[[#This Row],[Column1]])</f>
        <v/>
      </c>
      <c r="B942" s="36" t="str">
        <f>IF(ISNONTEXT(deployment_raw[[#This Row],[Column2]]), "", deployment_raw[[#This Row],[Column2]])</f>
        <v/>
      </c>
      <c r="C942" s="36" t="str">
        <f>IF(ISNONTEXT(deployment_raw[[#This Row],[Column3]]), "", deployment_raw[[#This Row],[Column3]])</f>
        <v/>
      </c>
      <c r="D942" s="36" t="str">
        <f>IF(ISNONTEXT(deployment_raw[[#This Row],[Column4]]), "", deployment_raw[[#This Row],[Column4]])</f>
        <v/>
      </c>
      <c r="E942" s="37" t="str">
        <f>IF(ISNUMBER(deployment_raw[[#This Row],[Column5]]), deployment_raw[[#This Row],[Column5]],"")</f>
        <v/>
      </c>
      <c r="F942" s="94" t="str">
        <f>IF(ISNUMBER(deployment_raw[[#This Row],[Column6]]), (deployment_raw[[#This Row],[Column6]] * IF($E$2="Deployment",deployment_raw[[#This Row],[Column5]],1)),"")</f>
        <v/>
      </c>
      <c r="G942" s="95" t="str">
        <f>IF(ISNUMBER(deployment_raw[[#This Row],[Column7]]), (deployment_raw[[#This Row],[Column7]] * IF($E$2="Deployment",deployment_raw[[#This Row],[Column5]],1))/1048576,"")</f>
        <v/>
      </c>
      <c r="H942" s="95" t="str">
        <f>IF(ISNUMBER(deployment_raw[[#This Row],[Column8]]), (deployment_raw[[#This Row],[Column8]]  * IF($E$2="Deployment",deployment_raw[[#This Row],[Column5]],1)),"")</f>
        <v/>
      </c>
      <c r="I942" s="96" t="str">
        <f>IF(ISNUMBER(deployment_raw[[#This Row],[Column9]]), (deployment_raw[[#This Row],[Column9]] * IF($E$2="Deployment",deployment_raw[[#This Row],[Column5]],1))/1048576,"")</f>
        <v/>
      </c>
      <c r="J942" s="122" t="str">
        <f>IF(ISNUMBER(deployment_raw[[#This Row],[Column10]]), (MIN(IF(N942&lt;&gt;"",N942,9999999999999)*1.1,deployment_raw[[#This Row],[Column10]] * IF($E$2="Deployment",deployment_raw[[#This Row],[Column5]],1))),"")</f>
        <v/>
      </c>
      <c r="K942" s="123" t="str">
        <f>IF(ISNUMBER(deployment_raw[[#This Row],[Column11]]), (MIN(IF(O942&lt;&gt;"",O942,9999999999999)*1.1,deployment_raw[[#This Row],[Column11]] * IF($E$2="Deployment",deployment_raw[[#This Row],[Column5]],1)/1048576)),"")</f>
        <v/>
      </c>
      <c r="L942" s="124" t="str">
        <f>IF(ISNUMBER(deployment_raw[[#This Row],[Column8]]),IF(OR(deployment_raw[[#This Row],[Column5]] &lt;&gt; 0,$E$2 &lt;&gt; "Deployment"), MAX(J942, P942, R942, ($L$2 * IF($E$2="Deployment",deployment_raw[[#This Row],[Column5]],1)),IF(T942&lt;&gt;"",VALUE(T942) * IF($E$2="Deployment",deployment_raw[[#This Row],[Column5]],1),0)), 0),"")</f>
        <v/>
      </c>
      <c r="M942" s="125" t="str">
        <f>IF(ISNUMBER(deployment_raw[[#This Row],[Column9]]),IF(OR(deployment_raw[[#This Row],[Column5]] &lt;&gt; 0,$E$2&lt;&gt;"Deployment"), MAX(K942, Q942, S942, ($M$2 * IF($E$2="Deployment",deployment_raw[[#This Row],[Column5]],1)),IF(U942&lt;&gt;"",VALUE(U942) * IF($E$2="Deployment",deployment_raw[[#This Row],[Column5]],1),0)), 0),"")</f>
        <v/>
      </c>
      <c r="N942" s="166" t="str">
        <f>IF(ISNUMBER(deployment_raw[[#This Row],[Column14]]), deployment_raw[[#This Row],[Column14]]/IF(OR($E$2="Deployment",deployment_raw[[#This Row],[Column5]]=0),1,deployment_raw[[#This Row],[Column5]]),"")</f>
        <v/>
      </c>
      <c r="O942" s="167" t="str">
        <f>IF(ISNUMBER(deployment_raw[[#This Row],[Column15]]), deployment_raw[[#This Row],[Column15]]/IF(OR($E$2="Deployment",deployment_raw[[#This Row],[Column5]]=0),1,deployment_raw[[#This Row],[Column5]])/1048576,"")</f>
        <v/>
      </c>
      <c r="P942" s="168" t="str">
        <f>IF(ISNUMBER(deployment_raw[[#This Row],[Column12]]), (MIN(IF(N942&lt;&gt;"",N942,9999999999999)*1.1,deployment_raw[[#This Row],[Column12]] * IF($E$2="Deployment",deployment_raw[[#This Row],[Column5]],1))*(1+$P$2)),"")</f>
        <v/>
      </c>
      <c r="Q942" s="167" t="str">
        <f>IF(ISNUMBER(deployment_raw[[#This Row],[Column13]]), (MIN(IF(O942&lt;&gt;"",O942,9999999999999)*1.1,deployment_raw[[#This Row],[Column13]] * IF($E$2="Deployment",deployment_raw[[#This Row],[Column5]],1)*(1+$Q$2)/1048576)),"")</f>
        <v/>
      </c>
      <c r="R942" s="169" t="str">
        <f>IF(ISNUMBER(deployment_raw[[#This Row],[Column8]]), (H942  * IF(N942&lt;&gt;0,$R$2,1)),"")</f>
        <v/>
      </c>
      <c r="S942" s="170" t="str">
        <f>IF(ISNUMBER(deployment_raw[[#This Row],[Column8]]), (I942  * IF(O942&lt;&gt;0,$S$2,1)),"")</f>
        <v/>
      </c>
      <c r="T942" s="202" t="str">
        <f>IF(AND(A942&lt;&gt;"",_xlfn.IFNA(MATCH(A942,'dynamic resource application '!$A$2:$A$100, 0),0)&lt;&gt;0), H942/(IF($E$2="Deployment",E942,1)),"")</f>
        <v/>
      </c>
      <c r="U942" s="211" t="str">
        <f>IF(AND(A942&lt;&gt;"",_xlfn.IFNA(MATCH(A942,'dynamic resource application '!$A$2:$A$100, 0),0)&lt;&gt;0), I942/(IF($E$2="Deployment",E942,1)),"")</f>
        <v/>
      </c>
    </row>
    <row r="943" spans="1:21" ht="15" customHeight="1" x14ac:dyDescent="0.25">
      <c r="A943" s="35" t="str">
        <f>IF(ISNONTEXT(deployment_raw[[#This Row],[Column1]]), "", deployment_raw[[#This Row],[Column1]])</f>
        <v/>
      </c>
      <c r="B943" s="36" t="str">
        <f>IF(ISNONTEXT(deployment_raw[[#This Row],[Column2]]), "", deployment_raw[[#This Row],[Column2]])</f>
        <v/>
      </c>
      <c r="C943" s="36" t="str">
        <f>IF(ISNONTEXT(deployment_raw[[#This Row],[Column3]]), "", deployment_raw[[#This Row],[Column3]])</f>
        <v/>
      </c>
      <c r="D943" s="36" t="str">
        <f>IF(ISNONTEXT(deployment_raw[[#This Row],[Column4]]), "", deployment_raw[[#This Row],[Column4]])</f>
        <v/>
      </c>
      <c r="E943" s="37" t="str">
        <f>IF(ISNUMBER(deployment_raw[[#This Row],[Column5]]), deployment_raw[[#This Row],[Column5]],"")</f>
        <v/>
      </c>
      <c r="F943" s="94" t="str">
        <f>IF(ISNUMBER(deployment_raw[[#This Row],[Column6]]), (deployment_raw[[#This Row],[Column6]] * IF($E$2="Deployment",deployment_raw[[#This Row],[Column5]],1)),"")</f>
        <v/>
      </c>
      <c r="G943" s="95" t="str">
        <f>IF(ISNUMBER(deployment_raw[[#This Row],[Column7]]), (deployment_raw[[#This Row],[Column7]] * IF($E$2="Deployment",deployment_raw[[#This Row],[Column5]],1))/1048576,"")</f>
        <v/>
      </c>
      <c r="H943" s="95" t="str">
        <f>IF(ISNUMBER(deployment_raw[[#This Row],[Column8]]), (deployment_raw[[#This Row],[Column8]]  * IF($E$2="Deployment",deployment_raw[[#This Row],[Column5]],1)),"")</f>
        <v/>
      </c>
      <c r="I943" s="96" t="str">
        <f>IF(ISNUMBER(deployment_raw[[#This Row],[Column9]]), (deployment_raw[[#This Row],[Column9]] * IF($E$2="Deployment",deployment_raw[[#This Row],[Column5]],1))/1048576,"")</f>
        <v/>
      </c>
      <c r="J943" s="122" t="str">
        <f>IF(ISNUMBER(deployment_raw[[#This Row],[Column10]]), (MIN(IF(N943&lt;&gt;"",N943,9999999999999)*1.1,deployment_raw[[#This Row],[Column10]] * IF($E$2="Deployment",deployment_raw[[#This Row],[Column5]],1))),"")</f>
        <v/>
      </c>
      <c r="K943" s="123" t="str">
        <f>IF(ISNUMBER(deployment_raw[[#This Row],[Column11]]), (MIN(IF(O943&lt;&gt;"",O943,9999999999999)*1.1,deployment_raw[[#This Row],[Column11]] * IF($E$2="Deployment",deployment_raw[[#This Row],[Column5]],1)/1048576)),"")</f>
        <v/>
      </c>
      <c r="L943" s="124" t="str">
        <f>IF(ISNUMBER(deployment_raw[[#This Row],[Column8]]),IF(OR(deployment_raw[[#This Row],[Column5]] &lt;&gt; 0,$E$2 &lt;&gt; "Deployment"), MAX(J943, P943, R943, ($L$2 * IF($E$2="Deployment",deployment_raw[[#This Row],[Column5]],1)),IF(T943&lt;&gt;"",VALUE(T943) * IF($E$2="Deployment",deployment_raw[[#This Row],[Column5]],1),0)), 0),"")</f>
        <v/>
      </c>
      <c r="M943" s="125" t="str">
        <f>IF(ISNUMBER(deployment_raw[[#This Row],[Column9]]),IF(OR(deployment_raw[[#This Row],[Column5]] &lt;&gt; 0,$E$2&lt;&gt;"Deployment"), MAX(K943, Q943, S943, ($M$2 * IF($E$2="Deployment",deployment_raw[[#This Row],[Column5]],1)),IF(U943&lt;&gt;"",VALUE(U943) * IF($E$2="Deployment",deployment_raw[[#This Row],[Column5]],1),0)), 0),"")</f>
        <v/>
      </c>
      <c r="N943" s="166" t="str">
        <f>IF(ISNUMBER(deployment_raw[[#This Row],[Column14]]), deployment_raw[[#This Row],[Column14]]/IF(OR($E$2="Deployment",deployment_raw[[#This Row],[Column5]]=0),1,deployment_raw[[#This Row],[Column5]]),"")</f>
        <v/>
      </c>
      <c r="O943" s="167" t="str">
        <f>IF(ISNUMBER(deployment_raw[[#This Row],[Column15]]), deployment_raw[[#This Row],[Column15]]/IF(OR($E$2="Deployment",deployment_raw[[#This Row],[Column5]]=0),1,deployment_raw[[#This Row],[Column5]])/1048576,"")</f>
        <v/>
      </c>
      <c r="P943" s="168" t="str">
        <f>IF(ISNUMBER(deployment_raw[[#This Row],[Column12]]), (MIN(IF(N943&lt;&gt;"",N943,9999999999999)*1.1,deployment_raw[[#This Row],[Column12]] * IF($E$2="Deployment",deployment_raw[[#This Row],[Column5]],1))*(1+$P$2)),"")</f>
        <v/>
      </c>
      <c r="Q943" s="167" t="str">
        <f>IF(ISNUMBER(deployment_raw[[#This Row],[Column13]]), (MIN(IF(O943&lt;&gt;"",O943,9999999999999)*1.1,deployment_raw[[#This Row],[Column13]] * IF($E$2="Deployment",deployment_raw[[#This Row],[Column5]],1)*(1+$Q$2)/1048576)),"")</f>
        <v/>
      </c>
      <c r="R943" s="169" t="str">
        <f>IF(ISNUMBER(deployment_raw[[#This Row],[Column8]]), (H943  * IF(N943&lt;&gt;0,$R$2,1)),"")</f>
        <v/>
      </c>
      <c r="S943" s="170" t="str">
        <f>IF(ISNUMBER(deployment_raw[[#This Row],[Column8]]), (I943  * IF(O943&lt;&gt;0,$S$2,1)),"")</f>
        <v/>
      </c>
      <c r="T943" s="202" t="str">
        <f>IF(AND(A943&lt;&gt;"",_xlfn.IFNA(MATCH(A943,'dynamic resource application '!$A$2:$A$100, 0),0)&lt;&gt;0), H943/(IF($E$2="Deployment",E943,1)),"")</f>
        <v/>
      </c>
      <c r="U943" s="211" t="str">
        <f>IF(AND(A943&lt;&gt;"",_xlfn.IFNA(MATCH(A943,'dynamic resource application '!$A$2:$A$100, 0),0)&lt;&gt;0), I943/(IF($E$2="Deployment",E943,1)),"")</f>
        <v/>
      </c>
    </row>
    <row r="944" spans="1:21" ht="15" customHeight="1" x14ac:dyDescent="0.25">
      <c r="A944" s="35" t="str">
        <f>IF(ISNONTEXT(deployment_raw[[#This Row],[Column1]]), "", deployment_raw[[#This Row],[Column1]])</f>
        <v/>
      </c>
      <c r="B944" s="36" t="str">
        <f>IF(ISNONTEXT(deployment_raw[[#This Row],[Column2]]), "", deployment_raw[[#This Row],[Column2]])</f>
        <v/>
      </c>
      <c r="C944" s="36" t="str">
        <f>IF(ISNONTEXT(deployment_raw[[#This Row],[Column3]]), "", deployment_raw[[#This Row],[Column3]])</f>
        <v/>
      </c>
      <c r="D944" s="36" t="str">
        <f>IF(ISNONTEXT(deployment_raw[[#This Row],[Column4]]), "", deployment_raw[[#This Row],[Column4]])</f>
        <v/>
      </c>
      <c r="E944" s="37" t="str">
        <f>IF(ISNUMBER(deployment_raw[[#This Row],[Column5]]), deployment_raw[[#This Row],[Column5]],"")</f>
        <v/>
      </c>
      <c r="F944" s="94" t="str">
        <f>IF(ISNUMBER(deployment_raw[[#This Row],[Column6]]), (deployment_raw[[#This Row],[Column6]] * IF($E$2="Deployment",deployment_raw[[#This Row],[Column5]],1)),"")</f>
        <v/>
      </c>
      <c r="G944" s="95" t="str">
        <f>IF(ISNUMBER(deployment_raw[[#This Row],[Column7]]), (deployment_raw[[#This Row],[Column7]] * IF($E$2="Deployment",deployment_raw[[#This Row],[Column5]],1))/1048576,"")</f>
        <v/>
      </c>
      <c r="H944" s="95" t="str">
        <f>IF(ISNUMBER(deployment_raw[[#This Row],[Column8]]), (deployment_raw[[#This Row],[Column8]]  * IF($E$2="Deployment",deployment_raw[[#This Row],[Column5]],1)),"")</f>
        <v/>
      </c>
      <c r="I944" s="96" t="str">
        <f>IF(ISNUMBER(deployment_raw[[#This Row],[Column9]]), (deployment_raw[[#This Row],[Column9]] * IF($E$2="Deployment",deployment_raw[[#This Row],[Column5]],1))/1048576,"")</f>
        <v/>
      </c>
      <c r="J944" s="122" t="str">
        <f>IF(ISNUMBER(deployment_raw[[#This Row],[Column10]]), (MIN(IF(N944&lt;&gt;"",N944,9999999999999)*1.1,deployment_raw[[#This Row],[Column10]] * IF($E$2="Deployment",deployment_raw[[#This Row],[Column5]],1))),"")</f>
        <v/>
      </c>
      <c r="K944" s="123" t="str">
        <f>IF(ISNUMBER(deployment_raw[[#This Row],[Column11]]), (MIN(IF(O944&lt;&gt;"",O944,9999999999999)*1.1,deployment_raw[[#This Row],[Column11]] * IF($E$2="Deployment",deployment_raw[[#This Row],[Column5]],1)/1048576)),"")</f>
        <v/>
      </c>
      <c r="L944" s="124" t="str">
        <f>IF(ISNUMBER(deployment_raw[[#This Row],[Column8]]),IF(OR(deployment_raw[[#This Row],[Column5]] &lt;&gt; 0,$E$2 &lt;&gt; "Deployment"), MAX(J944, P944, R944, ($L$2 * IF($E$2="Deployment",deployment_raw[[#This Row],[Column5]],1)),IF(T944&lt;&gt;"",VALUE(T944) * IF($E$2="Deployment",deployment_raw[[#This Row],[Column5]],1),0)), 0),"")</f>
        <v/>
      </c>
      <c r="M944" s="125" t="str">
        <f>IF(ISNUMBER(deployment_raw[[#This Row],[Column9]]),IF(OR(deployment_raw[[#This Row],[Column5]] &lt;&gt; 0,$E$2&lt;&gt;"Deployment"), MAX(K944, Q944, S944, ($M$2 * IF($E$2="Deployment",deployment_raw[[#This Row],[Column5]],1)),IF(U944&lt;&gt;"",VALUE(U944) * IF($E$2="Deployment",deployment_raw[[#This Row],[Column5]],1),0)), 0),"")</f>
        <v/>
      </c>
      <c r="N944" s="166" t="str">
        <f>IF(ISNUMBER(deployment_raw[[#This Row],[Column14]]), deployment_raw[[#This Row],[Column14]]/IF(OR($E$2="Deployment",deployment_raw[[#This Row],[Column5]]=0),1,deployment_raw[[#This Row],[Column5]]),"")</f>
        <v/>
      </c>
      <c r="O944" s="167" t="str">
        <f>IF(ISNUMBER(deployment_raw[[#This Row],[Column15]]), deployment_raw[[#This Row],[Column15]]/IF(OR($E$2="Deployment",deployment_raw[[#This Row],[Column5]]=0),1,deployment_raw[[#This Row],[Column5]])/1048576,"")</f>
        <v/>
      </c>
      <c r="P944" s="168" t="str">
        <f>IF(ISNUMBER(deployment_raw[[#This Row],[Column12]]), (MIN(IF(N944&lt;&gt;"",N944,9999999999999)*1.1,deployment_raw[[#This Row],[Column12]] * IF($E$2="Deployment",deployment_raw[[#This Row],[Column5]],1))*(1+$P$2)),"")</f>
        <v/>
      </c>
      <c r="Q944" s="167" t="str">
        <f>IF(ISNUMBER(deployment_raw[[#This Row],[Column13]]), (MIN(IF(O944&lt;&gt;"",O944,9999999999999)*1.1,deployment_raw[[#This Row],[Column13]] * IF($E$2="Deployment",deployment_raw[[#This Row],[Column5]],1)*(1+$Q$2)/1048576)),"")</f>
        <v/>
      </c>
      <c r="R944" s="169" t="str">
        <f>IF(ISNUMBER(deployment_raw[[#This Row],[Column8]]), (H944  * IF(N944&lt;&gt;0,$R$2,1)),"")</f>
        <v/>
      </c>
      <c r="S944" s="170" t="str">
        <f>IF(ISNUMBER(deployment_raw[[#This Row],[Column8]]), (I944  * IF(O944&lt;&gt;0,$S$2,1)),"")</f>
        <v/>
      </c>
      <c r="T944" s="202" t="str">
        <f>IF(AND(A944&lt;&gt;"",_xlfn.IFNA(MATCH(A944,'dynamic resource application '!$A$2:$A$100, 0),0)&lt;&gt;0), H944/(IF($E$2="Deployment",E944,1)),"")</f>
        <v/>
      </c>
      <c r="U944" s="211" t="str">
        <f>IF(AND(A944&lt;&gt;"",_xlfn.IFNA(MATCH(A944,'dynamic resource application '!$A$2:$A$100, 0),0)&lt;&gt;0), I944/(IF($E$2="Deployment",E944,1)),"")</f>
        <v/>
      </c>
    </row>
    <row r="945" spans="1:21" ht="15" customHeight="1" x14ac:dyDescent="0.25">
      <c r="A945" s="35" t="str">
        <f>IF(ISNONTEXT(deployment_raw[[#This Row],[Column1]]), "", deployment_raw[[#This Row],[Column1]])</f>
        <v/>
      </c>
      <c r="B945" s="36" t="str">
        <f>IF(ISNONTEXT(deployment_raw[[#This Row],[Column2]]), "", deployment_raw[[#This Row],[Column2]])</f>
        <v/>
      </c>
      <c r="C945" s="36" t="str">
        <f>IF(ISNONTEXT(deployment_raw[[#This Row],[Column3]]), "", deployment_raw[[#This Row],[Column3]])</f>
        <v/>
      </c>
      <c r="D945" s="36" t="str">
        <f>IF(ISNONTEXT(deployment_raw[[#This Row],[Column4]]), "", deployment_raw[[#This Row],[Column4]])</f>
        <v/>
      </c>
      <c r="E945" s="37" t="str">
        <f>IF(ISNUMBER(deployment_raw[[#This Row],[Column5]]), deployment_raw[[#This Row],[Column5]],"")</f>
        <v/>
      </c>
      <c r="F945" s="94" t="str">
        <f>IF(ISNUMBER(deployment_raw[[#This Row],[Column6]]), (deployment_raw[[#This Row],[Column6]] * IF($E$2="Deployment",deployment_raw[[#This Row],[Column5]],1)),"")</f>
        <v/>
      </c>
      <c r="G945" s="95" t="str">
        <f>IF(ISNUMBER(deployment_raw[[#This Row],[Column7]]), (deployment_raw[[#This Row],[Column7]] * IF($E$2="Deployment",deployment_raw[[#This Row],[Column5]],1))/1048576,"")</f>
        <v/>
      </c>
      <c r="H945" s="95" t="str">
        <f>IF(ISNUMBER(deployment_raw[[#This Row],[Column8]]), (deployment_raw[[#This Row],[Column8]]  * IF($E$2="Deployment",deployment_raw[[#This Row],[Column5]],1)),"")</f>
        <v/>
      </c>
      <c r="I945" s="96" t="str">
        <f>IF(ISNUMBER(deployment_raw[[#This Row],[Column9]]), (deployment_raw[[#This Row],[Column9]] * IF($E$2="Deployment",deployment_raw[[#This Row],[Column5]],1))/1048576,"")</f>
        <v/>
      </c>
      <c r="J945" s="122" t="str">
        <f>IF(ISNUMBER(deployment_raw[[#This Row],[Column10]]), (MIN(IF(N945&lt;&gt;"",N945,9999999999999)*1.1,deployment_raw[[#This Row],[Column10]] * IF($E$2="Deployment",deployment_raw[[#This Row],[Column5]],1))),"")</f>
        <v/>
      </c>
      <c r="K945" s="123" t="str">
        <f>IF(ISNUMBER(deployment_raw[[#This Row],[Column11]]), (MIN(IF(O945&lt;&gt;"",O945,9999999999999)*1.1,deployment_raw[[#This Row],[Column11]] * IF($E$2="Deployment",deployment_raw[[#This Row],[Column5]],1)/1048576)),"")</f>
        <v/>
      </c>
      <c r="L945" s="124" t="str">
        <f>IF(ISNUMBER(deployment_raw[[#This Row],[Column8]]),IF(OR(deployment_raw[[#This Row],[Column5]] &lt;&gt; 0,$E$2 &lt;&gt; "Deployment"), MAX(J945, P945, R945, ($L$2 * IF($E$2="Deployment",deployment_raw[[#This Row],[Column5]],1)),IF(T945&lt;&gt;"",VALUE(T945) * IF($E$2="Deployment",deployment_raw[[#This Row],[Column5]],1),0)), 0),"")</f>
        <v/>
      </c>
      <c r="M945" s="125" t="str">
        <f>IF(ISNUMBER(deployment_raw[[#This Row],[Column9]]),IF(OR(deployment_raw[[#This Row],[Column5]] &lt;&gt; 0,$E$2&lt;&gt;"Deployment"), MAX(K945, Q945, S945, ($M$2 * IF($E$2="Deployment",deployment_raw[[#This Row],[Column5]],1)),IF(U945&lt;&gt;"",VALUE(U945) * IF($E$2="Deployment",deployment_raw[[#This Row],[Column5]],1),0)), 0),"")</f>
        <v/>
      </c>
      <c r="N945" s="166" t="str">
        <f>IF(ISNUMBER(deployment_raw[[#This Row],[Column14]]), deployment_raw[[#This Row],[Column14]]/IF(OR($E$2="Deployment",deployment_raw[[#This Row],[Column5]]=0),1,deployment_raw[[#This Row],[Column5]]),"")</f>
        <v/>
      </c>
      <c r="O945" s="167" t="str">
        <f>IF(ISNUMBER(deployment_raw[[#This Row],[Column15]]), deployment_raw[[#This Row],[Column15]]/IF(OR($E$2="Deployment",deployment_raw[[#This Row],[Column5]]=0),1,deployment_raw[[#This Row],[Column5]])/1048576,"")</f>
        <v/>
      </c>
      <c r="P945" s="168" t="str">
        <f>IF(ISNUMBER(deployment_raw[[#This Row],[Column12]]), (MIN(IF(N945&lt;&gt;"",N945,9999999999999)*1.1,deployment_raw[[#This Row],[Column12]] * IF($E$2="Deployment",deployment_raw[[#This Row],[Column5]],1))*(1+$P$2)),"")</f>
        <v/>
      </c>
      <c r="Q945" s="167" t="str">
        <f>IF(ISNUMBER(deployment_raw[[#This Row],[Column13]]), (MIN(IF(O945&lt;&gt;"",O945,9999999999999)*1.1,deployment_raw[[#This Row],[Column13]] * IF($E$2="Deployment",deployment_raw[[#This Row],[Column5]],1)*(1+$Q$2)/1048576)),"")</f>
        <v/>
      </c>
      <c r="R945" s="169" t="str">
        <f>IF(ISNUMBER(deployment_raw[[#This Row],[Column8]]), (H945  * IF(N945&lt;&gt;0,$R$2,1)),"")</f>
        <v/>
      </c>
      <c r="S945" s="170" t="str">
        <f>IF(ISNUMBER(deployment_raw[[#This Row],[Column8]]), (I945  * IF(O945&lt;&gt;0,$S$2,1)),"")</f>
        <v/>
      </c>
      <c r="T945" s="202" t="str">
        <f>IF(AND(A945&lt;&gt;"",_xlfn.IFNA(MATCH(A945,'dynamic resource application '!$A$2:$A$100, 0),0)&lt;&gt;0), H945/(IF($E$2="Deployment",E945,1)),"")</f>
        <v/>
      </c>
      <c r="U945" s="211" t="str">
        <f>IF(AND(A945&lt;&gt;"",_xlfn.IFNA(MATCH(A945,'dynamic resource application '!$A$2:$A$100, 0),0)&lt;&gt;0), I945/(IF($E$2="Deployment",E945,1)),"")</f>
        <v/>
      </c>
    </row>
    <row r="946" spans="1:21" ht="15" customHeight="1" x14ac:dyDescent="0.25">
      <c r="A946" s="35" t="str">
        <f>IF(ISNONTEXT(deployment_raw[[#This Row],[Column1]]), "", deployment_raw[[#This Row],[Column1]])</f>
        <v/>
      </c>
      <c r="B946" s="36" t="str">
        <f>IF(ISNONTEXT(deployment_raw[[#This Row],[Column2]]), "", deployment_raw[[#This Row],[Column2]])</f>
        <v/>
      </c>
      <c r="C946" s="36" t="str">
        <f>IF(ISNONTEXT(deployment_raw[[#This Row],[Column3]]), "", deployment_raw[[#This Row],[Column3]])</f>
        <v/>
      </c>
      <c r="D946" s="36" t="str">
        <f>IF(ISNONTEXT(deployment_raw[[#This Row],[Column4]]), "", deployment_raw[[#This Row],[Column4]])</f>
        <v/>
      </c>
      <c r="E946" s="37" t="str">
        <f>IF(ISNUMBER(deployment_raw[[#This Row],[Column5]]), deployment_raw[[#This Row],[Column5]],"")</f>
        <v/>
      </c>
      <c r="F946" s="94" t="str">
        <f>IF(ISNUMBER(deployment_raw[[#This Row],[Column6]]), (deployment_raw[[#This Row],[Column6]] * IF($E$2="Deployment",deployment_raw[[#This Row],[Column5]],1)),"")</f>
        <v/>
      </c>
      <c r="G946" s="95" t="str">
        <f>IF(ISNUMBER(deployment_raw[[#This Row],[Column7]]), (deployment_raw[[#This Row],[Column7]] * IF($E$2="Deployment",deployment_raw[[#This Row],[Column5]],1))/1048576,"")</f>
        <v/>
      </c>
      <c r="H946" s="95" t="str">
        <f>IF(ISNUMBER(deployment_raw[[#This Row],[Column8]]), (deployment_raw[[#This Row],[Column8]]  * IF($E$2="Deployment",deployment_raw[[#This Row],[Column5]],1)),"")</f>
        <v/>
      </c>
      <c r="I946" s="96" t="str">
        <f>IF(ISNUMBER(deployment_raw[[#This Row],[Column9]]), (deployment_raw[[#This Row],[Column9]] * IF($E$2="Deployment",deployment_raw[[#This Row],[Column5]],1))/1048576,"")</f>
        <v/>
      </c>
      <c r="J946" s="122" t="str">
        <f>IF(ISNUMBER(deployment_raw[[#This Row],[Column10]]), (MIN(IF(N946&lt;&gt;"",N946,9999999999999)*1.1,deployment_raw[[#This Row],[Column10]] * IF($E$2="Deployment",deployment_raw[[#This Row],[Column5]],1))),"")</f>
        <v/>
      </c>
      <c r="K946" s="123" t="str">
        <f>IF(ISNUMBER(deployment_raw[[#This Row],[Column11]]), (MIN(IF(O946&lt;&gt;"",O946,9999999999999)*1.1,deployment_raw[[#This Row],[Column11]] * IF($E$2="Deployment",deployment_raw[[#This Row],[Column5]],1)/1048576)),"")</f>
        <v/>
      </c>
      <c r="L946" s="124" t="str">
        <f>IF(ISNUMBER(deployment_raw[[#This Row],[Column8]]),IF(OR(deployment_raw[[#This Row],[Column5]] &lt;&gt; 0,$E$2 &lt;&gt; "Deployment"), MAX(J946, P946, R946, ($L$2 * IF($E$2="Deployment",deployment_raw[[#This Row],[Column5]],1)),IF(T946&lt;&gt;"",VALUE(T946) * IF($E$2="Deployment",deployment_raw[[#This Row],[Column5]],1),0)), 0),"")</f>
        <v/>
      </c>
      <c r="M946" s="125" t="str">
        <f>IF(ISNUMBER(deployment_raw[[#This Row],[Column9]]),IF(OR(deployment_raw[[#This Row],[Column5]] &lt;&gt; 0,$E$2&lt;&gt;"Deployment"), MAX(K946, Q946, S946, ($M$2 * IF($E$2="Deployment",deployment_raw[[#This Row],[Column5]],1)),IF(U946&lt;&gt;"",VALUE(U946) * IF($E$2="Deployment",deployment_raw[[#This Row],[Column5]],1),0)), 0),"")</f>
        <v/>
      </c>
      <c r="N946" s="166" t="str">
        <f>IF(ISNUMBER(deployment_raw[[#This Row],[Column14]]), deployment_raw[[#This Row],[Column14]]/IF(OR($E$2="Deployment",deployment_raw[[#This Row],[Column5]]=0),1,deployment_raw[[#This Row],[Column5]]),"")</f>
        <v/>
      </c>
      <c r="O946" s="167" t="str">
        <f>IF(ISNUMBER(deployment_raw[[#This Row],[Column15]]), deployment_raw[[#This Row],[Column15]]/IF(OR($E$2="Deployment",deployment_raw[[#This Row],[Column5]]=0),1,deployment_raw[[#This Row],[Column5]])/1048576,"")</f>
        <v/>
      </c>
      <c r="P946" s="168" t="str">
        <f>IF(ISNUMBER(deployment_raw[[#This Row],[Column12]]), (MIN(IF(N946&lt;&gt;"",N946,9999999999999)*1.1,deployment_raw[[#This Row],[Column12]] * IF($E$2="Deployment",deployment_raw[[#This Row],[Column5]],1))*(1+$P$2)),"")</f>
        <v/>
      </c>
      <c r="Q946" s="167" t="str">
        <f>IF(ISNUMBER(deployment_raw[[#This Row],[Column13]]), (MIN(IF(O946&lt;&gt;"",O946,9999999999999)*1.1,deployment_raw[[#This Row],[Column13]] * IF($E$2="Deployment",deployment_raw[[#This Row],[Column5]],1)*(1+$Q$2)/1048576)),"")</f>
        <v/>
      </c>
      <c r="R946" s="169" t="str">
        <f>IF(ISNUMBER(deployment_raw[[#This Row],[Column8]]), (H946  * IF(N946&lt;&gt;0,$R$2,1)),"")</f>
        <v/>
      </c>
      <c r="S946" s="170" t="str">
        <f>IF(ISNUMBER(deployment_raw[[#This Row],[Column8]]), (I946  * IF(O946&lt;&gt;0,$S$2,1)),"")</f>
        <v/>
      </c>
      <c r="T946" s="202" t="str">
        <f>IF(AND(A946&lt;&gt;"",_xlfn.IFNA(MATCH(A946,'dynamic resource application '!$A$2:$A$100, 0),0)&lt;&gt;0), H946/(IF($E$2="Deployment",E946,1)),"")</f>
        <v/>
      </c>
      <c r="U946" s="211" t="str">
        <f>IF(AND(A946&lt;&gt;"",_xlfn.IFNA(MATCH(A946,'dynamic resource application '!$A$2:$A$100, 0),0)&lt;&gt;0), I946/(IF($E$2="Deployment",E946,1)),"")</f>
        <v/>
      </c>
    </row>
    <row r="947" spans="1:21" ht="15" customHeight="1" x14ac:dyDescent="0.25">
      <c r="A947" s="35" t="str">
        <f>IF(ISNONTEXT(deployment_raw[[#This Row],[Column1]]), "", deployment_raw[[#This Row],[Column1]])</f>
        <v/>
      </c>
      <c r="B947" s="36" t="str">
        <f>IF(ISNONTEXT(deployment_raw[[#This Row],[Column2]]), "", deployment_raw[[#This Row],[Column2]])</f>
        <v/>
      </c>
      <c r="C947" s="36" t="str">
        <f>IF(ISNONTEXT(deployment_raw[[#This Row],[Column3]]), "", deployment_raw[[#This Row],[Column3]])</f>
        <v/>
      </c>
      <c r="D947" s="36" t="str">
        <f>IF(ISNONTEXT(deployment_raw[[#This Row],[Column4]]), "", deployment_raw[[#This Row],[Column4]])</f>
        <v/>
      </c>
      <c r="E947" s="37" t="str">
        <f>IF(ISNUMBER(deployment_raw[[#This Row],[Column5]]), deployment_raw[[#This Row],[Column5]],"")</f>
        <v/>
      </c>
      <c r="F947" s="94" t="str">
        <f>IF(ISNUMBER(deployment_raw[[#This Row],[Column6]]), (deployment_raw[[#This Row],[Column6]] * IF($E$2="Deployment",deployment_raw[[#This Row],[Column5]],1)),"")</f>
        <v/>
      </c>
      <c r="G947" s="95" t="str">
        <f>IF(ISNUMBER(deployment_raw[[#This Row],[Column7]]), (deployment_raw[[#This Row],[Column7]] * IF($E$2="Deployment",deployment_raw[[#This Row],[Column5]],1))/1048576,"")</f>
        <v/>
      </c>
      <c r="H947" s="95" t="str">
        <f>IF(ISNUMBER(deployment_raw[[#This Row],[Column8]]), (deployment_raw[[#This Row],[Column8]]  * IF($E$2="Deployment",deployment_raw[[#This Row],[Column5]],1)),"")</f>
        <v/>
      </c>
      <c r="I947" s="96" t="str">
        <f>IF(ISNUMBER(deployment_raw[[#This Row],[Column9]]), (deployment_raw[[#This Row],[Column9]] * IF($E$2="Deployment",deployment_raw[[#This Row],[Column5]],1))/1048576,"")</f>
        <v/>
      </c>
      <c r="J947" s="122" t="str">
        <f>IF(ISNUMBER(deployment_raw[[#This Row],[Column10]]), (MIN(IF(N947&lt;&gt;"",N947,9999999999999)*1.1,deployment_raw[[#This Row],[Column10]] * IF($E$2="Deployment",deployment_raw[[#This Row],[Column5]],1))),"")</f>
        <v/>
      </c>
      <c r="K947" s="123" t="str">
        <f>IF(ISNUMBER(deployment_raw[[#This Row],[Column11]]), (MIN(IF(O947&lt;&gt;"",O947,9999999999999)*1.1,deployment_raw[[#This Row],[Column11]] * IF($E$2="Deployment",deployment_raw[[#This Row],[Column5]],1)/1048576)),"")</f>
        <v/>
      </c>
      <c r="L947" s="124" t="str">
        <f>IF(ISNUMBER(deployment_raw[[#This Row],[Column8]]),IF(OR(deployment_raw[[#This Row],[Column5]] &lt;&gt; 0,$E$2 &lt;&gt; "Deployment"), MAX(J947, P947, R947, ($L$2 * IF($E$2="Deployment",deployment_raw[[#This Row],[Column5]],1)),IF(T947&lt;&gt;"",VALUE(T947) * IF($E$2="Deployment",deployment_raw[[#This Row],[Column5]],1),0)), 0),"")</f>
        <v/>
      </c>
      <c r="M947" s="125" t="str">
        <f>IF(ISNUMBER(deployment_raw[[#This Row],[Column9]]),IF(OR(deployment_raw[[#This Row],[Column5]] &lt;&gt; 0,$E$2&lt;&gt;"Deployment"), MAX(K947, Q947, S947, ($M$2 * IF($E$2="Deployment",deployment_raw[[#This Row],[Column5]],1)),IF(U947&lt;&gt;"",VALUE(U947) * IF($E$2="Deployment",deployment_raw[[#This Row],[Column5]],1),0)), 0),"")</f>
        <v/>
      </c>
      <c r="N947" s="166" t="str">
        <f>IF(ISNUMBER(deployment_raw[[#This Row],[Column14]]), deployment_raw[[#This Row],[Column14]]/IF(OR($E$2="Deployment",deployment_raw[[#This Row],[Column5]]=0),1,deployment_raw[[#This Row],[Column5]]),"")</f>
        <v/>
      </c>
      <c r="O947" s="167" t="str">
        <f>IF(ISNUMBER(deployment_raw[[#This Row],[Column15]]), deployment_raw[[#This Row],[Column15]]/IF(OR($E$2="Deployment",deployment_raw[[#This Row],[Column5]]=0),1,deployment_raw[[#This Row],[Column5]])/1048576,"")</f>
        <v/>
      </c>
      <c r="P947" s="168" t="str">
        <f>IF(ISNUMBER(deployment_raw[[#This Row],[Column12]]), (MIN(IF(N947&lt;&gt;"",N947,9999999999999)*1.1,deployment_raw[[#This Row],[Column12]] * IF($E$2="Deployment",deployment_raw[[#This Row],[Column5]],1))*(1+$P$2)),"")</f>
        <v/>
      </c>
      <c r="Q947" s="167" t="str">
        <f>IF(ISNUMBER(deployment_raw[[#This Row],[Column13]]), (MIN(IF(O947&lt;&gt;"",O947,9999999999999)*1.1,deployment_raw[[#This Row],[Column13]] * IF($E$2="Deployment",deployment_raw[[#This Row],[Column5]],1)*(1+$Q$2)/1048576)),"")</f>
        <v/>
      </c>
      <c r="R947" s="169" t="str">
        <f>IF(ISNUMBER(deployment_raw[[#This Row],[Column8]]), (H947  * IF(N947&lt;&gt;0,$R$2,1)),"")</f>
        <v/>
      </c>
      <c r="S947" s="170" t="str">
        <f>IF(ISNUMBER(deployment_raw[[#This Row],[Column8]]), (I947  * IF(O947&lt;&gt;0,$S$2,1)),"")</f>
        <v/>
      </c>
      <c r="T947" s="202" t="str">
        <f>IF(AND(A947&lt;&gt;"",_xlfn.IFNA(MATCH(A947,'dynamic resource application '!$A$2:$A$100, 0),0)&lt;&gt;0), H947/(IF($E$2="Deployment",E947,1)),"")</f>
        <v/>
      </c>
      <c r="U947" s="211" t="str">
        <f>IF(AND(A947&lt;&gt;"",_xlfn.IFNA(MATCH(A947,'dynamic resource application '!$A$2:$A$100, 0),0)&lt;&gt;0), I947/(IF($E$2="Deployment",E947,1)),"")</f>
        <v/>
      </c>
    </row>
    <row r="948" spans="1:21" ht="15" customHeight="1" x14ac:dyDescent="0.25">
      <c r="A948" s="35" t="str">
        <f>IF(ISNONTEXT(deployment_raw[[#This Row],[Column1]]), "", deployment_raw[[#This Row],[Column1]])</f>
        <v/>
      </c>
      <c r="B948" s="36" t="str">
        <f>IF(ISNONTEXT(deployment_raw[[#This Row],[Column2]]), "", deployment_raw[[#This Row],[Column2]])</f>
        <v/>
      </c>
      <c r="C948" s="36" t="str">
        <f>IF(ISNONTEXT(deployment_raw[[#This Row],[Column3]]), "", deployment_raw[[#This Row],[Column3]])</f>
        <v/>
      </c>
      <c r="D948" s="36" t="str">
        <f>IF(ISNONTEXT(deployment_raw[[#This Row],[Column4]]), "", deployment_raw[[#This Row],[Column4]])</f>
        <v/>
      </c>
      <c r="E948" s="37" t="str">
        <f>IF(ISNUMBER(deployment_raw[[#This Row],[Column5]]), deployment_raw[[#This Row],[Column5]],"")</f>
        <v/>
      </c>
      <c r="F948" s="94" t="str">
        <f>IF(ISNUMBER(deployment_raw[[#This Row],[Column6]]), (deployment_raw[[#This Row],[Column6]] * IF($E$2="Deployment",deployment_raw[[#This Row],[Column5]],1)),"")</f>
        <v/>
      </c>
      <c r="G948" s="95" t="str">
        <f>IF(ISNUMBER(deployment_raw[[#This Row],[Column7]]), (deployment_raw[[#This Row],[Column7]] * IF($E$2="Deployment",deployment_raw[[#This Row],[Column5]],1))/1048576,"")</f>
        <v/>
      </c>
      <c r="H948" s="95" t="str">
        <f>IF(ISNUMBER(deployment_raw[[#This Row],[Column8]]), (deployment_raw[[#This Row],[Column8]]  * IF($E$2="Deployment",deployment_raw[[#This Row],[Column5]],1)),"")</f>
        <v/>
      </c>
      <c r="I948" s="96" t="str">
        <f>IF(ISNUMBER(deployment_raw[[#This Row],[Column9]]), (deployment_raw[[#This Row],[Column9]] * IF($E$2="Deployment",deployment_raw[[#This Row],[Column5]],1))/1048576,"")</f>
        <v/>
      </c>
      <c r="J948" s="122" t="str">
        <f>IF(ISNUMBER(deployment_raw[[#This Row],[Column10]]), (MIN(IF(N948&lt;&gt;"",N948,9999999999999)*1.1,deployment_raw[[#This Row],[Column10]] * IF($E$2="Deployment",deployment_raw[[#This Row],[Column5]],1))),"")</f>
        <v/>
      </c>
      <c r="K948" s="123" t="str">
        <f>IF(ISNUMBER(deployment_raw[[#This Row],[Column11]]), (MIN(IF(O948&lt;&gt;"",O948,9999999999999)*1.1,deployment_raw[[#This Row],[Column11]] * IF($E$2="Deployment",deployment_raw[[#This Row],[Column5]],1)/1048576)),"")</f>
        <v/>
      </c>
      <c r="L948" s="124" t="str">
        <f>IF(ISNUMBER(deployment_raw[[#This Row],[Column8]]),IF(OR(deployment_raw[[#This Row],[Column5]] &lt;&gt; 0,$E$2 &lt;&gt; "Deployment"), MAX(J948, P948, R948, ($L$2 * IF($E$2="Deployment",deployment_raw[[#This Row],[Column5]],1)),IF(T948&lt;&gt;"",VALUE(T948) * IF($E$2="Deployment",deployment_raw[[#This Row],[Column5]],1),0)), 0),"")</f>
        <v/>
      </c>
      <c r="M948" s="125" t="str">
        <f>IF(ISNUMBER(deployment_raw[[#This Row],[Column9]]),IF(OR(deployment_raw[[#This Row],[Column5]] &lt;&gt; 0,$E$2&lt;&gt;"Deployment"), MAX(K948, Q948, S948, ($M$2 * IF($E$2="Deployment",deployment_raw[[#This Row],[Column5]],1)),IF(U948&lt;&gt;"",VALUE(U948) * IF($E$2="Deployment",deployment_raw[[#This Row],[Column5]],1),0)), 0),"")</f>
        <v/>
      </c>
      <c r="N948" s="166" t="str">
        <f>IF(ISNUMBER(deployment_raw[[#This Row],[Column14]]), deployment_raw[[#This Row],[Column14]]/IF(OR($E$2="Deployment",deployment_raw[[#This Row],[Column5]]=0),1,deployment_raw[[#This Row],[Column5]]),"")</f>
        <v/>
      </c>
      <c r="O948" s="167" t="str">
        <f>IF(ISNUMBER(deployment_raw[[#This Row],[Column15]]), deployment_raw[[#This Row],[Column15]]/IF(OR($E$2="Deployment",deployment_raw[[#This Row],[Column5]]=0),1,deployment_raw[[#This Row],[Column5]])/1048576,"")</f>
        <v/>
      </c>
      <c r="P948" s="168" t="str">
        <f>IF(ISNUMBER(deployment_raw[[#This Row],[Column12]]), (MIN(IF(N948&lt;&gt;"",N948,9999999999999)*1.1,deployment_raw[[#This Row],[Column12]] * IF($E$2="Deployment",deployment_raw[[#This Row],[Column5]],1))*(1+$P$2)),"")</f>
        <v/>
      </c>
      <c r="Q948" s="167" t="str">
        <f>IF(ISNUMBER(deployment_raw[[#This Row],[Column13]]), (MIN(IF(O948&lt;&gt;"",O948,9999999999999)*1.1,deployment_raw[[#This Row],[Column13]] * IF($E$2="Deployment",deployment_raw[[#This Row],[Column5]],1)*(1+$Q$2)/1048576)),"")</f>
        <v/>
      </c>
      <c r="R948" s="169" t="str">
        <f>IF(ISNUMBER(deployment_raw[[#This Row],[Column8]]), (H948  * IF(N948&lt;&gt;0,$R$2,1)),"")</f>
        <v/>
      </c>
      <c r="S948" s="170" t="str">
        <f>IF(ISNUMBER(deployment_raw[[#This Row],[Column8]]), (I948  * IF(O948&lt;&gt;0,$S$2,1)),"")</f>
        <v/>
      </c>
      <c r="T948" s="202" t="str">
        <f>IF(AND(A948&lt;&gt;"",_xlfn.IFNA(MATCH(A948,'dynamic resource application '!$A$2:$A$100, 0),0)&lt;&gt;0), H948/(IF($E$2="Deployment",E948,1)),"")</f>
        <v/>
      </c>
      <c r="U948" s="211" t="str">
        <f>IF(AND(A948&lt;&gt;"",_xlfn.IFNA(MATCH(A948,'dynamic resource application '!$A$2:$A$100, 0),0)&lt;&gt;0), I948/(IF($E$2="Deployment",E948,1)),"")</f>
        <v/>
      </c>
    </row>
    <row r="949" spans="1:21" ht="15" customHeight="1" x14ac:dyDescent="0.25">
      <c r="A949" s="35" t="str">
        <f>IF(ISNONTEXT(deployment_raw[[#This Row],[Column1]]), "", deployment_raw[[#This Row],[Column1]])</f>
        <v/>
      </c>
      <c r="B949" s="36" t="str">
        <f>IF(ISNONTEXT(deployment_raw[[#This Row],[Column2]]), "", deployment_raw[[#This Row],[Column2]])</f>
        <v/>
      </c>
      <c r="C949" s="36" t="str">
        <f>IF(ISNONTEXT(deployment_raw[[#This Row],[Column3]]), "", deployment_raw[[#This Row],[Column3]])</f>
        <v/>
      </c>
      <c r="D949" s="36" t="str">
        <f>IF(ISNONTEXT(deployment_raw[[#This Row],[Column4]]), "", deployment_raw[[#This Row],[Column4]])</f>
        <v/>
      </c>
      <c r="E949" s="37" t="str">
        <f>IF(ISNUMBER(deployment_raw[[#This Row],[Column5]]), deployment_raw[[#This Row],[Column5]],"")</f>
        <v/>
      </c>
      <c r="F949" s="94" t="str">
        <f>IF(ISNUMBER(deployment_raw[[#This Row],[Column6]]), (deployment_raw[[#This Row],[Column6]] * IF($E$2="Deployment",deployment_raw[[#This Row],[Column5]],1)),"")</f>
        <v/>
      </c>
      <c r="G949" s="95" t="str">
        <f>IF(ISNUMBER(deployment_raw[[#This Row],[Column7]]), (deployment_raw[[#This Row],[Column7]] * IF($E$2="Deployment",deployment_raw[[#This Row],[Column5]],1))/1048576,"")</f>
        <v/>
      </c>
      <c r="H949" s="95" t="str">
        <f>IF(ISNUMBER(deployment_raw[[#This Row],[Column8]]), (deployment_raw[[#This Row],[Column8]]  * IF($E$2="Deployment",deployment_raw[[#This Row],[Column5]],1)),"")</f>
        <v/>
      </c>
      <c r="I949" s="96" t="str">
        <f>IF(ISNUMBER(deployment_raw[[#This Row],[Column9]]), (deployment_raw[[#This Row],[Column9]] * IF($E$2="Deployment",deployment_raw[[#This Row],[Column5]],1))/1048576,"")</f>
        <v/>
      </c>
      <c r="J949" s="122" t="str">
        <f>IF(ISNUMBER(deployment_raw[[#This Row],[Column10]]), (MIN(IF(N949&lt;&gt;"",N949,9999999999999)*1.1,deployment_raw[[#This Row],[Column10]] * IF($E$2="Deployment",deployment_raw[[#This Row],[Column5]],1))),"")</f>
        <v/>
      </c>
      <c r="K949" s="123" t="str">
        <f>IF(ISNUMBER(deployment_raw[[#This Row],[Column11]]), (MIN(IF(O949&lt;&gt;"",O949,9999999999999)*1.1,deployment_raw[[#This Row],[Column11]] * IF($E$2="Deployment",deployment_raw[[#This Row],[Column5]],1)/1048576)),"")</f>
        <v/>
      </c>
      <c r="L949" s="124" t="str">
        <f>IF(ISNUMBER(deployment_raw[[#This Row],[Column8]]),IF(OR(deployment_raw[[#This Row],[Column5]] &lt;&gt; 0,$E$2 &lt;&gt; "Deployment"), MAX(J949, P949, R949, ($L$2 * IF($E$2="Deployment",deployment_raw[[#This Row],[Column5]],1)),IF(T949&lt;&gt;"",VALUE(T949) * IF($E$2="Deployment",deployment_raw[[#This Row],[Column5]],1),0)), 0),"")</f>
        <v/>
      </c>
      <c r="M949" s="125" t="str">
        <f>IF(ISNUMBER(deployment_raw[[#This Row],[Column9]]),IF(OR(deployment_raw[[#This Row],[Column5]] &lt;&gt; 0,$E$2&lt;&gt;"Deployment"), MAX(K949, Q949, S949, ($M$2 * IF($E$2="Deployment",deployment_raw[[#This Row],[Column5]],1)),IF(U949&lt;&gt;"",VALUE(U949) * IF($E$2="Deployment",deployment_raw[[#This Row],[Column5]],1),0)), 0),"")</f>
        <v/>
      </c>
      <c r="N949" s="166" t="str">
        <f>IF(ISNUMBER(deployment_raw[[#This Row],[Column14]]), deployment_raw[[#This Row],[Column14]]/IF(OR($E$2="Deployment",deployment_raw[[#This Row],[Column5]]=0),1,deployment_raw[[#This Row],[Column5]]),"")</f>
        <v/>
      </c>
      <c r="O949" s="167" t="str">
        <f>IF(ISNUMBER(deployment_raw[[#This Row],[Column15]]), deployment_raw[[#This Row],[Column15]]/IF(OR($E$2="Deployment",deployment_raw[[#This Row],[Column5]]=0),1,deployment_raw[[#This Row],[Column5]])/1048576,"")</f>
        <v/>
      </c>
      <c r="P949" s="168" t="str">
        <f>IF(ISNUMBER(deployment_raw[[#This Row],[Column12]]), (MIN(IF(N949&lt;&gt;"",N949,9999999999999)*1.1,deployment_raw[[#This Row],[Column12]] * IF($E$2="Deployment",deployment_raw[[#This Row],[Column5]],1))*(1+$P$2)),"")</f>
        <v/>
      </c>
      <c r="Q949" s="167" t="str">
        <f>IF(ISNUMBER(deployment_raw[[#This Row],[Column13]]), (MIN(IF(O949&lt;&gt;"",O949,9999999999999)*1.1,deployment_raw[[#This Row],[Column13]] * IF($E$2="Deployment",deployment_raw[[#This Row],[Column5]],1)*(1+$Q$2)/1048576)),"")</f>
        <v/>
      </c>
      <c r="R949" s="169" t="str">
        <f>IF(ISNUMBER(deployment_raw[[#This Row],[Column8]]), (H949  * IF(N949&lt;&gt;0,$R$2,1)),"")</f>
        <v/>
      </c>
      <c r="S949" s="170" t="str">
        <f>IF(ISNUMBER(deployment_raw[[#This Row],[Column8]]), (I949  * IF(O949&lt;&gt;0,$S$2,1)),"")</f>
        <v/>
      </c>
      <c r="T949" s="202" t="str">
        <f>IF(AND(A949&lt;&gt;"",_xlfn.IFNA(MATCH(A949,'dynamic resource application '!$A$2:$A$100, 0),0)&lt;&gt;0), H949/(IF($E$2="Deployment",E949,1)),"")</f>
        <v/>
      </c>
      <c r="U949" s="211" t="str">
        <f>IF(AND(A949&lt;&gt;"",_xlfn.IFNA(MATCH(A949,'dynamic resource application '!$A$2:$A$100, 0),0)&lt;&gt;0), I949/(IF($E$2="Deployment",E949,1)),"")</f>
        <v/>
      </c>
    </row>
    <row r="950" spans="1:21" ht="15" customHeight="1" x14ac:dyDescent="0.25">
      <c r="A950" s="35" t="str">
        <f>IF(ISNONTEXT(deployment_raw[[#This Row],[Column1]]), "", deployment_raw[[#This Row],[Column1]])</f>
        <v/>
      </c>
      <c r="B950" s="36" t="str">
        <f>IF(ISNONTEXT(deployment_raw[[#This Row],[Column2]]), "", deployment_raw[[#This Row],[Column2]])</f>
        <v/>
      </c>
      <c r="C950" s="36" t="str">
        <f>IF(ISNONTEXT(deployment_raw[[#This Row],[Column3]]), "", deployment_raw[[#This Row],[Column3]])</f>
        <v/>
      </c>
      <c r="D950" s="36" t="str">
        <f>IF(ISNONTEXT(deployment_raw[[#This Row],[Column4]]), "", deployment_raw[[#This Row],[Column4]])</f>
        <v/>
      </c>
      <c r="E950" s="37" t="str">
        <f>IF(ISNUMBER(deployment_raw[[#This Row],[Column5]]), deployment_raw[[#This Row],[Column5]],"")</f>
        <v/>
      </c>
      <c r="F950" s="94" t="str">
        <f>IF(ISNUMBER(deployment_raw[[#This Row],[Column6]]), (deployment_raw[[#This Row],[Column6]] * IF($E$2="Deployment",deployment_raw[[#This Row],[Column5]],1)),"")</f>
        <v/>
      </c>
      <c r="G950" s="95" t="str">
        <f>IF(ISNUMBER(deployment_raw[[#This Row],[Column7]]), (deployment_raw[[#This Row],[Column7]] * IF($E$2="Deployment",deployment_raw[[#This Row],[Column5]],1))/1048576,"")</f>
        <v/>
      </c>
      <c r="H950" s="95" t="str">
        <f>IF(ISNUMBER(deployment_raw[[#This Row],[Column8]]), (deployment_raw[[#This Row],[Column8]]  * IF($E$2="Deployment",deployment_raw[[#This Row],[Column5]],1)),"")</f>
        <v/>
      </c>
      <c r="I950" s="96" t="str">
        <f>IF(ISNUMBER(deployment_raw[[#This Row],[Column9]]), (deployment_raw[[#This Row],[Column9]] * IF($E$2="Deployment",deployment_raw[[#This Row],[Column5]],1))/1048576,"")</f>
        <v/>
      </c>
      <c r="J950" s="122" t="str">
        <f>IF(ISNUMBER(deployment_raw[[#This Row],[Column10]]), (MIN(IF(N950&lt;&gt;"",N950,9999999999999)*1.1,deployment_raw[[#This Row],[Column10]] * IF($E$2="Deployment",deployment_raw[[#This Row],[Column5]],1))),"")</f>
        <v/>
      </c>
      <c r="K950" s="123" t="str">
        <f>IF(ISNUMBER(deployment_raw[[#This Row],[Column11]]), (MIN(IF(O950&lt;&gt;"",O950,9999999999999)*1.1,deployment_raw[[#This Row],[Column11]] * IF($E$2="Deployment",deployment_raw[[#This Row],[Column5]],1)/1048576)),"")</f>
        <v/>
      </c>
      <c r="L950" s="124" t="str">
        <f>IF(ISNUMBER(deployment_raw[[#This Row],[Column8]]),IF(OR(deployment_raw[[#This Row],[Column5]] &lt;&gt; 0,$E$2 &lt;&gt; "Deployment"), MAX(J950, P950, R950, ($L$2 * IF($E$2="Deployment",deployment_raw[[#This Row],[Column5]],1)),IF(T950&lt;&gt;"",VALUE(T950) * IF($E$2="Deployment",deployment_raw[[#This Row],[Column5]],1),0)), 0),"")</f>
        <v/>
      </c>
      <c r="M950" s="125" t="str">
        <f>IF(ISNUMBER(deployment_raw[[#This Row],[Column9]]),IF(OR(deployment_raw[[#This Row],[Column5]] &lt;&gt; 0,$E$2&lt;&gt;"Deployment"), MAX(K950, Q950, S950, ($M$2 * IF($E$2="Deployment",deployment_raw[[#This Row],[Column5]],1)),IF(U950&lt;&gt;"",VALUE(U950) * IF($E$2="Deployment",deployment_raw[[#This Row],[Column5]],1),0)), 0),"")</f>
        <v/>
      </c>
      <c r="N950" s="166" t="str">
        <f>IF(ISNUMBER(deployment_raw[[#This Row],[Column14]]), deployment_raw[[#This Row],[Column14]]/IF(OR($E$2="Deployment",deployment_raw[[#This Row],[Column5]]=0),1,deployment_raw[[#This Row],[Column5]]),"")</f>
        <v/>
      </c>
      <c r="O950" s="167" t="str">
        <f>IF(ISNUMBER(deployment_raw[[#This Row],[Column15]]), deployment_raw[[#This Row],[Column15]]/IF(OR($E$2="Deployment",deployment_raw[[#This Row],[Column5]]=0),1,deployment_raw[[#This Row],[Column5]])/1048576,"")</f>
        <v/>
      </c>
      <c r="P950" s="168" t="str">
        <f>IF(ISNUMBER(deployment_raw[[#This Row],[Column12]]), (MIN(IF(N950&lt;&gt;"",N950,9999999999999)*1.1,deployment_raw[[#This Row],[Column12]] * IF($E$2="Deployment",deployment_raw[[#This Row],[Column5]],1))*(1+$P$2)),"")</f>
        <v/>
      </c>
      <c r="Q950" s="167" t="str">
        <f>IF(ISNUMBER(deployment_raw[[#This Row],[Column13]]), (MIN(IF(O950&lt;&gt;"",O950,9999999999999)*1.1,deployment_raw[[#This Row],[Column13]] * IF($E$2="Deployment",deployment_raw[[#This Row],[Column5]],1)*(1+$Q$2)/1048576)),"")</f>
        <v/>
      </c>
      <c r="R950" s="169" t="str">
        <f>IF(ISNUMBER(deployment_raw[[#This Row],[Column8]]), (H950  * IF(N950&lt;&gt;0,$R$2,1)),"")</f>
        <v/>
      </c>
      <c r="S950" s="170" t="str">
        <f>IF(ISNUMBER(deployment_raw[[#This Row],[Column8]]), (I950  * IF(O950&lt;&gt;0,$S$2,1)),"")</f>
        <v/>
      </c>
      <c r="T950" s="202" t="str">
        <f>IF(AND(A950&lt;&gt;"",_xlfn.IFNA(MATCH(A950,'dynamic resource application '!$A$2:$A$100, 0),0)&lt;&gt;0), H950/(IF($E$2="Deployment",E950,1)),"")</f>
        <v/>
      </c>
      <c r="U950" s="211" t="str">
        <f>IF(AND(A950&lt;&gt;"",_xlfn.IFNA(MATCH(A950,'dynamic resource application '!$A$2:$A$100, 0),0)&lt;&gt;0), I950/(IF($E$2="Deployment",E950,1)),"")</f>
        <v/>
      </c>
    </row>
    <row r="951" spans="1:21" ht="15" customHeight="1" x14ac:dyDescent="0.25">
      <c r="A951" s="35" t="str">
        <f>IF(ISNONTEXT(deployment_raw[[#This Row],[Column1]]), "", deployment_raw[[#This Row],[Column1]])</f>
        <v/>
      </c>
      <c r="B951" s="36" t="str">
        <f>IF(ISNONTEXT(deployment_raw[[#This Row],[Column2]]), "", deployment_raw[[#This Row],[Column2]])</f>
        <v/>
      </c>
      <c r="C951" s="36" t="str">
        <f>IF(ISNONTEXT(deployment_raw[[#This Row],[Column3]]), "", deployment_raw[[#This Row],[Column3]])</f>
        <v/>
      </c>
      <c r="D951" s="36" t="str">
        <f>IF(ISNONTEXT(deployment_raw[[#This Row],[Column4]]), "", deployment_raw[[#This Row],[Column4]])</f>
        <v/>
      </c>
      <c r="E951" s="37" t="str">
        <f>IF(ISNUMBER(deployment_raw[[#This Row],[Column5]]), deployment_raw[[#This Row],[Column5]],"")</f>
        <v/>
      </c>
      <c r="F951" s="94" t="str">
        <f>IF(ISNUMBER(deployment_raw[[#This Row],[Column6]]), (deployment_raw[[#This Row],[Column6]] * IF($E$2="Deployment",deployment_raw[[#This Row],[Column5]],1)),"")</f>
        <v/>
      </c>
      <c r="G951" s="95" t="str">
        <f>IF(ISNUMBER(deployment_raw[[#This Row],[Column7]]), (deployment_raw[[#This Row],[Column7]] * IF($E$2="Deployment",deployment_raw[[#This Row],[Column5]],1))/1048576,"")</f>
        <v/>
      </c>
      <c r="H951" s="95" t="str">
        <f>IF(ISNUMBER(deployment_raw[[#This Row],[Column8]]), (deployment_raw[[#This Row],[Column8]]  * IF($E$2="Deployment",deployment_raw[[#This Row],[Column5]],1)),"")</f>
        <v/>
      </c>
      <c r="I951" s="96" t="str">
        <f>IF(ISNUMBER(deployment_raw[[#This Row],[Column9]]), (deployment_raw[[#This Row],[Column9]] * IF($E$2="Deployment",deployment_raw[[#This Row],[Column5]],1))/1048576,"")</f>
        <v/>
      </c>
      <c r="J951" s="122" t="str">
        <f>IF(ISNUMBER(deployment_raw[[#This Row],[Column10]]), (MIN(IF(N951&lt;&gt;"",N951,9999999999999)*1.1,deployment_raw[[#This Row],[Column10]] * IF($E$2="Deployment",deployment_raw[[#This Row],[Column5]],1))),"")</f>
        <v/>
      </c>
      <c r="K951" s="123" t="str">
        <f>IF(ISNUMBER(deployment_raw[[#This Row],[Column11]]), (MIN(IF(O951&lt;&gt;"",O951,9999999999999)*1.1,deployment_raw[[#This Row],[Column11]] * IF($E$2="Deployment",deployment_raw[[#This Row],[Column5]],1)/1048576)),"")</f>
        <v/>
      </c>
      <c r="L951" s="124" t="str">
        <f>IF(ISNUMBER(deployment_raw[[#This Row],[Column8]]),IF(OR(deployment_raw[[#This Row],[Column5]] &lt;&gt; 0,$E$2 &lt;&gt; "Deployment"), MAX(J951, P951, R951, ($L$2 * IF($E$2="Deployment",deployment_raw[[#This Row],[Column5]],1)),IF(T951&lt;&gt;"",VALUE(T951) * IF($E$2="Deployment",deployment_raw[[#This Row],[Column5]],1),0)), 0),"")</f>
        <v/>
      </c>
      <c r="M951" s="125" t="str">
        <f>IF(ISNUMBER(deployment_raw[[#This Row],[Column9]]),IF(OR(deployment_raw[[#This Row],[Column5]] &lt;&gt; 0,$E$2&lt;&gt;"Deployment"), MAX(K951, Q951, S951, ($M$2 * IF($E$2="Deployment",deployment_raw[[#This Row],[Column5]],1)),IF(U951&lt;&gt;"",VALUE(U951) * IF($E$2="Deployment",deployment_raw[[#This Row],[Column5]],1),0)), 0),"")</f>
        <v/>
      </c>
      <c r="N951" s="166" t="str">
        <f>IF(ISNUMBER(deployment_raw[[#This Row],[Column14]]), deployment_raw[[#This Row],[Column14]]/IF(OR($E$2="Deployment",deployment_raw[[#This Row],[Column5]]=0),1,deployment_raw[[#This Row],[Column5]]),"")</f>
        <v/>
      </c>
      <c r="O951" s="167" t="str">
        <f>IF(ISNUMBER(deployment_raw[[#This Row],[Column15]]), deployment_raw[[#This Row],[Column15]]/IF(OR($E$2="Deployment",deployment_raw[[#This Row],[Column5]]=0),1,deployment_raw[[#This Row],[Column5]])/1048576,"")</f>
        <v/>
      </c>
      <c r="P951" s="168" t="str">
        <f>IF(ISNUMBER(deployment_raw[[#This Row],[Column12]]), (MIN(IF(N951&lt;&gt;"",N951,9999999999999)*1.1,deployment_raw[[#This Row],[Column12]] * IF($E$2="Deployment",deployment_raw[[#This Row],[Column5]],1))*(1+$P$2)),"")</f>
        <v/>
      </c>
      <c r="Q951" s="167" t="str">
        <f>IF(ISNUMBER(deployment_raw[[#This Row],[Column13]]), (MIN(IF(O951&lt;&gt;"",O951,9999999999999)*1.1,deployment_raw[[#This Row],[Column13]] * IF($E$2="Deployment",deployment_raw[[#This Row],[Column5]],1)*(1+$Q$2)/1048576)),"")</f>
        <v/>
      </c>
      <c r="R951" s="169" t="str">
        <f>IF(ISNUMBER(deployment_raw[[#This Row],[Column8]]), (H951  * IF(N951&lt;&gt;0,$R$2,1)),"")</f>
        <v/>
      </c>
      <c r="S951" s="170" t="str">
        <f>IF(ISNUMBER(deployment_raw[[#This Row],[Column8]]), (I951  * IF(O951&lt;&gt;0,$S$2,1)),"")</f>
        <v/>
      </c>
      <c r="T951" s="202" t="str">
        <f>IF(AND(A951&lt;&gt;"",_xlfn.IFNA(MATCH(A951,'dynamic resource application '!$A$2:$A$100, 0),0)&lt;&gt;0), H951/(IF($E$2="Deployment",E951,1)),"")</f>
        <v/>
      </c>
      <c r="U951" s="211" t="str">
        <f>IF(AND(A951&lt;&gt;"",_xlfn.IFNA(MATCH(A951,'dynamic resource application '!$A$2:$A$100, 0),0)&lt;&gt;0), I951/(IF($E$2="Deployment",E951,1)),"")</f>
        <v/>
      </c>
    </row>
    <row r="952" spans="1:21" ht="15" customHeight="1" x14ac:dyDescent="0.25">
      <c r="A952" s="35" t="str">
        <f>IF(ISNONTEXT(deployment_raw[[#This Row],[Column1]]), "", deployment_raw[[#This Row],[Column1]])</f>
        <v/>
      </c>
      <c r="B952" s="36" t="str">
        <f>IF(ISNONTEXT(deployment_raw[[#This Row],[Column2]]), "", deployment_raw[[#This Row],[Column2]])</f>
        <v/>
      </c>
      <c r="C952" s="36" t="str">
        <f>IF(ISNONTEXT(deployment_raw[[#This Row],[Column3]]), "", deployment_raw[[#This Row],[Column3]])</f>
        <v/>
      </c>
      <c r="D952" s="36" t="str">
        <f>IF(ISNONTEXT(deployment_raw[[#This Row],[Column4]]), "", deployment_raw[[#This Row],[Column4]])</f>
        <v/>
      </c>
      <c r="E952" s="37" t="str">
        <f>IF(ISNUMBER(deployment_raw[[#This Row],[Column5]]), deployment_raw[[#This Row],[Column5]],"")</f>
        <v/>
      </c>
      <c r="F952" s="94" t="str">
        <f>IF(ISNUMBER(deployment_raw[[#This Row],[Column6]]), (deployment_raw[[#This Row],[Column6]] * IF($E$2="Deployment",deployment_raw[[#This Row],[Column5]],1)),"")</f>
        <v/>
      </c>
      <c r="G952" s="95" t="str">
        <f>IF(ISNUMBER(deployment_raw[[#This Row],[Column7]]), (deployment_raw[[#This Row],[Column7]] * IF($E$2="Deployment",deployment_raw[[#This Row],[Column5]],1))/1048576,"")</f>
        <v/>
      </c>
      <c r="H952" s="95" t="str">
        <f>IF(ISNUMBER(deployment_raw[[#This Row],[Column8]]), (deployment_raw[[#This Row],[Column8]]  * IF($E$2="Deployment",deployment_raw[[#This Row],[Column5]],1)),"")</f>
        <v/>
      </c>
      <c r="I952" s="96" t="str">
        <f>IF(ISNUMBER(deployment_raw[[#This Row],[Column9]]), (deployment_raw[[#This Row],[Column9]] * IF($E$2="Deployment",deployment_raw[[#This Row],[Column5]],1))/1048576,"")</f>
        <v/>
      </c>
      <c r="J952" s="122" t="str">
        <f>IF(ISNUMBER(deployment_raw[[#This Row],[Column10]]), (MIN(IF(N952&lt;&gt;"",N952,9999999999999)*1.1,deployment_raw[[#This Row],[Column10]] * IF($E$2="Deployment",deployment_raw[[#This Row],[Column5]],1))),"")</f>
        <v/>
      </c>
      <c r="K952" s="123" t="str">
        <f>IF(ISNUMBER(deployment_raw[[#This Row],[Column11]]), (MIN(IF(O952&lt;&gt;"",O952,9999999999999)*1.1,deployment_raw[[#This Row],[Column11]] * IF($E$2="Deployment",deployment_raw[[#This Row],[Column5]],1)/1048576)),"")</f>
        <v/>
      </c>
      <c r="L952" s="124" t="str">
        <f>IF(ISNUMBER(deployment_raw[[#This Row],[Column8]]),IF(OR(deployment_raw[[#This Row],[Column5]] &lt;&gt; 0,$E$2 &lt;&gt; "Deployment"), MAX(J952, P952, R952, ($L$2 * IF($E$2="Deployment",deployment_raw[[#This Row],[Column5]],1)),IF(T952&lt;&gt;"",VALUE(T952) * IF($E$2="Deployment",deployment_raw[[#This Row],[Column5]],1),0)), 0),"")</f>
        <v/>
      </c>
      <c r="M952" s="125" t="str">
        <f>IF(ISNUMBER(deployment_raw[[#This Row],[Column9]]),IF(OR(deployment_raw[[#This Row],[Column5]] &lt;&gt; 0,$E$2&lt;&gt;"Deployment"), MAX(K952, Q952, S952, ($M$2 * IF($E$2="Deployment",deployment_raw[[#This Row],[Column5]],1)),IF(U952&lt;&gt;"",VALUE(U952) * IF($E$2="Deployment",deployment_raw[[#This Row],[Column5]],1),0)), 0),"")</f>
        <v/>
      </c>
      <c r="N952" s="166" t="str">
        <f>IF(ISNUMBER(deployment_raw[[#This Row],[Column14]]), deployment_raw[[#This Row],[Column14]]/IF(OR($E$2="Deployment",deployment_raw[[#This Row],[Column5]]=0),1,deployment_raw[[#This Row],[Column5]]),"")</f>
        <v/>
      </c>
      <c r="O952" s="167" t="str">
        <f>IF(ISNUMBER(deployment_raw[[#This Row],[Column15]]), deployment_raw[[#This Row],[Column15]]/IF(OR($E$2="Deployment",deployment_raw[[#This Row],[Column5]]=0),1,deployment_raw[[#This Row],[Column5]])/1048576,"")</f>
        <v/>
      </c>
      <c r="P952" s="168" t="str">
        <f>IF(ISNUMBER(deployment_raw[[#This Row],[Column12]]), (MIN(IF(N952&lt;&gt;"",N952,9999999999999)*1.1,deployment_raw[[#This Row],[Column12]] * IF($E$2="Deployment",deployment_raw[[#This Row],[Column5]],1))*(1+$P$2)),"")</f>
        <v/>
      </c>
      <c r="Q952" s="167" t="str">
        <f>IF(ISNUMBER(deployment_raw[[#This Row],[Column13]]), (MIN(IF(O952&lt;&gt;"",O952,9999999999999)*1.1,deployment_raw[[#This Row],[Column13]] * IF($E$2="Deployment",deployment_raw[[#This Row],[Column5]],1)*(1+$Q$2)/1048576)),"")</f>
        <v/>
      </c>
      <c r="R952" s="169" t="str">
        <f>IF(ISNUMBER(deployment_raw[[#This Row],[Column8]]), (H952  * IF(N952&lt;&gt;0,$R$2,1)),"")</f>
        <v/>
      </c>
      <c r="S952" s="170" t="str">
        <f>IF(ISNUMBER(deployment_raw[[#This Row],[Column8]]), (I952  * IF(O952&lt;&gt;0,$S$2,1)),"")</f>
        <v/>
      </c>
      <c r="T952" s="202" t="str">
        <f>IF(AND(A952&lt;&gt;"",_xlfn.IFNA(MATCH(A952,'dynamic resource application '!$A$2:$A$100, 0),0)&lt;&gt;0), H952/(IF($E$2="Deployment",E952,1)),"")</f>
        <v/>
      </c>
      <c r="U952" s="211" t="str">
        <f>IF(AND(A952&lt;&gt;"",_xlfn.IFNA(MATCH(A952,'dynamic resource application '!$A$2:$A$100, 0),0)&lt;&gt;0), I952/(IF($E$2="Deployment",E952,1)),"")</f>
        <v/>
      </c>
    </row>
    <row r="953" spans="1:21" ht="15" customHeight="1" x14ac:dyDescent="0.25">
      <c r="A953" s="35" t="str">
        <f>IF(ISNONTEXT(deployment_raw[[#This Row],[Column1]]), "", deployment_raw[[#This Row],[Column1]])</f>
        <v/>
      </c>
      <c r="B953" s="36" t="str">
        <f>IF(ISNONTEXT(deployment_raw[[#This Row],[Column2]]), "", deployment_raw[[#This Row],[Column2]])</f>
        <v/>
      </c>
      <c r="C953" s="36" t="str">
        <f>IF(ISNONTEXT(deployment_raw[[#This Row],[Column3]]), "", deployment_raw[[#This Row],[Column3]])</f>
        <v/>
      </c>
      <c r="D953" s="36" t="str">
        <f>IF(ISNONTEXT(deployment_raw[[#This Row],[Column4]]), "", deployment_raw[[#This Row],[Column4]])</f>
        <v/>
      </c>
      <c r="E953" s="37" t="str">
        <f>IF(ISNUMBER(deployment_raw[[#This Row],[Column5]]), deployment_raw[[#This Row],[Column5]],"")</f>
        <v/>
      </c>
      <c r="F953" s="94" t="str">
        <f>IF(ISNUMBER(deployment_raw[[#This Row],[Column6]]), (deployment_raw[[#This Row],[Column6]] * IF($E$2="Deployment",deployment_raw[[#This Row],[Column5]],1)),"")</f>
        <v/>
      </c>
      <c r="G953" s="95" t="str">
        <f>IF(ISNUMBER(deployment_raw[[#This Row],[Column7]]), (deployment_raw[[#This Row],[Column7]] * IF($E$2="Deployment",deployment_raw[[#This Row],[Column5]],1))/1048576,"")</f>
        <v/>
      </c>
      <c r="H953" s="95" t="str">
        <f>IF(ISNUMBER(deployment_raw[[#This Row],[Column8]]), (deployment_raw[[#This Row],[Column8]]  * IF($E$2="Deployment",deployment_raw[[#This Row],[Column5]],1)),"")</f>
        <v/>
      </c>
      <c r="I953" s="96" t="str">
        <f>IF(ISNUMBER(deployment_raw[[#This Row],[Column9]]), (deployment_raw[[#This Row],[Column9]] * IF($E$2="Deployment",deployment_raw[[#This Row],[Column5]],1))/1048576,"")</f>
        <v/>
      </c>
      <c r="J953" s="122" t="str">
        <f>IF(ISNUMBER(deployment_raw[[#This Row],[Column10]]), (MIN(IF(N953&lt;&gt;"",N953,9999999999999)*1.1,deployment_raw[[#This Row],[Column10]] * IF($E$2="Deployment",deployment_raw[[#This Row],[Column5]],1))),"")</f>
        <v/>
      </c>
      <c r="K953" s="123" t="str">
        <f>IF(ISNUMBER(deployment_raw[[#This Row],[Column11]]), (MIN(IF(O953&lt;&gt;"",O953,9999999999999)*1.1,deployment_raw[[#This Row],[Column11]] * IF($E$2="Deployment",deployment_raw[[#This Row],[Column5]],1)/1048576)),"")</f>
        <v/>
      </c>
      <c r="L953" s="124" t="str">
        <f>IF(ISNUMBER(deployment_raw[[#This Row],[Column8]]),IF(OR(deployment_raw[[#This Row],[Column5]] &lt;&gt; 0,$E$2 &lt;&gt; "Deployment"), MAX(J953, P953, R953, ($L$2 * IF($E$2="Deployment",deployment_raw[[#This Row],[Column5]],1)),IF(T953&lt;&gt;"",VALUE(T953) * IF($E$2="Deployment",deployment_raw[[#This Row],[Column5]],1),0)), 0),"")</f>
        <v/>
      </c>
      <c r="M953" s="125" t="str">
        <f>IF(ISNUMBER(deployment_raw[[#This Row],[Column9]]),IF(OR(deployment_raw[[#This Row],[Column5]] &lt;&gt; 0,$E$2&lt;&gt;"Deployment"), MAX(K953, Q953, S953, ($M$2 * IF($E$2="Deployment",deployment_raw[[#This Row],[Column5]],1)),IF(U953&lt;&gt;"",VALUE(U953) * IF($E$2="Deployment",deployment_raw[[#This Row],[Column5]],1),0)), 0),"")</f>
        <v/>
      </c>
      <c r="N953" s="166" t="str">
        <f>IF(ISNUMBER(deployment_raw[[#This Row],[Column14]]), deployment_raw[[#This Row],[Column14]]/IF(OR($E$2="Deployment",deployment_raw[[#This Row],[Column5]]=0),1,deployment_raw[[#This Row],[Column5]]),"")</f>
        <v/>
      </c>
      <c r="O953" s="167" t="str">
        <f>IF(ISNUMBER(deployment_raw[[#This Row],[Column15]]), deployment_raw[[#This Row],[Column15]]/IF(OR($E$2="Deployment",deployment_raw[[#This Row],[Column5]]=0),1,deployment_raw[[#This Row],[Column5]])/1048576,"")</f>
        <v/>
      </c>
      <c r="P953" s="168" t="str">
        <f>IF(ISNUMBER(deployment_raw[[#This Row],[Column12]]), (MIN(IF(N953&lt;&gt;"",N953,9999999999999)*1.1,deployment_raw[[#This Row],[Column12]] * IF($E$2="Deployment",deployment_raw[[#This Row],[Column5]],1))*(1+$P$2)),"")</f>
        <v/>
      </c>
      <c r="Q953" s="167" t="str">
        <f>IF(ISNUMBER(deployment_raw[[#This Row],[Column13]]), (MIN(IF(O953&lt;&gt;"",O953,9999999999999)*1.1,deployment_raw[[#This Row],[Column13]] * IF($E$2="Deployment",deployment_raw[[#This Row],[Column5]],1)*(1+$Q$2)/1048576)),"")</f>
        <v/>
      </c>
      <c r="R953" s="169" t="str">
        <f>IF(ISNUMBER(deployment_raw[[#This Row],[Column8]]), (H953  * IF(N953&lt;&gt;0,$R$2,1)),"")</f>
        <v/>
      </c>
      <c r="S953" s="170" t="str">
        <f>IF(ISNUMBER(deployment_raw[[#This Row],[Column8]]), (I953  * IF(O953&lt;&gt;0,$S$2,1)),"")</f>
        <v/>
      </c>
      <c r="T953" s="202" t="str">
        <f>IF(AND(A953&lt;&gt;"",_xlfn.IFNA(MATCH(A953,'dynamic resource application '!$A$2:$A$100, 0),0)&lt;&gt;0), H953/(IF($E$2="Deployment",E953,1)),"")</f>
        <v/>
      </c>
      <c r="U953" s="211" t="str">
        <f>IF(AND(A953&lt;&gt;"",_xlfn.IFNA(MATCH(A953,'dynamic resource application '!$A$2:$A$100, 0),0)&lt;&gt;0), I953/(IF($E$2="Deployment",E953,1)),"")</f>
        <v/>
      </c>
    </row>
    <row r="954" spans="1:21" ht="15" customHeight="1" x14ac:dyDescent="0.25">
      <c r="A954" s="35" t="str">
        <f>IF(ISNONTEXT(deployment_raw[[#This Row],[Column1]]), "", deployment_raw[[#This Row],[Column1]])</f>
        <v/>
      </c>
      <c r="B954" s="36" t="str">
        <f>IF(ISNONTEXT(deployment_raw[[#This Row],[Column2]]), "", deployment_raw[[#This Row],[Column2]])</f>
        <v/>
      </c>
      <c r="C954" s="36" t="str">
        <f>IF(ISNONTEXT(deployment_raw[[#This Row],[Column3]]), "", deployment_raw[[#This Row],[Column3]])</f>
        <v/>
      </c>
      <c r="D954" s="36" t="str">
        <f>IF(ISNONTEXT(deployment_raw[[#This Row],[Column4]]), "", deployment_raw[[#This Row],[Column4]])</f>
        <v/>
      </c>
      <c r="E954" s="37" t="str">
        <f>IF(ISNUMBER(deployment_raw[[#This Row],[Column5]]), deployment_raw[[#This Row],[Column5]],"")</f>
        <v/>
      </c>
      <c r="F954" s="94" t="str">
        <f>IF(ISNUMBER(deployment_raw[[#This Row],[Column6]]), (deployment_raw[[#This Row],[Column6]] * IF($E$2="Deployment",deployment_raw[[#This Row],[Column5]],1)),"")</f>
        <v/>
      </c>
      <c r="G954" s="95" t="str">
        <f>IF(ISNUMBER(deployment_raw[[#This Row],[Column7]]), (deployment_raw[[#This Row],[Column7]] * IF($E$2="Deployment",deployment_raw[[#This Row],[Column5]],1))/1048576,"")</f>
        <v/>
      </c>
      <c r="H954" s="95" t="str">
        <f>IF(ISNUMBER(deployment_raw[[#This Row],[Column8]]), (deployment_raw[[#This Row],[Column8]]  * IF($E$2="Deployment",deployment_raw[[#This Row],[Column5]],1)),"")</f>
        <v/>
      </c>
      <c r="I954" s="96" t="str">
        <f>IF(ISNUMBER(deployment_raw[[#This Row],[Column9]]), (deployment_raw[[#This Row],[Column9]] * IF($E$2="Deployment",deployment_raw[[#This Row],[Column5]],1))/1048576,"")</f>
        <v/>
      </c>
      <c r="J954" s="122" t="str">
        <f>IF(ISNUMBER(deployment_raw[[#This Row],[Column10]]), (MIN(IF(N954&lt;&gt;"",N954,9999999999999)*1.1,deployment_raw[[#This Row],[Column10]] * IF($E$2="Deployment",deployment_raw[[#This Row],[Column5]],1))),"")</f>
        <v/>
      </c>
      <c r="K954" s="123" t="str">
        <f>IF(ISNUMBER(deployment_raw[[#This Row],[Column11]]), (MIN(IF(O954&lt;&gt;"",O954,9999999999999)*1.1,deployment_raw[[#This Row],[Column11]] * IF($E$2="Deployment",deployment_raw[[#This Row],[Column5]],1)/1048576)),"")</f>
        <v/>
      </c>
      <c r="L954" s="124" t="str">
        <f>IF(ISNUMBER(deployment_raw[[#This Row],[Column8]]),IF(OR(deployment_raw[[#This Row],[Column5]] &lt;&gt; 0,$E$2 &lt;&gt; "Deployment"), MAX(J954, P954, R954, ($L$2 * IF($E$2="Deployment",deployment_raw[[#This Row],[Column5]],1)),IF(T954&lt;&gt;"",VALUE(T954) * IF($E$2="Deployment",deployment_raw[[#This Row],[Column5]],1),0)), 0),"")</f>
        <v/>
      </c>
      <c r="M954" s="125" t="str">
        <f>IF(ISNUMBER(deployment_raw[[#This Row],[Column9]]),IF(OR(deployment_raw[[#This Row],[Column5]] &lt;&gt; 0,$E$2&lt;&gt;"Deployment"), MAX(K954, Q954, S954, ($M$2 * IF($E$2="Deployment",deployment_raw[[#This Row],[Column5]],1)),IF(U954&lt;&gt;"",VALUE(U954) * IF($E$2="Deployment",deployment_raw[[#This Row],[Column5]],1),0)), 0),"")</f>
        <v/>
      </c>
      <c r="N954" s="166" t="str">
        <f>IF(ISNUMBER(deployment_raw[[#This Row],[Column14]]), deployment_raw[[#This Row],[Column14]]/IF(OR($E$2="Deployment",deployment_raw[[#This Row],[Column5]]=0),1,deployment_raw[[#This Row],[Column5]]),"")</f>
        <v/>
      </c>
      <c r="O954" s="167" t="str">
        <f>IF(ISNUMBER(deployment_raw[[#This Row],[Column15]]), deployment_raw[[#This Row],[Column15]]/IF(OR($E$2="Deployment",deployment_raw[[#This Row],[Column5]]=0),1,deployment_raw[[#This Row],[Column5]])/1048576,"")</f>
        <v/>
      </c>
      <c r="P954" s="168" t="str">
        <f>IF(ISNUMBER(deployment_raw[[#This Row],[Column12]]), (MIN(IF(N954&lt;&gt;"",N954,9999999999999)*1.1,deployment_raw[[#This Row],[Column12]] * IF($E$2="Deployment",deployment_raw[[#This Row],[Column5]],1))*(1+$P$2)),"")</f>
        <v/>
      </c>
      <c r="Q954" s="167" t="str">
        <f>IF(ISNUMBER(deployment_raw[[#This Row],[Column13]]), (MIN(IF(O954&lt;&gt;"",O954,9999999999999)*1.1,deployment_raw[[#This Row],[Column13]] * IF($E$2="Deployment",deployment_raw[[#This Row],[Column5]],1)*(1+$Q$2)/1048576)),"")</f>
        <v/>
      </c>
      <c r="R954" s="169" t="str">
        <f>IF(ISNUMBER(deployment_raw[[#This Row],[Column8]]), (H954  * IF(N954&lt;&gt;0,$R$2,1)),"")</f>
        <v/>
      </c>
      <c r="S954" s="170" t="str">
        <f>IF(ISNUMBER(deployment_raw[[#This Row],[Column8]]), (I954  * IF(O954&lt;&gt;0,$S$2,1)),"")</f>
        <v/>
      </c>
      <c r="T954" s="202" t="str">
        <f>IF(AND(A954&lt;&gt;"",_xlfn.IFNA(MATCH(A954,'dynamic resource application '!$A$2:$A$100, 0),0)&lt;&gt;0), H954/(IF($E$2="Deployment",E954,1)),"")</f>
        <v/>
      </c>
      <c r="U954" s="211" t="str">
        <f>IF(AND(A954&lt;&gt;"",_xlfn.IFNA(MATCH(A954,'dynamic resource application '!$A$2:$A$100, 0),0)&lt;&gt;0), I954/(IF($E$2="Deployment",E954,1)),"")</f>
        <v/>
      </c>
    </row>
    <row r="955" spans="1:21" ht="15" customHeight="1" x14ac:dyDescent="0.25">
      <c r="A955" s="35" t="str">
        <f>IF(ISNONTEXT(deployment_raw[[#This Row],[Column1]]), "", deployment_raw[[#This Row],[Column1]])</f>
        <v/>
      </c>
      <c r="B955" s="36" t="str">
        <f>IF(ISNONTEXT(deployment_raw[[#This Row],[Column2]]), "", deployment_raw[[#This Row],[Column2]])</f>
        <v/>
      </c>
      <c r="C955" s="36" t="str">
        <f>IF(ISNONTEXT(deployment_raw[[#This Row],[Column3]]), "", deployment_raw[[#This Row],[Column3]])</f>
        <v/>
      </c>
      <c r="D955" s="36" t="str">
        <f>IF(ISNONTEXT(deployment_raw[[#This Row],[Column4]]), "", deployment_raw[[#This Row],[Column4]])</f>
        <v/>
      </c>
      <c r="E955" s="37" t="str">
        <f>IF(ISNUMBER(deployment_raw[[#This Row],[Column5]]), deployment_raw[[#This Row],[Column5]],"")</f>
        <v/>
      </c>
      <c r="F955" s="94" t="str">
        <f>IF(ISNUMBER(deployment_raw[[#This Row],[Column6]]), (deployment_raw[[#This Row],[Column6]] * IF($E$2="Deployment",deployment_raw[[#This Row],[Column5]],1)),"")</f>
        <v/>
      </c>
      <c r="G955" s="95" t="str">
        <f>IF(ISNUMBER(deployment_raw[[#This Row],[Column7]]), (deployment_raw[[#This Row],[Column7]] * IF($E$2="Deployment",deployment_raw[[#This Row],[Column5]],1))/1048576,"")</f>
        <v/>
      </c>
      <c r="H955" s="95" t="str">
        <f>IF(ISNUMBER(deployment_raw[[#This Row],[Column8]]), (deployment_raw[[#This Row],[Column8]]  * IF($E$2="Deployment",deployment_raw[[#This Row],[Column5]],1)),"")</f>
        <v/>
      </c>
      <c r="I955" s="96" t="str">
        <f>IF(ISNUMBER(deployment_raw[[#This Row],[Column9]]), (deployment_raw[[#This Row],[Column9]] * IF($E$2="Deployment",deployment_raw[[#This Row],[Column5]],1))/1048576,"")</f>
        <v/>
      </c>
      <c r="J955" s="122" t="str">
        <f>IF(ISNUMBER(deployment_raw[[#This Row],[Column10]]), (MIN(IF(N955&lt;&gt;"",N955,9999999999999)*1.1,deployment_raw[[#This Row],[Column10]] * IF($E$2="Deployment",deployment_raw[[#This Row],[Column5]],1))),"")</f>
        <v/>
      </c>
      <c r="K955" s="123" t="str">
        <f>IF(ISNUMBER(deployment_raw[[#This Row],[Column11]]), (MIN(IF(O955&lt;&gt;"",O955,9999999999999)*1.1,deployment_raw[[#This Row],[Column11]] * IF($E$2="Deployment",deployment_raw[[#This Row],[Column5]],1)/1048576)),"")</f>
        <v/>
      </c>
      <c r="L955" s="124" t="str">
        <f>IF(ISNUMBER(deployment_raw[[#This Row],[Column8]]),IF(OR(deployment_raw[[#This Row],[Column5]] &lt;&gt; 0,$E$2 &lt;&gt; "Deployment"), MAX(J955, P955, R955, ($L$2 * IF($E$2="Deployment",deployment_raw[[#This Row],[Column5]],1)),IF(T955&lt;&gt;"",VALUE(T955) * IF($E$2="Deployment",deployment_raw[[#This Row],[Column5]],1),0)), 0),"")</f>
        <v/>
      </c>
      <c r="M955" s="125" t="str">
        <f>IF(ISNUMBER(deployment_raw[[#This Row],[Column9]]),IF(OR(deployment_raw[[#This Row],[Column5]] &lt;&gt; 0,$E$2&lt;&gt;"Deployment"), MAX(K955, Q955, S955, ($M$2 * IF($E$2="Deployment",deployment_raw[[#This Row],[Column5]],1)),IF(U955&lt;&gt;"",VALUE(U955) * IF($E$2="Deployment",deployment_raw[[#This Row],[Column5]],1),0)), 0),"")</f>
        <v/>
      </c>
      <c r="N955" s="166" t="str">
        <f>IF(ISNUMBER(deployment_raw[[#This Row],[Column14]]), deployment_raw[[#This Row],[Column14]]/IF(OR($E$2="Deployment",deployment_raw[[#This Row],[Column5]]=0),1,deployment_raw[[#This Row],[Column5]]),"")</f>
        <v/>
      </c>
      <c r="O955" s="167" t="str">
        <f>IF(ISNUMBER(deployment_raw[[#This Row],[Column15]]), deployment_raw[[#This Row],[Column15]]/IF(OR($E$2="Deployment",deployment_raw[[#This Row],[Column5]]=0),1,deployment_raw[[#This Row],[Column5]])/1048576,"")</f>
        <v/>
      </c>
      <c r="P955" s="168" t="str">
        <f>IF(ISNUMBER(deployment_raw[[#This Row],[Column12]]), (MIN(IF(N955&lt;&gt;"",N955,9999999999999)*1.1,deployment_raw[[#This Row],[Column12]] * IF($E$2="Deployment",deployment_raw[[#This Row],[Column5]],1))*(1+$P$2)),"")</f>
        <v/>
      </c>
      <c r="Q955" s="167" t="str">
        <f>IF(ISNUMBER(deployment_raw[[#This Row],[Column13]]), (MIN(IF(O955&lt;&gt;"",O955,9999999999999)*1.1,deployment_raw[[#This Row],[Column13]] * IF($E$2="Deployment",deployment_raw[[#This Row],[Column5]],1)*(1+$Q$2)/1048576)),"")</f>
        <v/>
      </c>
      <c r="R955" s="169" t="str">
        <f>IF(ISNUMBER(deployment_raw[[#This Row],[Column8]]), (H955  * IF(N955&lt;&gt;0,$R$2,1)),"")</f>
        <v/>
      </c>
      <c r="S955" s="170" t="str">
        <f>IF(ISNUMBER(deployment_raw[[#This Row],[Column8]]), (I955  * IF(O955&lt;&gt;0,$S$2,1)),"")</f>
        <v/>
      </c>
      <c r="T955" s="202" t="str">
        <f>IF(AND(A955&lt;&gt;"",_xlfn.IFNA(MATCH(A955,'dynamic resource application '!$A$2:$A$100, 0),0)&lt;&gt;0), H955/(IF($E$2="Deployment",E955,1)),"")</f>
        <v/>
      </c>
      <c r="U955" s="211" t="str">
        <f>IF(AND(A955&lt;&gt;"",_xlfn.IFNA(MATCH(A955,'dynamic resource application '!$A$2:$A$100, 0),0)&lt;&gt;0), I955/(IF($E$2="Deployment",E955,1)),"")</f>
        <v/>
      </c>
    </row>
    <row r="956" spans="1:21" ht="15" customHeight="1" x14ac:dyDescent="0.25">
      <c r="A956" s="35" t="str">
        <f>IF(ISNONTEXT(deployment_raw[[#This Row],[Column1]]), "", deployment_raw[[#This Row],[Column1]])</f>
        <v/>
      </c>
      <c r="B956" s="36" t="str">
        <f>IF(ISNONTEXT(deployment_raw[[#This Row],[Column2]]), "", deployment_raw[[#This Row],[Column2]])</f>
        <v/>
      </c>
      <c r="C956" s="36" t="str">
        <f>IF(ISNONTEXT(deployment_raw[[#This Row],[Column3]]), "", deployment_raw[[#This Row],[Column3]])</f>
        <v/>
      </c>
      <c r="D956" s="36" t="str">
        <f>IF(ISNONTEXT(deployment_raw[[#This Row],[Column4]]), "", deployment_raw[[#This Row],[Column4]])</f>
        <v/>
      </c>
      <c r="E956" s="37" t="str">
        <f>IF(ISNUMBER(deployment_raw[[#This Row],[Column5]]), deployment_raw[[#This Row],[Column5]],"")</f>
        <v/>
      </c>
      <c r="F956" s="94" t="str">
        <f>IF(ISNUMBER(deployment_raw[[#This Row],[Column6]]), (deployment_raw[[#This Row],[Column6]] * IF($E$2="Deployment",deployment_raw[[#This Row],[Column5]],1)),"")</f>
        <v/>
      </c>
      <c r="G956" s="95" t="str">
        <f>IF(ISNUMBER(deployment_raw[[#This Row],[Column7]]), (deployment_raw[[#This Row],[Column7]] * IF($E$2="Deployment",deployment_raw[[#This Row],[Column5]],1))/1048576,"")</f>
        <v/>
      </c>
      <c r="H956" s="95" t="str">
        <f>IF(ISNUMBER(deployment_raw[[#This Row],[Column8]]), (deployment_raw[[#This Row],[Column8]]  * IF($E$2="Deployment",deployment_raw[[#This Row],[Column5]],1)),"")</f>
        <v/>
      </c>
      <c r="I956" s="96" t="str">
        <f>IF(ISNUMBER(deployment_raw[[#This Row],[Column9]]), (deployment_raw[[#This Row],[Column9]] * IF($E$2="Deployment",deployment_raw[[#This Row],[Column5]],1))/1048576,"")</f>
        <v/>
      </c>
      <c r="J956" s="122" t="str">
        <f>IF(ISNUMBER(deployment_raw[[#This Row],[Column10]]), (MIN(IF(N956&lt;&gt;"",N956,9999999999999)*1.1,deployment_raw[[#This Row],[Column10]] * IF($E$2="Deployment",deployment_raw[[#This Row],[Column5]],1))),"")</f>
        <v/>
      </c>
      <c r="K956" s="123" t="str">
        <f>IF(ISNUMBER(deployment_raw[[#This Row],[Column11]]), (MIN(IF(O956&lt;&gt;"",O956,9999999999999)*1.1,deployment_raw[[#This Row],[Column11]] * IF($E$2="Deployment",deployment_raw[[#This Row],[Column5]],1)/1048576)),"")</f>
        <v/>
      </c>
      <c r="L956" s="124" t="str">
        <f>IF(ISNUMBER(deployment_raw[[#This Row],[Column8]]),IF(OR(deployment_raw[[#This Row],[Column5]] &lt;&gt; 0,$E$2 &lt;&gt; "Deployment"), MAX(J956, P956, R956, ($L$2 * IF($E$2="Deployment",deployment_raw[[#This Row],[Column5]],1)),IF(T956&lt;&gt;"",VALUE(T956) * IF($E$2="Deployment",deployment_raw[[#This Row],[Column5]],1),0)), 0),"")</f>
        <v/>
      </c>
      <c r="M956" s="125" t="str">
        <f>IF(ISNUMBER(deployment_raw[[#This Row],[Column9]]),IF(OR(deployment_raw[[#This Row],[Column5]] &lt;&gt; 0,$E$2&lt;&gt;"Deployment"), MAX(K956, Q956, S956, ($M$2 * IF($E$2="Deployment",deployment_raw[[#This Row],[Column5]],1)),IF(U956&lt;&gt;"",VALUE(U956) * IF($E$2="Deployment",deployment_raw[[#This Row],[Column5]],1),0)), 0),"")</f>
        <v/>
      </c>
      <c r="N956" s="166" t="str">
        <f>IF(ISNUMBER(deployment_raw[[#This Row],[Column14]]), deployment_raw[[#This Row],[Column14]]/IF(OR($E$2="Deployment",deployment_raw[[#This Row],[Column5]]=0),1,deployment_raw[[#This Row],[Column5]]),"")</f>
        <v/>
      </c>
      <c r="O956" s="167" t="str">
        <f>IF(ISNUMBER(deployment_raw[[#This Row],[Column15]]), deployment_raw[[#This Row],[Column15]]/IF(OR($E$2="Deployment",deployment_raw[[#This Row],[Column5]]=0),1,deployment_raw[[#This Row],[Column5]])/1048576,"")</f>
        <v/>
      </c>
      <c r="P956" s="168" t="str">
        <f>IF(ISNUMBER(deployment_raw[[#This Row],[Column12]]), (MIN(IF(N956&lt;&gt;"",N956,9999999999999)*1.1,deployment_raw[[#This Row],[Column12]] * IF($E$2="Deployment",deployment_raw[[#This Row],[Column5]],1))*(1+$P$2)),"")</f>
        <v/>
      </c>
      <c r="Q956" s="167" t="str">
        <f>IF(ISNUMBER(deployment_raw[[#This Row],[Column13]]), (MIN(IF(O956&lt;&gt;"",O956,9999999999999)*1.1,deployment_raw[[#This Row],[Column13]] * IF($E$2="Deployment",deployment_raw[[#This Row],[Column5]],1)*(1+$Q$2)/1048576)),"")</f>
        <v/>
      </c>
      <c r="R956" s="169" t="str">
        <f>IF(ISNUMBER(deployment_raw[[#This Row],[Column8]]), (H956  * IF(N956&lt;&gt;0,$R$2,1)),"")</f>
        <v/>
      </c>
      <c r="S956" s="170" t="str">
        <f>IF(ISNUMBER(deployment_raw[[#This Row],[Column8]]), (I956  * IF(O956&lt;&gt;0,$S$2,1)),"")</f>
        <v/>
      </c>
      <c r="T956" s="202" t="str">
        <f>IF(AND(A956&lt;&gt;"",_xlfn.IFNA(MATCH(A956,'dynamic resource application '!$A$2:$A$100, 0),0)&lt;&gt;0), H956/(IF($E$2="Deployment",E956,1)),"")</f>
        <v/>
      </c>
      <c r="U956" s="211" t="str">
        <f>IF(AND(A956&lt;&gt;"",_xlfn.IFNA(MATCH(A956,'dynamic resource application '!$A$2:$A$100, 0),0)&lt;&gt;0), I956/(IF($E$2="Deployment",E956,1)),"")</f>
        <v/>
      </c>
    </row>
    <row r="957" spans="1:21" ht="15" customHeight="1" x14ac:dyDescent="0.25">
      <c r="A957" s="35" t="str">
        <f>IF(ISNONTEXT(deployment_raw[[#This Row],[Column1]]), "", deployment_raw[[#This Row],[Column1]])</f>
        <v/>
      </c>
      <c r="B957" s="36" t="str">
        <f>IF(ISNONTEXT(deployment_raw[[#This Row],[Column2]]), "", deployment_raw[[#This Row],[Column2]])</f>
        <v/>
      </c>
      <c r="C957" s="36" t="str">
        <f>IF(ISNONTEXT(deployment_raw[[#This Row],[Column3]]), "", deployment_raw[[#This Row],[Column3]])</f>
        <v/>
      </c>
      <c r="D957" s="36" t="str">
        <f>IF(ISNONTEXT(deployment_raw[[#This Row],[Column4]]), "", deployment_raw[[#This Row],[Column4]])</f>
        <v/>
      </c>
      <c r="E957" s="37" t="str">
        <f>IF(ISNUMBER(deployment_raw[[#This Row],[Column5]]), deployment_raw[[#This Row],[Column5]],"")</f>
        <v/>
      </c>
      <c r="F957" s="94" t="str">
        <f>IF(ISNUMBER(deployment_raw[[#This Row],[Column6]]), (deployment_raw[[#This Row],[Column6]] * IF($E$2="Deployment",deployment_raw[[#This Row],[Column5]],1)),"")</f>
        <v/>
      </c>
      <c r="G957" s="95" t="str">
        <f>IF(ISNUMBER(deployment_raw[[#This Row],[Column7]]), (deployment_raw[[#This Row],[Column7]] * IF($E$2="Deployment",deployment_raw[[#This Row],[Column5]],1))/1048576,"")</f>
        <v/>
      </c>
      <c r="H957" s="95" t="str">
        <f>IF(ISNUMBER(deployment_raw[[#This Row],[Column8]]), (deployment_raw[[#This Row],[Column8]]  * IF($E$2="Deployment",deployment_raw[[#This Row],[Column5]],1)),"")</f>
        <v/>
      </c>
      <c r="I957" s="96" t="str">
        <f>IF(ISNUMBER(deployment_raw[[#This Row],[Column9]]), (deployment_raw[[#This Row],[Column9]] * IF($E$2="Deployment",deployment_raw[[#This Row],[Column5]],1))/1048576,"")</f>
        <v/>
      </c>
      <c r="J957" s="122" t="str">
        <f>IF(ISNUMBER(deployment_raw[[#This Row],[Column10]]), (MIN(IF(N957&lt;&gt;"",N957,9999999999999)*1.1,deployment_raw[[#This Row],[Column10]] * IF($E$2="Deployment",deployment_raw[[#This Row],[Column5]],1))),"")</f>
        <v/>
      </c>
      <c r="K957" s="123" t="str">
        <f>IF(ISNUMBER(deployment_raw[[#This Row],[Column11]]), (MIN(IF(O957&lt;&gt;"",O957,9999999999999)*1.1,deployment_raw[[#This Row],[Column11]] * IF($E$2="Deployment",deployment_raw[[#This Row],[Column5]],1)/1048576)),"")</f>
        <v/>
      </c>
      <c r="L957" s="124" t="str">
        <f>IF(ISNUMBER(deployment_raw[[#This Row],[Column8]]),IF(OR(deployment_raw[[#This Row],[Column5]] &lt;&gt; 0,$E$2 &lt;&gt; "Deployment"), MAX(J957, P957, R957, ($L$2 * IF($E$2="Deployment",deployment_raw[[#This Row],[Column5]],1)),IF(T957&lt;&gt;"",VALUE(T957) * IF($E$2="Deployment",deployment_raw[[#This Row],[Column5]],1),0)), 0),"")</f>
        <v/>
      </c>
      <c r="M957" s="125" t="str">
        <f>IF(ISNUMBER(deployment_raw[[#This Row],[Column9]]),IF(OR(deployment_raw[[#This Row],[Column5]] &lt;&gt; 0,$E$2&lt;&gt;"Deployment"), MAX(K957, Q957, S957, ($M$2 * IF($E$2="Deployment",deployment_raw[[#This Row],[Column5]],1)),IF(U957&lt;&gt;"",VALUE(U957) * IF($E$2="Deployment",deployment_raw[[#This Row],[Column5]],1),0)), 0),"")</f>
        <v/>
      </c>
      <c r="N957" s="166" t="str">
        <f>IF(ISNUMBER(deployment_raw[[#This Row],[Column14]]), deployment_raw[[#This Row],[Column14]]/IF(OR($E$2="Deployment",deployment_raw[[#This Row],[Column5]]=0),1,deployment_raw[[#This Row],[Column5]]),"")</f>
        <v/>
      </c>
      <c r="O957" s="167" t="str">
        <f>IF(ISNUMBER(deployment_raw[[#This Row],[Column15]]), deployment_raw[[#This Row],[Column15]]/IF(OR($E$2="Deployment",deployment_raw[[#This Row],[Column5]]=0),1,deployment_raw[[#This Row],[Column5]])/1048576,"")</f>
        <v/>
      </c>
      <c r="P957" s="168" t="str">
        <f>IF(ISNUMBER(deployment_raw[[#This Row],[Column12]]), (MIN(IF(N957&lt;&gt;"",N957,9999999999999)*1.1,deployment_raw[[#This Row],[Column12]] * IF($E$2="Deployment",deployment_raw[[#This Row],[Column5]],1))*(1+$P$2)),"")</f>
        <v/>
      </c>
      <c r="Q957" s="167" t="str">
        <f>IF(ISNUMBER(deployment_raw[[#This Row],[Column13]]), (MIN(IF(O957&lt;&gt;"",O957,9999999999999)*1.1,deployment_raw[[#This Row],[Column13]] * IF($E$2="Deployment",deployment_raw[[#This Row],[Column5]],1)*(1+$Q$2)/1048576)),"")</f>
        <v/>
      </c>
      <c r="R957" s="169" t="str">
        <f>IF(ISNUMBER(deployment_raw[[#This Row],[Column8]]), (H957  * IF(N957&lt;&gt;0,$R$2,1)),"")</f>
        <v/>
      </c>
      <c r="S957" s="170" t="str">
        <f>IF(ISNUMBER(deployment_raw[[#This Row],[Column8]]), (I957  * IF(O957&lt;&gt;0,$S$2,1)),"")</f>
        <v/>
      </c>
      <c r="T957" s="202" t="str">
        <f>IF(AND(A957&lt;&gt;"",_xlfn.IFNA(MATCH(A957,'dynamic resource application '!$A$2:$A$100, 0),0)&lt;&gt;0), H957/(IF($E$2="Deployment",E957,1)),"")</f>
        <v/>
      </c>
      <c r="U957" s="211" t="str">
        <f>IF(AND(A957&lt;&gt;"",_xlfn.IFNA(MATCH(A957,'dynamic resource application '!$A$2:$A$100, 0),0)&lt;&gt;0), I957/(IF($E$2="Deployment",E957,1)),"")</f>
        <v/>
      </c>
    </row>
    <row r="958" spans="1:21" ht="15" customHeight="1" x14ac:dyDescent="0.25">
      <c r="A958" s="35" t="str">
        <f>IF(ISNONTEXT(deployment_raw[[#This Row],[Column1]]), "", deployment_raw[[#This Row],[Column1]])</f>
        <v/>
      </c>
      <c r="B958" s="36" t="str">
        <f>IF(ISNONTEXT(deployment_raw[[#This Row],[Column2]]), "", deployment_raw[[#This Row],[Column2]])</f>
        <v/>
      </c>
      <c r="C958" s="36" t="str">
        <f>IF(ISNONTEXT(deployment_raw[[#This Row],[Column3]]), "", deployment_raw[[#This Row],[Column3]])</f>
        <v/>
      </c>
      <c r="D958" s="36" t="str">
        <f>IF(ISNONTEXT(deployment_raw[[#This Row],[Column4]]), "", deployment_raw[[#This Row],[Column4]])</f>
        <v/>
      </c>
      <c r="E958" s="37" t="str">
        <f>IF(ISNUMBER(deployment_raw[[#This Row],[Column5]]), deployment_raw[[#This Row],[Column5]],"")</f>
        <v/>
      </c>
      <c r="F958" s="94" t="str">
        <f>IF(ISNUMBER(deployment_raw[[#This Row],[Column6]]), (deployment_raw[[#This Row],[Column6]] * IF($E$2="Deployment",deployment_raw[[#This Row],[Column5]],1)),"")</f>
        <v/>
      </c>
      <c r="G958" s="95" t="str">
        <f>IF(ISNUMBER(deployment_raw[[#This Row],[Column7]]), (deployment_raw[[#This Row],[Column7]] * IF($E$2="Deployment",deployment_raw[[#This Row],[Column5]],1))/1048576,"")</f>
        <v/>
      </c>
      <c r="H958" s="95" t="str">
        <f>IF(ISNUMBER(deployment_raw[[#This Row],[Column8]]), (deployment_raw[[#This Row],[Column8]]  * IF($E$2="Deployment",deployment_raw[[#This Row],[Column5]],1)),"")</f>
        <v/>
      </c>
      <c r="I958" s="96" t="str">
        <f>IF(ISNUMBER(deployment_raw[[#This Row],[Column9]]), (deployment_raw[[#This Row],[Column9]] * IF($E$2="Deployment",deployment_raw[[#This Row],[Column5]],1))/1048576,"")</f>
        <v/>
      </c>
      <c r="J958" s="122" t="str">
        <f>IF(ISNUMBER(deployment_raw[[#This Row],[Column10]]), (MIN(IF(N958&lt;&gt;"",N958,9999999999999)*1.1,deployment_raw[[#This Row],[Column10]] * IF($E$2="Deployment",deployment_raw[[#This Row],[Column5]],1))),"")</f>
        <v/>
      </c>
      <c r="K958" s="123" t="str">
        <f>IF(ISNUMBER(deployment_raw[[#This Row],[Column11]]), (MIN(IF(O958&lt;&gt;"",O958,9999999999999)*1.1,deployment_raw[[#This Row],[Column11]] * IF($E$2="Deployment",deployment_raw[[#This Row],[Column5]],1)/1048576)),"")</f>
        <v/>
      </c>
      <c r="L958" s="124" t="str">
        <f>IF(ISNUMBER(deployment_raw[[#This Row],[Column8]]),IF(OR(deployment_raw[[#This Row],[Column5]] &lt;&gt; 0,$E$2 &lt;&gt; "Deployment"), MAX(J958, P958, R958, ($L$2 * IF($E$2="Deployment",deployment_raw[[#This Row],[Column5]],1)),IF(T958&lt;&gt;"",VALUE(T958) * IF($E$2="Deployment",deployment_raw[[#This Row],[Column5]],1),0)), 0),"")</f>
        <v/>
      </c>
      <c r="M958" s="125" t="str">
        <f>IF(ISNUMBER(deployment_raw[[#This Row],[Column9]]),IF(OR(deployment_raw[[#This Row],[Column5]] &lt;&gt; 0,$E$2&lt;&gt;"Deployment"), MAX(K958, Q958, S958, ($M$2 * IF($E$2="Deployment",deployment_raw[[#This Row],[Column5]],1)),IF(U958&lt;&gt;"",VALUE(U958) * IF($E$2="Deployment",deployment_raw[[#This Row],[Column5]],1),0)), 0),"")</f>
        <v/>
      </c>
      <c r="N958" s="166" t="str">
        <f>IF(ISNUMBER(deployment_raw[[#This Row],[Column14]]), deployment_raw[[#This Row],[Column14]]/IF(OR($E$2="Deployment",deployment_raw[[#This Row],[Column5]]=0),1,deployment_raw[[#This Row],[Column5]]),"")</f>
        <v/>
      </c>
      <c r="O958" s="167" t="str">
        <f>IF(ISNUMBER(deployment_raw[[#This Row],[Column15]]), deployment_raw[[#This Row],[Column15]]/IF(OR($E$2="Deployment",deployment_raw[[#This Row],[Column5]]=0),1,deployment_raw[[#This Row],[Column5]])/1048576,"")</f>
        <v/>
      </c>
      <c r="P958" s="168" t="str">
        <f>IF(ISNUMBER(deployment_raw[[#This Row],[Column12]]), (MIN(IF(N958&lt;&gt;"",N958,9999999999999)*1.1,deployment_raw[[#This Row],[Column12]] * IF($E$2="Deployment",deployment_raw[[#This Row],[Column5]],1))*(1+$P$2)),"")</f>
        <v/>
      </c>
      <c r="Q958" s="167" t="str">
        <f>IF(ISNUMBER(deployment_raw[[#This Row],[Column13]]), (MIN(IF(O958&lt;&gt;"",O958,9999999999999)*1.1,deployment_raw[[#This Row],[Column13]] * IF($E$2="Deployment",deployment_raw[[#This Row],[Column5]],1)*(1+$Q$2)/1048576)),"")</f>
        <v/>
      </c>
      <c r="R958" s="169" t="str">
        <f>IF(ISNUMBER(deployment_raw[[#This Row],[Column8]]), (H958  * IF(N958&lt;&gt;0,$R$2,1)),"")</f>
        <v/>
      </c>
      <c r="S958" s="170" t="str">
        <f>IF(ISNUMBER(deployment_raw[[#This Row],[Column8]]), (I958  * IF(O958&lt;&gt;0,$S$2,1)),"")</f>
        <v/>
      </c>
      <c r="T958" s="202" t="str">
        <f>IF(AND(A958&lt;&gt;"",_xlfn.IFNA(MATCH(A958,'dynamic resource application '!$A$2:$A$100, 0),0)&lt;&gt;0), H958/(IF($E$2="Deployment",E958,1)),"")</f>
        <v/>
      </c>
      <c r="U958" s="211" t="str">
        <f>IF(AND(A958&lt;&gt;"",_xlfn.IFNA(MATCH(A958,'dynamic resource application '!$A$2:$A$100, 0),0)&lt;&gt;0), I958/(IF($E$2="Deployment",E958,1)),"")</f>
        <v/>
      </c>
    </row>
    <row r="959" spans="1:21" ht="15" customHeight="1" x14ac:dyDescent="0.25">
      <c r="A959" s="35" t="str">
        <f>IF(ISNONTEXT(deployment_raw[[#This Row],[Column1]]), "", deployment_raw[[#This Row],[Column1]])</f>
        <v/>
      </c>
      <c r="B959" s="36" t="str">
        <f>IF(ISNONTEXT(deployment_raw[[#This Row],[Column2]]), "", deployment_raw[[#This Row],[Column2]])</f>
        <v/>
      </c>
      <c r="C959" s="36" t="str">
        <f>IF(ISNONTEXT(deployment_raw[[#This Row],[Column3]]), "", deployment_raw[[#This Row],[Column3]])</f>
        <v/>
      </c>
      <c r="D959" s="36" t="str">
        <f>IF(ISNONTEXT(deployment_raw[[#This Row],[Column4]]), "", deployment_raw[[#This Row],[Column4]])</f>
        <v/>
      </c>
      <c r="E959" s="37" t="str">
        <f>IF(ISNUMBER(deployment_raw[[#This Row],[Column5]]), deployment_raw[[#This Row],[Column5]],"")</f>
        <v/>
      </c>
      <c r="F959" s="94" t="str">
        <f>IF(ISNUMBER(deployment_raw[[#This Row],[Column6]]), (deployment_raw[[#This Row],[Column6]] * IF($E$2="Deployment",deployment_raw[[#This Row],[Column5]],1)),"")</f>
        <v/>
      </c>
      <c r="G959" s="95" t="str">
        <f>IF(ISNUMBER(deployment_raw[[#This Row],[Column7]]), (deployment_raw[[#This Row],[Column7]] * IF($E$2="Deployment",deployment_raw[[#This Row],[Column5]],1))/1048576,"")</f>
        <v/>
      </c>
      <c r="H959" s="95" t="str">
        <f>IF(ISNUMBER(deployment_raw[[#This Row],[Column8]]), (deployment_raw[[#This Row],[Column8]]  * IF($E$2="Deployment",deployment_raw[[#This Row],[Column5]],1)),"")</f>
        <v/>
      </c>
      <c r="I959" s="96" t="str">
        <f>IF(ISNUMBER(deployment_raw[[#This Row],[Column9]]), (deployment_raw[[#This Row],[Column9]] * IF($E$2="Deployment",deployment_raw[[#This Row],[Column5]],1))/1048576,"")</f>
        <v/>
      </c>
      <c r="J959" s="122" t="str">
        <f>IF(ISNUMBER(deployment_raw[[#This Row],[Column10]]), (MIN(IF(N959&lt;&gt;"",N959,9999999999999)*1.1,deployment_raw[[#This Row],[Column10]] * IF($E$2="Deployment",deployment_raw[[#This Row],[Column5]],1))),"")</f>
        <v/>
      </c>
      <c r="K959" s="123" t="str">
        <f>IF(ISNUMBER(deployment_raw[[#This Row],[Column11]]), (MIN(IF(O959&lt;&gt;"",O959,9999999999999)*1.1,deployment_raw[[#This Row],[Column11]] * IF($E$2="Deployment",deployment_raw[[#This Row],[Column5]],1)/1048576)),"")</f>
        <v/>
      </c>
      <c r="L959" s="124" t="str">
        <f>IF(ISNUMBER(deployment_raw[[#This Row],[Column8]]),IF(OR(deployment_raw[[#This Row],[Column5]] &lt;&gt; 0,$E$2 &lt;&gt; "Deployment"), MAX(J959, P959, R959, ($L$2 * IF($E$2="Deployment",deployment_raw[[#This Row],[Column5]],1)),IF(T959&lt;&gt;"",VALUE(T959) * IF($E$2="Deployment",deployment_raw[[#This Row],[Column5]],1),0)), 0),"")</f>
        <v/>
      </c>
      <c r="M959" s="125" t="str">
        <f>IF(ISNUMBER(deployment_raw[[#This Row],[Column9]]),IF(OR(deployment_raw[[#This Row],[Column5]] &lt;&gt; 0,$E$2&lt;&gt;"Deployment"), MAX(K959, Q959, S959, ($M$2 * IF($E$2="Deployment",deployment_raw[[#This Row],[Column5]],1)),IF(U959&lt;&gt;"",VALUE(U959) * IF($E$2="Deployment",deployment_raw[[#This Row],[Column5]],1),0)), 0),"")</f>
        <v/>
      </c>
      <c r="N959" s="166" t="str">
        <f>IF(ISNUMBER(deployment_raw[[#This Row],[Column14]]), deployment_raw[[#This Row],[Column14]]/IF(OR($E$2="Deployment",deployment_raw[[#This Row],[Column5]]=0),1,deployment_raw[[#This Row],[Column5]]),"")</f>
        <v/>
      </c>
      <c r="O959" s="167" t="str">
        <f>IF(ISNUMBER(deployment_raw[[#This Row],[Column15]]), deployment_raw[[#This Row],[Column15]]/IF(OR($E$2="Deployment",deployment_raw[[#This Row],[Column5]]=0),1,deployment_raw[[#This Row],[Column5]])/1048576,"")</f>
        <v/>
      </c>
      <c r="P959" s="168" t="str">
        <f>IF(ISNUMBER(deployment_raw[[#This Row],[Column12]]), (MIN(IF(N959&lt;&gt;"",N959,9999999999999)*1.1,deployment_raw[[#This Row],[Column12]] * IF($E$2="Deployment",deployment_raw[[#This Row],[Column5]],1))*(1+$P$2)),"")</f>
        <v/>
      </c>
      <c r="Q959" s="167" t="str">
        <f>IF(ISNUMBER(deployment_raw[[#This Row],[Column13]]), (MIN(IF(O959&lt;&gt;"",O959,9999999999999)*1.1,deployment_raw[[#This Row],[Column13]] * IF($E$2="Deployment",deployment_raw[[#This Row],[Column5]],1)*(1+$Q$2)/1048576)),"")</f>
        <v/>
      </c>
      <c r="R959" s="169" t="str">
        <f>IF(ISNUMBER(deployment_raw[[#This Row],[Column8]]), (H959  * IF(N959&lt;&gt;0,$R$2,1)),"")</f>
        <v/>
      </c>
      <c r="S959" s="170" t="str">
        <f>IF(ISNUMBER(deployment_raw[[#This Row],[Column8]]), (I959  * IF(O959&lt;&gt;0,$S$2,1)),"")</f>
        <v/>
      </c>
      <c r="T959" s="202" t="str">
        <f>IF(AND(A959&lt;&gt;"",_xlfn.IFNA(MATCH(A959,'dynamic resource application '!$A$2:$A$100, 0),0)&lt;&gt;0), H959/(IF($E$2="Deployment",E959,1)),"")</f>
        <v/>
      </c>
      <c r="U959" s="211" t="str">
        <f>IF(AND(A959&lt;&gt;"",_xlfn.IFNA(MATCH(A959,'dynamic resource application '!$A$2:$A$100, 0),0)&lt;&gt;0), I959/(IF($E$2="Deployment",E959,1)),"")</f>
        <v/>
      </c>
    </row>
    <row r="960" spans="1:21" ht="15" customHeight="1" x14ac:dyDescent="0.25">
      <c r="A960" s="35" t="str">
        <f>IF(ISNONTEXT(deployment_raw[[#This Row],[Column1]]), "", deployment_raw[[#This Row],[Column1]])</f>
        <v/>
      </c>
      <c r="B960" s="36" t="str">
        <f>IF(ISNONTEXT(deployment_raw[[#This Row],[Column2]]), "", deployment_raw[[#This Row],[Column2]])</f>
        <v/>
      </c>
      <c r="C960" s="36" t="str">
        <f>IF(ISNONTEXT(deployment_raw[[#This Row],[Column3]]), "", deployment_raw[[#This Row],[Column3]])</f>
        <v/>
      </c>
      <c r="D960" s="36" t="str">
        <f>IF(ISNONTEXT(deployment_raw[[#This Row],[Column4]]), "", deployment_raw[[#This Row],[Column4]])</f>
        <v/>
      </c>
      <c r="E960" s="37" t="str">
        <f>IF(ISNUMBER(deployment_raw[[#This Row],[Column5]]), deployment_raw[[#This Row],[Column5]],"")</f>
        <v/>
      </c>
      <c r="F960" s="94" t="str">
        <f>IF(ISNUMBER(deployment_raw[[#This Row],[Column6]]), (deployment_raw[[#This Row],[Column6]] * IF($E$2="Deployment",deployment_raw[[#This Row],[Column5]],1)),"")</f>
        <v/>
      </c>
      <c r="G960" s="95" t="str">
        <f>IF(ISNUMBER(deployment_raw[[#This Row],[Column7]]), (deployment_raw[[#This Row],[Column7]] * IF($E$2="Deployment",deployment_raw[[#This Row],[Column5]],1))/1048576,"")</f>
        <v/>
      </c>
      <c r="H960" s="95" t="str">
        <f>IF(ISNUMBER(deployment_raw[[#This Row],[Column8]]), (deployment_raw[[#This Row],[Column8]]  * IF($E$2="Deployment",deployment_raw[[#This Row],[Column5]],1)),"")</f>
        <v/>
      </c>
      <c r="I960" s="96" t="str">
        <f>IF(ISNUMBER(deployment_raw[[#This Row],[Column9]]), (deployment_raw[[#This Row],[Column9]] * IF($E$2="Deployment",deployment_raw[[#This Row],[Column5]],1))/1048576,"")</f>
        <v/>
      </c>
      <c r="J960" s="122" t="str">
        <f>IF(ISNUMBER(deployment_raw[[#This Row],[Column10]]), (MIN(IF(N960&lt;&gt;"",N960,9999999999999)*1.1,deployment_raw[[#This Row],[Column10]] * IF($E$2="Deployment",deployment_raw[[#This Row],[Column5]],1))),"")</f>
        <v/>
      </c>
      <c r="K960" s="123" t="str">
        <f>IF(ISNUMBER(deployment_raw[[#This Row],[Column11]]), (MIN(IF(O960&lt;&gt;"",O960,9999999999999)*1.1,deployment_raw[[#This Row],[Column11]] * IF($E$2="Deployment",deployment_raw[[#This Row],[Column5]],1)/1048576)),"")</f>
        <v/>
      </c>
      <c r="L960" s="124" t="str">
        <f>IF(ISNUMBER(deployment_raw[[#This Row],[Column8]]),IF(OR(deployment_raw[[#This Row],[Column5]] &lt;&gt; 0,$E$2 &lt;&gt; "Deployment"), MAX(J960, P960, R960, ($L$2 * IF($E$2="Deployment",deployment_raw[[#This Row],[Column5]],1)),IF(T960&lt;&gt;"",VALUE(T960) * IF($E$2="Deployment",deployment_raw[[#This Row],[Column5]],1),0)), 0),"")</f>
        <v/>
      </c>
      <c r="M960" s="125" t="str">
        <f>IF(ISNUMBER(deployment_raw[[#This Row],[Column9]]),IF(OR(deployment_raw[[#This Row],[Column5]] &lt;&gt; 0,$E$2&lt;&gt;"Deployment"), MAX(K960, Q960, S960, ($M$2 * IF($E$2="Deployment",deployment_raw[[#This Row],[Column5]],1)),IF(U960&lt;&gt;"",VALUE(U960) * IF($E$2="Deployment",deployment_raw[[#This Row],[Column5]],1),0)), 0),"")</f>
        <v/>
      </c>
      <c r="N960" s="166" t="str">
        <f>IF(ISNUMBER(deployment_raw[[#This Row],[Column14]]), deployment_raw[[#This Row],[Column14]]/IF(OR($E$2="Deployment",deployment_raw[[#This Row],[Column5]]=0),1,deployment_raw[[#This Row],[Column5]]),"")</f>
        <v/>
      </c>
      <c r="O960" s="167" t="str">
        <f>IF(ISNUMBER(deployment_raw[[#This Row],[Column15]]), deployment_raw[[#This Row],[Column15]]/IF(OR($E$2="Deployment",deployment_raw[[#This Row],[Column5]]=0),1,deployment_raw[[#This Row],[Column5]])/1048576,"")</f>
        <v/>
      </c>
      <c r="P960" s="168" t="str">
        <f>IF(ISNUMBER(deployment_raw[[#This Row],[Column12]]), (MIN(IF(N960&lt;&gt;"",N960,9999999999999)*1.1,deployment_raw[[#This Row],[Column12]] * IF($E$2="Deployment",deployment_raw[[#This Row],[Column5]],1))*(1+$P$2)),"")</f>
        <v/>
      </c>
      <c r="Q960" s="167" t="str">
        <f>IF(ISNUMBER(deployment_raw[[#This Row],[Column13]]), (MIN(IF(O960&lt;&gt;"",O960,9999999999999)*1.1,deployment_raw[[#This Row],[Column13]] * IF($E$2="Deployment",deployment_raw[[#This Row],[Column5]],1)*(1+$Q$2)/1048576)),"")</f>
        <v/>
      </c>
      <c r="R960" s="169" t="str">
        <f>IF(ISNUMBER(deployment_raw[[#This Row],[Column8]]), (H960  * IF(N960&lt;&gt;0,$R$2,1)),"")</f>
        <v/>
      </c>
      <c r="S960" s="170" t="str">
        <f>IF(ISNUMBER(deployment_raw[[#This Row],[Column8]]), (I960  * IF(O960&lt;&gt;0,$S$2,1)),"")</f>
        <v/>
      </c>
      <c r="T960" s="202" t="str">
        <f>IF(AND(A960&lt;&gt;"",_xlfn.IFNA(MATCH(A960,'dynamic resource application '!$A$2:$A$100, 0),0)&lt;&gt;0), H960/(IF($E$2="Deployment",E960,1)),"")</f>
        <v/>
      </c>
      <c r="U960" s="211" t="str">
        <f>IF(AND(A960&lt;&gt;"",_xlfn.IFNA(MATCH(A960,'dynamic resource application '!$A$2:$A$100, 0),0)&lt;&gt;0), I960/(IF($E$2="Deployment",E960,1)),"")</f>
        <v/>
      </c>
    </row>
    <row r="961" spans="1:21" ht="15" customHeight="1" x14ac:dyDescent="0.25">
      <c r="A961" s="35" t="str">
        <f>IF(ISNONTEXT(deployment_raw[[#This Row],[Column1]]), "", deployment_raw[[#This Row],[Column1]])</f>
        <v/>
      </c>
      <c r="B961" s="36" t="str">
        <f>IF(ISNONTEXT(deployment_raw[[#This Row],[Column2]]), "", deployment_raw[[#This Row],[Column2]])</f>
        <v/>
      </c>
      <c r="C961" s="36" t="str">
        <f>IF(ISNONTEXT(deployment_raw[[#This Row],[Column3]]), "", deployment_raw[[#This Row],[Column3]])</f>
        <v/>
      </c>
      <c r="D961" s="36" t="str">
        <f>IF(ISNONTEXT(deployment_raw[[#This Row],[Column4]]), "", deployment_raw[[#This Row],[Column4]])</f>
        <v/>
      </c>
      <c r="E961" s="37" t="str">
        <f>IF(ISNUMBER(deployment_raw[[#This Row],[Column5]]), deployment_raw[[#This Row],[Column5]],"")</f>
        <v/>
      </c>
      <c r="F961" s="94" t="str">
        <f>IF(ISNUMBER(deployment_raw[[#This Row],[Column6]]), (deployment_raw[[#This Row],[Column6]] * IF($E$2="Deployment",deployment_raw[[#This Row],[Column5]],1)),"")</f>
        <v/>
      </c>
      <c r="G961" s="95" t="str">
        <f>IF(ISNUMBER(deployment_raw[[#This Row],[Column7]]), (deployment_raw[[#This Row],[Column7]] * IF($E$2="Deployment",deployment_raw[[#This Row],[Column5]],1))/1048576,"")</f>
        <v/>
      </c>
      <c r="H961" s="95" t="str">
        <f>IF(ISNUMBER(deployment_raw[[#This Row],[Column8]]), (deployment_raw[[#This Row],[Column8]]  * IF($E$2="Deployment",deployment_raw[[#This Row],[Column5]],1)),"")</f>
        <v/>
      </c>
      <c r="I961" s="96" t="str">
        <f>IF(ISNUMBER(deployment_raw[[#This Row],[Column9]]), (deployment_raw[[#This Row],[Column9]] * IF($E$2="Deployment",deployment_raw[[#This Row],[Column5]],1))/1048576,"")</f>
        <v/>
      </c>
      <c r="J961" s="122" t="str">
        <f>IF(ISNUMBER(deployment_raw[[#This Row],[Column10]]), (MIN(IF(N961&lt;&gt;"",N961,9999999999999)*1.1,deployment_raw[[#This Row],[Column10]] * IF($E$2="Deployment",deployment_raw[[#This Row],[Column5]],1))),"")</f>
        <v/>
      </c>
      <c r="K961" s="123" t="str">
        <f>IF(ISNUMBER(deployment_raw[[#This Row],[Column11]]), (MIN(IF(O961&lt;&gt;"",O961,9999999999999)*1.1,deployment_raw[[#This Row],[Column11]] * IF($E$2="Deployment",deployment_raw[[#This Row],[Column5]],1)/1048576)),"")</f>
        <v/>
      </c>
      <c r="L961" s="124" t="str">
        <f>IF(ISNUMBER(deployment_raw[[#This Row],[Column8]]),IF(OR(deployment_raw[[#This Row],[Column5]] &lt;&gt; 0,$E$2 &lt;&gt; "Deployment"), MAX(J961, P961, R961, ($L$2 * IF($E$2="Deployment",deployment_raw[[#This Row],[Column5]],1)),IF(T961&lt;&gt;"",VALUE(T961) * IF($E$2="Deployment",deployment_raw[[#This Row],[Column5]],1),0)), 0),"")</f>
        <v/>
      </c>
      <c r="M961" s="125" t="str">
        <f>IF(ISNUMBER(deployment_raw[[#This Row],[Column9]]),IF(OR(deployment_raw[[#This Row],[Column5]] &lt;&gt; 0,$E$2&lt;&gt;"Deployment"), MAX(K961, Q961, S961, ($M$2 * IF($E$2="Deployment",deployment_raw[[#This Row],[Column5]],1)),IF(U961&lt;&gt;"",VALUE(U961) * IF($E$2="Deployment",deployment_raw[[#This Row],[Column5]],1),0)), 0),"")</f>
        <v/>
      </c>
      <c r="N961" s="166" t="str">
        <f>IF(ISNUMBER(deployment_raw[[#This Row],[Column14]]), deployment_raw[[#This Row],[Column14]]/IF(OR($E$2="Deployment",deployment_raw[[#This Row],[Column5]]=0),1,deployment_raw[[#This Row],[Column5]]),"")</f>
        <v/>
      </c>
      <c r="O961" s="167" t="str">
        <f>IF(ISNUMBER(deployment_raw[[#This Row],[Column15]]), deployment_raw[[#This Row],[Column15]]/IF(OR($E$2="Deployment",deployment_raw[[#This Row],[Column5]]=0),1,deployment_raw[[#This Row],[Column5]])/1048576,"")</f>
        <v/>
      </c>
      <c r="P961" s="168" t="str">
        <f>IF(ISNUMBER(deployment_raw[[#This Row],[Column12]]), (MIN(IF(N961&lt;&gt;"",N961,9999999999999)*1.1,deployment_raw[[#This Row],[Column12]] * IF($E$2="Deployment",deployment_raw[[#This Row],[Column5]],1))*(1+$P$2)),"")</f>
        <v/>
      </c>
      <c r="Q961" s="167" t="str">
        <f>IF(ISNUMBER(deployment_raw[[#This Row],[Column13]]), (MIN(IF(O961&lt;&gt;"",O961,9999999999999)*1.1,deployment_raw[[#This Row],[Column13]] * IF($E$2="Deployment",deployment_raw[[#This Row],[Column5]],1)*(1+$Q$2)/1048576)),"")</f>
        <v/>
      </c>
      <c r="R961" s="169" t="str">
        <f>IF(ISNUMBER(deployment_raw[[#This Row],[Column8]]), (H961  * IF(N961&lt;&gt;0,$R$2,1)),"")</f>
        <v/>
      </c>
      <c r="S961" s="170" t="str">
        <f>IF(ISNUMBER(deployment_raw[[#This Row],[Column8]]), (I961  * IF(O961&lt;&gt;0,$S$2,1)),"")</f>
        <v/>
      </c>
      <c r="T961" s="202" t="str">
        <f>IF(AND(A961&lt;&gt;"",_xlfn.IFNA(MATCH(A961,'dynamic resource application '!$A$2:$A$100, 0),0)&lt;&gt;0), H961/(IF($E$2="Deployment",E961,1)),"")</f>
        <v/>
      </c>
      <c r="U961" s="211" t="str">
        <f>IF(AND(A961&lt;&gt;"",_xlfn.IFNA(MATCH(A961,'dynamic resource application '!$A$2:$A$100, 0),0)&lt;&gt;0), I961/(IF($E$2="Deployment",E961,1)),"")</f>
        <v/>
      </c>
    </row>
    <row r="962" spans="1:21" ht="15" customHeight="1" x14ac:dyDescent="0.25">
      <c r="A962" s="35" t="str">
        <f>IF(ISNONTEXT(deployment_raw[[#This Row],[Column1]]), "", deployment_raw[[#This Row],[Column1]])</f>
        <v/>
      </c>
      <c r="B962" s="36" t="str">
        <f>IF(ISNONTEXT(deployment_raw[[#This Row],[Column2]]), "", deployment_raw[[#This Row],[Column2]])</f>
        <v/>
      </c>
      <c r="C962" s="36" t="str">
        <f>IF(ISNONTEXT(deployment_raw[[#This Row],[Column3]]), "", deployment_raw[[#This Row],[Column3]])</f>
        <v/>
      </c>
      <c r="D962" s="36" t="str">
        <f>IF(ISNONTEXT(deployment_raw[[#This Row],[Column4]]), "", deployment_raw[[#This Row],[Column4]])</f>
        <v/>
      </c>
      <c r="E962" s="37" t="str">
        <f>IF(ISNUMBER(deployment_raw[[#This Row],[Column5]]), deployment_raw[[#This Row],[Column5]],"")</f>
        <v/>
      </c>
      <c r="F962" s="94" t="str">
        <f>IF(ISNUMBER(deployment_raw[[#This Row],[Column6]]), (deployment_raw[[#This Row],[Column6]] * IF($E$2="Deployment",deployment_raw[[#This Row],[Column5]],1)),"")</f>
        <v/>
      </c>
      <c r="G962" s="95" t="str">
        <f>IF(ISNUMBER(deployment_raw[[#This Row],[Column7]]), (deployment_raw[[#This Row],[Column7]] * IF($E$2="Deployment",deployment_raw[[#This Row],[Column5]],1))/1048576,"")</f>
        <v/>
      </c>
      <c r="H962" s="95" t="str">
        <f>IF(ISNUMBER(deployment_raw[[#This Row],[Column8]]), (deployment_raw[[#This Row],[Column8]]  * IF($E$2="Deployment",deployment_raw[[#This Row],[Column5]],1)),"")</f>
        <v/>
      </c>
      <c r="I962" s="96" t="str">
        <f>IF(ISNUMBER(deployment_raw[[#This Row],[Column9]]), (deployment_raw[[#This Row],[Column9]] * IF($E$2="Deployment",deployment_raw[[#This Row],[Column5]],1))/1048576,"")</f>
        <v/>
      </c>
      <c r="J962" s="122" t="str">
        <f>IF(ISNUMBER(deployment_raw[[#This Row],[Column10]]), (MIN(IF(N962&lt;&gt;"",N962,9999999999999)*1.1,deployment_raw[[#This Row],[Column10]] * IF($E$2="Deployment",deployment_raw[[#This Row],[Column5]],1))),"")</f>
        <v/>
      </c>
      <c r="K962" s="123" t="str">
        <f>IF(ISNUMBER(deployment_raw[[#This Row],[Column11]]), (MIN(IF(O962&lt;&gt;"",O962,9999999999999)*1.1,deployment_raw[[#This Row],[Column11]] * IF($E$2="Deployment",deployment_raw[[#This Row],[Column5]],1)/1048576)),"")</f>
        <v/>
      </c>
      <c r="L962" s="124" t="str">
        <f>IF(ISNUMBER(deployment_raw[[#This Row],[Column8]]),IF(OR(deployment_raw[[#This Row],[Column5]] &lt;&gt; 0,$E$2 &lt;&gt; "Deployment"), MAX(J962, P962, R962, ($L$2 * IF($E$2="Deployment",deployment_raw[[#This Row],[Column5]],1)),IF(T962&lt;&gt;"",VALUE(T962) * IF($E$2="Deployment",deployment_raw[[#This Row],[Column5]],1),0)), 0),"")</f>
        <v/>
      </c>
      <c r="M962" s="125" t="str">
        <f>IF(ISNUMBER(deployment_raw[[#This Row],[Column9]]),IF(OR(deployment_raw[[#This Row],[Column5]] &lt;&gt; 0,$E$2&lt;&gt;"Deployment"), MAX(K962, Q962, S962, ($M$2 * IF($E$2="Deployment",deployment_raw[[#This Row],[Column5]],1)),IF(U962&lt;&gt;"",VALUE(U962) * IF($E$2="Deployment",deployment_raw[[#This Row],[Column5]],1),0)), 0),"")</f>
        <v/>
      </c>
      <c r="N962" s="166" t="str">
        <f>IF(ISNUMBER(deployment_raw[[#This Row],[Column14]]), deployment_raw[[#This Row],[Column14]]/IF(OR($E$2="Deployment",deployment_raw[[#This Row],[Column5]]=0),1,deployment_raw[[#This Row],[Column5]]),"")</f>
        <v/>
      </c>
      <c r="O962" s="167" t="str">
        <f>IF(ISNUMBER(deployment_raw[[#This Row],[Column15]]), deployment_raw[[#This Row],[Column15]]/IF(OR($E$2="Deployment",deployment_raw[[#This Row],[Column5]]=0),1,deployment_raw[[#This Row],[Column5]])/1048576,"")</f>
        <v/>
      </c>
      <c r="P962" s="168" t="str">
        <f>IF(ISNUMBER(deployment_raw[[#This Row],[Column12]]), (MIN(IF(N962&lt;&gt;"",N962,9999999999999)*1.1,deployment_raw[[#This Row],[Column12]] * IF($E$2="Deployment",deployment_raw[[#This Row],[Column5]],1))*(1+$P$2)),"")</f>
        <v/>
      </c>
      <c r="Q962" s="167" t="str">
        <f>IF(ISNUMBER(deployment_raw[[#This Row],[Column13]]), (MIN(IF(O962&lt;&gt;"",O962,9999999999999)*1.1,deployment_raw[[#This Row],[Column13]] * IF($E$2="Deployment",deployment_raw[[#This Row],[Column5]],1)*(1+$Q$2)/1048576)),"")</f>
        <v/>
      </c>
      <c r="R962" s="169" t="str">
        <f>IF(ISNUMBER(deployment_raw[[#This Row],[Column8]]), (H962  * IF(N962&lt;&gt;0,$R$2,1)),"")</f>
        <v/>
      </c>
      <c r="S962" s="170" t="str">
        <f>IF(ISNUMBER(deployment_raw[[#This Row],[Column8]]), (I962  * IF(O962&lt;&gt;0,$S$2,1)),"")</f>
        <v/>
      </c>
      <c r="T962" s="202" t="str">
        <f>IF(AND(A962&lt;&gt;"",_xlfn.IFNA(MATCH(A962,'dynamic resource application '!$A$2:$A$100, 0),0)&lt;&gt;0), H962/(IF($E$2="Deployment",E962,1)),"")</f>
        <v/>
      </c>
      <c r="U962" s="211" t="str">
        <f>IF(AND(A962&lt;&gt;"",_xlfn.IFNA(MATCH(A962,'dynamic resource application '!$A$2:$A$100, 0),0)&lt;&gt;0), I962/(IF($E$2="Deployment",E962,1)),"")</f>
        <v/>
      </c>
    </row>
    <row r="963" spans="1:21" ht="15" customHeight="1" x14ac:dyDescent="0.25">
      <c r="A963" s="35" t="str">
        <f>IF(ISNONTEXT(deployment_raw[[#This Row],[Column1]]), "", deployment_raw[[#This Row],[Column1]])</f>
        <v/>
      </c>
      <c r="B963" s="36" t="str">
        <f>IF(ISNONTEXT(deployment_raw[[#This Row],[Column2]]), "", deployment_raw[[#This Row],[Column2]])</f>
        <v/>
      </c>
      <c r="C963" s="36" t="str">
        <f>IF(ISNONTEXT(deployment_raw[[#This Row],[Column3]]), "", deployment_raw[[#This Row],[Column3]])</f>
        <v/>
      </c>
      <c r="D963" s="36" t="str">
        <f>IF(ISNONTEXT(deployment_raw[[#This Row],[Column4]]), "", deployment_raw[[#This Row],[Column4]])</f>
        <v/>
      </c>
      <c r="E963" s="37" t="str">
        <f>IF(ISNUMBER(deployment_raw[[#This Row],[Column5]]), deployment_raw[[#This Row],[Column5]],"")</f>
        <v/>
      </c>
      <c r="F963" s="94" t="str">
        <f>IF(ISNUMBER(deployment_raw[[#This Row],[Column6]]), (deployment_raw[[#This Row],[Column6]] * IF($E$2="Deployment",deployment_raw[[#This Row],[Column5]],1)),"")</f>
        <v/>
      </c>
      <c r="G963" s="95" t="str">
        <f>IF(ISNUMBER(deployment_raw[[#This Row],[Column7]]), (deployment_raw[[#This Row],[Column7]] * IF($E$2="Deployment",deployment_raw[[#This Row],[Column5]],1))/1048576,"")</f>
        <v/>
      </c>
      <c r="H963" s="95" t="str">
        <f>IF(ISNUMBER(deployment_raw[[#This Row],[Column8]]), (deployment_raw[[#This Row],[Column8]]  * IF($E$2="Deployment",deployment_raw[[#This Row],[Column5]],1)),"")</f>
        <v/>
      </c>
      <c r="I963" s="96" t="str">
        <f>IF(ISNUMBER(deployment_raw[[#This Row],[Column9]]), (deployment_raw[[#This Row],[Column9]] * IF($E$2="Deployment",deployment_raw[[#This Row],[Column5]],1))/1048576,"")</f>
        <v/>
      </c>
      <c r="J963" s="122" t="str">
        <f>IF(ISNUMBER(deployment_raw[[#This Row],[Column10]]), (MIN(IF(N963&lt;&gt;"",N963,9999999999999)*1.1,deployment_raw[[#This Row],[Column10]] * IF($E$2="Deployment",deployment_raw[[#This Row],[Column5]],1))),"")</f>
        <v/>
      </c>
      <c r="K963" s="123" t="str">
        <f>IF(ISNUMBER(deployment_raw[[#This Row],[Column11]]), (MIN(IF(O963&lt;&gt;"",O963,9999999999999)*1.1,deployment_raw[[#This Row],[Column11]] * IF($E$2="Deployment",deployment_raw[[#This Row],[Column5]],1)/1048576)),"")</f>
        <v/>
      </c>
      <c r="L963" s="124" t="str">
        <f>IF(ISNUMBER(deployment_raw[[#This Row],[Column8]]),IF(OR(deployment_raw[[#This Row],[Column5]] &lt;&gt; 0,$E$2 &lt;&gt; "Deployment"), MAX(J963, P963, R963, ($L$2 * IF($E$2="Deployment",deployment_raw[[#This Row],[Column5]],1)),IF(T963&lt;&gt;"",VALUE(T963) * IF($E$2="Deployment",deployment_raw[[#This Row],[Column5]],1),0)), 0),"")</f>
        <v/>
      </c>
      <c r="M963" s="125" t="str">
        <f>IF(ISNUMBER(deployment_raw[[#This Row],[Column9]]),IF(OR(deployment_raw[[#This Row],[Column5]] &lt;&gt; 0,$E$2&lt;&gt;"Deployment"), MAX(K963, Q963, S963, ($M$2 * IF($E$2="Deployment",deployment_raw[[#This Row],[Column5]],1)),IF(U963&lt;&gt;"",VALUE(U963) * IF($E$2="Deployment",deployment_raw[[#This Row],[Column5]],1),0)), 0),"")</f>
        <v/>
      </c>
      <c r="N963" s="166" t="str">
        <f>IF(ISNUMBER(deployment_raw[[#This Row],[Column14]]), deployment_raw[[#This Row],[Column14]]/IF(OR($E$2="Deployment",deployment_raw[[#This Row],[Column5]]=0),1,deployment_raw[[#This Row],[Column5]]),"")</f>
        <v/>
      </c>
      <c r="O963" s="167" t="str">
        <f>IF(ISNUMBER(deployment_raw[[#This Row],[Column15]]), deployment_raw[[#This Row],[Column15]]/IF(OR($E$2="Deployment",deployment_raw[[#This Row],[Column5]]=0),1,deployment_raw[[#This Row],[Column5]])/1048576,"")</f>
        <v/>
      </c>
      <c r="P963" s="168" t="str">
        <f>IF(ISNUMBER(deployment_raw[[#This Row],[Column12]]), (MIN(IF(N963&lt;&gt;"",N963,9999999999999)*1.1,deployment_raw[[#This Row],[Column12]] * IF($E$2="Deployment",deployment_raw[[#This Row],[Column5]],1))*(1+$P$2)),"")</f>
        <v/>
      </c>
      <c r="Q963" s="167" t="str">
        <f>IF(ISNUMBER(deployment_raw[[#This Row],[Column13]]), (MIN(IF(O963&lt;&gt;"",O963,9999999999999)*1.1,deployment_raw[[#This Row],[Column13]] * IF($E$2="Deployment",deployment_raw[[#This Row],[Column5]],1)*(1+$Q$2)/1048576)),"")</f>
        <v/>
      </c>
      <c r="R963" s="169" t="str">
        <f>IF(ISNUMBER(deployment_raw[[#This Row],[Column8]]), (H963  * IF(N963&lt;&gt;0,$R$2,1)),"")</f>
        <v/>
      </c>
      <c r="S963" s="170" t="str">
        <f>IF(ISNUMBER(deployment_raw[[#This Row],[Column8]]), (I963  * IF(O963&lt;&gt;0,$S$2,1)),"")</f>
        <v/>
      </c>
      <c r="T963" s="202" t="str">
        <f>IF(AND(A963&lt;&gt;"",_xlfn.IFNA(MATCH(A963,'dynamic resource application '!$A$2:$A$100, 0),0)&lt;&gt;0), H963/(IF($E$2="Deployment",E963,1)),"")</f>
        <v/>
      </c>
      <c r="U963" s="211" t="str">
        <f>IF(AND(A963&lt;&gt;"",_xlfn.IFNA(MATCH(A963,'dynamic resource application '!$A$2:$A$100, 0),0)&lt;&gt;0), I963/(IF($E$2="Deployment",E963,1)),"")</f>
        <v/>
      </c>
    </row>
    <row r="964" spans="1:21" ht="15" customHeight="1" x14ac:dyDescent="0.25">
      <c r="A964" s="35" t="str">
        <f>IF(ISNONTEXT(deployment_raw[[#This Row],[Column1]]), "", deployment_raw[[#This Row],[Column1]])</f>
        <v/>
      </c>
      <c r="B964" s="36" t="str">
        <f>IF(ISNONTEXT(deployment_raw[[#This Row],[Column2]]), "", deployment_raw[[#This Row],[Column2]])</f>
        <v/>
      </c>
      <c r="C964" s="36" t="str">
        <f>IF(ISNONTEXT(deployment_raw[[#This Row],[Column3]]), "", deployment_raw[[#This Row],[Column3]])</f>
        <v/>
      </c>
      <c r="D964" s="36" t="str">
        <f>IF(ISNONTEXT(deployment_raw[[#This Row],[Column4]]), "", deployment_raw[[#This Row],[Column4]])</f>
        <v/>
      </c>
      <c r="E964" s="37" t="str">
        <f>IF(ISNUMBER(deployment_raw[[#This Row],[Column5]]), deployment_raw[[#This Row],[Column5]],"")</f>
        <v/>
      </c>
      <c r="F964" s="94" t="str">
        <f>IF(ISNUMBER(deployment_raw[[#This Row],[Column6]]), (deployment_raw[[#This Row],[Column6]] * IF($E$2="Deployment",deployment_raw[[#This Row],[Column5]],1)),"")</f>
        <v/>
      </c>
      <c r="G964" s="95" t="str">
        <f>IF(ISNUMBER(deployment_raw[[#This Row],[Column7]]), (deployment_raw[[#This Row],[Column7]] * IF($E$2="Deployment",deployment_raw[[#This Row],[Column5]],1))/1048576,"")</f>
        <v/>
      </c>
      <c r="H964" s="95" t="str">
        <f>IF(ISNUMBER(deployment_raw[[#This Row],[Column8]]), (deployment_raw[[#This Row],[Column8]]  * IF($E$2="Deployment",deployment_raw[[#This Row],[Column5]],1)),"")</f>
        <v/>
      </c>
      <c r="I964" s="96" t="str">
        <f>IF(ISNUMBER(deployment_raw[[#This Row],[Column9]]), (deployment_raw[[#This Row],[Column9]] * IF($E$2="Deployment",deployment_raw[[#This Row],[Column5]],1))/1048576,"")</f>
        <v/>
      </c>
      <c r="J964" s="122" t="str">
        <f>IF(ISNUMBER(deployment_raw[[#This Row],[Column10]]), (MIN(IF(N964&lt;&gt;"",N964,9999999999999)*1.1,deployment_raw[[#This Row],[Column10]] * IF($E$2="Deployment",deployment_raw[[#This Row],[Column5]],1))),"")</f>
        <v/>
      </c>
      <c r="K964" s="123" t="str">
        <f>IF(ISNUMBER(deployment_raw[[#This Row],[Column11]]), (MIN(IF(O964&lt;&gt;"",O964,9999999999999)*1.1,deployment_raw[[#This Row],[Column11]] * IF($E$2="Deployment",deployment_raw[[#This Row],[Column5]],1)/1048576)),"")</f>
        <v/>
      </c>
      <c r="L964" s="124" t="str">
        <f>IF(ISNUMBER(deployment_raw[[#This Row],[Column8]]),IF(OR(deployment_raw[[#This Row],[Column5]] &lt;&gt; 0,$E$2 &lt;&gt; "Deployment"), MAX(J964, P964, R964, ($L$2 * IF($E$2="Deployment",deployment_raw[[#This Row],[Column5]],1)),IF(T964&lt;&gt;"",VALUE(T964) * IF($E$2="Deployment",deployment_raw[[#This Row],[Column5]],1),0)), 0),"")</f>
        <v/>
      </c>
      <c r="M964" s="125" t="str">
        <f>IF(ISNUMBER(deployment_raw[[#This Row],[Column9]]),IF(OR(deployment_raw[[#This Row],[Column5]] &lt;&gt; 0,$E$2&lt;&gt;"Deployment"), MAX(K964, Q964, S964, ($M$2 * IF($E$2="Deployment",deployment_raw[[#This Row],[Column5]],1)),IF(U964&lt;&gt;"",VALUE(U964) * IF($E$2="Deployment",deployment_raw[[#This Row],[Column5]],1),0)), 0),"")</f>
        <v/>
      </c>
      <c r="N964" s="166" t="str">
        <f>IF(ISNUMBER(deployment_raw[[#This Row],[Column14]]), deployment_raw[[#This Row],[Column14]]/IF(OR($E$2="Deployment",deployment_raw[[#This Row],[Column5]]=0),1,deployment_raw[[#This Row],[Column5]]),"")</f>
        <v/>
      </c>
      <c r="O964" s="167" t="str">
        <f>IF(ISNUMBER(deployment_raw[[#This Row],[Column15]]), deployment_raw[[#This Row],[Column15]]/IF(OR($E$2="Deployment",deployment_raw[[#This Row],[Column5]]=0),1,deployment_raw[[#This Row],[Column5]])/1048576,"")</f>
        <v/>
      </c>
      <c r="P964" s="168" t="str">
        <f>IF(ISNUMBER(deployment_raw[[#This Row],[Column12]]), (MIN(IF(N964&lt;&gt;"",N964,9999999999999)*1.1,deployment_raw[[#This Row],[Column12]] * IF($E$2="Deployment",deployment_raw[[#This Row],[Column5]],1))*(1+$P$2)),"")</f>
        <v/>
      </c>
      <c r="Q964" s="167" t="str">
        <f>IF(ISNUMBER(deployment_raw[[#This Row],[Column13]]), (MIN(IF(O964&lt;&gt;"",O964,9999999999999)*1.1,deployment_raw[[#This Row],[Column13]] * IF($E$2="Deployment",deployment_raw[[#This Row],[Column5]],1)*(1+$Q$2)/1048576)),"")</f>
        <v/>
      </c>
      <c r="R964" s="169" t="str">
        <f>IF(ISNUMBER(deployment_raw[[#This Row],[Column8]]), (H964  * IF(N964&lt;&gt;0,$R$2,1)),"")</f>
        <v/>
      </c>
      <c r="S964" s="170" t="str">
        <f>IF(ISNUMBER(deployment_raw[[#This Row],[Column8]]), (I964  * IF(O964&lt;&gt;0,$S$2,1)),"")</f>
        <v/>
      </c>
      <c r="T964" s="202" t="str">
        <f>IF(AND(A964&lt;&gt;"",_xlfn.IFNA(MATCH(A964,'dynamic resource application '!$A$2:$A$100, 0),0)&lt;&gt;0), H964/(IF($E$2="Deployment",E964,1)),"")</f>
        <v/>
      </c>
      <c r="U964" s="211" t="str">
        <f>IF(AND(A964&lt;&gt;"",_xlfn.IFNA(MATCH(A964,'dynamic resource application '!$A$2:$A$100, 0),0)&lt;&gt;0), I964/(IF($E$2="Deployment",E964,1)),"")</f>
        <v/>
      </c>
    </row>
    <row r="965" spans="1:21" ht="15" customHeight="1" x14ac:dyDescent="0.25">
      <c r="A965" s="35" t="str">
        <f>IF(ISNONTEXT(deployment_raw[[#This Row],[Column1]]), "", deployment_raw[[#This Row],[Column1]])</f>
        <v/>
      </c>
      <c r="B965" s="36" t="str">
        <f>IF(ISNONTEXT(deployment_raw[[#This Row],[Column2]]), "", deployment_raw[[#This Row],[Column2]])</f>
        <v/>
      </c>
      <c r="C965" s="36" t="str">
        <f>IF(ISNONTEXT(deployment_raw[[#This Row],[Column3]]), "", deployment_raw[[#This Row],[Column3]])</f>
        <v/>
      </c>
      <c r="D965" s="36" t="str">
        <f>IF(ISNONTEXT(deployment_raw[[#This Row],[Column4]]), "", deployment_raw[[#This Row],[Column4]])</f>
        <v/>
      </c>
      <c r="E965" s="37" t="str">
        <f>IF(ISNUMBER(deployment_raw[[#This Row],[Column5]]), deployment_raw[[#This Row],[Column5]],"")</f>
        <v/>
      </c>
      <c r="F965" s="94" t="str">
        <f>IF(ISNUMBER(deployment_raw[[#This Row],[Column6]]), (deployment_raw[[#This Row],[Column6]] * IF($E$2="Deployment",deployment_raw[[#This Row],[Column5]],1)),"")</f>
        <v/>
      </c>
      <c r="G965" s="95" t="str">
        <f>IF(ISNUMBER(deployment_raw[[#This Row],[Column7]]), (deployment_raw[[#This Row],[Column7]] * IF($E$2="Deployment",deployment_raw[[#This Row],[Column5]],1))/1048576,"")</f>
        <v/>
      </c>
      <c r="H965" s="95" t="str">
        <f>IF(ISNUMBER(deployment_raw[[#This Row],[Column8]]), (deployment_raw[[#This Row],[Column8]]  * IF($E$2="Deployment",deployment_raw[[#This Row],[Column5]],1)),"")</f>
        <v/>
      </c>
      <c r="I965" s="96" t="str">
        <f>IF(ISNUMBER(deployment_raw[[#This Row],[Column9]]), (deployment_raw[[#This Row],[Column9]] * IF($E$2="Deployment",deployment_raw[[#This Row],[Column5]],1))/1048576,"")</f>
        <v/>
      </c>
      <c r="J965" s="122" t="str">
        <f>IF(ISNUMBER(deployment_raw[[#This Row],[Column10]]), (MIN(IF(N965&lt;&gt;"",N965,9999999999999)*1.1,deployment_raw[[#This Row],[Column10]] * IF($E$2="Deployment",deployment_raw[[#This Row],[Column5]],1))),"")</f>
        <v/>
      </c>
      <c r="K965" s="123" t="str">
        <f>IF(ISNUMBER(deployment_raw[[#This Row],[Column11]]), (MIN(IF(O965&lt;&gt;"",O965,9999999999999)*1.1,deployment_raw[[#This Row],[Column11]] * IF($E$2="Deployment",deployment_raw[[#This Row],[Column5]],1)/1048576)),"")</f>
        <v/>
      </c>
      <c r="L965" s="124" t="str">
        <f>IF(ISNUMBER(deployment_raw[[#This Row],[Column8]]),IF(OR(deployment_raw[[#This Row],[Column5]] &lt;&gt; 0,$E$2 &lt;&gt; "Deployment"), MAX(J965, P965, R965, ($L$2 * IF($E$2="Deployment",deployment_raw[[#This Row],[Column5]],1)),IF(T965&lt;&gt;"",VALUE(T965) * IF($E$2="Deployment",deployment_raw[[#This Row],[Column5]],1),0)), 0),"")</f>
        <v/>
      </c>
      <c r="M965" s="125" t="str">
        <f>IF(ISNUMBER(deployment_raw[[#This Row],[Column9]]),IF(OR(deployment_raw[[#This Row],[Column5]] &lt;&gt; 0,$E$2&lt;&gt;"Deployment"), MAX(K965, Q965, S965, ($M$2 * IF($E$2="Deployment",deployment_raw[[#This Row],[Column5]],1)),IF(U965&lt;&gt;"",VALUE(U965) * IF($E$2="Deployment",deployment_raw[[#This Row],[Column5]],1),0)), 0),"")</f>
        <v/>
      </c>
      <c r="N965" s="166" t="str">
        <f>IF(ISNUMBER(deployment_raw[[#This Row],[Column14]]), deployment_raw[[#This Row],[Column14]]/IF(OR($E$2="Deployment",deployment_raw[[#This Row],[Column5]]=0),1,deployment_raw[[#This Row],[Column5]]),"")</f>
        <v/>
      </c>
      <c r="O965" s="167" t="str">
        <f>IF(ISNUMBER(deployment_raw[[#This Row],[Column15]]), deployment_raw[[#This Row],[Column15]]/IF(OR($E$2="Deployment",deployment_raw[[#This Row],[Column5]]=0),1,deployment_raw[[#This Row],[Column5]])/1048576,"")</f>
        <v/>
      </c>
      <c r="P965" s="168" t="str">
        <f>IF(ISNUMBER(deployment_raw[[#This Row],[Column12]]), (MIN(IF(N965&lt;&gt;"",N965,9999999999999)*1.1,deployment_raw[[#This Row],[Column12]] * IF($E$2="Deployment",deployment_raw[[#This Row],[Column5]],1))*(1+$P$2)),"")</f>
        <v/>
      </c>
      <c r="Q965" s="167" t="str">
        <f>IF(ISNUMBER(deployment_raw[[#This Row],[Column13]]), (MIN(IF(O965&lt;&gt;"",O965,9999999999999)*1.1,deployment_raw[[#This Row],[Column13]] * IF($E$2="Deployment",deployment_raw[[#This Row],[Column5]],1)*(1+$Q$2)/1048576)),"")</f>
        <v/>
      </c>
      <c r="R965" s="169" t="str">
        <f>IF(ISNUMBER(deployment_raw[[#This Row],[Column8]]), (H965  * IF(N965&lt;&gt;0,$R$2,1)),"")</f>
        <v/>
      </c>
      <c r="S965" s="170" t="str">
        <f>IF(ISNUMBER(deployment_raw[[#This Row],[Column8]]), (I965  * IF(O965&lt;&gt;0,$S$2,1)),"")</f>
        <v/>
      </c>
      <c r="T965" s="202" t="str">
        <f>IF(AND(A965&lt;&gt;"",_xlfn.IFNA(MATCH(A965,'dynamic resource application '!$A$2:$A$100, 0),0)&lt;&gt;0), H965/(IF($E$2="Deployment",E965,1)),"")</f>
        <v/>
      </c>
      <c r="U965" s="211" t="str">
        <f>IF(AND(A965&lt;&gt;"",_xlfn.IFNA(MATCH(A965,'dynamic resource application '!$A$2:$A$100, 0),0)&lt;&gt;0), I965/(IF($E$2="Deployment",E965,1)),"")</f>
        <v/>
      </c>
    </row>
    <row r="966" spans="1:21" ht="15" customHeight="1" x14ac:dyDescent="0.25">
      <c r="A966" s="35" t="str">
        <f>IF(ISNONTEXT(deployment_raw[[#This Row],[Column1]]), "", deployment_raw[[#This Row],[Column1]])</f>
        <v/>
      </c>
      <c r="B966" s="36" t="str">
        <f>IF(ISNONTEXT(deployment_raw[[#This Row],[Column2]]), "", deployment_raw[[#This Row],[Column2]])</f>
        <v/>
      </c>
      <c r="C966" s="36" t="str">
        <f>IF(ISNONTEXT(deployment_raw[[#This Row],[Column3]]), "", deployment_raw[[#This Row],[Column3]])</f>
        <v/>
      </c>
      <c r="D966" s="36" t="str">
        <f>IF(ISNONTEXT(deployment_raw[[#This Row],[Column4]]), "", deployment_raw[[#This Row],[Column4]])</f>
        <v/>
      </c>
      <c r="E966" s="37" t="str">
        <f>IF(ISNUMBER(deployment_raw[[#This Row],[Column5]]), deployment_raw[[#This Row],[Column5]],"")</f>
        <v/>
      </c>
      <c r="F966" s="94" t="str">
        <f>IF(ISNUMBER(deployment_raw[[#This Row],[Column6]]), (deployment_raw[[#This Row],[Column6]] * IF($E$2="Deployment",deployment_raw[[#This Row],[Column5]],1)),"")</f>
        <v/>
      </c>
      <c r="G966" s="95" t="str">
        <f>IF(ISNUMBER(deployment_raw[[#This Row],[Column7]]), (deployment_raw[[#This Row],[Column7]] * IF($E$2="Deployment",deployment_raw[[#This Row],[Column5]],1))/1048576,"")</f>
        <v/>
      </c>
      <c r="H966" s="95" t="str">
        <f>IF(ISNUMBER(deployment_raw[[#This Row],[Column8]]), (deployment_raw[[#This Row],[Column8]]  * IF($E$2="Deployment",deployment_raw[[#This Row],[Column5]],1)),"")</f>
        <v/>
      </c>
      <c r="I966" s="96" t="str">
        <f>IF(ISNUMBER(deployment_raw[[#This Row],[Column9]]), (deployment_raw[[#This Row],[Column9]] * IF($E$2="Deployment",deployment_raw[[#This Row],[Column5]],1))/1048576,"")</f>
        <v/>
      </c>
      <c r="J966" s="122" t="str">
        <f>IF(ISNUMBER(deployment_raw[[#This Row],[Column10]]), (MIN(IF(N966&lt;&gt;"",N966,9999999999999)*1.1,deployment_raw[[#This Row],[Column10]] * IF($E$2="Deployment",deployment_raw[[#This Row],[Column5]],1))),"")</f>
        <v/>
      </c>
      <c r="K966" s="123" t="str">
        <f>IF(ISNUMBER(deployment_raw[[#This Row],[Column11]]), (MIN(IF(O966&lt;&gt;"",O966,9999999999999)*1.1,deployment_raw[[#This Row],[Column11]] * IF($E$2="Deployment",deployment_raw[[#This Row],[Column5]],1)/1048576)),"")</f>
        <v/>
      </c>
      <c r="L966" s="124" t="str">
        <f>IF(ISNUMBER(deployment_raw[[#This Row],[Column8]]),IF(OR(deployment_raw[[#This Row],[Column5]] &lt;&gt; 0,$E$2 &lt;&gt; "Deployment"), MAX(J966, P966, R966, ($L$2 * IF($E$2="Deployment",deployment_raw[[#This Row],[Column5]],1)),IF(T966&lt;&gt;"",VALUE(T966) * IF($E$2="Deployment",deployment_raw[[#This Row],[Column5]],1),0)), 0),"")</f>
        <v/>
      </c>
      <c r="M966" s="125" t="str">
        <f>IF(ISNUMBER(deployment_raw[[#This Row],[Column9]]),IF(OR(deployment_raw[[#This Row],[Column5]] &lt;&gt; 0,$E$2&lt;&gt;"Deployment"), MAX(K966, Q966, S966, ($M$2 * IF($E$2="Deployment",deployment_raw[[#This Row],[Column5]],1)),IF(U966&lt;&gt;"",VALUE(U966) * IF($E$2="Deployment",deployment_raw[[#This Row],[Column5]],1),0)), 0),"")</f>
        <v/>
      </c>
      <c r="N966" s="166" t="str">
        <f>IF(ISNUMBER(deployment_raw[[#This Row],[Column14]]), deployment_raw[[#This Row],[Column14]]/IF(OR($E$2="Deployment",deployment_raw[[#This Row],[Column5]]=0),1,deployment_raw[[#This Row],[Column5]]),"")</f>
        <v/>
      </c>
      <c r="O966" s="167" t="str">
        <f>IF(ISNUMBER(deployment_raw[[#This Row],[Column15]]), deployment_raw[[#This Row],[Column15]]/IF(OR($E$2="Deployment",deployment_raw[[#This Row],[Column5]]=0),1,deployment_raw[[#This Row],[Column5]])/1048576,"")</f>
        <v/>
      </c>
      <c r="P966" s="168" t="str">
        <f>IF(ISNUMBER(deployment_raw[[#This Row],[Column12]]), (MIN(IF(N966&lt;&gt;"",N966,9999999999999)*1.1,deployment_raw[[#This Row],[Column12]] * IF($E$2="Deployment",deployment_raw[[#This Row],[Column5]],1))*(1+$P$2)),"")</f>
        <v/>
      </c>
      <c r="Q966" s="167" t="str">
        <f>IF(ISNUMBER(deployment_raw[[#This Row],[Column13]]), (MIN(IF(O966&lt;&gt;"",O966,9999999999999)*1.1,deployment_raw[[#This Row],[Column13]] * IF($E$2="Deployment",deployment_raw[[#This Row],[Column5]],1)*(1+$Q$2)/1048576)),"")</f>
        <v/>
      </c>
      <c r="R966" s="169" t="str">
        <f>IF(ISNUMBER(deployment_raw[[#This Row],[Column8]]), (H966  * IF(N966&lt;&gt;0,$R$2,1)),"")</f>
        <v/>
      </c>
      <c r="S966" s="170" t="str">
        <f>IF(ISNUMBER(deployment_raw[[#This Row],[Column8]]), (I966  * IF(O966&lt;&gt;0,$S$2,1)),"")</f>
        <v/>
      </c>
      <c r="T966" s="202" t="str">
        <f>IF(AND(A966&lt;&gt;"",_xlfn.IFNA(MATCH(A966,'dynamic resource application '!$A$2:$A$100, 0),0)&lt;&gt;0), H966/(IF($E$2="Deployment",E966,1)),"")</f>
        <v/>
      </c>
      <c r="U966" s="211" t="str">
        <f>IF(AND(A966&lt;&gt;"",_xlfn.IFNA(MATCH(A966,'dynamic resource application '!$A$2:$A$100, 0),0)&lt;&gt;0), I966/(IF($E$2="Deployment",E966,1)),"")</f>
        <v/>
      </c>
    </row>
    <row r="967" spans="1:21" ht="15" customHeight="1" x14ac:dyDescent="0.25">
      <c r="A967" s="35" t="str">
        <f>IF(ISNONTEXT(deployment_raw[[#This Row],[Column1]]), "", deployment_raw[[#This Row],[Column1]])</f>
        <v/>
      </c>
      <c r="B967" s="36" t="str">
        <f>IF(ISNONTEXT(deployment_raw[[#This Row],[Column2]]), "", deployment_raw[[#This Row],[Column2]])</f>
        <v/>
      </c>
      <c r="C967" s="36" t="str">
        <f>IF(ISNONTEXT(deployment_raw[[#This Row],[Column3]]), "", deployment_raw[[#This Row],[Column3]])</f>
        <v/>
      </c>
      <c r="D967" s="36" t="str">
        <f>IF(ISNONTEXT(deployment_raw[[#This Row],[Column4]]), "", deployment_raw[[#This Row],[Column4]])</f>
        <v/>
      </c>
      <c r="E967" s="37" t="str">
        <f>IF(ISNUMBER(deployment_raw[[#This Row],[Column5]]), deployment_raw[[#This Row],[Column5]],"")</f>
        <v/>
      </c>
      <c r="F967" s="94" t="str">
        <f>IF(ISNUMBER(deployment_raw[[#This Row],[Column6]]), (deployment_raw[[#This Row],[Column6]] * IF($E$2="Deployment",deployment_raw[[#This Row],[Column5]],1)),"")</f>
        <v/>
      </c>
      <c r="G967" s="95" t="str">
        <f>IF(ISNUMBER(deployment_raw[[#This Row],[Column7]]), (deployment_raw[[#This Row],[Column7]] * IF($E$2="Deployment",deployment_raw[[#This Row],[Column5]],1))/1048576,"")</f>
        <v/>
      </c>
      <c r="H967" s="95" t="str">
        <f>IF(ISNUMBER(deployment_raw[[#This Row],[Column8]]), (deployment_raw[[#This Row],[Column8]]  * IF($E$2="Deployment",deployment_raw[[#This Row],[Column5]],1)),"")</f>
        <v/>
      </c>
      <c r="I967" s="96" t="str">
        <f>IF(ISNUMBER(deployment_raw[[#This Row],[Column9]]), (deployment_raw[[#This Row],[Column9]] * IF($E$2="Deployment",deployment_raw[[#This Row],[Column5]],1))/1048576,"")</f>
        <v/>
      </c>
      <c r="J967" s="122" t="str">
        <f>IF(ISNUMBER(deployment_raw[[#This Row],[Column10]]), (MIN(IF(N967&lt;&gt;"",N967,9999999999999)*1.1,deployment_raw[[#This Row],[Column10]] * IF($E$2="Deployment",deployment_raw[[#This Row],[Column5]],1))),"")</f>
        <v/>
      </c>
      <c r="K967" s="123" t="str">
        <f>IF(ISNUMBER(deployment_raw[[#This Row],[Column11]]), (MIN(IF(O967&lt;&gt;"",O967,9999999999999)*1.1,deployment_raw[[#This Row],[Column11]] * IF($E$2="Deployment",deployment_raw[[#This Row],[Column5]],1)/1048576)),"")</f>
        <v/>
      </c>
      <c r="L967" s="124" t="str">
        <f>IF(ISNUMBER(deployment_raw[[#This Row],[Column8]]),IF(OR(deployment_raw[[#This Row],[Column5]] &lt;&gt; 0,$E$2 &lt;&gt; "Deployment"), MAX(J967, P967, R967, ($L$2 * IF($E$2="Deployment",deployment_raw[[#This Row],[Column5]],1)),IF(T967&lt;&gt;"",VALUE(T967) * IF($E$2="Deployment",deployment_raw[[#This Row],[Column5]],1),0)), 0),"")</f>
        <v/>
      </c>
      <c r="M967" s="125" t="str">
        <f>IF(ISNUMBER(deployment_raw[[#This Row],[Column9]]),IF(OR(deployment_raw[[#This Row],[Column5]] &lt;&gt; 0,$E$2&lt;&gt;"Deployment"), MAX(K967, Q967, S967, ($M$2 * IF($E$2="Deployment",deployment_raw[[#This Row],[Column5]],1)),IF(U967&lt;&gt;"",VALUE(U967) * IF($E$2="Deployment",deployment_raw[[#This Row],[Column5]],1),0)), 0),"")</f>
        <v/>
      </c>
      <c r="N967" s="166" t="str">
        <f>IF(ISNUMBER(deployment_raw[[#This Row],[Column14]]), deployment_raw[[#This Row],[Column14]]/IF(OR($E$2="Deployment",deployment_raw[[#This Row],[Column5]]=0),1,deployment_raw[[#This Row],[Column5]]),"")</f>
        <v/>
      </c>
      <c r="O967" s="167" t="str">
        <f>IF(ISNUMBER(deployment_raw[[#This Row],[Column15]]), deployment_raw[[#This Row],[Column15]]/IF(OR($E$2="Deployment",deployment_raw[[#This Row],[Column5]]=0),1,deployment_raw[[#This Row],[Column5]])/1048576,"")</f>
        <v/>
      </c>
      <c r="P967" s="168" t="str">
        <f>IF(ISNUMBER(deployment_raw[[#This Row],[Column12]]), (MIN(IF(N967&lt;&gt;"",N967,9999999999999)*1.1,deployment_raw[[#This Row],[Column12]] * IF($E$2="Deployment",deployment_raw[[#This Row],[Column5]],1))*(1+$P$2)),"")</f>
        <v/>
      </c>
      <c r="Q967" s="167" t="str">
        <f>IF(ISNUMBER(deployment_raw[[#This Row],[Column13]]), (MIN(IF(O967&lt;&gt;"",O967,9999999999999)*1.1,deployment_raw[[#This Row],[Column13]] * IF($E$2="Deployment",deployment_raw[[#This Row],[Column5]],1)*(1+$Q$2)/1048576)),"")</f>
        <v/>
      </c>
      <c r="R967" s="169" t="str">
        <f>IF(ISNUMBER(deployment_raw[[#This Row],[Column8]]), (H967  * IF(N967&lt;&gt;0,$R$2,1)),"")</f>
        <v/>
      </c>
      <c r="S967" s="170" t="str">
        <f>IF(ISNUMBER(deployment_raw[[#This Row],[Column8]]), (I967  * IF(O967&lt;&gt;0,$S$2,1)),"")</f>
        <v/>
      </c>
      <c r="T967" s="202" t="str">
        <f>IF(AND(A967&lt;&gt;"",_xlfn.IFNA(MATCH(A967,'dynamic resource application '!$A$2:$A$100, 0),0)&lt;&gt;0), H967/(IF($E$2="Deployment",E967,1)),"")</f>
        <v/>
      </c>
      <c r="U967" s="211" t="str">
        <f>IF(AND(A967&lt;&gt;"",_xlfn.IFNA(MATCH(A967,'dynamic resource application '!$A$2:$A$100, 0),0)&lt;&gt;0), I967/(IF($E$2="Deployment",E967,1)),"")</f>
        <v/>
      </c>
    </row>
    <row r="968" spans="1:21" ht="15" customHeight="1" x14ac:dyDescent="0.25">
      <c r="A968" s="35" t="str">
        <f>IF(ISNONTEXT(deployment_raw[[#This Row],[Column1]]), "", deployment_raw[[#This Row],[Column1]])</f>
        <v/>
      </c>
      <c r="B968" s="36" t="str">
        <f>IF(ISNONTEXT(deployment_raw[[#This Row],[Column2]]), "", deployment_raw[[#This Row],[Column2]])</f>
        <v/>
      </c>
      <c r="C968" s="36" t="str">
        <f>IF(ISNONTEXT(deployment_raw[[#This Row],[Column3]]), "", deployment_raw[[#This Row],[Column3]])</f>
        <v/>
      </c>
      <c r="D968" s="36" t="str">
        <f>IF(ISNONTEXT(deployment_raw[[#This Row],[Column4]]), "", deployment_raw[[#This Row],[Column4]])</f>
        <v/>
      </c>
      <c r="E968" s="37" t="str">
        <f>IF(ISNUMBER(deployment_raw[[#This Row],[Column5]]), deployment_raw[[#This Row],[Column5]],"")</f>
        <v/>
      </c>
      <c r="F968" s="94" t="str">
        <f>IF(ISNUMBER(deployment_raw[[#This Row],[Column6]]), (deployment_raw[[#This Row],[Column6]] * IF($E$2="Deployment",deployment_raw[[#This Row],[Column5]],1)),"")</f>
        <v/>
      </c>
      <c r="G968" s="95" t="str">
        <f>IF(ISNUMBER(deployment_raw[[#This Row],[Column7]]), (deployment_raw[[#This Row],[Column7]] * IF($E$2="Deployment",deployment_raw[[#This Row],[Column5]],1))/1048576,"")</f>
        <v/>
      </c>
      <c r="H968" s="95" t="str">
        <f>IF(ISNUMBER(deployment_raw[[#This Row],[Column8]]), (deployment_raw[[#This Row],[Column8]]  * IF($E$2="Deployment",deployment_raw[[#This Row],[Column5]],1)),"")</f>
        <v/>
      </c>
      <c r="I968" s="96" t="str">
        <f>IF(ISNUMBER(deployment_raw[[#This Row],[Column9]]), (deployment_raw[[#This Row],[Column9]] * IF($E$2="Deployment",deployment_raw[[#This Row],[Column5]],1))/1048576,"")</f>
        <v/>
      </c>
      <c r="J968" s="122" t="str">
        <f>IF(ISNUMBER(deployment_raw[[#This Row],[Column10]]), (MIN(IF(N968&lt;&gt;"",N968,9999999999999)*1.1,deployment_raw[[#This Row],[Column10]] * IF($E$2="Deployment",deployment_raw[[#This Row],[Column5]],1))),"")</f>
        <v/>
      </c>
      <c r="K968" s="123" t="str">
        <f>IF(ISNUMBER(deployment_raw[[#This Row],[Column11]]), (MIN(IF(O968&lt;&gt;"",O968,9999999999999)*1.1,deployment_raw[[#This Row],[Column11]] * IF($E$2="Deployment",deployment_raw[[#This Row],[Column5]],1)/1048576)),"")</f>
        <v/>
      </c>
      <c r="L968" s="124" t="str">
        <f>IF(ISNUMBER(deployment_raw[[#This Row],[Column8]]),IF(OR(deployment_raw[[#This Row],[Column5]] &lt;&gt; 0,$E$2 &lt;&gt; "Deployment"), MAX(J968, P968, R968, ($L$2 * IF($E$2="Deployment",deployment_raw[[#This Row],[Column5]],1)),IF(T968&lt;&gt;"",VALUE(T968) * IF($E$2="Deployment",deployment_raw[[#This Row],[Column5]],1),0)), 0),"")</f>
        <v/>
      </c>
      <c r="M968" s="125" t="str">
        <f>IF(ISNUMBER(deployment_raw[[#This Row],[Column9]]),IF(OR(deployment_raw[[#This Row],[Column5]] &lt;&gt; 0,$E$2&lt;&gt;"Deployment"), MAX(K968, Q968, S968, ($M$2 * IF($E$2="Deployment",deployment_raw[[#This Row],[Column5]],1)),IF(U968&lt;&gt;"",VALUE(U968) * IF($E$2="Deployment",deployment_raw[[#This Row],[Column5]],1),0)), 0),"")</f>
        <v/>
      </c>
      <c r="N968" s="166" t="str">
        <f>IF(ISNUMBER(deployment_raw[[#This Row],[Column14]]), deployment_raw[[#This Row],[Column14]]/IF(OR($E$2="Deployment",deployment_raw[[#This Row],[Column5]]=0),1,deployment_raw[[#This Row],[Column5]]),"")</f>
        <v/>
      </c>
      <c r="O968" s="167" t="str">
        <f>IF(ISNUMBER(deployment_raw[[#This Row],[Column15]]), deployment_raw[[#This Row],[Column15]]/IF(OR($E$2="Deployment",deployment_raw[[#This Row],[Column5]]=0),1,deployment_raw[[#This Row],[Column5]])/1048576,"")</f>
        <v/>
      </c>
      <c r="P968" s="168" t="str">
        <f>IF(ISNUMBER(deployment_raw[[#This Row],[Column12]]), (MIN(IF(N968&lt;&gt;"",N968,9999999999999)*1.1,deployment_raw[[#This Row],[Column12]] * IF($E$2="Deployment",deployment_raw[[#This Row],[Column5]],1))*(1+$P$2)),"")</f>
        <v/>
      </c>
      <c r="Q968" s="167" t="str">
        <f>IF(ISNUMBER(deployment_raw[[#This Row],[Column13]]), (MIN(IF(O968&lt;&gt;"",O968,9999999999999)*1.1,deployment_raw[[#This Row],[Column13]] * IF($E$2="Deployment",deployment_raw[[#This Row],[Column5]],1)*(1+$Q$2)/1048576)),"")</f>
        <v/>
      </c>
      <c r="R968" s="169" t="str">
        <f>IF(ISNUMBER(deployment_raw[[#This Row],[Column8]]), (H968  * IF(N968&lt;&gt;0,$R$2,1)),"")</f>
        <v/>
      </c>
      <c r="S968" s="170" t="str">
        <f>IF(ISNUMBER(deployment_raw[[#This Row],[Column8]]), (I968  * IF(O968&lt;&gt;0,$S$2,1)),"")</f>
        <v/>
      </c>
      <c r="T968" s="202" t="str">
        <f>IF(AND(A968&lt;&gt;"",_xlfn.IFNA(MATCH(A968,'dynamic resource application '!$A$2:$A$100, 0),0)&lt;&gt;0), H968/(IF($E$2="Deployment",E968,1)),"")</f>
        <v/>
      </c>
      <c r="U968" s="211" t="str">
        <f>IF(AND(A968&lt;&gt;"",_xlfn.IFNA(MATCH(A968,'dynamic resource application '!$A$2:$A$100, 0),0)&lt;&gt;0), I968/(IF($E$2="Deployment",E968,1)),"")</f>
        <v/>
      </c>
    </row>
    <row r="969" spans="1:21" ht="15" customHeight="1" x14ac:dyDescent="0.25">
      <c r="A969" s="35" t="str">
        <f>IF(ISNONTEXT(deployment_raw[[#This Row],[Column1]]), "", deployment_raw[[#This Row],[Column1]])</f>
        <v/>
      </c>
      <c r="B969" s="36" t="str">
        <f>IF(ISNONTEXT(deployment_raw[[#This Row],[Column2]]), "", deployment_raw[[#This Row],[Column2]])</f>
        <v/>
      </c>
      <c r="C969" s="36" t="str">
        <f>IF(ISNONTEXT(deployment_raw[[#This Row],[Column3]]), "", deployment_raw[[#This Row],[Column3]])</f>
        <v/>
      </c>
      <c r="D969" s="36" t="str">
        <f>IF(ISNONTEXT(deployment_raw[[#This Row],[Column4]]), "", deployment_raw[[#This Row],[Column4]])</f>
        <v/>
      </c>
      <c r="E969" s="37" t="str">
        <f>IF(ISNUMBER(deployment_raw[[#This Row],[Column5]]), deployment_raw[[#This Row],[Column5]],"")</f>
        <v/>
      </c>
      <c r="F969" s="94" t="str">
        <f>IF(ISNUMBER(deployment_raw[[#This Row],[Column6]]), (deployment_raw[[#This Row],[Column6]] * IF($E$2="Deployment",deployment_raw[[#This Row],[Column5]],1)),"")</f>
        <v/>
      </c>
      <c r="G969" s="95" t="str">
        <f>IF(ISNUMBER(deployment_raw[[#This Row],[Column7]]), (deployment_raw[[#This Row],[Column7]] * IF($E$2="Deployment",deployment_raw[[#This Row],[Column5]],1))/1048576,"")</f>
        <v/>
      </c>
      <c r="H969" s="95" t="str">
        <f>IF(ISNUMBER(deployment_raw[[#This Row],[Column8]]), (deployment_raw[[#This Row],[Column8]]  * IF($E$2="Deployment",deployment_raw[[#This Row],[Column5]],1)),"")</f>
        <v/>
      </c>
      <c r="I969" s="96" t="str">
        <f>IF(ISNUMBER(deployment_raw[[#This Row],[Column9]]), (deployment_raw[[#This Row],[Column9]] * IF($E$2="Deployment",deployment_raw[[#This Row],[Column5]],1))/1048576,"")</f>
        <v/>
      </c>
      <c r="J969" s="122" t="str">
        <f>IF(ISNUMBER(deployment_raw[[#This Row],[Column10]]), (MIN(IF(N969&lt;&gt;"",N969,9999999999999)*1.1,deployment_raw[[#This Row],[Column10]] * IF($E$2="Deployment",deployment_raw[[#This Row],[Column5]],1))),"")</f>
        <v/>
      </c>
      <c r="K969" s="123" t="str">
        <f>IF(ISNUMBER(deployment_raw[[#This Row],[Column11]]), (MIN(IF(O969&lt;&gt;"",O969,9999999999999)*1.1,deployment_raw[[#This Row],[Column11]] * IF($E$2="Deployment",deployment_raw[[#This Row],[Column5]],1)/1048576)),"")</f>
        <v/>
      </c>
      <c r="L969" s="124" t="str">
        <f>IF(ISNUMBER(deployment_raw[[#This Row],[Column8]]),IF(OR(deployment_raw[[#This Row],[Column5]] &lt;&gt; 0,$E$2 &lt;&gt; "Deployment"), MAX(J969, P969, R969, ($L$2 * IF($E$2="Deployment",deployment_raw[[#This Row],[Column5]],1)),IF(T969&lt;&gt;"",VALUE(T969) * IF($E$2="Deployment",deployment_raw[[#This Row],[Column5]],1),0)), 0),"")</f>
        <v/>
      </c>
      <c r="M969" s="125" t="str">
        <f>IF(ISNUMBER(deployment_raw[[#This Row],[Column9]]),IF(OR(deployment_raw[[#This Row],[Column5]] &lt;&gt; 0,$E$2&lt;&gt;"Deployment"), MAX(K969, Q969, S969, ($M$2 * IF($E$2="Deployment",deployment_raw[[#This Row],[Column5]],1)),IF(U969&lt;&gt;"",VALUE(U969) * IF($E$2="Deployment",deployment_raw[[#This Row],[Column5]],1),0)), 0),"")</f>
        <v/>
      </c>
      <c r="N969" s="166" t="str">
        <f>IF(ISNUMBER(deployment_raw[[#This Row],[Column14]]), deployment_raw[[#This Row],[Column14]]/IF(OR($E$2="Deployment",deployment_raw[[#This Row],[Column5]]=0),1,deployment_raw[[#This Row],[Column5]]),"")</f>
        <v/>
      </c>
      <c r="O969" s="167" t="str">
        <f>IF(ISNUMBER(deployment_raw[[#This Row],[Column15]]), deployment_raw[[#This Row],[Column15]]/IF(OR($E$2="Deployment",deployment_raw[[#This Row],[Column5]]=0),1,deployment_raw[[#This Row],[Column5]])/1048576,"")</f>
        <v/>
      </c>
      <c r="P969" s="168" t="str">
        <f>IF(ISNUMBER(deployment_raw[[#This Row],[Column12]]), (MIN(IF(N969&lt;&gt;"",N969,9999999999999)*1.1,deployment_raw[[#This Row],[Column12]] * IF($E$2="Deployment",deployment_raw[[#This Row],[Column5]],1))*(1+$P$2)),"")</f>
        <v/>
      </c>
      <c r="Q969" s="167" t="str">
        <f>IF(ISNUMBER(deployment_raw[[#This Row],[Column13]]), (MIN(IF(O969&lt;&gt;"",O969,9999999999999)*1.1,deployment_raw[[#This Row],[Column13]] * IF($E$2="Deployment",deployment_raw[[#This Row],[Column5]],1)*(1+$Q$2)/1048576)),"")</f>
        <v/>
      </c>
      <c r="R969" s="169" t="str">
        <f>IF(ISNUMBER(deployment_raw[[#This Row],[Column8]]), (H969  * IF(N969&lt;&gt;0,$R$2,1)),"")</f>
        <v/>
      </c>
      <c r="S969" s="170" t="str">
        <f>IF(ISNUMBER(deployment_raw[[#This Row],[Column8]]), (I969  * IF(O969&lt;&gt;0,$S$2,1)),"")</f>
        <v/>
      </c>
      <c r="T969" s="202" t="str">
        <f>IF(AND(A969&lt;&gt;"",_xlfn.IFNA(MATCH(A969,'dynamic resource application '!$A$2:$A$100, 0),0)&lt;&gt;0), H969/(IF($E$2="Deployment",E969,1)),"")</f>
        <v/>
      </c>
      <c r="U969" s="211" t="str">
        <f>IF(AND(A969&lt;&gt;"",_xlfn.IFNA(MATCH(A969,'dynamic resource application '!$A$2:$A$100, 0),0)&lt;&gt;0), I969/(IF($E$2="Deployment",E969,1)),"")</f>
        <v/>
      </c>
    </row>
    <row r="970" spans="1:21" ht="15" customHeight="1" x14ac:dyDescent="0.25">
      <c r="A970" s="35" t="str">
        <f>IF(ISNONTEXT(deployment_raw[[#This Row],[Column1]]), "", deployment_raw[[#This Row],[Column1]])</f>
        <v/>
      </c>
      <c r="B970" s="36" t="str">
        <f>IF(ISNONTEXT(deployment_raw[[#This Row],[Column2]]), "", deployment_raw[[#This Row],[Column2]])</f>
        <v/>
      </c>
      <c r="C970" s="36" t="str">
        <f>IF(ISNONTEXT(deployment_raw[[#This Row],[Column3]]), "", deployment_raw[[#This Row],[Column3]])</f>
        <v/>
      </c>
      <c r="D970" s="36" t="str">
        <f>IF(ISNONTEXT(deployment_raw[[#This Row],[Column4]]), "", deployment_raw[[#This Row],[Column4]])</f>
        <v/>
      </c>
      <c r="E970" s="37" t="str">
        <f>IF(ISNUMBER(deployment_raw[[#This Row],[Column5]]), deployment_raw[[#This Row],[Column5]],"")</f>
        <v/>
      </c>
      <c r="F970" s="94" t="str">
        <f>IF(ISNUMBER(deployment_raw[[#This Row],[Column6]]), (deployment_raw[[#This Row],[Column6]] * IF($E$2="Deployment",deployment_raw[[#This Row],[Column5]],1)),"")</f>
        <v/>
      </c>
      <c r="G970" s="95" t="str">
        <f>IF(ISNUMBER(deployment_raw[[#This Row],[Column7]]), (deployment_raw[[#This Row],[Column7]] * IF($E$2="Deployment",deployment_raw[[#This Row],[Column5]],1))/1048576,"")</f>
        <v/>
      </c>
      <c r="H970" s="95" t="str">
        <f>IF(ISNUMBER(deployment_raw[[#This Row],[Column8]]), (deployment_raw[[#This Row],[Column8]]  * IF($E$2="Deployment",deployment_raw[[#This Row],[Column5]],1)),"")</f>
        <v/>
      </c>
      <c r="I970" s="96" t="str">
        <f>IF(ISNUMBER(deployment_raw[[#This Row],[Column9]]), (deployment_raw[[#This Row],[Column9]] * IF($E$2="Deployment",deployment_raw[[#This Row],[Column5]],1))/1048576,"")</f>
        <v/>
      </c>
      <c r="J970" s="122" t="str">
        <f>IF(ISNUMBER(deployment_raw[[#This Row],[Column10]]), (MIN(IF(N970&lt;&gt;"",N970,9999999999999)*1.1,deployment_raw[[#This Row],[Column10]] * IF($E$2="Deployment",deployment_raw[[#This Row],[Column5]],1))),"")</f>
        <v/>
      </c>
      <c r="K970" s="123" t="str">
        <f>IF(ISNUMBER(deployment_raw[[#This Row],[Column11]]), (MIN(IF(O970&lt;&gt;"",O970,9999999999999)*1.1,deployment_raw[[#This Row],[Column11]] * IF($E$2="Deployment",deployment_raw[[#This Row],[Column5]],1)/1048576)),"")</f>
        <v/>
      </c>
      <c r="L970" s="124" t="str">
        <f>IF(ISNUMBER(deployment_raw[[#This Row],[Column8]]),IF(OR(deployment_raw[[#This Row],[Column5]] &lt;&gt; 0,$E$2 &lt;&gt; "Deployment"), MAX(J970, P970, R970, ($L$2 * IF($E$2="Deployment",deployment_raw[[#This Row],[Column5]],1)),IF(T970&lt;&gt;"",VALUE(T970) * IF($E$2="Deployment",deployment_raw[[#This Row],[Column5]],1),0)), 0),"")</f>
        <v/>
      </c>
      <c r="M970" s="125" t="str">
        <f>IF(ISNUMBER(deployment_raw[[#This Row],[Column9]]),IF(OR(deployment_raw[[#This Row],[Column5]] &lt;&gt; 0,$E$2&lt;&gt;"Deployment"), MAX(K970, Q970, S970, ($M$2 * IF($E$2="Deployment",deployment_raw[[#This Row],[Column5]],1)),IF(U970&lt;&gt;"",VALUE(U970) * IF($E$2="Deployment",deployment_raw[[#This Row],[Column5]],1),0)), 0),"")</f>
        <v/>
      </c>
      <c r="N970" s="166" t="str">
        <f>IF(ISNUMBER(deployment_raw[[#This Row],[Column14]]), deployment_raw[[#This Row],[Column14]]/IF(OR($E$2="Deployment",deployment_raw[[#This Row],[Column5]]=0),1,deployment_raw[[#This Row],[Column5]]),"")</f>
        <v/>
      </c>
      <c r="O970" s="167" t="str">
        <f>IF(ISNUMBER(deployment_raw[[#This Row],[Column15]]), deployment_raw[[#This Row],[Column15]]/IF(OR($E$2="Deployment",deployment_raw[[#This Row],[Column5]]=0),1,deployment_raw[[#This Row],[Column5]])/1048576,"")</f>
        <v/>
      </c>
      <c r="P970" s="168" t="str">
        <f>IF(ISNUMBER(deployment_raw[[#This Row],[Column12]]), (MIN(IF(N970&lt;&gt;"",N970,9999999999999)*1.1,deployment_raw[[#This Row],[Column12]] * IF($E$2="Deployment",deployment_raw[[#This Row],[Column5]],1))*(1+$P$2)),"")</f>
        <v/>
      </c>
      <c r="Q970" s="167" t="str">
        <f>IF(ISNUMBER(deployment_raw[[#This Row],[Column13]]), (MIN(IF(O970&lt;&gt;"",O970,9999999999999)*1.1,deployment_raw[[#This Row],[Column13]] * IF($E$2="Deployment",deployment_raw[[#This Row],[Column5]],1)*(1+$Q$2)/1048576)),"")</f>
        <v/>
      </c>
      <c r="R970" s="169" t="str">
        <f>IF(ISNUMBER(deployment_raw[[#This Row],[Column8]]), (H970  * IF(N970&lt;&gt;0,$R$2,1)),"")</f>
        <v/>
      </c>
      <c r="S970" s="170" t="str">
        <f>IF(ISNUMBER(deployment_raw[[#This Row],[Column8]]), (I970  * IF(O970&lt;&gt;0,$S$2,1)),"")</f>
        <v/>
      </c>
      <c r="T970" s="202" t="str">
        <f>IF(AND(A970&lt;&gt;"",_xlfn.IFNA(MATCH(A970,'dynamic resource application '!$A$2:$A$100, 0),0)&lt;&gt;0), H970/(IF($E$2="Deployment",E970,1)),"")</f>
        <v/>
      </c>
      <c r="U970" s="211" t="str">
        <f>IF(AND(A970&lt;&gt;"",_xlfn.IFNA(MATCH(A970,'dynamic resource application '!$A$2:$A$100, 0),0)&lt;&gt;0), I970/(IF($E$2="Deployment",E970,1)),"")</f>
        <v/>
      </c>
    </row>
    <row r="971" spans="1:21" ht="15" customHeight="1" x14ac:dyDescent="0.25">
      <c r="A971" s="35" t="str">
        <f>IF(ISNONTEXT(deployment_raw[[#This Row],[Column1]]), "", deployment_raw[[#This Row],[Column1]])</f>
        <v/>
      </c>
      <c r="B971" s="36" t="str">
        <f>IF(ISNONTEXT(deployment_raw[[#This Row],[Column2]]), "", deployment_raw[[#This Row],[Column2]])</f>
        <v/>
      </c>
      <c r="C971" s="36" t="str">
        <f>IF(ISNONTEXT(deployment_raw[[#This Row],[Column3]]), "", deployment_raw[[#This Row],[Column3]])</f>
        <v/>
      </c>
      <c r="D971" s="36" t="str">
        <f>IF(ISNONTEXT(deployment_raw[[#This Row],[Column4]]), "", deployment_raw[[#This Row],[Column4]])</f>
        <v/>
      </c>
      <c r="E971" s="37" t="str">
        <f>IF(ISNUMBER(deployment_raw[[#This Row],[Column5]]), deployment_raw[[#This Row],[Column5]],"")</f>
        <v/>
      </c>
      <c r="F971" s="94" t="str">
        <f>IF(ISNUMBER(deployment_raw[[#This Row],[Column6]]), (deployment_raw[[#This Row],[Column6]] * IF($E$2="Deployment",deployment_raw[[#This Row],[Column5]],1)),"")</f>
        <v/>
      </c>
      <c r="G971" s="95" t="str">
        <f>IF(ISNUMBER(deployment_raw[[#This Row],[Column7]]), (deployment_raw[[#This Row],[Column7]] * IF($E$2="Deployment",deployment_raw[[#This Row],[Column5]],1))/1048576,"")</f>
        <v/>
      </c>
      <c r="H971" s="95" t="str">
        <f>IF(ISNUMBER(deployment_raw[[#This Row],[Column8]]), (deployment_raw[[#This Row],[Column8]]  * IF($E$2="Deployment",deployment_raw[[#This Row],[Column5]],1)),"")</f>
        <v/>
      </c>
      <c r="I971" s="96" t="str">
        <f>IF(ISNUMBER(deployment_raw[[#This Row],[Column9]]), (deployment_raw[[#This Row],[Column9]] * IF($E$2="Deployment",deployment_raw[[#This Row],[Column5]],1))/1048576,"")</f>
        <v/>
      </c>
      <c r="J971" s="122" t="str">
        <f>IF(ISNUMBER(deployment_raw[[#This Row],[Column10]]), (MIN(IF(N971&lt;&gt;"",N971,9999999999999)*1.1,deployment_raw[[#This Row],[Column10]] * IF($E$2="Deployment",deployment_raw[[#This Row],[Column5]],1))),"")</f>
        <v/>
      </c>
      <c r="K971" s="123" t="str">
        <f>IF(ISNUMBER(deployment_raw[[#This Row],[Column11]]), (MIN(IF(O971&lt;&gt;"",O971,9999999999999)*1.1,deployment_raw[[#This Row],[Column11]] * IF($E$2="Deployment",deployment_raw[[#This Row],[Column5]],1)/1048576)),"")</f>
        <v/>
      </c>
      <c r="L971" s="124" t="str">
        <f>IF(ISNUMBER(deployment_raw[[#This Row],[Column8]]),IF(OR(deployment_raw[[#This Row],[Column5]] &lt;&gt; 0,$E$2 &lt;&gt; "Deployment"), MAX(J971, P971, R971, ($L$2 * IF($E$2="Deployment",deployment_raw[[#This Row],[Column5]],1)),IF(T971&lt;&gt;"",VALUE(T971) * IF($E$2="Deployment",deployment_raw[[#This Row],[Column5]],1),0)), 0),"")</f>
        <v/>
      </c>
      <c r="M971" s="125" t="str">
        <f>IF(ISNUMBER(deployment_raw[[#This Row],[Column9]]),IF(OR(deployment_raw[[#This Row],[Column5]] &lt;&gt; 0,$E$2&lt;&gt;"Deployment"), MAX(K971, Q971, S971, ($M$2 * IF($E$2="Deployment",deployment_raw[[#This Row],[Column5]],1)),IF(U971&lt;&gt;"",VALUE(U971) * IF($E$2="Deployment",deployment_raw[[#This Row],[Column5]],1),0)), 0),"")</f>
        <v/>
      </c>
      <c r="N971" s="166" t="str">
        <f>IF(ISNUMBER(deployment_raw[[#This Row],[Column14]]), deployment_raw[[#This Row],[Column14]]/IF(OR($E$2="Deployment",deployment_raw[[#This Row],[Column5]]=0),1,deployment_raw[[#This Row],[Column5]]),"")</f>
        <v/>
      </c>
      <c r="O971" s="167" t="str">
        <f>IF(ISNUMBER(deployment_raw[[#This Row],[Column15]]), deployment_raw[[#This Row],[Column15]]/IF(OR($E$2="Deployment",deployment_raw[[#This Row],[Column5]]=0),1,deployment_raw[[#This Row],[Column5]])/1048576,"")</f>
        <v/>
      </c>
      <c r="P971" s="168" t="str">
        <f>IF(ISNUMBER(deployment_raw[[#This Row],[Column12]]), (MIN(IF(N971&lt;&gt;"",N971,9999999999999)*1.1,deployment_raw[[#This Row],[Column12]] * IF($E$2="Deployment",deployment_raw[[#This Row],[Column5]],1))*(1+$P$2)),"")</f>
        <v/>
      </c>
      <c r="Q971" s="167" t="str">
        <f>IF(ISNUMBER(deployment_raw[[#This Row],[Column13]]), (MIN(IF(O971&lt;&gt;"",O971,9999999999999)*1.1,deployment_raw[[#This Row],[Column13]] * IF($E$2="Deployment",deployment_raw[[#This Row],[Column5]],1)*(1+$Q$2)/1048576)),"")</f>
        <v/>
      </c>
      <c r="R971" s="169" t="str">
        <f>IF(ISNUMBER(deployment_raw[[#This Row],[Column8]]), (H971  * IF(N971&lt;&gt;0,$R$2,1)),"")</f>
        <v/>
      </c>
      <c r="S971" s="170" t="str">
        <f>IF(ISNUMBER(deployment_raw[[#This Row],[Column8]]), (I971  * IF(O971&lt;&gt;0,$S$2,1)),"")</f>
        <v/>
      </c>
      <c r="T971" s="202" t="str">
        <f>IF(AND(A971&lt;&gt;"",_xlfn.IFNA(MATCH(A971,'dynamic resource application '!$A$2:$A$100, 0),0)&lt;&gt;0), H971/(IF($E$2="Deployment",E971,1)),"")</f>
        <v/>
      </c>
      <c r="U971" s="211" t="str">
        <f>IF(AND(A971&lt;&gt;"",_xlfn.IFNA(MATCH(A971,'dynamic resource application '!$A$2:$A$100, 0),0)&lt;&gt;0), I971/(IF($E$2="Deployment",E971,1)),"")</f>
        <v/>
      </c>
    </row>
    <row r="972" spans="1:21" ht="15" customHeight="1" x14ac:dyDescent="0.25">
      <c r="A972" s="35" t="str">
        <f>IF(ISNONTEXT(deployment_raw[[#This Row],[Column1]]), "", deployment_raw[[#This Row],[Column1]])</f>
        <v/>
      </c>
      <c r="B972" s="36" t="str">
        <f>IF(ISNONTEXT(deployment_raw[[#This Row],[Column2]]), "", deployment_raw[[#This Row],[Column2]])</f>
        <v/>
      </c>
      <c r="C972" s="36" t="str">
        <f>IF(ISNONTEXT(deployment_raw[[#This Row],[Column3]]), "", deployment_raw[[#This Row],[Column3]])</f>
        <v/>
      </c>
      <c r="D972" s="36" t="str">
        <f>IF(ISNONTEXT(deployment_raw[[#This Row],[Column4]]), "", deployment_raw[[#This Row],[Column4]])</f>
        <v/>
      </c>
      <c r="E972" s="37" t="str">
        <f>IF(ISNUMBER(deployment_raw[[#This Row],[Column5]]), deployment_raw[[#This Row],[Column5]],"")</f>
        <v/>
      </c>
      <c r="F972" s="94" t="str">
        <f>IF(ISNUMBER(deployment_raw[[#This Row],[Column6]]), (deployment_raw[[#This Row],[Column6]] * IF($E$2="Deployment",deployment_raw[[#This Row],[Column5]],1)),"")</f>
        <v/>
      </c>
      <c r="G972" s="95" t="str">
        <f>IF(ISNUMBER(deployment_raw[[#This Row],[Column7]]), (deployment_raw[[#This Row],[Column7]] * IF($E$2="Deployment",deployment_raw[[#This Row],[Column5]],1))/1048576,"")</f>
        <v/>
      </c>
      <c r="H972" s="95" t="str">
        <f>IF(ISNUMBER(deployment_raw[[#This Row],[Column8]]), (deployment_raw[[#This Row],[Column8]]  * IF($E$2="Deployment",deployment_raw[[#This Row],[Column5]],1)),"")</f>
        <v/>
      </c>
      <c r="I972" s="96" t="str">
        <f>IF(ISNUMBER(deployment_raw[[#This Row],[Column9]]), (deployment_raw[[#This Row],[Column9]] * IF($E$2="Deployment",deployment_raw[[#This Row],[Column5]],1))/1048576,"")</f>
        <v/>
      </c>
      <c r="J972" s="122" t="str">
        <f>IF(ISNUMBER(deployment_raw[[#This Row],[Column10]]), (MIN(IF(N972&lt;&gt;"",N972,9999999999999)*1.1,deployment_raw[[#This Row],[Column10]] * IF($E$2="Deployment",deployment_raw[[#This Row],[Column5]],1))),"")</f>
        <v/>
      </c>
      <c r="K972" s="123" t="str">
        <f>IF(ISNUMBER(deployment_raw[[#This Row],[Column11]]), (MIN(IF(O972&lt;&gt;"",O972,9999999999999)*1.1,deployment_raw[[#This Row],[Column11]] * IF($E$2="Deployment",deployment_raw[[#This Row],[Column5]],1)/1048576)),"")</f>
        <v/>
      </c>
      <c r="L972" s="124" t="str">
        <f>IF(ISNUMBER(deployment_raw[[#This Row],[Column8]]),IF(OR(deployment_raw[[#This Row],[Column5]] &lt;&gt; 0,$E$2 &lt;&gt; "Deployment"), MAX(J972, P972, R972, ($L$2 * IF($E$2="Deployment",deployment_raw[[#This Row],[Column5]],1)),IF(T972&lt;&gt;"",VALUE(T972) * IF($E$2="Deployment",deployment_raw[[#This Row],[Column5]],1),0)), 0),"")</f>
        <v/>
      </c>
      <c r="M972" s="125" t="str">
        <f>IF(ISNUMBER(deployment_raw[[#This Row],[Column9]]),IF(OR(deployment_raw[[#This Row],[Column5]] &lt;&gt; 0,$E$2&lt;&gt;"Deployment"), MAX(K972, Q972, S972, ($M$2 * IF($E$2="Deployment",deployment_raw[[#This Row],[Column5]],1)),IF(U972&lt;&gt;"",VALUE(U972) * IF($E$2="Deployment",deployment_raw[[#This Row],[Column5]],1),0)), 0),"")</f>
        <v/>
      </c>
      <c r="N972" s="166" t="str">
        <f>IF(ISNUMBER(deployment_raw[[#This Row],[Column14]]), deployment_raw[[#This Row],[Column14]]/IF(OR($E$2="Deployment",deployment_raw[[#This Row],[Column5]]=0),1,deployment_raw[[#This Row],[Column5]]),"")</f>
        <v/>
      </c>
      <c r="O972" s="167" t="str">
        <f>IF(ISNUMBER(deployment_raw[[#This Row],[Column15]]), deployment_raw[[#This Row],[Column15]]/IF(OR($E$2="Deployment",deployment_raw[[#This Row],[Column5]]=0),1,deployment_raw[[#This Row],[Column5]])/1048576,"")</f>
        <v/>
      </c>
      <c r="P972" s="168" t="str">
        <f>IF(ISNUMBER(deployment_raw[[#This Row],[Column12]]), (MIN(IF(N972&lt;&gt;"",N972,9999999999999)*1.1,deployment_raw[[#This Row],[Column12]] * IF($E$2="Deployment",deployment_raw[[#This Row],[Column5]],1))*(1+$P$2)),"")</f>
        <v/>
      </c>
      <c r="Q972" s="167" t="str">
        <f>IF(ISNUMBER(deployment_raw[[#This Row],[Column13]]), (MIN(IF(O972&lt;&gt;"",O972,9999999999999)*1.1,deployment_raw[[#This Row],[Column13]] * IF($E$2="Deployment",deployment_raw[[#This Row],[Column5]],1)*(1+$Q$2)/1048576)),"")</f>
        <v/>
      </c>
      <c r="R972" s="169" t="str">
        <f>IF(ISNUMBER(deployment_raw[[#This Row],[Column8]]), (H972  * IF(N972&lt;&gt;0,$R$2,1)),"")</f>
        <v/>
      </c>
      <c r="S972" s="170" t="str">
        <f>IF(ISNUMBER(deployment_raw[[#This Row],[Column8]]), (I972  * IF(O972&lt;&gt;0,$S$2,1)),"")</f>
        <v/>
      </c>
      <c r="T972" s="202" t="str">
        <f>IF(AND(A972&lt;&gt;"",_xlfn.IFNA(MATCH(A972,'dynamic resource application '!$A$2:$A$100, 0),0)&lt;&gt;0), H972/(IF($E$2="Deployment",E972,1)),"")</f>
        <v/>
      </c>
      <c r="U972" s="211" t="str">
        <f>IF(AND(A972&lt;&gt;"",_xlfn.IFNA(MATCH(A972,'dynamic resource application '!$A$2:$A$100, 0),0)&lt;&gt;0), I972/(IF($E$2="Deployment",E972,1)),"")</f>
        <v/>
      </c>
    </row>
    <row r="973" spans="1:21" ht="15" customHeight="1" x14ac:dyDescent="0.25">
      <c r="A973" s="35" t="str">
        <f>IF(ISNONTEXT(deployment_raw[[#This Row],[Column1]]), "", deployment_raw[[#This Row],[Column1]])</f>
        <v/>
      </c>
      <c r="B973" s="36" t="str">
        <f>IF(ISNONTEXT(deployment_raw[[#This Row],[Column2]]), "", deployment_raw[[#This Row],[Column2]])</f>
        <v/>
      </c>
      <c r="C973" s="36" t="str">
        <f>IF(ISNONTEXT(deployment_raw[[#This Row],[Column3]]), "", deployment_raw[[#This Row],[Column3]])</f>
        <v/>
      </c>
      <c r="D973" s="36" t="str">
        <f>IF(ISNONTEXT(deployment_raw[[#This Row],[Column4]]), "", deployment_raw[[#This Row],[Column4]])</f>
        <v/>
      </c>
      <c r="E973" s="37" t="str">
        <f>IF(ISNUMBER(deployment_raw[[#This Row],[Column5]]), deployment_raw[[#This Row],[Column5]],"")</f>
        <v/>
      </c>
      <c r="F973" s="94" t="str">
        <f>IF(ISNUMBER(deployment_raw[[#This Row],[Column6]]), (deployment_raw[[#This Row],[Column6]] * IF($E$2="Deployment",deployment_raw[[#This Row],[Column5]],1)),"")</f>
        <v/>
      </c>
      <c r="G973" s="95" t="str">
        <f>IF(ISNUMBER(deployment_raw[[#This Row],[Column7]]), (deployment_raw[[#This Row],[Column7]] * IF($E$2="Deployment",deployment_raw[[#This Row],[Column5]],1))/1048576,"")</f>
        <v/>
      </c>
      <c r="H973" s="95" t="str">
        <f>IF(ISNUMBER(deployment_raw[[#This Row],[Column8]]), (deployment_raw[[#This Row],[Column8]]  * IF($E$2="Deployment",deployment_raw[[#This Row],[Column5]],1)),"")</f>
        <v/>
      </c>
      <c r="I973" s="96" t="str">
        <f>IF(ISNUMBER(deployment_raw[[#This Row],[Column9]]), (deployment_raw[[#This Row],[Column9]] * IF($E$2="Deployment",deployment_raw[[#This Row],[Column5]],1))/1048576,"")</f>
        <v/>
      </c>
      <c r="J973" s="122" t="str">
        <f>IF(ISNUMBER(deployment_raw[[#This Row],[Column10]]), (MIN(IF(N973&lt;&gt;"",N973,9999999999999)*1.1,deployment_raw[[#This Row],[Column10]] * IF($E$2="Deployment",deployment_raw[[#This Row],[Column5]],1))),"")</f>
        <v/>
      </c>
      <c r="K973" s="123" t="str">
        <f>IF(ISNUMBER(deployment_raw[[#This Row],[Column11]]), (MIN(IF(O973&lt;&gt;"",O973,9999999999999)*1.1,deployment_raw[[#This Row],[Column11]] * IF($E$2="Deployment",deployment_raw[[#This Row],[Column5]],1)/1048576)),"")</f>
        <v/>
      </c>
      <c r="L973" s="124" t="str">
        <f>IF(ISNUMBER(deployment_raw[[#This Row],[Column8]]),IF(OR(deployment_raw[[#This Row],[Column5]] &lt;&gt; 0,$E$2 &lt;&gt; "Deployment"), MAX(J973, P973, R973, ($L$2 * IF($E$2="Deployment",deployment_raw[[#This Row],[Column5]],1)),IF(T973&lt;&gt;"",VALUE(T973) * IF($E$2="Deployment",deployment_raw[[#This Row],[Column5]],1),0)), 0),"")</f>
        <v/>
      </c>
      <c r="M973" s="125" t="str">
        <f>IF(ISNUMBER(deployment_raw[[#This Row],[Column9]]),IF(OR(deployment_raw[[#This Row],[Column5]] &lt;&gt; 0,$E$2&lt;&gt;"Deployment"), MAX(K973, Q973, S973, ($M$2 * IF($E$2="Deployment",deployment_raw[[#This Row],[Column5]],1)),IF(U973&lt;&gt;"",VALUE(U973) * IF($E$2="Deployment",deployment_raw[[#This Row],[Column5]],1),0)), 0),"")</f>
        <v/>
      </c>
      <c r="N973" s="166" t="str">
        <f>IF(ISNUMBER(deployment_raw[[#This Row],[Column14]]), deployment_raw[[#This Row],[Column14]]/IF(OR($E$2="Deployment",deployment_raw[[#This Row],[Column5]]=0),1,deployment_raw[[#This Row],[Column5]]),"")</f>
        <v/>
      </c>
      <c r="O973" s="167" t="str">
        <f>IF(ISNUMBER(deployment_raw[[#This Row],[Column15]]), deployment_raw[[#This Row],[Column15]]/IF(OR($E$2="Deployment",deployment_raw[[#This Row],[Column5]]=0),1,deployment_raw[[#This Row],[Column5]])/1048576,"")</f>
        <v/>
      </c>
      <c r="P973" s="168" t="str">
        <f>IF(ISNUMBER(deployment_raw[[#This Row],[Column12]]), (MIN(IF(N973&lt;&gt;"",N973,9999999999999)*1.1,deployment_raw[[#This Row],[Column12]] * IF($E$2="Deployment",deployment_raw[[#This Row],[Column5]],1))*(1+$P$2)),"")</f>
        <v/>
      </c>
      <c r="Q973" s="167" t="str">
        <f>IF(ISNUMBER(deployment_raw[[#This Row],[Column13]]), (MIN(IF(O973&lt;&gt;"",O973,9999999999999)*1.1,deployment_raw[[#This Row],[Column13]] * IF($E$2="Deployment",deployment_raw[[#This Row],[Column5]],1)*(1+$Q$2)/1048576)),"")</f>
        <v/>
      </c>
      <c r="R973" s="169" t="str">
        <f>IF(ISNUMBER(deployment_raw[[#This Row],[Column8]]), (H973  * IF(N973&lt;&gt;0,$R$2,1)),"")</f>
        <v/>
      </c>
      <c r="S973" s="170" t="str">
        <f>IF(ISNUMBER(deployment_raw[[#This Row],[Column8]]), (I973  * IF(O973&lt;&gt;0,$S$2,1)),"")</f>
        <v/>
      </c>
      <c r="T973" s="202" t="str">
        <f>IF(AND(A973&lt;&gt;"",_xlfn.IFNA(MATCH(A973,'dynamic resource application '!$A$2:$A$100, 0),0)&lt;&gt;0), H973/(IF($E$2="Deployment",E973,1)),"")</f>
        <v/>
      </c>
      <c r="U973" s="211" t="str">
        <f>IF(AND(A973&lt;&gt;"",_xlfn.IFNA(MATCH(A973,'dynamic resource application '!$A$2:$A$100, 0),0)&lt;&gt;0), I973/(IF($E$2="Deployment",E973,1)),"")</f>
        <v/>
      </c>
    </row>
    <row r="974" spans="1:21" ht="15" customHeight="1" x14ac:dyDescent="0.25">
      <c r="A974" s="35" t="str">
        <f>IF(ISNONTEXT(deployment_raw[[#This Row],[Column1]]), "", deployment_raw[[#This Row],[Column1]])</f>
        <v/>
      </c>
      <c r="B974" s="36" t="str">
        <f>IF(ISNONTEXT(deployment_raw[[#This Row],[Column2]]), "", deployment_raw[[#This Row],[Column2]])</f>
        <v/>
      </c>
      <c r="C974" s="36" t="str">
        <f>IF(ISNONTEXT(deployment_raw[[#This Row],[Column3]]), "", deployment_raw[[#This Row],[Column3]])</f>
        <v/>
      </c>
      <c r="D974" s="36" t="str">
        <f>IF(ISNONTEXT(deployment_raw[[#This Row],[Column4]]), "", deployment_raw[[#This Row],[Column4]])</f>
        <v/>
      </c>
      <c r="E974" s="37" t="str">
        <f>IF(ISNUMBER(deployment_raw[[#This Row],[Column5]]), deployment_raw[[#This Row],[Column5]],"")</f>
        <v/>
      </c>
      <c r="F974" s="94" t="str">
        <f>IF(ISNUMBER(deployment_raw[[#This Row],[Column6]]), (deployment_raw[[#This Row],[Column6]] * IF($E$2="Deployment",deployment_raw[[#This Row],[Column5]],1)),"")</f>
        <v/>
      </c>
      <c r="G974" s="95" t="str">
        <f>IF(ISNUMBER(deployment_raw[[#This Row],[Column7]]), (deployment_raw[[#This Row],[Column7]] * IF($E$2="Deployment",deployment_raw[[#This Row],[Column5]],1))/1048576,"")</f>
        <v/>
      </c>
      <c r="H974" s="95" t="str">
        <f>IF(ISNUMBER(deployment_raw[[#This Row],[Column8]]), (deployment_raw[[#This Row],[Column8]]  * IF($E$2="Deployment",deployment_raw[[#This Row],[Column5]],1)),"")</f>
        <v/>
      </c>
      <c r="I974" s="96" t="str">
        <f>IF(ISNUMBER(deployment_raw[[#This Row],[Column9]]), (deployment_raw[[#This Row],[Column9]] * IF($E$2="Deployment",deployment_raw[[#This Row],[Column5]],1))/1048576,"")</f>
        <v/>
      </c>
      <c r="J974" s="122" t="str">
        <f>IF(ISNUMBER(deployment_raw[[#This Row],[Column10]]), (MIN(IF(N974&lt;&gt;"",N974,9999999999999)*1.1,deployment_raw[[#This Row],[Column10]] * IF($E$2="Deployment",deployment_raw[[#This Row],[Column5]],1))),"")</f>
        <v/>
      </c>
      <c r="K974" s="123" t="str">
        <f>IF(ISNUMBER(deployment_raw[[#This Row],[Column11]]), (MIN(IF(O974&lt;&gt;"",O974,9999999999999)*1.1,deployment_raw[[#This Row],[Column11]] * IF($E$2="Deployment",deployment_raw[[#This Row],[Column5]],1)/1048576)),"")</f>
        <v/>
      </c>
      <c r="L974" s="124" t="str">
        <f>IF(ISNUMBER(deployment_raw[[#This Row],[Column8]]),IF(OR(deployment_raw[[#This Row],[Column5]] &lt;&gt; 0,$E$2 &lt;&gt; "Deployment"), MAX(J974, P974, R974, ($L$2 * IF($E$2="Deployment",deployment_raw[[#This Row],[Column5]],1)),IF(T974&lt;&gt;"",VALUE(T974) * IF($E$2="Deployment",deployment_raw[[#This Row],[Column5]],1),0)), 0),"")</f>
        <v/>
      </c>
      <c r="M974" s="125" t="str">
        <f>IF(ISNUMBER(deployment_raw[[#This Row],[Column9]]),IF(OR(deployment_raw[[#This Row],[Column5]] &lt;&gt; 0,$E$2&lt;&gt;"Deployment"), MAX(K974, Q974, S974, ($M$2 * IF($E$2="Deployment",deployment_raw[[#This Row],[Column5]],1)),IF(U974&lt;&gt;"",VALUE(U974) * IF($E$2="Deployment",deployment_raw[[#This Row],[Column5]],1),0)), 0),"")</f>
        <v/>
      </c>
      <c r="N974" s="166" t="str">
        <f>IF(ISNUMBER(deployment_raw[[#This Row],[Column14]]), deployment_raw[[#This Row],[Column14]]/IF(OR($E$2="Deployment",deployment_raw[[#This Row],[Column5]]=0),1,deployment_raw[[#This Row],[Column5]]),"")</f>
        <v/>
      </c>
      <c r="O974" s="167" t="str">
        <f>IF(ISNUMBER(deployment_raw[[#This Row],[Column15]]), deployment_raw[[#This Row],[Column15]]/IF(OR($E$2="Deployment",deployment_raw[[#This Row],[Column5]]=0),1,deployment_raw[[#This Row],[Column5]])/1048576,"")</f>
        <v/>
      </c>
      <c r="P974" s="168" t="str">
        <f>IF(ISNUMBER(deployment_raw[[#This Row],[Column12]]), (MIN(IF(N974&lt;&gt;"",N974,9999999999999)*1.1,deployment_raw[[#This Row],[Column12]] * IF($E$2="Deployment",deployment_raw[[#This Row],[Column5]],1))*(1+$P$2)),"")</f>
        <v/>
      </c>
      <c r="Q974" s="167" t="str">
        <f>IF(ISNUMBER(deployment_raw[[#This Row],[Column13]]), (MIN(IF(O974&lt;&gt;"",O974,9999999999999)*1.1,deployment_raw[[#This Row],[Column13]] * IF($E$2="Deployment",deployment_raw[[#This Row],[Column5]],1)*(1+$Q$2)/1048576)),"")</f>
        <v/>
      </c>
      <c r="R974" s="169" t="str">
        <f>IF(ISNUMBER(deployment_raw[[#This Row],[Column8]]), (H974  * IF(N974&lt;&gt;0,$R$2,1)),"")</f>
        <v/>
      </c>
      <c r="S974" s="170" t="str">
        <f>IF(ISNUMBER(deployment_raw[[#This Row],[Column8]]), (I974  * IF(O974&lt;&gt;0,$S$2,1)),"")</f>
        <v/>
      </c>
      <c r="T974" s="202" t="str">
        <f>IF(AND(A974&lt;&gt;"",_xlfn.IFNA(MATCH(A974,'dynamic resource application '!$A$2:$A$100, 0),0)&lt;&gt;0), H974/(IF($E$2="Deployment",E974,1)),"")</f>
        <v/>
      </c>
      <c r="U974" s="211" t="str">
        <f>IF(AND(A974&lt;&gt;"",_xlfn.IFNA(MATCH(A974,'dynamic resource application '!$A$2:$A$100, 0),0)&lt;&gt;0), I974/(IF($E$2="Deployment",E974,1)),"")</f>
        <v/>
      </c>
    </row>
    <row r="975" spans="1:21" ht="15" customHeight="1" x14ac:dyDescent="0.25">
      <c r="A975" s="35" t="str">
        <f>IF(ISNONTEXT(deployment_raw[[#This Row],[Column1]]), "", deployment_raw[[#This Row],[Column1]])</f>
        <v/>
      </c>
      <c r="B975" s="36" t="str">
        <f>IF(ISNONTEXT(deployment_raw[[#This Row],[Column2]]), "", deployment_raw[[#This Row],[Column2]])</f>
        <v/>
      </c>
      <c r="C975" s="36" t="str">
        <f>IF(ISNONTEXT(deployment_raw[[#This Row],[Column3]]), "", deployment_raw[[#This Row],[Column3]])</f>
        <v/>
      </c>
      <c r="D975" s="36" t="str">
        <f>IF(ISNONTEXT(deployment_raw[[#This Row],[Column4]]), "", deployment_raw[[#This Row],[Column4]])</f>
        <v/>
      </c>
      <c r="E975" s="37" t="str">
        <f>IF(ISNUMBER(deployment_raw[[#This Row],[Column5]]), deployment_raw[[#This Row],[Column5]],"")</f>
        <v/>
      </c>
      <c r="F975" s="94" t="str">
        <f>IF(ISNUMBER(deployment_raw[[#This Row],[Column6]]), (deployment_raw[[#This Row],[Column6]] * IF($E$2="Deployment",deployment_raw[[#This Row],[Column5]],1)),"")</f>
        <v/>
      </c>
      <c r="G975" s="95" t="str">
        <f>IF(ISNUMBER(deployment_raw[[#This Row],[Column7]]), (deployment_raw[[#This Row],[Column7]] * IF($E$2="Deployment",deployment_raw[[#This Row],[Column5]],1))/1048576,"")</f>
        <v/>
      </c>
      <c r="H975" s="95" t="str">
        <f>IF(ISNUMBER(deployment_raw[[#This Row],[Column8]]), (deployment_raw[[#This Row],[Column8]]  * IF($E$2="Deployment",deployment_raw[[#This Row],[Column5]],1)),"")</f>
        <v/>
      </c>
      <c r="I975" s="96" t="str">
        <f>IF(ISNUMBER(deployment_raw[[#This Row],[Column9]]), (deployment_raw[[#This Row],[Column9]] * IF($E$2="Deployment",deployment_raw[[#This Row],[Column5]],1))/1048576,"")</f>
        <v/>
      </c>
      <c r="J975" s="122" t="str">
        <f>IF(ISNUMBER(deployment_raw[[#This Row],[Column10]]), (MIN(IF(N975&lt;&gt;"",N975,9999999999999)*1.1,deployment_raw[[#This Row],[Column10]] * IF($E$2="Deployment",deployment_raw[[#This Row],[Column5]],1))),"")</f>
        <v/>
      </c>
      <c r="K975" s="123" t="str">
        <f>IF(ISNUMBER(deployment_raw[[#This Row],[Column11]]), (MIN(IF(O975&lt;&gt;"",O975,9999999999999)*1.1,deployment_raw[[#This Row],[Column11]] * IF($E$2="Deployment",deployment_raw[[#This Row],[Column5]],1)/1048576)),"")</f>
        <v/>
      </c>
      <c r="L975" s="124" t="str">
        <f>IF(ISNUMBER(deployment_raw[[#This Row],[Column8]]),IF(OR(deployment_raw[[#This Row],[Column5]] &lt;&gt; 0,$E$2 &lt;&gt; "Deployment"), MAX(J975, P975, R975, ($L$2 * IF($E$2="Deployment",deployment_raw[[#This Row],[Column5]],1)),IF(T975&lt;&gt;"",VALUE(T975) * IF($E$2="Deployment",deployment_raw[[#This Row],[Column5]],1),0)), 0),"")</f>
        <v/>
      </c>
      <c r="M975" s="125" t="str">
        <f>IF(ISNUMBER(deployment_raw[[#This Row],[Column9]]),IF(OR(deployment_raw[[#This Row],[Column5]] &lt;&gt; 0,$E$2&lt;&gt;"Deployment"), MAX(K975, Q975, S975, ($M$2 * IF($E$2="Deployment",deployment_raw[[#This Row],[Column5]],1)),IF(U975&lt;&gt;"",VALUE(U975) * IF($E$2="Deployment",deployment_raw[[#This Row],[Column5]],1),0)), 0),"")</f>
        <v/>
      </c>
      <c r="N975" s="166" t="str">
        <f>IF(ISNUMBER(deployment_raw[[#This Row],[Column14]]), deployment_raw[[#This Row],[Column14]]/IF(OR($E$2="Deployment",deployment_raw[[#This Row],[Column5]]=0),1,deployment_raw[[#This Row],[Column5]]),"")</f>
        <v/>
      </c>
      <c r="O975" s="167" t="str">
        <f>IF(ISNUMBER(deployment_raw[[#This Row],[Column15]]), deployment_raw[[#This Row],[Column15]]/IF(OR($E$2="Deployment",deployment_raw[[#This Row],[Column5]]=0),1,deployment_raw[[#This Row],[Column5]])/1048576,"")</f>
        <v/>
      </c>
      <c r="P975" s="168" t="str">
        <f>IF(ISNUMBER(deployment_raw[[#This Row],[Column12]]), (MIN(IF(N975&lt;&gt;"",N975,9999999999999)*1.1,deployment_raw[[#This Row],[Column12]] * IF($E$2="Deployment",deployment_raw[[#This Row],[Column5]],1))*(1+$P$2)),"")</f>
        <v/>
      </c>
      <c r="Q975" s="167" t="str">
        <f>IF(ISNUMBER(deployment_raw[[#This Row],[Column13]]), (MIN(IF(O975&lt;&gt;"",O975,9999999999999)*1.1,deployment_raw[[#This Row],[Column13]] * IF($E$2="Deployment",deployment_raw[[#This Row],[Column5]],1)*(1+$Q$2)/1048576)),"")</f>
        <v/>
      </c>
      <c r="R975" s="169" t="str">
        <f>IF(ISNUMBER(deployment_raw[[#This Row],[Column8]]), (H975  * IF(N975&lt;&gt;0,$R$2,1)),"")</f>
        <v/>
      </c>
      <c r="S975" s="170" t="str">
        <f>IF(ISNUMBER(deployment_raw[[#This Row],[Column8]]), (I975  * IF(O975&lt;&gt;0,$S$2,1)),"")</f>
        <v/>
      </c>
      <c r="T975" s="202" t="str">
        <f>IF(AND(A975&lt;&gt;"",_xlfn.IFNA(MATCH(A975,'dynamic resource application '!$A$2:$A$100, 0),0)&lt;&gt;0), H975/(IF($E$2="Deployment",E975,1)),"")</f>
        <v/>
      </c>
      <c r="U975" s="211" t="str">
        <f>IF(AND(A975&lt;&gt;"",_xlfn.IFNA(MATCH(A975,'dynamic resource application '!$A$2:$A$100, 0),0)&lt;&gt;0), I975/(IF($E$2="Deployment",E975,1)),"")</f>
        <v/>
      </c>
    </row>
    <row r="976" spans="1:21" ht="15" customHeight="1" x14ac:dyDescent="0.25">
      <c r="A976" s="35" t="str">
        <f>IF(ISNONTEXT(deployment_raw[[#This Row],[Column1]]), "", deployment_raw[[#This Row],[Column1]])</f>
        <v/>
      </c>
      <c r="B976" s="36" t="str">
        <f>IF(ISNONTEXT(deployment_raw[[#This Row],[Column2]]), "", deployment_raw[[#This Row],[Column2]])</f>
        <v/>
      </c>
      <c r="C976" s="36" t="str">
        <f>IF(ISNONTEXT(deployment_raw[[#This Row],[Column3]]), "", deployment_raw[[#This Row],[Column3]])</f>
        <v/>
      </c>
      <c r="D976" s="36" t="str">
        <f>IF(ISNONTEXT(deployment_raw[[#This Row],[Column4]]), "", deployment_raw[[#This Row],[Column4]])</f>
        <v/>
      </c>
      <c r="E976" s="37" t="str">
        <f>IF(ISNUMBER(deployment_raw[[#This Row],[Column5]]), deployment_raw[[#This Row],[Column5]],"")</f>
        <v/>
      </c>
      <c r="F976" s="94" t="str">
        <f>IF(ISNUMBER(deployment_raw[[#This Row],[Column6]]), (deployment_raw[[#This Row],[Column6]] * IF($E$2="Deployment",deployment_raw[[#This Row],[Column5]],1)),"")</f>
        <v/>
      </c>
      <c r="G976" s="95" t="str">
        <f>IF(ISNUMBER(deployment_raw[[#This Row],[Column7]]), (deployment_raw[[#This Row],[Column7]] * IF($E$2="Deployment",deployment_raw[[#This Row],[Column5]],1))/1048576,"")</f>
        <v/>
      </c>
      <c r="H976" s="95" t="str">
        <f>IF(ISNUMBER(deployment_raw[[#This Row],[Column8]]), (deployment_raw[[#This Row],[Column8]]  * IF($E$2="Deployment",deployment_raw[[#This Row],[Column5]],1)),"")</f>
        <v/>
      </c>
      <c r="I976" s="96" t="str">
        <f>IF(ISNUMBER(deployment_raw[[#This Row],[Column9]]), (deployment_raw[[#This Row],[Column9]] * IF($E$2="Deployment",deployment_raw[[#This Row],[Column5]],1))/1048576,"")</f>
        <v/>
      </c>
      <c r="J976" s="122" t="str">
        <f>IF(ISNUMBER(deployment_raw[[#This Row],[Column10]]), (MIN(IF(N976&lt;&gt;"",N976,9999999999999)*1.1,deployment_raw[[#This Row],[Column10]] * IF($E$2="Deployment",deployment_raw[[#This Row],[Column5]],1))),"")</f>
        <v/>
      </c>
      <c r="K976" s="123" t="str">
        <f>IF(ISNUMBER(deployment_raw[[#This Row],[Column11]]), (MIN(IF(O976&lt;&gt;"",O976,9999999999999)*1.1,deployment_raw[[#This Row],[Column11]] * IF($E$2="Deployment",deployment_raw[[#This Row],[Column5]],1)/1048576)),"")</f>
        <v/>
      </c>
      <c r="L976" s="124" t="str">
        <f>IF(ISNUMBER(deployment_raw[[#This Row],[Column8]]),IF(OR(deployment_raw[[#This Row],[Column5]] &lt;&gt; 0,$E$2 &lt;&gt; "Deployment"), MAX(J976, P976, R976, ($L$2 * IF($E$2="Deployment",deployment_raw[[#This Row],[Column5]],1)),IF(T976&lt;&gt;"",VALUE(T976) * IF($E$2="Deployment",deployment_raw[[#This Row],[Column5]],1),0)), 0),"")</f>
        <v/>
      </c>
      <c r="M976" s="125" t="str">
        <f>IF(ISNUMBER(deployment_raw[[#This Row],[Column9]]),IF(OR(deployment_raw[[#This Row],[Column5]] &lt;&gt; 0,$E$2&lt;&gt;"Deployment"), MAX(K976, Q976, S976, ($M$2 * IF($E$2="Deployment",deployment_raw[[#This Row],[Column5]],1)),IF(U976&lt;&gt;"",VALUE(U976) * IF($E$2="Deployment",deployment_raw[[#This Row],[Column5]],1),0)), 0),"")</f>
        <v/>
      </c>
      <c r="N976" s="166" t="str">
        <f>IF(ISNUMBER(deployment_raw[[#This Row],[Column14]]), deployment_raw[[#This Row],[Column14]]/IF(OR($E$2="Deployment",deployment_raw[[#This Row],[Column5]]=0),1,deployment_raw[[#This Row],[Column5]]),"")</f>
        <v/>
      </c>
      <c r="O976" s="167" t="str">
        <f>IF(ISNUMBER(deployment_raw[[#This Row],[Column15]]), deployment_raw[[#This Row],[Column15]]/IF(OR($E$2="Deployment",deployment_raw[[#This Row],[Column5]]=0),1,deployment_raw[[#This Row],[Column5]])/1048576,"")</f>
        <v/>
      </c>
      <c r="P976" s="168" t="str">
        <f>IF(ISNUMBER(deployment_raw[[#This Row],[Column12]]), (MIN(IF(N976&lt;&gt;"",N976,9999999999999)*1.1,deployment_raw[[#This Row],[Column12]] * IF($E$2="Deployment",deployment_raw[[#This Row],[Column5]],1))*(1+$P$2)),"")</f>
        <v/>
      </c>
      <c r="Q976" s="167" t="str">
        <f>IF(ISNUMBER(deployment_raw[[#This Row],[Column13]]), (MIN(IF(O976&lt;&gt;"",O976,9999999999999)*1.1,deployment_raw[[#This Row],[Column13]] * IF($E$2="Deployment",deployment_raw[[#This Row],[Column5]],1)*(1+$Q$2)/1048576)),"")</f>
        <v/>
      </c>
      <c r="R976" s="169" t="str">
        <f>IF(ISNUMBER(deployment_raw[[#This Row],[Column8]]), (H976  * IF(N976&lt;&gt;0,$R$2,1)),"")</f>
        <v/>
      </c>
      <c r="S976" s="170" t="str">
        <f>IF(ISNUMBER(deployment_raw[[#This Row],[Column8]]), (I976  * IF(O976&lt;&gt;0,$S$2,1)),"")</f>
        <v/>
      </c>
      <c r="T976" s="202" t="str">
        <f>IF(AND(A976&lt;&gt;"",_xlfn.IFNA(MATCH(A976,'dynamic resource application '!$A$2:$A$100, 0),0)&lt;&gt;0), H976/(IF($E$2="Deployment",E976,1)),"")</f>
        <v/>
      </c>
      <c r="U976" s="211" t="str">
        <f>IF(AND(A976&lt;&gt;"",_xlfn.IFNA(MATCH(A976,'dynamic resource application '!$A$2:$A$100, 0),0)&lt;&gt;0), I976/(IF($E$2="Deployment",E976,1)),"")</f>
        <v/>
      </c>
    </row>
    <row r="977" spans="1:21" ht="15" customHeight="1" x14ac:dyDescent="0.25">
      <c r="A977" s="35" t="str">
        <f>IF(ISNONTEXT(deployment_raw[[#This Row],[Column1]]), "", deployment_raw[[#This Row],[Column1]])</f>
        <v/>
      </c>
      <c r="B977" s="36" t="str">
        <f>IF(ISNONTEXT(deployment_raw[[#This Row],[Column2]]), "", deployment_raw[[#This Row],[Column2]])</f>
        <v/>
      </c>
      <c r="C977" s="36" t="str">
        <f>IF(ISNONTEXT(deployment_raw[[#This Row],[Column3]]), "", deployment_raw[[#This Row],[Column3]])</f>
        <v/>
      </c>
      <c r="D977" s="36" t="str">
        <f>IF(ISNONTEXT(deployment_raw[[#This Row],[Column4]]), "", deployment_raw[[#This Row],[Column4]])</f>
        <v/>
      </c>
      <c r="E977" s="37" t="str">
        <f>IF(ISNUMBER(deployment_raw[[#This Row],[Column5]]), deployment_raw[[#This Row],[Column5]],"")</f>
        <v/>
      </c>
      <c r="F977" s="94" t="str">
        <f>IF(ISNUMBER(deployment_raw[[#This Row],[Column6]]), (deployment_raw[[#This Row],[Column6]] * IF($E$2="Deployment",deployment_raw[[#This Row],[Column5]],1)),"")</f>
        <v/>
      </c>
      <c r="G977" s="95" t="str">
        <f>IF(ISNUMBER(deployment_raw[[#This Row],[Column7]]), (deployment_raw[[#This Row],[Column7]] * IF($E$2="Deployment",deployment_raw[[#This Row],[Column5]],1))/1048576,"")</f>
        <v/>
      </c>
      <c r="H977" s="95" t="str">
        <f>IF(ISNUMBER(deployment_raw[[#This Row],[Column8]]), (deployment_raw[[#This Row],[Column8]]  * IF($E$2="Deployment",deployment_raw[[#This Row],[Column5]],1)),"")</f>
        <v/>
      </c>
      <c r="I977" s="96" t="str">
        <f>IF(ISNUMBER(deployment_raw[[#This Row],[Column9]]), (deployment_raw[[#This Row],[Column9]] * IF($E$2="Deployment",deployment_raw[[#This Row],[Column5]],1))/1048576,"")</f>
        <v/>
      </c>
      <c r="J977" s="122" t="str">
        <f>IF(ISNUMBER(deployment_raw[[#This Row],[Column10]]), (MIN(IF(N977&lt;&gt;"",N977,9999999999999)*1.1,deployment_raw[[#This Row],[Column10]] * IF($E$2="Deployment",deployment_raw[[#This Row],[Column5]],1))),"")</f>
        <v/>
      </c>
      <c r="K977" s="123" t="str">
        <f>IF(ISNUMBER(deployment_raw[[#This Row],[Column11]]), (MIN(IF(O977&lt;&gt;"",O977,9999999999999)*1.1,deployment_raw[[#This Row],[Column11]] * IF($E$2="Deployment",deployment_raw[[#This Row],[Column5]],1)/1048576)),"")</f>
        <v/>
      </c>
      <c r="L977" s="124" t="str">
        <f>IF(ISNUMBER(deployment_raw[[#This Row],[Column8]]),IF(OR(deployment_raw[[#This Row],[Column5]] &lt;&gt; 0,$E$2 &lt;&gt; "Deployment"), MAX(J977, P977, R977, ($L$2 * IF($E$2="Deployment",deployment_raw[[#This Row],[Column5]],1)),IF(T977&lt;&gt;"",VALUE(T977) * IF($E$2="Deployment",deployment_raw[[#This Row],[Column5]],1),0)), 0),"")</f>
        <v/>
      </c>
      <c r="M977" s="125" t="str">
        <f>IF(ISNUMBER(deployment_raw[[#This Row],[Column9]]),IF(OR(deployment_raw[[#This Row],[Column5]] &lt;&gt; 0,$E$2&lt;&gt;"Deployment"), MAX(K977, Q977, S977, ($M$2 * IF($E$2="Deployment",deployment_raw[[#This Row],[Column5]],1)),IF(U977&lt;&gt;"",VALUE(U977) * IF($E$2="Deployment",deployment_raw[[#This Row],[Column5]],1),0)), 0),"")</f>
        <v/>
      </c>
      <c r="N977" s="166" t="str">
        <f>IF(ISNUMBER(deployment_raw[[#This Row],[Column14]]), deployment_raw[[#This Row],[Column14]]/IF(OR($E$2="Deployment",deployment_raw[[#This Row],[Column5]]=0),1,deployment_raw[[#This Row],[Column5]]),"")</f>
        <v/>
      </c>
      <c r="O977" s="167" t="str">
        <f>IF(ISNUMBER(deployment_raw[[#This Row],[Column15]]), deployment_raw[[#This Row],[Column15]]/IF(OR($E$2="Deployment",deployment_raw[[#This Row],[Column5]]=0),1,deployment_raw[[#This Row],[Column5]])/1048576,"")</f>
        <v/>
      </c>
      <c r="P977" s="168" t="str">
        <f>IF(ISNUMBER(deployment_raw[[#This Row],[Column12]]), (MIN(IF(N977&lt;&gt;"",N977,9999999999999)*1.1,deployment_raw[[#This Row],[Column12]] * IF($E$2="Deployment",deployment_raw[[#This Row],[Column5]],1))*(1+$P$2)),"")</f>
        <v/>
      </c>
      <c r="Q977" s="167" t="str">
        <f>IF(ISNUMBER(deployment_raw[[#This Row],[Column13]]), (MIN(IF(O977&lt;&gt;"",O977,9999999999999)*1.1,deployment_raw[[#This Row],[Column13]] * IF($E$2="Deployment",deployment_raw[[#This Row],[Column5]],1)*(1+$Q$2)/1048576)),"")</f>
        <v/>
      </c>
      <c r="R977" s="169" t="str">
        <f>IF(ISNUMBER(deployment_raw[[#This Row],[Column8]]), (H977  * IF(N977&lt;&gt;0,$R$2,1)),"")</f>
        <v/>
      </c>
      <c r="S977" s="170" t="str">
        <f>IF(ISNUMBER(deployment_raw[[#This Row],[Column8]]), (I977  * IF(O977&lt;&gt;0,$S$2,1)),"")</f>
        <v/>
      </c>
      <c r="T977" s="202" t="str">
        <f>IF(AND(A977&lt;&gt;"",_xlfn.IFNA(MATCH(A977,'dynamic resource application '!$A$2:$A$100, 0),0)&lt;&gt;0), H977/(IF($E$2="Deployment",E977,1)),"")</f>
        <v/>
      </c>
      <c r="U977" s="211" t="str">
        <f>IF(AND(A977&lt;&gt;"",_xlfn.IFNA(MATCH(A977,'dynamic resource application '!$A$2:$A$100, 0),0)&lt;&gt;0), I977/(IF($E$2="Deployment",E977,1)),"")</f>
        <v/>
      </c>
    </row>
    <row r="978" spans="1:21" ht="15" customHeight="1" x14ac:dyDescent="0.25">
      <c r="A978" s="35" t="str">
        <f>IF(ISNONTEXT(deployment_raw[[#This Row],[Column1]]), "", deployment_raw[[#This Row],[Column1]])</f>
        <v/>
      </c>
      <c r="B978" s="36" t="str">
        <f>IF(ISNONTEXT(deployment_raw[[#This Row],[Column2]]), "", deployment_raw[[#This Row],[Column2]])</f>
        <v/>
      </c>
      <c r="C978" s="36" t="str">
        <f>IF(ISNONTEXT(deployment_raw[[#This Row],[Column3]]), "", deployment_raw[[#This Row],[Column3]])</f>
        <v/>
      </c>
      <c r="D978" s="36" t="str">
        <f>IF(ISNONTEXT(deployment_raw[[#This Row],[Column4]]), "", deployment_raw[[#This Row],[Column4]])</f>
        <v/>
      </c>
      <c r="E978" s="37" t="str">
        <f>IF(ISNUMBER(deployment_raw[[#This Row],[Column5]]), deployment_raw[[#This Row],[Column5]],"")</f>
        <v/>
      </c>
      <c r="F978" s="94" t="str">
        <f>IF(ISNUMBER(deployment_raw[[#This Row],[Column6]]), (deployment_raw[[#This Row],[Column6]] * IF($E$2="Deployment",deployment_raw[[#This Row],[Column5]],1)),"")</f>
        <v/>
      </c>
      <c r="G978" s="95" t="str">
        <f>IF(ISNUMBER(deployment_raw[[#This Row],[Column7]]), (deployment_raw[[#This Row],[Column7]] * IF($E$2="Deployment",deployment_raw[[#This Row],[Column5]],1))/1048576,"")</f>
        <v/>
      </c>
      <c r="H978" s="95" t="str">
        <f>IF(ISNUMBER(deployment_raw[[#This Row],[Column8]]), (deployment_raw[[#This Row],[Column8]]  * IF($E$2="Deployment",deployment_raw[[#This Row],[Column5]],1)),"")</f>
        <v/>
      </c>
      <c r="I978" s="96" t="str">
        <f>IF(ISNUMBER(deployment_raw[[#This Row],[Column9]]), (deployment_raw[[#This Row],[Column9]] * IF($E$2="Deployment",deployment_raw[[#This Row],[Column5]],1))/1048576,"")</f>
        <v/>
      </c>
      <c r="J978" s="122" t="str">
        <f>IF(ISNUMBER(deployment_raw[[#This Row],[Column10]]), (MIN(IF(N978&lt;&gt;"",N978,9999999999999)*1.1,deployment_raw[[#This Row],[Column10]] * IF($E$2="Deployment",deployment_raw[[#This Row],[Column5]],1))),"")</f>
        <v/>
      </c>
      <c r="K978" s="123" t="str">
        <f>IF(ISNUMBER(deployment_raw[[#This Row],[Column11]]), (MIN(IF(O978&lt;&gt;"",O978,9999999999999)*1.1,deployment_raw[[#This Row],[Column11]] * IF($E$2="Deployment",deployment_raw[[#This Row],[Column5]],1)/1048576)),"")</f>
        <v/>
      </c>
      <c r="L978" s="124" t="str">
        <f>IF(ISNUMBER(deployment_raw[[#This Row],[Column8]]),IF(OR(deployment_raw[[#This Row],[Column5]] &lt;&gt; 0,$E$2 &lt;&gt; "Deployment"), MAX(J978, P978, R978, ($L$2 * IF($E$2="Deployment",deployment_raw[[#This Row],[Column5]],1)),IF(T978&lt;&gt;"",VALUE(T978) * IF($E$2="Deployment",deployment_raw[[#This Row],[Column5]],1),0)), 0),"")</f>
        <v/>
      </c>
      <c r="M978" s="125" t="str">
        <f>IF(ISNUMBER(deployment_raw[[#This Row],[Column9]]),IF(OR(deployment_raw[[#This Row],[Column5]] &lt;&gt; 0,$E$2&lt;&gt;"Deployment"), MAX(K978, Q978, S978, ($M$2 * IF($E$2="Deployment",deployment_raw[[#This Row],[Column5]],1)),IF(U978&lt;&gt;"",VALUE(U978) * IF($E$2="Deployment",deployment_raw[[#This Row],[Column5]],1),0)), 0),"")</f>
        <v/>
      </c>
      <c r="N978" s="166" t="str">
        <f>IF(ISNUMBER(deployment_raw[[#This Row],[Column14]]), deployment_raw[[#This Row],[Column14]]/IF(OR($E$2="Deployment",deployment_raw[[#This Row],[Column5]]=0),1,deployment_raw[[#This Row],[Column5]]),"")</f>
        <v/>
      </c>
      <c r="O978" s="167" t="str">
        <f>IF(ISNUMBER(deployment_raw[[#This Row],[Column15]]), deployment_raw[[#This Row],[Column15]]/IF(OR($E$2="Deployment",deployment_raw[[#This Row],[Column5]]=0),1,deployment_raw[[#This Row],[Column5]])/1048576,"")</f>
        <v/>
      </c>
      <c r="P978" s="168" t="str">
        <f>IF(ISNUMBER(deployment_raw[[#This Row],[Column12]]), (MIN(IF(N978&lt;&gt;"",N978,9999999999999)*1.1,deployment_raw[[#This Row],[Column12]] * IF($E$2="Deployment",deployment_raw[[#This Row],[Column5]],1))*(1+$P$2)),"")</f>
        <v/>
      </c>
      <c r="Q978" s="167" t="str">
        <f>IF(ISNUMBER(deployment_raw[[#This Row],[Column13]]), (MIN(IF(O978&lt;&gt;"",O978,9999999999999)*1.1,deployment_raw[[#This Row],[Column13]] * IF($E$2="Deployment",deployment_raw[[#This Row],[Column5]],1)*(1+$Q$2)/1048576)),"")</f>
        <v/>
      </c>
      <c r="R978" s="169" t="str">
        <f>IF(ISNUMBER(deployment_raw[[#This Row],[Column8]]), (H978  * IF(N978&lt;&gt;0,$R$2,1)),"")</f>
        <v/>
      </c>
      <c r="S978" s="170" t="str">
        <f>IF(ISNUMBER(deployment_raw[[#This Row],[Column8]]), (I978  * IF(O978&lt;&gt;0,$S$2,1)),"")</f>
        <v/>
      </c>
      <c r="T978" s="202" t="str">
        <f>IF(AND(A978&lt;&gt;"",_xlfn.IFNA(MATCH(A978,'dynamic resource application '!$A$2:$A$100, 0),0)&lt;&gt;0), H978/(IF($E$2="Deployment",E978,1)),"")</f>
        <v/>
      </c>
      <c r="U978" s="211" t="str">
        <f>IF(AND(A978&lt;&gt;"",_xlfn.IFNA(MATCH(A978,'dynamic resource application '!$A$2:$A$100, 0),0)&lt;&gt;0), I978/(IF($E$2="Deployment",E978,1)),"")</f>
        <v/>
      </c>
    </row>
    <row r="979" spans="1:21" ht="15" customHeight="1" x14ac:dyDescent="0.25">
      <c r="A979" s="35" t="str">
        <f>IF(ISNONTEXT(deployment_raw[[#This Row],[Column1]]), "", deployment_raw[[#This Row],[Column1]])</f>
        <v/>
      </c>
      <c r="B979" s="36" t="str">
        <f>IF(ISNONTEXT(deployment_raw[[#This Row],[Column2]]), "", deployment_raw[[#This Row],[Column2]])</f>
        <v/>
      </c>
      <c r="C979" s="36" t="str">
        <f>IF(ISNONTEXT(deployment_raw[[#This Row],[Column3]]), "", deployment_raw[[#This Row],[Column3]])</f>
        <v/>
      </c>
      <c r="D979" s="36" t="str">
        <f>IF(ISNONTEXT(deployment_raw[[#This Row],[Column4]]), "", deployment_raw[[#This Row],[Column4]])</f>
        <v/>
      </c>
      <c r="E979" s="37" t="str">
        <f>IF(ISNUMBER(deployment_raw[[#This Row],[Column5]]), deployment_raw[[#This Row],[Column5]],"")</f>
        <v/>
      </c>
      <c r="F979" s="94" t="str">
        <f>IF(ISNUMBER(deployment_raw[[#This Row],[Column6]]), (deployment_raw[[#This Row],[Column6]] * IF($E$2="Deployment",deployment_raw[[#This Row],[Column5]],1)),"")</f>
        <v/>
      </c>
      <c r="G979" s="95" t="str">
        <f>IF(ISNUMBER(deployment_raw[[#This Row],[Column7]]), (deployment_raw[[#This Row],[Column7]] * IF($E$2="Deployment",deployment_raw[[#This Row],[Column5]],1))/1048576,"")</f>
        <v/>
      </c>
      <c r="H979" s="95" t="str">
        <f>IF(ISNUMBER(deployment_raw[[#This Row],[Column8]]), (deployment_raw[[#This Row],[Column8]]  * IF($E$2="Deployment",deployment_raw[[#This Row],[Column5]],1)),"")</f>
        <v/>
      </c>
      <c r="I979" s="96" t="str">
        <f>IF(ISNUMBER(deployment_raw[[#This Row],[Column9]]), (deployment_raw[[#This Row],[Column9]] * IF($E$2="Deployment",deployment_raw[[#This Row],[Column5]],1))/1048576,"")</f>
        <v/>
      </c>
      <c r="J979" s="122" t="str">
        <f>IF(ISNUMBER(deployment_raw[[#This Row],[Column10]]), (MIN(IF(N979&lt;&gt;"",N979,9999999999999)*1.1,deployment_raw[[#This Row],[Column10]] * IF($E$2="Deployment",deployment_raw[[#This Row],[Column5]],1))),"")</f>
        <v/>
      </c>
      <c r="K979" s="123" t="str">
        <f>IF(ISNUMBER(deployment_raw[[#This Row],[Column11]]), (MIN(IF(O979&lt;&gt;"",O979,9999999999999)*1.1,deployment_raw[[#This Row],[Column11]] * IF($E$2="Deployment",deployment_raw[[#This Row],[Column5]],1)/1048576)),"")</f>
        <v/>
      </c>
      <c r="L979" s="124" t="str">
        <f>IF(ISNUMBER(deployment_raw[[#This Row],[Column8]]),IF(OR(deployment_raw[[#This Row],[Column5]] &lt;&gt; 0,$E$2 &lt;&gt; "Deployment"), MAX(J979, P979, R979, ($L$2 * IF($E$2="Deployment",deployment_raw[[#This Row],[Column5]],1)),IF(T979&lt;&gt;"",VALUE(T979) * IF($E$2="Deployment",deployment_raw[[#This Row],[Column5]],1),0)), 0),"")</f>
        <v/>
      </c>
      <c r="M979" s="125" t="str">
        <f>IF(ISNUMBER(deployment_raw[[#This Row],[Column9]]),IF(OR(deployment_raw[[#This Row],[Column5]] &lt;&gt; 0,$E$2&lt;&gt;"Deployment"), MAX(K979, Q979, S979, ($M$2 * IF($E$2="Deployment",deployment_raw[[#This Row],[Column5]],1)),IF(U979&lt;&gt;"",VALUE(U979) * IF($E$2="Deployment",deployment_raw[[#This Row],[Column5]],1),0)), 0),"")</f>
        <v/>
      </c>
      <c r="N979" s="166" t="str">
        <f>IF(ISNUMBER(deployment_raw[[#This Row],[Column14]]), deployment_raw[[#This Row],[Column14]]/IF(OR($E$2="Deployment",deployment_raw[[#This Row],[Column5]]=0),1,deployment_raw[[#This Row],[Column5]]),"")</f>
        <v/>
      </c>
      <c r="O979" s="167" t="str">
        <f>IF(ISNUMBER(deployment_raw[[#This Row],[Column15]]), deployment_raw[[#This Row],[Column15]]/IF(OR($E$2="Deployment",deployment_raw[[#This Row],[Column5]]=0),1,deployment_raw[[#This Row],[Column5]])/1048576,"")</f>
        <v/>
      </c>
      <c r="P979" s="168" t="str">
        <f>IF(ISNUMBER(deployment_raw[[#This Row],[Column12]]), (MIN(IF(N979&lt;&gt;"",N979,9999999999999)*1.1,deployment_raw[[#This Row],[Column12]] * IF($E$2="Deployment",deployment_raw[[#This Row],[Column5]],1))*(1+$P$2)),"")</f>
        <v/>
      </c>
      <c r="Q979" s="167" t="str">
        <f>IF(ISNUMBER(deployment_raw[[#This Row],[Column13]]), (MIN(IF(O979&lt;&gt;"",O979,9999999999999)*1.1,deployment_raw[[#This Row],[Column13]] * IF($E$2="Deployment",deployment_raw[[#This Row],[Column5]],1)*(1+$Q$2)/1048576)),"")</f>
        <v/>
      </c>
      <c r="R979" s="169" t="str">
        <f>IF(ISNUMBER(deployment_raw[[#This Row],[Column8]]), (H979  * IF(N979&lt;&gt;0,$R$2,1)),"")</f>
        <v/>
      </c>
      <c r="S979" s="170" t="str">
        <f>IF(ISNUMBER(deployment_raw[[#This Row],[Column8]]), (I979  * IF(O979&lt;&gt;0,$S$2,1)),"")</f>
        <v/>
      </c>
      <c r="T979" s="202" t="str">
        <f>IF(AND(A979&lt;&gt;"",_xlfn.IFNA(MATCH(A979,'dynamic resource application '!$A$2:$A$100, 0),0)&lt;&gt;0), H979/(IF($E$2="Deployment",E979,1)),"")</f>
        <v/>
      </c>
      <c r="U979" s="211" t="str">
        <f>IF(AND(A979&lt;&gt;"",_xlfn.IFNA(MATCH(A979,'dynamic resource application '!$A$2:$A$100, 0),0)&lt;&gt;0), I979/(IF($E$2="Deployment",E979,1)),"")</f>
        <v/>
      </c>
    </row>
    <row r="980" spans="1:21" ht="15" customHeight="1" x14ac:dyDescent="0.25">
      <c r="A980" s="35" t="str">
        <f>IF(ISNONTEXT(deployment_raw[[#This Row],[Column1]]), "", deployment_raw[[#This Row],[Column1]])</f>
        <v/>
      </c>
      <c r="B980" s="36" t="str">
        <f>IF(ISNONTEXT(deployment_raw[[#This Row],[Column2]]), "", deployment_raw[[#This Row],[Column2]])</f>
        <v/>
      </c>
      <c r="C980" s="36" t="str">
        <f>IF(ISNONTEXT(deployment_raw[[#This Row],[Column3]]), "", deployment_raw[[#This Row],[Column3]])</f>
        <v/>
      </c>
      <c r="D980" s="36" t="str">
        <f>IF(ISNONTEXT(deployment_raw[[#This Row],[Column4]]), "", deployment_raw[[#This Row],[Column4]])</f>
        <v/>
      </c>
      <c r="E980" s="37" t="str">
        <f>IF(ISNUMBER(deployment_raw[[#This Row],[Column5]]), deployment_raw[[#This Row],[Column5]],"")</f>
        <v/>
      </c>
      <c r="F980" s="94" t="str">
        <f>IF(ISNUMBER(deployment_raw[[#This Row],[Column6]]), (deployment_raw[[#This Row],[Column6]] * IF($E$2="Deployment",deployment_raw[[#This Row],[Column5]],1)),"")</f>
        <v/>
      </c>
      <c r="G980" s="95" t="str">
        <f>IF(ISNUMBER(deployment_raw[[#This Row],[Column7]]), (deployment_raw[[#This Row],[Column7]] * IF($E$2="Deployment",deployment_raw[[#This Row],[Column5]],1))/1048576,"")</f>
        <v/>
      </c>
      <c r="H980" s="95" t="str">
        <f>IF(ISNUMBER(deployment_raw[[#This Row],[Column8]]), (deployment_raw[[#This Row],[Column8]]  * IF($E$2="Deployment",deployment_raw[[#This Row],[Column5]],1)),"")</f>
        <v/>
      </c>
      <c r="I980" s="96" t="str">
        <f>IF(ISNUMBER(deployment_raw[[#This Row],[Column9]]), (deployment_raw[[#This Row],[Column9]] * IF($E$2="Deployment",deployment_raw[[#This Row],[Column5]],1))/1048576,"")</f>
        <v/>
      </c>
      <c r="J980" s="122" t="str">
        <f>IF(ISNUMBER(deployment_raw[[#This Row],[Column10]]), (MIN(IF(N980&lt;&gt;"",N980,9999999999999)*1.1,deployment_raw[[#This Row],[Column10]] * IF($E$2="Deployment",deployment_raw[[#This Row],[Column5]],1))),"")</f>
        <v/>
      </c>
      <c r="K980" s="123" t="str">
        <f>IF(ISNUMBER(deployment_raw[[#This Row],[Column11]]), (MIN(IF(O980&lt;&gt;"",O980,9999999999999)*1.1,deployment_raw[[#This Row],[Column11]] * IF($E$2="Deployment",deployment_raw[[#This Row],[Column5]],1)/1048576)),"")</f>
        <v/>
      </c>
      <c r="L980" s="124" t="str">
        <f>IF(ISNUMBER(deployment_raw[[#This Row],[Column8]]),IF(OR(deployment_raw[[#This Row],[Column5]] &lt;&gt; 0,$E$2 &lt;&gt; "Deployment"), MAX(J980, P980, R980, ($L$2 * IF($E$2="Deployment",deployment_raw[[#This Row],[Column5]],1)),IF(T980&lt;&gt;"",VALUE(T980) * IF($E$2="Deployment",deployment_raw[[#This Row],[Column5]],1),0)), 0),"")</f>
        <v/>
      </c>
      <c r="M980" s="125" t="str">
        <f>IF(ISNUMBER(deployment_raw[[#This Row],[Column9]]),IF(OR(deployment_raw[[#This Row],[Column5]] &lt;&gt; 0,$E$2&lt;&gt;"Deployment"), MAX(K980, Q980, S980, ($M$2 * IF($E$2="Deployment",deployment_raw[[#This Row],[Column5]],1)),IF(U980&lt;&gt;"",VALUE(U980) * IF($E$2="Deployment",deployment_raw[[#This Row],[Column5]],1),0)), 0),"")</f>
        <v/>
      </c>
      <c r="N980" s="166" t="str">
        <f>IF(ISNUMBER(deployment_raw[[#This Row],[Column14]]), deployment_raw[[#This Row],[Column14]]/IF(OR($E$2="Deployment",deployment_raw[[#This Row],[Column5]]=0),1,deployment_raw[[#This Row],[Column5]]),"")</f>
        <v/>
      </c>
      <c r="O980" s="167" t="str">
        <f>IF(ISNUMBER(deployment_raw[[#This Row],[Column15]]), deployment_raw[[#This Row],[Column15]]/IF(OR($E$2="Deployment",deployment_raw[[#This Row],[Column5]]=0),1,deployment_raw[[#This Row],[Column5]])/1048576,"")</f>
        <v/>
      </c>
      <c r="P980" s="168" t="str">
        <f>IF(ISNUMBER(deployment_raw[[#This Row],[Column12]]), (MIN(IF(N980&lt;&gt;"",N980,9999999999999)*1.1,deployment_raw[[#This Row],[Column12]] * IF($E$2="Deployment",deployment_raw[[#This Row],[Column5]],1))*(1+$P$2)),"")</f>
        <v/>
      </c>
      <c r="Q980" s="167" t="str">
        <f>IF(ISNUMBER(deployment_raw[[#This Row],[Column13]]), (MIN(IF(O980&lt;&gt;"",O980,9999999999999)*1.1,deployment_raw[[#This Row],[Column13]] * IF($E$2="Deployment",deployment_raw[[#This Row],[Column5]],1)*(1+$Q$2)/1048576)),"")</f>
        <v/>
      </c>
      <c r="R980" s="169" t="str">
        <f>IF(ISNUMBER(deployment_raw[[#This Row],[Column8]]), (H980  * IF(N980&lt;&gt;0,$R$2,1)),"")</f>
        <v/>
      </c>
      <c r="S980" s="170" t="str">
        <f>IF(ISNUMBER(deployment_raw[[#This Row],[Column8]]), (I980  * IF(O980&lt;&gt;0,$S$2,1)),"")</f>
        <v/>
      </c>
      <c r="T980" s="202" t="str">
        <f>IF(AND(A980&lt;&gt;"",_xlfn.IFNA(MATCH(A980,'dynamic resource application '!$A$2:$A$100, 0),0)&lt;&gt;0), H980/(IF($E$2="Deployment",E980,1)),"")</f>
        <v/>
      </c>
      <c r="U980" s="211" t="str">
        <f>IF(AND(A980&lt;&gt;"",_xlfn.IFNA(MATCH(A980,'dynamic resource application '!$A$2:$A$100, 0),0)&lt;&gt;0), I980/(IF($E$2="Deployment",E980,1)),"")</f>
        <v/>
      </c>
    </row>
    <row r="981" spans="1:21" ht="15" customHeight="1" x14ac:dyDescent="0.25">
      <c r="A981" s="35" t="str">
        <f>IF(ISNONTEXT(deployment_raw[[#This Row],[Column1]]), "", deployment_raw[[#This Row],[Column1]])</f>
        <v/>
      </c>
      <c r="B981" s="36" t="str">
        <f>IF(ISNONTEXT(deployment_raw[[#This Row],[Column2]]), "", deployment_raw[[#This Row],[Column2]])</f>
        <v/>
      </c>
      <c r="C981" s="36" t="str">
        <f>IF(ISNONTEXT(deployment_raw[[#This Row],[Column3]]), "", deployment_raw[[#This Row],[Column3]])</f>
        <v/>
      </c>
      <c r="D981" s="36" t="str">
        <f>IF(ISNONTEXT(deployment_raw[[#This Row],[Column4]]), "", deployment_raw[[#This Row],[Column4]])</f>
        <v/>
      </c>
      <c r="E981" s="37" t="str">
        <f>IF(ISNUMBER(deployment_raw[[#This Row],[Column5]]), deployment_raw[[#This Row],[Column5]],"")</f>
        <v/>
      </c>
      <c r="F981" s="94" t="str">
        <f>IF(ISNUMBER(deployment_raw[[#This Row],[Column6]]), (deployment_raw[[#This Row],[Column6]] * IF($E$2="Deployment",deployment_raw[[#This Row],[Column5]],1)),"")</f>
        <v/>
      </c>
      <c r="G981" s="95" t="str">
        <f>IF(ISNUMBER(deployment_raw[[#This Row],[Column7]]), (deployment_raw[[#This Row],[Column7]] * IF($E$2="Deployment",deployment_raw[[#This Row],[Column5]],1))/1048576,"")</f>
        <v/>
      </c>
      <c r="H981" s="95" t="str">
        <f>IF(ISNUMBER(deployment_raw[[#This Row],[Column8]]), (deployment_raw[[#This Row],[Column8]]  * IF($E$2="Deployment",deployment_raw[[#This Row],[Column5]],1)),"")</f>
        <v/>
      </c>
      <c r="I981" s="96" t="str">
        <f>IF(ISNUMBER(deployment_raw[[#This Row],[Column9]]), (deployment_raw[[#This Row],[Column9]] * IF($E$2="Deployment",deployment_raw[[#This Row],[Column5]],1))/1048576,"")</f>
        <v/>
      </c>
      <c r="J981" s="122" t="str">
        <f>IF(ISNUMBER(deployment_raw[[#This Row],[Column10]]), (MIN(IF(N981&lt;&gt;"",N981,9999999999999)*1.1,deployment_raw[[#This Row],[Column10]] * IF($E$2="Deployment",deployment_raw[[#This Row],[Column5]],1))),"")</f>
        <v/>
      </c>
      <c r="K981" s="123" t="str">
        <f>IF(ISNUMBER(deployment_raw[[#This Row],[Column11]]), (MIN(IF(O981&lt;&gt;"",O981,9999999999999)*1.1,deployment_raw[[#This Row],[Column11]] * IF($E$2="Deployment",deployment_raw[[#This Row],[Column5]],1)/1048576)),"")</f>
        <v/>
      </c>
      <c r="L981" s="124" t="str">
        <f>IF(ISNUMBER(deployment_raw[[#This Row],[Column8]]),IF(OR(deployment_raw[[#This Row],[Column5]] &lt;&gt; 0,$E$2 &lt;&gt; "Deployment"), MAX(J981, P981, R981, ($L$2 * IF($E$2="Deployment",deployment_raw[[#This Row],[Column5]],1)),IF(T981&lt;&gt;"",VALUE(T981) * IF($E$2="Deployment",deployment_raw[[#This Row],[Column5]],1),0)), 0),"")</f>
        <v/>
      </c>
      <c r="M981" s="125" t="str">
        <f>IF(ISNUMBER(deployment_raw[[#This Row],[Column9]]),IF(OR(deployment_raw[[#This Row],[Column5]] &lt;&gt; 0,$E$2&lt;&gt;"Deployment"), MAX(K981, Q981, S981, ($M$2 * IF($E$2="Deployment",deployment_raw[[#This Row],[Column5]],1)),IF(U981&lt;&gt;"",VALUE(U981) * IF($E$2="Deployment",deployment_raw[[#This Row],[Column5]],1),0)), 0),"")</f>
        <v/>
      </c>
      <c r="N981" s="166" t="str">
        <f>IF(ISNUMBER(deployment_raw[[#This Row],[Column14]]), deployment_raw[[#This Row],[Column14]]/IF(OR($E$2="Deployment",deployment_raw[[#This Row],[Column5]]=0),1,deployment_raw[[#This Row],[Column5]]),"")</f>
        <v/>
      </c>
      <c r="O981" s="167" t="str">
        <f>IF(ISNUMBER(deployment_raw[[#This Row],[Column15]]), deployment_raw[[#This Row],[Column15]]/IF(OR($E$2="Deployment",deployment_raw[[#This Row],[Column5]]=0),1,deployment_raw[[#This Row],[Column5]])/1048576,"")</f>
        <v/>
      </c>
      <c r="P981" s="168" t="str">
        <f>IF(ISNUMBER(deployment_raw[[#This Row],[Column12]]), (MIN(IF(N981&lt;&gt;"",N981,9999999999999)*1.1,deployment_raw[[#This Row],[Column12]] * IF($E$2="Deployment",deployment_raw[[#This Row],[Column5]],1))*(1+$P$2)),"")</f>
        <v/>
      </c>
      <c r="Q981" s="167" t="str">
        <f>IF(ISNUMBER(deployment_raw[[#This Row],[Column13]]), (MIN(IF(O981&lt;&gt;"",O981,9999999999999)*1.1,deployment_raw[[#This Row],[Column13]] * IF($E$2="Deployment",deployment_raw[[#This Row],[Column5]],1)*(1+$Q$2)/1048576)),"")</f>
        <v/>
      </c>
      <c r="R981" s="169" t="str">
        <f>IF(ISNUMBER(deployment_raw[[#This Row],[Column8]]), (H981  * IF(N981&lt;&gt;0,$R$2,1)),"")</f>
        <v/>
      </c>
      <c r="S981" s="170" t="str">
        <f>IF(ISNUMBER(deployment_raw[[#This Row],[Column8]]), (I981  * IF(O981&lt;&gt;0,$S$2,1)),"")</f>
        <v/>
      </c>
      <c r="T981" s="202" t="str">
        <f>IF(AND(A981&lt;&gt;"",_xlfn.IFNA(MATCH(A981,'dynamic resource application '!$A$2:$A$100, 0),0)&lt;&gt;0), H981/(IF($E$2="Deployment",E981,1)),"")</f>
        <v/>
      </c>
      <c r="U981" s="211" t="str">
        <f>IF(AND(A981&lt;&gt;"",_xlfn.IFNA(MATCH(A981,'dynamic resource application '!$A$2:$A$100, 0),0)&lt;&gt;0), I981/(IF($E$2="Deployment",E981,1)),"")</f>
        <v/>
      </c>
    </row>
    <row r="982" spans="1:21" ht="15" customHeight="1" x14ac:dyDescent="0.25">
      <c r="A982" s="35" t="str">
        <f>IF(ISNONTEXT(deployment_raw[[#This Row],[Column1]]), "", deployment_raw[[#This Row],[Column1]])</f>
        <v/>
      </c>
      <c r="B982" s="36" t="str">
        <f>IF(ISNONTEXT(deployment_raw[[#This Row],[Column2]]), "", deployment_raw[[#This Row],[Column2]])</f>
        <v/>
      </c>
      <c r="C982" s="36" t="str">
        <f>IF(ISNONTEXT(deployment_raw[[#This Row],[Column3]]), "", deployment_raw[[#This Row],[Column3]])</f>
        <v/>
      </c>
      <c r="D982" s="36" t="str">
        <f>IF(ISNONTEXT(deployment_raw[[#This Row],[Column4]]), "", deployment_raw[[#This Row],[Column4]])</f>
        <v/>
      </c>
      <c r="E982" s="37" t="str">
        <f>IF(ISNUMBER(deployment_raw[[#This Row],[Column5]]), deployment_raw[[#This Row],[Column5]],"")</f>
        <v/>
      </c>
      <c r="F982" s="94" t="str">
        <f>IF(ISNUMBER(deployment_raw[[#This Row],[Column6]]), (deployment_raw[[#This Row],[Column6]] * IF($E$2="Deployment",deployment_raw[[#This Row],[Column5]],1)),"")</f>
        <v/>
      </c>
      <c r="G982" s="95" t="str">
        <f>IF(ISNUMBER(deployment_raw[[#This Row],[Column7]]), (deployment_raw[[#This Row],[Column7]] * IF($E$2="Deployment",deployment_raw[[#This Row],[Column5]],1))/1048576,"")</f>
        <v/>
      </c>
      <c r="H982" s="95" t="str">
        <f>IF(ISNUMBER(deployment_raw[[#This Row],[Column8]]), (deployment_raw[[#This Row],[Column8]]  * IF($E$2="Deployment",deployment_raw[[#This Row],[Column5]],1)),"")</f>
        <v/>
      </c>
      <c r="I982" s="96" t="str">
        <f>IF(ISNUMBER(deployment_raw[[#This Row],[Column9]]), (deployment_raw[[#This Row],[Column9]] * IF($E$2="Deployment",deployment_raw[[#This Row],[Column5]],1))/1048576,"")</f>
        <v/>
      </c>
      <c r="J982" s="122" t="str">
        <f>IF(ISNUMBER(deployment_raw[[#This Row],[Column10]]), (MIN(IF(N982&lt;&gt;"",N982,9999999999999)*1.1,deployment_raw[[#This Row],[Column10]] * IF($E$2="Deployment",deployment_raw[[#This Row],[Column5]],1))),"")</f>
        <v/>
      </c>
      <c r="K982" s="123" t="str">
        <f>IF(ISNUMBER(deployment_raw[[#This Row],[Column11]]), (MIN(IF(O982&lt;&gt;"",O982,9999999999999)*1.1,deployment_raw[[#This Row],[Column11]] * IF($E$2="Deployment",deployment_raw[[#This Row],[Column5]],1)/1048576)),"")</f>
        <v/>
      </c>
      <c r="L982" s="124" t="str">
        <f>IF(ISNUMBER(deployment_raw[[#This Row],[Column8]]),IF(OR(deployment_raw[[#This Row],[Column5]] &lt;&gt; 0,$E$2 &lt;&gt; "Deployment"), MAX(J982, P982, R982, ($L$2 * IF($E$2="Deployment",deployment_raw[[#This Row],[Column5]],1)),IF(T982&lt;&gt;"",VALUE(T982) * IF($E$2="Deployment",deployment_raw[[#This Row],[Column5]],1),0)), 0),"")</f>
        <v/>
      </c>
      <c r="M982" s="125" t="str">
        <f>IF(ISNUMBER(deployment_raw[[#This Row],[Column9]]),IF(OR(deployment_raw[[#This Row],[Column5]] &lt;&gt; 0,$E$2&lt;&gt;"Deployment"), MAX(K982, Q982, S982, ($M$2 * IF($E$2="Deployment",deployment_raw[[#This Row],[Column5]],1)),IF(U982&lt;&gt;"",VALUE(U982) * IF($E$2="Deployment",deployment_raw[[#This Row],[Column5]],1),0)), 0),"")</f>
        <v/>
      </c>
      <c r="N982" s="166" t="str">
        <f>IF(ISNUMBER(deployment_raw[[#This Row],[Column14]]), deployment_raw[[#This Row],[Column14]]/IF(OR($E$2="Deployment",deployment_raw[[#This Row],[Column5]]=0),1,deployment_raw[[#This Row],[Column5]]),"")</f>
        <v/>
      </c>
      <c r="O982" s="167" t="str">
        <f>IF(ISNUMBER(deployment_raw[[#This Row],[Column15]]), deployment_raw[[#This Row],[Column15]]/IF(OR($E$2="Deployment",deployment_raw[[#This Row],[Column5]]=0),1,deployment_raw[[#This Row],[Column5]])/1048576,"")</f>
        <v/>
      </c>
      <c r="P982" s="168" t="str">
        <f>IF(ISNUMBER(deployment_raw[[#This Row],[Column12]]), (MIN(IF(N982&lt;&gt;"",N982,9999999999999)*1.1,deployment_raw[[#This Row],[Column12]] * IF($E$2="Deployment",deployment_raw[[#This Row],[Column5]],1))*(1+$P$2)),"")</f>
        <v/>
      </c>
      <c r="Q982" s="167" t="str">
        <f>IF(ISNUMBER(deployment_raw[[#This Row],[Column13]]), (MIN(IF(O982&lt;&gt;"",O982,9999999999999)*1.1,deployment_raw[[#This Row],[Column13]] * IF($E$2="Deployment",deployment_raw[[#This Row],[Column5]],1)*(1+$Q$2)/1048576)),"")</f>
        <v/>
      </c>
      <c r="R982" s="169" t="str">
        <f>IF(ISNUMBER(deployment_raw[[#This Row],[Column8]]), (H982  * IF(N982&lt;&gt;0,$R$2,1)),"")</f>
        <v/>
      </c>
      <c r="S982" s="170" t="str">
        <f>IF(ISNUMBER(deployment_raw[[#This Row],[Column8]]), (I982  * IF(O982&lt;&gt;0,$S$2,1)),"")</f>
        <v/>
      </c>
      <c r="T982" s="202" t="str">
        <f>IF(AND(A982&lt;&gt;"",_xlfn.IFNA(MATCH(A982,'dynamic resource application '!$A$2:$A$100, 0),0)&lt;&gt;0), H982/(IF($E$2="Deployment",E982,1)),"")</f>
        <v/>
      </c>
      <c r="U982" s="211" t="str">
        <f>IF(AND(A982&lt;&gt;"",_xlfn.IFNA(MATCH(A982,'dynamic resource application '!$A$2:$A$100, 0),0)&lt;&gt;0), I982/(IF($E$2="Deployment",E982,1)),"")</f>
        <v/>
      </c>
    </row>
    <row r="983" spans="1:21" ht="15" customHeight="1" x14ac:dyDescent="0.25">
      <c r="A983" s="35" t="str">
        <f>IF(ISNONTEXT(deployment_raw[[#This Row],[Column1]]), "", deployment_raw[[#This Row],[Column1]])</f>
        <v/>
      </c>
      <c r="B983" s="36" t="str">
        <f>IF(ISNONTEXT(deployment_raw[[#This Row],[Column2]]), "", deployment_raw[[#This Row],[Column2]])</f>
        <v/>
      </c>
      <c r="C983" s="36" t="str">
        <f>IF(ISNONTEXT(deployment_raw[[#This Row],[Column3]]), "", deployment_raw[[#This Row],[Column3]])</f>
        <v/>
      </c>
      <c r="D983" s="36" t="str">
        <f>IF(ISNONTEXT(deployment_raw[[#This Row],[Column4]]), "", deployment_raw[[#This Row],[Column4]])</f>
        <v/>
      </c>
      <c r="E983" s="37" t="str">
        <f>IF(ISNUMBER(deployment_raw[[#This Row],[Column5]]), deployment_raw[[#This Row],[Column5]],"")</f>
        <v/>
      </c>
      <c r="F983" s="94" t="str">
        <f>IF(ISNUMBER(deployment_raw[[#This Row],[Column6]]), (deployment_raw[[#This Row],[Column6]] * IF($E$2="Deployment",deployment_raw[[#This Row],[Column5]],1)),"")</f>
        <v/>
      </c>
      <c r="G983" s="95" t="str">
        <f>IF(ISNUMBER(deployment_raw[[#This Row],[Column7]]), (deployment_raw[[#This Row],[Column7]] * IF($E$2="Deployment",deployment_raw[[#This Row],[Column5]],1))/1048576,"")</f>
        <v/>
      </c>
      <c r="H983" s="95" t="str">
        <f>IF(ISNUMBER(deployment_raw[[#This Row],[Column8]]), (deployment_raw[[#This Row],[Column8]]  * IF($E$2="Deployment",deployment_raw[[#This Row],[Column5]],1)),"")</f>
        <v/>
      </c>
      <c r="I983" s="96" t="str">
        <f>IF(ISNUMBER(deployment_raw[[#This Row],[Column9]]), (deployment_raw[[#This Row],[Column9]] * IF($E$2="Deployment",deployment_raw[[#This Row],[Column5]],1))/1048576,"")</f>
        <v/>
      </c>
      <c r="J983" s="122" t="str">
        <f>IF(ISNUMBER(deployment_raw[[#This Row],[Column10]]), (MIN(IF(N983&lt;&gt;"",N983,9999999999999)*1.1,deployment_raw[[#This Row],[Column10]] * IF($E$2="Deployment",deployment_raw[[#This Row],[Column5]],1))),"")</f>
        <v/>
      </c>
      <c r="K983" s="123" t="str">
        <f>IF(ISNUMBER(deployment_raw[[#This Row],[Column11]]), (MIN(IF(O983&lt;&gt;"",O983,9999999999999)*1.1,deployment_raw[[#This Row],[Column11]] * IF($E$2="Deployment",deployment_raw[[#This Row],[Column5]],1)/1048576)),"")</f>
        <v/>
      </c>
      <c r="L983" s="124" t="str">
        <f>IF(ISNUMBER(deployment_raw[[#This Row],[Column8]]),IF(OR(deployment_raw[[#This Row],[Column5]] &lt;&gt; 0,$E$2 &lt;&gt; "Deployment"), MAX(J983, P983, R983, ($L$2 * IF($E$2="Deployment",deployment_raw[[#This Row],[Column5]],1)),IF(T983&lt;&gt;"",VALUE(T983) * IF($E$2="Deployment",deployment_raw[[#This Row],[Column5]],1),0)), 0),"")</f>
        <v/>
      </c>
      <c r="M983" s="125" t="str">
        <f>IF(ISNUMBER(deployment_raw[[#This Row],[Column9]]),IF(OR(deployment_raw[[#This Row],[Column5]] &lt;&gt; 0,$E$2&lt;&gt;"Deployment"), MAX(K983, Q983, S983, ($M$2 * IF($E$2="Deployment",deployment_raw[[#This Row],[Column5]],1)),IF(U983&lt;&gt;"",VALUE(U983) * IF($E$2="Deployment",deployment_raw[[#This Row],[Column5]],1),0)), 0),"")</f>
        <v/>
      </c>
      <c r="N983" s="166" t="str">
        <f>IF(ISNUMBER(deployment_raw[[#This Row],[Column14]]), deployment_raw[[#This Row],[Column14]]/IF(OR($E$2="Deployment",deployment_raw[[#This Row],[Column5]]=0),1,deployment_raw[[#This Row],[Column5]]),"")</f>
        <v/>
      </c>
      <c r="O983" s="167" t="str">
        <f>IF(ISNUMBER(deployment_raw[[#This Row],[Column15]]), deployment_raw[[#This Row],[Column15]]/IF(OR($E$2="Deployment",deployment_raw[[#This Row],[Column5]]=0),1,deployment_raw[[#This Row],[Column5]])/1048576,"")</f>
        <v/>
      </c>
      <c r="P983" s="168" t="str">
        <f>IF(ISNUMBER(deployment_raw[[#This Row],[Column12]]), (MIN(IF(N983&lt;&gt;"",N983,9999999999999)*1.1,deployment_raw[[#This Row],[Column12]] * IF($E$2="Deployment",deployment_raw[[#This Row],[Column5]],1))*(1+$P$2)),"")</f>
        <v/>
      </c>
      <c r="Q983" s="167" t="str">
        <f>IF(ISNUMBER(deployment_raw[[#This Row],[Column13]]), (MIN(IF(O983&lt;&gt;"",O983,9999999999999)*1.1,deployment_raw[[#This Row],[Column13]] * IF($E$2="Deployment",deployment_raw[[#This Row],[Column5]],1)*(1+$Q$2)/1048576)),"")</f>
        <v/>
      </c>
      <c r="R983" s="169" t="str">
        <f>IF(ISNUMBER(deployment_raw[[#This Row],[Column8]]), (H983  * IF(N983&lt;&gt;0,$R$2,1)),"")</f>
        <v/>
      </c>
      <c r="S983" s="170" t="str">
        <f>IF(ISNUMBER(deployment_raw[[#This Row],[Column8]]), (I983  * IF(O983&lt;&gt;0,$S$2,1)),"")</f>
        <v/>
      </c>
      <c r="T983" s="202" t="str">
        <f>IF(AND(A983&lt;&gt;"",_xlfn.IFNA(MATCH(A983,'dynamic resource application '!$A$2:$A$100, 0),0)&lt;&gt;0), H983/(IF($E$2="Deployment",E983,1)),"")</f>
        <v/>
      </c>
      <c r="U983" s="211" t="str">
        <f>IF(AND(A983&lt;&gt;"",_xlfn.IFNA(MATCH(A983,'dynamic resource application '!$A$2:$A$100, 0),0)&lt;&gt;0), I983/(IF($E$2="Deployment",E983,1)),"")</f>
        <v/>
      </c>
    </row>
    <row r="984" spans="1:21" ht="15" customHeight="1" x14ac:dyDescent="0.25">
      <c r="A984" s="35" t="str">
        <f>IF(ISNONTEXT(deployment_raw[[#This Row],[Column1]]), "", deployment_raw[[#This Row],[Column1]])</f>
        <v/>
      </c>
      <c r="B984" s="36" t="str">
        <f>IF(ISNONTEXT(deployment_raw[[#This Row],[Column2]]), "", deployment_raw[[#This Row],[Column2]])</f>
        <v/>
      </c>
      <c r="C984" s="36" t="str">
        <f>IF(ISNONTEXT(deployment_raw[[#This Row],[Column3]]), "", deployment_raw[[#This Row],[Column3]])</f>
        <v/>
      </c>
      <c r="D984" s="36" t="str">
        <f>IF(ISNONTEXT(deployment_raw[[#This Row],[Column4]]), "", deployment_raw[[#This Row],[Column4]])</f>
        <v/>
      </c>
      <c r="E984" s="37" t="str">
        <f>IF(ISNUMBER(deployment_raw[[#This Row],[Column5]]), deployment_raw[[#This Row],[Column5]],"")</f>
        <v/>
      </c>
      <c r="F984" s="94" t="str">
        <f>IF(ISNUMBER(deployment_raw[[#This Row],[Column6]]), (deployment_raw[[#This Row],[Column6]] * IF($E$2="Deployment",deployment_raw[[#This Row],[Column5]],1)),"")</f>
        <v/>
      </c>
      <c r="G984" s="95" t="str">
        <f>IF(ISNUMBER(deployment_raw[[#This Row],[Column7]]), (deployment_raw[[#This Row],[Column7]] * IF($E$2="Deployment",deployment_raw[[#This Row],[Column5]],1))/1048576,"")</f>
        <v/>
      </c>
      <c r="H984" s="95" t="str">
        <f>IF(ISNUMBER(deployment_raw[[#This Row],[Column8]]), (deployment_raw[[#This Row],[Column8]]  * IF($E$2="Deployment",deployment_raw[[#This Row],[Column5]],1)),"")</f>
        <v/>
      </c>
      <c r="I984" s="96" t="str">
        <f>IF(ISNUMBER(deployment_raw[[#This Row],[Column9]]), (deployment_raw[[#This Row],[Column9]] * IF($E$2="Deployment",deployment_raw[[#This Row],[Column5]],1))/1048576,"")</f>
        <v/>
      </c>
      <c r="J984" s="122" t="str">
        <f>IF(ISNUMBER(deployment_raw[[#This Row],[Column10]]), (MIN(IF(N984&lt;&gt;"",N984,9999999999999)*1.1,deployment_raw[[#This Row],[Column10]] * IF($E$2="Deployment",deployment_raw[[#This Row],[Column5]],1))),"")</f>
        <v/>
      </c>
      <c r="K984" s="123" t="str">
        <f>IF(ISNUMBER(deployment_raw[[#This Row],[Column11]]), (MIN(IF(O984&lt;&gt;"",O984,9999999999999)*1.1,deployment_raw[[#This Row],[Column11]] * IF($E$2="Deployment",deployment_raw[[#This Row],[Column5]],1)/1048576)),"")</f>
        <v/>
      </c>
      <c r="L984" s="124" t="str">
        <f>IF(ISNUMBER(deployment_raw[[#This Row],[Column8]]),IF(OR(deployment_raw[[#This Row],[Column5]] &lt;&gt; 0,$E$2 &lt;&gt; "Deployment"), MAX(J984, P984, R984, ($L$2 * IF($E$2="Deployment",deployment_raw[[#This Row],[Column5]],1)),IF(T984&lt;&gt;"",VALUE(T984) * IF($E$2="Deployment",deployment_raw[[#This Row],[Column5]],1),0)), 0),"")</f>
        <v/>
      </c>
      <c r="M984" s="125" t="str">
        <f>IF(ISNUMBER(deployment_raw[[#This Row],[Column9]]),IF(OR(deployment_raw[[#This Row],[Column5]] &lt;&gt; 0,$E$2&lt;&gt;"Deployment"), MAX(K984, Q984, S984, ($M$2 * IF($E$2="Deployment",deployment_raw[[#This Row],[Column5]],1)),IF(U984&lt;&gt;"",VALUE(U984) * IF($E$2="Deployment",deployment_raw[[#This Row],[Column5]],1),0)), 0),"")</f>
        <v/>
      </c>
      <c r="N984" s="166" t="str">
        <f>IF(ISNUMBER(deployment_raw[[#This Row],[Column14]]), deployment_raw[[#This Row],[Column14]]/IF(OR($E$2="Deployment",deployment_raw[[#This Row],[Column5]]=0),1,deployment_raw[[#This Row],[Column5]]),"")</f>
        <v/>
      </c>
      <c r="O984" s="167" t="str">
        <f>IF(ISNUMBER(deployment_raw[[#This Row],[Column15]]), deployment_raw[[#This Row],[Column15]]/IF(OR($E$2="Deployment",deployment_raw[[#This Row],[Column5]]=0),1,deployment_raw[[#This Row],[Column5]])/1048576,"")</f>
        <v/>
      </c>
      <c r="P984" s="168" t="str">
        <f>IF(ISNUMBER(deployment_raw[[#This Row],[Column12]]), (MIN(IF(N984&lt;&gt;"",N984,9999999999999)*1.1,deployment_raw[[#This Row],[Column12]] * IF($E$2="Deployment",deployment_raw[[#This Row],[Column5]],1))*(1+$P$2)),"")</f>
        <v/>
      </c>
      <c r="Q984" s="167" t="str">
        <f>IF(ISNUMBER(deployment_raw[[#This Row],[Column13]]), (MIN(IF(O984&lt;&gt;"",O984,9999999999999)*1.1,deployment_raw[[#This Row],[Column13]] * IF($E$2="Deployment",deployment_raw[[#This Row],[Column5]],1)*(1+$Q$2)/1048576)),"")</f>
        <v/>
      </c>
      <c r="R984" s="169" t="str">
        <f>IF(ISNUMBER(deployment_raw[[#This Row],[Column8]]), (H984  * IF(N984&lt;&gt;0,$R$2,1)),"")</f>
        <v/>
      </c>
      <c r="S984" s="170" t="str">
        <f>IF(ISNUMBER(deployment_raw[[#This Row],[Column8]]), (I984  * IF(O984&lt;&gt;0,$S$2,1)),"")</f>
        <v/>
      </c>
      <c r="T984" s="202" t="str">
        <f>IF(AND(A984&lt;&gt;"",_xlfn.IFNA(MATCH(A984,'dynamic resource application '!$A$2:$A$100, 0),0)&lt;&gt;0), H984/(IF($E$2="Deployment",E984,1)),"")</f>
        <v/>
      </c>
      <c r="U984" s="211" t="str">
        <f>IF(AND(A984&lt;&gt;"",_xlfn.IFNA(MATCH(A984,'dynamic resource application '!$A$2:$A$100, 0),0)&lt;&gt;0), I984/(IF($E$2="Deployment",E984,1)),"")</f>
        <v/>
      </c>
    </row>
    <row r="985" spans="1:21" ht="15" customHeight="1" x14ac:dyDescent="0.25">
      <c r="A985" s="35" t="str">
        <f>IF(ISNONTEXT(deployment_raw[[#This Row],[Column1]]), "", deployment_raw[[#This Row],[Column1]])</f>
        <v/>
      </c>
      <c r="B985" s="36" t="str">
        <f>IF(ISNONTEXT(deployment_raw[[#This Row],[Column2]]), "", deployment_raw[[#This Row],[Column2]])</f>
        <v/>
      </c>
      <c r="C985" s="36" t="str">
        <f>IF(ISNONTEXT(deployment_raw[[#This Row],[Column3]]), "", deployment_raw[[#This Row],[Column3]])</f>
        <v/>
      </c>
      <c r="D985" s="36" t="str">
        <f>IF(ISNONTEXT(deployment_raw[[#This Row],[Column4]]), "", deployment_raw[[#This Row],[Column4]])</f>
        <v/>
      </c>
      <c r="E985" s="37" t="str">
        <f>IF(ISNUMBER(deployment_raw[[#This Row],[Column5]]), deployment_raw[[#This Row],[Column5]],"")</f>
        <v/>
      </c>
      <c r="F985" s="94" t="str">
        <f>IF(ISNUMBER(deployment_raw[[#This Row],[Column6]]), (deployment_raw[[#This Row],[Column6]] * IF($E$2="Deployment",deployment_raw[[#This Row],[Column5]],1)),"")</f>
        <v/>
      </c>
      <c r="G985" s="95" t="str">
        <f>IF(ISNUMBER(deployment_raw[[#This Row],[Column7]]), (deployment_raw[[#This Row],[Column7]] * IF($E$2="Deployment",deployment_raw[[#This Row],[Column5]],1))/1048576,"")</f>
        <v/>
      </c>
      <c r="H985" s="95" t="str">
        <f>IF(ISNUMBER(deployment_raw[[#This Row],[Column8]]), (deployment_raw[[#This Row],[Column8]]  * IF($E$2="Deployment",deployment_raw[[#This Row],[Column5]],1)),"")</f>
        <v/>
      </c>
      <c r="I985" s="96" t="str">
        <f>IF(ISNUMBER(deployment_raw[[#This Row],[Column9]]), (deployment_raw[[#This Row],[Column9]] * IF($E$2="Deployment",deployment_raw[[#This Row],[Column5]],1))/1048576,"")</f>
        <v/>
      </c>
      <c r="J985" s="122" t="str">
        <f>IF(ISNUMBER(deployment_raw[[#This Row],[Column10]]), (MIN(IF(N985&lt;&gt;"",N985,9999999999999)*1.1,deployment_raw[[#This Row],[Column10]] * IF($E$2="Deployment",deployment_raw[[#This Row],[Column5]],1))),"")</f>
        <v/>
      </c>
      <c r="K985" s="123" t="str">
        <f>IF(ISNUMBER(deployment_raw[[#This Row],[Column11]]), (MIN(IF(O985&lt;&gt;"",O985,9999999999999)*1.1,deployment_raw[[#This Row],[Column11]] * IF($E$2="Deployment",deployment_raw[[#This Row],[Column5]],1)/1048576)),"")</f>
        <v/>
      </c>
      <c r="L985" s="124" t="str">
        <f>IF(ISNUMBER(deployment_raw[[#This Row],[Column8]]),IF(OR(deployment_raw[[#This Row],[Column5]] &lt;&gt; 0,$E$2 &lt;&gt; "Deployment"), MAX(J985, P985, R985, ($L$2 * IF($E$2="Deployment",deployment_raw[[#This Row],[Column5]],1)),IF(T985&lt;&gt;"",VALUE(T985) * IF($E$2="Deployment",deployment_raw[[#This Row],[Column5]],1),0)), 0),"")</f>
        <v/>
      </c>
      <c r="M985" s="125" t="str">
        <f>IF(ISNUMBER(deployment_raw[[#This Row],[Column9]]),IF(OR(deployment_raw[[#This Row],[Column5]] &lt;&gt; 0,$E$2&lt;&gt;"Deployment"), MAX(K985, Q985, S985, ($M$2 * IF($E$2="Deployment",deployment_raw[[#This Row],[Column5]],1)),IF(U985&lt;&gt;"",VALUE(U985) * IF($E$2="Deployment",deployment_raw[[#This Row],[Column5]],1),0)), 0),"")</f>
        <v/>
      </c>
      <c r="N985" s="166" t="str">
        <f>IF(ISNUMBER(deployment_raw[[#This Row],[Column14]]), deployment_raw[[#This Row],[Column14]]/IF(OR($E$2="Deployment",deployment_raw[[#This Row],[Column5]]=0),1,deployment_raw[[#This Row],[Column5]]),"")</f>
        <v/>
      </c>
      <c r="O985" s="167" t="str">
        <f>IF(ISNUMBER(deployment_raw[[#This Row],[Column15]]), deployment_raw[[#This Row],[Column15]]/IF(OR($E$2="Deployment",deployment_raw[[#This Row],[Column5]]=0),1,deployment_raw[[#This Row],[Column5]])/1048576,"")</f>
        <v/>
      </c>
      <c r="P985" s="168" t="str">
        <f>IF(ISNUMBER(deployment_raw[[#This Row],[Column12]]), (MIN(IF(N985&lt;&gt;"",N985,9999999999999)*1.1,deployment_raw[[#This Row],[Column12]] * IF($E$2="Deployment",deployment_raw[[#This Row],[Column5]],1))*(1+$P$2)),"")</f>
        <v/>
      </c>
      <c r="Q985" s="167" t="str">
        <f>IF(ISNUMBER(deployment_raw[[#This Row],[Column13]]), (MIN(IF(O985&lt;&gt;"",O985,9999999999999)*1.1,deployment_raw[[#This Row],[Column13]] * IF($E$2="Deployment",deployment_raw[[#This Row],[Column5]],1)*(1+$Q$2)/1048576)),"")</f>
        <v/>
      </c>
      <c r="R985" s="169" t="str">
        <f>IF(ISNUMBER(deployment_raw[[#This Row],[Column8]]), (H985  * IF(N985&lt;&gt;0,$R$2,1)),"")</f>
        <v/>
      </c>
      <c r="S985" s="170" t="str">
        <f>IF(ISNUMBER(deployment_raw[[#This Row],[Column8]]), (I985  * IF(O985&lt;&gt;0,$S$2,1)),"")</f>
        <v/>
      </c>
      <c r="T985" s="202" t="str">
        <f>IF(AND(A985&lt;&gt;"",_xlfn.IFNA(MATCH(A985,'dynamic resource application '!$A$2:$A$100, 0),0)&lt;&gt;0), H985/(IF($E$2="Deployment",E985,1)),"")</f>
        <v/>
      </c>
      <c r="U985" s="211" t="str">
        <f>IF(AND(A985&lt;&gt;"",_xlfn.IFNA(MATCH(A985,'dynamic resource application '!$A$2:$A$100, 0),0)&lt;&gt;0), I985/(IF($E$2="Deployment",E985,1)),"")</f>
        <v/>
      </c>
    </row>
    <row r="986" spans="1:21" ht="15" customHeight="1" x14ac:dyDescent="0.25">
      <c r="A986" s="35" t="str">
        <f>IF(ISNONTEXT(deployment_raw[[#This Row],[Column1]]), "", deployment_raw[[#This Row],[Column1]])</f>
        <v/>
      </c>
      <c r="B986" s="36" t="str">
        <f>IF(ISNONTEXT(deployment_raw[[#This Row],[Column2]]), "", deployment_raw[[#This Row],[Column2]])</f>
        <v/>
      </c>
      <c r="C986" s="36" t="str">
        <f>IF(ISNONTEXT(deployment_raw[[#This Row],[Column3]]), "", deployment_raw[[#This Row],[Column3]])</f>
        <v/>
      </c>
      <c r="D986" s="36" t="str">
        <f>IF(ISNONTEXT(deployment_raw[[#This Row],[Column4]]), "", deployment_raw[[#This Row],[Column4]])</f>
        <v/>
      </c>
      <c r="E986" s="37" t="str">
        <f>IF(ISNUMBER(deployment_raw[[#This Row],[Column5]]), deployment_raw[[#This Row],[Column5]],"")</f>
        <v/>
      </c>
      <c r="F986" s="94" t="str">
        <f>IF(ISNUMBER(deployment_raw[[#This Row],[Column6]]), (deployment_raw[[#This Row],[Column6]] * IF($E$2="Deployment",deployment_raw[[#This Row],[Column5]],1)),"")</f>
        <v/>
      </c>
      <c r="G986" s="95" t="str">
        <f>IF(ISNUMBER(deployment_raw[[#This Row],[Column7]]), (deployment_raw[[#This Row],[Column7]] * IF($E$2="Deployment",deployment_raw[[#This Row],[Column5]],1))/1048576,"")</f>
        <v/>
      </c>
      <c r="H986" s="95" t="str">
        <f>IF(ISNUMBER(deployment_raw[[#This Row],[Column8]]), (deployment_raw[[#This Row],[Column8]]  * IF($E$2="Deployment",deployment_raw[[#This Row],[Column5]],1)),"")</f>
        <v/>
      </c>
      <c r="I986" s="96" t="str">
        <f>IF(ISNUMBER(deployment_raw[[#This Row],[Column9]]), (deployment_raw[[#This Row],[Column9]] * IF($E$2="Deployment",deployment_raw[[#This Row],[Column5]],1))/1048576,"")</f>
        <v/>
      </c>
      <c r="J986" s="122" t="str">
        <f>IF(ISNUMBER(deployment_raw[[#This Row],[Column10]]), (MIN(IF(N986&lt;&gt;"",N986,9999999999999)*1.1,deployment_raw[[#This Row],[Column10]] * IF($E$2="Deployment",deployment_raw[[#This Row],[Column5]],1))),"")</f>
        <v/>
      </c>
      <c r="K986" s="123" t="str">
        <f>IF(ISNUMBER(deployment_raw[[#This Row],[Column11]]), (MIN(IF(O986&lt;&gt;"",O986,9999999999999)*1.1,deployment_raw[[#This Row],[Column11]] * IF($E$2="Deployment",deployment_raw[[#This Row],[Column5]],1)/1048576)),"")</f>
        <v/>
      </c>
      <c r="L986" s="124" t="str">
        <f>IF(ISNUMBER(deployment_raw[[#This Row],[Column8]]),IF(OR(deployment_raw[[#This Row],[Column5]] &lt;&gt; 0,$E$2 &lt;&gt; "Deployment"), MAX(J986, P986, R986, ($L$2 * IF($E$2="Deployment",deployment_raw[[#This Row],[Column5]],1)),IF(T986&lt;&gt;"",VALUE(T986) * IF($E$2="Deployment",deployment_raw[[#This Row],[Column5]],1),0)), 0),"")</f>
        <v/>
      </c>
      <c r="M986" s="125" t="str">
        <f>IF(ISNUMBER(deployment_raw[[#This Row],[Column9]]),IF(OR(deployment_raw[[#This Row],[Column5]] &lt;&gt; 0,$E$2&lt;&gt;"Deployment"), MAX(K986, Q986, S986, ($M$2 * IF($E$2="Deployment",deployment_raw[[#This Row],[Column5]],1)),IF(U986&lt;&gt;"",VALUE(U986) * IF($E$2="Deployment",deployment_raw[[#This Row],[Column5]],1),0)), 0),"")</f>
        <v/>
      </c>
      <c r="N986" s="166" t="str">
        <f>IF(ISNUMBER(deployment_raw[[#This Row],[Column14]]), deployment_raw[[#This Row],[Column14]]/IF(OR($E$2="Deployment",deployment_raw[[#This Row],[Column5]]=0),1,deployment_raw[[#This Row],[Column5]]),"")</f>
        <v/>
      </c>
      <c r="O986" s="167" t="str">
        <f>IF(ISNUMBER(deployment_raw[[#This Row],[Column15]]), deployment_raw[[#This Row],[Column15]]/IF(OR($E$2="Deployment",deployment_raw[[#This Row],[Column5]]=0),1,deployment_raw[[#This Row],[Column5]])/1048576,"")</f>
        <v/>
      </c>
      <c r="P986" s="168" t="str">
        <f>IF(ISNUMBER(deployment_raw[[#This Row],[Column12]]), (MIN(IF(N986&lt;&gt;"",N986,9999999999999)*1.1,deployment_raw[[#This Row],[Column12]] * IF($E$2="Deployment",deployment_raw[[#This Row],[Column5]],1))*(1+$P$2)),"")</f>
        <v/>
      </c>
      <c r="Q986" s="167" t="str">
        <f>IF(ISNUMBER(deployment_raw[[#This Row],[Column13]]), (MIN(IF(O986&lt;&gt;"",O986,9999999999999)*1.1,deployment_raw[[#This Row],[Column13]] * IF($E$2="Deployment",deployment_raw[[#This Row],[Column5]],1)*(1+$Q$2)/1048576)),"")</f>
        <v/>
      </c>
      <c r="R986" s="169" t="str">
        <f>IF(ISNUMBER(deployment_raw[[#This Row],[Column8]]), (H986  * IF(N986&lt;&gt;0,$R$2,1)),"")</f>
        <v/>
      </c>
      <c r="S986" s="170" t="str">
        <f>IF(ISNUMBER(deployment_raw[[#This Row],[Column8]]), (I986  * IF(O986&lt;&gt;0,$S$2,1)),"")</f>
        <v/>
      </c>
      <c r="T986" s="202" t="str">
        <f>IF(AND(A986&lt;&gt;"",_xlfn.IFNA(MATCH(A986,'dynamic resource application '!$A$2:$A$100, 0),0)&lt;&gt;0), H986/(IF($E$2="Deployment",E986,1)),"")</f>
        <v/>
      </c>
      <c r="U986" s="211" t="str">
        <f>IF(AND(A986&lt;&gt;"",_xlfn.IFNA(MATCH(A986,'dynamic resource application '!$A$2:$A$100, 0),0)&lt;&gt;0), I986/(IF($E$2="Deployment",E986,1)),"")</f>
        <v/>
      </c>
    </row>
    <row r="987" spans="1:21" ht="15" customHeight="1" x14ac:dyDescent="0.25">
      <c r="A987" s="35" t="str">
        <f>IF(ISNONTEXT(deployment_raw[[#This Row],[Column1]]), "", deployment_raw[[#This Row],[Column1]])</f>
        <v/>
      </c>
      <c r="B987" s="36" t="str">
        <f>IF(ISNONTEXT(deployment_raw[[#This Row],[Column2]]), "", deployment_raw[[#This Row],[Column2]])</f>
        <v/>
      </c>
      <c r="C987" s="36" t="str">
        <f>IF(ISNONTEXT(deployment_raw[[#This Row],[Column3]]), "", deployment_raw[[#This Row],[Column3]])</f>
        <v/>
      </c>
      <c r="D987" s="36" t="str">
        <f>IF(ISNONTEXT(deployment_raw[[#This Row],[Column4]]), "", deployment_raw[[#This Row],[Column4]])</f>
        <v/>
      </c>
      <c r="E987" s="37" t="str">
        <f>IF(ISNUMBER(deployment_raw[[#This Row],[Column5]]), deployment_raw[[#This Row],[Column5]],"")</f>
        <v/>
      </c>
      <c r="F987" s="94" t="str">
        <f>IF(ISNUMBER(deployment_raw[[#This Row],[Column6]]), (deployment_raw[[#This Row],[Column6]] * IF($E$2="Deployment",deployment_raw[[#This Row],[Column5]],1)),"")</f>
        <v/>
      </c>
      <c r="G987" s="95" t="str">
        <f>IF(ISNUMBER(deployment_raw[[#This Row],[Column7]]), (deployment_raw[[#This Row],[Column7]] * IF($E$2="Deployment",deployment_raw[[#This Row],[Column5]],1))/1048576,"")</f>
        <v/>
      </c>
      <c r="H987" s="95" t="str">
        <f>IF(ISNUMBER(deployment_raw[[#This Row],[Column8]]), (deployment_raw[[#This Row],[Column8]]  * IF($E$2="Deployment",deployment_raw[[#This Row],[Column5]],1)),"")</f>
        <v/>
      </c>
      <c r="I987" s="96" t="str">
        <f>IF(ISNUMBER(deployment_raw[[#This Row],[Column9]]), (deployment_raw[[#This Row],[Column9]] * IF($E$2="Deployment",deployment_raw[[#This Row],[Column5]],1))/1048576,"")</f>
        <v/>
      </c>
      <c r="J987" s="122" t="str">
        <f>IF(ISNUMBER(deployment_raw[[#This Row],[Column10]]), (MIN(IF(N987&lt;&gt;"",N987,9999999999999)*1.1,deployment_raw[[#This Row],[Column10]] * IF($E$2="Deployment",deployment_raw[[#This Row],[Column5]],1))),"")</f>
        <v/>
      </c>
      <c r="K987" s="123" t="str">
        <f>IF(ISNUMBER(deployment_raw[[#This Row],[Column11]]), (MIN(IF(O987&lt;&gt;"",O987,9999999999999)*1.1,deployment_raw[[#This Row],[Column11]] * IF($E$2="Deployment",deployment_raw[[#This Row],[Column5]],1)/1048576)),"")</f>
        <v/>
      </c>
      <c r="L987" s="124" t="str">
        <f>IF(ISNUMBER(deployment_raw[[#This Row],[Column8]]),IF(OR(deployment_raw[[#This Row],[Column5]] &lt;&gt; 0,$E$2 &lt;&gt; "Deployment"), MAX(J987, P987, R987, ($L$2 * IF($E$2="Deployment",deployment_raw[[#This Row],[Column5]],1)),IF(T987&lt;&gt;"",VALUE(T987) * IF($E$2="Deployment",deployment_raw[[#This Row],[Column5]],1),0)), 0),"")</f>
        <v/>
      </c>
      <c r="M987" s="125" t="str">
        <f>IF(ISNUMBER(deployment_raw[[#This Row],[Column9]]),IF(OR(deployment_raw[[#This Row],[Column5]] &lt;&gt; 0,$E$2&lt;&gt;"Deployment"), MAX(K987, Q987, S987, ($M$2 * IF($E$2="Deployment",deployment_raw[[#This Row],[Column5]],1)),IF(U987&lt;&gt;"",VALUE(U987) * IF($E$2="Deployment",deployment_raw[[#This Row],[Column5]],1),0)), 0),"")</f>
        <v/>
      </c>
      <c r="N987" s="166" t="str">
        <f>IF(ISNUMBER(deployment_raw[[#This Row],[Column14]]), deployment_raw[[#This Row],[Column14]]/IF(OR($E$2="Deployment",deployment_raw[[#This Row],[Column5]]=0),1,deployment_raw[[#This Row],[Column5]]),"")</f>
        <v/>
      </c>
      <c r="O987" s="167" t="str">
        <f>IF(ISNUMBER(deployment_raw[[#This Row],[Column15]]), deployment_raw[[#This Row],[Column15]]/IF(OR($E$2="Deployment",deployment_raw[[#This Row],[Column5]]=0),1,deployment_raw[[#This Row],[Column5]])/1048576,"")</f>
        <v/>
      </c>
      <c r="P987" s="168" t="str">
        <f>IF(ISNUMBER(deployment_raw[[#This Row],[Column12]]), (MIN(IF(N987&lt;&gt;"",N987,9999999999999)*1.1,deployment_raw[[#This Row],[Column12]] * IF($E$2="Deployment",deployment_raw[[#This Row],[Column5]],1))*(1+$P$2)),"")</f>
        <v/>
      </c>
      <c r="Q987" s="167" t="str">
        <f>IF(ISNUMBER(deployment_raw[[#This Row],[Column13]]), (MIN(IF(O987&lt;&gt;"",O987,9999999999999)*1.1,deployment_raw[[#This Row],[Column13]] * IF($E$2="Deployment",deployment_raw[[#This Row],[Column5]],1)*(1+$Q$2)/1048576)),"")</f>
        <v/>
      </c>
      <c r="R987" s="169" t="str">
        <f>IF(ISNUMBER(deployment_raw[[#This Row],[Column8]]), (H987  * IF(N987&lt;&gt;0,$R$2,1)),"")</f>
        <v/>
      </c>
      <c r="S987" s="170" t="str">
        <f>IF(ISNUMBER(deployment_raw[[#This Row],[Column8]]), (I987  * IF(O987&lt;&gt;0,$S$2,1)),"")</f>
        <v/>
      </c>
      <c r="T987" s="202" t="str">
        <f>IF(AND(A987&lt;&gt;"",_xlfn.IFNA(MATCH(A987,'dynamic resource application '!$A$2:$A$100, 0),0)&lt;&gt;0), H987/(IF($E$2="Deployment",E987,1)),"")</f>
        <v/>
      </c>
      <c r="U987" s="211" t="str">
        <f>IF(AND(A987&lt;&gt;"",_xlfn.IFNA(MATCH(A987,'dynamic resource application '!$A$2:$A$100, 0),0)&lt;&gt;0), I987/(IF($E$2="Deployment",E987,1)),"")</f>
        <v/>
      </c>
    </row>
    <row r="988" spans="1:21" ht="15" customHeight="1" x14ac:dyDescent="0.25">
      <c r="A988" s="35" t="str">
        <f>IF(ISNONTEXT(deployment_raw[[#This Row],[Column1]]), "", deployment_raw[[#This Row],[Column1]])</f>
        <v/>
      </c>
      <c r="B988" s="36" t="str">
        <f>IF(ISNONTEXT(deployment_raw[[#This Row],[Column2]]), "", deployment_raw[[#This Row],[Column2]])</f>
        <v/>
      </c>
      <c r="C988" s="36" t="str">
        <f>IF(ISNONTEXT(deployment_raw[[#This Row],[Column3]]), "", deployment_raw[[#This Row],[Column3]])</f>
        <v/>
      </c>
      <c r="D988" s="36" t="str">
        <f>IF(ISNONTEXT(deployment_raw[[#This Row],[Column4]]), "", deployment_raw[[#This Row],[Column4]])</f>
        <v/>
      </c>
      <c r="E988" s="37" t="str">
        <f>IF(ISNUMBER(deployment_raw[[#This Row],[Column5]]), deployment_raw[[#This Row],[Column5]],"")</f>
        <v/>
      </c>
      <c r="F988" s="94" t="str">
        <f>IF(ISNUMBER(deployment_raw[[#This Row],[Column6]]), (deployment_raw[[#This Row],[Column6]] * IF($E$2="Deployment",deployment_raw[[#This Row],[Column5]],1)),"")</f>
        <v/>
      </c>
      <c r="G988" s="95" t="str">
        <f>IF(ISNUMBER(deployment_raw[[#This Row],[Column7]]), (deployment_raw[[#This Row],[Column7]] * IF($E$2="Deployment",deployment_raw[[#This Row],[Column5]],1))/1048576,"")</f>
        <v/>
      </c>
      <c r="H988" s="95" t="str">
        <f>IF(ISNUMBER(deployment_raw[[#This Row],[Column8]]), (deployment_raw[[#This Row],[Column8]]  * IF($E$2="Deployment",deployment_raw[[#This Row],[Column5]],1)),"")</f>
        <v/>
      </c>
      <c r="I988" s="96" t="str">
        <f>IF(ISNUMBER(deployment_raw[[#This Row],[Column9]]), (deployment_raw[[#This Row],[Column9]] * IF($E$2="Deployment",deployment_raw[[#This Row],[Column5]],1))/1048576,"")</f>
        <v/>
      </c>
      <c r="J988" s="122" t="str">
        <f>IF(ISNUMBER(deployment_raw[[#This Row],[Column10]]), (MIN(IF(N988&lt;&gt;"",N988,9999999999999)*1.1,deployment_raw[[#This Row],[Column10]] * IF($E$2="Deployment",deployment_raw[[#This Row],[Column5]],1))),"")</f>
        <v/>
      </c>
      <c r="K988" s="123" t="str">
        <f>IF(ISNUMBER(deployment_raw[[#This Row],[Column11]]), (MIN(IF(O988&lt;&gt;"",O988,9999999999999)*1.1,deployment_raw[[#This Row],[Column11]] * IF($E$2="Deployment",deployment_raw[[#This Row],[Column5]],1)/1048576)),"")</f>
        <v/>
      </c>
      <c r="L988" s="124" t="str">
        <f>IF(ISNUMBER(deployment_raw[[#This Row],[Column8]]),IF(OR(deployment_raw[[#This Row],[Column5]] &lt;&gt; 0,$E$2 &lt;&gt; "Deployment"), MAX(J988, P988, R988, ($L$2 * IF($E$2="Deployment",deployment_raw[[#This Row],[Column5]],1)),IF(T988&lt;&gt;"",VALUE(T988) * IF($E$2="Deployment",deployment_raw[[#This Row],[Column5]],1),0)), 0),"")</f>
        <v/>
      </c>
      <c r="M988" s="125" t="str">
        <f>IF(ISNUMBER(deployment_raw[[#This Row],[Column9]]),IF(OR(deployment_raw[[#This Row],[Column5]] &lt;&gt; 0,$E$2&lt;&gt;"Deployment"), MAX(K988, Q988, S988, ($M$2 * IF($E$2="Deployment",deployment_raw[[#This Row],[Column5]],1)),IF(U988&lt;&gt;"",VALUE(U988) * IF($E$2="Deployment",deployment_raw[[#This Row],[Column5]],1),0)), 0),"")</f>
        <v/>
      </c>
      <c r="N988" s="166" t="str">
        <f>IF(ISNUMBER(deployment_raw[[#This Row],[Column14]]), deployment_raw[[#This Row],[Column14]]/IF(OR($E$2="Deployment",deployment_raw[[#This Row],[Column5]]=0),1,deployment_raw[[#This Row],[Column5]]),"")</f>
        <v/>
      </c>
      <c r="O988" s="167" t="str">
        <f>IF(ISNUMBER(deployment_raw[[#This Row],[Column15]]), deployment_raw[[#This Row],[Column15]]/IF(OR($E$2="Deployment",deployment_raw[[#This Row],[Column5]]=0),1,deployment_raw[[#This Row],[Column5]])/1048576,"")</f>
        <v/>
      </c>
      <c r="P988" s="168" t="str">
        <f>IF(ISNUMBER(deployment_raw[[#This Row],[Column12]]), (MIN(IF(N988&lt;&gt;"",N988,9999999999999)*1.1,deployment_raw[[#This Row],[Column12]] * IF($E$2="Deployment",deployment_raw[[#This Row],[Column5]],1))*(1+$P$2)),"")</f>
        <v/>
      </c>
      <c r="Q988" s="167" t="str">
        <f>IF(ISNUMBER(deployment_raw[[#This Row],[Column13]]), (MIN(IF(O988&lt;&gt;"",O988,9999999999999)*1.1,deployment_raw[[#This Row],[Column13]] * IF($E$2="Deployment",deployment_raw[[#This Row],[Column5]],1)*(1+$Q$2)/1048576)),"")</f>
        <v/>
      </c>
      <c r="R988" s="169" t="str">
        <f>IF(ISNUMBER(deployment_raw[[#This Row],[Column8]]), (H988  * IF(N988&lt;&gt;0,$R$2,1)),"")</f>
        <v/>
      </c>
      <c r="S988" s="170" t="str">
        <f>IF(ISNUMBER(deployment_raw[[#This Row],[Column8]]), (I988  * IF(O988&lt;&gt;0,$S$2,1)),"")</f>
        <v/>
      </c>
      <c r="T988" s="202" t="str">
        <f>IF(AND(A988&lt;&gt;"",_xlfn.IFNA(MATCH(A988,'dynamic resource application '!$A$2:$A$100, 0),0)&lt;&gt;0), H988/(IF($E$2="Deployment",E988,1)),"")</f>
        <v/>
      </c>
      <c r="U988" s="211" t="str">
        <f>IF(AND(A988&lt;&gt;"",_xlfn.IFNA(MATCH(A988,'dynamic resource application '!$A$2:$A$100, 0),0)&lt;&gt;0), I988/(IF($E$2="Deployment",E988,1)),"")</f>
        <v/>
      </c>
    </row>
    <row r="989" spans="1:21" ht="15" customHeight="1" x14ac:dyDescent="0.25">
      <c r="A989" s="35" t="str">
        <f>IF(ISNONTEXT(deployment_raw[[#This Row],[Column1]]), "", deployment_raw[[#This Row],[Column1]])</f>
        <v/>
      </c>
      <c r="B989" s="36" t="str">
        <f>IF(ISNONTEXT(deployment_raw[[#This Row],[Column2]]), "", deployment_raw[[#This Row],[Column2]])</f>
        <v/>
      </c>
      <c r="C989" s="36" t="str">
        <f>IF(ISNONTEXT(deployment_raw[[#This Row],[Column3]]), "", deployment_raw[[#This Row],[Column3]])</f>
        <v/>
      </c>
      <c r="D989" s="36" t="str">
        <f>IF(ISNONTEXT(deployment_raw[[#This Row],[Column4]]), "", deployment_raw[[#This Row],[Column4]])</f>
        <v/>
      </c>
      <c r="E989" s="37" t="str">
        <f>IF(ISNUMBER(deployment_raw[[#This Row],[Column5]]), deployment_raw[[#This Row],[Column5]],"")</f>
        <v/>
      </c>
      <c r="F989" s="94" t="str">
        <f>IF(ISNUMBER(deployment_raw[[#This Row],[Column6]]), (deployment_raw[[#This Row],[Column6]] * IF($E$2="Deployment",deployment_raw[[#This Row],[Column5]],1)),"")</f>
        <v/>
      </c>
      <c r="G989" s="95" t="str">
        <f>IF(ISNUMBER(deployment_raw[[#This Row],[Column7]]), (deployment_raw[[#This Row],[Column7]] * IF($E$2="Deployment",deployment_raw[[#This Row],[Column5]],1))/1048576,"")</f>
        <v/>
      </c>
      <c r="H989" s="95" t="str">
        <f>IF(ISNUMBER(deployment_raw[[#This Row],[Column8]]), (deployment_raw[[#This Row],[Column8]]  * IF($E$2="Deployment",deployment_raw[[#This Row],[Column5]],1)),"")</f>
        <v/>
      </c>
      <c r="I989" s="96" t="str">
        <f>IF(ISNUMBER(deployment_raw[[#This Row],[Column9]]), (deployment_raw[[#This Row],[Column9]] * IF($E$2="Deployment",deployment_raw[[#This Row],[Column5]],1))/1048576,"")</f>
        <v/>
      </c>
      <c r="J989" s="122" t="str">
        <f>IF(ISNUMBER(deployment_raw[[#This Row],[Column10]]), (MIN(IF(N989&lt;&gt;"",N989,9999999999999)*1.1,deployment_raw[[#This Row],[Column10]] * IF($E$2="Deployment",deployment_raw[[#This Row],[Column5]],1))),"")</f>
        <v/>
      </c>
      <c r="K989" s="123" t="str">
        <f>IF(ISNUMBER(deployment_raw[[#This Row],[Column11]]), (MIN(IF(O989&lt;&gt;"",O989,9999999999999)*1.1,deployment_raw[[#This Row],[Column11]] * IF($E$2="Deployment",deployment_raw[[#This Row],[Column5]],1)/1048576)),"")</f>
        <v/>
      </c>
      <c r="L989" s="124" t="str">
        <f>IF(ISNUMBER(deployment_raw[[#This Row],[Column8]]),IF(OR(deployment_raw[[#This Row],[Column5]] &lt;&gt; 0,$E$2 &lt;&gt; "Deployment"), MAX(J989, P989, R989, ($L$2 * IF($E$2="Deployment",deployment_raw[[#This Row],[Column5]],1)),IF(T989&lt;&gt;"",VALUE(T989) * IF($E$2="Deployment",deployment_raw[[#This Row],[Column5]],1),0)), 0),"")</f>
        <v/>
      </c>
      <c r="M989" s="125" t="str">
        <f>IF(ISNUMBER(deployment_raw[[#This Row],[Column9]]),IF(OR(deployment_raw[[#This Row],[Column5]] &lt;&gt; 0,$E$2&lt;&gt;"Deployment"), MAX(K989, Q989, S989, ($M$2 * IF($E$2="Deployment",deployment_raw[[#This Row],[Column5]],1)),IF(U989&lt;&gt;"",VALUE(U989) * IF($E$2="Deployment",deployment_raw[[#This Row],[Column5]],1),0)), 0),"")</f>
        <v/>
      </c>
      <c r="N989" s="166" t="str">
        <f>IF(ISNUMBER(deployment_raw[[#This Row],[Column14]]), deployment_raw[[#This Row],[Column14]]/IF(OR($E$2="Deployment",deployment_raw[[#This Row],[Column5]]=0),1,deployment_raw[[#This Row],[Column5]]),"")</f>
        <v/>
      </c>
      <c r="O989" s="167" t="str">
        <f>IF(ISNUMBER(deployment_raw[[#This Row],[Column15]]), deployment_raw[[#This Row],[Column15]]/IF(OR($E$2="Deployment",deployment_raw[[#This Row],[Column5]]=0),1,deployment_raw[[#This Row],[Column5]])/1048576,"")</f>
        <v/>
      </c>
      <c r="P989" s="168" t="str">
        <f>IF(ISNUMBER(deployment_raw[[#This Row],[Column12]]), (MIN(IF(N989&lt;&gt;"",N989,9999999999999)*1.1,deployment_raw[[#This Row],[Column12]] * IF($E$2="Deployment",deployment_raw[[#This Row],[Column5]],1))*(1+$P$2)),"")</f>
        <v/>
      </c>
      <c r="Q989" s="167" t="str">
        <f>IF(ISNUMBER(deployment_raw[[#This Row],[Column13]]), (MIN(IF(O989&lt;&gt;"",O989,9999999999999)*1.1,deployment_raw[[#This Row],[Column13]] * IF($E$2="Deployment",deployment_raw[[#This Row],[Column5]],1)*(1+$Q$2)/1048576)),"")</f>
        <v/>
      </c>
      <c r="R989" s="169" t="str">
        <f>IF(ISNUMBER(deployment_raw[[#This Row],[Column8]]), (H989  * IF(N989&lt;&gt;0,$R$2,1)),"")</f>
        <v/>
      </c>
      <c r="S989" s="170" t="str">
        <f>IF(ISNUMBER(deployment_raw[[#This Row],[Column8]]), (I989  * IF(O989&lt;&gt;0,$S$2,1)),"")</f>
        <v/>
      </c>
      <c r="T989" s="202" t="str">
        <f>IF(AND(A989&lt;&gt;"",_xlfn.IFNA(MATCH(A989,'dynamic resource application '!$A$2:$A$100, 0),0)&lt;&gt;0), H989/(IF($E$2="Deployment",E989,1)),"")</f>
        <v/>
      </c>
      <c r="U989" s="211" t="str">
        <f>IF(AND(A989&lt;&gt;"",_xlfn.IFNA(MATCH(A989,'dynamic resource application '!$A$2:$A$100, 0),0)&lt;&gt;0), I989/(IF($E$2="Deployment",E989,1)),"")</f>
        <v/>
      </c>
    </row>
    <row r="990" spans="1:21" ht="15" customHeight="1" x14ac:dyDescent="0.25">
      <c r="A990" s="35" t="str">
        <f>IF(ISNONTEXT(deployment_raw[[#This Row],[Column1]]), "", deployment_raw[[#This Row],[Column1]])</f>
        <v/>
      </c>
      <c r="B990" s="36" t="str">
        <f>IF(ISNONTEXT(deployment_raw[[#This Row],[Column2]]), "", deployment_raw[[#This Row],[Column2]])</f>
        <v/>
      </c>
      <c r="C990" s="36" t="str">
        <f>IF(ISNONTEXT(deployment_raw[[#This Row],[Column3]]), "", deployment_raw[[#This Row],[Column3]])</f>
        <v/>
      </c>
      <c r="D990" s="36" t="str">
        <f>IF(ISNONTEXT(deployment_raw[[#This Row],[Column4]]), "", deployment_raw[[#This Row],[Column4]])</f>
        <v/>
      </c>
      <c r="E990" s="37" t="str">
        <f>IF(ISNUMBER(deployment_raw[[#This Row],[Column5]]), deployment_raw[[#This Row],[Column5]],"")</f>
        <v/>
      </c>
      <c r="F990" s="94" t="str">
        <f>IF(ISNUMBER(deployment_raw[[#This Row],[Column6]]), (deployment_raw[[#This Row],[Column6]] * IF($E$2="Deployment",deployment_raw[[#This Row],[Column5]],1)),"")</f>
        <v/>
      </c>
      <c r="G990" s="95" t="str">
        <f>IF(ISNUMBER(deployment_raw[[#This Row],[Column7]]), (deployment_raw[[#This Row],[Column7]] * IF($E$2="Deployment",deployment_raw[[#This Row],[Column5]],1))/1048576,"")</f>
        <v/>
      </c>
      <c r="H990" s="95" t="str">
        <f>IF(ISNUMBER(deployment_raw[[#This Row],[Column8]]), (deployment_raw[[#This Row],[Column8]]  * IF($E$2="Deployment",deployment_raw[[#This Row],[Column5]],1)),"")</f>
        <v/>
      </c>
      <c r="I990" s="96" t="str">
        <f>IF(ISNUMBER(deployment_raw[[#This Row],[Column9]]), (deployment_raw[[#This Row],[Column9]] * IF($E$2="Deployment",deployment_raw[[#This Row],[Column5]],1))/1048576,"")</f>
        <v/>
      </c>
      <c r="J990" s="122" t="str">
        <f>IF(ISNUMBER(deployment_raw[[#This Row],[Column10]]), (MIN(IF(N990&lt;&gt;"",N990,9999999999999)*1.1,deployment_raw[[#This Row],[Column10]] * IF($E$2="Deployment",deployment_raw[[#This Row],[Column5]],1))),"")</f>
        <v/>
      </c>
      <c r="K990" s="123" t="str">
        <f>IF(ISNUMBER(deployment_raw[[#This Row],[Column11]]), (MIN(IF(O990&lt;&gt;"",O990,9999999999999)*1.1,deployment_raw[[#This Row],[Column11]] * IF($E$2="Deployment",deployment_raw[[#This Row],[Column5]],1)/1048576)),"")</f>
        <v/>
      </c>
      <c r="L990" s="124" t="str">
        <f>IF(ISNUMBER(deployment_raw[[#This Row],[Column8]]),IF(OR(deployment_raw[[#This Row],[Column5]] &lt;&gt; 0,$E$2 &lt;&gt; "Deployment"), MAX(J990, P990, R990, ($L$2 * IF($E$2="Deployment",deployment_raw[[#This Row],[Column5]],1)),IF(T990&lt;&gt;"",VALUE(T990) * IF($E$2="Deployment",deployment_raw[[#This Row],[Column5]],1),0)), 0),"")</f>
        <v/>
      </c>
      <c r="M990" s="125" t="str">
        <f>IF(ISNUMBER(deployment_raw[[#This Row],[Column9]]),IF(OR(deployment_raw[[#This Row],[Column5]] &lt;&gt; 0,$E$2&lt;&gt;"Deployment"), MAX(K990, Q990, S990, ($M$2 * IF($E$2="Deployment",deployment_raw[[#This Row],[Column5]],1)),IF(U990&lt;&gt;"",VALUE(U990) * IF($E$2="Deployment",deployment_raw[[#This Row],[Column5]],1),0)), 0),"")</f>
        <v/>
      </c>
      <c r="N990" s="166" t="str">
        <f>IF(ISNUMBER(deployment_raw[[#This Row],[Column14]]), deployment_raw[[#This Row],[Column14]]/IF(OR($E$2="Deployment",deployment_raw[[#This Row],[Column5]]=0),1,deployment_raw[[#This Row],[Column5]]),"")</f>
        <v/>
      </c>
      <c r="O990" s="167" t="str">
        <f>IF(ISNUMBER(deployment_raw[[#This Row],[Column15]]), deployment_raw[[#This Row],[Column15]]/IF(OR($E$2="Deployment",deployment_raw[[#This Row],[Column5]]=0),1,deployment_raw[[#This Row],[Column5]])/1048576,"")</f>
        <v/>
      </c>
      <c r="P990" s="168" t="str">
        <f>IF(ISNUMBER(deployment_raw[[#This Row],[Column12]]), (MIN(IF(N990&lt;&gt;"",N990,9999999999999)*1.1,deployment_raw[[#This Row],[Column12]] * IF($E$2="Deployment",deployment_raw[[#This Row],[Column5]],1))*(1+$P$2)),"")</f>
        <v/>
      </c>
      <c r="Q990" s="167" t="str">
        <f>IF(ISNUMBER(deployment_raw[[#This Row],[Column13]]), (MIN(IF(O990&lt;&gt;"",O990,9999999999999)*1.1,deployment_raw[[#This Row],[Column13]] * IF($E$2="Deployment",deployment_raw[[#This Row],[Column5]],1)*(1+$Q$2)/1048576)),"")</f>
        <v/>
      </c>
      <c r="R990" s="169" t="str">
        <f>IF(ISNUMBER(deployment_raw[[#This Row],[Column8]]), (H990  * IF(N990&lt;&gt;0,$R$2,1)),"")</f>
        <v/>
      </c>
      <c r="S990" s="170" t="str">
        <f>IF(ISNUMBER(deployment_raw[[#This Row],[Column8]]), (I990  * IF(O990&lt;&gt;0,$S$2,1)),"")</f>
        <v/>
      </c>
      <c r="T990" s="202" t="str">
        <f>IF(AND(A990&lt;&gt;"",_xlfn.IFNA(MATCH(A990,'dynamic resource application '!$A$2:$A$100, 0),0)&lt;&gt;0), H990/(IF($E$2="Deployment",E990,1)),"")</f>
        <v/>
      </c>
      <c r="U990" s="211" t="str">
        <f>IF(AND(A990&lt;&gt;"",_xlfn.IFNA(MATCH(A990,'dynamic resource application '!$A$2:$A$100, 0),0)&lt;&gt;0), I990/(IF($E$2="Deployment",E990,1)),"")</f>
        <v/>
      </c>
    </row>
    <row r="991" spans="1:21" ht="15" customHeight="1" x14ac:dyDescent="0.25">
      <c r="A991" s="35" t="str">
        <f>IF(ISNONTEXT(deployment_raw[[#This Row],[Column1]]), "", deployment_raw[[#This Row],[Column1]])</f>
        <v/>
      </c>
      <c r="B991" s="36" t="str">
        <f>IF(ISNONTEXT(deployment_raw[[#This Row],[Column2]]), "", deployment_raw[[#This Row],[Column2]])</f>
        <v/>
      </c>
      <c r="C991" s="36" t="str">
        <f>IF(ISNONTEXT(deployment_raw[[#This Row],[Column3]]), "", deployment_raw[[#This Row],[Column3]])</f>
        <v/>
      </c>
      <c r="D991" s="36" t="str">
        <f>IF(ISNONTEXT(deployment_raw[[#This Row],[Column4]]), "", deployment_raw[[#This Row],[Column4]])</f>
        <v/>
      </c>
      <c r="E991" s="37" t="str">
        <f>IF(ISNUMBER(deployment_raw[[#This Row],[Column5]]), deployment_raw[[#This Row],[Column5]],"")</f>
        <v/>
      </c>
      <c r="F991" s="94" t="str">
        <f>IF(ISNUMBER(deployment_raw[[#This Row],[Column6]]), (deployment_raw[[#This Row],[Column6]] * IF($E$2="Deployment",deployment_raw[[#This Row],[Column5]],1)),"")</f>
        <v/>
      </c>
      <c r="G991" s="95" t="str">
        <f>IF(ISNUMBER(deployment_raw[[#This Row],[Column7]]), (deployment_raw[[#This Row],[Column7]] * IF($E$2="Deployment",deployment_raw[[#This Row],[Column5]],1))/1048576,"")</f>
        <v/>
      </c>
      <c r="H991" s="95" t="str">
        <f>IF(ISNUMBER(deployment_raw[[#This Row],[Column8]]), (deployment_raw[[#This Row],[Column8]]  * IF($E$2="Deployment",deployment_raw[[#This Row],[Column5]],1)),"")</f>
        <v/>
      </c>
      <c r="I991" s="96" t="str">
        <f>IF(ISNUMBER(deployment_raw[[#This Row],[Column9]]), (deployment_raw[[#This Row],[Column9]] * IF($E$2="Deployment",deployment_raw[[#This Row],[Column5]],1))/1048576,"")</f>
        <v/>
      </c>
      <c r="J991" s="122" t="str">
        <f>IF(ISNUMBER(deployment_raw[[#This Row],[Column10]]), (MIN(IF(N991&lt;&gt;"",N991,9999999999999)*1.1,deployment_raw[[#This Row],[Column10]] * IF($E$2="Deployment",deployment_raw[[#This Row],[Column5]],1))),"")</f>
        <v/>
      </c>
      <c r="K991" s="123" t="str">
        <f>IF(ISNUMBER(deployment_raw[[#This Row],[Column11]]), (MIN(IF(O991&lt;&gt;"",O991,9999999999999)*1.1,deployment_raw[[#This Row],[Column11]] * IF($E$2="Deployment",deployment_raw[[#This Row],[Column5]],1)/1048576)),"")</f>
        <v/>
      </c>
      <c r="L991" s="124" t="str">
        <f>IF(ISNUMBER(deployment_raw[[#This Row],[Column8]]),IF(OR(deployment_raw[[#This Row],[Column5]] &lt;&gt; 0,$E$2 &lt;&gt; "Deployment"), MAX(J991, P991, R991, ($L$2 * IF($E$2="Deployment",deployment_raw[[#This Row],[Column5]],1)),IF(T991&lt;&gt;"",VALUE(T991) * IF($E$2="Deployment",deployment_raw[[#This Row],[Column5]],1),0)), 0),"")</f>
        <v/>
      </c>
      <c r="M991" s="125" t="str">
        <f>IF(ISNUMBER(deployment_raw[[#This Row],[Column9]]),IF(OR(deployment_raw[[#This Row],[Column5]] &lt;&gt; 0,$E$2&lt;&gt;"Deployment"), MAX(K991, Q991, S991, ($M$2 * IF($E$2="Deployment",deployment_raw[[#This Row],[Column5]],1)),IF(U991&lt;&gt;"",VALUE(U991) * IF($E$2="Deployment",deployment_raw[[#This Row],[Column5]],1),0)), 0),"")</f>
        <v/>
      </c>
      <c r="N991" s="166" t="str">
        <f>IF(ISNUMBER(deployment_raw[[#This Row],[Column14]]), deployment_raw[[#This Row],[Column14]]/IF(OR($E$2="Deployment",deployment_raw[[#This Row],[Column5]]=0),1,deployment_raw[[#This Row],[Column5]]),"")</f>
        <v/>
      </c>
      <c r="O991" s="167" t="str">
        <f>IF(ISNUMBER(deployment_raw[[#This Row],[Column15]]), deployment_raw[[#This Row],[Column15]]/IF(OR($E$2="Deployment",deployment_raw[[#This Row],[Column5]]=0),1,deployment_raw[[#This Row],[Column5]])/1048576,"")</f>
        <v/>
      </c>
      <c r="P991" s="168" t="str">
        <f>IF(ISNUMBER(deployment_raw[[#This Row],[Column12]]), (MIN(IF(N991&lt;&gt;"",N991,9999999999999)*1.1,deployment_raw[[#This Row],[Column12]] * IF($E$2="Deployment",deployment_raw[[#This Row],[Column5]],1))*(1+$P$2)),"")</f>
        <v/>
      </c>
      <c r="Q991" s="167" t="str">
        <f>IF(ISNUMBER(deployment_raw[[#This Row],[Column13]]), (MIN(IF(O991&lt;&gt;"",O991,9999999999999)*1.1,deployment_raw[[#This Row],[Column13]] * IF($E$2="Deployment",deployment_raw[[#This Row],[Column5]],1)*(1+$Q$2)/1048576)),"")</f>
        <v/>
      </c>
      <c r="R991" s="169" t="str">
        <f>IF(ISNUMBER(deployment_raw[[#This Row],[Column8]]), (H991  * IF(N991&lt;&gt;0,$R$2,1)),"")</f>
        <v/>
      </c>
      <c r="S991" s="170" t="str">
        <f>IF(ISNUMBER(deployment_raw[[#This Row],[Column8]]), (I991  * IF(O991&lt;&gt;0,$S$2,1)),"")</f>
        <v/>
      </c>
      <c r="T991" s="202" t="str">
        <f>IF(AND(A991&lt;&gt;"",_xlfn.IFNA(MATCH(A991,'dynamic resource application '!$A$2:$A$100, 0),0)&lt;&gt;0), H991/(IF($E$2="Deployment",E991,1)),"")</f>
        <v/>
      </c>
      <c r="U991" s="211" t="str">
        <f>IF(AND(A991&lt;&gt;"",_xlfn.IFNA(MATCH(A991,'dynamic resource application '!$A$2:$A$100, 0),0)&lt;&gt;0), I991/(IF($E$2="Deployment",E991,1)),"")</f>
        <v/>
      </c>
    </row>
    <row r="992" spans="1:21" ht="15" customHeight="1" x14ac:dyDescent="0.25">
      <c r="A992" s="35" t="str">
        <f>IF(ISNONTEXT(deployment_raw[[#This Row],[Column1]]), "", deployment_raw[[#This Row],[Column1]])</f>
        <v/>
      </c>
      <c r="B992" s="36" t="str">
        <f>IF(ISNONTEXT(deployment_raw[[#This Row],[Column2]]), "", deployment_raw[[#This Row],[Column2]])</f>
        <v/>
      </c>
      <c r="C992" s="36" t="str">
        <f>IF(ISNONTEXT(deployment_raw[[#This Row],[Column3]]), "", deployment_raw[[#This Row],[Column3]])</f>
        <v/>
      </c>
      <c r="D992" s="36" t="str">
        <f>IF(ISNONTEXT(deployment_raw[[#This Row],[Column4]]), "", deployment_raw[[#This Row],[Column4]])</f>
        <v/>
      </c>
      <c r="E992" s="37" t="str">
        <f>IF(ISNUMBER(deployment_raw[[#This Row],[Column5]]), deployment_raw[[#This Row],[Column5]],"")</f>
        <v/>
      </c>
      <c r="F992" s="94" t="str">
        <f>IF(ISNUMBER(deployment_raw[[#This Row],[Column6]]), (deployment_raw[[#This Row],[Column6]] * IF($E$2="Deployment",deployment_raw[[#This Row],[Column5]],1)),"")</f>
        <v/>
      </c>
      <c r="G992" s="95" t="str">
        <f>IF(ISNUMBER(deployment_raw[[#This Row],[Column7]]), (deployment_raw[[#This Row],[Column7]] * IF($E$2="Deployment",deployment_raw[[#This Row],[Column5]],1))/1048576,"")</f>
        <v/>
      </c>
      <c r="H992" s="95" t="str">
        <f>IF(ISNUMBER(deployment_raw[[#This Row],[Column8]]), (deployment_raw[[#This Row],[Column8]]  * IF($E$2="Deployment",deployment_raw[[#This Row],[Column5]],1)),"")</f>
        <v/>
      </c>
      <c r="I992" s="96" t="str">
        <f>IF(ISNUMBER(deployment_raw[[#This Row],[Column9]]), (deployment_raw[[#This Row],[Column9]] * IF($E$2="Deployment",deployment_raw[[#This Row],[Column5]],1))/1048576,"")</f>
        <v/>
      </c>
      <c r="J992" s="122" t="str">
        <f>IF(ISNUMBER(deployment_raw[[#This Row],[Column10]]), (MIN(IF(N992&lt;&gt;"",N992,9999999999999)*1.1,deployment_raw[[#This Row],[Column10]] * IF($E$2="Deployment",deployment_raw[[#This Row],[Column5]],1))),"")</f>
        <v/>
      </c>
      <c r="K992" s="123" t="str">
        <f>IF(ISNUMBER(deployment_raw[[#This Row],[Column11]]), (MIN(IF(O992&lt;&gt;"",O992,9999999999999)*1.1,deployment_raw[[#This Row],[Column11]] * IF($E$2="Deployment",deployment_raw[[#This Row],[Column5]],1)/1048576)),"")</f>
        <v/>
      </c>
      <c r="L992" s="124" t="str">
        <f>IF(ISNUMBER(deployment_raw[[#This Row],[Column8]]),IF(OR(deployment_raw[[#This Row],[Column5]] &lt;&gt; 0,$E$2 &lt;&gt; "Deployment"), MAX(J992, P992, R992, ($L$2 * IF($E$2="Deployment",deployment_raw[[#This Row],[Column5]],1)),IF(T992&lt;&gt;"",VALUE(T992) * IF($E$2="Deployment",deployment_raw[[#This Row],[Column5]],1),0)), 0),"")</f>
        <v/>
      </c>
      <c r="M992" s="125" t="str">
        <f>IF(ISNUMBER(deployment_raw[[#This Row],[Column9]]),IF(OR(deployment_raw[[#This Row],[Column5]] &lt;&gt; 0,$E$2&lt;&gt;"Deployment"), MAX(K992, Q992, S992, ($M$2 * IF($E$2="Deployment",deployment_raw[[#This Row],[Column5]],1)),IF(U992&lt;&gt;"",VALUE(U992) * IF($E$2="Deployment",deployment_raw[[#This Row],[Column5]],1),0)), 0),"")</f>
        <v/>
      </c>
      <c r="N992" s="166" t="str">
        <f>IF(ISNUMBER(deployment_raw[[#This Row],[Column14]]), deployment_raw[[#This Row],[Column14]]/IF(OR($E$2="Deployment",deployment_raw[[#This Row],[Column5]]=0),1,deployment_raw[[#This Row],[Column5]]),"")</f>
        <v/>
      </c>
      <c r="O992" s="167" t="str">
        <f>IF(ISNUMBER(deployment_raw[[#This Row],[Column15]]), deployment_raw[[#This Row],[Column15]]/IF(OR($E$2="Deployment",deployment_raw[[#This Row],[Column5]]=0),1,deployment_raw[[#This Row],[Column5]])/1048576,"")</f>
        <v/>
      </c>
      <c r="P992" s="168" t="str">
        <f>IF(ISNUMBER(deployment_raw[[#This Row],[Column12]]), (MIN(IF(N992&lt;&gt;"",N992,9999999999999)*1.1,deployment_raw[[#This Row],[Column12]] * IF($E$2="Deployment",deployment_raw[[#This Row],[Column5]],1))*(1+$P$2)),"")</f>
        <v/>
      </c>
      <c r="Q992" s="167" t="str">
        <f>IF(ISNUMBER(deployment_raw[[#This Row],[Column13]]), (MIN(IF(O992&lt;&gt;"",O992,9999999999999)*1.1,deployment_raw[[#This Row],[Column13]] * IF($E$2="Deployment",deployment_raw[[#This Row],[Column5]],1)*(1+$Q$2)/1048576)),"")</f>
        <v/>
      </c>
      <c r="R992" s="169" t="str">
        <f>IF(ISNUMBER(deployment_raw[[#This Row],[Column8]]), (H992  * IF(N992&lt;&gt;0,$R$2,1)),"")</f>
        <v/>
      </c>
      <c r="S992" s="170" t="str">
        <f>IF(ISNUMBER(deployment_raw[[#This Row],[Column8]]), (I992  * IF(O992&lt;&gt;0,$S$2,1)),"")</f>
        <v/>
      </c>
      <c r="T992" s="202" t="str">
        <f>IF(AND(A992&lt;&gt;"",_xlfn.IFNA(MATCH(A992,'dynamic resource application '!$A$2:$A$100, 0),0)&lt;&gt;0), H992/(IF($E$2="Deployment",E992,1)),"")</f>
        <v/>
      </c>
      <c r="U992" s="211" t="str">
        <f>IF(AND(A992&lt;&gt;"",_xlfn.IFNA(MATCH(A992,'dynamic resource application '!$A$2:$A$100, 0),0)&lt;&gt;0), I992/(IF($E$2="Deployment",E992,1)),"")</f>
        <v/>
      </c>
    </row>
    <row r="993" spans="1:21" ht="15" customHeight="1" x14ac:dyDescent="0.25">
      <c r="A993" s="35" t="str">
        <f>IF(ISNONTEXT(deployment_raw[[#This Row],[Column1]]), "", deployment_raw[[#This Row],[Column1]])</f>
        <v/>
      </c>
      <c r="B993" s="36" t="str">
        <f>IF(ISNONTEXT(deployment_raw[[#This Row],[Column2]]), "", deployment_raw[[#This Row],[Column2]])</f>
        <v/>
      </c>
      <c r="C993" s="36" t="str">
        <f>IF(ISNONTEXT(deployment_raw[[#This Row],[Column3]]), "", deployment_raw[[#This Row],[Column3]])</f>
        <v/>
      </c>
      <c r="D993" s="36" t="str">
        <f>IF(ISNONTEXT(deployment_raw[[#This Row],[Column4]]), "", deployment_raw[[#This Row],[Column4]])</f>
        <v/>
      </c>
      <c r="E993" s="37" t="str">
        <f>IF(ISNUMBER(deployment_raw[[#This Row],[Column5]]), deployment_raw[[#This Row],[Column5]],"")</f>
        <v/>
      </c>
      <c r="F993" s="94" t="str">
        <f>IF(ISNUMBER(deployment_raw[[#This Row],[Column6]]), (deployment_raw[[#This Row],[Column6]] * IF($E$2="Deployment",deployment_raw[[#This Row],[Column5]],1)),"")</f>
        <v/>
      </c>
      <c r="G993" s="95" t="str">
        <f>IF(ISNUMBER(deployment_raw[[#This Row],[Column7]]), (deployment_raw[[#This Row],[Column7]] * IF($E$2="Deployment",deployment_raw[[#This Row],[Column5]],1))/1048576,"")</f>
        <v/>
      </c>
      <c r="H993" s="95" t="str">
        <f>IF(ISNUMBER(deployment_raw[[#This Row],[Column8]]), (deployment_raw[[#This Row],[Column8]]  * IF($E$2="Deployment",deployment_raw[[#This Row],[Column5]],1)),"")</f>
        <v/>
      </c>
      <c r="I993" s="96" t="str">
        <f>IF(ISNUMBER(deployment_raw[[#This Row],[Column9]]), (deployment_raw[[#This Row],[Column9]] * IF($E$2="Deployment",deployment_raw[[#This Row],[Column5]],1))/1048576,"")</f>
        <v/>
      </c>
      <c r="J993" s="122" t="str">
        <f>IF(ISNUMBER(deployment_raw[[#This Row],[Column10]]), (MIN(IF(N993&lt;&gt;"",N993,9999999999999)*1.1,deployment_raw[[#This Row],[Column10]] * IF($E$2="Deployment",deployment_raw[[#This Row],[Column5]],1))),"")</f>
        <v/>
      </c>
      <c r="K993" s="123" t="str">
        <f>IF(ISNUMBER(deployment_raw[[#This Row],[Column11]]), (MIN(IF(O993&lt;&gt;"",O993,9999999999999)*1.1,deployment_raw[[#This Row],[Column11]] * IF($E$2="Deployment",deployment_raw[[#This Row],[Column5]],1)/1048576)),"")</f>
        <v/>
      </c>
      <c r="L993" s="124" t="str">
        <f>IF(ISNUMBER(deployment_raw[[#This Row],[Column8]]),IF(OR(deployment_raw[[#This Row],[Column5]] &lt;&gt; 0,$E$2 &lt;&gt; "Deployment"), MAX(J993, P993, R993, ($L$2 * IF($E$2="Deployment",deployment_raw[[#This Row],[Column5]],1)),IF(T993&lt;&gt;"",VALUE(T993) * IF($E$2="Deployment",deployment_raw[[#This Row],[Column5]],1),0)), 0),"")</f>
        <v/>
      </c>
      <c r="M993" s="125" t="str">
        <f>IF(ISNUMBER(deployment_raw[[#This Row],[Column9]]),IF(OR(deployment_raw[[#This Row],[Column5]] &lt;&gt; 0,$E$2&lt;&gt;"Deployment"), MAX(K993, Q993, S993, ($M$2 * IF($E$2="Deployment",deployment_raw[[#This Row],[Column5]],1)),IF(U993&lt;&gt;"",VALUE(U993) * IF($E$2="Deployment",deployment_raw[[#This Row],[Column5]],1),0)), 0),"")</f>
        <v/>
      </c>
      <c r="N993" s="166" t="str">
        <f>IF(ISNUMBER(deployment_raw[[#This Row],[Column14]]), deployment_raw[[#This Row],[Column14]]/IF(OR($E$2="Deployment",deployment_raw[[#This Row],[Column5]]=0),1,deployment_raw[[#This Row],[Column5]]),"")</f>
        <v/>
      </c>
      <c r="O993" s="167" t="str">
        <f>IF(ISNUMBER(deployment_raw[[#This Row],[Column15]]), deployment_raw[[#This Row],[Column15]]/IF(OR($E$2="Deployment",deployment_raw[[#This Row],[Column5]]=0),1,deployment_raw[[#This Row],[Column5]])/1048576,"")</f>
        <v/>
      </c>
      <c r="P993" s="168" t="str">
        <f>IF(ISNUMBER(deployment_raw[[#This Row],[Column12]]), (MIN(IF(N993&lt;&gt;"",N993,9999999999999)*1.1,deployment_raw[[#This Row],[Column12]] * IF($E$2="Deployment",deployment_raw[[#This Row],[Column5]],1))*(1+$P$2)),"")</f>
        <v/>
      </c>
      <c r="Q993" s="167" t="str">
        <f>IF(ISNUMBER(deployment_raw[[#This Row],[Column13]]), (MIN(IF(O993&lt;&gt;"",O993,9999999999999)*1.1,deployment_raw[[#This Row],[Column13]] * IF($E$2="Deployment",deployment_raw[[#This Row],[Column5]],1)*(1+$Q$2)/1048576)),"")</f>
        <v/>
      </c>
      <c r="R993" s="169" t="str">
        <f>IF(ISNUMBER(deployment_raw[[#This Row],[Column8]]), (H993  * IF(N993&lt;&gt;0,$R$2,1)),"")</f>
        <v/>
      </c>
      <c r="S993" s="170" t="str">
        <f>IF(ISNUMBER(deployment_raw[[#This Row],[Column8]]), (I993  * IF(O993&lt;&gt;0,$S$2,1)),"")</f>
        <v/>
      </c>
      <c r="T993" s="202" t="str">
        <f>IF(AND(A993&lt;&gt;"",_xlfn.IFNA(MATCH(A993,'dynamic resource application '!$A$2:$A$100, 0),0)&lt;&gt;0), H993/(IF($E$2="Deployment",E993,1)),"")</f>
        <v/>
      </c>
      <c r="U993" s="211" t="str">
        <f>IF(AND(A993&lt;&gt;"",_xlfn.IFNA(MATCH(A993,'dynamic resource application '!$A$2:$A$100, 0),0)&lt;&gt;0), I993/(IF($E$2="Deployment",E993,1)),"")</f>
        <v/>
      </c>
    </row>
    <row r="994" spans="1:21" ht="15" customHeight="1" x14ac:dyDescent="0.25">
      <c r="A994" s="35" t="str">
        <f>IF(ISNONTEXT(deployment_raw[[#This Row],[Column1]]), "", deployment_raw[[#This Row],[Column1]])</f>
        <v/>
      </c>
      <c r="B994" s="36" t="str">
        <f>IF(ISNONTEXT(deployment_raw[[#This Row],[Column2]]), "", deployment_raw[[#This Row],[Column2]])</f>
        <v/>
      </c>
      <c r="C994" s="36" t="str">
        <f>IF(ISNONTEXT(deployment_raw[[#This Row],[Column3]]), "", deployment_raw[[#This Row],[Column3]])</f>
        <v/>
      </c>
      <c r="D994" s="36" t="str">
        <f>IF(ISNONTEXT(deployment_raw[[#This Row],[Column4]]), "", deployment_raw[[#This Row],[Column4]])</f>
        <v/>
      </c>
      <c r="E994" s="37" t="str">
        <f>IF(ISNUMBER(deployment_raw[[#This Row],[Column5]]), deployment_raw[[#This Row],[Column5]],"")</f>
        <v/>
      </c>
      <c r="F994" s="94" t="str">
        <f>IF(ISNUMBER(deployment_raw[[#This Row],[Column6]]), (deployment_raw[[#This Row],[Column6]] * IF($E$2="Deployment",deployment_raw[[#This Row],[Column5]],1)),"")</f>
        <v/>
      </c>
      <c r="G994" s="95" t="str">
        <f>IF(ISNUMBER(deployment_raw[[#This Row],[Column7]]), (deployment_raw[[#This Row],[Column7]] * IF($E$2="Deployment",deployment_raw[[#This Row],[Column5]],1))/1048576,"")</f>
        <v/>
      </c>
      <c r="H994" s="95" t="str">
        <f>IF(ISNUMBER(deployment_raw[[#This Row],[Column8]]), (deployment_raw[[#This Row],[Column8]]  * IF($E$2="Deployment",deployment_raw[[#This Row],[Column5]],1)),"")</f>
        <v/>
      </c>
      <c r="I994" s="96" t="str">
        <f>IF(ISNUMBER(deployment_raw[[#This Row],[Column9]]), (deployment_raw[[#This Row],[Column9]] * IF($E$2="Deployment",deployment_raw[[#This Row],[Column5]],1))/1048576,"")</f>
        <v/>
      </c>
      <c r="J994" s="122" t="str">
        <f>IF(ISNUMBER(deployment_raw[[#This Row],[Column10]]), (MIN(IF(N994&lt;&gt;"",N994,9999999999999)*1.1,deployment_raw[[#This Row],[Column10]] * IF($E$2="Deployment",deployment_raw[[#This Row],[Column5]],1))),"")</f>
        <v/>
      </c>
      <c r="K994" s="123" t="str">
        <f>IF(ISNUMBER(deployment_raw[[#This Row],[Column11]]), (MIN(IF(O994&lt;&gt;"",O994,9999999999999)*1.1,deployment_raw[[#This Row],[Column11]] * IF($E$2="Deployment",deployment_raw[[#This Row],[Column5]],1)/1048576)),"")</f>
        <v/>
      </c>
      <c r="L994" s="124" t="str">
        <f>IF(ISNUMBER(deployment_raw[[#This Row],[Column8]]),IF(OR(deployment_raw[[#This Row],[Column5]] &lt;&gt; 0,$E$2 &lt;&gt; "Deployment"), MAX(J994, P994, R994, ($L$2 * IF($E$2="Deployment",deployment_raw[[#This Row],[Column5]],1)),IF(T994&lt;&gt;"",VALUE(T994) * IF($E$2="Deployment",deployment_raw[[#This Row],[Column5]],1),0)), 0),"")</f>
        <v/>
      </c>
      <c r="M994" s="125" t="str">
        <f>IF(ISNUMBER(deployment_raw[[#This Row],[Column9]]),IF(OR(deployment_raw[[#This Row],[Column5]] &lt;&gt; 0,$E$2&lt;&gt;"Deployment"), MAX(K994, Q994, S994, ($M$2 * IF($E$2="Deployment",deployment_raw[[#This Row],[Column5]],1)),IF(U994&lt;&gt;"",VALUE(U994) * IF($E$2="Deployment",deployment_raw[[#This Row],[Column5]],1),0)), 0),"")</f>
        <v/>
      </c>
      <c r="N994" s="166" t="str">
        <f>IF(ISNUMBER(deployment_raw[[#This Row],[Column14]]), deployment_raw[[#This Row],[Column14]]/IF(OR($E$2="Deployment",deployment_raw[[#This Row],[Column5]]=0),1,deployment_raw[[#This Row],[Column5]]),"")</f>
        <v/>
      </c>
      <c r="O994" s="167" t="str">
        <f>IF(ISNUMBER(deployment_raw[[#This Row],[Column15]]), deployment_raw[[#This Row],[Column15]]/IF(OR($E$2="Deployment",deployment_raw[[#This Row],[Column5]]=0),1,deployment_raw[[#This Row],[Column5]])/1048576,"")</f>
        <v/>
      </c>
      <c r="P994" s="168" t="str">
        <f>IF(ISNUMBER(deployment_raw[[#This Row],[Column12]]), (MIN(IF(N994&lt;&gt;"",N994,9999999999999)*1.1,deployment_raw[[#This Row],[Column12]] * IF($E$2="Deployment",deployment_raw[[#This Row],[Column5]],1))*(1+$P$2)),"")</f>
        <v/>
      </c>
      <c r="Q994" s="167" t="str">
        <f>IF(ISNUMBER(deployment_raw[[#This Row],[Column13]]), (MIN(IF(O994&lt;&gt;"",O994,9999999999999)*1.1,deployment_raw[[#This Row],[Column13]] * IF($E$2="Deployment",deployment_raw[[#This Row],[Column5]],1)*(1+$Q$2)/1048576)),"")</f>
        <v/>
      </c>
      <c r="R994" s="169" t="str">
        <f>IF(ISNUMBER(deployment_raw[[#This Row],[Column8]]), (H994  * IF(N994&lt;&gt;0,$R$2,1)),"")</f>
        <v/>
      </c>
      <c r="S994" s="170" t="str">
        <f>IF(ISNUMBER(deployment_raw[[#This Row],[Column8]]), (I994  * IF(O994&lt;&gt;0,$S$2,1)),"")</f>
        <v/>
      </c>
      <c r="T994" s="202" t="str">
        <f>IF(AND(A994&lt;&gt;"",_xlfn.IFNA(MATCH(A994,'dynamic resource application '!$A$2:$A$100, 0),0)&lt;&gt;0), H994/(IF($E$2="Deployment",E994,1)),"")</f>
        <v/>
      </c>
      <c r="U994" s="211" t="str">
        <f>IF(AND(A994&lt;&gt;"",_xlfn.IFNA(MATCH(A994,'dynamic resource application '!$A$2:$A$100, 0),0)&lt;&gt;0), I994/(IF($E$2="Deployment",E994,1)),"")</f>
        <v/>
      </c>
    </row>
    <row r="995" spans="1:21" ht="15" customHeight="1" x14ac:dyDescent="0.25">
      <c r="A995" s="35" t="str">
        <f>IF(ISNONTEXT(deployment_raw[[#This Row],[Column1]]), "", deployment_raw[[#This Row],[Column1]])</f>
        <v/>
      </c>
      <c r="B995" s="36" t="str">
        <f>IF(ISNONTEXT(deployment_raw[[#This Row],[Column2]]), "", deployment_raw[[#This Row],[Column2]])</f>
        <v/>
      </c>
      <c r="C995" s="36" t="str">
        <f>IF(ISNONTEXT(deployment_raw[[#This Row],[Column3]]), "", deployment_raw[[#This Row],[Column3]])</f>
        <v/>
      </c>
      <c r="D995" s="36" t="str">
        <f>IF(ISNONTEXT(deployment_raw[[#This Row],[Column4]]), "", deployment_raw[[#This Row],[Column4]])</f>
        <v/>
      </c>
      <c r="E995" s="37" t="str">
        <f>IF(ISNUMBER(deployment_raw[[#This Row],[Column5]]), deployment_raw[[#This Row],[Column5]],"")</f>
        <v/>
      </c>
      <c r="F995" s="94" t="str">
        <f>IF(ISNUMBER(deployment_raw[[#This Row],[Column6]]), (deployment_raw[[#This Row],[Column6]] * IF($E$2="Deployment",deployment_raw[[#This Row],[Column5]],1)),"")</f>
        <v/>
      </c>
      <c r="G995" s="95" t="str">
        <f>IF(ISNUMBER(deployment_raw[[#This Row],[Column7]]), (deployment_raw[[#This Row],[Column7]] * IF($E$2="Deployment",deployment_raw[[#This Row],[Column5]],1))/1048576,"")</f>
        <v/>
      </c>
      <c r="H995" s="95" t="str">
        <f>IF(ISNUMBER(deployment_raw[[#This Row],[Column8]]), (deployment_raw[[#This Row],[Column8]]  * IF($E$2="Deployment",deployment_raw[[#This Row],[Column5]],1)),"")</f>
        <v/>
      </c>
      <c r="I995" s="96" t="str">
        <f>IF(ISNUMBER(deployment_raw[[#This Row],[Column9]]), (deployment_raw[[#This Row],[Column9]] * IF($E$2="Deployment",deployment_raw[[#This Row],[Column5]],1))/1048576,"")</f>
        <v/>
      </c>
      <c r="J995" s="122" t="str">
        <f>IF(ISNUMBER(deployment_raw[[#This Row],[Column10]]), (MIN(IF(N995&lt;&gt;"",N995,9999999999999)*1.1,deployment_raw[[#This Row],[Column10]] * IF($E$2="Deployment",deployment_raw[[#This Row],[Column5]],1))),"")</f>
        <v/>
      </c>
      <c r="K995" s="123" t="str">
        <f>IF(ISNUMBER(deployment_raw[[#This Row],[Column11]]), (MIN(IF(O995&lt;&gt;"",O995,9999999999999)*1.1,deployment_raw[[#This Row],[Column11]] * IF($E$2="Deployment",deployment_raw[[#This Row],[Column5]],1)/1048576)),"")</f>
        <v/>
      </c>
      <c r="L995" s="124" t="str">
        <f>IF(ISNUMBER(deployment_raw[[#This Row],[Column8]]),IF(OR(deployment_raw[[#This Row],[Column5]] &lt;&gt; 0,$E$2 &lt;&gt; "Deployment"), MAX(J995, P995, R995, ($L$2 * IF($E$2="Deployment",deployment_raw[[#This Row],[Column5]],1)),IF(T995&lt;&gt;"",VALUE(T995) * IF($E$2="Deployment",deployment_raw[[#This Row],[Column5]],1),0)), 0),"")</f>
        <v/>
      </c>
      <c r="M995" s="125" t="str">
        <f>IF(ISNUMBER(deployment_raw[[#This Row],[Column9]]),IF(OR(deployment_raw[[#This Row],[Column5]] &lt;&gt; 0,$E$2&lt;&gt;"Deployment"), MAX(K995, Q995, S995, ($M$2 * IF($E$2="Deployment",deployment_raw[[#This Row],[Column5]],1)),IF(U995&lt;&gt;"",VALUE(U995) * IF($E$2="Deployment",deployment_raw[[#This Row],[Column5]],1),0)), 0),"")</f>
        <v/>
      </c>
      <c r="N995" s="166" t="str">
        <f>IF(ISNUMBER(deployment_raw[[#This Row],[Column14]]), deployment_raw[[#This Row],[Column14]]/IF(OR($E$2="Deployment",deployment_raw[[#This Row],[Column5]]=0),1,deployment_raw[[#This Row],[Column5]]),"")</f>
        <v/>
      </c>
      <c r="O995" s="167" t="str">
        <f>IF(ISNUMBER(deployment_raw[[#This Row],[Column15]]), deployment_raw[[#This Row],[Column15]]/IF(OR($E$2="Deployment",deployment_raw[[#This Row],[Column5]]=0),1,deployment_raw[[#This Row],[Column5]])/1048576,"")</f>
        <v/>
      </c>
      <c r="P995" s="168" t="str">
        <f>IF(ISNUMBER(deployment_raw[[#This Row],[Column12]]), (MIN(IF(N995&lt;&gt;"",N995,9999999999999)*1.1,deployment_raw[[#This Row],[Column12]] * IF($E$2="Deployment",deployment_raw[[#This Row],[Column5]],1))*(1+$P$2)),"")</f>
        <v/>
      </c>
      <c r="Q995" s="167" t="str">
        <f>IF(ISNUMBER(deployment_raw[[#This Row],[Column13]]), (MIN(IF(O995&lt;&gt;"",O995,9999999999999)*1.1,deployment_raw[[#This Row],[Column13]] * IF($E$2="Deployment",deployment_raw[[#This Row],[Column5]],1)*(1+$Q$2)/1048576)),"")</f>
        <v/>
      </c>
      <c r="R995" s="169" t="str">
        <f>IF(ISNUMBER(deployment_raw[[#This Row],[Column8]]), (H995  * IF(N995&lt;&gt;0,$R$2,1)),"")</f>
        <v/>
      </c>
      <c r="S995" s="170" t="str">
        <f>IF(ISNUMBER(deployment_raw[[#This Row],[Column8]]), (I995  * IF(O995&lt;&gt;0,$S$2,1)),"")</f>
        <v/>
      </c>
      <c r="T995" s="202" t="str">
        <f>IF(AND(A995&lt;&gt;"",_xlfn.IFNA(MATCH(A995,'dynamic resource application '!$A$2:$A$100, 0),0)&lt;&gt;0), H995/(IF($E$2="Deployment",E995,1)),"")</f>
        <v/>
      </c>
      <c r="U995" s="211" t="str">
        <f>IF(AND(A995&lt;&gt;"",_xlfn.IFNA(MATCH(A995,'dynamic resource application '!$A$2:$A$100, 0),0)&lt;&gt;0), I995/(IF($E$2="Deployment",E995,1)),"")</f>
        <v/>
      </c>
    </row>
    <row r="996" spans="1:21" ht="15" customHeight="1" x14ac:dyDescent="0.25">
      <c r="A996" s="35" t="str">
        <f>IF(ISNONTEXT(deployment_raw[[#This Row],[Column1]]), "", deployment_raw[[#This Row],[Column1]])</f>
        <v/>
      </c>
      <c r="B996" s="36" t="str">
        <f>IF(ISNONTEXT(deployment_raw[[#This Row],[Column2]]), "", deployment_raw[[#This Row],[Column2]])</f>
        <v/>
      </c>
      <c r="C996" s="36" t="str">
        <f>IF(ISNONTEXT(deployment_raw[[#This Row],[Column3]]), "", deployment_raw[[#This Row],[Column3]])</f>
        <v/>
      </c>
      <c r="D996" s="36" t="str">
        <f>IF(ISNONTEXT(deployment_raw[[#This Row],[Column4]]), "", deployment_raw[[#This Row],[Column4]])</f>
        <v/>
      </c>
      <c r="E996" s="37" t="str">
        <f>IF(ISNUMBER(deployment_raw[[#This Row],[Column5]]), deployment_raw[[#This Row],[Column5]],"")</f>
        <v/>
      </c>
      <c r="F996" s="94" t="str">
        <f>IF(ISNUMBER(deployment_raw[[#This Row],[Column6]]), (deployment_raw[[#This Row],[Column6]] * IF($E$2="Deployment",deployment_raw[[#This Row],[Column5]],1)),"")</f>
        <v/>
      </c>
      <c r="G996" s="95" t="str">
        <f>IF(ISNUMBER(deployment_raw[[#This Row],[Column7]]), (deployment_raw[[#This Row],[Column7]] * IF($E$2="Deployment",deployment_raw[[#This Row],[Column5]],1))/1048576,"")</f>
        <v/>
      </c>
      <c r="H996" s="95" t="str">
        <f>IF(ISNUMBER(deployment_raw[[#This Row],[Column8]]), (deployment_raw[[#This Row],[Column8]]  * IF($E$2="Deployment",deployment_raw[[#This Row],[Column5]],1)),"")</f>
        <v/>
      </c>
      <c r="I996" s="96" t="str">
        <f>IF(ISNUMBER(deployment_raw[[#This Row],[Column9]]), (deployment_raw[[#This Row],[Column9]] * IF($E$2="Deployment",deployment_raw[[#This Row],[Column5]],1))/1048576,"")</f>
        <v/>
      </c>
      <c r="J996" s="122" t="str">
        <f>IF(ISNUMBER(deployment_raw[[#This Row],[Column10]]), (MIN(IF(N996&lt;&gt;"",N996,9999999999999)*1.1,deployment_raw[[#This Row],[Column10]] * IF($E$2="Deployment",deployment_raw[[#This Row],[Column5]],1))),"")</f>
        <v/>
      </c>
      <c r="K996" s="123" t="str">
        <f>IF(ISNUMBER(deployment_raw[[#This Row],[Column11]]), (MIN(IF(O996&lt;&gt;"",O996,9999999999999)*1.1,deployment_raw[[#This Row],[Column11]] * IF($E$2="Deployment",deployment_raw[[#This Row],[Column5]],1)/1048576)),"")</f>
        <v/>
      </c>
      <c r="L996" s="124" t="str">
        <f>IF(ISNUMBER(deployment_raw[[#This Row],[Column8]]),IF(OR(deployment_raw[[#This Row],[Column5]] &lt;&gt; 0,$E$2 &lt;&gt; "Deployment"), MAX(J996, P996, R996, ($L$2 * IF($E$2="Deployment",deployment_raw[[#This Row],[Column5]],1)),IF(T996&lt;&gt;"",VALUE(T996) * IF($E$2="Deployment",deployment_raw[[#This Row],[Column5]],1),0)), 0),"")</f>
        <v/>
      </c>
      <c r="M996" s="125" t="str">
        <f>IF(ISNUMBER(deployment_raw[[#This Row],[Column9]]),IF(OR(deployment_raw[[#This Row],[Column5]] &lt;&gt; 0,$E$2&lt;&gt;"Deployment"), MAX(K996, Q996, S996, ($M$2 * IF($E$2="Deployment",deployment_raw[[#This Row],[Column5]],1)),IF(U996&lt;&gt;"",VALUE(U996) * IF($E$2="Deployment",deployment_raw[[#This Row],[Column5]],1),0)), 0),"")</f>
        <v/>
      </c>
      <c r="N996" s="166" t="str">
        <f>IF(ISNUMBER(deployment_raw[[#This Row],[Column14]]), deployment_raw[[#This Row],[Column14]]/IF(OR($E$2="Deployment",deployment_raw[[#This Row],[Column5]]=0),1,deployment_raw[[#This Row],[Column5]]),"")</f>
        <v/>
      </c>
      <c r="O996" s="167" t="str">
        <f>IF(ISNUMBER(deployment_raw[[#This Row],[Column15]]), deployment_raw[[#This Row],[Column15]]/IF(OR($E$2="Deployment",deployment_raw[[#This Row],[Column5]]=0),1,deployment_raw[[#This Row],[Column5]])/1048576,"")</f>
        <v/>
      </c>
      <c r="P996" s="168" t="str">
        <f>IF(ISNUMBER(deployment_raw[[#This Row],[Column12]]), (MIN(IF(N996&lt;&gt;"",N996,9999999999999)*1.1,deployment_raw[[#This Row],[Column12]] * IF($E$2="Deployment",deployment_raw[[#This Row],[Column5]],1))*(1+$P$2)),"")</f>
        <v/>
      </c>
      <c r="Q996" s="167" t="str">
        <f>IF(ISNUMBER(deployment_raw[[#This Row],[Column13]]), (MIN(IF(O996&lt;&gt;"",O996,9999999999999)*1.1,deployment_raw[[#This Row],[Column13]] * IF($E$2="Deployment",deployment_raw[[#This Row],[Column5]],1)*(1+$Q$2)/1048576)),"")</f>
        <v/>
      </c>
      <c r="R996" s="169" t="str">
        <f>IF(ISNUMBER(deployment_raw[[#This Row],[Column8]]), (H996  * IF(N996&lt;&gt;0,$R$2,1)),"")</f>
        <v/>
      </c>
      <c r="S996" s="170" t="str">
        <f>IF(ISNUMBER(deployment_raw[[#This Row],[Column8]]), (I996  * IF(O996&lt;&gt;0,$S$2,1)),"")</f>
        <v/>
      </c>
      <c r="T996" s="202" t="str">
        <f>IF(AND(A996&lt;&gt;"",_xlfn.IFNA(MATCH(A996,'dynamic resource application '!$A$2:$A$100, 0),0)&lt;&gt;0), H996/(IF($E$2="Deployment",E996,1)),"")</f>
        <v/>
      </c>
      <c r="U996" s="211" t="str">
        <f>IF(AND(A996&lt;&gt;"",_xlfn.IFNA(MATCH(A996,'dynamic resource application '!$A$2:$A$100, 0),0)&lt;&gt;0), I996/(IF($E$2="Deployment",E996,1)),"")</f>
        <v/>
      </c>
    </row>
    <row r="997" spans="1:21" ht="15" customHeight="1" x14ac:dyDescent="0.25">
      <c r="A997" s="35" t="str">
        <f>IF(ISNONTEXT(deployment_raw[[#This Row],[Column1]]), "", deployment_raw[[#This Row],[Column1]])</f>
        <v/>
      </c>
      <c r="B997" s="36" t="str">
        <f>IF(ISNONTEXT(deployment_raw[[#This Row],[Column2]]), "", deployment_raw[[#This Row],[Column2]])</f>
        <v/>
      </c>
      <c r="C997" s="36" t="str">
        <f>IF(ISNONTEXT(deployment_raw[[#This Row],[Column3]]), "", deployment_raw[[#This Row],[Column3]])</f>
        <v/>
      </c>
      <c r="D997" s="36" t="str">
        <f>IF(ISNONTEXT(deployment_raw[[#This Row],[Column4]]), "", deployment_raw[[#This Row],[Column4]])</f>
        <v/>
      </c>
      <c r="E997" s="37" t="str">
        <f>IF(ISNUMBER(deployment_raw[[#This Row],[Column5]]), deployment_raw[[#This Row],[Column5]],"")</f>
        <v/>
      </c>
      <c r="F997" s="94" t="str">
        <f>IF(ISNUMBER(deployment_raw[[#This Row],[Column6]]), (deployment_raw[[#This Row],[Column6]] * IF($E$2="Deployment",deployment_raw[[#This Row],[Column5]],1)),"")</f>
        <v/>
      </c>
      <c r="G997" s="95" t="str">
        <f>IF(ISNUMBER(deployment_raw[[#This Row],[Column7]]), (deployment_raw[[#This Row],[Column7]] * IF($E$2="Deployment",deployment_raw[[#This Row],[Column5]],1))/1048576,"")</f>
        <v/>
      </c>
      <c r="H997" s="95" t="str">
        <f>IF(ISNUMBER(deployment_raw[[#This Row],[Column8]]), (deployment_raw[[#This Row],[Column8]]  * IF($E$2="Deployment",deployment_raw[[#This Row],[Column5]],1)),"")</f>
        <v/>
      </c>
      <c r="I997" s="96" t="str">
        <f>IF(ISNUMBER(deployment_raw[[#This Row],[Column9]]), (deployment_raw[[#This Row],[Column9]] * IF($E$2="Deployment",deployment_raw[[#This Row],[Column5]],1))/1048576,"")</f>
        <v/>
      </c>
      <c r="J997" s="122" t="str">
        <f>IF(ISNUMBER(deployment_raw[[#This Row],[Column10]]), (MIN(IF(N997&lt;&gt;"",N997,9999999999999)*1.1,deployment_raw[[#This Row],[Column10]] * IF($E$2="Deployment",deployment_raw[[#This Row],[Column5]],1))),"")</f>
        <v/>
      </c>
      <c r="K997" s="123" t="str">
        <f>IF(ISNUMBER(deployment_raw[[#This Row],[Column11]]), (MIN(IF(O997&lt;&gt;"",O997,9999999999999)*1.1,deployment_raw[[#This Row],[Column11]] * IF($E$2="Deployment",deployment_raw[[#This Row],[Column5]],1)/1048576)),"")</f>
        <v/>
      </c>
      <c r="L997" s="124" t="str">
        <f>IF(ISNUMBER(deployment_raw[[#This Row],[Column8]]),IF(OR(deployment_raw[[#This Row],[Column5]] &lt;&gt; 0,$E$2 &lt;&gt; "Deployment"), MAX(J997, P997, R997, ($L$2 * IF($E$2="Deployment",deployment_raw[[#This Row],[Column5]],1)),IF(T997&lt;&gt;"",VALUE(T997) * IF($E$2="Deployment",deployment_raw[[#This Row],[Column5]],1),0)), 0),"")</f>
        <v/>
      </c>
      <c r="M997" s="125" t="str">
        <f>IF(ISNUMBER(deployment_raw[[#This Row],[Column9]]),IF(OR(deployment_raw[[#This Row],[Column5]] &lt;&gt; 0,$E$2&lt;&gt;"Deployment"), MAX(K997, Q997, S997, ($M$2 * IF($E$2="Deployment",deployment_raw[[#This Row],[Column5]],1)),IF(U997&lt;&gt;"",VALUE(U997) * IF($E$2="Deployment",deployment_raw[[#This Row],[Column5]],1),0)), 0),"")</f>
        <v/>
      </c>
      <c r="N997" s="166" t="str">
        <f>IF(ISNUMBER(deployment_raw[[#This Row],[Column14]]), deployment_raw[[#This Row],[Column14]]/IF(OR($E$2="Deployment",deployment_raw[[#This Row],[Column5]]=0),1,deployment_raw[[#This Row],[Column5]]),"")</f>
        <v/>
      </c>
      <c r="O997" s="167" t="str">
        <f>IF(ISNUMBER(deployment_raw[[#This Row],[Column15]]), deployment_raw[[#This Row],[Column15]]/IF(OR($E$2="Deployment",deployment_raw[[#This Row],[Column5]]=0),1,deployment_raw[[#This Row],[Column5]])/1048576,"")</f>
        <v/>
      </c>
      <c r="P997" s="168" t="str">
        <f>IF(ISNUMBER(deployment_raw[[#This Row],[Column12]]), (MIN(IF(N997&lt;&gt;"",N997,9999999999999)*1.1,deployment_raw[[#This Row],[Column12]] * IF($E$2="Deployment",deployment_raw[[#This Row],[Column5]],1))*(1+$P$2)),"")</f>
        <v/>
      </c>
      <c r="Q997" s="167" t="str">
        <f>IF(ISNUMBER(deployment_raw[[#This Row],[Column13]]), (MIN(IF(O997&lt;&gt;"",O997,9999999999999)*1.1,deployment_raw[[#This Row],[Column13]] * IF($E$2="Deployment",deployment_raw[[#This Row],[Column5]],1)*(1+$Q$2)/1048576)),"")</f>
        <v/>
      </c>
      <c r="R997" s="169" t="str">
        <f>IF(ISNUMBER(deployment_raw[[#This Row],[Column8]]), (H997  * IF(N997&lt;&gt;0,$R$2,1)),"")</f>
        <v/>
      </c>
      <c r="S997" s="170" t="str">
        <f>IF(ISNUMBER(deployment_raw[[#This Row],[Column8]]), (I997  * IF(O997&lt;&gt;0,$S$2,1)),"")</f>
        <v/>
      </c>
      <c r="T997" s="202" t="str">
        <f>IF(AND(A997&lt;&gt;"",_xlfn.IFNA(MATCH(A997,'dynamic resource application '!$A$2:$A$100, 0),0)&lt;&gt;0), H997/(IF($E$2="Deployment",E997,1)),"")</f>
        <v/>
      </c>
      <c r="U997" s="211" t="str">
        <f>IF(AND(A997&lt;&gt;"",_xlfn.IFNA(MATCH(A997,'dynamic resource application '!$A$2:$A$100, 0),0)&lt;&gt;0), I997/(IF($E$2="Deployment",E997,1)),"")</f>
        <v/>
      </c>
    </row>
    <row r="998" spans="1:21" ht="15" customHeight="1" x14ac:dyDescent="0.25">
      <c r="A998" s="35" t="str">
        <f>IF(ISNONTEXT(deployment_raw[[#This Row],[Column1]]), "", deployment_raw[[#This Row],[Column1]])</f>
        <v/>
      </c>
      <c r="B998" s="36" t="str">
        <f>IF(ISNONTEXT(deployment_raw[[#This Row],[Column2]]), "", deployment_raw[[#This Row],[Column2]])</f>
        <v/>
      </c>
      <c r="C998" s="36" t="str">
        <f>IF(ISNONTEXT(deployment_raw[[#This Row],[Column3]]), "", deployment_raw[[#This Row],[Column3]])</f>
        <v/>
      </c>
      <c r="D998" s="36" t="str">
        <f>IF(ISNONTEXT(deployment_raw[[#This Row],[Column4]]), "", deployment_raw[[#This Row],[Column4]])</f>
        <v/>
      </c>
      <c r="E998" s="37" t="str">
        <f>IF(ISNUMBER(deployment_raw[[#This Row],[Column5]]), deployment_raw[[#This Row],[Column5]],"")</f>
        <v/>
      </c>
      <c r="F998" s="94" t="str">
        <f>IF(ISNUMBER(deployment_raw[[#This Row],[Column6]]), (deployment_raw[[#This Row],[Column6]] * IF($E$2="Deployment",deployment_raw[[#This Row],[Column5]],1)),"")</f>
        <v/>
      </c>
      <c r="G998" s="95" t="str">
        <f>IF(ISNUMBER(deployment_raw[[#This Row],[Column7]]), (deployment_raw[[#This Row],[Column7]] * IF($E$2="Deployment",deployment_raw[[#This Row],[Column5]],1))/1048576,"")</f>
        <v/>
      </c>
      <c r="H998" s="95" t="str">
        <f>IF(ISNUMBER(deployment_raw[[#This Row],[Column8]]), (deployment_raw[[#This Row],[Column8]]  * IF($E$2="Deployment",deployment_raw[[#This Row],[Column5]],1)),"")</f>
        <v/>
      </c>
      <c r="I998" s="96" t="str">
        <f>IF(ISNUMBER(deployment_raw[[#This Row],[Column9]]), (deployment_raw[[#This Row],[Column9]] * IF($E$2="Deployment",deployment_raw[[#This Row],[Column5]],1))/1048576,"")</f>
        <v/>
      </c>
      <c r="J998" s="122" t="str">
        <f>IF(ISNUMBER(deployment_raw[[#This Row],[Column10]]), (MIN(IF(N998&lt;&gt;"",N998,9999999999999)*1.1,deployment_raw[[#This Row],[Column10]] * IF($E$2="Deployment",deployment_raw[[#This Row],[Column5]],1))),"")</f>
        <v/>
      </c>
      <c r="K998" s="123" t="str">
        <f>IF(ISNUMBER(deployment_raw[[#This Row],[Column11]]), (MIN(IF(O998&lt;&gt;"",O998,9999999999999)*1.1,deployment_raw[[#This Row],[Column11]] * IF($E$2="Deployment",deployment_raw[[#This Row],[Column5]],1)/1048576)),"")</f>
        <v/>
      </c>
      <c r="L998" s="124" t="str">
        <f>IF(ISNUMBER(deployment_raw[[#This Row],[Column8]]),IF(OR(deployment_raw[[#This Row],[Column5]] &lt;&gt; 0,$E$2 &lt;&gt; "Deployment"), MAX(J998, P998, R998, ($L$2 * IF($E$2="Deployment",deployment_raw[[#This Row],[Column5]],1)),IF(T998&lt;&gt;"",VALUE(T998) * IF($E$2="Deployment",deployment_raw[[#This Row],[Column5]],1),0)), 0),"")</f>
        <v/>
      </c>
      <c r="M998" s="125" t="str">
        <f>IF(ISNUMBER(deployment_raw[[#This Row],[Column9]]),IF(OR(deployment_raw[[#This Row],[Column5]] &lt;&gt; 0,$E$2&lt;&gt;"Deployment"), MAX(K998, Q998, S998, ($M$2 * IF($E$2="Deployment",deployment_raw[[#This Row],[Column5]],1)),IF(U998&lt;&gt;"",VALUE(U998) * IF($E$2="Deployment",deployment_raw[[#This Row],[Column5]],1),0)), 0),"")</f>
        <v/>
      </c>
      <c r="N998" s="166" t="str">
        <f>IF(ISNUMBER(deployment_raw[[#This Row],[Column14]]), deployment_raw[[#This Row],[Column14]]/IF(OR($E$2="Deployment",deployment_raw[[#This Row],[Column5]]=0),1,deployment_raw[[#This Row],[Column5]]),"")</f>
        <v/>
      </c>
      <c r="O998" s="167" t="str">
        <f>IF(ISNUMBER(deployment_raw[[#This Row],[Column15]]), deployment_raw[[#This Row],[Column15]]/IF(OR($E$2="Deployment",deployment_raw[[#This Row],[Column5]]=0),1,deployment_raw[[#This Row],[Column5]])/1048576,"")</f>
        <v/>
      </c>
      <c r="P998" s="168" t="str">
        <f>IF(ISNUMBER(deployment_raw[[#This Row],[Column12]]), (MIN(IF(N998&lt;&gt;"",N998,9999999999999)*1.1,deployment_raw[[#This Row],[Column12]] * IF($E$2="Deployment",deployment_raw[[#This Row],[Column5]],1))*(1+$P$2)),"")</f>
        <v/>
      </c>
      <c r="Q998" s="167" t="str">
        <f>IF(ISNUMBER(deployment_raw[[#This Row],[Column13]]), (MIN(IF(O998&lt;&gt;"",O998,9999999999999)*1.1,deployment_raw[[#This Row],[Column13]] * IF($E$2="Deployment",deployment_raw[[#This Row],[Column5]],1)*(1+$Q$2)/1048576)),"")</f>
        <v/>
      </c>
      <c r="R998" s="169" t="str">
        <f>IF(ISNUMBER(deployment_raw[[#This Row],[Column8]]), (H998  * IF(N998&lt;&gt;0,$R$2,1)),"")</f>
        <v/>
      </c>
      <c r="S998" s="170" t="str">
        <f>IF(ISNUMBER(deployment_raw[[#This Row],[Column8]]), (I998  * IF(O998&lt;&gt;0,$S$2,1)),"")</f>
        <v/>
      </c>
      <c r="T998" s="202" t="str">
        <f>IF(AND(A998&lt;&gt;"",_xlfn.IFNA(MATCH(A998,'dynamic resource application '!$A$2:$A$100, 0),0)&lt;&gt;0), H998/(IF($E$2="Deployment",E998,1)),"")</f>
        <v/>
      </c>
      <c r="U998" s="211" t="str">
        <f>IF(AND(A998&lt;&gt;"",_xlfn.IFNA(MATCH(A998,'dynamic resource application '!$A$2:$A$100, 0),0)&lt;&gt;0), I998/(IF($E$2="Deployment",E998,1)),"")</f>
        <v/>
      </c>
    </row>
    <row r="999" spans="1:21" ht="15" customHeight="1" x14ac:dyDescent="0.25">
      <c r="A999" s="35" t="str">
        <f>IF(ISNONTEXT(deployment_raw[[#This Row],[Column1]]), "", deployment_raw[[#This Row],[Column1]])</f>
        <v/>
      </c>
      <c r="B999" s="36" t="str">
        <f>IF(ISNONTEXT(deployment_raw[[#This Row],[Column2]]), "", deployment_raw[[#This Row],[Column2]])</f>
        <v/>
      </c>
      <c r="C999" s="36" t="str">
        <f>IF(ISNONTEXT(deployment_raw[[#This Row],[Column3]]), "", deployment_raw[[#This Row],[Column3]])</f>
        <v/>
      </c>
      <c r="D999" s="36" t="str">
        <f>IF(ISNONTEXT(deployment_raw[[#This Row],[Column4]]), "", deployment_raw[[#This Row],[Column4]])</f>
        <v/>
      </c>
      <c r="E999" s="37" t="str">
        <f>IF(ISNUMBER(deployment_raw[[#This Row],[Column5]]), deployment_raw[[#This Row],[Column5]],"")</f>
        <v/>
      </c>
      <c r="F999" s="94" t="str">
        <f>IF(ISNUMBER(deployment_raw[[#This Row],[Column6]]), (deployment_raw[[#This Row],[Column6]] * IF($E$2="Deployment",deployment_raw[[#This Row],[Column5]],1)),"")</f>
        <v/>
      </c>
      <c r="G999" s="95" t="str">
        <f>IF(ISNUMBER(deployment_raw[[#This Row],[Column7]]), (deployment_raw[[#This Row],[Column7]] * IF($E$2="Deployment",deployment_raw[[#This Row],[Column5]],1))/1048576,"")</f>
        <v/>
      </c>
      <c r="H999" s="95" t="str">
        <f>IF(ISNUMBER(deployment_raw[[#This Row],[Column8]]), (deployment_raw[[#This Row],[Column8]]  * IF($E$2="Deployment",deployment_raw[[#This Row],[Column5]],1)),"")</f>
        <v/>
      </c>
      <c r="I999" s="96" t="str">
        <f>IF(ISNUMBER(deployment_raw[[#This Row],[Column9]]), (deployment_raw[[#This Row],[Column9]] * IF($E$2="Deployment",deployment_raw[[#This Row],[Column5]],1))/1048576,"")</f>
        <v/>
      </c>
      <c r="J999" s="122" t="str">
        <f>IF(ISNUMBER(deployment_raw[[#This Row],[Column10]]), (MIN(IF(N999&lt;&gt;"",N999,9999999999999)*1.1,deployment_raw[[#This Row],[Column10]] * IF($E$2="Deployment",deployment_raw[[#This Row],[Column5]],1))),"")</f>
        <v/>
      </c>
      <c r="K999" s="123" t="str">
        <f>IF(ISNUMBER(deployment_raw[[#This Row],[Column11]]), (MIN(IF(O999&lt;&gt;"",O999,9999999999999)*1.1,deployment_raw[[#This Row],[Column11]] * IF($E$2="Deployment",deployment_raw[[#This Row],[Column5]],1)/1048576)),"")</f>
        <v/>
      </c>
      <c r="L999" s="124" t="str">
        <f>IF(ISNUMBER(deployment_raw[[#This Row],[Column8]]),IF(OR(deployment_raw[[#This Row],[Column5]] &lt;&gt; 0,$E$2 &lt;&gt; "Deployment"), MAX(J999, P999, R999, ($L$2 * IF($E$2="Deployment",deployment_raw[[#This Row],[Column5]],1)),IF(T999&lt;&gt;"",VALUE(T999) * IF($E$2="Deployment",deployment_raw[[#This Row],[Column5]],1),0)), 0),"")</f>
        <v/>
      </c>
      <c r="M999" s="125" t="str">
        <f>IF(ISNUMBER(deployment_raw[[#This Row],[Column9]]),IF(OR(deployment_raw[[#This Row],[Column5]] &lt;&gt; 0,$E$2&lt;&gt;"Deployment"), MAX(K999, Q999, S999, ($M$2 * IF($E$2="Deployment",deployment_raw[[#This Row],[Column5]],1)),IF(U999&lt;&gt;"",VALUE(U999) * IF($E$2="Deployment",deployment_raw[[#This Row],[Column5]],1),0)), 0),"")</f>
        <v/>
      </c>
      <c r="N999" s="166" t="str">
        <f>IF(ISNUMBER(deployment_raw[[#This Row],[Column14]]), deployment_raw[[#This Row],[Column14]]/IF(OR($E$2="Deployment",deployment_raw[[#This Row],[Column5]]=0),1,deployment_raw[[#This Row],[Column5]]),"")</f>
        <v/>
      </c>
      <c r="O999" s="167" t="str">
        <f>IF(ISNUMBER(deployment_raw[[#This Row],[Column15]]), deployment_raw[[#This Row],[Column15]]/IF(OR($E$2="Deployment",deployment_raw[[#This Row],[Column5]]=0),1,deployment_raw[[#This Row],[Column5]])/1048576,"")</f>
        <v/>
      </c>
      <c r="P999" s="168" t="str">
        <f>IF(ISNUMBER(deployment_raw[[#This Row],[Column12]]), (MIN(IF(N999&lt;&gt;"",N999,9999999999999)*1.1,deployment_raw[[#This Row],[Column12]] * IF($E$2="Deployment",deployment_raw[[#This Row],[Column5]],1))*(1+$P$2)),"")</f>
        <v/>
      </c>
      <c r="Q999" s="167" t="str">
        <f>IF(ISNUMBER(deployment_raw[[#This Row],[Column13]]), (MIN(IF(O999&lt;&gt;"",O999,9999999999999)*1.1,deployment_raw[[#This Row],[Column13]] * IF($E$2="Deployment",deployment_raw[[#This Row],[Column5]],1)*(1+$Q$2)/1048576)),"")</f>
        <v/>
      </c>
      <c r="R999" s="169" t="str">
        <f>IF(ISNUMBER(deployment_raw[[#This Row],[Column8]]), (H999  * IF(N999&lt;&gt;0,$R$2,1)),"")</f>
        <v/>
      </c>
      <c r="S999" s="170" t="str">
        <f>IF(ISNUMBER(deployment_raw[[#This Row],[Column8]]), (I999  * IF(O999&lt;&gt;0,$S$2,1)),"")</f>
        <v/>
      </c>
      <c r="T999" s="202" t="str">
        <f>IF(AND(A999&lt;&gt;"",_xlfn.IFNA(MATCH(A999,'dynamic resource application '!$A$2:$A$100, 0),0)&lt;&gt;0), H999/(IF($E$2="Deployment",E999,1)),"")</f>
        <v/>
      </c>
      <c r="U999" s="211" t="str">
        <f>IF(AND(A999&lt;&gt;"",_xlfn.IFNA(MATCH(A999,'dynamic resource application '!$A$2:$A$100, 0),0)&lt;&gt;0), I999/(IF($E$2="Deployment",E999,1)),"")</f>
        <v/>
      </c>
    </row>
    <row r="1000" spans="1:21" ht="15" customHeight="1" x14ac:dyDescent="0.25">
      <c r="A1000" s="35" t="str">
        <f>IF(ISNONTEXT(deployment_raw[[#This Row],[Column1]]), "", deployment_raw[[#This Row],[Column1]])</f>
        <v/>
      </c>
      <c r="B1000" s="36" t="str">
        <f>IF(ISNONTEXT(deployment_raw[[#This Row],[Column2]]), "", deployment_raw[[#This Row],[Column2]])</f>
        <v/>
      </c>
      <c r="C1000" s="36" t="str">
        <f>IF(ISNONTEXT(deployment_raw[[#This Row],[Column3]]), "", deployment_raw[[#This Row],[Column3]])</f>
        <v/>
      </c>
      <c r="D1000" s="36" t="str">
        <f>IF(ISNONTEXT(deployment_raw[[#This Row],[Column4]]), "", deployment_raw[[#This Row],[Column4]])</f>
        <v/>
      </c>
      <c r="E1000" s="37" t="str">
        <f>IF(ISNUMBER(deployment_raw[[#This Row],[Column5]]), deployment_raw[[#This Row],[Column5]],"")</f>
        <v/>
      </c>
      <c r="F1000" s="94" t="str">
        <f>IF(ISNUMBER(deployment_raw[[#This Row],[Column6]]), (deployment_raw[[#This Row],[Column6]] * IF($E$2="Deployment",deployment_raw[[#This Row],[Column5]],1)),"")</f>
        <v/>
      </c>
      <c r="G1000" s="95" t="str">
        <f>IF(ISNUMBER(deployment_raw[[#This Row],[Column7]]), (deployment_raw[[#This Row],[Column7]] * IF($E$2="Deployment",deployment_raw[[#This Row],[Column5]],1))/1048576,"")</f>
        <v/>
      </c>
      <c r="H1000" s="95" t="str">
        <f>IF(ISNUMBER(deployment_raw[[#This Row],[Column8]]), (deployment_raw[[#This Row],[Column8]]  * IF($E$2="Deployment",deployment_raw[[#This Row],[Column5]],1)),"")</f>
        <v/>
      </c>
      <c r="I1000" s="96" t="str">
        <f>IF(ISNUMBER(deployment_raw[[#This Row],[Column9]]), (deployment_raw[[#This Row],[Column9]] * IF($E$2="Deployment",deployment_raw[[#This Row],[Column5]],1))/1048576,"")</f>
        <v/>
      </c>
      <c r="J1000" s="122" t="str">
        <f>IF(ISNUMBER(deployment_raw[[#This Row],[Column10]]), (MIN(IF(N1000&lt;&gt;"",N1000,9999999999999)*1.1,deployment_raw[[#This Row],[Column10]] * IF($E$2="Deployment",deployment_raw[[#This Row],[Column5]],1))),"")</f>
        <v/>
      </c>
      <c r="K1000" s="123" t="str">
        <f>IF(ISNUMBER(deployment_raw[[#This Row],[Column11]]), (MIN(IF(O1000&lt;&gt;"",O1000,9999999999999)*1.1,deployment_raw[[#This Row],[Column11]] * IF($E$2="Deployment",deployment_raw[[#This Row],[Column5]],1)/1048576)),"")</f>
        <v/>
      </c>
      <c r="L1000" s="124" t="str">
        <f>IF(ISNUMBER(deployment_raw[[#This Row],[Column8]]),IF(OR(deployment_raw[[#This Row],[Column5]] &lt;&gt; 0,$E$2 &lt;&gt; "Deployment"), MAX(J1000, P1000, R1000, ($L$2 * IF($E$2="Deployment",deployment_raw[[#This Row],[Column5]],1)),IF(T1000&lt;&gt;"",VALUE(T1000) * IF($E$2="Deployment",deployment_raw[[#This Row],[Column5]],1),0)), 0),"")</f>
        <v/>
      </c>
      <c r="M1000" s="125" t="str">
        <f>IF(ISNUMBER(deployment_raw[[#This Row],[Column9]]),IF(OR(deployment_raw[[#This Row],[Column5]] &lt;&gt; 0,$E$2&lt;&gt;"Deployment"), MAX(K1000, Q1000, S1000, ($M$2 * IF($E$2="Deployment",deployment_raw[[#This Row],[Column5]],1)),IF(U1000&lt;&gt;"",VALUE(U1000) * IF($E$2="Deployment",deployment_raw[[#This Row],[Column5]],1),0)), 0),"")</f>
        <v/>
      </c>
      <c r="N1000" s="166" t="str">
        <f>IF(ISNUMBER(deployment_raw[[#This Row],[Column14]]), deployment_raw[[#This Row],[Column14]]/IF(OR($E$2="Deployment",deployment_raw[[#This Row],[Column5]]=0),1,deployment_raw[[#This Row],[Column5]]),"")</f>
        <v/>
      </c>
      <c r="O1000" s="167" t="str">
        <f>IF(ISNUMBER(deployment_raw[[#This Row],[Column15]]), deployment_raw[[#This Row],[Column15]]/IF(OR($E$2="Deployment",deployment_raw[[#This Row],[Column5]]=0),1,deployment_raw[[#This Row],[Column5]])/1048576,"")</f>
        <v/>
      </c>
      <c r="P1000" s="168" t="str">
        <f>IF(ISNUMBER(deployment_raw[[#This Row],[Column12]]), (MIN(IF(N1000&lt;&gt;"",N1000,9999999999999)*1.1,deployment_raw[[#This Row],[Column12]] * IF($E$2="Deployment",deployment_raw[[#This Row],[Column5]],1))*(1+$P$2)),"")</f>
        <v/>
      </c>
      <c r="Q1000" s="167" t="str">
        <f>IF(ISNUMBER(deployment_raw[[#This Row],[Column13]]), (MIN(IF(O1000&lt;&gt;"",O1000,9999999999999)*1.1,deployment_raw[[#This Row],[Column13]] * IF($E$2="Deployment",deployment_raw[[#This Row],[Column5]],1)*(1+$Q$2)/1048576)),"")</f>
        <v/>
      </c>
      <c r="R1000" s="169" t="str">
        <f>IF(ISNUMBER(deployment_raw[[#This Row],[Column8]]), (H1000  * IF(N1000&lt;&gt;0,$R$2,1)),"")</f>
        <v/>
      </c>
      <c r="S1000" s="170" t="str">
        <f>IF(ISNUMBER(deployment_raw[[#This Row],[Column8]]), (I1000  * IF(O1000&lt;&gt;0,$S$2,1)),"")</f>
        <v/>
      </c>
      <c r="T1000" s="202" t="str">
        <f>IF(AND(A1000&lt;&gt;"",_xlfn.IFNA(MATCH(A1000,'dynamic resource application '!$A$2:$A$100, 0),0)&lt;&gt;0), H1000/(IF($E$2="Deployment",E1000,1)),"")</f>
        <v/>
      </c>
      <c r="U1000" s="211" t="str">
        <f>IF(AND(A1000&lt;&gt;"",_xlfn.IFNA(MATCH(A1000,'dynamic resource application '!$A$2:$A$100, 0),0)&lt;&gt;0), I1000/(IF($E$2="Deployment",E1000,1)),"")</f>
        <v/>
      </c>
    </row>
    <row r="1001" spans="1:21" ht="15" customHeight="1" x14ac:dyDescent="0.25">
      <c r="A1001" s="35" t="str">
        <f>IF(ISNONTEXT(deployment_raw[[#This Row],[Column1]]), "", deployment_raw[[#This Row],[Column1]])</f>
        <v/>
      </c>
      <c r="B1001" s="36" t="str">
        <f>IF(ISNONTEXT(deployment_raw[[#This Row],[Column2]]), "", deployment_raw[[#This Row],[Column2]])</f>
        <v/>
      </c>
      <c r="C1001" s="36" t="str">
        <f>IF(ISNONTEXT(deployment_raw[[#This Row],[Column3]]), "", deployment_raw[[#This Row],[Column3]])</f>
        <v/>
      </c>
      <c r="D1001" s="36" t="str">
        <f>IF(ISNONTEXT(deployment_raw[[#This Row],[Column4]]), "", deployment_raw[[#This Row],[Column4]])</f>
        <v/>
      </c>
      <c r="E1001" s="37" t="str">
        <f>IF(ISNUMBER(deployment_raw[[#This Row],[Column5]]), deployment_raw[[#This Row],[Column5]],"")</f>
        <v/>
      </c>
      <c r="F1001" s="94" t="str">
        <f>IF(ISNUMBER(deployment_raw[[#This Row],[Column6]]), (deployment_raw[[#This Row],[Column6]] * IF($E$2="Deployment",deployment_raw[[#This Row],[Column5]],1)),"")</f>
        <v/>
      </c>
      <c r="G1001" s="95" t="str">
        <f>IF(ISNUMBER(deployment_raw[[#This Row],[Column7]]), (deployment_raw[[#This Row],[Column7]] * IF($E$2="Deployment",deployment_raw[[#This Row],[Column5]],1))/1048576,"")</f>
        <v/>
      </c>
      <c r="H1001" s="95" t="str">
        <f>IF(ISNUMBER(deployment_raw[[#This Row],[Column8]]), (deployment_raw[[#This Row],[Column8]]  * IF($E$2="Deployment",deployment_raw[[#This Row],[Column5]],1)),"")</f>
        <v/>
      </c>
      <c r="I1001" s="96" t="str">
        <f>IF(ISNUMBER(deployment_raw[[#This Row],[Column9]]), (deployment_raw[[#This Row],[Column9]] * IF($E$2="Deployment",deployment_raw[[#This Row],[Column5]],1))/1048576,"")</f>
        <v/>
      </c>
      <c r="J1001" s="122" t="str">
        <f>IF(ISNUMBER(deployment_raw[[#This Row],[Column10]]), (MIN(IF(N1001&lt;&gt;"",N1001,9999999999999)*1.1,deployment_raw[[#This Row],[Column10]] * IF($E$2="Deployment",deployment_raw[[#This Row],[Column5]],1))),"")</f>
        <v/>
      </c>
      <c r="K1001" s="123" t="str">
        <f>IF(ISNUMBER(deployment_raw[[#This Row],[Column11]]), (MIN(IF(O1001&lt;&gt;"",O1001,9999999999999)*1.1,deployment_raw[[#This Row],[Column11]] * IF($E$2="Deployment",deployment_raw[[#This Row],[Column5]],1)/1048576)),"")</f>
        <v/>
      </c>
      <c r="L1001" s="124" t="str">
        <f>IF(ISNUMBER(deployment_raw[[#This Row],[Column8]]),IF(OR(deployment_raw[[#This Row],[Column5]] &lt;&gt; 0,$E$2 &lt;&gt; "Deployment"), MAX(J1001, P1001, R1001, ($L$2 * IF($E$2="Deployment",deployment_raw[[#This Row],[Column5]],1)),IF(T1001&lt;&gt;"",VALUE(T1001) * IF($E$2="Deployment",deployment_raw[[#This Row],[Column5]],1),0)), 0),"")</f>
        <v/>
      </c>
      <c r="M1001" s="125" t="str">
        <f>IF(ISNUMBER(deployment_raw[[#This Row],[Column9]]),IF(OR(deployment_raw[[#This Row],[Column5]] &lt;&gt; 0,$E$2&lt;&gt;"Deployment"), MAX(K1001, Q1001, S1001, ($M$2 * IF($E$2="Deployment",deployment_raw[[#This Row],[Column5]],1)),IF(U1001&lt;&gt;"",VALUE(U1001) * IF($E$2="Deployment",deployment_raw[[#This Row],[Column5]],1),0)), 0),"")</f>
        <v/>
      </c>
      <c r="N1001" s="166" t="str">
        <f>IF(ISNUMBER(deployment_raw[[#This Row],[Column14]]), deployment_raw[[#This Row],[Column14]]/IF(OR($E$2="Deployment",deployment_raw[[#This Row],[Column5]]=0),1,deployment_raw[[#This Row],[Column5]]),"")</f>
        <v/>
      </c>
      <c r="O1001" s="167" t="str">
        <f>IF(ISNUMBER(deployment_raw[[#This Row],[Column15]]), deployment_raw[[#This Row],[Column15]]/IF(OR($E$2="Deployment",deployment_raw[[#This Row],[Column5]]=0),1,deployment_raw[[#This Row],[Column5]])/1048576,"")</f>
        <v/>
      </c>
      <c r="P1001" s="168" t="str">
        <f>IF(ISNUMBER(deployment_raw[[#This Row],[Column12]]), (MIN(IF(N1001&lt;&gt;"",N1001,9999999999999)*1.1,deployment_raw[[#This Row],[Column12]] * IF($E$2="Deployment",deployment_raw[[#This Row],[Column5]],1))*(1+$P$2)),"")</f>
        <v/>
      </c>
      <c r="Q1001" s="167" t="str">
        <f>IF(ISNUMBER(deployment_raw[[#This Row],[Column13]]), (MIN(IF(O1001&lt;&gt;"",O1001,9999999999999)*1.1,deployment_raw[[#This Row],[Column13]] * IF($E$2="Deployment",deployment_raw[[#This Row],[Column5]],1)*(1+$Q$2)/1048576)),"")</f>
        <v/>
      </c>
      <c r="R1001" s="169" t="str">
        <f>IF(ISNUMBER(deployment_raw[[#This Row],[Column8]]), (H1001  * IF(N1001&lt;&gt;0,$R$2,1)),"")</f>
        <v/>
      </c>
      <c r="S1001" s="170" t="str">
        <f>IF(ISNUMBER(deployment_raw[[#This Row],[Column8]]), (I1001  * IF(O1001&lt;&gt;0,$S$2,1)),"")</f>
        <v/>
      </c>
      <c r="T1001" s="202" t="str">
        <f>IF(AND(A1001&lt;&gt;"",_xlfn.IFNA(MATCH(A1001,'dynamic resource application '!$A$2:$A$100, 0),0)&lt;&gt;0), H1001/(IF($E$2="Deployment",E1001,1)),"")</f>
        <v/>
      </c>
      <c r="U1001" s="211" t="str">
        <f>IF(AND(A1001&lt;&gt;"",_xlfn.IFNA(MATCH(A1001,'dynamic resource application '!$A$2:$A$100, 0),0)&lt;&gt;0), I1001/(IF($E$2="Deployment",E1001,1)),"")</f>
        <v/>
      </c>
    </row>
    <row r="1002" spans="1:21" ht="15" customHeight="1" x14ac:dyDescent="0.25">
      <c r="A1002" s="35" t="str">
        <f>IF(ISNONTEXT(deployment_raw[[#This Row],[Column1]]), "", deployment_raw[[#This Row],[Column1]])</f>
        <v/>
      </c>
      <c r="B1002" s="36" t="str">
        <f>IF(ISNONTEXT(deployment_raw[[#This Row],[Column2]]), "", deployment_raw[[#This Row],[Column2]])</f>
        <v/>
      </c>
      <c r="C1002" s="36" t="str">
        <f>IF(ISNONTEXT(deployment_raw[[#This Row],[Column3]]), "", deployment_raw[[#This Row],[Column3]])</f>
        <v/>
      </c>
      <c r="D1002" s="36" t="str">
        <f>IF(ISNONTEXT(deployment_raw[[#This Row],[Column4]]), "", deployment_raw[[#This Row],[Column4]])</f>
        <v/>
      </c>
      <c r="E1002" s="37" t="str">
        <f>IF(ISNUMBER(deployment_raw[[#This Row],[Column5]]), deployment_raw[[#This Row],[Column5]],"")</f>
        <v/>
      </c>
      <c r="F1002" s="94" t="str">
        <f>IF(ISNUMBER(deployment_raw[[#This Row],[Column6]]), (deployment_raw[[#This Row],[Column6]] * IF($E$2="Deployment",deployment_raw[[#This Row],[Column5]],1)),"")</f>
        <v/>
      </c>
      <c r="G1002" s="95" t="str">
        <f>IF(ISNUMBER(deployment_raw[[#This Row],[Column7]]), (deployment_raw[[#This Row],[Column7]] * IF($E$2="Deployment",deployment_raw[[#This Row],[Column5]],1))/1048576,"")</f>
        <v/>
      </c>
      <c r="H1002" s="95" t="str">
        <f>IF(ISNUMBER(deployment_raw[[#This Row],[Column8]]), (deployment_raw[[#This Row],[Column8]]  * IF($E$2="Deployment",deployment_raw[[#This Row],[Column5]],1)),"")</f>
        <v/>
      </c>
      <c r="I1002" s="96" t="str">
        <f>IF(ISNUMBER(deployment_raw[[#This Row],[Column9]]), (deployment_raw[[#This Row],[Column9]] * IF($E$2="Deployment",deployment_raw[[#This Row],[Column5]],1))/1048576,"")</f>
        <v/>
      </c>
      <c r="J1002" s="122" t="str">
        <f>IF(ISNUMBER(deployment_raw[[#This Row],[Column10]]), (MIN(IF(N1002&lt;&gt;"",N1002,9999999999999)*1.1,deployment_raw[[#This Row],[Column10]] * IF($E$2="Deployment",deployment_raw[[#This Row],[Column5]],1))),"")</f>
        <v/>
      </c>
      <c r="K1002" s="123" t="str">
        <f>IF(ISNUMBER(deployment_raw[[#This Row],[Column11]]), (MIN(IF(O1002&lt;&gt;"",O1002,9999999999999)*1.1,deployment_raw[[#This Row],[Column11]] * IF($E$2="Deployment",deployment_raw[[#This Row],[Column5]],1)/1048576)),"")</f>
        <v/>
      </c>
      <c r="L1002" s="124" t="str">
        <f>IF(ISNUMBER(deployment_raw[[#This Row],[Column8]]),IF(OR(deployment_raw[[#This Row],[Column5]] &lt;&gt; 0,$E$2 &lt;&gt; "Deployment"), MAX(J1002, P1002, R1002, ($L$2 * IF($E$2="Deployment",deployment_raw[[#This Row],[Column5]],1)),IF(T1002&lt;&gt;"",VALUE(T1002) * IF($E$2="Deployment",deployment_raw[[#This Row],[Column5]],1),0)), 0),"")</f>
        <v/>
      </c>
      <c r="M1002" s="125" t="str">
        <f>IF(ISNUMBER(deployment_raw[[#This Row],[Column9]]),IF(OR(deployment_raw[[#This Row],[Column5]] &lt;&gt; 0,$E$2&lt;&gt;"Deployment"), MAX(K1002, Q1002, S1002, ($M$2 * IF($E$2="Deployment",deployment_raw[[#This Row],[Column5]],1)),IF(U1002&lt;&gt;"",VALUE(U1002) * IF($E$2="Deployment",deployment_raw[[#This Row],[Column5]],1),0)), 0),"")</f>
        <v/>
      </c>
      <c r="N1002" s="166" t="str">
        <f>IF(ISNUMBER(deployment_raw[[#This Row],[Column14]]), deployment_raw[[#This Row],[Column14]]/IF(OR($E$2="Deployment",deployment_raw[[#This Row],[Column5]]=0),1,deployment_raw[[#This Row],[Column5]]),"")</f>
        <v/>
      </c>
      <c r="O1002" s="167" t="str">
        <f>IF(ISNUMBER(deployment_raw[[#This Row],[Column15]]), deployment_raw[[#This Row],[Column15]]/IF(OR($E$2="Deployment",deployment_raw[[#This Row],[Column5]]=0),1,deployment_raw[[#This Row],[Column5]])/1048576,"")</f>
        <v/>
      </c>
      <c r="P1002" s="168" t="str">
        <f>IF(ISNUMBER(deployment_raw[[#This Row],[Column12]]), (MIN(IF(N1002&lt;&gt;"",N1002,9999999999999)*1.1,deployment_raw[[#This Row],[Column12]] * IF($E$2="Deployment",deployment_raw[[#This Row],[Column5]],1))*(1+$P$2)),"")</f>
        <v/>
      </c>
      <c r="Q1002" s="167" t="str">
        <f>IF(ISNUMBER(deployment_raw[[#This Row],[Column13]]), (MIN(IF(O1002&lt;&gt;"",O1002,9999999999999)*1.1,deployment_raw[[#This Row],[Column13]] * IF($E$2="Deployment",deployment_raw[[#This Row],[Column5]],1)*(1+$Q$2)/1048576)),"")</f>
        <v/>
      </c>
      <c r="R1002" s="169" t="str">
        <f>IF(ISNUMBER(deployment_raw[[#This Row],[Column8]]), (H1002  * IF(N1002&lt;&gt;0,$R$2,1)),"")</f>
        <v/>
      </c>
      <c r="S1002" s="170" t="str">
        <f>IF(ISNUMBER(deployment_raw[[#This Row],[Column8]]), (I1002  * IF(O1002&lt;&gt;0,$S$2,1)),"")</f>
        <v/>
      </c>
      <c r="T1002" s="202" t="str">
        <f>IF(AND(A1002&lt;&gt;"",_xlfn.IFNA(MATCH(A1002,'dynamic resource application '!$A$2:$A$100, 0),0)&lt;&gt;0), H1002/(IF($E$2="Deployment",E1002,1)),"")</f>
        <v/>
      </c>
      <c r="U1002" s="211" t="str">
        <f>IF(AND(A1002&lt;&gt;"",_xlfn.IFNA(MATCH(A1002,'dynamic resource application '!$A$2:$A$100, 0),0)&lt;&gt;0), I1002/(IF($E$2="Deployment",E1002,1)),"")</f>
        <v/>
      </c>
    </row>
  </sheetData>
  <autoFilter ref="A3:I1002" xr:uid="{00000000-0001-0000-0100-000000000000}"/>
  <mergeCells count="1">
    <mergeCell ref="F1:G1"/>
  </mergeCells>
  <conditionalFormatting sqref="O4:O1002">
    <cfRule type="expression" dxfId="10" priority="3">
      <formula>O4&gt;M4</formula>
    </cfRule>
  </conditionalFormatting>
  <dataValidations disablePrompts="1" count="5">
    <dataValidation type="list" allowBlank="1" showInputMessage="1" showErrorMessage="1" sqref="R2:S2" xr:uid="{FEAB6C2B-77FC-4DA9-A4D3-8B327288D1CE}">
      <formula1>"0%,10%,20%,30%,40%,50%,60%,70%,80%,90%,100%,120%,150%"</formula1>
    </dataValidation>
    <dataValidation type="decimal" showInputMessage="1" showErrorMessage="1" sqref="L2" xr:uid="{593D816F-62CD-428B-9F10-961F10CE9717}">
      <formula1>50</formula1>
      <formula2>128000</formula2>
    </dataValidation>
    <dataValidation type="decimal" showInputMessage="1" showErrorMessage="1" sqref="M2" xr:uid="{B9CA250F-36A6-41CB-91BF-16196FA72518}">
      <formula1>25</formula1>
      <formula2>256000</formula2>
    </dataValidation>
    <dataValidation type="list" allowBlank="1" showInputMessage="1" showErrorMessage="1" sqref="P2:Q2" xr:uid="{608362B9-8733-4254-9080-C6777645D277}">
      <formula1>"0%,10%,20%,30%,40%,50%,60%,70%,80%,90%,100%,150%,200%,300%"</formula1>
    </dataValidation>
    <dataValidation type="list" allowBlank="1" showInputMessage="1" showErrorMessage="1" sqref="E2" xr:uid="{6DBE1AA0-E531-46A8-8318-1C6DD8D4F458}">
      <formula1>"Deployment,Replica"</formula1>
    </dataValidation>
  </dataValidations>
  <pageMargins left="0.7" right="0.7" top="0.75" bottom="0.75" header="0" footer="0"/>
  <pageSetup orientation="landscape" r:id="rId1"/>
  <headerFooter>
    <oddFooter>&amp;C_x000D_&amp;1#&amp;"Calibri"&amp;7&amp;K000000 Juniper Business Use Only</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97AF0-FBFF-4E2D-B6EF-A6B23518B630}">
  <sheetPr codeName="Sheet6"/>
  <dimension ref="A1:R1002"/>
  <sheetViews>
    <sheetView zoomScaleNormal="100" workbookViewId="0">
      <pane xSplit="1" ySplit="3" topLeftCell="B4" activePane="bottomRight" state="frozen"/>
      <selection pane="topRight" activeCell="B1" sqref="B1"/>
      <selection pane="bottomLeft" activeCell="A4" sqref="A4"/>
      <selection pane="bottomRight" activeCell="B2" sqref="B2"/>
    </sheetView>
  </sheetViews>
  <sheetFormatPr defaultColWidth="14.42578125" defaultRowHeight="15" customHeight="1" x14ac:dyDescent="0.25"/>
  <cols>
    <col min="1" max="1" width="38.7109375" style="38" customWidth="1"/>
    <col min="2" max="2" width="18.85546875" style="39" customWidth="1"/>
    <col min="3" max="3" width="18.28515625" style="97" customWidth="1"/>
    <col min="4" max="4" width="18.42578125" style="98" customWidth="1"/>
    <col min="5" max="5" width="22" style="98" customWidth="1"/>
    <col min="6" max="6" width="22.85546875" style="99" customWidth="1"/>
    <col min="7" max="7" width="18.28515625" style="126" customWidth="1"/>
    <col min="8" max="8" width="18.42578125" style="127" customWidth="1"/>
    <col min="9" max="9" width="22.7109375" style="127" customWidth="1"/>
    <col min="10" max="10" width="22.7109375" style="128" customWidth="1"/>
    <col min="11" max="11" width="18.28515625" style="171" customWidth="1"/>
    <col min="12" max="12" width="18.28515625" style="172" customWidth="1"/>
    <col min="13" max="13" width="22.7109375" style="173" customWidth="1"/>
    <col min="14" max="14" width="22.7109375" style="172" customWidth="1"/>
    <col min="15" max="15" width="25.85546875" style="174" customWidth="1"/>
    <col min="16" max="16" width="25.85546875" style="175" customWidth="1"/>
    <col min="17" max="17" width="18.28515625" style="203" customWidth="1"/>
    <col min="18" max="18" width="18.28515625" style="205" customWidth="1"/>
    <col min="19" max="23" width="8.7109375" style="10" customWidth="1"/>
    <col min="24" max="16384" width="14.42578125" style="10"/>
  </cols>
  <sheetData>
    <row r="1" spans="1:18" ht="39.75" customHeight="1" thickTop="1" thickBot="1" x14ac:dyDescent="0.3">
      <c r="A1" s="201" t="str">
        <f>IF(ISNUMBER(VALUE('namespace-raw'!D3)),_xlfn.CONCAT('namespace-raw'!A3, ", ", 'namespace-raw'!B3),"")</f>
        <v>1.1.2, 0</v>
      </c>
      <c r="B1" s="189"/>
      <c r="C1" s="216" t="str">
        <f>IF(ISNUMBER(VALUE('namespace-raw'!D3)),_xlfn.CONCAT("Granularity:  ", 'namespace-raw'!D3),"")</f>
        <v>Granularity:  0</v>
      </c>
      <c r="D1" s="217"/>
      <c r="E1" s="194"/>
      <c r="F1" s="194"/>
      <c r="G1" s="194"/>
      <c r="H1" s="195"/>
      <c r="I1" s="184" t="s">
        <v>67</v>
      </c>
      <c r="J1" s="78" t="s">
        <v>68</v>
      </c>
      <c r="K1" s="186"/>
      <c r="L1" s="102"/>
      <c r="M1" s="103" t="s">
        <v>61</v>
      </c>
      <c r="N1" s="104" t="s">
        <v>62</v>
      </c>
      <c r="O1" s="77" t="s">
        <v>48</v>
      </c>
      <c r="P1" s="129" t="s">
        <v>49</v>
      </c>
      <c r="Q1" s="209"/>
      <c r="R1" s="194"/>
    </row>
    <row r="2" spans="1:18" ht="24.75" customHeight="1" thickTop="1" thickBot="1" x14ac:dyDescent="0.3">
      <c r="A2" s="200" t="str">
        <f>IF(ISNUMBER(VALUE('namespace-raw'!D3)),_xlfn.CONCAT("Cluster:  ", 'namespace-raw'!C3),"")</f>
        <v xml:space="preserve">Cluster:  </v>
      </c>
      <c r="B2" s="190"/>
      <c r="C2" s="196"/>
      <c r="D2" s="197"/>
      <c r="E2" s="198"/>
      <c r="F2" s="198"/>
      <c r="G2" s="198"/>
      <c r="H2" s="199"/>
      <c r="I2" s="185">
        <v>50</v>
      </c>
      <c r="J2" s="188">
        <v>25</v>
      </c>
      <c r="K2" s="187" t="s">
        <v>57</v>
      </c>
      <c r="L2" s="132" t="str">
        <f>IF($A$4&lt;&gt;"", MAX('namespace-raw'!N:N),"")</f>
        <v/>
      </c>
      <c r="M2" s="160">
        <v>0</v>
      </c>
      <c r="N2" s="161">
        <v>0</v>
      </c>
      <c r="O2" s="162">
        <v>0</v>
      </c>
      <c r="P2" s="206">
        <v>0</v>
      </c>
      <c r="Q2" s="208"/>
      <c r="R2" s="207"/>
    </row>
    <row r="3" spans="1:18" ht="59.25" customHeight="1" thickBot="1" x14ac:dyDescent="0.3">
      <c r="A3" s="89" t="s">
        <v>23</v>
      </c>
      <c r="B3" s="92" t="s">
        <v>90</v>
      </c>
      <c r="C3" s="91" t="s">
        <v>91</v>
      </c>
      <c r="D3" s="92" t="s">
        <v>92</v>
      </c>
      <c r="E3" s="92" t="s">
        <v>93</v>
      </c>
      <c r="F3" s="93" t="s">
        <v>94</v>
      </c>
      <c r="G3" s="91" t="s">
        <v>69</v>
      </c>
      <c r="H3" s="92" t="s">
        <v>70</v>
      </c>
      <c r="I3" s="92" t="s">
        <v>71</v>
      </c>
      <c r="J3" s="176" t="s">
        <v>72</v>
      </c>
      <c r="K3" s="100" t="s">
        <v>65</v>
      </c>
      <c r="L3" s="101" t="s">
        <v>66</v>
      </c>
      <c r="M3" s="105" t="s">
        <v>59</v>
      </c>
      <c r="N3" s="106" t="s">
        <v>60</v>
      </c>
      <c r="O3" s="130" t="s">
        <v>63</v>
      </c>
      <c r="P3" s="131" t="s">
        <v>64</v>
      </c>
      <c r="Q3" s="100" t="s">
        <v>84</v>
      </c>
      <c r="R3" s="101" t="s">
        <v>85</v>
      </c>
    </row>
    <row r="4" spans="1:18" ht="15.75" thickTop="1" x14ac:dyDescent="0.25">
      <c r="A4" s="32" t="str">
        <f>IF(ISNONTEXT(namespace_raw[[#This Row],[Column1]]), "", namespace_raw[[#This Row],[Column1]])</f>
        <v/>
      </c>
      <c r="B4" s="33" t="str">
        <f>IF(ISNONTEXT(namespace_raw[[#This Row],[Column2]]), "", namespace_raw[[#This Row],[Column2]])</f>
        <v/>
      </c>
      <c r="C4" s="94" t="str">
        <f>IF(ISNUMBER(namespace_raw[[#This Row],[Column4]]), namespace_raw[[#This Row],[Column4]], "")</f>
        <v/>
      </c>
      <c r="D4" s="95" t="str">
        <f>IF(ISNUMBER(namespace_raw[[#This Row],[Column5]]), namespace_raw[[#This Row],[Column5]]/1048576, "")</f>
        <v/>
      </c>
      <c r="E4" s="95" t="str">
        <f>IF(ISNUMBER(namespace_raw[[#This Row],[Column6]]), namespace_raw[[#This Row],[Column6]],"")</f>
        <v/>
      </c>
      <c r="F4" s="96" t="str">
        <f>IF(ISNUMBER(namespace_raw[[#This Row],[Column7]]), namespace_raw[[#This Row],[Column7]]/1048576,"")</f>
        <v/>
      </c>
      <c r="G4" s="122" t="str">
        <f>IF(ISNUMBER(namespace_raw[[#This Row],[Column8]]), namespace_raw[[#This Row],[Column8]],"")</f>
        <v/>
      </c>
      <c r="H4" s="123" t="str">
        <f>IF(ISNUMBER(namespace_raw[[#This Row],[Column9]]), namespace_raw[[#This Row],[Column9]]/1048576,"")</f>
        <v/>
      </c>
      <c r="I4" s="124" t="str">
        <f>IF(ISNUMBER(namespace_raw[[#This Row],[Column8]]),MAX(G4, M4, O4, $I$2,IF(Q4&lt;&gt;"",VALUE(Q4),0)), "")</f>
        <v/>
      </c>
      <c r="J4" s="125" t="str">
        <f>IF(ISNUMBER(namespace_raw[[#This Row],[Column9]]),MAX(H4, N4, P4, $J$2,IF(R4&lt;&gt;"",VALUE(R4),0)),"")</f>
        <v/>
      </c>
      <c r="K4" s="166" t="str">
        <f>IF(ISNUMBER(namespace_raw[[#This Row],[Column12]]), namespace_raw[[#This Row],[Column12]],"")</f>
        <v/>
      </c>
      <c r="L4" s="167" t="str">
        <f>IF(ISNUMBER(namespace_raw[[#This Row],[Column13]]), namespace_raw[[#This Row],[Column13]]/1048576,"")</f>
        <v/>
      </c>
      <c r="M4" s="168" t="str">
        <f>IF(ISNUMBER(namespace_raw[[#This Row],[Column10]]), (namespace_raw[[#This Row],[Column10]]*(1+$M$2)),"")</f>
        <v/>
      </c>
      <c r="N4" s="167" t="str">
        <f>IF(ISNUMBER(namespace_raw[[#This Row],[Column11]]), (namespace_raw[[#This Row],[Column11]]*(1+$N$2))/1048576,"")</f>
        <v/>
      </c>
      <c r="O4" s="169" t="str">
        <f>IF(ISNUMBER(namespace_raw[[#This Row],[Column8]]), (E4  * $O$2),"")</f>
        <v/>
      </c>
      <c r="P4" s="170" t="str">
        <f>IF(ISNUMBER(namespace_raw[[#This Row],[Column8]]), (F4  * $P$2),"")</f>
        <v/>
      </c>
      <c r="Q4" s="202"/>
      <c r="R4" s="204"/>
    </row>
    <row r="5" spans="1:18" ht="15" customHeight="1" x14ac:dyDescent="0.25">
      <c r="A5" s="32" t="str">
        <f>IF(ISNONTEXT(namespace_raw[[#This Row],[Column1]]), "", namespace_raw[[#This Row],[Column1]])</f>
        <v/>
      </c>
      <c r="B5" s="33" t="str">
        <f>IF(ISNONTEXT(namespace_raw[[#This Row],[Column2]]), "", namespace_raw[[#This Row],[Column2]])</f>
        <v/>
      </c>
      <c r="C5" s="94" t="str">
        <f>IF(ISNUMBER(namespace_raw[[#This Row],[Column4]]), namespace_raw[[#This Row],[Column4]], "")</f>
        <v/>
      </c>
      <c r="D5" s="95" t="str">
        <f>IF(ISNUMBER(namespace_raw[[#This Row],[Column5]]), namespace_raw[[#This Row],[Column5]]/1048576, "")</f>
        <v/>
      </c>
      <c r="E5" s="95" t="str">
        <f>IF(ISNUMBER(namespace_raw[[#This Row],[Column6]]), namespace_raw[[#This Row],[Column6]],"")</f>
        <v/>
      </c>
      <c r="F5" s="96" t="str">
        <f>IF(ISNUMBER(namespace_raw[[#This Row],[Column7]]), namespace_raw[[#This Row],[Column7]]/1048576,"")</f>
        <v/>
      </c>
      <c r="G5" s="122" t="str">
        <f>IF(ISNUMBER(namespace_raw[[#This Row],[Column8]]), namespace_raw[[#This Row],[Column8]],"")</f>
        <v/>
      </c>
      <c r="H5" s="123" t="str">
        <f>IF(ISNUMBER(namespace_raw[[#This Row],[Column9]]), namespace_raw[[#This Row],[Column9]]/1048576,"")</f>
        <v/>
      </c>
      <c r="I5" s="124" t="str">
        <f>IF(ISNUMBER(namespace_raw[[#This Row],[Column8]]),MAX(G5, M5, O5, $I$2,IF(Q5&lt;&gt;"",VALUE(Q5),0)), "")</f>
        <v/>
      </c>
      <c r="J5" s="125" t="str">
        <f>IF(ISNUMBER(namespace_raw[[#This Row],[Column9]]),MAX(H5, N5, P5, $J$2,IF(R5&lt;&gt;"",VALUE(R5),0)),"")</f>
        <v/>
      </c>
      <c r="K5" s="166" t="str">
        <f>IF(ISNUMBER(namespace_raw[[#This Row],[Column12]]), namespace_raw[[#This Row],[Column12]],"")</f>
        <v/>
      </c>
      <c r="L5" s="167" t="str">
        <f>IF(ISNUMBER(namespace_raw[[#This Row],[Column13]]), namespace_raw[[#This Row],[Column13]]/1048576,"")</f>
        <v/>
      </c>
      <c r="M5" s="168" t="str">
        <f>IF(ISNUMBER(namespace_raw[[#This Row],[Column10]]), (namespace_raw[[#This Row],[Column10]]*(1+$M$2)),"")</f>
        <v/>
      </c>
      <c r="N5" s="167" t="str">
        <f>IF(ISNUMBER(namespace_raw[[#This Row],[Column11]]), (namespace_raw[[#This Row],[Column11]]*(1+$N$2))/1048576,"")</f>
        <v/>
      </c>
      <c r="O5" s="169" t="str">
        <f>IF(ISNUMBER(namespace_raw[[#This Row],[Column8]]), (E5  * $O$2),"")</f>
        <v/>
      </c>
      <c r="P5" s="170" t="str">
        <f>IF(ISNUMBER(namespace_raw[[#This Row],[Column8]]), (F5  * $P$2),"")</f>
        <v/>
      </c>
    </row>
    <row r="6" spans="1:18" ht="15" customHeight="1" x14ac:dyDescent="0.25">
      <c r="A6" s="32" t="str">
        <f>IF(ISNONTEXT(namespace_raw[[#This Row],[Column1]]), "", namespace_raw[[#This Row],[Column1]])</f>
        <v/>
      </c>
      <c r="B6" s="33" t="str">
        <f>IF(ISNONTEXT(namespace_raw[[#This Row],[Column2]]), "", namespace_raw[[#This Row],[Column2]])</f>
        <v/>
      </c>
      <c r="C6" s="94" t="str">
        <f>IF(ISNUMBER(namespace_raw[[#This Row],[Column4]]), namespace_raw[[#This Row],[Column4]], "")</f>
        <v/>
      </c>
      <c r="D6" s="95" t="str">
        <f>IF(ISNUMBER(namespace_raw[[#This Row],[Column5]]), namespace_raw[[#This Row],[Column5]]/1048576, "")</f>
        <v/>
      </c>
      <c r="E6" s="95" t="str">
        <f>IF(ISNUMBER(namespace_raw[[#This Row],[Column6]]), namespace_raw[[#This Row],[Column6]],"")</f>
        <v/>
      </c>
      <c r="F6" s="96" t="str">
        <f>IF(ISNUMBER(namespace_raw[[#This Row],[Column7]]), namespace_raw[[#This Row],[Column7]]/1048576,"")</f>
        <v/>
      </c>
      <c r="G6" s="122" t="str">
        <f>IF(ISNUMBER(namespace_raw[[#This Row],[Column8]]), namespace_raw[[#This Row],[Column8]],"")</f>
        <v/>
      </c>
      <c r="H6" s="123" t="str">
        <f>IF(ISNUMBER(namespace_raw[[#This Row],[Column9]]), namespace_raw[[#This Row],[Column9]]/1048576,"")</f>
        <v/>
      </c>
      <c r="I6" s="124" t="str">
        <f>IF(ISNUMBER(namespace_raw[[#This Row],[Column8]]),MAX(G6, M6, O6, $I$2,IF(Q6&lt;&gt;"",VALUE(Q6),0)), "")</f>
        <v/>
      </c>
      <c r="J6" s="125" t="str">
        <f>IF(ISNUMBER(namespace_raw[[#This Row],[Column9]]),MAX(H6, N6, P6, $J$2,IF(R6&lt;&gt;"",VALUE(R6),0)),"")</f>
        <v/>
      </c>
      <c r="K6" s="166" t="str">
        <f>IF(ISNUMBER(namespace_raw[[#This Row],[Column12]]), namespace_raw[[#This Row],[Column12]],"")</f>
        <v/>
      </c>
      <c r="L6" s="167" t="str">
        <f>IF(ISNUMBER(namespace_raw[[#This Row],[Column13]]), namespace_raw[[#This Row],[Column13]]/1048576,"")</f>
        <v/>
      </c>
      <c r="M6" s="168" t="str">
        <f>IF(ISNUMBER(namespace_raw[[#This Row],[Column10]]), (namespace_raw[[#This Row],[Column10]]*(1+$M$2)),"")</f>
        <v/>
      </c>
      <c r="N6" s="167" t="str">
        <f>IF(ISNUMBER(namespace_raw[[#This Row],[Column11]]), (namespace_raw[[#This Row],[Column11]]*(1+$N$2))/1048576,"")</f>
        <v/>
      </c>
      <c r="O6" s="169" t="str">
        <f>IF(ISNUMBER(namespace_raw[[#This Row],[Column8]]), (E6  * $O$2),"")</f>
        <v/>
      </c>
      <c r="P6" s="170" t="str">
        <f>IF(ISNUMBER(namespace_raw[[#This Row],[Column8]]), (F6  * $P$2),"")</f>
        <v/>
      </c>
    </row>
    <row r="7" spans="1:18" ht="15" customHeight="1" x14ac:dyDescent="0.25">
      <c r="A7" s="32" t="str">
        <f>IF(ISNONTEXT(namespace_raw[[#This Row],[Column1]]), "", namespace_raw[[#This Row],[Column1]])</f>
        <v/>
      </c>
      <c r="B7" s="33" t="str">
        <f>IF(ISNONTEXT(namespace_raw[[#This Row],[Column2]]), "", namespace_raw[[#This Row],[Column2]])</f>
        <v/>
      </c>
      <c r="C7" s="94" t="str">
        <f>IF(ISNUMBER(namespace_raw[[#This Row],[Column4]]), namespace_raw[[#This Row],[Column4]], "")</f>
        <v/>
      </c>
      <c r="D7" s="95" t="str">
        <f>IF(ISNUMBER(namespace_raw[[#This Row],[Column5]]), namespace_raw[[#This Row],[Column5]]/1048576, "")</f>
        <v/>
      </c>
      <c r="E7" s="95" t="str">
        <f>IF(ISNUMBER(namespace_raw[[#This Row],[Column6]]), namespace_raw[[#This Row],[Column6]],"")</f>
        <v/>
      </c>
      <c r="F7" s="96" t="str">
        <f>IF(ISNUMBER(namespace_raw[[#This Row],[Column7]]), namespace_raw[[#This Row],[Column7]]/1048576,"")</f>
        <v/>
      </c>
      <c r="G7" s="122" t="str">
        <f>IF(ISNUMBER(namespace_raw[[#This Row],[Column8]]), namespace_raw[[#This Row],[Column8]],"")</f>
        <v/>
      </c>
      <c r="H7" s="123" t="str">
        <f>IF(ISNUMBER(namespace_raw[[#This Row],[Column9]]), namespace_raw[[#This Row],[Column9]]/1048576,"")</f>
        <v/>
      </c>
      <c r="I7" s="124" t="str">
        <f>IF(ISNUMBER(namespace_raw[[#This Row],[Column8]]),MAX(G7, M7, O7, $I$2,IF(Q7&lt;&gt;"",VALUE(Q7),0)), "")</f>
        <v/>
      </c>
      <c r="J7" s="125" t="str">
        <f>IF(ISNUMBER(namespace_raw[[#This Row],[Column9]]),MAX(H7, N7, P7, $J$2,IF(R7&lt;&gt;"",VALUE(R7),0)),"")</f>
        <v/>
      </c>
      <c r="K7" s="166" t="str">
        <f>IF(ISNUMBER(namespace_raw[[#This Row],[Column12]]), namespace_raw[[#This Row],[Column12]],"")</f>
        <v/>
      </c>
      <c r="L7" s="167" t="str">
        <f>IF(ISNUMBER(namespace_raw[[#This Row],[Column13]]), namespace_raw[[#This Row],[Column13]]/1048576,"")</f>
        <v/>
      </c>
      <c r="M7" s="168" t="str">
        <f>IF(ISNUMBER(namespace_raw[[#This Row],[Column10]]), (namespace_raw[[#This Row],[Column10]]*(1+$M$2)),"")</f>
        <v/>
      </c>
      <c r="N7" s="167" t="str">
        <f>IF(ISNUMBER(namespace_raw[[#This Row],[Column11]]), (namespace_raw[[#This Row],[Column11]]*(1+$N$2))/1048576,"")</f>
        <v/>
      </c>
      <c r="O7" s="169" t="str">
        <f>IF(ISNUMBER(namespace_raw[[#This Row],[Column8]]), (E7  * $O$2),"")</f>
        <v/>
      </c>
      <c r="P7" s="170" t="str">
        <f>IF(ISNUMBER(namespace_raw[[#This Row],[Column8]]), (F7  * $P$2),"")</f>
        <v/>
      </c>
    </row>
    <row r="8" spans="1:18" ht="15" customHeight="1" x14ac:dyDescent="0.25">
      <c r="A8" s="32" t="str">
        <f>IF(ISNONTEXT(namespace_raw[[#This Row],[Column1]]), "", namespace_raw[[#This Row],[Column1]])</f>
        <v/>
      </c>
      <c r="B8" s="33" t="str">
        <f>IF(ISNONTEXT(namespace_raw[[#This Row],[Column2]]), "", namespace_raw[[#This Row],[Column2]])</f>
        <v/>
      </c>
      <c r="C8" s="94" t="str">
        <f>IF(ISNUMBER(namespace_raw[[#This Row],[Column4]]), namespace_raw[[#This Row],[Column4]], "")</f>
        <v/>
      </c>
      <c r="D8" s="95" t="str">
        <f>IF(ISNUMBER(namespace_raw[[#This Row],[Column5]]), namespace_raw[[#This Row],[Column5]]/1048576, "")</f>
        <v/>
      </c>
      <c r="E8" s="95" t="str">
        <f>IF(ISNUMBER(namespace_raw[[#This Row],[Column6]]), namespace_raw[[#This Row],[Column6]],"")</f>
        <v/>
      </c>
      <c r="F8" s="96" t="str">
        <f>IF(ISNUMBER(namespace_raw[[#This Row],[Column7]]), namespace_raw[[#This Row],[Column7]]/1048576,"")</f>
        <v/>
      </c>
      <c r="G8" s="122" t="str">
        <f>IF(ISNUMBER(namespace_raw[[#This Row],[Column8]]), namespace_raw[[#This Row],[Column8]],"")</f>
        <v/>
      </c>
      <c r="H8" s="123" t="str">
        <f>IF(ISNUMBER(namespace_raw[[#This Row],[Column9]]), namespace_raw[[#This Row],[Column9]]/1048576,"")</f>
        <v/>
      </c>
      <c r="I8" s="124" t="str">
        <f>IF(ISNUMBER(namespace_raw[[#This Row],[Column8]]),MAX(G8, M8, O8, $I$2,IF(Q8&lt;&gt;"",VALUE(Q8),0)), "")</f>
        <v/>
      </c>
      <c r="J8" s="125" t="str">
        <f>IF(ISNUMBER(namespace_raw[[#This Row],[Column9]]),MAX(H8, N8, P8, $J$2,IF(R8&lt;&gt;"",VALUE(R8),0)),"")</f>
        <v/>
      </c>
      <c r="K8" s="166" t="str">
        <f>IF(ISNUMBER(namespace_raw[[#This Row],[Column12]]), namespace_raw[[#This Row],[Column12]],"")</f>
        <v/>
      </c>
      <c r="L8" s="167" t="str">
        <f>IF(ISNUMBER(namespace_raw[[#This Row],[Column13]]), namespace_raw[[#This Row],[Column13]]/1048576,"")</f>
        <v/>
      </c>
      <c r="M8" s="168" t="str">
        <f>IF(ISNUMBER(namespace_raw[[#This Row],[Column10]]), (namespace_raw[[#This Row],[Column10]]*(1+$M$2)),"")</f>
        <v/>
      </c>
      <c r="N8" s="167" t="str">
        <f>IF(ISNUMBER(namespace_raw[[#This Row],[Column11]]), (namespace_raw[[#This Row],[Column11]]*(1+$N$2))/1048576,"")</f>
        <v/>
      </c>
      <c r="O8" s="169" t="str">
        <f>IF(ISNUMBER(namespace_raw[[#This Row],[Column8]]), (E8  * $O$2),"")</f>
        <v/>
      </c>
      <c r="P8" s="170" t="str">
        <f>IF(ISNUMBER(namespace_raw[[#This Row],[Column8]]), (F8  * $P$2),"")</f>
        <v/>
      </c>
    </row>
    <row r="9" spans="1:18" ht="15" customHeight="1" x14ac:dyDescent="0.25">
      <c r="A9" s="32" t="str">
        <f>IF(ISNONTEXT(namespace_raw[[#This Row],[Column1]]), "", namespace_raw[[#This Row],[Column1]])</f>
        <v/>
      </c>
      <c r="B9" s="33" t="str">
        <f>IF(ISNONTEXT(namespace_raw[[#This Row],[Column2]]), "", namespace_raw[[#This Row],[Column2]])</f>
        <v/>
      </c>
      <c r="C9" s="94" t="str">
        <f>IF(ISNUMBER(namespace_raw[[#This Row],[Column4]]), namespace_raw[[#This Row],[Column4]], "")</f>
        <v/>
      </c>
      <c r="D9" s="95" t="str">
        <f>IF(ISNUMBER(namespace_raw[[#This Row],[Column5]]), namespace_raw[[#This Row],[Column5]]/1048576, "")</f>
        <v/>
      </c>
      <c r="E9" s="95" t="str">
        <f>IF(ISNUMBER(namespace_raw[[#This Row],[Column6]]), namespace_raw[[#This Row],[Column6]],"")</f>
        <v/>
      </c>
      <c r="F9" s="96" t="str">
        <f>IF(ISNUMBER(namespace_raw[[#This Row],[Column7]]), namespace_raw[[#This Row],[Column7]]/1048576,"")</f>
        <v/>
      </c>
      <c r="G9" s="122" t="str">
        <f>IF(ISNUMBER(namespace_raw[[#This Row],[Column8]]), namespace_raw[[#This Row],[Column8]],"")</f>
        <v/>
      </c>
      <c r="H9" s="123" t="str">
        <f>IF(ISNUMBER(namespace_raw[[#This Row],[Column9]]), namespace_raw[[#This Row],[Column9]]/1048576,"")</f>
        <v/>
      </c>
      <c r="I9" s="124" t="str">
        <f>IF(ISNUMBER(namespace_raw[[#This Row],[Column8]]),MAX(G9, M9, O9, $I$2,IF(Q9&lt;&gt;"",VALUE(Q9),0)), "")</f>
        <v/>
      </c>
      <c r="J9" s="125" t="str">
        <f>IF(ISNUMBER(namespace_raw[[#This Row],[Column9]]),MAX(H9, N9, P9, $J$2,IF(R9&lt;&gt;"",VALUE(R9),0)),"")</f>
        <v/>
      </c>
      <c r="K9" s="166" t="str">
        <f>IF(ISNUMBER(namespace_raw[[#This Row],[Column12]]), namespace_raw[[#This Row],[Column12]],"")</f>
        <v/>
      </c>
      <c r="L9" s="167" t="str">
        <f>IF(ISNUMBER(namespace_raw[[#This Row],[Column13]]), namespace_raw[[#This Row],[Column13]]/1048576,"")</f>
        <v/>
      </c>
      <c r="M9" s="168" t="str">
        <f>IF(ISNUMBER(namespace_raw[[#This Row],[Column10]]), (namespace_raw[[#This Row],[Column10]]*(1+$M$2)),"")</f>
        <v/>
      </c>
      <c r="N9" s="167" t="str">
        <f>IF(ISNUMBER(namespace_raw[[#This Row],[Column11]]), (namespace_raw[[#This Row],[Column11]]*(1+$N$2))/1048576,"")</f>
        <v/>
      </c>
      <c r="O9" s="169" t="str">
        <f>IF(ISNUMBER(namespace_raw[[#This Row],[Column8]]), (E9  * $O$2),"")</f>
        <v/>
      </c>
      <c r="P9" s="170" t="str">
        <f>IF(ISNUMBER(namespace_raw[[#This Row],[Column8]]), (F9  * $P$2),"")</f>
        <v/>
      </c>
    </row>
    <row r="10" spans="1:18" ht="15" customHeight="1" x14ac:dyDescent="0.25">
      <c r="A10" s="32" t="str">
        <f>IF(ISNONTEXT(namespace_raw[[#This Row],[Column1]]), "", namespace_raw[[#This Row],[Column1]])</f>
        <v/>
      </c>
      <c r="B10" s="33" t="str">
        <f>IF(ISNONTEXT(namespace_raw[[#This Row],[Column2]]), "", namespace_raw[[#This Row],[Column2]])</f>
        <v/>
      </c>
      <c r="C10" s="94" t="str">
        <f>IF(ISNUMBER(namespace_raw[[#This Row],[Column4]]), namespace_raw[[#This Row],[Column4]], "")</f>
        <v/>
      </c>
      <c r="D10" s="95" t="str">
        <f>IF(ISNUMBER(namespace_raw[[#This Row],[Column5]]), namespace_raw[[#This Row],[Column5]]/1048576, "")</f>
        <v/>
      </c>
      <c r="E10" s="95" t="str">
        <f>IF(ISNUMBER(namespace_raw[[#This Row],[Column6]]), namespace_raw[[#This Row],[Column6]],"")</f>
        <v/>
      </c>
      <c r="F10" s="96" t="str">
        <f>IF(ISNUMBER(namespace_raw[[#This Row],[Column7]]), namespace_raw[[#This Row],[Column7]]/1048576,"")</f>
        <v/>
      </c>
      <c r="G10" s="122" t="str">
        <f>IF(ISNUMBER(namespace_raw[[#This Row],[Column8]]), namespace_raw[[#This Row],[Column8]],"")</f>
        <v/>
      </c>
      <c r="H10" s="123" t="str">
        <f>IF(ISNUMBER(namespace_raw[[#This Row],[Column9]]), namespace_raw[[#This Row],[Column9]]/1048576,"")</f>
        <v/>
      </c>
      <c r="I10" s="124" t="str">
        <f>IF(ISNUMBER(namespace_raw[[#This Row],[Column8]]),MAX(G10, M10, O10, $I$2,IF(Q10&lt;&gt;"",VALUE(Q10),0)), "")</f>
        <v/>
      </c>
      <c r="J10" s="125" t="str">
        <f>IF(ISNUMBER(namespace_raw[[#This Row],[Column9]]),MAX(H10, N10, P10, $J$2,IF(R10&lt;&gt;"",VALUE(R10),0)),"")</f>
        <v/>
      </c>
      <c r="K10" s="166" t="str">
        <f>IF(ISNUMBER(namespace_raw[[#This Row],[Column12]]), namespace_raw[[#This Row],[Column12]],"")</f>
        <v/>
      </c>
      <c r="L10" s="167" t="str">
        <f>IF(ISNUMBER(namespace_raw[[#This Row],[Column13]]), namespace_raw[[#This Row],[Column13]]/1048576,"")</f>
        <v/>
      </c>
      <c r="M10" s="168" t="str">
        <f>IF(ISNUMBER(namespace_raw[[#This Row],[Column10]]), (namespace_raw[[#This Row],[Column10]]*(1+$M$2)),"")</f>
        <v/>
      </c>
      <c r="N10" s="167" t="str">
        <f>IF(ISNUMBER(namespace_raw[[#This Row],[Column11]]), (namespace_raw[[#This Row],[Column11]]*(1+$N$2))/1048576,"")</f>
        <v/>
      </c>
      <c r="O10" s="169" t="str">
        <f>IF(ISNUMBER(namespace_raw[[#This Row],[Column8]]), (E10  * $O$2),"")</f>
        <v/>
      </c>
      <c r="P10" s="170" t="str">
        <f>IF(ISNUMBER(namespace_raw[[#This Row],[Column8]]), (F10  * $P$2),"")</f>
        <v/>
      </c>
    </row>
    <row r="11" spans="1:18" ht="15" customHeight="1" x14ac:dyDescent="0.25">
      <c r="A11" s="32" t="str">
        <f>IF(ISNONTEXT(namespace_raw[[#This Row],[Column1]]), "", namespace_raw[[#This Row],[Column1]])</f>
        <v/>
      </c>
      <c r="B11" s="33" t="str">
        <f>IF(ISNONTEXT(namespace_raw[[#This Row],[Column2]]), "", namespace_raw[[#This Row],[Column2]])</f>
        <v/>
      </c>
      <c r="C11" s="94" t="str">
        <f>IF(ISNUMBER(namespace_raw[[#This Row],[Column4]]), namespace_raw[[#This Row],[Column4]], "")</f>
        <v/>
      </c>
      <c r="D11" s="95" t="str">
        <f>IF(ISNUMBER(namespace_raw[[#This Row],[Column5]]), namespace_raw[[#This Row],[Column5]]/1048576, "")</f>
        <v/>
      </c>
      <c r="E11" s="95" t="str">
        <f>IF(ISNUMBER(namespace_raw[[#This Row],[Column6]]), namespace_raw[[#This Row],[Column6]],"")</f>
        <v/>
      </c>
      <c r="F11" s="96" t="str">
        <f>IF(ISNUMBER(namespace_raw[[#This Row],[Column7]]), namespace_raw[[#This Row],[Column7]]/1048576,"")</f>
        <v/>
      </c>
      <c r="G11" s="122" t="str">
        <f>IF(ISNUMBER(namespace_raw[[#This Row],[Column8]]), namespace_raw[[#This Row],[Column8]],"")</f>
        <v/>
      </c>
      <c r="H11" s="123" t="str">
        <f>IF(ISNUMBER(namespace_raw[[#This Row],[Column9]]), namespace_raw[[#This Row],[Column9]]/1048576,"")</f>
        <v/>
      </c>
      <c r="I11" s="124" t="str">
        <f>IF(ISNUMBER(namespace_raw[[#This Row],[Column8]]),MAX(G11, M11, O11, $I$2,IF(Q11&lt;&gt;"",VALUE(Q11),0)), "")</f>
        <v/>
      </c>
      <c r="J11" s="125" t="str">
        <f>IF(ISNUMBER(namespace_raw[[#This Row],[Column9]]),MAX(H11, N11, P11, $J$2,IF(R11&lt;&gt;"",VALUE(R11),0)),"")</f>
        <v/>
      </c>
      <c r="K11" s="166" t="str">
        <f>IF(ISNUMBER(namespace_raw[[#This Row],[Column12]]), namespace_raw[[#This Row],[Column12]],"")</f>
        <v/>
      </c>
      <c r="L11" s="167" t="str">
        <f>IF(ISNUMBER(namespace_raw[[#This Row],[Column13]]), namespace_raw[[#This Row],[Column13]]/1048576,"")</f>
        <v/>
      </c>
      <c r="M11" s="168" t="str">
        <f>IF(ISNUMBER(namespace_raw[[#This Row],[Column10]]), (namespace_raw[[#This Row],[Column10]]*(1+$M$2)),"")</f>
        <v/>
      </c>
      <c r="N11" s="167" t="str">
        <f>IF(ISNUMBER(namespace_raw[[#This Row],[Column11]]), (namespace_raw[[#This Row],[Column11]]*(1+$N$2))/1048576,"")</f>
        <v/>
      </c>
      <c r="O11" s="169" t="str">
        <f>IF(ISNUMBER(namespace_raw[[#This Row],[Column8]]), (E11  * $O$2),"")</f>
        <v/>
      </c>
      <c r="P11" s="170" t="str">
        <f>IF(ISNUMBER(namespace_raw[[#This Row],[Column8]]), (F11  * $P$2),"")</f>
        <v/>
      </c>
    </row>
    <row r="12" spans="1:18" ht="15" customHeight="1" x14ac:dyDescent="0.25">
      <c r="A12" s="32" t="str">
        <f>IF(ISNONTEXT(namespace_raw[[#This Row],[Column1]]), "", namespace_raw[[#This Row],[Column1]])</f>
        <v/>
      </c>
      <c r="B12" s="33" t="str">
        <f>IF(ISNONTEXT(namespace_raw[[#This Row],[Column2]]), "", namespace_raw[[#This Row],[Column2]])</f>
        <v/>
      </c>
      <c r="C12" s="94" t="str">
        <f>IF(ISNUMBER(namespace_raw[[#This Row],[Column4]]), namespace_raw[[#This Row],[Column4]], "")</f>
        <v/>
      </c>
      <c r="D12" s="95" t="str">
        <f>IF(ISNUMBER(namespace_raw[[#This Row],[Column5]]), namespace_raw[[#This Row],[Column5]]/1048576, "")</f>
        <v/>
      </c>
      <c r="E12" s="95" t="str">
        <f>IF(ISNUMBER(namespace_raw[[#This Row],[Column6]]), namespace_raw[[#This Row],[Column6]],"")</f>
        <v/>
      </c>
      <c r="F12" s="96" t="str">
        <f>IF(ISNUMBER(namespace_raw[[#This Row],[Column7]]), namespace_raw[[#This Row],[Column7]]/1048576,"")</f>
        <v/>
      </c>
      <c r="G12" s="122" t="str">
        <f>IF(ISNUMBER(namespace_raw[[#This Row],[Column8]]), namespace_raw[[#This Row],[Column8]],"")</f>
        <v/>
      </c>
      <c r="H12" s="123" t="str">
        <f>IF(ISNUMBER(namespace_raw[[#This Row],[Column9]]), namespace_raw[[#This Row],[Column9]]/1048576,"")</f>
        <v/>
      </c>
      <c r="I12" s="124" t="str">
        <f>IF(ISNUMBER(namespace_raw[[#This Row],[Column8]]),MAX(G12, M12, O12, $I$2,IF(Q12&lt;&gt;"",VALUE(Q12),0)), "")</f>
        <v/>
      </c>
      <c r="J12" s="125" t="str">
        <f>IF(ISNUMBER(namespace_raw[[#This Row],[Column9]]),MAX(H12, N12, P12, $J$2,IF(R12&lt;&gt;"",VALUE(R12),0)),"")</f>
        <v/>
      </c>
      <c r="K12" s="166" t="str">
        <f>IF(ISNUMBER(namespace_raw[[#This Row],[Column12]]), namespace_raw[[#This Row],[Column12]],"")</f>
        <v/>
      </c>
      <c r="L12" s="167" t="str">
        <f>IF(ISNUMBER(namespace_raw[[#This Row],[Column13]]), namespace_raw[[#This Row],[Column13]]/1048576,"")</f>
        <v/>
      </c>
      <c r="M12" s="168" t="str">
        <f>IF(ISNUMBER(namespace_raw[[#This Row],[Column10]]), (namespace_raw[[#This Row],[Column10]]*(1+$M$2)),"")</f>
        <v/>
      </c>
      <c r="N12" s="167" t="str">
        <f>IF(ISNUMBER(namespace_raw[[#This Row],[Column11]]), (namespace_raw[[#This Row],[Column11]]*(1+$N$2))/1048576,"")</f>
        <v/>
      </c>
      <c r="O12" s="169" t="str">
        <f>IF(ISNUMBER(namespace_raw[[#This Row],[Column8]]), (E12  * $O$2),"")</f>
        <v/>
      </c>
      <c r="P12" s="170" t="str">
        <f>IF(ISNUMBER(namespace_raw[[#This Row],[Column8]]), (F12  * $P$2),"")</f>
        <v/>
      </c>
    </row>
    <row r="13" spans="1:18" ht="15" customHeight="1" x14ac:dyDescent="0.25">
      <c r="A13" s="32" t="str">
        <f>IF(ISNONTEXT(namespace_raw[[#This Row],[Column1]]), "", namespace_raw[[#This Row],[Column1]])</f>
        <v/>
      </c>
      <c r="B13" s="33" t="str">
        <f>IF(ISNONTEXT(namespace_raw[[#This Row],[Column2]]), "", namespace_raw[[#This Row],[Column2]])</f>
        <v/>
      </c>
      <c r="C13" s="94" t="str">
        <f>IF(ISNUMBER(namespace_raw[[#This Row],[Column4]]), namespace_raw[[#This Row],[Column4]], "")</f>
        <v/>
      </c>
      <c r="D13" s="95" t="str">
        <f>IF(ISNUMBER(namespace_raw[[#This Row],[Column5]]), namespace_raw[[#This Row],[Column5]]/1048576, "")</f>
        <v/>
      </c>
      <c r="E13" s="95" t="str">
        <f>IF(ISNUMBER(namespace_raw[[#This Row],[Column6]]), namespace_raw[[#This Row],[Column6]],"")</f>
        <v/>
      </c>
      <c r="F13" s="96" t="str">
        <f>IF(ISNUMBER(namespace_raw[[#This Row],[Column7]]), namespace_raw[[#This Row],[Column7]]/1048576,"")</f>
        <v/>
      </c>
      <c r="G13" s="122" t="str">
        <f>IF(ISNUMBER(namespace_raw[[#This Row],[Column8]]), namespace_raw[[#This Row],[Column8]],"")</f>
        <v/>
      </c>
      <c r="H13" s="123" t="str">
        <f>IF(ISNUMBER(namespace_raw[[#This Row],[Column9]]), namespace_raw[[#This Row],[Column9]]/1048576,"")</f>
        <v/>
      </c>
      <c r="I13" s="124" t="str">
        <f>IF(ISNUMBER(namespace_raw[[#This Row],[Column8]]),MAX(G13, M13, O13, $I$2,IF(Q13&lt;&gt;"",VALUE(Q13),0)), "")</f>
        <v/>
      </c>
      <c r="J13" s="125" t="str">
        <f>IF(ISNUMBER(namespace_raw[[#This Row],[Column9]]),MAX(H13, N13, P13, $J$2,IF(R13&lt;&gt;"",VALUE(R13),0)),"")</f>
        <v/>
      </c>
      <c r="K13" s="166" t="str">
        <f>IF(ISNUMBER(namespace_raw[[#This Row],[Column12]]), namespace_raw[[#This Row],[Column12]],"")</f>
        <v/>
      </c>
      <c r="L13" s="167" t="str">
        <f>IF(ISNUMBER(namespace_raw[[#This Row],[Column13]]), namespace_raw[[#This Row],[Column13]]/1048576,"")</f>
        <v/>
      </c>
      <c r="M13" s="168" t="str">
        <f>IF(ISNUMBER(namespace_raw[[#This Row],[Column10]]), (namespace_raw[[#This Row],[Column10]]*(1+$M$2)),"")</f>
        <v/>
      </c>
      <c r="N13" s="167" t="str">
        <f>IF(ISNUMBER(namespace_raw[[#This Row],[Column11]]), (namespace_raw[[#This Row],[Column11]]*(1+$N$2))/1048576,"")</f>
        <v/>
      </c>
      <c r="O13" s="169" t="str">
        <f>IF(ISNUMBER(namespace_raw[[#This Row],[Column8]]), (E13  * $O$2),"")</f>
        <v/>
      </c>
      <c r="P13" s="170" t="str">
        <f>IF(ISNUMBER(namespace_raw[[#This Row],[Column8]]), (F13  * $P$2),"")</f>
        <v/>
      </c>
    </row>
    <row r="14" spans="1:18" ht="15" customHeight="1" x14ac:dyDescent="0.25">
      <c r="A14" s="32" t="str">
        <f>IF(ISNONTEXT(namespace_raw[[#This Row],[Column1]]), "", namespace_raw[[#This Row],[Column1]])</f>
        <v/>
      </c>
      <c r="B14" s="33" t="str">
        <f>IF(ISNONTEXT(namespace_raw[[#This Row],[Column2]]), "", namespace_raw[[#This Row],[Column2]])</f>
        <v/>
      </c>
      <c r="C14" s="94" t="str">
        <f>IF(ISNUMBER(namespace_raw[[#This Row],[Column4]]), namespace_raw[[#This Row],[Column4]], "")</f>
        <v/>
      </c>
      <c r="D14" s="95" t="str">
        <f>IF(ISNUMBER(namespace_raw[[#This Row],[Column5]]), namespace_raw[[#This Row],[Column5]]/1048576, "")</f>
        <v/>
      </c>
      <c r="E14" s="95" t="str">
        <f>IF(ISNUMBER(namespace_raw[[#This Row],[Column6]]), namespace_raw[[#This Row],[Column6]],"")</f>
        <v/>
      </c>
      <c r="F14" s="96" t="str">
        <f>IF(ISNUMBER(namespace_raw[[#This Row],[Column7]]), namespace_raw[[#This Row],[Column7]]/1048576,"")</f>
        <v/>
      </c>
      <c r="G14" s="122" t="str">
        <f>IF(ISNUMBER(namespace_raw[[#This Row],[Column8]]), namespace_raw[[#This Row],[Column8]],"")</f>
        <v/>
      </c>
      <c r="H14" s="123" t="str">
        <f>IF(ISNUMBER(namespace_raw[[#This Row],[Column9]]), namespace_raw[[#This Row],[Column9]]/1048576,"")</f>
        <v/>
      </c>
      <c r="I14" s="124" t="str">
        <f>IF(ISNUMBER(namespace_raw[[#This Row],[Column8]]),MAX(G14, M14, O14, $I$2,IF(Q14&lt;&gt;"",VALUE(Q14),0)), "")</f>
        <v/>
      </c>
      <c r="J14" s="125" t="str">
        <f>IF(ISNUMBER(namespace_raw[[#This Row],[Column9]]),MAX(H14, N14, P14, $J$2,IF(R14&lt;&gt;"",VALUE(R14),0)),"")</f>
        <v/>
      </c>
      <c r="K14" s="166" t="str">
        <f>IF(ISNUMBER(namespace_raw[[#This Row],[Column12]]), namespace_raw[[#This Row],[Column12]],"")</f>
        <v/>
      </c>
      <c r="L14" s="167" t="str">
        <f>IF(ISNUMBER(namespace_raw[[#This Row],[Column13]]), namespace_raw[[#This Row],[Column13]]/1048576,"")</f>
        <v/>
      </c>
      <c r="M14" s="168" t="str">
        <f>IF(ISNUMBER(namespace_raw[[#This Row],[Column10]]), (namespace_raw[[#This Row],[Column10]]*(1+$M$2)),"")</f>
        <v/>
      </c>
      <c r="N14" s="167" t="str">
        <f>IF(ISNUMBER(namespace_raw[[#This Row],[Column11]]), (namespace_raw[[#This Row],[Column11]]*(1+$N$2))/1048576,"")</f>
        <v/>
      </c>
      <c r="O14" s="169" t="str">
        <f>IF(ISNUMBER(namespace_raw[[#This Row],[Column8]]), (E14  * $O$2),"")</f>
        <v/>
      </c>
      <c r="P14" s="170" t="str">
        <f>IF(ISNUMBER(namespace_raw[[#This Row],[Column8]]), (F14  * $P$2),"")</f>
        <v/>
      </c>
    </row>
    <row r="15" spans="1:18" ht="15" customHeight="1" x14ac:dyDescent="0.25">
      <c r="A15" s="32" t="str">
        <f>IF(ISNONTEXT(namespace_raw[[#This Row],[Column1]]), "", namespace_raw[[#This Row],[Column1]])</f>
        <v/>
      </c>
      <c r="B15" s="33" t="str">
        <f>IF(ISNONTEXT(namespace_raw[[#This Row],[Column2]]), "", namespace_raw[[#This Row],[Column2]])</f>
        <v/>
      </c>
      <c r="C15" s="94" t="str">
        <f>IF(ISNUMBER(namespace_raw[[#This Row],[Column4]]), namespace_raw[[#This Row],[Column4]], "")</f>
        <v/>
      </c>
      <c r="D15" s="95" t="str">
        <f>IF(ISNUMBER(namespace_raw[[#This Row],[Column5]]), namespace_raw[[#This Row],[Column5]]/1048576, "")</f>
        <v/>
      </c>
      <c r="E15" s="95" t="str">
        <f>IF(ISNUMBER(namespace_raw[[#This Row],[Column6]]), namespace_raw[[#This Row],[Column6]],"")</f>
        <v/>
      </c>
      <c r="F15" s="96" t="str">
        <f>IF(ISNUMBER(namespace_raw[[#This Row],[Column7]]), namespace_raw[[#This Row],[Column7]]/1048576,"")</f>
        <v/>
      </c>
      <c r="G15" s="122" t="str">
        <f>IF(ISNUMBER(namespace_raw[[#This Row],[Column8]]), namespace_raw[[#This Row],[Column8]],"")</f>
        <v/>
      </c>
      <c r="H15" s="123" t="str">
        <f>IF(ISNUMBER(namespace_raw[[#This Row],[Column9]]), namespace_raw[[#This Row],[Column9]]/1048576,"")</f>
        <v/>
      </c>
      <c r="I15" s="124" t="str">
        <f>IF(ISNUMBER(namespace_raw[[#This Row],[Column8]]),MAX(G15, M15, O15, $I$2,IF(Q15&lt;&gt;"",VALUE(Q15),0)), "")</f>
        <v/>
      </c>
      <c r="J15" s="125" t="str">
        <f>IF(ISNUMBER(namespace_raw[[#This Row],[Column9]]),MAX(H15, N15, P15, $J$2,IF(R15&lt;&gt;"",VALUE(R15),0)),"")</f>
        <v/>
      </c>
      <c r="K15" s="166" t="str">
        <f>IF(ISNUMBER(namespace_raw[[#This Row],[Column12]]), namespace_raw[[#This Row],[Column12]],"")</f>
        <v/>
      </c>
      <c r="L15" s="167" t="str">
        <f>IF(ISNUMBER(namespace_raw[[#This Row],[Column13]]), namespace_raw[[#This Row],[Column13]]/1048576,"")</f>
        <v/>
      </c>
      <c r="M15" s="168" t="str">
        <f>IF(ISNUMBER(namespace_raw[[#This Row],[Column10]]), (namespace_raw[[#This Row],[Column10]]*(1+$M$2)),"")</f>
        <v/>
      </c>
      <c r="N15" s="167" t="str">
        <f>IF(ISNUMBER(namespace_raw[[#This Row],[Column11]]), (namespace_raw[[#This Row],[Column11]]*(1+$N$2))/1048576,"")</f>
        <v/>
      </c>
      <c r="O15" s="169" t="str">
        <f>IF(ISNUMBER(namespace_raw[[#This Row],[Column8]]), (E15  * $O$2),"")</f>
        <v/>
      </c>
      <c r="P15" s="170" t="str">
        <f>IF(ISNUMBER(namespace_raw[[#This Row],[Column8]]), (F15  * $P$2),"")</f>
        <v/>
      </c>
    </row>
    <row r="16" spans="1:18" ht="15" customHeight="1" x14ac:dyDescent="0.25">
      <c r="A16" s="32" t="str">
        <f>IF(ISNONTEXT(namespace_raw[[#This Row],[Column1]]), "", namespace_raw[[#This Row],[Column1]])</f>
        <v/>
      </c>
      <c r="B16" s="33" t="str">
        <f>IF(ISNONTEXT(namespace_raw[[#This Row],[Column2]]), "", namespace_raw[[#This Row],[Column2]])</f>
        <v/>
      </c>
      <c r="C16" s="94" t="str">
        <f>IF(ISNUMBER(namespace_raw[[#This Row],[Column4]]), namespace_raw[[#This Row],[Column4]], "")</f>
        <v/>
      </c>
      <c r="D16" s="95" t="str">
        <f>IF(ISNUMBER(namespace_raw[[#This Row],[Column5]]), namespace_raw[[#This Row],[Column5]]/1048576, "")</f>
        <v/>
      </c>
      <c r="E16" s="95" t="str">
        <f>IF(ISNUMBER(namespace_raw[[#This Row],[Column6]]), namespace_raw[[#This Row],[Column6]],"")</f>
        <v/>
      </c>
      <c r="F16" s="96" t="str">
        <f>IF(ISNUMBER(namespace_raw[[#This Row],[Column7]]), namespace_raw[[#This Row],[Column7]]/1048576,"")</f>
        <v/>
      </c>
      <c r="G16" s="122" t="str">
        <f>IF(ISNUMBER(namespace_raw[[#This Row],[Column8]]), namespace_raw[[#This Row],[Column8]],"")</f>
        <v/>
      </c>
      <c r="H16" s="123" t="str">
        <f>IF(ISNUMBER(namespace_raw[[#This Row],[Column9]]), namespace_raw[[#This Row],[Column9]]/1048576,"")</f>
        <v/>
      </c>
      <c r="I16" s="124" t="str">
        <f>IF(ISNUMBER(namespace_raw[[#This Row],[Column8]]),MAX(G16, M16, O16, $I$2,IF(Q16&lt;&gt;"",VALUE(Q16),0)), "")</f>
        <v/>
      </c>
      <c r="J16" s="125" t="str">
        <f>IF(ISNUMBER(namespace_raw[[#This Row],[Column9]]),MAX(H16, N16, P16, $J$2,IF(R16&lt;&gt;"",VALUE(R16),0)),"")</f>
        <v/>
      </c>
      <c r="K16" s="166" t="str">
        <f>IF(ISNUMBER(namespace_raw[[#This Row],[Column12]]), namespace_raw[[#This Row],[Column12]],"")</f>
        <v/>
      </c>
      <c r="L16" s="167" t="str">
        <f>IF(ISNUMBER(namespace_raw[[#This Row],[Column13]]), namespace_raw[[#This Row],[Column13]]/1048576,"")</f>
        <v/>
      </c>
      <c r="M16" s="168" t="str">
        <f>IF(ISNUMBER(namespace_raw[[#This Row],[Column10]]), (namespace_raw[[#This Row],[Column10]]*(1+$M$2)),"")</f>
        <v/>
      </c>
      <c r="N16" s="167" t="str">
        <f>IF(ISNUMBER(namespace_raw[[#This Row],[Column11]]), (namespace_raw[[#This Row],[Column11]]*(1+$N$2))/1048576,"")</f>
        <v/>
      </c>
      <c r="O16" s="169" t="str">
        <f>IF(ISNUMBER(namespace_raw[[#This Row],[Column8]]), (E16  * $O$2),"")</f>
        <v/>
      </c>
      <c r="P16" s="170" t="str">
        <f>IF(ISNUMBER(namespace_raw[[#This Row],[Column8]]), (F16  * $P$2),"")</f>
        <v/>
      </c>
    </row>
    <row r="17" spans="1:16" ht="15" customHeight="1" x14ac:dyDescent="0.25">
      <c r="A17" s="32" t="str">
        <f>IF(ISNONTEXT(namespace_raw[[#This Row],[Column1]]), "", namespace_raw[[#This Row],[Column1]])</f>
        <v/>
      </c>
      <c r="B17" s="33" t="str">
        <f>IF(ISNONTEXT(namespace_raw[[#This Row],[Column2]]), "", namespace_raw[[#This Row],[Column2]])</f>
        <v/>
      </c>
      <c r="C17" s="94" t="str">
        <f>IF(ISNUMBER(namespace_raw[[#This Row],[Column4]]), namespace_raw[[#This Row],[Column4]], "")</f>
        <v/>
      </c>
      <c r="D17" s="95" t="str">
        <f>IF(ISNUMBER(namespace_raw[[#This Row],[Column5]]), namespace_raw[[#This Row],[Column5]]/1048576, "")</f>
        <v/>
      </c>
      <c r="E17" s="95" t="str">
        <f>IF(ISNUMBER(namespace_raw[[#This Row],[Column6]]), namespace_raw[[#This Row],[Column6]],"")</f>
        <v/>
      </c>
      <c r="F17" s="96" t="str">
        <f>IF(ISNUMBER(namespace_raw[[#This Row],[Column7]]), namespace_raw[[#This Row],[Column7]]/1048576,"")</f>
        <v/>
      </c>
      <c r="G17" s="122" t="str">
        <f>IF(ISNUMBER(namespace_raw[[#This Row],[Column8]]), namespace_raw[[#This Row],[Column8]],"")</f>
        <v/>
      </c>
      <c r="H17" s="123" t="str">
        <f>IF(ISNUMBER(namespace_raw[[#This Row],[Column9]]), namespace_raw[[#This Row],[Column9]]/1048576,"")</f>
        <v/>
      </c>
      <c r="I17" s="124" t="str">
        <f>IF(ISNUMBER(namespace_raw[[#This Row],[Column8]]),MAX(G17, M17, O17, $I$2,IF(Q17&lt;&gt;"",VALUE(Q17),0)), "")</f>
        <v/>
      </c>
      <c r="J17" s="125" t="str">
        <f>IF(ISNUMBER(namespace_raw[[#This Row],[Column9]]),MAX(H17, N17, P17, $J$2,IF(R17&lt;&gt;"",VALUE(R17),0)),"")</f>
        <v/>
      </c>
      <c r="K17" s="166" t="str">
        <f>IF(ISNUMBER(namespace_raw[[#This Row],[Column12]]), namespace_raw[[#This Row],[Column12]],"")</f>
        <v/>
      </c>
      <c r="L17" s="167" t="str">
        <f>IF(ISNUMBER(namespace_raw[[#This Row],[Column13]]), namespace_raw[[#This Row],[Column13]]/1048576,"")</f>
        <v/>
      </c>
      <c r="M17" s="168" t="str">
        <f>IF(ISNUMBER(namespace_raw[[#This Row],[Column10]]), (namespace_raw[[#This Row],[Column10]]*(1+$M$2)),"")</f>
        <v/>
      </c>
      <c r="N17" s="167" t="str">
        <f>IF(ISNUMBER(namespace_raw[[#This Row],[Column11]]), (namespace_raw[[#This Row],[Column11]]*(1+$N$2))/1048576,"")</f>
        <v/>
      </c>
      <c r="O17" s="169" t="str">
        <f>IF(ISNUMBER(namespace_raw[[#This Row],[Column8]]), (E17  * $O$2),"")</f>
        <v/>
      </c>
      <c r="P17" s="170" t="str">
        <f>IF(ISNUMBER(namespace_raw[[#This Row],[Column8]]), (F17  * $P$2),"")</f>
        <v/>
      </c>
    </row>
    <row r="18" spans="1:16" ht="15" customHeight="1" x14ac:dyDescent="0.25">
      <c r="A18" s="32" t="str">
        <f>IF(ISNONTEXT(namespace_raw[[#This Row],[Column1]]), "", namespace_raw[[#This Row],[Column1]])</f>
        <v/>
      </c>
      <c r="B18" s="33" t="str">
        <f>IF(ISNONTEXT(namespace_raw[[#This Row],[Column2]]), "", namespace_raw[[#This Row],[Column2]])</f>
        <v/>
      </c>
      <c r="C18" s="94" t="str">
        <f>IF(ISNUMBER(namespace_raw[[#This Row],[Column4]]), namespace_raw[[#This Row],[Column4]], "")</f>
        <v/>
      </c>
      <c r="D18" s="95" t="str">
        <f>IF(ISNUMBER(namespace_raw[[#This Row],[Column5]]), namespace_raw[[#This Row],[Column5]]/1048576, "")</f>
        <v/>
      </c>
      <c r="E18" s="95" t="str">
        <f>IF(ISNUMBER(namespace_raw[[#This Row],[Column6]]), namespace_raw[[#This Row],[Column6]],"")</f>
        <v/>
      </c>
      <c r="F18" s="96" t="str">
        <f>IF(ISNUMBER(namespace_raw[[#This Row],[Column7]]), namespace_raw[[#This Row],[Column7]]/1048576,"")</f>
        <v/>
      </c>
      <c r="G18" s="122" t="str">
        <f>IF(ISNUMBER(namespace_raw[[#This Row],[Column8]]), namespace_raw[[#This Row],[Column8]],"")</f>
        <v/>
      </c>
      <c r="H18" s="123" t="str">
        <f>IF(ISNUMBER(namespace_raw[[#This Row],[Column9]]), namespace_raw[[#This Row],[Column9]]/1048576,"")</f>
        <v/>
      </c>
      <c r="I18" s="124" t="str">
        <f>IF(ISNUMBER(namespace_raw[[#This Row],[Column8]]),MAX(G18, M18, O18, $I$2,IF(Q18&lt;&gt;"",VALUE(Q18),0)), "")</f>
        <v/>
      </c>
      <c r="J18" s="125" t="str">
        <f>IF(ISNUMBER(namespace_raw[[#This Row],[Column9]]),MAX(H18, N18, P18, $J$2,IF(R18&lt;&gt;"",VALUE(R18),0)),"")</f>
        <v/>
      </c>
      <c r="K18" s="166" t="str">
        <f>IF(ISNUMBER(namespace_raw[[#This Row],[Column12]]), namespace_raw[[#This Row],[Column12]],"")</f>
        <v/>
      </c>
      <c r="L18" s="167" t="str">
        <f>IF(ISNUMBER(namespace_raw[[#This Row],[Column13]]), namespace_raw[[#This Row],[Column13]]/1048576,"")</f>
        <v/>
      </c>
      <c r="M18" s="168" t="str">
        <f>IF(ISNUMBER(namespace_raw[[#This Row],[Column10]]), (namespace_raw[[#This Row],[Column10]]*(1+$M$2)),"")</f>
        <v/>
      </c>
      <c r="N18" s="167" t="str">
        <f>IF(ISNUMBER(namespace_raw[[#This Row],[Column11]]), (namespace_raw[[#This Row],[Column11]]*(1+$N$2))/1048576,"")</f>
        <v/>
      </c>
      <c r="O18" s="169" t="str">
        <f>IF(ISNUMBER(namespace_raw[[#This Row],[Column8]]), (E18  * $O$2),"")</f>
        <v/>
      </c>
      <c r="P18" s="170" t="str">
        <f>IF(ISNUMBER(namespace_raw[[#This Row],[Column8]]), (F18  * $P$2),"")</f>
        <v/>
      </c>
    </row>
    <row r="19" spans="1:16" ht="15" customHeight="1" x14ac:dyDescent="0.25">
      <c r="A19" s="32" t="str">
        <f>IF(ISNONTEXT(namespace_raw[[#This Row],[Column1]]), "", namespace_raw[[#This Row],[Column1]])</f>
        <v/>
      </c>
      <c r="B19" s="33" t="str">
        <f>IF(ISNONTEXT(namespace_raw[[#This Row],[Column2]]), "", namespace_raw[[#This Row],[Column2]])</f>
        <v/>
      </c>
      <c r="C19" s="94" t="str">
        <f>IF(ISNUMBER(namespace_raw[[#This Row],[Column4]]), namespace_raw[[#This Row],[Column4]], "")</f>
        <v/>
      </c>
      <c r="D19" s="95" t="str">
        <f>IF(ISNUMBER(namespace_raw[[#This Row],[Column5]]), namespace_raw[[#This Row],[Column5]]/1048576, "")</f>
        <v/>
      </c>
      <c r="E19" s="95" t="str">
        <f>IF(ISNUMBER(namespace_raw[[#This Row],[Column6]]), namespace_raw[[#This Row],[Column6]],"")</f>
        <v/>
      </c>
      <c r="F19" s="96" t="str">
        <f>IF(ISNUMBER(namespace_raw[[#This Row],[Column7]]), namespace_raw[[#This Row],[Column7]]/1048576,"")</f>
        <v/>
      </c>
      <c r="G19" s="122" t="str">
        <f>IF(ISNUMBER(namespace_raw[[#This Row],[Column8]]), namespace_raw[[#This Row],[Column8]],"")</f>
        <v/>
      </c>
      <c r="H19" s="123" t="str">
        <f>IF(ISNUMBER(namespace_raw[[#This Row],[Column9]]), namespace_raw[[#This Row],[Column9]]/1048576,"")</f>
        <v/>
      </c>
      <c r="I19" s="124" t="str">
        <f>IF(ISNUMBER(namespace_raw[[#This Row],[Column8]]),MAX(G19, M19, O19, $I$2,IF(Q19&lt;&gt;"",VALUE(Q19),0)), "")</f>
        <v/>
      </c>
      <c r="J19" s="125" t="str">
        <f>IF(ISNUMBER(namespace_raw[[#This Row],[Column9]]),MAX(H19, N19, P19, $J$2,IF(R19&lt;&gt;"",VALUE(R19),0)),"")</f>
        <v/>
      </c>
      <c r="K19" s="166" t="str">
        <f>IF(ISNUMBER(namespace_raw[[#This Row],[Column12]]), namespace_raw[[#This Row],[Column12]],"")</f>
        <v/>
      </c>
      <c r="L19" s="167" t="str">
        <f>IF(ISNUMBER(namespace_raw[[#This Row],[Column13]]), namespace_raw[[#This Row],[Column13]]/1048576,"")</f>
        <v/>
      </c>
      <c r="M19" s="168" t="str">
        <f>IF(ISNUMBER(namespace_raw[[#This Row],[Column10]]), (namespace_raw[[#This Row],[Column10]]*(1+$M$2)),"")</f>
        <v/>
      </c>
      <c r="N19" s="167" t="str">
        <f>IF(ISNUMBER(namespace_raw[[#This Row],[Column11]]), (namespace_raw[[#This Row],[Column11]]*(1+$N$2))/1048576,"")</f>
        <v/>
      </c>
      <c r="O19" s="169" t="str">
        <f>IF(ISNUMBER(namespace_raw[[#This Row],[Column8]]), (E19  * $O$2),"")</f>
        <v/>
      </c>
      <c r="P19" s="170" t="str">
        <f>IF(ISNUMBER(namespace_raw[[#This Row],[Column8]]), (F19  * $P$2),"")</f>
        <v/>
      </c>
    </row>
    <row r="20" spans="1:16" ht="15" customHeight="1" x14ac:dyDescent="0.25">
      <c r="A20" s="32" t="str">
        <f>IF(ISNONTEXT(namespace_raw[[#This Row],[Column1]]), "", namespace_raw[[#This Row],[Column1]])</f>
        <v/>
      </c>
      <c r="B20" s="33" t="str">
        <f>IF(ISNONTEXT(namespace_raw[[#This Row],[Column2]]), "", namespace_raw[[#This Row],[Column2]])</f>
        <v/>
      </c>
      <c r="C20" s="94" t="str">
        <f>IF(ISNUMBER(namespace_raw[[#This Row],[Column4]]), namespace_raw[[#This Row],[Column4]], "")</f>
        <v/>
      </c>
      <c r="D20" s="95" t="str">
        <f>IF(ISNUMBER(namespace_raw[[#This Row],[Column5]]), namespace_raw[[#This Row],[Column5]]/1048576, "")</f>
        <v/>
      </c>
      <c r="E20" s="95" t="str">
        <f>IF(ISNUMBER(namespace_raw[[#This Row],[Column6]]), namespace_raw[[#This Row],[Column6]],"")</f>
        <v/>
      </c>
      <c r="F20" s="96" t="str">
        <f>IF(ISNUMBER(namespace_raw[[#This Row],[Column7]]), namespace_raw[[#This Row],[Column7]]/1048576,"")</f>
        <v/>
      </c>
      <c r="G20" s="122" t="str">
        <f>IF(ISNUMBER(namespace_raw[[#This Row],[Column8]]), namespace_raw[[#This Row],[Column8]],"")</f>
        <v/>
      </c>
      <c r="H20" s="123" t="str">
        <f>IF(ISNUMBER(namespace_raw[[#This Row],[Column9]]), namespace_raw[[#This Row],[Column9]]/1048576,"")</f>
        <v/>
      </c>
      <c r="I20" s="124" t="str">
        <f>IF(ISNUMBER(namespace_raw[[#This Row],[Column8]]),MAX(G20, M20, O20, $I$2,IF(Q20&lt;&gt;"",VALUE(Q20),0)), "")</f>
        <v/>
      </c>
      <c r="J20" s="125" t="str">
        <f>IF(ISNUMBER(namespace_raw[[#This Row],[Column9]]),MAX(H20, N20, P20, $J$2,IF(R20&lt;&gt;"",VALUE(R20),0)),"")</f>
        <v/>
      </c>
      <c r="K20" s="166" t="str">
        <f>IF(ISNUMBER(namespace_raw[[#This Row],[Column12]]), namespace_raw[[#This Row],[Column12]],"")</f>
        <v/>
      </c>
      <c r="L20" s="167" t="str">
        <f>IF(ISNUMBER(namespace_raw[[#This Row],[Column13]]), namespace_raw[[#This Row],[Column13]]/1048576,"")</f>
        <v/>
      </c>
      <c r="M20" s="168" t="str">
        <f>IF(ISNUMBER(namespace_raw[[#This Row],[Column10]]), (namespace_raw[[#This Row],[Column10]]*(1+$M$2)),"")</f>
        <v/>
      </c>
      <c r="N20" s="167" t="str">
        <f>IF(ISNUMBER(namespace_raw[[#This Row],[Column11]]), (namespace_raw[[#This Row],[Column11]]*(1+$N$2))/1048576,"")</f>
        <v/>
      </c>
      <c r="O20" s="169" t="str">
        <f>IF(ISNUMBER(namespace_raw[[#This Row],[Column8]]), (E20  * $O$2),"")</f>
        <v/>
      </c>
      <c r="P20" s="170" t="str">
        <f>IF(ISNUMBER(namespace_raw[[#This Row],[Column8]]), (F20  * $P$2),"")</f>
        <v/>
      </c>
    </row>
    <row r="21" spans="1:16" ht="15" customHeight="1" x14ac:dyDescent="0.25">
      <c r="A21" s="32" t="str">
        <f>IF(ISNONTEXT(namespace_raw[[#This Row],[Column1]]), "", namespace_raw[[#This Row],[Column1]])</f>
        <v/>
      </c>
      <c r="B21" s="33" t="str">
        <f>IF(ISNONTEXT(namespace_raw[[#This Row],[Column2]]), "", namespace_raw[[#This Row],[Column2]])</f>
        <v/>
      </c>
      <c r="C21" s="94" t="str">
        <f>IF(ISNUMBER(namespace_raw[[#This Row],[Column4]]), namespace_raw[[#This Row],[Column4]], "")</f>
        <v/>
      </c>
      <c r="D21" s="95" t="str">
        <f>IF(ISNUMBER(namespace_raw[[#This Row],[Column5]]), namespace_raw[[#This Row],[Column5]]/1048576, "")</f>
        <v/>
      </c>
      <c r="E21" s="95" t="str">
        <f>IF(ISNUMBER(namespace_raw[[#This Row],[Column6]]), namespace_raw[[#This Row],[Column6]],"")</f>
        <v/>
      </c>
      <c r="F21" s="96" t="str">
        <f>IF(ISNUMBER(namespace_raw[[#This Row],[Column7]]), namespace_raw[[#This Row],[Column7]]/1048576,"")</f>
        <v/>
      </c>
      <c r="G21" s="122" t="str">
        <f>IF(ISNUMBER(namespace_raw[[#This Row],[Column8]]), namespace_raw[[#This Row],[Column8]],"")</f>
        <v/>
      </c>
      <c r="H21" s="123" t="str">
        <f>IF(ISNUMBER(namespace_raw[[#This Row],[Column9]]), namespace_raw[[#This Row],[Column9]]/1048576,"")</f>
        <v/>
      </c>
      <c r="I21" s="124" t="str">
        <f>IF(ISNUMBER(namespace_raw[[#This Row],[Column8]]),MAX(G21, M21, O21, $I$2,IF(Q21&lt;&gt;"",VALUE(Q21),0)), "")</f>
        <v/>
      </c>
      <c r="J21" s="125" t="str">
        <f>IF(ISNUMBER(namespace_raw[[#This Row],[Column9]]),MAX(H21, N21, P21, $J$2,IF(R21&lt;&gt;"",VALUE(R21),0)),"")</f>
        <v/>
      </c>
      <c r="K21" s="166" t="str">
        <f>IF(ISNUMBER(namespace_raw[[#This Row],[Column12]]), namespace_raw[[#This Row],[Column12]],"")</f>
        <v/>
      </c>
      <c r="L21" s="167" t="str">
        <f>IF(ISNUMBER(namespace_raw[[#This Row],[Column13]]), namespace_raw[[#This Row],[Column13]]/1048576,"")</f>
        <v/>
      </c>
      <c r="M21" s="168" t="str">
        <f>IF(ISNUMBER(namespace_raw[[#This Row],[Column10]]), (namespace_raw[[#This Row],[Column10]]*(1+$M$2)),"")</f>
        <v/>
      </c>
      <c r="N21" s="167" t="str">
        <f>IF(ISNUMBER(namespace_raw[[#This Row],[Column11]]), (namespace_raw[[#This Row],[Column11]]*(1+$N$2))/1048576,"")</f>
        <v/>
      </c>
      <c r="O21" s="169" t="str">
        <f>IF(ISNUMBER(namespace_raw[[#This Row],[Column8]]), (E21  * $O$2),"")</f>
        <v/>
      </c>
      <c r="P21" s="170" t="str">
        <f>IF(ISNUMBER(namespace_raw[[#This Row],[Column8]]), (F21  * $P$2),"")</f>
        <v/>
      </c>
    </row>
    <row r="22" spans="1:16" ht="15" customHeight="1" x14ac:dyDescent="0.25">
      <c r="A22" s="32" t="str">
        <f>IF(ISNONTEXT(namespace_raw[[#This Row],[Column1]]), "", namespace_raw[[#This Row],[Column1]])</f>
        <v/>
      </c>
      <c r="B22" s="33" t="str">
        <f>IF(ISNONTEXT(namespace_raw[[#This Row],[Column2]]), "", namespace_raw[[#This Row],[Column2]])</f>
        <v/>
      </c>
      <c r="C22" s="94" t="str">
        <f>IF(ISNUMBER(namespace_raw[[#This Row],[Column4]]), namespace_raw[[#This Row],[Column4]], "")</f>
        <v/>
      </c>
      <c r="D22" s="95" t="str">
        <f>IF(ISNUMBER(namespace_raw[[#This Row],[Column5]]), namespace_raw[[#This Row],[Column5]]/1048576, "")</f>
        <v/>
      </c>
      <c r="E22" s="95" t="str">
        <f>IF(ISNUMBER(namespace_raw[[#This Row],[Column6]]), namespace_raw[[#This Row],[Column6]],"")</f>
        <v/>
      </c>
      <c r="F22" s="96" t="str">
        <f>IF(ISNUMBER(namespace_raw[[#This Row],[Column7]]), namespace_raw[[#This Row],[Column7]]/1048576,"")</f>
        <v/>
      </c>
      <c r="G22" s="122" t="str">
        <f>IF(ISNUMBER(namespace_raw[[#This Row],[Column8]]), namespace_raw[[#This Row],[Column8]],"")</f>
        <v/>
      </c>
      <c r="H22" s="123" t="str">
        <f>IF(ISNUMBER(namespace_raw[[#This Row],[Column9]]), namespace_raw[[#This Row],[Column9]]/1048576,"")</f>
        <v/>
      </c>
      <c r="I22" s="124" t="str">
        <f>IF(ISNUMBER(namespace_raw[[#This Row],[Column8]]),MAX(G22, M22, O22, $I$2,IF(Q22&lt;&gt;"",VALUE(Q22),0)), "")</f>
        <v/>
      </c>
      <c r="J22" s="125" t="str">
        <f>IF(ISNUMBER(namespace_raw[[#This Row],[Column9]]),MAX(H22, N22, P22, $J$2,IF(R22&lt;&gt;"",VALUE(R22),0)),"")</f>
        <v/>
      </c>
      <c r="K22" s="166" t="str">
        <f>IF(ISNUMBER(namespace_raw[[#This Row],[Column12]]), namespace_raw[[#This Row],[Column12]],"")</f>
        <v/>
      </c>
      <c r="L22" s="167" t="str">
        <f>IF(ISNUMBER(namespace_raw[[#This Row],[Column13]]), namespace_raw[[#This Row],[Column13]]/1048576,"")</f>
        <v/>
      </c>
      <c r="M22" s="168" t="str">
        <f>IF(ISNUMBER(namespace_raw[[#This Row],[Column10]]), (namespace_raw[[#This Row],[Column10]]*(1+$M$2)),"")</f>
        <v/>
      </c>
      <c r="N22" s="167" t="str">
        <f>IF(ISNUMBER(namespace_raw[[#This Row],[Column11]]), (namespace_raw[[#This Row],[Column11]]*(1+$N$2))/1048576,"")</f>
        <v/>
      </c>
      <c r="O22" s="169" t="str">
        <f>IF(ISNUMBER(namespace_raw[[#This Row],[Column8]]), (E22  * $O$2),"")</f>
        <v/>
      </c>
      <c r="P22" s="170" t="str">
        <f>IF(ISNUMBER(namespace_raw[[#This Row],[Column8]]), (F22  * $P$2),"")</f>
        <v/>
      </c>
    </row>
    <row r="23" spans="1:16" ht="15" customHeight="1" x14ac:dyDescent="0.25">
      <c r="A23" s="32" t="str">
        <f>IF(ISNONTEXT(namespace_raw[[#This Row],[Column1]]), "", namespace_raw[[#This Row],[Column1]])</f>
        <v/>
      </c>
      <c r="B23" s="33" t="str">
        <f>IF(ISNONTEXT(namespace_raw[[#This Row],[Column2]]), "", namespace_raw[[#This Row],[Column2]])</f>
        <v/>
      </c>
      <c r="C23" s="94" t="str">
        <f>IF(ISNUMBER(namespace_raw[[#This Row],[Column4]]), namespace_raw[[#This Row],[Column4]], "")</f>
        <v/>
      </c>
      <c r="D23" s="95" t="str">
        <f>IF(ISNUMBER(namespace_raw[[#This Row],[Column5]]), namespace_raw[[#This Row],[Column5]]/1048576, "")</f>
        <v/>
      </c>
      <c r="E23" s="95" t="str">
        <f>IF(ISNUMBER(namespace_raw[[#This Row],[Column6]]), namespace_raw[[#This Row],[Column6]],"")</f>
        <v/>
      </c>
      <c r="F23" s="96" t="str">
        <f>IF(ISNUMBER(namespace_raw[[#This Row],[Column7]]), namespace_raw[[#This Row],[Column7]]/1048576,"")</f>
        <v/>
      </c>
      <c r="G23" s="122" t="str">
        <f>IF(ISNUMBER(namespace_raw[[#This Row],[Column8]]), namespace_raw[[#This Row],[Column8]],"")</f>
        <v/>
      </c>
      <c r="H23" s="123" t="str">
        <f>IF(ISNUMBER(namespace_raw[[#This Row],[Column9]]), namespace_raw[[#This Row],[Column9]]/1048576,"")</f>
        <v/>
      </c>
      <c r="I23" s="124" t="str">
        <f>IF(ISNUMBER(namespace_raw[[#This Row],[Column8]]),MAX(G23, M23, O23, $I$2,IF(Q23&lt;&gt;"",VALUE(Q23),0)), "")</f>
        <v/>
      </c>
      <c r="J23" s="125" t="str">
        <f>IF(ISNUMBER(namespace_raw[[#This Row],[Column9]]),MAX(H23, N23, P23, $J$2,IF(R23&lt;&gt;"",VALUE(R23),0)),"")</f>
        <v/>
      </c>
      <c r="K23" s="166" t="str">
        <f>IF(ISNUMBER(namespace_raw[[#This Row],[Column12]]), namespace_raw[[#This Row],[Column12]],"")</f>
        <v/>
      </c>
      <c r="L23" s="167" t="str">
        <f>IF(ISNUMBER(namespace_raw[[#This Row],[Column13]]), namespace_raw[[#This Row],[Column13]]/1048576,"")</f>
        <v/>
      </c>
      <c r="M23" s="168" t="str">
        <f>IF(ISNUMBER(namespace_raw[[#This Row],[Column10]]), (namespace_raw[[#This Row],[Column10]]*(1+$M$2)),"")</f>
        <v/>
      </c>
      <c r="N23" s="167" t="str">
        <f>IF(ISNUMBER(namespace_raw[[#This Row],[Column11]]), (namespace_raw[[#This Row],[Column11]]*(1+$N$2))/1048576,"")</f>
        <v/>
      </c>
      <c r="O23" s="169" t="str">
        <f>IF(ISNUMBER(namespace_raw[[#This Row],[Column8]]), (E23  * $O$2),"")</f>
        <v/>
      </c>
      <c r="P23" s="170" t="str">
        <f>IF(ISNUMBER(namespace_raw[[#This Row],[Column8]]), (F23  * $P$2),"")</f>
        <v/>
      </c>
    </row>
    <row r="24" spans="1:16" ht="15" customHeight="1" x14ac:dyDescent="0.25">
      <c r="A24" s="32" t="str">
        <f>IF(ISNONTEXT(namespace_raw[[#This Row],[Column1]]), "", namespace_raw[[#This Row],[Column1]])</f>
        <v/>
      </c>
      <c r="B24" s="33" t="str">
        <f>IF(ISNONTEXT(namespace_raw[[#This Row],[Column2]]), "", namespace_raw[[#This Row],[Column2]])</f>
        <v/>
      </c>
      <c r="C24" s="94" t="str">
        <f>IF(ISNUMBER(namespace_raw[[#This Row],[Column4]]), namespace_raw[[#This Row],[Column4]], "")</f>
        <v/>
      </c>
      <c r="D24" s="95" t="str">
        <f>IF(ISNUMBER(namespace_raw[[#This Row],[Column5]]), namespace_raw[[#This Row],[Column5]]/1048576, "")</f>
        <v/>
      </c>
      <c r="E24" s="95" t="str">
        <f>IF(ISNUMBER(namespace_raw[[#This Row],[Column6]]), namespace_raw[[#This Row],[Column6]],"")</f>
        <v/>
      </c>
      <c r="F24" s="96" t="str">
        <f>IF(ISNUMBER(namespace_raw[[#This Row],[Column7]]), namespace_raw[[#This Row],[Column7]]/1048576,"")</f>
        <v/>
      </c>
      <c r="G24" s="122" t="str">
        <f>IF(ISNUMBER(namespace_raw[[#This Row],[Column8]]), namespace_raw[[#This Row],[Column8]],"")</f>
        <v/>
      </c>
      <c r="H24" s="123" t="str">
        <f>IF(ISNUMBER(namespace_raw[[#This Row],[Column9]]), namespace_raw[[#This Row],[Column9]]/1048576,"")</f>
        <v/>
      </c>
      <c r="I24" s="124" t="str">
        <f>IF(ISNUMBER(namespace_raw[[#This Row],[Column8]]),MAX(G24, M24, O24, $I$2,IF(Q24&lt;&gt;"",VALUE(Q24),0)), "")</f>
        <v/>
      </c>
      <c r="J24" s="125" t="str">
        <f>IF(ISNUMBER(namespace_raw[[#This Row],[Column9]]),MAX(H24, N24, P24, $J$2,IF(R24&lt;&gt;"",VALUE(R24),0)),"")</f>
        <v/>
      </c>
      <c r="K24" s="166" t="str">
        <f>IF(ISNUMBER(namespace_raw[[#This Row],[Column12]]), namespace_raw[[#This Row],[Column12]],"")</f>
        <v/>
      </c>
      <c r="L24" s="167" t="str">
        <f>IF(ISNUMBER(namespace_raw[[#This Row],[Column13]]), namespace_raw[[#This Row],[Column13]]/1048576,"")</f>
        <v/>
      </c>
      <c r="M24" s="168" t="str">
        <f>IF(ISNUMBER(namespace_raw[[#This Row],[Column10]]), (namespace_raw[[#This Row],[Column10]]*(1+$M$2)),"")</f>
        <v/>
      </c>
      <c r="N24" s="167" t="str">
        <f>IF(ISNUMBER(namespace_raw[[#This Row],[Column11]]), (namespace_raw[[#This Row],[Column11]]*(1+$N$2))/1048576,"")</f>
        <v/>
      </c>
      <c r="O24" s="169" t="str">
        <f>IF(ISNUMBER(namespace_raw[[#This Row],[Column8]]), (E24  * $O$2),"")</f>
        <v/>
      </c>
      <c r="P24" s="170" t="str">
        <f>IF(ISNUMBER(namespace_raw[[#This Row],[Column8]]), (F24  * $P$2),"")</f>
        <v/>
      </c>
    </row>
    <row r="25" spans="1:16" ht="15" customHeight="1" x14ac:dyDescent="0.25">
      <c r="A25" s="32" t="str">
        <f>IF(ISNONTEXT(namespace_raw[[#This Row],[Column1]]), "", namespace_raw[[#This Row],[Column1]])</f>
        <v/>
      </c>
      <c r="B25" s="33" t="str">
        <f>IF(ISNONTEXT(namespace_raw[[#This Row],[Column2]]), "", namespace_raw[[#This Row],[Column2]])</f>
        <v/>
      </c>
      <c r="C25" s="94" t="str">
        <f>IF(ISNUMBER(namespace_raw[[#This Row],[Column4]]), namespace_raw[[#This Row],[Column4]], "")</f>
        <v/>
      </c>
      <c r="D25" s="95" t="str">
        <f>IF(ISNUMBER(namespace_raw[[#This Row],[Column5]]), namespace_raw[[#This Row],[Column5]]/1048576, "")</f>
        <v/>
      </c>
      <c r="E25" s="95" t="str">
        <f>IF(ISNUMBER(namespace_raw[[#This Row],[Column6]]), namespace_raw[[#This Row],[Column6]],"")</f>
        <v/>
      </c>
      <c r="F25" s="96" t="str">
        <f>IF(ISNUMBER(namespace_raw[[#This Row],[Column7]]), namespace_raw[[#This Row],[Column7]]/1048576,"")</f>
        <v/>
      </c>
      <c r="G25" s="122" t="str">
        <f>IF(ISNUMBER(namespace_raw[[#This Row],[Column8]]), namespace_raw[[#This Row],[Column8]],"")</f>
        <v/>
      </c>
      <c r="H25" s="123" t="str">
        <f>IF(ISNUMBER(namespace_raw[[#This Row],[Column9]]), namespace_raw[[#This Row],[Column9]]/1048576,"")</f>
        <v/>
      </c>
      <c r="I25" s="124" t="str">
        <f>IF(ISNUMBER(namespace_raw[[#This Row],[Column8]]),MAX(G25, M25, O25, $I$2,IF(Q25&lt;&gt;"",VALUE(Q25),0)), "")</f>
        <v/>
      </c>
      <c r="J25" s="125" t="str">
        <f>IF(ISNUMBER(namespace_raw[[#This Row],[Column9]]),MAX(H25, N25, P25, $J$2,IF(R25&lt;&gt;"",VALUE(R25),0)),"")</f>
        <v/>
      </c>
      <c r="K25" s="166" t="str">
        <f>IF(ISNUMBER(namespace_raw[[#This Row],[Column12]]), namespace_raw[[#This Row],[Column12]],"")</f>
        <v/>
      </c>
      <c r="L25" s="167" t="str">
        <f>IF(ISNUMBER(namespace_raw[[#This Row],[Column13]]), namespace_raw[[#This Row],[Column13]]/1048576,"")</f>
        <v/>
      </c>
      <c r="M25" s="168" t="str">
        <f>IF(ISNUMBER(namespace_raw[[#This Row],[Column10]]), (namespace_raw[[#This Row],[Column10]]*(1+$M$2)),"")</f>
        <v/>
      </c>
      <c r="N25" s="167" t="str">
        <f>IF(ISNUMBER(namespace_raw[[#This Row],[Column11]]), (namespace_raw[[#This Row],[Column11]]*(1+$N$2))/1048576,"")</f>
        <v/>
      </c>
      <c r="O25" s="169" t="str">
        <f>IF(ISNUMBER(namespace_raw[[#This Row],[Column8]]), (E25  * $O$2),"")</f>
        <v/>
      </c>
      <c r="P25" s="170" t="str">
        <f>IF(ISNUMBER(namespace_raw[[#This Row],[Column8]]), (F25  * $P$2),"")</f>
        <v/>
      </c>
    </row>
    <row r="26" spans="1:16" ht="15" customHeight="1" x14ac:dyDescent="0.25">
      <c r="A26" s="32" t="str">
        <f>IF(ISNONTEXT(namespace_raw[[#This Row],[Column1]]), "", namespace_raw[[#This Row],[Column1]])</f>
        <v/>
      </c>
      <c r="B26" s="33" t="str">
        <f>IF(ISNONTEXT(namespace_raw[[#This Row],[Column2]]), "", namespace_raw[[#This Row],[Column2]])</f>
        <v/>
      </c>
      <c r="C26" s="94" t="str">
        <f>IF(ISNUMBER(namespace_raw[[#This Row],[Column4]]), namespace_raw[[#This Row],[Column4]], "")</f>
        <v/>
      </c>
      <c r="D26" s="95" t="str">
        <f>IF(ISNUMBER(namespace_raw[[#This Row],[Column5]]), namespace_raw[[#This Row],[Column5]]/1048576, "")</f>
        <v/>
      </c>
      <c r="E26" s="95" t="str">
        <f>IF(ISNUMBER(namespace_raw[[#This Row],[Column6]]), namespace_raw[[#This Row],[Column6]],"")</f>
        <v/>
      </c>
      <c r="F26" s="96" t="str">
        <f>IF(ISNUMBER(namespace_raw[[#This Row],[Column7]]), namespace_raw[[#This Row],[Column7]]/1048576,"")</f>
        <v/>
      </c>
      <c r="G26" s="122" t="str">
        <f>IF(ISNUMBER(namespace_raw[[#This Row],[Column8]]), namespace_raw[[#This Row],[Column8]],"")</f>
        <v/>
      </c>
      <c r="H26" s="123" t="str">
        <f>IF(ISNUMBER(namespace_raw[[#This Row],[Column9]]), namespace_raw[[#This Row],[Column9]]/1048576,"")</f>
        <v/>
      </c>
      <c r="I26" s="124" t="str">
        <f>IF(ISNUMBER(namespace_raw[[#This Row],[Column8]]),MAX(G26, M26, O26, $I$2,IF(Q26&lt;&gt;"",VALUE(Q26),0)), "")</f>
        <v/>
      </c>
      <c r="J26" s="125" t="str">
        <f>IF(ISNUMBER(namespace_raw[[#This Row],[Column9]]),MAX(H26, N26, P26, $J$2,IF(R26&lt;&gt;"",VALUE(R26),0)),"")</f>
        <v/>
      </c>
      <c r="K26" s="166" t="str">
        <f>IF(ISNUMBER(namespace_raw[[#This Row],[Column12]]), namespace_raw[[#This Row],[Column12]],"")</f>
        <v/>
      </c>
      <c r="L26" s="167" t="str">
        <f>IF(ISNUMBER(namespace_raw[[#This Row],[Column13]]), namespace_raw[[#This Row],[Column13]]/1048576,"")</f>
        <v/>
      </c>
      <c r="M26" s="168" t="str">
        <f>IF(ISNUMBER(namespace_raw[[#This Row],[Column10]]), (namespace_raw[[#This Row],[Column10]]*(1+$M$2)),"")</f>
        <v/>
      </c>
      <c r="N26" s="167" t="str">
        <f>IF(ISNUMBER(namespace_raw[[#This Row],[Column11]]), (namespace_raw[[#This Row],[Column11]]*(1+$N$2))/1048576,"")</f>
        <v/>
      </c>
      <c r="O26" s="169" t="str">
        <f>IF(ISNUMBER(namespace_raw[[#This Row],[Column8]]), (E26  * $O$2),"")</f>
        <v/>
      </c>
      <c r="P26" s="170" t="str">
        <f>IF(ISNUMBER(namespace_raw[[#This Row],[Column8]]), (F26  * $P$2),"")</f>
        <v/>
      </c>
    </row>
    <row r="27" spans="1:16" ht="15" customHeight="1" x14ac:dyDescent="0.25">
      <c r="A27" s="32" t="str">
        <f>IF(ISNONTEXT(namespace_raw[[#This Row],[Column1]]), "", namespace_raw[[#This Row],[Column1]])</f>
        <v/>
      </c>
      <c r="B27" s="33" t="str">
        <f>IF(ISNONTEXT(namespace_raw[[#This Row],[Column2]]), "", namespace_raw[[#This Row],[Column2]])</f>
        <v/>
      </c>
      <c r="C27" s="94" t="str">
        <f>IF(ISNUMBER(namespace_raw[[#This Row],[Column4]]), namespace_raw[[#This Row],[Column4]], "")</f>
        <v/>
      </c>
      <c r="D27" s="95" t="str">
        <f>IF(ISNUMBER(namespace_raw[[#This Row],[Column5]]), namespace_raw[[#This Row],[Column5]]/1048576, "")</f>
        <v/>
      </c>
      <c r="E27" s="95" t="str">
        <f>IF(ISNUMBER(namespace_raw[[#This Row],[Column6]]), namespace_raw[[#This Row],[Column6]],"")</f>
        <v/>
      </c>
      <c r="F27" s="96" t="str">
        <f>IF(ISNUMBER(namespace_raw[[#This Row],[Column7]]), namespace_raw[[#This Row],[Column7]]/1048576,"")</f>
        <v/>
      </c>
      <c r="G27" s="122" t="str">
        <f>IF(ISNUMBER(namespace_raw[[#This Row],[Column8]]), namespace_raw[[#This Row],[Column8]],"")</f>
        <v/>
      </c>
      <c r="H27" s="123" t="str">
        <f>IF(ISNUMBER(namespace_raw[[#This Row],[Column9]]), namespace_raw[[#This Row],[Column9]]/1048576,"")</f>
        <v/>
      </c>
      <c r="I27" s="124" t="str">
        <f>IF(ISNUMBER(namespace_raw[[#This Row],[Column8]]),MAX(G27, M27, O27, $I$2,IF(Q27&lt;&gt;"",VALUE(Q27),0)), "")</f>
        <v/>
      </c>
      <c r="J27" s="125" t="str">
        <f>IF(ISNUMBER(namespace_raw[[#This Row],[Column9]]),MAX(H27, N27, P27, $J$2,IF(R27&lt;&gt;"",VALUE(R27),0)),"")</f>
        <v/>
      </c>
      <c r="K27" s="166" t="str">
        <f>IF(ISNUMBER(namespace_raw[[#This Row],[Column12]]), namespace_raw[[#This Row],[Column12]],"")</f>
        <v/>
      </c>
      <c r="L27" s="167" t="str">
        <f>IF(ISNUMBER(namespace_raw[[#This Row],[Column13]]), namespace_raw[[#This Row],[Column13]]/1048576,"")</f>
        <v/>
      </c>
      <c r="M27" s="168" t="str">
        <f>IF(ISNUMBER(namespace_raw[[#This Row],[Column10]]), (namespace_raw[[#This Row],[Column10]]*(1+$M$2)),"")</f>
        <v/>
      </c>
      <c r="N27" s="167" t="str">
        <f>IF(ISNUMBER(namespace_raw[[#This Row],[Column11]]), (namespace_raw[[#This Row],[Column11]]*(1+$N$2))/1048576,"")</f>
        <v/>
      </c>
      <c r="O27" s="169" t="str">
        <f>IF(ISNUMBER(namespace_raw[[#This Row],[Column8]]), (E27  * $O$2),"")</f>
        <v/>
      </c>
      <c r="P27" s="170" t="str">
        <f>IF(ISNUMBER(namespace_raw[[#This Row],[Column8]]), (F27  * $P$2),"")</f>
        <v/>
      </c>
    </row>
    <row r="28" spans="1:16" ht="15" customHeight="1" x14ac:dyDescent="0.25">
      <c r="A28" s="32" t="str">
        <f>IF(ISNONTEXT(namespace_raw[[#This Row],[Column1]]), "", namespace_raw[[#This Row],[Column1]])</f>
        <v/>
      </c>
      <c r="B28" s="33" t="str">
        <f>IF(ISNONTEXT(namespace_raw[[#This Row],[Column2]]), "", namespace_raw[[#This Row],[Column2]])</f>
        <v/>
      </c>
      <c r="C28" s="94" t="str">
        <f>IF(ISNUMBER(namespace_raw[[#This Row],[Column4]]), namespace_raw[[#This Row],[Column4]], "")</f>
        <v/>
      </c>
      <c r="D28" s="95" t="str">
        <f>IF(ISNUMBER(namespace_raw[[#This Row],[Column5]]), namespace_raw[[#This Row],[Column5]]/1048576, "")</f>
        <v/>
      </c>
      <c r="E28" s="95" t="str">
        <f>IF(ISNUMBER(namespace_raw[[#This Row],[Column6]]), namespace_raw[[#This Row],[Column6]],"")</f>
        <v/>
      </c>
      <c r="F28" s="96" t="str">
        <f>IF(ISNUMBER(namespace_raw[[#This Row],[Column7]]), namespace_raw[[#This Row],[Column7]]/1048576,"")</f>
        <v/>
      </c>
      <c r="G28" s="122" t="str">
        <f>IF(ISNUMBER(namespace_raw[[#This Row],[Column8]]), namespace_raw[[#This Row],[Column8]],"")</f>
        <v/>
      </c>
      <c r="H28" s="123" t="str">
        <f>IF(ISNUMBER(namespace_raw[[#This Row],[Column9]]), namespace_raw[[#This Row],[Column9]]/1048576,"")</f>
        <v/>
      </c>
      <c r="I28" s="124" t="str">
        <f>IF(ISNUMBER(namespace_raw[[#This Row],[Column8]]),MAX(G28, M28, O28, $I$2,IF(Q28&lt;&gt;"",VALUE(Q28),0)), "")</f>
        <v/>
      </c>
      <c r="J28" s="125" t="str">
        <f>IF(ISNUMBER(namespace_raw[[#This Row],[Column9]]),MAX(H28, N28, P28, $J$2,IF(R28&lt;&gt;"",VALUE(R28),0)),"")</f>
        <v/>
      </c>
      <c r="K28" s="166" t="str">
        <f>IF(ISNUMBER(namespace_raw[[#This Row],[Column12]]), namespace_raw[[#This Row],[Column12]],"")</f>
        <v/>
      </c>
      <c r="L28" s="167" t="str">
        <f>IF(ISNUMBER(namespace_raw[[#This Row],[Column13]]), namespace_raw[[#This Row],[Column13]]/1048576,"")</f>
        <v/>
      </c>
      <c r="M28" s="168" t="str">
        <f>IF(ISNUMBER(namespace_raw[[#This Row],[Column10]]), (namespace_raw[[#This Row],[Column10]]*(1+$M$2)),"")</f>
        <v/>
      </c>
      <c r="N28" s="167" t="str">
        <f>IF(ISNUMBER(namespace_raw[[#This Row],[Column11]]), (namespace_raw[[#This Row],[Column11]]*(1+$N$2))/1048576,"")</f>
        <v/>
      </c>
      <c r="O28" s="169" t="str">
        <f>IF(ISNUMBER(namespace_raw[[#This Row],[Column8]]), (E28  * $O$2),"")</f>
        <v/>
      </c>
      <c r="P28" s="170" t="str">
        <f>IF(ISNUMBER(namespace_raw[[#This Row],[Column8]]), (F28  * $P$2),"")</f>
        <v/>
      </c>
    </row>
    <row r="29" spans="1:16" ht="15" customHeight="1" x14ac:dyDescent="0.25">
      <c r="A29" s="32" t="str">
        <f>IF(ISNONTEXT(namespace_raw[[#This Row],[Column1]]), "", namespace_raw[[#This Row],[Column1]])</f>
        <v/>
      </c>
      <c r="B29" s="33" t="str">
        <f>IF(ISNONTEXT(namespace_raw[[#This Row],[Column2]]), "", namespace_raw[[#This Row],[Column2]])</f>
        <v/>
      </c>
      <c r="C29" s="94" t="str">
        <f>IF(ISNUMBER(namespace_raw[[#This Row],[Column4]]), namespace_raw[[#This Row],[Column4]], "")</f>
        <v/>
      </c>
      <c r="D29" s="95" t="str">
        <f>IF(ISNUMBER(namespace_raw[[#This Row],[Column5]]), namespace_raw[[#This Row],[Column5]]/1048576, "")</f>
        <v/>
      </c>
      <c r="E29" s="95" t="str">
        <f>IF(ISNUMBER(namespace_raw[[#This Row],[Column6]]), namespace_raw[[#This Row],[Column6]],"")</f>
        <v/>
      </c>
      <c r="F29" s="96" t="str">
        <f>IF(ISNUMBER(namespace_raw[[#This Row],[Column7]]), namespace_raw[[#This Row],[Column7]]/1048576,"")</f>
        <v/>
      </c>
      <c r="G29" s="122" t="str">
        <f>IF(ISNUMBER(namespace_raw[[#This Row],[Column8]]), namespace_raw[[#This Row],[Column8]],"")</f>
        <v/>
      </c>
      <c r="H29" s="123" t="str">
        <f>IF(ISNUMBER(namespace_raw[[#This Row],[Column9]]), namespace_raw[[#This Row],[Column9]]/1048576,"")</f>
        <v/>
      </c>
      <c r="I29" s="124" t="str">
        <f>IF(ISNUMBER(namespace_raw[[#This Row],[Column8]]),MAX(G29, M29, O29, $I$2,IF(Q29&lt;&gt;"",VALUE(Q29),0)), "")</f>
        <v/>
      </c>
      <c r="J29" s="125" t="str">
        <f>IF(ISNUMBER(namespace_raw[[#This Row],[Column9]]),MAX(H29, N29, P29, $J$2,IF(R29&lt;&gt;"",VALUE(R29),0)),"")</f>
        <v/>
      </c>
      <c r="K29" s="166" t="str">
        <f>IF(ISNUMBER(namespace_raw[[#This Row],[Column12]]), namespace_raw[[#This Row],[Column12]],"")</f>
        <v/>
      </c>
      <c r="L29" s="167" t="str">
        <f>IF(ISNUMBER(namespace_raw[[#This Row],[Column13]]), namespace_raw[[#This Row],[Column13]]/1048576,"")</f>
        <v/>
      </c>
      <c r="M29" s="168" t="str">
        <f>IF(ISNUMBER(namespace_raw[[#This Row],[Column10]]), (namespace_raw[[#This Row],[Column10]]*(1+$M$2)),"")</f>
        <v/>
      </c>
      <c r="N29" s="167" t="str">
        <f>IF(ISNUMBER(namespace_raw[[#This Row],[Column11]]), (namespace_raw[[#This Row],[Column11]]*(1+$N$2))/1048576,"")</f>
        <v/>
      </c>
      <c r="O29" s="169" t="str">
        <f>IF(ISNUMBER(namespace_raw[[#This Row],[Column8]]), (E29  * $O$2),"")</f>
        <v/>
      </c>
      <c r="P29" s="170" t="str">
        <f>IF(ISNUMBER(namespace_raw[[#This Row],[Column8]]), (F29  * $P$2),"")</f>
        <v/>
      </c>
    </row>
    <row r="30" spans="1:16" ht="15" customHeight="1" x14ac:dyDescent="0.25">
      <c r="A30" s="32" t="str">
        <f>IF(ISNONTEXT(namespace_raw[[#This Row],[Column1]]), "", namespace_raw[[#This Row],[Column1]])</f>
        <v/>
      </c>
      <c r="B30" s="33" t="str">
        <f>IF(ISNONTEXT(namespace_raw[[#This Row],[Column2]]), "", namespace_raw[[#This Row],[Column2]])</f>
        <v/>
      </c>
      <c r="C30" s="94" t="str">
        <f>IF(ISNUMBER(namespace_raw[[#This Row],[Column4]]), namespace_raw[[#This Row],[Column4]], "")</f>
        <v/>
      </c>
      <c r="D30" s="95" t="str">
        <f>IF(ISNUMBER(namespace_raw[[#This Row],[Column5]]), namespace_raw[[#This Row],[Column5]]/1048576, "")</f>
        <v/>
      </c>
      <c r="E30" s="95" t="str">
        <f>IF(ISNUMBER(namespace_raw[[#This Row],[Column6]]), namespace_raw[[#This Row],[Column6]],"")</f>
        <v/>
      </c>
      <c r="F30" s="96" t="str">
        <f>IF(ISNUMBER(namespace_raw[[#This Row],[Column7]]), namespace_raw[[#This Row],[Column7]]/1048576,"")</f>
        <v/>
      </c>
      <c r="G30" s="122" t="str">
        <f>IF(ISNUMBER(namespace_raw[[#This Row],[Column8]]), namespace_raw[[#This Row],[Column8]],"")</f>
        <v/>
      </c>
      <c r="H30" s="123" t="str">
        <f>IF(ISNUMBER(namespace_raw[[#This Row],[Column9]]), namespace_raw[[#This Row],[Column9]]/1048576,"")</f>
        <v/>
      </c>
      <c r="I30" s="124" t="str">
        <f>IF(ISNUMBER(namespace_raw[[#This Row],[Column8]]),MAX(G30, M30, O30, $I$2,IF(Q30&lt;&gt;"",VALUE(Q30),0)), "")</f>
        <v/>
      </c>
      <c r="J30" s="125" t="str">
        <f>IF(ISNUMBER(namespace_raw[[#This Row],[Column9]]),MAX(H30, N30, P30, $J$2,IF(R30&lt;&gt;"",VALUE(R30),0)),"")</f>
        <v/>
      </c>
      <c r="K30" s="166" t="str">
        <f>IF(ISNUMBER(namespace_raw[[#This Row],[Column12]]), namespace_raw[[#This Row],[Column12]],"")</f>
        <v/>
      </c>
      <c r="L30" s="167" t="str">
        <f>IF(ISNUMBER(namespace_raw[[#This Row],[Column13]]), namespace_raw[[#This Row],[Column13]]/1048576,"")</f>
        <v/>
      </c>
      <c r="M30" s="168" t="str">
        <f>IF(ISNUMBER(namespace_raw[[#This Row],[Column10]]), (namespace_raw[[#This Row],[Column10]]*(1+$M$2)),"")</f>
        <v/>
      </c>
      <c r="N30" s="167" t="str">
        <f>IF(ISNUMBER(namespace_raw[[#This Row],[Column11]]), (namespace_raw[[#This Row],[Column11]]*(1+$N$2))/1048576,"")</f>
        <v/>
      </c>
      <c r="O30" s="169" t="str">
        <f>IF(ISNUMBER(namespace_raw[[#This Row],[Column8]]), (E30  * $O$2),"")</f>
        <v/>
      </c>
      <c r="P30" s="170" t="str">
        <f>IF(ISNUMBER(namespace_raw[[#This Row],[Column8]]), (F30  * $P$2),"")</f>
        <v/>
      </c>
    </row>
    <row r="31" spans="1:16" ht="15" customHeight="1" x14ac:dyDescent="0.25">
      <c r="A31" s="32" t="str">
        <f>IF(ISNONTEXT(namespace_raw[[#This Row],[Column1]]), "", namespace_raw[[#This Row],[Column1]])</f>
        <v/>
      </c>
      <c r="B31" s="33" t="str">
        <f>IF(ISNONTEXT(namespace_raw[[#This Row],[Column2]]), "", namespace_raw[[#This Row],[Column2]])</f>
        <v/>
      </c>
      <c r="C31" s="94" t="str">
        <f>IF(ISNUMBER(namespace_raw[[#This Row],[Column4]]), namespace_raw[[#This Row],[Column4]], "")</f>
        <v/>
      </c>
      <c r="D31" s="95" t="str">
        <f>IF(ISNUMBER(namespace_raw[[#This Row],[Column5]]), namespace_raw[[#This Row],[Column5]]/1048576, "")</f>
        <v/>
      </c>
      <c r="E31" s="95" t="str">
        <f>IF(ISNUMBER(namespace_raw[[#This Row],[Column6]]), namespace_raw[[#This Row],[Column6]],"")</f>
        <v/>
      </c>
      <c r="F31" s="96" t="str">
        <f>IF(ISNUMBER(namespace_raw[[#This Row],[Column7]]), namespace_raw[[#This Row],[Column7]]/1048576,"")</f>
        <v/>
      </c>
      <c r="G31" s="122" t="str">
        <f>IF(ISNUMBER(namespace_raw[[#This Row],[Column8]]), namespace_raw[[#This Row],[Column8]],"")</f>
        <v/>
      </c>
      <c r="H31" s="123" t="str">
        <f>IF(ISNUMBER(namespace_raw[[#This Row],[Column9]]), namespace_raw[[#This Row],[Column9]]/1048576,"")</f>
        <v/>
      </c>
      <c r="I31" s="124" t="str">
        <f>IF(ISNUMBER(namespace_raw[[#This Row],[Column8]]),MAX(G31, M31, O31, $I$2,IF(Q31&lt;&gt;"",VALUE(Q31),0)), "")</f>
        <v/>
      </c>
      <c r="J31" s="125" t="str">
        <f>IF(ISNUMBER(namespace_raw[[#This Row],[Column9]]),MAX(H31, N31, P31, $J$2,IF(R31&lt;&gt;"",VALUE(R31),0)),"")</f>
        <v/>
      </c>
      <c r="K31" s="166" t="str">
        <f>IF(ISNUMBER(namespace_raw[[#This Row],[Column12]]), namespace_raw[[#This Row],[Column12]],"")</f>
        <v/>
      </c>
      <c r="L31" s="167" t="str">
        <f>IF(ISNUMBER(namespace_raw[[#This Row],[Column13]]), namespace_raw[[#This Row],[Column13]]/1048576,"")</f>
        <v/>
      </c>
      <c r="M31" s="168" t="str">
        <f>IF(ISNUMBER(namespace_raw[[#This Row],[Column10]]), (namespace_raw[[#This Row],[Column10]]*(1+$M$2)),"")</f>
        <v/>
      </c>
      <c r="N31" s="167" t="str">
        <f>IF(ISNUMBER(namespace_raw[[#This Row],[Column11]]), (namespace_raw[[#This Row],[Column11]]*(1+$N$2))/1048576,"")</f>
        <v/>
      </c>
      <c r="O31" s="169" t="str">
        <f>IF(ISNUMBER(namespace_raw[[#This Row],[Column8]]), (E31  * $O$2),"")</f>
        <v/>
      </c>
      <c r="P31" s="170" t="str">
        <f>IF(ISNUMBER(namespace_raw[[#This Row],[Column8]]), (F31  * $P$2),"")</f>
        <v/>
      </c>
    </row>
    <row r="32" spans="1:16" ht="15" customHeight="1" x14ac:dyDescent="0.25">
      <c r="A32" s="32" t="str">
        <f>IF(ISNONTEXT(namespace_raw[[#This Row],[Column1]]), "", namespace_raw[[#This Row],[Column1]])</f>
        <v/>
      </c>
      <c r="B32" s="33" t="str">
        <f>IF(ISNONTEXT(namespace_raw[[#This Row],[Column2]]), "", namespace_raw[[#This Row],[Column2]])</f>
        <v/>
      </c>
      <c r="C32" s="94" t="str">
        <f>IF(ISNUMBER(namespace_raw[[#This Row],[Column4]]), namespace_raw[[#This Row],[Column4]], "")</f>
        <v/>
      </c>
      <c r="D32" s="95" t="str">
        <f>IF(ISNUMBER(namespace_raw[[#This Row],[Column5]]), namespace_raw[[#This Row],[Column5]]/1048576, "")</f>
        <v/>
      </c>
      <c r="E32" s="95" t="str">
        <f>IF(ISNUMBER(namespace_raw[[#This Row],[Column6]]), namespace_raw[[#This Row],[Column6]],"")</f>
        <v/>
      </c>
      <c r="F32" s="96" t="str">
        <f>IF(ISNUMBER(namespace_raw[[#This Row],[Column7]]), namespace_raw[[#This Row],[Column7]]/1048576,"")</f>
        <v/>
      </c>
      <c r="G32" s="122" t="str">
        <f>IF(ISNUMBER(namespace_raw[[#This Row],[Column8]]), namespace_raw[[#This Row],[Column8]],"")</f>
        <v/>
      </c>
      <c r="H32" s="123" t="str">
        <f>IF(ISNUMBER(namespace_raw[[#This Row],[Column9]]), namespace_raw[[#This Row],[Column9]]/1048576,"")</f>
        <v/>
      </c>
      <c r="I32" s="124" t="str">
        <f>IF(ISNUMBER(namespace_raw[[#This Row],[Column8]]),MAX(G32, M32, O32, $I$2,IF(Q32&lt;&gt;"",VALUE(Q32),0)), "")</f>
        <v/>
      </c>
      <c r="J32" s="125" t="str">
        <f>IF(ISNUMBER(namespace_raw[[#This Row],[Column9]]),MAX(H32, N32, P32, $J$2,IF(R32&lt;&gt;"",VALUE(R32),0)),"")</f>
        <v/>
      </c>
      <c r="K32" s="166" t="str">
        <f>IF(ISNUMBER(namespace_raw[[#This Row],[Column12]]), namespace_raw[[#This Row],[Column12]],"")</f>
        <v/>
      </c>
      <c r="L32" s="167" t="str">
        <f>IF(ISNUMBER(namespace_raw[[#This Row],[Column13]]), namespace_raw[[#This Row],[Column13]]/1048576,"")</f>
        <v/>
      </c>
      <c r="M32" s="168" t="str">
        <f>IF(ISNUMBER(namespace_raw[[#This Row],[Column10]]), (namespace_raw[[#This Row],[Column10]]*(1+$M$2)),"")</f>
        <v/>
      </c>
      <c r="N32" s="167" t="str">
        <f>IF(ISNUMBER(namespace_raw[[#This Row],[Column11]]), (namespace_raw[[#This Row],[Column11]]*(1+$N$2))/1048576,"")</f>
        <v/>
      </c>
      <c r="O32" s="169" t="str">
        <f>IF(ISNUMBER(namespace_raw[[#This Row],[Column8]]), (E32  * $O$2),"")</f>
        <v/>
      </c>
      <c r="P32" s="170" t="str">
        <f>IF(ISNUMBER(namespace_raw[[#This Row],[Column8]]), (F32  * $P$2),"")</f>
        <v/>
      </c>
    </row>
    <row r="33" spans="1:16" ht="15" customHeight="1" x14ac:dyDescent="0.25">
      <c r="A33" s="32" t="str">
        <f>IF(ISNONTEXT(namespace_raw[[#This Row],[Column1]]), "", namespace_raw[[#This Row],[Column1]])</f>
        <v/>
      </c>
      <c r="B33" s="33" t="str">
        <f>IF(ISNONTEXT(namespace_raw[[#This Row],[Column2]]), "", namespace_raw[[#This Row],[Column2]])</f>
        <v/>
      </c>
      <c r="C33" s="94" t="str">
        <f>IF(ISNUMBER(namespace_raw[[#This Row],[Column4]]), namespace_raw[[#This Row],[Column4]], "")</f>
        <v/>
      </c>
      <c r="D33" s="95" t="str">
        <f>IF(ISNUMBER(namespace_raw[[#This Row],[Column5]]), namespace_raw[[#This Row],[Column5]]/1048576, "")</f>
        <v/>
      </c>
      <c r="E33" s="95" t="str">
        <f>IF(ISNUMBER(namespace_raw[[#This Row],[Column6]]), namespace_raw[[#This Row],[Column6]],"")</f>
        <v/>
      </c>
      <c r="F33" s="96" t="str">
        <f>IF(ISNUMBER(namespace_raw[[#This Row],[Column7]]), namespace_raw[[#This Row],[Column7]]/1048576,"")</f>
        <v/>
      </c>
      <c r="G33" s="122" t="str">
        <f>IF(ISNUMBER(namespace_raw[[#This Row],[Column8]]), namespace_raw[[#This Row],[Column8]],"")</f>
        <v/>
      </c>
      <c r="H33" s="123" t="str">
        <f>IF(ISNUMBER(namespace_raw[[#This Row],[Column9]]), namespace_raw[[#This Row],[Column9]]/1048576,"")</f>
        <v/>
      </c>
      <c r="I33" s="124" t="str">
        <f>IF(ISNUMBER(namespace_raw[[#This Row],[Column8]]),MAX(G33, M33, O33, $I$2,IF(Q33&lt;&gt;"",VALUE(Q33),0)), "")</f>
        <v/>
      </c>
      <c r="J33" s="125" t="str">
        <f>IF(ISNUMBER(namespace_raw[[#This Row],[Column9]]),MAX(H33, N33, P33, $J$2,IF(R33&lt;&gt;"",VALUE(R33),0)),"")</f>
        <v/>
      </c>
      <c r="K33" s="166" t="str">
        <f>IF(ISNUMBER(namespace_raw[[#This Row],[Column12]]), namespace_raw[[#This Row],[Column12]],"")</f>
        <v/>
      </c>
      <c r="L33" s="167" t="str">
        <f>IF(ISNUMBER(namespace_raw[[#This Row],[Column13]]), namespace_raw[[#This Row],[Column13]]/1048576,"")</f>
        <v/>
      </c>
      <c r="M33" s="168" t="str">
        <f>IF(ISNUMBER(namespace_raw[[#This Row],[Column10]]), (namespace_raw[[#This Row],[Column10]]*(1+$M$2)),"")</f>
        <v/>
      </c>
      <c r="N33" s="167" t="str">
        <f>IF(ISNUMBER(namespace_raw[[#This Row],[Column11]]), (namespace_raw[[#This Row],[Column11]]*(1+$N$2))/1048576,"")</f>
        <v/>
      </c>
      <c r="O33" s="169" t="str">
        <f>IF(ISNUMBER(namespace_raw[[#This Row],[Column8]]), (E33  * $O$2),"")</f>
        <v/>
      </c>
      <c r="P33" s="170" t="str">
        <f>IF(ISNUMBER(namespace_raw[[#This Row],[Column8]]), (F33  * $P$2),"")</f>
        <v/>
      </c>
    </row>
    <row r="34" spans="1:16" ht="15" customHeight="1" x14ac:dyDescent="0.25">
      <c r="A34" s="32" t="str">
        <f>IF(ISNONTEXT(namespace_raw[[#This Row],[Column1]]), "", namespace_raw[[#This Row],[Column1]])</f>
        <v/>
      </c>
      <c r="B34" s="33" t="str">
        <f>IF(ISNONTEXT(namespace_raw[[#This Row],[Column2]]), "", namespace_raw[[#This Row],[Column2]])</f>
        <v/>
      </c>
      <c r="C34" s="94" t="str">
        <f>IF(ISNUMBER(namespace_raw[[#This Row],[Column4]]), namespace_raw[[#This Row],[Column4]], "")</f>
        <v/>
      </c>
      <c r="D34" s="95" t="str">
        <f>IF(ISNUMBER(namespace_raw[[#This Row],[Column5]]), namespace_raw[[#This Row],[Column5]]/1048576, "")</f>
        <v/>
      </c>
      <c r="E34" s="95" t="str">
        <f>IF(ISNUMBER(namespace_raw[[#This Row],[Column6]]), namespace_raw[[#This Row],[Column6]],"")</f>
        <v/>
      </c>
      <c r="F34" s="96" t="str">
        <f>IF(ISNUMBER(namespace_raw[[#This Row],[Column7]]), namespace_raw[[#This Row],[Column7]]/1048576,"")</f>
        <v/>
      </c>
      <c r="G34" s="122" t="str">
        <f>IF(ISNUMBER(namespace_raw[[#This Row],[Column8]]), namespace_raw[[#This Row],[Column8]],"")</f>
        <v/>
      </c>
      <c r="H34" s="123" t="str">
        <f>IF(ISNUMBER(namespace_raw[[#This Row],[Column9]]), namespace_raw[[#This Row],[Column9]]/1048576,"")</f>
        <v/>
      </c>
      <c r="I34" s="124" t="str">
        <f>IF(ISNUMBER(namespace_raw[[#This Row],[Column8]]),MAX(G34, M34, O34, $I$2,IF(Q34&lt;&gt;"",VALUE(Q34),0)), "")</f>
        <v/>
      </c>
      <c r="J34" s="125" t="str">
        <f>IF(ISNUMBER(namespace_raw[[#This Row],[Column9]]),MAX(H34, N34, P34, $J$2,IF(R34&lt;&gt;"",VALUE(R34),0)),"")</f>
        <v/>
      </c>
      <c r="K34" s="166" t="str">
        <f>IF(ISNUMBER(namespace_raw[[#This Row],[Column12]]), namespace_raw[[#This Row],[Column12]],"")</f>
        <v/>
      </c>
      <c r="L34" s="167" t="str">
        <f>IF(ISNUMBER(namespace_raw[[#This Row],[Column13]]), namespace_raw[[#This Row],[Column13]]/1048576,"")</f>
        <v/>
      </c>
      <c r="M34" s="168" t="str">
        <f>IF(ISNUMBER(namespace_raw[[#This Row],[Column10]]), (namespace_raw[[#This Row],[Column10]]*(1+$M$2)),"")</f>
        <v/>
      </c>
      <c r="N34" s="167" t="str">
        <f>IF(ISNUMBER(namespace_raw[[#This Row],[Column11]]), (namespace_raw[[#This Row],[Column11]]*(1+$N$2))/1048576,"")</f>
        <v/>
      </c>
      <c r="O34" s="169" t="str">
        <f>IF(ISNUMBER(namespace_raw[[#This Row],[Column8]]), (E34  * $O$2),"")</f>
        <v/>
      </c>
      <c r="P34" s="170" t="str">
        <f>IF(ISNUMBER(namespace_raw[[#This Row],[Column8]]), (F34  * $P$2),"")</f>
        <v/>
      </c>
    </row>
    <row r="35" spans="1:16" ht="15" customHeight="1" x14ac:dyDescent="0.25">
      <c r="A35" s="32" t="str">
        <f>IF(ISNONTEXT(namespace_raw[[#This Row],[Column1]]), "", namespace_raw[[#This Row],[Column1]])</f>
        <v/>
      </c>
      <c r="B35" s="33" t="str">
        <f>IF(ISNONTEXT(namespace_raw[[#This Row],[Column2]]), "", namespace_raw[[#This Row],[Column2]])</f>
        <v/>
      </c>
      <c r="C35" s="94" t="str">
        <f>IF(ISNUMBER(namespace_raw[[#This Row],[Column4]]), namespace_raw[[#This Row],[Column4]], "")</f>
        <v/>
      </c>
      <c r="D35" s="95" t="str">
        <f>IF(ISNUMBER(namespace_raw[[#This Row],[Column5]]), namespace_raw[[#This Row],[Column5]]/1048576, "")</f>
        <v/>
      </c>
      <c r="E35" s="95" t="str">
        <f>IF(ISNUMBER(namespace_raw[[#This Row],[Column6]]), namespace_raw[[#This Row],[Column6]],"")</f>
        <v/>
      </c>
      <c r="F35" s="96" t="str">
        <f>IF(ISNUMBER(namespace_raw[[#This Row],[Column7]]), namespace_raw[[#This Row],[Column7]]/1048576,"")</f>
        <v/>
      </c>
      <c r="G35" s="122" t="str">
        <f>IF(ISNUMBER(namespace_raw[[#This Row],[Column8]]), namespace_raw[[#This Row],[Column8]],"")</f>
        <v/>
      </c>
      <c r="H35" s="123" t="str">
        <f>IF(ISNUMBER(namespace_raw[[#This Row],[Column9]]), namespace_raw[[#This Row],[Column9]]/1048576,"")</f>
        <v/>
      </c>
      <c r="I35" s="124" t="str">
        <f>IF(ISNUMBER(namespace_raw[[#This Row],[Column8]]),MAX(G35, M35, O35, $I$2,IF(Q35&lt;&gt;"",VALUE(Q35),0)), "")</f>
        <v/>
      </c>
      <c r="J35" s="125" t="str">
        <f>IF(ISNUMBER(namespace_raw[[#This Row],[Column9]]),MAX(H35, N35, P35, $J$2,IF(R35&lt;&gt;"",VALUE(R35),0)),"")</f>
        <v/>
      </c>
      <c r="K35" s="166" t="str">
        <f>IF(ISNUMBER(namespace_raw[[#This Row],[Column12]]), namespace_raw[[#This Row],[Column12]],"")</f>
        <v/>
      </c>
      <c r="L35" s="167" t="str">
        <f>IF(ISNUMBER(namespace_raw[[#This Row],[Column13]]), namespace_raw[[#This Row],[Column13]]/1048576,"")</f>
        <v/>
      </c>
      <c r="M35" s="168" t="str">
        <f>IF(ISNUMBER(namespace_raw[[#This Row],[Column10]]), (namespace_raw[[#This Row],[Column10]]*(1+$M$2)),"")</f>
        <v/>
      </c>
      <c r="N35" s="167" t="str">
        <f>IF(ISNUMBER(namespace_raw[[#This Row],[Column11]]), (namespace_raw[[#This Row],[Column11]]*(1+$N$2))/1048576,"")</f>
        <v/>
      </c>
      <c r="O35" s="169" t="str">
        <f>IF(ISNUMBER(namespace_raw[[#This Row],[Column8]]), (E35  * $O$2),"")</f>
        <v/>
      </c>
      <c r="P35" s="170" t="str">
        <f>IF(ISNUMBER(namespace_raw[[#This Row],[Column8]]), (F35  * $P$2),"")</f>
        <v/>
      </c>
    </row>
    <row r="36" spans="1:16" ht="15" customHeight="1" x14ac:dyDescent="0.25">
      <c r="A36" s="32" t="str">
        <f>IF(ISNONTEXT(namespace_raw[[#This Row],[Column1]]), "", namespace_raw[[#This Row],[Column1]])</f>
        <v/>
      </c>
      <c r="B36" s="33" t="str">
        <f>IF(ISNONTEXT(namespace_raw[[#This Row],[Column2]]), "", namespace_raw[[#This Row],[Column2]])</f>
        <v/>
      </c>
      <c r="C36" s="94" t="str">
        <f>IF(ISNUMBER(namespace_raw[[#This Row],[Column4]]), namespace_raw[[#This Row],[Column4]], "")</f>
        <v/>
      </c>
      <c r="D36" s="95" t="str">
        <f>IF(ISNUMBER(namespace_raw[[#This Row],[Column5]]), namespace_raw[[#This Row],[Column5]]/1048576, "")</f>
        <v/>
      </c>
      <c r="E36" s="95" t="str">
        <f>IF(ISNUMBER(namespace_raw[[#This Row],[Column6]]), namespace_raw[[#This Row],[Column6]],"")</f>
        <v/>
      </c>
      <c r="F36" s="96" t="str">
        <f>IF(ISNUMBER(namespace_raw[[#This Row],[Column7]]), namespace_raw[[#This Row],[Column7]]/1048576,"")</f>
        <v/>
      </c>
      <c r="G36" s="122" t="str">
        <f>IF(ISNUMBER(namespace_raw[[#This Row],[Column8]]), namespace_raw[[#This Row],[Column8]],"")</f>
        <v/>
      </c>
      <c r="H36" s="123" t="str">
        <f>IF(ISNUMBER(namespace_raw[[#This Row],[Column9]]), namespace_raw[[#This Row],[Column9]]/1048576,"")</f>
        <v/>
      </c>
      <c r="I36" s="124" t="str">
        <f>IF(ISNUMBER(namespace_raw[[#This Row],[Column8]]),MAX(G36, M36, O36, $I$2,IF(Q36&lt;&gt;"",VALUE(Q36),0)), "")</f>
        <v/>
      </c>
      <c r="J36" s="125" t="str">
        <f>IF(ISNUMBER(namespace_raw[[#This Row],[Column9]]),MAX(H36, N36, P36, $J$2,IF(R36&lt;&gt;"",VALUE(R36),0)),"")</f>
        <v/>
      </c>
      <c r="K36" s="166" t="str">
        <f>IF(ISNUMBER(namespace_raw[[#This Row],[Column12]]), namespace_raw[[#This Row],[Column12]],"")</f>
        <v/>
      </c>
      <c r="L36" s="167" t="str">
        <f>IF(ISNUMBER(namespace_raw[[#This Row],[Column13]]), namespace_raw[[#This Row],[Column13]]/1048576,"")</f>
        <v/>
      </c>
      <c r="M36" s="168" t="str">
        <f>IF(ISNUMBER(namespace_raw[[#This Row],[Column10]]), (namespace_raw[[#This Row],[Column10]]*(1+$M$2)),"")</f>
        <v/>
      </c>
      <c r="N36" s="167" t="str">
        <f>IF(ISNUMBER(namespace_raw[[#This Row],[Column11]]), (namespace_raw[[#This Row],[Column11]]*(1+$N$2))/1048576,"")</f>
        <v/>
      </c>
      <c r="O36" s="169" t="str">
        <f>IF(ISNUMBER(namespace_raw[[#This Row],[Column8]]), (E36  * $O$2),"")</f>
        <v/>
      </c>
      <c r="P36" s="170" t="str">
        <f>IF(ISNUMBER(namespace_raw[[#This Row],[Column8]]), (F36  * $P$2),"")</f>
        <v/>
      </c>
    </row>
    <row r="37" spans="1:16" ht="15" customHeight="1" x14ac:dyDescent="0.25">
      <c r="A37" s="32" t="str">
        <f>IF(ISNONTEXT(namespace_raw[[#This Row],[Column1]]), "", namespace_raw[[#This Row],[Column1]])</f>
        <v/>
      </c>
      <c r="B37" s="33" t="str">
        <f>IF(ISNONTEXT(namespace_raw[[#This Row],[Column2]]), "", namespace_raw[[#This Row],[Column2]])</f>
        <v/>
      </c>
      <c r="C37" s="94" t="str">
        <f>IF(ISNUMBER(namespace_raw[[#This Row],[Column4]]), namespace_raw[[#This Row],[Column4]], "")</f>
        <v/>
      </c>
      <c r="D37" s="95" t="str">
        <f>IF(ISNUMBER(namespace_raw[[#This Row],[Column5]]), namespace_raw[[#This Row],[Column5]]/1048576, "")</f>
        <v/>
      </c>
      <c r="E37" s="95" t="str">
        <f>IF(ISNUMBER(namespace_raw[[#This Row],[Column6]]), namespace_raw[[#This Row],[Column6]],"")</f>
        <v/>
      </c>
      <c r="F37" s="96" t="str">
        <f>IF(ISNUMBER(namespace_raw[[#This Row],[Column7]]), namespace_raw[[#This Row],[Column7]]/1048576,"")</f>
        <v/>
      </c>
      <c r="G37" s="122" t="str">
        <f>IF(ISNUMBER(namespace_raw[[#This Row],[Column8]]), namespace_raw[[#This Row],[Column8]],"")</f>
        <v/>
      </c>
      <c r="H37" s="123" t="str">
        <f>IF(ISNUMBER(namespace_raw[[#This Row],[Column9]]), namespace_raw[[#This Row],[Column9]]/1048576,"")</f>
        <v/>
      </c>
      <c r="I37" s="124" t="str">
        <f>IF(ISNUMBER(namespace_raw[[#This Row],[Column8]]),MAX(G37, M37, O37, $I$2,IF(Q37&lt;&gt;"",VALUE(Q37),0)), "")</f>
        <v/>
      </c>
      <c r="J37" s="125" t="str">
        <f>IF(ISNUMBER(namespace_raw[[#This Row],[Column9]]),MAX(H37, N37, P37, $J$2,IF(R37&lt;&gt;"",VALUE(R37),0)),"")</f>
        <v/>
      </c>
      <c r="K37" s="166" t="str">
        <f>IF(ISNUMBER(namespace_raw[[#This Row],[Column12]]), namespace_raw[[#This Row],[Column12]],"")</f>
        <v/>
      </c>
      <c r="L37" s="167" t="str">
        <f>IF(ISNUMBER(namespace_raw[[#This Row],[Column13]]), namespace_raw[[#This Row],[Column13]]/1048576,"")</f>
        <v/>
      </c>
      <c r="M37" s="168" t="str">
        <f>IF(ISNUMBER(namespace_raw[[#This Row],[Column10]]), (namespace_raw[[#This Row],[Column10]]*(1+$M$2)),"")</f>
        <v/>
      </c>
      <c r="N37" s="167" t="str">
        <f>IF(ISNUMBER(namespace_raw[[#This Row],[Column11]]), (namespace_raw[[#This Row],[Column11]]*(1+$N$2))/1048576,"")</f>
        <v/>
      </c>
      <c r="O37" s="169" t="str">
        <f>IF(ISNUMBER(namespace_raw[[#This Row],[Column8]]), (E37  * $O$2),"")</f>
        <v/>
      </c>
      <c r="P37" s="170" t="str">
        <f>IF(ISNUMBER(namespace_raw[[#This Row],[Column8]]), (F37  * $P$2),"")</f>
        <v/>
      </c>
    </row>
    <row r="38" spans="1:16" ht="15" customHeight="1" x14ac:dyDescent="0.25">
      <c r="A38" s="32" t="str">
        <f>IF(ISNONTEXT(namespace_raw[[#This Row],[Column1]]), "", namespace_raw[[#This Row],[Column1]])</f>
        <v/>
      </c>
      <c r="B38" s="33" t="str">
        <f>IF(ISNONTEXT(namespace_raw[[#This Row],[Column2]]), "", namespace_raw[[#This Row],[Column2]])</f>
        <v/>
      </c>
      <c r="C38" s="94" t="str">
        <f>IF(ISNUMBER(namespace_raw[[#This Row],[Column4]]), namespace_raw[[#This Row],[Column4]], "")</f>
        <v/>
      </c>
      <c r="D38" s="95" t="str">
        <f>IF(ISNUMBER(namespace_raw[[#This Row],[Column5]]), namespace_raw[[#This Row],[Column5]]/1048576, "")</f>
        <v/>
      </c>
      <c r="E38" s="95" t="str">
        <f>IF(ISNUMBER(namespace_raw[[#This Row],[Column6]]), namespace_raw[[#This Row],[Column6]],"")</f>
        <v/>
      </c>
      <c r="F38" s="96" t="str">
        <f>IF(ISNUMBER(namespace_raw[[#This Row],[Column7]]), namespace_raw[[#This Row],[Column7]]/1048576,"")</f>
        <v/>
      </c>
      <c r="G38" s="122" t="str">
        <f>IF(ISNUMBER(namespace_raw[[#This Row],[Column8]]), namespace_raw[[#This Row],[Column8]],"")</f>
        <v/>
      </c>
      <c r="H38" s="123" t="str">
        <f>IF(ISNUMBER(namespace_raw[[#This Row],[Column9]]), namespace_raw[[#This Row],[Column9]]/1048576,"")</f>
        <v/>
      </c>
      <c r="I38" s="124" t="str">
        <f>IF(ISNUMBER(namespace_raw[[#This Row],[Column8]]),MAX(G38, M38, O38, $I$2,IF(Q38&lt;&gt;"",VALUE(Q38),0)), "")</f>
        <v/>
      </c>
      <c r="J38" s="125" t="str">
        <f>IF(ISNUMBER(namespace_raw[[#This Row],[Column9]]),MAX(H38, N38, P38, $J$2,IF(R38&lt;&gt;"",VALUE(R38),0)),"")</f>
        <v/>
      </c>
      <c r="K38" s="166" t="str">
        <f>IF(ISNUMBER(namespace_raw[[#This Row],[Column12]]), namespace_raw[[#This Row],[Column12]],"")</f>
        <v/>
      </c>
      <c r="L38" s="167" t="str">
        <f>IF(ISNUMBER(namespace_raw[[#This Row],[Column13]]), namespace_raw[[#This Row],[Column13]]/1048576,"")</f>
        <v/>
      </c>
      <c r="M38" s="168" t="str">
        <f>IF(ISNUMBER(namespace_raw[[#This Row],[Column10]]), (namespace_raw[[#This Row],[Column10]]*(1+$M$2)),"")</f>
        <v/>
      </c>
      <c r="N38" s="167" t="str">
        <f>IF(ISNUMBER(namespace_raw[[#This Row],[Column11]]), (namespace_raw[[#This Row],[Column11]]*(1+$N$2))/1048576,"")</f>
        <v/>
      </c>
      <c r="O38" s="169" t="str">
        <f>IF(ISNUMBER(namespace_raw[[#This Row],[Column8]]), (E38  * $O$2),"")</f>
        <v/>
      </c>
      <c r="P38" s="170" t="str">
        <f>IF(ISNUMBER(namespace_raw[[#This Row],[Column8]]), (F38  * $P$2),"")</f>
        <v/>
      </c>
    </row>
    <row r="39" spans="1:16" ht="15" customHeight="1" x14ac:dyDescent="0.25">
      <c r="A39" s="32" t="str">
        <f>IF(ISNONTEXT(namespace_raw[[#This Row],[Column1]]), "", namespace_raw[[#This Row],[Column1]])</f>
        <v/>
      </c>
      <c r="B39" s="33" t="str">
        <f>IF(ISNONTEXT(namespace_raw[[#This Row],[Column2]]), "", namespace_raw[[#This Row],[Column2]])</f>
        <v/>
      </c>
      <c r="C39" s="94" t="str">
        <f>IF(ISNUMBER(namespace_raw[[#This Row],[Column4]]), namespace_raw[[#This Row],[Column4]], "")</f>
        <v/>
      </c>
      <c r="D39" s="95" t="str">
        <f>IF(ISNUMBER(namespace_raw[[#This Row],[Column5]]), namespace_raw[[#This Row],[Column5]]/1048576, "")</f>
        <v/>
      </c>
      <c r="E39" s="95" t="str">
        <f>IF(ISNUMBER(namespace_raw[[#This Row],[Column6]]), namespace_raw[[#This Row],[Column6]],"")</f>
        <v/>
      </c>
      <c r="F39" s="96" t="str">
        <f>IF(ISNUMBER(namespace_raw[[#This Row],[Column7]]), namespace_raw[[#This Row],[Column7]]/1048576,"")</f>
        <v/>
      </c>
      <c r="G39" s="122" t="str">
        <f>IF(ISNUMBER(namespace_raw[[#This Row],[Column8]]), namespace_raw[[#This Row],[Column8]],"")</f>
        <v/>
      </c>
      <c r="H39" s="123" t="str">
        <f>IF(ISNUMBER(namespace_raw[[#This Row],[Column9]]), namespace_raw[[#This Row],[Column9]]/1048576,"")</f>
        <v/>
      </c>
      <c r="I39" s="124" t="str">
        <f>IF(ISNUMBER(namespace_raw[[#This Row],[Column8]]),MAX(G39, M39, O39, $I$2,IF(Q39&lt;&gt;"",VALUE(Q39),0)), "")</f>
        <v/>
      </c>
      <c r="J39" s="125" t="str">
        <f>IF(ISNUMBER(namespace_raw[[#This Row],[Column9]]),MAX(H39, N39, P39, $J$2,IF(R39&lt;&gt;"",VALUE(R39),0)),"")</f>
        <v/>
      </c>
      <c r="K39" s="166" t="str">
        <f>IF(ISNUMBER(namespace_raw[[#This Row],[Column12]]), namespace_raw[[#This Row],[Column12]],"")</f>
        <v/>
      </c>
      <c r="L39" s="167" t="str">
        <f>IF(ISNUMBER(namespace_raw[[#This Row],[Column13]]), namespace_raw[[#This Row],[Column13]]/1048576,"")</f>
        <v/>
      </c>
      <c r="M39" s="168" t="str">
        <f>IF(ISNUMBER(namespace_raw[[#This Row],[Column10]]), (namespace_raw[[#This Row],[Column10]]*(1+$M$2)),"")</f>
        <v/>
      </c>
      <c r="N39" s="167" t="str">
        <f>IF(ISNUMBER(namespace_raw[[#This Row],[Column11]]), (namespace_raw[[#This Row],[Column11]]*(1+$N$2))/1048576,"")</f>
        <v/>
      </c>
      <c r="O39" s="169" t="str">
        <f>IF(ISNUMBER(namespace_raw[[#This Row],[Column8]]), (E39  * $O$2),"")</f>
        <v/>
      </c>
      <c r="P39" s="170" t="str">
        <f>IF(ISNUMBER(namespace_raw[[#This Row],[Column8]]), (F39  * $P$2),"")</f>
        <v/>
      </c>
    </row>
    <row r="40" spans="1:16" ht="15" customHeight="1" x14ac:dyDescent="0.25">
      <c r="A40" s="32" t="str">
        <f>IF(ISNONTEXT(namespace_raw[[#This Row],[Column1]]), "", namespace_raw[[#This Row],[Column1]])</f>
        <v/>
      </c>
      <c r="B40" s="33" t="str">
        <f>IF(ISNONTEXT(namespace_raw[[#This Row],[Column2]]), "", namespace_raw[[#This Row],[Column2]])</f>
        <v/>
      </c>
      <c r="C40" s="94" t="str">
        <f>IF(ISNUMBER(namespace_raw[[#This Row],[Column4]]), namespace_raw[[#This Row],[Column4]], "")</f>
        <v/>
      </c>
      <c r="D40" s="95" t="str">
        <f>IF(ISNUMBER(namespace_raw[[#This Row],[Column5]]), namespace_raw[[#This Row],[Column5]]/1048576, "")</f>
        <v/>
      </c>
      <c r="E40" s="95" t="str">
        <f>IF(ISNUMBER(namespace_raw[[#This Row],[Column6]]), namespace_raw[[#This Row],[Column6]],"")</f>
        <v/>
      </c>
      <c r="F40" s="96" t="str">
        <f>IF(ISNUMBER(namespace_raw[[#This Row],[Column7]]), namespace_raw[[#This Row],[Column7]]/1048576,"")</f>
        <v/>
      </c>
      <c r="G40" s="122" t="str">
        <f>IF(ISNUMBER(namespace_raw[[#This Row],[Column8]]), namespace_raw[[#This Row],[Column8]],"")</f>
        <v/>
      </c>
      <c r="H40" s="123" t="str">
        <f>IF(ISNUMBER(namespace_raw[[#This Row],[Column9]]), namespace_raw[[#This Row],[Column9]]/1048576,"")</f>
        <v/>
      </c>
      <c r="I40" s="124" t="str">
        <f>IF(ISNUMBER(namespace_raw[[#This Row],[Column8]]),MAX(G40, M40, O40, $I$2,IF(Q40&lt;&gt;"",VALUE(Q40),0)), "")</f>
        <v/>
      </c>
      <c r="J40" s="125" t="str">
        <f>IF(ISNUMBER(namespace_raw[[#This Row],[Column9]]),MAX(H40, N40, P40, $J$2,IF(R40&lt;&gt;"",VALUE(R40),0)),"")</f>
        <v/>
      </c>
      <c r="K40" s="166" t="str">
        <f>IF(ISNUMBER(namespace_raw[[#This Row],[Column12]]), namespace_raw[[#This Row],[Column12]],"")</f>
        <v/>
      </c>
      <c r="L40" s="167" t="str">
        <f>IF(ISNUMBER(namespace_raw[[#This Row],[Column13]]), namespace_raw[[#This Row],[Column13]]/1048576,"")</f>
        <v/>
      </c>
      <c r="M40" s="168" t="str">
        <f>IF(ISNUMBER(namespace_raw[[#This Row],[Column10]]), (namespace_raw[[#This Row],[Column10]]*(1+$M$2)),"")</f>
        <v/>
      </c>
      <c r="N40" s="167" t="str">
        <f>IF(ISNUMBER(namespace_raw[[#This Row],[Column11]]), (namespace_raw[[#This Row],[Column11]]*(1+$N$2))/1048576,"")</f>
        <v/>
      </c>
      <c r="O40" s="169" t="str">
        <f>IF(ISNUMBER(namespace_raw[[#This Row],[Column8]]), (E40  * $O$2),"")</f>
        <v/>
      </c>
      <c r="P40" s="170" t="str">
        <f>IF(ISNUMBER(namespace_raw[[#This Row],[Column8]]), (F40  * $P$2),"")</f>
        <v/>
      </c>
    </row>
    <row r="41" spans="1:16" ht="15" customHeight="1" x14ac:dyDescent="0.25">
      <c r="A41" s="32" t="str">
        <f>IF(ISNONTEXT(namespace_raw[[#This Row],[Column1]]), "", namespace_raw[[#This Row],[Column1]])</f>
        <v/>
      </c>
      <c r="B41" s="33" t="str">
        <f>IF(ISNONTEXT(namespace_raw[[#This Row],[Column2]]), "", namespace_raw[[#This Row],[Column2]])</f>
        <v/>
      </c>
      <c r="C41" s="94" t="str">
        <f>IF(ISNUMBER(namespace_raw[[#This Row],[Column4]]), namespace_raw[[#This Row],[Column4]], "")</f>
        <v/>
      </c>
      <c r="D41" s="95" t="str">
        <f>IF(ISNUMBER(namespace_raw[[#This Row],[Column5]]), namespace_raw[[#This Row],[Column5]]/1048576, "")</f>
        <v/>
      </c>
      <c r="E41" s="95" t="str">
        <f>IF(ISNUMBER(namespace_raw[[#This Row],[Column6]]), namespace_raw[[#This Row],[Column6]],"")</f>
        <v/>
      </c>
      <c r="F41" s="96" t="str">
        <f>IF(ISNUMBER(namespace_raw[[#This Row],[Column7]]), namespace_raw[[#This Row],[Column7]]/1048576,"")</f>
        <v/>
      </c>
      <c r="G41" s="122" t="str">
        <f>IF(ISNUMBER(namespace_raw[[#This Row],[Column8]]), namespace_raw[[#This Row],[Column8]],"")</f>
        <v/>
      </c>
      <c r="H41" s="123" t="str">
        <f>IF(ISNUMBER(namespace_raw[[#This Row],[Column9]]), namespace_raw[[#This Row],[Column9]]/1048576,"")</f>
        <v/>
      </c>
      <c r="I41" s="124" t="str">
        <f>IF(ISNUMBER(namespace_raw[[#This Row],[Column8]]),MAX(G41, M41, O41, $I$2,IF(Q41&lt;&gt;"",VALUE(Q41),0)), "")</f>
        <v/>
      </c>
      <c r="J41" s="125" t="str">
        <f>IF(ISNUMBER(namespace_raw[[#This Row],[Column9]]),MAX(H41, N41, P41, $J$2,IF(R41&lt;&gt;"",VALUE(R41),0)),"")</f>
        <v/>
      </c>
      <c r="K41" s="166" t="str">
        <f>IF(ISNUMBER(namespace_raw[[#This Row],[Column12]]), namespace_raw[[#This Row],[Column12]],"")</f>
        <v/>
      </c>
      <c r="L41" s="167" t="str">
        <f>IF(ISNUMBER(namespace_raw[[#This Row],[Column13]]), namespace_raw[[#This Row],[Column13]]/1048576,"")</f>
        <v/>
      </c>
      <c r="M41" s="168" t="str">
        <f>IF(ISNUMBER(namespace_raw[[#This Row],[Column10]]), (namespace_raw[[#This Row],[Column10]]*(1+$M$2)),"")</f>
        <v/>
      </c>
      <c r="N41" s="167" t="str">
        <f>IF(ISNUMBER(namespace_raw[[#This Row],[Column11]]), (namespace_raw[[#This Row],[Column11]]*(1+$N$2))/1048576,"")</f>
        <v/>
      </c>
      <c r="O41" s="169" t="str">
        <f>IF(ISNUMBER(namespace_raw[[#This Row],[Column8]]), (E41  * $O$2),"")</f>
        <v/>
      </c>
      <c r="P41" s="170" t="str">
        <f>IF(ISNUMBER(namespace_raw[[#This Row],[Column8]]), (F41  * $P$2),"")</f>
        <v/>
      </c>
    </row>
    <row r="42" spans="1:16" ht="15" customHeight="1" x14ac:dyDescent="0.25">
      <c r="A42" s="32" t="str">
        <f>IF(ISNONTEXT(namespace_raw[[#This Row],[Column1]]), "", namespace_raw[[#This Row],[Column1]])</f>
        <v/>
      </c>
      <c r="B42" s="33" t="str">
        <f>IF(ISNONTEXT(namespace_raw[[#This Row],[Column2]]), "", namespace_raw[[#This Row],[Column2]])</f>
        <v/>
      </c>
      <c r="C42" s="94" t="str">
        <f>IF(ISNUMBER(namespace_raw[[#This Row],[Column4]]), namespace_raw[[#This Row],[Column4]], "")</f>
        <v/>
      </c>
      <c r="D42" s="95" t="str">
        <f>IF(ISNUMBER(namespace_raw[[#This Row],[Column5]]), namespace_raw[[#This Row],[Column5]]/1048576, "")</f>
        <v/>
      </c>
      <c r="E42" s="95" t="str">
        <f>IF(ISNUMBER(namespace_raw[[#This Row],[Column6]]), namespace_raw[[#This Row],[Column6]],"")</f>
        <v/>
      </c>
      <c r="F42" s="96" t="str">
        <f>IF(ISNUMBER(namespace_raw[[#This Row],[Column7]]), namespace_raw[[#This Row],[Column7]]/1048576,"")</f>
        <v/>
      </c>
      <c r="G42" s="122" t="str">
        <f>IF(ISNUMBER(namespace_raw[[#This Row],[Column8]]), namespace_raw[[#This Row],[Column8]],"")</f>
        <v/>
      </c>
      <c r="H42" s="123" t="str">
        <f>IF(ISNUMBER(namespace_raw[[#This Row],[Column9]]), namespace_raw[[#This Row],[Column9]]/1048576,"")</f>
        <v/>
      </c>
      <c r="I42" s="124" t="str">
        <f>IF(ISNUMBER(namespace_raw[[#This Row],[Column8]]),MAX(G42, M42, O42, $I$2,IF(Q42&lt;&gt;"",VALUE(Q42),0)), "")</f>
        <v/>
      </c>
      <c r="J42" s="125" t="str">
        <f>IF(ISNUMBER(namespace_raw[[#This Row],[Column9]]),MAX(H42, N42, P42, $J$2,IF(R42&lt;&gt;"",VALUE(R42),0)),"")</f>
        <v/>
      </c>
      <c r="K42" s="166" t="str">
        <f>IF(ISNUMBER(namespace_raw[[#This Row],[Column12]]), namespace_raw[[#This Row],[Column12]],"")</f>
        <v/>
      </c>
      <c r="L42" s="167" t="str">
        <f>IF(ISNUMBER(namespace_raw[[#This Row],[Column13]]), namespace_raw[[#This Row],[Column13]]/1048576,"")</f>
        <v/>
      </c>
      <c r="M42" s="168" t="str">
        <f>IF(ISNUMBER(namespace_raw[[#This Row],[Column10]]), (namespace_raw[[#This Row],[Column10]]*(1+$M$2)),"")</f>
        <v/>
      </c>
      <c r="N42" s="167" t="str">
        <f>IF(ISNUMBER(namespace_raw[[#This Row],[Column11]]), (namespace_raw[[#This Row],[Column11]]*(1+$N$2))/1048576,"")</f>
        <v/>
      </c>
      <c r="O42" s="169" t="str">
        <f>IF(ISNUMBER(namespace_raw[[#This Row],[Column8]]), (E42  * $O$2),"")</f>
        <v/>
      </c>
      <c r="P42" s="170" t="str">
        <f>IF(ISNUMBER(namespace_raw[[#This Row],[Column8]]), (F42  * $P$2),"")</f>
        <v/>
      </c>
    </row>
    <row r="43" spans="1:16" ht="15" customHeight="1" x14ac:dyDescent="0.25">
      <c r="A43" s="32" t="str">
        <f>IF(ISNONTEXT(namespace_raw[[#This Row],[Column1]]), "", namespace_raw[[#This Row],[Column1]])</f>
        <v/>
      </c>
      <c r="B43" s="33" t="str">
        <f>IF(ISNONTEXT(namespace_raw[[#This Row],[Column2]]), "", namespace_raw[[#This Row],[Column2]])</f>
        <v/>
      </c>
      <c r="C43" s="94" t="str">
        <f>IF(ISNUMBER(namespace_raw[[#This Row],[Column4]]), namespace_raw[[#This Row],[Column4]], "")</f>
        <v/>
      </c>
      <c r="D43" s="95" t="str">
        <f>IF(ISNUMBER(namespace_raw[[#This Row],[Column5]]), namespace_raw[[#This Row],[Column5]]/1048576, "")</f>
        <v/>
      </c>
      <c r="E43" s="95" t="str">
        <f>IF(ISNUMBER(namespace_raw[[#This Row],[Column6]]), namespace_raw[[#This Row],[Column6]],"")</f>
        <v/>
      </c>
      <c r="F43" s="96" t="str">
        <f>IF(ISNUMBER(namespace_raw[[#This Row],[Column7]]), namespace_raw[[#This Row],[Column7]]/1048576,"")</f>
        <v/>
      </c>
      <c r="G43" s="122" t="str">
        <f>IF(ISNUMBER(namespace_raw[[#This Row],[Column8]]), namespace_raw[[#This Row],[Column8]],"")</f>
        <v/>
      </c>
      <c r="H43" s="123" t="str">
        <f>IF(ISNUMBER(namespace_raw[[#This Row],[Column9]]), namespace_raw[[#This Row],[Column9]]/1048576,"")</f>
        <v/>
      </c>
      <c r="I43" s="124" t="str">
        <f>IF(ISNUMBER(namespace_raw[[#This Row],[Column8]]),MAX(G43, M43, O43, $I$2,IF(Q43&lt;&gt;"",VALUE(Q43),0)), "")</f>
        <v/>
      </c>
      <c r="J43" s="125" t="str">
        <f>IF(ISNUMBER(namespace_raw[[#This Row],[Column9]]),MAX(H43, N43, P43, $J$2,IF(R43&lt;&gt;"",VALUE(R43),0)),"")</f>
        <v/>
      </c>
      <c r="K43" s="166" t="str">
        <f>IF(ISNUMBER(namespace_raw[[#This Row],[Column12]]), namespace_raw[[#This Row],[Column12]],"")</f>
        <v/>
      </c>
      <c r="L43" s="167" t="str">
        <f>IF(ISNUMBER(namespace_raw[[#This Row],[Column13]]), namespace_raw[[#This Row],[Column13]]/1048576,"")</f>
        <v/>
      </c>
      <c r="M43" s="168" t="str">
        <f>IF(ISNUMBER(namespace_raw[[#This Row],[Column10]]), (namespace_raw[[#This Row],[Column10]]*(1+$M$2)),"")</f>
        <v/>
      </c>
      <c r="N43" s="167" t="str">
        <f>IF(ISNUMBER(namespace_raw[[#This Row],[Column11]]), (namespace_raw[[#This Row],[Column11]]*(1+$N$2))/1048576,"")</f>
        <v/>
      </c>
      <c r="O43" s="169" t="str">
        <f>IF(ISNUMBER(namespace_raw[[#This Row],[Column8]]), (E43  * $O$2),"")</f>
        <v/>
      </c>
      <c r="P43" s="170" t="str">
        <f>IF(ISNUMBER(namespace_raw[[#This Row],[Column8]]), (F43  * $P$2),"")</f>
        <v/>
      </c>
    </row>
    <row r="44" spans="1:16" ht="15" customHeight="1" x14ac:dyDescent="0.25">
      <c r="A44" s="32" t="str">
        <f>IF(ISNONTEXT(namespace_raw[[#This Row],[Column1]]), "", namespace_raw[[#This Row],[Column1]])</f>
        <v/>
      </c>
      <c r="B44" s="33" t="str">
        <f>IF(ISNONTEXT(namespace_raw[[#This Row],[Column2]]), "", namespace_raw[[#This Row],[Column2]])</f>
        <v/>
      </c>
      <c r="C44" s="94" t="str">
        <f>IF(ISNUMBER(namespace_raw[[#This Row],[Column4]]), namespace_raw[[#This Row],[Column4]], "")</f>
        <v/>
      </c>
      <c r="D44" s="95" t="str">
        <f>IF(ISNUMBER(namespace_raw[[#This Row],[Column5]]), namespace_raw[[#This Row],[Column5]]/1048576, "")</f>
        <v/>
      </c>
      <c r="E44" s="95" t="str">
        <f>IF(ISNUMBER(namespace_raw[[#This Row],[Column6]]), namespace_raw[[#This Row],[Column6]],"")</f>
        <v/>
      </c>
      <c r="F44" s="96" t="str">
        <f>IF(ISNUMBER(namespace_raw[[#This Row],[Column7]]), namespace_raw[[#This Row],[Column7]]/1048576,"")</f>
        <v/>
      </c>
      <c r="G44" s="122" t="str">
        <f>IF(ISNUMBER(namespace_raw[[#This Row],[Column8]]), namespace_raw[[#This Row],[Column8]],"")</f>
        <v/>
      </c>
      <c r="H44" s="123" t="str">
        <f>IF(ISNUMBER(namespace_raw[[#This Row],[Column9]]), namespace_raw[[#This Row],[Column9]]/1048576,"")</f>
        <v/>
      </c>
      <c r="I44" s="124" t="str">
        <f>IF(ISNUMBER(namespace_raw[[#This Row],[Column8]]),MAX(G44, M44, O44, $I$2,IF(Q44&lt;&gt;"",VALUE(Q44),0)), "")</f>
        <v/>
      </c>
      <c r="J44" s="125" t="str">
        <f>IF(ISNUMBER(namespace_raw[[#This Row],[Column9]]),MAX(H44, N44, P44, $J$2,IF(R44&lt;&gt;"",VALUE(R44),0)),"")</f>
        <v/>
      </c>
      <c r="K44" s="166" t="str">
        <f>IF(ISNUMBER(namespace_raw[[#This Row],[Column12]]), namespace_raw[[#This Row],[Column12]],"")</f>
        <v/>
      </c>
      <c r="L44" s="167" t="str">
        <f>IF(ISNUMBER(namespace_raw[[#This Row],[Column13]]), namespace_raw[[#This Row],[Column13]]/1048576,"")</f>
        <v/>
      </c>
      <c r="M44" s="168" t="str">
        <f>IF(ISNUMBER(namespace_raw[[#This Row],[Column10]]), (namespace_raw[[#This Row],[Column10]]*(1+$M$2)),"")</f>
        <v/>
      </c>
      <c r="N44" s="167" t="str">
        <f>IF(ISNUMBER(namespace_raw[[#This Row],[Column11]]), (namespace_raw[[#This Row],[Column11]]*(1+$N$2))/1048576,"")</f>
        <v/>
      </c>
      <c r="O44" s="169" t="str">
        <f>IF(ISNUMBER(namespace_raw[[#This Row],[Column8]]), (E44  * $O$2),"")</f>
        <v/>
      </c>
      <c r="P44" s="170" t="str">
        <f>IF(ISNUMBER(namespace_raw[[#This Row],[Column8]]), (F44  * $P$2),"")</f>
        <v/>
      </c>
    </row>
    <row r="45" spans="1:16" ht="15" customHeight="1" x14ac:dyDescent="0.25">
      <c r="A45" s="32" t="str">
        <f>IF(ISNONTEXT(namespace_raw[[#This Row],[Column1]]), "", namespace_raw[[#This Row],[Column1]])</f>
        <v/>
      </c>
      <c r="B45" s="33" t="str">
        <f>IF(ISNONTEXT(namespace_raw[[#This Row],[Column2]]), "", namespace_raw[[#This Row],[Column2]])</f>
        <v/>
      </c>
      <c r="C45" s="94" t="str">
        <f>IF(ISNUMBER(namespace_raw[[#This Row],[Column4]]), namespace_raw[[#This Row],[Column4]], "")</f>
        <v/>
      </c>
      <c r="D45" s="95" t="str">
        <f>IF(ISNUMBER(namespace_raw[[#This Row],[Column5]]), namespace_raw[[#This Row],[Column5]]/1048576, "")</f>
        <v/>
      </c>
      <c r="E45" s="95" t="str">
        <f>IF(ISNUMBER(namespace_raw[[#This Row],[Column6]]), namespace_raw[[#This Row],[Column6]],"")</f>
        <v/>
      </c>
      <c r="F45" s="96" t="str">
        <f>IF(ISNUMBER(namespace_raw[[#This Row],[Column7]]), namespace_raw[[#This Row],[Column7]]/1048576,"")</f>
        <v/>
      </c>
      <c r="G45" s="122" t="str">
        <f>IF(ISNUMBER(namespace_raw[[#This Row],[Column8]]), namespace_raw[[#This Row],[Column8]],"")</f>
        <v/>
      </c>
      <c r="H45" s="123" t="str">
        <f>IF(ISNUMBER(namespace_raw[[#This Row],[Column9]]), namespace_raw[[#This Row],[Column9]]/1048576,"")</f>
        <v/>
      </c>
      <c r="I45" s="124" t="str">
        <f>IF(ISNUMBER(namespace_raw[[#This Row],[Column8]]),MAX(G45, M45, O45, $I$2,IF(Q45&lt;&gt;"",VALUE(Q45),0)), "")</f>
        <v/>
      </c>
      <c r="J45" s="125" t="str">
        <f>IF(ISNUMBER(namespace_raw[[#This Row],[Column9]]),MAX(H45, N45, P45, $J$2,IF(R45&lt;&gt;"",VALUE(R45),0)),"")</f>
        <v/>
      </c>
      <c r="K45" s="166" t="str">
        <f>IF(ISNUMBER(namespace_raw[[#This Row],[Column12]]), namespace_raw[[#This Row],[Column12]],"")</f>
        <v/>
      </c>
      <c r="L45" s="167" t="str">
        <f>IF(ISNUMBER(namespace_raw[[#This Row],[Column13]]), namespace_raw[[#This Row],[Column13]]/1048576,"")</f>
        <v/>
      </c>
      <c r="M45" s="168" t="str">
        <f>IF(ISNUMBER(namespace_raw[[#This Row],[Column10]]), (namespace_raw[[#This Row],[Column10]]*(1+$M$2)),"")</f>
        <v/>
      </c>
      <c r="N45" s="167" t="str">
        <f>IF(ISNUMBER(namespace_raw[[#This Row],[Column11]]), (namespace_raw[[#This Row],[Column11]]*(1+$N$2))/1048576,"")</f>
        <v/>
      </c>
      <c r="O45" s="169" t="str">
        <f>IF(ISNUMBER(namespace_raw[[#This Row],[Column8]]), (E45  * $O$2),"")</f>
        <v/>
      </c>
      <c r="P45" s="170" t="str">
        <f>IF(ISNUMBER(namespace_raw[[#This Row],[Column8]]), (F45  * $P$2),"")</f>
        <v/>
      </c>
    </row>
    <row r="46" spans="1:16" ht="15" customHeight="1" x14ac:dyDescent="0.25">
      <c r="A46" s="32" t="str">
        <f>IF(ISNONTEXT(namespace_raw[[#This Row],[Column1]]), "", namespace_raw[[#This Row],[Column1]])</f>
        <v/>
      </c>
      <c r="B46" s="33" t="str">
        <f>IF(ISNONTEXT(namespace_raw[[#This Row],[Column2]]), "", namespace_raw[[#This Row],[Column2]])</f>
        <v/>
      </c>
      <c r="C46" s="94" t="str">
        <f>IF(ISNUMBER(namespace_raw[[#This Row],[Column4]]), namespace_raw[[#This Row],[Column4]], "")</f>
        <v/>
      </c>
      <c r="D46" s="95" t="str">
        <f>IF(ISNUMBER(namespace_raw[[#This Row],[Column5]]), namespace_raw[[#This Row],[Column5]]/1048576, "")</f>
        <v/>
      </c>
      <c r="E46" s="95" t="str">
        <f>IF(ISNUMBER(namespace_raw[[#This Row],[Column6]]), namespace_raw[[#This Row],[Column6]],"")</f>
        <v/>
      </c>
      <c r="F46" s="96" t="str">
        <f>IF(ISNUMBER(namespace_raw[[#This Row],[Column7]]), namespace_raw[[#This Row],[Column7]]/1048576,"")</f>
        <v/>
      </c>
      <c r="G46" s="122" t="str">
        <f>IF(ISNUMBER(namespace_raw[[#This Row],[Column8]]), namespace_raw[[#This Row],[Column8]],"")</f>
        <v/>
      </c>
      <c r="H46" s="123" t="str">
        <f>IF(ISNUMBER(namespace_raw[[#This Row],[Column9]]), namespace_raw[[#This Row],[Column9]]/1048576,"")</f>
        <v/>
      </c>
      <c r="I46" s="124" t="str">
        <f>IF(ISNUMBER(namespace_raw[[#This Row],[Column8]]),MAX(G46, M46, O46, $I$2,IF(Q46&lt;&gt;"",VALUE(Q46),0)), "")</f>
        <v/>
      </c>
      <c r="J46" s="125" t="str">
        <f>IF(ISNUMBER(namespace_raw[[#This Row],[Column9]]),MAX(H46, N46, P46, $J$2,IF(R46&lt;&gt;"",VALUE(R46),0)),"")</f>
        <v/>
      </c>
      <c r="K46" s="166" t="str">
        <f>IF(ISNUMBER(namespace_raw[[#This Row],[Column12]]), namespace_raw[[#This Row],[Column12]],"")</f>
        <v/>
      </c>
      <c r="L46" s="167" t="str">
        <f>IF(ISNUMBER(namespace_raw[[#This Row],[Column13]]), namespace_raw[[#This Row],[Column13]]/1048576,"")</f>
        <v/>
      </c>
      <c r="M46" s="168" t="str">
        <f>IF(ISNUMBER(namespace_raw[[#This Row],[Column10]]), (namespace_raw[[#This Row],[Column10]]*(1+$M$2)),"")</f>
        <v/>
      </c>
      <c r="N46" s="167" t="str">
        <f>IF(ISNUMBER(namespace_raw[[#This Row],[Column11]]), (namespace_raw[[#This Row],[Column11]]*(1+$N$2))/1048576,"")</f>
        <v/>
      </c>
      <c r="O46" s="169" t="str">
        <f>IF(ISNUMBER(namespace_raw[[#This Row],[Column8]]), (E46  * $O$2),"")</f>
        <v/>
      </c>
      <c r="P46" s="170" t="str">
        <f>IF(ISNUMBER(namespace_raw[[#This Row],[Column8]]), (F46  * $P$2),"")</f>
        <v/>
      </c>
    </row>
    <row r="47" spans="1:16" ht="15" customHeight="1" x14ac:dyDescent="0.25">
      <c r="A47" s="32" t="str">
        <f>IF(ISNONTEXT(namespace_raw[[#This Row],[Column1]]), "", namespace_raw[[#This Row],[Column1]])</f>
        <v/>
      </c>
      <c r="B47" s="33" t="str">
        <f>IF(ISNONTEXT(namespace_raw[[#This Row],[Column2]]), "", namespace_raw[[#This Row],[Column2]])</f>
        <v/>
      </c>
      <c r="C47" s="94" t="str">
        <f>IF(ISNUMBER(namespace_raw[[#This Row],[Column4]]), namespace_raw[[#This Row],[Column4]], "")</f>
        <v/>
      </c>
      <c r="D47" s="95" t="str">
        <f>IF(ISNUMBER(namespace_raw[[#This Row],[Column5]]), namespace_raw[[#This Row],[Column5]]/1048576, "")</f>
        <v/>
      </c>
      <c r="E47" s="95" t="str">
        <f>IF(ISNUMBER(namespace_raw[[#This Row],[Column6]]), namespace_raw[[#This Row],[Column6]],"")</f>
        <v/>
      </c>
      <c r="F47" s="96" t="str">
        <f>IF(ISNUMBER(namespace_raw[[#This Row],[Column7]]), namespace_raw[[#This Row],[Column7]]/1048576,"")</f>
        <v/>
      </c>
      <c r="G47" s="122" t="str">
        <f>IF(ISNUMBER(namespace_raw[[#This Row],[Column8]]), namespace_raw[[#This Row],[Column8]],"")</f>
        <v/>
      </c>
      <c r="H47" s="123" t="str">
        <f>IF(ISNUMBER(namespace_raw[[#This Row],[Column9]]), namespace_raw[[#This Row],[Column9]]/1048576,"")</f>
        <v/>
      </c>
      <c r="I47" s="124" t="str">
        <f>IF(ISNUMBER(namespace_raw[[#This Row],[Column8]]),MAX(G47, M47, O47, $I$2,IF(Q47&lt;&gt;"",VALUE(Q47),0)), "")</f>
        <v/>
      </c>
      <c r="J47" s="125" t="str">
        <f>IF(ISNUMBER(namespace_raw[[#This Row],[Column9]]),MAX(H47, N47, P47, $J$2,IF(R47&lt;&gt;"",VALUE(R47),0)),"")</f>
        <v/>
      </c>
      <c r="K47" s="166" t="str">
        <f>IF(ISNUMBER(namespace_raw[[#This Row],[Column12]]), namespace_raw[[#This Row],[Column12]],"")</f>
        <v/>
      </c>
      <c r="L47" s="167" t="str">
        <f>IF(ISNUMBER(namespace_raw[[#This Row],[Column13]]), namespace_raw[[#This Row],[Column13]]/1048576,"")</f>
        <v/>
      </c>
      <c r="M47" s="168" t="str">
        <f>IF(ISNUMBER(namespace_raw[[#This Row],[Column10]]), (namespace_raw[[#This Row],[Column10]]*(1+$M$2)),"")</f>
        <v/>
      </c>
      <c r="N47" s="167" t="str">
        <f>IF(ISNUMBER(namespace_raw[[#This Row],[Column11]]), (namespace_raw[[#This Row],[Column11]]*(1+$N$2))/1048576,"")</f>
        <v/>
      </c>
      <c r="O47" s="169" t="str">
        <f>IF(ISNUMBER(namespace_raw[[#This Row],[Column8]]), (E47  * $O$2),"")</f>
        <v/>
      </c>
      <c r="P47" s="170" t="str">
        <f>IF(ISNUMBER(namespace_raw[[#This Row],[Column8]]), (F47  * $P$2),"")</f>
        <v/>
      </c>
    </row>
    <row r="48" spans="1:16" ht="15" customHeight="1" x14ac:dyDescent="0.25">
      <c r="A48" s="32" t="str">
        <f>IF(ISNONTEXT(namespace_raw[[#This Row],[Column1]]), "", namespace_raw[[#This Row],[Column1]])</f>
        <v/>
      </c>
      <c r="B48" s="33" t="str">
        <f>IF(ISNONTEXT(namespace_raw[[#This Row],[Column2]]), "", namespace_raw[[#This Row],[Column2]])</f>
        <v/>
      </c>
      <c r="C48" s="94" t="str">
        <f>IF(ISNUMBER(namespace_raw[[#This Row],[Column4]]), namespace_raw[[#This Row],[Column4]], "")</f>
        <v/>
      </c>
      <c r="D48" s="95" t="str">
        <f>IF(ISNUMBER(namespace_raw[[#This Row],[Column5]]), namespace_raw[[#This Row],[Column5]]/1048576, "")</f>
        <v/>
      </c>
      <c r="E48" s="95" t="str">
        <f>IF(ISNUMBER(namespace_raw[[#This Row],[Column6]]), namespace_raw[[#This Row],[Column6]],"")</f>
        <v/>
      </c>
      <c r="F48" s="96" t="str">
        <f>IF(ISNUMBER(namespace_raw[[#This Row],[Column7]]), namespace_raw[[#This Row],[Column7]]/1048576,"")</f>
        <v/>
      </c>
      <c r="G48" s="122" t="str">
        <f>IF(ISNUMBER(namespace_raw[[#This Row],[Column8]]), namespace_raw[[#This Row],[Column8]],"")</f>
        <v/>
      </c>
      <c r="H48" s="123" t="str">
        <f>IF(ISNUMBER(namespace_raw[[#This Row],[Column9]]), namespace_raw[[#This Row],[Column9]]/1048576,"")</f>
        <v/>
      </c>
      <c r="I48" s="124" t="str">
        <f>IF(ISNUMBER(namespace_raw[[#This Row],[Column8]]),MAX(G48, M48, O48, $I$2,IF(Q48&lt;&gt;"",VALUE(Q48),0)), "")</f>
        <v/>
      </c>
      <c r="J48" s="125" t="str">
        <f>IF(ISNUMBER(namespace_raw[[#This Row],[Column9]]),MAX(H48, N48, P48, $J$2,IF(R48&lt;&gt;"",VALUE(R48),0)),"")</f>
        <v/>
      </c>
      <c r="K48" s="166" t="str">
        <f>IF(ISNUMBER(namespace_raw[[#This Row],[Column12]]), namespace_raw[[#This Row],[Column12]],"")</f>
        <v/>
      </c>
      <c r="L48" s="167" t="str">
        <f>IF(ISNUMBER(namespace_raw[[#This Row],[Column13]]), namespace_raw[[#This Row],[Column13]]/1048576,"")</f>
        <v/>
      </c>
      <c r="M48" s="168" t="str">
        <f>IF(ISNUMBER(namespace_raw[[#This Row],[Column10]]), (namespace_raw[[#This Row],[Column10]]*(1+$M$2)),"")</f>
        <v/>
      </c>
      <c r="N48" s="167" t="str">
        <f>IF(ISNUMBER(namespace_raw[[#This Row],[Column11]]), (namespace_raw[[#This Row],[Column11]]*(1+$N$2))/1048576,"")</f>
        <v/>
      </c>
      <c r="O48" s="169" t="str">
        <f>IF(ISNUMBER(namespace_raw[[#This Row],[Column8]]), (E48  * $O$2),"")</f>
        <v/>
      </c>
      <c r="P48" s="170" t="str">
        <f>IF(ISNUMBER(namespace_raw[[#This Row],[Column8]]), (F48  * $P$2),"")</f>
        <v/>
      </c>
    </row>
    <row r="49" spans="1:16" ht="15" customHeight="1" x14ac:dyDescent="0.25">
      <c r="A49" s="32" t="str">
        <f>IF(ISNONTEXT(namespace_raw[[#This Row],[Column1]]), "", namespace_raw[[#This Row],[Column1]])</f>
        <v/>
      </c>
      <c r="B49" s="33" t="str">
        <f>IF(ISNONTEXT(namespace_raw[[#This Row],[Column2]]), "", namespace_raw[[#This Row],[Column2]])</f>
        <v/>
      </c>
      <c r="C49" s="94" t="str">
        <f>IF(ISNUMBER(namespace_raw[[#This Row],[Column4]]), namespace_raw[[#This Row],[Column4]], "")</f>
        <v/>
      </c>
      <c r="D49" s="95" t="str">
        <f>IF(ISNUMBER(namespace_raw[[#This Row],[Column5]]), namespace_raw[[#This Row],[Column5]]/1048576, "")</f>
        <v/>
      </c>
      <c r="E49" s="95" t="str">
        <f>IF(ISNUMBER(namespace_raw[[#This Row],[Column6]]), namespace_raw[[#This Row],[Column6]],"")</f>
        <v/>
      </c>
      <c r="F49" s="96" t="str">
        <f>IF(ISNUMBER(namespace_raw[[#This Row],[Column7]]), namespace_raw[[#This Row],[Column7]]/1048576,"")</f>
        <v/>
      </c>
      <c r="G49" s="122" t="str">
        <f>IF(ISNUMBER(namespace_raw[[#This Row],[Column8]]), namespace_raw[[#This Row],[Column8]],"")</f>
        <v/>
      </c>
      <c r="H49" s="123" t="str">
        <f>IF(ISNUMBER(namespace_raw[[#This Row],[Column9]]), namespace_raw[[#This Row],[Column9]]/1048576,"")</f>
        <v/>
      </c>
      <c r="I49" s="124" t="str">
        <f>IF(ISNUMBER(namespace_raw[[#This Row],[Column8]]),MAX(G49, M49, O49, $I$2,IF(Q49&lt;&gt;"",VALUE(Q49),0)), "")</f>
        <v/>
      </c>
      <c r="J49" s="125" t="str">
        <f>IF(ISNUMBER(namespace_raw[[#This Row],[Column9]]),MAX(H49, N49, P49, $J$2,IF(R49&lt;&gt;"",VALUE(R49),0)),"")</f>
        <v/>
      </c>
      <c r="K49" s="166" t="str">
        <f>IF(ISNUMBER(namespace_raw[[#This Row],[Column12]]), namespace_raw[[#This Row],[Column12]],"")</f>
        <v/>
      </c>
      <c r="L49" s="167" t="str">
        <f>IF(ISNUMBER(namespace_raw[[#This Row],[Column13]]), namespace_raw[[#This Row],[Column13]]/1048576,"")</f>
        <v/>
      </c>
      <c r="M49" s="168" t="str">
        <f>IF(ISNUMBER(namespace_raw[[#This Row],[Column10]]), (namespace_raw[[#This Row],[Column10]]*(1+$M$2)),"")</f>
        <v/>
      </c>
      <c r="N49" s="167" t="str">
        <f>IF(ISNUMBER(namespace_raw[[#This Row],[Column11]]), (namespace_raw[[#This Row],[Column11]]*(1+$N$2))/1048576,"")</f>
        <v/>
      </c>
      <c r="O49" s="169" t="str">
        <f>IF(ISNUMBER(namespace_raw[[#This Row],[Column8]]), (E49  * $O$2),"")</f>
        <v/>
      </c>
      <c r="P49" s="170" t="str">
        <f>IF(ISNUMBER(namespace_raw[[#This Row],[Column8]]), (F49  * $P$2),"")</f>
        <v/>
      </c>
    </row>
    <row r="50" spans="1:16" ht="15" customHeight="1" x14ac:dyDescent="0.25">
      <c r="A50" s="32" t="str">
        <f>IF(ISNONTEXT(namespace_raw[[#This Row],[Column1]]), "", namespace_raw[[#This Row],[Column1]])</f>
        <v/>
      </c>
      <c r="B50" s="33" t="str">
        <f>IF(ISNONTEXT(namespace_raw[[#This Row],[Column2]]), "", namespace_raw[[#This Row],[Column2]])</f>
        <v/>
      </c>
      <c r="C50" s="94" t="str">
        <f>IF(ISNUMBER(namespace_raw[[#This Row],[Column4]]), namespace_raw[[#This Row],[Column4]], "")</f>
        <v/>
      </c>
      <c r="D50" s="95" t="str">
        <f>IF(ISNUMBER(namespace_raw[[#This Row],[Column5]]), namespace_raw[[#This Row],[Column5]]/1048576, "")</f>
        <v/>
      </c>
      <c r="E50" s="95" t="str">
        <f>IF(ISNUMBER(namespace_raw[[#This Row],[Column6]]), namespace_raw[[#This Row],[Column6]],"")</f>
        <v/>
      </c>
      <c r="F50" s="96" t="str">
        <f>IF(ISNUMBER(namespace_raw[[#This Row],[Column7]]), namespace_raw[[#This Row],[Column7]]/1048576,"")</f>
        <v/>
      </c>
      <c r="G50" s="122" t="str">
        <f>IF(ISNUMBER(namespace_raw[[#This Row],[Column8]]), namespace_raw[[#This Row],[Column8]],"")</f>
        <v/>
      </c>
      <c r="H50" s="123" t="str">
        <f>IF(ISNUMBER(namespace_raw[[#This Row],[Column9]]), namespace_raw[[#This Row],[Column9]]/1048576,"")</f>
        <v/>
      </c>
      <c r="I50" s="124" t="str">
        <f>IF(ISNUMBER(namespace_raw[[#This Row],[Column8]]),MAX(G50, M50, O50, $I$2,IF(Q50&lt;&gt;"",VALUE(Q50),0)), "")</f>
        <v/>
      </c>
      <c r="J50" s="125" t="str">
        <f>IF(ISNUMBER(namespace_raw[[#This Row],[Column9]]),MAX(H50, N50, P50, $J$2,IF(R50&lt;&gt;"",VALUE(R50),0)),"")</f>
        <v/>
      </c>
      <c r="K50" s="166" t="str">
        <f>IF(ISNUMBER(namespace_raw[[#This Row],[Column12]]), namespace_raw[[#This Row],[Column12]],"")</f>
        <v/>
      </c>
      <c r="L50" s="167" t="str">
        <f>IF(ISNUMBER(namespace_raw[[#This Row],[Column13]]), namespace_raw[[#This Row],[Column13]]/1048576,"")</f>
        <v/>
      </c>
      <c r="M50" s="168" t="str">
        <f>IF(ISNUMBER(namespace_raw[[#This Row],[Column10]]), (namespace_raw[[#This Row],[Column10]]*(1+$M$2)),"")</f>
        <v/>
      </c>
      <c r="N50" s="167" t="str">
        <f>IF(ISNUMBER(namespace_raw[[#This Row],[Column11]]), (namespace_raw[[#This Row],[Column11]]*(1+$N$2))/1048576,"")</f>
        <v/>
      </c>
      <c r="O50" s="169" t="str">
        <f>IF(ISNUMBER(namespace_raw[[#This Row],[Column8]]), (E50  * $O$2),"")</f>
        <v/>
      </c>
      <c r="P50" s="170" t="str">
        <f>IF(ISNUMBER(namespace_raw[[#This Row],[Column8]]), (F50  * $P$2),"")</f>
        <v/>
      </c>
    </row>
    <row r="51" spans="1:16" ht="15" customHeight="1" x14ac:dyDescent="0.25">
      <c r="A51" s="32" t="str">
        <f>IF(ISNONTEXT(namespace_raw[[#This Row],[Column1]]), "", namespace_raw[[#This Row],[Column1]])</f>
        <v/>
      </c>
      <c r="B51" s="33" t="str">
        <f>IF(ISNONTEXT(namespace_raw[[#This Row],[Column2]]), "", namespace_raw[[#This Row],[Column2]])</f>
        <v/>
      </c>
      <c r="C51" s="94" t="str">
        <f>IF(ISNUMBER(namespace_raw[[#This Row],[Column4]]), namespace_raw[[#This Row],[Column4]], "")</f>
        <v/>
      </c>
      <c r="D51" s="95" t="str">
        <f>IF(ISNUMBER(namespace_raw[[#This Row],[Column5]]), namespace_raw[[#This Row],[Column5]]/1048576, "")</f>
        <v/>
      </c>
      <c r="E51" s="95" t="str">
        <f>IF(ISNUMBER(namespace_raw[[#This Row],[Column6]]), namespace_raw[[#This Row],[Column6]],"")</f>
        <v/>
      </c>
      <c r="F51" s="96" t="str">
        <f>IF(ISNUMBER(namespace_raw[[#This Row],[Column7]]), namespace_raw[[#This Row],[Column7]]/1048576,"")</f>
        <v/>
      </c>
      <c r="G51" s="122" t="str">
        <f>IF(ISNUMBER(namespace_raw[[#This Row],[Column8]]), namespace_raw[[#This Row],[Column8]],"")</f>
        <v/>
      </c>
      <c r="H51" s="123" t="str">
        <f>IF(ISNUMBER(namespace_raw[[#This Row],[Column9]]), namespace_raw[[#This Row],[Column9]]/1048576,"")</f>
        <v/>
      </c>
      <c r="I51" s="124" t="str">
        <f>IF(ISNUMBER(namespace_raw[[#This Row],[Column8]]),MAX(G51, M51, O51, $I$2,IF(Q51&lt;&gt;"",VALUE(Q51),0)), "")</f>
        <v/>
      </c>
      <c r="J51" s="125" t="str">
        <f>IF(ISNUMBER(namespace_raw[[#This Row],[Column9]]),MAX(H51, N51, P51, $J$2,IF(R51&lt;&gt;"",VALUE(R51),0)),"")</f>
        <v/>
      </c>
      <c r="K51" s="166" t="str">
        <f>IF(ISNUMBER(namespace_raw[[#This Row],[Column12]]), namespace_raw[[#This Row],[Column12]],"")</f>
        <v/>
      </c>
      <c r="L51" s="167" t="str">
        <f>IF(ISNUMBER(namespace_raw[[#This Row],[Column13]]), namespace_raw[[#This Row],[Column13]]/1048576,"")</f>
        <v/>
      </c>
      <c r="M51" s="168" t="str">
        <f>IF(ISNUMBER(namespace_raw[[#This Row],[Column10]]), (namespace_raw[[#This Row],[Column10]]*(1+$M$2)),"")</f>
        <v/>
      </c>
      <c r="N51" s="167" t="str">
        <f>IF(ISNUMBER(namespace_raw[[#This Row],[Column11]]), (namespace_raw[[#This Row],[Column11]]*(1+$N$2))/1048576,"")</f>
        <v/>
      </c>
      <c r="O51" s="169" t="str">
        <f>IF(ISNUMBER(namespace_raw[[#This Row],[Column8]]), (E51  * $O$2),"")</f>
        <v/>
      </c>
      <c r="P51" s="170" t="str">
        <f>IF(ISNUMBER(namespace_raw[[#This Row],[Column8]]), (F51  * $P$2),"")</f>
        <v/>
      </c>
    </row>
    <row r="52" spans="1:16" ht="15" customHeight="1" x14ac:dyDescent="0.25">
      <c r="A52" s="32" t="str">
        <f>IF(ISNONTEXT(namespace_raw[[#This Row],[Column1]]), "", namespace_raw[[#This Row],[Column1]])</f>
        <v/>
      </c>
      <c r="B52" s="33" t="str">
        <f>IF(ISNONTEXT(namespace_raw[[#This Row],[Column2]]), "", namespace_raw[[#This Row],[Column2]])</f>
        <v/>
      </c>
      <c r="C52" s="94" t="str">
        <f>IF(ISNUMBER(namespace_raw[[#This Row],[Column4]]), namespace_raw[[#This Row],[Column4]], "")</f>
        <v/>
      </c>
      <c r="D52" s="95" t="str">
        <f>IF(ISNUMBER(namespace_raw[[#This Row],[Column5]]), namespace_raw[[#This Row],[Column5]]/1048576, "")</f>
        <v/>
      </c>
      <c r="E52" s="95" t="str">
        <f>IF(ISNUMBER(namespace_raw[[#This Row],[Column6]]), namespace_raw[[#This Row],[Column6]],"")</f>
        <v/>
      </c>
      <c r="F52" s="96" t="str">
        <f>IF(ISNUMBER(namespace_raw[[#This Row],[Column7]]), namespace_raw[[#This Row],[Column7]]/1048576,"")</f>
        <v/>
      </c>
      <c r="G52" s="122" t="str">
        <f>IF(ISNUMBER(namespace_raw[[#This Row],[Column8]]), namespace_raw[[#This Row],[Column8]],"")</f>
        <v/>
      </c>
      <c r="H52" s="123" t="str">
        <f>IF(ISNUMBER(namespace_raw[[#This Row],[Column9]]), namespace_raw[[#This Row],[Column9]]/1048576,"")</f>
        <v/>
      </c>
      <c r="I52" s="124" t="str">
        <f>IF(ISNUMBER(namespace_raw[[#This Row],[Column8]]),MAX(G52, M52, O52, $I$2,IF(Q52&lt;&gt;"",VALUE(Q52),0)), "")</f>
        <v/>
      </c>
      <c r="J52" s="125" t="str">
        <f>IF(ISNUMBER(namespace_raw[[#This Row],[Column9]]),MAX(H52, N52, P52, $J$2,IF(R52&lt;&gt;"",VALUE(R52),0)),"")</f>
        <v/>
      </c>
      <c r="K52" s="166" t="str">
        <f>IF(ISNUMBER(namespace_raw[[#This Row],[Column12]]), namespace_raw[[#This Row],[Column12]],"")</f>
        <v/>
      </c>
      <c r="L52" s="167" t="str">
        <f>IF(ISNUMBER(namespace_raw[[#This Row],[Column13]]), namespace_raw[[#This Row],[Column13]]/1048576,"")</f>
        <v/>
      </c>
      <c r="M52" s="168" t="str">
        <f>IF(ISNUMBER(namespace_raw[[#This Row],[Column10]]), (namespace_raw[[#This Row],[Column10]]*(1+$M$2)),"")</f>
        <v/>
      </c>
      <c r="N52" s="167" t="str">
        <f>IF(ISNUMBER(namespace_raw[[#This Row],[Column11]]), (namespace_raw[[#This Row],[Column11]]*(1+$N$2))/1048576,"")</f>
        <v/>
      </c>
      <c r="O52" s="169" t="str">
        <f>IF(ISNUMBER(namespace_raw[[#This Row],[Column8]]), (E52  * $O$2),"")</f>
        <v/>
      </c>
      <c r="P52" s="170" t="str">
        <f>IF(ISNUMBER(namespace_raw[[#This Row],[Column8]]), (F52  * $P$2),"")</f>
        <v/>
      </c>
    </row>
    <row r="53" spans="1:16" ht="15" customHeight="1" x14ac:dyDescent="0.25">
      <c r="A53" s="32" t="str">
        <f>IF(ISNONTEXT(namespace_raw[[#This Row],[Column1]]), "", namespace_raw[[#This Row],[Column1]])</f>
        <v/>
      </c>
      <c r="B53" s="33" t="str">
        <f>IF(ISNONTEXT(namespace_raw[[#This Row],[Column2]]), "", namespace_raw[[#This Row],[Column2]])</f>
        <v/>
      </c>
      <c r="C53" s="94" t="str">
        <f>IF(ISNUMBER(namespace_raw[[#This Row],[Column4]]), namespace_raw[[#This Row],[Column4]], "")</f>
        <v/>
      </c>
      <c r="D53" s="95" t="str">
        <f>IF(ISNUMBER(namespace_raw[[#This Row],[Column5]]), namespace_raw[[#This Row],[Column5]]/1048576, "")</f>
        <v/>
      </c>
      <c r="E53" s="95" t="str">
        <f>IF(ISNUMBER(namespace_raw[[#This Row],[Column6]]), namespace_raw[[#This Row],[Column6]],"")</f>
        <v/>
      </c>
      <c r="F53" s="96" t="str">
        <f>IF(ISNUMBER(namespace_raw[[#This Row],[Column7]]), namespace_raw[[#This Row],[Column7]]/1048576,"")</f>
        <v/>
      </c>
      <c r="G53" s="122" t="str">
        <f>IF(ISNUMBER(namespace_raw[[#This Row],[Column8]]), namespace_raw[[#This Row],[Column8]],"")</f>
        <v/>
      </c>
      <c r="H53" s="123" t="str">
        <f>IF(ISNUMBER(namespace_raw[[#This Row],[Column9]]), namespace_raw[[#This Row],[Column9]]/1048576,"")</f>
        <v/>
      </c>
      <c r="I53" s="124" t="str">
        <f>IF(ISNUMBER(namespace_raw[[#This Row],[Column8]]),MAX(G53, M53, O53, $I$2,IF(Q53&lt;&gt;"",VALUE(Q53),0)), "")</f>
        <v/>
      </c>
      <c r="J53" s="125" t="str">
        <f>IF(ISNUMBER(namespace_raw[[#This Row],[Column9]]),MAX(H53, N53, P53, $J$2,IF(R53&lt;&gt;"",VALUE(R53),0)),"")</f>
        <v/>
      </c>
      <c r="K53" s="166" t="str">
        <f>IF(ISNUMBER(namespace_raw[[#This Row],[Column12]]), namespace_raw[[#This Row],[Column12]],"")</f>
        <v/>
      </c>
      <c r="L53" s="167" t="str">
        <f>IF(ISNUMBER(namespace_raw[[#This Row],[Column13]]), namespace_raw[[#This Row],[Column13]]/1048576,"")</f>
        <v/>
      </c>
      <c r="M53" s="168" t="str">
        <f>IF(ISNUMBER(namespace_raw[[#This Row],[Column10]]), (namespace_raw[[#This Row],[Column10]]*(1+$M$2)),"")</f>
        <v/>
      </c>
      <c r="N53" s="167" t="str">
        <f>IF(ISNUMBER(namespace_raw[[#This Row],[Column11]]), (namespace_raw[[#This Row],[Column11]]*(1+$N$2))/1048576,"")</f>
        <v/>
      </c>
      <c r="O53" s="169" t="str">
        <f>IF(ISNUMBER(namespace_raw[[#This Row],[Column8]]), (E53  * $O$2),"")</f>
        <v/>
      </c>
      <c r="P53" s="170" t="str">
        <f>IF(ISNUMBER(namespace_raw[[#This Row],[Column8]]), (F53  * $P$2),"")</f>
        <v/>
      </c>
    </row>
    <row r="54" spans="1:16" ht="15" customHeight="1" x14ac:dyDescent="0.25">
      <c r="A54" s="32" t="str">
        <f>IF(ISNONTEXT(namespace_raw[[#This Row],[Column1]]), "", namespace_raw[[#This Row],[Column1]])</f>
        <v/>
      </c>
      <c r="B54" s="33" t="str">
        <f>IF(ISNONTEXT(namespace_raw[[#This Row],[Column2]]), "", namespace_raw[[#This Row],[Column2]])</f>
        <v/>
      </c>
      <c r="C54" s="94" t="str">
        <f>IF(ISNUMBER(namespace_raw[[#This Row],[Column4]]), namespace_raw[[#This Row],[Column4]], "")</f>
        <v/>
      </c>
      <c r="D54" s="95" t="str">
        <f>IF(ISNUMBER(namespace_raw[[#This Row],[Column5]]), namespace_raw[[#This Row],[Column5]]/1048576, "")</f>
        <v/>
      </c>
      <c r="E54" s="95" t="str">
        <f>IF(ISNUMBER(namespace_raw[[#This Row],[Column6]]), namespace_raw[[#This Row],[Column6]],"")</f>
        <v/>
      </c>
      <c r="F54" s="96" t="str">
        <f>IF(ISNUMBER(namespace_raw[[#This Row],[Column7]]), namespace_raw[[#This Row],[Column7]]/1048576,"")</f>
        <v/>
      </c>
      <c r="G54" s="122" t="str">
        <f>IF(ISNUMBER(namespace_raw[[#This Row],[Column8]]), namespace_raw[[#This Row],[Column8]],"")</f>
        <v/>
      </c>
      <c r="H54" s="123" t="str">
        <f>IF(ISNUMBER(namespace_raw[[#This Row],[Column9]]), namespace_raw[[#This Row],[Column9]]/1048576,"")</f>
        <v/>
      </c>
      <c r="I54" s="124" t="str">
        <f>IF(ISNUMBER(namespace_raw[[#This Row],[Column8]]),MAX(G54, M54, O54, $I$2,IF(Q54&lt;&gt;"",VALUE(Q54),0)), "")</f>
        <v/>
      </c>
      <c r="J54" s="125" t="str">
        <f>IF(ISNUMBER(namespace_raw[[#This Row],[Column9]]),MAX(H54, N54, P54, $J$2,IF(R54&lt;&gt;"",VALUE(R54),0)),"")</f>
        <v/>
      </c>
      <c r="K54" s="166" t="str">
        <f>IF(ISNUMBER(namespace_raw[[#This Row],[Column12]]), namespace_raw[[#This Row],[Column12]],"")</f>
        <v/>
      </c>
      <c r="L54" s="167" t="str">
        <f>IF(ISNUMBER(namespace_raw[[#This Row],[Column13]]), namespace_raw[[#This Row],[Column13]]/1048576,"")</f>
        <v/>
      </c>
      <c r="M54" s="168" t="str">
        <f>IF(ISNUMBER(namespace_raw[[#This Row],[Column10]]), (namespace_raw[[#This Row],[Column10]]*(1+$M$2)),"")</f>
        <v/>
      </c>
      <c r="N54" s="167" t="str">
        <f>IF(ISNUMBER(namespace_raw[[#This Row],[Column11]]), (namespace_raw[[#This Row],[Column11]]*(1+$N$2))/1048576,"")</f>
        <v/>
      </c>
      <c r="O54" s="169" t="str">
        <f>IF(ISNUMBER(namespace_raw[[#This Row],[Column8]]), (E54  * $O$2),"")</f>
        <v/>
      </c>
      <c r="P54" s="170" t="str">
        <f>IF(ISNUMBER(namespace_raw[[#This Row],[Column8]]), (F54  * $P$2),"")</f>
        <v/>
      </c>
    </row>
    <row r="55" spans="1:16" ht="15" customHeight="1" x14ac:dyDescent="0.25">
      <c r="A55" s="32" t="str">
        <f>IF(ISNONTEXT(namespace_raw[[#This Row],[Column1]]), "", namespace_raw[[#This Row],[Column1]])</f>
        <v/>
      </c>
      <c r="B55" s="33" t="str">
        <f>IF(ISNONTEXT(namespace_raw[[#This Row],[Column2]]), "", namespace_raw[[#This Row],[Column2]])</f>
        <v/>
      </c>
      <c r="C55" s="94" t="str">
        <f>IF(ISNUMBER(namespace_raw[[#This Row],[Column4]]), namespace_raw[[#This Row],[Column4]], "")</f>
        <v/>
      </c>
      <c r="D55" s="95" t="str">
        <f>IF(ISNUMBER(namespace_raw[[#This Row],[Column5]]), namespace_raw[[#This Row],[Column5]]/1048576, "")</f>
        <v/>
      </c>
      <c r="E55" s="95" t="str">
        <f>IF(ISNUMBER(namespace_raw[[#This Row],[Column6]]), namespace_raw[[#This Row],[Column6]],"")</f>
        <v/>
      </c>
      <c r="F55" s="96" t="str">
        <f>IF(ISNUMBER(namespace_raw[[#This Row],[Column7]]), namespace_raw[[#This Row],[Column7]]/1048576,"")</f>
        <v/>
      </c>
      <c r="G55" s="122" t="str">
        <f>IF(ISNUMBER(namespace_raw[[#This Row],[Column8]]), namespace_raw[[#This Row],[Column8]],"")</f>
        <v/>
      </c>
      <c r="H55" s="123" t="str">
        <f>IF(ISNUMBER(namespace_raw[[#This Row],[Column9]]), namespace_raw[[#This Row],[Column9]]/1048576,"")</f>
        <v/>
      </c>
      <c r="I55" s="124" t="str">
        <f>IF(ISNUMBER(namespace_raw[[#This Row],[Column8]]),MAX(G55, M55, O55, $I$2,IF(Q55&lt;&gt;"",VALUE(Q55),0)), "")</f>
        <v/>
      </c>
      <c r="J55" s="125" t="str">
        <f>IF(ISNUMBER(namespace_raw[[#This Row],[Column9]]),MAX(H55, N55, P55, $J$2,IF(R55&lt;&gt;"",VALUE(R55),0)),"")</f>
        <v/>
      </c>
      <c r="K55" s="166" t="str">
        <f>IF(ISNUMBER(namespace_raw[[#This Row],[Column12]]), namespace_raw[[#This Row],[Column12]],"")</f>
        <v/>
      </c>
      <c r="L55" s="167" t="str">
        <f>IF(ISNUMBER(namespace_raw[[#This Row],[Column13]]), namespace_raw[[#This Row],[Column13]]/1048576,"")</f>
        <v/>
      </c>
      <c r="M55" s="168" t="str">
        <f>IF(ISNUMBER(namespace_raw[[#This Row],[Column10]]), (namespace_raw[[#This Row],[Column10]]*(1+$M$2)),"")</f>
        <v/>
      </c>
      <c r="N55" s="167" t="str">
        <f>IF(ISNUMBER(namespace_raw[[#This Row],[Column11]]), (namespace_raw[[#This Row],[Column11]]*(1+$N$2))/1048576,"")</f>
        <v/>
      </c>
      <c r="O55" s="169" t="str">
        <f>IF(ISNUMBER(namespace_raw[[#This Row],[Column8]]), (E55  * $O$2),"")</f>
        <v/>
      </c>
      <c r="P55" s="170" t="str">
        <f>IF(ISNUMBER(namespace_raw[[#This Row],[Column8]]), (F55  * $P$2),"")</f>
        <v/>
      </c>
    </row>
    <row r="56" spans="1:16" ht="15" customHeight="1" x14ac:dyDescent="0.25">
      <c r="A56" s="32" t="str">
        <f>IF(ISNONTEXT(namespace_raw[[#This Row],[Column1]]), "", namespace_raw[[#This Row],[Column1]])</f>
        <v/>
      </c>
      <c r="B56" s="33" t="str">
        <f>IF(ISNONTEXT(namespace_raw[[#This Row],[Column2]]), "", namespace_raw[[#This Row],[Column2]])</f>
        <v/>
      </c>
      <c r="C56" s="94" t="str">
        <f>IF(ISNUMBER(namespace_raw[[#This Row],[Column4]]), namespace_raw[[#This Row],[Column4]], "")</f>
        <v/>
      </c>
      <c r="D56" s="95" t="str">
        <f>IF(ISNUMBER(namespace_raw[[#This Row],[Column5]]), namespace_raw[[#This Row],[Column5]]/1048576, "")</f>
        <v/>
      </c>
      <c r="E56" s="95" t="str">
        <f>IF(ISNUMBER(namespace_raw[[#This Row],[Column6]]), namespace_raw[[#This Row],[Column6]],"")</f>
        <v/>
      </c>
      <c r="F56" s="96" t="str">
        <f>IF(ISNUMBER(namespace_raw[[#This Row],[Column7]]), namespace_raw[[#This Row],[Column7]]/1048576,"")</f>
        <v/>
      </c>
      <c r="G56" s="122" t="str">
        <f>IF(ISNUMBER(namespace_raw[[#This Row],[Column8]]), namespace_raw[[#This Row],[Column8]],"")</f>
        <v/>
      </c>
      <c r="H56" s="123" t="str">
        <f>IF(ISNUMBER(namespace_raw[[#This Row],[Column9]]), namespace_raw[[#This Row],[Column9]]/1048576,"")</f>
        <v/>
      </c>
      <c r="I56" s="124" t="str">
        <f>IF(ISNUMBER(namespace_raw[[#This Row],[Column8]]),MAX(G56, M56, O56, $I$2,IF(Q56&lt;&gt;"",VALUE(Q56),0)), "")</f>
        <v/>
      </c>
      <c r="J56" s="125" t="str">
        <f>IF(ISNUMBER(namespace_raw[[#This Row],[Column9]]),MAX(H56, N56, P56, $J$2,IF(R56&lt;&gt;"",VALUE(R56),0)),"")</f>
        <v/>
      </c>
      <c r="K56" s="166" t="str">
        <f>IF(ISNUMBER(namespace_raw[[#This Row],[Column12]]), namespace_raw[[#This Row],[Column12]],"")</f>
        <v/>
      </c>
      <c r="L56" s="167" t="str">
        <f>IF(ISNUMBER(namespace_raw[[#This Row],[Column13]]), namespace_raw[[#This Row],[Column13]]/1048576,"")</f>
        <v/>
      </c>
      <c r="M56" s="168" t="str">
        <f>IF(ISNUMBER(namespace_raw[[#This Row],[Column10]]), (namespace_raw[[#This Row],[Column10]]*(1+$M$2)),"")</f>
        <v/>
      </c>
      <c r="N56" s="167" t="str">
        <f>IF(ISNUMBER(namespace_raw[[#This Row],[Column11]]), (namespace_raw[[#This Row],[Column11]]*(1+$N$2))/1048576,"")</f>
        <v/>
      </c>
      <c r="O56" s="169" t="str">
        <f>IF(ISNUMBER(namespace_raw[[#This Row],[Column8]]), (E56  * $O$2),"")</f>
        <v/>
      </c>
      <c r="P56" s="170" t="str">
        <f>IF(ISNUMBER(namespace_raw[[#This Row],[Column8]]), (F56  * $P$2),"")</f>
        <v/>
      </c>
    </row>
    <row r="57" spans="1:16" ht="15" customHeight="1" x14ac:dyDescent="0.25">
      <c r="A57" s="32" t="str">
        <f>IF(ISNONTEXT(namespace_raw[[#This Row],[Column1]]), "", namespace_raw[[#This Row],[Column1]])</f>
        <v/>
      </c>
      <c r="B57" s="33" t="str">
        <f>IF(ISNONTEXT(namespace_raw[[#This Row],[Column2]]), "", namespace_raw[[#This Row],[Column2]])</f>
        <v/>
      </c>
      <c r="C57" s="94" t="str">
        <f>IF(ISNUMBER(namespace_raw[[#This Row],[Column4]]), namespace_raw[[#This Row],[Column4]], "")</f>
        <v/>
      </c>
      <c r="D57" s="95" t="str">
        <f>IF(ISNUMBER(namespace_raw[[#This Row],[Column5]]), namespace_raw[[#This Row],[Column5]]/1048576, "")</f>
        <v/>
      </c>
      <c r="E57" s="95" t="str">
        <f>IF(ISNUMBER(namespace_raw[[#This Row],[Column6]]), namespace_raw[[#This Row],[Column6]],"")</f>
        <v/>
      </c>
      <c r="F57" s="96" t="str">
        <f>IF(ISNUMBER(namespace_raw[[#This Row],[Column7]]), namespace_raw[[#This Row],[Column7]]/1048576,"")</f>
        <v/>
      </c>
      <c r="G57" s="122" t="str">
        <f>IF(ISNUMBER(namespace_raw[[#This Row],[Column8]]), namespace_raw[[#This Row],[Column8]],"")</f>
        <v/>
      </c>
      <c r="H57" s="123" t="str">
        <f>IF(ISNUMBER(namespace_raw[[#This Row],[Column9]]), namespace_raw[[#This Row],[Column9]]/1048576,"")</f>
        <v/>
      </c>
      <c r="I57" s="124" t="str">
        <f>IF(ISNUMBER(namespace_raw[[#This Row],[Column8]]),MAX(G57, M57, O57, $I$2,IF(Q57&lt;&gt;"",VALUE(Q57),0)), "")</f>
        <v/>
      </c>
      <c r="J57" s="125" t="str">
        <f>IF(ISNUMBER(namespace_raw[[#This Row],[Column9]]),MAX(H57, N57, P57, $J$2,IF(R57&lt;&gt;"",VALUE(R57),0)),"")</f>
        <v/>
      </c>
      <c r="K57" s="166" t="str">
        <f>IF(ISNUMBER(namespace_raw[[#This Row],[Column12]]), namespace_raw[[#This Row],[Column12]],"")</f>
        <v/>
      </c>
      <c r="L57" s="167" t="str">
        <f>IF(ISNUMBER(namespace_raw[[#This Row],[Column13]]), namespace_raw[[#This Row],[Column13]]/1048576,"")</f>
        <v/>
      </c>
      <c r="M57" s="168" t="str">
        <f>IF(ISNUMBER(namespace_raw[[#This Row],[Column10]]), (namespace_raw[[#This Row],[Column10]]*(1+$M$2)),"")</f>
        <v/>
      </c>
      <c r="N57" s="167" t="str">
        <f>IF(ISNUMBER(namespace_raw[[#This Row],[Column11]]), (namespace_raw[[#This Row],[Column11]]*(1+$N$2))/1048576,"")</f>
        <v/>
      </c>
      <c r="O57" s="169" t="str">
        <f>IF(ISNUMBER(namespace_raw[[#This Row],[Column8]]), (E57  * $O$2),"")</f>
        <v/>
      </c>
      <c r="P57" s="170" t="str">
        <f>IF(ISNUMBER(namespace_raw[[#This Row],[Column8]]), (F57  * $P$2),"")</f>
        <v/>
      </c>
    </row>
    <row r="58" spans="1:16" ht="15" customHeight="1" x14ac:dyDescent="0.25">
      <c r="A58" s="32" t="str">
        <f>IF(ISNONTEXT(namespace_raw[[#This Row],[Column1]]), "", namespace_raw[[#This Row],[Column1]])</f>
        <v/>
      </c>
      <c r="B58" s="33" t="str">
        <f>IF(ISNONTEXT(namespace_raw[[#This Row],[Column2]]), "", namespace_raw[[#This Row],[Column2]])</f>
        <v/>
      </c>
      <c r="C58" s="94" t="str">
        <f>IF(ISNUMBER(namespace_raw[[#This Row],[Column4]]), namespace_raw[[#This Row],[Column4]], "")</f>
        <v/>
      </c>
      <c r="D58" s="95" t="str">
        <f>IF(ISNUMBER(namespace_raw[[#This Row],[Column5]]), namespace_raw[[#This Row],[Column5]]/1048576, "")</f>
        <v/>
      </c>
      <c r="E58" s="95" t="str">
        <f>IF(ISNUMBER(namespace_raw[[#This Row],[Column6]]), namespace_raw[[#This Row],[Column6]],"")</f>
        <v/>
      </c>
      <c r="F58" s="96" t="str">
        <f>IF(ISNUMBER(namespace_raw[[#This Row],[Column7]]), namespace_raw[[#This Row],[Column7]]/1048576,"")</f>
        <v/>
      </c>
      <c r="G58" s="122" t="str">
        <f>IF(ISNUMBER(namespace_raw[[#This Row],[Column8]]), namespace_raw[[#This Row],[Column8]],"")</f>
        <v/>
      </c>
      <c r="H58" s="123" t="str">
        <f>IF(ISNUMBER(namespace_raw[[#This Row],[Column9]]), namespace_raw[[#This Row],[Column9]]/1048576,"")</f>
        <v/>
      </c>
      <c r="I58" s="124" t="str">
        <f>IF(ISNUMBER(namespace_raw[[#This Row],[Column8]]),MAX(G58, M58, O58, $I$2,IF(Q58&lt;&gt;"",VALUE(Q58),0)), "")</f>
        <v/>
      </c>
      <c r="J58" s="125" t="str">
        <f>IF(ISNUMBER(namespace_raw[[#This Row],[Column9]]),MAX(H58, N58, P58, $J$2,IF(R58&lt;&gt;"",VALUE(R58),0)),"")</f>
        <v/>
      </c>
      <c r="K58" s="166" t="str">
        <f>IF(ISNUMBER(namespace_raw[[#This Row],[Column12]]), namespace_raw[[#This Row],[Column12]],"")</f>
        <v/>
      </c>
      <c r="L58" s="167" t="str">
        <f>IF(ISNUMBER(namespace_raw[[#This Row],[Column13]]), namespace_raw[[#This Row],[Column13]]/1048576,"")</f>
        <v/>
      </c>
      <c r="M58" s="168" t="str">
        <f>IF(ISNUMBER(namespace_raw[[#This Row],[Column10]]), (namespace_raw[[#This Row],[Column10]]*(1+$M$2)),"")</f>
        <v/>
      </c>
      <c r="N58" s="167" t="str">
        <f>IF(ISNUMBER(namespace_raw[[#This Row],[Column11]]), (namespace_raw[[#This Row],[Column11]]*(1+$N$2))/1048576,"")</f>
        <v/>
      </c>
      <c r="O58" s="169" t="str">
        <f>IF(ISNUMBER(namespace_raw[[#This Row],[Column8]]), (E58  * $O$2),"")</f>
        <v/>
      </c>
      <c r="P58" s="170" t="str">
        <f>IF(ISNUMBER(namespace_raw[[#This Row],[Column8]]), (F58  * $P$2),"")</f>
        <v/>
      </c>
    </row>
    <row r="59" spans="1:16" ht="15" customHeight="1" x14ac:dyDescent="0.25">
      <c r="A59" s="32" t="str">
        <f>IF(ISNONTEXT(namespace_raw[[#This Row],[Column1]]), "", namespace_raw[[#This Row],[Column1]])</f>
        <v/>
      </c>
      <c r="B59" s="33" t="str">
        <f>IF(ISNONTEXT(namespace_raw[[#This Row],[Column2]]), "", namespace_raw[[#This Row],[Column2]])</f>
        <v/>
      </c>
      <c r="C59" s="94" t="str">
        <f>IF(ISNUMBER(namespace_raw[[#This Row],[Column4]]), namespace_raw[[#This Row],[Column4]], "")</f>
        <v/>
      </c>
      <c r="D59" s="95" t="str">
        <f>IF(ISNUMBER(namespace_raw[[#This Row],[Column5]]), namespace_raw[[#This Row],[Column5]]/1048576, "")</f>
        <v/>
      </c>
      <c r="E59" s="95" t="str">
        <f>IF(ISNUMBER(namespace_raw[[#This Row],[Column6]]), namespace_raw[[#This Row],[Column6]],"")</f>
        <v/>
      </c>
      <c r="F59" s="96" t="str">
        <f>IF(ISNUMBER(namespace_raw[[#This Row],[Column7]]), namespace_raw[[#This Row],[Column7]]/1048576,"")</f>
        <v/>
      </c>
      <c r="G59" s="122" t="str">
        <f>IF(ISNUMBER(namespace_raw[[#This Row],[Column8]]), namespace_raw[[#This Row],[Column8]],"")</f>
        <v/>
      </c>
      <c r="H59" s="123" t="str">
        <f>IF(ISNUMBER(namespace_raw[[#This Row],[Column9]]), namespace_raw[[#This Row],[Column9]]/1048576,"")</f>
        <v/>
      </c>
      <c r="I59" s="124" t="str">
        <f>IF(ISNUMBER(namespace_raw[[#This Row],[Column8]]),MAX(G59, M59, O59, $I$2,IF(Q59&lt;&gt;"",VALUE(Q59),0)), "")</f>
        <v/>
      </c>
      <c r="J59" s="125" t="str">
        <f>IF(ISNUMBER(namespace_raw[[#This Row],[Column9]]),MAX(H59, N59, P59, $J$2,IF(R59&lt;&gt;"",VALUE(R59),0)),"")</f>
        <v/>
      </c>
      <c r="K59" s="166" t="str">
        <f>IF(ISNUMBER(namespace_raw[[#This Row],[Column12]]), namespace_raw[[#This Row],[Column12]],"")</f>
        <v/>
      </c>
      <c r="L59" s="167" t="str">
        <f>IF(ISNUMBER(namespace_raw[[#This Row],[Column13]]), namespace_raw[[#This Row],[Column13]]/1048576,"")</f>
        <v/>
      </c>
      <c r="M59" s="168" t="str">
        <f>IF(ISNUMBER(namespace_raw[[#This Row],[Column10]]), (namespace_raw[[#This Row],[Column10]]*(1+$M$2)),"")</f>
        <v/>
      </c>
      <c r="N59" s="167" t="str">
        <f>IF(ISNUMBER(namespace_raw[[#This Row],[Column11]]), (namespace_raw[[#This Row],[Column11]]*(1+$N$2))/1048576,"")</f>
        <v/>
      </c>
      <c r="O59" s="169" t="str">
        <f>IF(ISNUMBER(namespace_raw[[#This Row],[Column8]]), (E59  * $O$2),"")</f>
        <v/>
      </c>
      <c r="P59" s="170" t="str">
        <f>IF(ISNUMBER(namespace_raw[[#This Row],[Column8]]), (F59  * $P$2),"")</f>
        <v/>
      </c>
    </row>
    <row r="60" spans="1:16" ht="15" customHeight="1" x14ac:dyDescent="0.25">
      <c r="A60" s="32" t="str">
        <f>IF(ISNONTEXT(namespace_raw[[#This Row],[Column1]]), "", namespace_raw[[#This Row],[Column1]])</f>
        <v/>
      </c>
      <c r="B60" s="33" t="str">
        <f>IF(ISNONTEXT(namespace_raw[[#This Row],[Column2]]), "", namespace_raw[[#This Row],[Column2]])</f>
        <v/>
      </c>
      <c r="C60" s="94" t="str">
        <f>IF(ISNUMBER(namespace_raw[[#This Row],[Column4]]), namespace_raw[[#This Row],[Column4]], "")</f>
        <v/>
      </c>
      <c r="D60" s="95" t="str">
        <f>IF(ISNUMBER(namespace_raw[[#This Row],[Column5]]), namespace_raw[[#This Row],[Column5]]/1048576, "")</f>
        <v/>
      </c>
      <c r="E60" s="95" t="str">
        <f>IF(ISNUMBER(namespace_raw[[#This Row],[Column6]]), namespace_raw[[#This Row],[Column6]],"")</f>
        <v/>
      </c>
      <c r="F60" s="96" t="str">
        <f>IF(ISNUMBER(namespace_raw[[#This Row],[Column7]]), namespace_raw[[#This Row],[Column7]]/1048576,"")</f>
        <v/>
      </c>
      <c r="G60" s="122" t="str">
        <f>IF(ISNUMBER(namespace_raw[[#This Row],[Column8]]), namespace_raw[[#This Row],[Column8]],"")</f>
        <v/>
      </c>
      <c r="H60" s="123" t="str">
        <f>IF(ISNUMBER(namespace_raw[[#This Row],[Column9]]), namespace_raw[[#This Row],[Column9]]/1048576,"")</f>
        <v/>
      </c>
      <c r="I60" s="124" t="str">
        <f>IF(ISNUMBER(namespace_raw[[#This Row],[Column8]]),MAX(G60, M60, O60, $I$2,IF(Q60&lt;&gt;"",VALUE(Q60),0)), "")</f>
        <v/>
      </c>
      <c r="J60" s="125" t="str">
        <f>IF(ISNUMBER(namespace_raw[[#This Row],[Column9]]),MAX(H60, N60, P60, $J$2,IF(R60&lt;&gt;"",VALUE(R60),0)),"")</f>
        <v/>
      </c>
      <c r="K60" s="166" t="str">
        <f>IF(ISNUMBER(namespace_raw[[#This Row],[Column12]]), namespace_raw[[#This Row],[Column12]],"")</f>
        <v/>
      </c>
      <c r="L60" s="167" t="str">
        <f>IF(ISNUMBER(namespace_raw[[#This Row],[Column13]]), namespace_raw[[#This Row],[Column13]]/1048576,"")</f>
        <v/>
      </c>
      <c r="M60" s="168" t="str">
        <f>IF(ISNUMBER(namespace_raw[[#This Row],[Column10]]), (namespace_raw[[#This Row],[Column10]]*(1+$M$2)),"")</f>
        <v/>
      </c>
      <c r="N60" s="167" t="str">
        <f>IF(ISNUMBER(namespace_raw[[#This Row],[Column11]]), (namespace_raw[[#This Row],[Column11]]*(1+$N$2))/1048576,"")</f>
        <v/>
      </c>
      <c r="O60" s="169" t="str">
        <f>IF(ISNUMBER(namespace_raw[[#This Row],[Column8]]), (E60  * $O$2),"")</f>
        <v/>
      </c>
      <c r="P60" s="170" t="str">
        <f>IF(ISNUMBER(namespace_raw[[#This Row],[Column8]]), (F60  * $P$2),"")</f>
        <v/>
      </c>
    </row>
    <row r="61" spans="1:16" ht="15" customHeight="1" x14ac:dyDescent="0.25">
      <c r="A61" s="32" t="str">
        <f>IF(ISNONTEXT(namespace_raw[[#This Row],[Column1]]), "", namespace_raw[[#This Row],[Column1]])</f>
        <v/>
      </c>
      <c r="B61" s="33" t="str">
        <f>IF(ISNONTEXT(namespace_raw[[#This Row],[Column2]]), "", namespace_raw[[#This Row],[Column2]])</f>
        <v/>
      </c>
      <c r="C61" s="94" t="str">
        <f>IF(ISNUMBER(namespace_raw[[#This Row],[Column4]]), namespace_raw[[#This Row],[Column4]], "")</f>
        <v/>
      </c>
      <c r="D61" s="95" t="str">
        <f>IF(ISNUMBER(namespace_raw[[#This Row],[Column5]]), namespace_raw[[#This Row],[Column5]]/1048576, "")</f>
        <v/>
      </c>
      <c r="E61" s="95" t="str">
        <f>IF(ISNUMBER(namespace_raw[[#This Row],[Column6]]), namespace_raw[[#This Row],[Column6]],"")</f>
        <v/>
      </c>
      <c r="F61" s="96" t="str">
        <f>IF(ISNUMBER(namespace_raw[[#This Row],[Column7]]), namespace_raw[[#This Row],[Column7]]/1048576,"")</f>
        <v/>
      </c>
      <c r="G61" s="122" t="str">
        <f>IF(ISNUMBER(namespace_raw[[#This Row],[Column8]]), namespace_raw[[#This Row],[Column8]],"")</f>
        <v/>
      </c>
      <c r="H61" s="123" t="str">
        <f>IF(ISNUMBER(namespace_raw[[#This Row],[Column9]]), namespace_raw[[#This Row],[Column9]]/1048576,"")</f>
        <v/>
      </c>
      <c r="I61" s="124" t="str">
        <f>IF(ISNUMBER(namespace_raw[[#This Row],[Column8]]),MAX(G61, M61, O61, $I$2,IF(Q61&lt;&gt;"",VALUE(Q61),0)), "")</f>
        <v/>
      </c>
      <c r="J61" s="125" t="str">
        <f>IF(ISNUMBER(namespace_raw[[#This Row],[Column9]]),MAX(H61, N61, P61, $J$2,IF(R61&lt;&gt;"",VALUE(R61),0)),"")</f>
        <v/>
      </c>
      <c r="K61" s="166" t="str">
        <f>IF(ISNUMBER(namespace_raw[[#This Row],[Column12]]), namespace_raw[[#This Row],[Column12]],"")</f>
        <v/>
      </c>
      <c r="L61" s="167" t="str">
        <f>IF(ISNUMBER(namespace_raw[[#This Row],[Column13]]), namespace_raw[[#This Row],[Column13]]/1048576,"")</f>
        <v/>
      </c>
      <c r="M61" s="168" t="str">
        <f>IF(ISNUMBER(namespace_raw[[#This Row],[Column10]]), (namespace_raw[[#This Row],[Column10]]*(1+$M$2)),"")</f>
        <v/>
      </c>
      <c r="N61" s="167" t="str">
        <f>IF(ISNUMBER(namespace_raw[[#This Row],[Column11]]), (namespace_raw[[#This Row],[Column11]]*(1+$N$2))/1048576,"")</f>
        <v/>
      </c>
      <c r="O61" s="169" t="str">
        <f>IF(ISNUMBER(namespace_raw[[#This Row],[Column8]]), (E61  * $O$2),"")</f>
        <v/>
      </c>
      <c r="P61" s="170" t="str">
        <f>IF(ISNUMBER(namespace_raw[[#This Row],[Column8]]), (F61  * $P$2),"")</f>
        <v/>
      </c>
    </row>
    <row r="62" spans="1:16" ht="15" customHeight="1" x14ac:dyDescent="0.25">
      <c r="A62" s="32" t="str">
        <f>IF(ISNONTEXT(namespace_raw[[#This Row],[Column1]]), "", namespace_raw[[#This Row],[Column1]])</f>
        <v/>
      </c>
      <c r="B62" s="33" t="str">
        <f>IF(ISNONTEXT(namespace_raw[[#This Row],[Column2]]), "", namespace_raw[[#This Row],[Column2]])</f>
        <v/>
      </c>
      <c r="C62" s="94" t="str">
        <f>IF(ISNUMBER(namespace_raw[[#This Row],[Column4]]), namespace_raw[[#This Row],[Column4]], "")</f>
        <v/>
      </c>
      <c r="D62" s="95" t="str">
        <f>IF(ISNUMBER(namespace_raw[[#This Row],[Column5]]), namespace_raw[[#This Row],[Column5]]/1048576, "")</f>
        <v/>
      </c>
      <c r="E62" s="95" t="str">
        <f>IF(ISNUMBER(namespace_raw[[#This Row],[Column6]]), namespace_raw[[#This Row],[Column6]],"")</f>
        <v/>
      </c>
      <c r="F62" s="96" t="str">
        <f>IF(ISNUMBER(namespace_raw[[#This Row],[Column7]]), namespace_raw[[#This Row],[Column7]]/1048576,"")</f>
        <v/>
      </c>
      <c r="G62" s="122" t="str">
        <f>IF(ISNUMBER(namespace_raw[[#This Row],[Column8]]), namespace_raw[[#This Row],[Column8]],"")</f>
        <v/>
      </c>
      <c r="H62" s="123" t="str">
        <f>IF(ISNUMBER(namespace_raw[[#This Row],[Column9]]), namespace_raw[[#This Row],[Column9]]/1048576,"")</f>
        <v/>
      </c>
      <c r="I62" s="124" t="str">
        <f>IF(ISNUMBER(namespace_raw[[#This Row],[Column8]]),MAX(G62, M62, O62, $I$2,IF(Q62&lt;&gt;"",VALUE(Q62),0)), "")</f>
        <v/>
      </c>
      <c r="J62" s="125" t="str">
        <f>IF(ISNUMBER(namespace_raw[[#This Row],[Column9]]),MAX(H62, N62, P62, $J$2,IF(R62&lt;&gt;"",VALUE(R62),0)),"")</f>
        <v/>
      </c>
      <c r="K62" s="166" t="str">
        <f>IF(ISNUMBER(namespace_raw[[#This Row],[Column12]]), namespace_raw[[#This Row],[Column12]],"")</f>
        <v/>
      </c>
      <c r="L62" s="167" t="str">
        <f>IF(ISNUMBER(namespace_raw[[#This Row],[Column13]]), namespace_raw[[#This Row],[Column13]]/1048576,"")</f>
        <v/>
      </c>
      <c r="M62" s="168" t="str">
        <f>IF(ISNUMBER(namespace_raw[[#This Row],[Column10]]), (namespace_raw[[#This Row],[Column10]]*(1+$M$2)),"")</f>
        <v/>
      </c>
      <c r="N62" s="167" t="str">
        <f>IF(ISNUMBER(namespace_raw[[#This Row],[Column11]]), (namespace_raw[[#This Row],[Column11]]*(1+$N$2))/1048576,"")</f>
        <v/>
      </c>
      <c r="O62" s="169" t="str">
        <f>IF(ISNUMBER(namespace_raw[[#This Row],[Column8]]), (E62  * $O$2),"")</f>
        <v/>
      </c>
      <c r="P62" s="170" t="str">
        <f>IF(ISNUMBER(namespace_raw[[#This Row],[Column8]]), (F62  * $P$2),"")</f>
        <v/>
      </c>
    </row>
    <row r="63" spans="1:16" ht="15" customHeight="1" x14ac:dyDescent="0.25">
      <c r="A63" s="32" t="str">
        <f>IF(ISNONTEXT(namespace_raw[[#This Row],[Column1]]), "", namespace_raw[[#This Row],[Column1]])</f>
        <v/>
      </c>
      <c r="B63" s="33" t="str">
        <f>IF(ISNONTEXT(namespace_raw[[#This Row],[Column2]]), "", namespace_raw[[#This Row],[Column2]])</f>
        <v/>
      </c>
      <c r="C63" s="94" t="str">
        <f>IF(ISNUMBER(namespace_raw[[#This Row],[Column4]]), namespace_raw[[#This Row],[Column4]], "")</f>
        <v/>
      </c>
      <c r="D63" s="95" t="str">
        <f>IF(ISNUMBER(namespace_raw[[#This Row],[Column5]]), namespace_raw[[#This Row],[Column5]]/1048576, "")</f>
        <v/>
      </c>
      <c r="E63" s="95" t="str">
        <f>IF(ISNUMBER(namespace_raw[[#This Row],[Column6]]), namespace_raw[[#This Row],[Column6]],"")</f>
        <v/>
      </c>
      <c r="F63" s="96" t="str">
        <f>IF(ISNUMBER(namespace_raw[[#This Row],[Column7]]), namespace_raw[[#This Row],[Column7]]/1048576,"")</f>
        <v/>
      </c>
      <c r="G63" s="122" t="str">
        <f>IF(ISNUMBER(namespace_raw[[#This Row],[Column8]]), namespace_raw[[#This Row],[Column8]],"")</f>
        <v/>
      </c>
      <c r="H63" s="123" t="str">
        <f>IF(ISNUMBER(namespace_raw[[#This Row],[Column9]]), namespace_raw[[#This Row],[Column9]]/1048576,"")</f>
        <v/>
      </c>
      <c r="I63" s="124" t="str">
        <f>IF(ISNUMBER(namespace_raw[[#This Row],[Column8]]),MAX(G63, M63, O63, $I$2,IF(Q63&lt;&gt;"",VALUE(Q63),0)), "")</f>
        <v/>
      </c>
      <c r="J63" s="125" t="str">
        <f>IF(ISNUMBER(namespace_raw[[#This Row],[Column9]]),MAX(H63, N63, P63, $J$2,IF(R63&lt;&gt;"",VALUE(R63),0)),"")</f>
        <v/>
      </c>
      <c r="K63" s="166" t="str">
        <f>IF(ISNUMBER(namespace_raw[[#This Row],[Column12]]), namespace_raw[[#This Row],[Column12]],"")</f>
        <v/>
      </c>
      <c r="L63" s="167" t="str">
        <f>IF(ISNUMBER(namespace_raw[[#This Row],[Column13]]), namespace_raw[[#This Row],[Column13]]/1048576,"")</f>
        <v/>
      </c>
      <c r="M63" s="168" t="str">
        <f>IF(ISNUMBER(namespace_raw[[#This Row],[Column10]]), (namespace_raw[[#This Row],[Column10]]*(1+$M$2)),"")</f>
        <v/>
      </c>
      <c r="N63" s="167" t="str">
        <f>IF(ISNUMBER(namespace_raw[[#This Row],[Column11]]), (namespace_raw[[#This Row],[Column11]]*(1+$N$2))/1048576,"")</f>
        <v/>
      </c>
      <c r="O63" s="169" t="str">
        <f>IF(ISNUMBER(namespace_raw[[#This Row],[Column8]]), (E63  * $O$2),"")</f>
        <v/>
      </c>
      <c r="P63" s="170" t="str">
        <f>IF(ISNUMBER(namespace_raw[[#This Row],[Column8]]), (F63  * $P$2),"")</f>
        <v/>
      </c>
    </row>
    <row r="64" spans="1:16" ht="15" customHeight="1" x14ac:dyDescent="0.25">
      <c r="A64" s="32" t="str">
        <f>IF(ISNONTEXT(namespace_raw[[#This Row],[Column1]]), "", namespace_raw[[#This Row],[Column1]])</f>
        <v/>
      </c>
      <c r="B64" s="33" t="str">
        <f>IF(ISNONTEXT(namespace_raw[[#This Row],[Column2]]), "", namespace_raw[[#This Row],[Column2]])</f>
        <v/>
      </c>
      <c r="C64" s="94" t="str">
        <f>IF(ISNUMBER(namespace_raw[[#This Row],[Column4]]), namespace_raw[[#This Row],[Column4]], "")</f>
        <v/>
      </c>
      <c r="D64" s="95" t="str">
        <f>IF(ISNUMBER(namespace_raw[[#This Row],[Column5]]), namespace_raw[[#This Row],[Column5]]/1048576, "")</f>
        <v/>
      </c>
      <c r="E64" s="95" t="str">
        <f>IF(ISNUMBER(namespace_raw[[#This Row],[Column6]]), namespace_raw[[#This Row],[Column6]],"")</f>
        <v/>
      </c>
      <c r="F64" s="96" t="str">
        <f>IF(ISNUMBER(namespace_raw[[#This Row],[Column7]]), namespace_raw[[#This Row],[Column7]]/1048576,"")</f>
        <v/>
      </c>
      <c r="G64" s="122" t="str">
        <f>IF(ISNUMBER(namespace_raw[[#This Row],[Column8]]), namespace_raw[[#This Row],[Column8]],"")</f>
        <v/>
      </c>
      <c r="H64" s="123" t="str">
        <f>IF(ISNUMBER(namespace_raw[[#This Row],[Column9]]), namespace_raw[[#This Row],[Column9]]/1048576,"")</f>
        <v/>
      </c>
      <c r="I64" s="124" t="str">
        <f>IF(ISNUMBER(namespace_raw[[#This Row],[Column8]]),MAX(G64, M64, O64, $I$2,IF(Q64&lt;&gt;"",VALUE(Q64),0)), "")</f>
        <v/>
      </c>
      <c r="J64" s="125" t="str">
        <f>IF(ISNUMBER(namespace_raw[[#This Row],[Column9]]),MAX(H64, N64, P64, $J$2,IF(R64&lt;&gt;"",VALUE(R64),0)),"")</f>
        <v/>
      </c>
      <c r="K64" s="166" t="str">
        <f>IF(ISNUMBER(namespace_raw[[#This Row],[Column12]]), namespace_raw[[#This Row],[Column12]],"")</f>
        <v/>
      </c>
      <c r="L64" s="167" t="str">
        <f>IF(ISNUMBER(namespace_raw[[#This Row],[Column13]]), namespace_raw[[#This Row],[Column13]]/1048576,"")</f>
        <v/>
      </c>
      <c r="M64" s="168" t="str">
        <f>IF(ISNUMBER(namespace_raw[[#This Row],[Column10]]), (namespace_raw[[#This Row],[Column10]]*(1+$M$2)),"")</f>
        <v/>
      </c>
      <c r="N64" s="167" t="str">
        <f>IF(ISNUMBER(namespace_raw[[#This Row],[Column11]]), (namespace_raw[[#This Row],[Column11]]*(1+$N$2))/1048576,"")</f>
        <v/>
      </c>
      <c r="O64" s="169" t="str">
        <f>IF(ISNUMBER(namespace_raw[[#This Row],[Column8]]), (E64  * $O$2),"")</f>
        <v/>
      </c>
      <c r="P64" s="170" t="str">
        <f>IF(ISNUMBER(namespace_raw[[#This Row],[Column8]]), (F64  * $P$2),"")</f>
        <v/>
      </c>
    </row>
    <row r="65" spans="1:16" ht="15" customHeight="1" x14ac:dyDescent="0.25">
      <c r="A65" s="32" t="str">
        <f>IF(ISNONTEXT(namespace_raw[[#This Row],[Column1]]), "", namespace_raw[[#This Row],[Column1]])</f>
        <v/>
      </c>
      <c r="B65" s="33" t="str">
        <f>IF(ISNONTEXT(namespace_raw[[#This Row],[Column2]]), "", namespace_raw[[#This Row],[Column2]])</f>
        <v/>
      </c>
      <c r="C65" s="94" t="str">
        <f>IF(ISNUMBER(namespace_raw[[#This Row],[Column4]]), namespace_raw[[#This Row],[Column4]], "")</f>
        <v/>
      </c>
      <c r="D65" s="95" t="str">
        <f>IF(ISNUMBER(namespace_raw[[#This Row],[Column5]]), namespace_raw[[#This Row],[Column5]]/1048576, "")</f>
        <v/>
      </c>
      <c r="E65" s="95" t="str">
        <f>IF(ISNUMBER(namespace_raw[[#This Row],[Column6]]), namespace_raw[[#This Row],[Column6]],"")</f>
        <v/>
      </c>
      <c r="F65" s="96" t="str">
        <f>IF(ISNUMBER(namespace_raw[[#This Row],[Column7]]), namespace_raw[[#This Row],[Column7]]/1048576,"")</f>
        <v/>
      </c>
      <c r="G65" s="122" t="str">
        <f>IF(ISNUMBER(namespace_raw[[#This Row],[Column8]]), namespace_raw[[#This Row],[Column8]],"")</f>
        <v/>
      </c>
      <c r="H65" s="123" t="str">
        <f>IF(ISNUMBER(namespace_raw[[#This Row],[Column9]]), namespace_raw[[#This Row],[Column9]]/1048576,"")</f>
        <v/>
      </c>
      <c r="I65" s="124" t="str">
        <f>IF(ISNUMBER(namespace_raw[[#This Row],[Column8]]),MAX(G65, M65, O65, $I$2,IF(Q65&lt;&gt;"",VALUE(Q65),0)), "")</f>
        <v/>
      </c>
      <c r="J65" s="125" t="str">
        <f>IF(ISNUMBER(namespace_raw[[#This Row],[Column9]]),MAX(H65, N65, P65, $J$2,IF(R65&lt;&gt;"",VALUE(R65),0)),"")</f>
        <v/>
      </c>
      <c r="K65" s="166" t="str">
        <f>IF(ISNUMBER(namespace_raw[[#This Row],[Column12]]), namespace_raw[[#This Row],[Column12]],"")</f>
        <v/>
      </c>
      <c r="L65" s="167" t="str">
        <f>IF(ISNUMBER(namespace_raw[[#This Row],[Column13]]), namespace_raw[[#This Row],[Column13]]/1048576,"")</f>
        <v/>
      </c>
      <c r="M65" s="168" t="str">
        <f>IF(ISNUMBER(namespace_raw[[#This Row],[Column10]]), (namespace_raw[[#This Row],[Column10]]*(1+$M$2)),"")</f>
        <v/>
      </c>
      <c r="N65" s="167" t="str">
        <f>IF(ISNUMBER(namespace_raw[[#This Row],[Column11]]), (namespace_raw[[#This Row],[Column11]]*(1+$N$2))/1048576,"")</f>
        <v/>
      </c>
      <c r="O65" s="169" t="str">
        <f>IF(ISNUMBER(namespace_raw[[#This Row],[Column8]]), (E65  * $O$2),"")</f>
        <v/>
      </c>
      <c r="P65" s="170" t="str">
        <f>IF(ISNUMBER(namespace_raw[[#This Row],[Column8]]), (F65  * $P$2),"")</f>
        <v/>
      </c>
    </row>
    <row r="66" spans="1:16" ht="15" customHeight="1" x14ac:dyDescent="0.25">
      <c r="A66" s="32" t="str">
        <f>IF(ISNONTEXT(namespace_raw[[#This Row],[Column1]]), "", namespace_raw[[#This Row],[Column1]])</f>
        <v/>
      </c>
      <c r="B66" s="33" t="str">
        <f>IF(ISNONTEXT(namespace_raw[[#This Row],[Column2]]), "", namespace_raw[[#This Row],[Column2]])</f>
        <v/>
      </c>
      <c r="C66" s="94" t="str">
        <f>IF(ISNUMBER(namespace_raw[[#This Row],[Column4]]), namespace_raw[[#This Row],[Column4]], "")</f>
        <v/>
      </c>
      <c r="D66" s="95" t="str">
        <f>IF(ISNUMBER(namespace_raw[[#This Row],[Column5]]), namespace_raw[[#This Row],[Column5]]/1048576, "")</f>
        <v/>
      </c>
      <c r="E66" s="95" t="str">
        <f>IF(ISNUMBER(namespace_raw[[#This Row],[Column6]]), namespace_raw[[#This Row],[Column6]],"")</f>
        <v/>
      </c>
      <c r="F66" s="96" t="str">
        <f>IF(ISNUMBER(namespace_raw[[#This Row],[Column7]]), namespace_raw[[#This Row],[Column7]]/1048576,"")</f>
        <v/>
      </c>
      <c r="G66" s="122" t="str">
        <f>IF(ISNUMBER(namespace_raw[[#This Row],[Column8]]), namespace_raw[[#This Row],[Column8]],"")</f>
        <v/>
      </c>
      <c r="H66" s="123" t="str">
        <f>IF(ISNUMBER(namespace_raw[[#This Row],[Column9]]), namespace_raw[[#This Row],[Column9]]/1048576,"")</f>
        <v/>
      </c>
      <c r="I66" s="124" t="str">
        <f>IF(ISNUMBER(namespace_raw[[#This Row],[Column8]]),MAX(G66, M66, O66, $I$2,IF(Q66&lt;&gt;"",VALUE(Q66),0)), "")</f>
        <v/>
      </c>
      <c r="J66" s="125" t="str">
        <f>IF(ISNUMBER(namespace_raw[[#This Row],[Column9]]),MAX(H66, N66, P66, $J$2,IF(R66&lt;&gt;"",VALUE(R66),0)),"")</f>
        <v/>
      </c>
      <c r="K66" s="166" t="str">
        <f>IF(ISNUMBER(namespace_raw[[#This Row],[Column12]]), namespace_raw[[#This Row],[Column12]],"")</f>
        <v/>
      </c>
      <c r="L66" s="167" t="str">
        <f>IF(ISNUMBER(namespace_raw[[#This Row],[Column13]]), namespace_raw[[#This Row],[Column13]]/1048576,"")</f>
        <v/>
      </c>
      <c r="M66" s="168" t="str">
        <f>IF(ISNUMBER(namespace_raw[[#This Row],[Column10]]), (namespace_raw[[#This Row],[Column10]]*(1+$M$2)),"")</f>
        <v/>
      </c>
      <c r="N66" s="167" t="str">
        <f>IF(ISNUMBER(namespace_raw[[#This Row],[Column11]]), (namespace_raw[[#This Row],[Column11]]*(1+$N$2))/1048576,"")</f>
        <v/>
      </c>
      <c r="O66" s="169" t="str">
        <f>IF(ISNUMBER(namespace_raw[[#This Row],[Column8]]), (E66  * $O$2),"")</f>
        <v/>
      </c>
      <c r="P66" s="170" t="str">
        <f>IF(ISNUMBER(namespace_raw[[#This Row],[Column8]]), (F66  * $P$2),"")</f>
        <v/>
      </c>
    </row>
    <row r="67" spans="1:16" ht="15" customHeight="1" x14ac:dyDescent="0.25">
      <c r="A67" s="32" t="str">
        <f>IF(ISNONTEXT(namespace_raw[[#This Row],[Column1]]), "", namespace_raw[[#This Row],[Column1]])</f>
        <v/>
      </c>
      <c r="B67" s="33" t="str">
        <f>IF(ISNONTEXT(namespace_raw[[#This Row],[Column2]]), "", namespace_raw[[#This Row],[Column2]])</f>
        <v/>
      </c>
      <c r="C67" s="94" t="str">
        <f>IF(ISNUMBER(namespace_raw[[#This Row],[Column4]]), namespace_raw[[#This Row],[Column4]], "")</f>
        <v/>
      </c>
      <c r="D67" s="95" t="str">
        <f>IF(ISNUMBER(namespace_raw[[#This Row],[Column5]]), namespace_raw[[#This Row],[Column5]]/1048576, "")</f>
        <v/>
      </c>
      <c r="E67" s="95" t="str">
        <f>IF(ISNUMBER(namespace_raw[[#This Row],[Column6]]), namespace_raw[[#This Row],[Column6]],"")</f>
        <v/>
      </c>
      <c r="F67" s="96" t="str">
        <f>IF(ISNUMBER(namespace_raw[[#This Row],[Column7]]), namespace_raw[[#This Row],[Column7]]/1048576,"")</f>
        <v/>
      </c>
      <c r="G67" s="122" t="str">
        <f>IF(ISNUMBER(namespace_raw[[#This Row],[Column8]]), namespace_raw[[#This Row],[Column8]],"")</f>
        <v/>
      </c>
      <c r="H67" s="123" t="str">
        <f>IF(ISNUMBER(namespace_raw[[#This Row],[Column9]]), namespace_raw[[#This Row],[Column9]]/1048576,"")</f>
        <v/>
      </c>
      <c r="I67" s="124" t="str">
        <f>IF(ISNUMBER(namespace_raw[[#This Row],[Column8]]),MAX(G67, M67, O67, $I$2,IF(Q67&lt;&gt;"",VALUE(Q67),0)), "")</f>
        <v/>
      </c>
      <c r="J67" s="125" t="str">
        <f>IF(ISNUMBER(namespace_raw[[#This Row],[Column9]]),MAX(H67, N67, P67, $J$2,IF(R67&lt;&gt;"",VALUE(R67),0)),"")</f>
        <v/>
      </c>
      <c r="K67" s="166" t="str">
        <f>IF(ISNUMBER(namespace_raw[[#This Row],[Column12]]), namespace_raw[[#This Row],[Column12]],"")</f>
        <v/>
      </c>
      <c r="L67" s="167" t="str">
        <f>IF(ISNUMBER(namespace_raw[[#This Row],[Column13]]), namespace_raw[[#This Row],[Column13]]/1048576,"")</f>
        <v/>
      </c>
      <c r="M67" s="168" t="str">
        <f>IF(ISNUMBER(namespace_raw[[#This Row],[Column10]]), (namespace_raw[[#This Row],[Column10]]*(1+$M$2)),"")</f>
        <v/>
      </c>
      <c r="N67" s="167" t="str">
        <f>IF(ISNUMBER(namespace_raw[[#This Row],[Column11]]), (namespace_raw[[#This Row],[Column11]]*(1+$N$2))/1048576,"")</f>
        <v/>
      </c>
      <c r="O67" s="169" t="str">
        <f>IF(ISNUMBER(namespace_raw[[#This Row],[Column8]]), (E67  * $O$2),"")</f>
        <v/>
      </c>
      <c r="P67" s="170" t="str">
        <f>IF(ISNUMBER(namespace_raw[[#This Row],[Column8]]), (F67  * $P$2),"")</f>
        <v/>
      </c>
    </row>
    <row r="68" spans="1:16" ht="15" customHeight="1" x14ac:dyDescent="0.25">
      <c r="A68" s="32" t="str">
        <f>IF(ISNONTEXT(namespace_raw[[#This Row],[Column1]]), "", namespace_raw[[#This Row],[Column1]])</f>
        <v/>
      </c>
      <c r="B68" s="33" t="str">
        <f>IF(ISNONTEXT(namespace_raw[[#This Row],[Column2]]), "", namespace_raw[[#This Row],[Column2]])</f>
        <v/>
      </c>
      <c r="C68" s="94" t="str">
        <f>IF(ISNUMBER(namespace_raw[[#This Row],[Column4]]), namespace_raw[[#This Row],[Column4]], "")</f>
        <v/>
      </c>
      <c r="D68" s="95" t="str">
        <f>IF(ISNUMBER(namespace_raw[[#This Row],[Column5]]), namespace_raw[[#This Row],[Column5]]/1048576, "")</f>
        <v/>
      </c>
      <c r="E68" s="95" t="str">
        <f>IF(ISNUMBER(namespace_raw[[#This Row],[Column6]]), namespace_raw[[#This Row],[Column6]],"")</f>
        <v/>
      </c>
      <c r="F68" s="96" t="str">
        <f>IF(ISNUMBER(namespace_raw[[#This Row],[Column7]]), namespace_raw[[#This Row],[Column7]]/1048576,"")</f>
        <v/>
      </c>
      <c r="G68" s="122" t="str">
        <f>IF(ISNUMBER(namespace_raw[[#This Row],[Column8]]), namespace_raw[[#This Row],[Column8]],"")</f>
        <v/>
      </c>
      <c r="H68" s="123" t="str">
        <f>IF(ISNUMBER(namespace_raw[[#This Row],[Column9]]), namespace_raw[[#This Row],[Column9]]/1048576,"")</f>
        <v/>
      </c>
      <c r="I68" s="124" t="str">
        <f>IF(ISNUMBER(namespace_raw[[#This Row],[Column8]]),MAX(G68, M68, O68, $I$2,IF(Q68&lt;&gt;"",VALUE(Q68),0)), "")</f>
        <v/>
      </c>
      <c r="J68" s="125" t="str">
        <f>IF(ISNUMBER(namespace_raw[[#This Row],[Column9]]),MAX(H68, N68, P68, $J$2,IF(R68&lt;&gt;"",VALUE(R68),0)),"")</f>
        <v/>
      </c>
      <c r="K68" s="166" t="str">
        <f>IF(ISNUMBER(namespace_raw[[#This Row],[Column12]]), namespace_raw[[#This Row],[Column12]],"")</f>
        <v/>
      </c>
      <c r="L68" s="167" t="str">
        <f>IF(ISNUMBER(namespace_raw[[#This Row],[Column13]]), namespace_raw[[#This Row],[Column13]]/1048576,"")</f>
        <v/>
      </c>
      <c r="M68" s="168" t="str">
        <f>IF(ISNUMBER(namespace_raw[[#This Row],[Column10]]), (namespace_raw[[#This Row],[Column10]]*(1+$M$2)),"")</f>
        <v/>
      </c>
      <c r="N68" s="167" t="str">
        <f>IF(ISNUMBER(namespace_raw[[#This Row],[Column11]]), (namespace_raw[[#This Row],[Column11]]*(1+$N$2))/1048576,"")</f>
        <v/>
      </c>
      <c r="O68" s="169" t="str">
        <f>IF(ISNUMBER(namespace_raw[[#This Row],[Column8]]), (E68  * $O$2),"")</f>
        <v/>
      </c>
      <c r="P68" s="170" t="str">
        <f>IF(ISNUMBER(namespace_raw[[#This Row],[Column8]]), (F68  * $P$2),"")</f>
        <v/>
      </c>
    </row>
    <row r="69" spans="1:16" ht="15" customHeight="1" x14ac:dyDescent="0.25">
      <c r="A69" s="32" t="str">
        <f>IF(ISNONTEXT(namespace_raw[[#This Row],[Column1]]), "", namespace_raw[[#This Row],[Column1]])</f>
        <v/>
      </c>
      <c r="B69" s="33" t="str">
        <f>IF(ISNONTEXT(namespace_raw[[#This Row],[Column2]]), "", namespace_raw[[#This Row],[Column2]])</f>
        <v/>
      </c>
      <c r="C69" s="94" t="str">
        <f>IF(ISNUMBER(namespace_raw[[#This Row],[Column4]]), namespace_raw[[#This Row],[Column4]], "")</f>
        <v/>
      </c>
      <c r="D69" s="95" t="str">
        <f>IF(ISNUMBER(namespace_raw[[#This Row],[Column5]]), namespace_raw[[#This Row],[Column5]]/1048576, "")</f>
        <v/>
      </c>
      <c r="E69" s="95" t="str">
        <f>IF(ISNUMBER(namespace_raw[[#This Row],[Column6]]), namespace_raw[[#This Row],[Column6]],"")</f>
        <v/>
      </c>
      <c r="F69" s="96" t="str">
        <f>IF(ISNUMBER(namespace_raw[[#This Row],[Column7]]), namespace_raw[[#This Row],[Column7]]/1048576,"")</f>
        <v/>
      </c>
      <c r="G69" s="122" t="str">
        <f>IF(ISNUMBER(namespace_raw[[#This Row],[Column8]]), namespace_raw[[#This Row],[Column8]],"")</f>
        <v/>
      </c>
      <c r="H69" s="123" t="str">
        <f>IF(ISNUMBER(namespace_raw[[#This Row],[Column9]]), namespace_raw[[#This Row],[Column9]]/1048576,"")</f>
        <v/>
      </c>
      <c r="I69" s="124" t="str">
        <f>IF(ISNUMBER(namespace_raw[[#This Row],[Column8]]),MAX(G69, M69, O69, $I$2,IF(Q69&lt;&gt;"",VALUE(Q69),0)), "")</f>
        <v/>
      </c>
      <c r="J69" s="125" t="str">
        <f>IF(ISNUMBER(namespace_raw[[#This Row],[Column9]]),MAX(H69, N69, P69, $J$2,IF(R69&lt;&gt;"",VALUE(R69),0)),"")</f>
        <v/>
      </c>
      <c r="K69" s="166" t="str">
        <f>IF(ISNUMBER(namespace_raw[[#This Row],[Column12]]), namespace_raw[[#This Row],[Column12]],"")</f>
        <v/>
      </c>
      <c r="L69" s="167" t="str">
        <f>IF(ISNUMBER(namespace_raw[[#This Row],[Column13]]), namespace_raw[[#This Row],[Column13]]/1048576,"")</f>
        <v/>
      </c>
      <c r="M69" s="168" t="str">
        <f>IF(ISNUMBER(namespace_raw[[#This Row],[Column10]]), (namespace_raw[[#This Row],[Column10]]*(1+$M$2)),"")</f>
        <v/>
      </c>
      <c r="N69" s="167" t="str">
        <f>IF(ISNUMBER(namespace_raw[[#This Row],[Column11]]), (namespace_raw[[#This Row],[Column11]]*(1+$N$2))/1048576,"")</f>
        <v/>
      </c>
      <c r="O69" s="169" t="str">
        <f>IF(ISNUMBER(namespace_raw[[#This Row],[Column8]]), (E69  * $O$2),"")</f>
        <v/>
      </c>
      <c r="P69" s="170" t="str">
        <f>IF(ISNUMBER(namespace_raw[[#This Row],[Column8]]), (F69  * $P$2),"")</f>
        <v/>
      </c>
    </row>
    <row r="70" spans="1:16" ht="15" customHeight="1" x14ac:dyDescent="0.25">
      <c r="A70" s="32" t="str">
        <f>IF(ISNONTEXT(namespace_raw[[#This Row],[Column1]]), "", namespace_raw[[#This Row],[Column1]])</f>
        <v/>
      </c>
      <c r="B70" s="33" t="str">
        <f>IF(ISNONTEXT(namespace_raw[[#This Row],[Column2]]), "", namespace_raw[[#This Row],[Column2]])</f>
        <v/>
      </c>
      <c r="C70" s="94" t="str">
        <f>IF(ISNUMBER(namespace_raw[[#This Row],[Column4]]), namespace_raw[[#This Row],[Column4]], "")</f>
        <v/>
      </c>
      <c r="D70" s="95" t="str">
        <f>IF(ISNUMBER(namespace_raw[[#This Row],[Column5]]), namespace_raw[[#This Row],[Column5]]/1048576, "")</f>
        <v/>
      </c>
      <c r="E70" s="95" t="str">
        <f>IF(ISNUMBER(namespace_raw[[#This Row],[Column6]]), namespace_raw[[#This Row],[Column6]],"")</f>
        <v/>
      </c>
      <c r="F70" s="96" t="str">
        <f>IF(ISNUMBER(namespace_raw[[#This Row],[Column7]]), namespace_raw[[#This Row],[Column7]]/1048576,"")</f>
        <v/>
      </c>
      <c r="G70" s="122" t="str">
        <f>IF(ISNUMBER(namespace_raw[[#This Row],[Column8]]), namespace_raw[[#This Row],[Column8]],"")</f>
        <v/>
      </c>
      <c r="H70" s="123" t="str">
        <f>IF(ISNUMBER(namespace_raw[[#This Row],[Column9]]), namespace_raw[[#This Row],[Column9]]/1048576,"")</f>
        <v/>
      </c>
      <c r="I70" s="124" t="str">
        <f>IF(ISNUMBER(namespace_raw[[#This Row],[Column8]]),MAX(G70, M70, O70, $I$2,IF(Q70&lt;&gt;"",VALUE(Q70),0)), "")</f>
        <v/>
      </c>
      <c r="J70" s="125" t="str">
        <f>IF(ISNUMBER(namespace_raw[[#This Row],[Column9]]),MAX(H70, N70, P70, $J$2,IF(R70&lt;&gt;"",VALUE(R70),0)),"")</f>
        <v/>
      </c>
      <c r="K70" s="166" t="str">
        <f>IF(ISNUMBER(namespace_raw[[#This Row],[Column12]]), namespace_raw[[#This Row],[Column12]],"")</f>
        <v/>
      </c>
      <c r="L70" s="167" t="str">
        <f>IF(ISNUMBER(namespace_raw[[#This Row],[Column13]]), namespace_raw[[#This Row],[Column13]]/1048576,"")</f>
        <v/>
      </c>
      <c r="M70" s="168" t="str">
        <f>IF(ISNUMBER(namespace_raw[[#This Row],[Column10]]), (namespace_raw[[#This Row],[Column10]]*(1+$M$2)),"")</f>
        <v/>
      </c>
      <c r="N70" s="167" t="str">
        <f>IF(ISNUMBER(namespace_raw[[#This Row],[Column11]]), (namespace_raw[[#This Row],[Column11]]*(1+$N$2))/1048576,"")</f>
        <v/>
      </c>
      <c r="O70" s="169" t="str">
        <f>IF(ISNUMBER(namespace_raw[[#This Row],[Column8]]), (E70  * $O$2),"")</f>
        <v/>
      </c>
      <c r="P70" s="170" t="str">
        <f>IF(ISNUMBER(namespace_raw[[#This Row],[Column8]]), (F70  * $P$2),"")</f>
        <v/>
      </c>
    </row>
    <row r="71" spans="1:16" ht="15" customHeight="1" x14ac:dyDescent="0.25">
      <c r="A71" s="32" t="str">
        <f>IF(ISNONTEXT(namespace_raw[[#This Row],[Column1]]), "", namespace_raw[[#This Row],[Column1]])</f>
        <v/>
      </c>
      <c r="B71" s="33" t="str">
        <f>IF(ISNONTEXT(namespace_raw[[#This Row],[Column2]]), "", namespace_raw[[#This Row],[Column2]])</f>
        <v/>
      </c>
      <c r="C71" s="94" t="str">
        <f>IF(ISNUMBER(namespace_raw[[#This Row],[Column4]]), namespace_raw[[#This Row],[Column4]], "")</f>
        <v/>
      </c>
      <c r="D71" s="95" t="str">
        <f>IF(ISNUMBER(namespace_raw[[#This Row],[Column5]]), namespace_raw[[#This Row],[Column5]]/1048576, "")</f>
        <v/>
      </c>
      <c r="E71" s="95" t="str">
        <f>IF(ISNUMBER(namespace_raw[[#This Row],[Column6]]), namespace_raw[[#This Row],[Column6]],"")</f>
        <v/>
      </c>
      <c r="F71" s="96" t="str">
        <f>IF(ISNUMBER(namespace_raw[[#This Row],[Column7]]), namespace_raw[[#This Row],[Column7]]/1048576,"")</f>
        <v/>
      </c>
      <c r="G71" s="122" t="str">
        <f>IF(ISNUMBER(namespace_raw[[#This Row],[Column8]]), namespace_raw[[#This Row],[Column8]],"")</f>
        <v/>
      </c>
      <c r="H71" s="123" t="str">
        <f>IF(ISNUMBER(namespace_raw[[#This Row],[Column9]]), namespace_raw[[#This Row],[Column9]]/1048576,"")</f>
        <v/>
      </c>
      <c r="I71" s="124" t="str">
        <f>IF(ISNUMBER(namespace_raw[[#This Row],[Column8]]),MAX(G71, M71, O71, $I$2,IF(Q71&lt;&gt;"",VALUE(Q71),0)), "")</f>
        <v/>
      </c>
      <c r="J71" s="125" t="str">
        <f>IF(ISNUMBER(namespace_raw[[#This Row],[Column9]]),MAX(H71, N71, P71, $J$2,IF(R71&lt;&gt;"",VALUE(R71),0)),"")</f>
        <v/>
      </c>
      <c r="K71" s="166" t="str">
        <f>IF(ISNUMBER(namespace_raw[[#This Row],[Column12]]), namespace_raw[[#This Row],[Column12]],"")</f>
        <v/>
      </c>
      <c r="L71" s="167" t="str">
        <f>IF(ISNUMBER(namespace_raw[[#This Row],[Column13]]), namespace_raw[[#This Row],[Column13]]/1048576,"")</f>
        <v/>
      </c>
      <c r="M71" s="168" t="str">
        <f>IF(ISNUMBER(namespace_raw[[#This Row],[Column10]]), (namespace_raw[[#This Row],[Column10]]*(1+$M$2)),"")</f>
        <v/>
      </c>
      <c r="N71" s="167" t="str">
        <f>IF(ISNUMBER(namespace_raw[[#This Row],[Column11]]), (namespace_raw[[#This Row],[Column11]]*(1+$N$2))/1048576,"")</f>
        <v/>
      </c>
      <c r="O71" s="169" t="str">
        <f>IF(ISNUMBER(namespace_raw[[#This Row],[Column8]]), (E71  * $O$2),"")</f>
        <v/>
      </c>
      <c r="P71" s="170" t="str">
        <f>IF(ISNUMBER(namespace_raw[[#This Row],[Column8]]), (F71  * $P$2),"")</f>
        <v/>
      </c>
    </row>
    <row r="72" spans="1:16" ht="15" customHeight="1" x14ac:dyDescent="0.25">
      <c r="A72" s="32" t="str">
        <f>IF(ISNONTEXT(namespace_raw[[#This Row],[Column1]]), "", namespace_raw[[#This Row],[Column1]])</f>
        <v/>
      </c>
      <c r="B72" s="33" t="str">
        <f>IF(ISNONTEXT(namespace_raw[[#This Row],[Column2]]), "", namespace_raw[[#This Row],[Column2]])</f>
        <v/>
      </c>
      <c r="C72" s="94" t="str">
        <f>IF(ISNUMBER(namespace_raw[[#This Row],[Column4]]), namespace_raw[[#This Row],[Column4]], "")</f>
        <v/>
      </c>
      <c r="D72" s="95" t="str">
        <f>IF(ISNUMBER(namespace_raw[[#This Row],[Column5]]), namespace_raw[[#This Row],[Column5]]/1048576, "")</f>
        <v/>
      </c>
      <c r="E72" s="95" t="str">
        <f>IF(ISNUMBER(namespace_raw[[#This Row],[Column6]]), namespace_raw[[#This Row],[Column6]],"")</f>
        <v/>
      </c>
      <c r="F72" s="96" t="str">
        <f>IF(ISNUMBER(namespace_raw[[#This Row],[Column7]]), namespace_raw[[#This Row],[Column7]]/1048576,"")</f>
        <v/>
      </c>
      <c r="G72" s="122" t="str">
        <f>IF(ISNUMBER(namespace_raw[[#This Row],[Column8]]), namespace_raw[[#This Row],[Column8]],"")</f>
        <v/>
      </c>
      <c r="H72" s="123" t="str">
        <f>IF(ISNUMBER(namespace_raw[[#This Row],[Column9]]), namespace_raw[[#This Row],[Column9]]/1048576,"")</f>
        <v/>
      </c>
      <c r="I72" s="124" t="str">
        <f>IF(ISNUMBER(namespace_raw[[#This Row],[Column8]]),MAX(G72, M72, O72, $I$2,IF(Q72&lt;&gt;"",VALUE(Q72),0)), "")</f>
        <v/>
      </c>
      <c r="J72" s="125" t="str">
        <f>IF(ISNUMBER(namespace_raw[[#This Row],[Column9]]),MAX(H72, N72, P72, $J$2,IF(R72&lt;&gt;"",VALUE(R72),0)),"")</f>
        <v/>
      </c>
      <c r="K72" s="166" t="str">
        <f>IF(ISNUMBER(namespace_raw[[#This Row],[Column12]]), namespace_raw[[#This Row],[Column12]],"")</f>
        <v/>
      </c>
      <c r="L72" s="167" t="str">
        <f>IF(ISNUMBER(namespace_raw[[#This Row],[Column13]]), namespace_raw[[#This Row],[Column13]]/1048576,"")</f>
        <v/>
      </c>
      <c r="M72" s="168" t="str">
        <f>IF(ISNUMBER(namespace_raw[[#This Row],[Column10]]), (namespace_raw[[#This Row],[Column10]]*(1+$M$2)),"")</f>
        <v/>
      </c>
      <c r="N72" s="167" t="str">
        <f>IF(ISNUMBER(namespace_raw[[#This Row],[Column11]]), (namespace_raw[[#This Row],[Column11]]*(1+$N$2))/1048576,"")</f>
        <v/>
      </c>
      <c r="O72" s="169" t="str">
        <f>IF(ISNUMBER(namespace_raw[[#This Row],[Column8]]), (E72  * $O$2),"")</f>
        <v/>
      </c>
      <c r="P72" s="170" t="str">
        <f>IF(ISNUMBER(namespace_raw[[#This Row],[Column8]]), (F72  * $P$2),"")</f>
        <v/>
      </c>
    </row>
    <row r="73" spans="1:16" ht="15" customHeight="1" x14ac:dyDescent="0.25">
      <c r="A73" s="32" t="str">
        <f>IF(ISNONTEXT(namespace_raw[[#This Row],[Column1]]), "", namespace_raw[[#This Row],[Column1]])</f>
        <v/>
      </c>
      <c r="B73" s="33" t="str">
        <f>IF(ISNONTEXT(namespace_raw[[#This Row],[Column2]]), "", namespace_raw[[#This Row],[Column2]])</f>
        <v/>
      </c>
      <c r="C73" s="94" t="str">
        <f>IF(ISNUMBER(namespace_raw[[#This Row],[Column4]]), namespace_raw[[#This Row],[Column4]], "")</f>
        <v/>
      </c>
      <c r="D73" s="95" t="str">
        <f>IF(ISNUMBER(namespace_raw[[#This Row],[Column5]]), namespace_raw[[#This Row],[Column5]]/1048576, "")</f>
        <v/>
      </c>
      <c r="E73" s="95" t="str">
        <f>IF(ISNUMBER(namespace_raw[[#This Row],[Column6]]), namespace_raw[[#This Row],[Column6]],"")</f>
        <v/>
      </c>
      <c r="F73" s="96" t="str">
        <f>IF(ISNUMBER(namespace_raw[[#This Row],[Column7]]), namespace_raw[[#This Row],[Column7]]/1048576,"")</f>
        <v/>
      </c>
      <c r="G73" s="122" t="str">
        <f>IF(ISNUMBER(namespace_raw[[#This Row],[Column8]]), namespace_raw[[#This Row],[Column8]],"")</f>
        <v/>
      </c>
      <c r="H73" s="123" t="str">
        <f>IF(ISNUMBER(namespace_raw[[#This Row],[Column9]]), namespace_raw[[#This Row],[Column9]]/1048576,"")</f>
        <v/>
      </c>
      <c r="I73" s="124" t="str">
        <f>IF(ISNUMBER(namespace_raw[[#This Row],[Column8]]),MAX(G73, M73, O73, $I$2,IF(Q73&lt;&gt;"",VALUE(Q73),0)), "")</f>
        <v/>
      </c>
      <c r="J73" s="125" t="str">
        <f>IF(ISNUMBER(namespace_raw[[#This Row],[Column9]]),MAX(H73, N73, P73, $J$2,IF(R73&lt;&gt;"",VALUE(R73),0)),"")</f>
        <v/>
      </c>
      <c r="K73" s="166" t="str">
        <f>IF(ISNUMBER(namespace_raw[[#This Row],[Column12]]), namespace_raw[[#This Row],[Column12]],"")</f>
        <v/>
      </c>
      <c r="L73" s="167" t="str">
        <f>IF(ISNUMBER(namespace_raw[[#This Row],[Column13]]), namespace_raw[[#This Row],[Column13]]/1048576,"")</f>
        <v/>
      </c>
      <c r="M73" s="168" t="str">
        <f>IF(ISNUMBER(namespace_raw[[#This Row],[Column10]]), (namespace_raw[[#This Row],[Column10]]*(1+$M$2)),"")</f>
        <v/>
      </c>
      <c r="N73" s="167" t="str">
        <f>IF(ISNUMBER(namespace_raw[[#This Row],[Column11]]), (namespace_raw[[#This Row],[Column11]]*(1+$N$2))/1048576,"")</f>
        <v/>
      </c>
      <c r="O73" s="169" t="str">
        <f>IF(ISNUMBER(namespace_raw[[#This Row],[Column8]]), (E73  * $O$2),"")</f>
        <v/>
      </c>
      <c r="P73" s="170" t="str">
        <f>IF(ISNUMBER(namespace_raw[[#This Row],[Column8]]), (F73  * $P$2),"")</f>
        <v/>
      </c>
    </row>
    <row r="74" spans="1:16" ht="15" customHeight="1" x14ac:dyDescent="0.25">
      <c r="A74" s="32" t="str">
        <f>IF(ISNONTEXT(namespace_raw[[#This Row],[Column1]]), "", namespace_raw[[#This Row],[Column1]])</f>
        <v/>
      </c>
      <c r="B74" s="33" t="str">
        <f>IF(ISNONTEXT(namespace_raw[[#This Row],[Column2]]), "", namespace_raw[[#This Row],[Column2]])</f>
        <v/>
      </c>
      <c r="C74" s="94" t="str">
        <f>IF(ISNUMBER(namespace_raw[[#This Row],[Column4]]), namespace_raw[[#This Row],[Column4]], "")</f>
        <v/>
      </c>
      <c r="D74" s="95" t="str">
        <f>IF(ISNUMBER(namespace_raw[[#This Row],[Column5]]), namespace_raw[[#This Row],[Column5]]/1048576, "")</f>
        <v/>
      </c>
      <c r="E74" s="95" t="str">
        <f>IF(ISNUMBER(namespace_raw[[#This Row],[Column6]]), namespace_raw[[#This Row],[Column6]],"")</f>
        <v/>
      </c>
      <c r="F74" s="96" t="str">
        <f>IF(ISNUMBER(namespace_raw[[#This Row],[Column7]]), namespace_raw[[#This Row],[Column7]]/1048576,"")</f>
        <v/>
      </c>
      <c r="G74" s="122" t="str">
        <f>IF(ISNUMBER(namespace_raw[[#This Row],[Column8]]), namespace_raw[[#This Row],[Column8]],"")</f>
        <v/>
      </c>
      <c r="H74" s="123" t="str">
        <f>IF(ISNUMBER(namespace_raw[[#This Row],[Column9]]), namespace_raw[[#This Row],[Column9]]/1048576,"")</f>
        <v/>
      </c>
      <c r="I74" s="124" t="str">
        <f>IF(ISNUMBER(namespace_raw[[#This Row],[Column8]]),MAX(G74, M74, O74, $I$2,IF(Q74&lt;&gt;"",VALUE(Q74),0)), "")</f>
        <v/>
      </c>
      <c r="J74" s="125" t="str">
        <f>IF(ISNUMBER(namespace_raw[[#This Row],[Column9]]),MAX(H74, N74, P74, $J$2,IF(R74&lt;&gt;"",VALUE(R74),0)),"")</f>
        <v/>
      </c>
      <c r="K74" s="166" t="str">
        <f>IF(ISNUMBER(namespace_raw[[#This Row],[Column12]]), namespace_raw[[#This Row],[Column12]],"")</f>
        <v/>
      </c>
      <c r="L74" s="167" t="str">
        <f>IF(ISNUMBER(namespace_raw[[#This Row],[Column13]]), namespace_raw[[#This Row],[Column13]]/1048576,"")</f>
        <v/>
      </c>
      <c r="M74" s="168" t="str">
        <f>IF(ISNUMBER(namespace_raw[[#This Row],[Column10]]), (namespace_raw[[#This Row],[Column10]]*(1+$M$2)),"")</f>
        <v/>
      </c>
      <c r="N74" s="167" t="str">
        <f>IF(ISNUMBER(namespace_raw[[#This Row],[Column11]]), (namespace_raw[[#This Row],[Column11]]*(1+$N$2))/1048576,"")</f>
        <v/>
      </c>
      <c r="O74" s="169" t="str">
        <f>IF(ISNUMBER(namespace_raw[[#This Row],[Column8]]), (E74  * $O$2),"")</f>
        <v/>
      </c>
      <c r="P74" s="170" t="str">
        <f>IF(ISNUMBER(namespace_raw[[#This Row],[Column8]]), (F74  * $P$2),"")</f>
        <v/>
      </c>
    </row>
    <row r="75" spans="1:16" ht="15" customHeight="1" x14ac:dyDescent="0.25">
      <c r="A75" s="32" t="str">
        <f>IF(ISNONTEXT(namespace_raw[[#This Row],[Column1]]), "", namespace_raw[[#This Row],[Column1]])</f>
        <v/>
      </c>
      <c r="B75" s="33" t="str">
        <f>IF(ISNONTEXT(namespace_raw[[#This Row],[Column2]]), "", namespace_raw[[#This Row],[Column2]])</f>
        <v/>
      </c>
      <c r="C75" s="94" t="str">
        <f>IF(ISNUMBER(namespace_raw[[#This Row],[Column4]]), namespace_raw[[#This Row],[Column4]], "")</f>
        <v/>
      </c>
      <c r="D75" s="95" t="str">
        <f>IF(ISNUMBER(namespace_raw[[#This Row],[Column5]]), namespace_raw[[#This Row],[Column5]]/1048576, "")</f>
        <v/>
      </c>
      <c r="E75" s="95" t="str">
        <f>IF(ISNUMBER(namespace_raw[[#This Row],[Column6]]), namespace_raw[[#This Row],[Column6]],"")</f>
        <v/>
      </c>
      <c r="F75" s="96" t="str">
        <f>IF(ISNUMBER(namespace_raw[[#This Row],[Column7]]), namespace_raw[[#This Row],[Column7]]/1048576,"")</f>
        <v/>
      </c>
      <c r="G75" s="122" t="str">
        <f>IF(ISNUMBER(namespace_raw[[#This Row],[Column8]]), namespace_raw[[#This Row],[Column8]],"")</f>
        <v/>
      </c>
      <c r="H75" s="123" t="str">
        <f>IF(ISNUMBER(namespace_raw[[#This Row],[Column9]]), namespace_raw[[#This Row],[Column9]]/1048576,"")</f>
        <v/>
      </c>
      <c r="I75" s="124" t="str">
        <f>IF(ISNUMBER(namespace_raw[[#This Row],[Column8]]),MAX(G75, M75, O75, $I$2,IF(Q75&lt;&gt;"",VALUE(Q75),0)), "")</f>
        <v/>
      </c>
      <c r="J75" s="125" t="str">
        <f>IF(ISNUMBER(namespace_raw[[#This Row],[Column9]]),MAX(H75, N75, P75, $J$2,IF(R75&lt;&gt;"",VALUE(R75),0)),"")</f>
        <v/>
      </c>
      <c r="K75" s="166" t="str">
        <f>IF(ISNUMBER(namespace_raw[[#This Row],[Column12]]), namespace_raw[[#This Row],[Column12]],"")</f>
        <v/>
      </c>
      <c r="L75" s="167" t="str">
        <f>IF(ISNUMBER(namespace_raw[[#This Row],[Column13]]), namespace_raw[[#This Row],[Column13]]/1048576,"")</f>
        <v/>
      </c>
      <c r="M75" s="168" t="str">
        <f>IF(ISNUMBER(namespace_raw[[#This Row],[Column10]]), (namespace_raw[[#This Row],[Column10]]*(1+$M$2)),"")</f>
        <v/>
      </c>
      <c r="N75" s="167" t="str">
        <f>IF(ISNUMBER(namespace_raw[[#This Row],[Column11]]), (namespace_raw[[#This Row],[Column11]]*(1+$N$2))/1048576,"")</f>
        <v/>
      </c>
      <c r="O75" s="169" t="str">
        <f>IF(ISNUMBER(namespace_raw[[#This Row],[Column8]]), (E75  * $O$2),"")</f>
        <v/>
      </c>
      <c r="P75" s="170" t="str">
        <f>IF(ISNUMBER(namespace_raw[[#This Row],[Column8]]), (F75  * $P$2),"")</f>
        <v/>
      </c>
    </row>
    <row r="76" spans="1:16" ht="15" customHeight="1" x14ac:dyDescent="0.25">
      <c r="A76" s="32" t="str">
        <f>IF(ISNONTEXT(namespace_raw[[#This Row],[Column1]]), "", namespace_raw[[#This Row],[Column1]])</f>
        <v/>
      </c>
      <c r="B76" s="33" t="str">
        <f>IF(ISNONTEXT(namespace_raw[[#This Row],[Column2]]), "", namespace_raw[[#This Row],[Column2]])</f>
        <v/>
      </c>
      <c r="C76" s="94" t="str">
        <f>IF(ISNUMBER(namespace_raw[[#This Row],[Column4]]), namespace_raw[[#This Row],[Column4]], "")</f>
        <v/>
      </c>
      <c r="D76" s="95" t="str">
        <f>IF(ISNUMBER(namespace_raw[[#This Row],[Column5]]), namespace_raw[[#This Row],[Column5]]/1048576, "")</f>
        <v/>
      </c>
      <c r="E76" s="95" t="str">
        <f>IF(ISNUMBER(namespace_raw[[#This Row],[Column6]]), namespace_raw[[#This Row],[Column6]],"")</f>
        <v/>
      </c>
      <c r="F76" s="96" t="str">
        <f>IF(ISNUMBER(namespace_raw[[#This Row],[Column7]]), namespace_raw[[#This Row],[Column7]]/1048576,"")</f>
        <v/>
      </c>
      <c r="G76" s="122" t="str">
        <f>IF(ISNUMBER(namespace_raw[[#This Row],[Column8]]), namespace_raw[[#This Row],[Column8]],"")</f>
        <v/>
      </c>
      <c r="H76" s="123" t="str">
        <f>IF(ISNUMBER(namespace_raw[[#This Row],[Column9]]), namespace_raw[[#This Row],[Column9]]/1048576,"")</f>
        <v/>
      </c>
      <c r="I76" s="124" t="str">
        <f>IF(ISNUMBER(namespace_raw[[#This Row],[Column8]]),MAX(G76, M76, O76, $I$2,IF(Q76&lt;&gt;"",VALUE(Q76),0)), "")</f>
        <v/>
      </c>
      <c r="J76" s="125" t="str">
        <f>IF(ISNUMBER(namespace_raw[[#This Row],[Column9]]),MAX(H76, N76, P76, $J$2,IF(R76&lt;&gt;"",VALUE(R76),0)),"")</f>
        <v/>
      </c>
      <c r="K76" s="166" t="str">
        <f>IF(ISNUMBER(namespace_raw[[#This Row],[Column12]]), namespace_raw[[#This Row],[Column12]],"")</f>
        <v/>
      </c>
      <c r="L76" s="167" t="str">
        <f>IF(ISNUMBER(namespace_raw[[#This Row],[Column13]]), namespace_raw[[#This Row],[Column13]]/1048576,"")</f>
        <v/>
      </c>
      <c r="M76" s="168" t="str">
        <f>IF(ISNUMBER(namespace_raw[[#This Row],[Column10]]), (namespace_raw[[#This Row],[Column10]]*(1+$M$2)),"")</f>
        <v/>
      </c>
      <c r="N76" s="167" t="str">
        <f>IF(ISNUMBER(namespace_raw[[#This Row],[Column11]]), (namespace_raw[[#This Row],[Column11]]*(1+$N$2))/1048576,"")</f>
        <v/>
      </c>
      <c r="O76" s="169" t="str">
        <f>IF(ISNUMBER(namespace_raw[[#This Row],[Column8]]), (E76  * $O$2),"")</f>
        <v/>
      </c>
      <c r="P76" s="170" t="str">
        <f>IF(ISNUMBER(namespace_raw[[#This Row],[Column8]]), (F76  * $P$2),"")</f>
        <v/>
      </c>
    </row>
    <row r="77" spans="1:16" ht="15" customHeight="1" x14ac:dyDescent="0.25">
      <c r="A77" s="32" t="str">
        <f>IF(ISNONTEXT(namespace_raw[[#This Row],[Column1]]), "", namespace_raw[[#This Row],[Column1]])</f>
        <v/>
      </c>
      <c r="B77" s="33" t="str">
        <f>IF(ISNONTEXT(namespace_raw[[#This Row],[Column2]]), "", namespace_raw[[#This Row],[Column2]])</f>
        <v/>
      </c>
      <c r="C77" s="94" t="str">
        <f>IF(ISNUMBER(namespace_raw[[#This Row],[Column4]]), namespace_raw[[#This Row],[Column4]], "")</f>
        <v/>
      </c>
      <c r="D77" s="95" t="str">
        <f>IF(ISNUMBER(namespace_raw[[#This Row],[Column5]]), namespace_raw[[#This Row],[Column5]]/1048576, "")</f>
        <v/>
      </c>
      <c r="E77" s="95" t="str">
        <f>IF(ISNUMBER(namespace_raw[[#This Row],[Column6]]), namespace_raw[[#This Row],[Column6]],"")</f>
        <v/>
      </c>
      <c r="F77" s="96" t="str">
        <f>IF(ISNUMBER(namespace_raw[[#This Row],[Column7]]), namespace_raw[[#This Row],[Column7]]/1048576,"")</f>
        <v/>
      </c>
      <c r="G77" s="122" t="str">
        <f>IF(ISNUMBER(namespace_raw[[#This Row],[Column8]]), namespace_raw[[#This Row],[Column8]],"")</f>
        <v/>
      </c>
      <c r="H77" s="123" t="str">
        <f>IF(ISNUMBER(namespace_raw[[#This Row],[Column9]]), namespace_raw[[#This Row],[Column9]]/1048576,"")</f>
        <v/>
      </c>
      <c r="I77" s="124" t="str">
        <f>IF(ISNUMBER(namespace_raw[[#This Row],[Column8]]),MAX(G77, M77, O77, $I$2,IF(Q77&lt;&gt;"",VALUE(Q77),0)), "")</f>
        <v/>
      </c>
      <c r="J77" s="125" t="str">
        <f>IF(ISNUMBER(namespace_raw[[#This Row],[Column9]]),MAX(H77, N77, P77, $J$2,IF(R77&lt;&gt;"",VALUE(R77),0)),"")</f>
        <v/>
      </c>
      <c r="K77" s="166" t="str">
        <f>IF(ISNUMBER(namespace_raw[[#This Row],[Column12]]), namespace_raw[[#This Row],[Column12]],"")</f>
        <v/>
      </c>
      <c r="L77" s="167" t="str">
        <f>IF(ISNUMBER(namespace_raw[[#This Row],[Column13]]), namespace_raw[[#This Row],[Column13]]/1048576,"")</f>
        <v/>
      </c>
      <c r="M77" s="168" t="str">
        <f>IF(ISNUMBER(namespace_raw[[#This Row],[Column10]]), (namespace_raw[[#This Row],[Column10]]*(1+$M$2)),"")</f>
        <v/>
      </c>
      <c r="N77" s="167" t="str">
        <f>IF(ISNUMBER(namespace_raw[[#This Row],[Column11]]), (namespace_raw[[#This Row],[Column11]]*(1+$N$2))/1048576,"")</f>
        <v/>
      </c>
      <c r="O77" s="169" t="str">
        <f>IF(ISNUMBER(namespace_raw[[#This Row],[Column8]]), (E77  * $O$2),"")</f>
        <v/>
      </c>
      <c r="P77" s="170" t="str">
        <f>IF(ISNUMBER(namespace_raw[[#This Row],[Column8]]), (F77  * $P$2),"")</f>
        <v/>
      </c>
    </row>
    <row r="78" spans="1:16" ht="15" customHeight="1" x14ac:dyDescent="0.25">
      <c r="A78" s="32" t="str">
        <f>IF(ISNONTEXT(namespace_raw[[#This Row],[Column1]]), "", namespace_raw[[#This Row],[Column1]])</f>
        <v/>
      </c>
      <c r="B78" s="33" t="str">
        <f>IF(ISNONTEXT(namespace_raw[[#This Row],[Column2]]), "", namespace_raw[[#This Row],[Column2]])</f>
        <v/>
      </c>
      <c r="C78" s="94" t="str">
        <f>IF(ISNUMBER(namespace_raw[[#This Row],[Column4]]), namespace_raw[[#This Row],[Column4]], "")</f>
        <v/>
      </c>
      <c r="D78" s="95" t="str">
        <f>IF(ISNUMBER(namespace_raw[[#This Row],[Column5]]), namespace_raw[[#This Row],[Column5]]/1048576, "")</f>
        <v/>
      </c>
      <c r="E78" s="95" t="str">
        <f>IF(ISNUMBER(namespace_raw[[#This Row],[Column6]]), namespace_raw[[#This Row],[Column6]],"")</f>
        <v/>
      </c>
      <c r="F78" s="96" t="str">
        <f>IF(ISNUMBER(namespace_raw[[#This Row],[Column7]]), namespace_raw[[#This Row],[Column7]]/1048576,"")</f>
        <v/>
      </c>
      <c r="G78" s="122" t="str">
        <f>IF(ISNUMBER(namespace_raw[[#This Row],[Column8]]), namespace_raw[[#This Row],[Column8]],"")</f>
        <v/>
      </c>
      <c r="H78" s="123" t="str">
        <f>IF(ISNUMBER(namespace_raw[[#This Row],[Column9]]), namespace_raw[[#This Row],[Column9]]/1048576,"")</f>
        <v/>
      </c>
      <c r="I78" s="124" t="str">
        <f>IF(ISNUMBER(namespace_raw[[#This Row],[Column8]]),MAX(G78, M78, O78, $I$2,IF(Q78&lt;&gt;"",VALUE(Q78),0)), "")</f>
        <v/>
      </c>
      <c r="J78" s="125" t="str">
        <f>IF(ISNUMBER(namespace_raw[[#This Row],[Column9]]),MAX(H78, N78, P78, $J$2,IF(R78&lt;&gt;"",VALUE(R78),0)),"")</f>
        <v/>
      </c>
      <c r="K78" s="166" t="str">
        <f>IF(ISNUMBER(namespace_raw[[#This Row],[Column12]]), namespace_raw[[#This Row],[Column12]],"")</f>
        <v/>
      </c>
      <c r="L78" s="167" t="str">
        <f>IF(ISNUMBER(namespace_raw[[#This Row],[Column13]]), namespace_raw[[#This Row],[Column13]]/1048576,"")</f>
        <v/>
      </c>
      <c r="M78" s="168" t="str">
        <f>IF(ISNUMBER(namespace_raw[[#This Row],[Column10]]), (namespace_raw[[#This Row],[Column10]]*(1+$M$2)),"")</f>
        <v/>
      </c>
      <c r="N78" s="167" t="str">
        <f>IF(ISNUMBER(namespace_raw[[#This Row],[Column11]]), (namespace_raw[[#This Row],[Column11]]*(1+$N$2))/1048576,"")</f>
        <v/>
      </c>
      <c r="O78" s="169" t="str">
        <f>IF(ISNUMBER(namespace_raw[[#This Row],[Column8]]), (E78  * $O$2),"")</f>
        <v/>
      </c>
      <c r="P78" s="170" t="str">
        <f>IF(ISNUMBER(namespace_raw[[#This Row],[Column8]]), (F78  * $P$2),"")</f>
        <v/>
      </c>
    </row>
    <row r="79" spans="1:16" ht="15" customHeight="1" x14ac:dyDescent="0.25">
      <c r="A79" s="32" t="str">
        <f>IF(ISNONTEXT(namespace_raw[[#This Row],[Column1]]), "", namespace_raw[[#This Row],[Column1]])</f>
        <v/>
      </c>
      <c r="B79" s="33" t="str">
        <f>IF(ISNONTEXT(namespace_raw[[#This Row],[Column2]]), "", namespace_raw[[#This Row],[Column2]])</f>
        <v/>
      </c>
      <c r="C79" s="94" t="str">
        <f>IF(ISNUMBER(namespace_raw[[#This Row],[Column4]]), namespace_raw[[#This Row],[Column4]], "")</f>
        <v/>
      </c>
      <c r="D79" s="95" t="str">
        <f>IF(ISNUMBER(namespace_raw[[#This Row],[Column5]]), namespace_raw[[#This Row],[Column5]]/1048576, "")</f>
        <v/>
      </c>
      <c r="E79" s="95" t="str">
        <f>IF(ISNUMBER(namespace_raw[[#This Row],[Column6]]), namespace_raw[[#This Row],[Column6]],"")</f>
        <v/>
      </c>
      <c r="F79" s="96" t="str">
        <f>IF(ISNUMBER(namespace_raw[[#This Row],[Column7]]), namespace_raw[[#This Row],[Column7]]/1048576,"")</f>
        <v/>
      </c>
      <c r="G79" s="122" t="str">
        <f>IF(ISNUMBER(namespace_raw[[#This Row],[Column8]]), namespace_raw[[#This Row],[Column8]],"")</f>
        <v/>
      </c>
      <c r="H79" s="123" t="str">
        <f>IF(ISNUMBER(namespace_raw[[#This Row],[Column9]]), namespace_raw[[#This Row],[Column9]]/1048576,"")</f>
        <v/>
      </c>
      <c r="I79" s="124" t="str">
        <f>IF(ISNUMBER(namespace_raw[[#This Row],[Column8]]),MAX(G79, M79, O79, $I$2,IF(Q79&lt;&gt;"",VALUE(Q79),0)), "")</f>
        <v/>
      </c>
      <c r="J79" s="125" t="str">
        <f>IF(ISNUMBER(namespace_raw[[#This Row],[Column9]]),MAX(H79, N79, P79, $J$2,IF(R79&lt;&gt;"",VALUE(R79),0)),"")</f>
        <v/>
      </c>
      <c r="K79" s="166" t="str">
        <f>IF(ISNUMBER(namespace_raw[[#This Row],[Column12]]), namespace_raw[[#This Row],[Column12]],"")</f>
        <v/>
      </c>
      <c r="L79" s="167" t="str">
        <f>IF(ISNUMBER(namespace_raw[[#This Row],[Column13]]), namespace_raw[[#This Row],[Column13]]/1048576,"")</f>
        <v/>
      </c>
      <c r="M79" s="168" t="str">
        <f>IF(ISNUMBER(namespace_raw[[#This Row],[Column10]]), (namespace_raw[[#This Row],[Column10]]*(1+$M$2)),"")</f>
        <v/>
      </c>
      <c r="N79" s="167" t="str">
        <f>IF(ISNUMBER(namespace_raw[[#This Row],[Column11]]), (namespace_raw[[#This Row],[Column11]]*(1+$N$2))/1048576,"")</f>
        <v/>
      </c>
      <c r="O79" s="169" t="str">
        <f>IF(ISNUMBER(namespace_raw[[#This Row],[Column8]]), (E79  * $O$2),"")</f>
        <v/>
      </c>
      <c r="P79" s="170" t="str">
        <f>IF(ISNUMBER(namespace_raw[[#This Row],[Column8]]), (F79  * $P$2),"")</f>
        <v/>
      </c>
    </row>
    <row r="80" spans="1:16" ht="15" customHeight="1" x14ac:dyDescent="0.25">
      <c r="A80" s="32" t="str">
        <f>IF(ISNONTEXT(namespace_raw[[#This Row],[Column1]]), "", namespace_raw[[#This Row],[Column1]])</f>
        <v/>
      </c>
      <c r="B80" s="33" t="str">
        <f>IF(ISNONTEXT(namespace_raw[[#This Row],[Column2]]), "", namespace_raw[[#This Row],[Column2]])</f>
        <v/>
      </c>
      <c r="C80" s="94" t="str">
        <f>IF(ISNUMBER(namespace_raw[[#This Row],[Column4]]), namespace_raw[[#This Row],[Column4]], "")</f>
        <v/>
      </c>
      <c r="D80" s="95" t="str">
        <f>IF(ISNUMBER(namespace_raw[[#This Row],[Column5]]), namespace_raw[[#This Row],[Column5]]/1048576, "")</f>
        <v/>
      </c>
      <c r="E80" s="95" t="str">
        <f>IF(ISNUMBER(namespace_raw[[#This Row],[Column6]]), namespace_raw[[#This Row],[Column6]],"")</f>
        <v/>
      </c>
      <c r="F80" s="96" t="str">
        <f>IF(ISNUMBER(namespace_raw[[#This Row],[Column7]]), namespace_raw[[#This Row],[Column7]]/1048576,"")</f>
        <v/>
      </c>
      <c r="G80" s="122" t="str">
        <f>IF(ISNUMBER(namespace_raw[[#This Row],[Column8]]), namespace_raw[[#This Row],[Column8]],"")</f>
        <v/>
      </c>
      <c r="H80" s="123" t="str">
        <f>IF(ISNUMBER(namespace_raw[[#This Row],[Column9]]), namespace_raw[[#This Row],[Column9]]/1048576,"")</f>
        <v/>
      </c>
      <c r="I80" s="124" t="str">
        <f>IF(ISNUMBER(namespace_raw[[#This Row],[Column8]]),MAX(G80, M80, O80, $I$2,IF(Q80&lt;&gt;"",VALUE(Q80),0)), "")</f>
        <v/>
      </c>
      <c r="J80" s="125" t="str">
        <f>IF(ISNUMBER(namespace_raw[[#This Row],[Column9]]),MAX(H80, N80, P80, $J$2,IF(R80&lt;&gt;"",VALUE(R80),0)),"")</f>
        <v/>
      </c>
      <c r="K80" s="166" t="str">
        <f>IF(ISNUMBER(namespace_raw[[#This Row],[Column12]]), namespace_raw[[#This Row],[Column12]],"")</f>
        <v/>
      </c>
      <c r="L80" s="167" t="str">
        <f>IF(ISNUMBER(namespace_raw[[#This Row],[Column13]]), namespace_raw[[#This Row],[Column13]]/1048576,"")</f>
        <v/>
      </c>
      <c r="M80" s="168" t="str">
        <f>IF(ISNUMBER(namespace_raw[[#This Row],[Column10]]), (namespace_raw[[#This Row],[Column10]]*(1+$M$2)),"")</f>
        <v/>
      </c>
      <c r="N80" s="167" t="str">
        <f>IF(ISNUMBER(namespace_raw[[#This Row],[Column11]]), (namespace_raw[[#This Row],[Column11]]*(1+$N$2))/1048576,"")</f>
        <v/>
      </c>
      <c r="O80" s="169" t="str">
        <f>IF(ISNUMBER(namespace_raw[[#This Row],[Column8]]), (E80  * $O$2),"")</f>
        <v/>
      </c>
      <c r="P80" s="170" t="str">
        <f>IF(ISNUMBER(namespace_raw[[#This Row],[Column8]]), (F80  * $P$2),"")</f>
        <v/>
      </c>
    </row>
    <row r="81" spans="1:16" ht="15" customHeight="1" x14ac:dyDescent="0.25">
      <c r="A81" s="32" t="str">
        <f>IF(ISNONTEXT(namespace_raw[[#This Row],[Column1]]), "", namespace_raw[[#This Row],[Column1]])</f>
        <v/>
      </c>
      <c r="B81" s="33" t="str">
        <f>IF(ISNONTEXT(namespace_raw[[#This Row],[Column2]]), "", namespace_raw[[#This Row],[Column2]])</f>
        <v/>
      </c>
      <c r="C81" s="94" t="str">
        <f>IF(ISNUMBER(namespace_raw[[#This Row],[Column4]]), namespace_raw[[#This Row],[Column4]], "")</f>
        <v/>
      </c>
      <c r="D81" s="95" t="str">
        <f>IF(ISNUMBER(namespace_raw[[#This Row],[Column5]]), namespace_raw[[#This Row],[Column5]]/1048576, "")</f>
        <v/>
      </c>
      <c r="E81" s="95" t="str">
        <f>IF(ISNUMBER(namespace_raw[[#This Row],[Column6]]), namespace_raw[[#This Row],[Column6]],"")</f>
        <v/>
      </c>
      <c r="F81" s="96" t="str">
        <f>IF(ISNUMBER(namespace_raw[[#This Row],[Column7]]), namespace_raw[[#This Row],[Column7]]/1048576,"")</f>
        <v/>
      </c>
      <c r="G81" s="122" t="str">
        <f>IF(ISNUMBER(namespace_raw[[#This Row],[Column8]]), namespace_raw[[#This Row],[Column8]],"")</f>
        <v/>
      </c>
      <c r="H81" s="123" t="str">
        <f>IF(ISNUMBER(namespace_raw[[#This Row],[Column9]]), namespace_raw[[#This Row],[Column9]]/1048576,"")</f>
        <v/>
      </c>
      <c r="I81" s="124" t="str">
        <f>IF(ISNUMBER(namespace_raw[[#This Row],[Column8]]),MAX(G81, M81, O81, $I$2,IF(Q81&lt;&gt;"",VALUE(Q81),0)), "")</f>
        <v/>
      </c>
      <c r="J81" s="125" t="str">
        <f>IF(ISNUMBER(namespace_raw[[#This Row],[Column9]]),MAX(H81, N81, P81, $J$2,IF(R81&lt;&gt;"",VALUE(R81),0)),"")</f>
        <v/>
      </c>
      <c r="K81" s="166" t="str">
        <f>IF(ISNUMBER(namespace_raw[[#This Row],[Column12]]), namespace_raw[[#This Row],[Column12]],"")</f>
        <v/>
      </c>
      <c r="L81" s="167" t="str">
        <f>IF(ISNUMBER(namespace_raw[[#This Row],[Column13]]), namespace_raw[[#This Row],[Column13]]/1048576,"")</f>
        <v/>
      </c>
      <c r="M81" s="168" t="str">
        <f>IF(ISNUMBER(namespace_raw[[#This Row],[Column10]]), (namespace_raw[[#This Row],[Column10]]*(1+$M$2)),"")</f>
        <v/>
      </c>
      <c r="N81" s="167" t="str">
        <f>IF(ISNUMBER(namespace_raw[[#This Row],[Column11]]), (namespace_raw[[#This Row],[Column11]]*(1+$N$2))/1048576,"")</f>
        <v/>
      </c>
      <c r="O81" s="169" t="str">
        <f>IF(ISNUMBER(namespace_raw[[#This Row],[Column8]]), (E81  * $O$2),"")</f>
        <v/>
      </c>
      <c r="P81" s="170" t="str">
        <f>IF(ISNUMBER(namespace_raw[[#This Row],[Column8]]), (F81  * $P$2),"")</f>
        <v/>
      </c>
    </row>
    <row r="82" spans="1:16" ht="15" customHeight="1" x14ac:dyDescent="0.25">
      <c r="A82" s="32" t="str">
        <f>IF(ISNONTEXT(namespace_raw[[#This Row],[Column1]]), "", namespace_raw[[#This Row],[Column1]])</f>
        <v/>
      </c>
      <c r="B82" s="33" t="str">
        <f>IF(ISNONTEXT(namespace_raw[[#This Row],[Column2]]), "", namespace_raw[[#This Row],[Column2]])</f>
        <v/>
      </c>
      <c r="C82" s="94" t="str">
        <f>IF(ISNUMBER(namespace_raw[[#This Row],[Column4]]), namespace_raw[[#This Row],[Column4]], "")</f>
        <v/>
      </c>
      <c r="D82" s="95" t="str">
        <f>IF(ISNUMBER(namespace_raw[[#This Row],[Column5]]), namespace_raw[[#This Row],[Column5]]/1048576, "")</f>
        <v/>
      </c>
      <c r="E82" s="95" t="str">
        <f>IF(ISNUMBER(namespace_raw[[#This Row],[Column6]]), namespace_raw[[#This Row],[Column6]],"")</f>
        <v/>
      </c>
      <c r="F82" s="96" t="str">
        <f>IF(ISNUMBER(namespace_raw[[#This Row],[Column7]]), namespace_raw[[#This Row],[Column7]]/1048576,"")</f>
        <v/>
      </c>
      <c r="G82" s="122" t="str">
        <f>IF(ISNUMBER(namespace_raw[[#This Row],[Column8]]), namespace_raw[[#This Row],[Column8]],"")</f>
        <v/>
      </c>
      <c r="H82" s="123" t="str">
        <f>IF(ISNUMBER(namespace_raw[[#This Row],[Column9]]), namespace_raw[[#This Row],[Column9]]/1048576,"")</f>
        <v/>
      </c>
      <c r="I82" s="124" t="str">
        <f>IF(ISNUMBER(namespace_raw[[#This Row],[Column8]]),MAX(G82, M82, O82, $I$2,IF(Q82&lt;&gt;"",VALUE(Q82),0)), "")</f>
        <v/>
      </c>
      <c r="J82" s="125" t="str">
        <f>IF(ISNUMBER(namespace_raw[[#This Row],[Column9]]),MAX(H82, N82, P82, $J$2,IF(R82&lt;&gt;"",VALUE(R82),0)),"")</f>
        <v/>
      </c>
      <c r="K82" s="166" t="str">
        <f>IF(ISNUMBER(namespace_raw[[#This Row],[Column12]]), namespace_raw[[#This Row],[Column12]],"")</f>
        <v/>
      </c>
      <c r="L82" s="167" t="str">
        <f>IF(ISNUMBER(namespace_raw[[#This Row],[Column13]]), namespace_raw[[#This Row],[Column13]]/1048576,"")</f>
        <v/>
      </c>
      <c r="M82" s="168" t="str">
        <f>IF(ISNUMBER(namespace_raw[[#This Row],[Column10]]), (namespace_raw[[#This Row],[Column10]]*(1+$M$2)),"")</f>
        <v/>
      </c>
      <c r="N82" s="167" t="str">
        <f>IF(ISNUMBER(namespace_raw[[#This Row],[Column11]]), (namespace_raw[[#This Row],[Column11]]*(1+$N$2))/1048576,"")</f>
        <v/>
      </c>
      <c r="O82" s="169" t="str">
        <f>IF(ISNUMBER(namespace_raw[[#This Row],[Column8]]), (E82  * $O$2),"")</f>
        <v/>
      </c>
      <c r="P82" s="170" t="str">
        <f>IF(ISNUMBER(namespace_raw[[#This Row],[Column8]]), (F82  * $P$2),"")</f>
        <v/>
      </c>
    </row>
    <row r="83" spans="1:16" ht="15" customHeight="1" x14ac:dyDescent="0.25">
      <c r="A83" s="32" t="str">
        <f>IF(ISNONTEXT(namespace_raw[[#This Row],[Column1]]), "", namespace_raw[[#This Row],[Column1]])</f>
        <v/>
      </c>
      <c r="B83" s="33" t="str">
        <f>IF(ISNONTEXT(namespace_raw[[#This Row],[Column2]]), "", namespace_raw[[#This Row],[Column2]])</f>
        <v/>
      </c>
      <c r="C83" s="94" t="str">
        <f>IF(ISNUMBER(namespace_raw[[#This Row],[Column4]]), namespace_raw[[#This Row],[Column4]], "")</f>
        <v/>
      </c>
      <c r="D83" s="95" t="str">
        <f>IF(ISNUMBER(namespace_raw[[#This Row],[Column5]]), namespace_raw[[#This Row],[Column5]]/1048576, "")</f>
        <v/>
      </c>
      <c r="E83" s="95" t="str">
        <f>IF(ISNUMBER(namespace_raw[[#This Row],[Column6]]), namespace_raw[[#This Row],[Column6]],"")</f>
        <v/>
      </c>
      <c r="F83" s="96" t="str">
        <f>IF(ISNUMBER(namespace_raw[[#This Row],[Column7]]), namespace_raw[[#This Row],[Column7]]/1048576,"")</f>
        <v/>
      </c>
      <c r="G83" s="122" t="str">
        <f>IF(ISNUMBER(namespace_raw[[#This Row],[Column8]]), namespace_raw[[#This Row],[Column8]],"")</f>
        <v/>
      </c>
      <c r="H83" s="123" t="str">
        <f>IF(ISNUMBER(namespace_raw[[#This Row],[Column9]]), namespace_raw[[#This Row],[Column9]]/1048576,"")</f>
        <v/>
      </c>
      <c r="I83" s="124" t="str">
        <f>IF(ISNUMBER(namespace_raw[[#This Row],[Column8]]),MAX(G83, M83, O83, $I$2,IF(Q83&lt;&gt;"",VALUE(Q83),0)), "")</f>
        <v/>
      </c>
      <c r="J83" s="125" t="str">
        <f>IF(ISNUMBER(namespace_raw[[#This Row],[Column9]]),MAX(H83, N83, P83, $J$2,IF(R83&lt;&gt;"",VALUE(R83),0)),"")</f>
        <v/>
      </c>
      <c r="K83" s="166" t="str">
        <f>IF(ISNUMBER(namespace_raw[[#This Row],[Column12]]), namespace_raw[[#This Row],[Column12]],"")</f>
        <v/>
      </c>
      <c r="L83" s="167" t="str">
        <f>IF(ISNUMBER(namespace_raw[[#This Row],[Column13]]), namespace_raw[[#This Row],[Column13]]/1048576,"")</f>
        <v/>
      </c>
      <c r="M83" s="168" t="str">
        <f>IF(ISNUMBER(namespace_raw[[#This Row],[Column10]]), (namespace_raw[[#This Row],[Column10]]*(1+$M$2)),"")</f>
        <v/>
      </c>
      <c r="N83" s="167" t="str">
        <f>IF(ISNUMBER(namespace_raw[[#This Row],[Column11]]), (namespace_raw[[#This Row],[Column11]]*(1+$N$2))/1048576,"")</f>
        <v/>
      </c>
      <c r="O83" s="169" t="str">
        <f>IF(ISNUMBER(namespace_raw[[#This Row],[Column8]]), (E83  * $O$2),"")</f>
        <v/>
      </c>
      <c r="P83" s="170" t="str">
        <f>IF(ISNUMBER(namespace_raw[[#This Row],[Column8]]), (F83  * $P$2),"")</f>
        <v/>
      </c>
    </row>
    <row r="84" spans="1:16" ht="15" customHeight="1" x14ac:dyDescent="0.25">
      <c r="A84" s="32" t="str">
        <f>IF(ISNONTEXT(namespace_raw[[#This Row],[Column1]]), "", namespace_raw[[#This Row],[Column1]])</f>
        <v/>
      </c>
      <c r="B84" s="33" t="str">
        <f>IF(ISNONTEXT(namespace_raw[[#This Row],[Column2]]), "", namespace_raw[[#This Row],[Column2]])</f>
        <v/>
      </c>
      <c r="C84" s="94" t="str">
        <f>IF(ISNUMBER(namespace_raw[[#This Row],[Column4]]), namespace_raw[[#This Row],[Column4]], "")</f>
        <v/>
      </c>
      <c r="D84" s="95" t="str">
        <f>IF(ISNUMBER(namespace_raw[[#This Row],[Column5]]), namespace_raw[[#This Row],[Column5]]/1048576, "")</f>
        <v/>
      </c>
      <c r="E84" s="95" t="str">
        <f>IF(ISNUMBER(namespace_raw[[#This Row],[Column6]]), namespace_raw[[#This Row],[Column6]],"")</f>
        <v/>
      </c>
      <c r="F84" s="96" t="str">
        <f>IF(ISNUMBER(namespace_raw[[#This Row],[Column7]]), namespace_raw[[#This Row],[Column7]]/1048576,"")</f>
        <v/>
      </c>
      <c r="G84" s="122" t="str">
        <f>IF(ISNUMBER(namespace_raw[[#This Row],[Column8]]), namespace_raw[[#This Row],[Column8]],"")</f>
        <v/>
      </c>
      <c r="H84" s="123" t="str">
        <f>IF(ISNUMBER(namespace_raw[[#This Row],[Column9]]), namespace_raw[[#This Row],[Column9]]/1048576,"")</f>
        <v/>
      </c>
      <c r="I84" s="124" t="str">
        <f>IF(ISNUMBER(namespace_raw[[#This Row],[Column8]]),MAX(G84, M84, O84, $I$2,IF(Q84&lt;&gt;"",VALUE(Q84),0)), "")</f>
        <v/>
      </c>
      <c r="J84" s="125" t="str">
        <f>IF(ISNUMBER(namespace_raw[[#This Row],[Column9]]),MAX(H84, N84, P84, $J$2,IF(R84&lt;&gt;"",VALUE(R84),0)),"")</f>
        <v/>
      </c>
      <c r="K84" s="166" t="str">
        <f>IF(ISNUMBER(namespace_raw[[#This Row],[Column12]]), namespace_raw[[#This Row],[Column12]],"")</f>
        <v/>
      </c>
      <c r="L84" s="167" t="str">
        <f>IF(ISNUMBER(namespace_raw[[#This Row],[Column13]]), namespace_raw[[#This Row],[Column13]]/1048576,"")</f>
        <v/>
      </c>
      <c r="M84" s="168" t="str">
        <f>IF(ISNUMBER(namespace_raw[[#This Row],[Column10]]), (namespace_raw[[#This Row],[Column10]]*(1+$M$2)),"")</f>
        <v/>
      </c>
      <c r="N84" s="167" t="str">
        <f>IF(ISNUMBER(namespace_raw[[#This Row],[Column11]]), (namespace_raw[[#This Row],[Column11]]*(1+$N$2))/1048576,"")</f>
        <v/>
      </c>
      <c r="O84" s="169" t="str">
        <f>IF(ISNUMBER(namespace_raw[[#This Row],[Column8]]), (E84  * $O$2),"")</f>
        <v/>
      </c>
      <c r="P84" s="170" t="str">
        <f>IF(ISNUMBER(namespace_raw[[#This Row],[Column8]]), (F84  * $P$2),"")</f>
        <v/>
      </c>
    </row>
    <row r="85" spans="1:16" ht="15" customHeight="1" x14ac:dyDescent="0.25">
      <c r="A85" s="32" t="str">
        <f>IF(ISNONTEXT(namespace_raw[[#This Row],[Column1]]), "", namespace_raw[[#This Row],[Column1]])</f>
        <v/>
      </c>
      <c r="B85" s="33" t="str">
        <f>IF(ISNONTEXT(namespace_raw[[#This Row],[Column2]]), "", namespace_raw[[#This Row],[Column2]])</f>
        <v/>
      </c>
      <c r="C85" s="94" t="str">
        <f>IF(ISNUMBER(namespace_raw[[#This Row],[Column4]]), namespace_raw[[#This Row],[Column4]], "")</f>
        <v/>
      </c>
      <c r="D85" s="95" t="str">
        <f>IF(ISNUMBER(namespace_raw[[#This Row],[Column5]]), namespace_raw[[#This Row],[Column5]]/1048576, "")</f>
        <v/>
      </c>
      <c r="E85" s="95" t="str">
        <f>IF(ISNUMBER(namespace_raw[[#This Row],[Column6]]), namespace_raw[[#This Row],[Column6]],"")</f>
        <v/>
      </c>
      <c r="F85" s="96" t="str">
        <f>IF(ISNUMBER(namespace_raw[[#This Row],[Column7]]), namespace_raw[[#This Row],[Column7]]/1048576,"")</f>
        <v/>
      </c>
      <c r="G85" s="122" t="str">
        <f>IF(ISNUMBER(namespace_raw[[#This Row],[Column8]]), namespace_raw[[#This Row],[Column8]],"")</f>
        <v/>
      </c>
      <c r="H85" s="123" t="str">
        <f>IF(ISNUMBER(namespace_raw[[#This Row],[Column9]]), namespace_raw[[#This Row],[Column9]]/1048576,"")</f>
        <v/>
      </c>
      <c r="I85" s="124" t="str">
        <f>IF(ISNUMBER(namespace_raw[[#This Row],[Column8]]),MAX(G85, M85, O85, $I$2,IF(Q85&lt;&gt;"",VALUE(Q85),0)), "")</f>
        <v/>
      </c>
      <c r="J85" s="125" t="str">
        <f>IF(ISNUMBER(namespace_raw[[#This Row],[Column9]]),MAX(H85, N85, P85, $J$2,IF(R85&lt;&gt;"",VALUE(R85),0)),"")</f>
        <v/>
      </c>
      <c r="K85" s="166" t="str">
        <f>IF(ISNUMBER(namespace_raw[[#This Row],[Column12]]), namespace_raw[[#This Row],[Column12]],"")</f>
        <v/>
      </c>
      <c r="L85" s="167" t="str">
        <f>IF(ISNUMBER(namespace_raw[[#This Row],[Column13]]), namespace_raw[[#This Row],[Column13]]/1048576,"")</f>
        <v/>
      </c>
      <c r="M85" s="168" t="str">
        <f>IF(ISNUMBER(namespace_raw[[#This Row],[Column10]]), (namespace_raw[[#This Row],[Column10]]*(1+$M$2)),"")</f>
        <v/>
      </c>
      <c r="N85" s="167" t="str">
        <f>IF(ISNUMBER(namespace_raw[[#This Row],[Column11]]), (namespace_raw[[#This Row],[Column11]]*(1+$N$2))/1048576,"")</f>
        <v/>
      </c>
      <c r="O85" s="169" t="str">
        <f>IF(ISNUMBER(namespace_raw[[#This Row],[Column8]]), (E85  * $O$2),"")</f>
        <v/>
      </c>
      <c r="P85" s="170" t="str">
        <f>IF(ISNUMBER(namespace_raw[[#This Row],[Column8]]), (F85  * $P$2),"")</f>
        <v/>
      </c>
    </row>
    <row r="86" spans="1:16" ht="15" customHeight="1" x14ac:dyDescent="0.25">
      <c r="A86" s="32" t="str">
        <f>IF(ISNONTEXT(namespace_raw[[#This Row],[Column1]]), "", namespace_raw[[#This Row],[Column1]])</f>
        <v/>
      </c>
      <c r="B86" s="33" t="str">
        <f>IF(ISNONTEXT(namespace_raw[[#This Row],[Column2]]), "", namespace_raw[[#This Row],[Column2]])</f>
        <v/>
      </c>
      <c r="C86" s="94" t="str">
        <f>IF(ISNUMBER(namespace_raw[[#This Row],[Column4]]), namespace_raw[[#This Row],[Column4]], "")</f>
        <v/>
      </c>
      <c r="D86" s="95" t="str">
        <f>IF(ISNUMBER(namespace_raw[[#This Row],[Column5]]), namespace_raw[[#This Row],[Column5]]/1048576, "")</f>
        <v/>
      </c>
      <c r="E86" s="95" t="str">
        <f>IF(ISNUMBER(namespace_raw[[#This Row],[Column6]]), namespace_raw[[#This Row],[Column6]],"")</f>
        <v/>
      </c>
      <c r="F86" s="96" t="str">
        <f>IF(ISNUMBER(namespace_raw[[#This Row],[Column7]]), namespace_raw[[#This Row],[Column7]]/1048576,"")</f>
        <v/>
      </c>
      <c r="G86" s="122" t="str">
        <f>IF(ISNUMBER(namespace_raw[[#This Row],[Column8]]), namespace_raw[[#This Row],[Column8]],"")</f>
        <v/>
      </c>
      <c r="H86" s="123" t="str">
        <f>IF(ISNUMBER(namespace_raw[[#This Row],[Column9]]), namespace_raw[[#This Row],[Column9]]/1048576,"")</f>
        <v/>
      </c>
      <c r="I86" s="124" t="str">
        <f>IF(ISNUMBER(namespace_raw[[#This Row],[Column8]]),MAX(G86, M86, O86, $I$2,IF(Q86&lt;&gt;"",VALUE(Q86),0)), "")</f>
        <v/>
      </c>
      <c r="J86" s="125" t="str">
        <f>IF(ISNUMBER(namespace_raw[[#This Row],[Column9]]),MAX(H86, N86, P86, $J$2,IF(R86&lt;&gt;"",VALUE(R86),0)),"")</f>
        <v/>
      </c>
      <c r="K86" s="166" t="str">
        <f>IF(ISNUMBER(namespace_raw[[#This Row],[Column12]]), namespace_raw[[#This Row],[Column12]],"")</f>
        <v/>
      </c>
      <c r="L86" s="167" t="str">
        <f>IF(ISNUMBER(namespace_raw[[#This Row],[Column13]]), namespace_raw[[#This Row],[Column13]]/1048576,"")</f>
        <v/>
      </c>
      <c r="M86" s="168" t="str">
        <f>IF(ISNUMBER(namespace_raw[[#This Row],[Column10]]), (namespace_raw[[#This Row],[Column10]]*(1+$M$2)),"")</f>
        <v/>
      </c>
      <c r="N86" s="167" t="str">
        <f>IF(ISNUMBER(namespace_raw[[#This Row],[Column11]]), (namespace_raw[[#This Row],[Column11]]*(1+$N$2))/1048576,"")</f>
        <v/>
      </c>
      <c r="O86" s="169" t="str">
        <f>IF(ISNUMBER(namespace_raw[[#This Row],[Column8]]), (E86  * $O$2),"")</f>
        <v/>
      </c>
      <c r="P86" s="170" t="str">
        <f>IF(ISNUMBER(namespace_raw[[#This Row],[Column8]]), (F86  * $P$2),"")</f>
        <v/>
      </c>
    </row>
    <row r="87" spans="1:16" ht="15" customHeight="1" x14ac:dyDescent="0.25">
      <c r="A87" s="32" t="str">
        <f>IF(ISNONTEXT(namespace_raw[[#This Row],[Column1]]), "", namespace_raw[[#This Row],[Column1]])</f>
        <v/>
      </c>
      <c r="B87" s="33" t="str">
        <f>IF(ISNONTEXT(namespace_raw[[#This Row],[Column2]]), "", namespace_raw[[#This Row],[Column2]])</f>
        <v/>
      </c>
      <c r="C87" s="94" t="str">
        <f>IF(ISNUMBER(namespace_raw[[#This Row],[Column4]]), namespace_raw[[#This Row],[Column4]], "")</f>
        <v/>
      </c>
      <c r="D87" s="95" t="str">
        <f>IF(ISNUMBER(namespace_raw[[#This Row],[Column5]]), namespace_raw[[#This Row],[Column5]]/1048576, "")</f>
        <v/>
      </c>
      <c r="E87" s="95" t="str">
        <f>IF(ISNUMBER(namespace_raw[[#This Row],[Column6]]), namespace_raw[[#This Row],[Column6]],"")</f>
        <v/>
      </c>
      <c r="F87" s="96" t="str">
        <f>IF(ISNUMBER(namespace_raw[[#This Row],[Column7]]), namespace_raw[[#This Row],[Column7]]/1048576,"")</f>
        <v/>
      </c>
      <c r="G87" s="122" t="str">
        <f>IF(ISNUMBER(namespace_raw[[#This Row],[Column8]]), namespace_raw[[#This Row],[Column8]],"")</f>
        <v/>
      </c>
      <c r="H87" s="123" t="str">
        <f>IF(ISNUMBER(namespace_raw[[#This Row],[Column9]]), namespace_raw[[#This Row],[Column9]]/1048576,"")</f>
        <v/>
      </c>
      <c r="I87" s="124" t="str">
        <f>IF(ISNUMBER(namespace_raw[[#This Row],[Column8]]),MAX(G87, M87, O87, $I$2,IF(Q87&lt;&gt;"",VALUE(Q87),0)), "")</f>
        <v/>
      </c>
      <c r="J87" s="125" t="str">
        <f>IF(ISNUMBER(namespace_raw[[#This Row],[Column9]]),MAX(H87, N87, P87, $J$2,IF(R87&lt;&gt;"",VALUE(R87),0)),"")</f>
        <v/>
      </c>
      <c r="K87" s="166" t="str">
        <f>IF(ISNUMBER(namespace_raw[[#This Row],[Column12]]), namespace_raw[[#This Row],[Column12]],"")</f>
        <v/>
      </c>
      <c r="L87" s="167" t="str">
        <f>IF(ISNUMBER(namespace_raw[[#This Row],[Column13]]), namespace_raw[[#This Row],[Column13]]/1048576,"")</f>
        <v/>
      </c>
      <c r="M87" s="168" t="str">
        <f>IF(ISNUMBER(namespace_raw[[#This Row],[Column10]]), (namespace_raw[[#This Row],[Column10]]*(1+$M$2)),"")</f>
        <v/>
      </c>
      <c r="N87" s="167" t="str">
        <f>IF(ISNUMBER(namespace_raw[[#This Row],[Column11]]), (namespace_raw[[#This Row],[Column11]]*(1+$N$2))/1048576,"")</f>
        <v/>
      </c>
      <c r="O87" s="169" t="str">
        <f>IF(ISNUMBER(namespace_raw[[#This Row],[Column8]]), (E87  * $O$2),"")</f>
        <v/>
      </c>
      <c r="P87" s="170" t="str">
        <f>IF(ISNUMBER(namespace_raw[[#This Row],[Column8]]), (F87  * $P$2),"")</f>
        <v/>
      </c>
    </row>
    <row r="88" spans="1:16" ht="15" customHeight="1" x14ac:dyDescent="0.25">
      <c r="A88" s="32" t="str">
        <f>IF(ISNONTEXT(namespace_raw[[#This Row],[Column1]]), "", namespace_raw[[#This Row],[Column1]])</f>
        <v/>
      </c>
      <c r="B88" s="33" t="str">
        <f>IF(ISNONTEXT(namespace_raw[[#This Row],[Column2]]), "", namespace_raw[[#This Row],[Column2]])</f>
        <v/>
      </c>
      <c r="C88" s="94" t="str">
        <f>IF(ISNUMBER(namespace_raw[[#This Row],[Column4]]), namespace_raw[[#This Row],[Column4]], "")</f>
        <v/>
      </c>
      <c r="D88" s="95" t="str">
        <f>IF(ISNUMBER(namespace_raw[[#This Row],[Column5]]), namespace_raw[[#This Row],[Column5]]/1048576, "")</f>
        <v/>
      </c>
      <c r="E88" s="95" t="str">
        <f>IF(ISNUMBER(namespace_raw[[#This Row],[Column6]]), namespace_raw[[#This Row],[Column6]],"")</f>
        <v/>
      </c>
      <c r="F88" s="96" t="str">
        <f>IF(ISNUMBER(namespace_raw[[#This Row],[Column7]]), namespace_raw[[#This Row],[Column7]]/1048576,"")</f>
        <v/>
      </c>
      <c r="G88" s="122" t="str">
        <f>IF(ISNUMBER(namespace_raw[[#This Row],[Column8]]), namespace_raw[[#This Row],[Column8]],"")</f>
        <v/>
      </c>
      <c r="H88" s="123" t="str">
        <f>IF(ISNUMBER(namespace_raw[[#This Row],[Column9]]), namespace_raw[[#This Row],[Column9]]/1048576,"")</f>
        <v/>
      </c>
      <c r="I88" s="124" t="str">
        <f>IF(ISNUMBER(namespace_raw[[#This Row],[Column8]]),MAX(G88, M88, O88, $I$2,IF(Q88&lt;&gt;"",VALUE(Q88),0)), "")</f>
        <v/>
      </c>
      <c r="J88" s="125" t="str">
        <f>IF(ISNUMBER(namespace_raw[[#This Row],[Column9]]),MAX(H88, N88, P88, $J$2,IF(R88&lt;&gt;"",VALUE(R88),0)),"")</f>
        <v/>
      </c>
      <c r="K88" s="166" t="str">
        <f>IF(ISNUMBER(namespace_raw[[#This Row],[Column12]]), namespace_raw[[#This Row],[Column12]],"")</f>
        <v/>
      </c>
      <c r="L88" s="167" t="str">
        <f>IF(ISNUMBER(namespace_raw[[#This Row],[Column13]]), namespace_raw[[#This Row],[Column13]]/1048576,"")</f>
        <v/>
      </c>
      <c r="M88" s="168" t="str">
        <f>IF(ISNUMBER(namespace_raw[[#This Row],[Column10]]), (namespace_raw[[#This Row],[Column10]]*(1+$M$2)),"")</f>
        <v/>
      </c>
      <c r="N88" s="167" t="str">
        <f>IF(ISNUMBER(namespace_raw[[#This Row],[Column11]]), (namespace_raw[[#This Row],[Column11]]*(1+$N$2))/1048576,"")</f>
        <v/>
      </c>
      <c r="O88" s="169" t="str">
        <f>IF(ISNUMBER(namespace_raw[[#This Row],[Column8]]), (E88  * $O$2),"")</f>
        <v/>
      </c>
      <c r="P88" s="170" t="str">
        <f>IF(ISNUMBER(namespace_raw[[#This Row],[Column8]]), (F88  * $P$2),"")</f>
        <v/>
      </c>
    </row>
    <row r="89" spans="1:16" ht="15" customHeight="1" x14ac:dyDescent="0.25">
      <c r="A89" s="32" t="str">
        <f>IF(ISNONTEXT(namespace_raw[[#This Row],[Column1]]), "", namespace_raw[[#This Row],[Column1]])</f>
        <v/>
      </c>
      <c r="B89" s="33" t="str">
        <f>IF(ISNONTEXT(namespace_raw[[#This Row],[Column2]]), "", namespace_raw[[#This Row],[Column2]])</f>
        <v/>
      </c>
      <c r="C89" s="94" t="str">
        <f>IF(ISNUMBER(namespace_raw[[#This Row],[Column4]]), namespace_raw[[#This Row],[Column4]], "")</f>
        <v/>
      </c>
      <c r="D89" s="95" t="str">
        <f>IF(ISNUMBER(namespace_raw[[#This Row],[Column5]]), namespace_raw[[#This Row],[Column5]]/1048576, "")</f>
        <v/>
      </c>
      <c r="E89" s="95" t="str">
        <f>IF(ISNUMBER(namespace_raw[[#This Row],[Column6]]), namespace_raw[[#This Row],[Column6]],"")</f>
        <v/>
      </c>
      <c r="F89" s="96" t="str">
        <f>IF(ISNUMBER(namespace_raw[[#This Row],[Column7]]), namespace_raw[[#This Row],[Column7]]/1048576,"")</f>
        <v/>
      </c>
      <c r="G89" s="122" t="str">
        <f>IF(ISNUMBER(namespace_raw[[#This Row],[Column8]]), namespace_raw[[#This Row],[Column8]],"")</f>
        <v/>
      </c>
      <c r="H89" s="123" t="str">
        <f>IF(ISNUMBER(namespace_raw[[#This Row],[Column9]]), namespace_raw[[#This Row],[Column9]]/1048576,"")</f>
        <v/>
      </c>
      <c r="I89" s="124" t="str">
        <f>IF(ISNUMBER(namespace_raw[[#This Row],[Column8]]),MAX(G89, M89, O89, $I$2,IF(Q89&lt;&gt;"",VALUE(Q89),0)), "")</f>
        <v/>
      </c>
      <c r="J89" s="125" t="str">
        <f>IF(ISNUMBER(namespace_raw[[#This Row],[Column9]]),MAX(H89, N89, P89, $J$2,IF(R89&lt;&gt;"",VALUE(R89),0)),"")</f>
        <v/>
      </c>
      <c r="K89" s="166" t="str">
        <f>IF(ISNUMBER(namespace_raw[[#This Row],[Column12]]), namespace_raw[[#This Row],[Column12]],"")</f>
        <v/>
      </c>
      <c r="L89" s="167" t="str">
        <f>IF(ISNUMBER(namespace_raw[[#This Row],[Column13]]), namespace_raw[[#This Row],[Column13]]/1048576,"")</f>
        <v/>
      </c>
      <c r="M89" s="168" t="str">
        <f>IF(ISNUMBER(namespace_raw[[#This Row],[Column10]]), (namespace_raw[[#This Row],[Column10]]*(1+$M$2)),"")</f>
        <v/>
      </c>
      <c r="N89" s="167" t="str">
        <f>IF(ISNUMBER(namespace_raw[[#This Row],[Column11]]), (namespace_raw[[#This Row],[Column11]]*(1+$N$2))/1048576,"")</f>
        <v/>
      </c>
      <c r="O89" s="169" t="str">
        <f>IF(ISNUMBER(namespace_raw[[#This Row],[Column8]]), (E89  * $O$2),"")</f>
        <v/>
      </c>
      <c r="P89" s="170" t="str">
        <f>IF(ISNUMBER(namespace_raw[[#This Row],[Column8]]), (F89  * $P$2),"")</f>
        <v/>
      </c>
    </row>
    <row r="90" spans="1:16" ht="15" customHeight="1" x14ac:dyDescent="0.25">
      <c r="A90" s="32" t="str">
        <f>IF(ISNONTEXT(namespace_raw[[#This Row],[Column1]]), "", namespace_raw[[#This Row],[Column1]])</f>
        <v/>
      </c>
      <c r="B90" s="33" t="str">
        <f>IF(ISNONTEXT(namespace_raw[[#This Row],[Column2]]), "", namespace_raw[[#This Row],[Column2]])</f>
        <v/>
      </c>
      <c r="C90" s="94" t="str">
        <f>IF(ISNUMBER(namespace_raw[[#This Row],[Column4]]), namespace_raw[[#This Row],[Column4]], "")</f>
        <v/>
      </c>
      <c r="D90" s="95" t="str">
        <f>IF(ISNUMBER(namespace_raw[[#This Row],[Column5]]), namespace_raw[[#This Row],[Column5]]/1048576, "")</f>
        <v/>
      </c>
      <c r="E90" s="95" t="str">
        <f>IF(ISNUMBER(namespace_raw[[#This Row],[Column6]]), namespace_raw[[#This Row],[Column6]],"")</f>
        <v/>
      </c>
      <c r="F90" s="96" t="str">
        <f>IF(ISNUMBER(namespace_raw[[#This Row],[Column7]]), namespace_raw[[#This Row],[Column7]]/1048576,"")</f>
        <v/>
      </c>
      <c r="G90" s="122" t="str">
        <f>IF(ISNUMBER(namespace_raw[[#This Row],[Column8]]), namespace_raw[[#This Row],[Column8]],"")</f>
        <v/>
      </c>
      <c r="H90" s="123" t="str">
        <f>IF(ISNUMBER(namespace_raw[[#This Row],[Column9]]), namespace_raw[[#This Row],[Column9]]/1048576,"")</f>
        <v/>
      </c>
      <c r="I90" s="124" t="str">
        <f>IF(ISNUMBER(namespace_raw[[#This Row],[Column8]]),MAX(G90, M90, O90, $I$2,IF(Q90&lt;&gt;"",VALUE(Q90),0)), "")</f>
        <v/>
      </c>
      <c r="J90" s="125" t="str">
        <f>IF(ISNUMBER(namespace_raw[[#This Row],[Column9]]),MAX(H90, N90, P90, $J$2,IF(R90&lt;&gt;"",VALUE(R90),0)),"")</f>
        <v/>
      </c>
      <c r="K90" s="166" t="str">
        <f>IF(ISNUMBER(namespace_raw[[#This Row],[Column12]]), namespace_raw[[#This Row],[Column12]],"")</f>
        <v/>
      </c>
      <c r="L90" s="167" t="str">
        <f>IF(ISNUMBER(namespace_raw[[#This Row],[Column13]]), namespace_raw[[#This Row],[Column13]]/1048576,"")</f>
        <v/>
      </c>
      <c r="M90" s="168" t="str">
        <f>IF(ISNUMBER(namespace_raw[[#This Row],[Column10]]), (namespace_raw[[#This Row],[Column10]]*(1+$M$2)),"")</f>
        <v/>
      </c>
      <c r="N90" s="167" t="str">
        <f>IF(ISNUMBER(namespace_raw[[#This Row],[Column11]]), (namespace_raw[[#This Row],[Column11]]*(1+$N$2))/1048576,"")</f>
        <v/>
      </c>
      <c r="O90" s="169" t="str">
        <f>IF(ISNUMBER(namespace_raw[[#This Row],[Column8]]), (E90  * $O$2),"")</f>
        <v/>
      </c>
      <c r="P90" s="170" t="str">
        <f>IF(ISNUMBER(namespace_raw[[#This Row],[Column8]]), (F90  * $P$2),"")</f>
        <v/>
      </c>
    </row>
    <row r="91" spans="1:16" ht="15" customHeight="1" x14ac:dyDescent="0.25">
      <c r="A91" s="32" t="str">
        <f>IF(ISNONTEXT(namespace_raw[[#This Row],[Column1]]), "", namespace_raw[[#This Row],[Column1]])</f>
        <v/>
      </c>
      <c r="B91" s="33" t="str">
        <f>IF(ISNONTEXT(namespace_raw[[#This Row],[Column2]]), "", namespace_raw[[#This Row],[Column2]])</f>
        <v/>
      </c>
      <c r="C91" s="94" t="str">
        <f>IF(ISNUMBER(namespace_raw[[#This Row],[Column4]]), namespace_raw[[#This Row],[Column4]], "")</f>
        <v/>
      </c>
      <c r="D91" s="95" t="str">
        <f>IF(ISNUMBER(namespace_raw[[#This Row],[Column5]]), namespace_raw[[#This Row],[Column5]]/1048576, "")</f>
        <v/>
      </c>
      <c r="E91" s="95" t="str">
        <f>IF(ISNUMBER(namespace_raw[[#This Row],[Column6]]), namespace_raw[[#This Row],[Column6]],"")</f>
        <v/>
      </c>
      <c r="F91" s="96" t="str">
        <f>IF(ISNUMBER(namespace_raw[[#This Row],[Column7]]), namespace_raw[[#This Row],[Column7]]/1048576,"")</f>
        <v/>
      </c>
      <c r="G91" s="122" t="str">
        <f>IF(ISNUMBER(namespace_raw[[#This Row],[Column8]]), namespace_raw[[#This Row],[Column8]],"")</f>
        <v/>
      </c>
      <c r="H91" s="123" t="str">
        <f>IF(ISNUMBER(namespace_raw[[#This Row],[Column9]]), namespace_raw[[#This Row],[Column9]]/1048576,"")</f>
        <v/>
      </c>
      <c r="I91" s="124" t="str">
        <f>IF(ISNUMBER(namespace_raw[[#This Row],[Column8]]),MAX(G91, M91, O91, $I$2,IF(Q91&lt;&gt;"",VALUE(Q91),0)), "")</f>
        <v/>
      </c>
      <c r="J91" s="125" t="str">
        <f>IF(ISNUMBER(namespace_raw[[#This Row],[Column9]]),MAX(H91, N91, P91, $J$2,IF(R91&lt;&gt;"",VALUE(R91),0)),"")</f>
        <v/>
      </c>
      <c r="K91" s="166" t="str">
        <f>IF(ISNUMBER(namespace_raw[[#This Row],[Column12]]), namespace_raw[[#This Row],[Column12]],"")</f>
        <v/>
      </c>
      <c r="L91" s="167" t="str">
        <f>IF(ISNUMBER(namespace_raw[[#This Row],[Column13]]), namespace_raw[[#This Row],[Column13]]/1048576,"")</f>
        <v/>
      </c>
      <c r="M91" s="168" t="str">
        <f>IF(ISNUMBER(namespace_raw[[#This Row],[Column10]]), (namespace_raw[[#This Row],[Column10]]*(1+$M$2)),"")</f>
        <v/>
      </c>
      <c r="N91" s="167" t="str">
        <f>IF(ISNUMBER(namespace_raw[[#This Row],[Column11]]), (namespace_raw[[#This Row],[Column11]]*(1+$N$2))/1048576,"")</f>
        <v/>
      </c>
      <c r="O91" s="169" t="str">
        <f>IF(ISNUMBER(namespace_raw[[#This Row],[Column8]]), (E91  * $O$2),"")</f>
        <v/>
      </c>
      <c r="P91" s="170" t="str">
        <f>IF(ISNUMBER(namespace_raw[[#This Row],[Column8]]), (F91  * $P$2),"")</f>
        <v/>
      </c>
    </row>
    <row r="92" spans="1:16" ht="15" customHeight="1" x14ac:dyDescent="0.25">
      <c r="A92" s="32" t="str">
        <f>IF(ISNONTEXT(namespace_raw[[#This Row],[Column1]]), "", namespace_raw[[#This Row],[Column1]])</f>
        <v/>
      </c>
      <c r="B92" s="33" t="str">
        <f>IF(ISNONTEXT(namespace_raw[[#This Row],[Column2]]), "", namespace_raw[[#This Row],[Column2]])</f>
        <v/>
      </c>
      <c r="C92" s="94" t="str">
        <f>IF(ISNUMBER(namespace_raw[[#This Row],[Column4]]), namespace_raw[[#This Row],[Column4]], "")</f>
        <v/>
      </c>
      <c r="D92" s="95" t="str">
        <f>IF(ISNUMBER(namespace_raw[[#This Row],[Column5]]), namespace_raw[[#This Row],[Column5]]/1048576, "")</f>
        <v/>
      </c>
      <c r="E92" s="95" t="str">
        <f>IF(ISNUMBER(namespace_raw[[#This Row],[Column6]]), namespace_raw[[#This Row],[Column6]],"")</f>
        <v/>
      </c>
      <c r="F92" s="96" t="str">
        <f>IF(ISNUMBER(namespace_raw[[#This Row],[Column7]]), namespace_raw[[#This Row],[Column7]]/1048576,"")</f>
        <v/>
      </c>
      <c r="G92" s="122" t="str">
        <f>IF(ISNUMBER(namespace_raw[[#This Row],[Column8]]), namespace_raw[[#This Row],[Column8]],"")</f>
        <v/>
      </c>
      <c r="H92" s="123" t="str">
        <f>IF(ISNUMBER(namespace_raw[[#This Row],[Column9]]), namespace_raw[[#This Row],[Column9]]/1048576,"")</f>
        <v/>
      </c>
      <c r="I92" s="124" t="str">
        <f>IF(ISNUMBER(namespace_raw[[#This Row],[Column8]]),MAX(G92, M92, O92, $I$2,IF(Q92&lt;&gt;"",VALUE(Q92),0)), "")</f>
        <v/>
      </c>
      <c r="J92" s="125" t="str">
        <f>IF(ISNUMBER(namespace_raw[[#This Row],[Column9]]),MAX(H92, N92, P92, $J$2,IF(R92&lt;&gt;"",VALUE(R92),0)),"")</f>
        <v/>
      </c>
      <c r="K92" s="166" t="str">
        <f>IF(ISNUMBER(namespace_raw[[#This Row],[Column12]]), namespace_raw[[#This Row],[Column12]],"")</f>
        <v/>
      </c>
      <c r="L92" s="167" t="str">
        <f>IF(ISNUMBER(namespace_raw[[#This Row],[Column13]]), namespace_raw[[#This Row],[Column13]]/1048576,"")</f>
        <v/>
      </c>
      <c r="M92" s="168" t="str">
        <f>IF(ISNUMBER(namespace_raw[[#This Row],[Column10]]), (namespace_raw[[#This Row],[Column10]]*(1+$M$2)),"")</f>
        <v/>
      </c>
      <c r="N92" s="167" t="str">
        <f>IF(ISNUMBER(namespace_raw[[#This Row],[Column11]]), (namespace_raw[[#This Row],[Column11]]*(1+$N$2))/1048576,"")</f>
        <v/>
      </c>
      <c r="O92" s="169" t="str">
        <f>IF(ISNUMBER(namespace_raw[[#This Row],[Column8]]), (E92  * $O$2),"")</f>
        <v/>
      </c>
      <c r="P92" s="170" t="str">
        <f>IF(ISNUMBER(namespace_raw[[#This Row],[Column8]]), (F92  * $P$2),"")</f>
        <v/>
      </c>
    </row>
    <row r="93" spans="1:16" ht="15" customHeight="1" x14ac:dyDescent="0.25">
      <c r="A93" s="32" t="str">
        <f>IF(ISNONTEXT(namespace_raw[[#This Row],[Column1]]), "", namespace_raw[[#This Row],[Column1]])</f>
        <v/>
      </c>
      <c r="B93" s="33" t="str">
        <f>IF(ISNONTEXT(namespace_raw[[#This Row],[Column2]]), "", namespace_raw[[#This Row],[Column2]])</f>
        <v/>
      </c>
      <c r="C93" s="94" t="str">
        <f>IF(ISNUMBER(namespace_raw[[#This Row],[Column4]]), namespace_raw[[#This Row],[Column4]], "")</f>
        <v/>
      </c>
      <c r="D93" s="95" t="str">
        <f>IF(ISNUMBER(namespace_raw[[#This Row],[Column5]]), namespace_raw[[#This Row],[Column5]]/1048576, "")</f>
        <v/>
      </c>
      <c r="E93" s="95" t="str">
        <f>IF(ISNUMBER(namespace_raw[[#This Row],[Column6]]), namespace_raw[[#This Row],[Column6]],"")</f>
        <v/>
      </c>
      <c r="F93" s="96" t="str">
        <f>IF(ISNUMBER(namespace_raw[[#This Row],[Column7]]), namespace_raw[[#This Row],[Column7]]/1048576,"")</f>
        <v/>
      </c>
      <c r="G93" s="122" t="str">
        <f>IF(ISNUMBER(namespace_raw[[#This Row],[Column8]]), namespace_raw[[#This Row],[Column8]],"")</f>
        <v/>
      </c>
      <c r="H93" s="123" t="str">
        <f>IF(ISNUMBER(namespace_raw[[#This Row],[Column9]]), namespace_raw[[#This Row],[Column9]]/1048576,"")</f>
        <v/>
      </c>
      <c r="I93" s="124" t="str">
        <f>IF(ISNUMBER(namespace_raw[[#This Row],[Column8]]),MAX(G93, M93, O93, $I$2,IF(Q93&lt;&gt;"",VALUE(Q93),0)), "")</f>
        <v/>
      </c>
      <c r="J93" s="125" t="str">
        <f>IF(ISNUMBER(namespace_raw[[#This Row],[Column9]]),MAX(H93, N93, P93, $J$2,IF(R93&lt;&gt;"",VALUE(R93),0)),"")</f>
        <v/>
      </c>
      <c r="K93" s="166" t="str">
        <f>IF(ISNUMBER(namespace_raw[[#This Row],[Column12]]), namespace_raw[[#This Row],[Column12]],"")</f>
        <v/>
      </c>
      <c r="L93" s="167" t="str">
        <f>IF(ISNUMBER(namespace_raw[[#This Row],[Column13]]), namespace_raw[[#This Row],[Column13]]/1048576,"")</f>
        <v/>
      </c>
      <c r="M93" s="168" t="str">
        <f>IF(ISNUMBER(namespace_raw[[#This Row],[Column10]]), (namespace_raw[[#This Row],[Column10]]*(1+$M$2)),"")</f>
        <v/>
      </c>
      <c r="N93" s="167" t="str">
        <f>IF(ISNUMBER(namespace_raw[[#This Row],[Column11]]), (namespace_raw[[#This Row],[Column11]]*(1+$N$2))/1048576,"")</f>
        <v/>
      </c>
      <c r="O93" s="169" t="str">
        <f>IF(ISNUMBER(namespace_raw[[#This Row],[Column8]]), (E93  * $O$2),"")</f>
        <v/>
      </c>
      <c r="P93" s="170" t="str">
        <f>IF(ISNUMBER(namespace_raw[[#This Row],[Column8]]), (F93  * $P$2),"")</f>
        <v/>
      </c>
    </row>
    <row r="94" spans="1:16" ht="15" customHeight="1" x14ac:dyDescent="0.25">
      <c r="A94" s="32" t="str">
        <f>IF(ISNONTEXT(namespace_raw[[#This Row],[Column1]]), "", namespace_raw[[#This Row],[Column1]])</f>
        <v/>
      </c>
      <c r="B94" s="33" t="str">
        <f>IF(ISNONTEXT(namespace_raw[[#This Row],[Column2]]), "", namespace_raw[[#This Row],[Column2]])</f>
        <v/>
      </c>
      <c r="C94" s="94" t="str">
        <f>IF(ISNUMBER(namespace_raw[[#This Row],[Column4]]), namespace_raw[[#This Row],[Column4]], "")</f>
        <v/>
      </c>
      <c r="D94" s="95" t="str">
        <f>IF(ISNUMBER(namespace_raw[[#This Row],[Column5]]), namespace_raw[[#This Row],[Column5]]/1048576, "")</f>
        <v/>
      </c>
      <c r="E94" s="95" t="str">
        <f>IF(ISNUMBER(namespace_raw[[#This Row],[Column6]]), namespace_raw[[#This Row],[Column6]],"")</f>
        <v/>
      </c>
      <c r="F94" s="96" t="str">
        <f>IF(ISNUMBER(namespace_raw[[#This Row],[Column7]]), namespace_raw[[#This Row],[Column7]]/1048576,"")</f>
        <v/>
      </c>
      <c r="G94" s="122" t="str">
        <f>IF(ISNUMBER(namespace_raw[[#This Row],[Column8]]), namespace_raw[[#This Row],[Column8]],"")</f>
        <v/>
      </c>
      <c r="H94" s="123" t="str">
        <f>IF(ISNUMBER(namespace_raw[[#This Row],[Column9]]), namespace_raw[[#This Row],[Column9]]/1048576,"")</f>
        <v/>
      </c>
      <c r="I94" s="124" t="str">
        <f>IF(ISNUMBER(namespace_raw[[#This Row],[Column8]]),MAX(G94, M94, O94, $I$2,IF(Q94&lt;&gt;"",VALUE(Q94),0)), "")</f>
        <v/>
      </c>
      <c r="J94" s="125" t="str">
        <f>IF(ISNUMBER(namespace_raw[[#This Row],[Column9]]),MAX(H94, N94, P94, $J$2,IF(R94&lt;&gt;"",VALUE(R94),0)),"")</f>
        <v/>
      </c>
      <c r="K94" s="166" t="str">
        <f>IF(ISNUMBER(namespace_raw[[#This Row],[Column12]]), namespace_raw[[#This Row],[Column12]],"")</f>
        <v/>
      </c>
      <c r="L94" s="167" t="str">
        <f>IF(ISNUMBER(namespace_raw[[#This Row],[Column13]]), namespace_raw[[#This Row],[Column13]]/1048576,"")</f>
        <v/>
      </c>
      <c r="M94" s="168" t="str">
        <f>IF(ISNUMBER(namespace_raw[[#This Row],[Column10]]), (namespace_raw[[#This Row],[Column10]]*(1+$M$2)),"")</f>
        <v/>
      </c>
      <c r="N94" s="167" t="str">
        <f>IF(ISNUMBER(namespace_raw[[#This Row],[Column11]]), (namespace_raw[[#This Row],[Column11]]*(1+$N$2))/1048576,"")</f>
        <v/>
      </c>
      <c r="O94" s="169" t="str">
        <f>IF(ISNUMBER(namespace_raw[[#This Row],[Column8]]), (E94  * $O$2),"")</f>
        <v/>
      </c>
      <c r="P94" s="170" t="str">
        <f>IF(ISNUMBER(namespace_raw[[#This Row],[Column8]]), (F94  * $P$2),"")</f>
        <v/>
      </c>
    </row>
    <row r="95" spans="1:16" ht="15" customHeight="1" x14ac:dyDescent="0.25">
      <c r="A95" s="32" t="str">
        <f>IF(ISNONTEXT(namespace_raw[[#This Row],[Column1]]), "", namespace_raw[[#This Row],[Column1]])</f>
        <v/>
      </c>
      <c r="B95" s="33" t="str">
        <f>IF(ISNONTEXT(namespace_raw[[#This Row],[Column2]]), "", namespace_raw[[#This Row],[Column2]])</f>
        <v/>
      </c>
      <c r="C95" s="94" t="str">
        <f>IF(ISNUMBER(namespace_raw[[#This Row],[Column4]]), namespace_raw[[#This Row],[Column4]], "")</f>
        <v/>
      </c>
      <c r="D95" s="95" t="str">
        <f>IF(ISNUMBER(namespace_raw[[#This Row],[Column5]]), namespace_raw[[#This Row],[Column5]]/1048576, "")</f>
        <v/>
      </c>
      <c r="E95" s="95" t="str">
        <f>IF(ISNUMBER(namespace_raw[[#This Row],[Column6]]), namespace_raw[[#This Row],[Column6]],"")</f>
        <v/>
      </c>
      <c r="F95" s="96" t="str">
        <f>IF(ISNUMBER(namespace_raw[[#This Row],[Column7]]), namespace_raw[[#This Row],[Column7]]/1048576,"")</f>
        <v/>
      </c>
      <c r="G95" s="122" t="str">
        <f>IF(ISNUMBER(namespace_raw[[#This Row],[Column8]]), namespace_raw[[#This Row],[Column8]],"")</f>
        <v/>
      </c>
      <c r="H95" s="123" t="str">
        <f>IF(ISNUMBER(namespace_raw[[#This Row],[Column9]]), namespace_raw[[#This Row],[Column9]]/1048576,"")</f>
        <v/>
      </c>
      <c r="I95" s="124" t="str">
        <f>IF(ISNUMBER(namespace_raw[[#This Row],[Column8]]),MAX(G95, M95, O95, $I$2,IF(Q95&lt;&gt;"",VALUE(Q95),0)), "")</f>
        <v/>
      </c>
      <c r="J95" s="125" t="str">
        <f>IF(ISNUMBER(namespace_raw[[#This Row],[Column9]]),MAX(H95, N95, P95, $J$2,IF(R95&lt;&gt;"",VALUE(R95),0)),"")</f>
        <v/>
      </c>
      <c r="K95" s="166" t="str">
        <f>IF(ISNUMBER(namespace_raw[[#This Row],[Column12]]), namespace_raw[[#This Row],[Column12]],"")</f>
        <v/>
      </c>
      <c r="L95" s="167" t="str">
        <f>IF(ISNUMBER(namespace_raw[[#This Row],[Column13]]), namespace_raw[[#This Row],[Column13]]/1048576,"")</f>
        <v/>
      </c>
      <c r="M95" s="168" t="str">
        <f>IF(ISNUMBER(namespace_raw[[#This Row],[Column10]]), (namespace_raw[[#This Row],[Column10]]*(1+$M$2)),"")</f>
        <v/>
      </c>
      <c r="N95" s="167" t="str">
        <f>IF(ISNUMBER(namespace_raw[[#This Row],[Column11]]), (namespace_raw[[#This Row],[Column11]]*(1+$N$2))/1048576,"")</f>
        <v/>
      </c>
      <c r="O95" s="169" t="str">
        <f>IF(ISNUMBER(namespace_raw[[#This Row],[Column8]]), (E95  * $O$2),"")</f>
        <v/>
      </c>
      <c r="P95" s="170" t="str">
        <f>IF(ISNUMBER(namespace_raw[[#This Row],[Column8]]), (F95  * $P$2),"")</f>
        <v/>
      </c>
    </row>
    <row r="96" spans="1:16" ht="15" customHeight="1" x14ac:dyDescent="0.25">
      <c r="A96" s="32" t="str">
        <f>IF(ISNONTEXT(namespace_raw[[#This Row],[Column1]]), "", namespace_raw[[#This Row],[Column1]])</f>
        <v/>
      </c>
      <c r="B96" s="33" t="str">
        <f>IF(ISNONTEXT(namespace_raw[[#This Row],[Column2]]), "", namespace_raw[[#This Row],[Column2]])</f>
        <v/>
      </c>
      <c r="C96" s="94" t="str">
        <f>IF(ISNUMBER(namespace_raw[[#This Row],[Column4]]), namespace_raw[[#This Row],[Column4]], "")</f>
        <v/>
      </c>
      <c r="D96" s="95" t="str">
        <f>IF(ISNUMBER(namespace_raw[[#This Row],[Column5]]), namespace_raw[[#This Row],[Column5]]/1048576, "")</f>
        <v/>
      </c>
      <c r="E96" s="95" t="str">
        <f>IF(ISNUMBER(namespace_raw[[#This Row],[Column6]]), namespace_raw[[#This Row],[Column6]],"")</f>
        <v/>
      </c>
      <c r="F96" s="96" t="str">
        <f>IF(ISNUMBER(namespace_raw[[#This Row],[Column7]]), namespace_raw[[#This Row],[Column7]]/1048576,"")</f>
        <v/>
      </c>
      <c r="G96" s="122" t="str">
        <f>IF(ISNUMBER(namespace_raw[[#This Row],[Column8]]), namespace_raw[[#This Row],[Column8]],"")</f>
        <v/>
      </c>
      <c r="H96" s="123" t="str">
        <f>IF(ISNUMBER(namespace_raw[[#This Row],[Column9]]), namespace_raw[[#This Row],[Column9]]/1048576,"")</f>
        <v/>
      </c>
      <c r="I96" s="124" t="str">
        <f>IF(ISNUMBER(namespace_raw[[#This Row],[Column8]]),MAX(G96, M96, O96, $I$2,IF(Q96&lt;&gt;"",VALUE(Q96),0)), "")</f>
        <v/>
      </c>
      <c r="J96" s="125" t="str">
        <f>IF(ISNUMBER(namespace_raw[[#This Row],[Column9]]),MAX(H96, N96, P96, $J$2,IF(R96&lt;&gt;"",VALUE(R96),0)),"")</f>
        <v/>
      </c>
      <c r="K96" s="166" t="str">
        <f>IF(ISNUMBER(namespace_raw[[#This Row],[Column12]]), namespace_raw[[#This Row],[Column12]],"")</f>
        <v/>
      </c>
      <c r="L96" s="167" t="str">
        <f>IF(ISNUMBER(namespace_raw[[#This Row],[Column13]]), namespace_raw[[#This Row],[Column13]]/1048576,"")</f>
        <v/>
      </c>
      <c r="M96" s="168" t="str">
        <f>IF(ISNUMBER(namespace_raw[[#This Row],[Column10]]), (namespace_raw[[#This Row],[Column10]]*(1+$M$2)),"")</f>
        <v/>
      </c>
      <c r="N96" s="167" t="str">
        <f>IF(ISNUMBER(namespace_raw[[#This Row],[Column11]]), (namespace_raw[[#This Row],[Column11]]*(1+$N$2))/1048576,"")</f>
        <v/>
      </c>
      <c r="O96" s="169" t="str">
        <f>IF(ISNUMBER(namespace_raw[[#This Row],[Column8]]), (E96  * $O$2),"")</f>
        <v/>
      </c>
      <c r="P96" s="170" t="str">
        <f>IF(ISNUMBER(namespace_raw[[#This Row],[Column8]]), (F96  * $P$2),"")</f>
        <v/>
      </c>
    </row>
    <row r="97" spans="1:16" ht="15" customHeight="1" x14ac:dyDescent="0.25">
      <c r="A97" s="32" t="str">
        <f>IF(ISNONTEXT(namespace_raw[[#This Row],[Column1]]), "", namespace_raw[[#This Row],[Column1]])</f>
        <v/>
      </c>
      <c r="B97" s="33" t="str">
        <f>IF(ISNONTEXT(namespace_raw[[#This Row],[Column2]]), "", namespace_raw[[#This Row],[Column2]])</f>
        <v/>
      </c>
      <c r="C97" s="94" t="str">
        <f>IF(ISNUMBER(namespace_raw[[#This Row],[Column4]]), namespace_raw[[#This Row],[Column4]], "")</f>
        <v/>
      </c>
      <c r="D97" s="95" t="str">
        <f>IF(ISNUMBER(namespace_raw[[#This Row],[Column5]]), namespace_raw[[#This Row],[Column5]]/1048576, "")</f>
        <v/>
      </c>
      <c r="E97" s="95" t="str">
        <f>IF(ISNUMBER(namespace_raw[[#This Row],[Column6]]), namespace_raw[[#This Row],[Column6]],"")</f>
        <v/>
      </c>
      <c r="F97" s="96" t="str">
        <f>IF(ISNUMBER(namespace_raw[[#This Row],[Column7]]), namespace_raw[[#This Row],[Column7]]/1048576,"")</f>
        <v/>
      </c>
      <c r="G97" s="122" t="str">
        <f>IF(ISNUMBER(namespace_raw[[#This Row],[Column8]]), namespace_raw[[#This Row],[Column8]],"")</f>
        <v/>
      </c>
      <c r="H97" s="123" t="str">
        <f>IF(ISNUMBER(namespace_raw[[#This Row],[Column9]]), namespace_raw[[#This Row],[Column9]]/1048576,"")</f>
        <v/>
      </c>
      <c r="I97" s="124" t="str">
        <f>IF(ISNUMBER(namespace_raw[[#This Row],[Column8]]),MAX(G97, M97, O97, $I$2,IF(Q97&lt;&gt;"",VALUE(Q97),0)), "")</f>
        <v/>
      </c>
      <c r="J97" s="125" t="str">
        <f>IF(ISNUMBER(namespace_raw[[#This Row],[Column9]]),MAX(H97, N97, P97, $J$2,IF(R97&lt;&gt;"",VALUE(R97),0)),"")</f>
        <v/>
      </c>
      <c r="K97" s="166" t="str">
        <f>IF(ISNUMBER(namespace_raw[[#This Row],[Column12]]), namespace_raw[[#This Row],[Column12]],"")</f>
        <v/>
      </c>
      <c r="L97" s="167" t="str">
        <f>IF(ISNUMBER(namespace_raw[[#This Row],[Column13]]), namespace_raw[[#This Row],[Column13]]/1048576,"")</f>
        <v/>
      </c>
      <c r="M97" s="168" t="str">
        <f>IF(ISNUMBER(namespace_raw[[#This Row],[Column10]]), (namespace_raw[[#This Row],[Column10]]*(1+$M$2)),"")</f>
        <v/>
      </c>
      <c r="N97" s="167" t="str">
        <f>IF(ISNUMBER(namespace_raw[[#This Row],[Column11]]), (namespace_raw[[#This Row],[Column11]]*(1+$N$2))/1048576,"")</f>
        <v/>
      </c>
      <c r="O97" s="169" t="str">
        <f>IF(ISNUMBER(namespace_raw[[#This Row],[Column8]]), (E97  * $O$2),"")</f>
        <v/>
      </c>
      <c r="P97" s="170" t="str">
        <f>IF(ISNUMBER(namespace_raw[[#This Row],[Column8]]), (F97  * $P$2),"")</f>
        <v/>
      </c>
    </row>
    <row r="98" spans="1:16" ht="15" customHeight="1" x14ac:dyDescent="0.25">
      <c r="A98" s="32" t="str">
        <f>IF(ISNONTEXT(namespace_raw[[#This Row],[Column1]]), "", namespace_raw[[#This Row],[Column1]])</f>
        <v/>
      </c>
      <c r="B98" s="33" t="str">
        <f>IF(ISNONTEXT(namespace_raw[[#This Row],[Column2]]), "", namespace_raw[[#This Row],[Column2]])</f>
        <v/>
      </c>
      <c r="C98" s="94" t="str">
        <f>IF(ISNUMBER(namespace_raw[[#This Row],[Column4]]), namespace_raw[[#This Row],[Column4]], "")</f>
        <v/>
      </c>
      <c r="D98" s="95" t="str">
        <f>IF(ISNUMBER(namespace_raw[[#This Row],[Column5]]), namespace_raw[[#This Row],[Column5]]/1048576, "")</f>
        <v/>
      </c>
      <c r="E98" s="95" t="str">
        <f>IF(ISNUMBER(namespace_raw[[#This Row],[Column6]]), namespace_raw[[#This Row],[Column6]],"")</f>
        <v/>
      </c>
      <c r="F98" s="96" t="str">
        <f>IF(ISNUMBER(namespace_raw[[#This Row],[Column7]]), namespace_raw[[#This Row],[Column7]]/1048576,"")</f>
        <v/>
      </c>
      <c r="G98" s="122" t="str">
        <f>IF(ISNUMBER(namespace_raw[[#This Row],[Column8]]), namespace_raw[[#This Row],[Column8]],"")</f>
        <v/>
      </c>
      <c r="H98" s="123" t="str">
        <f>IF(ISNUMBER(namespace_raw[[#This Row],[Column9]]), namespace_raw[[#This Row],[Column9]]/1048576,"")</f>
        <v/>
      </c>
      <c r="I98" s="124" t="str">
        <f>IF(ISNUMBER(namespace_raw[[#This Row],[Column8]]),MAX(G98, M98, O98, $I$2,IF(Q98&lt;&gt;"",VALUE(Q98),0)), "")</f>
        <v/>
      </c>
      <c r="J98" s="125" t="str">
        <f>IF(ISNUMBER(namespace_raw[[#This Row],[Column9]]),MAX(H98, N98, P98, $J$2,IF(R98&lt;&gt;"",VALUE(R98),0)),"")</f>
        <v/>
      </c>
      <c r="K98" s="166" t="str">
        <f>IF(ISNUMBER(namespace_raw[[#This Row],[Column12]]), namespace_raw[[#This Row],[Column12]],"")</f>
        <v/>
      </c>
      <c r="L98" s="167" t="str">
        <f>IF(ISNUMBER(namespace_raw[[#This Row],[Column13]]), namespace_raw[[#This Row],[Column13]]/1048576,"")</f>
        <v/>
      </c>
      <c r="M98" s="168" t="str">
        <f>IF(ISNUMBER(namespace_raw[[#This Row],[Column10]]), (namespace_raw[[#This Row],[Column10]]*(1+$M$2)),"")</f>
        <v/>
      </c>
      <c r="N98" s="167" t="str">
        <f>IF(ISNUMBER(namespace_raw[[#This Row],[Column11]]), (namespace_raw[[#This Row],[Column11]]*(1+$N$2))/1048576,"")</f>
        <v/>
      </c>
      <c r="O98" s="169" t="str">
        <f>IF(ISNUMBER(namespace_raw[[#This Row],[Column8]]), (E98  * $O$2),"")</f>
        <v/>
      </c>
      <c r="P98" s="170" t="str">
        <f>IF(ISNUMBER(namespace_raw[[#This Row],[Column8]]), (F98  * $P$2),"")</f>
        <v/>
      </c>
    </row>
    <row r="99" spans="1:16" ht="15" customHeight="1" x14ac:dyDescent="0.25">
      <c r="A99" s="32" t="str">
        <f>IF(ISNONTEXT(namespace_raw[[#This Row],[Column1]]), "", namespace_raw[[#This Row],[Column1]])</f>
        <v/>
      </c>
      <c r="B99" s="33" t="str">
        <f>IF(ISNONTEXT(namespace_raw[[#This Row],[Column2]]), "", namespace_raw[[#This Row],[Column2]])</f>
        <v/>
      </c>
      <c r="C99" s="94" t="str">
        <f>IF(ISNUMBER(namespace_raw[[#This Row],[Column4]]), namespace_raw[[#This Row],[Column4]], "")</f>
        <v/>
      </c>
      <c r="D99" s="95" t="str">
        <f>IF(ISNUMBER(namespace_raw[[#This Row],[Column5]]), namespace_raw[[#This Row],[Column5]]/1048576, "")</f>
        <v/>
      </c>
      <c r="E99" s="95" t="str">
        <f>IF(ISNUMBER(namespace_raw[[#This Row],[Column6]]), namespace_raw[[#This Row],[Column6]],"")</f>
        <v/>
      </c>
      <c r="F99" s="96" t="str">
        <f>IF(ISNUMBER(namespace_raw[[#This Row],[Column7]]), namespace_raw[[#This Row],[Column7]]/1048576,"")</f>
        <v/>
      </c>
      <c r="G99" s="122" t="str">
        <f>IF(ISNUMBER(namespace_raw[[#This Row],[Column8]]), namespace_raw[[#This Row],[Column8]],"")</f>
        <v/>
      </c>
      <c r="H99" s="123" t="str">
        <f>IF(ISNUMBER(namespace_raw[[#This Row],[Column9]]), namespace_raw[[#This Row],[Column9]]/1048576,"")</f>
        <v/>
      </c>
      <c r="I99" s="124" t="str">
        <f>IF(ISNUMBER(namespace_raw[[#This Row],[Column8]]),MAX(G99, M99, O99, $I$2,IF(Q99&lt;&gt;"",VALUE(Q99),0)), "")</f>
        <v/>
      </c>
      <c r="J99" s="125" t="str">
        <f>IF(ISNUMBER(namespace_raw[[#This Row],[Column9]]),MAX(H99, N99, P99, $J$2,IF(R99&lt;&gt;"",VALUE(R99),0)),"")</f>
        <v/>
      </c>
      <c r="K99" s="166" t="str">
        <f>IF(ISNUMBER(namespace_raw[[#This Row],[Column12]]), namespace_raw[[#This Row],[Column12]],"")</f>
        <v/>
      </c>
      <c r="L99" s="167" t="str">
        <f>IF(ISNUMBER(namespace_raw[[#This Row],[Column13]]), namespace_raw[[#This Row],[Column13]]/1048576,"")</f>
        <v/>
      </c>
      <c r="M99" s="168" t="str">
        <f>IF(ISNUMBER(namespace_raw[[#This Row],[Column10]]), (namespace_raw[[#This Row],[Column10]]*(1+$M$2)),"")</f>
        <v/>
      </c>
      <c r="N99" s="167" t="str">
        <f>IF(ISNUMBER(namespace_raw[[#This Row],[Column11]]), (namespace_raw[[#This Row],[Column11]]*(1+$N$2))/1048576,"")</f>
        <v/>
      </c>
      <c r="O99" s="169" t="str">
        <f>IF(ISNUMBER(namespace_raw[[#This Row],[Column8]]), (E99  * $O$2),"")</f>
        <v/>
      </c>
      <c r="P99" s="170" t="str">
        <f>IF(ISNUMBER(namespace_raw[[#This Row],[Column8]]), (F99  * $P$2),"")</f>
        <v/>
      </c>
    </row>
    <row r="100" spans="1:16" ht="15" customHeight="1" x14ac:dyDescent="0.25">
      <c r="A100" s="32" t="str">
        <f>IF(ISNONTEXT(namespace_raw[[#This Row],[Column1]]), "", namespace_raw[[#This Row],[Column1]])</f>
        <v/>
      </c>
      <c r="B100" s="33" t="str">
        <f>IF(ISNONTEXT(namespace_raw[[#This Row],[Column2]]), "", namespace_raw[[#This Row],[Column2]])</f>
        <v/>
      </c>
      <c r="C100" s="94" t="str">
        <f>IF(ISNUMBER(namespace_raw[[#This Row],[Column4]]), namespace_raw[[#This Row],[Column4]], "")</f>
        <v/>
      </c>
      <c r="D100" s="95" t="str">
        <f>IF(ISNUMBER(namespace_raw[[#This Row],[Column5]]), namespace_raw[[#This Row],[Column5]]/1048576, "")</f>
        <v/>
      </c>
      <c r="E100" s="95" t="str">
        <f>IF(ISNUMBER(namespace_raw[[#This Row],[Column6]]), namespace_raw[[#This Row],[Column6]],"")</f>
        <v/>
      </c>
      <c r="F100" s="96" t="str">
        <f>IF(ISNUMBER(namespace_raw[[#This Row],[Column7]]), namespace_raw[[#This Row],[Column7]]/1048576,"")</f>
        <v/>
      </c>
      <c r="G100" s="122" t="str">
        <f>IF(ISNUMBER(namespace_raw[[#This Row],[Column8]]), namespace_raw[[#This Row],[Column8]],"")</f>
        <v/>
      </c>
      <c r="H100" s="123" t="str">
        <f>IF(ISNUMBER(namespace_raw[[#This Row],[Column9]]), namespace_raw[[#This Row],[Column9]]/1048576,"")</f>
        <v/>
      </c>
      <c r="I100" s="124" t="str">
        <f>IF(ISNUMBER(namespace_raw[[#This Row],[Column8]]),MAX(G100, M100, O100, $I$2,IF(Q100&lt;&gt;"",VALUE(Q100),0)), "")</f>
        <v/>
      </c>
      <c r="J100" s="125" t="str">
        <f>IF(ISNUMBER(namespace_raw[[#This Row],[Column9]]),MAX(H100, N100, P100, $J$2,IF(R100&lt;&gt;"",VALUE(R100),0)),"")</f>
        <v/>
      </c>
      <c r="K100" s="166" t="str">
        <f>IF(ISNUMBER(namespace_raw[[#This Row],[Column12]]), namespace_raw[[#This Row],[Column12]],"")</f>
        <v/>
      </c>
      <c r="L100" s="167" t="str">
        <f>IF(ISNUMBER(namespace_raw[[#This Row],[Column13]]), namespace_raw[[#This Row],[Column13]]/1048576,"")</f>
        <v/>
      </c>
      <c r="M100" s="168" t="str">
        <f>IF(ISNUMBER(namespace_raw[[#This Row],[Column10]]), (namespace_raw[[#This Row],[Column10]]*(1+$M$2)),"")</f>
        <v/>
      </c>
      <c r="N100" s="167" t="str">
        <f>IF(ISNUMBER(namespace_raw[[#This Row],[Column11]]), (namespace_raw[[#This Row],[Column11]]*(1+$N$2))/1048576,"")</f>
        <v/>
      </c>
      <c r="O100" s="169" t="str">
        <f>IF(ISNUMBER(namespace_raw[[#This Row],[Column8]]), (E100  * $O$2),"")</f>
        <v/>
      </c>
      <c r="P100" s="170" t="str">
        <f>IF(ISNUMBER(namespace_raw[[#This Row],[Column8]]), (F100  * $P$2),"")</f>
        <v/>
      </c>
    </row>
    <row r="101" spans="1:16" ht="15" customHeight="1" x14ac:dyDescent="0.25">
      <c r="A101" s="32" t="str">
        <f>IF(ISNONTEXT(namespace_raw[[#This Row],[Column1]]), "", namespace_raw[[#This Row],[Column1]])</f>
        <v/>
      </c>
      <c r="B101" s="33" t="str">
        <f>IF(ISNONTEXT(namespace_raw[[#This Row],[Column2]]), "", namespace_raw[[#This Row],[Column2]])</f>
        <v/>
      </c>
      <c r="C101" s="94" t="str">
        <f>IF(ISNUMBER(namespace_raw[[#This Row],[Column4]]), namespace_raw[[#This Row],[Column4]], "")</f>
        <v/>
      </c>
      <c r="D101" s="95" t="str">
        <f>IF(ISNUMBER(namespace_raw[[#This Row],[Column5]]), namespace_raw[[#This Row],[Column5]]/1048576, "")</f>
        <v/>
      </c>
      <c r="E101" s="95" t="str">
        <f>IF(ISNUMBER(namespace_raw[[#This Row],[Column6]]), namespace_raw[[#This Row],[Column6]],"")</f>
        <v/>
      </c>
      <c r="F101" s="96" t="str">
        <f>IF(ISNUMBER(namespace_raw[[#This Row],[Column7]]), namespace_raw[[#This Row],[Column7]]/1048576,"")</f>
        <v/>
      </c>
      <c r="G101" s="122" t="str">
        <f>IF(ISNUMBER(namespace_raw[[#This Row],[Column8]]), namespace_raw[[#This Row],[Column8]],"")</f>
        <v/>
      </c>
      <c r="H101" s="123" t="str">
        <f>IF(ISNUMBER(namespace_raw[[#This Row],[Column9]]), namespace_raw[[#This Row],[Column9]]/1048576,"")</f>
        <v/>
      </c>
      <c r="I101" s="124" t="str">
        <f>IF(ISNUMBER(namespace_raw[[#This Row],[Column8]]),MAX(G101, M101, O101, $I$2,IF(Q101&lt;&gt;"",VALUE(Q101),0)), "")</f>
        <v/>
      </c>
      <c r="J101" s="125" t="str">
        <f>IF(ISNUMBER(namespace_raw[[#This Row],[Column9]]),MAX(H101, N101, P101, $J$2,IF(R101&lt;&gt;"",VALUE(R101),0)),"")</f>
        <v/>
      </c>
      <c r="K101" s="166" t="str">
        <f>IF(ISNUMBER(namespace_raw[[#This Row],[Column12]]), namespace_raw[[#This Row],[Column12]],"")</f>
        <v/>
      </c>
      <c r="L101" s="167" t="str">
        <f>IF(ISNUMBER(namespace_raw[[#This Row],[Column13]]), namespace_raw[[#This Row],[Column13]]/1048576,"")</f>
        <v/>
      </c>
      <c r="M101" s="168" t="str">
        <f>IF(ISNUMBER(namespace_raw[[#This Row],[Column10]]), (namespace_raw[[#This Row],[Column10]]*(1+$M$2)),"")</f>
        <v/>
      </c>
      <c r="N101" s="167" t="str">
        <f>IF(ISNUMBER(namespace_raw[[#This Row],[Column11]]), (namespace_raw[[#This Row],[Column11]]*(1+$N$2))/1048576,"")</f>
        <v/>
      </c>
      <c r="O101" s="169" t="str">
        <f>IF(ISNUMBER(namespace_raw[[#This Row],[Column8]]), (E101  * $O$2),"")</f>
        <v/>
      </c>
      <c r="P101" s="170" t="str">
        <f>IF(ISNUMBER(namespace_raw[[#This Row],[Column8]]), (F101  * $P$2),"")</f>
        <v/>
      </c>
    </row>
    <row r="102" spans="1:16" ht="15" customHeight="1" x14ac:dyDescent="0.25">
      <c r="A102" s="32" t="str">
        <f>IF(ISNONTEXT(namespace_raw[[#This Row],[Column1]]), "", namespace_raw[[#This Row],[Column1]])</f>
        <v/>
      </c>
      <c r="B102" s="33" t="str">
        <f>IF(ISNONTEXT(namespace_raw[[#This Row],[Column2]]), "", namespace_raw[[#This Row],[Column2]])</f>
        <v/>
      </c>
      <c r="C102" s="94" t="str">
        <f>IF(ISNUMBER(namespace_raw[[#This Row],[Column4]]), namespace_raw[[#This Row],[Column4]], "")</f>
        <v/>
      </c>
      <c r="D102" s="95" t="str">
        <f>IF(ISNUMBER(namespace_raw[[#This Row],[Column5]]), namespace_raw[[#This Row],[Column5]]/1048576, "")</f>
        <v/>
      </c>
      <c r="E102" s="95" t="str">
        <f>IF(ISNUMBER(namespace_raw[[#This Row],[Column6]]), namespace_raw[[#This Row],[Column6]],"")</f>
        <v/>
      </c>
      <c r="F102" s="96" t="str">
        <f>IF(ISNUMBER(namespace_raw[[#This Row],[Column7]]), namespace_raw[[#This Row],[Column7]]/1048576,"")</f>
        <v/>
      </c>
      <c r="G102" s="122" t="str">
        <f>IF(ISNUMBER(namespace_raw[[#This Row],[Column8]]), namespace_raw[[#This Row],[Column8]],"")</f>
        <v/>
      </c>
      <c r="H102" s="123" t="str">
        <f>IF(ISNUMBER(namespace_raw[[#This Row],[Column9]]), namespace_raw[[#This Row],[Column9]]/1048576,"")</f>
        <v/>
      </c>
      <c r="I102" s="124" t="str">
        <f>IF(ISNUMBER(namespace_raw[[#This Row],[Column8]]),MAX(G102, M102, O102, $I$2,IF(Q102&lt;&gt;"",VALUE(Q102),0)), "")</f>
        <v/>
      </c>
      <c r="J102" s="125" t="str">
        <f>IF(ISNUMBER(namespace_raw[[#This Row],[Column9]]),MAX(H102, N102, P102, $J$2,IF(R102&lt;&gt;"",VALUE(R102),0)),"")</f>
        <v/>
      </c>
      <c r="K102" s="166" t="str">
        <f>IF(ISNUMBER(namespace_raw[[#This Row],[Column12]]), namespace_raw[[#This Row],[Column12]],"")</f>
        <v/>
      </c>
      <c r="L102" s="167" t="str">
        <f>IF(ISNUMBER(namespace_raw[[#This Row],[Column13]]), namespace_raw[[#This Row],[Column13]]/1048576,"")</f>
        <v/>
      </c>
      <c r="M102" s="168" t="str">
        <f>IF(ISNUMBER(namespace_raw[[#This Row],[Column10]]), (namespace_raw[[#This Row],[Column10]]*(1+$M$2)),"")</f>
        <v/>
      </c>
      <c r="N102" s="167" t="str">
        <f>IF(ISNUMBER(namespace_raw[[#This Row],[Column11]]), (namespace_raw[[#This Row],[Column11]]*(1+$N$2))/1048576,"")</f>
        <v/>
      </c>
      <c r="O102" s="169" t="str">
        <f>IF(ISNUMBER(namespace_raw[[#This Row],[Column8]]), (E102  * $O$2),"")</f>
        <v/>
      </c>
      <c r="P102" s="170" t="str">
        <f>IF(ISNUMBER(namespace_raw[[#This Row],[Column8]]), (F102  * $P$2),"")</f>
        <v/>
      </c>
    </row>
    <row r="103" spans="1:16" ht="15" customHeight="1" x14ac:dyDescent="0.25">
      <c r="A103" s="32" t="str">
        <f>IF(ISNONTEXT(namespace_raw[[#This Row],[Column1]]), "", namespace_raw[[#This Row],[Column1]])</f>
        <v/>
      </c>
      <c r="B103" s="33" t="str">
        <f>IF(ISNONTEXT(namespace_raw[[#This Row],[Column2]]), "", namespace_raw[[#This Row],[Column2]])</f>
        <v/>
      </c>
      <c r="C103" s="94" t="str">
        <f>IF(ISNUMBER(namespace_raw[[#This Row],[Column4]]), namespace_raw[[#This Row],[Column4]], "")</f>
        <v/>
      </c>
      <c r="D103" s="95" t="str">
        <f>IF(ISNUMBER(namespace_raw[[#This Row],[Column5]]), namespace_raw[[#This Row],[Column5]]/1048576, "")</f>
        <v/>
      </c>
      <c r="E103" s="95" t="str">
        <f>IF(ISNUMBER(namespace_raw[[#This Row],[Column6]]), namespace_raw[[#This Row],[Column6]],"")</f>
        <v/>
      </c>
      <c r="F103" s="96" t="str">
        <f>IF(ISNUMBER(namespace_raw[[#This Row],[Column7]]), namespace_raw[[#This Row],[Column7]]/1048576,"")</f>
        <v/>
      </c>
      <c r="G103" s="122" t="str">
        <f>IF(ISNUMBER(namespace_raw[[#This Row],[Column8]]), namespace_raw[[#This Row],[Column8]],"")</f>
        <v/>
      </c>
      <c r="H103" s="123" t="str">
        <f>IF(ISNUMBER(namespace_raw[[#This Row],[Column9]]), namespace_raw[[#This Row],[Column9]]/1048576,"")</f>
        <v/>
      </c>
      <c r="I103" s="124" t="str">
        <f>IF(ISNUMBER(namespace_raw[[#This Row],[Column8]]),MAX(G103, M103, O103, $I$2,IF(Q103&lt;&gt;"",VALUE(Q103),0)), "")</f>
        <v/>
      </c>
      <c r="J103" s="125" t="str">
        <f>IF(ISNUMBER(namespace_raw[[#This Row],[Column9]]),MAX(H103, N103, P103, $J$2,IF(R103&lt;&gt;"",VALUE(R103),0)),"")</f>
        <v/>
      </c>
      <c r="K103" s="166" t="str">
        <f>IF(ISNUMBER(namespace_raw[[#This Row],[Column12]]), namespace_raw[[#This Row],[Column12]],"")</f>
        <v/>
      </c>
      <c r="L103" s="167" t="str">
        <f>IF(ISNUMBER(namespace_raw[[#This Row],[Column13]]), namespace_raw[[#This Row],[Column13]]/1048576,"")</f>
        <v/>
      </c>
      <c r="M103" s="168" t="str">
        <f>IF(ISNUMBER(namespace_raw[[#This Row],[Column10]]), (namespace_raw[[#This Row],[Column10]]*(1+$M$2)),"")</f>
        <v/>
      </c>
      <c r="N103" s="167" t="str">
        <f>IF(ISNUMBER(namespace_raw[[#This Row],[Column11]]), (namespace_raw[[#This Row],[Column11]]*(1+$N$2))/1048576,"")</f>
        <v/>
      </c>
      <c r="O103" s="169" t="str">
        <f>IF(ISNUMBER(namespace_raw[[#This Row],[Column8]]), (E103  * $O$2),"")</f>
        <v/>
      </c>
      <c r="P103" s="170" t="str">
        <f>IF(ISNUMBER(namespace_raw[[#This Row],[Column8]]), (F103  * $P$2),"")</f>
        <v/>
      </c>
    </row>
    <row r="104" spans="1:16" ht="15" customHeight="1" x14ac:dyDescent="0.25">
      <c r="A104" s="32" t="str">
        <f>IF(ISNONTEXT(namespace_raw[[#This Row],[Column1]]), "", namespace_raw[[#This Row],[Column1]])</f>
        <v/>
      </c>
      <c r="B104" s="33" t="str">
        <f>IF(ISNONTEXT(namespace_raw[[#This Row],[Column2]]), "", namespace_raw[[#This Row],[Column2]])</f>
        <v/>
      </c>
      <c r="C104" s="94" t="str">
        <f>IF(ISNUMBER(namespace_raw[[#This Row],[Column4]]), namespace_raw[[#This Row],[Column4]], "")</f>
        <v/>
      </c>
      <c r="D104" s="95" t="str">
        <f>IF(ISNUMBER(namespace_raw[[#This Row],[Column5]]), namespace_raw[[#This Row],[Column5]]/1048576, "")</f>
        <v/>
      </c>
      <c r="E104" s="95" t="str">
        <f>IF(ISNUMBER(namespace_raw[[#This Row],[Column6]]), namespace_raw[[#This Row],[Column6]],"")</f>
        <v/>
      </c>
      <c r="F104" s="96" t="str">
        <f>IF(ISNUMBER(namespace_raw[[#This Row],[Column7]]), namespace_raw[[#This Row],[Column7]]/1048576,"")</f>
        <v/>
      </c>
      <c r="G104" s="122" t="str">
        <f>IF(ISNUMBER(namespace_raw[[#This Row],[Column8]]), namespace_raw[[#This Row],[Column8]],"")</f>
        <v/>
      </c>
      <c r="H104" s="123" t="str">
        <f>IF(ISNUMBER(namespace_raw[[#This Row],[Column9]]), namespace_raw[[#This Row],[Column9]]/1048576,"")</f>
        <v/>
      </c>
      <c r="I104" s="124" t="str">
        <f>IF(ISNUMBER(namespace_raw[[#This Row],[Column8]]),MAX(G104, M104, O104, $I$2,IF(Q104&lt;&gt;"",VALUE(Q104),0)), "")</f>
        <v/>
      </c>
      <c r="J104" s="125" t="str">
        <f>IF(ISNUMBER(namespace_raw[[#This Row],[Column9]]),MAX(H104, N104, P104, $J$2,IF(R104&lt;&gt;"",VALUE(R104),0)),"")</f>
        <v/>
      </c>
      <c r="K104" s="166" t="str">
        <f>IF(ISNUMBER(namespace_raw[[#This Row],[Column12]]), namespace_raw[[#This Row],[Column12]],"")</f>
        <v/>
      </c>
      <c r="L104" s="167" t="str">
        <f>IF(ISNUMBER(namespace_raw[[#This Row],[Column13]]), namespace_raw[[#This Row],[Column13]]/1048576,"")</f>
        <v/>
      </c>
      <c r="M104" s="168" t="str">
        <f>IF(ISNUMBER(namespace_raw[[#This Row],[Column10]]), (namespace_raw[[#This Row],[Column10]]*(1+$M$2)),"")</f>
        <v/>
      </c>
      <c r="N104" s="167" t="str">
        <f>IF(ISNUMBER(namespace_raw[[#This Row],[Column11]]), (namespace_raw[[#This Row],[Column11]]*(1+$N$2))/1048576,"")</f>
        <v/>
      </c>
      <c r="O104" s="169" t="str">
        <f>IF(ISNUMBER(namespace_raw[[#This Row],[Column8]]), (E104  * $O$2),"")</f>
        <v/>
      </c>
      <c r="P104" s="170" t="str">
        <f>IF(ISNUMBER(namespace_raw[[#This Row],[Column8]]), (F104  * $P$2),"")</f>
        <v/>
      </c>
    </row>
    <row r="105" spans="1:16" ht="15" customHeight="1" x14ac:dyDescent="0.25">
      <c r="A105" s="32" t="str">
        <f>IF(ISNONTEXT(namespace_raw[[#This Row],[Column1]]), "", namespace_raw[[#This Row],[Column1]])</f>
        <v/>
      </c>
      <c r="B105" s="33" t="str">
        <f>IF(ISNONTEXT(namespace_raw[[#This Row],[Column2]]), "", namespace_raw[[#This Row],[Column2]])</f>
        <v/>
      </c>
      <c r="C105" s="94" t="str">
        <f>IF(ISNUMBER(namespace_raw[[#This Row],[Column4]]), namespace_raw[[#This Row],[Column4]], "")</f>
        <v/>
      </c>
      <c r="D105" s="95" t="str">
        <f>IF(ISNUMBER(namespace_raw[[#This Row],[Column5]]), namespace_raw[[#This Row],[Column5]]/1048576, "")</f>
        <v/>
      </c>
      <c r="E105" s="95" t="str">
        <f>IF(ISNUMBER(namespace_raw[[#This Row],[Column6]]), namespace_raw[[#This Row],[Column6]],"")</f>
        <v/>
      </c>
      <c r="F105" s="96" t="str">
        <f>IF(ISNUMBER(namespace_raw[[#This Row],[Column7]]), namespace_raw[[#This Row],[Column7]]/1048576,"")</f>
        <v/>
      </c>
      <c r="G105" s="122" t="str">
        <f>IF(ISNUMBER(namespace_raw[[#This Row],[Column8]]), namespace_raw[[#This Row],[Column8]],"")</f>
        <v/>
      </c>
      <c r="H105" s="123" t="str">
        <f>IF(ISNUMBER(namespace_raw[[#This Row],[Column9]]), namespace_raw[[#This Row],[Column9]]/1048576,"")</f>
        <v/>
      </c>
      <c r="I105" s="124" t="str">
        <f>IF(ISNUMBER(namespace_raw[[#This Row],[Column8]]),MAX(G105, M105, O105, $I$2,IF(Q105&lt;&gt;"",VALUE(Q105),0)), "")</f>
        <v/>
      </c>
      <c r="J105" s="125" t="str">
        <f>IF(ISNUMBER(namespace_raw[[#This Row],[Column9]]),MAX(H105, N105, P105, $J$2,IF(R105&lt;&gt;"",VALUE(R105),0)),"")</f>
        <v/>
      </c>
      <c r="K105" s="166" t="str">
        <f>IF(ISNUMBER(namespace_raw[[#This Row],[Column12]]), namespace_raw[[#This Row],[Column12]],"")</f>
        <v/>
      </c>
      <c r="L105" s="167" t="str">
        <f>IF(ISNUMBER(namespace_raw[[#This Row],[Column13]]), namespace_raw[[#This Row],[Column13]]/1048576,"")</f>
        <v/>
      </c>
      <c r="M105" s="168" t="str">
        <f>IF(ISNUMBER(namespace_raw[[#This Row],[Column10]]), (namespace_raw[[#This Row],[Column10]]*(1+$M$2)),"")</f>
        <v/>
      </c>
      <c r="N105" s="167" t="str">
        <f>IF(ISNUMBER(namespace_raw[[#This Row],[Column11]]), (namespace_raw[[#This Row],[Column11]]*(1+$N$2))/1048576,"")</f>
        <v/>
      </c>
      <c r="O105" s="169" t="str">
        <f>IF(ISNUMBER(namespace_raw[[#This Row],[Column8]]), (E105  * $O$2),"")</f>
        <v/>
      </c>
      <c r="P105" s="170" t="str">
        <f>IF(ISNUMBER(namespace_raw[[#This Row],[Column8]]), (F105  * $P$2),"")</f>
        <v/>
      </c>
    </row>
    <row r="106" spans="1:16" ht="15" customHeight="1" x14ac:dyDescent="0.25">
      <c r="A106" s="32" t="str">
        <f>IF(ISNONTEXT(namespace_raw[[#This Row],[Column1]]), "", namespace_raw[[#This Row],[Column1]])</f>
        <v/>
      </c>
      <c r="B106" s="33" t="str">
        <f>IF(ISNONTEXT(namespace_raw[[#This Row],[Column2]]), "", namespace_raw[[#This Row],[Column2]])</f>
        <v/>
      </c>
      <c r="C106" s="94" t="str">
        <f>IF(ISNUMBER(namespace_raw[[#This Row],[Column4]]), namespace_raw[[#This Row],[Column4]], "")</f>
        <v/>
      </c>
      <c r="D106" s="95" t="str">
        <f>IF(ISNUMBER(namespace_raw[[#This Row],[Column5]]), namespace_raw[[#This Row],[Column5]]/1048576, "")</f>
        <v/>
      </c>
      <c r="E106" s="95" t="str">
        <f>IF(ISNUMBER(namespace_raw[[#This Row],[Column6]]), namespace_raw[[#This Row],[Column6]],"")</f>
        <v/>
      </c>
      <c r="F106" s="96" t="str">
        <f>IF(ISNUMBER(namespace_raw[[#This Row],[Column7]]), namespace_raw[[#This Row],[Column7]]/1048576,"")</f>
        <v/>
      </c>
      <c r="G106" s="122" t="str">
        <f>IF(ISNUMBER(namespace_raw[[#This Row],[Column8]]), namespace_raw[[#This Row],[Column8]],"")</f>
        <v/>
      </c>
      <c r="H106" s="123" t="str">
        <f>IF(ISNUMBER(namespace_raw[[#This Row],[Column9]]), namespace_raw[[#This Row],[Column9]]/1048576,"")</f>
        <v/>
      </c>
      <c r="I106" s="124" t="str">
        <f>IF(ISNUMBER(namespace_raw[[#This Row],[Column8]]),MAX(G106, M106, O106, $I$2,IF(Q106&lt;&gt;"",VALUE(Q106),0)), "")</f>
        <v/>
      </c>
      <c r="J106" s="125" t="str">
        <f>IF(ISNUMBER(namespace_raw[[#This Row],[Column9]]),MAX(H106, N106, P106, $J$2,IF(R106&lt;&gt;"",VALUE(R106),0)),"")</f>
        <v/>
      </c>
      <c r="K106" s="166" t="str">
        <f>IF(ISNUMBER(namespace_raw[[#This Row],[Column12]]), namespace_raw[[#This Row],[Column12]],"")</f>
        <v/>
      </c>
      <c r="L106" s="167" t="str">
        <f>IF(ISNUMBER(namespace_raw[[#This Row],[Column13]]), namespace_raw[[#This Row],[Column13]]/1048576,"")</f>
        <v/>
      </c>
      <c r="M106" s="168" t="str">
        <f>IF(ISNUMBER(namespace_raw[[#This Row],[Column10]]), (namespace_raw[[#This Row],[Column10]]*(1+$M$2)),"")</f>
        <v/>
      </c>
      <c r="N106" s="167" t="str">
        <f>IF(ISNUMBER(namespace_raw[[#This Row],[Column11]]), (namespace_raw[[#This Row],[Column11]]*(1+$N$2))/1048576,"")</f>
        <v/>
      </c>
      <c r="O106" s="169" t="str">
        <f>IF(ISNUMBER(namespace_raw[[#This Row],[Column8]]), (E106  * $O$2),"")</f>
        <v/>
      </c>
      <c r="P106" s="170" t="str">
        <f>IF(ISNUMBER(namespace_raw[[#This Row],[Column8]]), (F106  * $P$2),"")</f>
        <v/>
      </c>
    </row>
    <row r="107" spans="1:16" ht="15" customHeight="1" x14ac:dyDescent="0.25">
      <c r="A107" s="32" t="str">
        <f>IF(ISNONTEXT(namespace_raw[[#This Row],[Column1]]), "", namespace_raw[[#This Row],[Column1]])</f>
        <v/>
      </c>
      <c r="B107" s="33" t="str">
        <f>IF(ISNONTEXT(namespace_raw[[#This Row],[Column2]]), "", namespace_raw[[#This Row],[Column2]])</f>
        <v/>
      </c>
      <c r="C107" s="94" t="str">
        <f>IF(ISNUMBER(namespace_raw[[#This Row],[Column4]]), namespace_raw[[#This Row],[Column4]], "")</f>
        <v/>
      </c>
      <c r="D107" s="95" t="str">
        <f>IF(ISNUMBER(namespace_raw[[#This Row],[Column5]]), namespace_raw[[#This Row],[Column5]]/1048576, "")</f>
        <v/>
      </c>
      <c r="E107" s="95" t="str">
        <f>IF(ISNUMBER(namespace_raw[[#This Row],[Column6]]), namespace_raw[[#This Row],[Column6]],"")</f>
        <v/>
      </c>
      <c r="F107" s="96" t="str">
        <f>IF(ISNUMBER(namespace_raw[[#This Row],[Column7]]), namespace_raw[[#This Row],[Column7]]/1048576,"")</f>
        <v/>
      </c>
      <c r="G107" s="122" t="str">
        <f>IF(ISNUMBER(namespace_raw[[#This Row],[Column8]]), namespace_raw[[#This Row],[Column8]],"")</f>
        <v/>
      </c>
      <c r="H107" s="123" t="str">
        <f>IF(ISNUMBER(namespace_raw[[#This Row],[Column9]]), namespace_raw[[#This Row],[Column9]]/1048576,"")</f>
        <v/>
      </c>
      <c r="I107" s="124" t="str">
        <f>IF(ISNUMBER(namespace_raw[[#This Row],[Column8]]),MAX(G107, M107, O107, $I$2,IF(Q107&lt;&gt;"",VALUE(Q107),0)), "")</f>
        <v/>
      </c>
      <c r="J107" s="125" t="str">
        <f>IF(ISNUMBER(namespace_raw[[#This Row],[Column9]]),MAX(H107, N107, P107, $J$2,IF(R107&lt;&gt;"",VALUE(R107),0)),"")</f>
        <v/>
      </c>
      <c r="K107" s="166" t="str">
        <f>IF(ISNUMBER(namespace_raw[[#This Row],[Column12]]), namespace_raw[[#This Row],[Column12]],"")</f>
        <v/>
      </c>
      <c r="L107" s="167" t="str">
        <f>IF(ISNUMBER(namespace_raw[[#This Row],[Column13]]), namespace_raw[[#This Row],[Column13]]/1048576,"")</f>
        <v/>
      </c>
      <c r="M107" s="168" t="str">
        <f>IF(ISNUMBER(namespace_raw[[#This Row],[Column10]]), (namespace_raw[[#This Row],[Column10]]*(1+$M$2)),"")</f>
        <v/>
      </c>
      <c r="N107" s="167" t="str">
        <f>IF(ISNUMBER(namespace_raw[[#This Row],[Column11]]), (namespace_raw[[#This Row],[Column11]]*(1+$N$2))/1048576,"")</f>
        <v/>
      </c>
      <c r="O107" s="169" t="str">
        <f>IF(ISNUMBER(namespace_raw[[#This Row],[Column8]]), (E107  * $O$2),"")</f>
        <v/>
      </c>
      <c r="P107" s="170" t="str">
        <f>IF(ISNUMBER(namespace_raw[[#This Row],[Column8]]), (F107  * $P$2),"")</f>
        <v/>
      </c>
    </row>
    <row r="108" spans="1:16" ht="15" customHeight="1" x14ac:dyDescent="0.25">
      <c r="A108" s="32" t="str">
        <f>IF(ISNONTEXT(namespace_raw[[#This Row],[Column1]]), "", namespace_raw[[#This Row],[Column1]])</f>
        <v/>
      </c>
      <c r="B108" s="33" t="str">
        <f>IF(ISNONTEXT(namespace_raw[[#This Row],[Column2]]), "", namespace_raw[[#This Row],[Column2]])</f>
        <v/>
      </c>
      <c r="C108" s="94" t="str">
        <f>IF(ISNUMBER(namespace_raw[[#This Row],[Column4]]), namespace_raw[[#This Row],[Column4]], "")</f>
        <v/>
      </c>
      <c r="D108" s="95" t="str">
        <f>IF(ISNUMBER(namespace_raw[[#This Row],[Column5]]), namespace_raw[[#This Row],[Column5]]/1048576, "")</f>
        <v/>
      </c>
      <c r="E108" s="95" t="str">
        <f>IF(ISNUMBER(namespace_raw[[#This Row],[Column6]]), namespace_raw[[#This Row],[Column6]],"")</f>
        <v/>
      </c>
      <c r="F108" s="96" t="str">
        <f>IF(ISNUMBER(namespace_raw[[#This Row],[Column7]]), namespace_raw[[#This Row],[Column7]]/1048576,"")</f>
        <v/>
      </c>
      <c r="G108" s="122" t="str">
        <f>IF(ISNUMBER(namespace_raw[[#This Row],[Column8]]), namespace_raw[[#This Row],[Column8]],"")</f>
        <v/>
      </c>
      <c r="H108" s="123" t="str">
        <f>IF(ISNUMBER(namespace_raw[[#This Row],[Column9]]), namespace_raw[[#This Row],[Column9]]/1048576,"")</f>
        <v/>
      </c>
      <c r="I108" s="124" t="str">
        <f>IF(ISNUMBER(namespace_raw[[#This Row],[Column8]]),MAX(G108, M108, O108, $I$2,IF(Q108&lt;&gt;"",VALUE(Q108),0)), "")</f>
        <v/>
      </c>
      <c r="J108" s="125" t="str">
        <f>IF(ISNUMBER(namespace_raw[[#This Row],[Column9]]),MAX(H108, N108, P108, $J$2,IF(R108&lt;&gt;"",VALUE(R108),0)),"")</f>
        <v/>
      </c>
      <c r="K108" s="166" t="str">
        <f>IF(ISNUMBER(namespace_raw[[#This Row],[Column12]]), namespace_raw[[#This Row],[Column12]],"")</f>
        <v/>
      </c>
      <c r="L108" s="167" t="str">
        <f>IF(ISNUMBER(namespace_raw[[#This Row],[Column13]]), namespace_raw[[#This Row],[Column13]]/1048576,"")</f>
        <v/>
      </c>
      <c r="M108" s="168" t="str">
        <f>IF(ISNUMBER(namespace_raw[[#This Row],[Column10]]), (namespace_raw[[#This Row],[Column10]]*(1+$M$2)),"")</f>
        <v/>
      </c>
      <c r="N108" s="167" t="str">
        <f>IF(ISNUMBER(namespace_raw[[#This Row],[Column11]]), (namespace_raw[[#This Row],[Column11]]*(1+$N$2))/1048576,"")</f>
        <v/>
      </c>
      <c r="O108" s="169" t="str">
        <f>IF(ISNUMBER(namespace_raw[[#This Row],[Column8]]), (E108  * $O$2),"")</f>
        <v/>
      </c>
      <c r="P108" s="170" t="str">
        <f>IF(ISNUMBER(namespace_raw[[#This Row],[Column8]]), (F108  * $P$2),"")</f>
        <v/>
      </c>
    </row>
    <row r="109" spans="1:16" ht="15" customHeight="1" x14ac:dyDescent="0.25">
      <c r="A109" s="32" t="str">
        <f>IF(ISNONTEXT(namespace_raw[[#This Row],[Column1]]), "", namespace_raw[[#This Row],[Column1]])</f>
        <v/>
      </c>
      <c r="B109" s="33" t="str">
        <f>IF(ISNONTEXT(namespace_raw[[#This Row],[Column2]]), "", namespace_raw[[#This Row],[Column2]])</f>
        <v/>
      </c>
      <c r="C109" s="94" t="str">
        <f>IF(ISNUMBER(namespace_raw[[#This Row],[Column4]]), namespace_raw[[#This Row],[Column4]], "")</f>
        <v/>
      </c>
      <c r="D109" s="95" t="str">
        <f>IF(ISNUMBER(namespace_raw[[#This Row],[Column5]]), namespace_raw[[#This Row],[Column5]]/1048576, "")</f>
        <v/>
      </c>
      <c r="E109" s="95" t="str">
        <f>IF(ISNUMBER(namespace_raw[[#This Row],[Column6]]), namespace_raw[[#This Row],[Column6]],"")</f>
        <v/>
      </c>
      <c r="F109" s="96" t="str">
        <f>IF(ISNUMBER(namespace_raw[[#This Row],[Column7]]), namespace_raw[[#This Row],[Column7]]/1048576,"")</f>
        <v/>
      </c>
      <c r="G109" s="122" t="str">
        <f>IF(ISNUMBER(namespace_raw[[#This Row],[Column8]]), namespace_raw[[#This Row],[Column8]],"")</f>
        <v/>
      </c>
      <c r="H109" s="123" t="str">
        <f>IF(ISNUMBER(namespace_raw[[#This Row],[Column9]]), namespace_raw[[#This Row],[Column9]]/1048576,"")</f>
        <v/>
      </c>
      <c r="I109" s="124" t="str">
        <f>IF(ISNUMBER(namespace_raw[[#This Row],[Column8]]),MAX(G109, M109, O109, $I$2,IF(Q109&lt;&gt;"",VALUE(Q109),0)), "")</f>
        <v/>
      </c>
      <c r="J109" s="125" t="str">
        <f>IF(ISNUMBER(namespace_raw[[#This Row],[Column9]]),MAX(H109, N109, P109, $J$2,IF(R109&lt;&gt;"",VALUE(R109),0)),"")</f>
        <v/>
      </c>
      <c r="K109" s="166" t="str">
        <f>IF(ISNUMBER(namespace_raw[[#This Row],[Column12]]), namespace_raw[[#This Row],[Column12]],"")</f>
        <v/>
      </c>
      <c r="L109" s="167" t="str">
        <f>IF(ISNUMBER(namespace_raw[[#This Row],[Column13]]), namespace_raw[[#This Row],[Column13]]/1048576,"")</f>
        <v/>
      </c>
      <c r="M109" s="168" t="str">
        <f>IF(ISNUMBER(namespace_raw[[#This Row],[Column10]]), (namespace_raw[[#This Row],[Column10]]*(1+$M$2)),"")</f>
        <v/>
      </c>
      <c r="N109" s="167" t="str">
        <f>IF(ISNUMBER(namespace_raw[[#This Row],[Column11]]), (namespace_raw[[#This Row],[Column11]]*(1+$N$2))/1048576,"")</f>
        <v/>
      </c>
      <c r="O109" s="169" t="str">
        <f>IF(ISNUMBER(namespace_raw[[#This Row],[Column8]]), (E109  * $O$2),"")</f>
        <v/>
      </c>
      <c r="P109" s="170" t="str">
        <f>IF(ISNUMBER(namespace_raw[[#This Row],[Column8]]), (F109  * $P$2),"")</f>
        <v/>
      </c>
    </row>
    <row r="110" spans="1:16" ht="15" customHeight="1" x14ac:dyDescent="0.25">
      <c r="A110" s="32" t="str">
        <f>IF(ISNONTEXT(namespace_raw[[#This Row],[Column1]]), "", namespace_raw[[#This Row],[Column1]])</f>
        <v/>
      </c>
      <c r="B110" s="33" t="str">
        <f>IF(ISNONTEXT(namespace_raw[[#This Row],[Column2]]), "", namespace_raw[[#This Row],[Column2]])</f>
        <v/>
      </c>
      <c r="C110" s="94" t="str">
        <f>IF(ISNUMBER(namespace_raw[[#This Row],[Column4]]), namespace_raw[[#This Row],[Column4]], "")</f>
        <v/>
      </c>
      <c r="D110" s="95" t="str">
        <f>IF(ISNUMBER(namespace_raw[[#This Row],[Column5]]), namespace_raw[[#This Row],[Column5]]/1048576, "")</f>
        <v/>
      </c>
      <c r="E110" s="95" t="str">
        <f>IF(ISNUMBER(namespace_raw[[#This Row],[Column6]]), namespace_raw[[#This Row],[Column6]],"")</f>
        <v/>
      </c>
      <c r="F110" s="96" t="str">
        <f>IF(ISNUMBER(namespace_raw[[#This Row],[Column7]]), namespace_raw[[#This Row],[Column7]]/1048576,"")</f>
        <v/>
      </c>
      <c r="G110" s="122" t="str">
        <f>IF(ISNUMBER(namespace_raw[[#This Row],[Column8]]), namespace_raw[[#This Row],[Column8]],"")</f>
        <v/>
      </c>
      <c r="H110" s="123" t="str">
        <f>IF(ISNUMBER(namespace_raw[[#This Row],[Column9]]), namespace_raw[[#This Row],[Column9]]/1048576,"")</f>
        <v/>
      </c>
      <c r="I110" s="124" t="str">
        <f>IF(ISNUMBER(namespace_raw[[#This Row],[Column8]]),MAX(G110, M110, O110, $I$2,IF(Q110&lt;&gt;"",VALUE(Q110),0)), "")</f>
        <v/>
      </c>
      <c r="J110" s="125" t="str">
        <f>IF(ISNUMBER(namespace_raw[[#This Row],[Column9]]),MAX(H110, N110, P110, $J$2,IF(R110&lt;&gt;"",VALUE(R110),0)),"")</f>
        <v/>
      </c>
      <c r="K110" s="166" t="str">
        <f>IF(ISNUMBER(namespace_raw[[#This Row],[Column12]]), namespace_raw[[#This Row],[Column12]],"")</f>
        <v/>
      </c>
      <c r="L110" s="167" t="str">
        <f>IF(ISNUMBER(namespace_raw[[#This Row],[Column13]]), namespace_raw[[#This Row],[Column13]]/1048576,"")</f>
        <v/>
      </c>
      <c r="M110" s="168" t="str">
        <f>IF(ISNUMBER(namespace_raw[[#This Row],[Column10]]), (namespace_raw[[#This Row],[Column10]]*(1+$M$2)),"")</f>
        <v/>
      </c>
      <c r="N110" s="167" t="str">
        <f>IF(ISNUMBER(namespace_raw[[#This Row],[Column11]]), (namespace_raw[[#This Row],[Column11]]*(1+$N$2))/1048576,"")</f>
        <v/>
      </c>
      <c r="O110" s="169" t="str">
        <f>IF(ISNUMBER(namespace_raw[[#This Row],[Column8]]), (E110  * $O$2),"")</f>
        <v/>
      </c>
      <c r="P110" s="170" t="str">
        <f>IF(ISNUMBER(namespace_raw[[#This Row],[Column8]]), (F110  * $P$2),"")</f>
        <v/>
      </c>
    </row>
    <row r="111" spans="1:16" ht="15" customHeight="1" x14ac:dyDescent="0.25">
      <c r="A111" s="32" t="str">
        <f>IF(ISNONTEXT(namespace_raw[[#This Row],[Column1]]), "", namespace_raw[[#This Row],[Column1]])</f>
        <v/>
      </c>
      <c r="B111" s="33" t="str">
        <f>IF(ISNONTEXT(namespace_raw[[#This Row],[Column2]]), "", namespace_raw[[#This Row],[Column2]])</f>
        <v/>
      </c>
      <c r="C111" s="94" t="str">
        <f>IF(ISNUMBER(namespace_raw[[#This Row],[Column4]]), namespace_raw[[#This Row],[Column4]], "")</f>
        <v/>
      </c>
      <c r="D111" s="95" t="str">
        <f>IF(ISNUMBER(namespace_raw[[#This Row],[Column5]]), namespace_raw[[#This Row],[Column5]]/1048576, "")</f>
        <v/>
      </c>
      <c r="E111" s="95" t="str">
        <f>IF(ISNUMBER(namespace_raw[[#This Row],[Column6]]), namespace_raw[[#This Row],[Column6]],"")</f>
        <v/>
      </c>
      <c r="F111" s="96" t="str">
        <f>IF(ISNUMBER(namespace_raw[[#This Row],[Column7]]), namespace_raw[[#This Row],[Column7]]/1048576,"")</f>
        <v/>
      </c>
      <c r="G111" s="122" t="str">
        <f>IF(ISNUMBER(namespace_raw[[#This Row],[Column8]]), namespace_raw[[#This Row],[Column8]],"")</f>
        <v/>
      </c>
      <c r="H111" s="123" t="str">
        <f>IF(ISNUMBER(namespace_raw[[#This Row],[Column9]]), namespace_raw[[#This Row],[Column9]]/1048576,"")</f>
        <v/>
      </c>
      <c r="I111" s="124" t="str">
        <f>IF(ISNUMBER(namespace_raw[[#This Row],[Column8]]),MAX(G111, M111, O111, $I$2,IF(Q111&lt;&gt;"",VALUE(Q111),0)), "")</f>
        <v/>
      </c>
      <c r="J111" s="125" t="str">
        <f>IF(ISNUMBER(namespace_raw[[#This Row],[Column9]]),MAX(H111, N111, P111, $J$2,IF(R111&lt;&gt;"",VALUE(R111),0)),"")</f>
        <v/>
      </c>
      <c r="K111" s="166" t="str">
        <f>IF(ISNUMBER(namespace_raw[[#This Row],[Column12]]), namespace_raw[[#This Row],[Column12]],"")</f>
        <v/>
      </c>
      <c r="L111" s="167" t="str">
        <f>IF(ISNUMBER(namespace_raw[[#This Row],[Column13]]), namespace_raw[[#This Row],[Column13]]/1048576,"")</f>
        <v/>
      </c>
      <c r="M111" s="168" t="str">
        <f>IF(ISNUMBER(namespace_raw[[#This Row],[Column10]]), (namespace_raw[[#This Row],[Column10]]*(1+$M$2)),"")</f>
        <v/>
      </c>
      <c r="N111" s="167" t="str">
        <f>IF(ISNUMBER(namespace_raw[[#This Row],[Column11]]), (namespace_raw[[#This Row],[Column11]]*(1+$N$2))/1048576,"")</f>
        <v/>
      </c>
      <c r="O111" s="169" t="str">
        <f>IF(ISNUMBER(namespace_raw[[#This Row],[Column8]]), (E111  * $O$2),"")</f>
        <v/>
      </c>
      <c r="P111" s="170" t="str">
        <f>IF(ISNUMBER(namespace_raw[[#This Row],[Column8]]), (F111  * $P$2),"")</f>
        <v/>
      </c>
    </row>
    <row r="112" spans="1:16" ht="15" customHeight="1" x14ac:dyDescent="0.25">
      <c r="A112" s="32" t="str">
        <f>IF(ISNONTEXT(namespace_raw[[#This Row],[Column1]]), "", namespace_raw[[#This Row],[Column1]])</f>
        <v/>
      </c>
      <c r="B112" s="33" t="str">
        <f>IF(ISNONTEXT(namespace_raw[[#This Row],[Column2]]), "", namespace_raw[[#This Row],[Column2]])</f>
        <v/>
      </c>
      <c r="C112" s="94" t="str">
        <f>IF(ISNUMBER(namespace_raw[[#This Row],[Column4]]), namespace_raw[[#This Row],[Column4]], "")</f>
        <v/>
      </c>
      <c r="D112" s="95" t="str">
        <f>IF(ISNUMBER(namespace_raw[[#This Row],[Column5]]), namespace_raw[[#This Row],[Column5]]/1048576, "")</f>
        <v/>
      </c>
      <c r="E112" s="95" t="str">
        <f>IF(ISNUMBER(namespace_raw[[#This Row],[Column6]]), namespace_raw[[#This Row],[Column6]],"")</f>
        <v/>
      </c>
      <c r="F112" s="96" t="str">
        <f>IF(ISNUMBER(namespace_raw[[#This Row],[Column7]]), namespace_raw[[#This Row],[Column7]]/1048576,"")</f>
        <v/>
      </c>
      <c r="G112" s="122" t="str">
        <f>IF(ISNUMBER(namespace_raw[[#This Row],[Column8]]), namespace_raw[[#This Row],[Column8]],"")</f>
        <v/>
      </c>
      <c r="H112" s="123" t="str">
        <f>IF(ISNUMBER(namespace_raw[[#This Row],[Column9]]), namespace_raw[[#This Row],[Column9]]/1048576,"")</f>
        <v/>
      </c>
      <c r="I112" s="124" t="str">
        <f>IF(ISNUMBER(namespace_raw[[#This Row],[Column8]]),MAX(G112, M112, O112, $I$2,IF(Q112&lt;&gt;"",VALUE(Q112),0)), "")</f>
        <v/>
      </c>
      <c r="J112" s="125" t="str">
        <f>IF(ISNUMBER(namespace_raw[[#This Row],[Column9]]),MAX(H112, N112, P112, $J$2,IF(R112&lt;&gt;"",VALUE(R112),0)),"")</f>
        <v/>
      </c>
      <c r="K112" s="166" t="str">
        <f>IF(ISNUMBER(namespace_raw[[#This Row],[Column12]]), namespace_raw[[#This Row],[Column12]],"")</f>
        <v/>
      </c>
      <c r="L112" s="167" t="str">
        <f>IF(ISNUMBER(namespace_raw[[#This Row],[Column13]]), namespace_raw[[#This Row],[Column13]]/1048576,"")</f>
        <v/>
      </c>
      <c r="M112" s="168" t="str">
        <f>IF(ISNUMBER(namespace_raw[[#This Row],[Column10]]), (namespace_raw[[#This Row],[Column10]]*(1+$M$2)),"")</f>
        <v/>
      </c>
      <c r="N112" s="167" t="str">
        <f>IF(ISNUMBER(namespace_raw[[#This Row],[Column11]]), (namespace_raw[[#This Row],[Column11]]*(1+$N$2))/1048576,"")</f>
        <v/>
      </c>
      <c r="O112" s="169" t="str">
        <f>IF(ISNUMBER(namespace_raw[[#This Row],[Column8]]), (E112  * $O$2),"")</f>
        <v/>
      </c>
      <c r="P112" s="170" t="str">
        <f>IF(ISNUMBER(namespace_raw[[#This Row],[Column8]]), (F112  * $P$2),"")</f>
        <v/>
      </c>
    </row>
    <row r="113" spans="1:16" ht="15" customHeight="1" x14ac:dyDescent="0.25">
      <c r="A113" s="32" t="str">
        <f>IF(ISNONTEXT(namespace_raw[[#This Row],[Column1]]), "", namespace_raw[[#This Row],[Column1]])</f>
        <v/>
      </c>
      <c r="B113" s="33" t="str">
        <f>IF(ISNONTEXT(namespace_raw[[#This Row],[Column2]]), "", namespace_raw[[#This Row],[Column2]])</f>
        <v/>
      </c>
      <c r="C113" s="94" t="str">
        <f>IF(ISNUMBER(namespace_raw[[#This Row],[Column4]]), namespace_raw[[#This Row],[Column4]], "")</f>
        <v/>
      </c>
      <c r="D113" s="95" t="str">
        <f>IF(ISNUMBER(namespace_raw[[#This Row],[Column5]]), namespace_raw[[#This Row],[Column5]]/1048576, "")</f>
        <v/>
      </c>
      <c r="E113" s="95" t="str">
        <f>IF(ISNUMBER(namespace_raw[[#This Row],[Column6]]), namespace_raw[[#This Row],[Column6]],"")</f>
        <v/>
      </c>
      <c r="F113" s="96" t="str">
        <f>IF(ISNUMBER(namespace_raw[[#This Row],[Column7]]), namespace_raw[[#This Row],[Column7]]/1048576,"")</f>
        <v/>
      </c>
      <c r="G113" s="122" t="str">
        <f>IF(ISNUMBER(namespace_raw[[#This Row],[Column8]]), namespace_raw[[#This Row],[Column8]],"")</f>
        <v/>
      </c>
      <c r="H113" s="123" t="str">
        <f>IF(ISNUMBER(namespace_raw[[#This Row],[Column9]]), namespace_raw[[#This Row],[Column9]]/1048576,"")</f>
        <v/>
      </c>
      <c r="I113" s="124" t="str">
        <f>IF(ISNUMBER(namespace_raw[[#This Row],[Column8]]),MAX(G113, M113, O113, $I$2,IF(Q113&lt;&gt;"",VALUE(Q113),0)), "")</f>
        <v/>
      </c>
      <c r="J113" s="125" t="str">
        <f>IF(ISNUMBER(namespace_raw[[#This Row],[Column9]]),MAX(H113, N113, P113, $J$2,IF(R113&lt;&gt;"",VALUE(R113),0)),"")</f>
        <v/>
      </c>
      <c r="K113" s="166" t="str">
        <f>IF(ISNUMBER(namespace_raw[[#This Row],[Column12]]), namespace_raw[[#This Row],[Column12]],"")</f>
        <v/>
      </c>
      <c r="L113" s="167" t="str">
        <f>IF(ISNUMBER(namespace_raw[[#This Row],[Column13]]), namespace_raw[[#This Row],[Column13]]/1048576,"")</f>
        <v/>
      </c>
      <c r="M113" s="168" t="str">
        <f>IF(ISNUMBER(namespace_raw[[#This Row],[Column10]]), (namespace_raw[[#This Row],[Column10]]*(1+$M$2)),"")</f>
        <v/>
      </c>
      <c r="N113" s="167" t="str">
        <f>IF(ISNUMBER(namespace_raw[[#This Row],[Column11]]), (namespace_raw[[#This Row],[Column11]]*(1+$N$2))/1048576,"")</f>
        <v/>
      </c>
      <c r="O113" s="169" t="str">
        <f>IF(ISNUMBER(namespace_raw[[#This Row],[Column8]]), (E113  * $O$2),"")</f>
        <v/>
      </c>
      <c r="P113" s="170" t="str">
        <f>IF(ISNUMBER(namespace_raw[[#This Row],[Column8]]), (F113  * $P$2),"")</f>
        <v/>
      </c>
    </row>
    <row r="114" spans="1:16" ht="15" customHeight="1" x14ac:dyDescent="0.25">
      <c r="A114" s="32" t="str">
        <f>IF(ISNONTEXT(namespace_raw[[#This Row],[Column1]]), "", namespace_raw[[#This Row],[Column1]])</f>
        <v/>
      </c>
      <c r="B114" s="33" t="str">
        <f>IF(ISNONTEXT(namespace_raw[[#This Row],[Column2]]), "", namespace_raw[[#This Row],[Column2]])</f>
        <v/>
      </c>
      <c r="C114" s="94" t="str">
        <f>IF(ISNUMBER(namespace_raw[[#This Row],[Column4]]), namespace_raw[[#This Row],[Column4]], "")</f>
        <v/>
      </c>
      <c r="D114" s="95" t="str">
        <f>IF(ISNUMBER(namespace_raw[[#This Row],[Column5]]), namespace_raw[[#This Row],[Column5]]/1048576, "")</f>
        <v/>
      </c>
      <c r="E114" s="95" t="str">
        <f>IF(ISNUMBER(namespace_raw[[#This Row],[Column6]]), namespace_raw[[#This Row],[Column6]],"")</f>
        <v/>
      </c>
      <c r="F114" s="96" t="str">
        <f>IF(ISNUMBER(namespace_raw[[#This Row],[Column7]]), namespace_raw[[#This Row],[Column7]]/1048576,"")</f>
        <v/>
      </c>
      <c r="G114" s="122" t="str">
        <f>IF(ISNUMBER(namespace_raw[[#This Row],[Column8]]), namespace_raw[[#This Row],[Column8]],"")</f>
        <v/>
      </c>
      <c r="H114" s="123" t="str">
        <f>IF(ISNUMBER(namespace_raw[[#This Row],[Column9]]), namespace_raw[[#This Row],[Column9]]/1048576,"")</f>
        <v/>
      </c>
      <c r="I114" s="124" t="str">
        <f>IF(ISNUMBER(namespace_raw[[#This Row],[Column8]]),MAX(G114, M114, O114, $I$2,IF(Q114&lt;&gt;"",VALUE(Q114),0)), "")</f>
        <v/>
      </c>
      <c r="J114" s="125" t="str">
        <f>IF(ISNUMBER(namespace_raw[[#This Row],[Column9]]),MAX(H114, N114, P114, $J$2,IF(R114&lt;&gt;"",VALUE(R114),0)),"")</f>
        <v/>
      </c>
      <c r="K114" s="166" t="str">
        <f>IF(ISNUMBER(namespace_raw[[#This Row],[Column12]]), namespace_raw[[#This Row],[Column12]],"")</f>
        <v/>
      </c>
      <c r="L114" s="167" t="str">
        <f>IF(ISNUMBER(namespace_raw[[#This Row],[Column13]]), namespace_raw[[#This Row],[Column13]]/1048576,"")</f>
        <v/>
      </c>
      <c r="M114" s="168" t="str">
        <f>IF(ISNUMBER(namespace_raw[[#This Row],[Column10]]), (namespace_raw[[#This Row],[Column10]]*(1+$M$2)),"")</f>
        <v/>
      </c>
      <c r="N114" s="167" t="str">
        <f>IF(ISNUMBER(namespace_raw[[#This Row],[Column11]]), (namespace_raw[[#This Row],[Column11]]*(1+$N$2))/1048576,"")</f>
        <v/>
      </c>
      <c r="O114" s="169" t="str">
        <f>IF(ISNUMBER(namespace_raw[[#This Row],[Column8]]), (E114  * $O$2),"")</f>
        <v/>
      </c>
      <c r="P114" s="170" t="str">
        <f>IF(ISNUMBER(namespace_raw[[#This Row],[Column8]]), (F114  * $P$2),"")</f>
        <v/>
      </c>
    </row>
    <row r="115" spans="1:16" ht="15" customHeight="1" x14ac:dyDescent="0.25">
      <c r="A115" s="32" t="str">
        <f>IF(ISNONTEXT(namespace_raw[[#This Row],[Column1]]), "", namespace_raw[[#This Row],[Column1]])</f>
        <v/>
      </c>
      <c r="B115" s="33" t="str">
        <f>IF(ISNONTEXT(namespace_raw[[#This Row],[Column2]]), "", namespace_raw[[#This Row],[Column2]])</f>
        <v/>
      </c>
      <c r="C115" s="94" t="str">
        <f>IF(ISNUMBER(namespace_raw[[#This Row],[Column4]]), namespace_raw[[#This Row],[Column4]], "")</f>
        <v/>
      </c>
      <c r="D115" s="95" t="str">
        <f>IF(ISNUMBER(namespace_raw[[#This Row],[Column5]]), namespace_raw[[#This Row],[Column5]]/1048576, "")</f>
        <v/>
      </c>
      <c r="E115" s="95" t="str">
        <f>IF(ISNUMBER(namespace_raw[[#This Row],[Column6]]), namespace_raw[[#This Row],[Column6]],"")</f>
        <v/>
      </c>
      <c r="F115" s="96" t="str">
        <f>IF(ISNUMBER(namespace_raw[[#This Row],[Column7]]), namespace_raw[[#This Row],[Column7]]/1048576,"")</f>
        <v/>
      </c>
      <c r="G115" s="122" t="str">
        <f>IF(ISNUMBER(namespace_raw[[#This Row],[Column8]]), namespace_raw[[#This Row],[Column8]],"")</f>
        <v/>
      </c>
      <c r="H115" s="123" t="str">
        <f>IF(ISNUMBER(namespace_raw[[#This Row],[Column9]]), namespace_raw[[#This Row],[Column9]]/1048576,"")</f>
        <v/>
      </c>
      <c r="I115" s="124" t="str">
        <f>IF(ISNUMBER(namespace_raw[[#This Row],[Column8]]),MAX(G115, M115, O115, $I$2,IF(Q115&lt;&gt;"",VALUE(Q115),0)), "")</f>
        <v/>
      </c>
      <c r="J115" s="125" t="str">
        <f>IF(ISNUMBER(namespace_raw[[#This Row],[Column9]]),MAX(H115, N115, P115, $J$2,IF(R115&lt;&gt;"",VALUE(R115),0)),"")</f>
        <v/>
      </c>
      <c r="K115" s="166" t="str">
        <f>IF(ISNUMBER(namespace_raw[[#This Row],[Column12]]), namespace_raw[[#This Row],[Column12]],"")</f>
        <v/>
      </c>
      <c r="L115" s="167" t="str">
        <f>IF(ISNUMBER(namespace_raw[[#This Row],[Column13]]), namespace_raw[[#This Row],[Column13]]/1048576,"")</f>
        <v/>
      </c>
      <c r="M115" s="168" t="str">
        <f>IF(ISNUMBER(namespace_raw[[#This Row],[Column10]]), (namespace_raw[[#This Row],[Column10]]*(1+$M$2)),"")</f>
        <v/>
      </c>
      <c r="N115" s="167" t="str">
        <f>IF(ISNUMBER(namespace_raw[[#This Row],[Column11]]), (namespace_raw[[#This Row],[Column11]]*(1+$N$2))/1048576,"")</f>
        <v/>
      </c>
      <c r="O115" s="169" t="str">
        <f>IF(ISNUMBER(namespace_raw[[#This Row],[Column8]]), (E115  * $O$2),"")</f>
        <v/>
      </c>
      <c r="P115" s="170" t="str">
        <f>IF(ISNUMBER(namespace_raw[[#This Row],[Column8]]), (F115  * $P$2),"")</f>
        <v/>
      </c>
    </row>
    <row r="116" spans="1:16" ht="15" customHeight="1" x14ac:dyDescent="0.25">
      <c r="A116" s="32" t="str">
        <f>IF(ISNONTEXT(namespace_raw[[#This Row],[Column1]]), "", namespace_raw[[#This Row],[Column1]])</f>
        <v/>
      </c>
      <c r="B116" s="33" t="str">
        <f>IF(ISNONTEXT(namespace_raw[[#This Row],[Column2]]), "", namespace_raw[[#This Row],[Column2]])</f>
        <v/>
      </c>
      <c r="C116" s="94" t="str">
        <f>IF(ISNUMBER(namespace_raw[[#This Row],[Column4]]), namespace_raw[[#This Row],[Column4]], "")</f>
        <v/>
      </c>
      <c r="D116" s="95" t="str">
        <f>IF(ISNUMBER(namespace_raw[[#This Row],[Column5]]), namespace_raw[[#This Row],[Column5]]/1048576, "")</f>
        <v/>
      </c>
      <c r="E116" s="95" t="str">
        <f>IF(ISNUMBER(namespace_raw[[#This Row],[Column6]]), namespace_raw[[#This Row],[Column6]],"")</f>
        <v/>
      </c>
      <c r="F116" s="96" t="str">
        <f>IF(ISNUMBER(namespace_raw[[#This Row],[Column7]]), namespace_raw[[#This Row],[Column7]]/1048576,"")</f>
        <v/>
      </c>
      <c r="G116" s="122" t="str">
        <f>IF(ISNUMBER(namespace_raw[[#This Row],[Column8]]), namespace_raw[[#This Row],[Column8]],"")</f>
        <v/>
      </c>
      <c r="H116" s="123" t="str">
        <f>IF(ISNUMBER(namespace_raw[[#This Row],[Column9]]), namespace_raw[[#This Row],[Column9]]/1048576,"")</f>
        <v/>
      </c>
      <c r="I116" s="124" t="str">
        <f>IF(ISNUMBER(namespace_raw[[#This Row],[Column8]]),MAX(G116, M116, O116, $I$2,IF(Q116&lt;&gt;"",VALUE(Q116),0)), "")</f>
        <v/>
      </c>
      <c r="J116" s="125" t="str">
        <f>IF(ISNUMBER(namespace_raw[[#This Row],[Column9]]),MAX(H116, N116, P116, $J$2,IF(R116&lt;&gt;"",VALUE(R116),0)),"")</f>
        <v/>
      </c>
      <c r="K116" s="166" t="str">
        <f>IF(ISNUMBER(namespace_raw[[#This Row],[Column12]]), namespace_raw[[#This Row],[Column12]],"")</f>
        <v/>
      </c>
      <c r="L116" s="167" t="str">
        <f>IF(ISNUMBER(namespace_raw[[#This Row],[Column13]]), namespace_raw[[#This Row],[Column13]]/1048576,"")</f>
        <v/>
      </c>
      <c r="M116" s="168" t="str">
        <f>IF(ISNUMBER(namespace_raw[[#This Row],[Column10]]), (namespace_raw[[#This Row],[Column10]]*(1+$M$2)),"")</f>
        <v/>
      </c>
      <c r="N116" s="167" t="str">
        <f>IF(ISNUMBER(namespace_raw[[#This Row],[Column11]]), (namespace_raw[[#This Row],[Column11]]*(1+$N$2))/1048576,"")</f>
        <v/>
      </c>
      <c r="O116" s="169" t="str">
        <f>IF(ISNUMBER(namespace_raw[[#This Row],[Column8]]), (E116  * $O$2),"")</f>
        <v/>
      </c>
      <c r="P116" s="170" t="str">
        <f>IF(ISNUMBER(namespace_raw[[#This Row],[Column8]]), (F116  * $P$2),"")</f>
        <v/>
      </c>
    </row>
    <row r="117" spans="1:16" ht="15" customHeight="1" x14ac:dyDescent="0.25">
      <c r="A117" s="32" t="str">
        <f>IF(ISNONTEXT(namespace_raw[[#This Row],[Column1]]), "", namespace_raw[[#This Row],[Column1]])</f>
        <v/>
      </c>
      <c r="B117" s="33" t="str">
        <f>IF(ISNONTEXT(namespace_raw[[#This Row],[Column2]]), "", namespace_raw[[#This Row],[Column2]])</f>
        <v/>
      </c>
      <c r="C117" s="94" t="str">
        <f>IF(ISNUMBER(namespace_raw[[#This Row],[Column4]]), namespace_raw[[#This Row],[Column4]], "")</f>
        <v/>
      </c>
      <c r="D117" s="95" t="str">
        <f>IF(ISNUMBER(namespace_raw[[#This Row],[Column5]]), namespace_raw[[#This Row],[Column5]]/1048576, "")</f>
        <v/>
      </c>
      <c r="E117" s="95" t="str">
        <f>IF(ISNUMBER(namespace_raw[[#This Row],[Column6]]), namespace_raw[[#This Row],[Column6]],"")</f>
        <v/>
      </c>
      <c r="F117" s="96" t="str">
        <f>IF(ISNUMBER(namespace_raw[[#This Row],[Column7]]), namespace_raw[[#This Row],[Column7]]/1048576,"")</f>
        <v/>
      </c>
      <c r="G117" s="122" t="str">
        <f>IF(ISNUMBER(namespace_raw[[#This Row],[Column8]]), namespace_raw[[#This Row],[Column8]],"")</f>
        <v/>
      </c>
      <c r="H117" s="123" t="str">
        <f>IF(ISNUMBER(namespace_raw[[#This Row],[Column9]]), namespace_raw[[#This Row],[Column9]]/1048576,"")</f>
        <v/>
      </c>
      <c r="I117" s="124" t="str">
        <f>IF(ISNUMBER(namespace_raw[[#This Row],[Column8]]),MAX(G117, M117, O117, $I$2,IF(Q117&lt;&gt;"",VALUE(Q117),0)), "")</f>
        <v/>
      </c>
      <c r="J117" s="125" t="str">
        <f>IF(ISNUMBER(namespace_raw[[#This Row],[Column9]]),MAX(H117, N117, P117, $J$2,IF(R117&lt;&gt;"",VALUE(R117),0)),"")</f>
        <v/>
      </c>
      <c r="K117" s="166" t="str">
        <f>IF(ISNUMBER(namespace_raw[[#This Row],[Column12]]), namespace_raw[[#This Row],[Column12]],"")</f>
        <v/>
      </c>
      <c r="L117" s="167" t="str">
        <f>IF(ISNUMBER(namespace_raw[[#This Row],[Column13]]), namespace_raw[[#This Row],[Column13]]/1048576,"")</f>
        <v/>
      </c>
      <c r="M117" s="168" t="str">
        <f>IF(ISNUMBER(namespace_raw[[#This Row],[Column10]]), (namespace_raw[[#This Row],[Column10]]*(1+$M$2)),"")</f>
        <v/>
      </c>
      <c r="N117" s="167" t="str">
        <f>IF(ISNUMBER(namespace_raw[[#This Row],[Column11]]), (namespace_raw[[#This Row],[Column11]]*(1+$N$2))/1048576,"")</f>
        <v/>
      </c>
      <c r="O117" s="169" t="str">
        <f>IF(ISNUMBER(namespace_raw[[#This Row],[Column8]]), (E117  * $O$2),"")</f>
        <v/>
      </c>
      <c r="P117" s="170" t="str">
        <f>IF(ISNUMBER(namespace_raw[[#This Row],[Column8]]), (F117  * $P$2),"")</f>
        <v/>
      </c>
    </row>
    <row r="118" spans="1:16" ht="15" customHeight="1" x14ac:dyDescent="0.25">
      <c r="A118" s="32" t="str">
        <f>IF(ISNONTEXT(namespace_raw[[#This Row],[Column1]]), "", namespace_raw[[#This Row],[Column1]])</f>
        <v/>
      </c>
      <c r="B118" s="33" t="str">
        <f>IF(ISNONTEXT(namespace_raw[[#This Row],[Column2]]), "", namespace_raw[[#This Row],[Column2]])</f>
        <v/>
      </c>
      <c r="C118" s="94" t="str">
        <f>IF(ISNUMBER(namespace_raw[[#This Row],[Column4]]), namespace_raw[[#This Row],[Column4]], "")</f>
        <v/>
      </c>
      <c r="D118" s="95" t="str">
        <f>IF(ISNUMBER(namespace_raw[[#This Row],[Column5]]), namespace_raw[[#This Row],[Column5]]/1048576, "")</f>
        <v/>
      </c>
      <c r="E118" s="95" t="str">
        <f>IF(ISNUMBER(namespace_raw[[#This Row],[Column6]]), namespace_raw[[#This Row],[Column6]],"")</f>
        <v/>
      </c>
      <c r="F118" s="96" t="str">
        <f>IF(ISNUMBER(namespace_raw[[#This Row],[Column7]]), namespace_raw[[#This Row],[Column7]]/1048576,"")</f>
        <v/>
      </c>
      <c r="G118" s="122" t="str">
        <f>IF(ISNUMBER(namespace_raw[[#This Row],[Column8]]), namespace_raw[[#This Row],[Column8]],"")</f>
        <v/>
      </c>
      <c r="H118" s="123" t="str">
        <f>IF(ISNUMBER(namespace_raw[[#This Row],[Column9]]), namespace_raw[[#This Row],[Column9]]/1048576,"")</f>
        <v/>
      </c>
      <c r="I118" s="124" t="str">
        <f>IF(ISNUMBER(namespace_raw[[#This Row],[Column8]]),MAX(G118, M118, O118, $I$2,IF(Q118&lt;&gt;"",VALUE(Q118),0)), "")</f>
        <v/>
      </c>
      <c r="J118" s="125" t="str">
        <f>IF(ISNUMBER(namespace_raw[[#This Row],[Column9]]),MAX(H118, N118, P118, $J$2,IF(R118&lt;&gt;"",VALUE(R118),0)),"")</f>
        <v/>
      </c>
      <c r="K118" s="166" t="str">
        <f>IF(ISNUMBER(namespace_raw[[#This Row],[Column12]]), namespace_raw[[#This Row],[Column12]],"")</f>
        <v/>
      </c>
      <c r="L118" s="167" t="str">
        <f>IF(ISNUMBER(namespace_raw[[#This Row],[Column13]]), namespace_raw[[#This Row],[Column13]]/1048576,"")</f>
        <v/>
      </c>
      <c r="M118" s="168" t="str">
        <f>IF(ISNUMBER(namespace_raw[[#This Row],[Column10]]), (namespace_raw[[#This Row],[Column10]]*(1+$M$2)),"")</f>
        <v/>
      </c>
      <c r="N118" s="167" t="str">
        <f>IF(ISNUMBER(namespace_raw[[#This Row],[Column11]]), (namespace_raw[[#This Row],[Column11]]*(1+$N$2))/1048576,"")</f>
        <v/>
      </c>
      <c r="O118" s="169" t="str">
        <f>IF(ISNUMBER(namespace_raw[[#This Row],[Column8]]), (E118  * $O$2),"")</f>
        <v/>
      </c>
      <c r="P118" s="170" t="str">
        <f>IF(ISNUMBER(namespace_raw[[#This Row],[Column8]]), (F118  * $P$2),"")</f>
        <v/>
      </c>
    </row>
    <row r="119" spans="1:16" ht="15" customHeight="1" x14ac:dyDescent="0.25">
      <c r="A119" s="32" t="str">
        <f>IF(ISNONTEXT(namespace_raw[[#This Row],[Column1]]), "", namespace_raw[[#This Row],[Column1]])</f>
        <v/>
      </c>
      <c r="B119" s="33" t="str">
        <f>IF(ISNONTEXT(namespace_raw[[#This Row],[Column2]]), "", namespace_raw[[#This Row],[Column2]])</f>
        <v/>
      </c>
      <c r="C119" s="94" t="str">
        <f>IF(ISNUMBER(namespace_raw[[#This Row],[Column4]]), namespace_raw[[#This Row],[Column4]], "")</f>
        <v/>
      </c>
      <c r="D119" s="95" t="str">
        <f>IF(ISNUMBER(namespace_raw[[#This Row],[Column5]]), namespace_raw[[#This Row],[Column5]]/1048576, "")</f>
        <v/>
      </c>
      <c r="E119" s="95" t="str">
        <f>IF(ISNUMBER(namespace_raw[[#This Row],[Column6]]), namespace_raw[[#This Row],[Column6]],"")</f>
        <v/>
      </c>
      <c r="F119" s="96" t="str">
        <f>IF(ISNUMBER(namespace_raw[[#This Row],[Column7]]), namespace_raw[[#This Row],[Column7]]/1048576,"")</f>
        <v/>
      </c>
      <c r="G119" s="122" t="str">
        <f>IF(ISNUMBER(namespace_raw[[#This Row],[Column8]]), namespace_raw[[#This Row],[Column8]],"")</f>
        <v/>
      </c>
      <c r="H119" s="123" t="str">
        <f>IF(ISNUMBER(namespace_raw[[#This Row],[Column9]]), namespace_raw[[#This Row],[Column9]]/1048576,"")</f>
        <v/>
      </c>
      <c r="I119" s="124" t="str">
        <f>IF(ISNUMBER(namespace_raw[[#This Row],[Column8]]),MAX(G119, M119, O119, $I$2,IF(Q119&lt;&gt;"",VALUE(Q119),0)), "")</f>
        <v/>
      </c>
      <c r="J119" s="125" t="str">
        <f>IF(ISNUMBER(namespace_raw[[#This Row],[Column9]]),MAX(H119, N119, P119, $J$2,IF(R119&lt;&gt;"",VALUE(R119),0)),"")</f>
        <v/>
      </c>
      <c r="K119" s="166" t="str">
        <f>IF(ISNUMBER(namespace_raw[[#This Row],[Column12]]), namespace_raw[[#This Row],[Column12]],"")</f>
        <v/>
      </c>
      <c r="L119" s="167" t="str">
        <f>IF(ISNUMBER(namespace_raw[[#This Row],[Column13]]), namespace_raw[[#This Row],[Column13]]/1048576,"")</f>
        <v/>
      </c>
      <c r="M119" s="168" t="str">
        <f>IF(ISNUMBER(namespace_raw[[#This Row],[Column10]]), (namespace_raw[[#This Row],[Column10]]*(1+$M$2)),"")</f>
        <v/>
      </c>
      <c r="N119" s="167" t="str">
        <f>IF(ISNUMBER(namespace_raw[[#This Row],[Column11]]), (namespace_raw[[#This Row],[Column11]]*(1+$N$2))/1048576,"")</f>
        <v/>
      </c>
      <c r="O119" s="169" t="str">
        <f>IF(ISNUMBER(namespace_raw[[#This Row],[Column8]]), (E119  * $O$2),"")</f>
        <v/>
      </c>
      <c r="P119" s="170" t="str">
        <f>IF(ISNUMBER(namespace_raw[[#This Row],[Column8]]), (F119  * $P$2),"")</f>
        <v/>
      </c>
    </row>
    <row r="120" spans="1:16" ht="15" customHeight="1" x14ac:dyDescent="0.25">
      <c r="A120" s="32" t="str">
        <f>IF(ISNONTEXT(namespace_raw[[#This Row],[Column1]]), "", namespace_raw[[#This Row],[Column1]])</f>
        <v/>
      </c>
      <c r="B120" s="33" t="str">
        <f>IF(ISNONTEXT(namespace_raw[[#This Row],[Column2]]), "", namespace_raw[[#This Row],[Column2]])</f>
        <v/>
      </c>
      <c r="C120" s="94" t="str">
        <f>IF(ISNUMBER(namespace_raw[[#This Row],[Column4]]), namespace_raw[[#This Row],[Column4]], "")</f>
        <v/>
      </c>
      <c r="D120" s="95" t="str">
        <f>IF(ISNUMBER(namespace_raw[[#This Row],[Column5]]), namespace_raw[[#This Row],[Column5]]/1048576, "")</f>
        <v/>
      </c>
      <c r="E120" s="95" t="str">
        <f>IF(ISNUMBER(namespace_raw[[#This Row],[Column6]]), namespace_raw[[#This Row],[Column6]],"")</f>
        <v/>
      </c>
      <c r="F120" s="96" t="str">
        <f>IF(ISNUMBER(namespace_raw[[#This Row],[Column7]]), namespace_raw[[#This Row],[Column7]]/1048576,"")</f>
        <v/>
      </c>
      <c r="G120" s="122" t="str">
        <f>IF(ISNUMBER(namespace_raw[[#This Row],[Column8]]), namespace_raw[[#This Row],[Column8]],"")</f>
        <v/>
      </c>
      <c r="H120" s="123" t="str">
        <f>IF(ISNUMBER(namespace_raw[[#This Row],[Column9]]), namespace_raw[[#This Row],[Column9]]/1048576,"")</f>
        <v/>
      </c>
      <c r="I120" s="124" t="str">
        <f>IF(ISNUMBER(namespace_raw[[#This Row],[Column8]]),MAX(G120, M120, O120, $I$2,IF(Q120&lt;&gt;"",VALUE(Q120),0)), "")</f>
        <v/>
      </c>
      <c r="J120" s="125" t="str">
        <f>IF(ISNUMBER(namespace_raw[[#This Row],[Column9]]),MAX(H120, N120, P120, $J$2,IF(R120&lt;&gt;"",VALUE(R120),0)),"")</f>
        <v/>
      </c>
      <c r="K120" s="166" t="str">
        <f>IF(ISNUMBER(namespace_raw[[#This Row],[Column12]]), namespace_raw[[#This Row],[Column12]],"")</f>
        <v/>
      </c>
      <c r="L120" s="167" t="str">
        <f>IF(ISNUMBER(namespace_raw[[#This Row],[Column13]]), namespace_raw[[#This Row],[Column13]]/1048576,"")</f>
        <v/>
      </c>
      <c r="M120" s="168" t="str">
        <f>IF(ISNUMBER(namespace_raw[[#This Row],[Column10]]), (namespace_raw[[#This Row],[Column10]]*(1+$M$2)),"")</f>
        <v/>
      </c>
      <c r="N120" s="167" t="str">
        <f>IF(ISNUMBER(namespace_raw[[#This Row],[Column11]]), (namespace_raw[[#This Row],[Column11]]*(1+$N$2))/1048576,"")</f>
        <v/>
      </c>
      <c r="O120" s="169" t="str">
        <f>IF(ISNUMBER(namespace_raw[[#This Row],[Column8]]), (E120  * $O$2),"")</f>
        <v/>
      </c>
      <c r="P120" s="170" t="str">
        <f>IF(ISNUMBER(namespace_raw[[#This Row],[Column8]]), (F120  * $P$2),"")</f>
        <v/>
      </c>
    </row>
    <row r="121" spans="1:16" ht="15" customHeight="1" x14ac:dyDescent="0.25">
      <c r="A121" s="32" t="str">
        <f>IF(ISNONTEXT(namespace_raw[[#This Row],[Column1]]), "", namespace_raw[[#This Row],[Column1]])</f>
        <v/>
      </c>
      <c r="B121" s="33" t="str">
        <f>IF(ISNONTEXT(namespace_raw[[#This Row],[Column2]]), "", namespace_raw[[#This Row],[Column2]])</f>
        <v/>
      </c>
      <c r="C121" s="94" t="str">
        <f>IF(ISNUMBER(namespace_raw[[#This Row],[Column4]]), namespace_raw[[#This Row],[Column4]], "")</f>
        <v/>
      </c>
      <c r="D121" s="95" t="str">
        <f>IF(ISNUMBER(namespace_raw[[#This Row],[Column5]]), namespace_raw[[#This Row],[Column5]]/1048576, "")</f>
        <v/>
      </c>
      <c r="E121" s="95" t="str">
        <f>IF(ISNUMBER(namespace_raw[[#This Row],[Column6]]), namespace_raw[[#This Row],[Column6]],"")</f>
        <v/>
      </c>
      <c r="F121" s="96" t="str">
        <f>IF(ISNUMBER(namespace_raw[[#This Row],[Column7]]), namespace_raw[[#This Row],[Column7]]/1048576,"")</f>
        <v/>
      </c>
      <c r="G121" s="122" t="str">
        <f>IF(ISNUMBER(namespace_raw[[#This Row],[Column8]]), namespace_raw[[#This Row],[Column8]],"")</f>
        <v/>
      </c>
      <c r="H121" s="123" t="str">
        <f>IF(ISNUMBER(namespace_raw[[#This Row],[Column9]]), namespace_raw[[#This Row],[Column9]]/1048576,"")</f>
        <v/>
      </c>
      <c r="I121" s="124" t="str">
        <f>IF(ISNUMBER(namespace_raw[[#This Row],[Column8]]),MAX(G121, M121, O121, $I$2,IF(Q121&lt;&gt;"",VALUE(Q121),0)), "")</f>
        <v/>
      </c>
      <c r="J121" s="125" t="str">
        <f>IF(ISNUMBER(namespace_raw[[#This Row],[Column9]]),MAX(H121, N121, P121, $J$2,IF(R121&lt;&gt;"",VALUE(R121),0)),"")</f>
        <v/>
      </c>
      <c r="K121" s="166" t="str">
        <f>IF(ISNUMBER(namespace_raw[[#This Row],[Column12]]), namespace_raw[[#This Row],[Column12]],"")</f>
        <v/>
      </c>
      <c r="L121" s="167" t="str">
        <f>IF(ISNUMBER(namespace_raw[[#This Row],[Column13]]), namespace_raw[[#This Row],[Column13]]/1048576,"")</f>
        <v/>
      </c>
      <c r="M121" s="168" t="str">
        <f>IF(ISNUMBER(namespace_raw[[#This Row],[Column10]]), (namespace_raw[[#This Row],[Column10]]*(1+$M$2)),"")</f>
        <v/>
      </c>
      <c r="N121" s="167" t="str">
        <f>IF(ISNUMBER(namespace_raw[[#This Row],[Column11]]), (namespace_raw[[#This Row],[Column11]]*(1+$N$2))/1048576,"")</f>
        <v/>
      </c>
      <c r="O121" s="169" t="str">
        <f>IF(ISNUMBER(namespace_raw[[#This Row],[Column8]]), (E121  * $O$2),"")</f>
        <v/>
      </c>
      <c r="P121" s="170" t="str">
        <f>IF(ISNUMBER(namespace_raw[[#This Row],[Column8]]), (F121  * $P$2),"")</f>
        <v/>
      </c>
    </row>
    <row r="122" spans="1:16" ht="15" customHeight="1" x14ac:dyDescent="0.25">
      <c r="A122" s="32" t="str">
        <f>IF(ISNONTEXT(namespace_raw[[#This Row],[Column1]]), "", namespace_raw[[#This Row],[Column1]])</f>
        <v/>
      </c>
      <c r="B122" s="33" t="str">
        <f>IF(ISNONTEXT(namespace_raw[[#This Row],[Column2]]), "", namespace_raw[[#This Row],[Column2]])</f>
        <v/>
      </c>
      <c r="C122" s="94" t="str">
        <f>IF(ISNUMBER(namespace_raw[[#This Row],[Column4]]), namespace_raw[[#This Row],[Column4]], "")</f>
        <v/>
      </c>
      <c r="D122" s="95" t="str">
        <f>IF(ISNUMBER(namespace_raw[[#This Row],[Column5]]), namespace_raw[[#This Row],[Column5]]/1048576, "")</f>
        <v/>
      </c>
      <c r="E122" s="95" t="str">
        <f>IF(ISNUMBER(namespace_raw[[#This Row],[Column6]]), namespace_raw[[#This Row],[Column6]],"")</f>
        <v/>
      </c>
      <c r="F122" s="96" t="str">
        <f>IF(ISNUMBER(namespace_raw[[#This Row],[Column7]]), namespace_raw[[#This Row],[Column7]]/1048576,"")</f>
        <v/>
      </c>
      <c r="G122" s="122" t="str">
        <f>IF(ISNUMBER(namespace_raw[[#This Row],[Column8]]), namespace_raw[[#This Row],[Column8]],"")</f>
        <v/>
      </c>
      <c r="H122" s="123" t="str">
        <f>IF(ISNUMBER(namespace_raw[[#This Row],[Column9]]), namespace_raw[[#This Row],[Column9]]/1048576,"")</f>
        <v/>
      </c>
      <c r="I122" s="124" t="str">
        <f>IF(ISNUMBER(namespace_raw[[#This Row],[Column8]]),MAX(G122, M122, O122, $I$2,IF(Q122&lt;&gt;"",VALUE(Q122),0)), "")</f>
        <v/>
      </c>
      <c r="J122" s="125" t="str">
        <f>IF(ISNUMBER(namespace_raw[[#This Row],[Column9]]),MAX(H122, N122, P122, $J$2,IF(R122&lt;&gt;"",VALUE(R122),0)),"")</f>
        <v/>
      </c>
      <c r="K122" s="166" t="str">
        <f>IF(ISNUMBER(namespace_raw[[#This Row],[Column12]]), namespace_raw[[#This Row],[Column12]],"")</f>
        <v/>
      </c>
      <c r="L122" s="167" t="str">
        <f>IF(ISNUMBER(namespace_raw[[#This Row],[Column13]]), namespace_raw[[#This Row],[Column13]]/1048576,"")</f>
        <v/>
      </c>
      <c r="M122" s="168" t="str">
        <f>IF(ISNUMBER(namespace_raw[[#This Row],[Column10]]), (namespace_raw[[#This Row],[Column10]]*(1+$M$2)),"")</f>
        <v/>
      </c>
      <c r="N122" s="167" t="str">
        <f>IF(ISNUMBER(namespace_raw[[#This Row],[Column11]]), (namespace_raw[[#This Row],[Column11]]*(1+$N$2))/1048576,"")</f>
        <v/>
      </c>
      <c r="O122" s="169" t="str">
        <f>IF(ISNUMBER(namespace_raw[[#This Row],[Column8]]), (E122  * $O$2),"")</f>
        <v/>
      </c>
      <c r="P122" s="170" t="str">
        <f>IF(ISNUMBER(namespace_raw[[#This Row],[Column8]]), (F122  * $P$2),"")</f>
        <v/>
      </c>
    </row>
    <row r="123" spans="1:16" ht="15" customHeight="1" x14ac:dyDescent="0.25">
      <c r="A123" s="32" t="str">
        <f>IF(ISNONTEXT(namespace_raw[[#This Row],[Column1]]), "", namespace_raw[[#This Row],[Column1]])</f>
        <v/>
      </c>
      <c r="B123" s="33" t="str">
        <f>IF(ISNONTEXT(namespace_raw[[#This Row],[Column2]]), "", namespace_raw[[#This Row],[Column2]])</f>
        <v/>
      </c>
      <c r="C123" s="94" t="str">
        <f>IF(ISNUMBER(namespace_raw[[#This Row],[Column4]]), namespace_raw[[#This Row],[Column4]], "")</f>
        <v/>
      </c>
      <c r="D123" s="95" t="str">
        <f>IF(ISNUMBER(namespace_raw[[#This Row],[Column5]]), namespace_raw[[#This Row],[Column5]]/1048576, "")</f>
        <v/>
      </c>
      <c r="E123" s="95" t="str">
        <f>IF(ISNUMBER(namespace_raw[[#This Row],[Column6]]), namespace_raw[[#This Row],[Column6]],"")</f>
        <v/>
      </c>
      <c r="F123" s="96" t="str">
        <f>IF(ISNUMBER(namespace_raw[[#This Row],[Column7]]), namespace_raw[[#This Row],[Column7]]/1048576,"")</f>
        <v/>
      </c>
      <c r="G123" s="122" t="str">
        <f>IF(ISNUMBER(namespace_raw[[#This Row],[Column8]]), namespace_raw[[#This Row],[Column8]],"")</f>
        <v/>
      </c>
      <c r="H123" s="123" t="str">
        <f>IF(ISNUMBER(namespace_raw[[#This Row],[Column9]]), namespace_raw[[#This Row],[Column9]]/1048576,"")</f>
        <v/>
      </c>
      <c r="I123" s="124" t="str">
        <f>IF(ISNUMBER(namespace_raw[[#This Row],[Column8]]),MAX(G123, M123, O123, $I$2,IF(Q123&lt;&gt;"",VALUE(Q123),0)), "")</f>
        <v/>
      </c>
      <c r="J123" s="125" t="str">
        <f>IF(ISNUMBER(namespace_raw[[#This Row],[Column9]]),MAX(H123, N123, P123, $J$2,IF(R123&lt;&gt;"",VALUE(R123),0)),"")</f>
        <v/>
      </c>
      <c r="K123" s="166" t="str">
        <f>IF(ISNUMBER(namespace_raw[[#This Row],[Column12]]), namespace_raw[[#This Row],[Column12]],"")</f>
        <v/>
      </c>
      <c r="L123" s="167" t="str">
        <f>IF(ISNUMBER(namespace_raw[[#This Row],[Column13]]), namespace_raw[[#This Row],[Column13]]/1048576,"")</f>
        <v/>
      </c>
      <c r="M123" s="168" t="str">
        <f>IF(ISNUMBER(namespace_raw[[#This Row],[Column10]]), (namespace_raw[[#This Row],[Column10]]*(1+$M$2)),"")</f>
        <v/>
      </c>
      <c r="N123" s="167" t="str">
        <f>IF(ISNUMBER(namespace_raw[[#This Row],[Column11]]), (namespace_raw[[#This Row],[Column11]]*(1+$N$2))/1048576,"")</f>
        <v/>
      </c>
      <c r="O123" s="169" t="str">
        <f>IF(ISNUMBER(namespace_raw[[#This Row],[Column8]]), (E123  * $O$2),"")</f>
        <v/>
      </c>
      <c r="P123" s="170" t="str">
        <f>IF(ISNUMBER(namespace_raw[[#This Row],[Column8]]), (F123  * $P$2),"")</f>
        <v/>
      </c>
    </row>
    <row r="124" spans="1:16" ht="15" customHeight="1" x14ac:dyDescent="0.25">
      <c r="A124" s="32" t="str">
        <f>IF(ISNONTEXT(namespace_raw[[#This Row],[Column1]]), "", namespace_raw[[#This Row],[Column1]])</f>
        <v/>
      </c>
      <c r="B124" s="33" t="str">
        <f>IF(ISNONTEXT(namespace_raw[[#This Row],[Column2]]), "", namespace_raw[[#This Row],[Column2]])</f>
        <v/>
      </c>
      <c r="C124" s="94" t="str">
        <f>IF(ISNUMBER(namespace_raw[[#This Row],[Column4]]), namespace_raw[[#This Row],[Column4]], "")</f>
        <v/>
      </c>
      <c r="D124" s="95" t="str">
        <f>IF(ISNUMBER(namespace_raw[[#This Row],[Column5]]), namespace_raw[[#This Row],[Column5]]/1048576, "")</f>
        <v/>
      </c>
      <c r="E124" s="95" t="str">
        <f>IF(ISNUMBER(namespace_raw[[#This Row],[Column6]]), namespace_raw[[#This Row],[Column6]],"")</f>
        <v/>
      </c>
      <c r="F124" s="96" t="str">
        <f>IF(ISNUMBER(namespace_raw[[#This Row],[Column7]]), namespace_raw[[#This Row],[Column7]]/1048576,"")</f>
        <v/>
      </c>
      <c r="G124" s="122" t="str">
        <f>IF(ISNUMBER(namespace_raw[[#This Row],[Column8]]), namespace_raw[[#This Row],[Column8]],"")</f>
        <v/>
      </c>
      <c r="H124" s="123" t="str">
        <f>IF(ISNUMBER(namespace_raw[[#This Row],[Column9]]), namespace_raw[[#This Row],[Column9]]/1048576,"")</f>
        <v/>
      </c>
      <c r="I124" s="124" t="str">
        <f>IF(ISNUMBER(namespace_raw[[#This Row],[Column8]]),MAX(G124, M124, O124, $I$2,IF(Q124&lt;&gt;"",VALUE(Q124),0)), "")</f>
        <v/>
      </c>
      <c r="J124" s="125" t="str">
        <f>IF(ISNUMBER(namespace_raw[[#This Row],[Column9]]),MAX(H124, N124, P124, $J$2,IF(R124&lt;&gt;"",VALUE(R124),0)),"")</f>
        <v/>
      </c>
      <c r="K124" s="166" t="str">
        <f>IF(ISNUMBER(namespace_raw[[#This Row],[Column12]]), namespace_raw[[#This Row],[Column12]],"")</f>
        <v/>
      </c>
      <c r="L124" s="167" t="str">
        <f>IF(ISNUMBER(namespace_raw[[#This Row],[Column13]]), namespace_raw[[#This Row],[Column13]]/1048576,"")</f>
        <v/>
      </c>
      <c r="M124" s="168" t="str">
        <f>IF(ISNUMBER(namespace_raw[[#This Row],[Column10]]), (namespace_raw[[#This Row],[Column10]]*(1+$M$2)),"")</f>
        <v/>
      </c>
      <c r="N124" s="167" t="str">
        <f>IF(ISNUMBER(namespace_raw[[#This Row],[Column11]]), (namespace_raw[[#This Row],[Column11]]*(1+$N$2))/1048576,"")</f>
        <v/>
      </c>
      <c r="O124" s="169" t="str">
        <f>IF(ISNUMBER(namespace_raw[[#This Row],[Column8]]), (E124  * $O$2),"")</f>
        <v/>
      </c>
      <c r="P124" s="170" t="str">
        <f>IF(ISNUMBER(namespace_raw[[#This Row],[Column8]]), (F124  * $P$2),"")</f>
        <v/>
      </c>
    </row>
    <row r="125" spans="1:16" ht="15" customHeight="1" x14ac:dyDescent="0.25">
      <c r="A125" s="32" t="str">
        <f>IF(ISNONTEXT(namespace_raw[[#This Row],[Column1]]), "", namespace_raw[[#This Row],[Column1]])</f>
        <v/>
      </c>
      <c r="B125" s="33" t="str">
        <f>IF(ISNONTEXT(namespace_raw[[#This Row],[Column2]]), "", namespace_raw[[#This Row],[Column2]])</f>
        <v/>
      </c>
      <c r="C125" s="94" t="str">
        <f>IF(ISNUMBER(namespace_raw[[#This Row],[Column4]]), namespace_raw[[#This Row],[Column4]], "")</f>
        <v/>
      </c>
      <c r="D125" s="95" t="str">
        <f>IF(ISNUMBER(namespace_raw[[#This Row],[Column5]]), namespace_raw[[#This Row],[Column5]]/1048576, "")</f>
        <v/>
      </c>
      <c r="E125" s="95" t="str">
        <f>IF(ISNUMBER(namespace_raw[[#This Row],[Column6]]), namespace_raw[[#This Row],[Column6]],"")</f>
        <v/>
      </c>
      <c r="F125" s="96" t="str">
        <f>IF(ISNUMBER(namespace_raw[[#This Row],[Column7]]), namespace_raw[[#This Row],[Column7]]/1048576,"")</f>
        <v/>
      </c>
      <c r="G125" s="122" t="str">
        <f>IF(ISNUMBER(namespace_raw[[#This Row],[Column8]]), namespace_raw[[#This Row],[Column8]],"")</f>
        <v/>
      </c>
      <c r="H125" s="123" t="str">
        <f>IF(ISNUMBER(namespace_raw[[#This Row],[Column9]]), namespace_raw[[#This Row],[Column9]]/1048576,"")</f>
        <v/>
      </c>
      <c r="I125" s="124" t="str">
        <f>IF(ISNUMBER(namespace_raw[[#This Row],[Column8]]),MAX(G125, M125, O125, $I$2,IF(Q125&lt;&gt;"",VALUE(Q125),0)), "")</f>
        <v/>
      </c>
      <c r="J125" s="125" t="str">
        <f>IF(ISNUMBER(namespace_raw[[#This Row],[Column9]]),MAX(H125, N125, P125, $J$2,IF(R125&lt;&gt;"",VALUE(R125),0)),"")</f>
        <v/>
      </c>
      <c r="K125" s="166" t="str">
        <f>IF(ISNUMBER(namespace_raw[[#This Row],[Column12]]), namespace_raw[[#This Row],[Column12]],"")</f>
        <v/>
      </c>
      <c r="L125" s="167" t="str">
        <f>IF(ISNUMBER(namespace_raw[[#This Row],[Column13]]), namespace_raw[[#This Row],[Column13]]/1048576,"")</f>
        <v/>
      </c>
      <c r="M125" s="168" t="str">
        <f>IF(ISNUMBER(namespace_raw[[#This Row],[Column10]]), (namespace_raw[[#This Row],[Column10]]*(1+$M$2)),"")</f>
        <v/>
      </c>
      <c r="N125" s="167" t="str">
        <f>IF(ISNUMBER(namespace_raw[[#This Row],[Column11]]), (namespace_raw[[#This Row],[Column11]]*(1+$N$2))/1048576,"")</f>
        <v/>
      </c>
      <c r="O125" s="169" t="str">
        <f>IF(ISNUMBER(namespace_raw[[#This Row],[Column8]]), (E125  * $O$2),"")</f>
        <v/>
      </c>
      <c r="P125" s="170" t="str">
        <f>IF(ISNUMBER(namespace_raw[[#This Row],[Column8]]), (F125  * $P$2),"")</f>
        <v/>
      </c>
    </row>
    <row r="126" spans="1:16" ht="15" customHeight="1" x14ac:dyDescent="0.25">
      <c r="A126" s="32" t="str">
        <f>IF(ISNONTEXT(namespace_raw[[#This Row],[Column1]]), "", namespace_raw[[#This Row],[Column1]])</f>
        <v/>
      </c>
      <c r="B126" s="33" t="str">
        <f>IF(ISNONTEXT(namespace_raw[[#This Row],[Column2]]), "", namespace_raw[[#This Row],[Column2]])</f>
        <v/>
      </c>
      <c r="C126" s="94" t="str">
        <f>IF(ISNUMBER(namespace_raw[[#This Row],[Column4]]), namespace_raw[[#This Row],[Column4]], "")</f>
        <v/>
      </c>
      <c r="D126" s="95" t="str">
        <f>IF(ISNUMBER(namespace_raw[[#This Row],[Column5]]), namespace_raw[[#This Row],[Column5]]/1048576, "")</f>
        <v/>
      </c>
      <c r="E126" s="95" t="str">
        <f>IF(ISNUMBER(namespace_raw[[#This Row],[Column6]]), namespace_raw[[#This Row],[Column6]],"")</f>
        <v/>
      </c>
      <c r="F126" s="96" t="str">
        <f>IF(ISNUMBER(namespace_raw[[#This Row],[Column7]]), namespace_raw[[#This Row],[Column7]]/1048576,"")</f>
        <v/>
      </c>
      <c r="G126" s="122" t="str">
        <f>IF(ISNUMBER(namespace_raw[[#This Row],[Column8]]), namespace_raw[[#This Row],[Column8]],"")</f>
        <v/>
      </c>
      <c r="H126" s="123" t="str">
        <f>IF(ISNUMBER(namespace_raw[[#This Row],[Column9]]), namespace_raw[[#This Row],[Column9]]/1048576,"")</f>
        <v/>
      </c>
      <c r="I126" s="124" t="str">
        <f>IF(ISNUMBER(namespace_raw[[#This Row],[Column8]]),MAX(G126, M126, O126, $I$2,IF(Q126&lt;&gt;"",VALUE(Q126),0)), "")</f>
        <v/>
      </c>
      <c r="J126" s="125" t="str">
        <f>IF(ISNUMBER(namespace_raw[[#This Row],[Column9]]),MAX(H126, N126, P126, $J$2,IF(R126&lt;&gt;"",VALUE(R126),0)),"")</f>
        <v/>
      </c>
      <c r="K126" s="166" t="str">
        <f>IF(ISNUMBER(namespace_raw[[#This Row],[Column12]]), namespace_raw[[#This Row],[Column12]],"")</f>
        <v/>
      </c>
      <c r="L126" s="167" t="str">
        <f>IF(ISNUMBER(namespace_raw[[#This Row],[Column13]]), namespace_raw[[#This Row],[Column13]]/1048576,"")</f>
        <v/>
      </c>
      <c r="M126" s="168" t="str">
        <f>IF(ISNUMBER(namespace_raw[[#This Row],[Column10]]), (namespace_raw[[#This Row],[Column10]]*(1+$M$2)),"")</f>
        <v/>
      </c>
      <c r="N126" s="167" t="str">
        <f>IF(ISNUMBER(namespace_raw[[#This Row],[Column11]]), (namespace_raw[[#This Row],[Column11]]*(1+$N$2))/1048576,"")</f>
        <v/>
      </c>
      <c r="O126" s="169" t="str">
        <f>IF(ISNUMBER(namespace_raw[[#This Row],[Column8]]), (E126  * $O$2),"")</f>
        <v/>
      </c>
      <c r="P126" s="170" t="str">
        <f>IF(ISNUMBER(namespace_raw[[#This Row],[Column8]]), (F126  * $P$2),"")</f>
        <v/>
      </c>
    </row>
    <row r="127" spans="1:16" ht="15" customHeight="1" x14ac:dyDescent="0.25">
      <c r="A127" s="32" t="str">
        <f>IF(ISNONTEXT(namespace_raw[[#This Row],[Column1]]), "", namespace_raw[[#This Row],[Column1]])</f>
        <v/>
      </c>
      <c r="B127" s="33" t="str">
        <f>IF(ISNONTEXT(namespace_raw[[#This Row],[Column2]]), "", namespace_raw[[#This Row],[Column2]])</f>
        <v/>
      </c>
      <c r="C127" s="94" t="str">
        <f>IF(ISNUMBER(namespace_raw[[#This Row],[Column4]]), namespace_raw[[#This Row],[Column4]], "")</f>
        <v/>
      </c>
      <c r="D127" s="95" t="str">
        <f>IF(ISNUMBER(namespace_raw[[#This Row],[Column5]]), namespace_raw[[#This Row],[Column5]]/1048576, "")</f>
        <v/>
      </c>
      <c r="E127" s="95" t="str">
        <f>IF(ISNUMBER(namespace_raw[[#This Row],[Column6]]), namespace_raw[[#This Row],[Column6]],"")</f>
        <v/>
      </c>
      <c r="F127" s="96" t="str">
        <f>IF(ISNUMBER(namespace_raw[[#This Row],[Column7]]), namespace_raw[[#This Row],[Column7]]/1048576,"")</f>
        <v/>
      </c>
      <c r="G127" s="122" t="str">
        <f>IF(ISNUMBER(namespace_raw[[#This Row],[Column8]]), namespace_raw[[#This Row],[Column8]],"")</f>
        <v/>
      </c>
      <c r="H127" s="123" t="str">
        <f>IF(ISNUMBER(namespace_raw[[#This Row],[Column9]]), namespace_raw[[#This Row],[Column9]]/1048576,"")</f>
        <v/>
      </c>
      <c r="I127" s="124" t="str">
        <f>IF(ISNUMBER(namespace_raw[[#This Row],[Column8]]),MAX(G127, M127, O127, $I$2,IF(Q127&lt;&gt;"",VALUE(Q127),0)), "")</f>
        <v/>
      </c>
      <c r="J127" s="125" t="str">
        <f>IF(ISNUMBER(namespace_raw[[#This Row],[Column9]]),MAX(H127, N127, P127, $J$2,IF(R127&lt;&gt;"",VALUE(R127),0)),"")</f>
        <v/>
      </c>
      <c r="K127" s="166" t="str">
        <f>IF(ISNUMBER(namespace_raw[[#This Row],[Column12]]), namespace_raw[[#This Row],[Column12]],"")</f>
        <v/>
      </c>
      <c r="L127" s="167" t="str">
        <f>IF(ISNUMBER(namespace_raw[[#This Row],[Column13]]), namespace_raw[[#This Row],[Column13]]/1048576,"")</f>
        <v/>
      </c>
      <c r="M127" s="168" t="str">
        <f>IF(ISNUMBER(namespace_raw[[#This Row],[Column10]]), (namespace_raw[[#This Row],[Column10]]*(1+$M$2)),"")</f>
        <v/>
      </c>
      <c r="N127" s="167" t="str">
        <f>IF(ISNUMBER(namespace_raw[[#This Row],[Column11]]), (namespace_raw[[#This Row],[Column11]]*(1+$N$2))/1048576,"")</f>
        <v/>
      </c>
      <c r="O127" s="169" t="str">
        <f>IF(ISNUMBER(namespace_raw[[#This Row],[Column8]]), (E127  * $O$2),"")</f>
        <v/>
      </c>
      <c r="P127" s="170" t="str">
        <f>IF(ISNUMBER(namespace_raw[[#This Row],[Column8]]), (F127  * $P$2),"")</f>
        <v/>
      </c>
    </row>
    <row r="128" spans="1:16" ht="15" customHeight="1" x14ac:dyDescent="0.25">
      <c r="A128" s="32" t="str">
        <f>IF(ISNONTEXT(namespace_raw[[#This Row],[Column1]]), "", namespace_raw[[#This Row],[Column1]])</f>
        <v/>
      </c>
      <c r="B128" s="33" t="str">
        <f>IF(ISNONTEXT(namespace_raw[[#This Row],[Column2]]), "", namespace_raw[[#This Row],[Column2]])</f>
        <v/>
      </c>
      <c r="C128" s="94" t="str">
        <f>IF(ISNUMBER(namespace_raw[[#This Row],[Column4]]), namespace_raw[[#This Row],[Column4]], "")</f>
        <v/>
      </c>
      <c r="D128" s="95" t="str">
        <f>IF(ISNUMBER(namespace_raw[[#This Row],[Column5]]), namespace_raw[[#This Row],[Column5]]/1048576, "")</f>
        <v/>
      </c>
      <c r="E128" s="95" t="str">
        <f>IF(ISNUMBER(namespace_raw[[#This Row],[Column6]]), namespace_raw[[#This Row],[Column6]],"")</f>
        <v/>
      </c>
      <c r="F128" s="96" t="str">
        <f>IF(ISNUMBER(namespace_raw[[#This Row],[Column7]]), namespace_raw[[#This Row],[Column7]]/1048576,"")</f>
        <v/>
      </c>
      <c r="G128" s="122" t="str">
        <f>IF(ISNUMBER(namespace_raw[[#This Row],[Column8]]), namespace_raw[[#This Row],[Column8]],"")</f>
        <v/>
      </c>
      <c r="H128" s="123" t="str">
        <f>IF(ISNUMBER(namespace_raw[[#This Row],[Column9]]), namespace_raw[[#This Row],[Column9]]/1048576,"")</f>
        <v/>
      </c>
      <c r="I128" s="124" t="str">
        <f>IF(ISNUMBER(namespace_raw[[#This Row],[Column8]]),MAX(G128, M128, O128, $I$2,IF(Q128&lt;&gt;"",VALUE(Q128),0)), "")</f>
        <v/>
      </c>
      <c r="J128" s="125" t="str">
        <f>IF(ISNUMBER(namespace_raw[[#This Row],[Column9]]),MAX(H128, N128, P128, $J$2,IF(R128&lt;&gt;"",VALUE(R128),0)),"")</f>
        <v/>
      </c>
      <c r="K128" s="166" t="str">
        <f>IF(ISNUMBER(namespace_raw[[#This Row],[Column12]]), namespace_raw[[#This Row],[Column12]],"")</f>
        <v/>
      </c>
      <c r="L128" s="167" t="str">
        <f>IF(ISNUMBER(namespace_raw[[#This Row],[Column13]]), namespace_raw[[#This Row],[Column13]]/1048576,"")</f>
        <v/>
      </c>
      <c r="M128" s="168" t="str">
        <f>IF(ISNUMBER(namespace_raw[[#This Row],[Column10]]), (namespace_raw[[#This Row],[Column10]]*(1+$M$2)),"")</f>
        <v/>
      </c>
      <c r="N128" s="167" t="str">
        <f>IF(ISNUMBER(namespace_raw[[#This Row],[Column11]]), (namespace_raw[[#This Row],[Column11]]*(1+$N$2))/1048576,"")</f>
        <v/>
      </c>
      <c r="O128" s="169" t="str">
        <f>IF(ISNUMBER(namespace_raw[[#This Row],[Column8]]), (E128  * $O$2),"")</f>
        <v/>
      </c>
      <c r="P128" s="170" t="str">
        <f>IF(ISNUMBER(namespace_raw[[#This Row],[Column8]]), (F128  * $P$2),"")</f>
        <v/>
      </c>
    </row>
    <row r="129" spans="1:16" ht="15" customHeight="1" x14ac:dyDescent="0.25">
      <c r="A129" s="32" t="str">
        <f>IF(ISNONTEXT(namespace_raw[[#This Row],[Column1]]), "", namespace_raw[[#This Row],[Column1]])</f>
        <v/>
      </c>
      <c r="B129" s="33" t="str">
        <f>IF(ISNONTEXT(namespace_raw[[#This Row],[Column2]]), "", namespace_raw[[#This Row],[Column2]])</f>
        <v/>
      </c>
      <c r="C129" s="94" t="str">
        <f>IF(ISNUMBER(namespace_raw[[#This Row],[Column4]]), namespace_raw[[#This Row],[Column4]], "")</f>
        <v/>
      </c>
      <c r="D129" s="95" t="str">
        <f>IF(ISNUMBER(namespace_raw[[#This Row],[Column5]]), namespace_raw[[#This Row],[Column5]]/1048576, "")</f>
        <v/>
      </c>
      <c r="E129" s="95" t="str">
        <f>IF(ISNUMBER(namespace_raw[[#This Row],[Column6]]), namespace_raw[[#This Row],[Column6]],"")</f>
        <v/>
      </c>
      <c r="F129" s="96" t="str">
        <f>IF(ISNUMBER(namespace_raw[[#This Row],[Column7]]), namespace_raw[[#This Row],[Column7]]/1048576,"")</f>
        <v/>
      </c>
      <c r="G129" s="122" t="str">
        <f>IF(ISNUMBER(namespace_raw[[#This Row],[Column8]]), namespace_raw[[#This Row],[Column8]],"")</f>
        <v/>
      </c>
      <c r="H129" s="123" t="str">
        <f>IF(ISNUMBER(namespace_raw[[#This Row],[Column9]]), namespace_raw[[#This Row],[Column9]]/1048576,"")</f>
        <v/>
      </c>
      <c r="I129" s="124" t="str">
        <f>IF(ISNUMBER(namespace_raw[[#This Row],[Column8]]),MAX(G129, M129, O129, $I$2,IF(Q129&lt;&gt;"",VALUE(Q129),0)), "")</f>
        <v/>
      </c>
      <c r="J129" s="125" t="str">
        <f>IF(ISNUMBER(namespace_raw[[#This Row],[Column9]]),MAX(H129, N129, P129, $J$2,IF(R129&lt;&gt;"",VALUE(R129),0)),"")</f>
        <v/>
      </c>
      <c r="K129" s="166" t="str">
        <f>IF(ISNUMBER(namespace_raw[[#This Row],[Column12]]), namespace_raw[[#This Row],[Column12]],"")</f>
        <v/>
      </c>
      <c r="L129" s="167" t="str">
        <f>IF(ISNUMBER(namespace_raw[[#This Row],[Column13]]), namespace_raw[[#This Row],[Column13]]/1048576,"")</f>
        <v/>
      </c>
      <c r="M129" s="168" t="str">
        <f>IF(ISNUMBER(namespace_raw[[#This Row],[Column10]]), (namespace_raw[[#This Row],[Column10]]*(1+$M$2)),"")</f>
        <v/>
      </c>
      <c r="N129" s="167" t="str">
        <f>IF(ISNUMBER(namespace_raw[[#This Row],[Column11]]), (namespace_raw[[#This Row],[Column11]]*(1+$N$2))/1048576,"")</f>
        <v/>
      </c>
      <c r="O129" s="169" t="str">
        <f>IF(ISNUMBER(namespace_raw[[#This Row],[Column8]]), (E129  * $O$2),"")</f>
        <v/>
      </c>
      <c r="P129" s="170" t="str">
        <f>IF(ISNUMBER(namespace_raw[[#This Row],[Column8]]), (F129  * $P$2),"")</f>
        <v/>
      </c>
    </row>
    <row r="130" spans="1:16" ht="15" customHeight="1" x14ac:dyDescent="0.25">
      <c r="A130" s="32" t="str">
        <f>IF(ISNONTEXT(namespace_raw[[#This Row],[Column1]]), "", namespace_raw[[#This Row],[Column1]])</f>
        <v/>
      </c>
      <c r="B130" s="33" t="str">
        <f>IF(ISNONTEXT(namespace_raw[[#This Row],[Column2]]), "", namespace_raw[[#This Row],[Column2]])</f>
        <v/>
      </c>
      <c r="C130" s="94" t="str">
        <f>IF(ISNUMBER(namespace_raw[[#This Row],[Column4]]), namespace_raw[[#This Row],[Column4]], "")</f>
        <v/>
      </c>
      <c r="D130" s="95" t="str">
        <f>IF(ISNUMBER(namespace_raw[[#This Row],[Column5]]), namespace_raw[[#This Row],[Column5]]/1048576, "")</f>
        <v/>
      </c>
      <c r="E130" s="95" t="str">
        <f>IF(ISNUMBER(namespace_raw[[#This Row],[Column6]]), namespace_raw[[#This Row],[Column6]],"")</f>
        <v/>
      </c>
      <c r="F130" s="96" t="str">
        <f>IF(ISNUMBER(namespace_raw[[#This Row],[Column7]]), namespace_raw[[#This Row],[Column7]]/1048576,"")</f>
        <v/>
      </c>
      <c r="G130" s="122" t="str">
        <f>IF(ISNUMBER(namespace_raw[[#This Row],[Column8]]), namespace_raw[[#This Row],[Column8]],"")</f>
        <v/>
      </c>
      <c r="H130" s="123" t="str">
        <f>IF(ISNUMBER(namespace_raw[[#This Row],[Column9]]), namespace_raw[[#This Row],[Column9]]/1048576,"")</f>
        <v/>
      </c>
      <c r="I130" s="124" t="str">
        <f>IF(ISNUMBER(namespace_raw[[#This Row],[Column8]]),MAX(G130, M130, O130, $I$2,IF(Q130&lt;&gt;"",VALUE(Q130),0)), "")</f>
        <v/>
      </c>
      <c r="J130" s="125" t="str">
        <f>IF(ISNUMBER(namespace_raw[[#This Row],[Column9]]),MAX(H130, N130, P130, $J$2,IF(R130&lt;&gt;"",VALUE(R130),0)),"")</f>
        <v/>
      </c>
      <c r="K130" s="166" t="str">
        <f>IF(ISNUMBER(namespace_raw[[#This Row],[Column12]]), namespace_raw[[#This Row],[Column12]],"")</f>
        <v/>
      </c>
      <c r="L130" s="167" t="str">
        <f>IF(ISNUMBER(namespace_raw[[#This Row],[Column13]]), namespace_raw[[#This Row],[Column13]]/1048576,"")</f>
        <v/>
      </c>
      <c r="M130" s="168" t="str">
        <f>IF(ISNUMBER(namespace_raw[[#This Row],[Column10]]), (namespace_raw[[#This Row],[Column10]]*(1+$M$2)),"")</f>
        <v/>
      </c>
      <c r="N130" s="167" t="str">
        <f>IF(ISNUMBER(namespace_raw[[#This Row],[Column11]]), (namespace_raw[[#This Row],[Column11]]*(1+$N$2))/1048576,"")</f>
        <v/>
      </c>
      <c r="O130" s="169" t="str">
        <f>IF(ISNUMBER(namespace_raw[[#This Row],[Column8]]), (E130  * $O$2),"")</f>
        <v/>
      </c>
      <c r="P130" s="170" t="str">
        <f>IF(ISNUMBER(namespace_raw[[#This Row],[Column8]]), (F130  * $P$2),"")</f>
        <v/>
      </c>
    </row>
    <row r="131" spans="1:16" ht="15" customHeight="1" x14ac:dyDescent="0.25">
      <c r="A131" s="32" t="str">
        <f>IF(ISNONTEXT(namespace_raw[[#This Row],[Column1]]), "", namespace_raw[[#This Row],[Column1]])</f>
        <v/>
      </c>
      <c r="B131" s="33" t="str">
        <f>IF(ISNONTEXT(namespace_raw[[#This Row],[Column2]]), "", namespace_raw[[#This Row],[Column2]])</f>
        <v/>
      </c>
      <c r="C131" s="94" t="str">
        <f>IF(ISNUMBER(namespace_raw[[#This Row],[Column4]]), namespace_raw[[#This Row],[Column4]], "")</f>
        <v/>
      </c>
      <c r="D131" s="95" t="str">
        <f>IF(ISNUMBER(namespace_raw[[#This Row],[Column5]]), namespace_raw[[#This Row],[Column5]]/1048576, "")</f>
        <v/>
      </c>
      <c r="E131" s="95" t="str">
        <f>IF(ISNUMBER(namespace_raw[[#This Row],[Column6]]), namespace_raw[[#This Row],[Column6]],"")</f>
        <v/>
      </c>
      <c r="F131" s="96" t="str">
        <f>IF(ISNUMBER(namespace_raw[[#This Row],[Column7]]), namespace_raw[[#This Row],[Column7]]/1048576,"")</f>
        <v/>
      </c>
      <c r="G131" s="122" t="str">
        <f>IF(ISNUMBER(namespace_raw[[#This Row],[Column8]]), namespace_raw[[#This Row],[Column8]],"")</f>
        <v/>
      </c>
      <c r="H131" s="123" t="str">
        <f>IF(ISNUMBER(namespace_raw[[#This Row],[Column9]]), namespace_raw[[#This Row],[Column9]]/1048576,"")</f>
        <v/>
      </c>
      <c r="I131" s="124" t="str">
        <f>IF(ISNUMBER(namespace_raw[[#This Row],[Column8]]),MAX(G131, M131, O131, $I$2,IF(Q131&lt;&gt;"",VALUE(Q131),0)), "")</f>
        <v/>
      </c>
      <c r="J131" s="125" t="str">
        <f>IF(ISNUMBER(namespace_raw[[#This Row],[Column9]]),MAX(H131, N131, P131, $J$2,IF(R131&lt;&gt;"",VALUE(R131),0)),"")</f>
        <v/>
      </c>
      <c r="K131" s="166" t="str">
        <f>IF(ISNUMBER(namespace_raw[[#This Row],[Column12]]), namespace_raw[[#This Row],[Column12]],"")</f>
        <v/>
      </c>
      <c r="L131" s="167" t="str">
        <f>IF(ISNUMBER(namespace_raw[[#This Row],[Column13]]), namespace_raw[[#This Row],[Column13]]/1048576,"")</f>
        <v/>
      </c>
      <c r="M131" s="168" t="str">
        <f>IF(ISNUMBER(namespace_raw[[#This Row],[Column10]]), (namespace_raw[[#This Row],[Column10]]*(1+$M$2)),"")</f>
        <v/>
      </c>
      <c r="N131" s="167" t="str">
        <f>IF(ISNUMBER(namespace_raw[[#This Row],[Column11]]), (namespace_raw[[#This Row],[Column11]]*(1+$N$2))/1048576,"")</f>
        <v/>
      </c>
      <c r="O131" s="169" t="str">
        <f>IF(ISNUMBER(namespace_raw[[#This Row],[Column8]]), (E131  * $O$2),"")</f>
        <v/>
      </c>
      <c r="P131" s="170" t="str">
        <f>IF(ISNUMBER(namespace_raw[[#This Row],[Column8]]), (F131  * $P$2),"")</f>
        <v/>
      </c>
    </row>
    <row r="132" spans="1:16" ht="15" customHeight="1" x14ac:dyDescent="0.25">
      <c r="A132" s="32" t="str">
        <f>IF(ISNONTEXT(namespace_raw[[#This Row],[Column1]]), "", namespace_raw[[#This Row],[Column1]])</f>
        <v/>
      </c>
      <c r="B132" s="33" t="str">
        <f>IF(ISNONTEXT(namespace_raw[[#This Row],[Column2]]), "", namespace_raw[[#This Row],[Column2]])</f>
        <v/>
      </c>
      <c r="C132" s="94" t="str">
        <f>IF(ISNUMBER(namespace_raw[[#This Row],[Column4]]), namespace_raw[[#This Row],[Column4]], "")</f>
        <v/>
      </c>
      <c r="D132" s="95" t="str">
        <f>IF(ISNUMBER(namespace_raw[[#This Row],[Column5]]), namespace_raw[[#This Row],[Column5]]/1048576, "")</f>
        <v/>
      </c>
      <c r="E132" s="95" t="str">
        <f>IF(ISNUMBER(namespace_raw[[#This Row],[Column6]]), namespace_raw[[#This Row],[Column6]],"")</f>
        <v/>
      </c>
      <c r="F132" s="96" t="str">
        <f>IF(ISNUMBER(namespace_raw[[#This Row],[Column7]]), namespace_raw[[#This Row],[Column7]]/1048576,"")</f>
        <v/>
      </c>
      <c r="G132" s="122" t="str">
        <f>IF(ISNUMBER(namespace_raw[[#This Row],[Column8]]), namespace_raw[[#This Row],[Column8]],"")</f>
        <v/>
      </c>
      <c r="H132" s="123" t="str">
        <f>IF(ISNUMBER(namespace_raw[[#This Row],[Column9]]), namespace_raw[[#This Row],[Column9]]/1048576,"")</f>
        <v/>
      </c>
      <c r="I132" s="124" t="str">
        <f>IF(ISNUMBER(namespace_raw[[#This Row],[Column8]]),MAX(G132, M132, O132, $I$2,IF(Q132&lt;&gt;"",VALUE(Q132),0)), "")</f>
        <v/>
      </c>
      <c r="J132" s="125" t="str">
        <f>IF(ISNUMBER(namespace_raw[[#This Row],[Column9]]),MAX(H132, N132, P132, $J$2,IF(R132&lt;&gt;"",VALUE(R132),0)),"")</f>
        <v/>
      </c>
      <c r="K132" s="166" t="str">
        <f>IF(ISNUMBER(namespace_raw[[#This Row],[Column12]]), namespace_raw[[#This Row],[Column12]],"")</f>
        <v/>
      </c>
      <c r="L132" s="167" t="str">
        <f>IF(ISNUMBER(namespace_raw[[#This Row],[Column13]]), namespace_raw[[#This Row],[Column13]]/1048576,"")</f>
        <v/>
      </c>
      <c r="M132" s="168" t="str">
        <f>IF(ISNUMBER(namespace_raw[[#This Row],[Column10]]), (namespace_raw[[#This Row],[Column10]]*(1+$M$2)),"")</f>
        <v/>
      </c>
      <c r="N132" s="167" t="str">
        <f>IF(ISNUMBER(namespace_raw[[#This Row],[Column11]]), (namespace_raw[[#This Row],[Column11]]*(1+$N$2))/1048576,"")</f>
        <v/>
      </c>
      <c r="O132" s="169" t="str">
        <f>IF(ISNUMBER(namespace_raw[[#This Row],[Column8]]), (E132  * $O$2),"")</f>
        <v/>
      </c>
      <c r="P132" s="170" t="str">
        <f>IF(ISNUMBER(namespace_raw[[#This Row],[Column8]]), (F132  * $P$2),"")</f>
        <v/>
      </c>
    </row>
    <row r="133" spans="1:16" ht="15" customHeight="1" x14ac:dyDescent="0.25">
      <c r="A133" s="32" t="str">
        <f>IF(ISNONTEXT(namespace_raw[[#This Row],[Column1]]), "", namespace_raw[[#This Row],[Column1]])</f>
        <v/>
      </c>
      <c r="B133" s="33" t="str">
        <f>IF(ISNONTEXT(namespace_raw[[#This Row],[Column2]]), "", namespace_raw[[#This Row],[Column2]])</f>
        <v/>
      </c>
      <c r="C133" s="94" t="str">
        <f>IF(ISNUMBER(namespace_raw[[#This Row],[Column4]]), namespace_raw[[#This Row],[Column4]], "")</f>
        <v/>
      </c>
      <c r="D133" s="95" t="str">
        <f>IF(ISNUMBER(namespace_raw[[#This Row],[Column5]]), namespace_raw[[#This Row],[Column5]]/1048576, "")</f>
        <v/>
      </c>
      <c r="E133" s="95" t="str">
        <f>IF(ISNUMBER(namespace_raw[[#This Row],[Column6]]), namespace_raw[[#This Row],[Column6]],"")</f>
        <v/>
      </c>
      <c r="F133" s="96" t="str">
        <f>IF(ISNUMBER(namespace_raw[[#This Row],[Column7]]), namespace_raw[[#This Row],[Column7]]/1048576,"")</f>
        <v/>
      </c>
      <c r="G133" s="122" t="str">
        <f>IF(ISNUMBER(namespace_raw[[#This Row],[Column8]]), namespace_raw[[#This Row],[Column8]],"")</f>
        <v/>
      </c>
      <c r="H133" s="123" t="str">
        <f>IF(ISNUMBER(namespace_raw[[#This Row],[Column9]]), namespace_raw[[#This Row],[Column9]]/1048576,"")</f>
        <v/>
      </c>
      <c r="I133" s="124" t="str">
        <f>IF(ISNUMBER(namespace_raw[[#This Row],[Column8]]),MAX(G133, M133, O133, $I$2,IF(Q133&lt;&gt;"",VALUE(Q133),0)), "")</f>
        <v/>
      </c>
      <c r="J133" s="125" t="str">
        <f>IF(ISNUMBER(namespace_raw[[#This Row],[Column9]]),MAX(H133, N133, P133, $J$2,IF(R133&lt;&gt;"",VALUE(R133),0)),"")</f>
        <v/>
      </c>
      <c r="K133" s="166" t="str">
        <f>IF(ISNUMBER(namespace_raw[[#This Row],[Column12]]), namespace_raw[[#This Row],[Column12]],"")</f>
        <v/>
      </c>
      <c r="L133" s="167" t="str">
        <f>IF(ISNUMBER(namespace_raw[[#This Row],[Column13]]), namespace_raw[[#This Row],[Column13]]/1048576,"")</f>
        <v/>
      </c>
      <c r="M133" s="168" t="str">
        <f>IF(ISNUMBER(namespace_raw[[#This Row],[Column10]]), (namespace_raw[[#This Row],[Column10]]*(1+$M$2)),"")</f>
        <v/>
      </c>
      <c r="N133" s="167" t="str">
        <f>IF(ISNUMBER(namespace_raw[[#This Row],[Column11]]), (namespace_raw[[#This Row],[Column11]]*(1+$N$2))/1048576,"")</f>
        <v/>
      </c>
      <c r="O133" s="169" t="str">
        <f>IF(ISNUMBER(namespace_raw[[#This Row],[Column8]]), (E133  * $O$2),"")</f>
        <v/>
      </c>
      <c r="P133" s="170" t="str">
        <f>IF(ISNUMBER(namespace_raw[[#This Row],[Column8]]), (F133  * $P$2),"")</f>
        <v/>
      </c>
    </row>
    <row r="134" spans="1:16" ht="15" customHeight="1" x14ac:dyDescent="0.25">
      <c r="A134" s="32" t="str">
        <f>IF(ISNONTEXT(namespace_raw[[#This Row],[Column1]]), "", namespace_raw[[#This Row],[Column1]])</f>
        <v/>
      </c>
      <c r="B134" s="33" t="str">
        <f>IF(ISNONTEXT(namespace_raw[[#This Row],[Column2]]), "", namespace_raw[[#This Row],[Column2]])</f>
        <v/>
      </c>
      <c r="C134" s="94" t="str">
        <f>IF(ISNUMBER(namespace_raw[[#This Row],[Column4]]), namespace_raw[[#This Row],[Column4]], "")</f>
        <v/>
      </c>
      <c r="D134" s="95" t="str">
        <f>IF(ISNUMBER(namespace_raw[[#This Row],[Column5]]), namespace_raw[[#This Row],[Column5]]/1048576, "")</f>
        <v/>
      </c>
      <c r="E134" s="95" t="str">
        <f>IF(ISNUMBER(namespace_raw[[#This Row],[Column6]]), namespace_raw[[#This Row],[Column6]],"")</f>
        <v/>
      </c>
      <c r="F134" s="96" t="str">
        <f>IF(ISNUMBER(namespace_raw[[#This Row],[Column7]]), namespace_raw[[#This Row],[Column7]]/1048576,"")</f>
        <v/>
      </c>
      <c r="G134" s="122" t="str">
        <f>IF(ISNUMBER(namespace_raw[[#This Row],[Column8]]), namespace_raw[[#This Row],[Column8]],"")</f>
        <v/>
      </c>
      <c r="H134" s="123" t="str">
        <f>IF(ISNUMBER(namespace_raw[[#This Row],[Column9]]), namespace_raw[[#This Row],[Column9]]/1048576,"")</f>
        <v/>
      </c>
      <c r="I134" s="124" t="str">
        <f>IF(ISNUMBER(namespace_raw[[#This Row],[Column8]]),MAX(G134, M134, O134, $I$2,IF(Q134&lt;&gt;"",VALUE(Q134),0)), "")</f>
        <v/>
      </c>
      <c r="J134" s="125" t="str">
        <f>IF(ISNUMBER(namespace_raw[[#This Row],[Column9]]),MAX(H134, N134, P134, $J$2,IF(R134&lt;&gt;"",VALUE(R134),0)),"")</f>
        <v/>
      </c>
      <c r="K134" s="166" t="str">
        <f>IF(ISNUMBER(namespace_raw[[#This Row],[Column12]]), namespace_raw[[#This Row],[Column12]],"")</f>
        <v/>
      </c>
      <c r="L134" s="167" t="str">
        <f>IF(ISNUMBER(namespace_raw[[#This Row],[Column13]]), namespace_raw[[#This Row],[Column13]]/1048576,"")</f>
        <v/>
      </c>
      <c r="M134" s="168" t="str">
        <f>IF(ISNUMBER(namespace_raw[[#This Row],[Column10]]), (namespace_raw[[#This Row],[Column10]]*(1+$M$2)),"")</f>
        <v/>
      </c>
      <c r="N134" s="167" t="str">
        <f>IF(ISNUMBER(namespace_raw[[#This Row],[Column11]]), (namespace_raw[[#This Row],[Column11]]*(1+$N$2))/1048576,"")</f>
        <v/>
      </c>
      <c r="O134" s="169" t="str">
        <f>IF(ISNUMBER(namespace_raw[[#This Row],[Column8]]), (E134  * $O$2),"")</f>
        <v/>
      </c>
      <c r="P134" s="170" t="str">
        <f>IF(ISNUMBER(namespace_raw[[#This Row],[Column8]]), (F134  * $P$2),"")</f>
        <v/>
      </c>
    </row>
    <row r="135" spans="1:16" ht="15" customHeight="1" x14ac:dyDescent="0.25">
      <c r="A135" s="32" t="str">
        <f>IF(ISNONTEXT(namespace_raw[[#This Row],[Column1]]), "", namespace_raw[[#This Row],[Column1]])</f>
        <v/>
      </c>
      <c r="B135" s="33" t="str">
        <f>IF(ISNONTEXT(namespace_raw[[#This Row],[Column2]]), "", namespace_raw[[#This Row],[Column2]])</f>
        <v/>
      </c>
      <c r="C135" s="94" t="str">
        <f>IF(ISNUMBER(namespace_raw[[#This Row],[Column4]]), namespace_raw[[#This Row],[Column4]], "")</f>
        <v/>
      </c>
      <c r="D135" s="95" t="str">
        <f>IF(ISNUMBER(namespace_raw[[#This Row],[Column5]]), namespace_raw[[#This Row],[Column5]]/1048576, "")</f>
        <v/>
      </c>
      <c r="E135" s="95" t="str">
        <f>IF(ISNUMBER(namespace_raw[[#This Row],[Column6]]), namespace_raw[[#This Row],[Column6]],"")</f>
        <v/>
      </c>
      <c r="F135" s="96" t="str">
        <f>IF(ISNUMBER(namespace_raw[[#This Row],[Column7]]), namespace_raw[[#This Row],[Column7]]/1048576,"")</f>
        <v/>
      </c>
      <c r="G135" s="122" t="str">
        <f>IF(ISNUMBER(namespace_raw[[#This Row],[Column8]]), namespace_raw[[#This Row],[Column8]],"")</f>
        <v/>
      </c>
      <c r="H135" s="123" t="str">
        <f>IF(ISNUMBER(namespace_raw[[#This Row],[Column9]]), namespace_raw[[#This Row],[Column9]]/1048576,"")</f>
        <v/>
      </c>
      <c r="I135" s="124" t="str">
        <f>IF(ISNUMBER(namespace_raw[[#This Row],[Column8]]),MAX(G135, M135, O135, $I$2,IF(Q135&lt;&gt;"",VALUE(Q135),0)), "")</f>
        <v/>
      </c>
      <c r="J135" s="125" t="str">
        <f>IF(ISNUMBER(namespace_raw[[#This Row],[Column9]]),MAX(H135, N135, P135, $J$2,IF(R135&lt;&gt;"",VALUE(R135),0)),"")</f>
        <v/>
      </c>
      <c r="K135" s="166" t="str">
        <f>IF(ISNUMBER(namespace_raw[[#This Row],[Column12]]), namespace_raw[[#This Row],[Column12]],"")</f>
        <v/>
      </c>
      <c r="L135" s="167" t="str">
        <f>IF(ISNUMBER(namespace_raw[[#This Row],[Column13]]), namespace_raw[[#This Row],[Column13]]/1048576,"")</f>
        <v/>
      </c>
      <c r="M135" s="168" t="str">
        <f>IF(ISNUMBER(namespace_raw[[#This Row],[Column10]]), (namespace_raw[[#This Row],[Column10]]*(1+$M$2)),"")</f>
        <v/>
      </c>
      <c r="N135" s="167" t="str">
        <f>IF(ISNUMBER(namespace_raw[[#This Row],[Column11]]), (namespace_raw[[#This Row],[Column11]]*(1+$N$2))/1048576,"")</f>
        <v/>
      </c>
      <c r="O135" s="169" t="str">
        <f>IF(ISNUMBER(namespace_raw[[#This Row],[Column8]]), (E135  * $O$2),"")</f>
        <v/>
      </c>
      <c r="P135" s="170" t="str">
        <f>IF(ISNUMBER(namespace_raw[[#This Row],[Column8]]), (F135  * $P$2),"")</f>
        <v/>
      </c>
    </row>
    <row r="136" spans="1:16" ht="15" customHeight="1" x14ac:dyDescent="0.25">
      <c r="A136" s="32" t="str">
        <f>IF(ISNONTEXT(namespace_raw[[#This Row],[Column1]]), "", namespace_raw[[#This Row],[Column1]])</f>
        <v/>
      </c>
      <c r="B136" s="33" t="str">
        <f>IF(ISNONTEXT(namespace_raw[[#This Row],[Column2]]), "", namespace_raw[[#This Row],[Column2]])</f>
        <v/>
      </c>
      <c r="C136" s="94" t="str">
        <f>IF(ISNUMBER(namespace_raw[[#This Row],[Column4]]), namespace_raw[[#This Row],[Column4]], "")</f>
        <v/>
      </c>
      <c r="D136" s="95" t="str">
        <f>IF(ISNUMBER(namespace_raw[[#This Row],[Column5]]), namespace_raw[[#This Row],[Column5]]/1048576, "")</f>
        <v/>
      </c>
      <c r="E136" s="95" t="str">
        <f>IF(ISNUMBER(namespace_raw[[#This Row],[Column6]]), namespace_raw[[#This Row],[Column6]],"")</f>
        <v/>
      </c>
      <c r="F136" s="96" t="str">
        <f>IF(ISNUMBER(namespace_raw[[#This Row],[Column7]]), namespace_raw[[#This Row],[Column7]]/1048576,"")</f>
        <v/>
      </c>
      <c r="G136" s="122" t="str">
        <f>IF(ISNUMBER(namespace_raw[[#This Row],[Column8]]), namespace_raw[[#This Row],[Column8]],"")</f>
        <v/>
      </c>
      <c r="H136" s="123" t="str">
        <f>IF(ISNUMBER(namespace_raw[[#This Row],[Column9]]), namespace_raw[[#This Row],[Column9]]/1048576,"")</f>
        <v/>
      </c>
      <c r="I136" s="124" t="str">
        <f>IF(ISNUMBER(namespace_raw[[#This Row],[Column8]]),MAX(G136, M136, O136, $I$2,IF(Q136&lt;&gt;"",VALUE(Q136),0)), "")</f>
        <v/>
      </c>
      <c r="J136" s="125" t="str">
        <f>IF(ISNUMBER(namespace_raw[[#This Row],[Column9]]),MAX(H136, N136, P136, $J$2,IF(R136&lt;&gt;"",VALUE(R136),0)),"")</f>
        <v/>
      </c>
      <c r="K136" s="166" t="str">
        <f>IF(ISNUMBER(namespace_raw[[#This Row],[Column12]]), namespace_raw[[#This Row],[Column12]],"")</f>
        <v/>
      </c>
      <c r="L136" s="167" t="str">
        <f>IF(ISNUMBER(namespace_raw[[#This Row],[Column13]]), namespace_raw[[#This Row],[Column13]]/1048576,"")</f>
        <v/>
      </c>
      <c r="M136" s="168" t="str">
        <f>IF(ISNUMBER(namespace_raw[[#This Row],[Column10]]), (namespace_raw[[#This Row],[Column10]]*(1+$M$2)),"")</f>
        <v/>
      </c>
      <c r="N136" s="167" t="str">
        <f>IF(ISNUMBER(namespace_raw[[#This Row],[Column11]]), (namespace_raw[[#This Row],[Column11]]*(1+$N$2))/1048576,"")</f>
        <v/>
      </c>
      <c r="O136" s="169" t="str">
        <f>IF(ISNUMBER(namespace_raw[[#This Row],[Column8]]), (E136  * $O$2),"")</f>
        <v/>
      </c>
      <c r="P136" s="170" t="str">
        <f>IF(ISNUMBER(namespace_raw[[#This Row],[Column8]]), (F136  * $P$2),"")</f>
        <v/>
      </c>
    </row>
    <row r="137" spans="1:16" ht="15" customHeight="1" x14ac:dyDescent="0.25">
      <c r="A137" s="32" t="str">
        <f>IF(ISNONTEXT(namespace_raw[[#This Row],[Column1]]), "", namespace_raw[[#This Row],[Column1]])</f>
        <v/>
      </c>
      <c r="B137" s="33" t="str">
        <f>IF(ISNONTEXT(namespace_raw[[#This Row],[Column2]]), "", namespace_raw[[#This Row],[Column2]])</f>
        <v/>
      </c>
      <c r="C137" s="94" t="str">
        <f>IF(ISNUMBER(namespace_raw[[#This Row],[Column4]]), namespace_raw[[#This Row],[Column4]], "")</f>
        <v/>
      </c>
      <c r="D137" s="95" t="str">
        <f>IF(ISNUMBER(namespace_raw[[#This Row],[Column5]]), namespace_raw[[#This Row],[Column5]]/1048576, "")</f>
        <v/>
      </c>
      <c r="E137" s="95" t="str">
        <f>IF(ISNUMBER(namespace_raw[[#This Row],[Column6]]), namespace_raw[[#This Row],[Column6]],"")</f>
        <v/>
      </c>
      <c r="F137" s="96" t="str">
        <f>IF(ISNUMBER(namespace_raw[[#This Row],[Column7]]), namespace_raw[[#This Row],[Column7]]/1048576,"")</f>
        <v/>
      </c>
      <c r="G137" s="122" t="str">
        <f>IF(ISNUMBER(namespace_raw[[#This Row],[Column8]]), namespace_raw[[#This Row],[Column8]],"")</f>
        <v/>
      </c>
      <c r="H137" s="123" t="str">
        <f>IF(ISNUMBER(namespace_raw[[#This Row],[Column9]]), namespace_raw[[#This Row],[Column9]]/1048576,"")</f>
        <v/>
      </c>
      <c r="I137" s="124" t="str">
        <f>IF(ISNUMBER(namespace_raw[[#This Row],[Column8]]),MAX(G137, M137, O137, $I$2,IF(Q137&lt;&gt;"",VALUE(Q137),0)), "")</f>
        <v/>
      </c>
      <c r="J137" s="125" t="str">
        <f>IF(ISNUMBER(namespace_raw[[#This Row],[Column9]]),MAX(H137, N137, P137, $J$2,IF(R137&lt;&gt;"",VALUE(R137),0)),"")</f>
        <v/>
      </c>
      <c r="K137" s="166" t="str">
        <f>IF(ISNUMBER(namespace_raw[[#This Row],[Column12]]), namespace_raw[[#This Row],[Column12]],"")</f>
        <v/>
      </c>
      <c r="L137" s="167" t="str">
        <f>IF(ISNUMBER(namespace_raw[[#This Row],[Column13]]), namespace_raw[[#This Row],[Column13]]/1048576,"")</f>
        <v/>
      </c>
      <c r="M137" s="168" t="str">
        <f>IF(ISNUMBER(namespace_raw[[#This Row],[Column10]]), (namespace_raw[[#This Row],[Column10]]*(1+$M$2)),"")</f>
        <v/>
      </c>
      <c r="N137" s="167" t="str">
        <f>IF(ISNUMBER(namespace_raw[[#This Row],[Column11]]), (namespace_raw[[#This Row],[Column11]]*(1+$N$2))/1048576,"")</f>
        <v/>
      </c>
      <c r="O137" s="169" t="str">
        <f>IF(ISNUMBER(namespace_raw[[#This Row],[Column8]]), (E137  * $O$2),"")</f>
        <v/>
      </c>
      <c r="P137" s="170" t="str">
        <f>IF(ISNUMBER(namespace_raw[[#This Row],[Column8]]), (F137  * $P$2),"")</f>
        <v/>
      </c>
    </row>
    <row r="138" spans="1:16" ht="15" customHeight="1" x14ac:dyDescent="0.25">
      <c r="A138" s="32" t="str">
        <f>IF(ISNONTEXT(namespace_raw[[#This Row],[Column1]]), "", namespace_raw[[#This Row],[Column1]])</f>
        <v/>
      </c>
      <c r="B138" s="33" t="str">
        <f>IF(ISNONTEXT(namespace_raw[[#This Row],[Column2]]), "", namespace_raw[[#This Row],[Column2]])</f>
        <v/>
      </c>
      <c r="C138" s="94" t="str">
        <f>IF(ISNUMBER(namespace_raw[[#This Row],[Column4]]), namespace_raw[[#This Row],[Column4]], "")</f>
        <v/>
      </c>
      <c r="D138" s="95" t="str">
        <f>IF(ISNUMBER(namespace_raw[[#This Row],[Column5]]), namespace_raw[[#This Row],[Column5]]/1048576, "")</f>
        <v/>
      </c>
      <c r="E138" s="95" t="str">
        <f>IF(ISNUMBER(namespace_raw[[#This Row],[Column6]]), namespace_raw[[#This Row],[Column6]],"")</f>
        <v/>
      </c>
      <c r="F138" s="96" t="str">
        <f>IF(ISNUMBER(namespace_raw[[#This Row],[Column7]]), namespace_raw[[#This Row],[Column7]]/1048576,"")</f>
        <v/>
      </c>
      <c r="G138" s="122" t="str">
        <f>IF(ISNUMBER(namespace_raw[[#This Row],[Column8]]), namespace_raw[[#This Row],[Column8]],"")</f>
        <v/>
      </c>
      <c r="H138" s="123" t="str">
        <f>IF(ISNUMBER(namespace_raw[[#This Row],[Column9]]), namespace_raw[[#This Row],[Column9]]/1048576,"")</f>
        <v/>
      </c>
      <c r="I138" s="124" t="str">
        <f>IF(ISNUMBER(namespace_raw[[#This Row],[Column8]]),MAX(G138, M138, O138, $I$2,IF(Q138&lt;&gt;"",VALUE(Q138),0)), "")</f>
        <v/>
      </c>
      <c r="J138" s="125" t="str">
        <f>IF(ISNUMBER(namespace_raw[[#This Row],[Column9]]),MAX(H138, N138, P138, $J$2,IF(R138&lt;&gt;"",VALUE(R138),0)),"")</f>
        <v/>
      </c>
      <c r="K138" s="166" t="str">
        <f>IF(ISNUMBER(namespace_raw[[#This Row],[Column12]]), namespace_raw[[#This Row],[Column12]],"")</f>
        <v/>
      </c>
      <c r="L138" s="167" t="str">
        <f>IF(ISNUMBER(namespace_raw[[#This Row],[Column13]]), namespace_raw[[#This Row],[Column13]]/1048576,"")</f>
        <v/>
      </c>
      <c r="M138" s="168" t="str">
        <f>IF(ISNUMBER(namespace_raw[[#This Row],[Column10]]), (namespace_raw[[#This Row],[Column10]]*(1+$M$2)),"")</f>
        <v/>
      </c>
      <c r="N138" s="167" t="str">
        <f>IF(ISNUMBER(namespace_raw[[#This Row],[Column11]]), (namespace_raw[[#This Row],[Column11]]*(1+$N$2))/1048576,"")</f>
        <v/>
      </c>
      <c r="O138" s="169" t="str">
        <f>IF(ISNUMBER(namespace_raw[[#This Row],[Column8]]), (E138  * $O$2),"")</f>
        <v/>
      </c>
      <c r="P138" s="170" t="str">
        <f>IF(ISNUMBER(namespace_raw[[#This Row],[Column8]]), (F138  * $P$2),"")</f>
        <v/>
      </c>
    </row>
    <row r="139" spans="1:16" ht="15" customHeight="1" x14ac:dyDescent="0.25">
      <c r="A139" s="32" t="str">
        <f>IF(ISNONTEXT(namespace_raw[[#This Row],[Column1]]), "", namespace_raw[[#This Row],[Column1]])</f>
        <v/>
      </c>
      <c r="B139" s="33" t="str">
        <f>IF(ISNONTEXT(namespace_raw[[#This Row],[Column2]]), "", namespace_raw[[#This Row],[Column2]])</f>
        <v/>
      </c>
      <c r="C139" s="94" t="str">
        <f>IF(ISNUMBER(namespace_raw[[#This Row],[Column4]]), namespace_raw[[#This Row],[Column4]], "")</f>
        <v/>
      </c>
      <c r="D139" s="95" t="str">
        <f>IF(ISNUMBER(namespace_raw[[#This Row],[Column5]]), namespace_raw[[#This Row],[Column5]]/1048576, "")</f>
        <v/>
      </c>
      <c r="E139" s="95" t="str">
        <f>IF(ISNUMBER(namespace_raw[[#This Row],[Column6]]), namespace_raw[[#This Row],[Column6]],"")</f>
        <v/>
      </c>
      <c r="F139" s="96" t="str">
        <f>IF(ISNUMBER(namespace_raw[[#This Row],[Column7]]), namespace_raw[[#This Row],[Column7]]/1048576,"")</f>
        <v/>
      </c>
      <c r="G139" s="122" t="str">
        <f>IF(ISNUMBER(namespace_raw[[#This Row],[Column8]]), namespace_raw[[#This Row],[Column8]],"")</f>
        <v/>
      </c>
      <c r="H139" s="123" t="str">
        <f>IF(ISNUMBER(namespace_raw[[#This Row],[Column9]]), namespace_raw[[#This Row],[Column9]]/1048576,"")</f>
        <v/>
      </c>
      <c r="I139" s="124" t="str">
        <f>IF(ISNUMBER(namespace_raw[[#This Row],[Column8]]),MAX(G139, M139, O139, $I$2,IF(Q139&lt;&gt;"",VALUE(Q139),0)), "")</f>
        <v/>
      </c>
      <c r="J139" s="125" t="str">
        <f>IF(ISNUMBER(namespace_raw[[#This Row],[Column9]]),MAX(H139, N139, P139, $J$2,IF(R139&lt;&gt;"",VALUE(R139),0)),"")</f>
        <v/>
      </c>
      <c r="K139" s="166" t="str">
        <f>IF(ISNUMBER(namespace_raw[[#This Row],[Column12]]), namespace_raw[[#This Row],[Column12]],"")</f>
        <v/>
      </c>
      <c r="L139" s="167" t="str">
        <f>IF(ISNUMBER(namespace_raw[[#This Row],[Column13]]), namespace_raw[[#This Row],[Column13]]/1048576,"")</f>
        <v/>
      </c>
      <c r="M139" s="168" t="str">
        <f>IF(ISNUMBER(namespace_raw[[#This Row],[Column10]]), (namespace_raw[[#This Row],[Column10]]*(1+$M$2)),"")</f>
        <v/>
      </c>
      <c r="N139" s="167" t="str">
        <f>IF(ISNUMBER(namespace_raw[[#This Row],[Column11]]), (namespace_raw[[#This Row],[Column11]]*(1+$N$2))/1048576,"")</f>
        <v/>
      </c>
      <c r="O139" s="169" t="str">
        <f>IF(ISNUMBER(namespace_raw[[#This Row],[Column8]]), (E139  * $O$2),"")</f>
        <v/>
      </c>
      <c r="P139" s="170" t="str">
        <f>IF(ISNUMBER(namespace_raw[[#This Row],[Column8]]), (F139  * $P$2),"")</f>
        <v/>
      </c>
    </row>
    <row r="140" spans="1:16" ht="15" customHeight="1" x14ac:dyDescent="0.25">
      <c r="A140" s="32" t="str">
        <f>IF(ISNONTEXT(namespace_raw[[#This Row],[Column1]]), "", namespace_raw[[#This Row],[Column1]])</f>
        <v/>
      </c>
      <c r="B140" s="33" t="str">
        <f>IF(ISNONTEXT(namespace_raw[[#This Row],[Column2]]), "", namespace_raw[[#This Row],[Column2]])</f>
        <v/>
      </c>
      <c r="C140" s="94" t="str">
        <f>IF(ISNUMBER(namespace_raw[[#This Row],[Column4]]), namespace_raw[[#This Row],[Column4]], "")</f>
        <v/>
      </c>
      <c r="D140" s="95" t="str">
        <f>IF(ISNUMBER(namespace_raw[[#This Row],[Column5]]), namespace_raw[[#This Row],[Column5]]/1048576, "")</f>
        <v/>
      </c>
      <c r="E140" s="95" t="str">
        <f>IF(ISNUMBER(namespace_raw[[#This Row],[Column6]]), namespace_raw[[#This Row],[Column6]],"")</f>
        <v/>
      </c>
      <c r="F140" s="96" t="str">
        <f>IF(ISNUMBER(namespace_raw[[#This Row],[Column7]]), namespace_raw[[#This Row],[Column7]]/1048576,"")</f>
        <v/>
      </c>
      <c r="G140" s="122" t="str">
        <f>IF(ISNUMBER(namespace_raw[[#This Row],[Column8]]), namespace_raw[[#This Row],[Column8]],"")</f>
        <v/>
      </c>
      <c r="H140" s="123" t="str">
        <f>IF(ISNUMBER(namespace_raw[[#This Row],[Column9]]), namespace_raw[[#This Row],[Column9]]/1048576,"")</f>
        <v/>
      </c>
      <c r="I140" s="124" t="str">
        <f>IF(ISNUMBER(namespace_raw[[#This Row],[Column8]]),MAX(G140, M140, O140, $I$2,IF(Q140&lt;&gt;"",VALUE(Q140),0)), "")</f>
        <v/>
      </c>
      <c r="J140" s="125" t="str">
        <f>IF(ISNUMBER(namespace_raw[[#This Row],[Column9]]),MAX(H140, N140, P140, $J$2,IF(R140&lt;&gt;"",VALUE(R140),0)),"")</f>
        <v/>
      </c>
      <c r="K140" s="166" t="str">
        <f>IF(ISNUMBER(namespace_raw[[#This Row],[Column12]]), namespace_raw[[#This Row],[Column12]],"")</f>
        <v/>
      </c>
      <c r="L140" s="167" t="str">
        <f>IF(ISNUMBER(namespace_raw[[#This Row],[Column13]]), namespace_raw[[#This Row],[Column13]]/1048576,"")</f>
        <v/>
      </c>
      <c r="M140" s="168" t="str">
        <f>IF(ISNUMBER(namespace_raw[[#This Row],[Column10]]), (namespace_raw[[#This Row],[Column10]]*(1+$M$2)),"")</f>
        <v/>
      </c>
      <c r="N140" s="167" t="str">
        <f>IF(ISNUMBER(namespace_raw[[#This Row],[Column11]]), (namespace_raw[[#This Row],[Column11]]*(1+$N$2))/1048576,"")</f>
        <v/>
      </c>
      <c r="O140" s="169" t="str">
        <f>IF(ISNUMBER(namespace_raw[[#This Row],[Column8]]), (E140  * $O$2),"")</f>
        <v/>
      </c>
      <c r="P140" s="170" t="str">
        <f>IF(ISNUMBER(namespace_raw[[#This Row],[Column8]]), (F140  * $P$2),"")</f>
        <v/>
      </c>
    </row>
    <row r="141" spans="1:16" ht="15" customHeight="1" x14ac:dyDescent="0.25">
      <c r="A141" s="32" t="str">
        <f>IF(ISNONTEXT(namespace_raw[[#This Row],[Column1]]), "", namespace_raw[[#This Row],[Column1]])</f>
        <v/>
      </c>
      <c r="B141" s="33" t="str">
        <f>IF(ISNONTEXT(namespace_raw[[#This Row],[Column2]]), "", namespace_raw[[#This Row],[Column2]])</f>
        <v/>
      </c>
      <c r="C141" s="94" t="str">
        <f>IF(ISNUMBER(namespace_raw[[#This Row],[Column4]]), namespace_raw[[#This Row],[Column4]], "")</f>
        <v/>
      </c>
      <c r="D141" s="95" t="str">
        <f>IF(ISNUMBER(namespace_raw[[#This Row],[Column5]]), namespace_raw[[#This Row],[Column5]]/1048576, "")</f>
        <v/>
      </c>
      <c r="E141" s="95" t="str">
        <f>IF(ISNUMBER(namespace_raw[[#This Row],[Column6]]), namespace_raw[[#This Row],[Column6]],"")</f>
        <v/>
      </c>
      <c r="F141" s="96" t="str">
        <f>IF(ISNUMBER(namespace_raw[[#This Row],[Column7]]), namespace_raw[[#This Row],[Column7]]/1048576,"")</f>
        <v/>
      </c>
      <c r="G141" s="122" t="str">
        <f>IF(ISNUMBER(namespace_raw[[#This Row],[Column8]]), namespace_raw[[#This Row],[Column8]],"")</f>
        <v/>
      </c>
      <c r="H141" s="123" t="str">
        <f>IF(ISNUMBER(namespace_raw[[#This Row],[Column9]]), namespace_raw[[#This Row],[Column9]]/1048576,"")</f>
        <v/>
      </c>
      <c r="I141" s="124" t="str">
        <f>IF(ISNUMBER(namespace_raw[[#This Row],[Column8]]),MAX(G141, M141, O141, $I$2,IF(Q141&lt;&gt;"",VALUE(Q141),0)), "")</f>
        <v/>
      </c>
      <c r="J141" s="125" t="str">
        <f>IF(ISNUMBER(namespace_raw[[#This Row],[Column9]]),MAX(H141, N141, P141, $J$2,IF(R141&lt;&gt;"",VALUE(R141),0)),"")</f>
        <v/>
      </c>
      <c r="K141" s="166" t="str">
        <f>IF(ISNUMBER(namespace_raw[[#This Row],[Column12]]), namespace_raw[[#This Row],[Column12]],"")</f>
        <v/>
      </c>
      <c r="L141" s="167" t="str">
        <f>IF(ISNUMBER(namespace_raw[[#This Row],[Column13]]), namespace_raw[[#This Row],[Column13]]/1048576,"")</f>
        <v/>
      </c>
      <c r="M141" s="168" t="str">
        <f>IF(ISNUMBER(namespace_raw[[#This Row],[Column10]]), (namespace_raw[[#This Row],[Column10]]*(1+$M$2)),"")</f>
        <v/>
      </c>
      <c r="N141" s="167" t="str">
        <f>IF(ISNUMBER(namespace_raw[[#This Row],[Column11]]), (namespace_raw[[#This Row],[Column11]]*(1+$N$2))/1048576,"")</f>
        <v/>
      </c>
      <c r="O141" s="169" t="str">
        <f>IF(ISNUMBER(namespace_raw[[#This Row],[Column8]]), (E141  * $O$2),"")</f>
        <v/>
      </c>
      <c r="P141" s="170" t="str">
        <f>IF(ISNUMBER(namespace_raw[[#This Row],[Column8]]), (F141  * $P$2),"")</f>
        <v/>
      </c>
    </row>
    <row r="142" spans="1:16" ht="15" customHeight="1" x14ac:dyDescent="0.25">
      <c r="A142" s="32" t="str">
        <f>IF(ISNONTEXT(namespace_raw[[#This Row],[Column1]]), "", namespace_raw[[#This Row],[Column1]])</f>
        <v/>
      </c>
      <c r="B142" s="33" t="str">
        <f>IF(ISNONTEXT(namespace_raw[[#This Row],[Column2]]), "", namespace_raw[[#This Row],[Column2]])</f>
        <v/>
      </c>
      <c r="C142" s="94" t="str">
        <f>IF(ISNUMBER(namespace_raw[[#This Row],[Column4]]), namespace_raw[[#This Row],[Column4]], "")</f>
        <v/>
      </c>
      <c r="D142" s="95" t="str">
        <f>IF(ISNUMBER(namespace_raw[[#This Row],[Column5]]), namespace_raw[[#This Row],[Column5]]/1048576, "")</f>
        <v/>
      </c>
      <c r="E142" s="95" t="str">
        <f>IF(ISNUMBER(namespace_raw[[#This Row],[Column6]]), namespace_raw[[#This Row],[Column6]],"")</f>
        <v/>
      </c>
      <c r="F142" s="96" t="str">
        <f>IF(ISNUMBER(namespace_raw[[#This Row],[Column7]]), namespace_raw[[#This Row],[Column7]]/1048576,"")</f>
        <v/>
      </c>
      <c r="G142" s="122" t="str">
        <f>IF(ISNUMBER(namespace_raw[[#This Row],[Column8]]), namespace_raw[[#This Row],[Column8]],"")</f>
        <v/>
      </c>
      <c r="H142" s="123" t="str">
        <f>IF(ISNUMBER(namespace_raw[[#This Row],[Column9]]), namespace_raw[[#This Row],[Column9]]/1048576,"")</f>
        <v/>
      </c>
      <c r="I142" s="124" t="str">
        <f>IF(ISNUMBER(namespace_raw[[#This Row],[Column8]]),MAX(G142, M142, O142, $I$2,IF(Q142&lt;&gt;"",VALUE(Q142),0)), "")</f>
        <v/>
      </c>
      <c r="J142" s="125" t="str">
        <f>IF(ISNUMBER(namespace_raw[[#This Row],[Column9]]),MAX(H142, N142, P142, $J$2,IF(R142&lt;&gt;"",VALUE(R142),0)),"")</f>
        <v/>
      </c>
      <c r="K142" s="166" t="str">
        <f>IF(ISNUMBER(namespace_raw[[#This Row],[Column12]]), namespace_raw[[#This Row],[Column12]],"")</f>
        <v/>
      </c>
      <c r="L142" s="167" t="str">
        <f>IF(ISNUMBER(namespace_raw[[#This Row],[Column13]]), namespace_raw[[#This Row],[Column13]]/1048576,"")</f>
        <v/>
      </c>
      <c r="M142" s="168" t="str">
        <f>IF(ISNUMBER(namespace_raw[[#This Row],[Column10]]), (namespace_raw[[#This Row],[Column10]]*(1+$M$2)),"")</f>
        <v/>
      </c>
      <c r="N142" s="167" t="str">
        <f>IF(ISNUMBER(namespace_raw[[#This Row],[Column11]]), (namespace_raw[[#This Row],[Column11]]*(1+$N$2))/1048576,"")</f>
        <v/>
      </c>
      <c r="O142" s="169" t="str">
        <f>IF(ISNUMBER(namespace_raw[[#This Row],[Column8]]), (E142  * $O$2),"")</f>
        <v/>
      </c>
      <c r="P142" s="170" t="str">
        <f>IF(ISNUMBER(namespace_raw[[#This Row],[Column8]]), (F142  * $P$2),"")</f>
        <v/>
      </c>
    </row>
    <row r="143" spans="1:16" ht="15" customHeight="1" x14ac:dyDescent="0.25">
      <c r="A143" s="32" t="str">
        <f>IF(ISNONTEXT(namespace_raw[[#This Row],[Column1]]), "", namespace_raw[[#This Row],[Column1]])</f>
        <v/>
      </c>
      <c r="B143" s="33" t="str">
        <f>IF(ISNONTEXT(namespace_raw[[#This Row],[Column2]]), "", namespace_raw[[#This Row],[Column2]])</f>
        <v/>
      </c>
      <c r="C143" s="94" t="str">
        <f>IF(ISNUMBER(namespace_raw[[#This Row],[Column4]]), namespace_raw[[#This Row],[Column4]], "")</f>
        <v/>
      </c>
      <c r="D143" s="95" t="str">
        <f>IF(ISNUMBER(namespace_raw[[#This Row],[Column5]]), namespace_raw[[#This Row],[Column5]]/1048576, "")</f>
        <v/>
      </c>
      <c r="E143" s="95" t="str">
        <f>IF(ISNUMBER(namespace_raw[[#This Row],[Column6]]), namespace_raw[[#This Row],[Column6]],"")</f>
        <v/>
      </c>
      <c r="F143" s="96" t="str">
        <f>IF(ISNUMBER(namespace_raw[[#This Row],[Column7]]), namespace_raw[[#This Row],[Column7]]/1048576,"")</f>
        <v/>
      </c>
      <c r="G143" s="122" t="str">
        <f>IF(ISNUMBER(namespace_raw[[#This Row],[Column8]]), namespace_raw[[#This Row],[Column8]],"")</f>
        <v/>
      </c>
      <c r="H143" s="123" t="str">
        <f>IF(ISNUMBER(namespace_raw[[#This Row],[Column9]]), namespace_raw[[#This Row],[Column9]]/1048576,"")</f>
        <v/>
      </c>
      <c r="I143" s="124" t="str">
        <f>IF(ISNUMBER(namespace_raw[[#This Row],[Column8]]),MAX(G143, M143, O143, $I$2,IF(Q143&lt;&gt;"",VALUE(Q143),0)), "")</f>
        <v/>
      </c>
      <c r="J143" s="125" t="str">
        <f>IF(ISNUMBER(namespace_raw[[#This Row],[Column9]]),MAX(H143, N143, P143, $J$2,IF(R143&lt;&gt;"",VALUE(R143),0)),"")</f>
        <v/>
      </c>
      <c r="K143" s="166" t="str">
        <f>IF(ISNUMBER(namespace_raw[[#This Row],[Column12]]), namespace_raw[[#This Row],[Column12]],"")</f>
        <v/>
      </c>
      <c r="L143" s="167" t="str">
        <f>IF(ISNUMBER(namespace_raw[[#This Row],[Column13]]), namespace_raw[[#This Row],[Column13]]/1048576,"")</f>
        <v/>
      </c>
      <c r="M143" s="168" t="str">
        <f>IF(ISNUMBER(namespace_raw[[#This Row],[Column10]]), (namespace_raw[[#This Row],[Column10]]*(1+$M$2)),"")</f>
        <v/>
      </c>
      <c r="N143" s="167" t="str">
        <f>IF(ISNUMBER(namespace_raw[[#This Row],[Column11]]), (namespace_raw[[#This Row],[Column11]]*(1+$N$2))/1048576,"")</f>
        <v/>
      </c>
      <c r="O143" s="169" t="str">
        <f>IF(ISNUMBER(namespace_raw[[#This Row],[Column8]]), (E143  * $O$2),"")</f>
        <v/>
      </c>
      <c r="P143" s="170" t="str">
        <f>IF(ISNUMBER(namespace_raw[[#This Row],[Column8]]), (F143  * $P$2),"")</f>
        <v/>
      </c>
    </row>
    <row r="144" spans="1:16" ht="15" customHeight="1" x14ac:dyDescent="0.25">
      <c r="A144" s="32" t="str">
        <f>IF(ISNONTEXT(namespace_raw[[#This Row],[Column1]]), "", namespace_raw[[#This Row],[Column1]])</f>
        <v/>
      </c>
      <c r="B144" s="33" t="str">
        <f>IF(ISNONTEXT(namespace_raw[[#This Row],[Column2]]), "", namespace_raw[[#This Row],[Column2]])</f>
        <v/>
      </c>
      <c r="C144" s="94" t="str">
        <f>IF(ISNUMBER(namespace_raw[[#This Row],[Column4]]), namespace_raw[[#This Row],[Column4]], "")</f>
        <v/>
      </c>
      <c r="D144" s="95" t="str">
        <f>IF(ISNUMBER(namespace_raw[[#This Row],[Column5]]), namespace_raw[[#This Row],[Column5]]/1048576, "")</f>
        <v/>
      </c>
      <c r="E144" s="95" t="str">
        <f>IF(ISNUMBER(namespace_raw[[#This Row],[Column6]]), namespace_raw[[#This Row],[Column6]],"")</f>
        <v/>
      </c>
      <c r="F144" s="96" t="str">
        <f>IF(ISNUMBER(namespace_raw[[#This Row],[Column7]]), namespace_raw[[#This Row],[Column7]]/1048576,"")</f>
        <v/>
      </c>
      <c r="G144" s="122" t="str">
        <f>IF(ISNUMBER(namespace_raw[[#This Row],[Column8]]), namespace_raw[[#This Row],[Column8]],"")</f>
        <v/>
      </c>
      <c r="H144" s="123" t="str">
        <f>IF(ISNUMBER(namespace_raw[[#This Row],[Column9]]), namespace_raw[[#This Row],[Column9]]/1048576,"")</f>
        <v/>
      </c>
      <c r="I144" s="124" t="str">
        <f>IF(ISNUMBER(namespace_raw[[#This Row],[Column8]]),MAX(G144, M144, O144, $I$2,IF(Q144&lt;&gt;"",VALUE(Q144),0)), "")</f>
        <v/>
      </c>
      <c r="J144" s="125" t="str">
        <f>IF(ISNUMBER(namespace_raw[[#This Row],[Column9]]),MAX(H144, N144, P144, $J$2,IF(R144&lt;&gt;"",VALUE(R144),0)),"")</f>
        <v/>
      </c>
      <c r="K144" s="166" t="str">
        <f>IF(ISNUMBER(namespace_raw[[#This Row],[Column12]]), namespace_raw[[#This Row],[Column12]],"")</f>
        <v/>
      </c>
      <c r="L144" s="167" t="str">
        <f>IF(ISNUMBER(namespace_raw[[#This Row],[Column13]]), namespace_raw[[#This Row],[Column13]]/1048576,"")</f>
        <v/>
      </c>
      <c r="M144" s="168" t="str">
        <f>IF(ISNUMBER(namespace_raw[[#This Row],[Column10]]), (namespace_raw[[#This Row],[Column10]]*(1+$M$2)),"")</f>
        <v/>
      </c>
      <c r="N144" s="167" t="str">
        <f>IF(ISNUMBER(namespace_raw[[#This Row],[Column11]]), (namespace_raw[[#This Row],[Column11]]*(1+$N$2))/1048576,"")</f>
        <v/>
      </c>
      <c r="O144" s="169" t="str">
        <f>IF(ISNUMBER(namespace_raw[[#This Row],[Column8]]), (E144  * $O$2),"")</f>
        <v/>
      </c>
      <c r="P144" s="170" t="str">
        <f>IF(ISNUMBER(namespace_raw[[#This Row],[Column8]]), (F144  * $P$2),"")</f>
        <v/>
      </c>
    </row>
    <row r="145" spans="1:16" ht="15" customHeight="1" x14ac:dyDescent="0.25">
      <c r="A145" s="32" t="str">
        <f>IF(ISNONTEXT(namespace_raw[[#This Row],[Column1]]), "", namespace_raw[[#This Row],[Column1]])</f>
        <v/>
      </c>
      <c r="B145" s="33" t="str">
        <f>IF(ISNONTEXT(namespace_raw[[#This Row],[Column2]]), "", namespace_raw[[#This Row],[Column2]])</f>
        <v/>
      </c>
      <c r="C145" s="94" t="str">
        <f>IF(ISNUMBER(namespace_raw[[#This Row],[Column4]]), namespace_raw[[#This Row],[Column4]], "")</f>
        <v/>
      </c>
      <c r="D145" s="95" t="str">
        <f>IF(ISNUMBER(namespace_raw[[#This Row],[Column5]]), namespace_raw[[#This Row],[Column5]]/1048576, "")</f>
        <v/>
      </c>
      <c r="E145" s="95" t="str">
        <f>IF(ISNUMBER(namespace_raw[[#This Row],[Column6]]), namespace_raw[[#This Row],[Column6]],"")</f>
        <v/>
      </c>
      <c r="F145" s="96" t="str">
        <f>IF(ISNUMBER(namespace_raw[[#This Row],[Column7]]), namespace_raw[[#This Row],[Column7]]/1048576,"")</f>
        <v/>
      </c>
      <c r="G145" s="122" t="str">
        <f>IF(ISNUMBER(namespace_raw[[#This Row],[Column8]]), namespace_raw[[#This Row],[Column8]],"")</f>
        <v/>
      </c>
      <c r="H145" s="123" t="str">
        <f>IF(ISNUMBER(namespace_raw[[#This Row],[Column9]]), namespace_raw[[#This Row],[Column9]]/1048576,"")</f>
        <v/>
      </c>
      <c r="I145" s="124" t="str">
        <f>IF(ISNUMBER(namespace_raw[[#This Row],[Column8]]),MAX(G145, M145, O145, $I$2,IF(Q145&lt;&gt;"",VALUE(Q145),0)), "")</f>
        <v/>
      </c>
      <c r="J145" s="125" t="str">
        <f>IF(ISNUMBER(namespace_raw[[#This Row],[Column9]]),MAX(H145, N145, P145, $J$2,IF(R145&lt;&gt;"",VALUE(R145),0)),"")</f>
        <v/>
      </c>
      <c r="K145" s="166" t="str">
        <f>IF(ISNUMBER(namespace_raw[[#This Row],[Column12]]), namespace_raw[[#This Row],[Column12]],"")</f>
        <v/>
      </c>
      <c r="L145" s="167" t="str">
        <f>IF(ISNUMBER(namespace_raw[[#This Row],[Column13]]), namespace_raw[[#This Row],[Column13]]/1048576,"")</f>
        <v/>
      </c>
      <c r="M145" s="168" t="str">
        <f>IF(ISNUMBER(namespace_raw[[#This Row],[Column10]]), (namespace_raw[[#This Row],[Column10]]*(1+$M$2)),"")</f>
        <v/>
      </c>
      <c r="N145" s="167" t="str">
        <f>IF(ISNUMBER(namespace_raw[[#This Row],[Column11]]), (namespace_raw[[#This Row],[Column11]]*(1+$N$2))/1048576,"")</f>
        <v/>
      </c>
      <c r="O145" s="169" t="str">
        <f>IF(ISNUMBER(namespace_raw[[#This Row],[Column8]]), (E145  * $O$2),"")</f>
        <v/>
      </c>
      <c r="P145" s="170" t="str">
        <f>IF(ISNUMBER(namespace_raw[[#This Row],[Column8]]), (F145  * $P$2),"")</f>
        <v/>
      </c>
    </row>
    <row r="146" spans="1:16" ht="15" customHeight="1" x14ac:dyDescent="0.25">
      <c r="A146" s="32" t="str">
        <f>IF(ISNONTEXT(namespace_raw[[#This Row],[Column1]]), "", namespace_raw[[#This Row],[Column1]])</f>
        <v/>
      </c>
      <c r="B146" s="33" t="str">
        <f>IF(ISNONTEXT(namespace_raw[[#This Row],[Column2]]), "", namespace_raw[[#This Row],[Column2]])</f>
        <v/>
      </c>
      <c r="C146" s="94" t="str">
        <f>IF(ISNUMBER(namespace_raw[[#This Row],[Column4]]), namespace_raw[[#This Row],[Column4]], "")</f>
        <v/>
      </c>
      <c r="D146" s="95" t="str">
        <f>IF(ISNUMBER(namespace_raw[[#This Row],[Column5]]), namespace_raw[[#This Row],[Column5]]/1048576, "")</f>
        <v/>
      </c>
      <c r="E146" s="95" t="str">
        <f>IF(ISNUMBER(namespace_raw[[#This Row],[Column6]]), namespace_raw[[#This Row],[Column6]],"")</f>
        <v/>
      </c>
      <c r="F146" s="96" t="str">
        <f>IF(ISNUMBER(namespace_raw[[#This Row],[Column7]]), namespace_raw[[#This Row],[Column7]]/1048576,"")</f>
        <v/>
      </c>
      <c r="G146" s="122" t="str">
        <f>IF(ISNUMBER(namespace_raw[[#This Row],[Column8]]), namespace_raw[[#This Row],[Column8]],"")</f>
        <v/>
      </c>
      <c r="H146" s="123" t="str">
        <f>IF(ISNUMBER(namespace_raw[[#This Row],[Column9]]), namespace_raw[[#This Row],[Column9]]/1048576,"")</f>
        <v/>
      </c>
      <c r="I146" s="124" t="str">
        <f>IF(ISNUMBER(namespace_raw[[#This Row],[Column8]]),MAX(G146, M146, O146, $I$2,IF(Q146&lt;&gt;"",VALUE(Q146),0)), "")</f>
        <v/>
      </c>
      <c r="J146" s="125" t="str">
        <f>IF(ISNUMBER(namespace_raw[[#This Row],[Column9]]),MAX(H146, N146, P146, $J$2,IF(R146&lt;&gt;"",VALUE(R146),0)),"")</f>
        <v/>
      </c>
      <c r="K146" s="166" t="str">
        <f>IF(ISNUMBER(namespace_raw[[#This Row],[Column12]]), namespace_raw[[#This Row],[Column12]],"")</f>
        <v/>
      </c>
      <c r="L146" s="167" t="str">
        <f>IF(ISNUMBER(namespace_raw[[#This Row],[Column13]]), namespace_raw[[#This Row],[Column13]]/1048576,"")</f>
        <v/>
      </c>
      <c r="M146" s="168" t="str">
        <f>IF(ISNUMBER(namespace_raw[[#This Row],[Column10]]), (namespace_raw[[#This Row],[Column10]]*(1+$M$2)),"")</f>
        <v/>
      </c>
      <c r="N146" s="167" t="str">
        <f>IF(ISNUMBER(namespace_raw[[#This Row],[Column11]]), (namespace_raw[[#This Row],[Column11]]*(1+$N$2))/1048576,"")</f>
        <v/>
      </c>
      <c r="O146" s="169" t="str">
        <f>IF(ISNUMBER(namespace_raw[[#This Row],[Column8]]), (E146  * $O$2),"")</f>
        <v/>
      </c>
      <c r="P146" s="170" t="str">
        <f>IF(ISNUMBER(namespace_raw[[#This Row],[Column8]]), (F146  * $P$2),"")</f>
        <v/>
      </c>
    </row>
    <row r="147" spans="1:16" ht="15" customHeight="1" x14ac:dyDescent="0.25">
      <c r="A147" s="32" t="str">
        <f>IF(ISNONTEXT(namespace_raw[[#This Row],[Column1]]), "", namespace_raw[[#This Row],[Column1]])</f>
        <v/>
      </c>
      <c r="B147" s="33" t="str">
        <f>IF(ISNONTEXT(namespace_raw[[#This Row],[Column2]]), "", namespace_raw[[#This Row],[Column2]])</f>
        <v/>
      </c>
      <c r="C147" s="94" t="str">
        <f>IF(ISNUMBER(namespace_raw[[#This Row],[Column4]]), namespace_raw[[#This Row],[Column4]], "")</f>
        <v/>
      </c>
      <c r="D147" s="95" t="str">
        <f>IF(ISNUMBER(namespace_raw[[#This Row],[Column5]]), namespace_raw[[#This Row],[Column5]]/1048576, "")</f>
        <v/>
      </c>
      <c r="E147" s="95" t="str">
        <f>IF(ISNUMBER(namespace_raw[[#This Row],[Column6]]), namespace_raw[[#This Row],[Column6]],"")</f>
        <v/>
      </c>
      <c r="F147" s="96" t="str">
        <f>IF(ISNUMBER(namespace_raw[[#This Row],[Column7]]), namespace_raw[[#This Row],[Column7]]/1048576,"")</f>
        <v/>
      </c>
      <c r="G147" s="122" t="str">
        <f>IF(ISNUMBER(namespace_raw[[#This Row],[Column8]]), namespace_raw[[#This Row],[Column8]],"")</f>
        <v/>
      </c>
      <c r="H147" s="123" t="str">
        <f>IF(ISNUMBER(namespace_raw[[#This Row],[Column9]]), namespace_raw[[#This Row],[Column9]]/1048576,"")</f>
        <v/>
      </c>
      <c r="I147" s="124" t="str">
        <f>IF(ISNUMBER(namespace_raw[[#This Row],[Column8]]),MAX(G147, M147, O147, $I$2,IF(Q147&lt;&gt;"",VALUE(Q147),0)), "")</f>
        <v/>
      </c>
      <c r="J147" s="125" t="str">
        <f>IF(ISNUMBER(namespace_raw[[#This Row],[Column9]]),MAX(H147, N147, P147, $J$2,IF(R147&lt;&gt;"",VALUE(R147),0)),"")</f>
        <v/>
      </c>
      <c r="K147" s="166" t="str">
        <f>IF(ISNUMBER(namespace_raw[[#This Row],[Column12]]), namespace_raw[[#This Row],[Column12]],"")</f>
        <v/>
      </c>
      <c r="L147" s="167" t="str">
        <f>IF(ISNUMBER(namespace_raw[[#This Row],[Column13]]), namespace_raw[[#This Row],[Column13]]/1048576,"")</f>
        <v/>
      </c>
      <c r="M147" s="168" t="str">
        <f>IF(ISNUMBER(namespace_raw[[#This Row],[Column10]]), (namespace_raw[[#This Row],[Column10]]*(1+$M$2)),"")</f>
        <v/>
      </c>
      <c r="N147" s="167" t="str">
        <f>IF(ISNUMBER(namespace_raw[[#This Row],[Column11]]), (namespace_raw[[#This Row],[Column11]]*(1+$N$2))/1048576,"")</f>
        <v/>
      </c>
      <c r="O147" s="169" t="str">
        <f>IF(ISNUMBER(namespace_raw[[#This Row],[Column8]]), (E147  * $O$2),"")</f>
        <v/>
      </c>
      <c r="P147" s="170" t="str">
        <f>IF(ISNUMBER(namespace_raw[[#This Row],[Column8]]), (F147  * $P$2),"")</f>
        <v/>
      </c>
    </row>
    <row r="148" spans="1:16" ht="15" customHeight="1" x14ac:dyDescent="0.25">
      <c r="A148" s="32" t="str">
        <f>IF(ISNONTEXT(namespace_raw[[#This Row],[Column1]]), "", namespace_raw[[#This Row],[Column1]])</f>
        <v/>
      </c>
      <c r="B148" s="33" t="str">
        <f>IF(ISNONTEXT(namespace_raw[[#This Row],[Column2]]), "", namespace_raw[[#This Row],[Column2]])</f>
        <v/>
      </c>
      <c r="C148" s="94" t="str">
        <f>IF(ISNUMBER(namespace_raw[[#This Row],[Column4]]), namespace_raw[[#This Row],[Column4]], "")</f>
        <v/>
      </c>
      <c r="D148" s="95" t="str">
        <f>IF(ISNUMBER(namespace_raw[[#This Row],[Column5]]), namespace_raw[[#This Row],[Column5]]/1048576, "")</f>
        <v/>
      </c>
      <c r="E148" s="95" t="str">
        <f>IF(ISNUMBER(namespace_raw[[#This Row],[Column6]]), namespace_raw[[#This Row],[Column6]],"")</f>
        <v/>
      </c>
      <c r="F148" s="96" t="str">
        <f>IF(ISNUMBER(namespace_raw[[#This Row],[Column7]]), namespace_raw[[#This Row],[Column7]]/1048576,"")</f>
        <v/>
      </c>
      <c r="G148" s="122" t="str">
        <f>IF(ISNUMBER(namespace_raw[[#This Row],[Column8]]), namespace_raw[[#This Row],[Column8]],"")</f>
        <v/>
      </c>
      <c r="H148" s="123" t="str">
        <f>IF(ISNUMBER(namespace_raw[[#This Row],[Column9]]), namespace_raw[[#This Row],[Column9]]/1048576,"")</f>
        <v/>
      </c>
      <c r="I148" s="124" t="str">
        <f>IF(ISNUMBER(namespace_raw[[#This Row],[Column8]]),MAX(G148, M148, O148, $I$2,IF(Q148&lt;&gt;"",VALUE(Q148),0)), "")</f>
        <v/>
      </c>
      <c r="J148" s="125" t="str">
        <f>IF(ISNUMBER(namespace_raw[[#This Row],[Column9]]),MAX(H148, N148, P148, $J$2,IF(R148&lt;&gt;"",VALUE(R148),0)),"")</f>
        <v/>
      </c>
      <c r="K148" s="166" t="str">
        <f>IF(ISNUMBER(namespace_raw[[#This Row],[Column12]]), namespace_raw[[#This Row],[Column12]],"")</f>
        <v/>
      </c>
      <c r="L148" s="167" t="str">
        <f>IF(ISNUMBER(namespace_raw[[#This Row],[Column13]]), namespace_raw[[#This Row],[Column13]]/1048576,"")</f>
        <v/>
      </c>
      <c r="M148" s="168" t="str">
        <f>IF(ISNUMBER(namespace_raw[[#This Row],[Column10]]), (namespace_raw[[#This Row],[Column10]]*(1+$M$2)),"")</f>
        <v/>
      </c>
      <c r="N148" s="167" t="str">
        <f>IF(ISNUMBER(namespace_raw[[#This Row],[Column11]]), (namespace_raw[[#This Row],[Column11]]*(1+$N$2))/1048576,"")</f>
        <v/>
      </c>
      <c r="O148" s="169" t="str">
        <f>IF(ISNUMBER(namespace_raw[[#This Row],[Column8]]), (E148  * $O$2),"")</f>
        <v/>
      </c>
      <c r="P148" s="170" t="str">
        <f>IF(ISNUMBER(namespace_raw[[#This Row],[Column8]]), (F148  * $P$2),"")</f>
        <v/>
      </c>
    </row>
    <row r="149" spans="1:16" ht="15" customHeight="1" x14ac:dyDescent="0.25">
      <c r="A149" s="32" t="str">
        <f>IF(ISNONTEXT(namespace_raw[[#This Row],[Column1]]), "", namespace_raw[[#This Row],[Column1]])</f>
        <v/>
      </c>
      <c r="B149" s="33" t="str">
        <f>IF(ISNONTEXT(namespace_raw[[#This Row],[Column2]]), "", namespace_raw[[#This Row],[Column2]])</f>
        <v/>
      </c>
      <c r="C149" s="94" t="str">
        <f>IF(ISNUMBER(namespace_raw[[#This Row],[Column4]]), namespace_raw[[#This Row],[Column4]], "")</f>
        <v/>
      </c>
      <c r="D149" s="95" t="str">
        <f>IF(ISNUMBER(namespace_raw[[#This Row],[Column5]]), namespace_raw[[#This Row],[Column5]]/1048576, "")</f>
        <v/>
      </c>
      <c r="E149" s="95" t="str">
        <f>IF(ISNUMBER(namespace_raw[[#This Row],[Column6]]), namespace_raw[[#This Row],[Column6]],"")</f>
        <v/>
      </c>
      <c r="F149" s="96" t="str">
        <f>IF(ISNUMBER(namespace_raw[[#This Row],[Column7]]), namespace_raw[[#This Row],[Column7]]/1048576,"")</f>
        <v/>
      </c>
      <c r="G149" s="122" t="str">
        <f>IF(ISNUMBER(namespace_raw[[#This Row],[Column8]]), namespace_raw[[#This Row],[Column8]],"")</f>
        <v/>
      </c>
      <c r="H149" s="123" t="str">
        <f>IF(ISNUMBER(namespace_raw[[#This Row],[Column9]]), namespace_raw[[#This Row],[Column9]]/1048576,"")</f>
        <v/>
      </c>
      <c r="I149" s="124" t="str">
        <f>IF(ISNUMBER(namespace_raw[[#This Row],[Column8]]),MAX(G149, M149, O149, $I$2,IF(Q149&lt;&gt;"",VALUE(Q149),0)), "")</f>
        <v/>
      </c>
      <c r="J149" s="125" t="str">
        <f>IF(ISNUMBER(namespace_raw[[#This Row],[Column9]]),MAX(H149, N149, P149, $J$2,IF(R149&lt;&gt;"",VALUE(R149),0)),"")</f>
        <v/>
      </c>
      <c r="K149" s="166" t="str">
        <f>IF(ISNUMBER(namespace_raw[[#This Row],[Column12]]), namespace_raw[[#This Row],[Column12]],"")</f>
        <v/>
      </c>
      <c r="L149" s="167" t="str">
        <f>IF(ISNUMBER(namespace_raw[[#This Row],[Column13]]), namespace_raw[[#This Row],[Column13]]/1048576,"")</f>
        <v/>
      </c>
      <c r="M149" s="168" t="str">
        <f>IF(ISNUMBER(namespace_raw[[#This Row],[Column10]]), (namespace_raw[[#This Row],[Column10]]*(1+$M$2)),"")</f>
        <v/>
      </c>
      <c r="N149" s="167" t="str">
        <f>IF(ISNUMBER(namespace_raw[[#This Row],[Column11]]), (namespace_raw[[#This Row],[Column11]]*(1+$N$2))/1048576,"")</f>
        <v/>
      </c>
      <c r="O149" s="169" t="str">
        <f>IF(ISNUMBER(namespace_raw[[#This Row],[Column8]]), (E149  * $O$2),"")</f>
        <v/>
      </c>
      <c r="P149" s="170" t="str">
        <f>IF(ISNUMBER(namespace_raw[[#This Row],[Column8]]), (F149  * $P$2),"")</f>
        <v/>
      </c>
    </row>
    <row r="150" spans="1:16" ht="15" customHeight="1" x14ac:dyDescent="0.25">
      <c r="A150" s="32" t="str">
        <f>IF(ISNONTEXT(namespace_raw[[#This Row],[Column1]]), "", namespace_raw[[#This Row],[Column1]])</f>
        <v/>
      </c>
      <c r="B150" s="33" t="str">
        <f>IF(ISNONTEXT(namespace_raw[[#This Row],[Column2]]), "", namespace_raw[[#This Row],[Column2]])</f>
        <v/>
      </c>
      <c r="C150" s="94" t="str">
        <f>IF(ISNUMBER(namespace_raw[[#This Row],[Column4]]), namespace_raw[[#This Row],[Column4]], "")</f>
        <v/>
      </c>
      <c r="D150" s="95" t="str">
        <f>IF(ISNUMBER(namespace_raw[[#This Row],[Column5]]), namespace_raw[[#This Row],[Column5]]/1048576, "")</f>
        <v/>
      </c>
      <c r="E150" s="95" t="str">
        <f>IF(ISNUMBER(namespace_raw[[#This Row],[Column6]]), namespace_raw[[#This Row],[Column6]],"")</f>
        <v/>
      </c>
      <c r="F150" s="96" t="str">
        <f>IF(ISNUMBER(namespace_raw[[#This Row],[Column7]]), namespace_raw[[#This Row],[Column7]]/1048576,"")</f>
        <v/>
      </c>
      <c r="G150" s="122" t="str">
        <f>IF(ISNUMBER(namespace_raw[[#This Row],[Column8]]), namespace_raw[[#This Row],[Column8]],"")</f>
        <v/>
      </c>
      <c r="H150" s="123" t="str">
        <f>IF(ISNUMBER(namespace_raw[[#This Row],[Column9]]), namespace_raw[[#This Row],[Column9]]/1048576,"")</f>
        <v/>
      </c>
      <c r="I150" s="124" t="str">
        <f>IF(ISNUMBER(namespace_raw[[#This Row],[Column8]]),MAX(G150, M150, O150, $I$2,IF(Q150&lt;&gt;"",VALUE(Q150),0)), "")</f>
        <v/>
      </c>
      <c r="J150" s="125" t="str">
        <f>IF(ISNUMBER(namespace_raw[[#This Row],[Column9]]),MAX(H150, N150, P150, $J$2,IF(R150&lt;&gt;"",VALUE(R150),0)),"")</f>
        <v/>
      </c>
      <c r="K150" s="166" t="str">
        <f>IF(ISNUMBER(namespace_raw[[#This Row],[Column12]]), namespace_raw[[#This Row],[Column12]],"")</f>
        <v/>
      </c>
      <c r="L150" s="167" t="str">
        <f>IF(ISNUMBER(namespace_raw[[#This Row],[Column13]]), namespace_raw[[#This Row],[Column13]]/1048576,"")</f>
        <v/>
      </c>
      <c r="M150" s="168" t="str">
        <f>IF(ISNUMBER(namespace_raw[[#This Row],[Column10]]), (namespace_raw[[#This Row],[Column10]]*(1+$M$2)),"")</f>
        <v/>
      </c>
      <c r="N150" s="167" t="str">
        <f>IF(ISNUMBER(namespace_raw[[#This Row],[Column11]]), (namespace_raw[[#This Row],[Column11]]*(1+$N$2))/1048576,"")</f>
        <v/>
      </c>
      <c r="O150" s="169" t="str">
        <f>IF(ISNUMBER(namespace_raw[[#This Row],[Column8]]), (E150  * $O$2),"")</f>
        <v/>
      </c>
      <c r="P150" s="170" t="str">
        <f>IF(ISNUMBER(namespace_raw[[#This Row],[Column8]]), (F150  * $P$2),"")</f>
        <v/>
      </c>
    </row>
    <row r="151" spans="1:16" ht="15" customHeight="1" x14ac:dyDescent="0.25">
      <c r="A151" s="32" t="str">
        <f>IF(ISNONTEXT(namespace_raw[[#This Row],[Column1]]), "", namespace_raw[[#This Row],[Column1]])</f>
        <v/>
      </c>
      <c r="B151" s="33" t="str">
        <f>IF(ISNONTEXT(namespace_raw[[#This Row],[Column2]]), "", namespace_raw[[#This Row],[Column2]])</f>
        <v/>
      </c>
      <c r="C151" s="94" t="str">
        <f>IF(ISNUMBER(namespace_raw[[#This Row],[Column4]]), namespace_raw[[#This Row],[Column4]], "")</f>
        <v/>
      </c>
      <c r="D151" s="95" t="str">
        <f>IF(ISNUMBER(namespace_raw[[#This Row],[Column5]]), namespace_raw[[#This Row],[Column5]]/1048576, "")</f>
        <v/>
      </c>
      <c r="E151" s="95" t="str">
        <f>IF(ISNUMBER(namespace_raw[[#This Row],[Column6]]), namespace_raw[[#This Row],[Column6]],"")</f>
        <v/>
      </c>
      <c r="F151" s="96" t="str">
        <f>IF(ISNUMBER(namespace_raw[[#This Row],[Column7]]), namespace_raw[[#This Row],[Column7]]/1048576,"")</f>
        <v/>
      </c>
      <c r="G151" s="122" t="str">
        <f>IF(ISNUMBER(namespace_raw[[#This Row],[Column8]]), namespace_raw[[#This Row],[Column8]],"")</f>
        <v/>
      </c>
      <c r="H151" s="123" t="str">
        <f>IF(ISNUMBER(namespace_raw[[#This Row],[Column9]]), namespace_raw[[#This Row],[Column9]]/1048576,"")</f>
        <v/>
      </c>
      <c r="I151" s="124" t="str">
        <f>IF(ISNUMBER(namespace_raw[[#This Row],[Column8]]),MAX(G151, M151, O151, $I$2,IF(Q151&lt;&gt;"",VALUE(Q151),0)), "")</f>
        <v/>
      </c>
      <c r="J151" s="125" t="str">
        <f>IF(ISNUMBER(namespace_raw[[#This Row],[Column9]]),MAX(H151, N151, P151, $J$2,IF(R151&lt;&gt;"",VALUE(R151),0)),"")</f>
        <v/>
      </c>
      <c r="K151" s="166" t="str">
        <f>IF(ISNUMBER(namespace_raw[[#This Row],[Column12]]), namespace_raw[[#This Row],[Column12]],"")</f>
        <v/>
      </c>
      <c r="L151" s="167" t="str">
        <f>IF(ISNUMBER(namespace_raw[[#This Row],[Column13]]), namespace_raw[[#This Row],[Column13]]/1048576,"")</f>
        <v/>
      </c>
      <c r="M151" s="168" t="str">
        <f>IF(ISNUMBER(namespace_raw[[#This Row],[Column10]]), (namespace_raw[[#This Row],[Column10]]*(1+$M$2)),"")</f>
        <v/>
      </c>
      <c r="N151" s="167" t="str">
        <f>IF(ISNUMBER(namespace_raw[[#This Row],[Column11]]), (namespace_raw[[#This Row],[Column11]]*(1+$N$2))/1048576,"")</f>
        <v/>
      </c>
      <c r="O151" s="169" t="str">
        <f>IF(ISNUMBER(namespace_raw[[#This Row],[Column8]]), (E151  * $O$2),"")</f>
        <v/>
      </c>
      <c r="P151" s="170" t="str">
        <f>IF(ISNUMBER(namespace_raw[[#This Row],[Column8]]), (F151  * $P$2),"")</f>
        <v/>
      </c>
    </row>
    <row r="152" spans="1:16" ht="15" customHeight="1" x14ac:dyDescent="0.25">
      <c r="A152" s="32" t="str">
        <f>IF(ISNONTEXT(namespace_raw[[#This Row],[Column1]]), "", namespace_raw[[#This Row],[Column1]])</f>
        <v/>
      </c>
      <c r="B152" s="33" t="str">
        <f>IF(ISNONTEXT(namespace_raw[[#This Row],[Column2]]), "", namespace_raw[[#This Row],[Column2]])</f>
        <v/>
      </c>
      <c r="C152" s="94" t="str">
        <f>IF(ISNUMBER(namespace_raw[[#This Row],[Column4]]), namespace_raw[[#This Row],[Column4]], "")</f>
        <v/>
      </c>
      <c r="D152" s="95" t="str">
        <f>IF(ISNUMBER(namespace_raw[[#This Row],[Column5]]), namespace_raw[[#This Row],[Column5]]/1048576, "")</f>
        <v/>
      </c>
      <c r="E152" s="95" t="str">
        <f>IF(ISNUMBER(namespace_raw[[#This Row],[Column6]]), namespace_raw[[#This Row],[Column6]],"")</f>
        <v/>
      </c>
      <c r="F152" s="96" t="str">
        <f>IF(ISNUMBER(namespace_raw[[#This Row],[Column7]]), namespace_raw[[#This Row],[Column7]]/1048576,"")</f>
        <v/>
      </c>
      <c r="G152" s="122" t="str">
        <f>IF(ISNUMBER(namespace_raw[[#This Row],[Column8]]), namespace_raw[[#This Row],[Column8]],"")</f>
        <v/>
      </c>
      <c r="H152" s="123" t="str">
        <f>IF(ISNUMBER(namespace_raw[[#This Row],[Column9]]), namespace_raw[[#This Row],[Column9]]/1048576,"")</f>
        <v/>
      </c>
      <c r="I152" s="124" t="str">
        <f>IF(ISNUMBER(namespace_raw[[#This Row],[Column8]]),MAX(G152, M152, O152, $I$2,IF(Q152&lt;&gt;"",VALUE(Q152),0)), "")</f>
        <v/>
      </c>
      <c r="J152" s="125" t="str">
        <f>IF(ISNUMBER(namespace_raw[[#This Row],[Column9]]),MAX(H152, N152, P152, $J$2,IF(R152&lt;&gt;"",VALUE(R152),0)),"")</f>
        <v/>
      </c>
      <c r="K152" s="166" t="str">
        <f>IF(ISNUMBER(namespace_raw[[#This Row],[Column12]]), namespace_raw[[#This Row],[Column12]],"")</f>
        <v/>
      </c>
      <c r="L152" s="167" t="str">
        <f>IF(ISNUMBER(namespace_raw[[#This Row],[Column13]]), namespace_raw[[#This Row],[Column13]]/1048576,"")</f>
        <v/>
      </c>
      <c r="M152" s="168" t="str">
        <f>IF(ISNUMBER(namespace_raw[[#This Row],[Column10]]), (namespace_raw[[#This Row],[Column10]]*(1+$M$2)),"")</f>
        <v/>
      </c>
      <c r="N152" s="167" t="str">
        <f>IF(ISNUMBER(namespace_raw[[#This Row],[Column11]]), (namespace_raw[[#This Row],[Column11]]*(1+$N$2))/1048576,"")</f>
        <v/>
      </c>
      <c r="O152" s="169" t="str">
        <f>IF(ISNUMBER(namespace_raw[[#This Row],[Column8]]), (E152  * $O$2),"")</f>
        <v/>
      </c>
      <c r="P152" s="170" t="str">
        <f>IF(ISNUMBER(namespace_raw[[#This Row],[Column8]]), (F152  * $P$2),"")</f>
        <v/>
      </c>
    </row>
    <row r="153" spans="1:16" ht="15" customHeight="1" x14ac:dyDescent="0.25">
      <c r="A153" s="32" t="str">
        <f>IF(ISNONTEXT(namespace_raw[[#This Row],[Column1]]), "", namespace_raw[[#This Row],[Column1]])</f>
        <v/>
      </c>
      <c r="B153" s="33" t="str">
        <f>IF(ISNONTEXT(namespace_raw[[#This Row],[Column2]]), "", namespace_raw[[#This Row],[Column2]])</f>
        <v/>
      </c>
      <c r="C153" s="94" t="str">
        <f>IF(ISNUMBER(namespace_raw[[#This Row],[Column4]]), namespace_raw[[#This Row],[Column4]], "")</f>
        <v/>
      </c>
      <c r="D153" s="95" t="str">
        <f>IF(ISNUMBER(namespace_raw[[#This Row],[Column5]]), namespace_raw[[#This Row],[Column5]]/1048576, "")</f>
        <v/>
      </c>
      <c r="E153" s="95" t="str">
        <f>IF(ISNUMBER(namespace_raw[[#This Row],[Column6]]), namespace_raw[[#This Row],[Column6]],"")</f>
        <v/>
      </c>
      <c r="F153" s="96" t="str">
        <f>IF(ISNUMBER(namespace_raw[[#This Row],[Column7]]), namespace_raw[[#This Row],[Column7]]/1048576,"")</f>
        <v/>
      </c>
      <c r="G153" s="122" t="str">
        <f>IF(ISNUMBER(namespace_raw[[#This Row],[Column8]]), namespace_raw[[#This Row],[Column8]],"")</f>
        <v/>
      </c>
      <c r="H153" s="123" t="str">
        <f>IF(ISNUMBER(namespace_raw[[#This Row],[Column9]]), namespace_raw[[#This Row],[Column9]]/1048576,"")</f>
        <v/>
      </c>
      <c r="I153" s="124" t="str">
        <f>IF(ISNUMBER(namespace_raw[[#This Row],[Column8]]),MAX(G153, M153, O153, $I$2,IF(Q153&lt;&gt;"",VALUE(Q153),0)), "")</f>
        <v/>
      </c>
      <c r="J153" s="125" t="str">
        <f>IF(ISNUMBER(namespace_raw[[#This Row],[Column9]]),MAX(H153, N153, P153, $J$2,IF(R153&lt;&gt;"",VALUE(R153),0)),"")</f>
        <v/>
      </c>
      <c r="K153" s="166" t="str">
        <f>IF(ISNUMBER(namespace_raw[[#This Row],[Column12]]), namespace_raw[[#This Row],[Column12]],"")</f>
        <v/>
      </c>
      <c r="L153" s="167" t="str">
        <f>IF(ISNUMBER(namespace_raw[[#This Row],[Column13]]), namespace_raw[[#This Row],[Column13]]/1048576,"")</f>
        <v/>
      </c>
      <c r="M153" s="168" t="str">
        <f>IF(ISNUMBER(namespace_raw[[#This Row],[Column10]]), (namespace_raw[[#This Row],[Column10]]*(1+$M$2)),"")</f>
        <v/>
      </c>
      <c r="N153" s="167" t="str">
        <f>IF(ISNUMBER(namespace_raw[[#This Row],[Column11]]), (namespace_raw[[#This Row],[Column11]]*(1+$N$2))/1048576,"")</f>
        <v/>
      </c>
      <c r="O153" s="169" t="str">
        <f>IF(ISNUMBER(namespace_raw[[#This Row],[Column8]]), (E153  * $O$2),"")</f>
        <v/>
      </c>
      <c r="P153" s="170" t="str">
        <f>IF(ISNUMBER(namespace_raw[[#This Row],[Column8]]), (F153  * $P$2),"")</f>
        <v/>
      </c>
    </row>
    <row r="154" spans="1:16" ht="15" customHeight="1" x14ac:dyDescent="0.25">
      <c r="A154" s="32" t="str">
        <f>IF(ISNONTEXT(namespace_raw[[#This Row],[Column1]]), "", namespace_raw[[#This Row],[Column1]])</f>
        <v/>
      </c>
      <c r="B154" s="33" t="str">
        <f>IF(ISNONTEXT(namespace_raw[[#This Row],[Column2]]), "", namespace_raw[[#This Row],[Column2]])</f>
        <v/>
      </c>
      <c r="C154" s="94" t="str">
        <f>IF(ISNUMBER(namespace_raw[[#This Row],[Column4]]), namespace_raw[[#This Row],[Column4]], "")</f>
        <v/>
      </c>
      <c r="D154" s="95" t="str">
        <f>IF(ISNUMBER(namespace_raw[[#This Row],[Column5]]), namespace_raw[[#This Row],[Column5]]/1048576, "")</f>
        <v/>
      </c>
      <c r="E154" s="95" t="str">
        <f>IF(ISNUMBER(namespace_raw[[#This Row],[Column6]]), namespace_raw[[#This Row],[Column6]],"")</f>
        <v/>
      </c>
      <c r="F154" s="96" t="str">
        <f>IF(ISNUMBER(namespace_raw[[#This Row],[Column7]]), namespace_raw[[#This Row],[Column7]]/1048576,"")</f>
        <v/>
      </c>
      <c r="G154" s="122" t="str">
        <f>IF(ISNUMBER(namespace_raw[[#This Row],[Column8]]), namespace_raw[[#This Row],[Column8]],"")</f>
        <v/>
      </c>
      <c r="H154" s="123" t="str">
        <f>IF(ISNUMBER(namespace_raw[[#This Row],[Column9]]), namespace_raw[[#This Row],[Column9]]/1048576,"")</f>
        <v/>
      </c>
      <c r="I154" s="124" t="str">
        <f>IF(ISNUMBER(namespace_raw[[#This Row],[Column8]]),MAX(G154, M154, O154, $I$2,IF(Q154&lt;&gt;"",VALUE(Q154),0)), "")</f>
        <v/>
      </c>
      <c r="J154" s="125" t="str">
        <f>IF(ISNUMBER(namespace_raw[[#This Row],[Column9]]),MAX(H154, N154, P154, $J$2,IF(R154&lt;&gt;"",VALUE(R154),0)),"")</f>
        <v/>
      </c>
      <c r="K154" s="166" t="str">
        <f>IF(ISNUMBER(namespace_raw[[#This Row],[Column12]]), namespace_raw[[#This Row],[Column12]],"")</f>
        <v/>
      </c>
      <c r="L154" s="167" t="str">
        <f>IF(ISNUMBER(namespace_raw[[#This Row],[Column13]]), namespace_raw[[#This Row],[Column13]]/1048576,"")</f>
        <v/>
      </c>
      <c r="M154" s="168" t="str">
        <f>IF(ISNUMBER(namespace_raw[[#This Row],[Column10]]), (namespace_raw[[#This Row],[Column10]]*(1+$M$2)),"")</f>
        <v/>
      </c>
      <c r="N154" s="167" t="str">
        <f>IF(ISNUMBER(namespace_raw[[#This Row],[Column11]]), (namespace_raw[[#This Row],[Column11]]*(1+$N$2))/1048576,"")</f>
        <v/>
      </c>
      <c r="O154" s="169" t="str">
        <f>IF(ISNUMBER(namespace_raw[[#This Row],[Column8]]), (E154  * $O$2),"")</f>
        <v/>
      </c>
      <c r="P154" s="170" t="str">
        <f>IF(ISNUMBER(namespace_raw[[#This Row],[Column8]]), (F154  * $P$2),"")</f>
        <v/>
      </c>
    </row>
    <row r="155" spans="1:16" ht="15" customHeight="1" x14ac:dyDescent="0.25">
      <c r="A155" s="32" t="str">
        <f>IF(ISNONTEXT(namespace_raw[[#This Row],[Column1]]), "", namespace_raw[[#This Row],[Column1]])</f>
        <v/>
      </c>
      <c r="B155" s="33" t="str">
        <f>IF(ISNONTEXT(namespace_raw[[#This Row],[Column2]]), "", namespace_raw[[#This Row],[Column2]])</f>
        <v/>
      </c>
      <c r="C155" s="94" t="str">
        <f>IF(ISNUMBER(namespace_raw[[#This Row],[Column4]]), namespace_raw[[#This Row],[Column4]], "")</f>
        <v/>
      </c>
      <c r="D155" s="95" t="str">
        <f>IF(ISNUMBER(namespace_raw[[#This Row],[Column5]]), namespace_raw[[#This Row],[Column5]]/1048576, "")</f>
        <v/>
      </c>
      <c r="E155" s="95" t="str">
        <f>IF(ISNUMBER(namespace_raw[[#This Row],[Column6]]), namespace_raw[[#This Row],[Column6]],"")</f>
        <v/>
      </c>
      <c r="F155" s="96" t="str">
        <f>IF(ISNUMBER(namespace_raw[[#This Row],[Column7]]), namespace_raw[[#This Row],[Column7]]/1048576,"")</f>
        <v/>
      </c>
      <c r="G155" s="122" t="str">
        <f>IF(ISNUMBER(namespace_raw[[#This Row],[Column8]]), namespace_raw[[#This Row],[Column8]],"")</f>
        <v/>
      </c>
      <c r="H155" s="123" t="str">
        <f>IF(ISNUMBER(namespace_raw[[#This Row],[Column9]]), namespace_raw[[#This Row],[Column9]]/1048576,"")</f>
        <v/>
      </c>
      <c r="I155" s="124" t="str">
        <f>IF(ISNUMBER(namespace_raw[[#This Row],[Column8]]),MAX(G155, M155, O155, $I$2,IF(Q155&lt;&gt;"",VALUE(Q155),0)), "")</f>
        <v/>
      </c>
      <c r="J155" s="125" t="str">
        <f>IF(ISNUMBER(namespace_raw[[#This Row],[Column9]]),MAX(H155, N155, P155, $J$2,IF(R155&lt;&gt;"",VALUE(R155),0)),"")</f>
        <v/>
      </c>
      <c r="K155" s="166" t="str">
        <f>IF(ISNUMBER(namespace_raw[[#This Row],[Column12]]), namespace_raw[[#This Row],[Column12]],"")</f>
        <v/>
      </c>
      <c r="L155" s="167" t="str">
        <f>IF(ISNUMBER(namespace_raw[[#This Row],[Column13]]), namespace_raw[[#This Row],[Column13]]/1048576,"")</f>
        <v/>
      </c>
      <c r="M155" s="168" t="str">
        <f>IF(ISNUMBER(namespace_raw[[#This Row],[Column10]]), (namespace_raw[[#This Row],[Column10]]*(1+$M$2)),"")</f>
        <v/>
      </c>
      <c r="N155" s="167" t="str">
        <f>IF(ISNUMBER(namespace_raw[[#This Row],[Column11]]), (namespace_raw[[#This Row],[Column11]]*(1+$N$2))/1048576,"")</f>
        <v/>
      </c>
      <c r="O155" s="169" t="str">
        <f>IF(ISNUMBER(namespace_raw[[#This Row],[Column8]]), (E155  * $O$2),"")</f>
        <v/>
      </c>
      <c r="P155" s="170" t="str">
        <f>IF(ISNUMBER(namespace_raw[[#This Row],[Column8]]), (F155  * $P$2),"")</f>
        <v/>
      </c>
    </row>
    <row r="156" spans="1:16" ht="15" customHeight="1" x14ac:dyDescent="0.25">
      <c r="A156" s="32" t="str">
        <f>IF(ISNONTEXT(namespace_raw[[#This Row],[Column1]]), "", namespace_raw[[#This Row],[Column1]])</f>
        <v/>
      </c>
      <c r="B156" s="33" t="str">
        <f>IF(ISNONTEXT(namespace_raw[[#This Row],[Column2]]), "", namespace_raw[[#This Row],[Column2]])</f>
        <v/>
      </c>
      <c r="C156" s="94" t="str">
        <f>IF(ISNUMBER(namespace_raw[[#This Row],[Column4]]), namespace_raw[[#This Row],[Column4]], "")</f>
        <v/>
      </c>
      <c r="D156" s="95" t="str">
        <f>IF(ISNUMBER(namespace_raw[[#This Row],[Column5]]), namespace_raw[[#This Row],[Column5]]/1048576, "")</f>
        <v/>
      </c>
      <c r="E156" s="95" t="str">
        <f>IF(ISNUMBER(namespace_raw[[#This Row],[Column6]]), namespace_raw[[#This Row],[Column6]],"")</f>
        <v/>
      </c>
      <c r="F156" s="96" t="str">
        <f>IF(ISNUMBER(namespace_raw[[#This Row],[Column7]]), namespace_raw[[#This Row],[Column7]]/1048576,"")</f>
        <v/>
      </c>
      <c r="G156" s="122" t="str">
        <f>IF(ISNUMBER(namespace_raw[[#This Row],[Column8]]), namespace_raw[[#This Row],[Column8]],"")</f>
        <v/>
      </c>
      <c r="H156" s="123" t="str">
        <f>IF(ISNUMBER(namespace_raw[[#This Row],[Column9]]), namespace_raw[[#This Row],[Column9]]/1048576,"")</f>
        <v/>
      </c>
      <c r="I156" s="124" t="str">
        <f>IF(ISNUMBER(namespace_raw[[#This Row],[Column8]]),MAX(G156, M156, O156, $I$2,IF(Q156&lt;&gt;"",VALUE(Q156),0)), "")</f>
        <v/>
      </c>
      <c r="J156" s="125" t="str">
        <f>IF(ISNUMBER(namespace_raw[[#This Row],[Column9]]),MAX(H156, N156, P156, $J$2,IF(R156&lt;&gt;"",VALUE(R156),0)),"")</f>
        <v/>
      </c>
      <c r="K156" s="166" t="str">
        <f>IF(ISNUMBER(namespace_raw[[#This Row],[Column12]]), namespace_raw[[#This Row],[Column12]],"")</f>
        <v/>
      </c>
      <c r="L156" s="167" t="str">
        <f>IF(ISNUMBER(namespace_raw[[#This Row],[Column13]]), namespace_raw[[#This Row],[Column13]]/1048576,"")</f>
        <v/>
      </c>
      <c r="M156" s="168" t="str">
        <f>IF(ISNUMBER(namespace_raw[[#This Row],[Column10]]), (namespace_raw[[#This Row],[Column10]]*(1+$M$2)),"")</f>
        <v/>
      </c>
      <c r="N156" s="167" t="str">
        <f>IF(ISNUMBER(namespace_raw[[#This Row],[Column11]]), (namespace_raw[[#This Row],[Column11]]*(1+$N$2))/1048576,"")</f>
        <v/>
      </c>
      <c r="O156" s="169" t="str">
        <f>IF(ISNUMBER(namespace_raw[[#This Row],[Column8]]), (E156  * $O$2),"")</f>
        <v/>
      </c>
      <c r="P156" s="170" t="str">
        <f>IF(ISNUMBER(namespace_raw[[#This Row],[Column8]]), (F156  * $P$2),"")</f>
        <v/>
      </c>
    </row>
    <row r="157" spans="1:16" ht="15" customHeight="1" x14ac:dyDescent="0.25">
      <c r="A157" s="32" t="str">
        <f>IF(ISNONTEXT(namespace_raw[[#This Row],[Column1]]), "", namespace_raw[[#This Row],[Column1]])</f>
        <v/>
      </c>
      <c r="B157" s="33" t="str">
        <f>IF(ISNONTEXT(namespace_raw[[#This Row],[Column2]]), "", namespace_raw[[#This Row],[Column2]])</f>
        <v/>
      </c>
      <c r="C157" s="94" t="str">
        <f>IF(ISNUMBER(namespace_raw[[#This Row],[Column4]]), namespace_raw[[#This Row],[Column4]], "")</f>
        <v/>
      </c>
      <c r="D157" s="95" t="str">
        <f>IF(ISNUMBER(namespace_raw[[#This Row],[Column5]]), namespace_raw[[#This Row],[Column5]]/1048576, "")</f>
        <v/>
      </c>
      <c r="E157" s="95" t="str">
        <f>IF(ISNUMBER(namespace_raw[[#This Row],[Column6]]), namespace_raw[[#This Row],[Column6]],"")</f>
        <v/>
      </c>
      <c r="F157" s="96" t="str">
        <f>IF(ISNUMBER(namespace_raw[[#This Row],[Column7]]), namespace_raw[[#This Row],[Column7]]/1048576,"")</f>
        <v/>
      </c>
      <c r="G157" s="122" t="str">
        <f>IF(ISNUMBER(namespace_raw[[#This Row],[Column8]]), namespace_raw[[#This Row],[Column8]],"")</f>
        <v/>
      </c>
      <c r="H157" s="123" t="str">
        <f>IF(ISNUMBER(namespace_raw[[#This Row],[Column9]]), namespace_raw[[#This Row],[Column9]]/1048576,"")</f>
        <v/>
      </c>
      <c r="I157" s="124" t="str">
        <f>IF(ISNUMBER(namespace_raw[[#This Row],[Column8]]),MAX(G157, M157, O157, $I$2,IF(Q157&lt;&gt;"",VALUE(Q157),0)), "")</f>
        <v/>
      </c>
      <c r="J157" s="125" t="str">
        <f>IF(ISNUMBER(namespace_raw[[#This Row],[Column9]]),MAX(H157, N157, P157, $J$2,IF(R157&lt;&gt;"",VALUE(R157),0)),"")</f>
        <v/>
      </c>
      <c r="K157" s="166" t="str">
        <f>IF(ISNUMBER(namespace_raw[[#This Row],[Column12]]), namespace_raw[[#This Row],[Column12]],"")</f>
        <v/>
      </c>
      <c r="L157" s="167" t="str">
        <f>IF(ISNUMBER(namespace_raw[[#This Row],[Column13]]), namespace_raw[[#This Row],[Column13]]/1048576,"")</f>
        <v/>
      </c>
      <c r="M157" s="168" t="str">
        <f>IF(ISNUMBER(namespace_raw[[#This Row],[Column10]]), (namespace_raw[[#This Row],[Column10]]*(1+$M$2)),"")</f>
        <v/>
      </c>
      <c r="N157" s="167" t="str">
        <f>IF(ISNUMBER(namespace_raw[[#This Row],[Column11]]), (namespace_raw[[#This Row],[Column11]]*(1+$N$2))/1048576,"")</f>
        <v/>
      </c>
      <c r="O157" s="169" t="str">
        <f>IF(ISNUMBER(namespace_raw[[#This Row],[Column8]]), (E157  * $O$2),"")</f>
        <v/>
      </c>
      <c r="P157" s="170" t="str">
        <f>IF(ISNUMBER(namespace_raw[[#This Row],[Column8]]), (F157  * $P$2),"")</f>
        <v/>
      </c>
    </row>
    <row r="158" spans="1:16" ht="15" customHeight="1" x14ac:dyDescent="0.25">
      <c r="A158" s="32" t="str">
        <f>IF(ISNONTEXT(namespace_raw[[#This Row],[Column1]]), "", namespace_raw[[#This Row],[Column1]])</f>
        <v/>
      </c>
      <c r="B158" s="33" t="str">
        <f>IF(ISNONTEXT(namespace_raw[[#This Row],[Column2]]), "", namespace_raw[[#This Row],[Column2]])</f>
        <v/>
      </c>
      <c r="C158" s="94" t="str">
        <f>IF(ISNUMBER(namespace_raw[[#This Row],[Column4]]), namespace_raw[[#This Row],[Column4]], "")</f>
        <v/>
      </c>
      <c r="D158" s="95" t="str">
        <f>IF(ISNUMBER(namespace_raw[[#This Row],[Column5]]), namespace_raw[[#This Row],[Column5]]/1048576, "")</f>
        <v/>
      </c>
      <c r="E158" s="95" t="str">
        <f>IF(ISNUMBER(namespace_raw[[#This Row],[Column6]]), namespace_raw[[#This Row],[Column6]],"")</f>
        <v/>
      </c>
      <c r="F158" s="96" t="str">
        <f>IF(ISNUMBER(namespace_raw[[#This Row],[Column7]]), namespace_raw[[#This Row],[Column7]]/1048576,"")</f>
        <v/>
      </c>
      <c r="G158" s="122" t="str">
        <f>IF(ISNUMBER(namespace_raw[[#This Row],[Column8]]), namespace_raw[[#This Row],[Column8]],"")</f>
        <v/>
      </c>
      <c r="H158" s="123" t="str">
        <f>IF(ISNUMBER(namespace_raw[[#This Row],[Column9]]), namespace_raw[[#This Row],[Column9]]/1048576,"")</f>
        <v/>
      </c>
      <c r="I158" s="124" t="str">
        <f>IF(ISNUMBER(namespace_raw[[#This Row],[Column8]]),MAX(G158, M158, O158, $I$2,IF(Q158&lt;&gt;"",VALUE(Q158),0)), "")</f>
        <v/>
      </c>
      <c r="J158" s="125" t="str">
        <f>IF(ISNUMBER(namespace_raw[[#This Row],[Column9]]),MAX(H158, N158, P158, $J$2,IF(R158&lt;&gt;"",VALUE(R158),0)),"")</f>
        <v/>
      </c>
      <c r="K158" s="166" t="str">
        <f>IF(ISNUMBER(namespace_raw[[#This Row],[Column12]]), namespace_raw[[#This Row],[Column12]],"")</f>
        <v/>
      </c>
      <c r="L158" s="167" t="str">
        <f>IF(ISNUMBER(namespace_raw[[#This Row],[Column13]]), namespace_raw[[#This Row],[Column13]]/1048576,"")</f>
        <v/>
      </c>
      <c r="M158" s="168" t="str">
        <f>IF(ISNUMBER(namespace_raw[[#This Row],[Column10]]), (namespace_raw[[#This Row],[Column10]]*(1+$M$2)),"")</f>
        <v/>
      </c>
      <c r="N158" s="167" t="str">
        <f>IF(ISNUMBER(namespace_raw[[#This Row],[Column11]]), (namespace_raw[[#This Row],[Column11]]*(1+$N$2))/1048576,"")</f>
        <v/>
      </c>
      <c r="O158" s="169" t="str">
        <f>IF(ISNUMBER(namespace_raw[[#This Row],[Column8]]), (E158  * $O$2),"")</f>
        <v/>
      </c>
      <c r="P158" s="170" t="str">
        <f>IF(ISNUMBER(namespace_raw[[#This Row],[Column8]]), (F158  * $P$2),"")</f>
        <v/>
      </c>
    </row>
    <row r="159" spans="1:16" ht="15" customHeight="1" x14ac:dyDescent="0.25">
      <c r="A159" s="32" t="str">
        <f>IF(ISNONTEXT(namespace_raw[[#This Row],[Column1]]), "", namespace_raw[[#This Row],[Column1]])</f>
        <v/>
      </c>
      <c r="B159" s="33" t="str">
        <f>IF(ISNONTEXT(namespace_raw[[#This Row],[Column2]]), "", namespace_raw[[#This Row],[Column2]])</f>
        <v/>
      </c>
      <c r="C159" s="94" t="str">
        <f>IF(ISNUMBER(namespace_raw[[#This Row],[Column4]]), namespace_raw[[#This Row],[Column4]], "")</f>
        <v/>
      </c>
      <c r="D159" s="95" t="str">
        <f>IF(ISNUMBER(namespace_raw[[#This Row],[Column5]]), namespace_raw[[#This Row],[Column5]]/1048576, "")</f>
        <v/>
      </c>
      <c r="E159" s="95" t="str">
        <f>IF(ISNUMBER(namespace_raw[[#This Row],[Column6]]), namespace_raw[[#This Row],[Column6]],"")</f>
        <v/>
      </c>
      <c r="F159" s="96" t="str">
        <f>IF(ISNUMBER(namespace_raw[[#This Row],[Column7]]), namespace_raw[[#This Row],[Column7]]/1048576,"")</f>
        <v/>
      </c>
      <c r="G159" s="122" t="str">
        <f>IF(ISNUMBER(namespace_raw[[#This Row],[Column8]]), namespace_raw[[#This Row],[Column8]],"")</f>
        <v/>
      </c>
      <c r="H159" s="123" t="str">
        <f>IF(ISNUMBER(namespace_raw[[#This Row],[Column9]]), namespace_raw[[#This Row],[Column9]]/1048576,"")</f>
        <v/>
      </c>
      <c r="I159" s="124" t="str">
        <f>IF(ISNUMBER(namespace_raw[[#This Row],[Column8]]),MAX(G159, M159, O159, $I$2,IF(Q159&lt;&gt;"",VALUE(Q159),0)), "")</f>
        <v/>
      </c>
      <c r="J159" s="125" t="str">
        <f>IF(ISNUMBER(namespace_raw[[#This Row],[Column9]]),MAX(H159, N159, P159, $J$2,IF(R159&lt;&gt;"",VALUE(R159),0)),"")</f>
        <v/>
      </c>
      <c r="K159" s="166" t="str">
        <f>IF(ISNUMBER(namespace_raw[[#This Row],[Column12]]), namespace_raw[[#This Row],[Column12]],"")</f>
        <v/>
      </c>
      <c r="L159" s="167" t="str">
        <f>IF(ISNUMBER(namespace_raw[[#This Row],[Column13]]), namespace_raw[[#This Row],[Column13]]/1048576,"")</f>
        <v/>
      </c>
      <c r="M159" s="168" t="str">
        <f>IF(ISNUMBER(namespace_raw[[#This Row],[Column10]]), (namespace_raw[[#This Row],[Column10]]*(1+$M$2)),"")</f>
        <v/>
      </c>
      <c r="N159" s="167" t="str">
        <f>IF(ISNUMBER(namespace_raw[[#This Row],[Column11]]), (namespace_raw[[#This Row],[Column11]]*(1+$N$2))/1048576,"")</f>
        <v/>
      </c>
      <c r="O159" s="169" t="str">
        <f>IF(ISNUMBER(namespace_raw[[#This Row],[Column8]]), (E159  * $O$2),"")</f>
        <v/>
      </c>
      <c r="P159" s="170" t="str">
        <f>IF(ISNUMBER(namespace_raw[[#This Row],[Column8]]), (F159  * $P$2),"")</f>
        <v/>
      </c>
    </row>
    <row r="160" spans="1:16" ht="15" customHeight="1" x14ac:dyDescent="0.25">
      <c r="A160" s="32" t="str">
        <f>IF(ISNONTEXT(namespace_raw[[#This Row],[Column1]]), "", namespace_raw[[#This Row],[Column1]])</f>
        <v/>
      </c>
      <c r="B160" s="33" t="str">
        <f>IF(ISNONTEXT(namespace_raw[[#This Row],[Column2]]), "", namespace_raw[[#This Row],[Column2]])</f>
        <v/>
      </c>
      <c r="C160" s="94" t="str">
        <f>IF(ISNUMBER(namespace_raw[[#This Row],[Column4]]), namespace_raw[[#This Row],[Column4]], "")</f>
        <v/>
      </c>
      <c r="D160" s="95" t="str">
        <f>IF(ISNUMBER(namespace_raw[[#This Row],[Column5]]), namespace_raw[[#This Row],[Column5]]/1048576, "")</f>
        <v/>
      </c>
      <c r="E160" s="95" t="str">
        <f>IF(ISNUMBER(namespace_raw[[#This Row],[Column6]]), namespace_raw[[#This Row],[Column6]],"")</f>
        <v/>
      </c>
      <c r="F160" s="96" t="str">
        <f>IF(ISNUMBER(namespace_raw[[#This Row],[Column7]]), namespace_raw[[#This Row],[Column7]]/1048576,"")</f>
        <v/>
      </c>
      <c r="G160" s="122" t="str">
        <f>IF(ISNUMBER(namespace_raw[[#This Row],[Column8]]), namespace_raw[[#This Row],[Column8]],"")</f>
        <v/>
      </c>
      <c r="H160" s="123" t="str">
        <f>IF(ISNUMBER(namespace_raw[[#This Row],[Column9]]), namespace_raw[[#This Row],[Column9]]/1048576,"")</f>
        <v/>
      </c>
      <c r="I160" s="124" t="str">
        <f>IF(ISNUMBER(namespace_raw[[#This Row],[Column8]]),MAX(G160, M160, O160, $I$2,IF(Q160&lt;&gt;"",VALUE(Q160),0)), "")</f>
        <v/>
      </c>
      <c r="J160" s="125" t="str">
        <f>IF(ISNUMBER(namespace_raw[[#This Row],[Column9]]),MAX(H160, N160, P160, $J$2,IF(R160&lt;&gt;"",VALUE(R160),0)),"")</f>
        <v/>
      </c>
      <c r="K160" s="166" t="str">
        <f>IF(ISNUMBER(namespace_raw[[#This Row],[Column12]]), namespace_raw[[#This Row],[Column12]],"")</f>
        <v/>
      </c>
      <c r="L160" s="167" t="str">
        <f>IF(ISNUMBER(namespace_raw[[#This Row],[Column13]]), namespace_raw[[#This Row],[Column13]]/1048576,"")</f>
        <v/>
      </c>
      <c r="M160" s="168" t="str">
        <f>IF(ISNUMBER(namespace_raw[[#This Row],[Column10]]), (namespace_raw[[#This Row],[Column10]]*(1+$M$2)),"")</f>
        <v/>
      </c>
      <c r="N160" s="167" t="str">
        <f>IF(ISNUMBER(namespace_raw[[#This Row],[Column11]]), (namespace_raw[[#This Row],[Column11]]*(1+$N$2))/1048576,"")</f>
        <v/>
      </c>
      <c r="O160" s="169" t="str">
        <f>IF(ISNUMBER(namespace_raw[[#This Row],[Column8]]), (E160  * $O$2),"")</f>
        <v/>
      </c>
      <c r="P160" s="170" t="str">
        <f>IF(ISNUMBER(namespace_raw[[#This Row],[Column8]]), (F160  * $P$2),"")</f>
        <v/>
      </c>
    </row>
    <row r="161" spans="1:16" ht="15" customHeight="1" x14ac:dyDescent="0.25">
      <c r="A161" s="32" t="str">
        <f>IF(ISNONTEXT(namespace_raw[[#This Row],[Column1]]), "", namespace_raw[[#This Row],[Column1]])</f>
        <v/>
      </c>
      <c r="B161" s="33" t="str">
        <f>IF(ISNONTEXT(namespace_raw[[#This Row],[Column2]]), "", namespace_raw[[#This Row],[Column2]])</f>
        <v/>
      </c>
      <c r="C161" s="94" t="str">
        <f>IF(ISNUMBER(namespace_raw[[#This Row],[Column4]]), namespace_raw[[#This Row],[Column4]], "")</f>
        <v/>
      </c>
      <c r="D161" s="95" t="str">
        <f>IF(ISNUMBER(namespace_raw[[#This Row],[Column5]]), namespace_raw[[#This Row],[Column5]]/1048576, "")</f>
        <v/>
      </c>
      <c r="E161" s="95" t="str">
        <f>IF(ISNUMBER(namespace_raw[[#This Row],[Column6]]), namespace_raw[[#This Row],[Column6]],"")</f>
        <v/>
      </c>
      <c r="F161" s="96" t="str">
        <f>IF(ISNUMBER(namespace_raw[[#This Row],[Column7]]), namespace_raw[[#This Row],[Column7]]/1048576,"")</f>
        <v/>
      </c>
      <c r="G161" s="122" t="str">
        <f>IF(ISNUMBER(namespace_raw[[#This Row],[Column8]]), namespace_raw[[#This Row],[Column8]],"")</f>
        <v/>
      </c>
      <c r="H161" s="123" t="str">
        <f>IF(ISNUMBER(namespace_raw[[#This Row],[Column9]]), namespace_raw[[#This Row],[Column9]]/1048576,"")</f>
        <v/>
      </c>
      <c r="I161" s="124" t="str">
        <f>IF(ISNUMBER(namespace_raw[[#This Row],[Column8]]),MAX(G161, M161, O161, $I$2,IF(Q161&lt;&gt;"",VALUE(Q161),0)), "")</f>
        <v/>
      </c>
      <c r="J161" s="125" t="str">
        <f>IF(ISNUMBER(namespace_raw[[#This Row],[Column9]]),MAX(H161, N161, P161, $J$2,IF(R161&lt;&gt;"",VALUE(R161),0)),"")</f>
        <v/>
      </c>
      <c r="K161" s="166" t="str">
        <f>IF(ISNUMBER(namespace_raw[[#This Row],[Column12]]), namespace_raw[[#This Row],[Column12]],"")</f>
        <v/>
      </c>
      <c r="L161" s="167" t="str">
        <f>IF(ISNUMBER(namespace_raw[[#This Row],[Column13]]), namespace_raw[[#This Row],[Column13]]/1048576,"")</f>
        <v/>
      </c>
      <c r="M161" s="168" t="str">
        <f>IF(ISNUMBER(namespace_raw[[#This Row],[Column10]]), (namespace_raw[[#This Row],[Column10]]*(1+$M$2)),"")</f>
        <v/>
      </c>
      <c r="N161" s="167" t="str">
        <f>IF(ISNUMBER(namespace_raw[[#This Row],[Column11]]), (namespace_raw[[#This Row],[Column11]]*(1+$N$2))/1048576,"")</f>
        <v/>
      </c>
      <c r="O161" s="169" t="str">
        <f>IF(ISNUMBER(namespace_raw[[#This Row],[Column8]]), (E161  * $O$2),"")</f>
        <v/>
      </c>
      <c r="P161" s="170" t="str">
        <f>IF(ISNUMBER(namespace_raw[[#This Row],[Column8]]), (F161  * $P$2),"")</f>
        <v/>
      </c>
    </row>
    <row r="162" spans="1:16" ht="15" customHeight="1" x14ac:dyDescent="0.25">
      <c r="A162" s="32" t="str">
        <f>IF(ISNONTEXT(namespace_raw[[#This Row],[Column1]]), "", namespace_raw[[#This Row],[Column1]])</f>
        <v/>
      </c>
      <c r="B162" s="33" t="str">
        <f>IF(ISNONTEXT(namespace_raw[[#This Row],[Column2]]), "", namespace_raw[[#This Row],[Column2]])</f>
        <v/>
      </c>
      <c r="C162" s="94" t="str">
        <f>IF(ISNUMBER(namespace_raw[[#This Row],[Column4]]), namespace_raw[[#This Row],[Column4]], "")</f>
        <v/>
      </c>
      <c r="D162" s="95" t="str">
        <f>IF(ISNUMBER(namespace_raw[[#This Row],[Column5]]), namespace_raw[[#This Row],[Column5]]/1048576, "")</f>
        <v/>
      </c>
      <c r="E162" s="95" t="str">
        <f>IF(ISNUMBER(namespace_raw[[#This Row],[Column6]]), namespace_raw[[#This Row],[Column6]],"")</f>
        <v/>
      </c>
      <c r="F162" s="96" t="str">
        <f>IF(ISNUMBER(namespace_raw[[#This Row],[Column7]]), namespace_raw[[#This Row],[Column7]]/1048576,"")</f>
        <v/>
      </c>
      <c r="G162" s="122" t="str">
        <f>IF(ISNUMBER(namespace_raw[[#This Row],[Column8]]), namespace_raw[[#This Row],[Column8]],"")</f>
        <v/>
      </c>
      <c r="H162" s="123" t="str">
        <f>IF(ISNUMBER(namespace_raw[[#This Row],[Column9]]), namespace_raw[[#This Row],[Column9]]/1048576,"")</f>
        <v/>
      </c>
      <c r="I162" s="124" t="str">
        <f>IF(ISNUMBER(namespace_raw[[#This Row],[Column8]]),MAX(G162, M162, O162, $I$2,IF(Q162&lt;&gt;"",VALUE(Q162),0)), "")</f>
        <v/>
      </c>
      <c r="J162" s="125" t="str">
        <f>IF(ISNUMBER(namespace_raw[[#This Row],[Column9]]),MAX(H162, N162, P162, $J$2,IF(R162&lt;&gt;"",VALUE(R162),0)),"")</f>
        <v/>
      </c>
      <c r="K162" s="166" t="str">
        <f>IF(ISNUMBER(namespace_raw[[#This Row],[Column12]]), namespace_raw[[#This Row],[Column12]],"")</f>
        <v/>
      </c>
      <c r="L162" s="167" t="str">
        <f>IF(ISNUMBER(namespace_raw[[#This Row],[Column13]]), namespace_raw[[#This Row],[Column13]]/1048576,"")</f>
        <v/>
      </c>
      <c r="M162" s="168" t="str">
        <f>IF(ISNUMBER(namespace_raw[[#This Row],[Column10]]), (namespace_raw[[#This Row],[Column10]]*(1+$M$2)),"")</f>
        <v/>
      </c>
      <c r="N162" s="167" t="str">
        <f>IF(ISNUMBER(namespace_raw[[#This Row],[Column11]]), (namespace_raw[[#This Row],[Column11]]*(1+$N$2))/1048576,"")</f>
        <v/>
      </c>
      <c r="O162" s="169" t="str">
        <f>IF(ISNUMBER(namespace_raw[[#This Row],[Column8]]), (E162  * $O$2),"")</f>
        <v/>
      </c>
      <c r="P162" s="170" t="str">
        <f>IF(ISNUMBER(namespace_raw[[#This Row],[Column8]]), (F162  * $P$2),"")</f>
        <v/>
      </c>
    </row>
    <row r="163" spans="1:16" ht="15" customHeight="1" x14ac:dyDescent="0.25">
      <c r="A163" s="32" t="str">
        <f>IF(ISNONTEXT(namespace_raw[[#This Row],[Column1]]), "", namespace_raw[[#This Row],[Column1]])</f>
        <v/>
      </c>
      <c r="B163" s="33" t="str">
        <f>IF(ISNONTEXT(namespace_raw[[#This Row],[Column2]]), "", namespace_raw[[#This Row],[Column2]])</f>
        <v/>
      </c>
      <c r="C163" s="94" t="str">
        <f>IF(ISNUMBER(namespace_raw[[#This Row],[Column4]]), namespace_raw[[#This Row],[Column4]], "")</f>
        <v/>
      </c>
      <c r="D163" s="95" t="str">
        <f>IF(ISNUMBER(namespace_raw[[#This Row],[Column5]]), namespace_raw[[#This Row],[Column5]]/1048576, "")</f>
        <v/>
      </c>
      <c r="E163" s="95" t="str">
        <f>IF(ISNUMBER(namespace_raw[[#This Row],[Column6]]), namespace_raw[[#This Row],[Column6]],"")</f>
        <v/>
      </c>
      <c r="F163" s="96" t="str">
        <f>IF(ISNUMBER(namespace_raw[[#This Row],[Column7]]), namespace_raw[[#This Row],[Column7]]/1048576,"")</f>
        <v/>
      </c>
      <c r="G163" s="122" t="str">
        <f>IF(ISNUMBER(namespace_raw[[#This Row],[Column8]]), namespace_raw[[#This Row],[Column8]],"")</f>
        <v/>
      </c>
      <c r="H163" s="123" t="str">
        <f>IF(ISNUMBER(namespace_raw[[#This Row],[Column9]]), namespace_raw[[#This Row],[Column9]]/1048576,"")</f>
        <v/>
      </c>
      <c r="I163" s="124" t="str">
        <f>IF(ISNUMBER(namespace_raw[[#This Row],[Column8]]),MAX(G163, M163, O163, $I$2,IF(Q163&lt;&gt;"",VALUE(Q163),0)), "")</f>
        <v/>
      </c>
      <c r="J163" s="125" t="str">
        <f>IF(ISNUMBER(namespace_raw[[#This Row],[Column9]]),MAX(H163, N163, P163, $J$2,IF(R163&lt;&gt;"",VALUE(R163),0)),"")</f>
        <v/>
      </c>
      <c r="K163" s="166" t="str">
        <f>IF(ISNUMBER(namespace_raw[[#This Row],[Column12]]), namespace_raw[[#This Row],[Column12]],"")</f>
        <v/>
      </c>
      <c r="L163" s="167" t="str">
        <f>IF(ISNUMBER(namespace_raw[[#This Row],[Column13]]), namespace_raw[[#This Row],[Column13]]/1048576,"")</f>
        <v/>
      </c>
      <c r="M163" s="168" t="str">
        <f>IF(ISNUMBER(namespace_raw[[#This Row],[Column10]]), (namespace_raw[[#This Row],[Column10]]*(1+$M$2)),"")</f>
        <v/>
      </c>
      <c r="N163" s="167" t="str">
        <f>IF(ISNUMBER(namespace_raw[[#This Row],[Column11]]), (namespace_raw[[#This Row],[Column11]]*(1+$N$2))/1048576,"")</f>
        <v/>
      </c>
      <c r="O163" s="169" t="str">
        <f>IF(ISNUMBER(namespace_raw[[#This Row],[Column8]]), (E163  * $O$2),"")</f>
        <v/>
      </c>
      <c r="P163" s="170" t="str">
        <f>IF(ISNUMBER(namespace_raw[[#This Row],[Column8]]), (F163  * $P$2),"")</f>
        <v/>
      </c>
    </row>
    <row r="164" spans="1:16" ht="15" customHeight="1" x14ac:dyDescent="0.25">
      <c r="A164" s="32" t="str">
        <f>IF(ISNONTEXT(namespace_raw[[#This Row],[Column1]]), "", namespace_raw[[#This Row],[Column1]])</f>
        <v/>
      </c>
      <c r="B164" s="33" t="str">
        <f>IF(ISNONTEXT(namespace_raw[[#This Row],[Column2]]), "", namespace_raw[[#This Row],[Column2]])</f>
        <v/>
      </c>
      <c r="C164" s="94" t="str">
        <f>IF(ISNUMBER(namespace_raw[[#This Row],[Column4]]), namespace_raw[[#This Row],[Column4]], "")</f>
        <v/>
      </c>
      <c r="D164" s="95" t="str">
        <f>IF(ISNUMBER(namespace_raw[[#This Row],[Column5]]), namespace_raw[[#This Row],[Column5]]/1048576, "")</f>
        <v/>
      </c>
      <c r="E164" s="95" t="str">
        <f>IF(ISNUMBER(namespace_raw[[#This Row],[Column6]]), namespace_raw[[#This Row],[Column6]],"")</f>
        <v/>
      </c>
      <c r="F164" s="96" t="str">
        <f>IF(ISNUMBER(namespace_raw[[#This Row],[Column7]]), namespace_raw[[#This Row],[Column7]]/1048576,"")</f>
        <v/>
      </c>
      <c r="G164" s="122" t="str">
        <f>IF(ISNUMBER(namespace_raw[[#This Row],[Column8]]), namespace_raw[[#This Row],[Column8]],"")</f>
        <v/>
      </c>
      <c r="H164" s="123" t="str">
        <f>IF(ISNUMBER(namespace_raw[[#This Row],[Column9]]), namespace_raw[[#This Row],[Column9]]/1048576,"")</f>
        <v/>
      </c>
      <c r="I164" s="124" t="str">
        <f>IF(ISNUMBER(namespace_raw[[#This Row],[Column8]]),MAX(G164, M164, O164, $I$2,IF(Q164&lt;&gt;"",VALUE(Q164),0)), "")</f>
        <v/>
      </c>
      <c r="J164" s="125" t="str">
        <f>IF(ISNUMBER(namespace_raw[[#This Row],[Column9]]),MAX(H164, N164, P164, $J$2,IF(R164&lt;&gt;"",VALUE(R164),0)),"")</f>
        <v/>
      </c>
      <c r="K164" s="166" t="str">
        <f>IF(ISNUMBER(namespace_raw[[#This Row],[Column12]]), namespace_raw[[#This Row],[Column12]],"")</f>
        <v/>
      </c>
      <c r="L164" s="167" t="str">
        <f>IF(ISNUMBER(namespace_raw[[#This Row],[Column13]]), namespace_raw[[#This Row],[Column13]]/1048576,"")</f>
        <v/>
      </c>
      <c r="M164" s="168" t="str">
        <f>IF(ISNUMBER(namespace_raw[[#This Row],[Column10]]), (namespace_raw[[#This Row],[Column10]]*(1+$M$2)),"")</f>
        <v/>
      </c>
      <c r="N164" s="167" t="str">
        <f>IF(ISNUMBER(namespace_raw[[#This Row],[Column11]]), (namespace_raw[[#This Row],[Column11]]*(1+$N$2))/1048576,"")</f>
        <v/>
      </c>
      <c r="O164" s="169" t="str">
        <f>IF(ISNUMBER(namespace_raw[[#This Row],[Column8]]), (E164  * $O$2),"")</f>
        <v/>
      </c>
      <c r="P164" s="170" t="str">
        <f>IF(ISNUMBER(namespace_raw[[#This Row],[Column8]]), (F164  * $P$2),"")</f>
        <v/>
      </c>
    </row>
    <row r="165" spans="1:16" ht="15" customHeight="1" x14ac:dyDescent="0.25">
      <c r="A165" s="32" t="str">
        <f>IF(ISNONTEXT(namespace_raw[[#This Row],[Column1]]), "", namespace_raw[[#This Row],[Column1]])</f>
        <v/>
      </c>
      <c r="B165" s="33" t="str">
        <f>IF(ISNONTEXT(namespace_raw[[#This Row],[Column2]]), "", namespace_raw[[#This Row],[Column2]])</f>
        <v/>
      </c>
      <c r="C165" s="94" t="str">
        <f>IF(ISNUMBER(namespace_raw[[#This Row],[Column4]]), namespace_raw[[#This Row],[Column4]], "")</f>
        <v/>
      </c>
      <c r="D165" s="95" t="str">
        <f>IF(ISNUMBER(namespace_raw[[#This Row],[Column5]]), namespace_raw[[#This Row],[Column5]]/1048576, "")</f>
        <v/>
      </c>
      <c r="E165" s="95" t="str">
        <f>IF(ISNUMBER(namespace_raw[[#This Row],[Column6]]), namespace_raw[[#This Row],[Column6]],"")</f>
        <v/>
      </c>
      <c r="F165" s="96" t="str">
        <f>IF(ISNUMBER(namespace_raw[[#This Row],[Column7]]), namespace_raw[[#This Row],[Column7]]/1048576,"")</f>
        <v/>
      </c>
      <c r="G165" s="122" t="str">
        <f>IF(ISNUMBER(namespace_raw[[#This Row],[Column8]]), namespace_raw[[#This Row],[Column8]],"")</f>
        <v/>
      </c>
      <c r="H165" s="123" t="str">
        <f>IF(ISNUMBER(namespace_raw[[#This Row],[Column9]]), namespace_raw[[#This Row],[Column9]]/1048576,"")</f>
        <v/>
      </c>
      <c r="I165" s="124" t="str">
        <f>IF(ISNUMBER(namespace_raw[[#This Row],[Column8]]),MAX(G165, M165, O165, $I$2,IF(Q165&lt;&gt;"",VALUE(Q165),0)), "")</f>
        <v/>
      </c>
      <c r="J165" s="125" t="str">
        <f>IF(ISNUMBER(namespace_raw[[#This Row],[Column9]]),MAX(H165, N165, P165, $J$2,IF(R165&lt;&gt;"",VALUE(R165),0)),"")</f>
        <v/>
      </c>
      <c r="K165" s="166" t="str">
        <f>IF(ISNUMBER(namespace_raw[[#This Row],[Column12]]), namespace_raw[[#This Row],[Column12]],"")</f>
        <v/>
      </c>
      <c r="L165" s="167" t="str">
        <f>IF(ISNUMBER(namespace_raw[[#This Row],[Column13]]), namespace_raw[[#This Row],[Column13]]/1048576,"")</f>
        <v/>
      </c>
      <c r="M165" s="168" t="str">
        <f>IF(ISNUMBER(namespace_raw[[#This Row],[Column10]]), (namespace_raw[[#This Row],[Column10]]*(1+$M$2)),"")</f>
        <v/>
      </c>
      <c r="N165" s="167" t="str">
        <f>IF(ISNUMBER(namespace_raw[[#This Row],[Column11]]), (namespace_raw[[#This Row],[Column11]]*(1+$N$2))/1048576,"")</f>
        <v/>
      </c>
      <c r="O165" s="169" t="str">
        <f>IF(ISNUMBER(namespace_raw[[#This Row],[Column8]]), (E165  * $O$2),"")</f>
        <v/>
      </c>
      <c r="P165" s="170" t="str">
        <f>IF(ISNUMBER(namespace_raw[[#This Row],[Column8]]), (F165  * $P$2),"")</f>
        <v/>
      </c>
    </row>
    <row r="166" spans="1:16" ht="15" customHeight="1" x14ac:dyDescent="0.25">
      <c r="A166" s="32" t="str">
        <f>IF(ISNONTEXT(namespace_raw[[#This Row],[Column1]]), "", namespace_raw[[#This Row],[Column1]])</f>
        <v/>
      </c>
      <c r="B166" s="33" t="str">
        <f>IF(ISNONTEXT(namespace_raw[[#This Row],[Column2]]), "", namespace_raw[[#This Row],[Column2]])</f>
        <v/>
      </c>
      <c r="C166" s="94" t="str">
        <f>IF(ISNUMBER(namespace_raw[[#This Row],[Column4]]), namespace_raw[[#This Row],[Column4]], "")</f>
        <v/>
      </c>
      <c r="D166" s="95" t="str">
        <f>IF(ISNUMBER(namespace_raw[[#This Row],[Column5]]), namespace_raw[[#This Row],[Column5]]/1048576, "")</f>
        <v/>
      </c>
      <c r="E166" s="95" t="str">
        <f>IF(ISNUMBER(namespace_raw[[#This Row],[Column6]]), namespace_raw[[#This Row],[Column6]],"")</f>
        <v/>
      </c>
      <c r="F166" s="96" t="str">
        <f>IF(ISNUMBER(namespace_raw[[#This Row],[Column7]]), namespace_raw[[#This Row],[Column7]]/1048576,"")</f>
        <v/>
      </c>
      <c r="G166" s="122" t="str">
        <f>IF(ISNUMBER(namespace_raw[[#This Row],[Column8]]), namespace_raw[[#This Row],[Column8]],"")</f>
        <v/>
      </c>
      <c r="H166" s="123" t="str">
        <f>IF(ISNUMBER(namespace_raw[[#This Row],[Column9]]), namespace_raw[[#This Row],[Column9]]/1048576,"")</f>
        <v/>
      </c>
      <c r="I166" s="124" t="str">
        <f>IF(ISNUMBER(namespace_raw[[#This Row],[Column8]]),MAX(G166, M166, O166, $I$2,IF(Q166&lt;&gt;"",VALUE(Q166),0)), "")</f>
        <v/>
      </c>
      <c r="J166" s="125" t="str">
        <f>IF(ISNUMBER(namespace_raw[[#This Row],[Column9]]),MAX(H166, N166, P166, $J$2,IF(R166&lt;&gt;"",VALUE(R166),0)),"")</f>
        <v/>
      </c>
      <c r="K166" s="166" t="str">
        <f>IF(ISNUMBER(namespace_raw[[#This Row],[Column12]]), namespace_raw[[#This Row],[Column12]],"")</f>
        <v/>
      </c>
      <c r="L166" s="167" t="str">
        <f>IF(ISNUMBER(namespace_raw[[#This Row],[Column13]]), namespace_raw[[#This Row],[Column13]]/1048576,"")</f>
        <v/>
      </c>
      <c r="M166" s="168" t="str">
        <f>IF(ISNUMBER(namespace_raw[[#This Row],[Column10]]), (namespace_raw[[#This Row],[Column10]]*(1+$M$2)),"")</f>
        <v/>
      </c>
      <c r="N166" s="167" t="str">
        <f>IF(ISNUMBER(namespace_raw[[#This Row],[Column11]]), (namespace_raw[[#This Row],[Column11]]*(1+$N$2))/1048576,"")</f>
        <v/>
      </c>
      <c r="O166" s="169" t="str">
        <f>IF(ISNUMBER(namespace_raw[[#This Row],[Column8]]), (E166  * $O$2),"")</f>
        <v/>
      </c>
      <c r="P166" s="170" t="str">
        <f>IF(ISNUMBER(namespace_raw[[#This Row],[Column8]]), (F166  * $P$2),"")</f>
        <v/>
      </c>
    </row>
    <row r="167" spans="1:16" ht="15" customHeight="1" x14ac:dyDescent="0.25">
      <c r="A167" s="32" t="str">
        <f>IF(ISNONTEXT(namespace_raw[[#This Row],[Column1]]), "", namespace_raw[[#This Row],[Column1]])</f>
        <v/>
      </c>
      <c r="B167" s="33" t="str">
        <f>IF(ISNONTEXT(namespace_raw[[#This Row],[Column2]]), "", namespace_raw[[#This Row],[Column2]])</f>
        <v/>
      </c>
      <c r="C167" s="94" t="str">
        <f>IF(ISNUMBER(namespace_raw[[#This Row],[Column4]]), namespace_raw[[#This Row],[Column4]], "")</f>
        <v/>
      </c>
      <c r="D167" s="95" t="str">
        <f>IF(ISNUMBER(namespace_raw[[#This Row],[Column5]]), namespace_raw[[#This Row],[Column5]]/1048576, "")</f>
        <v/>
      </c>
      <c r="E167" s="95" t="str">
        <f>IF(ISNUMBER(namespace_raw[[#This Row],[Column6]]), namespace_raw[[#This Row],[Column6]],"")</f>
        <v/>
      </c>
      <c r="F167" s="96" t="str">
        <f>IF(ISNUMBER(namespace_raw[[#This Row],[Column7]]), namespace_raw[[#This Row],[Column7]]/1048576,"")</f>
        <v/>
      </c>
      <c r="G167" s="122" t="str">
        <f>IF(ISNUMBER(namespace_raw[[#This Row],[Column8]]), namespace_raw[[#This Row],[Column8]],"")</f>
        <v/>
      </c>
      <c r="H167" s="123" t="str">
        <f>IF(ISNUMBER(namespace_raw[[#This Row],[Column9]]), namespace_raw[[#This Row],[Column9]]/1048576,"")</f>
        <v/>
      </c>
      <c r="I167" s="124" t="str">
        <f>IF(ISNUMBER(namespace_raw[[#This Row],[Column8]]),MAX(G167, M167, O167, $I$2,IF(Q167&lt;&gt;"",VALUE(Q167),0)), "")</f>
        <v/>
      </c>
      <c r="J167" s="125" t="str">
        <f>IF(ISNUMBER(namespace_raw[[#This Row],[Column9]]),MAX(H167, N167, P167, $J$2,IF(R167&lt;&gt;"",VALUE(R167),0)),"")</f>
        <v/>
      </c>
      <c r="K167" s="166" t="str">
        <f>IF(ISNUMBER(namespace_raw[[#This Row],[Column12]]), namespace_raw[[#This Row],[Column12]],"")</f>
        <v/>
      </c>
      <c r="L167" s="167" t="str">
        <f>IF(ISNUMBER(namespace_raw[[#This Row],[Column13]]), namespace_raw[[#This Row],[Column13]]/1048576,"")</f>
        <v/>
      </c>
      <c r="M167" s="168" t="str">
        <f>IF(ISNUMBER(namespace_raw[[#This Row],[Column10]]), (namespace_raw[[#This Row],[Column10]]*(1+$M$2)),"")</f>
        <v/>
      </c>
      <c r="N167" s="167" t="str">
        <f>IF(ISNUMBER(namespace_raw[[#This Row],[Column11]]), (namespace_raw[[#This Row],[Column11]]*(1+$N$2))/1048576,"")</f>
        <v/>
      </c>
      <c r="O167" s="169" t="str">
        <f>IF(ISNUMBER(namespace_raw[[#This Row],[Column8]]), (E167  * $O$2),"")</f>
        <v/>
      </c>
      <c r="P167" s="170" t="str">
        <f>IF(ISNUMBER(namespace_raw[[#This Row],[Column8]]), (F167  * $P$2),"")</f>
        <v/>
      </c>
    </row>
    <row r="168" spans="1:16" ht="15" customHeight="1" x14ac:dyDescent="0.25">
      <c r="A168" s="32" t="str">
        <f>IF(ISNONTEXT(namespace_raw[[#This Row],[Column1]]), "", namespace_raw[[#This Row],[Column1]])</f>
        <v/>
      </c>
      <c r="B168" s="33" t="str">
        <f>IF(ISNONTEXT(namespace_raw[[#This Row],[Column2]]), "", namespace_raw[[#This Row],[Column2]])</f>
        <v/>
      </c>
      <c r="C168" s="94" t="str">
        <f>IF(ISNUMBER(namespace_raw[[#This Row],[Column4]]), namespace_raw[[#This Row],[Column4]], "")</f>
        <v/>
      </c>
      <c r="D168" s="95" t="str">
        <f>IF(ISNUMBER(namespace_raw[[#This Row],[Column5]]), namespace_raw[[#This Row],[Column5]]/1048576, "")</f>
        <v/>
      </c>
      <c r="E168" s="95" t="str">
        <f>IF(ISNUMBER(namespace_raw[[#This Row],[Column6]]), namespace_raw[[#This Row],[Column6]],"")</f>
        <v/>
      </c>
      <c r="F168" s="96" t="str">
        <f>IF(ISNUMBER(namespace_raw[[#This Row],[Column7]]), namespace_raw[[#This Row],[Column7]]/1048576,"")</f>
        <v/>
      </c>
      <c r="G168" s="122" t="str">
        <f>IF(ISNUMBER(namespace_raw[[#This Row],[Column8]]), namespace_raw[[#This Row],[Column8]],"")</f>
        <v/>
      </c>
      <c r="H168" s="123" t="str">
        <f>IF(ISNUMBER(namespace_raw[[#This Row],[Column9]]), namespace_raw[[#This Row],[Column9]]/1048576,"")</f>
        <v/>
      </c>
      <c r="I168" s="124" t="str">
        <f>IF(ISNUMBER(namespace_raw[[#This Row],[Column8]]),MAX(G168, M168, O168, $I$2,IF(Q168&lt;&gt;"",VALUE(Q168),0)), "")</f>
        <v/>
      </c>
      <c r="J168" s="125" t="str">
        <f>IF(ISNUMBER(namespace_raw[[#This Row],[Column9]]),MAX(H168, N168, P168, $J$2,IF(R168&lt;&gt;"",VALUE(R168),0)),"")</f>
        <v/>
      </c>
      <c r="K168" s="166" t="str">
        <f>IF(ISNUMBER(namespace_raw[[#This Row],[Column12]]), namespace_raw[[#This Row],[Column12]],"")</f>
        <v/>
      </c>
      <c r="L168" s="167" t="str">
        <f>IF(ISNUMBER(namespace_raw[[#This Row],[Column13]]), namespace_raw[[#This Row],[Column13]]/1048576,"")</f>
        <v/>
      </c>
      <c r="M168" s="168" t="str">
        <f>IF(ISNUMBER(namespace_raw[[#This Row],[Column10]]), (namespace_raw[[#This Row],[Column10]]*(1+$M$2)),"")</f>
        <v/>
      </c>
      <c r="N168" s="167" t="str">
        <f>IF(ISNUMBER(namespace_raw[[#This Row],[Column11]]), (namespace_raw[[#This Row],[Column11]]*(1+$N$2))/1048576,"")</f>
        <v/>
      </c>
      <c r="O168" s="169" t="str">
        <f>IF(ISNUMBER(namespace_raw[[#This Row],[Column8]]), (E168  * $O$2),"")</f>
        <v/>
      </c>
      <c r="P168" s="170" t="str">
        <f>IF(ISNUMBER(namespace_raw[[#This Row],[Column8]]), (F168  * $P$2),"")</f>
        <v/>
      </c>
    </row>
    <row r="169" spans="1:16" ht="15" customHeight="1" x14ac:dyDescent="0.25">
      <c r="A169" s="32" t="str">
        <f>IF(ISNONTEXT(namespace_raw[[#This Row],[Column1]]), "", namespace_raw[[#This Row],[Column1]])</f>
        <v/>
      </c>
      <c r="B169" s="33" t="str">
        <f>IF(ISNONTEXT(namespace_raw[[#This Row],[Column2]]), "", namespace_raw[[#This Row],[Column2]])</f>
        <v/>
      </c>
      <c r="C169" s="94" t="str">
        <f>IF(ISNUMBER(namespace_raw[[#This Row],[Column4]]), namespace_raw[[#This Row],[Column4]], "")</f>
        <v/>
      </c>
      <c r="D169" s="95" t="str">
        <f>IF(ISNUMBER(namespace_raw[[#This Row],[Column5]]), namespace_raw[[#This Row],[Column5]]/1048576, "")</f>
        <v/>
      </c>
      <c r="E169" s="95" t="str">
        <f>IF(ISNUMBER(namespace_raw[[#This Row],[Column6]]), namespace_raw[[#This Row],[Column6]],"")</f>
        <v/>
      </c>
      <c r="F169" s="96" t="str">
        <f>IF(ISNUMBER(namespace_raw[[#This Row],[Column7]]), namespace_raw[[#This Row],[Column7]]/1048576,"")</f>
        <v/>
      </c>
      <c r="G169" s="122" t="str">
        <f>IF(ISNUMBER(namespace_raw[[#This Row],[Column8]]), namespace_raw[[#This Row],[Column8]],"")</f>
        <v/>
      </c>
      <c r="H169" s="123" t="str">
        <f>IF(ISNUMBER(namespace_raw[[#This Row],[Column9]]), namespace_raw[[#This Row],[Column9]]/1048576,"")</f>
        <v/>
      </c>
      <c r="I169" s="124" t="str">
        <f>IF(ISNUMBER(namespace_raw[[#This Row],[Column8]]),MAX(G169, M169, O169, $I$2,IF(Q169&lt;&gt;"",VALUE(Q169),0)), "")</f>
        <v/>
      </c>
      <c r="J169" s="125" t="str">
        <f>IF(ISNUMBER(namespace_raw[[#This Row],[Column9]]),MAX(H169, N169, P169, $J$2,IF(R169&lt;&gt;"",VALUE(R169),0)),"")</f>
        <v/>
      </c>
      <c r="K169" s="166" t="str">
        <f>IF(ISNUMBER(namespace_raw[[#This Row],[Column12]]), namespace_raw[[#This Row],[Column12]],"")</f>
        <v/>
      </c>
      <c r="L169" s="167" t="str">
        <f>IF(ISNUMBER(namespace_raw[[#This Row],[Column13]]), namespace_raw[[#This Row],[Column13]]/1048576,"")</f>
        <v/>
      </c>
      <c r="M169" s="168" t="str">
        <f>IF(ISNUMBER(namespace_raw[[#This Row],[Column10]]), (namespace_raw[[#This Row],[Column10]]*(1+$M$2)),"")</f>
        <v/>
      </c>
      <c r="N169" s="167" t="str">
        <f>IF(ISNUMBER(namespace_raw[[#This Row],[Column11]]), (namespace_raw[[#This Row],[Column11]]*(1+$N$2))/1048576,"")</f>
        <v/>
      </c>
      <c r="O169" s="169" t="str">
        <f>IF(ISNUMBER(namespace_raw[[#This Row],[Column8]]), (E169  * $O$2),"")</f>
        <v/>
      </c>
      <c r="P169" s="170" t="str">
        <f>IF(ISNUMBER(namespace_raw[[#This Row],[Column8]]), (F169  * $P$2),"")</f>
        <v/>
      </c>
    </row>
    <row r="170" spans="1:16" ht="15" customHeight="1" x14ac:dyDescent="0.25">
      <c r="A170" s="32" t="str">
        <f>IF(ISNONTEXT(namespace_raw[[#This Row],[Column1]]), "", namespace_raw[[#This Row],[Column1]])</f>
        <v/>
      </c>
      <c r="B170" s="33" t="str">
        <f>IF(ISNONTEXT(namespace_raw[[#This Row],[Column2]]), "", namespace_raw[[#This Row],[Column2]])</f>
        <v/>
      </c>
      <c r="C170" s="94" t="str">
        <f>IF(ISNUMBER(namespace_raw[[#This Row],[Column4]]), namespace_raw[[#This Row],[Column4]], "")</f>
        <v/>
      </c>
      <c r="D170" s="95" t="str">
        <f>IF(ISNUMBER(namespace_raw[[#This Row],[Column5]]), namespace_raw[[#This Row],[Column5]]/1048576, "")</f>
        <v/>
      </c>
      <c r="E170" s="95" t="str">
        <f>IF(ISNUMBER(namespace_raw[[#This Row],[Column6]]), namespace_raw[[#This Row],[Column6]],"")</f>
        <v/>
      </c>
      <c r="F170" s="96" t="str">
        <f>IF(ISNUMBER(namespace_raw[[#This Row],[Column7]]), namespace_raw[[#This Row],[Column7]]/1048576,"")</f>
        <v/>
      </c>
      <c r="G170" s="122" t="str">
        <f>IF(ISNUMBER(namespace_raw[[#This Row],[Column8]]), namespace_raw[[#This Row],[Column8]],"")</f>
        <v/>
      </c>
      <c r="H170" s="123" t="str">
        <f>IF(ISNUMBER(namespace_raw[[#This Row],[Column9]]), namespace_raw[[#This Row],[Column9]]/1048576,"")</f>
        <v/>
      </c>
      <c r="I170" s="124" t="str">
        <f>IF(ISNUMBER(namespace_raw[[#This Row],[Column8]]),MAX(G170, M170, O170, $I$2,IF(Q170&lt;&gt;"",VALUE(Q170),0)), "")</f>
        <v/>
      </c>
      <c r="J170" s="125" t="str">
        <f>IF(ISNUMBER(namespace_raw[[#This Row],[Column9]]),MAX(H170, N170, P170, $J$2,IF(R170&lt;&gt;"",VALUE(R170),0)),"")</f>
        <v/>
      </c>
      <c r="K170" s="166" t="str">
        <f>IF(ISNUMBER(namespace_raw[[#This Row],[Column12]]), namespace_raw[[#This Row],[Column12]],"")</f>
        <v/>
      </c>
      <c r="L170" s="167" t="str">
        <f>IF(ISNUMBER(namespace_raw[[#This Row],[Column13]]), namespace_raw[[#This Row],[Column13]]/1048576,"")</f>
        <v/>
      </c>
      <c r="M170" s="168" t="str">
        <f>IF(ISNUMBER(namespace_raw[[#This Row],[Column10]]), (namespace_raw[[#This Row],[Column10]]*(1+$M$2)),"")</f>
        <v/>
      </c>
      <c r="N170" s="167" t="str">
        <f>IF(ISNUMBER(namespace_raw[[#This Row],[Column11]]), (namespace_raw[[#This Row],[Column11]]*(1+$N$2))/1048576,"")</f>
        <v/>
      </c>
      <c r="O170" s="169" t="str">
        <f>IF(ISNUMBER(namespace_raw[[#This Row],[Column8]]), (E170  * $O$2),"")</f>
        <v/>
      </c>
      <c r="P170" s="170" t="str">
        <f>IF(ISNUMBER(namespace_raw[[#This Row],[Column8]]), (F170  * $P$2),"")</f>
        <v/>
      </c>
    </row>
    <row r="171" spans="1:16" ht="15" customHeight="1" x14ac:dyDescent="0.25">
      <c r="A171" s="32" t="str">
        <f>IF(ISNONTEXT(namespace_raw[[#This Row],[Column1]]), "", namespace_raw[[#This Row],[Column1]])</f>
        <v/>
      </c>
      <c r="B171" s="33" t="str">
        <f>IF(ISNONTEXT(namespace_raw[[#This Row],[Column2]]), "", namespace_raw[[#This Row],[Column2]])</f>
        <v/>
      </c>
      <c r="C171" s="94" t="str">
        <f>IF(ISNUMBER(namespace_raw[[#This Row],[Column4]]), namespace_raw[[#This Row],[Column4]], "")</f>
        <v/>
      </c>
      <c r="D171" s="95" t="str">
        <f>IF(ISNUMBER(namespace_raw[[#This Row],[Column5]]), namespace_raw[[#This Row],[Column5]]/1048576, "")</f>
        <v/>
      </c>
      <c r="E171" s="95" t="str">
        <f>IF(ISNUMBER(namespace_raw[[#This Row],[Column6]]), namespace_raw[[#This Row],[Column6]],"")</f>
        <v/>
      </c>
      <c r="F171" s="96" t="str">
        <f>IF(ISNUMBER(namespace_raw[[#This Row],[Column7]]), namespace_raw[[#This Row],[Column7]]/1048576,"")</f>
        <v/>
      </c>
      <c r="G171" s="122" t="str">
        <f>IF(ISNUMBER(namespace_raw[[#This Row],[Column8]]), namespace_raw[[#This Row],[Column8]],"")</f>
        <v/>
      </c>
      <c r="H171" s="123" t="str">
        <f>IF(ISNUMBER(namespace_raw[[#This Row],[Column9]]), namespace_raw[[#This Row],[Column9]]/1048576,"")</f>
        <v/>
      </c>
      <c r="I171" s="124" t="str">
        <f>IF(ISNUMBER(namespace_raw[[#This Row],[Column8]]),MAX(G171, M171, O171, $I$2,IF(Q171&lt;&gt;"",VALUE(Q171),0)), "")</f>
        <v/>
      </c>
      <c r="J171" s="125" t="str">
        <f>IF(ISNUMBER(namespace_raw[[#This Row],[Column9]]),MAX(H171, N171, P171, $J$2,IF(R171&lt;&gt;"",VALUE(R171),0)),"")</f>
        <v/>
      </c>
      <c r="K171" s="166" t="str">
        <f>IF(ISNUMBER(namespace_raw[[#This Row],[Column12]]), namespace_raw[[#This Row],[Column12]],"")</f>
        <v/>
      </c>
      <c r="L171" s="167" t="str">
        <f>IF(ISNUMBER(namespace_raw[[#This Row],[Column13]]), namespace_raw[[#This Row],[Column13]]/1048576,"")</f>
        <v/>
      </c>
      <c r="M171" s="168" t="str">
        <f>IF(ISNUMBER(namespace_raw[[#This Row],[Column10]]), (namespace_raw[[#This Row],[Column10]]*(1+$M$2)),"")</f>
        <v/>
      </c>
      <c r="N171" s="167" t="str">
        <f>IF(ISNUMBER(namespace_raw[[#This Row],[Column11]]), (namespace_raw[[#This Row],[Column11]]*(1+$N$2))/1048576,"")</f>
        <v/>
      </c>
      <c r="O171" s="169" t="str">
        <f>IF(ISNUMBER(namespace_raw[[#This Row],[Column8]]), (E171  * $O$2),"")</f>
        <v/>
      </c>
      <c r="P171" s="170" t="str">
        <f>IF(ISNUMBER(namespace_raw[[#This Row],[Column8]]), (F171  * $P$2),"")</f>
        <v/>
      </c>
    </row>
    <row r="172" spans="1:16" ht="15" customHeight="1" x14ac:dyDescent="0.25">
      <c r="A172" s="32" t="str">
        <f>IF(ISNONTEXT(namespace_raw[[#This Row],[Column1]]), "", namespace_raw[[#This Row],[Column1]])</f>
        <v/>
      </c>
      <c r="B172" s="33" t="str">
        <f>IF(ISNONTEXT(namespace_raw[[#This Row],[Column2]]), "", namespace_raw[[#This Row],[Column2]])</f>
        <v/>
      </c>
      <c r="C172" s="94" t="str">
        <f>IF(ISNUMBER(namespace_raw[[#This Row],[Column4]]), namespace_raw[[#This Row],[Column4]], "")</f>
        <v/>
      </c>
      <c r="D172" s="95" t="str">
        <f>IF(ISNUMBER(namespace_raw[[#This Row],[Column5]]), namespace_raw[[#This Row],[Column5]]/1048576, "")</f>
        <v/>
      </c>
      <c r="E172" s="95" t="str">
        <f>IF(ISNUMBER(namespace_raw[[#This Row],[Column6]]), namespace_raw[[#This Row],[Column6]],"")</f>
        <v/>
      </c>
      <c r="F172" s="96" t="str">
        <f>IF(ISNUMBER(namespace_raw[[#This Row],[Column7]]), namespace_raw[[#This Row],[Column7]]/1048576,"")</f>
        <v/>
      </c>
      <c r="G172" s="122" t="str">
        <f>IF(ISNUMBER(namespace_raw[[#This Row],[Column8]]), namespace_raw[[#This Row],[Column8]],"")</f>
        <v/>
      </c>
      <c r="H172" s="123" t="str">
        <f>IF(ISNUMBER(namespace_raw[[#This Row],[Column9]]), namespace_raw[[#This Row],[Column9]]/1048576,"")</f>
        <v/>
      </c>
      <c r="I172" s="124" t="str">
        <f>IF(ISNUMBER(namespace_raw[[#This Row],[Column8]]),MAX(G172, M172, O172, $I$2,IF(Q172&lt;&gt;"",VALUE(Q172),0)), "")</f>
        <v/>
      </c>
      <c r="J172" s="125" t="str">
        <f>IF(ISNUMBER(namespace_raw[[#This Row],[Column9]]),MAX(H172, N172, P172, $J$2,IF(R172&lt;&gt;"",VALUE(R172),0)),"")</f>
        <v/>
      </c>
      <c r="K172" s="166" t="str">
        <f>IF(ISNUMBER(namespace_raw[[#This Row],[Column12]]), namespace_raw[[#This Row],[Column12]],"")</f>
        <v/>
      </c>
      <c r="L172" s="167" t="str">
        <f>IF(ISNUMBER(namespace_raw[[#This Row],[Column13]]), namespace_raw[[#This Row],[Column13]]/1048576,"")</f>
        <v/>
      </c>
      <c r="M172" s="168" t="str">
        <f>IF(ISNUMBER(namespace_raw[[#This Row],[Column10]]), (namespace_raw[[#This Row],[Column10]]*(1+$M$2)),"")</f>
        <v/>
      </c>
      <c r="N172" s="167" t="str">
        <f>IF(ISNUMBER(namespace_raw[[#This Row],[Column11]]), (namespace_raw[[#This Row],[Column11]]*(1+$N$2))/1048576,"")</f>
        <v/>
      </c>
      <c r="O172" s="169" t="str">
        <f>IF(ISNUMBER(namespace_raw[[#This Row],[Column8]]), (E172  * $O$2),"")</f>
        <v/>
      </c>
      <c r="P172" s="170" t="str">
        <f>IF(ISNUMBER(namespace_raw[[#This Row],[Column8]]), (F172  * $P$2),"")</f>
        <v/>
      </c>
    </row>
    <row r="173" spans="1:16" ht="15" customHeight="1" x14ac:dyDescent="0.25">
      <c r="A173" s="32" t="str">
        <f>IF(ISNONTEXT(namespace_raw[[#This Row],[Column1]]), "", namespace_raw[[#This Row],[Column1]])</f>
        <v/>
      </c>
      <c r="B173" s="33" t="str">
        <f>IF(ISNONTEXT(namespace_raw[[#This Row],[Column2]]), "", namespace_raw[[#This Row],[Column2]])</f>
        <v/>
      </c>
      <c r="C173" s="94" t="str">
        <f>IF(ISNUMBER(namespace_raw[[#This Row],[Column4]]), namespace_raw[[#This Row],[Column4]], "")</f>
        <v/>
      </c>
      <c r="D173" s="95" t="str">
        <f>IF(ISNUMBER(namespace_raw[[#This Row],[Column5]]), namespace_raw[[#This Row],[Column5]]/1048576, "")</f>
        <v/>
      </c>
      <c r="E173" s="95" t="str">
        <f>IF(ISNUMBER(namespace_raw[[#This Row],[Column6]]), namespace_raw[[#This Row],[Column6]],"")</f>
        <v/>
      </c>
      <c r="F173" s="96" t="str">
        <f>IF(ISNUMBER(namespace_raw[[#This Row],[Column7]]), namespace_raw[[#This Row],[Column7]]/1048576,"")</f>
        <v/>
      </c>
      <c r="G173" s="122" t="str">
        <f>IF(ISNUMBER(namespace_raw[[#This Row],[Column8]]), namespace_raw[[#This Row],[Column8]],"")</f>
        <v/>
      </c>
      <c r="H173" s="123" t="str">
        <f>IF(ISNUMBER(namespace_raw[[#This Row],[Column9]]), namespace_raw[[#This Row],[Column9]]/1048576,"")</f>
        <v/>
      </c>
      <c r="I173" s="124" t="str">
        <f>IF(ISNUMBER(namespace_raw[[#This Row],[Column8]]),MAX(G173, M173, O173, $I$2,IF(Q173&lt;&gt;"",VALUE(Q173),0)), "")</f>
        <v/>
      </c>
      <c r="J173" s="125" t="str">
        <f>IF(ISNUMBER(namespace_raw[[#This Row],[Column9]]),MAX(H173, N173, P173, $J$2,IF(R173&lt;&gt;"",VALUE(R173),0)),"")</f>
        <v/>
      </c>
      <c r="K173" s="166" t="str">
        <f>IF(ISNUMBER(namespace_raw[[#This Row],[Column12]]), namespace_raw[[#This Row],[Column12]],"")</f>
        <v/>
      </c>
      <c r="L173" s="167" t="str">
        <f>IF(ISNUMBER(namespace_raw[[#This Row],[Column13]]), namespace_raw[[#This Row],[Column13]]/1048576,"")</f>
        <v/>
      </c>
      <c r="M173" s="168" t="str">
        <f>IF(ISNUMBER(namespace_raw[[#This Row],[Column10]]), (namespace_raw[[#This Row],[Column10]]*(1+$M$2)),"")</f>
        <v/>
      </c>
      <c r="N173" s="167" t="str">
        <f>IF(ISNUMBER(namespace_raw[[#This Row],[Column11]]), (namespace_raw[[#This Row],[Column11]]*(1+$N$2))/1048576,"")</f>
        <v/>
      </c>
      <c r="O173" s="169" t="str">
        <f>IF(ISNUMBER(namespace_raw[[#This Row],[Column8]]), (E173  * $O$2),"")</f>
        <v/>
      </c>
      <c r="P173" s="170" t="str">
        <f>IF(ISNUMBER(namespace_raw[[#This Row],[Column8]]), (F173  * $P$2),"")</f>
        <v/>
      </c>
    </row>
    <row r="174" spans="1:16" ht="15" customHeight="1" x14ac:dyDescent="0.25">
      <c r="A174" s="32" t="str">
        <f>IF(ISNONTEXT(namespace_raw[[#This Row],[Column1]]), "", namespace_raw[[#This Row],[Column1]])</f>
        <v/>
      </c>
      <c r="B174" s="33" t="str">
        <f>IF(ISNONTEXT(namespace_raw[[#This Row],[Column2]]), "", namespace_raw[[#This Row],[Column2]])</f>
        <v/>
      </c>
      <c r="C174" s="94" t="str">
        <f>IF(ISNUMBER(namespace_raw[[#This Row],[Column4]]), namespace_raw[[#This Row],[Column4]], "")</f>
        <v/>
      </c>
      <c r="D174" s="95" t="str">
        <f>IF(ISNUMBER(namespace_raw[[#This Row],[Column5]]), namespace_raw[[#This Row],[Column5]]/1048576, "")</f>
        <v/>
      </c>
      <c r="E174" s="95" t="str">
        <f>IF(ISNUMBER(namespace_raw[[#This Row],[Column6]]), namespace_raw[[#This Row],[Column6]],"")</f>
        <v/>
      </c>
      <c r="F174" s="96" t="str">
        <f>IF(ISNUMBER(namespace_raw[[#This Row],[Column7]]), namespace_raw[[#This Row],[Column7]]/1048576,"")</f>
        <v/>
      </c>
      <c r="G174" s="122" t="str">
        <f>IF(ISNUMBER(namespace_raw[[#This Row],[Column8]]), namespace_raw[[#This Row],[Column8]],"")</f>
        <v/>
      </c>
      <c r="H174" s="123" t="str">
        <f>IF(ISNUMBER(namespace_raw[[#This Row],[Column9]]), namespace_raw[[#This Row],[Column9]]/1048576,"")</f>
        <v/>
      </c>
      <c r="I174" s="124" t="str">
        <f>IF(ISNUMBER(namespace_raw[[#This Row],[Column8]]),MAX(G174, M174, O174, $I$2,IF(Q174&lt;&gt;"",VALUE(Q174),0)), "")</f>
        <v/>
      </c>
      <c r="J174" s="125" t="str">
        <f>IF(ISNUMBER(namespace_raw[[#This Row],[Column9]]),MAX(H174, N174, P174, $J$2,IF(R174&lt;&gt;"",VALUE(R174),0)),"")</f>
        <v/>
      </c>
      <c r="K174" s="166" t="str">
        <f>IF(ISNUMBER(namespace_raw[[#This Row],[Column12]]), namespace_raw[[#This Row],[Column12]],"")</f>
        <v/>
      </c>
      <c r="L174" s="167" t="str">
        <f>IF(ISNUMBER(namespace_raw[[#This Row],[Column13]]), namespace_raw[[#This Row],[Column13]]/1048576,"")</f>
        <v/>
      </c>
      <c r="M174" s="168" t="str">
        <f>IF(ISNUMBER(namespace_raw[[#This Row],[Column10]]), (namespace_raw[[#This Row],[Column10]]*(1+$M$2)),"")</f>
        <v/>
      </c>
      <c r="N174" s="167" t="str">
        <f>IF(ISNUMBER(namespace_raw[[#This Row],[Column11]]), (namespace_raw[[#This Row],[Column11]]*(1+$N$2))/1048576,"")</f>
        <v/>
      </c>
      <c r="O174" s="169" t="str">
        <f>IF(ISNUMBER(namespace_raw[[#This Row],[Column8]]), (E174  * $O$2),"")</f>
        <v/>
      </c>
      <c r="P174" s="170" t="str">
        <f>IF(ISNUMBER(namespace_raw[[#This Row],[Column8]]), (F174  * $P$2),"")</f>
        <v/>
      </c>
    </row>
    <row r="175" spans="1:16" ht="15" customHeight="1" x14ac:dyDescent="0.25">
      <c r="A175" s="32" t="str">
        <f>IF(ISNONTEXT(namespace_raw[[#This Row],[Column1]]), "", namespace_raw[[#This Row],[Column1]])</f>
        <v/>
      </c>
      <c r="B175" s="33" t="str">
        <f>IF(ISNONTEXT(namespace_raw[[#This Row],[Column2]]), "", namespace_raw[[#This Row],[Column2]])</f>
        <v/>
      </c>
      <c r="C175" s="94" t="str">
        <f>IF(ISNUMBER(namespace_raw[[#This Row],[Column4]]), namespace_raw[[#This Row],[Column4]], "")</f>
        <v/>
      </c>
      <c r="D175" s="95" t="str">
        <f>IF(ISNUMBER(namespace_raw[[#This Row],[Column5]]), namespace_raw[[#This Row],[Column5]]/1048576, "")</f>
        <v/>
      </c>
      <c r="E175" s="95" t="str">
        <f>IF(ISNUMBER(namespace_raw[[#This Row],[Column6]]), namespace_raw[[#This Row],[Column6]],"")</f>
        <v/>
      </c>
      <c r="F175" s="96" t="str">
        <f>IF(ISNUMBER(namespace_raw[[#This Row],[Column7]]), namespace_raw[[#This Row],[Column7]]/1048576,"")</f>
        <v/>
      </c>
      <c r="G175" s="122" t="str">
        <f>IF(ISNUMBER(namespace_raw[[#This Row],[Column8]]), namespace_raw[[#This Row],[Column8]],"")</f>
        <v/>
      </c>
      <c r="H175" s="123" t="str">
        <f>IF(ISNUMBER(namespace_raw[[#This Row],[Column9]]), namespace_raw[[#This Row],[Column9]]/1048576,"")</f>
        <v/>
      </c>
      <c r="I175" s="124" t="str">
        <f>IF(ISNUMBER(namespace_raw[[#This Row],[Column8]]),MAX(G175, M175, O175, $I$2,IF(Q175&lt;&gt;"",VALUE(Q175),0)), "")</f>
        <v/>
      </c>
      <c r="J175" s="125" t="str">
        <f>IF(ISNUMBER(namespace_raw[[#This Row],[Column9]]),MAX(H175, N175, P175, $J$2,IF(R175&lt;&gt;"",VALUE(R175),0)),"")</f>
        <v/>
      </c>
      <c r="K175" s="166" t="str">
        <f>IF(ISNUMBER(namespace_raw[[#This Row],[Column12]]), namespace_raw[[#This Row],[Column12]],"")</f>
        <v/>
      </c>
      <c r="L175" s="167" t="str">
        <f>IF(ISNUMBER(namespace_raw[[#This Row],[Column13]]), namespace_raw[[#This Row],[Column13]]/1048576,"")</f>
        <v/>
      </c>
      <c r="M175" s="168" t="str">
        <f>IF(ISNUMBER(namespace_raw[[#This Row],[Column10]]), (namespace_raw[[#This Row],[Column10]]*(1+$M$2)),"")</f>
        <v/>
      </c>
      <c r="N175" s="167" t="str">
        <f>IF(ISNUMBER(namespace_raw[[#This Row],[Column11]]), (namespace_raw[[#This Row],[Column11]]*(1+$N$2))/1048576,"")</f>
        <v/>
      </c>
      <c r="O175" s="169" t="str">
        <f>IF(ISNUMBER(namespace_raw[[#This Row],[Column8]]), (E175  * $O$2),"")</f>
        <v/>
      </c>
      <c r="P175" s="170" t="str">
        <f>IF(ISNUMBER(namespace_raw[[#This Row],[Column8]]), (F175  * $P$2),"")</f>
        <v/>
      </c>
    </row>
    <row r="176" spans="1:16" ht="15" customHeight="1" x14ac:dyDescent="0.25">
      <c r="A176" s="32" t="str">
        <f>IF(ISNONTEXT(namespace_raw[[#This Row],[Column1]]), "", namespace_raw[[#This Row],[Column1]])</f>
        <v/>
      </c>
      <c r="B176" s="33" t="str">
        <f>IF(ISNONTEXT(namespace_raw[[#This Row],[Column2]]), "", namespace_raw[[#This Row],[Column2]])</f>
        <v/>
      </c>
      <c r="C176" s="94" t="str">
        <f>IF(ISNUMBER(namespace_raw[[#This Row],[Column4]]), namespace_raw[[#This Row],[Column4]], "")</f>
        <v/>
      </c>
      <c r="D176" s="95" t="str">
        <f>IF(ISNUMBER(namespace_raw[[#This Row],[Column5]]), namespace_raw[[#This Row],[Column5]]/1048576, "")</f>
        <v/>
      </c>
      <c r="E176" s="95" t="str">
        <f>IF(ISNUMBER(namespace_raw[[#This Row],[Column6]]), namespace_raw[[#This Row],[Column6]],"")</f>
        <v/>
      </c>
      <c r="F176" s="96" t="str">
        <f>IF(ISNUMBER(namespace_raw[[#This Row],[Column7]]), namespace_raw[[#This Row],[Column7]]/1048576,"")</f>
        <v/>
      </c>
      <c r="G176" s="122" t="str">
        <f>IF(ISNUMBER(namespace_raw[[#This Row],[Column8]]), namespace_raw[[#This Row],[Column8]],"")</f>
        <v/>
      </c>
      <c r="H176" s="123" t="str">
        <f>IF(ISNUMBER(namespace_raw[[#This Row],[Column9]]), namespace_raw[[#This Row],[Column9]]/1048576,"")</f>
        <v/>
      </c>
      <c r="I176" s="124" t="str">
        <f>IF(ISNUMBER(namespace_raw[[#This Row],[Column8]]),MAX(G176, M176, O176, $I$2,IF(Q176&lt;&gt;"",VALUE(Q176),0)), "")</f>
        <v/>
      </c>
      <c r="J176" s="125" t="str">
        <f>IF(ISNUMBER(namespace_raw[[#This Row],[Column9]]),MAX(H176, N176, P176, $J$2,IF(R176&lt;&gt;"",VALUE(R176),0)),"")</f>
        <v/>
      </c>
      <c r="K176" s="166" t="str">
        <f>IF(ISNUMBER(namespace_raw[[#This Row],[Column12]]), namespace_raw[[#This Row],[Column12]],"")</f>
        <v/>
      </c>
      <c r="L176" s="167" t="str">
        <f>IF(ISNUMBER(namespace_raw[[#This Row],[Column13]]), namespace_raw[[#This Row],[Column13]]/1048576,"")</f>
        <v/>
      </c>
      <c r="M176" s="168" t="str">
        <f>IF(ISNUMBER(namespace_raw[[#This Row],[Column10]]), (namespace_raw[[#This Row],[Column10]]*(1+$M$2)),"")</f>
        <v/>
      </c>
      <c r="N176" s="167" t="str">
        <f>IF(ISNUMBER(namespace_raw[[#This Row],[Column11]]), (namespace_raw[[#This Row],[Column11]]*(1+$N$2))/1048576,"")</f>
        <v/>
      </c>
      <c r="O176" s="169" t="str">
        <f>IF(ISNUMBER(namespace_raw[[#This Row],[Column8]]), (E176  * $O$2),"")</f>
        <v/>
      </c>
      <c r="P176" s="170" t="str">
        <f>IF(ISNUMBER(namespace_raw[[#This Row],[Column8]]), (F176  * $P$2),"")</f>
        <v/>
      </c>
    </row>
    <row r="177" spans="1:16" ht="15" customHeight="1" x14ac:dyDescent="0.25">
      <c r="A177" s="32" t="str">
        <f>IF(ISNONTEXT(namespace_raw[[#This Row],[Column1]]), "", namespace_raw[[#This Row],[Column1]])</f>
        <v/>
      </c>
      <c r="B177" s="33" t="str">
        <f>IF(ISNONTEXT(namespace_raw[[#This Row],[Column2]]), "", namespace_raw[[#This Row],[Column2]])</f>
        <v/>
      </c>
      <c r="C177" s="94" t="str">
        <f>IF(ISNUMBER(namespace_raw[[#This Row],[Column4]]), namespace_raw[[#This Row],[Column4]], "")</f>
        <v/>
      </c>
      <c r="D177" s="95" t="str">
        <f>IF(ISNUMBER(namespace_raw[[#This Row],[Column5]]), namespace_raw[[#This Row],[Column5]]/1048576, "")</f>
        <v/>
      </c>
      <c r="E177" s="95" t="str">
        <f>IF(ISNUMBER(namespace_raw[[#This Row],[Column6]]), namespace_raw[[#This Row],[Column6]],"")</f>
        <v/>
      </c>
      <c r="F177" s="96" t="str">
        <f>IF(ISNUMBER(namespace_raw[[#This Row],[Column7]]), namespace_raw[[#This Row],[Column7]]/1048576,"")</f>
        <v/>
      </c>
      <c r="G177" s="122" t="str">
        <f>IF(ISNUMBER(namespace_raw[[#This Row],[Column8]]), namespace_raw[[#This Row],[Column8]],"")</f>
        <v/>
      </c>
      <c r="H177" s="123" t="str">
        <f>IF(ISNUMBER(namespace_raw[[#This Row],[Column9]]), namespace_raw[[#This Row],[Column9]]/1048576,"")</f>
        <v/>
      </c>
      <c r="I177" s="124" t="str">
        <f>IF(ISNUMBER(namespace_raw[[#This Row],[Column8]]),MAX(G177, M177, O177, $I$2,IF(Q177&lt;&gt;"",VALUE(Q177),0)), "")</f>
        <v/>
      </c>
      <c r="J177" s="125" t="str">
        <f>IF(ISNUMBER(namespace_raw[[#This Row],[Column9]]),MAX(H177, N177, P177, $J$2,IF(R177&lt;&gt;"",VALUE(R177),0)),"")</f>
        <v/>
      </c>
      <c r="K177" s="166" t="str">
        <f>IF(ISNUMBER(namespace_raw[[#This Row],[Column12]]), namespace_raw[[#This Row],[Column12]],"")</f>
        <v/>
      </c>
      <c r="L177" s="167" t="str">
        <f>IF(ISNUMBER(namespace_raw[[#This Row],[Column13]]), namespace_raw[[#This Row],[Column13]]/1048576,"")</f>
        <v/>
      </c>
      <c r="M177" s="168" t="str">
        <f>IF(ISNUMBER(namespace_raw[[#This Row],[Column10]]), (namespace_raw[[#This Row],[Column10]]*(1+$M$2)),"")</f>
        <v/>
      </c>
      <c r="N177" s="167" t="str">
        <f>IF(ISNUMBER(namespace_raw[[#This Row],[Column11]]), (namespace_raw[[#This Row],[Column11]]*(1+$N$2))/1048576,"")</f>
        <v/>
      </c>
      <c r="O177" s="169" t="str">
        <f>IF(ISNUMBER(namespace_raw[[#This Row],[Column8]]), (E177  * $O$2),"")</f>
        <v/>
      </c>
      <c r="P177" s="170" t="str">
        <f>IF(ISNUMBER(namespace_raw[[#This Row],[Column8]]), (F177  * $P$2),"")</f>
        <v/>
      </c>
    </row>
    <row r="178" spans="1:16" ht="15" customHeight="1" x14ac:dyDescent="0.25">
      <c r="A178" s="32" t="str">
        <f>IF(ISNONTEXT(namespace_raw[[#This Row],[Column1]]), "", namespace_raw[[#This Row],[Column1]])</f>
        <v/>
      </c>
      <c r="B178" s="33" t="str">
        <f>IF(ISNONTEXT(namespace_raw[[#This Row],[Column2]]), "", namespace_raw[[#This Row],[Column2]])</f>
        <v/>
      </c>
      <c r="C178" s="94" t="str">
        <f>IF(ISNUMBER(namespace_raw[[#This Row],[Column4]]), namespace_raw[[#This Row],[Column4]], "")</f>
        <v/>
      </c>
      <c r="D178" s="95" t="str">
        <f>IF(ISNUMBER(namespace_raw[[#This Row],[Column5]]), namespace_raw[[#This Row],[Column5]]/1048576, "")</f>
        <v/>
      </c>
      <c r="E178" s="95" t="str">
        <f>IF(ISNUMBER(namespace_raw[[#This Row],[Column6]]), namespace_raw[[#This Row],[Column6]],"")</f>
        <v/>
      </c>
      <c r="F178" s="96" t="str">
        <f>IF(ISNUMBER(namespace_raw[[#This Row],[Column7]]), namespace_raw[[#This Row],[Column7]]/1048576,"")</f>
        <v/>
      </c>
      <c r="G178" s="122" t="str">
        <f>IF(ISNUMBER(namespace_raw[[#This Row],[Column8]]), namespace_raw[[#This Row],[Column8]],"")</f>
        <v/>
      </c>
      <c r="H178" s="123" t="str">
        <f>IF(ISNUMBER(namespace_raw[[#This Row],[Column9]]), namespace_raw[[#This Row],[Column9]]/1048576,"")</f>
        <v/>
      </c>
      <c r="I178" s="124" t="str">
        <f>IF(ISNUMBER(namespace_raw[[#This Row],[Column8]]),MAX(G178, M178, O178, $I$2,IF(Q178&lt;&gt;"",VALUE(Q178),0)), "")</f>
        <v/>
      </c>
      <c r="J178" s="125" t="str">
        <f>IF(ISNUMBER(namespace_raw[[#This Row],[Column9]]),MAX(H178, N178, P178, $J$2,IF(R178&lt;&gt;"",VALUE(R178),0)),"")</f>
        <v/>
      </c>
      <c r="K178" s="166" t="str">
        <f>IF(ISNUMBER(namespace_raw[[#This Row],[Column12]]), namespace_raw[[#This Row],[Column12]],"")</f>
        <v/>
      </c>
      <c r="L178" s="167" t="str">
        <f>IF(ISNUMBER(namespace_raw[[#This Row],[Column13]]), namespace_raw[[#This Row],[Column13]]/1048576,"")</f>
        <v/>
      </c>
      <c r="M178" s="168" t="str">
        <f>IF(ISNUMBER(namespace_raw[[#This Row],[Column10]]), (namespace_raw[[#This Row],[Column10]]*(1+$M$2)),"")</f>
        <v/>
      </c>
      <c r="N178" s="167" t="str">
        <f>IF(ISNUMBER(namespace_raw[[#This Row],[Column11]]), (namespace_raw[[#This Row],[Column11]]*(1+$N$2))/1048576,"")</f>
        <v/>
      </c>
      <c r="O178" s="169" t="str">
        <f>IF(ISNUMBER(namespace_raw[[#This Row],[Column8]]), (E178  * $O$2),"")</f>
        <v/>
      </c>
      <c r="P178" s="170" t="str">
        <f>IF(ISNUMBER(namespace_raw[[#This Row],[Column8]]), (F178  * $P$2),"")</f>
        <v/>
      </c>
    </row>
    <row r="179" spans="1:16" ht="15" customHeight="1" x14ac:dyDescent="0.25">
      <c r="A179" s="32" t="str">
        <f>IF(ISNONTEXT(namespace_raw[[#This Row],[Column1]]), "", namespace_raw[[#This Row],[Column1]])</f>
        <v/>
      </c>
      <c r="B179" s="33" t="str">
        <f>IF(ISNONTEXT(namespace_raw[[#This Row],[Column2]]), "", namespace_raw[[#This Row],[Column2]])</f>
        <v/>
      </c>
      <c r="C179" s="94" t="str">
        <f>IF(ISNUMBER(namespace_raw[[#This Row],[Column4]]), namespace_raw[[#This Row],[Column4]], "")</f>
        <v/>
      </c>
      <c r="D179" s="95" t="str">
        <f>IF(ISNUMBER(namespace_raw[[#This Row],[Column5]]), namespace_raw[[#This Row],[Column5]]/1048576, "")</f>
        <v/>
      </c>
      <c r="E179" s="95" t="str">
        <f>IF(ISNUMBER(namespace_raw[[#This Row],[Column6]]), namespace_raw[[#This Row],[Column6]],"")</f>
        <v/>
      </c>
      <c r="F179" s="96" t="str">
        <f>IF(ISNUMBER(namespace_raw[[#This Row],[Column7]]), namespace_raw[[#This Row],[Column7]]/1048576,"")</f>
        <v/>
      </c>
      <c r="G179" s="122" t="str">
        <f>IF(ISNUMBER(namespace_raw[[#This Row],[Column8]]), namespace_raw[[#This Row],[Column8]],"")</f>
        <v/>
      </c>
      <c r="H179" s="123" t="str">
        <f>IF(ISNUMBER(namespace_raw[[#This Row],[Column9]]), namespace_raw[[#This Row],[Column9]]/1048576,"")</f>
        <v/>
      </c>
      <c r="I179" s="124" t="str">
        <f>IF(ISNUMBER(namespace_raw[[#This Row],[Column8]]),MAX(G179, M179, O179, $I$2,IF(Q179&lt;&gt;"",VALUE(Q179),0)), "")</f>
        <v/>
      </c>
      <c r="J179" s="125" t="str">
        <f>IF(ISNUMBER(namespace_raw[[#This Row],[Column9]]),MAX(H179, N179, P179, $J$2,IF(R179&lt;&gt;"",VALUE(R179),0)),"")</f>
        <v/>
      </c>
      <c r="K179" s="166" t="str">
        <f>IF(ISNUMBER(namespace_raw[[#This Row],[Column12]]), namespace_raw[[#This Row],[Column12]],"")</f>
        <v/>
      </c>
      <c r="L179" s="167" t="str">
        <f>IF(ISNUMBER(namespace_raw[[#This Row],[Column13]]), namespace_raw[[#This Row],[Column13]]/1048576,"")</f>
        <v/>
      </c>
      <c r="M179" s="168" t="str">
        <f>IF(ISNUMBER(namespace_raw[[#This Row],[Column10]]), (namespace_raw[[#This Row],[Column10]]*(1+$M$2)),"")</f>
        <v/>
      </c>
      <c r="N179" s="167" t="str">
        <f>IF(ISNUMBER(namespace_raw[[#This Row],[Column11]]), (namespace_raw[[#This Row],[Column11]]*(1+$N$2))/1048576,"")</f>
        <v/>
      </c>
      <c r="O179" s="169" t="str">
        <f>IF(ISNUMBER(namespace_raw[[#This Row],[Column8]]), (E179  * $O$2),"")</f>
        <v/>
      </c>
      <c r="P179" s="170" t="str">
        <f>IF(ISNUMBER(namespace_raw[[#This Row],[Column8]]), (F179  * $P$2),"")</f>
        <v/>
      </c>
    </row>
    <row r="180" spans="1:16" ht="15" customHeight="1" x14ac:dyDescent="0.25">
      <c r="A180" s="32" t="str">
        <f>IF(ISNONTEXT(namespace_raw[[#This Row],[Column1]]), "", namespace_raw[[#This Row],[Column1]])</f>
        <v/>
      </c>
      <c r="B180" s="33" t="str">
        <f>IF(ISNONTEXT(namespace_raw[[#This Row],[Column2]]), "", namespace_raw[[#This Row],[Column2]])</f>
        <v/>
      </c>
      <c r="C180" s="94" t="str">
        <f>IF(ISNUMBER(namespace_raw[[#This Row],[Column4]]), namespace_raw[[#This Row],[Column4]], "")</f>
        <v/>
      </c>
      <c r="D180" s="95" t="str">
        <f>IF(ISNUMBER(namespace_raw[[#This Row],[Column5]]), namespace_raw[[#This Row],[Column5]]/1048576, "")</f>
        <v/>
      </c>
      <c r="E180" s="95" t="str">
        <f>IF(ISNUMBER(namespace_raw[[#This Row],[Column6]]), namespace_raw[[#This Row],[Column6]],"")</f>
        <v/>
      </c>
      <c r="F180" s="96" t="str">
        <f>IF(ISNUMBER(namespace_raw[[#This Row],[Column7]]), namespace_raw[[#This Row],[Column7]]/1048576,"")</f>
        <v/>
      </c>
      <c r="G180" s="122" t="str">
        <f>IF(ISNUMBER(namespace_raw[[#This Row],[Column8]]), namespace_raw[[#This Row],[Column8]],"")</f>
        <v/>
      </c>
      <c r="H180" s="123" t="str">
        <f>IF(ISNUMBER(namespace_raw[[#This Row],[Column9]]), namespace_raw[[#This Row],[Column9]]/1048576,"")</f>
        <v/>
      </c>
      <c r="I180" s="124" t="str">
        <f>IF(ISNUMBER(namespace_raw[[#This Row],[Column8]]),MAX(G180, M180, O180, $I$2,IF(Q180&lt;&gt;"",VALUE(Q180),0)), "")</f>
        <v/>
      </c>
      <c r="J180" s="125" t="str">
        <f>IF(ISNUMBER(namespace_raw[[#This Row],[Column9]]),MAX(H180, N180, P180, $J$2,IF(R180&lt;&gt;"",VALUE(R180),0)),"")</f>
        <v/>
      </c>
      <c r="K180" s="166" t="str">
        <f>IF(ISNUMBER(namespace_raw[[#This Row],[Column12]]), namespace_raw[[#This Row],[Column12]],"")</f>
        <v/>
      </c>
      <c r="L180" s="167" t="str">
        <f>IF(ISNUMBER(namespace_raw[[#This Row],[Column13]]), namespace_raw[[#This Row],[Column13]]/1048576,"")</f>
        <v/>
      </c>
      <c r="M180" s="168" t="str">
        <f>IF(ISNUMBER(namespace_raw[[#This Row],[Column10]]), (namespace_raw[[#This Row],[Column10]]*(1+$M$2)),"")</f>
        <v/>
      </c>
      <c r="N180" s="167" t="str">
        <f>IF(ISNUMBER(namespace_raw[[#This Row],[Column11]]), (namespace_raw[[#This Row],[Column11]]*(1+$N$2))/1048576,"")</f>
        <v/>
      </c>
      <c r="O180" s="169" t="str">
        <f>IF(ISNUMBER(namespace_raw[[#This Row],[Column8]]), (E180  * $O$2),"")</f>
        <v/>
      </c>
      <c r="P180" s="170" t="str">
        <f>IF(ISNUMBER(namespace_raw[[#This Row],[Column8]]), (F180  * $P$2),"")</f>
        <v/>
      </c>
    </row>
    <row r="181" spans="1:16" ht="15" customHeight="1" x14ac:dyDescent="0.25">
      <c r="A181" s="32" t="str">
        <f>IF(ISNONTEXT(namespace_raw[[#This Row],[Column1]]), "", namespace_raw[[#This Row],[Column1]])</f>
        <v/>
      </c>
      <c r="B181" s="33" t="str">
        <f>IF(ISNONTEXT(namespace_raw[[#This Row],[Column2]]), "", namespace_raw[[#This Row],[Column2]])</f>
        <v/>
      </c>
      <c r="C181" s="94" t="str">
        <f>IF(ISNUMBER(namespace_raw[[#This Row],[Column4]]), namespace_raw[[#This Row],[Column4]], "")</f>
        <v/>
      </c>
      <c r="D181" s="95" t="str">
        <f>IF(ISNUMBER(namespace_raw[[#This Row],[Column5]]), namespace_raw[[#This Row],[Column5]]/1048576, "")</f>
        <v/>
      </c>
      <c r="E181" s="95" t="str">
        <f>IF(ISNUMBER(namespace_raw[[#This Row],[Column6]]), namespace_raw[[#This Row],[Column6]],"")</f>
        <v/>
      </c>
      <c r="F181" s="96" t="str">
        <f>IF(ISNUMBER(namespace_raw[[#This Row],[Column7]]), namespace_raw[[#This Row],[Column7]]/1048576,"")</f>
        <v/>
      </c>
      <c r="G181" s="122" t="str">
        <f>IF(ISNUMBER(namespace_raw[[#This Row],[Column8]]), namespace_raw[[#This Row],[Column8]],"")</f>
        <v/>
      </c>
      <c r="H181" s="123" t="str">
        <f>IF(ISNUMBER(namespace_raw[[#This Row],[Column9]]), namespace_raw[[#This Row],[Column9]]/1048576,"")</f>
        <v/>
      </c>
      <c r="I181" s="124" t="str">
        <f>IF(ISNUMBER(namespace_raw[[#This Row],[Column8]]),MAX(G181, M181, O181, $I$2,IF(Q181&lt;&gt;"",VALUE(Q181),0)), "")</f>
        <v/>
      </c>
      <c r="J181" s="125" t="str">
        <f>IF(ISNUMBER(namespace_raw[[#This Row],[Column9]]),MAX(H181, N181, P181, $J$2,IF(R181&lt;&gt;"",VALUE(R181),0)),"")</f>
        <v/>
      </c>
      <c r="K181" s="166" t="str">
        <f>IF(ISNUMBER(namespace_raw[[#This Row],[Column12]]), namespace_raw[[#This Row],[Column12]],"")</f>
        <v/>
      </c>
      <c r="L181" s="167" t="str">
        <f>IF(ISNUMBER(namespace_raw[[#This Row],[Column13]]), namespace_raw[[#This Row],[Column13]]/1048576,"")</f>
        <v/>
      </c>
      <c r="M181" s="168" t="str">
        <f>IF(ISNUMBER(namespace_raw[[#This Row],[Column10]]), (namespace_raw[[#This Row],[Column10]]*(1+$M$2)),"")</f>
        <v/>
      </c>
      <c r="N181" s="167" t="str">
        <f>IF(ISNUMBER(namespace_raw[[#This Row],[Column11]]), (namespace_raw[[#This Row],[Column11]]*(1+$N$2))/1048576,"")</f>
        <v/>
      </c>
      <c r="O181" s="169" t="str">
        <f>IF(ISNUMBER(namespace_raw[[#This Row],[Column8]]), (E181  * $O$2),"")</f>
        <v/>
      </c>
      <c r="P181" s="170" t="str">
        <f>IF(ISNUMBER(namespace_raw[[#This Row],[Column8]]), (F181  * $P$2),"")</f>
        <v/>
      </c>
    </row>
    <row r="182" spans="1:16" ht="15" customHeight="1" x14ac:dyDescent="0.25">
      <c r="A182" s="32" t="str">
        <f>IF(ISNONTEXT(namespace_raw[[#This Row],[Column1]]), "", namespace_raw[[#This Row],[Column1]])</f>
        <v/>
      </c>
      <c r="B182" s="33" t="str">
        <f>IF(ISNONTEXT(namespace_raw[[#This Row],[Column2]]), "", namespace_raw[[#This Row],[Column2]])</f>
        <v/>
      </c>
      <c r="C182" s="94" t="str">
        <f>IF(ISNUMBER(namespace_raw[[#This Row],[Column4]]), namespace_raw[[#This Row],[Column4]], "")</f>
        <v/>
      </c>
      <c r="D182" s="95" t="str">
        <f>IF(ISNUMBER(namespace_raw[[#This Row],[Column5]]), namespace_raw[[#This Row],[Column5]]/1048576, "")</f>
        <v/>
      </c>
      <c r="E182" s="95" t="str">
        <f>IF(ISNUMBER(namespace_raw[[#This Row],[Column6]]), namespace_raw[[#This Row],[Column6]],"")</f>
        <v/>
      </c>
      <c r="F182" s="96" t="str">
        <f>IF(ISNUMBER(namespace_raw[[#This Row],[Column7]]), namespace_raw[[#This Row],[Column7]]/1048576,"")</f>
        <v/>
      </c>
      <c r="G182" s="122" t="str">
        <f>IF(ISNUMBER(namespace_raw[[#This Row],[Column8]]), namespace_raw[[#This Row],[Column8]],"")</f>
        <v/>
      </c>
      <c r="H182" s="123" t="str">
        <f>IF(ISNUMBER(namespace_raw[[#This Row],[Column9]]), namespace_raw[[#This Row],[Column9]]/1048576,"")</f>
        <v/>
      </c>
      <c r="I182" s="124" t="str">
        <f>IF(ISNUMBER(namespace_raw[[#This Row],[Column8]]),MAX(G182, M182, O182, $I$2,IF(Q182&lt;&gt;"",VALUE(Q182),0)), "")</f>
        <v/>
      </c>
      <c r="J182" s="125" t="str">
        <f>IF(ISNUMBER(namespace_raw[[#This Row],[Column9]]),MAX(H182, N182, P182, $J$2,IF(R182&lt;&gt;"",VALUE(R182),0)),"")</f>
        <v/>
      </c>
      <c r="K182" s="166" t="str">
        <f>IF(ISNUMBER(namespace_raw[[#This Row],[Column12]]), namespace_raw[[#This Row],[Column12]],"")</f>
        <v/>
      </c>
      <c r="L182" s="167" t="str">
        <f>IF(ISNUMBER(namespace_raw[[#This Row],[Column13]]), namespace_raw[[#This Row],[Column13]]/1048576,"")</f>
        <v/>
      </c>
      <c r="M182" s="168" t="str">
        <f>IF(ISNUMBER(namespace_raw[[#This Row],[Column10]]), (namespace_raw[[#This Row],[Column10]]*(1+$M$2)),"")</f>
        <v/>
      </c>
      <c r="N182" s="167" t="str">
        <f>IF(ISNUMBER(namespace_raw[[#This Row],[Column11]]), (namespace_raw[[#This Row],[Column11]]*(1+$N$2))/1048576,"")</f>
        <v/>
      </c>
      <c r="O182" s="169" t="str">
        <f>IF(ISNUMBER(namespace_raw[[#This Row],[Column8]]), (E182  * $O$2),"")</f>
        <v/>
      </c>
      <c r="P182" s="170" t="str">
        <f>IF(ISNUMBER(namespace_raw[[#This Row],[Column8]]), (F182  * $P$2),"")</f>
        <v/>
      </c>
    </row>
    <row r="183" spans="1:16" ht="15" customHeight="1" x14ac:dyDescent="0.25">
      <c r="A183" s="32" t="str">
        <f>IF(ISNONTEXT(namespace_raw[[#This Row],[Column1]]), "", namespace_raw[[#This Row],[Column1]])</f>
        <v/>
      </c>
      <c r="B183" s="33" t="str">
        <f>IF(ISNONTEXT(namespace_raw[[#This Row],[Column2]]), "", namespace_raw[[#This Row],[Column2]])</f>
        <v/>
      </c>
      <c r="C183" s="94" t="str">
        <f>IF(ISNUMBER(namespace_raw[[#This Row],[Column4]]), namespace_raw[[#This Row],[Column4]], "")</f>
        <v/>
      </c>
      <c r="D183" s="95" t="str">
        <f>IF(ISNUMBER(namespace_raw[[#This Row],[Column5]]), namespace_raw[[#This Row],[Column5]]/1048576, "")</f>
        <v/>
      </c>
      <c r="E183" s="95" t="str">
        <f>IF(ISNUMBER(namespace_raw[[#This Row],[Column6]]), namespace_raw[[#This Row],[Column6]],"")</f>
        <v/>
      </c>
      <c r="F183" s="96" t="str">
        <f>IF(ISNUMBER(namespace_raw[[#This Row],[Column7]]), namespace_raw[[#This Row],[Column7]]/1048576,"")</f>
        <v/>
      </c>
      <c r="G183" s="122" t="str">
        <f>IF(ISNUMBER(namespace_raw[[#This Row],[Column8]]), namespace_raw[[#This Row],[Column8]],"")</f>
        <v/>
      </c>
      <c r="H183" s="123" t="str">
        <f>IF(ISNUMBER(namespace_raw[[#This Row],[Column9]]), namespace_raw[[#This Row],[Column9]]/1048576,"")</f>
        <v/>
      </c>
      <c r="I183" s="124" t="str">
        <f>IF(ISNUMBER(namespace_raw[[#This Row],[Column8]]),MAX(G183, M183, O183, $I$2,IF(Q183&lt;&gt;"",VALUE(Q183),0)), "")</f>
        <v/>
      </c>
      <c r="J183" s="125" t="str">
        <f>IF(ISNUMBER(namespace_raw[[#This Row],[Column9]]),MAX(H183, N183, P183, $J$2,IF(R183&lt;&gt;"",VALUE(R183),0)),"")</f>
        <v/>
      </c>
      <c r="K183" s="166" t="str">
        <f>IF(ISNUMBER(namespace_raw[[#This Row],[Column12]]), namespace_raw[[#This Row],[Column12]],"")</f>
        <v/>
      </c>
      <c r="L183" s="167" t="str">
        <f>IF(ISNUMBER(namespace_raw[[#This Row],[Column13]]), namespace_raw[[#This Row],[Column13]]/1048576,"")</f>
        <v/>
      </c>
      <c r="M183" s="168" t="str">
        <f>IF(ISNUMBER(namespace_raw[[#This Row],[Column10]]), (namespace_raw[[#This Row],[Column10]]*(1+$M$2)),"")</f>
        <v/>
      </c>
      <c r="N183" s="167" t="str">
        <f>IF(ISNUMBER(namespace_raw[[#This Row],[Column11]]), (namespace_raw[[#This Row],[Column11]]*(1+$N$2))/1048576,"")</f>
        <v/>
      </c>
      <c r="O183" s="169" t="str">
        <f>IF(ISNUMBER(namespace_raw[[#This Row],[Column8]]), (E183  * $O$2),"")</f>
        <v/>
      </c>
      <c r="P183" s="170" t="str">
        <f>IF(ISNUMBER(namespace_raw[[#This Row],[Column8]]), (F183  * $P$2),"")</f>
        <v/>
      </c>
    </row>
    <row r="184" spans="1:16" ht="15" customHeight="1" x14ac:dyDescent="0.25">
      <c r="A184" s="32" t="str">
        <f>IF(ISNONTEXT(namespace_raw[[#This Row],[Column1]]), "", namespace_raw[[#This Row],[Column1]])</f>
        <v/>
      </c>
      <c r="B184" s="33" t="str">
        <f>IF(ISNONTEXT(namespace_raw[[#This Row],[Column2]]), "", namespace_raw[[#This Row],[Column2]])</f>
        <v/>
      </c>
      <c r="C184" s="94" t="str">
        <f>IF(ISNUMBER(namespace_raw[[#This Row],[Column4]]), namespace_raw[[#This Row],[Column4]], "")</f>
        <v/>
      </c>
      <c r="D184" s="95" t="str">
        <f>IF(ISNUMBER(namespace_raw[[#This Row],[Column5]]), namespace_raw[[#This Row],[Column5]]/1048576, "")</f>
        <v/>
      </c>
      <c r="E184" s="95" t="str">
        <f>IF(ISNUMBER(namespace_raw[[#This Row],[Column6]]), namespace_raw[[#This Row],[Column6]],"")</f>
        <v/>
      </c>
      <c r="F184" s="96" t="str">
        <f>IF(ISNUMBER(namespace_raw[[#This Row],[Column7]]), namespace_raw[[#This Row],[Column7]]/1048576,"")</f>
        <v/>
      </c>
      <c r="G184" s="122" t="str">
        <f>IF(ISNUMBER(namespace_raw[[#This Row],[Column8]]), namespace_raw[[#This Row],[Column8]],"")</f>
        <v/>
      </c>
      <c r="H184" s="123" t="str">
        <f>IF(ISNUMBER(namespace_raw[[#This Row],[Column9]]), namespace_raw[[#This Row],[Column9]]/1048576,"")</f>
        <v/>
      </c>
      <c r="I184" s="124" t="str">
        <f>IF(ISNUMBER(namespace_raw[[#This Row],[Column8]]),MAX(G184, M184, O184, $I$2,IF(Q184&lt;&gt;"",VALUE(Q184),0)), "")</f>
        <v/>
      </c>
      <c r="J184" s="125" t="str">
        <f>IF(ISNUMBER(namespace_raw[[#This Row],[Column9]]),MAX(H184, N184, P184, $J$2,IF(R184&lt;&gt;"",VALUE(R184),0)),"")</f>
        <v/>
      </c>
      <c r="K184" s="166" t="str">
        <f>IF(ISNUMBER(namespace_raw[[#This Row],[Column12]]), namespace_raw[[#This Row],[Column12]],"")</f>
        <v/>
      </c>
      <c r="L184" s="167" t="str">
        <f>IF(ISNUMBER(namespace_raw[[#This Row],[Column13]]), namespace_raw[[#This Row],[Column13]]/1048576,"")</f>
        <v/>
      </c>
      <c r="M184" s="168" t="str">
        <f>IF(ISNUMBER(namespace_raw[[#This Row],[Column10]]), (namespace_raw[[#This Row],[Column10]]*(1+$M$2)),"")</f>
        <v/>
      </c>
      <c r="N184" s="167" t="str">
        <f>IF(ISNUMBER(namespace_raw[[#This Row],[Column11]]), (namespace_raw[[#This Row],[Column11]]*(1+$N$2))/1048576,"")</f>
        <v/>
      </c>
      <c r="O184" s="169" t="str">
        <f>IF(ISNUMBER(namespace_raw[[#This Row],[Column8]]), (E184  * $O$2),"")</f>
        <v/>
      </c>
      <c r="P184" s="170" t="str">
        <f>IF(ISNUMBER(namespace_raw[[#This Row],[Column8]]), (F184  * $P$2),"")</f>
        <v/>
      </c>
    </row>
    <row r="185" spans="1:16" ht="15" customHeight="1" x14ac:dyDescent="0.25">
      <c r="A185" s="32" t="str">
        <f>IF(ISNONTEXT(namespace_raw[[#This Row],[Column1]]), "", namespace_raw[[#This Row],[Column1]])</f>
        <v/>
      </c>
      <c r="B185" s="33" t="str">
        <f>IF(ISNONTEXT(namespace_raw[[#This Row],[Column2]]), "", namespace_raw[[#This Row],[Column2]])</f>
        <v/>
      </c>
      <c r="C185" s="94" t="str">
        <f>IF(ISNUMBER(namespace_raw[[#This Row],[Column4]]), namespace_raw[[#This Row],[Column4]], "")</f>
        <v/>
      </c>
      <c r="D185" s="95" t="str">
        <f>IF(ISNUMBER(namespace_raw[[#This Row],[Column5]]), namespace_raw[[#This Row],[Column5]]/1048576, "")</f>
        <v/>
      </c>
      <c r="E185" s="95" t="str">
        <f>IF(ISNUMBER(namespace_raw[[#This Row],[Column6]]), namespace_raw[[#This Row],[Column6]],"")</f>
        <v/>
      </c>
      <c r="F185" s="96" t="str">
        <f>IF(ISNUMBER(namespace_raw[[#This Row],[Column7]]), namespace_raw[[#This Row],[Column7]]/1048576,"")</f>
        <v/>
      </c>
      <c r="G185" s="122" t="str">
        <f>IF(ISNUMBER(namespace_raw[[#This Row],[Column8]]), namespace_raw[[#This Row],[Column8]],"")</f>
        <v/>
      </c>
      <c r="H185" s="123" t="str">
        <f>IF(ISNUMBER(namespace_raw[[#This Row],[Column9]]), namespace_raw[[#This Row],[Column9]]/1048576,"")</f>
        <v/>
      </c>
      <c r="I185" s="124" t="str">
        <f>IF(ISNUMBER(namespace_raw[[#This Row],[Column8]]),MAX(G185, M185, O185, $I$2,IF(Q185&lt;&gt;"",VALUE(Q185),0)), "")</f>
        <v/>
      </c>
      <c r="J185" s="125" t="str">
        <f>IF(ISNUMBER(namespace_raw[[#This Row],[Column9]]),MAX(H185, N185, P185, $J$2,IF(R185&lt;&gt;"",VALUE(R185),0)),"")</f>
        <v/>
      </c>
      <c r="K185" s="166" t="str">
        <f>IF(ISNUMBER(namespace_raw[[#This Row],[Column12]]), namespace_raw[[#This Row],[Column12]],"")</f>
        <v/>
      </c>
      <c r="L185" s="167" t="str">
        <f>IF(ISNUMBER(namespace_raw[[#This Row],[Column13]]), namespace_raw[[#This Row],[Column13]]/1048576,"")</f>
        <v/>
      </c>
      <c r="M185" s="168" t="str">
        <f>IF(ISNUMBER(namespace_raw[[#This Row],[Column10]]), (namespace_raw[[#This Row],[Column10]]*(1+$M$2)),"")</f>
        <v/>
      </c>
      <c r="N185" s="167" t="str">
        <f>IF(ISNUMBER(namespace_raw[[#This Row],[Column11]]), (namespace_raw[[#This Row],[Column11]]*(1+$N$2))/1048576,"")</f>
        <v/>
      </c>
      <c r="O185" s="169" t="str">
        <f>IF(ISNUMBER(namespace_raw[[#This Row],[Column8]]), (E185  * $O$2),"")</f>
        <v/>
      </c>
      <c r="P185" s="170" t="str">
        <f>IF(ISNUMBER(namespace_raw[[#This Row],[Column8]]), (F185  * $P$2),"")</f>
        <v/>
      </c>
    </row>
    <row r="186" spans="1:16" ht="15" customHeight="1" x14ac:dyDescent="0.25">
      <c r="A186" s="32" t="str">
        <f>IF(ISNONTEXT(namespace_raw[[#This Row],[Column1]]), "", namespace_raw[[#This Row],[Column1]])</f>
        <v/>
      </c>
      <c r="B186" s="33" t="str">
        <f>IF(ISNONTEXT(namespace_raw[[#This Row],[Column2]]), "", namespace_raw[[#This Row],[Column2]])</f>
        <v/>
      </c>
      <c r="C186" s="94" t="str">
        <f>IF(ISNUMBER(namespace_raw[[#This Row],[Column4]]), namespace_raw[[#This Row],[Column4]], "")</f>
        <v/>
      </c>
      <c r="D186" s="95" t="str">
        <f>IF(ISNUMBER(namespace_raw[[#This Row],[Column5]]), namespace_raw[[#This Row],[Column5]]/1048576, "")</f>
        <v/>
      </c>
      <c r="E186" s="95" t="str">
        <f>IF(ISNUMBER(namespace_raw[[#This Row],[Column6]]), namespace_raw[[#This Row],[Column6]],"")</f>
        <v/>
      </c>
      <c r="F186" s="96" t="str">
        <f>IF(ISNUMBER(namespace_raw[[#This Row],[Column7]]), namespace_raw[[#This Row],[Column7]]/1048576,"")</f>
        <v/>
      </c>
      <c r="G186" s="122" t="str">
        <f>IF(ISNUMBER(namespace_raw[[#This Row],[Column8]]), namespace_raw[[#This Row],[Column8]],"")</f>
        <v/>
      </c>
      <c r="H186" s="123" t="str">
        <f>IF(ISNUMBER(namespace_raw[[#This Row],[Column9]]), namespace_raw[[#This Row],[Column9]]/1048576,"")</f>
        <v/>
      </c>
      <c r="I186" s="124" t="str">
        <f>IF(ISNUMBER(namespace_raw[[#This Row],[Column8]]),MAX(G186, M186, O186, $I$2,IF(Q186&lt;&gt;"",VALUE(Q186),0)), "")</f>
        <v/>
      </c>
      <c r="J186" s="125" t="str">
        <f>IF(ISNUMBER(namespace_raw[[#This Row],[Column9]]),MAX(H186, N186, P186, $J$2,IF(R186&lt;&gt;"",VALUE(R186),0)),"")</f>
        <v/>
      </c>
      <c r="K186" s="166" t="str">
        <f>IF(ISNUMBER(namespace_raw[[#This Row],[Column12]]), namespace_raw[[#This Row],[Column12]],"")</f>
        <v/>
      </c>
      <c r="L186" s="167" t="str">
        <f>IF(ISNUMBER(namespace_raw[[#This Row],[Column13]]), namespace_raw[[#This Row],[Column13]]/1048576,"")</f>
        <v/>
      </c>
      <c r="M186" s="168" t="str">
        <f>IF(ISNUMBER(namespace_raw[[#This Row],[Column10]]), (namespace_raw[[#This Row],[Column10]]*(1+$M$2)),"")</f>
        <v/>
      </c>
      <c r="N186" s="167" t="str">
        <f>IF(ISNUMBER(namespace_raw[[#This Row],[Column11]]), (namespace_raw[[#This Row],[Column11]]*(1+$N$2))/1048576,"")</f>
        <v/>
      </c>
      <c r="O186" s="169" t="str">
        <f>IF(ISNUMBER(namespace_raw[[#This Row],[Column8]]), (E186  * $O$2),"")</f>
        <v/>
      </c>
      <c r="P186" s="170" t="str">
        <f>IF(ISNUMBER(namespace_raw[[#This Row],[Column8]]), (F186  * $P$2),"")</f>
        <v/>
      </c>
    </row>
    <row r="187" spans="1:16" ht="15" customHeight="1" x14ac:dyDescent="0.25">
      <c r="A187" s="32" t="str">
        <f>IF(ISNONTEXT(namespace_raw[[#This Row],[Column1]]), "", namespace_raw[[#This Row],[Column1]])</f>
        <v/>
      </c>
      <c r="B187" s="33" t="str">
        <f>IF(ISNONTEXT(namespace_raw[[#This Row],[Column2]]), "", namespace_raw[[#This Row],[Column2]])</f>
        <v/>
      </c>
      <c r="C187" s="94" t="str">
        <f>IF(ISNUMBER(namespace_raw[[#This Row],[Column4]]), namespace_raw[[#This Row],[Column4]], "")</f>
        <v/>
      </c>
      <c r="D187" s="95" t="str">
        <f>IF(ISNUMBER(namespace_raw[[#This Row],[Column5]]), namespace_raw[[#This Row],[Column5]]/1048576, "")</f>
        <v/>
      </c>
      <c r="E187" s="95" t="str">
        <f>IF(ISNUMBER(namespace_raw[[#This Row],[Column6]]), namespace_raw[[#This Row],[Column6]],"")</f>
        <v/>
      </c>
      <c r="F187" s="96" t="str">
        <f>IF(ISNUMBER(namespace_raw[[#This Row],[Column7]]), namespace_raw[[#This Row],[Column7]]/1048576,"")</f>
        <v/>
      </c>
      <c r="G187" s="122" t="str">
        <f>IF(ISNUMBER(namespace_raw[[#This Row],[Column8]]), namespace_raw[[#This Row],[Column8]],"")</f>
        <v/>
      </c>
      <c r="H187" s="123" t="str">
        <f>IF(ISNUMBER(namespace_raw[[#This Row],[Column9]]), namespace_raw[[#This Row],[Column9]]/1048576,"")</f>
        <v/>
      </c>
      <c r="I187" s="124" t="str">
        <f>IF(ISNUMBER(namespace_raw[[#This Row],[Column8]]),MAX(G187, M187, O187, $I$2,IF(Q187&lt;&gt;"",VALUE(Q187),0)), "")</f>
        <v/>
      </c>
      <c r="J187" s="125" t="str">
        <f>IF(ISNUMBER(namespace_raw[[#This Row],[Column9]]),MAX(H187, N187, P187, $J$2,IF(R187&lt;&gt;"",VALUE(R187),0)),"")</f>
        <v/>
      </c>
      <c r="K187" s="166" t="str">
        <f>IF(ISNUMBER(namespace_raw[[#This Row],[Column12]]), namespace_raw[[#This Row],[Column12]],"")</f>
        <v/>
      </c>
      <c r="L187" s="167" t="str">
        <f>IF(ISNUMBER(namespace_raw[[#This Row],[Column13]]), namespace_raw[[#This Row],[Column13]]/1048576,"")</f>
        <v/>
      </c>
      <c r="M187" s="168" t="str">
        <f>IF(ISNUMBER(namespace_raw[[#This Row],[Column10]]), (namespace_raw[[#This Row],[Column10]]*(1+$M$2)),"")</f>
        <v/>
      </c>
      <c r="N187" s="167" t="str">
        <f>IF(ISNUMBER(namespace_raw[[#This Row],[Column11]]), (namespace_raw[[#This Row],[Column11]]*(1+$N$2))/1048576,"")</f>
        <v/>
      </c>
      <c r="O187" s="169" t="str">
        <f>IF(ISNUMBER(namespace_raw[[#This Row],[Column8]]), (E187  * $O$2),"")</f>
        <v/>
      </c>
      <c r="P187" s="170" t="str">
        <f>IF(ISNUMBER(namespace_raw[[#This Row],[Column8]]), (F187  * $P$2),"")</f>
        <v/>
      </c>
    </row>
    <row r="188" spans="1:16" ht="15" customHeight="1" x14ac:dyDescent="0.25">
      <c r="A188" s="32" t="str">
        <f>IF(ISNONTEXT(namespace_raw[[#This Row],[Column1]]), "", namespace_raw[[#This Row],[Column1]])</f>
        <v/>
      </c>
      <c r="B188" s="33" t="str">
        <f>IF(ISNONTEXT(namespace_raw[[#This Row],[Column2]]), "", namespace_raw[[#This Row],[Column2]])</f>
        <v/>
      </c>
      <c r="C188" s="94" t="str">
        <f>IF(ISNUMBER(namespace_raw[[#This Row],[Column4]]), namespace_raw[[#This Row],[Column4]], "")</f>
        <v/>
      </c>
      <c r="D188" s="95" t="str">
        <f>IF(ISNUMBER(namespace_raw[[#This Row],[Column5]]), namespace_raw[[#This Row],[Column5]]/1048576, "")</f>
        <v/>
      </c>
      <c r="E188" s="95" t="str">
        <f>IF(ISNUMBER(namespace_raw[[#This Row],[Column6]]), namespace_raw[[#This Row],[Column6]],"")</f>
        <v/>
      </c>
      <c r="F188" s="96" t="str">
        <f>IF(ISNUMBER(namespace_raw[[#This Row],[Column7]]), namespace_raw[[#This Row],[Column7]]/1048576,"")</f>
        <v/>
      </c>
      <c r="G188" s="122" t="str">
        <f>IF(ISNUMBER(namespace_raw[[#This Row],[Column8]]), namespace_raw[[#This Row],[Column8]],"")</f>
        <v/>
      </c>
      <c r="H188" s="123" t="str">
        <f>IF(ISNUMBER(namespace_raw[[#This Row],[Column9]]), namespace_raw[[#This Row],[Column9]]/1048576,"")</f>
        <v/>
      </c>
      <c r="I188" s="124" t="str">
        <f>IF(ISNUMBER(namespace_raw[[#This Row],[Column8]]),MAX(G188, M188, O188, $I$2,IF(Q188&lt;&gt;"",VALUE(Q188),0)), "")</f>
        <v/>
      </c>
      <c r="J188" s="125" t="str">
        <f>IF(ISNUMBER(namespace_raw[[#This Row],[Column9]]),MAX(H188, N188, P188, $J$2,IF(R188&lt;&gt;"",VALUE(R188),0)),"")</f>
        <v/>
      </c>
      <c r="K188" s="166" t="str">
        <f>IF(ISNUMBER(namespace_raw[[#This Row],[Column12]]), namespace_raw[[#This Row],[Column12]],"")</f>
        <v/>
      </c>
      <c r="L188" s="167" t="str">
        <f>IF(ISNUMBER(namespace_raw[[#This Row],[Column13]]), namespace_raw[[#This Row],[Column13]]/1048576,"")</f>
        <v/>
      </c>
      <c r="M188" s="168" t="str">
        <f>IF(ISNUMBER(namespace_raw[[#This Row],[Column10]]), (namespace_raw[[#This Row],[Column10]]*(1+$M$2)),"")</f>
        <v/>
      </c>
      <c r="N188" s="167" t="str">
        <f>IF(ISNUMBER(namespace_raw[[#This Row],[Column11]]), (namespace_raw[[#This Row],[Column11]]*(1+$N$2))/1048576,"")</f>
        <v/>
      </c>
      <c r="O188" s="169" t="str">
        <f>IF(ISNUMBER(namespace_raw[[#This Row],[Column8]]), (E188  * $O$2),"")</f>
        <v/>
      </c>
      <c r="P188" s="170" t="str">
        <f>IF(ISNUMBER(namespace_raw[[#This Row],[Column8]]), (F188  * $P$2),"")</f>
        <v/>
      </c>
    </row>
    <row r="189" spans="1:16" ht="15" customHeight="1" x14ac:dyDescent="0.25">
      <c r="A189" s="32" t="str">
        <f>IF(ISNONTEXT(namespace_raw[[#This Row],[Column1]]), "", namespace_raw[[#This Row],[Column1]])</f>
        <v/>
      </c>
      <c r="B189" s="33" t="str">
        <f>IF(ISNONTEXT(namespace_raw[[#This Row],[Column2]]), "", namespace_raw[[#This Row],[Column2]])</f>
        <v/>
      </c>
      <c r="C189" s="94" t="str">
        <f>IF(ISNUMBER(namespace_raw[[#This Row],[Column4]]), namespace_raw[[#This Row],[Column4]], "")</f>
        <v/>
      </c>
      <c r="D189" s="95" t="str">
        <f>IF(ISNUMBER(namespace_raw[[#This Row],[Column5]]), namespace_raw[[#This Row],[Column5]]/1048576, "")</f>
        <v/>
      </c>
      <c r="E189" s="95" t="str">
        <f>IF(ISNUMBER(namespace_raw[[#This Row],[Column6]]), namespace_raw[[#This Row],[Column6]],"")</f>
        <v/>
      </c>
      <c r="F189" s="96" t="str">
        <f>IF(ISNUMBER(namespace_raw[[#This Row],[Column7]]), namespace_raw[[#This Row],[Column7]]/1048576,"")</f>
        <v/>
      </c>
      <c r="G189" s="122" t="str">
        <f>IF(ISNUMBER(namespace_raw[[#This Row],[Column8]]), namespace_raw[[#This Row],[Column8]],"")</f>
        <v/>
      </c>
      <c r="H189" s="123" t="str">
        <f>IF(ISNUMBER(namespace_raw[[#This Row],[Column9]]), namespace_raw[[#This Row],[Column9]]/1048576,"")</f>
        <v/>
      </c>
      <c r="I189" s="124" t="str">
        <f>IF(ISNUMBER(namespace_raw[[#This Row],[Column8]]),MAX(G189, M189, O189, $I$2,IF(Q189&lt;&gt;"",VALUE(Q189),0)), "")</f>
        <v/>
      </c>
      <c r="J189" s="125" t="str">
        <f>IF(ISNUMBER(namespace_raw[[#This Row],[Column9]]),MAX(H189, N189, P189, $J$2,IF(R189&lt;&gt;"",VALUE(R189),0)),"")</f>
        <v/>
      </c>
      <c r="K189" s="166" t="str">
        <f>IF(ISNUMBER(namespace_raw[[#This Row],[Column12]]), namespace_raw[[#This Row],[Column12]],"")</f>
        <v/>
      </c>
      <c r="L189" s="167" t="str">
        <f>IF(ISNUMBER(namespace_raw[[#This Row],[Column13]]), namespace_raw[[#This Row],[Column13]]/1048576,"")</f>
        <v/>
      </c>
      <c r="M189" s="168" t="str">
        <f>IF(ISNUMBER(namespace_raw[[#This Row],[Column10]]), (namespace_raw[[#This Row],[Column10]]*(1+$M$2)),"")</f>
        <v/>
      </c>
      <c r="N189" s="167" t="str">
        <f>IF(ISNUMBER(namespace_raw[[#This Row],[Column11]]), (namespace_raw[[#This Row],[Column11]]*(1+$N$2))/1048576,"")</f>
        <v/>
      </c>
      <c r="O189" s="169" t="str">
        <f>IF(ISNUMBER(namespace_raw[[#This Row],[Column8]]), (E189  * $O$2),"")</f>
        <v/>
      </c>
      <c r="P189" s="170" t="str">
        <f>IF(ISNUMBER(namespace_raw[[#This Row],[Column8]]), (F189  * $P$2),"")</f>
        <v/>
      </c>
    </row>
    <row r="190" spans="1:16" ht="15" customHeight="1" x14ac:dyDescent="0.25">
      <c r="A190" s="32" t="str">
        <f>IF(ISNONTEXT(namespace_raw[[#This Row],[Column1]]), "", namespace_raw[[#This Row],[Column1]])</f>
        <v/>
      </c>
      <c r="B190" s="33" t="str">
        <f>IF(ISNONTEXT(namespace_raw[[#This Row],[Column2]]), "", namespace_raw[[#This Row],[Column2]])</f>
        <v/>
      </c>
      <c r="C190" s="94" t="str">
        <f>IF(ISNUMBER(namespace_raw[[#This Row],[Column4]]), namespace_raw[[#This Row],[Column4]], "")</f>
        <v/>
      </c>
      <c r="D190" s="95" t="str">
        <f>IF(ISNUMBER(namespace_raw[[#This Row],[Column5]]), namespace_raw[[#This Row],[Column5]]/1048576, "")</f>
        <v/>
      </c>
      <c r="E190" s="95" t="str">
        <f>IF(ISNUMBER(namespace_raw[[#This Row],[Column6]]), namespace_raw[[#This Row],[Column6]],"")</f>
        <v/>
      </c>
      <c r="F190" s="96" t="str">
        <f>IF(ISNUMBER(namespace_raw[[#This Row],[Column7]]), namespace_raw[[#This Row],[Column7]]/1048576,"")</f>
        <v/>
      </c>
      <c r="G190" s="122" t="str">
        <f>IF(ISNUMBER(namespace_raw[[#This Row],[Column8]]), namespace_raw[[#This Row],[Column8]],"")</f>
        <v/>
      </c>
      <c r="H190" s="123" t="str">
        <f>IF(ISNUMBER(namespace_raw[[#This Row],[Column9]]), namespace_raw[[#This Row],[Column9]]/1048576,"")</f>
        <v/>
      </c>
      <c r="I190" s="124" t="str">
        <f>IF(ISNUMBER(namespace_raw[[#This Row],[Column8]]),MAX(G190, M190, O190, $I$2,IF(Q190&lt;&gt;"",VALUE(Q190),0)), "")</f>
        <v/>
      </c>
      <c r="J190" s="125" t="str">
        <f>IF(ISNUMBER(namespace_raw[[#This Row],[Column9]]),MAX(H190, N190, P190, $J$2,IF(R190&lt;&gt;"",VALUE(R190),0)),"")</f>
        <v/>
      </c>
      <c r="K190" s="166" t="str">
        <f>IF(ISNUMBER(namespace_raw[[#This Row],[Column12]]), namespace_raw[[#This Row],[Column12]],"")</f>
        <v/>
      </c>
      <c r="L190" s="167" t="str">
        <f>IF(ISNUMBER(namespace_raw[[#This Row],[Column13]]), namespace_raw[[#This Row],[Column13]]/1048576,"")</f>
        <v/>
      </c>
      <c r="M190" s="168" t="str">
        <f>IF(ISNUMBER(namespace_raw[[#This Row],[Column10]]), (namespace_raw[[#This Row],[Column10]]*(1+$M$2)),"")</f>
        <v/>
      </c>
      <c r="N190" s="167" t="str">
        <f>IF(ISNUMBER(namespace_raw[[#This Row],[Column11]]), (namespace_raw[[#This Row],[Column11]]*(1+$N$2))/1048576,"")</f>
        <v/>
      </c>
      <c r="O190" s="169" t="str">
        <f>IF(ISNUMBER(namespace_raw[[#This Row],[Column8]]), (E190  * $O$2),"")</f>
        <v/>
      </c>
      <c r="P190" s="170" t="str">
        <f>IF(ISNUMBER(namespace_raw[[#This Row],[Column8]]), (F190  * $P$2),"")</f>
        <v/>
      </c>
    </row>
    <row r="191" spans="1:16" ht="15" customHeight="1" x14ac:dyDescent="0.25">
      <c r="A191" s="32" t="str">
        <f>IF(ISNONTEXT(namespace_raw[[#This Row],[Column1]]), "", namespace_raw[[#This Row],[Column1]])</f>
        <v/>
      </c>
      <c r="B191" s="33" t="str">
        <f>IF(ISNONTEXT(namespace_raw[[#This Row],[Column2]]), "", namespace_raw[[#This Row],[Column2]])</f>
        <v/>
      </c>
      <c r="C191" s="94" t="str">
        <f>IF(ISNUMBER(namespace_raw[[#This Row],[Column4]]), namespace_raw[[#This Row],[Column4]], "")</f>
        <v/>
      </c>
      <c r="D191" s="95" t="str">
        <f>IF(ISNUMBER(namespace_raw[[#This Row],[Column5]]), namespace_raw[[#This Row],[Column5]]/1048576, "")</f>
        <v/>
      </c>
      <c r="E191" s="95" t="str">
        <f>IF(ISNUMBER(namespace_raw[[#This Row],[Column6]]), namespace_raw[[#This Row],[Column6]],"")</f>
        <v/>
      </c>
      <c r="F191" s="96" t="str">
        <f>IF(ISNUMBER(namespace_raw[[#This Row],[Column7]]), namespace_raw[[#This Row],[Column7]]/1048576,"")</f>
        <v/>
      </c>
      <c r="G191" s="122" t="str">
        <f>IF(ISNUMBER(namespace_raw[[#This Row],[Column8]]), namespace_raw[[#This Row],[Column8]],"")</f>
        <v/>
      </c>
      <c r="H191" s="123" t="str">
        <f>IF(ISNUMBER(namespace_raw[[#This Row],[Column9]]), namespace_raw[[#This Row],[Column9]]/1048576,"")</f>
        <v/>
      </c>
      <c r="I191" s="124" t="str">
        <f>IF(ISNUMBER(namespace_raw[[#This Row],[Column8]]),MAX(G191, M191, O191, $I$2,IF(Q191&lt;&gt;"",VALUE(Q191),0)), "")</f>
        <v/>
      </c>
      <c r="J191" s="125" t="str">
        <f>IF(ISNUMBER(namespace_raw[[#This Row],[Column9]]),MAX(H191, N191, P191, $J$2,IF(R191&lt;&gt;"",VALUE(R191),0)),"")</f>
        <v/>
      </c>
      <c r="K191" s="166" t="str">
        <f>IF(ISNUMBER(namespace_raw[[#This Row],[Column12]]), namespace_raw[[#This Row],[Column12]],"")</f>
        <v/>
      </c>
      <c r="L191" s="167" t="str">
        <f>IF(ISNUMBER(namespace_raw[[#This Row],[Column13]]), namespace_raw[[#This Row],[Column13]]/1048576,"")</f>
        <v/>
      </c>
      <c r="M191" s="168" t="str">
        <f>IF(ISNUMBER(namespace_raw[[#This Row],[Column10]]), (namespace_raw[[#This Row],[Column10]]*(1+$M$2)),"")</f>
        <v/>
      </c>
      <c r="N191" s="167" t="str">
        <f>IF(ISNUMBER(namespace_raw[[#This Row],[Column11]]), (namespace_raw[[#This Row],[Column11]]*(1+$N$2))/1048576,"")</f>
        <v/>
      </c>
      <c r="O191" s="169" t="str">
        <f>IF(ISNUMBER(namespace_raw[[#This Row],[Column8]]), (E191  * $O$2),"")</f>
        <v/>
      </c>
      <c r="P191" s="170" t="str">
        <f>IF(ISNUMBER(namespace_raw[[#This Row],[Column8]]), (F191  * $P$2),"")</f>
        <v/>
      </c>
    </row>
    <row r="192" spans="1:16" ht="15" customHeight="1" x14ac:dyDescent="0.25">
      <c r="A192" s="32" t="str">
        <f>IF(ISNONTEXT(namespace_raw[[#This Row],[Column1]]), "", namespace_raw[[#This Row],[Column1]])</f>
        <v/>
      </c>
      <c r="B192" s="33" t="str">
        <f>IF(ISNONTEXT(namespace_raw[[#This Row],[Column2]]), "", namespace_raw[[#This Row],[Column2]])</f>
        <v/>
      </c>
      <c r="C192" s="94" t="str">
        <f>IF(ISNUMBER(namespace_raw[[#This Row],[Column4]]), namespace_raw[[#This Row],[Column4]], "")</f>
        <v/>
      </c>
      <c r="D192" s="95" t="str">
        <f>IF(ISNUMBER(namespace_raw[[#This Row],[Column5]]), namespace_raw[[#This Row],[Column5]]/1048576, "")</f>
        <v/>
      </c>
      <c r="E192" s="95" t="str">
        <f>IF(ISNUMBER(namespace_raw[[#This Row],[Column6]]), namespace_raw[[#This Row],[Column6]],"")</f>
        <v/>
      </c>
      <c r="F192" s="96" t="str">
        <f>IF(ISNUMBER(namespace_raw[[#This Row],[Column7]]), namespace_raw[[#This Row],[Column7]]/1048576,"")</f>
        <v/>
      </c>
      <c r="G192" s="122" t="str">
        <f>IF(ISNUMBER(namespace_raw[[#This Row],[Column8]]), namespace_raw[[#This Row],[Column8]],"")</f>
        <v/>
      </c>
      <c r="H192" s="123" t="str">
        <f>IF(ISNUMBER(namespace_raw[[#This Row],[Column9]]), namespace_raw[[#This Row],[Column9]]/1048576,"")</f>
        <v/>
      </c>
      <c r="I192" s="124" t="str">
        <f>IF(ISNUMBER(namespace_raw[[#This Row],[Column8]]),MAX(G192, M192, O192, $I$2,IF(Q192&lt;&gt;"",VALUE(Q192),0)), "")</f>
        <v/>
      </c>
      <c r="J192" s="125" t="str">
        <f>IF(ISNUMBER(namespace_raw[[#This Row],[Column9]]),MAX(H192, N192, P192, $J$2,IF(R192&lt;&gt;"",VALUE(R192),0)),"")</f>
        <v/>
      </c>
      <c r="K192" s="166" t="str">
        <f>IF(ISNUMBER(namespace_raw[[#This Row],[Column12]]), namespace_raw[[#This Row],[Column12]],"")</f>
        <v/>
      </c>
      <c r="L192" s="167" t="str">
        <f>IF(ISNUMBER(namespace_raw[[#This Row],[Column13]]), namespace_raw[[#This Row],[Column13]]/1048576,"")</f>
        <v/>
      </c>
      <c r="M192" s="168" t="str">
        <f>IF(ISNUMBER(namespace_raw[[#This Row],[Column10]]), (namespace_raw[[#This Row],[Column10]]*(1+$M$2)),"")</f>
        <v/>
      </c>
      <c r="N192" s="167" t="str">
        <f>IF(ISNUMBER(namespace_raw[[#This Row],[Column11]]), (namespace_raw[[#This Row],[Column11]]*(1+$N$2))/1048576,"")</f>
        <v/>
      </c>
      <c r="O192" s="169" t="str">
        <f>IF(ISNUMBER(namespace_raw[[#This Row],[Column8]]), (E192  * $O$2),"")</f>
        <v/>
      </c>
      <c r="P192" s="170" t="str">
        <f>IF(ISNUMBER(namespace_raw[[#This Row],[Column8]]), (F192  * $P$2),"")</f>
        <v/>
      </c>
    </row>
    <row r="193" spans="1:16" ht="15" customHeight="1" x14ac:dyDescent="0.25">
      <c r="A193" s="32" t="str">
        <f>IF(ISNONTEXT(namespace_raw[[#This Row],[Column1]]), "", namespace_raw[[#This Row],[Column1]])</f>
        <v/>
      </c>
      <c r="B193" s="33" t="str">
        <f>IF(ISNONTEXT(namespace_raw[[#This Row],[Column2]]), "", namespace_raw[[#This Row],[Column2]])</f>
        <v/>
      </c>
      <c r="C193" s="94" t="str">
        <f>IF(ISNUMBER(namespace_raw[[#This Row],[Column4]]), namespace_raw[[#This Row],[Column4]], "")</f>
        <v/>
      </c>
      <c r="D193" s="95" t="str">
        <f>IF(ISNUMBER(namespace_raw[[#This Row],[Column5]]), namespace_raw[[#This Row],[Column5]]/1048576, "")</f>
        <v/>
      </c>
      <c r="E193" s="95" t="str">
        <f>IF(ISNUMBER(namespace_raw[[#This Row],[Column6]]), namespace_raw[[#This Row],[Column6]],"")</f>
        <v/>
      </c>
      <c r="F193" s="96" t="str">
        <f>IF(ISNUMBER(namespace_raw[[#This Row],[Column7]]), namespace_raw[[#This Row],[Column7]]/1048576,"")</f>
        <v/>
      </c>
      <c r="G193" s="122" t="str">
        <f>IF(ISNUMBER(namespace_raw[[#This Row],[Column8]]), namespace_raw[[#This Row],[Column8]],"")</f>
        <v/>
      </c>
      <c r="H193" s="123" t="str">
        <f>IF(ISNUMBER(namespace_raw[[#This Row],[Column9]]), namespace_raw[[#This Row],[Column9]]/1048576,"")</f>
        <v/>
      </c>
      <c r="I193" s="124" t="str">
        <f>IF(ISNUMBER(namespace_raw[[#This Row],[Column8]]),MAX(G193, M193, O193, $I$2,IF(Q193&lt;&gt;"",VALUE(Q193),0)), "")</f>
        <v/>
      </c>
      <c r="J193" s="125" t="str">
        <f>IF(ISNUMBER(namespace_raw[[#This Row],[Column9]]),MAX(H193, N193, P193, $J$2,IF(R193&lt;&gt;"",VALUE(R193),0)),"")</f>
        <v/>
      </c>
      <c r="K193" s="166" t="str">
        <f>IF(ISNUMBER(namespace_raw[[#This Row],[Column12]]), namespace_raw[[#This Row],[Column12]],"")</f>
        <v/>
      </c>
      <c r="L193" s="167" t="str">
        <f>IF(ISNUMBER(namespace_raw[[#This Row],[Column13]]), namespace_raw[[#This Row],[Column13]]/1048576,"")</f>
        <v/>
      </c>
      <c r="M193" s="168" t="str">
        <f>IF(ISNUMBER(namespace_raw[[#This Row],[Column10]]), (namespace_raw[[#This Row],[Column10]]*(1+$M$2)),"")</f>
        <v/>
      </c>
      <c r="N193" s="167" t="str">
        <f>IF(ISNUMBER(namespace_raw[[#This Row],[Column11]]), (namespace_raw[[#This Row],[Column11]]*(1+$N$2))/1048576,"")</f>
        <v/>
      </c>
      <c r="O193" s="169" t="str">
        <f>IF(ISNUMBER(namespace_raw[[#This Row],[Column8]]), (E193  * $O$2),"")</f>
        <v/>
      </c>
      <c r="P193" s="170" t="str">
        <f>IF(ISNUMBER(namespace_raw[[#This Row],[Column8]]), (F193  * $P$2),"")</f>
        <v/>
      </c>
    </row>
    <row r="194" spans="1:16" ht="15" customHeight="1" x14ac:dyDescent="0.25">
      <c r="A194" s="32" t="str">
        <f>IF(ISNONTEXT(namespace_raw[[#This Row],[Column1]]), "", namespace_raw[[#This Row],[Column1]])</f>
        <v/>
      </c>
      <c r="B194" s="33" t="str">
        <f>IF(ISNONTEXT(namespace_raw[[#This Row],[Column2]]), "", namespace_raw[[#This Row],[Column2]])</f>
        <v/>
      </c>
      <c r="C194" s="94" t="str">
        <f>IF(ISNUMBER(namespace_raw[[#This Row],[Column4]]), namespace_raw[[#This Row],[Column4]], "")</f>
        <v/>
      </c>
      <c r="D194" s="95" t="str">
        <f>IF(ISNUMBER(namespace_raw[[#This Row],[Column5]]), namespace_raw[[#This Row],[Column5]]/1048576, "")</f>
        <v/>
      </c>
      <c r="E194" s="95" t="str">
        <f>IF(ISNUMBER(namespace_raw[[#This Row],[Column6]]), namespace_raw[[#This Row],[Column6]],"")</f>
        <v/>
      </c>
      <c r="F194" s="96" t="str">
        <f>IF(ISNUMBER(namespace_raw[[#This Row],[Column7]]), namespace_raw[[#This Row],[Column7]]/1048576,"")</f>
        <v/>
      </c>
      <c r="G194" s="122" t="str">
        <f>IF(ISNUMBER(namespace_raw[[#This Row],[Column8]]), namespace_raw[[#This Row],[Column8]],"")</f>
        <v/>
      </c>
      <c r="H194" s="123" t="str">
        <f>IF(ISNUMBER(namespace_raw[[#This Row],[Column9]]), namespace_raw[[#This Row],[Column9]]/1048576,"")</f>
        <v/>
      </c>
      <c r="I194" s="124" t="str">
        <f>IF(ISNUMBER(namespace_raw[[#This Row],[Column8]]),MAX(G194, M194, O194, $I$2,IF(Q194&lt;&gt;"",VALUE(Q194),0)), "")</f>
        <v/>
      </c>
      <c r="J194" s="125" t="str">
        <f>IF(ISNUMBER(namespace_raw[[#This Row],[Column9]]),MAX(H194, N194, P194, $J$2,IF(R194&lt;&gt;"",VALUE(R194),0)),"")</f>
        <v/>
      </c>
      <c r="K194" s="166" t="str">
        <f>IF(ISNUMBER(namespace_raw[[#This Row],[Column12]]), namespace_raw[[#This Row],[Column12]],"")</f>
        <v/>
      </c>
      <c r="L194" s="167" t="str">
        <f>IF(ISNUMBER(namespace_raw[[#This Row],[Column13]]), namespace_raw[[#This Row],[Column13]]/1048576,"")</f>
        <v/>
      </c>
      <c r="M194" s="168" t="str">
        <f>IF(ISNUMBER(namespace_raw[[#This Row],[Column10]]), (namespace_raw[[#This Row],[Column10]]*(1+$M$2)),"")</f>
        <v/>
      </c>
      <c r="N194" s="167" t="str">
        <f>IF(ISNUMBER(namespace_raw[[#This Row],[Column11]]), (namespace_raw[[#This Row],[Column11]]*(1+$N$2))/1048576,"")</f>
        <v/>
      </c>
      <c r="O194" s="169" t="str">
        <f>IF(ISNUMBER(namespace_raw[[#This Row],[Column8]]), (E194  * $O$2),"")</f>
        <v/>
      </c>
      <c r="P194" s="170" t="str">
        <f>IF(ISNUMBER(namespace_raw[[#This Row],[Column8]]), (F194  * $P$2),"")</f>
        <v/>
      </c>
    </row>
    <row r="195" spans="1:16" ht="15" customHeight="1" x14ac:dyDescent="0.25">
      <c r="A195" s="32" t="str">
        <f>IF(ISNONTEXT(namespace_raw[[#This Row],[Column1]]), "", namespace_raw[[#This Row],[Column1]])</f>
        <v/>
      </c>
      <c r="B195" s="33" t="str">
        <f>IF(ISNONTEXT(namespace_raw[[#This Row],[Column2]]), "", namespace_raw[[#This Row],[Column2]])</f>
        <v/>
      </c>
      <c r="C195" s="94" t="str">
        <f>IF(ISNUMBER(namespace_raw[[#This Row],[Column4]]), namespace_raw[[#This Row],[Column4]], "")</f>
        <v/>
      </c>
      <c r="D195" s="95" t="str">
        <f>IF(ISNUMBER(namespace_raw[[#This Row],[Column5]]), namespace_raw[[#This Row],[Column5]]/1048576, "")</f>
        <v/>
      </c>
      <c r="E195" s="95" t="str">
        <f>IF(ISNUMBER(namespace_raw[[#This Row],[Column6]]), namespace_raw[[#This Row],[Column6]],"")</f>
        <v/>
      </c>
      <c r="F195" s="96" t="str">
        <f>IF(ISNUMBER(namespace_raw[[#This Row],[Column7]]), namespace_raw[[#This Row],[Column7]]/1048576,"")</f>
        <v/>
      </c>
      <c r="G195" s="122" t="str">
        <f>IF(ISNUMBER(namespace_raw[[#This Row],[Column8]]), namespace_raw[[#This Row],[Column8]],"")</f>
        <v/>
      </c>
      <c r="H195" s="123" t="str">
        <f>IF(ISNUMBER(namespace_raw[[#This Row],[Column9]]), namespace_raw[[#This Row],[Column9]]/1048576,"")</f>
        <v/>
      </c>
      <c r="I195" s="124" t="str">
        <f>IF(ISNUMBER(namespace_raw[[#This Row],[Column8]]),MAX(G195, M195, O195, $I$2,IF(Q195&lt;&gt;"",VALUE(Q195),0)), "")</f>
        <v/>
      </c>
      <c r="J195" s="125" t="str">
        <f>IF(ISNUMBER(namespace_raw[[#This Row],[Column9]]),MAX(H195, N195, P195, $J$2,IF(R195&lt;&gt;"",VALUE(R195),0)),"")</f>
        <v/>
      </c>
      <c r="K195" s="166" t="str">
        <f>IF(ISNUMBER(namespace_raw[[#This Row],[Column12]]), namespace_raw[[#This Row],[Column12]],"")</f>
        <v/>
      </c>
      <c r="L195" s="167" t="str">
        <f>IF(ISNUMBER(namespace_raw[[#This Row],[Column13]]), namespace_raw[[#This Row],[Column13]]/1048576,"")</f>
        <v/>
      </c>
      <c r="M195" s="168" t="str">
        <f>IF(ISNUMBER(namespace_raw[[#This Row],[Column10]]), (namespace_raw[[#This Row],[Column10]]*(1+$M$2)),"")</f>
        <v/>
      </c>
      <c r="N195" s="167" t="str">
        <f>IF(ISNUMBER(namespace_raw[[#This Row],[Column11]]), (namespace_raw[[#This Row],[Column11]]*(1+$N$2))/1048576,"")</f>
        <v/>
      </c>
      <c r="O195" s="169" t="str">
        <f>IF(ISNUMBER(namespace_raw[[#This Row],[Column8]]), (E195  * $O$2),"")</f>
        <v/>
      </c>
      <c r="P195" s="170" t="str">
        <f>IF(ISNUMBER(namespace_raw[[#This Row],[Column8]]), (F195  * $P$2),"")</f>
        <v/>
      </c>
    </row>
    <row r="196" spans="1:16" ht="15" customHeight="1" x14ac:dyDescent="0.25">
      <c r="A196" s="32" t="str">
        <f>IF(ISNONTEXT(namespace_raw[[#This Row],[Column1]]), "", namespace_raw[[#This Row],[Column1]])</f>
        <v/>
      </c>
      <c r="B196" s="33" t="str">
        <f>IF(ISNONTEXT(namespace_raw[[#This Row],[Column2]]), "", namespace_raw[[#This Row],[Column2]])</f>
        <v/>
      </c>
      <c r="C196" s="94" t="str">
        <f>IF(ISNUMBER(namespace_raw[[#This Row],[Column4]]), namespace_raw[[#This Row],[Column4]], "")</f>
        <v/>
      </c>
      <c r="D196" s="95" t="str">
        <f>IF(ISNUMBER(namespace_raw[[#This Row],[Column5]]), namespace_raw[[#This Row],[Column5]]/1048576, "")</f>
        <v/>
      </c>
      <c r="E196" s="95" t="str">
        <f>IF(ISNUMBER(namespace_raw[[#This Row],[Column6]]), namespace_raw[[#This Row],[Column6]],"")</f>
        <v/>
      </c>
      <c r="F196" s="96" t="str">
        <f>IF(ISNUMBER(namespace_raw[[#This Row],[Column7]]), namespace_raw[[#This Row],[Column7]]/1048576,"")</f>
        <v/>
      </c>
      <c r="G196" s="122" t="str">
        <f>IF(ISNUMBER(namespace_raw[[#This Row],[Column8]]), namespace_raw[[#This Row],[Column8]],"")</f>
        <v/>
      </c>
      <c r="H196" s="123" t="str">
        <f>IF(ISNUMBER(namespace_raw[[#This Row],[Column9]]), namespace_raw[[#This Row],[Column9]]/1048576,"")</f>
        <v/>
      </c>
      <c r="I196" s="124" t="str">
        <f>IF(ISNUMBER(namespace_raw[[#This Row],[Column8]]),MAX(G196, M196, O196, $I$2,IF(Q196&lt;&gt;"",VALUE(Q196),0)), "")</f>
        <v/>
      </c>
      <c r="J196" s="125" t="str">
        <f>IF(ISNUMBER(namespace_raw[[#This Row],[Column9]]),MAX(H196, N196, P196, $J$2,IF(R196&lt;&gt;"",VALUE(R196),0)),"")</f>
        <v/>
      </c>
      <c r="K196" s="166" t="str">
        <f>IF(ISNUMBER(namespace_raw[[#This Row],[Column12]]), namespace_raw[[#This Row],[Column12]],"")</f>
        <v/>
      </c>
      <c r="L196" s="167" t="str">
        <f>IF(ISNUMBER(namespace_raw[[#This Row],[Column13]]), namespace_raw[[#This Row],[Column13]]/1048576,"")</f>
        <v/>
      </c>
      <c r="M196" s="168" t="str">
        <f>IF(ISNUMBER(namespace_raw[[#This Row],[Column10]]), (namespace_raw[[#This Row],[Column10]]*(1+$M$2)),"")</f>
        <v/>
      </c>
      <c r="N196" s="167" t="str">
        <f>IF(ISNUMBER(namespace_raw[[#This Row],[Column11]]), (namespace_raw[[#This Row],[Column11]]*(1+$N$2))/1048576,"")</f>
        <v/>
      </c>
      <c r="O196" s="169" t="str">
        <f>IF(ISNUMBER(namespace_raw[[#This Row],[Column8]]), (E196  * $O$2),"")</f>
        <v/>
      </c>
      <c r="P196" s="170" t="str">
        <f>IF(ISNUMBER(namespace_raw[[#This Row],[Column8]]), (F196  * $P$2),"")</f>
        <v/>
      </c>
    </row>
    <row r="197" spans="1:16" ht="15" customHeight="1" x14ac:dyDescent="0.25">
      <c r="A197" s="32" t="str">
        <f>IF(ISNONTEXT(namespace_raw[[#This Row],[Column1]]), "", namespace_raw[[#This Row],[Column1]])</f>
        <v/>
      </c>
      <c r="B197" s="33" t="str">
        <f>IF(ISNONTEXT(namespace_raw[[#This Row],[Column2]]), "", namespace_raw[[#This Row],[Column2]])</f>
        <v/>
      </c>
      <c r="C197" s="94" t="str">
        <f>IF(ISNUMBER(namespace_raw[[#This Row],[Column4]]), namespace_raw[[#This Row],[Column4]], "")</f>
        <v/>
      </c>
      <c r="D197" s="95" t="str">
        <f>IF(ISNUMBER(namespace_raw[[#This Row],[Column5]]), namespace_raw[[#This Row],[Column5]]/1048576, "")</f>
        <v/>
      </c>
      <c r="E197" s="95" t="str">
        <f>IF(ISNUMBER(namespace_raw[[#This Row],[Column6]]), namespace_raw[[#This Row],[Column6]],"")</f>
        <v/>
      </c>
      <c r="F197" s="96" t="str">
        <f>IF(ISNUMBER(namespace_raw[[#This Row],[Column7]]), namespace_raw[[#This Row],[Column7]]/1048576,"")</f>
        <v/>
      </c>
      <c r="G197" s="122" t="str">
        <f>IF(ISNUMBER(namespace_raw[[#This Row],[Column8]]), namespace_raw[[#This Row],[Column8]],"")</f>
        <v/>
      </c>
      <c r="H197" s="123" t="str">
        <f>IF(ISNUMBER(namespace_raw[[#This Row],[Column9]]), namespace_raw[[#This Row],[Column9]]/1048576,"")</f>
        <v/>
      </c>
      <c r="I197" s="124" t="str">
        <f>IF(ISNUMBER(namespace_raw[[#This Row],[Column8]]),MAX(G197, M197, O197, $I$2,IF(Q197&lt;&gt;"",VALUE(Q197),0)), "")</f>
        <v/>
      </c>
      <c r="J197" s="125" t="str">
        <f>IF(ISNUMBER(namespace_raw[[#This Row],[Column9]]),MAX(H197, N197, P197, $J$2,IF(R197&lt;&gt;"",VALUE(R197),0)),"")</f>
        <v/>
      </c>
      <c r="K197" s="166" t="str">
        <f>IF(ISNUMBER(namespace_raw[[#This Row],[Column12]]), namespace_raw[[#This Row],[Column12]],"")</f>
        <v/>
      </c>
      <c r="L197" s="167" t="str">
        <f>IF(ISNUMBER(namespace_raw[[#This Row],[Column13]]), namespace_raw[[#This Row],[Column13]]/1048576,"")</f>
        <v/>
      </c>
      <c r="M197" s="168" t="str">
        <f>IF(ISNUMBER(namespace_raw[[#This Row],[Column10]]), (namespace_raw[[#This Row],[Column10]]*(1+$M$2)),"")</f>
        <v/>
      </c>
      <c r="N197" s="167" t="str">
        <f>IF(ISNUMBER(namespace_raw[[#This Row],[Column11]]), (namespace_raw[[#This Row],[Column11]]*(1+$N$2))/1048576,"")</f>
        <v/>
      </c>
      <c r="O197" s="169" t="str">
        <f>IF(ISNUMBER(namespace_raw[[#This Row],[Column8]]), (E197  * $O$2),"")</f>
        <v/>
      </c>
      <c r="P197" s="170" t="str">
        <f>IF(ISNUMBER(namespace_raw[[#This Row],[Column8]]), (F197  * $P$2),"")</f>
        <v/>
      </c>
    </row>
    <row r="198" spans="1:16" ht="15" customHeight="1" x14ac:dyDescent="0.25">
      <c r="A198" s="32" t="str">
        <f>IF(ISNONTEXT(namespace_raw[[#This Row],[Column1]]), "", namespace_raw[[#This Row],[Column1]])</f>
        <v/>
      </c>
      <c r="B198" s="33" t="str">
        <f>IF(ISNONTEXT(namespace_raw[[#This Row],[Column2]]), "", namespace_raw[[#This Row],[Column2]])</f>
        <v/>
      </c>
      <c r="C198" s="94" t="str">
        <f>IF(ISNUMBER(namespace_raw[[#This Row],[Column4]]), namespace_raw[[#This Row],[Column4]], "")</f>
        <v/>
      </c>
      <c r="D198" s="95" t="str">
        <f>IF(ISNUMBER(namespace_raw[[#This Row],[Column5]]), namespace_raw[[#This Row],[Column5]]/1048576, "")</f>
        <v/>
      </c>
      <c r="E198" s="95" t="str">
        <f>IF(ISNUMBER(namespace_raw[[#This Row],[Column6]]), namespace_raw[[#This Row],[Column6]],"")</f>
        <v/>
      </c>
      <c r="F198" s="96" t="str">
        <f>IF(ISNUMBER(namespace_raw[[#This Row],[Column7]]), namespace_raw[[#This Row],[Column7]]/1048576,"")</f>
        <v/>
      </c>
      <c r="G198" s="122" t="str">
        <f>IF(ISNUMBER(namespace_raw[[#This Row],[Column8]]), namespace_raw[[#This Row],[Column8]],"")</f>
        <v/>
      </c>
      <c r="H198" s="123" t="str">
        <f>IF(ISNUMBER(namespace_raw[[#This Row],[Column9]]), namespace_raw[[#This Row],[Column9]]/1048576,"")</f>
        <v/>
      </c>
      <c r="I198" s="124" t="str">
        <f>IF(ISNUMBER(namespace_raw[[#This Row],[Column8]]),MAX(G198, M198, O198, $I$2,IF(Q198&lt;&gt;"",VALUE(Q198),0)), "")</f>
        <v/>
      </c>
      <c r="J198" s="125" t="str">
        <f>IF(ISNUMBER(namespace_raw[[#This Row],[Column9]]),MAX(H198, N198, P198, $J$2,IF(R198&lt;&gt;"",VALUE(R198),0)),"")</f>
        <v/>
      </c>
      <c r="K198" s="166" t="str">
        <f>IF(ISNUMBER(namespace_raw[[#This Row],[Column12]]), namespace_raw[[#This Row],[Column12]],"")</f>
        <v/>
      </c>
      <c r="L198" s="167" t="str">
        <f>IF(ISNUMBER(namespace_raw[[#This Row],[Column13]]), namespace_raw[[#This Row],[Column13]]/1048576,"")</f>
        <v/>
      </c>
      <c r="M198" s="168" t="str">
        <f>IF(ISNUMBER(namespace_raw[[#This Row],[Column10]]), (namespace_raw[[#This Row],[Column10]]*(1+$M$2)),"")</f>
        <v/>
      </c>
      <c r="N198" s="167" t="str">
        <f>IF(ISNUMBER(namespace_raw[[#This Row],[Column11]]), (namespace_raw[[#This Row],[Column11]]*(1+$N$2))/1048576,"")</f>
        <v/>
      </c>
      <c r="O198" s="169" t="str">
        <f>IF(ISNUMBER(namespace_raw[[#This Row],[Column8]]), (E198  * $O$2),"")</f>
        <v/>
      </c>
      <c r="P198" s="170" t="str">
        <f>IF(ISNUMBER(namespace_raw[[#This Row],[Column8]]), (F198  * $P$2),"")</f>
        <v/>
      </c>
    </row>
    <row r="199" spans="1:16" ht="15" customHeight="1" x14ac:dyDescent="0.25">
      <c r="A199" s="32" t="str">
        <f>IF(ISNONTEXT(namespace_raw[[#This Row],[Column1]]), "", namespace_raw[[#This Row],[Column1]])</f>
        <v/>
      </c>
      <c r="B199" s="33" t="str">
        <f>IF(ISNONTEXT(namespace_raw[[#This Row],[Column2]]), "", namespace_raw[[#This Row],[Column2]])</f>
        <v/>
      </c>
      <c r="C199" s="94" t="str">
        <f>IF(ISNUMBER(namespace_raw[[#This Row],[Column4]]), namespace_raw[[#This Row],[Column4]], "")</f>
        <v/>
      </c>
      <c r="D199" s="95" t="str">
        <f>IF(ISNUMBER(namespace_raw[[#This Row],[Column5]]), namespace_raw[[#This Row],[Column5]]/1048576, "")</f>
        <v/>
      </c>
      <c r="E199" s="95" t="str">
        <f>IF(ISNUMBER(namespace_raw[[#This Row],[Column6]]), namespace_raw[[#This Row],[Column6]],"")</f>
        <v/>
      </c>
      <c r="F199" s="96" t="str">
        <f>IF(ISNUMBER(namespace_raw[[#This Row],[Column7]]), namespace_raw[[#This Row],[Column7]]/1048576,"")</f>
        <v/>
      </c>
      <c r="G199" s="122" t="str">
        <f>IF(ISNUMBER(namespace_raw[[#This Row],[Column8]]), namespace_raw[[#This Row],[Column8]],"")</f>
        <v/>
      </c>
      <c r="H199" s="123" t="str">
        <f>IF(ISNUMBER(namespace_raw[[#This Row],[Column9]]), namespace_raw[[#This Row],[Column9]]/1048576,"")</f>
        <v/>
      </c>
      <c r="I199" s="124" t="str">
        <f>IF(ISNUMBER(namespace_raw[[#This Row],[Column8]]),MAX(G199, M199, O199, $I$2,IF(Q199&lt;&gt;"",VALUE(Q199),0)), "")</f>
        <v/>
      </c>
      <c r="J199" s="125" t="str">
        <f>IF(ISNUMBER(namespace_raw[[#This Row],[Column9]]),MAX(H199, N199, P199, $J$2,IF(R199&lt;&gt;"",VALUE(R199),0)),"")</f>
        <v/>
      </c>
      <c r="K199" s="166" t="str">
        <f>IF(ISNUMBER(namespace_raw[[#This Row],[Column12]]), namespace_raw[[#This Row],[Column12]],"")</f>
        <v/>
      </c>
      <c r="L199" s="167" t="str">
        <f>IF(ISNUMBER(namespace_raw[[#This Row],[Column13]]), namespace_raw[[#This Row],[Column13]]/1048576,"")</f>
        <v/>
      </c>
      <c r="M199" s="168" t="str">
        <f>IF(ISNUMBER(namespace_raw[[#This Row],[Column10]]), (namespace_raw[[#This Row],[Column10]]*(1+$M$2)),"")</f>
        <v/>
      </c>
      <c r="N199" s="167" t="str">
        <f>IF(ISNUMBER(namespace_raw[[#This Row],[Column11]]), (namespace_raw[[#This Row],[Column11]]*(1+$N$2))/1048576,"")</f>
        <v/>
      </c>
      <c r="O199" s="169" t="str">
        <f>IF(ISNUMBER(namespace_raw[[#This Row],[Column8]]), (E199  * $O$2),"")</f>
        <v/>
      </c>
      <c r="P199" s="170" t="str">
        <f>IF(ISNUMBER(namespace_raw[[#This Row],[Column8]]), (F199  * $P$2),"")</f>
        <v/>
      </c>
    </row>
    <row r="200" spans="1:16" ht="15" customHeight="1" x14ac:dyDescent="0.25">
      <c r="A200" s="32" t="str">
        <f>IF(ISNONTEXT(namespace_raw[[#This Row],[Column1]]), "", namespace_raw[[#This Row],[Column1]])</f>
        <v/>
      </c>
      <c r="B200" s="33" t="str">
        <f>IF(ISNONTEXT(namespace_raw[[#This Row],[Column2]]), "", namespace_raw[[#This Row],[Column2]])</f>
        <v/>
      </c>
      <c r="C200" s="94" t="str">
        <f>IF(ISNUMBER(namespace_raw[[#This Row],[Column4]]), namespace_raw[[#This Row],[Column4]], "")</f>
        <v/>
      </c>
      <c r="D200" s="95" t="str">
        <f>IF(ISNUMBER(namespace_raw[[#This Row],[Column5]]), namespace_raw[[#This Row],[Column5]]/1048576, "")</f>
        <v/>
      </c>
      <c r="E200" s="95" t="str">
        <f>IF(ISNUMBER(namespace_raw[[#This Row],[Column6]]), namespace_raw[[#This Row],[Column6]],"")</f>
        <v/>
      </c>
      <c r="F200" s="96" t="str">
        <f>IF(ISNUMBER(namespace_raw[[#This Row],[Column7]]), namespace_raw[[#This Row],[Column7]]/1048576,"")</f>
        <v/>
      </c>
      <c r="G200" s="122" t="str">
        <f>IF(ISNUMBER(namespace_raw[[#This Row],[Column8]]), namespace_raw[[#This Row],[Column8]],"")</f>
        <v/>
      </c>
      <c r="H200" s="123" t="str">
        <f>IF(ISNUMBER(namespace_raw[[#This Row],[Column9]]), namespace_raw[[#This Row],[Column9]]/1048576,"")</f>
        <v/>
      </c>
      <c r="I200" s="124" t="str">
        <f>IF(ISNUMBER(namespace_raw[[#This Row],[Column8]]),MAX(G200, M200, O200, $I$2,IF(Q200&lt;&gt;"",VALUE(Q200),0)), "")</f>
        <v/>
      </c>
      <c r="J200" s="125" t="str">
        <f>IF(ISNUMBER(namespace_raw[[#This Row],[Column9]]),MAX(H200, N200, P200, $J$2,IF(R200&lt;&gt;"",VALUE(R200),0)),"")</f>
        <v/>
      </c>
      <c r="K200" s="166" t="str">
        <f>IF(ISNUMBER(namespace_raw[[#This Row],[Column12]]), namespace_raw[[#This Row],[Column12]],"")</f>
        <v/>
      </c>
      <c r="L200" s="167" t="str">
        <f>IF(ISNUMBER(namespace_raw[[#This Row],[Column13]]), namespace_raw[[#This Row],[Column13]]/1048576,"")</f>
        <v/>
      </c>
      <c r="M200" s="168" t="str">
        <f>IF(ISNUMBER(namespace_raw[[#This Row],[Column10]]), (namespace_raw[[#This Row],[Column10]]*(1+$M$2)),"")</f>
        <v/>
      </c>
      <c r="N200" s="167" t="str">
        <f>IF(ISNUMBER(namespace_raw[[#This Row],[Column11]]), (namespace_raw[[#This Row],[Column11]]*(1+$N$2))/1048576,"")</f>
        <v/>
      </c>
      <c r="O200" s="169" t="str">
        <f>IF(ISNUMBER(namespace_raw[[#This Row],[Column8]]), (E200  * $O$2),"")</f>
        <v/>
      </c>
      <c r="P200" s="170" t="str">
        <f>IF(ISNUMBER(namespace_raw[[#This Row],[Column8]]), (F200  * $P$2),"")</f>
        <v/>
      </c>
    </row>
    <row r="201" spans="1:16" ht="15" customHeight="1" x14ac:dyDescent="0.25">
      <c r="A201" s="32" t="str">
        <f>IF(ISNONTEXT(namespace_raw[[#This Row],[Column1]]), "", namespace_raw[[#This Row],[Column1]])</f>
        <v/>
      </c>
      <c r="B201" s="33" t="str">
        <f>IF(ISNONTEXT(namespace_raw[[#This Row],[Column2]]), "", namespace_raw[[#This Row],[Column2]])</f>
        <v/>
      </c>
      <c r="C201" s="94" t="str">
        <f>IF(ISNUMBER(namespace_raw[[#This Row],[Column4]]), namespace_raw[[#This Row],[Column4]], "")</f>
        <v/>
      </c>
      <c r="D201" s="95" t="str">
        <f>IF(ISNUMBER(namespace_raw[[#This Row],[Column5]]), namespace_raw[[#This Row],[Column5]]/1048576, "")</f>
        <v/>
      </c>
      <c r="E201" s="95" t="str">
        <f>IF(ISNUMBER(namespace_raw[[#This Row],[Column6]]), namespace_raw[[#This Row],[Column6]],"")</f>
        <v/>
      </c>
      <c r="F201" s="96" t="str">
        <f>IF(ISNUMBER(namespace_raw[[#This Row],[Column7]]), namespace_raw[[#This Row],[Column7]]/1048576,"")</f>
        <v/>
      </c>
      <c r="G201" s="122" t="str">
        <f>IF(ISNUMBER(namespace_raw[[#This Row],[Column8]]), namespace_raw[[#This Row],[Column8]],"")</f>
        <v/>
      </c>
      <c r="H201" s="123" t="str">
        <f>IF(ISNUMBER(namespace_raw[[#This Row],[Column9]]), namespace_raw[[#This Row],[Column9]]/1048576,"")</f>
        <v/>
      </c>
      <c r="I201" s="124" t="str">
        <f>IF(ISNUMBER(namespace_raw[[#This Row],[Column8]]),MAX(G201, M201, O201, $I$2,IF(Q201&lt;&gt;"",VALUE(Q201),0)), "")</f>
        <v/>
      </c>
      <c r="J201" s="125" t="str">
        <f>IF(ISNUMBER(namespace_raw[[#This Row],[Column9]]),MAX(H201, N201, P201, $J$2,IF(R201&lt;&gt;"",VALUE(R201),0)),"")</f>
        <v/>
      </c>
      <c r="K201" s="166" t="str">
        <f>IF(ISNUMBER(namespace_raw[[#This Row],[Column12]]), namespace_raw[[#This Row],[Column12]],"")</f>
        <v/>
      </c>
      <c r="L201" s="167" t="str">
        <f>IF(ISNUMBER(namespace_raw[[#This Row],[Column13]]), namespace_raw[[#This Row],[Column13]]/1048576,"")</f>
        <v/>
      </c>
      <c r="M201" s="168" t="str">
        <f>IF(ISNUMBER(namespace_raw[[#This Row],[Column10]]), (namespace_raw[[#This Row],[Column10]]*(1+$M$2)),"")</f>
        <v/>
      </c>
      <c r="N201" s="167" t="str">
        <f>IF(ISNUMBER(namespace_raw[[#This Row],[Column11]]), (namespace_raw[[#This Row],[Column11]]*(1+$N$2))/1048576,"")</f>
        <v/>
      </c>
      <c r="O201" s="169" t="str">
        <f>IF(ISNUMBER(namespace_raw[[#This Row],[Column8]]), (E201  * $O$2),"")</f>
        <v/>
      </c>
      <c r="P201" s="170" t="str">
        <f>IF(ISNUMBER(namespace_raw[[#This Row],[Column8]]), (F201  * $P$2),"")</f>
        <v/>
      </c>
    </row>
    <row r="202" spans="1:16" ht="15" customHeight="1" x14ac:dyDescent="0.25">
      <c r="A202" s="32" t="str">
        <f>IF(ISNONTEXT(namespace_raw[[#This Row],[Column1]]), "", namespace_raw[[#This Row],[Column1]])</f>
        <v/>
      </c>
      <c r="B202" s="33" t="str">
        <f>IF(ISNONTEXT(namespace_raw[[#This Row],[Column2]]), "", namespace_raw[[#This Row],[Column2]])</f>
        <v/>
      </c>
      <c r="C202" s="94" t="str">
        <f>IF(ISNUMBER(namespace_raw[[#This Row],[Column4]]), namespace_raw[[#This Row],[Column4]], "")</f>
        <v/>
      </c>
      <c r="D202" s="95" t="str">
        <f>IF(ISNUMBER(namespace_raw[[#This Row],[Column5]]), namespace_raw[[#This Row],[Column5]]/1048576, "")</f>
        <v/>
      </c>
      <c r="E202" s="95" t="str">
        <f>IF(ISNUMBER(namespace_raw[[#This Row],[Column6]]), namespace_raw[[#This Row],[Column6]],"")</f>
        <v/>
      </c>
      <c r="F202" s="96" t="str">
        <f>IF(ISNUMBER(namespace_raw[[#This Row],[Column7]]), namespace_raw[[#This Row],[Column7]]/1048576,"")</f>
        <v/>
      </c>
      <c r="G202" s="122" t="str">
        <f>IF(ISNUMBER(namespace_raw[[#This Row],[Column8]]), namespace_raw[[#This Row],[Column8]],"")</f>
        <v/>
      </c>
      <c r="H202" s="123" t="str">
        <f>IF(ISNUMBER(namespace_raw[[#This Row],[Column9]]), namespace_raw[[#This Row],[Column9]]/1048576,"")</f>
        <v/>
      </c>
      <c r="I202" s="124" t="str">
        <f>IF(ISNUMBER(namespace_raw[[#This Row],[Column8]]),MAX(G202, M202, O202, $I$2,IF(Q202&lt;&gt;"",VALUE(Q202),0)), "")</f>
        <v/>
      </c>
      <c r="J202" s="125" t="str">
        <f>IF(ISNUMBER(namespace_raw[[#This Row],[Column9]]),MAX(H202, N202, P202, $J$2,IF(R202&lt;&gt;"",VALUE(R202),0)),"")</f>
        <v/>
      </c>
      <c r="K202" s="166" t="str">
        <f>IF(ISNUMBER(namespace_raw[[#This Row],[Column12]]), namespace_raw[[#This Row],[Column12]],"")</f>
        <v/>
      </c>
      <c r="L202" s="167" t="str">
        <f>IF(ISNUMBER(namespace_raw[[#This Row],[Column13]]), namespace_raw[[#This Row],[Column13]]/1048576,"")</f>
        <v/>
      </c>
      <c r="M202" s="168" t="str">
        <f>IF(ISNUMBER(namespace_raw[[#This Row],[Column10]]), (namespace_raw[[#This Row],[Column10]]*(1+$M$2)),"")</f>
        <v/>
      </c>
      <c r="N202" s="167" t="str">
        <f>IF(ISNUMBER(namespace_raw[[#This Row],[Column11]]), (namespace_raw[[#This Row],[Column11]]*(1+$N$2))/1048576,"")</f>
        <v/>
      </c>
      <c r="O202" s="169" t="str">
        <f>IF(ISNUMBER(namespace_raw[[#This Row],[Column8]]), (E202  * $O$2),"")</f>
        <v/>
      </c>
      <c r="P202" s="170" t="str">
        <f>IF(ISNUMBER(namespace_raw[[#This Row],[Column8]]), (F202  * $P$2),"")</f>
        <v/>
      </c>
    </row>
    <row r="203" spans="1:16" ht="15" customHeight="1" x14ac:dyDescent="0.25">
      <c r="A203" s="32" t="str">
        <f>IF(ISNONTEXT(namespace_raw[[#This Row],[Column1]]), "", namespace_raw[[#This Row],[Column1]])</f>
        <v/>
      </c>
      <c r="B203" s="33" t="str">
        <f>IF(ISNONTEXT(namespace_raw[[#This Row],[Column2]]), "", namespace_raw[[#This Row],[Column2]])</f>
        <v/>
      </c>
      <c r="C203" s="94" t="str">
        <f>IF(ISNUMBER(namespace_raw[[#This Row],[Column4]]), namespace_raw[[#This Row],[Column4]], "")</f>
        <v/>
      </c>
      <c r="D203" s="95" t="str">
        <f>IF(ISNUMBER(namespace_raw[[#This Row],[Column5]]), namespace_raw[[#This Row],[Column5]]/1048576, "")</f>
        <v/>
      </c>
      <c r="E203" s="95" t="str">
        <f>IF(ISNUMBER(namespace_raw[[#This Row],[Column6]]), namespace_raw[[#This Row],[Column6]],"")</f>
        <v/>
      </c>
      <c r="F203" s="96" t="str">
        <f>IF(ISNUMBER(namespace_raw[[#This Row],[Column7]]), namespace_raw[[#This Row],[Column7]]/1048576,"")</f>
        <v/>
      </c>
      <c r="G203" s="122" t="str">
        <f>IF(ISNUMBER(namespace_raw[[#This Row],[Column8]]), namespace_raw[[#This Row],[Column8]],"")</f>
        <v/>
      </c>
      <c r="H203" s="123" t="str">
        <f>IF(ISNUMBER(namespace_raw[[#This Row],[Column9]]), namespace_raw[[#This Row],[Column9]]/1048576,"")</f>
        <v/>
      </c>
      <c r="I203" s="124" t="str">
        <f>IF(ISNUMBER(namespace_raw[[#This Row],[Column8]]),MAX(G203, M203, O203, $I$2,IF(Q203&lt;&gt;"",VALUE(Q203),0)), "")</f>
        <v/>
      </c>
      <c r="J203" s="125" t="str">
        <f>IF(ISNUMBER(namespace_raw[[#This Row],[Column9]]),MAX(H203, N203, P203, $J$2,IF(R203&lt;&gt;"",VALUE(R203),0)),"")</f>
        <v/>
      </c>
      <c r="K203" s="166" t="str">
        <f>IF(ISNUMBER(namespace_raw[[#This Row],[Column12]]), namespace_raw[[#This Row],[Column12]],"")</f>
        <v/>
      </c>
      <c r="L203" s="167" t="str">
        <f>IF(ISNUMBER(namespace_raw[[#This Row],[Column13]]), namespace_raw[[#This Row],[Column13]]/1048576,"")</f>
        <v/>
      </c>
      <c r="M203" s="168" t="str">
        <f>IF(ISNUMBER(namespace_raw[[#This Row],[Column10]]), (namespace_raw[[#This Row],[Column10]]*(1+$M$2)),"")</f>
        <v/>
      </c>
      <c r="N203" s="167" t="str">
        <f>IF(ISNUMBER(namespace_raw[[#This Row],[Column11]]), (namespace_raw[[#This Row],[Column11]]*(1+$N$2))/1048576,"")</f>
        <v/>
      </c>
      <c r="O203" s="169" t="str">
        <f>IF(ISNUMBER(namespace_raw[[#This Row],[Column8]]), (E203  * $O$2),"")</f>
        <v/>
      </c>
      <c r="P203" s="170" t="str">
        <f>IF(ISNUMBER(namespace_raw[[#This Row],[Column8]]), (F203  * $P$2),"")</f>
        <v/>
      </c>
    </row>
    <row r="204" spans="1:16" ht="15" customHeight="1" x14ac:dyDescent="0.25">
      <c r="A204" s="32" t="str">
        <f>IF(ISNONTEXT(namespace_raw[[#This Row],[Column1]]), "", namespace_raw[[#This Row],[Column1]])</f>
        <v/>
      </c>
      <c r="B204" s="33" t="str">
        <f>IF(ISNONTEXT(namespace_raw[[#This Row],[Column2]]), "", namespace_raw[[#This Row],[Column2]])</f>
        <v/>
      </c>
      <c r="C204" s="94" t="str">
        <f>IF(ISNUMBER(namespace_raw[[#This Row],[Column4]]), namespace_raw[[#This Row],[Column4]], "")</f>
        <v/>
      </c>
      <c r="D204" s="95" t="str">
        <f>IF(ISNUMBER(namespace_raw[[#This Row],[Column5]]), namespace_raw[[#This Row],[Column5]]/1048576, "")</f>
        <v/>
      </c>
      <c r="E204" s="95" t="str">
        <f>IF(ISNUMBER(namespace_raw[[#This Row],[Column6]]), namespace_raw[[#This Row],[Column6]],"")</f>
        <v/>
      </c>
      <c r="F204" s="96" t="str">
        <f>IF(ISNUMBER(namespace_raw[[#This Row],[Column7]]), namespace_raw[[#This Row],[Column7]]/1048576,"")</f>
        <v/>
      </c>
      <c r="G204" s="122" t="str">
        <f>IF(ISNUMBER(namespace_raw[[#This Row],[Column8]]), namespace_raw[[#This Row],[Column8]],"")</f>
        <v/>
      </c>
      <c r="H204" s="123" t="str">
        <f>IF(ISNUMBER(namespace_raw[[#This Row],[Column9]]), namespace_raw[[#This Row],[Column9]]/1048576,"")</f>
        <v/>
      </c>
      <c r="I204" s="124" t="str">
        <f>IF(ISNUMBER(namespace_raw[[#This Row],[Column8]]),MAX(G204, M204, O204, $I$2,IF(Q204&lt;&gt;"",VALUE(Q204),0)), "")</f>
        <v/>
      </c>
      <c r="J204" s="125" t="str">
        <f>IF(ISNUMBER(namespace_raw[[#This Row],[Column9]]),MAX(H204, N204, P204, $J$2,IF(R204&lt;&gt;"",VALUE(R204),0)),"")</f>
        <v/>
      </c>
      <c r="K204" s="166" t="str">
        <f>IF(ISNUMBER(namespace_raw[[#This Row],[Column12]]), namespace_raw[[#This Row],[Column12]],"")</f>
        <v/>
      </c>
      <c r="L204" s="167" t="str">
        <f>IF(ISNUMBER(namespace_raw[[#This Row],[Column13]]), namespace_raw[[#This Row],[Column13]]/1048576,"")</f>
        <v/>
      </c>
      <c r="M204" s="168" t="str">
        <f>IF(ISNUMBER(namespace_raw[[#This Row],[Column10]]), (namespace_raw[[#This Row],[Column10]]*(1+$M$2)),"")</f>
        <v/>
      </c>
      <c r="N204" s="167" t="str">
        <f>IF(ISNUMBER(namespace_raw[[#This Row],[Column11]]), (namespace_raw[[#This Row],[Column11]]*(1+$N$2))/1048576,"")</f>
        <v/>
      </c>
      <c r="O204" s="169" t="str">
        <f>IF(ISNUMBER(namespace_raw[[#This Row],[Column8]]), (E204  * $O$2),"")</f>
        <v/>
      </c>
      <c r="P204" s="170" t="str">
        <f>IF(ISNUMBER(namespace_raw[[#This Row],[Column8]]), (F204  * $P$2),"")</f>
        <v/>
      </c>
    </row>
    <row r="205" spans="1:16" ht="15" customHeight="1" x14ac:dyDescent="0.25">
      <c r="A205" s="32" t="str">
        <f>IF(ISNONTEXT(namespace_raw[[#This Row],[Column1]]), "", namespace_raw[[#This Row],[Column1]])</f>
        <v/>
      </c>
      <c r="B205" s="33" t="str">
        <f>IF(ISNONTEXT(namespace_raw[[#This Row],[Column2]]), "", namespace_raw[[#This Row],[Column2]])</f>
        <v/>
      </c>
      <c r="C205" s="94" t="str">
        <f>IF(ISNUMBER(namespace_raw[[#This Row],[Column4]]), namespace_raw[[#This Row],[Column4]], "")</f>
        <v/>
      </c>
      <c r="D205" s="95" t="str">
        <f>IF(ISNUMBER(namespace_raw[[#This Row],[Column5]]), namespace_raw[[#This Row],[Column5]]/1048576, "")</f>
        <v/>
      </c>
      <c r="E205" s="95" t="str">
        <f>IF(ISNUMBER(namespace_raw[[#This Row],[Column6]]), namespace_raw[[#This Row],[Column6]],"")</f>
        <v/>
      </c>
      <c r="F205" s="96" t="str">
        <f>IF(ISNUMBER(namespace_raw[[#This Row],[Column7]]), namespace_raw[[#This Row],[Column7]]/1048576,"")</f>
        <v/>
      </c>
      <c r="G205" s="122" t="str">
        <f>IF(ISNUMBER(namespace_raw[[#This Row],[Column8]]), namespace_raw[[#This Row],[Column8]],"")</f>
        <v/>
      </c>
      <c r="H205" s="123" t="str">
        <f>IF(ISNUMBER(namespace_raw[[#This Row],[Column9]]), namespace_raw[[#This Row],[Column9]]/1048576,"")</f>
        <v/>
      </c>
      <c r="I205" s="124" t="str">
        <f>IF(ISNUMBER(namespace_raw[[#This Row],[Column8]]),MAX(G205, M205, O205, $I$2,IF(Q205&lt;&gt;"",VALUE(Q205),0)), "")</f>
        <v/>
      </c>
      <c r="J205" s="125" t="str">
        <f>IF(ISNUMBER(namespace_raw[[#This Row],[Column9]]),MAX(H205, N205, P205, $J$2,IF(R205&lt;&gt;"",VALUE(R205),0)),"")</f>
        <v/>
      </c>
      <c r="K205" s="166" t="str">
        <f>IF(ISNUMBER(namespace_raw[[#This Row],[Column12]]), namespace_raw[[#This Row],[Column12]],"")</f>
        <v/>
      </c>
      <c r="L205" s="167" t="str">
        <f>IF(ISNUMBER(namespace_raw[[#This Row],[Column13]]), namespace_raw[[#This Row],[Column13]]/1048576,"")</f>
        <v/>
      </c>
      <c r="M205" s="168" t="str">
        <f>IF(ISNUMBER(namespace_raw[[#This Row],[Column10]]), (namespace_raw[[#This Row],[Column10]]*(1+$M$2)),"")</f>
        <v/>
      </c>
      <c r="N205" s="167" t="str">
        <f>IF(ISNUMBER(namespace_raw[[#This Row],[Column11]]), (namespace_raw[[#This Row],[Column11]]*(1+$N$2))/1048576,"")</f>
        <v/>
      </c>
      <c r="O205" s="169" t="str">
        <f>IF(ISNUMBER(namespace_raw[[#This Row],[Column8]]), (E205  * $O$2),"")</f>
        <v/>
      </c>
      <c r="P205" s="170" t="str">
        <f>IF(ISNUMBER(namespace_raw[[#This Row],[Column8]]), (F205  * $P$2),"")</f>
        <v/>
      </c>
    </row>
    <row r="206" spans="1:16" ht="15" customHeight="1" x14ac:dyDescent="0.25">
      <c r="A206" s="32" t="str">
        <f>IF(ISNONTEXT(namespace_raw[[#This Row],[Column1]]), "", namespace_raw[[#This Row],[Column1]])</f>
        <v/>
      </c>
      <c r="B206" s="33" t="str">
        <f>IF(ISNONTEXT(namespace_raw[[#This Row],[Column2]]), "", namespace_raw[[#This Row],[Column2]])</f>
        <v/>
      </c>
      <c r="C206" s="94" t="str">
        <f>IF(ISNUMBER(namespace_raw[[#This Row],[Column4]]), namespace_raw[[#This Row],[Column4]], "")</f>
        <v/>
      </c>
      <c r="D206" s="95" t="str">
        <f>IF(ISNUMBER(namespace_raw[[#This Row],[Column5]]), namespace_raw[[#This Row],[Column5]]/1048576, "")</f>
        <v/>
      </c>
      <c r="E206" s="95" t="str">
        <f>IF(ISNUMBER(namespace_raw[[#This Row],[Column6]]), namespace_raw[[#This Row],[Column6]],"")</f>
        <v/>
      </c>
      <c r="F206" s="96" t="str">
        <f>IF(ISNUMBER(namespace_raw[[#This Row],[Column7]]), namespace_raw[[#This Row],[Column7]]/1048576,"")</f>
        <v/>
      </c>
      <c r="G206" s="122" t="str">
        <f>IF(ISNUMBER(namespace_raw[[#This Row],[Column8]]), namespace_raw[[#This Row],[Column8]],"")</f>
        <v/>
      </c>
      <c r="H206" s="123" t="str">
        <f>IF(ISNUMBER(namespace_raw[[#This Row],[Column9]]), namespace_raw[[#This Row],[Column9]]/1048576,"")</f>
        <v/>
      </c>
      <c r="I206" s="124" t="str">
        <f>IF(ISNUMBER(namespace_raw[[#This Row],[Column8]]),MAX(G206, M206, O206, $I$2,IF(Q206&lt;&gt;"",VALUE(Q206),0)), "")</f>
        <v/>
      </c>
      <c r="J206" s="125" t="str">
        <f>IF(ISNUMBER(namespace_raw[[#This Row],[Column9]]),MAX(H206, N206, P206, $J$2,IF(R206&lt;&gt;"",VALUE(R206),0)),"")</f>
        <v/>
      </c>
      <c r="K206" s="166" t="str">
        <f>IF(ISNUMBER(namespace_raw[[#This Row],[Column12]]), namespace_raw[[#This Row],[Column12]],"")</f>
        <v/>
      </c>
      <c r="L206" s="167" t="str">
        <f>IF(ISNUMBER(namespace_raw[[#This Row],[Column13]]), namespace_raw[[#This Row],[Column13]]/1048576,"")</f>
        <v/>
      </c>
      <c r="M206" s="168" t="str">
        <f>IF(ISNUMBER(namespace_raw[[#This Row],[Column10]]), (namespace_raw[[#This Row],[Column10]]*(1+$M$2)),"")</f>
        <v/>
      </c>
      <c r="N206" s="167" t="str">
        <f>IF(ISNUMBER(namespace_raw[[#This Row],[Column11]]), (namespace_raw[[#This Row],[Column11]]*(1+$N$2))/1048576,"")</f>
        <v/>
      </c>
      <c r="O206" s="169" t="str">
        <f>IF(ISNUMBER(namespace_raw[[#This Row],[Column8]]), (E206  * $O$2),"")</f>
        <v/>
      </c>
      <c r="P206" s="170" t="str">
        <f>IF(ISNUMBER(namespace_raw[[#This Row],[Column8]]), (F206  * $P$2),"")</f>
        <v/>
      </c>
    </row>
    <row r="207" spans="1:16" ht="15" customHeight="1" x14ac:dyDescent="0.25">
      <c r="A207" s="32" t="str">
        <f>IF(ISNONTEXT(namespace_raw[[#This Row],[Column1]]), "", namespace_raw[[#This Row],[Column1]])</f>
        <v/>
      </c>
      <c r="B207" s="33" t="str">
        <f>IF(ISNONTEXT(namespace_raw[[#This Row],[Column2]]), "", namespace_raw[[#This Row],[Column2]])</f>
        <v/>
      </c>
      <c r="C207" s="94" t="str">
        <f>IF(ISNUMBER(namespace_raw[[#This Row],[Column4]]), namespace_raw[[#This Row],[Column4]], "")</f>
        <v/>
      </c>
      <c r="D207" s="95" t="str">
        <f>IF(ISNUMBER(namespace_raw[[#This Row],[Column5]]), namespace_raw[[#This Row],[Column5]]/1048576, "")</f>
        <v/>
      </c>
      <c r="E207" s="95" t="str">
        <f>IF(ISNUMBER(namespace_raw[[#This Row],[Column6]]), namespace_raw[[#This Row],[Column6]],"")</f>
        <v/>
      </c>
      <c r="F207" s="96" t="str">
        <f>IF(ISNUMBER(namespace_raw[[#This Row],[Column7]]), namespace_raw[[#This Row],[Column7]]/1048576,"")</f>
        <v/>
      </c>
      <c r="G207" s="122" t="str">
        <f>IF(ISNUMBER(namespace_raw[[#This Row],[Column8]]), namespace_raw[[#This Row],[Column8]],"")</f>
        <v/>
      </c>
      <c r="H207" s="123" t="str">
        <f>IF(ISNUMBER(namespace_raw[[#This Row],[Column9]]), namespace_raw[[#This Row],[Column9]]/1048576,"")</f>
        <v/>
      </c>
      <c r="I207" s="124" t="str">
        <f>IF(ISNUMBER(namespace_raw[[#This Row],[Column8]]),MAX(G207, M207, O207, $I$2,IF(Q207&lt;&gt;"",VALUE(Q207),0)), "")</f>
        <v/>
      </c>
      <c r="J207" s="125" t="str">
        <f>IF(ISNUMBER(namespace_raw[[#This Row],[Column9]]),MAX(H207, N207, P207, $J$2,IF(R207&lt;&gt;"",VALUE(R207),0)),"")</f>
        <v/>
      </c>
      <c r="K207" s="166" t="str">
        <f>IF(ISNUMBER(namespace_raw[[#This Row],[Column12]]), namespace_raw[[#This Row],[Column12]],"")</f>
        <v/>
      </c>
      <c r="L207" s="167" t="str">
        <f>IF(ISNUMBER(namespace_raw[[#This Row],[Column13]]), namespace_raw[[#This Row],[Column13]]/1048576,"")</f>
        <v/>
      </c>
      <c r="M207" s="168" t="str">
        <f>IF(ISNUMBER(namespace_raw[[#This Row],[Column10]]), (namespace_raw[[#This Row],[Column10]]*(1+$M$2)),"")</f>
        <v/>
      </c>
      <c r="N207" s="167" t="str">
        <f>IF(ISNUMBER(namespace_raw[[#This Row],[Column11]]), (namespace_raw[[#This Row],[Column11]]*(1+$N$2))/1048576,"")</f>
        <v/>
      </c>
      <c r="O207" s="169" t="str">
        <f>IF(ISNUMBER(namespace_raw[[#This Row],[Column8]]), (E207  * $O$2),"")</f>
        <v/>
      </c>
      <c r="P207" s="170" t="str">
        <f>IF(ISNUMBER(namespace_raw[[#This Row],[Column8]]), (F207  * $P$2),"")</f>
        <v/>
      </c>
    </row>
    <row r="208" spans="1:16" ht="15" customHeight="1" x14ac:dyDescent="0.25">
      <c r="A208" s="32" t="str">
        <f>IF(ISNONTEXT(namespace_raw[[#This Row],[Column1]]), "", namespace_raw[[#This Row],[Column1]])</f>
        <v/>
      </c>
      <c r="B208" s="33" t="str">
        <f>IF(ISNONTEXT(namespace_raw[[#This Row],[Column2]]), "", namespace_raw[[#This Row],[Column2]])</f>
        <v/>
      </c>
      <c r="C208" s="94" t="str">
        <f>IF(ISNUMBER(namespace_raw[[#This Row],[Column4]]), namespace_raw[[#This Row],[Column4]], "")</f>
        <v/>
      </c>
      <c r="D208" s="95" t="str">
        <f>IF(ISNUMBER(namespace_raw[[#This Row],[Column5]]), namespace_raw[[#This Row],[Column5]]/1048576, "")</f>
        <v/>
      </c>
      <c r="E208" s="95" t="str">
        <f>IF(ISNUMBER(namespace_raw[[#This Row],[Column6]]), namespace_raw[[#This Row],[Column6]],"")</f>
        <v/>
      </c>
      <c r="F208" s="96" t="str">
        <f>IF(ISNUMBER(namespace_raw[[#This Row],[Column7]]), namespace_raw[[#This Row],[Column7]]/1048576,"")</f>
        <v/>
      </c>
      <c r="G208" s="122" t="str">
        <f>IF(ISNUMBER(namespace_raw[[#This Row],[Column8]]), namespace_raw[[#This Row],[Column8]],"")</f>
        <v/>
      </c>
      <c r="H208" s="123" t="str">
        <f>IF(ISNUMBER(namespace_raw[[#This Row],[Column9]]), namespace_raw[[#This Row],[Column9]]/1048576,"")</f>
        <v/>
      </c>
      <c r="I208" s="124" t="str">
        <f>IF(ISNUMBER(namespace_raw[[#This Row],[Column8]]),MAX(G208, M208, O208, $I$2,IF(Q208&lt;&gt;"",VALUE(Q208),0)), "")</f>
        <v/>
      </c>
      <c r="J208" s="125" t="str">
        <f>IF(ISNUMBER(namespace_raw[[#This Row],[Column9]]),MAX(H208, N208, P208, $J$2,IF(R208&lt;&gt;"",VALUE(R208),0)),"")</f>
        <v/>
      </c>
      <c r="K208" s="166" t="str">
        <f>IF(ISNUMBER(namespace_raw[[#This Row],[Column12]]), namespace_raw[[#This Row],[Column12]],"")</f>
        <v/>
      </c>
      <c r="L208" s="167" t="str">
        <f>IF(ISNUMBER(namespace_raw[[#This Row],[Column13]]), namespace_raw[[#This Row],[Column13]]/1048576,"")</f>
        <v/>
      </c>
      <c r="M208" s="168" t="str">
        <f>IF(ISNUMBER(namespace_raw[[#This Row],[Column10]]), (namespace_raw[[#This Row],[Column10]]*(1+$M$2)),"")</f>
        <v/>
      </c>
      <c r="N208" s="167" t="str">
        <f>IF(ISNUMBER(namespace_raw[[#This Row],[Column11]]), (namespace_raw[[#This Row],[Column11]]*(1+$N$2))/1048576,"")</f>
        <v/>
      </c>
      <c r="O208" s="169" t="str">
        <f>IF(ISNUMBER(namespace_raw[[#This Row],[Column8]]), (E208  * $O$2),"")</f>
        <v/>
      </c>
      <c r="P208" s="170" t="str">
        <f>IF(ISNUMBER(namespace_raw[[#This Row],[Column8]]), (F208  * $P$2),"")</f>
        <v/>
      </c>
    </row>
    <row r="209" spans="1:16" ht="15" customHeight="1" x14ac:dyDescent="0.25">
      <c r="A209" s="32" t="str">
        <f>IF(ISNONTEXT(namespace_raw[[#This Row],[Column1]]), "", namespace_raw[[#This Row],[Column1]])</f>
        <v/>
      </c>
      <c r="B209" s="33" t="str">
        <f>IF(ISNONTEXT(namespace_raw[[#This Row],[Column2]]), "", namespace_raw[[#This Row],[Column2]])</f>
        <v/>
      </c>
      <c r="C209" s="94" t="str">
        <f>IF(ISNUMBER(namespace_raw[[#This Row],[Column4]]), namespace_raw[[#This Row],[Column4]], "")</f>
        <v/>
      </c>
      <c r="D209" s="95" t="str">
        <f>IF(ISNUMBER(namespace_raw[[#This Row],[Column5]]), namespace_raw[[#This Row],[Column5]]/1048576, "")</f>
        <v/>
      </c>
      <c r="E209" s="95" t="str">
        <f>IF(ISNUMBER(namespace_raw[[#This Row],[Column6]]), namespace_raw[[#This Row],[Column6]],"")</f>
        <v/>
      </c>
      <c r="F209" s="96" t="str">
        <f>IF(ISNUMBER(namespace_raw[[#This Row],[Column7]]), namespace_raw[[#This Row],[Column7]]/1048576,"")</f>
        <v/>
      </c>
      <c r="G209" s="122" t="str">
        <f>IF(ISNUMBER(namespace_raw[[#This Row],[Column8]]), namespace_raw[[#This Row],[Column8]],"")</f>
        <v/>
      </c>
      <c r="H209" s="123" t="str">
        <f>IF(ISNUMBER(namespace_raw[[#This Row],[Column9]]), namespace_raw[[#This Row],[Column9]]/1048576,"")</f>
        <v/>
      </c>
      <c r="I209" s="124" t="str">
        <f>IF(ISNUMBER(namespace_raw[[#This Row],[Column8]]),MAX(G209, M209, O209, $I$2,IF(Q209&lt;&gt;"",VALUE(Q209),0)), "")</f>
        <v/>
      </c>
      <c r="J209" s="125" t="str">
        <f>IF(ISNUMBER(namespace_raw[[#This Row],[Column9]]),MAX(H209, N209, P209, $J$2,IF(R209&lt;&gt;"",VALUE(R209),0)),"")</f>
        <v/>
      </c>
      <c r="K209" s="166" t="str">
        <f>IF(ISNUMBER(namespace_raw[[#This Row],[Column12]]), namespace_raw[[#This Row],[Column12]],"")</f>
        <v/>
      </c>
      <c r="L209" s="167" t="str">
        <f>IF(ISNUMBER(namespace_raw[[#This Row],[Column13]]), namespace_raw[[#This Row],[Column13]]/1048576,"")</f>
        <v/>
      </c>
      <c r="M209" s="168" t="str">
        <f>IF(ISNUMBER(namespace_raw[[#This Row],[Column10]]), (namespace_raw[[#This Row],[Column10]]*(1+$M$2)),"")</f>
        <v/>
      </c>
      <c r="N209" s="167" t="str">
        <f>IF(ISNUMBER(namespace_raw[[#This Row],[Column11]]), (namespace_raw[[#This Row],[Column11]]*(1+$N$2))/1048576,"")</f>
        <v/>
      </c>
      <c r="O209" s="169" t="str">
        <f>IF(ISNUMBER(namespace_raw[[#This Row],[Column8]]), (E209  * $O$2),"")</f>
        <v/>
      </c>
      <c r="P209" s="170" t="str">
        <f>IF(ISNUMBER(namespace_raw[[#This Row],[Column8]]), (F209  * $P$2),"")</f>
        <v/>
      </c>
    </row>
    <row r="210" spans="1:16" ht="15" customHeight="1" x14ac:dyDescent="0.25">
      <c r="A210" s="32" t="str">
        <f>IF(ISNONTEXT(namespace_raw[[#This Row],[Column1]]), "", namespace_raw[[#This Row],[Column1]])</f>
        <v/>
      </c>
      <c r="B210" s="33" t="str">
        <f>IF(ISNONTEXT(namespace_raw[[#This Row],[Column2]]), "", namespace_raw[[#This Row],[Column2]])</f>
        <v/>
      </c>
      <c r="C210" s="94" t="str">
        <f>IF(ISNUMBER(namespace_raw[[#This Row],[Column4]]), namespace_raw[[#This Row],[Column4]], "")</f>
        <v/>
      </c>
      <c r="D210" s="95" t="str">
        <f>IF(ISNUMBER(namespace_raw[[#This Row],[Column5]]), namespace_raw[[#This Row],[Column5]]/1048576, "")</f>
        <v/>
      </c>
      <c r="E210" s="95" t="str">
        <f>IF(ISNUMBER(namespace_raw[[#This Row],[Column6]]), namespace_raw[[#This Row],[Column6]],"")</f>
        <v/>
      </c>
      <c r="F210" s="96" t="str">
        <f>IF(ISNUMBER(namespace_raw[[#This Row],[Column7]]), namespace_raw[[#This Row],[Column7]]/1048576,"")</f>
        <v/>
      </c>
      <c r="G210" s="122" t="str">
        <f>IF(ISNUMBER(namespace_raw[[#This Row],[Column8]]), namespace_raw[[#This Row],[Column8]],"")</f>
        <v/>
      </c>
      <c r="H210" s="123" t="str">
        <f>IF(ISNUMBER(namespace_raw[[#This Row],[Column9]]), namespace_raw[[#This Row],[Column9]]/1048576,"")</f>
        <v/>
      </c>
      <c r="I210" s="124" t="str">
        <f>IF(ISNUMBER(namespace_raw[[#This Row],[Column8]]),MAX(G210, M210, O210, $I$2,IF(Q210&lt;&gt;"",VALUE(Q210),0)), "")</f>
        <v/>
      </c>
      <c r="J210" s="125" t="str">
        <f>IF(ISNUMBER(namespace_raw[[#This Row],[Column9]]),MAX(H210, N210, P210, $J$2,IF(R210&lt;&gt;"",VALUE(R210),0)),"")</f>
        <v/>
      </c>
      <c r="K210" s="166" t="str">
        <f>IF(ISNUMBER(namespace_raw[[#This Row],[Column12]]), namespace_raw[[#This Row],[Column12]],"")</f>
        <v/>
      </c>
      <c r="L210" s="167" t="str">
        <f>IF(ISNUMBER(namespace_raw[[#This Row],[Column13]]), namespace_raw[[#This Row],[Column13]]/1048576,"")</f>
        <v/>
      </c>
      <c r="M210" s="168" t="str">
        <f>IF(ISNUMBER(namespace_raw[[#This Row],[Column10]]), (namespace_raw[[#This Row],[Column10]]*(1+$M$2)),"")</f>
        <v/>
      </c>
      <c r="N210" s="167" t="str">
        <f>IF(ISNUMBER(namespace_raw[[#This Row],[Column11]]), (namespace_raw[[#This Row],[Column11]]*(1+$N$2))/1048576,"")</f>
        <v/>
      </c>
      <c r="O210" s="169" t="str">
        <f>IF(ISNUMBER(namespace_raw[[#This Row],[Column8]]), (E210  * $O$2),"")</f>
        <v/>
      </c>
      <c r="P210" s="170" t="str">
        <f>IF(ISNUMBER(namespace_raw[[#This Row],[Column8]]), (F210  * $P$2),"")</f>
        <v/>
      </c>
    </row>
    <row r="211" spans="1:16" ht="15" customHeight="1" x14ac:dyDescent="0.25">
      <c r="A211" s="32" t="str">
        <f>IF(ISNONTEXT(namespace_raw[[#This Row],[Column1]]), "", namespace_raw[[#This Row],[Column1]])</f>
        <v/>
      </c>
      <c r="B211" s="33" t="str">
        <f>IF(ISNONTEXT(namespace_raw[[#This Row],[Column2]]), "", namespace_raw[[#This Row],[Column2]])</f>
        <v/>
      </c>
      <c r="C211" s="94" t="str">
        <f>IF(ISNUMBER(namespace_raw[[#This Row],[Column4]]), namespace_raw[[#This Row],[Column4]], "")</f>
        <v/>
      </c>
      <c r="D211" s="95" t="str">
        <f>IF(ISNUMBER(namespace_raw[[#This Row],[Column5]]), namespace_raw[[#This Row],[Column5]]/1048576, "")</f>
        <v/>
      </c>
      <c r="E211" s="95" t="str">
        <f>IF(ISNUMBER(namespace_raw[[#This Row],[Column6]]), namespace_raw[[#This Row],[Column6]],"")</f>
        <v/>
      </c>
      <c r="F211" s="96" t="str">
        <f>IF(ISNUMBER(namespace_raw[[#This Row],[Column7]]), namespace_raw[[#This Row],[Column7]]/1048576,"")</f>
        <v/>
      </c>
      <c r="G211" s="122" t="str">
        <f>IF(ISNUMBER(namespace_raw[[#This Row],[Column8]]), namespace_raw[[#This Row],[Column8]],"")</f>
        <v/>
      </c>
      <c r="H211" s="123" t="str">
        <f>IF(ISNUMBER(namespace_raw[[#This Row],[Column9]]), namespace_raw[[#This Row],[Column9]]/1048576,"")</f>
        <v/>
      </c>
      <c r="I211" s="124" t="str">
        <f>IF(ISNUMBER(namespace_raw[[#This Row],[Column8]]),MAX(G211, M211, O211, $I$2,IF(Q211&lt;&gt;"",VALUE(Q211),0)), "")</f>
        <v/>
      </c>
      <c r="J211" s="125" t="str">
        <f>IF(ISNUMBER(namespace_raw[[#This Row],[Column9]]),MAX(H211, N211, P211, $J$2,IF(R211&lt;&gt;"",VALUE(R211),0)),"")</f>
        <v/>
      </c>
      <c r="K211" s="166" t="str">
        <f>IF(ISNUMBER(namespace_raw[[#This Row],[Column12]]), namespace_raw[[#This Row],[Column12]],"")</f>
        <v/>
      </c>
      <c r="L211" s="167" t="str">
        <f>IF(ISNUMBER(namespace_raw[[#This Row],[Column13]]), namespace_raw[[#This Row],[Column13]]/1048576,"")</f>
        <v/>
      </c>
      <c r="M211" s="168" t="str">
        <f>IF(ISNUMBER(namespace_raw[[#This Row],[Column10]]), (namespace_raw[[#This Row],[Column10]]*(1+$M$2)),"")</f>
        <v/>
      </c>
      <c r="N211" s="167" t="str">
        <f>IF(ISNUMBER(namespace_raw[[#This Row],[Column11]]), (namespace_raw[[#This Row],[Column11]]*(1+$N$2))/1048576,"")</f>
        <v/>
      </c>
      <c r="O211" s="169" t="str">
        <f>IF(ISNUMBER(namespace_raw[[#This Row],[Column8]]), (E211  * $O$2),"")</f>
        <v/>
      </c>
      <c r="P211" s="170" t="str">
        <f>IF(ISNUMBER(namespace_raw[[#This Row],[Column8]]), (F211  * $P$2),"")</f>
        <v/>
      </c>
    </row>
    <row r="212" spans="1:16" ht="15" customHeight="1" x14ac:dyDescent="0.25">
      <c r="A212" s="32" t="str">
        <f>IF(ISNONTEXT(namespace_raw[[#This Row],[Column1]]), "", namespace_raw[[#This Row],[Column1]])</f>
        <v/>
      </c>
      <c r="B212" s="33" t="str">
        <f>IF(ISNONTEXT(namespace_raw[[#This Row],[Column2]]), "", namespace_raw[[#This Row],[Column2]])</f>
        <v/>
      </c>
      <c r="C212" s="94" t="str">
        <f>IF(ISNUMBER(namespace_raw[[#This Row],[Column4]]), namespace_raw[[#This Row],[Column4]], "")</f>
        <v/>
      </c>
      <c r="D212" s="95" t="str">
        <f>IF(ISNUMBER(namespace_raw[[#This Row],[Column5]]), namespace_raw[[#This Row],[Column5]]/1048576, "")</f>
        <v/>
      </c>
      <c r="E212" s="95" t="str">
        <f>IF(ISNUMBER(namespace_raw[[#This Row],[Column6]]), namespace_raw[[#This Row],[Column6]],"")</f>
        <v/>
      </c>
      <c r="F212" s="96" t="str">
        <f>IF(ISNUMBER(namespace_raw[[#This Row],[Column7]]), namespace_raw[[#This Row],[Column7]]/1048576,"")</f>
        <v/>
      </c>
      <c r="G212" s="122" t="str">
        <f>IF(ISNUMBER(namespace_raw[[#This Row],[Column8]]), namespace_raw[[#This Row],[Column8]],"")</f>
        <v/>
      </c>
      <c r="H212" s="123" t="str">
        <f>IF(ISNUMBER(namespace_raw[[#This Row],[Column9]]), namespace_raw[[#This Row],[Column9]]/1048576,"")</f>
        <v/>
      </c>
      <c r="I212" s="124" t="str">
        <f>IF(ISNUMBER(namespace_raw[[#This Row],[Column8]]),MAX(G212, M212, O212, $I$2,IF(Q212&lt;&gt;"",VALUE(Q212),0)), "")</f>
        <v/>
      </c>
      <c r="J212" s="125" t="str">
        <f>IF(ISNUMBER(namespace_raw[[#This Row],[Column9]]),MAX(H212, N212, P212, $J$2,IF(R212&lt;&gt;"",VALUE(R212),0)),"")</f>
        <v/>
      </c>
      <c r="K212" s="166" t="str">
        <f>IF(ISNUMBER(namespace_raw[[#This Row],[Column12]]), namespace_raw[[#This Row],[Column12]],"")</f>
        <v/>
      </c>
      <c r="L212" s="167" t="str">
        <f>IF(ISNUMBER(namespace_raw[[#This Row],[Column13]]), namespace_raw[[#This Row],[Column13]]/1048576,"")</f>
        <v/>
      </c>
      <c r="M212" s="168" t="str">
        <f>IF(ISNUMBER(namespace_raw[[#This Row],[Column10]]), (namespace_raw[[#This Row],[Column10]]*(1+$M$2)),"")</f>
        <v/>
      </c>
      <c r="N212" s="167" t="str">
        <f>IF(ISNUMBER(namespace_raw[[#This Row],[Column11]]), (namespace_raw[[#This Row],[Column11]]*(1+$N$2))/1048576,"")</f>
        <v/>
      </c>
      <c r="O212" s="169" t="str">
        <f>IF(ISNUMBER(namespace_raw[[#This Row],[Column8]]), (E212  * $O$2),"")</f>
        <v/>
      </c>
      <c r="P212" s="170" t="str">
        <f>IF(ISNUMBER(namespace_raw[[#This Row],[Column8]]), (F212  * $P$2),"")</f>
        <v/>
      </c>
    </row>
    <row r="213" spans="1:16" ht="15" customHeight="1" x14ac:dyDescent="0.25">
      <c r="A213" s="32" t="str">
        <f>IF(ISNONTEXT(namespace_raw[[#This Row],[Column1]]), "", namespace_raw[[#This Row],[Column1]])</f>
        <v/>
      </c>
      <c r="B213" s="33" t="str">
        <f>IF(ISNONTEXT(namespace_raw[[#This Row],[Column2]]), "", namespace_raw[[#This Row],[Column2]])</f>
        <v/>
      </c>
      <c r="C213" s="94" t="str">
        <f>IF(ISNUMBER(namespace_raw[[#This Row],[Column4]]), namespace_raw[[#This Row],[Column4]], "")</f>
        <v/>
      </c>
      <c r="D213" s="95" t="str">
        <f>IF(ISNUMBER(namespace_raw[[#This Row],[Column5]]), namespace_raw[[#This Row],[Column5]]/1048576, "")</f>
        <v/>
      </c>
      <c r="E213" s="95" t="str">
        <f>IF(ISNUMBER(namespace_raw[[#This Row],[Column6]]), namespace_raw[[#This Row],[Column6]],"")</f>
        <v/>
      </c>
      <c r="F213" s="96" t="str">
        <f>IF(ISNUMBER(namespace_raw[[#This Row],[Column7]]), namespace_raw[[#This Row],[Column7]]/1048576,"")</f>
        <v/>
      </c>
      <c r="G213" s="122" t="str">
        <f>IF(ISNUMBER(namespace_raw[[#This Row],[Column8]]), namespace_raw[[#This Row],[Column8]],"")</f>
        <v/>
      </c>
      <c r="H213" s="123" t="str">
        <f>IF(ISNUMBER(namespace_raw[[#This Row],[Column9]]), namespace_raw[[#This Row],[Column9]]/1048576,"")</f>
        <v/>
      </c>
      <c r="I213" s="124" t="str">
        <f>IF(ISNUMBER(namespace_raw[[#This Row],[Column8]]),MAX(G213, M213, O213, $I$2,IF(Q213&lt;&gt;"",VALUE(Q213),0)), "")</f>
        <v/>
      </c>
      <c r="J213" s="125" t="str">
        <f>IF(ISNUMBER(namespace_raw[[#This Row],[Column9]]),MAX(H213, N213, P213, $J$2,IF(R213&lt;&gt;"",VALUE(R213),0)),"")</f>
        <v/>
      </c>
      <c r="K213" s="166" t="str">
        <f>IF(ISNUMBER(namespace_raw[[#This Row],[Column12]]), namespace_raw[[#This Row],[Column12]],"")</f>
        <v/>
      </c>
      <c r="L213" s="167" t="str">
        <f>IF(ISNUMBER(namespace_raw[[#This Row],[Column13]]), namespace_raw[[#This Row],[Column13]]/1048576,"")</f>
        <v/>
      </c>
      <c r="M213" s="168" t="str">
        <f>IF(ISNUMBER(namespace_raw[[#This Row],[Column10]]), (namespace_raw[[#This Row],[Column10]]*(1+$M$2)),"")</f>
        <v/>
      </c>
      <c r="N213" s="167" t="str">
        <f>IF(ISNUMBER(namespace_raw[[#This Row],[Column11]]), (namespace_raw[[#This Row],[Column11]]*(1+$N$2))/1048576,"")</f>
        <v/>
      </c>
      <c r="O213" s="169" t="str">
        <f>IF(ISNUMBER(namespace_raw[[#This Row],[Column8]]), (E213  * $O$2),"")</f>
        <v/>
      </c>
      <c r="P213" s="170" t="str">
        <f>IF(ISNUMBER(namespace_raw[[#This Row],[Column8]]), (F213  * $P$2),"")</f>
        <v/>
      </c>
    </row>
    <row r="214" spans="1:16" ht="15" customHeight="1" x14ac:dyDescent="0.25">
      <c r="A214" s="32" t="str">
        <f>IF(ISNONTEXT(namespace_raw[[#This Row],[Column1]]), "", namespace_raw[[#This Row],[Column1]])</f>
        <v/>
      </c>
      <c r="B214" s="33" t="str">
        <f>IF(ISNONTEXT(namespace_raw[[#This Row],[Column2]]), "", namespace_raw[[#This Row],[Column2]])</f>
        <v/>
      </c>
      <c r="C214" s="94" t="str">
        <f>IF(ISNUMBER(namespace_raw[[#This Row],[Column4]]), namespace_raw[[#This Row],[Column4]], "")</f>
        <v/>
      </c>
      <c r="D214" s="95" t="str">
        <f>IF(ISNUMBER(namespace_raw[[#This Row],[Column5]]), namespace_raw[[#This Row],[Column5]]/1048576, "")</f>
        <v/>
      </c>
      <c r="E214" s="95" t="str">
        <f>IF(ISNUMBER(namespace_raw[[#This Row],[Column6]]), namespace_raw[[#This Row],[Column6]],"")</f>
        <v/>
      </c>
      <c r="F214" s="96" t="str">
        <f>IF(ISNUMBER(namespace_raw[[#This Row],[Column7]]), namespace_raw[[#This Row],[Column7]]/1048576,"")</f>
        <v/>
      </c>
      <c r="G214" s="122" t="str">
        <f>IF(ISNUMBER(namespace_raw[[#This Row],[Column8]]), namespace_raw[[#This Row],[Column8]],"")</f>
        <v/>
      </c>
      <c r="H214" s="123" t="str">
        <f>IF(ISNUMBER(namespace_raw[[#This Row],[Column9]]), namespace_raw[[#This Row],[Column9]]/1048576,"")</f>
        <v/>
      </c>
      <c r="I214" s="124" t="str">
        <f>IF(ISNUMBER(namespace_raw[[#This Row],[Column8]]),MAX(G214, M214, O214, $I$2,IF(Q214&lt;&gt;"",VALUE(Q214),0)), "")</f>
        <v/>
      </c>
      <c r="J214" s="125" t="str">
        <f>IF(ISNUMBER(namespace_raw[[#This Row],[Column9]]),MAX(H214, N214, P214, $J$2,IF(R214&lt;&gt;"",VALUE(R214),0)),"")</f>
        <v/>
      </c>
      <c r="K214" s="166" t="str">
        <f>IF(ISNUMBER(namespace_raw[[#This Row],[Column12]]), namespace_raw[[#This Row],[Column12]],"")</f>
        <v/>
      </c>
      <c r="L214" s="167" t="str">
        <f>IF(ISNUMBER(namespace_raw[[#This Row],[Column13]]), namespace_raw[[#This Row],[Column13]]/1048576,"")</f>
        <v/>
      </c>
      <c r="M214" s="168" t="str">
        <f>IF(ISNUMBER(namespace_raw[[#This Row],[Column10]]), (namespace_raw[[#This Row],[Column10]]*(1+$M$2)),"")</f>
        <v/>
      </c>
      <c r="N214" s="167" t="str">
        <f>IF(ISNUMBER(namespace_raw[[#This Row],[Column11]]), (namespace_raw[[#This Row],[Column11]]*(1+$N$2))/1048576,"")</f>
        <v/>
      </c>
      <c r="O214" s="169" t="str">
        <f>IF(ISNUMBER(namespace_raw[[#This Row],[Column8]]), (E214  * $O$2),"")</f>
        <v/>
      </c>
      <c r="P214" s="170" t="str">
        <f>IF(ISNUMBER(namespace_raw[[#This Row],[Column8]]), (F214  * $P$2),"")</f>
        <v/>
      </c>
    </row>
    <row r="215" spans="1:16" ht="15" customHeight="1" x14ac:dyDescent="0.25">
      <c r="A215" s="32" t="str">
        <f>IF(ISNONTEXT(namespace_raw[[#This Row],[Column1]]), "", namespace_raw[[#This Row],[Column1]])</f>
        <v/>
      </c>
      <c r="B215" s="33" t="str">
        <f>IF(ISNONTEXT(namespace_raw[[#This Row],[Column2]]), "", namespace_raw[[#This Row],[Column2]])</f>
        <v/>
      </c>
      <c r="C215" s="94" t="str">
        <f>IF(ISNUMBER(namespace_raw[[#This Row],[Column4]]), namespace_raw[[#This Row],[Column4]], "")</f>
        <v/>
      </c>
      <c r="D215" s="95" t="str">
        <f>IF(ISNUMBER(namespace_raw[[#This Row],[Column5]]), namespace_raw[[#This Row],[Column5]]/1048576, "")</f>
        <v/>
      </c>
      <c r="E215" s="95" t="str">
        <f>IF(ISNUMBER(namespace_raw[[#This Row],[Column6]]), namespace_raw[[#This Row],[Column6]],"")</f>
        <v/>
      </c>
      <c r="F215" s="96" t="str">
        <f>IF(ISNUMBER(namespace_raw[[#This Row],[Column7]]), namespace_raw[[#This Row],[Column7]]/1048576,"")</f>
        <v/>
      </c>
      <c r="G215" s="122" t="str">
        <f>IF(ISNUMBER(namespace_raw[[#This Row],[Column8]]), namespace_raw[[#This Row],[Column8]],"")</f>
        <v/>
      </c>
      <c r="H215" s="123" t="str">
        <f>IF(ISNUMBER(namespace_raw[[#This Row],[Column9]]), namespace_raw[[#This Row],[Column9]]/1048576,"")</f>
        <v/>
      </c>
      <c r="I215" s="124" t="str">
        <f>IF(ISNUMBER(namespace_raw[[#This Row],[Column8]]),MAX(G215, M215, O215, $I$2,IF(Q215&lt;&gt;"",VALUE(Q215),0)), "")</f>
        <v/>
      </c>
      <c r="J215" s="125" t="str">
        <f>IF(ISNUMBER(namespace_raw[[#This Row],[Column9]]),MAX(H215, N215, P215, $J$2,IF(R215&lt;&gt;"",VALUE(R215),0)),"")</f>
        <v/>
      </c>
      <c r="K215" s="166" t="str">
        <f>IF(ISNUMBER(namespace_raw[[#This Row],[Column12]]), namespace_raw[[#This Row],[Column12]],"")</f>
        <v/>
      </c>
      <c r="L215" s="167" t="str">
        <f>IF(ISNUMBER(namespace_raw[[#This Row],[Column13]]), namespace_raw[[#This Row],[Column13]]/1048576,"")</f>
        <v/>
      </c>
      <c r="M215" s="168" t="str">
        <f>IF(ISNUMBER(namespace_raw[[#This Row],[Column10]]), (namespace_raw[[#This Row],[Column10]]*(1+$M$2)),"")</f>
        <v/>
      </c>
      <c r="N215" s="167" t="str">
        <f>IF(ISNUMBER(namespace_raw[[#This Row],[Column11]]), (namespace_raw[[#This Row],[Column11]]*(1+$N$2))/1048576,"")</f>
        <v/>
      </c>
      <c r="O215" s="169" t="str">
        <f>IF(ISNUMBER(namespace_raw[[#This Row],[Column8]]), (E215  * $O$2),"")</f>
        <v/>
      </c>
      <c r="P215" s="170" t="str">
        <f>IF(ISNUMBER(namespace_raw[[#This Row],[Column8]]), (F215  * $P$2),"")</f>
        <v/>
      </c>
    </row>
    <row r="216" spans="1:16" ht="15" customHeight="1" x14ac:dyDescent="0.25">
      <c r="A216" s="32" t="str">
        <f>IF(ISNONTEXT(namespace_raw[[#This Row],[Column1]]), "", namespace_raw[[#This Row],[Column1]])</f>
        <v/>
      </c>
      <c r="B216" s="33" t="str">
        <f>IF(ISNONTEXT(namespace_raw[[#This Row],[Column2]]), "", namespace_raw[[#This Row],[Column2]])</f>
        <v/>
      </c>
      <c r="C216" s="94" t="str">
        <f>IF(ISNUMBER(namespace_raw[[#This Row],[Column4]]), namespace_raw[[#This Row],[Column4]], "")</f>
        <v/>
      </c>
      <c r="D216" s="95" t="str">
        <f>IF(ISNUMBER(namespace_raw[[#This Row],[Column5]]), namespace_raw[[#This Row],[Column5]]/1048576, "")</f>
        <v/>
      </c>
      <c r="E216" s="95" t="str">
        <f>IF(ISNUMBER(namespace_raw[[#This Row],[Column6]]), namespace_raw[[#This Row],[Column6]],"")</f>
        <v/>
      </c>
      <c r="F216" s="96" t="str">
        <f>IF(ISNUMBER(namespace_raw[[#This Row],[Column7]]), namespace_raw[[#This Row],[Column7]]/1048576,"")</f>
        <v/>
      </c>
      <c r="G216" s="122" t="str">
        <f>IF(ISNUMBER(namespace_raw[[#This Row],[Column8]]), namespace_raw[[#This Row],[Column8]],"")</f>
        <v/>
      </c>
      <c r="H216" s="123" t="str">
        <f>IF(ISNUMBER(namespace_raw[[#This Row],[Column9]]), namespace_raw[[#This Row],[Column9]]/1048576,"")</f>
        <v/>
      </c>
      <c r="I216" s="124" t="str">
        <f>IF(ISNUMBER(namespace_raw[[#This Row],[Column8]]),MAX(G216, M216, O216, $I$2,IF(Q216&lt;&gt;"",VALUE(Q216),0)), "")</f>
        <v/>
      </c>
      <c r="J216" s="125" t="str">
        <f>IF(ISNUMBER(namespace_raw[[#This Row],[Column9]]),MAX(H216, N216, P216, $J$2,IF(R216&lt;&gt;"",VALUE(R216),0)),"")</f>
        <v/>
      </c>
      <c r="K216" s="166" t="str">
        <f>IF(ISNUMBER(namespace_raw[[#This Row],[Column12]]), namespace_raw[[#This Row],[Column12]],"")</f>
        <v/>
      </c>
      <c r="L216" s="167" t="str">
        <f>IF(ISNUMBER(namespace_raw[[#This Row],[Column13]]), namespace_raw[[#This Row],[Column13]]/1048576,"")</f>
        <v/>
      </c>
      <c r="M216" s="168" t="str">
        <f>IF(ISNUMBER(namespace_raw[[#This Row],[Column10]]), (namespace_raw[[#This Row],[Column10]]*(1+$M$2)),"")</f>
        <v/>
      </c>
      <c r="N216" s="167" t="str">
        <f>IF(ISNUMBER(namespace_raw[[#This Row],[Column11]]), (namespace_raw[[#This Row],[Column11]]*(1+$N$2))/1048576,"")</f>
        <v/>
      </c>
      <c r="O216" s="169" t="str">
        <f>IF(ISNUMBER(namespace_raw[[#This Row],[Column8]]), (E216  * $O$2),"")</f>
        <v/>
      </c>
      <c r="P216" s="170" t="str">
        <f>IF(ISNUMBER(namespace_raw[[#This Row],[Column8]]), (F216  * $P$2),"")</f>
        <v/>
      </c>
    </row>
    <row r="217" spans="1:16" ht="15" customHeight="1" x14ac:dyDescent="0.25">
      <c r="A217" s="32" t="str">
        <f>IF(ISNONTEXT(namespace_raw[[#This Row],[Column1]]), "", namespace_raw[[#This Row],[Column1]])</f>
        <v/>
      </c>
      <c r="B217" s="33" t="str">
        <f>IF(ISNONTEXT(namespace_raw[[#This Row],[Column2]]), "", namespace_raw[[#This Row],[Column2]])</f>
        <v/>
      </c>
      <c r="C217" s="94" t="str">
        <f>IF(ISNUMBER(namespace_raw[[#This Row],[Column4]]), namespace_raw[[#This Row],[Column4]], "")</f>
        <v/>
      </c>
      <c r="D217" s="95" t="str">
        <f>IF(ISNUMBER(namespace_raw[[#This Row],[Column5]]), namespace_raw[[#This Row],[Column5]]/1048576, "")</f>
        <v/>
      </c>
      <c r="E217" s="95" t="str">
        <f>IF(ISNUMBER(namespace_raw[[#This Row],[Column6]]), namespace_raw[[#This Row],[Column6]],"")</f>
        <v/>
      </c>
      <c r="F217" s="96" t="str">
        <f>IF(ISNUMBER(namespace_raw[[#This Row],[Column7]]), namespace_raw[[#This Row],[Column7]]/1048576,"")</f>
        <v/>
      </c>
      <c r="G217" s="122" t="str">
        <f>IF(ISNUMBER(namespace_raw[[#This Row],[Column8]]), namespace_raw[[#This Row],[Column8]],"")</f>
        <v/>
      </c>
      <c r="H217" s="123" t="str">
        <f>IF(ISNUMBER(namespace_raw[[#This Row],[Column9]]), namespace_raw[[#This Row],[Column9]]/1048576,"")</f>
        <v/>
      </c>
      <c r="I217" s="124" t="str">
        <f>IF(ISNUMBER(namespace_raw[[#This Row],[Column8]]),MAX(G217, M217, O217, $I$2,IF(Q217&lt;&gt;"",VALUE(Q217),0)), "")</f>
        <v/>
      </c>
      <c r="J217" s="125" t="str">
        <f>IF(ISNUMBER(namespace_raw[[#This Row],[Column9]]),MAX(H217, N217, P217, $J$2,IF(R217&lt;&gt;"",VALUE(R217),0)),"")</f>
        <v/>
      </c>
      <c r="K217" s="166" t="str">
        <f>IF(ISNUMBER(namespace_raw[[#This Row],[Column12]]), namespace_raw[[#This Row],[Column12]],"")</f>
        <v/>
      </c>
      <c r="L217" s="167" t="str">
        <f>IF(ISNUMBER(namespace_raw[[#This Row],[Column13]]), namespace_raw[[#This Row],[Column13]]/1048576,"")</f>
        <v/>
      </c>
      <c r="M217" s="168" t="str">
        <f>IF(ISNUMBER(namespace_raw[[#This Row],[Column10]]), (namespace_raw[[#This Row],[Column10]]*(1+$M$2)),"")</f>
        <v/>
      </c>
      <c r="N217" s="167" t="str">
        <f>IF(ISNUMBER(namespace_raw[[#This Row],[Column11]]), (namespace_raw[[#This Row],[Column11]]*(1+$N$2))/1048576,"")</f>
        <v/>
      </c>
      <c r="O217" s="169" t="str">
        <f>IF(ISNUMBER(namespace_raw[[#This Row],[Column8]]), (E217  * $O$2),"")</f>
        <v/>
      </c>
      <c r="P217" s="170" t="str">
        <f>IF(ISNUMBER(namespace_raw[[#This Row],[Column8]]), (F217  * $P$2),"")</f>
        <v/>
      </c>
    </row>
    <row r="218" spans="1:16" ht="15" customHeight="1" x14ac:dyDescent="0.25">
      <c r="A218" s="32" t="str">
        <f>IF(ISNONTEXT(namespace_raw[[#This Row],[Column1]]), "", namespace_raw[[#This Row],[Column1]])</f>
        <v/>
      </c>
      <c r="B218" s="33" t="str">
        <f>IF(ISNONTEXT(namespace_raw[[#This Row],[Column2]]), "", namespace_raw[[#This Row],[Column2]])</f>
        <v/>
      </c>
      <c r="C218" s="94" t="str">
        <f>IF(ISNUMBER(namespace_raw[[#This Row],[Column4]]), namespace_raw[[#This Row],[Column4]], "")</f>
        <v/>
      </c>
      <c r="D218" s="95" t="str">
        <f>IF(ISNUMBER(namespace_raw[[#This Row],[Column5]]), namespace_raw[[#This Row],[Column5]]/1048576, "")</f>
        <v/>
      </c>
      <c r="E218" s="95" t="str">
        <f>IF(ISNUMBER(namespace_raw[[#This Row],[Column6]]), namespace_raw[[#This Row],[Column6]],"")</f>
        <v/>
      </c>
      <c r="F218" s="96" t="str">
        <f>IF(ISNUMBER(namespace_raw[[#This Row],[Column7]]), namespace_raw[[#This Row],[Column7]]/1048576,"")</f>
        <v/>
      </c>
      <c r="G218" s="122" t="str">
        <f>IF(ISNUMBER(namespace_raw[[#This Row],[Column8]]), namespace_raw[[#This Row],[Column8]],"")</f>
        <v/>
      </c>
      <c r="H218" s="123" t="str">
        <f>IF(ISNUMBER(namespace_raw[[#This Row],[Column9]]), namespace_raw[[#This Row],[Column9]]/1048576,"")</f>
        <v/>
      </c>
      <c r="I218" s="124" t="str">
        <f>IF(ISNUMBER(namespace_raw[[#This Row],[Column8]]),MAX(G218, M218, O218, $I$2,IF(Q218&lt;&gt;"",VALUE(Q218),0)), "")</f>
        <v/>
      </c>
      <c r="J218" s="125" t="str">
        <f>IF(ISNUMBER(namespace_raw[[#This Row],[Column9]]),MAX(H218, N218, P218, $J$2,IF(R218&lt;&gt;"",VALUE(R218),0)),"")</f>
        <v/>
      </c>
      <c r="K218" s="166" t="str">
        <f>IF(ISNUMBER(namespace_raw[[#This Row],[Column12]]), namespace_raw[[#This Row],[Column12]],"")</f>
        <v/>
      </c>
      <c r="L218" s="167" t="str">
        <f>IF(ISNUMBER(namespace_raw[[#This Row],[Column13]]), namespace_raw[[#This Row],[Column13]]/1048576,"")</f>
        <v/>
      </c>
      <c r="M218" s="168" t="str">
        <f>IF(ISNUMBER(namespace_raw[[#This Row],[Column10]]), (namespace_raw[[#This Row],[Column10]]*(1+$M$2)),"")</f>
        <v/>
      </c>
      <c r="N218" s="167" t="str">
        <f>IF(ISNUMBER(namespace_raw[[#This Row],[Column11]]), (namespace_raw[[#This Row],[Column11]]*(1+$N$2))/1048576,"")</f>
        <v/>
      </c>
      <c r="O218" s="169" t="str">
        <f>IF(ISNUMBER(namespace_raw[[#This Row],[Column8]]), (E218  * $O$2),"")</f>
        <v/>
      </c>
      <c r="P218" s="170" t="str">
        <f>IF(ISNUMBER(namespace_raw[[#This Row],[Column8]]), (F218  * $P$2),"")</f>
        <v/>
      </c>
    </row>
    <row r="219" spans="1:16" ht="15" customHeight="1" x14ac:dyDescent="0.25">
      <c r="A219" s="32" t="str">
        <f>IF(ISNONTEXT(namespace_raw[[#This Row],[Column1]]), "", namespace_raw[[#This Row],[Column1]])</f>
        <v/>
      </c>
      <c r="B219" s="33" t="str">
        <f>IF(ISNONTEXT(namespace_raw[[#This Row],[Column2]]), "", namespace_raw[[#This Row],[Column2]])</f>
        <v/>
      </c>
      <c r="C219" s="94" t="str">
        <f>IF(ISNUMBER(namespace_raw[[#This Row],[Column4]]), namespace_raw[[#This Row],[Column4]], "")</f>
        <v/>
      </c>
      <c r="D219" s="95" t="str">
        <f>IF(ISNUMBER(namespace_raw[[#This Row],[Column5]]), namespace_raw[[#This Row],[Column5]]/1048576, "")</f>
        <v/>
      </c>
      <c r="E219" s="95" t="str">
        <f>IF(ISNUMBER(namespace_raw[[#This Row],[Column6]]), namespace_raw[[#This Row],[Column6]],"")</f>
        <v/>
      </c>
      <c r="F219" s="96" t="str">
        <f>IF(ISNUMBER(namespace_raw[[#This Row],[Column7]]), namespace_raw[[#This Row],[Column7]]/1048576,"")</f>
        <v/>
      </c>
      <c r="G219" s="122" t="str">
        <f>IF(ISNUMBER(namespace_raw[[#This Row],[Column8]]), namespace_raw[[#This Row],[Column8]],"")</f>
        <v/>
      </c>
      <c r="H219" s="123" t="str">
        <f>IF(ISNUMBER(namespace_raw[[#This Row],[Column9]]), namespace_raw[[#This Row],[Column9]]/1048576,"")</f>
        <v/>
      </c>
      <c r="I219" s="124" t="str">
        <f>IF(ISNUMBER(namespace_raw[[#This Row],[Column8]]),MAX(G219, M219, O219, $I$2,IF(Q219&lt;&gt;"",VALUE(Q219),0)), "")</f>
        <v/>
      </c>
      <c r="J219" s="125" t="str">
        <f>IF(ISNUMBER(namespace_raw[[#This Row],[Column9]]),MAX(H219, N219, P219, $J$2,IF(R219&lt;&gt;"",VALUE(R219),0)),"")</f>
        <v/>
      </c>
      <c r="K219" s="166" t="str">
        <f>IF(ISNUMBER(namespace_raw[[#This Row],[Column12]]), namespace_raw[[#This Row],[Column12]],"")</f>
        <v/>
      </c>
      <c r="L219" s="167" t="str">
        <f>IF(ISNUMBER(namespace_raw[[#This Row],[Column13]]), namespace_raw[[#This Row],[Column13]]/1048576,"")</f>
        <v/>
      </c>
      <c r="M219" s="168" t="str">
        <f>IF(ISNUMBER(namespace_raw[[#This Row],[Column10]]), (namespace_raw[[#This Row],[Column10]]*(1+$M$2)),"")</f>
        <v/>
      </c>
      <c r="N219" s="167" t="str">
        <f>IF(ISNUMBER(namespace_raw[[#This Row],[Column11]]), (namespace_raw[[#This Row],[Column11]]*(1+$N$2))/1048576,"")</f>
        <v/>
      </c>
      <c r="O219" s="169" t="str">
        <f>IF(ISNUMBER(namespace_raw[[#This Row],[Column8]]), (E219  * $O$2),"")</f>
        <v/>
      </c>
      <c r="P219" s="170" t="str">
        <f>IF(ISNUMBER(namespace_raw[[#This Row],[Column8]]), (F219  * $P$2),"")</f>
        <v/>
      </c>
    </row>
    <row r="220" spans="1:16" ht="15" customHeight="1" x14ac:dyDescent="0.25">
      <c r="A220" s="32" t="str">
        <f>IF(ISNONTEXT(namespace_raw[[#This Row],[Column1]]), "", namespace_raw[[#This Row],[Column1]])</f>
        <v/>
      </c>
      <c r="B220" s="33" t="str">
        <f>IF(ISNONTEXT(namespace_raw[[#This Row],[Column2]]), "", namespace_raw[[#This Row],[Column2]])</f>
        <v/>
      </c>
      <c r="C220" s="94" t="str">
        <f>IF(ISNUMBER(namespace_raw[[#This Row],[Column4]]), namespace_raw[[#This Row],[Column4]], "")</f>
        <v/>
      </c>
      <c r="D220" s="95" t="str">
        <f>IF(ISNUMBER(namespace_raw[[#This Row],[Column5]]), namespace_raw[[#This Row],[Column5]]/1048576, "")</f>
        <v/>
      </c>
      <c r="E220" s="95" t="str">
        <f>IF(ISNUMBER(namespace_raw[[#This Row],[Column6]]), namespace_raw[[#This Row],[Column6]],"")</f>
        <v/>
      </c>
      <c r="F220" s="96" t="str">
        <f>IF(ISNUMBER(namespace_raw[[#This Row],[Column7]]), namespace_raw[[#This Row],[Column7]]/1048576,"")</f>
        <v/>
      </c>
      <c r="G220" s="122" t="str">
        <f>IF(ISNUMBER(namespace_raw[[#This Row],[Column8]]), namespace_raw[[#This Row],[Column8]],"")</f>
        <v/>
      </c>
      <c r="H220" s="123" t="str">
        <f>IF(ISNUMBER(namespace_raw[[#This Row],[Column9]]), namespace_raw[[#This Row],[Column9]]/1048576,"")</f>
        <v/>
      </c>
      <c r="I220" s="124" t="str">
        <f>IF(ISNUMBER(namespace_raw[[#This Row],[Column8]]),MAX(G220, M220, O220, $I$2,IF(Q220&lt;&gt;"",VALUE(Q220),0)), "")</f>
        <v/>
      </c>
      <c r="J220" s="125" t="str">
        <f>IF(ISNUMBER(namespace_raw[[#This Row],[Column9]]),MAX(H220, N220, P220, $J$2,IF(R220&lt;&gt;"",VALUE(R220),0)),"")</f>
        <v/>
      </c>
      <c r="K220" s="166" t="str">
        <f>IF(ISNUMBER(namespace_raw[[#This Row],[Column12]]), namespace_raw[[#This Row],[Column12]],"")</f>
        <v/>
      </c>
      <c r="L220" s="167" t="str">
        <f>IF(ISNUMBER(namespace_raw[[#This Row],[Column13]]), namespace_raw[[#This Row],[Column13]]/1048576,"")</f>
        <v/>
      </c>
      <c r="M220" s="168" t="str">
        <f>IF(ISNUMBER(namespace_raw[[#This Row],[Column10]]), (namespace_raw[[#This Row],[Column10]]*(1+$M$2)),"")</f>
        <v/>
      </c>
      <c r="N220" s="167" t="str">
        <f>IF(ISNUMBER(namespace_raw[[#This Row],[Column11]]), (namespace_raw[[#This Row],[Column11]]*(1+$N$2))/1048576,"")</f>
        <v/>
      </c>
      <c r="O220" s="169" t="str">
        <f>IF(ISNUMBER(namespace_raw[[#This Row],[Column8]]), (E220  * $O$2),"")</f>
        <v/>
      </c>
      <c r="P220" s="170" t="str">
        <f>IF(ISNUMBER(namespace_raw[[#This Row],[Column8]]), (F220  * $P$2),"")</f>
        <v/>
      </c>
    </row>
    <row r="221" spans="1:16" ht="15" customHeight="1" x14ac:dyDescent="0.25">
      <c r="A221" s="32" t="str">
        <f>IF(ISNONTEXT(namespace_raw[[#This Row],[Column1]]), "", namespace_raw[[#This Row],[Column1]])</f>
        <v/>
      </c>
      <c r="B221" s="33" t="str">
        <f>IF(ISNONTEXT(namespace_raw[[#This Row],[Column2]]), "", namespace_raw[[#This Row],[Column2]])</f>
        <v/>
      </c>
      <c r="C221" s="94" t="str">
        <f>IF(ISNUMBER(namespace_raw[[#This Row],[Column4]]), namespace_raw[[#This Row],[Column4]], "")</f>
        <v/>
      </c>
      <c r="D221" s="95" t="str">
        <f>IF(ISNUMBER(namespace_raw[[#This Row],[Column5]]), namespace_raw[[#This Row],[Column5]]/1048576, "")</f>
        <v/>
      </c>
      <c r="E221" s="95" t="str">
        <f>IF(ISNUMBER(namespace_raw[[#This Row],[Column6]]), namespace_raw[[#This Row],[Column6]],"")</f>
        <v/>
      </c>
      <c r="F221" s="96" t="str">
        <f>IF(ISNUMBER(namespace_raw[[#This Row],[Column7]]), namespace_raw[[#This Row],[Column7]]/1048576,"")</f>
        <v/>
      </c>
      <c r="G221" s="122" t="str">
        <f>IF(ISNUMBER(namespace_raw[[#This Row],[Column8]]), namespace_raw[[#This Row],[Column8]],"")</f>
        <v/>
      </c>
      <c r="H221" s="123" t="str">
        <f>IF(ISNUMBER(namespace_raw[[#This Row],[Column9]]), namespace_raw[[#This Row],[Column9]]/1048576,"")</f>
        <v/>
      </c>
      <c r="I221" s="124" t="str">
        <f>IF(ISNUMBER(namespace_raw[[#This Row],[Column8]]),MAX(G221, M221, O221, $I$2,IF(Q221&lt;&gt;"",VALUE(Q221),0)), "")</f>
        <v/>
      </c>
      <c r="J221" s="125" t="str">
        <f>IF(ISNUMBER(namespace_raw[[#This Row],[Column9]]),MAX(H221, N221, P221, $J$2,IF(R221&lt;&gt;"",VALUE(R221),0)),"")</f>
        <v/>
      </c>
      <c r="K221" s="166" t="str">
        <f>IF(ISNUMBER(namespace_raw[[#This Row],[Column12]]), namespace_raw[[#This Row],[Column12]],"")</f>
        <v/>
      </c>
      <c r="L221" s="167" t="str">
        <f>IF(ISNUMBER(namespace_raw[[#This Row],[Column13]]), namespace_raw[[#This Row],[Column13]]/1048576,"")</f>
        <v/>
      </c>
      <c r="M221" s="168" t="str">
        <f>IF(ISNUMBER(namespace_raw[[#This Row],[Column10]]), (namespace_raw[[#This Row],[Column10]]*(1+$M$2)),"")</f>
        <v/>
      </c>
      <c r="N221" s="167" t="str">
        <f>IF(ISNUMBER(namespace_raw[[#This Row],[Column11]]), (namespace_raw[[#This Row],[Column11]]*(1+$N$2))/1048576,"")</f>
        <v/>
      </c>
      <c r="O221" s="169" t="str">
        <f>IF(ISNUMBER(namespace_raw[[#This Row],[Column8]]), (E221  * $O$2),"")</f>
        <v/>
      </c>
      <c r="P221" s="170" t="str">
        <f>IF(ISNUMBER(namespace_raw[[#This Row],[Column8]]), (F221  * $P$2),"")</f>
        <v/>
      </c>
    </row>
    <row r="222" spans="1:16" ht="15" customHeight="1" x14ac:dyDescent="0.25">
      <c r="A222" s="32" t="str">
        <f>IF(ISNONTEXT(namespace_raw[[#This Row],[Column1]]), "", namespace_raw[[#This Row],[Column1]])</f>
        <v/>
      </c>
      <c r="B222" s="33" t="str">
        <f>IF(ISNONTEXT(namespace_raw[[#This Row],[Column2]]), "", namespace_raw[[#This Row],[Column2]])</f>
        <v/>
      </c>
      <c r="C222" s="94" t="str">
        <f>IF(ISNUMBER(namespace_raw[[#This Row],[Column4]]), namespace_raw[[#This Row],[Column4]], "")</f>
        <v/>
      </c>
      <c r="D222" s="95" t="str">
        <f>IF(ISNUMBER(namespace_raw[[#This Row],[Column5]]), namespace_raw[[#This Row],[Column5]]/1048576, "")</f>
        <v/>
      </c>
      <c r="E222" s="95" t="str">
        <f>IF(ISNUMBER(namespace_raw[[#This Row],[Column6]]), namespace_raw[[#This Row],[Column6]],"")</f>
        <v/>
      </c>
      <c r="F222" s="96" t="str">
        <f>IF(ISNUMBER(namespace_raw[[#This Row],[Column7]]), namespace_raw[[#This Row],[Column7]]/1048576,"")</f>
        <v/>
      </c>
      <c r="G222" s="122" t="str">
        <f>IF(ISNUMBER(namespace_raw[[#This Row],[Column8]]), namespace_raw[[#This Row],[Column8]],"")</f>
        <v/>
      </c>
      <c r="H222" s="123" t="str">
        <f>IF(ISNUMBER(namespace_raw[[#This Row],[Column9]]), namespace_raw[[#This Row],[Column9]]/1048576,"")</f>
        <v/>
      </c>
      <c r="I222" s="124" t="str">
        <f>IF(ISNUMBER(namespace_raw[[#This Row],[Column8]]),MAX(G222, M222, O222, $I$2,IF(Q222&lt;&gt;"",VALUE(Q222),0)), "")</f>
        <v/>
      </c>
      <c r="J222" s="125" t="str">
        <f>IF(ISNUMBER(namespace_raw[[#This Row],[Column9]]),MAX(H222, N222, P222, $J$2,IF(R222&lt;&gt;"",VALUE(R222),0)),"")</f>
        <v/>
      </c>
      <c r="K222" s="166" t="str">
        <f>IF(ISNUMBER(namespace_raw[[#This Row],[Column12]]), namespace_raw[[#This Row],[Column12]],"")</f>
        <v/>
      </c>
      <c r="L222" s="167" t="str">
        <f>IF(ISNUMBER(namespace_raw[[#This Row],[Column13]]), namespace_raw[[#This Row],[Column13]]/1048576,"")</f>
        <v/>
      </c>
      <c r="M222" s="168" t="str">
        <f>IF(ISNUMBER(namespace_raw[[#This Row],[Column10]]), (namespace_raw[[#This Row],[Column10]]*(1+$M$2)),"")</f>
        <v/>
      </c>
      <c r="N222" s="167" t="str">
        <f>IF(ISNUMBER(namespace_raw[[#This Row],[Column11]]), (namespace_raw[[#This Row],[Column11]]*(1+$N$2))/1048576,"")</f>
        <v/>
      </c>
      <c r="O222" s="169" t="str">
        <f>IF(ISNUMBER(namespace_raw[[#This Row],[Column8]]), (E222  * $O$2),"")</f>
        <v/>
      </c>
      <c r="P222" s="170" t="str">
        <f>IF(ISNUMBER(namespace_raw[[#This Row],[Column8]]), (F222  * $P$2),"")</f>
        <v/>
      </c>
    </row>
    <row r="223" spans="1:16" ht="15" customHeight="1" x14ac:dyDescent="0.25">
      <c r="A223" s="32" t="str">
        <f>IF(ISNONTEXT(namespace_raw[[#This Row],[Column1]]), "", namespace_raw[[#This Row],[Column1]])</f>
        <v/>
      </c>
      <c r="B223" s="33" t="str">
        <f>IF(ISNONTEXT(namespace_raw[[#This Row],[Column2]]), "", namespace_raw[[#This Row],[Column2]])</f>
        <v/>
      </c>
      <c r="C223" s="94" t="str">
        <f>IF(ISNUMBER(namespace_raw[[#This Row],[Column4]]), namespace_raw[[#This Row],[Column4]], "")</f>
        <v/>
      </c>
      <c r="D223" s="95" t="str">
        <f>IF(ISNUMBER(namespace_raw[[#This Row],[Column5]]), namespace_raw[[#This Row],[Column5]]/1048576, "")</f>
        <v/>
      </c>
      <c r="E223" s="95" t="str">
        <f>IF(ISNUMBER(namespace_raw[[#This Row],[Column6]]), namespace_raw[[#This Row],[Column6]],"")</f>
        <v/>
      </c>
      <c r="F223" s="96" t="str">
        <f>IF(ISNUMBER(namespace_raw[[#This Row],[Column7]]), namespace_raw[[#This Row],[Column7]]/1048576,"")</f>
        <v/>
      </c>
      <c r="G223" s="122" t="str">
        <f>IF(ISNUMBER(namespace_raw[[#This Row],[Column8]]), namespace_raw[[#This Row],[Column8]],"")</f>
        <v/>
      </c>
      <c r="H223" s="123" t="str">
        <f>IF(ISNUMBER(namespace_raw[[#This Row],[Column9]]), namespace_raw[[#This Row],[Column9]]/1048576,"")</f>
        <v/>
      </c>
      <c r="I223" s="124" t="str">
        <f>IF(ISNUMBER(namespace_raw[[#This Row],[Column8]]),MAX(G223, M223, O223, $I$2,IF(Q223&lt;&gt;"",VALUE(Q223),0)), "")</f>
        <v/>
      </c>
      <c r="J223" s="125" t="str">
        <f>IF(ISNUMBER(namespace_raw[[#This Row],[Column9]]),MAX(H223, N223, P223, $J$2,IF(R223&lt;&gt;"",VALUE(R223),0)),"")</f>
        <v/>
      </c>
      <c r="K223" s="166" t="str">
        <f>IF(ISNUMBER(namespace_raw[[#This Row],[Column12]]), namespace_raw[[#This Row],[Column12]],"")</f>
        <v/>
      </c>
      <c r="L223" s="167" t="str">
        <f>IF(ISNUMBER(namespace_raw[[#This Row],[Column13]]), namespace_raw[[#This Row],[Column13]]/1048576,"")</f>
        <v/>
      </c>
      <c r="M223" s="168" t="str">
        <f>IF(ISNUMBER(namespace_raw[[#This Row],[Column10]]), (namespace_raw[[#This Row],[Column10]]*(1+$M$2)),"")</f>
        <v/>
      </c>
      <c r="N223" s="167" t="str">
        <f>IF(ISNUMBER(namespace_raw[[#This Row],[Column11]]), (namespace_raw[[#This Row],[Column11]]*(1+$N$2))/1048576,"")</f>
        <v/>
      </c>
      <c r="O223" s="169" t="str">
        <f>IF(ISNUMBER(namespace_raw[[#This Row],[Column8]]), (E223  * $O$2),"")</f>
        <v/>
      </c>
      <c r="P223" s="170" t="str">
        <f>IF(ISNUMBER(namespace_raw[[#This Row],[Column8]]), (F223  * $P$2),"")</f>
        <v/>
      </c>
    </row>
    <row r="224" spans="1:16" ht="15" customHeight="1" x14ac:dyDescent="0.25">
      <c r="A224" s="32" t="str">
        <f>IF(ISNONTEXT(namespace_raw[[#This Row],[Column1]]), "", namespace_raw[[#This Row],[Column1]])</f>
        <v/>
      </c>
      <c r="B224" s="33" t="str">
        <f>IF(ISNONTEXT(namespace_raw[[#This Row],[Column2]]), "", namespace_raw[[#This Row],[Column2]])</f>
        <v/>
      </c>
      <c r="C224" s="94" t="str">
        <f>IF(ISNUMBER(namespace_raw[[#This Row],[Column4]]), namespace_raw[[#This Row],[Column4]], "")</f>
        <v/>
      </c>
      <c r="D224" s="95" t="str">
        <f>IF(ISNUMBER(namespace_raw[[#This Row],[Column5]]), namespace_raw[[#This Row],[Column5]]/1048576, "")</f>
        <v/>
      </c>
      <c r="E224" s="95" t="str">
        <f>IF(ISNUMBER(namespace_raw[[#This Row],[Column6]]), namespace_raw[[#This Row],[Column6]],"")</f>
        <v/>
      </c>
      <c r="F224" s="96" t="str">
        <f>IF(ISNUMBER(namespace_raw[[#This Row],[Column7]]), namespace_raw[[#This Row],[Column7]]/1048576,"")</f>
        <v/>
      </c>
      <c r="G224" s="122" t="str">
        <f>IF(ISNUMBER(namespace_raw[[#This Row],[Column8]]), namespace_raw[[#This Row],[Column8]],"")</f>
        <v/>
      </c>
      <c r="H224" s="123" t="str">
        <f>IF(ISNUMBER(namespace_raw[[#This Row],[Column9]]), namespace_raw[[#This Row],[Column9]]/1048576,"")</f>
        <v/>
      </c>
      <c r="I224" s="124" t="str">
        <f>IF(ISNUMBER(namespace_raw[[#This Row],[Column8]]),MAX(G224, M224, O224, $I$2,IF(Q224&lt;&gt;"",VALUE(Q224),0)), "")</f>
        <v/>
      </c>
      <c r="J224" s="125" t="str">
        <f>IF(ISNUMBER(namespace_raw[[#This Row],[Column9]]),MAX(H224, N224, P224, $J$2,IF(R224&lt;&gt;"",VALUE(R224),0)),"")</f>
        <v/>
      </c>
      <c r="K224" s="166" t="str">
        <f>IF(ISNUMBER(namespace_raw[[#This Row],[Column12]]), namespace_raw[[#This Row],[Column12]],"")</f>
        <v/>
      </c>
      <c r="L224" s="167" t="str">
        <f>IF(ISNUMBER(namespace_raw[[#This Row],[Column13]]), namespace_raw[[#This Row],[Column13]]/1048576,"")</f>
        <v/>
      </c>
      <c r="M224" s="168" t="str">
        <f>IF(ISNUMBER(namespace_raw[[#This Row],[Column10]]), (namespace_raw[[#This Row],[Column10]]*(1+$M$2)),"")</f>
        <v/>
      </c>
      <c r="N224" s="167" t="str">
        <f>IF(ISNUMBER(namespace_raw[[#This Row],[Column11]]), (namespace_raw[[#This Row],[Column11]]*(1+$N$2))/1048576,"")</f>
        <v/>
      </c>
      <c r="O224" s="169" t="str">
        <f>IF(ISNUMBER(namespace_raw[[#This Row],[Column8]]), (E224  * $O$2),"")</f>
        <v/>
      </c>
      <c r="P224" s="170" t="str">
        <f>IF(ISNUMBER(namespace_raw[[#This Row],[Column8]]), (F224  * $P$2),"")</f>
        <v/>
      </c>
    </row>
    <row r="225" spans="1:16" ht="15" customHeight="1" x14ac:dyDescent="0.25">
      <c r="A225" s="32" t="str">
        <f>IF(ISNONTEXT(namespace_raw[[#This Row],[Column1]]), "", namespace_raw[[#This Row],[Column1]])</f>
        <v/>
      </c>
      <c r="B225" s="33" t="str">
        <f>IF(ISNONTEXT(namespace_raw[[#This Row],[Column2]]), "", namespace_raw[[#This Row],[Column2]])</f>
        <v/>
      </c>
      <c r="C225" s="94" t="str">
        <f>IF(ISNUMBER(namespace_raw[[#This Row],[Column4]]), namespace_raw[[#This Row],[Column4]], "")</f>
        <v/>
      </c>
      <c r="D225" s="95" t="str">
        <f>IF(ISNUMBER(namespace_raw[[#This Row],[Column5]]), namespace_raw[[#This Row],[Column5]]/1048576, "")</f>
        <v/>
      </c>
      <c r="E225" s="95" t="str">
        <f>IF(ISNUMBER(namespace_raw[[#This Row],[Column6]]), namespace_raw[[#This Row],[Column6]],"")</f>
        <v/>
      </c>
      <c r="F225" s="96" t="str">
        <f>IF(ISNUMBER(namespace_raw[[#This Row],[Column7]]), namespace_raw[[#This Row],[Column7]]/1048576,"")</f>
        <v/>
      </c>
      <c r="G225" s="122" t="str">
        <f>IF(ISNUMBER(namespace_raw[[#This Row],[Column8]]), namespace_raw[[#This Row],[Column8]],"")</f>
        <v/>
      </c>
      <c r="H225" s="123" t="str">
        <f>IF(ISNUMBER(namespace_raw[[#This Row],[Column9]]), namespace_raw[[#This Row],[Column9]]/1048576,"")</f>
        <v/>
      </c>
      <c r="I225" s="124" t="str">
        <f>IF(ISNUMBER(namespace_raw[[#This Row],[Column8]]),MAX(G225, M225, O225, $I$2,IF(Q225&lt;&gt;"",VALUE(Q225),0)), "")</f>
        <v/>
      </c>
      <c r="J225" s="125" t="str">
        <f>IF(ISNUMBER(namespace_raw[[#This Row],[Column9]]),MAX(H225, N225, P225, $J$2,IF(R225&lt;&gt;"",VALUE(R225),0)),"")</f>
        <v/>
      </c>
      <c r="K225" s="166" t="str">
        <f>IF(ISNUMBER(namespace_raw[[#This Row],[Column12]]), namespace_raw[[#This Row],[Column12]],"")</f>
        <v/>
      </c>
      <c r="L225" s="167" t="str">
        <f>IF(ISNUMBER(namespace_raw[[#This Row],[Column13]]), namespace_raw[[#This Row],[Column13]]/1048576,"")</f>
        <v/>
      </c>
      <c r="M225" s="168" t="str">
        <f>IF(ISNUMBER(namespace_raw[[#This Row],[Column10]]), (namespace_raw[[#This Row],[Column10]]*(1+$M$2)),"")</f>
        <v/>
      </c>
      <c r="N225" s="167" t="str">
        <f>IF(ISNUMBER(namespace_raw[[#This Row],[Column11]]), (namespace_raw[[#This Row],[Column11]]*(1+$N$2))/1048576,"")</f>
        <v/>
      </c>
      <c r="O225" s="169" t="str">
        <f>IF(ISNUMBER(namespace_raw[[#This Row],[Column8]]), (E225  * $O$2),"")</f>
        <v/>
      </c>
      <c r="P225" s="170" t="str">
        <f>IF(ISNUMBER(namespace_raw[[#This Row],[Column8]]), (F225  * $P$2),"")</f>
        <v/>
      </c>
    </row>
    <row r="226" spans="1:16" ht="15" customHeight="1" x14ac:dyDescent="0.25">
      <c r="A226" s="32" t="str">
        <f>IF(ISNONTEXT(namespace_raw[[#This Row],[Column1]]), "", namespace_raw[[#This Row],[Column1]])</f>
        <v/>
      </c>
      <c r="B226" s="33" t="str">
        <f>IF(ISNONTEXT(namespace_raw[[#This Row],[Column2]]), "", namespace_raw[[#This Row],[Column2]])</f>
        <v/>
      </c>
      <c r="C226" s="94" t="str">
        <f>IF(ISNUMBER(namespace_raw[[#This Row],[Column4]]), namespace_raw[[#This Row],[Column4]], "")</f>
        <v/>
      </c>
      <c r="D226" s="95" t="str">
        <f>IF(ISNUMBER(namespace_raw[[#This Row],[Column5]]), namespace_raw[[#This Row],[Column5]]/1048576, "")</f>
        <v/>
      </c>
      <c r="E226" s="95" t="str">
        <f>IF(ISNUMBER(namespace_raw[[#This Row],[Column6]]), namespace_raw[[#This Row],[Column6]],"")</f>
        <v/>
      </c>
      <c r="F226" s="96" t="str">
        <f>IF(ISNUMBER(namespace_raw[[#This Row],[Column7]]), namespace_raw[[#This Row],[Column7]]/1048576,"")</f>
        <v/>
      </c>
      <c r="G226" s="122" t="str">
        <f>IF(ISNUMBER(namespace_raw[[#This Row],[Column8]]), namespace_raw[[#This Row],[Column8]],"")</f>
        <v/>
      </c>
      <c r="H226" s="123" t="str">
        <f>IF(ISNUMBER(namespace_raw[[#This Row],[Column9]]), namespace_raw[[#This Row],[Column9]]/1048576,"")</f>
        <v/>
      </c>
      <c r="I226" s="124" t="str">
        <f>IF(ISNUMBER(namespace_raw[[#This Row],[Column8]]),MAX(G226, M226, O226, $I$2,IF(Q226&lt;&gt;"",VALUE(Q226),0)), "")</f>
        <v/>
      </c>
      <c r="J226" s="125" t="str">
        <f>IF(ISNUMBER(namespace_raw[[#This Row],[Column9]]),MAX(H226, N226, P226, $J$2,IF(R226&lt;&gt;"",VALUE(R226),0)),"")</f>
        <v/>
      </c>
      <c r="K226" s="166" t="str">
        <f>IF(ISNUMBER(namespace_raw[[#This Row],[Column12]]), namespace_raw[[#This Row],[Column12]],"")</f>
        <v/>
      </c>
      <c r="L226" s="167" t="str">
        <f>IF(ISNUMBER(namespace_raw[[#This Row],[Column13]]), namespace_raw[[#This Row],[Column13]]/1048576,"")</f>
        <v/>
      </c>
      <c r="M226" s="168" t="str">
        <f>IF(ISNUMBER(namespace_raw[[#This Row],[Column10]]), (namespace_raw[[#This Row],[Column10]]*(1+$M$2)),"")</f>
        <v/>
      </c>
      <c r="N226" s="167" t="str">
        <f>IF(ISNUMBER(namespace_raw[[#This Row],[Column11]]), (namespace_raw[[#This Row],[Column11]]*(1+$N$2))/1048576,"")</f>
        <v/>
      </c>
      <c r="O226" s="169" t="str">
        <f>IF(ISNUMBER(namespace_raw[[#This Row],[Column8]]), (E226  * $O$2),"")</f>
        <v/>
      </c>
      <c r="P226" s="170" t="str">
        <f>IF(ISNUMBER(namespace_raw[[#This Row],[Column8]]), (F226  * $P$2),"")</f>
        <v/>
      </c>
    </row>
    <row r="227" spans="1:16" ht="15" customHeight="1" x14ac:dyDescent="0.25">
      <c r="A227" s="32" t="str">
        <f>IF(ISNONTEXT(namespace_raw[[#This Row],[Column1]]), "", namespace_raw[[#This Row],[Column1]])</f>
        <v/>
      </c>
      <c r="B227" s="33" t="str">
        <f>IF(ISNONTEXT(namespace_raw[[#This Row],[Column2]]), "", namespace_raw[[#This Row],[Column2]])</f>
        <v/>
      </c>
      <c r="C227" s="94" t="str">
        <f>IF(ISNUMBER(namespace_raw[[#This Row],[Column4]]), namespace_raw[[#This Row],[Column4]], "")</f>
        <v/>
      </c>
      <c r="D227" s="95" t="str">
        <f>IF(ISNUMBER(namespace_raw[[#This Row],[Column5]]), namespace_raw[[#This Row],[Column5]]/1048576, "")</f>
        <v/>
      </c>
      <c r="E227" s="95" t="str">
        <f>IF(ISNUMBER(namespace_raw[[#This Row],[Column6]]), namespace_raw[[#This Row],[Column6]],"")</f>
        <v/>
      </c>
      <c r="F227" s="96" t="str">
        <f>IF(ISNUMBER(namespace_raw[[#This Row],[Column7]]), namespace_raw[[#This Row],[Column7]]/1048576,"")</f>
        <v/>
      </c>
      <c r="G227" s="122" t="str">
        <f>IF(ISNUMBER(namespace_raw[[#This Row],[Column8]]), namespace_raw[[#This Row],[Column8]],"")</f>
        <v/>
      </c>
      <c r="H227" s="123" t="str">
        <f>IF(ISNUMBER(namespace_raw[[#This Row],[Column9]]), namespace_raw[[#This Row],[Column9]]/1048576,"")</f>
        <v/>
      </c>
      <c r="I227" s="124" t="str">
        <f>IF(ISNUMBER(namespace_raw[[#This Row],[Column8]]),MAX(G227, M227, O227, $I$2,IF(Q227&lt;&gt;"",VALUE(Q227),0)), "")</f>
        <v/>
      </c>
      <c r="J227" s="125" t="str">
        <f>IF(ISNUMBER(namespace_raw[[#This Row],[Column9]]),MAX(H227, N227, P227, $J$2,IF(R227&lt;&gt;"",VALUE(R227),0)),"")</f>
        <v/>
      </c>
      <c r="K227" s="166" t="str">
        <f>IF(ISNUMBER(namespace_raw[[#This Row],[Column12]]), namespace_raw[[#This Row],[Column12]],"")</f>
        <v/>
      </c>
      <c r="L227" s="167" t="str">
        <f>IF(ISNUMBER(namespace_raw[[#This Row],[Column13]]), namespace_raw[[#This Row],[Column13]]/1048576,"")</f>
        <v/>
      </c>
      <c r="M227" s="168" t="str">
        <f>IF(ISNUMBER(namespace_raw[[#This Row],[Column10]]), (namespace_raw[[#This Row],[Column10]]*(1+$M$2)),"")</f>
        <v/>
      </c>
      <c r="N227" s="167" t="str">
        <f>IF(ISNUMBER(namespace_raw[[#This Row],[Column11]]), (namespace_raw[[#This Row],[Column11]]*(1+$N$2))/1048576,"")</f>
        <v/>
      </c>
      <c r="O227" s="169" t="str">
        <f>IF(ISNUMBER(namespace_raw[[#This Row],[Column8]]), (E227  * $O$2),"")</f>
        <v/>
      </c>
      <c r="P227" s="170" t="str">
        <f>IF(ISNUMBER(namespace_raw[[#This Row],[Column8]]), (F227  * $P$2),"")</f>
        <v/>
      </c>
    </row>
    <row r="228" spans="1:16" ht="15" customHeight="1" x14ac:dyDescent="0.25">
      <c r="A228" s="32" t="str">
        <f>IF(ISNONTEXT(namespace_raw[[#This Row],[Column1]]), "", namespace_raw[[#This Row],[Column1]])</f>
        <v/>
      </c>
      <c r="B228" s="33" t="str">
        <f>IF(ISNONTEXT(namespace_raw[[#This Row],[Column2]]), "", namespace_raw[[#This Row],[Column2]])</f>
        <v/>
      </c>
      <c r="C228" s="94" t="str">
        <f>IF(ISNUMBER(namespace_raw[[#This Row],[Column4]]), namespace_raw[[#This Row],[Column4]], "")</f>
        <v/>
      </c>
      <c r="D228" s="95" t="str">
        <f>IF(ISNUMBER(namespace_raw[[#This Row],[Column5]]), namespace_raw[[#This Row],[Column5]]/1048576, "")</f>
        <v/>
      </c>
      <c r="E228" s="95" t="str">
        <f>IF(ISNUMBER(namespace_raw[[#This Row],[Column6]]), namespace_raw[[#This Row],[Column6]],"")</f>
        <v/>
      </c>
      <c r="F228" s="96" t="str">
        <f>IF(ISNUMBER(namespace_raw[[#This Row],[Column7]]), namespace_raw[[#This Row],[Column7]]/1048576,"")</f>
        <v/>
      </c>
      <c r="G228" s="122" t="str">
        <f>IF(ISNUMBER(namespace_raw[[#This Row],[Column8]]), namespace_raw[[#This Row],[Column8]],"")</f>
        <v/>
      </c>
      <c r="H228" s="123" t="str">
        <f>IF(ISNUMBER(namespace_raw[[#This Row],[Column9]]), namespace_raw[[#This Row],[Column9]]/1048576,"")</f>
        <v/>
      </c>
      <c r="I228" s="124" t="str">
        <f>IF(ISNUMBER(namespace_raw[[#This Row],[Column8]]),MAX(G228, M228, O228, $I$2,IF(Q228&lt;&gt;"",VALUE(Q228),0)), "")</f>
        <v/>
      </c>
      <c r="J228" s="125" t="str">
        <f>IF(ISNUMBER(namespace_raw[[#This Row],[Column9]]),MAX(H228, N228, P228, $J$2,IF(R228&lt;&gt;"",VALUE(R228),0)),"")</f>
        <v/>
      </c>
      <c r="K228" s="166" t="str">
        <f>IF(ISNUMBER(namespace_raw[[#This Row],[Column12]]), namespace_raw[[#This Row],[Column12]],"")</f>
        <v/>
      </c>
      <c r="L228" s="167" t="str">
        <f>IF(ISNUMBER(namespace_raw[[#This Row],[Column13]]), namespace_raw[[#This Row],[Column13]]/1048576,"")</f>
        <v/>
      </c>
      <c r="M228" s="168" t="str">
        <f>IF(ISNUMBER(namespace_raw[[#This Row],[Column10]]), (namespace_raw[[#This Row],[Column10]]*(1+$M$2)),"")</f>
        <v/>
      </c>
      <c r="N228" s="167" t="str">
        <f>IF(ISNUMBER(namespace_raw[[#This Row],[Column11]]), (namespace_raw[[#This Row],[Column11]]*(1+$N$2))/1048576,"")</f>
        <v/>
      </c>
      <c r="O228" s="169" t="str">
        <f>IF(ISNUMBER(namespace_raw[[#This Row],[Column8]]), (E228  * $O$2),"")</f>
        <v/>
      </c>
      <c r="P228" s="170" t="str">
        <f>IF(ISNUMBER(namespace_raw[[#This Row],[Column8]]), (F228  * $P$2),"")</f>
        <v/>
      </c>
    </row>
    <row r="229" spans="1:16" ht="15" customHeight="1" x14ac:dyDescent="0.25">
      <c r="A229" s="32" t="str">
        <f>IF(ISNONTEXT(namespace_raw[[#This Row],[Column1]]), "", namespace_raw[[#This Row],[Column1]])</f>
        <v/>
      </c>
      <c r="B229" s="33" t="str">
        <f>IF(ISNONTEXT(namespace_raw[[#This Row],[Column2]]), "", namespace_raw[[#This Row],[Column2]])</f>
        <v/>
      </c>
      <c r="C229" s="94" t="str">
        <f>IF(ISNUMBER(namespace_raw[[#This Row],[Column4]]), namespace_raw[[#This Row],[Column4]], "")</f>
        <v/>
      </c>
      <c r="D229" s="95" t="str">
        <f>IF(ISNUMBER(namespace_raw[[#This Row],[Column5]]), namespace_raw[[#This Row],[Column5]]/1048576, "")</f>
        <v/>
      </c>
      <c r="E229" s="95" t="str">
        <f>IF(ISNUMBER(namespace_raw[[#This Row],[Column6]]), namespace_raw[[#This Row],[Column6]],"")</f>
        <v/>
      </c>
      <c r="F229" s="96" t="str">
        <f>IF(ISNUMBER(namespace_raw[[#This Row],[Column7]]), namespace_raw[[#This Row],[Column7]]/1048576,"")</f>
        <v/>
      </c>
      <c r="G229" s="122" t="str">
        <f>IF(ISNUMBER(namespace_raw[[#This Row],[Column8]]), namespace_raw[[#This Row],[Column8]],"")</f>
        <v/>
      </c>
      <c r="H229" s="123" t="str">
        <f>IF(ISNUMBER(namespace_raw[[#This Row],[Column9]]), namespace_raw[[#This Row],[Column9]]/1048576,"")</f>
        <v/>
      </c>
      <c r="I229" s="124" t="str">
        <f>IF(ISNUMBER(namespace_raw[[#This Row],[Column8]]),MAX(G229, M229, O229, $I$2,IF(Q229&lt;&gt;"",VALUE(Q229),0)), "")</f>
        <v/>
      </c>
      <c r="J229" s="125" t="str">
        <f>IF(ISNUMBER(namespace_raw[[#This Row],[Column9]]),MAX(H229, N229, P229, $J$2,IF(R229&lt;&gt;"",VALUE(R229),0)),"")</f>
        <v/>
      </c>
      <c r="K229" s="166" t="str">
        <f>IF(ISNUMBER(namespace_raw[[#This Row],[Column12]]), namespace_raw[[#This Row],[Column12]],"")</f>
        <v/>
      </c>
      <c r="L229" s="167" t="str">
        <f>IF(ISNUMBER(namespace_raw[[#This Row],[Column13]]), namespace_raw[[#This Row],[Column13]]/1048576,"")</f>
        <v/>
      </c>
      <c r="M229" s="168" t="str">
        <f>IF(ISNUMBER(namespace_raw[[#This Row],[Column10]]), (namespace_raw[[#This Row],[Column10]]*(1+$M$2)),"")</f>
        <v/>
      </c>
      <c r="N229" s="167" t="str">
        <f>IF(ISNUMBER(namespace_raw[[#This Row],[Column11]]), (namespace_raw[[#This Row],[Column11]]*(1+$N$2))/1048576,"")</f>
        <v/>
      </c>
      <c r="O229" s="169" t="str">
        <f>IF(ISNUMBER(namespace_raw[[#This Row],[Column8]]), (E229  * $O$2),"")</f>
        <v/>
      </c>
      <c r="P229" s="170" t="str">
        <f>IF(ISNUMBER(namespace_raw[[#This Row],[Column8]]), (F229  * $P$2),"")</f>
        <v/>
      </c>
    </row>
    <row r="230" spans="1:16" ht="15" customHeight="1" x14ac:dyDescent="0.25">
      <c r="A230" s="32" t="str">
        <f>IF(ISNONTEXT(namespace_raw[[#This Row],[Column1]]), "", namespace_raw[[#This Row],[Column1]])</f>
        <v/>
      </c>
      <c r="B230" s="33" t="str">
        <f>IF(ISNONTEXT(namespace_raw[[#This Row],[Column2]]), "", namespace_raw[[#This Row],[Column2]])</f>
        <v/>
      </c>
      <c r="C230" s="94" t="str">
        <f>IF(ISNUMBER(namespace_raw[[#This Row],[Column4]]), namespace_raw[[#This Row],[Column4]], "")</f>
        <v/>
      </c>
      <c r="D230" s="95" t="str">
        <f>IF(ISNUMBER(namespace_raw[[#This Row],[Column5]]), namespace_raw[[#This Row],[Column5]]/1048576, "")</f>
        <v/>
      </c>
      <c r="E230" s="95" t="str">
        <f>IF(ISNUMBER(namespace_raw[[#This Row],[Column6]]), namespace_raw[[#This Row],[Column6]],"")</f>
        <v/>
      </c>
      <c r="F230" s="96" t="str">
        <f>IF(ISNUMBER(namespace_raw[[#This Row],[Column7]]), namespace_raw[[#This Row],[Column7]]/1048576,"")</f>
        <v/>
      </c>
      <c r="G230" s="122" t="str">
        <f>IF(ISNUMBER(namespace_raw[[#This Row],[Column8]]), namespace_raw[[#This Row],[Column8]],"")</f>
        <v/>
      </c>
      <c r="H230" s="123" t="str">
        <f>IF(ISNUMBER(namespace_raw[[#This Row],[Column9]]), namespace_raw[[#This Row],[Column9]]/1048576,"")</f>
        <v/>
      </c>
      <c r="I230" s="124" t="str">
        <f>IF(ISNUMBER(namespace_raw[[#This Row],[Column8]]),MAX(G230, M230, O230, $I$2,IF(Q230&lt;&gt;"",VALUE(Q230),0)), "")</f>
        <v/>
      </c>
      <c r="J230" s="125" t="str">
        <f>IF(ISNUMBER(namespace_raw[[#This Row],[Column9]]),MAX(H230, N230, P230, $J$2,IF(R230&lt;&gt;"",VALUE(R230),0)),"")</f>
        <v/>
      </c>
      <c r="K230" s="166" t="str">
        <f>IF(ISNUMBER(namespace_raw[[#This Row],[Column12]]), namespace_raw[[#This Row],[Column12]],"")</f>
        <v/>
      </c>
      <c r="L230" s="167" t="str">
        <f>IF(ISNUMBER(namespace_raw[[#This Row],[Column13]]), namespace_raw[[#This Row],[Column13]]/1048576,"")</f>
        <v/>
      </c>
      <c r="M230" s="168" t="str">
        <f>IF(ISNUMBER(namespace_raw[[#This Row],[Column10]]), (namespace_raw[[#This Row],[Column10]]*(1+$M$2)),"")</f>
        <v/>
      </c>
      <c r="N230" s="167" t="str">
        <f>IF(ISNUMBER(namespace_raw[[#This Row],[Column11]]), (namespace_raw[[#This Row],[Column11]]*(1+$N$2))/1048576,"")</f>
        <v/>
      </c>
      <c r="O230" s="169" t="str">
        <f>IF(ISNUMBER(namespace_raw[[#This Row],[Column8]]), (E230  * $O$2),"")</f>
        <v/>
      </c>
      <c r="P230" s="170" t="str">
        <f>IF(ISNUMBER(namespace_raw[[#This Row],[Column8]]), (F230  * $P$2),"")</f>
        <v/>
      </c>
    </row>
    <row r="231" spans="1:16" ht="15" customHeight="1" x14ac:dyDescent="0.25">
      <c r="A231" s="32" t="str">
        <f>IF(ISNONTEXT(namespace_raw[[#This Row],[Column1]]), "", namespace_raw[[#This Row],[Column1]])</f>
        <v/>
      </c>
      <c r="B231" s="33" t="str">
        <f>IF(ISNONTEXT(namespace_raw[[#This Row],[Column2]]), "", namespace_raw[[#This Row],[Column2]])</f>
        <v/>
      </c>
      <c r="C231" s="94" t="str">
        <f>IF(ISNUMBER(namespace_raw[[#This Row],[Column4]]), namespace_raw[[#This Row],[Column4]], "")</f>
        <v/>
      </c>
      <c r="D231" s="95" t="str">
        <f>IF(ISNUMBER(namespace_raw[[#This Row],[Column5]]), namespace_raw[[#This Row],[Column5]]/1048576, "")</f>
        <v/>
      </c>
      <c r="E231" s="95" t="str">
        <f>IF(ISNUMBER(namespace_raw[[#This Row],[Column6]]), namespace_raw[[#This Row],[Column6]],"")</f>
        <v/>
      </c>
      <c r="F231" s="96" t="str">
        <f>IF(ISNUMBER(namespace_raw[[#This Row],[Column7]]), namespace_raw[[#This Row],[Column7]]/1048576,"")</f>
        <v/>
      </c>
      <c r="G231" s="122" t="str">
        <f>IF(ISNUMBER(namespace_raw[[#This Row],[Column8]]), namespace_raw[[#This Row],[Column8]],"")</f>
        <v/>
      </c>
      <c r="H231" s="123" t="str">
        <f>IF(ISNUMBER(namespace_raw[[#This Row],[Column9]]), namespace_raw[[#This Row],[Column9]]/1048576,"")</f>
        <v/>
      </c>
      <c r="I231" s="124" t="str">
        <f>IF(ISNUMBER(namespace_raw[[#This Row],[Column8]]),MAX(G231, M231, O231, $I$2,IF(Q231&lt;&gt;"",VALUE(Q231),0)), "")</f>
        <v/>
      </c>
      <c r="J231" s="125" t="str">
        <f>IF(ISNUMBER(namespace_raw[[#This Row],[Column9]]),MAX(H231, N231, P231, $J$2,IF(R231&lt;&gt;"",VALUE(R231),0)),"")</f>
        <v/>
      </c>
      <c r="K231" s="166" t="str">
        <f>IF(ISNUMBER(namespace_raw[[#This Row],[Column12]]), namespace_raw[[#This Row],[Column12]],"")</f>
        <v/>
      </c>
      <c r="L231" s="167" t="str">
        <f>IF(ISNUMBER(namespace_raw[[#This Row],[Column13]]), namespace_raw[[#This Row],[Column13]]/1048576,"")</f>
        <v/>
      </c>
      <c r="M231" s="168" t="str">
        <f>IF(ISNUMBER(namespace_raw[[#This Row],[Column10]]), (namespace_raw[[#This Row],[Column10]]*(1+$M$2)),"")</f>
        <v/>
      </c>
      <c r="N231" s="167" t="str">
        <f>IF(ISNUMBER(namespace_raw[[#This Row],[Column11]]), (namespace_raw[[#This Row],[Column11]]*(1+$N$2))/1048576,"")</f>
        <v/>
      </c>
      <c r="O231" s="169" t="str">
        <f>IF(ISNUMBER(namespace_raw[[#This Row],[Column8]]), (E231  * $O$2),"")</f>
        <v/>
      </c>
      <c r="P231" s="170" t="str">
        <f>IF(ISNUMBER(namespace_raw[[#This Row],[Column8]]), (F231  * $P$2),"")</f>
        <v/>
      </c>
    </row>
    <row r="232" spans="1:16" ht="15" customHeight="1" x14ac:dyDescent="0.25">
      <c r="A232" s="32" t="str">
        <f>IF(ISNONTEXT(namespace_raw[[#This Row],[Column1]]), "", namespace_raw[[#This Row],[Column1]])</f>
        <v/>
      </c>
      <c r="B232" s="33" t="str">
        <f>IF(ISNONTEXT(namespace_raw[[#This Row],[Column2]]), "", namespace_raw[[#This Row],[Column2]])</f>
        <v/>
      </c>
      <c r="C232" s="94" t="str">
        <f>IF(ISNUMBER(namespace_raw[[#This Row],[Column4]]), namespace_raw[[#This Row],[Column4]], "")</f>
        <v/>
      </c>
      <c r="D232" s="95" t="str">
        <f>IF(ISNUMBER(namespace_raw[[#This Row],[Column5]]), namespace_raw[[#This Row],[Column5]]/1048576, "")</f>
        <v/>
      </c>
      <c r="E232" s="95" t="str">
        <f>IF(ISNUMBER(namespace_raw[[#This Row],[Column6]]), namespace_raw[[#This Row],[Column6]],"")</f>
        <v/>
      </c>
      <c r="F232" s="96" t="str">
        <f>IF(ISNUMBER(namespace_raw[[#This Row],[Column7]]), namespace_raw[[#This Row],[Column7]]/1048576,"")</f>
        <v/>
      </c>
      <c r="G232" s="122" t="str">
        <f>IF(ISNUMBER(namespace_raw[[#This Row],[Column8]]), namespace_raw[[#This Row],[Column8]],"")</f>
        <v/>
      </c>
      <c r="H232" s="123" t="str">
        <f>IF(ISNUMBER(namespace_raw[[#This Row],[Column9]]), namespace_raw[[#This Row],[Column9]]/1048576,"")</f>
        <v/>
      </c>
      <c r="I232" s="124" t="str">
        <f>IF(ISNUMBER(namespace_raw[[#This Row],[Column8]]),MAX(G232, M232, O232, $I$2,IF(Q232&lt;&gt;"",VALUE(Q232),0)), "")</f>
        <v/>
      </c>
      <c r="J232" s="125" t="str">
        <f>IF(ISNUMBER(namespace_raw[[#This Row],[Column9]]),MAX(H232, N232, P232, $J$2,IF(R232&lt;&gt;"",VALUE(R232),0)),"")</f>
        <v/>
      </c>
      <c r="K232" s="166" t="str">
        <f>IF(ISNUMBER(namespace_raw[[#This Row],[Column12]]), namespace_raw[[#This Row],[Column12]],"")</f>
        <v/>
      </c>
      <c r="L232" s="167" t="str">
        <f>IF(ISNUMBER(namespace_raw[[#This Row],[Column13]]), namespace_raw[[#This Row],[Column13]]/1048576,"")</f>
        <v/>
      </c>
      <c r="M232" s="168" t="str">
        <f>IF(ISNUMBER(namespace_raw[[#This Row],[Column10]]), (namespace_raw[[#This Row],[Column10]]*(1+$M$2)),"")</f>
        <v/>
      </c>
      <c r="N232" s="167" t="str">
        <f>IF(ISNUMBER(namespace_raw[[#This Row],[Column11]]), (namespace_raw[[#This Row],[Column11]]*(1+$N$2))/1048576,"")</f>
        <v/>
      </c>
      <c r="O232" s="169" t="str">
        <f>IF(ISNUMBER(namespace_raw[[#This Row],[Column8]]), (E232  * $O$2),"")</f>
        <v/>
      </c>
      <c r="P232" s="170" t="str">
        <f>IF(ISNUMBER(namespace_raw[[#This Row],[Column8]]), (F232  * $P$2),"")</f>
        <v/>
      </c>
    </row>
    <row r="233" spans="1:16" ht="15" customHeight="1" x14ac:dyDescent="0.25">
      <c r="A233" s="32" t="str">
        <f>IF(ISNONTEXT(namespace_raw[[#This Row],[Column1]]), "", namespace_raw[[#This Row],[Column1]])</f>
        <v/>
      </c>
      <c r="B233" s="33" t="str">
        <f>IF(ISNONTEXT(namespace_raw[[#This Row],[Column2]]), "", namespace_raw[[#This Row],[Column2]])</f>
        <v/>
      </c>
      <c r="C233" s="94" t="str">
        <f>IF(ISNUMBER(namespace_raw[[#This Row],[Column4]]), namespace_raw[[#This Row],[Column4]], "")</f>
        <v/>
      </c>
      <c r="D233" s="95" t="str">
        <f>IF(ISNUMBER(namespace_raw[[#This Row],[Column5]]), namespace_raw[[#This Row],[Column5]]/1048576, "")</f>
        <v/>
      </c>
      <c r="E233" s="95" t="str">
        <f>IF(ISNUMBER(namespace_raw[[#This Row],[Column6]]), namespace_raw[[#This Row],[Column6]],"")</f>
        <v/>
      </c>
      <c r="F233" s="96" t="str">
        <f>IF(ISNUMBER(namespace_raw[[#This Row],[Column7]]), namespace_raw[[#This Row],[Column7]]/1048576,"")</f>
        <v/>
      </c>
      <c r="G233" s="122" t="str">
        <f>IF(ISNUMBER(namespace_raw[[#This Row],[Column8]]), namespace_raw[[#This Row],[Column8]],"")</f>
        <v/>
      </c>
      <c r="H233" s="123" t="str">
        <f>IF(ISNUMBER(namespace_raw[[#This Row],[Column9]]), namespace_raw[[#This Row],[Column9]]/1048576,"")</f>
        <v/>
      </c>
      <c r="I233" s="124" t="str">
        <f>IF(ISNUMBER(namespace_raw[[#This Row],[Column8]]),MAX(G233, M233, O233, $I$2,IF(Q233&lt;&gt;"",VALUE(Q233),0)), "")</f>
        <v/>
      </c>
      <c r="J233" s="125" t="str">
        <f>IF(ISNUMBER(namespace_raw[[#This Row],[Column9]]),MAX(H233, N233, P233, $J$2,IF(R233&lt;&gt;"",VALUE(R233),0)),"")</f>
        <v/>
      </c>
      <c r="K233" s="166" t="str">
        <f>IF(ISNUMBER(namespace_raw[[#This Row],[Column12]]), namespace_raw[[#This Row],[Column12]],"")</f>
        <v/>
      </c>
      <c r="L233" s="167" t="str">
        <f>IF(ISNUMBER(namespace_raw[[#This Row],[Column13]]), namespace_raw[[#This Row],[Column13]]/1048576,"")</f>
        <v/>
      </c>
      <c r="M233" s="168" t="str">
        <f>IF(ISNUMBER(namespace_raw[[#This Row],[Column10]]), (namespace_raw[[#This Row],[Column10]]*(1+$M$2)),"")</f>
        <v/>
      </c>
      <c r="N233" s="167" t="str">
        <f>IF(ISNUMBER(namespace_raw[[#This Row],[Column11]]), (namespace_raw[[#This Row],[Column11]]*(1+$N$2))/1048576,"")</f>
        <v/>
      </c>
      <c r="O233" s="169" t="str">
        <f>IF(ISNUMBER(namespace_raw[[#This Row],[Column8]]), (E233  * $O$2),"")</f>
        <v/>
      </c>
      <c r="P233" s="170" t="str">
        <f>IF(ISNUMBER(namespace_raw[[#This Row],[Column8]]), (F233  * $P$2),"")</f>
        <v/>
      </c>
    </row>
    <row r="234" spans="1:16" ht="15" customHeight="1" x14ac:dyDescent="0.25">
      <c r="A234" s="32" t="str">
        <f>IF(ISNONTEXT(namespace_raw[[#This Row],[Column1]]), "", namespace_raw[[#This Row],[Column1]])</f>
        <v/>
      </c>
      <c r="B234" s="33" t="str">
        <f>IF(ISNONTEXT(namespace_raw[[#This Row],[Column2]]), "", namespace_raw[[#This Row],[Column2]])</f>
        <v/>
      </c>
      <c r="C234" s="94" t="str">
        <f>IF(ISNUMBER(namespace_raw[[#This Row],[Column4]]), namespace_raw[[#This Row],[Column4]], "")</f>
        <v/>
      </c>
      <c r="D234" s="95" t="str">
        <f>IF(ISNUMBER(namespace_raw[[#This Row],[Column5]]), namespace_raw[[#This Row],[Column5]]/1048576, "")</f>
        <v/>
      </c>
      <c r="E234" s="95" t="str">
        <f>IF(ISNUMBER(namespace_raw[[#This Row],[Column6]]), namespace_raw[[#This Row],[Column6]],"")</f>
        <v/>
      </c>
      <c r="F234" s="96" t="str">
        <f>IF(ISNUMBER(namespace_raw[[#This Row],[Column7]]), namespace_raw[[#This Row],[Column7]]/1048576,"")</f>
        <v/>
      </c>
      <c r="G234" s="122" t="str">
        <f>IF(ISNUMBER(namespace_raw[[#This Row],[Column8]]), namespace_raw[[#This Row],[Column8]],"")</f>
        <v/>
      </c>
      <c r="H234" s="123" t="str">
        <f>IF(ISNUMBER(namespace_raw[[#This Row],[Column9]]), namespace_raw[[#This Row],[Column9]]/1048576,"")</f>
        <v/>
      </c>
      <c r="I234" s="124" t="str">
        <f>IF(ISNUMBER(namespace_raw[[#This Row],[Column8]]),MAX(G234, M234, O234, $I$2,IF(Q234&lt;&gt;"",VALUE(Q234),0)), "")</f>
        <v/>
      </c>
      <c r="J234" s="125" t="str">
        <f>IF(ISNUMBER(namespace_raw[[#This Row],[Column9]]),MAX(H234, N234, P234, $J$2,IF(R234&lt;&gt;"",VALUE(R234),0)),"")</f>
        <v/>
      </c>
      <c r="K234" s="166" t="str">
        <f>IF(ISNUMBER(namespace_raw[[#This Row],[Column12]]), namespace_raw[[#This Row],[Column12]],"")</f>
        <v/>
      </c>
      <c r="L234" s="167" t="str">
        <f>IF(ISNUMBER(namespace_raw[[#This Row],[Column13]]), namespace_raw[[#This Row],[Column13]]/1048576,"")</f>
        <v/>
      </c>
      <c r="M234" s="168" t="str">
        <f>IF(ISNUMBER(namespace_raw[[#This Row],[Column10]]), (namespace_raw[[#This Row],[Column10]]*(1+$M$2)),"")</f>
        <v/>
      </c>
      <c r="N234" s="167" t="str">
        <f>IF(ISNUMBER(namespace_raw[[#This Row],[Column11]]), (namespace_raw[[#This Row],[Column11]]*(1+$N$2))/1048576,"")</f>
        <v/>
      </c>
      <c r="O234" s="169" t="str">
        <f>IF(ISNUMBER(namespace_raw[[#This Row],[Column8]]), (E234  * $O$2),"")</f>
        <v/>
      </c>
      <c r="P234" s="170" t="str">
        <f>IF(ISNUMBER(namespace_raw[[#This Row],[Column8]]), (F234  * $P$2),"")</f>
        <v/>
      </c>
    </row>
    <row r="235" spans="1:16" ht="15" customHeight="1" x14ac:dyDescent="0.25">
      <c r="A235" s="32" t="str">
        <f>IF(ISNONTEXT(namespace_raw[[#This Row],[Column1]]), "", namespace_raw[[#This Row],[Column1]])</f>
        <v/>
      </c>
      <c r="B235" s="33" t="str">
        <f>IF(ISNONTEXT(namespace_raw[[#This Row],[Column2]]), "", namespace_raw[[#This Row],[Column2]])</f>
        <v/>
      </c>
      <c r="C235" s="94" t="str">
        <f>IF(ISNUMBER(namespace_raw[[#This Row],[Column4]]), namespace_raw[[#This Row],[Column4]], "")</f>
        <v/>
      </c>
      <c r="D235" s="95" t="str">
        <f>IF(ISNUMBER(namespace_raw[[#This Row],[Column5]]), namespace_raw[[#This Row],[Column5]]/1048576, "")</f>
        <v/>
      </c>
      <c r="E235" s="95" t="str">
        <f>IF(ISNUMBER(namespace_raw[[#This Row],[Column6]]), namespace_raw[[#This Row],[Column6]],"")</f>
        <v/>
      </c>
      <c r="F235" s="96" t="str">
        <f>IF(ISNUMBER(namespace_raw[[#This Row],[Column7]]), namespace_raw[[#This Row],[Column7]]/1048576,"")</f>
        <v/>
      </c>
      <c r="G235" s="122" t="str">
        <f>IF(ISNUMBER(namespace_raw[[#This Row],[Column8]]), namespace_raw[[#This Row],[Column8]],"")</f>
        <v/>
      </c>
      <c r="H235" s="123" t="str">
        <f>IF(ISNUMBER(namespace_raw[[#This Row],[Column9]]), namespace_raw[[#This Row],[Column9]]/1048576,"")</f>
        <v/>
      </c>
      <c r="I235" s="124" t="str">
        <f>IF(ISNUMBER(namespace_raw[[#This Row],[Column8]]),MAX(G235, M235, O235, $I$2,IF(Q235&lt;&gt;"",VALUE(Q235),0)), "")</f>
        <v/>
      </c>
      <c r="J235" s="125" t="str">
        <f>IF(ISNUMBER(namespace_raw[[#This Row],[Column9]]),MAX(H235, N235, P235, $J$2,IF(R235&lt;&gt;"",VALUE(R235),0)),"")</f>
        <v/>
      </c>
      <c r="K235" s="166" t="str">
        <f>IF(ISNUMBER(namespace_raw[[#This Row],[Column12]]), namespace_raw[[#This Row],[Column12]],"")</f>
        <v/>
      </c>
      <c r="L235" s="167" t="str">
        <f>IF(ISNUMBER(namespace_raw[[#This Row],[Column13]]), namespace_raw[[#This Row],[Column13]]/1048576,"")</f>
        <v/>
      </c>
      <c r="M235" s="168" t="str">
        <f>IF(ISNUMBER(namespace_raw[[#This Row],[Column10]]), (namespace_raw[[#This Row],[Column10]]*(1+$M$2)),"")</f>
        <v/>
      </c>
      <c r="N235" s="167" t="str">
        <f>IF(ISNUMBER(namespace_raw[[#This Row],[Column11]]), (namespace_raw[[#This Row],[Column11]]*(1+$N$2))/1048576,"")</f>
        <v/>
      </c>
      <c r="O235" s="169" t="str">
        <f>IF(ISNUMBER(namespace_raw[[#This Row],[Column8]]), (E235  * $O$2),"")</f>
        <v/>
      </c>
      <c r="P235" s="170" t="str">
        <f>IF(ISNUMBER(namespace_raw[[#This Row],[Column8]]), (F235  * $P$2),"")</f>
        <v/>
      </c>
    </row>
    <row r="236" spans="1:16" ht="15" customHeight="1" x14ac:dyDescent="0.25">
      <c r="A236" s="32" t="str">
        <f>IF(ISNONTEXT(namespace_raw[[#This Row],[Column1]]), "", namespace_raw[[#This Row],[Column1]])</f>
        <v/>
      </c>
      <c r="B236" s="33" t="str">
        <f>IF(ISNONTEXT(namespace_raw[[#This Row],[Column2]]), "", namespace_raw[[#This Row],[Column2]])</f>
        <v/>
      </c>
      <c r="C236" s="94" t="str">
        <f>IF(ISNUMBER(namespace_raw[[#This Row],[Column4]]), namespace_raw[[#This Row],[Column4]], "")</f>
        <v/>
      </c>
      <c r="D236" s="95" t="str">
        <f>IF(ISNUMBER(namespace_raw[[#This Row],[Column5]]), namespace_raw[[#This Row],[Column5]]/1048576, "")</f>
        <v/>
      </c>
      <c r="E236" s="95" t="str">
        <f>IF(ISNUMBER(namespace_raw[[#This Row],[Column6]]), namespace_raw[[#This Row],[Column6]],"")</f>
        <v/>
      </c>
      <c r="F236" s="96" t="str">
        <f>IF(ISNUMBER(namespace_raw[[#This Row],[Column7]]), namespace_raw[[#This Row],[Column7]]/1048576,"")</f>
        <v/>
      </c>
      <c r="G236" s="122" t="str">
        <f>IF(ISNUMBER(namespace_raw[[#This Row],[Column8]]), namespace_raw[[#This Row],[Column8]],"")</f>
        <v/>
      </c>
      <c r="H236" s="123" t="str">
        <f>IF(ISNUMBER(namespace_raw[[#This Row],[Column9]]), namespace_raw[[#This Row],[Column9]]/1048576,"")</f>
        <v/>
      </c>
      <c r="I236" s="124" t="str">
        <f>IF(ISNUMBER(namespace_raw[[#This Row],[Column8]]),MAX(G236, M236, O236, $I$2,IF(Q236&lt;&gt;"",VALUE(Q236),0)), "")</f>
        <v/>
      </c>
      <c r="J236" s="125" t="str">
        <f>IF(ISNUMBER(namespace_raw[[#This Row],[Column9]]),MAX(H236, N236, P236, $J$2,IF(R236&lt;&gt;"",VALUE(R236),0)),"")</f>
        <v/>
      </c>
      <c r="K236" s="166" t="str">
        <f>IF(ISNUMBER(namespace_raw[[#This Row],[Column12]]), namespace_raw[[#This Row],[Column12]],"")</f>
        <v/>
      </c>
      <c r="L236" s="167" t="str">
        <f>IF(ISNUMBER(namespace_raw[[#This Row],[Column13]]), namespace_raw[[#This Row],[Column13]]/1048576,"")</f>
        <v/>
      </c>
      <c r="M236" s="168" t="str">
        <f>IF(ISNUMBER(namespace_raw[[#This Row],[Column10]]), (namespace_raw[[#This Row],[Column10]]*(1+$M$2)),"")</f>
        <v/>
      </c>
      <c r="N236" s="167" t="str">
        <f>IF(ISNUMBER(namespace_raw[[#This Row],[Column11]]), (namespace_raw[[#This Row],[Column11]]*(1+$N$2))/1048576,"")</f>
        <v/>
      </c>
      <c r="O236" s="169" t="str">
        <f>IF(ISNUMBER(namespace_raw[[#This Row],[Column8]]), (E236  * $O$2),"")</f>
        <v/>
      </c>
      <c r="P236" s="170" t="str">
        <f>IF(ISNUMBER(namespace_raw[[#This Row],[Column8]]), (F236  * $P$2),"")</f>
        <v/>
      </c>
    </row>
    <row r="237" spans="1:16" ht="15" customHeight="1" x14ac:dyDescent="0.25">
      <c r="A237" s="32" t="str">
        <f>IF(ISNONTEXT(namespace_raw[[#This Row],[Column1]]), "", namespace_raw[[#This Row],[Column1]])</f>
        <v/>
      </c>
      <c r="B237" s="33" t="str">
        <f>IF(ISNONTEXT(namespace_raw[[#This Row],[Column2]]), "", namespace_raw[[#This Row],[Column2]])</f>
        <v/>
      </c>
      <c r="C237" s="94" t="str">
        <f>IF(ISNUMBER(namespace_raw[[#This Row],[Column4]]), namespace_raw[[#This Row],[Column4]], "")</f>
        <v/>
      </c>
      <c r="D237" s="95" t="str">
        <f>IF(ISNUMBER(namespace_raw[[#This Row],[Column5]]), namespace_raw[[#This Row],[Column5]]/1048576, "")</f>
        <v/>
      </c>
      <c r="E237" s="95" t="str">
        <f>IF(ISNUMBER(namespace_raw[[#This Row],[Column6]]), namespace_raw[[#This Row],[Column6]],"")</f>
        <v/>
      </c>
      <c r="F237" s="96" t="str">
        <f>IF(ISNUMBER(namespace_raw[[#This Row],[Column7]]), namespace_raw[[#This Row],[Column7]]/1048576,"")</f>
        <v/>
      </c>
      <c r="G237" s="122" t="str">
        <f>IF(ISNUMBER(namespace_raw[[#This Row],[Column8]]), namespace_raw[[#This Row],[Column8]],"")</f>
        <v/>
      </c>
      <c r="H237" s="123" t="str">
        <f>IF(ISNUMBER(namespace_raw[[#This Row],[Column9]]), namespace_raw[[#This Row],[Column9]]/1048576,"")</f>
        <v/>
      </c>
      <c r="I237" s="124" t="str">
        <f>IF(ISNUMBER(namespace_raw[[#This Row],[Column8]]),MAX(G237, M237, O237, $I$2,IF(Q237&lt;&gt;"",VALUE(Q237),0)), "")</f>
        <v/>
      </c>
      <c r="J237" s="125" t="str">
        <f>IF(ISNUMBER(namespace_raw[[#This Row],[Column9]]),MAX(H237, N237, P237, $J$2,IF(R237&lt;&gt;"",VALUE(R237),0)),"")</f>
        <v/>
      </c>
      <c r="K237" s="166" t="str">
        <f>IF(ISNUMBER(namespace_raw[[#This Row],[Column12]]), namespace_raw[[#This Row],[Column12]],"")</f>
        <v/>
      </c>
      <c r="L237" s="167" t="str">
        <f>IF(ISNUMBER(namespace_raw[[#This Row],[Column13]]), namespace_raw[[#This Row],[Column13]]/1048576,"")</f>
        <v/>
      </c>
      <c r="M237" s="168" t="str">
        <f>IF(ISNUMBER(namespace_raw[[#This Row],[Column10]]), (namespace_raw[[#This Row],[Column10]]*(1+$M$2)),"")</f>
        <v/>
      </c>
      <c r="N237" s="167" t="str">
        <f>IF(ISNUMBER(namespace_raw[[#This Row],[Column11]]), (namespace_raw[[#This Row],[Column11]]*(1+$N$2))/1048576,"")</f>
        <v/>
      </c>
      <c r="O237" s="169" t="str">
        <f>IF(ISNUMBER(namespace_raw[[#This Row],[Column8]]), (E237  * $O$2),"")</f>
        <v/>
      </c>
      <c r="P237" s="170" t="str">
        <f>IF(ISNUMBER(namespace_raw[[#This Row],[Column8]]), (F237  * $P$2),"")</f>
        <v/>
      </c>
    </row>
    <row r="238" spans="1:16" ht="15" customHeight="1" x14ac:dyDescent="0.25">
      <c r="A238" s="32" t="str">
        <f>IF(ISNONTEXT(namespace_raw[[#This Row],[Column1]]), "", namespace_raw[[#This Row],[Column1]])</f>
        <v/>
      </c>
      <c r="B238" s="33" t="str">
        <f>IF(ISNONTEXT(namespace_raw[[#This Row],[Column2]]), "", namespace_raw[[#This Row],[Column2]])</f>
        <v/>
      </c>
      <c r="C238" s="94" t="str">
        <f>IF(ISNUMBER(namespace_raw[[#This Row],[Column4]]), namespace_raw[[#This Row],[Column4]], "")</f>
        <v/>
      </c>
      <c r="D238" s="95" t="str">
        <f>IF(ISNUMBER(namespace_raw[[#This Row],[Column5]]), namespace_raw[[#This Row],[Column5]]/1048576, "")</f>
        <v/>
      </c>
      <c r="E238" s="95" t="str">
        <f>IF(ISNUMBER(namespace_raw[[#This Row],[Column6]]), namespace_raw[[#This Row],[Column6]],"")</f>
        <v/>
      </c>
      <c r="F238" s="96" t="str">
        <f>IF(ISNUMBER(namespace_raw[[#This Row],[Column7]]), namespace_raw[[#This Row],[Column7]]/1048576,"")</f>
        <v/>
      </c>
      <c r="G238" s="122" t="str">
        <f>IF(ISNUMBER(namespace_raw[[#This Row],[Column8]]), namespace_raw[[#This Row],[Column8]],"")</f>
        <v/>
      </c>
      <c r="H238" s="123" t="str">
        <f>IF(ISNUMBER(namespace_raw[[#This Row],[Column9]]), namespace_raw[[#This Row],[Column9]]/1048576,"")</f>
        <v/>
      </c>
      <c r="I238" s="124" t="str">
        <f>IF(ISNUMBER(namespace_raw[[#This Row],[Column8]]),MAX(G238, M238, O238, $I$2,IF(Q238&lt;&gt;"",VALUE(Q238),0)), "")</f>
        <v/>
      </c>
      <c r="J238" s="125" t="str">
        <f>IF(ISNUMBER(namespace_raw[[#This Row],[Column9]]),MAX(H238, N238, P238, $J$2,IF(R238&lt;&gt;"",VALUE(R238),0)),"")</f>
        <v/>
      </c>
      <c r="K238" s="166" t="str">
        <f>IF(ISNUMBER(namespace_raw[[#This Row],[Column12]]), namespace_raw[[#This Row],[Column12]],"")</f>
        <v/>
      </c>
      <c r="L238" s="167" t="str">
        <f>IF(ISNUMBER(namespace_raw[[#This Row],[Column13]]), namespace_raw[[#This Row],[Column13]]/1048576,"")</f>
        <v/>
      </c>
      <c r="M238" s="168" t="str">
        <f>IF(ISNUMBER(namespace_raw[[#This Row],[Column10]]), (namespace_raw[[#This Row],[Column10]]*(1+$M$2)),"")</f>
        <v/>
      </c>
      <c r="N238" s="167" t="str">
        <f>IF(ISNUMBER(namespace_raw[[#This Row],[Column11]]), (namespace_raw[[#This Row],[Column11]]*(1+$N$2))/1048576,"")</f>
        <v/>
      </c>
      <c r="O238" s="169" t="str">
        <f>IF(ISNUMBER(namespace_raw[[#This Row],[Column8]]), (E238  * $O$2),"")</f>
        <v/>
      </c>
      <c r="P238" s="170" t="str">
        <f>IF(ISNUMBER(namespace_raw[[#This Row],[Column8]]), (F238  * $P$2),"")</f>
        <v/>
      </c>
    </row>
    <row r="239" spans="1:16" ht="15" customHeight="1" x14ac:dyDescent="0.25">
      <c r="A239" s="32" t="str">
        <f>IF(ISNONTEXT(namespace_raw[[#This Row],[Column1]]), "", namespace_raw[[#This Row],[Column1]])</f>
        <v/>
      </c>
      <c r="B239" s="33" t="str">
        <f>IF(ISNONTEXT(namespace_raw[[#This Row],[Column2]]), "", namespace_raw[[#This Row],[Column2]])</f>
        <v/>
      </c>
      <c r="C239" s="94" t="str">
        <f>IF(ISNUMBER(namespace_raw[[#This Row],[Column4]]), namespace_raw[[#This Row],[Column4]], "")</f>
        <v/>
      </c>
      <c r="D239" s="95" t="str">
        <f>IF(ISNUMBER(namespace_raw[[#This Row],[Column5]]), namespace_raw[[#This Row],[Column5]]/1048576, "")</f>
        <v/>
      </c>
      <c r="E239" s="95" t="str">
        <f>IF(ISNUMBER(namespace_raw[[#This Row],[Column6]]), namespace_raw[[#This Row],[Column6]],"")</f>
        <v/>
      </c>
      <c r="F239" s="96" t="str">
        <f>IF(ISNUMBER(namespace_raw[[#This Row],[Column7]]), namespace_raw[[#This Row],[Column7]]/1048576,"")</f>
        <v/>
      </c>
      <c r="G239" s="122" t="str">
        <f>IF(ISNUMBER(namespace_raw[[#This Row],[Column8]]), namespace_raw[[#This Row],[Column8]],"")</f>
        <v/>
      </c>
      <c r="H239" s="123" t="str">
        <f>IF(ISNUMBER(namespace_raw[[#This Row],[Column9]]), namespace_raw[[#This Row],[Column9]]/1048576,"")</f>
        <v/>
      </c>
      <c r="I239" s="124" t="str">
        <f>IF(ISNUMBER(namespace_raw[[#This Row],[Column8]]),MAX(G239, M239, O239, $I$2,IF(Q239&lt;&gt;"",VALUE(Q239),0)), "")</f>
        <v/>
      </c>
      <c r="J239" s="125" t="str">
        <f>IF(ISNUMBER(namespace_raw[[#This Row],[Column9]]),MAX(H239, N239, P239, $J$2,IF(R239&lt;&gt;"",VALUE(R239),0)),"")</f>
        <v/>
      </c>
      <c r="K239" s="166" t="str">
        <f>IF(ISNUMBER(namespace_raw[[#This Row],[Column12]]), namespace_raw[[#This Row],[Column12]],"")</f>
        <v/>
      </c>
      <c r="L239" s="167" t="str">
        <f>IF(ISNUMBER(namespace_raw[[#This Row],[Column13]]), namespace_raw[[#This Row],[Column13]]/1048576,"")</f>
        <v/>
      </c>
      <c r="M239" s="168" t="str">
        <f>IF(ISNUMBER(namespace_raw[[#This Row],[Column10]]), (namespace_raw[[#This Row],[Column10]]*(1+$M$2)),"")</f>
        <v/>
      </c>
      <c r="N239" s="167" t="str">
        <f>IF(ISNUMBER(namespace_raw[[#This Row],[Column11]]), (namespace_raw[[#This Row],[Column11]]*(1+$N$2))/1048576,"")</f>
        <v/>
      </c>
      <c r="O239" s="169" t="str">
        <f>IF(ISNUMBER(namespace_raw[[#This Row],[Column8]]), (E239  * $O$2),"")</f>
        <v/>
      </c>
      <c r="P239" s="170" t="str">
        <f>IF(ISNUMBER(namespace_raw[[#This Row],[Column8]]), (F239  * $P$2),"")</f>
        <v/>
      </c>
    </row>
    <row r="240" spans="1:16" ht="15" customHeight="1" x14ac:dyDescent="0.25">
      <c r="A240" s="32" t="str">
        <f>IF(ISNONTEXT(namespace_raw[[#This Row],[Column1]]), "", namespace_raw[[#This Row],[Column1]])</f>
        <v/>
      </c>
      <c r="B240" s="33" t="str">
        <f>IF(ISNONTEXT(namespace_raw[[#This Row],[Column2]]), "", namespace_raw[[#This Row],[Column2]])</f>
        <v/>
      </c>
      <c r="C240" s="94" t="str">
        <f>IF(ISNUMBER(namespace_raw[[#This Row],[Column4]]), namespace_raw[[#This Row],[Column4]], "")</f>
        <v/>
      </c>
      <c r="D240" s="95" t="str">
        <f>IF(ISNUMBER(namespace_raw[[#This Row],[Column5]]), namespace_raw[[#This Row],[Column5]]/1048576, "")</f>
        <v/>
      </c>
      <c r="E240" s="95" t="str">
        <f>IF(ISNUMBER(namespace_raw[[#This Row],[Column6]]), namespace_raw[[#This Row],[Column6]],"")</f>
        <v/>
      </c>
      <c r="F240" s="96" t="str">
        <f>IF(ISNUMBER(namespace_raw[[#This Row],[Column7]]), namespace_raw[[#This Row],[Column7]]/1048576,"")</f>
        <v/>
      </c>
      <c r="G240" s="122" t="str">
        <f>IF(ISNUMBER(namespace_raw[[#This Row],[Column8]]), namespace_raw[[#This Row],[Column8]],"")</f>
        <v/>
      </c>
      <c r="H240" s="123" t="str">
        <f>IF(ISNUMBER(namespace_raw[[#This Row],[Column9]]), namespace_raw[[#This Row],[Column9]]/1048576,"")</f>
        <v/>
      </c>
      <c r="I240" s="124" t="str">
        <f>IF(ISNUMBER(namespace_raw[[#This Row],[Column8]]),MAX(G240, M240, O240, $I$2,IF(Q240&lt;&gt;"",VALUE(Q240),0)), "")</f>
        <v/>
      </c>
      <c r="J240" s="125" t="str">
        <f>IF(ISNUMBER(namespace_raw[[#This Row],[Column9]]),MAX(H240, N240, P240, $J$2,IF(R240&lt;&gt;"",VALUE(R240),0)),"")</f>
        <v/>
      </c>
      <c r="K240" s="166" t="str">
        <f>IF(ISNUMBER(namespace_raw[[#This Row],[Column12]]), namespace_raw[[#This Row],[Column12]],"")</f>
        <v/>
      </c>
      <c r="L240" s="167" t="str">
        <f>IF(ISNUMBER(namespace_raw[[#This Row],[Column13]]), namespace_raw[[#This Row],[Column13]]/1048576,"")</f>
        <v/>
      </c>
      <c r="M240" s="168" t="str">
        <f>IF(ISNUMBER(namespace_raw[[#This Row],[Column10]]), (namespace_raw[[#This Row],[Column10]]*(1+$M$2)),"")</f>
        <v/>
      </c>
      <c r="N240" s="167" t="str">
        <f>IF(ISNUMBER(namespace_raw[[#This Row],[Column11]]), (namespace_raw[[#This Row],[Column11]]*(1+$N$2))/1048576,"")</f>
        <v/>
      </c>
      <c r="O240" s="169" t="str">
        <f>IF(ISNUMBER(namespace_raw[[#This Row],[Column8]]), (E240  * $O$2),"")</f>
        <v/>
      </c>
      <c r="P240" s="170" t="str">
        <f>IF(ISNUMBER(namespace_raw[[#This Row],[Column8]]), (F240  * $P$2),"")</f>
        <v/>
      </c>
    </row>
    <row r="241" spans="1:16" ht="15" customHeight="1" x14ac:dyDescent="0.25">
      <c r="A241" s="32" t="str">
        <f>IF(ISNONTEXT(namespace_raw[[#This Row],[Column1]]), "", namespace_raw[[#This Row],[Column1]])</f>
        <v/>
      </c>
      <c r="B241" s="33" t="str">
        <f>IF(ISNONTEXT(namespace_raw[[#This Row],[Column2]]), "", namespace_raw[[#This Row],[Column2]])</f>
        <v/>
      </c>
      <c r="C241" s="94" t="str">
        <f>IF(ISNUMBER(namespace_raw[[#This Row],[Column4]]), namespace_raw[[#This Row],[Column4]], "")</f>
        <v/>
      </c>
      <c r="D241" s="95" t="str">
        <f>IF(ISNUMBER(namespace_raw[[#This Row],[Column5]]), namespace_raw[[#This Row],[Column5]]/1048576, "")</f>
        <v/>
      </c>
      <c r="E241" s="95" t="str">
        <f>IF(ISNUMBER(namespace_raw[[#This Row],[Column6]]), namespace_raw[[#This Row],[Column6]],"")</f>
        <v/>
      </c>
      <c r="F241" s="96" t="str">
        <f>IF(ISNUMBER(namespace_raw[[#This Row],[Column7]]), namespace_raw[[#This Row],[Column7]]/1048576,"")</f>
        <v/>
      </c>
      <c r="G241" s="122" t="str">
        <f>IF(ISNUMBER(namespace_raw[[#This Row],[Column8]]), namespace_raw[[#This Row],[Column8]],"")</f>
        <v/>
      </c>
      <c r="H241" s="123" t="str">
        <f>IF(ISNUMBER(namespace_raw[[#This Row],[Column9]]), namespace_raw[[#This Row],[Column9]]/1048576,"")</f>
        <v/>
      </c>
      <c r="I241" s="124" t="str">
        <f>IF(ISNUMBER(namespace_raw[[#This Row],[Column8]]),MAX(G241, M241, O241, $I$2,IF(Q241&lt;&gt;"",VALUE(Q241),0)), "")</f>
        <v/>
      </c>
      <c r="J241" s="125" t="str">
        <f>IF(ISNUMBER(namespace_raw[[#This Row],[Column9]]),MAX(H241, N241, P241, $J$2,IF(R241&lt;&gt;"",VALUE(R241),0)),"")</f>
        <v/>
      </c>
      <c r="K241" s="166" t="str">
        <f>IF(ISNUMBER(namespace_raw[[#This Row],[Column12]]), namespace_raw[[#This Row],[Column12]],"")</f>
        <v/>
      </c>
      <c r="L241" s="167" t="str">
        <f>IF(ISNUMBER(namespace_raw[[#This Row],[Column13]]), namespace_raw[[#This Row],[Column13]]/1048576,"")</f>
        <v/>
      </c>
      <c r="M241" s="168" t="str">
        <f>IF(ISNUMBER(namespace_raw[[#This Row],[Column10]]), (namespace_raw[[#This Row],[Column10]]*(1+$M$2)),"")</f>
        <v/>
      </c>
      <c r="N241" s="167" t="str">
        <f>IF(ISNUMBER(namespace_raw[[#This Row],[Column11]]), (namespace_raw[[#This Row],[Column11]]*(1+$N$2))/1048576,"")</f>
        <v/>
      </c>
      <c r="O241" s="169" t="str">
        <f>IF(ISNUMBER(namespace_raw[[#This Row],[Column8]]), (E241  * $O$2),"")</f>
        <v/>
      </c>
      <c r="P241" s="170" t="str">
        <f>IF(ISNUMBER(namespace_raw[[#This Row],[Column8]]), (F241  * $P$2),"")</f>
        <v/>
      </c>
    </row>
    <row r="242" spans="1:16" ht="15" customHeight="1" x14ac:dyDescent="0.25">
      <c r="A242" s="32" t="str">
        <f>IF(ISNONTEXT(namespace_raw[[#This Row],[Column1]]), "", namespace_raw[[#This Row],[Column1]])</f>
        <v/>
      </c>
      <c r="B242" s="33" t="str">
        <f>IF(ISNONTEXT(namespace_raw[[#This Row],[Column2]]), "", namespace_raw[[#This Row],[Column2]])</f>
        <v/>
      </c>
      <c r="C242" s="94" t="str">
        <f>IF(ISNUMBER(namespace_raw[[#This Row],[Column4]]), namespace_raw[[#This Row],[Column4]], "")</f>
        <v/>
      </c>
      <c r="D242" s="95" t="str">
        <f>IF(ISNUMBER(namespace_raw[[#This Row],[Column5]]), namespace_raw[[#This Row],[Column5]]/1048576, "")</f>
        <v/>
      </c>
      <c r="E242" s="95" t="str">
        <f>IF(ISNUMBER(namespace_raw[[#This Row],[Column6]]), namespace_raw[[#This Row],[Column6]],"")</f>
        <v/>
      </c>
      <c r="F242" s="96" t="str">
        <f>IF(ISNUMBER(namespace_raw[[#This Row],[Column7]]), namespace_raw[[#This Row],[Column7]]/1048576,"")</f>
        <v/>
      </c>
      <c r="G242" s="122" t="str">
        <f>IF(ISNUMBER(namespace_raw[[#This Row],[Column8]]), namespace_raw[[#This Row],[Column8]],"")</f>
        <v/>
      </c>
      <c r="H242" s="123" t="str">
        <f>IF(ISNUMBER(namespace_raw[[#This Row],[Column9]]), namespace_raw[[#This Row],[Column9]]/1048576,"")</f>
        <v/>
      </c>
      <c r="I242" s="124" t="str">
        <f>IF(ISNUMBER(namespace_raw[[#This Row],[Column8]]),MAX(G242, M242, O242, $I$2,IF(Q242&lt;&gt;"",VALUE(Q242),0)), "")</f>
        <v/>
      </c>
      <c r="J242" s="125" t="str">
        <f>IF(ISNUMBER(namespace_raw[[#This Row],[Column9]]),MAX(H242, N242, P242, $J$2,IF(R242&lt;&gt;"",VALUE(R242),0)),"")</f>
        <v/>
      </c>
      <c r="K242" s="166" t="str">
        <f>IF(ISNUMBER(namespace_raw[[#This Row],[Column12]]), namespace_raw[[#This Row],[Column12]],"")</f>
        <v/>
      </c>
      <c r="L242" s="167" t="str">
        <f>IF(ISNUMBER(namespace_raw[[#This Row],[Column13]]), namespace_raw[[#This Row],[Column13]]/1048576,"")</f>
        <v/>
      </c>
      <c r="M242" s="168" t="str">
        <f>IF(ISNUMBER(namespace_raw[[#This Row],[Column10]]), (namespace_raw[[#This Row],[Column10]]*(1+$M$2)),"")</f>
        <v/>
      </c>
      <c r="N242" s="167" t="str">
        <f>IF(ISNUMBER(namespace_raw[[#This Row],[Column11]]), (namespace_raw[[#This Row],[Column11]]*(1+$N$2))/1048576,"")</f>
        <v/>
      </c>
      <c r="O242" s="169" t="str">
        <f>IF(ISNUMBER(namespace_raw[[#This Row],[Column8]]), (E242  * $O$2),"")</f>
        <v/>
      </c>
      <c r="P242" s="170" t="str">
        <f>IF(ISNUMBER(namespace_raw[[#This Row],[Column8]]), (F242  * $P$2),"")</f>
        <v/>
      </c>
    </row>
    <row r="243" spans="1:16" ht="15" customHeight="1" x14ac:dyDescent="0.25">
      <c r="A243" s="32" t="str">
        <f>IF(ISNONTEXT(namespace_raw[[#This Row],[Column1]]), "", namespace_raw[[#This Row],[Column1]])</f>
        <v/>
      </c>
      <c r="B243" s="33" t="str">
        <f>IF(ISNONTEXT(namespace_raw[[#This Row],[Column2]]), "", namespace_raw[[#This Row],[Column2]])</f>
        <v/>
      </c>
      <c r="C243" s="94" t="str">
        <f>IF(ISNUMBER(namespace_raw[[#This Row],[Column4]]), namespace_raw[[#This Row],[Column4]], "")</f>
        <v/>
      </c>
      <c r="D243" s="95" t="str">
        <f>IF(ISNUMBER(namespace_raw[[#This Row],[Column5]]), namespace_raw[[#This Row],[Column5]]/1048576, "")</f>
        <v/>
      </c>
      <c r="E243" s="95" t="str">
        <f>IF(ISNUMBER(namespace_raw[[#This Row],[Column6]]), namespace_raw[[#This Row],[Column6]],"")</f>
        <v/>
      </c>
      <c r="F243" s="96" t="str">
        <f>IF(ISNUMBER(namespace_raw[[#This Row],[Column7]]), namespace_raw[[#This Row],[Column7]]/1048576,"")</f>
        <v/>
      </c>
      <c r="G243" s="122" t="str">
        <f>IF(ISNUMBER(namespace_raw[[#This Row],[Column8]]), namespace_raw[[#This Row],[Column8]],"")</f>
        <v/>
      </c>
      <c r="H243" s="123" t="str">
        <f>IF(ISNUMBER(namespace_raw[[#This Row],[Column9]]), namespace_raw[[#This Row],[Column9]]/1048576,"")</f>
        <v/>
      </c>
      <c r="I243" s="124" t="str">
        <f>IF(ISNUMBER(namespace_raw[[#This Row],[Column8]]),MAX(G243, M243, O243, $I$2,IF(Q243&lt;&gt;"",VALUE(Q243),0)), "")</f>
        <v/>
      </c>
      <c r="J243" s="125" t="str">
        <f>IF(ISNUMBER(namespace_raw[[#This Row],[Column9]]),MAX(H243, N243, P243, $J$2,IF(R243&lt;&gt;"",VALUE(R243),0)),"")</f>
        <v/>
      </c>
      <c r="K243" s="166" t="str">
        <f>IF(ISNUMBER(namespace_raw[[#This Row],[Column12]]), namespace_raw[[#This Row],[Column12]],"")</f>
        <v/>
      </c>
      <c r="L243" s="167" t="str">
        <f>IF(ISNUMBER(namespace_raw[[#This Row],[Column13]]), namespace_raw[[#This Row],[Column13]]/1048576,"")</f>
        <v/>
      </c>
      <c r="M243" s="168" t="str">
        <f>IF(ISNUMBER(namespace_raw[[#This Row],[Column10]]), (namespace_raw[[#This Row],[Column10]]*(1+$M$2)),"")</f>
        <v/>
      </c>
      <c r="N243" s="167" t="str">
        <f>IF(ISNUMBER(namespace_raw[[#This Row],[Column11]]), (namespace_raw[[#This Row],[Column11]]*(1+$N$2))/1048576,"")</f>
        <v/>
      </c>
      <c r="O243" s="169" t="str">
        <f>IF(ISNUMBER(namespace_raw[[#This Row],[Column8]]), (E243  * $O$2),"")</f>
        <v/>
      </c>
      <c r="P243" s="170" t="str">
        <f>IF(ISNUMBER(namespace_raw[[#This Row],[Column8]]), (F243  * $P$2),"")</f>
        <v/>
      </c>
    </row>
    <row r="244" spans="1:16" ht="15" customHeight="1" x14ac:dyDescent="0.25">
      <c r="A244" s="32" t="str">
        <f>IF(ISNONTEXT(namespace_raw[[#This Row],[Column1]]), "", namespace_raw[[#This Row],[Column1]])</f>
        <v/>
      </c>
      <c r="B244" s="33" t="str">
        <f>IF(ISNONTEXT(namespace_raw[[#This Row],[Column2]]), "", namespace_raw[[#This Row],[Column2]])</f>
        <v/>
      </c>
      <c r="C244" s="94" t="str">
        <f>IF(ISNUMBER(namespace_raw[[#This Row],[Column4]]), namespace_raw[[#This Row],[Column4]], "")</f>
        <v/>
      </c>
      <c r="D244" s="95" t="str">
        <f>IF(ISNUMBER(namespace_raw[[#This Row],[Column5]]), namespace_raw[[#This Row],[Column5]]/1048576, "")</f>
        <v/>
      </c>
      <c r="E244" s="95" t="str">
        <f>IF(ISNUMBER(namespace_raw[[#This Row],[Column6]]), namespace_raw[[#This Row],[Column6]],"")</f>
        <v/>
      </c>
      <c r="F244" s="96" t="str">
        <f>IF(ISNUMBER(namespace_raw[[#This Row],[Column7]]), namespace_raw[[#This Row],[Column7]]/1048576,"")</f>
        <v/>
      </c>
      <c r="G244" s="122" t="str">
        <f>IF(ISNUMBER(namespace_raw[[#This Row],[Column8]]), namespace_raw[[#This Row],[Column8]],"")</f>
        <v/>
      </c>
      <c r="H244" s="123" t="str">
        <f>IF(ISNUMBER(namespace_raw[[#This Row],[Column9]]), namespace_raw[[#This Row],[Column9]]/1048576,"")</f>
        <v/>
      </c>
      <c r="I244" s="124" t="str">
        <f>IF(ISNUMBER(namespace_raw[[#This Row],[Column8]]),MAX(G244, M244, O244, $I$2,IF(Q244&lt;&gt;"",VALUE(Q244),0)), "")</f>
        <v/>
      </c>
      <c r="J244" s="125" t="str">
        <f>IF(ISNUMBER(namespace_raw[[#This Row],[Column9]]),MAX(H244, N244, P244, $J$2,IF(R244&lt;&gt;"",VALUE(R244),0)),"")</f>
        <v/>
      </c>
      <c r="K244" s="166" t="str">
        <f>IF(ISNUMBER(namespace_raw[[#This Row],[Column12]]), namespace_raw[[#This Row],[Column12]],"")</f>
        <v/>
      </c>
      <c r="L244" s="167" t="str">
        <f>IF(ISNUMBER(namespace_raw[[#This Row],[Column13]]), namespace_raw[[#This Row],[Column13]]/1048576,"")</f>
        <v/>
      </c>
      <c r="M244" s="168" t="str">
        <f>IF(ISNUMBER(namespace_raw[[#This Row],[Column10]]), (namespace_raw[[#This Row],[Column10]]*(1+$M$2)),"")</f>
        <v/>
      </c>
      <c r="N244" s="167" t="str">
        <f>IF(ISNUMBER(namespace_raw[[#This Row],[Column11]]), (namespace_raw[[#This Row],[Column11]]*(1+$N$2))/1048576,"")</f>
        <v/>
      </c>
      <c r="O244" s="169" t="str">
        <f>IF(ISNUMBER(namespace_raw[[#This Row],[Column8]]), (E244  * $O$2),"")</f>
        <v/>
      </c>
      <c r="P244" s="170" t="str">
        <f>IF(ISNUMBER(namespace_raw[[#This Row],[Column8]]), (F244  * $P$2),"")</f>
        <v/>
      </c>
    </row>
    <row r="245" spans="1:16" ht="15" customHeight="1" x14ac:dyDescent="0.25">
      <c r="A245" s="32" t="str">
        <f>IF(ISNONTEXT(namespace_raw[[#This Row],[Column1]]), "", namespace_raw[[#This Row],[Column1]])</f>
        <v/>
      </c>
      <c r="B245" s="33" t="str">
        <f>IF(ISNONTEXT(namespace_raw[[#This Row],[Column2]]), "", namespace_raw[[#This Row],[Column2]])</f>
        <v/>
      </c>
      <c r="C245" s="94" t="str">
        <f>IF(ISNUMBER(namespace_raw[[#This Row],[Column4]]), namespace_raw[[#This Row],[Column4]], "")</f>
        <v/>
      </c>
      <c r="D245" s="95" t="str">
        <f>IF(ISNUMBER(namespace_raw[[#This Row],[Column5]]), namespace_raw[[#This Row],[Column5]]/1048576, "")</f>
        <v/>
      </c>
      <c r="E245" s="95" t="str">
        <f>IF(ISNUMBER(namespace_raw[[#This Row],[Column6]]), namespace_raw[[#This Row],[Column6]],"")</f>
        <v/>
      </c>
      <c r="F245" s="96" t="str">
        <f>IF(ISNUMBER(namespace_raw[[#This Row],[Column7]]), namespace_raw[[#This Row],[Column7]]/1048576,"")</f>
        <v/>
      </c>
      <c r="G245" s="122" t="str">
        <f>IF(ISNUMBER(namespace_raw[[#This Row],[Column8]]), namespace_raw[[#This Row],[Column8]],"")</f>
        <v/>
      </c>
      <c r="H245" s="123" t="str">
        <f>IF(ISNUMBER(namespace_raw[[#This Row],[Column9]]), namespace_raw[[#This Row],[Column9]]/1048576,"")</f>
        <v/>
      </c>
      <c r="I245" s="124" t="str">
        <f>IF(ISNUMBER(namespace_raw[[#This Row],[Column8]]),MAX(G245, M245, O245, $I$2,IF(Q245&lt;&gt;"",VALUE(Q245),0)), "")</f>
        <v/>
      </c>
      <c r="J245" s="125" t="str">
        <f>IF(ISNUMBER(namespace_raw[[#This Row],[Column9]]),MAX(H245, N245, P245, $J$2,IF(R245&lt;&gt;"",VALUE(R245),0)),"")</f>
        <v/>
      </c>
      <c r="K245" s="166" t="str">
        <f>IF(ISNUMBER(namespace_raw[[#This Row],[Column12]]), namespace_raw[[#This Row],[Column12]],"")</f>
        <v/>
      </c>
      <c r="L245" s="167" t="str">
        <f>IF(ISNUMBER(namespace_raw[[#This Row],[Column13]]), namespace_raw[[#This Row],[Column13]]/1048576,"")</f>
        <v/>
      </c>
      <c r="M245" s="168" t="str">
        <f>IF(ISNUMBER(namespace_raw[[#This Row],[Column10]]), (namespace_raw[[#This Row],[Column10]]*(1+$M$2)),"")</f>
        <v/>
      </c>
      <c r="N245" s="167" t="str">
        <f>IF(ISNUMBER(namespace_raw[[#This Row],[Column11]]), (namespace_raw[[#This Row],[Column11]]*(1+$N$2))/1048576,"")</f>
        <v/>
      </c>
      <c r="O245" s="169" t="str">
        <f>IF(ISNUMBER(namespace_raw[[#This Row],[Column8]]), (E245  * $O$2),"")</f>
        <v/>
      </c>
      <c r="P245" s="170" t="str">
        <f>IF(ISNUMBER(namespace_raw[[#This Row],[Column8]]), (F245  * $P$2),"")</f>
        <v/>
      </c>
    </row>
    <row r="246" spans="1:16" ht="15" customHeight="1" x14ac:dyDescent="0.25">
      <c r="A246" s="32" t="str">
        <f>IF(ISNONTEXT(namespace_raw[[#This Row],[Column1]]), "", namespace_raw[[#This Row],[Column1]])</f>
        <v/>
      </c>
      <c r="B246" s="33" t="str">
        <f>IF(ISNONTEXT(namespace_raw[[#This Row],[Column2]]), "", namespace_raw[[#This Row],[Column2]])</f>
        <v/>
      </c>
      <c r="C246" s="94" t="str">
        <f>IF(ISNUMBER(namespace_raw[[#This Row],[Column4]]), namespace_raw[[#This Row],[Column4]], "")</f>
        <v/>
      </c>
      <c r="D246" s="95" t="str">
        <f>IF(ISNUMBER(namespace_raw[[#This Row],[Column5]]), namespace_raw[[#This Row],[Column5]]/1048576, "")</f>
        <v/>
      </c>
      <c r="E246" s="95" t="str">
        <f>IF(ISNUMBER(namespace_raw[[#This Row],[Column6]]), namespace_raw[[#This Row],[Column6]],"")</f>
        <v/>
      </c>
      <c r="F246" s="96" t="str">
        <f>IF(ISNUMBER(namespace_raw[[#This Row],[Column7]]), namespace_raw[[#This Row],[Column7]]/1048576,"")</f>
        <v/>
      </c>
      <c r="G246" s="122" t="str">
        <f>IF(ISNUMBER(namespace_raw[[#This Row],[Column8]]), namespace_raw[[#This Row],[Column8]],"")</f>
        <v/>
      </c>
      <c r="H246" s="123" t="str">
        <f>IF(ISNUMBER(namespace_raw[[#This Row],[Column9]]), namespace_raw[[#This Row],[Column9]]/1048576,"")</f>
        <v/>
      </c>
      <c r="I246" s="124" t="str">
        <f>IF(ISNUMBER(namespace_raw[[#This Row],[Column8]]),MAX(G246, M246, O246, $I$2,IF(Q246&lt;&gt;"",VALUE(Q246),0)), "")</f>
        <v/>
      </c>
      <c r="J246" s="125" t="str">
        <f>IF(ISNUMBER(namespace_raw[[#This Row],[Column9]]),MAX(H246, N246, P246, $J$2,IF(R246&lt;&gt;"",VALUE(R246),0)),"")</f>
        <v/>
      </c>
      <c r="K246" s="166" t="str">
        <f>IF(ISNUMBER(namespace_raw[[#This Row],[Column12]]), namespace_raw[[#This Row],[Column12]],"")</f>
        <v/>
      </c>
      <c r="L246" s="167" t="str">
        <f>IF(ISNUMBER(namespace_raw[[#This Row],[Column13]]), namespace_raw[[#This Row],[Column13]]/1048576,"")</f>
        <v/>
      </c>
      <c r="M246" s="168" t="str">
        <f>IF(ISNUMBER(namespace_raw[[#This Row],[Column10]]), (namespace_raw[[#This Row],[Column10]]*(1+$M$2)),"")</f>
        <v/>
      </c>
      <c r="N246" s="167" t="str">
        <f>IF(ISNUMBER(namespace_raw[[#This Row],[Column11]]), (namespace_raw[[#This Row],[Column11]]*(1+$N$2))/1048576,"")</f>
        <v/>
      </c>
      <c r="O246" s="169" t="str">
        <f>IF(ISNUMBER(namespace_raw[[#This Row],[Column8]]), (E246  * $O$2),"")</f>
        <v/>
      </c>
      <c r="P246" s="170" t="str">
        <f>IF(ISNUMBER(namespace_raw[[#This Row],[Column8]]), (F246  * $P$2),"")</f>
        <v/>
      </c>
    </row>
    <row r="247" spans="1:16" ht="15" customHeight="1" x14ac:dyDescent="0.25">
      <c r="A247" s="32" t="str">
        <f>IF(ISNONTEXT(namespace_raw[[#This Row],[Column1]]), "", namespace_raw[[#This Row],[Column1]])</f>
        <v/>
      </c>
      <c r="B247" s="33" t="str">
        <f>IF(ISNONTEXT(namespace_raw[[#This Row],[Column2]]), "", namespace_raw[[#This Row],[Column2]])</f>
        <v/>
      </c>
      <c r="C247" s="94" t="str">
        <f>IF(ISNUMBER(namespace_raw[[#This Row],[Column4]]), namespace_raw[[#This Row],[Column4]], "")</f>
        <v/>
      </c>
      <c r="D247" s="95" t="str">
        <f>IF(ISNUMBER(namespace_raw[[#This Row],[Column5]]), namespace_raw[[#This Row],[Column5]]/1048576, "")</f>
        <v/>
      </c>
      <c r="E247" s="95" t="str">
        <f>IF(ISNUMBER(namespace_raw[[#This Row],[Column6]]), namespace_raw[[#This Row],[Column6]],"")</f>
        <v/>
      </c>
      <c r="F247" s="96" t="str">
        <f>IF(ISNUMBER(namespace_raw[[#This Row],[Column7]]), namespace_raw[[#This Row],[Column7]]/1048576,"")</f>
        <v/>
      </c>
      <c r="G247" s="122" t="str">
        <f>IF(ISNUMBER(namespace_raw[[#This Row],[Column8]]), namespace_raw[[#This Row],[Column8]],"")</f>
        <v/>
      </c>
      <c r="H247" s="123" t="str">
        <f>IF(ISNUMBER(namespace_raw[[#This Row],[Column9]]), namespace_raw[[#This Row],[Column9]]/1048576,"")</f>
        <v/>
      </c>
      <c r="I247" s="124" t="str">
        <f>IF(ISNUMBER(namespace_raw[[#This Row],[Column8]]),MAX(G247, M247, O247, $I$2,IF(Q247&lt;&gt;"",VALUE(Q247),0)), "")</f>
        <v/>
      </c>
      <c r="J247" s="125" t="str">
        <f>IF(ISNUMBER(namespace_raw[[#This Row],[Column9]]),MAX(H247, N247, P247, $J$2,IF(R247&lt;&gt;"",VALUE(R247),0)),"")</f>
        <v/>
      </c>
      <c r="K247" s="166" t="str">
        <f>IF(ISNUMBER(namespace_raw[[#This Row],[Column12]]), namespace_raw[[#This Row],[Column12]],"")</f>
        <v/>
      </c>
      <c r="L247" s="167" t="str">
        <f>IF(ISNUMBER(namespace_raw[[#This Row],[Column13]]), namespace_raw[[#This Row],[Column13]]/1048576,"")</f>
        <v/>
      </c>
      <c r="M247" s="168" t="str">
        <f>IF(ISNUMBER(namespace_raw[[#This Row],[Column10]]), (namespace_raw[[#This Row],[Column10]]*(1+$M$2)),"")</f>
        <v/>
      </c>
      <c r="N247" s="167" t="str">
        <f>IF(ISNUMBER(namespace_raw[[#This Row],[Column11]]), (namespace_raw[[#This Row],[Column11]]*(1+$N$2))/1048576,"")</f>
        <v/>
      </c>
      <c r="O247" s="169" t="str">
        <f>IF(ISNUMBER(namespace_raw[[#This Row],[Column8]]), (E247  * $O$2),"")</f>
        <v/>
      </c>
      <c r="P247" s="170" t="str">
        <f>IF(ISNUMBER(namespace_raw[[#This Row],[Column8]]), (F247  * $P$2),"")</f>
        <v/>
      </c>
    </row>
    <row r="248" spans="1:16" ht="15" customHeight="1" x14ac:dyDescent="0.25">
      <c r="A248" s="32" t="str">
        <f>IF(ISNONTEXT(namespace_raw[[#This Row],[Column1]]), "", namespace_raw[[#This Row],[Column1]])</f>
        <v/>
      </c>
      <c r="B248" s="33" t="str">
        <f>IF(ISNONTEXT(namespace_raw[[#This Row],[Column2]]), "", namespace_raw[[#This Row],[Column2]])</f>
        <v/>
      </c>
      <c r="C248" s="94" t="str">
        <f>IF(ISNUMBER(namespace_raw[[#This Row],[Column4]]), namespace_raw[[#This Row],[Column4]], "")</f>
        <v/>
      </c>
      <c r="D248" s="95" t="str">
        <f>IF(ISNUMBER(namespace_raw[[#This Row],[Column5]]), namespace_raw[[#This Row],[Column5]]/1048576, "")</f>
        <v/>
      </c>
      <c r="E248" s="95" t="str">
        <f>IF(ISNUMBER(namespace_raw[[#This Row],[Column6]]), namespace_raw[[#This Row],[Column6]],"")</f>
        <v/>
      </c>
      <c r="F248" s="96" t="str">
        <f>IF(ISNUMBER(namespace_raw[[#This Row],[Column7]]), namespace_raw[[#This Row],[Column7]]/1048576,"")</f>
        <v/>
      </c>
      <c r="G248" s="122" t="str">
        <f>IF(ISNUMBER(namespace_raw[[#This Row],[Column8]]), namespace_raw[[#This Row],[Column8]],"")</f>
        <v/>
      </c>
      <c r="H248" s="123" t="str">
        <f>IF(ISNUMBER(namespace_raw[[#This Row],[Column9]]), namespace_raw[[#This Row],[Column9]]/1048576,"")</f>
        <v/>
      </c>
      <c r="I248" s="124" t="str">
        <f>IF(ISNUMBER(namespace_raw[[#This Row],[Column8]]),MAX(G248, M248, O248, $I$2,IF(Q248&lt;&gt;"",VALUE(Q248),0)), "")</f>
        <v/>
      </c>
      <c r="J248" s="125" t="str">
        <f>IF(ISNUMBER(namespace_raw[[#This Row],[Column9]]),MAX(H248, N248, P248, $J$2,IF(R248&lt;&gt;"",VALUE(R248),0)),"")</f>
        <v/>
      </c>
      <c r="K248" s="166" t="str">
        <f>IF(ISNUMBER(namespace_raw[[#This Row],[Column12]]), namespace_raw[[#This Row],[Column12]],"")</f>
        <v/>
      </c>
      <c r="L248" s="167" t="str">
        <f>IF(ISNUMBER(namespace_raw[[#This Row],[Column13]]), namespace_raw[[#This Row],[Column13]]/1048576,"")</f>
        <v/>
      </c>
      <c r="M248" s="168" t="str">
        <f>IF(ISNUMBER(namespace_raw[[#This Row],[Column10]]), (namespace_raw[[#This Row],[Column10]]*(1+$M$2)),"")</f>
        <v/>
      </c>
      <c r="N248" s="167" t="str">
        <f>IF(ISNUMBER(namespace_raw[[#This Row],[Column11]]), (namespace_raw[[#This Row],[Column11]]*(1+$N$2))/1048576,"")</f>
        <v/>
      </c>
      <c r="O248" s="169" t="str">
        <f>IF(ISNUMBER(namespace_raw[[#This Row],[Column8]]), (E248  * $O$2),"")</f>
        <v/>
      </c>
      <c r="P248" s="170" t="str">
        <f>IF(ISNUMBER(namespace_raw[[#This Row],[Column8]]), (F248  * $P$2),"")</f>
        <v/>
      </c>
    </row>
    <row r="249" spans="1:16" ht="15" customHeight="1" x14ac:dyDescent="0.25">
      <c r="A249" s="32" t="str">
        <f>IF(ISNONTEXT(namespace_raw[[#This Row],[Column1]]), "", namespace_raw[[#This Row],[Column1]])</f>
        <v/>
      </c>
      <c r="B249" s="33" t="str">
        <f>IF(ISNONTEXT(namespace_raw[[#This Row],[Column2]]), "", namespace_raw[[#This Row],[Column2]])</f>
        <v/>
      </c>
      <c r="C249" s="94" t="str">
        <f>IF(ISNUMBER(namespace_raw[[#This Row],[Column4]]), namespace_raw[[#This Row],[Column4]], "")</f>
        <v/>
      </c>
      <c r="D249" s="95" t="str">
        <f>IF(ISNUMBER(namespace_raw[[#This Row],[Column5]]), namespace_raw[[#This Row],[Column5]]/1048576, "")</f>
        <v/>
      </c>
      <c r="E249" s="95" t="str">
        <f>IF(ISNUMBER(namespace_raw[[#This Row],[Column6]]), namespace_raw[[#This Row],[Column6]],"")</f>
        <v/>
      </c>
      <c r="F249" s="96" t="str">
        <f>IF(ISNUMBER(namespace_raw[[#This Row],[Column7]]), namespace_raw[[#This Row],[Column7]]/1048576,"")</f>
        <v/>
      </c>
      <c r="G249" s="122" t="str">
        <f>IF(ISNUMBER(namespace_raw[[#This Row],[Column8]]), namespace_raw[[#This Row],[Column8]],"")</f>
        <v/>
      </c>
      <c r="H249" s="123" t="str">
        <f>IF(ISNUMBER(namespace_raw[[#This Row],[Column9]]), namespace_raw[[#This Row],[Column9]]/1048576,"")</f>
        <v/>
      </c>
      <c r="I249" s="124" t="str">
        <f>IF(ISNUMBER(namespace_raw[[#This Row],[Column8]]),MAX(G249, M249, O249, $I$2,IF(Q249&lt;&gt;"",VALUE(Q249),0)), "")</f>
        <v/>
      </c>
      <c r="J249" s="125" t="str">
        <f>IF(ISNUMBER(namespace_raw[[#This Row],[Column9]]),MAX(H249, N249, P249, $J$2,IF(R249&lt;&gt;"",VALUE(R249),0)),"")</f>
        <v/>
      </c>
      <c r="K249" s="166" t="str">
        <f>IF(ISNUMBER(namespace_raw[[#This Row],[Column12]]), namespace_raw[[#This Row],[Column12]],"")</f>
        <v/>
      </c>
      <c r="L249" s="167" t="str">
        <f>IF(ISNUMBER(namespace_raw[[#This Row],[Column13]]), namespace_raw[[#This Row],[Column13]]/1048576,"")</f>
        <v/>
      </c>
      <c r="M249" s="168" t="str">
        <f>IF(ISNUMBER(namespace_raw[[#This Row],[Column10]]), (namespace_raw[[#This Row],[Column10]]*(1+$M$2)),"")</f>
        <v/>
      </c>
      <c r="N249" s="167" t="str">
        <f>IF(ISNUMBER(namespace_raw[[#This Row],[Column11]]), (namespace_raw[[#This Row],[Column11]]*(1+$N$2))/1048576,"")</f>
        <v/>
      </c>
      <c r="O249" s="169" t="str">
        <f>IF(ISNUMBER(namespace_raw[[#This Row],[Column8]]), (E249  * $O$2),"")</f>
        <v/>
      </c>
      <c r="P249" s="170" t="str">
        <f>IF(ISNUMBER(namespace_raw[[#This Row],[Column8]]), (F249  * $P$2),"")</f>
        <v/>
      </c>
    </row>
    <row r="250" spans="1:16" ht="15" customHeight="1" x14ac:dyDescent="0.25">
      <c r="A250" s="32" t="str">
        <f>IF(ISNONTEXT(namespace_raw[[#This Row],[Column1]]), "", namespace_raw[[#This Row],[Column1]])</f>
        <v/>
      </c>
      <c r="B250" s="33" t="str">
        <f>IF(ISNONTEXT(namespace_raw[[#This Row],[Column2]]), "", namespace_raw[[#This Row],[Column2]])</f>
        <v/>
      </c>
      <c r="C250" s="94" t="str">
        <f>IF(ISNUMBER(namespace_raw[[#This Row],[Column4]]), namespace_raw[[#This Row],[Column4]], "")</f>
        <v/>
      </c>
      <c r="D250" s="95" t="str">
        <f>IF(ISNUMBER(namespace_raw[[#This Row],[Column5]]), namespace_raw[[#This Row],[Column5]]/1048576, "")</f>
        <v/>
      </c>
      <c r="E250" s="95" t="str">
        <f>IF(ISNUMBER(namespace_raw[[#This Row],[Column6]]), namespace_raw[[#This Row],[Column6]],"")</f>
        <v/>
      </c>
      <c r="F250" s="96" t="str">
        <f>IF(ISNUMBER(namespace_raw[[#This Row],[Column7]]), namespace_raw[[#This Row],[Column7]]/1048576,"")</f>
        <v/>
      </c>
      <c r="G250" s="122" t="str">
        <f>IF(ISNUMBER(namespace_raw[[#This Row],[Column8]]), namespace_raw[[#This Row],[Column8]],"")</f>
        <v/>
      </c>
      <c r="H250" s="123" t="str">
        <f>IF(ISNUMBER(namespace_raw[[#This Row],[Column9]]), namespace_raw[[#This Row],[Column9]]/1048576,"")</f>
        <v/>
      </c>
      <c r="I250" s="124" t="str">
        <f>IF(ISNUMBER(namespace_raw[[#This Row],[Column8]]),MAX(G250, M250, O250, $I$2,IF(Q250&lt;&gt;"",VALUE(Q250),0)), "")</f>
        <v/>
      </c>
      <c r="J250" s="125" t="str">
        <f>IF(ISNUMBER(namespace_raw[[#This Row],[Column9]]),MAX(H250, N250, P250, $J$2,IF(R250&lt;&gt;"",VALUE(R250),0)),"")</f>
        <v/>
      </c>
      <c r="K250" s="166" t="str">
        <f>IF(ISNUMBER(namespace_raw[[#This Row],[Column12]]), namespace_raw[[#This Row],[Column12]],"")</f>
        <v/>
      </c>
      <c r="L250" s="167" t="str">
        <f>IF(ISNUMBER(namespace_raw[[#This Row],[Column13]]), namespace_raw[[#This Row],[Column13]]/1048576,"")</f>
        <v/>
      </c>
      <c r="M250" s="168" t="str">
        <f>IF(ISNUMBER(namespace_raw[[#This Row],[Column10]]), (namespace_raw[[#This Row],[Column10]]*(1+$M$2)),"")</f>
        <v/>
      </c>
      <c r="N250" s="167" t="str">
        <f>IF(ISNUMBER(namespace_raw[[#This Row],[Column11]]), (namespace_raw[[#This Row],[Column11]]*(1+$N$2))/1048576,"")</f>
        <v/>
      </c>
      <c r="O250" s="169" t="str">
        <f>IF(ISNUMBER(namespace_raw[[#This Row],[Column8]]), (E250  * $O$2),"")</f>
        <v/>
      </c>
      <c r="P250" s="170" t="str">
        <f>IF(ISNUMBER(namespace_raw[[#This Row],[Column8]]), (F250  * $P$2),"")</f>
        <v/>
      </c>
    </row>
    <row r="251" spans="1:16" ht="15" customHeight="1" x14ac:dyDescent="0.25">
      <c r="A251" s="32" t="str">
        <f>IF(ISNONTEXT(namespace_raw[[#This Row],[Column1]]), "", namespace_raw[[#This Row],[Column1]])</f>
        <v/>
      </c>
      <c r="B251" s="33" t="str">
        <f>IF(ISNONTEXT(namespace_raw[[#This Row],[Column2]]), "", namespace_raw[[#This Row],[Column2]])</f>
        <v/>
      </c>
      <c r="C251" s="94" t="str">
        <f>IF(ISNUMBER(namespace_raw[[#This Row],[Column4]]), namespace_raw[[#This Row],[Column4]], "")</f>
        <v/>
      </c>
      <c r="D251" s="95" t="str">
        <f>IF(ISNUMBER(namespace_raw[[#This Row],[Column5]]), namespace_raw[[#This Row],[Column5]]/1048576, "")</f>
        <v/>
      </c>
      <c r="E251" s="95" t="str">
        <f>IF(ISNUMBER(namespace_raw[[#This Row],[Column6]]), namespace_raw[[#This Row],[Column6]],"")</f>
        <v/>
      </c>
      <c r="F251" s="96" t="str">
        <f>IF(ISNUMBER(namespace_raw[[#This Row],[Column7]]), namespace_raw[[#This Row],[Column7]]/1048576,"")</f>
        <v/>
      </c>
      <c r="G251" s="122" t="str">
        <f>IF(ISNUMBER(namespace_raw[[#This Row],[Column8]]), namespace_raw[[#This Row],[Column8]],"")</f>
        <v/>
      </c>
      <c r="H251" s="123" t="str">
        <f>IF(ISNUMBER(namespace_raw[[#This Row],[Column9]]), namespace_raw[[#This Row],[Column9]]/1048576,"")</f>
        <v/>
      </c>
      <c r="I251" s="124" t="str">
        <f>IF(ISNUMBER(namespace_raw[[#This Row],[Column8]]),MAX(G251, M251, O251, $I$2,IF(Q251&lt;&gt;"",VALUE(Q251),0)), "")</f>
        <v/>
      </c>
      <c r="J251" s="125" t="str">
        <f>IF(ISNUMBER(namespace_raw[[#This Row],[Column9]]),MAX(H251, N251, P251, $J$2,IF(R251&lt;&gt;"",VALUE(R251),0)),"")</f>
        <v/>
      </c>
      <c r="K251" s="166" t="str">
        <f>IF(ISNUMBER(namespace_raw[[#This Row],[Column12]]), namespace_raw[[#This Row],[Column12]],"")</f>
        <v/>
      </c>
      <c r="L251" s="167" t="str">
        <f>IF(ISNUMBER(namespace_raw[[#This Row],[Column13]]), namespace_raw[[#This Row],[Column13]]/1048576,"")</f>
        <v/>
      </c>
      <c r="M251" s="168" t="str">
        <f>IF(ISNUMBER(namespace_raw[[#This Row],[Column10]]), (namespace_raw[[#This Row],[Column10]]*(1+$M$2)),"")</f>
        <v/>
      </c>
      <c r="N251" s="167" t="str">
        <f>IF(ISNUMBER(namespace_raw[[#This Row],[Column11]]), (namespace_raw[[#This Row],[Column11]]*(1+$N$2))/1048576,"")</f>
        <v/>
      </c>
      <c r="O251" s="169" t="str">
        <f>IF(ISNUMBER(namespace_raw[[#This Row],[Column8]]), (E251  * $O$2),"")</f>
        <v/>
      </c>
      <c r="P251" s="170" t="str">
        <f>IF(ISNUMBER(namespace_raw[[#This Row],[Column8]]), (F251  * $P$2),"")</f>
        <v/>
      </c>
    </row>
    <row r="252" spans="1:16" ht="15" customHeight="1" x14ac:dyDescent="0.25">
      <c r="A252" s="32" t="str">
        <f>IF(ISNONTEXT(namespace_raw[[#This Row],[Column1]]), "", namespace_raw[[#This Row],[Column1]])</f>
        <v/>
      </c>
      <c r="B252" s="33" t="str">
        <f>IF(ISNONTEXT(namespace_raw[[#This Row],[Column2]]), "", namespace_raw[[#This Row],[Column2]])</f>
        <v/>
      </c>
      <c r="C252" s="94" t="str">
        <f>IF(ISNUMBER(namespace_raw[[#This Row],[Column4]]), namespace_raw[[#This Row],[Column4]], "")</f>
        <v/>
      </c>
      <c r="D252" s="95" t="str">
        <f>IF(ISNUMBER(namespace_raw[[#This Row],[Column5]]), namespace_raw[[#This Row],[Column5]]/1048576, "")</f>
        <v/>
      </c>
      <c r="E252" s="95" t="str">
        <f>IF(ISNUMBER(namespace_raw[[#This Row],[Column6]]), namespace_raw[[#This Row],[Column6]],"")</f>
        <v/>
      </c>
      <c r="F252" s="96" t="str">
        <f>IF(ISNUMBER(namespace_raw[[#This Row],[Column7]]), namespace_raw[[#This Row],[Column7]]/1048576,"")</f>
        <v/>
      </c>
      <c r="G252" s="122" t="str">
        <f>IF(ISNUMBER(namespace_raw[[#This Row],[Column8]]), namespace_raw[[#This Row],[Column8]],"")</f>
        <v/>
      </c>
      <c r="H252" s="123" t="str">
        <f>IF(ISNUMBER(namespace_raw[[#This Row],[Column9]]), namespace_raw[[#This Row],[Column9]]/1048576,"")</f>
        <v/>
      </c>
      <c r="I252" s="124" t="str">
        <f>IF(ISNUMBER(namespace_raw[[#This Row],[Column8]]),MAX(G252, M252, O252, $I$2,IF(Q252&lt;&gt;"",VALUE(Q252),0)), "")</f>
        <v/>
      </c>
      <c r="J252" s="125" t="str">
        <f>IF(ISNUMBER(namespace_raw[[#This Row],[Column9]]),MAX(H252, N252, P252, $J$2,IF(R252&lt;&gt;"",VALUE(R252),0)),"")</f>
        <v/>
      </c>
      <c r="K252" s="166" t="str">
        <f>IF(ISNUMBER(namespace_raw[[#This Row],[Column12]]), namespace_raw[[#This Row],[Column12]],"")</f>
        <v/>
      </c>
      <c r="L252" s="167" t="str">
        <f>IF(ISNUMBER(namespace_raw[[#This Row],[Column13]]), namespace_raw[[#This Row],[Column13]]/1048576,"")</f>
        <v/>
      </c>
      <c r="M252" s="168" t="str">
        <f>IF(ISNUMBER(namespace_raw[[#This Row],[Column10]]), (namespace_raw[[#This Row],[Column10]]*(1+$M$2)),"")</f>
        <v/>
      </c>
      <c r="N252" s="167" t="str">
        <f>IF(ISNUMBER(namespace_raw[[#This Row],[Column11]]), (namespace_raw[[#This Row],[Column11]]*(1+$N$2))/1048576,"")</f>
        <v/>
      </c>
      <c r="O252" s="169" t="str">
        <f>IF(ISNUMBER(namespace_raw[[#This Row],[Column8]]), (E252  * $O$2),"")</f>
        <v/>
      </c>
      <c r="P252" s="170" t="str">
        <f>IF(ISNUMBER(namespace_raw[[#This Row],[Column8]]), (F252  * $P$2),"")</f>
        <v/>
      </c>
    </row>
    <row r="253" spans="1:16" ht="15" customHeight="1" x14ac:dyDescent="0.25">
      <c r="A253" s="32" t="str">
        <f>IF(ISNONTEXT(namespace_raw[[#This Row],[Column1]]), "", namespace_raw[[#This Row],[Column1]])</f>
        <v/>
      </c>
      <c r="B253" s="33" t="str">
        <f>IF(ISNONTEXT(namespace_raw[[#This Row],[Column2]]), "", namespace_raw[[#This Row],[Column2]])</f>
        <v/>
      </c>
      <c r="C253" s="94" t="str">
        <f>IF(ISNUMBER(namespace_raw[[#This Row],[Column4]]), namespace_raw[[#This Row],[Column4]], "")</f>
        <v/>
      </c>
      <c r="D253" s="95" t="str">
        <f>IF(ISNUMBER(namespace_raw[[#This Row],[Column5]]), namespace_raw[[#This Row],[Column5]]/1048576, "")</f>
        <v/>
      </c>
      <c r="E253" s="95" t="str">
        <f>IF(ISNUMBER(namespace_raw[[#This Row],[Column6]]), namespace_raw[[#This Row],[Column6]],"")</f>
        <v/>
      </c>
      <c r="F253" s="96" t="str">
        <f>IF(ISNUMBER(namespace_raw[[#This Row],[Column7]]), namespace_raw[[#This Row],[Column7]]/1048576,"")</f>
        <v/>
      </c>
      <c r="G253" s="122" t="str">
        <f>IF(ISNUMBER(namespace_raw[[#This Row],[Column8]]), namespace_raw[[#This Row],[Column8]],"")</f>
        <v/>
      </c>
      <c r="H253" s="123" t="str">
        <f>IF(ISNUMBER(namespace_raw[[#This Row],[Column9]]), namespace_raw[[#This Row],[Column9]]/1048576,"")</f>
        <v/>
      </c>
      <c r="I253" s="124" t="str">
        <f>IF(ISNUMBER(namespace_raw[[#This Row],[Column8]]),MAX(G253, M253, O253, $I$2,IF(Q253&lt;&gt;"",VALUE(Q253),0)), "")</f>
        <v/>
      </c>
      <c r="J253" s="125" t="str">
        <f>IF(ISNUMBER(namespace_raw[[#This Row],[Column9]]),MAX(H253, N253, P253, $J$2,IF(R253&lt;&gt;"",VALUE(R253),0)),"")</f>
        <v/>
      </c>
      <c r="K253" s="166" t="str">
        <f>IF(ISNUMBER(namespace_raw[[#This Row],[Column12]]), namespace_raw[[#This Row],[Column12]],"")</f>
        <v/>
      </c>
      <c r="L253" s="167" t="str">
        <f>IF(ISNUMBER(namespace_raw[[#This Row],[Column13]]), namespace_raw[[#This Row],[Column13]]/1048576,"")</f>
        <v/>
      </c>
      <c r="M253" s="168" t="str">
        <f>IF(ISNUMBER(namespace_raw[[#This Row],[Column10]]), (namespace_raw[[#This Row],[Column10]]*(1+$M$2)),"")</f>
        <v/>
      </c>
      <c r="N253" s="167" t="str">
        <f>IF(ISNUMBER(namespace_raw[[#This Row],[Column11]]), (namespace_raw[[#This Row],[Column11]]*(1+$N$2))/1048576,"")</f>
        <v/>
      </c>
      <c r="O253" s="169" t="str">
        <f>IF(ISNUMBER(namespace_raw[[#This Row],[Column8]]), (E253  * $O$2),"")</f>
        <v/>
      </c>
      <c r="P253" s="170" t="str">
        <f>IF(ISNUMBER(namespace_raw[[#This Row],[Column8]]), (F253  * $P$2),"")</f>
        <v/>
      </c>
    </row>
    <row r="254" spans="1:16" ht="15" customHeight="1" x14ac:dyDescent="0.25">
      <c r="A254" s="32" t="str">
        <f>IF(ISNONTEXT(namespace_raw[[#This Row],[Column1]]), "", namespace_raw[[#This Row],[Column1]])</f>
        <v/>
      </c>
      <c r="B254" s="33" t="str">
        <f>IF(ISNONTEXT(namespace_raw[[#This Row],[Column2]]), "", namespace_raw[[#This Row],[Column2]])</f>
        <v/>
      </c>
      <c r="C254" s="94" t="str">
        <f>IF(ISNUMBER(namespace_raw[[#This Row],[Column4]]), namespace_raw[[#This Row],[Column4]], "")</f>
        <v/>
      </c>
      <c r="D254" s="95" t="str">
        <f>IF(ISNUMBER(namespace_raw[[#This Row],[Column5]]), namespace_raw[[#This Row],[Column5]]/1048576, "")</f>
        <v/>
      </c>
      <c r="E254" s="95" t="str">
        <f>IF(ISNUMBER(namespace_raw[[#This Row],[Column6]]), namespace_raw[[#This Row],[Column6]],"")</f>
        <v/>
      </c>
      <c r="F254" s="96" t="str">
        <f>IF(ISNUMBER(namespace_raw[[#This Row],[Column7]]), namespace_raw[[#This Row],[Column7]]/1048576,"")</f>
        <v/>
      </c>
      <c r="G254" s="122" t="str">
        <f>IF(ISNUMBER(namespace_raw[[#This Row],[Column8]]), namespace_raw[[#This Row],[Column8]],"")</f>
        <v/>
      </c>
      <c r="H254" s="123" t="str">
        <f>IF(ISNUMBER(namespace_raw[[#This Row],[Column9]]), namespace_raw[[#This Row],[Column9]]/1048576,"")</f>
        <v/>
      </c>
      <c r="I254" s="124" t="str">
        <f>IF(ISNUMBER(namespace_raw[[#This Row],[Column8]]),MAX(G254, M254, O254, $I$2,IF(Q254&lt;&gt;"",VALUE(Q254),0)), "")</f>
        <v/>
      </c>
      <c r="J254" s="125" t="str">
        <f>IF(ISNUMBER(namespace_raw[[#This Row],[Column9]]),MAX(H254, N254, P254, $J$2,IF(R254&lt;&gt;"",VALUE(R254),0)),"")</f>
        <v/>
      </c>
      <c r="K254" s="166" t="str">
        <f>IF(ISNUMBER(namespace_raw[[#This Row],[Column12]]), namespace_raw[[#This Row],[Column12]],"")</f>
        <v/>
      </c>
      <c r="L254" s="167" t="str">
        <f>IF(ISNUMBER(namespace_raw[[#This Row],[Column13]]), namespace_raw[[#This Row],[Column13]]/1048576,"")</f>
        <v/>
      </c>
      <c r="M254" s="168" t="str">
        <f>IF(ISNUMBER(namespace_raw[[#This Row],[Column10]]), (namespace_raw[[#This Row],[Column10]]*(1+$M$2)),"")</f>
        <v/>
      </c>
      <c r="N254" s="167" t="str">
        <f>IF(ISNUMBER(namespace_raw[[#This Row],[Column11]]), (namespace_raw[[#This Row],[Column11]]*(1+$N$2))/1048576,"")</f>
        <v/>
      </c>
      <c r="O254" s="169" t="str">
        <f>IF(ISNUMBER(namespace_raw[[#This Row],[Column8]]), (E254  * $O$2),"")</f>
        <v/>
      </c>
      <c r="P254" s="170" t="str">
        <f>IF(ISNUMBER(namespace_raw[[#This Row],[Column8]]), (F254  * $P$2),"")</f>
        <v/>
      </c>
    </row>
    <row r="255" spans="1:16" ht="15" customHeight="1" x14ac:dyDescent="0.25">
      <c r="A255" s="32" t="str">
        <f>IF(ISNONTEXT(namespace_raw[[#This Row],[Column1]]), "", namespace_raw[[#This Row],[Column1]])</f>
        <v/>
      </c>
      <c r="B255" s="33" t="str">
        <f>IF(ISNONTEXT(namespace_raw[[#This Row],[Column2]]), "", namespace_raw[[#This Row],[Column2]])</f>
        <v/>
      </c>
      <c r="C255" s="94" t="str">
        <f>IF(ISNUMBER(namespace_raw[[#This Row],[Column4]]), namespace_raw[[#This Row],[Column4]], "")</f>
        <v/>
      </c>
      <c r="D255" s="95" t="str">
        <f>IF(ISNUMBER(namespace_raw[[#This Row],[Column5]]), namespace_raw[[#This Row],[Column5]]/1048576, "")</f>
        <v/>
      </c>
      <c r="E255" s="95" t="str">
        <f>IF(ISNUMBER(namespace_raw[[#This Row],[Column6]]), namespace_raw[[#This Row],[Column6]],"")</f>
        <v/>
      </c>
      <c r="F255" s="96" t="str">
        <f>IF(ISNUMBER(namespace_raw[[#This Row],[Column7]]), namespace_raw[[#This Row],[Column7]]/1048576,"")</f>
        <v/>
      </c>
      <c r="G255" s="122" t="str">
        <f>IF(ISNUMBER(namespace_raw[[#This Row],[Column8]]), namespace_raw[[#This Row],[Column8]],"")</f>
        <v/>
      </c>
      <c r="H255" s="123" t="str">
        <f>IF(ISNUMBER(namespace_raw[[#This Row],[Column9]]), namespace_raw[[#This Row],[Column9]]/1048576,"")</f>
        <v/>
      </c>
      <c r="I255" s="124" t="str">
        <f>IF(ISNUMBER(namespace_raw[[#This Row],[Column8]]),MAX(G255, M255, O255, $I$2,IF(Q255&lt;&gt;"",VALUE(Q255),0)), "")</f>
        <v/>
      </c>
      <c r="J255" s="125" t="str">
        <f>IF(ISNUMBER(namespace_raw[[#This Row],[Column9]]),MAX(H255, N255, P255, $J$2,IF(R255&lt;&gt;"",VALUE(R255),0)),"")</f>
        <v/>
      </c>
      <c r="K255" s="166" t="str">
        <f>IF(ISNUMBER(namespace_raw[[#This Row],[Column12]]), namespace_raw[[#This Row],[Column12]],"")</f>
        <v/>
      </c>
      <c r="L255" s="167" t="str">
        <f>IF(ISNUMBER(namespace_raw[[#This Row],[Column13]]), namespace_raw[[#This Row],[Column13]]/1048576,"")</f>
        <v/>
      </c>
      <c r="M255" s="168" t="str">
        <f>IF(ISNUMBER(namespace_raw[[#This Row],[Column10]]), (namespace_raw[[#This Row],[Column10]]*(1+$M$2)),"")</f>
        <v/>
      </c>
      <c r="N255" s="167" t="str">
        <f>IF(ISNUMBER(namespace_raw[[#This Row],[Column11]]), (namespace_raw[[#This Row],[Column11]]*(1+$N$2))/1048576,"")</f>
        <v/>
      </c>
      <c r="O255" s="169" t="str">
        <f>IF(ISNUMBER(namespace_raw[[#This Row],[Column8]]), (E255  * $O$2),"")</f>
        <v/>
      </c>
      <c r="P255" s="170" t="str">
        <f>IF(ISNUMBER(namespace_raw[[#This Row],[Column8]]), (F255  * $P$2),"")</f>
        <v/>
      </c>
    </row>
    <row r="256" spans="1:16" ht="15" customHeight="1" x14ac:dyDescent="0.25">
      <c r="A256" s="32" t="str">
        <f>IF(ISNONTEXT(namespace_raw[[#This Row],[Column1]]), "", namespace_raw[[#This Row],[Column1]])</f>
        <v/>
      </c>
      <c r="B256" s="33" t="str">
        <f>IF(ISNONTEXT(namespace_raw[[#This Row],[Column2]]), "", namespace_raw[[#This Row],[Column2]])</f>
        <v/>
      </c>
      <c r="C256" s="94" t="str">
        <f>IF(ISNUMBER(namespace_raw[[#This Row],[Column4]]), namespace_raw[[#This Row],[Column4]], "")</f>
        <v/>
      </c>
      <c r="D256" s="95" t="str">
        <f>IF(ISNUMBER(namespace_raw[[#This Row],[Column5]]), namespace_raw[[#This Row],[Column5]]/1048576, "")</f>
        <v/>
      </c>
      <c r="E256" s="95" t="str">
        <f>IF(ISNUMBER(namespace_raw[[#This Row],[Column6]]), namespace_raw[[#This Row],[Column6]],"")</f>
        <v/>
      </c>
      <c r="F256" s="96" t="str">
        <f>IF(ISNUMBER(namespace_raw[[#This Row],[Column7]]), namespace_raw[[#This Row],[Column7]]/1048576,"")</f>
        <v/>
      </c>
      <c r="G256" s="122" t="str">
        <f>IF(ISNUMBER(namespace_raw[[#This Row],[Column8]]), namespace_raw[[#This Row],[Column8]],"")</f>
        <v/>
      </c>
      <c r="H256" s="123" t="str">
        <f>IF(ISNUMBER(namespace_raw[[#This Row],[Column9]]), namespace_raw[[#This Row],[Column9]]/1048576,"")</f>
        <v/>
      </c>
      <c r="I256" s="124" t="str">
        <f>IF(ISNUMBER(namespace_raw[[#This Row],[Column8]]),MAX(G256, M256, O256, $I$2,IF(Q256&lt;&gt;"",VALUE(Q256),0)), "")</f>
        <v/>
      </c>
      <c r="J256" s="125" t="str">
        <f>IF(ISNUMBER(namespace_raw[[#This Row],[Column9]]),MAX(H256, N256, P256, $J$2,IF(R256&lt;&gt;"",VALUE(R256),0)),"")</f>
        <v/>
      </c>
      <c r="K256" s="166" t="str">
        <f>IF(ISNUMBER(namespace_raw[[#This Row],[Column12]]), namespace_raw[[#This Row],[Column12]],"")</f>
        <v/>
      </c>
      <c r="L256" s="167" t="str">
        <f>IF(ISNUMBER(namespace_raw[[#This Row],[Column13]]), namespace_raw[[#This Row],[Column13]]/1048576,"")</f>
        <v/>
      </c>
      <c r="M256" s="168" t="str">
        <f>IF(ISNUMBER(namespace_raw[[#This Row],[Column10]]), (namespace_raw[[#This Row],[Column10]]*(1+$M$2)),"")</f>
        <v/>
      </c>
      <c r="N256" s="167" t="str">
        <f>IF(ISNUMBER(namespace_raw[[#This Row],[Column11]]), (namespace_raw[[#This Row],[Column11]]*(1+$N$2))/1048576,"")</f>
        <v/>
      </c>
      <c r="O256" s="169" t="str">
        <f>IF(ISNUMBER(namespace_raw[[#This Row],[Column8]]), (E256  * $O$2),"")</f>
        <v/>
      </c>
      <c r="P256" s="170" t="str">
        <f>IF(ISNUMBER(namespace_raw[[#This Row],[Column8]]), (F256  * $P$2),"")</f>
        <v/>
      </c>
    </row>
    <row r="257" spans="1:16" ht="15" customHeight="1" x14ac:dyDescent="0.25">
      <c r="A257" s="32" t="str">
        <f>IF(ISNONTEXT(namespace_raw[[#This Row],[Column1]]), "", namespace_raw[[#This Row],[Column1]])</f>
        <v/>
      </c>
      <c r="B257" s="33" t="str">
        <f>IF(ISNONTEXT(namespace_raw[[#This Row],[Column2]]), "", namespace_raw[[#This Row],[Column2]])</f>
        <v/>
      </c>
      <c r="C257" s="94" t="str">
        <f>IF(ISNUMBER(namespace_raw[[#This Row],[Column4]]), namespace_raw[[#This Row],[Column4]], "")</f>
        <v/>
      </c>
      <c r="D257" s="95" t="str">
        <f>IF(ISNUMBER(namespace_raw[[#This Row],[Column5]]), namespace_raw[[#This Row],[Column5]]/1048576, "")</f>
        <v/>
      </c>
      <c r="E257" s="95" t="str">
        <f>IF(ISNUMBER(namespace_raw[[#This Row],[Column6]]), namespace_raw[[#This Row],[Column6]],"")</f>
        <v/>
      </c>
      <c r="F257" s="96" t="str">
        <f>IF(ISNUMBER(namespace_raw[[#This Row],[Column7]]), namespace_raw[[#This Row],[Column7]]/1048576,"")</f>
        <v/>
      </c>
      <c r="G257" s="122" t="str">
        <f>IF(ISNUMBER(namespace_raw[[#This Row],[Column8]]), namespace_raw[[#This Row],[Column8]],"")</f>
        <v/>
      </c>
      <c r="H257" s="123" t="str">
        <f>IF(ISNUMBER(namespace_raw[[#This Row],[Column9]]), namespace_raw[[#This Row],[Column9]]/1048576,"")</f>
        <v/>
      </c>
      <c r="I257" s="124" t="str">
        <f>IF(ISNUMBER(namespace_raw[[#This Row],[Column8]]),MAX(G257, M257, O257, $I$2,IF(Q257&lt;&gt;"",VALUE(Q257),0)), "")</f>
        <v/>
      </c>
      <c r="J257" s="125" t="str">
        <f>IF(ISNUMBER(namespace_raw[[#This Row],[Column9]]),MAX(H257, N257, P257, $J$2,IF(R257&lt;&gt;"",VALUE(R257),0)),"")</f>
        <v/>
      </c>
      <c r="K257" s="166" t="str">
        <f>IF(ISNUMBER(namespace_raw[[#This Row],[Column12]]), namespace_raw[[#This Row],[Column12]],"")</f>
        <v/>
      </c>
      <c r="L257" s="167" t="str">
        <f>IF(ISNUMBER(namespace_raw[[#This Row],[Column13]]), namespace_raw[[#This Row],[Column13]]/1048576,"")</f>
        <v/>
      </c>
      <c r="M257" s="168" t="str">
        <f>IF(ISNUMBER(namespace_raw[[#This Row],[Column10]]), (namespace_raw[[#This Row],[Column10]]*(1+$M$2)),"")</f>
        <v/>
      </c>
      <c r="N257" s="167" t="str">
        <f>IF(ISNUMBER(namespace_raw[[#This Row],[Column11]]), (namespace_raw[[#This Row],[Column11]]*(1+$N$2))/1048576,"")</f>
        <v/>
      </c>
      <c r="O257" s="169" t="str">
        <f>IF(ISNUMBER(namespace_raw[[#This Row],[Column8]]), (E257  * $O$2),"")</f>
        <v/>
      </c>
      <c r="P257" s="170" t="str">
        <f>IF(ISNUMBER(namespace_raw[[#This Row],[Column8]]), (F257  * $P$2),"")</f>
        <v/>
      </c>
    </row>
    <row r="258" spans="1:16" ht="15" customHeight="1" x14ac:dyDescent="0.25">
      <c r="A258" s="32" t="str">
        <f>IF(ISNONTEXT(namespace_raw[[#This Row],[Column1]]), "", namespace_raw[[#This Row],[Column1]])</f>
        <v/>
      </c>
      <c r="B258" s="33" t="str">
        <f>IF(ISNONTEXT(namespace_raw[[#This Row],[Column2]]), "", namespace_raw[[#This Row],[Column2]])</f>
        <v/>
      </c>
      <c r="C258" s="94" t="str">
        <f>IF(ISNUMBER(namespace_raw[[#This Row],[Column4]]), namespace_raw[[#This Row],[Column4]], "")</f>
        <v/>
      </c>
      <c r="D258" s="95" t="str">
        <f>IF(ISNUMBER(namespace_raw[[#This Row],[Column5]]), namespace_raw[[#This Row],[Column5]]/1048576, "")</f>
        <v/>
      </c>
      <c r="E258" s="95" t="str">
        <f>IF(ISNUMBER(namespace_raw[[#This Row],[Column6]]), namespace_raw[[#This Row],[Column6]],"")</f>
        <v/>
      </c>
      <c r="F258" s="96" t="str">
        <f>IF(ISNUMBER(namespace_raw[[#This Row],[Column7]]), namespace_raw[[#This Row],[Column7]]/1048576,"")</f>
        <v/>
      </c>
      <c r="G258" s="122" t="str">
        <f>IF(ISNUMBER(namespace_raw[[#This Row],[Column8]]), namespace_raw[[#This Row],[Column8]],"")</f>
        <v/>
      </c>
      <c r="H258" s="123" t="str">
        <f>IF(ISNUMBER(namespace_raw[[#This Row],[Column9]]), namespace_raw[[#This Row],[Column9]]/1048576,"")</f>
        <v/>
      </c>
      <c r="I258" s="124" t="str">
        <f>IF(ISNUMBER(namespace_raw[[#This Row],[Column8]]),MAX(G258, M258, O258, $I$2,IF(Q258&lt;&gt;"",VALUE(Q258),0)), "")</f>
        <v/>
      </c>
      <c r="J258" s="125" t="str">
        <f>IF(ISNUMBER(namespace_raw[[#This Row],[Column9]]),MAX(H258, N258, P258, $J$2,IF(R258&lt;&gt;"",VALUE(R258),0)),"")</f>
        <v/>
      </c>
      <c r="K258" s="166" t="str">
        <f>IF(ISNUMBER(namespace_raw[[#This Row],[Column12]]), namespace_raw[[#This Row],[Column12]],"")</f>
        <v/>
      </c>
      <c r="L258" s="167" t="str">
        <f>IF(ISNUMBER(namespace_raw[[#This Row],[Column13]]), namespace_raw[[#This Row],[Column13]]/1048576,"")</f>
        <v/>
      </c>
      <c r="M258" s="168" t="str">
        <f>IF(ISNUMBER(namespace_raw[[#This Row],[Column10]]), (namespace_raw[[#This Row],[Column10]]*(1+$M$2)),"")</f>
        <v/>
      </c>
      <c r="N258" s="167" t="str">
        <f>IF(ISNUMBER(namespace_raw[[#This Row],[Column11]]), (namespace_raw[[#This Row],[Column11]]*(1+$N$2))/1048576,"")</f>
        <v/>
      </c>
      <c r="O258" s="169" t="str">
        <f>IF(ISNUMBER(namespace_raw[[#This Row],[Column8]]), (E258  * $O$2),"")</f>
        <v/>
      </c>
      <c r="P258" s="170" t="str">
        <f>IF(ISNUMBER(namespace_raw[[#This Row],[Column8]]), (F258  * $P$2),"")</f>
        <v/>
      </c>
    </row>
    <row r="259" spans="1:16" ht="15" customHeight="1" x14ac:dyDescent="0.25">
      <c r="A259" s="32" t="str">
        <f>IF(ISNONTEXT(namespace_raw[[#This Row],[Column1]]), "", namespace_raw[[#This Row],[Column1]])</f>
        <v/>
      </c>
      <c r="B259" s="33" t="str">
        <f>IF(ISNONTEXT(namespace_raw[[#This Row],[Column2]]), "", namespace_raw[[#This Row],[Column2]])</f>
        <v/>
      </c>
      <c r="C259" s="94" t="str">
        <f>IF(ISNUMBER(namespace_raw[[#This Row],[Column4]]), namespace_raw[[#This Row],[Column4]], "")</f>
        <v/>
      </c>
      <c r="D259" s="95" t="str">
        <f>IF(ISNUMBER(namespace_raw[[#This Row],[Column5]]), namespace_raw[[#This Row],[Column5]]/1048576, "")</f>
        <v/>
      </c>
      <c r="E259" s="95" t="str">
        <f>IF(ISNUMBER(namespace_raw[[#This Row],[Column6]]), namespace_raw[[#This Row],[Column6]],"")</f>
        <v/>
      </c>
      <c r="F259" s="96" t="str">
        <f>IF(ISNUMBER(namespace_raw[[#This Row],[Column7]]), namespace_raw[[#This Row],[Column7]]/1048576,"")</f>
        <v/>
      </c>
      <c r="G259" s="122" t="str">
        <f>IF(ISNUMBER(namespace_raw[[#This Row],[Column8]]), namespace_raw[[#This Row],[Column8]],"")</f>
        <v/>
      </c>
      <c r="H259" s="123" t="str">
        <f>IF(ISNUMBER(namespace_raw[[#This Row],[Column9]]), namespace_raw[[#This Row],[Column9]]/1048576,"")</f>
        <v/>
      </c>
      <c r="I259" s="124" t="str">
        <f>IF(ISNUMBER(namespace_raw[[#This Row],[Column8]]),MAX(G259, M259, O259, $I$2,IF(Q259&lt;&gt;"",VALUE(Q259),0)), "")</f>
        <v/>
      </c>
      <c r="J259" s="125" t="str">
        <f>IF(ISNUMBER(namespace_raw[[#This Row],[Column9]]),MAX(H259, N259, P259, $J$2,IF(R259&lt;&gt;"",VALUE(R259),0)),"")</f>
        <v/>
      </c>
      <c r="K259" s="166" t="str">
        <f>IF(ISNUMBER(namespace_raw[[#This Row],[Column12]]), namespace_raw[[#This Row],[Column12]],"")</f>
        <v/>
      </c>
      <c r="L259" s="167" t="str">
        <f>IF(ISNUMBER(namespace_raw[[#This Row],[Column13]]), namespace_raw[[#This Row],[Column13]]/1048576,"")</f>
        <v/>
      </c>
      <c r="M259" s="168" t="str">
        <f>IF(ISNUMBER(namespace_raw[[#This Row],[Column10]]), (namespace_raw[[#This Row],[Column10]]*(1+$M$2)),"")</f>
        <v/>
      </c>
      <c r="N259" s="167" t="str">
        <f>IF(ISNUMBER(namespace_raw[[#This Row],[Column11]]), (namespace_raw[[#This Row],[Column11]]*(1+$N$2))/1048576,"")</f>
        <v/>
      </c>
      <c r="O259" s="169" t="str">
        <f>IF(ISNUMBER(namespace_raw[[#This Row],[Column8]]), (E259  * $O$2),"")</f>
        <v/>
      </c>
      <c r="P259" s="170" t="str">
        <f>IF(ISNUMBER(namespace_raw[[#This Row],[Column8]]), (F259  * $P$2),"")</f>
        <v/>
      </c>
    </row>
    <row r="260" spans="1:16" ht="15" customHeight="1" x14ac:dyDescent="0.25">
      <c r="A260" s="32" t="str">
        <f>IF(ISNONTEXT(namespace_raw[[#This Row],[Column1]]), "", namespace_raw[[#This Row],[Column1]])</f>
        <v/>
      </c>
      <c r="B260" s="33" t="str">
        <f>IF(ISNONTEXT(namespace_raw[[#This Row],[Column2]]), "", namespace_raw[[#This Row],[Column2]])</f>
        <v/>
      </c>
      <c r="C260" s="94" t="str">
        <f>IF(ISNUMBER(namespace_raw[[#This Row],[Column4]]), namespace_raw[[#This Row],[Column4]], "")</f>
        <v/>
      </c>
      <c r="D260" s="95" t="str">
        <f>IF(ISNUMBER(namespace_raw[[#This Row],[Column5]]), namespace_raw[[#This Row],[Column5]]/1048576, "")</f>
        <v/>
      </c>
      <c r="E260" s="95" t="str">
        <f>IF(ISNUMBER(namespace_raw[[#This Row],[Column6]]), namespace_raw[[#This Row],[Column6]],"")</f>
        <v/>
      </c>
      <c r="F260" s="96" t="str">
        <f>IF(ISNUMBER(namespace_raw[[#This Row],[Column7]]), namespace_raw[[#This Row],[Column7]]/1048576,"")</f>
        <v/>
      </c>
      <c r="G260" s="122" t="str">
        <f>IF(ISNUMBER(namespace_raw[[#This Row],[Column8]]), namespace_raw[[#This Row],[Column8]],"")</f>
        <v/>
      </c>
      <c r="H260" s="123" t="str">
        <f>IF(ISNUMBER(namespace_raw[[#This Row],[Column9]]), namespace_raw[[#This Row],[Column9]]/1048576,"")</f>
        <v/>
      </c>
      <c r="I260" s="124" t="str">
        <f>IF(ISNUMBER(namespace_raw[[#This Row],[Column8]]),MAX(G260, M260, O260, $I$2,IF(Q260&lt;&gt;"",VALUE(Q260),0)), "")</f>
        <v/>
      </c>
      <c r="J260" s="125" t="str">
        <f>IF(ISNUMBER(namespace_raw[[#This Row],[Column9]]),MAX(H260, N260, P260, $J$2,IF(R260&lt;&gt;"",VALUE(R260),0)),"")</f>
        <v/>
      </c>
      <c r="K260" s="166" t="str">
        <f>IF(ISNUMBER(namespace_raw[[#This Row],[Column12]]), namespace_raw[[#This Row],[Column12]],"")</f>
        <v/>
      </c>
      <c r="L260" s="167" t="str">
        <f>IF(ISNUMBER(namespace_raw[[#This Row],[Column13]]), namespace_raw[[#This Row],[Column13]]/1048576,"")</f>
        <v/>
      </c>
      <c r="M260" s="168" t="str">
        <f>IF(ISNUMBER(namespace_raw[[#This Row],[Column10]]), (namespace_raw[[#This Row],[Column10]]*(1+$M$2)),"")</f>
        <v/>
      </c>
      <c r="N260" s="167" t="str">
        <f>IF(ISNUMBER(namespace_raw[[#This Row],[Column11]]), (namespace_raw[[#This Row],[Column11]]*(1+$N$2))/1048576,"")</f>
        <v/>
      </c>
      <c r="O260" s="169" t="str">
        <f>IF(ISNUMBER(namespace_raw[[#This Row],[Column8]]), (E260  * $O$2),"")</f>
        <v/>
      </c>
      <c r="P260" s="170" t="str">
        <f>IF(ISNUMBER(namespace_raw[[#This Row],[Column8]]), (F260  * $P$2),"")</f>
        <v/>
      </c>
    </row>
    <row r="261" spans="1:16" ht="15" customHeight="1" x14ac:dyDescent="0.25">
      <c r="A261" s="32" t="str">
        <f>IF(ISNONTEXT(namespace_raw[[#This Row],[Column1]]), "", namespace_raw[[#This Row],[Column1]])</f>
        <v/>
      </c>
      <c r="B261" s="33" t="str">
        <f>IF(ISNONTEXT(namespace_raw[[#This Row],[Column2]]), "", namespace_raw[[#This Row],[Column2]])</f>
        <v/>
      </c>
      <c r="C261" s="94" t="str">
        <f>IF(ISNUMBER(namespace_raw[[#This Row],[Column4]]), namespace_raw[[#This Row],[Column4]], "")</f>
        <v/>
      </c>
      <c r="D261" s="95" t="str">
        <f>IF(ISNUMBER(namespace_raw[[#This Row],[Column5]]), namespace_raw[[#This Row],[Column5]]/1048576, "")</f>
        <v/>
      </c>
      <c r="E261" s="95" t="str">
        <f>IF(ISNUMBER(namespace_raw[[#This Row],[Column6]]), namespace_raw[[#This Row],[Column6]],"")</f>
        <v/>
      </c>
      <c r="F261" s="96" t="str">
        <f>IF(ISNUMBER(namespace_raw[[#This Row],[Column7]]), namespace_raw[[#This Row],[Column7]]/1048576,"")</f>
        <v/>
      </c>
      <c r="G261" s="122" t="str">
        <f>IF(ISNUMBER(namespace_raw[[#This Row],[Column8]]), namespace_raw[[#This Row],[Column8]],"")</f>
        <v/>
      </c>
      <c r="H261" s="123" t="str">
        <f>IF(ISNUMBER(namespace_raw[[#This Row],[Column9]]), namespace_raw[[#This Row],[Column9]]/1048576,"")</f>
        <v/>
      </c>
      <c r="I261" s="124" t="str">
        <f>IF(ISNUMBER(namespace_raw[[#This Row],[Column8]]),MAX(G261, M261, O261, $I$2,IF(Q261&lt;&gt;"",VALUE(Q261),0)), "")</f>
        <v/>
      </c>
      <c r="J261" s="125" t="str">
        <f>IF(ISNUMBER(namespace_raw[[#This Row],[Column9]]),MAX(H261, N261, P261, $J$2,IF(R261&lt;&gt;"",VALUE(R261),0)),"")</f>
        <v/>
      </c>
      <c r="K261" s="166" t="str">
        <f>IF(ISNUMBER(namespace_raw[[#This Row],[Column12]]), namespace_raw[[#This Row],[Column12]],"")</f>
        <v/>
      </c>
      <c r="L261" s="167" t="str">
        <f>IF(ISNUMBER(namespace_raw[[#This Row],[Column13]]), namespace_raw[[#This Row],[Column13]]/1048576,"")</f>
        <v/>
      </c>
      <c r="M261" s="168" t="str">
        <f>IF(ISNUMBER(namespace_raw[[#This Row],[Column10]]), (namespace_raw[[#This Row],[Column10]]*(1+$M$2)),"")</f>
        <v/>
      </c>
      <c r="N261" s="167" t="str">
        <f>IF(ISNUMBER(namespace_raw[[#This Row],[Column11]]), (namespace_raw[[#This Row],[Column11]]*(1+$N$2))/1048576,"")</f>
        <v/>
      </c>
      <c r="O261" s="169" t="str">
        <f>IF(ISNUMBER(namespace_raw[[#This Row],[Column8]]), (E261  * $O$2),"")</f>
        <v/>
      </c>
      <c r="P261" s="170" t="str">
        <f>IF(ISNUMBER(namespace_raw[[#This Row],[Column8]]), (F261  * $P$2),"")</f>
        <v/>
      </c>
    </row>
    <row r="262" spans="1:16" ht="15" customHeight="1" x14ac:dyDescent="0.25">
      <c r="A262" s="32" t="str">
        <f>IF(ISNONTEXT(namespace_raw[[#This Row],[Column1]]), "", namespace_raw[[#This Row],[Column1]])</f>
        <v/>
      </c>
      <c r="B262" s="33" t="str">
        <f>IF(ISNONTEXT(namespace_raw[[#This Row],[Column2]]), "", namespace_raw[[#This Row],[Column2]])</f>
        <v/>
      </c>
      <c r="C262" s="94" t="str">
        <f>IF(ISNUMBER(namespace_raw[[#This Row],[Column4]]), namespace_raw[[#This Row],[Column4]], "")</f>
        <v/>
      </c>
      <c r="D262" s="95" t="str">
        <f>IF(ISNUMBER(namespace_raw[[#This Row],[Column5]]), namespace_raw[[#This Row],[Column5]]/1048576, "")</f>
        <v/>
      </c>
      <c r="E262" s="95" t="str">
        <f>IF(ISNUMBER(namespace_raw[[#This Row],[Column6]]), namespace_raw[[#This Row],[Column6]],"")</f>
        <v/>
      </c>
      <c r="F262" s="96" t="str">
        <f>IF(ISNUMBER(namespace_raw[[#This Row],[Column7]]), namespace_raw[[#This Row],[Column7]]/1048576,"")</f>
        <v/>
      </c>
      <c r="G262" s="122" t="str">
        <f>IF(ISNUMBER(namespace_raw[[#This Row],[Column8]]), namespace_raw[[#This Row],[Column8]],"")</f>
        <v/>
      </c>
      <c r="H262" s="123" t="str">
        <f>IF(ISNUMBER(namespace_raw[[#This Row],[Column9]]), namespace_raw[[#This Row],[Column9]]/1048576,"")</f>
        <v/>
      </c>
      <c r="I262" s="124" t="str">
        <f>IF(ISNUMBER(namespace_raw[[#This Row],[Column8]]),MAX(G262, M262, O262, $I$2,IF(Q262&lt;&gt;"",VALUE(Q262),0)), "")</f>
        <v/>
      </c>
      <c r="J262" s="125" t="str">
        <f>IF(ISNUMBER(namespace_raw[[#This Row],[Column9]]),MAX(H262, N262, P262, $J$2,IF(R262&lt;&gt;"",VALUE(R262),0)),"")</f>
        <v/>
      </c>
      <c r="K262" s="166" t="str">
        <f>IF(ISNUMBER(namespace_raw[[#This Row],[Column12]]), namespace_raw[[#This Row],[Column12]],"")</f>
        <v/>
      </c>
      <c r="L262" s="167" t="str">
        <f>IF(ISNUMBER(namespace_raw[[#This Row],[Column13]]), namespace_raw[[#This Row],[Column13]]/1048576,"")</f>
        <v/>
      </c>
      <c r="M262" s="168" t="str">
        <f>IF(ISNUMBER(namespace_raw[[#This Row],[Column10]]), (namespace_raw[[#This Row],[Column10]]*(1+$M$2)),"")</f>
        <v/>
      </c>
      <c r="N262" s="167" t="str">
        <f>IF(ISNUMBER(namespace_raw[[#This Row],[Column11]]), (namespace_raw[[#This Row],[Column11]]*(1+$N$2))/1048576,"")</f>
        <v/>
      </c>
      <c r="O262" s="169" t="str">
        <f>IF(ISNUMBER(namespace_raw[[#This Row],[Column8]]), (E262  * $O$2),"")</f>
        <v/>
      </c>
      <c r="P262" s="170" t="str">
        <f>IF(ISNUMBER(namespace_raw[[#This Row],[Column8]]), (F262  * $P$2),"")</f>
        <v/>
      </c>
    </row>
    <row r="263" spans="1:16" ht="15" customHeight="1" x14ac:dyDescent="0.25">
      <c r="A263" s="32" t="str">
        <f>IF(ISNONTEXT(namespace_raw[[#This Row],[Column1]]), "", namespace_raw[[#This Row],[Column1]])</f>
        <v/>
      </c>
      <c r="B263" s="33" t="str">
        <f>IF(ISNONTEXT(namespace_raw[[#This Row],[Column2]]), "", namespace_raw[[#This Row],[Column2]])</f>
        <v/>
      </c>
      <c r="C263" s="94" t="str">
        <f>IF(ISNUMBER(namespace_raw[[#This Row],[Column4]]), namespace_raw[[#This Row],[Column4]], "")</f>
        <v/>
      </c>
      <c r="D263" s="95" t="str">
        <f>IF(ISNUMBER(namespace_raw[[#This Row],[Column5]]), namespace_raw[[#This Row],[Column5]]/1048576, "")</f>
        <v/>
      </c>
      <c r="E263" s="95" t="str">
        <f>IF(ISNUMBER(namespace_raw[[#This Row],[Column6]]), namespace_raw[[#This Row],[Column6]],"")</f>
        <v/>
      </c>
      <c r="F263" s="96" t="str">
        <f>IF(ISNUMBER(namespace_raw[[#This Row],[Column7]]), namespace_raw[[#This Row],[Column7]]/1048576,"")</f>
        <v/>
      </c>
      <c r="G263" s="122" t="str">
        <f>IF(ISNUMBER(namespace_raw[[#This Row],[Column8]]), namespace_raw[[#This Row],[Column8]],"")</f>
        <v/>
      </c>
      <c r="H263" s="123" t="str">
        <f>IF(ISNUMBER(namespace_raw[[#This Row],[Column9]]), namespace_raw[[#This Row],[Column9]]/1048576,"")</f>
        <v/>
      </c>
      <c r="I263" s="124" t="str">
        <f>IF(ISNUMBER(namespace_raw[[#This Row],[Column8]]),MAX(G263, M263, O263, $I$2,IF(Q263&lt;&gt;"",VALUE(Q263),0)), "")</f>
        <v/>
      </c>
      <c r="J263" s="125" t="str">
        <f>IF(ISNUMBER(namespace_raw[[#This Row],[Column9]]),MAX(H263, N263, P263, $J$2,IF(R263&lt;&gt;"",VALUE(R263),0)),"")</f>
        <v/>
      </c>
      <c r="K263" s="166" t="str">
        <f>IF(ISNUMBER(namespace_raw[[#This Row],[Column12]]), namespace_raw[[#This Row],[Column12]],"")</f>
        <v/>
      </c>
      <c r="L263" s="167" t="str">
        <f>IF(ISNUMBER(namespace_raw[[#This Row],[Column13]]), namespace_raw[[#This Row],[Column13]]/1048576,"")</f>
        <v/>
      </c>
      <c r="M263" s="168" t="str">
        <f>IF(ISNUMBER(namespace_raw[[#This Row],[Column10]]), (namespace_raw[[#This Row],[Column10]]*(1+$M$2)),"")</f>
        <v/>
      </c>
      <c r="N263" s="167" t="str">
        <f>IF(ISNUMBER(namespace_raw[[#This Row],[Column11]]), (namespace_raw[[#This Row],[Column11]]*(1+$N$2))/1048576,"")</f>
        <v/>
      </c>
      <c r="O263" s="169" t="str">
        <f>IF(ISNUMBER(namespace_raw[[#This Row],[Column8]]), (E263  * $O$2),"")</f>
        <v/>
      </c>
      <c r="P263" s="170" t="str">
        <f>IF(ISNUMBER(namespace_raw[[#This Row],[Column8]]), (F263  * $P$2),"")</f>
        <v/>
      </c>
    </row>
    <row r="264" spans="1:16" ht="15" customHeight="1" x14ac:dyDescent="0.25">
      <c r="A264" s="32" t="str">
        <f>IF(ISNONTEXT(namespace_raw[[#This Row],[Column1]]), "", namespace_raw[[#This Row],[Column1]])</f>
        <v/>
      </c>
      <c r="B264" s="33" t="str">
        <f>IF(ISNONTEXT(namespace_raw[[#This Row],[Column2]]), "", namespace_raw[[#This Row],[Column2]])</f>
        <v/>
      </c>
      <c r="C264" s="94" t="str">
        <f>IF(ISNUMBER(namespace_raw[[#This Row],[Column4]]), namespace_raw[[#This Row],[Column4]], "")</f>
        <v/>
      </c>
      <c r="D264" s="95" t="str">
        <f>IF(ISNUMBER(namespace_raw[[#This Row],[Column5]]), namespace_raw[[#This Row],[Column5]]/1048576, "")</f>
        <v/>
      </c>
      <c r="E264" s="95" t="str">
        <f>IF(ISNUMBER(namespace_raw[[#This Row],[Column6]]), namespace_raw[[#This Row],[Column6]],"")</f>
        <v/>
      </c>
      <c r="F264" s="96" t="str">
        <f>IF(ISNUMBER(namespace_raw[[#This Row],[Column7]]), namespace_raw[[#This Row],[Column7]]/1048576,"")</f>
        <v/>
      </c>
      <c r="G264" s="122" t="str">
        <f>IF(ISNUMBER(namespace_raw[[#This Row],[Column8]]), namespace_raw[[#This Row],[Column8]],"")</f>
        <v/>
      </c>
      <c r="H264" s="123" t="str">
        <f>IF(ISNUMBER(namespace_raw[[#This Row],[Column9]]), namespace_raw[[#This Row],[Column9]]/1048576,"")</f>
        <v/>
      </c>
      <c r="I264" s="124" t="str">
        <f>IF(ISNUMBER(namespace_raw[[#This Row],[Column8]]),MAX(G264, M264, O264, $I$2,IF(Q264&lt;&gt;"",VALUE(Q264),0)), "")</f>
        <v/>
      </c>
      <c r="J264" s="125" t="str">
        <f>IF(ISNUMBER(namespace_raw[[#This Row],[Column9]]),MAX(H264, N264, P264, $J$2,IF(R264&lt;&gt;"",VALUE(R264),0)),"")</f>
        <v/>
      </c>
      <c r="K264" s="166" t="str">
        <f>IF(ISNUMBER(namespace_raw[[#This Row],[Column12]]), namespace_raw[[#This Row],[Column12]],"")</f>
        <v/>
      </c>
      <c r="L264" s="167" t="str">
        <f>IF(ISNUMBER(namespace_raw[[#This Row],[Column13]]), namespace_raw[[#This Row],[Column13]]/1048576,"")</f>
        <v/>
      </c>
      <c r="M264" s="168" t="str">
        <f>IF(ISNUMBER(namespace_raw[[#This Row],[Column10]]), (namespace_raw[[#This Row],[Column10]]*(1+$M$2)),"")</f>
        <v/>
      </c>
      <c r="N264" s="167" t="str">
        <f>IF(ISNUMBER(namespace_raw[[#This Row],[Column11]]), (namespace_raw[[#This Row],[Column11]]*(1+$N$2))/1048576,"")</f>
        <v/>
      </c>
      <c r="O264" s="169" t="str">
        <f>IF(ISNUMBER(namespace_raw[[#This Row],[Column8]]), (E264  * $O$2),"")</f>
        <v/>
      </c>
      <c r="P264" s="170" t="str">
        <f>IF(ISNUMBER(namespace_raw[[#This Row],[Column8]]), (F264  * $P$2),"")</f>
        <v/>
      </c>
    </row>
    <row r="265" spans="1:16" ht="15" customHeight="1" x14ac:dyDescent="0.25">
      <c r="A265" s="32" t="str">
        <f>IF(ISNONTEXT(namespace_raw[[#This Row],[Column1]]), "", namespace_raw[[#This Row],[Column1]])</f>
        <v/>
      </c>
      <c r="B265" s="33" t="str">
        <f>IF(ISNONTEXT(namespace_raw[[#This Row],[Column2]]), "", namespace_raw[[#This Row],[Column2]])</f>
        <v/>
      </c>
      <c r="C265" s="94" t="str">
        <f>IF(ISNUMBER(namespace_raw[[#This Row],[Column4]]), namespace_raw[[#This Row],[Column4]], "")</f>
        <v/>
      </c>
      <c r="D265" s="95" t="str">
        <f>IF(ISNUMBER(namespace_raw[[#This Row],[Column5]]), namespace_raw[[#This Row],[Column5]]/1048576, "")</f>
        <v/>
      </c>
      <c r="E265" s="95" t="str">
        <f>IF(ISNUMBER(namespace_raw[[#This Row],[Column6]]), namespace_raw[[#This Row],[Column6]],"")</f>
        <v/>
      </c>
      <c r="F265" s="96" t="str">
        <f>IF(ISNUMBER(namespace_raw[[#This Row],[Column7]]), namespace_raw[[#This Row],[Column7]]/1048576,"")</f>
        <v/>
      </c>
      <c r="G265" s="122" t="str">
        <f>IF(ISNUMBER(namespace_raw[[#This Row],[Column8]]), namespace_raw[[#This Row],[Column8]],"")</f>
        <v/>
      </c>
      <c r="H265" s="123" t="str">
        <f>IF(ISNUMBER(namespace_raw[[#This Row],[Column9]]), namespace_raw[[#This Row],[Column9]]/1048576,"")</f>
        <v/>
      </c>
      <c r="I265" s="124" t="str">
        <f>IF(ISNUMBER(namespace_raw[[#This Row],[Column8]]),MAX(G265, M265, O265, $I$2,IF(Q265&lt;&gt;"",VALUE(Q265),0)), "")</f>
        <v/>
      </c>
      <c r="J265" s="125" t="str">
        <f>IF(ISNUMBER(namespace_raw[[#This Row],[Column9]]),MAX(H265, N265, P265, $J$2,IF(R265&lt;&gt;"",VALUE(R265),0)),"")</f>
        <v/>
      </c>
      <c r="K265" s="166" t="str">
        <f>IF(ISNUMBER(namespace_raw[[#This Row],[Column12]]), namespace_raw[[#This Row],[Column12]],"")</f>
        <v/>
      </c>
      <c r="L265" s="167" t="str">
        <f>IF(ISNUMBER(namespace_raw[[#This Row],[Column13]]), namespace_raw[[#This Row],[Column13]]/1048576,"")</f>
        <v/>
      </c>
      <c r="M265" s="168" t="str">
        <f>IF(ISNUMBER(namespace_raw[[#This Row],[Column10]]), (namespace_raw[[#This Row],[Column10]]*(1+$M$2)),"")</f>
        <v/>
      </c>
      <c r="N265" s="167" t="str">
        <f>IF(ISNUMBER(namespace_raw[[#This Row],[Column11]]), (namespace_raw[[#This Row],[Column11]]*(1+$N$2))/1048576,"")</f>
        <v/>
      </c>
      <c r="O265" s="169" t="str">
        <f>IF(ISNUMBER(namespace_raw[[#This Row],[Column8]]), (E265  * $O$2),"")</f>
        <v/>
      </c>
      <c r="P265" s="170" t="str">
        <f>IF(ISNUMBER(namespace_raw[[#This Row],[Column8]]), (F265  * $P$2),"")</f>
        <v/>
      </c>
    </row>
    <row r="266" spans="1:16" ht="15" customHeight="1" x14ac:dyDescent="0.25">
      <c r="A266" s="32" t="str">
        <f>IF(ISNONTEXT(namespace_raw[[#This Row],[Column1]]), "", namespace_raw[[#This Row],[Column1]])</f>
        <v/>
      </c>
      <c r="B266" s="33" t="str">
        <f>IF(ISNONTEXT(namespace_raw[[#This Row],[Column2]]), "", namespace_raw[[#This Row],[Column2]])</f>
        <v/>
      </c>
      <c r="C266" s="94" t="str">
        <f>IF(ISNUMBER(namespace_raw[[#This Row],[Column4]]), namespace_raw[[#This Row],[Column4]], "")</f>
        <v/>
      </c>
      <c r="D266" s="95" t="str">
        <f>IF(ISNUMBER(namespace_raw[[#This Row],[Column5]]), namespace_raw[[#This Row],[Column5]]/1048576, "")</f>
        <v/>
      </c>
      <c r="E266" s="95" t="str">
        <f>IF(ISNUMBER(namespace_raw[[#This Row],[Column6]]), namespace_raw[[#This Row],[Column6]],"")</f>
        <v/>
      </c>
      <c r="F266" s="96" t="str">
        <f>IF(ISNUMBER(namespace_raw[[#This Row],[Column7]]), namespace_raw[[#This Row],[Column7]]/1048576,"")</f>
        <v/>
      </c>
      <c r="G266" s="122" t="str">
        <f>IF(ISNUMBER(namespace_raw[[#This Row],[Column8]]), namespace_raw[[#This Row],[Column8]],"")</f>
        <v/>
      </c>
      <c r="H266" s="123" t="str">
        <f>IF(ISNUMBER(namespace_raw[[#This Row],[Column9]]), namespace_raw[[#This Row],[Column9]]/1048576,"")</f>
        <v/>
      </c>
      <c r="I266" s="124" t="str">
        <f>IF(ISNUMBER(namespace_raw[[#This Row],[Column8]]),MAX(G266, M266, O266, $I$2,IF(Q266&lt;&gt;"",VALUE(Q266),0)), "")</f>
        <v/>
      </c>
      <c r="J266" s="125" t="str">
        <f>IF(ISNUMBER(namespace_raw[[#This Row],[Column9]]),MAX(H266, N266, P266, $J$2,IF(R266&lt;&gt;"",VALUE(R266),0)),"")</f>
        <v/>
      </c>
      <c r="K266" s="166" t="str">
        <f>IF(ISNUMBER(namespace_raw[[#This Row],[Column12]]), namespace_raw[[#This Row],[Column12]],"")</f>
        <v/>
      </c>
      <c r="L266" s="167" t="str">
        <f>IF(ISNUMBER(namespace_raw[[#This Row],[Column13]]), namespace_raw[[#This Row],[Column13]]/1048576,"")</f>
        <v/>
      </c>
      <c r="M266" s="168" t="str">
        <f>IF(ISNUMBER(namespace_raw[[#This Row],[Column10]]), (namespace_raw[[#This Row],[Column10]]*(1+$M$2)),"")</f>
        <v/>
      </c>
      <c r="N266" s="167" t="str">
        <f>IF(ISNUMBER(namespace_raw[[#This Row],[Column11]]), (namespace_raw[[#This Row],[Column11]]*(1+$N$2))/1048576,"")</f>
        <v/>
      </c>
      <c r="O266" s="169" t="str">
        <f>IF(ISNUMBER(namespace_raw[[#This Row],[Column8]]), (E266  * $O$2),"")</f>
        <v/>
      </c>
      <c r="P266" s="170" t="str">
        <f>IF(ISNUMBER(namespace_raw[[#This Row],[Column8]]), (F266  * $P$2),"")</f>
        <v/>
      </c>
    </row>
    <row r="267" spans="1:16" ht="15" customHeight="1" x14ac:dyDescent="0.25">
      <c r="A267" s="32" t="str">
        <f>IF(ISNONTEXT(namespace_raw[[#This Row],[Column1]]), "", namespace_raw[[#This Row],[Column1]])</f>
        <v/>
      </c>
      <c r="B267" s="33" t="str">
        <f>IF(ISNONTEXT(namespace_raw[[#This Row],[Column2]]), "", namespace_raw[[#This Row],[Column2]])</f>
        <v/>
      </c>
      <c r="C267" s="94" t="str">
        <f>IF(ISNUMBER(namespace_raw[[#This Row],[Column4]]), namespace_raw[[#This Row],[Column4]], "")</f>
        <v/>
      </c>
      <c r="D267" s="95" t="str">
        <f>IF(ISNUMBER(namespace_raw[[#This Row],[Column5]]), namespace_raw[[#This Row],[Column5]]/1048576, "")</f>
        <v/>
      </c>
      <c r="E267" s="95" t="str">
        <f>IF(ISNUMBER(namespace_raw[[#This Row],[Column6]]), namespace_raw[[#This Row],[Column6]],"")</f>
        <v/>
      </c>
      <c r="F267" s="96" t="str">
        <f>IF(ISNUMBER(namespace_raw[[#This Row],[Column7]]), namespace_raw[[#This Row],[Column7]]/1048576,"")</f>
        <v/>
      </c>
      <c r="G267" s="122" t="str">
        <f>IF(ISNUMBER(namespace_raw[[#This Row],[Column8]]), namespace_raw[[#This Row],[Column8]],"")</f>
        <v/>
      </c>
      <c r="H267" s="123" t="str">
        <f>IF(ISNUMBER(namespace_raw[[#This Row],[Column9]]), namespace_raw[[#This Row],[Column9]]/1048576,"")</f>
        <v/>
      </c>
      <c r="I267" s="124" t="str">
        <f>IF(ISNUMBER(namespace_raw[[#This Row],[Column8]]),MAX(G267, M267, O267, $I$2,IF(Q267&lt;&gt;"",VALUE(Q267),0)), "")</f>
        <v/>
      </c>
      <c r="J267" s="125" t="str">
        <f>IF(ISNUMBER(namespace_raw[[#This Row],[Column9]]),MAX(H267, N267, P267, $J$2,IF(R267&lt;&gt;"",VALUE(R267),0)),"")</f>
        <v/>
      </c>
      <c r="K267" s="166" t="str">
        <f>IF(ISNUMBER(namespace_raw[[#This Row],[Column12]]), namespace_raw[[#This Row],[Column12]],"")</f>
        <v/>
      </c>
      <c r="L267" s="167" t="str">
        <f>IF(ISNUMBER(namespace_raw[[#This Row],[Column13]]), namespace_raw[[#This Row],[Column13]]/1048576,"")</f>
        <v/>
      </c>
      <c r="M267" s="168" t="str">
        <f>IF(ISNUMBER(namespace_raw[[#This Row],[Column10]]), (namespace_raw[[#This Row],[Column10]]*(1+$M$2)),"")</f>
        <v/>
      </c>
      <c r="N267" s="167" t="str">
        <f>IF(ISNUMBER(namespace_raw[[#This Row],[Column11]]), (namespace_raw[[#This Row],[Column11]]*(1+$N$2))/1048576,"")</f>
        <v/>
      </c>
      <c r="O267" s="169" t="str">
        <f>IF(ISNUMBER(namespace_raw[[#This Row],[Column8]]), (E267  * $O$2),"")</f>
        <v/>
      </c>
      <c r="P267" s="170" t="str">
        <f>IF(ISNUMBER(namespace_raw[[#This Row],[Column8]]), (F267  * $P$2),"")</f>
        <v/>
      </c>
    </row>
    <row r="268" spans="1:16" ht="15" customHeight="1" x14ac:dyDescent="0.25">
      <c r="A268" s="32" t="str">
        <f>IF(ISNONTEXT(namespace_raw[[#This Row],[Column1]]), "", namespace_raw[[#This Row],[Column1]])</f>
        <v/>
      </c>
      <c r="B268" s="33" t="str">
        <f>IF(ISNONTEXT(namespace_raw[[#This Row],[Column2]]), "", namespace_raw[[#This Row],[Column2]])</f>
        <v/>
      </c>
      <c r="C268" s="94" t="str">
        <f>IF(ISNUMBER(namespace_raw[[#This Row],[Column4]]), namespace_raw[[#This Row],[Column4]], "")</f>
        <v/>
      </c>
      <c r="D268" s="95" t="str">
        <f>IF(ISNUMBER(namespace_raw[[#This Row],[Column5]]), namespace_raw[[#This Row],[Column5]]/1048576, "")</f>
        <v/>
      </c>
      <c r="E268" s="95" t="str">
        <f>IF(ISNUMBER(namespace_raw[[#This Row],[Column6]]), namespace_raw[[#This Row],[Column6]],"")</f>
        <v/>
      </c>
      <c r="F268" s="96" t="str">
        <f>IF(ISNUMBER(namespace_raw[[#This Row],[Column7]]), namespace_raw[[#This Row],[Column7]]/1048576,"")</f>
        <v/>
      </c>
      <c r="G268" s="122" t="str">
        <f>IF(ISNUMBER(namespace_raw[[#This Row],[Column8]]), namespace_raw[[#This Row],[Column8]],"")</f>
        <v/>
      </c>
      <c r="H268" s="123" t="str">
        <f>IF(ISNUMBER(namespace_raw[[#This Row],[Column9]]), namespace_raw[[#This Row],[Column9]]/1048576,"")</f>
        <v/>
      </c>
      <c r="I268" s="124" t="str">
        <f>IF(ISNUMBER(namespace_raw[[#This Row],[Column8]]),MAX(G268, M268, O268, $I$2,IF(Q268&lt;&gt;"",VALUE(Q268),0)), "")</f>
        <v/>
      </c>
      <c r="J268" s="125" t="str">
        <f>IF(ISNUMBER(namespace_raw[[#This Row],[Column9]]),MAX(H268, N268, P268, $J$2,IF(R268&lt;&gt;"",VALUE(R268),0)),"")</f>
        <v/>
      </c>
      <c r="K268" s="166" t="str">
        <f>IF(ISNUMBER(namespace_raw[[#This Row],[Column12]]), namespace_raw[[#This Row],[Column12]],"")</f>
        <v/>
      </c>
      <c r="L268" s="167" t="str">
        <f>IF(ISNUMBER(namespace_raw[[#This Row],[Column13]]), namespace_raw[[#This Row],[Column13]]/1048576,"")</f>
        <v/>
      </c>
      <c r="M268" s="168" t="str">
        <f>IF(ISNUMBER(namespace_raw[[#This Row],[Column10]]), (namespace_raw[[#This Row],[Column10]]*(1+$M$2)),"")</f>
        <v/>
      </c>
      <c r="N268" s="167" t="str">
        <f>IF(ISNUMBER(namespace_raw[[#This Row],[Column11]]), (namespace_raw[[#This Row],[Column11]]*(1+$N$2))/1048576,"")</f>
        <v/>
      </c>
      <c r="O268" s="169" t="str">
        <f>IF(ISNUMBER(namespace_raw[[#This Row],[Column8]]), (E268  * $O$2),"")</f>
        <v/>
      </c>
      <c r="P268" s="170" t="str">
        <f>IF(ISNUMBER(namespace_raw[[#This Row],[Column8]]), (F268  * $P$2),"")</f>
        <v/>
      </c>
    </row>
    <row r="269" spans="1:16" ht="15" customHeight="1" x14ac:dyDescent="0.25">
      <c r="A269" s="32" t="str">
        <f>IF(ISNONTEXT(namespace_raw[[#This Row],[Column1]]), "", namespace_raw[[#This Row],[Column1]])</f>
        <v/>
      </c>
      <c r="B269" s="33" t="str">
        <f>IF(ISNONTEXT(namespace_raw[[#This Row],[Column2]]), "", namespace_raw[[#This Row],[Column2]])</f>
        <v/>
      </c>
      <c r="C269" s="94" t="str">
        <f>IF(ISNUMBER(namespace_raw[[#This Row],[Column4]]), namespace_raw[[#This Row],[Column4]], "")</f>
        <v/>
      </c>
      <c r="D269" s="95" t="str">
        <f>IF(ISNUMBER(namespace_raw[[#This Row],[Column5]]), namespace_raw[[#This Row],[Column5]]/1048576, "")</f>
        <v/>
      </c>
      <c r="E269" s="95" t="str">
        <f>IF(ISNUMBER(namespace_raw[[#This Row],[Column6]]), namespace_raw[[#This Row],[Column6]],"")</f>
        <v/>
      </c>
      <c r="F269" s="96" t="str">
        <f>IF(ISNUMBER(namespace_raw[[#This Row],[Column7]]), namespace_raw[[#This Row],[Column7]]/1048576,"")</f>
        <v/>
      </c>
      <c r="G269" s="122" t="str">
        <f>IF(ISNUMBER(namespace_raw[[#This Row],[Column8]]), namespace_raw[[#This Row],[Column8]],"")</f>
        <v/>
      </c>
      <c r="H269" s="123" t="str">
        <f>IF(ISNUMBER(namespace_raw[[#This Row],[Column9]]), namespace_raw[[#This Row],[Column9]]/1048576,"")</f>
        <v/>
      </c>
      <c r="I269" s="124" t="str">
        <f>IF(ISNUMBER(namespace_raw[[#This Row],[Column8]]),MAX(G269, M269, O269, $I$2,IF(Q269&lt;&gt;"",VALUE(Q269),0)), "")</f>
        <v/>
      </c>
      <c r="J269" s="125" t="str">
        <f>IF(ISNUMBER(namespace_raw[[#This Row],[Column9]]),MAX(H269, N269, P269, $J$2,IF(R269&lt;&gt;"",VALUE(R269),0)),"")</f>
        <v/>
      </c>
      <c r="K269" s="166" t="str">
        <f>IF(ISNUMBER(namespace_raw[[#This Row],[Column12]]), namespace_raw[[#This Row],[Column12]],"")</f>
        <v/>
      </c>
      <c r="L269" s="167" t="str">
        <f>IF(ISNUMBER(namespace_raw[[#This Row],[Column13]]), namespace_raw[[#This Row],[Column13]]/1048576,"")</f>
        <v/>
      </c>
      <c r="M269" s="168" t="str">
        <f>IF(ISNUMBER(namespace_raw[[#This Row],[Column10]]), (namespace_raw[[#This Row],[Column10]]*(1+$M$2)),"")</f>
        <v/>
      </c>
      <c r="N269" s="167" t="str">
        <f>IF(ISNUMBER(namespace_raw[[#This Row],[Column11]]), (namespace_raw[[#This Row],[Column11]]*(1+$N$2))/1048576,"")</f>
        <v/>
      </c>
      <c r="O269" s="169" t="str">
        <f>IF(ISNUMBER(namespace_raw[[#This Row],[Column8]]), (E269  * $O$2),"")</f>
        <v/>
      </c>
      <c r="P269" s="170" t="str">
        <f>IF(ISNUMBER(namespace_raw[[#This Row],[Column8]]), (F269  * $P$2),"")</f>
        <v/>
      </c>
    </row>
    <row r="270" spans="1:16" ht="15" customHeight="1" x14ac:dyDescent="0.25">
      <c r="A270" s="32" t="str">
        <f>IF(ISNONTEXT(namespace_raw[[#This Row],[Column1]]), "", namespace_raw[[#This Row],[Column1]])</f>
        <v/>
      </c>
      <c r="B270" s="33" t="str">
        <f>IF(ISNONTEXT(namespace_raw[[#This Row],[Column2]]), "", namespace_raw[[#This Row],[Column2]])</f>
        <v/>
      </c>
      <c r="C270" s="94" t="str">
        <f>IF(ISNUMBER(namespace_raw[[#This Row],[Column4]]), namespace_raw[[#This Row],[Column4]], "")</f>
        <v/>
      </c>
      <c r="D270" s="95" t="str">
        <f>IF(ISNUMBER(namespace_raw[[#This Row],[Column5]]), namespace_raw[[#This Row],[Column5]]/1048576, "")</f>
        <v/>
      </c>
      <c r="E270" s="95" t="str">
        <f>IF(ISNUMBER(namespace_raw[[#This Row],[Column6]]), namespace_raw[[#This Row],[Column6]],"")</f>
        <v/>
      </c>
      <c r="F270" s="96" t="str">
        <f>IF(ISNUMBER(namespace_raw[[#This Row],[Column7]]), namespace_raw[[#This Row],[Column7]]/1048576,"")</f>
        <v/>
      </c>
      <c r="G270" s="122" t="str">
        <f>IF(ISNUMBER(namespace_raw[[#This Row],[Column8]]), namespace_raw[[#This Row],[Column8]],"")</f>
        <v/>
      </c>
      <c r="H270" s="123" t="str">
        <f>IF(ISNUMBER(namespace_raw[[#This Row],[Column9]]), namespace_raw[[#This Row],[Column9]]/1048576,"")</f>
        <v/>
      </c>
      <c r="I270" s="124" t="str">
        <f>IF(ISNUMBER(namespace_raw[[#This Row],[Column8]]),MAX(G270, M270, O270, $I$2,IF(Q270&lt;&gt;"",VALUE(Q270),0)), "")</f>
        <v/>
      </c>
      <c r="J270" s="125" t="str">
        <f>IF(ISNUMBER(namespace_raw[[#This Row],[Column9]]),MAX(H270, N270, P270, $J$2,IF(R270&lt;&gt;"",VALUE(R270),0)),"")</f>
        <v/>
      </c>
      <c r="K270" s="166" t="str">
        <f>IF(ISNUMBER(namespace_raw[[#This Row],[Column12]]), namespace_raw[[#This Row],[Column12]],"")</f>
        <v/>
      </c>
      <c r="L270" s="167" t="str">
        <f>IF(ISNUMBER(namespace_raw[[#This Row],[Column13]]), namespace_raw[[#This Row],[Column13]]/1048576,"")</f>
        <v/>
      </c>
      <c r="M270" s="168" t="str">
        <f>IF(ISNUMBER(namespace_raw[[#This Row],[Column10]]), (namespace_raw[[#This Row],[Column10]]*(1+$M$2)),"")</f>
        <v/>
      </c>
      <c r="N270" s="167" t="str">
        <f>IF(ISNUMBER(namespace_raw[[#This Row],[Column11]]), (namespace_raw[[#This Row],[Column11]]*(1+$N$2))/1048576,"")</f>
        <v/>
      </c>
      <c r="O270" s="169" t="str">
        <f>IF(ISNUMBER(namespace_raw[[#This Row],[Column8]]), (E270  * $O$2),"")</f>
        <v/>
      </c>
      <c r="P270" s="170" t="str">
        <f>IF(ISNUMBER(namespace_raw[[#This Row],[Column8]]), (F270  * $P$2),"")</f>
        <v/>
      </c>
    </row>
    <row r="271" spans="1:16" ht="15" customHeight="1" x14ac:dyDescent="0.25">
      <c r="A271" s="32" t="str">
        <f>IF(ISNONTEXT(namespace_raw[[#This Row],[Column1]]), "", namespace_raw[[#This Row],[Column1]])</f>
        <v/>
      </c>
      <c r="B271" s="33" t="str">
        <f>IF(ISNONTEXT(namespace_raw[[#This Row],[Column2]]), "", namespace_raw[[#This Row],[Column2]])</f>
        <v/>
      </c>
      <c r="C271" s="94" t="str">
        <f>IF(ISNUMBER(namespace_raw[[#This Row],[Column4]]), namespace_raw[[#This Row],[Column4]], "")</f>
        <v/>
      </c>
      <c r="D271" s="95" t="str">
        <f>IF(ISNUMBER(namespace_raw[[#This Row],[Column5]]), namespace_raw[[#This Row],[Column5]]/1048576, "")</f>
        <v/>
      </c>
      <c r="E271" s="95" t="str">
        <f>IF(ISNUMBER(namespace_raw[[#This Row],[Column6]]), namespace_raw[[#This Row],[Column6]],"")</f>
        <v/>
      </c>
      <c r="F271" s="96" t="str">
        <f>IF(ISNUMBER(namespace_raw[[#This Row],[Column7]]), namespace_raw[[#This Row],[Column7]]/1048576,"")</f>
        <v/>
      </c>
      <c r="G271" s="122" t="str">
        <f>IF(ISNUMBER(namespace_raw[[#This Row],[Column8]]), namespace_raw[[#This Row],[Column8]],"")</f>
        <v/>
      </c>
      <c r="H271" s="123" t="str">
        <f>IF(ISNUMBER(namespace_raw[[#This Row],[Column9]]), namespace_raw[[#This Row],[Column9]]/1048576,"")</f>
        <v/>
      </c>
      <c r="I271" s="124" t="str">
        <f>IF(ISNUMBER(namespace_raw[[#This Row],[Column8]]),MAX(G271, M271, O271, $I$2,IF(Q271&lt;&gt;"",VALUE(Q271),0)), "")</f>
        <v/>
      </c>
      <c r="J271" s="125" t="str">
        <f>IF(ISNUMBER(namespace_raw[[#This Row],[Column9]]),MAX(H271, N271, P271, $J$2,IF(R271&lt;&gt;"",VALUE(R271),0)),"")</f>
        <v/>
      </c>
      <c r="K271" s="166" t="str">
        <f>IF(ISNUMBER(namespace_raw[[#This Row],[Column12]]), namespace_raw[[#This Row],[Column12]],"")</f>
        <v/>
      </c>
      <c r="L271" s="167" t="str">
        <f>IF(ISNUMBER(namespace_raw[[#This Row],[Column13]]), namespace_raw[[#This Row],[Column13]]/1048576,"")</f>
        <v/>
      </c>
      <c r="M271" s="168" t="str">
        <f>IF(ISNUMBER(namespace_raw[[#This Row],[Column10]]), (namespace_raw[[#This Row],[Column10]]*(1+$M$2)),"")</f>
        <v/>
      </c>
      <c r="N271" s="167" t="str">
        <f>IF(ISNUMBER(namespace_raw[[#This Row],[Column11]]), (namespace_raw[[#This Row],[Column11]]*(1+$N$2))/1048576,"")</f>
        <v/>
      </c>
      <c r="O271" s="169" t="str">
        <f>IF(ISNUMBER(namespace_raw[[#This Row],[Column8]]), (E271  * $O$2),"")</f>
        <v/>
      </c>
      <c r="P271" s="170" t="str">
        <f>IF(ISNUMBER(namespace_raw[[#This Row],[Column8]]), (F271  * $P$2),"")</f>
        <v/>
      </c>
    </row>
    <row r="272" spans="1:16" ht="15" customHeight="1" x14ac:dyDescent="0.25">
      <c r="A272" s="32" t="str">
        <f>IF(ISNONTEXT(namespace_raw[[#This Row],[Column1]]), "", namespace_raw[[#This Row],[Column1]])</f>
        <v/>
      </c>
      <c r="B272" s="33" t="str">
        <f>IF(ISNONTEXT(namespace_raw[[#This Row],[Column2]]), "", namespace_raw[[#This Row],[Column2]])</f>
        <v/>
      </c>
      <c r="C272" s="94" t="str">
        <f>IF(ISNUMBER(namespace_raw[[#This Row],[Column4]]), namespace_raw[[#This Row],[Column4]], "")</f>
        <v/>
      </c>
      <c r="D272" s="95" t="str">
        <f>IF(ISNUMBER(namespace_raw[[#This Row],[Column5]]), namespace_raw[[#This Row],[Column5]]/1048576, "")</f>
        <v/>
      </c>
      <c r="E272" s="95" t="str">
        <f>IF(ISNUMBER(namespace_raw[[#This Row],[Column6]]), namespace_raw[[#This Row],[Column6]],"")</f>
        <v/>
      </c>
      <c r="F272" s="96" t="str">
        <f>IF(ISNUMBER(namespace_raw[[#This Row],[Column7]]), namespace_raw[[#This Row],[Column7]]/1048576,"")</f>
        <v/>
      </c>
      <c r="G272" s="122" t="str">
        <f>IF(ISNUMBER(namespace_raw[[#This Row],[Column8]]), namespace_raw[[#This Row],[Column8]],"")</f>
        <v/>
      </c>
      <c r="H272" s="123" t="str">
        <f>IF(ISNUMBER(namespace_raw[[#This Row],[Column9]]), namespace_raw[[#This Row],[Column9]]/1048576,"")</f>
        <v/>
      </c>
      <c r="I272" s="124" t="str">
        <f>IF(ISNUMBER(namespace_raw[[#This Row],[Column8]]),MAX(G272, M272, O272, $I$2,IF(Q272&lt;&gt;"",VALUE(Q272),0)), "")</f>
        <v/>
      </c>
      <c r="J272" s="125" t="str">
        <f>IF(ISNUMBER(namespace_raw[[#This Row],[Column9]]),MAX(H272, N272, P272, $J$2,IF(R272&lt;&gt;"",VALUE(R272),0)),"")</f>
        <v/>
      </c>
      <c r="K272" s="166" t="str">
        <f>IF(ISNUMBER(namespace_raw[[#This Row],[Column12]]), namespace_raw[[#This Row],[Column12]],"")</f>
        <v/>
      </c>
      <c r="L272" s="167" t="str">
        <f>IF(ISNUMBER(namespace_raw[[#This Row],[Column13]]), namespace_raw[[#This Row],[Column13]]/1048576,"")</f>
        <v/>
      </c>
      <c r="M272" s="168" t="str">
        <f>IF(ISNUMBER(namespace_raw[[#This Row],[Column10]]), (namespace_raw[[#This Row],[Column10]]*(1+$M$2)),"")</f>
        <v/>
      </c>
      <c r="N272" s="167" t="str">
        <f>IF(ISNUMBER(namespace_raw[[#This Row],[Column11]]), (namespace_raw[[#This Row],[Column11]]*(1+$N$2))/1048576,"")</f>
        <v/>
      </c>
      <c r="O272" s="169" t="str">
        <f>IF(ISNUMBER(namespace_raw[[#This Row],[Column8]]), (E272  * $O$2),"")</f>
        <v/>
      </c>
      <c r="P272" s="170" t="str">
        <f>IF(ISNUMBER(namespace_raw[[#This Row],[Column8]]), (F272  * $P$2),"")</f>
        <v/>
      </c>
    </row>
    <row r="273" spans="1:16" ht="15" customHeight="1" x14ac:dyDescent="0.25">
      <c r="A273" s="32" t="str">
        <f>IF(ISNONTEXT(namespace_raw[[#This Row],[Column1]]), "", namespace_raw[[#This Row],[Column1]])</f>
        <v/>
      </c>
      <c r="B273" s="33" t="str">
        <f>IF(ISNONTEXT(namespace_raw[[#This Row],[Column2]]), "", namespace_raw[[#This Row],[Column2]])</f>
        <v/>
      </c>
      <c r="C273" s="94" t="str">
        <f>IF(ISNUMBER(namespace_raw[[#This Row],[Column4]]), namespace_raw[[#This Row],[Column4]], "")</f>
        <v/>
      </c>
      <c r="D273" s="95" t="str">
        <f>IF(ISNUMBER(namespace_raw[[#This Row],[Column5]]), namespace_raw[[#This Row],[Column5]]/1048576, "")</f>
        <v/>
      </c>
      <c r="E273" s="95" t="str">
        <f>IF(ISNUMBER(namespace_raw[[#This Row],[Column6]]), namespace_raw[[#This Row],[Column6]],"")</f>
        <v/>
      </c>
      <c r="F273" s="96" t="str">
        <f>IF(ISNUMBER(namespace_raw[[#This Row],[Column7]]), namespace_raw[[#This Row],[Column7]]/1048576,"")</f>
        <v/>
      </c>
      <c r="G273" s="122" t="str">
        <f>IF(ISNUMBER(namespace_raw[[#This Row],[Column8]]), namespace_raw[[#This Row],[Column8]],"")</f>
        <v/>
      </c>
      <c r="H273" s="123" t="str">
        <f>IF(ISNUMBER(namespace_raw[[#This Row],[Column9]]), namespace_raw[[#This Row],[Column9]]/1048576,"")</f>
        <v/>
      </c>
      <c r="I273" s="124" t="str">
        <f>IF(ISNUMBER(namespace_raw[[#This Row],[Column8]]),MAX(G273, M273, O273, $I$2,IF(Q273&lt;&gt;"",VALUE(Q273),0)), "")</f>
        <v/>
      </c>
      <c r="J273" s="125" t="str">
        <f>IF(ISNUMBER(namespace_raw[[#This Row],[Column9]]),MAX(H273, N273, P273, $J$2,IF(R273&lt;&gt;"",VALUE(R273),0)),"")</f>
        <v/>
      </c>
      <c r="K273" s="166" t="str">
        <f>IF(ISNUMBER(namespace_raw[[#This Row],[Column12]]), namespace_raw[[#This Row],[Column12]],"")</f>
        <v/>
      </c>
      <c r="L273" s="167" t="str">
        <f>IF(ISNUMBER(namespace_raw[[#This Row],[Column13]]), namespace_raw[[#This Row],[Column13]]/1048576,"")</f>
        <v/>
      </c>
      <c r="M273" s="168" t="str">
        <f>IF(ISNUMBER(namespace_raw[[#This Row],[Column10]]), (namespace_raw[[#This Row],[Column10]]*(1+$M$2)),"")</f>
        <v/>
      </c>
      <c r="N273" s="167" t="str">
        <f>IF(ISNUMBER(namespace_raw[[#This Row],[Column11]]), (namespace_raw[[#This Row],[Column11]]*(1+$N$2))/1048576,"")</f>
        <v/>
      </c>
      <c r="O273" s="169" t="str">
        <f>IF(ISNUMBER(namespace_raw[[#This Row],[Column8]]), (E273  * $O$2),"")</f>
        <v/>
      </c>
      <c r="P273" s="170" t="str">
        <f>IF(ISNUMBER(namespace_raw[[#This Row],[Column8]]), (F273  * $P$2),"")</f>
        <v/>
      </c>
    </row>
    <row r="274" spans="1:16" ht="15" customHeight="1" x14ac:dyDescent="0.25">
      <c r="A274" s="32" t="str">
        <f>IF(ISNONTEXT(namespace_raw[[#This Row],[Column1]]), "", namespace_raw[[#This Row],[Column1]])</f>
        <v/>
      </c>
      <c r="B274" s="33" t="str">
        <f>IF(ISNONTEXT(namespace_raw[[#This Row],[Column2]]), "", namespace_raw[[#This Row],[Column2]])</f>
        <v/>
      </c>
      <c r="C274" s="94" t="str">
        <f>IF(ISNUMBER(namespace_raw[[#This Row],[Column4]]), namespace_raw[[#This Row],[Column4]], "")</f>
        <v/>
      </c>
      <c r="D274" s="95" t="str">
        <f>IF(ISNUMBER(namespace_raw[[#This Row],[Column5]]), namespace_raw[[#This Row],[Column5]]/1048576, "")</f>
        <v/>
      </c>
      <c r="E274" s="95" t="str">
        <f>IF(ISNUMBER(namespace_raw[[#This Row],[Column6]]), namespace_raw[[#This Row],[Column6]],"")</f>
        <v/>
      </c>
      <c r="F274" s="96" t="str">
        <f>IF(ISNUMBER(namespace_raw[[#This Row],[Column7]]), namespace_raw[[#This Row],[Column7]]/1048576,"")</f>
        <v/>
      </c>
      <c r="G274" s="122" t="str">
        <f>IF(ISNUMBER(namespace_raw[[#This Row],[Column8]]), namespace_raw[[#This Row],[Column8]],"")</f>
        <v/>
      </c>
      <c r="H274" s="123" t="str">
        <f>IF(ISNUMBER(namespace_raw[[#This Row],[Column9]]), namespace_raw[[#This Row],[Column9]]/1048576,"")</f>
        <v/>
      </c>
      <c r="I274" s="124" t="str">
        <f>IF(ISNUMBER(namespace_raw[[#This Row],[Column8]]),MAX(G274, M274, O274, $I$2,IF(Q274&lt;&gt;"",VALUE(Q274),0)), "")</f>
        <v/>
      </c>
      <c r="J274" s="125" t="str">
        <f>IF(ISNUMBER(namespace_raw[[#This Row],[Column9]]),MAX(H274, N274, P274, $J$2,IF(R274&lt;&gt;"",VALUE(R274),0)),"")</f>
        <v/>
      </c>
      <c r="K274" s="166" t="str">
        <f>IF(ISNUMBER(namespace_raw[[#This Row],[Column12]]), namespace_raw[[#This Row],[Column12]],"")</f>
        <v/>
      </c>
      <c r="L274" s="167" t="str">
        <f>IF(ISNUMBER(namespace_raw[[#This Row],[Column13]]), namespace_raw[[#This Row],[Column13]]/1048576,"")</f>
        <v/>
      </c>
      <c r="M274" s="168" t="str">
        <f>IF(ISNUMBER(namespace_raw[[#This Row],[Column10]]), (namespace_raw[[#This Row],[Column10]]*(1+$M$2)),"")</f>
        <v/>
      </c>
      <c r="N274" s="167" t="str">
        <f>IF(ISNUMBER(namespace_raw[[#This Row],[Column11]]), (namespace_raw[[#This Row],[Column11]]*(1+$N$2))/1048576,"")</f>
        <v/>
      </c>
      <c r="O274" s="169" t="str">
        <f>IF(ISNUMBER(namespace_raw[[#This Row],[Column8]]), (E274  * $O$2),"")</f>
        <v/>
      </c>
      <c r="P274" s="170" t="str">
        <f>IF(ISNUMBER(namespace_raw[[#This Row],[Column8]]), (F274  * $P$2),"")</f>
        <v/>
      </c>
    </row>
    <row r="275" spans="1:16" ht="15" customHeight="1" x14ac:dyDescent="0.25">
      <c r="A275" s="32" t="str">
        <f>IF(ISNONTEXT(namespace_raw[[#This Row],[Column1]]), "", namespace_raw[[#This Row],[Column1]])</f>
        <v/>
      </c>
      <c r="B275" s="33" t="str">
        <f>IF(ISNONTEXT(namespace_raw[[#This Row],[Column2]]), "", namespace_raw[[#This Row],[Column2]])</f>
        <v/>
      </c>
      <c r="C275" s="94" t="str">
        <f>IF(ISNUMBER(namespace_raw[[#This Row],[Column4]]), namespace_raw[[#This Row],[Column4]], "")</f>
        <v/>
      </c>
      <c r="D275" s="95" t="str">
        <f>IF(ISNUMBER(namespace_raw[[#This Row],[Column5]]), namespace_raw[[#This Row],[Column5]]/1048576, "")</f>
        <v/>
      </c>
      <c r="E275" s="95" t="str">
        <f>IF(ISNUMBER(namespace_raw[[#This Row],[Column6]]), namespace_raw[[#This Row],[Column6]],"")</f>
        <v/>
      </c>
      <c r="F275" s="96" t="str">
        <f>IF(ISNUMBER(namespace_raw[[#This Row],[Column7]]), namespace_raw[[#This Row],[Column7]]/1048576,"")</f>
        <v/>
      </c>
      <c r="G275" s="122" t="str">
        <f>IF(ISNUMBER(namespace_raw[[#This Row],[Column8]]), namespace_raw[[#This Row],[Column8]],"")</f>
        <v/>
      </c>
      <c r="H275" s="123" t="str">
        <f>IF(ISNUMBER(namespace_raw[[#This Row],[Column9]]), namespace_raw[[#This Row],[Column9]]/1048576,"")</f>
        <v/>
      </c>
      <c r="I275" s="124" t="str">
        <f>IF(ISNUMBER(namespace_raw[[#This Row],[Column8]]),MAX(G275, M275, O275, $I$2,IF(Q275&lt;&gt;"",VALUE(Q275),0)), "")</f>
        <v/>
      </c>
      <c r="J275" s="125" t="str">
        <f>IF(ISNUMBER(namespace_raw[[#This Row],[Column9]]),MAX(H275, N275, P275, $J$2,IF(R275&lt;&gt;"",VALUE(R275),0)),"")</f>
        <v/>
      </c>
      <c r="K275" s="166" t="str">
        <f>IF(ISNUMBER(namespace_raw[[#This Row],[Column12]]), namespace_raw[[#This Row],[Column12]],"")</f>
        <v/>
      </c>
      <c r="L275" s="167" t="str">
        <f>IF(ISNUMBER(namespace_raw[[#This Row],[Column13]]), namespace_raw[[#This Row],[Column13]]/1048576,"")</f>
        <v/>
      </c>
      <c r="M275" s="168" t="str">
        <f>IF(ISNUMBER(namespace_raw[[#This Row],[Column10]]), (namespace_raw[[#This Row],[Column10]]*(1+$M$2)),"")</f>
        <v/>
      </c>
      <c r="N275" s="167" t="str">
        <f>IF(ISNUMBER(namespace_raw[[#This Row],[Column11]]), (namespace_raw[[#This Row],[Column11]]*(1+$N$2))/1048576,"")</f>
        <v/>
      </c>
      <c r="O275" s="169" t="str">
        <f>IF(ISNUMBER(namespace_raw[[#This Row],[Column8]]), (E275  * $O$2),"")</f>
        <v/>
      </c>
      <c r="P275" s="170" t="str">
        <f>IF(ISNUMBER(namespace_raw[[#This Row],[Column8]]), (F275  * $P$2),"")</f>
        <v/>
      </c>
    </row>
    <row r="276" spans="1:16" ht="15" customHeight="1" x14ac:dyDescent="0.25">
      <c r="A276" s="32" t="str">
        <f>IF(ISNONTEXT(namespace_raw[[#This Row],[Column1]]), "", namespace_raw[[#This Row],[Column1]])</f>
        <v/>
      </c>
      <c r="B276" s="33" t="str">
        <f>IF(ISNONTEXT(namespace_raw[[#This Row],[Column2]]), "", namespace_raw[[#This Row],[Column2]])</f>
        <v/>
      </c>
      <c r="C276" s="94" t="str">
        <f>IF(ISNUMBER(namespace_raw[[#This Row],[Column4]]), namespace_raw[[#This Row],[Column4]], "")</f>
        <v/>
      </c>
      <c r="D276" s="95" t="str">
        <f>IF(ISNUMBER(namespace_raw[[#This Row],[Column5]]), namespace_raw[[#This Row],[Column5]]/1048576, "")</f>
        <v/>
      </c>
      <c r="E276" s="95" t="str">
        <f>IF(ISNUMBER(namespace_raw[[#This Row],[Column6]]), namespace_raw[[#This Row],[Column6]],"")</f>
        <v/>
      </c>
      <c r="F276" s="96" t="str">
        <f>IF(ISNUMBER(namespace_raw[[#This Row],[Column7]]), namespace_raw[[#This Row],[Column7]]/1048576,"")</f>
        <v/>
      </c>
      <c r="G276" s="122" t="str">
        <f>IF(ISNUMBER(namespace_raw[[#This Row],[Column8]]), namespace_raw[[#This Row],[Column8]],"")</f>
        <v/>
      </c>
      <c r="H276" s="123" t="str">
        <f>IF(ISNUMBER(namespace_raw[[#This Row],[Column9]]), namespace_raw[[#This Row],[Column9]]/1048576,"")</f>
        <v/>
      </c>
      <c r="I276" s="124" t="str">
        <f>IF(ISNUMBER(namespace_raw[[#This Row],[Column8]]),MAX(G276, M276, O276, $I$2,IF(Q276&lt;&gt;"",VALUE(Q276),0)), "")</f>
        <v/>
      </c>
      <c r="J276" s="125" t="str">
        <f>IF(ISNUMBER(namespace_raw[[#This Row],[Column9]]),MAX(H276, N276, P276, $J$2,IF(R276&lt;&gt;"",VALUE(R276),0)),"")</f>
        <v/>
      </c>
      <c r="K276" s="166" t="str">
        <f>IF(ISNUMBER(namespace_raw[[#This Row],[Column12]]), namespace_raw[[#This Row],[Column12]],"")</f>
        <v/>
      </c>
      <c r="L276" s="167" t="str">
        <f>IF(ISNUMBER(namespace_raw[[#This Row],[Column13]]), namespace_raw[[#This Row],[Column13]]/1048576,"")</f>
        <v/>
      </c>
      <c r="M276" s="168" t="str">
        <f>IF(ISNUMBER(namespace_raw[[#This Row],[Column10]]), (namespace_raw[[#This Row],[Column10]]*(1+$M$2)),"")</f>
        <v/>
      </c>
      <c r="N276" s="167" t="str">
        <f>IF(ISNUMBER(namespace_raw[[#This Row],[Column11]]), (namespace_raw[[#This Row],[Column11]]*(1+$N$2))/1048576,"")</f>
        <v/>
      </c>
      <c r="O276" s="169" t="str">
        <f>IF(ISNUMBER(namespace_raw[[#This Row],[Column8]]), (E276  * $O$2),"")</f>
        <v/>
      </c>
      <c r="P276" s="170" t="str">
        <f>IF(ISNUMBER(namespace_raw[[#This Row],[Column8]]), (F276  * $P$2),"")</f>
        <v/>
      </c>
    </row>
    <row r="277" spans="1:16" ht="15" customHeight="1" x14ac:dyDescent="0.25">
      <c r="A277" s="32" t="str">
        <f>IF(ISNONTEXT(namespace_raw[[#This Row],[Column1]]), "", namespace_raw[[#This Row],[Column1]])</f>
        <v/>
      </c>
      <c r="B277" s="33" t="str">
        <f>IF(ISNONTEXT(namespace_raw[[#This Row],[Column2]]), "", namespace_raw[[#This Row],[Column2]])</f>
        <v/>
      </c>
      <c r="C277" s="94" t="str">
        <f>IF(ISNUMBER(namespace_raw[[#This Row],[Column4]]), namespace_raw[[#This Row],[Column4]], "")</f>
        <v/>
      </c>
      <c r="D277" s="95" t="str">
        <f>IF(ISNUMBER(namespace_raw[[#This Row],[Column5]]), namespace_raw[[#This Row],[Column5]]/1048576, "")</f>
        <v/>
      </c>
      <c r="E277" s="95" t="str">
        <f>IF(ISNUMBER(namespace_raw[[#This Row],[Column6]]), namespace_raw[[#This Row],[Column6]],"")</f>
        <v/>
      </c>
      <c r="F277" s="96" t="str">
        <f>IF(ISNUMBER(namespace_raw[[#This Row],[Column7]]), namespace_raw[[#This Row],[Column7]]/1048576,"")</f>
        <v/>
      </c>
      <c r="G277" s="122" t="str">
        <f>IF(ISNUMBER(namespace_raw[[#This Row],[Column8]]), namespace_raw[[#This Row],[Column8]],"")</f>
        <v/>
      </c>
      <c r="H277" s="123" t="str">
        <f>IF(ISNUMBER(namespace_raw[[#This Row],[Column9]]), namespace_raw[[#This Row],[Column9]]/1048576,"")</f>
        <v/>
      </c>
      <c r="I277" s="124" t="str">
        <f>IF(ISNUMBER(namespace_raw[[#This Row],[Column8]]),MAX(G277, M277, O277, $I$2,IF(Q277&lt;&gt;"",VALUE(Q277),0)), "")</f>
        <v/>
      </c>
      <c r="J277" s="125" t="str">
        <f>IF(ISNUMBER(namespace_raw[[#This Row],[Column9]]),MAX(H277, N277, P277, $J$2,IF(R277&lt;&gt;"",VALUE(R277),0)),"")</f>
        <v/>
      </c>
      <c r="K277" s="166" t="str">
        <f>IF(ISNUMBER(namespace_raw[[#This Row],[Column12]]), namespace_raw[[#This Row],[Column12]],"")</f>
        <v/>
      </c>
      <c r="L277" s="167" t="str">
        <f>IF(ISNUMBER(namespace_raw[[#This Row],[Column13]]), namespace_raw[[#This Row],[Column13]]/1048576,"")</f>
        <v/>
      </c>
      <c r="M277" s="168" t="str">
        <f>IF(ISNUMBER(namespace_raw[[#This Row],[Column10]]), (namespace_raw[[#This Row],[Column10]]*(1+$M$2)),"")</f>
        <v/>
      </c>
      <c r="N277" s="167" t="str">
        <f>IF(ISNUMBER(namespace_raw[[#This Row],[Column11]]), (namespace_raw[[#This Row],[Column11]]*(1+$N$2))/1048576,"")</f>
        <v/>
      </c>
      <c r="O277" s="169" t="str">
        <f>IF(ISNUMBER(namespace_raw[[#This Row],[Column8]]), (E277  * $O$2),"")</f>
        <v/>
      </c>
      <c r="P277" s="170" t="str">
        <f>IF(ISNUMBER(namespace_raw[[#This Row],[Column8]]), (F277  * $P$2),"")</f>
        <v/>
      </c>
    </row>
    <row r="278" spans="1:16" ht="15" customHeight="1" x14ac:dyDescent="0.25">
      <c r="A278" s="32" t="str">
        <f>IF(ISNONTEXT(namespace_raw[[#This Row],[Column1]]), "", namespace_raw[[#This Row],[Column1]])</f>
        <v/>
      </c>
      <c r="B278" s="33" t="str">
        <f>IF(ISNONTEXT(namespace_raw[[#This Row],[Column2]]), "", namespace_raw[[#This Row],[Column2]])</f>
        <v/>
      </c>
      <c r="C278" s="94" t="str">
        <f>IF(ISNUMBER(namespace_raw[[#This Row],[Column4]]), namespace_raw[[#This Row],[Column4]], "")</f>
        <v/>
      </c>
      <c r="D278" s="95" t="str">
        <f>IF(ISNUMBER(namespace_raw[[#This Row],[Column5]]), namespace_raw[[#This Row],[Column5]]/1048576, "")</f>
        <v/>
      </c>
      <c r="E278" s="95" t="str">
        <f>IF(ISNUMBER(namespace_raw[[#This Row],[Column6]]), namespace_raw[[#This Row],[Column6]],"")</f>
        <v/>
      </c>
      <c r="F278" s="96" t="str">
        <f>IF(ISNUMBER(namespace_raw[[#This Row],[Column7]]), namespace_raw[[#This Row],[Column7]]/1048576,"")</f>
        <v/>
      </c>
      <c r="G278" s="122" t="str">
        <f>IF(ISNUMBER(namespace_raw[[#This Row],[Column8]]), namespace_raw[[#This Row],[Column8]],"")</f>
        <v/>
      </c>
      <c r="H278" s="123" t="str">
        <f>IF(ISNUMBER(namespace_raw[[#This Row],[Column9]]), namespace_raw[[#This Row],[Column9]]/1048576,"")</f>
        <v/>
      </c>
      <c r="I278" s="124" t="str">
        <f>IF(ISNUMBER(namespace_raw[[#This Row],[Column8]]),MAX(G278, M278, O278, $I$2,IF(Q278&lt;&gt;"",VALUE(Q278),0)), "")</f>
        <v/>
      </c>
      <c r="J278" s="125" t="str">
        <f>IF(ISNUMBER(namespace_raw[[#This Row],[Column9]]),MAX(H278, N278, P278, $J$2,IF(R278&lt;&gt;"",VALUE(R278),0)),"")</f>
        <v/>
      </c>
      <c r="K278" s="166" t="str">
        <f>IF(ISNUMBER(namespace_raw[[#This Row],[Column12]]), namespace_raw[[#This Row],[Column12]],"")</f>
        <v/>
      </c>
      <c r="L278" s="167" t="str">
        <f>IF(ISNUMBER(namespace_raw[[#This Row],[Column13]]), namespace_raw[[#This Row],[Column13]]/1048576,"")</f>
        <v/>
      </c>
      <c r="M278" s="168" t="str">
        <f>IF(ISNUMBER(namespace_raw[[#This Row],[Column10]]), (namespace_raw[[#This Row],[Column10]]*(1+$M$2)),"")</f>
        <v/>
      </c>
      <c r="N278" s="167" t="str">
        <f>IF(ISNUMBER(namespace_raw[[#This Row],[Column11]]), (namespace_raw[[#This Row],[Column11]]*(1+$N$2))/1048576,"")</f>
        <v/>
      </c>
      <c r="O278" s="169" t="str">
        <f>IF(ISNUMBER(namespace_raw[[#This Row],[Column8]]), (E278  * $O$2),"")</f>
        <v/>
      </c>
      <c r="P278" s="170" t="str">
        <f>IF(ISNUMBER(namespace_raw[[#This Row],[Column8]]), (F278  * $P$2),"")</f>
        <v/>
      </c>
    </row>
    <row r="279" spans="1:16" ht="15" customHeight="1" x14ac:dyDescent="0.25">
      <c r="A279" s="32" t="str">
        <f>IF(ISNONTEXT(namespace_raw[[#This Row],[Column1]]), "", namespace_raw[[#This Row],[Column1]])</f>
        <v/>
      </c>
      <c r="B279" s="33" t="str">
        <f>IF(ISNONTEXT(namespace_raw[[#This Row],[Column2]]), "", namespace_raw[[#This Row],[Column2]])</f>
        <v/>
      </c>
      <c r="C279" s="94" t="str">
        <f>IF(ISNUMBER(namespace_raw[[#This Row],[Column4]]), namespace_raw[[#This Row],[Column4]], "")</f>
        <v/>
      </c>
      <c r="D279" s="95" t="str">
        <f>IF(ISNUMBER(namespace_raw[[#This Row],[Column5]]), namespace_raw[[#This Row],[Column5]]/1048576, "")</f>
        <v/>
      </c>
      <c r="E279" s="95" t="str">
        <f>IF(ISNUMBER(namespace_raw[[#This Row],[Column6]]), namespace_raw[[#This Row],[Column6]],"")</f>
        <v/>
      </c>
      <c r="F279" s="96" t="str">
        <f>IF(ISNUMBER(namespace_raw[[#This Row],[Column7]]), namespace_raw[[#This Row],[Column7]]/1048576,"")</f>
        <v/>
      </c>
      <c r="G279" s="122" t="str">
        <f>IF(ISNUMBER(namespace_raw[[#This Row],[Column8]]), namespace_raw[[#This Row],[Column8]],"")</f>
        <v/>
      </c>
      <c r="H279" s="123" t="str">
        <f>IF(ISNUMBER(namespace_raw[[#This Row],[Column9]]), namespace_raw[[#This Row],[Column9]]/1048576,"")</f>
        <v/>
      </c>
      <c r="I279" s="124" t="str">
        <f>IF(ISNUMBER(namespace_raw[[#This Row],[Column8]]),MAX(G279, M279, O279, $I$2,IF(Q279&lt;&gt;"",VALUE(Q279),0)), "")</f>
        <v/>
      </c>
      <c r="J279" s="125" t="str">
        <f>IF(ISNUMBER(namespace_raw[[#This Row],[Column9]]),MAX(H279, N279, P279, $J$2,IF(R279&lt;&gt;"",VALUE(R279),0)),"")</f>
        <v/>
      </c>
      <c r="K279" s="166" t="str">
        <f>IF(ISNUMBER(namespace_raw[[#This Row],[Column12]]), namespace_raw[[#This Row],[Column12]],"")</f>
        <v/>
      </c>
      <c r="L279" s="167" t="str">
        <f>IF(ISNUMBER(namespace_raw[[#This Row],[Column13]]), namespace_raw[[#This Row],[Column13]]/1048576,"")</f>
        <v/>
      </c>
      <c r="M279" s="168" t="str">
        <f>IF(ISNUMBER(namespace_raw[[#This Row],[Column10]]), (namespace_raw[[#This Row],[Column10]]*(1+$M$2)),"")</f>
        <v/>
      </c>
      <c r="N279" s="167" t="str">
        <f>IF(ISNUMBER(namespace_raw[[#This Row],[Column11]]), (namespace_raw[[#This Row],[Column11]]*(1+$N$2))/1048576,"")</f>
        <v/>
      </c>
      <c r="O279" s="169" t="str">
        <f>IF(ISNUMBER(namespace_raw[[#This Row],[Column8]]), (E279  * $O$2),"")</f>
        <v/>
      </c>
      <c r="P279" s="170" t="str">
        <f>IF(ISNUMBER(namespace_raw[[#This Row],[Column8]]), (F279  * $P$2),"")</f>
        <v/>
      </c>
    </row>
    <row r="280" spans="1:16" ht="15" customHeight="1" x14ac:dyDescent="0.25">
      <c r="A280" s="32" t="str">
        <f>IF(ISNONTEXT(namespace_raw[[#This Row],[Column1]]), "", namespace_raw[[#This Row],[Column1]])</f>
        <v/>
      </c>
      <c r="B280" s="33" t="str">
        <f>IF(ISNONTEXT(namespace_raw[[#This Row],[Column2]]), "", namespace_raw[[#This Row],[Column2]])</f>
        <v/>
      </c>
      <c r="C280" s="94" t="str">
        <f>IF(ISNUMBER(namespace_raw[[#This Row],[Column4]]), namespace_raw[[#This Row],[Column4]], "")</f>
        <v/>
      </c>
      <c r="D280" s="95" t="str">
        <f>IF(ISNUMBER(namespace_raw[[#This Row],[Column5]]), namespace_raw[[#This Row],[Column5]]/1048576, "")</f>
        <v/>
      </c>
      <c r="E280" s="95" t="str">
        <f>IF(ISNUMBER(namespace_raw[[#This Row],[Column6]]), namespace_raw[[#This Row],[Column6]],"")</f>
        <v/>
      </c>
      <c r="F280" s="96" t="str">
        <f>IF(ISNUMBER(namespace_raw[[#This Row],[Column7]]), namespace_raw[[#This Row],[Column7]]/1048576,"")</f>
        <v/>
      </c>
      <c r="G280" s="122" t="str">
        <f>IF(ISNUMBER(namespace_raw[[#This Row],[Column8]]), namespace_raw[[#This Row],[Column8]],"")</f>
        <v/>
      </c>
      <c r="H280" s="123" t="str">
        <f>IF(ISNUMBER(namespace_raw[[#This Row],[Column9]]), namespace_raw[[#This Row],[Column9]]/1048576,"")</f>
        <v/>
      </c>
      <c r="I280" s="124" t="str">
        <f>IF(ISNUMBER(namespace_raw[[#This Row],[Column8]]),MAX(G280, M280, O280, $I$2,IF(Q280&lt;&gt;"",VALUE(Q280),0)), "")</f>
        <v/>
      </c>
      <c r="J280" s="125" t="str">
        <f>IF(ISNUMBER(namespace_raw[[#This Row],[Column9]]),MAX(H280, N280, P280, $J$2,IF(R280&lt;&gt;"",VALUE(R280),0)),"")</f>
        <v/>
      </c>
      <c r="K280" s="166" t="str">
        <f>IF(ISNUMBER(namespace_raw[[#This Row],[Column12]]), namespace_raw[[#This Row],[Column12]],"")</f>
        <v/>
      </c>
      <c r="L280" s="167" t="str">
        <f>IF(ISNUMBER(namespace_raw[[#This Row],[Column13]]), namespace_raw[[#This Row],[Column13]]/1048576,"")</f>
        <v/>
      </c>
      <c r="M280" s="168" t="str">
        <f>IF(ISNUMBER(namespace_raw[[#This Row],[Column10]]), (namespace_raw[[#This Row],[Column10]]*(1+$M$2)),"")</f>
        <v/>
      </c>
      <c r="N280" s="167" t="str">
        <f>IF(ISNUMBER(namespace_raw[[#This Row],[Column11]]), (namespace_raw[[#This Row],[Column11]]*(1+$N$2))/1048576,"")</f>
        <v/>
      </c>
      <c r="O280" s="169" t="str">
        <f>IF(ISNUMBER(namespace_raw[[#This Row],[Column8]]), (E280  * $O$2),"")</f>
        <v/>
      </c>
      <c r="P280" s="170" t="str">
        <f>IF(ISNUMBER(namespace_raw[[#This Row],[Column8]]), (F280  * $P$2),"")</f>
        <v/>
      </c>
    </row>
    <row r="281" spans="1:16" ht="15" customHeight="1" x14ac:dyDescent="0.25">
      <c r="A281" s="32" t="str">
        <f>IF(ISNONTEXT(namespace_raw[[#This Row],[Column1]]), "", namespace_raw[[#This Row],[Column1]])</f>
        <v/>
      </c>
      <c r="B281" s="33" t="str">
        <f>IF(ISNONTEXT(namespace_raw[[#This Row],[Column2]]), "", namespace_raw[[#This Row],[Column2]])</f>
        <v/>
      </c>
      <c r="C281" s="94" t="str">
        <f>IF(ISNUMBER(namespace_raw[[#This Row],[Column4]]), namespace_raw[[#This Row],[Column4]], "")</f>
        <v/>
      </c>
      <c r="D281" s="95" t="str">
        <f>IF(ISNUMBER(namespace_raw[[#This Row],[Column5]]), namespace_raw[[#This Row],[Column5]]/1048576, "")</f>
        <v/>
      </c>
      <c r="E281" s="95" t="str">
        <f>IF(ISNUMBER(namespace_raw[[#This Row],[Column6]]), namespace_raw[[#This Row],[Column6]],"")</f>
        <v/>
      </c>
      <c r="F281" s="96" t="str">
        <f>IF(ISNUMBER(namespace_raw[[#This Row],[Column7]]), namespace_raw[[#This Row],[Column7]]/1048576,"")</f>
        <v/>
      </c>
      <c r="G281" s="122" t="str">
        <f>IF(ISNUMBER(namespace_raw[[#This Row],[Column8]]), namespace_raw[[#This Row],[Column8]],"")</f>
        <v/>
      </c>
      <c r="H281" s="123" t="str">
        <f>IF(ISNUMBER(namespace_raw[[#This Row],[Column9]]), namespace_raw[[#This Row],[Column9]]/1048576,"")</f>
        <v/>
      </c>
      <c r="I281" s="124" t="str">
        <f>IF(ISNUMBER(namespace_raw[[#This Row],[Column8]]),MAX(G281, M281, O281, $I$2,IF(Q281&lt;&gt;"",VALUE(Q281),0)), "")</f>
        <v/>
      </c>
      <c r="J281" s="125" t="str">
        <f>IF(ISNUMBER(namespace_raw[[#This Row],[Column9]]),MAX(H281, N281, P281, $J$2,IF(R281&lt;&gt;"",VALUE(R281),0)),"")</f>
        <v/>
      </c>
      <c r="K281" s="166" t="str">
        <f>IF(ISNUMBER(namespace_raw[[#This Row],[Column12]]), namespace_raw[[#This Row],[Column12]],"")</f>
        <v/>
      </c>
      <c r="L281" s="167" t="str">
        <f>IF(ISNUMBER(namespace_raw[[#This Row],[Column13]]), namespace_raw[[#This Row],[Column13]]/1048576,"")</f>
        <v/>
      </c>
      <c r="M281" s="168" t="str">
        <f>IF(ISNUMBER(namespace_raw[[#This Row],[Column10]]), (namespace_raw[[#This Row],[Column10]]*(1+$M$2)),"")</f>
        <v/>
      </c>
      <c r="N281" s="167" t="str">
        <f>IF(ISNUMBER(namespace_raw[[#This Row],[Column11]]), (namespace_raw[[#This Row],[Column11]]*(1+$N$2))/1048576,"")</f>
        <v/>
      </c>
      <c r="O281" s="169" t="str">
        <f>IF(ISNUMBER(namespace_raw[[#This Row],[Column8]]), (E281  * $O$2),"")</f>
        <v/>
      </c>
      <c r="P281" s="170" t="str">
        <f>IF(ISNUMBER(namespace_raw[[#This Row],[Column8]]), (F281  * $P$2),"")</f>
        <v/>
      </c>
    </row>
    <row r="282" spans="1:16" ht="15" customHeight="1" x14ac:dyDescent="0.25">
      <c r="A282" s="32" t="str">
        <f>IF(ISNONTEXT(namespace_raw[[#This Row],[Column1]]), "", namespace_raw[[#This Row],[Column1]])</f>
        <v/>
      </c>
      <c r="B282" s="33" t="str">
        <f>IF(ISNONTEXT(namespace_raw[[#This Row],[Column2]]), "", namespace_raw[[#This Row],[Column2]])</f>
        <v/>
      </c>
      <c r="C282" s="94" t="str">
        <f>IF(ISNUMBER(namespace_raw[[#This Row],[Column4]]), namespace_raw[[#This Row],[Column4]], "")</f>
        <v/>
      </c>
      <c r="D282" s="95" t="str">
        <f>IF(ISNUMBER(namespace_raw[[#This Row],[Column5]]), namespace_raw[[#This Row],[Column5]]/1048576, "")</f>
        <v/>
      </c>
      <c r="E282" s="95" t="str">
        <f>IF(ISNUMBER(namespace_raw[[#This Row],[Column6]]), namespace_raw[[#This Row],[Column6]],"")</f>
        <v/>
      </c>
      <c r="F282" s="96" t="str">
        <f>IF(ISNUMBER(namespace_raw[[#This Row],[Column7]]), namespace_raw[[#This Row],[Column7]]/1048576,"")</f>
        <v/>
      </c>
      <c r="G282" s="122" t="str">
        <f>IF(ISNUMBER(namespace_raw[[#This Row],[Column8]]), namespace_raw[[#This Row],[Column8]],"")</f>
        <v/>
      </c>
      <c r="H282" s="123" t="str">
        <f>IF(ISNUMBER(namespace_raw[[#This Row],[Column9]]), namespace_raw[[#This Row],[Column9]]/1048576,"")</f>
        <v/>
      </c>
      <c r="I282" s="124" t="str">
        <f>IF(ISNUMBER(namespace_raw[[#This Row],[Column8]]),MAX(G282, M282, O282, $I$2,IF(Q282&lt;&gt;"",VALUE(Q282),0)), "")</f>
        <v/>
      </c>
      <c r="J282" s="125" t="str">
        <f>IF(ISNUMBER(namespace_raw[[#This Row],[Column9]]),MAX(H282, N282, P282, $J$2,IF(R282&lt;&gt;"",VALUE(R282),0)),"")</f>
        <v/>
      </c>
      <c r="K282" s="166" t="str">
        <f>IF(ISNUMBER(namespace_raw[[#This Row],[Column12]]), namespace_raw[[#This Row],[Column12]],"")</f>
        <v/>
      </c>
      <c r="L282" s="167" t="str">
        <f>IF(ISNUMBER(namespace_raw[[#This Row],[Column13]]), namespace_raw[[#This Row],[Column13]]/1048576,"")</f>
        <v/>
      </c>
      <c r="M282" s="168" t="str">
        <f>IF(ISNUMBER(namespace_raw[[#This Row],[Column10]]), (namespace_raw[[#This Row],[Column10]]*(1+$M$2)),"")</f>
        <v/>
      </c>
      <c r="N282" s="167" t="str">
        <f>IF(ISNUMBER(namespace_raw[[#This Row],[Column11]]), (namespace_raw[[#This Row],[Column11]]*(1+$N$2))/1048576,"")</f>
        <v/>
      </c>
      <c r="O282" s="169" t="str">
        <f>IF(ISNUMBER(namespace_raw[[#This Row],[Column8]]), (E282  * $O$2),"")</f>
        <v/>
      </c>
      <c r="P282" s="170" t="str">
        <f>IF(ISNUMBER(namespace_raw[[#This Row],[Column8]]), (F282  * $P$2),"")</f>
        <v/>
      </c>
    </row>
    <row r="283" spans="1:16" ht="15" customHeight="1" x14ac:dyDescent="0.25">
      <c r="A283" s="32" t="str">
        <f>IF(ISNONTEXT(namespace_raw[[#This Row],[Column1]]), "", namespace_raw[[#This Row],[Column1]])</f>
        <v/>
      </c>
      <c r="B283" s="33" t="str">
        <f>IF(ISNONTEXT(namespace_raw[[#This Row],[Column2]]), "", namespace_raw[[#This Row],[Column2]])</f>
        <v/>
      </c>
      <c r="C283" s="94" t="str">
        <f>IF(ISNUMBER(namespace_raw[[#This Row],[Column4]]), namespace_raw[[#This Row],[Column4]], "")</f>
        <v/>
      </c>
      <c r="D283" s="95" t="str">
        <f>IF(ISNUMBER(namespace_raw[[#This Row],[Column5]]), namespace_raw[[#This Row],[Column5]]/1048576, "")</f>
        <v/>
      </c>
      <c r="E283" s="95" t="str">
        <f>IF(ISNUMBER(namespace_raw[[#This Row],[Column6]]), namespace_raw[[#This Row],[Column6]],"")</f>
        <v/>
      </c>
      <c r="F283" s="96" t="str">
        <f>IF(ISNUMBER(namespace_raw[[#This Row],[Column7]]), namespace_raw[[#This Row],[Column7]]/1048576,"")</f>
        <v/>
      </c>
      <c r="G283" s="122" t="str">
        <f>IF(ISNUMBER(namespace_raw[[#This Row],[Column8]]), namespace_raw[[#This Row],[Column8]],"")</f>
        <v/>
      </c>
      <c r="H283" s="123" t="str">
        <f>IF(ISNUMBER(namespace_raw[[#This Row],[Column9]]), namespace_raw[[#This Row],[Column9]]/1048576,"")</f>
        <v/>
      </c>
      <c r="I283" s="124" t="str">
        <f>IF(ISNUMBER(namespace_raw[[#This Row],[Column8]]),MAX(G283, M283, O283, $I$2,IF(Q283&lt;&gt;"",VALUE(Q283),0)), "")</f>
        <v/>
      </c>
      <c r="J283" s="125" t="str">
        <f>IF(ISNUMBER(namespace_raw[[#This Row],[Column9]]),MAX(H283, N283, P283, $J$2,IF(R283&lt;&gt;"",VALUE(R283),0)),"")</f>
        <v/>
      </c>
      <c r="K283" s="166" t="str">
        <f>IF(ISNUMBER(namespace_raw[[#This Row],[Column12]]), namespace_raw[[#This Row],[Column12]],"")</f>
        <v/>
      </c>
      <c r="L283" s="167" t="str">
        <f>IF(ISNUMBER(namespace_raw[[#This Row],[Column13]]), namespace_raw[[#This Row],[Column13]]/1048576,"")</f>
        <v/>
      </c>
      <c r="M283" s="168" t="str">
        <f>IF(ISNUMBER(namespace_raw[[#This Row],[Column10]]), (namespace_raw[[#This Row],[Column10]]*(1+$M$2)),"")</f>
        <v/>
      </c>
      <c r="N283" s="167" t="str">
        <f>IF(ISNUMBER(namespace_raw[[#This Row],[Column11]]), (namespace_raw[[#This Row],[Column11]]*(1+$N$2))/1048576,"")</f>
        <v/>
      </c>
      <c r="O283" s="169" t="str">
        <f>IF(ISNUMBER(namespace_raw[[#This Row],[Column8]]), (E283  * $O$2),"")</f>
        <v/>
      </c>
      <c r="P283" s="170" t="str">
        <f>IF(ISNUMBER(namespace_raw[[#This Row],[Column8]]), (F283  * $P$2),"")</f>
        <v/>
      </c>
    </row>
    <row r="284" spans="1:16" ht="15" customHeight="1" x14ac:dyDescent="0.25">
      <c r="A284" s="32" t="str">
        <f>IF(ISNONTEXT(namespace_raw[[#This Row],[Column1]]), "", namespace_raw[[#This Row],[Column1]])</f>
        <v/>
      </c>
      <c r="B284" s="33" t="str">
        <f>IF(ISNONTEXT(namespace_raw[[#This Row],[Column2]]), "", namespace_raw[[#This Row],[Column2]])</f>
        <v/>
      </c>
      <c r="C284" s="94" t="str">
        <f>IF(ISNUMBER(namespace_raw[[#This Row],[Column4]]), namespace_raw[[#This Row],[Column4]], "")</f>
        <v/>
      </c>
      <c r="D284" s="95" t="str">
        <f>IF(ISNUMBER(namespace_raw[[#This Row],[Column5]]), namespace_raw[[#This Row],[Column5]]/1048576, "")</f>
        <v/>
      </c>
      <c r="E284" s="95" t="str">
        <f>IF(ISNUMBER(namespace_raw[[#This Row],[Column6]]), namespace_raw[[#This Row],[Column6]],"")</f>
        <v/>
      </c>
      <c r="F284" s="96" t="str">
        <f>IF(ISNUMBER(namespace_raw[[#This Row],[Column7]]), namespace_raw[[#This Row],[Column7]]/1048576,"")</f>
        <v/>
      </c>
      <c r="G284" s="122" t="str">
        <f>IF(ISNUMBER(namespace_raw[[#This Row],[Column8]]), namespace_raw[[#This Row],[Column8]],"")</f>
        <v/>
      </c>
      <c r="H284" s="123" t="str">
        <f>IF(ISNUMBER(namespace_raw[[#This Row],[Column9]]), namespace_raw[[#This Row],[Column9]]/1048576,"")</f>
        <v/>
      </c>
      <c r="I284" s="124" t="str">
        <f>IF(ISNUMBER(namespace_raw[[#This Row],[Column8]]),MAX(G284, M284, O284, $I$2,IF(Q284&lt;&gt;"",VALUE(Q284),0)), "")</f>
        <v/>
      </c>
      <c r="J284" s="125" t="str">
        <f>IF(ISNUMBER(namespace_raw[[#This Row],[Column9]]),MAX(H284, N284, P284, $J$2,IF(R284&lt;&gt;"",VALUE(R284),0)),"")</f>
        <v/>
      </c>
      <c r="K284" s="166" t="str">
        <f>IF(ISNUMBER(namespace_raw[[#This Row],[Column12]]), namespace_raw[[#This Row],[Column12]],"")</f>
        <v/>
      </c>
      <c r="L284" s="167" t="str">
        <f>IF(ISNUMBER(namespace_raw[[#This Row],[Column13]]), namespace_raw[[#This Row],[Column13]]/1048576,"")</f>
        <v/>
      </c>
      <c r="M284" s="168" t="str">
        <f>IF(ISNUMBER(namespace_raw[[#This Row],[Column10]]), (namespace_raw[[#This Row],[Column10]]*(1+$M$2)),"")</f>
        <v/>
      </c>
      <c r="N284" s="167" t="str">
        <f>IF(ISNUMBER(namespace_raw[[#This Row],[Column11]]), (namespace_raw[[#This Row],[Column11]]*(1+$N$2))/1048576,"")</f>
        <v/>
      </c>
      <c r="O284" s="169" t="str">
        <f>IF(ISNUMBER(namespace_raw[[#This Row],[Column8]]), (E284  * $O$2),"")</f>
        <v/>
      </c>
      <c r="P284" s="170" t="str">
        <f>IF(ISNUMBER(namespace_raw[[#This Row],[Column8]]), (F284  * $P$2),"")</f>
        <v/>
      </c>
    </row>
    <row r="285" spans="1:16" ht="15" customHeight="1" x14ac:dyDescent="0.25">
      <c r="A285" s="32" t="str">
        <f>IF(ISNONTEXT(namespace_raw[[#This Row],[Column1]]), "", namespace_raw[[#This Row],[Column1]])</f>
        <v/>
      </c>
      <c r="B285" s="33" t="str">
        <f>IF(ISNONTEXT(namespace_raw[[#This Row],[Column2]]), "", namespace_raw[[#This Row],[Column2]])</f>
        <v/>
      </c>
      <c r="C285" s="94" t="str">
        <f>IF(ISNUMBER(namespace_raw[[#This Row],[Column4]]), namespace_raw[[#This Row],[Column4]], "")</f>
        <v/>
      </c>
      <c r="D285" s="95" t="str">
        <f>IF(ISNUMBER(namespace_raw[[#This Row],[Column5]]), namespace_raw[[#This Row],[Column5]]/1048576, "")</f>
        <v/>
      </c>
      <c r="E285" s="95" t="str">
        <f>IF(ISNUMBER(namespace_raw[[#This Row],[Column6]]), namespace_raw[[#This Row],[Column6]],"")</f>
        <v/>
      </c>
      <c r="F285" s="96" t="str">
        <f>IF(ISNUMBER(namespace_raw[[#This Row],[Column7]]), namespace_raw[[#This Row],[Column7]]/1048576,"")</f>
        <v/>
      </c>
      <c r="G285" s="122" t="str">
        <f>IF(ISNUMBER(namespace_raw[[#This Row],[Column8]]), namespace_raw[[#This Row],[Column8]],"")</f>
        <v/>
      </c>
      <c r="H285" s="123" t="str">
        <f>IF(ISNUMBER(namespace_raw[[#This Row],[Column9]]), namespace_raw[[#This Row],[Column9]]/1048576,"")</f>
        <v/>
      </c>
      <c r="I285" s="124" t="str">
        <f>IF(ISNUMBER(namespace_raw[[#This Row],[Column8]]),MAX(G285, M285, O285, $I$2,IF(Q285&lt;&gt;"",VALUE(Q285),0)), "")</f>
        <v/>
      </c>
      <c r="J285" s="125" t="str">
        <f>IF(ISNUMBER(namespace_raw[[#This Row],[Column9]]),MAX(H285, N285, P285, $J$2,IF(R285&lt;&gt;"",VALUE(R285),0)),"")</f>
        <v/>
      </c>
      <c r="K285" s="166" t="str">
        <f>IF(ISNUMBER(namespace_raw[[#This Row],[Column12]]), namespace_raw[[#This Row],[Column12]],"")</f>
        <v/>
      </c>
      <c r="L285" s="167" t="str">
        <f>IF(ISNUMBER(namespace_raw[[#This Row],[Column13]]), namespace_raw[[#This Row],[Column13]]/1048576,"")</f>
        <v/>
      </c>
      <c r="M285" s="168" t="str">
        <f>IF(ISNUMBER(namespace_raw[[#This Row],[Column10]]), (namespace_raw[[#This Row],[Column10]]*(1+$M$2)),"")</f>
        <v/>
      </c>
      <c r="N285" s="167" t="str">
        <f>IF(ISNUMBER(namespace_raw[[#This Row],[Column11]]), (namespace_raw[[#This Row],[Column11]]*(1+$N$2))/1048576,"")</f>
        <v/>
      </c>
      <c r="O285" s="169" t="str">
        <f>IF(ISNUMBER(namespace_raw[[#This Row],[Column8]]), (E285  * $O$2),"")</f>
        <v/>
      </c>
      <c r="P285" s="170" t="str">
        <f>IF(ISNUMBER(namespace_raw[[#This Row],[Column8]]), (F285  * $P$2),"")</f>
        <v/>
      </c>
    </row>
    <row r="286" spans="1:16" ht="15" customHeight="1" x14ac:dyDescent="0.25">
      <c r="A286" s="32" t="str">
        <f>IF(ISNONTEXT(namespace_raw[[#This Row],[Column1]]), "", namespace_raw[[#This Row],[Column1]])</f>
        <v/>
      </c>
      <c r="B286" s="33" t="str">
        <f>IF(ISNONTEXT(namespace_raw[[#This Row],[Column2]]), "", namespace_raw[[#This Row],[Column2]])</f>
        <v/>
      </c>
      <c r="C286" s="94" t="str">
        <f>IF(ISNUMBER(namespace_raw[[#This Row],[Column4]]), namespace_raw[[#This Row],[Column4]], "")</f>
        <v/>
      </c>
      <c r="D286" s="95" t="str">
        <f>IF(ISNUMBER(namespace_raw[[#This Row],[Column5]]), namespace_raw[[#This Row],[Column5]]/1048576, "")</f>
        <v/>
      </c>
      <c r="E286" s="95" t="str">
        <f>IF(ISNUMBER(namespace_raw[[#This Row],[Column6]]), namespace_raw[[#This Row],[Column6]],"")</f>
        <v/>
      </c>
      <c r="F286" s="96" t="str">
        <f>IF(ISNUMBER(namespace_raw[[#This Row],[Column7]]), namespace_raw[[#This Row],[Column7]]/1048576,"")</f>
        <v/>
      </c>
      <c r="G286" s="122" t="str">
        <f>IF(ISNUMBER(namespace_raw[[#This Row],[Column8]]), namespace_raw[[#This Row],[Column8]],"")</f>
        <v/>
      </c>
      <c r="H286" s="123" t="str">
        <f>IF(ISNUMBER(namespace_raw[[#This Row],[Column9]]), namespace_raw[[#This Row],[Column9]]/1048576,"")</f>
        <v/>
      </c>
      <c r="I286" s="124" t="str">
        <f>IF(ISNUMBER(namespace_raw[[#This Row],[Column8]]),MAX(G286, M286, O286, $I$2,IF(Q286&lt;&gt;"",VALUE(Q286),0)), "")</f>
        <v/>
      </c>
      <c r="J286" s="125" t="str">
        <f>IF(ISNUMBER(namespace_raw[[#This Row],[Column9]]),MAX(H286, N286, P286, $J$2,IF(R286&lt;&gt;"",VALUE(R286),0)),"")</f>
        <v/>
      </c>
      <c r="K286" s="166" t="str">
        <f>IF(ISNUMBER(namespace_raw[[#This Row],[Column12]]), namespace_raw[[#This Row],[Column12]],"")</f>
        <v/>
      </c>
      <c r="L286" s="167" t="str">
        <f>IF(ISNUMBER(namespace_raw[[#This Row],[Column13]]), namespace_raw[[#This Row],[Column13]]/1048576,"")</f>
        <v/>
      </c>
      <c r="M286" s="168" t="str">
        <f>IF(ISNUMBER(namespace_raw[[#This Row],[Column10]]), (namespace_raw[[#This Row],[Column10]]*(1+$M$2)),"")</f>
        <v/>
      </c>
      <c r="N286" s="167" t="str">
        <f>IF(ISNUMBER(namespace_raw[[#This Row],[Column11]]), (namespace_raw[[#This Row],[Column11]]*(1+$N$2))/1048576,"")</f>
        <v/>
      </c>
      <c r="O286" s="169" t="str">
        <f>IF(ISNUMBER(namespace_raw[[#This Row],[Column8]]), (E286  * $O$2),"")</f>
        <v/>
      </c>
      <c r="P286" s="170" t="str">
        <f>IF(ISNUMBER(namespace_raw[[#This Row],[Column8]]), (F286  * $P$2),"")</f>
        <v/>
      </c>
    </row>
    <row r="287" spans="1:16" ht="15" customHeight="1" x14ac:dyDescent="0.25">
      <c r="A287" s="32" t="str">
        <f>IF(ISNONTEXT(namespace_raw[[#This Row],[Column1]]), "", namespace_raw[[#This Row],[Column1]])</f>
        <v/>
      </c>
      <c r="B287" s="33" t="str">
        <f>IF(ISNONTEXT(namespace_raw[[#This Row],[Column2]]), "", namespace_raw[[#This Row],[Column2]])</f>
        <v/>
      </c>
      <c r="C287" s="94" t="str">
        <f>IF(ISNUMBER(namespace_raw[[#This Row],[Column4]]), namespace_raw[[#This Row],[Column4]], "")</f>
        <v/>
      </c>
      <c r="D287" s="95" t="str">
        <f>IF(ISNUMBER(namespace_raw[[#This Row],[Column5]]), namespace_raw[[#This Row],[Column5]]/1048576, "")</f>
        <v/>
      </c>
      <c r="E287" s="95" t="str">
        <f>IF(ISNUMBER(namespace_raw[[#This Row],[Column6]]), namespace_raw[[#This Row],[Column6]],"")</f>
        <v/>
      </c>
      <c r="F287" s="96" t="str">
        <f>IF(ISNUMBER(namespace_raw[[#This Row],[Column7]]), namespace_raw[[#This Row],[Column7]]/1048576,"")</f>
        <v/>
      </c>
      <c r="G287" s="122" t="str">
        <f>IF(ISNUMBER(namespace_raw[[#This Row],[Column8]]), namespace_raw[[#This Row],[Column8]],"")</f>
        <v/>
      </c>
      <c r="H287" s="123" t="str">
        <f>IF(ISNUMBER(namespace_raw[[#This Row],[Column9]]), namespace_raw[[#This Row],[Column9]]/1048576,"")</f>
        <v/>
      </c>
      <c r="I287" s="124" t="str">
        <f>IF(ISNUMBER(namespace_raw[[#This Row],[Column8]]),MAX(G287, M287, O287, $I$2,IF(Q287&lt;&gt;"",VALUE(Q287),0)), "")</f>
        <v/>
      </c>
      <c r="J287" s="125" t="str">
        <f>IF(ISNUMBER(namespace_raw[[#This Row],[Column9]]),MAX(H287, N287, P287, $J$2,IF(R287&lt;&gt;"",VALUE(R287),0)),"")</f>
        <v/>
      </c>
      <c r="K287" s="166" t="str">
        <f>IF(ISNUMBER(namespace_raw[[#This Row],[Column12]]), namespace_raw[[#This Row],[Column12]],"")</f>
        <v/>
      </c>
      <c r="L287" s="167" t="str">
        <f>IF(ISNUMBER(namespace_raw[[#This Row],[Column13]]), namespace_raw[[#This Row],[Column13]]/1048576,"")</f>
        <v/>
      </c>
      <c r="M287" s="168" t="str">
        <f>IF(ISNUMBER(namespace_raw[[#This Row],[Column10]]), (namespace_raw[[#This Row],[Column10]]*(1+$M$2)),"")</f>
        <v/>
      </c>
      <c r="N287" s="167" t="str">
        <f>IF(ISNUMBER(namespace_raw[[#This Row],[Column11]]), (namespace_raw[[#This Row],[Column11]]*(1+$N$2))/1048576,"")</f>
        <v/>
      </c>
      <c r="O287" s="169" t="str">
        <f>IF(ISNUMBER(namespace_raw[[#This Row],[Column8]]), (E287  * $O$2),"")</f>
        <v/>
      </c>
      <c r="P287" s="170" t="str">
        <f>IF(ISNUMBER(namespace_raw[[#This Row],[Column8]]), (F287  * $P$2),"")</f>
        <v/>
      </c>
    </row>
    <row r="288" spans="1:16" ht="15" customHeight="1" x14ac:dyDescent="0.25">
      <c r="A288" s="32" t="str">
        <f>IF(ISNONTEXT(namespace_raw[[#This Row],[Column1]]), "", namespace_raw[[#This Row],[Column1]])</f>
        <v/>
      </c>
      <c r="B288" s="33" t="str">
        <f>IF(ISNONTEXT(namespace_raw[[#This Row],[Column2]]), "", namespace_raw[[#This Row],[Column2]])</f>
        <v/>
      </c>
      <c r="C288" s="94" t="str">
        <f>IF(ISNUMBER(namespace_raw[[#This Row],[Column4]]), namespace_raw[[#This Row],[Column4]], "")</f>
        <v/>
      </c>
      <c r="D288" s="95" t="str">
        <f>IF(ISNUMBER(namespace_raw[[#This Row],[Column5]]), namespace_raw[[#This Row],[Column5]]/1048576, "")</f>
        <v/>
      </c>
      <c r="E288" s="95" t="str">
        <f>IF(ISNUMBER(namespace_raw[[#This Row],[Column6]]), namespace_raw[[#This Row],[Column6]],"")</f>
        <v/>
      </c>
      <c r="F288" s="96" t="str">
        <f>IF(ISNUMBER(namespace_raw[[#This Row],[Column7]]), namespace_raw[[#This Row],[Column7]]/1048576,"")</f>
        <v/>
      </c>
      <c r="G288" s="122" t="str">
        <f>IF(ISNUMBER(namespace_raw[[#This Row],[Column8]]), namespace_raw[[#This Row],[Column8]],"")</f>
        <v/>
      </c>
      <c r="H288" s="123" t="str">
        <f>IF(ISNUMBER(namespace_raw[[#This Row],[Column9]]), namespace_raw[[#This Row],[Column9]]/1048576,"")</f>
        <v/>
      </c>
      <c r="I288" s="124" t="str">
        <f>IF(ISNUMBER(namespace_raw[[#This Row],[Column8]]),MAX(G288, M288, O288, $I$2,IF(Q288&lt;&gt;"",VALUE(Q288),0)), "")</f>
        <v/>
      </c>
      <c r="J288" s="125" t="str">
        <f>IF(ISNUMBER(namespace_raw[[#This Row],[Column9]]),MAX(H288, N288, P288, $J$2,IF(R288&lt;&gt;"",VALUE(R288),0)),"")</f>
        <v/>
      </c>
      <c r="K288" s="166" t="str">
        <f>IF(ISNUMBER(namespace_raw[[#This Row],[Column12]]), namespace_raw[[#This Row],[Column12]],"")</f>
        <v/>
      </c>
      <c r="L288" s="167" t="str">
        <f>IF(ISNUMBER(namespace_raw[[#This Row],[Column13]]), namespace_raw[[#This Row],[Column13]]/1048576,"")</f>
        <v/>
      </c>
      <c r="M288" s="168" t="str">
        <f>IF(ISNUMBER(namespace_raw[[#This Row],[Column10]]), (namespace_raw[[#This Row],[Column10]]*(1+$M$2)),"")</f>
        <v/>
      </c>
      <c r="N288" s="167" t="str">
        <f>IF(ISNUMBER(namespace_raw[[#This Row],[Column11]]), (namespace_raw[[#This Row],[Column11]]*(1+$N$2))/1048576,"")</f>
        <v/>
      </c>
      <c r="O288" s="169" t="str">
        <f>IF(ISNUMBER(namespace_raw[[#This Row],[Column8]]), (E288  * $O$2),"")</f>
        <v/>
      </c>
      <c r="P288" s="170" t="str">
        <f>IF(ISNUMBER(namespace_raw[[#This Row],[Column8]]), (F288  * $P$2),"")</f>
        <v/>
      </c>
    </row>
    <row r="289" spans="1:16" ht="15" customHeight="1" x14ac:dyDescent="0.25">
      <c r="A289" s="32" t="str">
        <f>IF(ISNONTEXT(namespace_raw[[#This Row],[Column1]]), "", namespace_raw[[#This Row],[Column1]])</f>
        <v/>
      </c>
      <c r="B289" s="33" t="str">
        <f>IF(ISNONTEXT(namespace_raw[[#This Row],[Column2]]), "", namespace_raw[[#This Row],[Column2]])</f>
        <v/>
      </c>
      <c r="C289" s="94" t="str">
        <f>IF(ISNUMBER(namespace_raw[[#This Row],[Column4]]), namespace_raw[[#This Row],[Column4]], "")</f>
        <v/>
      </c>
      <c r="D289" s="95" t="str">
        <f>IF(ISNUMBER(namespace_raw[[#This Row],[Column5]]), namespace_raw[[#This Row],[Column5]]/1048576, "")</f>
        <v/>
      </c>
      <c r="E289" s="95" t="str">
        <f>IF(ISNUMBER(namespace_raw[[#This Row],[Column6]]), namespace_raw[[#This Row],[Column6]],"")</f>
        <v/>
      </c>
      <c r="F289" s="96" t="str">
        <f>IF(ISNUMBER(namespace_raw[[#This Row],[Column7]]), namespace_raw[[#This Row],[Column7]]/1048576,"")</f>
        <v/>
      </c>
      <c r="G289" s="122" t="str">
        <f>IF(ISNUMBER(namespace_raw[[#This Row],[Column8]]), namespace_raw[[#This Row],[Column8]],"")</f>
        <v/>
      </c>
      <c r="H289" s="123" t="str">
        <f>IF(ISNUMBER(namespace_raw[[#This Row],[Column9]]), namespace_raw[[#This Row],[Column9]]/1048576,"")</f>
        <v/>
      </c>
      <c r="I289" s="124" t="str">
        <f>IF(ISNUMBER(namespace_raw[[#This Row],[Column8]]),MAX(G289, M289, O289, $I$2,IF(Q289&lt;&gt;"",VALUE(Q289),0)), "")</f>
        <v/>
      </c>
      <c r="J289" s="125" t="str">
        <f>IF(ISNUMBER(namespace_raw[[#This Row],[Column9]]),MAX(H289, N289, P289, $J$2,IF(R289&lt;&gt;"",VALUE(R289),0)),"")</f>
        <v/>
      </c>
      <c r="K289" s="166" t="str">
        <f>IF(ISNUMBER(namespace_raw[[#This Row],[Column12]]), namespace_raw[[#This Row],[Column12]],"")</f>
        <v/>
      </c>
      <c r="L289" s="167" t="str">
        <f>IF(ISNUMBER(namespace_raw[[#This Row],[Column13]]), namespace_raw[[#This Row],[Column13]]/1048576,"")</f>
        <v/>
      </c>
      <c r="M289" s="168" t="str">
        <f>IF(ISNUMBER(namespace_raw[[#This Row],[Column10]]), (namespace_raw[[#This Row],[Column10]]*(1+$M$2)),"")</f>
        <v/>
      </c>
      <c r="N289" s="167" t="str">
        <f>IF(ISNUMBER(namespace_raw[[#This Row],[Column11]]), (namespace_raw[[#This Row],[Column11]]*(1+$N$2))/1048576,"")</f>
        <v/>
      </c>
      <c r="O289" s="169" t="str">
        <f>IF(ISNUMBER(namespace_raw[[#This Row],[Column8]]), (E289  * $O$2),"")</f>
        <v/>
      </c>
      <c r="P289" s="170" t="str">
        <f>IF(ISNUMBER(namespace_raw[[#This Row],[Column8]]), (F289  * $P$2),"")</f>
        <v/>
      </c>
    </row>
    <row r="290" spans="1:16" ht="15" customHeight="1" x14ac:dyDescent="0.25">
      <c r="A290" s="32" t="str">
        <f>IF(ISNONTEXT(namespace_raw[[#This Row],[Column1]]), "", namespace_raw[[#This Row],[Column1]])</f>
        <v/>
      </c>
      <c r="B290" s="33" t="str">
        <f>IF(ISNONTEXT(namespace_raw[[#This Row],[Column2]]), "", namespace_raw[[#This Row],[Column2]])</f>
        <v/>
      </c>
      <c r="C290" s="94" t="str">
        <f>IF(ISNUMBER(namespace_raw[[#This Row],[Column4]]), namespace_raw[[#This Row],[Column4]], "")</f>
        <v/>
      </c>
      <c r="D290" s="95" t="str">
        <f>IF(ISNUMBER(namespace_raw[[#This Row],[Column5]]), namespace_raw[[#This Row],[Column5]]/1048576, "")</f>
        <v/>
      </c>
      <c r="E290" s="95" t="str">
        <f>IF(ISNUMBER(namespace_raw[[#This Row],[Column6]]), namespace_raw[[#This Row],[Column6]],"")</f>
        <v/>
      </c>
      <c r="F290" s="96" t="str">
        <f>IF(ISNUMBER(namespace_raw[[#This Row],[Column7]]), namespace_raw[[#This Row],[Column7]]/1048576,"")</f>
        <v/>
      </c>
      <c r="G290" s="122" t="str">
        <f>IF(ISNUMBER(namespace_raw[[#This Row],[Column8]]), namespace_raw[[#This Row],[Column8]],"")</f>
        <v/>
      </c>
      <c r="H290" s="123" t="str">
        <f>IF(ISNUMBER(namespace_raw[[#This Row],[Column9]]), namespace_raw[[#This Row],[Column9]]/1048576,"")</f>
        <v/>
      </c>
      <c r="I290" s="124" t="str">
        <f>IF(ISNUMBER(namespace_raw[[#This Row],[Column8]]),MAX(G290, M290, O290, $I$2,IF(Q290&lt;&gt;"",VALUE(Q290),0)), "")</f>
        <v/>
      </c>
      <c r="J290" s="125" t="str">
        <f>IF(ISNUMBER(namespace_raw[[#This Row],[Column9]]),MAX(H290, N290, P290, $J$2,IF(R290&lt;&gt;"",VALUE(R290),0)),"")</f>
        <v/>
      </c>
      <c r="K290" s="166" t="str">
        <f>IF(ISNUMBER(namespace_raw[[#This Row],[Column12]]), namespace_raw[[#This Row],[Column12]],"")</f>
        <v/>
      </c>
      <c r="L290" s="167" t="str">
        <f>IF(ISNUMBER(namespace_raw[[#This Row],[Column13]]), namespace_raw[[#This Row],[Column13]]/1048576,"")</f>
        <v/>
      </c>
      <c r="M290" s="168" t="str">
        <f>IF(ISNUMBER(namespace_raw[[#This Row],[Column10]]), (namespace_raw[[#This Row],[Column10]]*(1+$M$2)),"")</f>
        <v/>
      </c>
      <c r="N290" s="167" t="str">
        <f>IF(ISNUMBER(namespace_raw[[#This Row],[Column11]]), (namespace_raw[[#This Row],[Column11]]*(1+$N$2))/1048576,"")</f>
        <v/>
      </c>
      <c r="O290" s="169" t="str">
        <f>IF(ISNUMBER(namespace_raw[[#This Row],[Column8]]), (E290  * $O$2),"")</f>
        <v/>
      </c>
      <c r="P290" s="170" t="str">
        <f>IF(ISNUMBER(namespace_raw[[#This Row],[Column8]]), (F290  * $P$2),"")</f>
        <v/>
      </c>
    </row>
    <row r="291" spans="1:16" ht="15" customHeight="1" x14ac:dyDescent="0.25">
      <c r="A291" s="32" t="str">
        <f>IF(ISNONTEXT(namespace_raw[[#This Row],[Column1]]), "", namespace_raw[[#This Row],[Column1]])</f>
        <v/>
      </c>
      <c r="B291" s="33" t="str">
        <f>IF(ISNONTEXT(namespace_raw[[#This Row],[Column2]]), "", namespace_raw[[#This Row],[Column2]])</f>
        <v/>
      </c>
      <c r="C291" s="94" t="str">
        <f>IF(ISNUMBER(namespace_raw[[#This Row],[Column4]]), namespace_raw[[#This Row],[Column4]], "")</f>
        <v/>
      </c>
      <c r="D291" s="95" t="str">
        <f>IF(ISNUMBER(namespace_raw[[#This Row],[Column5]]), namespace_raw[[#This Row],[Column5]]/1048576, "")</f>
        <v/>
      </c>
      <c r="E291" s="95" t="str">
        <f>IF(ISNUMBER(namespace_raw[[#This Row],[Column6]]), namespace_raw[[#This Row],[Column6]],"")</f>
        <v/>
      </c>
      <c r="F291" s="96" t="str">
        <f>IF(ISNUMBER(namespace_raw[[#This Row],[Column7]]), namespace_raw[[#This Row],[Column7]]/1048576,"")</f>
        <v/>
      </c>
      <c r="G291" s="122" t="str">
        <f>IF(ISNUMBER(namespace_raw[[#This Row],[Column8]]), namespace_raw[[#This Row],[Column8]],"")</f>
        <v/>
      </c>
      <c r="H291" s="123" t="str">
        <f>IF(ISNUMBER(namespace_raw[[#This Row],[Column9]]), namespace_raw[[#This Row],[Column9]]/1048576,"")</f>
        <v/>
      </c>
      <c r="I291" s="124" t="str">
        <f>IF(ISNUMBER(namespace_raw[[#This Row],[Column8]]),MAX(G291, M291, O291, $I$2,IF(Q291&lt;&gt;"",VALUE(Q291),0)), "")</f>
        <v/>
      </c>
      <c r="J291" s="125" t="str">
        <f>IF(ISNUMBER(namespace_raw[[#This Row],[Column9]]),MAX(H291, N291, P291, $J$2,IF(R291&lt;&gt;"",VALUE(R291),0)),"")</f>
        <v/>
      </c>
      <c r="K291" s="166" t="str">
        <f>IF(ISNUMBER(namespace_raw[[#This Row],[Column12]]), namespace_raw[[#This Row],[Column12]],"")</f>
        <v/>
      </c>
      <c r="L291" s="167" t="str">
        <f>IF(ISNUMBER(namespace_raw[[#This Row],[Column13]]), namespace_raw[[#This Row],[Column13]]/1048576,"")</f>
        <v/>
      </c>
      <c r="M291" s="168" t="str">
        <f>IF(ISNUMBER(namespace_raw[[#This Row],[Column10]]), (namespace_raw[[#This Row],[Column10]]*(1+$M$2)),"")</f>
        <v/>
      </c>
      <c r="N291" s="167" t="str">
        <f>IF(ISNUMBER(namespace_raw[[#This Row],[Column11]]), (namespace_raw[[#This Row],[Column11]]*(1+$N$2))/1048576,"")</f>
        <v/>
      </c>
      <c r="O291" s="169" t="str">
        <f>IF(ISNUMBER(namespace_raw[[#This Row],[Column8]]), (E291  * $O$2),"")</f>
        <v/>
      </c>
      <c r="P291" s="170" t="str">
        <f>IF(ISNUMBER(namespace_raw[[#This Row],[Column8]]), (F291  * $P$2),"")</f>
        <v/>
      </c>
    </row>
    <row r="292" spans="1:16" ht="15" customHeight="1" x14ac:dyDescent="0.25">
      <c r="A292" s="32" t="str">
        <f>IF(ISNONTEXT(namespace_raw[[#This Row],[Column1]]), "", namespace_raw[[#This Row],[Column1]])</f>
        <v/>
      </c>
      <c r="B292" s="33" t="str">
        <f>IF(ISNONTEXT(namespace_raw[[#This Row],[Column2]]), "", namespace_raw[[#This Row],[Column2]])</f>
        <v/>
      </c>
      <c r="C292" s="94" t="str">
        <f>IF(ISNUMBER(namespace_raw[[#This Row],[Column4]]), namespace_raw[[#This Row],[Column4]], "")</f>
        <v/>
      </c>
      <c r="D292" s="95" t="str">
        <f>IF(ISNUMBER(namespace_raw[[#This Row],[Column5]]), namespace_raw[[#This Row],[Column5]]/1048576, "")</f>
        <v/>
      </c>
      <c r="E292" s="95" t="str">
        <f>IF(ISNUMBER(namespace_raw[[#This Row],[Column6]]), namespace_raw[[#This Row],[Column6]],"")</f>
        <v/>
      </c>
      <c r="F292" s="96" t="str">
        <f>IF(ISNUMBER(namespace_raw[[#This Row],[Column7]]), namespace_raw[[#This Row],[Column7]]/1048576,"")</f>
        <v/>
      </c>
      <c r="G292" s="122" t="str">
        <f>IF(ISNUMBER(namespace_raw[[#This Row],[Column8]]), namespace_raw[[#This Row],[Column8]],"")</f>
        <v/>
      </c>
      <c r="H292" s="123" t="str">
        <f>IF(ISNUMBER(namespace_raw[[#This Row],[Column9]]), namespace_raw[[#This Row],[Column9]]/1048576,"")</f>
        <v/>
      </c>
      <c r="I292" s="124" t="str">
        <f>IF(ISNUMBER(namespace_raw[[#This Row],[Column8]]),MAX(G292, M292, O292, $I$2,IF(Q292&lt;&gt;"",VALUE(Q292),0)), "")</f>
        <v/>
      </c>
      <c r="J292" s="125" t="str">
        <f>IF(ISNUMBER(namespace_raw[[#This Row],[Column9]]),MAX(H292, N292, P292, $J$2,IF(R292&lt;&gt;"",VALUE(R292),0)),"")</f>
        <v/>
      </c>
      <c r="K292" s="166" t="str">
        <f>IF(ISNUMBER(namespace_raw[[#This Row],[Column12]]), namespace_raw[[#This Row],[Column12]],"")</f>
        <v/>
      </c>
      <c r="L292" s="167" t="str">
        <f>IF(ISNUMBER(namespace_raw[[#This Row],[Column13]]), namespace_raw[[#This Row],[Column13]]/1048576,"")</f>
        <v/>
      </c>
      <c r="M292" s="168" t="str">
        <f>IF(ISNUMBER(namespace_raw[[#This Row],[Column10]]), (namespace_raw[[#This Row],[Column10]]*(1+$M$2)),"")</f>
        <v/>
      </c>
      <c r="N292" s="167" t="str">
        <f>IF(ISNUMBER(namespace_raw[[#This Row],[Column11]]), (namespace_raw[[#This Row],[Column11]]*(1+$N$2))/1048576,"")</f>
        <v/>
      </c>
      <c r="O292" s="169" t="str">
        <f>IF(ISNUMBER(namespace_raw[[#This Row],[Column8]]), (E292  * $O$2),"")</f>
        <v/>
      </c>
      <c r="P292" s="170" t="str">
        <f>IF(ISNUMBER(namespace_raw[[#This Row],[Column8]]), (F292  * $P$2),"")</f>
        <v/>
      </c>
    </row>
    <row r="293" spans="1:16" ht="15" customHeight="1" x14ac:dyDescent="0.25">
      <c r="A293" s="32" t="str">
        <f>IF(ISNONTEXT(namespace_raw[[#This Row],[Column1]]), "", namespace_raw[[#This Row],[Column1]])</f>
        <v/>
      </c>
      <c r="B293" s="33" t="str">
        <f>IF(ISNONTEXT(namespace_raw[[#This Row],[Column2]]), "", namespace_raw[[#This Row],[Column2]])</f>
        <v/>
      </c>
      <c r="C293" s="94" t="str">
        <f>IF(ISNUMBER(namespace_raw[[#This Row],[Column4]]), namespace_raw[[#This Row],[Column4]], "")</f>
        <v/>
      </c>
      <c r="D293" s="95" t="str">
        <f>IF(ISNUMBER(namespace_raw[[#This Row],[Column5]]), namespace_raw[[#This Row],[Column5]]/1048576, "")</f>
        <v/>
      </c>
      <c r="E293" s="95" t="str">
        <f>IF(ISNUMBER(namespace_raw[[#This Row],[Column6]]), namespace_raw[[#This Row],[Column6]],"")</f>
        <v/>
      </c>
      <c r="F293" s="96" t="str">
        <f>IF(ISNUMBER(namespace_raw[[#This Row],[Column7]]), namespace_raw[[#This Row],[Column7]]/1048576,"")</f>
        <v/>
      </c>
      <c r="G293" s="122" t="str">
        <f>IF(ISNUMBER(namespace_raw[[#This Row],[Column8]]), namespace_raw[[#This Row],[Column8]],"")</f>
        <v/>
      </c>
      <c r="H293" s="123" t="str">
        <f>IF(ISNUMBER(namespace_raw[[#This Row],[Column9]]), namespace_raw[[#This Row],[Column9]]/1048576,"")</f>
        <v/>
      </c>
      <c r="I293" s="124" t="str">
        <f>IF(ISNUMBER(namespace_raw[[#This Row],[Column8]]),MAX(G293, M293, O293, $I$2,IF(Q293&lt;&gt;"",VALUE(Q293),0)), "")</f>
        <v/>
      </c>
      <c r="J293" s="125" t="str">
        <f>IF(ISNUMBER(namespace_raw[[#This Row],[Column9]]),MAX(H293, N293, P293, $J$2,IF(R293&lt;&gt;"",VALUE(R293),0)),"")</f>
        <v/>
      </c>
      <c r="K293" s="166" t="str">
        <f>IF(ISNUMBER(namespace_raw[[#This Row],[Column12]]), namespace_raw[[#This Row],[Column12]],"")</f>
        <v/>
      </c>
      <c r="L293" s="167" t="str">
        <f>IF(ISNUMBER(namespace_raw[[#This Row],[Column13]]), namespace_raw[[#This Row],[Column13]]/1048576,"")</f>
        <v/>
      </c>
      <c r="M293" s="168" t="str">
        <f>IF(ISNUMBER(namespace_raw[[#This Row],[Column10]]), (namespace_raw[[#This Row],[Column10]]*(1+$M$2)),"")</f>
        <v/>
      </c>
      <c r="N293" s="167" t="str">
        <f>IF(ISNUMBER(namespace_raw[[#This Row],[Column11]]), (namespace_raw[[#This Row],[Column11]]*(1+$N$2))/1048576,"")</f>
        <v/>
      </c>
      <c r="O293" s="169" t="str">
        <f>IF(ISNUMBER(namespace_raw[[#This Row],[Column8]]), (E293  * $O$2),"")</f>
        <v/>
      </c>
      <c r="P293" s="170" t="str">
        <f>IF(ISNUMBER(namespace_raw[[#This Row],[Column8]]), (F293  * $P$2),"")</f>
        <v/>
      </c>
    </row>
    <row r="294" spans="1:16" ht="15" customHeight="1" x14ac:dyDescent="0.25">
      <c r="A294" s="32" t="str">
        <f>IF(ISNONTEXT(namespace_raw[[#This Row],[Column1]]), "", namespace_raw[[#This Row],[Column1]])</f>
        <v/>
      </c>
      <c r="B294" s="33" t="str">
        <f>IF(ISNONTEXT(namespace_raw[[#This Row],[Column2]]), "", namespace_raw[[#This Row],[Column2]])</f>
        <v/>
      </c>
      <c r="C294" s="94" t="str">
        <f>IF(ISNUMBER(namespace_raw[[#This Row],[Column4]]), namespace_raw[[#This Row],[Column4]], "")</f>
        <v/>
      </c>
      <c r="D294" s="95" t="str">
        <f>IF(ISNUMBER(namespace_raw[[#This Row],[Column5]]), namespace_raw[[#This Row],[Column5]]/1048576, "")</f>
        <v/>
      </c>
      <c r="E294" s="95" t="str">
        <f>IF(ISNUMBER(namespace_raw[[#This Row],[Column6]]), namespace_raw[[#This Row],[Column6]],"")</f>
        <v/>
      </c>
      <c r="F294" s="96" t="str">
        <f>IF(ISNUMBER(namespace_raw[[#This Row],[Column7]]), namespace_raw[[#This Row],[Column7]]/1048576,"")</f>
        <v/>
      </c>
      <c r="G294" s="122" t="str">
        <f>IF(ISNUMBER(namespace_raw[[#This Row],[Column8]]), namespace_raw[[#This Row],[Column8]],"")</f>
        <v/>
      </c>
      <c r="H294" s="123" t="str">
        <f>IF(ISNUMBER(namespace_raw[[#This Row],[Column9]]), namespace_raw[[#This Row],[Column9]]/1048576,"")</f>
        <v/>
      </c>
      <c r="I294" s="124" t="str">
        <f>IF(ISNUMBER(namespace_raw[[#This Row],[Column8]]),MAX(G294, M294, O294, $I$2,IF(Q294&lt;&gt;"",VALUE(Q294),0)), "")</f>
        <v/>
      </c>
      <c r="J294" s="125" t="str">
        <f>IF(ISNUMBER(namespace_raw[[#This Row],[Column9]]),MAX(H294, N294, P294, $J$2,IF(R294&lt;&gt;"",VALUE(R294),0)),"")</f>
        <v/>
      </c>
      <c r="K294" s="166" t="str">
        <f>IF(ISNUMBER(namespace_raw[[#This Row],[Column12]]), namespace_raw[[#This Row],[Column12]],"")</f>
        <v/>
      </c>
      <c r="L294" s="167" t="str">
        <f>IF(ISNUMBER(namespace_raw[[#This Row],[Column13]]), namespace_raw[[#This Row],[Column13]]/1048576,"")</f>
        <v/>
      </c>
      <c r="M294" s="168" t="str">
        <f>IF(ISNUMBER(namespace_raw[[#This Row],[Column10]]), (namespace_raw[[#This Row],[Column10]]*(1+$M$2)),"")</f>
        <v/>
      </c>
      <c r="N294" s="167" t="str">
        <f>IF(ISNUMBER(namespace_raw[[#This Row],[Column11]]), (namespace_raw[[#This Row],[Column11]]*(1+$N$2))/1048576,"")</f>
        <v/>
      </c>
      <c r="O294" s="169" t="str">
        <f>IF(ISNUMBER(namespace_raw[[#This Row],[Column8]]), (E294  * $O$2),"")</f>
        <v/>
      </c>
      <c r="P294" s="170" t="str">
        <f>IF(ISNUMBER(namespace_raw[[#This Row],[Column8]]), (F294  * $P$2),"")</f>
        <v/>
      </c>
    </row>
    <row r="295" spans="1:16" ht="15" customHeight="1" x14ac:dyDescent="0.25">
      <c r="A295" s="32" t="str">
        <f>IF(ISNONTEXT(namespace_raw[[#This Row],[Column1]]), "", namespace_raw[[#This Row],[Column1]])</f>
        <v/>
      </c>
      <c r="B295" s="33" t="str">
        <f>IF(ISNONTEXT(namespace_raw[[#This Row],[Column2]]), "", namespace_raw[[#This Row],[Column2]])</f>
        <v/>
      </c>
      <c r="C295" s="94" t="str">
        <f>IF(ISNUMBER(namespace_raw[[#This Row],[Column4]]), namespace_raw[[#This Row],[Column4]], "")</f>
        <v/>
      </c>
      <c r="D295" s="95" t="str">
        <f>IF(ISNUMBER(namespace_raw[[#This Row],[Column5]]), namespace_raw[[#This Row],[Column5]]/1048576, "")</f>
        <v/>
      </c>
      <c r="E295" s="95" t="str">
        <f>IF(ISNUMBER(namespace_raw[[#This Row],[Column6]]), namespace_raw[[#This Row],[Column6]],"")</f>
        <v/>
      </c>
      <c r="F295" s="96" t="str">
        <f>IF(ISNUMBER(namespace_raw[[#This Row],[Column7]]), namespace_raw[[#This Row],[Column7]]/1048576,"")</f>
        <v/>
      </c>
      <c r="G295" s="122" t="str">
        <f>IF(ISNUMBER(namespace_raw[[#This Row],[Column8]]), namespace_raw[[#This Row],[Column8]],"")</f>
        <v/>
      </c>
      <c r="H295" s="123" t="str">
        <f>IF(ISNUMBER(namespace_raw[[#This Row],[Column9]]), namespace_raw[[#This Row],[Column9]]/1048576,"")</f>
        <v/>
      </c>
      <c r="I295" s="124" t="str">
        <f>IF(ISNUMBER(namespace_raw[[#This Row],[Column8]]),MAX(G295, M295, O295, $I$2,IF(Q295&lt;&gt;"",VALUE(Q295),0)), "")</f>
        <v/>
      </c>
      <c r="J295" s="125" t="str">
        <f>IF(ISNUMBER(namespace_raw[[#This Row],[Column9]]),MAX(H295, N295, P295, $J$2,IF(R295&lt;&gt;"",VALUE(R295),0)),"")</f>
        <v/>
      </c>
      <c r="K295" s="166" t="str">
        <f>IF(ISNUMBER(namespace_raw[[#This Row],[Column12]]), namespace_raw[[#This Row],[Column12]],"")</f>
        <v/>
      </c>
      <c r="L295" s="167" t="str">
        <f>IF(ISNUMBER(namespace_raw[[#This Row],[Column13]]), namespace_raw[[#This Row],[Column13]]/1048576,"")</f>
        <v/>
      </c>
      <c r="M295" s="168" t="str">
        <f>IF(ISNUMBER(namespace_raw[[#This Row],[Column10]]), (namespace_raw[[#This Row],[Column10]]*(1+$M$2)),"")</f>
        <v/>
      </c>
      <c r="N295" s="167" t="str">
        <f>IF(ISNUMBER(namespace_raw[[#This Row],[Column11]]), (namespace_raw[[#This Row],[Column11]]*(1+$N$2))/1048576,"")</f>
        <v/>
      </c>
      <c r="O295" s="169" t="str">
        <f>IF(ISNUMBER(namespace_raw[[#This Row],[Column8]]), (E295  * $O$2),"")</f>
        <v/>
      </c>
      <c r="P295" s="170" t="str">
        <f>IF(ISNUMBER(namespace_raw[[#This Row],[Column8]]), (F295  * $P$2),"")</f>
        <v/>
      </c>
    </row>
    <row r="296" spans="1:16" ht="15" customHeight="1" x14ac:dyDescent="0.25">
      <c r="A296" s="32" t="str">
        <f>IF(ISNONTEXT(namespace_raw[[#This Row],[Column1]]), "", namespace_raw[[#This Row],[Column1]])</f>
        <v/>
      </c>
      <c r="B296" s="33" t="str">
        <f>IF(ISNONTEXT(namespace_raw[[#This Row],[Column2]]), "", namespace_raw[[#This Row],[Column2]])</f>
        <v/>
      </c>
      <c r="C296" s="94" t="str">
        <f>IF(ISNUMBER(namespace_raw[[#This Row],[Column4]]), namespace_raw[[#This Row],[Column4]], "")</f>
        <v/>
      </c>
      <c r="D296" s="95" t="str">
        <f>IF(ISNUMBER(namespace_raw[[#This Row],[Column5]]), namespace_raw[[#This Row],[Column5]]/1048576, "")</f>
        <v/>
      </c>
      <c r="E296" s="95" t="str">
        <f>IF(ISNUMBER(namespace_raw[[#This Row],[Column6]]), namespace_raw[[#This Row],[Column6]],"")</f>
        <v/>
      </c>
      <c r="F296" s="96" t="str">
        <f>IF(ISNUMBER(namespace_raw[[#This Row],[Column7]]), namespace_raw[[#This Row],[Column7]]/1048576,"")</f>
        <v/>
      </c>
      <c r="G296" s="122" t="str">
        <f>IF(ISNUMBER(namespace_raw[[#This Row],[Column8]]), namespace_raw[[#This Row],[Column8]],"")</f>
        <v/>
      </c>
      <c r="H296" s="123" t="str">
        <f>IF(ISNUMBER(namespace_raw[[#This Row],[Column9]]), namespace_raw[[#This Row],[Column9]]/1048576,"")</f>
        <v/>
      </c>
      <c r="I296" s="124" t="str">
        <f>IF(ISNUMBER(namespace_raw[[#This Row],[Column8]]),MAX(G296, M296, O296, $I$2,IF(Q296&lt;&gt;"",VALUE(Q296),0)), "")</f>
        <v/>
      </c>
      <c r="J296" s="125" t="str">
        <f>IF(ISNUMBER(namespace_raw[[#This Row],[Column9]]),MAX(H296, N296, P296, $J$2,IF(R296&lt;&gt;"",VALUE(R296),0)),"")</f>
        <v/>
      </c>
      <c r="K296" s="166" t="str">
        <f>IF(ISNUMBER(namespace_raw[[#This Row],[Column12]]), namespace_raw[[#This Row],[Column12]],"")</f>
        <v/>
      </c>
      <c r="L296" s="167" t="str">
        <f>IF(ISNUMBER(namespace_raw[[#This Row],[Column13]]), namespace_raw[[#This Row],[Column13]]/1048576,"")</f>
        <v/>
      </c>
      <c r="M296" s="168" t="str">
        <f>IF(ISNUMBER(namespace_raw[[#This Row],[Column10]]), (namespace_raw[[#This Row],[Column10]]*(1+$M$2)),"")</f>
        <v/>
      </c>
      <c r="N296" s="167" t="str">
        <f>IF(ISNUMBER(namespace_raw[[#This Row],[Column11]]), (namespace_raw[[#This Row],[Column11]]*(1+$N$2))/1048576,"")</f>
        <v/>
      </c>
      <c r="O296" s="169" t="str">
        <f>IF(ISNUMBER(namespace_raw[[#This Row],[Column8]]), (E296  * $O$2),"")</f>
        <v/>
      </c>
      <c r="P296" s="170" t="str">
        <f>IF(ISNUMBER(namespace_raw[[#This Row],[Column8]]), (F296  * $P$2),"")</f>
        <v/>
      </c>
    </row>
    <row r="297" spans="1:16" ht="15" customHeight="1" x14ac:dyDescent="0.25">
      <c r="A297" s="32" t="str">
        <f>IF(ISNONTEXT(namespace_raw[[#This Row],[Column1]]), "", namespace_raw[[#This Row],[Column1]])</f>
        <v/>
      </c>
      <c r="B297" s="33" t="str">
        <f>IF(ISNONTEXT(namespace_raw[[#This Row],[Column2]]), "", namespace_raw[[#This Row],[Column2]])</f>
        <v/>
      </c>
      <c r="C297" s="94" t="str">
        <f>IF(ISNUMBER(namespace_raw[[#This Row],[Column4]]), namespace_raw[[#This Row],[Column4]], "")</f>
        <v/>
      </c>
      <c r="D297" s="95" t="str">
        <f>IF(ISNUMBER(namespace_raw[[#This Row],[Column5]]), namespace_raw[[#This Row],[Column5]]/1048576, "")</f>
        <v/>
      </c>
      <c r="E297" s="95" t="str">
        <f>IF(ISNUMBER(namespace_raw[[#This Row],[Column6]]), namespace_raw[[#This Row],[Column6]],"")</f>
        <v/>
      </c>
      <c r="F297" s="96" t="str">
        <f>IF(ISNUMBER(namespace_raw[[#This Row],[Column7]]), namespace_raw[[#This Row],[Column7]]/1048576,"")</f>
        <v/>
      </c>
      <c r="G297" s="122" t="str">
        <f>IF(ISNUMBER(namespace_raw[[#This Row],[Column8]]), namespace_raw[[#This Row],[Column8]],"")</f>
        <v/>
      </c>
      <c r="H297" s="123" t="str">
        <f>IF(ISNUMBER(namespace_raw[[#This Row],[Column9]]), namespace_raw[[#This Row],[Column9]]/1048576,"")</f>
        <v/>
      </c>
      <c r="I297" s="124" t="str">
        <f>IF(ISNUMBER(namespace_raw[[#This Row],[Column8]]),MAX(G297, M297, O297, $I$2,IF(Q297&lt;&gt;"",VALUE(Q297),0)), "")</f>
        <v/>
      </c>
      <c r="J297" s="125" t="str">
        <f>IF(ISNUMBER(namespace_raw[[#This Row],[Column9]]),MAX(H297, N297, P297, $J$2,IF(R297&lt;&gt;"",VALUE(R297),0)),"")</f>
        <v/>
      </c>
      <c r="K297" s="166" t="str">
        <f>IF(ISNUMBER(namespace_raw[[#This Row],[Column12]]), namespace_raw[[#This Row],[Column12]],"")</f>
        <v/>
      </c>
      <c r="L297" s="167" t="str">
        <f>IF(ISNUMBER(namespace_raw[[#This Row],[Column13]]), namespace_raw[[#This Row],[Column13]]/1048576,"")</f>
        <v/>
      </c>
      <c r="M297" s="168" t="str">
        <f>IF(ISNUMBER(namespace_raw[[#This Row],[Column10]]), (namespace_raw[[#This Row],[Column10]]*(1+$M$2)),"")</f>
        <v/>
      </c>
      <c r="N297" s="167" t="str">
        <f>IF(ISNUMBER(namespace_raw[[#This Row],[Column11]]), (namespace_raw[[#This Row],[Column11]]*(1+$N$2))/1048576,"")</f>
        <v/>
      </c>
      <c r="O297" s="169" t="str">
        <f>IF(ISNUMBER(namespace_raw[[#This Row],[Column8]]), (E297  * $O$2),"")</f>
        <v/>
      </c>
      <c r="P297" s="170" t="str">
        <f>IF(ISNUMBER(namespace_raw[[#This Row],[Column8]]), (F297  * $P$2),"")</f>
        <v/>
      </c>
    </row>
    <row r="298" spans="1:16" ht="15" customHeight="1" x14ac:dyDescent="0.25">
      <c r="A298" s="32" t="str">
        <f>IF(ISNONTEXT(namespace_raw[[#This Row],[Column1]]), "", namespace_raw[[#This Row],[Column1]])</f>
        <v/>
      </c>
      <c r="B298" s="33" t="str">
        <f>IF(ISNONTEXT(namespace_raw[[#This Row],[Column2]]), "", namespace_raw[[#This Row],[Column2]])</f>
        <v/>
      </c>
      <c r="C298" s="94" t="str">
        <f>IF(ISNUMBER(namespace_raw[[#This Row],[Column4]]), namespace_raw[[#This Row],[Column4]], "")</f>
        <v/>
      </c>
      <c r="D298" s="95" t="str">
        <f>IF(ISNUMBER(namespace_raw[[#This Row],[Column5]]), namespace_raw[[#This Row],[Column5]]/1048576, "")</f>
        <v/>
      </c>
      <c r="E298" s="95" t="str">
        <f>IF(ISNUMBER(namespace_raw[[#This Row],[Column6]]), namespace_raw[[#This Row],[Column6]],"")</f>
        <v/>
      </c>
      <c r="F298" s="96" t="str">
        <f>IF(ISNUMBER(namespace_raw[[#This Row],[Column7]]), namespace_raw[[#This Row],[Column7]]/1048576,"")</f>
        <v/>
      </c>
      <c r="G298" s="122" t="str">
        <f>IF(ISNUMBER(namespace_raw[[#This Row],[Column8]]), namespace_raw[[#This Row],[Column8]],"")</f>
        <v/>
      </c>
      <c r="H298" s="123" t="str">
        <f>IF(ISNUMBER(namespace_raw[[#This Row],[Column9]]), namespace_raw[[#This Row],[Column9]]/1048576,"")</f>
        <v/>
      </c>
      <c r="I298" s="124" t="str">
        <f>IF(ISNUMBER(namespace_raw[[#This Row],[Column8]]),MAX(G298, M298, O298, $I$2,IF(Q298&lt;&gt;"",VALUE(Q298),0)), "")</f>
        <v/>
      </c>
      <c r="J298" s="125" t="str">
        <f>IF(ISNUMBER(namespace_raw[[#This Row],[Column9]]),MAX(H298, N298, P298, $J$2,IF(R298&lt;&gt;"",VALUE(R298),0)),"")</f>
        <v/>
      </c>
      <c r="K298" s="166" t="str">
        <f>IF(ISNUMBER(namespace_raw[[#This Row],[Column12]]), namespace_raw[[#This Row],[Column12]],"")</f>
        <v/>
      </c>
      <c r="L298" s="167" t="str">
        <f>IF(ISNUMBER(namespace_raw[[#This Row],[Column13]]), namespace_raw[[#This Row],[Column13]]/1048576,"")</f>
        <v/>
      </c>
      <c r="M298" s="168" t="str">
        <f>IF(ISNUMBER(namespace_raw[[#This Row],[Column10]]), (namespace_raw[[#This Row],[Column10]]*(1+$M$2)),"")</f>
        <v/>
      </c>
      <c r="N298" s="167" t="str">
        <f>IF(ISNUMBER(namespace_raw[[#This Row],[Column11]]), (namespace_raw[[#This Row],[Column11]]*(1+$N$2))/1048576,"")</f>
        <v/>
      </c>
      <c r="O298" s="169" t="str">
        <f>IF(ISNUMBER(namespace_raw[[#This Row],[Column8]]), (E298  * $O$2),"")</f>
        <v/>
      </c>
      <c r="P298" s="170" t="str">
        <f>IF(ISNUMBER(namespace_raw[[#This Row],[Column8]]), (F298  * $P$2),"")</f>
        <v/>
      </c>
    </row>
    <row r="299" spans="1:16" ht="15" customHeight="1" x14ac:dyDescent="0.25">
      <c r="A299" s="32" t="str">
        <f>IF(ISNONTEXT(namespace_raw[[#This Row],[Column1]]), "", namespace_raw[[#This Row],[Column1]])</f>
        <v/>
      </c>
      <c r="B299" s="33" t="str">
        <f>IF(ISNONTEXT(namespace_raw[[#This Row],[Column2]]), "", namespace_raw[[#This Row],[Column2]])</f>
        <v/>
      </c>
      <c r="C299" s="94" t="str">
        <f>IF(ISNUMBER(namespace_raw[[#This Row],[Column4]]), namespace_raw[[#This Row],[Column4]], "")</f>
        <v/>
      </c>
      <c r="D299" s="95" t="str">
        <f>IF(ISNUMBER(namespace_raw[[#This Row],[Column5]]), namespace_raw[[#This Row],[Column5]]/1048576, "")</f>
        <v/>
      </c>
      <c r="E299" s="95" t="str">
        <f>IF(ISNUMBER(namespace_raw[[#This Row],[Column6]]), namespace_raw[[#This Row],[Column6]],"")</f>
        <v/>
      </c>
      <c r="F299" s="96" t="str">
        <f>IF(ISNUMBER(namespace_raw[[#This Row],[Column7]]), namespace_raw[[#This Row],[Column7]]/1048576,"")</f>
        <v/>
      </c>
      <c r="G299" s="122" t="str">
        <f>IF(ISNUMBER(namespace_raw[[#This Row],[Column8]]), namespace_raw[[#This Row],[Column8]],"")</f>
        <v/>
      </c>
      <c r="H299" s="123" t="str">
        <f>IF(ISNUMBER(namespace_raw[[#This Row],[Column9]]), namespace_raw[[#This Row],[Column9]]/1048576,"")</f>
        <v/>
      </c>
      <c r="I299" s="124" t="str">
        <f>IF(ISNUMBER(namespace_raw[[#This Row],[Column8]]),MAX(G299, M299, O299, $I$2,IF(Q299&lt;&gt;"",VALUE(Q299),0)), "")</f>
        <v/>
      </c>
      <c r="J299" s="125" t="str">
        <f>IF(ISNUMBER(namespace_raw[[#This Row],[Column9]]),MAX(H299, N299, P299, $J$2,IF(R299&lt;&gt;"",VALUE(R299),0)),"")</f>
        <v/>
      </c>
      <c r="K299" s="166" t="str">
        <f>IF(ISNUMBER(namespace_raw[[#This Row],[Column12]]), namespace_raw[[#This Row],[Column12]],"")</f>
        <v/>
      </c>
      <c r="L299" s="167" t="str">
        <f>IF(ISNUMBER(namespace_raw[[#This Row],[Column13]]), namespace_raw[[#This Row],[Column13]]/1048576,"")</f>
        <v/>
      </c>
      <c r="M299" s="168" t="str">
        <f>IF(ISNUMBER(namespace_raw[[#This Row],[Column10]]), (namespace_raw[[#This Row],[Column10]]*(1+$M$2)),"")</f>
        <v/>
      </c>
      <c r="N299" s="167" t="str">
        <f>IF(ISNUMBER(namespace_raw[[#This Row],[Column11]]), (namespace_raw[[#This Row],[Column11]]*(1+$N$2))/1048576,"")</f>
        <v/>
      </c>
      <c r="O299" s="169" t="str">
        <f>IF(ISNUMBER(namespace_raw[[#This Row],[Column8]]), (E299  * $O$2),"")</f>
        <v/>
      </c>
      <c r="P299" s="170" t="str">
        <f>IF(ISNUMBER(namespace_raw[[#This Row],[Column8]]), (F299  * $P$2),"")</f>
        <v/>
      </c>
    </row>
    <row r="300" spans="1:16" ht="15" customHeight="1" x14ac:dyDescent="0.25">
      <c r="A300" s="32" t="str">
        <f>IF(ISNONTEXT(namespace_raw[[#This Row],[Column1]]), "", namespace_raw[[#This Row],[Column1]])</f>
        <v/>
      </c>
      <c r="B300" s="33" t="str">
        <f>IF(ISNONTEXT(namespace_raw[[#This Row],[Column2]]), "", namespace_raw[[#This Row],[Column2]])</f>
        <v/>
      </c>
      <c r="C300" s="94" t="str">
        <f>IF(ISNUMBER(namespace_raw[[#This Row],[Column4]]), namespace_raw[[#This Row],[Column4]], "")</f>
        <v/>
      </c>
      <c r="D300" s="95" t="str">
        <f>IF(ISNUMBER(namespace_raw[[#This Row],[Column5]]), namespace_raw[[#This Row],[Column5]]/1048576, "")</f>
        <v/>
      </c>
      <c r="E300" s="95" t="str">
        <f>IF(ISNUMBER(namespace_raw[[#This Row],[Column6]]), namespace_raw[[#This Row],[Column6]],"")</f>
        <v/>
      </c>
      <c r="F300" s="96" t="str">
        <f>IF(ISNUMBER(namespace_raw[[#This Row],[Column7]]), namespace_raw[[#This Row],[Column7]]/1048576,"")</f>
        <v/>
      </c>
      <c r="G300" s="122" t="str">
        <f>IF(ISNUMBER(namespace_raw[[#This Row],[Column8]]), namespace_raw[[#This Row],[Column8]],"")</f>
        <v/>
      </c>
      <c r="H300" s="123" t="str">
        <f>IF(ISNUMBER(namespace_raw[[#This Row],[Column9]]), namespace_raw[[#This Row],[Column9]]/1048576,"")</f>
        <v/>
      </c>
      <c r="I300" s="124" t="str">
        <f>IF(ISNUMBER(namespace_raw[[#This Row],[Column8]]),MAX(G300, M300, O300, $I$2,IF(Q300&lt;&gt;"",VALUE(Q300),0)), "")</f>
        <v/>
      </c>
      <c r="J300" s="125" t="str">
        <f>IF(ISNUMBER(namespace_raw[[#This Row],[Column9]]),MAX(H300, N300, P300, $J$2,IF(R300&lt;&gt;"",VALUE(R300),0)),"")</f>
        <v/>
      </c>
      <c r="K300" s="166" t="str">
        <f>IF(ISNUMBER(namespace_raw[[#This Row],[Column12]]), namespace_raw[[#This Row],[Column12]],"")</f>
        <v/>
      </c>
      <c r="L300" s="167" t="str">
        <f>IF(ISNUMBER(namespace_raw[[#This Row],[Column13]]), namespace_raw[[#This Row],[Column13]]/1048576,"")</f>
        <v/>
      </c>
      <c r="M300" s="168" t="str">
        <f>IF(ISNUMBER(namespace_raw[[#This Row],[Column10]]), (namespace_raw[[#This Row],[Column10]]*(1+$M$2)),"")</f>
        <v/>
      </c>
      <c r="N300" s="167" t="str">
        <f>IF(ISNUMBER(namespace_raw[[#This Row],[Column11]]), (namespace_raw[[#This Row],[Column11]]*(1+$N$2))/1048576,"")</f>
        <v/>
      </c>
      <c r="O300" s="169" t="str">
        <f>IF(ISNUMBER(namespace_raw[[#This Row],[Column8]]), (E300  * $O$2),"")</f>
        <v/>
      </c>
      <c r="P300" s="170" t="str">
        <f>IF(ISNUMBER(namespace_raw[[#This Row],[Column8]]), (F300  * $P$2),"")</f>
        <v/>
      </c>
    </row>
    <row r="301" spans="1:16" ht="15" customHeight="1" x14ac:dyDescent="0.25">
      <c r="A301" s="32" t="str">
        <f>IF(ISNONTEXT(namespace_raw[[#This Row],[Column1]]), "", namespace_raw[[#This Row],[Column1]])</f>
        <v/>
      </c>
      <c r="B301" s="33" t="str">
        <f>IF(ISNONTEXT(namespace_raw[[#This Row],[Column2]]), "", namespace_raw[[#This Row],[Column2]])</f>
        <v/>
      </c>
      <c r="C301" s="94" t="str">
        <f>IF(ISNUMBER(namespace_raw[[#This Row],[Column4]]), namespace_raw[[#This Row],[Column4]], "")</f>
        <v/>
      </c>
      <c r="D301" s="95" t="str">
        <f>IF(ISNUMBER(namespace_raw[[#This Row],[Column5]]), namespace_raw[[#This Row],[Column5]]/1048576, "")</f>
        <v/>
      </c>
      <c r="E301" s="95" t="str">
        <f>IF(ISNUMBER(namespace_raw[[#This Row],[Column6]]), namespace_raw[[#This Row],[Column6]],"")</f>
        <v/>
      </c>
      <c r="F301" s="96" t="str">
        <f>IF(ISNUMBER(namespace_raw[[#This Row],[Column7]]), namespace_raw[[#This Row],[Column7]]/1048576,"")</f>
        <v/>
      </c>
      <c r="G301" s="122" t="str">
        <f>IF(ISNUMBER(namespace_raw[[#This Row],[Column8]]), namespace_raw[[#This Row],[Column8]],"")</f>
        <v/>
      </c>
      <c r="H301" s="123" t="str">
        <f>IF(ISNUMBER(namespace_raw[[#This Row],[Column9]]), namespace_raw[[#This Row],[Column9]]/1048576,"")</f>
        <v/>
      </c>
      <c r="I301" s="124" t="str">
        <f>IF(ISNUMBER(namespace_raw[[#This Row],[Column8]]),MAX(G301, M301, O301, $I$2,IF(Q301&lt;&gt;"",VALUE(Q301),0)), "")</f>
        <v/>
      </c>
      <c r="J301" s="125" t="str">
        <f>IF(ISNUMBER(namespace_raw[[#This Row],[Column9]]),MAX(H301, N301, P301, $J$2,IF(R301&lt;&gt;"",VALUE(R301),0)),"")</f>
        <v/>
      </c>
      <c r="K301" s="166" t="str">
        <f>IF(ISNUMBER(namespace_raw[[#This Row],[Column12]]), namespace_raw[[#This Row],[Column12]],"")</f>
        <v/>
      </c>
      <c r="L301" s="167" t="str">
        <f>IF(ISNUMBER(namespace_raw[[#This Row],[Column13]]), namespace_raw[[#This Row],[Column13]]/1048576,"")</f>
        <v/>
      </c>
      <c r="M301" s="168" t="str">
        <f>IF(ISNUMBER(namespace_raw[[#This Row],[Column10]]), (namespace_raw[[#This Row],[Column10]]*(1+$M$2)),"")</f>
        <v/>
      </c>
      <c r="N301" s="167" t="str">
        <f>IF(ISNUMBER(namespace_raw[[#This Row],[Column11]]), (namespace_raw[[#This Row],[Column11]]*(1+$N$2))/1048576,"")</f>
        <v/>
      </c>
      <c r="O301" s="169" t="str">
        <f>IF(ISNUMBER(namespace_raw[[#This Row],[Column8]]), (E301  * $O$2),"")</f>
        <v/>
      </c>
      <c r="P301" s="170" t="str">
        <f>IF(ISNUMBER(namespace_raw[[#This Row],[Column8]]), (F301  * $P$2),"")</f>
        <v/>
      </c>
    </row>
    <row r="302" spans="1:16" ht="15" customHeight="1" x14ac:dyDescent="0.25">
      <c r="A302" s="32" t="str">
        <f>IF(ISNONTEXT(namespace_raw[[#This Row],[Column1]]), "", namespace_raw[[#This Row],[Column1]])</f>
        <v/>
      </c>
      <c r="B302" s="33" t="str">
        <f>IF(ISNONTEXT(namespace_raw[[#This Row],[Column2]]), "", namespace_raw[[#This Row],[Column2]])</f>
        <v/>
      </c>
      <c r="C302" s="94" t="str">
        <f>IF(ISNUMBER(namespace_raw[[#This Row],[Column4]]), namespace_raw[[#This Row],[Column4]], "")</f>
        <v/>
      </c>
      <c r="D302" s="95" t="str">
        <f>IF(ISNUMBER(namespace_raw[[#This Row],[Column5]]), namespace_raw[[#This Row],[Column5]]/1048576, "")</f>
        <v/>
      </c>
      <c r="E302" s="95" t="str">
        <f>IF(ISNUMBER(namespace_raw[[#This Row],[Column6]]), namespace_raw[[#This Row],[Column6]],"")</f>
        <v/>
      </c>
      <c r="F302" s="96" t="str">
        <f>IF(ISNUMBER(namespace_raw[[#This Row],[Column7]]), namespace_raw[[#This Row],[Column7]]/1048576,"")</f>
        <v/>
      </c>
      <c r="G302" s="122" t="str">
        <f>IF(ISNUMBER(namespace_raw[[#This Row],[Column8]]), namespace_raw[[#This Row],[Column8]],"")</f>
        <v/>
      </c>
      <c r="H302" s="123" t="str">
        <f>IF(ISNUMBER(namespace_raw[[#This Row],[Column9]]), namespace_raw[[#This Row],[Column9]]/1048576,"")</f>
        <v/>
      </c>
      <c r="I302" s="124" t="str">
        <f>IF(ISNUMBER(namespace_raw[[#This Row],[Column8]]),MAX(G302, M302, O302, $I$2,IF(Q302&lt;&gt;"",VALUE(Q302),0)), "")</f>
        <v/>
      </c>
      <c r="J302" s="125" t="str">
        <f>IF(ISNUMBER(namespace_raw[[#This Row],[Column9]]),MAX(H302, N302, P302, $J$2,IF(R302&lt;&gt;"",VALUE(R302),0)),"")</f>
        <v/>
      </c>
      <c r="K302" s="166" t="str">
        <f>IF(ISNUMBER(namespace_raw[[#This Row],[Column12]]), namespace_raw[[#This Row],[Column12]],"")</f>
        <v/>
      </c>
      <c r="L302" s="167" t="str">
        <f>IF(ISNUMBER(namespace_raw[[#This Row],[Column13]]), namespace_raw[[#This Row],[Column13]]/1048576,"")</f>
        <v/>
      </c>
      <c r="M302" s="168" t="str">
        <f>IF(ISNUMBER(namespace_raw[[#This Row],[Column10]]), (namespace_raw[[#This Row],[Column10]]*(1+$M$2)),"")</f>
        <v/>
      </c>
      <c r="N302" s="167" t="str">
        <f>IF(ISNUMBER(namespace_raw[[#This Row],[Column11]]), (namespace_raw[[#This Row],[Column11]]*(1+$N$2))/1048576,"")</f>
        <v/>
      </c>
      <c r="O302" s="169" t="str">
        <f>IF(ISNUMBER(namespace_raw[[#This Row],[Column8]]), (E302  * $O$2),"")</f>
        <v/>
      </c>
      <c r="P302" s="170" t="str">
        <f>IF(ISNUMBER(namespace_raw[[#This Row],[Column8]]), (F302  * $P$2),"")</f>
        <v/>
      </c>
    </row>
    <row r="303" spans="1:16" ht="15" customHeight="1" x14ac:dyDescent="0.25">
      <c r="A303" s="32" t="str">
        <f>IF(ISNONTEXT(namespace_raw[[#This Row],[Column1]]), "", namespace_raw[[#This Row],[Column1]])</f>
        <v/>
      </c>
      <c r="B303" s="33" t="str">
        <f>IF(ISNONTEXT(namespace_raw[[#This Row],[Column2]]), "", namespace_raw[[#This Row],[Column2]])</f>
        <v/>
      </c>
      <c r="C303" s="94" t="str">
        <f>IF(ISNUMBER(namespace_raw[[#This Row],[Column4]]), namespace_raw[[#This Row],[Column4]], "")</f>
        <v/>
      </c>
      <c r="D303" s="95" t="str">
        <f>IF(ISNUMBER(namespace_raw[[#This Row],[Column5]]), namespace_raw[[#This Row],[Column5]]/1048576, "")</f>
        <v/>
      </c>
      <c r="E303" s="95" t="str">
        <f>IF(ISNUMBER(namespace_raw[[#This Row],[Column6]]), namespace_raw[[#This Row],[Column6]],"")</f>
        <v/>
      </c>
      <c r="F303" s="96" t="str">
        <f>IF(ISNUMBER(namespace_raw[[#This Row],[Column7]]), namespace_raw[[#This Row],[Column7]]/1048576,"")</f>
        <v/>
      </c>
      <c r="G303" s="122" t="str">
        <f>IF(ISNUMBER(namespace_raw[[#This Row],[Column8]]), namespace_raw[[#This Row],[Column8]],"")</f>
        <v/>
      </c>
      <c r="H303" s="123" t="str">
        <f>IF(ISNUMBER(namespace_raw[[#This Row],[Column9]]), namespace_raw[[#This Row],[Column9]]/1048576,"")</f>
        <v/>
      </c>
      <c r="I303" s="124" t="str">
        <f>IF(ISNUMBER(namespace_raw[[#This Row],[Column8]]),MAX(G303, M303, O303, $I$2,IF(Q303&lt;&gt;"",VALUE(Q303),0)), "")</f>
        <v/>
      </c>
      <c r="J303" s="125" t="str">
        <f>IF(ISNUMBER(namespace_raw[[#This Row],[Column9]]),MAX(H303, N303, P303, $J$2,IF(R303&lt;&gt;"",VALUE(R303),0)),"")</f>
        <v/>
      </c>
      <c r="K303" s="166" t="str">
        <f>IF(ISNUMBER(namespace_raw[[#This Row],[Column12]]), namespace_raw[[#This Row],[Column12]],"")</f>
        <v/>
      </c>
      <c r="L303" s="167" t="str">
        <f>IF(ISNUMBER(namespace_raw[[#This Row],[Column13]]), namespace_raw[[#This Row],[Column13]]/1048576,"")</f>
        <v/>
      </c>
      <c r="M303" s="168" t="str">
        <f>IF(ISNUMBER(namespace_raw[[#This Row],[Column10]]), (namespace_raw[[#This Row],[Column10]]*(1+$M$2)),"")</f>
        <v/>
      </c>
      <c r="N303" s="167" t="str">
        <f>IF(ISNUMBER(namespace_raw[[#This Row],[Column11]]), (namespace_raw[[#This Row],[Column11]]*(1+$N$2))/1048576,"")</f>
        <v/>
      </c>
      <c r="O303" s="169" t="str">
        <f>IF(ISNUMBER(namespace_raw[[#This Row],[Column8]]), (E303  * $O$2),"")</f>
        <v/>
      </c>
      <c r="P303" s="170" t="str">
        <f>IF(ISNUMBER(namespace_raw[[#This Row],[Column8]]), (F303  * $P$2),"")</f>
        <v/>
      </c>
    </row>
    <row r="304" spans="1:16" ht="15" customHeight="1" x14ac:dyDescent="0.25">
      <c r="A304" s="32" t="str">
        <f>IF(ISNONTEXT(namespace_raw[[#This Row],[Column1]]), "", namespace_raw[[#This Row],[Column1]])</f>
        <v/>
      </c>
      <c r="B304" s="33" t="str">
        <f>IF(ISNONTEXT(namespace_raw[[#This Row],[Column2]]), "", namespace_raw[[#This Row],[Column2]])</f>
        <v/>
      </c>
      <c r="C304" s="94" t="str">
        <f>IF(ISNUMBER(namespace_raw[[#This Row],[Column4]]), namespace_raw[[#This Row],[Column4]], "")</f>
        <v/>
      </c>
      <c r="D304" s="95" t="str">
        <f>IF(ISNUMBER(namespace_raw[[#This Row],[Column5]]), namespace_raw[[#This Row],[Column5]]/1048576, "")</f>
        <v/>
      </c>
      <c r="E304" s="95" t="str">
        <f>IF(ISNUMBER(namespace_raw[[#This Row],[Column6]]), namespace_raw[[#This Row],[Column6]],"")</f>
        <v/>
      </c>
      <c r="F304" s="96" t="str">
        <f>IF(ISNUMBER(namespace_raw[[#This Row],[Column7]]), namespace_raw[[#This Row],[Column7]]/1048576,"")</f>
        <v/>
      </c>
      <c r="G304" s="122" t="str">
        <f>IF(ISNUMBER(namespace_raw[[#This Row],[Column8]]), namespace_raw[[#This Row],[Column8]],"")</f>
        <v/>
      </c>
      <c r="H304" s="123" t="str">
        <f>IF(ISNUMBER(namespace_raw[[#This Row],[Column9]]), namespace_raw[[#This Row],[Column9]]/1048576,"")</f>
        <v/>
      </c>
      <c r="I304" s="124" t="str">
        <f>IF(ISNUMBER(namespace_raw[[#This Row],[Column8]]),MAX(G304, M304, O304, $I$2,IF(Q304&lt;&gt;"",VALUE(Q304),0)), "")</f>
        <v/>
      </c>
      <c r="J304" s="125" t="str">
        <f>IF(ISNUMBER(namespace_raw[[#This Row],[Column9]]),MAX(H304, N304, P304, $J$2,IF(R304&lt;&gt;"",VALUE(R304),0)),"")</f>
        <v/>
      </c>
      <c r="K304" s="166" t="str">
        <f>IF(ISNUMBER(namespace_raw[[#This Row],[Column12]]), namespace_raw[[#This Row],[Column12]],"")</f>
        <v/>
      </c>
      <c r="L304" s="167" t="str">
        <f>IF(ISNUMBER(namespace_raw[[#This Row],[Column13]]), namespace_raw[[#This Row],[Column13]]/1048576,"")</f>
        <v/>
      </c>
      <c r="M304" s="168" t="str">
        <f>IF(ISNUMBER(namespace_raw[[#This Row],[Column10]]), (namespace_raw[[#This Row],[Column10]]*(1+$M$2)),"")</f>
        <v/>
      </c>
      <c r="N304" s="167" t="str">
        <f>IF(ISNUMBER(namespace_raw[[#This Row],[Column11]]), (namespace_raw[[#This Row],[Column11]]*(1+$N$2))/1048576,"")</f>
        <v/>
      </c>
      <c r="O304" s="169" t="str">
        <f>IF(ISNUMBER(namespace_raw[[#This Row],[Column8]]), (E304  * $O$2),"")</f>
        <v/>
      </c>
      <c r="P304" s="170" t="str">
        <f>IF(ISNUMBER(namespace_raw[[#This Row],[Column8]]), (F304  * $P$2),"")</f>
        <v/>
      </c>
    </row>
    <row r="305" spans="1:16" ht="15" customHeight="1" x14ac:dyDescent="0.25">
      <c r="A305" s="32" t="str">
        <f>IF(ISNONTEXT(namespace_raw[[#This Row],[Column1]]), "", namespace_raw[[#This Row],[Column1]])</f>
        <v/>
      </c>
      <c r="B305" s="33" t="str">
        <f>IF(ISNONTEXT(namespace_raw[[#This Row],[Column2]]), "", namespace_raw[[#This Row],[Column2]])</f>
        <v/>
      </c>
      <c r="C305" s="94" t="str">
        <f>IF(ISNUMBER(namespace_raw[[#This Row],[Column4]]), namespace_raw[[#This Row],[Column4]], "")</f>
        <v/>
      </c>
      <c r="D305" s="95" t="str">
        <f>IF(ISNUMBER(namespace_raw[[#This Row],[Column5]]), namespace_raw[[#This Row],[Column5]]/1048576, "")</f>
        <v/>
      </c>
      <c r="E305" s="95" t="str">
        <f>IF(ISNUMBER(namespace_raw[[#This Row],[Column6]]), namespace_raw[[#This Row],[Column6]],"")</f>
        <v/>
      </c>
      <c r="F305" s="96" t="str">
        <f>IF(ISNUMBER(namespace_raw[[#This Row],[Column7]]), namespace_raw[[#This Row],[Column7]]/1048576,"")</f>
        <v/>
      </c>
      <c r="G305" s="122" t="str">
        <f>IF(ISNUMBER(namespace_raw[[#This Row],[Column8]]), namespace_raw[[#This Row],[Column8]],"")</f>
        <v/>
      </c>
      <c r="H305" s="123" t="str">
        <f>IF(ISNUMBER(namespace_raw[[#This Row],[Column9]]), namespace_raw[[#This Row],[Column9]]/1048576,"")</f>
        <v/>
      </c>
      <c r="I305" s="124" t="str">
        <f>IF(ISNUMBER(namespace_raw[[#This Row],[Column8]]),MAX(G305, M305, O305, $I$2,IF(Q305&lt;&gt;"",VALUE(Q305),0)), "")</f>
        <v/>
      </c>
      <c r="J305" s="125" t="str">
        <f>IF(ISNUMBER(namespace_raw[[#This Row],[Column9]]),MAX(H305, N305, P305, $J$2,IF(R305&lt;&gt;"",VALUE(R305),0)),"")</f>
        <v/>
      </c>
      <c r="K305" s="166" t="str">
        <f>IF(ISNUMBER(namespace_raw[[#This Row],[Column12]]), namespace_raw[[#This Row],[Column12]],"")</f>
        <v/>
      </c>
      <c r="L305" s="167" t="str">
        <f>IF(ISNUMBER(namespace_raw[[#This Row],[Column13]]), namespace_raw[[#This Row],[Column13]]/1048576,"")</f>
        <v/>
      </c>
      <c r="M305" s="168" t="str">
        <f>IF(ISNUMBER(namespace_raw[[#This Row],[Column10]]), (namespace_raw[[#This Row],[Column10]]*(1+$M$2)),"")</f>
        <v/>
      </c>
      <c r="N305" s="167" t="str">
        <f>IF(ISNUMBER(namespace_raw[[#This Row],[Column11]]), (namespace_raw[[#This Row],[Column11]]*(1+$N$2))/1048576,"")</f>
        <v/>
      </c>
      <c r="O305" s="169" t="str">
        <f>IF(ISNUMBER(namespace_raw[[#This Row],[Column8]]), (E305  * $O$2),"")</f>
        <v/>
      </c>
      <c r="P305" s="170" t="str">
        <f>IF(ISNUMBER(namespace_raw[[#This Row],[Column8]]), (F305  * $P$2),"")</f>
        <v/>
      </c>
    </row>
    <row r="306" spans="1:16" ht="15" customHeight="1" x14ac:dyDescent="0.25">
      <c r="A306" s="32" t="str">
        <f>IF(ISNONTEXT(namespace_raw[[#This Row],[Column1]]), "", namespace_raw[[#This Row],[Column1]])</f>
        <v/>
      </c>
      <c r="B306" s="33" t="str">
        <f>IF(ISNONTEXT(namespace_raw[[#This Row],[Column2]]), "", namespace_raw[[#This Row],[Column2]])</f>
        <v/>
      </c>
      <c r="C306" s="94" t="str">
        <f>IF(ISNUMBER(namespace_raw[[#This Row],[Column4]]), namespace_raw[[#This Row],[Column4]], "")</f>
        <v/>
      </c>
      <c r="D306" s="95" t="str">
        <f>IF(ISNUMBER(namespace_raw[[#This Row],[Column5]]), namespace_raw[[#This Row],[Column5]]/1048576, "")</f>
        <v/>
      </c>
      <c r="E306" s="95" t="str">
        <f>IF(ISNUMBER(namespace_raw[[#This Row],[Column6]]), namespace_raw[[#This Row],[Column6]],"")</f>
        <v/>
      </c>
      <c r="F306" s="96" t="str">
        <f>IF(ISNUMBER(namespace_raw[[#This Row],[Column7]]), namespace_raw[[#This Row],[Column7]]/1048576,"")</f>
        <v/>
      </c>
      <c r="G306" s="122" t="str">
        <f>IF(ISNUMBER(namespace_raw[[#This Row],[Column8]]), namespace_raw[[#This Row],[Column8]],"")</f>
        <v/>
      </c>
      <c r="H306" s="123" t="str">
        <f>IF(ISNUMBER(namespace_raw[[#This Row],[Column9]]), namespace_raw[[#This Row],[Column9]]/1048576,"")</f>
        <v/>
      </c>
      <c r="I306" s="124" t="str">
        <f>IF(ISNUMBER(namespace_raw[[#This Row],[Column8]]),MAX(G306, M306, O306, $I$2,IF(Q306&lt;&gt;"",VALUE(Q306),0)), "")</f>
        <v/>
      </c>
      <c r="J306" s="125" t="str">
        <f>IF(ISNUMBER(namespace_raw[[#This Row],[Column9]]),MAX(H306, N306, P306, $J$2,IF(R306&lt;&gt;"",VALUE(R306),0)),"")</f>
        <v/>
      </c>
      <c r="K306" s="166" t="str">
        <f>IF(ISNUMBER(namespace_raw[[#This Row],[Column12]]), namespace_raw[[#This Row],[Column12]],"")</f>
        <v/>
      </c>
      <c r="L306" s="167" t="str">
        <f>IF(ISNUMBER(namespace_raw[[#This Row],[Column13]]), namespace_raw[[#This Row],[Column13]]/1048576,"")</f>
        <v/>
      </c>
      <c r="M306" s="168" t="str">
        <f>IF(ISNUMBER(namespace_raw[[#This Row],[Column10]]), (namespace_raw[[#This Row],[Column10]]*(1+$M$2)),"")</f>
        <v/>
      </c>
      <c r="N306" s="167" t="str">
        <f>IF(ISNUMBER(namespace_raw[[#This Row],[Column11]]), (namespace_raw[[#This Row],[Column11]]*(1+$N$2))/1048576,"")</f>
        <v/>
      </c>
      <c r="O306" s="169" t="str">
        <f>IF(ISNUMBER(namespace_raw[[#This Row],[Column8]]), (E306  * $O$2),"")</f>
        <v/>
      </c>
      <c r="P306" s="170" t="str">
        <f>IF(ISNUMBER(namespace_raw[[#This Row],[Column8]]), (F306  * $P$2),"")</f>
        <v/>
      </c>
    </row>
    <row r="307" spans="1:16" ht="15" customHeight="1" x14ac:dyDescent="0.25">
      <c r="A307" s="32" t="str">
        <f>IF(ISNONTEXT(namespace_raw[[#This Row],[Column1]]), "", namespace_raw[[#This Row],[Column1]])</f>
        <v/>
      </c>
      <c r="B307" s="33" t="str">
        <f>IF(ISNONTEXT(namespace_raw[[#This Row],[Column2]]), "", namespace_raw[[#This Row],[Column2]])</f>
        <v/>
      </c>
      <c r="C307" s="94" t="str">
        <f>IF(ISNUMBER(namespace_raw[[#This Row],[Column4]]), namespace_raw[[#This Row],[Column4]], "")</f>
        <v/>
      </c>
      <c r="D307" s="95" t="str">
        <f>IF(ISNUMBER(namespace_raw[[#This Row],[Column5]]), namespace_raw[[#This Row],[Column5]]/1048576, "")</f>
        <v/>
      </c>
      <c r="E307" s="95" t="str">
        <f>IF(ISNUMBER(namespace_raw[[#This Row],[Column6]]), namespace_raw[[#This Row],[Column6]],"")</f>
        <v/>
      </c>
      <c r="F307" s="96" t="str">
        <f>IF(ISNUMBER(namespace_raw[[#This Row],[Column7]]), namespace_raw[[#This Row],[Column7]]/1048576,"")</f>
        <v/>
      </c>
      <c r="G307" s="122" t="str">
        <f>IF(ISNUMBER(namespace_raw[[#This Row],[Column8]]), namespace_raw[[#This Row],[Column8]],"")</f>
        <v/>
      </c>
      <c r="H307" s="123" t="str">
        <f>IF(ISNUMBER(namespace_raw[[#This Row],[Column9]]), namespace_raw[[#This Row],[Column9]]/1048576,"")</f>
        <v/>
      </c>
      <c r="I307" s="124" t="str">
        <f>IF(ISNUMBER(namespace_raw[[#This Row],[Column8]]),MAX(G307, M307, O307, $I$2,IF(Q307&lt;&gt;"",VALUE(Q307),0)), "")</f>
        <v/>
      </c>
      <c r="J307" s="125" t="str">
        <f>IF(ISNUMBER(namespace_raw[[#This Row],[Column9]]),MAX(H307, N307, P307, $J$2,IF(R307&lt;&gt;"",VALUE(R307),0)),"")</f>
        <v/>
      </c>
      <c r="K307" s="166" t="str">
        <f>IF(ISNUMBER(namespace_raw[[#This Row],[Column12]]), namespace_raw[[#This Row],[Column12]],"")</f>
        <v/>
      </c>
      <c r="L307" s="167" t="str">
        <f>IF(ISNUMBER(namespace_raw[[#This Row],[Column13]]), namespace_raw[[#This Row],[Column13]]/1048576,"")</f>
        <v/>
      </c>
      <c r="M307" s="168" t="str">
        <f>IF(ISNUMBER(namespace_raw[[#This Row],[Column10]]), (namespace_raw[[#This Row],[Column10]]*(1+$M$2)),"")</f>
        <v/>
      </c>
      <c r="N307" s="167" t="str">
        <f>IF(ISNUMBER(namespace_raw[[#This Row],[Column11]]), (namespace_raw[[#This Row],[Column11]]*(1+$N$2))/1048576,"")</f>
        <v/>
      </c>
      <c r="O307" s="169" t="str">
        <f>IF(ISNUMBER(namespace_raw[[#This Row],[Column8]]), (E307  * $O$2),"")</f>
        <v/>
      </c>
      <c r="P307" s="170" t="str">
        <f>IF(ISNUMBER(namespace_raw[[#This Row],[Column8]]), (F307  * $P$2),"")</f>
        <v/>
      </c>
    </row>
    <row r="308" spans="1:16" ht="15" customHeight="1" x14ac:dyDescent="0.25">
      <c r="A308" s="32" t="str">
        <f>IF(ISNONTEXT(namespace_raw[[#This Row],[Column1]]), "", namespace_raw[[#This Row],[Column1]])</f>
        <v/>
      </c>
      <c r="B308" s="33" t="str">
        <f>IF(ISNONTEXT(namespace_raw[[#This Row],[Column2]]), "", namespace_raw[[#This Row],[Column2]])</f>
        <v/>
      </c>
      <c r="C308" s="94" t="str">
        <f>IF(ISNUMBER(namespace_raw[[#This Row],[Column4]]), namespace_raw[[#This Row],[Column4]], "")</f>
        <v/>
      </c>
      <c r="D308" s="95" t="str">
        <f>IF(ISNUMBER(namespace_raw[[#This Row],[Column5]]), namespace_raw[[#This Row],[Column5]]/1048576, "")</f>
        <v/>
      </c>
      <c r="E308" s="95" t="str">
        <f>IF(ISNUMBER(namespace_raw[[#This Row],[Column6]]), namespace_raw[[#This Row],[Column6]],"")</f>
        <v/>
      </c>
      <c r="F308" s="96" t="str">
        <f>IF(ISNUMBER(namespace_raw[[#This Row],[Column7]]), namespace_raw[[#This Row],[Column7]]/1048576,"")</f>
        <v/>
      </c>
      <c r="G308" s="122" t="str">
        <f>IF(ISNUMBER(namespace_raw[[#This Row],[Column8]]), namespace_raw[[#This Row],[Column8]],"")</f>
        <v/>
      </c>
      <c r="H308" s="123" t="str">
        <f>IF(ISNUMBER(namespace_raw[[#This Row],[Column9]]), namespace_raw[[#This Row],[Column9]]/1048576,"")</f>
        <v/>
      </c>
      <c r="I308" s="124" t="str">
        <f>IF(ISNUMBER(namespace_raw[[#This Row],[Column8]]),MAX(G308, M308, O308, $I$2,IF(Q308&lt;&gt;"",VALUE(Q308),0)), "")</f>
        <v/>
      </c>
      <c r="J308" s="125" t="str">
        <f>IF(ISNUMBER(namespace_raw[[#This Row],[Column9]]),MAX(H308, N308, P308, $J$2,IF(R308&lt;&gt;"",VALUE(R308),0)),"")</f>
        <v/>
      </c>
      <c r="K308" s="166" t="str">
        <f>IF(ISNUMBER(namespace_raw[[#This Row],[Column12]]), namespace_raw[[#This Row],[Column12]],"")</f>
        <v/>
      </c>
      <c r="L308" s="167" t="str">
        <f>IF(ISNUMBER(namespace_raw[[#This Row],[Column13]]), namespace_raw[[#This Row],[Column13]]/1048576,"")</f>
        <v/>
      </c>
      <c r="M308" s="168" t="str">
        <f>IF(ISNUMBER(namespace_raw[[#This Row],[Column10]]), (namespace_raw[[#This Row],[Column10]]*(1+$M$2)),"")</f>
        <v/>
      </c>
      <c r="N308" s="167" t="str">
        <f>IF(ISNUMBER(namespace_raw[[#This Row],[Column11]]), (namespace_raw[[#This Row],[Column11]]*(1+$N$2))/1048576,"")</f>
        <v/>
      </c>
      <c r="O308" s="169" t="str">
        <f>IF(ISNUMBER(namespace_raw[[#This Row],[Column8]]), (E308  * $O$2),"")</f>
        <v/>
      </c>
      <c r="P308" s="170" t="str">
        <f>IF(ISNUMBER(namespace_raw[[#This Row],[Column8]]), (F308  * $P$2),"")</f>
        <v/>
      </c>
    </row>
    <row r="309" spans="1:16" ht="15" customHeight="1" x14ac:dyDescent="0.25">
      <c r="A309" s="32" t="str">
        <f>IF(ISNONTEXT(namespace_raw[[#This Row],[Column1]]), "", namespace_raw[[#This Row],[Column1]])</f>
        <v/>
      </c>
      <c r="B309" s="33" t="str">
        <f>IF(ISNONTEXT(namespace_raw[[#This Row],[Column2]]), "", namespace_raw[[#This Row],[Column2]])</f>
        <v/>
      </c>
      <c r="C309" s="94" t="str">
        <f>IF(ISNUMBER(namespace_raw[[#This Row],[Column4]]), namespace_raw[[#This Row],[Column4]], "")</f>
        <v/>
      </c>
      <c r="D309" s="95" t="str">
        <f>IF(ISNUMBER(namespace_raw[[#This Row],[Column5]]), namespace_raw[[#This Row],[Column5]]/1048576, "")</f>
        <v/>
      </c>
      <c r="E309" s="95" t="str">
        <f>IF(ISNUMBER(namespace_raw[[#This Row],[Column6]]), namespace_raw[[#This Row],[Column6]],"")</f>
        <v/>
      </c>
      <c r="F309" s="96" t="str">
        <f>IF(ISNUMBER(namespace_raw[[#This Row],[Column7]]), namespace_raw[[#This Row],[Column7]]/1048576,"")</f>
        <v/>
      </c>
      <c r="G309" s="122" t="str">
        <f>IF(ISNUMBER(namespace_raw[[#This Row],[Column8]]), namespace_raw[[#This Row],[Column8]],"")</f>
        <v/>
      </c>
      <c r="H309" s="123" t="str">
        <f>IF(ISNUMBER(namespace_raw[[#This Row],[Column9]]), namespace_raw[[#This Row],[Column9]]/1048576,"")</f>
        <v/>
      </c>
      <c r="I309" s="124" t="str">
        <f>IF(ISNUMBER(namespace_raw[[#This Row],[Column8]]),MAX(G309, M309, O309, $I$2,IF(Q309&lt;&gt;"",VALUE(Q309),0)), "")</f>
        <v/>
      </c>
      <c r="J309" s="125" t="str">
        <f>IF(ISNUMBER(namespace_raw[[#This Row],[Column9]]),MAX(H309, N309, P309, $J$2,IF(R309&lt;&gt;"",VALUE(R309),0)),"")</f>
        <v/>
      </c>
      <c r="K309" s="166" t="str">
        <f>IF(ISNUMBER(namespace_raw[[#This Row],[Column12]]), namespace_raw[[#This Row],[Column12]],"")</f>
        <v/>
      </c>
      <c r="L309" s="167" t="str">
        <f>IF(ISNUMBER(namespace_raw[[#This Row],[Column13]]), namespace_raw[[#This Row],[Column13]]/1048576,"")</f>
        <v/>
      </c>
      <c r="M309" s="168" t="str">
        <f>IF(ISNUMBER(namespace_raw[[#This Row],[Column10]]), (namespace_raw[[#This Row],[Column10]]*(1+$M$2)),"")</f>
        <v/>
      </c>
      <c r="N309" s="167" t="str">
        <f>IF(ISNUMBER(namespace_raw[[#This Row],[Column11]]), (namespace_raw[[#This Row],[Column11]]*(1+$N$2))/1048576,"")</f>
        <v/>
      </c>
      <c r="O309" s="169" t="str">
        <f>IF(ISNUMBER(namespace_raw[[#This Row],[Column8]]), (E309  * $O$2),"")</f>
        <v/>
      </c>
      <c r="P309" s="170" t="str">
        <f>IF(ISNUMBER(namespace_raw[[#This Row],[Column8]]), (F309  * $P$2),"")</f>
        <v/>
      </c>
    </row>
    <row r="310" spans="1:16" ht="15" customHeight="1" x14ac:dyDescent="0.25">
      <c r="A310" s="32" t="str">
        <f>IF(ISNONTEXT(namespace_raw[[#This Row],[Column1]]), "", namespace_raw[[#This Row],[Column1]])</f>
        <v/>
      </c>
      <c r="B310" s="33" t="str">
        <f>IF(ISNONTEXT(namespace_raw[[#This Row],[Column2]]), "", namespace_raw[[#This Row],[Column2]])</f>
        <v/>
      </c>
      <c r="C310" s="94" t="str">
        <f>IF(ISNUMBER(namespace_raw[[#This Row],[Column4]]), namespace_raw[[#This Row],[Column4]], "")</f>
        <v/>
      </c>
      <c r="D310" s="95" t="str">
        <f>IF(ISNUMBER(namespace_raw[[#This Row],[Column5]]), namespace_raw[[#This Row],[Column5]]/1048576, "")</f>
        <v/>
      </c>
      <c r="E310" s="95" t="str">
        <f>IF(ISNUMBER(namespace_raw[[#This Row],[Column6]]), namespace_raw[[#This Row],[Column6]],"")</f>
        <v/>
      </c>
      <c r="F310" s="96" t="str">
        <f>IF(ISNUMBER(namespace_raw[[#This Row],[Column7]]), namespace_raw[[#This Row],[Column7]]/1048576,"")</f>
        <v/>
      </c>
      <c r="G310" s="122" t="str">
        <f>IF(ISNUMBER(namespace_raw[[#This Row],[Column8]]), namespace_raw[[#This Row],[Column8]],"")</f>
        <v/>
      </c>
      <c r="H310" s="123" t="str">
        <f>IF(ISNUMBER(namespace_raw[[#This Row],[Column9]]), namespace_raw[[#This Row],[Column9]]/1048576,"")</f>
        <v/>
      </c>
      <c r="I310" s="124" t="str">
        <f>IF(ISNUMBER(namespace_raw[[#This Row],[Column8]]),MAX(G310, M310, O310, $I$2,IF(Q310&lt;&gt;"",VALUE(Q310),0)), "")</f>
        <v/>
      </c>
      <c r="J310" s="125" t="str">
        <f>IF(ISNUMBER(namespace_raw[[#This Row],[Column9]]),MAX(H310, N310, P310, $J$2,IF(R310&lt;&gt;"",VALUE(R310),0)),"")</f>
        <v/>
      </c>
      <c r="K310" s="166" t="str">
        <f>IF(ISNUMBER(namespace_raw[[#This Row],[Column12]]), namespace_raw[[#This Row],[Column12]],"")</f>
        <v/>
      </c>
      <c r="L310" s="167" t="str">
        <f>IF(ISNUMBER(namespace_raw[[#This Row],[Column13]]), namespace_raw[[#This Row],[Column13]]/1048576,"")</f>
        <v/>
      </c>
      <c r="M310" s="168" t="str">
        <f>IF(ISNUMBER(namespace_raw[[#This Row],[Column10]]), (namespace_raw[[#This Row],[Column10]]*(1+$M$2)),"")</f>
        <v/>
      </c>
      <c r="N310" s="167" t="str">
        <f>IF(ISNUMBER(namespace_raw[[#This Row],[Column11]]), (namespace_raw[[#This Row],[Column11]]*(1+$N$2))/1048576,"")</f>
        <v/>
      </c>
      <c r="O310" s="169" t="str">
        <f>IF(ISNUMBER(namespace_raw[[#This Row],[Column8]]), (E310  * $O$2),"")</f>
        <v/>
      </c>
      <c r="P310" s="170" t="str">
        <f>IF(ISNUMBER(namespace_raw[[#This Row],[Column8]]), (F310  * $P$2),"")</f>
        <v/>
      </c>
    </row>
    <row r="311" spans="1:16" ht="15" customHeight="1" x14ac:dyDescent="0.25">
      <c r="A311" s="32" t="str">
        <f>IF(ISNONTEXT(namespace_raw[[#This Row],[Column1]]), "", namespace_raw[[#This Row],[Column1]])</f>
        <v/>
      </c>
      <c r="B311" s="33" t="str">
        <f>IF(ISNONTEXT(namespace_raw[[#This Row],[Column2]]), "", namespace_raw[[#This Row],[Column2]])</f>
        <v/>
      </c>
      <c r="C311" s="94" t="str">
        <f>IF(ISNUMBER(namespace_raw[[#This Row],[Column4]]), namespace_raw[[#This Row],[Column4]], "")</f>
        <v/>
      </c>
      <c r="D311" s="95" t="str">
        <f>IF(ISNUMBER(namespace_raw[[#This Row],[Column5]]), namespace_raw[[#This Row],[Column5]]/1048576, "")</f>
        <v/>
      </c>
      <c r="E311" s="95" t="str">
        <f>IF(ISNUMBER(namespace_raw[[#This Row],[Column6]]), namespace_raw[[#This Row],[Column6]],"")</f>
        <v/>
      </c>
      <c r="F311" s="96" t="str">
        <f>IF(ISNUMBER(namespace_raw[[#This Row],[Column7]]), namespace_raw[[#This Row],[Column7]]/1048576,"")</f>
        <v/>
      </c>
      <c r="G311" s="122" t="str">
        <f>IF(ISNUMBER(namespace_raw[[#This Row],[Column8]]), namespace_raw[[#This Row],[Column8]],"")</f>
        <v/>
      </c>
      <c r="H311" s="123" t="str">
        <f>IF(ISNUMBER(namespace_raw[[#This Row],[Column9]]), namespace_raw[[#This Row],[Column9]]/1048576,"")</f>
        <v/>
      </c>
      <c r="I311" s="124" t="str">
        <f>IF(ISNUMBER(namespace_raw[[#This Row],[Column8]]),MAX(G311, M311, O311, $I$2,IF(Q311&lt;&gt;"",VALUE(Q311),0)), "")</f>
        <v/>
      </c>
      <c r="J311" s="125" t="str">
        <f>IF(ISNUMBER(namespace_raw[[#This Row],[Column9]]),MAX(H311, N311, P311, $J$2,IF(R311&lt;&gt;"",VALUE(R311),0)),"")</f>
        <v/>
      </c>
      <c r="K311" s="166" t="str">
        <f>IF(ISNUMBER(namespace_raw[[#This Row],[Column12]]), namespace_raw[[#This Row],[Column12]],"")</f>
        <v/>
      </c>
      <c r="L311" s="167" t="str">
        <f>IF(ISNUMBER(namespace_raw[[#This Row],[Column13]]), namespace_raw[[#This Row],[Column13]]/1048576,"")</f>
        <v/>
      </c>
      <c r="M311" s="168" t="str">
        <f>IF(ISNUMBER(namespace_raw[[#This Row],[Column10]]), (namespace_raw[[#This Row],[Column10]]*(1+$M$2)),"")</f>
        <v/>
      </c>
      <c r="N311" s="167" t="str">
        <f>IF(ISNUMBER(namespace_raw[[#This Row],[Column11]]), (namespace_raw[[#This Row],[Column11]]*(1+$N$2))/1048576,"")</f>
        <v/>
      </c>
      <c r="O311" s="169" t="str">
        <f>IF(ISNUMBER(namespace_raw[[#This Row],[Column8]]), (E311  * $O$2),"")</f>
        <v/>
      </c>
      <c r="P311" s="170" t="str">
        <f>IF(ISNUMBER(namespace_raw[[#This Row],[Column8]]), (F311  * $P$2),"")</f>
        <v/>
      </c>
    </row>
    <row r="312" spans="1:16" ht="15" customHeight="1" x14ac:dyDescent="0.25">
      <c r="A312" s="32" t="str">
        <f>IF(ISNONTEXT(namespace_raw[[#This Row],[Column1]]), "", namespace_raw[[#This Row],[Column1]])</f>
        <v/>
      </c>
      <c r="B312" s="33" t="str">
        <f>IF(ISNONTEXT(namespace_raw[[#This Row],[Column2]]), "", namespace_raw[[#This Row],[Column2]])</f>
        <v/>
      </c>
      <c r="C312" s="94" t="str">
        <f>IF(ISNUMBER(namespace_raw[[#This Row],[Column4]]), namespace_raw[[#This Row],[Column4]], "")</f>
        <v/>
      </c>
      <c r="D312" s="95" t="str">
        <f>IF(ISNUMBER(namespace_raw[[#This Row],[Column5]]), namespace_raw[[#This Row],[Column5]]/1048576, "")</f>
        <v/>
      </c>
      <c r="E312" s="95" t="str">
        <f>IF(ISNUMBER(namespace_raw[[#This Row],[Column6]]), namespace_raw[[#This Row],[Column6]],"")</f>
        <v/>
      </c>
      <c r="F312" s="96" t="str">
        <f>IF(ISNUMBER(namespace_raw[[#This Row],[Column7]]), namespace_raw[[#This Row],[Column7]]/1048576,"")</f>
        <v/>
      </c>
      <c r="G312" s="122" t="str">
        <f>IF(ISNUMBER(namespace_raw[[#This Row],[Column8]]), namespace_raw[[#This Row],[Column8]],"")</f>
        <v/>
      </c>
      <c r="H312" s="123" t="str">
        <f>IF(ISNUMBER(namespace_raw[[#This Row],[Column9]]), namespace_raw[[#This Row],[Column9]]/1048576,"")</f>
        <v/>
      </c>
      <c r="I312" s="124" t="str">
        <f>IF(ISNUMBER(namespace_raw[[#This Row],[Column8]]),MAX(G312, M312, O312, $I$2,IF(Q312&lt;&gt;"",VALUE(Q312),0)), "")</f>
        <v/>
      </c>
      <c r="J312" s="125" t="str">
        <f>IF(ISNUMBER(namespace_raw[[#This Row],[Column9]]),MAX(H312, N312, P312, $J$2,IF(R312&lt;&gt;"",VALUE(R312),0)),"")</f>
        <v/>
      </c>
      <c r="K312" s="166" t="str">
        <f>IF(ISNUMBER(namespace_raw[[#This Row],[Column12]]), namespace_raw[[#This Row],[Column12]],"")</f>
        <v/>
      </c>
      <c r="L312" s="167" t="str">
        <f>IF(ISNUMBER(namespace_raw[[#This Row],[Column13]]), namespace_raw[[#This Row],[Column13]]/1048576,"")</f>
        <v/>
      </c>
      <c r="M312" s="168" t="str">
        <f>IF(ISNUMBER(namespace_raw[[#This Row],[Column10]]), (namespace_raw[[#This Row],[Column10]]*(1+$M$2)),"")</f>
        <v/>
      </c>
      <c r="N312" s="167" t="str">
        <f>IF(ISNUMBER(namespace_raw[[#This Row],[Column11]]), (namespace_raw[[#This Row],[Column11]]*(1+$N$2))/1048576,"")</f>
        <v/>
      </c>
      <c r="O312" s="169" t="str">
        <f>IF(ISNUMBER(namespace_raw[[#This Row],[Column8]]), (E312  * $O$2),"")</f>
        <v/>
      </c>
      <c r="P312" s="170" t="str">
        <f>IF(ISNUMBER(namespace_raw[[#This Row],[Column8]]), (F312  * $P$2),"")</f>
        <v/>
      </c>
    </row>
    <row r="313" spans="1:16" ht="15" customHeight="1" x14ac:dyDescent="0.25">
      <c r="A313" s="32" t="str">
        <f>IF(ISNONTEXT(namespace_raw[[#This Row],[Column1]]), "", namespace_raw[[#This Row],[Column1]])</f>
        <v/>
      </c>
      <c r="B313" s="33" t="str">
        <f>IF(ISNONTEXT(namespace_raw[[#This Row],[Column2]]), "", namespace_raw[[#This Row],[Column2]])</f>
        <v/>
      </c>
      <c r="C313" s="94" t="str">
        <f>IF(ISNUMBER(namespace_raw[[#This Row],[Column4]]), namespace_raw[[#This Row],[Column4]], "")</f>
        <v/>
      </c>
      <c r="D313" s="95" t="str">
        <f>IF(ISNUMBER(namespace_raw[[#This Row],[Column5]]), namespace_raw[[#This Row],[Column5]]/1048576, "")</f>
        <v/>
      </c>
      <c r="E313" s="95" t="str">
        <f>IF(ISNUMBER(namespace_raw[[#This Row],[Column6]]), namespace_raw[[#This Row],[Column6]],"")</f>
        <v/>
      </c>
      <c r="F313" s="96" t="str">
        <f>IF(ISNUMBER(namespace_raw[[#This Row],[Column7]]), namespace_raw[[#This Row],[Column7]]/1048576,"")</f>
        <v/>
      </c>
      <c r="G313" s="122" t="str">
        <f>IF(ISNUMBER(namespace_raw[[#This Row],[Column8]]), namespace_raw[[#This Row],[Column8]],"")</f>
        <v/>
      </c>
      <c r="H313" s="123" t="str">
        <f>IF(ISNUMBER(namespace_raw[[#This Row],[Column9]]), namespace_raw[[#This Row],[Column9]]/1048576,"")</f>
        <v/>
      </c>
      <c r="I313" s="124" t="str">
        <f>IF(ISNUMBER(namespace_raw[[#This Row],[Column8]]),MAX(G313, M313, O313, $I$2,IF(Q313&lt;&gt;"",VALUE(Q313),0)), "")</f>
        <v/>
      </c>
      <c r="J313" s="125" t="str">
        <f>IF(ISNUMBER(namespace_raw[[#This Row],[Column9]]),MAX(H313, N313, P313, $J$2,IF(R313&lt;&gt;"",VALUE(R313),0)),"")</f>
        <v/>
      </c>
      <c r="K313" s="166" t="str">
        <f>IF(ISNUMBER(namespace_raw[[#This Row],[Column12]]), namespace_raw[[#This Row],[Column12]],"")</f>
        <v/>
      </c>
      <c r="L313" s="167" t="str">
        <f>IF(ISNUMBER(namespace_raw[[#This Row],[Column13]]), namespace_raw[[#This Row],[Column13]]/1048576,"")</f>
        <v/>
      </c>
      <c r="M313" s="168" t="str">
        <f>IF(ISNUMBER(namespace_raw[[#This Row],[Column10]]), (namespace_raw[[#This Row],[Column10]]*(1+$M$2)),"")</f>
        <v/>
      </c>
      <c r="N313" s="167" t="str">
        <f>IF(ISNUMBER(namespace_raw[[#This Row],[Column11]]), (namespace_raw[[#This Row],[Column11]]*(1+$N$2))/1048576,"")</f>
        <v/>
      </c>
      <c r="O313" s="169" t="str">
        <f>IF(ISNUMBER(namespace_raw[[#This Row],[Column8]]), (E313  * $O$2),"")</f>
        <v/>
      </c>
      <c r="P313" s="170" t="str">
        <f>IF(ISNUMBER(namespace_raw[[#This Row],[Column8]]), (F313  * $P$2),"")</f>
        <v/>
      </c>
    </row>
    <row r="314" spans="1:16" ht="15" customHeight="1" x14ac:dyDescent="0.25">
      <c r="A314" s="32" t="str">
        <f>IF(ISNONTEXT(namespace_raw[[#This Row],[Column1]]), "", namespace_raw[[#This Row],[Column1]])</f>
        <v/>
      </c>
      <c r="B314" s="33" t="str">
        <f>IF(ISNONTEXT(namespace_raw[[#This Row],[Column2]]), "", namespace_raw[[#This Row],[Column2]])</f>
        <v/>
      </c>
      <c r="C314" s="94" t="str">
        <f>IF(ISNUMBER(namespace_raw[[#This Row],[Column4]]), namespace_raw[[#This Row],[Column4]], "")</f>
        <v/>
      </c>
      <c r="D314" s="95" t="str">
        <f>IF(ISNUMBER(namespace_raw[[#This Row],[Column5]]), namespace_raw[[#This Row],[Column5]]/1048576, "")</f>
        <v/>
      </c>
      <c r="E314" s="95" t="str">
        <f>IF(ISNUMBER(namespace_raw[[#This Row],[Column6]]), namespace_raw[[#This Row],[Column6]],"")</f>
        <v/>
      </c>
      <c r="F314" s="96" t="str">
        <f>IF(ISNUMBER(namespace_raw[[#This Row],[Column7]]), namespace_raw[[#This Row],[Column7]]/1048576,"")</f>
        <v/>
      </c>
      <c r="G314" s="122" t="str">
        <f>IF(ISNUMBER(namespace_raw[[#This Row],[Column8]]), namespace_raw[[#This Row],[Column8]],"")</f>
        <v/>
      </c>
      <c r="H314" s="123" t="str">
        <f>IF(ISNUMBER(namespace_raw[[#This Row],[Column9]]), namespace_raw[[#This Row],[Column9]]/1048576,"")</f>
        <v/>
      </c>
      <c r="I314" s="124" t="str">
        <f>IF(ISNUMBER(namespace_raw[[#This Row],[Column8]]),MAX(G314, M314, O314, $I$2,IF(Q314&lt;&gt;"",VALUE(Q314),0)), "")</f>
        <v/>
      </c>
      <c r="J314" s="125" t="str">
        <f>IF(ISNUMBER(namespace_raw[[#This Row],[Column9]]),MAX(H314, N314, P314, $J$2,IF(R314&lt;&gt;"",VALUE(R314),0)),"")</f>
        <v/>
      </c>
      <c r="K314" s="166" t="str">
        <f>IF(ISNUMBER(namespace_raw[[#This Row],[Column12]]), namespace_raw[[#This Row],[Column12]],"")</f>
        <v/>
      </c>
      <c r="L314" s="167" t="str">
        <f>IF(ISNUMBER(namespace_raw[[#This Row],[Column13]]), namespace_raw[[#This Row],[Column13]]/1048576,"")</f>
        <v/>
      </c>
      <c r="M314" s="168" t="str">
        <f>IF(ISNUMBER(namespace_raw[[#This Row],[Column10]]), (namespace_raw[[#This Row],[Column10]]*(1+$M$2)),"")</f>
        <v/>
      </c>
      <c r="N314" s="167" t="str">
        <f>IF(ISNUMBER(namespace_raw[[#This Row],[Column11]]), (namespace_raw[[#This Row],[Column11]]*(1+$N$2))/1048576,"")</f>
        <v/>
      </c>
      <c r="O314" s="169" t="str">
        <f>IF(ISNUMBER(namespace_raw[[#This Row],[Column8]]), (E314  * $O$2),"")</f>
        <v/>
      </c>
      <c r="P314" s="170" t="str">
        <f>IF(ISNUMBER(namespace_raw[[#This Row],[Column8]]), (F314  * $P$2),"")</f>
        <v/>
      </c>
    </row>
    <row r="315" spans="1:16" ht="15" customHeight="1" x14ac:dyDescent="0.25">
      <c r="A315" s="32" t="str">
        <f>IF(ISNONTEXT(namespace_raw[[#This Row],[Column1]]), "", namespace_raw[[#This Row],[Column1]])</f>
        <v/>
      </c>
      <c r="B315" s="33" t="str">
        <f>IF(ISNONTEXT(namespace_raw[[#This Row],[Column2]]), "", namespace_raw[[#This Row],[Column2]])</f>
        <v/>
      </c>
      <c r="C315" s="94" t="str">
        <f>IF(ISNUMBER(namespace_raw[[#This Row],[Column4]]), namespace_raw[[#This Row],[Column4]], "")</f>
        <v/>
      </c>
      <c r="D315" s="95" t="str">
        <f>IF(ISNUMBER(namespace_raw[[#This Row],[Column5]]), namespace_raw[[#This Row],[Column5]]/1048576, "")</f>
        <v/>
      </c>
      <c r="E315" s="95" t="str">
        <f>IF(ISNUMBER(namespace_raw[[#This Row],[Column6]]), namespace_raw[[#This Row],[Column6]],"")</f>
        <v/>
      </c>
      <c r="F315" s="96" t="str">
        <f>IF(ISNUMBER(namespace_raw[[#This Row],[Column7]]), namespace_raw[[#This Row],[Column7]]/1048576,"")</f>
        <v/>
      </c>
      <c r="G315" s="122" t="str">
        <f>IF(ISNUMBER(namespace_raw[[#This Row],[Column8]]), namespace_raw[[#This Row],[Column8]],"")</f>
        <v/>
      </c>
      <c r="H315" s="123" t="str">
        <f>IF(ISNUMBER(namespace_raw[[#This Row],[Column9]]), namespace_raw[[#This Row],[Column9]]/1048576,"")</f>
        <v/>
      </c>
      <c r="I315" s="124" t="str">
        <f>IF(ISNUMBER(namespace_raw[[#This Row],[Column8]]),MAX(G315, M315, O315, $I$2,IF(Q315&lt;&gt;"",VALUE(Q315),0)), "")</f>
        <v/>
      </c>
      <c r="J315" s="125" t="str">
        <f>IF(ISNUMBER(namespace_raw[[#This Row],[Column9]]),MAX(H315, N315, P315, $J$2,IF(R315&lt;&gt;"",VALUE(R315),0)),"")</f>
        <v/>
      </c>
      <c r="K315" s="166" t="str">
        <f>IF(ISNUMBER(namespace_raw[[#This Row],[Column12]]), namespace_raw[[#This Row],[Column12]],"")</f>
        <v/>
      </c>
      <c r="L315" s="167" t="str">
        <f>IF(ISNUMBER(namespace_raw[[#This Row],[Column13]]), namespace_raw[[#This Row],[Column13]]/1048576,"")</f>
        <v/>
      </c>
      <c r="M315" s="168" t="str">
        <f>IF(ISNUMBER(namespace_raw[[#This Row],[Column10]]), (namespace_raw[[#This Row],[Column10]]*(1+$M$2)),"")</f>
        <v/>
      </c>
      <c r="N315" s="167" t="str">
        <f>IF(ISNUMBER(namespace_raw[[#This Row],[Column11]]), (namespace_raw[[#This Row],[Column11]]*(1+$N$2))/1048576,"")</f>
        <v/>
      </c>
      <c r="O315" s="169" t="str">
        <f>IF(ISNUMBER(namespace_raw[[#This Row],[Column8]]), (E315  * $O$2),"")</f>
        <v/>
      </c>
      <c r="P315" s="170" t="str">
        <f>IF(ISNUMBER(namespace_raw[[#This Row],[Column8]]), (F315  * $P$2),"")</f>
        <v/>
      </c>
    </row>
    <row r="316" spans="1:16" ht="15" customHeight="1" x14ac:dyDescent="0.25">
      <c r="A316" s="32" t="str">
        <f>IF(ISNONTEXT(namespace_raw[[#This Row],[Column1]]), "", namespace_raw[[#This Row],[Column1]])</f>
        <v/>
      </c>
      <c r="B316" s="33" t="str">
        <f>IF(ISNONTEXT(namespace_raw[[#This Row],[Column2]]), "", namespace_raw[[#This Row],[Column2]])</f>
        <v/>
      </c>
      <c r="C316" s="94" t="str">
        <f>IF(ISNUMBER(namespace_raw[[#This Row],[Column4]]), namespace_raw[[#This Row],[Column4]], "")</f>
        <v/>
      </c>
      <c r="D316" s="95" t="str">
        <f>IF(ISNUMBER(namespace_raw[[#This Row],[Column5]]), namespace_raw[[#This Row],[Column5]]/1048576, "")</f>
        <v/>
      </c>
      <c r="E316" s="95" t="str">
        <f>IF(ISNUMBER(namespace_raw[[#This Row],[Column6]]), namespace_raw[[#This Row],[Column6]],"")</f>
        <v/>
      </c>
      <c r="F316" s="96" t="str">
        <f>IF(ISNUMBER(namespace_raw[[#This Row],[Column7]]), namespace_raw[[#This Row],[Column7]]/1048576,"")</f>
        <v/>
      </c>
      <c r="G316" s="122" t="str">
        <f>IF(ISNUMBER(namespace_raw[[#This Row],[Column8]]), namespace_raw[[#This Row],[Column8]],"")</f>
        <v/>
      </c>
      <c r="H316" s="123" t="str">
        <f>IF(ISNUMBER(namespace_raw[[#This Row],[Column9]]), namespace_raw[[#This Row],[Column9]]/1048576,"")</f>
        <v/>
      </c>
      <c r="I316" s="124" t="str">
        <f>IF(ISNUMBER(namespace_raw[[#This Row],[Column8]]),MAX(G316, M316, O316, $I$2,IF(Q316&lt;&gt;"",VALUE(Q316),0)), "")</f>
        <v/>
      </c>
      <c r="J316" s="125" t="str">
        <f>IF(ISNUMBER(namespace_raw[[#This Row],[Column9]]),MAX(H316, N316, P316, $J$2,IF(R316&lt;&gt;"",VALUE(R316),0)),"")</f>
        <v/>
      </c>
      <c r="K316" s="166" t="str">
        <f>IF(ISNUMBER(namespace_raw[[#This Row],[Column12]]), namespace_raw[[#This Row],[Column12]],"")</f>
        <v/>
      </c>
      <c r="L316" s="167" t="str">
        <f>IF(ISNUMBER(namespace_raw[[#This Row],[Column13]]), namespace_raw[[#This Row],[Column13]]/1048576,"")</f>
        <v/>
      </c>
      <c r="M316" s="168" t="str">
        <f>IF(ISNUMBER(namespace_raw[[#This Row],[Column10]]), (namespace_raw[[#This Row],[Column10]]*(1+$M$2)),"")</f>
        <v/>
      </c>
      <c r="N316" s="167" t="str">
        <f>IF(ISNUMBER(namespace_raw[[#This Row],[Column11]]), (namespace_raw[[#This Row],[Column11]]*(1+$N$2))/1048576,"")</f>
        <v/>
      </c>
      <c r="O316" s="169" t="str">
        <f>IF(ISNUMBER(namespace_raw[[#This Row],[Column8]]), (E316  * $O$2),"")</f>
        <v/>
      </c>
      <c r="P316" s="170" t="str">
        <f>IF(ISNUMBER(namespace_raw[[#This Row],[Column8]]), (F316  * $P$2),"")</f>
        <v/>
      </c>
    </row>
    <row r="317" spans="1:16" ht="15" customHeight="1" x14ac:dyDescent="0.25">
      <c r="A317" s="32" t="str">
        <f>IF(ISNONTEXT(namespace_raw[[#This Row],[Column1]]), "", namespace_raw[[#This Row],[Column1]])</f>
        <v/>
      </c>
      <c r="B317" s="33" t="str">
        <f>IF(ISNONTEXT(namespace_raw[[#This Row],[Column2]]), "", namespace_raw[[#This Row],[Column2]])</f>
        <v/>
      </c>
      <c r="C317" s="94" t="str">
        <f>IF(ISNUMBER(namespace_raw[[#This Row],[Column4]]), namespace_raw[[#This Row],[Column4]], "")</f>
        <v/>
      </c>
      <c r="D317" s="95" t="str">
        <f>IF(ISNUMBER(namespace_raw[[#This Row],[Column5]]), namespace_raw[[#This Row],[Column5]]/1048576, "")</f>
        <v/>
      </c>
      <c r="E317" s="95" t="str">
        <f>IF(ISNUMBER(namespace_raw[[#This Row],[Column6]]), namespace_raw[[#This Row],[Column6]],"")</f>
        <v/>
      </c>
      <c r="F317" s="96" t="str">
        <f>IF(ISNUMBER(namespace_raw[[#This Row],[Column7]]), namespace_raw[[#This Row],[Column7]]/1048576,"")</f>
        <v/>
      </c>
      <c r="G317" s="122" t="str">
        <f>IF(ISNUMBER(namespace_raw[[#This Row],[Column8]]), namespace_raw[[#This Row],[Column8]],"")</f>
        <v/>
      </c>
      <c r="H317" s="123" t="str">
        <f>IF(ISNUMBER(namespace_raw[[#This Row],[Column9]]), namespace_raw[[#This Row],[Column9]]/1048576,"")</f>
        <v/>
      </c>
      <c r="I317" s="124" t="str">
        <f>IF(ISNUMBER(namespace_raw[[#This Row],[Column8]]),MAX(G317, M317, O317, $I$2,IF(Q317&lt;&gt;"",VALUE(Q317),0)), "")</f>
        <v/>
      </c>
      <c r="J317" s="125" t="str">
        <f>IF(ISNUMBER(namespace_raw[[#This Row],[Column9]]),MAX(H317, N317, P317, $J$2,IF(R317&lt;&gt;"",VALUE(R317),0)),"")</f>
        <v/>
      </c>
      <c r="K317" s="166" t="str">
        <f>IF(ISNUMBER(namespace_raw[[#This Row],[Column12]]), namespace_raw[[#This Row],[Column12]],"")</f>
        <v/>
      </c>
      <c r="L317" s="167" t="str">
        <f>IF(ISNUMBER(namespace_raw[[#This Row],[Column13]]), namespace_raw[[#This Row],[Column13]]/1048576,"")</f>
        <v/>
      </c>
      <c r="M317" s="168" t="str">
        <f>IF(ISNUMBER(namespace_raw[[#This Row],[Column10]]), (namespace_raw[[#This Row],[Column10]]*(1+$M$2)),"")</f>
        <v/>
      </c>
      <c r="N317" s="167" t="str">
        <f>IF(ISNUMBER(namespace_raw[[#This Row],[Column11]]), (namespace_raw[[#This Row],[Column11]]*(1+$N$2))/1048576,"")</f>
        <v/>
      </c>
      <c r="O317" s="169" t="str">
        <f>IF(ISNUMBER(namespace_raw[[#This Row],[Column8]]), (E317  * $O$2),"")</f>
        <v/>
      </c>
      <c r="P317" s="170" t="str">
        <f>IF(ISNUMBER(namespace_raw[[#This Row],[Column8]]), (F317  * $P$2),"")</f>
        <v/>
      </c>
    </row>
    <row r="318" spans="1:16" ht="15" customHeight="1" x14ac:dyDescent="0.25">
      <c r="A318" s="32" t="str">
        <f>IF(ISNONTEXT(namespace_raw[[#This Row],[Column1]]), "", namespace_raw[[#This Row],[Column1]])</f>
        <v/>
      </c>
      <c r="B318" s="33" t="str">
        <f>IF(ISNONTEXT(namespace_raw[[#This Row],[Column2]]), "", namespace_raw[[#This Row],[Column2]])</f>
        <v/>
      </c>
      <c r="C318" s="94" t="str">
        <f>IF(ISNUMBER(namespace_raw[[#This Row],[Column4]]), namespace_raw[[#This Row],[Column4]], "")</f>
        <v/>
      </c>
      <c r="D318" s="95" t="str">
        <f>IF(ISNUMBER(namespace_raw[[#This Row],[Column5]]), namespace_raw[[#This Row],[Column5]]/1048576, "")</f>
        <v/>
      </c>
      <c r="E318" s="95" t="str">
        <f>IF(ISNUMBER(namespace_raw[[#This Row],[Column6]]), namespace_raw[[#This Row],[Column6]],"")</f>
        <v/>
      </c>
      <c r="F318" s="96" t="str">
        <f>IF(ISNUMBER(namespace_raw[[#This Row],[Column7]]), namespace_raw[[#This Row],[Column7]]/1048576,"")</f>
        <v/>
      </c>
      <c r="G318" s="122" t="str">
        <f>IF(ISNUMBER(namespace_raw[[#This Row],[Column8]]), namespace_raw[[#This Row],[Column8]],"")</f>
        <v/>
      </c>
      <c r="H318" s="123" t="str">
        <f>IF(ISNUMBER(namespace_raw[[#This Row],[Column9]]), namespace_raw[[#This Row],[Column9]]/1048576,"")</f>
        <v/>
      </c>
      <c r="I318" s="124" t="str">
        <f>IF(ISNUMBER(namespace_raw[[#This Row],[Column8]]),MAX(G318, M318, O318, $I$2,IF(Q318&lt;&gt;"",VALUE(Q318),0)), "")</f>
        <v/>
      </c>
      <c r="J318" s="125" t="str">
        <f>IF(ISNUMBER(namespace_raw[[#This Row],[Column9]]),MAX(H318, N318, P318, $J$2,IF(R318&lt;&gt;"",VALUE(R318),0)),"")</f>
        <v/>
      </c>
      <c r="K318" s="166" t="str">
        <f>IF(ISNUMBER(namespace_raw[[#This Row],[Column12]]), namespace_raw[[#This Row],[Column12]],"")</f>
        <v/>
      </c>
      <c r="L318" s="167" t="str">
        <f>IF(ISNUMBER(namespace_raw[[#This Row],[Column13]]), namespace_raw[[#This Row],[Column13]]/1048576,"")</f>
        <v/>
      </c>
      <c r="M318" s="168" t="str">
        <f>IF(ISNUMBER(namespace_raw[[#This Row],[Column10]]), (namespace_raw[[#This Row],[Column10]]*(1+$M$2)),"")</f>
        <v/>
      </c>
      <c r="N318" s="167" t="str">
        <f>IF(ISNUMBER(namespace_raw[[#This Row],[Column11]]), (namespace_raw[[#This Row],[Column11]]*(1+$N$2))/1048576,"")</f>
        <v/>
      </c>
      <c r="O318" s="169" t="str">
        <f>IF(ISNUMBER(namespace_raw[[#This Row],[Column8]]), (E318  * $O$2),"")</f>
        <v/>
      </c>
      <c r="P318" s="170" t="str">
        <f>IF(ISNUMBER(namespace_raw[[#This Row],[Column8]]), (F318  * $P$2),"")</f>
        <v/>
      </c>
    </row>
    <row r="319" spans="1:16" ht="15" customHeight="1" x14ac:dyDescent="0.25">
      <c r="A319" s="32" t="str">
        <f>IF(ISNONTEXT(namespace_raw[[#This Row],[Column1]]), "", namespace_raw[[#This Row],[Column1]])</f>
        <v/>
      </c>
      <c r="B319" s="33" t="str">
        <f>IF(ISNONTEXT(namespace_raw[[#This Row],[Column2]]), "", namespace_raw[[#This Row],[Column2]])</f>
        <v/>
      </c>
      <c r="C319" s="94" t="str">
        <f>IF(ISNUMBER(namespace_raw[[#This Row],[Column4]]), namespace_raw[[#This Row],[Column4]], "")</f>
        <v/>
      </c>
      <c r="D319" s="95" t="str">
        <f>IF(ISNUMBER(namespace_raw[[#This Row],[Column5]]), namespace_raw[[#This Row],[Column5]]/1048576, "")</f>
        <v/>
      </c>
      <c r="E319" s="95" t="str">
        <f>IF(ISNUMBER(namespace_raw[[#This Row],[Column6]]), namespace_raw[[#This Row],[Column6]],"")</f>
        <v/>
      </c>
      <c r="F319" s="96" t="str">
        <f>IF(ISNUMBER(namespace_raw[[#This Row],[Column7]]), namespace_raw[[#This Row],[Column7]]/1048576,"")</f>
        <v/>
      </c>
      <c r="G319" s="122" t="str">
        <f>IF(ISNUMBER(namespace_raw[[#This Row],[Column8]]), namespace_raw[[#This Row],[Column8]],"")</f>
        <v/>
      </c>
      <c r="H319" s="123" t="str">
        <f>IF(ISNUMBER(namespace_raw[[#This Row],[Column9]]), namespace_raw[[#This Row],[Column9]]/1048576,"")</f>
        <v/>
      </c>
      <c r="I319" s="124" t="str">
        <f>IF(ISNUMBER(namespace_raw[[#This Row],[Column8]]),MAX(G319, M319, O319, $I$2,IF(Q319&lt;&gt;"",VALUE(Q319),0)), "")</f>
        <v/>
      </c>
      <c r="J319" s="125" t="str">
        <f>IF(ISNUMBER(namespace_raw[[#This Row],[Column9]]),MAX(H319, N319, P319, $J$2,IF(R319&lt;&gt;"",VALUE(R319),0)),"")</f>
        <v/>
      </c>
      <c r="K319" s="166" t="str">
        <f>IF(ISNUMBER(namespace_raw[[#This Row],[Column12]]), namespace_raw[[#This Row],[Column12]],"")</f>
        <v/>
      </c>
      <c r="L319" s="167" t="str">
        <f>IF(ISNUMBER(namespace_raw[[#This Row],[Column13]]), namespace_raw[[#This Row],[Column13]]/1048576,"")</f>
        <v/>
      </c>
      <c r="M319" s="168" t="str">
        <f>IF(ISNUMBER(namespace_raw[[#This Row],[Column10]]), (namespace_raw[[#This Row],[Column10]]*(1+$M$2)),"")</f>
        <v/>
      </c>
      <c r="N319" s="167" t="str">
        <f>IF(ISNUMBER(namespace_raw[[#This Row],[Column11]]), (namespace_raw[[#This Row],[Column11]]*(1+$N$2))/1048576,"")</f>
        <v/>
      </c>
      <c r="O319" s="169" t="str">
        <f>IF(ISNUMBER(namespace_raw[[#This Row],[Column8]]), (E319  * $O$2),"")</f>
        <v/>
      </c>
      <c r="P319" s="170" t="str">
        <f>IF(ISNUMBER(namespace_raw[[#This Row],[Column8]]), (F319  * $P$2),"")</f>
        <v/>
      </c>
    </row>
    <row r="320" spans="1:16" ht="15" customHeight="1" x14ac:dyDescent="0.25">
      <c r="A320" s="32" t="str">
        <f>IF(ISNONTEXT(namespace_raw[[#This Row],[Column1]]), "", namespace_raw[[#This Row],[Column1]])</f>
        <v/>
      </c>
      <c r="B320" s="33" t="str">
        <f>IF(ISNONTEXT(namespace_raw[[#This Row],[Column2]]), "", namespace_raw[[#This Row],[Column2]])</f>
        <v/>
      </c>
      <c r="C320" s="94" t="str">
        <f>IF(ISNUMBER(namespace_raw[[#This Row],[Column4]]), namespace_raw[[#This Row],[Column4]], "")</f>
        <v/>
      </c>
      <c r="D320" s="95" t="str">
        <f>IF(ISNUMBER(namespace_raw[[#This Row],[Column5]]), namespace_raw[[#This Row],[Column5]]/1048576, "")</f>
        <v/>
      </c>
      <c r="E320" s="95" t="str">
        <f>IF(ISNUMBER(namespace_raw[[#This Row],[Column6]]), namespace_raw[[#This Row],[Column6]],"")</f>
        <v/>
      </c>
      <c r="F320" s="96" t="str">
        <f>IF(ISNUMBER(namespace_raw[[#This Row],[Column7]]), namespace_raw[[#This Row],[Column7]]/1048576,"")</f>
        <v/>
      </c>
      <c r="G320" s="122" t="str">
        <f>IF(ISNUMBER(namespace_raw[[#This Row],[Column8]]), namespace_raw[[#This Row],[Column8]],"")</f>
        <v/>
      </c>
      <c r="H320" s="123" t="str">
        <f>IF(ISNUMBER(namespace_raw[[#This Row],[Column9]]), namespace_raw[[#This Row],[Column9]]/1048576,"")</f>
        <v/>
      </c>
      <c r="I320" s="124" t="str">
        <f>IF(ISNUMBER(namespace_raw[[#This Row],[Column8]]),MAX(G320, M320, O320, $I$2,IF(Q320&lt;&gt;"",VALUE(Q320),0)), "")</f>
        <v/>
      </c>
      <c r="J320" s="125" t="str">
        <f>IF(ISNUMBER(namespace_raw[[#This Row],[Column9]]),MAX(H320, N320, P320, $J$2,IF(R320&lt;&gt;"",VALUE(R320),0)),"")</f>
        <v/>
      </c>
      <c r="K320" s="166" t="str">
        <f>IF(ISNUMBER(namespace_raw[[#This Row],[Column12]]), namespace_raw[[#This Row],[Column12]],"")</f>
        <v/>
      </c>
      <c r="L320" s="167" t="str">
        <f>IF(ISNUMBER(namespace_raw[[#This Row],[Column13]]), namespace_raw[[#This Row],[Column13]]/1048576,"")</f>
        <v/>
      </c>
      <c r="M320" s="168" t="str">
        <f>IF(ISNUMBER(namespace_raw[[#This Row],[Column10]]), (namespace_raw[[#This Row],[Column10]]*(1+$M$2)),"")</f>
        <v/>
      </c>
      <c r="N320" s="167" t="str">
        <f>IF(ISNUMBER(namespace_raw[[#This Row],[Column11]]), (namespace_raw[[#This Row],[Column11]]*(1+$N$2))/1048576,"")</f>
        <v/>
      </c>
      <c r="O320" s="169" t="str">
        <f>IF(ISNUMBER(namespace_raw[[#This Row],[Column8]]), (E320  * $O$2),"")</f>
        <v/>
      </c>
      <c r="P320" s="170" t="str">
        <f>IF(ISNUMBER(namespace_raw[[#This Row],[Column8]]), (F320  * $P$2),"")</f>
        <v/>
      </c>
    </row>
    <row r="321" spans="1:16" ht="15" customHeight="1" x14ac:dyDescent="0.25">
      <c r="A321" s="32" t="str">
        <f>IF(ISNONTEXT(namespace_raw[[#This Row],[Column1]]), "", namespace_raw[[#This Row],[Column1]])</f>
        <v/>
      </c>
      <c r="B321" s="33" t="str">
        <f>IF(ISNONTEXT(namespace_raw[[#This Row],[Column2]]), "", namespace_raw[[#This Row],[Column2]])</f>
        <v/>
      </c>
      <c r="C321" s="94" t="str">
        <f>IF(ISNUMBER(namespace_raw[[#This Row],[Column4]]), namespace_raw[[#This Row],[Column4]], "")</f>
        <v/>
      </c>
      <c r="D321" s="95" t="str">
        <f>IF(ISNUMBER(namespace_raw[[#This Row],[Column5]]), namespace_raw[[#This Row],[Column5]]/1048576, "")</f>
        <v/>
      </c>
      <c r="E321" s="95" t="str">
        <f>IF(ISNUMBER(namespace_raw[[#This Row],[Column6]]), namespace_raw[[#This Row],[Column6]],"")</f>
        <v/>
      </c>
      <c r="F321" s="96" t="str">
        <f>IF(ISNUMBER(namespace_raw[[#This Row],[Column7]]), namespace_raw[[#This Row],[Column7]]/1048576,"")</f>
        <v/>
      </c>
      <c r="G321" s="122" t="str">
        <f>IF(ISNUMBER(namespace_raw[[#This Row],[Column8]]), namespace_raw[[#This Row],[Column8]],"")</f>
        <v/>
      </c>
      <c r="H321" s="123" t="str">
        <f>IF(ISNUMBER(namespace_raw[[#This Row],[Column9]]), namespace_raw[[#This Row],[Column9]]/1048576,"")</f>
        <v/>
      </c>
      <c r="I321" s="124" t="str">
        <f>IF(ISNUMBER(namespace_raw[[#This Row],[Column8]]),MAX(G321, M321, O321, $I$2,IF(Q321&lt;&gt;"",VALUE(Q321),0)), "")</f>
        <v/>
      </c>
      <c r="J321" s="125" t="str">
        <f>IF(ISNUMBER(namespace_raw[[#This Row],[Column9]]),MAX(H321, N321, P321, $J$2,IF(R321&lt;&gt;"",VALUE(R321),0)),"")</f>
        <v/>
      </c>
      <c r="K321" s="166" t="str">
        <f>IF(ISNUMBER(namespace_raw[[#This Row],[Column12]]), namespace_raw[[#This Row],[Column12]],"")</f>
        <v/>
      </c>
      <c r="L321" s="167" t="str">
        <f>IF(ISNUMBER(namespace_raw[[#This Row],[Column13]]), namespace_raw[[#This Row],[Column13]]/1048576,"")</f>
        <v/>
      </c>
      <c r="M321" s="168" t="str">
        <f>IF(ISNUMBER(namespace_raw[[#This Row],[Column10]]), (namespace_raw[[#This Row],[Column10]]*(1+$M$2)),"")</f>
        <v/>
      </c>
      <c r="N321" s="167" t="str">
        <f>IF(ISNUMBER(namespace_raw[[#This Row],[Column11]]), (namespace_raw[[#This Row],[Column11]]*(1+$N$2))/1048576,"")</f>
        <v/>
      </c>
      <c r="O321" s="169" t="str">
        <f>IF(ISNUMBER(namespace_raw[[#This Row],[Column8]]), (E321  * $O$2),"")</f>
        <v/>
      </c>
      <c r="P321" s="170" t="str">
        <f>IF(ISNUMBER(namespace_raw[[#This Row],[Column8]]), (F321  * $P$2),"")</f>
        <v/>
      </c>
    </row>
    <row r="322" spans="1:16" ht="15" customHeight="1" x14ac:dyDescent="0.25">
      <c r="A322" s="32" t="str">
        <f>IF(ISNONTEXT(namespace_raw[[#This Row],[Column1]]), "", namespace_raw[[#This Row],[Column1]])</f>
        <v/>
      </c>
      <c r="B322" s="33" t="str">
        <f>IF(ISNONTEXT(namespace_raw[[#This Row],[Column2]]), "", namespace_raw[[#This Row],[Column2]])</f>
        <v/>
      </c>
      <c r="C322" s="94" t="str">
        <f>IF(ISNUMBER(namespace_raw[[#This Row],[Column4]]), namespace_raw[[#This Row],[Column4]], "")</f>
        <v/>
      </c>
      <c r="D322" s="95" t="str">
        <f>IF(ISNUMBER(namespace_raw[[#This Row],[Column5]]), namespace_raw[[#This Row],[Column5]]/1048576, "")</f>
        <v/>
      </c>
      <c r="E322" s="95" t="str">
        <f>IF(ISNUMBER(namespace_raw[[#This Row],[Column6]]), namespace_raw[[#This Row],[Column6]],"")</f>
        <v/>
      </c>
      <c r="F322" s="96" t="str">
        <f>IF(ISNUMBER(namespace_raw[[#This Row],[Column7]]), namespace_raw[[#This Row],[Column7]]/1048576,"")</f>
        <v/>
      </c>
      <c r="G322" s="122" t="str">
        <f>IF(ISNUMBER(namespace_raw[[#This Row],[Column8]]), namespace_raw[[#This Row],[Column8]],"")</f>
        <v/>
      </c>
      <c r="H322" s="123" t="str">
        <f>IF(ISNUMBER(namespace_raw[[#This Row],[Column9]]), namespace_raw[[#This Row],[Column9]]/1048576,"")</f>
        <v/>
      </c>
      <c r="I322" s="124" t="str">
        <f>IF(ISNUMBER(namespace_raw[[#This Row],[Column8]]),MAX(G322, M322, O322, $I$2,IF(Q322&lt;&gt;"",VALUE(Q322),0)), "")</f>
        <v/>
      </c>
      <c r="J322" s="125" t="str">
        <f>IF(ISNUMBER(namespace_raw[[#This Row],[Column9]]),MAX(H322, N322, P322, $J$2,IF(R322&lt;&gt;"",VALUE(R322),0)),"")</f>
        <v/>
      </c>
      <c r="K322" s="166" t="str">
        <f>IF(ISNUMBER(namespace_raw[[#This Row],[Column12]]), namespace_raw[[#This Row],[Column12]],"")</f>
        <v/>
      </c>
      <c r="L322" s="167" t="str">
        <f>IF(ISNUMBER(namespace_raw[[#This Row],[Column13]]), namespace_raw[[#This Row],[Column13]]/1048576,"")</f>
        <v/>
      </c>
      <c r="M322" s="168" t="str">
        <f>IF(ISNUMBER(namespace_raw[[#This Row],[Column10]]), (namespace_raw[[#This Row],[Column10]]*(1+$M$2)),"")</f>
        <v/>
      </c>
      <c r="N322" s="167" t="str">
        <f>IF(ISNUMBER(namespace_raw[[#This Row],[Column11]]), (namespace_raw[[#This Row],[Column11]]*(1+$N$2))/1048576,"")</f>
        <v/>
      </c>
      <c r="O322" s="169" t="str">
        <f>IF(ISNUMBER(namespace_raw[[#This Row],[Column8]]), (E322  * $O$2),"")</f>
        <v/>
      </c>
      <c r="P322" s="170" t="str">
        <f>IF(ISNUMBER(namespace_raw[[#This Row],[Column8]]), (F322  * $P$2),"")</f>
        <v/>
      </c>
    </row>
    <row r="323" spans="1:16" ht="15" customHeight="1" x14ac:dyDescent="0.25">
      <c r="A323" s="32" t="str">
        <f>IF(ISNONTEXT(namespace_raw[[#This Row],[Column1]]), "", namespace_raw[[#This Row],[Column1]])</f>
        <v/>
      </c>
      <c r="B323" s="33" t="str">
        <f>IF(ISNONTEXT(namespace_raw[[#This Row],[Column2]]), "", namespace_raw[[#This Row],[Column2]])</f>
        <v/>
      </c>
      <c r="C323" s="94" t="str">
        <f>IF(ISNUMBER(namespace_raw[[#This Row],[Column4]]), namespace_raw[[#This Row],[Column4]], "")</f>
        <v/>
      </c>
      <c r="D323" s="95" t="str">
        <f>IF(ISNUMBER(namespace_raw[[#This Row],[Column5]]), namespace_raw[[#This Row],[Column5]]/1048576, "")</f>
        <v/>
      </c>
      <c r="E323" s="95" t="str">
        <f>IF(ISNUMBER(namespace_raw[[#This Row],[Column6]]), namespace_raw[[#This Row],[Column6]],"")</f>
        <v/>
      </c>
      <c r="F323" s="96" t="str">
        <f>IF(ISNUMBER(namespace_raw[[#This Row],[Column7]]), namespace_raw[[#This Row],[Column7]]/1048576,"")</f>
        <v/>
      </c>
      <c r="G323" s="122" t="str">
        <f>IF(ISNUMBER(namespace_raw[[#This Row],[Column8]]), namespace_raw[[#This Row],[Column8]],"")</f>
        <v/>
      </c>
      <c r="H323" s="123" t="str">
        <f>IF(ISNUMBER(namespace_raw[[#This Row],[Column9]]), namespace_raw[[#This Row],[Column9]]/1048576,"")</f>
        <v/>
      </c>
      <c r="I323" s="124" t="str">
        <f>IF(ISNUMBER(namespace_raw[[#This Row],[Column8]]),MAX(G323, M323, O323, $I$2,IF(Q323&lt;&gt;"",VALUE(Q323),0)), "")</f>
        <v/>
      </c>
      <c r="J323" s="125" t="str">
        <f>IF(ISNUMBER(namespace_raw[[#This Row],[Column9]]),MAX(H323, N323, P323, $J$2,IF(R323&lt;&gt;"",VALUE(R323),0)),"")</f>
        <v/>
      </c>
      <c r="K323" s="166" t="str">
        <f>IF(ISNUMBER(namespace_raw[[#This Row],[Column12]]), namespace_raw[[#This Row],[Column12]],"")</f>
        <v/>
      </c>
      <c r="L323" s="167" t="str">
        <f>IF(ISNUMBER(namespace_raw[[#This Row],[Column13]]), namespace_raw[[#This Row],[Column13]]/1048576,"")</f>
        <v/>
      </c>
      <c r="M323" s="168" t="str">
        <f>IF(ISNUMBER(namespace_raw[[#This Row],[Column10]]), (namespace_raw[[#This Row],[Column10]]*(1+$M$2)),"")</f>
        <v/>
      </c>
      <c r="N323" s="167" t="str">
        <f>IF(ISNUMBER(namespace_raw[[#This Row],[Column11]]), (namespace_raw[[#This Row],[Column11]]*(1+$N$2))/1048576,"")</f>
        <v/>
      </c>
      <c r="O323" s="169" t="str">
        <f>IF(ISNUMBER(namespace_raw[[#This Row],[Column8]]), (E323  * $O$2),"")</f>
        <v/>
      </c>
      <c r="P323" s="170" t="str">
        <f>IF(ISNUMBER(namespace_raw[[#This Row],[Column8]]), (F323  * $P$2),"")</f>
        <v/>
      </c>
    </row>
    <row r="324" spans="1:16" ht="15" customHeight="1" x14ac:dyDescent="0.25">
      <c r="A324" s="32" t="str">
        <f>IF(ISNONTEXT(namespace_raw[[#This Row],[Column1]]), "", namespace_raw[[#This Row],[Column1]])</f>
        <v/>
      </c>
      <c r="B324" s="33" t="str">
        <f>IF(ISNONTEXT(namespace_raw[[#This Row],[Column2]]), "", namespace_raw[[#This Row],[Column2]])</f>
        <v/>
      </c>
      <c r="C324" s="94" t="str">
        <f>IF(ISNUMBER(namespace_raw[[#This Row],[Column4]]), namespace_raw[[#This Row],[Column4]], "")</f>
        <v/>
      </c>
      <c r="D324" s="95" t="str">
        <f>IF(ISNUMBER(namespace_raw[[#This Row],[Column5]]), namespace_raw[[#This Row],[Column5]]/1048576, "")</f>
        <v/>
      </c>
      <c r="E324" s="95" t="str">
        <f>IF(ISNUMBER(namespace_raw[[#This Row],[Column6]]), namespace_raw[[#This Row],[Column6]],"")</f>
        <v/>
      </c>
      <c r="F324" s="96" t="str">
        <f>IF(ISNUMBER(namespace_raw[[#This Row],[Column7]]), namespace_raw[[#This Row],[Column7]]/1048576,"")</f>
        <v/>
      </c>
      <c r="G324" s="122" t="str">
        <f>IF(ISNUMBER(namespace_raw[[#This Row],[Column8]]), namespace_raw[[#This Row],[Column8]],"")</f>
        <v/>
      </c>
      <c r="H324" s="123" t="str">
        <f>IF(ISNUMBER(namespace_raw[[#This Row],[Column9]]), namespace_raw[[#This Row],[Column9]]/1048576,"")</f>
        <v/>
      </c>
      <c r="I324" s="124" t="str">
        <f>IF(ISNUMBER(namespace_raw[[#This Row],[Column8]]),MAX(G324, M324, O324, $I$2,IF(Q324&lt;&gt;"",VALUE(Q324),0)), "")</f>
        <v/>
      </c>
      <c r="J324" s="125" t="str">
        <f>IF(ISNUMBER(namespace_raw[[#This Row],[Column9]]),MAX(H324, N324, P324, $J$2,IF(R324&lt;&gt;"",VALUE(R324),0)),"")</f>
        <v/>
      </c>
      <c r="K324" s="166" t="str">
        <f>IF(ISNUMBER(namespace_raw[[#This Row],[Column12]]), namespace_raw[[#This Row],[Column12]],"")</f>
        <v/>
      </c>
      <c r="L324" s="167" t="str">
        <f>IF(ISNUMBER(namespace_raw[[#This Row],[Column13]]), namespace_raw[[#This Row],[Column13]]/1048576,"")</f>
        <v/>
      </c>
      <c r="M324" s="168" t="str">
        <f>IF(ISNUMBER(namespace_raw[[#This Row],[Column10]]), (namespace_raw[[#This Row],[Column10]]*(1+$M$2)),"")</f>
        <v/>
      </c>
      <c r="N324" s="167" t="str">
        <f>IF(ISNUMBER(namespace_raw[[#This Row],[Column11]]), (namespace_raw[[#This Row],[Column11]]*(1+$N$2))/1048576,"")</f>
        <v/>
      </c>
      <c r="O324" s="169" t="str">
        <f>IF(ISNUMBER(namespace_raw[[#This Row],[Column8]]), (E324  * $O$2),"")</f>
        <v/>
      </c>
      <c r="P324" s="170" t="str">
        <f>IF(ISNUMBER(namespace_raw[[#This Row],[Column8]]), (F324  * $P$2),"")</f>
        <v/>
      </c>
    </row>
    <row r="325" spans="1:16" ht="15" customHeight="1" x14ac:dyDescent="0.25">
      <c r="A325" s="32" t="str">
        <f>IF(ISNONTEXT(namespace_raw[[#This Row],[Column1]]), "", namespace_raw[[#This Row],[Column1]])</f>
        <v/>
      </c>
      <c r="B325" s="33" t="str">
        <f>IF(ISNONTEXT(namespace_raw[[#This Row],[Column2]]), "", namespace_raw[[#This Row],[Column2]])</f>
        <v/>
      </c>
      <c r="C325" s="94" t="str">
        <f>IF(ISNUMBER(namespace_raw[[#This Row],[Column4]]), namespace_raw[[#This Row],[Column4]], "")</f>
        <v/>
      </c>
      <c r="D325" s="95" t="str">
        <f>IF(ISNUMBER(namespace_raw[[#This Row],[Column5]]), namespace_raw[[#This Row],[Column5]]/1048576, "")</f>
        <v/>
      </c>
      <c r="E325" s="95" t="str">
        <f>IF(ISNUMBER(namespace_raw[[#This Row],[Column6]]), namespace_raw[[#This Row],[Column6]],"")</f>
        <v/>
      </c>
      <c r="F325" s="96" t="str">
        <f>IF(ISNUMBER(namespace_raw[[#This Row],[Column7]]), namespace_raw[[#This Row],[Column7]]/1048576,"")</f>
        <v/>
      </c>
      <c r="G325" s="122" t="str">
        <f>IF(ISNUMBER(namespace_raw[[#This Row],[Column8]]), namespace_raw[[#This Row],[Column8]],"")</f>
        <v/>
      </c>
      <c r="H325" s="123" t="str">
        <f>IF(ISNUMBER(namespace_raw[[#This Row],[Column9]]), namespace_raw[[#This Row],[Column9]]/1048576,"")</f>
        <v/>
      </c>
      <c r="I325" s="124" t="str">
        <f>IF(ISNUMBER(namespace_raw[[#This Row],[Column8]]),MAX(G325, M325, O325, $I$2,IF(Q325&lt;&gt;"",VALUE(Q325),0)), "")</f>
        <v/>
      </c>
      <c r="J325" s="125" t="str">
        <f>IF(ISNUMBER(namespace_raw[[#This Row],[Column9]]),MAX(H325, N325, P325, $J$2,IF(R325&lt;&gt;"",VALUE(R325),0)),"")</f>
        <v/>
      </c>
      <c r="K325" s="166" t="str">
        <f>IF(ISNUMBER(namespace_raw[[#This Row],[Column12]]), namespace_raw[[#This Row],[Column12]],"")</f>
        <v/>
      </c>
      <c r="L325" s="167" t="str">
        <f>IF(ISNUMBER(namespace_raw[[#This Row],[Column13]]), namespace_raw[[#This Row],[Column13]]/1048576,"")</f>
        <v/>
      </c>
      <c r="M325" s="168" t="str">
        <f>IF(ISNUMBER(namespace_raw[[#This Row],[Column10]]), (namespace_raw[[#This Row],[Column10]]*(1+$M$2)),"")</f>
        <v/>
      </c>
      <c r="N325" s="167" t="str">
        <f>IF(ISNUMBER(namespace_raw[[#This Row],[Column11]]), (namespace_raw[[#This Row],[Column11]]*(1+$N$2))/1048576,"")</f>
        <v/>
      </c>
      <c r="O325" s="169" t="str">
        <f>IF(ISNUMBER(namespace_raw[[#This Row],[Column8]]), (E325  * $O$2),"")</f>
        <v/>
      </c>
      <c r="P325" s="170" t="str">
        <f>IF(ISNUMBER(namespace_raw[[#This Row],[Column8]]), (F325  * $P$2),"")</f>
        <v/>
      </c>
    </row>
    <row r="326" spans="1:16" ht="15" customHeight="1" x14ac:dyDescent="0.25">
      <c r="A326" s="32" t="str">
        <f>IF(ISNONTEXT(namespace_raw[[#This Row],[Column1]]), "", namespace_raw[[#This Row],[Column1]])</f>
        <v/>
      </c>
      <c r="B326" s="33" t="str">
        <f>IF(ISNONTEXT(namespace_raw[[#This Row],[Column2]]), "", namespace_raw[[#This Row],[Column2]])</f>
        <v/>
      </c>
      <c r="C326" s="94" t="str">
        <f>IF(ISNUMBER(namespace_raw[[#This Row],[Column4]]), namespace_raw[[#This Row],[Column4]], "")</f>
        <v/>
      </c>
      <c r="D326" s="95" t="str">
        <f>IF(ISNUMBER(namespace_raw[[#This Row],[Column5]]), namespace_raw[[#This Row],[Column5]]/1048576, "")</f>
        <v/>
      </c>
      <c r="E326" s="95" t="str">
        <f>IF(ISNUMBER(namespace_raw[[#This Row],[Column6]]), namespace_raw[[#This Row],[Column6]],"")</f>
        <v/>
      </c>
      <c r="F326" s="96" t="str">
        <f>IF(ISNUMBER(namespace_raw[[#This Row],[Column7]]), namespace_raw[[#This Row],[Column7]]/1048576,"")</f>
        <v/>
      </c>
      <c r="G326" s="122" t="str">
        <f>IF(ISNUMBER(namespace_raw[[#This Row],[Column8]]), namespace_raw[[#This Row],[Column8]],"")</f>
        <v/>
      </c>
      <c r="H326" s="123" t="str">
        <f>IF(ISNUMBER(namespace_raw[[#This Row],[Column9]]), namespace_raw[[#This Row],[Column9]]/1048576,"")</f>
        <v/>
      </c>
      <c r="I326" s="124" t="str">
        <f>IF(ISNUMBER(namespace_raw[[#This Row],[Column8]]),MAX(G326, M326, O326, $I$2,IF(Q326&lt;&gt;"",VALUE(Q326),0)), "")</f>
        <v/>
      </c>
      <c r="J326" s="125" t="str">
        <f>IF(ISNUMBER(namespace_raw[[#This Row],[Column9]]),MAX(H326, N326, P326, $J$2,IF(R326&lt;&gt;"",VALUE(R326),0)),"")</f>
        <v/>
      </c>
      <c r="K326" s="166" t="str">
        <f>IF(ISNUMBER(namespace_raw[[#This Row],[Column12]]), namespace_raw[[#This Row],[Column12]],"")</f>
        <v/>
      </c>
      <c r="L326" s="167" t="str">
        <f>IF(ISNUMBER(namespace_raw[[#This Row],[Column13]]), namespace_raw[[#This Row],[Column13]]/1048576,"")</f>
        <v/>
      </c>
      <c r="M326" s="168" t="str">
        <f>IF(ISNUMBER(namespace_raw[[#This Row],[Column10]]), (namespace_raw[[#This Row],[Column10]]*(1+$M$2)),"")</f>
        <v/>
      </c>
      <c r="N326" s="167" t="str">
        <f>IF(ISNUMBER(namespace_raw[[#This Row],[Column11]]), (namespace_raw[[#This Row],[Column11]]*(1+$N$2))/1048576,"")</f>
        <v/>
      </c>
      <c r="O326" s="169" t="str">
        <f>IF(ISNUMBER(namespace_raw[[#This Row],[Column8]]), (E326  * $O$2),"")</f>
        <v/>
      </c>
      <c r="P326" s="170" t="str">
        <f>IF(ISNUMBER(namespace_raw[[#This Row],[Column8]]), (F326  * $P$2),"")</f>
        <v/>
      </c>
    </row>
    <row r="327" spans="1:16" ht="15" customHeight="1" x14ac:dyDescent="0.25">
      <c r="A327" s="32" t="str">
        <f>IF(ISNONTEXT(namespace_raw[[#This Row],[Column1]]), "", namespace_raw[[#This Row],[Column1]])</f>
        <v/>
      </c>
      <c r="B327" s="33" t="str">
        <f>IF(ISNONTEXT(namespace_raw[[#This Row],[Column2]]), "", namespace_raw[[#This Row],[Column2]])</f>
        <v/>
      </c>
      <c r="C327" s="94" t="str">
        <f>IF(ISNUMBER(namespace_raw[[#This Row],[Column4]]), namespace_raw[[#This Row],[Column4]], "")</f>
        <v/>
      </c>
      <c r="D327" s="95" t="str">
        <f>IF(ISNUMBER(namespace_raw[[#This Row],[Column5]]), namespace_raw[[#This Row],[Column5]]/1048576, "")</f>
        <v/>
      </c>
      <c r="E327" s="95" t="str">
        <f>IF(ISNUMBER(namespace_raw[[#This Row],[Column6]]), namespace_raw[[#This Row],[Column6]],"")</f>
        <v/>
      </c>
      <c r="F327" s="96" t="str">
        <f>IF(ISNUMBER(namespace_raw[[#This Row],[Column7]]), namespace_raw[[#This Row],[Column7]]/1048576,"")</f>
        <v/>
      </c>
      <c r="G327" s="122" t="str">
        <f>IF(ISNUMBER(namespace_raw[[#This Row],[Column8]]), namespace_raw[[#This Row],[Column8]],"")</f>
        <v/>
      </c>
      <c r="H327" s="123" t="str">
        <f>IF(ISNUMBER(namespace_raw[[#This Row],[Column9]]), namespace_raw[[#This Row],[Column9]]/1048576,"")</f>
        <v/>
      </c>
      <c r="I327" s="124" t="str">
        <f>IF(ISNUMBER(namespace_raw[[#This Row],[Column8]]),MAX(G327, M327, O327, $I$2,IF(Q327&lt;&gt;"",VALUE(Q327),0)), "")</f>
        <v/>
      </c>
      <c r="J327" s="125" t="str">
        <f>IF(ISNUMBER(namespace_raw[[#This Row],[Column9]]),MAX(H327, N327, P327, $J$2,IF(R327&lt;&gt;"",VALUE(R327),0)),"")</f>
        <v/>
      </c>
      <c r="K327" s="166" t="str">
        <f>IF(ISNUMBER(namespace_raw[[#This Row],[Column12]]), namespace_raw[[#This Row],[Column12]],"")</f>
        <v/>
      </c>
      <c r="L327" s="167" t="str">
        <f>IF(ISNUMBER(namespace_raw[[#This Row],[Column13]]), namespace_raw[[#This Row],[Column13]]/1048576,"")</f>
        <v/>
      </c>
      <c r="M327" s="168" t="str">
        <f>IF(ISNUMBER(namespace_raw[[#This Row],[Column10]]), (namespace_raw[[#This Row],[Column10]]*(1+$M$2)),"")</f>
        <v/>
      </c>
      <c r="N327" s="167" t="str">
        <f>IF(ISNUMBER(namespace_raw[[#This Row],[Column11]]), (namespace_raw[[#This Row],[Column11]]*(1+$N$2))/1048576,"")</f>
        <v/>
      </c>
      <c r="O327" s="169" t="str">
        <f>IF(ISNUMBER(namespace_raw[[#This Row],[Column8]]), (E327  * $O$2),"")</f>
        <v/>
      </c>
      <c r="P327" s="170" t="str">
        <f>IF(ISNUMBER(namespace_raw[[#This Row],[Column8]]), (F327  * $P$2),"")</f>
        <v/>
      </c>
    </row>
    <row r="328" spans="1:16" ht="15" customHeight="1" x14ac:dyDescent="0.25">
      <c r="A328" s="32" t="str">
        <f>IF(ISNONTEXT(namespace_raw[[#This Row],[Column1]]), "", namespace_raw[[#This Row],[Column1]])</f>
        <v/>
      </c>
      <c r="B328" s="33" t="str">
        <f>IF(ISNONTEXT(namespace_raw[[#This Row],[Column2]]), "", namespace_raw[[#This Row],[Column2]])</f>
        <v/>
      </c>
      <c r="C328" s="94" t="str">
        <f>IF(ISNUMBER(namespace_raw[[#This Row],[Column4]]), namespace_raw[[#This Row],[Column4]], "")</f>
        <v/>
      </c>
      <c r="D328" s="95" t="str">
        <f>IF(ISNUMBER(namespace_raw[[#This Row],[Column5]]), namespace_raw[[#This Row],[Column5]]/1048576, "")</f>
        <v/>
      </c>
      <c r="E328" s="95" t="str">
        <f>IF(ISNUMBER(namespace_raw[[#This Row],[Column6]]), namespace_raw[[#This Row],[Column6]],"")</f>
        <v/>
      </c>
      <c r="F328" s="96" t="str">
        <f>IF(ISNUMBER(namespace_raw[[#This Row],[Column7]]), namespace_raw[[#This Row],[Column7]]/1048576,"")</f>
        <v/>
      </c>
      <c r="G328" s="122" t="str">
        <f>IF(ISNUMBER(namespace_raw[[#This Row],[Column8]]), namespace_raw[[#This Row],[Column8]],"")</f>
        <v/>
      </c>
      <c r="H328" s="123" t="str">
        <f>IF(ISNUMBER(namespace_raw[[#This Row],[Column9]]), namespace_raw[[#This Row],[Column9]]/1048576,"")</f>
        <v/>
      </c>
      <c r="I328" s="124" t="str">
        <f>IF(ISNUMBER(namespace_raw[[#This Row],[Column8]]),MAX(G328, M328, O328, $I$2,IF(Q328&lt;&gt;"",VALUE(Q328),0)), "")</f>
        <v/>
      </c>
      <c r="J328" s="125" t="str">
        <f>IF(ISNUMBER(namespace_raw[[#This Row],[Column9]]),MAX(H328, N328, P328, $J$2,IF(R328&lt;&gt;"",VALUE(R328),0)),"")</f>
        <v/>
      </c>
      <c r="K328" s="166" t="str">
        <f>IF(ISNUMBER(namespace_raw[[#This Row],[Column12]]), namespace_raw[[#This Row],[Column12]],"")</f>
        <v/>
      </c>
      <c r="L328" s="167" t="str">
        <f>IF(ISNUMBER(namespace_raw[[#This Row],[Column13]]), namespace_raw[[#This Row],[Column13]]/1048576,"")</f>
        <v/>
      </c>
      <c r="M328" s="168" t="str">
        <f>IF(ISNUMBER(namespace_raw[[#This Row],[Column10]]), (namespace_raw[[#This Row],[Column10]]*(1+$M$2)),"")</f>
        <v/>
      </c>
      <c r="N328" s="167" t="str">
        <f>IF(ISNUMBER(namespace_raw[[#This Row],[Column11]]), (namespace_raw[[#This Row],[Column11]]*(1+$N$2))/1048576,"")</f>
        <v/>
      </c>
      <c r="O328" s="169" t="str">
        <f>IF(ISNUMBER(namespace_raw[[#This Row],[Column8]]), (E328  * $O$2),"")</f>
        <v/>
      </c>
      <c r="P328" s="170" t="str">
        <f>IF(ISNUMBER(namespace_raw[[#This Row],[Column8]]), (F328  * $P$2),"")</f>
        <v/>
      </c>
    </row>
    <row r="329" spans="1:16" ht="15" customHeight="1" x14ac:dyDescent="0.25">
      <c r="A329" s="32" t="str">
        <f>IF(ISNONTEXT(namespace_raw[[#This Row],[Column1]]), "", namespace_raw[[#This Row],[Column1]])</f>
        <v/>
      </c>
      <c r="B329" s="33" t="str">
        <f>IF(ISNONTEXT(namespace_raw[[#This Row],[Column2]]), "", namespace_raw[[#This Row],[Column2]])</f>
        <v/>
      </c>
      <c r="C329" s="94" t="str">
        <f>IF(ISNUMBER(namespace_raw[[#This Row],[Column4]]), namespace_raw[[#This Row],[Column4]], "")</f>
        <v/>
      </c>
      <c r="D329" s="95" t="str">
        <f>IF(ISNUMBER(namespace_raw[[#This Row],[Column5]]), namespace_raw[[#This Row],[Column5]]/1048576, "")</f>
        <v/>
      </c>
      <c r="E329" s="95" t="str">
        <f>IF(ISNUMBER(namespace_raw[[#This Row],[Column6]]), namespace_raw[[#This Row],[Column6]],"")</f>
        <v/>
      </c>
      <c r="F329" s="96" t="str">
        <f>IF(ISNUMBER(namespace_raw[[#This Row],[Column7]]), namespace_raw[[#This Row],[Column7]]/1048576,"")</f>
        <v/>
      </c>
      <c r="G329" s="122" t="str">
        <f>IF(ISNUMBER(namespace_raw[[#This Row],[Column8]]), namespace_raw[[#This Row],[Column8]],"")</f>
        <v/>
      </c>
      <c r="H329" s="123" t="str">
        <f>IF(ISNUMBER(namespace_raw[[#This Row],[Column9]]), namespace_raw[[#This Row],[Column9]]/1048576,"")</f>
        <v/>
      </c>
      <c r="I329" s="124" t="str">
        <f>IF(ISNUMBER(namespace_raw[[#This Row],[Column8]]),MAX(G329, M329, O329, $I$2,IF(Q329&lt;&gt;"",VALUE(Q329),0)), "")</f>
        <v/>
      </c>
      <c r="J329" s="125" t="str">
        <f>IF(ISNUMBER(namespace_raw[[#This Row],[Column9]]),MAX(H329, N329, P329, $J$2,IF(R329&lt;&gt;"",VALUE(R329),0)),"")</f>
        <v/>
      </c>
      <c r="K329" s="166" t="str">
        <f>IF(ISNUMBER(namespace_raw[[#This Row],[Column12]]), namespace_raw[[#This Row],[Column12]],"")</f>
        <v/>
      </c>
      <c r="L329" s="167" t="str">
        <f>IF(ISNUMBER(namespace_raw[[#This Row],[Column13]]), namespace_raw[[#This Row],[Column13]]/1048576,"")</f>
        <v/>
      </c>
      <c r="M329" s="168" t="str">
        <f>IF(ISNUMBER(namespace_raw[[#This Row],[Column10]]), (namespace_raw[[#This Row],[Column10]]*(1+$M$2)),"")</f>
        <v/>
      </c>
      <c r="N329" s="167" t="str">
        <f>IF(ISNUMBER(namespace_raw[[#This Row],[Column11]]), (namespace_raw[[#This Row],[Column11]]*(1+$N$2))/1048576,"")</f>
        <v/>
      </c>
      <c r="O329" s="169" t="str">
        <f>IF(ISNUMBER(namespace_raw[[#This Row],[Column8]]), (E329  * $O$2),"")</f>
        <v/>
      </c>
      <c r="P329" s="170" t="str">
        <f>IF(ISNUMBER(namespace_raw[[#This Row],[Column8]]), (F329  * $P$2),"")</f>
        <v/>
      </c>
    </row>
    <row r="330" spans="1:16" ht="15" customHeight="1" x14ac:dyDescent="0.25">
      <c r="A330" s="32" t="str">
        <f>IF(ISNONTEXT(namespace_raw[[#This Row],[Column1]]), "", namespace_raw[[#This Row],[Column1]])</f>
        <v/>
      </c>
      <c r="B330" s="33" t="str">
        <f>IF(ISNONTEXT(namespace_raw[[#This Row],[Column2]]), "", namespace_raw[[#This Row],[Column2]])</f>
        <v/>
      </c>
      <c r="C330" s="94" t="str">
        <f>IF(ISNUMBER(namespace_raw[[#This Row],[Column4]]), namespace_raw[[#This Row],[Column4]], "")</f>
        <v/>
      </c>
      <c r="D330" s="95" t="str">
        <f>IF(ISNUMBER(namespace_raw[[#This Row],[Column5]]), namespace_raw[[#This Row],[Column5]]/1048576, "")</f>
        <v/>
      </c>
      <c r="E330" s="95" t="str">
        <f>IF(ISNUMBER(namespace_raw[[#This Row],[Column6]]), namespace_raw[[#This Row],[Column6]],"")</f>
        <v/>
      </c>
      <c r="F330" s="96" t="str">
        <f>IF(ISNUMBER(namespace_raw[[#This Row],[Column7]]), namespace_raw[[#This Row],[Column7]]/1048576,"")</f>
        <v/>
      </c>
      <c r="G330" s="122" t="str">
        <f>IF(ISNUMBER(namespace_raw[[#This Row],[Column8]]), namespace_raw[[#This Row],[Column8]],"")</f>
        <v/>
      </c>
      <c r="H330" s="123" t="str">
        <f>IF(ISNUMBER(namespace_raw[[#This Row],[Column9]]), namespace_raw[[#This Row],[Column9]]/1048576,"")</f>
        <v/>
      </c>
      <c r="I330" s="124" t="str">
        <f>IF(ISNUMBER(namespace_raw[[#This Row],[Column8]]),MAX(G330, M330, O330, $I$2,IF(Q330&lt;&gt;"",VALUE(Q330),0)), "")</f>
        <v/>
      </c>
      <c r="J330" s="125" t="str">
        <f>IF(ISNUMBER(namespace_raw[[#This Row],[Column9]]),MAX(H330, N330, P330, $J$2,IF(R330&lt;&gt;"",VALUE(R330),0)),"")</f>
        <v/>
      </c>
      <c r="K330" s="166" t="str">
        <f>IF(ISNUMBER(namespace_raw[[#This Row],[Column12]]), namespace_raw[[#This Row],[Column12]],"")</f>
        <v/>
      </c>
      <c r="L330" s="167" t="str">
        <f>IF(ISNUMBER(namespace_raw[[#This Row],[Column13]]), namespace_raw[[#This Row],[Column13]]/1048576,"")</f>
        <v/>
      </c>
      <c r="M330" s="168" t="str">
        <f>IF(ISNUMBER(namespace_raw[[#This Row],[Column10]]), (namespace_raw[[#This Row],[Column10]]*(1+$M$2)),"")</f>
        <v/>
      </c>
      <c r="N330" s="167" t="str">
        <f>IF(ISNUMBER(namespace_raw[[#This Row],[Column11]]), (namespace_raw[[#This Row],[Column11]]*(1+$N$2))/1048576,"")</f>
        <v/>
      </c>
      <c r="O330" s="169" t="str">
        <f>IF(ISNUMBER(namespace_raw[[#This Row],[Column8]]), (E330  * $O$2),"")</f>
        <v/>
      </c>
      <c r="P330" s="170" t="str">
        <f>IF(ISNUMBER(namespace_raw[[#This Row],[Column8]]), (F330  * $P$2),"")</f>
        <v/>
      </c>
    </row>
    <row r="331" spans="1:16" ht="15" customHeight="1" x14ac:dyDescent="0.25">
      <c r="A331" s="32" t="str">
        <f>IF(ISNONTEXT(namespace_raw[[#This Row],[Column1]]), "", namespace_raw[[#This Row],[Column1]])</f>
        <v/>
      </c>
      <c r="B331" s="33" t="str">
        <f>IF(ISNONTEXT(namespace_raw[[#This Row],[Column2]]), "", namespace_raw[[#This Row],[Column2]])</f>
        <v/>
      </c>
      <c r="C331" s="94" t="str">
        <f>IF(ISNUMBER(namespace_raw[[#This Row],[Column4]]), namespace_raw[[#This Row],[Column4]], "")</f>
        <v/>
      </c>
      <c r="D331" s="95" t="str">
        <f>IF(ISNUMBER(namespace_raw[[#This Row],[Column5]]), namespace_raw[[#This Row],[Column5]]/1048576, "")</f>
        <v/>
      </c>
      <c r="E331" s="95" t="str">
        <f>IF(ISNUMBER(namespace_raw[[#This Row],[Column6]]), namespace_raw[[#This Row],[Column6]],"")</f>
        <v/>
      </c>
      <c r="F331" s="96" t="str">
        <f>IF(ISNUMBER(namespace_raw[[#This Row],[Column7]]), namespace_raw[[#This Row],[Column7]]/1048576,"")</f>
        <v/>
      </c>
      <c r="G331" s="122" t="str">
        <f>IF(ISNUMBER(namespace_raw[[#This Row],[Column8]]), namespace_raw[[#This Row],[Column8]],"")</f>
        <v/>
      </c>
      <c r="H331" s="123" t="str">
        <f>IF(ISNUMBER(namespace_raw[[#This Row],[Column9]]), namespace_raw[[#This Row],[Column9]]/1048576,"")</f>
        <v/>
      </c>
      <c r="I331" s="124" t="str">
        <f>IF(ISNUMBER(namespace_raw[[#This Row],[Column8]]),MAX(G331, M331, O331, $I$2,IF(Q331&lt;&gt;"",VALUE(Q331),0)), "")</f>
        <v/>
      </c>
      <c r="J331" s="125" t="str">
        <f>IF(ISNUMBER(namespace_raw[[#This Row],[Column9]]),MAX(H331, N331, P331, $J$2,IF(R331&lt;&gt;"",VALUE(R331),0)),"")</f>
        <v/>
      </c>
      <c r="K331" s="166" t="str">
        <f>IF(ISNUMBER(namespace_raw[[#This Row],[Column12]]), namespace_raw[[#This Row],[Column12]],"")</f>
        <v/>
      </c>
      <c r="L331" s="167" t="str">
        <f>IF(ISNUMBER(namespace_raw[[#This Row],[Column13]]), namespace_raw[[#This Row],[Column13]]/1048576,"")</f>
        <v/>
      </c>
      <c r="M331" s="168" t="str">
        <f>IF(ISNUMBER(namespace_raw[[#This Row],[Column10]]), (namespace_raw[[#This Row],[Column10]]*(1+$M$2)),"")</f>
        <v/>
      </c>
      <c r="N331" s="167" t="str">
        <f>IF(ISNUMBER(namespace_raw[[#This Row],[Column11]]), (namespace_raw[[#This Row],[Column11]]*(1+$N$2))/1048576,"")</f>
        <v/>
      </c>
      <c r="O331" s="169" t="str">
        <f>IF(ISNUMBER(namespace_raw[[#This Row],[Column8]]), (E331  * $O$2),"")</f>
        <v/>
      </c>
      <c r="P331" s="170" t="str">
        <f>IF(ISNUMBER(namespace_raw[[#This Row],[Column8]]), (F331  * $P$2),"")</f>
        <v/>
      </c>
    </row>
    <row r="332" spans="1:16" ht="15" customHeight="1" x14ac:dyDescent="0.25">
      <c r="A332" s="32" t="str">
        <f>IF(ISNONTEXT(namespace_raw[[#This Row],[Column1]]), "", namespace_raw[[#This Row],[Column1]])</f>
        <v/>
      </c>
      <c r="B332" s="33" t="str">
        <f>IF(ISNONTEXT(namespace_raw[[#This Row],[Column2]]), "", namespace_raw[[#This Row],[Column2]])</f>
        <v/>
      </c>
      <c r="C332" s="94" t="str">
        <f>IF(ISNUMBER(namespace_raw[[#This Row],[Column4]]), namespace_raw[[#This Row],[Column4]], "")</f>
        <v/>
      </c>
      <c r="D332" s="95" t="str">
        <f>IF(ISNUMBER(namespace_raw[[#This Row],[Column5]]), namespace_raw[[#This Row],[Column5]]/1048576, "")</f>
        <v/>
      </c>
      <c r="E332" s="95" t="str">
        <f>IF(ISNUMBER(namespace_raw[[#This Row],[Column6]]), namespace_raw[[#This Row],[Column6]],"")</f>
        <v/>
      </c>
      <c r="F332" s="96" t="str">
        <f>IF(ISNUMBER(namespace_raw[[#This Row],[Column7]]), namespace_raw[[#This Row],[Column7]]/1048576,"")</f>
        <v/>
      </c>
      <c r="G332" s="122" t="str">
        <f>IF(ISNUMBER(namespace_raw[[#This Row],[Column8]]), namespace_raw[[#This Row],[Column8]],"")</f>
        <v/>
      </c>
      <c r="H332" s="123" t="str">
        <f>IF(ISNUMBER(namespace_raw[[#This Row],[Column9]]), namespace_raw[[#This Row],[Column9]]/1048576,"")</f>
        <v/>
      </c>
      <c r="I332" s="124" t="str">
        <f>IF(ISNUMBER(namespace_raw[[#This Row],[Column8]]),MAX(G332, M332, O332, $I$2,IF(Q332&lt;&gt;"",VALUE(Q332),0)), "")</f>
        <v/>
      </c>
      <c r="J332" s="125" t="str">
        <f>IF(ISNUMBER(namespace_raw[[#This Row],[Column9]]),MAX(H332, N332, P332, $J$2,IF(R332&lt;&gt;"",VALUE(R332),0)),"")</f>
        <v/>
      </c>
      <c r="K332" s="166" t="str">
        <f>IF(ISNUMBER(namespace_raw[[#This Row],[Column12]]), namespace_raw[[#This Row],[Column12]],"")</f>
        <v/>
      </c>
      <c r="L332" s="167" t="str">
        <f>IF(ISNUMBER(namespace_raw[[#This Row],[Column13]]), namespace_raw[[#This Row],[Column13]]/1048576,"")</f>
        <v/>
      </c>
      <c r="M332" s="168" t="str">
        <f>IF(ISNUMBER(namespace_raw[[#This Row],[Column10]]), (namespace_raw[[#This Row],[Column10]]*(1+$M$2)),"")</f>
        <v/>
      </c>
      <c r="N332" s="167" t="str">
        <f>IF(ISNUMBER(namespace_raw[[#This Row],[Column11]]), (namespace_raw[[#This Row],[Column11]]*(1+$N$2))/1048576,"")</f>
        <v/>
      </c>
      <c r="O332" s="169" t="str">
        <f>IF(ISNUMBER(namespace_raw[[#This Row],[Column8]]), (E332  * $O$2),"")</f>
        <v/>
      </c>
      <c r="P332" s="170" t="str">
        <f>IF(ISNUMBER(namespace_raw[[#This Row],[Column8]]), (F332  * $P$2),"")</f>
        <v/>
      </c>
    </row>
    <row r="333" spans="1:16" ht="15" customHeight="1" x14ac:dyDescent="0.25">
      <c r="A333" s="32" t="str">
        <f>IF(ISNONTEXT(namespace_raw[[#This Row],[Column1]]), "", namespace_raw[[#This Row],[Column1]])</f>
        <v/>
      </c>
      <c r="B333" s="33" t="str">
        <f>IF(ISNONTEXT(namespace_raw[[#This Row],[Column2]]), "", namespace_raw[[#This Row],[Column2]])</f>
        <v/>
      </c>
      <c r="C333" s="94" t="str">
        <f>IF(ISNUMBER(namespace_raw[[#This Row],[Column4]]), namespace_raw[[#This Row],[Column4]], "")</f>
        <v/>
      </c>
      <c r="D333" s="95" t="str">
        <f>IF(ISNUMBER(namespace_raw[[#This Row],[Column5]]), namespace_raw[[#This Row],[Column5]]/1048576, "")</f>
        <v/>
      </c>
      <c r="E333" s="95" t="str">
        <f>IF(ISNUMBER(namespace_raw[[#This Row],[Column6]]), namespace_raw[[#This Row],[Column6]],"")</f>
        <v/>
      </c>
      <c r="F333" s="96" t="str">
        <f>IF(ISNUMBER(namespace_raw[[#This Row],[Column7]]), namespace_raw[[#This Row],[Column7]]/1048576,"")</f>
        <v/>
      </c>
      <c r="G333" s="122" t="str">
        <f>IF(ISNUMBER(namespace_raw[[#This Row],[Column8]]), namespace_raw[[#This Row],[Column8]],"")</f>
        <v/>
      </c>
      <c r="H333" s="123" t="str">
        <f>IF(ISNUMBER(namespace_raw[[#This Row],[Column9]]), namespace_raw[[#This Row],[Column9]]/1048576,"")</f>
        <v/>
      </c>
      <c r="I333" s="124" t="str">
        <f>IF(ISNUMBER(namespace_raw[[#This Row],[Column8]]),MAX(G333, M333, O333, $I$2,IF(Q333&lt;&gt;"",VALUE(Q333),0)), "")</f>
        <v/>
      </c>
      <c r="J333" s="125" t="str">
        <f>IF(ISNUMBER(namespace_raw[[#This Row],[Column9]]),MAX(H333, N333, P333, $J$2,IF(R333&lt;&gt;"",VALUE(R333),0)),"")</f>
        <v/>
      </c>
      <c r="K333" s="166" t="str">
        <f>IF(ISNUMBER(namespace_raw[[#This Row],[Column12]]), namespace_raw[[#This Row],[Column12]],"")</f>
        <v/>
      </c>
      <c r="L333" s="167" t="str">
        <f>IF(ISNUMBER(namespace_raw[[#This Row],[Column13]]), namespace_raw[[#This Row],[Column13]]/1048576,"")</f>
        <v/>
      </c>
      <c r="M333" s="168" t="str">
        <f>IF(ISNUMBER(namespace_raw[[#This Row],[Column10]]), (namespace_raw[[#This Row],[Column10]]*(1+$M$2)),"")</f>
        <v/>
      </c>
      <c r="N333" s="167" t="str">
        <f>IF(ISNUMBER(namespace_raw[[#This Row],[Column11]]), (namespace_raw[[#This Row],[Column11]]*(1+$N$2))/1048576,"")</f>
        <v/>
      </c>
      <c r="O333" s="169" t="str">
        <f>IF(ISNUMBER(namespace_raw[[#This Row],[Column8]]), (E333  * $O$2),"")</f>
        <v/>
      </c>
      <c r="P333" s="170" t="str">
        <f>IF(ISNUMBER(namespace_raw[[#This Row],[Column8]]), (F333  * $P$2),"")</f>
        <v/>
      </c>
    </row>
    <row r="334" spans="1:16" ht="15" customHeight="1" x14ac:dyDescent="0.25">
      <c r="A334" s="32" t="str">
        <f>IF(ISNONTEXT(namespace_raw[[#This Row],[Column1]]), "", namespace_raw[[#This Row],[Column1]])</f>
        <v/>
      </c>
      <c r="B334" s="33" t="str">
        <f>IF(ISNONTEXT(namespace_raw[[#This Row],[Column2]]), "", namespace_raw[[#This Row],[Column2]])</f>
        <v/>
      </c>
      <c r="C334" s="94" t="str">
        <f>IF(ISNUMBER(namespace_raw[[#This Row],[Column4]]), namespace_raw[[#This Row],[Column4]], "")</f>
        <v/>
      </c>
      <c r="D334" s="95" t="str">
        <f>IF(ISNUMBER(namespace_raw[[#This Row],[Column5]]), namespace_raw[[#This Row],[Column5]]/1048576, "")</f>
        <v/>
      </c>
      <c r="E334" s="95" t="str">
        <f>IF(ISNUMBER(namespace_raw[[#This Row],[Column6]]), namespace_raw[[#This Row],[Column6]],"")</f>
        <v/>
      </c>
      <c r="F334" s="96" t="str">
        <f>IF(ISNUMBER(namespace_raw[[#This Row],[Column7]]), namespace_raw[[#This Row],[Column7]]/1048576,"")</f>
        <v/>
      </c>
      <c r="G334" s="122" t="str">
        <f>IF(ISNUMBER(namespace_raw[[#This Row],[Column8]]), namespace_raw[[#This Row],[Column8]],"")</f>
        <v/>
      </c>
      <c r="H334" s="123" t="str">
        <f>IF(ISNUMBER(namespace_raw[[#This Row],[Column9]]), namespace_raw[[#This Row],[Column9]]/1048576,"")</f>
        <v/>
      </c>
      <c r="I334" s="124" t="str">
        <f>IF(ISNUMBER(namespace_raw[[#This Row],[Column8]]),MAX(G334, M334, O334, $I$2,IF(Q334&lt;&gt;"",VALUE(Q334),0)), "")</f>
        <v/>
      </c>
      <c r="J334" s="125" t="str">
        <f>IF(ISNUMBER(namespace_raw[[#This Row],[Column9]]),MAX(H334, N334, P334, $J$2,IF(R334&lt;&gt;"",VALUE(R334),0)),"")</f>
        <v/>
      </c>
      <c r="K334" s="166" t="str">
        <f>IF(ISNUMBER(namespace_raw[[#This Row],[Column12]]), namespace_raw[[#This Row],[Column12]],"")</f>
        <v/>
      </c>
      <c r="L334" s="167" t="str">
        <f>IF(ISNUMBER(namespace_raw[[#This Row],[Column13]]), namespace_raw[[#This Row],[Column13]]/1048576,"")</f>
        <v/>
      </c>
      <c r="M334" s="168" t="str">
        <f>IF(ISNUMBER(namespace_raw[[#This Row],[Column10]]), (namespace_raw[[#This Row],[Column10]]*(1+$M$2)),"")</f>
        <v/>
      </c>
      <c r="N334" s="167" t="str">
        <f>IF(ISNUMBER(namespace_raw[[#This Row],[Column11]]), (namespace_raw[[#This Row],[Column11]]*(1+$N$2))/1048576,"")</f>
        <v/>
      </c>
      <c r="O334" s="169" t="str">
        <f>IF(ISNUMBER(namespace_raw[[#This Row],[Column8]]), (E334  * $O$2),"")</f>
        <v/>
      </c>
      <c r="P334" s="170" t="str">
        <f>IF(ISNUMBER(namespace_raw[[#This Row],[Column8]]), (F334  * $P$2),"")</f>
        <v/>
      </c>
    </row>
    <row r="335" spans="1:16" ht="15" customHeight="1" x14ac:dyDescent="0.25">
      <c r="A335" s="32" t="str">
        <f>IF(ISNONTEXT(namespace_raw[[#This Row],[Column1]]), "", namespace_raw[[#This Row],[Column1]])</f>
        <v/>
      </c>
      <c r="B335" s="33" t="str">
        <f>IF(ISNONTEXT(namespace_raw[[#This Row],[Column2]]), "", namespace_raw[[#This Row],[Column2]])</f>
        <v/>
      </c>
      <c r="C335" s="94" t="str">
        <f>IF(ISNUMBER(namespace_raw[[#This Row],[Column4]]), namespace_raw[[#This Row],[Column4]], "")</f>
        <v/>
      </c>
      <c r="D335" s="95" t="str">
        <f>IF(ISNUMBER(namespace_raw[[#This Row],[Column5]]), namespace_raw[[#This Row],[Column5]]/1048576, "")</f>
        <v/>
      </c>
      <c r="E335" s="95" t="str">
        <f>IF(ISNUMBER(namespace_raw[[#This Row],[Column6]]), namespace_raw[[#This Row],[Column6]],"")</f>
        <v/>
      </c>
      <c r="F335" s="96" t="str">
        <f>IF(ISNUMBER(namespace_raw[[#This Row],[Column7]]), namespace_raw[[#This Row],[Column7]]/1048576,"")</f>
        <v/>
      </c>
      <c r="G335" s="122" t="str">
        <f>IF(ISNUMBER(namespace_raw[[#This Row],[Column8]]), namespace_raw[[#This Row],[Column8]],"")</f>
        <v/>
      </c>
      <c r="H335" s="123" t="str">
        <f>IF(ISNUMBER(namespace_raw[[#This Row],[Column9]]), namespace_raw[[#This Row],[Column9]]/1048576,"")</f>
        <v/>
      </c>
      <c r="I335" s="124" t="str">
        <f>IF(ISNUMBER(namespace_raw[[#This Row],[Column8]]),MAX(G335, M335, O335, $I$2,IF(Q335&lt;&gt;"",VALUE(Q335),0)), "")</f>
        <v/>
      </c>
      <c r="J335" s="125" t="str">
        <f>IF(ISNUMBER(namespace_raw[[#This Row],[Column9]]),MAX(H335, N335, P335, $J$2,IF(R335&lt;&gt;"",VALUE(R335),0)),"")</f>
        <v/>
      </c>
      <c r="K335" s="166" t="str">
        <f>IF(ISNUMBER(namespace_raw[[#This Row],[Column12]]), namespace_raw[[#This Row],[Column12]],"")</f>
        <v/>
      </c>
      <c r="L335" s="167" t="str">
        <f>IF(ISNUMBER(namespace_raw[[#This Row],[Column13]]), namespace_raw[[#This Row],[Column13]]/1048576,"")</f>
        <v/>
      </c>
      <c r="M335" s="168" t="str">
        <f>IF(ISNUMBER(namespace_raw[[#This Row],[Column10]]), (namespace_raw[[#This Row],[Column10]]*(1+$M$2)),"")</f>
        <v/>
      </c>
      <c r="N335" s="167" t="str">
        <f>IF(ISNUMBER(namespace_raw[[#This Row],[Column11]]), (namespace_raw[[#This Row],[Column11]]*(1+$N$2))/1048576,"")</f>
        <v/>
      </c>
      <c r="O335" s="169" t="str">
        <f>IF(ISNUMBER(namespace_raw[[#This Row],[Column8]]), (E335  * $O$2),"")</f>
        <v/>
      </c>
      <c r="P335" s="170" t="str">
        <f>IF(ISNUMBER(namespace_raw[[#This Row],[Column8]]), (F335  * $P$2),"")</f>
        <v/>
      </c>
    </row>
    <row r="336" spans="1:16" ht="15" customHeight="1" x14ac:dyDescent="0.25">
      <c r="A336" s="32" t="str">
        <f>IF(ISNONTEXT(namespace_raw[[#This Row],[Column1]]), "", namespace_raw[[#This Row],[Column1]])</f>
        <v/>
      </c>
      <c r="B336" s="33" t="str">
        <f>IF(ISNONTEXT(namespace_raw[[#This Row],[Column2]]), "", namespace_raw[[#This Row],[Column2]])</f>
        <v/>
      </c>
      <c r="C336" s="94" t="str">
        <f>IF(ISNUMBER(namespace_raw[[#This Row],[Column4]]), namespace_raw[[#This Row],[Column4]], "")</f>
        <v/>
      </c>
      <c r="D336" s="95" t="str">
        <f>IF(ISNUMBER(namespace_raw[[#This Row],[Column5]]), namespace_raw[[#This Row],[Column5]]/1048576, "")</f>
        <v/>
      </c>
      <c r="E336" s="95" t="str">
        <f>IF(ISNUMBER(namespace_raw[[#This Row],[Column6]]), namespace_raw[[#This Row],[Column6]],"")</f>
        <v/>
      </c>
      <c r="F336" s="96" t="str">
        <f>IF(ISNUMBER(namespace_raw[[#This Row],[Column7]]), namespace_raw[[#This Row],[Column7]]/1048576,"")</f>
        <v/>
      </c>
      <c r="G336" s="122" t="str">
        <f>IF(ISNUMBER(namespace_raw[[#This Row],[Column8]]), namespace_raw[[#This Row],[Column8]],"")</f>
        <v/>
      </c>
      <c r="H336" s="123" t="str">
        <f>IF(ISNUMBER(namespace_raw[[#This Row],[Column9]]), namespace_raw[[#This Row],[Column9]]/1048576,"")</f>
        <v/>
      </c>
      <c r="I336" s="124" t="str">
        <f>IF(ISNUMBER(namespace_raw[[#This Row],[Column8]]),MAX(G336, M336, O336, $I$2,IF(Q336&lt;&gt;"",VALUE(Q336),0)), "")</f>
        <v/>
      </c>
      <c r="J336" s="125" t="str">
        <f>IF(ISNUMBER(namespace_raw[[#This Row],[Column9]]),MAX(H336, N336, P336, $J$2,IF(R336&lt;&gt;"",VALUE(R336),0)),"")</f>
        <v/>
      </c>
      <c r="K336" s="166" t="str">
        <f>IF(ISNUMBER(namespace_raw[[#This Row],[Column12]]), namespace_raw[[#This Row],[Column12]],"")</f>
        <v/>
      </c>
      <c r="L336" s="167" t="str">
        <f>IF(ISNUMBER(namespace_raw[[#This Row],[Column13]]), namespace_raw[[#This Row],[Column13]]/1048576,"")</f>
        <v/>
      </c>
      <c r="M336" s="168" t="str">
        <f>IF(ISNUMBER(namespace_raw[[#This Row],[Column10]]), (namespace_raw[[#This Row],[Column10]]*(1+$M$2)),"")</f>
        <v/>
      </c>
      <c r="N336" s="167" t="str">
        <f>IF(ISNUMBER(namespace_raw[[#This Row],[Column11]]), (namespace_raw[[#This Row],[Column11]]*(1+$N$2))/1048576,"")</f>
        <v/>
      </c>
      <c r="O336" s="169" t="str">
        <f>IF(ISNUMBER(namespace_raw[[#This Row],[Column8]]), (E336  * $O$2),"")</f>
        <v/>
      </c>
      <c r="P336" s="170" t="str">
        <f>IF(ISNUMBER(namespace_raw[[#This Row],[Column8]]), (F336  * $P$2),"")</f>
        <v/>
      </c>
    </row>
    <row r="337" spans="1:16" ht="15" customHeight="1" x14ac:dyDescent="0.25">
      <c r="A337" s="32" t="str">
        <f>IF(ISNONTEXT(namespace_raw[[#This Row],[Column1]]), "", namespace_raw[[#This Row],[Column1]])</f>
        <v/>
      </c>
      <c r="B337" s="33" t="str">
        <f>IF(ISNONTEXT(namespace_raw[[#This Row],[Column2]]), "", namespace_raw[[#This Row],[Column2]])</f>
        <v/>
      </c>
      <c r="C337" s="94" t="str">
        <f>IF(ISNUMBER(namespace_raw[[#This Row],[Column4]]), namespace_raw[[#This Row],[Column4]], "")</f>
        <v/>
      </c>
      <c r="D337" s="95" t="str">
        <f>IF(ISNUMBER(namespace_raw[[#This Row],[Column5]]), namespace_raw[[#This Row],[Column5]]/1048576, "")</f>
        <v/>
      </c>
      <c r="E337" s="95" t="str">
        <f>IF(ISNUMBER(namespace_raw[[#This Row],[Column6]]), namespace_raw[[#This Row],[Column6]],"")</f>
        <v/>
      </c>
      <c r="F337" s="96" t="str">
        <f>IF(ISNUMBER(namespace_raw[[#This Row],[Column7]]), namespace_raw[[#This Row],[Column7]]/1048576,"")</f>
        <v/>
      </c>
      <c r="G337" s="122" t="str">
        <f>IF(ISNUMBER(namespace_raw[[#This Row],[Column8]]), namespace_raw[[#This Row],[Column8]],"")</f>
        <v/>
      </c>
      <c r="H337" s="123" t="str">
        <f>IF(ISNUMBER(namespace_raw[[#This Row],[Column9]]), namespace_raw[[#This Row],[Column9]]/1048576,"")</f>
        <v/>
      </c>
      <c r="I337" s="124" t="str">
        <f>IF(ISNUMBER(namespace_raw[[#This Row],[Column8]]),MAX(G337, M337, O337, $I$2,IF(Q337&lt;&gt;"",VALUE(Q337),0)), "")</f>
        <v/>
      </c>
      <c r="J337" s="125" t="str">
        <f>IF(ISNUMBER(namespace_raw[[#This Row],[Column9]]),MAX(H337, N337, P337, $J$2,IF(R337&lt;&gt;"",VALUE(R337),0)),"")</f>
        <v/>
      </c>
      <c r="K337" s="166" t="str">
        <f>IF(ISNUMBER(namespace_raw[[#This Row],[Column12]]), namespace_raw[[#This Row],[Column12]],"")</f>
        <v/>
      </c>
      <c r="L337" s="167" t="str">
        <f>IF(ISNUMBER(namespace_raw[[#This Row],[Column13]]), namespace_raw[[#This Row],[Column13]]/1048576,"")</f>
        <v/>
      </c>
      <c r="M337" s="168" t="str">
        <f>IF(ISNUMBER(namespace_raw[[#This Row],[Column10]]), (namespace_raw[[#This Row],[Column10]]*(1+$M$2)),"")</f>
        <v/>
      </c>
      <c r="N337" s="167" t="str">
        <f>IF(ISNUMBER(namespace_raw[[#This Row],[Column11]]), (namespace_raw[[#This Row],[Column11]]*(1+$N$2))/1048576,"")</f>
        <v/>
      </c>
      <c r="O337" s="169" t="str">
        <f>IF(ISNUMBER(namespace_raw[[#This Row],[Column8]]), (E337  * $O$2),"")</f>
        <v/>
      </c>
      <c r="P337" s="170" t="str">
        <f>IF(ISNUMBER(namespace_raw[[#This Row],[Column8]]), (F337  * $P$2),"")</f>
        <v/>
      </c>
    </row>
    <row r="338" spans="1:16" ht="15" customHeight="1" x14ac:dyDescent="0.25">
      <c r="A338" s="32" t="str">
        <f>IF(ISNONTEXT(namespace_raw[[#This Row],[Column1]]), "", namespace_raw[[#This Row],[Column1]])</f>
        <v/>
      </c>
      <c r="B338" s="33" t="str">
        <f>IF(ISNONTEXT(namespace_raw[[#This Row],[Column2]]), "", namespace_raw[[#This Row],[Column2]])</f>
        <v/>
      </c>
      <c r="C338" s="94" t="str">
        <f>IF(ISNUMBER(namespace_raw[[#This Row],[Column4]]), namespace_raw[[#This Row],[Column4]], "")</f>
        <v/>
      </c>
      <c r="D338" s="95" t="str">
        <f>IF(ISNUMBER(namespace_raw[[#This Row],[Column5]]), namespace_raw[[#This Row],[Column5]]/1048576, "")</f>
        <v/>
      </c>
      <c r="E338" s="95" t="str">
        <f>IF(ISNUMBER(namespace_raw[[#This Row],[Column6]]), namespace_raw[[#This Row],[Column6]],"")</f>
        <v/>
      </c>
      <c r="F338" s="96" t="str">
        <f>IF(ISNUMBER(namespace_raw[[#This Row],[Column7]]), namespace_raw[[#This Row],[Column7]]/1048576,"")</f>
        <v/>
      </c>
      <c r="G338" s="122" t="str">
        <f>IF(ISNUMBER(namespace_raw[[#This Row],[Column8]]), namespace_raw[[#This Row],[Column8]],"")</f>
        <v/>
      </c>
      <c r="H338" s="123" t="str">
        <f>IF(ISNUMBER(namespace_raw[[#This Row],[Column9]]), namespace_raw[[#This Row],[Column9]]/1048576,"")</f>
        <v/>
      </c>
      <c r="I338" s="124" t="str">
        <f>IF(ISNUMBER(namespace_raw[[#This Row],[Column8]]),MAX(G338, M338, O338, $I$2,IF(Q338&lt;&gt;"",VALUE(Q338),0)), "")</f>
        <v/>
      </c>
      <c r="J338" s="125" t="str">
        <f>IF(ISNUMBER(namespace_raw[[#This Row],[Column9]]),MAX(H338, N338, P338, $J$2,IF(R338&lt;&gt;"",VALUE(R338),0)),"")</f>
        <v/>
      </c>
      <c r="K338" s="166" t="str">
        <f>IF(ISNUMBER(namespace_raw[[#This Row],[Column12]]), namespace_raw[[#This Row],[Column12]],"")</f>
        <v/>
      </c>
      <c r="L338" s="167" t="str">
        <f>IF(ISNUMBER(namespace_raw[[#This Row],[Column13]]), namespace_raw[[#This Row],[Column13]]/1048576,"")</f>
        <v/>
      </c>
      <c r="M338" s="168" t="str">
        <f>IF(ISNUMBER(namespace_raw[[#This Row],[Column10]]), (namespace_raw[[#This Row],[Column10]]*(1+$M$2)),"")</f>
        <v/>
      </c>
      <c r="N338" s="167" t="str">
        <f>IF(ISNUMBER(namespace_raw[[#This Row],[Column11]]), (namespace_raw[[#This Row],[Column11]]*(1+$N$2))/1048576,"")</f>
        <v/>
      </c>
      <c r="O338" s="169" t="str">
        <f>IF(ISNUMBER(namespace_raw[[#This Row],[Column8]]), (E338  * $O$2),"")</f>
        <v/>
      </c>
      <c r="P338" s="170" t="str">
        <f>IF(ISNUMBER(namespace_raw[[#This Row],[Column8]]), (F338  * $P$2),"")</f>
        <v/>
      </c>
    </row>
    <row r="339" spans="1:16" ht="15" customHeight="1" x14ac:dyDescent="0.25">
      <c r="A339" s="32" t="str">
        <f>IF(ISNONTEXT(namespace_raw[[#This Row],[Column1]]), "", namespace_raw[[#This Row],[Column1]])</f>
        <v/>
      </c>
      <c r="B339" s="33" t="str">
        <f>IF(ISNONTEXT(namespace_raw[[#This Row],[Column2]]), "", namespace_raw[[#This Row],[Column2]])</f>
        <v/>
      </c>
      <c r="C339" s="94" t="str">
        <f>IF(ISNUMBER(namespace_raw[[#This Row],[Column4]]), namespace_raw[[#This Row],[Column4]], "")</f>
        <v/>
      </c>
      <c r="D339" s="95" t="str">
        <f>IF(ISNUMBER(namespace_raw[[#This Row],[Column5]]), namespace_raw[[#This Row],[Column5]]/1048576, "")</f>
        <v/>
      </c>
      <c r="E339" s="95" t="str">
        <f>IF(ISNUMBER(namespace_raw[[#This Row],[Column6]]), namespace_raw[[#This Row],[Column6]],"")</f>
        <v/>
      </c>
      <c r="F339" s="96" t="str">
        <f>IF(ISNUMBER(namespace_raw[[#This Row],[Column7]]), namespace_raw[[#This Row],[Column7]]/1048576,"")</f>
        <v/>
      </c>
      <c r="G339" s="122" t="str">
        <f>IF(ISNUMBER(namespace_raw[[#This Row],[Column8]]), namespace_raw[[#This Row],[Column8]],"")</f>
        <v/>
      </c>
      <c r="H339" s="123" t="str">
        <f>IF(ISNUMBER(namespace_raw[[#This Row],[Column9]]), namespace_raw[[#This Row],[Column9]]/1048576,"")</f>
        <v/>
      </c>
      <c r="I339" s="124" t="str">
        <f>IF(ISNUMBER(namespace_raw[[#This Row],[Column8]]),MAX(G339, M339, O339, $I$2,IF(Q339&lt;&gt;"",VALUE(Q339),0)), "")</f>
        <v/>
      </c>
      <c r="J339" s="125" t="str">
        <f>IF(ISNUMBER(namespace_raw[[#This Row],[Column9]]),MAX(H339, N339, P339, $J$2,IF(R339&lt;&gt;"",VALUE(R339),0)),"")</f>
        <v/>
      </c>
      <c r="K339" s="166" t="str">
        <f>IF(ISNUMBER(namespace_raw[[#This Row],[Column12]]), namespace_raw[[#This Row],[Column12]],"")</f>
        <v/>
      </c>
      <c r="L339" s="167" t="str">
        <f>IF(ISNUMBER(namespace_raw[[#This Row],[Column13]]), namespace_raw[[#This Row],[Column13]]/1048576,"")</f>
        <v/>
      </c>
      <c r="M339" s="168" t="str">
        <f>IF(ISNUMBER(namespace_raw[[#This Row],[Column10]]), (namespace_raw[[#This Row],[Column10]]*(1+$M$2)),"")</f>
        <v/>
      </c>
      <c r="N339" s="167" t="str">
        <f>IF(ISNUMBER(namespace_raw[[#This Row],[Column11]]), (namespace_raw[[#This Row],[Column11]]*(1+$N$2))/1048576,"")</f>
        <v/>
      </c>
      <c r="O339" s="169" t="str">
        <f>IF(ISNUMBER(namespace_raw[[#This Row],[Column8]]), (E339  * $O$2),"")</f>
        <v/>
      </c>
      <c r="P339" s="170" t="str">
        <f>IF(ISNUMBER(namespace_raw[[#This Row],[Column8]]), (F339  * $P$2),"")</f>
        <v/>
      </c>
    </row>
    <row r="340" spans="1:16" ht="15" customHeight="1" x14ac:dyDescent="0.25">
      <c r="A340" s="32" t="str">
        <f>IF(ISNONTEXT(namespace_raw[[#This Row],[Column1]]), "", namespace_raw[[#This Row],[Column1]])</f>
        <v/>
      </c>
      <c r="B340" s="33" t="str">
        <f>IF(ISNONTEXT(namespace_raw[[#This Row],[Column2]]), "", namespace_raw[[#This Row],[Column2]])</f>
        <v/>
      </c>
      <c r="C340" s="94" t="str">
        <f>IF(ISNUMBER(namespace_raw[[#This Row],[Column4]]), namespace_raw[[#This Row],[Column4]], "")</f>
        <v/>
      </c>
      <c r="D340" s="95" t="str">
        <f>IF(ISNUMBER(namespace_raw[[#This Row],[Column5]]), namespace_raw[[#This Row],[Column5]]/1048576, "")</f>
        <v/>
      </c>
      <c r="E340" s="95" t="str">
        <f>IF(ISNUMBER(namespace_raw[[#This Row],[Column6]]), namespace_raw[[#This Row],[Column6]],"")</f>
        <v/>
      </c>
      <c r="F340" s="96" t="str">
        <f>IF(ISNUMBER(namespace_raw[[#This Row],[Column7]]), namespace_raw[[#This Row],[Column7]]/1048576,"")</f>
        <v/>
      </c>
      <c r="G340" s="122" t="str">
        <f>IF(ISNUMBER(namespace_raw[[#This Row],[Column8]]), namespace_raw[[#This Row],[Column8]],"")</f>
        <v/>
      </c>
      <c r="H340" s="123" t="str">
        <f>IF(ISNUMBER(namespace_raw[[#This Row],[Column9]]), namespace_raw[[#This Row],[Column9]]/1048576,"")</f>
        <v/>
      </c>
      <c r="I340" s="124" t="str">
        <f>IF(ISNUMBER(namespace_raw[[#This Row],[Column8]]),MAX(G340, M340, O340, $I$2,IF(Q340&lt;&gt;"",VALUE(Q340),0)), "")</f>
        <v/>
      </c>
      <c r="J340" s="125" t="str">
        <f>IF(ISNUMBER(namespace_raw[[#This Row],[Column9]]),MAX(H340, N340, P340, $J$2,IF(R340&lt;&gt;"",VALUE(R340),0)),"")</f>
        <v/>
      </c>
      <c r="K340" s="166" t="str">
        <f>IF(ISNUMBER(namespace_raw[[#This Row],[Column12]]), namespace_raw[[#This Row],[Column12]],"")</f>
        <v/>
      </c>
      <c r="L340" s="167" t="str">
        <f>IF(ISNUMBER(namespace_raw[[#This Row],[Column13]]), namespace_raw[[#This Row],[Column13]]/1048576,"")</f>
        <v/>
      </c>
      <c r="M340" s="168" t="str">
        <f>IF(ISNUMBER(namespace_raw[[#This Row],[Column10]]), (namespace_raw[[#This Row],[Column10]]*(1+$M$2)),"")</f>
        <v/>
      </c>
      <c r="N340" s="167" t="str">
        <f>IF(ISNUMBER(namespace_raw[[#This Row],[Column11]]), (namespace_raw[[#This Row],[Column11]]*(1+$N$2))/1048576,"")</f>
        <v/>
      </c>
      <c r="O340" s="169" t="str">
        <f>IF(ISNUMBER(namespace_raw[[#This Row],[Column8]]), (E340  * $O$2),"")</f>
        <v/>
      </c>
      <c r="P340" s="170" t="str">
        <f>IF(ISNUMBER(namespace_raw[[#This Row],[Column8]]), (F340  * $P$2),"")</f>
        <v/>
      </c>
    </row>
    <row r="341" spans="1:16" ht="15" customHeight="1" x14ac:dyDescent="0.25">
      <c r="A341" s="32" t="str">
        <f>IF(ISNONTEXT(namespace_raw[[#This Row],[Column1]]), "", namespace_raw[[#This Row],[Column1]])</f>
        <v/>
      </c>
      <c r="B341" s="33" t="str">
        <f>IF(ISNONTEXT(namespace_raw[[#This Row],[Column2]]), "", namespace_raw[[#This Row],[Column2]])</f>
        <v/>
      </c>
      <c r="C341" s="94" t="str">
        <f>IF(ISNUMBER(namespace_raw[[#This Row],[Column4]]), namespace_raw[[#This Row],[Column4]], "")</f>
        <v/>
      </c>
      <c r="D341" s="95" t="str">
        <f>IF(ISNUMBER(namespace_raw[[#This Row],[Column5]]), namespace_raw[[#This Row],[Column5]]/1048576, "")</f>
        <v/>
      </c>
      <c r="E341" s="95" t="str">
        <f>IF(ISNUMBER(namespace_raw[[#This Row],[Column6]]), namespace_raw[[#This Row],[Column6]],"")</f>
        <v/>
      </c>
      <c r="F341" s="96" t="str">
        <f>IF(ISNUMBER(namespace_raw[[#This Row],[Column7]]), namespace_raw[[#This Row],[Column7]]/1048576,"")</f>
        <v/>
      </c>
      <c r="G341" s="122" t="str">
        <f>IF(ISNUMBER(namespace_raw[[#This Row],[Column8]]), namespace_raw[[#This Row],[Column8]],"")</f>
        <v/>
      </c>
      <c r="H341" s="123" t="str">
        <f>IF(ISNUMBER(namespace_raw[[#This Row],[Column9]]), namespace_raw[[#This Row],[Column9]]/1048576,"")</f>
        <v/>
      </c>
      <c r="I341" s="124" t="str">
        <f>IF(ISNUMBER(namespace_raw[[#This Row],[Column8]]),MAX(G341, M341, O341, $I$2,IF(Q341&lt;&gt;"",VALUE(Q341),0)), "")</f>
        <v/>
      </c>
      <c r="J341" s="125" t="str">
        <f>IF(ISNUMBER(namespace_raw[[#This Row],[Column9]]),MAX(H341, N341, P341, $J$2,IF(R341&lt;&gt;"",VALUE(R341),0)),"")</f>
        <v/>
      </c>
      <c r="K341" s="166" t="str">
        <f>IF(ISNUMBER(namespace_raw[[#This Row],[Column12]]), namespace_raw[[#This Row],[Column12]],"")</f>
        <v/>
      </c>
      <c r="L341" s="167" t="str">
        <f>IF(ISNUMBER(namespace_raw[[#This Row],[Column13]]), namespace_raw[[#This Row],[Column13]]/1048576,"")</f>
        <v/>
      </c>
      <c r="M341" s="168" t="str">
        <f>IF(ISNUMBER(namespace_raw[[#This Row],[Column10]]), (namespace_raw[[#This Row],[Column10]]*(1+$M$2)),"")</f>
        <v/>
      </c>
      <c r="N341" s="167" t="str">
        <f>IF(ISNUMBER(namespace_raw[[#This Row],[Column11]]), (namespace_raw[[#This Row],[Column11]]*(1+$N$2))/1048576,"")</f>
        <v/>
      </c>
      <c r="O341" s="169" t="str">
        <f>IF(ISNUMBER(namespace_raw[[#This Row],[Column8]]), (E341  * $O$2),"")</f>
        <v/>
      </c>
      <c r="P341" s="170" t="str">
        <f>IF(ISNUMBER(namespace_raw[[#This Row],[Column8]]), (F341  * $P$2),"")</f>
        <v/>
      </c>
    </row>
    <row r="342" spans="1:16" ht="15" customHeight="1" x14ac:dyDescent="0.25">
      <c r="A342" s="32" t="str">
        <f>IF(ISNONTEXT(namespace_raw[[#This Row],[Column1]]), "", namespace_raw[[#This Row],[Column1]])</f>
        <v/>
      </c>
      <c r="B342" s="33" t="str">
        <f>IF(ISNONTEXT(namespace_raw[[#This Row],[Column2]]), "", namespace_raw[[#This Row],[Column2]])</f>
        <v/>
      </c>
      <c r="C342" s="94" t="str">
        <f>IF(ISNUMBER(namespace_raw[[#This Row],[Column4]]), namespace_raw[[#This Row],[Column4]], "")</f>
        <v/>
      </c>
      <c r="D342" s="95" t="str">
        <f>IF(ISNUMBER(namespace_raw[[#This Row],[Column5]]), namespace_raw[[#This Row],[Column5]]/1048576, "")</f>
        <v/>
      </c>
      <c r="E342" s="95" t="str">
        <f>IF(ISNUMBER(namespace_raw[[#This Row],[Column6]]), namespace_raw[[#This Row],[Column6]],"")</f>
        <v/>
      </c>
      <c r="F342" s="96" t="str">
        <f>IF(ISNUMBER(namespace_raw[[#This Row],[Column7]]), namespace_raw[[#This Row],[Column7]]/1048576,"")</f>
        <v/>
      </c>
      <c r="G342" s="122" t="str">
        <f>IF(ISNUMBER(namespace_raw[[#This Row],[Column8]]), namespace_raw[[#This Row],[Column8]],"")</f>
        <v/>
      </c>
      <c r="H342" s="123" t="str">
        <f>IF(ISNUMBER(namespace_raw[[#This Row],[Column9]]), namespace_raw[[#This Row],[Column9]]/1048576,"")</f>
        <v/>
      </c>
      <c r="I342" s="124" t="str">
        <f>IF(ISNUMBER(namespace_raw[[#This Row],[Column8]]),MAX(G342, M342, O342, $I$2,IF(Q342&lt;&gt;"",VALUE(Q342),0)), "")</f>
        <v/>
      </c>
      <c r="J342" s="125" t="str">
        <f>IF(ISNUMBER(namespace_raw[[#This Row],[Column9]]),MAX(H342, N342, P342, $J$2,IF(R342&lt;&gt;"",VALUE(R342),0)),"")</f>
        <v/>
      </c>
      <c r="K342" s="166" t="str">
        <f>IF(ISNUMBER(namespace_raw[[#This Row],[Column12]]), namespace_raw[[#This Row],[Column12]],"")</f>
        <v/>
      </c>
      <c r="L342" s="167" t="str">
        <f>IF(ISNUMBER(namespace_raw[[#This Row],[Column13]]), namespace_raw[[#This Row],[Column13]]/1048576,"")</f>
        <v/>
      </c>
      <c r="M342" s="168" t="str">
        <f>IF(ISNUMBER(namespace_raw[[#This Row],[Column10]]), (namespace_raw[[#This Row],[Column10]]*(1+$M$2)),"")</f>
        <v/>
      </c>
      <c r="N342" s="167" t="str">
        <f>IF(ISNUMBER(namespace_raw[[#This Row],[Column11]]), (namespace_raw[[#This Row],[Column11]]*(1+$N$2))/1048576,"")</f>
        <v/>
      </c>
      <c r="O342" s="169" t="str">
        <f>IF(ISNUMBER(namespace_raw[[#This Row],[Column8]]), (E342  * $O$2),"")</f>
        <v/>
      </c>
      <c r="P342" s="170" t="str">
        <f>IF(ISNUMBER(namespace_raw[[#This Row],[Column8]]), (F342  * $P$2),"")</f>
        <v/>
      </c>
    </row>
    <row r="343" spans="1:16" ht="15" customHeight="1" x14ac:dyDescent="0.25">
      <c r="A343" s="32" t="str">
        <f>IF(ISNONTEXT(namespace_raw[[#This Row],[Column1]]), "", namespace_raw[[#This Row],[Column1]])</f>
        <v/>
      </c>
      <c r="B343" s="33" t="str">
        <f>IF(ISNONTEXT(namespace_raw[[#This Row],[Column2]]), "", namespace_raw[[#This Row],[Column2]])</f>
        <v/>
      </c>
      <c r="C343" s="94" t="str">
        <f>IF(ISNUMBER(namespace_raw[[#This Row],[Column4]]), namespace_raw[[#This Row],[Column4]], "")</f>
        <v/>
      </c>
      <c r="D343" s="95" t="str">
        <f>IF(ISNUMBER(namespace_raw[[#This Row],[Column5]]), namespace_raw[[#This Row],[Column5]]/1048576, "")</f>
        <v/>
      </c>
      <c r="E343" s="95" t="str">
        <f>IF(ISNUMBER(namespace_raw[[#This Row],[Column6]]), namespace_raw[[#This Row],[Column6]],"")</f>
        <v/>
      </c>
      <c r="F343" s="96" t="str">
        <f>IF(ISNUMBER(namespace_raw[[#This Row],[Column7]]), namespace_raw[[#This Row],[Column7]]/1048576,"")</f>
        <v/>
      </c>
      <c r="G343" s="122" t="str">
        <f>IF(ISNUMBER(namespace_raw[[#This Row],[Column8]]), namespace_raw[[#This Row],[Column8]],"")</f>
        <v/>
      </c>
      <c r="H343" s="123" t="str">
        <f>IF(ISNUMBER(namespace_raw[[#This Row],[Column9]]), namespace_raw[[#This Row],[Column9]]/1048576,"")</f>
        <v/>
      </c>
      <c r="I343" s="124" t="str">
        <f>IF(ISNUMBER(namespace_raw[[#This Row],[Column8]]),MAX(G343, M343, O343, $I$2,IF(Q343&lt;&gt;"",VALUE(Q343),0)), "")</f>
        <v/>
      </c>
      <c r="J343" s="125" t="str">
        <f>IF(ISNUMBER(namespace_raw[[#This Row],[Column9]]),MAX(H343, N343, P343, $J$2,IF(R343&lt;&gt;"",VALUE(R343),0)),"")</f>
        <v/>
      </c>
      <c r="K343" s="166" t="str">
        <f>IF(ISNUMBER(namespace_raw[[#This Row],[Column12]]), namespace_raw[[#This Row],[Column12]],"")</f>
        <v/>
      </c>
      <c r="L343" s="167" t="str">
        <f>IF(ISNUMBER(namespace_raw[[#This Row],[Column13]]), namespace_raw[[#This Row],[Column13]]/1048576,"")</f>
        <v/>
      </c>
      <c r="M343" s="168" t="str">
        <f>IF(ISNUMBER(namespace_raw[[#This Row],[Column10]]), (namespace_raw[[#This Row],[Column10]]*(1+$M$2)),"")</f>
        <v/>
      </c>
      <c r="N343" s="167" t="str">
        <f>IF(ISNUMBER(namespace_raw[[#This Row],[Column11]]), (namespace_raw[[#This Row],[Column11]]*(1+$N$2))/1048576,"")</f>
        <v/>
      </c>
      <c r="O343" s="169" t="str">
        <f>IF(ISNUMBER(namespace_raw[[#This Row],[Column8]]), (E343  * $O$2),"")</f>
        <v/>
      </c>
      <c r="P343" s="170" t="str">
        <f>IF(ISNUMBER(namespace_raw[[#This Row],[Column8]]), (F343  * $P$2),"")</f>
        <v/>
      </c>
    </row>
    <row r="344" spans="1:16" ht="15" customHeight="1" x14ac:dyDescent="0.25">
      <c r="A344" s="32" t="str">
        <f>IF(ISNONTEXT(namespace_raw[[#This Row],[Column1]]), "", namespace_raw[[#This Row],[Column1]])</f>
        <v/>
      </c>
      <c r="B344" s="33" t="str">
        <f>IF(ISNONTEXT(namespace_raw[[#This Row],[Column2]]), "", namespace_raw[[#This Row],[Column2]])</f>
        <v/>
      </c>
      <c r="C344" s="94" t="str">
        <f>IF(ISNUMBER(namespace_raw[[#This Row],[Column4]]), namespace_raw[[#This Row],[Column4]], "")</f>
        <v/>
      </c>
      <c r="D344" s="95" t="str">
        <f>IF(ISNUMBER(namespace_raw[[#This Row],[Column5]]), namespace_raw[[#This Row],[Column5]]/1048576, "")</f>
        <v/>
      </c>
      <c r="E344" s="95" t="str">
        <f>IF(ISNUMBER(namespace_raw[[#This Row],[Column6]]), namespace_raw[[#This Row],[Column6]],"")</f>
        <v/>
      </c>
      <c r="F344" s="96" t="str">
        <f>IF(ISNUMBER(namespace_raw[[#This Row],[Column7]]), namespace_raw[[#This Row],[Column7]]/1048576,"")</f>
        <v/>
      </c>
      <c r="G344" s="122" t="str">
        <f>IF(ISNUMBER(namespace_raw[[#This Row],[Column8]]), namespace_raw[[#This Row],[Column8]],"")</f>
        <v/>
      </c>
      <c r="H344" s="123" t="str">
        <f>IF(ISNUMBER(namespace_raw[[#This Row],[Column9]]), namespace_raw[[#This Row],[Column9]]/1048576,"")</f>
        <v/>
      </c>
      <c r="I344" s="124" t="str">
        <f>IF(ISNUMBER(namespace_raw[[#This Row],[Column8]]),MAX(G344, M344, O344, $I$2,IF(Q344&lt;&gt;"",VALUE(Q344),0)), "")</f>
        <v/>
      </c>
      <c r="J344" s="125" t="str">
        <f>IF(ISNUMBER(namespace_raw[[#This Row],[Column9]]),MAX(H344, N344, P344, $J$2,IF(R344&lt;&gt;"",VALUE(R344),0)),"")</f>
        <v/>
      </c>
      <c r="K344" s="166" t="str">
        <f>IF(ISNUMBER(namespace_raw[[#This Row],[Column12]]), namespace_raw[[#This Row],[Column12]],"")</f>
        <v/>
      </c>
      <c r="L344" s="167" t="str">
        <f>IF(ISNUMBER(namespace_raw[[#This Row],[Column13]]), namespace_raw[[#This Row],[Column13]]/1048576,"")</f>
        <v/>
      </c>
      <c r="M344" s="168" t="str">
        <f>IF(ISNUMBER(namespace_raw[[#This Row],[Column10]]), (namespace_raw[[#This Row],[Column10]]*(1+$M$2)),"")</f>
        <v/>
      </c>
      <c r="N344" s="167" t="str">
        <f>IF(ISNUMBER(namespace_raw[[#This Row],[Column11]]), (namespace_raw[[#This Row],[Column11]]*(1+$N$2))/1048576,"")</f>
        <v/>
      </c>
      <c r="O344" s="169" t="str">
        <f>IF(ISNUMBER(namespace_raw[[#This Row],[Column8]]), (E344  * $O$2),"")</f>
        <v/>
      </c>
      <c r="P344" s="170" t="str">
        <f>IF(ISNUMBER(namespace_raw[[#This Row],[Column8]]), (F344  * $P$2),"")</f>
        <v/>
      </c>
    </row>
    <row r="345" spans="1:16" ht="15" customHeight="1" x14ac:dyDescent="0.25">
      <c r="A345" s="32" t="str">
        <f>IF(ISNONTEXT(namespace_raw[[#This Row],[Column1]]), "", namespace_raw[[#This Row],[Column1]])</f>
        <v/>
      </c>
      <c r="B345" s="33" t="str">
        <f>IF(ISNONTEXT(namespace_raw[[#This Row],[Column2]]), "", namespace_raw[[#This Row],[Column2]])</f>
        <v/>
      </c>
      <c r="C345" s="94" t="str">
        <f>IF(ISNUMBER(namespace_raw[[#This Row],[Column4]]), namespace_raw[[#This Row],[Column4]], "")</f>
        <v/>
      </c>
      <c r="D345" s="95" t="str">
        <f>IF(ISNUMBER(namespace_raw[[#This Row],[Column5]]), namespace_raw[[#This Row],[Column5]]/1048576, "")</f>
        <v/>
      </c>
      <c r="E345" s="95" t="str">
        <f>IF(ISNUMBER(namespace_raw[[#This Row],[Column6]]), namespace_raw[[#This Row],[Column6]],"")</f>
        <v/>
      </c>
      <c r="F345" s="96" t="str">
        <f>IF(ISNUMBER(namespace_raw[[#This Row],[Column7]]), namespace_raw[[#This Row],[Column7]]/1048576,"")</f>
        <v/>
      </c>
      <c r="G345" s="122" t="str">
        <f>IF(ISNUMBER(namespace_raw[[#This Row],[Column8]]), namespace_raw[[#This Row],[Column8]],"")</f>
        <v/>
      </c>
      <c r="H345" s="123" t="str">
        <f>IF(ISNUMBER(namespace_raw[[#This Row],[Column9]]), namespace_raw[[#This Row],[Column9]]/1048576,"")</f>
        <v/>
      </c>
      <c r="I345" s="124" t="str">
        <f>IF(ISNUMBER(namespace_raw[[#This Row],[Column8]]),MAX(G345, M345, O345, $I$2,IF(Q345&lt;&gt;"",VALUE(Q345),0)), "")</f>
        <v/>
      </c>
      <c r="J345" s="125" t="str">
        <f>IF(ISNUMBER(namespace_raw[[#This Row],[Column9]]),MAX(H345, N345, P345, $J$2,IF(R345&lt;&gt;"",VALUE(R345),0)),"")</f>
        <v/>
      </c>
      <c r="K345" s="166" t="str">
        <f>IF(ISNUMBER(namespace_raw[[#This Row],[Column12]]), namespace_raw[[#This Row],[Column12]],"")</f>
        <v/>
      </c>
      <c r="L345" s="167" t="str">
        <f>IF(ISNUMBER(namespace_raw[[#This Row],[Column13]]), namespace_raw[[#This Row],[Column13]]/1048576,"")</f>
        <v/>
      </c>
      <c r="M345" s="168" t="str">
        <f>IF(ISNUMBER(namespace_raw[[#This Row],[Column10]]), (namespace_raw[[#This Row],[Column10]]*(1+$M$2)),"")</f>
        <v/>
      </c>
      <c r="N345" s="167" t="str">
        <f>IF(ISNUMBER(namespace_raw[[#This Row],[Column11]]), (namespace_raw[[#This Row],[Column11]]*(1+$N$2))/1048576,"")</f>
        <v/>
      </c>
      <c r="O345" s="169" t="str">
        <f>IF(ISNUMBER(namespace_raw[[#This Row],[Column8]]), (E345  * $O$2),"")</f>
        <v/>
      </c>
      <c r="P345" s="170" t="str">
        <f>IF(ISNUMBER(namespace_raw[[#This Row],[Column8]]), (F345  * $P$2),"")</f>
        <v/>
      </c>
    </row>
    <row r="346" spans="1:16" ht="15" customHeight="1" x14ac:dyDescent="0.25">
      <c r="A346" s="32" t="str">
        <f>IF(ISNONTEXT(namespace_raw[[#This Row],[Column1]]), "", namespace_raw[[#This Row],[Column1]])</f>
        <v/>
      </c>
      <c r="B346" s="33" t="str">
        <f>IF(ISNONTEXT(namespace_raw[[#This Row],[Column2]]), "", namespace_raw[[#This Row],[Column2]])</f>
        <v/>
      </c>
      <c r="C346" s="94" t="str">
        <f>IF(ISNUMBER(namespace_raw[[#This Row],[Column4]]), namespace_raw[[#This Row],[Column4]], "")</f>
        <v/>
      </c>
      <c r="D346" s="95" t="str">
        <f>IF(ISNUMBER(namespace_raw[[#This Row],[Column5]]), namespace_raw[[#This Row],[Column5]]/1048576, "")</f>
        <v/>
      </c>
      <c r="E346" s="95" t="str">
        <f>IF(ISNUMBER(namespace_raw[[#This Row],[Column6]]), namespace_raw[[#This Row],[Column6]],"")</f>
        <v/>
      </c>
      <c r="F346" s="96" t="str">
        <f>IF(ISNUMBER(namespace_raw[[#This Row],[Column7]]), namespace_raw[[#This Row],[Column7]]/1048576,"")</f>
        <v/>
      </c>
      <c r="G346" s="122" t="str">
        <f>IF(ISNUMBER(namespace_raw[[#This Row],[Column8]]), namespace_raw[[#This Row],[Column8]],"")</f>
        <v/>
      </c>
      <c r="H346" s="123" t="str">
        <f>IF(ISNUMBER(namespace_raw[[#This Row],[Column9]]), namespace_raw[[#This Row],[Column9]]/1048576,"")</f>
        <v/>
      </c>
      <c r="I346" s="124" t="str">
        <f>IF(ISNUMBER(namespace_raw[[#This Row],[Column8]]),MAX(G346, M346, O346, $I$2,IF(Q346&lt;&gt;"",VALUE(Q346),0)), "")</f>
        <v/>
      </c>
      <c r="J346" s="125" t="str">
        <f>IF(ISNUMBER(namespace_raw[[#This Row],[Column9]]),MAX(H346, N346, P346, $J$2,IF(R346&lt;&gt;"",VALUE(R346),0)),"")</f>
        <v/>
      </c>
      <c r="K346" s="166" t="str">
        <f>IF(ISNUMBER(namespace_raw[[#This Row],[Column12]]), namespace_raw[[#This Row],[Column12]],"")</f>
        <v/>
      </c>
      <c r="L346" s="167" t="str">
        <f>IF(ISNUMBER(namespace_raw[[#This Row],[Column13]]), namespace_raw[[#This Row],[Column13]]/1048576,"")</f>
        <v/>
      </c>
      <c r="M346" s="168" t="str">
        <f>IF(ISNUMBER(namespace_raw[[#This Row],[Column10]]), (namespace_raw[[#This Row],[Column10]]*(1+$M$2)),"")</f>
        <v/>
      </c>
      <c r="N346" s="167" t="str">
        <f>IF(ISNUMBER(namespace_raw[[#This Row],[Column11]]), (namespace_raw[[#This Row],[Column11]]*(1+$N$2))/1048576,"")</f>
        <v/>
      </c>
      <c r="O346" s="169" t="str">
        <f>IF(ISNUMBER(namespace_raw[[#This Row],[Column8]]), (E346  * $O$2),"")</f>
        <v/>
      </c>
      <c r="P346" s="170" t="str">
        <f>IF(ISNUMBER(namespace_raw[[#This Row],[Column8]]), (F346  * $P$2),"")</f>
        <v/>
      </c>
    </row>
    <row r="347" spans="1:16" ht="15" customHeight="1" x14ac:dyDescent="0.25">
      <c r="A347" s="32" t="str">
        <f>IF(ISNONTEXT(namespace_raw[[#This Row],[Column1]]), "", namespace_raw[[#This Row],[Column1]])</f>
        <v/>
      </c>
      <c r="B347" s="33" t="str">
        <f>IF(ISNONTEXT(namespace_raw[[#This Row],[Column2]]), "", namespace_raw[[#This Row],[Column2]])</f>
        <v/>
      </c>
      <c r="C347" s="94" t="str">
        <f>IF(ISNUMBER(namespace_raw[[#This Row],[Column4]]), namespace_raw[[#This Row],[Column4]], "")</f>
        <v/>
      </c>
      <c r="D347" s="95" t="str">
        <f>IF(ISNUMBER(namespace_raw[[#This Row],[Column5]]), namespace_raw[[#This Row],[Column5]]/1048576, "")</f>
        <v/>
      </c>
      <c r="E347" s="95" t="str">
        <f>IF(ISNUMBER(namespace_raw[[#This Row],[Column6]]), namespace_raw[[#This Row],[Column6]],"")</f>
        <v/>
      </c>
      <c r="F347" s="96" t="str">
        <f>IF(ISNUMBER(namespace_raw[[#This Row],[Column7]]), namespace_raw[[#This Row],[Column7]]/1048576,"")</f>
        <v/>
      </c>
      <c r="G347" s="122" t="str">
        <f>IF(ISNUMBER(namespace_raw[[#This Row],[Column8]]), namespace_raw[[#This Row],[Column8]],"")</f>
        <v/>
      </c>
      <c r="H347" s="123" t="str">
        <f>IF(ISNUMBER(namespace_raw[[#This Row],[Column9]]), namespace_raw[[#This Row],[Column9]]/1048576,"")</f>
        <v/>
      </c>
      <c r="I347" s="124" t="str">
        <f>IF(ISNUMBER(namespace_raw[[#This Row],[Column8]]),MAX(G347, M347, O347, $I$2,IF(Q347&lt;&gt;"",VALUE(Q347),0)), "")</f>
        <v/>
      </c>
      <c r="J347" s="125" t="str">
        <f>IF(ISNUMBER(namespace_raw[[#This Row],[Column9]]),MAX(H347, N347, P347, $J$2,IF(R347&lt;&gt;"",VALUE(R347),0)),"")</f>
        <v/>
      </c>
      <c r="K347" s="166" t="str">
        <f>IF(ISNUMBER(namespace_raw[[#This Row],[Column12]]), namespace_raw[[#This Row],[Column12]],"")</f>
        <v/>
      </c>
      <c r="L347" s="167" t="str">
        <f>IF(ISNUMBER(namespace_raw[[#This Row],[Column13]]), namespace_raw[[#This Row],[Column13]]/1048576,"")</f>
        <v/>
      </c>
      <c r="M347" s="168" t="str">
        <f>IF(ISNUMBER(namespace_raw[[#This Row],[Column10]]), (namespace_raw[[#This Row],[Column10]]*(1+$M$2)),"")</f>
        <v/>
      </c>
      <c r="N347" s="167" t="str">
        <f>IF(ISNUMBER(namespace_raw[[#This Row],[Column11]]), (namespace_raw[[#This Row],[Column11]]*(1+$N$2))/1048576,"")</f>
        <v/>
      </c>
      <c r="O347" s="169" t="str">
        <f>IF(ISNUMBER(namespace_raw[[#This Row],[Column8]]), (E347  * $O$2),"")</f>
        <v/>
      </c>
      <c r="P347" s="170" t="str">
        <f>IF(ISNUMBER(namespace_raw[[#This Row],[Column8]]), (F347  * $P$2),"")</f>
        <v/>
      </c>
    </row>
    <row r="348" spans="1:16" ht="15" customHeight="1" x14ac:dyDescent="0.25">
      <c r="A348" s="32" t="str">
        <f>IF(ISNONTEXT(namespace_raw[[#This Row],[Column1]]), "", namespace_raw[[#This Row],[Column1]])</f>
        <v/>
      </c>
      <c r="B348" s="33" t="str">
        <f>IF(ISNONTEXT(namespace_raw[[#This Row],[Column2]]), "", namespace_raw[[#This Row],[Column2]])</f>
        <v/>
      </c>
      <c r="C348" s="94" t="str">
        <f>IF(ISNUMBER(namespace_raw[[#This Row],[Column4]]), namespace_raw[[#This Row],[Column4]], "")</f>
        <v/>
      </c>
      <c r="D348" s="95" t="str">
        <f>IF(ISNUMBER(namespace_raw[[#This Row],[Column5]]), namespace_raw[[#This Row],[Column5]]/1048576, "")</f>
        <v/>
      </c>
      <c r="E348" s="95" t="str">
        <f>IF(ISNUMBER(namespace_raw[[#This Row],[Column6]]), namespace_raw[[#This Row],[Column6]],"")</f>
        <v/>
      </c>
      <c r="F348" s="96" t="str">
        <f>IF(ISNUMBER(namespace_raw[[#This Row],[Column7]]), namespace_raw[[#This Row],[Column7]]/1048576,"")</f>
        <v/>
      </c>
      <c r="G348" s="122" t="str">
        <f>IF(ISNUMBER(namespace_raw[[#This Row],[Column8]]), namespace_raw[[#This Row],[Column8]],"")</f>
        <v/>
      </c>
      <c r="H348" s="123" t="str">
        <f>IF(ISNUMBER(namespace_raw[[#This Row],[Column9]]), namespace_raw[[#This Row],[Column9]]/1048576,"")</f>
        <v/>
      </c>
      <c r="I348" s="124" t="str">
        <f>IF(ISNUMBER(namespace_raw[[#This Row],[Column8]]),MAX(G348, M348, O348, $I$2,IF(Q348&lt;&gt;"",VALUE(Q348),0)), "")</f>
        <v/>
      </c>
      <c r="J348" s="125" t="str">
        <f>IF(ISNUMBER(namespace_raw[[#This Row],[Column9]]),MAX(H348, N348, P348, $J$2,IF(R348&lt;&gt;"",VALUE(R348),0)),"")</f>
        <v/>
      </c>
      <c r="K348" s="166" t="str">
        <f>IF(ISNUMBER(namespace_raw[[#This Row],[Column12]]), namespace_raw[[#This Row],[Column12]],"")</f>
        <v/>
      </c>
      <c r="L348" s="167" t="str">
        <f>IF(ISNUMBER(namespace_raw[[#This Row],[Column13]]), namespace_raw[[#This Row],[Column13]]/1048576,"")</f>
        <v/>
      </c>
      <c r="M348" s="168" t="str">
        <f>IF(ISNUMBER(namespace_raw[[#This Row],[Column10]]), (namespace_raw[[#This Row],[Column10]]*(1+$M$2)),"")</f>
        <v/>
      </c>
      <c r="N348" s="167" t="str">
        <f>IF(ISNUMBER(namespace_raw[[#This Row],[Column11]]), (namespace_raw[[#This Row],[Column11]]*(1+$N$2))/1048576,"")</f>
        <v/>
      </c>
      <c r="O348" s="169" t="str">
        <f>IF(ISNUMBER(namespace_raw[[#This Row],[Column8]]), (E348  * $O$2),"")</f>
        <v/>
      </c>
      <c r="P348" s="170" t="str">
        <f>IF(ISNUMBER(namespace_raw[[#This Row],[Column8]]), (F348  * $P$2),"")</f>
        <v/>
      </c>
    </row>
    <row r="349" spans="1:16" ht="15" customHeight="1" x14ac:dyDescent="0.25">
      <c r="A349" s="32" t="str">
        <f>IF(ISNONTEXT(namespace_raw[[#This Row],[Column1]]), "", namespace_raw[[#This Row],[Column1]])</f>
        <v/>
      </c>
      <c r="B349" s="33" t="str">
        <f>IF(ISNONTEXT(namespace_raw[[#This Row],[Column2]]), "", namespace_raw[[#This Row],[Column2]])</f>
        <v/>
      </c>
      <c r="C349" s="94" t="str">
        <f>IF(ISNUMBER(namespace_raw[[#This Row],[Column4]]), namespace_raw[[#This Row],[Column4]], "")</f>
        <v/>
      </c>
      <c r="D349" s="95" t="str">
        <f>IF(ISNUMBER(namespace_raw[[#This Row],[Column5]]), namespace_raw[[#This Row],[Column5]]/1048576, "")</f>
        <v/>
      </c>
      <c r="E349" s="95" t="str">
        <f>IF(ISNUMBER(namespace_raw[[#This Row],[Column6]]), namespace_raw[[#This Row],[Column6]],"")</f>
        <v/>
      </c>
      <c r="F349" s="96" t="str">
        <f>IF(ISNUMBER(namespace_raw[[#This Row],[Column7]]), namespace_raw[[#This Row],[Column7]]/1048576,"")</f>
        <v/>
      </c>
      <c r="G349" s="122" t="str">
        <f>IF(ISNUMBER(namespace_raw[[#This Row],[Column8]]), namespace_raw[[#This Row],[Column8]],"")</f>
        <v/>
      </c>
      <c r="H349" s="123" t="str">
        <f>IF(ISNUMBER(namespace_raw[[#This Row],[Column9]]), namespace_raw[[#This Row],[Column9]]/1048576,"")</f>
        <v/>
      </c>
      <c r="I349" s="124" t="str">
        <f>IF(ISNUMBER(namespace_raw[[#This Row],[Column8]]),MAX(G349, M349, O349, $I$2,IF(Q349&lt;&gt;"",VALUE(Q349),0)), "")</f>
        <v/>
      </c>
      <c r="J349" s="125" t="str">
        <f>IF(ISNUMBER(namespace_raw[[#This Row],[Column9]]),MAX(H349, N349, P349, $J$2,IF(R349&lt;&gt;"",VALUE(R349),0)),"")</f>
        <v/>
      </c>
      <c r="K349" s="166" t="str">
        <f>IF(ISNUMBER(namespace_raw[[#This Row],[Column12]]), namespace_raw[[#This Row],[Column12]],"")</f>
        <v/>
      </c>
      <c r="L349" s="167" t="str">
        <f>IF(ISNUMBER(namespace_raw[[#This Row],[Column13]]), namespace_raw[[#This Row],[Column13]]/1048576,"")</f>
        <v/>
      </c>
      <c r="M349" s="168" t="str">
        <f>IF(ISNUMBER(namespace_raw[[#This Row],[Column10]]), (namespace_raw[[#This Row],[Column10]]*(1+$M$2)),"")</f>
        <v/>
      </c>
      <c r="N349" s="167" t="str">
        <f>IF(ISNUMBER(namespace_raw[[#This Row],[Column11]]), (namespace_raw[[#This Row],[Column11]]*(1+$N$2))/1048576,"")</f>
        <v/>
      </c>
      <c r="O349" s="169" t="str">
        <f>IF(ISNUMBER(namespace_raw[[#This Row],[Column8]]), (E349  * $O$2),"")</f>
        <v/>
      </c>
      <c r="P349" s="170" t="str">
        <f>IF(ISNUMBER(namespace_raw[[#This Row],[Column8]]), (F349  * $P$2),"")</f>
        <v/>
      </c>
    </row>
    <row r="350" spans="1:16" ht="15" customHeight="1" x14ac:dyDescent="0.25">
      <c r="A350" s="32" t="str">
        <f>IF(ISNONTEXT(namespace_raw[[#This Row],[Column1]]), "", namespace_raw[[#This Row],[Column1]])</f>
        <v/>
      </c>
      <c r="B350" s="33" t="str">
        <f>IF(ISNONTEXT(namespace_raw[[#This Row],[Column2]]), "", namespace_raw[[#This Row],[Column2]])</f>
        <v/>
      </c>
      <c r="C350" s="94" t="str">
        <f>IF(ISNUMBER(namespace_raw[[#This Row],[Column4]]), namespace_raw[[#This Row],[Column4]], "")</f>
        <v/>
      </c>
      <c r="D350" s="95" t="str">
        <f>IF(ISNUMBER(namespace_raw[[#This Row],[Column5]]), namespace_raw[[#This Row],[Column5]]/1048576, "")</f>
        <v/>
      </c>
      <c r="E350" s="95" t="str">
        <f>IF(ISNUMBER(namespace_raw[[#This Row],[Column6]]), namespace_raw[[#This Row],[Column6]],"")</f>
        <v/>
      </c>
      <c r="F350" s="96" t="str">
        <f>IF(ISNUMBER(namespace_raw[[#This Row],[Column7]]), namespace_raw[[#This Row],[Column7]]/1048576,"")</f>
        <v/>
      </c>
      <c r="G350" s="122" t="str">
        <f>IF(ISNUMBER(namespace_raw[[#This Row],[Column8]]), namespace_raw[[#This Row],[Column8]],"")</f>
        <v/>
      </c>
      <c r="H350" s="123" t="str">
        <f>IF(ISNUMBER(namespace_raw[[#This Row],[Column9]]), namespace_raw[[#This Row],[Column9]]/1048576,"")</f>
        <v/>
      </c>
      <c r="I350" s="124" t="str">
        <f>IF(ISNUMBER(namespace_raw[[#This Row],[Column8]]),MAX(G350, M350, O350, $I$2,IF(Q350&lt;&gt;"",VALUE(Q350),0)), "")</f>
        <v/>
      </c>
      <c r="J350" s="125" t="str">
        <f>IF(ISNUMBER(namespace_raw[[#This Row],[Column9]]),MAX(H350, N350, P350, $J$2,IF(R350&lt;&gt;"",VALUE(R350),0)),"")</f>
        <v/>
      </c>
      <c r="K350" s="166" t="str">
        <f>IF(ISNUMBER(namespace_raw[[#This Row],[Column12]]), namespace_raw[[#This Row],[Column12]],"")</f>
        <v/>
      </c>
      <c r="L350" s="167" t="str">
        <f>IF(ISNUMBER(namespace_raw[[#This Row],[Column13]]), namespace_raw[[#This Row],[Column13]]/1048576,"")</f>
        <v/>
      </c>
      <c r="M350" s="168" t="str">
        <f>IF(ISNUMBER(namespace_raw[[#This Row],[Column10]]), (namespace_raw[[#This Row],[Column10]]*(1+$M$2)),"")</f>
        <v/>
      </c>
      <c r="N350" s="167" t="str">
        <f>IF(ISNUMBER(namespace_raw[[#This Row],[Column11]]), (namespace_raw[[#This Row],[Column11]]*(1+$N$2))/1048576,"")</f>
        <v/>
      </c>
      <c r="O350" s="169" t="str">
        <f>IF(ISNUMBER(namespace_raw[[#This Row],[Column8]]), (E350  * $O$2),"")</f>
        <v/>
      </c>
      <c r="P350" s="170" t="str">
        <f>IF(ISNUMBER(namespace_raw[[#This Row],[Column8]]), (F350  * $P$2),"")</f>
        <v/>
      </c>
    </row>
    <row r="351" spans="1:16" ht="15" customHeight="1" x14ac:dyDescent="0.25">
      <c r="A351" s="32" t="str">
        <f>IF(ISNONTEXT(namespace_raw[[#This Row],[Column1]]), "", namespace_raw[[#This Row],[Column1]])</f>
        <v/>
      </c>
      <c r="B351" s="33" t="str">
        <f>IF(ISNONTEXT(namespace_raw[[#This Row],[Column2]]), "", namespace_raw[[#This Row],[Column2]])</f>
        <v/>
      </c>
      <c r="C351" s="94" t="str">
        <f>IF(ISNUMBER(namespace_raw[[#This Row],[Column4]]), namespace_raw[[#This Row],[Column4]], "")</f>
        <v/>
      </c>
      <c r="D351" s="95" t="str">
        <f>IF(ISNUMBER(namespace_raw[[#This Row],[Column5]]), namespace_raw[[#This Row],[Column5]]/1048576, "")</f>
        <v/>
      </c>
      <c r="E351" s="95" t="str">
        <f>IF(ISNUMBER(namespace_raw[[#This Row],[Column6]]), namespace_raw[[#This Row],[Column6]],"")</f>
        <v/>
      </c>
      <c r="F351" s="96" t="str">
        <f>IF(ISNUMBER(namespace_raw[[#This Row],[Column7]]), namespace_raw[[#This Row],[Column7]]/1048576,"")</f>
        <v/>
      </c>
      <c r="G351" s="122" t="str">
        <f>IF(ISNUMBER(namespace_raw[[#This Row],[Column8]]), namespace_raw[[#This Row],[Column8]],"")</f>
        <v/>
      </c>
      <c r="H351" s="123" t="str">
        <f>IF(ISNUMBER(namespace_raw[[#This Row],[Column9]]), namespace_raw[[#This Row],[Column9]]/1048576,"")</f>
        <v/>
      </c>
      <c r="I351" s="124" t="str">
        <f>IF(ISNUMBER(namespace_raw[[#This Row],[Column8]]),MAX(G351, M351, O351, $I$2,IF(Q351&lt;&gt;"",VALUE(Q351),0)), "")</f>
        <v/>
      </c>
      <c r="J351" s="125" t="str">
        <f>IF(ISNUMBER(namespace_raw[[#This Row],[Column9]]),MAX(H351, N351, P351, $J$2,IF(R351&lt;&gt;"",VALUE(R351),0)),"")</f>
        <v/>
      </c>
      <c r="K351" s="166" t="str">
        <f>IF(ISNUMBER(namespace_raw[[#This Row],[Column12]]), namespace_raw[[#This Row],[Column12]],"")</f>
        <v/>
      </c>
      <c r="L351" s="167" t="str">
        <f>IF(ISNUMBER(namespace_raw[[#This Row],[Column13]]), namespace_raw[[#This Row],[Column13]]/1048576,"")</f>
        <v/>
      </c>
      <c r="M351" s="168" t="str">
        <f>IF(ISNUMBER(namespace_raw[[#This Row],[Column10]]), (namespace_raw[[#This Row],[Column10]]*(1+$M$2)),"")</f>
        <v/>
      </c>
      <c r="N351" s="167" t="str">
        <f>IF(ISNUMBER(namespace_raw[[#This Row],[Column11]]), (namespace_raw[[#This Row],[Column11]]*(1+$N$2))/1048576,"")</f>
        <v/>
      </c>
      <c r="O351" s="169" t="str">
        <f>IF(ISNUMBER(namespace_raw[[#This Row],[Column8]]), (E351  * $O$2),"")</f>
        <v/>
      </c>
      <c r="P351" s="170" t="str">
        <f>IF(ISNUMBER(namespace_raw[[#This Row],[Column8]]), (F351  * $P$2),"")</f>
        <v/>
      </c>
    </row>
    <row r="352" spans="1:16" ht="15" customHeight="1" x14ac:dyDescent="0.25">
      <c r="A352" s="32" t="str">
        <f>IF(ISNONTEXT(namespace_raw[[#This Row],[Column1]]), "", namespace_raw[[#This Row],[Column1]])</f>
        <v/>
      </c>
      <c r="B352" s="33" t="str">
        <f>IF(ISNONTEXT(namespace_raw[[#This Row],[Column2]]), "", namespace_raw[[#This Row],[Column2]])</f>
        <v/>
      </c>
      <c r="C352" s="94" t="str">
        <f>IF(ISNUMBER(namespace_raw[[#This Row],[Column4]]), namespace_raw[[#This Row],[Column4]], "")</f>
        <v/>
      </c>
      <c r="D352" s="95" t="str">
        <f>IF(ISNUMBER(namespace_raw[[#This Row],[Column5]]), namespace_raw[[#This Row],[Column5]]/1048576, "")</f>
        <v/>
      </c>
      <c r="E352" s="95" t="str">
        <f>IF(ISNUMBER(namespace_raw[[#This Row],[Column6]]), namespace_raw[[#This Row],[Column6]],"")</f>
        <v/>
      </c>
      <c r="F352" s="96" t="str">
        <f>IF(ISNUMBER(namespace_raw[[#This Row],[Column7]]), namespace_raw[[#This Row],[Column7]]/1048576,"")</f>
        <v/>
      </c>
      <c r="G352" s="122" t="str">
        <f>IF(ISNUMBER(namespace_raw[[#This Row],[Column8]]), namespace_raw[[#This Row],[Column8]],"")</f>
        <v/>
      </c>
      <c r="H352" s="123" t="str">
        <f>IF(ISNUMBER(namespace_raw[[#This Row],[Column9]]), namespace_raw[[#This Row],[Column9]]/1048576,"")</f>
        <v/>
      </c>
      <c r="I352" s="124" t="str">
        <f>IF(ISNUMBER(namespace_raw[[#This Row],[Column8]]),MAX(G352, M352, O352, $I$2,IF(Q352&lt;&gt;"",VALUE(Q352),0)), "")</f>
        <v/>
      </c>
      <c r="J352" s="125" t="str">
        <f>IF(ISNUMBER(namespace_raw[[#This Row],[Column9]]),MAX(H352, N352, P352, $J$2,IF(R352&lt;&gt;"",VALUE(R352),0)),"")</f>
        <v/>
      </c>
      <c r="K352" s="166" t="str">
        <f>IF(ISNUMBER(namespace_raw[[#This Row],[Column12]]), namespace_raw[[#This Row],[Column12]],"")</f>
        <v/>
      </c>
      <c r="L352" s="167" t="str">
        <f>IF(ISNUMBER(namespace_raw[[#This Row],[Column13]]), namespace_raw[[#This Row],[Column13]]/1048576,"")</f>
        <v/>
      </c>
      <c r="M352" s="168" t="str">
        <f>IF(ISNUMBER(namespace_raw[[#This Row],[Column10]]), (namespace_raw[[#This Row],[Column10]]*(1+$M$2)),"")</f>
        <v/>
      </c>
      <c r="N352" s="167" t="str">
        <f>IF(ISNUMBER(namespace_raw[[#This Row],[Column11]]), (namespace_raw[[#This Row],[Column11]]*(1+$N$2))/1048576,"")</f>
        <v/>
      </c>
      <c r="O352" s="169" t="str">
        <f>IF(ISNUMBER(namespace_raw[[#This Row],[Column8]]), (E352  * $O$2),"")</f>
        <v/>
      </c>
      <c r="P352" s="170" t="str">
        <f>IF(ISNUMBER(namespace_raw[[#This Row],[Column8]]), (F352  * $P$2),"")</f>
        <v/>
      </c>
    </row>
    <row r="353" spans="1:16" ht="15" customHeight="1" x14ac:dyDescent="0.25">
      <c r="A353" s="32" t="str">
        <f>IF(ISNONTEXT(namespace_raw[[#This Row],[Column1]]), "", namespace_raw[[#This Row],[Column1]])</f>
        <v/>
      </c>
      <c r="B353" s="33" t="str">
        <f>IF(ISNONTEXT(namespace_raw[[#This Row],[Column2]]), "", namespace_raw[[#This Row],[Column2]])</f>
        <v/>
      </c>
      <c r="C353" s="94" t="str">
        <f>IF(ISNUMBER(namespace_raw[[#This Row],[Column4]]), namespace_raw[[#This Row],[Column4]], "")</f>
        <v/>
      </c>
      <c r="D353" s="95" t="str">
        <f>IF(ISNUMBER(namespace_raw[[#This Row],[Column5]]), namespace_raw[[#This Row],[Column5]]/1048576, "")</f>
        <v/>
      </c>
      <c r="E353" s="95" t="str">
        <f>IF(ISNUMBER(namespace_raw[[#This Row],[Column6]]), namespace_raw[[#This Row],[Column6]],"")</f>
        <v/>
      </c>
      <c r="F353" s="96" t="str">
        <f>IF(ISNUMBER(namespace_raw[[#This Row],[Column7]]), namespace_raw[[#This Row],[Column7]]/1048576,"")</f>
        <v/>
      </c>
      <c r="G353" s="122" t="str">
        <f>IF(ISNUMBER(namespace_raw[[#This Row],[Column8]]), namespace_raw[[#This Row],[Column8]],"")</f>
        <v/>
      </c>
      <c r="H353" s="123" t="str">
        <f>IF(ISNUMBER(namespace_raw[[#This Row],[Column9]]), namespace_raw[[#This Row],[Column9]]/1048576,"")</f>
        <v/>
      </c>
      <c r="I353" s="124" t="str">
        <f>IF(ISNUMBER(namespace_raw[[#This Row],[Column8]]),MAX(G353, M353, O353, $I$2,IF(Q353&lt;&gt;"",VALUE(Q353),0)), "")</f>
        <v/>
      </c>
      <c r="J353" s="125" t="str">
        <f>IF(ISNUMBER(namespace_raw[[#This Row],[Column9]]),MAX(H353, N353, P353, $J$2,IF(R353&lt;&gt;"",VALUE(R353),0)),"")</f>
        <v/>
      </c>
      <c r="K353" s="166" t="str">
        <f>IF(ISNUMBER(namespace_raw[[#This Row],[Column12]]), namespace_raw[[#This Row],[Column12]],"")</f>
        <v/>
      </c>
      <c r="L353" s="167" t="str">
        <f>IF(ISNUMBER(namespace_raw[[#This Row],[Column13]]), namespace_raw[[#This Row],[Column13]]/1048576,"")</f>
        <v/>
      </c>
      <c r="M353" s="168" t="str">
        <f>IF(ISNUMBER(namespace_raw[[#This Row],[Column10]]), (namespace_raw[[#This Row],[Column10]]*(1+$M$2)),"")</f>
        <v/>
      </c>
      <c r="N353" s="167" t="str">
        <f>IF(ISNUMBER(namespace_raw[[#This Row],[Column11]]), (namespace_raw[[#This Row],[Column11]]*(1+$N$2))/1048576,"")</f>
        <v/>
      </c>
      <c r="O353" s="169" t="str">
        <f>IF(ISNUMBER(namespace_raw[[#This Row],[Column8]]), (E353  * $O$2),"")</f>
        <v/>
      </c>
      <c r="P353" s="170" t="str">
        <f>IF(ISNUMBER(namespace_raw[[#This Row],[Column8]]), (F353  * $P$2),"")</f>
        <v/>
      </c>
    </row>
    <row r="354" spans="1:16" ht="15" customHeight="1" x14ac:dyDescent="0.25">
      <c r="A354" s="32" t="str">
        <f>IF(ISNONTEXT(namespace_raw[[#This Row],[Column1]]), "", namespace_raw[[#This Row],[Column1]])</f>
        <v/>
      </c>
      <c r="B354" s="33" t="str">
        <f>IF(ISNONTEXT(namespace_raw[[#This Row],[Column2]]), "", namespace_raw[[#This Row],[Column2]])</f>
        <v/>
      </c>
      <c r="C354" s="94" t="str">
        <f>IF(ISNUMBER(namespace_raw[[#This Row],[Column4]]), namespace_raw[[#This Row],[Column4]], "")</f>
        <v/>
      </c>
      <c r="D354" s="95" t="str">
        <f>IF(ISNUMBER(namespace_raw[[#This Row],[Column5]]), namespace_raw[[#This Row],[Column5]]/1048576, "")</f>
        <v/>
      </c>
      <c r="E354" s="95" t="str">
        <f>IF(ISNUMBER(namespace_raw[[#This Row],[Column6]]), namespace_raw[[#This Row],[Column6]],"")</f>
        <v/>
      </c>
      <c r="F354" s="96" t="str">
        <f>IF(ISNUMBER(namespace_raw[[#This Row],[Column7]]), namespace_raw[[#This Row],[Column7]]/1048576,"")</f>
        <v/>
      </c>
      <c r="G354" s="122" t="str">
        <f>IF(ISNUMBER(namespace_raw[[#This Row],[Column8]]), namespace_raw[[#This Row],[Column8]],"")</f>
        <v/>
      </c>
      <c r="H354" s="123" t="str">
        <f>IF(ISNUMBER(namespace_raw[[#This Row],[Column9]]), namespace_raw[[#This Row],[Column9]]/1048576,"")</f>
        <v/>
      </c>
      <c r="I354" s="124" t="str">
        <f>IF(ISNUMBER(namespace_raw[[#This Row],[Column8]]),MAX(G354, M354, O354, $I$2,IF(Q354&lt;&gt;"",VALUE(Q354),0)), "")</f>
        <v/>
      </c>
      <c r="J354" s="125" t="str">
        <f>IF(ISNUMBER(namespace_raw[[#This Row],[Column9]]),MAX(H354, N354, P354, $J$2,IF(R354&lt;&gt;"",VALUE(R354),0)),"")</f>
        <v/>
      </c>
      <c r="K354" s="166" t="str">
        <f>IF(ISNUMBER(namespace_raw[[#This Row],[Column12]]), namespace_raw[[#This Row],[Column12]],"")</f>
        <v/>
      </c>
      <c r="L354" s="167" t="str">
        <f>IF(ISNUMBER(namespace_raw[[#This Row],[Column13]]), namespace_raw[[#This Row],[Column13]]/1048576,"")</f>
        <v/>
      </c>
      <c r="M354" s="168" t="str">
        <f>IF(ISNUMBER(namespace_raw[[#This Row],[Column10]]), (namespace_raw[[#This Row],[Column10]]*(1+$M$2)),"")</f>
        <v/>
      </c>
      <c r="N354" s="167" t="str">
        <f>IF(ISNUMBER(namespace_raw[[#This Row],[Column11]]), (namespace_raw[[#This Row],[Column11]]*(1+$N$2))/1048576,"")</f>
        <v/>
      </c>
      <c r="O354" s="169" t="str">
        <f>IF(ISNUMBER(namespace_raw[[#This Row],[Column8]]), (E354  * $O$2),"")</f>
        <v/>
      </c>
      <c r="P354" s="170" t="str">
        <f>IF(ISNUMBER(namespace_raw[[#This Row],[Column8]]), (F354  * $P$2),"")</f>
        <v/>
      </c>
    </row>
    <row r="355" spans="1:16" ht="15" customHeight="1" x14ac:dyDescent="0.25">
      <c r="A355" s="32" t="str">
        <f>IF(ISNONTEXT(namespace_raw[[#This Row],[Column1]]), "", namespace_raw[[#This Row],[Column1]])</f>
        <v/>
      </c>
      <c r="B355" s="33" t="str">
        <f>IF(ISNONTEXT(namespace_raw[[#This Row],[Column2]]), "", namespace_raw[[#This Row],[Column2]])</f>
        <v/>
      </c>
      <c r="C355" s="94" t="str">
        <f>IF(ISNUMBER(namespace_raw[[#This Row],[Column4]]), namespace_raw[[#This Row],[Column4]], "")</f>
        <v/>
      </c>
      <c r="D355" s="95" t="str">
        <f>IF(ISNUMBER(namespace_raw[[#This Row],[Column5]]), namespace_raw[[#This Row],[Column5]]/1048576, "")</f>
        <v/>
      </c>
      <c r="E355" s="95" t="str">
        <f>IF(ISNUMBER(namespace_raw[[#This Row],[Column6]]), namespace_raw[[#This Row],[Column6]],"")</f>
        <v/>
      </c>
      <c r="F355" s="96" t="str">
        <f>IF(ISNUMBER(namespace_raw[[#This Row],[Column7]]), namespace_raw[[#This Row],[Column7]]/1048576,"")</f>
        <v/>
      </c>
      <c r="G355" s="122" t="str">
        <f>IF(ISNUMBER(namespace_raw[[#This Row],[Column8]]), namespace_raw[[#This Row],[Column8]],"")</f>
        <v/>
      </c>
      <c r="H355" s="123" t="str">
        <f>IF(ISNUMBER(namespace_raw[[#This Row],[Column9]]), namespace_raw[[#This Row],[Column9]]/1048576,"")</f>
        <v/>
      </c>
      <c r="I355" s="124" t="str">
        <f>IF(ISNUMBER(namespace_raw[[#This Row],[Column8]]),MAX(G355, M355, O355, $I$2,IF(Q355&lt;&gt;"",VALUE(Q355),0)), "")</f>
        <v/>
      </c>
      <c r="J355" s="125" t="str">
        <f>IF(ISNUMBER(namespace_raw[[#This Row],[Column9]]),MAX(H355, N355, P355, $J$2,IF(R355&lt;&gt;"",VALUE(R355),0)),"")</f>
        <v/>
      </c>
      <c r="K355" s="166" t="str">
        <f>IF(ISNUMBER(namespace_raw[[#This Row],[Column12]]), namespace_raw[[#This Row],[Column12]],"")</f>
        <v/>
      </c>
      <c r="L355" s="167" t="str">
        <f>IF(ISNUMBER(namespace_raw[[#This Row],[Column13]]), namespace_raw[[#This Row],[Column13]]/1048576,"")</f>
        <v/>
      </c>
      <c r="M355" s="168" t="str">
        <f>IF(ISNUMBER(namespace_raw[[#This Row],[Column10]]), (namespace_raw[[#This Row],[Column10]]*(1+$M$2)),"")</f>
        <v/>
      </c>
      <c r="N355" s="167" t="str">
        <f>IF(ISNUMBER(namespace_raw[[#This Row],[Column11]]), (namespace_raw[[#This Row],[Column11]]*(1+$N$2))/1048576,"")</f>
        <v/>
      </c>
      <c r="O355" s="169" t="str">
        <f>IF(ISNUMBER(namespace_raw[[#This Row],[Column8]]), (E355  * $O$2),"")</f>
        <v/>
      </c>
      <c r="P355" s="170" t="str">
        <f>IF(ISNUMBER(namespace_raw[[#This Row],[Column8]]), (F355  * $P$2),"")</f>
        <v/>
      </c>
    </row>
    <row r="356" spans="1:16" ht="15" customHeight="1" x14ac:dyDescent="0.25">
      <c r="A356" s="32" t="str">
        <f>IF(ISNONTEXT(namespace_raw[[#This Row],[Column1]]), "", namespace_raw[[#This Row],[Column1]])</f>
        <v/>
      </c>
      <c r="B356" s="33" t="str">
        <f>IF(ISNONTEXT(namespace_raw[[#This Row],[Column2]]), "", namespace_raw[[#This Row],[Column2]])</f>
        <v/>
      </c>
      <c r="C356" s="94" t="str">
        <f>IF(ISNUMBER(namespace_raw[[#This Row],[Column4]]), namespace_raw[[#This Row],[Column4]], "")</f>
        <v/>
      </c>
      <c r="D356" s="95" t="str">
        <f>IF(ISNUMBER(namespace_raw[[#This Row],[Column5]]), namespace_raw[[#This Row],[Column5]]/1048576, "")</f>
        <v/>
      </c>
      <c r="E356" s="95" t="str">
        <f>IF(ISNUMBER(namespace_raw[[#This Row],[Column6]]), namespace_raw[[#This Row],[Column6]],"")</f>
        <v/>
      </c>
      <c r="F356" s="96" t="str">
        <f>IF(ISNUMBER(namespace_raw[[#This Row],[Column7]]), namespace_raw[[#This Row],[Column7]]/1048576,"")</f>
        <v/>
      </c>
      <c r="G356" s="122" t="str">
        <f>IF(ISNUMBER(namespace_raw[[#This Row],[Column8]]), namespace_raw[[#This Row],[Column8]],"")</f>
        <v/>
      </c>
      <c r="H356" s="123" t="str">
        <f>IF(ISNUMBER(namespace_raw[[#This Row],[Column9]]), namespace_raw[[#This Row],[Column9]]/1048576,"")</f>
        <v/>
      </c>
      <c r="I356" s="124" t="str">
        <f>IF(ISNUMBER(namespace_raw[[#This Row],[Column8]]),MAX(G356, M356, O356, $I$2,IF(Q356&lt;&gt;"",VALUE(Q356),0)), "")</f>
        <v/>
      </c>
      <c r="J356" s="125" t="str">
        <f>IF(ISNUMBER(namespace_raw[[#This Row],[Column9]]),MAX(H356, N356, P356, $J$2,IF(R356&lt;&gt;"",VALUE(R356),0)),"")</f>
        <v/>
      </c>
      <c r="K356" s="166" t="str">
        <f>IF(ISNUMBER(namespace_raw[[#This Row],[Column12]]), namespace_raw[[#This Row],[Column12]],"")</f>
        <v/>
      </c>
      <c r="L356" s="167" t="str">
        <f>IF(ISNUMBER(namespace_raw[[#This Row],[Column13]]), namespace_raw[[#This Row],[Column13]]/1048576,"")</f>
        <v/>
      </c>
      <c r="M356" s="168" t="str">
        <f>IF(ISNUMBER(namespace_raw[[#This Row],[Column10]]), (namespace_raw[[#This Row],[Column10]]*(1+$M$2)),"")</f>
        <v/>
      </c>
      <c r="N356" s="167" t="str">
        <f>IF(ISNUMBER(namespace_raw[[#This Row],[Column11]]), (namespace_raw[[#This Row],[Column11]]*(1+$N$2))/1048576,"")</f>
        <v/>
      </c>
      <c r="O356" s="169" t="str">
        <f>IF(ISNUMBER(namespace_raw[[#This Row],[Column8]]), (E356  * $O$2),"")</f>
        <v/>
      </c>
      <c r="P356" s="170" t="str">
        <f>IF(ISNUMBER(namespace_raw[[#This Row],[Column8]]), (F356  * $P$2),"")</f>
        <v/>
      </c>
    </row>
    <row r="357" spans="1:16" ht="15" customHeight="1" x14ac:dyDescent="0.25">
      <c r="A357" s="32" t="str">
        <f>IF(ISNONTEXT(namespace_raw[[#This Row],[Column1]]), "", namespace_raw[[#This Row],[Column1]])</f>
        <v/>
      </c>
      <c r="B357" s="33" t="str">
        <f>IF(ISNONTEXT(namespace_raw[[#This Row],[Column2]]), "", namespace_raw[[#This Row],[Column2]])</f>
        <v/>
      </c>
      <c r="C357" s="94" t="str">
        <f>IF(ISNUMBER(namespace_raw[[#This Row],[Column4]]), namespace_raw[[#This Row],[Column4]], "")</f>
        <v/>
      </c>
      <c r="D357" s="95" t="str">
        <f>IF(ISNUMBER(namespace_raw[[#This Row],[Column5]]), namespace_raw[[#This Row],[Column5]]/1048576, "")</f>
        <v/>
      </c>
      <c r="E357" s="95" t="str">
        <f>IF(ISNUMBER(namespace_raw[[#This Row],[Column6]]), namespace_raw[[#This Row],[Column6]],"")</f>
        <v/>
      </c>
      <c r="F357" s="96" t="str">
        <f>IF(ISNUMBER(namespace_raw[[#This Row],[Column7]]), namespace_raw[[#This Row],[Column7]]/1048576,"")</f>
        <v/>
      </c>
      <c r="G357" s="122" t="str">
        <f>IF(ISNUMBER(namespace_raw[[#This Row],[Column8]]), namespace_raw[[#This Row],[Column8]],"")</f>
        <v/>
      </c>
      <c r="H357" s="123" t="str">
        <f>IF(ISNUMBER(namespace_raw[[#This Row],[Column9]]), namespace_raw[[#This Row],[Column9]]/1048576,"")</f>
        <v/>
      </c>
      <c r="I357" s="124" t="str">
        <f>IF(ISNUMBER(namespace_raw[[#This Row],[Column8]]),MAX(G357, M357, O357, $I$2,IF(Q357&lt;&gt;"",VALUE(Q357),0)), "")</f>
        <v/>
      </c>
      <c r="J357" s="125" t="str">
        <f>IF(ISNUMBER(namespace_raw[[#This Row],[Column9]]),MAX(H357, N357, P357, $J$2,IF(R357&lt;&gt;"",VALUE(R357),0)),"")</f>
        <v/>
      </c>
      <c r="K357" s="166" t="str">
        <f>IF(ISNUMBER(namespace_raw[[#This Row],[Column12]]), namespace_raw[[#This Row],[Column12]],"")</f>
        <v/>
      </c>
      <c r="L357" s="167" t="str">
        <f>IF(ISNUMBER(namespace_raw[[#This Row],[Column13]]), namespace_raw[[#This Row],[Column13]]/1048576,"")</f>
        <v/>
      </c>
      <c r="M357" s="168" t="str">
        <f>IF(ISNUMBER(namespace_raw[[#This Row],[Column10]]), (namespace_raw[[#This Row],[Column10]]*(1+$M$2)),"")</f>
        <v/>
      </c>
      <c r="N357" s="167" t="str">
        <f>IF(ISNUMBER(namespace_raw[[#This Row],[Column11]]), (namespace_raw[[#This Row],[Column11]]*(1+$N$2))/1048576,"")</f>
        <v/>
      </c>
      <c r="O357" s="169" t="str">
        <f>IF(ISNUMBER(namespace_raw[[#This Row],[Column8]]), (E357  * $O$2),"")</f>
        <v/>
      </c>
      <c r="P357" s="170" t="str">
        <f>IF(ISNUMBER(namespace_raw[[#This Row],[Column8]]), (F357  * $P$2),"")</f>
        <v/>
      </c>
    </row>
    <row r="358" spans="1:16" ht="15" customHeight="1" x14ac:dyDescent="0.25">
      <c r="A358" s="32" t="str">
        <f>IF(ISNONTEXT(namespace_raw[[#This Row],[Column1]]), "", namespace_raw[[#This Row],[Column1]])</f>
        <v/>
      </c>
      <c r="B358" s="33" t="str">
        <f>IF(ISNONTEXT(namespace_raw[[#This Row],[Column2]]), "", namespace_raw[[#This Row],[Column2]])</f>
        <v/>
      </c>
      <c r="C358" s="94" t="str">
        <f>IF(ISNUMBER(namespace_raw[[#This Row],[Column4]]), namespace_raw[[#This Row],[Column4]], "")</f>
        <v/>
      </c>
      <c r="D358" s="95" t="str">
        <f>IF(ISNUMBER(namespace_raw[[#This Row],[Column5]]), namespace_raw[[#This Row],[Column5]]/1048576, "")</f>
        <v/>
      </c>
      <c r="E358" s="95" t="str">
        <f>IF(ISNUMBER(namespace_raw[[#This Row],[Column6]]), namespace_raw[[#This Row],[Column6]],"")</f>
        <v/>
      </c>
      <c r="F358" s="96" t="str">
        <f>IF(ISNUMBER(namespace_raw[[#This Row],[Column7]]), namespace_raw[[#This Row],[Column7]]/1048576,"")</f>
        <v/>
      </c>
      <c r="G358" s="122" t="str">
        <f>IF(ISNUMBER(namespace_raw[[#This Row],[Column8]]), namespace_raw[[#This Row],[Column8]],"")</f>
        <v/>
      </c>
      <c r="H358" s="123" t="str">
        <f>IF(ISNUMBER(namespace_raw[[#This Row],[Column9]]), namespace_raw[[#This Row],[Column9]]/1048576,"")</f>
        <v/>
      </c>
      <c r="I358" s="124" t="str">
        <f>IF(ISNUMBER(namespace_raw[[#This Row],[Column8]]),MAX(G358, M358, O358, $I$2,IF(Q358&lt;&gt;"",VALUE(Q358),0)), "")</f>
        <v/>
      </c>
      <c r="J358" s="125" t="str">
        <f>IF(ISNUMBER(namespace_raw[[#This Row],[Column9]]),MAX(H358, N358, P358, $J$2,IF(R358&lt;&gt;"",VALUE(R358),0)),"")</f>
        <v/>
      </c>
      <c r="K358" s="166" t="str">
        <f>IF(ISNUMBER(namespace_raw[[#This Row],[Column12]]), namespace_raw[[#This Row],[Column12]],"")</f>
        <v/>
      </c>
      <c r="L358" s="167" t="str">
        <f>IF(ISNUMBER(namespace_raw[[#This Row],[Column13]]), namespace_raw[[#This Row],[Column13]]/1048576,"")</f>
        <v/>
      </c>
      <c r="M358" s="168" t="str">
        <f>IF(ISNUMBER(namespace_raw[[#This Row],[Column10]]), (namespace_raw[[#This Row],[Column10]]*(1+$M$2)),"")</f>
        <v/>
      </c>
      <c r="N358" s="167" t="str">
        <f>IF(ISNUMBER(namespace_raw[[#This Row],[Column11]]), (namespace_raw[[#This Row],[Column11]]*(1+$N$2))/1048576,"")</f>
        <v/>
      </c>
      <c r="O358" s="169" t="str">
        <f>IF(ISNUMBER(namespace_raw[[#This Row],[Column8]]), (E358  * $O$2),"")</f>
        <v/>
      </c>
      <c r="P358" s="170" t="str">
        <f>IF(ISNUMBER(namespace_raw[[#This Row],[Column8]]), (F358  * $P$2),"")</f>
        <v/>
      </c>
    </row>
    <row r="359" spans="1:16" ht="15" customHeight="1" x14ac:dyDescent="0.25">
      <c r="A359" s="32" t="str">
        <f>IF(ISNONTEXT(namespace_raw[[#This Row],[Column1]]), "", namespace_raw[[#This Row],[Column1]])</f>
        <v/>
      </c>
      <c r="B359" s="33" t="str">
        <f>IF(ISNONTEXT(namespace_raw[[#This Row],[Column2]]), "", namespace_raw[[#This Row],[Column2]])</f>
        <v/>
      </c>
      <c r="C359" s="94" t="str">
        <f>IF(ISNUMBER(namespace_raw[[#This Row],[Column4]]), namespace_raw[[#This Row],[Column4]], "")</f>
        <v/>
      </c>
      <c r="D359" s="95" t="str">
        <f>IF(ISNUMBER(namespace_raw[[#This Row],[Column5]]), namespace_raw[[#This Row],[Column5]]/1048576, "")</f>
        <v/>
      </c>
      <c r="E359" s="95" t="str">
        <f>IF(ISNUMBER(namespace_raw[[#This Row],[Column6]]), namespace_raw[[#This Row],[Column6]],"")</f>
        <v/>
      </c>
      <c r="F359" s="96" t="str">
        <f>IF(ISNUMBER(namespace_raw[[#This Row],[Column7]]), namespace_raw[[#This Row],[Column7]]/1048576,"")</f>
        <v/>
      </c>
      <c r="G359" s="122" t="str">
        <f>IF(ISNUMBER(namespace_raw[[#This Row],[Column8]]), namespace_raw[[#This Row],[Column8]],"")</f>
        <v/>
      </c>
      <c r="H359" s="123" t="str">
        <f>IF(ISNUMBER(namespace_raw[[#This Row],[Column9]]), namespace_raw[[#This Row],[Column9]]/1048576,"")</f>
        <v/>
      </c>
      <c r="I359" s="124" t="str">
        <f>IF(ISNUMBER(namespace_raw[[#This Row],[Column8]]),MAX(G359, M359, O359, $I$2,IF(Q359&lt;&gt;"",VALUE(Q359),0)), "")</f>
        <v/>
      </c>
      <c r="J359" s="125" t="str">
        <f>IF(ISNUMBER(namespace_raw[[#This Row],[Column9]]),MAX(H359, N359, P359, $J$2,IF(R359&lt;&gt;"",VALUE(R359),0)),"")</f>
        <v/>
      </c>
      <c r="K359" s="166" t="str">
        <f>IF(ISNUMBER(namespace_raw[[#This Row],[Column12]]), namespace_raw[[#This Row],[Column12]],"")</f>
        <v/>
      </c>
      <c r="L359" s="167" t="str">
        <f>IF(ISNUMBER(namespace_raw[[#This Row],[Column13]]), namespace_raw[[#This Row],[Column13]]/1048576,"")</f>
        <v/>
      </c>
      <c r="M359" s="168" t="str">
        <f>IF(ISNUMBER(namespace_raw[[#This Row],[Column10]]), (namespace_raw[[#This Row],[Column10]]*(1+$M$2)),"")</f>
        <v/>
      </c>
      <c r="N359" s="167" t="str">
        <f>IF(ISNUMBER(namespace_raw[[#This Row],[Column11]]), (namespace_raw[[#This Row],[Column11]]*(1+$N$2))/1048576,"")</f>
        <v/>
      </c>
      <c r="O359" s="169" t="str">
        <f>IF(ISNUMBER(namespace_raw[[#This Row],[Column8]]), (E359  * $O$2),"")</f>
        <v/>
      </c>
      <c r="P359" s="170" t="str">
        <f>IF(ISNUMBER(namespace_raw[[#This Row],[Column8]]), (F359  * $P$2),"")</f>
        <v/>
      </c>
    </row>
    <row r="360" spans="1:16" ht="15" customHeight="1" x14ac:dyDescent="0.25">
      <c r="A360" s="32" t="str">
        <f>IF(ISNONTEXT(namespace_raw[[#This Row],[Column1]]), "", namespace_raw[[#This Row],[Column1]])</f>
        <v/>
      </c>
      <c r="B360" s="33" t="str">
        <f>IF(ISNONTEXT(namespace_raw[[#This Row],[Column2]]), "", namespace_raw[[#This Row],[Column2]])</f>
        <v/>
      </c>
      <c r="C360" s="94" t="str">
        <f>IF(ISNUMBER(namespace_raw[[#This Row],[Column4]]), namespace_raw[[#This Row],[Column4]], "")</f>
        <v/>
      </c>
      <c r="D360" s="95" t="str">
        <f>IF(ISNUMBER(namespace_raw[[#This Row],[Column5]]), namespace_raw[[#This Row],[Column5]]/1048576, "")</f>
        <v/>
      </c>
      <c r="E360" s="95" t="str">
        <f>IF(ISNUMBER(namespace_raw[[#This Row],[Column6]]), namespace_raw[[#This Row],[Column6]],"")</f>
        <v/>
      </c>
      <c r="F360" s="96" t="str">
        <f>IF(ISNUMBER(namespace_raw[[#This Row],[Column7]]), namespace_raw[[#This Row],[Column7]]/1048576,"")</f>
        <v/>
      </c>
      <c r="G360" s="122" t="str">
        <f>IF(ISNUMBER(namespace_raw[[#This Row],[Column8]]), namespace_raw[[#This Row],[Column8]],"")</f>
        <v/>
      </c>
      <c r="H360" s="123" t="str">
        <f>IF(ISNUMBER(namespace_raw[[#This Row],[Column9]]), namespace_raw[[#This Row],[Column9]]/1048576,"")</f>
        <v/>
      </c>
      <c r="I360" s="124" t="str">
        <f>IF(ISNUMBER(namespace_raw[[#This Row],[Column8]]),MAX(G360, M360, O360, $I$2,IF(Q360&lt;&gt;"",VALUE(Q360),0)), "")</f>
        <v/>
      </c>
      <c r="J360" s="125" t="str">
        <f>IF(ISNUMBER(namespace_raw[[#This Row],[Column9]]),MAX(H360, N360, P360, $J$2,IF(R360&lt;&gt;"",VALUE(R360),0)),"")</f>
        <v/>
      </c>
      <c r="K360" s="166" t="str">
        <f>IF(ISNUMBER(namespace_raw[[#This Row],[Column12]]), namespace_raw[[#This Row],[Column12]],"")</f>
        <v/>
      </c>
      <c r="L360" s="167" t="str">
        <f>IF(ISNUMBER(namespace_raw[[#This Row],[Column13]]), namespace_raw[[#This Row],[Column13]]/1048576,"")</f>
        <v/>
      </c>
      <c r="M360" s="168" t="str">
        <f>IF(ISNUMBER(namespace_raw[[#This Row],[Column10]]), (namespace_raw[[#This Row],[Column10]]*(1+$M$2)),"")</f>
        <v/>
      </c>
      <c r="N360" s="167" t="str">
        <f>IF(ISNUMBER(namespace_raw[[#This Row],[Column11]]), (namespace_raw[[#This Row],[Column11]]*(1+$N$2))/1048576,"")</f>
        <v/>
      </c>
      <c r="O360" s="169" t="str">
        <f>IF(ISNUMBER(namespace_raw[[#This Row],[Column8]]), (E360  * $O$2),"")</f>
        <v/>
      </c>
      <c r="P360" s="170" t="str">
        <f>IF(ISNUMBER(namespace_raw[[#This Row],[Column8]]), (F360  * $P$2),"")</f>
        <v/>
      </c>
    </row>
    <row r="361" spans="1:16" ht="15" customHeight="1" x14ac:dyDescent="0.25">
      <c r="A361" s="32" t="str">
        <f>IF(ISNONTEXT(namespace_raw[[#This Row],[Column1]]), "", namespace_raw[[#This Row],[Column1]])</f>
        <v/>
      </c>
      <c r="B361" s="33" t="str">
        <f>IF(ISNONTEXT(namespace_raw[[#This Row],[Column2]]), "", namespace_raw[[#This Row],[Column2]])</f>
        <v/>
      </c>
      <c r="C361" s="94" t="str">
        <f>IF(ISNUMBER(namespace_raw[[#This Row],[Column4]]), namespace_raw[[#This Row],[Column4]], "")</f>
        <v/>
      </c>
      <c r="D361" s="95" t="str">
        <f>IF(ISNUMBER(namespace_raw[[#This Row],[Column5]]), namespace_raw[[#This Row],[Column5]]/1048576, "")</f>
        <v/>
      </c>
      <c r="E361" s="95" t="str">
        <f>IF(ISNUMBER(namespace_raw[[#This Row],[Column6]]), namespace_raw[[#This Row],[Column6]],"")</f>
        <v/>
      </c>
      <c r="F361" s="96" t="str">
        <f>IF(ISNUMBER(namespace_raw[[#This Row],[Column7]]), namespace_raw[[#This Row],[Column7]]/1048576,"")</f>
        <v/>
      </c>
      <c r="G361" s="122" t="str">
        <f>IF(ISNUMBER(namespace_raw[[#This Row],[Column8]]), namespace_raw[[#This Row],[Column8]],"")</f>
        <v/>
      </c>
      <c r="H361" s="123" t="str">
        <f>IF(ISNUMBER(namespace_raw[[#This Row],[Column9]]), namespace_raw[[#This Row],[Column9]]/1048576,"")</f>
        <v/>
      </c>
      <c r="I361" s="124" t="str">
        <f>IF(ISNUMBER(namespace_raw[[#This Row],[Column8]]),MAX(G361, M361, O361, $I$2,IF(Q361&lt;&gt;"",VALUE(Q361),0)), "")</f>
        <v/>
      </c>
      <c r="J361" s="125" t="str">
        <f>IF(ISNUMBER(namespace_raw[[#This Row],[Column9]]),MAX(H361, N361, P361, $J$2,IF(R361&lt;&gt;"",VALUE(R361),0)),"")</f>
        <v/>
      </c>
      <c r="K361" s="166" t="str">
        <f>IF(ISNUMBER(namespace_raw[[#This Row],[Column12]]), namespace_raw[[#This Row],[Column12]],"")</f>
        <v/>
      </c>
      <c r="L361" s="167" t="str">
        <f>IF(ISNUMBER(namespace_raw[[#This Row],[Column13]]), namespace_raw[[#This Row],[Column13]]/1048576,"")</f>
        <v/>
      </c>
      <c r="M361" s="168" t="str">
        <f>IF(ISNUMBER(namespace_raw[[#This Row],[Column10]]), (namespace_raw[[#This Row],[Column10]]*(1+$M$2)),"")</f>
        <v/>
      </c>
      <c r="N361" s="167" t="str">
        <f>IF(ISNUMBER(namespace_raw[[#This Row],[Column11]]), (namespace_raw[[#This Row],[Column11]]*(1+$N$2))/1048576,"")</f>
        <v/>
      </c>
      <c r="O361" s="169" t="str">
        <f>IF(ISNUMBER(namespace_raw[[#This Row],[Column8]]), (E361  * $O$2),"")</f>
        <v/>
      </c>
      <c r="P361" s="170" t="str">
        <f>IF(ISNUMBER(namespace_raw[[#This Row],[Column8]]), (F361  * $P$2),"")</f>
        <v/>
      </c>
    </row>
    <row r="362" spans="1:16" ht="15" customHeight="1" x14ac:dyDescent="0.25">
      <c r="A362" s="32" t="str">
        <f>IF(ISNONTEXT(namespace_raw[[#This Row],[Column1]]), "", namespace_raw[[#This Row],[Column1]])</f>
        <v/>
      </c>
      <c r="B362" s="33" t="str">
        <f>IF(ISNONTEXT(namespace_raw[[#This Row],[Column2]]), "", namespace_raw[[#This Row],[Column2]])</f>
        <v/>
      </c>
      <c r="C362" s="94" t="str">
        <f>IF(ISNUMBER(namespace_raw[[#This Row],[Column4]]), namespace_raw[[#This Row],[Column4]], "")</f>
        <v/>
      </c>
      <c r="D362" s="95" t="str">
        <f>IF(ISNUMBER(namespace_raw[[#This Row],[Column5]]), namespace_raw[[#This Row],[Column5]]/1048576, "")</f>
        <v/>
      </c>
      <c r="E362" s="95" t="str">
        <f>IF(ISNUMBER(namespace_raw[[#This Row],[Column6]]), namespace_raw[[#This Row],[Column6]],"")</f>
        <v/>
      </c>
      <c r="F362" s="96" t="str">
        <f>IF(ISNUMBER(namespace_raw[[#This Row],[Column7]]), namespace_raw[[#This Row],[Column7]]/1048576,"")</f>
        <v/>
      </c>
      <c r="G362" s="122" t="str">
        <f>IF(ISNUMBER(namespace_raw[[#This Row],[Column8]]), namespace_raw[[#This Row],[Column8]],"")</f>
        <v/>
      </c>
      <c r="H362" s="123" t="str">
        <f>IF(ISNUMBER(namespace_raw[[#This Row],[Column9]]), namespace_raw[[#This Row],[Column9]]/1048576,"")</f>
        <v/>
      </c>
      <c r="I362" s="124" t="str">
        <f>IF(ISNUMBER(namespace_raw[[#This Row],[Column8]]),MAX(G362, M362, O362, $I$2,IF(Q362&lt;&gt;"",VALUE(Q362),0)), "")</f>
        <v/>
      </c>
      <c r="J362" s="125" t="str">
        <f>IF(ISNUMBER(namespace_raw[[#This Row],[Column9]]),MAX(H362, N362, P362, $J$2,IF(R362&lt;&gt;"",VALUE(R362),0)),"")</f>
        <v/>
      </c>
      <c r="K362" s="166" t="str">
        <f>IF(ISNUMBER(namespace_raw[[#This Row],[Column12]]), namespace_raw[[#This Row],[Column12]],"")</f>
        <v/>
      </c>
      <c r="L362" s="167" t="str">
        <f>IF(ISNUMBER(namespace_raw[[#This Row],[Column13]]), namespace_raw[[#This Row],[Column13]]/1048576,"")</f>
        <v/>
      </c>
      <c r="M362" s="168" t="str">
        <f>IF(ISNUMBER(namespace_raw[[#This Row],[Column10]]), (namespace_raw[[#This Row],[Column10]]*(1+$M$2)),"")</f>
        <v/>
      </c>
      <c r="N362" s="167" t="str">
        <f>IF(ISNUMBER(namespace_raw[[#This Row],[Column11]]), (namespace_raw[[#This Row],[Column11]]*(1+$N$2))/1048576,"")</f>
        <v/>
      </c>
      <c r="O362" s="169" t="str">
        <f>IF(ISNUMBER(namespace_raw[[#This Row],[Column8]]), (E362  * $O$2),"")</f>
        <v/>
      </c>
      <c r="P362" s="170" t="str">
        <f>IF(ISNUMBER(namespace_raw[[#This Row],[Column8]]), (F362  * $P$2),"")</f>
        <v/>
      </c>
    </row>
    <row r="363" spans="1:16" ht="15" customHeight="1" x14ac:dyDescent="0.25">
      <c r="A363" s="32" t="str">
        <f>IF(ISNONTEXT(namespace_raw[[#This Row],[Column1]]), "", namespace_raw[[#This Row],[Column1]])</f>
        <v/>
      </c>
      <c r="B363" s="33" t="str">
        <f>IF(ISNONTEXT(namespace_raw[[#This Row],[Column2]]), "", namespace_raw[[#This Row],[Column2]])</f>
        <v/>
      </c>
      <c r="C363" s="94" t="str">
        <f>IF(ISNUMBER(namespace_raw[[#This Row],[Column4]]), namespace_raw[[#This Row],[Column4]], "")</f>
        <v/>
      </c>
      <c r="D363" s="95" t="str">
        <f>IF(ISNUMBER(namespace_raw[[#This Row],[Column5]]), namespace_raw[[#This Row],[Column5]]/1048576, "")</f>
        <v/>
      </c>
      <c r="E363" s="95" t="str">
        <f>IF(ISNUMBER(namespace_raw[[#This Row],[Column6]]), namespace_raw[[#This Row],[Column6]],"")</f>
        <v/>
      </c>
      <c r="F363" s="96" t="str">
        <f>IF(ISNUMBER(namespace_raw[[#This Row],[Column7]]), namespace_raw[[#This Row],[Column7]]/1048576,"")</f>
        <v/>
      </c>
      <c r="G363" s="122" t="str">
        <f>IF(ISNUMBER(namespace_raw[[#This Row],[Column8]]), namespace_raw[[#This Row],[Column8]],"")</f>
        <v/>
      </c>
      <c r="H363" s="123" t="str">
        <f>IF(ISNUMBER(namespace_raw[[#This Row],[Column9]]), namespace_raw[[#This Row],[Column9]]/1048576,"")</f>
        <v/>
      </c>
      <c r="I363" s="124" t="str">
        <f>IF(ISNUMBER(namespace_raw[[#This Row],[Column8]]),MAX(G363, M363, O363, $I$2,IF(Q363&lt;&gt;"",VALUE(Q363),0)), "")</f>
        <v/>
      </c>
      <c r="J363" s="125" t="str">
        <f>IF(ISNUMBER(namespace_raw[[#This Row],[Column9]]),MAX(H363, N363, P363, $J$2,IF(R363&lt;&gt;"",VALUE(R363),0)),"")</f>
        <v/>
      </c>
      <c r="K363" s="166" t="str">
        <f>IF(ISNUMBER(namespace_raw[[#This Row],[Column12]]), namespace_raw[[#This Row],[Column12]],"")</f>
        <v/>
      </c>
      <c r="L363" s="167" t="str">
        <f>IF(ISNUMBER(namespace_raw[[#This Row],[Column13]]), namespace_raw[[#This Row],[Column13]]/1048576,"")</f>
        <v/>
      </c>
      <c r="M363" s="168" t="str">
        <f>IF(ISNUMBER(namespace_raw[[#This Row],[Column10]]), (namespace_raw[[#This Row],[Column10]]*(1+$M$2)),"")</f>
        <v/>
      </c>
      <c r="N363" s="167" t="str">
        <f>IF(ISNUMBER(namespace_raw[[#This Row],[Column11]]), (namespace_raw[[#This Row],[Column11]]*(1+$N$2))/1048576,"")</f>
        <v/>
      </c>
      <c r="O363" s="169" t="str">
        <f>IF(ISNUMBER(namespace_raw[[#This Row],[Column8]]), (E363  * $O$2),"")</f>
        <v/>
      </c>
      <c r="P363" s="170" t="str">
        <f>IF(ISNUMBER(namespace_raw[[#This Row],[Column8]]), (F363  * $P$2),"")</f>
        <v/>
      </c>
    </row>
    <row r="364" spans="1:16" ht="15" customHeight="1" x14ac:dyDescent="0.25">
      <c r="A364" s="32" t="str">
        <f>IF(ISNONTEXT(namespace_raw[[#This Row],[Column1]]), "", namespace_raw[[#This Row],[Column1]])</f>
        <v/>
      </c>
      <c r="B364" s="33" t="str">
        <f>IF(ISNONTEXT(namespace_raw[[#This Row],[Column2]]), "", namespace_raw[[#This Row],[Column2]])</f>
        <v/>
      </c>
      <c r="C364" s="94" t="str">
        <f>IF(ISNUMBER(namespace_raw[[#This Row],[Column4]]), namespace_raw[[#This Row],[Column4]], "")</f>
        <v/>
      </c>
      <c r="D364" s="95" t="str">
        <f>IF(ISNUMBER(namespace_raw[[#This Row],[Column5]]), namespace_raw[[#This Row],[Column5]]/1048576, "")</f>
        <v/>
      </c>
      <c r="E364" s="95" t="str">
        <f>IF(ISNUMBER(namespace_raw[[#This Row],[Column6]]), namespace_raw[[#This Row],[Column6]],"")</f>
        <v/>
      </c>
      <c r="F364" s="96" t="str">
        <f>IF(ISNUMBER(namespace_raw[[#This Row],[Column7]]), namespace_raw[[#This Row],[Column7]]/1048576,"")</f>
        <v/>
      </c>
      <c r="G364" s="122" t="str">
        <f>IF(ISNUMBER(namespace_raw[[#This Row],[Column8]]), namespace_raw[[#This Row],[Column8]],"")</f>
        <v/>
      </c>
      <c r="H364" s="123" t="str">
        <f>IF(ISNUMBER(namespace_raw[[#This Row],[Column9]]), namespace_raw[[#This Row],[Column9]]/1048576,"")</f>
        <v/>
      </c>
      <c r="I364" s="124" t="str">
        <f>IF(ISNUMBER(namespace_raw[[#This Row],[Column8]]),MAX(G364, M364, O364, $I$2,IF(Q364&lt;&gt;"",VALUE(Q364),0)), "")</f>
        <v/>
      </c>
      <c r="J364" s="125" t="str">
        <f>IF(ISNUMBER(namespace_raw[[#This Row],[Column9]]),MAX(H364, N364, P364, $J$2,IF(R364&lt;&gt;"",VALUE(R364),0)),"")</f>
        <v/>
      </c>
      <c r="K364" s="166" t="str">
        <f>IF(ISNUMBER(namespace_raw[[#This Row],[Column12]]), namespace_raw[[#This Row],[Column12]],"")</f>
        <v/>
      </c>
      <c r="L364" s="167" t="str">
        <f>IF(ISNUMBER(namespace_raw[[#This Row],[Column13]]), namespace_raw[[#This Row],[Column13]]/1048576,"")</f>
        <v/>
      </c>
      <c r="M364" s="168" t="str">
        <f>IF(ISNUMBER(namespace_raw[[#This Row],[Column10]]), (namespace_raw[[#This Row],[Column10]]*(1+$M$2)),"")</f>
        <v/>
      </c>
      <c r="N364" s="167" t="str">
        <f>IF(ISNUMBER(namespace_raw[[#This Row],[Column11]]), (namespace_raw[[#This Row],[Column11]]*(1+$N$2))/1048576,"")</f>
        <v/>
      </c>
      <c r="O364" s="169" t="str">
        <f>IF(ISNUMBER(namespace_raw[[#This Row],[Column8]]), (E364  * $O$2),"")</f>
        <v/>
      </c>
      <c r="P364" s="170" t="str">
        <f>IF(ISNUMBER(namespace_raw[[#This Row],[Column8]]), (F364  * $P$2),"")</f>
        <v/>
      </c>
    </row>
    <row r="365" spans="1:16" ht="15" customHeight="1" x14ac:dyDescent="0.25">
      <c r="A365" s="32" t="str">
        <f>IF(ISNONTEXT(namespace_raw[[#This Row],[Column1]]), "", namespace_raw[[#This Row],[Column1]])</f>
        <v/>
      </c>
      <c r="B365" s="33" t="str">
        <f>IF(ISNONTEXT(namespace_raw[[#This Row],[Column2]]), "", namespace_raw[[#This Row],[Column2]])</f>
        <v/>
      </c>
      <c r="C365" s="94" t="str">
        <f>IF(ISNUMBER(namespace_raw[[#This Row],[Column4]]), namespace_raw[[#This Row],[Column4]], "")</f>
        <v/>
      </c>
      <c r="D365" s="95" t="str">
        <f>IF(ISNUMBER(namespace_raw[[#This Row],[Column5]]), namespace_raw[[#This Row],[Column5]]/1048576, "")</f>
        <v/>
      </c>
      <c r="E365" s="95" t="str">
        <f>IF(ISNUMBER(namespace_raw[[#This Row],[Column6]]), namespace_raw[[#This Row],[Column6]],"")</f>
        <v/>
      </c>
      <c r="F365" s="96" t="str">
        <f>IF(ISNUMBER(namespace_raw[[#This Row],[Column7]]), namespace_raw[[#This Row],[Column7]]/1048576,"")</f>
        <v/>
      </c>
      <c r="G365" s="122" t="str">
        <f>IF(ISNUMBER(namespace_raw[[#This Row],[Column8]]), namespace_raw[[#This Row],[Column8]],"")</f>
        <v/>
      </c>
      <c r="H365" s="123" t="str">
        <f>IF(ISNUMBER(namespace_raw[[#This Row],[Column9]]), namespace_raw[[#This Row],[Column9]]/1048576,"")</f>
        <v/>
      </c>
      <c r="I365" s="124" t="str">
        <f>IF(ISNUMBER(namespace_raw[[#This Row],[Column8]]),MAX(G365, M365, O365, $I$2,IF(Q365&lt;&gt;"",VALUE(Q365),0)), "")</f>
        <v/>
      </c>
      <c r="J365" s="125" t="str">
        <f>IF(ISNUMBER(namespace_raw[[#This Row],[Column9]]),MAX(H365, N365, P365, $J$2,IF(R365&lt;&gt;"",VALUE(R365),0)),"")</f>
        <v/>
      </c>
      <c r="K365" s="166" t="str">
        <f>IF(ISNUMBER(namespace_raw[[#This Row],[Column12]]), namespace_raw[[#This Row],[Column12]],"")</f>
        <v/>
      </c>
      <c r="L365" s="167" t="str">
        <f>IF(ISNUMBER(namespace_raw[[#This Row],[Column13]]), namespace_raw[[#This Row],[Column13]]/1048576,"")</f>
        <v/>
      </c>
      <c r="M365" s="168" t="str">
        <f>IF(ISNUMBER(namespace_raw[[#This Row],[Column10]]), (namespace_raw[[#This Row],[Column10]]*(1+$M$2)),"")</f>
        <v/>
      </c>
      <c r="N365" s="167" t="str">
        <f>IF(ISNUMBER(namespace_raw[[#This Row],[Column11]]), (namespace_raw[[#This Row],[Column11]]*(1+$N$2))/1048576,"")</f>
        <v/>
      </c>
      <c r="O365" s="169" t="str">
        <f>IF(ISNUMBER(namespace_raw[[#This Row],[Column8]]), (E365  * $O$2),"")</f>
        <v/>
      </c>
      <c r="P365" s="170" t="str">
        <f>IF(ISNUMBER(namespace_raw[[#This Row],[Column8]]), (F365  * $P$2),"")</f>
        <v/>
      </c>
    </row>
    <row r="366" spans="1:16" ht="15" customHeight="1" x14ac:dyDescent="0.25">
      <c r="A366" s="32" t="str">
        <f>IF(ISNONTEXT(namespace_raw[[#This Row],[Column1]]), "", namespace_raw[[#This Row],[Column1]])</f>
        <v/>
      </c>
      <c r="B366" s="33" t="str">
        <f>IF(ISNONTEXT(namespace_raw[[#This Row],[Column2]]), "", namespace_raw[[#This Row],[Column2]])</f>
        <v/>
      </c>
      <c r="C366" s="94" t="str">
        <f>IF(ISNUMBER(namespace_raw[[#This Row],[Column4]]), namespace_raw[[#This Row],[Column4]], "")</f>
        <v/>
      </c>
      <c r="D366" s="95" t="str">
        <f>IF(ISNUMBER(namespace_raw[[#This Row],[Column5]]), namespace_raw[[#This Row],[Column5]]/1048576, "")</f>
        <v/>
      </c>
      <c r="E366" s="95" t="str">
        <f>IF(ISNUMBER(namespace_raw[[#This Row],[Column6]]), namespace_raw[[#This Row],[Column6]],"")</f>
        <v/>
      </c>
      <c r="F366" s="96" t="str">
        <f>IF(ISNUMBER(namespace_raw[[#This Row],[Column7]]), namespace_raw[[#This Row],[Column7]]/1048576,"")</f>
        <v/>
      </c>
      <c r="G366" s="122" t="str">
        <f>IF(ISNUMBER(namespace_raw[[#This Row],[Column8]]), namespace_raw[[#This Row],[Column8]],"")</f>
        <v/>
      </c>
      <c r="H366" s="123" t="str">
        <f>IF(ISNUMBER(namespace_raw[[#This Row],[Column9]]), namespace_raw[[#This Row],[Column9]]/1048576,"")</f>
        <v/>
      </c>
      <c r="I366" s="124" t="str">
        <f>IF(ISNUMBER(namespace_raw[[#This Row],[Column8]]),MAX(G366, M366, O366, $I$2,IF(Q366&lt;&gt;"",VALUE(Q366),0)), "")</f>
        <v/>
      </c>
      <c r="J366" s="125" t="str">
        <f>IF(ISNUMBER(namespace_raw[[#This Row],[Column9]]),MAX(H366, N366, P366, $J$2,IF(R366&lt;&gt;"",VALUE(R366),0)),"")</f>
        <v/>
      </c>
      <c r="K366" s="166" t="str">
        <f>IF(ISNUMBER(namespace_raw[[#This Row],[Column12]]), namespace_raw[[#This Row],[Column12]],"")</f>
        <v/>
      </c>
      <c r="L366" s="167" t="str">
        <f>IF(ISNUMBER(namespace_raw[[#This Row],[Column13]]), namespace_raw[[#This Row],[Column13]]/1048576,"")</f>
        <v/>
      </c>
      <c r="M366" s="168" t="str">
        <f>IF(ISNUMBER(namespace_raw[[#This Row],[Column10]]), (namespace_raw[[#This Row],[Column10]]*(1+$M$2)),"")</f>
        <v/>
      </c>
      <c r="N366" s="167" t="str">
        <f>IF(ISNUMBER(namespace_raw[[#This Row],[Column11]]), (namespace_raw[[#This Row],[Column11]]*(1+$N$2))/1048576,"")</f>
        <v/>
      </c>
      <c r="O366" s="169" t="str">
        <f>IF(ISNUMBER(namespace_raw[[#This Row],[Column8]]), (E366  * $O$2),"")</f>
        <v/>
      </c>
      <c r="P366" s="170" t="str">
        <f>IF(ISNUMBER(namespace_raw[[#This Row],[Column8]]), (F366  * $P$2),"")</f>
        <v/>
      </c>
    </row>
    <row r="367" spans="1:16" ht="15" customHeight="1" x14ac:dyDescent="0.25">
      <c r="A367" s="32" t="str">
        <f>IF(ISNONTEXT(namespace_raw[[#This Row],[Column1]]), "", namespace_raw[[#This Row],[Column1]])</f>
        <v/>
      </c>
      <c r="B367" s="33" t="str">
        <f>IF(ISNONTEXT(namespace_raw[[#This Row],[Column2]]), "", namespace_raw[[#This Row],[Column2]])</f>
        <v/>
      </c>
      <c r="C367" s="94" t="str">
        <f>IF(ISNUMBER(namespace_raw[[#This Row],[Column4]]), namespace_raw[[#This Row],[Column4]], "")</f>
        <v/>
      </c>
      <c r="D367" s="95" t="str">
        <f>IF(ISNUMBER(namespace_raw[[#This Row],[Column5]]), namespace_raw[[#This Row],[Column5]]/1048576, "")</f>
        <v/>
      </c>
      <c r="E367" s="95" t="str">
        <f>IF(ISNUMBER(namespace_raw[[#This Row],[Column6]]), namespace_raw[[#This Row],[Column6]],"")</f>
        <v/>
      </c>
      <c r="F367" s="96" t="str">
        <f>IF(ISNUMBER(namespace_raw[[#This Row],[Column7]]), namespace_raw[[#This Row],[Column7]]/1048576,"")</f>
        <v/>
      </c>
      <c r="G367" s="122" t="str">
        <f>IF(ISNUMBER(namespace_raw[[#This Row],[Column8]]), namespace_raw[[#This Row],[Column8]],"")</f>
        <v/>
      </c>
      <c r="H367" s="123" t="str">
        <f>IF(ISNUMBER(namespace_raw[[#This Row],[Column9]]), namespace_raw[[#This Row],[Column9]]/1048576,"")</f>
        <v/>
      </c>
      <c r="I367" s="124" t="str">
        <f>IF(ISNUMBER(namespace_raw[[#This Row],[Column8]]),MAX(G367, M367, O367, $I$2,IF(Q367&lt;&gt;"",VALUE(Q367),0)), "")</f>
        <v/>
      </c>
      <c r="J367" s="125" t="str">
        <f>IF(ISNUMBER(namespace_raw[[#This Row],[Column9]]),MAX(H367, N367, P367, $J$2,IF(R367&lt;&gt;"",VALUE(R367),0)),"")</f>
        <v/>
      </c>
      <c r="K367" s="166" t="str">
        <f>IF(ISNUMBER(namespace_raw[[#This Row],[Column12]]), namespace_raw[[#This Row],[Column12]],"")</f>
        <v/>
      </c>
      <c r="L367" s="167" t="str">
        <f>IF(ISNUMBER(namespace_raw[[#This Row],[Column13]]), namespace_raw[[#This Row],[Column13]]/1048576,"")</f>
        <v/>
      </c>
      <c r="M367" s="168" t="str">
        <f>IF(ISNUMBER(namespace_raw[[#This Row],[Column10]]), (namespace_raw[[#This Row],[Column10]]*(1+$M$2)),"")</f>
        <v/>
      </c>
      <c r="N367" s="167" t="str">
        <f>IF(ISNUMBER(namespace_raw[[#This Row],[Column11]]), (namespace_raw[[#This Row],[Column11]]*(1+$N$2))/1048576,"")</f>
        <v/>
      </c>
      <c r="O367" s="169" t="str">
        <f>IF(ISNUMBER(namespace_raw[[#This Row],[Column8]]), (E367  * $O$2),"")</f>
        <v/>
      </c>
      <c r="P367" s="170" t="str">
        <f>IF(ISNUMBER(namespace_raw[[#This Row],[Column8]]), (F367  * $P$2),"")</f>
        <v/>
      </c>
    </row>
    <row r="368" spans="1:16" ht="15" customHeight="1" x14ac:dyDescent="0.25">
      <c r="A368" s="32" t="str">
        <f>IF(ISNONTEXT(namespace_raw[[#This Row],[Column1]]), "", namespace_raw[[#This Row],[Column1]])</f>
        <v/>
      </c>
      <c r="B368" s="33" t="str">
        <f>IF(ISNONTEXT(namespace_raw[[#This Row],[Column2]]), "", namespace_raw[[#This Row],[Column2]])</f>
        <v/>
      </c>
      <c r="C368" s="94" t="str">
        <f>IF(ISNUMBER(namespace_raw[[#This Row],[Column4]]), namespace_raw[[#This Row],[Column4]], "")</f>
        <v/>
      </c>
      <c r="D368" s="95" t="str">
        <f>IF(ISNUMBER(namespace_raw[[#This Row],[Column5]]), namespace_raw[[#This Row],[Column5]]/1048576, "")</f>
        <v/>
      </c>
      <c r="E368" s="95" t="str">
        <f>IF(ISNUMBER(namespace_raw[[#This Row],[Column6]]), namespace_raw[[#This Row],[Column6]],"")</f>
        <v/>
      </c>
      <c r="F368" s="96" t="str">
        <f>IF(ISNUMBER(namespace_raw[[#This Row],[Column7]]), namespace_raw[[#This Row],[Column7]]/1048576,"")</f>
        <v/>
      </c>
      <c r="G368" s="122" t="str">
        <f>IF(ISNUMBER(namespace_raw[[#This Row],[Column8]]), namespace_raw[[#This Row],[Column8]],"")</f>
        <v/>
      </c>
      <c r="H368" s="123" t="str">
        <f>IF(ISNUMBER(namespace_raw[[#This Row],[Column9]]), namespace_raw[[#This Row],[Column9]]/1048576,"")</f>
        <v/>
      </c>
      <c r="I368" s="124" t="str">
        <f>IF(ISNUMBER(namespace_raw[[#This Row],[Column8]]),MAX(G368, M368, O368, $I$2,IF(Q368&lt;&gt;"",VALUE(Q368),0)), "")</f>
        <v/>
      </c>
      <c r="J368" s="125" t="str">
        <f>IF(ISNUMBER(namespace_raw[[#This Row],[Column9]]),MAX(H368, N368, P368, $J$2,IF(R368&lt;&gt;"",VALUE(R368),0)),"")</f>
        <v/>
      </c>
      <c r="K368" s="166" t="str">
        <f>IF(ISNUMBER(namespace_raw[[#This Row],[Column12]]), namespace_raw[[#This Row],[Column12]],"")</f>
        <v/>
      </c>
      <c r="L368" s="167" t="str">
        <f>IF(ISNUMBER(namespace_raw[[#This Row],[Column13]]), namespace_raw[[#This Row],[Column13]]/1048576,"")</f>
        <v/>
      </c>
      <c r="M368" s="168" t="str">
        <f>IF(ISNUMBER(namespace_raw[[#This Row],[Column10]]), (namespace_raw[[#This Row],[Column10]]*(1+$M$2)),"")</f>
        <v/>
      </c>
      <c r="N368" s="167" t="str">
        <f>IF(ISNUMBER(namespace_raw[[#This Row],[Column11]]), (namespace_raw[[#This Row],[Column11]]*(1+$N$2))/1048576,"")</f>
        <v/>
      </c>
      <c r="O368" s="169" t="str">
        <f>IF(ISNUMBER(namespace_raw[[#This Row],[Column8]]), (E368  * $O$2),"")</f>
        <v/>
      </c>
      <c r="P368" s="170" t="str">
        <f>IF(ISNUMBER(namespace_raw[[#This Row],[Column8]]), (F368  * $P$2),"")</f>
        <v/>
      </c>
    </row>
    <row r="369" spans="1:16" ht="15" customHeight="1" x14ac:dyDescent="0.25">
      <c r="A369" s="32" t="str">
        <f>IF(ISNONTEXT(namespace_raw[[#This Row],[Column1]]), "", namespace_raw[[#This Row],[Column1]])</f>
        <v/>
      </c>
      <c r="B369" s="33" t="str">
        <f>IF(ISNONTEXT(namespace_raw[[#This Row],[Column2]]), "", namespace_raw[[#This Row],[Column2]])</f>
        <v/>
      </c>
      <c r="C369" s="94" t="str">
        <f>IF(ISNUMBER(namespace_raw[[#This Row],[Column4]]), namespace_raw[[#This Row],[Column4]], "")</f>
        <v/>
      </c>
      <c r="D369" s="95" t="str">
        <f>IF(ISNUMBER(namespace_raw[[#This Row],[Column5]]), namespace_raw[[#This Row],[Column5]]/1048576, "")</f>
        <v/>
      </c>
      <c r="E369" s="95" t="str">
        <f>IF(ISNUMBER(namespace_raw[[#This Row],[Column6]]), namespace_raw[[#This Row],[Column6]],"")</f>
        <v/>
      </c>
      <c r="F369" s="96" t="str">
        <f>IF(ISNUMBER(namespace_raw[[#This Row],[Column7]]), namespace_raw[[#This Row],[Column7]]/1048576,"")</f>
        <v/>
      </c>
      <c r="G369" s="122" t="str">
        <f>IF(ISNUMBER(namespace_raw[[#This Row],[Column8]]), namespace_raw[[#This Row],[Column8]],"")</f>
        <v/>
      </c>
      <c r="H369" s="123" t="str">
        <f>IF(ISNUMBER(namespace_raw[[#This Row],[Column9]]), namespace_raw[[#This Row],[Column9]]/1048576,"")</f>
        <v/>
      </c>
      <c r="I369" s="124" t="str">
        <f>IF(ISNUMBER(namespace_raw[[#This Row],[Column8]]),MAX(G369, M369, O369, $I$2,IF(Q369&lt;&gt;"",VALUE(Q369),0)), "")</f>
        <v/>
      </c>
      <c r="J369" s="125" t="str">
        <f>IF(ISNUMBER(namespace_raw[[#This Row],[Column9]]),MAX(H369, N369, P369, $J$2,IF(R369&lt;&gt;"",VALUE(R369),0)),"")</f>
        <v/>
      </c>
      <c r="K369" s="166" t="str">
        <f>IF(ISNUMBER(namespace_raw[[#This Row],[Column12]]), namespace_raw[[#This Row],[Column12]],"")</f>
        <v/>
      </c>
      <c r="L369" s="167" t="str">
        <f>IF(ISNUMBER(namespace_raw[[#This Row],[Column13]]), namespace_raw[[#This Row],[Column13]]/1048576,"")</f>
        <v/>
      </c>
      <c r="M369" s="168" t="str">
        <f>IF(ISNUMBER(namespace_raw[[#This Row],[Column10]]), (namespace_raw[[#This Row],[Column10]]*(1+$M$2)),"")</f>
        <v/>
      </c>
      <c r="N369" s="167" t="str">
        <f>IF(ISNUMBER(namespace_raw[[#This Row],[Column11]]), (namespace_raw[[#This Row],[Column11]]*(1+$N$2))/1048576,"")</f>
        <v/>
      </c>
      <c r="O369" s="169" t="str">
        <f>IF(ISNUMBER(namespace_raw[[#This Row],[Column8]]), (E369  * $O$2),"")</f>
        <v/>
      </c>
      <c r="P369" s="170" t="str">
        <f>IF(ISNUMBER(namespace_raw[[#This Row],[Column8]]), (F369  * $P$2),"")</f>
        <v/>
      </c>
    </row>
    <row r="370" spans="1:16" ht="15" customHeight="1" x14ac:dyDescent="0.25">
      <c r="A370" s="32" t="str">
        <f>IF(ISNONTEXT(namespace_raw[[#This Row],[Column1]]), "", namespace_raw[[#This Row],[Column1]])</f>
        <v/>
      </c>
      <c r="B370" s="33" t="str">
        <f>IF(ISNONTEXT(namespace_raw[[#This Row],[Column2]]), "", namespace_raw[[#This Row],[Column2]])</f>
        <v/>
      </c>
      <c r="C370" s="94" t="str">
        <f>IF(ISNUMBER(namespace_raw[[#This Row],[Column4]]), namespace_raw[[#This Row],[Column4]], "")</f>
        <v/>
      </c>
      <c r="D370" s="95" t="str">
        <f>IF(ISNUMBER(namespace_raw[[#This Row],[Column5]]), namespace_raw[[#This Row],[Column5]]/1048576, "")</f>
        <v/>
      </c>
      <c r="E370" s="95" t="str">
        <f>IF(ISNUMBER(namespace_raw[[#This Row],[Column6]]), namespace_raw[[#This Row],[Column6]],"")</f>
        <v/>
      </c>
      <c r="F370" s="96" t="str">
        <f>IF(ISNUMBER(namespace_raw[[#This Row],[Column7]]), namespace_raw[[#This Row],[Column7]]/1048576,"")</f>
        <v/>
      </c>
      <c r="G370" s="122" t="str">
        <f>IF(ISNUMBER(namespace_raw[[#This Row],[Column8]]), namespace_raw[[#This Row],[Column8]],"")</f>
        <v/>
      </c>
      <c r="H370" s="123" t="str">
        <f>IF(ISNUMBER(namespace_raw[[#This Row],[Column9]]), namespace_raw[[#This Row],[Column9]]/1048576,"")</f>
        <v/>
      </c>
      <c r="I370" s="124" t="str">
        <f>IF(ISNUMBER(namespace_raw[[#This Row],[Column8]]),MAX(G370, M370, O370, $I$2,IF(Q370&lt;&gt;"",VALUE(Q370),0)), "")</f>
        <v/>
      </c>
      <c r="J370" s="125" t="str">
        <f>IF(ISNUMBER(namespace_raw[[#This Row],[Column9]]),MAX(H370, N370, P370, $J$2,IF(R370&lt;&gt;"",VALUE(R370),0)),"")</f>
        <v/>
      </c>
      <c r="K370" s="166" t="str">
        <f>IF(ISNUMBER(namespace_raw[[#This Row],[Column12]]), namespace_raw[[#This Row],[Column12]],"")</f>
        <v/>
      </c>
      <c r="L370" s="167" t="str">
        <f>IF(ISNUMBER(namespace_raw[[#This Row],[Column13]]), namespace_raw[[#This Row],[Column13]]/1048576,"")</f>
        <v/>
      </c>
      <c r="M370" s="168" t="str">
        <f>IF(ISNUMBER(namespace_raw[[#This Row],[Column10]]), (namespace_raw[[#This Row],[Column10]]*(1+$M$2)),"")</f>
        <v/>
      </c>
      <c r="N370" s="167" t="str">
        <f>IF(ISNUMBER(namespace_raw[[#This Row],[Column11]]), (namespace_raw[[#This Row],[Column11]]*(1+$N$2))/1048576,"")</f>
        <v/>
      </c>
      <c r="O370" s="169" t="str">
        <f>IF(ISNUMBER(namespace_raw[[#This Row],[Column8]]), (E370  * $O$2),"")</f>
        <v/>
      </c>
      <c r="P370" s="170" t="str">
        <f>IF(ISNUMBER(namespace_raw[[#This Row],[Column8]]), (F370  * $P$2),"")</f>
        <v/>
      </c>
    </row>
    <row r="371" spans="1:16" ht="15" customHeight="1" x14ac:dyDescent="0.25">
      <c r="A371" s="32" t="str">
        <f>IF(ISNONTEXT(namespace_raw[[#This Row],[Column1]]), "", namespace_raw[[#This Row],[Column1]])</f>
        <v/>
      </c>
      <c r="B371" s="33" t="str">
        <f>IF(ISNONTEXT(namespace_raw[[#This Row],[Column2]]), "", namespace_raw[[#This Row],[Column2]])</f>
        <v/>
      </c>
      <c r="C371" s="94" t="str">
        <f>IF(ISNUMBER(namespace_raw[[#This Row],[Column4]]), namespace_raw[[#This Row],[Column4]], "")</f>
        <v/>
      </c>
      <c r="D371" s="95" t="str">
        <f>IF(ISNUMBER(namespace_raw[[#This Row],[Column5]]), namespace_raw[[#This Row],[Column5]]/1048576, "")</f>
        <v/>
      </c>
      <c r="E371" s="95" t="str">
        <f>IF(ISNUMBER(namespace_raw[[#This Row],[Column6]]), namespace_raw[[#This Row],[Column6]],"")</f>
        <v/>
      </c>
      <c r="F371" s="96" t="str">
        <f>IF(ISNUMBER(namespace_raw[[#This Row],[Column7]]), namespace_raw[[#This Row],[Column7]]/1048576,"")</f>
        <v/>
      </c>
      <c r="G371" s="122" t="str">
        <f>IF(ISNUMBER(namespace_raw[[#This Row],[Column8]]), namespace_raw[[#This Row],[Column8]],"")</f>
        <v/>
      </c>
      <c r="H371" s="123" t="str">
        <f>IF(ISNUMBER(namespace_raw[[#This Row],[Column9]]), namespace_raw[[#This Row],[Column9]]/1048576,"")</f>
        <v/>
      </c>
      <c r="I371" s="124" t="str">
        <f>IF(ISNUMBER(namespace_raw[[#This Row],[Column8]]),MAX(G371, M371, O371, $I$2,IF(Q371&lt;&gt;"",VALUE(Q371),0)), "")</f>
        <v/>
      </c>
      <c r="J371" s="125" t="str">
        <f>IF(ISNUMBER(namespace_raw[[#This Row],[Column9]]),MAX(H371, N371, P371, $J$2,IF(R371&lt;&gt;"",VALUE(R371),0)),"")</f>
        <v/>
      </c>
      <c r="K371" s="166" t="str">
        <f>IF(ISNUMBER(namespace_raw[[#This Row],[Column12]]), namespace_raw[[#This Row],[Column12]],"")</f>
        <v/>
      </c>
      <c r="L371" s="167" t="str">
        <f>IF(ISNUMBER(namespace_raw[[#This Row],[Column13]]), namespace_raw[[#This Row],[Column13]]/1048576,"")</f>
        <v/>
      </c>
      <c r="M371" s="168" t="str">
        <f>IF(ISNUMBER(namespace_raw[[#This Row],[Column10]]), (namespace_raw[[#This Row],[Column10]]*(1+$M$2)),"")</f>
        <v/>
      </c>
      <c r="N371" s="167" t="str">
        <f>IF(ISNUMBER(namespace_raw[[#This Row],[Column11]]), (namespace_raw[[#This Row],[Column11]]*(1+$N$2))/1048576,"")</f>
        <v/>
      </c>
      <c r="O371" s="169" t="str">
        <f>IF(ISNUMBER(namespace_raw[[#This Row],[Column8]]), (E371  * $O$2),"")</f>
        <v/>
      </c>
      <c r="P371" s="170" t="str">
        <f>IF(ISNUMBER(namespace_raw[[#This Row],[Column8]]), (F371  * $P$2),"")</f>
        <v/>
      </c>
    </row>
    <row r="372" spans="1:16" ht="15" customHeight="1" x14ac:dyDescent="0.25">
      <c r="A372" s="32" t="str">
        <f>IF(ISNONTEXT(namespace_raw[[#This Row],[Column1]]), "", namespace_raw[[#This Row],[Column1]])</f>
        <v/>
      </c>
      <c r="B372" s="33" t="str">
        <f>IF(ISNONTEXT(namespace_raw[[#This Row],[Column2]]), "", namespace_raw[[#This Row],[Column2]])</f>
        <v/>
      </c>
      <c r="C372" s="94" t="str">
        <f>IF(ISNUMBER(namespace_raw[[#This Row],[Column4]]), namespace_raw[[#This Row],[Column4]], "")</f>
        <v/>
      </c>
      <c r="D372" s="95" t="str">
        <f>IF(ISNUMBER(namespace_raw[[#This Row],[Column5]]), namespace_raw[[#This Row],[Column5]]/1048576, "")</f>
        <v/>
      </c>
      <c r="E372" s="95" t="str">
        <f>IF(ISNUMBER(namespace_raw[[#This Row],[Column6]]), namespace_raw[[#This Row],[Column6]],"")</f>
        <v/>
      </c>
      <c r="F372" s="96" t="str">
        <f>IF(ISNUMBER(namespace_raw[[#This Row],[Column7]]), namespace_raw[[#This Row],[Column7]]/1048576,"")</f>
        <v/>
      </c>
      <c r="G372" s="122" t="str">
        <f>IF(ISNUMBER(namespace_raw[[#This Row],[Column8]]), namespace_raw[[#This Row],[Column8]],"")</f>
        <v/>
      </c>
      <c r="H372" s="123" t="str">
        <f>IF(ISNUMBER(namespace_raw[[#This Row],[Column9]]), namespace_raw[[#This Row],[Column9]]/1048576,"")</f>
        <v/>
      </c>
      <c r="I372" s="124" t="str">
        <f>IF(ISNUMBER(namespace_raw[[#This Row],[Column8]]),MAX(G372, M372, O372, $I$2,IF(Q372&lt;&gt;"",VALUE(Q372),0)), "")</f>
        <v/>
      </c>
      <c r="J372" s="125" t="str">
        <f>IF(ISNUMBER(namespace_raw[[#This Row],[Column9]]),MAX(H372, N372, P372, $J$2,IF(R372&lt;&gt;"",VALUE(R372),0)),"")</f>
        <v/>
      </c>
      <c r="K372" s="166" t="str">
        <f>IF(ISNUMBER(namespace_raw[[#This Row],[Column12]]), namespace_raw[[#This Row],[Column12]],"")</f>
        <v/>
      </c>
      <c r="L372" s="167" t="str">
        <f>IF(ISNUMBER(namespace_raw[[#This Row],[Column13]]), namespace_raw[[#This Row],[Column13]]/1048576,"")</f>
        <v/>
      </c>
      <c r="M372" s="168" t="str">
        <f>IF(ISNUMBER(namespace_raw[[#This Row],[Column10]]), (namespace_raw[[#This Row],[Column10]]*(1+$M$2)),"")</f>
        <v/>
      </c>
      <c r="N372" s="167" t="str">
        <f>IF(ISNUMBER(namespace_raw[[#This Row],[Column11]]), (namespace_raw[[#This Row],[Column11]]*(1+$N$2))/1048576,"")</f>
        <v/>
      </c>
      <c r="O372" s="169" t="str">
        <f>IF(ISNUMBER(namespace_raw[[#This Row],[Column8]]), (E372  * $O$2),"")</f>
        <v/>
      </c>
      <c r="P372" s="170" t="str">
        <f>IF(ISNUMBER(namespace_raw[[#This Row],[Column8]]), (F372  * $P$2),"")</f>
        <v/>
      </c>
    </row>
    <row r="373" spans="1:16" ht="15" customHeight="1" x14ac:dyDescent="0.25">
      <c r="A373" s="32" t="str">
        <f>IF(ISNONTEXT(namespace_raw[[#This Row],[Column1]]), "", namespace_raw[[#This Row],[Column1]])</f>
        <v/>
      </c>
      <c r="B373" s="33" t="str">
        <f>IF(ISNONTEXT(namespace_raw[[#This Row],[Column2]]), "", namespace_raw[[#This Row],[Column2]])</f>
        <v/>
      </c>
      <c r="C373" s="94" t="str">
        <f>IF(ISNUMBER(namespace_raw[[#This Row],[Column4]]), namespace_raw[[#This Row],[Column4]], "")</f>
        <v/>
      </c>
      <c r="D373" s="95" t="str">
        <f>IF(ISNUMBER(namespace_raw[[#This Row],[Column5]]), namespace_raw[[#This Row],[Column5]]/1048576, "")</f>
        <v/>
      </c>
      <c r="E373" s="95" t="str">
        <f>IF(ISNUMBER(namespace_raw[[#This Row],[Column6]]), namespace_raw[[#This Row],[Column6]],"")</f>
        <v/>
      </c>
      <c r="F373" s="96" t="str">
        <f>IF(ISNUMBER(namespace_raw[[#This Row],[Column7]]), namespace_raw[[#This Row],[Column7]]/1048576,"")</f>
        <v/>
      </c>
      <c r="G373" s="122" t="str">
        <f>IF(ISNUMBER(namespace_raw[[#This Row],[Column8]]), namespace_raw[[#This Row],[Column8]],"")</f>
        <v/>
      </c>
      <c r="H373" s="123" t="str">
        <f>IF(ISNUMBER(namespace_raw[[#This Row],[Column9]]), namespace_raw[[#This Row],[Column9]]/1048576,"")</f>
        <v/>
      </c>
      <c r="I373" s="124" t="str">
        <f>IF(ISNUMBER(namespace_raw[[#This Row],[Column8]]),MAX(G373, M373, O373, $I$2,IF(Q373&lt;&gt;"",VALUE(Q373),0)), "")</f>
        <v/>
      </c>
      <c r="J373" s="125" t="str">
        <f>IF(ISNUMBER(namespace_raw[[#This Row],[Column9]]),MAX(H373, N373, P373, $J$2,IF(R373&lt;&gt;"",VALUE(R373),0)),"")</f>
        <v/>
      </c>
      <c r="K373" s="166" t="str">
        <f>IF(ISNUMBER(namespace_raw[[#This Row],[Column12]]), namespace_raw[[#This Row],[Column12]],"")</f>
        <v/>
      </c>
      <c r="L373" s="167" t="str">
        <f>IF(ISNUMBER(namespace_raw[[#This Row],[Column13]]), namespace_raw[[#This Row],[Column13]]/1048576,"")</f>
        <v/>
      </c>
      <c r="M373" s="168" t="str">
        <f>IF(ISNUMBER(namespace_raw[[#This Row],[Column10]]), (namespace_raw[[#This Row],[Column10]]*(1+$M$2)),"")</f>
        <v/>
      </c>
      <c r="N373" s="167" t="str">
        <f>IF(ISNUMBER(namespace_raw[[#This Row],[Column11]]), (namespace_raw[[#This Row],[Column11]]*(1+$N$2))/1048576,"")</f>
        <v/>
      </c>
      <c r="O373" s="169" t="str">
        <f>IF(ISNUMBER(namespace_raw[[#This Row],[Column8]]), (E373  * $O$2),"")</f>
        <v/>
      </c>
      <c r="P373" s="170" t="str">
        <f>IF(ISNUMBER(namespace_raw[[#This Row],[Column8]]), (F373  * $P$2),"")</f>
        <v/>
      </c>
    </row>
    <row r="374" spans="1:16" ht="15" customHeight="1" x14ac:dyDescent="0.25">
      <c r="A374" s="32" t="str">
        <f>IF(ISNONTEXT(namespace_raw[[#This Row],[Column1]]), "", namespace_raw[[#This Row],[Column1]])</f>
        <v/>
      </c>
      <c r="B374" s="33" t="str">
        <f>IF(ISNONTEXT(namespace_raw[[#This Row],[Column2]]), "", namespace_raw[[#This Row],[Column2]])</f>
        <v/>
      </c>
      <c r="C374" s="94" t="str">
        <f>IF(ISNUMBER(namespace_raw[[#This Row],[Column4]]), namespace_raw[[#This Row],[Column4]], "")</f>
        <v/>
      </c>
      <c r="D374" s="95" t="str">
        <f>IF(ISNUMBER(namespace_raw[[#This Row],[Column5]]), namespace_raw[[#This Row],[Column5]]/1048576, "")</f>
        <v/>
      </c>
      <c r="E374" s="95" t="str">
        <f>IF(ISNUMBER(namespace_raw[[#This Row],[Column6]]), namespace_raw[[#This Row],[Column6]],"")</f>
        <v/>
      </c>
      <c r="F374" s="96" t="str">
        <f>IF(ISNUMBER(namespace_raw[[#This Row],[Column7]]), namespace_raw[[#This Row],[Column7]]/1048576,"")</f>
        <v/>
      </c>
      <c r="G374" s="122" t="str">
        <f>IF(ISNUMBER(namespace_raw[[#This Row],[Column8]]), namespace_raw[[#This Row],[Column8]],"")</f>
        <v/>
      </c>
      <c r="H374" s="123" t="str">
        <f>IF(ISNUMBER(namespace_raw[[#This Row],[Column9]]), namespace_raw[[#This Row],[Column9]]/1048576,"")</f>
        <v/>
      </c>
      <c r="I374" s="124" t="str">
        <f>IF(ISNUMBER(namespace_raw[[#This Row],[Column8]]),MAX(G374, M374, O374, $I$2,IF(Q374&lt;&gt;"",VALUE(Q374),0)), "")</f>
        <v/>
      </c>
      <c r="J374" s="125" t="str">
        <f>IF(ISNUMBER(namespace_raw[[#This Row],[Column9]]),MAX(H374, N374, P374, $J$2,IF(R374&lt;&gt;"",VALUE(R374),0)),"")</f>
        <v/>
      </c>
      <c r="K374" s="166" t="str">
        <f>IF(ISNUMBER(namespace_raw[[#This Row],[Column12]]), namespace_raw[[#This Row],[Column12]],"")</f>
        <v/>
      </c>
      <c r="L374" s="167" t="str">
        <f>IF(ISNUMBER(namespace_raw[[#This Row],[Column13]]), namespace_raw[[#This Row],[Column13]]/1048576,"")</f>
        <v/>
      </c>
      <c r="M374" s="168" t="str">
        <f>IF(ISNUMBER(namespace_raw[[#This Row],[Column10]]), (namespace_raw[[#This Row],[Column10]]*(1+$M$2)),"")</f>
        <v/>
      </c>
      <c r="N374" s="167" t="str">
        <f>IF(ISNUMBER(namespace_raw[[#This Row],[Column11]]), (namespace_raw[[#This Row],[Column11]]*(1+$N$2))/1048576,"")</f>
        <v/>
      </c>
      <c r="O374" s="169" t="str">
        <f>IF(ISNUMBER(namespace_raw[[#This Row],[Column8]]), (E374  * $O$2),"")</f>
        <v/>
      </c>
      <c r="P374" s="170" t="str">
        <f>IF(ISNUMBER(namespace_raw[[#This Row],[Column8]]), (F374  * $P$2),"")</f>
        <v/>
      </c>
    </row>
    <row r="375" spans="1:16" ht="15" customHeight="1" x14ac:dyDescent="0.25">
      <c r="A375" s="32" t="str">
        <f>IF(ISNONTEXT(namespace_raw[[#This Row],[Column1]]), "", namespace_raw[[#This Row],[Column1]])</f>
        <v/>
      </c>
      <c r="B375" s="33" t="str">
        <f>IF(ISNONTEXT(namespace_raw[[#This Row],[Column2]]), "", namespace_raw[[#This Row],[Column2]])</f>
        <v/>
      </c>
      <c r="C375" s="94" t="str">
        <f>IF(ISNUMBER(namespace_raw[[#This Row],[Column4]]), namespace_raw[[#This Row],[Column4]], "")</f>
        <v/>
      </c>
      <c r="D375" s="95" t="str">
        <f>IF(ISNUMBER(namespace_raw[[#This Row],[Column5]]), namespace_raw[[#This Row],[Column5]]/1048576, "")</f>
        <v/>
      </c>
      <c r="E375" s="95" t="str">
        <f>IF(ISNUMBER(namespace_raw[[#This Row],[Column6]]), namespace_raw[[#This Row],[Column6]],"")</f>
        <v/>
      </c>
      <c r="F375" s="96" t="str">
        <f>IF(ISNUMBER(namespace_raw[[#This Row],[Column7]]), namespace_raw[[#This Row],[Column7]]/1048576,"")</f>
        <v/>
      </c>
      <c r="G375" s="122" t="str">
        <f>IF(ISNUMBER(namespace_raw[[#This Row],[Column8]]), namespace_raw[[#This Row],[Column8]],"")</f>
        <v/>
      </c>
      <c r="H375" s="123" t="str">
        <f>IF(ISNUMBER(namespace_raw[[#This Row],[Column9]]), namespace_raw[[#This Row],[Column9]]/1048576,"")</f>
        <v/>
      </c>
      <c r="I375" s="124" t="str">
        <f>IF(ISNUMBER(namespace_raw[[#This Row],[Column8]]),MAX(G375, M375, O375, $I$2,IF(Q375&lt;&gt;"",VALUE(Q375),0)), "")</f>
        <v/>
      </c>
      <c r="J375" s="125" t="str">
        <f>IF(ISNUMBER(namespace_raw[[#This Row],[Column9]]),MAX(H375, N375, P375, $J$2,IF(R375&lt;&gt;"",VALUE(R375),0)),"")</f>
        <v/>
      </c>
      <c r="K375" s="166" t="str">
        <f>IF(ISNUMBER(namespace_raw[[#This Row],[Column12]]), namespace_raw[[#This Row],[Column12]],"")</f>
        <v/>
      </c>
      <c r="L375" s="167" t="str">
        <f>IF(ISNUMBER(namespace_raw[[#This Row],[Column13]]), namespace_raw[[#This Row],[Column13]]/1048576,"")</f>
        <v/>
      </c>
      <c r="M375" s="168" t="str">
        <f>IF(ISNUMBER(namespace_raw[[#This Row],[Column10]]), (namespace_raw[[#This Row],[Column10]]*(1+$M$2)),"")</f>
        <v/>
      </c>
      <c r="N375" s="167" t="str">
        <f>IF(ISNUMBER(namespace_raw[[#This Row],[Column11]]), (namespace_raw[[#This Row],[Column11]]*(1+$N$2))/1048576,"")</f>
        <v/>
      </c>
      <c r="O375" s="169" t="str">
        <f>IF(ISNUMBER(namespace_raw[[#This Row],[Column8]]), (E375  * $O$2),"")</f>
        <v/>
      </c>
      <c r="P375" s="170" t="str">
        <f>IF(ISNUMBER(namespace_raw[[#This Row],[Column8]]), (F375  * $P$2),"")</f>
        <v/>
      </c>
    </row>
    <row r="376" spans="1:16" ht="15" customHeight="1" x14ac:dyDescent="0.25">
      <c r="A376" s="32" t="str">
        <f>IF(ISNONTEXT(namespace_raw[[#This Row],[Column1]]), "", namespace_raw[[#This Row],[Column1]])</f>
        <v/>
      </c>
      <c r="B376" s="33" t="str">
        <f>IF(ISNONTEXT(namespace_raw[[#This Row],[Column2]]), "", namespace_raw[[#This Row],[Column2]])</f>
        <v/>
      </c>
      <c r="C376" s="94" t="str">
        <f>IF(ISNUMBER(namespace_raw[[#This Row],[Column4]]), namespace_raw[[#This Row],[Column4]], "")</f>
        <v/>
      </c>
      <c r="D376" s="95" t="str">
        <f>IF(ISNUMBER(namespace_raw[[#This Row],[Column5]]), namespace_raw[[#This Row],[Column5]]/1048576, "")</f>
        <v/>
      </c>
      <c r="E376" s="95" t="str">
        <f>IF(ISNUMBER(namespace_raw[[#This Row],[Column6]]), namespace_raw[[#This Row],[Column6]],"")</f>
        <v/>
      </c>
      <c r="F376" s="96" t="str">
        <f>IF(ISNUMBER(namespace_raw[[#This Row],[Column7]]), namespace_raw[[#This Row],[Column7]]/1048576,"")</f>
        <v/>
      </c>
      <c r="G376" s="122" t="str">
        <f>IF(ISNUMBER(namespace_raw[[#This Row],[Column8]]), namespace_raw[[#This Row],[Column8]],"")</f>
        <v/>
      </c>
      <c r="H376" s="123" t="str">
        <f>IF(ISNUMBER(namespace_raw[[#This Row],[Column9]]), namespace_raw[[#This Row],[Column9]]/1048576,"")</f>
        <v/>
      </c>
      <c r="I376" s="124" t="str">
        <f>IF(ISNUMBER(namespace_raw[[#This Row],[Column8]]),MAX(G376, M376, O376, $I$2,IF(Q376&lt;&gt;"",VALUE(Q376),0)), "")</f>
        <v/>
      </c>
      <c r="J376" s="125" t="str">
        <f>IF(ISNUMBER(namespace_raw[[#This Row],[Column9]]),MAX(H376, N376, P376, $J$2,IF(R376&lt;&gt;"",VALUE(R376),0)),"")</f>
        <v/>
      </c>
      <c r="K376" s="166" t="str">
        <f>IF(ISNUMBER(namespace_raw[[#This Row],[Column12]]), namespace_raw[[#This Row],[Column12]],"")</f>
        <v/>
      </c>
      <c r="L376" s="167" t="str">
        <f>IF(ISNUMBER(namespace_raw[[#This Row],[Column13]]), namespace_raw[[#This Row],[Column13]]/1048576,"")</f>
        <v/>
      </c>
      <c r="M376" s="168" t="str">
        <f>IF(ISNUMBER(namespace_raw[[#This Row],[Column10]]), (namespace_raw[[#This Row],[Column10]]*(1+$M$2)),"")</f>
        <v/>
      </c>
      <c r="N376" s="167" t="str">
        <f>IF(ISNUMBER(namespace_raw[[#This Row],[Column11]]), (namespace_raw[[#This Row],[Column11]]*(1+$N$2))/1048576,"")</f>
        <v/>
      </c>
      <c r="O376" s="169" t="str">
        <f>IF(ISNUMBER(namespace_raw[[#This Row],[Column8]]), (E376  * $O$2),"")</f>
        <v/>
      </c>
      <c r="P376" s="170" t="str">
        <f>IF(ISNUMBER(namespace_raw[[#This Row],[Column8]]), (F376  * $P$2),"")</f>
        <v/>
      </c>
    </row>
    <row r="377" spans="1:16" ht="15" customHeight="1" x14ac:dyDescent="0.25">
      <c r="A377" s="32" t="str">
        <f>IF(ISNONTEXT(namespace_raw[[#This Row],[Column1]]), "", namespace_raw[[#This Row],[Column1]])</f>
        <v/>
      </c>
      <c r="B377" s="33" t="str">
        <f>IF(ISNONTEXT(namespace_raw[[#This Row],[Column2]]), "", namespace_raw[[#This Row],[Column2]])</f>
        <v/>
      </c>
      <c r="C377" s="94" t="str">
        <f>IF(ISNUMBER(namespace_raw[[#This Row],[Column4]]), namespace_raw[[#This Row],[Column4]], "")</f>
        <v/>
      </c>
      <c r="D377" s="95" t="str">
        <f>IF(ISNUMBER(namespace_raw[[#This Row],[Column5]]), namespace_raw[[#This Row],[Column5]]/1048576, "")</f>
        <v/>
      </c>
      <c r="E377" s="95" t="str">
        <f>IF(ISNUMBER(namespace_raw[[#This Row],[Column6]]), namespace_raw[[#This Row],[Column6]],"")</f>
        <v/>
      </c>
      <c r="F377" s="96" t="str">
        <f>IF(ISNUMBER(namespace_raw[[#This Row],[Column7]]), namespace_raw[[#This Row],[Column7]]/1048576,"")</f>
        <v/>
      </c>
      <c r="G377" s="122" t="str">
        <f>IF(ISNUMBER(namespace_raw[[#This Row],[Column8]]), namespace_raw[[#This Row],[Column8]],"")</f>
        <v/>
      </c>
      <c r="H377" s="123" t="str">
        <f>IF(ISNUMBER(namespace_raw[[#This Row],[Column9]]), namespace_raw[[#This Row],[Column9]]/1048576,"")</f>
        <v/>
      </c>
      <c r="I377" s="124" t="str">
        <f>IF(ISNUMBER(namespace_raw[[#This Row],[Column8]]),MAX(G377, M377, O377, $I$2,IF(Q377&lt;&gt;"",VALUE(Q377),0)), "")</f>
        <v/>
      </c>
      <c r="J377" s="125" t="str">
        <f>IF(ISNUMBER(namespace_raw[[#This Row],[Column9]]),MAX(H377, N377, P377, $J$2,IF(R377&lt;&gt;"",VALUE(R377),0)),"")</f>
        <v/>
      </c>
      <c r="K377" s="166" t="str">
        <f>IF(ISNUMBER(namespace_raw[[#This Row],[Column12]]), namespace_raw[[#This Row],[Column12]],"")</f>
        <v/>
      </c>
      <c r="L377" s="167" t="str">
        <f>IF(ISNUMBER(namespace_raw[[#This Row],[Column13]]), namespace_raw[[#This Row],[Column13]]/1048576,"")</f>
        <v/>
      </c>
      <c r="M377" s="168" t="str">
        <f>IF(ISNUMBER(namespace_raw[[#This Row],[Column10]]), (namespace_raw[[#This Row],[Column10]]*(1+$M$2)),"")</f>
        <v/>
      </c>
      <c r="N377" s="167" t="str">
        <f>IF(ISNUMBER(namespace_raw[[#This Row],[Column11]]), (namespace_raw[[#This Row],[Column11]]*(1+$N$2))/1048576,"")</f>
        <v/>
      </c>
      <c r="O377" s="169" t="str">
        <f>IF(ISNUMBER(namespace_raw[[#This Row],[Column8]]), (E377  * $O$2),"")</f>
        <v/>
      </c>
      <c r="P377" s="170" t="str">
        <f>IF(ISNUMBER(namespace_raw[[#This Row],[Column8]]), (F377  * $P$2),"")</f>
        <v/>
      </c>
    </row>
    <row r="378" spans="1:16" ht="15" customHeight="1" x14ac:dyDescent="0.25">
      <c r="A378" s="32" t="str">
        <f>IF(ISNONTEXT(namespace_raw[[#This Row],[Column1]]), "", namespace_raw[[#This Row],[Column1]])</f>
        <v/>
      </c>
      <c r="B378" s="33" t="str">
        <f>IF(ISNONTEXT(namespace_raw[[#This Row],[Column2]]), "", namespace_raw[[#This Row],[Column2]])</f>
        <v/>
      </c>
      <c r="C378" s="94" t="str">
        <f>IF(ISNUMBER(namespace_raw[[#This Row],[Column4]]), namespace_raw[[#This Row],[Column4]], "")</f>
        <v/>
      </c>
      <c r="D378" s="95" t="str">
        <f>IF(ISNUMBER(namespace_raw[[#This Row],[Column5]]), namespace_raw[[#This Row],[Column5]]/1048576, "")</f>
        <v/>
      </c>
      <c r="E378" s="95" t="str">
        <f>IF(ISNUMBER(namespace_raw[[#This Row],[Column6]]), namespace_raw[[#This Row],[Column6]],"")</f>
        <v/>
      </c>
      <c r="F378" s="96" t="str">
        <f>IF(ISNUMBER(namespace_raw[[#This Row],[Column7]]), namespace_raw[[#This Row],[Column7]]/1048576,"")</f>
        <v/>
      </c>
      <c r="G378" s="122" t="str">
        <f>IF(ISNUMBER(namespace_raw[[#This Row],[Column8]]), namespace_raw[[#This Row],[Column8]],"")</f>
        <v/>
      </c>
      <c r="H378" s="123" t="str">
        <f>IF(ISNUMBER(namespace_raw[[#This Row],[Column9]]), namespace_raw[[#This Row],[Column9]]/1048576,"")</f>
        <v/>
      </c>
      <c r="I378" s="124" t="str">
        <f>IF(ISNUMBER(namespace_raw[[#This Row],[Column8]]),MAX(G378, M378, O378, $I$2,IF(Q378&lt;&gt;"",VALUE(Q378),0)), "")</f>
        <v/>
      </c>
      <c r="J378" s="125" t="str">
        <f>IF(ISNUMBER(namespace_raw[[#This Row],[Column9]]),MAX(H378, N378, P378, $J$2,IF(R378&lt;&gt;"",VALUE(R378),0)),"")</f>
        <v/>
      </c>
      <c r="K378" s="166" t="str">
        <f>IF(ISNUMBER(namespace_raw[[#This Row],[Column12]]), namespace_raw[[#This Row],[Column12]],"")</f>
        <v/>
      </c>
      <c r="L378" s="167" t="str">
        <f>IF(ISNUMBER(namespace_raw[[#This Row],[Column13]]), namespace_raw[[#This Row],[Column13]]/1048576,"")</f>
        <v/>
      </c>
      <c r="M378" s="168" t="str">
        <f>IF(ISNUMBER(namespace_raw[[#This Row],[Column10]]), (namespace_raw[[#This Row],[Column10]]*(1+$M$2)),"")</f>
        <v/>
      </c>
      <c r="N378" s="167" t="str">
        <f>IF(ISNUMBER(namespace_raw[[#This Row],[Column11]]), (namespace_raw[[#This Row],[Column11]]*(1+$N$2))/1048576,"")</f>
        <v/>
      </c>
      <c r="O378" s="169" t="str">
        <f>IF(ISNUMBER(namespace_raw[[#This Row],[Column8]]), (E378  * $O$2),"")</f>
        <v/>
      </c>
      <c r="P378" s="170" t="str">
        <f>IF(ISNUMBER(namespace_raw[[#This Row],[Column8]]), (F378  * $P$2),"")</f>
        <v/>
      </c>
    </row>
    <row r="379" spans="1:16" ht="15" customHeight="1" x14ac:dyDescent="0.25">
      <c r="A379" s="32" t="str">
        <f>IF(ISNONTEXT(namespace_raw[[#This Row],[Column1]]), "", namespace_raw[[#This Row],[Column1]])</f>
        <v/>
      </c>
      <c r="B379" s="33" t="str">
        <f>IF(ISNONTEXT(namespace_raw[[#This Row],[Column2]]), "", namespace_raw[[#This Row],[Column2]])</f>
        <v/>
      </c>
      <c r="C379" s="94" t="str">
        <f>IF(ISNUMBER(namespace_raw[[#This Row],[Column4]]), namespace_raw[[#This Row],[Column4]], "")</f>
        <v/>
      </c>
      <c r="D379" s="95" t="str">
        <f>IF(ISNUMBER(namespace_raw[[#This Row],[Column5]]), namespace_raw[[#This Row],[Column5]]/1048576, "")</f>
        <v/>
      </c>
      <c r="E379" s="95" t="str">
        <f>IF(ISNUMBER(namespace_raw[[#This Row],[Column6]]), namespace_raw[[#This Row],[Column6]],"")</f>
        <v/>
      </c>
      <c r="F379" s="96" t="str">
        <f>IF(ISNUMBER(namespace_raw[[#This Row],[Column7]]), namespace_raw[[#This Row],[Column7]]/1048576,"")</f>
        <v/>
      </c>
      <c r="G379" s="122" t="str">
        <f>IF(ISNUMBER(namespace_raw[[#This Row],[Column8]]), namespace_raw[[#This Row],[Column8]],"")</f>
        <v/>
      </c>
      <c r="H379" s="123" t="str">
        <f>IF(ISNUMBER(namespace_raw[[#This Row],[Column9]]), namespace_raw[[#This Row],[Column9]]/1048576,"")</f>
        <v/>
      </c>
      <c r="I379" s="124" t="str">
        <f>IF(ISNUMBER(namespace_raw[[#This Row],[Column8]]),MAX(G379, M379, O379, $I$2,IF(Q379&lt;&gt;"",VALUE(Q379),0)), "")</f>
        <v/>
      </c>
      <c r="J379" s="125" t="str">
        <f>IF(ISNUMBER(namespace_raw[[#This Row],[Column9]]),MAX(H379, N379, P379, $J$2,IF(R379&lt;&gt;"",VALUE(R379),0)),"")</f>
        <v/>
      </c>
      <c r="K379" s="166" t="str">
        <f>IF(ISNUMBER(namespace_raw[[#This Row],[Column12]]), namespace_raw[[#This Row],[Column12]],"")</f>
        <v/>
      </c>
      <c r="L379" s="167" t="str">
        <f>IF(ISNUMBER(namespace_raw[[#This Row],[Column13]]), namespace_raw[[#This Row],[Column13]]/1048576,"")</f>
        <v/>
      </c>
      <c r="M379" s="168" t="str">
        <f>IF(ISNUMBER(namespace_raw[[#This Row],[Column10]]), (namespace_raw[[#This Row],[Column10]]*(1+$M$2)),"")</f>
        <v/>
      </c>
      <c r="N379" s="167" t="str">
        <f>IF(ISNUMBER(namespace_raw[[#This Row],[Column11]]), (namespace_raw[[#This Row],[Column11]]*(1+$N$2))/1048576,"")</f>
        <v/>
      </c>
      <c r="O379" s="169" t="str">
        <f>IF(ISNUMBER(namespace_raw[[#This Row],[Column8]]), (E379  * $O$2),"")</f>
        <v/>
      </c>
      <c r="P379" s="170" t="str">
        <f>IF(ISNUMBER(namespace_raw[[#This Row],[Column8]]), (F379  * $P$2),"")</f>
        <v/>
      </c>
    </row>
    <row r="380" spans="1:16" ht="15" customHeight="1" x14ac:dyDescent="0.25">
      <c r="A380" s="32" t="str">
        <f>IF(ISNONTEXT(namespace_raw[[#This Row],[Column1]]), "", namespace_raw[[#This Row],[Column1]])</f>
        <v/>
      </c>
      <c r="B380" s="33" t="str">
        <f>IF(ISNONTEXT(namespace_raw[[#This Row],[Column2]]), "", namespace_raw[[#This Row],[Column2]])</f>
        <v/>
      </c>
      <c r="C380" s="94" t="str">
        <f>IF(ISNUMBER(namespace_raw[[#This Row],[Column4]]), namespace_raw[[#This Row],[Column4]], "")</f>
        <v/>
      </c>
      <c r="D380" s="95" t="str">
        <f>IF(ISNUMBER(namespace_raw[[#This Row],[Column5]]), namespace_raw[[#This Row],[Column5]]/1048576, "")</f>
        <v/>
      </c>
      <c r="E380" s="95" t="str">
        <f>IF(ISNUMBER(namespace_raw[[#This Row],[Column6]]), namespace_raw[[#This Row],[Column6]],"")</f>
        <v/>
      </c>
      <c r="F380" s="96" t="str">
        <f>IF(ISNUMBER(namespace_raw[[#This Row],[Column7]]), namespace_raw[[#This Row],[Column7]]/1048576,"")</f>
        <v/>
      </c>
      <c r="G380" s="122" t="str">
        <f>IF(ISNUMBER(namespace_raw[[#This Row],[Column8]]), namespace_raw[[#This Row],[Column8]],"")</f>
        <v/>
      </c>
      <c r="H380" s="123" t="str">
        <f>IF(ISNUMBER(namespace_raw[[#This Row],[Column9]]), namespace_raw[[#This Row],[Column9]]/1048576,"")</f>
        <v/>
      </c>
      <c r="I380" s="124" t="str">
        <f>IF(ISNUMBER(namespace_raw[[#This Row],[Column8]]),MAX(G380, M380, O380, $I$2,IF(Q380&lt;&gt;"",VALUE(Q380),0)), "")</f>
        <v/>
      </c>
      <c r="J380" s="125" t="str">
        <f>IF(ISNUMBER(namespace_raw[[#This Row],[Column9]]),MAX(H380, N380, P380, $J$2,IF(R380&lt;&gt;"",VALUE(R380),0)),"")</f>
        <v/>
      </c>
      <c r="K380" s="166" t="str">
        <f>IF(ISNUMBER(namespace_raw[[#This Row],[Column12]]), namespace_raw[[#This Row],[Column12]],"")</f>
        <v/>
      </c>
      <c r="L380" s="167" t="str">
        <f>IF(ISNUMBER(namespace_raw[[#This Row],[Column13]]), namespace_raw[[#This Row],[Column13]]/1048576,"")</f>
        <v/>
      </c>
      <c r="M380" s="168" t="str">
        <f>IF(ISNUMBER(namespace_raw[[#This Row],[Column10]]), (namespace_raw[[#This Row],[Column10]]*(1+$M$2)),"")</f>
        <v/>
      </c>
      <c r="N380" s="167" t="str">
        <f>IF(ISNUMBER(namespace_raw[[#This Row],[Column11]]), (namespace_raw[[#This Row],[Column11]]*(1+$N$2))/1048576,"")</f>
        <v/>
      </c>
      <c r="O380" s="169" t="str">
        <f>IF(ISNUMBER(namespace_raw[[#This Row],[Column8]]), (E380  * $O$2),"")</f>
        <v/>
      </c>
      <c r="P380" s="170" t="str">
        <f>IF(ISNUMBER(namespace_raw[[#This Row],[Column8]]), (F380  * $P$2),"")</f>
        <v/>
      </c>
    </row>
    <row r="381" spans="1:16" ht="15" customHeight="1" x14ac:dyDescent="0.25">
      <c r="A381" s="32" t="str">
        <f>IF(ISNONTEXT(namespace_raw[[#This Row],[Column1]]), "", namespace_raw[[#This Row],[Column1]])</f>
        <v/>
      </c>
      <c r="B381" s="33" t="str">
        <f>IF(ISNONTEXT(namespace_raw[[#This Row],[Column2]]), "", namespace_raw[[#This Row],[Column2]])</f>
        <v/>
      </c>
      <c r="C381" s="94" t="str">
        <f>IF(ISNUMBER(namespace_raw[[#This Row],[Column4]]), namespace_raw[[#This Row],[Column4]], "")</f>
        <v/>
      </c>
      <c r="D381" s="95" t="str">
        <f>IF(ISNUMBER(namespace_raw[[#This Row],[Column5]]), namespace_raw[[#This Row],[Column5]]/1048576, "")</f>
        <v/>
      </c>
      <c r="E381" s="95" t="str">
        <f>IF(ISNUMBER(namespace_raw[[#This Row],[Column6]]), namespace_raw[[#This Row],[Column6]],"")</f>
        <v/>
      </c>
      <c r="F381" s="96" t="str">
        <f>IF(ISNUMBER(namespace_raw[[#This Row],[Column7]]), namespace_raw[[#This Row],[Column7]]/1048576,"")</f>
        <v/>
      </c>
      <c r="G381" s="122" t="str">
        <f>IF(ISNUMBER(namespace_raw[[#This Row],[Column8]]), namespace_raw[[#This Row],[Column8]],"")</f>
        <v/>
      </c>
      <c r="H381" s="123" t="str">
        <f>IF(ISNUMBER(namespace_raw[[#This Row],[Column9]]), namespace_raw[[#This Row],[Column9]]/1048576,"")</f>
        <v/>
      </c>
      <c r="I381" s="124" t="str">
        <f>IF(ISNUMBER(namespace_raw[[#This Row],[Column8]]),MAX(G381, M381, O381, $I$2,IF(Q381&lt;&gt;"",VALUE(Q381),0)), "")</f>
        <v/>
      </c>
      <c r="J381" s="125" t="str">
        <f>IF(ISNUMBER(namespace_raw[[#This Row],[Column9]]),MAX(H381, N381, P381, $J$2,IF(R381&lt;&gt;"",VALUE(R381),0)),"")</f>
        <v/>
      </c>
      <c r="K381" s="166" t="str">
        <f>IF(ISNUMBER(namespace_raw[[#This Row],[Column12]]), namespace_raw[[#This Row],[Column12]],"")</f>
        <v/>
      </c>
      <c r="L381" s="167" t="str">
        <f>IF(ISNUMBER(namespace_raw[[#This Row],[Column13]]), namespace_raw[[#This Row],[Column13]]/1048576,"")</f>
        <v/>
      </c>
      <c r="M381" s="168" t="str">
        <f>IF(ISNUMBER(namespace_raw[[#This Row],[Column10]]), (namespace_raw[[#This Row],[Column10]]*(1+$M$2)),"")</f>
        <v/>
      </c>
      <c r="N381" s="167" t="str">
        <f>IF(ISNUMBER(namespace_raw[[#This Row],[Column11]]), (namespace_raw[[#This Row],[Column11]]*(1+$N$2))/1048576,"")</f>
        <v/>
      </c>
      <c r="O381" s="169" t="str">
        <f>IF(ISNUMBER(namespace_raw[[#This Row],[Column8]]), (E381  * $O$2),"")</f>
        <v/>
      </c>
      <c r="P381" s="170" t="str">
        <f>IF(ISNUMBER(namespace_raw[[#This Row],[Column8]]), (F381  * $P$2),"")</f>
        <v/>
      </c>
    </row>
    <row r="382" spans="1:16" ht="15" customHeight="1" x14ac:dyDescent="0.25">
      <c r="A382" s="32" t="str">
        <f>IF(ISNONTEXT(namespace_raw[[#This Row],[Column1]]), "", namespace_raw[[#This Row],[Column1]])</f>
        <v/>
      </c>
      <c r="B382" s="33" t="str">
        <f>IF(ISNONTEXT(namespace_raw[[#This Row],[Column2]]), "", namespace_raw[[#This Row],[Column2]])</f>
        <v/>
      </c>
      <c r="C382" s="94" t="str">
        <f>IF(ISNUMBER(namespace_raw[[#This Row],[Column4]]), namespace_raw[[#This Row],[Column4]], "")</f>
        <v/>
      </c>
      <c r="D382" s="95" t="str">
        <f>IF(ISNUMBER(namespace_raw[[#This Row],[Column5]]), namespace_raw[[#This Row],[Column5]]/1048576, "")</f>
        <v/>
      </c>
      <c r="E382" s="95" t="str">
        <f>IF(ISNUMBER(namespace_raw[[#This Row],[Column6]]), namespace_raw[[#This Row],[Column6]],"")</f>
        <v/>
      </c>
      <c r="F382" s="96" t="str">
        <f>IF(ISNUMBER(namespace_raw[[#This Row],[Column7]]), namespace_raw[[#This Row],[Column7]]/1048576,"")</f>
        <v/>
      </c>
      <c r="G382" s="122" t="str">
        <f>IF(ISNUMBER(namespace_raw[[#This Row],[Column8]]), namespace_raw[[#This Row],[Column8]],"")</f>
        <v/>
      </c>
      <c r="H382" s="123" t="str">
        <f>IF(ISNUMBER(namespace_raw[[#This Row],[Column9]]), namespace_raw[[#This Row],[Column9]]/1048576,"")</f>
        <v/>
      </c>
      <c r="I382" s="124" t="str">
        <f>IF(ISNUMBER(namespace_raw[[#This Row],[Column8]]),MAX(G382, M382, O382, $I$2,IF(Q382&lt;&gt;"",VALUE(Q382),0)), "")</f>
        <v/>
      </c>
      <c r="J382" s="125" t="str">
        <f>IF(ISNUMBER(namespace_raw[[#This Row],[Column9]]),MAX(H382, N382, P382, $J$2,IF(R382&lt;&gt;"",VALUE(R382),0)),"")</f>
        <v/>
      </c>
      <c r="K382" s="166" t="str">
        <f>IF(ISNUMBER(namespace_raw[[#This Row],[Column12]]), namespace_raw[[#This Row],[Column12]],"")</f>
        <v/>
      </c>
      <c r="L382" s="167" t="str">
        <f>IF(ISNUMBER(namespace_raw[[#This Row],[Column13]]), namespace_raw[[#This Row],[Column13]]/1048576,"")</f>
        <v/>
      </c>
      <c r="M382" s="168" t="str">
        <f>IF(ISNUMBER(namespace_raw[[#This Row],[Column10]]), (namespace_raw[[#This Row],[Column10]]*(1+$M$2)),"")</f>
        <v/>
      </c>
      <c r="N382" s="167" t="str">
        <f>IF(ISNUMBER(namespace_raw[[#This Row],[Column11]]), (namespace_raw[[#This Row],[Column11]]*(1+$N$2))/1048576,"")</f>
        <v/>
      </c>
      <c r="O382" s="169" t="str">
        <f>IF(ISNUMBER(namespace_raw[[#This Row],[Column8]]), (E382  * $O$2),"")</f>
        <v/>
      </c>
      <c r="P382" s="170" t="str">
        <f>IF(ISNUMBER(namespace_raw[[#This Row],[Column8]]), (F382  * $P$2),"")</f>
        <v/>
      </c>
    </row>
    <row r="383" spans="1:16" ht="15" customHeight="1" x14ac:dyDescent="0.25">
      <c r="A383" s="32" t="str">
        <f>IF(ISNONTEXT(namespace_raw[[#This Row],[Column1]]), "", namespace_raw[[#This Row],[Column1]])</f>
        <v/>
      </c>
      <c r="B383" s="33" t="str">
        <f>IF(ISNONTEXT(namespace_raw[[#This Row],[Column2]]), "", namespace_raw[[#This Row],[Column2]])</f>
        <v/>
      </c>
      <c r="C383" s="94" t="str">
        <f>IF(ISNUMBER(namespace_raw[[#This Row],[Column4]]), namespace_raw[[#This Row],[Column4]], "")</f>
        <v/>
      </c>
      <c r="D383" s="95" t="str">
        <f>IF(ISNUMBER(namespace_raw[[#This Row],[Column5]]), namespace_raw[[#This Row],[Column5]]/1048576, "")</f>
        <v/>
      </c>
      <c r="E383" s="95" t="str">
        <f>IF(ISNUMBER(namespace_raw[[#This Row],[Column6]]), namespace_raw[[#This Row],[Column6]],"")</f>
        <v/>
      </c>
      <c r="F383" s="96" t="str">
        <f>IF(ISNUMBER(namespace_raw[[#This Row],[Column7]]), namespace_raw[[#This Row],[Column7]]/1048576,"")</f>
        <v/>
      </c>
      <c r="G383" s="122" t="str">
        <f>IF(ISNUMBER(namespace_raw[[#This Row],[Column8]]), namespace_raw[[#This Row],[Column8]],"")</f>
        <v/>
      </c>
      <c r="H383" s="123" t="str">
        <f>IF(ISNUMBER(namespace_raw[[#This Row],[Column9]]), namespace_raw[[#This Row],[Column9]]/1048576,"")</f>
        <v/>
      </c>
      <c r="I383" s="124" t="str">
        <f>IF(ISNUMBER(namespace_raw[[#This Row],[Column8]]),MAX(G383, M383, O383, $I$2,IF(Q383&lt;&gt;"",VALUE(Q383),0)), "")</f>
        <v/>
      </c>
      <c r="J383" s="125" t="str">
        <f>IF(ISNUMBER(namespace_raw[[#This Row],[Column9]]),MAX(H383, N383, P383, $J$2,IF(R383&lt;&gt;"",VALUE(R383),0)),"")</f>
        <v/>
      </c>
      <c r="K383" s="166" t="str">
        <f>IF(ISNUMBER(namespace_raw[[#This Row],[Column12]]), namespace_raw[[#This Row],[Column12]],"")</f>
        <v/>
      </c>
      <c r="L383" s="167" t="str">
        <f>IF(ISNUMBER(namespace_raw[[#This Row],[Column13]]), namespace_raw[[#This Row],[Column13]]/1048576,"")</f>
        <v/>
      </c>
      <c r="M383" s="168" t="str">
        <f>IF(ISNUMBER(namespace_raw[[#This Row],[Column10]]), (namespace_raw[[#This Row],[Column10]]*(1+$M$2)),"")</f>
        <v/>
      </c>
      <c r="N383" s="167" t="str">
        <f>IF(ISNUMBER(namespace_raw[[#This Row],[Column11]]), (namespace_raw[[#This Row],[Column11]]*(1+$N$2))/1048576,"")</f>
        <v/>
      </c>
      <c r="O383" s="169" t="str">
        <f>IF(ISNUMBER(namespace_raw[[#This Row],[Column8]]), (E383  * $O$2),"")</f>
        <v/>
      </c>
      <c r="P383" s="170" t="str">
        <f>IF(ISNUMBER(namespace_raw[[#This Row],[Column8]]), (F383  * $P$2),"")</f>
        <v/>
      </c>
    </row>
    <row r="384" spans="1:16" ht="15" customHeight="1" x14ac:dyDescent="0.25">
      <c r="A384" s="32" t="str">
        <f>IF(ISNONTEXT(namespace_raw[[#This Row],[Column1]]), "", namespace_raw[[#This Row],[Column1]])</f>
        <v/>
      </c>
      <c r="B384" s="33" t="str">
        <f>IF(ISNONTEXT(namespace_raw[[#This Row],[Column2]]), "", namespace_raw[[#This Row],[Column2]])</f>
        <v/>
      </c>
      <c r="C384" s="94" t="str">
        <f>IF(ISNUMBER(namespace_raw[[#This Row],[Column4]]), namespace_raw[[#This Row],[Column4]], "")</f>
        <v/>
      </c>
      <c r="D384" s="95" t="str">
        <f>IF(ISNUMBER(namespace_raw[[#This Row],[Column5]]), namespace_raw[[#This Row],[Column5]]/1048576, "")</f>
        <v/>
      </c>
      <c r="E384" s="95" t="str">
        <f>IF(ISNUMBER(namespace_raw[[#This Row],[Column6]]), namespace_raw[[#This Row],[Column6]],"")</f>
        <v/>
      </c>
      <c r="F384" s="96" t="str">
        <f>IF(ISNUMBER(namespace_raw[[#This Row],[Column7]]), namespace_raw[[#This Row],[Column7]]/1048576,"")</f>
        <v/>
      </c>
      <c r="G384" s="122" t="str">
        <f>IF(ISNUMBER(namespace_raw[[#This Row],[Column8]]), namespace_raw[[#This Row],[Column8]],"")</f>
        <v/>
      </c>
      <c r="H384" s="123" t="str">
        <f>IF(ISNUMBER(namespace_raw[[#This Row],[Column9]]), namespace_raw[[#This Row],[Column9]]/1048576,"")</f>
        <v/>
      </c>
      <c r="I384" s="124" t="str">
        <f>IF(ISNUMBER(namespace_raw[[#This Row],[Column8]]),MAX(G384, M384, O384, $I$2,IF(Q384&lt;&gt;"",VALUE(Q384),0)), "")</f>
        <v/>
      </c>
      <c r="J384" s="125" t="str">
        <f>IF(ISNUMBER(namespace_raw[[#This Row],[Column9]]),MAX(H384, N384, P384, $J$2,IF(R384&lt;&gt;"",VALUE(R384),0)),"")</f>
        <v/>
      </c>
      <c r="K384" s="166" t="str">
        <f>IF(ISNUMBER(namespace_raw[[#This Row],[Column12]]), namespace_raw[[#This Row],[Column12]],"")</f>
        <v/>
      </c>
      <c r="L384" s="167" t="str">
        <f>IF(ISNUMBER(namespace_raw[[#This Row],[Column13]]), namespace_raw[[#This Row],[Column13]]/1048576,"")</f>
        <v/>
      </c>
      <c r="M384" s="168" t="str">
        <f>IF(ISNUMBER(namespace_raw[[#This Row],[Column10]]), (namespace_raw[[#This Row],[Column10]]*(1+$M$2)),"")</f>
        <v/>
      </c>
      <c r="N384" s="167" t="str">
        <f>IF(ISNUMBER(namespace_raw[[#This Row],[Column11]]), (namespace_raw[[#This Row],[Column11]]*(1+$N$2))/1048576,"")</f>
        <v/>
      </c>
      <c r="O384" s="169" t="str">
        <f>IF(ISNUMBER(namespace_raw[[#This Row],[Column8]]), (E384  * $O$2),"")</f>
        <v/>
      </c>
      <c r="P384" s="170" t="str">
        <f>IF(ISNUMBER(namespace_raw[[#This Row],[Column8]]), (F384  * $P$2),"")</f>
        <v/>
      </c>
    </row>
    <row r="385" spans="1:16" ht="15" customHeight="1" x14ac:dyDescent="0.25">
      <c r="A385" s="32" t="str">
        <f>IF(ISNONTEXT(namespace_raw[[#This Row],[Column1]]), "", namespace_raw[[#This Row],[Column1]])</f>
        <v/>
      </c>
      <c r="B385" s="33" t="str">
        <f>IF(ISNONTEXT(namespace_raw[[#This Row],[Column2]]), "", namespace_raw[[#This Row],[Column2]])</f>
        <v/>
      </c>
      <c r="C385" s="94" t="str">
        <f>IF(ISNUMBER(namespace_raw[[#This Row],[Column4]]), namespace_raw[[#This Row],[Column4]], "")</f>
        <v/>
      </c>
      <c r="D385" s="95" t="str">
        <f>IF(ISNUMBER(namespace_raw[[#This Row],[Column5]]), namespace_raw[[#This Row],[Column5]]/1048576, "")</f>
        <v/>
      </c>
      <c r="E385" s="95" t="str">
        <f>IF(ISNUMBER(namespace_raw[[#This Row],[Column6]]), namespace_raw[[#This Row],[Column6]],"")</f>
        <v/>
      </c>
      <c r="F385" s="96" t="str">
        <f>IF(ISNUMBER(namespace_raw[[#This Row],[Column7]]), namespace_raw[[#This Row],[Column7]]/1048576,"")</f>
        <v/>
      </c>
      <c r="G385" s="122" t="str">
        <f>IF(ISNUMBER(namespace_raw[[#This Row],[Column8]]), namespace_raw[[#This Row],[Column8]],"")</f>
        <v/>
      </c>
      <c r="H385" s="123" t="str">
        <f>IF(ISNUMBER(namespace_raw[[#This Row],[Column9]]), namespace_raw[[#This Row],[Column9]]/1048576,"")</f>
        <v/>
      </c>
      <c r="I385" s="124" t="str">
        <f>IF(ISNUMBER(namespace_raw[[#This Row],[Column8]]),MAX(G385, M385, O385, $I$2,IF(Q385&lt;&gt;"",VALUE(Q385),0)), "")</f>
        <v/>
      </c>
      <c r="J385" s="125" t="str">
        <f>IF(ISNUMBER(namespace_raw[[#This Row],[Column9]]),MAX(H385, N385, P385, $J$2,IF(R385&lt;&gt;"",VALUE(R385),0)),"")</f>
        <v/>
      </c>
      <c r="K385" s="166" t="str">
        <f>IF(ISNUMBER(namespace_raw[[#This Row],[Column12]]), namespace_raw[[#This Row],[Column12]],"")</f>
        <v/>
      </c>
      <c r="L385" s="167" t="str">
        <f>IF(ISNUMBER(namespace_raw[[#This Row],[Column13]]), namespace_raw[[#This Row],[Column13]]/1048576,"")</f>
        <v/>
      </c>
      <c r="M385" s="168" t="str">
        <f>IF(ISNUMBER(namespace_raw[[#This Row],[Column10]]), (namespace_raw[[#This Row],[Column10]]*(1+$M$2)),"")</f>
        <v/>
      </c>
      <c r="N385" s="167" t="str">
        <f>IF(ISNUMBER(namespace_raw[[#This Row],[Column11]]), (namespace_raw[[#This Row],[Column11]]*(1+$N$2))/1048576,"")</f>
        <v/>
      </c>
      <c r="O385" s="169" t="str">
        <f>IF(ISNUMBER(namespace_raw[[#This Row],[Column8]]), (E385  * $O$2),"")</f>
        <v/>
      </c>
      <c r="P385" s="170" t="str">
        <f>IF(ISNUMBER(namespace_raw[[#This Row],[Column8]]), (F385  * $P$2),"")</f>
        <v/>
      </c>
    </row>
    <row r="386" spans="1:16" ht="15" customHeight="1" x14ac:dyDescent="0.25">
      <c r="A386" s="32" t="str">
        <f>IF(ISNONTEXT(namespace_raw[[#This Row],[Column1]]), "", namespace_raw[[#This Row],[Column1]])</f>
        <v/>
      </c>
      <c r="B386" s="33" t="str">
        <f>IF(ISNONTEXT(namespace_raw[[#This Row],[Column2]]), "", namespace_raw[[#This Row],[Column2]])</f>
        <v/>
      </c>
      <c r="C386" s="94" t="str">
        <f>IF(ISNUMBER(namespace_raw[[#This Row],[Column4]]), namespace_raw[[#This Row],[Column4]], "")</f>
        <v/>
      </c>
      <c r="D386" s="95" t="str">
        <f>IF(ISNUMBER(namespace_raw[[#This Row],[Column5]]), namespace_raw[[#This Row],[Column5]]/1048576, "")</f>
        <v/>
      </c>
      <c r="E386" s="95" t="str">
        <f>IF(ISNUMBER(namespace_raw[[#This Row],[Column6]]), namespace_raw[[#This Row],[Column6]],"")</f>
        <v/>
      </c>
      <c r="F386" s="96" t="str">
        <f>IF(ISNUMBER(namespace_raw[[#This Row],[Column7]]), namespace_raw[[#This Row],[Column7]]/1048576,"")</f>
        <v/>
      </c>
      <c r="G386" s="122" t="str">
        <f>IF(ISNUMBER(namespace_raw[[#This Row],[Column8]]), namespace_raw[[#This Row],[Column8]],"")</f>
        <v/>
      </c>
      <c r="H386" s="123" t="str">
        <f>IF(ISNUMBER(namespace_raw[[#This Row],[Column9]]), namespace_raw[[#This Row],[Column9]]/1048576,"")</f>
        <v/>
      </c>
      <c r="I386" s="124" t="str">
        <f>IF(ISNUMBER(namespace_raw[[#This Row],[Column8]]),MAX(G386, M386, O386, $I$2,IF(Q386&lt;&gt;"",VALUE(Q386),0)), "")</f>
        <v/>
      </c>
      <c r="J386" s="125" t="str">
        <f>IF(ISNUMBER(namespace_raw[[#This Row],[Column9]]),MAX(H386, N386, P386, $J$2,IF(R386&lt;&gt;"",VALUE(R386),0)),"")</f>
        <v/>
      </c>
      <c r="K386" s="166" t="str">
        <f>IF(ISNUMBER(namespace_raw[[#This Row],[Column12]]), namespace_raw[[#This Row],[Column12]],"")</f>
        <v/>
      </c>
      <c r="L386" s="167" t="str">
        <f>IF(ISNUMBER(namespace_raw[[#This Row],[Column13]]), namespace_raw[[#This Row],[Column13]]/1048576,"")</f>
        <v/>
      </c>
      <c r="M386" s="168" t="str">
        <f>IF(ISNUMBER(namespace_raw[[#This Row],[Column10]]), (namespace_raw[[#This Row],[Column10]]*(1+$M$2)),"")</f>
        <v/>
      </c>
      <c r="N386" s="167" t="str">
        <f>IF(ISNUMBER(namespace_raw[[#This Row],[Column11]]), (namespace_raw[[#This Row],[Column11]]*(1+$N$2))/1048576,"")</f>
        <v/>
      </c>
      <c r="O386" s="169" t="str">
        <f>IF(ISNUMBER(namespace_raw[[#This Row],[Column8]]), (E386  * $O$2),"")</f>
        <v/>
      </c>
      <c r="P386" s="170" t="str">
        <f>IF(ISNUMBER(namespace_raw[[#This Row],[Column8]]), (F386  * $P$2),"")</f>
        <v/>
      </c>
    </row>
    <row r="387" spans="1:16" ht="15" customHeight="1" x14ac:dyDescent="0.25">
      <c r="A387" s="32" t="str">
        <f>IF(ISNONTEXT(namespace_raw[[#This Row],[Column1]]), "", namespace_raw[[#This Row],[Column1]])</f>
        <v/>
      </c>
      <c r="B387" s="33" t="str">
        <f>IF(ISNONTEXT(namespace_raw[[#This Row],[Column2]]), "", namespace_raw[[#This Row],[Column2]])</f>
        <v/>
      </c>
      <c r="C387" s="94" t="str">
        <f>IF(ISNUMBER(namespace_raw[[#This Row],[Column4]]), namespace_raw[[#This Row],[Column4]], "")</f>
        <v/>
      </c>
      <c r="D387" s="95" t="str">
        <f>IF(ISNUMBER(namespace_raw[[#This Row],[Column5]]), namespace_raw[[#This Row],[Column5]]/1048576, "")</f>
        <v/>
      </c>
      <c r="E387" s="95" t="str">
        <f>IF(ISNUMBER(namespace_raw[[#This Row],[Column6]]), namespace_raw[[#This Row],[Column6]],"")</f>
        <v/>
      </c>
      <c r="F387" s="96" t="str">
        <f>IF(ISNUMBER(namespace_raw[[#This Row],[Column7]]), namespace_raw[[#This Row],[Column7]]/1048576,"")</f>
        <v/>
      </c>
      <c r="G387" s="122" t="str">
        <f>IF(ISNUMBER(namespace_raw[[#This Row],[Column8]]), namespace_raw[[#This Row],[Column8]],"")</f>
        <v/>
      </c>
      <c r="H387" s="123" t="str">
        <f>IF(ISNUMBER(namespace_raw[[#This Row],[Column9]]), namespace_raw[[#This Row],[Column9]]/1048576,"")</f>
        <v/>
      </c>
      <c r="I387" s="124" t="str">
        <f>IF(ISNUMBER(namespace_raw[[#This Row],[Column8]]),MAX(G387, M387, O387, $I$2,IF(Q387&lt;&gt;"",VALUE(Q387),0)), "")</f>
        <v/>
      </c>
      <c r="J387" s="125" t="str">
        <f>IF(ISNUMBER(namespace_raw[[#This Row],[Column9]]),MAX(H387, N387, P387, $J$2,IF(R387&lt;&gt;"",VALUE(R387),0)),"")</f>
        <v/>
      </c>
      <c r="K387" s="166" t="str">
        <f>IF(ISNUMBER(namespace_raw[[#This Row],[Column12]]), namespace_raw[[#This Row],[Column12]],"")</f>
        <v/>
      </c>
      <c r="L387" s="167" t="str">
        <f>IF(ISNUMBER(namespace_raw[[#This Row],[Column13]]), namespace_raw[[#This Row],[Column13]]/1048576,"")</f>
        <v/>
      </c>
      <c r="M387" s="168" t="str">
        <f>IF(ISNUMBER(namespace_raw[[#This Row],[Column10]]), (namespace_raw[[#This Row],[Column10]]*(1+$M$2)),"")</f>
        <v/>
      </c>
      <c r="N387" s="167" t="str">
        <f>IF(ISNUMBER(namespace_raw[[#This Row],[Column11]]), (namespace_raw[[#This Row],[Column11]]*(1+$N$2))/1048576,"")</f>
        <v/>
      </c>
      <c r="O387" s="169" t="str">
        <f>IF(ISNUMBER(namespace_raw[[#This Row],[Column8]]), (E387  * $O$2),"")</f>
        <v/>
      </c>
      <c r="P387" s="170" t="str">
        <f>IF(ISNUMBER(namespace_raw[[#This Row],[Column8]]), (F387  * $P$2),"")</f>
        <v/>
      </c>
    </row>
    <row r="388" spans="1:16" ht="15" customHeight="1" x14ac:dyDescent="0.25">
      <c r="A388" s="32" t="str">
        <f>IF(ISNONTEXT(namespace_raw[[#This Row],[Column1]]), "", namespace_raw[[#This Row],[Column1]])</f>
        <v/>
      </c>
      <c r="B388" s="33" t="str">
        <f>IF(ISNONTEXT(namespace_raw[[#This Row],[Column2]]), "", namespace_raw[[#This Row],[Column2]])</f>
        <v/>
      </c>
      <c r="C388" s="94" t="str">
        <f>IF(ISNUMBER(namespace_raw[[#This Row],[Column4]]), namespace_raw[[#This Row],[Column4]], "")</f>
        <v/>
      </c>
      <c r="D388" s="95" t="str">
        <f>IF(ISNUMBER(namespace_raw[[#This Row],[Column5]]), namespace_raw[[#This Row],[Column5]]/1048576, "")</f>
        <v/>
      </c>
      <c r="E388" s="95" t="str">
        <f>IF(ISNUMBER(namespace_raw[[#This Row],[Column6]]), namespace_raw[[#This Row],[Column6]],"")</f>
        <v/>
      </c>
      <c r="F388" s="96" t="str">
        <f>IF(ISNUMBER(namespace_raw[[#This Row],[Column7]]), namespace_raw[[#This Row],[Column7]]/1048576,"")</f>
        <v/>
      </c>
      <c r="G388" s="122" t="str">
        <f>IF(ISNUMBER(namespace_raw[[#This Row],[Column8]]), namespace_raw[[#This Row],[Column8]],"")</f>
        <v/>
      </c>
      <c r="H388" s="123" t="str">
        <f>IF(ISNUMBER(namespace_raw[[#This Row],[Column9]]), namespace_raw[[#This Row],[Column9]]/1048576,"")</f>
        <v/>
      </c>
      <c r="I388" s="124" t="str">
        <f>IF(ISNUMBER(namespace_raw[[#This Row],[Column8]]),MAX(G388, M388, O388, $I$2,IF(Q388&lt;&gt;"",VALUE(Q388),0)), "")</f>
        <v/>
      </c>
      <c r="J388" s="125" t="str">
        <f>IF(ISNUMBER(namespace_raw[[#This Row],[Column9]]),MAX(H388, N388, P388, $J$2,IF(R388&lt;&gt;"",VALUE(R388),0)),"")</f>
        <v/>
      </c>
      <c r="K388" s="166" t="str">
        <f>IF(ISNUMBER(namespace_raw[[#This Row],[Column12]]), namespace_raw[[#This Row],[Column12]],"")</f>
        <v/>
      </c>
      <c r="L388" s="167" t="str">
        <f>IF(ISNUMBER(namespace_raw[[#This Row],[Column13]]), namespace_raw[[#This Row],[Column13]]/1048576,"")</f>
        <v/>
      </c>
      <c r="M388" s="168" t="str">
        <f>IF(ISNUMBER(namespace_raw[[#This Row],[Column10]]), (namespace_raw[[#This Row],[Column10]]*(1+$M$2)),"")</f>
        <v/>
      </c>
      <c r="N388" s="167" t="str">
        <f>IF(ISNUMBER(namespace_raw[[#This Row],[Column11]]), (namespace_raw[[#This Row],[Column11]]*(1+$N$2))/1048576,"")</f>
        <v/>
      </c>
      <c r="O388" s="169" t="str">
        <f>IF(ISNUMBER(namespace_raw[[#This Row],[Column8]]), (E388  * $O$2),"")</f>
        <v/>
      </c>
      <c r="P388" s="170" t="str">
        <f>IF(ISNUMBER(namespace_raw[[#This Row],[Column8]]), (F388  * $P$2),"")</f>
        <v/>
      </c>
    </row>
    <row r="389" spans="1:16" ht="15" customHeight="1" x14ac:dyDescent="0.25">
      <c r="A389" s="32" t="str">
        <f>IF(ISNONTEXT(namespace_raw[[#This Row],[Column1]]), "", namespace_raw[[#This Row],[Column1]])</f>
        <v/>
      </c>
      <c r="B389" s="33" t="str">
        <f>IF(ISNONTEXT(namespace_raw[[#This Row],[Column2]]), "", namespace_raw[[#This Row],[Column2]])</f>
        <v/>
      </c>
      <c r="C389" s="94" t="str">
        <f>IF(ISNUMBER(namespace_raw[[#This Row],[Column4]]), namespace_raw[[#This Row],[Column4]], "")</f>
        <v/>
      </c>
      <c r="D389" s="95" t="str">
        <f>IF(ISNUMBER(namespace_raw[[#This Row],[Column5]]), namespace_raw[[#This Row],[Column5]]/1048576, "")</f>
        <v/>
      </c>
      <c r="E389" s="95" t="str">
        <f>IF(ISNUMBER(namespace_raw[[#This Row],[Column6]]), namespace_raw[[#This Row],[Column6]],"")</f>
        <v/>
      </c>
      <c r="F389" s="96" t="str">
        <f>IF(ISNUMBER(namespace_raw[[#This Row],[Column7]]), namespace_raw[[#This Row],[Column7]]/1048576,"")</f>
        <v/>
      </c>
      <c r="G389" s="122" t="str">
        <f>IF(ISNUMBER(namespace_raw[[#This Row],[Column8]]), namespace_raw[[#This Row],[Column8]],"")</f>
        <v/>
      </c>
      <c r="H389" s="123" t="str">
        <f>IF(ISNUMBER(namespace_raw[[#This Row],[Column9]]), namespace_raw[[#This Row],[Column9]]/1048576,"")</f>
        <v/>
      </c>
      <c r="I389" s="124" t="str">
        <f>IF(ISNUMBER(namespace_raw[[#This Row],[Column8]]),MAX(G389, M389, O389, $I$2,IF(Q389&lt;&gt;"",VALUE(Q389),0)), "")</f>
        <v/>
      </c>
      <c r="J389" s="125" t="str">
        <f>IF(ISNUMBER(namespace_raw[[#This Row],[Column9]]),MAX(H389, N389, P389, $J$2,IF(R389&lt;&gt;"",VALUE(R389),0)),"")</f>
        <v/>
      </c>
      <c r="K389" s="166" t="str">
        <f>IF(ISNUMBER(namespace_raw[[#This Row],[Column12]]), namespace_raw[[#This Row],[Column12]],"")</f>
        <v/>
      </c>
      <c r="L389" s="167" t="str">
        <f>IF(ISNUMBER(namespace_raw[[#This Row],[Column13]]), namespace_raw[[#This Row],[Column13]]/1048576,"")</f>
        <v/>
      </c>
      <c r="M389" s="168" t="str">
        <f>IF(ISNUMBER(namespace_raw[[#This Row],[Column10]]), (namespace_raw[[#This Row],[Column10]]*(1+$M$2)),"")</f>
        <v/>
      </c>
      <c r="N389" s="167" t="str">
        <f>IF(ISNUMBER(namespace_raw[[#This Row],[Column11]]), (namespace_raw[[#This Row],[Column11]]*(1+$N$2))/1048576,"")</f>
        <v/>
      </c>
      <c r="O389" s="169" t="str">
        <f>IF(ISNUMBER(namespace_raw[[#This Row],[Column8]]), (E389  * $O$2),"")</f>
        <v/>
      </c>
      <c r="P389" s="170" t="str">
        <f>IF(ISNUMBER(namespace_raw[[#This Row],[Column8]]), (F389  * $P$2),"")</f>
        <v/>
      </c>
    </row>
    <row r="390" spans="1:16" ht="15" customHeight="1" x14ac:dyDescent="0.25">
      <c r="A390" s="32" t="str">
        <f>IF(ISNONTEXT(namespace_raw[[#This Row],[Column1]]), "", namespace_raw[[#This Row],[Column1]])</f>
        <v/>
      </c>
      <c r="B390" s="33" t="str">
        <f>IF(ISNONTEXT(namespace_raw[[#This Row],[Column2]]), "", namespace_raw[[#This Row],[Column2]])</f>
        <v/>
      </c>
      <c r="C390" s="94" t="str">
        <f>IF(ISNUMBER(namespace_raw[[#This Row],[Column4]]), namespace_raw[[#This Row],[Column4]], "")</f>
        <v/>
      </c>
      <c r="D390" s="95" t="str">
        <f>IF(ISNUMBER(namespace_raw[[#This Row],[Column5]]), namespace_raw[[#This Row],[Column5]]/1048576, "")</f>
        <v/>
      </c>
      <c r="E390" s="95" t="str">
        <f>IF(ISNUMBER(namespace_raw[[#This Row],[Column6]]), namespace_raw[[#This Row],[Column6]],"")</f>
        <v/>
      </c>
      <c r="F390" s="96" t="str">
        <f>IF(ISNUMBER(namespace_raw[[#This Row],[Column7]]), namespace_raw[[#This Row],[Column7]]/1048576,"")</f>
        <v/>
      </c>
      <c r="G390" s="122" t="str">
        <f>IF(ISNUMBER(namespace_raw[[#This Row],[Column8]]), namespace_raw[[#This Row],[Column8]],"")</f>
        <v/>
      </c>
      <c r="H390" s="123" t="str">
        <f>IF(ISNUMBER(namespace_raw[[#This Row],[Column9]]), namespace_raw[[#This Row],[Column9]]/1048576,"")</f>
        <v/>
      </c>
      <c r="I390" s="124" t="str">
        <f>IF(ISNUMBER(namespace_raw[[#This Row],[Column8]]),MAX(G390, M390, O390, $I$2,IF(Q390&lt;&gt;"",VALUE(Q390),0)), "")</f>
        <v/>
      </c>
      <c r="J390" s="125" t="str">
        <f>IF(ISNUMBER(namespace_raw[[#This Row],[Column9]]),MAX(H390, N390, P390, $J$2,IF(R390&lt;&gt;"",VALUE(R390),0)),"")</f>
        <v/>
      </c>
      <c r="K390" s="166" t="str">
        <f>IF(ISNUMBER(namespace_raw[[#This Row],[Column12]]), namespace_raw[[#This Row],[Column12]],"")</f>
        <v/>
      </c>
      <c r="L390" s="167" t="str">
        <f>IF(ISNUMBER(namespace_raw[[#This Row],[Column13]]), namespace_raw[[#This Row],[Column13]]/1048576,"")</f>
        <v/>
      </c>
      <c r="M390" s="168" t="str">
        <f>IF(ISNUMBER(namespace_raw[[#This Row],[Column10]]), (namespace_raw[[#This Row],[Column10]]*(1+$M$2)),"")</f>
        <v/>
      </c>
      <c r="N390" s="167" t="str">
        <f>IF(ISNUMBER(namespace_raw[[#This Row],[Column11]]), (namespace_raw[[#This Row],[Column11]]*(1+$N$2))/1048576,"")</f>
        <v/>
      </c>
      <c r="O390" s="169" t="str">
        <f>IF(ISNUMBER(namespace_raw[[#This Row],[Column8]]), (E390  * $O$2),"")</f>
        <v/>
      </c>
      <c r="P390" s="170" t="str">
        <f>IF(ISNUMBER(namespace_raw[[#This Row],[Column8]]), (F390  * $P$2),"")</f>
        <v/>
      </c>
    </row>
    <row r="391" spans="1:16" ht="15" customHeight="1" x14ac:dyDescent="0.25">
      <c r="A391" s="32" t="str">
        <f>IF(ISNONTEXT(namespace_raw[[#This Row],[Column1]]), "", namespace_raw[[#This Row],[Column1]])</f>
        <v/>
      </c>
      <c r="B391" s="33" t="str">
        <f>IF(ISNONTEXT(namespace_raw[[#This Row],[Column2]]), "", namespace_raw[[#This Row],[Column2]])</f>
        <v/>
      </c>
      <c r="C391" s="94" t="str">
        <f>IF(ISNUMBER(namespace_raw[[#This Row],[Column4]]), namespace_raw[[#This Row],[Column4]], "")</f>
        <v/>
      </c>
      <c r="D391" s="95" t="str">
        <f>IF(ISNUMBER(namespace_raw[[#This Row],[Column5]]), namespace_raw[[#This Row],[Column5]]/1048576, "")</f>
        <v/>
      </c>
      <c r="E391" s="95" t="str">
        <f>IF(ISNUMBER(namespace_raw[[#This Row],[Column6]]), namespace_raw[[#This Row],[Column6]],"")</f>
        <v/>
      </c>
      <c r="F391" s="96" t="str">
        <f>IF(ISNUMBER(namespace_raw[[#This Row],[Column7]]), namespace_raw[[#This Row],[Column7]]/1048576,"")</f>
        <v/>
      </c>
      <c r="G391" s="122" t="str">
        <f>IF(ISNUMBER(namespace_raw[[#This Row],[Column8]]), namespace_raw[[#This Row],[Column8]],"")</f>
        <v/>
      </c>
      <c r="H391" s="123" t="str">
        <f>IF(ISNUMBER(namespace_raw[[#This Row],[Column9]]), namespace_raw[[#This Row],[Column9]]/1048576,"")</f>
        <v/>
      </c>
      <c r="I391" s="124" t="str">
        <f>IF(ISNUMBER(namespace_raw[[#This Row],[Column8]]),MAX(G391, M391, O391, $I$2,IF(Q391&lt;&gt;"",VALUE(Q391),0)), "")</f>
        <v/>
      </c>
      <c r="J391" s="125" t="str">
        <f>IF(ISNUMBER(namespace_raw[[#This Row],[Column9]]),MAX(H391, N391, P391, $J$2,IF(R391&lt;&gt;"",VALUE(R391),0)),"")</f>
        <v/>
      </c>
      <c r="K391" s="166" t="str">
        <f>IF(ISNUMBER(namespace_raw[[#This Row],[Column12]]), namespace_raw[[#This Row],[Column12]],"")</f>
        <v/>
      </c>
      <c r="L391" s="167" t="str">
        <f>IF(ISNUMBER(namespace_raw[[#This Row],[Column13]]), namespace_raw[[#This Row],[Column13]]/1048576,"")</f>
        <v/>
      </c>
      <c r="M391" s="168" t="str">
        <f>IF(ISNUMBER(namespace_raw[[#This Row],[Column10]]), (namespace_raw[[#This Row],[Column10]]*(1+$M$2)),"")</f>
        <v/>
      </c>
      <c r="N391" s="167" t="str">
        <f>IF(ISNUMBER(namespace_raw[[#This Row],[Column11]]), (namespace_raw[[#This Row],[Column11]]*(1+$N$2))/1048576,"")</f>
        <v/>
      </c>
      <c r="O391" s="169" t="str">
        <f>IF(ISNUMBER(namespace_raw[[#This Row],[Column8]]), (E391  * $O$2),"")</f>
        <v/>
      </c>
      <c r="P391" s="170" t="str">
        <f>IF(ISNUMBER(namespace_raw[[#This Row],[Column8]]), (F391  * $P$2),"")</f>
        <v/>
      </c>
    </row>
    <row r="392" spans="1:16" ht="15" customHeight="1" x14ac:dyDescent="0.25">
      <c r="A392" s="32" t="str">
        <f>IF(ISNONTEXT(namespace_raw[[#This Row],[Column1]]), "", namespace_raw[[#This Row],[Column1]])</f>
        <v/>
      </c>
      <c r="B392" s="33" t="str">
        <f>IF(ISNONTEXT(namespace_raw[[#This Row],[Column2]]), "", namespace_raw[[#This Row],[Column2]])</f>
        <v/>
      </c>
      <c r="C392" s="94" t="str">
        <f>IF(ISNUMBER(namespace_raw[[#This Row],[Column4]]), namespace_raw[[#This Row],[Column4]], "")</f>
        <v/>
      </c>
      <c r="D392" s="95" t="str">
        <f>IF(ISNUMBER(namespace_raw[[#This Row],[Column5]]), namespace_raw[[#This Row],[Column5]]/1048576, "")</f>
        <v/>
      </c>
      <c r="E392" s="95" t="str">
        <f>IF(ISNUMBER(namespace_raw[[#This Row],[Column6]]), namespace_raw[[#This Row],[Column6]],"")</f>
        <v/>
      </c>
      <c r="F392" s="96" t="str">
        <f>IF(ISNUMBER(namespace_raw[[#This Row],[Column7]]), namespace_raw[[#This Row],[Column7]]/1048576,"")</f>
        <v/>
      </c>
      <c r="G392" s="122" t="str">
        <f>IF(ISNUMBER(namespace_raw[[#This Row],[Column8]]), namespace_raw[[#This Row],[Column8]],"")</f>
        <v/>
      </c>
      <c r="H392" s="123" t="str">
        <f>IF(ISNUMBER(namespace_raw[[#This Row],[Column9]]), namespace_raw[[#This Row],[Column9]]/1048576,"")</f>
        <v/>
      </c>
      <c r="I392" s="124" t="str">
        <f>IF(ISNUMBER(namespace_raw[[#This Row],[Column8]]),MAX(G392, M392, O392, $I$2,IF(Q392&lt;&gt;"",VALUE(Q392),0)), "")</f>
        <v/>
      </c>
      <c r="J392" s="125" t="str">
        <f>IF(ISNUMBER(namespace_raw[[#This Row],[Column9]]),MAX(H392, N392, P392, $J$2,IF(R392&lt;&gt;"",VALUE(R392),0)),"")</f>
        <v/>
      </c>
      <c r="K392" s="166" t="str">
        <f>IF(ISNUMBER(namespace_raw[[#This Row],[Column12]]), namespace_raw[[#This Row],[Column12]],"")</f>
        <v/>
      </c>
      <c r="L392" s="167" t="str">
        <f>IF(ISNUMBER(namespace_raw[[#This Row],[Column13]]), namespace_raw[[#This Row],[Column13]]/1048576,"")</f>
        <v/>
      </c>
      <c r="M392" s="168" t="str">
        <f>IF(ISNUMBER(namespace_raw[[#This Row],[Column10]]), (namespace_raw[[#This Row],[Column10]]*(1+$M$2)),"")</f>
        <v/>
      </c>
      <c r="N392" s="167" t="str">
        <f>IF(ISNUMBER(namespace_raw[[#This Row],[Column11]]), (namespace_raw[[#This Row],[Column11]]*(1+$N$2))/1048576,"")</f>
        <v/>
      </c>
      <c r="O392" s="169" t="str">
        <f>IF(ISNUMBER(namespace_raw[[#This Row],[Column8]]), (E392  * $O$2),"")</f>
        <v/>
      </c>
      <c r="P392" s="170" t="str">
        <f>IF(ISNUMBER(namespace_raw[[#This Row],[Column8]]), (F392  * $P$2),"")</f>
        <v/>
      </c>
    </row>
    <row r="393" spans="1:16" ht="15" customHeight="1" x14ac:dyDescent="0.25">
      <c r="A393" s="32" t="str">
        <f>IF(ISNONTEXT(namespace_raw[[#This Row],[Column1]]), "", namespace_raw[[#This Row],[Column1]])</f>
        <v/>
      </c>
      <c r="B393" s="33" t="str">
        <f>IF(ISNONTEXT(namespace_raw[[#This Row],[Column2]]), "", namespace_raw[[#This Row],[Column2]])</f>
        <v/>
      </c>
      <c r="C393" s="94" t="str">
        <f>IF(ISNUMBER(namespace_raw[[#This Row],[Column4]]), namespace_raw[[#This Row],[Column4]], "")</f>
        <v/>
      </c>
      <c r="D393" s="95" t="str">
        <f>IF(ISNUMBER(namespace_raw[[#This Row],[Column5]]), namespace_raw[[#This Row],[Column5]]/1048576, "")</f>
        <v/>
      </c>
      <c r="E393" s="95" t="str">
        <f>IF(ISNUMBER(namespace_raw[[#This Row],[Column6]]), namespace_raw[[#This Row],[Column6]],"")</f>
        <v/>
      </c>
      <c r="F393" s="96" t="str">
        <f>IF(ISNUMBER(namespace_raw[[#This Row],[Column7]]), namespace_raw[[#This Row],[Column7]]/1048576,"")</f>
        <v/>
      </c>
      <c r="G393" s="122" t="str">
        <f>IF(ISNUMBER(namespace_raw[[#This Row],[Column8]]), namespace_raw[[#This Row],[Column8]],"")</f>
        <v/>
      </c>
      <c r="H393" s="123" t="str">
        <f>IF(ISNUMBER(namespace_raw[[#This Row],[Column9]]), namespace_raw[[#This Row],[Column9]]/1048576,"")</f>
        <v/>
      </c>
      <c r="I393" s="124" t="str">
        <f>IF(ISNUMBER(namespace_raw[[#This Row],[Column8]]),MAX(G393, M393, O393, $I$2,IF(Q393&lt;&gt;"",VALUE(Q393),0)), "")</f>
        <v/>
      </c>
      <c r="J393" s="125" t="str">
        <f>IF(ISNUMBER(namespace_raw[[#This Row],[Column9]]),MAX(H393, N393, P393, $J$2,IF(R393&lt;&gt;"",VALUE(R393),0)),"")</f>
        <v/>
      </c>
      <c r="K393" s="166" t="str">
        <f>IF(ISNUMBER(namespace_raw[[#This Row],[Column12]]), namespace_raw[[#This Row],[Column12]],"")</f>
        <v/>
      </c>
      <c r="L393" s="167" t="str">
        <f>IF(ISNUMBER(namespace_raw[[#This Row],[Column13]]), namespace_raw[[#This Row],[Column13]]/1048576,"")</f>
        <v/>
      </c>
      <c r="M393" s="168" t="str">
        <f>IF(ISNUMBER(namespace_raw[[#This Row],[Column10]]), (namespace_raw[[#This Row],[Column10]]*(1+$M$2)),"")</f>
        <v/>
      </c>
      <c r="N393" s="167" t="str">
        <f>IF(ISNUMBER(namespace_raw[[#This Row],[Column11]]), (namespace_raw[[#This Row],[Column11]]*(1+$N$2))/1048576,"")</f>
        <v/>
      </c>
      <c r="O393" s="169" t="str">
        <f>IF(ISNUMBER(namespace_raw[[#This Row],[Column8]]), (E393  * $O$2),"")</f>
        <v/>
      </c>
      <c r="P393" s="170" t="str">
        <f>IF(ISNUMBER(namespace_raw[[#This Row],[Column8]]), (F393  * $P$2),"")</f>
        <v/>
      </c>
    </row>
    <row r="394" spans="1:16" ht="15" customHeight="1" x14ac:dyDescent="0.25">
      <c r="A394" s="32" t="str">
        <f>IF(ISNONTEXT(namespace_raw[[#This Row],[Column1]]), "", namespace_raw[[#This Row],[Column1]])</f>
        <v/>
      </c>
      <c r="B394" s="33" t="str">
        <f>IF(ISNONTEXT(namespace_raw[[#This Row],[Column2]]), "", namespace_raw[[#This Row],[Column2]])</f>
        <v/>
      </c>
      <c r="C394" s="94" t="str">
        <f>IF(ISNUMBER(namespace_raw[[#This Row],[Column4]]), namespace_raw[[#This Row],[Column4]], "")</f>
        <v/>
      </c>
      <c r="D394" s="95" t="str">
        <f>IF(ISNUMBER(namespace_raw[[#This Row],[Column5]]), namespace_raw[[#This Row],[Column5]]/1048576, "")</f>
        <v/>
      </c>
      <c r="E394" s="95" t="str">
        <f>IF(ISNUMBER(namespace_raw[[#This Row],[Column6]]), namespace_raw[[#This Row],[Column6]],"")</f>
        <v/>
      </c>
      <c r="F394" s="96" t="str">
        <f>IF(ISNUMBER(namespace_raw[[#This Row],[Column7]]), namespace_raw[[#This Row],[Column7]]/1048576,"")</f>
        <v/>
      </c>
      <c r="G394" s="122" t="str">
        <f>IF(ISNUMBER(namespace_raw[[#This Row],[Column8]]), namespace_raw[[#This Row],[Column8]],"")</f>
        <v/>
      </c>
      <c r="H394" s="123" t="str">
        <f>IF(ISNUMBER(namespace_raw[[#This Row],[Column9]]), namespace_raw[[#This Row],[Column9]]/1048576,"")</f>
        <v/>
      </c>
      <c r="I394" s="124" t="str">
        <f>IF(ISNUMBER(namespace_raw[[#This Row],[Column8]]),MAX(G394, M394, O394, $I$2,IF(Q394&lt;&gt;"",VALUE(Q394),0)), "")</f>
        <v/>
      </c>
      <c r="J394" s="125" t="str">
        <f>IF(ISNUMBER(namespace_raw[[#This Row],[Column9]]),MAX(H394, N394, P394, $J$2,IF(R394&lt;&gt;"",VALUE(R394),0)),"")</f>
        <v/>
      </c>
      <c r="K394" s="166" t="str">
        <f>IF(ISNUMBER(namespace_raw[[#This Row],[Column12]]), namespace_raw[[#This Row],[Column12]],"")</f>
        <v/>
      </c>
      <c r="L394" s="167" t="str">
        <f>IF(ISNUMBER(namespace_raw[[#This Row],[Column13]]), namespace_raw[[#This Row],[Column13]]/1048576,"")</f>
        <v/>
      </c>
      <c r="M394" s="168" t="str">
        <f>IF(ISNUMBER(namespace_raw[[#This Row],[Column10]]), (namespace_raw[[#This Row],[Column10]]*(1+$M$2)),"")</f>
        <v/>
      </c>
      <c r="N394" s="167" t="str">
        <f>IF(ISNUMBER(namespace_raw[[#This Row],[Column11]]), (namespace_raw[[#This Row],[Column11]]*(1+$N$2))/1048576,"")</f>
        <v/>
      </c>
      <c r="O394" s="169" t="str">
        <f>IF(ISNUMBER(namespace_raw[[#This Row],[Column8]]), (E394  * $O$2),"")</f>
        <v/>
      </c>
      <c r="P394" s="170" t="str">
        <f>IF(ISNUMBER(namespace_raw[[#This Row],[Column8]]), (F394  * $P$2),"")</f>
        <v/>
      </c>
    </row>
    <row r="395" spans="1:16" ht="15" customHeight="1" x14ac:dyDescent="0.25">
      <c r="A395" s="32" t="str">
        <f>IF(ISNONTEXT(namespace_raw[[#This Row],[Column1]]), "", namespace_raw[[#This Row],[Column1]])</f>
        <v/>
      </c>
      <c r="B395" s="33" t="str">
        <f>IF(ISNONTEXT(namespace_raw[[#This Row],[Column2]]), "", namespace_raw[[#This Row],[Column2]])</f>
        <v/>
      </c>
      <c r="C395" s="94" t="str">
        <f>IF(ISNUMBER(namespace_raw[[#This Row],[Column4]]), namespace_raw[[#This Row],[Column4]], "")</f>
        <v/>
      </c>
      <c r="D395" s="95" t="str">
        <f>IF(ISNUMBER(namespace_raw[[#This Row],[Column5]]), namespace_raw[[#This Row],[Column5]]/1048576, "")</f>
        <v/>
      </c>
      <c r="E395" s="95" t="str">
        <f>IF(ISNUMBER(namespace_raw[[#This Row],[Column6]]), namespace_raw[[#This Row],[Column6]],"")</f>
        <v/>
      </c>
      <c r="F395" s="96" t="str">
        <f>IF(ISNUMBER(namespace_raw[[#This Row],[Column7]]), namespace_raw[[#This Row],[Column7]]/1048576,"")</f>
        <v/>
      </c>
      <c r="G395" s="122" t="str">
        <f>IF(ISNUMBER(namespace_raw[[#This Row],[Column8]]), namespace_raw[[#This Row],[Column8]],"")</f>
        <v/>
      </c>
      <c r="H395" s="123" t="str">
        <f>IF(ISNUMBER(namespace_raw[[#This Row],[Column9]]), namespace_raw[[#This Row],[Column9]]/1048576,"")</f>
        <v/>
      </c>
      <c r="I395" s="124" t="str">
        <f>IF(ISNUMBER(namespace_raw[[#This Row],[Column8]]),MAX(G395, M395, O395, $I$2,IF(Q395&lt;&gt;"",VALUE(Q395),0)), "")</f>
        <v/>
      </c>
      <c r="J395" s="125" t="str">
        <f>IF(ISNUMBER(namespace_raw[[#This Row],[Column9]]),MAX(H395, N395, P395, $J$2,IF(R395&lt;&gt;"",VALUE(R395),0)),"")</f>
        <v/>
      </c>
      <c r="K395" s="166" t="str">
        <f>IF(ISNUMBER(namespace_raw[[#This Row],[Column12]]), namespace_raw[[#This Row],[Column12]],"")</f>
        <v/>
      </c>
      <c r="L395" s="167" t="str">
        <f>IF(ISNUMBER(namespace_raw[[#This Row],[Column13]]), namespace_raw[[#This Row],[Column13]]/1048576,"")</f>
        <v/>
      </c>
      <c r="M395" s="168" t="str">
        <f>IF(ISNUMBER(namespace_raw[[#This Row],[Column10]]), (namespace_raw[[#This Row],[Column10]]*(1+$M$2)),"")</f>
        <v/>
      </c>
      <c r="N395" s="167" t="str">
        <f>IF(ISNUMBER(namespace_raw[[#This Row],[Column11]]), (namespace_raw[[#This Row],[Column11]]*(1+$N$2))/1048576,"")</f>
        <v/>
      </c>
      <c r="O395" s="169" t="str">
        <f>IF(ISNUMBER(namespace_raw[[#This Row],[Column8]]), (E395  * $O$2),"")</f>
        <v/>
      </c>
      <c r="P395" s="170" t="str">
        <f>IF(ISNUMBER(namespace_raw[[#This Row],[Column8]]), (F395  * $P$2),"")</f>
        <v/>
      </c>
    </row>
    <row r="396" spans="1:16" ht="15" customHeight="1" x14ac:dyDescent="0.25">
      <c r="A396" s="32" t="str">
        <f>IF(ISNONTEXT(namespace_raw[[#This Row],[Column1]]), "", namespace_raw[[#This Row],[Column1]])</f>
        <v/>
      </c>
      <c r="B396" s="33" t="str">
        <f>IF(ISNONTEXT(namespace_raw[[#This Row],[Column2]]), "", namespace_raw[[#This Row],[Column2]])</f>
        <v/>
      </c>
      <c r="C396" s="94" t="str">
        <f>IF(ISNUMBER(namespace_raw[[#This Row],[Column4]]), namespace_raw[[#This Row],[Column4]], "")</f>
        <v/>
      </c>
      <c r="D396" s="95" t="str">
        <f>IF(ISNUMBER(namespace_raw[[#This Row],[Column5]]), namespace_raw[[#This Row],[Column5]]/1048576, "")</f>
        <v/>
      </c>
      <c r="E396" s="95" t="str">
        <f>IF(ISNUMBER(namespace_raw[[#This Row],[Column6]]), namespace_raw[[#This Row],[Column6]],"")</f>
        <v/>
      </c>
      <c r="F396" s="96" t="str">
        <f>IF(ISNUMBER(namespace_raw[[#This Row],[Column7]]), namespace_raw[[#This Row],[Column7]]/1048576,"")</f>
        <v/>
      </c>
      <c r="G396" s="122" t="str">
        <f>IF(ISNUMBER(namespace_raw[[#This Row],[Column8]]), namespace_raw[[#This Row],[Column8]],"")</f>
        <v/>
      </c>
      <c r="H396" s="123" t="str">
        <f>IF(ISNUMBER(namespace_raw[[#This Row],[Column9]]), namespace_raw[[#This Row],[Column9]]/1048576,"")</f>
        <v/>
      </c>
      <c r="I396" s="124" t="str">
        <f>IF(ISNUMBER(namespace_raw[[#This Row],[Column8]]),MAX(G396, M396, O396, $I$2,IF(Q396&lt;&gt;"",VALUE(Q396),0)), "")</f>
        <v/>
      </c>
      <c r="J396" s="125" t="str">
        <f>IF(ISNUMBER(namespace_raw[[#This Row],[Column9]]),MAX(H396, N396, P396, $J$2,IF(R396&lt;&gt;"",VALUE(R396),0)),"")</f>
        <v/>
      </c>
      <c r="K396" s="166" t="str">
        <f>IF(ISNUMBER(namespace_raw[[#This Row],[Column12]]), namespace_raw[[#This Row],[Column12]],"")</f>
        <v/>
      </c>
      <c r="L396" s="167" t="str">
        <f>IF(ISNUMBER(namespace_raw[[#This Row],[Column13]]), namespace_raw[[#This Row],[Column13]]/1048576,"")</f>
        <v/>
      </c>
      <c r="M396" s="168" t="str">
        <f>IF(ISNUMBER(namespace_raw[[#This Row],[Column10]]), (namespace_raw[[#This Row],[Column10]]*(1+$M$2)),"")</f>
        <v/>
      </c>
      <c r="N396" s="167" t="str">
        <f>IF(ISNUMBER(namespace_raw[[#This Row],[Column11]]), (namespace_raw[[#This Row],[Column11]]*(1+$N$2))/1048576,"")</f>
        <v/>
      </c>
      <c r="O396" s="169" t="str">
        <f>IF(ISNUMBER(namespace_raw[[#This Row],[Column8]]), (E396  * $O$2),"")</f>
        <v/>
      </c>
      <c r="P396" s="170" t="str">
        <f>IF(ISNUMBER(namespace_raw[[#This Row],[Column8]]), (F396  * $P$2),"")</f>
        <v/>
      </c>
    </row>
    <row r="397" spans="1:16" ht="15" customHeight="1" x14ac:dyDescent="0.25">
      <c r="A397" s="32" t="str">
        <f>IF(ISNONTEXT(namespace_raw[[#This Row],[Column1]]), "", namespace_raw[[#This Row],[Column1]])</f>
        <v/>
      </c>
      <c r="B397" s="33" t="str">
        <f>IF(ISNONTEXT(namespace_raw[[#This Row],[Column2]]), "", namespace_raw[[#This Row],[Column2]])</f>
        <v/>
      </c>
      <c r="C397" s="94" t="str">
        <f>IF(ISNUMBER(namespace_raw[[#This Row],[Column4]]), namespace_raw[[#This Row],[Column4]], "")</f>
        <v/>
      </c>
      <c r="D397" s="95" t="str">
        <f>IF(ISNUMBER(namespace_raw[[#This Row],[Column5]]), namespace_raw[[#This Row],[Column5]]/1048576, "")</f>
        <v/>
      </c>
      <c r="E397" s="95" t="str">
        <f>IF(ISNUMBER(namespace_raw[[#This Row],[Column6]]), namespace_raw[[#This Row],[Column6]],"")</f>
        <v/>
      </c>
      <c r="F397" s="96" t="str">
        <f>IF(ISNUMBER(namespace_raw[[#This Row],[Column7]]), namespace_raw[[#This Row],[Column7]]/1048576,"")</f>
        <v/>
      </c>
      <c r="G397" s="122" t="str">
        <f>IF(ISNUMBER(namespace_raw[[#This Row],[Column8]]), namespace_raw[[#This Row],[Column8]],"")</f>
        <v/>
      </c>
      <c r="H397" s="123" t="str">
        <f>IF(ISNUMBER(namespace_raw[[#This Row],[Column9]]), namespace_raw[[#This Row],[Column9]]/1048576,"")</f>
        <v/>
      </c>
      <c r="I397" s="124" t="str">
        <f>IF(ISNUMBER(namespace_raw[[#This Row],[Column8]]),MAX(G397, M397, O397, $I$2,IF(Q397&lt;&gt;"",VALUE(Q397),0)), "")</f>
        <v/>
      </c>
      <c r="J397" s="125" t="str">
        <f>IF(ISNUMBER(namespace_raw[[#This Row],[Column9]]),MAX(H397, N397, P397, $J$2,IF(R397&lt;&gt;"",VALUE(R397),0)),"")</f>
        <v/>
      </c>
      <c r="K397" s="166" t="str">
        <f>IF(ISNUMBER(namespace_raw[[#This Row],[Column12]]), namespace_raw[[#This Row],[Column12]],"")</f>
        <v/>
      </c>
      <c r="L397" s="167" t="str">
        <f>IF(ISNUMBER(namespace_raw[[#This Row],[Column13]]), namespace_raw[[#This Row],[Column13]]/1048576,"")</f>
        <v/>
      </c>
      <c r="M397" s="168" t="str">
        <f>IF(ISNUMBER(namespace_raw[[#This Row],[Column10]]), (namespace_raw[[#This Row],[Column10]]*(1+$M$2)),"")</f>
        <v/>
      </c>
      <c r="N397" s="167" t="str">
        <f>IF(ISNUMBER(namespace_raw[[#This Row],[Column11]]), (namespace_raw[[#This Row],[Column11]]*(1+$N$2))/1048576,"")</f>
        <v/>
      </c>
      <c r="O397" s="169" t="str">
        <f>IF(ISNUMBER(namespace_raw[[#This Row],[Column8]]), (E397  * $O$2),"")</f>
        <v/>
      </c>
      <c r="P397" s="170" t="str">
        <f>IF(ISNUMBER(namespace_raw[[#This Row],[Column8]]), (F397  * $P$2),"")</f>
        <v/>
      </c>
    </row>
    <row r="398" spans="1:16" ht="15" customHeight="1" x14ac:dyDescent="0.25">
      <c r="A398" s="32" t="str">
        <f>IF(ISNONTEXT(namespace_raw[[#This Row],[Column1]]), "", namespace_raw[[#This Row],[Column1]])</f>
        <v/>
      </c>
      <c r="B398" s="33" t="str">
        <f>IF(ISNONTEXT(namespace_raw[[#This Row],[Column2]]), "", namespace_raw[[#This Row],[Column2]])</f>
        <v/>
      </c>
      <c r="C398" s="94" t="str">
        <f>IF(ISNUMBER(namespace_raw[[#This Row],[Column4]]), namespace_raw[[#This Row],[Column4]], "")</f>
        <v/>
      </c>
      <c r="D398" s="95" t="str">
        <f>IF(ISNUMBER(namespace_raw[[#This Row],[Column5]]), namespace_raw[[#This Row],[Column5]]/1048576, "")</f>
        <v/>
      </c>
      <c r="E398" s="95" t="str">
        <f>IF(ISNUMBER(namespace_raw[[#This Row],[Column6]]), namespace_raw[[#This Row],[Column6]],"")</f>
        <v/>
      </c>
      <c r="F398" s="96" t="str">
        <f>IF(ISNUMBER(namespace_raw[[#This Row],[Column7]]), namespace_raw[[#This Row],[Column7]]/1048576,"")</f>
        <v/>
      </c>
      <c r="G398" s="122" t="str">
        <f>IF(ISNUMBER(namespace_raw[[#This Row],[Column8]]), namespace_raw[[#This Row],[Column8]],"")</f>
        <v/>
      </c>
      <c r="H398" s="123" t="str">
        <f>IF(ISNUMBER(namespace_raw[[#This Row],[Column9]]), namespace_raw[[#This Row],[Column9]]/1048576,"")</f>
        <v/>
      </c>
      <c r="I398" s="124" t="str">
        <f>IF(ISNUMBER(namespace_raw[[#This Row],[Column8]]),MAX(G398, M398, O398, $I$2,IF(Q398&lt;&gt;"",VALUE(Q398),0)), "")</f>
        <v/>
      </c>
      <c r="J398" s="125" t="str">
        <f>IF(ISNUMBER(namespace_raw[[#This Row],[Column9]]),MAX(H398, N398, P398, $J$2,IF(R398&lt;&gt;"",VALUE(R398),0)),"")</f>
        <v/>
      </c>
      <c r="K398" s="166" t="str">
        <f>IF(ISNUMBER(namespace_raw[[#This Row],[Column12]]), namespace_raw[[#This Row],[Column12]],"")</f>
        <v/>
      </c>
      <c r="L398" s="167" t="str">
        <f>IF(ISNUMBER(namespace_raw[[#This Row],[Column13]]), namespace_raw[[#This Row],[Column13]]/1048576,"")</f>
        <v/>
      </c>
      <c r="M398" s="168" t="str">
        <f>IF(ISNUMBER(namespace_raw[[#This Row],[Column10]]), (namespace_raw[[#This Row],[Column10]]*(1+$M$2)),"")</f>
        <v/>
      </c>
      <c r="N398" s="167" t="str">
        <f>IF(ISNUMBER(namespace_raw[[#This Row],[Column11]]), (namespace_raw[[#This Row],[Column11]]*(1+$N$2))/1048576,"")</f>
        <v/>
      </c>
      <c r="O398" s="169" t="str">
        <f>IF(ISNUMBER(namespace_raw[[#This Row],[Column8]]), (E398  * $O$2),"")</f>
        <v/>
      </c>
      <c r="P398" s="170" t="str">
        <f>IF(ISNUMBER(namespace_raw[[#This Row],[Column8]]), (F398  * $P$2),"")</f>
        <v/>
      </c>
    </row>
    <row r="399" spans="1:16" ht="15" customHeight="1" x14ac:dyDescent="0.25">
      <c r="A399" s="32" t="str">
        <f>IF(ISNONTEXT(namespace_raw[[#This Row],[Column1]]), "", namespace_raw[[#This Row],[Column1]])</f>
        <v/>
      </c>
      <c r="B399" s="33" t="str">
        <f>IF(ISNONTEXT(namespace_raw[[#This Row],[Column2]]), "", namespace_raw[[#This Row],[Column2]])</f>
        <v/>
      </c>
      <c r="C399" s="94" t="str">
        <f>IF(ISNUMBER(namespace_raw[[#This Row],[Column4]]), namespace_raw[[#This Row],[Column4]], "")</f>
        <v/>
      </c>
      <c r="D399" s="95" t="str">
        <f>IF(ISNUMBER(namespace_raw[[#This Row],[Column5]]), namespace_raw[[#This Row],[Column5]]/1048576, "")</f>
        <v/>
      </c>
      <c r="E399" s="95" t="str">
        <f>IF(ISNUMBER(namespace_raw[[#This Row],[Column6]]), namespace_raw[[#This Row],[Column6]],"")</f>
        <v/>
      </c>
      <c r="F399" s="96" t="str">
        <f>IF(ISNUMBER(namespace_raw[[#This Row],[Column7]]), namespace_raw[[#This Row],[Column7]]/1048576,"")</f>
        <v/>
      </c>
      <c r="G399" s="122" t="str">
        <f>IF(ISNUMBER(namespace_raw[[#This Row],[Column8]]), namespace_raw[[#This Row],[Column8]],"")</f>
        <v/>
      </c>
      <c r="H399" s="123" t="str">
        <f>IF(ISNUMBER(namespace_raw[[#This Row],[Column9]]), namespace_raw[[#This Row],[Column9]]/1048576,"")</f>
        <v/>
      </c>
      <c r="I399" s="124" t="str">
        <f>IF(ISNUMBER(namespace_raw[[#This Row],[Column8]]),MAX(G399, M399, O399, $I$2,IF(Q399&lt;&gt;"",VALUE(Q399),0)), "")</f>
        <v/>
      </c>
      <c r="J399" s="125" t="str">
        <f>IF(ISNUMBER(namespace_raw[[#This Row],[Column9]]),MAX(H399, N399, P399, $J$2,IF(R399&lt;&gt;"",VALUE(R399),0)),"")</f>
        <v/>
      </c>
      <c r="K399" s="166" t="str">
        <f>IF(ISNUMBER(namespace_raw[[#This Row],[Column12]]), namespace_raw[[#This Row],[Column12]],"")</f>
        <v/>
      </c>
      <c r="L399" s="167" t="str">
        <f>IF(ISNUMBER(namespace_raw[[#This Row],[Column13]]), namespace_raw[[#This Row],[Column13]]/1048576,"")</f>
        <v/>
      </c>
      <c r="M399" s="168" t="str">
        <f>IF(ISNUMBER(namespace_raw[[#This Row],[Column10]]), (namespace_raw[[#This Row],[Column10]]*(1+$M$2)),"")</f>
        <v/>
      </c>
      <c r="N399" s="167" t="str">
        <f>IF(ISNUMBER(namespace_raw[[#This Row],[Column11]]), (namespace_raw[[#This Row],[Column11]]*(1+$N$2))/1048576,"")</f>
        <v/>
      </c>
      <c r="O399" s="169" t="str">
        <f>IF(ISNUMBER(namespace_raw[[#This Row],[Column8]]), (E399  * $O$2),"")</f>
        <v/>
      </c>
      <c r="P399" s="170" t="str">
        <f>IF(ISNUMBER(namespace_raw[[#This Row],[Column8]]), (F399  * $P$2),"")</f>
        <v/>
      </c>
    </row>
    <row r="400" spans="1:16" ht="15" customHeight="1" x14ac:dyDescent="0.25">
      <c r="A400" s="32" t="str">
        <f>IF(ISNONTEXT(namespace_raw[[#This Row],[Column1]]), "", namespace_raw[[#This Row],[Column1]])</f>
        <v/>
      </c>
      <c r="B400" s="33" t="str">
        <f>IF(ISNONTEXT(namespace_raw[[#This Row],[Column2]]), "", namespace_raw[[#This Row],[Column2]])</f>
        <v/>
      </c>
      <c r="C400" s="94" t="str">
        <f>IF(ISNUMBER(namespace_raw[[#This Row],[Column4]]), namespace_raw[[#This Row],[Column4]], "")</f>
        <v/>
      </c>
      <c r="D400" s="95" t="str">
        <f>IF(ISNUMBER(namespace_raw[[#This Row],[Column5]]), namespace_raw[[#This Row],[Column5]]/1048576, "")</f>
        <v/>
      </c>
      <c r="E400" s="95" t="str">
        <f>IF(ISNUMBER(namespace_raw[[#This Row],[Column6]]), namespace_raw[[#This Row],[Column6]],"")</f>
        <v/>
      </c>
      <c r="F400" s="96" t="str">
        <f>IF(ISNUMBER(namespace_raw[[#This Row],[Column7]]), namespace_raw[[#This Row],[Column7]]/1048576,"")</f>
        <v/>
      </c>
      <c r="G400" s="122" t="str">
        <f>IF(ISNUMBER(namespace_raw[[#This Row],[Column8]]), namespace_raw[[#This Row],[Column8]],"")</f>
        <v/>
      </c>
      <c r="H400" s="123" t="str">
        <f>IF(ISNUMBER(namespace_raw[[#This Row],[Column9]]), namespace_raw[[#This Row],[Column9]]/1048576,"")</f>
        <v/>
      </c>
      <c r="I400" s="124" t="str">
        <f>IF(ISNUMBER(namespace_raw[[#This Row],[Column8]]),MAX(G400, M400, O400, $I$2,IF(Q400&lt;&gt;"",VALUE(Q400),0)), "")</f>
        <v/>
      </c>
      <c r="J400" s="125" t="str">
        <f>IF(ISNUMBER(namespace_raw[[#This Row],[Column9]]),MAX(H400, N400, P400, $J$2,IF(R400&lt;&gt;"",VALUE(R400),0)),"")</f>
        <v/>
      </c>
      <c r="K400" s="166" t="str">
        <f>IF(ISNUMBER(namespace_raw[[#This Row],[Column12]]), namespace_raw[[#This Row],[Column12]],"")</f>
        <v/>
      </c>
      <c r="L400" s="167" t="str">
        <f>IF(ISNUMBER(namespace_raw[[#This Row],[Column13]]), namespace_raw[[#This Row],[Column13]]/1048576,"")</f>
        <v/>
      </c>
      <c r="M400" s="168" t="str">
        <f>IF(ISNUMBER(namespace_raw[[#This Row],[Column10]]), (namespace_raw[[#This Row],[Column10]]*(1+$M$2)),"")</f>
        <v/>
      </c>
      <c r="N400" s="167" t="str">
        <f>IF(ISNUMBER(namespace_raw[[#This Row],[Column11]]), (namespace_raw[[#This Row],[Column11]]*(1+$N$2))/1048576,"")</f>
        <v/>
      </c>
      <c r="O400" s="169" t="str">
        <f>IF(ISNUMBER(namespace_raw[[#This Row],[Column8]]), (E400  * $O$2),"")</f>
        <v/>
      </c>
      <c r="P400" s="170" t="str">
        <f>IF(ISNUMBER(namespace_raw[[#This Row],[Column8]]), (F400  * $P$2),"")</f>
        <v/>
      </c>
    </row>
    <row r="401" spans="1:16" ht="15" customHeight="1" x14ac:dyDescent="0.25">
      <c r="A401" s="32" t="str">
        <f>IF(ISNONTEXT(namespace_raw[[#This Row],[Column1]]), "", namespace_raw[[#This Row],[Column1]])</f>
        <v/>
      </c>
      <c r="B401" s="33" t="str">
        <f>IF(ISNONTEXT(namespace_raw[[#This Row],[Column2]]), "", namespace_raw[[#This Row],[Column2]])</f>
        <v/>
      </c>
      <c r="C401" s="94" t="str">
        <f>IF(ISNUMBER(namespace_raw[[#This Row],[Column4]]), namespace_raw[[#This Row],[Column4]], "")</f>
        <v/>
      </c>
      <c r="D401" s="95" t="str">
        <f>IF(ISNUMBER(namespace_raw[[#This Row],[Column5]]), namespace_raw[[#This Row],[Column5]]/1048576, "")</f>
        <v/>
      </c>
      <c r="E401" s="95" t="str">
        <f>IF(ISNUMBER(namespace_raw[[#This Row],[Column6]]), namespace_raw[[#This Row],[Column6]],"")</f>
        <v/>
      </c>
      <c r="F401" s="96" t="str">
        <f>IF(ISNUMBER(namespace_raw[[#This Row],[Column7]]), namespace_raw[[#This Row],[Column7]]/1048576,"")</f>
        <v/>
      </c>
      <c r="G401" s="122" t="str">
        <f>IF(ISNUMBER(namespace_raw[[#This Row],[Column8]]), namespace_raw[[#This Row],[Column8]],"")</f>
        <v/>
      </c>
      <c r="H401" s="123" t="str">
        <f>IF(ISNUMBER(namespace_raw[[#This Row],[Column9]]), namespace_raw[[#This Row],[Column9]]/1048576,"")</f>
        <v/>
      </c>
      <c r="I401" s="124" t="str">
        <f>IF(ISNUMBER(namespace_raw[[#This Row],[Column8]]),MAX(G401, M401, O401, $I$2,IF(Q401&lt;&gt;"",VALUE(Q401),0)), "")</f>
        <v/>
      </c>
      <c r="J401" s="125" t="str">
        <f>IF(ISNUMBER(namespace_raw[[#This Row],[Column9]]),MAX(H401, N401, P401, $J$2,IF(R401&lt;&gt;"",VALUE(R401),0)),"")</f>
        <v/>
      </c>
      <c r="K401" s="166" t="str">
        <f>IF(ISNUMBER(namespace_raw[[#This Row],[Column12]]), namespace_raw[[#This Row],[Column12]],"")</f>
        <v/>
      </c>
      <c r="L401" s="167" t="str">
        <f>IF(ISNUMBER(namespace_raw[[#This Row],[Column13]]), namespace_raw[[#This Row],[Column13]]/1048576,"")</f>
        <v/>
      </c>
      <c r="M401" s="168" t="str">
        <f>IF(ISNUMBER(namespace_raw[[#This Row],[Column10]]), (namespace_raw[[#This Row],[Column10]]*(1+$M$2)),"")</f>
        <v/>
      </c>
      <c r="N401" s="167" t="str">
        <f>IF(ISNUMBER(namespace_raw[[#This Row],[Column11]]), (namespace_raw[[#This Row],[Column11]]*(1+$N$2))/1048576,"")</f>
        <v/>
      </c>
      <c r="O401" s="169" t="str">
        <f>IF(ISNUMBER(namespace_raw[[#This Row],[Column8]]), (E401  * $O$2),"")</f>
        <v/>
      </c>
      <c r="P401" s="170" t="str">
        <f>IF(ISNUMBER(namespace_raw[[#This Row],[Column8]]), (F401  * $P$2),"")</f>
        <v/>
      </c>
    </row>
    <row r="402" spans="1:16" ht="15" customHeight="1" x14ac:dyDescent="0.25">
      <c r="A402" s="32" t="str">
        <f>IF(ISNONTEXT(namespace_raw[[#This Row],[Column1]]), "", namespace_raw[[#This Row],[Column1]])</f>
        <v/>
      </c>
      <c r="B402" s="33" t="str">
        <f>IF(ISNONTEXT(namespace_raw[[#This Row],[Column2]]), "", namespace_raw[[#This Row],[Column2]])</f>
        <v/>
      </c>
      <c r="C402" s="94" t="str">
        <f>IF(ISNUMBER(namespace_raw[[#This Row],[Column4]]), namespace_raw[[#This Row],[Column4]], "")</f>
        <v/>
      </c>
      <c r="D402" s="95" t="str">
        <f>IF(ISNUMBER(namespace_raw[[#This Row],[Column5]]), namespace_raw[[#This Row],[Column5]]/1048576, "")</f>
        <v/>
      </c>
      <c r="E402" s="95" t="str">
        <f>IF(ISNUMBER(namespace_raw[[#This Row],[Column6]]), namespace_raw[[#This Row],[Column6]],"")</f>
        <v/>
      </c>
      <c r="F402" s="96" t="str">
        <f>IF(ISNUMBER(namespace_raw[[#This Row],[Column7]]), namespace_raw[[#This Row],[Column7]]/1048576,"")</f>
        <v/>
      </c>
      <c r="G402" s="122" t="str">
        <f>IF(ISNUMBER(namespace_raw[[#This Row],[Column8]]), namespace_raw[[#This Row],[Column8]],"")</f>
        <v/>
      </c>
      <c r="H402" s="123" t="str">
        <f>IF(ISNUMBER(namespace_raw[[#This Row],[Column9]]), namespace_raw[[#This Row],[Column9]]/1048576,"")</f>
        <v/>
      </c>
      <c r="I402" s="124" t="str">
        <f>IF(ISNUMBER(namespace_raw[[#This Row],[Column8]]),MAX(G402, M402, O402, $I$2,IF(Q402&lt;&gt;"",VALUE(Q402),0)), "")</f>
        <v/>
      </c>
      <c r="J402" s="125" t="str">
        <f>IF(ISNUMBER(namespace_raw[[#This Row],[Column9]]),MAX(H402, N402, P402, $J$2,IF(R402&lt;&gt;"",VALUE(R402),0)),"")</f>
        <v/>
      </c>
      <c r="K402" s="166" t="str">
        <f>IF(ISNUMBER(namespace_raw[[#This Row],[Column12]]), namespace_raw[[#This Row],[Column12]],"")</f>
        <v/>
      </c>
      <c r="L402" s="167" t="str">
        <f>IF(ISNUMBER(namespace_raw[[#This Row],[Column13]]), namespace_raw[[#This Row],[Column13]]/1048576,"")</f>
        <v/>
      </c>
      <c r="M402" s="168" t="str">
        <f>IF(ISNUMBER(namespace_raw[[#This Row],[Column10]]), (namespace_raw[[#This Row],[Column10]]*(1+$M$2)),"")</f>
        <v/>
      </c>
      <c r="N402" s="167" t="str">
        <f>IF(ISNUMBER(namespace_raw[[#This Row],[Column11]]), (namespace_raw[[#This Row],[Column11]]*(1+$N$2))/1048576,"")</f>
        <v/>
      </c>
      <c r="O402" s="169" t="str">
        <f>IF(ISNUMBER(namespace_raw[[#This Row],[Column8]]), (E402  * $O$2),"")</f>
        <v/>
      </c>
      <c r="P402" s="170" t="str">
        <f>IF(ISNUMBER(namespace_raw[[#This Row],[Column8]]), (F402  * $P$2),"")</f>
        <v/>
      </c>
    </row>
    <row r="403" spans="1:16" ht="15" customHeight="1" x14ac:dyDescent="0.25">
      <c r="A403" s="32" t="str">
        <f>IF(ISNONTEXT(namespace_raw[[#This Row],[Column1]]), "", namespace_raw[[#This Row],[Column1]])</f>
        <v/>
      </c>
      <c r="B403" s="33" t="str">
        <f>IF(ISNONTEXT(namespace_raw[[#This Row],[Column2]]), "", namespace_raw[[#This Row],[Column2]])</f>
        <v/>
      </c>
      <c r="C403" s="94" t="str">
        <f>IF(ISNUMBER(namespace_raw[[#This Row],[Column4]]), namespace_raw[[#This Row],[Column4]], "")</f>
        <v/>
      </c>
      <c r="D403" s="95" t="str">
        <f>IF(ISNUMBER(namespace_raw[[#This Row],[Column5]]), namespace_raw[[#This Row],[Column5]]/1048576, "")</f>
        <v/>
      </c>
      <c r="E403" s="95" t="str">
        <f>IF(ISNUMBER(namespace_raw[[#This Row],[Column6]]), namespace_raw[[#This Row],[Column6]],"")</f>
        <v/>
      </c>
      <c r="F403" s="96" t="str">
        <f>IF(ISNUMBER(namespace_raw[[#This Row],[Column7]]), namespace_raw[[#This Row],[Column7]]/1048576,"")</f>
        <v/>
      </c>
      <c r="G403" s="122" t="str">
        <f>IF(ISNUMBER(namespace_raw[[#This Row],[Column8]]), namespace_raw[[#This Row],[Column8]],"")</f>
        <v/>
      </c>
      <c r="H403" s="123" t="str">
        <f>IF(ISNUMBER(namespace_raw[[#This Row],[Column9]]), namespace_raw[[#This Row],[Column9]]/1048576,"")</f>
        <v/>
      </c>
      <c r="I403" s="124" t="str">
        <f>IF(ISNUMBER(namespace_raw[[#This Row],[Column8]]),MAX(G403, M403, O403, $I$2,IF(Q403&lt;&gt;"",VALUE(Q403),0)), "")</f>
        <v/>
      </c>
      <c r="J403" s="125" t="str">
        <f>IF(ISNUMBER(namespace_raw[[#This Row],[Column9]]),MAX(H403, N403, P403, $J$2,IF(R403&lt;&gt;"",VALUE(R403),0)),"")</f>
        <v/>
      </c>
      <c r="K403" s="166" t="str">
        <f>IF(ISNUMBER(namespace_raw[[#This Row],[Column12]]), namespace_raw[[#This Row],[Column12]],"")</f>
        <v/>
      </c>
      <c r="L403" s="167" t="str">
        <f>IF(ISNUMBER(namespace_raw[[#This Row],[Column13]]), namespace_raw[[#This Row],[Column13]]/1048576,"")</f>
        <v/>
      </c>
      <c r="M403" s="168" t="str">
        <f>IF(ISNUMBER(namespace_raw[[#This Row],[Column10]]), (namespace_raw[[#This Row],[Column10]]*(1+$M$2)),"")</f>
        <v/>
      </c>
      <c r="N403" s="167" t="str">
        <f>IF(ISNUMBER(namespace_raw[[#This Row],[Column11]]), (namespace_raw[[#This Row],[Column11]]*(1+$N$2))/1048576,"")</f>
        <v/>
      </c>
      <c r="O403" s="169" t="str">
        <f>IF(ISNUMBER(namespace_raw[[#This Row],[Column8]]), (E403  * $O$2),"")</f>
        <v/>
      </c>
      <c r="P403" s="170" t="str">
        <f>IF(ISNUMBER(namespace_raw[[#This Row],[Column8]]), (F403  * $P$2),"")</f>
        <v/>
      </c>
    </row>
    <row r="404" spans="1:16" ht="15" customHeight="1" x14ac:dyDescent="0.25">
      <c r="A404" s="32" t="str">
        <f>IF(ISNONTEXT(namespace_raw[[#This Row],[Column1]]), "", namespace_raw[[#This Row],[Column1]])</f>
        <v/>
      </c>
      <c r="B404" s="33" t="str">
        <f>IF(ISNONTEXT(namespace_raw[[#This Row],[Column2]]), "", namespace_raw[[#This Row],[Column2]])</f>
        <v/>
      </c>
      <c r="C404" s="94" t="str">
        <f>IF(ISNUMBER(namespace_raw[[#This Row],[Column4]]), namespace_raw[[#This Row],[Column4]], "")</f>
        <v/>
      </c>
      <c r="D404" s="95" t="str">
        <f>IF(ISNUMBER(namespace_raw[[#This Row],[Column5]]), namespace_raw[[#This Row],[Column5]]/1048576, "")</f>
        <v/>
      </c>
      <c r="E404" s="95" t="str">
        <f>IF(ISNUMBER(namespace_raw[[#This Row],[Column6]]), namespace_raw[[#This Row],[Column6]],"")</f>
        <v/>
      </c>
      <c r="F404" s="96" t="str">
        <f>IF(ISNUMBER(namespace_raw[[#This Row],[Column7]]), namespace_raw[[#This Row],[Column7]]/1048576,"")</f>
        <v/>
      </c>
      <c r="G404" s="122" t="str">
        <f>IF(ISNUMBER(namespace_raw[[#This Row],[Column8]]), namespace_raw[[#This Row],[Column8]],"")</f>
        <v/>
      </c>
      <c r="H404" s="123" t="str">
        <f>IF(ISNUMBER(namespace_raw[[#This Row],[Column9]]), namespace_raw[[#This Row],[Column9]]/1048576,"")</f>
        <v/>
      </c>
      <c r="I404" s="124" t="str">
        <f>IF(ISNUMBER(namespace_raw[[#This Row],[Column8]]),MAX(G404, M404, O404, $I$2,IF(Q404&lt;&gt;"",VALUE(Q404),0)), "")</f>
        <v/>
      </c>
      <c r="J404" s="125" t="str">
        <f>IF(ISNUMBER(namespace_raw[[#This Row],[Column9]]),MAX(H404, N404, P404, $J$2,IF(R404&lt;&gt;"",VALUE(R404),0)),"")</f>
        <v/>
      </c>
      <c r="K404" s="166" t="str">
        <f>IF(ISNUMBER(namespace_raw[[#This Row],[Column12]]), namespace_raw[[#This Row],[Column12]],"")</f>
        <v/>
      </c>
      <c r="L404" s="167" t="str">
        <f>IF(ISNUMBER(namespace_raw[[#This Row],[Column13]]), namespace_raw[[#This Row],[Column13]]/1048576,"")</f>
        <v/>
      </c>
      <c r="M404" s="168" t="str">
        <f>IF(ISNUMBER(namespace_raw[[#This Row],[Column10]]), (namespace_raw[[#This Row],[Column10]]*(1+$M$2)),"")</f>
        <v/>
      </c>
      <c r="N404" s="167" t="str">
        <f>IF(ISNUMBER(namespace_raw[[#This Row],[Column11]]), (namespace_raw[[#This Row],[Column11]]*(1+$N$2))/1048576,"")</f>
        <v/>
      </c>
      <c r="O404" s="169" t="str">
        <f>IF(ISNUMBER(namespace_raw[[#This Row],[Column8]]), (E404  * $O$2),"")</f>
        <v/>
      </c>
      <c r="P404" s="170" t="str">
        <f>IF(ISNUMBER(namespace_raw[[#This Row],[Column8]]), (F404  * $P$2),"")</f>
        <v/>
      </c>
    </row>
    <row r="405" spans="1:16" ht="15" customHeight="1" x14ac:dyDescent="0.25">
      <c r="A405" s="32" t="str">
        <f>IF(ISNONTEXT(namespace_raw[[#This Row],[Column1]]), "", namespace_raw[[#This Row],[Column1]])</f>
        <v/>
      </c>
      <c r="B405" s="33" t="str">
        <f>IF(ISNONTEXT(namespace_raw[[#This Row],[Column2]]), "", namespace_raw[[#This Row],[Column2]])</f>
        <v/>
      </c>
      <c r="C405" s="94" t="str">
        <f>IF(ISNUMBER(namespace_raw[[#This Row],[Column4]]), namespace_raw[[#This Row],[Column4]], "")</f>
        <v/>
      </c>
      <c r="D405" s="95" t="str">
        <f>IF(ISNUMBER(namespace_raw[[#This Row],[Column5]]), namespace_raw[[#This Row],[Column5]]/1048576, "")</f>
        <v/>
      </c>
      <c r="E405" s="95" t="str">
        <f>IF(ISNUMBER(namespace_raw[[#This Row],[Column6]]), namespace_raw[[#This Row],[Column6]],"")</f>
        <v/>
      </c>
      <c r="F405" s="96" t="str">
        <f>IF(ISNUMBER(namespace_raw[[#This Row],[Column7]]), namespace_raw[[#This Row],[Column7]]/1048576,"")</f>
        <v/>
      </c>
      <c r="G405" s="122" t="str">
        <f>IF(ISNUMBER(namespace_raw[[#This Row],[Column8]]), namespace_raw[[#This Row],[Column8]],"")</f>
        <v/>
      </c>
      <c r="H405" s="123" t="str">
        <f>IF(ISNUMBER(namespace_raw[[#This Row],[Column9]]), namespace_raw[[#This Row],[Column9]]/1048576,"")</f>
        <v/>
      </c>
      <c r="I405" s="124" t="str">
        <f>IF(ISNUMBER(namespace_raw[[#This Row],[Column8]]),MAX(G405, M405, O405, $I$2,IF(Q405&lt;&gt;"",VALUE(Q405),0)), "")</f>
        <v/>
      </c>
      <c r="J405" s="125" t="str">
        <f>IF(ISNUMBER(namespace_raw[[#This Row],[Column9]]),MAX(H405, N405, P405, $J$2,IF(R405&lt;&gt;"",VALUE(R405),0)),"")</f>
        <v/>
      </c>
      <c r="K405" s="166" t="str">
        <f>IF(ISNUMBER(namespace_raw[[#This Row],[Column12]]), namespace_raw[[#This Row],[Column12]],"")</f>
        <v/>
      </c>
      <c r="L405" s="167" t="str">
        <f>IF(ISNUMBER(namespace_raw[[#This Row],[Column13]]), namespace_raw[[#This Row],[Column13]]/1048576,"")</f>
        <v/>
      </c>
      <c r="M405" s="168" t="str">
        <f>IF(ISNUMBER(namespace_raw[[#This Row],[Column10]]), (namespace_raw[[#This Row],[Column10]]*(1+$M$2)),"")</f>
        <v/>
      </c>
      <c r="N405" s="167" t="str">
        <f>IF(ISNUMBER(namespace_raw[[#This Row],[Column11]]), (namespace_raw[[#This Row],[Column11]]*(1+$N$2))/1048576,"")</f>
        <v/>
      </c>
      <c r="O405" s="169" t="str">
        <f>IF(ISNUMBER(namespace_raw[[#This Row],[Column8]]), (E405  * $O$2),"")</f>
        <v/>
      </c>
      <c r="P405" s="170" t="str">
        <f>IF(ISNUMBER(namespace_raw[[#This Row],[Column8]]), (F405  * $P$2),"")</f>
        <v/>
      </c>
    </row>
    <row r="406" spans="1:16" ht="15" customHeight="1" x14ac:dyDescent="0.25">
      <c r="A406" s="32" t="str">
        <f>IF(ISNONTEXT(namespace_raw[[#This Row],[Column1]]), "", namespace_raw[[#This Row],[Column1]])</f>
        <v/>
      </c>
      <c r="B406" s="33" t="str">
        <f>IF(ISNONTEXT(namespace_raw[[#This Row],[Column2]]), "", namespace_raw[[#This Row],[Column2]])</f>
        <v/>
      </c>
      <c r="C406" s="94" t="str">
        <f>IF(ISNUMBER(namespace_raw[[#This Row],[Column4]]), namespace_raw[[#This Row],[Column4]], "")</f>
        <v/>
      </c>
      <c r="D406" s="95" t="str">
        <f>IF(ISNUMBER(namespace_raw[[#This Row],[Column5]]), namespace_raw[[#This Row],[Column5]]/1048576, "")</f>
        <v/>
      </c>
      <c r="E406" s="95" t="str">
        <f>IF(ISNUMBER(namespace_raw[[#This Row],[Column6]]), namespace_raw[[#This Row],[Column6]],"")</f>
        <v/>
      </c>
      <c r="F406" s="96" t="str">
        <f>IF(ISNUMBER(namespace_raw[[#This Row],[Column7]]), namespace_raw[[#This Row],[Column7]]/1048576,"")</f>
        <v/>
      </c>
      <c r="G406" s="122" t="str">
        <f>IF(ISNUMBER(namespace_raw[[#This Row],[Column8]]), namespace_raw[[#This Row],[Column8]],"")</f>
        <v/>
      </c>
      <c r="H406" s="123" t="str">
        <f>IF(ISNUMBER(namespace_raw[[#This Row],[Column9]]), namespace_raw[[#This Row],[Column9]]/1048576,"")</f>
        <v/>
      </c>
      <c r="I406" s="124" t="str">
        <f>IF(ISNUMBER(namespace_raw[[#This Row],[Column8]]),MAX(G406, M406, O406, $I$2,IF(Q406&lt;&gt;"",VALUE(Q406),0)), "")</f>
        <v/>
      </c>
      <c r="J406" s="125" t="str">
        <f>IF(ISNUMBER(namespace_raw[[#This Row],[Column9]]),MAX(H406, N406, P406, $J$2,IF(R406&lt;&gt;"",VALUE(R406),0)),"")</f>
        <v/>
      </c>
      <c r="K406" s="166" t="str">
        <f>IF(ISNUMBER(namespace_raw[[#This Row],[Column12]]), namespace_raw[[#This Row],[Column12]],"")</f>
        <v/>
      </c>
      <c r="L406" s="167" t="str">
        <f>IF(ISNUMBER(namespace_raw[[#This Row],[Column13]]), namespace_raw[[#This Row],[Column13]]/1048576,"")</f>
        <v/>
      </c>
      <c r="M406" s="168" t="str">
        <f>IF(ISNUMBER(namespace_raw[[#This Row],[Column10]]), (namespace_raw[[#This Row],[Column10]]*(1+$M$2)),"")</f>
        <v/>
      </c>
      <c r="N406" s="167" t="str">
        <f>IF(ISNUMBER(namespace_raw[[#This Row],[Column11]]), (namespace_raw[[#This Row],[Column11]]*(1+$N$2))/1048576,"")</f>
        <v/>
      </c>
      <c r="O406" s="169" t="str">
        <f>IF(ISNUMBER(namespace_raw[[#This Row],[Column8]]), (E406  * $O$2),"")</f>
        <v/>
      </c>
      <c r="P406" s="170" t="str">
        <f>IF(ISNUMBER(namespace_raw[[#This Row],[Column8]]), (F406  * $P$2),"")</f>
        <v/>
      </c>
    </row>
    <row r="407" spans="1:16" ht="15" customHeight="1" x14ac:dyDescent="0.25">
      <c r="A407" s="32" t="str">
        <f>IF(ISNONTEXT(namespace_raw[[#This Row],[Column1]]), "", namespace_raw[[#This Row],[Column1]])</f>
        <v/>
      </c>
      <c r="B407" s="33" t="str">
        <f>IF(ISNONTEXT(namespace_raw[[#This Row],[Column2]]), "", namespace_raw[[#This Row],[Column2]])</f>
        <v/>
      </c>
      <c r="C407" s="94" t="str">
        <f>IF(ISNUMBER(namespace_raw[[#This Row],[Column4]]), namespace_raw[[#This Row],[Column4]], "")</f>
        <v/>
      </c>
      <c r="D407" s="95" t="str">
        <f>IF(ISNUMBER(namespace_raw[[#This Row],[Column5]]), namespace_raw[[#This Row],[Column5]]/1048576, "")</f>
        <v/>
      </c>
      <c r="E407" s="95" t="str">
        <f>IF(ISNUMBER(namespace_raw[[#This Row],[Column6]]), namespace_raw[[#This Row],[Column6]],"")</f>
        <v/>
      </c>
      <c r="F407" s="96" t="str">
        <f>IF(ISNUMBER(namespace_raw[[#This Row],[Column7]]), namespace_raw[[#This Row],[Column7]]/1048576,"")</f>
        <v/>
      </c>
      <c r="G407" s="122" t="str">
        <f>IF(ISNUMBER(namespace_raw[[#This Row],[Column8]]), namespace_raw[[#This Row],[Column8]],"")</f>
        <v/>
      </c>
      <c r="H407" s="123" t="str">
        <f>IF(ISNUMBER(namespace_raw[[#This Row],[Column9]]), namespace_raw[[#This Row],[Column9]]/1048576,"")</f>
        <v/>
      </c>
      <c r="I407" s="124" t="str">
        <f>IF(ISNUMBER(namespace_raw[[#This Row],[Column8]]),MAX(G407, M407, O407, $I$2,IF(Q407&lt;&gt;"",VALUE(Q407),0)), "")</f>
        <v/>
      </c>
      <c r="J407" s="125" t="str">
        <f>IF(ISNUMBER(namespace_raw[[#This Row],[Column9]]),MAX(H407, N407, P407, $J$2,IF(R407&lt;&gt;"",VALUE(R407),0)),"")</f>
        <v/>
      </c>
      <c r="K407" s="166" t="str">
        <f>IF(ISNUMBER(namespace_raw[[#This Row],[Column12]]), namespace_raw[[#This Row],[Column12]],"")</f>
        <v/>
      </c>
      <c r="L407" s="167" t="str">
        <f>IF(ISNUMBER(namespace_raw[[#This Row],[Column13]]), namespace_raw[[#This Row],[Column13]]/1048576,"")</f>
        <v/>
      </c>
      <c r="M407" s="168" t="str">
        <f>IF(ISNUMBER(namespace_raw[[#This Row],[Column10]]), (namespace_raw[[#This Row],[Column10]]*(1+$M$2)),"")</f>
        <v/>
      </c>
      <c r="N407" s="167" t="str">
        <f>IF(ISNUMBER(namespace_raw[[#This Row],[Column11]]), (namespace_raw[[#This Row],[Column11]]*(1+$N$2))/1048576,"")</f>
        <v/>
      </c>
      <c r="O407" s="169" t="str">
        <f>IF(ISNUMBER(namespace_raw[[#This Row],[Column8]]), (E407  * $O$2),"")</f>
        <v/>
      </c>
      <c r="P407" s="170" t="str">
        <f>IF(ISNUMBER(namespace_raw[[#This Row],[Column8]]), (F407  * $P$2),"")</f>
        <v/>
      </c>
    </row>
    <row r="408" spans="1:16" ht="15" customHeight="1" x14ac:dyDescent="0.25">
      <c r="A408" s="32" t="str">
        <f>IF(ISNONTEXT(namespace_raw[[#This Row],[Column1]]), "", namespace_raw[[#This Row],[Column1]])</f>
        <v/>
      </c>
      <c r="B408" s="33" t="str">
        <f>IF(ISNONTEXT(namespace_raw[[#This Row],[Column2]]), "", namespace_raw[[#This Row],[Column2]])</f>
        <v/>
      </c>
      <c r="C408" s="94" t="str">
        <f>IF(ISNUMBER(namespace_raw[[#This Row],[Column4]]), namespace_raw[[#This Row],[Column4]], "")</f>
        <v/>
      </c>
      <c r="D408" s="95" t="str">
        <f>IF(ISNUMBER(namespace_raw[[#This Row],[Column5]]), namespace_raw[[#This Row],[Column5]]/1048576, "")</f>
        <v/>
      </c>
      <c r="E408" s="95" t="str">
        <f>IF(ISNUMBER(namespace_raw[[#This Row],[Column6]]), namespace_raw[[#This Row],[Column6]],"")</f>
        <v/>
      </c>
      <c r="F408" s="96" t="str">
        <f>IF(ISNUMBER(namespace_raw[[#This Row],[Column7]]), namespace_raw[[#This Row],[Column7]]/1048576,"")</f>
        <v/>
      </c>
      <c r="G408" s="122" t="str">
        <f>IF(ISNUMBER(namespace_raw[[#This Row],[Column8]]), namespace_raw[[#This Row],[Column8]],"")</f>
        <v/>
      </c>
      <c r="H408" s="123" t="str">
        <f>IF(ISNUMBER(namespace_raw[[#This Row],[Column9]]), namespace_raw[[#This Row],[Column9]]/1048576,"")</f>
        <v/>
      </c>
      <c r="I408" s="124" t="str">
        <f>IF(ISNUMBER(namespace_raw[[#This Row],[Column8]]),MAX(G408, M408, O408, $I$2,IF(Q408&lt;&gt;"",VALUE(Q408),0)), "")</f>
        <v/>
      </c>
      <c r="J408" s="125" t="str">
        <f>IF(ISNUMBER(namespace_raw[[#This Row],[Column9]]),MAX(H408, N408, P408, $J$2,IF(R408&lt;&gt;"",VALUE(R408),0)),"")</f>
        <v/>
      </c>
      <c r="K408" s="166" t="str">
        <f>IF(ISNUMBER(namespace_raw[[#This Row],[Column12]]), namespace_raw[[#This Row],[Column12]],"")</f>
        <v/>
      </c>
      <c r="L408" s="167" t="str">
        <f>IF(ISNUMBER(namespace_raw[[#This Row],[Column13]]), namespace_raw[[#This Row],[Column13]]/1048576,"")</f>
        <v/>
      </c>
      <c r="M408" s="168" t="str">
        <f>IF(ISNUMBER(namespace_raw[[#This Row],[Column10]]), (namespace_raw[[#This Row],[Column10]]*(1+$M$2)),"")</f>
        <v/>
      </c>
      <c r="N408" s="167" t="str">
        <f>IF(ISNUMBER(namespace_raw[[#This Row],[Column11]]), (namespace_raw[[#This Row],[Column11]]*(1+$N$2))/1048576,"")</f>
        <v/>
      </c>
      <c r="O408" s="169" t="str">
        <f>IF(ISNUMBER(namespace_raw[[#This Row],[Column8]]), (E408  * $O$2),"")</f>
        <v/>
      </c>
      <c r="P408" s="170" t="str">
        <f>IF(ISNUMBER(namespace_raw[[#This Row],[Column8]]), (F408  * $P$2),"")</f>
        <v/>
      </c>
    </row>
    <row r="409" spans="1:16" ht="15" customHeight="1" x14ac:dyDescent="0.25">
      <c r="A409" s="32" t="str">
        <f>IF(ISNONTEXT(namespace_raw[[#This Row],[Column1]]), "", namespace_raw[[#This Row],[Column1]])</f>
        <v/>
      </c>
      <c r="B409" s="33" t="str">
        <f>IF(ISNONTEXT(namespace_raw[[#This Row],[Column2]]), "", namespace_raw[[#This Row],[Column2]])</f>
        <v/>
      </c>
      <c r="C409" s="94" t="str">
        <f>IF(ISNUMBER(namespace_raw[[#This Row],[Column4]]), namespace_raw[[#This Row],[Column4]], "")</f>
        <v/>
      </c>
      <c r="D409" s="95" t="str">
        <f>IF(ISNUMBER(namespace_raw[[#This Row],[Column5]]), namespace_raw[[#This Row],[Column5]]/1048576, "")</f>
        <v/>
      </c>
      <c r="E409" s="95" t="str">
        <f>IF(ISNUMBER(namespace_raw[[#This Row],[Column6]]), namespace_raw[[#This Row],[Column6]],"")</f>
        <v/>
      </c>
      <c r="F409" s="96" t="str">
        <f>IF(ISNUMBER(namespace_raw[[#This Row],[Column7]]), namespace_raw[[#This Row],[Column7]]/1048576,"")</f>
        <v/>
      </c>
      <c r="G409" s="122" t="str">
        <f>IF(ISNUMBER(namespace_raw[[#This Row],[Column8]]), namespace_raw[[#This Row],[Column8]],"")</f>
        <v/>
      </c>
      <c r="H409" s="123" t="str">
        <f>IF(ISNUMBER(namespace_raw[[#This Row],[Column9]]), namespace_raw[[#This Row],[Column9]]/1048576,"")</f>
        <v/>
      </c>
      <c r="I409" s="124" t="str">
        <f>IF(ISNUMBER(namespace_raw[[#This Row],[Column8]]),MAX(G409, M409, O409, $I$2,IF(Q409&lt;&gt;"",VALUE(Q409),0)), "")</f>
        <v/>
      </c>
      <c r="J409" s="125" t="str">
        <f>IF(ISNUMBER(namespace_raw[[#This Row],[Column9]]),MAX(H409, N409, P409, $J$2,IF(R409&lt;&gt;"",VALUE(R409),0)),"")</f>
        <v/>
      </c>
      <c r="K409" s="166" t="str">
        <f>IF(ISNUMBER(namespace_raw[[#This Row],[Column12]]), namespace_raw[[#This Row],[Column12]],"")</f>
        <v/>
      </c>
      <c r="L409" s="167" t="str">
        <f>IF(ISNUMBER(namespace_raw[[#This Row],[Column13]]), namespace_raw[[#This Row],[Column13]]/1048576,"")</f>
        <v/>
      </c>
      <c r="M409" s="168" t="str">
        <f>IF(ISNUMBER(namespace_raw[[#This Row],[Column10]]), (namespace_raw[[#This Row],[Column10]]*(1+$M$2)),"")</f>
        <v/>
      </c>
      <c r="N409" s="167" t="str">
        <f>IF(ISNUMBER(namespace_raw[[#This Row],[Column11]]), (namespace_raw[[#This Row],[Column11]]*(1+$N$2))/1048576,"")</f>
        <v/>
      </c>
      <c r="O409" s="169" t="str">
        <f>IF(ISNUMBER(namespace_raw[[#This Row],[Column8]]), (E409  * $O$2),"")</f>
        <v/>
      </c>
      <c r="P409" s="170" t="str">
        <f>IF(ISNUMBER(namespace_raw[[#This Row],[Column8]]), (F409  * $P$2),"")</f>
        <v/>
      </c>
    </row>
    <row r="410" spans="1:16" ht="15" customHeight="1" x14ac:dyDescent="0.25">
      <c r="A410" s="32" t="str">
        <f>IF(ISNONTEXT(namespace_raw[[#This Row],[Column1]]), "", namespace_raw[[#This Row],[Column1]])</f>
        <v/>
      </c>
      <c r="B410" s="33" t="str">
        <f>IF(ISNONTEXT(namespace_raw[[#This Row],[Column2]]), "", namespace_raw[[#This Row],[Column2]])</f>
        <v/>
      </c>
      <c r="C410" s="94" t="str">
        <f>IF(ISNUMBER(namespace_raw[[#This Row],[Column4]]), namespace_raw[[#This Row],[Column4]], "")</f>
        <v/>
      </c>
      <c r="D410" s="95" t="str">
        <f>IF(ISNUMBER(namespace_raw[[#This Row],[Column5]]), namespace_raw[[#This Row],[Column5]]/1048576, "")</f>
        <v/>
      </c>
      <c r="E410" s="95" t="str">
        <f>IF(ISNUMBER(namespace_raw[[#This Row],[Column6]]), namespace_raw[[#This Row],[Column6]],"")</f>
        <v/>
      </c>
      <c r="F410" s="96" t="str">
        <f>IF(ISNUMBER(namespace_raw[[#This Row],[Column7]]), namespace_raw[[#This Row],[Column7]]/1048576,"")</f>
        <v/>
      </c>
      <c r="G410" s="122" t="str">
        <f>IF(ISNUMBER(namespace_raw[[#This Row],[Column8]]), namespace_raw[[#This Row],[Column8]],"")</f>
        <v/>
      </c>
      <c r="H410" s="123" t="str">
        <f>IF(ISNUMBER(namespace_raw[[#This Row],[Column9]]), namespace_raw[[#This Row],[Column9]]/1048576,"")</f>
        <v/>
      </c>
      <c r="I410" s="124" t="str">
        <f>IF(ISNUMBER(namespace_raw[[#This Row],[Column8]]),MAX(G410, M410, O410, $I$2,IF(Q410&lt;&gt;"",VALUE(Q410),0)), "")</f>
        <v/>
      </c>
      <c r="J410" s="125" t="str">
        <f>IF(ISNUMBER(namespace_raw[[#This Row],[Column9]]),MAX(H410, N410, P410, $J$2,IF(R410&lt;&gt;"",VALUE(R410),0)),"")</f>
        <v/>
      </c>
      <c r="K410" s="166" t="str">
        <f>IF(ISNUMBER(namespace_raw[[#This Row],[Column12]]), namespace_raw[[#This Row],[Column12]],"")</f>
        <v/>
      </c>
      <c r="L410" s="167" t="str">
        <f>IF(ISNUMBER(namespace_raw[[#This Row],[Column13]]), namespace_raw[[#This Row],[Column13]]/1048576,"")</f>
        <v/>
      </c>
      <c r="M410" s="168" t="str">
        <f>IF(ISNUMBER(namespace_raw[[#This Row],[Column10]]), (namespace_raw[[#This Row],[Column10]]*(1+$M$2)),"")</f>
        <v/>
      </c>
      <c r="N410" s="167" t="str">
        <f>IF(ISNUMBER(namespace_raw[[#This Row],[Column11]]), (namespace_raw[[#This Row],[Column11]]*(1+$N$2))/1048576,"")</f>
        <v/>
      </c>
      <c r="O410" s="169" t="str">
        <f>IF(ISNUMBER(namespace_raw[[#This Row],[Column8]]), (E410  * $O$2),"")</f>
        <v/>
      </c>
      <c r="P410" s="170" t="str">
        <f>IF(ISNUMBER(namespace_raw[[#This Row],[Column8]]), (F410  * $P$2),"")</f>
        <v/>
      </c>
    </row>
    <row r="411" spans="1:16" ht="15" customHeight="1" x14ac:dyDescent="0.25">
      <c r="A411" s="32" t="str">
        <f>IF(ISNONTEXT(namespace_raw[[#This Row],[Column1]]), "", namespace_raw[[#This Row],[Column1]])</f>
        <v/>
      </c>
      <c r="B411" s="33" t="str">
        <f>IF(ISNONTEXT(namespace_raw[[#This Row],[Column2]]), "", namespace_raw[[#This Row],[Column2]])</f>
        <v/>
      </c>
      <c r="C411" s="94" t="str">
        <f>IF(ISNUMBER(namespace_raw[[#This Row],[Column4]]), namespace_raw[[#This Row],[Column4]], "")</f>
        <v/>
      </c>
      <c r="D411" s="95" t="str">
        <f>IF(ISNUMBER(namespace_raw[[#This Row],[Column5]]), namespace_raw[[#This Row],[Column5]]/1048576, "")</f>
        <v/>
      </c>
      <c r="E411" s="95" t="str">
        <f>IF(ISNUMBER(namespace_raw[[#This Row],[Column6]]), namespace_raw[[#This Row],[Column6]],"")</f>
        <v/>
      </c>
      <c r="F411" s="96" t="str">
        <f>IF(ISNUMBER(namespace_raw[[#This Row],[Column7]]), namespace_raw[[#This Row],[Column7]]/1048576,"")</f>
        <v/>
      </c>
      <c r="G411" s="122" t="str">
        <f>IF(ISNUMBER(namespace_raw[[#This Row],[Column8]]), namespace_raw[[#This Row],[Column8]],"")</f>
        <v/>
      </c>
      <c r="H411" s="123" t="str">
        <f>IF(ISNUMBER(namespace_raw[[#This Row],[Column9]]), namespace_raw[[#This Row],[Column9]]/1048576,"")</f>
        <v/>
      </c>
      <c r="I411" s="124" t="str">
        <f>IF(ISNUMBER(namespace_raw[[#This Row],[Column8]]),MAX(G411, M411, O411, $I$2,IF(Q411&lt;&gt;"",VALUE(Q411),0)), "")</f>
        <v/>
      </c>
      <c r="J411" s="125" t="str">
        <f>IF(ISNUMBER(namespace_raw[[#This Row],[Column9]]),MAX(H411, N411, P411, $J$2,IF(R411&lt;&gt;"",VALUE(R411),0)),"")</f>
        <v/>
      </c>
      <c r="K411" s="166" t="str">
        <f>IF(ISNUMBER(namespace_raw[[#This Row],[Column12]]), namespace_raw[[#This Row],[Column12]],"")</f>
        <v/>
      </c>
      <c r="L411" s="167" t="str">
        <f>IF(ISNUMBER(namespace_raw[[#This Row],[Column13]]), namespace_raw[[#This Row],[Column13]]/1048576,"")</f>
        <v/>
      </c>
      <c r="M411" s="168" t="str">
        <f>IF(ISNUMBER(namespace_raw[[#This Row],[Column10]]), (namespace_raw[[#This Row],[Column10]]*(1+$M$2)),"")</f>
        <v/>
      </c>
      <c r="N411" s="167" t="str">
        <f>IF(ISNUMBER(namespace_raw[[#This Row],[Column11]]), (namespace_raw[[#This Row],[Column11]]*(1+$N$2))/1048576,"")</f>
        <v/>
      </c>
      <c r="O411" s="169" t="str">
        <f>IF(ISNUMBER(namespace_raw[[#This Row],[Column8]]), (E411  * $O$2),"")</f>
        <v/>
      </c>
      <c r="P411" s="170" t="str">
        <f>IF(ISNUMBER(namespace_raw[[#This Row],[Column8]]), (F411  * $P$2),"")</f>
        <v/>
      </c>
    </row>
    <row r="412" spans="1:16" ht="15" customHeight="1" x14ac:dyDescent="0.25">
      <c r="A412" s="32" t="str">
        <f>IF(ISNONTEXT(namespace_raw[[#This Row],[Column1]]), "", namespace_raw[[#This Row],[Column1]])</f>
        <v/>
      </c>
      <c r="B412" s="33" t="str">
        <f>IF(ISNONTEXT(namespace_raw[[#This Row],[Column2]]), "", namespace_raw[[#This Row],[Column2]])</f>
        <v/>
      </c>
      <c r="C412" s="94" t="str">
        <f>IF(ISNUMBER(namespace_raw[[#This Row],[Column4]]), namespace_raw[[#This Row],[Column4]], "")</f>
        <v/>
      </c>
      <c r="D412" s="95" t="str">
        <f>IF(ISNUMBER(namespace_raw[[#This Row],[Column5]]), namespace_raw[[#This Row],[Column5]]/1048576, "")</f>
        <v/>
      </c>
      <c r="E412" s="95" t="str">
        <f>IF(ISNUMBER(namespace_raw[[#This Row],[Column6]]), namespace_raw[[#This Row],[Column6]],"")</f>
        <v/>
      </c>
      <c r="F412" s="96" t="str">
        <f>IF(ISNUMBER(namespace_raw[[#This Row],[Column7]]), namespace_raw[[#This Row],[Column7]]/1048576,"")</f>
        <v/>
      </c>
      <c r="G412" s="122" t="str">
        <f>IF(ISNUMBER(namespace_raw[[#This Row],[Column8]]), namespace_raw[[#This Row],[Column8]],"")</f>
        <v/>
      </c>
      <c r="H412" s="123" t="str">
        <f>IF(ISNUMBER(namespace_raw[[#This Row],[Column9]]), namespace_raw[[#This Row],[Column9]]/1048576,"")</f>
        <v/>
      </c>
      <c r="I412" s="124" t="str">
        <f>IF(ISNUMBER(namespace_raw[[#This Row],[Column8]]),MAX(G412, M412, O412, $I$2,IF(Q412&lt;&gt;"",VALUE(Q412),0)), "")</f>
        <v/>
      </c>
      <c r="J412" s="125" t="str">
        <f>IF(ISNUMBER(namespace_raw[[#This Row],[Column9]]),MAX(H412, N412, P412, $J$2,IF(R412&lt;&gt;"",VALUE(R412),0)),"")</f>
        <v/>
      </c>
      <c r="K412" s="166" t="str">
        <f>IF(ISNUMBER(namespace_raw[[#This Row],[Column12]]), namespace_raw[[#This Row],[Column12]],"")</f>
        <v/>
      </c>
      <c r="L412" s="167" t="str">
        <f>IF(ISNUMBER(namespace_raw[[#This Row],[Column13]]), namespace_raw[[#This Row],[Column13]]/1048576,"")</f>
        <v/>
      </c>
      <c r="M412" s="168" t="str">
        <f>IF(ISNUMBER(namespace_raw[[#This Row],[Column10]]), (namespace_raw[[#This Row],[Column10]]*(1+$M$2)),"")</f>
        <v/>
      </c>
      <c r="N412" s="167" t="str">
        <f>IF(ISNUMBER(namespace_raw[[#This Row],[Column11]]), (namespace_raw[[#This Row],[Column11]]*(1+$N$2))/1048576,"")</f>
        <v/>
      </c>
      <c r="O412" s="169" t="str">
        <f>IF(ISNUMBER(namespace_raw[[#This Row],[Column8]]), (E412  * $O$2),"")</f>
        <v/>
      </c>
      <c r="P412" s="170" t="str">
        <f>IF(ISNUMBER(namespace_raw[[#This Row],[Column8]]), (F412  * $P$2),"")</f>
        <v/>
      </c>
    </row>
    <row r="413" spans="1:16" ht="15" customHeight="1" x14ac:dyDescent="0.25">
      <c r="A413" s="32" t="str">
        <f>IF(ISNONTEXT(namespace_raw[[#This Row],[Column1]]), "", namespace_raw[[#This Row],[Column1]])</f>
        <v/>
      </c>
      <c r="B413" s="33" t="str">
        <f>IF(ISNONTEXT(namespace_raw[[#This Row],[Column2]]), "", namespace_raw[[#This Row],[Column2]])</f>
        <v/>
      </c>
      <c r="C413" s="94" t="str">
        <f>IF(ISNUMBER(namespace_raw[[#This Row],[Column4]]), namespace_raw[[#This Row],[Column4]], "")</f>
        <v/>
      </c>
      <c r="D413" s="95" t="str">
        <f>IF(ISNUMBER(namespace_raw[[#This Row],[Column5]]), namespace_raw[[#This Row],[Column5]]/1048576, "")</f>
        <v/>
      </c>
      <c r="E413" s="95" t="str">
        <f>IF(ISNUMBER(namespace_raw[[#This Row],[Column6]]), namespace_raw[[#This Row],[Column6]],"")</f>
        <v/>
      </c>
      <c r="F413" s="96" t="str">
        <f>IF(ISNUMBER(namespace_raw[[#This Row],[Column7]]), namespace_raw[[#This Row],[Column7]]/1048576,"")</f>
        <v/>
      </c>
      <c r="G413" s="122" t="str">
        <f>IF(ISNUMBER(namespace_raw[[#This Row],[Column8]]), namespace_raw[[#This Row],[Column8]],"")</f>
        <v/>
      </c>
      <c r="H413" s="123" t="str">
        <f>IF(ISNUMBER(namespace_raw[[#This Row],[Column9]]), namespace_raw[[#This Row],[Column9]]/1048576,"")</f>
        <v/>
      </c>
      <c r="I413" s="124" t="str">
        <f>IF(ISNUMBER(namespace_raw[[#This Row],[Column8]]),MAX(G413, M413, O413, $I$2,IF(Q413&lt;&gt;"",VALUE(Q413),0)), "")</f>
        <v/>
      </c>
      <c r="J413" s="125" t="str">
        <f>IF(ISNUMBER(namespace_raw[[#This Row],[Column9]]),MAX(H413, N413, P413, $J$2,IF(R413&lt;&gt;"",VALUE(R413),0)),"")</f>
        <v/>
      </c>
      <c r="K413" s="166" t="str">
        <f>IF(ISNUMBER(namespace_raw[[#This Row],[Column12]]), namespace_raw[[#This Row],[Column12]],"")</f>
        <v/>
      </c>
      <c r="L413" s="167" t="str">
        <f>IF(ISNUMBER(namespace_raw[[#This Row],[Column13]]), namespace_raw[[#This Row],[Column13]]/1048576,"")</f>
        <v/>
      </c>
      <c r="M413" s="168" t="str">
        <f>IF(ISNUMBER(namespace_raw[[#This Row],[Column10]]), (namespace_raw[[#This Row],[Column10]]*(1+$M$2)),"")</f>
        <v/>
      </c>
      <c r="N413" s="167" t="str">
        <f>IF(ISNUMBER(namespace_raw[[#This Row],[Column11]]), (namespace_raw[[#This Row],[Column11]]*(1+$N$2))/1048576,"")</f>
        <v/>
      </c>
      <c r="O413" s="169" t="str">
        <f>IF(ISNUMBER(namespace_raw[[#This Row],[Column8]]), (E413  * $O$2),"")</f>
        <v/>
      </c>
      <c r="P413" s="170" t="str">
        <f>IF(ISNUMBER(namespace_raw[[#This Row],[Column8]]), (F413  * $P$2),"")</f>
        <v/>
      </c>
    </row>
    <row r="414" spans="1:16" ht="15" customHeight="1" x14ac:dyDescent="0.25">
      <c r="A414" s="32" t="str">
        <f>IF(ISNONTEXT(namespace_raw[[#This Row],[Column1]]), "", namespace_raw[[#This Row],[Column1]])</f>
        <v/>
      </c>
      <c r="B414" s="33" t="str">
        <f>IF(ISNONTEXT(namespace_raw[[#This Row],[Column2]]), "", namespace_raw[[#This Row],[Column2]])</f>
        <v/>
      </c>
      <c r="C414" s="94" t="str">
        <f>IF(ISNUMBER(namespace_raw[[#This Row],[Column4]]), namespace_raw[[#This Row],[Column4]], "")</f>
        <v/>
      </c>
      <c r="D414" s="95" t="str">
        <f>IF(ISNUMBER(namespace_raw[[#This Row],[Column5]]), namespace_raw[[#This Row],[Column5]]/1048576, "")</f>
        <v/>
      </c>
      <c r="E414" s="95" t="str">
        <f>IF(ISNUMBER(namespace_raw[[#This Row],[Column6]]), namespace_raw[[#This Row],[Column6]],"")</f>
        <v/>
      </c>
      <c r="F414" s="96" t="str">
        <f>IF(ISNUMBER(namespace_raw[[#This Row],[Column7]]), namespace_raw[[#This Row],[Column7]]/1048576,"")</f>
        <v/>
      </c>
      <c r="G414" s="122" t="str">
        <f>IF(ISNUMBER(namespace_raw[[#This Row],[Column8]]), namespace_raw[[#This Row],[Column8]],"")</f>
        <v/>
      </c>
      <c r="H414" s="123" t="str">
        <f>IF(ISNUMBER(namespace_raw[[#This Row],[Column9]]), namespace_raw[[#This Row],[Column9]]/1048576,"")</f>
        <v/>
      </c>
      <c r="I414" s="124" t="str">
        <f>IF(ISNUMBER(namespace_raw[[#This Row],[Column8]]),MAX(G414, M414, O414, $I$2,IF(Q414&lt;&gt;"",VALUE(Q414),0)), "")</f>
        <v/>
      </c>
      <c r="J414" s="125" t="str">
        <f>IF(ISNUMBER(namespace_raw[[#This Row],[Column9]]),MAX(H414, N414, P414, $J$2,IF(R414&lt;&gt;"",VALUE(R414),0)),"")</f>
        <v/>
      </c>
      <c r="K414" s="166" t="str">
        <f>IF(ISNUMBER(namespace_raw[[#This Row],[Column12]]), namespace_raw[[#This Row],[Column12]],"")</f>
        <v/>
      </c>
      <c r="L414" s="167" t="str">
        <f>IF(ISNUMBER(namespace_raw[[#This Row],[Column13]]), namespace_raw[[#This Row],[Column13]]/1048576,"")</f>
        <v/>
      </c>
      <c r="M414" s="168" t="str">
        <f>IF(ISNUMBER(namespace_raw[[#This Row],[Column10]]), (namespace_raw[[#This Row],[Column10]]*(1+$M$2)),"")</f>
        <v/>
      </c>
      <c r="N414" s="167" t="str">
        <f>IF(ISNUMBER(namespace_raw[[#This Row],[Column11]]), (namespace_raw[[#This Row],[Column11]]*(1+$N$2))/1048576,"")</f>
        <v/>
      </c>
      <c r="O414" s="169" t="str">
        <f>IF(ISNUMBER(namespace_raw[[#This Row],[Column8]]), (E414  * $O$2),"")</f>
        <v/>
      </c>
      <c r="P414" s="170" t="str">
        <f>IF(ISNUMBER(namespace_raw[[#This Row],[Column8]]), (F414  * $P$2),"")</f>
        <v/>
      </c>
    </row>
    <row r="415" spans="1:16" ht="15" customHeight="1" x14ac:dyDescent="0.25">
      <c r="A415" s="32" t="str">
        <f>IF(ISNONTEXT(namespace_raw[[#This Row],[Column1]]), "", namespace_raw[[#This Row],[Column1]])</f>
        <v/>
      </c>
      <c r="B415" s="33" t="str">
        <f>IF(ISNONTEXT(namespace_raw[[#This Row],[Column2]]), "", namespace_raw[[#This Row],[Column2]])</f>
        <v/>
      </c>
      <c r="C415" s="94" t="str">
        <f>IF(ISNUMBER(namespace_raw[[#This Row],[Column4]]), namespace_raw[[#This Row],[Column4]], "")</f>
        <v/>
      </c>
      <c r="D415" s="95" t="str">
        <f>IF(ISNUMBER(namespace_raw[[#This Row],[Column5]]), namespace_raw[[#This Row],[Column5]]/1048576, "")</f>
        <v/>
      </c>
      <c r="E415" s="95" t="str">
        <f>IF(ISNUMBER(namespace_raw[[#This Row],[Column6]]), namespace_raw[[#This Row],[Column6]],"")</f>
        <v/>
      </c>
      <c r="F415" s="96" t="str">
        <f>IF(ISNUMBER(namespace_raw[[#This Row],[Column7]]), namespace_raw[[#This Row],[Column7]]/1048576,"")</f>
        <v/>
      </c>
      <c r="G415" s="122" t="str">
        <f>IF(ISNUMBER(namespace_raw[[#This Row],[Column8]]), namespace_raw[[#This Row],[Column8]],"")</f>
        <v/>
      </c>
      <c r="H415" s="123" t="str">
        <f>IF(ISNUMBER(namespace_raw[[#This Row],[Column9]]), namespace_raw[[#This Row],[Column9]]/1048576,"")</f>
        <v/>
      </c>
      <c r="I415" s="124" t="str">
        <f>IF(ISNUMBER(namespace_raw[[#This Row],[Column8]]),MAX(G415, M415, O415, $I$2,IF(Q415&lt;&gt;"",VALUE(Q415),0)), "")</f>
        <v/>
      </c>
      <c r="J415" s="125" t="str">
        <f>IF(ISNUMBER(namespace_raw[[#This Row],[Column9]]),MAX(H415, N415, P415, $J$2,IF(R415&lt;&gt;"",VALUE(R415),0)),"")</f>
        <v/>
      </c>
      <c r="K415" s="166" t="str">
        <f>IF(ISNUMBER(namespace_raw[[#This Row],[Column12]]), namespace_raw[[#This Row],[Column12]],"")</f>
        <v/>
      </c>
      <c r="L415" s="167" t="str">
        <f>IF(ISNUMBER(namespace_raw[[#This Row],[Column13]]), namespace_raw[[#This Row],[Column13]]/1048576,"")</f>
        <v/>
      </c>
      <c r="M415" s="168" t="str">
        <f>IF(ISNUMBER(namespace_raw[[#This Row],[Column10]]), (namespace_raw[[#This Row],[Column10]]*(1+$M$2)),"")</f>
        <v/>
      </c>
      <c r="N415" s="167" t="str">
        <f>IF(ISNUMBER(namespace_raw[[#This Row],[Column11]]), (namespace_raw[[#This Row],[Column11]]*(1+$N$2))/1048576,"")</f>
        <v/>
      </c>
      <c r="O415" s="169" t="str">
        <f>IF(ISNUMBER(namespace_raw[[#This Row],[Column8]]), (E415  * $O$2),"")</f>
        <v/>
      </c>
      <c r="P415" s="170" t="str">
        <f>IF(ISNUMBER(namespace_raw[[#This Row],[Column8]]), (F415  * $P$2),"")</f>
        <v/>
      </c>
    </row>
    <row r="416" spans="1:16" ht="15" customHeight="1" x14ac:dyDescent="0.25">
      <c r="A416" s="32" t="str">
        <f>IF(ISNONTEXT(namespace_raw[[#This Row],[Column1]]), "", namespace_raw[[#This Row],[Column1]])</f>
        <v/>
      </c>
      <c r="B416" s="33" t="str">
        <f>IF(ISNONTEXT(namespace_raw[[#This Row],[Column2]]), "", namespace_raw[[#This Row],[Column2]])</f>
        <v/>
      </c>
      <c r="C416" s="94" t="str">
        <f>IF(ISNUMBER(namespace_raw[[#This Row],[Column4]]), namespace_raw[[#This Row],[Column4]], "")</f>
        <v/>
      </c>
      <c r="D416" s="95" t="str">
        <f>IF(ISNUMBER(namespace_raw[[#This Row],[Column5]]), namespace_raw[[#This Row],[Column5]]/1048576, "")</f>
        <v/>
      </c>
      <c r="E416" s="95" t="str">
        <f>IF(ISNUMBER(namespace_raw[[#This Row],[Column6]]), namespace_raw[[#This Row],[Column6]],"")</f>
        <v/>
      </c>
      <c r="F416" s="96" t="str">
        <f>IF(ISNUMBER(namespace_raw[[#This Row],[Column7]]), namespace_raw[[#This Row],[Column7]]/1048576,"")</f>
        <v/>
      </c>
      <c r="G416" s="122" t="str">
        <f>IF(ISNUMBER(namespace_raw[[#This Row],[Column8]]), namespace_raw[[#This Row],[Column8]],"")</f>
        <v/>
      </c>
      <c r="H416" s="123" t="str">
        <f>IF(ISNUMBER(namespace_raw[[#This Row],[Column9]]), namespace_raw[[#This Row],[Column9]]/1048576,"")</f>
        <v/>
      </c>
      <c r="I416" s="124" t="str">
        <f>IF(ISNUMBER(namespace_raw[[#This Row],[Column8]]),MAX(G416, M416, O416, $I$2,IF(Q416&lt;&gt;"",VALUE(Q416),0)), "")</f>
        <v/>
      </c>
      <c r="J416" s="125" t="str">
        <f>IF(ISNUMBER(namespace_raw[[#This Row],[Column9]]),MAX(H416, N416, P416, $J$2,IF(R416&lt;&gt;"",VALUE(R416),0)),"")</f>
        <v/>
      </c>
      <c r="K416" s="166" t="str">
        <f>IF(ISNUMBER(namespace_raw[[#This Row],[Column12]]), namespace_raw[[#This Row],[Column12]],"")</f>
        <v/>
      </c>
      <c r="L416" s="167" t="str">
        <f>IF(ISNUMBER(namespace_raw[[#This Row],[Column13]]), namespace_raw[[#This Row],[Column13]]/1048576,"")</f>
        <v/>
      </c>
      <c r="M416" s="168" t="str">
        <f>IF(ISNUMBER(namespace_raw[[#This Row],[Column10]]), (namespace_raw[[#This Row],[Column10]]*(1+$M$2)),"")</f>
        <v/>
      </c>
      <c r="N416" s="167" t="str">
        <f>IF(ISNUMBER(namespace_raw[[#This Row],[Column11]]), (namespace_raw[[#This Row],[Column11]]*(1+$N$2))/1048576,"")</f>
        <v/>
      </c>
      <c r="O416" s="169" t="str">
        <f>IF(ISNUMBER(namespace_raw[[#This Row],[Column8]]), (E416  * $O$2),"")</f>
        <v/>
      </c>
      <c r="P416" s="170" t="str">
        <f>IF(ISNUMBER(namespace_raw[[#This Row],[Column8]]), (F416  * $P$2),"")</f>
        <v/>
      </c>
    </row>
    <row r="417" spans="1:16" ht="15" customHeight="1" x14ac:dyDescent="0.25">
      <c r="A417" s="32" t="str">
        <f>IF(ISNONTEXT(namespace_raw[[#This Row],[Column1]]), "", namespace_raw[[#This Row],[Column1]])</f>
        <v/>
      </c>
      <c r="B417" s="33" t="str">
        <f>IF(ISNONTEXT(namespace_raw[[#This Row],[Column2]]), "", namespace_raw[[#This Row],[Column2]])</f>
        <v/>
      </c>
      <c r="C417" s="94" t="str">
        <f>IF(ISNUMBER(namespace_raw[[#This Row],[Column4]]), namespace_raw[[#This Row],[Column4]], "")</f>
        <v/>
      </c>
      <c r="D417" s="95" t="str">
        <f>IF(ISNUMBER(namespace_raw[[#This Row],[Column5]]), namespace_raw[[#This Row],[Column5]]/1048576, "")</f>
        <v/>
      </c>
      <c r="E417" s="95" t="str">
        <f>IF(ISNUMBER(namespace_raw[[#This Row],[Column6]]), namespace_raw[[#This Row],[Column6]],"")</f>
        <v/>
      </c>
      <c r="F417" s="96" t="str">
        <f>IF(ISNUMBER(namespace_raw[[#This Row],[Column7]]), namespace_raw[[#This Row],[Column7]]/1048576,"")</f>
        <v/>
      </c>
      <c r="G417" s="122" t="str">
        <f>IF(ISNUMBER(namespace_raw[[#This Row],[Column8]]), namespace_raw[[#This Row],[Column8]],"")</f>
        <v/>
      </c>
      <c r="H417" s="123" t="str">
        <f>IF(ISNUMBER(namespace_raw[[#This Row],[Column9]]), namespace_raw[[#This Row],[Column9]]/1048576,"")</f>
        <v/>
      </c>
      <c r="I417" s="124" t="str">
        <f>IF(ISNUMBER(namespace_raw[[#This Row],[Column8]]),MAX(G417, M417, O417, $I$2,IF(Q417&lt;&gt;"",VALUE(Q417),0)), "")</f>
        <v/>
      </c>
      <c r="J417" s="125" t="str">
        <f>IF(ISNUMBER(namespace_raw[[#This Row],[Column9]]),MAX(H417, N417, P417, $J$2,IF(R417&lt;&gt;"",VALUE(R417),0)),"")</f>
        <v/>
      </c>
      <c r="K417" s="166" t="str">
        <f>IF(ISNUMBER(namespace_raw[[#This Row],[Column12]]), namespace_raw[[#This Row],[Column12]],"")</f>
        <v/>
      </c>
      <c r="L417" s="167" t="str">
        <f>IF(ISNUMBER(namespace_raw[[#This Row],[Column13]]), namespace_raw[[#This Row],[Column13]]/1048576,"")</f>
        <v/>
      </c>
      <c r="M417" s="168" t="str">
        <f>IF(ISNUMBER(namespace_raw[[#This Row],[Column10]]), (namespace_raw[[#This Row],[Column10]]*(1+$M$2)),"")</f>
        <v/>
      </c>
      <c r="N417" s="167" t="str">
        <f>IF(ISNUMBER(namespace_raw[[#This Row],[Column11]]), (namespace_raw[[#This Row],[Column11]]*(1+$N$2))/1048576,"")</f>
        <v/>
      </c>
      <c r="O417" s="169" t="str">
        <f>IF(ISNUMBER(namespace_raw[[#This Row],[Column8]]), (E417  * $O$2),"")</f>
        <v/>
      </c>
      <c r="P417" s="170" t="str">
        <f>IF(ISNUMBER(namespace_raw[[#This Row],[Column8]]), (F417  * $P$2),"")</f>
        <v/>
      </c>
    </row>
    <row r="418" spans="1:16" ht="15" customHeight="1" x14ac:dyDescent="0.25">
      <c r="A418" s="32" t="str">
        <f>IF(ISNONTEXT(namespace_raw[[#This Row],[Column1]]), "", namespace_raw[[#This Row],[Column1]])</f>
        <v/>
      </c>
      <c r="B418" s="33" t="str">
        <f>IF(ISNONTEXT(namespace_raw[[#This Row],[Column2]]), "", namespace_raw[[#This Row],[Column2]])</f>
        <v/>
      </c>
      <c r="C418" s="94" t="str">
        <f>IF(ISNUMBER(namespace_raw[[#This Row],[Column4]]), namespace_raw[[#This Row],[Column4]], "")</f>
        <v/>
      </c>
      <c r="D418" s="95" t="str">
        <f>IF(ISNUMBER(namespace_raw[[#This Row],[Column5]]), namespace_raw[[#This Row],[Column5]]/1048576, "")</f>
        <v/>
      </c>
      <c r="E418" s="95" t="str">
        <f>IF(ISNUMBER(namespace_raw[[#This Row],[Column6]]), namespace_raw[[#This Row],[Column6]],"")</f>
        <v/>
      </c>
      <c r="F418" s="96" t="str">
        <f>IF(ISNUMBER(namespace_raw[[#This Row],[Column7]]), namespace_raw[[#This Row],[Column7]]/1048576,"")</f>
        <v/>
      </c>
      <c r="G418" s="122" t="str">
        <f>IF(ISNUMBER(namespace_raw[[#This Row],[Column8]]), namespace_raw[[#This Row],[Column8]],"")</f>
        <v/>
      </c>
      <c r="H418" s="123" t="str">
        <f>IF(ISNUMBER(namespace_raw[[#This Row],[Column9]]), namespace_raw[[#This Row],[Column9]]/1048576,"")</f>
        <v/>
      </c>
      <c r="I418" s="124" t="str">
        <f>IF(ISNUMBER(namespace_raw[[#This Row],[Column8]]),MAX(G418, M418, O418, $I$2,IF(Q418&lt;&gt;"",VALUE(Q418),0)), "")</f>
        <v/>
      </c>
      <c r="J418" s="125" t="str">
        <f>IF(ISNUMBER(namespace_raw[[#This Row],[Column9]]),MAX(H418, N418, P418, $J$2,IF(R418&lt;&gt;"",VALUE(R418),0)),"")</f>
        <v/>
      </c>
      <c r="K418" s="166" t="str">
        <f>IF(ISNUMBER(namespace_raw[[#This Row],[Column12]]), namespace_raw[[#This Row],[Column12]],"")</f>
        <v/>
      </c>
      <c r="L418" s="167" t="str">
        <f>IF(ISNUMBER(namespace_raw[[#This Row],[Column13]]), namespace_raw[[#This Row],[Column13]]/1048576,"")</f>
        <v/>
      </c>
      <c r="M418" s="168" t="str">
        <f>IF(ISNUMBER(namespace_raw[[#This Row],[Column10]]), (namespace_raw[[#This Row],[Column10]]*(1+$M$2)),"")</f>
        <v/>
      </c>
      <c r="N418" s="167" t="str">
        <f>IF(ISNUMBER(namespace_raw[[#This Row],[Column11]]), (namespace_raw[[#This Row],[Column11]]*(1+$N$2))/1048576,"")</f>
        <v/>
      </c>
      <c r="O418" s="169" t="str">
        <f>IF(ISNUMBER(namespace_raw[[#This Row],[Column8]]), (E418  * $O$2),"")</f>
        <v/>
      </c>
      <c r="P418" s="170" t="str">
        <f>IF(ISNUMBER(namespace_raw[[#This Row],[Column8]]), (F418  * $P$2),"")</f>
        <v/>
      </c>
    </row>
    <row r="419" spans="1:16" ht="15" customHeight="1" x14ac:dyDescent="0.25">
      <c r="A419" s="32" t="str">
        <f>IF(ISNONTEXT(namespace_raw[[#This Row],[Column1]]), "", namespace_raw[[#This Row],[Column1]])</f>
        <v/>
      </c>
      <c r="B419" s="33" t="str">
        <f>IF(ISNONTEXT(namespace_raw[[#This Row],[Column2]]), "", namespace_raw[[#This Row],[Column2]])</f>
        <v/>
      </c>
      <c r="C419" s="94" t="str">
        <f>IF(ISNUMBER(namespace_raw[[#This Row],[Column4]]), namespace_raw[[#This Row],[Column4]], "")</f>
        <v/>
      </c>
      <c r="D419" s="95" t="str">
        <f>IF(ISNUMBER(namespace_raw[[#This Row],[Column5]]), namespace_raw[[#This Row],[Column5]]/1048576, "")</f>
        <v/>
      </c>
      <c r="E419" s="95" t="str">
        <f>IF(ISNUMBER(namespace_raw[[#This Row],[Column6]]), namespace_raw[[#This Row],[Column6]],"")</f>
        <v/>
      </c>
      <c r="F419" s="96" t="str">
        <f>IF(ISNUMBER(namespace_raw[[#This Row],[Column7]]), namespace_raw[[#This Row],[Column7]]/1048576,"")</f>
        <v/>
      </c>
      <c r="G419" s="122" t="str">
        <f>IF(ISNUMBER(namespace_raw[[#This Row],[Column8]]), namespace_raw[[#This Row],[Column8]],"")</f>
        <v/>
      </c>
      <c r="H419" s="123" t="str">
        <f>IF(ISNUMBER(namespace_raw[[#This Row],[Column9]]), namespace_raw[[#This Row],[Column9]]/1048576,"")</f>
        <v/>
      </c>
      <c r="I419" s="124" t="str">
        <f>IF(ISNUMBER(namespace_raw[[#This Row],[Column8]]),MAX(G419, M419, O419, $I$2,IF(Q419&lt;&gt;"",VALUE(Q419),0)), "")</f>
        <v/>
      </c>
      <c r="J419" s="125" t="str">
        <f>IF(ISNUMBER(namespace_raw[[#This Row],[Column9]]),MAX(H419, N419, P419, $J$2,IF(R419&lt;&gt;"",VALUE(R419),0)),"")</f>
        <v/>
      </c>
      <c r="K419" s="166" t="str">
        <f>IF(ISNUMBER(namespace_raw[[#This Row],[Column12]]), namespace_raw[[#This Row],[Column12]],"")</f>
        <v/>
      </c>
      <c r="L419" s="167" t="str">
        <f>IF(ISNUMBER(namespace_raw[[#This Row],[Column13]]), namespace_raw[[#This Row],[Column13]]/1048576,"")</f>
        <v/>
      </c>
      <c r="M419" s="168" t="str">
        <f>IF(ISNUMBER(namespace_raw[[#This Row],[Column10]]), (namespace_raw[[#This Row],[Column10]]*(1+$M$2)),"")</f>
        <v/>
      </c>
      <c r="N419" s="167" t="str">
        <f>IF(ISNUMBER(namespace_raw[[#This Row],[Column11]]), (namespace_raw[[#This Row],[Column11]]*(1+$N$2))/1048576,"")</f>
        <v/>
      </c>
      <c r="O419" s="169" t="str">
        <f>IF(ISNUMBER(namespace_raw[[#This Row],[Column8]]), (E419  * $O$2),"")</f>
        <v/>
      </c>
      <c r="P419" s="170" t="str">
        <f>IF(ISNUMBER(namespace_raw[[#This Row],[Column8]]), (F419  * $P$2),"")</f>
        <v/>
      </c>
    </row>
    <row r="420" spans="1:16" ht="15" customHeight="1" x14ac:dyDescent="0.25">
      <c r="A420" s="32" t="str">
        <f>IF(ISNONTEXT(namespace_raw[[#This Row],[Column1]]), "", namespace_raw[[#This Row],[Column1]])</f>
        <v/>
      </c>
      <c r="B420" s="33" t="str">
        <f>IF(ISNONTEXT(namespace_raw[[#This Row],[Column2]]), "", namespace_raw[[#This Row],[Column2]])</f>
        <v/>
      </c>
      <c r="C420" s="94" t="str">
        <f>IF(ISNUMBER(namespace_raw[[#This Row],[Column4]]), namespace_raw[[#This Row],[Column4]], "")</f>
        <v/>
      </c>
      <c r="D420" s="95" t="str">
        <f>IF(ISNUMBER(namespace_raw[[#This Row],[Column5]]), namespace_raw[[#This Row],[Column5]]/1048576, "")</f>
        <v/>
      </c>
      <c r="E420" s="95" t="str">
        <f>IF(ISNUMBER(namespace_raw[[#This Row],[Column6]]), namespace_raw[[#This Row],[Column6]],"")</f>
        <v/>
      </c>
      <c r="F420" s="96" t="str">
        <f>IF(ISNUMBER(namespace_raw[[#This Row],[Column7]]), namespace_raw[[#This Row],[Column7]]/1048576,"")</f>
        <v/>
      </c>
      <c r="G420" s="122" t="str">
        <f>IF(ISNUMBER(namespace_raw[[#This Row],[Column8]]), namespace_raw[[#This Row],[Column8]],"")</f>
        <v/>
      </c>
      <c r="H420" s="123" t="str">
        <f>IF(ISNUMBER(namespace_raw[[#This Row],[Column9]]), namespace_raw[[#This Row],[Column9]]/1048576,"")</f>
        <v/>
      </c>
      <c r="I420" s="124" t="str">
        <f>IF(ISNUMBER(namespace_raw[[#This Row],[Column8]]),MAX(G420, M420, O420, $I$2,IF(Q420&lt;&gt;"",VALUE(Q420),0)), "")</f>
        <v/>
      </c>
      <c r="J420" s="125" t="str">
        <f>IF(ISNUMBER(namespace_raw[[#This Row],[Column9]]),MAX(H420, N420, P420, $J$2,IF(R420&lt;&gt;"",VALUE(R420),0)),"")</f>
        <v/>
      </c>
      <c r="K420" s="166" t="str">
        <f>IF(ISNUMBER(namespace_raw[[#This Row],[Column12]]), namespace_raw[[#This Row],[Column12]],"")</f>
        <v/>
      </c>
      <c r="L420" s="167" t="str">
        <f>IF(ISNUMBER(namespace_raw[[#This Row],[Column13]]), namespace_raw[[#This Row],[Column13]]/1048576,"")</f>
        <v/>
      </c>
      <c r="M420" s="168" t="str">
        <f>IF(ISNUMBER(namespace_raw[[#This Row],[Column10]]), (namespace_raw[[#This Row],[Column10]]*(1+$M$2)),"")</f>
        <v/>
      </c>
      <c r="N420" s="167" t="str">
        <f>IF(ISNUMBER(namespace_raw[[#This Row],[Column11]]), (namespace_raw[[#This Row],[Column11]]*(1+$N$2))/1048576,"")</f>
        <v/>
      </c>
      <c r="O420" s="169" t="str">
        <f>IF(ISNUMBER(namespace_raw[[#This Row],[Column8]]), (E420  * $O$2),"")</f>
        <v/>
      </c>
      <c r="P420" s="170" t="str">
        <f>IF(ISNUMBER(namespace_raw[[#This Row],[Column8]]), (F420  * $P$2),"")</f>
        <v/>
      </c>
    </row>
    <row r="421" spans="1:16" ht="15" customHeight="1" x14ac:dyDescent="0.25">
      <c r="A421" s="32" t="str">
        <f>IF(ISNONTEXT(namespace_raw[[#This Row],[Column1]]), "", namespace_raw[[#This Row],[Column1]])</f>
        <v/>
      </c>
      <c r="B421" s="33" t="str">
        <f>IF(ISNONTEXT(namespace_raw[[#This Row],[Column2]]), "", namespace_raw[[#This Row],[Column2]])</f>
        <v/>
      </c>
      <c r="C421" s="94" t="str">
        <f>IF(ISNUMBER(namespace_raw[[#This Row],[Column4]]), namespace_raw[[#This Row],[Column4]], "")</f>
        <v/>
      </c>
      <c r="D421" s="95" t="str">
        <f>IF(ISNUMBER(namespace_raw[[#This Row],[Column5]]), namespace_raw[[#This Row],[Column5]]/1048576, "")</f>
        <v/>
      </c>
      <c r="E421" s="95" t="str">
        <f>IF(ISNUMBER(namespace_raw[[#This Row],[Column6]]), namespace_raw[[#This Row],[Column6]],"")</f>
        <v/>
      </c>
      <c r="F421" s="96" t="str">
        <f>IF(ISNUMBER(namespace_raw[[#This Row],[Column7]]), namespace_raw[[#This Row],[Column7]]/1048576,"")</f>
        <v/>
      </c>
      <c r="G421" s="122" t="str">
        <f>IF(ISNUMBER(namespace_raw[[#This Row],[Column8]]), namespace_raw[[#This Row],[Column8]],"")</f>
        <v/>
      </c>
      <c r="H421" s="123" t="str">
        <f>IF(ISNUMBER(namespace_raw[[#This Row],[Column9]]), namespace_raw[[#This Row],[Column9]]/1048576,"")</f>
        <v/>
      </c>
      <c r="I421" s="124" t="str">
        <f>IF(ISNUMBER(namespace_raw[[#This Row],[Column8]]),MAX(G421, M421, O421, $I$2,IF(Q421&lt;&gt;"",VALUE(Q421),0)), "")</f>
        <v/>
      </c>
      <c r="J421" s="125" t="str">
        <f>IF(ISNUMBER(namespace_raw[[#This Row],[Column9]]),MAX(H421, N421, P421, $J$2,IF(R421&lt;&gt;"",VALUE(R421),0)),"")</f>
        <v/>
      </c>
      <c r="K421" s="166" t="str">
        <f>IF(ISNUMBER(namespace_raw[[#This Row],[Column12]]), namespace_raw[[#This Row],[Column12]],"")</f>
        <v/>
      </c>
      <c r="L421" s="167" t="str">
        <f>IF(ISNUMBER(namespace_raw[[#This Row],[Column13]]), namespace_raw[[#This Row],[Column13]]/1048576,"")</f>
        <v/>
      </c>
      <c r="M421" s="168" t="str">
        <f>IF(ISNUMBER(namespace_raw[[#This Row],[Column10]]), (namespace_raw[[#This Row],[Column10]]*(1+$M$2)),"")</f>
        <v/>
      </c>
      <c r="N421" s="167" t="str">
        <f>IF(ISNUMBER(namespace_raw[[#This Row],[Column11]]), (namespace_raw[[#This Row],[Column11]]*(1+$N$2))/1048576,"")</f>
        <v/>
      </c>
      <c r="O421" s="169" t="str">
        <f>IF(ISNUMBER(namespace_raw[[#This Row],[Column8]]), (E421  * $O$2),"")</f>
        <v/>
      </c>
      <c r="P421" s="170" t="str">
        <f>IF(ISNUMBER(namespace_raw[[#This Row],[Column8]]), (F421  * $P$2),"")</f>
        <v/>
      </c>
    </row>
    <row r="422" spans="1:16" ht="15" customHeight="1" x14ac:dyDescent="0.25">
      <c r="A422" s="32" t="str">
        <f>IF(ISNONTEXT(namespace_raw[[#This Row],[Column1]]), "", namespace_raw[[#This Row],[Column1]])</f>
        <v/>
      </c>
      <c r="B422" s="33" t="str">
        <f>IF(ISNONTEXT(namespace_raw[[#This Row],[Column2]]), "", namespace_raw[[#This Row],[Column2]])</f>
        <v/>
      </c>
      <c r="C422" s="94" t="str">
        <f>IF(ISNUMBER(namespace_raw[[#This Row],[Column4]]), namespace_raw[[#This Row],[Column4]], "")</f>
        <v/>
      </c>
      <c r="D422" s="95" t="str">
        <f>IF(ISNUMBER(namespace_raw[[#This Row],[Column5]]), namespace_raw[[#This Row],[Column5]]/1048576, "")</f>
        <v/>
      </c>
      <c r="E422" s="95" t="str">
        <f>IF(ISNUMBER(namespace_raw[[#This Row],[Column6]]), namespace_raw[[#This Row],[Column6]],"")</f>
        <v/>
      </c>
      <c r="F422" s="96" t="str">
        <f>IF(ISNUMBER(namespace_raw[[#This Row],[Column7]]), namespace_raw[[#This Row],[Column7]]/1048576,"")</f>
        <v/>
      </c>
      <c r="G422" s="122" t="str">
        <f>IF(ISNUMBER(namespace_raw[[#This Row],[Column8]]), namespace_raw[[#This Row],[Column8]],"")</f>
        <v/>
      </c>
      <c r="H422" s="123" t="str">
        <f>IF(ISNUMBER(namespace_raw[[#This Row],[Column9]]), namespace_raw[[#This Row],[Column9]]/1048576,"")</f>
        <v/>
      </c>
      <c r="I422" s="124" t="str">
        <f>IF(ISNUMBER(namespace_raw[[#This Row],[Column8]]),MAX(G422, M422, O422, $I$2,IF(Q422&lt;&gt;"",VALUE(Q422),0)), "")</f>
        <v/>
      </c>
      <c r="J422" s="125" t="str">
        <f>IF(ISNUMBER(namespace_raw[[#This Row],[Column9]]),MAX(H422, N422, P422, $J$2,IF(R422&lt;&gt;"",VALUE(R422),0)),"")</f>
        <v/>
      </c>
      <c r="K422" s="166" t="str">
        <f>IF(ISNUMBER(namespace_raw[[#This Row],[Column12]]), namespace_raw[[#This Row],[Column12]],"")</f>
        <v/>
      </c>
      <c r="L422" s="167" t="str">
        <f>IF(ISNUMBER(namespace_raw[[#This Row],[Column13]]), namespace_raw[[#This Row],[Column13]]/1048576,"")</f>
        <v/>
      </c>
      <c r="M422" s="168" t="str">
        <f>IF(ISNUMBER(namespace_raw[[#This Row],[Column10]]), (namespace_raw[[#This Row],[Column10]]*(1+$M$2)),"")</f>
        <v/>
      </c>
      <c r="N422" s="167" t="str">
        <f>IF(ISNUMBER(namespace_raw[[#This Row],[Column11]]), (namespace_raw[[#This Row],[Column11]]*(1+$N$2))/1048576,"")</f>
        <v/>
      </c>
      <c r="O422" s="169" t="str">
        <f>IF(ISNUMBER(namespace_raw[[#This Row],[Column8]]), (E422  * $O$2),"")</f>
        <v/>
      </c>
      <c r="P422" s="170" t="str">
        <f>IF(ISNUMBER(namespace_raw[[#This Row],[Column8]]), (F422  * $P$2),"")</f>
        <v/>
      </c>
    </row>
    <row r="423" spans="1:16" ht="15" customHeight="1" x14ac:dyDescent="0.25">
      <c r="A423" s="32" t="str">
        <f>IF(ISNONTEXT(namespace_raw[[#This Row],[Column1]]), "", namespace_raw[[#This Row],[Column1]])</f>
        <v/>
      </c>
      <c r="B423" s="33" t="str">
        <f>IF(ISNONTEXT(namespace_raw[[#This Row],[Column2]]), "", namespace_raw[[#This Row],[Column2]])</f>
        <v/>
      </c>
      <c r="C423" s="94" t="str">
        <f>IF(ISNUMBER(namespace_raw[[#This Row],[Column4]]), namespace_raw[[#This Row],[Column4]], "")</f>
        <v/>
      </c>
      <c r="D423" s="95" t="str">
        <f>IF(ISNUMBER(namespace_raw[[#This Row],[Column5]]), namespace_raw[[#This Row],[Column5]]/1048576, "")</f>
        <v/>
      </c>
      <c r="E423" s="95" t="str">
        <f>IF(ISNUMBER(namespace_raw[[#This Row],[Column6]]), namespace_raw[[#This Row],[Column6]],"")</f>
        <v/>
      </c>
      <c r="F423" s="96" t="str">
        <f>IF(ISNUMBER(namespace_raw[[#This Row],[Column7]]), namespace_raw[[#This Row],[Column7]]/1048576,"")</f>
        <v/>
      </c>
      <c r="G423" s="122" t="str">
        <f>IF(ISNUMBER(namespace_raw[[#This Row],[Column8]]), namespace_raw[[#This Row],[Column8]],"")</f>
        <v/>
      </c>
      <c r="H423" s="123" t="str">
        <f>IF(ISNUMBER(namespace_raw[[#This Row],[Column9]]), namespace_raw[[#This Row],[Column9]]/1048576,"")</f>
        <v/>
      </c>
      <c r="I423" s="124" t="str">
        <f>IF(ISNUMBER(namespace_raw[[#This Row],[Column8]]),MAX(G423, M423, O423, $I$2,IF(Q423&lt;&gt;"",VALUE(Q423),0)), "")</f>
        <v/>
      </c>
      <c r="J423" s="125" t="str">
        <f>IF(ISNUMBER(namespace_raw[[#This Row],[Column9]]),MAX(H423, N423, P423, $J$2,IF(R423&lt;&gt;"",VALUE(R423),0)),"")</f>
        <v/>
      </c>
      <c r="K423" s="166" t="str">
        <f>IF(ISNUMBER(namespace_raw[[#This Row],[Column12]]), namespace_raw[[#This Row],[Column12]],"")</f>
        <v/>
      </c>
      <c r="L423" s="167" t="str">
        <f>IF(ISNUMBER(namespace_raw[[#This Row],[Column13]]), namespace_raw[[#This Row],[Column13]]/1048576,"")</f>
        <v/>
      </c>
      <c r="M423" s="168" t="str">
        <f>IF(ISNUMBER(namespace_raw[[#This Row],[Column10]]), (namespace_raw[[#This Row],[Column10]]*(1+$M$2)),"")</f>
        <v/>
      </c>
      <c r="N423" s="167" t="str">
        <f>IF(ISNUMBER(namespace_raw[[#This Row],[Column11]]), (namespace_raw[[#This Row],[Column11]]*(1+$N$2))/1048576,"")</f>
        <v/>
      </c>
      <c r="O423" s="169" t="str">
        <f>IF(ISNUMBER(namespace_raw[[#This Row],[Column8]]), (E423  * $O$2),"")</f>
        <v/>
      </c>
      <c r="P423" s="170" t="str">
        <f>IF(ISNUMBER(namespace_raw[[#This Row],[Column8]]), (F423  * $P$2),"")</f>
        <v/>
      </c>
    </row>
    <row r="424" spans="1:16" ht="15" customHeight="1" x14ac:dyDescent="0.25">
      <c r="A424" s="32" t="str">
        <f>IF(ISNONTEXT(namespace_raw[[#This Row],[Column1]]), "", namespace_raw[[#This Row],[Column1]])</f>
        <v/>
      </c>
      <c r="B424" s="33" t="str">
        <f>IF(ISNONTEXT(namespace_raw[[#This Row],[Column2]]), "", namespace_raw[[#This Row],[Column2]])</f>
        <v/>
      </c>
      <c r="C424" s="94" t="str">
        <f>IF(ISNUMBER(namespace_raw[[#This Row],[Column4]]), namespace_raw[[#This Row],[Column4]], "")</f>
        <v/>
      </c>
      <c r="D424" s="95" t="str">
        <f>IF(ISNUMBER(namespace_raw[[#This Row],[Column5]]), namespace_raw[[#This Row],[Column5]]/1048576, "")</f>
        <v/>
      </c>
      <c r="E424" s="95" t="str">
        <f>IF(ISNUMBER(namespace_raw[[#This Row],[Column6]]), namespace_raw[[#This Row],[Column6]],"")</f>
        <v/>
      </c>
      <c r="F424" s="96" t="str">
        <f>IF(ISNUMBER(namespace_raw[[#This Row],[Column7]]), namespace_raw[[#This Row],[Column7]]/1048576,"")</f>
        <v/>
      </c>
      <c r="G424" s="122" t="str">
        <f>IF(ISNUMBER(namespace_raw[[#This Row],[Column8]]), namespace_raw[[#This Row],[Column8]],"")</f>
        <v/>
      </c>
      <c r="H424" s="123" t="str">
        <f>IF(ISNUMBER(namespace_raw[[#This Row],[Column9]]), namespace_raw[[#This Row],[Column9]]/1048576,"")</f>
        <v/>
      </c>
      <c r="I424" s="124" t="str">
        <f>IF(ISNUMBER(namespace_raw[[#This Row],[Column8]]),MAX(G424, M424, O424, $I$2,IF(Q424&lt;&gt;"",VALUE(Q424),0)), "")</f>
        <v/>
      </c>
      <c r="J424" s="125" t="str">
        <f>IF(ISNUMBER(namespace_raw[[#This Row],[Column9]]),MAX(H424, N424, P424, $J$2,IF(R424&lt;&gt;"",VALUE(R424),0)),"")</f>
        <v/>
      </c>
      <c r="K424" s="166" t="str">
        <f>IF(ISNUMBER(namespace_raw[[#This Row],[Column12]]), namespace_raw[[#This Row],[Column12]],"")</f>
        <v/>
      </c>
      <c r="L424" s="167" t="str">
        <f>IF(ISNUMBER(namespace_raw[[#This Row],[Column13]]), namespace_raw[[#This Row],[Column13]]/1048576,"")</f>
        <v/>
      </c>
      <c r="M424" s="168" t="str">
        <f>IF(ISNUMBER(namespace_raw[[#This Row],[Column10]]), (namespace_raw[[#This Row],[Column10]]*(1+$M$2)),"")</f>
        <v/>
      </c>
      <c r="N424" s="167" t="str">
        <f>IF(ISNUMBER(namespace_raw[[#This Row],[Column11]]), (namespace_raw[[#This Row],[Column11]]*(1+$N$2))/1048576,"")</f>
        <v/>
      </c>
      <c r="O424" s="169" t="str">
        <f>IF(ISNUMBER(namespace_raw[[#This Row],[Column8]]), (E424  * $O$2),"")</f>
        <v/>
      </c>
      <c r="P424" s="170" t="str">
        <f>IF(ISNUMBER(namespace_raw[[#This Row],[Column8]]), (F424  * $P$2),"")</f>
        <v/>
      </c>
    </row>
    <row r="425" spans="1:16" ht="15" customHeight="1" x14ac:dyDescent="0.25">
      <c r="A425" s="32" t="str">
        <f>IF(ISNONTEXT(namespace_raw[[#This Row],[Column1]]), "", namespace_raw[[#This Row],[Column1]])</f>
        <v/>
      </c>
      <c r="B425" s="33" t="str">
        <f>IF(ISNONTEXT(namespace_raw[[#This Row],[Column2]]), "", namespace_raw[[#This Row],[Column2]])</f>
        <v/>
      </c>
      <c r="C425" s="94" t="str">
        <f>IF(ISNUMBER(namespace_raw[[#This Row],[Column4]]), namespace_raw[[#This Row],[Column4]], "")</f>
        <v/>
      </c>
      <c r="D425" s="95" t="str">
        <f>IF(ISNUMBER(namespace_raw[[#This Row],[Column5]]), namespace_raw[[#This Row],[Column5]]/1048576, "")</f>
        <v/>
      </c>
      <c r="E425" s="95" t="str">
        <f>IF(ISNUMBER(namespace_raw[[#This Row],[Column6]]), namespace_raw[[#This Row],[Column6]],"")</f>
        <v/>
      </c>
      <c r="F425" s="96" t="str">
        <f>IF(ISNUMBER(namespace_raw[[#This Row],[Column7]]), namespace_raw[[#This Row],[Column7]]/1048576,"")</f>
        <v/>
      </c>
      <c r="G425" s="122" t="str">
        <f>IF(ISNUMBER(namespace_raw[[#This Row],[Column8]]), namespace_raw[[#This Row],[Column8]],"")</f>
        <v/>
      </c>
      <c r="H425" s="123" t="str">
        <f>IF(ISNUMBER(namespace_raw[[#This Row],[Column9]]), namespace_raw[[#This Row],[Column9]]/1048576,"")</f>
        <v/>
      </c>
      <c r="I425" s="124" t="str">
        <f>IF(ISNUMBER(namespace_raw[[#This Row],[Column8]]),MAX(G425, M425, O425, $I$2,IF(Q425&lt;&gt;"",VALUE(Q425),0)), "")</f>
        <v/>
      </c>
      <c r="J425" s="125" t="str">
        <f>IF(ISNUMBER(namespace_raw[[#This Row],[Column9]]),MAX(H425, N425, P425, $J$2,IF(R425&lt;&gt;"",VALUE(R425),0)),"")</f>
        <v/>
      </c>
      <c r="K425" s="166" t="str">
        <f>IF(ISNUMBER(namespace_raw[[#This Row],[Column12]]), namespace_raw[[#This Row],[Column12]],"")</f>
        <v/>
      </c>
      <c r="L425" s="167" t="str">
        <f>IF(ISNUMBER(namespace_raw[[#This Row],[Column13]]), namespace_raw[[#This Row],[Column13]]/1048576,"")</f>
        <v/>
      </c>
      <c r="M425" s="168" t="str">
        <f>IF(ISNUMBER(namespace_raw[[#This Row],[Column10]]), (namespace_raw[[#This Row],[Column10]]*(1+$M$2)),"")</f>
        <v/>
      </c>
      <c r="N425" s="167" t="str">
        <f>IF(ISNUMBER(namespace_raw[[#This Row],[Column11]]), (namespace_raw[[#This Row],[Column11]]*(1+$N$2))/1048576,"")</f>
        <v/>
      </c>
      <c r="O425" s="169" t="str">
        <f>IF(ISNUMBER(namespace_raw[[#This Row],[Column8]]), (E425  * $O$2),"")</f>
        <v/>
      </c>
      <c r="P425" s="170" t="str">
        <f>IF(ISNUMBER(namespace_raw[[#This Row],[Column8]]), (F425  * $P$2),"")</f>
        <v/>
      </c>
    </row>
    <row r="426" spans="1:16" ht="15" customHeight="1" x14ac:dyDescent="0.25">
      <c r="A426" s="32" t="str">
        <f>IF(ISNONTEXT(namespace_raw[[#This Row],[Column1]]), "", namespace_raw[[#This Row],[Column1]])</f>
        <v/>
      </c>
      <c r="B426" s="33" t="str">
        <f>IF(ISNONTEXT(namespace_raw[[#This Row],[Column2]]), "", namespace_raw[[#This Row],[Column2]])</f>
        <v/>
      </c>
      <c r="C426" s="94" t="str">
        <f>IF(ISNUMBER(namespace_raw[[#This Row],[Column4]]), namespace_raw[[#This Row],[Column4]], "")</f>
        <v/>
      </c>
      <c r="D426" s="95" t="str">
        <f>IF(ISNUMBER(namespace_raw[[#This Row],[Column5]]), namespace_raw[[#This Row],[Column5]]/1048576, "")</f>
        <v/>
      </c>
      <c r="E426" s="95" t="str">
        <f>IF(ISNUMBER(namespace_raw[[#This Row],[Column6]]), namespace_raw[[#This Row],[Column6]],"")</f>
        <v/>
      </c>
      <c r="F426" s="96" t="str">
        <f>IF(ISNUMBER(namespace_raw[[#This Row],[Column7]]), namespace_raw[[#This Row],[Column7]]/1048576,"")</f>
        <v/>
      </c>
      <c r="G426" s="122" t="str">
        <f>IF(ISNUMBER(namespace_raw[[#This Row],[Column8]]), namespace_raw[[#This Row],[Column8]],"")</f>
        <v/>
      </c>
      <c r="H426" s="123" t="str">
        <f>IF(ISNUMBER(namespace_raw[[#This Row],[Column9]]), namespace_raw[[#This Row],[Column9]]/1048576,"")</f>
        <v/>
      </c>
      <c r="I426" s="124" t="str">
        <f>IF(ISNUMBER(namespace_raw[[#This Row],[Column8]]),MAX(G426, M426, O426, $I$2,IF(Q426&lt;&gt;"",VALUE(Q426),0)), "")</f>
        <v/>
      </c>
      <c r="J426" s="125" t="str">
        <f>IF(ISNUMBER(namespace_raw[[#This Row],[Column9]]),MAX(H426, N426, P426, $J$2,IF(R426&lt;&gt;"",VALUE(R426),0)),"")</f>
        <v/>
      </c>
      <c r="K426" s="166" t="str">
        <f>IF(ISNUMBER(namespace_raw[[#This Row],[Column12]]), namespace_raw[[#This Row],[Column12]],"")</f>
        <v/>
      </c>
      <c r="L426" s="167" t="str">
        <f>IF(ISNUMBER(namespace_raw[[#This Row],[Column13]]), namespace_raw[[#This Row],[Column13]]/1048576,"")</f>
        <v/>
      </c>
      <c r="M426" s="168" t="str">
        <f>IF(ISNUMBER(namespace_raw[[#This Row],[Column10]]), (namespace_raw[[#This Row],[Column10]]*(1+$M$2)),"")</f>
        <v/>
      </c>
      <c r="N426" s="167" t="str">
        <f>IF(ISNUMBER(namespace_raw[[#This Row],[Column11]]), (namespace_raw[[#This Row],[Column11]]*(1+$N$2))/1048576,"")</f>
        <v/>
      </c>
      <c r="O426" s="169" t="str">
        <f>IF(ISNUMBER(namespace_raw[[#This Row],[Column8]]), (E426  * $O$2),"")</f>
        <v/>
      </c>
      <c r="P426" s="170" t="str">
        <f>IF(ISNUMBER(namespace_raw[[#This Row],[Column8]]), (F426  * $P$2),"")</f>
        <v/>
      </c>
    </row>
    <row r="427" spans="1:16" ht="15" customHeight="1" x14ac:dyDescent="0.25">
      <c r="A427" s="32" t="str">
        <f>IF(ISNONTEXT(namespace_raw[[#This Row],[Column1]]), "", namespace_raw[[#This Row],[Column1]])</f>
        <v/>
      </c>
      <c r="B427" s="33" t="str">
        <f>IF(ISNONTEXT(namespace_raw[[#This Row],[Column2]]), "", namespace_raw[[#This Row],[Column2]])</f>
        <v/>
      </c>
      <c r="C427" s="94" t="str">
        <f>IF(ISNUMBER(namespace_raw[[#This Row],[Column4]]), namespace_raw[[#This Row],[Column4]], "")</f>
        <v/>
      </c>
      <c r="D427" s="95" t="str">
        <f>IF(ISNUMBER(namespace_raw[[#This Row],[Column5]]), namespace_raw[[#This Row],[Column5]]/1048576, "")</f>
        <v/>
      </c>
      <c r="E427" s="95" t="str">
        <f>IF(ISNUMBER(namespace_raw[[#This Row],[Column6]]), namespace_raw[[#This Row],[Column6]],"")</f>
        <v/>
      </c>
      <c r="F427" s="96" t="str">
        <f>IF(ISNUMBER(namespace_raw[[#This Row],[Column7]]), namespace_raw[[#This Row],[Column7]]/1048576,"")</f>
        <v/>
      </c>
      <c r="G427" s="122" t="str">
        <f>IF(ISNUMBER(namespace_raw[[#This Row],[Column8]]), namespace_raw[[#This Row],[Column8]],"")</f>
        <v/>
      </c>
      <c r="H427" s="123" t="str">
        <f>IF(ISNUMBER(namespace_raw[[#This Row],[Column9]]), namespace_raw[[#This Row],[Column9]]/1048576,"")</f>
        <v/>
      </c>
      <c r="I427" s="124" t="str">
        <f>IF(ISNUMBER(namespace_raw[[#This Row],[Column8]]),MAX(G427, M427, O427, $I$2,IF(Q427&lt;&gt;"",VALUE(Q427),0)), "")</f>
        <v/>
      </c>
      <c r="J427" s="125" t="str">
        <f>IF(ISNUMBER(namespace_raw[[#This Row],[Column9]]),MAX(H427, N427, P427, $J$2,IF(R427&lt;&gt;"",VALUE(R427),0)),"")</f>
        <v/>
      </c>
      <c r="K427" s="166" t="str">
        <f>IF(ISNUMBER(namespace_raw[[#This Row],[Column12]]), namespace_raw[[#This Row],[Column12]],"")</f>
        <v/>
      </c>
      <c r="L427" s="167" t="str">
        <f>IF(ISNUMBER(namespace_raw[[#This Row],[Column13]]), namespace_raw[[#This Row],[Column13]]/1048576,"")</f>
        <v/>
      </c>
      <c r="M427" s="168" t="str">
        <f>IF(ISNUMBER(namespace_raw[[#This Row],[Column10]]), (namespace_raw[[#This Row],[Column10]]*(1+$M$2)),"")</f>
        <v/>
      </c>
      <c r="N427" s="167" t="str">
        <f>IF(ISNUMBER(namespace_raw[[#This Row],[Column11]]), (namespace_raw[[#This Row],[Column11]]*(1+$N$2))/1048576,"")</f>
        <v/>
      </c>
      <c r="O427" s="169" t="str">
        <f>IF(ISNUMBER(namespace_raw[[#This Row],[Column8]]), (E427  * $O$2),"")</f>
        <v/>
      </c>
      <c r="P427" s="170" t="str">
        <f>IF(ISNUMBER(namespace_raw[[#This Row],[Column8]]), (F427  * $P$2),"")</f>
        <v/>
      </c>
    </row>
    <row r="428" spans="1:16" ht="15" customHeight="1" x14ac:dyDescent="0.25">
      <c r="A428" s="32" t="str">
        <f>IF(ISNONTEXT(namespace_raw[[#This Row],[Column1]]), "", namespace_raw[[#This Row],[Column1]])</f>
        <v/>
      </c>
      <c r="B428" s="33" t="str">
        <f>IF(ISNONTEXT(namespace_raw[[#This Row],[Column2]]), "", namespace_raw[[#This Row],[Column2]])</f>
        <v/>
      </c>
      <c r="C428" s="94" t="str">
        <f>IF(ISNUMBER(namespace_raw[[#This Row],[Column4]]), namespace_raw[[#This Row],[Column4]], "")</f>
        <v/>
      </c>
      <c r="D428" s="95" t="str">
        <f>IF(ISNUMBER(namespace_raw[[#This Row],[Column5]]), namespace_raw[[#This Row],[Column5]]/1048576, "")</f>
        <v/>
      </c>
      <c r="E428" s="95" t="str">
        <f>IF(ISNUMBER(namespace_raw[[#This Row],[Column6]]), namespace_raw[[#This Row],[Column6]],"")</f>
        <v/>
      </c>
      <c r="F428" s="96" t="str">
        <f>IF(ISNUMBER(namespace_raw[[#This Row],[Column7]]), namespace_raw[[#This Row],[Column7]]/1048576,"")</f>
        <v/>
      </c>
      <c r="G428" s="122" t="str">
        <f>IF(ISNUMBER(namespace_raw[[#This Row],[Column8]]), namespace_raw[[#This Row],[Column8]],"")</f>
        <v/>
      </c>
      <c r="H428" s="123" t="str">
        <f>IF(ISNUMBER(namespace_raw[[#This Row],[Column9]]), namespace_raw[[#This Row],[Column9]]/1048576,"")</f>
        <v/>
      </c>
      <c r="I428" s="124" t="str">
        <f>IF(ISNUMBER(namespace_raw[[#This Row],[Column8]]),MAX(G428, M428, O428, $I$2,IF(Q428&lt;&gt;"",VALUE(Q428),0)), "")</f>
        <v/>
      </c>
      <c r="J428" s="125" t="str">
        <f>IF(ISNUMBER(namespace_raw[[#This Row],[Column9]]),MAX(H428, N428, P428, $J$2,IF(R428&lt;&gt;"",VALUE(R428),0)),"")</f>
        <v/>
      </c>
      <c r="K428" s="166" t="str">
        <f>IF(ISNUMBER(namespace_raw[[#This Row],[Column12]]), namespace_raw[[#This Row],[Column12]],"")</f>
        <v/>
      </c>
      <c r="L428" s="167" t="str">
        <f>IF(ISNUMBER(namespace_raw[[#This Row],[Column13]]), namespace_raw[[#This Row],[Column13]]/1048576,"")</f>
        <v/>
      </c>
      <c r="M428" s="168" t="str">
        <f>IF(ISNUMBER(namespace_raw[[#This Row],[Column10]]), (namespace_raw[[#This Row],[Column10]]*(1+$M$2)),"")</f>
        <v/>
      </c>
      <c r="N428" s="167" t="str">
        <f>IF(ISNUMBER(namespace_raw[[#This Row],[Column11]]), (namespace_raw[[#This Row],[Column11]]*(1+$N$2))/1048576,"")</f>
        <v/>
      </c>
      <c r="O428" s="169" t="str">
        <f>IF(ISNUMBER(namespace_raw[[#This Row],[Column8]]), (E428  * $O$2),"")</f>
        <v/>
      </c>
      <c r="P428" s="170" t="str">
        <f>IF(ISNUMBER(namespace_raw[[#This Row],[Column8]]), (F428  * $P$2),"")</f>
        <v/>
      </c>
    </row>
    <row r="429" spans="1:16" ht="15" customHeight="1" x14ac:dyDescent="0.25">
      <c r="A429" s="32" t="str">
        <f>IF(ISNONTEXT(namespace_raw[[#This Row],[Column1]]), "", namespace_raw[[#This Row],[Column1]])</f>
        <v/>
      </c>
      <c r="B429" s="33" t="str">
        <f>IF(ISNONTEXT(namespace_raw[[#This Row],[Column2]]), "", namespace_raw[[#This Row],[Column2]])</f>
        <v/>
      </c>
      <c r="C429" s="94" t="str">
        <f>IF(ISNUMBER(namespace_raw[[#This Row],[Column4]]), namespace_raw[[#This Row],[Column4]], "")</f>
        <v/>
      </c>
      <c r="D429" s="95" t="str">
        <f>IF(ISNUMBER(namespace_raw[[#This Row],[Column5]]), namespace_raw[[#This Row],[Column5]]/1048576, "")</f>
        <v/>
      </c>
      <c r="E429" s="95" t="str">
        <f>IF(ISNUMBER(namespace_raw[[#This Row],[Column6]]), namespace_raw[[#This Row],[Column6]],"")</f>
        <v/>
      </c>
      <c r="F429" s="96" t="str">
        <f>IF(ISNUMBER(namespace_raw[[#This Row],[Column7]]), namespace_raw[[#This Row],[Column7]]/1048576,"")</f>
        <v/>
      </c>
      <c r="G429" s="122" t="str">
        <f>IF(ISNUMBER(namespace_raw[[#This Row],[Column8]]), namespace_raw[[#This Row],[Column8]],"")</f>
        <v/>
      </c>
      <c r="H429" s="123" t="str">
        <f>IF(ISNUMBER(namespace_raw[[#This Row],[Column9]]), namespace_raw[[#This Row],[Column9]]/1048576,"")</f>
        <v/>
      </c>
      <c r="I429" s="124" t="str">
        <f>IF(ISNUMBER(namespace_raw[[#This Row],[Column8]]),MAX(G429, M429, O429, $I$2,IF(Q429&lt;&gt;"",VALUE(Q429),0)), "")</f>
        <v/>
      </c>
      <c r="J429" s="125" t="str">
        <f>IF(ISNUMBER(namespace_raw[[#This Row],[Column9]]),MAX(H429, N429, P429, $J$2,IF(R429&lt;&gt;"",VALUE(R429),0)),"")</f>
        <v/>
      </c>
      <c r="K429" s="166" t="str">
        <f>IF(ISNUMBER(namespace_raw[[#This Row],[Column12]]), namespace_raw[[#This Row],[Column12]],"")</f>
        <v/>
      </c>
      <c r="L429" s="167" t="str">
        <f>IF(ISNUMBER(namespace_raw[[#This Row],[Column13]]), namespace_raw[[#This Row],[Column13]]/1048576,"")</f>
        <v/>
      </c>
      <c r="M429" s="168" t="str">
        <f>IF(ISNUMBER(namespace_raw[[#This Row],[Column10]]), (namespace_raw[[#This Row],[Column10]]*(1+$M$2)),"")</f>
        <v/>
      </c>
      <c r="N429" s="167" t="str">
        <f>IF(ISNUMBER(namespace_raw[[#This Row],[Column11]]), (namespace_raw[[#This Row],[Column11]]*(1+$N$2))/1048576,"")</f>
        <v/>
      </c>
      <c r="O429" s="169" t="str">
        <f>IF(ISNUMBER(namespace_raw[[#This Row],[Column8]]), (E429  * $O$2),"")</f>
        <v/>
      </c>
      <c r="P429" s="170" t="str">
        <f>IF(ISNUMBER(namespace_raw[[#This Row],[Column8]]), (F429  * $P$2),"")</f>
        <v/>
      </c>
    </row>
    <row r="430" spans="1:16" ht="15" customHeight="1" x14ac:dyDescent="0.25">
      <c r="A430" s="32" t="str">
        <f>IF(ISNONTEXT(namespace_raw[[#This Row],[Column1]]), "", namespace_raw[[#This Row],[Column1]])</f>
        <v/>
      </c>
      <c r="B430" s="33" t="str">
        <f>IF(ISNONTEXT(namespace_raw[[#This Row],[Column2]]), "", namespace_raw[[#This Row],[Column2]])</f>
        <v/>
      </c>
      <c r="C430" s="94" t="str">
        <f>IF(ISNUMBER(namespace_raw[[#This Row],[Column4]]), namespace_raw[[#This Row],[Column4]], "")</f>
        <v/>
      </c>
      <c r="D430" s="95" t="str">
        <f>IF(ISNUMBER(namespace_raw[[#This Row],[Column5]]), namespace_raw[[#This Row],[Column5]]/1048576, "")</f>
        <v/>
      </c>
      <c r="E430" s="95" t="str">
        <f>IF(ISNUMBER(namespace_raw[[#This Row],[Column6]]), namespace_raw[[#This Row],[Column6]],"")</f>
        <v/>
      </c>
      <c r="F430" s="96" t="str">
        <f>IF(ISNUMBER(namespace_raw[[#This Row],[Column7]]), namespace_raw[[#This Row],[Column7]]/1048576,"")</f>
        <v/>
      </c>
      <c r="G430" s="122" t="str">
        <f>IF(ISNUMBER(namespace_raw[[#This Row],[Column8]]), namespace_raw[[#This Row],[Column8]],"")</f>
        <v/>
      </c>
      <c r="H430" s="123" t="str">
        <f>IF(ISNUMBER(namespace_raw[[#This Row],[Column9]]), namespace_raw[[#This Row],[Column9]]/1048576,"")</f>
        <v/>
      </c>
      <c r="I430" s="124" t="str">
        <f>IF(ISNUMBER(namespace_raw[[#This Row],[Column8]]),MAX(G430, M430, O430, $I$2,IF(Q430&lt;&gt;"",VALUE(Q430),0)), "")</f>
        <v/>
      </c>
      <c r="J430" s="125" t="str">
        <f>IF(ISNUMBER(namespace_raw[[#This Row],[Column9]]),MAX(H430, N430, P430, $J$2,IF(R430&lt;&gt;"",VALUE(R430),0)),"")</f>
        <v/>
      </c>
      <c r="K430" s="166" t="str">
        <f>IF(ISNUMBER(namespace_raw[[#This Row],[Column12]]), namespace_raw[[#This Row],[Column12]],"")</f>
        <v/>
      </c>
      <c r="L430" s="167" t="str">
        <f>IF(ISNUMBER(namespace_raw[[#This Row],[Column13]]), namespace_raw[[#This Row],[Column13]]/1048576,"")</f>
        <v/>
      </c>
      <c r="M430" s="168" t="str">
        <f>IF(ISNUMBER(namespace_raw[[#This Row],[Column10]]), (namespace_raw[[#This Row],[Column10]]*(1+$M$2)),"")</f>
        <v/>
      </c>
      <c r="N430" s="167" t="str">
        <f>IF(ISNUMBER(namespace_raw[[#This Row],[Column11]]), (namespace_raw[[#This Row],[Column11]]*(1+$N$2))/1048576,"")</f>
        <v/>
      </c>
      <c r="O430" s="169" t="str">
        <f>IF(ISNUMBER(namespace_raw[[#This Row],[Column8]]), (E430  * $O$2),"")</f>
        <v/>
      </c>
      <c r="P430" s="170" t="str">
        <f>IF(ISNUMBER(namespace_raw[[#This Row],[Column8]]), (F430  * $P$2),"")</f>
        <v/>
      </c>
    </row>
    <row r="431" spans="1:16" ht="15" customHeight="1" x14ac:dyDescent="0.25">
      <c r="A431" s="32" t="str">
        <f>IF(ISNONTEXT(namespace_raw[[#This Row],[Column1]]), "", namespace_raw[[#This Row],[Column1]])</f>
        <v/>
      </c>
      <c r="B431" s="33" t="str">
        <f>IF(ISNONTEXT(namespace_raw[[#This Row],[Column2]]), "", namespace_raw[[#This Row],[Column2]])</f>
        <v/>
      </c>
      <c r="C431" s="94" t="str">
        <f>IF(ISNUMBER(namespace_raw[[#This Row],[Column4]]), namespace_raw[[#This Row],[Column4]], "")</f>
        <v/>
      </c>
      <c r="D431" s="95" t="str">
        <f>IF(ISNUMBER(namespace_raw[[#This Row],[Column5]]), namespace_raw[[#This Row],[Column5]]/1048576, "")</f>
        <v/>
      </c>
      <c r="E431" s="95" t="str">
        <f>IF(ISNUMBER(namespace_raw[[#This Row],[Column6]]), namespace_raw[[#This Row],[Column6]],"")</f>
        <v/>
      </c>
      <c r="F431" s="96" t="str">
        <f>IF(ISNUMBER(namespace_raw[[#This Row],[Column7]]), namespace_raw[[#This Row],[Column7]]/1048576,"")</f>
        <v/>
      </c>
      <c r="G431" s="122" t="str">
        <f>IF(ISNUMBER(namespace_raw[[#This Row],[Column8]]), namespace_raw[[#This Row],[Column8]],"")</f>
        <v/>
      </c>
      <c r="H431" s="123" t="str">
        <f>IF(ISNUMBER(namespace_raw[[#This Row],[Column9]]), namespace_raw[[#This Row],[Column9]]/1048576,"")</f>
        <v/>
      </c>
      <c r="I431" s="124" t="str">
        <f>IF(ISNUMBER(namespace_raw[[#This Row],[Column8]]),MAX(G431, M431, O431, $I$2,IF(Q431&lt;&gt;"",VALUE(Q431),0)), "")</f>
        <v/>
      </c>
      <c r="J431" s="125" t="str">
        <f>IF(ISNUMBER(namespace_raw[[#This Row],[Column9]]),MAX(H431, N431, P431, $J$2,IF(R431&lt;&gt;"",VALUE(R431),0)),"")</f>
        <v/>
      </c>
      <c r="K431" s="166" t="str">
        <f>IF(ISNUMBER(namespace_raw[[#This Row],[Column12]]), namespace_raw[[#This Row],[Column12]],"")</f>
        <v/>
      </c>
      <c r="L431" s="167" t="str">
        <f>IF(ISNUMBER(namespace_raw[[#This Row],[Column13]]), namespace_raw[[#This Row],[Column13]]/1048576,"")</f>
        <v/>
      </c>
      <c r="M431" s="168" t="str">
        <f>IF(ISNUMBER(namespace_raw[[#This Row],[Column10]]), (namespace_raw[[#This Row],[Column10]]*(1+$M$2)),"")</f>
        <v/>
      </c>
      <c r="N431" s="167" t="str">
        <f>IF(ISNUMBER(namespace_raw[[#This Row],[Column11]]), (namespace_raw[[#This Row],[Column11]]*(1+$N$2))/1048576,"")</f>
        <v/>
      </c>
      <c r="O431" s="169" t="str">
        <f>IF(ISNUMBER(namespace_raw[[#This Row],[Column8]]), (E431  * $O$2),"")</f>
        <v/>
      </c>
      <c r="P431" s="170" t="str">
        <f>IF(ISNUMBER(namespace_raw[[#This Row],[Column8]]), (F431  * $P$2),"")</f>
        <v/>
      </c>
    </row>
    <row r="432" spans="1:16" ht="15" customHeight="1" x14ac:dyDescent="0.25">
      <c r="A432" s="32" t="str">
        <f>IF(ISNONTEXT(namespace_raw[[#This Row],[Column1]]), "", namespace_raw[[#This Row],[Column1]])</f>
        <v/>
      </c>
      <c r="B432" s="33" t="str">
        <f>IF(ISNONTEXT(namespace_raw[[#This Row],[Column2]]), "", namespace_raw[[#This Row],[Column2]])</f>
        <v/>
      </c>
      <c r="C432" s="94" t="str">
        <f>IF(ISNUMBER(namespace_raw[[#This Row],[Column4]]), namespace_raw[[#This Row],[Column4]], "")</f>
        <v/>
      </c>
      <c r="D432" s="95" t="str">
        <f>IF(ISNUMBER(namespace_raw[[#This Row],[Column5]]), namespace_raw[[#This Row],[Column5]]/1048576, "")</f>
        <v/>
      </c>
      <c r="E432" s="95" t="str">
        <f>IF(ISNUMBER(namespace_raw[[#This Row],[Column6]]), namespace_raw[[#This Row],[Column6]],"")</f>
        <v/>
      </c>
      <c r="F432" s="96" t="str">
        <f>IF(ISNUMBER(namespace_raw[[#This Row],[Column7]]), namespace_raw[[#This Row],[Column7]]/1048576,"")</f>
        <v/>
      </c>
      <c r="G432" s="122" t="str">
        <f>IF(ISNUMBER(namespace_raw[[#This Row],[Column8]]), namespace_raw[[#This Row],[Column8]],"")</f>
        <v/>
      </c>
      <c r="H432" s="123" t="str">
        <f>IF(ISNUMBER(namespace_raw[[#This Row],[Column9]]), namespace_raw[[#This Row],[Column9]]/1048576,"")</f>
        <v/>
      </c>
      <c r="I432" s="124" t="str">
        <f>IF(ISNUMBER(namespace_raw[[#This Row],[Column8]]),MAX(G432, M432, O432, $I$2,IF(Q432&lt;&gt;"",VALUE(Q432),0)), "")</f>
        <v/>
      </c>
      <c r="J432" s="125" t="str">
        <f>IF(ISNUMBER(namespace_raw[[#This Row],[Column9]]),MAX(H432, N432, P432, $J$2,IF(R432&lt;&gt;"",VALUE(R432),0)),"")</f>
        <v/>
      </c>
      <c r="K432" s="166" t="str">
        <f>IF(ISNUMBER(namespace_raw[[#This Row],[Column12]]), namespace_raw[[#This Row],[Column12]],"")</f>
        <v/>
      </c>
      <c r="L432" s="167" t="str">
        <f>IF(ISNUMBER(namespace_raw[[#This Row],[Column13]]), namespace_raw[[#This Row],[Column13]]/1048576,"")</f>
        <v/>
      </c>
      <c r="M432" s="168" t="str">
        <f>IF(ISNUMBER(namespace_raw[[#This Row],[Column10]]), (namespace_raw[[#This Row],[Column10]]*(1+$M$2)),"")</f>
        <v/>
      </c>
      <c r="N432" s="167" t="str">
        <f>IF(ISNUMBER(namespace_raw[[#This Row],[Column11]]), (namespace_raw[[#This Row],[Column11]]*(1+$N$2))/1048576,"")</f>
        <v/>
      </c>
      <c r="O432" s="169" t="str">
        <f>IF(ISNUMBER(namespace_raw[[#This Row],[Column8]]), (E432  * $O$2),"")</f>
        <v/>
      </c>
      <c r="P432" s="170" t="str">
        <f>IF(ISNUMBER(namespace_raw[[#This Row],[Column8]]), (F432  * $P$2),"")</f>
        <v/>
      </c>
    </row>
    <row r="433" spans="1:16" ht="15" customHeight="1" x14ac:dyDescent="0.25">
      <c r="A433" s="32" t="str">
        <f>IF(ISNONTEXT(namespace_raw[[#This Row],[Column1]]), "", namespace_raw[[#This Row],[Column1]])</f>
        <v/>
      </c>
      <c r="B433" s="33" t="str">
        <f>IF(ISNONTEXT(namespace_raw[[#This Row],[Column2]]), "", namespace_raw[[#This Row],[Column2]])</f>
        <v/>
      </c>
      <c r="C433" s="94" t="str">
        <f>IF(ISNUMBER(namespace_raw[[#This Row],[Column4]]), namespace_raw[[#This Row],[Column4]], "")</f>
        <v/>
      </c>
      <c r="D433" s="95" t="str">
        <f>IF(ISNUMBER(namespace_raw[[#This Row],[Column5]]), namespace_raw[[#This Row],[Column5]]/1048576, "")</f>
        <v/>
      </c>
      <c r="E433" s="95" t="str">
        <f>IF(ISNUMBER(namespace_raw[[#This Row],[Column6]]), namespace_raw[[#This Row],[Column6]],"")</f>
        <v/>
      </c>
      <c r="F433" s="96" t="str">
        <f>IF(ISNUMBER(namespace_raw[[#This Row],[Column7]]), namespace_raw[[#This Row],[Column7]]/1048576,"")</f>
        <v/>
      </c>
      <c r="G433" s="122" t="str">
        <f>IF(ISNUMBER(namespace_raw[[#This Row],[Column8]]), namespace_raw[[#This Row],[Column8]],"")</f>
        <v/>
      </c>
      <c r="H433" s="123" t="str">
        <f>IF(ISNUMBER(namespace_raw[[#This Row],[Column9]]), namespace_raw[[#This Row],[Column9]]/1048576,"")</f>
        <v/>
      </c>
      <c r="I433" s="124" t="str">
        <f>IF(ISNUMBER(namespace_raw[[#This Row],[Column8]]),MAX(G433, M433, O433, $I$2,IF(Q433&lt;&gt;"",VALUE(Q433),0)), "")</f>
        <v/>
      </c>
      <c r="J433" s="125" t="str">
        <f>IF(ISNUMBER(namespace_raw[[#This Row],[Column9]]),MAX(H433, N433, P433, $J$2,IF(R433&lt;&gt;"",VALUE(R433),0)),"")</f>
        <v/>
      </c>
      <c r="K433" s="166" t="str">
        <f>IF(ISNUMBER(namespace_raw[[#This Row],[Column12]]), namespace_raw[[#This Row],[Column12]],"")</f>
        <v/>
      </c>
      <c r="L433" s="167" t="str">
        <f>IF(ISNUMBER(namespace_raw[[#This Row],[Column13]]), namespace_raw[[#This Row],[Column13]]/1048576,"")</f>
        <v/>
      </c>
      <c r="M433" s="168" t="str">
        <f>IF(ISNUMBER(namespace_raw[[#This Row],[Column10]]), (namespace_raw[[#This Row],[Column10]]*(1+$M$2)),"")</f>
        <v/>
      </c>
      <c r="N433" s="167" t="str">
        <f>IF(ISNUMBER(namespace_raw[[#This Row],[Column11]]), (namespace_raw[[#This Row],[Column11]]*(1+$N$2))/1048576,"")</f>
        <v/>
      </c>
      <c r="O433" s="169" t="str">
        <f>IF(ISNUMBER(namespace_raw[[#This Row],[Column8]]), (E433  * $O$2),"")</f>
        <v/>
      </c>
      <c r="P433" s="170" t="str">
        <f>IF(ISNUMBER(namespace_raw[[#This Row],[Column8]]), (F433  * $P$2),"")</f>
        <v/>
      </c>
    </row>
    <row r="434" spans="1:16" ht="15" customHeight="1" x14ac:dyDescent="0.25">
      <c r="A434" s="32" t="str">
        <f>IF(ISNONTEXT(namespace_raw[[#This Row],[Column1]]), "", namespace_raw[[#This Row],[Column1]])</f>
        <v/>
      </c>
      <c r="B434" s="33" t="str">
        <f>IF(ISNONTEXT(namespace_raw[[#This Row],[Column2]]), "", namespace_raw[[#This Row],[Column2]])</f>
        <v/>
      </c>
      <c r="C434" s="94" t="str">
        <f>IF(ISNUMBER(namespace_raw[[#This Row],[Column4]]), namespace_raw[[#This Row],[Column4]], "")</f>
        <v/>
      </c>
      <c r="D434" s="95" t="str">
        <f>IF(ISNUMBER(namespace_raw[[#This Row],[Column5]]), namespace_raw[[#This Row],[Column5]]/1048576, "")</f>
        <v/>
      </c>
      <c r="E434" s="95" t="str">
        <f>IF(ISNUMBER(namespace_raw[[#This Row],[Column6]]), namespace_raw[[#This Row],[Column6]],"")</f>
        <v/>
      </c>
      <c r="F434" s="96" t="str">
        <f>IF(ISNUMBER(namespace_raw[[#This Row],[Column7]]), namespace_raw[[#This Row],[Column7]]/1048576,"")</f>
        <v/>
      </c>
      <c r="G434" s="122" t="str">
        <f>IF(ISNUMBER(namespace_raw[[#This Row],[Column8]]), namespace_raw[[#This Row],[Column8]],"")</f>
        <v/>
      </c>
      <c r="H434" s="123" t="str">
        <f>IF(ISNUMBER(namespace_raw[[#This Row],[Column9]]), namespace_raw[[#This Row],[Column9]]/1048576,"")</f>
        <v/>
      </c>
      <c r="I434" s="124" t="str">
        <f>IF(ISNUMBER(namespace_raw[[#This Row],[Column8]]),MAX(G434, M434, O434, $I$2,IF(Q434&lt;&gt;"",VALUE(Q434),0)), "")</f>
        <v/>
      </c>
      <c r="J434" s="125" t="str">
        <f>IF(ISNUMBER(namespace_raw[[#This Row],[Column9]]),MAX(H434, N434, P434, $J$2,IF(R434&lt;&gt;"",VALUE(R434),0)),"")</f>
        <v/>
      </c>
      <c r="K434" s="166" t="str">
        <f>IF(ISNUMBER(namespace_raw[[#This Row],[Column12]]), namespace_raw[[#This Row],[Column12]],"")</f>
        <v/>
      </c>
      <c r="L434" s="167" t="str">
        <f>IF(ISNUMBER(namespace_raw[[#This Row],[Column13]]), namespace_raw[[#This Row],[Column13]]/1048576,"")</f>
        <v/>
      </c>
      <c r="M434" s="168" t="str">
        <f>IF(ISNUMBER(namespace_raw[[#This Row],[Column10]]), (namespace_raw[[#This Row],[Column10]]*(1+$M$2)),"")</f>
        <v/>
      </c>
      <c r="N434" s="167" t="str">
        <f>IF(ISNUMBER(namespace_raw[[#This Row],[Column11]]), (namespace_raw[[#This Row],[Column11]]*(1+$N$2))/1048576,"")</f>
        <v/>
      </c>
      <c r="O434" s="169" t="str">
        <f>IF(ISNUMBER(namespace_raw[[#This Row],[Column8]]), (E434  * $O$2),"")</f>
        <v/>
      </c>
      <c r="P434" s="170" t="str">
        <f>IF(ISNUMBER(namespace_raw[[#This Row],[Column8]]), (F434  * $P$2),"")</f>
        <v/>
      </c>
    </row>
    <row r="435" spans="1:16" ht="15" customHeight="1" x14ac:dyDescent="0.25">
      <c r="A435" s="32" t="str">
        <f>IF(ISNONTEXT(namespace_raw[[#This Row],[Column1]]), "", namespace_raw[[#This Row],[Column1]])</f>
        <v/>
      </c>
      <c r="B435" s="33" t="str">
        <f>IF(ISNONTEXT(namespace_raw[[#This Row],[Column2]]), "", namespace_raw[[#This Row],[Column2]])</f>
        <v/>
      </c>
      <c r="C435" s="94" t="str">
        <f>IF(ISNUMBER(namespace_raw[[#This Row],[Column4]]), namespace_raw[[#This Row],[Column4]], "")</f>
        <v/>
      </c>
      <c r="D435" s="95" t="str">
        <f>IF(ISNUMBER(namespace_raw[[#This Row],[Column5]]), namespace_raw[[#This Row],[Column5]]/1048576, "")</f>
        <v/>
      </c>
      <c r="E435" s="95" t="str">
        <f>IF(ISNUMBER(namespace_raw[[#This Row],[Column6]]), namespace_raw[[#This Row],[Column6]],"")</f>
        <v/>
      </c>
      <c r="F435" s="96" t="str">
        <f>IF(ISNUMBER(namespace_raw[[#This Row],[Column7]]), namespace_raw[[#This Row],[Column7]]/1048576,"")</f>
        <v/>
      </c>
      <c r="G435" s="122" t="str">
        <f>IF(ISNUMBER(namespace_raw[[#This Row],[Column8]]), namespace_raw[[#This Row],[Column8]],"")</f>
        <v/>
      </c>
      <c r="H435" s="123" t="str">
        <f>IF(ISNUMBER(namespace_raw[[#This Row],[Column9]]), namespace_raw[[#This Row],[Column9]]/1048576,"")</f>
        <v/>
      </c>
      <c r="I435" s="124" t="str">
        <f>IF(ISNUMBER(namespace_raw[[#This Row],[Column8]]),MAX(G435, M435, O435, $I$2,IF(Q435&lt;&gt;"",VALUE(Q435),0)), "")</f>
        <v/>
      </c>
      <c r="J435" s="125" t="str">
        <f>IF(ISNUMBER(namespace_raw[[#This Row],[Column9]]),MAX(H435, N435, P435, $J$2,IF(R435&lt;&gt;"",VALUE(R435),0)),"")</f>
        <v/>
      </c>
      <c r="K435" s="166" t="str">
        <f>IF(ISNUMBER(namespace_raw[[#This Row],[Column12]]), namespace_raw[[#This Row],[Column12]],"")</f>
        <v/>
      </c>
      <c r="L435" s="167" t="str">
        <f>IF(ISNUMBER(namespace_raw[[#This Row],[Column13]]), namespace_raw[[#This Row],[Column13]]/1048576,"")</f>
        <v/>
      </c>
      <c r="M435" s="168" t="str">
        <f>IF(ISNUMBER(namespace_raw[[#This Row],[Column10]]), (namespace_raw[[#This Row],[Column10]]*(1+$M$2)),"")</f>
        <v/>
      </c>
      <c r="N435" s="167" t="str">
        <f>IF(ISNUMBER(namespace_raw[[#This Row],[Column11]]), (namespace_raw[[#This Row],[Column11]]*(1+$N$2))/1048576,"")</f>
        <v/>
      </c>
      <c r="O435" s="169" t="str">
        <f>IF(ISNUMBER(namespace_raw[[#This Row],[Column8]]), (E435  * $O$2),"")</f>
        <v/>
      </c>
      <c r="P435" s="170" t="str">
        <f>IF(ISNUMBER(namespace_raw[[#This Row],[Column8]]), (F435  * $P$2),"")</f>
        <v/>
      </c>
    </row>
    <row r="436" spans="1:16" ht="15" customHeight="1" x14ac:dyDescent="0.25">
      <c r="A436" s="32" t="str">
        <f>IF(ISNONTEXT(namespace_raw[[#This Row],[Column1]]), "", namespace_raw[[#This Row],[Column1]])</f>
        <v/>
      </c>
      <c r="B436" s="33" t="str">
        <f>IF(ISNONTEXT(namespace_raw[[#This Row],[Column2]]), "", namespace_raw[[#This Row],[Column2]])</f>
        <v/>
      </c>
      <c r="C436" s="94" t="str">
        <f>IF(ISNUMBER(namespace_raw[[#This Row],[Column4]]), namespace_raw[[#This Row],[Column4]], "")</f>
        <v/>
      </c>
      <c r="D436" s="95" t="str">
        <f>IF(ISNUMBER(namespace_raw[[#This Row],[Column5]]), namespace_raw[[#This Row],[Column5]]/1048576, "")</f>
        <v/>
      </c>
      <c r="E436" s="95" t="str">
        <f>IF(ISNUMBER(namespace_raw[[#This Row],[Column6]]), namespace_raw[[#This Row],[Column6]],"")</f>
        <v/>
      </c>
      <c r="F436" s="96" t="str">
        <f>IF(ISNUMBER(namespace_raw[[#This Row],[Column7]]), namespace_raw[[#This Row],[Column7]]/1048576,"")</f>
        <v/>
      </c>
      <c r="G436" s="122" t="str">
        <f>IF(ISNUMBER(namespace_raw[[#This Row],[Column8]]), namespace_raw[[#This Row],[Column8]],"")</f>
        <v/>
      </c>
      <c r="H436" s="123" t="str">
        <f>IF(ISNUMBER(namespace_raw[[#This Row],[Column9]]), namespace_raw[[#This Row],[Column9]]/1048576,"")</f>
        <v/>
      </c>
      <c r="I436" s="124" t="str">
        <f>IF(ISNUMBER(namespace_raw[[#This Row],[Column8]]),MAX(G436, M436, O436, $I$2,IF(Q436&lt;&gt;"",VALUE(Q436),0)), "")</f>
        <v/>
      </c>
      <c r="J436" s="125" t="str">
        <f>IF(ISNUMBER(namespace_raw[[#This Row],[Column9]]),MAX(H436, N436, P436, $J$2,IF(R436&lt;&gt;"",VALUE(R436),0)),"")</f>
        <v/>
      </c>
      <c r="K436" s="166" t="str">
        <f>IF(ISNUMBER(namespace_raw[[#This Row],[Column12]]), namespace_raw[[#This Row],[Column12]],"")</f>
        <v/>
      </c>
      <c r="L436" s="167" t="str">
        <f>IF(ISNUMBER(namespace_raw[[#This Row],[Column13]]), namespace_raw[[#This Row],[Column13]]/1048576,"")</f>
        <v/>
      </c>
      <c r="M436" s="168" t="str">
        <f>IF(ISNUMBER(namespace_raw[[#This Row],[Column10]]), (namespace_raw[[#This Row],[Column10]]*(1+$M$2)),"")</f>
        <v/>
      </c>
      <c r="N436" s="167" t="str">
        <f>IF(ISNUMBER(namespace_raw[[#This Row],[Column11]]), (namespace_raw[[#This Row],[Column11]]*(1+$N$2))/1048576,"")</f>
        <v/>
      </c>
      <c r="O436" s="169" t="str">
        <f>IF(ISNUMBER(namespace_raw[[#This Row],[Column8]]), (E436  * $O$2),"")</f>
        <v/>
      </c>
      <c r="P436" s="170" t="str">
        <f>IF(ISNUMBER(namespace_raw[[#This Row],[Column8]]), (F436  * $P$2),"")</f>
        <v/>
      </c>
    </row>
    <row r="437" spans="1:16" ht="15" customHeight="1" x14ac:dyDescent="0.25">
      <c r="A437" s="32" t="str">
        <f>IF(ISNONTEXT(namespace_raw[[#This Row],[Column1]]), "", namespace_raw[[#This Row],[Column1]])</f>
        <v/>
      </c>
      <c r="B437" s="33" t="str">
        <f>IF(ISNONTEXT(namespace_raw[[#This Row],[Column2]]), "", namespace_raw[[#This Row],[Column2]])</f>
        <v/>
      </c>
      <c r="C437" s="94" t="str">
        <f>IF(ISNUMBER(namespace_raw[[#This Row],[Column4]]), namespace_raw[[#This Row],[Column4]], "")</f>
        <v/>
      </c>
      <c r="D437" s="95" t="str">
        <f>IF(ISNUMBER(namespace_raw[[#This Row],[Column5]]), namespace_raw[[#This Row],[Column5]]/1048576, "")</f>
        <v/>
      </c>
      <c r="E437" s="95" t="str">
        <f>IF(ISNUMBER(namespace_raw[[#This Row],[Column6]]), namespace_raw[[#This Row],[Column6]],"")</f>
        <v/>
      </c>
      <c r="F437" s="96" t="str">
        <f>IF(ISNUMBER(namespace_raw[[#This Row],[Column7]]), namespace_raw[[#This Row],[Column7]]/1048576,"")</f>
        <v/>
      </c>
      <c r="G437" s="122" t="str">
        <f>IF(ISNUMBER(namespace_raw[[#This Row],[Column8]]), namespace_raw[[#This Row],[Column8]],"")</f>
        <v/>
      </c>
      <c r="H437" s="123" t="str">
        <f>IF(ISNUMBER(namespace_raw[[#This Row],[Column9]]), namespace_raw[[#This Row],[Column9]]/1048576,"")</f>
        <v/>
      </c>
      <c r="I437" s="124" t="str">
        <f>IF(ISNUMBER(namespace_raw[[#This Row],[Column8]]),MAX(G437, M437, O437, $I$2,IF(Q437&lt;&gt;"",VALUE(Q437),0)), "")</f>
        <v/>
      </c>
      <c r="J437" s="125" t="str">
        <f>IF(ISNUMBER(namespace_raw[[#This Row],[Column9]]),MAX(H437, N437, P437, $J$2,IF(R437&lt;&gt;"",VALUE(R437),0)),"")</f>
        <v/>
      </c>
      <c r="K437" s="166" t="str">
        <f>IF(ISNUMBER(namespace_raw[[#This Row],[Column12]]), namespace_raw[[#This Row],[Column12]],"")</f>
        <v/>
      </c>
      <c r="L437" s="167" t="str">
        <f>IF(ISNUMBER(namespace_raw[[#This Row],[Column13]]), namespace_raw[[#This Row],[Column13]]/1048576,"")</f>
        <v/>
      </c>
      <c r="M437" s="168" t="str">
        <f>IF(ISNUMBER(namespace_raw[[#This Row],[Column10]]), (namespace_raw[[#This Row],[Column10]]*(1+$M$2)),"")</f>
        <v/>
      </c>
      <c r="N437" s="167" t="str">
        <f>IF(ISNUMBER(namespace_raw[[#This Row],[Column11]]), (namespace_raw[[#This Row],[Column11]]*(1+$N$2))/1048576,"")</f>
        <v/>
      </c>
      <c r="O437" s="169" t="str">
        <f>IF(ISNUMBER(namespace_raw[[#This Row],[Column8]]), (E437  * $O$2),"")</f>
        <v/>
      </c>
      <c r="P437" s="170" t="str">
        <f>IF(ISNUMBER(namespace_raw[[#This Row],[Column8]]), (F437  * $P$2),"")</f>
        <v/>
      </c>
    </row>
    <row r="438" spans="1:16" ht="15" customHeight="1" x14ac:dyDescent="0.25">
      <c r="A438" s="32" t="str">
        <f>IF(ISNONTEXT(namespace_raw[[#This Row],[Column1]]), "", namespace_raw[[#This Row],[Column1]])</f>
        <v/>
      </c>
      <c r="B438" s="33" t="str">
        <f>IF(ISNONTEXT(namespace_raw[[#This Row],[Column2]]), "", namespace_raw[[#This Row],[Column2]])</f>
        <v/>
      </c>
      <c r="C438" s="94" t="str">
        <f>IF(ISNUMBER(namespace_raw[[#This Row],[Column4]]), namespace_raw[[#This Row],[Column4]], "")</f>
        <v/>
      </c>
      <c r="D438" s="95" t="str">
        <f>IF(ISNUMBER(namespace_raw[[#This Row],[Column5]]), namespace_raw[[#This Row],[Column5]]/1048576, "")</f>
        <v/>
      </c>
      <c r="E438" s="95" t="str">
        <f>IF(ISNUMBER(namespace_raw[[#This Row],[Column6]]), namespace_raw[[#This Row],[Column6]],"")</f>
        <v/>
      </c>
      <c r="F438" s="96" t="str">
        <f>IF(ISNUMBER(namespace_raw[[#This Row],[Column7]]), namespace_raw[[#This Row],[Column7]]/1048576,"")</f>
        <v/>
      </c>
      <c r="G438" s="122" t="str">
        <f>IF(ISNUMBER(namespace_raw[[#This Row],[Column8]]), namespace_raw[[#This Row],[Column8]],"")</f>
        <v/>
      </c>
      <c r="H438" s="123" t="str">
        <f>IF(ISNUMBER(namespace_raw[[#This Row],[Column9]]), namespace_raw[[#This Row],[Column9]]/1048576,"")</f>
        <v/>
      </c>
      <c r="I438" s="124" t="str">
        <f>IF(ISNUMBER(namespace_raw[[#This Row],[Column8]]),MAX(G438, M438, O438, $I$2,IF(Q438&lt;&gt;"",VALUE(Q438),0)), "")</f>
        <v/>
      </c>
      <c r="J438" s="125" t="str">
        <f>IF(ISNUMBER(namespace_raw[[#This Row],[Column9]]),MAX(H438, N438, P438, $J$2,IF(R438&lt;&gt;"",VALUE(R438),0)),"")</f>
        <v/>
      </c>
      <c r="K438" s="166" t="str">
        <f>IF(ISNUMBER(namespace_raw[[#This Row],[Column12]]), namespace_raw[[#This Row],[Column12]],"")</f>
        <v/>
      </c>
      <c r="L438" s="167" t="str">
        <f>IF(ISNUMBER(namespace_raw[[#This Row],[Column13]]), namespace_raw[[#This Row],[Column13]]/1048576,"")</f>
        <v/>
      </c>
      <c r="M438" s="168" t="str">
        <f>IF(ISNUMBER(namespace_raw[[#This Row],[Column10]]), (namespace_raw[[#This Row],[Column10]]*(1+$M$2)),"")</f>
        <v/>
      </c>
      <c r="N438" s="167" t="str">
        <f>IF(ISNUMBER(namespace_raw[[#This Row],[Column11]]), (namespace_raw[[#This Row],[Column11]]*(1+$N$2))/1048576,"")</f>
        <v/>
      </c>
      <c r="O438" s="169" t="str">
        <f>IF(ISNUMBER(namespace_raw[[#This Row],[Column8]]), (E438  * $O$2),"")</f>
        <v/>
      </c>
      <c r="P438" s="170" t="str">
        <f>IF(ISNUMBER(namespace_raw[[#This Row],[Column8]]), (F438  * $P$2),"")</f>
        <v/>
      </c>
    </row>
    <row r="439" spans="1:16" ht="15" customHeight="1" x14ac:dyDescent="0.25">
      <c r="A439" s="32" t="str">
        <f>IF(ISNONTEXT(namespace_raw[[#This Row],[Column1]]), "", namespace_raw[[#This Row],[Column1]])</f>
        <v/>
      </c>
      <c r="B439" s="33" t="str">
        <f>IF(ISNONTEXT(namespace_raw[[#This Row],[Column2]]), "", namespace_raw[[#This Row],[Column2]])</f>
        <v/>
      </c>
      <c r="C439" s="94" t="str">
        <f>IF(ISNUMBER(namespace_raw[[#This Row],[Column4]]), namespace_raw[[#This Row],[Column4]], "")</f>
        <v/>
      </c>
      <c r="D439" s="95" t="str">
        <f>IF(ISNUMBER(namespace_raw[[#This Row],[Column5]]), namespace_raw[[#This Row],[Column5]]/1048576, "")</f>
        <v/>
      </c>
      <c r="E439" s="95" t="str">
        <f>IF(ISNUMBER(namespace_raw[[#This Row],[Column6]]), namespace_raw[[#This Row],[Column6]],"")</f>
        <v/>
      </c>
      <c r="F439" s="96" t="str">
        <f>IF(ISNUMBER(namespace_raw[[#This Row],[Column7]]), namespace_raw[[#This Row],[Column7]]/1048576,"")</f>
        <v/>
      </c>
      <c r="G439" s="122" t="str">
        <f>IF(ISNUMBER(namespace_raw[[#This Row],[Column8]]), namespace_raw[[#This Row],[Column8]],"")</f>
        <v/>
      </c>
      <c r="H439" s="123" t="str">
        <f>IF(ISNUMBER(namespace_raw[[#This Row],[Column9]]), namespace_raw[[#This Row],[Column9]]/1048576,"")</f>
        <v/>
      </c>
      <c r="I439" s="124" t="str">
        <f>IF(ISNUMBER(namespace_raw[[#This Row],[Column8]]),MAX(G439, M439, O439, $I$2,IF(Q439&lt;&gt;"",VALUE(Q439),0)), "")</f>
        <v/>
      </c>
      <c r="J439" s="125" t="str">
        <f>IF(ISNUMBER(namespace_raw[[#This Row],[Column9]]),MAX(H439, N439, P439, $J$2,IF(R439&lt;&gt;"",VALUE(R439),0)),"")</f>
        <v/>
      </c>
      <c r="K439" s="166" t="str">
        <f>IF(ISNUMBER(namespace_raw[[#This Row],[Column12]]), namespace_raw[[#This Row],[Column12]],"")</f>
        <v/>
      </c>
      <c r="L439" s="167" t="str">
        <f>IF(ISNUMBER(namespace_raw[[#This Row],[Column13]]), namespace_raw[[#This Row],[Column13]]/1048576,"")</f>
        <v/>
      </c>
      <c r="M439" s="168" t="str">
        <f>IF(ISNUMBER(namespace_raw[[#This Row],[Column10]]), (namespace_raw[[#This Row],[Column10]]*(1+$M$2)),"")</f>
        <v/>
      </c>
      <c r="N439" s="167" t="str">
        <f>IF(ISNUMBER(namespace_raw[[#This Row],[Column11]]), (namespace_raw[[#This Row],[Column11]]*(1+$N$2))/1048576,"")</f>
        <v/>
      </c>
      <c r="O439" s="169" t="str">
        <f>IF(ISNUMBER(namespace_raw[[#This Row],[Column8]]), (E439  * $O$2),"")</f>
        <v/>
      </c>
      <c r="P439" s="170" t="str">
        <f>IF(ISNUMBER(namespace_raw[[#This Row],[Column8]]), (F439  * $P$2),"")</f>
        <v/>
      </c>
    </row>
    <row r="440" spans="1:16" ht="15" customHeight="1" x14ac:dyDescent="0.25">
      <c r="A440" s="32" t="str">
        <f>IF(ISNONTEXT(namespace_raw[[#This Row],[Column1]]), "", namespace_raw[[#This Row],[Column1]])</f>
        <v/>
      </c>
      <c r="B440" s="33" t="str">
        <f>IF(ISNONTEXT(namespace_raw[[#This Row],[Column2]]), "", namespace_raw[[#This Row],[Column2]])</f>
        <v/>
      </c>
      <c r="C440" s="94" t="str">
        <f>IF(ISNUMBER(namespace_raw[[#This Row],[Column4]]), namespace_raw[[#This Row],[Column4]], "")</f>
        <v/>
      </c>
      <c r="D440" s="95" t="str">
        <f>IF(ISNUMBER(namespace_raw[[#This Row],[Column5]]), namespace_raw[[#This Row],[Column5]]/1048576, "")</f>
        <v/>
      </c>
      <c r="E440" s="95" t="str">
        <f>IF(ISNUMBER(namespace_raw[[#This Row],[Column6]]), namespace_raw[[#This Row],[Column6]],"")</f>
        <v/>
      </c>
      <c r="F440" s="96" t="str">
        <f>IF(ISNUMBER(namespace_raw[[#This Row],[Column7]]), namespace_raw[[#This Row],[Column7]]/1048576,"")</f>
        <v/>
      </c>
      <c r="G440" s="122" t="str">
        <f>IF(ISNUMBER(namespace_raw[[#This Row],[Column8]]), namespace_raw[[#This Row],[Column8]],"")</f>
        <v/>
      </c>
      <c r="H440" s="123" t="str">
        <f>IF(ISNUMBER(namespace_raw[[#This Row],[Column9]]), namespace_raw[[#This Row],[Column9]]/1048576,"")</f>
        <v/>
      </c>
      <c r="I440" s="124" t="str">
        <f>IF(ISNUMBER(namespace_raw[[#This Row],[Column8]]),MAX(G440, M440, O440, $I$2,IF(Q440&lt;&gt;"",VALUE(Q440),0)), "")</f>
        <v/>
      </c>
      <c r="J440" s="125" t="str">
        <f>IF(ISNUMBER(namespace_raw[[#This Row],[Column9]]),MAX(H440, N440, P440, $J$2,IF(R440&lt;&gt;"",VALUE(R440),0)),"")</f>
        <v/>
      </c>
      <c r="K440" s="166" t="str">
        <f>IF(ISNUMBER(namespace_raw[[#This Row],[Column12]]), namespace_raw[[#This Row],[Column12]],"")</f>
        <v/>
      </c>
      <c r="L440" s="167" t="str">
        <f>IF(ISNUMBER(namespace_raw[[#This Row],[Column13]]), namespace_raw[[#This Row],[Column13]]/1048576,"")</f>
        <v/>
      </c>
      <c r="M440" s="168" t="str">
        <f>IF(ISNUMBER(namespace_raw[[#This Row],[Column10]]), (namespace_raw[[#This Row],[Column10]]*(1+$M$2)),"")</f>
        <v/>
      </c>
      <c r="N440" s="167" t="str">
        <f>IF(ISNUMBER(namespace_raw[[#This Row],[Column11]]), (namespace_raw[[#This Row],[Column11]]*(1+$N$2))/1048576,"")</f>
        <v/>
      </c>
      <c r="O440" s="169" t="str">
        <f>IF(ISNUMBER(namespace_raw[[#This Row],[Column8]]), (E440  * $O$2),"")</f>
        <v/>
      </c>
      <c r="P440" s="170" t="str">
        <f>IF(ISNUMBER(namespace_raw[[#This Row],[Column8]]), (F440  * $P$2),"")</f>
        <v/>
      </c>
    </row>
    <row r="441" spans="1:16" ht="15" customHeight="1" x14ac:dyDescent="0.25">
      <c r="A441" s="32" t="str">
        <f>IF(ISNONTEXT(namespace_raw[[#This Row],[Column1]]), "", namespace_raw[[#This Row],[Column1]])</f>
        <v/>
      </c>
      <c r="B441" s="33" t="str">
        <f>IF(ISNONTEXT(namespace_raw[[#This Row],[Column2]]), "", namespace_raw[[#This Row],[Column2]])</f>
        <v/>
      </c>
      <c r="C441" s="94" t="str">
        <f>IF(ISNUMBER(namespace_raw[[#This Row],[Column4]]), namespace_raw[[#This Row],[Column4]], "")</f>
        <v/>
      </c>
      <c r="D441" s="95" t="str">
        <f>IF(ISNUMBER(namespace_raw[[#This Row],[Column5]]), namespace_raw[[#This Row],[Column5]]/1048576, "")</f>
        <v/>
      </c>
      <c r="E441" s="95" t="str">
        <f>IF(ISNUMBER(namespace_raw[[#This Row],[Column6]]), namespace_raw[[#This Row],[Column6]],"")</f>
        <v/>
      </c>
      <c r="F441" s="96" t="str">
        <f>IF(ISNUMBER(namespace_raw[[#This Row],[Column7]]), namespace_raw[[#This Row],[Column7]]/1048576,"")</f>
        <v/>
      </c>
      <c r="G441" s="122" t="str">
        <f>IF(ISNUMBER(namespace_raw[[#This Row],[Column8]]), namespace_raw[[#This Row],[Column8]],"")</f>
        <v/>
      </c>
      <c r="H441" s="123" t="str">
        <f>IF(ISNUMBER(namespace_raw[[#This Row],[Column9]]), namespace_raw[[#This Row],[Column9]]/1048576,"")</f>
        <v/>
      </c>
      <c r="I441" s="124" t="str">
        <f>IF(ISNUMBER(namespace_raw[[#This Row],[Column8]]),MAX(G441, M441, O441, $I$2,IF(Q441&lt;&gt;"",VALUE(Q441),0)), "")</f>
        <v/>
      </c>
      <c r="J441" s="125" t="str">
        <f>IF(ISNUMBER(namespace_raw[[#This Row],[Column9]]),MAX(H441, N441, P441, $J$2,IF(R441&lt;&gt;"",VALUE(R441),0)),"")</f>
        <v/>
      </c>
      <c r="K441" s="166" t="str">
        <f>IF(ISNUMBER(namespace_raw[[#This Row],[Column12]]), namespace_raw[[#This Row],[Column12]],"")</f>
        <v/>
      </c>
      <c r="L441" s="167" t="str">
        <f>IF(ISNUMBER(namespace_raw[[#This Row],[Column13]]), namespace_raw[[#This Row],[Column13]]/1048576,"")</f>
        <v/>
      </c>
      <c r="M441" s="168" t="str">
        <f>IF(ISNUMBER(namespace_raw[[#This Row],[Column10]]), (namespace_raw[[#This Row],[Column10]]*(1+$M$2)),"")</f>
        <v/>
      </c>
      <c r="N441" s="167" t="str">
        <f>IF(ISNUMBER(namespace_raw[[#This Row],[Column11]]), (namespace_raw[[#This Row],[Column11]]*(1+$N$2))/1048576,"")</f>
        <v/>
      </c>
      <c r="O441" s="169" t="str">
        <f>IF(ISNUMBER(namespace_raw[[#This Row],[Column8]]), (E441  * $O$2),"")</f>
        <v/>
      </c>
      <c r="P441" s="170" t="str">
        <f>IF(ISNUMBER(namespace_raw[[#This Row],[Column8]]), (F441  * $P$2),"")</f>
        <v/>
      </c>
    </row>
    <row r="442" spans="1:16" ht="15" customHeight="1" x14ac:dyDescent="0.25">
      <c r="A442" s="32" t="str">
        <f>IF(ISNONTEXT(namespace_raw[[#This Row],[Column1]]), "", namespace_raw[[#This Row],[Column1]])</f>
        <v/>
      </c>
      <c r="B442" s="33" t="str">
        <f>IF(ISNONTEXT(namespace_raw[[#This Row],[Column2]]), "", namespace_raw[[#This Row],[Column2]])</f>
        <v/>
      </c>
      <c r="C442" s="94" t="str">
        <f>IF(ISNUMBER(namespace_raw[[#This Row],[Column4]]), namespace_raw[[#This Row],[Column4]], "")</f>
        <v/>
      </c>
      <c r="D442" s="95" t="str">
        <f>IF(ISNUMBER(namespace_raw[[#This Row],[Column5]]), namespace_raw[[#This Row],[Column5]]/1048576, "")</f>
        <v/>
      </c>
      <c r="E442" s="95" t="str">
        <f>IF(ISNUMBER(namespace_raw[[#This Row],[Column6]]), namespace_raw[[#This Row],[Column6]],"")</f>
        <v/>
      </c>
      <c r="F442" s="96" t="str">
        <f>IF(ISNUMBER(namespace_raw[[#This Row],[Column7]]), namespace_raw[[#This Row],[Column7]]/1048576,"")</f>
        <v/>
      </c>
      <c r="G442" s="122" t="str">
        <f>IF(ISNUMBER(namespace_raw[[#This Row],[Column8]]), namespace_raw[[#This Row],[Column8]],"")</f>
        <v/>
      </c>
      <c r="H442" s="123" t="str">
        <f>IF(ISNUMBER(namespace_raw[[#This Row],[Column9]]), namespace_raw[[#This Row],[Column9]]/1048576,"")</f>
        <v/>
      </c>
      <c r="I442" s="124" t="str">
        <f>IF(ISNUMBER(namespace_raw[[#This Row],[Column8]]),MAX(G442, M442, O442, $I$2,IF(Q442&lt;&gt;"",VALUE(Q442),0)), "")</f>
        <v/>
      </c>
      <c r="J442" s="125" t="str">
        <f>IF(ISNUMBER(namespace_raw[[#This Row],[Column9]]),MAX(H442, N442, P442, $J$2,IF(R442&lt;&gt;"",VALUE(R442),0)),"")</f>
        <v/>
      </c>
      <c r="K442" s="166" t="str">
        <f>IF(ISNUMBER(namespace_raw[[#This Row],[Column12]]), namespace_raw[[#This Row],[Column12]],"")</f>
        <v/>
      </c>
      <c r="L442" s="167" t="str">
        <f>IF(ISNUMBER(namespace_raw[[#This Row],[Column13]]), namespace_raw[[#This Row],[Column13]]/1048576,"")</f>
        <v/>
      </c>
      <c r="M442" s="168" t="str">
        <f>IF(ISNUMBER(namespace_raw[[#This Row],[Column10]]), (namespace_raw[[#This Row],[Column10]]*(1+$M$2)),"")</f>
        <v/>
      </c>
      <c r="N442" s="167" t="str">
        <f>IF(ISNUMBER(namespace_raw[[#This Row],[Column11]]), (namespace_raw[[#This Row],[Column11]]*(1+$N$2))/1048576,"")</f>
        <v/>
      </c>
      <c r="O442" s="169" t="str">
        <f>IF(ISNUMBER(namespace_raw[[#This Row],[Column8]]), (E442  * $O$2),"")</f>
        <v/>
      </c>
      <c r="P442" s="170" t="str">
        <f>IF(ISNUMBER(namespace_raw[[#This Row],[Column8]]), (F442  * $P$2),"")</f>
        <v/>
      </c>
    </row>
    <row r="443" spans="1:16" ht="15" customHeight="1" x14ac:dyDescent="0.25">
      <c r="A443" s="32" t="str">
        <f>IF(ISNONTEXT(namespace_raw[[#This Row],[Column1]]), "", namespace_raw[[#This Row],[Column1]])</f>
        <v/>
      </c>
      <c r="B443" s="33" t="str">
        <f>IF(ISNONTEXT(namespace_raw[[#This Row],[Column2]]), "", namespace_raw[[#This Row],[Column2]])</f>
        <v/>
      </c>
      <c r="C443" s="94" t="str">
        <f>IF(ISNUMBER(namespace_raw[[#This Row],[Column4]]), namespace_raw[[#This Row],[Column4]], "")</f>
        <v/>
      </c>
      <c r="D443" s="95" t="str">
        <f>IF(ISNUMBER(namespace_raw[[#This Row],[Column5]]), namespace_raw[[#This Row],[Column5]]/1048576, "")</f>
        <v/>
      </c>
      <c r="E443" s="95" t="str">
        <f>IF(ISNUMBER(namespace_raw[[#This Row],[Column6]]), namespace_raw[[#This Row],[Column6]],"")</f>
        <v/>
      </c>
      <c r="F443" s="96" t="str">
        <f>IF(ISNUMBER(namespace_raw[[#This Row],[Column7]]), namespace_raw[[#This Row],[Column7]]/1048576,"")</f>
        <v/>
      </c>
      <c r="G443" s="122" t="str">
        <f>IF(ISNUMBER(namespace_raw[[#This Row],[Column8]]), namespace_raw[[#This Row],[Column8]],"")</f>
        <v/>
      </c>
      <c r="H443" s="123" t="str">
        <f>IF(ISNUMBER(namespace_raw[[#This Row],[Column9]]), namespace_raw[[#This Row],[Column9]]/1048576,"")</f>
        <v/>
      </c>
      <c r="I443" s="124" t="str">
        <f>IF(ISNUMBER(namespace_raw[[#This Row],[Column8]]),MAX(G443, M443, O443, $I$2,IF(Q443&lt;&gt;"",VALUE(Q443),0)), "")</f>
        <v/>
      </c>
      <c r="J443" s="125" t="str">
        <f>IF(ISNUMBER(namespace_raw[[#This Row],[Column9]]),MAX(H443, N443, P443, $J$2,IF(R443&lt;&gt;"",VALUE(R443),0)),"")</f>
        <v/>
      </c>
      <c r="K443" s="166" t="str">
        <f>IF(ISNUMBER(namespace_raw[[#This Row],[Column12]]), namespace_raw[[#This Row],[Column12]],"")</f>
        <v/>
      </c>
      <c r="L443" s="167" t="str">
        <f>IF(ISNUMBER(namespace_raw[[#This Row],[Column13]]), namespace_raw[[#This Row],[Column13]]/1048576,"")</f>
        <v/>
      </c>
      <c r="M443" s="168" t="str">
        <f>IF(ISNUMBER(namespace_raw[[#This Row],[Column10]]), (namespace_raw[[#This Row],[Column10]]*(1+$M$2)),"")</f>
        <v/>
      </c>
      <c r="N443" s="167" t="str">
        <f>IF(ISNUMBER(namespace_raw[[#This Row],[Column11]]), (namespace_raw[[#This Row],[Column11]]*(1+$N$2))/1048576,"")</f>
        <v/>
      </c>
      <c r="O443" s="169" t="str">
        <f>IF(ISNUMBER(namespace_raw[[#This Row],[Column8]]), (E443  * $O$2),"")</f>
        <v/>
      </c>
      <c r="P443" s="170" t="str">
        <f>IF(ISNUMBER(namespace_raw[[#This Row],[Column8]]), (F443  * $P$2),"")</f>
        <v/>
      </c>
    </row>
    <row r="444" spans="1:16" ht="15" customHeight="1" x14ac:dyDescent="0.25">
      <c r="A444" s="32" t="str">
        <f>IF(ISNONTEXT(namespace_raw[[#This Row],[Column1]]), "", namespace_raw[[#This Row],[Column1]])</f>
        <v/>
      </c>
      <c r="B444" s="33" t="str">
        <f>IF(ISNONTEXT(namespace_raw[[#This Row],[Column2]]), "", namespace_raw[[#This Row],[Column2]])</f>
        <v/>
      </c>
      <c r="C444" s="94" t="str">
        <f>IF(ISNUMBER(namespace_raw[[#This Row],[Column4]]), namespace_raw[[#This Row],[Column4]], "")</f>
        <v/>
      </c>
      <c r="D444" s="95" t="str">
        <f>IF(ISNUMBER(namespace_raw[[#This Row],[Column5]]), namespace_raw[[#This Row],[Column5]]/1048576, "")</f>
        <v/>
      </c>
      <c r="E444" s="95" t="str">
        <f>IF(ISNUMBER(namespace_raw[[#This Row],[Column6]]), namespace_raw[[#This Row],[Column6]],"")</f>
        <v/>
      </c>
      <c r="F444" s="96" t="str">
        <f>IF(ISNUMBER(namespace_raw[[#This Row],[Column7]]), namespace_raw[[#This Row],[Column7]]/1048576,"")</f>
        <v/>
      </c>
      <c r="G444" s="122" t="str">
        <f>IF(ISNUMBER(namespace_raw[[#This Row],[Column8]]), namespace_raw[[#This Row],[Column8]],"")</f>
        <v/>
      </c>
      <c r="H444" s="123" t="str">
        <f>IF(ISNUMBER(namespace_raw[[#This Row],[Column9]]), namespace_raw[[#This Row],[Column9]]/1048576,"")</f>
        <v/>
      </c>
      <c r="I444" s="124" t="str">
        <f>IF(ISNUMBER(namespace_raw[[#This Row],[Column8]]),MAX(G444, M444, O444, $I$2,IF(Q444&lt;&gt;"",VALUE(Q444),0)), "")</f>
        <v/>
      </c>
      <c r="J444" s="125" t="str">
        <f>IF(ISNUMBER(namespace_raw[[#This Row],[Column9]]),MAX(H444, N444, P444, $J$2,IF(R444&lt;&gt;"",VALUE(R444),0)),"")</f>
        <v/>
      </c>
      <c r="K444" s="166" t="str">
        <f>IF(ISNUMBER(namespace_raw[[#This Row],[Column12]]), namespace_raw[[#This Row],[Column12]],"")</f>
        <v/>
      </c>
      <c r="L444" s="167" t="str">
        <f>IF(ISNUMBER(namespace_raw[[#This Row],[Column13]]), namespace_raw[[#This Row],[Column13]]/1048576,"")</f>
        <v/>
      </c>
      <c r="M444" s="168" t="str">
        <f>IF(ISNUMBER(namespace_raw[[#This Row],[Column10]]), (namespace_raw[[#This Row],[Column10]]*(1+$M$2)),"")</f>
        <v/>
      </c>
      <c r="N444" s="167" t="str">
        <f>IF(ISNUMBER(namespace_raw[[#This Row],[Column11]]), (namespace_raw[[#This Row],[Column11]]*(1+$N$2))/1048576,"")</f>
        <v/>
      </c>
      <c r="O444" s="169" t="str">
        <f>IF(ISNUMBER(namespace_raw[[#This Row],[Column8]]), (E444  * $O$2),"")</f>
        <v/>
      </c>
      <c r="P444" s="170" t="str">
        <f>IF(ISNUMBER(namespace_raw[[#This Row],[Column8]]), (F444  * $P$2),"")</f>
        <v/>
      </c>
    </row>
    <row r="445" spans="1:16" ht="15" customHeight="1" x14ac:dyDescent="0.25">
      <c r="A445" s="32" t="str">
        <f>IF(ISNONTEXT(namespace_raw[[#This Row],[Column1]]), "", namespace_raw[[#This Row],[Column1]])</f>
        <v/>
      </c>
      <c r="B445" s="33" t="str">
        <f>IF(ISNONTEXT(namespace_raw[[#This Row],[Column2]]), "", namespace_raw[[#This Row],[Column2]])</f>
        <v/>
      </c>
      <c r="C445" s="94" t="str">
        <f>IF(ISNUMBER(namespace_raw[[#This Row],[Column4]]), namespace_raw[[#This Row],[Column4]], "")</f>
        <v/>
      </c>
      <c r="D445" s="95" t="str">
        <f>IF(ISNUMBER(namespace_raw[[#This Row],[Column5]]), namespace_raw[[#This Row],[Column5]]/1048576, "")</f>
        <v/>
      </c>
      <c r="E445" s="95" t="str">
        <f>IF(ISNUMBER(namespace_raw[[#This Row],[Column6]]), namespace_raw[[#This Row],[Column6]],"")</f>
        <v/>
      </c>
      <c r="F445" s="96" t="str">
        <f>IF(ISNUMBER(namespace_raw[[#This Row],[Column7]]), namespace_raw[[#This Row],[Column7]]/1048576,"")</f>
        <v/>
      </c>
      <c r="G445" s="122" t="str">
        <f>IF(ISNUMBER(namespace_raw[[#This Row],[Column8]]), namespace_raw[[#This Row],[Column8]],"")</f>
        <v/>
      </c>
      <c r="H445" s="123" t="str">
        <f>IF(ISNUMBER(namespace_raw[[#This Row],[Column9]]), namespace_raw[[#This Row],[Column9]]/1048576,"")</f>
        <v/>
      </c>
      <c r="I445" s="124" t="str">
        <f>IF(ISNUMBER(namespace_raw[[#This Row],[Column8]]),MAX(G445, M445, O445, $I$2,IF(Q445&lt;&gt;"",VALUE(Q445),0)), "")</f>
        <v/>
      </c>
      <c r="J445" s="125" t="str">
        <f>IF(ISNUMBER(namespace_raw[[#This Row],[Column9]]),MAX(H445, N445, P445, $J$2,IF(R445&lt;&gt;"",VALUE(R445),0)),"")</f>
        <v/>
      </c>
      <c r="K445" s="166" t="str">
        <f>IF(ISNUMBER(namespace_raw[[#This Row],[Column12]]), namespace_raw[[#This Row],[Column12]],"")</f>
        <v/>
      </c>
      <c r="L445" s="167" t="str">
        <f>IF(ISNUMBER(namespace_raw[[#This Row],[Column13]]), namespace_raw[[#This Row],[Column13]]/1048576,"")</f>
        <v/>
      </c>
      <c r="M445" s="168" t="str">
        <f>IF(ISNUMBER(namespace_raw[[#This Row],[Column10]]), (namespace_raw[[#This Row],[Column10]]*(1+$M$2)),"")</f>
        <v/>
      </c>
      <c r="N445" s="167" t="str">
        <f>IF(ISNUMBER(namespace_raw[[#This Row],[Column11]]), (namespace_raw[[#This Row],[Column11]]*(1+$N$2))/1048576,"")</f>
        <v/>
      </c>
      <c r="O445" s="169" t="str">
        <f>IF(ISNUMBER(namespace_raw[[#This Row],[Column8]]), (E445  * $O$2),"")</f>
        <v/>
      </c>
      <c r="P445" s="170" t="str">
        <f>IF(ISNUMBER(namespace_raw[[#This Row],[Column8]]), (F445  * $P$2),"")</f>
        <v/>
      </c>
    </row>
    <row r="446" spans="1:16" ht="15" customHeight="1" x14ac:dyDescent="0.25">
      <c r="A446" s="32" t="str">
        <f>IF(ISNONTEXT(namespace_raw[[#This Row],[Column1]]), "", namespace_raw[[#This Row],[Column1]])</f>
        <v/>
      </c>
      <c r="B446" s="33" t="str">
        <f>IF(ISNONTEXT(namespace_raw[[#This Row],[Column2]]), "", namespace_raw[[#This Row],[Column2]])</f>
        <v/>
      </c>
      <c r="C446" s="94" t="str">
        <f>IF(ISNUMBER(namespace_raw[[#This Row],[Column4]]), namespace_raw[[#This Row],[Column4]], "")</f>
        <v/>
      </c>
      <c r="D446" s="95" t="str">
        <f>IF(ISNUMBER(namespace_raw[[#This Row],[Column5]]), namespace_raw[[#This Row],[Column5]]/1048576, "")</f>
        <v/>
      </c>
      <c r="E446" s="95" t="str">
        <f>IF(ISNUMBER(namespace_raw[[#This Row],[Column6]]), namespace_raw[[#This Row],[Column6]],"")</f>
        <v/>
      </c>
      <c r="F446" s="96" t="str">
        <f>IF(ISNUMBER(namespace_raw[[#This Row],[Column7]]), namespace_raw[[#This Row],[Column7]]/1048576,"")</f>
        <v/>
      </c>
      <c r="G446" s="122" t="str">
        <f>IF(ISNUMBER(namespace_raw[[#This Row],[Column8]]), namespace_raw[[#This Row],[Column8]],"")</f>
        <v/>
      </c>
      <c r="H446" s="123" t="str">
        <f>IF(ISNUMBER(namespace_raw[[#This Row],[Column9]]), namespace_raw[[#This Row],[Column9]]/1048576,"")</f>
        <v/>
      </c>
      <c r="I446" s="124" t="str">
        <f>IF(ISNUMBER(namespace_raw[[#This Row],[Column8]]),MAX(G446, M446, O446, $I$2,IF(Q446&lt;&gt;"",VALUE(Q446),0)), "")</f>
        <v/>
      </c>
      <c r="J446" s="125" t="str">
        <f>IF(ISNUMBER(namespace_raw[[#This Row],[Column9]]),MAX(H446, N446, P446, $J$2,IF(R446&lt;&gt;"",VALUE(R446),0)),"")</f>
        <v/>
      </c>
      <c r="K446" s="166" t="str">
        <f>IF(ISNUMBER(namespace_raw[[#This Row],[Column12]]), namespace_raw[[#This Row],[Column12]],"")</f>
        <v/>
      </c>
      <c r="L446" s="167" t="str">
        <f>IF(ISNUMBER(namespace_raw[[#This Row],[Column13]]), namespace_raw[[#This Row],[Column13]]/1048576,"")</f>
        <v/>
      </c>
      <c r="M446" s="168" t="str">
        <f>IF(ISNUMBER(namespace_raw[[#This Row],[Column10]]), (namespace_raw[[#This Row],[Column10]]*(1+$M$2)),"")</f>
        <v/>
      </c>
      <c r="N446" s="167" t="str">
        <f>IF(ISNUMBER(namespace_raw[[#This Row],[Column11]]), (namespace_raw[[#This Row],[Column11]]*(1+$N$2))/1048576,"")</f>
        <v/>
      </c>
      <c r="O446" s="169" t="str">
        <f>IF(ISNUMBER(namespace_raw[[#This Row],[Column8]]), (E446  * $O$2),"")</f>
        <v/>
      </c>
      <c r="P446" s="170" t="str">
        <f>IF(ISNUMBER(namespace_raw[[#This Row],[Column8]]), (F446  * $P$2),"")</f>
        <v/>
      </c>
    </row>
    <row r="447" spans="1:16" ht="15" customHeight="1" x14ac:dyDescent="0.25">
      <c r="A447" s="32" t="str">
        <f>IF(ISNONTEXT(namespace_raw[[#This Row],[Column1]]), "", namespace_raw[[#This Row],[Column1]])</f>
        <v/>
      </c>
      <c r="B447" s="33" t="str">
        <f>IF(ISNONTEXT(namespace_raw[[#This Row],[Column2]]), "", namespace_raw[[#This Row],[Column2]])</f>
        <v/>
      </c>
      <c r="C447" s="94" t="str">
        <f>IF(ISNUMBER(namespace_raw[[#This Row],[Column4]]), namespace_raw[[#This Row],[Column4]], "")</f>
        <v/>
      </c>
      <c r="D447" s="95" t="str">
        <f>IF(ISNUMBER(namespace_raw[[#This Row],[Column5]]), namespace_raw[[#This Row],[Column5]]/1048576, "")</f>
        <v/>
      </c>
      <c r="E447" s="95" t="str">
        <f>IF(ISNUMBER(namespace_raw[[#This Row],[Column6]]), namespace_raw[[#This Row],[Column6]],"")</f>
        <v/>
      </c>
      <c r="F447" s="96" t="str">
        <f>IF(ISNUMBER(namespace_raw[[#This Row],[Column7]]), namespace_raw[[#This Row],[Column7]]/1048576,"")</f>
        <v/>
      </c>
      <c r="G447" s="122" t="str">
        <f>IF(ISNUMBER(namespace_raw[[#This Row],[Column8]]), namespace_raw[[#This Row],[Column8]],"")</f>
        <v/>
      </c>
      <c r="H447" s="123" t="str">
        <f>IF(ISNUMBER(namespace_raw[[#This Row],[Column9]]), namespace_raw[[#This Row],[Column9]]/1048576,"")</f>
        <v/>
      </c>
      <c r="I447" s="124" t="str">
        <f>IF(ISNUMBER(namespace_raw[[#This Row],[Column8]]),MAX(G447, M447, O447, $I$2,IF(Q447&lt;&gt;"",VALUE(Q447),0)), "")</f>
        <v/>
      </c>
      <c r="J447" s="125" t="str">
        <f>IF(ISNUMBER(namespace_raw[[#This Row],[Column9]]),MAX(H447, N447, P447, $J$2,IF(R447&lt;&gt;"",VALUE(R447),0)),"")</f>
        <v/>
      </c>
      <c r="K447" s="166" t="str">
        <f>IF(ISNUMBER(namespace_raw[[#This Row],[Column12]]), namespace_raw[[#This Row],[Column12]],"")</f>
        <v/>
      </c>
      <c r="L447" s="167" t="str">
        <f>IF(ISNUMBER(namespace_raw[[#This Row],[Column13]]), namespace_raw[[#This Row],[Column13]]/1048576,"")</f>
        <v/>
      </c>
      <c r="M447" s="168" t="str">
        <f>IF(ISNUMBER(namespace_raw[[#This Row],[Column10]]), (namespace_raw[[#This Row],[Column10]]*(1+$M$2)),"")</f>
        <v/>
      </c>
      <c r="N447" s="167" t="str">
        <f>IF(ISNUMBER(namespace_raw[[#This Row],[Column11]]), (namespace_raw[[#This Row],[Column11]]*(1+$N$2))/1048576,"")</f>
        <v/>
      </c>
      <c r="O447" s="169" t="str">
        <f>IF(ISNUMBER(namespace_raw[[#This Row],[Column8]]), (E447  * $O$2),"")</f>
        <v/>
      </c>
      <c r="P447" s="170" t="str">
        <f>IF(ISNUMBER(namespace_raw[[#This Row],[Column8]]), (F447  * $P$2),"")</f>
        <v/>
      </c>
    </row>
    <row r="448" spans="1:16" ht="15" customHeight="1" x14ac:dyDescent="0.25">
      <c r="A448" s="32" t="str">
        <f>IF(ISNONTEXT(namespace_raw[[#This Row],[Column1]]), "", namespace_raw[[#This Row],[Column1]])</f>
        <v/>
      </c>
      <c r="B448" s="33" t="str">
        <f>IF(ISNONTEXT(namespace_raw[[#This Row],[Column2]]), "", namespace_raw[[#This Row],[Column2]])</f>
        <v/>
      </c>
      <c r="C448" s="94" t="str">
        <f>IF(ISNUMBER(namespace_raw[[#This Row],[Column4]]), namespace_raw[[#This Row],[Column4]], "")</f>
        <v/>
      </c>
      <c r="D448" s="95" t="str">
        <f>IF(ISNUMBER(namespace_raw[[#This Row],[Column5]]), namespace_raw[[#This Row],[Column5]]/1048576, "")</f>
        <v/>
      </c>
      <c r="E448" s="95" t="str">
        <f>IF(ISNUMBER(namespace_raw[[#This Row],[Column6]]), namespace_raw[[#This Row],[Column6]],"")</f>
        <v/>
      </c>
      <c r="F448" s="96" t="str">
        <f>IF(ISNUMBER(namespace_raw[[#This Row],[Column7]]), namespace_raw[[#This Row],[Column7]]/1048576,"")</f>
        <v/>
      </c>
      <c r="G448" s="122" t="str">
        <f>IF(ISNUMBER(namespace_raw[[#This Row],[Column8]]), namespace_raw[[#This Row],[Column8]],"")</f>
        <v/>
      </c>
      <c r="H448" s="123" t="str">
        <f>IF(ISNUMBER(namespace_raw[[#This Row],[Column9]]), namespace_raw[[#This Row],[Column9]]/1048576,"")</f>
        <v/>
      </c>
      <c r="I448" s="124" t="str">
        <f>IF(ISNUMBER(namespace_raw[[#This Row],[Column8]]),MAX(G448, M448, O448, $I$2,IF(Q448&lt;&gt;"",VALUE(Q448),0)), "")</f>
        <v/>
      </c>
      <c r="J448" s="125" t="str">
        <f>IF(ISNUMBER(namespace_raw[[#This Row],[Column9]]),MAX(H448, N448, P448, $J$2,IF(R448&lt;&gt;"",VALUE(R448),0)),"")</f>
        <v/>
      </c>
      <c r="K448" s="166" t="str">
        <f>IF(ISNUMBER(namespace_raw[[#This Row],[Column12]]), namespace_raw[[#This Row],[Column12]],"")</f>
        <v/>
      </c>
      <c r="L448" s="167" t="str">
        <f>IF(ISNUMBER(namespace_raw[[#This Row],[Column13]]), namespace_raw[[#This Row],[Column13]]/1048576,"")</f>
        <v/>
      </c>
      <c r="M448" s="168" t="str">
        <f>IF(ISNUMBER(namespace_raw[[#This Row],[Column10]]), (namespace_raw[[#This Row],[Column10]]*(1+$M$2)),"")</f>
        <v/>
      </c>
      <c r="N448" s="167" t="str">
        <f>IF(ISNUMBER(namespace_raw[[#This Row],[Column11]]), (namespace_raw[[#This Row],[Column11]]*(1+$N$2))/1048576,"")</f>
        <v/>
      </c>
      <c r="O448" s="169" t="str">
        <f>IF(ISNUMBER(namespace_raw[[#This Row],[Column8]]), (E448  * $O$2),"")</f>
        <v/>
      </c>
      <c r="P448" s="170" t="str">
        <f>IF(ISNUMBER(namespace_raw[[#This Row],[Column8]]), (F448  * $P$2),"")</f>
        <v/>
      </c>
    </row>
    <row r="449" spans="1:16" ht="15" customHeight="1" x14ac:dyDescent="0.25">
      <c r="A449" s="32" t="str">
        <f>IF(ISNONTEXT(namespace_raw[[#This Row],[Column1]]), "", namespace_raw[[#This Row],[Column1]])</f>
        <v/>
      </c>
      <c r="B449" s="33" t="str">
        <f>IF(ISNONTEXT(namespace_raw[[#This Row],[Column2]]), "", namespace_raw[[#This Row],[Column2]])</f>
        <v/>
      </c>
      <c r="C449" s="94" t="str">
        <f>IF(ISNUMBER(namespace_raw[[#This Row],[Column4]]), namespace_raw[[#This Row],[Column4]], "")</f>
        <v/>
      </c>
      <c r="D449" s="95" t="str">
        <f>IF(ISNUMBER(namespace_raw[[#This Row],[Column5]]), namespace_raw[[#This Row],[Column5]]/1048576, "")</f>
        <v/>
      </c>
      <c r="E449" s="95" t="str">
        <f>IF(ISNUMBER(namespace_raw[[#This Row],[Column6]]), namespace_raw[[#This Row],[Column6]],"")</f>
        <v/>
      </c>
      <c r="F449" s="96" t="str">
        <f>IF(ISNUMBER(namespace_raw[[#This Row],[Column7]]), namespace_raw[[#This Row],[Column7]]/1048576,"")</f>
        <v/>
      </c>
      <c r="G449" s="122" t="str">
        <f>IF(ISNUMBER(namespace_raw[[#This Row],[Column8]]), namespace_raw[[#This Row],[Column8]],"")</f>
        <v/>
      </c>
      <c r="H449" s="123" t="str">
        <f>IF(ISNUMBER(namespace_raw[[#This Row],[Column9]]), namespace_raw[[#This Row],[Column9]]/1048576,"")</f>
        <v/>
      </c>
      <c r="I449" s="124" t="str">
        <f>IF(ISNUMBER(namespace_raw[[#This Row],[Column8]]),MAX(G449, M449, O449, $I$2,IF(Q449&lt;&gt;"",VALUE(Q449),0)), "")</f>
        <v/>
      </c>
      <c r="J449" s="125" t="str">
        <f>IF(ISNUMBER(namespace_raw[[#This Row],[Column9]]),MAX(H449, N449, P449, $J$2,IF(R449&lt;&gt;"",VALUE(R449),0)),"")</f>
        <v/>
      </c>
      <c r="K449" s="166" t="str">
        <f>IF(ISNUMBER(namespace_raw[[#This Row],[Column12]]), namespace_raw[[#This Row],[Column12]],"")</f>
        <v/>
      </c>
      <c r="L449" s="167" t="str">
        <f>IF(ISNUMBER(namespace_raw[[#This Row],[Column13]]), namespace_raw[[#This Row],[Column13]]/1048576,"")</f>
        <v/>
      </c>
      <c r="M449" s="168" t="str">
        <f>IF(ISNUMBER(namespace_raw[[#This Row],[Column10]]), (namespace_raw[[#This Row],[Column10]]*(1+$M$2)),"")</f>
        <v/>
      </c>
      <c r="N449" s="167" t="str">
        <f>IF(ISNUMBER(namespace_raw[[#This Row],[Column11]]), (namespace_raw[[#This Row],[Column11]]*(1+$N$2))/1048576,"")</f>
        <v/>
      </c>
      <c r="O449" s="169" t="str">
        <f>IF(ISNUMBER(namespace_raw[[#This Row],[Column8]]), (E449  * $O$2),"")</f>
        <v/>
      </c>
      <c r="P449" s="170" t="str">
        <f>IF(ISNUMBER(namespace_raw[[#This Row],[Column8]]), (F449  * $P$2),"")</f>
        <v/>
      </c>
    </row>
    <row r="450" spans="1:16" ht="15" customHeight="1" x14ac:dyDescent="0.25">
      <c r="A450" s="32" t="str">
        <f>IF(ISNONTEXT(namespace_raw[[#This Row],[Column1]]), "", namespace_raw[[#This Row],[Column1]])</f>
        <v/>
      </c>
      <c r="B450" s="33" t="str">
        <f>IF(ISNONTEXT(namespace_raw[[#This Row],[Column2]]), "", namespace_raw[[#This Row],[Column2]])</f>
        <v/>
      </c>
      <c r="C450" s="94" t="str">
        <f>IF(ISNUMBER(namespace_raw[[#This Row],[Column4]]), namespace_raw[[#This Row],[Column4]], "")</f>
        <v/>
      </c>
      <c r="D450" s="95" t="str">
        <f>IF(ISNUMBER(namespace_raw[[#This Row],[Column5]]), namespace_raw[[#This Row],[Column5]]/1048576, "")</f>
        <v/>
      </c>
      <c r="E450" s="95" t="str">
        <f>IF(ISNUMBER(namespace_raw[[#This Row],[Column6]]), namespace_raw[[#This Row],[Column6]],"")</f>
        <v/>
      </c>
      <c r="F450" s="96" t="str">
        <f>IF(ISNUMBER(namespace_raw[[#This Row],[Column7]]), namespace_raw[[#This Row],[Column7]]/1048576,"")</f>
        <v/>
      </c>
      <c r="G450" s="122" t="str">
        <f>IF(ISNUMBER(namespace_raw[[#This Row],[Column8]]), namespace_raw[[#This Row],[Column8]],"")</f>
        <v/>
      </c>
      <c r="H450" s="123" t="str">
        <f>IF(ISNUMBER(namespace_raw[[#This Row],[Column9]]), namespace_raw[[#This Row],[Column9]]/1048576,"")</f>
        <v/>
      </c>
      <c r="I450" s="124" t="str">
        <f>IF(ISNUMBER(namespace_raw[[#This Row],[Column8]]),MAX(G450, M450, O450, $I$2,IF(Q450&lt;&gt;"",VALUE(Q450),0)), "")</f>
        <v/>
      </c>
      <c r="J450" s="125" t="str">
        <f>IF(ISNUMBER(namespace_raw[[#This Row],[Column9]]),MAX(H450, N450, P450, $J$2,IF(R450&lt;&gt;"",VALUE(R450),0)),"")</f>
        <v/>
      </c>
      <c r="K450" s="166" t="str">
        <f>IF(ISNUMBER(namespace_raw[[#This Row],[Column12]]), namespace_raw[[#This Row],[Column12]],"")</f>
        <v/>
      </c>
      <c r="L450" s="167" t="str">
        <f>IF(ISNUMBER(namespace_raw[[#This Row],[Column13]]), namespace_raw[[#This Row],[Column13]]/1048576,"")</f>
        <v/>
      </c>
      <c r="M450" s="168" t="str">
        <f>IF(ISNUMBER(namespace_raw[[#This Row],[Column10]]), (namespace_raw[[#This Row],[Column10]]*(1+$M$2)),"")</f>
        <v/>
      </c>
      <c r="N450" s="167" t="str">
        <f>IF(ISNUMBER(namespace_raw[[#This Row],[Column11]]), (namespace_raw[[#This Row],[Column11]]*(1+$N$2))/1048576,"")</f>
        <v/>
      </c>
      <c r="O450" s="169" t="str">
        <f>IF(ISNUMBER(namespace_raw[[#This Row],[Column8]]), (E450  * $O$2),"")</f>
        <v/>
      </c>
      <c r="P450" s="170" t="str">
        <f>IF(ISNUMBER(namespace_raw[[#This Row],[Column8]]), (F450  * $P$2),"")</f>
        <v/>
      </c>
    </row>
    <row r="451" spans="1:16" ht="15" customHeight="1" x14ac:dyDescent="0.25">
      <c r="A451" s="32" t="str">
        <f>IF(ISNONTEXT(namespace_raw[[#This Row],[Column1]]), "", namespace_raw[[#This Row],[Column1]])</f>
        <v/>
      </c>
      <c r="B451" s="33" t="str">
        <f>IF(ISNONTEXT(namespace_raw[[#This Row],[Column2]]), "", namespace_raw[[#This Row],[Column2]])</f>
        <v/>
      </c>
      <c r="C451" s="94" t="str">
        <f>IF(ISNUMBER(namespace_raw[[#This Row],[Column4]]), namespace_raw[[#This Row],[Column4]], "")</f>
        <v/>
      </c>
      <c r="D451" s="95" t="str">
        <f>IF(ISNUMBER(namespace_raw[[#This Row],[Column5]]), namespace_raw[[#This Row],[Column5]]/1048576, "")</f>
        <v/>
      </c>
      <c r="E451" s="95" t="str">
        <f>IF(ISNUMBER(namespace_raw[[#This Row],[Column6]]), namespace_raw[[#This Row],[Column6]],"")</f>
        <v/>
      </c>
      <c r="F451" s="96" t="str">
        <f>IF(ISNUMBER(namespace_raw[[#This Row],[Column7]]), namespace_raw[[#This Row],[Column7]]/1048576,"")</f>
        <v/>
      </c>
      <c r="G451" s="122" t="str">
        <f>IF(ISNUMBER(namespace_raw[[#This Row],[Column8]]), namespace_raw[[#This Row],[Column8]],"")</f>
        <v/>
      </c>
      <c r="H451" s="123" t="str">
        <f>IF(ISNUMBER(namespace_raw[[#This Row],[Column9]]), namespace_raw[[#This Row],[Column9]]/1048576,"")</f>
        <v/>
      </c>
      <c r="I451" s="124" t="str">
        <f>IF(ISNUMBER(namespace_raw[[#This Row],[Column8]]),MAX(G451, M451, O451, $I$2,IF(Q451&lt;&gt;"",VALUE(Q451),0)), "")</f>
        <v/>
      </c>
      <c r="J451" s="125" t="str">
        <f>IF(ISNUMBER(namespace_raw[[#This Row],[Column9]]),MAX(H451, N451, P451, $J$2,IF(R451&lt;&gt;"",VALUE(R451),0)),"")</f>
        <v/>
      </c>
      <c r="K451" s="166" t="str">
        <f>IF(ISNUMBER(namespace_raw[[#This Row],[Column12]]), namespace_raw[[#This Row],[Column12]],"")</f>
        <v/>
      </c>
      <c r="L451" s="167" t="str">
        <f>IF(ISNUMBER(namespace_raw[[#This Row],[Column13]]), namespace_raw[[#This Row],[Column13]]/1048576,"")</f>
        <v/>
      </c>
      <c r="M451" s="168" t="str">
        <f>IF(ISNUMBER(namespace_raw[[#This Row],[Column10]]), (namespace_raw[[#This Row],[Column10]]*(1+$M$2)),"")</f>
        <v/>
      </c>
      <c r="N451" s="167" t="str">
        <f>IF(ISNUMBER(namespace_raw[[#This Row],[Column11]]), (namespace_raw[[#This Row],[Column11]]*(1+$N$2))/1048576,"")</f>
        <v/>
      </c>
      <c r="O451" s="169" t="str">
        <f>IF(ISNUMBER(namespace_raw[[#This Row],[Column8]]), (E451  * $O$2),"")</f>
        <v/>
      </c>
      <c r="P451" s="170" t="str">
        <f>IF(ISNUMBER(namespace_raw[[#This Row],[Column8]]), (F451  * $P$2),"")</f>
        <v/>
      </c>
    </row>
    <row r="452" spans="1:16" ht="15" customHeight="1" x14ac:dyDescent="0.25">
      <c r="A452" s="32" t="str">
        <f>IF(ISNONTEXT(namespace_raw[[#This Row],[Column1]]), "", namespace_raw[[#This Row],[Column1]])</f>
        <v/>
      </c>
      <c r="B452" s="33" t="str">
        <f>IF(ISNONTEXT(namespace_raw[[#This Row],[Column2]]), "", namespace_raw[[#This Row],[Column2]])</f>
        <v/>
      </c>
      <c r="C452" s="94" t="str">
        <f>IF(ISNUMBER(namespace_raw[[#This Row],[Column4]]), namespace_raw[[#This Row],[Column4]], "")</f>
        <v/>
      </c>
      <c r="D452" s="95" t="str">
        <f>IF(ISNUMBER(namespace_raw[[#This Row],[Column5]]), namespace_raw[[#This Row],[Column5]]/1048576, "")</f>
        <v/>
      </c>
      <c r="E452" s="95" t="str">
        <f>IF(ISNUMBER(namespace_raw[[#This Row],[Column6]]), namespace_raw[[#This Row],[Column6]],"")</f>
        <v/>
      </c>
      <c r="F452" s="96" t="str">
        <f>IF(ISNUMBER(namespace_raw[[#This Row],[Column7]]), namespace_raw[[#This Row],[Column7]]/1048576,"")</f>
        <v/>
      </c>
      <c r="G452" s="122" t="str">
        <f>IF(ISNUMBER(namespace_raw[[#This Row],[Column8]]), namespace_raw[[#This Row],[Column8]],"")</f>
        <v/>
      </c>
      <c r="H452" s="123" t="str">
        <f>IF(ISNUMBER(namespace_raw[[#This Row],[Column9]]), namespace_raw[[#This Row],[Column9]]/1048576,"")</f>
        <v/>
      </c>
      <c r="I452" s="124" t="str">
        <f>IF(ISNUMBER(namespace_raw[[#This Row],[Column8]]),MAX(G452, M452, O452, $I$2,IF(Q452&lt;&gt;"",VALUE(Q452),0)), "")</f>
        <v/>
      </c>
      <c r="J452" s="125" t="str">
        <f>IF(ISNUMBER(namespace_raw[[#This Row],[Column9]]),MAX(H452, N452, P452, $J$2,IF(R452&lt;&gt;"",VALUE(R452),0)),"")</f>
        <v/>
      </c>
      <c r="K452" s="166" t="str">
        <f>IF(ISNUMBER(namespace_raw[[#This Row],[Column12]]), namespace_raw[[#This Row],[Column12]],"")</f>
        <v/>
      </c>
      <c r="L452" s="167" t="str">
        <f>IF(ISNUMBER(namespace_raw[[#This Row],[Column13]]), namespace_raw[[#This Row],[Column13]]/1048576,"")</f>
        <v/>
      </c>
      <c r="M452" s="168" t="str">
        <f>IF(ISNUMBER(namespace_raw[[#This Row],[Column10]]), (namespace_raw[[#This Row],[Column10]]*(1+$M$2)),"")</f>
        <v/>
      </c>
      <c r="N452" s="167" t="str">
        <f>IF(ISNUMBER(namespace_raw[[#This Row],[Column11]]), (namespace_raw[[#This Row],[Column11]]*(1+$N$2))/1048576,"")</f>
        <v/>
      </c>
      <c r="O452" s="169" t="str">
        <f>IF(ISNUMBER(namespace_raw[[#This Row],[Column8]]), (E452  * $O$2),"")</f>
        <v/>
      </c>
      <c r="P452" s="170" t="str">
        <f>IF(ISNUMBER(namespace_raw[[#This Row],[Column8]]), (F452  * $P$2),"")</f>
        <v/>
      </c>
    </row>
    <row r="453" spans="1:16" ht="15" customHeight="1" x14ac:dyDescent="0.25">
      <c r="A453" s="32" t="str">
        <f>IF(ISNONTEXT(namespace_raw[[#This Row],[Column1]]), "", namespace_raw[[#This Row],[Column1]])</f>
        <v/>
      </c>
      <c r="B453" s="33" t="str">
        <f>IF(ISNONTEXT(namespace_raw[[#This Row],[Column2]]), "", namespace_raw[[#This Row],[Column2]])</f>
        <v/>
      </c>
      <c r="C453" s="94" t="str">
        <f>IF(ISNUMBER(namespace_raw[[#This Row],[Column4]]), namespace_raw[[#This Row],[Column4]], "")</f>
        <v/>
      </c>
      <c r="D453" s="95" t="str">
        <f>IF(ISNUMBER(namespace_raw[[#This Row],[Column5]]), namespace_raw[[#This Row],[Column5]]/1048576, "")</f>
        <v/>
      </c>
      <c r="E453" s="95" t="str">
        <f>IF(ISNUMBER(namespace_raw[[#This Row],[Column6]]), namespace_raw[[#This Row],[Column6]],"")</f>
        <v/>
      </c>
      <c r="F453" s="96" t="str">
        <f>IF(ISNUMBER(namespace_raw[[#This Row],[Column7]]), namespace_raw[[#This Row],[Column7]]/1048576,"")</f>
        <v/>
      </c>
      <c r="G453" s="122" t="str">
        <f>IF(ISNUMBER(namespace_raw[[#This Row],[Column8]]), namespace_raw[[#This Row],[Column8]],"")</f>
        <v/>
      </c>
      <c r="H453" s="123" t="str">
        <f>IF(ISNUMBER(namespace_raw[[#This Row],[Column9]]), namespace_raw[[#This Row],[Column9]]/1048576,"")</f>
        <v/>
      </c>
      <c r="I453" s="124" t="str">
        <f>IF(ISNUMBER(namespace_raw[[#This Row],[Column8]]),MAX(G453, M453, O453, $I$2,IF(Q453&lt;&gt;"",VALUE(Q453),0)), "")</f>
        <v/>
      </c>
      <c r="J453" s="125" t="str">
        <f>IF(ISNUMBER(namespace_raw[[#This Row],[Column9]]),MAX(H453, N453, P453, $J$2,IF(R453&lt;&gt;"",VALUE(R453),0)),"")</f>
        <v/>
      </c>
      <c r="K453" s="166" t="str">
        <f>IF(ISNUMBER(namespace_raw[[#This Row],[Column12]]), namespace_raw[[#This Row],[Column12]],"")</f>
        <v/>
      </c>
      <c r="L453" s="167" t="str">
        <f>IF(ISNUMBER(namespace_raw[[#This Row],[Column13]]), namespace_raw[[#This Row],[Column13]]/1048576,"")</f>
        <v/>
      </c>
      <c r="M453" s="168" t="str">
        <f>IF(ISNUMBER(namespace_raw[[#This Row],[Column10]]), (namespace_raw[[#This Row],[Column10]]*(1+$M$2)),"")</f>
        <v/>
      </c>
      <c r="N453" s="167" t="str">
        <f>IF(ISNUMBER(namespace_raw[[#This Row],[Column11]]), (namespace_raw[[#This Row],[Column11]]*(1+$N$2))/1048576,"")</f>
        <v/>
      </c>
      <c r="O453" s="169" t="str">
        <f>IF(ISNUMBER(namespace_raw[[#This Row],[Column8]]), (E453  * $O$2),"")</f>
        <v/>
      </c>
      <c r="P453" s="170" t="str">
        <f>IF(ISNUMBER(namespace_raw[[#This Row],[Column8]]), (F453  * $P$2),"")</f>
        <v/>
      </c>
    </row>
    <row r="454" spans="1:16" ht="15" customHeight="1" x14ac:dyDescent="0.25">
      <c r="A454" s="32" t="str">
        <f>IF(ISNONTEXT(namespace_raw[[#This Row],[Column1]]), "", namespace_raw[[#This Row],[Column1]])</f>
        <v/>
      </c>
      <c r="B454" s="33" t="str">
        <f>IF(ISNONTEXT(namespace_raw[[#This Row],[Column2]]), "", namespace_raw[[#This Row],[Column2]])</f>
        <v/>
      </c>
      <c r="C454" s="94" t="str">
        <f>IF(ISNUMBER(namespace_raw[[#This Row],[Column4]]), namespace_raw[[#This Row],[Column4]], "")</f>
        <v/>
      </c>
      <c r="D454" s="95" t="str">
        <f>IF(ISNUMBER(namespace_raw[[#This Row],[Column5]]), namespace_raw[[#This Row],[Column5]]/1048576, "")</f>
        <v/>
      </c>
      <c r="E454" s="95" t="str">
        <f>IF(ISNUMBER(namespace_raw[[#This Row],[Column6]]), namespace_raw[[#This Row],[Column6]],"")</f>
        <v/>
      </c>
      <c r="F454" s="96" t="str">
        <f>IF(ISNUMBER(namespace_raw[[#This Row],[Column7]]), namespace_raw[[#This Row],[Column7]]/1048576,"")</f>
        <v/>
      </c>
      <c r="G454" s="122" t="str">
        <f>IF(ISNUMBER(namespace_raw[[#This Row],[Column8]]), namespace_raw[[#This Row],[Column8]],"")</f>
        <v/>
      </c>
      <c r="H454" s="123" t="str">
        <f>IF(ISNUMBER(namespace_raw[[#This Row],[Column9]]), namespace_raw[[#This Row],[Column9]]/1048576,"")</f>
        <v/>
      </c>
      <c r="I454" s="124" t="str">
        <f>IF(ISNUMBER(namespace_raw[[#This Row],[Column8]]),MAX(G454, M454, O454, $I$2,IF(Q454&lt;&gt;"",VALUE(Q454),0)), "")</f>
        <v/>
      </c>
      <c r="J454" s="125" t="str">
        <f>IF(ISNUMBER(namespace_raw[[#This Row],[Column9]]),MAX(H454, N454, P454, $J$2,IF(R454&lt;&gt;"",VALUE(R454),0)),"")</f>
        <v/>
      </c>
      <c r="K454" s="166" t="str">
        <f>IF(ISNUMBER(namespace_raw[[#This Row],[Column12]]), namespace_raw[[#This Row],[Column12]],"")</f>
        <v/>
      </c>
      <c r="L454" s="167" t="str">
        <f>IF(ISNUMBER(namespace_raw[[#This Row],[Column13]]), namespace_raw[[#This Row],[Column13]]/1048576,"")</f>
        <v/>
      </c>
      <c r="M454" s="168" t="str">
        <f>IF(ISNUMBER(namespace_raw[[#This Row],[Column10]]), (namespace_raw[[#This Row],[Column10]]*(1+$M$2)),"")</f>
        <v/>
      </c>
      <c r="N454" s="167" t="str">
        <f>IF(ISNUMBER(namespace_raw[[#This Row],[Column11]]), (namespace_raw[[#This Row],[Column11]]*(1+$N$2))/1048576,"")</f>
        <v/>
      </c>
      <c r="O454" s="169" t="str">
        <f>IF(ISNUMBER(namespace_raw[[#This Row],[Column8]]), (E454  * $O$2),"")</f>
        <v/>
      </c>
      <c r="P454" s="170" t="str">
        <f>IF(ISNUMBER(namespace_raw[[#This Row],[Column8]]), (F454  * $P$2),"")</f>
        <v/>
      </c>
    </row>
    <row r="455" spans="1:16" ht="15" customHeight="1" x14ac:dyDescent="0.25">
      <c r="A455" s="32" t="str">
        <f>IF(ISNONTEXT(namespace_raw[[#This Row],[Column1]]), "", namespace_raw[[#This Row],[Column1]])</f>
        <v/>
      </c>
      <c r="B455" s="33" t="str">
        <f>IF(ISNONTEXT(namespace_raw[[#This Row],[Column2]]), "", namespace_raw[[#This Row],[Column2]])</f>
        <v/>
      </c>
      <c r="C455" s="94" t="str">
        <f>IF(ISNUMBER(namespace_raw[[#This Row],[Column4]]), namespace_raw[[#This Row],[Column4]], "")</f>
        <v/>
      </c>
      <c r="D455" s="95" t="str">
        <f>IF(ISNUMBER(namespace_raw[[#This Row],[Column5]]), namespace_raw[[#This Row],[Column5]]/1048576, "")</f>
        <v/>
      </c>
      <c r="E455" s="95" t="str">
        <f>IF(ISNUMBER(namespace_raw[[#This Row],[Column6]]), namespace_raw[[#This Row],[Column6]],"")</f>
        <v/>
      </c>
      <c r="F455" s="96" t="str">
        <f>IF(ISNUMBER(namespace_raw[[#This Row],[Column7]]), namespace_raw[[#This Row],[Column7]]/1048576,"")</f>
        <v/>
      </c>
      <c r="G455" s="122" t="str">
        <f>IF(ISNUMBER(namespace_raw[[#This Row],[Column8]]), namespace_raw[[#This Row],[Column8]],"")</f>
        <v/>
      </c>
      <c r="H455" s="123" t="str">
        <f>IF(ISNUMBER(namespace_raw[[#This Row],[Column9]]), namespace_raw[[#This Row],[Column9]]/1048576,"")</f>
        <v/>
      </c>
      <c r="I455" s="124" t="str">
        <f>IF(ISNUMBER(namespace_raw[[#This Row],[Column8]]),MAX(G455, M455, O455, $I$2,IF(Q455&lt;&gt;"",VALUE(Q455),0)), "")</f>
        <v/>
      </c>
      <c r="J455" s="125" t="str">
        <f>IF(ISNUMBER(namespace_raw[[#This Row],[Column9]]),MAX(H455, N455, P455, $J$2,IF(R455&lt;&gt;"",VALUE(R455),0)),"")</f>
        <v/>
      </c>
      <c r="K455" s="166" t="str">
        <f>IF(ISNUMBER(namespace_raw[[#This Row],[Column12]]), namespace_raw[[#This Row],[Column12]],"")</f>
        <v/>
      </c>
      <c r="L455" s="167" t="str">
        <f>IF(ISNUMBER(namespace_raw[[#This Row],[Column13]]), namespace_raw[[#This Row],[Column13]]/1048576,"")</f>
        <v/>
      </c>
      <c r="M455" s="168" t="str">
        <f>IF(ISNUMBER(namespace_raw[[#This Row],[Column10]]), (namespace_raw[[#This Row],[Column10]]*(1+$M$2)),"")</f>
        <v/>
      </c>
      <c r="N455" s="167" t="str">
        <f>IF(ISNUMBER(namespace_raw[[#This Row],[Column11]]), (namespace_raw[[#This Row],[Column11]]*(1+$N$2))/1048576,"")</f>
        <v/>
      </c>
      <c r="O455" s="169" t="str">
        <f>IF(ISNUMBER(namespace_raw[[#This Row],[Column8]]), (E455  * $O$2),"")</f>
        <v/>
      </c>
      <c r="P455" s="170" t="str">
        <f>IF(ISNUMBER(namespace_raw[[#This Row],[Column8]]), (F455  * $P$2),"")</f>
        <v/>
      </c>
    </row>
    <row r="456" spans="1:16" ht="15" customHeight="1" x14ac:dyDescent="0.25">
      <c r="A456" s="32" t="str">
        <f>IF(ISNONTEXT(namespace_raw[[#This Row],[Column1]]), "", namespace_raw[[#This Row],[Column1]])</f>
        <v/>
      </c>
      <c r="B456" s="33" t="str">
        <f>IF(ISNONTEXT(namespace_raw[[#This Row],[Column2]]), "", namespace_raw[[#This Row],[Column2]])</f>
        <v/>
      </c>
      <c r="C456" s="94" t="str">
        <f>IF(ISNUMBER(namespace_raw[[#This Row],[Column4]]), namespace_raw[[#This Row],[Column4]], "")</f>
        <v/>
      </c>
      <c r="D456" s="95" t="str">
        <f>IF(ISNUMBER(namespace_raw[[#This Row],[Column5]]), namespace_raw[[#This Row],[Column5]]/1048576, "")</f>
        <v/>
      </c>
      <c r="E456" s="95" t="str">
        <f>IF(ISNUMBER(namespace_raw[[#This Row],[Column6]]), namespace_raw[[#This Row],[Column6]],"")</f>
        <v/>
      </c>
      <c r="F456" s="96" t="str">
        <f>IF(ISNUMBER(namespace_raw[[#This Row],[Column7]]), namespace_raw[[#This Row],[Column7]]/1048576,"")</f>
        <v/>
      </c>
      <c r="G456" s="122" t="str">
        <f>IF(ISNUMBER(namespace_raw[[#This Row],[Column8]]), namespace_raw[[#This Row],[Column8]],"")</f>
        <v/>
      </c>
      <c r="H456" s="123" t="str">
        <f>IF(ISNUMBER(namespace_raw[[#This Row],[Column9]]), namespace_raw[[#This Row],[Column9]]/1048576,"")</f>
        <v/>
      </c>
      <c r="I456" s="124" t="str">
        <f>IF(ISNUMBER(namespace_raw[[#This Row],[Column8]]),MAX(G456, M456, O456, $I$2,IF(Q456&lt;&gt;"",VALUE(Q456),0)), "")</f>
        <v/>
      </c>
      <c r="J456" s="125" t="str">
        <f>IF(ISNUMBER(namespace_raw[[#This Row],[Column9]]),MAX(H456, N456, P456, $J$2,IF(R456&lt;&gt;"",VALUE(R456),0)),"")</f>
        <v/>
      </c>
      <c r="K456" s="166" t="str">
        <f>IF(ISNUMBER(namespace_raw[[#This Row],[Column12]]), namespace_raw[[#This Row],[Column12]],"")</f>
        <v/>
      </c>
      <c r="L456" s="167" t="str">
        <f>IF(ISNUMBER(namespace_raw[[#This Row],[Column13]]), namespace_raw[[#This Row],[Column13]]/1048576,"")</f>
        <v/>
      </c>
      <c r="M456" s="168" t="str">
        <f>IF(ISNUMBER(namespace_raw[[#This Row],[Column10]]), (namespace_raw[[#This Row],[Column10]]*(1+$M$2)),"")</f>
        <v/>
      </c>
      <c r="N456" s="167" t="str">
        <f>IF(ISNUMBER(namespace_raw[[#This Row],[Column11]]), (namespace_raw[[#This Row],[Column11]]*(1+$N$2))/1048576,"")</f>
        <v/>
      </c>
      <c r="O456" s="169" t="str">
        <f>IF(ISNUMBER(namespace_raw[[#This Row],[Column8]]), (E456  * $O$2),"")</f>
        <v/>
      </c>
      <c r="P456" s="170" t="str">
        <f>IF(ISNUMBER(namespace_raw[[#This Row],[Column8]]), (F456  * $P$2),"")</f>
        <v/>
      </c>
    </row>
    <row r="457" spans="1:16" ht="15" customHeight="1" x14ac:dyDescent="0.25">
      <c r="A457" s="32" t="str">
        <f>IF(ISNONTEXT(namespace_raw[[#This Row],[Column1]]), "", namespace_raw[[#This Row],[Column1]])</f>
        <v/>
      </c>
      <c r="B457" s="33" t="str">
        <f>IF(ISNONTEXT(namespace_raw[[#This Row],[Column2]]), "", namespace_raw[[#This Row],[Column2]])</f>
        <v/>
      </c>
      <c r="C457" s="94" t="str">
        <f>IF(ISNUMBER(namespace_raw[[#This Row],[Column4]]), namespace_raw[[#This Row],[Column4]], "")</f>
        <v/>
      </c>
      <c r="D457" s="95" t="str">
        <f>IF(ISNUMBER(namespace_raw[[#This Row],[Column5]]), namespace_raw[[#This Row],[Column5]]/1048576, "")</f>
        <v/>
      </c>
      <c r="E457" s="95" t="str">
        <f>IF(ISNUMBER(namespace_raw[[#This Row],[Column6]]), namespace_raw[[#This Row],[Column6]],"")</f>
        <v/>
      </c>
      <c r="F457" s="96" t="str">
        <f>IF(ISNUMBER(namespace_raw[[#This Row],[Column7]]), namespace_raw[[#This Row],[Column7]]/1048576,"")</f>
        <v/>
      </c>
      <c r="G457" s="122" t="str">
        <f>IF(ISNUMBER(namespace_raw[[#This Row],[Column8]]), namespace_raw[[#This Row],[Column8]],"")</f>
        <v/>
      </c>
      <c r="H457" s="123" t="str">
        <f>IF(ISNUMBER(namespace_raw[[#This Row],[Column9]]), namespace_raw[[#This Row],[Column9]]/1048576,"")</f>
        <v/>
      </c>
      <c r="I457" s="124" t="str">
        <f>IF(ISNUMBER(namespace_raw[[#This Row],[Column8]]),MAX(G457, M457, O457, $I$2,IF(Q457&lt;&gt;"",VALUE(Q457),0)), "")</f>
        <v/>
      </c>
      <c r="J457" s="125" t="str">
        <f>IF(ISNUMBER(namespace_raw[[#This Row],[Column9]]),MAX(H457, N457, P457, $J$2,IF(R457&lt;&gt;"",VALUE(R457),0)),"")</f>
        <v/>
      </c>
      <c r="K457" s="166" t="str">
        <f>IF(ISNUMBER(namespace_raw[[#This Row],[Column12]]), namespace_raw[[#This Row],[Column12]],"")</f>
        <v/>
      </c>
      <c r="L457" s="167" t="str">
        <f>IF(ISNUMBER(namespace_raw[[#This Row],[Column13]]), namespace_raw[[#This Row],[Column13]]/1048576,"")</f>
        <v/>
      </c>
      <c r="M457" s="168" t="str">
        <f>IF(ISNUMBER(namespace_raw[[#This Row],[Column10]]), (namespace_raw[[#This Row],[Column10]]*(1+$M$2)),"")</f>
        <v/>
      </c>
      <c r="N457" s="167" t="str">
        <f>IF(ISNUMBER(namespace_raw[[#This Row],[Column11]]), (namespace_raw[[#This Row],[Column11]]*(1+$N$2))/1048576,"")</f>
        <v/>
      </c>
      <c r="O457" s="169" t="str">
        <f>IF(ISNUMBER(namespace_raw[[#This Row],[Column8]]), (E457  * $O$2),"")</f>
        <v/>
      </c>
      <c r="P457" s="170" t="str">
        <f>IF(ISNUMBER(namespace_raw[[#This Row],[Column8]]), (F457  * $P$2),"")</f>
        <v/>
      </c>
    </row>
    <row r="458" spans="1:16" ht="15" customHeight="1" x14ac:dyDescent="0.25">
      <c r="A458" s="32" t="str">
        <f>IF(ISNONTEXT(namespace_raw[[#This Row],[Column1]]), "", namespace_raw[[#This Row],[Column1]])</f>
        <v/>
      </c>
      <c r="B458" s="33" t="str">
        <f>IF(ISNONTEXT(namespace_raw[[#This Row],[Column2]]), "", namespace_raw[[#This Row],[Column2]])</f>
        <v/>
      </c>
      <c r="C458" s="94" t="str">
        <f>IF(ISNUMBER(namespace_raw[[#This Row],[Column4]]), namespace_raw[[#This Row],[Column4]], "")</f>
        <v/>
      </c>
      <c r="D458" s="95" t="str">
        <f>IF(ISNUMBER(namespace_raw[[#This Row],[Column5]]), namespace_raw[[#This Row],[Column5]]/1048576, "")</f>
        <v/>
      </c>
      <c r="E458" s="95" t="str">
        <f>IF(ISNUMBER(namespace_raw[[#This Row],[Column6]]), namespace_raw[[#This Row],[Column6]],"")</f>
        <v/>
      </c>
      <c r="F458" s="96" t="str">
        <f>IF(ISNUMBER(namespace_raw[[#This Row],[Column7]]), namespace_raw[[#This Row],[Column7]]/1048576,"")</f>
        <v/>
      </c>
      <c r="G458" s="122" t="str">
        <f>IF(ISNUMBER(namespace_raw[[#This Row],[Column8]]), namespace_raw[[#This Row],[Column8]],"")</f>
        <v/>
      </c>
      <c r="H458" s="123" t="str">
        <f>IF(ISNUMBER(namespace_raw[[#This Row],[Column9]]), namespace_raw[[#This Row],[Column9]]/1048576,"")</f>
        <v/>
      </c>
      <c r="I458" s="124" t="str">
        <f>IF(ISNUMBER(namespace_raw[[#This Row],[Column8]]),MAX(G458, M458, O458, $I$2,IF(Q458&lt;&gt;"",VALUE(Q458),0)), "")</f>
        <v/>
      </c>
      <c r="J458" s="125" t="str">
        <f>IF(ISNUMBER(namespace_raw[[#This Row],[Column9]]),MAX(H458, N458, P458, $J$2,IF(R458&lt;&gt;"",VALUE(R458),0)),"")</f>
        <v/>
      </c>
      <c r="K458" s="166" t="str">
        <f>IF(ISNUMBER(namespace_raw[[#This Row],[Column12]]), namespace_raw[[#This Row],[Column12]],"")</f>
        <v/>
      </c>
      <c r="L458" s="167" t="str">
        <f>IF(ISNUMBER(namespace_raw[[#This Row],[Column13]]), namespace_raw[[#This Row],[Column13]]/1048576,"")</f>
        <v/>
      </c>
      <c r="M458" s="168" t="str">
        <f>IF(ISNUMBER(namespace_raw[[#This Row],[Column10]]), (namespace_raw[[#This Row],[Column10]]*(1+$M$2)),"")</f>
        <v/>
      </c>
      <c r="N458" s="167" t="str">
        <f>IF(ISNUMBER(namespace_raw[[#This Row],[Column11]]), (namespace_raw[[#This Row],[Column11]]*(1+$N$2))/1048576,"")</f>
        <v/>
      </c>
      <c r="O458" s="169" t="str">
        <f>IF(ISNUMBER(namespace_raw[[#This Row],[Column8]]), (E458  * $O$2),"")</f>
        <v/>
      </c>
      <c r="P458" s="170" t="str">
        <f>IF(ISNUMBER(namespace_raw[[#This Row],[Column8]]), (F458  * $P$2),"")</f>
        <v/>
      </c>
    </row>
    <row r="459" spans="1:16" ht="15" customHeight="1" x14ac:dyDescent="0.25">
      <c r="A459" s="32" t="str">
        <f>IF(ISNONTEXT(namespace_raw[[#This Row],[Column1]]), "", namespace_raw[[#This Row],[Column1]])</f>
        <v/>
      </c>
      <c r="B459" s="33" t="str">
        <f>IF(ISNONTEXT(namespace_raw[[#This Row],[Column2]]), "", namespace_raw[[#This Row],[Column2]])</f>
        <v/>
      </c>
      <c r="C459" s="94" t="str">
        <f>IF(ISNUMBER(namespace_raw[[#This Row],[Column4]]), namespace_raw[[#This Row],[Column4]], "")</f>
        <v/>
      </c>
      <c r="D459" s="95" t="str">
        <f>IF(ISNUMBER(namespace_raw[[#This Row],[Column5]]), namespace_raw[[#This Row],[Column5]]/1048576, "")</f>
        <v/>
      </c>
      <c r="E459" s="95" t="str">
        <f>IF(ISNUMBER(namespace_raw[[#This Row],[Column6]]), namespace_raw[[#This Row],[Column6]],"")</f>
        <v/>
      </c>
      <c r="F459" s="96" t="str">
        <f>IF(ISNUMBER(namespace_raw[[#This Row],[Column7]]), namespace_raw[[#This Row],[Column7]]/1048576,"")</f>
        <v/>
      </c>
      <c r="G459" s="122" t="str">
        <f>IF(ISNUMBER(namespace_raw[[#This Row],[Column8]]), namespace_raw[[#This Row],[Column8]],"")</f>
        <v/>
      </c>
      <c r="H459" s="123" t="str">
        <f>IF(ISNUMBER(namespace_raw[[#This Row],[Column9]]), namespace_raw[[#This Row],[Column9]]/1048576,"")</f>
        <v/>
      </c>
      <c r="I459" s="124" t="str">
        <f>IF(ISNUMBER(namespace_raw[[#This Row],[Column8]]),MAX(G459, M459, O459, $I$2,IF(Q459&lt;&gt;"",VALUE(Q459),0)), "")</f>
        <v/>
      </c>
      <c r="J459" s="125" t="str">
        <f>IF(ISNUMBER(namespace_raw[[#This Row],[Column9]]),MAX(H459, N459, P459, $J$2,IF(R459&lt;&gt;"",VALUE(R459),0)),"")</f>
        <v/>
      </c>
      <c r="K459" s="166" t="str">
        <f>IF(ISNUMBER(namespace_raw[[#This Row],[Column12]]), namespace_raw[[#This Row],[Column12]],"")</f>
        <v/>
      </c>
      <c r="L459" s="167" t="str">
        <f>IF(ISNUMBER(namespace_raw[[#This Row],[Column13]]), namespace_raw[[#This Row],[Column13]]/1048576,"")</f>
        <v/>
      </c>
      <c r="M459" s="168" t="str">
        <f>IF(ISNUMBER(namespace_raw[[#This Row],[Column10]]), (namespace_raw[[#This Row],[Column10]]*(1+$M$2)),"")</f>
        <v/>
      </c>
      <c r="N459" s="167" t="str">
        <f>IF(ISNUMBER(namespace_raw[[#This Row],[Column11]]), (namespace_raw[[#This Row],[Column11]]*(1+$N$2))/1048576,"")</f>
        <v/>
      </c>
      <c r="O459" s="169" t="str">
        <f>IF(ISNUMBER(namespace_raw[[#This Row],[Column8]]), (E459  * $O$2),"")</f>
        <v/>
      </c>
      <c r="P459" s="170" t="str">
        <f>IF(ISNUMBER(namespace_raw[[#This Row],[Column8]]), (F459  * $P$2),"")</f>
        <v/>
      </c>
    </row>
    <row r="460" spans="1:16" ht="15" customHeight="1" x14ac:dyDescent="0.25">
      <c r="A460" s="32" t="str">
        <f>IF(ISNONTEXT(namespace_raw[[#This Row],[Column1]]), "", namespace_raw[[#This Row],[Column1]])</f>
        <v/>
      </c>
      <c r="B460" s="33" t="str">
        <f>IF(ISNONTEXT(namespace_raw[[#This Row],[Column2]]), "", namespace_raw[[#This Row],[Column2]])</f>
        <v/>
      </c>
      <c r="C460" s="94" t="str">
        <f>IF(ISNUMBER(namespace_raw[[#This Row],[Column4]]), namespace_raw[[#This Row],[Column4]], "")</f>
        <v/>
      </c>
      <c r="D460" s="95" t="str">
        <f>IF(ISNUMBER(namespace_raw[[#This Row],[Column5]]), namespace_raw[[#This Row],[Column5]]/1048576, "")</f>
        <v/>
      </c>
      <c r="E460" s="95" t="str">
        <f>IF(ISNUMBER(namespace_raw[[#This Row],[Column6]]), namespace_raw[[#This Row],[Column6]],"")</f>
        <v/>
      </c>
      <c r="F460" s="96" t="str">
        <f>IF(ISNUMBER(namespace_raw[[#This Row],[Column7]]), namespace_raw[[#This Row],[Column7]]/1048576,"")</f>
        <v/>
      </c>
      <c r="G460" s="122" t="str">
        <f>IF(ISNUMBER(namespace_raw[[#This Row],[Column8]]), namespace_raw[[#This Row],[Column8]],"")</f>
        <v/>
      </c>
      <c r="H460" s="123" t="str">
        <f>IF(ISNUMBER(namespace_raw[[#This Row],[Column9]]), namespace_raw[[#This Row],[Column9]]/1048576,"")</f>
        <v/>
      </c>
      <c r="I460" s="124" t="str">
        <f>IF(ISNUMBER(namespace_raw[[#This Row],[Column8]]),MAX(G460, M460, O460, $I$2,IF(Q460&lt;&gt;"",VALUE(Q460),0)), "")</f>
        <v/>
      </c>
      <c r="J460" s="125" t="str">
        <f>IF(ISNUMBER(namespace_raw[[#This Row],[Column9]]),MAX(H460, N460, P460, $J$2,IF(R460&lt;&gt;"",VALUE(R460),0)),"")</f>
        <v/>
      </c>
      <c r="K460" s="166" t="str">
        <f>IF(ISNUMBER(namespace_raw[[#This Row],[Column12]]), namespace_raw[[#This Row],[Column12]],"")</f>
        <v/>
      </c>
      <c r="L460" s="167" t="str">
        <f>IF(ISNUMBER(namespace_raw[[#This Row],[Column13]]), namespace_raw[[#This Row],[Column13]]/1048576,"")</f>
        <v/>
      </c>
      <c r="M460" s="168" t="str">
        <f>IF(ISNUMBER(namespace_raw[[#This Row],[Column10]]), (namespace_raw[[#This Row],[Column10]]*(1+$M$2)),"")</f>
        <v/>
      </c>
      <c r="N460" s="167" t="str">
        <f>IF(ISNUMBER(namespace_raw[[#This Row],[Column11]]), (namespace_raw[[#This Row],[Column11]]*(1+$N$2))/1048576,"")</f>
        <v/>
      </c>
      <c r="O460" s="169" t="str">
        <f>IF(ISNUMBER(namespace_raw[[#This Row],[Column8]]), (E460  * $O$2),"")</f>
        <v/>
      </c>
      <c r="P460" s="170" t="str">
        <f>IF(ISNUMBER(namespace_raw[[#This Row],[Column8]]), (F460  * $P$2),"")</f>
        <v/>
      </c>
    </row>
    <row r="461" spans="1:16" ht="15" customHeight="1" x14ac:dyDescent="0.25">
      <c r="A461" s="32" t="str">
        <f>IF(ISNONTEXT(namespace_raw[[#This Row],[Column1]]), "", namespace_raw[[#This Row],[Column1]])</f>
        <v/>
      </c>
      <c r="B461" s="33" t="str">
        <f>IF(ISNONTEXT(namespace_raw[[#This Row],[Column2]]), "", namespace_raw[[#This Row],[Column2]])</f>
        <v/>
      </c>
      <c r="C461" s="94" t="str">
        <f>IF(ISNUMBER(namespace_raw[[#This Row],[Column4]]), namespace_raw[[#This Row],[Column4]], "")</f>
        <v/>
      </c>
      <c r="D461" s="95" t="str">
        <f>IF(ISNUMBER(namespace_raw[[#This Row],[Column5]]), namespace_raw[[#This Row],[Column5]]/1048576, "")</f>
        <v/>
      </c>
      <c r="E461" s="95" t="str">
        <f>IF(ISNUMBER(namespace_raw[[#This Row],[Column6]]), namespace_raw[[#This Row],[Column6]],"")</f>
        <v/>
      </c>
      <c r="F461" s="96" t="str">
        <f>IF(ISNUMBER(namespace_raw[[#This Row],[Column7]]), namespace_raw[[#This Row],[Column7]]/1048576,"")</f>
        <v/>
      </c>
      <c r="G461" s="122" t="str">
        <f>IF(ISNUMBER(namespace_raw[[#This Row],[Column8]]), namespace_raw[[#This Row],[Column8]],"")</f>
        <v/>
      </c>
      <c r="H461" s="123" t="str">
        <f>IF(ISNUMBER(namespace_raw[[#This Row],[Column9]]), namespace_raw[[#This Row],[Column9]]/1048576,"")</f>
        <v/>
      </c>
      <c r="I461" s="124" t="str">
        <f>IF(ISNUMBER(namespace_raw[[#This Row],[Column8]]),MAX(G461, M461, O461, $I$2,IF(Q461&lt;&gt;"",VALUE(Q461),0)), "")</f>
        <v/>
      </c>
      <c r="J461" s="125" t="str">
        <f>IF(ISNUMBER(namespace_raw[[#This Row],[Column9]]),MAX(H461, N461, P461, $J$2,IF(R461&lt;&gt;"",VALUE(R461),0)),"")</f>
        <v/>
      </c>
      <c r="K461" s="166" t="str">
        <f>IF(ISNUMBER(namespace_raw[[#This Row],[Column12]]), namespace_raw[[#This Row],[Column12]],"")</f>
        <v/>
      </c>
      <c r="L461" s="167" t="str">
        <f>IF(ISNUMBER(namespace_raw[[#This Row],[Column13]]), namespace_raw[[#This Row],[Column13]]/1048576,"")</f>
        <v/>
      </c>
      <c r="M461" s="168" t="str">
        <f>IF(ISNUMBER(namespace_raw[[#This Row],[Column10]]), (namespace_raw[[#This Row],[Column10]]*(1+$M$2)),"")</f>
        <v/>
      </c>
      <c r="N461" s="167" t="str">
        <f>IF(ISNUMBER(namespace_raw[[#This Row],[Column11]]), (namespace_raw[[#This Row],[Column11]]*(1+$N$2))/1048576,"")</f>
        <v/>
      </c>
      <c r="O461" s="169" t="str">
        <f>IF(ISNUMBER(namespace_raw[[#This Row],[Column8]]), (E461  * $O$2),"")</f>
        <v/>
      </c>
      <c r="P461" s="170" t="str">
        <f>IF(ISNUMBER(namespace_raw[[#This Row],[Column8]]), (F461  * $P$2),"")</f>
        <v/>
      </c>
    </row>
    <row r="462" spans="1:16" ht="15" customHeight="1" x14ac:dyDescent="0.25">
      <c r="A462" s="32" t="str">
        <f>IF(ISNONTEXT(namespace_raw[[#This Row],[Column1]]), "", namespace_raw[[#This Row],[Column1]])</f>
        <v/>
      </c>
      <c r="B462" s="33" t="str">
        <f>IF(ISNONTEXT(namespace_raw[[#This Row],[Column2]]), "", namespace_raw[[#This Row],[Column2]])</f>
        <v/>
      </c>
      <c r="C462" s="94" t="str">
        <f>IF(ISNUMBER(namespace_raw[[#This Row],[Column4]]), namespace_raw[[#This Row],[Column4]], "")</f>
        <v/>
      </c>
      <c r="D462" s="95" t="str">
        <f>IF(ISNUMBER(namespace_raw[[#This Row],[Column5]]), namespace_raw[[#This Row],[Column5]]/1048576, "")</f>
        <v/>
      </c>
      <c r="E462" s="95" t="str">
        <f>IF(ISNUMBER(namespace_raw[[#This Row],[Column6]]), namespace_raw[[#This Row],[Column6]],"")</f>
        <v/>
      </c>
      <c r="F462" s="96" t="str">
        <f>IF(ISNUMBER(namespace_raw[[#This Row],[Column7]]), namespace_raw[[#This Row],[Column7]]/1048576,"")</f>
        <v/>
      </c>
      <c r="G462" s="122" t="str">
        <f>IF(ISNUMBER(namespace_raw[[#This Row],[Column8]]), namespace_raw[[#This Row],[Column8]],"")</f>
        <v/>
      </c>
      <c r="H462" s="123" t="str">
        <f>IF(ISNUMBER(namespace_raw[[#This Row],[Column9]]), namespace_raw[[#This Row],[Column9]]/1048576,"")</f>
        <v/>
      </c>
      <c r="I462" s="124" t="str">
        <f>IF(ISNUMBER(namespace_raw[[#This Row],[Column8]]),MAX(G462, M462, O462, $I$2,IF(Q462&lt;&gt;"",VALUE(Q462),0)), "")</f>
        <v/>
      </c>
      <c r="J462" s="125" t="str">
        <f>IF(ISNUMBER(namespace_raw[[#This Row],[Column9]]),MAX(H462, N462, P462, $J$2,IF(R462&lt;&gt;"",VALUE(R462),0)),"")</f>
        <v/>
      </c>
      <c r="K462" s="166" t="str">
        <f>IF(ISNUMBER(namespace_raw[[#This Row],[Column12]]), namespace_raw[[#This Row],[Column12]],"")</f>
        <v/>
      </c>
      <c r="L462" s="167" t="str">
        <f>IF(ISNUMBER(namespace_raw[[#This Row],[Column13]]), namespace_raw[[#This Row],[Column13]]/1048576,"")</f>
        <v/>
      </c>
      <c r="M462" s="168" t="str">
        <f>IF(ISNUMBER(namespace_raw[[#This Row],[Column10]]), (namespace_raw[[#This Row],[Column10]]*(1+$M$2)),"")</f>
        <v/>
      </c>
      <c r="N462" s="167" t="str">
        <f>IF(ISNUMBER(namespace_raw[[#This Row],[Column11]]), (namespace_raw[[#This Row],[Column11]]*(1+$N$2))/1048576,"")</f>
        <v/>
      </c>
      <c r="O462" s="169" t="str">
        <f>IF(ISNUMBER(namespace_raw[[#This Row],[Column8]]), (E462  * $O$2),"")</f>
        <v/>
      </c>
      <c r="P462" s="170" t="str">
        <f>IF(ISNUMBER(namespace_raw[[#This Row],[Column8]]), (F462  * $P$2),"")</f>
        <v/>
      </c>
    </row>
    <row r="463" spans="1:16" ht="15" customHeight="1" x14ac:dyDescent="0.25">
      <c r="A463" s="32" t="str">
        <f>IF(ISNONTEXT(namespace_raw[[#This Row],[Column1]]), "", namespace_raw[[#This Row],[Column1]])</f>
        <v/>
      </c>
      <c r="B463" s="33" t="str">
        <f>IF(ISNONTEXT(namespace_raw[[#This Row],[Column2]]), "", namespace_raw[[#This Row],[Column2]])</f>
        <v/>
      </c>
      <c r="C463" s="94" t="str">
        <f>IF(ISNUMBER(namespace_raw[[#This Row],[Column4]]), namespace_raw[[#This Row],[Column4]], "")</f>
        <v/>
      </c>
      <c r="D463" s="95" t="str">
        <f>IF(ISNUMBER(namespace_raw[[#This Row],[Column5]]), namespace_raw[[#This Row],[Column5]]/1048576, "")</f>
        <v/>
      </c>
      <c r="E463" s="95" t="str">
        <f>IF(ISNUMBER(namespace_raw[[#This Row],[Column6]]), namespace_raw[[#This Row],[Column6]],"")</f>
        <v/>
      </c>
      <c r="F463" s="96" t="str">
        <f>IF(ISNUMBER(namespace_raw[[#This Row],[Column7]]), namespace_raw[[#This Row],[Column7]]/1048576,"")</f>
        <v/>
      </c>
      <c r="G463" s="122" t="str">
        <f>IF(ISNUMBER(namespace_raw[[#This Row],[Column8]]), namespace_raw[[#This Row],[Column8]],"")</f>
        <v/>
      </c>
      <c r="H463" s="123" t="str">
        <f>IF(ISNUMBER(namespace_raw[[#This Row],[Column9]]), namespace_raw[[#This Row],[Column9]]/1048576,"")</f>
        <v/>
      </c>
      <c r="I463" s="124" t="str">
        <f>IF(ISNUMBER(namespace_raw[[#This Row],[Column8]]),MAX(G463, M463, O463, $I$2,IF(Q463&lt;&gt;"",VALUE(Q463),0)), "")</f>
        <v/>
      </c>
      <c r="J463" s="125" t="str">
        <f>IF(ISNUMBER(namespace_raw[[#This Row],[Column9]]),MAX(H463, N463, P463, $J$2,IF(R463&lt;&gt;"",VALUE(R463),0)),"")</f>
        <v/>
      </c>
      <c r="K463" s="166" t="str">
        <f>IF(ISNUMBER(namespace_raw[[#This Row],[Column12]]), namespace_raw[[#This Row],[Column12]],"")</f>
        <v/>
      </c>
      <c r="L463" s="167" t="str">
        <f>IF(ISNUMBER(namespace_raw[[#This Row],[Column13]]), namespace_raw[[#This Row],[Column13]]/1048576,"")</f>
        <v/>
      </c>
      <c r="M463" s="168" t="str">
        <f>IF(ISNUMBER(namespace_raw[[#This Row],[Column10]]), (namespace_raw[[#This Row],[Column10]]*(1+$M$2)),"")</f>
        <v/>
      </c>
      <c r="N463" s="167" t="str">
        <f>IF(ISNUMBER(namespace_raw[[#This Row],[Column11]]), (namespace_raw[[#This Row],[Column11]]*(1+$N$2))/1048576,"")</f>
        <v/>
      </c>
      <c r="O463" s="169" t="str">
        <f>IF(ISNUMBER(namespace_raw[[#This Row],[Column8]]), (E463  * $O$2),"")</f>
        <v/>
      </c>
      <c r="P463" s="170" t="str">
        <f>IF(ISNUMBER(namespace_raw[[#This Row],[Column8]]), (F463  * $P$2),"")</f>
        <v/>
      </c>
    </row>
    <row r="464" spans="1:16" ht="15" customHeight="1" x14ac:dyDescent="0.25">
      <c r="A464" s="32" t="str">
        <f>IF(ISNONTEXT(namespace_raw[[#This Row],[Column1]]), "", namespace_raw[[#This Row],[Column1]])</f>
        <v/>
      </c>
      <c r="B464" s="33" t="str">
        <f>IF(ISNONTEXT(namespace_raw[[#This Row],[Column2]]), "", namespace_raw[[#This Row],[Column2]])</f>
        <v/>
      </c>
      <c r="C464" s="94" t="str">
        <f>IF(ISNUMBER(namespace_raw[[#This Row],[Column4]]), namespace_raw[[#This Row],[Column4]], "")</f>
        <v/>
      </c>
      <c r="D464" s="95" t="str">
        <f>IF(ISNUMBER(namespace_raw[[#This Row],[Column5]]), namespace_raw[[#This Row],[Column5]]/1048576, "")</f>
        <v/>
      </c>
      <c r="E464" s="95" t="str">
        <f>IF(ISNUMBER(namespace_raw[[#This Row],[Column6]]), namespace_raw[[#This Row],[Column6]],"")</f>
        <v/>
      </c>
      <c r="F464" s="96" t="str">
        <f>IF(ISNUMBER(namespace_raw[[#This Row],[Column7]]), namespace_raw[[#This Row],[Column7]]/1048576,"")</f>
        <v/>
      </c>
      <c r="G464" s="122" t="str">
        <f>IF(ISNUMBER(namespace_raw[[#This Row],[Column8]]), namespace_raw[[#This Row],[Column8]],"")</f>
        <v/>
      </c>
      <c r="H464" s="123" t="str">
        <f>IF(ISNUMBER(namespace_raw[[#This Row],[Column9]]), namespace_raw[[#This Row],[Column9]]/1048576,"")</f>
        <v/>
      </c>
      <c r="I464" s="124" t="str">
        <f>IF(ISNUMBER(namespace_raw[[#This Row],[Column8]]),MAX(G464, M464, O464, $I$2,IF(Q464&lt;&gt;"",VALUE(Q464),0)), "")</f>
        <v/>
      </c>
      <c r="J464" s="125" t="str">
        <f>IF(ISNUMBER(namespace_raw[[#This Row],[Column9]]),MAX(H464, N464, P464, $J$2,IF(R464&lt;&gt;"",VALUE(R464),0)),"")</f>
        <v/>
      </c>
      <c r="K464" s="166" t="str">
        <f>IF(ISNUMBER(namespace_raw[[#This Row],[Column12]]), namespace_raw[[#This Row],[Column12]],"")</f>
        <v/>
      </c>
      <c r="L464" s="167" t="str">
        <f>IF(ISNUMBER(namespace_raw[[#This Row],[Column13]]), namespace_raw[[#This Row],[Column13]]/1048576,"")</f>
        <v/>
      </c>
      <c r="M464" s="168" t="str">
        <f>IF(ISNUMBER(namespace_raw[[#This Row],[Column10]]), (namespace_raw[[#This Row],[Column10]]*(1+$M$2)),"")</f>
        <v/>
      </c>
      <c r="N464" s="167" t="str">
        <f>IF(ISNUMBER(namespace_raw[[#This Row],[Column11]]), (namespace_raw[[#This Row],[Column11]]*(1+$N$2))/1048576,"")</f>
        <v/>
      </c>
      <c r="O464" s="169" t="str">
        <f>IF(ISNUMBER(namespace_raw[[#This Row],[Column8]]), (E464  * $O$2),"")</f>
        <v/>
      </c>
      <c r="P464" s="170" t="str">
        <f>IF(ISNUMBER(namespace_raw[[#This Row],[Column8]]), (F464  * $P$2),"")</f>
        <v/>
      </c>
    </row>
    <row r="465" spans="1:16" ht="15" customHeight="1" x14ac:dyDescent="0.25">
      <c r="A465" s="32" t="str">
        <f>IF(ISNONTEXT(namespace_raw[[#This Row],[Column1]]), "", namespace_raw[[#This Row],[Column1]])</f>
        <v/>
      </c>
      <c r="B465" s="33" t="str">
        <f>IF(ISNONTEXT(namespace_raw[[#This Row],[Column2]]), "", namespace_raw[[#This Row],[Column2]])</f>
        <v/>
      </c>
      <c r="C465" s="94" t="str">
        <f>IF(ISNUMBER(namespace_raw[[#This Row],[Column4]]), namespace_raw[[#This Row],[Column4]], "")</f>
        <v/>
      </c>
      <c r="D465" s="95" t="str">
        <f>IF(ISNUMBER(namespace_raw[[#This Row],[Column5]]), namespace_raw[[#This Row],[Column5]]/1048576, "")</f>
        <v/>
      </c>
      <c r="E465" s="95" t="str">
        <f>IF(ISNUMBER(namespace_raw[[#This Row],[Column6]]), namespace_raw[[#This Row],[Column6]],"")</f>
        <v/>
      </c>
      <c r="F465" s="96" t="str">
        <f>IF(ISNUMBER(namespace_raw[[#This Row],[Column7]]), namespace_raw[[#This Row],[Column7]]/1048576,"")</f>
        <v/>
      </c>
      <c r="G465" s="122" t="str">
        <f>IF(ISNUMBER(namespace_raw[[#This Row],[Column8]]), namespace_raw[[#This Row],[Column8]],"")</f>
        <v/>
      </c>
      <c r="H465" s="123" t="str">
        <f>IF(ISNUMBER(namespace_raw[[#This Row],[Column9]]), namespace_raw[[#This Row],[Column9]]/1048576,"")</f>
        <v/>
      </c>
      <c r="I465" s="124" t="str">
        <f>IF(ISNUMBER(namespace_raw[[#This Row],[Column8]]),MAX(G465, M465, O465, $I$2,IF(Q465&lt;&gt;"",VALUE(Q465),0)), "")</f>
        <v/>
      </c>
      <c r="J465" s="125" t="str">
        <f>IF(ISNUMBER(namespace_raw[[#This Row],[Column9]]),MAX(H465, N465, P465, $J$2,IF(R465&lt;&gt;"",VALUE(R465),0)),"")</f>
        <v/>
      </c>
      <c r="K465" s="166" t="str">
        <f>IF(ISNUMBER(namespace_raw[[#This Row],[Column12]]), namespace_raw[[#This Row],[Column12]],"")</f>
        <v/>
      </c>
      <c r="L465" s="167" t="str">
        <f>IF(ISNUMBER(namespace_raw[[#This Row],[Column13]]), namespace_raw[[#This Row],[Column13]]/1048576,"")</f>
        <v/>
      </c>
      <c r="M465" s="168" t="str">
        <f>IF(ISNUMBER(namespace_raw[[#This Row],[Column10]]), (namespace_raw[[#This Row],[Column10]]*(1+$M$2)),"")</f>
        <v/>
      </c>
      <c r="N465" s="167" t="str">
        <f>IF(ISNUMBER(namespace_raw[[#This Row],[Column11]]), (namespace_raw[[#This Row],[Column11]]*(1+$N$2))/1048576,"")</f>
        <v/>
      </c>
      <c r="O465" s="169" t="str">
        <f>IF(ISNUMBER(namespace_raw[[#This Row],[Column8]]), (E465  * $O$2),"")</f>
        <v/>
      </c>
      <c r="P465" s="170" t="str">
        <f>IF(ISNUMBER(namespace_raw[[#This Row],[Column8]]), (F465  * $P$2),"")</f>
        <v/>
      </c>
    </row>
    <row r="466" spans="1:16" ht="15" customHeight="1" x14ac:dyDescent="0.25">
      <c r="A466" s="32" t="str">
        <f>IF(ISNONTEXT(namespace_raw[[#This Row],[Column1]]), "", namespace_raw[[#This Row],[Column1]])</f>
        <v/>
      </c>
      <c r="B466" s="33" t="str">
        <f>IF(ISNONTEXT(namespace_raw[[#This Row],[Column2]]), "", namespace_raw[[#This Row],[Column2]])</f>
        <v/>
      </c>
      <c r="C466" s="94" t="str">
        <f>IF(ISNUMBER(namespace_raw[[#This Row],[Column4]]), namespace_raw[[#This Row],[Column4]], "")</f>
        <v/>
      </c>
      <c r="D466" s="95" t="str">
        <f>IF(ISNUMBER(namespace_raw[[#This Row],[Column5]]), namespace_raw[[#This Row],[Column5]]/1048576, "")</f>
        <v/>
      </c>
      <c r="E466" s="95" t="str">
        <f>IF(ISNUMBER(namespace_raw[[#This Row],[Column6]]), namespace_raw[[#This Row],[Column6]],"")</f>
        <v/>
      </c>
      <c r="F466" s="96" t="str">
        <f>IF(ISNUMBER(namespace_raw[[#This Row],[Column7]]), namespace_raw[[#This Row],[Column7]]/1048576,"")</f>
        <v/>
      </c>
      <c r="G466" s="122" t="str">
        <f>IF(ISNUMBER(namespace_raw[[#This Row],[Column8]]), namespace_raw[[#This Row],[Column8]],"")</f>
        <v/>
      </c>
      <c r="H466" s="123" t="str">
        <f>IF(ISNUMBER(namespace_raw[[#This Row],[Column9]]), namespace_raw[[#This Row],[Column9]]/1048576,"")</f>
        <v/>
      </c>
      <c r="I466" s="124" t="str">
        <f>IF(ISNUMBER(namespace_raw[[#This Row],[Column8]]),MAX(G466, M466, O466, $I$2,IF(Q466&lt;&gt;"",VALUE(Q466),0)), "")</f>
        <v/>
      </c>
      <c r="J466" s="125" t="str">
        <f>IF(ISNUMBER(namespace_raw[[#This Row],[Column9]]),MAX(H466, N466, P466, $J$2,IF(R466&lt;&gt;"",VALUE(R466),0)),"")</f>
        <v/>
      </c>
      <c r="K466" s="166" t="str">
        <f>IF(ISNUMBER(namespace_raw[[#This Row],[Column12]]), namespace_raw[[#This Row],[Column12]],"")</f>
        <v/>
      </c>
      <c r="L466" s="167" t="str">
        <f>IF(ISNUMBER(namespace_raw[[#This Row],[Column13]]), namespace_raw[[#This Row],[Column13]]/1048576,"")</f>
        <v/>
      </c>
      <c r="M466" s="168" t="str">
        <f>IF(ISNUMBER(namespace_raw[[#This Row],[Column10]]), (namespace_raw[[#This Row],[Column10]]*(1+$M$2)),"")</f>
        <v/>
      </c>
      <c r="N466" s="167" t="str">
        <f>IF(ISNUMBER(namespace_raw[[#This Row],[Column11]]), (namespace_raw[[#This Row],[Column11]]*(1+$N$2))/1048576,"")</f>
        <v/>
      </c>
      <c r="O466" s="169" t="str">
        <f>IF(ISNUMBER(namespace_raw[[#This Row],[Column8]]), (E466  * $O$2),"")</f>
        <v/>
      </c>
      <c r="P466" s="170" t="str">
        <f>IF(ISNUMBER(namespace_raw[[#This Row],[Column8]]), (F466  * $P$2),"")</f>
        <v/>
      </c>
    </row>
    <row r="467" spans="1:16" ht="15" customHeight="1" x14ac:dyDescent="0.25">
      <c r="A467" s="32" t="str">
        <f>IF(ISNONTEXT(namespace_raw[[#This Row],[Column1]]), "", namespace_raw[[#This Row],[Column1]])</f>
        <v/>
      </c>
      <c r="B467" s="33" t="str">
        <f>IF(ISNONTEXT(namespace_raw[[#This Row],[Column2]]), "", namespace_raw[[#This Row],[Column2]])</f>
        <v/>
      </c>
      <c r="C467" s="94" t="str">
        <f>IF(ISNUMBER(namespace_raw[[#This Row],[Column4]]), namespace_raw[[#This Row],[Column4]], "")</f>
        <v/>
      </c>
      <c r="D467" s="95" t="str">
        <f>IF(ISNUMBER(namespace_raw[[#This Row],[Column5]]), namespace_raw[[#This Row],[Column5]]/1048576, "")</f>
        <v/>
      </c>
      <c r="E467" s="95" t="str">
        <f>IF(ISNUMBER(namespace_raw[[#This Row],[Column6]]), namespace_raw[[#This Row],[Column6]],"")</f>
        <v/>
      </c>
      <c r="F467" s="96" t="str">
        <f>IF(ISNUMBER(namespace_raw[[#This Row],[Column7]]), namespace_raw[[#This Row],[Column7]]/1048576,"")</f>
        <v/>
      </c>
      <c r="G467" s="122" t="str">
        <f>IF(ISNUMBER(namespace_raw[[#This Row],[Column8]]), namespace_raw[[#This Row],[Column8]],"")</f>
        <v/>
      </c>
      <c r="H467" s="123" t="str">
        <f>IF(ISNUMBER(namespace_raw[[#This Row],[Column9]]), namespace_raw[[#This Row],[Column9]]/1048576,"")</f>
        <v/>
      </c>
      <c r="I467" s="124" t="str">
        <f>IF(ISNUMBER(namespace_raw[[#This Row],[Column8]]),MAX(G467, M467, O467, $I$2,IF(Q467&lt;&gt;"",VALUE(Q467),0)), "")</f>
        <v/>
      </c>
      <c r="J467" s="125" t="str">
        <f>IF(ISNUMBER(namespace_raw[[#This Row],[Column9]]),MAX(H467, N467, P467, $J$2,IF(R467&lt;&gt;"",VALUE(R467),0)),"")</f>
        <v/>
      </c>
      <c r="K467" s="166" t="str">
        <f>IF(ISNUMBER(namespace_raw[[#This Row],[Column12]]), namespace_raw[[#This Row],[Column12]],"")</f>
        <v/>
      </c>
      <c r="L467" s="167" t="str">
        <f>IF(ISNUMBER(namespace_raw[[#This Row],[Column13]]), namespace_raw[[#This Row],[Column13]]/1048576,"")</f>
        <v/>
      </c>
      <c r="M467" s="168" t="str">
        <f>IF(ISNUMBER(namespace_raw[[#This Row],[Column10]]), (namespace_raw[[#This Row],[Column10]]*(1+$M$2)),"")</f>
        <v/>
      </c>
      <c r="N467" s="167" t="str">
        <f>IF(ISNUMBER(namespace_raw[[#This Row],[Column11]]), (namespace_raw[[#This Row],[Column11]]*(1+$N$2))/1048576,"")</f>
        <v/>
      </c>
      <c r="O467" s="169" t="str">
        <f>IF(ISNUMBER(namespace_raw[[#This Row],[Column8]]), (E467  * $O$2),"")</f>
        <v/>
      </c>
      <c r="P467" s="170" t="str">
        <f>IF(ISNUMBER(namespace_raw[[#This Row],[Column8]]), (F467  * $P$2),"")</f>
        <v/>
      </c>
    </row>
    <row r="468" spans="1:16" ht="15" customHeight="1" x14ac:dyDescent="0.25">
      <c r="A468" s="32" t="str">
        <f>IF(ISNONTEXT(namespace_raw[[#This Row],[Column1]]), "", namespace_raw[[#This Row],[Column1]])</f>
        <v/>
      </c>
      <c r="B468" s="33" t="str">
        <f>IF(ISNONTEXT(namespace_raw[[#This Row],[Column2]]), "", namespace_raw[[#This Row],[Column2]])</f>
        <v/>
      </c>
      <c r="C468" s="94" t="str">
        <f>IF(ISNUMBER(namespace_raw[[#This Row],[Column4]]), namespace_raw[[#This Row],[Column4]], "")</f>
        <v/>
      </c>
      <c r="D468" s="95" t="str">
        <f>IF(ISNUMBER(namespace_raw[[#This Row],[Column5]]), namespace_raw[[#This Row],[Column5]]/1048576, "")</f>
        <v/>
      </c>
      <c r="E468" s="95" t="str">
        <f>IF(ISNUMBER(namespace_raw[[#This Row],[Column6]]), namespace_raw[[#This Row],[Column6]],"")</f>
        <v/>
      </c>
      <c r="F468" s="96" t="str">
        <f>IF(ISNUMBER(namespace_raw[[#This Row],[Column7]]), namespace_raw[[#This Row],[Column7]]/1048576,"")</f>
        <v/>
      </c>
      <c r="G468" s="122" t="str">
        <f>IF(ISNUMBER(namespace_raw[[#This Row],[Column8]]), namespace_raw[[#This Row],[Column8]],"")</f>
        <v/>
      </c>
      <c r="H468" s="123" t="str">
        <f>IF(ISNUMBER(namespace_raw[[#This Row],[Column9]]), namespace_raw[[#This Row],[Column9]]/1048576,"")</f>
        <v/>
      </c>
      <c r="I468" s="124" t="str">
        <f>IF(ISNUMBER(namespace_raw[[#This Row],[Column8]]),MAX(G468, M468, O468, $I$2,IF(Q468&lt;&gt;"",VALUE(Q468),0)), "")</f>
        <v/>
      </c>
      <c r="J468" s="125" t="str">
        <f>IF(ISNUMBER(namespace_raw[[#This Row],[Column9]]),MAX(H468, N468, P468, $J$2,IF(R468&lt;&gt;"",VALUE(R468),0)),"")</f>
        <v/>
      </c>
      <c r="K468" s="166" t="str">
        <f>IF(ISNUMBER(namespace_raw[[#This Row],[Column12]]), namespace_raw[[#This Row],[Column12]],"")</f>
        <v/>
      </c>
      <c r="L468" s="167" t="str">
        <f>IF(ISNUMBER(namespace_raw[[#This Row],[Column13]]), namespace_raw[[#This Row],[Column13]]/1048576,"")</f>
        <v/>
      </c>
      <c r="M468" s="168" t="str">
        <f>IF(ISNUMBER(namespace_raw[[#This Row],[Column10]]), (namespace_raw[[#This Row],[Column10]]*(1+$M$2)),"")</f>
        <v/>
      </c>
      <c r="N468" s="167" t="str">
        <f>IF(ISNUMBER(namespace_raw[[#This Row],[Column11]]), (namespace_raw[[#This Row],[Column11]]*(1+$N$2))/1048576,"")</f>
        <v/>
      </c>
      <c r="O468" s="169" t="str">
        <f>IF(ISNUMBER(namespace_raw[[#This Row],[Column8]]), (E468  * $O$2),"")</f>
        <v/>
      </c>
      <c r="P468" s="170" t="str">
        <f>IF(ISNUMBER(namespace_raw[[#This Row],[Column8]]), (F468  * $P$2),"")</f>
        <v/>
      </c>
    </row>
    <row r="469" spans="1:16" ht="15" customHeight="1" x14ac:dyDescent="0.25">
      <c r="A469" s="32" t="str">
        <f>IF(ISNONTEXT(namespace_raw[[#This Row],[Column1]]), "", namespace_raw[[#This Row],[Column1]])</f>
        <v/>
      </c>
      <c r="B469" s="33" t="str">
        <f>IF(ISNONTEXT(namespace_raw[[#This Row],[Column2]]), "", namespace_raw[[#This Row],[Column2]])</f>
        <v/>
      </c>
      <c r="C469" s="94" t="str">
        <f>IF(ISNUMBER(namespace_raw[[#This Row],[Column4]]), namespace_raw[[#This Row],[Column4]], "")</f>
        <v/>
      </c>
      <c r="D469" s="95" t="str">
        <f>IF(ISNUMBER(namespace_raw[[#This Row],[Column5]]), namespace_raw[[#This Row],[Column5]]/1048576, "")</f>
        <v/>
      </c>
      <c r="E469" s="95" t="str">
        <f>IF(ISNUMBER(namespace_raw[[#This Row],[Column6]]), namespace_raw[[#This Row],[Column6]],"")</f>
        <v/>
      </c>
      <c r="F469" s="96" t="str">
        <f>IF(ISNUMBER(namespace_raw[[#This Row],[Column7]]), namespace_raw[[#This Row],[Column7]]/1048576,"")</f>
        <v/>
      </c>
      <c r="G469" s="122" t="str">
        <f>IF(ISNUMBER(namespace_raw[[#This Row],[Column8]]), namespace_raw[[#This Row],[Column8]],"")</f>
        <v/>
      </c>
      <c r="H469" s="123" t="str">
        <f>IF(ISNUMBER(namespace_raw[[#This Row],[Column9]]), namespace_raw[[#This Row],[Column9]]/1048576,"")</f>
        <v/>
      </c>
      <c r="I469" s="124" t="str">
        <f>IF(ISNUMBER(namespace_raw[[#This Row],[Column8]]),MAX(G469, M469, O469, $I$2,IF(Q469&lt;&gt;"",VALUE(Q469),0)), "")</f>
        <v/>
      </c>
      <c r="J469" s="125" t="str">
        <f>IF(ISNUMBER(namespace_raw[[#This Row],[Column9]]),MAX(H469, N469, P469, $J$2,IF(R469&lt;&gt;"",VALUE(R469),0)),"")</f>
        <v/>
      </c>
      <c r="K469" s="166" t="str">
        <f>IF(ISNUMBER(namespace_raw[[#This Row],[Column12]]), namespace_raw[[#This Row],[Column12]],"")</f>
        <v/>
      </c>
      <c r="L469" s="167" t="str">
        <f>IF(ISNUMBER(namespace_raw[[#This Row],[Column13]]), namespace_raw[[#This Row],[Column13]]/1048576,"")</f>
        <v/>
      </c>
      <c r="M469" s="168" t="str">
        <f>IF(ISNUMBER(namespace_raw[[#This Row],[Column10]]), (namespace_raw[[#This Row],[Column10]]*(1+$M$2)),"")</f>
        <v/>
      </c>
      <c r="N469" s="167" t="str">
        <f>IF(ISNUMBER(namespace_raw[[#This Row],[Column11]]), (namespace_raw[[#This Row],[Column11]]*(1+$N$2))/1048576,"")</f>
        <v/>
      </c>
      <c r="O469" s="169" t="str">
        <f>IF(ISNUMBER(namespace_raw[[#This Row],[Column8]]), (E469  * $O$2),"")</f>
        <v/>
      </c>
      <c r="P469" s="170" t="str">
        <f>IF(ISNUMBER(namespace_raw[[#This Row],[Column8]]), (F469  * $P$2),"")</f>
        <v/>
      </c>
    </row>
    <row r="470" spans="1:16" ht="15" customHeight="1" x14ac:dyDescent="0.25">
      <c r="A470" s="32" t="str">
        <f>IF(ISNONTEXT(namespace_raw[[#This Row],[Column1]]), "", namespace_raw[[#This Row],[Column1]])</f>
        <v/>
      </c>
      <c r="B470" s="33" t="str">
        <f>IF(ISNONTEXT(namespace_raw[[#This Row],[Column2]]), "", namespace_raw[[#This Row],[Column2]])</f>
        <v/>
      </c>
      <c r="C470" s="94" t="str">
        <f>IF(ISNUMBER(namespace_raw[[#This Row],[Column4]]), namespace_raw[[#This Row],[Column4]], "")</f>
        <v/>
      </c>
      <c r="D470" s="95" t="str">
        <f>IF(ISNUMBER(namespace_raw[[#This Row],[Column5]]), namespace_raw[[#This Row],[Column5]]/1048576, "")</f>
        <v/>
      </c>
      <c r="E470" s="95" t="str">
        <f>IF(ISNUMBER(namespace_raw[[#This Row],[Column6]]), namespace_raw[[#This Row],[Column6]],"")</f>
        <v/>
      </c>
      <c r="F470" s="96" t="str">
        <f>IF(ISNUMBER(namespace_raw[[#This Row],[Column7]]), namespace_raw[[#This Row],[Column7]]/1048576,"")</f>
        <v/>
      </c>
      <c r="G470" s="122" t="str">
        <f>IF(ISNUMBER(namespace_raw[[#This Row],[Column8]]), namespace_raw[[#This Row],[Column8]],"")</f>
        <v/>
      </c>
      <c r="H470" s="123" t="str">
        <f>IF(ISNUMBER(namespace_raw[[#This Row],[Column9]]), namespace_raw[[#This Row],[Column9]]/1048576,"")</f>
        <v/>
      </c>
      <c r="I470" s="124" t="str">
        <f>IF(ISNUMBER(namespace_raw[[#This Row],[Column8]]),MAX(G470, M470, O470, $I$2,IF(Q470&lt;&gt;"",VALUE(Q470),0)), "")</f>
        <v/>
      </c>
      <c r="J470" s="125" t="str">
        <f>IF(ISNUMBER(namespace_raw[[#This Row],[Column9]]),MAX(H470, N470, P470, $J$2,IF(R470&lt;&gt;"",VALUE(R470),0)),"")</f>
        <v/>
      </c>
      <c r="K470" s="166" t="str">
        <f>IF(ISNUMBER(namespace_raw[[#This Row],[Column12]]), namespace_raw[[#This Row],[Column12]],"")</f>
        <v/>
      </c>
      <c r="L470" s="167" t="str">
        <f>IF(ISNUMBER(namespace_raw[[#This Row],[Column13]]), namespace_raw[[#This Row],[Column13]]/1048576,"")</f>
        <v/>
      </c>
      <c r="M470" s="168" t="str">
        <f>IF(ISNUMBER(namespace_raw[[#This Row],[Column10]]), (namespace_raw[[#This Row],[Column10]]*(1+$M$2)),"")</f>
        <v/>
      </c>
      <c r="N470" s="167" t="str">
        <f>IF(ISNUMBER(namespace_raw[[#This Row],[Column11]]), (namespace_raw[[#This Row],[Column11]]*(1+$N$2))/1048576,"")</f>
        <v/>
      </c>
      <c r="O470" s="169" t="str">
        <f>IF(ISNUMBER(namespace_raw[[#This Row],[Column8]]), (E470  * $O$2),"")</f>
        <v/>
      </c>
      <c r="P470" s="170" t="str">
        <f>IF(ISNUMBER(namespace_raw[[#This Row],[Column8]]), (F470  * $P$2),"")</f>
        <v/>
      </c>
    </row>
    <row r="471" spans="1:16" ht="15" customHeight="1" x14ac:dyDescent="0.25">
      <c r="A471" s="32" t="str">
        <f>IF(ISNONTEXT(namespace_raw[[#This Row],[Column1]]), "", namespace_raw[[#This Row],[Column1]])</f>
        <v/>
      </c>
      <c r="B471" s="33" t="str">
        <f>IF(ISNONTEXT(namespace_raw[[#This Row],[Column2]]), "", namespace_raw[[#This Row],[Column2]])</f>
        <v/>
      </c>
      <c r="C471" s="94" t="str">
        <f>IF(ISNUMBER(namespace_raw[[#This Row],[Column4]]), namespace_raw[[#This Row],[Column4]], "")</f>
        <v/>
      </c>
      <c r="D471" s="95" t="str">
        <f>IF(ISNUMBER(namespace_raw[[#This Row],[Column5]]), namespace_raw[[#This Row],[Column5]]/1048576, "")</f>
        <v/>
      </c>
      <c r="E471" s="95" t="str">
        <f>IF(ISNUMBER(namespace_raw[[#This Row],[Column6]]), namespace_raw[[#This Row],[Column6]],"")</f>
        <v/>
      </c>
      <c r="F471" s="96" t="str">
        <f>IF(ISNUMBER(namespace_raw[[#This Row],[Column7]]), namespace_raw[[#This Row],[Column7]]/1048576,"")</f>
        <v/>
      </c>
      <c r="G471" s="122" t="str">
        <f>IF(ISNUMBER(namespace_raw[[#This Row],[Column8]]), namespace_raw[[#This Row],[Column8]],"")</f>
        <v/>
      </c>
      <c r="H471" s="123" t="str">
        <f>IF(ISNUMBER(namespace_raw[[#This Row],[Column9]]), namespace_raw[[#This Row],[Column9]]/1048576,"")</f>
        <v/>
      </c>
      <c r="I471" s="124" t="str">
        <f>IF(ISNUMBER(namespace_raw[[#This Row],[Column8]]),MAX(G471, M471, O471, $I$2,IF(Q471&lt;&gt;"",VALUE(Q471),0)), "")</f>
        <v/>
      </c>
      <c r="J471" s="125" t="str">
        <f>IF(ISNUMBER(namespace_raw[[#This Row],[Column9]]),MAX(H471, N471, P471, $J$2,IF(R471&lt;&gt;"",VALUE(R471),0)),"")</f>
        <v/>
      </c>
      <c r="K471" s="166" t="str">
        <f>IF(ISNUMBER(namespace_raw[[#This Row],[Column12]]), namespace_raw[[#This Row],[Column12]],"")</f>
        <v/>
      </c>
      <c r="L471" s="167" t="str">
        <f>IF(ISNUMBER(namespace_raw[[#This Row],[Column13]]), namespace_raw[[#This Row],[Column13]]/1048576,"")</f>
        <v/>
      </c>
      <c r="M471" s="168" t="str">
        <f>IF(ISNUMBER(namespace_raw[[#This Row],[Column10]]), (namespace_raw[[#This Row],[Column10]]*(1+$M$2)),"")</f>
        <v/>
      </c>
      <c r="N471" s="167" t="str">
        <f>IF(ISNUMBER(namespace_raw[[#This Row],[Column11]]), (namespace_raw[[#This Row],[Column11]]*(1+$N$2))/1048576,"")</f>
        <v/>
      </c>
      <c r="O471" s="169" t="str">
        <f>IF(ISNUMBER(namespace_raw[[#This Row],[Column8]]), (E471  * $O$2),"")</f>
        <v/>
      </c>
      <c r="P471" s="170" t="str">
        <f>IF(ISNUMBER(namespace_raw[[#This Row],[Column8]]), (F471  * $P$2),"")</f>
        <v/>
      </c>
    </row>
    <row r="472" spans="1:16" ht="15" customHeight="1" x14ac:dyDescent="0.25">
      <c r="A472" s="32" t="str">
        <f>IF(ISNONTEXT(namespace_raw[[#This Row],[Column1]]), "", namespace_raw[[#This Row],[Column1]])</f>
        <v/>
      </c>
      <c r="B472" s="33" t="str">
        <f>IF(ISNONTEXT(namespace_raw[[#This Row],[Column2]]), "", namespace_raw[[#This Row],[Column2]])</f>
        <v/>
      </c>
      <c r="C472" s="94" t="str">
        <f>IF(ISNUMBER(namespace_raw[[#This Row],[Column4]]), namespace_raw[[#This Row],[Column4]], "")</f>
        <v/>
      </c>
      <c r="D472" s="95" t="str">
        <f>IF(ISNUMBER(namespace_raw[[#This Row],[Column5]]), namespace_raw[[#This Row],[Column5]]/1048576, "")</f>
        <v/>
      </c>
      <c r="E472" s="95" t="str">
        <f>IF(ISNUMBER(namespace_raw[[#This Row],[Column6]]), namespace_raw[[#This Row],[Column6]],"")</f>
        <v/>
      </c>
      <c r="F472" s="96" t="str">
        <f>IF(ISNUMBER(namespace_raw[[#This Row],[Column7]]), namespace_raw[[#This Row],[Column7]]/1048576,"")</f>
        <v/>
      </c>
      <c r="G472" s="122" t="str">
        <f>IF(ISNUMBER(namespace_raw[[#This Row],[Column8]]), namespace_raw[[#This Row],[Column8]],"")</f>
        <v/>
      </c>
      <c r="H472" s="123" t="str">
        <f>IF(ISNUMBER(namespace_raw[[#This Row],[Column9]]), namespace_raw[[#This Row],[Column9]]/1048576,"")</f>
        <v/>
      </c>
      <c r="I472" s="124" t="str">
        <f>IF(ISNUMBER(namespace_raw[[#This Row],[Column8]]),MAX(G472, M472, O472, $I$2,IF(Q472&lt;&gt;"",VALUE(Q472),0)), "")</f>
        <v/>
      </c>
      <c r="J472" s="125" t="str">
        <f>IF(ISNUMBER(namespace_raw[[#This Row],[Column9]]),MAX(H472, N472, P472, $J$2,IF(R472&lt;&gt;"",VALUE(R472),0)),"")</f>
        <v/>
      </c>
      <c r="K472" s="166" t="str">
        <f>IF(ISNUMBER(namespace_raw[[#This Row],[Column12]]), namespace_raw[[#This Row],[Column12]],"")</f>
        <v/>
      </c>
      <c r="L472" s="167" t="str">
        <f>IF(ISNUMBER(namespace_raw[[#This Row],[Column13]]), namespace_raw[[#This Row],[Column13]]/1048576,"")</f>
        <v/>
      </c>
      <c r="M472" s="168" t="str">
        <f>IF(ISNUMBER(namespace_raw[[#This Row],[Column10]]), (namespace_raw[[#This Row],[Column10]]*(1+$M$2)),"")</f>
        <v/>
      </c>
      <c r="N472" s="167" t="str">
        <f>IF(ISNUMBER(namespace_raw[[#This Row],[Column11]]), (namespace_raw[[#This Row],[Column11]]*(1+$N$2))/1048576,"")</f>
        <v/>
      </c>
      <c r="O472" s="169" t="str">
        <f>IF(ISNUMBER(namespace_raw[[#This Row],[Column8]]), (E472  * $O$2),"")</f>
        <v/>
      </c>
      <c r="P472" s="170" t="str">
        <f>IF(ISNUMBER(namespace_raw[[#This Row],[Column8]]), (F472  * $P$2),"")</f>
        <v/>
      </c>
    </row>
    <row r="473" spans="1:16" ht="15" customHeight="1" x14ac:dyDescent="0.25">
      <c r="A473" s="32" t="str">
        <f>IF(ISNONTEXT(namespace_raw[[#This Row],[Column1]]), "", namespace_raw[[#This Row],[Column1]])</f>
        <v/>
      </c>
      <c r="B473" s="33" t="str">
        <f>IF(ISNONTEXT(namespace_raw[[#This Row],[Column2]]), "", namespace_raw[[#This Row],[Column2]])</f>
        <v/>
      </c>
      <c r="C473" s="94" t="str">
        <f>IF(ISNUMBER(namespace_raw[[#This Row],[Column4]]), namespace_raw[[#This Row],[Column4]], "")</f>
        <v/>
      </c>
      <c r="D473" s="95" t="str">
        <f>IF(ISNUMBER(namespace_raw[[#This Row],[Column5]]), namespace_raw[[#This Row],[Column5]]/1048576, "")</f>
        <v/>
      </c>
      <c r="E473" s="95" t="str">
        <f>IF(ISNUMBER(namespace_raw[[#This Row],[Column6]]), namespace_raw[[#This Row],[Column6]],"")</f>
        <v/>
      </c>
      <c r="F473" s="96" t="str">
        <f>IF(ISNUMBER(namespace_raw[[#This Row],[Column7]]), namespace_raw[[#This Row],[Column7]]/1048576,"")</f>
        <v/>
      </c>
      <c r="G473" s="122" t="str">
        <f>IF(ISNUMBER(namespace_raw[[#This Row],[Column8]]), namespace_raw[[#This Row],[Column8]],"")</f>
        <v/>
      </c>
      <c r="H473" s="123" t="str">
        <f>IF(ISNUMBER(namespace_raw[[#This Row],[Column9]]), namespace_raw[[#This Row],[Column9]]/1048576,"")</f>
        <v/>
      </c>
      <c r="I473" s="124" t="str">
        <f>IF(ISNUMBER(namespace_raw[[#This Row],[Column8]]),MAX(G473, M473, O473, $I$2,IF(Q473&lt;&gt;"",VALUE(Q473),0)), "")</f>
        <v/>
      </c>
      <c r="J473" s="125" t="str">
        <f>IF(ISNUMBER(namespace_raw[[#This Row],[Column9]]),MAX(H473, N473, P473, $J$2,IF(R473&lt;&gt;"",VALUE(R473),0)),"")</f>
        <v/>
      </c>
      <c r="K473" s="166" t="str">
        <f>IF(ISNUMBER(namespace_raw[[#This Row],[Column12]]), namespace_raw[[#This Row],[Column12]],"")</f>
        <v/>
      </c>
      <c r="L473" s="167" t="str">
        <f>IF(ISNUMBER(namespace_raw[[#This Row],[Column13]]), namespace_raw[[#This Row],[Column13]]/1048576,"")</f>
        <v/>
      </c>
      <c r="M473" s="168" t="str">
        <f>IF(ISNUMBER(namespace_raw[[#This Row],[Column10]]), (namespace_raw[[#This Row],[Column10]]*(1+$M$2)),"")</f>
        <v/>
      </c>
      <c r="N473" s="167" t="str">
        <f>IF(ISNUMBER(namespace_raw[[#This Row],[Column11]]), (namespace_raw[[#This Row],[Column11]]*(1+$N$2))/1048576,"")</f>
        <v/>
      </c>
      <c r="O473" s="169" t="str">
        <f>IF(ISNUMBER(namespace_raw[[#This Row],[Column8]]), (E473  * $O$2),"")</f>
        <v/>
      </c>
      <c r="P473" s="170" t="str">
        <f>IF(ISNUMBER(namespace_raw[[#This Row],[Column8]]), (F473  * $P$2),"")</f>
        <v/>
      </c>
    </row>
    <row r="474" spans="1:16" ht="15" customHeight="1" x14ac:dyDescent="0.25">
      <c r="A474" s="32" t="str">
        <f>IF(ISNONTEXT(namespace_raw[[#This Row],[Column1]]), "", namespace_raw[[#This Row],[Column1]])</f>
        <v/>
      </c>
      <c r="B474" s="33" t="str">
        <f>IF(ISNONTEXT(namespace_raw[[#This Row],[Column2]]), "", namespace_raw[[#This Row],[Column2]])</f>
        <v/>
      </c>
      <c r="C474" s="94" t="str">
        <f>IF(ISNUMBER(namespace_raw[[#This Row],[Column4]]), namespace_raw[[#This Row],[Column4]], "")</f>
        <v/>
      </c>
      <c r="D474" s="95" t="str">
        <f>IF(ISNUMBER(namespace_raw[[#This Row],[Column5]]), namespace_raw[[#This Row],[Column5]]/1048576, "")</f>
        <v/>
      </c>
      <c r="E474" s="95" t="str">
        <f>IF(ISNUMBER(namespace_raw[[#This Row],[Column6]]), namespace_raw[[#This Row],[Column6]],"")</f>
        <v/>
      </c>
      <c r="F474" s="96" t="str">
        <f>IF(ISNUMBER(namespace_raw[[#This Row],[Column7]]), namespace_raw[[#This Row],[Column7]]/1048576,"")</f>
        <v/>
      </c>
      <c r="G474" s="122" t="str">
        <f>IF(ISNUMBER(namespace_raw[[#This Row],[Column8]]), namespace_raw[[#This Row],[Column8]],"")</f>
        <v/>
      </c>
      <c r="H474" s="123" t="str">
        <f>IF(ISNUMBER(namespace_raw[[#This Row],[Column9]]), namespace_raw[[#This Row],[Column9]]/1048576,"")</f>
        <v/>
      </c>
      <c r="I474" s="124" t="str">
        <f>IF(ISNUMBER(namespace_raw[[#This Row],[Column8]]),MAX(G474, M474, O474, $I$2,IF(Q474&lt;&gt;"",VALUE(Q474),0)), "")</f>
        <v/>
      </c>
      <c r="J474" s="125" t="str">
        <f>IF(ISNUMBER(namespace_raw[[#This Row],[Column9]]),MAX(H474, N474, P474, $J$2,IF(R474&lt;&gt;"",VALUE(R474),0)),"")</f>
        <v/>
      </c>
      <c r="K474" s="166" t="str">
        <f>IF(ISNUMBER(namespace_raw[[#This Row],[Column12]]), namespace_raw[[#This Row],[Column12]],"")</f>
        <v/>
      </c>
      <c r="L474" s="167" t="str">
        <f>IF(ISNUMBER(namespace_raw[[#This Row],[Column13]]), namespace_raw[[#This Row],[Column13]]/1048576,"")</f>
        <v/>
      </c>
      <c r="M474" s="168" t="str">
        <f>IF(ISNUMBER(namespace_raw[[#This Row],[Column10]]), (namespace_raw[[#This Row],[Column10]]*(1+$M$2)),"")</f>
        <v/>
      </c>
      <c r="N474" s="167" t="str">
        <f>IF(ISNUMBER(namespace_raw[[#This Row],[Column11]]), (namespace_raw[[#This Row],[Column11]]*(1+$N$2))/1048576,"")</f>
        <v/>
      </c>
      <c r="O474" s="169" t="str">
        <f>IF(ISNUMBER(namespace_raw[[#This Row],[Column8]]), (E474  * $O$2),"")</f>
        <v/>
      </c>
      <c r="P474" s="170" t="str">
        <f>IF(ISNUMBER(namespace_raw[[#This Row],[Column8]]), (F474  * $P$2),"")</f>
        <v/>
      </c>
    </row>
    <row r="475" spans="1:16" ht="15" customHeight="1" x14ac:dyDescent="0.25">
      <c r="A475" s="32" t="str">
        <f>IF(ISNONTEXT(namespace_raw[[#This Row],[Column1]]), "", namespace_raw[[#This Row],[Column1]])</f>
        <v/>
      </c>
      <c r="B475" s="33" t="str">
        <f>IF(ISNONTEXT(namespace_raw[[#This Row],[Column2]]), "", namespace_raw[[#This Row],[Column2]])</f>
        <v/>
      </c>
      <c r="C475" s="94" t="str">
        <f>IF(ISNUMBER(namespace_raw[[#This Row],[Column4]]), namespace_raw[[#This Row],[Column4]], "")</f>
        <v/>
      </c>
      <c r="D475" s="95" t="str">
        <f>IF(ISNUMBER(namespace_raw[[#This Row],[Column5]]), namespace_raw[[#This Row],[Column5]]/1048576, "")</f>
        <v/>
      </c>
      <c r="E475" s="95" t="str">
        <f>IF(ISNUMBER(namespace_raw[[#This Row],[Column6]]), namespace_raw[[#This Row],[Column6]],"")</f>
        <v/>
      </c>
      <c r="F475" s="96" t="str">
        <f>IF(ISNUMBER(namespace_raw[[#This Row],[Column7]]), namespace_raw[[#This Row],[Column7]]/1048576,"")</f>
        <v/>
      </c>
      <c r="G475" s="122" t="str">
        <f>IF(ISNUMBER(namespace_raw[[#This Row],[Column8]]), namespace_raw[[#This Row],[Column8]],"")</f>
        <v/>
      </c>
      <c r="H475" s="123" t="str">
        <f>IF(ISNUMBER(namespace_raw[[#This Row],[Column9]]), namespace_raw[[#This Row],[Column9]]/1048576,"")</f>
        <v/>
      </c>
      <c r="I475" s="124" t="str">
        <f>IF(ISNUMBER(namespace_raw[[#This Row],[Column8]]),MAX(G475, M475, O475, $I$2,IF(Q475&lt;&gt;"",VALUE(Q475),0)), "")</f>
        <v/>
      </c>
      <c r="J475" s="125" t="str">
        <f>IF(ISNUMBER(namespace_raw[[#This Row],[Column9]]),MAX(H475, N475, P475, $J$2,IF(R475&lt;&gt;"",VALUE(R475),0)),"")</f>
        <v/>
      </c>
      <c r="K475" s="166" t="str">
        <f>IF(ISNUMBER(namespace_raw[[#This Row],[Column12]]), namespace_raw[[#This Row],[Column12]],"")</f>
        <v/>
      </c>
      <c r="L475" s="167" t="str">
        <f>IF(ISNUMBER(namespace_raw[[#This Row],[Column13]]), namespace_raw[[#This Row],[Column13]]/1048576,"")</f>
        <v/>
      </c>
      <c r="M475" s="168" t="str">
        <f>IF(ISNUMBER(namespace_raw[[#This Row],[Column10]]), (namespace_raw[[#This Row],[Column10]]*(1+$M$2)),"")</f>
        <v/>
      </c>
      <c r="N475" s="167" t="str">
        <f>IF(ISNUMBER(namespace_raw[[#This Row],[Column11]]), (namespace_raw[[#This Row],[Column11]]*(1+$N$2))/1048576,"")</f>
        <v/>
      </c>
      <c r="O475" s="169" t="str">
        <f>IF(ISNUMBER(namespace_raw[[#This Row],[Column8]]), (E475  * $O$2),"")</f>
        <v/>
      </c>
      <c r="P475" s="170" t="str">
        <f>IF(ISNUMBER(namespace_raw[[#This Row],[Column8]]), (F475  * $P$2),"")</f>
        <v/>
      </c>
    </row>
    <row r="476" spans="1:16" ht="15" customHeight="1" x14ac:dyDescent="0.25">
      <c r="A476" s="32" t="str">
        <f>IF(ISNONTEXT(namespace_raw[[#This Row],[Column1]]), "", namespace_raw[[#This Row],[Column1]])</f>
        <v/>
      </c>
      <c r="B476" s="33" t="str">
        <f>IF(ISNONTEXT(namespace_raw[[#This Row],[Column2]]), "", namespace_raw[[#This Row],[Column2]])</f>
        <v/>
      </c>
      <c r="C476" s="94" t="str">
        <f>IF(ISNUMBER(namespace_raw[[#This Row],[Column4]]), namespace_raw[[#This Row],[Column4]], "")</f>
        <v/>
      </c>
      <c r="D476" s="95" t="str">
        <f>IF(ISNUMBER(namespace_raw[[#This Row],[Column5]]), namespace_raw[[#This Row],[Column5]]/1048576, "")</f>
        <v/>
      </c>
      <c r="E476" s="95" t="str">
        <f>IF(ISNUMBER(namespace_raw[[#This Row],[Column6]]), namespace_raw[[#This Row],[Column6]],"")</f>
        <v/>
      </c>
      <c r="F476" s="96" t="str">
        <f>IF(ISNUMBER(namespace_raw[[#This Row],[Column7]]), namespace_raw[[#This Row],[Column7]]/1048576,"")</f>
        <v/>
      </c>
      <c r="G476" s="122" t="str">
        <f>IF(ISNUMBER(namespace_raw[[#This Row],[Column8]]), namespace_raw[[#This Row],[Column8]],"")</f>
        <v/>
      </c>
      <c r="H476" s="123" t="str">
        <f>IF(ISNUMBER(namespace_raw[[#This Row],[Column9]]), namespace_raw[[#This Row],[Column9]]/1048576,"")</f>
        <v/>
      </c>
      <c r="I476" s="124" t="str">
        <f>IF(ISNUMBER(namespace_raw[[#This Row],[Column8]]),MAX(G476, M476, O476, $I$2,IF(Q476&lt;&gt;"",VALUE(Q476),0)), "")</f>
        <v/>
      </c>
      <c r="J476" s="125" t="str">
        <f>IF(ISNUMBER(namespace_raw[[#This Row],[Column9]]),MAX(H476, N476, P476, $J$2,IF(R476&lt;&gt;"",VALUE(R476),0)),"")</f>
        <v/>
      </c>
      <c r="K476" s="166" t="str">
        <f>IF(ISNUMBER(namespace_raw[[#This Row],[Column12]]), namespace_raw[[#This Row],[Column12]],"")</f>
        <v/>
      </c>
      <c r="L476" s="167" t="str">
        <f>IF(ISNUMBER(namespace_raw[[#This Row],[Column13]]), namespace_raw[[#This Row],[Column13]]/1048576,"")</f>
        <v/>
      </c>
      <c r="M476" s="168" t="str">
        <f>IF(ISNUMBER(namespace_raw[[#This Row],[Column10]]), (namespace_raw[[#This Row],[Column10]]*(1+$M$2)),"")</f>
        <v/>
      </c>
      <c r="N476" s="167" t="str">
        <f>IF(ISNUMBER(namespace_raw[[#This Row],[Column11]]), (namespace_raw[[#This Row],[Column11]]*(1+$N$2))/1048576,"")</f>
        <v/>
      </c>
      <c r="O476" s="169" t="str">
        <f>IF(ISNUMBER(namespace_raw[[#This Row],[Column8]]), (E476  * $O$2),"")</f>
        <v/>
      </c>
      <c r="P476" s="170" t="str">
        <f>IF(ISNUMBER(namespace_raw[[#This Row],[Column8]]), (F476  * $P$2),"")</f>
        <v/>
      </c>
    </row>
    <row r="477" spans="1:16" ht="15" customHeight="1" x14ac:dyDescent="0.25">
      <c r="A477" s="32" t="str">
        <f>IF(ISNONTEXT(namespace_raw[[#This Row],[Column1]]), "", namespace_raw[[#This Row],[Column1]])</f>
        <v/>
      </c>
      <c r="B477" s="33" t="str">
        <f>IF(ISNONTEXT(namespace_raw[[#This Row],[Column2]]), "", namespace_raw[[#This Row],[Column2]])</f>
        <v/>
      </c>
      <c r="C477" s="94" t="str">
        <f>IF(ISNUMBER(namespace_raw[[#This Row],[Column4]]), namespace_raw[[#This Row],[Column4]], "")</f>
        <v/>
      </c>
      <c r="D477" s="95" t="str">
        <f>IF(ISNUMBER(namespace_raw[[#This Row],[Column5]]), namespace_raw[[#This Row],[Column5]]/1048576, "")</f>
        <v/>
      </c>
      <c r="E477" s="95" t="str">
        <f>IF(ISNUMBER(namespace_raw[[#This Row],[Column6]]), namespace_raw[[#This Row],[Column6]],"")</f>
        <v/>
      </c>
      <c r="F477" s="96" t="str">
        <f>IF(ISNUMBER(namespace_raw[[#This Row],[Column7]]), namespace_raw[[#This Row],[Column7]]/1048576,"")</f>
        <v/>
      </c>
      <c r="G477" s="122" t="str">
        <f>IF(ISNUMBER(namespace_raw[[#This Row],[Column8]]), namespace_raw[[#This Row],[Column8]],"")</f>
        <v/>
      </c>
      <c r="H477" s="123" t="str">
        <f>IF(ISNUMBER(namespace_raw[[#This Row],[Column9]]), namespace_raw[[#This Row],[Column9]]/1048576,"")</f>
        <v/>
      </c>
      <c r="I477" s="124" t="str">
        <f>IF(ISNUMBER(namespace_raw[[#This Row],[Column8]]),MAX(G477, M477, O477, $I$2,IF(Q477&lt;&gt;"",VALUE(Q477),0)), "")</f>
        <v/>
      </c>
      <c r="J477" s="125" t="str">
        <f>IF(ISNUMBER(namespace_raw[[#This Row],[Column9]]),MAX(H477, N477, P477, $J$2,IF(R477&lt;&gt;"",VALUE(R477),0)),"")</f>
        <v/>
      </c>
      <c r="K477" s="166" t="str">
        <f>IF(ISNUMBER(namespace_raw[[#This Row],[Column12]]), namespace_raw[[#This Row],[Column12]],"")</f>
        <v/>
      </c>
      <c r="L477" s="167" t="str">
        <f>IF(ISNUMBER(namespace_raw[[#This Row],[Column13]]), namespace_raw[[#This Row],[Column13]]/1048576,"")</f>
        <v/>
      </c>
      <c r="M477" s="168" t="str">
        <f>IF(ISNUMBER(namespace_raw[[#This Row],[Column10]]), (namespace_raw[[#This Row],[Column10]]*(1+$M$2)),"")</f>
        <v/>
      </c>
      <c r="N477" s="167" t="str">
        <f>IF(ISNUMBER(namespace_raw[[#This Row],[Column11]]), (namespace_raw[[#This Row],[Column11]]*(1+$N$2))/1048576,"")</f>
        <v/>
      </c>
      <c r="O477" s="169" t="str">
        <f>IF(ISNUMBER(namespace_raw[[#This Row],[Column8]]), (E477  * $O$2),"")</f>
        <v/>
      </c>
      <c r="P477" s="170" t="str">
        <f>IF(ISNUMBER(namespace_raw[[#This Row],[Column8]]), (F477  * $P$2),"")</f>
        <v/>
      </c>
    </row>
    <row r="478" spans="1:16" ht="15" customHeight="1" x14ac:dyDescent="0.25">
      <c r="A478" s="32" t="str">
        <f>IF(ISNONTEXT(namespace_raw[[#This Row],[Column1]]), "", namespace_raw[[#This Row],[Column1]])</f>
        <v/>
      </c>
      <c r="B478" s="33" t="str">
        <f>IF(ISNONTEXT(namespace_raw[[#This Row],[Column2]]), "", namespace_raw[[#This Row],[Column2]])</f>
        <v/>
      </c>
      <c r="C478" s="94" t="str">
        <f>IF(ISNUMBER(namespace_raw[[#This Row],[Column4]]), namespace_raw[[#This Row],[Column4]], "")</f>
        <v/>
      </c>
      <c r="D478" s="95" t="str">
        <f>IF(ISNUMBER(namespace_raw[[#This Row],[Column5]]), namespace_raw[[#This Row],[Column5]]/1048576, "")</f>
        <v/>
      </c>
      <c r="E478" s="95" t="str">
        <f>IF(ISNUMBER(namespace_raw[[#This Row],[Column6]]), namespace_raw[[#This Row],[Column6]],"")</f>
        <v/>
      </c>
      <c r="F478" s="96" t="str">
        <f>IF(ISNUMBER(namespace_raw[[#This Row],[Column7]]), namespace_raw[[#This Row],[Column7]]/1048576,"")</f>
        <v/>
      </c>
      <c r="G478" s="122" t="str">
        <f>IF(ISNUMBER(namespace_raw[[#This Row],[Column8]]), namespace_raw[[#This Row],[Column8]],"")</f>
        <v/>
      </c>
      <c r="H478" s="123" t="str">
        <f>IF(ISNUMBER(namespace_raw[[#This Row],[Column9]]), namespace_raw[[#This Row],[Column9]]/1048576,"")</f>
        <v/>
      </c>
      <c r="I478" s="124" t="str">
        <f>IF(ISNUMBER(namespace_raw[[#This Row],[Column8]]),MAX(G478, M478, O478, $I$2,IF(Q478&lt;&gt;"",VALUE(Q478),0)), "")</f>
        <v/>
      </c>
      <c r="J478" s="125" t="str">
        <f>IF(ISNUMBER(namespace_raw[[#This Row],[Column9]]),MAX(H478, N478, P478, $J$2,IF(R478&lt;&gt;"",VALUE(R478),0)),"")</f>
        <v/>
      </c>
      <c r="K478" s="166" t="str">
        <f>IF(ISNUMBER(namespace_raw[[#This Row],[Column12]]), namespace_raw[[#This Row],[Column12]],"")</f>
        <v/>
      </c>
      <c r="L478" s="167" t="str">
        <f>IF(ISNUMBER(namespace_raw[[#This Row],[Column13]]), namespace_raw[[#This Row],[Column13]]/1048576,"")</f>
        <v/>
      </c>
      <c r="M478" s="168" t="str">
        <f>IF(ISNUMBER(namespace_raw[[#This Row],[Column10]]), (namespace_raw[[#This Row],[Column10]]*(1+$M$2)),"")</f>
        <v/>
      </c>
      <c r="N478" s="167" t="str">
        <f>IF(ISNUMBER(namespace_raw[[#This Row],[Column11]]), (namespace_raw[[#This Row],[Column11]]*(1+$N$2))/1048576,"")</f>
        <v/>
      </c>
      <c r="O478" s="169" t="str">
        <f>IF(ISNUMBER(namespace_raw[[#This Row],[Column8]]), (E478  * $O$2),"")</f>
        <v/>
      </c>
      <c r="P478" s="170" t="str">
        <f>IF(ISNUMBER(namespace_raw[[#This Row],[Column8]]), (F478  * $P$2),"")</f>
        <v/>
      </c>
    </row>
    <row r="479" spans="1:16" ht="15" customHeight="1" x14ac:dyDescent="0.25">
      <c r="A479" s="32" t="str">
        <f>IF(ISNONTEXT(namespace_raw[[#This Row],[Column1]]), "", namespace_raw[[#This Row],[Column1]])</f>
        <v/>
      </c>
      <c r="B479" s="33" t="str">
        <f>IF(ISNONTEXT(namespace_raw[[#This Row],[Column2]]), "", namespace_raw[[#This Row],[Column2]])</f>
        <v/>
      </c>
      <c r="C479" s="94" t="str">
        <f>IF(ISNUMBER(namespace_raw[[#This Row],[Column4]]), namespace_raw[[#This Row],[Column4]], "")</f>
        <v/>
      </c>
      <c r="D479" s="95" t="str">
        <f>IF(ISNUMBER(namespace_raw[[#This Row],[Column5]]), namespace_raw[[#This Row],[Column5]]/1048576, "")</f>
        <v/>
      </c>
      <c r="E479" s="95" t="str">
        <f>IF(ISNUMBER(namespace_raw[[#This Row],[Column6]]), namespace_raw[[#This Row],[Column6]],"")</f>
        <v/>
      </c>
      <c r="F479" s="96" t="str">
        <f>IF(ISNUMBER(namespace_raw[[#This Row],[Column7]]), namespace_raw[[#This Row],[Column7]]/1048576,"")</f>
        <v/>
      </c>
      <c r="G479" s="122" t="str">
        <f>IF(ISNUMBER(namespace_raw[[#This Row],[Column8]]), namespace_raw[[#This Row],[Column8]],"")</f>
        <v/>
      </c>
      <c r="H479" s="123" t="str">
        <f>IF(ISNUMBER(namespace_raw[[#This Row],[Column9]]), namespace_raw[[#This Row],[Column9]]/1048576,"")</f>
        <v/>
      </c>
      <c r="I479" s="124" t="str">
        <f>IF(ISNUMBER(namespace_raw[[#This Row],[Column8]]),MAX(G479, M479, O479, $I$2,IF(Q479&lt;&gt;"",VALUE(Q479),0)), "")</f>
        <v/>
      </c>
      <c r="J479" s="125" t="str">
        <f>IF(ISNUMBER(namespace_raw[[#This Row],[Column9]]),MAX(H479, N479, P479, $J$2,IF(R479&lt;&gt;"",VALUE(R479),0)),"")</f>
        <v/>
      </c>
      <c r="K479" s="166" t="str">
        <f>IF(ISNUMBER(namespace_raw[[#This Row],[Column12]]), namespace_raw[[#This Row],[Column12]],"")</f>
        <v/>
      </c>
      <c r="L479" s="167" t="str">
        <f>IF(ISNUMBER(namespace_raw[[#This Row],[Column13]]), namespace_raw[[#This Row],[Column13]]/1048576,"")</f>
        <v/>
      </c>
      <c r="M479" s="168" t="str">
        <f>IF(ISNUMBER(namespace_raw[[#This Row],[Column10]]), (namespace_raw[[#This Row],[Column10]]*(1+$M$2)),"")</f>
        <v/>
      </c>
      <c r="N479" s="167" t="str">
        <f>IF(ISNUMBER(namespace_raw[[#This Row],[Column11]]), (namespace_raw[[#This Row],[Column11]]*(1+$N$2))/1048576,"")</f>
        <v/>
      </c>
      <c r="O479" s="169" t="str">
        <f>IF(ISNUMBER(namespace_raw[[#This Row],[Column8]]), (E479  * $O$2),"")</f>
        <v/>
      </c>
      <c r="P479" s="170" t="str">
        <f>IF(ISNUMBER(namespace_raw[[#This Row],[Column8]]), (F479  * $P$2),"")</f>
        <v/>
      </c>
    </row>
    <row r="480" spans="1:16" ht="15" customHeight="1" x14ac:dyDescent="0.25">
      <c r="A480" s="32" t="str">
        <f>IF(ISNONTEXT(namespace_raw[[#This Row],[Column1]]), "", namespace_raw[[#This Row],[Column1]])</f>
        <v/>
      </c>
      <c r="B480" s="33" t="str">
        <f>IF(ISNONTEXT(namespace_raw[[#This Row],[Column2]]), "", namespace_raw[[#This Row],[Column2]])</f>
        <v/>
      </c>
      <c r="C480" s="94" t="str">
        <f>IF(ISNUMBER(namespace_raw[[#This Row],[Column4]]), namespace_raw[[#This Row],[Column4]], "")</f>
        <v/>
      </c>
      <c r="D480" s="95" t="str">
        <f>IF(ISNUMBER(namespace_raw[[#This Row],[Column5]]), namespace_raw[[#This Row],[Column5]]/1048576, "")</f>
        <v/>
      </c>
      <c r="E480" s="95" t="str">
        <f>IF(ISNUMBER(namespace_raw[[#This Row],[Column6]]), namespace_raw[[#This Row],[Column6]],"")</f>
        <v/>
      </c>
      <c r="F480" s="96" t="str">
        <f>IF(ISNUMBER(namespace_raw[[#This Row],[Column7]]), namespace_raw[[#This Row],[Column7]]/1048576,"")</f>
        <v/>
      </c>
      <c r="G480" s="122" t="str">
        <f>IF(ISNUMBER(namespace_raw[[#This Row],[Column8]]), namespace_raw[[#This Row],[Column8]],"")</f>
        <v/>
      </c>
      <c r="H480" s="123" t="str">
        <f>IF(ISNUMBER(namespace_raw[[#This Row],[Column9]]), namespace_raw[[#This Row],[Column9]]/1048576,"")</f>
        <v/>
      </c>
      <c r="I480" s="124" t="str">
        <f>IF(ISNUMBER(namespace_raw[[#This Row],[Column8]]),MAX(G480, M480, O480, $I$2,IF(Q480&lt;&gt;"",VALUE(Q480),0)), "")</f>
        <v/>
      </c>
      <c r="J480" s="125" t="str">
        <f>IF(ISNUMBER(namespace_raw[[#This Row],[Column9]]),MAX(H480, N480, P480, $J$2,IF(R480&lt;&gt;"",VALUE(R480),0)),"")</f>
        <v/>
      </c>
      <c r="K480" s="166" t="str">
        <f>IF(ISNUMBER(namespace_raw[[#This Row],[Column12]]), namespace_raw[[#This Row],[Column12]],"")</f>
        <v/>
      </c>
      <c r="L480" s="167" t="str">
        <f>IF(ISNUMBER(namespace_raw[[#This Row],[Column13]]), namespace_raw[[#This Row],[Column13]]/1048576,"")</f>
        <v/>
      </c>
      <c r="M480" s="168" t="str">
        <f>IF(ISNUMBER(namespace_raw[[#This Row],[Column10]]), (namespace_raw[[#This Row],[Column10]]*(1+$M$2)),"")</f>
        <v/>
      </c>
      <c r="N480" s="167" t="str">
        <f>IF(ISNUMBER(namespace_raw[[#This Row],[Column11]]), (namespace_raw[[#This Row],[Column11]]*(1+$N$2))/1048576,"")</f>
        <v/>
      </c>
      <c r="O480" s="169" t="str">
        <f>IF(ISNUMBER(namespace_raw[[#This Row],[Column8]]), (E480  * $O$2),"")</f>
        <v/>
      </c>
      <c r="P480" s="170" t="str">
        <f>IF(ISNUMBER(namespace_raw[[#This Row],[Column8]]), (F480  * $P$2),"")</f>
        <v/>
      </c>
    </row>
    <row r="481" spans="1:16" ht="15" customHeight="1" x14ac:dyDescent="0.25">
      <c r="A481" s="32" t="str">
        <f>IF(ISNONTEXT(namespace_raw[[#This Row],[Column1]]), "", namespace_raw[[#This Row],[Column1]])</f>
        <v/>
      </c>
      <c r="B481" s="33" t="str">
        <f>IF(ISNONTEXT(namespace_raw[[#This Row],[Column2]]), "", namespace_raw[[#This Row],[Column2]])</f>
        <v/>
      </c>
      <c r="C481" s="94" t="str">
        <f>IF(ISNUMBER(namespace_raw[[#This Row],[Column4]]), namespace_raw[[#This Row],[Column4]], "")</f>
        <v/>
      </c>
      <c r="D481" s="95" t="str">
        <f>IF(ISNUMBER(namespace_raw[[#This Row],[Column5]]), namespace_raw[[#This Row],[Column5]]/1048576, "")</f>
        <v/>
      </c>
      <c r="E481" s="95" t="str">
        <f>IF(ISNUMBER(namespace_raw[[#This Row],[Column6]]), namespace_raw[[#This Row],[Column6]],"")</f>
        <v/>
      </c>
      <c r="F481" s="96" t="str">
        <f>IF(ISNUMBER(namespace_raw[[#This Row],[Column7]]), namespace_raw[[#This Row],[Column7]]/1048576,"")</f>
        <v/>
      </c>
      <c r="G481" s="122" t="str">
        <f>IF(ISNUMBER(namespace_raw[[#This Row],[Column8]]), namespace_raw[[#This Row],[Column8]],"")</f>
        <v/>
      </c>
      <c r="H481" s="123" t="str">
        <f>IF(ISNUMBER(namespace_raw[[#This Row],[Column9]]), namespace_raw[[#This Row],[Column9]]/1048576,"")</f>
        <v/>
      </c>
      <c r="I481" s="124" t="str">
        <f>IF(ISNUMBER(namespace_raw[[#This Row],[Column8]]),MAX(G481, M481, O481, $I$2,IF(Q481&lt;&gt;"",VALUE(Q481),0)), "")</f>
        <v/>
      </c>
      <c r="J481" s="125" t="str">
        <f>IF(ISNUMBER(namespace_raw[[#This Row],[Column9]]),MAX(H481, N481, P481, $J$2,IF(R481&lt;&gt;"",VALUE(R481),0)),"")</f>
        <v/>
      </c>
      <c r="K481" s="166" t="str">
        <f>IF(ISNUMBER(namespace_raw[[#This Row],[Column12]]), namespace_raw[[#This Row],[Column12]],"")</f>
        <v/>
      </c>
      <c r="L481" s="167" t="str">
        <f>IF(ISNUMBER(namespace_raw[[#This Row],[Column13]]), namespace_raw[[#This Row],[Column13]]/1048576,"")</f>
        <v/>
      </c>
      <c r="M481" s="168" t="str">
        <f>IF(ISNUMBER(namespace_raw[[#This Row],[Column10]]), (namespace_raw[[#This Row],[Column10]]*(1+$M$2)),"")</f>
        <v/>
      </c>
      <c r="N481" s="167" t="str">
        <f>IF(ISNUMBER(namespace_raw[[#This Row],[Column11]]), (namespace_raw[[#This Row],[Column11]]*(1+$N$2))/1048576,"")</f>
        <v/>
      </c>
      <c r="O481" s="169" t="str">
        <f>IF(ISNUMBER(namespace_raw[[#This Row],[Column8]]), (E481  * $O$2),"")</f>
        <v/>
      </c>
      <c r="P481" s="170" t="str">
        <f>IF(ISNUMBER(namespace_raw[[#This Row],[Column8]]), (F481  * $P$2),"")</f>
        <v/>
      </c>
    </row>
    <row r="482" spans="1:16" ht="15" customHeight="1" x14ac:dyDescent="0.25">
      <c r="A482" s="32" t="str">
        <f>IF(ISNONTEXT(namespace_raw[[#This Row],[Column1]]), "", namespace_raw[[#This Row],[Column1]])</f>
        <v/>
      </c>
      <c r="B482" s="33" t="str">
        <f>IF(ISNONTEXT(namespace_raw[[#This Row],[Column2]]), "", namespace_raw[[#This Row],[Column2]])</f>
        <v/>
      </c>
      <c r="C482" s="94" t="str">
        <f>IF(ISNUMBER(namespace_raw[[#This Row],[Column4]]), namespace_raw[[#This Row],[Column4]], "")</f>
        <v/>
      </c>
      <c r="D482" s="95" t="str">
        <f>IF(ISNUMBER(namespace_raw[[#This Row],[Column5]]), namespace_raw[[#This Row],[Column5]]/1048576, "")</f>
        <v/>
      </c>
      <c r="E482" s="95" t="str">
        <f>IF(ISNUMBER(namespace_raw[[#This Row],[Column6]]), namespace_raw[[#This Row],[Column6]],"")</f>
        <v/>
      </c>
      <c r="F482" s="96" t="str">
        <f>IF(ISNUMBER(namespace_raw[[#This Row],[Column7]]), namespace_raw[[#This Row],[Column7]]/1048576,"")</f>
        <v/>
      </c>
      <c r="G482" s="122" t="str">
        <f>IF(ISNUMBER(namespace_raw[[#This Row],[Column8]]), namespace_raw[[#This Row],[Column8]],"")</f>
        <v/>
      </c>
      <c r="H482" s="123" t="str">
        <f>IF(ISNUMBER(namespace_raw[[#This Row],[Column9]]), namespace_raw[[#This Row],[Column9]]/1048576,"")</f>
        <v/>
      </c>
      <c r="I482" s="124" t="str">
        <f>IF(ISNUMBER(namespace_raw[[#This Row],[Column8]]),MAX(G482, M482, O482, $I$2,IF(Q482&lt;&gt;"",VALUE(Q482),0)), "")</f>
        <v/>
      </c>
      <c r="J482" s="125" t="str">
        <f>IF(ISNUMBER(namespace_raw[[#This Row],[Column9]]),MAX(H482, N482, P482, $J$2,IF(R482&lt;&gt;"",VALUE(R482),0)),"")</f>
        <v/>
      </c>
      <c r="K482" s="166" t="str">
        <f>IF(ISNUMBER(namespace_raw[[#This Row],[Column12]]), namespace_raw[[#This Row],[Column12]],"")</f>
        <v/>
      </c>
      <c r="L482" s="167" t="str">
        <f>IF(ISNUMBER(namespace_raw[[#This Row],[Column13]]), namespace_raw[[#This Row],[Column13]]/1048576,"")</f>
        <v/>
      </c>
      <c r="M482" s="168" t="str">
        <f>IF(ISNUMBER(namespace_raw[[#This Row],[Column10]]), (namespace_raw[[#This Row],[Column10]]*(1+$M$2)),"")</f>
        <v/>
      </c>
      <c r="N482" s="167" t="str">
        <f>IF(ISNUMBER(namespace_raw[[#This Row],[Column11]]), (namespace_raw[[#This Row],[Column11]]*(1+$N$2))/1048576,"")</f>
        <v/>
      </c>
      <c r="O482" s="169" t="str">
        <f>IF(ISNUMBER(namespace_raw[[#This Row],[Column8]]), (E482  * $O$2),"")</f>
        <v/>
      </c>
      <c r="P482" s="170" t="str">
        <f>IF(ISNUMBER(namespace_raw[[#This Row],[Column8]]), (F482  * $P$2),"")</f>
        <v/>
      </c>
    </row>
    <row r="483" spans="1:16" ht="15" customHeight="1" x14ac:dyDescent="0.25">
      <c r="A483" s="32" t="str">
        <f>IF(ISNONTEXT(namespace_raw[[#This Row],[Column1]]), "", namespace_raw[[#This Row],[Column1]])</f>
        <v/>
      </c>
      <c r="B483" s="33" t="str">
        <f>IF(ISNONTEXT(namespace_raw[[#This Row],[Column2]]), "", namespace_raw[[#This Row],[Column2]])</f>
        <v/>
      </c>
      <c r="C483" s="94" t="str">
        <f>IF(ISNUMBER(namespace_raw[[#This Row],[Column4]]), namespace_raw[[#This Row],[Column4]], "")</f>
        <v/>
      </c>
      <c r="D483" s="95" t="str">
        <f>IF(ISNUMBER(namespace_raw[[#This Row],[Column5]]), namespace_raw[[#This Row],[Column5]]/1048576, "")</f>
        <v/>
      </c>
      <c r="E483" s="95" t="str">
        <f>IF(ISNUMBER(namespace_raw[[#This Row],[Column6]]), namespace_raw[[#This Row],[Column6]],"")</f>
        <v/>
      </c>
      <c r="F483" s="96" t="str">
        <f>IF(ISNUMBER(namespace_raw[[#This Row],[Column7]]), namespace_raw[[#This Row],[Column7]]/1048576,"")</f>
        <v/>
      </c>
      <c r="G483" s="122" t="str">
        <f>IF(ISNUMBER(namespace_raw[[#This Row],[Column8]]), namespace_raw[[#This Row],[Column8]],"")</f>
        <v/>
      </c>
      <c r="H483" s="123" t="str">
        <f>IF(ISNUMBER(namespace_raw[[#This Row],[Column9]]), namespace_raw[[#This Row],[Column9]]/1048576,"")</f>
        <v/>
      </c>
      <c r="I483" s="124" t="str">
        <f>IF(ISNUMBER(namespace_raw[[#This Row],[Column8]]),MAX(G483, M483, O483, $I$2,IF(Q483&lt;&gt;"",VALUE(Q483),0)), "")</f>
        <v/>
      </c>
      <c r="J483" s="125" t="str">
        <f>IF(ISNUMBER(namespace_raw[[#This Row],[Column9]]),MAX(H483, N483, P483, $J$2,IF(R483&lt;&gt;"",VALUE(R483),0)),"")</f>
        <v/>
      </c>
      <c r="K483" s="166" t="str">
        <f>IF(ISNUMBER(namespace_raw[[#This Row],[Column12]]), namespace_raw[[#This Row],[Column12]],"")</f>
        <v/>
      </c>
      <c r="L483" s="167" t="str">
        <f>IF(ISNUMBER(namespace_raw[[#This Row],[Column13]]), namespace_raw[[#This Row],[Column13]]/1048576,"")</f>
        <v/>
      </c>
      <c r="M483" s="168" t="str">
        <f>IF(ISNUMBER(namespace_raw[[#This Row],[Column10]]), (namespace_raw[[#This Row],[Column10]]*(1+$M$2)),"")</f>
        <v/>
      </c>
      <c r="N483" s="167" t="str">
        <f>IF(ISNUMBER(namespace_raw[[#This Row],[Column11]]), (namespace_raw[[#This Row],[Column11]]*(1+$N$2))/1048576,"")</f>
        <v/>
      </c>
      <c r="O483" s="169" t="str">
        <f>IF(ISNUMBER(namespace_raw[[#This Row],[Column8]]), (E483  * $O$2),"")</f>
        <v/>
      </c>
      <c r="P483" s="170" t="str">
        <f>IF(ISNUMBER(namespace_raw[[#This Row],[Column8]]), (F483  * $P$2),"")</f>
        <v/>
      </c>
    </row>
    <row r="484" spans="1:16" ht="15" customHeight="1" x14ac:dyDescent="0.25">
      <c r="A484" s="32" t="str">
        <f>IF(ISNONTEXT(namespace_raw[[#This Row],[Column1]]), "", namespace_raw[[#This Row],[Column1]])</f>
        <v/>
      </c>
      <c r="B484" s="33" t="str">
        <f>IF(ISNONTEXT(namespace_raw[[#This Row],[Column2]]), "", namespace_raw[[#This Row],[Column2]])</f>
        <v/>
      </c>
      <c r="C484" s="94" t="str">
        <f>IF(ISNUMBER(namespace_raw[[#This Row],[Column4]]), namespace_raw[[#This Row],[Column4]], "")</f>
        <v/>
      </c>
      <c r="D484" s="95" t="str">
        <f>IF(ISNUMBER(namespace_raw[[#This Row],[Column5]]), namespace_raw[[#This Row],[Column5]]/1048576, "")</f>
        <v/>
      </c>
      <c r="E484" s="95" t="str">
        <f>IF(ISNUMBER(namespace_raw[[#This Row],[Column6]]), namespace_raw[[#This Row],[Column6]],"")</f>
        <v/>
      </c>
      <c r="F484" s="96" t="str">
        <f>IF(ISNUMBER(namespace_raw[[#This Row],[Column7]]), namespace_raw[[#This Row],[Column7]]/1048576,"")</f>
        <v/>
      </c>
      <c r="G484" s="122" t="str">
        <f>IF(ISNUMBER(namespace_raw[[#This Row],[Column8]]), namespace_raw[[#This Row],[Column8]],"")</f>
        <v/>
      </c>
      <c r="H484" s="123" t="str">
        <f>IF(ISNUMBER(namespace_raw[[#This Row],[Column9]]), namespace_raw[[#This Row],[Column9]]/1048576,"")</f>
        <v/>
      </c>
      <c r="I484" s="124" t="str">
        <f>IF(ISNUMBER(namespace_raw[[#This Row],[Column8]]),MAX(G484, M484, O484, $I$2,IF(Q484&lt;&gt;"",VALUE(Q484),0)), "")</f>
        <v/>
      </c>
      <c r="J484" s="125" t="str">
        <f>IF(ISNUMBER(namespace_raw[[#This Row],[Column9]]),MAX(H484, N484, P484, $J$2,IF(R484&lt;&gt;"",VALUE(R484),0)),"")</f>
        <v/>
      </c>
      <c r="K484" s="166" t="str">
        <f>IF(ISNUMBER(namespace_raw[[#This Row],[Column12]]), namespace_raw[[#This Row],[Column12]],"")</f>
        <v/>
      </c>
      <c r="L484" s="167" t="str">
        <f>IF(ISNUMBER(namespace_raw[[#This Row],[Column13]]), namespace_raw[[#This Row],[Column13]]/1048576,"")</f>
        <v/>
      </c>
      <c r="M484" s="168" t="str">
        <f>IF(ISNUMBER(namespace_raw[[#This Row],[Column10]]), (namespace_raw[[#This Row],[Column10]]*(1+$M$2)),"")</f>
        <v/>
      </c>
      <c r="N484" s="167" t="str">
        <f>IF(ISNUMBER(namespace_raw[[#This Row],[Column11]]), (namespace_raw[[#This Row],[Column11]]*(1+$N$2))/1048576,"")</f>
        <v/>
      </c>
      <c r="O484" s="169" t="str">
        <f>IF(ISNUMBER(namespace_raw[[#This Row],[Column8]]), (E484  * $O$2),"")</f>
        <v/>
      </c>
      <c r="P484" s="170" t="str">
        <f>IF(ISNUMBER(namespace_raw[[#This Row],[Column8]]), (F484  * $P$2),"")</f>
        <v/>
      </c>
    </row>
    <row r="485" spans="1:16" ht="15" customHeight="1" x14ac:dyDescent="0.25">
      <c r="A485" s="32" t="str">
        <f>IF(ISNONTEXT(namespace_raw[[#This Row],[Column1]]), "", namespace_raw[[#This Row],[Column1]])</f>
        <v/>
      </c>
      <c r="B485" s="33" t="str">
        <f>IF(ISNONTEXT(namespace_raw[[#This Row],[Column2]]), "", namespace_raw[[#This Row],[Column2]])</f>
        <v/>
      </c>
      <c r="C485" s="94" t="str">
        <f>IF(ISNUMBER(namespace_raw[[#This Row],[Column4]]), namespace_raw[[#This Row],[Column4]], "")</f>
        <v/>
      </c>
      <c r="D485" s="95" t="str">
        <f>IF(ISNUMBER(namespace_raw[[#This Row],[Column5]]), namespace_raw[[#This Row],[Column5]]/1048576, "")</f>
        <v/>
      </c>
      <c r="E485" s="95" t="str">
        <f>IF(ISNUMBER(namespace_raw[[#This Row],[Column6]]), namespace_raw[[#This Row],[Column6]],"")</f>
        <v/>
      </c>
      <c r="F485" s="96" t="str">
        <f>IF(ISNUMBER(namespace_raw[[#This Row],[Column7]]), namespace_raw[[#This Row],[Column7]]/1048576,"")</f>
        <v/>
      </c>
      <c r="G485" s="122" t="str">
        <f>IF(ISNUMBER(namespace_raw[[#This Row],[Column8]]), namespace_raw[[#This Row],[Column8]],"")</f>
        <v/>
      </c>
      <c r="H485" s="123" t="str">
        <f>IF(ISNUMBER(namespace_raw[[#This Row],[Column9]]), namespace_raw[[#This Row],[Column9]]/1048576,"")</f>
        <v/>
      </c>
      <c r="I485" s="124" t="str">
        <f>IF(ISNUMBER(namespace_raw[[#This Row],[Column8]]),MAX(G485, M485, O485, $I$2,IF(Q485&lt;&gt;"",VALUE(Q485),0)), "")</f>
        <v/>
      </c>
      <c r="J485" s="125" t="str">
        <f>IF(ISNUMBER(namespace_raw[[#This Row],[Column9]]),MAX(H485, N485, P485, $J$2,IF(R485&lt;&gt;"",VALUE(R485),0)),"")</f>
        <v/>
      </c>
      <c r="K485" s="166" t="str">
        <f>IF(ISNUMBER(namespace_raw[[#This Row],[Column12]]), namespace_raw[[#This Row],[Column12]],"")</f>
        <v/>
      </c>
      <c r="L485" s="167" t="str">
        <f>IF(ISNUMBER(namespace_raw[[#This Row],[Column13]]), namespace_raw[[#This Row],[Column13]]/1048576,"")</f>
        <v/>
      </c>
      <c r="M485" s="168" t="str">
        <f>IF(ISNUMBER(namespace_raw[[#This Row],[Column10]]), (namespace_raw[[#This Row],[Column10]]*(1+$M$2)),"")</f>
        <v/>
      </c>
      <c r="N485" s="167" t="str">
        <f>IF(ISNUMBER(namespace_raw[[#This Row],[Column11]]), (namespace_raw[[#This Row],[Column11]]*(1+$N$2))/1048576,"")</f>
        <v/>
      </c>
      <c r="O485" s="169" t="str">
        <f>IF(ISNUMBER(namespace_raw[[#This Row],[Column8]]), (E485  * $O$2),"")</f>
        <v/>
      </c>
      <c r="P485" s="170" t="str">
        <f>IF(ISNUMBER(namespace_raw[[#This Row],[Column8]]), (F485  * $P$2),"")</f>
        <v/>
      </c>
    </row>
    <row r="486" spans="1:16" ht="15" customHeight="1" x14ac:dyDescent="0.25">
      <c r="A486" s="32" t="str">
        <f>IF(ISNONTEXT(namespace_raw[[#This Row],[Column1]]), "", namespace_raw[[#This Row],[Column1]])</f>
        <v/>
      </c>
      <c r="B486" s="33" t="str">
        <f>IF(ISNONTEXT(namespace_raw[[#This Row],[Column2]]), "", namespace_raw[[#This Row],[Column2]])</f>
        <v/>
      </c>
      <c r="C486" s="94" t="str">
        <f>IF(ISNUMBER(namespace_raw[[#This Row],[Column4]]), namespace_raw[[#This Row],[Column4]], "")</f>
        <v/>
      </c>
      <c r="D486" s="95" t="str">
        <f>IF(ISNUMBER(namespace_raw[[#This Row],[Column5]]), namespace_raw[[#This Row],[Column5]]/1048576, "")</f>
        <v/>
      </c>
      <c r="E486" s="95" t="str">
        <f>IF(ISNUMBER(namespace_raw[[#This Row],[Column6]]), namespace_raw[[#This Row],[Column6]],"")</f>
        <v/>
      </c>
      <c r="F486" s="96" t="str">
        <f>IF(ISNUMBER(namespace_raw[[#This Row],[Column7]]), namespace_raw[[#This Row],[Column7]]/1048576,"")</f>
        <v/>
      </c>
      <c r="G486" s="122" t="str">
        <f>IF(ISNUMBER(namespace_raw[[#This Row],[Column8]]), namespace_raw[[#This Row],[Column8]],"")</f>
        <v/>
      </c>
      <c r="H486" s="123" t="str">
        <f>IF(ISNUMBER(namespace_raw[[#This Row],[Column9]]), namespace_raw[[#This Row],[Column9]]/1048576,"")</f>
        <v/>
      </c>
      <c r="I486" s="124" t="str">
        <f>IF(ISNUMBER(namespace_raw[[#This Row],[Column8]]),MAX(G486, M486, O486, $I$2,IF(Q486&lt;&gt;"",VALUE(Q486),0)), "")</f>
        <v/>
      </c>
      <c r="J486" s="125" t="str">
        <f>IF(ISNUMBER(namespace_raw[[#This Row],[Column9]]),MAX(H486, N486, P486, $J$2,IF(R486&lt;&gt;"",VALUE(R486),0)),"")</f>
        <v/>
      </c>
      <c r="K486" s="166" t="str">
        <f>IF(ISNUMBER(namespace_raw[[#This Row],[Column12]]), namespace_raw[[#This Row],[Column12]],"")</f>
        <v/>
      </c>
      <c r="L486" s="167" t="str">
        <f>IF(ISNUMBER(namespace_raw[[#This Row],[Column13]]), namespace_raw[[#This Row],[Column13]]/1048576,"")</f>
        <v/>
      </c>
      <c r="M486" s="168" t="str">
        <f>IF(ISNUMBER(namespace_raw[[#This Row],[Column10]]), (namespace_raw[[#This Row],[Column10]]*(1+$M$2)),"")</f>
        <v/>
      </c>
      <c r="N486" s="167" t="str">
        <f>IF(ISNUMBER(namespace_raw[[#This Row],[Column11]]), (namespace_raw[[#This Row],[Column11]]*(1+$N$2))/1048576,"")</f>
        <v/>
      </c>
      <c r="O486" s="169" t="str">
        <f>IF(ISNUMBER(namespace_raw[[#This Row],[Column8]]), (E486  * $O$2),"")</f>
        <v/>
      </c>
      <c r="P486" s="170" t="str">
        <f>IF(ISNUMBER(namespace_raw[[#This Row],[Column8]]), (F486  * $P$2),"")</f>
        <v/>
      </c>
    </row>
    <row r="487" spans="1:16" ht="15" customHeight="1" x14ac:dyDescent="0.25">
      <c r="A487" s="32" t="str">
        <f>IF(ISNONTEXT(namespace_raw[[#This Row],[Column1]]), "", namespace_raw[[#This Row],[Column1]])</f>
        <v/>
      </c>
      <c r="B487" s="33" t="str">
        <f>IF(ISNONTEXT(namespace_raw[[#This Row],[Column2]]), "", namespace_raw[[#This Row],[Column2]])</f>
        <v/>
      </c>
      <c r="C487" s="94" t="str">
        <f>IF(ISNUMBER(namespace_raw[[#This Row],[Column4]]), namespace_raw[[#This Row],[Column4]], "")</f>
        <v/>
      </c>
      <c r="D487" s="95" t="str">
        <f>IF(ISNUMBER(namespace_raw[[#This Row],[Column5]]), namespace_raw[[#This Row],[Column5]]/1048576, "")</f>
        <v/>
      </c>
      <c r="E487" s="95" t="str">
        <f>IF(ISNUMBER(namespace_raw[[#This Row],[Column6]]), namespace_raw[[#This Row],[Column6]],"")</f>
        <v/>
      </c>
      <c r="F487" s="96" t="str">
        <f>IF(ISNUMBER(namespace_raw[[#This Row],[Column7]]), namespace_raw[[#This Row],[Column7]]/1048576,"")</f>
        <v/>
      </c>
      <c r="G487" s="122" t="str">
        <f>IF(ISNUMBER(namespace_raw[[#This Row],[Column8]]), namespace_raw[[#This Row],[Column8]],"")</f>
        <v/>
      </c>
      <c r="H487" s="123" t="str">
        <f>IF(ISNUMBER(namespace_raw[[#This Row],[Column9]]), namespace_raw[[#This Row],[Column9]]/1048576,"")</f>
        <v/>
      </c>
      <c r="I487" s="124" t="str">
        <f>IF(ISNUMBER(namespace_raw[[#This Row],[Column8]]),MAX(G487, M487, O487, $I$2,IF(Q487&lt;&gt;"",VALUE(Q487),0)), "")</f>
        <v/>
      </c>
      <c r="J487" s="125" t="str">
        <f>IF(ISNUMBER(namespace_raw[[#This Row],[Column9]]),MAX(H487, N487, P487, $J$2,IF(R487&lt;&gt;"",VALUE(R487),0)),"")</f>
        <v/>
      </c>
      <c r="K487" s="166" t="str">
        <f>IF(ISNUMBER(namespace_raw[[#This Row],[Column12]]), namespace_raw[[#This Row],[Column12]],"")</f>
        <v/>
      </c>
      <c r="L487" s="167" t="str">
        <f>IF(ISNUMBER(namespace_raw[[#This Row],[Column13]]), namespace_raw[[#This Row],[Column13]]/1048576,"")</f>
        <v/>
      </c>
      <c r="M487" s="168" t="str">
        <f>IF(ISNUMBER(namespace_raw[[#This Row],[Column10]]), (namespace_raw[[#This Row],[Column10]]*(1+$M$2)),"")</f>
        <v/>
      </c>
      <c r="N487" s="167" t="str">
        <f>IF(ISNUMBER(namespace_raw[[#This Row],[Column11]]), (namespace_raw[[#This Row],[Column11]]*(1+$N$2))/1048576,"")</f>
        <v/>
      </c>
      <c r="O487" s="169" t="str">
        <f>IF(ISNUMBER(namespace_raw[[#This Row],[Column8]]), (E487  * $O$2),"")</f>
        <v/>
      </c>
      <c r="P487" s="170" t="str">
        <f>IF(ISNUMBER(namespace_raw[[#This Row],[Column8]]), (F487  * $P$2),"")</f>
        <v/>
      </c>
    </row>
    <row r="488" spans="1:16" ht="15" customHeight="1" x14ac:dyDescent="0.25">
      <c r="A488" s="32" t="str">
        <f>IF(ISNONTEXT(namespace_raw[[#This Row],[Column1]]), "", namespace_raw[[#This Row],[Column1]])</f>
        <v/>
      </c>
      <c r="B488" s="33" t="str">
        <f>IF(ISNONTEXT(namespace_raw[[#This Row],[Column2]]), "", namespace_raw[[#This Row],[Column2]])</f>
        <v/>
      </c>
      <c r="C488" s="94" t="str">
        <f>IF(ISNUMBER(namespace_raw[[#This Row],[Column4]]), namespace_raw[[#This Row],[Column4]], "")</f>
        <v/>
      </c>
      <c r="D488" s="95" t="str">
        <f>IF(ISNUMBER(namespace_raw[[#This Row],[Column5]]), namespace_raw[[#This Row],[Column5]]/1048576, "")</f>
        <v/>
      </c>
      <c r="E488" s="95" t="str">
        <f>IF(ISNUMBER(namespace_raw[[#This Row],[Column6]]), namespace_raw[[#This Row],[Column6]],"")</f>
        <v/>
      </c>
      <c r="F488" s="96" t="str">
        <f>IF(ISNUMBER(namespace_raw[[#This Row],[Column7]]), namespace_raw[[#This Row],[Column7]]/1048576,"")</f>
        <v/>
      </c>
      <c r="G488" s="122" t="str">
        <f>IF(ISNUMBER(namespace_raw[[#This Row],[Column8]]), namespace_raw[[#This Row],[Column8]],"")</f>
        <v/>
      </c>
      <c r="H488" s="123" t="str">
        <f>IF(ISNUMBER(namespace_raw[[#This Row],[Column9]]), namespace_raw[[#This Row],[Column9]]/1048576,"")</f>
        <v/>
      </c>
      <c r="I488" s="124" t="str">
        <f>IF(ISNUMBER(namespace_raw[[#This Row],[Column8]]),MAX(G488, M488, O488, $I$2,IF(Q488&lt;&gt;"",VALUE(Q488),0)), "")</f>
        <v/>
      </c>
      <c r="J488" s="125" t="str">
        <f>IF(ISNUMBER(namespace_raw[[#This Row],[Column9]]),MAX(H488, N488, P488, $J$2,IF(R488&lt;&gt;"",VALUE(R488),0)),"")</f>
        <v/>
      </c>
      <c r="K488" s="166" t="str">
        <f>IF(ISNUMBER(namespace_raw[[#This Row],[Column12]]), namespace_raw[[#This Row],[Column12]],"")</f>
        <v/>
      </c>
      <c r="L488" s="167" t="str">
        <f>IF(ISNUMBER(namespace_raw[[#This Row],[Column13]]), namespace_raw[[#This Row],[Column13]]/1048576,"")</f>
        <v/>
      </c>
      <c r="M488" s="168" t="str">
        <f>IF(ISNUMBER(namespace_raw[[#This Row],[Column10]]), (namespace_raw[[#This Row],[Column10]]*(1+$M$2)),"")</f>
        <v/>
      </c>
      <c r="N488" s="167" t="str">
        <f>IF(ISNUMBER(namespace_raw[[#This Row],[Column11]]), (namespace_raw[[#This Row],[Column11]]*(1+$N$2))/1048576,"")</f>
        <v/>
      </c>
      <c r="O488" s="169" t="str">
        <f>IF(ISNUMBER(namespace_raw[[#This Row],[Column8]]), (E488  * $O$2),"")</f>
        <v/>
      </c>
      <c r="P488" s="170" t="str">
        <f>IF(ISNUMBER(namespace_raw[[#This Row],[Column8]]), (F488  * $P$2),"")</f>
        <v/>
      </c>
    </row>
    <row r="489" spans="1:16" ht="15" customHeight="1" x14ac:dyDescent="0.25">
      <c r="A489" s="32" t="str">
        <f>IF(ISNONTEXT(namespace_raw[[#This Row],[Column1]]), "", namespace_raw[[#This Row],[Column1]])</f>
        <v/>
      </c>
      <c r="B489" s="33" t="str">
        <f>IF(ISNONTEXT(namespace_raw[[#This Row],[Column2]]), "", namespace_raw[[#This Row],[Column2]])</f>
        <v/>
      </c>
      <c r="C489" s="94" t="str">
        <f>IF(ISNUMBER(namespace_raw[[#This Row],[Column4]]), namespace_raw[[#This Row],[Column4]], "")</f>
        <v/>
      </c>
      <c r="D489" s="95" t="str">
        <f>IF(ISNUMBER(namespace_raw[[#This Row],[Column5]]), namespace_raw[[#This Row],[Column5]]/1048576, "")</f>
        <v/>
      </c>
      <c r="E489" s="95" t="str">
        <f>IF(ISNUMBER(namespace_raw[[#This Row],[Column6]]), namespace_raw[[#This Row],[Column6]],"")</f>
        <v/>
      </c>
      <c r="F489" s="96" t="str">
        <f>IF(ISNUMBER(namespace_raw[[#This Row],[Column7]]), namespace_raw[[#This Row],[Column7]]/1048576,"")</f>
        <v/>
      </c>
      <c r="G489" s="122" t="str">
        <f>IF(ISNUMBER(namespace_raw[[#This Row],[Column8]]), namespace_raw[[#This Row],[Column8]],"")</f>
        <v/>
      </c>
      <c r="H489" s="123" t="str">
        <f>IF(ISNUMBER(namespace_raw[[#This Row],[Column9]]), namespace_raw[[#This Row],[Column9]]/1048576,"")</f>
        <v/>
      </c>
      <c r="I489" s="124" t="str">
        <f>IF(ISNUMBER(namespace_raw[[#This Row],[Column8]]),MAX(G489, M489, O489, $I$2,IF(Q489&lt;&gt;"",VALUE(Q489),0)), "")</f>
        <v/>
      </c>
      <c r="J489" s="125" t="str">
        <f>IF(ISNUMBER(namespace_raw[[#This Row],[Column9]]),MAX(H489, N489, P489, $J$2,IF(R489&lt;&gt;"",VALUE(R489),0)),"")</f>
        <v/>
      </c>
      <c r="K489" s="166" t="str">
        <f>IF(ISNUMBER(namespace_raw[[#This Row],[Column12]]), namespace_raw[[#This Row],[Column12]],"")</f>
        <v/>
      </c>
      <c r="L489" s="167" t="str">
        <f>IF(ISNUMBER(namespace_raw[[#This Row],[Column13]]), namespace_raw[[#This Row],[Column13]]/1048576,"")</f>
        <v/>
      </c>
      <c r="M489" s="168" t="str">
        <f>IF(ISNUMBER(namespace_raw[[#This Row],[Column10]]), (namespace_raw[[#This Row],[Column10]]*(1+$M$2)),"")</f>
        <v/>
      </c>
      <c r="N489" s="167" t="str">
        <f>IF(ISNUMBER(namespace_raw[[#This Row],[Column11]]), (namespace_raw[[#This Row],[Column11]]*(1+$N$2))/1048576,"")</f>
        <v/>
      </c>
      <c r="O489" s="169" t="str">
        <f>IF(ISNUMBER(namespace_raw[[#This Row],[Column8]]), (E489  * $O$2),"")</f>
        <v/>
      </c>
      <c r="P489" s="170" t="str">
        <f>IF(ISNUMBER(namespace_raw[[#This Row],[Column8]]), (F489  * $P$2),"")</f>
        <v/>
      </c>
    </row>
    <row r="490" spans="1:16" ht="15" customHeight="1" x14ac:dyDescent="0.25">
      <c r="A490" s="32" t="str">
        <f>IF(ISNONTEXT(namespace_raw[[#This Row],[Column1]]), "", namespace_raw[[#This Row],[Column1]])</f>
        <v/>
      </c>
      <c r="B490" s="33" t="str">
        <f>IF(ISNONTEXT(namespace_raw[[#This Row],[Column2]]), "", namespace_raw[[#This Row],[Column2]])</f>
        <v/>
      </c>
      <c r="C490" s="94" t="str">
        <f>IF(ISNUMBER(namespace_raw[[#This Row],[Column4]]), namespace_raw[[#This Row],[Column4]], "")</f>
        <v/>
      </c>
      <c r="D490" s="95" t="str">
        <f>IF(ISNUMBER(namespace_raw[[#This Row],[Column5]]), namespace_raw[[#This Row],[Column5]]/1048576, "")</f>
        <v/>
      </c>
      <c r="E490" s="95" t="str">
        <f>IF(ISNUMBER(namespace_raw[[#This Row],[Column6]]), namespace_raw[[#This Row],[Column6]],"")</f>
        <v/>
      </c>
      <c r="F490" s="96" t="str">
        <f>IF(ISNUMBER(namespace_raw[[#This Row],[Column7]]), namespace_raw[[#This Row],[Column7]]/1048576,"")</f>
        <v/>
      </c>
      <c r="G490" s="122" t="str">
        <f>IF(ISNUMBER(namespace_raw[[#This Row],[Column8]]), namespace_raw[[#This Row],[Column8]],"")</f>
        <v/>
      </c>
      <c r="H490" s="123" t="str">
        <f>IF(ISNUMBER(namespace_raw[[#This Row],[Column9]]), namespace_raw[[#This Row],[Column9]]/1048576,"")</f>
        <v/>
      </c>
      <c r="I490" s="124" t="str">
        <f>IF(ISNUMBER(namespace_raw[[#This Row],[Column8]]),MAX(G490, M490, O490, $I$2,IF(Q490&lt;&gt;"",VALUE(Q490),0)), "")</f>
        <v/>
      </c>
      <c r="J490" s="125" t="str">
        <f>IF(ISNUMBER(namespace_raw[[#This Row],[Column9]]),MAX(H490, N490, P490, $J$2,IF(R490&lt;&gt;"",VALUE(R490),0)),"")</f>
        <v/>
      </c>
      <c r="K490" s="166" t="str">
        <f>IF(ISNUMBER(namespace_raw[[#This Row],[Column12]]), namespace_raw[[#This Row],[Column12]],"")</f>
        <v/>
      </c>
      <c r="L490" s="167" t="str">
        <f>IF(ISNUMBER(namespace_raw[[#This Row],[Column13]]), namespace_raw[[#This Row],[Column13]]/1048576,"")</f>
        <v/>
      </c>
      <c r="M490" s="168" t="str">
        <f>IF(ISNUMBER(namespace_raw[[#This Row],[Column10]]), (namespace_raw[[#This Row],[Column10]]*(1+$M$2)),"")</f>
        <v/>
      </c>
      <c r="N490" s="167" t="str">
        <f>IF(ISNUMBER(namespace_raw[[#This Row],[Column11]]), (namespace_raw[[#This Row],[Column11]]*(1+$N$2))/1048576,"")</f>
        <v/>
      </c>
      <c r="O490" s="169" t="str">
        <f>IF(ISNUMBER(namespace_raw[[#This Row],[Column8]]), (E490  * $O$2),"")</f>
        <v/>
      </c>
      <c r="P490" s="170" t="str">
        <f>IF(ISNUMBER(namespace_raw[[#This Row],[Column8]]), (F490  * $P$2),"")</f>
        <v/>
      </c>
    </row>
    <row r="491" spans="1:16" ht="15" customHeight="1" x14ac:dyDescent="0.25">
      <c r="A491" s="32" t="str">
        <f>IF(ISNONTEXT(namespace_raw[[#This Row],[Column1]]), "", namespace_raw[[#This Row],[Column1]])</f>
        <v/>
      </c>
      <c r="B491" s="33" t="str">
        <f>IF(ISNONTEXT(namespace_raw[[#This Row],[Column2]]), "", namespace_raw[[#This Row],[Column2]])</f>
        <v/>
      </c>
      <c r="C491" s="94" t="str">
        <f>IF(ISNUMBER(namespace_raw[[#This Row],[Column4]]), namespace_raw[[#This Row],[Column4]], "")</f>
        <v/>
      </c>
      <c r="D491" s="95" t="str">
        <f>IF(ISNUMBER(namespace_raw[[#This Row],[Column5]]), namespace_raw[[#This Row],[Column5]]/1048576, "")</f>
        <v/>
      </c>
      <c r="E491" s="95" t="str">
        <f>IF(ISNUMBER(namespace_raw[[#This Row],[Column6]]), namespace_raw[[#This Row],[Column6]],"")</f>
        <v/>
      </c>
      <c r="F491" s="96" t="str">
        <f>IF(ISNUMBER(namespace_raw[[#This Row],[Column7]]), namespace_raw[[#This Row],[Column7]]/1048576,"")</f>
        <v/>
      </c>
      <c r="G491" s="122" t="str">
        <f>IF(ISNUMBER(namespace_raw[[#This Row],[Column8]]), namespace_raw[[#This Row],[Column8]],"")</f>
        <v/>
      </c>
      <c r="H491" s="123" t="str">
        <f>IF(ISNUMBER(namespace_raw[[#This Row],[Column9]]), namespace_raw[[#This Row],[Column9]]/1048576,"")</f>
        <v/>
      </c>
      <c r="I491" s="124" t="str">
        <f>IF(ISNUMBER(namespace_raw[[#This Row],[Column8]]),MAX(G491, M491, O491, $I$2,IF(Q491&lt;&gt;"",VALUE(Q491),0)), "")</f>
        <v/>
      </c>
      <c r="J491" s="125" t="str">
        <f>IF(ISNUMBER(namespace_raw[[#This Row],[Column9]]),MAX(H491, N491, P491, $J$2,IF(R491&lt;&gt;"",VALUE(R491),0)),"")</f>
        <v/>
      </c>
      <c r="K491" s="166" t="str">
        <f>IF(ISNUMBER(namespace_raw[[#This Row],[Column12]]), namespace_raw[[#This Row],[Column12]],"")</f>
        <v/>
      </c>
      <c r="L491" s="167" t="str">
        <f>IF(ISNUMBER(namespace_raw[[#This Row],[Column13]]), namespace_raw[[#This Row],[Column13]]/1048576,"")</f>
        <v/>
      </c>
      <c r="M491" s="168" t="str">
        <f>IF(ISNUMBER(namespace_raw[[#This Row],[Column10]]), (namespace_raw[[#This Row],[Column10]]*(1+$M$2)),"")</f>
        <v/>
      </c>
      <c r="N491" s="167" t="str">
        <f>IF(ISNUMBER(namespace_raw[[#This Row],[Column11]]), (namespace_raw[[#This Row],[Column11]]*(1+$N$2))/1048576,"")</f>
        <v/>
      </c>
      <c r="O491" s="169" t="str">
        <f>IF(ISNUMBER(namespace_raw[[#This Row],[Column8]]), (E491  * $O$2),"")</f>
        <v/>
      </c>
      <c r="P491" s="170" t="str">
        <f>IF(ISNUMBER(namespace_raw[[#This Row],[Column8]]), (F491  * $P$2),"")</f>
        <v/>
      </c>
    </row>
    <row r="492" spans="1:16" ht="15" customHeight="1" x14ac:dyDescent="0.25">
      <c r="A492" s="32" t="str">
        <f>IF(ISNONTEXT(namespace_raw[[#This Row],[Column1]]), "", namespace_raw[[#This Row],[Column1]])</f>
        <v/>
      </c>
      <c r="B492" s="33" t="str">
        <f>IF(ISNONTEXT(namespace_raw[[#This Row],[Column2]]), "", namespace_raw[[#This Row],[Column2]])</f>
        <v/>
      </c>
      <c r="C492" s="94" t="str">
        <f>IF(ISNUMBER(namespace_raw[[#This Row],[Column4]]), namespace_raw[[#This Row],[Column4]], "")</f>
        <v/>
      </c>
      <c r="D492" s="95" t="str">
        <f>IF(ISNUMBER(namespace_raw[[#This Row],[Column5]]), namespace_raw[[#This Row],[Column5]]/1048576, "")</f>
        <v/>
      </c>
      <c r="E492" s="95" t="str">
        <f>IF(ISNUMBER(namespace_raw[[#This Row],[Column6]]), namespace_raw[[#This Row],[Column6]],"")</f>
        <v/>
      </c>
      <c r="F492" s="96" t="str">
        <f>IF(ISNUMBER(namespace_raw[[#This Row],[Column7]]), namespace_raw[[#This Row],[Column7]]/1048576,"")</f>
        <v/>
      </c>
      <c r="G492" s="122" t="str">
        <f>IF(ISNUMBER(namespace_raw[[#This Row],[Column8]]), namespace_raw[[#This Row],[Column8]],"")</f>
        <v/>
      </c>
      <c r="H492" s="123" t="str">
        <f>IF(ISNUMBER(namespace_raw[[#This Row],[Column9]]), namespace_raw[[#This Row],[Column9]]/1048576,"")</f>
        <v/>
      </c>
      <c r="I492" s="124" t="str">
        <f>IF(ISNUMBER(namespace_raw[[#This Row],[Column8]]),MAX(G492, M492, O492, $I$2,IF(Q492&lt;&gt;"",VALUE(Q492),0)), "")</f>
        <v/>
      </c>
      <c r="J492" s="125" t="str">
        <f>IF(ISNUMBER(namespace_raw[[#This Row],[Column9]]),MAX(H492, N492, P492, $J$2,IF(R492&lt;&gt;"",VALUE(R492),0)),"")</f>
        <v/>
      </c>
      <c r="K492" s="166" t="str">
        <f>IF(ISNUMBER(namespace_raw[[#This Row],[Column12]]), namespace_raw[[#This Row],[Column12]],"")</f>
        <v/>
      </c>
      <c r="L492" s="167" t="str">
        <f>IF(ISNUMBER(namespace_raw[[#This Row],[Column13]]), namespace_raw[[#This Row],[Column13]]/1048576,"")</f>
        <v/>
      </c>
      <c r="M492" s="168" t="str">
        <f>IF(ISNUMBER(namespace_raw[[#This Row],[Column10]]), (namespace_raw[[#This Row],[Column10]]*(1+$M$2)),"")</f>
        <v/>
      </c>
      <c r="N492" s="167" t="str">
        <f>IF(ISNUMBER(namespace_raw[[#This Row],[Column11]]), (namespace_raw[[#This Row],[Column11]]*(1+$N$2))/1048576,"")</f>
        <v/>
      </c>
      <c r="O492" s="169" t="str">
        <f>IF(ISNUMBER(namespace_raw[[#This Row],[Column8]]), (E492  * $O$2),"")</f>
        <v/>
      </c>
      <c r="P492" s="170" t="str">
        <f>IF(ISNUMBER(namespace_raw[[#This Row],[Column8]]), (F492  * $P$2),"")</f>
        <v/>
      </c>
    </row>
    <row r="493" spans="1:16" ht="15" customHeight="1" x14ac:dyDescent="0.25">
      <c r="A493" s="32" t="str">
        <f>IF(ISNONTEXT(namespace_raw[[#This Row],[Column1]]), "", namespace_raw[[#This Row],[Column1]])</f>
        <v/>
      </c>
      <c r="B493" s="33" t="str">
        <f>IF(ISNONTEXT(namespace_raw[[#This Row],[Column2]]), "", namespace_raw[[#This Row],[Column2]])</f>
        <v/>
      </c>
      <c r="C493" s="94" t="str">
        <f>IF(ISNUMBER(namespace_raw[[#This Row],[Column4]]), namespace_raw[[#This Row],[Column4]], "")</f>
        <v/>
      </c>
      <c r="D493" s="95" t="str">
        <f>IF(ISNUMBER(namespace_raw[[#This Row],[Column5]]), namespace_raw[[#This Row],[Column5]]/1048576, "")</f>
        <v/>
      </c>
      <c r="E493" s="95" t="str">
        <f>IF(ISNUMBER(namespace_raw[[#This Row],[Column6]]), namespace_raw[[#This Row],[Column6]],"")</f>
        <v/>
      </c>
      <c r="F493" s="96" t="str">
        <f>IF(ISNUMBER(namespace_raw[[#This Row],[Column7]]), namespace_raw[[#This Row],[Column7]]/1048576,"")</f>
        <v/>
      </c>
      <c r="G493" s="122" t="str">
        <f>IF(ISNUMBER(namespace_raw[[#This Row],[Column8]]), namespace_raw[[#This Row],[Column8]],"")</f>
        <v/>
      </c>
      <c r="H493" s="123" t="str">
        <f>IF(ISNUMBER(namespace_raw[[#This Row],[Column9]]), namespace_raw[[#This Row],[Column9]]/1048576,"")</f>
        <v/>
      </c>
      <c r="I493" s="124" t="str">
        <f>IF(ISNUMBER(namespace_raw[[#This Row],[Column8]]),MAX(G493, M493, O493, $I$2,IF(Q493&lt;&gt;"",VALUE(Q493),0)), "")</f>
        <v/>
      </c>
      <c r="J493" s="125" t="str">
        <f>IF(ISNUMBER(namespace_raw[[#This Row],[Column9]]),MAX(H493, N493, P493, $J$2,IF(R493&lt;&gt;"",VALUE(R493),0)),"")</f>
        <v/>
      </c>
      <c r="K493" s="166" t="str">
        <f>IF(ISNUMBER(namespace_raw[[#This Row],[Column12]]), namespace_raw[[#This Row],[Column12]],"")</f>
        <v/>
      </c>
      <c r="L493" s="167" t="str">
        <f>IF(ISNUMBER(namespace_raw[[#This Row],[Column13]]), namespace_raw[[#This Row],[Column13]]/1048576,"")</f>
        <v/>
      </c>
      <c r="M493" s="168" t="str">
        <f>IF(ISNUMBER(namespace_raw[[#This Row],[Column10]]), (namespace_raw[[#This Row],[Column10]]*(1+$M$2)),"")</f>
        <v/>
      </c>
      <c r="N493" s="167" t="str">
        <f>IF(ISNUMBER(namespace_raw[[#This Row],[Column11]]), (namespace_raw[[#This Row],[Column11]]*(1+$N$2))/1048576,"")</f>
        <v/>
      </c>
      <c r="O493" s="169" t="str">
        <f>IF(ISNUMBER(namespace_raw[[#This Row],[Column8]]), (E493  * $O$2),"")</f>
        <v/>
      </c>
      <c r="P493" s="170" t="str">
        <f>IF(ISNUMBER(namespace_raw[[#This Row],[Column8]]), (F493  * $P$2),"")</f>
        <v/>
      </c>
    </row>
    <row r="494" spans="1:16" ht="15" customHeight="1" x14ac:dyDescent="0.25">
      <c r="A494" s="32" t="str">
        <f>IF(ISNONTEXT(namespace_raw[[#This Row],[Column1]]), "", namespace_raw[[#This Row],[Column1]])</f>
        <v/>
      </c>
      <c r="B494" s="33" t="str">
        <f>IF(ISNONTEXT(namespace_raw[[#This Row],[Column2]]), "", namespace_raw[[#This Row],[Column2]])</f>
        <v/>
      </c>
      <c r="C494" s="94" t="str">
        <f>IF(ISNUMBER(namespace_raw[[#This Row],[Column4]]), namespace_raw[[#This Row],[Column4]], "")</f>
        <v/>
      </c>
      <c r="D494" s="95" t="str">
        <f>IF(ISNUMBER(namespace_raw[[#This Row],[Column5]]), namespace_raw[[#This Row],[Column5]]/1048576, "")</f>
        <v/>
      </c>
      <c r="E494" s="95" t="str">
        <f>IF(ISNUMBER(namespace_raw[[#This Row],[Column6]]), namespace_raw[[#This Row],[Column6]],"")</f>
        <v/>
      </c>
      <c r="F494" s="96" t="str">
        <f>IF(ISNUMBER(namespace_raw[[#This Row],[Column7]]), namespace_raw[[#This Row],[Column7]]/1048576,"")</f>
        <v/>
      </c>
      <c r="G494" s="122" t="str">
        <f>IF(ISNUMBER(namespace_raw[[#This Row],[Column8]]), namespace_raw[[#This Row],[Column8]],"")</f>
        <v/>
      </c>
      <c r="H494" s="123" t="str">
        <f>IF(ISNUMBER(namespace_raw[[#This Row],[Column9]]), namespace_raw[[#This Row],[Column9]]/1048576,"")</f>
        <v/>
      </c>
      <c r="I494" s="124" t="str">
        <f>IF(ISNUMBER(namespace_raw[[#This Row],[Column8]]),MAX(G494, M494, O494, $I$2,IF(Q494&lt;&gt;"",VALUE(Q494),0)), "")</f>
        <v/>
      </c>
      <c r="J494" s="125" t="str">
        <f>IF(ISNUMBER(namespace_raw[[#This Row],[Column9]]),MAX(H494, N494, P494, $J$2,IF(R494&lt;&gt;"",VALUE(R494),0)),"")</f>
        <v/>
      </c>
      <c r="K494" s="166" t="str">
        <f>IF(ISNUMBER(namespace_raw[[#This Row],[Column12]]), namespace_raw[[#This Row],[Column12]],"")</f>
        <v/>
      </c>
      <c r="L494" s="167" t="str">
        <f>IF(ISNUMBER(namespace_raw[[#This Row],[Column13]]), namespace_raw[[#This Row],[Column13]]/1048576,"")</f>
        <v/>
      </c>
      <c r="M494" s="168" t="str">
        <f>IF(ISNUMBER(namespace_raw[[#This Row],[Column10]]), (namespace_raw[[#This Row],[Column10]]*(1+$M$2)),"")</f>
        <v/>
      </c>
      <c r="N494" s="167" t="str">
        <f>IF(ISNUMBER(namespace_raw[[#This Row],[Column11]]), (namespace_raw[[#This Row],[Column11]]*(1+$N$2))/1048576,"")</f>
        <v/>
      </c>
      <c r="O494" s="169" t="str">
        <f>IF(ISNUMBER(namespace_raw[[#This Row],[Column8]]), (E494  * $O$2),"")</f>
        <v/>
      </c>
      <c r="P494" s="170" t="str">
        <f>IF(ISNUMBER(namespace_raw[[#This Row],[Column8]]), (F494  * $P$2),"")</f>
        <v/>
      </c>
    </row>
    <row r="495" spans="1:16" ht="15" customHeight="1" x14ac:dyDescent="0.25">
      <c r="A495" s="32" t="str">
        <f>IF(ISNONTEXT(namespace_raw[[#This Row],[Column1]]), "", namespace_raw[[#This Row],[Column1]])</f>
        <v/>
      </c>
      <c r="B495" s="33" t="str">
        <f>IF(ISNONTEXT(namespace_raw[[#This Row],[Column2]]), "", namespace_raw[[#This Row],[Column2]])</f>
        <v/>
      </c>
      <c r="C495" s="94" t="str">
        <f>IF(ISNUMBER(namespace_raw[[#This Row],[Column4]]), namespace_raw[[#This Row],[Column4]], "")</f>
        <v/>
      </c>
      <c r="D495" s="95" t="str">
        <f>IF(ISNUMBER(namespace_raw[[#This Row],[Column5]]), namespace_raw[[#This Row],[Column5]]/1048576, "")</f>
        <v/>
      </c>
      <c r="E495" s="95" t="str">
        <f>IF(ISNUMBER(namespace_raw[[#This Row],[Column6]]), namespace_raw[[#This Row],[Column6]],"")</f>
        <v/>
      </c>
      <c r="F495" s="96" t="str">
        <f>IF(ISNUMBER(namespace_raw[[#This Row],[Column7]]), namespace_raw[[#This Row],[Column7]]/1048576,"")</f>
        <v/>
      </c>
      <c r="G495" s="122" t="str">
        <f>IF(ISNUMBER(namespace_raw[[#This Row],[Column8]]), namespace_raw[[#This Row],[Column8]],"")</f>
        <v/>
      </c>
      <c r="H495" s="123" t="str">
        <f>IF(ISNUMBER(namespace_raw[[#This Row],[Column9]]), namespace_raw[[#This Row],[Column9]]/1048576,"")</f>
        <v/>
      </c>
      <c r="I495" s="124" t="str">
        <f>IF(ISNUMBER(namespace_raw[[#This Row],[Column8]]),MAX(G495, M495, O495, $I$2,IF(Q495&lt;&gt;"",VALUE(Q495),0)), "")</f>
        <v/>
      </c>
      <c r="J495" s="125" t="str">
        <f>IF(ISNUMBER(namespace_raw[[#This Row],[Column9]]),MAX(H495, N495, P495, $J$2,IF(R495&lt;&gt;"",VALUE(R495),0)),"")</f>
        <v/>
      </c>
      <c r="K495" s="166" t="str">
        <f>IF(ISNUMBER(namespace_raw[[#This Row],[Column12]]), namespace_raw[[#This Row],[Column12]],"")</f>
        <v/>
      </c>
      <c r="L495" s="167" t="str">
        <f>IF(ISNUMBER(namespace_raw[[#This Row],[Column13]]), namespace_raw[[#This Row],[Column13]]/1048576,"")</f>
        <v/>
      </c>
      <c r="M495" s="168" t="str">
        <f>IF(ISNUMBER(namespace_raw[[#This Row],[Column10]]), (namespace_raw[[#This Row],[Column10]]*(1+$M$2)),"")</f>
        <v/>
      </c>
      <c r="N495" s="167" t="str">
        <f>IF(ISNUMBER(namespace_raw[[#This Row],[Column11]]), (namespace_raw[[#This Row],[Column11]]*(1+$N$2))/1048576,"")</f>
        <v/>
      </c>
      <c r="O495" s="169" t="str">
        <f>IF(ISNUMBER(namespace_raw[[#This Row],[Column8]]), (E495  * $O$2),"")</f>
        <v/>
      </c>
      <c r="P495" s="170" t="str">
        <f>IF(ISNUMBER(namespace_raw[[#This Row],[Column8]]), (F495  * $P$2),"")</f>
        <v/>
      </c>
    </row>
    <row r="496" spans="1:16" ht="15" customHeight="1" x14ac:dyDescent="0.25">
      <c r="A496" s="32" t="str">
        <f>IF(ISNONTEXT(namespace_raw[[#This Row],[Column1]]), "", namespace_raw[[#This Row],[Column1]])</f>
        <v/>
      </c>
      <c r="B496" s="33" t="str">
        <f>IF(ISNONTEXT(namespace_raw[[#This Row],[Column2]]), "", namespace_raw[[#This Row],[Column2]])</f>
        <v/>
      </c>
      <c r="C496" s="94" t="str">
        <f>IF(ISNUMBER(namespace_raw[[#This Row],[Column4]]), namespace_raw[[#This Row],[Column4]], "")</f>
        <v/>
      </c>
      <c r="D496" s="95" t="str">
        <f>IF(ISNUMBER(namespace_raw[[#This Row],[Column5]]), namespace_raw[[#This Row],[Column5]]/1048576, "")</f>
        <v/>
      </c>
      <c r="E496" s="95" t="str">
        <f>IF(ISNUMBER(namespace_raw[[#This Row],[Column6]]), namespace_raw[[#This Row],[Column6]],"")</f>
        <v/>
      </c>
      <c r="F496" s="96" t="str">
        <f>IF(ISNUMBER(namespace_raw[[#This Row],[Column7]]), namespace_raw[[#This Row],[Column7]]/1048576,"")</f>
        <v/>
      </c>
      <c r="G496" s="122" t="str">
        <f>IF(ISNUMBER(namespace_raw[[#This Row],[Column8]]), namespace_raw[[#This Row],[Column8]],"")</f>
        <v/>
      </c>
      <c r="H496" s="123" t="str">
        <f>IF(ISNUMBER(namespace_raw[[#This Row],[Column9]]), namespace_raw[[#This Row],[Column9]]/1048576,"")</f>
        <v/>
      </c>
      <c r="I496" s="124" t="str">
        <f>IF(ISNUMBER(namespace_raw[[#This Row],[Column8]]),MAX(G496, M496, O496, $I$2,IF(Q496&lt;&gt;"",VALUE(Q496),0)), "")</f>
        <v/>
      </c>
      <c r="J496" s="125" t="str">
        <f>IF(ISNUMBER(namespace_raw[[#This Row],[Column9]]),MAX(H496, N496, P496, $J$2,IF(R496&lt;&gt;"",VALUE(R496),0)),"")</f>
        <v/>
      </c>
      <c r="K496" s="166" t="str">
        <f>IF(ISNUMBER(namespace_raw[[#This Row],[Column12]]), namespace_raw[[#This Row],[Column12]],"")</f>
        <v/>
      </c>
      <c r="L496" s="167" t="str">
        <f>IF(ISNUMBER(namespace_raw[[#This Row],[Column13]]), namespace_raw[[#This Row],[Column13]]/1048576,"")</f>
        <v/>
      </c>
      <c r="M496" s="168" t="str">
        <f>IF(ISNUMBER(namespace_raw[[#This Row],[Column10]]), (namespace_raw[[#This Row],[Column10]]*(1+$M$2)),"")</f>
        <v/>
      </c>
      <c r="N496" s="167" t="str">
        <f>IF(ISNUMBER(namespace_raw[[#This Row],[Column11]]), (namespace_raw[[#This Row],[Column11]]*(1+$N$2))/1048576,"")</f>
        <v/>
      </c>
      <c r="O496" s="169" t="str">
        <f>IF(ISNUMBER(namespace_raw[[#This Row],[Column8]]), (E496  * $O$2),"")</f>
        <v/>
      </c>
      <c r="P496" s="170" t="str">
        <f>IF(ISNUMBER(namespace_raw[[#This Row],[Column8]]), (F496  * $P$2),"")</f>
        <v/>
      </c>
    </row>
    <row r="497" spans="1:16" ht="15" customHeight="1" x14ac:dyDescent="0.25">
      <c r="A497" s="32" t="str">
        <f>IF(ISNONTEXT(namespace_raw[[#This Row],[Column1]]), "", namespace_raw[[#This Row],[Column1]])</f>
        <v/>
      </c>
      <c r="B497" s="33" t="str">
        <f>IF(ISNONTEXT(namespace_raw[[#This Row],[Column2]]), "", namespace_raw[[#This Row],[Column2]])</f>
        <v/>
      </c>
      <c r="C497" s="94" t="str">
        <f>IF(ISNUMBER(namespace_raw[[#This Row],[Column4]]), namespace_raw[[#This Row],[Column4]], "")</f>
        <v/>
      </c>
      <c r="D497" s="95" t="str">
        <f>IF(ISNUMBER(namespace_raw[[#This Row],[Column5]]), namespace_raw[[#This Row],[Column5]]/1048576, "")</f>
        <v/>
      </c>
      <c r="E497" s="95" t="str">
        <f>IF(ISNUMBER(namespace_raw[[#This Row],[Column6]]), namespace_raw[[#This Row],[Column6]],"")</f>
        <v/>
      </c>
      <c r="F497" s="96" t="str">
        <f>IF(ISNUMBER(namespace_raw[[#This Row],[Column7]]), namespace_raw[[#This Row],[Column7]]/1048576,"")</f>
        <v/>
      </c>
      <c r="G497" s="122" t="str">
        <f>IF(ISNUMBER(namespace_raw[[#This Row],[Column8]]), namespace_raw[[#This Row],[Column8]],"")</f>
        <v/>
      </c>
      <c r="H497" s="123" t="str">
        <f>IF(ISNUMBER(namespace_raw[[#This Row],[Column9]]), namespace_raw[[#This Row],[Column9]]/1048576,"")</f>
        <v/>
      </c>
      <c r="I497" s="124" t="str">
        <f>IF(ISNUMBER(namespace_raw[[#This Row],[Column8]]),MAX(G497, M497, O497, $I$2,IF(Q497&lt;&gt;"",VALUE(Q497),0)), "")</f>
        <v/>
      </c>
      <c r="J497" s="125" t="str">
        <f>IF(ISNUMBER(namespace_raw[[#This Row],[Column9]]),MAX(H497, N497, P497, $J$2,IF(R497&lt;&gt;"",VALUE(R497),0)),"")</f>
        <v/>
      </c>
      <c r="K497" s="166" t="str">
        <f>IF(ISNUMBER(namespace_raw[[#This Row],[Column12]]), namespace_raw[[#This Row],[Column12]],"")</f>
        <v/>
      </c>
      <c r="L497" s="167" t="str">
        <f>IF(ISNUMBER(namespace_raw[[#This Row],[Column13]]), namespace_raw[[#This Row],[Column13]]/1048576,"")</f>
        <v/>
      </c>
      <c r="M497" s="168" t="str">
        <f>IF(ISNUMBER(namespace_raw[[#This Row],[Column10]]), (namespace_raw[[#This Row],[Column10]]*(1+$M$2)),"")</f>
        <v/>
      </c>
      <c r="N497" s="167" t="str">
        <f>IF(ISNUMBER(namespace_raw[[#This Row],[Column11]]), (namespace_raw[[#This Row],[Column11]]*(1+$N$2))/1048576,"")</f>
        <v/>
      </c>
      <c r="O497" s="169" t="str">
        <f>IF(ISNUMBER(namespace_raw[[#This Row],[Column8]]), (E497  * $O$2),"")</f>
        <v/>
      </c>
      <c r="P497" s="170" t="str">
        <f>IF(ISNUMBER(namespace_raw[[#This Row],[Column8]]), (F497  * $P$2),"")</f>
        <v/>
      </c>
    </row>
    <row r="498" spans="1:16" ht="15" customHeight="1" x14ac:dyDescent="0.25">
      <c r="A498" s="32" t="str">
        <f>IF(ISNONTEXT(namespace_raw[[#This Row],[Column1]]), "", namespace_raw[[#This Row],[Column1]])</f>
        <v/>
      </c>
      <c r="B498" s="33" t="str">
        <f>IF(ISNONTEXT(namespace_raw[[#This Row],[Column2]]), "", namespace_raw[[#This Row],[Column2]])</f>
        <v/>
      </c>
      <c r="C498" s="94" t="str">
        <f>IF(ISNUMBER(namespace_raw[[#This Row],[Column4]]), namespace_raw[[#This Row],[Column4]], "")</f>
        <v/>
      </c>
      <c r="D498" s="95" t="str">
        <f>IF(ISNUMBER(namespace_raw[[#This Row],[Column5]]), namespace_raw[[#This Row],[Column5]]/1048576, "")</f>
        <v/>
      </c>
      <c r="E498" s="95" t="str">
        <f>IF(ISNUMBER(namespace_raw[[#This Row],[Column6]]), namespace_raw[[#This Row],[Column6]],"")</f>
        <v/>
      </c>
      <c r="F498" s="96" t="str">
        <f>IF(ISNUMBER(namespace_raw[[#This Row],[Column7]]), namespace_raw[[#This Row],[Column7]]/1048576,"")</f>
        <v/>
      </c>
      <c r="G498" s="122" t="str">
        <f>IF(ISNUMBER(namespace_raw[[#This Row],[Column8]]), namespace_raw[[#This Row],[Column8]],"")</f>
        <v/>
      </c>
      <c r="H498" s="123" t="str">
        <f>IF(ISNUMBER(namespace_raw[[#This Row],[Column9]]), namespace_raw[[#This Row],[Column9]]/1048576,"")</f>
        <v/>
      </c>
      <c r="I498" s="124" t="str">
        <f>IF(ISNUMBER(namespace_raw[[#This Row],[Column8]]),MAX(G498, M498, O498, $I$2,IF(Q498&lt;&gt;"",VALUE(Q498),0)), "")</f>
        <v/>
      </c>
      <c r="J498" s="125" t="str">
        <f>IF(ISNUMBER(namespace_raw[[#This Row],[Column9]]),MAX(H498, N498, P498, $J$2,IF(R498&lt;&gt;"",VALUE(R498),0)),"")</f>
        <v/>
      </c>
      <c r="K498" s="166" t="str">
        <f>IF(ISNUMBER(namespace_raw[[#This Row],[Column12]]), namespace_raw[[#This Row],[Column12]],"")</f>
        <v/>
      </c>
      <c r="L498" s="167" t="str">
        <f>IF(ISNUMBER(namespace_raw[[#This Row],[Column13]]), namespace_raw[[#This Row],[Column13]]/1048576,"")</f>
        <v/>
      </c>
      <c r="M498" s="168" t="str">
        <f>IF(ISNUMBER(namespace_raw[[#This Row],[Column10]]), (namespace_raw[[#This Row],[Column10]]*(1+$M$2)),"")</f>
        <v/>
      </c>
      <c r="N498" s="167" t="str">
        <f>IF(ISNUMBER(namespace_raw[[#This Row],[Column11]]), (namespace_raw[[#This Row],[Column11]]*(1+$N$2))/1048576,"")</f>
        <v/>
      </c>
      <c r="O498" s="169" t="str">
        <f>IF(ISNUMBER(namespace_raw[[#This Row],[Column8]]), (E498  * $O$2),"")</f>
        <v/>
      </c>
      <c r="P498" s="170" t="str">
        <f>IF(ISNUMBER(namespace_raw[[#This Row],[Column8]]), (F498  * $P$2),"")</f>
        <v/>
      </c>
    </row>
    <row r="499" spans="1:16" ht="15" customHeight="1" x14ac:dyDescent="0.25">
      <c r="A499" s="32" t="str">
        <f>IF(ISNONTEXT(namespace_raw[[#This Row],[Column1]]), "", namespace_raw[[#This Row],[Column1]])</f>
        <v/>
      </c>
      <c r="B499" s="33" t="str">
        <f>IF(ISNONTEXT(namespace_raw[[#This Row],[Column2]]), "", namespace_raw[[#This Row],[Column2]])</f>
        <v/>
      </c>
      <c r="C499" s="94" t="str">
        <f>IF(ISNUMBER(namespace_raw[[#This Row],[Column4]]), namespace_raw[[#This Row],[Column4]], "")</f>
        <v/>
      </c>
      <c r="D499" s="95" t="str">
        <f>IF(ISNUMBER(namespace_raw[[#This Row],[Column5]]), namespace_raw[[#This Row],[Column5]]/1048576, "")</f>
        <v/>
      </c>
      <c r="E499" s="95" t="str">
        <f>IF(ISNUMBER(namespace_raw[[#This Row],[Column6]]), namespace_raw[[#This Row],[Column6]],"")</f>
        <v/>
      </c>
      <c r="F499" s="96" t="str">
        <f>IF(ISNUMBER(namespace_raw[[#This Row],[Column7]]), namespace_raw[[#This Row],[Column7]]/1048576,"")</f>
        <v/>
      </c>
      <c r="G499" s="122" t="str">
        <f>IF(ISNUMBER(namespace_raw[[#This Row],[Column8]]), namespace_raw[[#This Row],[Column8]],"")</f>
        <v/>
      </c>
      <c r="H499" s="123" t="str">
        <f>IF(ISNUMBER(namespace_raw[[#This Row],[Column9]]), namespace_raw[[#This Row],[Column9]]/1048576,"")</f>
        <v/>
      </c>
      <c r="I499" s="124" t="str">
        <f>IF(ISNUMBER(namespace_raw[[#This Row],[Column8]]),MAX(G499, M499, O499, $I$2,IF(Q499&lt;&gt;"",VALUE(Q499),0)), "")</f>
        <v/>
      </c>
      <c r="J499" s="125" t="str">
        <f>IF(ISNUMBER(namespace_raw[[#This Row],[Column9]]),MAX(H499, N499, P499, $J$2,IF(R499&lt;&gt;"",VALUE(R499),0)),"")</f>
        <v/>
      </c>
      <c r="K499" s="166" t="str">
        <f>IF(ISNUMBER(namespace_raw[[#This Row],[Column12]]), namespace_raw[[#This Row],[Column12]],"")</f>
        <v/>
      </c>
      <c r="L499" s="167" t="str">
        <f>IF(ISNUMBER(namespace_raw[[#This Row],[Column13]]), namespace_raw[[#This Row],[Column13]]/1048576,"")</f>
        <v/>
      </c>
      <c r="M499" s="168" t="str">
        <f>IF(ISNUMBER(namespace_raw[[#This Row],[Column10]]), (namespace_raw[[#This Row],[Column10]]*(1+$M$2)),"")</f>
        <v/>
      </c>
      <c r="N499" s="167" t="str">
        <f>IF(ISNUMBER(namespace_raw[[#This Row],[Column11]]), (namespace_raw[[#This Row],[Column11]]*(1+$N$2))/1048576,"")</f>
        <v/>
      </c>
      <c r="O499" s="169" t="str">
        <f>IF(ISNUMBER(namespace_raw[[#This Row],[Column8]]), (E499  * $O$2),"")</f>
        <v/>
      </c>
      <c r="P499" s="170" t="str">
        <f>IF(ISNUMBER(namespace_raw[[#This Row],[Column8]]), (F499  * $P$2),"")</f>
        <v/>
      </c>
    </row>
    <row r="500" spans="1:16" ht="15" customHeight="1" x14ac:dyDescent="0.25">
      <c r="A500" s="32" t="str">
        <f>IF(ISNONTEXT(namespace_raw[[#This Row],[Column1]]), "", namespace_raw[[#This Row],[Column1]])</f>
        <v/>
      </c>
      <c r="B500" s="33" t="str">
        <f>IF(ISNONTEXT(namespace_raw[[#This Row],[Column2]]), "", namespace_raw[[#This Row],[Column2]])</f>
        <v/>
      </c>
      <c r="C500" s="94" t="str">
        <f>IF(ISNUMBER(namespace_raw[[#This Row],[Column4]]), namespace_raw[[#This Row],[Column4]], "")</f>
        <v/>
      </c>
      <c r="D500" s="95" t="str">
        <f>IF(ISNUMBER(namespace_raw[[#This Row],[Column5]]), namespace_raw[[#This Row],[Column5]]/1048576, "")</f>
        <v/>
      </c>
      <c r="E500" s="95" t="str">
        <f>IF(ISNUMBER(namespace_raw[[#This Row],[Column6]]), namespace_raw[[#This Row],[Column6]],"")</f>
        <v/>
      </c>
      <c r="F500" s="96" t="str">
        <f>IF(ISNUMBER(namespace_raw[[#This Row],[Column7]]), namespace_raw[[#This Row],[Column7]]/1048576,"")</f>
        <v/>
      </c>
      <c r="G500" s="122" t="str">
        <f>IF(ISNUMBER(namespace_raw[[#This Row],[Column8]]), namespace_raw[[#This Row],[Column8]],"")</f>
        <v/>
      </c>
      <c r="H500" s="123" t="str">
        <f>IF(ISNUMBER(namespace_raw[[#This Row],[Column9]]), namespace_raw[[#This Row],[Column9]]/1048576,"")</f>
        <v/>
      </c>
      <c r="I500" s="124" t="str">
        <f>IF(ISNUMBER(namespace_raw[[#This Row],[Column8]]),MAX(G500, M500, O500, $I$2,IF(Q500&lt;&gt;"",VALUE(Q500),0)), "")</f>
        <v/>
      </c>
      <c r="J500" s="125" t="str">
        <f>IF(ISNUMBER(namespace_raw[[#This Row],[Column9]]),MAX(H500, N500, P500, $J$2,IF(R500&lt;&gt;"",VALUE(R500),0)),"")</f>
        <v/>
      </c>
      <c r="K500" s="166" t="str">
        <f>IF(ISNUMBER(namespace_raw[[#This Row],[Column12]]), namespace_raw[[#This Row],[Column12]],"")</f>
        <v/>
      </c>
      <c r="L500" s="167" t="str">
        <f>IF(ISNUMBER(namespace_raw[[#This Row],[Column13]]), namespace_raw[[#This Row],[Column13]]/1048576,"")</f>
        <v/>
      </c>
      <c r="M500" s="168" t="str">
        <f>IF(ISNUMBER(namespace_raw[[#This Row],[Column10]]), (namespace_raw[[#This Row],[Column10]]*(1+$M$2)),"")</f>
        <v/>
      </c>
      <c r="N500" s="167" t="str">
        <f>IF(ISNUMBER(namespace_raw[[#This Row],[Column11]]), (namespace_raw[[#This Row],[Column11]]*(1+$N$2))/1048576,"")</f>
        <v/>
      </c>
      <c r="O500" s="169" t="str">
        <f>IF(ISNUMBER(namespace_raw[[#This Row],[Column8]]), (E500  * $O$2),"")</f>
        <v/>
      </c>
      <c r="P500" s="170" t="str">
        <f>IF(ISNUMBER(namespace_raw[[#This Row],[Column8]]), (F500  * $P$2),"")</f>
        <v/>
      </c>
    </row>
    <row r="501" spans="1:16" ht="15" customHeight="1" x14ac:dyDescent="0.25">
      <c r="A501" s="32" t="str">
        <f>IF(ISNONTEXT(namespace_raw[[#This Row],[Column1]]), "", namespace_raw[[#This Row],[Column1]])</f>
        <v/>
      </c>
      <c r="B501" s="33" t="str">
        <f>IF(ISNONTEXT(namespace_raw[[#This Row],[Column2]]), "", namespace_raw[[#This Row],[Column2]])</f>
        <v/>
      </c>
      <c r="C501" s="94" t="str">
        <f>IF(ISNUMBER(namespace_raw[[#This Row],[Column4]]), namespace_raw[[#This Row],[Column4]], "")</f>
        <v/>
      </c>
      <c r="D501" s="95" t="str">
        <f>IF(ISNUMBER(namespace_raw[[#This Row],[Column5]]), namespace_raw[[#This Row],[Column5]]/1048576, "")</f>
        <v/>
      </c>
      <c r="E501" s="95" t="str">
        <f>IF(ISNUMBER(namespace_raw[[#This Row],[Column6]]), namespace_raw[[#This Row],[Column6]],"")</f>
        <v/>
      </c>
      <c r="F501" s="96" t="str">
        <f>IF(ISNUMBER(namespace_raw[[#This Row],[Column7]]), namespace_raw[[#This Row],[Column7]]/1048576,"")</f>
        <v/>
      </c>
      <c r="G501" s="122" t="str">
        <f>IF(ISNUMBER(namespace_raw[[#This Row],[Column8]]), namespace_raw[[#This Row],[Column8]],"")</f>
        <v/>
      </c>
      <c r="H501" s="123" t="str">
        <f>IF(ISNUMBER(namespace_raw[[#This Row],[Column9]]), namespace_raw[[#This Row],[Column9]]/1048576,"")</f>
        <v/>
      </c>
      <c r="I501" s="124" t="str">
        <f>IF(ISNUMBER(namespace_raw[[#This Row],[Column8]]),MAX(G501, M501, O501, $I$2,IF(Q501&lt;&gt;"",VALUE(Q501),0)), "")</f>
        <v/>
      </c>
      <c r="J501" s="125" t="str">
        <f>IF(ISNUMBER(namespace_raw[[#This Row],[Column9]]),MAX(H501, N501, P501, $J$2,IF(R501&lt;&gt;"",VALUE(R501),0)),"")</f>
        <v/>
      </c>
      <c r="K501" s="166" t="str">
        <f>IF(ISNUMBER(namespace_raw[[#This Row],[Column12]]), namespace_raw[[#This Row],[Column12]],"")</f>
        <v/>
      </c>
      <c r="L501" s="167" t="str">
        <f>IF(ISNUMBER(namespace_raw[[#This Row],[Column13]]), namespace_raw[[#This Row],[Column13]]/1048576,"")</f>
        <v/>
      </c>
      <c r="M501" s="168" t="str">
        <f>IF(ISNUMBER(namespace_raw[[#This Row],[Column10]]), (namespace_raw[[#This Row],[Column10]]*(1+$M$2)),"")</f>
        <v/>
      </c>
      <c r="N501" s="167" t="str">
        <f>IF(ISNUMBER(namespace_raw[[#This Row],[Column11]]), (namespace_raw[[#This Row],[Column11]]*(1+$N$2))/1048576,"")</f>
        <v/>
      </c>
      <c r="O501" s="169" t="str">
        <f>IF(ISNUMBER(namespace_raw[[#This Row],[Column8]]), (E501  * $O$2),"")</f>
        <v/>
      </c>
      <c r="P501" s="170" t="str">
        <f>IF(ISNUMBER(namespace_raw[[#This Row],[Column8]]), (F501  * $P$2),"")</f>
        <v/>
      </c>
    </row>
    <row r="502" spans="1:16" ht="15" customHeight="1" x14ac:dyDescent="0.25">
      <c r="A502" s="32" t="str">
        <f>IF(ISNONTEXT(namespace_raw[[#This Row],[Column1]]), "", namespace_raw[[#This Row],[Column1]])</f>
        <v/>
      </c>
      <c r="B502" s="33" t="str">
        <f>IF(ISNONTEXT(namespace_raw[[#This Row],[Column2]]), "", namespace_raw[[#This Row],[Column2]])</f>
        <v/>
      </c>
      <c r="C502" s="94" t="str">
        <f>IF(ISNUMBER(namespace_raw[[#This Row],[Column4]]), namespace_raw[[#This Row],[Column4]], "")</f>
        <v/>
      </c>
      <c r="D502" s="95" t="str">
        <f>IF(ISNUMBER(namespace_raw[[#This Row],[Column5]]), namespace_raw[[#This Row],[Column5]]/1048576, "")</f>
        <v/>
      </c>
      <c r="E502" s="95" t="str">
        <f>IF(ISNUMBER(namespace_raw[[#This Row],[Column6]]), namespace_raw[[#This Row],[Column6]],"")</f>
        <v/>
      </c>
      <c r="F502" s="96" t="str">
        <f>IF(ISNUMBER(namespace_raw[[#This Row],[Column7]]), namespace_raw[[#This Row],[Column7]]/1048576,"")</f>
        <v/>
      </c>
      <c r="G502" s="122" t="str">
        <f>IF(ISNUMBER(namespace_raw[[#This Row],[Column8]]), namespace_raw[[#This Row],[Column8]],"")</f>
        <v/>
      </c>
      <c r="H502" s="123" t="str">
        <f>IF(ISNUMBER(namespace_raw[[#This Row],[Column9]]), namespace_raw[[#This Row],[Column9]]/1048576,"")</f>
        <v/>
      </c>
      <c r="I502" s="124" t="str">
        <f>IF(ISNUMBER(namespace_raw[[#This Row],[Column8]]),MAX(G502, M502, O502, $I$2,IF(Q502&lt;&gt;"",VALUE(Q502),0)), "")</f>
        <v/>
      </c>
      <c r="J502" s="125" t="str">
        <f>IF(ISNUMBER(namespace_raw[[#This Row],[Column9]]),MAX(H502, N502, P502, $J$2,IF(R502&lt;&gt;"",VALUE(R502),0)),"")</f>
        <v/>
      </c>
      <c r="K502" s="166" t="str">
        <f>IF(ISNUMBER(namespace_raw[[#This Row],[Column12]]), namespace_raw[[#This Row],[Column12]],"")</f>
        <v/>
      </c>
      <c r="L502" s="167" t="str">
        <f>IF(ISNUMBER(namespace_raw[[#This Row],[Column13]]), namespace_raw[[#This Row],[Column13]]/1048576,"")</f>
        <v/>
      </c>
      <c r="M502" s="168" t="str">
        <f>IF(ISNUMBER(namespace_raw[[#This Row],[Column10]]), (namespace_raw[[#This Row],[Column10]]*(1+$M$2)),"")</f>
        <v/>
      </c>
      <c r="N502" s="167" t="str">
        <f>IF(ISNUMBER(namespace_raw[[#This Row],[Column11]]), (namespace_raw[[#This Row],[Column11]]*(1+$N$2))/1048576,"")</f>
        <v/>
      </c>
      <c r="O502" s="169" t="str">
        <f>IF(ISNUMBER(namespace_raw[[#This Row],[Column8]]), (E502  * $O$2),"")</f>
        <v/>
      </c>
      <c r="P502" s="170" t="str">
        <f>IF(ISNUMBER(namespace_raw[[#This Row],[Column8]]), (F502  * $P$2),"")</f>
        <v/>
      </c>
    </row>
    <row r="503" spans="1:16" ht="15" customHeight="1" x14ac:dyDescent="0.25">
      <c r="A503" s="32" t="str">
        <f>IF(ISNONTEXT(namespace_raw[[#This Row],[Column1]]), "", namespace_raw[[#This Row],[Column1]])</f>
        <v/>
      </c>
      <c r="B503" s="33" t="str">
        <f>IF(ISNONTEXT(namespace_raw[[#This Row],[Column2]]), "", namespace_raw[[#This Row],[Column2]])</f>
        <v/>
      </c>
      <c r="C503" s="94" t="str">
        <f>IF(ISNUMBER(namespace_raw[[#This Row],[Column4]]), namespace_raw[[#This Row],[Column4]], "")</f>
        <v/>
      </c>
      <c r="D503" s="95" t="str">
        <f>IF(ISNUMBER(namespace_raw[[#This Row],[Column5]]), namespace_raw[[#This Row],[Column5]]/1048576, "")</f>
        <v/>
      </c>
      <c r="E503" s="95" t="str">
        <f>IF(ISNUMBER(namespace_raw[[#This Row],[Column6]]), namespace_raw[[#This Row],[Column6]],"")</f>
        <v/>
      </c>
      <c r="F503" s="96" t="str">
        <f>IF(ISNUMBER(namespace_raw[[#This Row],[Column7]]), namespace_raw[[#This Row],[Column7]]/1048576,"")</f>
        <v/>
      </c>
      <c r="G503" s="122" t="str">
        <f>IF(ISNUMBER(namespace_raw[[#This Row],[Column8]]), namespace_raw[[#This Row],[Column8]],"")</f>
        <v/>
      </c>
      <c r="H503" s="123" t="str">
        <f>IF(ISNUMBER(namespace_raw[[#This Row],[Column9]]), namespace_raw[[#This Row],[Column9]]/1048576,"")</f>
        <v/>
      </c>
      <c r="I503" s="124" t="str">
        <f>IF(ISNUMBER(namespace_raw[[#This Row],[Column8]]),MAX(G503, M503, O503, $I$2,IF(Q503&lt;&gt;"",VALUE(Q503),0)), "")</f>
        <v/>
      </c>
      <c r="J503" s="125" t="str">
        <f>IF(ISNUMBER(namespace_raw[[#This Row],[Column9]]),MAX(H503, N503, P503, $J$2,IF(R503&lt;&gt;"",VALUE(R503),0)),"")</f>
        <v/>
      </c>
      <c r="K503" s="166" t="str">
        <f>IF(ISNUMBER(namespace_raw[[#This Row],[Column12]]), namespace_raw[[#This Row],[Column12]],"")</f>
        <v/>
      </c>
      <c r="L503" s="167" t="str">
        <f>IF(ISNUMBER(namespace_raw[[#This Row],[Column13]]), namespace_raw[[#This Row],[Column13]]/1048576,"")</f>
        <v/>
      </c>
      <c r="M503" s="168" t="str">
        <f>IF(ISNUMBER(namespace_raw[[#This Row],[Column10]]), (namespace_raw[[#This Row],[Column10]]*(1+$M$2)),"")</f>
        <v/>
      </c>
      <c r="N503" s="167" t="str">
        <f>IF(ISNUMBER(namespace_raw[[#This Row],[Column11]]), (namespace_raw[[#This Row],[Column11]]*(1+$N$2))/1048576,"")</f>
        <v/>
      </c>
      <c r="O503" s="169" t="str">
        <f>IF(ISNUMBER(namespace_raw[[#This Row],[Column8]]), (E503  * $O$2),"")</f>
        <v/>
      </c>
      <c r="P503" s="170" t="str">
        <f>IF(ISNUMBER(namespace_raw[[#This Row],[Column8]]), (F503  * $P$2),"")</f>
        <v/>
      </c>
    </row>
    <row r="504" spans="1:16" ht="15" customHeight="1" x14ac:dyDescent="0.25">
      <c r="A504" s="32" t="str">
        <f>IF(ISNONTEXT(namespace_raw[[#This Row],[Column1]]), "", namespace_raw[[#This Row],[Column1]])</f>
        <v/>
      </c>
      <c r="B504" s="33" t="str">
        <f>IF(ISNONTEXT(namespace_raw[[#This Row],[Column2]]), "", namespace_raw[[#This Row],[Column2]])</f>
        <v/>
      </c>
      <c r="C504" s="94" t="str">
        <f>IF(ISNUMBER(namespace_raw[[#This Row],[Column4]]), namespace_raw[[#This Row],[Column4]], "")</f>
        <v/>
      </c>
      <c r="D504" s="95" t="str">
        <f>IF(ISNUMBER(namespace_raw[[#This Row],[Column5]]), namespace_raw[[#This Row],[Column5]]/1048576, "")</f>
        <v/>
      </c>
      <c r="E504" s="95" t="str">
        <f>IF(ISNUMBER(namespace_raw[[#This Row],[Column6]]), namespace_raw[[#This Row],[Column6]],"")</f>
        <v/>
      </c>
      <c r="F504" s="96" t="str">
        <f>IF(ISNUMBER(namespace_raw[[#This Row],[Column7]]), namespace_raw[[#This Row],[Column7]]/1048576,"")</f>
        <v/>
      </c>
      <c r="G504" s="122" t="str">
        <f>IF(ISNUMBER(namespace_raw[[#This Row],[Column8]]), namespace_raw[[#This Row],[Column8]],"")</f>
        <v/>
      </c>
      <c r="H504" s="123" t="str">
        <f>IF(ISNUMBER(namespace_raw[[#This Row],[Column9]]), namespace_raw[[#This Row],[Column9]]/1048576,"")</f>
        <v/>
      </c>
      <c r="I504" s="124" t="str">
        <f>IF(ISNUMBER(namespace_raw[[#This Row],[Column8]]),MAX(G504, M504, O504, $I$2,IF(Q504&lt;&gt;"",VALUE(Q504),0)), "")</f>
        <v/>
      </c>
      <c r="J504" s="125" t="str">
        <f>IF(ISNUMBER(namespace_raw[[#This Row],[Column9]]),MAX(H504, N504, P504, $J$2,IF(R504&lt;&gt;"",VALUE(R504),0)),"")</f>
        <v/>
      </c>
      <c r="K504" s="166" t="str">
        <f>IF(ISNUMBER(namespace_raw[[#This Row],[Column12]]), namespace_raw[[#This Row],[Column12]],"")</f>
        <v/>
      </c>
      <c r="L504" s="167" t="str">
        <f>IF(ISNUMBER(namespace_raw[[#This Row],[Column13]]), namespace_raw[[#This Row],[Column13]]/1048576,"")</f>
        <v/>
      </c>
      <c r="M504" s="168" t="str">
        <f>IF(ISNUMBER(namespace_raw[[#This Row],[Column10]]), (namespace_raw[[#This Row],[Column10]]*(1+$M$2)),"")</f>
        <v/>
      </c>
      <c r="N504" s="167" t="str">
        <f>IF(ISNUMBER(namespace_raw[[#This Row],[Column11]]), (namespace_raw[[#This Row],[Column11]]*(1+$N$2))/1048576,"")</f>
        <v/>
      </c>
      <c r="O504" s="169" t="str">
        <f>IF(ISNUMBER(namespace_raw[[#This Row],[Column8]]), (E504  * $O$2),"")</f>
        <v/>
      </c>
      <c r="P504" s="170" t="str">
        <f>IF(ISNUMBER(namespace_raw[[#This Row],[Column8]]), (F504  * $P$2),"")</f>
        <v/>
      </c>
    </row>
    <row r="505" spans="1:16" ht="15" customHeight="1" x14ac:dyDescent="0.25">
      <c r="A505" s="32" t="str">
        <f>IF(ISNONTEXT(namespace_raw[[#This Row],[Column1]]), "", namespace_raw[[#This Row],[Column1]])</f>
        <v/>
      </c>
      <c r="B505" s="33" t="str">
        <f>IF(ISNONTEXT(namespace_raw[[#This Row],[Column2]]), "", namespace_raw[[#This Row],[Column2]])</f>
        <v/>
      </c>
      <c r="C505" s="94" t="str">
        <f>IF(ISNUMBER(namespace_raw[[#This Row],[Column4]]), namespace_raw[[#This Row],[Column4]], "")</f>
        <v/>
      </c>
      <c r="D505" s="95" t="str">
        <f>IF(ISNUMBER(namespace_raw[[#This Row],[Column5]]), namespace_raw[[#This Row],[Column5]]/1048576, "")</f>
        <v/>
      </c>
      <c r="E505" s="95" t="str">
        <f>IF(ISNUMBER(namespace_raw[[#This Row],[Column6]]), namespace_raw[[#This Row],[Column6]],"")</f>
        <v/>
      </c>
      <c r="F505" s="96" t="str">
        <f>IF(ISNUMBER(namespace_raw[[#This Row],[Column7]]), namespace_raw[[#This Row],[Column7]]/1048576,"")</f>
        <v/>
      </c>
      <c r="G505" s="122" t="str">
        <f>IF(ISNUMBER(namespace_raw[[#This Row],[Column8]]), namespace_raw[[#This Row],[Column8]],"")</f>
        <v/>
      </c>
      <c r="H505" s="123" t="str">
        <f>IF(ISNUMBER(namespace_raw[[#This Row],[Column9]]), namespace_raw[[#This Row],[Column9]]/1048576,"")</f>
        <v/>
      </c>
      <c r="I505" s="124" t="str">
        <f>IF(ISNUMBER(namespace_raw[[#This Row],[Column8]]),MAX(G505, M505, O505, $I$2,IF(Q505&lt;&gt;"",VALUE(Q505),0)), "")</f>
        <v/>
      </c>
      <c r="J505" s="125" t="str">
        <f>IF(ISNUMBER(namespace_raw[[#This Row],[Column9]]),MAX(H505, N505, P505, $J$2,IF(R505&lt;&gt;"",VALUE(R505),0)),"")</f>
        <v/>
      </c>
      <c r="K505" s="166" t="str">
        <f>IF(ISNUMBER(namespace_raw[[#This Row],[Column12]]), namespace_raw[[#This Row],[Column12]],"")</f>
        <v/>
      </c>
      <c r="L505" s="167" t="str">
        <f>IF(ISNUMBER(namespace_raw[[#This Row],[Column13]]), namespace_raw[[#This Row],[Column13]]/1048576,"")</f>
        <v/>
      </c>
      <c r="M505" s="168" t="str">
        <f>IF(ISNUMBER(namespace_raw[[#This Row],[Column10]]), (namespace_raw[[#This Row],[Column10]]*(1+$M$2)),"")</f>
        <v/>
      </c>
      <c r="N505" s="167" t="str">
        <f>IF(ISNUMBER(namespace_raw[[#This Row],[Column11]]), (namespace_raw[[#This Row],[Column11]]*(1+$N$2))/1048576,"")</f>
        <v/>
      </c>
      <c r="O505" s="169" t="str">
        <f>IF(ISNUMBER(namespace_raw[[#This Row],[Column8]]), (E505  * $O$2),"")</f>
        <v/>
      </c>
      <c r="P505" s="170" t="str">
        <f>IF(ISNUMBER(namespace_raw[[#This Row],[Column8]]), (F505  * $P$2),"")</f>
        <v/>
      </c>
    </row>
    <row r="506" spans="1:16" ht="15" customHeight="1" x14ac:dyDescent="0.25">
      <c r="A506" s="32" t="str">
        <f>IF(ISNONTEXT(namespace_raw[[#This Row],[Column1]]), "", namespace_raw[[#This Row],[Column1]])</f>
        <v/>
      </c>
      <c r="B506" s="33" t="str">
        <f>IF(ISNONTEXT(namespace_raw[[#This Row],[Column2]]), "", namespace_raw[[#This Row],[Column2]])</f>
        <v/>
      </c>
      <c r="C506" s="94" t="str">
        <f>IF(ISNUMBER(namespace_raw[[#This Row],[Column4]]), namespace_raw[[#This Row],[Column4]], "")</f>
        <v/>
      </c>
      <c r="D506" s="95" t="str">
        <f>IF(ISNUMBER(namespace_raw[[#This Row],[Column5]]), namespace_raw[[#This Row],[Column5]]/1048576, "")</f>
        <v/>
      </c>
      <c r="E506" s="95" t="str">
        <f>IF(ISNUMBER(namespace_raw[[#This Row],[Column6]]), namespace_raw[[#This Row],[Column6]],"")</f>
        <v/>
      </c>
      <c r="F506" s="96" t="str">
        <f>IF(ISNUMBER(namespace_raw[[#This Row],[Column7]]), namespace_raw[[#This Row],[Column7]]/1048576,"")</f>
        <v/>
      </c>
      <c r="G506" s="122" t="str">
        <f>IF(ISNUMBER(namespace_raw[[#This Row],[Column8]]), namespace_raw[[#This Row],[Column8]],"")</f>
        <v/>
      </c>
      <c r="H506" s="123" t="str">
        <f>IF(ISNUMBER(namespace_raw[[#This Row],[Column9]]), namespace_raw[[#This Row],[Column9]]/1048576,"")</f>
        <v/>
      </c>
      <c r="I506" s="124" t="str">
        <f>IF(ISNUMBER(namespace_raw[[#This Row],[Column8]]),MAX(G506, M506, O506, $I$2,IF(Q506&lt;&gt;"",VALUE(Q506),0)), "")</f>
        <v/>
      </c>
      <c r="J506" s="125" t="str">
        <f>IF(ISNUMBER(namespace_raw[[#This Row],[Column9]]),MAX(H506, N506, P506, $J$2,IF(R506&lt;&gt;"",VALUE(R506),0)),"")</f>
        <v/>
      </c>
      <c r="K506" s="166" t="str">
        <f>IF(ISNUMBER(namespace_raw[[#This Row],[Column12]]), namespace_raw[[#This Row],[Column12]],"")</f>
        <v/>
      </c>
      <c r="L506" s="167" t="str">
        <f>IF(ISNUMBER(namespace_raw[[#This Row],[Column13]]), namespace_raw[[#This Row],[Column13]]/1048576,"")</f>
        <v/>
      </c>
      <c r="M506" s="168" t="str">
        <f>IF(ISNUMBER(namespace_raw[[#This Row],[Column10]]), (namespace_raw[[#This Row],[Column10]]*(1+$M$2)),"")</f>
        <v/>
      </c>
      <c r="N506" s="167" t="str">
        <f>IF(ISNUMBER(namespace_raw[[#This Row],[Column11]]), (namespace_raw[[#This Row],[Column11]]*(1+$N$2))/1048576,"")</f>
        <v/>
      </c>
      <c r="O506" s="169" t="str">
        <f>IF(ISNUMBER(namespace_raw[[#This Row],[Column8]]), (E506  * $O$2),"")</f>
        <v/>
      </c>
      <c r="P506" s="170" t="str">
        <f>IF(ISNUMBER(namespace_raw[[#This Row],[Column8]]), (F506  * $P$2),"")</f>
        <v/>
      </c>
    </row>
    <row r="507" spans="1:16" ht="15" customHeight="1" x14ac:dyDescent="0.25">
      <c r="A507" s="32" t="str">
        <f>IF(ISNONTEXT(namespace_raw[[#This Row],[Column1]]), "", namespace_raw[[#This Row],[Column1]])</f>
        <v/>
      </c>
      <c r="B507" s="33" t="str">
        <f>IF(ISNONTEXT(namespace_raw[[#This Row],[Column2]]), "", namespace_raw[[#This Row],[Column2]])</f>
        <v/>
      </c>
      <c r="C507" s="94" t="str">
        <f>IF(ISNUMBER(namespace_raw[[#This Row],[Column4]]), namespace_raw[[#This Row],[Column4]], "")</f>
        <v/>
      </c>
      <c r="D507" s="95" t="str">
        <f>IF(ISNUMBER(namespace_raw[[#This Row],[Column5]]), namespace_raw[[#This Row],[Column5]]/1048576, "")</f>
        <v/>
      </c>
      <c r="E507" s="95" t="str">
        <f>IF(ISNUMBER(namespace_raw[[#This Row],[Column6]]), namespace_raw[[#This Row],[Column6]],"")</f>
        <v/>
      </c>
      <c r="F507" s="96" t="str">
        <f>IF(ISNUMBER(namespace_raw[[#This Row],[Column7]]), namespace_raw[[#This Row],[Column7]]/1048576,"")</f>
        <v/>
      </c>
      <c r="G507" s="122" t="str">
        <f>IF(ISNUMBER(namespace_raw[[#This Row],[Column8]]), namespace_raw[[#This Row],[Column8]],"")</f>
        <v/>
      </c>
      <c r="H507" s="123" t="str">
        <f>IF(ISNUMBER(namespace_raw[[#This Row],[Column9]]), namespace_raw[[#This Row],[Column9]]/1048576,"")</f>
        <v/>
      </c>
      <c r="I507" s="124" t="str">
        <f>IF(ISNUMBER(namespace_raw[[#This Row],[Column8]]),MAX(G507, M507, O507, $I$2,IF(Q507&lt;&gt;"",VALUE(Q507),0)), "")</f>
        <v/>
      </c>
      <c r="J507" s="125" t="str">
        <f>IF(ISNUMBER(namespace_raw[[#This Row],[Column9]]),MAX(H507, N507, P507, $J$2,IF(R507&lt;&gt;"",VALUE(R507),0)),"")</f>
        <v/>
      </c>
      <c r="K507" s="166" t="str">
        <f>IF(ISNUMBER(namespace_raw[[#This Row],[Column12]]), namespace_raw[[#This Row],[Column12]],"")</f>
        <v/>
      </c>
      <c r="L507" s="167" t="str">
        <f>IF(ISNUMBER(namespace_raw[[#This Row],[Column13]]), namespace_raw[[#This Row],[Column13]]/1048576,"")</f>
        <v/>
      </c>
      <c r="M507" s="168" t="str">
        <f>IF(ISNUMBER(namespace_raw[[#This Row],[Column10]]), (namespace_raw[[#This Row],[Column10]]*(1+$M$2)),"")</f>
        <v/>
      </c>
      <c r="N507" s="167" t="str">
        <f>IF(ISNUMBER(namespace_raw[[#This Row],[Column11]]), (namespace_raw[[#This Row],[Column11]]*(1+$N$2))/1048576,"")</f>
        <v/>
      </c>
      <c r="O507" s="169" t="str">
        <f>IF(ISNUMBER(namespace_raw[[#This Row],[Column8]]), (E507  * $O$2),"")</f>
        <v/>
      </c>
      <c r="P507" s="170" t="str">
        <f>IF(ISNUMBER(namespace_raw[[#This Row],[Column8]]), (F507  * $P$2),"")</f>
        <v/>
      </c>
    </row>
    <row r="508" spans="1:16" ht="15" customHeight="1" x14ac:dyDescent="0.25">
      <c r="A508" s="32" t="str">
        <f>IF(ISNONTEXT(namespace_raw[[#This Row],[Column1]]), "", namespace_raw[[#This Row],[Column1]])</f>
        <v/>
      </c>
      <c r="B508" s="33" t="str">
        <f>IF(ISNONTEXT(namespace_raw[[#This Row],[Column2]]), "", namespace_raw[[#This Row],[Column2]])</f>
        <v/>
      </c>
      <c r="C508" s="94" t="str">
        <f>IF(ISNUMBER(namespace_raw[[#This Row],[Column4]]), namespace_raw[[#This Row],[Column4]], "")</f>
        <v/>
      </c>
      <c r="D508" s="95" t="str">
        <f>IF(ISNUMBER(namespace_raw[[#This Row],[Column5]]), namespace_raw[[#This Row],[Column5]]/1048576, "")</f>
        <v/>
      </c>
      <c r="E508" s="95" t="str">
        <f>IF(ISNUMBER(namespace_raw[[#This Row],[Column6]]), namespace_raw[[#This Row],[Column6]],"")</f>
        <v/>
      </c>
      <c r="F508" s="96" t="str">
        <f>IF(ISNUMBER(namespace_raw[[#This Row],[Column7]]), namespace_raw[[#This Row],[Column7]]/1048576,"")</f>
        <v/>
      </c>
      <c r="G508" s="122" t="str">
        <f>IF(ISNUMBER(namespace_raw[[#This Row],[Column8]]), namespace_raw[[#This Row],[Column8]],"")</f>
        <v/>
      </c>
      <c r="H508" s="123" t="str">
        <f>IF(ISNUMBER(namespace_raw[[#This Row],[Column9]]), namespace_raw[[#This Row],[Column9]]/1048576,"")</f>
        <v/>
      </c>
      <c r="I508" s="124" t="str">
        <f>IF(ISNUMBER(namespace_raw[[#This Row],[Column8]]),MAX(G508, M508, O508, $I$2,IF(Q508&lt;&gt;"",VALUE(Q508),0)), "")</f>
        <v/>
      </c>
      <c r="J508" s="125" t="str">
        <f>IF(ISNUMBER(namespace_raw[[#This Row],[Column9]]),MAX(H508, N508, P508, $J$2,IF(R508&lt;&gt;"",VALUE(R508),0)),"")</f>
        <v/>
      </c>
      <c r="K508" s="166" t="str">
        <f>IF(ISNUMBER(namespace_raw[[#This Row],[Column12]]), namespace_raw[[#This Row],[Column12]],"")</f>
        <v/>
      </c>
      <c r="L508" s="167" t="str">
        <f>IF(ISNUMBER(namespace_raw[[#This Row],[Column13]]), namespace_raw[[#This Row],[Column13]]/1048576,"")</f>
        <v/>
      </c>
      <c r="M508" s="168" t="str">
        <f>IF(ISNUMBER(namespace_raw[[#This Row],[Column10]]), (namespace_raw[[#This Row],[Column10]]*(1+$M$2)),"")</f>
        <v/>
      </c>
      <c r="N508" s="167" t="str">
        <f>IF(ISNUMBER(namespace_raw[[#This Row],[Column11]]), (namespace_raw[[#This Row],[Column11]]*(1+$N$2))/1048576,"")</f>
        <v/>
      </c>
      <c r="O508" s="169" t="str">
        <f>IF(ISNUMBER(namespace_raw[[#This Row],[Column8]]), (E508  * $O$2),"")</f>
        <v/>
      </c>
      <c r="P508" s="170" t="str">
        <f>IF(ISNUMBER(namespace_raw[[#This Row],[Column8]]), (F508  * $P$2),"")</f>
        <v/>
      </c>
    </row>
    <row r="509" spans="1:16" ht="15" customHeight="1" x14ac:dyDescent="0.25">
      <c r="A509" s="32" t="str">
        <f>IF(ISNONTEXT(namespace_raw[[#This Row],[Column1]]), "", namespace_raw[[#This Row],[Column1]])</f>
        <v/>
      </c>
      <c r="B509" s="33" t="str">
        <f>IF(ISNONTEXT(namespace_raw[[#This Row],[Column2]]), "", namespace_raw[[#This Row],[Column2]])</f>
        <v/>
      </c>
      <c r="C509" s="94" t="str">
        <f>IF(ISNUMBER(namespace_raw[[#This Row],[Column4]]), namespace_raw[[#This Row],[Column4]], "")</f>
        <v/>
      </c>
      <c r="D509" s="95" t="str">
        <f>IF(ISNUMBER(namespace_raw[[#This Row],[Column5]]), namespace_raw[[#This Row],[Column5]]/1048576, "")</f>
        <v/>
      </c>
      <c r="E509" s="95" t="str">
        <f>IF(ISNUMBER(namespace_raw[[#This Row],[Column6]]), namespace_raw[[#This Row],[Column6]],"")</f>
        <v/>
      </c>
      <c r="F509" s="96" t="str">
        <f>IF(ISNUMBER(namespace_raw[[#This Row],[Column7]]), namespace_raw[[#This Row],[Column7]]/1048576,"")</f>
        <v/>
      </c>
      <c r="G509" s="122" t="str">
        <f>IF(ISNUMBER(namespace_raw[[#This Row],[Column8]]), namespace_raw[[#This Row],[Column8]],"")</f>
        <v/>
      </c>
      <c r="H509" s="123" t="str">
        <f>IF(ISNUMBER(namespace_raw[[#This Row],[Column9]]), namespace_raw[[#This Row],[Column9]]/1048576,"")</f>
        <v/>
      </c>
      <c r="I509" s="124" t="str">
        <f>IF(ISNUMBER(namespace_raw[[#This Row],[Column8]]),MAX(G509, M509, O509, $I$2,IF(Q509&lt;&gt;"",VALUE(Q509),0)), "")</f>
        <v/>
      </c>
      <c r="J509" s="125" t="str">
        <f>IF(ISNUMBER(namespace_raw[[#This Row],[Column9]]),MAX(H509, N509, P509, $J$2,IF(R509&lt;&gt;"",VALUE(R509),0)),"")</f>
        <v/>
      </c>
      <c r="K509" s="166" t="str">
        <f>IF(ISNUMBER(namespace_raw[[#This Row],[Column12]]), namespace_raw[[#This Row],[Column12]],"")</f>
        <v/>
      </c>
      <c r="L509" s="167" t="str">
        <f>IF(ISNUMBER(namespace_raw[[#This Row],[Column13]]), namespace_raw[[#This Row],[Column13]]/1048576,"")</f>
        <v/>
      </c>
      <c r="M509" s="168" t="str">
        <f>IF(ISNUMBER(namespace_raw[[#This Row],[Column10]]), (namespace_raw[[#This Row],[Column10]]*(1+$M$2)),"")</f>
        <v/>
      </c>
      <c r="N509" s="167" t="str">
        <f>IF(ISNUMBER(namespace_raw[[#This Row],[Column11]]), (namespace_raw[[#This Row],[Column11]]*(1+$N$2))/1048576,"")</f>
        <v/>
      </c>
      <c r="O509" s="169" t="str">
        <f>IF(ISNUMBER(namespace_raw[[#This Row],[Column8]]), (E509  * $O$2),"")</f>
        <v/>
      </c>
      <c r="P509" s="170" t="str">
        <f>IF(ISNUMBER(namespace_raw[[#This Row],[Column8]]), (F509  * $P$2),"")</f>
        <v/>
      </c>
    </row>
    <row r="510" spans="1:16" ht="15" customHeight="1" x14ac:dyDescent="0.25">
      <c r="A510" s="32" t="str">
        <f>IF(ISNONTEXT(namespace_raw[[#This Row],[Column1]]), "", namespace_raw[[#This Row],[Column1]])</f>
        <v/>
      </c>
      <c r="B510" s="33" t="str">
        <f>IF(ISNONTEXT(namespace_raw[[#This Row],[Column2]]), "", namespace_raw[[#This Row],[Column2]])</f>
        <v/>
      </c>
      <c r="C510" s="94" t="str">
        <f>IF(ISNUMBER(namespace_raw[[#This Row],[Column4]]), namespace_raw[[#This Row],[Column4]], "")</f>
        <v/>
      </c>
      <c r="D510" s="95" t="str">
        <f>IF(ISNUMBER(namespace_raw[[#This Row],[Column5]]), namespace_raw[[#This Row],[Column5]]/1048576, "")</f>
        <v/>
      </c>
      <c r="E510" s="95" t="str">
        <f>IF(ISNUMBER(namespace_raw[[#This Row],[Column6]]), namespace_raw[[#This Row],[Column6]],"")</f>
        <v/>
      </c>
      <c r="F510" s="96" t="str">
        <f>IF(ISNUMBER(namespace_raw[[#This Row],[Column7]]), namespace_raw[[#This Row],[Column7]]/1048576,"")</f>
        <v/>
      </c>
      <c r="G510" s="122" t="str">
        <f>IF(ISNUMBER(namespace_raw[[#This Row],[Column8]]), namespace_raw[[#This Row],[Column8]],"")</f>
        <v/>
      </c>
      <c r="H510" s="123" t="str">
        <f>IF(ISNUMBER(namespace_raw[[#This Row],[Column9]]), namespace_raw[[#This Row],[Column9]]/1048576,"")</f>
        <v/>
      </c>
      <c r="I510" s="124" t="str">
        <f>IF(ISNUMBER(namespace_raw[[#This Row],[Column8]]),MAX(G510, M510, O510, $I$2,IF(Q510&lt;&gt;"",VALUE(Q510),0)), "")</f>
        <v/>
      </c>
      <c r="J510" s="125" t="str">
        <f>IF(ISNUMBER(namespace_raw[[#This Row],[Column9]]),MAX(H510, N510, P510, $J$2,IF(R510&lt;&gt;"",VALUE(R510),0)),"")</f>
        <v/>
      </c>
      <c r="K510" s="166" t="str">
        <f>IF(ISNUMBER(namespace_raw[[#This Row],[Column12]]), namespace_raw[[#This Row],[Column12]],"")</f>
        <v/>
      </c>
      <c r="L510" s="167" t="str">
        <f>IF(ISNUMBER(namespace_raw[[#This Row],[Column13]]), namespace_raw[[#This Row],[Column13]]/1048576,"")</f>
        <v/>
      </c>
      <c r="M510" s="168" t="str">
        <f>IF(ISNUMBER(namespace_raw[[#This Row],[Column10]]), (namespace_raw[[#This Row],[Column10]]*(1+$M$2)),"")</f>
        <v/>
      </c>
      <c r="N510" s="167" t="str">
        <f>IF(ISNUMBER(namespace_raw[[#This Row],[Column11]]), (namespace_raw[[#This Row],[Column11]]*(1+$N$2))/1048576,"")</f>
        <v/>
      </c>
      <c r="O510" s="169" t="str">
        <f>IF(ISNUMBER(namespace_raw[[#This Row],[Column8]]), (E510  * $O$2),"")</f>
        <v/>
      </c>
      <c r="P510" s="170" t="str">
        <f>IF(ISNUMBER(namespace_raw[[#This Row],[Column8]]), (F510  * $P$2),"")</f>
        <v/>
      </c>
    </row>
    <row r="511" spans="1:16" ht="15" customHeight="1" x14ac:dyDescent="0.25">
      <c r="A511" s="32" t="str">
        <f>IF(ISNONTEXT(namespace_raw[[#This Row],[Column1]]), "", namespace_raw[[#This Row],[Column1]])</f>
        <v/>
      </c>
      <c r="B511" s="33" t="str">
        <f>IF(ISNONTEXT(namespace_raw[[#This Row],[Column2]]), "", namespace_raw[[#This Row],[Column2]])</f>
        <v/>
      </c>
      <c r="C511" s="94" t="str">
        <f>IF(ISNUMBER(namespace_raw[[#This Row],[Column4]]), namespace_raw[[#This Row],[Column4]], "")</f>
        <v/>
      </c>
      <c r="D511" s="95" t="str">
        <f>IF(ISNUMBER(namespace_raw[[#This Row],[Column5]]), namespace_raw[[#This Row],[Column5]]/1048576, "")</f>
        <v/>
      </c>
      <c r="E511" s="95" t="str">
        <f>IF(ISNUMBER(namespace_raw[[#This Row],[Column6]]), namespace_raw[[#This Row],[Column6]],"")</f>
        <v/>
      </c>
      <c r="F511" s="96" t="str">
        <f>IF(ISNUMBER(namespace_raw[[#This Row],[Column7]]), namespace_raw[[#This Row],[Column7]]/1048576,"")</f>
        <v/>
      </c>
      <c r="G511" s="122" t="str">
        <f>IF(ISNUMBER(namespace_raw[[#This Row],[Column8]]), namespace_raw[[#This Row],[Column8]],"")</f>
        <v/>
      </c>
      <c r="H511" s="123" t="str">
        <f>IF(ISNUMBER(namespace_raw[[#This Row],[Column9]]), namespace_raw[[#This Row],[Column9]]/1048576,"")</f>
        <v/>
      </c>
      <c r="I511" s="124" t="str">
        <f>IF(ISNUMBER(namespace_raw[[#This Row],[Column8]]),MAX(G511, M511, O511, $I$2,IF(Q511&lt;&gt;"",VALUE(Q511),0)), "")</f>
        <v/>
      </c>
      <c r="J511" s="125" t="str">
        <f>IF(ISNUMBER(namespace_raw[[#This Row],[Column9]]),MAX(H511, N511, P511, $J$2,IF(R511&lt;&gt;"",VALUE(R511),0)),"")</f>
        <v/>
      </c>
      <c r="K511" s="166" t="str">
        <f>IF(ISNUMBER(namespace_raw[[#This Row],[Column12]]), namespace_raw[[#This Row],[Column12]],"")</f>
        <v/>
      </c>
      <c r="L511" s="167" t="str">
        <f>IF(ISNUMBER(namespace_raw[[#This Row],[Column13]]), namespace_raw[[#This Row],[Column13]]/1048576,"")</f>
        <v/>
      </c>
      <c r="M511" s="168" t="str">
        <f>IF(ISNUMBER(namespace_raw[[#This Row],[Column10]]), (namespace_raw[[#This Row],[Column10]]*(1+$M$2)),"")</f>
        <v/>
      </c>
      <c r="N511" s="167" t="str">
        <f>IF(ISNUMBER(namespace_raw[[#This Row],[Column11]]), (namespace_raw[[#This Row],[Column11]]*(1+$N$2))/1048576,"")</f>
        <v/>
      </c>
      <c r="O511" s="169" t="str">
        <f>IF(ISNUMBER(namespace_raw[[#This Row],[Column8]]), (E511  * $O$2),"")</f>
        <v/>
      </c>
      <c r="P511" s="170" t="str">
        <f>IF(ISNUMBER(namespace_raw[[#This Row],[Column8]]), (F511  * $P$2),"")</f>
        <v/>
      </c>
    </row>
    <row r="512" spans="1:16" ht="15" customHeight="1" x14ac:dyDescent="0.25">
      <c r="A512" s="32" t="str">
        <f>IF(ISNONTEXT(namespace_raw[[#This Row],[Column1]]), "", namespace_raw[[#This Row],[Column1]])</f>
        <v/>
      </c>
      <c r="B512" s="33" t="str">
        <f>IF(ISNONTEXT(namespace_raw[[#This Row],[Column2]]), "", namespace_raw[[#This Row],[Column2]])</f>
        <v/>
      </c>
      <c r="C512" s="94" t="str">
        <f>IF(ISNUMBER(namespace_raw[[#This Row],[Column4]]), namespace_raw[[#This Row],[Column4]], "")</f>
        <v/>
      </c>
      <c r="D512" s="95" t="str">
        <f>IF(ISNUMBER(namespace_raw[[#This Row],[Column5]]), namespace_raw[[#This Row],[Column5]]/1048576, "")</f>
        <v/>
      </c>
      <c r="E512" s="95" t="str">
        <f>IF(ISNUMBER(namespace_raw[[#This Row],[Column6]]), namespace_raw[[#This Row],[Column6]],"")</f>
        <v/>
      </c>
      <c r="F512" s="96" t="str">
        <f>IF(ISNUMBER(namespace_raw[[#This Row],[Column7]]), namespace_raw[[#This Row],[Column7]]/1048576,"")</f>
        <v/>
      </c>
      <c r="G512" s="122" t="str">
        <f>IF(ISNUMBER(namespace_raw[[#This Row],[Column8]]), namespace_raw[[#This Row],[Column8]],"")</f>
        <v/>
      </c>
      <c r="H512" s="123" t="str">
        <f>IF(ISNUMBER(namespace_raw[[#This Row],[Column9]]), namespace_raw[[#This Row],[Column9]]/1048576,"")</f>
        <v/>
      </c>
      <c r="I512" s="124" t="str">
        <f>IF(ISNUMBER(namespace_raw[[#This Row],[Column8]]),MAX(G512, M512, O512, $I$2,IF(Q512&lt;&gt;"",VALUE(Q512),0)), "")</f>
        <v/>
      </c>
      <c r="J512" s="125" t="str">
        <f>IF(ISNUMBER(namespace_raw[[#This Row],[Column9]]),MAX(H512, N512, P512, $J$2,IF(R512&lt;&gt;"",VALUE(R512),0)),"")</f>
        <v/>
      </c>
      <c r="K512" s="166" t="str">
        <f>IF(ISNUMBER(namespace_raw[[#This Row],[Column12]]), namespace_raw[[#This Row],[Column12]],"")</f>
        <v/>
      </c>
      <c r="L512" s="167" t="str">
        <f>IF(ISNUMBER(namespace_raw[[#This Row],[Column13]]), namespace_raw[[#This Row],[Column13]]/1048576,"")</f>
        <v/>
      </c>
      <c r="M512" s="168" t="str">
        <f>IF(ISNUMBER(namespace_raw[[#This Row],[Column10]]), (namespace_raw[[#This Row],[Column10]]*(1+$M$2)),"")</f>
        <v/>
      </c>
      <c r="N512" s="167" t="str">
        <f>IF(ISNUMBER(namespace_raw[[#This Row],[Column11]]), (namespace_raw[[#This Row],[Column11]]*(1+$N$2))/1048576,"")</f>
        <v/>
      </c>
      <c r="O512" s="169" t="str">
        <f>IF(ISNUMBER(namespace_raw[[#This Row],[Column8]]), (E512  * $O$2),"")</f>
        <v/>
      </c>
      <c r="P512" s="170" t="str">
        <f>IF(ISNUMBER(namespace_raw[[#This Row],[Column8]]), (F512  * $P$2),"")</f>
        <v/>
      </c>
    </row>
    <row r="513" spans="1:16" ht="15" customHeight="1" x14ac:dyDescent="0.25">
      <c r="A513" s="32" t="str">
        <f>IF(ISNONTEXT(namespace_raw[[#This Row],[Column1]]), "", namespace_raw[[#This Row],[Column1]])</f>
        <v/>
      </c>
      <c r="B513" s="33" t="str">
        <f>IF(ISNONTEXT(namespace_raw[[#This Row],[Column2]]), "", namespace_raw[[#This Row],[Column2]])</f>
        <v/>
      </c>
      <c r="C513" s="94" t="str">
        <f>IF(ISNUMBER(namespace_raw[[#This Row],[Column4]]), namespace_raw[[#This Row],[Column4]], "")</f>
        <v/>
      </c>
      <c r="D513" s="95" t="str">
        <f>IF(ISNUMBER(namespace_raw[[#This Row],[Column5]]), namespace_raw[[#This Row],[Column5]]/1048576, "")</f>
        <v/>
      </c>
      <c r="E513" s="95" t="str">
        <f>IF(ISNUMBER(namespace_raw[[#This Row],[Column6]]), namespace_raw[[#This Row],[Column6]],"")</f>
        <v/>
      </c>
      <c r="F513" s="96" t="str">
        <f>IF(ISNUMBER(namespace_raw[[#This Row],[Column7]]), namespace_raw[[#This Row],[Column7]]/1048576,"")</f>
        <v/>
      </c>
      <c r="G513" s="122" t="str">
        <f>IF(ISNUMBER(namespace_raw[[#This Row],[Column8]]), namespace_raw[[#This Row],[Column8]],"")</f>
        <v/>
      </c>
      <c r="H513" s="123" t="str">
        <f>IF(ISNUMBER(namespace_raw[[#This Row],[Column9]]), namespace_raw[[#This Row],[Column9]]/1048576,"")</f>
        <v/>
      </c>
      <c r="I513" s="124" t="str">
        <f>IF(ISNUMBER(namespace_raw[[#This Row],[Column8]]),MAX(G513, M513, O513, $I$2,IF(Q513&lt;&gt;"",VALUE(Q513),0)), "")</f>
        <v/>
      </c>
      <c r="J513" s="125" t="str">
        <f>IF(ISNUMBER(namespace_raw[[#This Row],[Column9]]),MAX(H513, N513, P513, $J$2,IF(R513&lt;&gt;"",VALUE(R513),0)),"")</f>
        <v/>
      </c>
      <c r="K513" s="166" t="str">
        <f>IF(ISNUMBER(namespace_raw[[#This Row],[Column12]]), namespace_raw[[#This Row],[Column12]],"")</f>
        <v/>
      </c>
      <c r="L513" s="167" t="str">
        <f>IF(ISNUMBER(namespace_raw[[#This Row],[Column13]]), namespace_raw[[#This Row],[Column13]]/1048576,"")</f>
        <v/>
      </c>
      <c r="M513" s="168" t="str">
        <f>IF(ISNUMBER(namespace_raw[[#This Row],[Column10]]), (namespace_raw[[#This Row],[Column10]]*(1+$M$2)),"")</f>
        <v/>
      </c>
      <c r="N513" s="167" t="str">
        <f>IF(ISNUMBER(namespace_raw[[#This Row],[Column11]]), (namespace_raw[[#This Row],[Column11]]*(1+$N$2))/1048576,"")</f>
        <v/>
      </c>
      <c r="O513" s="169" t="str">
        <f>IF(ISNUMBER(namespace_raw[[#This Row],[Column8]]), (E513  * $O$2),"")</f>
        <v/>
      </c>
      <c r="P513" s="170" t="str">
        <f>IF(ISNUMBER(namespace_raw[[#This Row],[Column8]]), (F513  * $P$2),"")</f>
        <v/>
      </c>
    </row>
    <row r="514" spans="1:16" ht="15" customHeight="1" x14ac:dyDescent="0.25">
      <c r="A514" s="32" t="str">
        <f>IF(ISNONTEXT(namespace_raw[[#This Row],[Column1]]), "", namespace_raw[[#This Row],[Column1]])</f>
        <v/>
      </c>
      <c r="B514" s="33" t="str">
        <f>IF(ISNONTEXT(namespace_raw[[#This Row],[Column2]]), "", namespace_raw[[#This Row],[Column2]])</f>
        <v/>
      </c>
      <c r="C514" s="94" t="str">
        <f>IF(ISNUMBER(namespace_raw[[#This Row],[Column4]]), namespace_raw[[#This Row],[Column4]], "")</f>
        <v/>
      </c>
      <c r="D514" s="95" t="str">
        <f>IF(ISNUMBER(namespace_raw[[#This Row],[Column5]]), namespace_raw[[#This Row],[Column5]]/1048576, "")</f>
        <v/>
      </c>
      <c r="E514" s="95" t="str">
        <f>IF(ISNUMBER(namespace_raw[[#This Row],[Column6]]), namespace_raw[[#This Row],[Column6]],"")</f>
        <v/>
      </c>
      <c r="F514" s="96" t="str">
        <f>IF(ISNUMBER(namespace_raw[[#This Row],[Column7]]), namespace_raw[[#This Row],[Column7]]/1048576,"")</f>
        <v/>
      </c>
      <c r="G514" s="122" t="str">
        <f>IF(ISNUMBER(namespace_raw[[#This Row],[Column8]]), namespace_raw[[#This Row],[Column8]],"")</f>
        <v/>
      </c>
      <c r="H514" s="123" t="str">
        <f>IF(ISNUMBER(namespace_raw[[#This Row],[Column9]]), namespace_raw[[#This Row],[Column9]]/1048576,"")</f>
        <v/>
      </c>
      <c r="I514" s="124" t="str">
        <f>IF(ISNUMBER(namespace_raw[[#This Row],[Column8]]),MAX(G514, M514, O514, $I$2,IF(Q514&lt;&gt;"",VALUE(Q514),0)), "")</f>
        <v/>
      </c>
      <c r="J514" s="125" t="str">
        <f>IF(ISNUMBER(namespace_raw[[#This Row],[Column9]]),MAX(H514, N514, P514, $J$2,IF(R514&lt;&gt;"",VALUE(R514),0)),"")</f>
        <v/>
      </c>
      <c r="K514" s="166" t="str">
        <f>IF(ISNUMBER(namespace_raw[[#This Row],[Column12]]), namespace_raw[[#This Row],[Column12]],"")</f>
        <v/>
      </c>
      <c r="L514" s="167" t="str">
        <f>IF(ISNUMBER(namespace_raw[[#This Row],[Column13]]), namespace_raw[[#This Row],[Column13]]/1048576,"")</f>
        <v/>
      </c>
      <c r="M514" s="168" t="str">
        <f>IF(ISNUMBER(namespace_raw[[#This Row],[Column10]]), (namespace_raw[[#This Row],[Column10]]*(1+$M$2)),"")</f>
        <v/>
      </c>
      <c r="N514" s="167" t="str">
        <f>IF(ISNUMBER(namespace_raw[[#This Row],[Column11]]), (namespace_raw[[#This Row],[Column11]]*(1+$N$2))/1048576,"")</f>
        <v/>
      </c>
      <c r="O514" s="169" t="str">
        <f>IF(ISNUMBER(namespace_raw[[#This Row],[Column8]]), (E514  * $O$2),"")</f>
        <v/>
      </c>
      <c r="P514" s="170" t="str">
        <f>IF(ISNUMBER(namespace_raw[[#This Row],[Column8]]), (F514  * $P$2),"")</f>
        <v/>
      </c>
    </row>
    <row r="515" spans="1:16" ht="15" customHeight="1" x14ac:dyDescent="0.25">
      <c r="A515" s="32" t="str">
        <f>IF(ISNONTEXT(namespace_raw[[#This Row],[Column1]]), "", namespace_raw[[#This Row],[Column1]])</f>
        <v/>
      </c>
      <c r="B515" s="33" t="str">
        <f>IF(ISNONTEXT(namespace_raw[[#This Row],[Column2]]), "", namespace_raw[[#This Row],[Column2]])</f>
        <v/>
      </c>
      <c r="C515" s="94" t="str">
        <f>IF(ISNUMBER(namespace_raw[[#This Row],[Column4]]), namespace_raw[[#This Row],[Column4]], "")</f>
        <v/>
      </c>
      <c r="D515" s="95" t="str">
        <f>IF(ISNUMBER(namespace_raw[[#This Row],[Column5]]), namespace_raw[[#This Row],[Column5]]/1048576, "")</f>
        <v/>
      </c>
      <c r="E515" s="95" t="str">
        <f>IF(ISNUMBER(namespace_raw[[#This Row],[Column6]]), namespace_raw[[#This Row],[Column6]],"")</f>
        <v/>
      </c>
      <c r="F515" s="96" t="str">
        <f>IF(ISNUMBER(namespace_raw[[#This Row],[Column7]]), namespace_raw[[#This Row],[Column7]]/1048576,"")</f>
        <v/>
      </c>
      <c r="G515" s="122" t="str">
        <f>IF(ISNUMBER(namespace_raw[[#This Row],[Column8]]), namespace_raw[[#This Row],[Column8]],"")</f>
        <v/>
      </c>
      <c r="H515" s="123" t="str">
        <f>IF(ISNUMBER(namespace_raw[[#This Row],[Column9]]), namespace_raw[[#This Row],[Column9]]/1048576,"")</f>
        <v/>
      </c>
      <c r="I515" s="124" t="str">
        <f>IF(ISNUMBER(namespace_raw[[#This Row],[Column8]]),MAX(G515, M515, O515, $I$2,IF(Q515&lt;&gt;"",VALUE(Q515),0)), "")</f>
        <v/>
      </c>
      <c r="J515" s="125" t="str">
        <f>IF(ISNUMBER(namespace_raw[[#This Row],[Column9]]),MAX(H515, N515, P515, $J$2,IF(R515&lt;&gt;"",VALUE(R515),0)),"")</f>
        <v/>
      </c>
      <c r="K515" s="166" t="str">
        <f>IF(ISNUMBER(namespace_raw[[#This Row],[Column12]]), namespace_raw[[#This Row],[Column12]],"")</f>
        <v/>
      </c>
      <c r="L515" s="167" t="str">
        <f>IF(ISNUMBER(namespace_raw[[#This Row],[Column13]]), namespace_raw[[#This Row],[Column13]]/1048576,"")</f>
        <v/>
      </c>
      <c r="M515" s="168" t="str">
        <f>IF(ISNUMBER(namespace_raw[[#This Row],[Column10]]), (namespace_raw[[#This Row],[Column10]]*(1+$M$2)),"")</f>
        <v/>
      </c>
      <c r="N515" s="167" t="str">
        <f>IF(ISNUMBER(namespace_raw[[#This Row],[Column11]]), (namespace_raw[[#This Row],[Column11]]*(1+$N$2))/1048576,"")</f>
        <v/>
      </c>
      <c r="O515" s="169" t="str">
        <f>IF(ISNUMBER(namespace_raw[[#This Row],[Column8]]), (E515  * $O$2),"")</f>
        <v/>
      </c>
      <c r="P515" s="170" t="str">
        <f>IF(ISNUMBER(namespace_raw[[#This Row],[Column8]]), (F515  * $P$2),"")</f>
        <v/>
      </c>
    </row>
    <row r="516" spans="1:16" ht="15" customHeight="1" x14ac:dyDescent="0.25">
      <c r="A516" s="32" t="str">
        <f>IF(ISNONTEXT(namespace_raw[[#This Row],[Column1]]), "", namespace_raw[[#This Row],[Column1]])</f>
        <v/>
      </c>
      <c r="B516" s="33" t="str">
        <f>IF(ISNONTEXT(namespace_raw[[#This Row],[Column2]]), "", namespace_raw[[#This Row],[Column2]])</f>
        <v/>
      </c>
      <c r="C516" s="94" t="str">
        <f>IF(ISNUMBER(namespace_raw[[#This Row],[Column4]]), namespace_raw[[#This Row],[Column4]], "")</f>
        <v/>
      </c>
      <c r="D516" s="95" t="str">
        <f>IF(ISNUMBER(namespace_raw[[#This Row],[Column5]]), namespace_raw[[#This Row],[Column5]]/1048576, "")</f>
        <v/>
      </c>
      <c r="E516" s="95" t="str">
        <f>IF(ISNUMBER(namespace_raw[[#This Row],[Column6]]), namespace_raw[[#This Row],[Column6]],"")</f>
        <v/>
      </c>
      <c r="F516" s="96" t="str">
        <f>IF(ISNUMBER(namespace_raw[[#This Row],[Column7]]), namespace_raw[[#This Row],[Column7]]/1048576,"")</f>
        <v/>
      </c>
      <c r="G516" s="122" t="str">
        <f>IF(ISNUMBER(namespace_raw[[#This Row],[Column8]]), namespace_raw[[#This Row],[Column8]],"")</f>
        <v/>
      </c>
      <c r="H516" s="123" t="str">
        <f>IF(ISNUMBER(namespace_raw[[#This Row],[Column9]]), namespace_raw[[#This Row],[Column9]]/1048576,"")</f>
        <v/>
      </c>
      <c r="I516" s="124" t="str">
        <f>IF(ISNUMBER(namespace_raw[[#This Row],[Column8]]),MAX(G516, M516, O516, $I$2,IF(Q516&lt;&gt;"",VALUE(Q516),0)), "")</f>
        <v/>
      </c>
      <c r="J516" s="125" t="str">
        <f>IF(ISNUMBER(namespace_raw[[#This Row],[Column9]]),MAX(H516, N516, P516, $J$2,IF(R516&lt;&gt;"",VALUE(R516),0)),"")</f>
        <v/>
      </c>
      <c r="K516" s="166" t="str">
        <f>IF(ISNUMBER(namespace_raw[[#This Row],[Column12]]), namespace_raw[[#This Row],[Column12]],"")</f>
        <v/>
      </c>
      <c r="L516" s="167" t="str">
        <f>IF(ISNUMBER(namespace_raw[[#This Row],[Column13]]), namespace_raw[[#This Row],[Column13]]/1048576,"")</f>
        <v/>
      </c>
      <c r="M516" s="168" t="str">
        <f>IF(ISNUMBER(namespace_raw[[#This Row],[Column10]]), (namespace_raw[[#This Row],[Column10]]*(1+$M$2)),"")</f>
        <v/>
      </c>
      <c r="N516" s="167" t="str">
        <f>IF(ISNUMBER(namespace_raw[[#This Row],[Column11]]), (namespace_raw[[#This Row],[Column11]]*(1+$N$2))/1048576,"")</f>
        <v/>
      </c>
      <c r="O516" s="169" t="str">
        <f>IF(ISNUMBER(namespace_raw[[#This Row],[Column8]]), (E516  * $O$2),"")</f>
        <v/>
      </c>
      <c r="P516" s="170" t="str">
        <f>IF(ISNUMBER(namespace_raw[[#This Row],[Column8]]), (F516  * $P$2),"")</f>
        <v/>
      </c>
    </row>
    <row r="517" spans="1:16" ht="15" customHeight="1" x14ac:dyDescent="0.25">
      <c r="A517" s="32" t="str">
        <f>IF(ISNONTEXT(namespace_raw[[#This Row],[Column1]]), "", namespace_raw[[#This Row],[Column1]])</f>
        <v/>
      </c>
      <c r="B517" s="33" t="str">
        <f>IF(ISNONTEXT(namespace_raw[[#This Row],[Column2]]), "", namespace_raw[[#This Row],[Column2]])</f>
        <v/>
      </c>
      <c r="C517" s="94" t="str">
        <f>IF(ISNUMBER(namespace_raw[[#This Row],[Column4]]), namespace_raw[[#This Row],[Column4]], "")</f>
        <v/>
      </c>
      <c r="D517" s="95" t="str">
        <f>IF(ISNUMBER(namespace_raw[[#This Row],[Column5]]), namespace_raw[[#This Row],[Column5]]/1048576, "")</f>
        <v/>
      </c>
      <c r="E517" s="95" t="str">
        <f>IF(ISNUMBER(namespace_raw[[#This Row],[Column6]]), namespace_raw[[#This Row],[Column6]],"")</f>
        <v/>
      </c>
      <c r="F517" s="96" t="str">
        <f>IF(ISNUMBER(namespace_raw[[#This Row],[Column7]]), namespace_raw[[#This Row],[Column7]]/1048576,"")</f>
        <v/>
      </c>
      <c r="G517" s="122" t="str">
        <f>IF(ISNUMBER(namespace_raw[[#This Row],[Column8]]), namespace_raw[[#This Row],[Column8]],"")</f>
        <v/>
      </c>
      <c r="H517" s="123" t="str">
        <f>IF(ISNUMBER(namespace_raw[[#This Row],[Column9]]), namespace_raw[[#This Row],[Column9]]/1048576,"")</f>
        <v/>
      </c>
      <c r="I517" s="124" t="str">
        <f>IF(ISNUMBER(namespace_raw[[#This Row],[Column8]]),MAX(G517, M517, O517, $I$2,IF(Q517&lt;&gt;"",VALUE(Q517),0)), "")</f>
        <v/>
      </c>
      <c r="J517" s="125" t="str">
        <f>IF(ISNUMBER(namespace_raw[[#This Row],[Column9]]),MAX(H517, N517, P517, $J$2,IF(R517&lt;&gt;"",VALUE(R517),0)),"")</f>
        <v/>
      </c>
      <c r="K517" s="166" t="str">
        <f>IF(ISNUMBER(namespace_raw[[#This Row],[Column12]]), namespace_raw[[#This Row],[Column12]],"")</f>
        <v/>
      </c>
      <c r="L517" s="167" t="str">
        <f>IF(ISNUMBER(namespace_raw[[#This Row],[Column13]]), namespace_raw[[#This Row],[Column13]]/1048576,"")</f>
        <v/>
      </c>
      <c r="M517" s="168" t="str">
        <f>IF(ISNUMBER(namespace_raw[[#This Row],[Column10]]), (namespace_raw[[#This Row],[Column10]]*(1+$M$2)),"")</f>
        <v/>
      </c>
      <c r="N517" s="167" t="str">
        <f>IF(ISNUMBER(namespace_raw[[#This Row],[Column11]]), (namespace_raw[[#This Row],[Column11]]*(1+$N$2))/1048576,"")</f>
        <v/>
      </c>
      <c r="O517" s="169" t="str">
        <f>IF(ISNUMBER(namespace_raw[[#This Row],[Column8]]), (E517  * $O$2),"")</f>
        <v/>
      </c>
      <c r="P517" s="170" t="str">
        <f>IF(ISNUMBER(namespace_raw[[#This Row],[Column8]]), (F517  * $P$2),"")</f>
        <v/>
      </c>
    </row>
    <row r="518" spans="1:16" ht="15" customHeight="1" x14ac:dyDescent="0.25">
      <c r="A518" s="32" t="str">
        <f>IF(ISNONTEXT(namespace_raw[[#This Row],[Column1]]), "", namespace_raw[[#This Row],[Column1]])</f>
        <v/>
      </c>
      <c r="B518" s="33" t="str">
        <f>IF(ISNONTEXT(namespace_raw[[#This Row],[Column2]]), "", namespace_raw[[#This Row],[Column2]])</f>
        <v/>
      </c>
      <c r="C518" s="94" t="str">
        <f>IF(ISNUMBER(namespace_raw[[#This Row],[Column4]]), namespace_raw[[#This Row],[Column4]], "")</f>
        <v/>
      </c>
      <c r="D518" s="95" t="str">
        <f>IF(ISNUMBER(namespace_raw[[#This Row],[Column5]]), namespace_raw[[#This Row],[Column5]]/1048576, "")</f>
        <v/>
      </c>
      <c r="E518" s="95" t="str">
        <f>IF(ISNUMBER(namespace_raw[[#This Row],[Column6]]), namespace_raw[[#This Row],[Column6]],"")</f>
        <v/>
      </c>
      <c r="F518" s="96" t="str">
        <f>IF(ISNUMBER(namespace_raw[[#This Row],[Column7]]), namespace_raw[[#This Row],[Column7]]/1048576,"")</f>
        <v/>
      </c>
      <c r="G518" s="122" t="str">
        <f>IF(ISNUMBER(namespace_raw[[#This Row],[Column8]]), namespace_raw[[#This Row],[Column8]],"")</f>
        <v/>
      </c>
      <c r="H518" s="123" t="str">
        <f>IF(ISNUMBER(namespace_raw[[#This Row],[Column9]]), namespace_raw[[#This Row],[Column9]]/1048576,"")</f>
        <v/>
      </c>
      <c r="I518" s="124" t="str">
        <f>IF(ISNUMBER(namespace_raw[[#This Row],[Column8]]),MAX(G518, M518, O518, $I$2,IF(Q518&lt;&gt;"",VALUE(Q518),0)), "")</f>
        <v/>
      </c>
      <c r="J518" s="125" t="str">
        <f>IF(ISNUMBER(namespace_raw[[#This Row],[Column9]]),MAX(H518, N518, P518, $J$2,IF(R518&lt;&gt;"",VALUE(R518),0)),"")</f>
        <v/>
      </c>
      <c r="K518" s="166" t="str">
        <f>IF(ISNUMBER(namespace_raw[[#This Row],[Column12]]), namespace_raw[[#This Row],[Column12]],"")</f>
        <v/>
      </c>
      <c r="L518" s="167" t="str">
        <f>IF(ISNUMBER(namespace_raw[[#This Row],[Column13]]), namespace_raw[[#This Row],[Column13]]/1048576,"")</f>
        <v/>
      </c>
      <c r="M518" s="168" t="str">
        <f>IF(ISNUMBER(namespace_raw[[#This Row],[Column10]]), (namespace_raw[[#This Row],[Column10]]*(1+$M$2)),"")</f>
        <v/>
      </c>
      <c r="N518" s="167" t="str">
        <f>IF(ISNUMBER(namespace_raw[[#This Row],[Column11]]), (namespace_raw[[#This Row],[Column11]]*(1+$N$2))/1048576,"")</f>
        <v/>
      </c>
      <c r="O518" s="169" t="str">
        <f>IF(ISNUMBER(namespace_raw[[#This Row],[Column8]]), (E518  * $O$2),"")</f>
        <v/>
      </c>
      <c r="P518" s="170" t="str">
        <f>IF(ISNUMBER(namespace_raw[[#This Row],[Column8]]), (F518  * $P$2),"")</f>
        <v/>
      </c>
    </row>
    <row r="519" spans="1:16" ht="15" customHeight="1" x14ac:dyDescent="0.25">
      <c r="A519" s="32" t="str">
        <f>IF(ISNONTEXT(namespace_raw[[#This Row],[Column1]]), "", namespace_raw[[#This Row],[Column1]])</f>
        <v/>
      </c>
      <c r="B519" s="33" t="str">
        <f>IF(ISNONTEXT(namespace_raw[[#This Row],[Column2]]), "", namespace_raw[[#This Row],[Column2]])</f>
        <v/>
      </c>
      <c r="C519" s="94" t="str">
        <f>IF(ISNUMBER(namespace_raw[[#This Row],[Column4]]), namespace_raw[[#This Row],[Column4]], "")</f>
        <v/>
      </c>
      <c r="D519" s="95" t="str">
        <f>IF(ISNUMBER(namespace_raw[[#This Row],[Column5]]), namespace_raw[[#This Row],[Column5]]/1048576, "")</f>
        <v/>
      </c>
      <c r="E519" s="95" t="str">
        <f>IF(ISNUMBER(namespace_raw[[#This Row],[Column6]]), namespace_raw[[#This Row],[Column6]],"")</f>
        <v/>
      </c>
      <c r="F519" s="96" t="str">
        <f>IF(ISNUMBER(namespace_raw[[#This Row],[Column7]]), namespace_raw[[#This Row],[Column7]]/1048576,"")</f>
        <v/>
      </c>
      <c r="G519" s="122" t="str">
        <f>IF(ISNUMBER(namespace_raw[[#This Row],[Column8]]), namespace_raw[[#This Row],[Column8]],"")</f>
        <v/>
      </c>
      <c r="H519" s="123" t="str">
        <f>IF(ISNUMBER(namespace_raw[[#This Row],[Column9]]), namespace_raw[[#This Row],[Column9]]/1048576,"")</f>
        <v/>
      </c>
      <c r="I519" s="124" t="str">
        <f>IF(ISNUMBER(namespace_raw[[#This Row],[Column8]]),MAX(G519, M519, O519, $I$2,IF(Q519&lt;&gt;"",VALUE(Q519),0)), "")</f>
        <v/>
      </c>
      <c r="J519" s="125" t="str">
        <f>IF(ISNUMBER(namespace_raw[[#This Row],[Column9]]),MAX(H519, N519, P519, $J$2,IF(R519&lt;&gt;"",VALUE(R519),0)),"")</f>
        <v/>
      </c>
      <c r="K519" s="166" t="str">
        <f>IF(ISNUMBER(namespace_raw[[#This Row],[Column12]]), namespace_raw[[#This Row],[Column12]],"")</f>
        <v/>
      </c>
      <c r="L519" s="167" t="str">
        <f>IF(ISNUMBER(namespace_raw[[#This Row],[Column13]]), namespace_raw[[#This Row],[Column13]]/1048576,"")</f>
        <v/>
      </c>
      <c r="M519" s="168" t="str">
        <f>IF(ISNUMBER(namespace_raw[[#This Row],[Column10]]), (namespace_raw[[#This Row],[Column10]]*(1+$M$2)),"")</f>
        <v/>
      </c>
      <c r="N519" s="167" t="str">
        <f>IF(ISNUMBER(namespace_raw[[#This Row],[Column11]]), (namespace_raw[[#This Row],[Column11]]*(1+$N$2))/1048576,"")</f>
        <v/>
      </c>
      <c r="O519" s="169" t="str">
        <f>IF(ISNUMBER(namespace_raw[[#This Row],[Column8]]), (E519  * $O$2),"")</f>
        <v/>
      </c>
      <c r="P519" s="170" t="str">
        <f>IF(ISNUMBER(namespace_raw[[#This Row],[Column8]]), (F519  * $P$2),"")</f>
        <v/>
      </c>
    </row>
    <row r="520" spans="1:16" ht="15" customHeight="1" x14ac:dyDescent="0.25">
      <c r="A520" s="32" t="str">
        <f>IF(ISNONTEXT(namespace_raw[[#This Row],[Column1]]), "", namespace_raw[[#This Row],[Column1]])</f>
        <v/>
      </c>
      <c r="B520" s="33" t="str">
        <f>IF(ISNONTEXT(namespace_raw[[#This Row],[Column2]]), "", namespace_raw[[#This Row],[Column2]])</f>
        <v/>
      </c>
      <c r="C520" s="94" t="str">
        <f>IF(ISNUMBER(namespace_raw[[#This Row],[Column4]]), namespace_raw[[#This Row],[Column4]], "")</f>
        <v/>
      </c>
      <c r="D520" s="95" t="str">
        <f>IF(ISNUMBER(namespace_raw[[#This Row],[Column5]]), namespace_raw[[#This Row],[Column5]]/1048576, "")</f>
        <v/>
      </c>
      <c r="E520" s="95" t="str">
        <f>IF(ISNUMBER(namespace_raw[[#This Row],[Column6]]), namespace_raw[[#This Row],[Column6]],"")</f>
        <v/>
      </c>
      <c r="F520" s="96" t="str">
        <f>IF(ISNUMBER(namespace_raw[[#This Row],[Column7]]), namespace_raw[[#This Row],[Column7]]/1048576,"")</f>
        <v/>
      </c>
      <c r="G520" s="122" t="str">
        <f>IF(ISNUMBER(namespace_raw[[#This Row],[Column8]]), namespace_raw[[#This Row],[Column8]],"")</f>
        <v/>
      </c>
      <c r="H520" s="123" t="str">
        <f>IF(ISNUMBER(namespace_raw[[#This Row],[Column9]]), namespace_raw[[#This Row],[Column9]]/1048576,"")</f>
        <v/>
      </c>
      <c r="I520" s="124" t="str">
        <f>IF(ISNUMBER(namespace_raw[[#This Row],[Column8]]),MAX(G520, M520, O520, $I$2,IF(Q520&lt;&gt;"",VALUE(Q520),0)), "")</f>
        <v/>
      </c>
      <c r="J520" s="125" t="str">
        <f>IF(ISNUMBER(namespace_raw[[#This Row],[Column9]]),MAX(H520, N520, P520, $J$2,IF(R520&lt;&gt;"",VALUE(R520),0)),"")</f>
        <v/>
      </c>
      <c r="K520" s="166" t="str">
        <f>IF(ISNUMBER(namespace_raw[[#This Row],[Column12]]), namespace_raw[[#This Row],[Column12]],"")</f>
        <v/>
      </c>
      <c r="L520" s="167" t="str">
        <f>IF(ISNUMBER(namespace_raw[[#This Row],[Column13]]), namespace_raw[[#This Row],[Column13]]/1048576,"")</f>
        <v/>
      </c>
      <c r="M520" s="168" t="str">
        <f>IF(ISNUMBER(namespace_raw[[#This Row],[Column10]]), (namespace_raw[[#This Row],[Column10]]*(1+$M$2)),"")</f>
        <v/>
      </c>
      <c r="N520" s="167" t="str">
        <f>IF(ISNUMBER(namespace_raw[[#This Row],[Column11]]), (namespace_raw[[#This Row],[Column11]]*(1+$N$2))/1048576,"")</f>
        <v/>
      </c>
      <c r="O520" s="169" t="str">
        <f>IF(ISNUMBER(namespace_raw[[#This Row],[Column8]]), (E520  * $O$2),"")</f>
        <v/>
      </c>
      <c r="P520" s="170" t="str">
        <f>IF(ISNUMBER(namespace_raw[[#This Row],[Column8]]), (F520  * $P$2),"")</f>
        <v/>
      </c>
    </row>
    <row r="521" spans="1:16" ht="15" customHeight="1" x14ac:dyDescent="0.25">
      <c r="A521" s="32" t="str">
        <f>IF(ISNONTEXT(namespace_raw[[#This Row],[Column1]]), "", namespace_raw[[#This Row],[Column1]])</f>
        <v/>
      </c>
      <c r="B521" s="33" t="str">
        <f>IF(ISNONTEXT(namespace_raw[[#This Row],[Column2]]), "", namespace_raw[[#This Row],[Column2]])</f>
        <v/>
      </c>
      <c r="C521" s="94" t="str">
        <f>IF(ISNUMBER(namespace_raw[[#This Row],[Column4]]), namespace_raw[[#This Row],[Column4]], "")</f>
        <v/>
      </c>
      <c r="D521" s="95" t="str">
        <f>IF(ISNUMBER(namespace_raw[[#This Row],[Column5]]), namespace_raw[[#This Row],[Column5]]/1048576, "")</f>
        <v/>
      </c>
      <c r="E521" s="95" t="str">
        <f>IF(ISNUMBER(namespace_raw[[#This Row],[Column6]]), namespace_raw[[#This Row],[Column6]],"")</f>
        <v/>
      </c>
      <c r="F521" s="96" t="str">
        <f>IF(ISNUMBER(namespace_raw[[#This Row],[Column7]]), namespace_raw[[#This Row],[Column7]]/1048576,"")</f>
        <v/>
      </c>
      <c r="G521" s="122" t="str">
        <f>IF(ISNUMBER(namespace_raw[[#This Row],[Column8]]), namespace_raw[[#This Row],[Column8]],"")</f>
        <v/>
      </c>
      <c r="H521" s="123" t="str">
        <f>IF(ISNUMBER(namespace_raw[[#This Row],[Column9]]), namespace_raw[[#This Row],[Column9]]/1048576,"")</f>
        <v/>
      </c>
      <c r="I521" s="124" t="str">
        <f>IF(ISNUMBER(namespace_raw[[#This Row],[Column8]]),MAX(G521, M521, O521, $I$2,IF(Q521&lt;&gt;"",VALUE(Q521),0)), "")</f>
        <v/>
      </c>
      <c r="J521" s="125" t="str">
        <f>IF(ISNUMBER(namespace_raw[[#This Row],[Column9]]),MAX(H521, N521, P521, $J$2,IF(R521&lt;&gt;"",VALUE(R521),0)),"")</f>
        <v/>
      </c>
      <c r="K521" s="166" t="str">
        <f>IF(ISNUMBER(namespace_raw[[#This Row],[Column12]]), namespace_raw[[#This Row],[Column12]],"")</f>
        <v/>
      </c>
      <c r="L521" s="167" t="str">
        <f>IF(ISNUMBER(namespace_raw[[#This Row],[Column13]]), namespace_raw[[#This Row],[Column13]]/1048576,"")</f>
        <v/>
      </c>
      <c r="M521" s="168" t="str">
        <f>IF(ISNUMBER(namespace_raw[[#This Row],[Column10]]), (namespace_raw[[#This Row],[Column10]]*(1+$M$2)),"")</f>
        <v/>
      </c>
      <c r="N521" s="167" t="str">
        <f>IF(ISNUMBER(namespace_raw[[#This Row],[Column11]]), (namespace_raw[[#This Row],[Column11]]*(1+$N$2))/1048576,"")</f>
        <v/>
      </c>
      <c r="O521" s="169" t="str">
        <f>IF(ISNUMBER(namespace_raw[[#This Row],[Column8]]), (E521  * $O$2),"")</f>
        <v/>
      </c>
      <c r="P521" s="170" t="str">
        <f>IF(ISNUMBER(namespace_raw[[#This Row],[Column8]]), (F521  * $P$2),"")</f>
        <v/>
      </c>
    </row>
    <row r="522" spans="1:16" ht="15" customHeight="1" x14ac:dyDescent="0.25">
      <c r="A522" s="32" t="str">
        <f>IF(ISNONTEXT(namespace_raw[[#This Row],[Column1]]), "", namespace_raw[[#This Row],[Column1]])</f>
        <v/>
      </c>
      <c r="B522" s="33" t="str">
        <f>IF(ISNONTEXT(namespace_raw[[#This Row],[Column2]]), "", namespace_raw[[#This Row],[Column2]])</f>
        <v/>
      </c>
      <c r="C522" s="94" t="str">
        <f>IF(ISNUMBER(namespace_raw[[#This Row],[Column4]]), namespace_raw[[#This Row],[Column4]], "")</f>
        <v/>
      </c>
      <c r="D522" s="95" t="str">
        <f>IF(ISNUMBER(namespace_raw[[#This Row],[Column5]]), namespace_raw[[#This Row],[Column5]]/1048576, "")</f>
        <v/>
      </c>
      <c r="E522" s="95" t="str">
        <f>IF(ISNUMBER(namespace_raw[[#This Row],[Column6]]), namespace_raw[[#This Row],[Column6]],"")</f>
        <v/>
      </c>
      <c r="F522" s="96" t="str">
        <f>IF(ISNUMBER(namespace_raw[[#This Row],[Column7]]), namespace_raw[[#This Row],[Column7]]/1048576,"")</f>
        <v/>
      </c>
      <c r="G522" s="122" t="str">
        <f>IF(ISNUMBER(namespace_raw[[#This Row],[Column8]]), namespace_raw[[#This Row],[Column8]],"")</f>
        <v/>
      </c>
      <c r="H522" s="123" t="str">
        <f>IF(ISNUMBER(namespace_raw[[#This Row],[Column9]]), namespace_raw[[#This Row],[Column9]]/1048576,"")</f>
        <v/>
      </c>
      <c r="I522" s="124" t="str">
        <f>IF(ISNUMBER(namespace_raw[[#This Row],[Column8]]),MAX(G522, M522, O522, $I$2,IF(Q522&lt;&gt;"",VALUE(Q522),0)), "")</f>
        <v/>
      </c>
      <c r="J522" s="125" t="str">
        <f>IF(ISNUMBER(namespace_raw[[#This Row],[Column9]]),MAX(H522, N522, P522, $J$2,IF(R522&lt;&gt;"",VALUE(R522),0)),"")</f>
        <v/>
      </c>
      <c r="K522" s="166" t="str">
        <f>IF(ISNUMBER(namespace_raw[[#This Row],[Column12]]), namespace_raw[[#This Row],[Column12]],"")</f>
        <v/>
      </c>
      <c r="L522" s="167" t="str">
        <f>IF(ISNUMBER(namespace_raw[[#This Row],[Column13]]), namespace_raw[[#This Row],[Column13]]/1048576,"")</f>
        <v/>
      </c>
      <c r="M522" s="168" t="str">
        <f>IF(ISNUMBER(namespace_raw[[#This Row],[Column10]]), (namespace_raw[[#This Row],[Column10]]*(1+$M$2)),"")</f>
        <v/>
      </c>
      <c r="N522" s="167" t="str">
        <f>IF(ISNUMBER(namespace_raw[[#This Row],[Column11]]), (namespace_raw[[#This Row],[Column11]]*(1+$N$2))/1048576,"")</f>
        <v/>
      </c>
      <c r="O522" s="169" t="str">
        <f>IF(ISNUMBER(namespace_raw[[#This Row],[Column8]]), (E522  * $O$2),"")</f>
        <v/>
      </c>
      <c r="P522" s="170" t="str">
        <f>IF(ISNUMBER(namespace_raw[[#This Row],[Column8]]), (F522  * $P$2),"")</f>
        <v/>
      </c>
    </row>
    <row r="523" spans="1:16" ht="15" customHeight="1" x14ac:dyDescent="0.25">
      <c r="A523" s="32" t="str">
        <f>IF(ISNONTEXT(namespace_raw[[#This Row],[Column1]]), "", namespace_raw[[#This Row],[Column1]])</f>
        <v/>
      </c>
      <c r="B523" s="33" t="str">
        <f>IF(ISNONTEXT(namespace_raw[[#This Row],[Column2]]), "", namespace_raw[[#This Row],[Column2]])</f>
        <v/>
      </c>
      <c r="C523" s="94" t="str">
        <f>IF(ISNUMBER(namespace_raw[[#This Row],[Column4]]), namespace_raw[[#This Row],[Column4]], "")</f>
        <v/>
      </c>
      <c r="D523" s="95" t="str">
        <f>IF(ISNUMBER(namespace_raw[[#This Row],[Column5]]), namespace_raw[[#This Row],[Column5]]/1048576, "")</f>
        <v/>
      </c>
      <c r="E523" s="95" t="str">
        <f>IF(ISNUMBER(namespace_raw[[#This Row],[Column6]]), namespace_raw[[#This Row],[Column6]],"")</f>
        <v/>
      </c>
      <c r="F523" s="96" t="str">
        <f>IF(ISNUMBER(namespace_raw[[#This Row],[Column7]]), namespace_raw[[#This Row],[Column7]]/1048576,"")</f>
        <v/>
      </c>
      <c r="G523" s="122" t="str">
        <f>IF(ISNUMBER(namespace_raw[[#This Row],[Column8]]), namespace_raw[[#This Row],[Column8]],"")</f>
        <v/>
      </c>
      <c r="H523" s="123" t="str">
        <f>IF(ISNUMBER(namespace_raw[[#This Row],[Column9]]), namespace_raw[[#This Row],[Column9]]/1048576,"")</f>
        <v/>
      </c>
      <c r="I523" s="124" t="str">
        <f>IF(ISNUMBER(namespace_raw[[#This Row],[Column8]]),MAX(G523, M523, O523, $I$2,IF(Q523&lt;&gt;"",VALUE(Q523),0)), "")</f>
        <v/>
      </c>
      <c r="J523" s="125" t="str">
        <f>IF(ISNUMBER(namespace_raw[[#This Row],[Column9]]),MAX(H523, N523, P523, $J$2,IF(R523&lt;&gt;"",VALUE(R523),0)),"")</f>
        <v/>
      </c>
      <c r="K523" s="166" t="str">
        <f>IF(ISNUMBER(namespace_raw[[#This Row],[Column12]]), namespace_raw[[#This Row],[Column12]],"")</f>
        <v/>
      </c>
      <c r="L523" s="167" t="str">
        <f>IF(ISNUMBER(namespace_raw[[#This Row],[Column13]]), namespace_raw[[#This Row],[Column13]]/1048576,"")</f>
        <v/>
      </c>
      <c r="M523" s="168" t="str">
        <f>IF(ISNUMBER(namespace_raw[[#This Row],[Column10]]), (namespace_raw[[#This Row],[Column10]]*(1+$M$2)),"")</f>
        <v/>
      </c>
      <c r="N523" s="167" t="str">
        <f>IF(ISNUMBER(namespace_raw[[#This Row],[Column11]]), (namespace_raw[[#This Row],[Column11]]*(1+$N$2))/1048576,"")</f>
        <v/>
      </c>
      <c r="O523" s="169" t="str">
        <f>IF(ISNUMBER(namespace_raw[[#This Row],[Column8]]), (E523  * $O$2),"")</f>
        <v/>
      </c>
      <c r="P523" s="170" t="str">
        <f>IF(ISNUMBER(namespace_raw[[#This Row],[Column8]]), (F523  * $P$2),"")</f>
        <v/>
      </c>
    </row>
    <row r="524" spans="1:16" ht="15" customHeight="1" x14ac:dyDescent="0.25">
      <c r="A524" s="32" t="str">
        <f>IF(ISNONTEXT(namespace_raw[[#This Row],[Column1]]), "", namespace_raw[[#This Row],[Column1]])</f>
        <v/>
      </c>
      <c r="B524" s="33" t="str">
        <f>IF(ISNONTEXT(namespace_raw[[#This Row],[Column2]]), "", namespace_raw[[#This Row],[Column2]])</f>
        <v/>
      </c>
      <c r="C524" s="94" t="str">
        <f>IF(ISNUMBER(namespace_raw[[#This Row],[Column4]]), namespace_raw[[#This Row],[Column4]], "")</f>
        <v/>
      </c>
      <c r="D524" s="95" t="str">
        <f>IF(ISNUMBER(namespace_raw[[#This Row],[Column5]]), namespace_raw[[#This Row],[Column5]]/1048576, "")</f>
        <v/>
      </c>
      <c r="E524" s="95" t="str">
        <f>IF(ISNUMBER(namespace_raw[[#This Row],[Column6]]), namespace_raw[[#This Row],[Column6]],"")</f>
        <v/>
      </c>
      <c r="F524" s="96" t="str">
        <f>IF(ISNUMBER(namespace_raw[[#This Row],[Column7]]), namespace_raw[[#This Row],[Column7]]/1048576,"")</f>
        <v/>
      </c>
      <c r="G524" s="122" t="str">
        <f>IF(ISNUMBER(namespace_raw[[#This Row],[Column8]]), namespace_raw[[#This Row],[Column8]],"")</f>
        <v/>
      </c>
      <c r="H524" s="123" t="str">
        <f>IF(ISNUMBER(namespace_raw[[#This Row],[Column9]]), namespace_raw[[#This Row],[Column9]]/1048576,"")</f>
        <v/>
      </c>
      <c r="I524" s="124" t="str">
        <f>IF(ISNUMBER(namespace_raw[[#This Row],[Column8]]),MAX(G524, M524, O524, $I$2,IF(Q524&lt;&gt;"",VALUE(Q524),0)), "")</f>
        <v/>
      </c>
      <c r="J524" s="125" t="str">
        <f>IF(ISNUMBER(namespace_raw[[#This Row],[Column9]]),MAX(H524, N524, P524, $J$2,IF(R524&lt;&gt;"",VALUE(R524),0)),"")</f>
        <v/>
      </c>
      <c r="K524" s="166" t="str">
        <f>IF(ISNUMBER(namespace_raw[[#This Row],[Column12]]), namespace_raw[[#This Row],[Column12]],"")</f>
        <v/>
      </c>
      <c r="L524" s="167" t="str">
        <f>IF(ISNUMBER(namespace_raw[[#This Row],[Column13]]), namespace_raw[[#This Row],[Column13]]/1048576,"")</f>
        <v/>
      </c>
      <c r="M524" s="168" t="str">
        <f>IF(ISNUMBER(namespace_raw[[#This Row],[Column10]]), (namespace_raw[[#This Row],[Column10]]*(1+$M$2)),"")</f>
        <v/>
      </c>
      <c r="N524" s="167" t="str">
        <f>IF(ISNUMBER(namespace_raw[[#This Row],[Column11]]), (namespace_raw[[#This Row],[Column11]]*(1+$N$2))/1048576,"")</f>
        <v/>
      </c>
      <c r="O524" s="169" t="str">
        <f>IF(ISNUMBER(namespace_raw[[#This Row],[Column8]]), (E524  * $O$2),"")</f>
        <v/>
      </c>
      <c r="P524" s="170" t="str">
        <f>IF(ISNUMBER(namespace_raw[[#This Row],[Column8]]), (F524  * $P$2),"")</f>
        <v/>
      </c>
    </row>
    <row r="525" spans="1:16" ht="15" customHeight="1" x14ac:dyDescent="0.25">
      <c r="A525" s="32" t="str">
        <f>IF(ISNONTEXT(namespace_raw[[#This Row],[Column1]]), "", namespace_raw[[#This Row],[Column1]])</f>
        <v/>
      </c>
      <c r="B525" s="33" t="str">
        <f>IF(ISNONTEXT(namespace_raw[[#This Row],[Column2]]), "", namespace_raw[[#This Row],[Column2]])</f>
        <v/>
      </c>
      <c r="C525" s="94" t="str">
        <f>IF(ISNUMBER(namespace_raw[[#This Row],[Column4]]), namespace_raw[[#This Row],[Column4]], "")</f>
        <v/>
      </c>
      <c r="D525" s="95" t="str">
        <f>IF(ISNUMBER(namespace_raw[[#This Row],[Column5]]), namespace_raw[[#This Row],[Column5]]/1048576, "")</f>
        <v/>
      </c>
      <c r="E525" s="95" t="str">
        <f>IF(ISNUMBER(namespace_raw[[#This Row],[Column6]]), namespace_raw[[#This Row],[Column6]],"")</f>
        <v/>
      </c>
      <c r="F525" s="96" t="str">
        <f>IF(ISNUMBER(namespace_raw[[#This Row],[Column7]]), namespace_raw[[#This Row],[Column7]]/1048576,"")</f>
        <v/>
      </c>
      <c r="G525" s="122" t="str">
        <f>IF(ISNUMBER(namespace_raw[[#This Row],[Column8]]), namespace_raw[[#This Row],[Column8]],"")</f>
        <v/>
      </c>
      <c r="H525" s="123" t="str">
        <f>IF(ISNUMBER(namespace_raw[[#This Row],[Column9]]), namespace_raw[[#This Row],[Column9]]/1048576,"")</f>
        <v/>
      </c>
      <c r="I525" s="124" t="str">
        <f>IF(ISNUMBER(namespace_raw[[#This Row],[Column8]]),MAX(G525, M525, O525, $I$2,IF(Q525&lt;&gt;"",VALUE(Q525),0)), "")</f>
        <v/>
      </c>
      <c r="J525" s="125" t="str">
        <f>IF(ISNUMBER(namespace_raw[[#This Row],[Column9]]),MAX(H525, N525, P525, $J$2,IF(R525&lt;&gt;"",VALUE(R525),0)),"")</f>
        <v/>
      </c>
      <c r="K525" s="166" t="str">
        <f>IF(ISNUMBER(namespace_raw[[#This Row],[Column12]]), namespace_raw[[#This Row],[Column12]],"")</f>
        <v/>
      </c>
      <c r="L525" s="167" t="str">
        <f>IF(ISNUMBER(namespace_raw[[#This Row],[Column13]]), namespace_raw[[#This Row],[Column13]]/1048576,"")</f>
        <v/>
      </c>
      <c r="M525" s="168" t="str">
        <f>IF(ISNUMBER(namespace_raw[[#This Row],[Column10]]), (namespace_raw[[#This Row],[Column10]]*(1+$M$2)),"")</f>
        <v/>
      </c>
      <c r="N525" s="167" t="str">
        <f>IF(ISNUMBER(namespace_raw[[#This Row],[Column11]]), (namespace_raw[[#This Row],[Column11]]*(1+$N$2))/1048576,"")</f>
        <v/>
      </c>
      <c r="O525" s="169" t="str">
        <f>IF(ISNUMBER(namespace_raw[[#This Row],[Column8]]), (E525  * $O$2),"")</f>
        <v/>
      </c>
      <c r="P525" s="170" t="str">
        <f>IF(ISNUMBER(namespace_raw[[#This Row],[Column8]]), (F525  * $P$2),"")</f>
        <v/>
      </c>
    </row>
    <row r="526" spans="1:16" ht="15" customHeight="1" x14ac:dyDescent="0.25">
      <c r="A526" s="32" t="str">
        <f>IF(ISNONTEXT(namespace_raw[[#This Row],[Column1]]), "", namespace_raw[[#This Row],[Column1]])</f>
        <v/>
      </c>
      <c r="B526" s="33" t="str">
        <f>IF(ISNONTEXT(namespace_raw[[#This Row],[Column2]]), "", namespace_raw[[#This Row],[Column2]])</f>
        <v/>
      </c>
      <c r="C526" s="94" t="str">
        <f>IF(ISNUMBER(namespace_raw[[#This Row],[Column4]]), namespace_raw[[#This Row],[Column4]], "")</f>
        <v/>
      </c>
      <c r="D526" s="95" t="str">
        <f>IF(ISNUMBER(namespace_raw[[#This Row],[Column5]]), namespace_raw[[#This Row],[Column5]]/1048576, "")</f>
        <v/>
      </c>
      <c r="E526" s="95" t="str">
        <f>IF(ISNUMBER(namespace_raw[[#This Row],[Column6]]), namespace_raw[[#This Row],[Column6]],"")</f>
        <v/>
      </c>
      <c r="F526" s="96" t="str">
        <f>IF(ISNUMBER(namespace_raw[[#This Row],[Column7]]), namespace_raw[[#This Row],[Column7]]/1048576,"")</f>
        <v/>
      </c>
      <c r="G526" s="122" t="str">
        <f>IF(ISNUMBER(namespace_raw[[#This Row],[Column8]]), namespace_raw[[#This Row],[Column8]],"")</f>
        <v/>
      </c>
      <c r="H526" s="123" t="str">
        <f>IF(ISNUMBER(namespace_raw[[#This Row],[Column9]]), namespace_raw[[#This Row],[Column9]]/1048576,"")</f>
        <v/>
      </c>
      <c r="I526" s="124" t="str">
        <f>IF(ISNUMBER(namespace_raw[[#This Row],[Column8]]),MAX(G526, M526, O526, $I$2,IF(Q526&lt;&gt;"",VALUE(Q526),0)), "")</f>
        <v/>
      </c>
      <c r="J526" s="125" t="str">
        <f>IF(ISNUMBER(namespace_raw[[#This Row],[Column9]]),MAX(H526, N526, P526, $J$2,IF(R526&lt;&gt;"",VALUE(R526),0)),"")</f>
        <v/>
      </c>
      <c r="K526" s="166" t="str">
        <f>IF(ISNUMBER(namespace_raw[[#This Row],[Column12]]), namespace_raw[[#This Row],[Column12]],"")</f>
        <v/>
      </c>
      <c r="L526" s="167" t="str">
        <f>IF(ISNUMBER(namespace_raw[[#This Row],[Column13]]), namespace_raw[[#This Row],[Column13]]/1048576,"")</f>
        <v/>
      </c>
      <c r="M526" s="168" t="str">
        <f>IF(ISNUMBER(namespace_raw[[#This Row],[Column10]]), (namespace_raw[[#This Row],[Column10]]*(1+$M$2)),"")</f>
        <v/>
      </c>
      <c r="N526" s="167" t="str">
        <f>IF(ISNUMBER(namespace_raw[[#This Row],[Column11]]), (namespace_raw[[#This Row],[Column11]]*(1+$N$2))/1048576,"")</f>
        <v/>
      </c>
      <c r="O526" s="169" t="str">
        <f>IF(ISNUMBER(namespace_raw[[#This Row],[Column8]]), (E526  * $O$2),"")</f>
        <v/>
      </c>
      <c r="P526" s="170" t="str">
        <f>IF(ISNUMBER(namespace_raw[[#This Row],[Column8]]), (F526  * $P$2),"")</f>
        <v/>
      </c>
    </row>
    <row r="527" spans="1:16" ht="15" customHeight="1" x14ac:dyDescent="0.25">
      <c r="A527" s="32" t="str">
        <f>IF(ISNONTEXT(namespace_raw[[#This Row],[Column1]]), "", namespace_raw[[#This Row],[Column1]])</f>
        <v/>
      </c>
      <c r="B527" s="33" t="str">
        <f>IF(ISNONTEXT(namespace_raw[[#This Row],[Column2]]), "", namespace_raw[[#This Row],[Column2]])</f>
        <v/>
      </c>
      <c r="C527" s="94" t="str">
        <f>IF(ISNUMBER(namespace_raw[[#This Row],[Column4]]), namespace_raw[[#This Row],[Column4]], "")</f>
        <v/>
      </c>
      <c r="D527" s="95" t="str">
        <f>IF(ISNUMBER(namespace_raw[[#This Row],[Column5]]), namespace_raw[[#This Row],[Column5]]/1048576, "")</f>
        <v/>
      </c>
      <c r="E527" s="95" t="str">
        <f>IF(ISNUMBER(namespace_raw[[#This Row],[Column6]]), namespace_raw[[#This Row],[Column6]],"")</f>
        <v/>
      </c>
      <c r="F527" s="96" t="str">
        <f>IF(ISNUMBER(namespace_raw[[#This Row],[Column7]]), namespace_raw[[#This Row],[Column7]]/1048576,"")</f>
        <v/>
      </c>
      <c r="G527" s="122" t="str">
        <f>IF(ISNUMBER(namespace_raw[[#This Row],[Column8]]), namespace_raw[[#This Row],[Column8]],"")</f>
        <v/>
      </c>
      <c r="H527" s="123" t="str">
        <f>IF(ISNUMBER(namespace_raw[[#This Row],[Column9]]), namespace_raw[[#This Row],[Column9]]/1048576,"")</f>
        <v/>
      </c>
      <c r="I527" s="124" t="str">
        <f>IF(ISNUMBER(namespace_raw[[#This Row],[Column8]]),MAX(G527, M527, O527, $I$2,IF(Q527&lt;&gt;"",VALUE(Q527),0)), "")</f>
        <v/>
      </c>
      <c r="J527" s="125" t="str">
        <f>IF(ISNUMBER(namespace_raw[[#This Row],[Column9]]),MAX(H527, N527, P527, $J$2,IF(R527&lt;&gt;"",VALUE(R527),0)),"")</f>
        <v/>
      </c>
      <c r="K527" s="166" t="str">
        <f>IF(ISNUMBER(namespace_raw[[#This Row],[Column12]]), namespace_raw[[#This Row],[Column12]],"")</f>
        <v/>
      </c>
      <c r="L527" s="167" t="str">
        <f>IF(ISNUMBER(namespace_raw[[#This Row],[Column13]]), namespace_raw[[#This Row],[Column13]]/1048576,"")</f>
        <v/>
      </c>
      <c r="M527" s="168" t="str">
        <f>IF(ISNUMBER(namespace_raw[[#This Row],[Column10]]), (namespace_raw[[#This Row],[Column10]]*(1+$M$2)),"")</f>
        <v/>
      </c>
      <c r="N527" s="167" t="str">
        <f>IF(ISNUMBER(namespace_raw[[#This Row],[Column11]]), (namespace_raw[[#This Row],[Column11]]*(1+$N$2))/1048576,"")</f>
        <v/>
      </c>
      <c r="O527" s="169" t="str">
        <f>IF(ISNUMBER(namespace_raw[[#This Row],[Column8]]), (E527  * $O$2),"")</f>
        <v/>
      </c>
      <c r="P527" s="170" t="str">
        <f>IF(ISNUMBER(namespace_raw[[#This Row],[Column8]]), (F527  * $P$2),"")</f>
        <v/>
      </c>
    </row>
    <row r="528" spans="1:16" ht="15" customHeight="1" x14ac:dyDescent="0.25">
      <c r="A528" s="32" t="str">
        <f>IF(ISNONTEXT(namespace_raw[[#This Row],[Column1]]), "", namespace_raw[[#This Row],[Column1]])</f>
        <v/>
      </c>
      <c r="B528" s="33" t="str">
        <f>IF(ISNONTEXT(namespace_raw[[#This Row],[Column2]]), "", namespace_raw[[#This Row],[Column2]])</f>
        <v/>
      </c>
      <c r="C528" s="94" t="str">
        <f>IF(ISNUMBER(namespace_raw[[#This Row],[Column4]]), namespace_raw[[#This Row],[Column4]], "")</f>
        <v/>
      </c>
      <c r="D528" s="95" t="str">
        <f>IF(ISNUMBER(namespace_raw[[#This Row],[Column5]]), namespace_raw[[#This Row],[Column5]]/1048576, "")</f>
        <v/>
      </c>
      <c r="E528" s="95" t="str">
        <f>IF(ISNUMBER(namespace_raw[[#This Row],[Column6]]), namespace_raw[[#This Row],[Column6]],"")</f>
        <v/>
      </c>
      <c r="F528" s="96" t="str">
        <f>IF(ISNUMBER(namespace_raw[[#This Row],[Column7]]), namespace_raw[[#This Row],[Column7]]/1048576,"")</f>
        <v/>
      </c>
      <c r="G528" s="122" t="str">
        <f>IF(ISNUMBER(namespace_raw[[#This Row],[Column8]]), namespace_raw[[#This Row],[Column8]],"")</f>
        <v/>
      </c>
      <c r="H528" s="123" t="str">
        <f>IF(ISNUMBER(namespace_raw[[#This Row],[Column9]]), namespace_raw[[#This Row],[Column9]]/1048576,"")</f>
        <v/>
      </c>
      <c r="I528" s="124" t="str">
        <f>IF(ISNUMBER(namespace_raw[[#This Row],[Column8]]),MAX(G528, M528, O528, $I$2,IF(Q528&lt;&gt;"",VALUE(Q528),0)), "")</f>
        <v/>
      </c>
      <c r="J528" s="125" t="str">
        <f>IF(ISNUMBER(namespace_raw[[#This Row],[Column9]]),MAX(H528, N528, P528, $J$2,IF(R528&lt;&gt;"",VALUE(R528),0)),"")</f>
        <v/>
      </c>
      <c r="K528" s="166" t="str">
        <f>IF(ISNUMBER(namespace_raw[[#This Row],[Column12]]), namespace_raw[[#This Row],[Column12]],"")</f>
        <v/>
      </c>
      <c r="L528" s="167" t="str">
        <f>IF(ISNUMBER(namespace_raw[[#This Row],[Column13]]), namespace_raw[[#This Row],[Column13]]/1048576,"")</f>
        <v/>
      </c>
      <c r="M528" s="168" t="str">
        <f>IF(ISNUMBER(namespace_raw[[#This Row],[Column10]]), (namespace_raw[[#This Row],[Column10]]*(1+$M$2)),"")</f>
        <v/>
      </c>
      <c r="N528" s="167" t="str">
        <f>IF(ISNUMBER(namespace_raw[[#This Row],[Column11]]), (namespace_raw[[#This Row],[Column11]]*(1+$N$2))/1048576,"")</f>
        <v/>
      </c>
      <c r="O528" s="169" t="str">
        <f>IF(ISNUMBER(namespace_raw[[#This Row],[Column8]]), (E528  * $O$2),"")</f>
        <v/>
      </c>
      <c r="P528" s="170" t="str">
        <f>IF(ISNUMBER(namespace_raw[[#This Row],[Column8]]), (F528  * $P$2),"")</f>
        <v/>
      </c>
    </row>
    <row r="529" spans="1:16" ht="15" customHeight="1" x14ac:dyDescent="0.25">
      <c r="A529" s="32" t="str">
        <f>IF(ISNONTEXT(namespace_raw[[#This Row],[Column1]]), "", namespace_raw[[#This Row],[Column1]])</f>
        <v/>
      </c>
      <c r="B529" s="33" t="str">
        <f>IF(ISNONTEXT(namespace_raw[[#This Row],[Column2]]), "", namespace_raw[[#This Row],[Column2]])</f>
        <v/>
      </c>
      <c r="C529" s="94" t="str">
        <f>IF(ISNUMBER(namespace_raw[[#This Row],[Column4]]), namespace_raw[[#This Row],[Column4]], "")</f>
        <v/>
      </c>
      <c r="D529" s="95" t="str">
        <f>IF(ISNUMBER(namespace_raw[[#This Row],[Column5]]), namespace_raw[[#This Row],[Column5]]/1048576, "")</f>
        <v/>
      </c>
      <c r="E529" s="95" t="str">
        <f>IF(ISNUMBER(namespace_raw[[#This Row],[Column6]]), namespace_raw[[#This Row],[Column6]],"")</f>
        <v/>
      </c>
      <c r="F529" s="96" t="str">
        <f>IF(ISNUMBER(namespace_raw[[#This Row],[Column7]]), namespace_raw[[#This Row],[Column7]]/1048576,"")</f>
        <v/>
      </c>
      <c r="G529" s="122" t="str">
        <f>IF(ISNUMBER(namespace_raw[[#This Row],[Column8]]), namespace_raw[[#This Row],[Column8]],"")</f>
        <v/>
      </c>
      <c r="H529" s="123" t="str">
        <f>IF(ISNUMBER(namespace_raw[[#This Row],[Column9]]), namespace_raw[[#This Row],[Column9]]/1048576,"")</f>
        <v/>
      </c>
      <c r="I529" s="124" t="str">
        <f>IF(ISNUMBER(namespace_raw[[#This Row],[Column8]]),MAX(G529, M529, O529, $I$2,IF(Q529&lt;&gt;"",VALUE(Q529),0)), "")</f>
        <v/>
      </c>
      <c r="J529" s="125" t="str">
        <f>IF(ISNUMBER(namespace_raw[[#This Row],[Column9]]),MAX(H529, N529, P529, $J$2,IF(R529&lt;&gt;"",VALUE(R529),0)),"")</f>
        <v/>
      </c>
      <c r="K529" s="166" t="str">
        <f>IF(ISNUMBER(namespace_raw[[#This Row],[Column12]]), namespace_raw[[#This Row],[Column12]],"")</f>
        <v/>
      </c>
      <c r="L529" s="167" t="str">
        <f>IF(ISNUMBER(namespace_raw[[#This Row],[Column13]]), namespace_raw[[#This Row],[Column13]]/1048576,"")</f>
        <v/>
      </c>
      <c r="M529" s="168" t="str">
        <f>IF(ISNUMBER(namespace_raw[[#This Row],[Column10]]), (namespace_raw[[#This Row],[Column10]]*(1+$M$2)),"")</f>
        <v/>
      </c>
      <c r="N529" s="167" t="str">
        <f>IF(ISNUMBER(namespace_raw[[#This Row],[Column11]]), (namespace_raw[[#This Row],[Column11]]*(1+$N$2))/1048576,"")</f>
        <v/>
      </c>
      <c r="O529" s="169" t="str">
        <f>IF(ISNUMBER(namespace_raw[[#This Row],[Column8]]), (E529  * $O$2),"")</f>
        <v/>
      </c>
      <c r="P529" s="170" t="str">
        <f>IF(ISNUMBER(namespace_raw[[#This Row],[Column8]]), (F529  * $P$2),"")</f>
        <v/>
      </c>
    </row>
    <row r="530" spans="1:16" ht="15" customHeight="1" x14ac:dyDescent="0.25">
      <c r="A530" s="32" t="str">
        <f>IF(ISNONTEXT(namespace_raw[[#This Row],[Column1]]), "", namespace_raw[[#This Row],[Column1]])</f>
        <v/>
      </c>
      <c r="B530" s="33" t="str">
        <f>IF(ISNONTEXT(namespace_raw[[#This Row],[Column2]]), "", namespace_raw[[#This Row],[Column2]])</f>
        <v/>
      </c>
      <c r="C530" s="94" t="str">
        <f>IF(ISNUMBER(namespace_raw[[#This Row],[Column4]]), namespace_raw[[#This Row],[Column4]], "")</f>
        <v/>
      </c>
      <c r="D530" s="95" t="str">
        <f>IF(ISNUMBER(namespace_raw[[#This Row],[Column5]]), namespace_raw[[#This Row],[Column5]]/1048576, "")</f>
        <v/>
      </c>
      <c r="E530" s="95" t="str">
        <f>IF(ISNUMBER(namespace_raw[[#This Row],[Column6]]), namespace_raw[[#This Row],[Column6]],"")</f>
        <v/>
      </c>
      <c r="F530" s="96" t="str">
        <f>IF(ISNUMBER(namespace_raw[[#This Row],[Column7]]), namespace_raw[[#This Row],[Column7]]/1048576,"")</f>
        <v/>
      </c>
      <c r="G530" s="122" t="str">
        <f>IF(ISNUMBER(namespace_raw[[#This Row],[Column8]]), namespace_raw[[#This Row],[Column8]],"")</f>
        <v/>
      </c>
      <c r="H530" s="123" t="str">
        <f>IF(ISNUMBER(namespace_raw[[#This Row],[Column9]]), namespace_raw[[#This Row],[Column9]]/1048576,"")</f>
        <v/>
      </c>
      <c r="I530" s="124" t="str">
        <f>IF(ISNUMBER(namespace_raw[[#This Row],[Column8]]),MAX(G530, M530, O530, $I$2,IF(Q530&lt;&gt;"",VALUE(Q530),0)), "")</f>
        <v/>
      </c>
      <c r="J530" s="125" t="str">
        <f>IF(ISNUMBER(namespace_raw[[#This Row],[Column9]]),MAX(H530, N530, P530, $J$2,IF(R530&lt;&gt;"",VALUE(R530),0)),"")</f>
        <v/>
      </c>
      <c r="K530" s="166" t="str">
        <f>IF(ISNUMBER(namespace_raw[[#This Row],[Column12]]), namespace_raw[[#This Row],[Column12]],"")</f>
        <v/>
      </c>
      <c r="L530" s="167" t="str">
        <f>IF(ISNUMBER(namespace_raw[[#This Row],[Column13]]), namespace_raw[[#This Row],[Column13]]/1048576,"")</f>
        <v/>
      </c>
      <c r="M530" s="168" t="str">
        <f>IF(ISNUMBER(namespace_raw[[#This Row],[Column10]]), (namespace_raw[[#This Row],[Column10]]*(1+$M$2)),"")</f>
        <v/>
      </c>
      <c r="N530" s="167" t="str">
        <f>IF(ISNUMBER(namespace_raw[[#This Row],[Column11]]), (namespace_raw[[#This Row],[Column11]]*(1+$N$2))/1048576,"")</f>
        <v/>
      </c>
      <c r="O530" s="169" t="str">
        <f>IF(ISNUMBER(namespace_raw[[#This Row],[Column8]]), (E530  * $O$2),"")</f>
        <v/>
      </c>
      <c r="P530" s="170" t="str">
        <f>IF(ISNUMBER(namespace_raw[[#This Row],[Column8]]), (F530  * $P$2),"")</f>
        <v/>
      </c>
    </row>
    <row r="531" spans="1:16" ht="15" customHeight="1" x14ac:dyDescent="0.25">
      <c r="A531" s="32" t="str">
        <f>IF(ISNONTEXT(namespace_raw[[#This Row],[Column1]]), "", namespace_raw[[#This Row],[Column1]])</f>
        <v/>
      </c>
      <c r="B531" s="33" t="str">
        <f>IF(ISNONTEXT(namespace_raw[[#This Row],[Column2]]), "", namespace_raw[[#This Row],[Column2]])</f>
        <v/>
      </c>
      <c r="C531" s="94" t="str">
        <f>IF(ISNUMBER(namespace_raw[[#This Row],[Column4]]), namespace_raw[[#This Row],[Column4]], "")</f>
        <v/>
      </c>
      <c r="D531" s="95" t="str">
        <f>IF(ISNUMBER(namespace_raw[[#This Row],[Column5]]), namespace_raw[[#This Row],[Column5]]/1048576, "")</f>
        <v/>
      </c>
      <c r="E531" s="95" t="str">
        <f>IF(ISNUMBER(namespace_raw[[#This Row],[Column6]]), namespace_raw[[#This Row],[Column6]],"")</f>
        <v/>
      </c>
      <c r="F531" s="96" t="str">
        <f>IF(ISNUMBER(namespace_raw[[#This Row],[Column7]]), namespace_raw[[#This Row],[Column7]]/1048576,"")</f>
        <v/>
      </c>
      <c r="G531" s="122" t="str">
        <f>IF(ISNUMBER(namespace_raw[[#This Row],[Column8]]), namespace_raw[[#This Row],[Column8]],"")</f>
        <v/>
      </c>
      <c r="H531" s="123" t="str">
        <f>IF(ISNUMBER(namespace_raw[[#This Row],[Column9]]), namespace_raw[[#This Row],[Column9]]/1048576,"")</f>
        <v/>
      </c>
      <c r="I531" s="124" t="str">
        <f>IF(ISNUMBER(namespace_raw[[#This Row],[Column8]]),MAX(G531, M531, O531, $I$2,IF(Q531&lt;&gt;"",VALUE(Q531),0)), "")</f>
        <v/>
      </c>
      <c r="J531" s="125" t="str">
        <f>IF(ISNUMBER(namespace_raw[[#This Row],[Column9]]),MAX(H531, N531, P531, $J$2,IF(R531&lt;&gt;"",VALUE(R531),0)),"")</f>
        <v/>
      </c>
      <c r="K531" s="166" t="str">
        <f>IF(ISNUMBER(namespace_raw[[#This Row],[Column12]]), namespace_raw[[#This Row],[Column12]],"")</f>
        <v/>
      </c>
      <c r="L531" s="167" t="str">
        <f>IF(ISNUMBER(namespace_raw[[#This Row],[Column13]]), namespace_raw[[#This Row],[Column13]]/1048576,"")</f>
        <v/>
      </c>
      <c r="M531" s="168" t="str">
        <f>IF(ISNUMBER(namespace_raw[[#This Row],[Column10]]), (namespace_raw[[#This Row],[Column10]]*(1+$M$2)),"")</f>
        <v/>
      </c>
      <c r="N531" s="167" t="str">
        <f>IF(ISNUMBER(namespace_raw[[#This Row],[Column11]]), (namespace_raw[[#This Row],[Column11]]*(1+$N$2))/1048576,"")</f>
        <v/>
      </c>
      <c r="O531" s="169" t="str">
        <f>IF(ISNUMBER(namespace_raw[[#This Row],[Column8]]), (E531  * $O$2),"")</f>
        <v/>
      </c>
      <c r="P531" s="170" t="str">
        <f>IF(ISNUMBER(namespace_raw[[#This Row],[Column8]]), (F531  * $P$2),"")</f>
        <v/>
      </c>
    </row>
    <row r="532" spans="1:16" ht="15" customHeight="1" x14ac:dyDescent="0.25">
      <c r="A532" s="32" t="str">
        <f>IF(ISNONTEXT(namespace_raw[[#This Row],[Column1]]), "", namespace_raw[[#This Row],[Column1]])</f>
        <v/>
      </c>
      <c r="B532" s="33" t="str">
        <f>IF(ISNONTEXT(namespace_raw[[#This Row],[Column2]]), "", namespace_raw[[#This Row],[Column2]])</f>
        <v/>
      </c>
      <c r="C532" s="94" t="str">
        <f>IF(ISNUMBER(namespace_raw[[#This Row],[Column4]]), namespace_raw[[#This Row],[Column4]], "")</f>
        <v/>
      </c>
      <c r="D532" s="95" t="str">
        <f>IF(ISNUMBER(namespace_raw[[#This Row],[Column5]]), namespace_raw[[#This Row],[Column5]]/1048576, "")</f>
        <v/>
      </c>
      <c r="E532" s="95" t="str">
        <f>IF(ISNUMBER(namespace_raw[[#This Row],[Column6]]), namespace_raw[[#This Row],[Column6]],"")</f>
        <v/>
      </c>
      <c r="F532" s="96" t="str">
        <f>IF(ISNUMBER(namespace_raw[[#This Row],[Column7]]), namespace_raw[[#This Row],[Column7]]/1048576,"")</f>
        <v/>
      </c>
      <c r="G532" s="122" t="str">
        <f>IF(ISNUMBER(namespace_raw[[#This Row],[Column8]]), namespace_raw[[#This Row],[Column8]],"")</f>
        <v/>
      </c>
      <c r="H532" s="123" t="str">
        <f>IF(ISNUMBER(namespace_raw[[#This Row],[Column9]]), namespace_raw[[#This Row],[Column9]]/1048576,"")</f>
        <v/>
      </c>
      <c r="I532" s="124" t="str">
        <f>IF(ISNUMBER(namespace_raw[[#This Row],[Column8]]),MAX(G532, M532, O532, $I$2,IF(Q532&lt;&gt;"",VALUE(Q532),0)), "")</f>
        <v/>
      </c>
      <c r="J532" s="125" t="str">
        <f>IF(ISNUMBER(namespace_raw[[#This Row],[Column9]]),MAX(H532, N532, P532, $J$2,IF(R532&lt;&gt;"",VALUE(R532),0)),"")</f>
        <v/>
      </c>
      <c r="K532" s="166" t="str">
        <f>IF(ISNUMBER(namespace_raw[[#This Row],[Column12]]), namespace_raw[[#This Row],[Column12]],"")</f>
        <v/>
      </c>
      <c r="L532" s="167" t="str">
        <f>IF(ISNUMBER(namespace_raw[[#This Row],[Column13]]), namespace_raw[[#This Row],[Column13]]/1048576,"")</f>
        <v/>
      </c>
      <c r="M532" s="168" t="str">
        <f>IF(ISNUMBER(namespace_raw[[#This Row],[Column10]]), (namespace_raw[[#This Row],[Column10]]*(1+$M$2)),"")</f>
        <v/>
      </c>
      <c r="N532" s="167" t="str">
        <f>IF(ISNUMBER(namespace_raw[[#This Row],[Column11]]), (namespace_raw[[#This Row],[Column11]]*(1+$N$2))/1048576,"")</f>
        <v/>
      </c>
      <c r="O532" s="169" t="str">
        <f>IF(ISNUMBER(namespace_raw[[#This Row],[Column8]]), (E532  * $O$2),"")</f>
        <v/>
      </c>
      <c r="P532" s="170" t="str">
        <f>IF(ISNUMBER(namespace_raw[[#This Row],[Column8]]), (F532  * $P$2),"")</f>
        <v/>
      </c>
    </row>
    <row r="533" spans="1:16" ht="15" customHeight="1" x14ac:dyDescent="0.25">
      <c r="A533" s="32" t="str">
        <f>IF(ISNONTEXT(namespace_raw[[#This Row],[Column1]]), "", namespace_raw[[#This Row],[Column1]])</f>
        <v/>
      </c>
      <c r="B533" s="33" t="str">
        <f>IF(ISNONTEXT(namespace_raw[[#This Row],[Column2]]), "", namespace_raw[[#This Row],[Column2]])</f>
        <v/>
      </c>
      <c r="C533" s="94" t="str">
        <f>IF(ISNUMBER(namespace_raw[[#This Row],[Column4]]), namespace_raw[[#This Row],[Column4]], "")</f>
        <v/>
      </c>
      <c r="D533" s="95" t="str">
        <f>IF(ISNUMBER(namespace_raw[[#This Row],[Column5]]), namespace_raw[[#This Row],[Column5]]/1048576, "")</f>
        <v/>
      </c>
      <c r="E533" s="95" t="str">
        <f>IF(ISNUMBER(namespace_raw[[#This Row],[Column6]]), namespace_raw[[#This Row],[Column6]],"")</f>
        <v/>
      </c>
      <c r="F533" s="96" t="str">
        <f>IF(ISNUMBER(namespace_raw[[#This Row],[Column7]]), namespace_raw[[#This Row],[Column7]]/1048576,"")</f>
        <v/>
      </c>
      <c r="G533" s="122" t="str">
        <f>IF(ISNUMBER(namespace_raw[[#This Row],[Column8]]), namespace_raw[[#This Row],[Column8]],"")</f>
        <v/>
      </c>
      <c r="H533" s="123" t="str">
        <f>IF(ISNUMBER(namespace_raw[[#This Row],[Column9]]), namespace_raw[[#This Row],[Column9]]/1048576,"")</f>
        <v/>
      </c>
      <c r="I533" s="124" t="str">
        <f>IF(ISNUMBER(namespace_raw[[#This Row],[Column8]]),MAX(G533, M533, O533, $I$2,IF(Q533&lt;&gt;"",VALUE(Q533),0)), "")</f>
        <v/>
      </c>
      <c r="J533" s="125" t="str">
        <f>IF(ISNUMBER(namespace_raw[[#This Row],[Column9]]),MAX(H533, N533, P533, $J$2,IF(R533&lt;&gt;"",VALUE(R533),0)),"")</f>
        <v/>
      </c>
      <c r="K533" s="166" t="str">
        <f>IF(ISNUMBER(namespace_raw[[#This Row],[Column12]]), namespace_raw[[#This Row],[Column12]],"")</f>
        <v/>
      </c>
      <c r="L533" s="167" t="str">
        <f>IF(ISNUMBER(namespace_raw[[#This Row],[Column13]]), namespace_raw[[#This Row],[Column13]]/1048576,"")</f>
        <v/>
      </c>
      <c r="M533" s="168" t="str">
        <f>IF(ISNUMBER(namespace_raw[[#This Row],[Column10]]), (namespace_raw[[#This Row],[Column10]]*(1+$M$2)),"")</f>
        <v/>
      </c>
      <c r="N533" s="167" t="str">
        <f>IF(ISNUMBER(namespace_raw[[#This Row],[Column11]]), (namespace_raw[[#This Row],[Column11]]*(1+$N$2))/1048576,"")</f>
        <v/>
      </c>
      <c r="O533" s="169" t="str">
        <f>IF(ISNUMBER(namespace_raw[[#This Row],[Column8]]), (E533  * $O$2),"")</f>
        <v/>
      </c>
      <c r="P533" s="170" t="str">
        <f>IF(ISNUMBER(namespace_raw[[#This Row],[Column8]]), (F533  * $P$2),"")</f>
        <v/>
      </c>
    </row>
    <row r="534" spans="1:16" ht="15" customHeight="1" x14ac:dyDescent="0.25">
      <c r="A534" s="32" t="str">
        <f>IF(ISNONTEXT(namespace_raw[[#This Row],[Column1]]), "", namespace_raw[[#This Row],[Column1]])</f>
        <v/>
      </c>
      <c r="B534" s="33" t="str">
        <f>IF(ISNONTEXT(namespace_raw[[#This Row],[Column2]]), "", namespace_raw[[#This Row],[Column2]])</f>
        <v/>
      </c>
      <c r="C534" s="94" t="str">
        <f>IF(ISNUMBER(namespace_raw[[#This Row],[Column4]]), namespace_raw[[#This Row],[Column4]], "")</f>
        <v/>
      </c>
      <c r="D534" s="95" t="str">
        <f>IF(ISNUMBER(namespace_raw[[#This Row],[Column5]]), namespace_raw[[#This Row],[Column5]]/1048576, "")</f>
        <v/>
      </c>
      <c r="E534" s="95" t="str">
        <f>IF(ISNUMBER(namespace_raw[[#This Row],[Column6]]), namespace_raw[[#This Row],[Column6]],"")</f>
        <v/>
      </c>
      <c r="F534" s="96" t="str">
        <f>IF(ISNUMBER(namespace_raw[[#This Row],[Column7]]), namespace_raw[[#This Row],[Column7]]/1048576,"")</f>
        <v/>
      </c>
      <c r="G534" s="122" t="str">
        <f>IF(ISNUMBER(namespace_raw[[#This Row],[Column8]]), namespace_raw[[#This Row],[Column8]],"")</f>
        <v/>
      </c>
      <c r="H534" s="123" t="str">
        <f>IF(ISNUMBER(namespace_raw[[#This Row],[Column9]]), namespace_raw[[#This Row],[Column9]]/1048576,"")</f>
        <v/>
      </c>
      <c r="I534" s="124" t="str">
        <f>IF(ISNUMBER(namespace_raw[[#This Row],[Column8]]),MAX(G534, M534, O534, $I$2,IF(Q534&lt;&gt;"",VALUE(Q534),0)), "")</f>
        <v/>
      </c>
      <c r="J534" s="125" t="str">
        <f>IF(ISNUMBER(namespace_raw[[#This Row],[Column9]]),MAX(H534, N534, P534, $J$2,IF(R534&lt;&gt;"",VALUE(R534),0)),"")</f>
        <v/>
      </c>
      <c r="K534" s="166" t="str">
        <f>IF(ISNUMBER(namespace_raw[[#This Row],[Column12]]), namespace_raw[[#This Row],[Column12]],"")</f>
        <v/>
      </c>
      <c r="L534" s="167" t="str">
        <f>IF(ISNUMBER(namespace_raw[[#This Row],[Column13]]), namespace_raw[[#This Row],[Column13]]/1048576,"")</f>
        <v/>
      </c>
      <c r="M534" s="168" t="str">
        <f>IF(ISNUMBER(namespace_raw[[#This Row],[Column10]]), (namespace_raw[[#This Row],[Column10]]*(1+$M$2)),"")</f>
        <v/>
      </c>
      <c r="N534" s="167" t="str">
        <f>IF(ISNUMBER(namespace_raw[[#This Row],[Column11]]), (namespace_raw[[#This Row],[Column11]]*(1+$N$2))/1048576,"")</f>
        <v/>
      </c>
      <c r="O534" s="169" t="str">
        <f>IF(ISNUMBER(namespace_raw[[#This Row],[Column8]]), (E534  * $O$2),"")</f>
        <v/>
      </c>
      <c r="P534" s="170" t="str">
        <f>IF(ISNUMBER(namespace_raw[[#This Row],[Column8]]), (F534  * $P$2),"")</f>
        <v/>
      </c>
    </row>
    <row r="535" spans="1:16" ht="15" customHeight="1" x14ac:dyDescent="0.25">
      <c r="A535" s="32" t="str">
        <f>IF(ISNONTEXT(namespace_raw[[#This Row],[Column1]]), "", namespace_raw[[#This Row],[Column1]])</f>
        <v/>
      </c>
      <c r="B535" s="33" t="str">
        <f>IF(ISNONTEXT(namespace_raw[[#This Row],[Column2]]), "", namespace_raw[[#This Row],[Column2]])</f>
        <v/>
      </c>
      <c r="C535" s="94" t="str">
        <f>IF(ISNUMBER(namespace_raw[[#This Row],[Column4]]), namespace_raw[[#This Row],[Column4]], "")</f>
        <v/>
      </c>
      <c r="D535" s="95" t="str">
        <f>IF(ISNUMBER(namespace_raw[[#This Row],[Column5]]), namespace_raw[[#This Row],[Column5]]/1048576, "")</f>
        <v/>
      </c>
      <c r="E535" s="95" t="str">
        <f>IF(ISNUMBER(namespace_raw[[#This Row],[Column6]]), namespace_raw[[#This Row],[Column6]],"")</f>
        <v/>
      </c>
      <c r="F535" s="96" t="str">
        <f>IF(ISNUMBER(namespace_raw[[#This Row],[Column7]]), namespace_raw[[#This Row],[Column7]]/1048576,"")</f>
        <v/>
      </c>
      <c r="G535" s="122" t="str">
        <f>IF(ISNUMBER(namespace_raw[[#This Row],[Column8]]), namespace_raw[[#This Row],[Column8]],"")</f>
        <v/>
      </c>
      <c r="H535" s="123" t="str">
        <f>IF(ISNUMBER(namespace_raw[[#This Row],[Column9]]), namespace_raw[[#This Row],[Column9]]/1048576,"")</f>
        <v/>
      </c>
      <c r="I535" s="124" t="str">
        <f>IF(ISNUMBER(namespace_raw[[#This Row],[Column8]]),MAX(G535, M535, O535, $I$2,IF(Q535&lt;&gt;"",VALUE(Q535),0)), "")</f>
        <v/>
      </c>
      <c r="J535" s="125" t="str">
        <f>IF(ISNUMBER(namespace_raw[[#This Row],[Column9]]),MAX(H535, N535, P535, $J$2,IF(R535&lt;&gt;"",VALUE(R535),0)),"")</f>
        <v/>
      </c>
      <c r="K535" s="166" t="str">
        <f>IF(ISNUMBER(namespace_raw[[#This Row],[Column12]]), namespace_raw[[#This Row],[Column12]],"")</f>
        <v/>
      </c>
      <c r="L535" s="167" t="str">
        <f>IF(ISNUMBER(namespace_raw[[#This Row],[Column13]]), namespace_raw[[#This Row],[Column13]]/1048576,"")</f>
        <v/>
      </c>
      <c r="M535" s="168" t="str">
        <f>IF(ISNUMBER(namespace_raw[[#This Row],[Column10]]), (namespace_raw[[#This Row],[Column10]]*(1+$M$2)),"")</f>
        <v/>
      </c>
      <c r="N535" s="167" t="str">
        <f>IF(ISNUMBER(namespace_raw[[#This Row],[Column11]]), (namespace_raw[[#This Row],[Column11]]*(1+$N$2))/1048576,"")</f>
        <v/>
      </c>
      <c r="O535" s="169" t="str">
        <f>IF(ISNUMBER(namespace_raw[[#This Row],[Column8]]), (E535  * $O$2),"")</f>
        <v/>
      </c>
      <c r="P535" s="170" t="str">
        <f>IF(ISNUMBER(namespace_raw[[#This Row],[Column8]]), (F535  * $P$2),"")</f>
        <v/>
      </c>
    </row>
    <row r="536" spans="1:16" ht="15" customHeight="1" x14ac:dyDescent="0.25">
      <c r="A536" s="32" t="str">
        <f>IF(ISNONTEXT(namespace_raw[[#This Row],[Column1]]), "", namespace_raw[[#This Row],[Column1]])</f>
        <v/>
      </c>
      <c r="B536" s="33" t="str">
        <f>IF(ISNONTEXT(namespace_raw[[#This Row],[Column2]]), "", namespace_raw[[#This Row],[Column2]])</f>
        <v/>
      </c>
      <c r="C536" s="94" t="str">
        <f>IF(ISNUMBER(namespace_raw[[#This Row],[Column4]]), namespace_raw[[#This Row],[Column4]], "")</f>
        <v/>
      </c>
      <c r="D536" s="95" t="str">
        <f>IF(ISNUMBER(namespace_raw[[#This Row],[Column5]]), namespace_raw[[#This Row],[Column5]]/1048576, "")</f>
        <v/>
      </c>
      <c r="E536" s="95" t="str">
        <f>IF(ISNUMBER(namespace_raw[[#This Row],[Column6]]), namespace_raw[[#This Row],[Column6]],"")</f>
        <v/>
      </c>
      <c r="F536" s="96" t="str">
        <f>IF(ISNUMBER(namespace_raw[[#This Row],[Column7]]), namespace_raw[[#This Row],[Column7]]/1048576,"")</f>
        <v/>
      </c>
      <c r="G536" s="122" t="str">
        <f>IF(ISNUMBER(namespace_raw[[#This Row],[Column8]]), namespace_raw[[#This Row],[Column8]],"")</f>
        <v/>
      </c>
      <c r="H536" s="123" t="str">
        <f>IF(ISNUMBER(namespace_raw[[#This Row],[Column9]]), namespace_raw[[#This Row],[Column9]]/1048576,"")</f>
        <v/>
      </c>
      <c r="I536" s="124" t="str">
        <f>IF(ISNUMBER(namespace_raw[[#This Row],[Column8]]),MAX(G536, M536, O536, $I$2,IF(Q536&lt;&gt;"",VALUE(Q536),0)), "")</f>
        <v/>
      </c>
      <c r="J536" s="125" t="str">
        <f>IF(ISNUMBER(namespace_raw[[#This Row],[Column9]]),MAX(H536, N536, P536, $J$2,IF(R536&lt;&gt;"",VALUE(R536),0)),"")</f>
        <v/>
      </c>
      <c r="K536" s="166" t="str">
        <f>IF(ISNUMBER(namespace_raw[[#This Row],[Column12]]), namespace_raw[[#This Row],[Column12]],"")</f>
        <v/>
      </c>
      <c r="L536" s="167" t="str">
        <f>IF(ISNUMBER(namespace_raw[[#This Row],[Column13]]), namespace_raw[[#This Row],[Column13]]/1048576,"")</f>
        <v/>
      </c>
      <c r="M536" s="168" t="str">
        <f>IF(ISNUMBER(namespace_raw[[#This Row],[Column10]]), (namespace_raw[[#This Row],[Column10]]*(1+$M$2)),"")</f>
        <v/>
      </c>
      <c r="N536" s="167" t="str">
        <f>IF(ISNUMBER(namespace_raw[[#This Row],[Column11]]), (namespace_raw[[#This Row],[Column11]]*(1+$N$2))/1048576,"")</f>
        <v/>
      </c>
      <c r="O536" s="169" t="str">
        <f>IF(ISNUMBER(namespace_raw[[#This Row],[Column8]]), (E536  * $O$2),"")</f>
        <v/>
      </c>
      <c r="P536" s="170" t="str">
        <f>IF(ISNUMBER(namespace_raw[[#This Row],[Column8]]), (F536  * $P$2),"")</f>
        <v/>
      </c>
    </row>
    <row r="537" spans="1:16" ht="15" customHeight="1" x14ac:dyDescent="0.25">
      <c r="A537" s="32" t="str">
        <f>IF(ISNONTEXT(namespace_raw[[#This Row],[Column1]]), "", namespace_raw[[#This Row],[Column1]])</f>
        <v/>
      </c>
      <c r="B537" s="33" t="str">
        <f>IF(ISNONTEXT(namespace_raw[[#This Row],[Column2]]), "", namespace_raw[[#This Row],[Column2]])</f>
        <v/>
      </c>
      <c r="C537" s="94" t="str">
        <f>IF(ISNUMBER(namespace_raw[[#This Row],[Column4]]), namespace_raw[[#This Row],[Column4]], "")</f>
        <v/>
      </c>
      <c r="D537" s="95" t="str">
        <f>IF(ISNUMBER(namespace_raw[[#This Row],[Column5]]), namespace_raw[[#This Row],[Column5]]/1048576, "")</f>
        <v/>
      </c>
      <c r="E537" s="95" t="str">
        <f>IF(ISNUMBER(namespace_raw[[#This Row],[Column6]]), namespace_raw[[#This Row],[Column6]],"")</f>
        <v/>
      </c>
      <c r="F537" s="96" t="str">
        <f>IF(ISNUMBER(namespace_raw[[#This Row],[Column7]]), namespace_raw[[#This Row],[Column7]]/1048576,"")</f>
        <v/>
      </c>
      <c r="G537" s="122" t="str">
        <f>IF(ISNUMBER(namespace_raw[[#This Row],[Column8]]), namespace_raw[[#This Row],[Column8]],"")</f>
        <v/>
      </c>
      <c r="H537" s="123" t="str">
        <f>IF(ISNUMBER(namespace_raw[[#This Row],[Column9]]), namespace_raw[[#This Row],[Column9]]/1048576,"")</f>
        <v/>
      </c>
      <c r="I537" s="124" t="str">
        <f>IF(ISNUMBER(namespace_raw[[#This Row],[Column8]]),MAX(G537, M537, O537, $I$2,IF(Q537&lt;&gt;"",VALUE(Q537),0)), "")</f>
        <v/>
      </c>
      <c r="J537" s="125" t="str">
        <f>IF(ISNUMBER(namespace_raw[[#This Row],[Column9]]),MAX(H537, N537, P537, $J$2,IF(R537&lt;&gt;"",VALUE(R537),0)),"")</f>
        <v/>
      </c>
      <c r="K537" s="166" t="str">
        <f>IF(ISNUMBER(namespace_raw[[#This Row],[Column12]]), namespace_raw[[#This Row],[Column12]],"")</f>
        <v/>
      </c>
      <c r="L537" s="167" t="str">
        <f>IF(ISNUMBER(namespace_raw[[#This Row],[Column13]]), namespace_raw[[#This Row],[Column13]]/1048576,"")</f>
        <v/>
      </c>
      <c r="M537" s="168" t="str">
        <f>IF(ISNUMBER(namespace_raw[[#This Row],[Column10]]), (namespace_raw[[#This Row],[Column10]]*(1+$M$2)),"")</f>
        <v/>
      </c>
      <c r="N537" s="167" t="str">
        <f>IF(ISNUMBER(namespace_raw[[#This Row],[Column11]]), (namespace_raw[[#This Row],[Column11]]*(1+$N$2))/1048576,"")</f>
        <v/>
      </c>
      <c r="O537" s="169" t="str">
        <f>IF(ISNUMBER(namespace_raw[[#This Row],[Column8]]), (E537  * $O$2),"")</f>
        <v/>
      </c>
      <c r="P537" s="170" t="str">
        <f>IF(ISNUMBER(namespace_raw[[#This Row],[Column8]]), (F537  * $P$2),"")</f>
        <v/>
      </c>
    </row>
    <row r="538" spans="1:16" ht="15" customHeight="1" x14ac:dyDescent="0.25">
      <c r="A538" s="32" t="str">
        <f>IF(ISNONTEXT(namespace_raw[[#This Row],[Column1]]), "", namespace_raw[[#This Row],[Column1]])</f>
        <v/>
      </c>
      <c r="B538" s="33" t="str">
        <f>IF(ISNONTEXT(namespace_raw[[#This Row],[Column2]]), "", namespace_raw[[#This Row],[Column2]])</f>
        <v/>
      </c>
      <c r="C538" s="94" t="str">
        <f>IF(ISNUMBER(namespace_raw[[#This Row],[Column4]]), namespace_raw[[#This Row],[Column4]], "")</f>
        <v/>
      </c>
      <c r="D538" s="95" t="str">
        <f>IF(ISNUMBER(namespace_raw[[#This Row],[Column5]]), namespace_raw[[#This Row],[Column5]]/1048576, "")</f>
        <v/>
      </c>
      <c r="E538" s="95" t="str">
        <f>IF(ISNUMBER(namespace_raw[[#This Row],[Column6]]), namespace_raw[[#This Row],[Column6]],"")</f>
        <v/>
      </c>
      <c r="F538" s="96" t="str">
        <f>IF(ISNUMBER(namespace_raw[[#This Row],[Column7]]), namespace_raw[[#This Row],[Column7]]/1048576,"")</f>
        <v/>
      </c>
      <c r="G538" s="122" t="str">
        <f>IF(ISNUMBER(namespace_raw[[#This Row],[Column8]]), namespace_raw[[#This Row],[Column8]],"")</f>
        <v/>
      </c>
      <c r="H538" s="123" t="str">
        <f>IF(ISNUMBER(namespace_raw[[#This Row],[Column9]]), namespace_raw[[#This Row],[Column9]]/1048576,"")</f>
        <v/>
      </c>
      <c r="I538" s="124" t="str">
        <f>IF(ISNUMBER(namespace_raw[[#This Row],[Column8]]),MAX(G538, M538, O538, $I$2,IF(Q538&lt;&gt;"",VALUE(Q538),0)), "")</f>
        <v/>
      </c>
      <c r="J538" s="125" t="str">
        <f>IF(ISNUMBER(namespace_raw[[#This Row],[Column9]]),MAX(H538, N538, P538, $J$2,IF(R538&lt;&gt;"",VALUE(R538),0)),"")</f>
        <v/>
      </c>
      <c r="K538" s="166" t="str">
        <f>IF(ISNUMBER(namespace_raw[[#This Row],[Column12]]), namespace_raw[[#This Row],[Column12]],"")</f>
        <v/>
      </c>
      <c r="L538" s="167" t="str">
        <f>IF(ISNUMBER(namespace_raw[[#This Row],[Column13]]), namespace_raw[[#This Row],[Column13]]/1048576,"")</f>
        <v/>
      </c>
      <c r="M538" s="168" t="str">
        <f>IF(ISNUMBER(namespace_raw[[#This Row],[Column10]]), (namespace_raw[[#This Row],[Column10]]*(1+$M$2)),"")</f>
        <v/>
      </c>
      <c r="N538" s="167" t="str">
        <f>IF(ISNUMBER(namespace_raw[[#This Row],[Column11]]), (namespace_raw[[#This Row],[Column11]]*(1+$N$2))/1048576,"")</f>
        <v/>
      </c>
      <c r="O538" s="169" t="str">
        <f>IF(ISNUMBER(namespace_raw[[#This Row],[Column8]]), (E538  * $O$2),"")</f>
        <v/>
      </c>
      <c r="P538" s="170" t="str">
        <f>IF(ISNUMBER(namespace_raw[[#This Row],[Column8]]), (F538  * $P$2),"")</f>
        <v/>
      </c>
    </row>
    <row r="539" spans="1:16" ht="15" customHeight="1" x14ac:dyDescent="0.25">
      <c r="A539" s="32" t="str">
        <f>IF(ISNONTEXT(namespace_raw[[#This Row],[Column1]]), "", namespace_raw[[#This Row],[Column1]])</f>
        <v/>
      </c>
      <c r="B539" s="33" t="str">
        <f>IF(ISNONTEXT(namespace_raw[[#This Row],[Column2]]), "", namespace_raw[[#This Row],[Column2]])</f>
        <v/>
      </c>
      <c r="C539" s="94" t="str">
        <f>IF(ISNUMBER(namespace_raw[[#This Row],[Column4]]), namespace_raw[[#This Row],[Column4]], "")</f>
        <v/>
      </c>
      <c r="D539" s="95" t="str">
        <f>IF(ISNUMBER(namespace_raw[[#This Row],[Column5]]), namespace_raw[[#This Row],[Column5]]/1048576, "")</f>
        <v/>
      </c>
      <c r="E539" s="95" t="str">
        <f>IF(ISNUMBER(namespace_raw[[#This Row],[Column6]]), namespace_raw[[#This Row],[Column6]],"")</f>
        <v/>
      </c>
      <c r="F539" s="96" t="str">
        <f>IF(ISNUMBER(namespace_raw[[#This Row],[Column7]]), namespace_raw[[#This Row],[Column7]]/1048576,"")</f>
        <v/>
      </c>
      <c r="G539" s="122" t="str">
        <f>IF(ISNUMBER(namespace_raw[[#This Row],[Column8]]), namespace_raw[[#This Row],[Column8]],"")</f>
        <v/>
      </c>
      <c r="H539" s="123" t="str">
        <f>IF(ISNUMBER(namespace_raw[[#This Row],[Column9]]), namespace_raw[[#This Row],[Column9]]/1048576,"")</f>
        <v/>
      </c>
      <c r="I539" s="124" t="str">
        <f>IF(ISNUMBER(namespace_raw[[#This Row],[Column8]]),MAX(G539, M539, O539, $I$2,IF(Q539&lt;&gt;"",VALUE(Q539),0)), "")</f>
        <v/>
      </c>
      <c r="J539" s="125" t="str">
        <f>IF(ISNUMBER(namespace_raw[[#This Row],[Column9]]),MAX(H539, N539, P539, $J$2,IF(R539&lt;&gt;"",VALUE(R539),0)),"")</f>
        <v/>
      </c>
      <c r="K539" s="166" t="str">
        <f>IF(ISNUMBER(namespace_raw[[#This Row],[Column12]]), namespace_raw[[#This Row],[Column12]],"")</f>
        <v/>
      </c>
      <c r="L539" s="167" t="str">
        <f>IF(ISNUMBER(namespace_raw[[#This Row],[Column13]]), namespace_raw[[#This Row],[Column13]]/1048576,"")</f>
        <v/>
      </c>
      <c r="M539" s="168" t="str">
        <f>IF(ISNUMBER(namespace_raw[[#This Row],[Column10]]), (namespace_raw[[#This Row],[Column10]]*(1+$M$2)),"")</f>
        <v/>
      </c>
      <c r="N539" s="167" t="str">
        <f>IF(ISNUMBER(namespace_raw[[#This Row],[Column11]]), (namespace_raw[[#This Row],[Column11]]*(1+$N$2))/1048576,"")</f>
        <v/>
      </c>
      <c r="O539" s="169" t="str">
        <f>IF(ISNUMBER(namespace_raw[[#This Row],[Column8]]), (E539  * $O$2),"")</f>
        <v/>
      </c>
      <c r="P539" s="170" t="str">
        <f>IF(ISNUMBER(namespace_raw[[#This Row],[Column8]]), (F539  * $P$2),"")</f>
        <v/>
      </c>
    </row>
    <row r="540" spans="1:16" ht="15" customHeight="1" x14ac:dyDescent="0.25">
      <c r="A540" s="32" t="str">
        <f>IF(ISNONTEXT(namespace_raw[[#This Row],[Column1]]), "", namespace_raw[[#This Row],[Column1]])</f>
        <v/>
      </c>
      <c r="B540" s="33" t="str">
        <f>IF(ISNONTEXT(namespace_raw[[#This Row],[Column2]]), "", namespace_raw[[#This Row],[Column2]])</f>
        <v/>
      </c>
      <c r="C540" s="94" t="str">
        <f>IF(ISNUMBER(namespace_raw[[#This Row],[Column4]]), namespace_raw[[#This Row],[Column4]], "")</f>
        <v/>
      </c>
      <c r="D540" s="95" t="str">
        <f>IF(ISNUMBER(namespace_raw[[#This Row],[Column5]]), namespace_raw[[#This Row],[Column5]]/1048576, "")</f>
        <v/>
      </c>
      <c r="E540" s="95" t="str">
        <f>IF(ISNUMBER(namespace_raw[[#This Row],[Column6]]), namespace_raw[[#This Row],[Column6]],"")</f>
        <v/>
      </c>
      <c r="F540" s="96" t="str">
        <f>IF(ISNUMBER(namespace_raw[[#This Row],[Column7]]), namespace_raw[[#This Row],[Column7]]/1048576,"")</f>
        <v/>
      </c>
      <c r="G540" s="122" t="str">
        <f>IF(ISNUMBER(namespace_raw[[#This Row],[Column8]]), namespace_raw[[#This Row],[Column8]],"")</f>
        <v/>
      </c>
      <c r="H540" s="123" t="str">
        <f>IF(ISNUMBER(namespace_raw[[#This Row],[Column9]]), namespace_raw[[#This Row],[Column9]]/1048576,"")</f>
        <v/>
      </c>
      <c r="I540" s="124" t="str">
        <f>IF(ISNUMBER(namespace_raw[[#This Row],[Column8]]),MAX(G540, M540, O540, $I$2,IF(Q540&lt;&gt;"",VALUE(Q540),0)), "")</f>
        <v/>
      </c>
      <c r="J540" s="125" t="str">
        <f>IF(ISNUMBER(namespace_raw[[#This Row],[Column9]]),MAX(H540, N540, P540, $J$2,IF(R540&lt;&gt;"",VALUE(R540),0)),"")</f>
        <v/>
      </c>
      <c r="K540" s="166" t="str">
        <f>IF(ISNUMBER(namespace_raw[[#This Row],[Column12]]), namespace_raw[[#This Row],[Column12]],"")</f>
        <v/>
      </c>
      <c r="L540" s="167" t="str">
        <f>IF(ISNUMBER(namespace_raw[[#This Row],[Column13]]), namespace_raw[[#This Row],[Column13]]/1048576,"")</f>
        <v/>
      </c>
      <c r="M540" s="168" t="str">
        <f>IF(ISNUMBER(namespace_raw[[#This Row],[Column10]]), (namespace_raw[[#This Row],[Column10]]*(1+$M$2)),"")</f>
        <v/>
      </c>
      <c r="N540" s="167" t="str">
        <f>IF(ISNUMBER(namespace_raw[[#This Row],[Column11]]), (namespace_raw[[#This Row],[Column11]]*(1+$N$2))/1048576,"")</f>
        <v/>
      </c>
      <c r="O540" s="169" t="str">
        <f>IF(ISNUMBER(namespace_raw[[#This Row],[Column8]]), (E540  * $O$2),"")</f>
        <v/>
      </c>
      <c r="P540" s="170" t="str">
        <f>IF(ISNUMBER(namespace_raw[[#This Row],[Column8]]), (F540  * $P$2),"")</f>
        <v/>
      </c>
    </row>
    <row r="541" spans="1:16" ht="15" customHeight="1" x14ac:dyDescent="0.25">
      <c r="A541" s="32" t="str">
        <f>IF(ISNONTEXT(namespace_raw[[#This Row],[Column1]]), "", namespace_raw[[#This Row],[Column1]])</f>
        <v/>
      </c>
      <c r="B541" s="33" t="str">
        <f>IF(ISNONTEXT(namespace_raw[[#This Row],[Column2]]), "", namespace_raw[[#This Row],[Column2]])</f>
        <v/>
      </c>
      <c r="C541" s="94" t="str">
        <f>IF(ISNUMBER(namespace_raw[[#This Row],[Column4]]), namespace_raw[[#This Row],[Column4]], "")</f>
        <v/>
      </c>
      <c r="D541" s="95" t="str">
        <f>IF(ISNUMBER(namespace_raw[[#This Row],[Column5]]), namespace_raw[[#This Row],[Column5]]/1048576, "")</f>
        <v/>
      </c>
      <c r="E541" s="95" t="str">
        <f>IF(ISNUMBER(namespace_raw[[#This Row],[Column6]]), namespace_raw[[#This Row],[Column6]],"")</f>
        <v/>
      </c>
      <c r="F541" s="96" t="str">
        <f>IF(ISNUMBER(namespace_raw[[#This Row],[Column7]]), namespace_raw[[#This Row],[Column7]]/1048576,"")</f>
        <v/>
      </c>
      <c r="G541" s="122" t="str">
        <f>IF(ISNUMBER(namespace_raw[[#This Row],[Column8]]), namespace_raw[[#This Row],[Column8]],"")</f>
        <v/>
      </c>
      <c r="H541" s="123" t="str">
        <f>IF(ISNUMBER(namespace_raw[[#This Row],[Column9]]), namespace_raw[[#This Row],[Column9]]/1048576,"")</f>
        <v/>
      </c>
      <c r="I541" s="124" t="str">
        <f>IF(ISNUMBER(namespace_raw[[#This Row],[Column8]]),MAX(G541, M541, O541, $I$2,IF(Q541&lt;&gt;"",VALUE(Q541),0)), "")</f>
        <v/>
      </c>
      <c r="J541" s="125" t="str">
        <f>IF(ISNUMBER(namespace_raw[[#This Row],[Column9]]),MAX(H541, N541, P541, $J$2,IF(R541&lt;&gt;"",VALUE(R541),0)),"")</f>
        <v/>
      </c>
      <c r="K541" s="166" t="str">
        <f>IF(ISNUMBER(namespace_raw[[#This Row],[Column12]]), namespace_raw[[#This Row],[Column12]],"")</f>
        <v/>
      </c>
      <c r="L541" s="167" t="str">
        <f>IF(ISNUMBER(namespace_raw[[#This Row],[Column13]]), namespace_raw[[#This Row],[Column13]]/1048576,"")</f>
        <v/>
      </c>
      <c r="M541" s="168" t="str">
        <f>IF(ISNUMBER(namespace_raw[[#This Row],[Column10]]), (namespace_raw[[#This Row],[Column10]]*(1+$M$2)),"")</f>
        <v/>
      </c>
      <c r="N541" s="167" t="str">
        <f>IF(ISNUMBER(namespace_raw[[#This Row],[Column11]]), (namespace_raw[[#This Row],[Column11]]*(1+$N$2))/1048576,"")</f>
        <v/>
      </c>
      <c r="O541" s="169" t="str">
        <f>IF(ISNUMBER(namespace_raw[[#This Row],[Column8]]), (E541  * $O$2),"")</f>
        <v/>
      </c>
      <c r="P541" s="170" t="str">
        <f>IF(ISNUMBER(namespace_raw[[#This Row],[Column8]]), (F541  * $P$2),"")</f>
        <v/>
      </c>
    </row>
    <row r="542" spans="1:16" ht="15" customHeight="1" x14ac:dyDescent="0.25">
      <c r="A542" s="32" t="str">
        <f>IF(ISNONTEXT(namespace_raw[[#This Row],[Column1]]), "", namespace_raw[[#This Row],[Column1]])</f>
        <v/>
      </c>
      <c r="B542" s="33" t="str">
        <f>IF(ISNONTEXT(namespace_raw[[#This Row],[Column2]]), "", namespace_raw[[#This Row],[Column2]])</f>
        <v/>
      </c>
      <c r="C542" s="94" t="str">
        <f>IF(ISNUMBER(namespace_raw[[#This Row],[Column4]]), namespace_raw[[#This Row],[Column4]], "")</f>
        <v/>
      </c>
      <c r="D542" s="95" t="str">
        <f>IF(ISNUMBER(namespace_raw[[#This Row],[Column5]]), namespace_raw[[#This Row],[Column5]]/1048576, "")</f>
        <v/>
      </c>
      <c r="E542" s="95" t="str">
        <f>IF(ISNUMBER(namespace_raw[[#This Row],[Column6]]), namespace_raw[[#This Row],[Column6]],"")</f>
        <v/>
      </c>
      <c r="F542" s="96" t="str">
        <f>IF(ISNUMBER(namespace_raw[[#This Row],[Column7]]), namespace_raw[[#This Row],[Column7]]/1048576,"")</f>
        <v/>
      </c>
      <c r="G542" s="122" t="str">
        <f>IF(ISNUMBER(namespace_raw[[#This Row],[Column8]]), namespace_raw[[#This Row],[Column8]],"")</f>
        <v/>
      </c>
      <c r="H542" s="123" t="str">
        <f>IF(ISNUMBER(namespace_raw[[#This Row],[Column9]]), namespace_raw[[#This Row],[Column9]]/1048576,"")</f>
        <v/>
      </c>
      <c r="I542" s="124" t="str">
        <f>IF(ISNUMBER(namespace_raw[[#This Row],[Column8]]),MAX(G542, M542, O542, $I$2,IF(Q542&lt;&gt;"",VALUE(Q542),0)), "")</f>
        <v/>
      </c>
      <c r="J542" s="125" t="str">
        <f>IF(ISNUMBER(namespace_raw[[#This Row],[Column9]]),MAX(H542, N542, P542, $J$2,IF(R542&lt;&gt;"",VALUE(R542),0)),"")</f>
        <v/>
      </c>
      <c r="K542" s="166" t="str">
        <f>IF(ISNUMBER(namespace_raw[[#This Row],[Column12]]), namespace_raw[[#This Row],[Column12]],"")</f>
        <v/>
      </c>
      <c r="L542" s="167" t="str">
        <f>IF(ISNUMBER(namespace_raw[[#This Row],[Column13]]), namespace_raw[[#This Row],[Column13]]/1048576,"")</f>
        <v/>
      </c>
      <c r="M542" s="168" t="str">
        <f>IF(ISNUMBER(namespace_raw[[#This Row],[Column10]]), (namespace_raw[[#This Row],[Column10]]*(1+$M$2)),"")</f>
        <v/>
      </c>
      <c r="N542" s="167" t="str">
        <f>IF(ISNUMBER(namespace_raw[[#This Row],[Column11]]), (namespace_raw[[#This Row],[Column11]]*(1+$N$2))/1048576,"")</f>
        <v/>
      </c>
      <c r="O542" s="169" t="str">
        <f>IF(ISNUMBER(namespace_raw[[#This Row],[Column8]]), (E542  * $O$2),"")</f>
        <v/>
      </c>
      <c r="P542" s="170" t="str">
        <f>IF(ISNUMBER(namespace_raw[[#This Row],[Column8]]), (F542  * $P$2),"")</f>
        <v/>
      </c>
    </row>
    <row r="543" spans="1:16" ht="15" customHeight="1" x14ac:dyDescent="0.25">
      <c r="A543" s="32" t="str">
        <f>IF(ISNONTEXT(namespace_raw[[#This Row],[Column1]]), "", namespace_raw[[#This Row],[Column1]])</f>
        <v/>
      </c>
      <c r="B543" s="33" t="str">
        <f>IF(ISNONTEXT(namespace_raw[[#This Row],[Column2]]), "", namespace_raw[[#This Row],[Column2]])</f>
        <v/>
      </c>
      <c r="C543" s="94" t="str">
        <f>IF(ISNUMBER(namespace_raw[[#This Row],[Column4]]), namespace_raw[[#This Row],[Column4]], "")</f>
        <v/>
      </c>
      <c r="D543" s="95" t="str">
        <f>IF(ISNUMBER(namespace_raw[[#This Row],[Column5]]), namespace_raw[[#This Row],[Column5]]/1048576, "")</f>
        <v/>
      </c>
      <c r="E543" s="95" t="str">
        <f>IF(ISNUMBER(namespace_raw[[#This Row],[Column6]]), namespace_raw[[#This Row],[Column6]],"")</f>
        <v/>
      </c>
      <c r="F543" s="96" t="str">
        <f>IF(ISNUMBER(namespace_raw[[#This Row],[Column7]]), namespace_raw[[#This Row],[Column7]]/1048576,"")</f>
        <v/>
      </c>
      <c r="G543" s="122" t="str">
        <f>IF(ISNUMBER(namespace_raw[[#This Row],[Column8]]), namespace_raw[[#This Row],[Column8]],"")</f>
        <v/>
      </c>
      <c r="H543" s="123" t="str">
        <f>IF(ISNUMBER(namespace_raw[[#This Row],[Column9]]), namespace_raw[[#This Row],[Column9]]/1048576,"")</f>
        <v/>
      </c>
      <c r="I543" s="124" t="str">
        <f>IF(ISNUMBER(namespace_raw[[#This Row],[Column8]]),MAX(G543, M543, O543, $I$2,IF(Q543&lt;&gt;"",VALUE(Q543),0)), "")</f>
        <v/>
      </c>
      <c r="J543" s="125" t="str">
        <f>IF(ISNUMBER(namespace_raw[[#This Row],[Column9]]),MAX(H543, N543, P543, $J$2,IF(R543&lt;&gt;"",VALUE(R543),0)),"")</f>
        <v/>
      </c>
      <c r="K543" s="166" t="str">
        <f>IF(ISNUMBER(namespace_raw[[#This Row],[Column12]]), namespace_raw[[#This Row],[Column12]],"")</f>
        <v/>
      </c>
      <c r="L543" s="167" t="str">
        <f>IF(ISNUMBER(namespace_raw[[#This Row],[Column13]]), namespace_raw[[#This Row],[Column13]]/1048576,"")</f>
        <v/>
      </c>
      <c r="M543" s="168" t="str">
        <f>IF(ISNUMBER(namespace_raw[[#This Row],[Column10]]), (namespace_raw[[#This Row],[Column10]]*(1+$M$2)),"")</f>
        <v/>
      </c>
      <c r="N543" s="167" t="str">
        <f>IF(ISNUMBER(namespace_raw[[#This Row],[Column11]]), (namespace_raw[[#This Row],[Column11]]*(1+$N$2))/1048576,"")</f>
        <v/>
      </c>
      <c r="O543" s="169" t="str">
        <f>IF(ISNUMBER(namespace_raw[[#This Row],[Column8]]), (E543  * $O$2),"")</f>
        <v/>
      </c>
      <c r="P543" s="170" t="str">
        <f>IF(ISNUMBER(namespace_raw[[#This Row],[Column8]]), (F543  * $P$2),"")</f>
        <v/>
      </c>
    </row>
    <row r="544" spans="1:16" ht="15" customHeight="1" x14ac:dyDescent="0.25">
      <c r="A544" s="32" t="str">
        <f>IF(ISNONTEXT(namespace_raw[[#This Row],[Column1]]), "", namespace_raw[[#This Row],[Column1]])</f>
        <v/>
      </c>
      <c r="B544" s="33" t="str">
        <f>IF(ISNONTEXT(namespace_raw[[#This Row],[Column2]]), "", namespace_raw[[#This Row],[Column2]])</f>
        <v/>
      </c>
      <c r="C544" s="94" t="str">
        <f>IF(ISNUMBER(namespace_raw[[#This Row],[Column4]]), namespace_raw[[#This Row],[Column4]], "")</f>
        <v/>
      </c>
      <c r="D544" s="95" t="str">
        <f>IF(ISNUMBER(namespace_raw[[#This Row],[Column5]]), namespace_raw[[#This Row],[Column5]]/1048576, "")</f>
        <v/>
      </c>
      <c r="E544" s="95" t="str">
        <f>IF(ISNUMBER(namespace_raw[[#This Row],[Column6]]), namespace_raw[[#This Row],[Column6]],"")</f>
        <v/>
      </c>
      <c r="F544" s="96" t="str">
        <f>IF(ISNUMBER(namespace_raw[[#This Row],[Column7]]), namespace_raw[[#This Row],[Column7]]/1048576,"")</f>
        <v/>
      </c>
      <c r="G544" s="122" t="str">
        <f>IF(ISNUMBER(namespace_raw[[#This Row],[Column8]]), namespace_raw[[#This Row],[Column8]],"")</f>
        <v/>
      </c>
      <c r="H544" s="123" t="str">
        <f>IF(ISNUMBER(namespace_raw[[#This Row],[Column9]]), namespace_raw[[#This Row],[Column9]]/1048576,"")</f>
        <v/>
      </c>
      <c r="I544" s="124" t="str">
        <f>IF(ISNUMBER(namespace_raw[[#This Row],[Column8]]),MAX(G544, M544, O544, $I$2,IF(Q544&lt;&gt;"",VALUE(Q544),0)), "")</f>
        <v/>
      </c>
      <c r="J544" s="125" t="str">
        <f>IF(ISNUMBER(namespace_raw[[#This Row],[Column9]]),MAX(H544, N544, P544, $J$2,IF(R544&lt;&gt;"",VALUE(R544),0)),"")</f>
        <v/>
      </c>
      <c r="K544" s="166" t="str">
        <f>IF(ISNUMBER(namespace_raw[[#This Row],[Column12]]), namespace_raw[[#This Row],[Column12]],"")</f>
        <v/>
      </c>
      <c r="L544" s="167" t="str">
        <f>IF(ISNUMBER(namespace_raw[[#This Row],[Column13]]), namespace_raw[[#This Row],[Column13]]/1048576,"")</f>
        <v/>
      </c>
      <c r="M544" s="168" t="str">
        <f>IF(ISNUMBER(namespace_raw[[#This Row],[Column10]]), (namespace_raw[[#This Row],[Column10]]*(1+$M$2)),"")</f>
        <v/>
      </c>
      <c r="N544" s="167" t="str">
        <f>IF(ISNUMBER(namespace_raw[[#This Row],[Column11]]), (namespace_raw[[#This Row],[Column11]]*(1+$N$2))/1048576,"")</f>
        <v/>
      </c>
      <c r="O544" s="169" t="str">
        <f>IF(ISNUMBER(namespace_raw[[#This Row],[Column8]]), (E544  * $O$2),"")</f>
        <v/>
      </c>
      <c r="P544" s="170" t="str">
        <f>IF(ISNUMBER(namespace_raw[[#This Row],[Column8]]), (F544  * $P$2),"")</f>
        <v/>
      </c>
    </row>
    <row r="545" spans="1:16" ht="15" customHeight="1" x14ac:dyDescent="0.25">
      <c r="A545" s="32" t="str">
        <f>IF(ISNONTEXT(namespace_raw[[#This Row],[Column1]]), "", namespace_raw[[#This Row],[Column1]])</f>
        <v/>
      </c>
      <c r="B545" s="33" t="str">
        <f>IF(ISNONTEXT(namespace_raw[[#This Row],[Column2]]), "", namespace_raw[[#This Row],[Column2]])</f>
        <v/>
      </c>
      <c r="C545" s="94" t="str">
        <f>IF(ISNUMBER(namespace_raw[[#This Row],[Column4]]), namespace_raw[[#This Row],[Column4]], "")</f>
        <v/>
      </c>
      <c r="D545" s="95" t="str">
        <f>IF(ISNUMBER(namespace_raw[[#This Row],[Column5]]), namespace_raw[[#This Row],[Column5]]/1048576, "")</f>
        <v/>
      </c>
      <c r="E545" s="95" t="str">
        <f>IF(ISNUMBER(namespace_raw[[#This Row],[Column6]]), namespace_raw[[#This Row],[Column6]],"")</f>
        <v/>
      </c>
      <c r="F545" s="96" t="str">
        <f>IF(ISNUMBER(namespace_raw[[#This Row],[Column7]]), namespace_raw[[#This Row],[Column7]]/1048576,"")</f>
        <v/>
      </c>
      <c r="G545" s="122" t="str">
        <f>IF(ISNUMBER(namespace_raw[[#This Row],[Column8]]), namespace_raw[[#This Row],[Column8]],"")</f>
        <v/>
      </c>
      <c r="H545" s="123" t="str">
        <f>IF(ISNUMBER(namespace_raw[[#This Row],[Column9]]), namespace_raw[[#This Row],[Column9]]/1048576,"")</f>
        <v/>
      </c>
      <c r="I545" s="124" t="str">
        <f>IF(ISNUMBER(namespace_raw[[#This Row],[Column8]]),MAX(G545, M545, O545, $I$2,IF(Q545&lt;&gt;"",VALUE(Q545),0)), "")</f>
        <v/>
      </c>
      <c r="J545" s="125" t="str">
        <f>IF(ISNUMBER(namespace_raw[[#This Row],[Column9]]),MAX(H545, N545, P545, $J$2,IF(R545&lt;&gt;"",VALUE(R545),0)),"")</f>
        <v/>
      </c>
      <c r="K545" s="166" t="str">
        <f>IF(ISNUMBER(namespace_raw[[#This Row],[Column12]]), namespace_raw[[#This Row],[Column12]],"")</f>
        <v/>
      </c>
      <c r="L545" s="167" t="str">
        <f>IF(ISNUMBER(namespace_raw[[#This Row],[Column13]]), namespace_raw[[#This Row],[Column13]]/1048576,"")</f>
        <v/>
      </c>
      <c r="M545" s="168" t="str">
        <f>IF(ISNUMBER(namespace_raw[[#This Row],[Column10]]), (namespace_raw[[#This Row],[Column10]]*(1+$M$2)),"")</f>
        <v/>
      </c>
      <c r="N545" s="167" t="str">
        <f>IF(ISNUMBER(namespace_raw[[#This Row],[Column11]]), (namespace_raw[[#This Row],[Column11]]*(1+$N$2))/1048576,"")</f>
        <v/>
      </c>
      <c r="O545" s="169" t="str">
        <f>IF(ISNUMBER(namespace_raw[[#This Row],[Column8]]), (E545  * $O$2),"")</f>
        <v/>
      </c>
      <c r="P545" s="170" t="str">
        <f>IF(ISNUMBER(namespace_raw[[#This Row],[Column8]]), (F545  * $P$2),"")</f>
        <v/>
      </c>
    </row>
    <row r="546" spans="1:16" ht="15" customHeight="1" x14ac:dyDescent="0.25">
      <c r="A546" s="32" t="str">
        <f>IF(ISNONTEXT(namespace_raw[[#This Row],[Column1]]), "", namespace_raw[[#This Row],[Column1]])</f>
        <v/>
      </c>
      <c r="B546" s="33" t="str">
        <f>IF(ISNONTEXT(namespace_raw[[#This Row],[Column2]]), "", namespace_raw[[#This Row],[Column2]])</f>
        <v/>
      </c>
      <c r="C546" s="94" t="str">
        <f>IF(ISNUMBER(namespace_raw[[#This Row],[Column4]]), namespace_raw[[#This Row],[Column4]], "")</f>
        <v/>
      </c>
      <c r="D546" s="95" t="str">
        <f>IF(ISNUMBER(namespace_raw[[#This Row],[Column5]]), namespace_raw[[#This Row],[Column5]]/1048576, "")</f>
        <v/>
      </c>
      <c r="E546" s="95" t="str">
        <f>IF(ISNUMBER(namespace_raw[[#This Row],[Column6]]), namespace_raw[[#This Row],[Column6]],"")</f>
        <v/>
      </c>
      <c r="F546" s="96" t="str">
        <f>IF(ISNUMBER(namespace_raw[[#This Row],[Column7]]), namespace_raw[[#This Row],[Column7]]/1048576,"")</f>
        <v/>
      </c>
      <c r="G546" s="122" t="str">
        <f>IF(ISNUMBER(namespace_raw[[#This Row],[Column8]]), namespace_raw[[#This Row],[Column8]],"")</f>
        <v/>
      </c>
      <c r="H546" s="123" t="str">
        <f>IF(ISNUMBER(namespace_raw[[#This Row],[Column9]]), namespace_raw[[#This Row],[Column9]]/1048576,"")</f>
        <v/>
      </c>
      <c r="I546" s="124" t="str">
        <f>IF(ISNUMBER(namespace_raw[[#This Row],[Column8]]),MAX(G546, M546, O546, $I$2,IF(Q546&lt;&gt;"",VALUE(Q546),0)), "")</f>
        <v/>
      </c>
      <c r="J546" s="125" t="str">
        <f>IF(ISNUMBER(namespace_raw[[#This Row],[Column9]]),MAX(H546, N546, P546, $J$2,IF(R546&lt;&gt;"",VALUE(R546),0)),"")</f>
        <v/>
      </c>
      <c r="K546" s="166" t="str">
        <f>IF(ISNUMBER(namespace_raw[[#This Row],[Column12]]), namespace_raw[[#This Row],[Column12]],"")</f>
        <v/>
      </c>
      <c r="L546" s="167" t="str">
        <f>IF(ISNUMBER(namespace_raw[[#This Row],[Column13]]), namespace_raw[[#This Row],[Column13]]/1048576,"")</f>
        <v/>
      </c>
      <c r="M546" s="168" t="str">
        <f>IF(ISNUMBER(namespace_raw[[#This Row],[Column10]]), (namespace_raw[[#This Row],[Column10]]*(1+$M$2)),"")</f>
        <v/>
      </c>
      <c r="N546" s="167" t="str">
        <f>IF(ISNUMBER(namespace_raw[[#This Row],[Column11]]), (namespace_raw[[#This Row],[Column11]]*(1+$N$2))/1048576,"")</f>
        <v/>
      </c>
      <c r="O546" s="169" t="str">
        <f>IF(ISNUMBER(namespace_raw[[#This Row],[Column8]]), (E546  * $O$2),"")</f>
        <v/>
      </c>
      <c r="P546" s="170" t="str">
        <f>IF(ISNUMBER(namespace_raw[[#This Row],[Column8]]), (F546  * $P$2),"")</f>
        <v/>
      </c>
    </row>
    <row r="547" spans="1:16" ht="15" customHeight="1" x14ac:dyDescent="0.25">
      <c r="A547" s="32" t="str">
        <f>IF(ISNONTEXT(namespace_raw[[#This Row],[Column1]]), "", namespace_raw[[#This Row],[Column1]])</f>
        <v/>
      </c>
      <c r="B547" s="33" t="str">
        <f>IF(ISNONTEXT(namespace_raw[[#This Row],[Column2]]), "", namespace_raw[[#This Row],[Column2]])</f>
        <v/>
      </c>
      <c r="C547" s="94" t="str">
        <f>IF(ISNUMBER(namespace_raw[[#This Row],[Column4]]), namespace_raw[[#This Row],[Column4]], "")</f>
        <v/>
      </c>
      <c r="D547" s="95" t="str">
        <f>IF(ISNUMBER(namespace_raw[[#This Row],[Column5]]), namespace_raw[[#This Row],[Column5]]/1048576, "")</f>
        <v/>
      </c>
      <c r="E547" s="95" t="str">
        <f>IF(ISNUMBER(namespace_raw[[#This Row],[Column6]]), namespace_raw[[#This Row],[Column6]],"")</f>
        <v/>
      </c>
      <c r="F547" s="96" t="str">
        <f>IF(ISNUMBER(namespace_raw[[#This Row],[Column7]]), namespace_raw[[#This Row],[Column7]]/1048576,"")</f>
        <v/>
      </c>
      <c r="G547" s="122" t="str">
        <f>IF(ISNUMBER(namespace_raw[[#This Row],[Column8]]), namespace_raw[[#This Row],[Column8]],"")</f>
        <v/>
      </c>
      <c r="H547" s="123" t="str">
        <f>IF(ISNUMBER(namespace_raw[[#This Row],[Column9]]), namespace_raw[[#This Row],[Column9]]/1048576,"")</f>
        <v/>
      </c>
      <c r="I547" s="124" t="str">
        <f>IF(ISNUMBER(namespace_raw[[#This Row],[Column8]]),MAX(G547, M547, O547, $I$2,IF(Q547&lt;&gt;"",VALUE(Q547),0)), "")</f>
        <v/>
      </c>
      <c r="J547" s="125" t="str">
        <f>IF(ISNUMBER(namespace_raw[[#This Row],[Column9]]),MAX(H547, N547, P547, $J$2,IF(R547&lt;&gt;"",VALUE(R547),0)),"")</f>
        <v/>
      </c>
      <c r="K547" s="166" t="str">
        <f>IF(ISNUMBER(namespace_raw[[#This Row],[Column12]]), namespace_raw[[#This Row],[Column12]],"")</f>
        <v/>
      </c>
      <c r="L547" s="167" t="str">
        <f>IF(ISNUMBER(namespace_raw[[#This Row],[Column13]]), namespace_raw[[#This Row],[Column13]]/1048576,"")</f>
        <v/>
      </c>
      <c r="M547" s="168" t="str">
        <f>IF(ISNUMBER(namespace_raw[[#This Row],[Column10]]), (namespace_raw[[#This Row],[Column10]]*(1+$M$2)),"")</f>
        <v/>
      </c>
      <c r="N547" s="167" t="str">
        <f>IF(ISNUMBER(namespace_raw[[#This Row],[Column11]]), (namespace_raw[[#This Row],[Column11]]*(1+$N$2))/1048576,"")</f>
        <v/>
      </c>
      <c r="O547" s="169" t="str">
        <f>IF(ISNUMBER(namespace_raw[[#This Row],[Column8]]), (E547  * $O$2),"")</f>
        <v/>
      </c>
      <c r="P547" s="170" t="str">
        <f>IF(ISNUMBER(namespace_raw[[#This Row],[Column8]]), (F547  * $P$2),"")</f>
        <v/>
      </c>
    </row>
    <row r="548" spans="1:16" ht="15" customHeight="1" x14ac:dyDescent="0.25">
      <c r="A548" s="32" t="str">
        <f>IF(ISNONTEXT(namespace_raw[[#This Row],[Column1]]), "", namespace_raw[[#This Row],[Column1]])</f>
        <v/>
      </c>
      <c r="B548" s="33" t="str">
        <f>IF(ISNONTEXT(namespace_raw[[#This Row],[Column2]]), "", namespace_raw[[#This Row],[Column2]])</f>
        <v/>
      </c>
      <c r="C548" s="94" t="str">
        <f>IF(ISNUMBER(namespace_raw[[#This Row],[Column4]]), namespace_raw[[#This Row],[Column4]], "")</f>
        <v/>
      </c>
      <c r="D548" s="95" t="str">
        <f>IF(ISNUMBER(namespace_raw[[#This Row],[Column5]]), namespace_raw[[#This Row],[Column5]]/1048576, "")</f>
        <v/>
      </c>
      <c r="E548" s="95" t="str">
        <f>IF(ISNUMBER(namespace_raw[[#This Row],[Column6]]), namespace_raw[[#This Row],[Column6]],"")</f>
        <v/>
      </c>
      <c r="F548" s="96" t="str">
        <f>IF(ISNUMBER(namespace_raw[[#This Row],[Column7]]), namespace_raw[[#This Row],[Column7]]/1048576,"")</f>
        <v/>
      </c>
      <c r="G548" s="122" t="str">
        <f>IF(ISNUMBER(namespace_raw[[#This Row],[Column8]]), namespace_raw[[#This Row],[Column8]],"")</f>
        <v/>
      </c>
      <c r="H548" s="123" t="str">
        <f>IF(ISNUMBER(namespace_raw[[#This Row],[Column9]]), namespace_raw[[#This Row],[Column9]]/1048576,"")</f>
        <v/>
      </c>
      <c r="I548" s="124" t="str">
        <f>IF(ISNUMBER(namespace_raw[[#This Row],[Column8]]),MAX(G548, M548, O548, $I$2,IF(Q548&lt;&gt;"",VALUE(Q548),0)), "")</f>
        <v/>
      </c>
      <c r="J548" s="125" t="str">
        <f>IF(ISNUMBER(namespace_raw[[#This Row],[Column9]]),MAX(H548, N548, P548, $J$2,IF(R548&lt;&gt;"",VALUE(R548),0)),"")</f>
        <v/>
      </c>
      <c r="K548" s="166" t="str">
        <f>IF(ISNUMBER(namespace_raw[[#This Row],[Column12]]), namespace_raw[[#This Row],[Column12]],"")</f>
        <v/>
      </c>
      <c r="L548" s="167" t="str">
        <f>IF(ISNUMBER(namespace_raw[[#This Row],[Column13]]), namespace_raw[[#This Row],[Column13]]/1048576,"")</f>
        <v/>
      </c>
      <c r="M548" s="168" t="str">
        <f>IF(ISNUMBER(namespace_raw[[#This Row],[Column10]]), (namespace_raw[[#This Row],[Column10]]*(1+$M$2)),"")</f>
        <v/>
      </c>
      <c r="N548" s="167" t="str">
        <f>IF(ISNUMBER(namespace_raw[[#This Row],[Column11]]), (namespace_raw[[#This Row],[Column11]]*(1+$N$2))/1048576,"")</f>
        <v/>
      </c>
      <c r="O548" s="169" t="str">
        <f>IF(ISNUMBER(namespace_raw[[#This Row],[Column8]]), (E548  * $O$2),"")</f>
        <v/>
      </c>
      <c r="P548" s="170" t="str">
        <f>IF(ISNUMBER(namespace_raw[[#This Row],[Column8]]), (F548  * $P$2),"")</f>
        <v/>
      </c>
    </row>
    <row r="549" spans="1:16" ht="15" customHeight="1" x14ac:dyDescent="0.25">
      <c r="A549" s="32" t="str">
        <f>IF(ISNONTEXT(namespace_raw[[#This Row],[Column1]]), "", namespace_raw[[#This Row],[Column1]])</f>
        <v/>
      </c>
      <c r="B549" s="33" t="str">
        <f>IF(ISNONTEXT(namespace_raw[[#This Row],[Column2]]), "", namespace_raw[[#This Row],[Column2]])</f>
        <v/>
      </c>
      <c r="C549" s="94" t="str">
        <f>IF(ISNUMBER(namespace_raw[[#This Row],[Column4]]), namespace_raw[[#This Row],[Column4]], "")</f>
        <v/>
      </c>
      <c r="D549" s="95" t="str">
        <f>IF(ISNUMBER(namespace_raw[[#This Row],[Column5]]), namespace_raw[[#This Row],[Column5]]/1048576, "")</f>
        <v/>
      </c>
      <c r="E549" s="95" t="str">
        <f>IF(ISNUMBER(namespace_raw[[#This Row],[Column6]]), namespace_raw[[#This Row],[Column6]],"")</f>
        <v/>
      </c>
      <c r="F549" s="96" t="str">
        <f>IF(ISNUMBER(namespace_raw[[#This Row],[Column7]]), namespace_raw[[#This Row],[Column7]]/1048576,"")</f>
        <v/>
      </c>
      <c r="G549" s="122" t="str">
        <f>IF(ISNUMBER(namespace_raw[[#This Row],[Column8]]), namespace_raw[[#This Row],[Column8]],"")</f>
        <v/>
      </c>
      <c r="H549" s="123" t="str">
        <f>IF(ISNUMBER(namespace_raw[[#This Row],[Column9]]), namespace_raw[[#This Row],[Column9]]/1048576,"")</f>
        <v/>
      </c>
      <c r="I549" s="124" t="str">
        <f>IF(ISNUMBER(namespace_raw[[#This Row],[Column8]]),MAX(G549, M549, O549, $I$2,IF(Q549&lt;&gt;"",VALUE(Q549),0)), "")</f>
        <v/>
      </c>
      <c r="J549" s="125" t="str">
        <f>IF(ISNUMBER(namespace_raw[[#This Row],[Column9]]),MAX(H549, N549, P549, $J$2,IF(R549&lt;&gt;"",VALUE(R549),0)),"")</f>
        <v/>
      </c>
      <c r="K549" s="166" t="str">
        <f>IF(ISNUMBER(namespace_raw[[#This Row],[Column12]]), namespace_raw[[#This Row],[Column12]],"")</f>
        <v/>
      </c>
      <c r="L549" s="167" t="str">
        <f>IF(ISNUMBER(namespace_raw[[#This Row],[Column13]]), namespace_raw[[#This Row],[Column13]]/1048576,"")</f>
        <v/>
      </c>
      <c r="M549" s="168" t="str">
        <f>IF(ISNUMBER(namespace_raw[[#This Row],[Column10]]), (namespace_raw[[#This Row],[Column10]]*(1+$M$2)),"")</f>
        <v/>
      </c>
      <c r="N549" s="167" t="str">
        <f>IF(ISNUMBER(namespace_raw[[#This Row],[Column11]]), (namespace_raw[[#This Row],[Column11]]*(1+$N$2))/1048576,"")</f>
        <v/>
      </c>
      <c r="O549" s="169" t="str">
        <f>IF(ISNUMBER(namespace_raw[[#This Row],[Column8]]), (E549  * $O$2),"")</f>
        <v/>
      </c>
      <c r="P549" s="170" t="str">
        <f>IF(ISNUMBER(namespace_raw[[#This Row],[Column8]]), (F549  * $P$2),"")</f>
        <v/>
      </c>
    </row>
    <row r="550" spans="1:16" ht="15" customHeight="1" x14ac:dyDescent="0.25">
      <c r="A550" s="32" t="str">
        <f>IF(ISNONTEXT(namespace_raw[[#This Row],[Column1]]), "", namespace_raw[[#This Row],[Column1]])</f>
        <v/>
      </c>
      <c r="B550" s="33" t="str">
        <f>IF(ISNONTEXT(namespace_raw[[#This Row],[Column2]]), "", namespace_raw[[#This Row],[Column2]])</f>
        <v/>
      </c>
      <c r="C550" s="94" t="str">
        <f>IF(ISNUMBER(namespace_raw[[#This Row],[Column4]]), namespace_raw[[#This Row],[Column4]], "")</f>
        <v/>
      </c>
      <c r="D550" s="95" t="str">
        <f>IF(ISNUMBER(namespace_raw[[#This Row],[Column5]]), namespace_raw[[#This Row],[Column5]]/1048576, "")</f>
        <v/>
      </c>
      <c r="E550" s="95" t="str">
        <f>IF(ISNUMBER(namespace_raw[[#This Row],[Column6]]), namespace_raw[[#This Row],[Column6]],"")</f>
        <v/>
      </c>
      <c r="F550" s="96" t="str">
        <f>IF(ISNUMBER(namespace_raw[[#This Row],[Column7]]), namespace_raw[[#This Row],[Column7]]/1048576,"")</f>
        <v/>
      </c>
      <c r="G550" s="122" t="str">
        <f>IF(ISNUMBER(namespace_raw[[#This Row],[Column8]]), namespace_raw[[#This Row],[Column8]],"")</f>
        <v/>
      </c>
      <c r="H550" s="123" t="str">
        <f>IF(ISNUMBER(namespace_raw[[#This Row],[Column9]]), namespace_raw[[#This Row],[Column9]]/1048576,"")</f>
        <v/>
      </c>
      <c r="I550" s="124" t="str">
        <f>IF(ISNUMBER(namespace_raw[[#This Row],[Column8]]),MAX(G550, M550, O550, $I$2,IF(Q550&lt;&gt;"",VALUE(Q550),0)), "")</f>
        <v/>
      </c>
      <c r="J550" s="125" t="str">
        <f>IF(ISNUMBER(namespace_raw[[#This Row],[Column9]]),MAX(H550, N550, P550, $J$2,IF(R550&lt;&gt;"",VALUE(R550),0)),"")</f>
        <v/>
      </c>
      <c r="K550" s="166" t="str">
        <f>IF(ISNUMBER(namespace_raw[[#This Row],[Column12]]), namespace_raw[[#This Row],[Column12]],"")</f>
        <v/>
      </c>
      <c r="L550" s="167" t="str">
        <f>IF(ISNUMBER(namespace_raw[[#This Row],[Column13]]), namespace_raw[[#This Row],[Column13]]/1048576,"")</f>
        <v/>
      </c>
      <c r="M550" s="168" t="str">
        <f>IF(ISNUMBER(namespace_raw[[#This Row],[Column10]]), (namespace_raw[[#This Row],[Column10]]*(1+$M$2)),"")</f>
        <v/>
      </c>
      <c r="N550" s="167" t="str">
        <f>IF(ISNUMBER(namespace_raw[[#This Row],[Column11]]), (namespace_raw[[#This Row],[Column11]]*(1+$N$2))/1048576,"")</f>
        <v/>
      </c>
      <c r="O550" s="169" t="str">
        <f>IF(ISNUMBER(namespace_raw[[#This Row],[Column8]]), (E550  * $O$2),"")</f>
        <v/>
      </c>
      <c r="P550" s="170" t="str">
        <f>IF(ISNUMBER(namespace_raw[[#This Row],[Column8]]), (F550  * $P$2),"")</f>
        <v/>
      </c>
    </row>
    <row r="551" spans="1:16" ht="15" customHeight="1" x14ac:dyDescent="0.25">
      <c r="A551" s="32" t="str">
        <f>IF(ISNONTEXT(namespace_raw[[#This Row],[Column1]]), "", namespace_raw[[#This Row],[Column1]])</f>
        <v/>
      </c>
      <c r="B551" s="33" t="str">
        <f>IF(ISNONTEXT(namespace_raw[[#This Row],[Column2]]), "", namespace_raw[[#This Row],[Column2]])</f>
        <v/>
      </c>
      <c r="C551" s="94" t="str">
        <f>IF(ISNUMBER(namespace_raw[[#This Row],[Column4]]), namespace_raw[[#This Row],[Column4]], "")</f>
        <v/>
      </c>
      <c r="D551" s="95" t="str">
        <f>IF(ISNUMBER(namespace_raw[[#This Row],[Column5]]), namespace_raw[[#This Row],[Column5]]/1048576, "")</f>
        <v/>
      </c>
      <c r="E551" s="95" t="str">
        <f>IF(ISNUMBER(namespace_raw[[#This Row],[Column6]]), namespace_raw[[#This Row],[Column6]],"")</f>
        <v/>
      </c>
      <c r="F551" s="96" t="str">
        <f>IF(ISNUMBER(namespace_raw[[#This Row],[Column7]]), namespace_raw[[#This Row],[Column7]]/1048576,"")</f>
        <v/>
      </c>
      <c r="G551" s="122" t="str">
        <f>IF(ISNUMBER(namespace_raw[[#This Row],[Column8]]), namespace_raw[[#This Row],[Column8]],"")</f>
        <v/>
      </c>
      <c r="H551" s="123" t="str">
        <f>IF(ISNUMBER(namespace_raw[[#This Row],[Column9]]), namespace_raw[[#This Row],[Column9]]/1048576,"")</f>
        <v/>
      </c>
      <c r="I551" s="124" t="str">
        <f>IF(ISNUMBER(namespace_raw[[#This Row],[Column8]]),MAX(G551, M551, O551, $I$2,IF(Q551&lt;&gt;"",VALUE(Q551),0)), "")</f>
        <v/>
      </c>
      <c r="J551" s="125" t="str">
        <f>IF(ISNUMBER(namespace_raw[[#This Row],[Column9]]),MAX(H551, N551, P551, $J$2,IF(R551&lt;&gt;"",VALUE(R551),0)),"")</f>
        <v/>
      </c>
      <c r="K551" s="166" t="str">
        <f>IF(ISNUMBER(namespace_raw[[#This Row],[Column12]]), namespace_raw[[#This Row],[Column12]],"")</f>
        <v/>
      </c>
      <c r="L551" s="167" t="str">
        <f>IF(ISNUMBER(namespace_raw[[#This Row],[Column13]]), namespace_raw[[#This Row],[Column13]]/1048576,"")</f>
        <v/>
      </c>
      <c r="M551" s="168" t="str">
        <f>IF(ISNUMBER(namespace_raw[[#This Row],[Column10]]), (namespace_raw[[#This Row],[Column10]]*(1+$M$2)),"")</f>
        <v/>
      </c>
      <c r="N551" s="167" t="str">
        <f>IF(ISNUMBER(namespace_raw[[#This Row],[Column11]]), (namespace_raw[[#This Row],[Column11]]*(1+$N$2))/1048576,"")</f>
        <v/>
      </c>
      <c r="O551" s="169" t="str">
        <f>IF(ISNUMBER(namespace_raw[[#This Row],[Column8]]), (E551  * $O$2),"")</f>
        <v/>
      </c>
      <c r="P551" s="170" t="str">
        <f>IF(ISNUMBER(namespace_raw[[#This Row],[Column8]]), (F551  * $P$2),"")</f>
        <v/>
      </c>
    </row>
    <row r="552" spans="1:16" ht="15" customHeight="1" x14ac:dyDescent="0.25">
      <c r="A552" s="32" t="str">
        <f>IF(ISNONTEXT(namespace_raw[[#This Row],[Column1]]), "", namespace_raw[[#This Row],[Column1]])</f>
        <v/>
      </c>
      <c r="B552" s="33" t="str">
        <f>IF(ISNONTEXT(namespace_raw[[#This Row],[Column2]]), "", namespace_raw[[#This Row],[Column2]])</f>
        <v/>
      </c>
      <c r="C552" s="94" t="str">
        <f>IF(ISNUMBER(namespace_raw[[#This Row],[Column4]]), namespace_raw[[#This Row],[Column4]], "")</f>
        <v/>
      </c>
      <c r="D552" s="95" t="str">
        <f>IF(ISNUMBER(namespace_raw[[#This Row],[Column5]]), namespace_raw[[#This Row],[Column5]]/1048576, "")</f>
        <v/>
      </c>
      <c r="E552" s="95" t="str">
        <f>IF(ISNUMBER(namespace_raw[[#This Row],[Column6]]), namespace_raw[[#This Row],[Column6]],"")</f>
        <v/>
      </c>
      <c r="F552" s="96" t="str">
        <f>IF(ISNUMBER(namespace_raw[[#This Row],[Column7]]), namespace_raw[[#This Row],[Column7]]/1048576,"")</f>
        <v/>
      </c>
      <c r="G552" s="122" t="str">
        <f>IF(ISNUMBER(namespace_raw[[#This Row],[Column8]]), namespace_raw[[#This Row],[Column8]],"")</f>
        <v/>
      </c>
      <c r="H552" s="123" t="str">
        <f>IF(ISNUMBER(namespace_raw[[#This Row],[Column9]]), namespace_raw[[#This Row],[Column9]]/1048576,"")</f>
        <v/>
      </c>
      <c r="I552" s="124" t="str">
        <f>IF(ISNUMBER(namespace_raw[[#This Row],[Column8]]),MAX(G552, M552, O552, $I$2,IF(Q552&lt;&gt;"",VALUE(Q552),0)), "")</f>
        <v/>
      </c>
      <c r="J552" s="125" t="str">
        <f>IF(ISNUMBER(namespace_raw[[#This Row],[Column9]]),MAX(H552, N552, P552, $J$2,IF(R552&lt;&gt;"",VALUE(R552),0)),"")</f>
        <v/>
      </c>
      <c r="K552" s="166" t="str">
        <f>IF(ISNUMBER(namespace_raw[[#This Row],[Column12]]), namespace_raw[[#This Row],[Column12]],"")</f>
        <v/>
      </c>
      <c r="L552" s="167" t="str">
        <f>IF(ISNUMBER(namespace_raw[[#This Row],[Column13]]), namespace_raw[[#This Row],[Column13]]/1048576,"")</f>
        <v/>
      </c>
      <c r="M552" s="168" t="str">
        <f>IF(ISNUMBER(namespace_raw[[#This Row],[Column10]]), (namespace_raw[[#This Row],[Column10]]*(1+$M$2)),"")</f>
        <v/>
      </c>
      <c r="N552" s="167" t="str">
        <f>IF(ISNUMBER(namespace_raw[[#This Row],[Column11]]), (namespace_raw[[#This Row],[Column11]]*(1+$N$2))/1048576,"")</f>
        <v/>
      </c>
      <c r="O552" s="169" t="str">
        <f>IF(ISNUMBER(namespace_raw[[#This Row],[Column8]]), (E552  * $O$2),"")</f>
        <v/>
      </c>
      <c r="P552" s="170" t="str">
        <f>IF(ISNUMBER(namespace_raw[[#This Row],[Column8]]), (F552  * $P$2),"")</f>
        <v/>
      </c>
    </row>
    <row r="553" spans="1:16" ht="15" customHeight="1" x14ac:dyDescent="0.25">
      <c r="A553" s="32" t="str">
        <f>IF(ISNONTEXT(namespace_raw[[#This Row],[Column1]]), "", namespace_raw[[#This Row],[Column1]])</f>
        <v/>
      </c>
      <c r="B553" s="33" t="str">
        <f>IF(ISNONTEXT(namespace_raw[[#This Row],[Column2]]), "", namespace_raw[[#This Row],[Column2]])</f>
        <v/>
      </c>
      <c r="C553" s="94" t="str">
        <f>IF(ISNUMBER(namespace_raw[[#This Row],[Column4]]), namespace_raw[[#This Row],[Column4]], "")</f>
        <v/>
      </c>
      <c r="D553" s="95" t="str">
        <f>IF(ISNUMBER(namespace_raw[[#This Row],[Column5]]), namespace_raw[[#This Row],[Column5]]/1048576, "")</f>
        <v/>
      </c>
      <c r="E553" s="95" t="str">
        <f>IF(ISNUMBER(namespace_raw[[#This Row],[Column6]]), namespace_raw[[#This Row],[Column6]],"")</f>
        <v/>
      </c>
      <c r="F553" s="96" t="str">
        <f>IF(ISNUMBER(namespace_raw[[#This Row],[Column7]]), namespace_raw[[#This Row],[Column7]]/1048576,"")</f>
        <v/>
      </c>
      <c r="G553" s="122" t="str">
        <f>IF(ISNUMBER(namespace_raw[[#This Row],[Column8]]), namespace_raw[[#This Row],[Column8]],"")</f>
        <v/>
      </c>
      <c r="H553" s="123" t="str">
        <f>IF(ISNUMBER(namespace_raw[[#This Row],[Column9]]), namespace_raw[[#This Row],[Column9]]/1048576,"")</f>
        <v/>
      </c>
      <c r="I553" s="124" t="str">
        <f>IF(ISNUMBER(namespace_raw[[#This Row],[Column8]]),MAX(G553, M553, O553, $I$2,IF(Q553&lt;&gt;"",VALUE(Q553),0)), "")</f>
        <v/>
      </c>
      <c r="J553" s="125" t="str">
        <f>IF(ISNUMBER(namespace_raw[[#This Row],[Column9]]),MAX(H553, N553, P553, $J$2,IF(R553&lt;&gt;"",VALUE(R553),0)),"")</f>
        <v/>
      </c>
      <c r="K553" s="166" t="str">
        <f>IF(ISNUMBER(namespace_raw[[#This Row],[Column12]]), namespace_raw[[#This Row],[Column12]],"")</f>
        <v/>
      </c>
      <c r="L553" s="167" t="str">
        <f>IF(ISNUMBER(namespace_raw[[#This Row],[Column13]]), namespace_raw[[#This Row],[Column13]]/1048576,"")</f>
        <v/>
      </c>
      <c r="M553" s="168" t="str">
        <f>IF(ISNUMBER(namespace_raw[[#This Row],[Column10]]), (namespace_raw[[#This Row],[Column10]]*(1+$M$2)),"")</f>
        <v/>
      </c>
      <c r="N553" s="167" t="str">
        <f>IF(ISNUMBER(namespace_raw[[#This Row],[Column11]]), (namespace_raw[[#This Row],[Column11]]*(1+$N$2))/1048576,"")</f>
        <v/>
      </c>
      <c r="O553" s="169" t="str">
        <f>IF(ISNUMBER(namespace_raw[[#This Row],[Column8]]), (E553  * $O$2),"")</f>
        <v/>
      </c>
      <c r="P553" s="170" t="str">
        <f>IF(ISNUMBER(namespace_raw[[#This Row],[Column8]]), (F553  * $P$2),"")</f>
        <v/>
      </c>
    </row>
    <row r="554" spans="1:16" ht="15" customHeight="1" x14ac:dyDescent="0.25">
      <c r="A554" s="32" t="str">
        <f>IF(ISNONTEXT(namespace_raw[[#This Row],[Column1]]), "", namespace_raw[[#This Row],[Column1]])</f>
        <v/>
      </c>
      <c r="B554" s="33" t="str">
        <f>IF(ISNONTEXT(namespace_raw[[#This Row],[Column2]]), "", namespace_raw[[#This Row],[Column2]])</f>
        <v/>
      </c>
      <c r="C554" s="94" t="str">
        <f>IF(ISNUMBER(namespace_raw[[#This Row],[Column4]]), namespace_raw[[#This Row],[Column4]], "")</f>
        <v/>
      </c>
      <c r="D554" s="95" t="str">
        <f>IF(ISNUMBER(namespace_raw[[#This Row],[Column5]]), namespace_raw[[#This Row],[Column5]]/1048576, "")</f>
        <v/>
      </c>
      <c r="E554" s="95" t="str">
        <f>IF(ISNUMBER(namespace_raw[[#This Row],[Column6]]), namespace_raw[[#This Row],[Column6]],"")</f>
        <v/>
      </c>
      <c r="F554" s="96" t="str">
        <f>IF(ISNUMBER(namespace_raw[[#This Row],[Column7]]), namespace_raw[[#This Row],[Column7]]/1048576,"")</f>
        <v/>
      </c>
      <c r="G554" s="122" t="str">
        <f>IF(ISNUMBER(namespace_raw[[#This Row],[Column8]]), namespace_raw[[#This Row],[Column8]],"")</f>
        <v/>
      </c>
      <c r="H554" s="123" t="str">
        <f>IF(ISNUMBER(namespace_raw[[#This Row],[Column9]]), namespace_raw[[#This Row],[Column9]]/1048576,"")</f>
        <v/>
      </c>
      <c r="I554" s="124" t="str">
        <f>IF(ISNUMBER(namespace_raw[[#This Row],[Column8]]),MAX(G554, M554, O554, $I$2,IF(Q554&lt;&gt;"",VALUE(Q554),0)), "")</f>
        <v/>
      </c>
      <c r="J554" s="125" t="str">
        <f>IF(ISNUMBER(namespace_raw[[#This Row],[Column9]]),MAX(H554, N554, P554, $J$2,IF(R554&lt;&gt;"",VALUE(R554),0)),"")</f>
        <v/>
      </c>
      <c r="K554" s="166" t="str">
        <f>IF(ISNUMBER(namespace_raw[[#This Row],[Column12]]), namespace_raw[[#This Row],[Column12]],"")</f>
        <v/>
      </c>
      <c r="L554" s="167" t="str">
        <f>IF(ISNUMBER(namespace_raw[[#This Row],[Column13]]), namespace_raw[[#This Row],[Column13]]/1048576,"")</f>
        <v/>
      </c>
      <c r="M554" s="168" t="str">
        <f>IF(ISNUMBER(namespace_raw[[#This Row],[Column10]]), (namespace_raw[[#This Row],[Column10]]*(1+$M$2)),"")</f>
        <v/>
      </c>
      <c r="N554" s="167" t="str">
        <f>IF(ISNUMBER(namespace_raw[[#This Row],[Column11]]), (namespace_raw[[#This Row],[Column11]]*(1+$N$2))/1048576,"")</f>
        <v/>
      </c>
      <c r="O554" s="169" t="str">
        <f>IF(ISNUMBER(namespace_raw[[#This Row],[Column8]]), (E554  * $O$2),"")</f>
        <v/>
      </c>
      <c r="P554" s="170" t="str">
        <f>IF(ISNUMBER(namespace_raw[[#This Row],[Column8]]), (F554  * $P$2),"")</f>
        <v/>
      </c>
    </row>
    <row r="555" spans="1:16" ht="15" customHeight="1" x14ac:dyDescent="0.25">
      <c r="A555" s="32" t="str">
        <f>IF(ISNONTEXT(namespace_raw[[#This Row],[Column1]]), "", namespace_raw[[#This Row],[Column1]])</f>
        <v/>
      </c>
      <c r="B555" s="33" t="str">
        <f>IF(ISNONTEXT(namespace_raw[[#This Row],[Column2]]), "", namespace_raw[[#This Row],[Column2]])</f>
        <v/>
      </c>
      <c r="C555" s="94" t="str">
        <f>IF(ISNUMBER(namespace_raw[[#This Row],[Column4]]), namespace_raw[[#This Row],[Column4]], "")</f>
        <v/>
      </c>
      <c r="D555" s="95" t="str">
        <f>IF(ISNUMBER(namespace_raw[[#This Row],[Column5]]), namespace_raw[[#This Row],[Column5]]/1048576, "")</f>
        <v/>
      </c>
      <c r="E555" s="95" t="str">
        <f>IF(ISNUMBER(namespace_raw[[#This Row],[Column6]]), namespace_raw[[#This Row],[Column6]],"")</f>
        <v/>
      </c>
      <c r="F555" s="96" t="str">
        <f>IF(ISNUMBER(namespace_raw[[#This Row],[Column7]]), namespace_raw[[#This Row],[Column7]]/1048576,"")</f>
        <v/>
      </c>
      <c r="G555" s="122" t="str">
        <f>IF(ISNUMBER(namespace_raw[[#This Row],[Column8]]), namespace_raw[[#This Row],[Column8]],"")</f>
        <v/>
      </c>
      <c r="H555" s="123" t="str">
        <f>IF(ISNUMBER(namespace_raw[[#This Row],[Column9]]), namespace_raw[[#This Row],[Column9]]/1048576,"")</f>
        <v/>
      </c>
      <c r="I555" s="124" t="str">
        <f>IF(ISNUMBER(namespace_raw[[#This Row],[Column8]]),MAX(G555, M555, O555, $I$2,IF(Q555&lt;&gt;"",VALUE(Q555),0)), "")</f>
        <v/>
      </c>
      <c r="J555" s="125" t="str">
        <f>IF(ISNUMBER(namespace_raw[[#This Row],[Column9]]),MAX(H555, N555, P555, $J$2,IF(R555&lt;&gt;"",VALUE(R555),0)),"")</f>
        <v/>
      </c>
      <c r="K555" s="166" t="str">
        <f>IF(ISNUMBER(namespace_raw[[#This Row],[Column12]]), namespace_raw[[#This Row],[Column12]],"")</f>
        <v/>
      </c>
      <c r="L555" s="167" t="str">
        <f>IF(ISNUMBER(namespace_raw[[#This Row],[Column13]]), namespace_raw[[#This Row],[Column13]]/1048576,"")</f>
        <v/>
      </c>
      <c r="M555" s="168" t="str">
        <f>IF(ISNUMBER(namespace_raw[[#This Row],[Column10]]), (namespace_raw[[#This Row],[Column10]]*(1+$M$2)),"")</f>
        <v/>
      </c>
      <c r="N555" s="167" t="str">
        <f>IF(ISNUMBER(namespace_raw[[#This Row],[Column11]]), (namespace_raw[[#This Row],[Column11]]*(1+$N$2))/1048576,"")</f>
        <v/>
      </c>
      <c r="O555" s="169" t="str">
        <f>IF(ISNUMBER(namespace_raw[[#This Row],[Column8]]), (E555  * $O$2),"")</f>
        <v/>
      </c>
      <c r="P555" s="170" t="str">
        <f>IF(ISNUMBER(namespace_raw[[#This Row],[Column8]]), (F555  * $P$2),"")</f>
        <v/>
      </c>
    </row>
    <row r="556" spans="1:16" ht="15" customHeight="1" x14ac:dyDescent="0.25">
      <c r="A556" s="32" t="str">
        <f>IF(ISNONTEXT(namespace_raw[[#This Row],[Column1]]), "", namespace_raw[[#This Row],[Column1]])</f>
        <v/>
      </c>
      <c r="B556" s="33" t="str">
        <f>IF(ISNONTEXT(namespace_raw[[#This Row],[Column2]]), "", namespace_raw[[#This Row],[Column2]])</f>
        <v/>
      </c>
      <c r="C556" s="94" t="str">
        <f>IF(ISNUMBER(namespace_raw[[#This Row],[Column4]]), namespace_raw[[#This Row],[Column4]], "")</f>
        <v/>
      </c>
      <c r="D556" s="95" t="str">
        <f>IF(ISNUMBER(namespace_raw[[#This Row],[Column5]]), namespace_raw[[#This Row],[Column5]]/1048576, "")</f>
        <v/>
      </c>
      <c r="E556" s="95" t="str">
        <f>IF(ISNUMBER(namespace_raw[[#This Row],[Column6]]), namespace_raw[[#This Row],[Column6]],"")</f>
        <v/>
      </c>
      <c r="F556" s="96" t="str">
        <f>IF(ISNUMBER(namespace_raw[[#This Row],[Column7]]), namespace_raw[[#This Row],[Column7]]/1048576,"")</f>
        <v/>
      </c>
      <c r="G556" s="122" t="str">
        <f>IF(ISNUMBER(namespace_raw[[#This Row],[Column8]]), namespace_raw[[#This Row],[Column8]],"")</f>
        <v/>
      </c>
      <c r="H556" s="123" t="str">
        <f>IF(ISNUMBER(namespace_raw[[#This Row],[Column9]]), namespace_raw[[#This Row],[Column9]]/1048576,"")</f>
        <v/>
      </c>
      <c r="I556" s="124" t="str">
        <f>IF(ISNUMBER(namespace_raw[[#This Row],[Column8]]),MAX(G556, M556, O556, $I$2,IF(Q556&lt;&gt;"",VALUE(Q556),0)), "")</f>
        <v/>
      </c>
      <c r="J556" s="125" t="str">
        <f>IF(ISNUMBER(namespace_raw[[#This Row],[Column9]]),MAX(H556, N556, P556, $J$2,IF(R556&lt;&gt;"",VALUE(R556),0)),"")</f>
        <v/>
      </c>
      <c r="K556" s="166" t="str">
        <f>IF(ISNUMBER(namespace_raw[[#This Row],[Column12]]), namespace_raw[[#This Row],[Column12]],"")</f>
        <v/>
      </c>
      <c r="L556" s="167" t="str">
        <f>IF(ISNUMBER(namespace_raw[[#This Row],[Column13]]), namespace_raw[[#This Row],[Column13]]/1048576,"")</f>
        <v/>
      </c>
      <c r="M556" s="168" t="str">
        <f>IF(ISNUMBER(namespace_raw[[#This Row],[Column10]]), (namespace_raw[[#This Row],[Column10]]*(1+$M$2)),"")</f>
        <v/>
      </c>
      <c r="N556" s="167" t="str">
        <f>IF(ISNUMBER(namespace_raw[[#This Row],[Column11]]), (namespace_raw[[#This Row],[Column11]]*(1+$N$2))/1048576,"")</f>
        <v/>
      </c>
      <c r="O556" s="169" t="str">
        <f>IF(ISNUMBER(namespace_raw[[#This Row],[Column8]]), (E556  * $O$2),"")</f>
        <v/>
      </c>
      <c r="P556" s="170" t="str">
        <f>IF(ISNUMBER(namespace_raw[[#This Row],[Column8]]), (F556  * $P$2),"")</f>
        <v/>
      </c>
    </row>
    <row r="557" spans="1:16" ht="15" customHeight="1" x14ac:dyDescent="0.25">
      <c r="A557" s="32" t="str">
        <f>IF(ISNONTEXT(namespace_raw[[#This Row],[Column1]]), "", namespace_raw[[#This Row],[Column1]])</f>
        <v/>
      </c>
      <c r="B557" s="33" t="str">
        <f>IF(ISNONTEXT(namespace_raw[[#This Row],[Column2]]), "", namespace_raw[[#This Row],[Column2]])</f>
        <v/>
      </c>
      <c r="C557" s="94" t="str">
        <f>IF(ISNUMBER(namespace_raw[[#This Row],[Column4]]), namespace_raw[[#This Row],[Column4]], "")</f>
        <v/>
      </c>
      <c r="D557" s="95" t="str">
        <f>IF(ISNUMBER(namespace_raw[[#This Row],[Column5]]), namespace_raw[[#This Row],[Column5]]/1048576, "")</f>
        <v/>
      </c>
      <c r="E557" s="95" t="str">
        <f>IF(ISNUMBER(namespace_raw[[#This Row],[Column6]]), namespace_raw[[#This Row],[Column6]],"")</f>
        <v/>
      </c>
      <c r="F557" s="96" t="str">
        <f>IF(ISNUMBER(namespace_raw[[#This Row],[Column7]]), namespace_raw[[#This Row],[Column7]]/1048576,"")</f>
        <v/>
      </c>
      <c r="G557" s="122" t="str">
        <f>IF(ISNUMBER(namespace_raw[[#This Row],[Column8]]), namespace_raw[[#This Row],[Column8]],"")</f>
        <v/>
      </c>
      <c r="H557" s="123" t="str">
        <f>IF(ISNUMBER(namespace_raw[[#This Row],[Column9]]), namespace_raw[[#This Row],[Column9]]/1048576,"")</f>
        <v/>
      </c>
      <c r="I557" s="124" t="str">
        <f>IF(ISNUMBER(namespace_raw[[#This Row],[Column8]]),MAX(G557, M557, O557, $I$2,IF(Q557&lt;&gt;"",VALUE(Q557),0)), "")</f>
        <v/>
      </c>
      <c r="J557" s="125" t="str">
        <f>IF(ISNUMBER(namespace_raw[[#This Row],[Column9]]),MAX(H557, N557, P557, $J$2,IF(R557&lt;&gt;"",VALUE(R557),0)),"")</f>
        <v/>
      </c>
      <c r="K557" s="166" t="str">
        <f>IF(ISNUMBER(namespace_raw[[#This Row],[Column12]]), namespace_raw[[#This Row],[Column12]],"")</f>
        <v/>
      </c>
      <c r="L557" s="167" t="str">
        <f>IF(ISNUMBER(namespace_raw[[#This Row],[Column13]]), namespace_raw[[#This Row],[Column13]]/1048576,"")</f>
        <v/>
      </c>
      <c r="M557" s="168" t="str">
        <f>IF(ISNUMBER(namespace_raw[[#This Row],[Column10]]), (namespace_raw[[#This Row],[Column10]]*(1+$M$2)),"")</f>
        <v/>
      </c>
      <c r="N557" s="167" t="str">
        <f>IF(ISNUMBER(namespace_raw[[#This Row],[Column11]]), (namespace_raw[[#This Row],[Column11]]*(1+$N$2))/1048576,"")</f>
        <v/>
      </c>
      <c r="O557" s="169" t="str">
        <f>IF(ISNUMBER(namespace_raw[[#This Row],[Column8]]), (E557  * $O$2),"")</f>
        <v/>
      </c>
      <c r="P557" s="170" t="str">
        <f>IF(ISNUMBER(namespace_raw[[#This Row],[Column8]]), (F557  * $P$2),"")</f>
        <v/>
      </c>
    </row>
    <row r="558" spans="1:16" ht="15" customHeight="1" x14ac:dyDescent="0.25">
      <c r="A558" s="32" t="str">
        <f>IF(ISNONTEXT(namespace_raw[[#This Row],[Column1]]), "", namespace_raw[[#This Row],[Column1]])</f>
        <v/>
      </c>
      <c r="B558" s="33" t="str">
        <f>IF(ISNONTEXT(namespace_raw[[#This Row],[Column2]]), "", namespace_raw[[#This Row],[Column2]])</f>
        <v/>
      </c>
      <c r="C558" s="94" t="str">
        <f>IF(ISNUMBER(namespace_raw[[#This Row],[Column4]]), namespace_raw[[#This Row],[Column4]], "")</f>
        <v/>
      </c>
      <c r="D558" s="95" t="str">
        <f>IF(ISNUMBER(namespace_raw[[#This Row],[Column5]]), namespace_raw[[#This Row],[Column5]]/1048576, "")</f>
        <v/>
      </c>
      <c r="E558" s="95" t="str">
        <f>IF(ISNUMBER(namespace_raw[[#This Row],[Column6]]), namespace_raw[[#This Row],[Column6]],"")</f>
        <v/>
      </c>
      <c r="F558" s="96" t="str">
        <f>IF(ISNUMBER(namespace_raw[[#This Row],[Column7]]), namespace_raw[[#This Row],[Column7]]/1048576,"")</f>
        <v/>
      </c>
      <c r="G558" s="122" t="str">
        <f>IF(ISNUMBER(namespace_raw[[#This Row],[Column8]]), namespace_raw[[#This Row],[Column8]],"")</f>
        <v/>
      </c>
      <c r="H558" s="123" t="str">
        <f>IF(ISNUMBER(namespace_raw[[#This Row],[Column9]]), namespace_raw[[#This Row],[Column9]]/1048576,"")</f>
        <v/>
      </c>
      <c r="I558" s="124" t="str">
        <f>IF(ISNUMBER(namespace_raw[[#This Row],[Column8]]),MAX(G558, M558, O558, $I$2,IF(Q558&lt;&gt;"",VALUE(Q558),0)), "")</f>
        <v/>
      </c>
      <c r="J558" s="125" t="str">
        <f>IF(ISNUMBER(namespace_raw[[#This Row],[Column9]]),MAX(H558, N558, P558, $J$2,IF(R558&lt;&gt;"",VALUE(R558),0)),"")</f>
        <v/>
      </c>
      <c r="K558" s="166" t="str">
        <f>IF(ISNUMBER(namespace_raw[[#This Row],[Column12]]), namespace_raw[[#This Row],[Column12]],"")</f>
        <v/>
      </c>
      <c r="L558" s="167" t="str">
        <f>IF(ISNUMBER(namespace_raw[[#This Row],[Column13]]), namespace_raw[[#This Row],[Column13]]/1048576,"")</f>
        <v/>
      </c>
      <c r="M558" s="168" t="str">
        <f>IF(ISNUMBER(namespace_raw[[#This Row],[Column10]]), (namespace_raw[[#This Row],[Column10]]*(1+$M$2)),"")</f>
        <v/>
      </c>
      <c r="N558" s="167" t="str">
        <f>IF(ISNUMBER(namespace_raw[[#This Row],[Column11]]), (namespace_raw[[#This Row],[Column11]]*(1+$N$2))/1048576,"")</f>
        <v/>
      </c>
      <c r="O558" s="169" t="str">
        <f>IF(ISNUMBER(namespace_raw[[#This Row],[Column8]]), (E558  * $O$2),"")</f>
        <v/>
      </c>
      <c r="P558" s="170" t="str">
        <f>IF(ISNUMBER(namespace_raw[[#This Row],[Column8]]), (F558  * $P$2),"")</f>
        <v/>
      </c>
    </row>
    <row r="559" spans="1:16" ht="15" customHeight="1" x14ac:dyDescent="0.25">
      <c r="A559" s="32" t="str">
        <f>IF(ISNONTEXT(namespace_raw[[#This Row],[Column1]]), "", namespace_raw[[#This Row],[Column1]])</f>
        <v/>
      </c>
      <c r="B559" s="33" t="str">
        <f>IF(ISNONTEXT(namespace_raw[[#This Row],[Column2]]), "", namespace_raw[[#This Row],[Column2]])</f>
        <v/>
      </c>
      <c r="C559" s="94" t="str">
        <f>IF(ISNUMBER(namespace_raw[[#This Row],[Column4]]), namespace_raw[[#This Row],[Column4]], "")</f>
        <v/>
      </c>
      <c r="D559" s="95" t="str">
        <f>IF(ISNUMBER(namespace_raw[[#This Row],[Column5]]), namespace_raw[[#This Row],[Column5]]/1048576, "")</f>
        <v/>
      </c>
      <c r="E559" s="95" t="str">
        <f>IF(ISNUMBER(namespace_raw[[#This Row],[Column6]]), namespace_raw[[#This Row],[Column6]],"")</f>
        <v/>
      </c>
      <c r="F559" s="96" t="str">
        <f>IF(ISNUMBER(namespace_raw[[#This Row],[Column7]]), namespace_raw[[#This Row],[Column7]]/1048576,"")</f>
        <v/>
      </c>
      <c r="G559" s="122" t="str">
        <f>IF(ISNUMBER(namespace_raw[[#This Row],[Column8]]), namespace_raw[[#This Row],[Column8]],"")</f>
        <v/>
      </c>
      <c r="H559" s="123" t="str">
        <f>IF(ISNUMBER(namespace_raw[[#This Row],[Column9]]), namespace_raw[[#This Row],[Column9]]/1048576,"")</f>
        <v/>
      </c>
      <c r="I559" s="124" t="str">
        <f>IF(ISNUMBER(namespace_raw[[#This Row],[Column8]]),MAX(G559, M559, O559, $I$2,IF(Q559&lt;&gt;"",VALUE(Q559),0)), "")</f>
        <v/>
      </c>
      <c r="J559" s="125" t="str">
        <f>IF(ISNUMBER(namespace_raw[[#This Row],[Column9]]),MAX(H559, N559, P559, $J$2,IF(R559&lt;&gt;"",VALUE(R559),0)),"")</f>
        <v/>
      </c>
      <c r="K559" s="166" t="str">
        <f>IF(ISNUMBER(namespace_raw[[#This Row],[Column12]]), namespace_raw[[#This Row],[Column12]],"")</f>
        <v/>
      </c>
      <c r="L559" s="167" t="str">
        <f>IF(ISNUMBER(namespace_raw[[#This Row],[Column13]]), namespace_raw[[#This Row],[Column13]]/1048576,"")</f>
        <v/>
      </c>
      <c r="M559" s="168" t="str">
        <f>IF(ISNUMBER(namespace_raw[[#This Row],[Column10]]), (namespace_raw[[#This Row],[Column10]]*(1+$M$2)),"")</f>
        <v/>
      </c>
      <c r="N559" s="167" t="str">
        <f>IF(ISNUMBER(namespace_raw[[#This Row],[Column11]]), (namespace_raw[[#This Row],[Column11]]*(1+$N$2))/1048576,"")</f>
        <v/>
      </c>
      <c r="O559" s="169" t="str">
        <f>IF(ISNUMBER(namespace_raw[[#This Row],[Column8]]), (E559  * $O$2),"")</f>
        <v/>
      </c>
      <c r="P559" s="170" t="str">
        <f>IF(ISNUMBER(namespace_raw[[#This Row],[Column8]]), (F559  * $P$2),"")</f>
        <v/>
      </c>
    </row>
    <row r="560" spans="1:16" ht="15" customHeight="1" x14ac:dyDescent="0.25">
      <c r="A560" s="32" t="str">
        <f>IF(ISNONTEXT(namespace_raw[[#This Row],[Column1]]), "", namespace_raw[[#This Row],[Column1]])</f>
        <v/>
      </c>
      <c r="B560" s="33" t="str">
        <f>IF(ISNONTEXT(namespace_raw[[#This Row],[Column2]]), "", namespace_raw[[#This Row],[Column2]])</f>
        <v/>
      </c>
      <c r="C560" s="94" t="str">
        <f>IF(ISNUMBER(namespace_raw[[#This Row],[Column4]]), namespace_raw[[#This Row],[Column4]], "")</f>
        <v/>
      </c>
      <c r="D560" s="95" t="str">
        <f>IF(ISNUMBER(namespace_raw[[#This Row],[Column5]]), namespace_raw[[#This Row],[Column5]]/1048576, "")</f>
        <v/>
      </c>
      <c r="E560" s="95" t="str">
        <f>IF(ISNUMBER(namespace_raw[[#This Row],[Column6]]), namespace_raw[[#This Row],[Column6]],"")</f>
        <v/>
      </c>
      <c r="F560" s="96" t="str">
        <f>IF(ISNUMBER(namespace_raw[[#This Row],[Column7]]), namespace_raw[[#This Row],[Column7]]/1048576,"")</f>
        <v/>
      </c>
      <c r="G560" s="122" t="str">
        <f>IF(ISNUMBER(namespace_raw[[#This Row],[Column8]]), namespace_raw[[#This Row],[Column8]],"")</f>
        <v/>
      </c>
      <c r="H560" s="123" t="str">
        <f>IF(ISNUMBER(namespace_raw[[#This Row],[Column9]]), namespace_raw[[#This Row],[Column9]]/1048576,"")</f>
        <v/>
      </c>
      <c r="I560" s="124" t="str">
        <f>IF(ISNUMBER(namespace_raw[[#This Row],[Column8]]),MAX(G560, M560, O560, $I$2,IF(Q560&lt;&gt;"",VALUE(Q560),0)), "")</f>
        <v/>
      </c>
      <c r="J560" s="125" t="str">
        <f>IF(ISNUMBER(namespace_raw[[#This Row],[Column9]]),MAX(H560, N560, P560, $J$2,IF(R560&lt;&gt;"",VALUE(R560),0)),"")</f>
        <v/>
      </c>
      <c r="K560" s="166" t="str">
        <f>IF(ISNUMBER(namespace_raw[[#This Row],[Column12]]), namespace_raw[[#This Row],[Column12]],"")</f>
        <v/>
      </c>
      <c r="L560" s="167" t="str">
        <f>IF(ISNUMBER(namespace_raw[[#This Row],[Column13]]), namespace_raw[[#This Row],[Column13]]/1048576,"")</f>
        <v/>
      </c>
      <c r="M560" s="168" t="str">
        <f>IF(ISNUMBER(namespace_raw[[#This Row],[Column10]]), (namespace_raw[[#This Row],[Column10]]*(1+$M$2)),"")</f>
        <v/>
      </c>
      <c r="N560" s="167" t="str">
        <f>IF(ISNUMBER(namespace_raw[[#This Row],[Column11]]), (namespace_raw[[#This Row],[Column11]]*(1+$N$2))/1048576,"")</f>
        <v/>
      </c>
      <c r="O560" s="169" t="str">
        <f>IF(ISNUMBER(namespace_raw[[#This Row],[Column8]]), (E560  * $O$2),"")</f>
        <v/>
      </c>
      <c r="P560" s="170" t="str">
        <f>IF(ISNUMBER(namespace_raw[[#This Row],[Column8]]), (F560  * $P$2),"")</f>
        <v/>
      </c>
    </row>
    <row r="561" spans="1:16" ht="15" customHeight="1" x14ac:dyDescent="0.25">
      <c r="A561" s="32" t="str">
        <f>IF(ISNONTEXT(namespace_raw[[#This Row],[Column1]]), "", namespace_raw[[#This Row],[Column1]])</f>
        <v/>
      </c>
      <c r="B561" s="33" t="str">
        <f>IF(ISNONTEXT(namespace_raw[[#This Row],[Column2]]), "", namespace_raw[[#This Row],[Column2]])</f>
        <v/>
      </c>
      <c r="C561" s="94" t="str">
        <f>IF(ISNUMBER(namespace_raw[[#This Row],[Column4]]), namespace_raw[[#This Row],[Column4]], "")</f>
        <v/>
      </c>
      <c r="D561" s="95" t="str">
        <f>IF(ISNUMBER(namespace_raw[[#This Row],[Column5]]), namespace_raw[[#This Row],[Column5]]/1048576, "")</f>
        <v/>
      </c>
      <c r="E561" s="95" t="str">
        <f>IF(ISNUMBER(namespace_raw[[#This Row],[Column6]]), namespace_raw[[#This Row],[Column6]],"")</f>
        <v/>
      </c>
      <c r="F561" s="96" t="str">
        <f>IF(ISNUMBER(namespace_raw[[#This Row],[Column7]]), namespace_raw[[#This Row],[Column7]]/1048576,"")</f>
        <v/>
      </c>
      <c r="G561" s="122" t="str">
        <f>IF(ISNUMBER(namespace_raw[[#This Row],[Column8]]), namespace_raw[[#This Row],[Column8]],"")</f>
        <v/>
      </c>
      <c r="H561" s="123" t="str">
        <f>IF(ISNUMBER(namespace_raw[[#This Row],[Column9]]), namespace_raw[[#This Row],[Column9]]/1048576,"")</f>
        <v/>
      </c>
      <c r="I561" s="124" t="str">
        <f>IF(ISNUMBER(namespace_raw[[#This Row],[Column8]]),MAX(G561, M561, O561, $I$2,IF(Q561&lt;&gt;"",VALUE(Q561),0)), "")</f>
        <v/>
      </c>
      <c r="J561" s="125" t="str">
        <f>IF(ISNUMBER(namespace_raw[[#This Row],[Column9]]),MAX(H561, N561, P561, $J$2,IF(R561&lt;&gt;"",VALUE(R561),0)),"")</f>
        <v/>
      </c>
      <c r="K561" s="166" t="str">
        <f>IF(ISNUMBER(namespace_raw[[#This Row],[Column12]]), namespace_raw[[#This Row],[Column12]],"")</f>
        <v/>
      </c>
      <c r="L561" s="167" t="str">
        <f>IF(ISNUMBER(namespace_raw[[#This Row],[Column13]]), namespace_raw[[#This Row],[Column13]]/1048576,"")</f>
        <v/>
      </c>
      <c r="M561" s="168" t="str">
        <f>IF(ISNUMBER(namespace_raw[[#This Row],[Column10]]), (namespace_raw[[#This Row],[Column10]]*(1+$M$2)),"")</f>
        <v/>
      </c>
      <c r="N561" s="167" t="str">
        <f>IF(ISNUMBER(namespace_raw[[#This Row],[Column11]]), (namespace_raw[[#This Row],[Column11]]*(1+$N$2))/1048576,"")</f>
        <v/>
      </c>
      <c r="O561" s="169" t="str">
        <f>IF(ISNUMBER(namespace_raw[[#This Row],[Column8]]), (E561  * $O$2),"")</f>
        <v/>
      </c>
      <c r="P561" s="170" t="str">
        <f>IF(ISNUMBER(namespace_raw[[#This Row],[Column8]]), (F561  * $P$2),"")</f>
        <v/>
      </c>
    </row>
    <row r="562" spans="1:16" ht="15" customHeight="1" x14ac:dyDescent="0.25">
      <c r="A562" s="32" t="str">
        <f>IF(ISNONTEXT(namespace_raw[[#This Row],[Column1]]), "", namespace_raw[[#This Row],[Column1]])</f>
        <v/>
      </c>
      <c r="B562" s="33" t="str">
        <f>IF(ISNONTEXT(namespace_raw[[#This Row],[Column2]]), "", namespace_raw[[#This Row],[Column2]])</f>
        <v/>
      </c>
      <c r="C562" s="94" t="str">
        <f>IF(ISNUMBER(namespace_raw[[#This Row],[Column4]]), namespace_raw[[#This Row],[Column4]], "")</f>
        <v/>
      </c>
      <c r="D562" s="95" t="str">
        <f>IF(ISNUMBER(namespace_raw[[#This Row],[Column5]]), namespace_raw[[#This Row],[Column5]]/1048576, "")</f>
        <v/>
      </c>
      <c r="E562" s="95" t="str">
        <f>IF(ISNUMBER(namespace_raw[[#This Row],[Column6]]), namespace_raw[[#This Row],[Column6]],"")</f>
        <v/>
      </c>
      <c r="F562" s="96" t="str">
        <f>IF(ISNUMBER(namespace_raw[[#This Row],[Column7]]), namespace_raw[[#This Row],[Column7]]/1048576,"")</f>
        <v/>
      </c>
      <c r="G562" s="122" t="str">
        <f>IF(ISNUMBER(namespace_raw[[#This Row],[Column8]]), namespace_raw[[#This Row],[Column8]],"")</f>
        <v/>
      </c>
      <c r="H562" s="123" t="str">
        <f>IF(ISNUMBER(namespace_raw[[#This Row],[Column9]]), namespace_raw[[#This Row],[Column9]]/1048576,"")</f>
        <v/>
      </c>
      <c r="I562" s="124" t="str">
        <f>IF(ISNUMBER(namespace_raw[[#This Row],[Column8]]),MAX(G562, M562, O562, $I$2,IF(Q562&lt;&gt;"",VALUE(Q562),0)), "")</f>
        <v/>
      </c>
      <c r="J562" s="125" t="str">
        <f>IF(ISNUMBER(namespace_raw[[#This Row],[Column9]]),MAX(H562, N562, P562, $J$2,IF(R562&lt;&gt;"",VALUE(R562),0)),"")</f>
        <v/>
      </c>
      <c r="K562" s="166" t="str">
        <f>IF(ISNUMBER(namespace_raw[[#This Row],[Column12]]), namespace_raw[[#This Row],[Column12]],"")</f>
        <v/>
      </c>
      <c r="L562" s="167" t="str">
        <f>IF(ISNUMBER(namespace_raw[[#This Row],[Column13]]), namespace_raw[[#This Row],[Column13]]/1048576,"")</f>
        <v/>
      </c>
      <c r="M562" s="168" t="str">
        <f>IF(ISNUMBER(namespace_raw[[#This Row],[Column10]]), (namespace_raw[[#This Row],[Column10]]*(1+$M$2)),"")</f>
        <v/>
      </c>
      <c r="N562" s="167" t="str">
        <f>IF(ISNUMBER(namespace_raw[[#This Row],[Column11]]), (namespace_raw[[#This Row],[Column11]]*(1+$N$2))/1048576,"")</f>
        <v/>
      </c>
      <c r="O562" s="169" t="str">
        <f>IF(ISNUMBER(namespace_raw[[#This Row],[Column8]]), (E562  * $O$2),"")</f>
        <v/>
      </c>
      <c r="P562" s="170" t="str">
        <f>IF(ISNUMBER(namespace_raw[[#This Row],[Column8]]), (F562  * $P$2),"")</f>
        <v/>
      </c>
    </row>
    <row r="563" spans="1:16" ht="15" customHeight="1" x14ac:dyDescent="0.25">
      <c r="A563" s="32" t="str">
        <f>IF(ISNONTEXT(namespace_raw[[#This Row],[Column1]]), "", namespace_raw[[#This Row],[Column1]])</f>
        <v/>
      </c>
      <c r="B563" s="33" t="str">
        <f>IF(ISNONTEXT(namespace_raw[[#This Row],[Column2]]), "", namespace_raw[[#This Row],[Column2]])</f>
        <v/>
      </c>
      <c r="C563" s="94" t="str">
        <f>IF(ISNUMBER(namespace_raw[[#This Row],[Column4]]), namespace_raw[[#This Row],[Column4]], "")</f>
        <v/>
      </c>
      <c r="D563" s="95" t="str">
        <f>IF(ISNUMBER(namespace_raw[[#This Row],[Column5]]), namespace_raw[[#This Row],[Column5]]/1048576, "")</f>
        <v/>
      </c>
      <c r="E563" s="95" t="str">
        <f>IF(ISNUMBER(namespace_raw[[#This Row],[Column6]]), namespace_raw[[#This Row],[Column6]],"")</f>
        <v/>
      </c>
      <c r="F563" s="96" t="str">
        <f>IF(ISNUMBER(namespace_raw[[#This Row],[Column7]]), namespace_raw[[#This Row],[Column7]]/1048576,"")</f>
        <v/>
      </c>
      <c r="G563" s="122" t="str">
        <f>IF(ISNUMBER(namespace_raw[[#This Row],[Column8]]), namespace_raw[[#This Row],[Column8]],"")</f>
        <v/>
      </c>
      <c r="H563" s="123" t="str">
        <f>IF(ISNUMBER(namespace_raw[[#This Row],[Column9]]), namespace_raw[[#This Row],[Column9]]/1048576,"")</f>
        <v/>
      </c>
      <c r="I563" s="124" t="str">
        <f>IF(ISNUMBER(namespace_raw[[#This Row],[Column8]]),MAX(G563, M563, O563, $I$2,IF(Q563&lt;&gt;"",VALUE(Q563),0)), "")</f>
        <v/>
      </c>
      <c r="J563" s="125" t="str">
        <f>IF(ISNUMBER(namespace_raw[[#This Row],[Column9]]),MAX(H563, N563, P563, $J$2,IF(R563&lt;&gt;"",VALUE(R563),0)),"")</f>
        <v/>
      </c>
      <c r="K563" s="166" t="str">
        <f>IF(ISNUMBER(namespace_raw[[#This Row],[Column12]]), namespace_raw[[#This Row],[Column12]],"")</f>
        <v/>
      </c>
      <c r="L563" s="167" t="str">
        <f>IF(ISNUMBER(namespace_raw[[#This Row],[Column13]]), namespace_raw[[#This Row],[Column13]]/1048576,"")</f>
        <v/>
      </c>
      <c r="M563" s="168" t="str">
        <f>IF(ISNUMBER(namespace_raw[[#This Row],[Column10]]), (namespace_raw[[#This Row],[Column10]]*(1+$M$2)),"")</f>
        <v/>
      </c>
      <c r="N563" s="167" t="str">
        <f>IF(ISNUMBER(namespace_raw[[#This Row],[Column11]]), (namespace_raw[[#This Row],[Column11]]*(1+$N$2))/1048576,"")</f>
        <v/>
      </c>
      <c r="O563" s="169" t="str">
        <f>IF(ISNUMBER(namespace_raw[[#This Row],[Column8]]), (E563  * $O$2),"")</f>
        <v/>
      </c>
      <c r="P563" s="170" t="str">
        <f>IF(ISNUMBER(namespace_raw[[#This Row],[Column8]]), (F563  * $P$2),"")</f>
        <v/>
      </c>
    </row>
    <row r="564" spans="1:16" ht="15" customHeight="1" x14ac:dyDescent="0.25">
      <c r="A564" s="32" t="str">
        <f>IF(ISNONTEXT(namespace_raw[[#This Row],[Column1]]), "", namespace_raw[[#This Row],[Column1]])</f>
        <v/>
      </c>
      <c r="B564" s="33" t="str">
        <f>IF(ISNONTEXT(namespace_raw[[#This Row],[Column2]]), "", namespace_raw[[#This Row],[Column2]])</f>
        <v/>
      </c>
      <c r="C564" s="94" t="str">
        <f>IF(ISNUMBER(namespace_raw[[#This Row],[Column4]]), namespace_raw[[#This Row],[Column4]], "")</f>
        <v/>
      </c>
      <c r="D564" s="95" t="str">
        <f>IF(ISNUMBER(namespace_raw[[#This Row],[Column5]]), namespace_raw[[#This Row],[Column5]]/1048576, "")</f>
        <v/>
      </c>
      <c r="E564" s="95" t="str">
        <f>IF(ISNUMBER(namespace_raw[[#This Row],[Column6]]), namespace_raw[[#This Row],[Column6]],"")</f>
        <v/>
      </c>
      <c r="F564" s="96" t="str">
        <f>IF(ISNUMBER(namespace_raw[[#This Row],[Column7]]), namespace_raw[[#This Row],[Column7]]/1048576,"")</f>
        <v/>
      </c>
      <c r="G564" s="122" t="str">
        <f>IF(ISNUMBER(namespace_raw[[#This Row],[Column8]]), namespace_raw[[#This Row],[Column8]],"")</f>
        <v/>
      </c>
      <c r="H564" s="123" t="str">
        <f>IF(ISNUMBER(namespace_raw[[#This Row],[Column9]]), namespace_raw[[#This Row],[Column9]]/1048576,"")</f>
        <v/>
      </c>
      <c r="I564" s="124" t="str">
        <f>IF(ISNUMBER(namespace_raw[[#This Row],[Column8]]),MAX(G564, M564, O564, $I$2,IF(Q564&lt;&gt;"",VALUE(Q564),0)), "")</f>
        <v/>
      </c>
      <c r="J564" s="125" t="str">
        <f>IF(ISNUMBER(namespace_raw[[#This Row],[Column9]]),MAX(H564, N564, P564, $J$2,IF(R564&lt;&gt;"",VALUE(R564),0)),"")</f>
        <v/>
      </c>
      <c r="K564" s="166" t="str">
        <f>IF(ISNUMBER(namespace_raw[[#This Row],[Column12]]), namespace_raw[[#This Row],[Column12]],"")</f>
        <v/>
      </c>
      <c r="L564" s="167" t="str">
        <f>IF(ISNUMBER(namespace_raw[[#This Row],[Column13]]), namespace_raw[[#This Row],[Column13]]/1048576,"")</f>
        <v/>
      </c>
      <c r="M564" s="168" t="str">
        <f>IF(ISNUMBER(namespace_raw[[#This Row],[Column10]]), (namespace_raw[[#This Row],[Column10]]*(1+$M$2)),"")</f>
        <v/>
      </c>
      <c r="N564" s="167" t="str">
        <f>IF(ISNUMBER(namespace_raw[[#This Row],[Column11]]), (namespace_raw[[#This Row],[Column11]]*(1+$N$2))/1048576,"")</f>
        <v/>
      </c>
      <c r="O564" s="169" t="str">
        <f>IF(ISNUMBER(namespace_raw[[#This Row],[Column8]]), (E564  * $O$2),"")</f>
        <v/>
      </c>
      <c r="P564" s="170" t="str">
        <f>IF(ISNUMBER(namespace_raw[[#This Row],[Column8]]), (F564  * $P$2),"")</f>
        <v/>
      </c>
    </row>
    <row r="565" spans="1:16" ht="15" customHeight="1" x14ac:dyDescent="0.25">
      <c r="A565" s="32" t="str">
        <f>IF(ISNONTEXT(namespace_raw[[#This Row],[Column1]]), "", namespace_raw[[#This Row],[Column1]])</f>
        <v/>
      </c>
      <c r="B565" s="33" t="str">
        <f>IF(ISNONTEXT(namespace_raw[[#This Row],[Column2]]), "", namespace_raw[[#This Row],[Column2]])</f>
        <v/>
      </c>
      <c r="C565" s="94" t="str">
        <f>IF(ISNUMBER(namespace_raw[[#This Row],[Column4]]), namespace_raw[[#This Row],[Column4]], "")</f>
        <v/>
      </c>
      <c r="D565" s="95" t="str">
        <f>IF(ISNUMBER(namespace_raw[[#This Row],[Column5]]), namespace_raw[[#This Row],[Column5]]/1048576, "")</f>
        <v/>
      </c>
      <c r="E565" s="95" t="str">
        <f>IF(ISNUMBER(namespace_raw[[#This Row],[Column6]]), namespace_raw[[#This Row],[Column6]],"")</f>
        <v/>
      </c>
      <c r="F565" s="96" t="str">
        <f>IF(ISNUMBER(namespace_raw[[#This Row],[Column7]]), namespace_raw[[#This Row],[Column7]]/1048576,"")</f>
        <v/>
      </c>
      <c r="G565" s="122" t="str">
        <f>IF(ISNUMBER(namespace_raw[[#This Row],[Column8]]), namespace_raw[[#This Row],[Column8]],"")</f>
        <v/>
      </c>
      <c r="H565" s="123" t="str">
        <f>IF(ISNUMBER(namespace_raw[[#This Row],[Column9]]), namespace_raw[[#This Row],[Column9]]/1048576,"")</f>
        <v/>
      </c>
      <c r="I565" s="124" t="str">
        <f>IF(ISNUMBER(namespace_raw[[#This Row],[Column8]]),MAX(G565, M565, O565, $I$2,IF(Q565&lt;&gt;"",VALUE(Q565),0)), "")</f>
        <v/>
      </c>
      <c r="J565" s="125" t="str">
        <f>IF(ISNUMBER(namespace_raw[[#This Row],[Column9]]),MAX(H565, N565, P565, $J$2,IF(R565&lt;&gt;"",VALUE(R565),0)),"")</f>
        <v/>
      </c>
      <c r="K565" s="166" t="str">
        <f>IF(ISNUMBER(namespace_raw[[#This Row],[Column12]]), namespace_raw[[#This Row],[Column12]],"")</f>
        <v/>
      </c>
      <c r="L565" s="167" t="str">
        <f>IF(ISNUMBER(namespace_raw[[#This Row],[Column13]]), namespace_raw[[#This Row],[Column13]]/1048576,"")</f>
        <v/>
      </c>
      <c r="M565" s="168" t="str">
        <f>IF(ISNUMBER(namespace_raw[[#This Row],[Column10]]), (namespace_raw[[#This Row],[Column10]]*(1+$M$2)),"")</f>
        <v/>
      </c>
      <c r="N565" s="167" t="str">
        <f>IF(ISNUMBER(namespace_raw[[#This Row],[Column11]]), (namespace_raw[[#This Row],[Column11]]*(1+$N$2))/1048576,"")</f>
        <v/>
      </c>
      <c r="O565" s="169" t="str">
        <f>IF(ISNUMBER(namespace_raw[[#This Row],[Column8]]), (E565  * $O$2),"")</f>
        <v/>
      </c>
      <c r="P565" s="170" t="str">
        <f>IF(ISNUMBER(namespace_raw[[#This Row],[Column8]]), (F565  * $P$2),"")</f>
        <v/>
      </c>
    </row>
    <row r="566" spans="1:16" ht="15" customHeight="1" x14ac:dyDescent="0.25">
      <c r="A566" s="32" t="str">
        <f>IF(ISNONTEXT(namespace_raw[[#This Row],[Column1]]), "", namespace_raw[[#This Row],[Column1]])</f>
        <v/>
      </c>
      <c r="B566" s="33" t="str">
        <f>IF(ISNONTEXT(namespace_raw[[#This Row],[Column2]]), "", namespace_raw[[#This Row],[Column2]])</f>
        <v/>
      </c>
      <c r="C566" s="94" t="str">
        <f>IF(ISNUMBER(namespace_raw[[#This Row],[Column4]]), namespace_raw[[#This Row],[Column4]], "")</f>
        <v/>
      </c>
      <c r="D566" s="95" t="str">
        <f>IF(ISNUMBER(namespace_raw[[#This Row],[Column5]]), namespace_raw[[#This Row],[Column5]]/1048576, "")</f>
        <v/>
      </c>
      <c r="E566" s="95" t="str">
        <f>IF(ISNUMBER(namespace_raw[[#This Row],[Column6]]), namespace_raw[[#This Row],[Column6]],"")</f>
        <v/>
      </c>
      <c r="F566" s="96" t="str">
        <f>IF(ISNUMBER(namespace_raw[[#This Row],[Column7]]), namespace_raw[[#This Row],[Column7]]/1048576,"")</f>
        <v/>
      </c>
      <c r="G566" s="122" t="str">
        <f>IF(ISNUMBER(namespace_raw[[#This Row],[Column8]]), namespace_raw[[#This Row],[Column8]],"")</f>
        <v/>
      </c>
      <c r="H566" s="123" t="str">
        <f>IF(ISNUMBER(namespace_raw[[#This Row],[Column9]]), namespace_raw[[#This Row],[Column9]]/1048576,"")</f>
        <v/>
      </c>
      <c r="I566" s="124" t="str">
        <f>IF(ISNUMBER(namespace_raw[[#This Row],[Column8]]),MAX(G566, M566, O566, $I$2,IF(Q566&lt;&gt;"",VALUE(Q566),0)), "")</f>
        <v/>
      </c>
      <c r="J566" s="125" t="str">
        <f>IF(ISNUMBER(namespace_raw[[#This Row],[Column9]]),MAX(H566, N566, P566, $J$2,IF(R566&lt;&gt;"",VALUE(R566),0)),"")</f>
        <v/>
      </c>
      <c r="K566" s="166" t="str">
        <f>IF(ISNUMBER(namespace_raw[[#This Row],[Column12]]), namespace_raw[[#This Row],[Column12]],"")</f>
        <v/>
      </c>
      <c r="L566" s="167" t="str">
        <f>IF(ISNUMBER(namespace_raw[[#This Row],[Column13]]), namespace_raw[[#This Row],[Column13]]/1048576,"")</f>
        <v/>
      </c>
      <c r="M566" s="168" t="str">
        <f>IF(ISNUMBER(namespace_raw[[#This Row],[Column10]]), (namespace_raw[[#This Row],[Column10]]*(1+$M$2)),"")</f>
        <v/>
      </c>
      <c r="N566" s="167" t="str">
        <f>IF(ISNUMBER(namespace_raw[[#This Row],[Column11]]), (namespace_raw[[#This Row],[Column11]]*(1+$N$2))/1048576,"")</f>
        <v/>
      </c>
      <c r="O566" s="169" t="str">
        <f>IF(ISNUMBER(namespace_raw[[#This Row],[Column8]]), (E566  * $O$2),"")</f>
        <v/>
      </c>
      <c r="P566" s="170" t="str">
        <f>IF(ISNUMBER(namespace_raw[[#This Row],[Column8]]), (F566  * $P$2),"")</f>
        <v/>
      </c>
    </row>
    <row r="567" spans="1:16" ht="15" customHeight="1" x14ac:dyDescent="0.25">
      <c r="A567" s="32" t="str">
        <f>IF(ISNONTEXT(namespace_raw[[#This Row],[Column1]]), "", namespace_raw[[#This Row],[Column1]])</f>
        <v/>
      </c>
      <c r="B567" s="33" t="str">
        <f>IF(ISNONTEXT(namespace_raw[[#This Row],[Column2]]), "", namespace_raw[[#This Row],[Column2]])</f>
        <v/>
      </c>
      <c r="C567" s="94" t="str">
        <f>IF(ISNUMBER(namespace_raw[[#This Row],[Column4]]), namespace_raw[[#This Row],[Column4]], "")</f>
        <v/>
      </c>
      <c r="D567" s="95" t="str">
        <f>IF(ISNUMBER(namespace_raw[[#This Row],[Column5]]), namespace_raw[[#This Row],[Column5]]/1048576, "")</f>
        <v/>
      </c>
      <c r="E567" s="95" t="str">
        <f>IF(ISNUMBER(namespace_raw[[#This Row],[Column6]]), namespace_raw[[#This Row],[Column6]],"")</f>
        <v/>
      </c>
      <c r="F567" s="96" t="str">
        <f>IF(ISNUMBER(namespace_raw[[#This Row],[Column7]]), namespace_raw[[#This Row],[Column7]]/1048576,"")</f>
        <v/>
      </c>
      <c r="G567" s="122" t="str">
        <f>IF(ISNUMBER(namespace_raw[[#This Row],[Column8]]), namespace_raw[[#This Row],[Column8]],"")</f>
        <v/>
      </c>
      <c r="H567" s="123" t="str">
        <f>IF(ISNUMBER(namespace_raw[[#This Row],[Column9]]), namespace_raw[[#This Row],[Column9]]/1048576,"")</f>
        <v/>
      </c>
      <c r="I567" s="124" t="str">
        <f>IF(ISNUMBER(namespace_raw[[#This Row],[Column8]]),MAX(G567, M567, O567, $I$2,IF(Q567&lt;&gt;"",VALUE(Q567),0)), "")</f>
        <v/>
      </c>
      <c r="J567" s="125" t="str">
        <f>IF(ISNUMBER(namespace_raw[[#This Row],[Column9]]),MAX(H567, N567, P567, $J$2,IF(R567&lt;&gt;"",VALUE(R567),0)),"")</f>
        <v/>
      </c>
      <c r="K567" s="166" t="str">
        <f>IF(ISNUMBER(namespace_raw[[#This Row],[Column12]]), namespace_raw[[#This Row],[Column12]],"")</f>
        <v/>
      </c>
      <c r="L567" s="167" t="str">
        <f>IF(ISNUMBER(namespace_raw[[#This Row],[Column13]]), namespace_raw[[#This Row],[Column13]]/1048576,"")</f>
        <v/>
      </c>
      <c r="M567" s="168" t="str">
        <f>IF(ISNUMBER(namespace_raw[[#This Row],[Column10]]), (namespace_raw[[#This Row],[Column10]]*(1+$M$2)),"")</f>
        <v/>
      </c>
      <c r="N567" s="167" t="str">
        <f>IF(ISNUMBER(namespace_raw[[#This Row],[Column11]]), (namespace_raw[[#This Row],[Column11]]*(1+$N$2))/1048576,"")</f>
        <v/>
      </c>
      <c r="O567" s="169" t="str">
        <f>IF(ISNUMBER(namespace_raw[[#This Row],[Column8]]), (E567  * $O$2),"")</f>
        <v/>
      </c>
      <c r="P567" s="170" t="str">
        <f>IF(ISNUMBER(namespace_raw[[#This Row],[Column8]]), (F567  * $P$2),"")</f>
        <v/>
      </c>
    </row>
    <row r="568" spans="1:16" ht="15" customHeight="1" x14ac:dyDescent="0.25">
      <c r="A568" s="32" t="str">
        <f>IF(ISNONTEXT(namespace_raw[[#This Row],[Column1]]), "", namespace_raw[[#This Row],[Column1]])</f>
        <v/>
      </c>
      <c r="B568" s="33" t="str">
        <f>IF(ISNONTEXT(namespace_raw[[#This Row],[Column2]]), "", namespace_raw[[#This Row],[Column2]])</f>
        <v/>
      </c>
      <c r="C568" s="94" t="str">
        <f>IF(ISNUMBER(namespace_raw[[#This Row],[Column4]]), namespace_raw[[#This Row],[Column4]], "")</f>
        <v/>
      </c>
      <c r="D568" s="95" t="str">
        <f>IF(ISNUMBER(namespace_raw[[#This Row],[Column5]]), namespace_raw[[#This Row],[Column5]]/1048576, "")</f>
        <v/>
      </c>
      <c r="E568" s="95" t="str">
        <f>IF(ISNUMBER(namespace_raw[[#This Row],[Column6]]), namespace_raw[[#This Row],[Column6]],"")</f>
        <v/>
      </c>
      <c r="F568" s="96" t="str">
        <f>IF(ISNUMBER(namespace_raw[[#This Row],[Column7]]), namespace_raw[[#This Row],[Column7]]/1048576,"")</f>
        <v/>
      </c>
      <c r="G568" s="122" t="str">
        <f>IF(ISNUMBER(namespace_raw[[#This Row],[Column8]]), namespace_raw[[#This Row],[Column8]],"")</f>
        <v/>
      </c>
      <c r="H568" s="123" t="str">
        <f>IF(ISNUMBER(namespace_raw[[#This Row],[Column9]]), namespace_raw[[#This Row],[Column9]]/1048576,"")</f>
        <v/>
      </c>
      <c r="I568" s="124" t="str">
        <f>IF(ISNUMBER(namespace_raw[[#This Row],[Column8]]),MAX(G568, M568, O568, $I$2,IF(Q568&lt;&gt;"",VALUE(Q568),0)), "")</f>
        <v/>
      </c>
      <c r="J568" s="125" t="str">
        <f>IF(ISNUMBER(namespace_raw[[#This Row],[Column9]]),MAX(H568, N568, P568, $J$2,IF(R568&lt;&gt;"",VALUE(R568),0)),"")</f>
        <v/>
      </c>
      <c r="K568" s="166" t="str">
        <f>IF(ISNUMBER(namespace_raw[[#This Row],[Column12]]), namespace_raw[[#This Row],[Column12]],"")</f>
        <v/>
      </c>
      <c r="L568" s="167" t="str">
        <f>IF(ISNUMBER(namespace_raw[[#This Row],[Column13]]), namespace_raw[[#This Row],[Column13]]/1048576,"")</f>
        <v/>
      </c>
      <c r="M568" s="168" t="str">
        <f>IF(ISNUMBER(namespace_raw[[#This Row],[Column10]]), (namespace_raw[[#This Row],[Column10]]*(1+$M$2)),"")</f>
        <v/>
      </c>
      <c r="N568" s="167" t="str">
        <f>IF(ISNUMBER(namespace_raw[[#This Row],[Column11]]), (namespace_raw[[#This Row],[Column11]]*(1+$N$2))/1048576,"")</f>
        <v/>
      </c>
      <c r="O568" s="169" t="str">
        <f>IF(ISNUMBER(namespace_raw[[#This Row],[Column8]]), (E568  * $O$2),"")</f>
        <v/>
      </c>
      <c r="P568" s="170" t="str">
        <f>IF(ISNUMBER(namespace_raw[[#This Row],[Column8]]), (F568  * $P$2),"")</f>
        <v/>
      </c>
    </row>
    <row r="569" spans="1:16" ht="15" customHeight="1" x14ac:dyDescent="0.25">
      <c r="A569" s="32" t="str">
        <f>IF(ISNONTEXT(namespace_raw[[#This Row],[Column1]]), "", namespace_raw[[#This Row],[Column1]])</f>
        <v/>
      </c>
      <c r="B569" s="33" t="str">
        <f>IF(ISNONTEXT(namespace_raw[[#This Row],[Column2]]), "", namespace_raw[[#This Row],[Column2]])</f>
        <v/>
      </c>
      <c r="C569" s="94" t="str">
        <f>IF(ISNUMBER(namespace_raw[[#This Row],[Column4]]), namespace_raw[[#This Row],[Column4]], "")</f>
        <v/>
      </c>
      <c r="D569" s="95" t="str">
        <f>IF(ISNUMBER(namespace_raw[[#This Row],[Column5]]), namespace_raw[[#This Row],[Column5]]/1048576, "")</f>
        <v/>
      </c>
      <c r="E569" s="95" t="str">
        <f>IF(ISNUMBER(namespace_raw[[#This Row],[Column6]]), namespace_raw[[#This Row],[Column6]],"")</f>
        <v/>
      </c>
      <c r="F569" s="96" t="str">
        <f>IF(ISNUMBER(namespace_raw[[#This Row],[Column7]]), namespace_raw[[#This Row],[Column7]]/1048576,"")</f>
        <v/>
      </c>
      <c r="G569" s="122" t="str">
        <f>IF(ISNUMBER(namespace_raw[[#This Row],[Column8]]), namespace_raw[[#This Row],[Column8]],"")</f>
        <v/>
      </c>
      <c r="H569" s="123" t="str">
        <f>IF(ISNUMBER(namespace_raw[[#This Row],[Column9]]), namespace_raw[[#This Row],[Column9]]/1048576,"")</f>
        <v/>
      </c>
      <c r="I569" s="124" t="str">
        <f>IF(ISNUMBER(namespace_raw[[#This Row],[Column8]]),MAX(G569, M569, O569, $I$2,IF(Q569&lt;&gt;"",VALUE(Q569),0)), "")</f>
        <v/>
      </c>
      <c r="J569" s="125" t="str">
        <f>IF(ISNUMBER(namespace_raw[[#This Row],[Column9]]),MAX(H569, N569, P569, $J$2,IF(R569&lt;&gt;"",VALUE(R569),0)),"")</f>
        <v/>
      </c>
      <c r="K569" s="166" t="str">
        <f>IF(ISNUMBER(namespace_raw[[#This Row],[Column12]]), namespace_raw[[#This Row],[Column12]],"")</f>
        <v/>
      </c>
      <c r="L569" s="167" t="str">
        <f>IF(ISNUMBER(namespace_raw[[#This Row],[Column13]]), namespace_raw[[#This Row],[Column13]]/1048576,"")</f>
        <v/>
      </c>
      <c r="M569" s="168" t="str">
        <f>IF(ISNUMBER(namespace_raw[[#This Row],[Column10]]), (namespace_raw[[#This Row],[Column10]]*(1+$M$2)),"")</f>
        <v/>
      </c>
      <c r="N569" s="167" t="str">
        <f>IF(ISNUMBER(namespace_raw[[#This Row],[Column11]]), (namespace_raw[[#This Row],[Column11]]*(1+$N$2))/1048576,"")</f>
        <v/>
      </c>
      <c r="O569" s="169" t="str">
        <f>IF(ISNUMBER(namespace_raw[[#This Row],[Column8]]), (E569  * $O$2),"")</f>
        <v/>
      </c>
      <c r="P569" s="170" t="str">
        <f>IF(ISNUMBER(namespace_raw[[#This Row],[Column8]]), (F569  * $P$2),"")</f>
        <v/>
      </c>
    </row>
    <row r="570" spans="1:16" ht="15" customHeight="1" x14ac:dyDescent="0.25">
      <c r="A570" s="32" t="str">
        <f>IF(ISNONTEXT(namespace_raw[[#This Row],[Column1]]), "", namespace_raw[[#This Row],[Column1]])</f>
        <v/>
      </c>
      <c r="B570" s="33" t="str">
        <f>IF(ISNONTEXT(namespace_raw[[#This Row],[Column2]]), "", namespace_raw[[#This Row],[Column2]])</f>
        <v/>
      </c>
      <c r="C570" s="94" t="str">
        <f>IF(ISNUMBER(namespace_raw[[#This Row],[Column4]]), namespace_raw[[#This Row],[Column4]], "")</f>
        <v/>
      </c>
      <c r="D570" s="95" t="str">
        <f>IF(ISNUMBER(namespace_raw[[#This Row],[Column5]]), namespace_raw[[#This Row],[Column5]]/1048576, "")</f>
        <v/>
      </c>
      <c r="E570" s="95" t="str">
        <f>IF(ISNUMBER(namespace_raw[[#This Row],[Column6]]), namespace_raw[[#This Row],[Column6]],"")</f>
        <v/>
      </c>
      <c r="F570" s="96" t="str">
        <f>IF(ISNUMBER(namespace_raw[[#This Row],[Column7]]), namespace_raw[[#This Row],[Column7]]/1048576,"")</f>
        <v/>
      </c>
      <c r="G570" s="122" t="str">
        <f>IF(ISNUMBER(namespace_raw[[#This Row],[Column8]]), namespace_raw[[#This Row],[Column8]],"")</f>
        <v/>
      </c>
      <c r="H570" s="123" t="str">
        <f>IF(ISNUMBER(namespace_raw[[#This Row],[Column9]]), namespace_raw[[#This Row],[Column9]]/1048576,"")</f>
        <v/>
      </c>
      <c r="I570" s="124" t="str">
        <f>IF(ISNUMBER(namespace_raw[[#This Row],[Column8]]),MAX(G570, M570, O570, $I$2,IF(Q570&lt;&gt;"",VALUE(Q570),0)), "")</f>
        <v/>
      </c>
      <c r="J570" s="125" t="str">
        <f>IF(ISNUMBER(namespace_raw[[#This Row],[Column9]]),MAX(H570, N570, P570, $J$2,IF(R570&lt;&gt;"",VALUE(R570),0)),"")</f>
        <v/>
      </c>
      <c r="K570" s="166" t="str">
        <f>IF(ISNUMBER(namespace_raw[[#This Row],[Column12]]), namespace_raw[[#This Row],[Column12]],"")</f>
        <v/>
      </c>
      <c r="L570" s="167" t="str">
        <f>IF(ISNUMBER(namespace_raw[[#This Row],[Column13]]), namespace_raw[[#This Row],[Column13]]/1048576,"")</f>
        <v/>
      </c>
      <c r="M570" s="168" t="str">
        <f>IF(ISNUMBER(namespace_raw[[#This Row],[Column10]]), (namespace_raw[[#This Row],[Column10]]*(1+$M$2)),"")</f>
        <v/>
      </c>
      <c r="N570" s="167" t="str">
        <f>IF(ISNUMBER(namespace_raw[[#This Row],[Column11]]), (namespace_raw[[#This Row],[Column11]]*(1+$N$2))/1048576,"")</f>
        <v/>
      </c>
      <c r="O570" s="169" t="str">
        <f>IF(ISNUMBER(namespace_raw[[#This Row],[Column8]]), (E570  * $O$2),"")</f>
        <v/>
      </c>
      <c r="P570" s="170" t="str">
        <f>IF(ISNUMBER(namespace_raw[[#This Row],[Column8]]), (F570  * $P$2),"")</f>
        <v/>
      </c>
    </row>
    <row r="571" spans="1:16" ht="15" customHeight="1" x14ac:dyDescent="0.25">
      <c r="A571" s="32" t="str">
        <f>IF(ISNONTEXT(namespace_raw[[#This Row],[Column1]]), "", namespace_raw[[#This Row],[Column1]])</f>
        <v/>
      </c>
      <c r="B571" s="33" t="str">
        <f>IF(ISNONTEXT(namespace_raw[[#This Row],[Column2]]), "", namespace_raw[[#This Row],[Column2]])</f>
        <v/>
      </c>
      <c r="C571" s="94" t="str">
        <f>IF(ISNUMBER(namespace_raw[[#This Row],[Column4]]), namespace_raw[[#This Row],[Column4]], "")</f>
        <v/>
      </c>
      <c r="D571" s="95" t="str">
        <f>IF(ISNUMBER(namespace_raw[[#This Row],[Column5]]), namespace_raw[[#This Row],[Column5]]/1048576, "")</f>
        <v/>
      </c>
      <c r="E571" s="95" t="str">
        <f>IF(ISNUMBER(namespace_raw[[#This Row],[Column6]]), namespace_raw[[#This Row],[Column6]],"")</f>
        <v/>
      </c>
      <c r="F571" s="96" t="str">
        <f>IF(ISNUMBER(namespace_raw[[#This Row],[Column7]]), namespace_raw[[#This Row],[Column7]]/1048576,"")</f>
        <v/>
      </c>
      <c r="G571" s="122" t="str">
        <f>IF(ISNUMBER(namespace_raw[[#This Row],[Column8]]), namespace_raw[[#This Row],[Column8]],"")</f>
        <v/>
      </c>
      <c r="H571" s="123" t="str">
        <f>IF(ISNUMBER(namespace_raw[[#This Row],[Column9]]), namespace_raw[[#This Row],[Column9]]/1048576,"")</f>
        <v/>
      </c>
      <c r="I571" s="124" t="str">
        <f>IF(ISNUMBER(namespace_raw[[#This Row],[Column8]]),MAX(G571, M571, O571, $I$2,IF(Q571&lt;&gt;"",VALUE(Q571),0)), "")</f>
        <v/>
      </c>
      <c r="J571" s="125" t="str">
        <f>IF(ISNUMBER(namespace_raw[[#This Row],[Column9]]),MAX(H571, N571, P571, $J$2,IF(R571&lt;&gt;"",VALUE(R571),0)),"")</f>
        <v/>
      </c>
      <c r="K571" s="166" t="str">
        <f>IF(ISNUMBER(namespace_raw[[#This Row],[Column12]]), namespace_raw[[#This Row],[Column12]],"")</f>
        <v/>
      </c>
      <c r="L571" s="167" t="str">
        <f>IF(ISNUMBER(namespace_raw[[#This Row],[Column13]]), namespace_raw[[#This Row],[Column13]]/1048576,"")</f>
        <v/>
      </c>
      <c r="M571" s="168" t="str">
        <f>IF(ISNUMBER(namespace_raw[[#This Row],[Column10]]), (namespace_raw[[#This Row],[Column10]]*(1+$M$2)),"")</f>
        <v/>
      </c>
      <c r="N571" s="167" t="str">
        <f>IF(ISNUMBER(namespace_raw[[#This Row],[Column11]]), (namespace_raw[[#This Row],[Column11]]*(1+$N$2))/1048576,"")</f>
        <v/>
      </c>
      <c r="O571" s="169" t="str">
        <f>IF(ISNUMBER(namespace_raw[[#This Row],[Column8]]), (E571  * $O$2),"")</f>
        <v/>
      </c>
      <c r="P571" s="170" t="str">
        <f>IF(ISNUMBER(namespace_raw[[#This Row],[Column8]]), (F571  * $P$2),"")</f>
        <v/>
      </c>
    </row>
    <row r="572" spans="1:16" ht="15" customHeight="1" x14ac:dyDescent="0.25">
      <c r="A572" s="32" t="str">
        <f>IF(ISNONTEXT(namespace_raw[[#This Row],[Column1]]), "", namespace_raw[[#This Row],[Column1]])</f>
        <v/>
      </c>
      <c r="B572" s="33" t="str">
        <f>IF(ISNONTEXT(namespace_raw[[#This Row],[Column2]]), "", namespace_raw[[#This Row],[Column2]])</f>
        <v/>
      </c>
      <c r="C572" s="94" t="str">
        <f>IF(ISNUMBER(namespace_raw[[#This Row],[Column4]]), namespace_raw[[#This Row],[Column4]], "")</f>
        <v/>
      </c>
      <c r="D572" s="95" t="str">
        <f>IF(ISNUMBER(namespace_raw[[#This Row],[Column5]]), namespace_raw[[#This Row],[Column5]]/1048576, "")</f>
        <v/>
      </c>
      <c r="E572" s="95" t="str">
        <f>IF(ISNUMBER(namespace_raw[[#This Row],[Column6]]), namespace_raw[[#This Row],[Column6]],"")</f>
        <v/>
      </c>
      <c r="F572" s="96" t="str">
        <f>IF(ISNUMBER(namespace_raw[[#This Row],[Column7]]), namespace_raw[[#This Row],[Column7]]/1048576,"")</f>
        <v/>
      </c>
      <c r="G572" s="122" t="str">
        <f>IF(ISNUMBER(namespace_raw[[#This Row],[Column8]]), namespace_raw[[#This Row],[Column8]],"")</f>
        <v/>
      </c>
      <c r="H572" s="123" t="str">
        <f>IF(ISNUMBER(namespace_raw[[#This Row],[Column9]]), namespace_raw[[#This Row],[Column9]]/1048576,"")</f>
        <v/>
      </c>
      <c r="I572" s="124" t="str">
        <f>IF(ISNUMBER(namespace_raw[[#This Row],[Column8]]),MAX(G572, M572, O572, $I$2,IF(Q572&lt;&gt;"",VALUE(Q572),0)), "")</f>
        <v/>
      </c>
      <c r="J572" s="125" t="str">
        <f>IF(ISNUMBER(namespace_raw[[#This Row],[Column9]]),MAX(H572, N572, P572, $J$2,IF(R572&lt;&gt;"",VALUE(R572),0)),"")</f>
        <v/>
      </c>
      <c r="K572" s="166" t="str">
        <f>IF(ISNUMBER(namespace_raw[[#This Row],[Column12]]), namespace_raw[[#This Row],[Column12]],"")</f>
        <v/>
      </c>
      <c r="L572" s="167" t="str">
        <f>IF(ISNUMBER(namespace_raw[[#This Row],[Column13]]), namespace_raw[[#This Row],[Column13]]/1048576,"")</f>
        <v/>
      </c>
      <c r="M572" s="168" t="str">
        <f>IF(ISNUMBER(namespace_raw[[#This Row],[Column10]]), (namespace_raw[[#This Row],[Column10]]*(1+$M$2)),"")</f>
        <v/>
      </c>
      <c r="N572" s="167" t="str">
        <f>IF(ISNUMBER(namespace_raw[[#This Row],[Column11]]), (namespace_raw[[#This Row],[Column11]]*(1+$N$2))/1048576,"")</f>
        <v/>
      </c>
      <c r="O572" s="169" t="str">
        <f>IF(ISNUMBER(namespace_raw[[#This Row],[Column8]]), (E572  * $O$2),"")</f>
        <v/>
      </c>
      <c r="P572" s="170" t="str">
        <f>IF(ISNUMBER(namespace_raw[[#This Row],[Column8]]), (F572  * $P$2),"")</f>
        <v/>
      </c>
    </row>
    <row r="573" spans="1:16" ht="15" customHeight="1" x14ac:dyDescent="0.25">
      <c r="A573" s="32" t="str">
        <f>IF(ISNONTEXT(namespace_raw[[#This Row],[Column1]]), "", namespace_raw[[#This Row],[Column1]])</f>
        <v/>
      </c>
      <c r="B573" s="33" t="str">
        <f>IF(ISNONTEXT(namespace_raw[[#This Row],[Column2]]), "", namespace_raw[[#This Row],[Column2]])</f>
        <v/>
      </c>
      <c r="C573" s="94" t="str">
        <f>IF(ISNUMBER(namespace_raw[[#This Row],[Column4]]), namespace_raw[[#This Row],[Column4]], "")</f>
        <v/>
      </c>
      <c r="D573" s="95" t="str">
        <f>IF(ISNUMBER(namespace_raw[[#This Row],[Column5]]), namespace_raw[[#This Row],[Column5]]/1048576, "")</f>
        <v/>
      </c>
      <c r="E573" s="95" t="str">
        <f>IF(ISNUMBER(namespace_raw[[#This Row],[Column6]]), namespace_raw[[#This Row],[Column6]],"")</f>
        <v/>
      </c>
      <c r="F573" s="96" t="str">
        <f>IF(ISNUMBER(namespace_raw[[#This Row],[Column7]]), namespace_raw[[#This Row],[Column7]]/1048576,"")</f>
        <v/>
      </c>
      <c r="G573" s="122" t="str">
        <f>IF(ISNUMBER(namespace_raw[[#This Row],[Column8]]), namespace_raw[[#This Row],[Column8]],"")</f>
        <v/>
      </c>
      <c r="H573" s="123" t="str">
        <f>IF(ISNUMBER(namespace_raw[[#This Row],[Column9]]), namespace_raw[[#This Row],[Column9]]/1048576,"")</f>
        <v/>
      </c>
      <c r="I573" s="124" t="str">
        <f>IF(ISNUMBER(namespace_raw[[#This Row],[Column8]]),MAX(G573, M573, O573, $I$2,IF(Q573&lt;&gt;"",VALUE(Q573),0)), "")</f>
        <v/>
      </c>
      <c r="J573" s="125" t="str">
        <f>IF(ISNUMBER(namespace_raw[[#This Row],[Column9]]),MAX(H573, N573, P573, $J$2,IF(R573&lt;&gt;"",VALUE(R573),0)),"")</f>
        <v/>
      </c>
      <c r="K573" s="166" t="str">
        <f>IF(ISNUMBER(namespace_raw[[#This Row],[Column12]]), namespace_raw[[#This Row],[Column12]],"")</f>
        <v/>
      </c>
      <c r="L573" s="167" t="str">
        <f>IF(ISNUMBER(namespace_raw[[#This Row],[Column13]]), namespace_raw[[#This Row],[Column13]]/1048576,"")</f>
        <v/>
      </c>
      <c r="M573" s="168" t="str">
        <f>IF(ISNUMBER(namespace_raw[[#This Row],[Column10]]), (namespace_raw[[#This Row],[Column10]]*(1+$M$2)),"")</f>
        <v/>
      </c>
      <c r="N573" s="167" t="str">
        <f>IF(ISNUMBER(namespace_raw[[#This Row],[Column11]]), (namespace_raw[[#This Row],[Column11]]*(1+$N$2))/1048576,"")</f>
        <v/>
      </c>
      <c r="O573" s="169" t="str">
        <f>IF(ISNUMBER(namespace_raw[[#This Row],[Column8]]), (E573  * $O$2),"")</f>
        <v/>
      </c>
      <c r="P573" s="170" t="str">
        <f>IF(ISNUMBER(namespace_raw[[#This Row],[Column8]]), (F573  * $P$2),"")</f>
        <v/>
      </c>
    </row>
    <row r="574" spans="1:16" ht="15" customHeight="1" x14ac:dyDescent="0.25">
      <c r="A574" s="32" t="str">
        <f>IF(ISNONTEXT(namespace_raw[[#This Row],[Column1]]), "", namespace_raw[[#This Row],[Column1]])</f>
        <v/>
      </c>
      <c r="B574" s="33" t="str">
        <f>IF(ISNONTEXT(namespace_raw[[#This Row],[Column2]]), "", namespace_raw[[#This Row],[Column2]])</f>
        <v/>
      </c>
      <c r="C574" s="94" t="str">
        <f>IF(ISNUMBER(namespace_raw[[#This Row],[Column4]]), namespace_raw[[#This Row],[Column4]], "")</f>
        <v/>
      </c>
      <c r="D574" s="95" t="str">
        <f>IF(ISNUMBER(namespace_raw[[#This Row],[Column5]]), namespace_raw[[#This Row],[Column5]]/1048576, "")</f>
        <v/>
      </c>
      <c r="E574" s="95" t="str">
        <f>IF(ISNUMBER(namespace_raw[[#This Row],[Column6]]), namespace_raw[[#This Row],[Column6]],"")</f>
        <v/>
      </c>
      <c r="F574" s="96" t="str">
        <f>IF(ISNUMBER(namespace_raw[[#This Row],[Column7]]), namespace_raw[[#This Row],[Column7]]/1048576,"")</f>
        <v/>
      </c>
      <c r="G574" s="122" t="str">
        <f>IF(ISNUMBER(namespace_raw[[#This Row],[Column8]]), namespace_raw[[#This Row],[Column8]],"")</f>
        <v/>
      </c>
      <c r="H574" s="123" t="str">
        <f>IF(ISNUMBER(namespace_raw[[#This Row],[Column9]]), namespace_raw[[#This Row],[Column9]]/1048576,"")</f>
        <v/>
      </c>
      <c r="I574" s="124" t="str">
        <f>IF(ISNUMBER(namespace_raw[[#This Row],[Column8]]),MAX(G574, M574, O574, $I$2,IF(Q574&lt;&gt;"",VALUE(Q574),0)), "")</f>
        <v/>
      </c>
      <c r="J574" s="125" t="str">
        <f>IF(ISNUMBER(namespace_raw[[#This Row],[Column9]]),MAX(H574, N574, P574, $J$2,IF(R574&lt;&gt;"",VALUE(R574),0)),"")</f>
        <v/>
      </c>
      <c r="K574" s="166" t="str">
        <f>IF(ISNUMBER(namespace_raw[[#This Row],[Column12]]), namespace_raw[[#This Row],[Column12]],"")</f>
        <v/>
      </c>
      <c r="L574" s="167" t="str">
        <f>IF(ISNUMBER(namespace_raw[[#This Row],[Column13]]), namespace_raw[[#This Row],[Column13]]/1048576,"")</f>
        <v/>
      </c>
      <c r="M574" s="168" t="str">
        <f>IF(ISNUMBER(namespace_raw[[#This Row],[Column10]]), (namespace_raw[[#This Row],[Column10]]*(1+$M$2)),"")</f>
        <v/>
      </c>
      <c r="N574" s="167" t="str">
        <f>IF(ISNUMBER(namespace_raw[[#This Row],[Column11]]), (namespace_raw[[#This Row],[Column11]]*(1+$N$2))/1048576,"")</f>
        <v/>
      </c>
      <c r="O574" s="169" t="str">
        <f>IF(ISNUMBER(namespace_raw[[#This Row],[Column8]]), (E574  * $O$2),"")</f>
        <v/>
      </c>
      <c r="P574" s="170" t="str">
        <f>IF(ISNUMBER(namespace_raw[[#This Row],[Column8]]), (F574  * $P$2),"")</f>
        <v/>
      </c>
    </row>
    <row r="575" spans="1:16" ht="15" customHeight="1" x14ac:dyDescent="0.25">
      <c r="A575" s="32" t="str">
        <f>IF(ISNONTEXT(namespace_raw[[#This Row],[Column1]]), "", namespace_raw[[#This Row],[Column1]])</f>
        <v/>
      </c>
      <c r="B575" s="33" t="str">
        <f>IF(ISNONTEXT(namespace_raw[[#This Row],[Column2]]), "", namespace_raw[[#This Row],[Column2]])</f>
        <v/>
      </c>
      <c r="C575" s="94" t="str">
        <f>IF(ISNUMBER(namespace_raw[[#This Row],[Column4]]), namespace_raw[[#This Row],[Column4]], "")</f>
        <v/>
      </c>
      <c r="D575" s="95" t="str">
        <f>IF(ISNUMBER(namespace_raw[[#This Row],[Column5]]), namespace_raw[[#This Row],[Column5]]/1048576, "")</f>
        <v/>
      </c>
      <c r="E575" s="95" t="str">
        <f>IF(ISNUMBER(namespace_raw[[#This Row],[Column6]]), namespace_raw[[#This Row],[Column6]],"")</f>
        <v/>
      </c>
      <c r="F575" s="96" t="str">
        <f>IF(ISNUMBER(namespace_raw[[#This Row],[Column7]]), namespace_raw[[#This Row],[Column7]]/1048576,"")</f>
        <v/>
      </c>
      <c r="G575" s="122" t="str">
        <f>IF(ISNUMBER(namespace_raw[[#This Row],[Column8]]), namespace_raw[[#This Row],[Column8]],"")</f>
        <v/>
      </c>
      <c r="H575" s="123" t="str">
        <f>IF(ISNUMBER(namespace_raw[[#This Row],[Column9]]), namespace_raw[[#This Row],[Column9]]/1048576,"")</f>
        <v/>
      </c>
      <c r="I575" s="124" t="str">
        <f>IF(ISNUMBER(namespace_raw[[#This Row],[Column8]]),MAX(G575, M575, O575, $I$2,IF(Q575&lt;&gt;"",VALUE(Q575),0)), "")</f>
        <v/>
      </c>
      <c r="J575" s="125" t="str">
        <f>IF(ISNUMBER(namespace_raw[[#This Row],[Column9]]),MAX(H575, N575, P575, $J$2,IF(R575&lt;&gt;"",VALUE(R575),0)),"")</f>
        <v/>
      </c>
      <c r="K575" s="166" t="str">
        <f>IF(ISNUMBER(namespace_raw[[#This Row],[Column12]]), namespace_raw[[#This Row],[Column12]],"")</f>
        <v/>
      </c>
      <c r="L575" s="167" t="str">
        <f>IF(ISNUMBER(namespace_raw[[#This Row],[Column13]]), namespace_raw[[#This Row],[Column13]]/1048576,"")</f>
        <v/>
      </c>
      <c r="M575" s="168" t="str">
        <f>IF(ISNUMBER(namespace_raw[[#This Row],[Column10]]), (namespace_raw[[#This Row],[Column10]]*(1+$M$2)),"")</f>
        <v/>
      </c>
      <c r="N575" s="167" t="str">
        <f>IF(ISNUMBER(namespace_raw[[#This Row],[Column11]]), (namespace_raw[[#This Row],[Column11]]*(1+$N$2))/1048576,"")</f>
        <v/>
      </c>
      <c r="O575" s="169" t="str">
        <f>IF(ISNUMBER(namespace_raw[[#This Row],[Column8]]), (E575  * $O$2),"")</f>
        <v/>
      </c>
      <c r="P575" s="170" t="str">
        <f>IF(ISNUMBER(namespace_raw[[#This Row],[Column8]]), (F575  * $P$2),"")</f>
        <v/>
      </c>
    </row>
    <row r="576" spans="1:16" ht="15" customHeight="1" x14ac:dyDescent="0.25">
      <c r="A576" s="32" t="str">
        <f>IF(ISNONTEXT(namespace_raw[[#This Row],[Column1]]), "", namespace_raw[[#This Row],[Column1]])</f>
        <v/>
      </c>
      <c r="B576" s="33" t="str">
        <f>IF(ISNONTEXT(namespace_raw[[#This Row],[Column2]]), "", namespace_raw[[#This Row],[Column2]])</f>
        <v/>
      </c>
      <c r="C576" s="94" t="str">
        <f>IF(ISNUMBER(namespace_raw[[#This Row],[Column4]]), namespace_raw[[#This Row],[Column4]], "")</f>
        <v/>
      </c>
      <c r="D576" s="95" t="str">
        <f>IF(ISNUMBER(namespace_raw[[#This Row],[Column5]]), namespace_raw[[#This Row],[Column5]]/1048576, "")</f>
        <v/>
      </c>
      <c r="E576" s="95" t="str">
        <f>IF(ISNUMBER(namespace_raw[[#This Row],[Column6]]), namespace_raw[[#This Row],[Column6]],"")</f>
        <v/>
      </c>
      <c r="F576" s="96" t="str">
        <f>IF(ISNUMBER(namespace_raw[[#This Row],[Column7]]), namespace_raw[[#This Row],[Column7]]/1048576,"")</f>
        <v/>
      </c>
      <c r="G576" s="122" t="str">
        <f>IF(ISNUMBER(namespace_raw[[#This Row],[Column8]]), namespace_raw[[#This Row],[Column8]],"")</f>
        <v/>
      </c>
      <c r="H576" s="123" t="str">
        <f>IF(ISNUMBER(namespace_raw[[#This Row],[Column9]]), namespace_raw[[#This Row],[Column9]]/1048576,"")</f>
        <v/>
      </c>
      <c r="I576" s="124" t="str">
        <f>IF(ISNUMBER(namespace_raw[[#This Row],[Column8]]),MAX(G576, M576, O576, $I$2,IF(Q576&lt;&gt;"",VALUE(Q576),0)), "")</f>
        <v/>
      </c>
      <c r="J576" s="125" t="str">
        <f>IF(ISNUMBER(namespace_raw[[#This Row],[Column9]]),MAX(H576, N576, P576, $J$2,IF(R576&lt;&gt;"",VALUE(R576),0)),"")</f>
        <v/>
      </c>
      <c r="K576" s="166" t="str">
        <f>IF(ISNUMBER(namespace_raw[[#This Row],[Column12]]), namespace_raw[[#This Row],[Column12]],"")</f>
        <v/>
      </c>
      <c r="L576" s="167" t="str">
        <f>IF(ISNUMBER(namespace_raw[[#This Row],[Column13]]), namespace_raw[[#This Row],[Column13]]/1048576,"")</f>
        <v/>
      </c>
      <c r="M576" s="168" t="str">
        <f>IF(ISNUMBER(namespace_raw[[#This Row],[Column10]]), (namespace_raw[[#This Row],[Column10]]*(1+$M$2)),"")</f>
        <v/>
      </c>
      <c r="N576" s="167" t="str">
        <f>IF(ISNUMBER(namespace_raw[[#This Row],[Column11]]), (namespace_raw[[#This Row],[Column11]]*(1+$N$2))/1048576,"")</f>
        <v/>
      </c>
      <c r="O576" s="169" t="str">
        <f>IF(ISNUMBER(namespace_raw[[#This Row],[Column8]]), (E576  * $O$2),"")</f>
        <v/>
      </c>
      <c r="P576" s="170" t="str">
        <f>IF(ISNUMBER(namespace_raw[[#This Row],[Column8]]), (F576  * $P$2),"")</f>
        <v/>
      </c>
    </row>
    <row r="577" spans="1:16" ht="15" customHeight="1" x14ac:dyDescent="0.25">
      <c r="A577" s="32" t="str">
        <f>IF(ISNONTEXT(namespace_raw[[#This Row],[Column1]]), "", namespace_raw[[#This Row],[Column1]])</f>
        <v/>
      </c>
      <c r="B577" s="33" t="str">
        <f>IF(ISNONTEXT(namespace_raw[[#This Row],[Column2]]), "", namespace_raw[[#This Row],[Column2]])</f>
        <v/>
      </c>
      <c r="C577" s="94" t="str">
        <f>IF(ISNUMBER(namespace_raw[[#This Row],[Column4]]), namespace_raw[[#This Row],[Column4]], "")</f>
        <v/>
      </c>
      <c r="D577" s="95" t="str">
        <f>IF(ISNUMBER(namespace_raw[[#This Row],[Column5]]), namespace_raw[[#This Row],[Column5]]/1048576, "")</f>
        <v/>
      </c>
      <c r="E577" s="95" t="str">
        <f>IF(ISNUMBER(namespace_raw[[#This Row],[Column6]]), namespace_raw[[#This Row],[Column6]],"")</f>
        <v/>
      </c>
      <c r="F577" s="96" t="str">
        <f>IF(ISNUMBER(namespace_raw[[#This Row],[Column7]]), namespace_raw[[#This Row],[Column7]]/1048576,"")</f>
        <v/>
      </c>
      <c r="G577" s="122" t="str">
        <f>IF(ISNUMBER(namespace_raw[[#This Row],[Column8]]), namespace_raw[[#This Row],[Column8]],"")</f>
        <v/>
      </c>
      <c r="H577" s="123" t="str">
        <f>IF(ISNUMBER(namespace_raw[[#This Row],[Column9]]), namespace_raw[[#This Row],[Column9]]/1048576,"")</f>
        <v/>
      </c>
      <c r="I577" s="124" t="str">
        <f>IF(ISNUMBER(namespace_raw[[#This Row],[Column8]]),MAX(G577, M577, O577, $I$2,IF(Q577&lt;&gt;"",VALUE(Q577),0)), "")</f>
        <v/>
      </c>
      <c r="J577" s="125" t="str">
        <f>IF(ISNUMBER(namespace_raw[[#This Row],[Column9]]),MAX(H577, N577, P577, $J$2,IF(R577&lt;&gt;"",VALUE(R577),0)),"")</f>
        <v/>
      </c>
      <c r="K577" s="166" t="str">
        <f>IF(ISNUMBER(namespace_raw[[#This Row],[Column12]]), namespace_raw[[#This Row],[Column12]],"")</f>
        <v/>
      </c>
      <c r="L577" s="167" t="str">
        <f>IF(ISNUMBER(namespace_raw[[#This Row],[Column13]]), namespace_raw[[#This Row],[Column13]]/1048576,"")</f>
        <v/>
      </c>
      <c r="M577" s="168" t="str">
        <f>IF(ISNUMBER(namespace_raw[[#This Row],[Column10]]), (namespace_raw[[#This Row],[Column10]]*(1+$M$2)),"")</f>
        <v/>
      </c>
      <c r="N577" s="167" t="str">
        <f>IF(ISNUMBER(namespace_raw[[#This Row],[Column11]]), (namespace_raw[[#This Row],[Column11]]*(1+$N$2))/1048576,"")</f>
        <v/>
      </c>
      <c r="O577" s="169" t="str">
        <f>IF(ISNUMBER(namespace_raw[[#This Row],[Column8]]), (E577  * $O$2),"")</f>
        <v/>
      </c>
      <c r="P577" s="170" t="str">
        <f>IF(ISNUMBER(namespace_raw[[#This Row],[Column8]]), (F577  * $P$2),"")</f>
        <v/>
      </c>
    </row>
    <row r="578" spans="1:16" ht="15" customHeight="1" x14ac:dyDescent="0.25">
      <c r="A578" s="32" t="str">
        <f>IF(ISNONTEXT(namespace_raw[[#This Row],[Column1]]), "", namespace_raw[[#This Row],[Column1]])</f>
        <v/>
      </c>
      <c r="B578" s="33" t="str">
        <f>IF(ISNONTEXT(namespace_raw[[#This Row],[Column2]]), "", namespace_raw[[#This Row],[Column2]])</f>
        <v/>
      </c>
      <c r="C578" s="94" t="str">
        <f>IF(ISNUMBER(namespace_raw[[#This Row],[Column4]]), namespace_raw[[#This Row],[Column4]], "")</f>
        <v/>
      </c>
      <c r="D578" s="95" t="str">
        <f>IF(ISNUMBER(namespace_raw[[#This Row],[Column5]]), namespace_raw[[#This Row],[Column5]]/1048576, "")</f>
        <v/>
      </c>
      <c r="E578" s="95" t="str">
        <f>IF(ISNUMBER(namespace_raw[[#This Row],[Column6]]), namespace_raw[[#This Row],[Column6]],"")</f>
        <v/>
      </c>
      <c r="F578" s="96" t="str">
        <f>IF(ISNUMBER(namespace_raw[[#This Row],[Column7]]), namespace_raw[[#This Row],[Column7]]/1048576,"")</f>
        <v/>
      </c>
      <c r="G578" s="122" t="str">
        <f>IF(ISNUMBER(namespace_raw[[#This Row],[Column8]]), namespace_raw[[#This Row],[Column8]],"")</f>
        <v/>
      </c>
      <c r="H578" s="123" t="str">
        <f>IF(ISNUMBER(namespace_raw[[#This Row],[Column9]]), namespace_raw[[#This Row],[Column9]]/1048576,"")</f>
        <v/>
      </c>
      <c r="I578" s="124" t="str">
        <f>IF(ISNUMBER(namespace_raw[[#This Row],[Column8]]),MAX(G578, M578, O578, $I$2,IF(Q578&lt;&gt;"",VALUE(Q578),0)), "")</f>
        <v/>
      </c>
      <c r="J578" s="125" t="str">
        <f>IF(ISNUMBER(namespace_raw[[#This Row],[Column9]]),MAX(H578, N578, P578, $J$2,IF(R578&lt;&gt;"",VALUE(R578),0)),"")</f>
        <v/>
      </c>
      <c r="K578" s="166" t="str">
        <f>IF(ISNUMBER(namespace_raw[[#This Row],[Column12]]), namespace_raw[[#This Row],[Column12]],"")</f>
        <v/>
      </c>
      <c r="L578" s="167" t="str">
        <f>IF(ISNUMBER(namespace_raw[[#This Row],[Column13]]), namespace_raw[[#This Row],[Column13]]/1048576,"")</f>
        <v/>
      </c>
      <c r="M578" s="168" t="str">
        <f>IF(ISNUMBER(namespace_raw[[#This Row],[Column10]]), (namespace_raw[[#This Row],[Column10]]*(1+$M$2)),"")</f>
        <v/>
      </c>
      <c r="N578" s="167" t="str">
        <f>IF(ISNUMBER(namespace_raw[[#This Row],[Column11]]), (namespace_raw[[#This Row],[Column11]]*(1+$N$2))/1048576,"")</f>
        <v/>
      </c>
      <c r="O578" s="169" t="str">
        <f>IF(ISNUMBER(namespace_raw[[#This Row],[Column8]]), (E578  * $O$2),"")</f>
        <v/>
      </c>
      <c r="P578" s="170" t="str">
        <f>IF(ISNUMBER(namespace_raw[[#This Row],[Column8]]), (F578  * $P$2),"")</f>
        <v/>
      </c>
    </row>
    <row r="579" spans="1:16" ht="15" customHeight="1" x14ac:dyDescent="0.25">
      <c r="A579" s="32" t="str">
        <f>IF(ISNONTEXT(namespace_raw[[#This Row],[Column1]]), "", namespace_raw[[#This Row],[Column1]])</f>
        <v/>
      </c>
      <c r="B579" s="33" t="str">
        <f>IF(ISNONTEXT(namespace_raw[[#This Row],[Column2]]), "", namespace_raw[[#This Row],[Column2]])</f>
        <v/>
      </c>
      <c r="C579" s="94" t="str">
        <f>IF(ISNUMBER(namespace_raw[[#This Row],[Column4]]), namespace_raw[[#This Row],[Column4]], "")</f>
        <v/>
      </c>
      <c r="D579" s="95" t="str">
        <f>IF(ISNUMBER(namespace_raw[[#This Row],[Column5]]), namespace_raw[[#This Row],[Column5]]/1048576, "")</f>
        <v/>
      </c>
      <c r="E579" s="95" t="str">
        <f>IF(ISNUMBER(namespace_raw[[#This Row],[Column6]]), namespace_raw[[#This Row],[Column6]],"")</f>
        <v/>
      </c>
      <c r="F579" s="96" t="str">
        <f>IF(ISNUMBER(namespace_raw[[#This Row],[Column7]]), namespace_raw[[#This Row],[Column7]]/1048576,"")</f>
        <v/>
      </c>
      <c r="G579" s="122" t="str">
        <f>IF(ISNUMBER(namespace_raw[[#This Row],[Column8]]), namespace_raw[[#This Row],[Column8]],"")</f>
        <v/>
      </c>
      <c r="H579" s="123" t="str">
        <f>IF(ISNUMBER(namespace_raw[[#This Row],[Column9]]), namespace_raw[[#This Row],[Column9]]/1048576,"")</f>
        <v/>
      </c>
      <c r="I579" s="124" t="str">
        <f>IF(ISNUMBER(namespace_raw[[#This Row],[Column8]]),MAX(G579, M579, O579, $I$2,IF(Q579&lt;&gt;"",VALUE(Q579),0)), "")</f>
        <v/>
      </c>
      <c r="J579" s="125" t="str">
        <f>IF(ISNUMBER(namespace_raw[[#This Row],[Column9]]),MAX(H579, N579, P579, $J$2,IF(R579&lt;&gt;"",VALUE(R579),0)),"")</f>
        <v/>
      </c>
      <c r="K579" s="166" t="str">
        <f>IF(ISNUMBER(namespace_raw[[#This Row],[Column12]]), namespace_raw[[#This Row],[Column12]],"")</f>
        <v/>
      </c>
      <c r="L579" s="167" t="str">
        <f>IF(ISNUMBER(namespace_raw[[#This Row],[Column13]]), namespace_raw[[#This Row],[Column13]]/1048576,"")</f>
        <v/>
      </c>
      <c r="M579" s="168" t="str">
        <f>IF(ISNUMBER(namespace_raw[[#This Row],[Column10]]), (namespace_raw[[#This Row],[Column10]]*(1+$M$2)),"")</f>
        <v/>
      </c>
      <c r="N579" s="167" t="str">
        <f>IF(ISNUMBER(namespace_raw[[#This Row],[Column11]]), (namespace_raw[[#This Row],[Column11]]*(1+$N$2))/1048576,"")</f>
        <v/>
      </c>
      <c r="O579" s="169" t="str">
        <f>IF(ISNUMBER(namespace_raw[[#This Row],[Column8]]), (E579  * $O$2),"")</f>
        <v/>
      </c>
      <c r="P579" s="170" t="str">
        <f>IF(ISNUMBER(namespace_raw[[#This Row],[Column8]]), (F579  * $P$2),"")</f>
        <v/>
      </c>
    </row>
    <row r="580" spans="1:16" ht="15" customHeight="1" x14ac:dyDescent="0.25">
      <c r="A580" s="32" t="str">
        <f>IF(ISNONTEXT(namespace_raw[[#This Row],[Column1]]), "", namespace_raw[[#This Row],[Column1]])</f>
        <v/>
      </c>
      <c r="B580" s="33" t="str">
        <f>IF(ISNONTEXT(namespace_raw[[#This Row],[Column2]]), "", namespace_raw[[#This Row],[Column2]])</f>
        <v/>
      </c>
      <c r="C580" s="94" t="str">
        <f>IF(ISNUMBER(namespace_raw[[#This Row],[Column4]]), namespace_raw[[#This Row],[Column4]], "")</f>
        <v/>
      </c>
      <c r="D580" s="95" t="str">
        <f>IF(ISNUMBER(namespace_raw[[#This Row],[Column5]]), namespace_raw[[#This Row],[Column5]]/1048576, "")</f>
        <v/>
      </c>
      <c r="E580" s="95" t="str">
        <f>IF(ISNUMBER(namespace_raw[[#This Row],[Column6]]), namespace_raw[[#This Row],[Column6]],"")</f>
        <v/>
      </c>
      <c r="F580" s="96" t="str">
        <f>IF(ISNUMBER(namespace_raw[[#This Row],[Column7]]), namespace_raw[[#This Row],[Column7]]/1048576,"")</f>
        <v/>
      </c>
      <c r="G580" s="122" t="str">
        <f>IF(ISNUMBER(namespace_raw[[#This Row],[Column8]]), namespace_raw[[#This Row],[Column8]],"")</f>
        <v/>
      </c>
      <c r="H580" s="123" t="str">
        <f>IF(ISNUMBER(namespace_raw[[#This Row],[Column9]]), namespace_raw[[#This Row],[Column9]]/1048576,"")</f>
        <v/>
      </c>
      <c r="I580" s="124" t="str">
        <f>IF(ISNUMBER(namespace_raw[[#This Row],[Column8]]),MAX(G580, M580, O580, $I$2,IF(Q580&lt;&gt;"",VALUE(Q580),0)), "")</f>
        <v/>
      </c>
      <c r="J580" s="125" t="str">
        <f>IF(ISNUMBER(namespace_raw[[#This Row],[Column9]]),MAX(H580, N580, P580, $J$2,IF(R580&lt;&gt;"",VALUE(R580),0)),"")</f>
        <v/>
      </c>
      <c r="K580" s="166" t="str">
        <f>IF(ISNUMBER(namespace_raw[[#This Row],[Column12]]), namespace_raw[[#This Row],[Column12]],"")</f>
        <v/>
      </c>
      <c r="L580" s="167" t="str">
        <f>IF(ISNUMBER(namespace_raw[[#This Row],[Column13]]), namespace_raw[[#This Row],[Column13]]/1048576,"")</f>
        <v/>
      </c>
      <c r="M580" s="168" t="str">
        <f>IF(ISNUMBER(namespace_raw[[#This Row],[Column10]]), (namespace_raw[[#This Row],[Column10]]*(1+$M$2)),"")</f>
        <v/>
      </c>
      <c r="N580" s="167" t="str">
        <f>IF(ISNUMBER(namespace_raw[[#This Row],[Column11]]), (namespace_raw[[#This Row],[Column11]]*(1+$N$2))/1048576,"")</f>
        <v/>
      </c>
      <c r="O580" s="169" t="str">
        <f>IF(ISNUMBER(namespace_raw[[#This Row],[Column8]]), (E580  * $O$2),"")</f>
        <v/>
      </c>
      <c r="P580" s="170" t="str">
        <f>IF(ISNUMBER(namespace_raw[[#This Row],[Column8]]), (F580  * $P$2),"")</f>
        <v/>
      </c>
    </row>
    <row r="581" spans="1:16" ht="15" customHeight="1" x14ac:dyDescent="0.25">
      <c r="A581" s="32" t="str">
        <f>IF(ISNONTEXT(namespace_raw[[#This Row],[Column1]]), "", namespace_raw[[#This Row],[Column1]])</f>
        <v/>
      </c>
      <c r="B581" s="33" t="str">
        <f>IF(ISNONTEXT(namespace_raw[[#This Row],[Column2]]), "", namespace_raw[[#This Row],[Column2]])</f>
        <v/>
      </c>
      <c r="C581" s="94" t="str">
        <f>IF(ISNUMBER(namespace_raw[[#This Row],[Column4]]), namespace_raw[[#This Row],[Column4]], "")</f>
        <v/>
      </c>
      <c r="D581" s="95" t="str">
        <f>IF(ISNUMBER(namespace_raw[[#This Row],[Column5]]), namespace_raw[[#This Row],[Column5]]/1048576, "")</f>
        <v/>
      </c>
      <c r="E581" s="95" t="str">
        <f>IF(ISNUMBER(namespace_raw[[#This Row],[Column6]]), namespace_raw[[#This Row],[Column6]],"")</f>
        <v/>
      </c>
      <c r="F581" s="96" t="str">
        <f>IF(ISNUMBER(namespace_raw[[#This Row],[Column7]]), namespace_raw[[#This Row],[Column7]]/1048576,"")</f>
        <v/>
      </c>
      <c r="G581" s="122" t="str">
        <f>IF(ISNUMBER(namespace_raw[[#This Row],[Column8]]), namespace_raw[[#This Row],[Column8]],"")</f>
        <v/>
      </c>
      <c r="H581" s="123" t="str">
        <f>IF(ISNUMBER(namespace_raw[[#This Row],[Column9]]), namespace_raw[[#This Row],[Column9]]/1048576,"")</f>
        <v/>
      </c>
      <c r="I581" s="124" t="str">
        <f>IF(ISNUMBER(namespace_raw[[#This Row],[Column8]]),MAX(G581, M581, O581, $I$2,IF(Q581&lt;&gt;"",VALUE(Q581),0)), "")</f>
        <v/>
      </c>
      <c r="J581" s="125" t="str">
        <f>IF(ISNUMBER(namespace_raw[[#This Row],[Column9]]),MAX(H581, N581, P581, $J$2,IF(R581&lt;&gt;"",VALUE(R581),0)),"")</f>
        <v/>
      </c>
      <c r="K581" s="166" t="str">
        <f>IF(ISNUMBER(namespace_raw[[#This Row],[Column12]]), namespace_raw[[#This Row],[Column12]],"")</f>
        <v/>
      </c>
      <c r="L581" s="167" t="str">
        <f>IF(ISNUMBER(namespace_raw[[#This Row],[Column13]]), namespace_raw[[#This Row],[Column13]]/1048576,"")</f>
        <v/>
      </c>
      <c r="M581" s="168" t="str">
        <f>IF(ISNUMBER(namespace_raw[[#This Row],[Column10]]), (namespace_raw[[#This Row],[Column10]]*(1+$M$2)),"")</f>
        <v/>
      </c>
      <c r="N581" s="167" t="str">
        <f>IF(ISNUMBER(namespace_raw[[#This Row],[Column11]]), (namespace_raw[[#This Row],[Column11]]*(1+$N$2))/1048576,"")</f>
        <v/>
      </c>
      <c r="O581" s="169" t="str">
        <f>IF(ISNUMBER(namespace_raw[[#This Row],[Column8]]), (E581  * $O$2),"")</f>
        <v/>
      </c>
      <c r="P581" s="170" t="str">
        <f>IF(ISNUMBER(namespace_raw[[#This Row],[Column8]]), (F581  * $P$2),"")</f>
        <v/>
      </c>
    </row>
    <row r="582" spans="1:16" ht="15" customHeight="1" x14ac:dyDescent="0.25">
      <c r="A582" s="32" t="str">
        <f>IF(ISNONTEXT(namespace_raw[[#This Row],[Column1]]), "", namespace_raw[[#This Row],[Column1]])</f>
        <v/>
      </c>
      <c r="B582" s="33" t="str">
        <f>IF(ISNONTEXT(namespace_raw[[#This Row],[Column2]]), "", namespace_raw[[#This Row],[Column2]])</f>
        <v/>
      </c>
      <c r="C582" s="94" t="str">
        <f>IF(ISNUMBER(namespace_raw[[#This Row],[Column4]]), namespace_raw[[#This Row],[Column4]], "")</f>
        <v/>
      </c>
      <c r="D582" s="95" t="str">
        <f>IF(ISNUMBER(namespace_raw[[#This Row],[Column5]]), namespace_raw[[#This Row],[Column5]]/1048576, "")</f>
        <v/>
      </c>
      <c r="E582" s="95" t="str">
        <f>IF(ISNUMBER(namespace_raw[[#This Row],[Column6]]), namespace_raw[[#This Row],[Column6]],"")</f>
        <v/>
      </c>
      <c r="F582" s="96" t="str">
        <f>IF(ISNUMBER(namespace_raw[[#This Row],[Column7]]), namespace_raw[[#This Row],[Column7]]/1048576,"")</f>
        <v/>
      </c>
      <c r="G582" s="122" t="str">
        <f>IF(ISNUMBER(namespace_raw[[#This Row],[Column8]]), namespace_raw[[#This Row],[Column8]],"")</f>
        <v/>
      </c>
      <c r="H582" s="123" t="str">
        <f>IF(ISNUMBER(namespace_raw[[#This Row],[Column9]]), namespace_raw[[#This Row],[Column9]]/1048576,"")</f>
        <v/>
      </c>
      <c r="I582" s="124" t="str">
        <f>IF(ISNUMBER(namespace_raw[[#This Row],[Column8]]),MAX(G582, M582, O582, $I$2,IF(Q582&lt;&gt;"",VALUE(Q582),0)), "")</f>
        <v/>
      </c>
      <c r="J582" s="125" t="str">
        <f>IF(ISNUMBER(namespace_raw[[#This Row],[Column9]]),MAX(H582, N582, P582, $J$2,IF(R582&lt;&gt;"",VALUE(R582),0)),"")</f>
        <v/>
      </c>
      <c r="K582" s="166" t="str">
        <f>IF(ISNUMBER(namespace_raw[[#This Row],[Column12]]), namespace_raw[[#This Row],[Column12]],"")</f>
        <v/>
      </c>
      <c r="L582" s="167" t="str">
        <f>IF(ISNUMBER(namespace_raw[[#This Row],[Column13]]), namespace_raw[[#This Row],[Column13]]/1048576,"")</f>
        <v/>
      </c>
      <c r="M582" s="168" t="str">
        <f>IF(ISNUMBER(namespace_raw[[#This Row],[Column10]]), (namespace_raw[[#This Row],[Column10]]*(1+$M$2)),"")</f>
        <v/>
      </c>
      <c r="N582" s="167" t="str">
        <f>IF(ISNUMBER(namespace_raw[[#This Row],[Column11]]), (namespace_raw[[#This Row],[Column11]]*(1+$N$2))/1048576,"")</f>
        <v/>
      </c>
      <c r="O582" s="169" t="str">
        <f>IF(ISNUMBER(namespace_raw[[#This Row],[Column8]]), (E582  * $O$2),"")</f>
        <v/>
      </c>
      <c r="P582" s="170" t="str">
        <f>IF(ISNUMBER(namespace_raw[[#This Row],[Column8]]), (F582  * $P$2),"")</f>
        <v/>
      </c>
    </row>
    <row r="583" spans="1:16" ht="15" customHeight="1" x14ac:dyDescent="0.25">
      <c r="A583" s="32" t="str">
        <f>IF(ISNONTEXT(namespace_raw[[#This Row],[Column1]]), "", namespace_raw[[#This Row],[Column1]])</f>
        <v/>
      </c>
      <c r="B583" s="33" t="str">
        <f>IF(ISNONTEXT(namespace_raw[[#This Row],[Column2]]), "", namespace_raw[[#This Row],[Column2]])</f>
        <v/>
      </c>
      <c r="C583" s="94" t="str">
        <f>IF(ISNUMBER(namespace_raw[[#This Row],[Column4]]), namespace_raw[[#This Row],[Column4]], "")</f>
        <v/>
      </c>
      <c r="D583" s="95" t="str">
        <f>IF(ISNUMBER(namespace_raw[[#This Row],[Column5]]), namespace_raw[[#This Row],[Column5]]/1048576, "")</f>
        <v/>
      </c>
      <c r="E583" s="95" t="str">
        <f>IF(ISNUMBER(namespace_raw[[#This Row],[Column6]]), namespace_raw[[#This Row],[Column6]],"")</f>
        <v/>
      </c>
      <c r="F583" s="96" t="str">
        <f>IF(ISNUMBER(namespace_raw[[#This Row],[Column7]]), namespace_raw[[#This Row],[Column7]]/1048576,"")</f>
        <v/>
      </c>
      <c r="G583" s="122" t="str">
        <f>IF(ISNUMBER(namespace_raw[[#This Row],[Column8]]), namespace_raw[[#This Row],[Column8]],"")</f>
        <v/>
      </c>
      <c r="H583" s="123" t="str">
        <f>IF(ISNUMBER(namespace_raw[[#This Row],[Column9]]), namespace_raw[[#This Row],[Column9]]/1048576,"")</f>
        <v/>
      </c>
      <c r="I583" s="124" t="str">
        <f>IF(ISNUMBER(namespace_raw[[#This Row],[Column8]]),MAX(G583, M583, O583, $I$2,IF(Q583&lt;&gt;"",VALUE(Q583),0)), "")</f>
        <v/>
      </c>
      <c r="J583" s="125" t="str">
        <f>IF(ISNUMBER(namespace_raw[[#This Row],[Column9]]),MAX(H583, N583, P583, $J$2,IF(R583&lt;&gt;"",VALUE(R583),0)),"")</f>
        <v/>
      </c>
      <c r="K583" s="166" t="str">
        <f>IF(ISNUMBER(namespace_raw[[#This Row],[Column12]]), namespace_raw[[#This Row],[Column12]],"")</f>
        <v/>
      </c>
      <c r="L583" s="167" t="str">
        <f>IF(ISNUMBER(namespace_raw[[#This Row],[Column13]]), namespace_raw[[#This Row],[Column13]]/1048576,"")</f>
        <v/>
      </c>
      <c r="M583" s="168" t="str">
        <f>IF(ISNUMBER(namespace_raw[[#This Row],[Column10]]), (namespace_raw[[#This Row],[Column10]]*(1+$M$2)),"")</f>
        <v/>
      </c>
      <c r="N583" s="167" t="str">
        <f>IF(ISNUMBER(namespace_raw[[#This Row],[Column11]]), (namespace_raw[[#This Row],[Column11]]*(1+$N$2))/1048576,"")</f>
        <v/>
      </c>
      <c r="O583" s="169" t="str">
        <f>IF(ISNUMBER(namespace_raw[[#This Row],[Column8]]), (E583  * $O$2),"")</f>
        <v/>
      </c>
      <c r="P583" s="170" t="str">
        <f>IF(ISNUMBER(namespace_raw[[#This Row],[Column8]]), (F583  * $P$2),"")</f>
        <v/>
      </c>
    </row>
    <row r="584" spans="1:16" ht="15" customHeight="1" x14ac:dyDescent="0.25">
      <c r="A584" s="32" t="str">
        <f>IF(ISNONTEXT(namespace_raw[[#This Row],[Column1]]), "", namespace_raw[[#This Row],[Column1]])</f>
        <v/>
      </c>
      <c r="B584" s="33" t="str">
        <f>IF(ISNONTEXT(namespace_raw[[#This Row],[Column2]]), "", namespace_raw[[#This Row],[Column2]])</f>
        <v/>
      </c>
      <c r="C584" s="94" t="str">
        <f>IF(ISNUMBER(namespace_raw[[#This Row],[Column4]]), namespace_raw[[#This Row],[Column4]], "")</f>
        <v/>
      </c>
      <c r="D584" s="95" t="str">
        <f>IF(ISNUMBER(namespace_raw[[#This Row],[Column5]]), namespace_raw[[#This Row],[Column5]]/1048576, "")</f>
        <v/>
      </c>
      <c r="E584" s="95" t="str">
        <f>IF(ISNUMBER(namespace_raw[[#This Row],[Column6]]), namespace_raw[[#This Row],[Column6]],"")</f>
        <v/>
      </c>
      <c r="F584" s="96" t="str">
        <f>IF(ISNUMBER(namespace_raw[[#This Row],[Column7]]), namespace_raw[[#This Row],[Column7]]/1048576,"")</f>
        <v/>
      </c>
      <c r="G584" s="122" t="str">
        <f>IF(ISNUMBER(namespace_raw[[#This Row],[Column8]]), namespace_raw[[#This Row],[Column8]],"")</f>
        <v/>
      </c>
      <c r="H584" s="123" t="str">
        <f>IF(ISNUMBER(namespace_raw[[#This Row],[Column9]]), namespace_raw[[#This Row],[Column9]]/1048576,"")</f>
        <v/>
      </c>
      <c r="I584" s="124" t="str">
        <f>IF(ISNUMBER(namespace_raw[[#This Row],[Column8]]),MAX(G584, M584, O584, $I$2,IF(Q584&lt;&gt;"",VALUE(Q584),0)), "")</f>
        <v/>
      </c>
      <c r="J584" s="125" t="str">
        <f>IF(ISNUMBER(namespace_raw[[#This Row],[Column9]]),MAX(H584, N584, P584, $J$2,IF(R584&lt;&gt;"",VALUE(R584),0)),"")</f>
        <v/>
      </c>
      <c r="K584" s="166" t="str">
        <f>IF(ISNUMBER(namespace_raw[[#This Row],[Column12]]), namespace_raw[[#This Row],[Column12]],"")</f>
        <v/>
      </c>
      <c r="L584" s="167" t="str">
        <f>IF(ISNUMBER(namespace_raw[[#This Row],[Column13]]), namespace_raw[[#This Row],[Column13]]/1048576,"")</f>
        <v/>
      </c>
      <c r="M584" s="168" t="str">
        <f>IF(ISNUMBER(namespace_raw[[#This Row],[Column10]]), (namespace_raw[[#This Row],[Column10]]*(1+$M$2)),"")</f>
        <v/>
      </c>
      <c r="N584" s="167" t="str">
        <f>IF(ISNUMBER(namespace_raw[[#This Row],[Column11]]), (namespace_raw[[#This Row],[Column11]]*(1+$N$2))/1048576,"")</f>
        <v/>
      </c>
      <c r="O584" s="169" t="str">
        <f>IF(ISNUMBER(namespace_raw[[#This Row],[Column8]]), (E584  * $O$2),"")</f>
        <v/>
      </c>
      <c r="P584" s="170" t="str">
        <f>IF(ISNUMBER(namespace_raw[[#This Row],[Column8]]), (F584  * $P$2),"")</f>
        <v/>
      </c>
    </row>
    <row r="585" spans="1:16" ht="15" customHeight="1" x14ac:dyDescent="0.25">
      <c r="A585" s="32" t="str">
        <f>IF(ISNONTEXT(namespace_raw[[#This Row],[Column1]]), "", namespace_raw[[#This Row],[Column1]])</f>
        <v/>
      </c>
      <c r="B585" s="33" t="str">
        <f>IF(ISNONTEXT(namespace_raw[[#This Row],[Column2]]), "", namespace_raw[[#This Row],[Column2]])</f>
        <v/>
      </c>
      <c r="C585" s="94" t="str">
        <f>IF(ISNUMBER(namespace_raw[[#This Row],[Column4]]), namespace_raw[[#This Row],[Column4]], "")</f>
        <v/>
      </c>
      <c r="D585" s="95" t="str">
        <f>IF(ISNUMBER(namespace_raw[[#This Row],[Column5]]), namespace_raw[[#This Row],[Column5]]/1048576, "")</f>
        <v/>
      </c>
      <c r="E585" s="95" t="str">
        <f>IF(ISNUMBER(namespace_raw[[#This Row],[Column6]]), namespace_raw[[#This Row],[Column6]],"")</f>
        <v/>
      </c>
      <c r="F585" s="96" t="str">
        <f>IF(ISNUMBER(namespace_raw[[#This Row],[Column7]]), namespace_raw[[#This Row],[Column7]]/1048576,"")</f>
        <v/>
      </c>
      <c r="G585" s="122" t="str">
        <f>IF(ISNUMBER(namespace_raw[[#This Row],[Column8]]), namespace_raw[[#This Row],[Column8]],"")</f>
        <v/>
      </c>
      <c r="H585" s="123" t="str">
        <f>IF(ISNUMBER(namespace_raw[[#This Row],[Column9]]), namespace_raw[[#This Row],[Column9]]/1048576,"")</f>
        <v/>
      </c>
      <c r="I585" s="124" t="str">
        <f>IF(ISNUMBER(namespace_raw[[#This Row],[Column8]]),MAX(G585, M585, O585, $I$2,IF(Q585&lt;&gt;"",VALUE(Q585),0)), "")</f>
        <v/>
      </c>
      <c r="J585" s="125" t="str">
        <f>IF(ISNUMBER(namespace_raw[[#This Row],[Column9]]),MAX(H585, N585, P585, $J$2,IF(R585&lt;&gt;"",VALUE(R585),0)),"")</f>
        <v/>
      </c>
      <c r="K585" s="166" t="str">
        <f>IF(ISNUMBER(namespace_raw[[#This Row],[Column12]]), namespace_raw[[#This Row],[Column12]],"")</f>
        <v/>
      </c>
      <c r="L585" s="167" t="str">
        <f>IF(ISNUMBER(namespace_raw[[#This Row],[Column13]]), namespace_raw[[#This Row],[Column13]]/1048576,"")</f>
        <v/>
      </c>
      <c r="M585" s="168" t="str">
        <f>IF(ISNUMBER(namespace_raw[[#This Row],[Column10]]), (namespace_raw[[#This Row],[Column10]]*(1+$M$2)),"")</f>
        <v/>
      </c>
      <c r="N585" s="167" t="str">
        <f>IF(ISNUMBER(namespace_raw[[#This Row],[Column11]]), (namespace_raw[[#This Row],[Column11]]*(1+$N$2))/1048576,"")</f>
        <v/>
      </c>
      <c r="O585" s="169" t="str">
        <f>IF(ISNUMBER(namespace_raw[[#This Row],[Column8]]), (E585  * $O$2),"")</f>
        <v/>
      </c>
      <c r="P585" s="170" t="str">
        <f>IF(ISNUMBER(namespace_raw[[#This Row],[Column8]]), (F585  * $P$2),"")</f>
        <v/>
      </c>
    </row>
    <row r="586" spans="1:16" ht="15" customHeight="1" x14ac:dyDescent="0.25">
      <c r="A586" s="32" t="str">
        <f>IF(ISNONTEXT(namespace_raw[[#This Row],[Column1]]), "", namespace_raw[[#This Row],[Column1]])</f>
        <v/>
      </c>
      <c r="B586" s="33" t="str">
        <f>IF(ISNONTEXT(namespace_raw[[#This Row],[Column2]]), "", namespace_raw[[#This Row],[Column2]])</f>
        <v/>
      </c>
      <c r="C586" s="94" t="str">
        <f>IF(ISNUMBER(namespace_raw[[#This Row],[Column4]]), namespace_raw[[#This Row],[Column4]], "")</f>
        <v/>
      </c>
      <c r="D586" s="95" t="str">
        <f>IF(ISNUMBER(namespace_raw[[#This Row],[Column5]]), namespace_raw[[#This Row],[Column5]]/1048576, "")</f>
        <v/>
      </c>
      <c r="E586" s="95" t="str">
        <f>IF(ISNUMBER(namespace_raw[[#This Row],[Column6]]), namespace_raw[[#This Row],[Column6]],"")</f>
        <v/>
      </c>
      <c r="F586" s="96" t="str">
        <f>IF(ISNUMBER(namespace_raw[[#This Row],[Column7]]), namespace_raw[[#This Row],[Column7]]/1048576,"")</f>
        <v/>
      </c>
      <c r="G586" s="122" t="str">
        <f>IF(ISNUMBER(namespace_raw[[#This Row],[Column8]]), namespace_raw[[#This Row],[Column8]],"")</f>
        <v/>
      </c>
      <c r="H586" s="123" t="str">
        <f>IF(ISNUMBER(namespace_raw[[#This Row],[Column9]]), namespace_raw[[#This Row],[Column9]]/1048576,"")</f>
        <v/>
      </c>
      <c r="I586" s="124" t="str">
        <f>IF(ISNUMBER(namespace_raw[[#This Row],[Column8]]),MAX(G586, M586, O586, $I$2,IF(Q586&lt;&gt;"",VALUE(Q586),0)), "")</f>
        <v/>
      </c>
      <c r="J586" s="125" t="str">
        <f>IF(ISNUMBER(namespace_raw[[#This Row],[Column9]]),MAX(H586, N586, P586, $J$2,IF(R586&lt;&gt;"",VALUE(R586),0)),"")</f>
        <v/>
      </c>
      <c r="K586" s="166" t="str">
        <f>IF(ISNUMBER(namespace_raw[[#This Row],[Column12]]), namespace_raw[[#This Row],[Column12]],"")</f>
        <v/>
      </c>
      <c r="L586" s="167" t="str">
        <f>IF(ISNUMBER(namespace_raw[[#This Row],[Column13]]), namespace_raw[[#This Row],[Column13]]/1048576,"")</f>
        <v/>
      </c>
      <c r="M586" s="168" t="str">
        <f>IF(ISNUMBER(namespace_raw[[#This Row],[Column10]]), (namespace_raw[[#This Row],[Column10]]*(1+$M$2)),"")</f>
        <v/>
      </c>
      <c r="N586" s="167" t="str">
        <f>IF(ISNUMBER(namespace_raw[[#This Row],[Column11]]), (namespace_raw[[#This Row],[Column11]]*(1+$N$2))/1048576,"")</f>
        <v/>
      </c>
      <c r="O586" s="169" t="str">
        <f>IF(ISNUMBER(namespace_raw[[#This Row],[Column8]]), (E586  * $O$2),"")</f>
        <v/>
      </c>
      <c r="P586" s="170" t="str">
        <f>IF(ISNUMBER(namespace_raw[[#This Row],[Column8]]), (F586  * $P$2),"")</f>
        <v/>
      </c>
    </row>
    <row r="587" spans="1:16" ht="15" customHeight="1" x14ac:dyDescent="0.25">
      <c r="A587" s="32" t="str">
        <f>IF(ISNONTEXT(namespace_raw[[#This Row],[Column1]]), "", namespace_raw[[#This Row],[Column1]])</f>
        <v/>
      </c>
      <c r="B587" s="33" t="str">
        <f>IF(ISNONTEXT(namespace_raw[[#This Row],[Column2]]), "", namespace_raw[[#This Row],[Column2]])</f>
        <v/>
      </c>
      <c r="C587" s="94" t="str">
        <f>IF(ISNUMBER(namespace_raw[[#This Row],[Column4]]), namespace_raw[[#This Row],[Column4]], "")</f>
        <v/>
      </c>
      <c r="D587" s="95" t="str">
        <f>IF(ISNUMBER(namespace_raw[[#This Row],[Column5]]), namespace_raw[[#This Row],[Column5]]/1048576, "")</f>
        <v/>
      </c>
      <c r="E587" s="95" t="str">
        <f>IF(ISNUMBER(namespace_raw[[#This Row],[Column6]]), namespace_raw[[#This Row],[Column6]],"")</f>
        <v/>
      </c>
      <c r="F587" s="96" t="str">
        <f>IF(ISNUMBER(namespace_raw[[#This Row],[Column7]]), namespace_raw[[#This Row],[Column7]]/1048576,"")</f>
        <v/>
      </c>
      <c r="G587" s="122" t="str">
        <f>IF(ISNUMBER(namespace_raw[[#This Row],[Column8]]), namespace_raw[[#This Row],[Column8]],"")</f>
        <v/>
      </c>
      <c r="H587" s="123" t="str">
        <f>IF(ISNUMBER(namespace_raw[[#This Row],[Column9]]), namespace_raw[[#This Row],[Column9]]/1048576,"")</f>
        <v/>
      </c>
      <c r="I587" s="124" t="str">
        <f>IF(ISNUMBER(namespace_raw[[#This Row],[Column8]]),MAX(G587, M587, O587, $I$2,IF(Q587&lt;&gt;"",VALUE(Q587),0)), "")</f>
        <v/>
      </c>
      <c r="J587" s="125" t="str">
        <f>IF(ISNUMBER(namespace_raw[[#This Row],[Column9]]),MAX(H587, N587, P587, $J$2,IF(R587&lt;&gt;"",VALUE(R587),0)),"")</f>
        <v/>
      </c>
      <c r="K587" s="166" t="str">
        <f>IF(ISNUMBER(namespace_raw[[#This Row],[Column12]]), namespace_raw[[#This Row],[Column12]],"")</f>
        <v/>
      </c>
      <c r="L587" s="167" t="str">
        <f>IF(ISNUMBER(namespace_raw[[#This Row],[Column13]]), namespace_raw[[#This Row],[Column13]]/1048576,"")</f>
        <v/>
      </c>
      <c r="M587" s="168" t="str">
        <f>IF(ISNUMBER(namespace_raw[[#This Row],[Column10]]), (namespace_raw[[#This Row],[Column10]]*(1+$M$2)),"")</f>
        <v/>
      </c>
      <c r="N587" s="167" t="str">
        <f>IF(ISNUMBER(namespace_raw[[#This Row],[Column11]]), (namespace_raw[[#This Row],[Column11]]*(1+$N$2))/1048576,"")</f>
        <v/>
      </c>
      <c r="O587" s="169" t="str">
        <f>IF(ISNUMBER(namespace_raw[[#This Row],[Column8]]), (E587  * $O$2),"")</f>
        <v/>
      </c>
      <c r="P587" s="170" t="str">
        <f>IF(ISNUMBER(namespace_raw[[#This Row],[Column8]]), (F587  * $P$2),"")</f>
        <v/>
      </c>
    </row>
    <row r="588" spans="1:16" ht="15" customHeight="1" x14ac:dyDescent="0.25">
      <c r="A588" s="32" t="str">
        <f>IF(ISNONTEXT(namespace_raw[[#This Row],[Column1]]), "", namespace_raw[[#This Row],[Column1]])</f>
        <v/>
      </c>
      <c r="B588" s="33" t="str">
        <f>IF(ISNONTEXT(namespace_raw[[#This Row],[Column2]]), "", namespace_raw[[#This Row],[Column2]])</f>
        <v/>
      </c>
      <c r="C588" s="94" t="str">
        <f>IF(ISNUMBER(namespace_raw[[#This Row],[Column4]]), namespace_raw[[#This Row],[Column4]], "")</f>
        <v/>
      </c>
      <c r="D588" s="95" t="str">
        <f>IF(ISNUMBER(namespace_raw[[#This Row],[Column5]]), namespace_raw[[#This Row],[Column5]]/1048576, "")</f>
        <v/>
      </c>
      <c r="E588" s="95" t="str">
        <f>IF(ISNUMBER(namespace_raw[[#This Row],[Column6]]), namespace_raw[[#This Row],[Column6]],"")</f>
        <v/>
      </c>
      <c r="F588" s="96" t="str">
        <f>IF(ISNUMBER(namespace_raw[[#This Row],[Column7]]), namespace_raw[[#This Row],[Column7]]/1048576,"")</f>
        <v/>
      </c>
      <c r="G588" s="122" t="str">
        <f>IF(ISNUMBER(namespace_raw[[#This Row],[Column8]]), namespace_raw[[#This Row],[Column8]],"")</f>
        <v/>
      </c>
      <c r="H588" s="123" t="str">
        <f>IF(ISNUMBER(namespace_raw[[#This Row],[Column9]]), namespace_raw[[#This Row],[Column9]]/1048576,"")</f>
        <v/>
      </c>
      <c r="I588" s="124" t="str">
        <f>IF(ISNUMBER(namespace_raw[[#This Row],[Column8]]),MAX(G588, M588, O588, $I$2,IF(Q588&lt;&gt;"",VALUE(Q588),0)), "")</f>
        <v/>
      </c>
      <c r="J588" s="125" t="str">
        <f>IF(ISNUMBER(namespace_raw[[#This Row],[Column9]]),MAX(H588, N588, P588, $J$2,IF(R588&lt;&gt;"",VALUE(R588),0)),"")</f>
        <v/>
      </c>
      <c r="K588" s="166" t="str">
        <f>IF(ISNUMBER(namespace_raw[[#This Row],[Column12]]), namespace_raw[[#This Row],[Column12]],"")</f>
        <v/>
      </c>
      <c r="L588" s="167" t="str">
        <f>IF(ISNUMBER(namespace_raw[[#This Row],[Column13]]), namespace_raw[[#This Row],[Column13]]/1048576,"")</f>
        <v/>
      </c>
      <c r="M588" s="168" t="str">
        <f>IF(ISNUMBER(namespace_raw[[#This Row],[Column10]]), (namespace_raw[[#This Row],[Column10]]*(1+$M$2)),"")</f>
        <v/>
      </c>
      <c r="N588" s="167" t="str">
        <f>IF(ISNUMBER(namespace_raw[[#This Row],[Column11]]), (namespace_raw[[#This Row],[Column11]]*(1+$N$2))/1048576,"")</f>
        <v/>
      </c>
      <c r="O588" s="169" t="str">
        <f>IF(ISNUMBER(namespace_raw[[#This Row],[Column8]]), (E588  * $O$2),"")</f>
        <v/>
      </c>
      <c r="P588" s="170" t="str">
        <f>IF(ISNUMBER(namespace_raw[[#This Row],[Column8]]), (F588  * $P$2),"")</f>
        <v/>
      </c>
    </row>
    <row r="589" spans="1:16" ht="15" customHeight="1" x14ac:dyDescent="0.25">
      <c r="A589" s="32" t="str">
        <f>IF(ISNONTEXT(namespace_raw[[#This Row],[Column1]]), "", namespace_raw[[#This Row],[Column1]])</f>
        <v/>
      </c>
      <c r="B589" s="33" t="str">
        <f>IF(ISNONTEXT(namespace_raw[[#This Row],[Column2]]), "", namespace_raw[[#This Row],[Column2]])</f>
        <v/>
      </c>
      <c r="C589" s="94" t="str">
        <f>IF(ISNUMBER(namespace_raw[[#This Row],[Column4]]), namespace_raw[[#This Row],[Column4]], "")</f>
        <v/>
      </c>
      <c r="D589" s="95" t="str">
        <f>IF(ISNUMBER(namespace_raw[[#This Row],[Column5]]), namespace_raw[[#This Row],[Column5]]/1048576, "")</f>
        <v/>
      </c>
      <c r="E589" s="95" t="str">
        <f>IF(ISNUMBER(namespace_raw[[#This Row],[Column6]]), namespace_raw[[#This Row],[Column6]],"")</f>
        <v/>
      </c>
      <c r="F589" s="96" t="str">
        <f>IF(ISNUMBER(namespace_raw[[#This Row],[Column7]]), namespace_raw[[#This Row],[Column7]]/1048576,"")</f>
        <v/>
      </c>
      <c r="G589" s="122" t="str">
        <f>IF(ISNUMBER(namespace_raw[[#This Row],[Column8]]), namespace_raw[[#This Row],[Column8]],"")</f>
        <v/>
      </c>
      <c r="H589" s="123" t="str">
        <f>IF(ISNUMBER(namespace_raw[[#This Row],[Column9]]), namespace_raw[[#This Row],[Column9]]/1048576,"")</f>
        <v/>
      </c>
      <c r="I589" s="124" t="str">
        <f>IF(ISNUMBER(namespace_raw[[#This Row],[Column8]]),MAX(G589, M589, O589, $I$2,IF(Q589&lt;&gt;"",VALUE(Q589),0)), "")</f>
        <v/>
      </c>
      <c r="J589" s="125" t="str">
        <f>IF(ISNUMBER(namespace_raw[[#This Row],[Column9]]),MAX(H589, N589, P589, $J$2,IF(R589&lt;&gt;"",VALUE(R589),0)),"")</f>
        <v/>
      </c>
      <c r="K589" s="166" t="str">
        <f>IF(ISNUMBER(namespace_raw[[#This Row],[Column12]]), namespace_raw[[#This Row],[Column12]],"")</f>
        <v/>
      </c>
      <c r="L589" s="167" t="str">
        <f>IF(ISNUMBER(namespace_raw[[#This Row],[Column13]]), namespace_raw[[#This Row],[Column13]]/1048576,"")</f>
        <v/>
      </c>
      <c r="M589" s="168" t="str">
        <f>IF(ISNUMBER(namespace_raw[[#This Row],[Column10]]), (namespace_raw[[#This Row],[Column10]]*(1+$M$2)),"")</f>
        <v/>
      </c>
      <c r="N589" s="167" t="str">
        <f>IF(ISNUMBER(namespace_raw[[#This Row],[Column11]]), (namespace_raw[[#This Row],[Column11]]*(1+$N$2))/1048576,"")</f>
        <v/>
      </c>
      <c r="O589" s="169" t="str">
        <f>IF(ISNUMBER(namespace_raw[[#This Row],[Column8]]), (E589  * $O$2),"")</f>
        <v/>
      </c>
      <c r="P589" s="170" t="str">
        <f>IF(ISNUMBER(namespace_raw[[#This Row],[Column8]]), (F589  * $P$2),"")</f>
        <v/>
      </c>
    </row>
    <row r="590" spans="1:16" ht="15" customHeight="1" x14ac:dyDescent="0.25">
      <c r="A590" s="32" t="str">
        <f>IF(ISNONTEXT(namespace_raw[[#This Row],[Column1]]), "", namespace_raw[[#This Row],[Column1]])</f>
        <v/>
      </c>
      <c r="B590" s="33" t="str">
        <f>IF(ISNONTEXT(namespace_raw[[#This Row],[Column2]]), "", namespace_raw[[#This Row],[Column2]])</f>
        <v/>
      </c>
      <c r="C590" s="94" t="str">
        <f>IF(ISNUMBER(namespace_raw[[#This Row],[Column4]]), namespace_raw[[#This Row],[Column4]], "")</f>
        <v/>
      </c>
      <c r="D590" s="95" t="str">
        <f>IF(ISNUMBER(namespace_raw[[#This Row],[Column5]]), namespace_raw[[#This Row],[Column5]]/1048576, "")</f>
        <v/>
      </c>
      <c r="E590" s="95" t="str">
        <f>IF(ISNUMBER(namespace_raw[[#This Row],[Column6]]), namespace_raw[[#This Row],[Column6]],"")</f>
        <v/>
      </c>
      <c r="F590" s="96" t="str">
        <f>IF(ISNUMBER(namespace_raw[[#This Row],[Column7]]), namespace_raw[[#This Row],[Column7]]/1048576,"")</f>
        <v/>
      </c>
      <c r="G590" s="122" t="str">
        <f>IF(ISNUMBER(namespace_raw[[#This Row],[Column8]]), namespace_raw[[#This Row],[Column8]],"")</f>
        <v/>
      </c>
      <c r="H590" s="123" t="str">
        <f>IF(ISNUMBER(namespace_raw[[#This Row],[Column9]]), namespace_raw[[#This Row],[Column9]]/1048576,"")</f>
        <v/>
      </c>
      <c r="I590" s="124" t="str">
        <f>IF(ISNUMBER(namespace_raw[[#This Row],[Column8]]),MAX(G590, M590, O590, $I$2,IF(Q590&lt;&gt;"",VALUE(Q590),0)), "")</f>
        <v/>
      </c>
      <c r="J590" s="125" t="str">
        <f>IF(ISNUMBER(namespace_raw[[#This Row],[Column9]]),MAX(H590, N590, P590, $J$2,IF(R590&lt;&gt;"",VALUE(R590),0)),"")</f>
        <v/>
      </c>
      <c r="K590" s="166" t="str">
        <f>IF(ISNUMBER(namespace_raw[[#This Row],[Column12]]), namespace_raw[[#This Row],[Column12]],"")</f>
        <v/>
      </c>
      <c r="L590" s="167" t="str">
        <f>IF(ISNUMBER(namespace_raw[[#This Row],[Column13]]), namespace_raw[[#This Row],[Column13]]/1048576,"")</f>
        <v/>
      </c>
      <c r="M590" s="168" t="str">
        <f>IF(ISNUMBER(namespace_raw[[#This Row],[Column10]]), (namespace_raw[[#This Row],[Column10]]*(1+$M$2)),"")</f>
        <v/>
      </c>
      <c r="N590" s="167" t="str">
        <f>IF(ISNUMBER(namespace_raw[[#This Row],[Column11]]), (namespace_raw[[#This Row],[Column11]]*(1+$N$2))/1048576,"")</f>
        <v/>
      </c>
      <c r="O590" s="169" t="str">
        <f>IF(ISNUMBER(namespace_raw[[#This Row],[Column8]]), (E590  * $O$2),"")</f>
        <v/>
      </c>
      <c r="P590" s="170" t="str">
        <f>IF(ISNUMBER(namespace_raw[[#This Row],[Column8]]), (F590  * $P$2),"")</f>
        <v/>
      </c>
    </row>
    <row r="591" spans="1:16" ht="15" customHeight="1" x14ac:dyDescent="0.25">
      <c r="A591" s="32" t="str">
        <f>IF(ISNONTEXT(namespace_raw[[#This Row],[Column1]]), "", namespace_raw[[#This Row],[Column1]])</f>
        <v/>
      </c>
      <c r="B591" s="33" t="str">
        <f>IF(ISNONTEXT(namespace_raw[[#This Row],[Column2]]), "", namespace_raw[[#This Row],[Column2]])</f>
        <v/>
      </c>
      <c r="C591" s="94" t="str">
        <f>IF(ISNUMBER(namespace_raw[[#This Row],[Column4]]), namespace_raw[[#This Row],[Column4]], "")</f>
        <v/>
      </c>
      <c r="D591" s="95" t="str">
        <f>IF(ISNUMBER(namespace_raw[[#This Row],[Column5]]), namespace_raw[[#This Row],[Column5]]/1048576, "")</f>
        <v/>
      </c>
      <c r="E591" s="95" t="str">
        <f>IF(ISNUMBER(namespace_raw[[#This Row],[Column6]]), namespace_raw[[#This Row],[Column6]],"")</f>
        <v/>
      </c>
      <c r="F591" s="96" t="str">
        <f>IF(ISNUMBER(namespace_raw[[#This Row],[Column7]]), namespace_raw[[#This Row],[Column7]]/1048576,"")</f>
        <v/>
      </c>
      <c r="G591" s="122" t="str">
        <f>IF(ISNUMBER(namespace_raw[[#This Row],[Column8]]), namespace_raw[[#This Row],[Column8]],"")</f>
        <v/>
      </c>
      <c r="H591" s="123" t="str">
        <f>IF(ISNUMBER(namespace_raw[[#This Row],[Column9]]), namespace_raw[[#This Row],[Column9]]/1048576,"")</f>
        <v/>
      </c>
      <c r="I591" s="124" t="str">
        <f>IF(ISNUMBER(namespace_raw[[#This Row],[Column8]]),MAX(G591, M591, O591, $I$2,IF(Q591&lt;&gt;"",VALUE(Q591),0)), "")</f>
        <v/>
      </c>
      <c r="J591" s="125" t="str">
        <f>IF(ISNUMBER(namespace_raw[[#This Row],[Column9]]),MAX(H591, N591, P591, $J$2,IF(R591&lt;&gt;"",VALUE(R591),0)),"")</f>
        <v/>
      </c>
      <c r="K591" s="166" t="str">
        <f>IF(ISNUMBER(namespace_raw[[#This Row],[Column12]]), namespace_raw[[#This Row],[Column12]],"")</f>
        <v/>
      </c>
      <c r="L591" s="167" t="str">
        <f>IF(ISNUMBER(namespace_raw[[#This Row],[Column13]]), namespace_raw[[#This Row],[Column13]]/1048576,"")</f>
        <v/>
      </c>
      <c r="M591" s="168" t="str">
        <f>IF(ISNUMBER(namespace_raw[[#This Row],[Column10]]), (namespace_raw[[#This Row],[Column10]]*(1+$M$2)),"")</f>
        <v/>
      </c>
      <c r="N591" s="167" t="str">
        <f>IF(ISNUMBER(namespace_raw[[#This Row],[Column11]]), (namespace_raw[[#This Row],[Column11]]*(1+$N$2))/1048576,"")</f>
        <v/>
      </c>
      <c r="O591" s="169" t="str">
        <f>IF(ISNUMBER(namespace_raw[[#This Row],[Column8]]), (E591  * $O$2),"")</f>
        <v/>
      </c>
      <c r="P591" s="170" t="str">
        <f>IF(ISNUMBER(namespace_raw[[#This Row],[Column8]]), (F591  * $P$2),"")</f>
        <v/>
      </c>
    </row>
    <row r="592" spans="1:16" ht="15" customHeight="1" x14ac:dyDescent="0.25">
      <c r="A592" s="32" t="str">
        <f>IF(ISNONTEXT(namespace_raw[[#This Row],[Column1]]), "", namespace_raw[[#This Row],[Column1]])</f>
        <v/>
      </c>
      <c r="B592" s="33" t="str">
        <f>IF(ISNONTEXT(namespace_raw[[#This Row],[Column2]]), "", namespace_raw[[#This Row],[Column2]])</f>
        <v/>
      </c>
      <c r="C592" s="94" t="str">
        <f>IF(ISNUMBER(namespace_raw[[#This Row],[Column4]]), namespace_raw[[#This Row],[Column4]], "")</f>
        <v/>
      </c>
      <c r="D592" s="95" t="str">
        <f>IF(ISNUMBER(namespace_raw[[#This Row],[Column5]]), namespace_raw[[#This Row],[Column5]]/1048576, "")</f>
        <v/>
      </c>
      <c r="E592" s="95" t="str">
        <f>IF(ISNUMBER(namespace_raw[[#This Row],[Column6]]), namespace_raw[[#This Row],[Column6]],"")</f>
        <v/>
      </c>
      <c r="F592" s="96" t="str">
        <f>IF(ISNUMBER(namespace_raw[[#This Row],[Column7]]), namespace_raw[[#This Row],[Column7]]/1048576,"")</f>
        <v/>
      </c>
      <c r="G592" s="122" t="str">
        <f>IF(ISNUMBER(namespace_raw[[#This Row],[Column8]]), namespace_raw[[#This Row],[Column8]],"")</f>
        <v/>
      </c>
      <c r="H592" s="123" t="str">
        <f>IF(ISNUMBER(namespace_raw[[#This Row],[Column9]]), namespace_raw[[#This Row],[Column9]]/1048576,"")</f>
        <v/>
      </c>
      <c r="I592" s="124" t="str">
        <f>IF(ISNUMBER(namespace_raw[[#This Row],[Column8]]),MAX(G592, M592, O592, $I$2,IF(Q592&lt;&gt;"",VALUE(Q592),0)), "")</f>
        <v/>
      </c>
      <c r="J592" s="125" t="str">
        <f>IF(ISNUMBER(namespace_raw[[#This Row],[Column9]]),MAX(H592, N592, P592, $J$2,IF(R592&lt;&gt;"",VALUE(R592),0)),"")</f>
        <v/>
      </c>
      <c r="K592" s="166" t="str">
        <f>IF(ISNUMBER(namespace_raw[[#This Row],[Column12]]), namespace_raw[[#This Row],[Column12]],"")</f>
        <v/>
      </c>
      <c r="L592" s="167" t="str">
        <f>IF(ISNUMBER(namespace_raw[[#This Row],[Column13]]), namespace_raw[[#This Row],[Column13]]/1048576,"")</f>
        <v/>
      </c>
      <c r="M592" s="168" t="str">
        <f>IF(ISNUMBER(namespace_raw[[#This Row],[Column10]]), (namespace_raw[[#This Row],[Column10]]*(1+$M$2)),"")</f>
        <v/>
      </c>
      <c r="N592" s="167" t="str">
        <f>IF(ISNUMBER(namespace_raw[[#This Row],[Column11]]), (namespace_raw[[#This Row],[Column11]]*(1+$N$2))/1048576,"")</f>
        <v/>
      </c>
      <c r="O592" s="169" t="str">
        <f>IF(ISNUMBER(namespace_raw[[#This Row],[Column8]]), (E592  * $O$2),"")</f>
        <v/>
      </c>
      <c r="P592" s="170" t="str">
        <f>IF(ISNUMBER(namespace_raw[[#This Row],[Column8]]), (F592  * $P$2),"")</f>
        <v/>
      </c>
    </row>
    <row r="593" spans="1:16" ht="15" customHeight="1" x14ac:dyDescent="0.25">
      <c r="A593" s="32" t="str">
        <f>IF(ISNONTEXT(namespace_raw[[#This Row],[Column1]]), "", namespace_raw[[#This Row],[Column1]])</f>
        <v/>
      </c>
      <c r="B593" s="33" t="str">
        <f>IF(ISNONTEXT(namespace_raw[[#This Row],[Column2]]), "", namespace_raw[[#This Row],[Column2]])</f>
        <v/>
      </c>
      <c r="C593" s="94" t="str">
        <f>IF(ISNUMBER(namespace_raw[[#This Row],[Column4]]), namespace_raw[[#This Row],[Column4]], "")</f>
        <v/>
      </c>
      <c r="D593" s="95" t="str">
        <f>IF(ISNUMBER(namespace_raw[[#This Row],[Column5]]), namespace_raw[[#This Row],[Column5]]/1048576, "")</f>
        <v/>
      </c>
      <c r="E593" s="95" t="str">
        <f>IF(ISNUMBER(namespace_raw[[#This Row],[Column6]]), namespace_raw[[#This Row],[Column6]],"")</f>
        <v/>
      </c>
      <c r="F593" s="96" t="str">
        <f>IF(ISNUMBER(namespace_raw[[#This Row],[Column7]]), namespace_raw[[#This Row],[Column7]]/1048576,"")</f>
        <v/>
      </c>
      <c r="G593" s="122" t="str">
        <f>IF(ISNUMBER(namespace_raw[[#This Row],[Column8]]), namespace_raw[[#This Row],[Column8]],"")</f>
        <v/>
      </c>
      <c r="H593" s="123" t="str">
        <f>IF(ISNUMBER(namespace_raw[[#This Row],[Column9]]), namespace_raw[[#This Row],[Column9]]/1048576,"")</f>
        <v/>
      </c>
      <c r="I593" s="124" t="str">
        <f>IF(ISNUMBER(namespace_raw[[#This Row],[Column8]]),MAX(G593, M593, O593, $I$2,IF(Q593&lt;&gt;"",VALUE(Q593),0)), "")</f>
        <v/>
      </c>
      <c r="J593" s="125" t="str">
        <f>IF(ISNUMBER(namespace_raw[[#This Row],[Column9]]),MAX(H593, N593, P593, $J$2,IF(R593&lt;&gt;"",VALUE(R593),0)),"")</f>
        <v/>
      </c>
      <c r="K593" s="166" t="str">
        <f>IF(ISNUMBER(namespace_raw[[#This Row],[Column12]]), namespace_raw[[#This Row],[Column12]],"")</f>
        <v/>
      </c>
      <c r="L593" s="167" t="str">
        <f>IF(ISNUMBER(namespace_raw[[#This Row],[Column13]]), namespace_raw[[#This Row],[Column13]]/1048576,"")</f>
        <v/>
      </c>
      <c r="M593" s="168" t="str">
        <f>IF(ISNUMBER(namespace_raw[[#This Row],[Column10]]), (namespace_raw[[#This Row],[Column10]]*(1+$M$2)),"")</f>
        <v/>
      </c>
      <c r="N593" s="167" t="str">
        <f>IF(ISNUMBER(namespace_raw[[#This Row],[Column11]]), (namespace_raw[[#This Row],[Column11]]*(1+$N$2))/1048576,"")</f>
        <v/>
      </c>
      <c r="O593" s="169" t="str">
        <f>IF(ISNUMBER(namespace_raw[[#This Row],[Column8]]), (E593  * $O$2),"")</f>
        <v/>
      </c>
      <c r="P593" s="170" t="str">
        <f>IF(ISNUMBER(namespace_raw[[#This Row],[Column8]]), (F593  * $P$2),"")</f>
        <v/>
      </c>
    </row>
    <row r="594" spans="1:16" ht="15" customHeight="1" x14ac:dyDescent="0.25">
      <c r="A594" s="32" t="str">
        <f>IF(ISNONTEXT(namespace_raw[[#This Row],[Column1]]), "", namespace_raw[[#This Row],[Column1]])</f>
        <v/>
      </c>
      <c r="B594" s="33" t="str">
        <f>IF(ISNONTEXT(namespace_raw[[#This Row],[Column2]]), "", namespace_raw[[#This Row],[Column2]])</f>
        <v/>
      </c>
      <c r="C594" s="94" t="str">
        <f>IF(ISNUMBER(namespace_raw[[#This Row],[Column4]]), namespace_raw[[#This Row],[Column4]], "")</f>
        <v/>
      </c>
      <c r="D594" s="95" t="str">
        <f>IF(ISNUMBER(namespace_raw[[#This Row],[Column5]]), namespace_raw[[#This Row],[Column5]]/1048576, "")</f>
        <v/>
      </c>
      <c r="E594" s="95" t="str">
        <f>IF(ISNUMBER(namespace_raw[[#This Row],[Column6]]), namespace_raw[[#This Row],[Column6]],"")</f>
        <v/>
      </c>
      <c r="F594" s="96" t="str">
        <f>IF(ISNUMBER(namespace_raw[[#This Row],[Column7]]), namespace_raw[[#This Row],[Column7]]/1048576,"")</f>
        <v/>
      </c>
      <c r="G594" s="122" t="str">
        <f>IF(ISNUMBER(namespace_raw[[#This Row],[Column8]]), namespace_raw[[#This Row],[Column8]],"")</f>
        <v/>
      </c>
      <c r="H594" s="123" t="str">
        <f>IF(ISNUMBER(namespace_raw[[#This Row],[Column9]]), namespace_raw[[#This Row],[Column9]]/1048576,"")</f>
        <v/>
      </c>
      <c r="I594" s="124" t="str">
        <f>IF(ISNUMBER(namespace_raw[[#This Row],[Column8]]),MAX(G594, M594, O594, $I$2,IF(Q594&lt;&gt;"",VALUE(Q594),0)), "")</f>
        <v/>
      </c>
      <c r="J594" s="125" t="str">
        <f>IF(ISNUMBER(namespace_raw[[#This Row],[Column9]]),MAX(H594, N594, P594, $J$2,IF(R594&lt;&gt;"",VALUE(R594),0)),"")</f>
        <v/>
      </c>
      <c r="K594" s="166" t="str">
        <f>IF(ISNUMBER(namespace_raw[[#This Row],[Column12]]), namespace_raw[[#This Row],[Column12]],"")</f>
        <v/>
      </c>
      <c r="L594" s="167" t="str">
        <f>IF(ISNUMBER(namespace_raw[[#This Row],[Column13]]), namespace_raw[[#This Row],[Column13]]/1048576,"")</f>
        <v/>
      </c>
      <c r="M594" s="168" t="str">
        <f>IF(ISNUMBER(namespace_raw[[#This Row],[Column10]]), (namespace_raw[[#This Row],[Column10]]*(1+$M$2)),"")</f>
        <v/>
      </c>
      <c r="N594" s="167" t="str">
        <f>IF(ISNUMBER(namespace_raw[[#This Row],[Column11]]), (namespace_raw[[#This Row],[Column11]]*(1+$N$2))/1048576,"")</f>
        <v/>
      </c>
      <c r="O594" s="169" t="str">
        <f>IF(ISNUMBER(namespace_raw[[#This Row],[Column8]]), (E594  * $O$2),"")</f>
        <v/>
      </c>
      <c r="P594" s="170" t="str">
        <f>IF(ISNUMBER(namespace_raw[[#This Row],[Column8]]), (F594  * $P$2),"")</f>
        <v/>
      </c>
    </row>
    <row r="595" spans="1:16" ht="15" customHeight="1" x14ac:dyDescent="0.25">
      <c r="A595" s="32" t="str">
        <f>IF(ISNONTEXT(namespace_raw[[#This Row],[Column1]]), "", namespace_raw[[#This Row],[Column1]])</f>
        <v/>
      </c>
      <c r="B595" s="33" t="str">
        <f>IF(ISNONTEXT(namespace_raw[[#This Row],[Column2]]), "", namespace_raw[[#This Row],[Column2]])</f>
        <v/>
      </c>
      <c r="C595" s="94" t="str">
        <f>IF(ISNUMBER(namespace_raw[[#This Row],[Column4]]), namespace_raw[[#This Row],[Column4]], "")</f>
        <v/>
      </c>
      <c r="D595" s="95" t="str">
        <f>IF(ISNUMBER(namespace_raw[[#This Row],[Column5]]), namespace_raw[[#This Row],[Column5]]/1048576, "")</f>
        <v/>
      </c>
      <c r="E595" s="95" t="str">
        <f>IF(ISNUMBER(namespace_raw[[#This Row],[Column6]]), namespace_raw[[#This Row],[Column6]],"")</f>
        <v/>
      </c>
      <c r="F595" s="96" t="str">
        <f>IF(ISNUMBER(namespace_raw[[#This Row],[Column7]]), namespace_raw[[#This Row],[Column7]]/1048576,"")</f>
        <v/>
      </c>
      <c r="G595" s="122" t="str">
        <f>IF(ISNUMBER(namespace_raw[[#This Row],[Column8]]), namespace_raw[[#This Row],[Column8]],"")</f>
        <v/>
      </c>
      <c r="H595" s="123" t="str">
        <f>IF(ISNUMBER(namespace_raw[[#This Row],[Column9]]), namespace_raw[[#This Row],[Column9]]/1048576,"")</f>
        <v/>
      </c>
      <c r="I595" s="124" t="str">
        <f>IF(ISNUMBER(namespace_raw[[#This Row],[Column8]]),MAX(G595, M595, O595, $I$2,IF(Q595&lt;&gt;"",VALUE(Q595),0)), "")</f>
        <v/>
      </c>
      <c r="J595" s="125" t="str">
        <f>IF(ISNUMBER(namespace_raw[[#This Row],[Column9]]),MAX(H595, N595, P595, $J$2,IF(R595&lt;&gt;"",VALUE(R595),0)),"")</f>
        <v/>
      </c>
      <c r="K595" s="166" t="str">
        <f>IF(ISNUMBER(namespace_raw[[#This Row],[Column12]]), namespace_raw[[#This Row],[Column12]],"")</f>
        <v/>
      </c>
      <c r="L595" s="167" t="str">
        <f>IF(ISNUMBER(namespace_raw[[#This Row],[Column13]]), namespace_raw[[#This Row],[Column13]]/1048576,"")</f>
        <v/>
      </c>
      <c r="M595" s="168" t="str">
        <f>IF(ISNUMBER(namespace_raw[[#This Row],[Column10]]), (namespace_raw[[#This Row],[Column10]]*(1+$M$2)),"")</f>
        <v/>
      </c>
      <c r="N595" s="167" t="str">
        <f>IF(ISNUMBER(namespace_raw[[#This Row],[Column11]]), (namespace_raw[[#This Row],[Column11]]*(1+$N$2))/1048576,"")</f>
        <v/>
      </c>
      <c r="O595" s="169" t="str">
        <f>IF(ISNUMBER(namespace_raw[[#This Row],[Column8]]), (E595  * $O$2),"")</f>
        <v/>
      </c>
      <c r="P595" s="170" t="str">
        <f>IF(ISNUMBER(namespace_raw[[#This Row],[Column8]]), (F595  * $P$2),"")</f>
        <v/>
      </c>
    </row>
    <row r="596" spans="1:16" ht="15" customHeight="1" x14ac:dyDescent="0.25">
      <c r="A596" s="32" t="str">
        <f>IF(ISNONTEXT(namespace_raw[[#This Row],[Column1]]), "", namespace_raw[[#This Row],[Column1]])</f>
        <v/>
      </c>
      <c r="B596" s="33" t="str">
        <f>IF(ISNONTEXT(namespace_raw[[#This Row],[Column2]]), "", namespace_raw[[#This Row],[Column2]])</f>
        <v/>
      </c>
      <c r="C596" s="94" t="str">
        <f>IF(ISNUMBER(namespace_raw[[#This Row],[Column4]]), namespace_raw[[#This Row],[Column4]], "")</f>
        <v/>
      </c>
      <c r="D596" s="95" t="str">
        <f>IF(ISNUMBER(namespace_raw[[#This Row],[Column5]]), namespace_raw[[#This Row],[Column5]]/1048576, "")</f>
        <v/>
      </c>
      <c r="E596" s="95" t="str">
        <f>IF(ISNUMBER(namespace_raw[[#This Row],[Column6]]), namespace_raw[[#This Row],[Column6]],"")</f>
        <v/>
      </c>
      <c r="F596" s="96" t="str">
        <f>IF(ISNUMBER(namespace_raw[[#This Row],[Column7]]), namespace_raw[[#This Row],[Column7]]/1048576,"")</f>
        <v/>
      </c>
      <c r="G596" s="122" t="str">
        <f>IF(ISNUMBER(namespace_raw[[#This Row],[Column8]]), namespace_raw[[#This Row],[Column8]],"")</f>
        <v/>
      </c>
      <c r="H596" s="123" t="str">
        <f>IF(ISNUMBER(namespace_raw[[#This Row],[Column9]]), namespace_raw[[#This Row],[Column9]]/1048576,"")</f>
        <v/>
      </c>
      <c r="I596" s="124" t="str">
        <f>IF(ISNUMBER(namespace_raw[[#This Row],[Column8]]),MAX(G596, M596, O596, $I$2,IF(Q596&lt;&gt;"",VALUE(Q596),0)), "")</f>
        <v/>
      </c>
      <c r="J596" s="125" t="str">
        <f>IF(ISNUMBER(namespace_raw[[#This Row],[Column9]]),MAX(H596, N596, P596, $J$2,IF(R596&lt;&gt;"",VALUE(R596),0)),"")</f>
        <v/>
      </c>
      <c r="K596" s="166" t="str">
        <f>IF(ISNUMBER(namespace_raw[[#This Row],[Column12]]), namespace_raw[[#This Row],[Column12]],"")</f>
        <v/>
      </c>
      <c r="L596" s="167" t="str">
        <f>IF(ISNUMBER(namespace_raw[[#This Row],[Column13]]), namespace_raw[[#This Row],[Column13]]/1048576,"")</f>
        <v/>
      </c>
      <c r="M596" s="168" t="str">
        <f>IF(ISNUMBER(namespace_raw[[#This Row],[Column10]]), (namespace_raw[[#This Row],[Column10]]*(1+$M$2)),"")</f>
        <v/>
      </c>
      <c r="N596" s="167" t="str">
        <f>IF(ISNUMBER(namespace_raw[[#This Row],[Column11]]), (namespace_raw[[#This Row],[Column11]]*(1+$N$2))/1048576,"")</f>
        <v/>
      </c>
      <c r="O596" s="169" t="str">
        <f>IF(ISNUMBER(namespace_raw[[#This Row],[Column8]]), (E596  * $O$2),"")</f>
        <v/>
      </c>
      <c r="P596" s="170" t="str">
        <f>IF(ISNUMBER(namespace_raw[[#This Row],[Column8]]), (F596  * $P$2),"")</f>
        <v/>
      </c>
    </row>
    <row r="597" spans="1:16" ht="15" customHeight="1" x14ac:dyDescent="0.25">
      <c r="A597" s="32" t="str">
        <f>IF(ISNONTEXT(namespace_raw[[#This Row],[Column1]]), "", namespace_raw[[#This Row],[Column1]])</f>
        <v/>
      </c>
      <c r="B597" s="33" t="str">
        <f>IF(ISNONTEXT(namespace_raw[[#This Row],[Column2]]), "", namespace_raw[[#This Row],[Column2]])</f>
        <v/>
      </c>
      <c r="C597" s="94" t="str">
        <f>IF(ISNUMBER(namespace_raw[[#This Row],[Column4]]), namespace_raw[[#This Row],[Column4]], "")</f>
        <v/>
      </c>
      <c r="D597" s="95" t="str">
        <f>IF(ISNUMBER(namespace_raw[[#This Row],[Column5]]), namespace_raw[[#This Row],[Column5]]/1048576, "")</f>
        <v/>
      </c>
      <c r="E597" s="95" t="str">
        <f>IF(ISNUMBER(namespace_raw[[#This Row],[Column6]]), namespace_raw[[#This Row],[Column6]],"")</f>
        <v/>
      </c>
      <c r="F597" s="96" t="str">
        <f>IF(ISNUMBER(namespace_raw[[#This Row],[Column7]]), namespace_raw[[#This Row],[Column7]]/1048576,"")</f>
        <v/>
      </c>
      <c r="G597" s="122" t="str">
        <f>IF(ISNUMBER(namespace_raw[[#This Row],[Column8]]), namespace_raw[[#This Row],[Column8]],"")</f>
        <v/>
      </c>
      <c r="H597" s="123" t="str">
        <f>IF(ISNUMBER(namespace_raw[[#This Row],[Column9]]), namespace_raw[[#This Row],[Column9]]/1048576,"")</f>
        <v/>
      </c>
      <c r="I597" s="124" t="str">
        <f>IF(ISNUMBER(namespace_raw[[#This Row],[Column8]]),MAX(G597, M597, O597, $I$2,IF(Q597&lt;&gt;"",VALUE(Q597),0)), "")</f>
        <v/>
      </c>
      <c r="J597" s="125" t="str">
        <f>IF(ISNUMBER(namespace_raw[[#This Row],[Column9]]),MAX(H597, N597, P597, $J$2,IF(R597&lt;&gt;"",VALUE(R597),0)),"")</f>
        <v/>
      </c>
      <c r="K597" s="166" t="str">
        <f>IF(ISNUMBER(namespace_raw[[#This Row],[Column12]]), namespace_raw[[#This Row],[Column12]],"")</f>
        <v/>
      </c>
      <c r="L597" s="167" t="str">
        <f>IF(ISNUMBER(namespace_raw[[#This Row],[Column13]]), namespace_raw[[#This Row],[Column13]]/1048576,"")</f>
        <v/>
      </c>
      <c r="M597" s="168" t="str">
        <f>IF(ISNUMBER(namespace_raw[[#This Row],[Column10]]), (namespace_raw[[#This Row],[Column10]]*(1+$M$2)),"")</f>
        <v/>
      </c>
      <c r="N597" s="167" t="str">
        <f>IF(ISNUMBER(namespace_raw[[#This Row],[Column11]]), (namespace_raw[[#This Row],[Column11]]*(1+$N$2))/1048576,"")</f>
        <v/>
      </c>
      <c r="O597" s="169" t="str">
        <f>IF(ISNUMBER(namespace_raw[[#This Row],[Column8]]), (E597  * $O$2),"")</f>
        <v/>
      </c>
      <c r="P597" s="170" t="str">
        <f>IF(ISNUMBER(namespace_raw[[#This Row],[Column8]]), (F597  * $P$2),"")</f>
        <v/>
      </c>
    </row>
    <row r="598" spans="1:16" ht="15" customHeight="1" x14ac:dyDescent="0.25">
      <c r="A598" s="32" t="str">
        <f>IF(ISNONTEXT(namespace_raw[[#This Row],[Column1]]), "", namespace_raw[[#This Row],[Column1]])</f>
        <v/>
      </c>
      <c r="B598" s="33" t="str">
        <f>IF(ISNONTEXT(namespace_raw[[#This Row],[Column2]]), "", namespace_raw[[#This Row],[Column2]])</f>
        <v/>
      </c>
      <c r="C598" s="94" t="str">
        <f>IF(ISNUMBER(namespace_raw[[#This Row],[Column4]]), namespace_raw[[#This Row],[Column4]], "")</f>
        <v/>
      </c>
      <c r="D598" s="95" t="str">
        <f>IF(ISNUMBER(namespace_raw[[#This Row],[Column5]]), namespace_raw[[#This Row],[Column5]]/1048576, "")</f>
        <v/>
      </c>
      <c r="E598" s="95" t="str">
        <f>IF(ISNUMBER(namespace_raw[[#This Row],[Column6]]), namespace_raw[[#This Row],[Column6]],"")</f>
        <v/>
      </c>
      <c r="F598" s="96" t="str">
        <f>IF(ISNUMBER(namespace_raw[[#This Row],[Column7]]), namespace_raw[[#This Row],[Column7]]/1048576,"")</f>
        <v/>
      </c>
      <c r="G598" s="122" t="str">
        <f>IF(ISNUMBER(namespace_raw[[#This Row],[Column8]]), namespace_raw[[#This Row],[Column8]],"")</f>
        <v/>
      </c>
      <c r="H598" s="123" t="str">
        <f>IF(ISNUMBER(namespace_raw[[#This Row],[Column9]]), namespace_raw[[#This Row],[Column9]]/1048576,"")</f>
        <v/>
      </c>
      <c r="I598" s="124" t="str">
        <f>IF(ISNUMBER(namespace_raw[[#This Row],[Column8]]),MAX(G598, M598, O598, $I$2,IF(Q598&lt;&gt;"",VALUE(Q598),0)), "")</f>
        <v/>
      </c>
      <c r="J598" s="125" t="str">
        <f>IF(ISNUMBER(namespace_raw[[#This Row],[Column9]]),MAX(H598, N598, P598, $J$2,IF(R598&lt;&gt;"",VALUE(R598),0)),"")</f>
        <v/>
      </c>
      <c r="K598" s="166" t="str">
        <f>IF(ISNUMBER(namespace_raw[[#This Row],[Column12]]), namespace_raw[[#This Row],[Column12]],"")</f>
        <v/>
      </c>
      <c r="L598" s="167" t="str">
        <f>IF(ISNUMBER(namespace_raw[[#This Row],[Column13]]), namespace_raw[[#This Row],[Column13]]/1048576,"")</f>
        <v/>
      </c>
      <c r="M598" s="168" t="str">
        <f>IF(ISNUMBER(namespace_raw[[#This Row],[Column10]]), (namespace_raw[[#This Row],[Column10]]*(1+$M$2)),"")</f>
        <v/>
      </c>
      <c r="N598" s="167" t="str">
        <f>IF(ISNUMBER(namespace_raw[[#This Row],[Column11]]), (namespace_raw[[#This Row],[Column11]]*(1+$N$2))/1048576,"")</f>
        <v/>
      </c>
      <c r="O598" s="169" t="str">
        <f>IF(ISNUMBER(namespace_raw[[#This Row],[Column8]]), (E598  * $O$2),"")</f>
        <v/>
      </c>
      <c r="P598" s="170" t="str">
        <f>IF(ISNUMBER(namespace_raw[[#This Row],[Column8]]), (F598  * $P$2),"")</f>
        <v/>
      </c>
    </row>
    <row r="599" spans="1:16" ht="15" customHeight="1" x14ac:dyDescent="0.25">
      <c r="A599" s="32" t="str">
        <f>IF(ISNONTEXT(namespace_raw[[#This Row],[Column1]]), "", namespace_raw[[#This Row],[Column1]])</f>
        <v/>
      </c>
      <c r="B599" s="33" t="str">
        <f>IF(ISNONTEXT(namespace_raw[[#This Row],[Column2]]), "", namespace_raw[[#This Row],[Column2]])</f>
        <v/>
      </c>
      <c r="C599" s="94" t="str">
        <f>IF(ISNUMBER(namespace_raw[[#This Row],[Column4]]), namespace_raw[[#This Row],[Column4]], "")</f>
        <v/>
      </c>
      <c r="D599" s="95" t="str">
        <f>IF(ISNUMBER(namespace_raw[[#This Row],[Column5]]), namespace_raw[[#This Row],[Column5]]/1048576, "")</f>
        <v/>
      </c>
      <c r="E599" s="95" t="str">
        <f>IF(ISNUMBER(namespace_raw[[#This Row],[Column6]]), namespace_raw[[#This Row],[Column6]],"")</f>
        <v/>
      </c>
      <c r="F599" s="96" t="str">
        <f>IF(ISNUMBER(namespace_raw[[#This Row],[Column7]]), namespace_raw[[#This Row],[Column7]]/1048576,"")</f>
        <v/>
      </c>
      <c r="G599" s="122" t="str">
        <f>IF(ISNUMBER(namespace_raw[[#This Row],[Column8]]), namespace_raw[[#This Row],[Column8]],"")</f>
        <v/>
      </c>
      <c r="H599" s="123" t="str">
        <f>IF(ISNUMBER(namespace_raw[[#This Row],[Column9]]), namespace_raw[[#This Row],[Column9]]/1048576,"")</f>
        <v/>
      </c>
      <c r="I599" s="124" t="str">
        <f>IF(ISNUMBER(namespace_raw[[#This Row],[Column8]]),MAX(G599, M599, O599, $I$2,IF(Q599&lt;&gt;"",VALUE(Q599),0)), "")</f>
        <v/>
      </c>
      <c r="J599" s="125" t="str">
        <f>IF(ISNUMBER(namespace_raw[[#This Row],[Column9]]),MAX(H599, N599, P599, $J$2,IF(R599&lt;&gt;"",VALUE(R599),0)),"")</f>
        <v/>
      </c>
      <c r="K599" s="166" t="str">
        <f>IF(ISNUMBER(namespace_raw[[#This Row],[Column12]]), namespace_raw[[#This Row],[Column12]],"")</f>
        <v/>
      </c>
      <c r="L599" s="167" t="str">
        <f>IF(ISNUMBER(namespace_raw[[#This Row],[Column13]]), namespace_raw[[#This Row],[Column13]]/1048576,"")</f>
        <v/>
      </c>
      <c r="M599" s="168" t="str">
        <f>IF(ISNUMBER(namespace_raw[[#This Row],[Column10]]), (namespace_raw[[#This Row],[Column10]]*(1+$M$2)),"")</f>
        <v/>
      </c>
      <c r="N599" s="167" t="str">
        <f>IF(ISNUMBER(namespace_raw[[#This Row],[Column11]]), (namespace_raw[[#This Row],[Column11]]*(1+$N$2))/1048576,"")</f>
        <v/>
      </c>
      <c r="O599" s="169" t="str">
        <f>IF(ISNUMBER(namespace_raw[[#This Row],[Column8]]), (E599  * $O$2),"")</f>
        <v/>
      </c>
      <c r="P599" s="170" t="str">
        <f>IF(ISNUMBER(namespace_raw[[#This Row],[Column8]]), (F599  * $P$2),"")</f>
        <v/>
      </c>
    </row>
    <row r="600" spans="1:16" ht="15" customHeight="1" x14ac:dyDescent="0.25">
      <c r="A600" s="32" t="str">
        <f>IF(ISNONTEXT(namespace_raw[[#This Row],[Column1]]), "", namespace_raw[[#This Row],[Column1]])</f>
        <v/>
      </c>
      <c r="B600" s="33" t="str">
        <f>IF(ISNONTEXT(namespace_raw[[#This Row],[Column2]]), "", namespace_raw[[#This Row],[Column2]])</f>
        <v/>
      </c>
      <c r="C600" s="94" t="str">
        <f>IF(ISNUMBER(namespace_raw[[#This Row],[Column4]]), namespace_raw[[#This Row],[Column4]], "")</f>
        <v/>
      </c>
      <c r="D600" s="95" t="str">
        <f>IF(ISNUMBER(namespace_raw[[#This Row],[Column5]]), namespace_raw[[#This Row],[Column5]]/1048576, "")</f>
        <v/>
      </c>
      <c r="E600" s="95" t="str">
        <f>IF(ISNUMBER(namespace_raw[[#This Row],[Column6]]), namespace_raw[[#This Row],[Column6]],"")</f>
        <v/>
      </c>
      <c r="F600" s="96" t="str">
        <f>IF(ISNUMBER(namespace_raw[[#This Row],[Column7]]), namespace_raw[[#This Row],[Column7]]/1048576,"")</f>
        <v/>
      </c>
      <c r="G600" s="122" t="str">
        <f>IF(ISNUMBER(namespace_raw[[#This Row],[Column8]]), namespace_raw[[#This Row],[Column8]],"")</f>
        <v/>
      </c>
      <c r="H600" s="123" t="str">
        <f>IF(ISNUMBER(namespace_raw[[#This Row],[Column9]]), namespace_raw[[#This Row],[Column9]]/1048576,"")</f>
        <v/>
      </c>
      <c r="I600" s="124" t="str">
        <f>IF(ISNUMBER(namespace_raw[[#This Row],[Column8]]),MAX(G600, M600, O600, $I$2,IF(Q600&lt;&gt;"",VALUE(Q600),0)), "")</f>
        <v/>
      </c>
      <c r="J600" s="125" t="str">
        <f>IF(ISNUMBER(namespace_raw[[#This Row],[Column9]]),MAX(H600, N600, P600, $J$2,IF(R600&lt;&gt;"",VALUE(R600),0)),"")</f>
        <v/>
      </c>
      <c r="K600" s="166" t="str">
        <f>IF(ISNUMBER(namespace_raw[[#This Row],[Column12]]), namespace_raw[[#This Row],[Column12]],"")</f>
        <v/>
      </c>
      <c r="L600" s="167" t="str">
        <f>IF(ISNUMBER(namespace_raw[[#This Row],[Column13]]), namespace_raw[[#This Row],[Column13]]/1048576,"")</f>
        <v/>
      </c>
      <c r="M600" s="168" t="str">
        <f>IF(ISNUMBER(namespace_raw[[#This Row],[Column10]]), (namespace_raw[[#This Row],[Column10]]*(1+$M$2)),"")</f>
        <v/>
      </c>
      <c r="N600" s="167" t="str">
        <f>IF(ISNUMBER(namespace_raw[[#This Row],[Column11]]), (namespace_raw[[#This Row],[Column11]]*(1+$N$2))/1048576,"")</f>
        <v/>
      </c>
      <c r="O600" s="169" t="str">
        <f>IF(ISNUMBER(namespace_raw[[#This Row],[Column8]]), (E600  * $O$2),"")</f>
        <v/>
      </c>
      <c r="P600" s="170" t="str">
        <f>IF(ISNUMBER(namespace_raw[[#This Row],[Column8]]), (F600  * $P$2),"")</f>
        <v/>
      </c>
    </row>
    <row r="601" spans="1:16" ht="15" customHeight="1" x14ac:dyDescent="0.25">
      <c r="A601" s="32" t="str">
        <f>IF(ISNONTEXT(namespace_raw[[#This Row],[Column1]]), "", namespace_raw[[#This Row],[Column1]])</f>
        <v/>
      </c>
      <c r="B601" s="33" t="str">
        <f>IF(ISNONTEXT(namespace_raw[[#This Row],[Column2]]), "", namespace_raw[[#This Row],[Column2]])</f>
        <v/>
      </c>
      <c r="C601" s="94" t="str">
        <f>IF(ISNUMBER(namespace_raw[[#This Row],[Column4]]), namespace_raw[[#This Row],[Column4]], "")</f>
        <v/>
      </c>
      <c r="D601" s="95" t="str">
        <f>IF(ISNUMBER(namespace_raw[[#This Row],[Column5]]), namespace_raw[[#This Row],[Column5]]/1048576, "")</f>
        <v/>
      </c>
      <c r="E601" s="95" t="str">
        <f>IF(ISNUMBER(namespace_raw[[#This Row],[Column6]]), namespace_raw[[#This Row],[Column6]],"")</f>
        <v/>
      </c>
      <c r="F601" s="96" t="str">
        <f>IF(ISNUMBER(namespace_raw[[#This Row],[Column7]]), namespace_raw[[#This Row],[Column7]]/1048576,"")</f>
        <v/>
      </c>
      <c r="G601" s="122" t="str">
        <f>IF(ISNUMBER(namespace_raw[[#This Row],[Column8]]), namespace_raw[[#This Row],[Column8]],"")</f>
        <v/>
      </c>
      <c r="H601" s="123" t="str">
        <f>IF(ISNUMBER(namespace_raw[[#This Row],[Column9]]), namespace_raw[[#This Row],[Column9]]/1048576,"")</f>
        <v/>
      </c>
      <c r="I601" s="124" t="str">
        <f>IF(ISNUMBER(namespace_raw[[#This Row],[Column8]]),MAX(G601, M601, O601, $I$2,IF(Q601&lt;&gt;"",VALUE(Q601),0)), "")</f>
        <v/>
      </c>
      <c r="J601" s="125" t="str">
        <f>IF(ISNUMBER(namespace_raw[[#This Row],[Column9]]),MAX(H601, N601, P601, $J$2,IF(R601&lt;&gt;"",VALUE(R601),0)),"")</f>
        <v/>
      </c>
      <c r="K601" s="166" t="str">
        <f>IF(ISNUMBER(namespace_raw[[#This Row],[Column12]]), namespace_raw[[#This Row],[Column12]],"")</f>
        <v/>
      </c>
      <c r="L601" s="167" t="str">
        <f>IF(ISNUMBER(namespace_raw[[#This Row],[Column13]]), namespace_raw[[#This Row],[Column13]]/1048576,"")</f>
        <v/>
      </c>
      <c r="M601" s="168" t="str">
        <f>IF(ISNUMBER(namespace_raw[[#This Row],[Column10]]), (namespace_raw[[#This Row],[Column10]]*(1+$M$2)),"")</f>
        <v/>
      </c>
      <c r="N601" s="167" t="str">
        <f>IF(ISNUMBER(namespace_raw[[#This Row],[Column11]]), (namespace_raw[[#This Row],[Column11]]*(1+$N$2))/1048576,"")</f>
        <v/>
      </c>
      <c r="O601" s="169" t="str">
        <f>IF(ISNUMBER(namespace_raw[[#This Row],[Column8]]), (E601  * $O$2),"")</f>
        <v/>
      </c>
      <c r="P601" s="170" t="str">
        <f>IF(ISNUMBER(namespace_raw[[#This Row],[Column8]]), (F601  * $P$2),"")</f>
        <v/>
      </c>
    </row>
    <row r="602" spans="1:16" ht="15" customHeight="1" x14ac:dyDescent="0.25">
      <c r="A602" s="32" t="str">
        <f>IF(ISNONTEXT(namespace_raw[[#This Row],[Column1]]), "", namespace_raw[[#This Row],[Column1]])</f>
        <v/>
      </c>
      <c r="B602" s="33" t="str">
        <f>IF(ISNONTEXT(namespace_raw[[#This Row],[Column2]]), "", namespace_raw[[#This Row],[Column2]])</f>
        <v/>
      </c>
      <c r="C602" s="94" t="str">
        <f>IF(ISNUMBER(namespace_raw[[#This Row],[Column4]]), namespace_raw[[#This Row],[Column4]], "")</f>
        <v/>
      </c>
      <c r="D602" s="95" t="str">
        <f>IF(ISNUMBER(namespace_raw[[#This Row],[Column5]]), namespace_raw[[#This Row],[Column5]]/1048576, "")</f>
        <v/>
      </c>
      <c r="E602" s="95" t="str">
        <f>IF(ISNUMBER(namespace_raw[[#This Row],[Column6]]), namespace_raw[[#This Row],[Column6]],"")</f>
        <v/>
      </c>
      <c r="F602" s="96" t="str">
        <f>IF(ISNUMBER(namespace_raw[[#This Row],[Column7]]), namespace_raw[[#This Row],[Column7]]/1048576,"")</f>
        <v/>
      </c>
      <c r="G602" s="122" t="str">
        <f>IF(ISNUMBER(namespace_raw[[#This Row],[Column8]]), namespace_raw[[#This Row],[Column8]],"")</f>
        <v/>
      </c>
      <c r="H602" s="123" t="str">
        <f>IF(ISNUMBER(namespace_raw[[#This Row],[Column9]]), namespace_raw[[#This Row],[Column9]]/1048576,"")</f>
        <v/>
      </c>
      <c r="I602" s="124" t="str">
        <f>IF(ISNUMBER(namespace_raw[[#This Row],[Column8]]),MAX(G602, M602, O602, $I$2,IF(Q602&lt;&gt;"",VALUE(Q602),0)), "")</f>
        <v/>
      </c>
      <c r="J602" s="125" t="str">
        <f>IF(ISNUMBER(namespace_raw[[#This Row],[Column9]]),MAX(H602, N602, P602, $J$2,IF(R602&lt;&gt;"",VALUE(R602),0)),"")</f>
        <v/>
      </c>
      <c r="K602" s="166" t="str">
        <f>IF(ISNUMBER(namespace_raw[[#This Row],[Column12]]), namespace_raw[[#This Row],[Column12]],"")</f>
        <v/>
      </c>
      <c r="L602" s="167" t="str">
        <f>IF(ISNUMBER(namespace_raw[[#This Row],[Column13]]), namespace_raw[[#This Row],[Column13]]/1048576,"")</f>
        <v/>
      </c>
      <c r="M602" s="168" t="str">
        <f>IF(ISNUMBER(namespace_raw[[#This Row],[Column10]]), (namespace_raw[[#This Row],[Column10]]*(1+$M$2)),"")</f>
        <v/>
      </c>
      <c r="N602" s="167" t="str">
        <f>IF(ISNUMBER(namespace_raw[[#This Row],[Column11]]), (namespace_raw[[#This Row],[Column11]]*(1+$N$2))/1048576,"")</f>
        <v/>
      </c>
      <c r="O602" s="169" t="str">
        <f>IF(ISNUMBER(namespace_raw[[#This Row],[Column8]]), (E602  * $O$2),"")</f>
        <v/>
      </c>
      <c r="P602" s="170" t="str">
        <f>IF(ISNUMBER(namespace_raw[[#This Row],[Column8]]), (F602  * $P$2),"")</f>
        <v/>
      </c>
    </row>
    <row r="603" spans="1:16" ht="15" customHeight="1" x14ac:dyDescent="0.25">
      <c r="A603" s="32" t="str">
        <f>IF(ISNONTEXT(namespace_raw[[#This Row],[Column1]]), "", namespace_raw[[#This Row],[Column1]])</f>
        <v/>
      </c>
      <c r="B603" s="33" t="str">
        <f>IF(ISNONTEXT(namespace_raw[[#This Row],[Column2]]), "", namespace_raw[[#This Row],[Column2]])</f>
        <v/>
      </c>
      <c r="C603" s="94" t="str">
        <f>IF(ISNUMBER(namespace_raw[[#This Row],[Column4]]), namespace_raw[[#This Row],[Column4]], "")</f>
        <v/>
      </c>
      <c r="D603" s="95" t="str">
        <f>IF(ISNUMBER(namespace_raw[[#This Row],[Column5]]), namespace_raw[[#This Row],[Column5]]/1048576, "")</f>
        <v/>
      </c>
      <c r="E603" s="95" t="str">
        <f>IF(ISNUMBER(namespace_raw[[#This Row],[Column6]]), namespace_raw[[#This Row],[Column6]],"")</f>
        <v/>
      </c>
      <c r="F603" s="96" t="str">
        <f>IF(ISNUMBER(namespace_raw[[#This Row],[Column7]]), namespace_raw[[#This Row],[Column7]]/1048576,"")</f>
        <v/>
      </c>
      <c r="G603" s="122" t="str">
        <f>IF(ISNUMBER(namespace_raw[[#This Row],[Column8]]), namespace_raw[[#This Row],[Column8]],"")</f>
        <v/>
      </c>
      <c r="H603" s="123" t="str">
        <f>IF(ISNUMBER(namespace_raw[[#This Row],[Column9]]), namespace_raw[[#This Row],[Column9]]/1048576,"")</f>
        <v/>
      </c>
      <c r="I603" s="124" t="str">
        <f>IF(ISNUMBER(namespace_raw[[#This Row],[Column8]]),MAX(G603, M603, O603, $I$2,IF(Q603&lt;&gt;"",VALUE(Q603),0)), "")</f>
        <v/>
      </c>
      <c r="J603" s="125" t="str">
        <f>IF(ISNUMBER(namespace_raw[[#This Row],[Column9]]),MAX(H603, N603, P603, $J$2,IF(R603&lt;&gt;"",VALUE(R603),0)),"")</f>
        <v/>
      </c>
      <c r="K603" s="166" t="str">
        <f>IF(ISNUMBER(namespace_raw[[#This Row],[Column12]]), namespace_raw[[#This Row],[Column12]],"")</f>
        <v/>
      </c>
      <c r="L603" s="167" t="str">
        <f>IF(ISNUMBER(namespace_raw[[#This Row],[Column13]]), namespace_raw[[#This Row],[Column13]]/1048576,"")</f>
        <v/>
      </c>
      <c r="M603" s="168" t="str">
        <f>IF(ISNUMBER(namespace_raw[[#This Row],[Column10]]), (namespace_raw[[#This Row],[Column10]]*(1+$M$2)),"")</f>
        <v/>
      </c>
      <c r="N603" s="167" t="str">
        <f>IF(ISNUMBER(namespace_raw[[#This Row],[Column11]]), (namespace_raw[[#This Row],[Column11]]*(1+$N$2))/1048576,"")</f>
        <v/>
      </c>
      <c r="O603" s="169" t="str">
        <f>IF(ISNUMBER(namespace_raw[[#This Row],[Column8]]), (E603  * $O$2),"")</f>
        <v/>
      </c>
      <c r="P603" s="170" t="str">
        <f>IF(ISNUMBER(namespace_raw[[#This Row],[Column8]]), (F603  * $P$2),"")</f>
        <v/>
      </c>
    </row>
    <row r="604" spans="1:16" ht="15" customHeight="1" x14ac:dyDescent="0.25">
      <c r="A604" s="32" t="str">
        <f>IF(ISNONTEXT(namespace_raw[[#This Row],[Column1]]), "", namespace_raw[[#This Row],[Column1]])</f>
        <v/>
      </c>
      <c r="B604" s="33" t="str">
        <f>IF(ISNONTEXT(namespace_raw[[#This Row],[Column2]]), "", namespace_raw[[#This Row],[Column2]])</f>
        <v/>
      </c>
      <c r="C604" s="94" t="str">
        <f>IF(ISNUMBER(namespace_raw[[#This Row],[Column4]]), namespace_raw[[#This Row],[Column4]], "")</f>
        <v/>
      </c>
      <c r="D604" s="95" t="str">
        <f>IF(ISNUMBER(namespace_raw[[#This Row],[Column5]]), namespace_raw[[#This Row],[Column5]]/1048576, "")</f>
        <v/>
      </c>
      <c r="E604" s="95" t="str">
        <f>IF(ISNUMBER(namespace_raw[[#This Row],[Column6]]), namespace_raw[[#This Row],[Column6]],"")</f>
        <v/>
      </c>
      <c r="F604" s="96" t="str">
        <f>IF(ISNUMBER(namespace_raw[[#This Row],[Column7]]), namespace_raw[[#This Row],[Column7]]/1048576,"")</f>
        <v/>
      </c>
      <c r="G604" s="122" t="str">
        <f>IF(ISNUMBER(namespace_raw[[#This Row],[Column8]]), namespace_raw[[#This Row],[Column8]],"")</f>
        <v/>
      </c>
      <c r="H604" s="123" t="str">
        <f>IF(ISNUMBER(namespace_raw[[#This Row],[Column9]]), namespace_raw[[#This Row],[Column9]]/1048576,"")</f>
        <v/>
      </c>
      <c r="I604" s="124" t="str">
        <f>IF(ISNUMBER(namespace_raw[[#This Row],[Column8]]),MAX(G604, M604, O604, $I$2,IF(Q604&lt;&gt;"",VALUE(Q604),0)), "")</f>
        <v/>
      </c>
      <c r="J604" s="125" t="str">
        <f>IF(ISNUMBER(namespace_raw[[#This Row],[Column9]]),MAX(H604, N604, P604, $J$2,IF(R604&lt;&gt;"",VALUE(R604),0)),"")</f>
        <v/>
      </c>
      <c r="K604" s="166" t="str">
        <f>IF(ISNUMBER(namespace_raw[[#This Row],[Column12]]), namespace_raw[[#This Row],[Column12]],"")</f>
        <v/>
      </c>
      <c r="L604" s="167" t="str">
        <f>IF(ISNUMBER(namespace_raw[[#This Row],[Column13]]), namespace_raw[[#This Row],[Column13]]/1048576,"")</f>
        <v/>
      </c>
      <c r="M604" s="168" t="str">
        <f>IF(ISNUMBER(namespace_raw[[#This Row],[Column10]]), (namespace_raw[[#This Row],[Column10]]*(1+$M$2)),"")</f>
        <v/>
      </c>
      <c r="N604" s="167" t="str">
        <f>IF(ISNUMBER(namespace_raw[[#This Row],[Column11]]), (namespace_raw[[#This Row],[Column11]]*(1+$N$2))/1048576,"")</f>
        <v/>
      </c>
      <c r="O604" s="169" t="str">
        <f>IF(ISNUMBER(namespace_raw[[#This Row],[Column8]]), (E604  * $O$2),"")</f>
        <v/>
      </c>
      <c r="P604" s="170" t="str">
        <f>IF(ISNUMBER(namespace_raw[[#This Row],[Column8]]), (F604  * $P$2),"")</f>
        <v/>
      </c>
    </row>
    <row r="605" spans="1:16" ht="15" customHeight="1" x14ac:dyDescent="0.25">
      <c r="A605" s="32" t="str">
        <f>IF(ISNONTEXT(namespace_raw[[#This Row],[Column1]]), "", namespace_raw[[#This Row],[Column1]])</f>
        <v/>
      </c>
      <c r="B605" s="33" t="str">
        <f>IF(ISNONTEXT(namespace_raw[[#This Row],[Column2]]), "", namespace_raw[[#This Row],[Column2]])</f>
        <v/>
      </c>
      <c r="C605" s="94" t="str">
        <f>IF(ISNUMBER(namespace_raw[[#This Row],[Column4]]), namespace_raw[[#This Row],[Column4]], "")</f>
        <v/>
      </c>
      <c r="D605" s="95" t="str">
        <f>IF(ISNUMBER(namespace_raw[[#This Row],[Column5]]), namespace_raw[[#This Row],[Column5]]/1048576, "")</f>
        <v/>
      </c>
      <c r="E605" s="95" t="str">
        <f>IF(ISNUMBER(namespace_raw[[#This Row],[Column6]]), namespace_raw[[#This Row],[Column6]],"")</f>
        <v/>
      </c>
      <c r="F605" s="96" t="str">
        <f>IF(ISNUMBER(namespace_raw[[#This Row],[Column7]]), namespace_raw[[#This Row],[Column7]]/1048576,"")</f>
        <v/>
      </c>
      <c r="G605" s="122" t="str">
        <f>IF(ISNUMBER(namespace_raw[[#This Row],[Column8]]), namespace_raw[[#This Row],[Column8]],"")</f>
        <v/>
      </c>
      <c r="H605" s="123" t="str">
        <f>IF(ISNUMBER(namespace_raw[[#This Row],[Column9]]), namespace_raw[[#This Row],[Column9]]/1048576,"")</f>
        <v/>
      </c>
      <c r="I605" s="124" t="str">
        <f>IF(ISNUMBER(namespace_raw[[#This Row],[Column8]]),MAX(G605, M605, O605, $I$2,IF(Q605&lt;&gt;"",VALUE(Q605),0)), "")</f>
        <v/>
      </c>
      <c r="J605" s="125" t="str">
        <f>IF(ISNUMBER(namespace_raw[[#This Row],[Column9]]),MAX(H605, N605, P605, $J$2,IF(R605&lt;&gt;"",VALUE(R605),0)),"")</f>
        <v/>
      </c>
      <c r="K605" s="166" t="str">
        <f>IF(ISNUMBER(namespace_raw[[#This Row],[Column12]]), namespace_raw[[#This Row],[Column12]],"")</f>
        <v/>
      </c>
      <c r="L605" s="167" t="str">
        <f>IF(ISNUMBER(namespace_raw[[#This Row],[Column13]]), namespace_raw[[#This Row],[Column13]]/1048576,"")</f>
        <v/>
      </c>
      <c r="M605" s="168" t="str">
        <f>IF(ISNUMBER(namespace_raw[[#This Row],[Column10]]), (namespace_raw[[#This Row],[Column10]]*(1+$M$2)),"")</f>
        <v/>
      </c>
      <c r="N605" s="167" t="str">
        <f>IF(ISNUMBER(namespace_raw[[#This Row],[Column11]]), (namespace_raw[[#This Row],[Column11]]*(1+$N$2))/1048576,"")</f>
        <v/>
      </c>
      <c r="O605" s="169" t="str">
        <f>IF(ISNUMBER(namespace_raw[[#This Row],[Column8]]), (E605  * $O$2),"")</f>
        <v/>
      </c>
      <c r="P605" s="170" t="str">
        <f>IF(ISNUMBER(namespace_raw[[#This Row],[Column8]]), (F605  * $P$2),"")</f>
        <v/>
      </c>
    </row>
    <row r="606" spans="1:16" ht="15" customHeight="1" x14ac:dyDescent="0.25">
      <c r="A606" s="32" t="str">
        <f>IF(ISNONTEXT(namespace_raw[[#This Row],[Column1]]), "", namespace_raw[[#This Row],[Column1]])</f>
        <v/>
      </c>
      <c r="B606" s="33" t="str">
        <f>IF(ISNONTEXT(namespace_raw[[#This Row],[Column2]]), "", namespace_raw[[#This Row],[Column2]])</f>
        <v/>
      </c>
      <c r="C606" s="94" t="str">
        <f>IF(ISNUMBER(namespace_raw[[#This Row],[Column4]]), namespace_raw[[#This Row],[Column4]], "")</f>
        <v/>
      </c>
      <c r="D606" s="95" t="str">
        <f>IF(ISNUMBER(namespace_raw[[#This Row],[Column5]]), namespace_raw[[#This Row],[Column5]]/1048576, "")</f>
        <v/>
      </c>
      <c r="E606" s="95" t="str">
        <f>IF(ISNUMBER(namespace_raw[[#This Row],[Column6]]), namespace_raw[[#This Row],[Column6]],"")</f>
        <v/>
      </c>
      <c r="F606" s="96" t="str">
        <f>IF(ISNUMBER(namespace_raw[[#This Row],[Column7]]), namespace_raw[[#This Row],[Column7]]/1048576,"")</f>
        <v/>
      </c>
      <c r="G606" s="122" t="str">
        <f>IF(ISNUMBER(namespace_raw[[#This Row],[Column8]]), namespace_raw[[#This Row],[Column8]],"")</f>
        <v/>
      </c>
      <c r="H606" s="123" t="str">
        <f>IF(ISNUMBER(namespace_raw[[#This Row],[Column9]]), namespace_raw[[#This Row],[Column9]]/1048576,"")</f>
        <v/>
      </c>
      <c r="I606" s="124" t="str">
        <f>IF(ISNUMBER(namespace_raw[[#This Row],[Column8]]),MAX(G606, M606, O606, $I$2,IF(Q606&lt;&gt;"",VALUE(Q606),0)), "")</f>
        <v/>
      </c>
      <c r="J606" s="125" t="str">
        <f>IF(ISNUMBER(namespace_raw[[#This Row],[Column9]]),MAX(H606, N606, P606, $J$2,IF(R606&lt;&gt;"",VALUE(R606),0)),"")</f>
        <v/>
      </c>
      <c r="K606" s="166" t="str">
        <f>IF(ISNUMBER(namespace_raw[[#This Row],[Column12]]), namespace_raw[[#This Row],[Column12]],"")</f>
        <v/>
      </c>
      <c r="L606" s="167" t="str">
        <f>IF(ISNUMBER(namespace_raw[[#This Row],[Column13]]), namespace_raw[[#This Row],[Column13]]/1048576,"")</f>
        <v/>
      </c>
      <c r="M606" s="168" t="str">
        <f>IF(ISNUMBER(namespace_raw[[#This Row],[Column10]]), (namespace_raw[[#This Row],[Column10]]*(1+$M$2)),"")</f>
        <v/>
      </c>
      <c r="N606" s="167" t="str">
        <f>IF(ISNUMBER(namespace_raw[[#This Row],[Column11]]), (namespace_raw[[#This Row],[Column11]]*(1+$N$2))/1048576,"")</f>
        <v/>
      </c>
      <c r="O606" s="169" t="str">
        <f>IF(ISNUMBER(namespace_raw[[#This Row],[Column8]]), (E606  * $O$2),"")</f>
        <v/>
      </c>
      <c r="P606" s="170" t="str">
        <f>IF(ISNUMBER(namespace_raw[[#This Row],[Column8]]), (F606  * $P$2),"")</f>
        <v/>
      </c>
    </row>
    <row r="607" spans="1:16" ht="15" customHeight="1" x14ac:dyDescent="0.25">
      <c r="A607" s="32" t="str">
        <f>IF(ISNONTEXT(namespace_raw[[#This Row],[Column1]]), "", namespace_raw[[#This Row],[Column1]])</f>
        <v/>
      </c>
      <c r="B607" s="33" t="str">
        <f>IF(ISNONTEXT(namespace_raw[[#This Row],[Column2]]), "", namespace_raw[[#This Row],[Column2]])</f>
        <v/>
      </c>
      <c r="C607" s="94" t="str">
        <f>IF(ISNUMBER(namespace_raw[[#This Row],[Column4]]), namespace_raw[[#This Row],[Column4]], "")</f>
        <v/>
      </c>
      <c r="D607" s="95" t="str">
        <f>IF(ISNUMBER(namespace_raw[[#This Row],[Column5]]), namespace_raw[[#This Row],[Column5]]/1048576, "")</f>
        <v/>
      </c>
      <c r="E607" s="95" t="str">
        <f>IF(ISNUMBER(namespace_raw[[#This Row],[Column6]]), namespace_raw[[#This Row],[Column6]],"")</f>
        <v/>
      </c>
      <c r="F607" s="96" t="str">
        <f>IF(ISNUMBER(namespace_raw[[#This Row],[Column7]]), namespace_raw[[#This Row],[Column7]]/1048576,"")</f>
        <v/>
      </c>
      <c r="G607" s="122" t="str">
        <f>IF(ISNUMBER(namespace_raw[[#This Row],[Column8]]), namespace_raw[[#This Row],[Column8]],"")</f>
        <v/>
      </c>
      <c r="H607" s="123" t="str">
        <f>IF(ISNUMBER(namespace_raw[[#This Row],[Column9]]), namespace_raw[[#This Row],[Column9]]/1048576,"")</f>
        <v/>
      </c>
      <c r="I607" s="124" t="str">
        <f>IF(ISNUMBER(namespace_raw[[#This Row],[Column8]]),MAX(G607, M607, O607, $I$2,IF(Q607&lt;&gt;"",VALUE(Q607),0)), "")</f>
        <v/>
      </c>
      <c r="J607" s="125" t="str">
        <f>IF(ISNUMBER(namespace_raw[[#This Row],[Column9]]),MAX(H607, N607, P607, $J$2,IF(R607&lt;&gt;"",VALUE(R607),0)),"")</f>
        <v/>
      </c>
      <c r="K607" s="166" t="str">
        <f>IF(ISNUMBER(namespace_raw[[#This Row],[Column12]]), namespace_raw[[#This Row],[Column12]],"")</f>
        <v/>
      </c>
      <c r="L607" s="167" t="str">
        <f>IF(ISNUMBER(namespace_raw[[#This Row],[Column13]]), namespace_raw[[#This Row],[Column13]]/1048576,"")</f>
        <v/>
      </c>
      <c r="M607" s="168" t="str">
        <f>IF(ISNUMBER(namespace_raw[[#This Row],[Column10]]), (namespace_raw[[#This Row],[Column10]]*(1+$M$2)),"")</f>
        <v/>
      </c>
      <c r="N607" s="167" t="str">
        <f>IF(ISNUMBER(namespace_raw[[#This Row],[Column11]]), (namespace_raw[[#This Row],[Column11]]*(1+$N$2))/1048576,"")</f>
        <v/>
      </c>
      <c r="O607" s="169" t="str">
        <f>IF(ISNUMBER(namespace_raw[[#This Row],[Column8]]), (E607  * $O$2),"")</f>
        <v/>
      </c>
      <c r="P607" s="170" t="str">
        <f>IF(ISNUMBER(namespace_raw[[#This Row],[Column8]]), (F607  * $P$2),"")</f>
        <v/>
      </c>
    </row>
    <row r="608" spans="1:16" ht="15" customHeight="1" x14ac:dyDescent="0.25">
      <c r="A608" s="32" t="str">
        <f>IF(ISNONTEXT(namespace_raw[[#This Row],[Column1]]), "", namespace_raw[[#This Row],[Column1]])</f>
        <v/>
      </c>
      <c r="B608" s="33" t="str">
        <f>IF(ISNONTEXT(namespace_raw[[#This Row],[Column2]]), "", namespace_raw[[#This Row],[Column2]])</f>
        <v/>
      </c>
      <c r="C608" s="94" t="str">
        <f>IF(ISNUMBER(namespace_raw[[#This Row],[Column4]]), namespace_raw[[#This Row],[Column4]], "")</f>
        <v/>
      </c>
      <c r="D608" s="95" t="str">
        <f>IF(ISNUMBER(namespace_raw[[#This Row],[Column5]]), namespace_raw[[#This Row],[Column5]]/1048576, "")</f>
        <v/>
      </c>
      <c r="E608" s="95" t="str">
        <f>IF(ISNUMBER(namespace_raw[[#This Row],[Column6]]), namespace_raw[[#This Row],[Column6]],"")</f>
        <v/>
      </c>
      <c r="F608" s="96" t="str">
        <f>IF(ISNUMBER(namespace_raw[[#This Row],[Column7]]), namespace_raw[[#This Row],[Column7]]/1048576,"")</f>
        <v/>
      </c>
      <c r="G608" s="122" t="str">
        <f>IF(ISNUMBER(namespace_raw[[#This Row],[Column8]]), namespace_raw[[#This Row],[Column8]],"")</f>
        <v/>
      </c>
      <c r="H608" s="123" t="str">
        <f>IF(ISNUMBER(namespace_raw[[#This Row],[Column9]]), namespace_raw[[#This Row],[Column9]]/1048576,"")</f>
        <v/>
      </c>
      <c r="I608" s="124" t="str">
        <f>IF(ISNUMBER(namespace_raw[[#This Row],[Column8]]),MAX(G608, M608, O608, $I$2,IF(Q608&lt;&gt;"",VALUE(Q608),0)), "")</f>
        <v/>
      </c>
      <c r="J608" s="125" t="str">
        <f>IF(ISNUMBER(namespace_raw[[#This Row],[Column9]]),MAX(H608, N608, P608, $J$2,IF(R608&lt;&gt;"",VALUE(R608),0)),"")</f>
        <v/>
      </c>
      <c r="K608" s="166" t="str">
        <f>IF(ISNUMBER(namespace_raw[[#This Row],[Column12]]), namespace_raw[[#This Row],[Column12]],"")</f>
        <v/>
      </c>
      <c r="L608" s="167" t="str">
        <f>IF(ISNUMBER(namespace_raw[[#This Row],[Column13]]), namespace_raw[[#This Row],[Column13]]/1048576,"")</f>
        <v/>
      </c>
      <c r="M608" s="168" t="str">
        <f>IF(ISNUMBER(namespace_raw[[#This Row],[Column10]]), (namespace_raw[[#This Row],[Column10]]*(1+$M$2)),"")</f>
        <v/>
      </c>
      <c r="N608" s="167" t="str">
        <f>IF(ISNUMBER(namespace_raw[[#This Row],[Column11]]), (namespace_raw[[#This Row],[Column11]]*(1+$N$2))/1048576,"")</f>
        <v/>
      </c>
      <c r="O608" s="169" t="str">
        <f>IF(ISNUMBER(namespace_raw[[#This Row],[Column8]]), (E608  * $O$2),"")</f>
        <v/>
      </c>
      <c r="P608" s="170" t="str">
        <f>IF(ISNUMBER(namespace_raw[[#This Row],[Column8]]), (F608  * $P$2),"")</f>
        <v/>
      </c>
    </row>
    <row r="609" spans="1:16" ht="15" customHeight="1" x14ac:dyDescent="0.25">
      <c r="A609" s="32" t="str">
        <f>IF(ISNONTEXT(namespace_raw[[#This Row],[Column1]]), "", namespace_raw[[#This Row],[Column1]])</f>
        <v/>
      </c>
      <c r="B609" s="33" t="str">
        <f>IF(ISNONTEXT(namespace_raw[[#This Row],[Column2]]), "", namespace_raw[[#This Row],[Column2]])</f>
        <v/>
      </c>
      <c r="C609" s="94" t="str">
        <f>IF(ISNUMBER(namespace_raw[[#This Row],[Column4]]), namespace_raw[[#This Row],[Column4]], "")</f>
        <v/>
      </c>
      <c r="D609" s="95" t="str">
        <f>IF(ISNUMBER(namespace_raw[[#This Row],[Column5]]), namespace_raw[[#This Row],[Column5]]/1048576, "")</f>
        <v/>
      </c>
      <c r="E609" s="95" t="str">
        <f>IF(ISNUMBER(namespace_raw[[#This Row],[Column6]]), namespace_raw[[#This Row],[Column6]],"")</f>
        <v/>
      </c>
      <c r="F609" s="96" t="str">
        <f>IF(ISNUMBER(namespace_raw[[#This Row],[Column7]]), namespace_raw[[#This Row],[Column7]]/1048576,"")</f>
        <v/>
      </c>
      <c r="G609" s="122" t="str">
        <f>IF(ISNUMBER(namespace_raw[[#This Row],[Column8]]), namespace_raw[[#This Row],[Column8]],"")</f>
        <v/>
      </c>
      <c r="H609" s="123" t="str">
        <f>IF(ISNUMBER(namespace_raw[[#This Row],[Column9]]), namespace_raw[[#This Row],[Column9]]/1048576,"")</f>
        <v/>
      </c>
      <c r="I609" s="124" t="str">
        <f>IF(ISNUMBER(namespace_raw[[#This Row],[Column8]]),MAX(G609, M609, O609, $I$2,IF(Q609&lt;&gt;"",VALUE(Q609),0)), "")</f>
        <v/>
      </c>
      <c r="J609" s="125" t="str">
        <f>IF(ISNUMBER(namespace_raw[[#This Row],[Column9]]),MAX(H609, N609, P609, $J$2,IF(R609&lt;&gt;"",VALUE(R609),0)),"")</f>
        <v/>
      </c>
      <c r="K609" s="166" t="str">
        <f>IF(ISNUMBER(namespace_raw[[#This Row],[Column12]]), namespace_raw[[#This Row],[Column12]],"")</f>
        <v/>
      </c>
      <c r="L609" s="167" t="str">
        <f>IF(ISNUMBER(namespace_raw[[#This Row],[Column13]]), namespace_raw[[#This Row],[Column13]]/1048576,"")</f>
        <v/>
      </c>
      <c r="M609" s="168" t="str">
        <f>IF(ISNUMBER(namespace_raw[[#This Row],[Column10]]), (namespace_raw[[#This Row],[Column10]]*(1+$M$2)),"")</f>
        <v/>
      </c>
      <c r="N609" s="167" t="str">
        <f>IF(ISNUMBER(namespace_raw[[#This Row],[Column11]]), (namespace_raw[[#This Row],[Column11]]*(1+$N$2))/1048576,"")</f>
        <v/>
      </c>
      <c r="O609" s="169" t="str">
        <f>IF(ISNUMBER(namespace_raw[[#This Row],[Column8]]), (E609  * $O$2),"")</f>
        <v/>
      </c>
      <c r="P609" s="170" t="str">
        <f>IF(ISNUMBER(namespace_raw[[#This Row],[Column8]]), (F609  * $P$2),"")</f>
        <v/>
      </c>
    </row>
    <row r="610" spans="1:16" ht="15" customHeight="1" x14ac:dyDescent="0.25">
      <c r="A610" s="32" t="str">
        <f>IF(ISNONTEXT(namespace_raw[[#This Row],[Column1]]), "", namespace_raw[[#This Row],[Column1]])</f>
        <v/>
      </c>
      <c r="B610" s="33" t="str">
        <f>IF(ISNONTEXT(namespace_raw[[#This Row],[Column2]]), "", namespace_raw[[#This Row],[Column2]])</f>
        <v/>
      </c>
      <c r="C610" s="94" t="str">
        <f>IF(ISNUMBER(namespace_raw[[#This Row],[Column4]]), namespace_raw[[#This Row],[Column4]], "")</f>
        <v/>
      </c>
      <c r="D610" s="95" t="str">
        <f>IF(ISNUMBER(namespace_raw[[#This Row],[Column5]]), namespace_raw[[#This Row],[Column5]]/1048576, "")</f>
        <v/>
      </c>
      <c r="E610" s="95" t="str">
        <f>IF(ISNUMBER(namespace_raw[[#This Row],[Column6]]), namespace_raw[[#This Row],[Column6]],"")</f>
        <v/>
      </c>
      <c r="F610" s="96" t="str">
        <f>IF(ISNUMBER(namespace_raw[[#This Row],[Column7]]), namespace_raw[[#This Row],[Column7]]/1048576,"")</f>
        <v/>
      </c>
      <c r="G610" s="122" t="str">
        <f>IF(ISNUMBER(namespace_raw[[#This Row],[Column8]]), namespace_raw[[#This Row],[Column8]],"")</f>
        <v/>
      </c>
      <c r="H610" s="123" t="str">
        <f>IF(ISNUMBER(namespace_raw[[#This Row],[Column9]]), namespace_raw[[#This Row],[Column9]]/1048576,"")</f>
        <v/>
      </c>
      <c r="I610" s="124" t="str">
        <f>IF(ISNUMBER(namespace_raw[[#This Row],[Column8]]),MAX(G610, M610, O610, $I$2,IF(Q610&lt;&gt;"",VALUE(Q610),0)), "")</f>
        <v/>
      </c>
      <c r="J610" s="125" t="str">
        <f>IF(ISNUMBER(namespace_raw[[#This Row],[Column9]]),MAX(H610, N610, P610, $J$2,IF(R610&lt;&gt;"",VALUE(R610),0)),"")</f>
        <v/>
      </c>
      <c r="K610" s="166" t="str">
        <f>IF(ISNUMBER(namespace_raw[[#This Row],[Column12]]), namespace_raw[[#This Row],[Column12]],"")</f>
        <v/>
      </c>
      <c r="L610" s="167" t="str">
        <f>IF(ISNUMBER(namespace_raw[[#This Row],[Column13]]), namespace_raw[[#This Row],[Column13]]/1048576,"")</f>
        <v/>
      </c>
      <c r="M610" s="168" t="str">
        <f>IF(ISNUMBER(namespace_raw[[#This Row],[Column10]]), (namespace_raw[[#This Row],[Column10]]*(1+$M$2)),"")</f>
        <v/>
      </c>
      <c r="N610" s="167" t="str">
        <f>IF(ISNUMBER(namespace_raw[[#This Row],[Column11]]), (namespace_raw[[#This Row],[Column11]]*(1+$N$2))/1048576,"")</f>
        <v/>
      </c>
      <c r="O610" s="169" t="str">
        <f>IF(ISNUMBER(namespace_raw[[#This Row],[Column8]]), (E610  * $O$2),"")</f>
        <v/>
      </c>
      <c r="P610" s="170" t="str">
        <f>IF(ISNUMBER(namespace_raw[[#This Row],[Column8]]), (F610  * $P$2),"")</f>
        <v/>
      </c>
    </row>
    <row r="611" spans="1:16" ht="15" customHeight="1" x14ac:dyDescent="0.25">
      <c r="A611" s="32" t="str">
        <f>IF(ISNONTEXT(namespace_raw[[#This Row],[Column1]]), "", namespace_raw[[#This Row],[Column1]])</f>
        <v/>
      </c>
      <c r="B611" s="33" t="str">
        <f>IF(ISNONTEXT(namespace_raw[[#This Row],[Column2]]), "", namespace_raw[[#This Row],[Column2]])</f>
        <v/>
      </c>
      <c r="C611" s="94" t="str">
        <f>IF(ISNUMBER(namespace_raw[[#This Row],[Column4]]), namespace_raw[[#This Row],[Column4]], "")</f>
        <v/>
      </c>
      <c r="D611" s="95" t="str">
        <f>IF(ISNUMBER(namespace_raw[[#This Row],[Column5]]), namespace_raw[[#This Row],[Column5]]/1048576, "")</f>
        <v/>
      </c>
      <c r="E611" s="95" t="str">
        <f>IF(ISNUMBER(namespace_raw[[#This Row],[Column6]]), namespace_raw[[#This Row],[Column6]],"")</f>
        <v/>
      </c>
      <c r="F611" s="96" t="str">
        <f>IF(ISNUMBER(namespace_raw[[#This Row],[Column7]]), namespace_raw[[#This Row],[Column7]]/1048576,"")</f>
        <v/>
      </c>
      <c r="G611" s="122" t="str">
        <f>IF(ISNUMBER(namespace_raw[[#This Row],[Column8]]), namespace_raw[[#This Row],[Column8]],"")</f>
        <v/>
      </c>
      <c r="H611" s="123" t="str">
        <f>IF(ISNUMBER(namespace_raw[[#This Row],[Column9]]), namespace_raw[[#This Row],[Column9]]/1048576,"")</f>
        <v/>
      </c>
      <c r="I611" s="124" t="str">
        <f>IF(ISNUMBER(namespace_raw[[#This Row],[Column8]]),MAX(G611, M611, O611, $I$2,IF(Q611&lt;&gt;"",VALUE(Q611),0)), "")</f>
        <v/>
      </c>
      <c r="J611" s="125" t="str">
        <f>IF(ISNUMBER(namespace_raw[[#This Row],[Column9]]),MAX(H611, N611, P611, $J$2,IF(R611&lt;&gt;"",VALUE(R611),0)),"")</f>
        <v/>
      </c>
      <c r="K611" s="166" t="str">
        <f>IF(ISNUMBER(namespace_raw[[#This Row],[Column12]]), namespace_raw[[#This Row],[Column12]],"")</f>
        <v/>
      </c>
      <c r="L611" s="167" t="str">
        <f>IF(ISNUMBER(namespace_raw[[#This Row],[Column13]]), namespace_raw[[#This Row],[Column13]]/1048576,"")</f>
        <v/>
      </c>
      <c r="M611" s="168" t="str">
        <f>IF(ISNUMBER(namespace_raw[[#This Row],[Column10]]), (namespace_raw[[#This Row],[Column10]]*(1+$M$2)),"")</f>
        <v/>
      </c>
      <c r="N611" s="167" t="str">
        <f>IF(ISNUMBER(namespace_raw[[#This Row],[Column11]]), (namespace_raw[[#This Row],[Column11]]*(1+$N$2))/1048576,"")</f>
        <v/>
      </c>
      <c r="O611" s="169" t="str">
        <f>IF(ISNUMBER(namespace_raw[[#This Row],[Column8]]), (E611  * $O$2),"")</f>
        <v/>
      </c>
      <c r="P611" s="170" t="str">
        <f>IF(ISNUMBER(namespace_raw[[#This Row],[Column8]]), (F611  * $P$2),"")</f>
        <v/>
      </c>
    </row>
    <row r="612" spans="1:16" ht="15" customHeight="1" x14ac:dyDescent="0.25">
      <c r="A612" s="32" t="str">
        <f>IF(ISNONTEXT(namespace_raw[[#This Row],[Column1]]), "", namespace_raw[[#This Row],[Column1]])</f>
        <v/>
      </c>
      <c r="B612" s="33" t="str">
        <f>IF(ISNONTEXT(namespace_raw[[#This Row],[Column2]]), "", namespace_raw[[#This Row],[Column2]])</f>
        <v/>
      </c>
      <c r="C612" s="94" t="str">
        <f>IF(ISNUMBER(namespace_raw[[#This Row],[Column4]]), namespace_raw[[#This Row],[Column4]], "")</f>
        <v/>
      </c>
      <c r="D612" s="95" t="str">
        <f>IF(ISNUMBER(namespace_raw[[#This Row],[Column5]]), namespace_raw[[#This Row],[Column5]]/1048576, "")</f>
        <v/>
      </c>
      <c r="E612" s="95" t="str">
        <f>IF(ISNUMBER(namespace_raw[[#This Row],[Column6]]), namespace_raw[[#This Row],[Column6]],"")</f>
        <v/>
      </c>
      <c r="F612" s="96" t="str">
        <f>IF(ISNUMBER(namespace_raw[[#This Row],[Column7]]), namespace_raw[[#This Row],[Column7]]/1048576,"")</f>
        <v/>
      </c>
      <c r="G612" s="122" t="str">
        <f>IF(ISNUMBER(namespace_raw[[#This Row],[Column8]]), namespace_raw[[#This Row],[Column8]],"")</f>
        <v/>
      </c>
      <c r="H612" s="123" t="str">
        <f>IF(ISNUMBER(namespace_raw[[#This Row],[Column9]]), namespace_raw[[#This Row],[Column9]]/1048576,"")</f>
        <v/>
      </c>
      <c r="I612" s="124" t="str">
        <f>IF(ISNUMBER(namespace_raw[[#This Row],[Column8]]),MAX(G612, M612, O612, $I$2,IF(Q612&lt;&gt;"",VALUE(Q612),0)), "")</f>
        <v/>
      </c>
      <c r="J612" s="125" t="str">
        <f>IF(ISNUMBER(namespace_raw[[#This Row],[Column9]]),MAX(H612, N612, P612, $J$2,IF(R612&lt;&gt;"",VALUE(R612),0)),"")</f>
        <v/>
      </c>
      <c r="K612" s="166" t="str">
        <f>IF(ISNUMBER(namespace_raw[[#This Row],[Column12]]), namespace_raw[[#This Row],[Column12]],"")</f>
        <v/>
      </c>
      <c r="L612" s="167" t="str">
        <f>IF(ISNUMBER(namespace_raw[[#This Row],[Column13]]), namespace_raw[[#This Row],[Column13]]/1048576,"")</f>
        <v/>
      </c>
      <c r="M612" s="168" t="str">
        <f>IF(ISNUMBER(namespace_raw[[#This Row],[Column10]]), (namespace_raw[[#This Row],[Column10]]*(1+$M$2)),"")</f>
        <v/>
      </c>
      <c r="N612" s="167" t="str">
        <f>IF(ISNUMBER(namespace_raw[[#This Row],[Column11]]), (namespace_raw[[#This Row],[Column11]]*(1+$N$2))/1048576,"")</f>
        <v/>
      </c>
      <c r="O612" s="169" t="str">
        <f>IF(ISNUMBER(namespace_raw[[#This Row],[Column8]]), (E612  * $O$2),"")</f>
        <v/>
      </c>
      <c r="P612" s="170" t="str">
        <f>IF(ISNUMBER(namespace_raw[[#This Row],[Column8]]), (F612  * $P$2),"")</f>
        <v/>
      </c>
    </row>
    <row r="613" spans="1:16" ht="15" customHeight="1" x14ac:dyDescent="0.25">
      <c r="A613" s="32" t="str">
        <f>IF(ISNONTEXT(namespace_raw[[#This Row],[Column1]]), "", namespace_raw[[#This Row],[Column1]])</f>
        <v/>
      </c>
      <c r="B613" s="33" t="str">
        <f>IF(ISNONTEXT(namespace_raw[[#This Row],[Column2]]), "", namespace_raw[[#This Row],[Column2]])</f>
        <v/>
      </c>
      <c r="C613" s="94" t="str">
        <f>IF(ISNUMBER(namespace_raw[[#This Row],[Column4]]), namespace_raw[[#This Row],[Column4]], "")</f>
        <v/>
      </c>
      <c r="D613" s="95" t="str">
        <f>IF(ISNUMBER(namespace_raw[[#This Row],[Column5]]), namespace_raw[[#This Row],[Column5]]/1048576, "")</f>
        <v/>
      </c>
      <c r="E613" s="95" t="str">
        <f>IF(ISNUMBER(namespace_raw[[#This Row],[Column6]]), namespace_raw[[#This Row],[Column6]],"")</f>
        <v/>
      </c>
      <c r="F613" s="96" t="str">
        <f>IF(ISNUMBER(namespace_raw[[#This Row],[Column7]]), namespace_raw[[#This Row],[Column7]]/1048576,"")</f>
        <v/>
      </c>
      <c r="G613" s="122" t="str">
        <f>IF(ISNUMBER(namespace_raw[[#This Row],[Column8]]), namespace_raw[[#This Row],[Column8]],"")</f>
        <v/>
      </c>
      <c r="H613" s="123" t="str">
        <f>IF(ISNUMBER(namespace_raw[[#This Row],[Column9]]), namespace_raw[[#This Row],[Column9]]/1048576,"")</f>
        <v/>
      </c>
      <c r="I613" s="124" t="str">
        <f>IF(ISNUMBER(namespace_raw[[#This Row],[Column8]]),MAX(G613, M613, O613, $I$2,IF(Q613&lt;&gt;"",VALUE(Q613),0)), "")</f>
        <v/>
      </c>
      <c r="J613" s="125" t="str">
        <f>IF(ISNUMBER(namespace_raw[[#This Row],[Column9]]),MAX(H613, N613, P613, $J$2,IF(R613&lt;&gt;"",VALUE(R613),0)),"")</f>
        <v/>
      </c>
      <c r="K613" s="166" t="str">
        <f>IF(ISNUMBER(namespace_raw[[#This Row],[Column12]]), namespace_raw[[#This Row],[Column12]],"")</f>
        <v/>
      </c>
      <c r="L613" s="167" t="str">
        <f>IF(ISNUMBER(namespace_raw[[#This Row],[Column13]]), namespace_raw[[#This Row],[Column13]]/1048576,"")</f>
        <v/>
      </c>
      <c r="M613" s="168" t="str">
        <f>IF(ISNUMBER(namespace_raw[[#This Row],[Column10]]), (namespace_raw[[#This Row],[Column10]]*(1+$M$2)),"")</f>
        <v/>
      </c>
      <c r="N613" s="167" t="str">
        <f>IF(ISNUMBER(namespace_raw[[#This Row],[Column11]]), (namespace_raw[[#This Row],[Column11]]*(1+$N$2))/1048576,"")</f>
        <v/>
      </c>
      <c r="O613" s="169" t="str">
        <f>IF(ISNUMBER(namespace_raw[[#This Row],[Column8]]), (E613  * $O$2),"")</f>
        <v/>
      </c>
      <c r="P613" s="170" t="str">
        <f>IF(ISNUMBER(namespace_raw[[#This Row],[Column8]]), (F613  * $P$2),"")</f>
        <v/>
      </c>
    </row>
    <row r="614" spans="1:16" ht="15" customHeight="1" x14ac:dyDescent="0.25">
      <c r="A614" s="32" t="str">
        <f>IF(ISNONTEXT(namespace_raw[[#This Row],[Column1]]), "", namespace_raw[[#This Row],[Column1]])</f>
        <v/>
      </c>
      <c r="B614" s="33" t="str">
        <f>IF(ISNONTEXT(namespace_raw[[#This Row],[Column2]]), "", namespace_raw[[#This Row],[Column2]])</f>
        <v/>
      </c>
      <c r="C614" s="94" t="str">
        <f>IF(ISNUMBER(namespace_raw[[#This Row],[Column4]]), namespace_raw[[#This Row],[Column4]], "")</f>
        <v/>
      </c>
      <c r="D614" s="95" t="str">
        <f>IF(ISNUMBER(namespace_raw[[#This Row],[Column5]]), namespace_raw[[#This Row],[Column5]]/1048576, "")</f>
        <v/>
      </c>
      <c r="E614" s="95" t="str">
        <f>IF(ISNUMBER(namespace_raw[[#This Row],[Column6]]), namespace_raw[[#This Row],[Column6]],"")</f>
        <v/>
      </c>
      <c r="F614" s="96" t="str">
        <f>IF(ISNUMBER(namespace_raw[[#This Row],[Column7]]), namespace_raw[[#This Row],[Column7]]/1048576,"")</f>
        <v/>
      </c>
      <c r="G614" s="122" t="str">
        <f>IF(ISNUMBER(namespace_raw[[#This Row],[Column8]]), namespace_raw[[#This Row],[Column8]],"")</f>
        <v/>
      </c>
      <c r="H614" s="123" t="str">
        <f>IF(ISNUMBER(namespace_raw[[#This Row],[Column9]]), namespace_raw[[#This Row],[Column9]]/1048576,"")</f>
        <v/>
      </c>
      <c r="I614" s="124" t="str">
        <f>IF(ISNUMBER(namespace_raw[[#This Row],[Column8]]),MAX(G614, M614, O614, $I$2,IF(Q614&lt;&gt;"",VALUE(Q614),0)), "")</f>
        <v/>
      </c>
      <c r="J614" s="125" t="str">
        <f>IF(ISNUMBER(namespace_raw[[#This Row],[Column9]]),MAX(H614, N614, P614, $J$2,IF(R614&lt;&gt;"",VALUE(R614),0)),"")</f>
        <v/>
      </c>
      <c r="K614" s="166" t="str">
        <f>IF(ISNUMBER(namespace_raw[[#This Row],[Column12]]), namespace_raw[[#This Row],[Column12]],"")</f>
        <v/>
      </c>
      <c r="L614" s="167" t="str">
        <f>IF(ISNUMBER(namespace_raw[[#This Row],[Column13]]), namespace_raw[[#This Row],[Column13]]/1048576,"")</f>
        <v/>
      </c>
      <c r="M614" s="168" t="str">
        <f>IF(ISNUMBER(namespace_raw[[#This Row],[Column10]]), (namespace_raw[[#This Row],[Column10]]*(1+$M$2)),"")</f>
        <v/>
      </c>
      <c r="N614" s="167" t="str">
        <f>IF(ISNUMBER(namespace_raw[[#This Row],[Column11]]), (namespace_raw[[#This Row],[Column11]]*(1+$N$2))/1048576,"")</f>
        <v/>
      </c>
      <c r="O614" s="169" t="str">
        <f>IF(ISNUMBER(namespace_raw[[#This Row],[Column8]]), (E614  * $O$2),"")</f>
        <v/>
      </c>
      <c r="P614" s="170" t="str">
        <f>IF(ISNUMBER(namespace_raw[[#This Row],[Column8]]), (F614  * $P$2),"")</f>
        <v/>
      </c>
    </row>
    <row r="615" spans="1:16" ht="15" customHeight="1" x14ac:dyDescent="0.25">
      <c r="A615" s="32" t="str">
        <f>IF(ISNONTEXT(namespace_raw[[#This Row],[Column1]]), "", namespace_raw[[#This Row],[Column1]])</f>
        <v/>
      </c>
      <c r="B615" s="33" t="str">
        <f>IF(ISNONTEXT(namespace_raw[[#This Row],[Column2]]), "", namespace_raw[[#This Row],[Column2]])</f>
        <v/>
      </c>
      <c r="C615" s="94" t="str">
        <f>IF(ISNUMBER(namespace_raw[[#This Row],[Column4]]), namespace_raw[[#This Row],[Column4]], "")</f>
        <v/>
      </c>
      <c r="D615" s="95" t="str">
        <f>IF(ISNUMBER(namespace_raw[[#This Row],[Column5]]), namespace_raw[[#This Row],[Column5]]/1048576, "")</f>
        <v/>
      </c>
      <c r="E615" s="95" t="str">
        <f>IF(ISNUMBER(namespace_raw[[#This Row],[Column6]]), namespace_raw[[#This Row],[Column6]],"")</f>
        <v/>
      </c>
      <c r="F615" s="96" t="str">
        <f>IF(ISNUMBER(namespace_raw[[#This Row],[Column7]]), namespace_raw[[#This Row],[Column7]]/1048576,"")</f>
        <v/>
      </c>
      <c r="G615" s="122" t="str">
        <f>IF(ISNUMBER(namespace_raw[[#This Row],[Column8]]), namespace_raw[[#This Row],[Column8]],"")</f>
        <v/>
      </c>
      <c r="H615" s="123" t="str">
        <f>IF(ISNUMBER(namespace_raw[[#This Row],[Column9]]), namespace_raw[[#This Row],[Column9]]/1048576,"")</f>
        <v/>
      </c>
      <c r="I615" s="124" t="str">
        <f>IF(ISNUMBER(namespace_raw[[#This Row],[Column8]]),MAX(G615, M615, O615, $I$2,IF(Q615&lt;&gt;"",VALUE(Q615),0)), "")</f>
        <v/>
      </c>
      <c r="J615" s="125" t="str">
        <f>IF(ISNUMBER(namespace_raw[[#This Row],[Column9]]),MAX(H615, N615, P615, $J$2,IF(R615&lt;&gt;"",VALUE(R615),0)),"")</f>
        <v/>
      </c>
      <c r="K615" s="166" t="str">
        <f>IF(ISNUMBER(namespace_raw[[#This Row],[Column12]]), namespace_raw[[#This Row],[Column12]],"")</f>
        <v/>
      </c>
      <c r="L615" s="167" t="str">
        <f>IF(ISNUMBER(namespace_raw[[#This Row],[Column13]]), namespace_raw[[#This Row],[Column13]]/1048576,"")</f>
        <v/>
      </c>
      <c r="M615" s="168" t="str">
        <f>IF(ISNUMBER(namespace_raw[[#This Row],[Column10]]), (namespace_raw[[#This Row],[Column10]]*(1+$M$2)),"")</f>
        <v/>
      </c>
      <c r="N615" s="167" t="str">
        <f>IF(ISNUMBER(namespace_raw[[#This Row],[Column11]]), (namespace_raw[[#This Row],[Column11]]*(1+$N$2))/1048576,"")</f>
        <v/>
      </c>
      <c r="O615" s="169" t="str">
        <f>IF(ISNUMBER(namespace_raw[[#This Row],[Column8]]), (E615  * $O$2),"")</f>
        <v/>
      </c>
      <c r="P615" s="170" t="str">
        <f>IF(ISNUMBER(namespace_raw[[#This Row],[Column8]]), (F615  * $P$2),"")</f>
        <v/>
      </c>
    </row>
    <row r="616" spans="1:16" ht="15" customHeight="1" x14ac:dyDescent="0.25">
      <c r="A616" s="32" t="str">
        <f>IF(ISNONTEXT(namespace_raw[[#This Row],[Column1]]), "", namespace_raw[[#This Row],[Column1]])</f>
        <v/>
      </c>
      <c r="B616" s="33" t="str">
        <f>IF(ISNONTEXT(namespace_raw[[#This Row],[Column2]]), "", namespace_raw[[#This Row],[Column2]])</f>
        <v/>
      </c>
      <c r="C616" s="94" t="str">
        <f>IF(ISNUMBER(namespace_raw[[#This Row],[Column4]]), namespace_raw[[#This Row],[Column4]], "")</f>
        <v/>
      </c>
      <c r="D616" s="95" t="str">
        <f>IF(ISNUMBER(namespace_raw[[#This Row],[Column5]]), namespace_raw[[#This Row],[Column5]]/1048576, "")</f>
        <v/>
      </c>
      <c r="E616" s="95" t="str">
        <f>IF(ISNUMBER(namespace_raw[[#This Row],[Column6]]), namespace_raw[[#This Row],[Column6]],"")</f>
        <v/>
      </c>
      <c r="F616" s="96" t="str">
        <f>IF(ISNUMBER(namespace_raw[[#This Row],[Column7]]), namespace_raw[[#This Row],[Column7]]/1048576,"")</f>
        <v/>
      </c>
      <c r="G616" s="122" t="str">
        <f>IF(ISNUMBER(namespace_raw[[#This Row],[Column8]]), namespace_raw[[#This Row],[Column8]],"")</f>
        <v/>
      </c>
      <c r="H616" s="123" t="str">
        <f>IF(ISNUMBER(namespace_raw[[#This Row],[Column9]]), namespace_raw[[#This Row],[Column9]]/1048576,"")</f>
        <v/>
      </c>
      <c r="I616" s="124" t="str">
        <f>IF(ISNUMBER(namespace_raw[[#This Row],[Column8]]),MAX(G616, M616, O616, $I$2,IF(Q616&lt;&gt;"",VALUE(Q616),0)), "")</f>
        <v/>
      </c>
      <c r="J616" s="125" t="str">
        <f>IF(ISNUMBER(namespace_raw[[#This Row],[Column9]]),MAX(H616, N616, P616, $J$2,IF(R616&lt;&gt;"",VALUE(R616),0)),"")</f>
        <v/>
      </c>
      <c r="K616" s="166" t="str">
        <f>IF(ISNUMBER(namespace_raw[[#This Row],[Column12]]), namespace_raw[[#This Row],[Column12]],"")</f>
        <v/>
      </c>
      <c r="L616" s="167" t="str">
        <f>IF(ISNUMBER(namespace_raw[[#This Row],[Column13]]), namespace_raw[[#This Row],[Column13]]/1048576,"")</f>
        <v/>
      </c>
      <c r="M616" s="168" t="str">
        <f>IF(ISNUMBER(namespace_raw[[#This Row],[Column10]]), (namespace_raw[[#This Row],[Column10]]*(1+$M$2)),"")</f>
        <v/>
      </c>
      <c r="N616" s="167" t="str">
        <f>IF(ISNUMBER(namespace_raw[[#This Row],[Column11]]), (namespace_raw[[#This Row],[Column11]]*(1+$N$2))/1048576,"")</f>
        <v/>
      </c>
      <c r="O616" s="169" t="str">
        <f>IF(ISNUMBER(namespace_raw[[#This Row],[Column8]]), (E616  * $O$2),"")</f>
        <v/>
      </c>
      <c r="P616" s="170" t="str">
        <f>IF(ISNUMBER(namespace_raw[[#This Row],[Column8]]), (F616  * $P$2),"")</f>
        <v/>
      </c>
    </row>
    <row r="617" spans="1:16" ht="15" customHeight="1" x14ac:dyDescent="0.25">
      <c r="A617" s="32" t="str">
        <f>IF(ISNONTEXT(namespace_raw[[#This Row],[Column1]]), "", namespace_raw[[#This Row],[Column1]])</f>
        <v/>
      </c>
      <c r="B617" s="33" t="str">
        <f>IF(ISNONTEXT(namespace_raw[[#This Row],[Column2]]), "", namespace_raw[[#This Row],[Column2]])</f>
        <v/>
      </c>
      <c r="C617" s="94" t="str">
        <f>IF(ISNUMBER(namespace_raw[[#This Row],[Column4]]), namespace_raw[[#This Row],[Column4]], "")</f>
        <v/>
      </c>
      <c r="D617" s="95" t="str">
        <f>IF(ISNUMBER(namespace_raw[[#This Row],[Column5]]), namespace_raw[[#This Row],[Column5]]/1048576, "")</f>
        <v/>
      </c>
      <c r="E617" s="95" t="str">
        <f>IF(ISNUMBER(namespace_raw[[#This Row],[Column6]]), namespace_raw[[#This Row],[Column6]],"")</f>
        <v/>
      </c>
      <c r="F617" s="96" t="str">
        <f>IF(ISNUMBER(namespace_raw[[#This Row],[Column7]]), namespace_raw[[#This Row],[Column7]]/1048576,"")</f>
        <v/>
      </c>
      <c r="G617" s="122" t="str">
        <f>IF(ISNUMBER(namespace_raw[[#This Row],[Column8]]), namespace_raw[[#This Row],[Column8]],"")</f>
        <v/>
      </c>
      <c r="H617" s="123" t="str">
        <f>IF(ISNUMBER(namespace_raw[[#This Row],[Column9]]), namespace_raw[[#This Row],[Column9]]/1048576,"")</f>
        <v/>
      </c>
      <c r="I617" s="124" t="str">
        <f>IF(ISNUMBER(namespace_raw[[#This Row],[Column8]]),MAX(G617, M617, O617, $I$2,IF(Q617&lt;&gt;"",VALUE(Q617),0)), "")</f>
        <v/>
      </c>
      <c r="J617" s="125" t="str">
        <f>IF(ISNUMBER(namespace_raw[[#This Row],[Column9]]),MAX(H617, N617, P617, $J$2,IF(R617&lt;&gt;"",VALUE(R617),0)),"")</f>
        <v/>
      </c>
      <c r="K617" s="166" t="str">
        <f>IF(ISNUMBER(namespace_raw[[#This Row],[Column12]]), namespace_raw[[#This Row],[Column12]],"")</f>
        <v/>
      </c>
      <c r="L617" s="167" t="str">
        <f>IF(ISNUMBER(namespace_raw[[#This Row],[Column13]]), namespace_raw[[#This Row],[Column13]]/1048576,"")</f>
        <v/>
      </c>
      <c r="M617" s="168" t="str">
        <f>IF(ISNUMBER(namespace_raw[[#This Row],[Column10]]), (namespace_raw[[#This Row],[Column10]]*(1+$M$2)),"")</f>
        <v/>
      </c>
      <c r="N617" s="167" t="str">
        <f>IF(ISNUMBER(namespace_raw[[#This Row],[Column11]]), (namespace_raw[[#This Row],[Column11]]*(1+$N$2))/1048576,"")</f>
        <v/>
      </c>
      <c r="O617" s="169" t="str">
        <f>IF(ISNUMBER(namespace_raw[[#This Row],[Column8]]), (E617  * $O$2),"")</f>
        <v/>
      </c>
      <c r="P617" s="170" t="str">
        <f>IF(ISNUMBER(namespace_raw[[#This Row],[Column8]]), (F617  * $P$2),"")</f>
        <v/>
      </c>
    </row>
    <row r="618" spans="1:16" ht="15" customHeight="1" x14ac:dyDescent="0.25">
      <c r="A618" s="32" t="str">
        <f>IF(ISNONTEXT(namespace_raw[[#This Row],[Column1]]), "", namespace_raw[[#This Row],[Column1]])</f>
        <v/>
      </c>
      <c r="B618" s="33" t="str">
        <f>IF(ISNONTEXT(namespace_raw[[#This Row],[Column2]]), "", namespace_raw[[#This Row],[Column2]])</f>
        <v/>
      </c>
      <c r="C618" s="94" t="str">
        <f>IF(ISNUMBER(namespace_raw[[#This Row],[Column4]]), namespace_raw[[#This Row],[Column4]], "")</f>
        <v/>
      </c>
      <c r="D618" s="95" t="str">
        <f>IF(ISNUMBER(namespace_raw[[#This Row],[Column5]]), namespace_raw[[#This Row],[Column5]]/1048576, "")</f>
        <v/>
      </c>
      <c r="E618" s="95" t="str">
        <f>IF(ISNUMBER(namespace_raw[[#This Row],[Column6]]), namespace_raw[[#This Row],[Column6]],"")</f>
        <v/>
      </c>
      <c r="F618" s="96" t="str">
        <f>IF(ISNUMBER(namespace_raw[[#This Row],[Column7]]), namespace_raw[[#This Row],[Column7]]/1048576,"")</f>
        <v/>
      </c>
      <c r="G618" s="122" t="str">
        <f>IF(ISNUMBER(namespace_raw[[#This Row],[Column8]]), namespace_raw[[#This Row],[Column8]],"")</f>
        <v/>
      </c>
      <c r="H618" s="123" t="str">
        <f>IF(ISNUMBER(namespace_raw[[#This Row],[Column9]]), namespace_raw[[#This Row],[Column9]]/1048576,"")</f>
        <v/>
      </c>
      <c r="I618" s="124" t="str">
        <f>IF(ISNUMBER(namespace_raw[[#This Row],[Column8]]),MAX(G618, M618, O618, $I$2,IF(Q618&lt;&gt;"",VALUE(Q618),0)), "")</f>
        <v/>
      </c>
      <c r="J618" s="125" t="str">
        <f>IF(ISNUMBER(namespace_raw[[#This Row],[Column9]]),MAX(H618, N618, P618, $J$2,IF(R618&lt;&gt;"",VALUE(R618),0)),"")</f>
        <v/>
      </c>
      <c r="K618" s="166" t="str">
        <f>IF(ISNUMBER(namespace_raw[[#This Row],[Column12]]), namespace_raw[[#This Row],[Column12]],"")</f>
        <v/>
      </c>
      <c r="L618" s="167" t="str">
        <f>IF(ISNUMBER(namespace_raw[[#This Row],[Column13]]), namespace_raw[[#This Row],[Column13]]/1048576,"")</f>
        <v/>
      </c>
      <c r="M618" s="168" t="str">
        <f>IF(ISNUMBER(namespace_raw[[#This Row],[Column10]]), (namespace_raw[[#This Row],[Column10]]*(1+$M$2)),"")</f>
        <v/>
      </c>
      <c r="N618" s="167" t="str">
        <f>IF(ISNUMBER(namespace_raw[[#This Row],[Column11]]), (namespace_raw[[#This Row],[Column11]]*(1+$N$2))/1048576,"")</f>
        <v/>
      </c>
      <c r="O618" s="169" t="str">
        <f>IF(ISNUMBER(namespace_raw[[#This Row],[Column8]]), (E618  * $O$2),"")</f>
        <v/>
      </c>
      <c r="P618" s="170" t="str">
        <f>IF(ISNUMBER(namespace_raw[[#This Row],[Column8]]), (F618  * $P$2),"")</f>
        <v/>
      </c>
    </row>
    <row r="619" spans="1:16" ht="15" customHeight="1" x14ac:dyDescent="0.25">
      <c r="A619" s="32" t="str">
        <f>IF(ISNONTEXT(namespace_raw[[#This Row],[Column1]]), "", namespace_raw[[#This Row],[Column1]])</f>
        <v/>
      </c>
      <c r="B619" s="33" t="str">
        <f>IF(ISNONTEXT(namespace_raw[[#This Row],[Column2]]), "", namespace_raw[[#This Row],[Column2]])</f>
        <v/>
      </c>
      <c r="C619" s="94" t="str">
        <f>IF(ISNUMBER(namespace_raw[[#This Row],[Column4]]), namespace_raw[[#This Row],[Column4]], "")</f>
        <v/>
      </c>
      <c r="D619" s="95" t="str">
        <f>IF(ISNUMBER(namespace_raw[[#This Row],[Column5]]), namespace_raw[[#This Row],[Column5]]/1048576, "")</f>
        <v/>
      </c>
      <c r="E619" s="95" t="str">
        <f>IF(ISNUMBER(namespace_raw[[#This Row],[Column6]]), namespace_raw[[#This Row],[Column6]],"")</f>
        <v/>
      </c>
      <c r="F619" s="96" t="str">
        <f>IF(ISNUMBER(namespace_raw[[#This Row],[Column7]]), namespace_raw[[#This Row],[Column7]]/1048576,"")</f>
        <v/>
      </c>
      <c r="G619" s="122" t="str">
        <f>IF(ISNUMBER(namespace_raw[[#This Row],[Column8]]), namespace_raw[[#This Row],[Column8]],"")</f>
        <v/>
      </c>
      <c r="H619" s="123" t="str">
        <f>IF(ISNUMBER(namespace_raw[[#This Row],[Column9]]), namespace_raw[[#This Row],[Column9]]/1048576,"")</f>
        <v/>
      </c>
      <c r="I619" s="124" t="str">
        <f>IF(ISNUMBER(namespace_raw[[#This Row],[Column8]]),MAX(G619, M619, O619, $I$2,IF(Q619&lt;&gt;"",VALUE(Q619),0)), "")</f>
        <v/>
      </c>
      <c r="J619" s="125" t="str">
        <f>IF(ISNUMBER(namespace_raw[[#This Row],[Column9]]),MAX(H619, N619, P619, $J$2,IF(R619&lt;&gt;"",VALUE(R619),0)),"")</f>
        <v/>
      </c>
      <c r="K619" s="166" t="str">
        <f>IF(ISNUMBER(namespace_raw[[#This Row],[Column12]]), namespace_raw[[#This Row],[Column12]],"")</f>
        <v/>
      </c>
      <c r="L619" s="167" t="str">
        <f>IF(ISNUMBER(namespace_raw[[#This Row],[Column13]]), namespace_raw[[#This Row],[Column13]]/1048576,"")</f>
        <v/>
      </c>
      <c r="M619" s="168" t="str">
        <f>IF(ISNUMBER(namespace_raw[[#This Row],[Column10]]), (namespace_raw[[#This Row],[Column10]]*(1+$M$2)),"")</f>
        <v/>
      </c>
      <c r="N619" s="167" t="str">
        <f>IF(ISNUMBER(namespace_raw[[#This Row],[Column11]]), (namespace_raw[[#This Row],[Column11]]*(1+$N$2))/1048576,"")</f>
        <v/>
      </c>
      <c r="O619" s="169" t="str">
        <f>IF(ISNUMBER(namespace_raw[[#This Row],[Column8]]), (E619  * $O$2),"")</f>
        <v/>
      </c>
      <c r="P619" s="170" t="str">
        <f>IF(ISNUMBER(namespace_raw[[#This Row],[Column8]]), (F619  * $P$2),"")</f>
        <v/>
      </c>
    </row>
    <row r="620" spans="1:16" ht="15" customHeight="1" x14ac:dyDescent="0.25">
      <c r="A620" s="32" t="str">
        <f>IF(ISNONTEXT(namespace_raw[[#This Row],[Column1]]), "", namespace_raw[[#This Row],[Column1]])</f>
        <v/>
      </c>
      <c r="B620" s="33" t="str">
        <f>IF(ISNONTEXT(namespace_raw[[#This Row],[Column2]]), "", namespace_raw[[#This Row],[Column2]])</f>
        <v/>
      </c>
      <c r="C620" s="94" t="str">
        <f>IF(ISNUMBER(namespace_raw[[#This Row],[Column4]]), namespace_raw[[#This Row],[Column4]], "")</f>
        <v/>
      </c>
      <c r="D620" s="95" t="str">
        <f>IF(ISNUMBER(namespace_raw[[#This Row],[Column5]]), namespace_raw[[#This Row],[Column5]]/1048576, "")</f>
        <v/>
      </c>
      <c r="E620" s="95" t="str">
        <f>IF(ISNUMBER(namespace_raw[[#This Row],[Column6]]), namespace_raw[[#This Row],[Column6]],"")</f>
        <v/>
      </c>
      <c r="F620" s="96" t="str">
        <f>IF(ISNUMBER(namespace_raw[[#This Row],[Column7]]), namespace_raw[[#This Row],[Column7]]/1048576,"")</f>
        <v/>
      </c>
      <c r="G620" s="122" t="str">
        <f>IF(ISNUMBER(namespace_raw[[#This Row],[Column8]]), namespace_raw[[#This Row],[Column8]],"")</f>
        <v/>
      </c>
      <c r="H620" s="123" t="str">
        <f>IF(ISNUMBER(namespace_raw[[#This Row],[Column9]]), namespace_raw[[#This Row],[Column9]]/1048576,"")</f>
        <v/>
      </c>
      <c r="I620" s="124" t="str">
        <f>IF(ISNUMBER(namespace_raw[[#This Row],[Column8]]),MAX(G620, M620, O620, $I$2,IF(Q620&lt;&gt;"",VALUE(Q620),0)), "")</f>
        <v/>
      </c>
      <c r="J620" s="125" t="str">
        <f>IF(ISNUMBER(namespace_raw[[#This Row],[Column9]]),MAX(H620, N620, P620, $J$2,IF(R620&lt;&gt;"",VALUE(R620),0)),"")</f>
        <v/>
      </c>
      <c r="K620" s="166" t="str">
        <f>IF(ISNUMBER(namespace_raw[[#This Row],[Column12]]), namespace_raw[[#This Row],[Column12]],"")</f>
        <v/>
      </c>
      <c r="L620" s="167" t="str">
        <f>IF(ISNUMBER(namespace_raw[[#This Row],[Column13]]), namespace_raw[[#This Row],[Column13]]/1048576,"")</f>
        <v/>
      </c>
      <c r="M620" s="168" t="str">
        <f>IF(ISNUMBER(namespace_raw[[#This Row],[Column10]]), (namespace_raw[[#This Row],[Column10]]*(1+$M$2)),"")</f>
        <v/>
      </c>
      <c r="N620" s="167" t="str">
        <f>IF(ISNUMBER(namespace_raw[[#This Row],[Column11]]), (namespace_raw[[#This Row],[Column11]]*(1+$N$2))/1048576,"")</f>
        <v/>
      </c>
      <c r="O620" s="169" t="str">
        <f>IF(ISNUMBER(namespace_raw[[#This Row],[Column8]]), (E620  * $O$2),"")</f>
        <v/>
      </c>
      <c r="P620" s="170" t="str">
        <f>IF(ISNUMBER(namespace_raw[[#This Row],[Column8]]), (F620  * $P$2),"")</f>
        <v/>
      </c>
    </row>
    <row r="621" spans="1:16" ht="15" customHeight="1" x14ac:dyDescent="0.25">
      <c r="A621" s="32" t="str">
        <f>IF(ISNONTEXT(namespace_raw[[#This Row],[Column1]]), "", namespace_raw[[#This Row],[Column1]])</f>
        <v/>
      </c>
      <c r="B621" s="33" t="str">
        <f>IF(ISNONTEXT(namespace_raw[[#This Row],[Column2]]), "", namespace_raw[[#This Row],[Column2]])</f>
        <v/>
      </c>
      <c r="C621" s="94" t="str">
        <f>IF(ISNUMBER(namespace_raw[[#This Row],[Column4]]), namespace_raw[[#This Row],[Column4]], "")</f>
        <v/>
      </c>
      <c r="D621" s="95" t="str">
        <f>IF(ISNUMBER(namespace_raw[[#This Row],[Column5]]), namespace_raw[[#This Row],[Column5]]/1048576, "")</f>
        <v/>
      </c>
      <c r="E621" s="95" t="str">
        <f>IF(ISNUMBER(namespace_raw[[#This Row],[Column6]]), namespace_raw[[#This Row],[Column6]],"")</f>
        <v/>
      </c>
      <c r="F621" s="96" t="str">
        <f>IF(ISNUMBER(namespace_raw[[#This Row],[Column7]]), namespace_raw[[#This Row],[Column7]]/1048576,"")</f>
        <v/>
      </c>
      <c r="G621" s="122" t="str">
        <f>IF(ISNUMBER(namespace_raw[[#This Row],[Column8]]), namespace_raw[[#This Row],[Column8]],"")</f>
        <v/>
      </c>
      <c r="H621" s="123" t="str">
        <f>IF(ISNUMBER(namespace_raw[[#This Row],[Column9]]), namespace_raw[[#This Row],[Column9]]/1048576,"")</f>
        <v/>
      </c>
      <c r="I621" s="124" t="str">
        <f>IF(ISNUMBER(namespace_raw[[#This Row],[Column8]]),MAX(G621, M621, O621, $I$2,IF(Q621&lt;&gt;"",VALUE(Q621),0)), "")</f>
        <v/>
      </c>
      <c r="J621" s="125" t="str">
        <f>IF(ISNUMBER(namespace_raw[[#This Row],[Column9]]),MAX(H621, N621, P621, $J$2,IF(R621&lt;&gt;"",VALUE(R621),0)),"")</f>
        <v/>
      </c>
      <c r="K621" s="166" t="str">
        <f>IF(ISNUMBER(namespace_raw[[#This Row],[Column12]]), namespace_raw[[#This Row],[Column12]],"")</f>
        <v/>
      </c>
      <c r="L621" s="167" t="str">
        <f>IF(ISNUMBER(namespace_raw[[#This Row],[Column13]]), namespace_raw[[#This Row],[Column13]]/1048576,"")</f>
        <v/>
      </c>
      <c r="M621" s="168" t="str">
        <f>IF(ISNUMBER(namespace_raw[[#This Row],[Column10]]), (namespace_raw[[#This Row],[Column10]]*(1+$M$2)),"")</f>
        <v/>
      </c>
      <c r="N621" s="167" t="str">
        <f>IF(ISNUMBER(namespace_raw[[#This Row],[Column11]]), (namespace_raw[[#This Row],[Column11]]*(1+$N$2))/1048576,"")</f>
        <v/>
      </c>
      <c r="O621" s="169" t="str">
        <f>IF(ISNUMBER(namespace_raw[[#This Row],[Column8]]), (E621  * $O$2),"")</f>
        <v/>
      </c>
      <c r="P621" s="170" t="str">
        <f>IF(ISNUMBER(namespace_raw[[#This Row],[Column8]]), (F621  * $P$2),"")</f>
        <v/>
      </c>
    </row>
    <row r="622" spans="1:16" ht="15" customHeight="1" x14ac:dyDescent="0.25">
      <c r="A622" s="32" t="str">
        <f>IF(ISNONTEXT(namespace_raw[[#This Row],[Column1]]), "", namespace_raw[[#This Row],[Column1]])</f>
        <v/>
      </c>
      <c r="B622" s="33" t="str">
        <f>IF(ISNONTEXT(namespace_raw[[#This Row],[Column2]]), "", namespace_raw[[#This Row],[Column2]])</f>
        <v/>
      </c>
      <c r="C622" s="94" t="str">
        <f>IF(ISNUMBER(namespace_raw[[#This Row],[Column4]]), namespace_raw[[#This Row],[Column4]], "")</f>
        <v/>
      </c>
      <c r="D622" s="95" t="str">
        <f>IF(ISNUMBER(namespace_raw[[#This Row],[Column5]]), namespace_raw[[#This Row],[Column5]]/1048576, "")</f>
        <v/>
      </c>
      <c r="E622" s="95" t="str">
        <f>IF(ISNUMBER(namespace_raw[[#This Row],[Column6]]), namespace_raw[[#This Row],[Column6]],"")</f>
        <v/>
      </c>
      <c r="F622" s="96" t="str">
        <f>IF(ISNUMBER(namespace_raw[[#This Row],[Column7]]), namespace_raw[[#This Row],[Column7]]/1048576,"")</f>
        <v/>
      </c>
      <c r="G622" s="122" t="str">
        <f>IF(ISNUMBER(namespace_raw[[#This Row],[Column8]]), namespace_raw[[#This Row],[Column8]],"")</f>
        <v/>
      </c>
      <c r="H622" s="123" t="str">
        <f>IF(ISNUMBER(namespace_raw[[#This Row],[Column9]]), namespace_raw[[#This Row],[Column9]]/1048576,"")</f>
        <v/>
      </c>
      <c r="I622" s="124" t="str">
        <f>IF(ISNUMBER(namespace_raw[[#This Row],[Column8]]),MAX(G622, M622, O622, $I$2,IF(Q622&lt;&gt;"",VALUE(Q622),0)), "")</f>
        <v/>
      </c>
      <c r="J622" s="125" t="str">
        <f>IF(ISNUMBER(namespace_raw[[#This Row],[Column9]]),MAX(H622, N622, P622, $J$2,IF(R622&lt;&gt;"",VALUE(R622),0)),"")</f>
        <v/>
      </c>
      <c r="K622" s="166" t="str">
        <f>IF(ISNUMBER(namespace_raw[[#This Row],[Column12]]), namespace_raw[[#This Row],[Column12]],"")</f>
        <v/>
      </c>
      <c r="L622" s="167" t="str">
        <f>IF(ISNUMBER(namespace_raw[[#This Row],[Column13]]), namespace_raw[[#This Row],[Column13]]/1048576,"")</f>
        <v/>
      </c>
      <c r="M622" s="168" t="str">
        <f>IF(ISNUMBER(namespace_raw[[#This Row],[Column10]]), (namespace_raw[[#This Row],[Column10]]*(1+$M$2)),"")</f>
        <v/>
      </c>
      <c r="N622" s="167" t="str">
        <f>IF(ISNUMBER(namespace_raw[[#This Row],[Column11]]), (namespace_raw[[#This Row],[Column11]]*(1+$N$2))/1048576,"")</f>
        <v/>
      </c>
      <c r="O622" s="169" t="str">
        <f>IF(ISNUMBER(namespace_raw[[#This Row],[Column8]]), (E622  * $O$2),"")</f>
        <v/>
      </c>
      <c r="P622" s="170" t="str">
        <f>IF(ISNUMBER(namespace_raw[[#This Row],[Column8]]), (F622  * $P$2),"")</f>
        <v/>
      </c>
    </row>
    <row r="623" spans="1:16" ht="15" customHeight="1" x14ac:dyDescent="0.25">
      <c r="A623" s="32" t="str">
        <f>IF(ISNONTEXT(namespace_raw[[#This Row],[Column1]]), "", namespace_raw[[#This Row],[Column1]])</f>
        <v/>
      </c>
      <c r="B623" s="33" t="str">
        <f>IF(ISNONTEXT(namespace_raw[[#This Row],[Column2]]), "", namespace_raw[[#This Row],[Column2]])</f>
        <v/>
      </c>
      <c r="C623" s="94" t="str">
        <f>IF(ISNUMBER(namespace_raw[[#This Row],[Column4]]), namespace_raw[[#This Row],[Column4]], "")</f>
        <v/>
      </c>
      <c r="D623" s="95" t="str">
        <f>IF(ISNUMBER(namespace_raw[[#This Row],[Column5]]), namespace_raw[[#This Row],[Column5]]/1048576, "")</f>
        <v/>
      </c>
      <c r="E623" s="95" t="str">
        <f>IF(ISNUMBER(namespace_raw[[#This Row],[Column6]]), namespace_raw[[#This Row],[Column6]],"")</f>
        <v/>
      </c>
      <c r="F623" s="96" t="str">
        <f>IF(ISNUMBER(namespace_raw[[#This Row],[Column7]]), namespace_raw[[#This Row],[Column7]]/1048576,"")</f>
        <v/>
      </c>
      <c r="G623" s="122" t="str">
        <f>IF(ISNUMBER(namespace_raw[[#This Row],[Column8]]), namespace_raw[[#This Row],[Column8]],"")</f>
        <v/>
      </c>
      <c r="H623" s="123" t="str">
        <f>IF(ISNUMBER(namespace_raw[[#This Row],[Column9]]), namespace_raw[[#This Row],[Column9]]/1048576,"")</f>
        <v/>
      </c>
      <c r="I623" s="124" t="str">
        <f>IF(ISNUMBER(namespace_raw[[#This Row],[Column8]]),MAX(G623, M623, O623, $I$2,IF(Q623&lt;&gt;"",VALUE(Q623),0)), "")</f>
        <v/>
      </c>
      <c r="J623" s="125" t="str">
        <f>IF(ISNUMBER(namespace_raw[[#This Row],[Column9]]),MAX(H623, N623, P623, $J$2,IF(R623&lt;&gt;"",VALUE(R623),0)),"")</f>
        <v/>
      </c>
      <c r="K623" s="166" t="str">
        <f>IF(ISNUMBER(namespace_raw[[#This Row],[Column12]]), namespace_raw[[#This Row],[Column12]],"")</f>
        <v/>
      </c>
      <c r="L623" s="167" t="str">
        <f>IF(ISNUMBER(namespace_raw[[#This Row],[Column13]]), namespace_raw[[#This Row],[Column13]]/1048576,"")</f>
        <v/>
      </c>
      <c r="M623" s="168" t="str">
        <f>IF(ISNUMBER(namespace_raw[[#This Row],[Column10]]), (namespace_raw[[#This Row],[Column10]]*(1+$M$2)),"")</f>
        <v/>
      </c>
      <c r="N623" s="167" t="str">
        <f>IF(ISNUMBER(namespace_raw[[#This Row],[Column11]]), (namespace_raw[[#This Row],[Column11]]*(1+$N$2))/1048576,"")</f>
        <v/>
      </c>
      <c r="O623" s="169" t="str">
        <f>IF(ISNUMBER(namespace_raw[[#This Row],[Column8]]), (E623  * $O$2),"")</f>
        <v/>
      </c>
      <c r="P623" s="170" t="str">
        <f>IF(ISNUMBER(namespace_raw[[#This Row],[Column8]]), (F623  * $P$2),"")</f>
        <v/>
      </c>
    </row>
    <row r="624" spans="1:16" ht="15" customHeight="1" x14ac:dyDescent="0.25">
      <c r="A624" s="32" t="str">
        <f>IF(ISNONTEXT(namespace_raw[[#This Row],[Column1]]), "", namespace_raw[[#This Row],[Column1]])</f>
        <v/>
      </c>
      <c r="B624" s="33" t="str">
        <f>IF(ISNONTEXT(namespace_raw[[#This Row],[Column2]]), "", namespace_raw[[#This Row],[Column2]])</f>
        <v/>
      </c>
      <c r="C624" s="94" t="str">
        <f>IF(ISNUMBER(namespace_raw[[#This Row],[Column4]]), namespace_raw[[#This Row],[Column4]], "")</f>
        <v/>
      </c>
      <c r="D624" s="95" t="str">
        <f>IF(ISNUMBER(namespace_raw[[#This Row],[Column5]]), namespace_raw[[#This Row],[Column5]]/1048576, "")</f>
        <v/>
      </c>
      <c r="E624" s="95" t="str">
        <f>IF(ISNUMBER(namespace_raw[[#This Row],[Column6]]), namespace_raw[[#This Row],[Column6]],"")</f>
        <v/>
      </c>
      <c r="F624" s="96" t="str">
        <f>IF(ISNUMBER(namespace_raw[[#This Row],[Column7]]), namespace_raw[[#This Row],[Column7]]/1048576,"")</f>
        <v/>
      </c>
      <c r="G624" s="122" t="str">
        <f>IF(ISNUMBER(namespace_raw[[#This Row],[Column8]]), namespace_raw[[#This Row],[Column8]],"")</f>
        <v/>
      </c>
      <c r="H624" s="123" t="str">
        <f>IF(ISNUMBER(namespace_raw[[#This Row],[Column9]]), namespace_raw[[#This Row],[Column9]]/1048576,"")</f>
        <v/>
      </c>
      <c r="I624" s="124" t="str">
        <f>IF(ISNUMBER(namespace_raw[[#This Row],[Column8]]),MAX(G624, M624, O624, $I$2,IF(Q624&lt;&gt;"",VALUE(Q624),0)), "")</f>
        <v/>
      </c>
      <c r="J624" s="125" t="str">
        <f>IF(ISNUMBER(namespace_raw[[#This Row],[Column9]]),MAX(H624, N624, P624, $J$2,IF(R624&lt;&gt;"",VALUE(R624),0)),"")</f>
        <v/>
      </c>
      <c r="K624" s="166" t="str">
        <f>IF(ISNUMBER(namespace_raw[[#This Row],[Column12]]), namespace_raw[[#This Row],[Column12]],"")</f>
        <v/>
      </c>
      <c r="L624" s="167" t="str">
        <f>IF(ISNUMBER(namespace_raw[[#This Row],[Column13]]), namespace_raw[[#This Row],[Column13]]/1048576,"")</f>
        <v/>
      </c>
      <c r="M624" s="168" t="str">
        <f>IF(ISNUMBER(namespace_raw[[#This Row],[Column10]]), (namespace_raw[[#This Row],[Column10]]*(1+$M$2)),"")</f>
        <v/>
      </c>
      <c r="N624" s="167" t="str">
        <f>IF(ISNUMBER(namespace_raw[[#This Row],[Column11]]), (namespace_raw[[#This Row],[Column11]]*(1+$N$2))/1048576,"")</f>
        <v/>
      </c>
      <c r="O624" s="169" t="str">
        <f>IF(ISNUMBER(namespace_raw[[#This Row],[Column8]]), (E624  * $O$2),"")</f>
        <v/>
      </c>
      <c r="P624" s="170" t="str">
        <f>IF(ISNUMBER(namespace_raw[[#This Row],[Column8]]), (F624  * $P$2),"")</f>
        <v/>
      </c>
    </row>
    <row r="625" spans="1:16" ht="15" customHeight="1" x14ac:dyDescent="0.25">
      <c r="A625" s="32" t="str">
        <f>IF(ISNONTEXT(namespace_raw[[#This Row],[Column1]]), "", namespace_raw[[#This Row],[Column1]])</f>
        <v/>
      </c>
      <c r="B625" s="33" t="str">
        <f>IF(ISNONTEXT(namespace_raw[[#This Row],[Column2]]), "", namespace_raw[[#This Row],[Column2]])</f>
        <v/>
      </c>
      <c r="C625" s="94" t="str">
        <f>IF(ISNUMBER(namespace_raw[[#This Row],[Column4]]), namespace_raw[[#This Row],[Column4]], "")</f>
        <v/>
      </c>
      <c r="D625" s="95" t="str">
        <f>IF(ISNUMBER(namespace_raw[[#This Row],[Column5]]), namespace_raw[[#This Row],[Column5]]/1048576, "")</f>
        <v/>
      </c>
      <c r="E625" s="95" t="str">
        <f>IF(ISNUMBER(namespace_raw[[#This Row],[Column6]]), namespace_raw[[#This Row],[Column6]],"")</f>
        <v/>
      </c>
      <c r="F625" s="96" t="str">
        <f>IF(ISNUMBER(namespace_raw[[#This Row],[Column7]]), namespace_raw[[#This Row],[Column7]]/1048576,"")</f>
        <v/>
      </c>
      <c r="G625" s="122" t="str">
        <f>IF(ISNUMBER(namespace_raw[[#This Row],[Column8]]), namespace_raw[[#This Row],[Column8]],"")</f>
        <v/>
      </c>
      <c r="H625" s="123" t="str">
        <f>IF(ISNUMBER(namespace_raw[[#This Row],[Column9]]), namespace_raw[[#This Row],[Column9]]/1048576,"")</f>
        <v/>
      </c>
      <c r="I625" s="124" t="str">
        <f>IF(ISNUMBER(namespace_raw[[#This Row],[Column8]]),MAX(G625, M625, O625, $I$2,IF(Q625&lt;&gt;"",VALUE(Q625),0)), "")</f>
        <v/>
      </c>
      <c r="J625" s="125" t="str">
        <f>IF(ISNUMBER(namespace_raw[[#This Row],[Column9]]),MAX(H625, N625, P625, $J$2,IF(R625&lt;&gt;"",VALUE(R625),0)),"")</f>
        <v/>
      </c>
      <c r="K625" s="166" t="str">
        <f>IF(ISNUMBER(namespace_raw[[#This Row],[Column12]]), namespace_raw[[#This Row],[Column12]],"")</f>
        <v/>
      </c>
      <c r="L625" s="167" t="str">
        <f>IF(ISNUMBER(namespace_raw[[#This Row],[Column13]]), namespace_raw[[#This Row],[Column13]]/1048576,"")</f>
        <v/>
      </c>
      <c r="M625" s="168" t="str">
        <f>IF(ISNUMBER(namespace_raw[[#This Row],[Column10]]), (namespace_raw[[#This Row],[Column10]]*(1+$M$2)),"")</f>
        <v/>
      </c>
      <c r="N625" s="167" t="str">
        <f>IF(ISNUMBER(namespace_raw[[#This Row],[Column11]]), (namespace_raw[[#This Row],[Column11]]*(1+$N$2))/1048576,"")</f>
        <v/>
      </c>
      <c r="O625" s="169" t="str">
        <f>IF(ISNUMBER(namespace_raw[[#This Row],[Column8]]), (E625  * $O$2),"")</f>
        <v/>
      </c>
      <c r="P625" s="170" t="str">
        <f>IF(ISNUMBER(namespace_raw[[#This Row],[Column8]]), (F625  * $P$2),"")</f>
        <v/>
      </c>
    </row>
    <row r="626" spans="1:16" ht="15" customHeight="1" x14ac:dyDescent="0.25">
      <c r="A626" s="32" t="str">
        <f>IF(ISNONTEXT(namespace_raw[[#This Row],[Column1]]), "", namespace_raw[[#This Row],[Column1]])</f>
        <v/>
      </c>
      <c r="B626" s="33" t="str">
        <f>IF(ISNONTEXT(namespace_raw[[#This Row],[Column2]]), "", namespace_raw[[#This Row],[Column2]])</f>
        <v/>
      </c>
      <c r="C626" s="94" t="str">
        <f>IF(ISNUMBER(namespace_raw[[#This Row],[Column4]]), namespace_raw[[#This Row],[Column4]], "")</f>
        <v/>
      </c>
      <c r="D626" s="95" t="str">
        <f>IF(ISNUMBER(namespace_raw[[#This Row],[Column5]]), namespace_raw[[#This Row],[Column5]]/1048576, "")</f>
        <v/>
      </c>
      <c r="E626" s="95" t="str">
        <f>IF(ISNUMBER(namespace_raw[[#This Row],[Column6]]), namespace_raw[[#This Row],[Column6]],"")</f>
        <v/>
      </c>
      <c r="F626" s="96" t="str">
        <f>IF(ISNUMBER(namespace_raw[[#This Row],[Column7]]), namespace_raw[[#This Row],[Column7]]/1048576,"")</f>
        <v/>
      </c>
      <c r="G626" s="122" t="str">
        <f>IF(ISNUMBER(namespace_raw[[#This Row],[Column8]]), namespace_raw[[#This Row],[Column8]],"")</f>
        <v/>
      </c>
      <c r="H626" s="123" t="str">
        <f>IF(ISNUMBER(namespace_raw[[#This Row],[Column9]]), namespace_raw[[#This Row],[Column9]]/1048576,"")</f>
        <v/>
      </c>
      <c r="I626" s="124" t="str">
        <f>IF(ISNUMBER(namespace_raw[[#This Row],[Column8]]),MAX(G626, M626, O626, $I$2,IF(Q626&lt;&gt;"",VALUE(Q626),0)), "")</f>
        <v/>
      </c>
      <c r="J626" s="125" t="str">
        <f>IF(ISNUMBER(namespace_raw[[#This Row],[Column9]]),MAX(H626, N626, P626, $J$2,IF(R626&lt;&gt;"",VALUE(R626),0)),"")</f>
        <v/>
      </c>
      <c r="K626" s="166" t="str">
        <f>IF(ISNUMBER(namespace_raw[[#This Row],[Column12]]), namespace_raw[[#This Row],[Column12]],"")</f>
        <v/>
      </c>
      <c r="L626" s="167" t="str">
        <f>IF(ISNUMBER(namespace_raw[[#This Row],[Column13]]), namespace_raw[[#This Row],[Column13]]/1048576,"")</f>
        <v/>
      </c>
      <c r="M626" s="168" t="str">
        <f>IF(ISNUMBER(namespace_raw[[#This Row],[Column10]]), (namespace_raw[[#This Row],[Column10]]*(1+$M$2)),"")</f>
        <v/>
      </c>
      <c r="N626" s="167" t="str">
        <f>IF(ISNUMBER(namespace_raw[[#This Row],[Column11]]), (namespace_raw[[#This Row],[Column11]]*(1+$N$2))/1048576,"")</f>
        <v/>
      </c>
      <c r="O626" s="169" t="str">
        <f>IF(ISNUMBER(namespace_raw[[#This Row],[Column8]]), (E626  * $O$2),"")</f>
        <v/>
      </c>
      <c r="P626" s="170" t="str">
        <f>IF(ISNUMBER(namespace_raw[[#This Row],[Column8]]), (F626  * $P$2),"")</f>
        <v/>
      </c>
    </row>
    <row r="627" spans="1:16" ht="15" customHeight="1" x14ac:dyDescent="0.25">
      <c r="A627" s="32" t="str">
        <f>IF(ISNONTEXT(namespace_raw[[#This Row],[Column1]]), "", namespace_raw[[#This Row],[Column1]])</f>
        <v/>
      </c>
      <c r="B627" s="33" t="str">
        <f>IF(ISNONTEXT(namespace_raw[[#This Row],[Column2]]), "", namespace_raw[[#This Row],[Column2]])</f>
        <v/>
      </c>
      <c r="C627" s="94" t="str">
        <f>IF(ISNUMBER(namespace_raw[[#This Row],[Column4]]), namespace_raw[[#This Row],[Column4]], "")</f>
        <v/>
      </c>
      <c r="D627" s="95" t="str">
        <f>IF(ISNUMBER(namespace_raw[[#This Row],[Column5]]), namespace_raw[[#This Row],[Column5]]/1048576, "")</f>
        <v/>
      </c>
      <c r="E627" s="95" t="str">
        <f>IF(ISNUMBER(namespace_raw[[#This Row],[Column6]]), namespace_raw[[#This Row],[Column6]],"")</f>
        <v/>
      </c>
      <c r="F627" s="96" t="str">
        <f>IF(ISNUMBER(namespace_raw[[#This Row],[Column7]]), namespace_raw[[#This Row],[Column7]]/1048576,"")</f>
        <v/>
      </c>
      <c r="G627" s="122" t="str">
        <f>IF(ISNUMBER(namespace_raw[[#This Row],[Column8]]), namespace_raw[[#This Row],[Column8]],"")</f>
        <v/>
      </c>
      <c r="H627" s="123" t="str">
        <f>IF(ISNUMBER(namespace_raw[[#This Row],[Column9]]), namespace_raw[[#This Row],[Column9]]/1048576,"")</f>
        <v/>
      </c>
      <c r="I627" s="124" t="str">
        <f>IF(ISNUMBER(namespace_raw[[#This Row],[Column8]]),MAX(G627, M627, O627, $I$2,IF(Q627&lt;&gt;"",VALUE(Q627),0)), "")</f>
        <v/>
      </c>
      <c r="J627" s="125" t="str">
        <f>IF(ISNUMBER(namespace_raw[[#This Row],[Column9]]),MAX(H627, N627, P627, $J$2,IF(R627&lt;&gt;"",VALUE(R627),0)),"")</f>
        <v/>
      </c>
      <c r="K627" s="166" t="str">
        <f>IF(ISNUMBER(namespace_raw[[#This Row],[Column12]]), namespace_raw[[#This Row],[Column12]],"")</f>
        <v/>
      </c>
      <c r="L627" s="167" t="str">
        <f>IF(ISNUMBER(namespace_raw[[#This Row],[Column13]]), namespace_raw[[#This Row],[Column13]]/1048576,"")</f>
        <v/>
      </c>
      <c r="M627" s="168" t="str">
        <f>IF(ISNUMBER(namespace_raw[[#This Row],[Column10]]), (namespace_raw[[#This Row],[Column10]]*(1+$M$2)),"")</f>
        <v/>
      </c>
      <c r="N627" s="167" t="str">
        <f>IF(ISNUMBER(namespace_raw[[#This Row],[Column11]]), (namespace_raw[[#This Row],[Column11]]*(1+$N$2))/1048576,"")</f>
        <v/>
      </c>
      <c r="O627" s="169" t="str">
        <f>IF(ISNUMBER(namespace_raw[[#This Row],[Column8]]), (E627  * $O$2),"")</f>
        <v/>
      </c>
      <c r="P627" s="170" t="str">
        <f>IF(ISNUMBER(namespace_raw[[#This Row],[Column8]]), (F627  * $P$2),"")</f>
        <v/>
      </c>
    </row>
    <row r="628" spans="1:16" ht="15" customHeight="1" x14ac:dyDescent="0.25">
      <c r="A628" s="32" t="str">
        <f>IF(ISNONTEXT(namespace_raw[[#This Row],[Column1]]), "", namespace_raw[[#This Row],[Column1]])</f>
        <v/>
      </c>
      <c r="B628" s="33" t="str">
        <f>IF(ISNONTEXT(namespace_raw[[#This Row],[Column2]]), "", namespace_raw[[#This Row],[Column2]])</f>
        <v/>
      </c>
      <c r="C628" s="94" t="str">
        <f>IF(ISNUMBER(namespace_raw[[#This Row],[Column4]]), namespace_raw[[#This Row],[Column4]], "")</f>
        <v/>
      </c>
      <c r="D628" s="95" t="str">
        <f>IF(ISNUMBER(namespace_raw[[#This Row],[Column5]]), namespace_raw[[#This Row],[Column5]]/1048576, "")</f>
        <v/>
      </c>
      <c r="E628" s="95" t="str">
        <f>IF(ISNUMBER(namespace_raw[[#This Row],[Column6]]), namespace_raw[[#This Row],[Column6]],"")</f>
        <v/>
      </c>
      <c r="F628" s="96" t="str">
        <f>IF(ISNUMBER(namespace_raw[[#This Row],[Column7]]), namespace_raw[[#This Row],[Column7]]/1048576,"")</f>
        <v/>
      </c>
      <c r="G628" s="122" t="str">
        <f>IF(ISNUMBER(namespace_raw[[#This Row],[Column8]]), namespace_raw[[#This Row],[Column8]],"")</f>
        <v/>
      </c>
      <c r="H628" s="123" t="str">
        <f>IF(ISNUMBER(namespace_raw[[#This Row],[Column9]]), namespace_raw[[#This Row],[Column9]]/1048576,"")</f>
        <v/>
      </c>
      <c r="I628" s="124" t="str">
        <f>IF(ISNUMBER(namespace_raw[[#This Row],[Column8]]),MAX(G628, M628, O628, $I$2,IF(Q628&lt;&gt;"",VALUE(Q628),0)), "")</f>
        <v/>
      </c>
      <c r="J628" s="125" t="str">
        <f>IF(ISNUMBER(namespace_raw[[#This Row],[Column9]]),MAX(H628, N628, P628, $J$2,IF(R628&lt;&gt;"",VALUE(R628),0)),"")</f>
        <v/>
      </c>
      <c r="K628" s="166" t="str">
        <f>IF(ISNUMBER(namespace_raw[[#This Row],[Column12]]), namespace_raw[[#This Row],[Column12]],"")</f>
        <v/>
      </c>
      <c r="L628" s="167" t="str">
        <f>IF(ISNUMBER(namespace_raw[[#This Row],[Column13]]), namespace_raw[[#This Row],[Column13]]/1048576,"")</f>
        <v/>
      </c>
      <c r="M628" s="168" t="str">
        <f>IF(ISNUMBER(namespace_raw[[#This Row],[Column10]]), (namespace_raw[[#This Row],[Column10]]*(1+$M$2)),"")</f>
        <v/>
      </c>
      <c r="N628" s="167" t="str">
        <f>IF(ISNUMBER(namespace_raw[[#This Row],[Column11]]), (namespace_raw[[#This Row],[Column11]]*(1+$N$2))/1048576,"")</f>
        <v/>
      </c>
      <c r="O628" s="169" t="str">
        <f>IF(ISNUMBER(namespace_raw[[#This Row],[Column8]]), (E628  * $O$2),"")</f>
        <v/>
      </c>
      <c r="P628" s="170" t="str">
        <f>IF(ISNUMBER(namespace_raw[[#This Row],[Column8]]), (F628  * $P$2),"")</f>
        <v/>
      </c>
    </row>
    <row r="629" spans="1:16" ht="15" customHeight="1" x14ac:dyDescent="0.25">
      <c r="A629" s="32" t="str">
        <f>IF(ISNONTEXT(namespace_raw[[#This Row],[Column1]]), "", namespace_raw[[#This Row],[Column1]])</f>
        <v/>
      </c>
      <c r="B629" s="33" t="str">
        <f>IF(ISNONTEXT(namespace_raw[[#This Row],[Column2]]), "", namespace_raw[[#This Row],[Column2]])</f>
        <v/>
      </c>
      <c r="C629" s="94" t="str">
        <f>IF(ISNUMBER(namespace_raw[[#This Row],[Column4]]), namespace_raw[[#This Row],[Column4]], "")</f>
        <v/>
      </c>
      <c r="D629" s="95" t="str">
        <f>IF(ISNUMBER(namespace_raw[[#This Row],[Column5]]), namespace_raw[[#This Row],[Column5]]/1048576, "")</f>
        <v/>
      </c>
      <c r="E629" s="95" t="str">
        <f>IF(ISNUMBER(namespace_raw[[#This Row],[Column6]]), namespace_raw[[#This Row],[Column6]],"")</f>
        <v/>
      </c>
      <c r="F629" s="96" t="str">
        <f>IF(ISNUMBER(namespace_raw[[#This Row],[Column7]]), namespace_raw[[#This Row],[Column7]]/1048576,"")</f>
        <v/>
      </c>
      <c r="G629" s="122" t="str">
        <f>IF(ISNUMBER(namespace_raw[[#This Row],[Column8]]), namespace_raw[[#This Row],[Column8]],"")</f>
        <v/>
      </c>
      <c r="H629" s="123" t="str">
        <f>IF(ISNUMBER(namespace_raw[[#This Row],[Column9]]), namespace_raw[[#This Row],[Column9]]/1048576,"")</f>
        <v/>
      </c>
      <c r="I629" s="124" t="str">
        <f>IF(ISNUMBER(namespace_raw[[#This Row],[Column8]]),MAX(G629, M629, O629, $I$2,IF(Q629&lt;&gt;"",VALUE(Q629),0)), "")</f>
        <v/>
      </c>
      <c r="J629" s="125" t="str">
        <f>IF(ISNUMBER(namespace_raw[[#This Row],[Column9]]),MAX(H629, N629, P629, $J$2,IF(R629&lt;&gt;"",VALUE(R629),0)),"")</f>
        <v/>
      </c>
      <c r="K629" s="166" t="str">
        <f>IF(ISNUMBER(namespace_raw[[#This Row],[Column12]]), namespace_raw[[#This Row],[Column12]],"")</f>
        <v/>
      </c>
      <c r="L629" s="167" t="str">
        <f>IF(ISNUMBER(namespace_raw[[#This Row],[Column13]]), namespace_raw[[#This Row],[Column13]]/1048576,"")</f>
        <v/>
      </c>
      <c r="M629" s="168" t="str">
        <f>IF(ISNUMBER(namespace_raw[[#This Row],[Column10]]), (namespace_raw[[#This Row],[Column10]]*(1+$M$2)),"")</f>
        <v/>
      </c>
      <c r="N629" s="167" t="str">
        <f>IF(ISNUMBER(namespace_raw[[#This Row],[Column11]]), (namespace_raw[[#This Row],[Column11]]*(1+$N$2))/1048576,"")</f>
        <v/>
      </c>
      <c r="O629" s="169" t="str">
        <f>IF(ISNUMBER(namespace_raw[[#This Row],[Column8]]), (E629  * $O$2),"")</f>
        <v/>
      </c>
      <c r="P629" s="170" t="str">
        <f>IF(ISNUMBER(namespace_raw[[#This Row],[Column8]]), (F629  * $P$2),"")</f>
        <v/>
      </c>
    </row>
    <row r="630" spans="1:16" ht="15" customHeight="1" x14ac:dyDescent="0.25">
      <c r="A630" s="32" t="str">
        <f>IF(ISNONTEXT(namespace_raw[[#This Row],[Column1]]), "", namespace_raw[[#This Row],[Column1]])</f>
        <v/>
      </c>
      <c r="B630" s="33" t="str">
        <f>IF(ISNONTEXT(namespace_raw[[#This Row],[Column2]]), "", namespace_raw[[#This Row],[Column2]])</f>
        <v/>
      </c>
      <c r="C630" s="94" t="str">
        <f>IF(ISNUMBER(namespace_raw[[#This Row],[Column4]]), namespace_raw[[#This Row],[Column4]], "")</f>
        <v/>
      </c>
      <c r="D630" s="95" t="str">
        <f>IF(ISNUMBER(namespace_raw[[#This Row],[Column5]]), namespace_raw[[#This Row],[Column5]]/1048576, "")</f>
        <v/>
      </c>
      <c r="E630" s="95" t="str">
        <f>IF(ISNUMBER(namespace_raw[[#This Row],[Column6]]), namespace_raw[[#This Row],[Column6]],"")</f>
        <v/>
      </c>
      <c r="F630" s="96" t="str">
        <f>IF(ISNUMBER(namespace_raw[[#This Row],[Column7]]), namespace_raw[[#This Row],[Column7]]/1048576,"")</f>
        <v/>
      </c>
      <c r="G630" s="122" t="str">
        <f>IF(ISNUMBER(namespace_raw[[#This Row],[Column8]]), namespace_raw[[#This Row],[Column8]],"")</f>
        <v/>
      </c>
      <c r="H630" s="123" t="str">
        <f>IF(ISNUMBER(namespace_raw[[#This Row],[Column9]]), namespace_raw[[#This Row],[Column9]]/1048576,"")</f>
        <v/>
      </c>
      <c r="I630" s="124" t="str">
        <f>IF(ISNUMBER(namespace_raw[[#This Row],[Column8]]),MAX(G630, M630, O630, $I$2,IF(Q630&lt;&gt;"",VALUE(Q630),0)), "")</f>
        <v/>
      </c>
      <c r="J630" s="125" t="str">
        <f>IF(ISNUMBER(namespace_raw[[#This Row],[Column9]]),MAX(H630, N630, P630, $J$2,IF(R630&lt;&gt;"",VALUE(R630),0)),"")</f>
        <v/>
      </c>
      <c r="K630" s="166" t="str">
        <f>IF(ISNUMBER(namespace_raw[[#This Row],[Column12]]), namespace_raw[[#This Row],[Column12]],"")</f>
        <v/>
      </c>
      <c r="L630" s="167" t="str">
        <f>IF(ISNUMBER(namespace_raw[[#This Row],[Column13]]), namespace_raw[[#This Row],[Column13]]/1048576,"")</f>
        <v/>
      </c>
      <c r="M630" s="168" t="str">
        <f>IF(ISNUMBER(namespace_raw[[#This Row],[Column10]]), (namespace_raw[[#This Row],[Column10]]*(1+$M$2)),"")</f>
        <v/>
      </c>
      <c r="N630" s="167" t="str">
        <f>IF(ISNUMBER(namespace_raw[[#This Row],[Column11]]), (namespace_raw[[#This Row],[Column11]]*(1+$N$2))/1048576,"")</f>
        <v/>
      </c>
      <c r="O630" s="169" t="str">
        <f>IF(ISNUMBER(namespace_raw[[#This Row],[Column8]]), (E630  * $O$2),"")</f>
        <v/>
      </c>
      <c r="P630" s="170" t="str">
        <f>IF(ISNUMBER(namespace_raw[[#This Row],[Column8]]), (F630  * $P$2),"")</f>
        <v/>
      </c>
    </row>
    <row r="631" spans="1:16" ht="15" customHeight="1" x14ac:dyDescent="0.25">
      <c r="A631" s="32" t="str">
        <f>IF(ISNONTEXT(namespace_raw[[#This Row],[Column1]]), "", namespace_raw[[#This Row],[Column1]])</f>
        <v/>
      </c>
      <c r="B631" s="33" t="str">
        <f>IF(ISNONTEXT(namespace_raw[[#This Row],[Column2]]), "", namespace_raw[[#This Row],[Column2]])</f>
        <v/>
      </c>
      <c r="C631" s="94" t="str">
        <f>IF(ISNUMBER(namespace_raw[[#This Row],[Column4]]), namespace_raw[[#This Row],[Column4]], "")</f>
        <v/>
      </c>
      <c r="D631" s="95" t="str">
        <f>IF(ISNUMBER(namespace_raw[[#This Row],[Column5]]), namespace_raw[[#This Row],[Column5]]/1048576, "")</f>
        <v/>
      </c>
      <c r="E631" s="95" t="str">
        <f>IF(ISNUMBER(namespace_raw[[#This Row],[Column6]]), namespace_raw[[#This Row],[Column6]],"")</f>
        <v/>
      </c>
      <c r="F631" s="96" t="str">
        <f>IF(ISNUMBER(namespace_raw[[#This Row],[Column7]]), namespace_raw[[#This Row],[Column7]]/1048576,"")</f>
        <v/>
      </c>
      <c r="G631" s="122" t="str">
        <f>IF(ISNUMBER(namespace_raw[[#This Row],[Column8]]), namespace_raw[[#This Row],[Column8]],"")</f>
        <v/>
      </c>
      <c r="H631" s="123" t="str">
        <f>IF(ISNUMBER(namespace_raw[[#This Row],[Column9]]), namespace_raw[[#This Row],[Column9]]/1048576,"")</f>
        <v/>
      </c>
      <c r="I631" s="124" t="str">
        <f>IF(ISNUMBER(namespace_raw[[#This Row],[Column8]]),MAX(G631, M631, O631, $I$2,IF(Q631&lt;&gt;"",VALUE(Q631),0)), "")</f>
        <v/>
      </c>
      <c r="J631" s="125" t="str">
        <f>IF(ISNUMBER(namespace_raw[[#This Row],[Column9]]),MAX(H631, N631, P631, $J$2,IF(R631&lt;&gt;"",VALUE(R631),0)),"")</f>
        <v/>
      </c>
      <c r="K631" s="166" t="str">
        <f>IF(ISNUMBER(namespace_raw[[#This Row],[Column12]]), namespace_raw[[#This Row],[Column12]],"")</f>
        <v/>
      </c>
      <c r="L631" s="167" t="str">
        <f>IF(ISNUMBER(namespace_raw[[#This Row],[Column13]]), namespace_raw[[#This Row],[Column13]]/1048576,"")</f>
        <v/>
      </c>
      <c r="M631" s="168" t="str">
        <f>IF(ISNUMBER(namespace_raw[[#This Row],[Column10]]), (namespace_raw[[#This Row],[Column10]]*(1+$M$2)),"")</f>
        <v/>
      </c>
      <c r="N631" s="167" t="str">
        <f>IF(ISNUMBER(namespace_raw[[#This Row],[Column11]]), (namespace_raw[[#This Row],[Column11]]*(1+$N$2))/1048576,"")</f>
        <v/>
      </c>
      <c r="O631" s="169" t="str">
        <f>IF(ISNUMBER(namespace_raw[[#This Row],[Column8]]), (E631  * $O$2),"")</f>
        <v/>
      </c>
      <c r="P631" s="170" t="str">
        <f>IF(ISNUMBER(namespace_raw[[#This Row],[Column8]]), (F631  * $P$2),"")</f>
        <v/>
      </c>
    </row>
    <row r="632" spans="1:16" ht="15" customHeight="1" x14ac:dyDescent="0.25">
      <c r="A632" s="32" t="str">
        <f>IF(ISNONTEXT(namespace_raw[[#This Row],[Column1]]), "", namespace_raw[[#This Row],[Column1]])</f>
        <v/>
      </c>
      <c r="B632" s="33" t="str">
        <f>IF(ISNONTEXT(namespace_raw[[#This Row],[Column2]]), "", namespace_raw[[#This Row],[Column2]])</f>
        <v/>
      </c>
      <c r="C632" s="94" t="str">
        <f>IF(ISNUMBER(namespace_raw[[#This Row],[Column4]]), namespace_raw[[#This Row],[Column4]], "")</f>
        <v/>
      </c>
      <c r="D632" s="95" t="str">
        <f>IF(ISNUMBER(namespace_raw[[#This Row],[Column5]]), namespace_raw[[#This Row],[Column5]]/1048576, "")</f>
        <v/>
      </c>
      <c r="E632" s="95" t="str">
        <f>IF(ISNUMBER(namespace_raw[[#This Row],[Column6]]), namespace_raw[[#This Row],[Column6]],"")</f>
        <v/>
      </c>
      <c r="F632" s="96" t="str">
        <f>IF(ISNUMBER(namespace_raw[[#This Row],[Column7]]), namespace_raw[[#This Row],[Column7]]/1048576,"")</f>
        <v/>
      </c>
      <c r="G632" s="122" t="str">
        <f>IF(ISNUMBER(namespace_raw[[#This Row],[Column8]]), namespace_raw[[#This Row],[Column8]],"")</f>
        <v/>
      </c>
      <c r="H632" s="123" t="str">
        <f>IF(ISNUMBER(namespace_raw[[#This Row],[Column9]]), namespace_raw[[#This Row],[Column9]]/1048576,"")</f>
        <v/>
      </c>
      <c r="I632" s="124" t="str">
        <f>IF(ISNUMBER(namespace_raw[[#This Row],[Column8]]),MAX(G632, M632, O632, $I$2,IF(Q632&lt;&gt;"",VALUE(Q632),0)), "")</f>
        <v/>
      </c>
      <c r="J632" s="125" t="str">
        <f>IF(ISNUMBER(namespace_raw[[#This Row],[Column9]]),MAX(H632, N632, P632, $J$2,IF(R632&lt;&gt;"",VALUE(R632),0)),"")</f>
        <v/>
      </c>
      <c r="K632" s="166" t="str">
        <f>IF(ISNUMBER(namespace_raw[[#This Row],[Column12]]), namespace_raw[[#This Row],[Column12]],"")</f>
        <v/>
      </c>
      <c r="L632" s="167" t="str">
        <f>IF(ISNUMBER(namespace_raw[[#This Row],[Column13]]), namespace_raw[[#This Row],[Column13]]/1048576,"")</f>
        <v/>
      </c>
      <c r="M632" s="168" t="str">
        <f>IF(ISNUMBER(namespace_raw[[#This Row],[Column10]]), (namespace_raw[[#This Row],[Column10]]*(1+$M$2)),"")</f>
        <v/>
      </c>
      <c r="N632" s="167" t="str">
        <f>IF(ISNUMBER(namespace_raw[[#This Row],[Column11]]), (namespace_raw[[#This Row],[Column11]]*(1+$N$2))/1048576,"")</f>
        <v/>
      </c>
      <c r="O632" s="169" t="str">
        <f>IF(ISNUMBER(namespace_raw[[#This Row],[Column8]]), (E632  * $O$2),"")</f>
        <v/>
      </c>
      <c r="P632" s="170" t="str">
        <f>IF(ISNUMBER(namespace_raw[[#This Row],[Column8]]), (F632  * $P$2),"")</f>
        <v/>
      </c>
    </row>
    <row r="633" spans="1:16" ht="15" customHeight="1" x14ac:dyDescent="0.25">
      <c r="A633" s="32" t="str">
        <f>IF(ISNONTEXT(namespace_raw[[#This Row],[Column1]]), "", namespace_raw[[#This Row],[Column1]])</f>
        <v/>
      </c>
      <c r="B633" s="33" t="str">
        <f>IF(ISNONTEXT(namespace_raw[[#This Row],[Column2]]), "", namespace_raw[[#This Row],[Column2]])</f>
        <v/>
      </c>
      <c r="C633" s="94" t="str">
        <f>IF(ISNUMBER(namespace_raw[[#This Row],[Column4]]), namespace_raw[[#This Row],[Column4]], "")</f>
        <v/>
      </c>
      <c r="D633" s="95" t="str">
        <f>IF(ISNUMBER(namespace_raw[[#This Row],[Column5]]), namespace_raw[[#This Row],[Column5]]/1048576, "")</f>
        <v/>
      </c>
      <c r="E633" s="95" t="str">
        <f>IF(ISNUMBER(namespace_raw[[#This Row],[Column6]]), namespace_raw[[#This Row],[Column6]],"")</f>
        <v/>
      </c>
      <c r="F633" s="96" t="str">
        <f>IF(ISNUMBER(namespace_raw[[#This Row],[Column7]]), namespace_raw[[#This Row],[Column7]]/1048576,"")</f>
        <v/>
      </c>
      <c r="G633" s="122" t="str">
        <f>IF(ISNUMBER(namespace_raw[[#This Row],[Column8]]), namespace_raw[[#This Row],[Column8]],"")</f>
        <v/>
      </c>
      <c r="H633" s="123" t="str">
        <f>IF(ISNUMBER(namespace_raw[[#This Row],[Column9]]), namespace_raw[[#This Row],[Column9]]/1048576,"")</f>
        <v/>
      </c>
      <c r="I633" s="124" t="str">
        <f>IF(ISNUMBER(namespace_raw[[#This Row],[Column8]]),MAX(G633, M633, O633, $I$2,IF(Q633&lt;&gt;"",VALUE(Q633),0)), "")</f>
        <v/>
      </c>
      <c r="J633" s="125" t="str">
        <f>IF(ISNUMBER(namespace_raw[[#This Row],[Column9]]),MAX(H633, N633, P633, $J$2,IF(R633&lt;&gt;"",VALUE(R633),0)),"")</f>
        <v/>
      </c>
      <c r="K633" s="166" t="str">
        <f>IF(ISNUMBER(namespace_raw[[#This Row],[Column12]]), namespace_raw[[#This Row],[Column12]],"")</f>
        <v/>
      </c>
      <c r="L633" s="167" t="str">
        <f>IF(ISNUMBER(namespace_raw[[#This Row],[Column13]]), namespace_raw[[#This Row],[Column13]]/1048576,"")</f>
        <v/>
      </c>
      <c r="M633" s="168" t="str">
        <f>IF(ISNUMBER(namespace_raw[[#This Row],[Column10]]), (namespace_raw[[#This Row],[Column10]]*(1+$M$2)),"")</f>
        <v/>
      </c>
      <c r="N633" s="167" t="str">
        <f>IF(ISNUMBER(namespace_raw[[#This Row],[Column11]]), (namespace_raw[[#This Row],[Column11]]*(1+$N$2))/1048576,"")</f>
        <v/>
      </c>
      <c r="O633" s="169" t="str">
        <f>IF(ISNUMBER(namespace_raw[[#This Row],[Column8]]), (E633  * $O$2),"")</f>
        <v/>
      </c>
      <c r="P633" s="170" t="str">
        <f>IF(ISNUMBER(namespace_raw[[#This Row],[Column8]]), (F633  * $P$2),"")</f>
        <v/>
      </c>
    </row>
    <row r="634" spans="1:16" ht="15" customHeight="1" x14ac:dyDescent="0.25">
      <c r="A634" s="32" t="str">
        <f>IF(ISNONTEXT(namespace_raw[[#This Row],[Column1]]), "", namespace_raw[[#This Row],[Column1]])</f>
        <v/>
      </c>
      <c r="B634" s="33" t="str">
        <f>IF(ISNONTEXT(namespace_raw[[#This Row],[Column2]]), "", namespace_raw[[#This Row],[Column2]])</f>
        <v/>
      </c>
      <c r="C634" s="94" t="str">
        <f>IF(ISNUMBER(namespace_raw[[#This Row],[Column4]]), namespace_raw[[#This Row],[Column4]], "")</f>
        <v/>
      </c>
      <c r="D634" s="95" t="str">
        <f>IF(ISNUMBER(namespace_raw[[#This Row],[Column5]]), namespace_raw[[#This Row],[Column5]]/1048576, "")</f>
        <v/>
      </c>
      <c r="E634" s="95" t="str">
        <f>IF(ISNUMBER(namespace_raw[[#This Row],[Column6]]), namespace_raw[[#This Row],[Column6]],"")</f>
        <v/>
      </c>
      <c r="F634" s="96" t="str">
        <f>IF(ISNUMBER(namespace_raw[[#This Row],[Column7]]), namespace_raw[[#This Row],[Column7]]/1048576,"")</f>
        <v/>
      </c>
      <c r="G634" s="122" t="str">
        <f>IF(ISNUMBER(namespace_raw[[#This Row],[Column8]]), namespace_raw[[#This Row],[Column8]],"")</f>
        <v/>
      </c>
      <c r="H634" s="123" t="str">
        <f>IF(ISNUMBER(namespace_raw[[#This Row],[Column9]]), namespace_raw[[#This Row],[Column9]]/1048576,"")</f>
        <v/>
      </c>
      <c r="I634" s="124" t="str">
        <f>IF(ISNUMBER(namespace_raw[[#This Row],[Column8]]),MAX(G634, M634, O634, $I$2,IF(Q634&lt;&gt;"",VALUE(Q634),0)), "")</f>
        <v/>
      </c>
      <c r="J634" s="125" t="str">
        <f>IF(ISNUMBER(namespace_raw[[#This Row],[Column9]]),MAX(H634, N634, P634, $J$2,IF(R634&lt;&gt;"",VALUE(R634),0)),"")</f>
        <v/>
      </c>
      <c r="K634" s="166" t="str">
        <f>IF(ISNUMBER(namespace_raw[[#This Row],[Column12]]), namespace_raw[[#This Row],[Column12]],"")</f>
        <v/>
      </c>
      <c r="L634" s="167" t="str">
        <f>IF(ISNUMBER(namespace_raw[[#This Row],[Column13]]), namespace_raw[[#This Row],[Column13]]/1048576,"")</f>
        <v/>
      </c>
      <c r="M634" s="168" t="str">
        <f>IF(ISNUMBER(namespace_raw[[#This Row],[Column10]]), (namespace_raw[[#This Row],[Column10]]*(1+$M$2)),"")</f>
        <v/>
      </c>
      <c r="N634" s="167" t="str">
        <f>IF(ISNUMBER(namespace_raw[[#This Row],[Column11]]), (namespace_raw[[#This Row],[Column11]]*(1+$N$2))/1048576,"")</f>
        <v/>
      </c>
      <c r="O634" s="169" t="str">
        <f>IF(ISNUMBER(namespace_raw[[#This Row],[Column8]]), (E634  * $O$2),"")</f>
        <v/>
      </c>
      <c r="P634" s="170" t="str">
        <f>IF(ISNUMBER(namespace_raw[[#This Row],[Column8]]), (F634  * $P$2),"")</f>
        <v/>
      </c>
    </row>
    <row r="635" spans="1:16" ht="15" customHeight="1" x14ac:dyDescent="0.25">
      <c r="A635" s="32" t="str">
        <f>IF(ISNONTEXT(namespace_raw[[#This Row],[Column1]]), "", namespace_raw[[#This Row],[Column1]])</f>
        <v/>
      </c>
      <c r="B635" s="33" t="str">
        <f>IF(ISNONTEXT(namespace_raw[[#This Row],[Column2]]), "", namespace_raw[[#This Row],[Column2]])</f>
        <v/>
      </c>
      <c r="C635" s="94" t="str">
        <f>IF(ISNUMBER(namespace_raw[[#This Row],[Column4]]), namespace_raw[[#This Row],[Column4]], "")</f>
        <v/>
      </c>
      <c r="D635" s="95" t="str">
        <f>IF(ISNUMBER(namespace_raw[[#This Row],[Column5]]), namespace_raw[[#This Row],[Column5]]/1048576, "")</f>
        <v/>
      </c>
      <c r="E635" s="95" t="str">
        <f>IF(ISNUMBER(namespace_raw[[#This Row],[Column6]]), namespace_raw[[#This Row],[Column6]],"")</f>
        <v/>
      </c>
      <c r="F635" s="96" t="str">
        <f>IF(ISNUMBER(namespace_raw[[#This Row],[Column7]]), namespace_raw[[#This Row],[Column7]]/1048576,"")</f>
        <v/>
      </c>
      <c r="G635" s="122" t="str">
        <f>IF(ISNUMBER(namespace_raw[[#This Row],[Column8]]), namespace_raw[[#This Row],[Column8]],"")</f>
        <v/>
      </c>
      <c r="H635" s="123" t="str">
        <f>IF(ISNUMBER(namespace_raw[[#This Row],[Column9]]), namespace_raw[[#This Row],[Column9]]/1048576,"")</f>
        <v/>
      </c>
      <c r="I635" s="124" t="str">
        <f>IF(ISNUMBER(namespace_raw[[#This Row],[Column8]]),MAX(G635, M635, O635, $I$2,IF(Q635&lt;&gt;"",VALUE(Q635),0)), "")</f>
        <v/>
      </c>
      <c r="J635" s="125" t="str">
        <f>IF(ISNUMBER(namespace_raw[[#This Row],[Column9]]),MAX(H635, N635, P635, $J$2,IF(R635&lt;&gt;"",VALUE(R635),0)),"")</f>
        <v/>
      </c>
      <c r="K635" s="166" t="str">
        <f>IF(ISNUMBER(namespace_raw[[#This Row],[Column12]]), namespace_raw[[#This Row],[Column12]],"")</f>
        <v/>
      </c>
      <c r="L635" s="167" t="str">
        <f>IF(ISNUMBER(namespace_raw[[#This Row],[Column13]]), namespace_raw[[#This Row],[Column13]]/1048576,"")</f>
        <v/>
      </c>
      <c r="M635" s="168" t="str">
        <f>IF(ISNUMBER(namespace_raw[[#This Row],[Column10]]), (namespace_raw[[#This Row],[Column10]]*(1+$M$2)),"")</f>
        <v/>
      </c>
      <c r="N635" s="167" t="str">
        <f>IF(ISNUMBER(namespace_raw[[#This Row],[Column11]]), (namespace_raw[[#This Row],[Column11]]*(1+$N$2))/1048576,"")</f>
        <v/>
      </c>
      <c r="O635" s="169" t="str">
        <f>IF(ISNUMBER(namespace_raw[[#This Row],[Column8]]), (E635  * $O$2),"")</f>
        <v/>
      </c>
      <c r="P635" s="170" t="str">
        <f>IF(ISNUMBER(namespace_raw[[#This Row],[Column8]]), (F635  * $P$2),"")</f>
        <v/>
      </c>
    </row>
    <row r="636" spans="1:16" ht="15" customHeight="1" x14ac:dyDescent="0.25">
      <c r="A636" s="32" t="str">
        <f>IF(ISNONTEXT(namespace_raw[[#This Row],[Column1]]), "", namespace_raw[[#This Row],[Column1]])</f>
        <v/>
      </c>
      <c r="B636" s="33" t="str">
        <f>IF(ISNONTEXT(namespace_raw[[#This Row],[Column2]]), "", namespace_raw[[#This Row],[Column2]])</f>
        <v/>
      </c>
      <c r="C636" s="94" t="str">
        <f>IF(ISNUMBER(namespace_raw[[#This Row],[Column4]]), namespace_raw[[#This Row],[Column4]], "")</f>
        <v/>
      </c>
      <c r="D636" s="95" t="str">
        <f>IF(ISNUMBER(namespace_raw[[#This Row],[Column5]]), namespace_raw[[#This Row],[Column5]]/1048576, "")</f>
        <v/>
      </c>
      <c r="E636" s="95" t="str">
        <f>IF(ISNUMBER(namespace_raw[[#This Row],[Column6]]), namespace_raw[[#This Row],[Column6]],"")</f>
        <v/>
      </c>
      <c r="F636" s="96" t="str">
        <f>IF(ISNUMBER(namespace_raw[[#This Row],[Column7]]), namespace_raw[[#This Row],[Column7]]/1048576,"")</f>
        <v/>
      </c>
      <c r="G636" s="122" t="str">
        <f>IF(ISNUMBER(namespace_raw[[#This Row],[Column8]]), namespace_raw[[#This Row],[Column8]],"")</f>
        <v/>
      </c>
      <c r="H636" s="123" t="str">
        <f>IF(ISNUMBER(namespace_raw[[#This Row],[Column9]]), namespace_raw[[#This Row],[Column9]]/1048576,"")</f>
        <v/>
      </c>
      <c r="I636" s="124" t="str">
        <f>IF(ISNUMBER(namespace_raw[[#This Row],[Column8]]),MAX(G636, M636, O636, $I$2,IF(Q636&lt;&gt;"",VALUE(Q636),0)), "")</f>
        <v/>
      </c>
      <c r="J636" s="125" t="str">
        <f>IF(ISNUMBER(namespace_raw[[#This Row],[Column9]]),MAX(H636, N636, P636, $J$2,IF(R636&lt;&gt;"",VALUE(R636),0)),"")</f>
        <v/>
      </c>
      <c r="K636" s="166" t="str">
        <f>IF(ISNUMBER(namespace_raw[[#This Row],[Column12]]), namespace_raw[[#This Row],[Column12]],"")</f>
        <v/>
      </c>
      <c r="L636" s="167" t="str">
        <f>IF(ISNUMBER(namespace_raw[[#This Row],[Column13]]), namespace_raw[[#This Row],[Column13]]/1048576,"")</f>
        <v/>
      </c>
      <c r="M636" s="168" t="str">
        <f>IF(ISNUMBER(namespace_raw[[#This Row],[Column10]]), (namespace_raw[[#This Row],[Column10]]*(1+$M$2)),"")</f>
        <v/>
      </c>
      <c r="N636" s="167" t="str">
        <f>IF(ISNUMBER(namespace_raw[[#This Row],[Column11]]), (namespace_raw[[#This Row],[Column11]]*(1+$N$2))/1048576,"")</f>
        <v/>
      </c>
      <c r="O636" s="169" t="str">
        <f>IF(ISNUMBER(namespace_raw[[#This Row],[Column8]]), (E636  * $O$2),"")</f>
        <v/>
      </c>
      <c r="P636" s="170" t="str">
        <f>IF(ISNUMBER(namespace_raw[[#This Row],[Column8]]), (F636  * $P$2),"")</f>
        <v/>
      </c>
    </row>
    <row r="637" spans="1:16" ht="15" customHeight="1" x14ac:dyDescent="0.25">
      <c r="A637" s="32" t="str">
        <f>IF(ISNONTEXT(namespace_raw[[#This Row],[Column1]]), "", namespace_raw[[#This Row],[Column1]])</f>
        <v/>
      </c>
      <c r="B637" s="33" t="str">
        <f>IF(ISNONTEXT(namespace_raw[[#This Row],[Column2]]), "", namespace_raw[[#This Row],[Column2]])</f>
        <v/>
      </c>
      <c r="C637" s="94" t="str">
        <f>IF(ISNUMBER(namespace_raw[[#This Row],[Column4]]), namespace_raw[[#This Row],[Column4]], "")</f>
        <v/>
      </c>
      <c r="D637" s="95" t="str">
        <f>IF(ISNUMBER(namespace_raw[[#This Row],[Column5]]), namespace_raw[[#This Row],[Column5]]/1048576, "")</f>
        <v/>
      </c>
      <c r="E637" s="95" t="str">
        <f>IF(ISNUMBER(namespace_raw[[#This Row],[Column6]]), namespace_raw[[#This Row],[Column6]],"")</f>
        <v/>
      </c>
      <c r="F637" s="96" t="str">
        <f>IF(ISNUMBER(namespace_raw[[#This Row],[Column7]]), namespace_raw[[#This Row],[Column7]]/1048576,"")</f>
        <v/>
      </c>
      <c r="G637" s="122" t="str">
        <f>IF(ISNUMBER(namespace_raw[[#This Row],[Column8]]), namespace_raw[[#This Row],[Column8]],"")</f>
        <v/>
      </c>
      <c r="H637" s="123" t="str">
        <f>IF(ISNUMBER(namespace_raw[[#This Row],[Column9]]), namespace_raw[[#This Row],[Column9]]/1048576,"")</f>
        <v/>
      </c>
      <c r="I637" s="124" t="str">
        <f>IF(ISNUMBER(namespace_raw[[#This Row],[Column8]]),MAX(G637, M637, O637, $I$2,IF(Q637&lt;&gt;"",VALUE(Q637),0)), "")</f>
        <v/>
      </c>
      <c r="J637" s="125" t="str">
        <f>IF(ISNUMBER(namespace_raw[[#This Row],[Column9]]),MAX(H637, N637, P637, $J$2,IF(R637&lt;&gt;"",VALUE(R637),0)),"")</f>
        <v/>
      </c>
      <c r="K637" s="166" t="str">
        <f>IF(ISNUMBER(namespace_raw[[#This Row],[Column12]]), namespace_raw[[#This Row],[Column12]],"")</f>
        <v/>
      </c>
      <c r="L637" s="167" t="str">
        <f>IF(ISNUMBER(namespace_raw[[#This Row],[Column13]]), namespace_raw[[#This Row],[Column13]]/1048576,"")</f>
        <v/>
      </c>
      <c r="M637" s="168" t="str">
        <f>IF(ISNUMBER(namespace_raw[[#This Row],[Column10]]), (namespace_raw[[#This Row],[Column10]]*(1+$M$2)),"")</f>
        <v/>
      </c>
      <c r="N637" s="167" t="str">
        <f>IF(ISNUMBER(namespace_raw[[#This Row],[Column11]]), (namespace_raw[[#This Row],[Column11]]*(1+$N$2))/1048576,"")</f>
        <v/>
      </c>
      <c r="O637" s="169" t="str">
        <f>IF(ISNUMBER(namespace_raw[[#This Row],[Column8]]), (E637  * $O$2),"")</f>
        <v/>
      </c>
      <c r="P637" s="170" t="str">
        <f>IF(ISNUMBER(namespace_raw[[#This Row],[Column8]]), (F637  * $P$2),"")</f>
        <v/>
      </c>
    </row>
    <row r="638" spans="1:16" ht="15" customHeight="1" x14ac:dyDescent="0.25">
      <c r="A638" s="32" t="str">
        <f>IF(ISNONTEXT(namespace_raw[[#This Row],[Column1]]), "", namespace_raw[[#This Row],[Column1]])</f>
        <v/>
      </c>
      <c r="B638" s="33" t="str">
        <f>IF(ISNONTEXT(namespace_raw[[#This Row],[Column2]]), "", namespace_raw[[#This Row],[Column2]])</f>
        <v/>
      </c>
      <c r="C638" s="94" t="str">
        <f>IF(ISNUMBER(namespace_raw[[#This Row],[Column4]]), namespace_raw[[#This Row],[Column4]], "")</f>
        <v/>
      </c>
      <c r="D638" s="95" t="str">
        <f>IF(ISNUMBER(namespace_raw[[#This Row],[Column5]]), namespace_raw[[#This Row],[Column5]]/1048576, "")</f>
        <v/>
      </c>
      <c r="E638" s="95" t="str">
        <f>IF(ISNUMBER(namespace_raw[[#This Row],[Column6]]), namespace_raw[[#This Row],[Column6]],"")</f>
        <v/>
      </c>
      <c r="F638" s="96" t="str">
        <f>IF(ISNUMBER(namespace_raw[[#This Row],[Column7]]), namespace_raw[[#This Row],[Column7]]/1048576,"")</f>
        <v/>
      </c>
      <c r="G638" s="122" t="str">
        <f>IF(ISNUMBER(namespace_raw[[#This Row],[Column8]]), namespace_raw[[#This Row],[Column8]],"")</f>
        <v/>
      </c>
      <c r="H638" s="123" t="str">
        <f>IF(ISNUMBER(namespace_raw[[#This Row],[Column9]]), namespace_raw[[#This Row],[Column9]]/1048576,"")</f>
        <v/>
      </c>
      <c r="I638" s="124" t="str">
        <f>IF(ISNUMBER(namespace_raw[[#This Row],[Column8]]),MAX(G638, M638, O638, $I$2,IF(Q638&lt;&gt;"",VALUE(Q638),0)), "")</f>
        <v/>
      </c>
      <c r="J638" s="125" t="str">
        <f>IF(ISNUMBER(namespace_raw[[#This Row],[Column9]]),MAX(H638, N638, P638, $J$2,IF(R638&lt;&gt;"",VALUE(R638),0)),"")</f>
        <v/>
      </c>
      <c r="K638" s="166" t="str">
        <f>IF(ISNUMBER(namespace_raw[[#This Row],[Column12]]), namespace_raw[[#This Row],[Column12]],"")</f>
        <v/>
      </c>
      <c r="L638" s="167" t="str">
        <f>IF(ISNUMBER(namespace_raw[[#This Row],[Column13]]), namespace_raw[[#This Row],[Column13]]/1048576,"")</f>
        <v/>
      </c>
      <c r="M638" s="168" t="str">
        <f>IF(ISNUMBER(namespace_raw[[#This Row],[Column10]]), (namespace_raw[[#This Row],[Column10]]*(1+$M$2)),"")</f>
        <v/>
      </c>
      <c r="N638" s="167" t="str">
        <f>IF(ISNUMBER(namespace_raw[[#This Row],[Column11]]), (namespace_raw[[#This Row],[Column11]]*(1+$N$2))/1048576,"")</f>
        <v/>
      </c>
      <c r="O638" s="169" t="str">
        <f>IF(ISNUMBER(namespace_raw[[#This Row],[Column8]]), (E638  * $O$2),"")</f>
        <v/>
      </c>
      <c r="P638" s="170" t="str">
        <f>IF(ISNUMBER(namespace_raw[[#This Row],[Column8]]), (F638  * $P$2),"")</f>
        <v/>
      </c>
    </row>
    <row r="639" spans="1:16" ht="15" customHeight="1" x14ac:dyDescent="0.25">
      <c r="A639" s="32" t="str">
        <f>IF(ISNONTEXT(namespace_raw[[#This Row],[Column1]]), "", namespace_raw[[#This Row],[Column1]])</f>
        <v/>
      </c>
      <c r="B639" s="33" t="str">
        <f>IF(ISNONTEXT(namespace_raw[[#This Row],[Column2]]), "", namespace_raw[[#This Row],[Column2]])</f>
        <v/>
      </c>
      <c r="C639" s="94" t="str">
        <f>IF(ISNUMBER(namespace_raw[[#This Row],[Column4]]), namespace_raw[[#This Row],[Column4]], "")</f>
        <v/>
      </c>
      <c r="D639" s="95" t="str">
        <f>IF(ISNUMBER(namespace_raw[[#This Row],[Column5]]), namespace_raw[[#This Row],[Column5]]/1048576, "")</f>
        <v/>
      </c>
      <c r="E639" s="95" t="str">
        <f>IF(ISNUMBER(namespace_raw[[#This Row],[Column6]]), namespace_raw[[#This Row],[Column6]],"")</f>
        <v/>
      </c>
      <c r="F639" s="96" t="str">
        <f>IF(ISNUMBER(namespace_raw[[#This Row],[Column7]]), namespace_raw[[#This Row],[Column7]]/1048576,"")</f>
        <v/>
      </c>
      <c r="G639" s="122" t="str">
        <f>IF(ISNUMBER(namespace_raw[[#This Row],[Column8]]), namespace_raw[[#This Row],[Column8]],"")</f>
        <v/>
      </c>
      <c r="H639" s="123" t="str">
        <f>IF(ISNUMBER(namespace_raw[[#This Row],[Column9]]), namespace_raw[[#This Row],[Column9]]/1048576,"")</f>
        <v/>
      </c>
      <c r="I639" s="124" t="str">
        <f>IF(ISNUMBER(namespace_raw[[#This Row],[Column8]]),MAX(G639, M639, O639, $I$2,IF(Q639&lt;&gt;"",VALUE(Q639),0)), "")</f>
        <v/>
      </c>
      <c r="J639" s="125" t="str">
        <f>IF(ISNUMBER(namespace_raw[[#This Row],[Column9]]),MAX(H639, N639, P639, $J$2,IF(R639&lt;&gt;"",VALUE(R639),0)),"")</f>
        <v/>
      </c>
      <c r="K639" s="166" t="str">
        <f>IF(ISNUMBER(namespace_raw[[#This Row],[Column12]]), namespace_raw[[#This Row],[Column12]],"")</f>
        <v/>
      </c>
      <c r="L639" s="167" t="str">
        <f>IF(ISNUMBER(namespace_raw[[#This Row],[Column13]]), namespace_raw[[#This Row],[Column13]]/1048576,"")</f>
        <v/>
      </c>
      <c r="M639" s="168" t="str">
        <f>IF(ISNUMBER(namespace_raw[[#This Row],[Column10]]), (namespace_raw[[#This Row],[Column10]]*(1+$M$2)),"")</f>
        <v/>
      </c>
      <c r="N639" s="167" t="str">
        <f>IF(ISNUMBER(namespace_raw[[#This Row],[Column11]]), (namespace_raw[[#This Row],[Column11]]*(1+$N$2))/1048576,"")</f>
        <v/>
      </c>
      <c r="O639" s="169" t="str">
        <f>IF(ISNUMBER(namespace_raw[[#This Row],[Column8]]), (E639  * $O$2),"")</f>
        <v/>
      </c>
      <c r="P639" s="170" t="str">
        <f>IF(ISNUMBER(namespace_raw[[#This Row],[Column8]]), (F639  * $P$2),"")</f>
        <v/>
      </c>
    </row>
    <row r="640" spans="1:16" ht="15" customHeight="1" x14ac:dyDescent="0.25">
      <c r="A640" s="32" t="str">
        <f>IF(ISNONTEXT(namespace_raw[[#This Row],[Column1]]), "", namespace_raw[[#This Row],[Column1]])</f>
        <v/>
      </c>
      <c r="B640" s="33" t="str">
        <f>IF(ISNONTEXT(namespace_raw[[#This Row],[Column2]]), "", namespace_raw[[#This Row],[Column2]])</f>
        <v/>
      </c>
      <c r="C640" s="94" t="str">
        <f>IF(ISNUMBER(namespace_raw[[#This Row],[Column4]]), namespace_raw[[#This Row],[Column4]], "")</f>
        <v/>
      </c>
      <c r="D640" s="95" t="str">
        <f>IF(ISNUMBER(namespace_raw[[#This Row],[Column5]]), namespace_raw[[#This Row],[Column5]]/1048576, "")</f>
        <v/>
      </c>
      <c r="E640" s="95" t="str">
        <f>IF(ISNUMBER(namespace_raw[[#This Row],[Column6]]), namespace_raw[[#This Row],[Column6]],"")</f>
        <v/>
      </c>
      <c r="F640" s="96" t="str">
        <f>IF(ISNUMBER(namespace_raw[[#This Row],[Column7]]), namespace_raw[[#This Row],[Column7]]/1048576,"")</f>
        <v/>
      </c>
      <c r="G640" s="122" t="str">
        <f>IF(ISNUMBER(namespace_raw[[#This Row],[Column8]]), namespace_raw[[#This Row],[Column8]],"")</f>
        <v/>
      </c>
      <c r="H640" s="123" t="str">
        <f>IF(ISNUMBER(namespace_raw[[#This Row],[Column9]]), namespace_raw[[#This Row],[Column9]]/1048576,"")</f>
        <v/>
      </c>
      <c r="I640" s="124" t="str">
        <f>IF(ISNUMBER(namespace_raw[[#This Row],[Column8]]),MAX(G640, M640, O640, $I$2,IF(Q640&lt;&gt;"",VALUE(Q640),0)), "")</f>
        <v/>
      </c>
      <c r="J640" s="125" t="str">
        <f>IF(ISNUMBER(namespace_raw[[#This Row],[Column9]]),MAX(H640, N640, P640, $J$2,IF(R640&lt;&gt;"",VALUE(R640),0)),"")</f>
        <v/>
      </c>
      <c r="K640" s="166" t="str">
        <f>IF(ISNUMBER(namespace_raw[[#This Row],[Column12]]), namespace_raw[[#This Row],[Column12]],"")</f>
        <v/>
      </c>
      <c r="L640" s="167" t="str">
        <f>IF(ISNUMBER(namespace_raw[[#This Row],[Column13]]), namespace_raw[[#This Row],[Column13]]/1048576,"")</f>
        <v/>
      </c>
      <c r="M640" s="168" t="str">
        <f>IF(ISNUMBER(namespace_raw[[#This Row],[Column10]]), (namespace_raw[[#This Row],[Column10]]*(1+$M$2)),"")</f>
        <v/>
      </c>
      <c r="N640" s="167" t="str">
        <f>IF(ISNUMBER(namespace_raw[[#This Row],[Column11]]), (namespace_raw[[#This Row],[Column11]]*(1+$N$2))/1048576,"")</f>
        <v/>
      </c>
      <c r="O640" s="169" t="str">
        <f>IF(ISNUMBER(namespace_raw[[#This Row],[Column8]]), (E640  * $O$2),"")</f>
        <v/>
      </c>
      <c r="P640" s="170" t="str">
        <f>IF(ISNUMBER(namespace_raw[[#This Row],[Column8]]), (F640  * $P$2),"")</f>
        <v/>
      </c>
    </row>
    <row r="641" spans="1:16" ht="15" customHeight="1" x14ac:dyDescent="0.25">
      <c r="A641" s="32" t="str">
        <f>IF(ISNONTEXT(namespace_raw[[#This Row],[Column1]]), "", namespace_raw[[#This Row],[Column1]])</f>
        <v/>
      </c>
      <c r="B641" s="33" t="str">
        <f>IF(ISNONTEXT(namespace_raw[[#This Row],[Column2]]), "", namespace_raw[[#This Row],[Column2]])</f>
        <v/>
      </c>
      <c r="C641" s="94" t="str">
        <f>IF(ISNUMBER(namespace_raw[[#This Row],[Column4]]), namespace_raw[[#This Row],[Column4]], "")</f>
        <v/>
      </c>
      <c r="D641" s="95" t="str">
        <f>IF(ISNUMBER(namespace_raw[[#This Row],[Column5]]), namespace_raw[[#This Row],[Column5]]/1048576, "")</f>
        <v/>
      </c>
      <c r="E641" s="95" t="str">
        <f>IF(ISNUMBER(namespace_raw[[#This Row],[Column6]]), namespace_raw[[#This Row],[Column6]],"")</f>
        <v/>
      </c>
      <c r="F641" s="96" t="str">
        <f>IF(ISNUMBER(namespace_raw[[#This Row],[Column7]]), namespace_raw[[#This Row],[Column7]]/1048576,"")</f>
        <v/>
      </c>
      <c r="G641" s="122" t="str">
        <f>IF(ISNUMBER(namespace_raw[[#This Row],[Column8]]), namespace_raw[[#This Row],[Column8]],"")</f>
        <v/>
      </c>
      <c r="H641" s="123" t="str">
        <f>IF(ISNUMBER(namespace_raw[[#This Row],[Column9]]), namespace_raw[[#This Row],[Column9]]/1048576,"")</f>
        <v/>
      </c>
      <c r="I641" s="124" t="str">
        <f>IF(ISNUMBER(namespace_raw[[#This Row],[Column8]]),MAX(G641, M641, O641, $I$2,IF(Q641&lt;&gt;"",VALUE(Q641),0)), "")</f>
        <v/>
      </c>
      <c r="J641" s="125" t="str">
        <f>IF(ISNUMBER(namespace_raw[[#This Row],[Column9]]),MAX(H641, N641, P641, $J$2,IF(R641&lt;&gt;"",VALUE(R641),0)),"")</f>
        <v/>
      </c>
      <c r="K641" s="166" t="str">
        <f>IF(ISNUMBER(namespace_raw[[#This Row],[Column12]]), namespace_raw[[#This Row],[Column12]],"")</f>
        <v/>
      </c>
      <c r="L641" s="167" t="str">
        <f>IF(ISNUMBER(namespace_raw[[#This Row],[Column13]]), namespace_raw[[#This Row],[Column13]]/1048576,"")</f>
        <v/>
      </c>
      <c r="M641" s="168" t="str">
        <f>IF(ISNUMBER(namespace_raw[[#This Row],[Column10]]), (namespace_raw[[#This Row],[Column10]]*(1+$M$2)),"")</f>
        <v/>
      </c>
      <c r="N641" s="167" t="str">
        <f>IF(ISNUMBER(namespace_raw[[#This Row],[Column11]]), (namespace_raw[[#This Row],[Column11]]*(1+$N$2))/1048576,"")</f>
        <v/>
      </c>
      <c r="O641" s="169" t="str">
        <f>IF(ISNUMBER(namespace_raw[[#This Row],[Column8]]), (E641  * $O$2),"")</f>
        <v/>
      </c>
      <c r="P641" s="170" t="str">
        <f>IF(ISNUMBER(namespace_raw[[#This Row],[Column8]]), (F641  * $P$2),"")</f>
        <v/>
      </c>
    </row>
    <row r="642" spans="1:16" ht="15" customHeight="1" x14ac:dyDescent="0.25">
      <c r="A642" s="32" t="str">
        <f>IF(ISNONTEXT(namespace_raw[[#This Row],[Column1]]), "", namespace_raw[[#This Row],[Column1]])</f>
        <v/>
      </c>
      <c r="B642" s="33" t="str">
        <f>IF(ISNONTEXT(namespace_raw[[#This Row],[Column2]]), "", namespace_raw[[#This Row],[Column2]])</f>
        <v/>
      </c>
      <c r="C642" s="94" t="str">
        <f>IF(ISNUMBER(namespace_raw[[#This Row],[Column4]]), namespace_raw[[#This Row],[Column4]], "")</f>
        <v/>
      </c>
      <c r="D642" s="95" t="str">
        <f>IF(ISNUMBER(namespace_raw[[#This Row],[Column5]]), namespace_raw[[#This Row],[Column5]]/1048576, "")</f>
        <v/>
      </c>
      <c r="E642" s="95" t="str">
        <f>IF(ISNUMBER(namespace_raw[[#This Row],[Column6]]), namespace_raw[[#This Row],[Column6]],"")</f>
        <v/>
      </c>
      <c r="F642" s="96" t="str">
        <f>IF(ISNUMBER(namespace_raw[[#This Row],[Column7]]), namespace_raw[[#This Row],[Column7]]/1048576,"")</f>
        <v/>
      </c>
      <c r="G642" s="122" t="str">
        <f>IF(ISNUMBER(namespace_raw[[#This Row],[Column8]]), namespace_raw[[#This Row],[Column8]],"")</f>
        <v/>
      </c>
      <c r="H642" s="123" t="str">
        <f>IF(ISNUMBER(namespace_raw[[#This Row],[Column9]]), namespace_raw[[#This Row],[Column9]]/1048576,"")</f>
        <v/>
      </c>
      <c r="I642" s="124" t="str">
        <f>IF(ISNUMBER(namespace_raw[[#This Row],[Column8]]),MAX(G642, M642, O642, $I$2,IF(Q642&lt;&gt;"",VALUE(Q642),0)), "")</f>
        <v/>
      </c>
      <c r="J642" s="125" t="str">
        <f>IF(ISNUMBER(namespace_raw[[#This Row],[Column9]]),MAX(H642, N642, P642, $J$2,IF(R642&lt;&gt;"",VALUE(R642),0)),"")</f>
        <v/>
      </c>
      <c r="K642" s="166" t="str">
        <f>IF(ISNUMBER(namespace_raw[[#This Row],[Column12]]), namespace_raw[[#This Row],[Column12]],"")</f>
        <v/>
      </c>
      <c r="L642" s="167" t="str">
        <f>IF(ISNUMBER(namespace_raw[[#This Row],[Column13]]), namespace_raw[[#This Row],[Column13]]/1048576,"")</f>
        <v/>
      </c>
      <c r="M642" s="168" t="str">
        <f>IF(ISNUMBER(namespace_raw[[#This Row],[Column10]]), (namespace_raw[[#This Row],[Column10]]*(1+$M$2)),"")</f>
        <v/>
      </c>
      <c r="N642" s="167" t="str">
        <f>IF(ISNUMBER(namespace_raw[[#This Row],[Column11]]), (namespace_raw[[#This Row],[Column11]]*(1+$N$2))/1048576,"")</f>
        <v/>
      </c>
      <c r="O642" s="169" t="str">
        <f>IF(ISNUMBER(namespace_raw[[#This Row],[Column8]]), (E642  * $O$2),"")</f>
        <v/>
      </c>
      <c r="P642" s="170" t="str">
        <f>IF(ISNUMBER(namespace_raw[[#This Row],[Column8]]), (F642  * $P$2),"")</f>
        <v/>
      </c>
    </row>
    <row r="643" spans="1:16" ht="15" customHeight="1" x14ac:dyDescent="0.25">
      <c r="A643" s="32" t="str">
        <f>IF(ISNONTEXT(namespace_raw[[#This Row],[Column1]]), "", namespace_raw[[#This Row],[Column1]])</f>
        <v/>
      </c>
      <c r="B643" s="33" t="str">
        <f>IF(ISNONTEXT(namespace_raw[[#This Row],[Column2]]), "", namespace_raw[[#This Row],[Column2]])</f>
        <v/>
      </c>
      <c r="C643" s="94" t="str">
        <f>IF(ISNUMBER(namespace_raw[[#This Row],[Column4]]), namespace_raw[[#This Row],[Column4]], "")</f>
        <v/>
      </c>
      <c r="D643" s="95" t="str">
        <f>IF(ISNUMBER(namespace_raw[[#This Row],[Column5]]), namespace_raw[[#This Row],[Column5]]/1048576, "")</f>
        <v/>
      </c>
      <c r="E643" s="95" t="str">
        <f>IF(ISNUMBER(namespace_raw[[#This Row],[Column6]]), namespace_raw[[#This Row],[Column6]],"")</f>
        <v/>
      </c>
      <c r="F643" s="96" t="str">
        <f>IF(ISNUMBER(namespace_raw[[#This Row],[Column7]]), namespace_raw[[#This Row],[Column7]]/1048576,"")</f>
        <v/>
      </c>
      <c r="G643" s="122" t="str">
        <f>IF(ISNUMBER(namespace_raw[[#This Row],[Column8]]), namespace_raw[[#This Row],[Column8]],"")</f>
        <v/>
      </c>
      <c r="H643" s="123" t="str">
        <f>IF(ISNUMBER(namespace_raw[[#This Row],[Column9]]), namespace_raw[[#This Row],[Column9]]/1048576,"")</f>
        <v/>
      </c>
      <c r="I643" s="124" t="str">
        <f>IF(ISNUMBER(namespace_raw[[#This Row],[Column8]]),MAX(G643, M643, O643, $I$2,IF(Q643&lt;&gt;"",VALUE(Q643),0)), "")</f>
        <v/>
      </c>
      <c r="J643" s="125" t="str">
        <f>IF(ISNUMBER(namespace_raw[[#This Row],[Column9]]),MAX(H643, N643, P643, $J$2,IF(R643&lt;&gt;"",VALUE(R643),0)),"")</f>
        <v/>
      </c>
      <c r="K643" s="166" t="str">
        <f>IF(ISNUMBER(namespace_raw[[#This Row],[Column12]]), namespace_raw[[#This Row],[Column12]],"")</f>
        <v/>
      </c>
      <c r="L643" s="167" t="str">
        <f>IF(ISNUMBER(namespace_raw[[#This Row],[Column13]]), namespace_raw[[#This Row],[Column13]]/1048576,"")</f>
        <v/>
      </c>
      <c r="M643" s="168" t="str">
        <f>IF(ISNUMBER(namespace_raw[[#This Row],[Column10]]), (namespace_raw[[#This Row],[Column10]]*(1+$M$2)),"")</f>
        <v/>
      </c>
      <c r="N643" s="167" t="str">
        <f>IF(ISNUMBER(namespace_raw[[#This Row],[Column11]]), (namespace_raw[[#This Row],[Column11]]*(1+$N$2))/1048576,"")</f>
        <v/>
      </c>
      <c r="O643" s="169" t="str">
        <f>IF(ISNUMBER(namespace_raw[[#This Row],[Column8]]), (E643  * $O$2),"")</f>
        <v/>
      </c>
      <c r="P643" s="170" t="str">
        <f>IF(ISNUMBER(namespace_raw[[#This Row],[Column8]]), (F643  * $P$2),"")</f>
        <v/>
      </c>
    </row>
    <row r="644" spans="1:16" ht="15" customHeight="1" x14ac:dyDescent="0.25">
      <c r="A644" s="32" t="str">
        <f>IF(ISNONTEXT(namespace_raw[[#This Row],[Column1]]), "", namespace_raw[[#This Row],[Column1]])</f>
        <v/>
      </c>
      <c r="B644" s="33" t="str">
        <f>IF(ISNONTEXT(namespace_raw[[#This Row],[Column2]]), "", namespace_raw[[#This Row],[Column2]])</f>
        <v/>
      </c>
      <c r="C644" s="94" t="str">
        <f>IF(ISNUMBER(namespace_raw[[#This Row],[Column4]]), namespace_raw[[#This Row],[Column4]], "")</f>
        <v/>
      </c>
      <c r="D644" s="95" t="str">
        <f>IF(ISNUMBER(namespace_raw[[#This Row],[Column5]]), namespace_raw[[#This Row],[Column5]]/1048576, "")</f>
        <v/>
      </c>
      <c r="E644" s="95" t="str">
        <f>IF(ISNUMBER(namespace_raw[[#This Row],[Column6]]), namespace_raw[[#This Row],[Column6]],"")</f>
        <v/>
      </c>
      <c r="F644" s="96" t="str">
        <f>IF(ISNUMBER(namespace_raw[[#This Row],[Column7]]), namespace_raw[[#This Row],[Column7]]/1048576,"")</f>
        <v/>
      </c>
      <c r="G644" s="122" t="str">
        <f>IF(ISNUMBER(namespace_raw[[#This Row],[Column8]]), namespace_raw[[#This Row],[Column8]],"")</f>
        <v/>
      </c>
      <c r="H644" s="123" t="str">
        <f>IF(ISNUMBER(namespace_raw[[#This Row],[Column9]]), namespace_raw[[#This Row],[Column9]]/1048576,"")</f>
        <v/>
      </c>
      <c r="I644" s="124" t="str">
        <f>IF(ISNUMBER(namespace_raw[[#This Row],[Column8]]),MAX(G644, M644, O644, $I$2,IF(Q644&lt;&gt;"",VALUE(Q644),0)), "")</f>
        <v/>
      </c>
      <c r="J644" s="125" t="str">
        <f>IF(ISNUMBER(namespace_raw[[#This Row],[Column9]]),MAX(H644, N644, P644, $J$2,IF(R644&lt;&gt;"",VALUE(R644),0)),"")</f>
        <v/>
      </c>
      <c r="K644" s="166" t="str">
        <f>IF(ISNUMBER(namespace_raw[[#This Row],[Column12]]), namespace_raw[[#This Row],[Column12]],"")</f>
        <v/>
      </c>
      <c r="L644" s="167" t="str">
        <f>IF(ISNUMBER(namespace_raw[[#This Row],[Column13]]), namespace_raw[[#This Row],[Column13]]/1048576,"")</f>
        <v/>
      </c>
      <c r="M644" s="168" t="str">
        <f>IF(ISNUMBER(namespace_raw[[#This Row],[Column10]]), (namespace_raw[[#This Row],[Column10]]*(1+$M$2)),"")</f>
        <v/>
      </c>
      <c r="N644" s="167" t="str">
        <f>IF(ISNUMBER(namespace_raw[[#This Row],[Column11]]), (namespace_raw[[#This Row],[Column11]]*(1+$N$2))/1048576,"")</f>
        <v/>
      </c>
      <c r="O644" s="169" t="str">
        <f>IF(ISNUMBER(namespace_raw[[#This Row],[Column8]]), (E644  * $O$2),"")</f>
        <v/>
      </c>
      <c r="P644" s="170" t="str">
        <f>IF(ISNUMBER(namespace_raw[[#This Row],[Column8]]), (F644  * $P$2),"")</f>
        <v/>
      </c>
    </row>
    <row r="645" spans="1:16" ht="15" customHeight="1" x14ac:dyDescent="0.25">
      <c r="A645" s="32" t="str">
        <f>IF(ISNONTEXT(namespace_raw[[#This Row],[Column1]]), "", namespace_raw[[#This Row],[Column1]])</f>
        <v/>
      </c>
      <c r="B645" s="33" t="str">
        <f>IF(ISNONTEXT(namespace_raw[[#This Row],[Column2]]), "", namespace_raw[[#This Row],[Column2]])</f>
        <v/>
      </c>
      <c r="C645" s="94" t="str">
        <f>IF(ISNUMBER(namespace_raw[[#This Row],[Column4]]), namespace_raw[[#This Row],[Column4]], "")</f>
        <v/>
      </c>
      <c r="D645" s="95" t="str">
        <f>IF(ISNUMBER(namespace_raw[[#This Row],[Column5]]), namespace_raw[[#This Row],[Column5]]/1048576, "")</f>
        <v/>
      </c>
      <c r="E645" s="95" t="str">
        <f>IF(ISNUMBER(namespace_raw[[#This Row],[Column6]]), namespace_raw[[#This Row],[Column6]],"")</f>
        <v/>
      </c>
      <c r="F645" s="96" t="str">
        <f>IF(ISNUMBER(namespace_raw[[#This Row],[Column7]]), namespace_raw[[#This Row],[Column7]]/1048576,"")</f>
        <v/>
      </c>
      <c r="G645" s="122" t="str">
        <f>IF(ISNUMBER(namespace_raw[[#This Row],[Column8]]), namespace_raw[[#This Row],[Column8]],"")</f>
        <v/>
      </c>
      <c r="H645" s="123" t="str">
        <f>IF(ISNUMBER(namespace_raw[[#This Row],[Column9]]), namespace_raw[[#This Row],[Column9]]/1048576,"")</f>
        <v/>
      </c>
      <c r="I645" s="124" t="str">
        <f>IF(ISNUMBER(namespace_raw[[#This Row],[Column8]]),MAX(G645, M645, O645, $I$2,IF(Q645&lt;&gt;"",VALUE(Q645),0)), "")</f>
        <v/>
      </c>
      <c r="J645" s="125" t="str">
        <f>IF(ISNUMBER(namespace_raw[[#This Row],[Column9]]),MAX(H645, N645, P645, $J$2,IF(R645&lt;&gt;"",VALUE(R645),0)),"")</f>
        <v/>
      </c>
      <c r="K645" s="166" t="str">
        <f>IF(ISNUMBER(namespace_raw[[#This Row],[Column12]]), namespace_raw[[#This Row],[Column12]],"")</f>
        <v/>
      </c>
      <c r="L645" s="167" t="str">
        <f>IF(ISNUMBER(namespace_raw[[#This Row],[Column13]]), namespace_raw[[#This Row],[Column13]]/1048576,"")</f>
        <v/>
      </c>
      <c r="M645" s="168" t="str">
        <f>IF(ISNUMBER(namespace_raw[[#This Row],[Column10]]), (namespace_raw[[#This Row],[Column10]]*(1+$M$2)),"")</f>
        <v/>
      </c>
      <c r="N645" s="167" t="str">
        <f>IF(ISNUMBER(namespace_raw[[#This Row],[Column11]]), (namespace_raw[[#This Row],[Column11]]*(1+$N$2))/1048576,"")</f>
        <v/>
      </c>
      <c r="O645" s="169" t="str">
        <f>IF(ISNUMBER(namespace_raw[[#This Row],[Column8]]), (E645  * $O$2),"")</f>
        <v/>
      </c>
      <c r="P645" s="170" t="str">
        <f>IF(ISNUMBER(namespace_raw[[#This Row],[Column8]]), (F645  * $P$2),"")</f>
        <v/>
      </c>
    </row>
    <row r="646" spans="1:16" ht="15" customHeight="1" x14ac:dyDescent="0.25">
      <c r="A646" s="32" t="str">
        <f>IF(ISNONTEXT(namespace_raw[[#This Row],[Column1]]), "", namespace_raw[[#This Row],[Column1]])</f>
        <v/>
      </c>
      <c r="B646" s="33" t="str">
        <f>IF(ISNONTEXT(namespace_raw[[#This Row],[Column2]]), "", namespace_raw[[#This Row],[Column2]])</f>
        <v/>
      </c>
      <c r="C646" s="94" t="str">
        <f>IF(ISNUMBER(namespace_raw[[#This Row],[Column4]]), namespace_raw[[#This Row],[Column4]], "")</f>
        <v/>
      </c>
      <c r="D646" s="95" t="str">
        <f>IF(ISNUMBER(namespace_raw[[#This Row],[Column5]]), namespace_raw[[#This Row],[Column5]]/1048576, "")</f>
        <v/>
      </c>
      <c r="E646" s="95" t="str">
        <f>IF(ISNUMBER(namespace_raw[[#This Row],[Column6]]), namespace_raw[[#This Row],[Column6]],"")</f>
        <v/>
      </c>
      <c r="F646" s="96" t="str">
        <f>IF(ISNUMBER(namespace_raw[[#This Row],[Column7]]), namespace_raw[[#This Row],[Column7]]/1048576,"")</f>
        <v/>
      </c>
      <c r="G646" s="122" t="str">
        <f>IF(ISNUMBER(namespace_raw[[#This Row],[Column8]]), namespace_raw[[#This Row],[Column8]],"")</f>
        <v/>
      </c>
      <c r="H646" s="123" t="str">
        <f>IF(ISNUMBER(namespace_raw[[#This Row],[Column9]]), namespace_raw[[#This Row],[Column9]]/1048576,"")</f>
        <v/>
      </c>
      <c r="I646" s="124" t="str">
        <f>IF(ISNUMBER(namespace_raw[[#This Row],[Column8]]),MAX(G646, M646, O646, $I$2,IF(Q646&lt;&gt;"",VALUE(Q646),0)), "")</f>
        <v/>
      </c>
      <c r="J646" s="125" t="str">
        <f>IF(ISNUMBER(namespace_raw[[#This Row],[Column9]]),MAX(H646, N646, P646, $J$2,IF(R646&lt;&gt;"",VALUE(R646),0)),"")</f>
        <v/>
      </c>
      <c r="K646" s="166" t="str">
        <f>IF(ISNUMBER(namespace_raw[[#This Row],[Column12]]), namespace_raw[[#This Row],[Column12]],"")</f>
        <v/>
      </c>
      <c r="L646" s="167" t="str">
        <f>IF(ISNUMBER(namespace_raw[[#This Row],[Column13]]), namespace_raw[[#This Row],[Column13]]/1048576,"")</f>
        <v/>
      </c>
      <c r="M646" s="168" t="str">
        <f>IF(ISNUMBER(namespace_raw[[#This Row],[Column10]]), (namespace_raw[[#This Row],[Column10]]*(1+$M$2)),"")</f>
        <v/>
      </c>
      <c r="N646" s="167" t="str">
        <f>IF(ISNUMBER(namespace_raw[[#This Row],[Column11]]), (namespace_raw[[#This Row],[Column11]]*(1+$N$2))/1048576,"")</f>
        <v/>
      </c>
      <c r="O646" s="169" t="str">
        <f>IF(ISNUMBER(namespace_raw[[#This Row],[Column8]]), (E646  * $O$2),"")</f>
        <v/>
      </c>
      <c r="P646" s="170" t="str">
        <f>IF(ISNUMBER(namespace_raw[[#This Row],[Column8]]), (F646  * $P$2),"")</f>
        <v/>
      </c>
    </row>
    <row r="647" spans="1:16" ht="15" customHeight="1" x14ac:dyDescent="0.25">
      <c r="A647" s="32" t="str">
        <f>IF(ISNONTEXT(namespace_raw[[#This Row],[Column1]]), "", namespace_raw[[#This Row],[Column1]])</f>
        <v/>
      </c>
      <c r="B647" s="33" t="str">
        <f>IF(ISNONTEXT(namespace_raw[[#This Row],[Column2]]), "", namespace_raw[[#This Row],[Column2]])</f>
        <v/>
      </c>
      <c r="C647" s="94" t="str">
        <f>IF(ISNUMBER(namespace_raw[[#This Row],[Column4]]), namespace_raw[[#This Row],[Column4]], "")</f>
        <v/>
      </c>
      <c r="D647" s="95" t="str">
        <f>IF(ISNUMBER(namespace_raw[[#This Row],[Column5]]), namespace_raw[[#This Row],[Column5]]/1048576, "")</f>
        <v/>
      </c>
      <c r="E647" s="95" t="str">
        <f>IF(ISNUMBER(namespace_raw[[#This Row],[Column6]]), namespace_raw[[#This Row],[Column6]],"")</f>
        <v/>
      </c>
      <c r="F647" s="96" t="str">
        <f>IF(ISNUMBER(namespace_raw[[#This Row],[Column7]]), namespace_raw[[#This Row],[Column7]]/1048576,"")</f>
        <v/>
      </c>
      <c r="G647" s="122" t="str">
        <f>IF(ISNUMBER(namespace_raw[[#This Row],[Column8]]), namespace_raw[[#This Row],[Column8]],"")</f>
        <v/>
      </c>
      <c r="H647" s="123" t="str">
        <f>IF(ISNUMBER(namespace_raw[[#This Row],[Column9]]), namespace_raw[[#This Row],[Column9]]/1048576,"")</f>
        <v/>
      </c>
      <c r="I647" s="124" t="str">
        <f>IF(ISNUMBER(namespace_raw[[#This Row],[Column8]]),MAX(G647, M647, O647, $I$2,IF(Q647&lt;&gt;"",VALUE(Q647),0)), "")</f>
        <v/>
      </c>
      <c r="J647" s="125" t="str">
        <f>IF(ISNUMBER(namespace_raw[[#This Row],[Column9]]),MAX(H647, N647, P647, $J$2,IF(R647&lt;&gt;"",VALUE(R647),0)),"")</f>
        <v/>
      </c>
      <c r="K647" s="166" t="str">
        <f>IF(ISNUMBER(namespace_raw[[#This Row],[Column12]]), namespace_raw[[#This Row],[Column12]],"")</f>
        <v/>
      </c>
      <c r="L647" s="167" t="str">
        <f>IF(ISNUMBER(namespace_raw[[#This Row],[Column13]]), namespace_raw[[#This Row],[Column13]]/1048576,"")</f>
        <v/>
      </c>
      <c r="M647" s="168" t="str">
        <f>IF(ISNUMBER(namespace_raw[[#This Row],[Column10]]), (namespace_raw[[#This Row],[Column10]]*(1+$M$2)),"")</f>
        <v/>
      </c>
      <c r="N647" s="167" t="str">
        <f>IF(ISNUMBER(namespace_raw[[#This Row],[Column11]]), (namespace_raw[[#This Row],[Column11]]*(1+$N$2))/1048576,"")</f>
        <v/>
      </c>
      <c r="O647" s="169" t="str">
        <f>IF(ISNUMBER(namespace_raw[[#This Row],[Column8]]), (E647  * $O$2),"")</f>
        <v/>
      </c>
      <c r="P647" s="170" t="str">
        <f>IF(ISNUMBER(namespace_raw[[#This Row],[Column8]]), (F647  * $P$2),"")</f>
        <v/>
      </c>
    </row>
    <row r="648" spans="1:16" ht="15" customHeight="1" x14ac:dyDescent="0.25">
      <c r="A648" s="32" t="str">
        <f>IF(ISNONTEXT(namespace_raw[[#This Row],[Column1]]), "", namespace_raw[[#This Row],[Column1]])</f>
        <v/>
      </c>
      <c r="B648" s="33" t="str">
        <f>IF(ISNONTEXT(namespace_raw[[#This Row],[Column2]]), "", namespace_raw[[#This Row],[Column2]])</f>
        <v/>
      </c>
      <c r="C648" s="94" t="str">
        <f>IF(ISNUMBER(namespace_raw[[#This Row],[Column4]]), namespace_raw[[#This Row],[Column4]], "")</f>
        <v/>
      </c>
      <c r="D648" s="95" t="str">
        <f>IF(ISNUMBER(namespace_raw[[#This Row],[Column5]]), namespace_raw[[#This Row],[Column5]]/1048576, "")</f>
        <v/>
      </c>
      <c r="E648" s="95" t="str">
        <f>IF(ISNUMBER(namespace_raw[[#This Row],[Column6]]), namespace_raw[[#This Row],[Column6]],"")</f>
        <v/>
      </c>
      <c r="F648" s="96" t="str">
        <f>IF(ISNUMBER(namespace_raw[[#This Row],[Column7]]), namespace_raw[[#This Row],[Column7]]/1048576,"")</f>
        <v/>
      </c>
      <c r="G648" s="122" t="str">
        <f>IF(ISNUMBER(namespace_raw[[#This Row],[Column8]]), namespace_raw[[#This Row],[Column8]],"")</f>
        <v/>
      </c>
      <c r="H648" s="123" t="str">
        <f>IF(ISNUMBER(namespace_raw[[#This Row],[Column9]]), namespace_raw[[#This Row],[Column9]]/1048576,"")</f>
        <v/>
      </c>
      <c r="I648" s="124" t="str">
        <f>IF(ISNUMBER(namespace_raw[[#This Row],[Column8]]),MAX(G648, M648, O648, $I$2,IF(Q648&lt;&gt;"",VALUE(Q648),0)), "")</f>
        <v/>
      </c>
      <c r="J648" s="125" t="str">
        <f>IF(ISNUMBER(namespace_raw[[#This Row],[Column9]]),MAX(H648, N648, P648, $J$2,IF(R648&lt;&gt;"",VALUE(R648),0)),"")</f>
        <v/>
      </c>
      <c r="K648" s="166" t="str">
        <f>IF(ISNUMBER(namespace_raw[[#This Row],[Column12]]), namespace_raw[[#This Row],[Column12]],"")</f>
        <v/>
      </c>
      <c r="L648" s="167" t="str">
        <f>IF(ISNUMBER(namespace_raw[[#This Row],[Column13]]), namespace_raw[[#This Row],[Column13]]/1048576,"")</f>
        <v/>
      </c>
      <c r="M648" s="168" t="str">
        <f>IF(ISNUMBER(namespace_raw[[#This Row],[Column10]]), (namespace_raw[[#This Row],[Column10]]*(1+$M$2)),"")</f>
        <v/>
      </c>
      <c r="N648" s="167" t="str">
        <f>IF(ISNUMBER(namespace_raw[[#This Row],[Column11]]), (namespace_raw[[#This Row],[Column11]]*(1+$N$2))/1048576,"")</f>
        <v/>
      </c>
      <c r="O648" s="169" t="str">
        <f>IF(ISNUMBER(namespace_raw[[#This Row],[Column8]]), (E648  * $O$2),"")</f>
        <v/>
      </c>
      <c r="P648" s="170" t="str">
        <f>IF(ISNUMBER(namespace_raw[[#This Row],[Column8]]), (F648  * $P$2),"")</f>
        <v/>
      </c>
    </row>
    <row r="649" spans="1:16" ht="15" customHeight="1" x14ac:dyDescent="0.25">
      <c r="A649" s="32" t="str">
        <f>IF(ISNONTEXT(namespace_raw[[#This Row],[Column1]]), "", namespace_raw[[#This Row],[Column1]])</f>
        <v/>
      </c>
      <c r="B649" s="33" t="str">
        <f>IF(ISNONTEXT(namespace_raw[[#This Row],[Column2]]), "", namespace_raw[[#This Row],[Column2]])</f>
        <v/>
      </c>
      <c r="C649" s="94" t="str">
        <f>IF(ISNUMBER(namespace_raw[[#This Row],[Column4]]), namespace_raw[[#This Row],[Column4]], "")</f>
        <v/>
      </c>
      <c r="D649" s="95" t="str">
        <f>IF(ISNUMBER(namespace_raw[[#This Row],[Column5]]), namespace_raw[[#This Row],[Column5]]/1048576, "")</f>
        <v/>
      </c>
      <c r="E649" s="95" t="str">
        <f>IF(ISNUMBER(namespace_raw[[#This Row],[Column6]]), namespace_raw[[#This Row],[Column6]],"")</f>
        <v/>
      </c>
      <c r="F649" s="96" t="str">
        <f>IF(ISNUMBER(namespace_raw[[#This Row],[Column7]]), namespace_raw[[#This Row],[Column7]]/1048576,"")</f>
        <v/>
      </c>
      <c r="G649" s="122" t="str">
        <f>IF(ISNUMBER(namespace_raw[[#This Row],[Column8]]), namespace_raw[[#This Row],[Column8]],"")</f>
        <v/>
      </c>
      <c r="H649" s="123" t="str">
        <f>IF(ISNUMBER(namespace_raw[[#This Row],[Column9]]), namespace_raw[[#This Row],[Column9]]/1048576,"")</f>
        <v/>
      </c>
      <c r="I649" s="124" t="str">
        <f>IF(ISNUMBER(namespace_raw[[#This Row],[Column8]]),MAX(G649, M649, O649, $I$2,IF(Q649&lt;&gt;"",VALUE(Q649),0)), "")</f>
        <v/>
      </c>
      <c r="J649" s="125" t="str">
        <f>IF(ISNUMBER(namespace_raw[[#This Row],[Column9]]),MAX(H649, N649, P649, $J$2,IF(R649&lt;&gt;"",VALUE(R649),0)),"")</f>
        <v/>
      </c>
      <c r="K649" s="166" t="str">
        <f>IF(ISNUMBER(namespace_raw[[#This Row],[Column12]]), namespace_raw[[#This Row],[Column12]],"")</f>
        <v/>
      </c>
      <c r="L649" s="167" t="str">
        <f>IF(ISNUMBER(namespace_raw[[#This Row],[Column13]]), namespace_raw[[#This Row],[Column13]]/1048576,"")</f>
        <v/>
      </c>
      <c r="M649" s="168" t="str">
        <f>IF(ISNUMBER(namespace_raw[[#This Row],[Column10]]), (namespace_raw[[#This Row],[Column10]]*(1+$M$2)),"")</f>
        <v/>
      </c>
      <c r="N649" s="167" t="str">
        <f>IF(ISNUMBER(namespace_raw[[#This Row],[Column11]]), (namespace_raw[[#This Row],[Column11]]*(1+$N$2))/1048576,"")</f>
        <v/>
      </c>
      <c r="O649" s="169" t="str">
        <f>IF(ISNUMBER(namespace_raw[[#This Row],[Column8]]), (E649  * $O$2),"")</f>
        <v/>
      </c>
      <c r="P649" s="170" t="str">
        <f>IF(ISNUMBER(namespace_raw[[#This Row],[Column8]]), (F649  * $P$2),"")</f>
        <v/>
      </c>
    </row>
    <row r="650" spans="1:16" ht="15" customHeight="1" x14ac:dyDescent="0.25">
      <c r="A650" s="32" t="str">
        <f>IF(ISNONTEXT(namespace_raw[[#This Row],[Column1]]), "", namespace_raw[[#This Row],[Column1]])</f>
        <v/>
      </c>
      <c r="B650" s="33" t="str">
        <f>IF(ISNONTEXT(namespace_raw[[#This Row],[Column2]]), "", namespace_raw[[#This Row],[Column2]])</f>
        <v/>
      </c>
      <c r="C650" s="94" t="str">
        <f>IF(ISNUMBER(namespace_raw[[#This Row],[Column4]]), namespace_raw[[#This Row],[Column4]], "")</f>
        <v/>
      </c>
      <c r="D650" s="95" t="str">
        <f>IF(ISNUMBER(namespace_raw[[#This Row],[Column5]]), namespace_raw[[#This Row],[Column5]]/1048576, "")</f>
        <v/>
      </c>
      <c r="E650" s="95" t="str">
        <f>IF(ISNUMBER(namespace_raw[[#This Row],[Column6]]), namespace_raw[[#This Row],[Column6]],"")</f>
        <v/>
      </c>
      <c r="F650" s="96" t="str">
        <f>IF(ISNUMBER(namespace_raw[[#This Row],[Column7]]), namespace_raw[[#This Row],[Column7]]/1048576,"")</f>
        <v/>
      </c>
      <c r="G650" s="122" t="str">
        <f>IF(ISNUMBER(namespace_raw[[#This Row],[Column8]]), namespace_raw[[#This Row],[Column8]],"")</f>
        <v/>
      </c>
      <c r="H650" s="123" t="str">
        <f>IF(ISNUMBER(namespace_raw[[#This Row],[Column9]]), namespace_raw[[#This Row],[Column9]]/1048576,"")</f>
        <v/>
      </c>
      <c r="I650" s="124" t="str">
        <f>IF(ISNUMBER(namespace_raw[[#This Row],[Column8]]),MAX(G650, M650, O650, $I$2,IF(Q650&lt;&gt;"",VALUE(Q650),0)), "")</f>
        <v/>
      </c>
      <c r="J650" s="125" t="str">
        <f>IF(ISNUMBER(namespace_raw[[#This Row],[Column9]]),MAX(H650, N650, P650, $J$2,IF(R650&lt;&gt;"",VALUE(R650),0)),"")</f>
        <v/>
      </c>
      <c r="K650" s="166" t="str">
        <f>IF(ISNUMBER(namespace_raw[[#This Row],[Column12]]), namespace_raw[[#This Row],[Column12]],"")</f>
        <v/>
      </c>
      <c r="L650" s="167" t="str">
        <f>IF(ISNUMBER(namespace_raw[[#This Row],[Column13]]), namespace_raw[[#This Row],[Column13]]/1048576,"")</f>
        <v/>
      </c>
      <c r="M650" s="168" t="str">
        <f>IF(ISNUMBER(namespace_raw[[#This Row],[Column10]]), (namespace_raw[[#This Row],[Column10]]*(1+$M$2)),"")</f>
        <v/>
      </c>
      <c r="N650" s="167" t="str">
        <f>IF(ISNUMBER(namespace_raw[[#This Row],[Column11]]), (namespace_raw[[#This Row],[Column11]]*(1+$N$2))/1048576,"")</f>
        <v/>
      </c>
      <c r="O650" s="169" t="str">
        <f>IF(ISNUMBER(namespace_raw[[#This Row],[Column8]]), (E650  * $O$2),"")</f>
        <v/>
      </c>
      <c r="P650" s="170" t="str">
        <f>IF(ISNUMBER(namespace_raw[[#This Row],[Column8]]), (F650  * $P$2),"")</f>
        <v/>
      </c>
    </row>
    <row r="651" spans="1:16" ht="15" customHeight="1" x14ac:dyDescent="0.25">
      <c r="A651" s="32" t="str">
        <f>IF(ISNONTEXT(namespace_raw[[#This Row],[Column1]]), "", namespace_raw[[#This Row],[Column1]])</f>
        <v/>
      </c>
      <c r="B651" s="33" t="str">
        <f>IF(ISNONTEXT(namespace_raw[[#This Row],[Column2]]), "", namespace_raw[[#This Row],[Column2]])</f>
        <v/>
      </c>
      <c r="C651" s="94" t="str">
        <f>IF(ISNUMBER(namespace_raw[[#This Row],[Column4]]), namespace_raw[[#This Row],[Column4]], "")</f>
        <v/>
      </c>
      <c r="D651" s="95" t="str">
        <f>IF(ISNUMBER(namespace_raw[[#This Row],[Column5]]), namespace_raw[[#This Row],[Column5]]/1048576, "")</f>
        <v/>
      </c>
      <c r="E651" s="95" t="str">
        <f>IF(ISNUMBER(namespace_raw[[#This Row],[Column6]]), namespace_raw[[#This Row],[Column6]],"")</f>
        <v/>
      </c>
      <c r="F651" s="96" t="str">
        <f>IF(ISNUMBER(namespace_raw[[#This Row],[Column7]]), namespace_raw[[#This Row],[Column7]]/1048576,"")</f>
        <v/>
      </c>
      <c r="G651" s="122" t="str">
        <f>IF(ISNUMBER(namespace_raw[[#This Row],[Column8]]), namespace_raw[[#This Row],[Column8]],"")</f>
        <v/>
      </c>
      <c r="H651" s="123" t="str">
        <f>IF(ISNUMBER(namespace_raw[[#This Row],[Column9]]), namespace_raw[[#This Row],[Column9]]/1048576,"")</f>
        <v/>
      </c>
      <c r="I651" s="124" t="str">
        <f>IF(ISNUMBER(namespace_raw[[#This Row],[Column8]]),MAX(G651, M651, O651, $I$2,IF(Q651&lt;&gt;"",VALUE(Q651),0)), "")</f>
        <v/>
      </c>
      <c r="J651" s="125" t="str">
        <f>IF(ISNUMBER(namespace_raw[[#This Row],[Column9]]),MAX(H651, N651, P651, $J$2,IF(R651&lt;&gt;"",VALUE(R651),0)),"")</f>
        <v/>
      </c>
      <c r="K651" s="166" t="str">
        <f>IF(ISNUMBER(namespace_raw[[#This Row],[Column12]]), namespace_raw[[#This Row],[Column12]],"")</f>
        <v/>
      </c>
      <c r="L651" s="167" t="str">
        <f>IF(ISNUMBER(namespace_raw[[#This Row],[Column13]]), namespace_raw[[#This Row],[Column13]]/1048576,"")</f>
        <v/>
      </c>
      <c r="M651" s="168" t="str">
        <f>IF(ISNUMBER(namespace_raw[[#This Row],[Column10]]), (namespace_raw[[#This Row],[Column10]]*(1+$M$2)),"")</f>
        <v/>
      </c>
      <c r="N651" s="167" t="str">
        <f>IF(ISNUMBER(namespace_raw[[#This Row],[Column11]]), (namespace_raw[[#This Row],[Column11]]*(1+$N$2))/1048576,"")</f>
        <v/>
      </c>
      <c r="O651" s="169" t="str">
        <f>IF(ISNUMBER(namespace_raw[[#This Row],[Column8]]), (E651  * $O$2),"")</f>
        <v/>
      </c>
      <c r="P651" s="170" t="str">
        <f>IF(ISNUMBER(namespace_raw[[#This Row],[Column8]]), (F651  * $P$2),"")</f>
        <v/>
      </c>
    </row>
    <row r="652" spans="1:16" ht="15" customHeight="1" x14ac:dyDescent="0.25">
      <c r="A652" s="32" t="str">
        <f>IF(ISNONTEXT(namespace_raw[[#This Row],[Column1]]), "", namespace_raw[[#This Row],[Column1]])</f>
        <v/>
      </c>
      <c r="B652" s="33" t="str">
        <f>IF(ISNONTEXT(namespace_raw[[#This Row],[Column2]]), "", namespace_raw[[#This Row],[Column2]])</f>
        <v/>
      </c>
      <c r="C652" s="94" t="str">
        <f>IF(ISNUMBER(namespace_raw[[#This Row],[Column4]]), namespace_raw[[#This Row],[Column4]], "")</f>
        <v/>
      </c>
      <c r="D652" s="95" t="str">
        <f>IF(ISNUMBER(namespace_raw[[#This Row],[Column5]]), namespace_raw[[#This Row],[Column5]]/1048576, "")</f>
        <v/>
      </c>
      <c r="E652" s="95" t="str">
        <f>IF(ISNUMBER(namespace_raw[[#This Row],[Column6]]), namespace_raw[[#This Row],[Column6]],"")</f>
        <v/>
      </c>
      <c r="F652" s="96" t="str">
        <f>IF(ISNUMBER(namespace_raw[[#This Row],[Column7]]), namespace_raw[[#This Row],[Column7]]/1048576,"")</f>
        <v/>
      </c>
      <c r="G652" s="122" t="str">
        <f>IF(ISNUMBER(namespace_raw[[#This Row],[Column8]]), namespace_raw[[#This Row],[Column8]],"")</f>
        <v/>
      </c>
      <c r="H652" s="123" t="str">
        <f>IF(ISNUMBER(namespace_raw[[#This Row],[Column9]]), namespace_raw[[#This Row],[Column9]]/1048576,"")</f>
        <v/>
      </c>
      <c r="I652" s="124" t="str">
        <f>IF(ISNUMBER(namespace_raw[[#This Row],[Column8]]),MAX(G652, M652, O652, $I$2,IF(Q652&lt;&gt;"",VALUE(Q652),0)), "")</f>
        <v/>
      </c>
      <c r="J652" s="125" t="str">
        <f>IF(ISNUMBER(namespace_raw[[#This Row],[Column9]]),MAX(H652, N652, P652, $J$2,IF(R652&lt;&gt;"",VALUE(R652),0)),"")</f>
        <v/>
      </c>
      <c r="K652" s="166" t="str">
        <f>IF(ISNUMBER(namespace_raw[[#This Row],[Column12]]), namespace_raw[[#This Row],[Column12]],"")</f>
        <v/>
      </c>
      <c r="L652" s="167" t="str">
        <f>IF(ISNUMBER(namespace_raw[[#This Row],[Column13]]), namespace_raw[[#This Row],[Column13]]/1048576,"")</f>
        <v/>
      </c>
      <c r="M652" s="168" t="str">
        <f>IF(ISNUMBER(namespace_raw[[#This Row],[Column10]]), (namespace_raw[[#This Row],[Column10]]*(1+$M$2)),"")</f>
        <v/>
      </c>
      <c r="N652" s="167" t="str">
        <f>IF(ISNUMBER(namespace_raw[[#This Row],[Column11]]), (namespace_raw[[#This Row],[Column11]]*(1+$N$2))/1048576,"")</f>
        <v/>
      </c>
      <c r="O652" s="169" t="str">
        <f>IF(ISNUMBER(namespace_raw[[#This Row],[Column8]]), (E652  * $O$2),"")</f>
        <v/>
      </c>
      <c r="P652" s="170" t="str">
        <f>IF(ISNUMBER(namespace_raw[[#This Row],[Column8]]), (F652  * $P$2),"")</f>
        <v/>
      </c>
    </row>
    <row r="653" spans="1:16" ht="15" customHeight="1" x14ac:dyDescent="0.25">
      <c r="A653" s="32" t="str">
        <f>IF(ISNONTEXT(namespace_raw[[#This Row],[Column1]]), "", namespace_raw[[#This Row],[Column1]])</f>
        <v/>
      </c>
      <c r="B653" s="33" t="str">
        <f>IF(ISNONTEXT(namespace_raw[[#This Row],[Column2]]), "", namespace_raw[[#This Row],[Column2]])</f>
        <v/>
      </c>
      <c r="C653" s="94" t="str">
        <f>IF(ISNUMBER(namespace_raw[[#This Row],[Column4]]), namespace_raw[[#This Row],[Column4]], "")</f>
        <v/>
      </c>
      <c r="D653" s="95" t="str">
        <f>IF(ISNUMBER(namespace_raw[[#This Row],[Column5]]), namespace_raw[[#This Row],[Column5]]/1048576, "")</f>
        <v/>
      </c>
      <c r="E653" s="95" t="str">
        <f>IF(ISNUMBER(namespace_raw[[#This Row],[Column6]]), namespace_raw[[#This Row],[Column6]],"")</f>
        <v/>
      </c>
      <c r="F653" s="96" t="str">
        <f>IF(ISNUMBER(namespace_raw[[#This Row],[Column7]]), namespace_raw[[#This Row],[Column7]]/1048576,"")</f>
        <v/>
      </c>
      <c r="G653" s="122" t="str">
        <f>IF(ISNUMBER(namespace_raw[[#This Row],[Column8]]), namespace_raw[[#This Row],[Column8]],"")</f>
        <v/>
      </c>
      <c r="H653" s="123" t="str">
        <f>IF(ISNUMBER(namespace_raw[[#This Row],[Column9]]), namespace_raw[[#This Row],[Column9]]/1048576,"")</f>
        <v/>
      </c>
      <c r="I653" s="124" t="str">
        <f>IF(ISNUMBER(namespace_raw[[#This Row],[Column8]]),MAX(G653, M653, O653, $I$2,IF(Q653&lt;&gt;"",VALUE(Q653),0)), "")</f>
        <v/>
      </c>
      <c r="J653" s="125" t="str">
        <f>IF(ISNUMBER(namespace_raw[[#This Row],[Column9]]),MAX(H653, N653, P653, $J$2,IF(R653&lt;&gt;"",VALUE(R653),0)),"")</f>
        <v/>
      </c>
      <c r="K653" s="166" t="str">
        <f>IF(ISNUMBER(namespace_raw[[#This Row],[Column12]]), namespace_raw[[#This Row],[Column12]],"")</f>
        <v/>
      </c>
      <c r="L653" s="167" t="str">
        <f>IF(ISNUMBER(namespace_raw[[#This Row],[Column13]]), namespace_raw[[#This Row],[Column13]]/1048576,"")</f>
        <v/>
      </c>
      <c r="M653" s="168" t="str">
        <f>IF(ISNUMBER(namespace_raw[[#This Row],[Column10]]), (namespace_raw[[#This Row],[Column10]]*(1+$M$2)),"")</f>
        <v/>
      </c>
      <c r="N653" s="167" t="str">
        <f>IF(ISNUMBER(namespace_raw[[#This Row],[Column11]]), (namespace_raw[[#This Row],[Column11]]*(1+$N$2))/1048576,"")</f>
        <v/>
      </c>
      <c r="O653" s="169" t="str">
        <f>IF(ISNUMBER(namespace_raw[[#This Row],[Column8]]), (E653  * $O$2),"")</f>
        <v/>
      </c>
      <c r="P653" s="170" t="str">
        <f>IF(ISNUMBER(namespace_raw[[#This Row],[Column8]]), (F653  * $P$2),"")</f>
        <v/>
      </c>
    </row>
    <row r="654" spans="1:16" ht="15" customHeight="1" x14ac:dyDescent="0.25">
      <c r="A654" s="32" t="str">
        <f>IF(ISNONTEXT(namespace_raw[[#This Row],[Column1]]), "", namespace_raw[[#This Row],[Column1]])</f>
        <v/>
      </c>
      <c r="B654" s="33" t="str">
        <f>IF(ISNONTEXT(namespace_raw[[#This Row],[Column2]]), "", namespace_raw[[#This Row],[Column2]])</f>
        <v/>
      </c>
      <c r="C654" s="94" t="str">
        <f>IF(ISNUMBER(namespace_raw[[#This Row],[Column4]]), namespace_raw[[#This Row],[Column4]], "")</f>
        <v/>
      </c>
      <c r="D654" s="95" t="str">
        <f>IF(ISNUMBER(namespace_raw[[#This Row],[Column5]]), namespace_raw[[#This Row],[Column5]]/1048576, "")</f>
        <v/>
      </c>
      <c r="E654" s="95" t="str">
        <f>IF(ISNUMBER(namespace_raw[[#This Row],[Column6]]), namespace_raw[[#This Row],[Column6]],"")</f>
        <v/>
      </c>
      <c r="F654" s="96" t="str">
        <f>IF(ISNUMBER(namespace_raw[[#This Row],[Column7]]), namespace_raw[[#This Row],[Column7]]/1048576,"")</f>
        <v/>
      </c>
      <c r="G654" s="122" t="str">
        <f>IF(ISNUMBER(namespace_raw[[#This Row],[Column8]]), namespace_raw[[#This Row],[Column8]],"")</f>
        <v/>
      </c>
      <c r="H654" s="123" t="str">
        <f>IF(ISNUMBER(namespace_raw[[#This Row],[Column9]]), namespace_raw[[#This Row],[Column9]]/1048576,"")</f>
        <v/>
      </c>
      <c r="I654" s="124" t="str">
        <f>IF(ISNUMBER(namespace_raw[[#This Row],[Column8]]),MAX(G654, M654, O654, $I$2,IF(Q654&lt;&gt;"",VALUE(Q654),0)), "")</f>
        <v/>
      </c>
      <c r="J654" s="125" t="str">
        <f>IF(ISNUMBER(namespace_raw[[#This Row],[Column9]]),MAX(H654, N654, P654, $J$2,IF(R654&lt;&gt;"",VALUE(R654),0)),"")</f>
        <v/>
      </c>
      <c r="K654" s="166" t="str">
        <f>IF(ISNUMBER(namespace_raw[[#This Row],[Column12]]), namespace_raw[[#This Row],[Column12]],"")</f>
        <v/>
      </c>
      <c r="L654" s="167" t="str">
        <f>IF(ISNUMBER(namespace_raw[[#This Row],[Column13]]), namespace_raw[[#This Row],[Column13]]/1048576,"")</f>
        <v/>
      </c>
      <c r="M654" s="168" t="str">
        <f>IF(ISNUMBER(namespace_raw[[#This Row],[Column10]]), (namespace_raw[[#This Row],[Column10]]*(1+$M$2)),"")</f>
        <v/>
      </c>
      <c r="N654" s="167" t="str">
        <f>IF(ISNUMBER(namespace_raw[[#This Row],[Column11]]), (namespace_raw[[#This Row],[Column11]]*(1+$N$2))/1048576,"")</f>
        <v/>
      </c>
      <c r="O654" s="169" t="str">
        <f>IF(ISNUMBER(namespace_raw[[#This Row],[Column8]]), (E654  * $O$2),"")</f>
        <v/>
      </c>
      <c r="P654" s="170" t="str">
        <f>IF(ISNUMBER(namespace_raw[[#This Row],[Column8]]), (F654  * $P$2),"")</f>
        <v/>
      </c>
    </row>
    <row r="655" spans="1:16" ht="15" customHeight="1" x14ac:dyDescent="0.25">
      <c r="A655" s="32" t="str">
        <f>IF(ISNONTEXT(namespace_raw[[#This Row],[Column1]]), "", namespace_raw[[#This Row],[Column1]])</f>
        <v/>
      </c>
      <c r="B655" s="33" t="str">
        <f>IF(ISNONTEXT(namespace_raw[[#This Row],[Column2]]), "", namespace_raw[[#This Row],[Column2]])</f>
        <v/>
      </c>
      <c r="C655" s="94" t="str">
        <f>IF(ISNUMBER(namespace_raw[[#This Row],[Column4]]), namespace_raw[[#This Row],[Column4]], "")</f>
        <v/>
      </c>
      <c r="D655" s="95" t="str">
        <f>IF(ISNUMBER(namespace_raw[[#This Row],[Column5]]), namespace_raw[[#This Row],[Column5]]/1048576, "")</f>
        <v/>
      </c>
      <c r="E655" s="95" t="str">
        <f>IF(ISNUMBER(namespace_raw[[#This Row],[Column6]]), namespace_raw[[#This Row],[Column6]],"")</f>
        <v/>
      </c>
      <c r="F655" s="96" t="str">
        <f>IF(ISNUMBER(namespace_raw[[#This Row],[Column7]]), namespace_raw[[#This Row],[Column7]]/1048576,"")</f>
        <v/>
      </c>
      <c r="G655" s="122" t="str">
        <f>IF(ISNUMBER(namespace_raw[[#This Row],[Column8]]), namespace_raw[[#This Row],[Column8]],"")</f>
        <v/>
      </c>
      <c r="H655" s="123" t="str">
        <f>IF(ISNUMBER(namespace_raw[[#This Row],[Column9]]), namespace_raw[[#This Row],[Column9]]/1048576,"")</f>
        <v/>
      </c>
      <c r="I655" s="124" t="str">
        <f>IF(ISNUMBER(namespace_raw[[#This Row],[Column8]]),MAX(G655, M655, O655, $I$2,IF(Q655&lt;&gt;"",VALUE(Q655),0)), "")</f>
        <v/>
      </c>
      <c r="J655" s="125" t="str">
        <f>IF(ISNUMBER(namespace_raw[[#This Row],[Column9]]),MAX(H655, N655, P655, $J$2,IF(R655&lt;&gt;"",VALUE(R655),0)),"")</f>
        <v/>
      </c>
      <c r="K655" s="166" t="str">
        <f>IF(ISNUMBER(namespace_raw[[#This Row],[Column12]]), namespace_raw[[#This Row],[Column12]],"")</f>
        <v/>
      </c>
      <c r="L655" s="167" t="str">
        <f>IF(ISNUMBER(namespace_raw[[#This Row],[Column13]]), namespace_raw[[#This Row],[Column13]]/1048576,"")</f>
        <v/>
      </c>
      <c r="M655" s="168" t="str">
        <f>IF(ISNUMBER(namespace_raw[[#This Row],[Column10]]), (namespace_raw[[#This Row],[Column10]]*(1+$M$2)),"")</f>
        <v/>
      </c>
      <c r="N655" s="167" t="str">
        <f>IF(ISNUMBER(namespace_raw[[#This Row],[Column11]]), (namespace_raw[[#This Row],[Column11]]*(1+$N$2))/1048576,"")</f>
        <v/>
      </c>
      <c r="O655" s="169" t="str">
        <f>IF(ISNUMBER(namespace_raw[[#This Row],[Column8]]), (E655  * $O$2),"")</f>
        <v/>
      </c>
      <c r="P655" s="170" t="str">
        <f>IF(ISNUMBER(namespace_raw[[#This Row],[Column8]]), (F655  * $P$2),"")</f>
        <v/>
      </c>
    </row>
    <row r="656" spans="1:16" ht="15" customHeight="1" x14ac:dyDescent="0.25">
      <c r="A656" s="32" t="str">
        <f>IF(ISNONTEXT(namespace_raw[[#This Row],[Column1]]), "", namespace_raw[[#This Row],[Column1]])</f>
        <v/>
      </c>
      <c r="B656" s="33" t="str">
        <f>IF(ISNONTEXT(namespace_raw[[#This Row],[Column2]]), "", namespace_raw[[#This Row],[Column2]])</f>
        <v/>
      </c>
      <c r="C656" s="94" t="str">
        <f>IF(ISNUMBER(namespace_raw[[#This Row],[Column4]]), namespace_raw[[#This Row],[Column4]], "")</f>
        <v/>
      </c>
      <c r="D656" s="95" t="str">
        <f>IF(ISNUMBER(namespace_raw[[#This Row],[Column5]]), namespace_raw[[#This Row],[Column5]]/1048576, "")</f>
        <v/>
      </c>
      <c r="E656" s="95" t="str">
        <f>IF(ISNUMBER(namespace_raw[[#This Row],[Column6]]), namespace_raw[[#This Row],[Column6]],"")</f>
        <v/>
      </c>
      <c r="F656" s="96" t="str">
        <f>IF(ISNUMBER(namespace_raw[[#This Row],[Column7]]), namespace_raw[[#This Row],[Column7]]/1048576,"")</f>
        <v/>
      </c>
      <c r="G656" s="122" t="str">
        <f>IF(ISNUMBER(namespace_raw[[#This Row],[Column8]]), namespace_raw[[#This Row],[Column8]],"")</f>
        <v/>
      </c>
      <c r="H656" s="123" t="str">
        <f>IF(ISNUMBER(namespace_raw[[#This Row],[Column9]]), namespace_raw[[#This Row],[Column9]]/1048576,"")</f>
        <v/>
      </c>
      <c r="I656" s="124" t="str">
        <f>IF(ISNUMBER(namespace_raw[[#This Row],[Column8]]),MAX(G656, M656, O656, $I$2,IF(Q656&lt;&gt;"",VALUE(Q656),0)), "")</f>
        <v/>
      </c>
      <c r="J656" s="125" t="str">
        <f>IF(ISNUMBER(namespace_raw[[#This Row],[Column9]]),MAX(H656, N656, P656, $J$2,IF(R656&lt;&gt;"",VALUE(R656),0)),"")</f>
        <v/>
      </c>
      <c r="K656" s="166" t="str">
        <f>IF(ISNUMBER(namespace_raw[[#This Row],[Column12]]), namespace_raw[[#This Row],[Column12]],"")</f>
        <v/>
      </c>
      <c r="L656" s="167" t="str">
        <f>IF(ISNUMBER(namespace_raw[[#This Row],[Column13]]), namespace_raw[[#This Row],[Column13]]/1048576,"")</f>
        <v/>
      </c>
      <c r="M656" s="168" t="str">
        <f>IF(ISNUMBER(namespace_raw[[#This Row],[Column10]]), (namespace_raw[[#This Row],[Column10]]*(1+$M$2)),"")</f>
        <v/>
      </c>
      <c r="N656" s="167" t="str">
        <f>IF(ISNUMBER(namespace_raw[[#This Row],[Column11]]), (namespace_raw[[#This Row],[Column11]]*(1+$N$2))/1048576,"")</f>
        <v/>
      </c>
      <c r="O656" s="169" t="str">
        <f>IF(ISNUMBER(namespace_raw[[#This Row],[Column8]]), (E656  * $O$2),"")</f>
        <v/>
      </c>
      <c r="P656" s="170" t="str">
        <f>IF(ISNUMBER(namespace_raw[[#This Row],[Column8]]), (F656  * $P$2),"")</f>
        <v/>
      </c>
    </row>
    <row r="657" spans="1:16" ht="15" customHeight="1" x14ac:dyDescent="0.25">
      <c r="A657" s="32" t="str">
        <f>IF(ISNONTEXT(namespace_raw[[#This Row],[Column1]]), "", namespace_raw[[#This Row],[Column1]])</f>
        <v/>
      </c>
      <c r="B657" s="33" t="str">
        <f>IF(ISNONTEXT(namespace_raw[[#This Row],[Column2]]), "", namespace_raw[[#This Row],[Column2]])</f>
        <v/>
      </c>
      <c r="C657" s="94" t="str">
        <f>IF(ISNUMBER(namespace_raw[[#This Row],[Column4]]), namespace_raw[[#This Row],[Column4]], "")</f>
        <v/>
      </c>
      <c r="D657" s="95" t="str">
        <f>IF(ISNUMBER(namespace_raw[[#This Row],[Column5]]), namespace_raw[[#This Row],[Column5]]/1048576, "")</f>
        <v/>
      </c>
      <c r="E657" s="95" t="str">
        <f>IF(ISNUMBER(namespace_raw[[#This Row],[Column6]]), namespace_raw[[#This Row],[Column6]],"")</f>
        <v/>
      </c>
      <c r="F657" s="96" t="str">
        <f>IF(ISNUMBER(namespace_raw[[#This Row],[Column7]]), namespace_raw[[#This Row],[Column7]]/1048576,"")</f>
        <v/>
      </c>
      <c r="G657" s="122" t="str">
        <f>IF(ISNUMBER(namespace_raw[[#This Row],[Column8]]), namespace_raw[[#This Row],[Column8]],"")</f>
        <v/>
      </c>
      <c r="H657" s="123" t="str">
        <f>IF(ISNUMBER(namespace_raw[[#This Row],[Column9]]), namespace_raw[[#This Row],[Column9]]/1048576,"")</f>
        <v/>
      </c>
      <c r="I657" s="124" t="str">
        <f>IF(ISNUMBER(namespace_raw[[#This Row],[Column8]]),MAX(G657, M657, O657, $I$2,IF(Q657&lt;&gt;"",VALUE(Q657),0)), "")</f>
        <v/>
      </c>
      <c r="J657" s="125" t="str">
        <f>IF(ISNUMBER(namespace_raw[[#This Row],[Column9]]),MAX(H657, N657, P657, $J$2,IF(R657&lt;&gt;"",VALUE(R657),0)),"")</f>
        <v/>
      </c>
      <c r="K657" s="166" t="str">
        <f>IF(ISNUMBER(namespace_raw[[#This Row],[Column12]]), namespace_raw[[#This Row],[Column12]],"")</f>
        <v/>
      </c>
      <c r="L657" s="167" t="str">
        <f>IF(ISNUMBER(namespace_raw[[#This Row],[Column13]]), namespace_raw[[#This Row],[Column13]]/1048576,"")</f>
        <v/>
      </c>
      <c r="M657" s="168" t="str">
        <f>IF(ISNUMBER(namespace_raw[[#This Row],[Column10]]), (namespace_raw[[#This Row],[Column10]]*(1+$M$2)),"")</f>
        <v/>
      </c>
      <c r="N657" s="167" t="str">
        <f>IF(ISNUMBER(namespace_raw[[#This Row],[Column11]]), (namespace_raw[[#This Row],[Column11]]*(1+$N$2))/1048576,"")</f>
        <v/>
      </c>
      <c r="O657" s="169" t="str">
        <f>IF(ISNUMBER(namespace_raw[[#This Row],[Column8]]), (E657  * $O$2),"")</f>
        <v/>
      </c>
      <c r="P657" s="170" t="str">
        <f>IF(ISNUMBER(namespace_raw[[#This Row],[Column8]]), (F657  * $P$2),"")</f>
        <v/>
      </c>
    </row>
    <row r="658" spans="1:16" ht="15" customHeight="1" x14ac:dyDescent="0.25">
      <c r="A658" s="32" t="str">
        <f>IF(ISNONTEXT(namespace_raw[[#This Row],[Column1]]), "", namespace_raw[[#This Row],[Column1]])</f>
        <v/>
      </c>
      <c r="B658" s="33" t="str">
        <f>IF(ISNONTEXT(namespace_raw[[#This Row],[Column2]]), "", namespace_raw[[#This Row],[Column2]])</f>
        <v/>
      </c>
      <c r="C658" s="94" t="str">
        <f>IF(ISNUMBER(namespace_raw[[#This Row],[Column4]]), namespace_raw[[#This Row],[Column4]], "")</f>
        <v/>
      </c>
      <c r="D658" s="95" t="str">
        <f>IF(ISNUMBER(namespace_raw[[#This Row],[Column5]]), namespace_raw[[#This Row],[Column5]]/1048576, "")</f>
        <v/>
      </c>
      <c r="E658" s="95" t="str">
        <f>IF(ISNUMBER(namespace_raw[[#This Row],[Column6]]), namespace_raw[[#This Row],[Column6]],"")</f>
        <v/>
      </c>
      <c r="F658" s="96" t="str">
        <f>IF(ISNUMBER(namespace_raw[[#This Row],[Column7]]), namespace_raw[[#This Row],[Column7]]/1048576,"")</f>
        <v/>
      </c>
      <c r="G658" s="122" t="str">
        <f>IF(ISNUMBER(namespace_raw[[#This Row],[Column8]]), namespace_raw[[#This Row],[Column8]],"")</f>
        <v/>
      </c>
      <c r="H658" s="123" t="str">
        <f>IF(ISNUMBER(namespace_raw[[#This Row],[Column9]]), namespace_raw[[#This Row],[Column9]]/1048576,"")</f>
        <v/>
      </c>
      <c r="I658" s="124" t="str">
        <f>IF(ISNUMBER(namespace_raw[[#This Row],[Column8]]),MAX(G658, M658, O658, $I$2,IF(Q658&lt;&gt;"",VALUE(Q658),0)), "")</f>
        <v/>
      </c>
      <c r="J658" s="125" t="str">
        <f>IF(ISNUMBER(namespace_raw[[#This Row],[Column9]]),MAX(H658, N658, P658, $J$2,IF(R658&lt;&gt;"",VALUE(R658),0)),"")</f>
        <v/>
      </c>
      <c r="K658" s="166" t="str">
        <f>IF(ISNUMBER(namespace_raw[[#This Row],[Column12]]), namespace_raw[[#This Row],[Column12]],"")</f>
        <v/>
      </c>
      <c r="L658" s="167" t="str">
        <f>IF(ISNUMBER(namespace_raw[[#This Row],[Column13]]), namespace_raw[[#This Row],[Column13]]/1048576,"")</f>
        <v/>
      </c>
      <c r="M658" s="168" t="str">
        <f>IF(ISNUMBER(namespace_raw[[#This Row],[Column10]]), (namespace_raw[[#This Row],[Column10]]*(1+$M$2)),"")</f>
        <v/>
      </c>
      <c r="N658" s="167" t="str">
        <f>IF(ISNUMBER(namespace_raw[[#This Row],[Column11]]), (namespace_raw[[#This Row],[Column11]]*(1+$N$2))/1048576,"")</f>
        <v/>
      </c>
      <c r="O658" s="169" t="str">
        <f>IF(ISNUMBER(namespace_raw[[#This Row],[Column8]]), (E658  * $O$2),"")</f>
        <v/>
      </c>
      <c r="P658" s="170" t="str">
        <f>IF(ISNUMBER(namespace_raw[[#This Row],[Column8]]), (F658  * $P$2),"")</f>
        <v/>
      </c>
    </row>
    <row r="659" spans="1:16" ht="15" customHeight="1" x14ac:dyDescent="0.25">
      <c r="A659" s="32" t="str">
        <f>IF(ISNONTEXT(namespace_raw[[#This Row],[Column1]]), "", namespace_raw[[#This Row],[Column1]])</f>
        <v/>
      </c>
      <c r="B659" s="33" t="str">
        <f>IF(ISNONTEXT(namespace_raw[[#This Row],[Column2]]), "", namespace_raw[[#This Row],[Column2]])</f>
        <v/>
      </c>
      <c r="C659" s="94" t="str">
        <f>IF(ISNUMBER(namespace_raw[[#This Row],[Column4]]), namespace_raw[[#This Row],[Column4]], "")</f>
        <v/>
      </c>
      <c r="D659" s="95" t="str">
        <f>IF(ISNUMBER(namespace_raw[[#This Row],[Column5]]), namespace_raw[[#This Row],[Column5]]/1048576, "")</f>
        <v/>
      </c>
      <c r="E659" s="95" t="str">
        <f>IF(ISNUMBER(namespace_raw[[#This Row],[Column6]]), namespace_raw[[#This Row],[Column6]],"")</f>
        <v/>
      </c>
      <c r="F659" s="96" t="str">
        <f>IF(ISNUMBER(namespace_raw[[#This Row],[Column7]]), namespace_raw[[#This Row],[Column7]]/1048576,"")</f>
        <v/>
      </c>
      <c r="G659" s="122" t="str">
        <f>IF(ISNUMBER(namespace_raw[[#This Row],[Column8]]), namespace_raw[[#This Row],[Column8]],"")</f>
        <v/>
      </c>
      <c r="H659" s="123" t="str">
        <f>IF(ISNUMBER(namespace_raw[[#This Row],[Column9]]), namespace_raw[[#This Row],[Column9]]/1048576,"")</f>
        <v/>
      </c>
      <c r="I659" s="124" t="str">
        <f>IF(ISNUMBER(namespace_raw[[#This Row],[Column8]]),MAX(G659, M659, O659, $I$2,IF(Q659&lt;&gt;"",VALUE(Q659),0)), "")</f>
        <v/>
      </c>
      <c r="J659" s="125" t="str">
        <f>IF(ISNUMBER(namespace_raw[[#This Row],[Column9]]),MAX(H659, N659, P659, $J$2,IF(R659&lt;&gt;"",VALUE(R659),0)),"")</f>
        <v/>
      </c>
      <c r="K659" s="166" t="str">
        <f>IF(ISNUMBER(namespace_raw[[#This Row],[Column12]]), namespace_raw[[#This Row],[Column12]],"")</f>
        <v/>
      </c>
      <c r="L659" s="167" t="str">
        <f>IF(ISNUMBER(namespace_raw[[#This Row],[Column13]]), namespace_raw[[#This Row],[Column13]]/1048576,"")</f>
        <v/>
      </c>
      <c r="M659" s="168" t="str">
        <f>IF(ISNUMBER(namespace_raw[[#This Row],[Column10]]), (namespace_raw[[#This Row],[Column10]]*(1+$M$2)),"")</f>
        <v/>
      </c>
      <c r="N659" s="167" t="str">
        <f>IF(ISNUMBER(namespace_raw[[#This Row],[Column11]]), (namespace_raw[[#This Row],[Column11]]*(1+$N$2))/1048576,"")</f>
        <v/>
      </c>
      <c r="O659" s="169" t="str">
        <f>IF(ISNUMBER(namespace_raw[[#This Row],[Column8]]), (E659  * $O$2),"")</f>
        <v/>
      </c>
      <c r="P659" s="170" t="str">
        <f>IF(ISNUMBER(namespace_raw[[#This Row],[Column8]]), (F659  * $P$2),"")</f>
        <v/>
      </c>
    </row>
    <row r="660" spans="1:16" ht="15" customHeight="1" x14ac:dyDescent="0.25">
      <c r="A660" s="32" t="str">
        <f>IF(ISNONTEXT(namespace_raw[[#This Row],[Column1]]), "", namespace_raw[[#This Row],[Column1]])</f>
        <v/>
      </c>
      <c r="B660" s="33" t="str">
        <f>IF(ISNONTEXT(namespace_raw[[#This Row],[Column2]]), "", namespace_raw[[#This Row],[Column2]])</f>
        <v/>
      </c>
      <c r="C660" s="94" t="str">
        <f>IF(ISNUMBER(namespace_raw[[#This Row],[Column4]]), namespace_raw[[#This Row],[Column4]], "")</f>
        <v/>
      </c>
      <c r="D660" s="95" t="str">
        <f>IF(ISNUMBER(namespace_raw[[#This Row],[Column5]]), namespace_raw[[#This Row],[Column5]]/1048576, "")</f>
        <v/>
      </c>
      <c r="E660" s="95" t="str">
        <f>IF(ISNUMBER(namespace_raw[[#This Row],[Column6]]), namespace_raw[[#This Row],[Column6]],"")</f>
        <v/>
      </c>
      <c r="F660" s="96" t="str">
        <f>IF(ISNUMBER(namespace_raw[[#This Row],[Column7]]), namespace_raw[[#This Row],[Column7]]/1048576,"")</f>
        <v/>
      </c>
      <c r="G660" s="122" t="str">
        <f>IF(ISNUMBER(namespace_raw[[#This Row],[Column8]]), namespace_raw[[#This Row],[Column8]],"")</f>
        <v/>
      </c>
      <c r="H660" s="123" t="str">
        <f>IF(ISNUMBER(namespace_raw[[#This Row],[Column9]]), namespace_raw[[#This Row],[Column9]]/1048576,"")</f>
        <v/>
      </c>
      <c r="I660" s="124" t="str">
        <f>IF(ISNUMBER(namespace_raw[[#This Row],[Column8]]),MAX(G660, M660, O660, $I$2,IF(Q660&lt;&gt;"",VALUE(Q660),0)), "")</f>
        <v/>
      </c>
      <c r="J660" s="125" t="str">
        <f>IF(ISNUMBER(namespace_raw[[#This Row],[Column9]]),MAX(H660, N660, P660, $J$2,IF(R660&lt;&gt;"",VALUE(R660),0)),"")</f>
        <v/>
      </c>
      <c r="K660" s="166" t="str">
        <f>IF(ISNUMBER(namespace_raw[[#This Row],[Column12]]), namespace_raw[[#This Row],[Column12]],"")</f>
        <v/>
      </c>
      <c r="L660" s="167" t="str">
        <f>IF(ISNUMBER(namespace_raw[[#This Row],[Column13]]), namespace_raw[[#This Row],[Column13]]/1048576,"")</f>
        <v/>
      </c>
      <c r="M660" s="168" t="str">
        <f>IF(ISNUMBER(namespace_raw[[#This Row],[Column10]]), (namespace_raw[[#This Row],[Column10]]*(1+$M$2)),"")</f>
        <v/>
      </c>
      <c r="N660" s="167" t="str">
        <f>IF(ISNUMBER(namespace_raw[[#This Row],[Column11]]), (namespace_raw[[#This Row],[Column11]]*(1+$N$2))/1048576,"")</f>
        <v/>
      </c>
      <c r="O660" s="169" t="str">
        <f>IF(ISNUMBER(namespace_raw[[#This Row],[Column8]]), (E660  * $O$2),"")</f>
        <v/>
      </c>
      <c r="P660" s="170" t="str">
        <f>IF(ISNUMBER(namespace_raw[[#This Row],[Column8]]), (F660  * $P$2),"")</f>
        <v/>
      </c>
    </row>
    <row r="661" spans="1:16" ht="15" customHeight="1" x14ac:dyDescent="0.25">
      <c r="A661" s="32" t="str">
        <f>IF(ISNONTEXT(namespace_raw[[#This Row],[Column1]]), "", namespace_raw[[#This Row],[Column1]])</f>
        <v/>
      </c>
      <c r="B661" s="33" t="str">
        <f>IF(ISNONTEXT(namespace_raw[[#This Row],[Column2]]), "", namespace_raw[[#This Row],[Column2]])</f>
        <v/>
      </c>
      <c r="C661" s="94" t="str">
        <f>IF(ISNUMBER(namespace_raw[[#This Row],[Column4]]), namespace_raw[[#This Row],[Column4]], "")</f>
        <v/>
      </c>
      <c r="D661" s="95" t="str">
        <f>IF(ISNUMBER(namespace_raw[[#This Row],[Column5]]), namespace_raw[[#This Row],[Column5]]/1048576, "")</f>
        <v/>
      </c>
      <c r="E661" s="95" t="str">
        <f>IF(ISNUMBER(namespace_raw[[#This Row],[Column6]]), namespace_raw[[#This Row],[Column6]],"")</f>
        <v/>
      </c>
      <c r="F661" s="96" t="str">
        <f>IF(ISNUMBER(namespace_raw[[#This Row],[Column7]]), namespace_raw[[#This Row],[Column7]]/1048576,"")</f>
        <v/>
      </c>
      <c r="G661" s="122" t="str">
        <f>IF(ISNUMBER(namespace_raw[[#This Row],[Column8]]), namespace_raw[[#This Row],[Column8]],"")</f>
        <v/>
      </c>
      <c r="H661" s="123" t="str">
        <f>IF(ISNUMBER(namespace_raw[[#This Row],[Column9]]), namespace_raw[[#This Row],[Column9]]/1048576,"")</f>
        <v/>
      </c>
      <c r="I661" s="124" t="str">
        <f>IF(ISNUMBER(namespace_raw[[#This Row],[Column8]]),MAX(G661, M661, O661, $I$2,IF(Q661&lt;&gt;"",VALUE(Q661),0)), "")</f>
        <v/>
      </c>
      <c r="J661" s="125" t="str">
        <f>IF(ISNUMBER(namespace_raw[[#This Row],[Column9]]),MAX(H661, N661, P661, $J$2,IF(R661&lt;&gt;"",VALUE(R661),0)),"")</f>
        <v/>
      </c>
      <c r="K661" s="166" t="str">
        <f>IF(ISNUMBER(namespace_raw[[#This Row],[Column12]]), namespace_raw[[#This Row],[Column12]],"")</f>
        <v/>
      </c>
      <c r="L661" s="167" t="str">
        <f>IF(ISNUMBER(namespace_raw[[#This Row],[Column13]]), namespace_raw[[#This Row],[Column13]]/1048576,"")</f>
        <v/>
      </c>
      <c r="M661" s="168" t="str">
        <f>IF(ISNUMBER(namespace_raw[[#This Row],[Column10]]), (namespace_raw[[#This Row],[Column10]]*(1+$M$2)),"")</f>
        <v/>
      </c>
      <c r="N661" s="167" t="str">
        <f>IF(ISNUMBER(namespace_raw[[#This Row],[Column11]]), (namespace_raw[[#This Row],[Column11]]*(1+$N$2))/1048576,"")</f>
        <v/>
      </c>
      <c r="O661" s="169" t="str">
        <f>IF(ISNUMBER(namespace_raw[[#This Row],[Column8]]), (E661  * $O$2),"")</f>
        <v/>
      </c>
      <c r="P661" s="170" t="str">
        <f>IF(ISNUMBER(namespace_raw[[#This Row],[Column8]]), (F661  * $P$2),"")</f>
        <v/>
      </c>
    </row>
    <row r="662" spans="1:16" ht="15" customHeight="1" x14ac:dyDescent="0.25">
      <c r="A662" s="32" t="str">
        <f>IF(ISNONTEXT(namespace_raw[[#This Row],[Column1]]), "", namespace_raw[[#This Row],[Column1]])</f>
        <v/>
      </c>
      <c r="B662" s="33" t="str">
        <f>IF(ISNONTEXT(namespace_raw[[#This Row],[Column2]]), "", namespace_raw[[#This Row],[Column2]])</f>
        <v/>
      </c>
      <c r="C662" s="94" t="str">
        <f>IF(ISNUMBER(namespace_raw[[#This Row],[Column4]]), namespace_raw[[#This Row],[Column4]], "")</f>
        <v/>
      </c>
      <c r="D662" s="95" t="str">
        <f>IF(ISNUMBER(namespace_raw[[#This Row],[Column5]]), namespace_raw[[#This Row],[Column5]]/1048576, "")</f>
        <v/>
      </c>
      <c r="E662" s="95" t="str">
        <f>IF(ISNUMBER(namespace_raw[[#This Row],[Column6]]), namespace_raw[[#This Row],[Column6]],"")</f>
        <v/>
      </c>
      <c r="F662" s="96" t="str">
        <f>IF(ISNUMBER(namespace_raw[[#This Row],[Column7]]), namespace_raw[[#This Row],[Column7]]/1048576,"")</f>
        <v/>
      </c>
      <c r="G662" s="122" t="str">
        <f>IF(ISNUMBER(namespace_raw[[#This Row],[Column8]]), namespace_raw[[#This Row],[Column8]],"")</f>
        <v/>
      </c>
      <c r="H662" s="123" t="str">
        <f>IF(ISNUMBER(namespace_raw[[#This Row],[Column9]]), namespace_raw[[#This Row],[Column9]]/1048576,"")</f>
        <v/>
      </c>
      <c r="I662" s="124" t="str">
        <f>IF(ISNUMBER(namespace_raw[[#This Row],[Column8]]),MAX(G662, M662, O662, $I$2,IF(Q662&lt;&gt;"",VALUE(Q662),0)), "")</f>
        <v/>
      </c>
      <c r="J662" s="125" t="str">
        <f>IF(ISNUMBER(namespace_raw[[#This Row],[Column9]]),MAX(H662, N662, P662, $J$2,IF(R662&lt;&gt;"",VALUE(R662),0)),"")</f>
        <v/>
      </c>
      <c r="K662" s="166" t="str">
        <f>IF(ISNUMBER(namespace_raw[[#This Row],[Column12]]), namespace_raw[[#This Row],[Column12]],"")</f>
        <v/>
      </c>
      <c r="L662" s="167" t="str">
        <f>IF(ISNUMBER(namespace_raw[[#This Row],[Column13]]), namespace_raw[[#This Row],[Column13]]/1048576,"")</f>
        <v/>
      </c>
      <c r="M662" s="168" t="str">
        <f>IF(ISNUMBER(namespace_raw[[#This Row],[Column10]]), (namespace_raw[[#This Row],[Column10]]*(1+$M$2)),"")</f>
        <v/>
      </c>
      <c r="N662" s="167" t="str">
        <f>IF(ISNUMBER(namespace_raw[[#This Row],[Column11]]), (namespace_raw[[#This Row],[Column11]]*(1+$N$2))/1048576,"")</f>
        <v/>
      </c>
      <c r="O662" s="169" t="str">
        <f>IF(ISNUMBER(namespace_raw[[#This Row],[Column8]]), (E662  * $O$2),"")</f>
        <v/>
      </c>
      <c r="P662" s="170" t="str">
        <f>IF(ISNUMBER(namespace_raw[[#This Row],[Column8]]), (F662  * $P$2),"")</f>
        <v/>
      </c>
    </row>
    <row r="663" spans="1:16" ht="15" customHeight="1" x14ac:dyDescent="0.25">
      <c r="A663" s="32" t="str">
        <f>IF(ISNONTEXT(namespace_raw[[#This Row],[Column1]]), "", namespace_raw[[#This Row],[Column1]])</f>
        <v/>
      </c>
      <c r="B663" s="33" t="str">
        <f>IF(ISNONTEXT(namespace_raw[[#This Row],[Column2]]), "", namespace_raw[[#This Row],[Column2]])</f>
        <v/>
      </c>
      <c r="C663" s="94" t="str">
        <f>IF(ISNUMBER(namespace_raw[[#This Row],[Column4]]), namespace_raw[[#This Row],[Column4]], "")</f>
        <v/>
      </c>
      <c r="D663" s="95" t="str">
        <f>IF(ISNUMBER(namespace_raw[[#This Row],[Column5]]), namespace_raw[[#This Row],[Column5]]/1048576, "")</f>
        <v/>
      </c>
      <c r="E663" s="95" t="str">
        <f>IF(ISNUMBER(namespace_raw[[#This Row],[Column6]]), namespace_raw[[#This Row],[Column6]],"")</f>
        <v/>
      </c>
      <c r="F663" s="96" t="str">
        <f>IF(ISNUMBER(namespace_raw[[#This Row],[Column7]]), namespace_raw[[#This Row],[Column7]]/1048576,"")</f>
        <v/>
      </c>
      <c r="G663" s="122" t="str">
        <f>IF(ISNUMBER(namespace_raw[[#This Row],[Column8]]), namespace_raw[[#This Row],[Column8]],"")</f>
        <v/>
      </c>
      <c r="H663" s="123" t="str">
        <f>IF(ISNUMBER(namespace_raw[[#This Row],[Column9]]), namespace_raw[[#This Row],[Column9]]/1048576,"")</f>
        <v/>
      </c>
      <c r="I663" s="124" t="str">
        <f>IF(ISNUMBER(namespace_raw[[#This Row],[Column8]]),MAX(G663, M663, O663, $I$2,IF(Q663&lt;&gt;"",VALUE(Q663),0)), "")</f>
        <v/>
      </c>
      <c r="J663" s="125" t="str">
        <f>IF(ISNUMBER(namespace_raw[[#This Row],[Column9]]),MAX(H663, N663, P663, $J$2,IF(R663&lt;&gt;"",VALUE(R663),0)),"")</f>
        <v/>
      </c>
      <c r="K663" s="166" t="str">
        <f>IF(ISNUMBER(namespace_raw[[#This Row],[Column12]]), namespace_raw[[#This Row],[Column12]],"")</f>
        <v/>
      </c>
      <c r="L663" s="167" t="str">
        <f>IF(ISNUMBER(namespace_raw[[#This Row],[Column13]]), namespace_raw[[#This Row],[Column13]]/1048576,"")</f>
        <v/>
      </c>
      <c r="M663" s="168" t="str">
        <f>IF(ISNUMBER(namespace_raw[[#This Row],[Column10]]), (namespace_raw[[#This Row],[Column10]]*(1+$M$2)),"")</f>
        <v/>
      </c>
      <c r="N663" s="167" t="str">
        <f>IF(ISNUMBER(namespace_raw[[#This Row],[Column11]]), (namespace_raw[[#This Row],[Column11]]*(1+$N$2))/1048576,"")</f>
        <v/>
      </c>
      <c r="O663" s="169" t="str">
        <f>IF(ISNUMBER(namespace_raw[[#This Row],[Column8]]), (E663  * $O$2),"")</f>
        <v/>
      </c>
      <c r="P663" s="170" t="str">
        <f>IF(ISNUMBER(namespace_raw[[#This Row],[Column8]]), (F663  * $P$2),"")</f>
        <v/>
      </c>
    </row>
    <row r="664" spans="1:16" ht="15" customHeight="1" x14ac:dyDescent="0.25">
      <c r="A664" s="32" t="str">
        <f>IF(ISNONTEXT(namespace_raw[[#This Row],[Column1]]), "", namespace_raw[[#This Row],[Column1]])</f>
        <v/>
      </c>
      <c r="B664" s="33" t="str">
        <f>IF(ISNONTEXT(namespace_raw[[#This Row],[Column2]]), "", namespace_raw[[#This Row],[Column2]])</f>
        <v/>
      </c>
      <c r="C664" s="94" t="str">
        <f>IF(ISNUMBER(namespace_raw[[#This Row],[Column4]]), namespace_raw[[#This Row],[Column4]], "")</f>
        <v/>
      </c>
      <c r="D664" s="95" t="str">
        <f>IF(ISNUMBER(namespace_raw[[#This Row],[Column5]]), namespace_raw[[#This Row],[Column5]]/1048576, "")</f>
        <v/>
      </c>
      <c r="E664" s="95" t="str">
        <f>IF(ISNUMBER(namespace_raw[[#This Row],[Column6]]), namespace_raw[[#This Row],[Column6]],"")</f>
        <v/>
      </c>
      <c r="F664" s="96" t="str">
        <f>IF(ISNUMBER(namespace_raw[[#This Row],[Column7]]), namespace_raw[[#This Row],[Column7]]/1048576,"")</f>
        <v/>
      </c>
      <c r="G664" s="122" t="str">
        <f>IF(ISNUMBER(namespace_raw[[#This Row],[Column8]]), namespace_raw[[#This Row],[Column8]],"")</f>
        <v/>
      </c>
      <c r="H664" s="123" t="str">
        <f>IF(ISNUMBER(namespace_raw[[#This Row],[Column9]]), namespace_raw[[#This Row],[Column9]]/1048576,"")</f>
        <v/>
      </c>
      <c r="I664" s="124" t="str">
        <f>IF(ISNUMBER(namespace_raw[[#This Row],[Column8]]),MAX(G664, M664, O664, $I$2,IF(Q664&lt;&gt;"",VALUE(Q664),0)), "")</f>
        <v/>
      </c>
      <c r="J664" s="125" t="str">
        <f>IF(ISNUMBER(namespace_raw[[#This Row],[Column9]]),MAX(H664, N664, P664, $J$2,IF(R664&lt;&gt;"",VALUE(R664),0)),"")</f>
        <v/>
      </c>
      <c r="K664" s="166" t="str">
        <f>IF(ISNUMBER(namespace_raw[[#This Row],[Column12]]), namespace_raw[[#This Row],[Column12]],"")</f>
        <v/>
      </c>
      <c r="L664" s="167" t="str">
        <f>IF(ISNUMBER(namespace_raw[[#This Row],[Column13]]), namespace_raw[[#This Row],[Column13]]/1048576,"")</f>
        <v/>
      </c>
      <c r="M664" s="168" t="str">
        <f>IF(ISNUMBER(namespace_raw[[#This Row],[Column10]]), (namespace_raw[[#This Row],[Column10]]*(1+$M$2)),"")</f>
        <v/>
      </c>
      <c r="N664" s="167" t="str">
        <f>IF(ISNUMBER(namespace_raw[[#This Row],[Column11]]), (namespace_raw[[#This Row],[Column11]]*(1+$N$2))/1048576,"")</f>
        <v/>
      </c>
      <c r="O664" s="169" t="str">
        <f>IF(ISNUMBER(namespace_raw[[#This Row],[Column8]]), (E664  * $O$2),"")</f>
        <v/>
      </c>
      <c r="P664" s="170" t="str">
        <f>IF(ISNUMBER(namespace_raw[[#This Row],[Column8]]), (F664  * $P$2),"")</f>
        <v/>
      </c>
    </row>
    <row r="665" spans="1:16" ht="15" customHeight="1" x14ac:dyDescent="0.25">
      <c r="A665" s="32" t="str">
        <f>IF(ISNONTEXT(namespace_raw[[#This Row],[Column1]]), "", namespace_raw[[#This Row],[Column1]])</f>
        <v/>
      </c>
      <c r="B665" s="33" t="str">
        <f>IF(ISNONTEXT(namespace_raw[[#This Row],[Column2]]), "", namespace_raw[[#This Row],[Column2]])</f>
        <v/>
      </c>
      <c r="C665" s="94" t="str">
        <f>IF(ISNUMBER(namespace_raw[[#This Row],[Column4]]), namespace_raw[[#This Row],[Column4]], "")</f>
        <v/>
      </c>
      <c r="D665" s="95" t="str">
        <f>IF(ISNUMBER(namespace_raw[[#This Row],[Column5]]), namespace_raw[[#This Row],[Column5]]/1048576, "")</f>
        <v/>
      </c>
      <c r="E665" s="95" t="str">
        <f>IF(ISNUMBER(namespace_raw[[#This Row],[Column6]]), namespace_raw[[#This Row],[Column6]],"")</f>
        <v/>
      </c>
      <c r="F665" s="96" t="str">
        <f>IF(ISNUMBER(namespace_raw[[#This Row],[Column7]]), namespace_raw[[#This Row],[Column7]]/1048576,"")</f>
        <v/>
      </c>
      <c r="G665" s="122" t="str">
        <f>IF(ISNUMBER(namespace_raw[[#This Row],[Column8]]), namespace_raw[[#This Row],[Column8]],"")</f>
        <v/>
      </c>
      <c r="H665" s="123" t="str">
        <f>IF(ISNUMBER(namespace_raw[[#This Row],[Column9]]), namespace_raw[[#This Row],[Column9]]/1048576,"")</f>
        <v/>
      </c>
      <c r="I665" s="124" t="str">
        <f>IF(ISNUMBER(namespace_raw[[#This Row],[Column8]]),MAX(G665, M665, O665, $I$2,IF(Q665&lt;&gt;"",VALUE(Q665),0)), "")</f>
        <v/>
      </c>
      <c r="J665" s="125" t="str">
        <f>IF(ISNUMBER(namespace_raw[[#This Row],[Column9]]),MAX(H665, N665, P665, $J$2,IF(R665&lt;&gt;"",VALUE(R665),0)),"")</f>
        <v/>
      </c>
      <c r="K665" s="166" t="str">
        <f>IF(ISNUMBER(namespace_raw[[#This Row],[Column12]]), namespace_raw[[#This Row],[Column12]],"")</f>
        <v/>
      </c>
      <c r="L665" s="167" t="str">
        <f>IF(ISNUMBER(namespace_raw[[#This Row],[Column13]]), namespace_raw[[#This Row],[Column13]]/1048576,"")</f>
        <v/>
      </c>
      <c r="M665" s="168" t="str">
        <f>IF(ISNUMBER(namespace_raw[[#This Row],[Column10]]), (namespace_raw[[#This Row],[Column10]]*(1+$M$2)),"")</f>
        <v/>
      </c>
      <c r="N665" s="167" t="str">
        <f>IF(ISNUMBER(namespace_raw[[#This Row],[Column11]]), (namespace_raw[[#This Row],[Column11]]*(1+$N$2))/1048576,"")</f>
        <v/>
      </c>
      <c r="O665" s="169" t="str">
        <f>IF(ISNUMBER(namespace_raw[[#This Row],[Column8]]), (E665  * $O$2),"")</f>
        <v/>
      </c>
      <c r="P665" s="170" t="str">
        <f>IF(ISNUMBER(namespace_raw[[#This Row],[Column8]]), (F665  * $P$2),"")</f>
        <v/>
      </c>
    </row>
    <row r="666" spans="1:16" ht="15" customHeight="1" x14ac:dyDescent="0.25">
      <c r="A666" s="32" t="str">
        <f>IF(ISNONTEXT(namespace_raw[[#This Row],[Column1]]), "", namespace_raw[[#This Row],[Column1]])</f>
        <v/>
      </c>
      <c r="B666" s="33" t="str">
        <f>IF(ISNONTEXT(namespace_raw[[#This Row],[Column2]]), "", namespace_raw[[#This Row],[Column2]])</f>
        <v/>
      </c>
      <c r="C666" s="94" t="str">
        <f>IF(ISNUMBER(namespace_raw[[#This Row],[Column4]]), namespace_raw[[#This Row],[Column4]], "")</f>
        <v/>
      </c>
      <c r="D666" s="95" t="str">
        <f>IF(ISNUMBER(namespace_raw[[#This Row],[Column5]]), namespace_raw[[#This Row],[Column5]]/1048576, "")</f>
        <v/>
      </c>
      <c r="E666" s="95" t="str">
        <f>IF(ISNUMBER(namespace_raw[[#This Row],[Column6]]), namespace_raw[[#This Row],[Column6]],"")</f>
        <v/>
      </c>
      <c r="F666" s="96" t="str">
        <f>IF(ISNUMBER(namespace_raw[[#This Row],[Column7]]), namespace_raw[[#This Row],[Column7]]/1048576,"")</f>
        <v/>
      </c>
      <c r="G666" s="122" t="str">
        <f>IF(ISNUMBER(namespace_raw[[#This Row],[Column8]]), namespace_raw[[#This Row],[Column8]],"")</f>
        <v/>
      </c>
      <c r="H666" s="123" t="str">
        <f>IF(ISNUMBER(namespace_raw[[#This Row],[Column9]]), namespace_raw[[#This Row],[Column9]]/1048576,"")</f>
        <v/>
      </c>
      <c r="I666" s="124" t="str">
        <f>IF(ISNUMBER(namespace_raw[[#This Row],[Column8]]),MAX(G666, M666, O666, $I$2,IF(Q666&lt;&gt;"",VALUE(Q666),0)), "")</f>
        <v/>
      </c>
      <c r="J666" s="125" t="str">
        <f>IF(ISNUMBER(namespace_raw[[#This Row],[Column9]]),MAX(H666, N666, P666, $J$2,IF(R666&lt;&gt;"",VALUE(R666),0)),"")</f>
        <v/>
      </c>
      <c r="K666" s="166" t="str">
        <f>IF(ISNUMBER(namespace_raw[[#This Row],[Column12]]), namespace_raw[[#This Row],[Column12]],"")</f>
        <v/>
      </c>
      <c r="L666" s="167" t="str">
        <f>IF(ISNUMBER(namespace_raw[[#This Row],[Column13]]), namespace_raw[[#This Row],[Column13]]/1048576,"")</f>
        <v/>
      </c>
      <c r="M666" s="168" t="str">
        <f>IF(ISNUMBER(namespace_raw[[#This Row],[Column10]]), (namespace_raw[[#This Row],[Column10]]*(1+$M$2)),"")</f>
        <v/>
      </c>
      <c r="N666" s="167" t="str">
        <f>IF(ISNUMBER(namespace_raw[[#This Row],[Column11]]), (namespace_raw[[#This Row],[Column11]]*(1+$N$2))/1048576,"")</f>
        <v/>
      </c>
      <c r="O666" s="169" t="str">
        <f>IF(ISNUMBER(namespace_raw[[#This Row],[Column8]]), (E666  * $O$2),"")</f>
        <v/>
      </c>
      <c r="P666" s="170" t="str">
        <f>IF(ISNUMBER(namespace_raw[[#This Row],[Column8]]), (F666  * $P$2),"")</f>
        <v/>
      </c>
    </row>
    <row r="667" spans="1:16" ht="15" customHeight="1" x14ac:dyDescent="0.25">
      <c r="A667" s="32" t="str">
        <f>IF(ISNONTEXT(namespace_raw[[#This Row],[Column1]]), "", namespace_raw[[#This Row],[Column1]])</f>
        <v/>
      </c>
      <c r="B667" s="33" t="str">
        <f>IF(ISNONTEXT(namespace_raw[[#This Row],[Column2]]), "", namespace_raw[[#This Row],[Column2]])</f>
        <v/>
      </c>
      <c r="C667" s="94" t="str">
        <f>IF(ISNUMBER(namespace_raw[[#This Row],[Column4]]), namespace_raw[[#This Row],[Column4]], "")</f>
        <v/>
      </c>
      <c r="D667" s="95" t="str">
        <f>IF(ISNUMBER(namespace_raw[[#This Row],[Column5]]), namespace_raw[[#This Row],[Column5]]/1048576, "")</f>
        <v/>
      </c>
      <c r="E667" s="95" t="str">
        <f>IF(ISNUMBER(namespace_raw[[#This Row],[Column6]]), namespace_raw[[#This Row],[Column6]],"")</f>
        <v/>
      </c>
      <c r="F667" s="96" t="str">
        <f>IF(ISNUMBER(namespace_raw[[#This Row],[Column7]]), namespace_raw[[#This Row],[Column7]]/1048576,"")</f>
        <v/>
      </c>
      <c r="G667" s="122" t="str">
        <f>IF(ISNUMBER(namespace_raw[[#This Row],[Column8]]), namespace_raw[[#This Row],[Column8]],"")</f>
        <v/>
      </c>
      <c r="H667" s="123" t="str">
        <f>IF(ISNUMBER(namespace_raw[[#This Row],[Column9]]), namespace_raw[[#This Row],[Column9]]/1048576,"")</f>
        <v/>
      </c>
      <c r="I667" s="124" t="str">
        <f>IF(ISNUMBER(namespace_raw[[#This Row],[Column8]]),MAX(G667, M667, O667, $I$2,IF(Q667&lt;&gt;"",VALUE(Q667),0)), "")</f>
        <v/>
      </c>
      <c r="J667" s="125" t="str">
        <f>IF(ISNUMBER(namespace_raw[[#This Row],[Column9]]),MAX(H667, N667, P667, $J$2,IF(R667&lt;&gt;"",VALUE(R667),0)),"")</f>
        <v/>
      </c>
      <c r="K667" s="166" t="str">
        <f>IF(ISNUMBER(namespace_raw[[#This Row],[Column12]]), namespace_raw[[#This Row],[Column12]],"")</f>
        <v/>
      </c>
      <c r="L667" s="167" t="str">
        <f>IF(ISNUMBER(namespace_raw[[#This Row],[Column13]]), namespace_raw[[#This Row],[Column13]]/1048576,"")</f>
        <v/>
      </c>
      <c r="M667" s="168" t="str">
        <f>IF(ISNUMBER(namespace_raw[[#This Row],[Column10]]), (namespace_raw[[#This Row],[Column10]]*(1+$M$2)),"")</f>
        <v/>
      </c>
      <c r="N667" s="167" t="str">
        <f>IF(ISNUMBER(namespace_raw[[#This Row],[Column11]]), (namespace_raw[[#This Row],[Column11]]*(1+$N$2))/1048576,"")</f>
        <v/>
      </c>
      <c r="O667" s="169" t="str">
        <f>IF(ISNUMBER(namespace_raw[[#This Row],[Column8]]), (E667  * $O$2),"")</f>
        <v/>
      </c>
      <c r="P667" s="170" t="str">
        <f>IF(ISNUMBER(namespace_raw[[#This Row],[Column8]]), (F667  * $P$2),"")</f>
        <v/>
      </c>
    </row>
    <row r="668" spans="1:16" ht="15" customHeight="1" x14ac:dyDescent="0.25">
      <c r="A668" s="32" t="str">
        <f>IF(ISNONTEXT(namespace_raw[[#This Row],[Column1]]), "", namespace_raw[[#This Row],[Column1]])</f>
        <v/>
      </c>
      <c r="B668" s="33" t="str">
        <f>IF(ISNONTEXT(namespace_raw[[#This Row],[Column2]]), "", namespace_raw[[#This Row],[Column2]])</f>
        <v/>
      </c>
      <c r="C668" s="94" t="str">
        <f>IF(ISNUMBER(namespace_raw[[#This Row],[Column4]]), namespace_raw[[#This Row],[Column4]], "")</f>
        <v/>
      </c>
      <c r="D668" s="95" t="str">
        <f>IF(ISNUMBER(namespace_raw[[#This Row],[Column5]]), namespace_raw[[#This Row],[Column5]]/1048576, "")</f>
        <v/>
      </c>
      <c r="E668" s="95" t="str">
        <f>IF(ISNUMBER(namespace_raw[[#This Row],[Column6]]), namespace_raw[[#This Row],[Column6]],"")</f>
        <v/>
      </c>
      <c r="F668" s="96" t="str">
        <f>IF(ISNUMBER(namespace_raw[[#This Row],[Column7]]), namespace_raw[[#This Row],[Column7]]/1048576,"")</f>
        <v/>
      </c>
      <c r="G668" s="122" t="str">
        <f>IF(ISNUMBER(namespace_raw[[#This Row],[Column8]]), namespace_raw[[#This Row],[Column8]],"")</f>
        <v/>
      </c>
      <c r="H668" s="123" t="str">
        <f>IF(ISNUMBER(namespace_raw[[#This Row],[Column9]]), namespace_raw[[#This Row],[Column9]]/1048576,"")</f>
        <v/>
      </c>
      <c r="I668" s="124" t="str">
        <f>IF(ISNUMBER(namespace_raw[[#This Row],[Column8]]),MAX(G668, M668, O668, $I$2,IF(Q668&lt;&gt;"",VALUE(Q668),0)), "")</f>
        <v/>
      </c>
      <c r="J668" s="125" t="str">
        <f>IF(ISNUMBER(namespace_raw[[#This Row],[Column9]]),MAX(H668, N668, P668, $J$2,IF(R668&lt;&gt;"",VALUE(R668),0)),"")</f>
        <v/>
      </c>
      <c r="K668" s="166" t="str">
        <f>IF(ISNUMBER(namespace_raw[[#This Row],[Column12]]), namespace_raw[[#This Row],[Column12]],"")</f>
        <v/>
      </c>
      <c r="L668" s="167" t="str">
        <f>IF(ISNUMBER(namespace_raw[[#This Row],[Column13]]), namespace_raw[[#This Row],[Column13]]/1048576,"")</f>
        <v/>
      </c>
      <c r="M668" s="168" t="str">
        <f>IF(ISNUMBER(namespace_raw[[#This Row],[Column10]]), (namespace_raw[[#This Row],[Column10]]*(1+$M$2)),"")</f>
        <v/>
      </c>
      <c r="N668" s="167" t="str">
        <f>IF(ISNUMBER(namespace_raw[[#This Row],[Column11]]), (namespace_raw[[#This Row],[Column11]]*(1+$N$2))/1048576,"")</f>
        <v/>
      </c>
      <c r="O668" s="169" t="str">
        <f>IF(ISNUMBER(namespace_raw[[#This Row],[Column8]]), (E668  * $O$2),"")</f>
        <v/>
      </c>
      <c r="P668" s="170" t="str">
        <f>IF(ISNUMBER(namespace_raw[[#This Row],[Column8]]), (F668  * $P$2),"")</f>
        <v/>
      </c>
    </row>
    <row r="669" spans="1:16" ht="15" customHeight="1" x14ac:dyDescent="0.25">
      <c r="A669" s="32" t="str">
        <f>IF(ISNONTEXT(namespace_raw[[#This Row],[Column1]]), "", namespace_raw[[#This Row],[Column1]])</f>
        <v/>
      </c>
      <c r="B669" s="33" t="str">
        <f>IF(ISNONTEXT(namespace_raw[[#This Row],[Column2]]), "", namespace_raw[[#This Row],[Column2]])</f>
        <v/>
      </c>
      <c r="C669" s="94" t="str">
        <f>IF(ISNUMBER(namespace_raw[[#This Row],[Column4]]), namespace_raw[[#This Row],[Column4]], "")</f>
        <v/>
      </c>
      <c r="D669" s="95" t="str">
        <f>IF(ISNUMBER(namespace_raw[[#This Row],[Column5]]), namespace_raw[[#This Row],[Column5]]/1048576, "")</f>
        <v/>
      </c>
      <c r="E669" s="95" t="str">
        <f>IF(ISNUMBER(namespace_raw[[#This Row],[Column6]]), namespace_raw[[#This Row],[Column6]],"")</f>
        <v/>
      </c>
      <c r="F669" s="96" t="str">
        <f>IF(ISNUMBER(namespace_raw[[#This Row],[Column7]]), namespace_raw[[#This Row],[Column7]]/1048576,"")</f>
        <v/>
      </c>
      <c r="G669" s="122" t="str">
        <f>IF(ISNUMBER(namespace_raw[[#This Row],[Column8]]), namespace_raw[[#This Row],[Column8]],"")</f>
        <v/>
      </c>
      <c r="H669" s="123" t="str">
        <f>IF(ISNUMBER(namespace_raw[[#This Row],[Column9]]), namespace_raw[[#This Row],[Column9]]/1048576,"")</f>
        <v/>
      </c>
      <c r="I669" s="124" t="str">
        <f>IF(ISNUMBER(namespace_raw[[#This Row],[Column8]]),MAX(G669, M669, O669, $I$2,IF(Q669&lt;&gt;"",VALUE(Q669),0)), "")</f>
        <v/>
      </c>
      <c r="J669" s="125" t="str">
        <f>IF(ISNUMBER(namespace_raw[[#This Row],[Column9]]),MAX(H669, N669, P669, $J$2,IF(R669&lt;&gt;"",VALUE(R669),0)),"")</f>
        <v/>
      </c>
      <c r="K669" s="166" t="str">
        <f>IF(ISNUMBER(namespace_raw[[#This Row],[Column12]]), namespace_raw[[#This Row],[Column12]],"")</f>
        <v/>
      </c>
      <c r="L669" s="167" t="str">
        <f>IF(ISNUMBER(namespace_raw[[#This Row],[Column13]]), namespace_raw[[#This Row],[Column13]]/1048576,"")</f>
        <v/>
      </c>
      <c r="M669" s="168" t="str">
        <f>IF(ISNUMBER(namespace_raw[[#This Row],[Column10]]), (namespace_raw[[#This Row],[Column10]]*(1+$M$2)),"")</f>
        <v/>
      </c>
      <c r="N669" s="167" t="str">
        <f>IF(ISNUMBER(namespace_raw[[#This Row],[Column11]]), (namespace_raw[[#This Row],[Column11]]*(1+$N$2))/1048576,"")</f>
        <v/>
      </c>
      <c r="O669" s="169" t="str">
        <f>IF(ISNUMBER(namespace_raw[[#This Row],[Column8]]), (E669  * $O$2),"")</f>
        <v/>
      </c>
      <c r="P669" s="170" t="str">
        <f>IF(ISNUMBER(namespace_raw[[#This Row],[Column8]]), (F669  * $P$2),"")</f>
        <v/>
      </c>
    </row>
    <row r="670" spans="1:16" ht="15" customHeight="1" x14ac:dyDescent="0.25">
      <c r="A670" s="32" t="str">
        <f>IF(ISNONTEXT(namespace_raw[[#This Row],[Column1]]), "", namespace_raw[[#This Row],[Column1]])</f>
        <v/>
      </c>
      <c r="B670" s="33" t="str">
        <f>IF(ISNONTEXT(namespace_raw[[#This Row],[Column2]]), "", namespace_raw[[#This Row],[Column2]])</f>
        <v/>
      </c>
      <c r="C670" s="94" t="str">
        <f>IF(ISNUMBER(namespace_raw[[#This Row],[Column4]]), namespace_raw[[#This Row],[Column4]], "")</f>
        <v/>
      </c>
      <c r="D670" s="95" t="str">
        <f>IF(ISNUMBER(namespace_raw[[#This Row],[Column5]]), namespace_raw[[#This Row],[Column5]]/1048576, "")</f>
        <v/>
      </c>
      <c r="E670" s="95" t="str">
        <f>IF(ISNUMBER(namespace_raw[[#This Row],[Column6]]), namespace_raw[[#This Row],[Column6]],"")</f>
        <v/>
      </c>
      <c r="F670" s="96" t="str">
        <f>IF(ISNUMBER(namespace_raw[[#This Row],[Column7]]), namespace_raw[[#This Row],[Column7]]/1048576,"")</f>
        <v/>
      </c>
      <c r="G670" s="122" t="str">
        <f>IF(ISNUMBER(namespace_raw[[#This Row],[Column8]]), namespace_raw[[#This Row],[Column8]],"")</f>
        <v/>
      </c>
      <c r="H670" s="123" t="str">
        <f>IF(ISNUMBER(namespace_raw[[#This Row],[Column9]]), namespace_raw[[#This Row],[Column9]]/1048576,"")</f>
        <v/>
      </c>
      <c r="I670" s="124" t="str">
        <f>IF(ISNUMBER(namespace_raw[[#This Row],[Column8]]),MAX(G670, M670, O670, $I$2,IF(Q670&lt;&gt;"",VALUE(Q670),0)), "")</f>
        <v/>
      </c>
      <c r="J670" s="125" t="str">
        <f>IF(ISNUMBER(namespace_raw[[#This Row],[Column9]]),MAX(H670, N670, P670, $J$2,IF(R670&lt;&gt;"",VALUE(R670),0)),"")</f>
        <v/>
      </c>
      <c r="K670" s="166" t="str">
        <f>IF(ISNUMBER(namespace_raw[[#This Row],[Column12]]), namespace_raw[[#This Row],[Column12]],"")</f>
        <v/>
      </c>
      <c r="L670" s="167" t="str">
        <f>IF(ISNUMBER(namespace_raw[[#This Row],[Column13]]), namespace_raw[[#This Row],[Column13]]/1048576,"")</f>
        <v/>
      </c>
      <c r="M670" s="168" t="str">
        <f>IF(ISNUMBER(namespace_raw[[#This Row],[Column10]]), (namespace_raw[[#This Row],[Column10]]*(1+$M$2)),"")</f>
        <v/>
      </c>
      <c r="N670" s="167" t="str">
        <f>IF(ISNUMBER(namespace_raw[[#This Row],[Column11]]), (namespace_raw[[#This Row],[Column11]]*(1+$N$2))/1048576,"")</f>
        <v/>
      </c>
      <c r="O670" s="169" t="str">
        <f>IF(ISNUMBER(namespace_raw[[#This Row],[Column8]]), (E670  * $O$2),"")</f>
        <v/>
      </c>
      <c r="P670" s="170" t="str">
        <f>IF(ISNUMBER(namespace_raw[[#This Row],[Column8]]), (F670  * $P$2),"")</f>
        <v/>
      </c>
    </row>
    <row r="671" spans="1:16" ht="15" customHeight="1" x14ac:dyDescent="0.25">
      <c r="A671" s="32" t="str">
        <f>IF(ISNONTEXT(namespace_raw[[#This Row],[Column1]]), "", namespace_raw[[#This Row],[Column1]])</f>
        <v/>
      </c>
      <c r="B671" s="33" t="str">
        <f>IF(ISNONTEXT(namespace_raw[[#This Row],[Column2]]), "", namespace_raw[[#This Row],[Column2]])</f>
        <v/>
      </c>
      <c r="C671" s="94" t="str">
        <f>IF(ISNUMBER(namespace_raw[[#This Row],[Column4]]), namespace_raw[[#This Row],[Column4]], "")</f>
        <v/>
      </c>
      <c r="D671" s="95" t="str">
        <f>IF(ISNUMBER(namespace_raw[[#This Row],[Column5]]), namespace_raw[[#This Row],[Column5]]/1048576, "")</f>
        <v/>
      </c>
      <c r="E671" s="95" t="str">
        <f>IF(ISNUMBER(namespace_raw[[#This Row],[Column6]]), namespace_raw[[#This Row],[Column6]],"")</f>
        <v/>
      </c>
      <c r="F671" s="96" t="str">
        <f>IF(ISNUMBER(namespace_raw[[#This Row],[Column7]]), namespace_raw[[#This Row],[Column7]]/1048576,"")</f>
        <v/>
      </c>
      <c r="G671" s="122" t="str">
        <f>IF(ISNUMBER(namespace_raw[[#This Row],[Column8]]), namespace_raw[[#This Row],[Column8]],"")</f>
        <v/>
      </c>
      <c r="H671" s="123" t="str">
        <f>IF(ISNUMBER(namespace_raw[[#This Row],[Column9]]), namespace_raw[[#This Row],[Column9]]/1048576,"")</f>
        <v/>
      </c>
      <c r="I671" s="124" t="str">
        <f>IF(ISNUMBER(namespace_raw[[#This Row],[Column8]]),MAX(G671, M671, O671, $I$2,IF(Q671&lt;&gt;"",VALUE(Q671),0)), "")</f>
        <v/>
      </c>
      <c r="J671" s="125" t="str">
        <f>IF(ISNUMBER(namespace_raw[[#This Row],[Column9]]),MAX(H671, N671, P671, $J$2,IF(R671&lt;&gt;"",VALUE(R671),0)),"")</f>
        <v/>
      </c>
      <c r="K671" s="166" t="str">
        <f>IF(ISNUMBER(namespace_raw[[#This Row],[Column12]]), namespace_raw[[#This Row],[Column12]],"")</f>
        <v/>
      </c>
      <c r="L671" s="167" t="str">
        <f>IF(ISNUMBER(namespace_raw[[#This Row],[Column13]]), namespace_raw[[#This Row],[Column13]]/1048576,"")</f>
        <v/>
      </c>
      <c r="M671" s="168" t="str">
        <f>IF(ISNUMBER(namespace_raw[[#This Row],[Column10]]), (namespace_raw[[#This Row],[Column10]]*(1+$M$2)),"")</f>
        <v/>
      </c>
      <c r="N671" s="167" t="str">
        <f>IF(ISNUMBER(namespace_raw[[#This Row],[Column11]]), (namespace_raw[[#This Row],[Column11]]*(1+$N$2))/1048576,"")</f>
        <v/>
      </c>
      <c r="O671" s="169" t="str">
        <f>IF(ISNUMBER(namespace_raw[[#This Row],[Column8]]), (E671  * $O$2),"")</f>
        <v/>
      </c>
      <c r="P671" s="170" t="str">
        <f>IF(ISNUMBER(namespace_raw[[#This Row],[Column8]]), (F671  * $P$2),"")</f>
        <v/>
      </c>
    </row>
    <row r="672" spans="1:16" ht="15" customHeight="1" x14ac:dyDescent="0.25">
      <c r="A672" s="32" t="str">
        <f>IF(ISNONTEXT(namespace_raw[[#This Row],[Column1]]), "", namespace_raw[[#This Row],[Column1]])</f>
        <v/>
      </c>
      <c r="B672" s="33" t="str">
        <f>IF(ISNONTEXT(namespace_raw[[#This Row],[Column2]]), "", namespace_raw[[#This Row],[Column2]])</f>
        <v/>
      </c>
      <c r="C672" s="94" t="str">
        <f>IF(ISNUMBER(namespace_raw[[#This Row],[Column4]]), namespace_raw[[#This Row],[Column4]], "")</f>
        <v/>
      </c>
      <c r="D672" s="95" t="str">
        <f>IF(ISNUMBER(namespace_raw[[#This Row],[Column5]]), namespace_raw[[#This Row],[Column5]]/1048576, "")</f>
        <v/>
      </c>
      <c r="E672" s="95" t="str">
        <f>IF(ISNUMBER(namespace_raw[[#This Row],[Column6]]), namespace_raw[[#This Row],[Column6]],"")</f>
        <v/>
      </c>
      <c r="F672" s="96" t="str">
        <f>IF(ISNUMBER(namespace_raw[[#This Row],[Column7]]), namespace_raw[[#This Row],[Column7]]/1048576,"")</f>
        <v/>
      </c>
      <c r="G672" s="122" t="str">
        <f>IF(ISNUMBER(namespace_raw[[#This Row],[Column8]]), namespace_raw[[#This Row],[Column8]],"")</f>
        <v/>
      </c>
      <c r="H672" s="123" t="str">
        <f>IF(ISNUMBER(namespace_raw[[#This Row],[Column9]]), namespace_raw[[#This Row],[Column9]]/1048576,"")</f>
        <v/>
      </c>
      <c r="I672" s="124" t="str">
        <f>IF(ISNUMBER(namespace_raw[[#This Row],[Column8]]),MAX(G672, M672, O672, $I$2,IF(Q672&lt;&gt;"",VALUE(Q672),0)), "")</f>
        <v/>
      </c>
      <c r="J672" s="125" t="str">
        <f>IF(ISNUMBER(namespace_raw[[#This Row],[Column9]]),MAX(H672, N672, P672, $J$2,IF(R672&lt;&gt;"",VALUE(R672),0)),"")</f>
        <v/>
      </c>
      <c r="K672" s="166" t="str">
        <f>IF(ISNUMBER(namespace_raw[[#This Row],[Column12]]), namespace_raw[[#This Row],[Column12]],"")</f>
        <v/>
      </c>
      <c r="L672" s="167" t="str">
        <f>IF(ISNUMBER(namespace_raw[[#This Row],[Column13]]), namespace_raw[[#This Row],[Column13]]/1048576,"")</f>
        <v/>
      </c>
      <c r="M672" s="168" t="str">
        <f>IF(ISNUMBER(namespace_raw[[#This Row],[Column10]]), (namespace_raw[[#This Row],[Column10]]*(1+$M$2)),"")</f>
        <v/>
      </c>
      <c r="N672" s="167" t="str">
        <f>IF(ISNUMBER(namespace_raw[[#This Row],[Column11]]), (namespace_raw[[#This Row],[Column11]]*(1+$N$2))/1048576,"")</f>
        <v/>
      </c>
      <c r="O672" s="169" t="str">
        <f>IF(ISNUMBER(namespace_raw[[#This Row],[Column8]]), (E672  * $O$2),"")</f>
        <v/>
      </c>
      <c r="P672" s="170" t="str">
        <f>IF(ISNUMBER(namespace_raw[[#This Row],[Column8]]), (F672  * $P$2),"")</f>
        <v/>
      </c>
    </row>
    <row r="673" spans="1:16" ht="15" customHeight="1" x14ac:dyDescent="0.25">
      <c r="A673" s="32" t="str">
        <f>IF(ISNONTEXT(namespace_raw[[#This Row],[Column1]]), "", namespace_raw[[#This Row],[Column1]])</f>
        <v/>
      </c>
      <c r="B673" s="33" t="str">
        <f>IF(ISNONTEXT(namespace_raw[[#This Row],[Column2]]), "", namespace_raw[[#This Row],[Column2]])</f>
        <v/>
      </c>
      <c r="C673" s="94" t="str">
        <f>IF(ISNUMBER(namespace_raw[[#This Row],[Column4]]), namespace_raw[[#This Row],[Column4]], "")</f>
        <v/>
      </c>
      <c r="D673" s="95" t="str">
        <f>IF(ISNUMBER(namespace_raw[[#This Row],[Column5]]), namespace_raw[[#This Row],[Column5]]/1048576, "")</f>
        <v/>
      </c>
      <c r="E673" s="95" t="str">
        <f>IF(ISNUMBER(namespace_raw[[#This Row],[Column6]]), namespace_raw[[#This Row],[Column6]],"")</f>
        <v/>
      </c>
      <c r="F673" s="96" t="str">
        <f>IF(ISNUMBER(namespace_raw[[#This Row],[Column7]]), namespace_raw[[#This Row],[Column7]]/1048576,"")</f>
        <v/>
      </c>
      <c r="G673" s="122" t="str">
        <f>IF(ISNUMBER(namespace_raw[[#This Row],[Column8]]), namespace_raw[[#This Row],[Column8]],"")</f>
        <v/>
      </c>
      <c r="H673" s="123" t="str">
        <f>IF(ISNUMBER(namespace_raw[[#This Row],[Column9]]), namespace_raw[[#This Row],[Column9]]/1048576,"")</f>
        <v/>
      </c>
      <c r="I673" s="124" t="str">
        <f>IF(ISNUMBER(namespace_raw[[#This Row],[Column8]]),MAX(G673, M673, O673, $I$2,IF(Q673&lt;&gt;"",VALUE(Q673),0)), "")</f>
        <v/>
      </c>
      <c r="J673" s="125" t="str">
        <f>IF(ISNUMBER(namespace_raw[[#This Row],[Column9]]),MAX(H673, N673, P673, $J$2,IF(R673&lt;&gt;"",VALUE(R673),0)),"")</f>
        <v/>
      </c>
      <c r="K673" s="166" t="str">
        <f>IF(ISNUMBER(namespace_raw[[#This Row],[Column12]]), namespace_raw[[#This Row],[Column12]],"")</f>
        <v/>
      </c>
      <c r="L673" s="167" t="str">
        <f>IF(ISNUMBER(namespace_raw[[#This Row],[Column13]]), namespace_raw[[#This Row],[Column13]]/1048576,"")</f>
        <v/>
      </c>
      <c r="M673" s="168" t="str">
        <f>IF(ISNUMBER(namespace_raw[[#This Row],[Column10]]), (namespace_raw[[#This Row],[Column10]]*(1+$M$2)),"")</f>
        <v/>
      </c>
      <c r="N673" s="167" t="str">
        <f>IF(ISNUMBER(namespace_raw[[#This Row],[Column11]]), (namespace_raw[[#This Row],[Column11]]*(1+$N$2))/1048576,"")</f>
        <v/>
      </c>
      <c r="O673" s="169" t="str">
        <f>IF(ISNUMBER(namespace_raw[[#This Row],[Column8]]), (E673  * $O$2),"")</f>
        <v/>
      </c>
      <c r="P673" s="170" t="str">
        <f>IF(ISNUMBER(namespace_raw[[#This Row],[Column8]]), (F673  * $P$2),"")</f>
        <v/>
      </c>
    </row>
    <row r="674" spans="1:16" ht="15" customHeight="1" x14ac:dyDescent="0.25">
      <c r="A674" s="32" t="str">
        <f>IF(ISNONTEXT(namespace_raw[[#This Row],[Column1]]), "", namespace_raw[[#This Row],[Column1]])</f>
        <v/>
      </c>
      <c r="B674" s="33" t="str">
        <f>IF(ISNONTEXT(namespace_raw[[#This Row],[Column2]]), "", namespace_raw[[#This Row],[Column2]])</f>
        <v/>
      </c>
      <c r="C674" s="94" t="str">
        <f>IF(ISNUMBER(namespace_raw[[#This Row],[Column4]]), namespace_raw[[#This Row],[Column4]], "")</f>
        <v/>
      </c>
      <c r="D674" s="95" t="str">
        <f>IF(ISNUMBER(namespace_raw[[#This Row],[Column5]]), namespace_raw[[#This Row],[Column5]]/1048576, "")</f>
        <v/>
      </c>
      <c r="E674" s="95" t="str">
        <f>IF(ISNUMBER(namespace_raw[[#This Row],[Column6]]), namespace_raw[[#This Row],[Column6]],"")</f>
        <v/>
      </c>
      <c r="F674" s="96" t="str">
        <f>IF(ISNUMBER(namespace_raw[[#This Row],[Column7]]), namespace_raw[[#This Row],[Column7]]/1048576,"")</f>
        <v/>
      </c>
      <c r="G674" s="122" t="str">
        <f>IF(ISNUMBER(namespace_raw[[#This Row],[Column8]]), namespace_raw[[#This Row],[Column8]],"")</f>
        <v/>
      </c>
      <c r="H674" s="123" t="str">
        <f>IF(ISNUMBER(namespace_raw[[#This Row],[Column9]]), namespace_raw[[#This Row],[Column9]]/1048576,"")</f>
        <v/>
      </c>
      <c r="I674" s="124" t="str">
        <f>IF(ISNUMBER(namespace_raw[[#This Row],[Column8]]),MAX(G674, M674, O674, $I$2,IF(Q674&lt;&gt;"",VALUE(Q674),0)), "")</f>
        <v/>
      </c>
      <c r="J674" s="125" t="str">
        <f>IF(ISNUMBER(namespace_raw[[#This Row],[Column9]]),MAX(H674, N674, P674, $J$2,IF(R674&lt;&gt;"",VALUE(R674),0)),"")</f>
        <v/>
      </c>
      <c r="K674" s="166" t="str">
        <f>IF(ISNUMBER(namespace_raw[[#This Row],[Column12]]), namespace_raw[[#This Row],[Column12]],"")</f>
        <v/>
      </c>
      <c r="L674" s="167" t="str">
        <f>IF(ISNUMBER(namespace_raw[[#This Row],[Column13]]), namespace_raw[[#This Row],[Column13]]/1048576,"")</f>
        <v/>
      </c>
      <c r="M674" s="168" t="str">
        <f>IF(ISNUMBER(namespace_raw[[#This Row],[Column10]]), (namespace_raw[[#This Row],[Column10]]*(1+$M$2)),"")</f>
        <v/>
      </c>
      <c r="N674" s="167" t="str">
        <f>IF(ISNUMBER(namespace_raw[[#This Row],[Column11]]), (namespace_raw[[#This Row],[Column11]]*(1+$N$2))/1048576,"")</f>
        <v/>
      </c>
      <c r="O674" s="169" t="str">
        <f>IF(ISNUMBER(namespace_raw[[#This Row],[Column8]]), (E674  * $O$2),"")</f>
        <v/>
      </c>
      <c r="P674" s="170" t="str">
        <f>IF(ISNUMBER(namespace_raw[[#This Row],[Column8]]), (F674  * $P$2),"")</f>
        <v/>
      </c>
    </row>
    <row r="675" spans="1:16" ht="15" customHeight="1" x14ac:dyDescent="0.25">
      <c r="A675" s="32" t="str">
        <f>IF(ISNONTEXT(namespace_raw[[#This Row],[Column1]]), "", namespace_raw[[#This Row],[Column1]])</f>
        <v/>
      </c>
      <c r="B675" s="33" t="str">
        <f>IF(ISNONTEXT(namespace_raw[[#This Row],[Column2]]), "", namespace_raw[[#This Row],[Column2]])</f>
        <v/>
      </c>
      <c r="C675" s="94" t="str">
        <f>IF(ISNUMBER(namespace_raw[[#This Row],[Column4]]), namespace_raw[[#This Row],[Column4]], "")</f>
        <v/>
      </c>
      <c r="D675" s="95" t="str">
        <f>IF(ISNUMBER(namespace_raw[[#This Row],[Column5]]), namespace_raw[[#This Row],[Column5]]/1048576, "")</f>
        <v/>
      </c>
      <c r="E675" s="95" t="str">
        <f>IF(ISNUMBER(namespace_raw[[#This Row],[Column6]]), namespace_raw[[#This Row],[Column6]],"")</f>
        <v/>
      </c>
      <c r="F675" s="96" t="str">
        <f>IF(ISNUMBER(namespace_raw[[#This Row],[Column7]]), namespace_raw[[#This Row],[Column7]]/1048576,"")</f>
        <v/>
      </c>
      <c r="G675" s="122" t="str">
        <f>IF(ISNUMBER(namespace_raw[[#This Row],[Column8]]), namespace_raw[[#This Row],[Column8]],"")</f>
        <v/>
      </c>
      <c r="H675" s="123" t="str">
        <f>IF(ISNUMBER(namespace_raw[[#This Row],[Column9]]), namespace_raw[[#This Row],[Column9]]/1048576,"")</f>
        <v/>
      </c>
      <c r="I675" s="124" t="str">
        <f>IF(ISNUMBER(namespace_raw[[#This Row],[Column8]]),MAX(G675, M675, O675, $I$2,IF(Q675&lt;&gt;"",VALUE(Q675),0)), "")</f>
        <v/>
      </c>
      <c r="J675" s="125" t="str">
        <f>IF(ISNUMBER(namespace_raw[[#This Row],[Column9]]),MAX(H675, N675, P675, $J$2,IF(R675&lt;&gt;"",VALUE(R675),0)),"")</f>
        <v/>
      </c>
      <c r="K675" s="166" t="str">
        <f>IF(ISNUMBER(namespace_raw[[#This Row],[Column12]]), namespace_raw[[#This Row],[Column12]],"")</f>
        <v/>
      </c>
      <c r="L675" s="167" t="str">
        <f>IF(ISNUMBER(namespace_raw[[#This Row],[Column13]]), namespace_raw[[#This Row],[Column13]]/1048576,"")</f>
        <v/>
      </c>
      <c r="M675" s="168" t="str">
        <f>IF(ISNUMBER(namespace_raw[[#This Row],[Column10]]), (namespace_raw[[#This Row],[Column10]]*(1+$M$2)),"")</f>
        <v/>
      </c>
      <c r="N675" s="167" t="str">
        <f>IF(ISNUMBER(namespace_raw[[#This Row],[Column11]]), (namespace_raw[[#This Row],[Column11]]*(1+$N$2))/1048576,"")</f>
        <v/>
      </c>
      <c r="O675" s="169" t="str">
        <f>IF(ISNUMBER(namespace_raw[[#This Row],[Column8]]), (E675  * $O$2),"")</f>
        <v/>
      </c>
      <c r="P675" s="170" t="str">
        <f>IF(ISNUMBER(namespace_raw[[#This Row],[Column8]]), (F675  * $P$2),"")</f>
        <v/>
      </c>
    </row>
    <row r="676" spans="1:16" ht="15" customHeight="1" x14ac:dyDescent="0.25">
      <c r="A676" s="32" t="str">
        <f>IF(ISNONTEXT(namespace_raw[[#This Row],[Column1]]), "", namespace_raw[[#This Row],[Column1]])</f>
        <v/>
      </c>
      <c r="B676" s="33" t="str">
        <f>IF(ISNONTEXT(namespace_raw[[#This Row],[Column2]]), "", namespace_raw[[#This Row],[Column2]])</f>
        <v/>
      </c>
      <c r="C676" s="94" t="str">
        <f>IF(ISNUMBER(namespace_raw[[#This Row],[Column4]]), namespace_raw[[#This Row],[Column4]], "")</f>
        <v/>
      </c>
      <c r="D676" s="95" t="str">
        <f>IF(ISNUMBER(namespace_raw[[#This Row],[Column5]]), namespace_raw[[#This Row],[Column5]]/1048576, "")</f>
        <v/>
      </c>
      <c r="E676" s="95" t="str">
        <f>IF(ISNUMBER(namespace_raw[[#This Row],[Column6]]), namespace_raw[[#This Row],[Column6]],"")</f>
        <v/>
      </c>
      <c r="F676" s="96" t="str">
        <f>IF(ISNUMBER(namespace_raw[[#This Row],[Column7]]), namespace_raw[[#This Row],[Column7]]/1048576,"")</f>
        <v/>
      </c>
      <c r="G676" s="122" t="str">
        <f>IF(ISNUMBER(namespace_raw[[#This Row],[Column8]]), namespace_raw[[#This Row],[Column8]],"")</f>
        <v/>
      </c>
      <c r="H676" s="123" t="str">
        <f>IF(ISNUMBER(namespace_raw[[#This Row],[Column9]]), namespace_raw[[#This Row],[Column9]]/1048576,"")</f>
        <v/>
      </c>
      <c r="I676" s="124" t="str">
        <f>IF(ISNUMBER(namespace_raw[[#This Row],[Column8]]),MAX(G676, M676, O676, $I$2,IF(Q676&lt;&gt;"",VALUE(Q676),0)), "")</f>
        <v/>
      </c>
      <c r="J676" s="125" t="str">
        <f>IF(ISNUMBER(namespace_raw[[#This Row],[Column9]]),MAX(H676, N676, P676, $J$2,IF(R676&lt;&gt;"",VALUE(R676),0)),"")</f>
        <v/>
      </c>
      <c r="K676" s="166" t="str">
        <f>IF(ISNUMBER(namespace_raw[[#This Row],[Column12]]), namespace_raw[[#This Row],[Column12]],"")</f>
        <v/>
      </c>
      <c r="L676" s="167" t="str">
        <f>IF(ISNUMBER(namespace_raw[[#This Row],[Column13]]), namespace_raw[[#This Row],[Column13]]/1048576,"")</f>
        <v/>
      </c>
      <c r="M676" s="168" t="str">
        <f>IF(ISNUMBER(namespace_raw[[#This Row],[Column10]]), (namespace_raw[[#This Row],[Column10]]*(1+$M$2)),"")</f>
        <v/>
      </c>
      <c r="N676" s="167" t="str">
        <f>IF(ISNUMBER(namespace_raw[[#This Row],[Column11]]), (namespace_raw[[#This Row],[Column11]]*(1+$N$2))/1048576,"")</f>
        <v/>
      </c>
      <c r="O676" s="169" t="str">
        <f>IF(ISNUMBER(namespace_raw[[#This Row],[Column8]]), (E676  * $O$2),"")</f>
        <v/>
      </c>
      <c r="P676" s="170" t="str">
        <f>IF(ISNUMBER(namespace_raw[[#This Row],[Column8]]), (F676  * $P$2),"")</f>
        <v/>
      </c>
    </row>
    <row r="677" spans="1:16" ht="15" customHeight="1" x14ac:dyDescent="0.25">
      <c r="A677" s="32" t="str">
        <f>IF(ISNONTEXT(namespace_raw[[#This Row],[Column1]]), "", namespace_raw[[#This Row],[Column1]])</f>
        <v/>
      </c>
      <c r="B677" s="33" t="str">
        <f>IF(ISNONTEXT(namespace_raw[[#This Row],[Column2]]), "", namespace_raw[[#This Row],[Column2]])</f>
        <v/>
      </c>
      <c r="C677" s="94" t="str">
        <f>IF(ISNUMBER(namespace_raw[[#This Row],[Column4]]), namespace_raw[[#This Row],[Column4]], "")</f>
        <v/>
      </c>
      <c r="D677" s="95" t="str">
        <f>IF(ISNUMBER(namespace_raw[[#This Row],[Column5]]), namespace_raw[[#This Row],[Column5]]/1048576, "")</f>
        <v/>
      </c>
      <c r="E677" s="95" t="str">
        <f>IF(ISNUMBER(namespace_raw[[#This Row],[Column6]]), namespace_raw[[#This Row],[Column6]],"")</f>
        <v/>
      </c>
      <c r="F677" s="96" t="str">
        <f>IF(ISNUMBER(namespace_raw[[#This Row],[Column7]]), namespace_raw[[#This Row],[Column7]]/1048576,"")</f>
        <v/>
      </c>
      <c r="G677" s="122" t="str">
        <f>IF(ISNUMBER(namespace_raw[[#This Row],[Column8]]), namespace_raw[[#This Row],[Column8]],"")</f>
        <v/>
      </c>
      <c r="H677" s="123" t="str">
        <f>IF(ISNUMBER(namespace_raw[[#This Row],[Column9]]), namespace_raw[[#This Row],[Column9]]/1048576,"")</f>
        <v/>
      </c>
      <c r="I677" s="124" t="str">
        <f>IF(ISNUMBER(namespace_raw[[#This Row],[Column8]]),MAX(G677, M677, O677, $I$2,IF(Q677&lt;&gt;"",VALUE(Q677),0)), "")</f>
        <v/>
      </c>
      <c r="J677" s="125" t="str">
        <f>IF(ISNUMBER(namespace_raw[[#This Row],[Column9]]),MAX(H677, N677, P677, $J$2,IF(R677&lt;&gt;"",VALUE(R677),0)),"")</f>
        <v/>
      </c>
      <c r="K677" s="166" t="str">
        <f>IF(ISNUMBER(namespace_raw[[#This Row],[Column12]]), namespace_raw[[#This Row],[Column12]],"")</f>
        <v/>
      </c>
      <c r="L677" s="167" t="str">
        <f>IF(ISNUMBER(namespace_raw[[#This Row],[Column13]]), namespace_raw[[#This Row],[Column13]]/1048576,"")</f>
        <v/>
      </c>
      <c r="M677" s="168" t="str">
        <f>IF(ISNUMBER(namespace_raw[[#This Row],[Column10]]), (namespace_raw[[#This Row],[Column10]]*(1+$M$2)),"")</f>
        <v/>
      </c>
      <c r="N677" s="167" t="str">
        <f>IF(ISNUMBER(namespace_raw[[#This Row],[Column11]]), (namespace_raw[[#This Row],[Column11]]*(1+$N$2))/1048576,"")</f>
        <v/>
      </c>
      <c r="O677" s="169" t="str">
        <f>IF(ISNUMBER(namespace_raw[[#This Row],[Column8]]), (E677  * $O$2),"")</f>
        <v/>
      </c>
      <c r="P677" s="170" t="str">
        <f>IF(ISNUMBER(namespace_raw[[#This Row],[Column8]]), (F677  * $P$2),"")</f>
        <v/>
      </c>
    </row>
    <row r="678" spans="1:16" ht="15" customHeight="1" x14ac:dyDescent="0.25">
      <c r="A678" s="32" t="str">
        <f>IF(ISNONTEXT(namespace_raw[[#This Row],[Column1]]), "", namespace_raw[[#This Row],[Column1]])</f>
        <v/>
      </c>
      <c r="B678" s="33" t="str">
        <f>IF(ISNONTEXT(namespace_raw[[#This Row],[Column2]]), "", namespace_raw[[#This Row],[Column2]])</f>
        <v/>
      </c>
      <c r="C678" s="94" t="str">
        <f>IF(ISNUMBER(namespace_raw[[#This Row],[Column4]]), namespace_raw[[#This Row],[Column4]], "")</f>
        <v/>
      </c>
      <c r="D678" s="95" t="str">
        <f>IF(ISNUMBER(namespace_raw[[#This Row],[Column5]]), namespace_raw[[#This Row],[Column5]]/1048576, "")</f>
        <v/>
      </c>
      <c r="E678" s="95" t="str">
        <f>IF(ISNUMBER(namespace_raw[[#This Row],[Column6]]), namespace_raw[[#This Row],[Column6]],"")</f>
        <v/>
      </c>
      <c r="F678" s="96" t="str">
        <f>IF(ISNUMBER(namespace_raw[[#This Row],[Column7]]), namespace_raw[[#This Row],[Column7]]/1048576,"")</f>
        <v/>
      </c>
      <c r="G678" s="122" t="str">
        <f>IF(ISNUMBER(namespace_raw[[#This Row],[Column8]]), namespace_raw[[#This Row],[Column8]],"")</f>
        <v/>
      </c>
      <c r="H678" s="123" t="str">
        <f>IF(ISNUMBER(namespace_raw[[#This Row],[Column9]]), namespace_raw[[#This Row],[Column9]]/1048576,"")</f>
        <v/>
      </c>
      <c r="I678" s="124" t="str">
        <f>IF(ISNUMBER(namespace_raw[[#This Row],[Column8]]),MAX(G678, M678, O678, $I$2,IF(Q678&lt;&gt;"",VALUE(Q678),0)), "")</f>
        <v/>
      </c>
      <c r="J678" s="125" t="str">
        <f>IF(ISNUMBER(namespace_raw[[#This Row],[Column9]]),MAX(H678, N678, P678, $J$2,IF(R678&lt;&gt;"",VALUE(R678),0)),"")</f>
        <v/>
      </c>
      <c r="K678" s="166" t="str">
        <f>IF(ISNUMBER(namespace_raw[[#This Row],[Column12]]), namespace_raw[[#This Row],[Column12]],"")</f>
        <v/>
      </c>
      <c r="L678" s="167" t="str">
        <f>IF(ISNUMBER(namespace_raw[[#This Row],[Column13]]), namespace_raw[[#This Row],[Column13]]/1048576,"")</f>
        <v/>
      </c>
      <c r="M678" s="168" t="str">
        <f>IF(ISNUMBER(namespace_raw[[#This Row],[Column10]]), (namespace_raw[[#This Row],[Column10]]*(1+$M$2)),"")</f>
        <v/>
      </c>
      <c r="N678" s="167" t="str">
        <f>IF(ISNUMBER(namespace_raw[[#This Row],[Column11]]), (namespace_raw[[#This Row],[Column11]]*(1+$N$2))/1048576,"")</f>
        <v/>
      </c>
      <c r="O678" s="169" t="str">
        <f>IF(ISNUMBER(namespace_raw[[#This Row],[Column8]]), (E678  * $O$2),"")</f>
        <v/>
      </c>
      <c r="P678" s="170" t="str">
        <f>IF(ISNUMBER(namespace_raw[[#This Row],[Column8]]), (F678  * $P$2),"")</f>
        <v/>
      </c>
    </row>
    <row r="679" spans="1:16" ht="15" customHeight="1" x14ac:dyDescent="0.25">
      <c r="A679" s="32" t="str">
        <f>IF(ISNONTEXT(namespace_raw[[#This Row],[Column1]]), "", namespace_raw[[#This Row],[Column1]])</f>
        <v/>
      </c>
      <c r="B679" s="33" t="str">
        <f>IF(ISNONTEXT(namespace_raw[[#This Row],[Column2]]), "", namespace_raw[[#This Row],[Column2]])</f>
        <v/>
      </c>
      <c r="C679" s="94" t="str">
        <f>IF(ISNUMBER(namespace_raw[[#This Row],[Column4]]), namespace_raw[[#This Row],[Column4]], "")</f>
        <v/>
      </c>
      <c r="D679" s="95" t="str">
        <f>IF(ISNUMBER(namespace_raw[[#This Row],[Column5]]), namespace_raw[[#This Row],[Column5]]/1048576, "")</f>
        <v/>
      </c>
      <c r="E679" s="95" t="str">
        <f>IF(ISNUMBER(namespace_raw[[#This Row],[Column6]]), namespace_raw[[#This Row],[Column6]],"")</f>
        <v/>
      </c>
      <c r="F679" s="96" t="str">
        <f>IF(ISNUMBER(namespace_raw[[#This Row],[Column7]]), namespace_raw[[#This Row],[Column7]]/1048576,"")</f>
        <v/>
      </c>
      <c r="G679" s="122" t="str">
        <f>IF(ISNUMBER(namespace_raw[[#This Row],[Column8]]), namespace_raw[[#This Row],[Column8]],"")</f>
        <v/>
      </c>
      <c r="H679" s="123" t="str">
        <f>IF(ISNUMBER(namespace_raw[[#This Row],[Column9]]), namespace_raw[[#This Row],[Column9]]/1048576,"")</f>
        <v/>
      </c>
      <c r="I679" s="124" t="str">
        <f>IF(ISNUMBER(namespace_raw[[#This Row],[Column8]]),MAX(G679, M679, O679, $I$2,IF(Q679&lt;&gt;"",VALUE(Q679),0)), "")</f>
        <v/>
      </c>
      <c r="J679" s="125" t="str">
        <f>IF(ISNUMBER(namespace_raw[[#This Row],[Column9]]),MAX(H679, N679, P679, $J$2,IF(R679&lt;&gt;"",VALUE(R679),0)),"")</f>
        <v/>
      </c>
      <c r="K679" s="166" t="str">
        <f>IF(ISNUMBER(namespace_raw[[#This Row],[Column12]]), namespace_raw[[#This Row],[Column12]],"")</f>
        <v/>
      </c>
      <c r="L679" s="167" t="str">
        <f>IF(ISNUMBER(namespace_raw[[#This Row],[Column13]]), namespace_raw[[#This Row],[Column13]]/1048576,"")</f>
        <v/>
      </c>
      <c r="M679" s="168" t="str">
        <f>IF(ISNUMBER(namespace_raw[[#This Row],[Column10]]), (namespace_raw[[#This Row],[Column10]]*(1+$M$2)),"")</f>
        <v/>
      </c>
      <c r="N679" s="167" t="str">
        <f>IF(ISNUMBER(namespace_raw[[#This Row],[Column11]]), (namespace_raw[[#This Row],[Column11]]*(1+$N$2))/1048576,"")</f>
        <v/>
      </c>
      <c r="O679" s="169" t="str">
        <f>IF(ISNUMBER(namespace_raw[[#This Row],[Column8]]), (E679  * $O$2),"")</f>
        <v/>
      </c>
      <c r="P679" s="170" t="str">
        <f>IF(ISNUMBER(namespace_raw[[#This Row],[Column8]]), (F679  * $P$2),"")</f>
        <v/>
      </c>
    </row>
    <row r="680" spans="1:16" ht="15" customHeight="1" x14ac:dyDescent="0.25">
      <c r="A680" s="32" t="str">
        <f>IF(ISNONTEXT(namespace_raw[[#This Row],[Column1]]), "", namespace_raw[[#This Row],[Column1]])</f>
        <v/>
      </c>
      <c r="B680" s="33" t="str">
        <f>IF(ISNONTEXT(namespace_raw[[#This Row],[Column2]]), "", namespace_raw[[#This Row],[Column2]])</f>
        <v/>
      </c>
      <c r="C680" s="94" t="str">
        <f>IF(ISNUMBER(namespace_raw[[#This Row],[Column4]]), namespace_raw[[#This Row],[Column4]], "")</f>
        <v/>
      </c>
      <c r="D680" s="95" t="str">
        <f>IF(ISNUMBER(namespace_raw[[#This Row],[Column5]]), namespace_raw[[#This Row],[Column5]]/1048576, "")</f>
        <v/>
      </c>
      <c r="E680" s="95" t="str">
        <f>IF(ISNUMBER(namespace_raw[[#This Row],[Column6]]), namespace_raw[[#This Row],[Column6]],"")</f>
        <v/>
      </c>
      <c r="F680" s="96" t="str">
        <f>IF(ISNUMBER(namespace_raw[[#This Row],[Column7]]), namespace_raw[[#This Row],[Column7]]/1048576,"")</f>
        <v/>
      </c>
      <c r="G680" s="122" t="str">
        <f>IF(ISNUMBER(namespace_raw[[#This Row],[Column8]]), namespace_raw[[#This Row],[Column8]],"")</f>
        <v/>
      </c>
      <c r="H680" s="123" t="str">
        <f>IF(ISNUMBER(namespace_raw[[#This Row],[Column9]]), namespace_raw[[#This Row],[Column9]]/1048576,"")</f>
        <v/>
      </c>
      <c r="I680" s="124" t="str">
        <f>IF(ISNUMBER(namespace_raw[[#This Row],[Column8]]),MAX(G680, M680, O680, $I$2,IF(Q680&lt;&gt;"",VALUE(Q680),0)), "")</f>
        <v/>
      </c>
      <c r="J680" s="125" t="str">
        <f>IF(ISNUMBER(namespace_raw[[#This Row],[Column9]]),MAX(H680, N680, P680, $J$2,IF(R680&lt;&gt;"",VALUE(R680),0)),"")</f>
        <v/>
      </c>
      <c r="K680" s="166" t="str">
        <f>IF(ISNUMBER(namespace_raw[[#This Row],[Column12]]), namespace_raw[[#This Row],[Column12]],"")</f>
        <v/>
      </c>
      <c r="L680" s="167" t="str">
        <f>IF(ISNUMBER(namespace_raw[[#This Row],[Column13]]), namespace_raw[[#This Row],[Column13]]/1048576,"")</f>
        <v/>
      </c>
      <c r="M680" s="168" t="str">
        <f>IF(ISNUMBER(namespace_raw[[#This Row],[Column10]]), (namespace_raw[[#This Row],[Column10]]*(1+$M$2)),"")</f>
        <v/>
      </c>
      <c r="N680" s="167" t="str">
        <f>IF(ISNUMBER(namespace_raw[[#This Row],[Column11]]), (namespace_raw[[#This Row],[Column11]]*(1+$N$2))/1048576,"")</f>
        <v/>
      </c>
      <c r="O680" s="169" t="str">
        <f>IF(ISNUMBER(namespace_raw[[#This Row],[Column8]]), (E680  * $O$2),"")</f>
        <v/>
      </c>
      <c r="P680" s="170" t="str">
        <f>IF(ISNUMBER(namespace_raw[[#This Row],[Column8]]), (F680  * $P$2),"")</f>
        <v/>
      </c>
    </row>
    <row r="681" spans="1:16" ht="15" customHeight="1" x14ac:dyDescent="0.25">
      <c r="A681" s="32" t="str">
        <f>IF(ISNONTEXT(namespace_raw[[#This Row],[Column1]]), "", namespace_raw[[#This Row],[Column1]])</f>
        <v/>
      </c>
      <c r="B681" s="33" t="str">
        <f>IF(ISNONTEXT(namespace_raw[[#This Row],[Column2]]), "", namespace_raw[[#This Row],[Column2]])</f>
        <v/>
      </c>
      <c r="C681" s="94" t="str">
        <f>IF(ISNUMBER(namespace_raw[[#This Row],[Column4]]), namespace_raw[[#This Row],[Column4]], "")</f>
        <v/>
      </c>
      <c r="D681" s="95" t="str">
        <f>IF(ISNUMBER(namespace_raw[[#This Row],[Column5]]), namespace_raw[[#This Row],[Column5]]/1048576, "")</f>
        <v/>
      </c>
      <c r="E681" s="95" t="str">
        <f>IF(ISNUMBER(namespace_raw[[#This Row],[Column6]]), namespace_raw[[#This Row],[Column6]],"")</f>
        <v/>
      </c>
      <c r="F681" s="96" t="str">
        <f>IF(ISNUMBER(namespace_raw[[#This Row],[Column7]]), namespace_raw[[#This Row],[Column7]]/1048576,"")</f>
        <v/>
      </c>
      <c r="G681" s="122" t="str">
        <f>IF(ISNUMBER(namespace_raw[[#This Row],[Column8]]), namespace_raw[[#This Row],[Column8]],"")</f>
        <v/>
      </c>
      <c r="H681" s="123" t="str">
        <f>IF(ISNUMBER(namespace_raw[[#This Row],[Column9]]), namespace_raw[[#This Row],[Column9]]/1048576,"")</f>
        <v/>
      </c>
      <c r="I681" s="124" t="str">
        <f>IF(ISNUMBER(namespace_raw[[#This Row],[Column8]]),MAX(G681, M681, O681, $I$2,IF(Q681&lt;&gt;"",VALUE(Q681),0)), "")</f>
        <v/>
      </c>
      <c r="J681" s="125" t="str">
        <f>IF(ISNUMBER(namespace_raw[[#This Row],[Column9]]),MAX(H681, N681, P681, $J$2,IF(R681&lt;&gt;"",VALUE(R681),0)),"")</f>
        <v/>
      </c>
      <c r="K681" s="166" t="str">
        <f>IF(ISNUMBER(namespace_raw[[#This Row],[Column12]]), namespace_raw[[#This Row],[Column12]],"")</f>
        <v/>
      </c>
      <c r="L681" s="167" t="str">
        <f>IF(ISNUMBER(namespace_raw[[#This Row],[Column13]]), namespace_raw[[#This Row],[Column13]]/1048576,"")</f>
        <v/>
      </c>
      <c r="M681" s="168" t="str">
        <f>IF(ISNUMBER(namespace_raw[[#This Row],[Column10]]), (namespace_raw[[#This Row],[Column10]]*(1+$M$2)),"")</f>
        <v/>
      </c>
      <c r="N681" s="167" t="str">
        <f>IF(ISNUMBER(namespace_raw[[#This Row],[Column11]]), (namespace_raw[[#This Row],[Column11]]*(1+$N$2))/1048576,"")</f>
        <v/>
      </c>
      <c r="O681" s="169" t="str">
        <f>IF(ISNUMBER(namespace_raw[[#This Row],[Column8]]), (E681  * $O$2),"")</f>
        <v/>
      </c>
      <c r="P681" s="170" t="str">
        <f>IF(ISNUMBER(namespace_raw[[#This Row],[Column8]]), (F681  * $P$2),"")</f>
        <v/>
      </c>
    </row>
    <row r="682" spans="1:16" ht="15" customHeight="1" x14ac:dyDescent="0.25">
      <c r="A682" s="32" t="str">
        <f>IF(ISNONTEXT(namespace_raw[[#This Row],[Column1]]), "", namespace_raw[[#This Row],[Column1]])</f>
        <v/>
      </c>
      <c r="B682" s="33" t="str">
        <f>IF(ISNONTEXT(namespace_raw[[#This Row],[Column2]]), "", namespace_raw[[#This Row],[Column2]])</f>
        <v/>
      </c>
      <c r="C682" s="94" t="str">
        <f>IF(ISNUMBER(namespace_raw[[#This Row],[Column4]]), namespace_raw[[#This Row],[Column4]], "")</f>
        <v/>
      </c>
      <c r="D682" s="95" t="str">
        <f>IF(ISNUMBER(namespace_raw[[#This Row],[Column5]]), namespace_raw[[#This Row],[Column5]]/1048576, "")</f>
        <v/>
      </c>
      <c r="E682" s="95" t="str">
        <f>IF(ISNUMBER(namespace_raw[[#This Row],[Column6]]), namespace_raw[[#This Row],[Column6]],"")</f>
        <v/>
      </c>
      <c r="F682" s="96" t="str">
        <f>IF(ISNUMBER(namespace_raw[[#This Row],[Column7]]), namespace_raw[[#This Row],[Column7]]/1048576,"")</f>
        <v/>
      </c>
      <c r="G682" s="122" t="str">
        <f>IF(ISNUMBER(namespace_raw[[#This Row],[Column8]]), namespace_raw[[#This Row],[Column8]],"")</f>
        <v/>
      </c>
      <c r="H682" s="123" t="str">
        <f>IF(ISNUMBER(namespace_raw[[#This Row],[Column9]]), namespace_raw[[#This Row],[Column9]]/1048576,"")</f>
        <v/>
      </c>
      <c r="I682" s="124" t="str">
        <f>IF(ISNUMBER(namespace_raw[[#This Row],[Column8]]),MAX(G682, M682, O682, $I$2,IF(Q682&lt;&gt;"",VALUE(Q682),0)), "")</f>
        <v/>
      </c>
      <c r="J682" s="125" t="str">
        <f>IF(ISNUMBER(namespace_raw[[#This Row],[Column9]]),MAX(H682, N682, P682, $J$2,IF(R682&lt;&gt;"",VALUE(R682),0)),"")</f>
        <v/>
      </c>
      <c r="K682" s="166" t="str">
        <f>IF(ISNUMBER(namespace_raw[[#This Row],[Column12]]), namespace_raw[[#This Row],[Column12]],"")</f>
        <v/>
      </c>
      <c r="L682" s="167" t="str">
        <f>IF(ISNUMBER(namespace_raw[[#This Row],[Column13]]), namespace_raw[[#This Row],[Column13]]/1048576,"")</f>
        <v/>
      </c>
      <c r="M682" s="168" t="str">
        <f>IF(ISNUMBER(namespace_raw[[#This Row],[Column10]]), (namespace_raw[[#This Row],[Column10]]*(1+$M$2)),"")</f>
        <v/>
      </c>
      <c r="N682" s="167" t="str">
        <f>IF(ISNUMBER(namespace_raw[[#This Row],[Column11]]), (namespace_raw[[#This Row],[Column11]]*(1+$N$2))/1048576,"")</f>
        <v/>
      </c>
      <c r="O682" s="169" t="str">
        <f>IF(ISNUMBER(namespace_raw[[#This Row],[Column8]]), (E682  * $O$2),"")</f>
        <v/>
      </c>
      <c r="P682" s="170" t="str">
        <f>IF(ISNUMBER(namespace_raw[[#This Row],[Column8]]), (F682  * $P$2),"")</f>
        <v/>
      </c>
    </row>
    <row r="683" spans="1:16" ht="15" customHeight="1" x14ac:dyDescent="0.25">
      <c r="A683" s="32" t="str">
        <f>IF(ISNONTEXT(namespace_raw[[#This Row],[Column1]]), "", namespace_raw[[#This Row],[Column1]])</f>
        <v/>
      </c>
      <c r="B683" s="33" t="str">
        <f>IF(ISNONTEXT(namespace_raw[[#This Row],[Column2]]), "", namespace_raw[[#This Row],[Column2]])</f>
        <v/>
      </c>
      <c r="C683" s="94" t="str">
        <f>IF(ISNUMBER(namespace_raw[[#This Row],[Column4]]), namespace_raw[[#This Row],[Column4]], "")</f>
        <v/>
      </c>
      <c r="D683" s="95" t="str">
        <f>IF(ISNUMBER(namespace_raw[[#This Row],[Column5]]), namespace_raw[[#This Row],[Column5]]/1048576, "")</f>
        <v/>
      </c>
      <c r="E683" s="95" t="str">
        <f>IF(ISNUMBER(namespace_raw[[#This Row],[Column6]]), namespace_raw[[#This Row],[Column6]],"")</f>
        <v/>
      </c>
      <c r="F683" s="96" t="str">
        <f>IF(ISNUMBER(namespace_raw[[#This Row],[Column7]]), namespace_raw[[#This Row],[Column7]]/1048576,"")</f>
        <v/>
      </c>
      <c r="G683" s="122" t="str">
        <f>IF(ISNUMBER(namespace_raw[[#This Row],[Column8]]), namespace_raw[[#This Row],[Column8]],"")</f>
        <v/>
      </c>
      <c r="H683" s="123" t="str">
        <f>IF(ISNUMBER(namespace_raw[[#This Row],[Column9]]), namespace_raw[[#This Row],[Column9]]/1048576,"")</f>
        <v/>
      </c>
      <c r="I683" s="124" t="str">
        <f>IF(ISNUMBER(namespace_raw[[#This Row],[Column8]]),MAX(G683, M683, O683, $I$2,IF(Q683&lt;&gt;"",VALUE(Q683),0)), "")</f>
        <v/>
      </c>
      <c r="J683" s="125" t="str">
        <f>IF(ISNUMBER(namespace_raw[[#This Row],[Column9]]),MAX(H683, N683, P683, $J$2,IF(R683&lt;&gt;"",VALUE(R683),0)),"")</f>
        <v/>
      </c>
      <c r="K683" s="166" t="str">
        <f>IF(ISNUMBER(namespace_raw[[#This Row],[Column12]]), namespace_raw[[#This Row],[Column12]],"")</f>
        <v/>
      </c>
      <c r="L683" s="167" t="str">
        <f>IF(ISNUMBER(namespace_raw[[#This Row],[Column13]]), namespace_raw[[#This Row],[Column13]]/1048576,"")</f>
        <v/>
      </c>
      <c r="M683" s="168" t="str">
        <f>IF(ISNUMBER(namespace_raw[[#This Row],[Column10]]), (namespace_raw[[#This Row],[Column10]]*(1+$M$2)),"")</f>
        <v/>
      </c>
      <c r="N683" s="167" t="str">
        <f>IF(ISNUMBER(namespace_raw[[#This Row],[Column11]]), (namespace_raw[[#This Row],[Column11]]*(1+$N$2))/1048576,"")</f>
        <v/>
      </c>
      <c r="O683" s="169" t="str">
        <f>IF(ISNUMBER(namespace_raw[[#This Row],[Column8]]), (E683  * $O$2),"")</f>
        <v/>
      </c>
      <c r="P683" s="170" t="str">
        <f>IF(ISNUMBER(namespace_raw[[#This Row],[Column8]]), (F683  * $P$2),"")</f>
        <v/>
      </c>
    </row>
    <row r="684" spans="1:16" ht="15" customHeight="1" x14ac:dyDescent="0.25">
      <c r="A684" s="32" t="str">
        <f>IF(ISNONTEXT(namespace_raw[[#This Row],[Column1]]), "", namespace_raw[[#This Row],[Column1]])</f>
        <v/>
      </c>
      <c r="B684" s="33" t="str">
        <f>IF(ISNONTEXT(namespace_raw[[#This Row],[Column2]]), "", namespace_raw[[#This Row],[Column2]])</f>
        <v/>
      </c>
      <c r="C684" s="94" t="str">
        <f>IF(ISNUMBER(namespace_raw[[#This Row],[Column4]]), namespace_raw[[#This Row],[Column4]], "")</f>
        <v/>
      </c>
      <c r="D684" s="95" t="str">
        <f>IF(ISNUMBER(namespace_raw[[#This Row],[Column5]]), namespace_raw[[#This Row],[Column5]]/1048576, "")</f>
        <v/>
      </c>
      <c r="E684" s="95" t="str">
        <f>IF(ISNUMBER(namespace_raw[[#This Row],[Column6]]), namespace_raw[[#This Row],[Column6]],"")</f>
        <v/>
      </c>
      <c r="F684" s="96" t="str">
        <f>IF(ISNUMBER(namespace_raw[[#This Row],[Column7]]), namespace_raw[[#This Row],[Column7]]/1048576,"")</f>
        <v/>
      </c>
      <c r="G684" s="122" t="str">
        <f>IF(ISNUMBER(namespace_raw[[#This Row],[Column8]]), namespace_raw[[#This Row],[Column8]],"")</f>
        <v/>
      </c>
      <c r="H684" s="123" t="str">
        <f>IF(ISNUMBER(namespace_raw[[#This Row],[Column9]]), namespace_raw[[#This Row],[Column9]]/1048576,"")</f>
        <v/>
      </c>
      <c r="I684" s="124" t="str">
        <f>IF(ISNUMBER(namespace_raw[[#This Row],[Column8]]),MAX(G684, M684, O684, $I$2,IF(Q684&lt;&gt;"",VALUE(Q684),0)), "")</f>
        <v/>
      </c>
      <c r="J684" s="125" t="str">
        <f>IF(ISNUMBER(namespace_raw[[#This Row],[Column9]]),MAX(H684, N684, P684, $J$2,IF(R684&lt;&gt;"",VALUE(R684),0)),"")</f>
        <v/>
      </c>
      <c r="K684" s="166" t="str">
        <f>IF(ISNUMBER(namespace_raw[[#This Row],[Column12]]), namespace_raw[[#This Row],[Column12]],"")</f>
        <v/>
      </c>
      <c r="L684" s="167" t="str">
        <f>IF(ISNUMBER(namespace_raw[[#This Row],[Column13]]), namespace_raw[[#This Row],[Column13]]/1048576,"")</f>
        <v/>
      </c>
      <c r="M684" s="168" t="str">
        <f>IF(ISNUMBER(namespace_raw[[#This Row],[Column10]]), (namespace_raw[[#This Row],[Column10]]*(1+$M$2)),"")</f>
        <v/>
      </c>
      <c r="N684" s="167" t="str">
        <f>IF(ISNUMBER(namespace_raw[[#This Row],[Column11]]), (namespace_raw[[#This Row],[Column11]]*(1+$N$2))/1048576,"")</f>
        <v/>
      </c>
      <c r="O684" s="169" t="str">
        <f>IF(ISNUMBER(namespace_raw[[#This Row],[Column8]]), (E684  * $O$2),"")</f>
        <v/>
      </c>
      <c r="P684" s="170" t="str">
        <f>IF(ISNUMBER(namespace_raw[[#This Row],[Column8]]), (F684  * $P$2),"")</f>
        <v/>
      </c>
    </row>
    <row r="685" spans="1:16" ht="15" customHeight="1" x14ac:dyDescent="0.25">
      <c r="A685" s="32" t="str">
        <f>IF(ISNONTEXT(namespace_raw[[#This Row],[Column1]]), "", namespace_raw[[#This Row],[Column1]])</f>
        <v/>
      </c>
      <c r="B685" s="33" t="str">
        <f>IF(ISNONTEXT(namespace_raw[[#This Row],[Column2]]), "", namespace_raw[[#This Row],[Column2]])</f>
        <v/>
      </c>
      <c r="C685" s="94" t="str">
        <f>IF(ISNUMBER(namespace_raw[[#This Row],[Column4]]), namespace_raw[[#This Row],[Column4]], "")</f>
        <v/>
      </c>
      <c r="D685" s="95" t="str">
        <f>IF(ISNUMBER(namespace_raw[[#This Row],[Column5]]), namespace_raw[[#This Row],[Column5]]/1048576, "")</f>
        <v/>
      </c>
      <c r="E685" s="95" t="str">
        <f>IF(ISNUMBER(namespace_raw[[#This Row],[Column6]]), namespace_raw[[#This Row],[Column6]],"")</f>
        <v/>
      </c>
      <c r="F685" s="96" t="str">
        <f>IF(ISNUMBER(namespace_raw[[#This Row],[Column7]]), namespace_raw[[#This Row],[Column7]]/1048576,"")</f>
        <v/>
      </c>
      <c r="G685" s="122" t="str">
        <f>IF(ISNUMBER(namespace_raw[[#This Row],[Column8]]), namespace_raw[[#This Row],[Column8]],"")</f>
        <v/>
      </c>
      <c r="H685" s="123" t="str">
        <f>IF(ISNUMBER(namespace_raw[[#This Row],[Column9]]), namespace_raw[[#This Row],[Column9]]/1048576,"")</f>
        <v/>
      </c>
      <c r="I685" s="124" t="str">
        <f>IF(ISNUMBER(namespace_raw[[#This Row],[Column8]]),MAX(G685, M685, O685, $I$2,IF(Q685&lt;&gt;"",VALUE(Q685),0)), "")</f>
        <v/>
      </c>
      <c r="J685" s="125" t="str">
        <f>IF(ISNUMBER(namespace_raw[[#This Row],[Column9]]),MAX(H685, N685, P685, $J$2,IF(R685&lt;&gt;"",VALUE(R685),0)),"")</f>
        <v/>
      </c>
      <c r="K685" s="166" t="str">
        <f>IF(ISNUMBER(namespace_raw[[#This Row],[Column12]]), namespace_raw[[#This Row],[Column12]],"")</f>
        <v/>
      </c>
      <c r="L685" s="167" t="str">
        <f>IF(ISNUMBER(namespace_raw[[#This Row],[Column13]]), namespace_raw[[#This Row],[Column13]]/1048576,"")</f>
        <v/>
      </c>
      <c r="M685" s="168" t="str">
        <f>IF(ISNUMBER(namespace_raw[[#This Row],[Column10]]), (namespace_raw[[#This Row],[Column10]]*(1+$M$2)),"")</f>
        <v/>
      </c>
      <c r="N685" s="167" t="str">
        <f>IF(ISNUMBER(namespace_raw[[#This Row],[Column11]]), (namespace_raw[[#This Row],[Column11]]*(1+$N$2))/1048576,"")</f>
        <v/>
      </c>
      <c r="O685" s="169" t="str">
        <f>IF(ISNUMBER(namespace_raw[[#This Row],[Column8]]), (E685  * $O$2),"")</f>
        <v/>
      </c>
      <c r="P685" s="170" t="str">
        <f>IF(ISNUMBER(namespace_raw[[#This Row],[Column8]]), (F685  * $P$2),"")</f>
        <v/>
      </c>
    </row>
    <row r="686" spans="1:16" ht="15" customHeight="1" x14ac:dyDescent="0.25">
      <c r="A686" s="32" t="str">
        <f>IF(ISNONTEXT(namespace_raw[[#This Row],[Column1]]), "", namespace_raw[[#This Row],[Column1]])</f>
        <v/>
      </c>
      <c r="B686" s="33" t="str">
        <f>IF(ISNONTEXT(namespace_raw[[#This Row],[Column2]]), "", namespace_raw[[#This Row],[Column2]])</f>
        <v/>
      </c>
      <c r="C686" s="94" t="str">
        <f>IF(ISNUMBER(namespace_raw[[#This Row],[Column4]]), namespace_raw[[#This Row],[Column4]], "")</f>
        <v/>
      </c>
      <c r="D686" s="95" t="str">
        <f>IF(ISNUMBER(namespace_raw[[#This Row],[Column5]]), namespace_raw[[#This Row],[Column5]]/1048576, "")</f>
        <v/>
      </c>
      <c r="E686" s="95" t="str">
        <f>IF(ISNUMBER(namespace_raw[[#This Row],[Column6]]), namespace_raw[[#This Row],[Column6]],"")</f>
        <v/>
      </c>
      <c r="F686" s="96" t="str">
        <f>IF(ISNUMBER(namespace_raw[[#This Row],[Column7]]), namespace_raw[[#This Row],[Column7]]/1048576,"")</f>
        <v/>
      </c>
      <c r="G686" s="122" t="str">
        <f>IF(ISNUMBER(namespace_raw[[#This Row],[Column8]]), namespace_raw[[#This Row],[Column8]],"")</f>
        <v/>
      </c>
      <c r="H686" s="123" t="str">
        <f>IF(ISNUMBER(namespace_raw[[#This Row],[Column9]]), namespace_raw[[#This Row],[Column9]]/1048576,"")</f>
        <v/>
      </c>
      <c r="I686" s="124" t="str">
        <f>IF(ISNUMBER(namespace_raw[[#This Row],[Column8]]),MAX(G686, M686, O686, $I$2,IF(Q686&lt;&gt;"",VALUE(Q686),0)), "")</f>
        <v/>
      </c>
      <c r="J686" s="125" t="str">
        <f>IF(ISNUMBER(namespace_raw[[#This Row],[Column9]]),MAX(H686, N686, P686, $J$2,IF(R686&lt;&gt;"",VALUE(R686),0)),"")</f>
        <v/>
      </c>
      <c r="K686" s="166" t="str">
        <f>IF(ISNUMBER(namespace_raw[[#This Row],[Column12]]), namespace_raw[[#This Row],[Column12]],"")</f>
        <v/>
      </c>
      <c r="L686" s="167" t="str">
        <f>IF(ISNUMBER(namespace_raw[[#This Row],[Column13]]), namespace_raw[[#This Row],[Column13]]/1048576,"")</f>
        <v/>
      </c>
      <c r="M686" s="168" t="str">
        <f>IF(ISNUMBER(namespace_raw[[#This Row],[Column10]]), (namespace_raw[[#This Row],[Column10]]*(1+$M$2)),"")</f>
        <v/>
      </c>
      <c r="N686" s="167" t="str">
        <f>IF(ISNUMBER(namespace_raw[[#This Row],[Column11]]), (namespace_raw[[#This Row],[Column11]]*(1+$N$2))/1048576,"")</f>
        <v/>
      </c>
      <c r="O686" s="169" t="str">
        <f>IF(ISNUMBER(namespace_raw[[#This Row],[Column8]]), (E686  * $O$2),"")</f>
        <v/>
      </c>
      <c r="P686" s="170" t="str">
        <f>IF(ISNUMBER(namespace_raw[[#This Row],[Column8]]), (F686  * $P$2),"")</f>
        <v/>
      </c>
    </row>
    <row r="687" spans="1:16" ht="15" customHeight="1" x14ac:dyDescent="0.25">
      <c r="A687" s="32" t="str">
        <f>IF(ISNONTEXT(namespace_raw[[#This Row],[Column1]]), "", namespace_raw[[#This Row],[Column1]])</f>
        <v/>
      </c>
      <c r="B687" s="33" t="str">
        <f>IF(ISNONTEXT(namespace_raw[[#This Row],[Column2]]), "", namespace_raw[[#This Row],[Column2]])</f>
        <v/>
      </c>
      <c r="C687" s="94" t="str">
        <f>IF(ISNUMBER(namespace_raw[[#This Row],[Column4]]), namespace_raw[[#This Row],[Column4]], "")</f>
        <v/>
      </c>
      <c r="D687" s="95" t="str">
        <f>IF(ISNUMBER(namespace_raw[[#This Row],[Column5]]), namespace_raw[[#This Row],[Column5]]/1048576, "")</f>
        <v/>
      </c>
      <c r="E687" s="95" t="str">
        <f>IF(ISNUMBER(namespace_raw[[#This Row],[Column6]]), namespace_raw[[#This Row],[Column6]],"")</f>
        <v/>
      </c>
      <c r="F687" s="96" t="str">
        <f>IF(ISNUMBER(namespace_raw[[#This Row],[Column7]]), namespace_raw[[#This Row],[Column7]]/1048576,"")</f>
        <v/>
      </c>
      <c r="G687" s="122" t="str">
        <f>IF(ISNUMBER(namespace_raw[[#This Row],[Column8]]), namespace_raw[[#This Row],[Column8]],"")</f>
        <v/>
      </c>
      <c r="H687" s="123" t="str">
        <f>IF(ISNUMBER(namespace_raw[[#This Row],[Column9]]), namespace_raw[[#This Row],[Column9]]/1048576,"")</f>
        <v/>
      </c>
      <c r="I687" s="124" t="str">
        <f>IF(ISNUMBER(namespace_raw[[#This Row],[Column8]]),MAX(G687, M687, O687, $I$2,IF(Q687&lt;&gt;"",VALUE(Q687),0)), "")</f>
        <v/>
      </c>
      <c r="J687" s="125" t="str">
        <f>IF(ISNUMBER(namespace_raw[[#This Row],[Column9]]),MAX(H687, N687, P687, $J$2,IF(R687&lt;&gt;"",VALUE(R687),0)),"")</f>
        <v/>
      </c>
      <c r="K687" s="166" t="str">
        <f>IF(ISNUMBER(namespace_raw[[#This Row],[Column12]]), namespace_raw[[#This Row],[Column12]],"")</f>
        <v/>
      </c>
      <c r="L687" s="167" t="str">
        <f>IF(ISNUMBER(namespace_raw[[#This Row],[Column13]]), namespace_raw[[#This Row],[Column13]]/1048576,"")</f>
        <v/>
      </c>
      <c r="M687" s="168" t="str">
        <f>IF(ISNUMBER(namespace_raw[[#This Row],[Column10]]), (namespace_raw[[#This Row],[Column10]]*(1+$M$2)),"")</f>
        <v/>
      </c>
      <c r="N687" s="167" t="str">
        <f>IF(ISNUMBER(namespace_raw[[#This Row],[Column11]]), (namespace_raw[[#This Row],[Column11]]*(1+$N$2))/1048576,"")</f>
        <v/>
      </c>
      <c r="O687" s="169" t="str">
        <f>IF(ISNUMBER(namespace_raw[[#This Row],[Column8]]), (E687  * $O$2),"")</f>
        <v/>
      </c>
      <c r="P687" s="170" t="str">
        <f>IF(ISNUMBER(namespace_raw[[#This Row],[Column8]]), (F687  * $P$2),"")</f>
        <v/>
      </c>
    </row>
    <row r="688" spans="1:16" ht="15" customHeight="1" x14ac:dyDescent="0.25">
      <c r="A688" s="32" t="str">
        <f>IF(ISNONTEXT(namespace_raw[[#This Row],[Column1]]), "", namespace_raw[[#This Row],[Column1]])</f>
        <v/>
      </c>
      <c r="B688" s="33" t="str">
        <f>IF(ISNONTEXT(namespace_raw[[#This Row],[Column2]]), "", namespace_raw[[#This Row],[Column2]])</f>
        <v/>
      </c>
      <c r="C688" s="94" t="str">
        <f>IF(ISNUMBER(namespace_raw[[#This Row],[Column4]]), namespace_raw[[#This Row],[Column4]], "")</f>
        <v/>
      </c>
      <c r="D688" s="95" t="str">
        <f>IF(ISNUMBER(namespace_raw[[#This Row],[Column5]]), namespace_raw[[#This Row],[Column5]]/1048576, "")</f>
        <v/>
      </c>
      <c r="E688" s="95" t="str">
        <f>IF(ISNUMBER(namespace_raw[[#This Row],[Column6]]), namespace_raw[[#This Row],[Column6]],"")</f>
        <v/>
      </c>
      <c r="F688" s="96" t="str">
        <f>IF(ISNUMBER(namespace_raw[[#This Row],[Column7]]), namespace_raw[[#This Row],[Column7]]/1048576,"")</f>
        <v/>
      </c>
      <c r="G688" s="122" t="str">
        <f>IF(ISNUMBER(namespace_raw[[#This Row],[Column8]]), namespace_raw[[#This Row],[Column8]],"")</f>
        <v/>
      </c>
      <c r="H688" s="123" t="str">
        <f>IF(ISNUMBER(namespace_raw[[#This Row],[Column9]]), namespace_raw[[#This Row],[Column9]]/1048576,"")</f>
        <v/>
      </c>
      <c r="I688" s="124" t="str">
        <f>IF(ISNUMBER(namespace_raw[[#This Row],[Column8]]),MAX(G688, M688, O688, $I$2,IF(Q688&lt;&gt;"",VALUE(Q688),0)), "")</f>
        <v/>
      </c>
      <c r="J688" s="125" t="str">
        <f>IF(ISNUMBER(namespace_raw[[#This Row],[Column9]]),MAX(H688, N688, P688, $J$2,IF(R688&lt;&gt;"",VALUE(R688),0)),"")</f>
        <v/>
      </c>
      <c r="K688" s="166" t="str">
        <f>IF(ISNUMBER(namespace_raw[[#This Row],[Column12]]), namespace_raw[[#This Row],[Column12]],"")</f>
        <v/>
      </c>
      <c r="L688" s="167" t="str">
        <f>IF(ISNUMBER(namespace_raw[[#This Row],[Column13]]), namespace_raw[[#This Row],[Column13]]/1048576,"")</f>
        <v/>
      </c>
      <c r="M688" s="168" t="str">
        <f>IF(ISNUMBER(namespace_raw[[#This Row],[Column10]]), (namespace_raw[[#This Row],[Column10]]*(1+$M$2)),"")</f>
        <v/>
      </c>
      <c r="N688" s="167" t="str">
        <f>IF(ISNUMBER(namespace_raw[[#This Row],[Column11]]), (namespace_raw[[#This Row],[Column11]]*(1+$N$2))/1048576,"")</f>
        <v/>
      </c>
      <c r="O688" s="169" t="str">
        <f>IF(ISNUMBER(namespace_raw[[#This Row],[Column8]]), (E688  * $O$2),"")</f>
        <v/>
      </c>
      <c r="P688" s="170" t="str">
        <f>IF(ISNUMBER(namespace_raw[[#This Row],[Column8]]), (F688  * $P$2),"")</f>
        <v/>
      </c>
    </row>
    <row r="689" spans="1:16" ht="15" customHeight="1" x14ac:dyDescent="0.25">
      <c r="A689" s="32" t="str">
        <f>IF(ISNONTEXT(namespace_raw[[#This Row],[Column1]]), "", namespace_raw[[#This Row],[Column1]])</f>
        <v/>
      </c>
      <c r="B689" s="33" t="str">
        <f>IF(ISNONTEXT(namespace_raw[[#This Row],[Column2]]), "", namespace_raw[[#This Row],[Column2]])</f>
        <v/>
      </c>
      <c r="C689" s="94" t="str">
        <f>IF(ISNUMBER(namespace_raw[[#This Row],[Column4]]), namespace_raw[[#This Row],[Column4]], "")</f>
        <v/>
      </c>
      <c r="D689" s="95" t="str">
        <f>IF(ISNUMBER(namespace_raw[[#This Row],[Column5]]), namespace_raw[[#This Row],[Column5]]/1048576, "")</f>
        <v/>
      </c>
      <c r="E689" s="95" t="str">
        <f>IF(ISNUMBER(namespace_raw[[#This Row],[Column6]]), namespace_raw[[#This Row],[Column6]],"")</f>
        <v/>
      </c>
      <c r="F689" s="96" t="str">
        <f>IF(ISNUMBER(namespace_raw[[#This Row],[Column7]]), namespace_raw[[#This Row],[Column7]]/1048576,"")</f>
        <v/>
      </c>
      <c r="G689" s="122" t="str">
        <f>IF(ISNUMBER(namespace_raw[[#This Row],[Column8]]), namespace_raw[[#This Row],[Column8]],"")</f>
        <v/>
      </c>
      <c r="H689" s="123" t="str">
        <f>IF(ISNUMBER(namespace_raw[[#This Row],[Column9]]), namespace_raw[[#This Row],[Column9]]/1048576,"")</f>
        <v/>
      </c>
      <c r="I689" s="124" t="str">
        <f>IF(ISNUMBER(namespace_raw[[#This Row],[Column8]]),MAX(G689, M689, O689, $I$2,IF(Q689&lt;&gt;"",VALUE(Q689),0)), "")</f>
        <v/>
      </c>
      <c r="J689" s="125" t="str">
        <f>IF(ISNUMBER(namespace_raw[[#This Row],[Column9]]),MAX(H689, N689, P689, $J$2,IF(R689&lt;&gt;"",VALUE(R689),0)),"")</f>
        <v/>
      </c>
      <c r="K689" s="166" t="str">
        <f>IF(ISNUMBER(namespace_raw[[#This Row],[Column12]]), namespace_raw[[#This Row],[Column12]],"")</f>
        <v/>
      </c>
      <c r="L689" s="167" t="str">
        <f>IF(ISNUMBER(namespace_raw[[#This Row],[Column13]]), namespace_raw[[#This Row],[Column13]]/1048576,"")</f>
        <v/>
      </c>
      <c r="M689" s="168" t="str">
        <f>IF(ISNUMBER(namespace_raw[[#This Row],[Column10]]), (namespace_raw[[#This Row],[Column10]]*(1+$M$2)),"")</f>
        <v/>
      </c>
      <c r="N689" s="167" t="str">
        <f>IF(ISNUMBER(namespace_raw[[#This Row],[Column11]]), (namespace_raw[[#This Row],[Column11]]*(1+$N$2))/1048576,"")</f>
        <v/>
      </c>
      <c r="O689" s="169" t="str">
        <f>IF(ISNUMBER(namespace_raw[[#This Row],[Column8]]), (E689  * $O$2),"")</f>
        <v/>
      </c>
      <c r="P689" s="170" t="str">
        <f>IF(ISNUMBER(namespace_raw[[#This Row],[Column8]]), (F689  * $P$2),"")</f>
        <v/>
      </c>
    </row>
    <row r="690" spans="1:16" ht="15" customHeight="1" x14ac:dyDescent="0.25">
      <c r="A690" s="32" t="str">
        <f>IF(ISNONTEXT(namespace_raw[[#This Row],[Column1]]), "", namespace_raw[[#This Row],[Column1]])</f>
        <v/>
      </c>
      <c r="B690" s="33" t="str">
        <f>IF(ISNONTEXT(namespace_raw[[#This Row],[Column2]]), "", namespace_raw[[#This Row],[Column2]])</f>
        <v/>
      </c>
      <c r="C690" s="94" t="str">
        <f>IF(ISNUMBER(namespace_raw[[#This Row],[Column4]]), namespace_raw[[#This Row],[Column4]], "")</f>
        <v/>
      </c>
      <c r="D690" s="95" t="str">
        <f>IF(ISNUMBER(namespace_raw[[#This Row],[Column5]]), namespace_raw[[#This Row],[Column5]]/1048576, "")</f>
        <v/>
      </c>
      <c r="E690" s="95" t="str">
        <f>IF(ISNUMBER(namespace_raw[[#This Row],[Column6]]), namespace_raw[[#This Row],[Column6]],"")</f>
        <v/>
      </c>
      <c r="F690" s="96" t="str">
        <f>IF(ISNUMBER(namespace_raw[[#This Row],[Column7]]), namespace_raw[[#This Row],[Column7]]/1048576,"")</f>
        <v/>
      </c>
      <c r="G690" s="122" t="str">
        <f>IF(ISNUMBER(namespace_raw[[#This Row],[Column8]]), namespace_raw[[#This Row],[Column8]],"")</f>
        <v/>
      </c>
      <c r="H690" s="123" t="str">
        <f>IF(ISNUMBER(namespace_raw[[#This Row],[Column9]]), namespace_raw[[#This Row],[Column9]]/1048576,"")</f>
        <v/>
      </c>
      <c r="I690" s="124" t="str">
        <f>IF(ISNUMBER(namespace_raw[[#This Row],[Column8]]),MAX(G690, M690, O690, $I$2,IF(Q690&lt;&gt;"",VALUE(Q690),0)), "")</f>
        <v/>
      </c>
      <c r="J690" s="125" t="str">
        <f>IF(ISNUMBER(namespace_raw[[#This Row],[Column9]]),MAX(H690, N690, P690, $J$2,IF(R690&lt;&gt;"",VALUE(R690),0)),"")</f>
        <v/>
      </c>
      <c r="K690" s="166" t="str">
        <f>IF(ISNUMBER(namespace_raw[[#This Row],[Column12]]), namespace_raw[[#This Row],[Column12]],"")</f>
        <v/>
      </c>
      <c r="L690" s="167" t="str">
        <f>IF(ISNUMBER(namespace_raw[[#This Row],[Column13]]), namespace_raw[[#This Row],[Column13]]/1048576,"")</f>
        <v/>
      </c>
      <c r="M690" s="168" t="str">
        <f>IF(ISNUMBER(namespace_raw[[#This Row],[Column10]]), (namespace_raw[[#This Row],[Column10]]*(1+$M$2)),"")</f>
        <v/>
      </c>
      <c r="N690" s="167" t="str">
        <f>IF(ISNUMBER(namespace_raw[[#This Row],[Column11]]), (namespace_raw[[#This Row],[Column11]]*(1+$N$2))/1048576,"")</f>
        <v/>
      </c>
      <c r="O690" s="169" t="str">
        <f>IF(ISNUMBER(namespace_raw[[#This Row],[Column8]]), (E690  * $O$2),"")</f>
        <v/>
      </c>
      <c r="P690" s="170" t="str">
        <f>IF(ISNUMBER(namespace_raw[[#This Row],[Column8]]), (F690  * $P$2),"")</f>
        <v/>
      </c>
    </row>
    <row r="691" spans="1:16" ht="15" customHeight="1" x14ac:dyDescent="0.25">
      <c r="A691" s="32" t="str">
        <f>IF(ISNONTEXT(namespace_raw[[#This Row],[Column1]]), "", namespace_raw[[#This Row],[Column1]])</f>
        <v/>
      </c>
      <c r="B691" s="33" t="str">
        <f>IF(ISNONTEXT(namespace_raw[[#This Row],[Column2]]), "", namespace_raw[[#This Row],[Column2]])</f>
        <v/>
      </c>
      <c r="C691" s="94" t="str">
        <f>IF(ISNUMBER(namespace_raw[[#This Row],[Column4]]), namespace_raw[[#This Row],[Column4]], "")</f>
        <v/>
      </c>
      <c r="D691" s="95" t="str">
        <f>IF(ISNUMBER(namespace_raw[[#This Row],[Column5]]), namespace_raw[[#This Row],[Column5]]/1048576, "")</f>
        <v/>
      </c>
      <c r="E691" s="95" t="str">
        <f>IF(ISNUMBER(namespace_raw[[#This Row],[Column6]]), namespace_raw[[#This Row],[Column6]],"")</f>
        <v/>
      </c>
      <c r="F691" s="96" t="str">
        <f>IF(ISNUMBER(namespace_raw[[#This Row],[Column7]]), namespace_raw[[#This Row],[Column7]]/1048576,"")</f>
        <v/>
      </c>
      <c r="G691" s="122" t="str">
        <f>IF(ISNUMBER(namespace_raw[[#This Row],[Column8]]), namespace_raw[[#This Row],[Column8]],"")</f>
        <v/>
      </c>
      <c r="H691" s="123" t="str">
        <f>IF(ISNUMBER(namespace_raw[[#This Row],[Column9]]), namespace_raw[[#This Row],[Column9]]/1048576,"")</f>
        <v/>
      </c>
      <c r="I691" s="124" t="str">
        <f>IF(ISNUMBER(namespace_raw[[#This Row],[Column8]]),MAX(G691, M691, O691, $I$2,IF(Q691&lt;&gt;"",VALUE(Q691),0)), "")</f>
        <v/>
      </c>
      <c r="J691" s="125" t="str">
        <f>IF(ISNUMBER(namespace_raw[[#This Row],[Column9]]),MAX(H691, N691, P691, $J$2,IF(R691&lt;&gt;"",VALUE(R691),0)),"")</f>
        <v/>
      </c>
      <c r="K691" s="166" t="str">
        <f>IF(ISNUMBER(namespace_raw[[#This Row],[Column12]]), namespace_raw[[#This Row],[Column12]],"")</f>
        <v/>
      </c>
      <c r="L691" s="167" t="str">
        <f>IF(ISNUMBER(namespace_raw[[#This Row],[Column13]]), namespace_raw[[#This Row],[Column13]]/1048576,"")</f>
        <v/>
      </c>
      <c r="M691" s="168" t="str">
        <f>IF(ISNUMBER(namespace_raw[[#This Row],[Column10]]), (namespace_raw[[#This Row],[Column10]]*(1+$M$2)),"")</f>
        <v/>
      </c>
      <c r="N691" s="167" t="str">
        <f>IF(ISNUMBER(namespace_raw[[#This Row],[Column11]]), (namespace_raw[[#This Row],[Column11]]*(1+$N$2))/1048576,"")</f>
        <v/>
      </c>
      <c r="O691" s="169" t="str">
        <f>IF(ISNUMBER(namespace_raw[[#This Row],[Column8]]), (E691  * $O$2),"")</f>
        <v/>
      </c>
      <c r="P691" s="170" t="str">
        <f>IF(ISNUMBER(namespace_raw[[#This Row],[Column8]]), (F691  * $P$2),"")</f>
        <v/>
      </c>
    </row>
    <row r="692" spans="1:16" ht="15" customHeight="1" x14ac:dyDescent="0.25">
      <c r="A692" s="32" t="str">
        <f>IF(ISNONTEXT(namespace_raw[[#This Row],[Column1]]), "", namespace_raw[[#This Row],[Column1]])</f>
        <v/>
      </c>
      <c r="B692" s="33" t="str">
        <f>IF(ISNONTEXT(namespace_raw[[#This Row],[Column2]]), "", namespace_raw[[#This Row],[Column2]])</f>
        <v/>
      </c>
      <c r="C692" s="94" t="str">
        <f>IF(ISNUMBER(namespace_raw[[#This Row],[Column4]]), namespace_raw[[#This Row],[Column4]], "")</f>
        <v/>
      </c>
      <c r="D692" s="95" t="str">
        <f>IF(ISNUMBER(namespace_raw[[#This Row],[Column5]]), namespace_raw[[#This Row],[Column5]]/1048576, "")</f>
        <v/>
      </c>
      <c r="E692" s="95" t="str">
        <f>IF(ISNUMBER(namespace_raw[[#This Row],[Column6]]), namespace_raw[[#This Row],[Column6]],"")</f>
        <v/>
      </c>
      <c r="F692" s="96" t="str">
        <f>IF(ISNUMBER(namespace_raw[[#This Row],[Column7]]), namespace_raw[[#This Row],[Column7]]/1048576,"")</f>
        <v/>
      </c>
      <c r="G692" s="122" t="str">
        <f>IF(ISNUMBER(namespace_raw[[#This Row],[Column8]]), namespace_raw[[#This Row],[Column8]],"")</f>
        <v/>
      </c>
      <c r="H692" s="123" t="str">
        <f>IF(ISNUMBER(namespace_raw[[#This Row],[Column9]]), namespace_raw[[#This Row],[Column9]]/1048576,"")</f>
        <v/>
      </c>
      <c r="I692" s="124" t="str">
        <f>IF(ISNUMBER(namespace_raw[[#This Row],[Column8]]),MAX(G692, M692, O692, $I$2,IF(Q692&lt;&gt;"",VALUE(Q692),0)), "")</f>
        <v/>
      </c>
      <c r="J692" s="125" t="str">
        <f>IF(ISNUMBER(namespace_raw[[#This Row],[Column9]]),MAX(H692, N692, P692, $J$2,IF(R692&lt;&gt;"",VALUE(R692),0)),"")</f>
        <v/>
      </c>
      <c r="K692" s="166" t="str">
        <f>IF(ISNUMBER(namespace_raw[[#This Row],[Column12]]), namespace_raw[[#This Row],[Column12]],"")</f>
        <v/>
      </c>
      <c r="L692" s="167" t="str">
        <f>IF(ISNUMBER(namespace_raw[[#This Row],[Column13]]), namespace_raw[[#This Row],[Column13]]/1048576,"")</f>
        <v/>
      </c>
      <c r="M692" s="168" t="str">
        <f>IF(ISNUMBER(namespace_raw[[#This Row],[Column10]]), (namespace_raw[[#This Row],[Column10]]*(1+$M$2)),"")</f>
        <v/>
      </c>
      <c r="N692" s="167" t="str">
        <f>IF(ISNUMBER(namespace_raw[[#This Row],[Column11]]), (namespace_raw[[#This Row],[Column11]]*(1+$N$2))/1048576,"")</f>
        <v/>
      </c>
      <c r="O692" s="169" t="str">
        <f>IF(ISNUMBER(namespace_raw[[#This Row],[Column8]]), (E692  * $O$2),"")</f>
        <v/>
      </c>
      <c r="P692" s="170" t="str">
        <f>IF(ISNUMBER(namespace_raw[[#This Row],[Column8]]), (F692  * $P$2),"")</f>
        <v/>
      </c>
    </row>
    <row r="693" spans="1:16" ht="15" customHeight="1" x14ac:dyDescent="0.25">
      <c r="A693" s="32" t="str">
        <f>IF(ISNONTEXT(namespace_raw[[#This Row],[Column1]]), "", namespace_raw[[#This Row],[Column1]])</f>
        <v/>
      </c>
      <c r="B693" s="33" t="str">
        <f>IF(ISNONTEXT(namespace_raw[[#This Row],[Column2]]), "", namespace_raw[[#This Row],[Column2]])</f>
        <v/>
      </c>
      <c r="C693" s="94" t="str">
        <f>IF(ISNUMBER(namespace_raw[[#This Row],[Column4]]), namespace_raw[[#This Row],[Column4]], "")</f>
        <v/>
      </c>
      <c r="D693" s="95" t="str">
        <f>IF(ISNUMBER(namespace_raw[[#This Row],[Column5]]), namespace_raw[[#This Row],[Column5]]/1048576, "")</f>
        <v/>
      </c>
      <c r="E693" s="95" t="str">
        <f>IF(ISNUMBER(namespace_raw[[#This Row],[Column6]]), namespace_raw[[#This Row],[Column6]],"")</f>
        <v/>
      </c>
      <c r="F693" s="96" t="str">
        <f>IF(ISNUMBER(namespace_raw[[#This Row],[Column7]]), namespace_raw[[#This Row],[Column7]]/1048576,"")</f>
        <v/>
      </c>
      <c r="G693" s="122" t="str">
        <f>IF(ISNUMBER(namespace_raw[[#This Row],[Column8]]), namespace_raw[[#This Row],[Column8]],"")</f>
        <v/>
      </c>
      <c r="H693" s="123" t="str">
        <f>IF(ISNUMBER(namespace_raw[[#This Row],[Column9]]), namespace_raw[[#This Row],[Column9]]/1048576,"")</f>
        <v/>
      </c>
      <c r="I693" s="124" t="str">
        <f>IF(ISNUMBER(namespace_raw[[#This Row],[Column8]]),MAX(G693, M693, O693, $I$2,IF(Q693&lt;&gt;"",VALUE(Q693),0)), "")</f>
        <v/>
      </c>
      <c r="J693" s="125" t="str">
        <f>IF(ISNUMBER(namespace_raw[[#This Row],[Column9]]),MAX(H693, N693, P693, $J$2,IF(R693&lt;&gt;"",VALUE(R693),0)),"")</f>
        <v/>
      </c>
      <c r="K693" s="166" t="str">
        <f>IF(ISNUMBER(namespace_raw[[#This Row],[Column12]]), namespace_raw[[#This Row],[Column12]],"")</f>
        <v/>
      </c>
      <c r="L693" s="167" t="str">
        <f>IF(ISNUMBER(namespace_raw[[#This Row],[Column13]]), namespace_raw[[#This Row],[Column13]]/1048576,"")</f>
        <v/>
      </c>
      <c r="M693" s="168" t="str">
        <f>IF(ISNUMBER(namespace_raw[[#This Row],[Column10]]), (namespace_raw[[#This Row],[Column10]]*(1+$M$2)),"")</f>
        <v/>
      </c>
      <c r="N693" s="167" t="str">
        <f>IF(ISNUMBER(namespace_raw[[#This Row],[Column11]]), (namespace_raw[[#This Row],[Column11]]*(1+$N$2))/1048576,"")</f>
        <v/>
      </c>
      <c r="O693" s="169" t="str">
        <f>IF(ISNUMBER(namespace_raw[[#This Row],[Column8]]), (E693  * $O$2),"")</f>
        <v/>
      </c>
      <c r="P693" s="170" t="str">
        <f>IF(ISNUMBER(namespace_raw[[#This Row],[Column8]]), (F693  * $P$2),"")</f>
        <v/>
      </c>
    </row>
    <row r="694" spans="1:16" ht="15" customHeight="1" x14ac:dyDescent="0.25">
      <c r="A694" s="32" t="str">
        <f>IF(ISNONTEXT(namespace_raw[[#This Row],[Column1]]), "", namespace_raw[[#This Row],[Column1]])</f>
        <v/>
      </c>
      <c r="B694" s="33" t="str">
        <f>IF(ISNONTEXT(namespace_raw[[#This Row],[Column2]]), "", namespace_raw[[#This Row],[Column2]])</f>
        <v/>
      </c>
      <c r="C694" s="94" t="str">
        <f>IF(ISNUMBER(namespace_raw[[#This Row],[Column4]]), namespace_raw[[#This Row],[Column4]], "")</f>
        <v/>
      </c>
      <c r="D694" s="95" t="str">
        <f>IF(ISNUMBER(namespace_raw[[#This Row],[Column5]]), namespace_raw[[#This Row],[Column5]]/1048576, "")</f>
        <v/>
      </c>
      <c r="E694" s="95" t="str">
        <f>IF(ISNUMBER(namespace_raw[[#This Row],[Column6]]), namespace_raw[[#This Row],[Column6]],"")</f>
        <v/>
      </c>
      <c r="F694" s="96" t="str">
        <f>IF(ISNUMBER(namespace_raw[[#This Row],[Column7]]), namespace_raw[[#This Row],[Column7]]/1048576,"")</f>
        <v/>
      </c>
      <c r="G694" s="122" t="str">
        <f>IF(ISNUMBER(namespace_raw[[#This Row],[Column8]]), namespace_raw[[#This Row],[Column8]],"")</f>
        <v/>
      </c>
      <c r="H694" s="123" t="str">
        <f>IF(ISNUMBER(namespace_raw[[#This Row],[Column9]]), namespace_raw[[#This Row],[Column9]]/1048576,"")</f>
        <v/>
      </c>
      <c r="I694" s="124" t="str">
        <f>IF(ISNUMBER(namespace_raw[[#This Row],[Column8]]),MAX(G694, M694, O694, $I$2,IF(Q694&lt;&gt;"",VALUE(Q694),0)), "")</f>
        <v/>
      </c>
      <c r="J694" s="125" t="str">
        <f>IF(ISNUMBER(namespace_raw[[#This Row],[Column9]]),MAX(H694, N694, P694, $J$2,IF(R694&lt;&gt;"",VALUE(R694),0)),"")</f>
        <v/>
      </c>
      <c r="K694" s="166" t="str">
        <f>IF(ISNUMBER(namespace_raw[[#This Row],[Column12]]), namespace_raw[[#This Row],[Column12]],"")</f>
        <v/>
      </c>
      <c r="L694" s="167" t="str">
        <f>IF(ISNUMBER(namespace_raw[[#This Row],[Column13]]), namespace_raw[[#This Row],[Column13]]/1048576,"")</f>
        <v/>
      </c>
      <c r="M694" s="168" t="str">
        <f>IF(ISNUMBER(namespace_raw[[#This Row],[Column10]]), (namespace_raw[[#This Row],[Column10]]*(1+$M$2)),"")</f>
        <v/>
      </c>
      <c r="N694" s="167" t="str">
        <f>IF(ISNUMBER(namespace_raw[[#This Row],[Column11]]), (namespace_raw[[#This Row],[Column11]]*(1+$N$2))/1048576,"")</f>
        <v/>
      </c>
      <c r="O694" s="169" t="str">
        <f>IF(ISNUMBER(namespace_raw[[#This Row],[Column8]]), (E694  * $O$2),"")</f>
        <v/>
      </c>
      <c r="P694" s="170" t="str">
        <f>IF(ISNUMBER(namespace_raw[[#This Row],[Column8]]), (F694  * $P$2),"")</f>
        <v/>
      </c>
    </row>
    <row r="695" spans="1:16" ht="15" customHeight="1" x14ac:dyDescent="0.25">
      <c r="A695" s="32" t="str">
        <f>IF(ISNONTEXT(namespace_raw[[#This Row],[Column1]]), "", namespace_raw[[#This Row],[Column1]])</f>
        <v/>
      </c>
      <c r="B695" s="33" t="str">
        <f>IF(ISNONTEXT(namespace_raw[[#This Row],[Column2]]), "", namespace_raw[[#This Row],[Column2]])</f>
        <v/>
      </c>
      <c r="C695" s="94" t="str">
        <f>IF(ISNUMBER(namespace_raw[[#This Row],[Column4]]), namespace_raw[[#This Row],[Column4]], "")</f>
        <v/>
      </c>
      <c r="D695" s="95" t="str">
        <f>IF(ISNUMBER(namespace_raw[[#This Row],[Column5]]), namespace_raw[[#This Row],[Column5]]/1048576, "")</f>
        <v/>
      </c>
      <c r="E695" s="95" t="str">
        <f>IF(ISNUMBER(namespace_raw[[#This Row],[Column6]]), namespace_raw[[#This Row],[Column6]],"")</f>
        <v/>
      </c>
      <c r="F695" s="96" t="str">
        <f>IF(ISNUMBER(namespace_raw[[#This Row],[Column7]]), namespace_raw[[#This Row],[Column7]]/1048576,"")</f>
        <v/>
      </c>
      <c r="G695" s="122" t="str">
        <f>IF(ISNUMBER(namespace_raw[[#This Row],[Column8]]), namespace_raw[[#This Row],[Column8]],"")</f>
        <v/>
      </c>
      <c r="H695" s="123" t="str">
        <f>IF(ISNUMBER(namespace_raw[[#This Row],[Column9]]), namespace_raw[[#This Row],[Column9]]/1048576,"")</f>
        <v/>
      </c>
      <c r="I695" s="124" t="str">
        <f>IF(ISNUMBER(namespace_raw[[#This Row],[Column8]]),MAX(G695, M695, O695, $I$2,IF(Q695&lt;&gt;"",VALUE(Q695),0)), "")</f>
        <v/>
      </c>
      <c r="J695" s="125" t="str">
        <f>IF(ISNUMBER(namespace_raw[[#This Row],[Column9]]),MAX(H695, N695, P695, $J$2,IF(R695&lt;&gt;"",VALUE(R695),0)),"")</f>
        <v/>
      </c>
      <c r="K695" s="166" t="str">
        <f>IF(ISNUMBER(namespace_raw[[#This Row],[Column12]]), namespace_raw[[#This Row],[Column12]],"")</f>
        <v/>
      </c>
      <c r="L695" s="167" t="str">
        <f>IF(ISNUMBER(namespace_raw[[#This Row],[Column13]]), namespace_raw[[#This Row],[Column13]]/1048576,"")</f>
        <v/>
      </c>
      <c r="M695" s="168" t="str">
        <f>IF(ISNUMBER(namespace_raw[[#This Row],[Column10]]), (namespace_raw[[#This Row],[Column10]]*(1+$M$2)),"")</f>
        <v/>
      </c>
      <c r="N695" s="167" t="str">
        <f>IF(ISNUMBER(namespace_raw[[#This Row],[Column11]]), (namespace_raw[[#This Row],[Column11]]*(1+$N$2))/1048576,"")</f>
        <v/>
      </c>
      <c r="O695" s="169" t="str">
        <f>IF(ISNUMBER(namespace_raw[[#This Row],[Column8]]), (E695  * $O$2),"")</f>
        <v/>
      </c>
      <c r="P695" s="170" t="str">
        <f>IF(ISNUMBER(namespace_raw[[#This Row],[Column8]]), (F695  * $P$2),"")</f>
        <v/>
      </c>
    </row>
    <row r="696" spans="1:16" ht="15" customHeight="1" x14ac:dyDescent="0.25">
      <c r="A696" s="32" t="str">
        <f>IF(ISNONTEXT(namespace_raw[[#This Row],[Column1]]), "", namespace_raw[[#This Row],[Column1]])</f>
        <v/>
      </c>
      <c r="B696" s="33" t="str">
        <f>IF(ISNONTEXT(namespace_raw[[#This Row],[Column2]]), "", namespace_raw[[#This Row],[Column2]])</f>
        <v/>
      </c>
      <c r="C696" s="94" t="str">
        <f>IF(ISNUMBER(namespace_raw[[#This Row],[Column4]]), namespace_raw[[#This Row],[Column4]], "")</f>
        <v/>
      </c>
      <c r="D696" s="95" t="str">
        <f>IF(ISNUMBER(namespace_raw[[#This Row],[Column5]]), namespace_raw[[#This Row],[Column5]]/1048576, "")</f>
        <v/>
      </c>
      <c r="E696" s="95" t="str">
        <f>IF(ISNUMBER(namespace_raw[[#This Row],[Column6]]), namespace_raw[[#This Row],[Column6]],"")</f>
        <v/>
      </c>
      <c r="F696" s="96" t="str">
        <f>IF(ISNUMBER(namespace_raw[[#This Row],[Column7]]), namespace_raw[[#This Row],[Column7]]/1048576,"")</f>
        <v/>
      </c>
      <c r="G696" s="122" t="str">
        <f>IF(ISNUMBER(namespace_raw[[#This Row],[Column8]]), namespace_raw[[#This Row],[Column8]],"")</f>
        <v/>
      </c>
      <c r="H696" s="123" t="str">
        <f>IF(ISNUMBER(namespace_raw[[#This Row],[Column9]]), namespace_raw[[#This Row],[Column9]]/1048576,"")</f>
        <v/>
      </c>
      <c r="I696" s="124" t="str">
        <f>IF(ISNUMBER(namespace_raw[[#This Row],[Column8]]),MAX(G696, M696, O696, $I$2,IF(Q696&lt;&gt;"",VALUE(Q696),0)), "")</f>
        <v/>
      </c>
      <c r="J696" s="125" t="str">
        <f>IF(ISNUMBER(namespace_raw[[#This Row],[Column9]]),MAX(H696, N696, P696, $J$2,IF(R696&lt;&gt;"",VALUE(R696),0)),"")</f>
        <v/>
      </c>
      <c r="K696" s="166" t="str">
        <f>IF(ISNUMBER(namespace_raw[[#This Row],[Column12]]), namespace_raw[[#This Row],[Column12]],"")</f>
        <v/>
      </c>
      <c r="L696" s="167" t="str">
        <f>IF(ISNUMBER(namespace_raw[[#This Row],[Column13]]), namespace_raw[[#This Row],[Column13]]/1048576,"")</f>
        <v/>
      </c>
      <c r="M696" s="168" t="str">
        <f>IF(ISNUMBER(namespace_raw[[#This Row],[Column10]]), (namespace_raw[[#This Row],[Column10]]*(1+$M$2)),"")</f>
        <v/>
      </c>
      <c r="N696" s="167" t="str">
        <f>IF(ISNUMBER(namespace_raw[[#This Row],[Column11]]), (namespace_raw[[#This Row],[Column11]]*(1+$N$2))/1048576,"")</f>
        <v/>
      </c>
      <c r="O696" s="169" t="str">
        <f>IF(ISNUMBER(namespace_raw[[#This Row],[Column8]]), (E696  * $O$2),"")</f>
        <v/>
      </c>
      <c r="P696" s="170" t="str">
        <f>IF(ISNUMBER(namespace_raw[[#This Row],[Column8]]), (F696  * $P$2),"")</f>
        <v/>
      </c>
    </row>
    <row r="697" spans="1:16" ht="15" customHeight="1" x14ac:dyDescent="0.25">
      <c r="A697" s="32" t="str">
        <f>IF(ISNONTEXT(namespace_raw[[#This Row],[Column1]]), "", namespace_raw[[#This Row],[Column1]])</f>
        <v/>
      </c>
      <c r="B697" s="33" t="str">
        <f>IF(ISNONTEXT(namespace_raw[[#This Row],[Column2]]), "", namespace_raw[[#This Row],[Column2]])</f>
        <v/>
      </c>
      <c r="C697" s="94" t="str">
        <f>IF(ISNUMBER(namespace_raw[[#This Row],[Column4]]), namespace_raw[[#This Row],[Column4]], "")</f>
        <v/>
      </c>
      <c r="D697" s="95" t="str">
        <f>IF(ISNUMBER(namespace_raw[[#This Row],[Column5]]), namespace_raw[[#This Row],[Column5]]/1048576, "")</f>
        <v/>
      </c>
      <c r="E697" s="95" t="str">
        <f>IF(ISNUMBER(namespace_raw[[#This Row],[Column6]]), namespace_raw[[#This Row],[Column6]],"")</f>
        <v/>
      </c>
      <c r="F697" s="96" t="str">
        <f>IF(ISNUMBER(namespace_raw[[#This Row],[Column7]]), namespace_raw[[#This Row],[Column7]]/1048576,"")</f>
        <v/>
      </c>
      <c r="G697" s="122" t="str">
        <f>IF(ISNUMBER(namespace_raw[[#This Row],[Column8]]), namespace_raw[[#This Row],[Column8]],"")</f>
        <v/>
      </c>
      <c r="H697" s="123" t="str">
        <f>IF(ISNUMBER(namespace_raw[[#This Row],[Column9]]), namespace_raw[[#This Row],[Column9]]/1048576,"")</f>
        <v/>
      </c>
      <c r="I697" s="124" t="str">
        <f>IF(ISNUMBER(namespace_raw[[#This Row],[Column8]]),MAX(G697, M697, O697, $I$2,IF(Q697&lt;&gt;"",VALUE(Q697),0)), "")</f>
        <v/>
      </c>
      <c r="J697" s="125" t="str">
        <f>IF(ISNUMBER(namespace_raw[[#This Row],[Column9]]),MAX(H697, N697, P697, $J$2,IF(R697&lt;&gt;"",VALUE(R697),0)),"")</f>
        <v/>
      </c>
      <c r="K697" s="166" t="str">
        <f>IF(ISNUMBER(namespace_raw[[#This Row],[Column12]]), namespace_raw[[#This Row],[Column12]],"")</f>
        <v/>
      </c>
      <c r="L697" s="167" t="str">
        <f>IF(ISNUMBER(namespace_raw[[#This Row],[Column13]]), namespace_raw[[#This Row],[Column13]]/1048576,"")</f>
        <v/>
      </c>
      <c r="M697" s="168" t="str">
        <f>IF(ISNUMBER(namespace_raw[[#This Row],[Column10]]), (namespace_raw[[#This Row],[Column10]]*(1+$M$2)),"")</f>
        <v/>
      </c>
      <c r="N697" s="167" t="str">
        <f>IF(ISNUMBER(namespace_raw[[#This Row],[Column11]]), (namespace_raw[[#This Row],[Column11]]*(1+$N$2))/1048576,"")</f>
        <v/>
      </c>
      <c r="O697" s="169" t="str">
        <f>IF(ISNUMBER(namespace_raw[[#This Row],[Column8]]), (E697  * $O$2),"")</f>
        <v/>
      </c>
      <c r="P697" s="170" t="str">
        <f>IF(ISNUMBER(namespace_raw[[#This Row],[Column8]]), (F697  * $P$2),"")</f>
        <v/>
      </c>
    </row>
    <row r="698" spans="1:16" ht="15" customHeight="1" x14ac:dyDescent="0.25">
      <c r="A698" s="32" t="str">
        <f>IF(ISNONTEXT(namespace_raw[[#This Row],[Column1]]), "", namespace_raw[[#This Row],[Column1]])</f>
        <v/>
      </c>
      <c r="B698" s="33" t="str">
        <f>IF(ISNONTEXT(namespace_raw[[#This Row],[Column2]]), "", namespace_raw[[#This Row],[Column2]])</f>
        <v/>
      </c>
      <c r="C698" s="94" t="str">
        <f>IF(ISNUMBER(namespace_raw[[#This Row],[Column4]]), namespace_raw[[#This Row],[Column4]], "")</f>
        <v/>
      </c>
      <c r="D698" s="95" t="str">
        <f>IF(ISNUMBER(namespace_raw[[#This Row],[Column5]]), namespace_raw[[#This Row],[Column5]]/1048576, "")</f>
        <v/>
      </c>
      <c r="E698" s="95" t="str">
        <f>IF(ISNUMBER(namespace_raw[[#This Row],[Column6]]), namespace_raw[[#This Row],[Column6]],"")</f>
        <v/>
      </c>
      <c r="F698" s="96" t="str">
        <f>IF(ISNUMBER(namespace_raw[[#This Row],[Column7]]), namespace_raw[[#This Row],[Column7]]/1048576,"")</f>
        <v/>
      </c>
      <c r="G698" s="122" t="str">
        <f>IF(ISNUMBER(namespace_raw[[#This Row],[Column8]]), namespace_raw[[#This Row],[Column8]],"")</f>
        <v/>
      </c>
      <c r="H698" s="123" t="str">
        <f>IF(ISNUMBER(namespace_raw[[#This Row],[Column9]]), namespace_raw[[#This Row],[Column9]]/1048576,"")</f>
        <v/>
      </c>
      <c r="I698" s="124" t="str">
        <f>IF(ISNUMBER(namespace_raw[[#This Row],[Column8]]),MAX(G698, M698, O698, $I$2,IF(Q698&lt;&gt;"",VALUE(Q698),0)), "")</f>
        <v/>
      </c>
      <c r="J698" s="125" t="str">
        <f>IF(ISNUMBER(namespace_raw[[#This Row],[Column9]]),MAX(H698, N698, P698, $J$2,IF(R698&lt;&gt;"",VALUE(R698),0)),"")</f>
        <v/>
      </c>
      <c r="K698" s="166" t="str">
        <f>IF(ISNUMBER(namespace_raw[[#This Row],[Column12]]), namespace_raw[[#This Row],[Column12]],"")</f>
        <v/>
      </c>
      <c r="L698" s="167" t="str">
        <f>IF(ISNUMBER(namespace_raw[[#This Row],[Column13]]), namespace_raw[[#This Row],[Column13]]/1048576,"")</f>
        <v/>
      </c>
      <c r="M698" s="168" t="str">
        <f>IF(ISNUMBER(namespace_raw[[#This Row],[Column10]]), (namespace_raw[[#This Row],[Column10]]*(1+$M$2)),"")</f>
        <v/>
      </c>
      <c r="N698" s="167" t="str">
        <f>IF(ISNUMBER(namespace_raw[[#This Row],[Column11]]), (namespace_raw[[#This Row],[Column11]]*(1+$N$2))/1048576,"")</f>
        <v/>
      </c>
      <c r="O698" s="169" t="str">
        <f>IF(ISNUMBER(namespace_raw[[#This Row],[Column8]]), (E698  * $O$2),"")</f>
        <v/>
      </c>
      <c r="P698" s="170" t="str">
        <f>IF(ISNUMBER(namespace_raw[[#This Row],[Column8]]), (F698  * $P$2),"")</f>
        <v/>
      </c>
    </row>
    <row r="699" spans="1:16" ht="15" customHeight="1" x14ac:dyDescent="0.25">
      <c r="A699" s="32" t="str">
        <f>IF(ISNONTEXT(namespace_raw[[#This Row],[Column1]]), "", namespace_raw[[#This Row],[Column1]])</f>
        <v/>
      </c>
      <c r="B699" s="33" t="str">
        <f>IF(ISNONTEXT(namespace_raw[[#This Row],[Column2]]), "", namespace_raw[[#This Row],[Column2]])</f>
        <v/>
      </c>
      <c r="C699" s="94" t="str">
        <f>IF(ISNUMBER(namespace_raw[[#This Row],[Column4]]), namespace_raw[[#This Row],[Column4]], "")</f>
        <v/>
      </c>
      <c r="D699" s="95" t="str">
        <f>IF(ISNUMBER(namespace_raw[[#This Row],[Column5]]), namespace_raw[[#This Row],[Column5]]/1048576, "")</f>
        <v/>
      </c>
      <c r="E699" s="95" t="str">
        <f>IF(ISNUMBER(namespace_raw[[#This Row],[Column6]]), namespace_raw[[#This Row],[Column6]],"")</f>
        <v/>
      </c>
      <c r="F699" s="96" t="str">
        <f>IF(ISNUMBER(namespace_raw[[#This Row],[Column7]]), namespace_raw[[#This Row],[Column7]]/1048576,"")</f>
        <v/>
      </c>
      <c r="G699" s="122" t="str">
        <f>IF(ISNUMBER(namespace_raw[[#This Row],[Column8]]), namespace_raw[[#This Row],[Column8]],"")</f>
        <v/>
      </c>
      <c r="H699" s="123" t="str">
        <f>IF(ISNUMBER(namespace_raw[[#This Row],[Column9]]), namespace_raw[[#This Row],[Column9]]/1048576,"")</f>
        <v/>
      </c>
      <c r="I699" s="124" t="str">
        <f>IF(ISNUMBER(namespace_raw[[#This Row],[Column8]]),MAX(G699, M699, O699, $I$2,IF(Q699&lt;&gt;"",VALUE(Q699),0)), "")</f>
        <v/>
      </c>
      <c r="J699" s="125" t="str">
        <f>IF(ISNUMBER(namespace_raw[[#This Row],[Column9]]),MAX(H699, N699, P699, $J$2,IF(R699&lt;&gt;"",VALUE(R699),0)),"")</f>
        <v/>
      </c>
      <c r="K699" s="166" t="str">
        <f>IF(ISNUMBER(namespace_raw[[#This Row],[Column12]]), namespace_raw[[#This Row],[Column12]],"")</f>
        <v/>
      </c>
      <c r="L699" s="167" t="str">
        <f>IF(ISNUMBER(namespace_raw[[#This Row],[Column13]]), namespace_raw[[#This Row],[Column13]]/1048576,"")</f>
        <v/>
      </c>
      <c r="M699" s="168" t="str">
        <f>IF(ISNUMBER(namespace_raw[[#This Row],[Column10]]), (namespace_raw[[#This Row],[Column10]]*(1+$M$2)),"")</f>
        <v/>
      </c>
      <c r="N699" s="167" t="str">
        <f>IF(ISNUMBER(namespace_raw[[#This Row],[Column11]]), (namespace_raw[[#This Row],[Column11]]*(1+$N$2))/1048576,"")</f>
        <v/>
      </c>
      <c r="O699" s="169" t="str">
        <f>IF(ISNUMBER(namespace_raw[[#This Row],[Column8]]), (E699  * $O$2),"")</f>
        <v/>
      </c>
      <c r="P699" s="170" t="str">
        <f>IF(ISNUMBER(namespace_raw[[#This Row],[Column8]]), (F699  * $P$2),"")</f>
        <v/>
      </c>
    </row>
    <row r="700" spans="1:16" ht="15" customHeight="1" x14ac:dyDescent="0.25">
      <c r="A700" s="32" t="str">
        <f>IF(ISNONTEXT(namespace_raw[[#This Row],[Column1]]), "", namespace_raw[[#This Row],[Column1]])</f>
        <v/>
      </c>
      <c r="B700" s="33" t="str">
        <f>IF(ISNONTEXT(namespace_raw[[#This Row],[Column2]]), "", namespace_raw[[#This Row],[Column2]])</f>
        <v/>
      </c>
      <c r="C700" s="94" t="str">
        <f>IF(ISNUMBER(namespace_raw[[#This Row],[Column4]]), namespace_raw[[#This Row],[Column4]], "")</f>
        <v/>
      </c>
      <c r="D700" s="95" t="str">
        <f>IF(ISNUMBER(namespace_raw[[#This Row],[Column5]]), namespace_raw[[#This Row],[Column5]]/1048576, "")</f>
        <v/>
      </c>
      <c r="E700" s="95" t="str">
        <f>IF(ISNUMBER(namespace_raw[[#This Row],[Column6]]), namespace_raw[[#This Row],[Column6]],"")</f>
        <v/>
      </c>
      <c r="F700" s="96" t="str">
        <f>IF(ISNUMBER(namespace_raw[[#This Row],[Column7]]), namespace_raw[[#This Row],[Column7]]/1048576,"")</f>
        <v/>
      </c>
      <c r="G700" s="122" t="str">
        <f>IF(ISNUMBER(namespace_raw[[#This Row],[Column8]]), namespace_raw[[#This Row],[Column8]],"")</f>
        <v/>
      </c>
      <c r="H700" s="123" t="str">
        <f>IF(ISNUMBER(namespace_raw[[#This Row],[Column9]]), namespace_raw[[#This Row],[Column9]]/1048576,"")</f>
        <v/>
      </c>
      <c r="I700" s="124" t="str">
        <f>IF(ISNUMBER(namespace_raw[[#This Row],[Column8]]),MAX(G700, M700, O700, $I$2,IF(Q700&lt;&gt;"",VALUE(Q700),0)), "")</f>
        <v/>
      </c>
      <c r="J700" s="125" t="str">
        <f>IF(ISNUMBER(namespace_raw[[#This Row],[Column9]]),MAX(H700, N700, P700, $J$2,IF(R700&lt;&gt;"",VALUE(R700),0)),"")</f>
        <v/>
      </c>
      <c r="K700" s="166" t="str">
        <f>IF(ISNUMBER(namespace_raw[[#This Row],[Column12]]), namespace_raw[[#This Row],[Column12]],"")</f>
        <v/>
      </c>
      <c r="L700" s="167" t="str">
        <f>IF(ISNUMBER(namespace_raw[[#This Row],[Column13]]), namespace_raw[[#This Row],[Column13]]/1048576,"")</f>
        <v/>
      </c>
      <c r="M700" s="168" t="str">
        <f>IF(ISNUMBER(namespace_raw[[#This Row],[Column10]]), (namespace_raw[[#This Row],[Column10]]*(1+$M$2)),"")</f>
        <v/>
      </c>
      <c r="N700" s="167" t="str">
        <f>IF(ISNUMBER(namespace_raw[[#This Row],[Column11]]), (namespace_raw[[#This Row],[Column11]]*(1+$N$2))/1048576,"")</f>
        <v/>
      </c>
      <c r="O700" s="169" t="str">
        <f>IF(ISNUMBER(namespace_raw[[#This Row],[Column8]]), (E700  * $O$2),"")</f>
        <v/>
      </c>
      <c r="P700" s="170" t="str">
        <f>IF(ISNUMBER(namespace_raw[[#This Row],[Column8]]), (F700  * $P$2),"")</f>
        <v/>
      </c>
    </row>
    <row r="701" spans="1:16" ht="15" customHeight="1" x14ac:dyDescent="0.25">
      <c r="A701" s="32" t="str">
        <f>IF(ISNONTEXT(namespace_raw[[#This Row],[Column1]]), "", namespace_raw[[#This Row],[Column1]])</f>
        <v/>
      </c>
      <c r="B701" s="33" t="str">
        <f>IF(ISNONTEXT(namespace_raw[[#This Row],[Column2]]), "", namespace_raw[[#This Row],[Column2]])</f>
        <v/>
      </c>
      <c r="C701" s="94" t="str">
        <f>IF(ISNUMBER(namespace_raw[[#This Row],[Column4]]), namespace_raw[[#This Row],[Column4]], "")</f>
        <v/>
      </c>
      <c r="D701" s="95" t="str">
        <f>IF(ISNUMBER(namespace_raw[[#This Row],[Column5]]), namespace_raw[[#This Row],[Column5]]/1048576, "")</f>
        <v/>
      </c>
      <c r="E701" s="95" t="str">
        <f>IF(ISNUMBER(namespace_raw[[#This Row],[Column6]]), namespace_raw[[#This Row],[Column6]],"")</f>
        <v/>
      </c>
      <c r="F701" s="96" t="str">
        <f>IF(ISNUMBER(namespace_raw[[#This Row],[Column7]]), namespace_raw[[#This Row],[Column7]]/1048576,"")</f>
        <v/>
      </c>
      <c r="G701" s="122" t="str">
        <f>IF(ISNUMBER(namespace_raw[[#This Row],[Column8]]), namespace_raw[[#This Row],[Column8]],"")</f>
        <v/>
      </c>
      <c r="H701" s="123" t="str">
        <f>IF(ISNUMBER(namespace_raw[[#This Row],[Column9]]), namespace_raw[[#This Row],[Column9]]/1048576,"")</f>
        <v/>
      </c>
      <c r="I701" s="124" t="str">
        <f>IF(ISNUMBER(namespace_raw[[#This Row],[Column8]]),MAX(G701, M701, O701, $I$2,IF(Q701&lt;&gt;"",VALUE(Q701),0)), "")</f>
        <v/>
      </c>
      <c r="J701" s="125" t="str">
        <f>IF(ISNUMBER(namespace_raw[[#This Row],[Column9]]),MAX(H701, N701, P701, $J$2,IF(R701&lt;&gt;"",VALUE(R701),0)),"")</f>
        <v/>
      </c>
      <c r="K701" s="166" t="str">
        <f>IF(ISNUMBER(namespace_raw[[#This Row],[Column12]]), namespace_raw[[#This Row],[Column12]],"")</f>
        <v/>
      </c>
      <c r="L701" s="167" t="str">
        <f>IF(ISNUMBER(namespace_raw[[#This Row],[Column13]]), namespace_raw[[#This Row],[Column13]]/1048576,"")</f>
        <v/>
      </c>
      <c r="M701" s="168" t="str">
        <f>IF(ISNUMBER(namespace_raw[[#This Row],[Column10]]), (namespace_raw[[#This Row],[Column10]]*(1+$M$2)),"")</f>
        <v/>
      </c>
      <c r="N701" s="167" t="str">
        <f>IF(ISNUMBER(namespace_raw[[#This Row],[Column11]]), (namespace_raw[[#This Row],[Column11]]*(1+$N$2))/1048576,"")</f>
        <v/>
      </c>
      <c r="O701" s="169" t="str">
        <f>IF(ISNUMBER(namespace_raw[[#This Row],[Column8]]), (E701  * $O$2),"")</f>
        <v/>
      </c>
      <c r="P701" s="170" t="str">
        <f>IF(ISNUMBER(namespace_raw[[#This Row],[Column8]]), (F701  * $P$2),"")</f>
        <v/>
      </c>
    </row>
    <row r="702" spans="1:16" ht="15" customHeight="1" x14ac:dyDescent="0.25">
      <c r="A702" s="32" t="str">
        <f>IF(ISNONTEXT(namespace_raw[[#This Row],[Column1]]), "", namespace_raw[[#This Row],[Column1]])</f>
        <v/>
      </c>
      <c r="B702" s="33" t="str">
        <f>IF(ISNONTEXT(namespace_raw[[#This Row],[Column2]]), "", namespace_raw[[#This Row],[Column2]])</f>
        <v/>
      </c>
      <c r="C702" s="94" t="str">
        <f>IF(ISNUMBER(namespace_raw[[#This Row],[Column4]]), namespace_raw[[#This Row],[Column4]], "")</f>
        <v/>
      </c>
      <c r="D702" s="95" t="str">
        <f>IF(ISNUMBER(namespace_raw[[#This Row],[Column5]]), namespace_raw[[#This Row],[Column5]]/1048576, "")</f>
        <v/>
      </c>
      <c r="E702" s="95" t="str">
        <f>IF(ISNUMBER(namespace_raw[[#This Row],[Column6]]), namespace_raw[[#This Row],[Column6]],"")</f>
        <v/>
      </c>
      <c r="F702" s="96" t="str">
        <f>IF(ISNUMBER(namespace_raw[[#This Row],[Column7]]), namespace_raw[[#This Row],[Column7]]/1048576,"")</f>
        <v/>
      </c>
      <c r="G702" s="122" t="str">
        <f>IF(ISNUMBER(namespace_raw[[#This Row],[Column8]]), namespace_raw[[#This Row],[Column8]],"")</f>
        <v/>
      </c>
      <c r="H702" s="123" t="str">
        <f>IF(ISNUMBER(namespace_raw[[#This Row],[Column9]]), namespace_raw[[#This Row],[Column9]]/1048576,"")</f>
        <v/>
      </c>
      <c r="I702" s="124" t="str">
        <f>IF(ISNUMBER(namespace_raw[[#This Row],[Column8]]),MAX(G702, M702, O702, $I$2,IF(Q702&lt;&gt;"",VALUE(Q702),0)), "")</f>
        <v/>
      </c>
      <c r="J702" s="125" t="str">
        <f>IF(ISNUMBER(namespace_raw[[#This Row],[Column9]]),MAX(H702, N702, P702, $J$2,IF(R702&lt;&gt;"",VALUE(R702),0)),"")</f>
        <v/>
      </c>
      <c r="K702" s="166" t="str">
        <f>IF(ISNUMBER(namespace_raw[[#This Row],[Column12]]), namespace_raw[[#This Row],[Column12]],"")</f>
        <v/>
      </c>
      <c r="L702" s="167" t="str">
        <f>IF(ISNUMBER(namespace_raw[[#This Row],[Column13]]), namespace_raw[[#This Row],[Column13]]/1048576,"")</f>
        <v/>
      </c>
      <c r="M702" s="168" t="str">
        <f>IF(ISNUMBER(namespace_raw[[#This Row],[Column10]]), (namespace_raw[[#This Row],[Column10]]*(1+$M$2)),"")</f>
        <v/>
      </c>
      <c r="N702" s="167" t="str">
        <f>IF(ISNUMBER(namespace_raw[[#This Row],[Column11]]), (namespace_raw[[#This Row],[Column11]]*(1+$N$2))/1048576,"")</f>
        <v/>
      </c>
      <c r="O702" s="169" t="str">
        <f>IF(ISNUMBER(namespace_raw[[#This Row],[Column8]]), (E702  * $O$2),"")</f>
        <v/>
      </c>
      <c r="P702" s="170" t="str">
        <f>IF(ISNUMBER(namespace_raw[[#This Row],[Column8]]), (F702  * $P$2),"")</f>
        <v/>
      </c>
    </row>
    <row r="703" spans="1:16" ht="15" customHeight="1" x14ac:dyDescent="0.25">
      <c r="A703" s="32" t="str">
        <f>IF(ISNONTEXT(namespace_raw[[#This Row],[Column1]]), "", namespace_raw[[#This Row],[Column1]])</f>
        <v/>
      </c>
      <c r="B703" s="33" t="str">
        <f>IF(ISNONTEXT(namespace_raw[[#This Row],[Column2]]), "", namespace_raw[[#This Row],[Column2]])</f>
        <v/>
      </c>
      <c r="C703" s="94" t="str">
        <f>IF(ISNUMBER(namespace_raw[[#This Row],[Column4]]), namespace_raw[[#This Row],[Column4]], "")</f>
        <v/>
      </c>
      <c r="D703" s="95" t="str">
        <f>IF(ISNUMBER(namespace_raw[[#This Row],[Column5]]), namespace_raw[[#This Row],[Column5]]/1048576, "")</f>
        <v/>
      </c>
      <c r="E703" s="95" t="str">
        <f>IF(ISNUMBER(namespace_raw[[#This Row],[Column6]]), namespace_raw[[#This Row],[Column6]],"")</f>
        <v/>
      </c>
      <c r="F703" s="96" t="str">
        <f>IF(ISNUMBER(namespace_raw[[#This Row],[Column7]]), namespace_raw[[#This Row],[Column7]]/1048576,"")</f>
        <v/>
      </c>
      <c r="G703" s="122" t="str">
        <f>IF(ISNUMBER(namespace_raw[[#This Row],[Column8]]), namespace_raw[[#This Row],[Column8]],"")</f>
        <v/>
      </c>
      <c r="H703" s="123" t="str">
        <f>IF(ISNUMBER(namespace_raw[[#This Row],[Column9]]), namespace_raw[[#This Row],[Column9]]/1048576,"")</f>
        <v/>
      </c>
      <c r="I703" s="124" t="str">
        <f>IF(ISNUMBER(namespace_raw[[#This Row],[Column8]]),MAX(G703, M703, O703, $I$2,IF(Q703&lt;&gt;"",VALUE(Q703),0)), "")</f>
        <v/>
      </c>
      <c r="J703" s="125" t="str">
        <f>IF(ISNUMBER(namespace_raw[[#This Row],[Column9]]),MAX(H703, N703, P703, $J$2,IF(R703&lt;&gt;"",VALUE(R703),0)),"")</f>
        <v/>
      </c>
      <c r="K703" s="166" t="str">
        <f>IF(ISNUMBER(namespace_raw[[#This Row],[Column12]]), namespace_raw[[#This Row],[Column12]],"")</f>
        <v/>
      </c>
      <c r="L703" s="167" t="str">
        <f>IF(ISNUMBER(namespace_raw[[#This Row],[Column13]]), namespace_raw[[#This Row],[Column13]]/1048576,"")</f>
        <v/>
      </c>
      <c r="M703" s="168" t="str">
        <f>IF(ISNUMBER(namespace_raw[[#This Row],[Column10]]), (namespace_raw[[#This Row],[Column10]]*(1+$M$2)),"")</f>
        <v/>
      </c>
      <c r="N703" s="167" t="str">
        <f>IF(ISNUMBER(namespace_raw[[#This Row],[Column11]]), (namespace_raw[[#This Row],[Column11]]*(1+$N$2))/1048576,"")</f>
        <v/>
      </c>
      <c r="O703" s="169" t="str">
        <f>IF(ISNUMBER(namespace_raw[[#This Row],[Column8]]), (E703  * $O$2),"")</f>
        <v/>
      </c>
      <c r="P703" s="170" t="str">
        <f>IF(ISNUMBER(namespace_raw[[#This Row],[Column8]]), (F703  * $P$2),"")</f>
        <v/>
      </c>
    </row>
    <row r="704" spans="1:16" ht="15" customHeight="1" x14ac:dyDescent="0.25">
      <c r="A704" s="32" t="str">
        <f>IF(ISNONTEXT(namespace_raw[[#This Row],[Column1]]), "", namespace_raw[[#This Row],[Column1]])</f>
        <v/>
      </c>
      <c r="B704" s="33" t="str">
        <f>IF(ISNONTEXT(namespace_raw[[#This Row],[Column2]]), "", namespace_raw[[#This Row],[Column2]])</f>
        <v/>
      </c>
      <c r="C704" s="94" t="str">
        <f>IF(ISNUMBER(namespace_raw[[#This Row],[Column4]]), namespace_raw[[#This Row],[Column4]], "")</f>
        <v/>
      </c>
      <c r="D704" s="95" t="str">
        <f>IF(ISNUMBER(namespace_raw[[#This Row],[Column5]]), namespace_raw[[#This Row],[Column5]]/1048576, "")</f>
        <v/>
      </c>
      <c r="E704" s="95" t="str">
        <f>IF(ISNUMBER(namespace_raw[[#This Row],[Column6]]), namespace_raw[[#This Row],[Column6]],"")</f>
        <v/>
      </c>
      <c r="F704" s="96" t="str">
        <f>IF(ISNUMBER(namespace_raw[[#This Row],[Column7]]), namespace_raw[[#This Row],[Column7]]/1048576,"")</f>
        <v/>
      </c>
      <c r="G704" s="122" t="str">
        <f>IF(ISNUMBER(namespace_raw[[#This Row],[Column8]]), namespace_raw[[#This Row],[Column8]],"")</f>
        <v/>
      </c>
      <c r="H704" s="123" t="str">
        <f>IF(ISNUMBER(namespace_raw[[#This Row],[Column9]]), namespace_raw[[#This Row],[Column9]]/1048576,"")</f>
        <v/>
      </c>
      <c r="I704" s="124" t="str">
        <f>IF(ISNUMBER(namespace_raw[[#This Row],[Column8]]),MAX(G704, M704, O704, $I$2,IF(Q704&lt;&gt;"",VALUE(Q704),0)), "")</f>
        <v/>
      </c>
      <c r="J704" s="125" t="str">
        <f>IF(ISNUMBER(namespace_raw[[#This Row],[Column9]]),MAX(H704, N704, P704, $J$2,IF(R704&lt;&gt;"",VALUE(R704),0)),"")</f>
        <v/>
      </c>
      <c r="K704" s="166" t="str">
        <f>IF(ISNUMBER(namespace_raw[[#This Row],[Column12]]), namespace_raw[[#This Row],[Column12]],"")</f>
        <v/>
      </c>
      <c r="L704" s="167" t="str">
        <f>IF(ISNUMBER(namespace_raw[[#This Row],[Column13]]), namespace_raw[[#This Row],[Column13]]/1048576,"")</f>
        <v/>
      </c>
      <c r="M704" s="168" t="str">
        <f>IF(ISNUMBER(namespace_raw[[#This Row],[Column10]]), (namespace_raw[[#This Row],[Column10]]*(1+$M$2)),"")</f>
        <v/>
      </c>
      <c r="N704" s="167" t="str">
        <f>IF(ISNUMBER(namespace_raw[[#This Row],[Column11]]), (namespace_raw[[#This Row],[Column11]]*(1+$N$2))/1048576,"")</f>
        <v/>
      </c>
      <c r="O704" s="169" t="str">
        <f>IF(ISNUMBER(namespace_raw[[#This Row],[Column8]]), (E704  * $O$2),"")</f>
        <v/>
      </c>
      <c r="P704" s="170" t="str">
        <f>IF(ISNUMBER(namespace_raw[[#This Row],[Column8]]), (F704  * $P$2),"")</f>
        <v/>
      </c>
    </row>
    <row r="705" spans="1:16" ht="15" customHeight="1" x14ac:dyDescent="0.25">
      <c r="A705" s="32" t="str">
        <f>IF(ISNONTEXT(namespace_raw[[#This Row],[Column1]]), "", namespace_raw[[#This Row],[Column1]])</f>
        <v/>
      </c>
      <c r="B705" s="33" t="str">
        <f>IF(ISNONTEXT(namespace_raw[[#This Row],[Column2]]), "", namespace_raw[[#This Row],[Column2]])</f>
        <v/>
      </c>
      <c r="C705" s="94" t="str">
        <f>IF(ISNUMBER(namespace_raw[[#This Row],[Column4]]), namespace_raw[[#This Row],[Column4]], "")</f>
        <v/>
      </c>
      <c r="D705" s="95" t="str">
        <f>IF(ISNUMBER(namespace_raw[[#This Row],[Column5]]), namespace_raw[[#This Row],[Column5]]/1048576, "")</f>
        <v/>
      </c>
      <c r="E705" s="95" t="str">
        <f>IF(ISNUMBER(namespace_raw[[#This Row],[Column6]]), namespace_raw[[#This Row],[Column6]],"")</f>
        <v/>
      </c>
      <c r="F705" s="96" t="str">
        <f>IF(ISNUMBER(namespace_raw[[#This Row],[Column7]]), namespace_raw[[#This Row],[Column7]]/1048576,"")</f>
        <v/>
      </c>
      <c r="G705" s="122" t="str">
        <f>IF(ISNUMBER(namespace_raw[[#This Row],[Column8]]), namespace_raw[[#This Row],[Column8]],"")</f>
        <v/>
      </c>
      <c r="H705" s="123" t="str">
        <f>IF(ISNUMBER(namespace_raw[[#This Row],[Column9]]), namespace_raw[[#This Row],[Column9]]/1048576,"")</f>
        <v/>
      </c>
      <c r="I705" s="124" t="str">
        <f>IF(ISNUMBER(namespace_raw[[#This Row],[Column8]]),MAX(G705, M705, O705, $I$2,IF(Q705&lt;&gt;"",VALUE(Q705),0)), "")</f>
        <v/>
      </c>
      <c r="J705" s="125" t="str">
        <f>IF(ISNUMBER(namespace_raw[[#This Row],[Column9]]),MAX(H705, N705, P705, $J$2,IF(R705&lt;&gt;"",VALUE(R705),0)),"")</f>
        <v/>
      </c>
      <c r="K705" s="166" t="str">
        <f>IF(ISNUMBER(namespace_raw[[#This Row],[Column12]]), namespace_raw[[#This Row],[Column12]],"")</f>
        <v/>
      </c>
      <c r="L705" s="167" t="str">
        <f>IF(ISNUMBER(namespace_raw[[#This Row],[Column13]]), namespace_raw[[#This Row],[Column13]]/1048576,"")</f>
        <v/>
      </c>
      <c r="M705" s="168" t="str">
        <f>IF(ISNUMBER(namespace_raw[[#This Row],[Column10]]), (namespace_raw[[#This Row],[Column10]]*(1+$M$2)),"")</f>
        <v/>
      </c>
      <c r="N705" s="167" t="str">
        <f>IF(ISNUMBER(namespace_raw[[#This Row],[Column11]]), (namespace_raw[[#This Row],[Column11]]*(1+$N$2))/1048576,"")</f>
        <v/>
      </c>
      <c r="O705" s="169" t="str">
        <f>IF(ISNUMBER(namespace_raw[[#This Row],[Column8]]), (E705  * $O$2),"")</f>
        <v/>
      </c>
      <c r="P705" s="170" t="str">
        <f>IF(ISNUMBER(namespace_raw[[#This Row],[Column8]]), (F705  * $P$2),"")</f>
        <v/>
      </c>
    </row>
    <row r="706" spans="1:16" ht="15" customHeight="1" x14ac:dyDescent="0.25">
      <c r="A706" s="32" t="str">
        <f>IF(ISNONTEXT(namespace_raw[[#This Row],[Column1]]), "", namespace_raw[[#This Row],[Column1]])</f>
        <v/>
      </c>
      <c r="B706" s="33" t="str">
        <f>IF(ISNONTEXT(namespace_raw[[#This Row],[Column2]]), "", namespace_raw[[#This Row],[Column2]])</f>
        <v/>
      </c>
      <c r="C706" s="94" t="str">
        <f>IF(ISNUMBER(namespace_raw[[#This Row],[Column4]]), namespace_raw[[#This Row],[Column4]], "")</f>
        <v/>
      </c>
      <c r="D706" s="95" t="str">
        <f>IF(ISNUMBER(namespace_raw[[#This Row],[Column5]]), namespace_raw[[#This Row],[Column5]]/1048576, "")</f>
        <v/>
      </c>
      <c r="E706" s="95" t="str">
        <f>IF(ISNUMBER(namespace_raw[[#This Row],[Column6]]), namespace_raw[[#This Row],[Column6]],"")</f>
        <v/>
      </c>
      <c r="F706" s="96" t="str">
        <f>IF(ISNUMBER(namespace_raw[[#This Row],[Column7]]), namespace_raw[[#This Row],[Column7]]/1048576,"")</f>
        <v/>
      </c>
      <c r="G706" s="122" t="str">
        <f>IF(ISNUMBER(namespace_raw[[#This Row],[Column8]]), namespace_raw[[#This Row],[Column8]],"")</f>
        <v/>
      </c>
      <c r="H706" s="123" t="str">
        <f>IF(ISNUMBER(namespace_raw[[#This Row],[Column9]]), namespace_raw[[#This Row],[Column9]]/1048576,"")</f>
        <v/>
      </c>
      <c r="I706" s="124" t="str">
        <f>IF(ISNUMBER(namespace_raw[[#This Row],[Column8]]),MAX(G706, M706, O706, $I$2,IF(Q706&lt;&gt;"",VALUE(Q706),0)), "")</f>
        <v/>
      </c>
      <c r="J706" s="125" t="str">
        <f>IF(ISNUMBER(namespace_raw[[#This Row],[Column9]]),MAX(H706, N706, P706, $J$2,IF(R706&lt;&gt;"",VALUE(R706),0)),"")</f>
        <v/>
      </c>
      <c r="K706" s="166" t="str">
        <f>IF(ISNUMBER(namespace_raw[[#This Row],[Column12]]), namespace_raw[[#This Row],[Column12]],"")</f>
        <v/>
      </c>
      <c r="L706" s="167" t="str">
        <f>IF(ISNUMBER(namespace_raw[[#This Row],[Column13]]), namespace_raw[[#This Row],[Column13]]/1048576,"")</f>
        <v/>
      </c>
      <c r="M706" s="168" t="str">
        <f>IF(ISNUMBER(namespace_raw[[#This Row],[Column10]]), (namespace_raw[[#This Row],[Column10]]*(1+$M$2)),"")</f>
        <v/>
      </c>
      <c r="N706" s="167" t="str">
        <f>IF(ISNUMBER(namespace_raw[[#This Row],[Column11]]), (namespace_raw[[#This Row],[Column11]]*(1+$N$2))/1048576,"")</f>
        <v/>
      </c>
      <c r="O706" s="169" t="str">
        <f>IF(ISNUMBER(namespace_raw[[#This Row],[Column8]]), (E706  * $O$2),"")</f>
        <v/>
      </c>
      <c r="P706" s="170" t="str">
        <f>IF(ISNUMBER(namespace_raw[[#This Row],[Column8]]), (F706  * $P$2),"")</f>
        <v/>
      </c>
    </row>
    <row r="707" spans="1:16" ht="15" customHeight="1" x14ac:dyDescent="0.25">
      <c r="A707" s="32" t="str">
        <f>IF(ISNONTEXT(namespace_raw[[#This Row],[Column1]]), "", namespace_raw[[#This Row],[Column1]])</f>
        <v/>
      </c>
      <c r="B707" s="33" t="str">
        <f>IF(ISNONTEXT(namespace_raw[[#This Row],[Column2]]), "", namespace_raw[[#This Row],[Column2]])</f>
        <v/>
      </c>
      <c r="C707" s="94" t="str">
        <f>IF(ISNUMBER(namespace_raw[[#This Row],[Column4]]), namespace_raw[[#This Row],[Column4]], "")</f>
        <v/>
      </c>
      <c r="D707" s="95" t="str">
        <f>IF(ISNUMBER(namespace_raw[[#This Row],[Column5]]), namespace_raw[[#This Row],[Column5]]/1048576, "")</f>
        <v/>
      </c>
      <c r="E707" s="95" t="str">
        <f>IF(ISNUMBER(namespace_raw[[#This Row],[Column6]]), namespace_raw[[#This Row],[Column6]],"")</f>
        <v/>
      </c>
      <c r="F707" s="96" t="str">
        <f>IF(ISNUMBER(namespace_raw[[#This Row],[Column7]]), namespace_raw[[#This Row],[Column7]]/1048576,"")</f>
        <v/>
      </c>
      <c r="G707" s="122" t="str">
        <f>IF(ISNUMBER(namespace_raw[[#This Row],[Column8]]), namespace_raw[[#This Row],[Column8]],"")</f>
        <v/>
      </c>
      <c r="H707" s="123" t="str">
        <f>IF(ISNUMBER(namespace_raw[[#This Row],[Column9]]), namespace_raw[[#This Row],[Column9]]/1048576,"")</f>
        <v/>
      </c>
      <c r="I707" s="124" t="str">
        <f>IF(ISNUMBER(namespace_raw[[#This Row],[Column8]]),MAX(G707, M707, O707, $I$2,IF(Q707&lt;&gt;"",VALUE(Q707),0)), "")</f>
        <v/>
      </c>
      <c r="J707" s="125" t="str">
        <f>IF(ISNUMBER(namespace_raw[[#This Row],[Column9]]),MAX(H707, N707, P707, $J$2,IF(R707&lt;&gt;"",VALUE(R707),0)),"")</f>
        <v/>
      </c>
      <c r="K707" s="166" t="str">
        <f>IF(ISNUMBER(namespace_raw[[#This Row],[Column12]]), namespace_raw[[#This Row],[Column12]],"")</f>
        <v/>
      </c>
      <c r="L707" s="167" t="str">
        <f>IF(ISNUMBER(namespace_raw[[#This Row],[Column13]]), namespace_raw[[#This Row],[Column13]]/1048576,"")</f>
        <v/>
      </c>
      <c r="M707" s="168" t="str">
        <f>IF(ISNUMBER(namespace_raw[[#This Row],[Column10]]), (namespace_raw[[#This Row],[Column10]]*(1+$M$2)),"")</f>
        <v/>
      </c>
      <c r="N707" s="167" t="str">
        <f>IF(ISNUMBER(namespace_raw[[#This Row],[Column11]]), (namespace_raw[[#This Row],[Column11]]*(1+$N$2))/1048576,"")</f>
        <v/>
      </c>
      <c r="O707" s="169" t="str">
        <f>IF(ISNUMBER(namespace_raw[[#This Row],[Column8]]), (E707  * $O$2),"")</f>
        <v/>
      </c>
      <c r="P707" s="170" t="str">
        <f>IF(ISNUMBER(namespace_raw[[#This Row],[Column8]]), (F707  * $P$2),"")</f>
        <v/>
      </c>
    </row>
    <row r="708" spans="1:16" ht="15" customHeight="1" x14ac:dyDescent="0.25">
      <c r="A708" s="32" t="str">
        <f>IF(ISNONTEXT(namespace_raw[[#This Row],[Column1]]), "", namespace_raw[[#This Row],[Column1]])</f>
        <v/>
      </c>
      <c r="B708" s="33" t="str">
        <f>IF(ISNONTEXT(namespace_raw[[#This Row],[Column2]]), "", namespace_raw[[#This Row],[Column2]])</f>
        <v/>
      </c>
      <c r="C708" s="94" t="str">
        <f>IF(ISNUMBER(namespace_raw[[#This Row],[Column4]]), namespace_raw[[#This Row],[Column4]], "")</f>
        <v/>
      </c>
      <c r="D708" s="95" t="str">
        <f>IF(ISNUMBER(namespace_raw[[#This Row],[Column5]]), namespace_raw[[#This Row],[Column5]]/1048576, "")</f>
        <v/>
      </c>
      <c r="E708" s="95" t="str">
        <f>IF(ISNUMBER(namespace_raw[[#This Row],[Column6]]), namespace_raw[[#This Row],[Column6]],"")</f>
        <v/>
      </c>
      <c r="F708" s="96" t="str">
        <f>IF(ISNUMBER(namespace_raw[[#This Row],[Column7]]), namespace_raw[[#This Row],[Column7]]/1048576,"")</f>
        <v/>
      </c>
      <c r="G708" s="122" t="str">
        <f>IF(ISNUMBER(namespace_raw[[#This Row],[Column8]]), namespace_raw[[#This Row],[Column8]],"")</f>
        <v/>
      </c>
      <c r="H708" s="123" t="str">
        <f>IF(ISNUMBER(namespace_raw[[#This Row],[Column9]]), namespace_raw[[#This Row],[Column9]]/1048576,"")</f>
        <v/>
      </c>
      <c r="I708" s="124" t="str">
        <f>IF(ISNUMBER(namespace_raw[[#This Row],[Column8]]),MAX(G708, M708, O708, $I$2,IF(Q708&lt;&gt;"",VALUE(Q708),0)), "")</f>
        <v/>
      </c>
      <c r="J708" s="125" t="str">
        <f>IF(ISNUMBER(namespace_raw[[#This Row],[Column9]]),MAX(H708, N708, P708, $J$2,IF(R708&lt;&gt;"",VALUE(R708),0)),"")</f>
        <v/>
      </c>
      <c r="K708" s="166" t="str">
        <f>IF(ISNUMBER(namespace_raw[[#This Row],[Column12]]), namespace_raw[[#This Row],[Column12]],"")</f>
        <v/>
      </c>
      <c r="L708" s="167" t="str">
        <f>IF(ISNUMBER(namespace_raw[[#This Row],[Column13]]), namespace_raw[[#This Row],[Column13]]/1048576,"")</f>
        <v/>
      </c>
      <c r="M708" s="168" t="str">
        <f>IF(ISNUMBER(namespace_raw[[#This Row],[Column10]]), (namespace_raw[[#This Row],[Column10]]*(1+$M$2)),"")</f>
        <v/>
      </c>
      <c r="N708" s="167" t="str">
        <f>IF(ISNUMBER(namespace_raw[[#This Row],[Column11]]), (namespace_raw[[#This Row],[Column11]]*(1+$N$2))/1048576,"")</f>
        <v/>
      </c>
      <c r="O708" s="169" t="str">
        <f>IF(ISNUMBER(namespace_raw[[#This Row],[Column8]]), (E708  * $O$2),"")</f>
        <v/>
      </c>
      <c r="P708" s="170" t="str">
        <f>IF(ISNUMBER(namespace_raw[[#This Row],[Column8]]), (F708  * $P$2),"")</f>
        <v/>
      </c>
    </row>
    <row r="709" spans="1:16" ht="15" customHeight="1" x14ac:dyDescent="0.25">
      <c r="A709" s="32" t="str">
        <f>IF(ISNONTEXT(namespace_raw[[#This Row],[Column1]]), "", namespace_raw[[#This Row],[Column1]])</f>
        <v/>
      </c>
      <c r="B709" s="33" t="str">
        <f>IF(ISNONTEXT(namespace_raw[[#This Row],[Column2]]), "", namespace_raw[[#This Row],[Column2]])</f>
        <v/>
      </c>
      <c r="C709" s="94" t="str">
        <f>IF(ISNUMBER(namespace_raw[[#This Row],[Column4]]), namespace_raw[[#This Row],[Column4]], "")</f>
        <v/>
      </c>
      <c r="D709" s="95" t="str">
        <f>IF(ISNUMBER(namespace_raw[[#This Row],[Column5]]), namespace_raw[[#This Row],[Column5]]/1048576, "")</f>
        <v/>
      </c>
      <c r="E709" s="95" t="str">
        <f>IF(ISNUMBER(namespace_raw[[#This Row],[Column6]]), namespace_raw[[#This Row],[Column6]],"")</f>
        <v/>
      </c>
      <c r="F709" s="96" t="str">
        <f>IF(ISNUMBER(namespace_raw[[#This Row],[Column7]]), namespace_raw[[#This Row],[Column7]]/1048576,"")</f>
        <v/>
      </c>
      <c r="G709" s="122" t="str">
        <f>IF(ISNUMBER(namespace_raw[[#This Row],[Column8]]), namespace_raw[[#This Row],[Column8]],"")</f>
        <v/>
      </c>
      <c r="H709" s="123" t="str">
        <f>IF(ISNUMBER(namespace_raw[[#This Row],[Column9]]), namespace_raw[[#This Row],[Column9]]/1048576,"")</f>
        <v/>
      </c>
      <c r="I709" s="124" t="str">
        <f>IF(ISNUMBER(namespace_raw[[#This Row],[Column8]]),MAX(G709, M709, O709, $I$2,IF(Q709&lt;&gt;"",VALUE(Q709),0)), "")</f>
        <v/>
      </c>
      <c r="J709" s="125" t="str">
        <f>IF(ISNUMBER(namespace_raw[[#This Row],[Column9]]),MAX(H709, N709, P709, $J$2,IF(R709&lt;&gt;"",VALUE(R709),0)),"")</f>
        <v/>
      </c>
      <c r="K709" s="166" t="str">
        <f>IF(ISNUMBER(namespace_raw[[#This Row],[Column12]]), namespace_raw[[#This Row],[Column12]],"")</f>
        <v/>
      </c>
      <c r="L709" s="167" t="str">
        <f>IF(ISNUMBER(namespace_raw[[#This Row],[Column13]]), namespace_raw[[#This Row],[Column13]]/1048576,"")</f>
        <v/>
      </c>
      <c r="M709" s="168" t="str">
        <f>IF(ISNUMBER(namespace_raw[[#This Row],[Column10]]), (namespace_raw[[#This Row],[Column10]]*(1+$M$2)),"")</f>
        <v/>
      </c>
      <c r="N709" s="167" t="str">
        <f>IF(ISNUMBER(namespace_raw[[#This Row],[Column11]]), (namespace_raw[[#This Row],[Column11]]*(1+$N$2))/1048576,"")</f>
        <v/>
      </c>
      <c r="O709" s="169" t="str">
        <f>IF(ISNUMBER(namespace_raw[[#This Row],[Column8]]), (E709  * $O$2),"")</f>
        <v/>
      </c>
      <c r="P709" s="170" t="str">
        <f>IF(ISNUMBER(namespace_raw[[#This Row],[Column8]]), (F709  * $P$2),"")</f>
        <v/>
      </c>
    </row>
    <row r="710" spans="1:16" ht="15" customHeight="1" x14ac:dyDescent="0.25">
      <c r="A710" s="32" t="str">
        <f>IF(ISNONTEXT(namespace_raw[[#This Row],[Column1]]), "", namespace_raw[[#This Row],[Column1]])</f>
        <v/>
      </c>
      <c r="B710" s="33" t="str">
        <f>IF(ISNONTEXT(namespace_raw[[#This Row],[Column2]]), "", namespace_raw[[#This Row],[Column2]])</f>
        <v/>
      </c>
      <c r="C710" s="94" t="str">
        <f>IF(ISNUMBER(namespace_raw[[#This Row],[Column4]]), namespace_raw[[#This Row],[Column4]], "")</f>
        <v/>
      </c>
      <c r="D710" s="95" t="str">
        <f>IF(ISNUMBER(namespace_raw[[#This Row],[Column5]]), namespace_raw[[#This Row],[Column5]]/1048576, "")</f>
        <v/>
      </c>
      <c r="E710" s="95" t="str">
        <f>IF(ISNUMBER(namespace_raw[[#This Row],[Column6]]), namespace_raw[[#This Row],[Column6]],"")</f>
        <v/>
      </c>
      <c r="F710" s="96" t="str">
        <f>IF(ISNUMBER(namespace_raw[[#This Row],[Column7]]), namespace_raw[[#This Row],[Column7]]/1048576,"")</f>
        <v/>
      </c>
      <c r="G710" s="122" t="str">
        <f>IF(ISNUMBER(namespace_raw[[#This Row],[Column8]]), namespace_raw[[#This Row],[Column8]],"")</f>
        <v/>
      </c>
      <c r="H710" s="123" t="str">
        <f>IF(ISNUMBER(namespace_raw[[#This Row],[Column9]]), namespace_raw[[#This Row],[Column9]]/1048576,"")</f>
        <v/>
      </c>
      <c r="I710" s="124" t="str">
        <f>IF(ISNUMBER(namespace_raw[[#This Row],[Column8]]),MAX(G710, M710, O710, $I$2,IF(Q710&lt;&gt;"",VALUE(Q710),0)), "")</f>
        <v/>
      </c>
      <c r="J710" s="125" t="str">
        <f>IF(ISNUMBER(namespace_raw[[#This Row],[Column9]]),MAX(H710, N710, P710, $J$2,IF(R710&lt;&gt;"",VALUE(R710),0)),"")</f>
        <v/>
      </c>
      <c r="K710" s="166" t="str">
        <f>IF(ISNUMBER(namespace_raw[[#This Row],[Column12]]), namespace_raw[[#This Row],[Column12]],"")</f>
        <v/>
      </c>
      <c r="L710" s="167" t="str">
        <f>IF(ISNUMBER(namespace_raw[[#This Row],[Column13]]), namespace_raw[[#This Row],[Column13]]/1048576,"")</f>
        <v/>
      </c>
      <c r="M710" s="168" t="str">
        <f>IF(ISNUMBER(namespace_raw[[#This Row],[Column10]]), (namespace_raw[[#This Row],[Column10]]*(1+$M$2)),"")</f>
        <v/>
      </c>
      <c r="N710" s="167" t="str">
        <f>IF(ISNUMBER(namespace_raw[[#This Row],[Column11]]), (namespace_raw[[#This Row],[Column11]]*(1+$N$2))/1048576,"")</f>
        <v/>
      </c>
      <c r="O710" s="169" t="str">
        <f>IF(ISNUMBER(namespace_raw[[#This Row],[Column8]]), (E710  * $O$2),"")</f>
        <v/>
      </c>
      <c r="P710" s="170" t="str">
        <f>IF(ISNUMBER(namespace_raw[[#This Row],[Column8]]), (F710  * $P$2),"")</f>
        <v/>
      </c>
    </row>
    <row r="711" spans="1:16" ht="15" customHeight="1" x14ac:dyDescent="0.25">
      <c r="A711" s="32" t="str">
        <f>IF(ISNONTEXT(namespace_raw[[#This Row],[Column1]]), "", namespace_raw[[#This Row],[Column1]])</f>
        <v/>
      </c>
      <c r="B711" s="33" t="str">
        <f>IF(ISNONTEXT(namespace_raw[[#This Row],[Column2]]), "", namespace_raw[[#This Row],[Column2]])</f>
        <v/>
      </c>
      <c r="C711" s="94" t="str">
        <f>IF(ISNUMBER(namespace_raw[[#This Row],[Column4]]), namespace_raw[[#This Row],[Column4]], "")</f>
        <v/>
      </c>
      <c r="D711" s="95" t="str">
        <f>IF(ISNUMBER(namespace_raw[[#This Row],[Column5]]), namespace_raw[[#This Row],[Column5]]/1048576, "")</f>
        <v/>
      </c>
      <c r="E711" s="95" t="str">
        <f>IF(ISNUMBER(namespace_raw[[#This Row],[Column6]]), namespace_raw[[#This Row],[Column6]],"")</f>
        <v/>
      </c>
      <c r="F711" s="96" t="str">
        <f>IF(ISNUMBER(namespace_raw[[#This Row],[Column7]]), namespace_raw[[#This Row],[Column7]]/1048576,"")</f>
        <v/>
      </c>
      <c r="G711" s="122" t="str">
        <f>IF(ISNUMBER(namespace_raw[[#This Row],[Column8]]), namespace_raw[[#This Row],[Column8]],"")</f>
        <v/>
      </c>
      <c r="H711" s="123" t="str">
        <f>IF(ISNUMBER(namespace_raw[[#This Row],[Column9]]), namespace_raw[[#This Row],[Column9]]/1048576,"")</f>
        <v/>
      </c>
      <c r="I711" s="124" t="str">
        <f>IF(ISNUMBER(namespace_raw[[#This Row],[Column8]]),MAX(G711, M711, O711, $I$2,IF(Q711&lt;&gt;"",VALUE(Q711),0)), "")</f>
        <v/>
      </c>
      <c r="J711" s="125" t="str">
        <f>IF(ISNUMBER(namespace_raw[[#This Row],[Column9]]),MAX(H711, N711, P711, $J$2,IF(R711&lt;&gt;"",VALUE(R711),0)),"")</f>
        <v/>
      </c>
      <c r="K711" s="166" t="str">
        <f>IF(ISNUMBER(namespace_raw[[#This Row],[Column12]]), namespace_raw[[#This Row],[Column12]],"")</f>
        <v/>
      </c>
      <c r="L711" s="167" t="str">
        <f>IF(ISNUMBER(namespace_raw[[#This Row],[Column13]]), namespace_raw[[#This Row],[Column13]]/1048576,"")</f>
        <v/>
      </c>
      <c r="M711" s="168" t="str">
        <f>IF(ISNUMBER(namespace_raw[[#This Row],[Column10]]), (namespace_raw[[#This Row],[Column10]]*(1+$M$2)),"")</f>
        <v/>
      </c>
      <c r="N711" s="167" t="str">
        <f>IF(ISNUMBER(namespace_raw[[#This Row],[Column11]]), (namespace_raw[[#This Row],[Column11]]*(1+$N$2))/1048576,"")</f>
        <v/>
      </c>
      <c r="O711" s="169" t="str">
        <f>IF(ISNUMBER(namespace_raw[[#This Row],[Column8]]), (E711  * $O$2),"")</f>
        <v/>
      </c>
      <c r="P711" s="170" t="str">
        <f>IF(ISNUMBER(namespace_raw[[#This Row],[Column8]]), (F711  * $P$2),"")</f>
        <v/>
      </c>
    </row>
    <row r="712" spans="1:16" ht="15" customHeight="1" x14ac:dyDescent="0.25">
      <c r="A712" s="32" t="str">
        <f>IF(ISNONTEXT(namespace_raw[[#This Row],[Column1]]), "", namespace_raw[[#This Row],[Column1]])</f>
        <v/>
      </c>
      <c r="B712" s="33" t="str">
        <f>IF(ISNONTEXT(namespace_raw[[#This Row],[Column2]]), "", namespace_raw[[#This Row],[Column2]])</f>
        <v/>
      </c>
      <c r="C712" s="94" t="str">
        <f>IF(ISNUMBER(namespace_raw[[#This Row],[Column4]]), namespace_raw[[#This Row],[Column4]], "")</f>
        <v/>
      </c>
      <c r="D712" s="95" t="str">
        <f>IF(ISNUMBER(namespace_raw[[#This Row],[Column5]]), namespace_raw[[#This Row],[Column5]]/1048576, "")</f>
        <v/>
      </c>
      <c r="E712" s="95" t="str">
        <f>IF(ISNUMBER(namespace_raw[[#This Row],[Column6]]), namespace_raw[[#This Row],[Column6]],"")</f>
        <v/>
      </c>
      <c r="F712" s="96" t="str">
        <f>IF(ISNUMBER(namespace_raw[[#This Row],[Column7]]), namespace_raw[[#This Row],[Column7]]/1048576,"")</f>
        <v/>
      </c>
      <c r="G712" s="122" t="str">
        <f>IF(ISNUMBER(namespace_raw[[#This Row],[Column8]]), namespace_raw[[#This Row],[Column8]],"")</f>
        <v/>
      </c>
      <c r="H712" s="123" t="str">
        <f>IF(ISNUMBER(namespace_raw[[#This Row],[Column9]]), namespace_raw[[#This Row],[Column9]]/1048576,"")</f>
        <v/>
      </c>
      <c r="I712" s="124" t="str">
        <f>IF(ISNUMBER(namespace_raw[[#This Row],[Column8]]),MAX(G712, M712, O712, $I$2,IF(Q712&lt;&gt;"",VALUE(Q712),0)), "")</f>
        <v/>
      </c>
      <c r="J712" s="125" t="str">
        <f>IF(ISNUMBER(namespace_raw[[#This Row],[Column9]]),MAX(H712, N712, P712, $J$2,IF(R712&lt;&gt;"",VALUE(R712),0)),"")</f>
        <v/>
      </c>
      <c r="K712" s="166" t="str">
        <f>IF(ISNUMBER(namespace_raw[[#This Row],[Column12]]), namespace_raw[[#This Row],[Column12]],"")</f>
        <v/>
      </c>
      <c r="L712" s="167" t="str">
        <f>IF(ISNUMBER(namespace_raw[[#This Row],[Column13]]), namespace_raw[[#This Row],[Column13]]/1048576,"")</f>
        <v/>
      </c>
      <c r="M712" s="168" t="str">
        <f>IF(ISNUMBER(namespace_raw[[#This Row],[Column10]]), (namespace_raw[[#This Row],[Column10]]*(1+$M$2)),"")</f>
        <v/>
      </c>
      <c r="N712" s="167" t="str">
        <f>IF(ISNUMBER(namespace_raw[[#This Row],[Column11]]), (namespace_raw[[#This Row],[Column11]]*(1+$N$2))/1048576,"")</f>
        <v/>
      </c>
      <c r="O712" s="169" t="str">
        <f>IF(ISNUMBER(namespace_raw[[#This Row],[Column8]]), (E712  * $O$2),"")</f>
        <v/>
      </c>
      <c r="P712" s="170" t="str">
        <f>IF(ISNUMBER(namespace_raw[[#This Row],[Column8]]), (F712  * $P$2),"")</f>
        <v/>
      </c>
    </row>
    <row r="713" spans="1:16" ht="15" customHeight="1" x14ac:dyDescent="0.25">
      <c r="A713" s="32" t="str">
        <f>IF(ISNONTEXT(namespace_raw[[#This Row],[Column1]]), "", namespace_raw[[#This Row],[Column1]])</f>
        <v/>
      </c>
      <c r="B713" s="33" t="str">
        <f>IF(ISNONTEXT(namespace_raw[[#This Row],[Column2]]), "", namespace_raw[[#This Row],[Column2]])</f>
        <v/>
      </c>
      <c r="C713" s="94" t="str">
        <f>IF(ISNUMBER(namespace_raw[[#This Row],[Column4]]), namespace_raw[[#This Row],[Column4]], "")</f>
        <v/>
      </c>
      <c r="D713" s="95" t="str">
        <f>IF(ISNUMBER(namespace_raw[[#This Row],[Column5]]), namespace_raw[[#This Row],[Column5]]/1048576, "")</f>
        <v/>
      </c>
      <c r="E713" s="95" t="str">
        <f>IF(ISNUMBER(namespace_raw[[#This Row],[Column6]]), namespace_raw[[#This Row],[Column6]],"")</f>
        <v/>
      </c>
      <c r="F713" s="96" t="str">
        <f>IF(ISNUMBER(namespace_raw[[#This Row],[Column7]]), namespace_raw[[#This Row],[Column7]]/1048576,"")</f>
        <v/>
      </c>
      <c r="G713" s="122" t="str">
        <f>IF(ISNUMBER(namespace_raw[[#This Row],[Column8]]), namespace_raw[[#This Row],[Column8]],"")</f>
        <v/>
      </c>
      <c r="H713" s="123" t="str">
        <f>IF(ISNUMBER(namespace_raw[[#This Row],[Column9]]), namespace_raw[[#This Row],[Column9]]/1048576,"")</f>
        <v/>
      </c>
      <c r="I713" s="124" t="str">
        <f>IF(ISNUMBER(namespace_raw[[#This Row],[Column8]]),MAX(G713, M713, O713, $I$2,IF(Q713&lt;&gt;"",VALUE(Q713),0)), "")</f>
        <v/>
      </c>
      <c r="J713" s="125" t="str">
        <f>IF(ISNUMBER(namespace_raw[[#This Row],[Column9]]),MAX(H713, N713, P713, $J$2,IF(R713&lt;&gt;"",VALUE(R713),0)),"")</f>
        <v/>
      </c>
      <c r="K713" s="166" t="str">
        <f>IF(ISNUMBER(namespace_raw[[#This Row],[Column12]]), namespace_raw[[#This Row],[Column12]],"")</f>
        <v/>
      </c>
      <c r="L713" s="167" t="str">
        <f>IF(ISNUMBER(namespace_raw[[#This Row],[Column13]]), namespace_raw[[#This Row],[Column13]]/1048576,"")</f>
        <v/>
      </c>
      <c r="M713" s="168" t="str">
        <f>IF(ISNUMBER(namespace_raw[[#This Row],[Column10]]), (namespace_raw[[#This Row],[Column10]]*(1+$M$2)),"")</f>
        <v/>
      </c>
      <c r="N713" s="167" t="str">
        <f>IF(ISNUMBER(namespace_raw[[#This Row],[Column11]]), (namespace_raw[[#This Row],[Column11]]*(1+$N$2))/1048576,"")</f>
        <v/>
      </c>
      <c r="O713" s="169" t="str">
        <f>IF(ISNUMBER(namespace_raw[[#This Row],[Column8]]), (E713  * $O$2),"")</f>
        <v/>
      </c>
      <c r="P713" s="170" t="str">
        <f>IF(ISNUMBER(namespace_raw[[#This Row],[Column8]]), (F713  * $P$2),"")</f>
        <v/>
      </c>
    </row>
    <row r="714" spans="1:16" ht="15" customHeight="1" x14ac:dyDescent="0.25">
      <c r="A714" s="32" t="str">
        <f>IF(ISNONTEXT(namespace_raw[[#This Row],[Column1]]), "", namespace_raw[[#This Row],[Column1]])</f>
        <v/>
      </c>
      <c r="B714" s="33" t="str">
        <f>IF(ISNONTEXT(namespace_raw[[#This Row],[Column2]]), "", namespace_raw[[#This Row],[Column2]])</f>
        <v/>
      </c>
      <c r="C714" s="94" t="str">
        <f>IF(ISNUMBER(namespace_raw[[#This Row],[Column4]]), namespace_raw[[#This Row],[Column4]], "")</f>
        <v/>
      </c>
      <c r="D714" s="95" t="str">
        <f>IF(ISNUMBER(namespace_raw[[#This Row],[Column5]]), namespace_raw[[#This Row],[Column5]]/1048576, "")</f>
        <v/>
      </c>
      <c r="E714" s="95" t="str">
        <f>IF(ISNUMBER(namespace_raw[[#This Row],[Column6]]), namespace_raw[[#This Row],[Column6]],"")</f>
        <v/>
      </c>
      <c r="F714" s="96" t="str">
        <f>IF(ISNUMBER(namespace_raw[[#This Row],[Column7]]), namespace_raw[[#This Row],[Column7]]/1048576,"")</f>
        <v/>
      </c>
      <c r="G714" s="122" t="str">
        <f>IF(ISNUMBER(namespace_raw[[#This Row],[Column8]]), namespace_raw[[#This Row],[Column8]],"")</f>
        <v/>
      </c>
      <c r="H714" s="123" t="str">
        <f>IF(ISNUMBER(namespace_raw[[#This Row],[Column9]]), namespace_raw[[#This Row],[Column9]]/1048576,"")</f>
        <v/>
      </c>
      <c r="I714" s="124" t="str">
        <f>IF(ISNUMBER(namespace_raw[[#This Row],[Column8]]),MAX(G714, M714, O714, $I$2,IF(Q714&lt;&gt;"",VALUE(Q714),0)), "")</f>
        <v/>
      </c>
      <c r="J714" s="125" t="str">
        <f>IF(ISNUMBER(namespace_raw[[#This Row],[Column9]]),MAX(H714, N714, P714, $J$2,IF(R714&lt;&gt;"",VALUE(R714),0)),"")</f>
        <v/>
      </c>
      <c r="K714" s="166" t="str">
        <f>IF(ISNUMBER(namespace_raw[[#This Row],[Column12]]), namespace_raw[[#This Row],[Column12]],"")</f>
        <v/>
      </c>
      <c r="L714" s="167" t="str">
        <f>IF(ISNUMBER(namespace_raw[[#This Row],[Column13]]), namespace_raw[[#This Row],[Column13]]/1048576,"")</f>
        <v/>
      </c>
      <c r="M714" s="168" t="str">
        <f>IF(ISNUMBER(namespace_raw[[#This Row],[Column10]]), (namespace_raw[[#This Row],[Column10]]*(1+$M$2)),"")</f>
        <v/>
      </c>
      <c r="N714" s="167" t="str">
        <f>IF(ISNUMBER(namespace_raw[[#This Row],[Column11]]), (namespace_raw[[#This Row],[Column11]]*(1+$N$2))/1048576,"")</f>
        <v/>
      </c>
      <c r="O714" s="169" t="str">
        <f>IF(ISNUMBER(namespace_raw[[#This Row],[Column8]]), (E714  * $O$2),"")</f>
        <v/>
      </c>
      <c r="P714" s="170" t="str">
        <f>IF(ISNUMBER(namespace_raw[[#This Row],[Column8]]), (F714  * $P$2),"")</f>
        <v/>
      </c>
    </row>
    <row r="715" spans="1:16" ht="15" customHeight="1" x14ac:dyDescent="0.25">
      <c r="A715" s="32" t="str">
        <f>IF(ISNONTEXT(namespace_raw[[#This Row],[Column1]]), "", namespace_raw[[#This Row],[Column1]])</f>
        <v/>
      </c>
      <c r="B715" s="33" t="str">
        <f>IF(ISNONTEXT(namespace_raw[[#This Row],[Column2]]), "", namespace_raw[[#This Row],[Column2]])</f>
        <v/>
      </c>
      <c r="C715" s="94" t="str">
        <f>IF(ISNUMBER(namespace_raw[[#This Row],[Column4]]), namespace_raw[[#This Row],[Column4]], "")</f>
        <v/>
      </c>
      <c r="D715" s="95" t="str">
        <f>IF(ISNUMBER(namespace_raw[[#This Row],[Column5]]), namespace_raw[[#This Row],[Column5]]/1048576, "")</f>
        <v/>
      </c>
      <c r="E715" s="95" t="str">
        <f>IF(ISNUMBER(namespace_raw[[#This Row],[Column6]]), namespace_raw[[#This Row],[Column6]],"")</f>
        <v/>
      </c>
      <c r="F715" s="96" t="str">
        <f>IF(ISNUMBER(namespace_raw[[#This Row],[Column7]]), namespace_raw[[#This Row],[Column7]]/1048576,"")</f>
        <v/>
      </c>
      <c r="G715" s="122" t="str">
        <f>IF(ISNUMBER(namespace_raw[[#This Row],[Column8]]), namespace_raw[[#This Row],[Column8]],"")</f>
        <v/>
      </c>
      <c r="H715" s="123" t="str">
        <f>IF(ISNUMBER(namespace_raw[[#This Row],[Column9]]), namespace_raw[[#This Row],[Column9]]/1048576,"")</f>
        <v/>
      </c>
      <c r="I715" s="124" t="str">
        <f>IF(ISNUMBER(namespace_raw[[#This Row],[Column8]]),MAX(G715, M715, O715, $I$2,IF(Q715&lt;&gt;"",VALUE(Q715),0)), "")</f>
        <v/>
      </c>
      <c r="J715" s="125" t="str">
        <f>IF(ISNUMBER(namespace_raw[[#This Row],[Column9]]),MAX(H715, N715, P715, $J$2,IF(R715&lt;&gt;"",VALUE(R715),0)),"")</f>
        <v/>
      </c>
      <c r="K715" s="166" t="str">
        <f>IF(ISNUMBER(namespace_raw[[#This Row],[Column12]]), namespace_raw[[#This Row],[Column12]],"")</f>
        <v/>
      </c>
      <c r="L715" s="167" t="str">
        <f>IF(ISNUMBER(namespace_raw[[#This Row],[Column13]]), namespace_raw[[#This Row],[Column13]]/1048576,"")</f>
        <v/>
      </c>
      <c r="M715" s="168" t="str">
        <f>IF(ISNUMBER(namespace_raw[[#This Row],[Column10]]), (namespace_raw[[#This Row],[Column10]]*(1+$M$2)),"")</f>
        <v/>
      </c>
      <c r="N715" s="167" t="str">
        <f>IF(ISNUMBER(namespace_raw[[#This Row],[Column11]]), (namespace_raw[[#This Row],[Column11]]*(1+$N$2))/1048576,"")</f>
        <v/>
      </c>
      <c r="O715" s="169" t="str">
        <f>IF(ISNUMBER(namespace_raw[[#This Row],[Column8]]), (E715  * $O$2),"")</f>
        <v/>
      </c>
      <c r="P715" s="170" t="str">
        <f>IF(ISNUMBER(namespace_raw[[#This Row],[Column8]]), (F715  * $P$2),"")</f>
        <v/>
      </c>
    </row>
    <row r="716" spans="1:16" ht="15" customHeight="1" x14ac:dyDescent="0.25">
      <c r="A716" s="32" t="str">
        <f>IF(ISNONTEXT(namespace_raw[[#This Row],[Column1]]), "", namespace_raw[[#This Row],[Column1]])</f>
        <v/>
      </c>
      <c r="B716" s="33" t="str">
        <f>IF(ISNONTEXT(namespace_raw[[#This Row],[Column2]]), "", namespace_raw[[#This Row],[Column2]])</f>
        <v/>
      </c>
      <c r="C716" s="94" t="str">
        <f>IF(ISNUMBER(namespace_raw[[#This Row],[Column4]]), namespace_raw[[#This Row],[Column4]], "")</f>
        <v/>
      </c>
      <c r="D716" s="95" t="str">
        <f>IF(ISNUMBER(namespace_raw[[#This Row],[Column5]]), namespace_raw[[#This Row],[Column5]]/1048576, "")</f>
        <v/>
      </c>
      <c r="E716" s="95" t="str">
        <f>IF(ISNUMBER(namespace_raw[[#This Row],[Column6]]), namespace_raw[[#This Row],[Column6]],"")</f>
        <v/>
      </c>
      <c r="F716" s="96" t="str">
        <f>IF(ISNUMBER(namespace_raw[[#This Row],[Column7]]), namespace_raw[[#This Row],[Column7]]/1048576,"")</f>
        <v/>
      </c>
      <c r="G716" s="122" t="str">
        <f>IF(ISNUMBER(namespace_raw[[#This Row],[Column8]]), namespace_raw[[#This Row],[Column8]],"")</f>
        <v/>
      </c>
      <c r="H716" s="123" t="str">
        <f>IF(ISNUMBER(namespace_raw[[#This Row],[Column9]]), namespace_raw[[#This Row],[Column9]]/1048576,"")</f>
        <v/>
      </c>
      <c r="I716" s="124" t="str">
        <f>IF(ISNUMBER(namespace_raw[[#This Row],[Column8]]),MAX(G716, M716, O716, $I$2,IF(Q716&lt;&gt;"",VALUE(Q716),0)), "")</f>
        <v/>
      </c>
      <c r="J716" s="125" t="str">
        <f>IF(ISNUMBER(namespace_raw[[#This Row],[Column9]]),MAX(H716, N716, P716, $J$2,IF(R716&lt;&gt;"",VALUE(R716),0)),"")</f>
        <v/>
      </c>
      <c r="K716" s="166" t="str">
        <f>IF(ISNUMBER(namespace_raw[[#This Row],[Column12]]), namespace_raw[[#This Row],[Column12]],"")</f>
        <v/>
      </c>
      <c r="L716" s="167" t="str">
        <f>IF(ISNUMBER(namespace_raw[[#This Row],[Column13]]), namespace_raw[[#This Row],[Column13]]/1048576,"")</f>
        <v/>
      </c>
      <c r="M716" s="168" t="str">
        <f>IF(ISNUMBER(namespace_raw[[#This Row],[Column10]]), (namespace_raw[[#This Row],[Column10]]*(1+$M$2)),"")</f>
        <v/>
      </c>
      <c r="N716" s="167" t="str">
        <f>IF(ISNUMBER(namespace_raw[[#This Row],[Column11]]), (namespace_raw[[#This Row],[Column11]]*(1+$N$2))/1048576,"")</f>
        <v/>
      </c>
      <c r="O716" s="169" t="str">
        <f>IF(ISNUMBER(namespace_raw[[#This Row],[Column8]]), (E716  * $O$2),"")</f>
        <v/>
      </c>
      <c r="P716" s="170" t="str">
        <f>IF(ISNUMBER(namespace_raw[[#This Row],[Column8]]), (F716  * $P$2),"")</f>
        <v/>
      </c>
    </row>
    <row r="717" spans="1:16" ht="15" customHeight="1" x14ac:dyDescent="0.25">
      <c r="A717" s="32" t="str">
        <f>IF(ISNONTEXT(namespace_raw[[#This Row],[Column1]]), "", namespace_raw[[#This Row],[Column1]])</f>
        <v/>
      </c>
      <c r="B717" s="33" t="str">
        <f>IF(ISNONTEXT(namespace_raw[[#This Row],[Column2]]), "", namespace_raw[[#This Row],[Column2]])</f>
        <v/>
      </c>
      <c r="C717" s="94" t="str">
        <f>IF(ISNUMBER(namespace_raw[[#This Row],[Column4]]), namespace_raw[[#This Row],[Column4]], "")</f>
        <v/>
      </c>
      <c r="D717" s="95" t="str">
        <f>IF(ISNUMBER(namespace_raw[[#This Row],[Column5]]), namespace_raw[[#This Row],[Column5]]/1048576, "")</f>
        <v/>
      </c>
      <c r="E717" s="95" t="str">
        <f>IF(ISNUMBER(namespace_raw[[#This Row],[Column6]]), namespace_raw[[#This Row],[Column6]],"")</f>
        <v/>
      </c>
      <c r="F717" s="96" t="str">
        <f>IF(ISNUMBER(namespace_raw[[#This Row],[Column7]]), namespace_raw[[#This Row],[Column7]]/1048576,"")</f>
        <v/>
      </c>
      <c r="G717" s="122" t="str">
        <f>IF(ISNUMBER(namespace_raw[[#This Row],[Column8]]), namespace_raw[[#This Row],[Column8]],"")</f>
        <v/>
      </c>
      <c r="H717" s="123" t="str">
        <f>IF(ISNUMBER(namespace_raw[[#This Row],[Column9]]), namespace_raw[[#This Row],[Column9]]/1048576,"")</f>
        <v/>
      </c>
      <c r="I717" s="124" t="str">
        <f>IF(ISNUMBER(namespace_raw[[#This Row],[Column8]]),MAX(G717, M717, O717, $I$2,IF(Q717&lt;&gt;"",VALUE(Q717),0)), "")</f>
        <v/>
      </c>
      <c r="J717" s="125" t="str">
        <f>IF(ISNUMBER(namespace_raw[[#This Row],[Column9]]),MAX(H717, N717, P717, $J$2,IF(R717&lt;&gt;"",VALUE(R717),0)),"")</f>
        <v/>
      </c>
      <c r="K717" s="166" t="str">
        <f>IF(ISNUMBER(namespace_raw[[#This Row],[Column12]]), namespace_raw[[#This Row],[Column12]],"")</f>
        <v/>
      </c>
      <c r="L717" s="167" t="str">
        <f>IF(ISNUMBER(namespace_raw[[#This Row],[Column13]]), namespace_raw[[#This Row],[Column13]]/1048576,"")</f>
        <v/>
      </c>
      <c r="M717" s="168" t="str">
        <f>IF(ISNUMBER(namespace_raw[[#This Row],[Column10]]), (namespace_raw[[#This Row],[Column10]]*(1+$M$2)),"")</f>
        <v/>
      </c>
      <c r="N717" s="167" t="str">
        <f>IF(ISNUMBER(namespace_raw[[#This Row],[Column11]]), (namespace_raw[[#This Row],[Column11]]*(1+$N$2))/1048576,"")</f>
        <v/>
      </c>
      <c r="O717" s="169" t="str">
        <f>IF(ISNUMBER(namespace_raw[[#This Row],[Column8]]), (E717  * $O$2),"")</f>
        <v/>
      </c>
      <c r="P717" s="170" t="str">
        <f>IF(ISNUMBER(namespace_raw[[#This Row],[Column8]]), (F717  * $P$2),"")</f>
        <v/>
      </c>
    </row>
    <row r="718" spans="1:16" ht="15" customHeight="1" x14ac:dyDescent="0.25">
      <c r="A718" s="32" t="str">
        <f>IF(ISNONTEXT(namespace_raw[[#This Row],[Column1]]), "", namespace_raw[[#This Row],[Column1]])</f>
        <v/>
      </c>
      <c r="B718" s="33" t="str">
        <f>IF(ISNONTEXT(namespace_raw[[#This Row],[Column2]]), "", namespace_raw[[#This Row],[Column2]])</f>
        <v/>
      </c>
      <c r="C718" s="94" t="str">
        <f>IF(ISNUMBER(namespace_raw[[#This Row],[Column4]]), namespace_raw[[#This Row],[Column4]], "")</f>
        <v/>
      </c>
      <c r="D718" s="95" t="str">
        <f>IF(ISNUMBER(namespace_raw[[#This Row],[Column5]]), namespace_raw[[#This Row],[Column5]]/1048576, "")</f>
        <v/>
      </c>
      <c r="E718" s="95" t="str">
        <f>IF(ISNUMBER(namespace_raw[[#This Row],[Column6]]), namespace_raw[[#This Row],[Column6]],"")</f>
        <v/>
      </c>
      <c r="F718" s="96" t="str">
        <f>IF(ISNUMBER(namespace_raw[[#This Row],[Column7]]), namespace_raw[[#This Row],[Column7]]/1048576,"")</f>
        <v/>
      </c>
      <c r="G718" s="122" t="str">
        <f>IF(ISNUMBER(namespace_raw[[#This Row],[Column8]]), namespace_raw[[#This Row],[Column8]],"")</f>
        <v/>
      </c>
      <c r="H718" s="123" t="str">
        <f>IF(ISNUMBER(namespace_raw[[#This Row],[Column9]]), namespace_raw[[#This Row],[Column9]]/1048576,"")</f>
        <v/>
      </c>
      <c r="I718" s="124" t="str">
        <f>IF(ISNUMBER(namespace_raw[[#This Row],[Column8]]),MAX(G718, M718, O718, $I$2,IF(Q718&lt;&gt;"",VALUE(Q718),0)), "")</f>
        <v/>
      </c>
      <c r="J718" s="125" t="str">
        <f>IF(ISNUMBER(namespace_raw[[#This Row],[Column9]]),MAX(H718, N718, P718, $J$2,IF(R718&lt;&gt;"",VALUE(R718),0)),"")</f>
        <v/>
      </c>
      <c r="K718" s="166" t="str">
        <f>IF(ISNUMBER(namespace_raw[[#This Row],[Column12]]), namespace_raw[[#This Row],[Column12]],"")</f>
        <v/>
      </c>
      <c r="L718" s="167" t="str">
        <f>IF(ISNUMBER(namespace_raw[[#This Row],[Column13]]), namespace_raw[[#This Row],[Column13]]/1048576,"")</f>
        <v/>
      </c>
      <c r="M718" s="168" t="str">
        <f>IF(ISNUMBER(namespace_raw[[#This Row],[Column10]]), (namespace_raw[[#This Row],[Column10]]*(1+$M$2)),"")</f>
        <v/>
      </c>
      <c r="N718" s="167" t="str">
        <f>IF(ISNUMBER(namespace_raw[[#This Row],[Column11]]), (namespace_raw[[#This Row],[Column11]]*(1+$N$2))/1048576,"")</f>
        <v/>
      </c>
      <c r="O718" s="169" t="str">
        <f>IF(ISNUMBER(namespace_raw[[#This Row],[Column8]]), (E718  * $O$2),"")</f>
        <v/>
      </c>
      <c r="P718" s="170" t="str">
        <f>IF(ISNUMBER(namespace_raw[[#This Row],[Column8]]), (F718  * $P$2),"")</f>
        <v/>
      </c>
    </row>
    <row r="719" spans="1:16" ht="15" customHeight="1" x14ac:dyDescent="0.25">
      <c r="A719" s="32" t="str">
        <f>IF(ISNONTEXT(namespace_raw[[#This Row],[Column1]]), "", namespace_raw[[#This Row],[Column1]])</f>
        <v/>
      </c>
      <c r="B719" s="33" t="str">
        <f>IF(ISNONTEXT(namespace_raw[[#This Row],[Column2]]), "", namespace_raw[[#This Row],[Column2]])</f>
        <v/>
      </c>
      <c r="C719" s="94" t="str">
        <f>IF(ISNUMBER(namespace_raw[[#This Row],[Column4]]), namespace_raw[[#This Row],[Column4]], "")</f>
        <v/>
      </c>
      <c r="D719" s="95" t="str">
        <f>IF(ISNUMBER(namespace_raw[[#This Row],[Column5]]), namespace_raw[[#This Row],[Column5]]/1048576, "")</f>
        <v/>
      </c>
      <c r="E719" s="95" t="str">
        <f>IF(ISNUMBER(namespace_raw[[#This Row],[Column6]]), namespace_raw[[#This Row],[Column6]],"")</f>
        <v/>
      </c>
      <c r="F719" s="96" t="str">
        <f>IF(ISNUMBER(namespace_raw[[#This Row],[Column7]]), namespace_raw[[#This Row],[Column7]]/1048576,"")</f>
        <v/>
      </c>
      <c r="G719" s="122" t="str">
        <f>IF(ISNUMBER(namespace_raw[[#This Row],[Column8]]), namespace_raw[[#This Row],[Column8]],"")</f>
        <v/>
      </c>
      <c r="H719" s="123" t="str">
        <f>IF(ISNUMBER(namespace_raw[[#This Row],[Column9]]), namespace_raw[[#This Row],[Column9]]/1048576,"")</f>
        <v/>
      </c>
      <c r="I719" s="124" t="str">
        <f>IF(ISNUMBER(namespace_raw[[#This Row],[Column8]]),MAX(G719, M719, O719, $I$2,IF(Q719&lt;&gt;"",VALUE(Q719),0)), "")</f>
        <v/>
      </c>
      <c r="J719" s="125" t="str">
        <f>IF(ISNUMBER(namespace_raw[[#This Row],[Column9]]),MAX(H719, N719, P719, $J$2,IF(R719&lt;&gt;"",VALUE(R719),0)),"")</f>
        <v/>
      </c>
      <c r="K719" s="166" t="str">
        <f>IF(ISNUMBER(namespace_raw[[#This Row],[Column12]]), namespace_raw[[#This Row],[Column12]],"")</f>
        <v/>
      </c>
      <c r="L719" s="167" t="str">
        <f>IF(ISNUMBER(namespace_raw[[#This Row],[Column13]]), namespace_raw[[#This Row],[Column13]]/1048576,"")</f>
        <v/>
      </c>
      <c r="M719" s="168" t="str">
        <f>IF(ISNUMBER(namespace_raw[[#This Row],[Column10]]), (namespace_raw[[#This Row],[Column10]]*(1+$M$2)),"")</f>
        <v/>
      </c>
      <c r="N719" s="167" t="str">
        <f>IF(ISNUMBER(namespace_raw[[#This Row],[Column11]]), (namespace_raw[[#This Row],[Column11]]*(1+$N$2))/1048576,"")</f>
        <v/>
      </c>
      <c r="O719" s="169" t="str">
        <f>IF(ISNUMBER(namespace_raw[[#This Row],[Column8]]), (E719  * $O$2),"")</f>
        <v/>
      </c>
      <c r="P719" s="170" t="str">
        <f>IF(ISNUMBER(namespace_raw[[#This Row],[Column8]]), (F719  * $P$2),"")</f>
        <v/>
      </c>
    </row>
    <row r="720" spans="1:16" ht="15" customHeight="1" x14ac:dyDescent="0.25">
      <c r="A720" s="32" t="str">
        <f>IF(ISNONTEXT(namespace_raw[[#This Row],[Column1]]), "", namespace_raw[[#This Row],[Column1]])</f>
        <v/>
      </c>
      <c r="B720" s="33" t="str">
        <f>IF(ISNONTEXT(namespace_raw[[#This Row],[Column2]]), "", namespace_raw[[#This Row],[Column2]])</f>
        <v/>
      </c>
      <c r="C720" s="94" t="str">
        <f>IF(ISNUMBER(namespace_raw[[#This Row],[Column4]]), namespace_raw[[#This Row],[Column4]], "")</f>
        <v/>
      </c>
      <c r="D720" s="95" t="str">
        <f>IF(ISNUMBER(namespace_raw[[#This Row],[Column5]]), namespace_raw[[#This Row],[Column5]]/1048576, "")</f>
        <v/>
      </c>
      <c r="E720" s="95" t="str">
        <f>IF(ISNUMBER(namespace_raw[[#This Row],[Column6]]), namespace_raw[[#This Row],[Column6]],"")</f>
        <v/>
      </c>
      <c r="F720" s="96" t="str">
        <f>IF(ISNUMBER(namespace_raw[[#This Row],[Column7]]), namespace_raw[[#This Row],[Column7]]/1048576,"")</f>
        <v/>
      </c>
      <c r="G720" s="122" t="str">
        <f>IF(ISNUMBER(namespace_raw[[#This Row],[Column8]]), namespace_raw[[#This Row],[Column8]],"")</f>
        <v/>
      </c>
      <c r="H720" s="123" t="str">
        <f>IF(ISNUMBER(namespace_raw[[#This Row],[Column9]]), namespace_raw[[#This Row],[Column9]]/1048576,"")</f>
        <v/>
      </c>
      <c r="I720" s="124" t="str">
        <f>IF(ISNUMBER(namespace_raw[[#This Row],[Column8]]),MAX(G720, M720, O720, $I$2,IF(Q720&lt;&gt;"",VALUE(Q720),0)), "")</f>
        <v/>
      </c>
      <c r="J720" s="125" t="str">
        <f>IF(ISNUMBER(namespace_raw[[#This Row],[Column9]]),MAX(H720, N720, P720, $J$2,IF(R720&lt;&gt;"",VALUE(R720),0)),"")</f>
        <v/>
      </c>
      <c r="K720" s="166" t="str">
        <f>IF(ISNUMBER(namespace_raw[[#This Row],[Column12]]), namespace_raw[[#This Row],[Column12]],"")</f>
        <v/>
      </c>
      <c r="L720" s="167" t="str">
        <f>IF(ISNUMBER(namespace_raw[[#This Row],[Column13]]), namespace_raw[[#This Row],[Column13]]/1048576,"")</f>
        <v/>
      </c>
      <c r="M720" s="168" t="str">
        <f>IF(ISNUMBER(namespace_raw[[#This Row],[Column10]]), (namespace_raw[[#This Row],[Column10]]*(1+$M$2)),"")</f>
        <v/>
      </c>
      <c r="N720" s="167" t="str">
        <f>IF(ISNUMBER(namespace_raw[[#This Row],[Column11]]), (namespace_raw[[#This Row],[Column11]]*(1+$N$2))/1048576,"")</f>
        <v/>
      </c>
      <c r="O720" s="169" t="str">
        <f>IF(ISNUMBER(namespace_raw[[#This Row],[Column8]]), (E720  * $O$2),"")</f>
        <v/>
      </c>
      <c r="P720" s="170" t="str">
        <f>IF(ISNUMBER(namespace_raw[[#This Row],[Column8]]), (F720  * $P$2),"")</f>
        <v/>
      </c>
    </row>
    <row r="721" spans="1:16" ht="15" customHeight="1" x14ac:dyDescent="0.25">
      <c r="A721" s="32" t="str">
        <f>IF(ISNONTEXT(namespace_raw[[#This Row],[Column1]]), "", namespace_raw[[#This Row],[Column1]])</f>
        <v/>
      </c>
      <c r="B721" s="33" t="str">
        <f>IF(ISNONTEXT(namespace_raw[[#This Row],[Column2]]), "", namespace_raw[[#This Row],[Column2]])</f>
        <v/>
      </c>
      <c r="C721" s="94" t="str">
        <f>IF(ISNUMBER(namespace_raw[[#This Row],[Column4]]), namespace_raw[[#This Row],[Column4]], "")</f>
        <v/>
      </c>
      <c r="D721" s="95" t="str">
        <f>IF(ISNUMBER(namespace_raw[[#This Row],[Column5]]), namespace_raw[[#This Row],[Column5]]/1048576, "")</f>
        <v/>
      </c>
      <c r="E721" s="95" t="str">
        <f>IF(ISNUMBER(namespace_raw[[#This Row],[Column6]]), namespace_raw[[#This Row],[Column6]],"")</f>
        <v/>
      </c>
      <c r="F721" s="96" t="str">
        <f>IF(ISNUMBER(namespace_raw[[#This Row],[Column7]]), namespace_raw[[#This Row],[Column7]]/1048576,"")</f>
        <v/>
      </c>
      <c r="G721" s="122" t="str">
        <f>IF(ISNUMBER(namespace_raw[[#This Row],[Column8]]), namespace_raw[[#This Row],[Column8]],"")</f>
        <v/>
      </c>
      <c r="H721" s="123" t="str">
        <f>IF(ISNUMBER(namespace_raw[[#This Row],[Column9]]), namespace_raw[[#This Row],[Column9]]/1048576,"")</f>
        <v/>
      </c>
      <c r="I721" s="124" t="str">
        <f>IF(ISNUMBER(namespace_raw[[#This Row],[Column8]]),MAX(G721, M721, O721, $I$2,IF(Q721&lt;&gt;"",VALUE(Q721),0)), "")</f>
        <v/>
      </c>
      <c r="J721" s="125" t="str">
        <f>IF(ISNUMBER(namespace_raw[[#This Row],[Column9]]),MAX(H721, N721, P721, $J$2,IF(R721&lt;&gt;"",VALUE(R721),0)),"")</f>
        <v/>
      </c>
      <c r="K721" s="166" t="str">
        <f>IF(ISNUMBER(namespace_raw[[#This Row],[Column12]]), namespace_raw[[#This Row],[Column12]],"")</f>
        <v/>
      </c>
      <c r="L721" s="167" t="str">
        <f>IF(ISNUMBER(namespace_raw[[#This Row],[Column13]]), namespace_raw[[#This Row],[Column13]]/1048576,"")</f>
        <v/>
      </c>
      <c r="M721" s="168" t="str">
        <f>IF(ISNUMBER(namespace_raw[[#This Row],[Column10]]), (namespace_raw[[#This Row],[Column10]]*(1+$M$2)),"")</f>
        <v/>
      </c>
      <c r="N721" s="167" t="str">
        <f>IF(ISNUMBER(namespace_raw[[#This Row],[Column11]]), (namespace_raw[[#This Row],[Column11]]*(1+$N$2))/1048576,"")</f>
        <v/>
      </c>
      <c r="O721" s="169" t="str">
        <f>IF(ISNUMBER(namespace_raw[[#This Row],[Column8]]), (E721  * $O$2),"")</f>
        <v/>
      </c>
      <c r="P721" s="170" t="str">
        <f>IF(ISNUMBER(namespace_raw[[#This Row],[Column8]]), (F721  * $P$2),"")</f>
        <v/>
      </c>
    </row>
    <row r="722" spans="1:16" ht="15" customHeight="1" x14ac:dyDescent="0.25">
      <c r="A722" s="32" t="str">
        <f>IF(ISNONTEXT(namespace_raw[[#This Row],[Column1]]), "", namespace_raw[[#This Row],[Column1]])</f>
        <v/>
      </c>
      <c r="B722" s="33" t="str">
        <f>IF(ISNONTEXT(namespace_raw[[#This Row],[Column2]]), "", namespace_raw[[#This Row],[Column2]])</f>
        <v/>
      </c>
      <c r="C722" s="94" t="str">
        <f>IF(ISNUMBER(namespace_raw[[#This Row],[Column4]]), namespace_raw[[#This Row],[Column4]], "")</f>
        <v/>
      </c>
      <c r="D722" s="95" t="str">
        <f>IF(ISNUMBER(namespace_raw[[#This Row],[Column5]]), namespace_raw[[#This Row],[Column5]]/1048576, "")</f>
        <v/>
      </c>
      <c r="E722" s="95" t="str">
        <f>IF(ISNUMBER(namespace_raw[[#This Row],[Column6]]), namespace_raw[[#This Row],[Column6]],"")</f>
        <v/>
      </c>
      <c r="F722" s="96" t="str">
        <f>IF(ISNUMBER(namespace_raw[[#This Row],[Column7]]), namespace_raw[[#This Row],[Column7]]/1048576,"")</f>
        <v/>
      </c>
      <c r="G722" s="122" t="str">
        <f>IF(ISNUMBER(namespace_raw[[#This Row],[Column8]]), namespace_raw[[#This Row],[Column8]],"")</f>
        <v/>
      </c>
      <c r="H722" s="123" t="str">
        <f>IF(ISNUMBER(namespace_raw[[#This Row],[Column9]]), namespace_raw[[#This Row],[Column9]]/1048576,"")</f>
        <v/>
      </c>
      <c r="I722" s="124" t="str">
        <f>IF(ISNUMBER(namespace_raw[[#This Row],[Column8]]),MAX(G722, M722, O722, $I$2,IF(Q722&lt;&gt;"",VALUE(Q722),0)), "")</f>
        <v/>
      </c>
      <c r="J722" s="125" t="str">
        <f>IF(ISNUMBER(namespace_raw[[#This Row],[Column9]]),MAX(H722, N722, P722, $J$2,IF(R722&lt;&gt;"",VALUE(R722),0)),"")</f>
        <v/>
      </c>
      <c r="K722" s="166" t="str">
        <f>IF(ISNUMBER(namespace_raw[[#This Row],[Column12]]), namespace_raw[[#This Row],[Column12]],"")</f>
        <v/>
      </c>
      <c r="L722" s="167" t="str">
        <f>IF(ISNUMBER(namespace_raw[[#This Row],[Column13]]), namespace_raw[[#This Row],[Column13]]/1048576,"")</f>
        <v/>
      </c>
      <c r="M722" s="168" t="str">
        <f>IF(ISNUMBER(namespace_raw[[#This Row],[Column10]]), (namespace_raw[[#This Row],[Column10]]*(1+$M$2)),"")</f>
        <v/>
      </c>
      <c r="N722" s="167" t="str">
        <f>IF(ISNUMBER(namespace_raw[[#This Row],[Column11]]), (namespace_raw[[#This Row],[Column11]]*(1+$N$2))/1048576,"")</f>
        <v/>
      </c>
      <c r="O722" s="169" t="str">
        <f>IF(ISNUMBER(namespace_raw[[#This Row],[Column8]]), (E722  * $O$2),"")</f>
        <v/>
      </c>
      <c r="P722" s="170" t="str">
        <f>IF(ISNUMBER(namespace_raw[[#This Row],[Column8]]), (F722  * $P$2),"")</f>
        <v/>
      </c>
    </row>
    <row r="723" spans="1:16" ht="15" customHeight="1" x14ac:dyDescent="0.25">
      <c r="A723" s="32" t="str">
        <f>IF(ISNONTEXT(namespace_raw[[#This Row],[Column1]]), "", namespace_raw[[#This Row],[Column1]])</f>
        <v/>
      </c>
      <c r="B723" s="33" t="str">
        <f>IF(ISNONTEXT(namespace_raw[[#This Row],[Column2]]), "", namespace_raw[[#This Row],[Column2]])</f>
        <v/>
      </c>
      <c r="C723" s="94" t="str">
        <f>IF(ISNUMBER(namespace_raw[[#This Row],[Column4]]), namespace_raw[[#This Row],[Column4]], "")</f>
        <v/>
      </c>
      <c r="D723" s="95" t="str">
        <f>IF(ISNUMBER(namespace_raw[[#This Row],[Column5]]), namespace_raw[[#This Row],[Column5]]/1048576, "")</f>
        <v/>
      </c>
      <c r="E723" s="95" t="str">
        <f>IF(ISNUMBER(namespace_raw[[#This Row],[Column6]]), namespace_raw[[#This Row],[Column6]],"")</f>
        <v/>
      </c>
      <c r="F723" s="96" t="str">
        <f>IF(ISNUMBER(namespace_raw[[#This Row],[Column7]]), namespace_raw[[#This Row],[Column7]]/1048576,"")</f>
        <v/>
      </c>
      <c r="G723" s="122" t="str">
        <f>IF(ISNUMBER(namespace_raw[[#This Row],[Column8]]), namespace_raw[[#This Row],[Column8]],"")</f>
        <v/>
      </c>
      <c r="H723" s="123" t="str">
        <f>IF(ISNUMBER(namespace_raw[[#This Row],[Column9]]), namespace_raw[[#This Row],[Column9]]/1048576,"")</f>
        <v/>
      </c>
      <c r="I723" s="124" t="str">
        <f>IF(ISNUMBER(namespace_raw[[#This Row],[Column8]]),MAX(G723, M723, O723, $I$2,IF(Q723&lt;&gt;"",VALUE(Q723),0)), "")</f>
        <v/>
      </c>
      <c r="J723" s="125" t="str">
        <f>IF(ISNUMBER(namespace_raw[[#This Row],[Column9]]),MAX(H723, N723, P723, $J$2,IF(R723&lt;&gt;"",VALUE(R723),0)),"")</f>
        <v/>
      </c>
      <c r="K723" s="166" t="str">
        <f>IF(ISNUMBER(namespace_raw[[#This Row],[Column12]]), namespace_raw[[#This Row],[Column12]],"")</f>
        <v/>
      </c>
      <c r="L723" s="167" t="str">
        <f>IF(ISNUMBER(namespace_raw[[#This Row],[Column13]]), namespace_raw[[#This Row],[Column13]]/1048576,"")</f>
        <v/>
      </c>
      <c r="M723" s="168" t="str">
        <f>IF(ISNUMBER(namespace_raw[[#This Row],[Column10]]), (namespace_raw[[#This Row],[Column10]]*(1+$M$2)),"")</f>
        <v/>
      </c>
      <c r="N723" s="167" t="str">
        <f>IF(ISNUMBER(namespace_raw[[#This Row],[Column11]]), (namespace_raw[[#This Row],[Column11]]*(1+$N$2))/1048576,"")</f>
        <v/>
      </c>
      <c r="O723" s="169" t="str">
        <f>IF(ISNUMBER(namespace_raw[[#This Row],[Column8]]), (E723  * $O$2),"")</f>
        <v/>
      </c>
      <c r="P723" s="170" t="str">
        <f>IF(ISNUMBER(namespace_raw[[#This Row],[Column8]]), (F723  * $P$2),"")</f>
        <v/>
      </c>
    </row>
    <row r="724" spans="1:16" ht="15" customHeight="1" x14ac:dyDescent="0.25">
      <c r="A724" s="32" t="str">
        <f>IF(ISNONTEXT(namespace_raw[[#This Row],[Column1]]), "", namespace_raw[[#This Row],[Column1]])</f>
        <v/>
      </c>
      <c r="B724" s="33" t="str">
        <f>IF(ISNONTEXT(namespace_raw[[#This Row],[Column2]]), "", namespace_raw[[#This Row],[Column2]])</f>
        <v/>
      </c>
      <c r="C724" s="94" t="str">
        <f>IF(ISNUMBER(namespace_raw[[#This Row],[Column4]]), namespace_raw[[#This Row],[Column4]], "")</f>
        <v/>
      </c>
      <c r="D724" s="95" t="str">
        <f>IF(ISNUMBER(namespace_raw[[#This Row],[Column5]]), namespace_raw[[#This Row],[Column5]]/1048576, "")</f>
        <v/>
      </c>
      <c r="E724" s="95" t="str">
        <f>IF(ISNUMBER(namespace_raw[[#This Row],[Column6]]), namespace_raw[[#This Row],[Column6]],"")</f>
        <v/>
      </c>
      <c r="F724" s="96" t="str">
        <f>IF(ISNUMBER(namespace_raw[[#This Row],[Column7]]), namespace_raw[[#This Row],[Column7]]/1048576,"")</f>
        <v/>
      </c>
      <c r="G724" s="122" t="str">
        <f>IF(ISNUMBER(namespace_raw[[#This Row],[Column8]]), namespace_raw[[#This Row],[Column8]],"")</f>
        <v/>
      </c>
      <c r="H724" s="123" t="str">
        <f>IF(ISNUMBER(namespace_raw[[#This Row],[Column9]]), namespace_raw[[#This Row],[Column9]]/1048576,"")</f>
        <v/>
      </c>
      <c r="I724" s="124" t="str">
        <f>IF(ISNUMBER(namespace_raw[[#This Row],[Column8]]),MAX(G724, M724, O724, $I$2,IF(Q724&lt;&gt;"",VALUE(Q724),0)), "")</f>
        <v/>
      </c>
      <c r="J724" s="125" t="str">
        <f>IF(ISNUMBER(namespace_raw[[#This Row],[Column9]]),MAX(H724, N724, P724, $J$2,IF(R724&lt;&gt;"",VALUE(R724),0)),"")</f>
        <v/>
      </c>
      <c r="K724" s="166" t="str">
        <f>IF(ISNUMBER(namespace_raw[[#This Row],[Column12]]), namespace_raw[[#This Row],[Column12]],"")</f>
        <v/>
      </c>
      <c r="L724" s="167" t="str">
        <f>IF(ISNUMBER(namespace_raw[[#This Row],[Column13]]), namespace_raw[[#This Row],[Column13]]/1048576,"")</f>
        <v/>
      </c>
      <c r="M724" s="168" t="str">
        <f>IF(ISNUMBER(namespace_raw[[#This Row],[Column10]]), (namespace_raw[[#This Row],[Column10]]*(1+$M$2)),"")</f>
        <v/>
      </c>
      <c r="N724" s="167" t="str">
        <f>IF(ISNUMBER(namespace_raw[[#This Row],[Column11]]), (namespace_raw[[#This Row],[Column11]]*(1+$N$2))/1048576,"")</f>
        <v/>
      </c>
      <c r="O724" s="169" t="str">
        <f>IF(ISNUMBER(namespace_raw[[#This Row],[Column8]]), (E724  * $O$2),"")</f>
        <v/>
      </c>
      <c r="P724" s="170" t="str">
        <f>IF(ISNUMBER(namespace_raw[[#This Row],[Column8]]), (F724  * $P$2),"")</f>
        <v/>
      </c>
    </row>
    <row r="725" spans="1:16" ht="15" customHeight="1" x14ac:dyDescent="0.25">
      <c r="A725" s="32" t="str">
        <f>IF(ISNONTEXT(namespace_raw[[#This Row],[Column1]]), "", namespace_raw[[#This Row],[Column1]])</f>
        <v/>
      </c>
      <c r="B725" s="33" t="str">
        <f>IF(ISNONTEXT(namespace_raw[[#This Row],[Column2]]), "", namespace_raw[[#This Row],[Column2]])</f>
        <v/>
      </c>
      <c r="C725" s="94" t="str">
        <f>IF(ISNUMBER(namespace_raw[[#This Row],[Column4]]), namespace_raw[[#This Row],[Column4]], "")</f>
        <v/>
      </c>
      <c r="D725" s="95" t="str">
        <f>IF(ISNUMBER(namespace_raw[[#This Row],[Column5]]), namespace_raw[[#This Row],[Column5]]/1048576, "")</f>
        <v/>
      </c>
      <c r="E725" s="95" t="str">
        <f>IF(ISNUMBER(namespace_raw[[#This Row],[Column6]]), namespace_raw[[#This Row],[Column6]],"")</f>
        <v/>
      </c>
      <c r="F725" s="96" t="str">
        <f>IF(ISNUMBER(namespace_raw[[#This Row],[Column7]]), namespace_raw[[#This Row],[Column7]]/1048576,"")</f>
        <v/>
      </c>
      <c r="G725" s="122" t="str">
        <f>IF(ISNUMBER(namespace_raw[[#This Row],[Column8]]), namespace_raw[[#This Row],[Column8]],"")</f>
        <v/>
      </c>
      <c r="H725" s="123" t="str">
        <f>IF(ISNUMBER(namespace_raw[[#This Row],[Column9]]), namespace_raw[[#This Row],[Column9]]/1048576,"")</f>
        <v/>
      </c>
      <c r="I725" s="124" t="str">
        <f>IF(ISNUMBER(namespace_raw[[#This Row],[Column8]]),MAX(G725, M725, O725, $I$2,IF(Q725&lt;&gt;"",VALUE(Q725),0)), "")</f>
        <v/>
      </c>
      <c r="J725" s="125" t="str">
        <f>IF(ISNUMBER(namespace_raw[[#This Row],[Column9]]),MAX(H725, N725, P725, $J$2,IF(R725&lt;&gt;"",VALUE(R725),0)),"")</f>
        <v/>
      </c>
      <c r="K725" s="166" t="str">
        <f>IF(ISNUMBER(namespace_raw[[#This Row],[Column12]]), namespace_raw[[#This Row],[Column12]],"")</f>
        <v/>
      </c>
      <c r="L725" s="167" t="str">
        <f>IF(ISNUMBER(namespace_raw[[#This Row],[Column13]]), namespace_raw[[#This Row],[Column13]]/1048576,"")</f>
        <v/>
      </c>
      <c r="M725" s="168" t="str">
        <f>IF(ISNUMBER(namespace_raw[[#This Row],[Column10]]), (namespace_raw[[#This Row],[Column10]]*(1+$M$2)),"")</f>
        <v/>
      </c>
      <c r="N725" s="167" t="str">
        <f>IF(ISNUMBER(namespace_raw[[#This Row],[Column11]]), (namespace_raw[[#This Row],[Column11]]*(1+$N$2))/1048576,"")</f>
        <v/>
      </c>
      <c r="O725" s="169" t="str">
        <f>IF(ISNUMBER(namespace_raw[[#This Row],[Column8]]), (E725  * $O$2),"")</f>
        <v/>
      </c>
      <c r="P725" s="170" t="str">
        <f>IF(ISNUMBER(namespace_raw[[#This Row],[Column8]]), (F725  * $P$2),"")</f>
        <v/>
      </c>
    </row>
    <row r="726" spans="1:16" ht="15" customHeight="1" x14ac:dyDescent="0.25">
      <c r="A726" s="32" t="str">
        <f>IF(ISNONTEXT(namespace_raw[[#This Row],[Column1]]), "", namespace_raw[[#This Row],[Column1]])</f>
        <v/>
      </c>
      <c r="B726" s="33" t="str">
        <f>IF(ISNONTEXT(namespace_raw[[#This Row],[Column2]]), "", namespace_raw[[#This Row],[Column2]])</f>
        <v/>
      </c>
      <c r="C726" s="94" t="str">
        <f>IF(ISNUMBER(namespace_raw[[#This Row],[Column4]]), namespace_raw[[#This Row],[Column4]], "")</f>
        <v/>
      </c>
      <c r="D726" s="95" t="str">
        <f>IF(ISNUMBER(namespace_raw[[#This Row],[Column5]]), namespace_raw[[#This Row],[Column5]]/1048576, "")</f>
        <v/>
      </c>
      <c r="E726" s="95" t="str">
        <f>IF(ISNUMBER(namespace_raw[[#This Row],[Column6]]), namespace_raw[[#This Row],[Column6]],"")</f>
        <v/>
      </c>
      <c r="F726" s="96" t="str">
        <f>IF(ISNUMBER(namespace_raw[[#This Row],[Column7]]), namespace_raw[[#This Row],[Column7]]/1048576,"")</f>
        <v/>
      </c>
      <c r="G726" s="122" t="str">
        <f>IF(ISNUMBER(namespace_raw[[#This Row],[Column8]]), namespace_raw[[#This Row],[Column8]],"")</f>
        <v/>
      </c>
      <c r="H726" s="123" t="str">
        <f>IF(ISNUMBER(namespace_raw[[#This Row],[Column9]]), namespace_raw[[#This Row],[Column9]]/1048576,"")</f>
        <v/>
      </c>
      <c r="I726" s="124" t="str">
        <f>IF(ISNUMBER(namespace_raw[[#This Row],[Column8]]),MAX(G726, M726, O726, $I$2,IF(Q726&lt;&gt;"",VALUE(Q726),0)), "")</f>
        <v/>
      </c>
      <c r="J726" s="125" t="str">
        <f>IF(ISNUMBER(namespace_raw[[#This Row],[Column9]]),MAX(H726, N726, P726, $J$2,IF(R726&lt;&gt;"",VALUE(R726),0)),"")</f>
        <v/>
      </c>
      <c r="K726" s="166" t="str">
        <f>IF(ISNUMBER(namespace_raw[[#This Row],[Column12]]), namespace_raw[[#This Row],[Column12]],"")</f>
        <v/>
      </c>
      <c r="L726" s="167" t="str">
        <f>IF(ISNUMBER(namespace_raw[[#This Row],[Column13]]), namespace_raw[[#This Row],[Column13]]/1048576,"")</f>
        <v/>
      </c>
      <c r="M726" s="168" t="str">
        <f>IF(ISNUMBER(namespace_raw[[#This Row],[Column10]]), (namespace_raw[[#This Row],[Column10]]*(1+$M$2)),"")</f>
        <v/>
      </c>
      <c r="N726" s="167" t="str">
        <f>IF(ISNUMBER(namespace_raw[[#This Row],[Column11]]), (namespace_raw[[#This Row],[Column11]]*(1+$N$2))/1048576,"")</f>
        <v/>
      </c>
      <c r="O726" s="169" t="str">
        <f>IF(ISNUMBER(namespace_raw[[#This Row],[Column8]]), (E726  * $O$2),"")</f>
        <v/>
      </c>
      <c r="P726" s="170" t="str">
        <f>IF(ISNUMBER(namespace_raw[[#This Row],[Column8]]), (F726  * $P$2),"")</f>
        <v/>
      </c>
    </row>
    <row r="727" spans="1:16" ht="15" customHeight="1" x14ac:dyDescent="0.25">
      <c r="A727" s="32" t="str">
        <f>IF(ISNONTEXT(namespace_raw[[#This Row],[Column1]]), "", namespace_raw[[#This Row],[Column1]])</f>
        <v/>
      </c>
      <c r="B727" s="33" t="str">
        <f>IF(ISNONTEXT(namespace_raw[[#This Row],[Column2]]), "", namespace_raw[[#This Row],[Column2]])</f>
        <v/>
      </c>
      <c r="C727" s="94" t="str">
        <f>IF(ISNUMBER(namespace_raw[[#This Row],[Column4]]), namespace_raw[[#This Row],[Column4]], "")</f>
        <v/>
      </c>
      <c r="D727" s="95" t="str">
        <f>IF(ISNUMBER(namespace_raw[[#This Row],[Column5]]), namespace_raw[[#This Row],[Column5]]/1048576, "")</f>
        <v/>
      </c>
      <c r="E727" s="95" t="str">
        <f>IF(ISNUMBER(namespace_raw[[#This Row],[Column6]]), namespace_raw[[#This Row],[Column6]],"")</f>
        <v/>
      </c>
      <c r="F727" s="96" t="str">
        <f>IF(ISNUMBER(namespace_raw[[#This Row],[Column7]]), namespace_raw[[#This Row],[Column7]]/1048576,"")</f>
        <v/>
      </c>
      <c r="G727" s="122" t="str">
        <f>IF(ISNUMBER(namespace_raw[[#This Row],[Column8]]), namespace_raw[[#This Row],[Column8]],"")</f>
        <v/>
      </c>
      <c r="H727" s="123" t="str">
        <f>IF(ISNUMBER(namespace_raw[[#This Row],[Column9]]), namespace_raw[[#This Row],[Column9]]/1048576,"")</f>
        <v/>
      </c>
      <c r="I727" s="124" t="str">
        <f>IF(ISNUMBER(namespace_raw[[#This Row],[Column8]]),MAX(G727, M727, O727, $I$2,IF(Q727&lt;&gt;"",VALUE(Q727),0)), "")</f>
        <v/>
      </c>
      <c r="J727" s="125" t="str">
        <f>IF(ISNUMBER(namespace_raw[[#This Row],[Column9]]),MAX(H727, N727, P727, $J$2,IF(R727&lt;&gt;"",VALUE(R727),0)),"")</f>
        <v/>
      </c>
      <c r="K727" s="166" t="str">
        <f>IF(ISNUMBER(namespace_raw[[#This Row],[Column12]]), namespace_raw[[#This Row],[Column12]],"")</f>
        <v/>
      </c>
      <c r="L727" s="167" t="str">
        <f>IF(ISNUMBER(namespace_raw[[#This Row],[Column13]]), namespace_raw[[#This Row],[Column13]]/1048576,"")</f>
        <v/>
      </c>
      <c r="M727" s="168" t="str">
        <f>IF(ISNUMBER(namespace_raw[[#This Row],[Column10]]), (namespace_raw[[#This Row],[Column10]]*(1+$M$2)),"")</f>
        <v/>
      </c>
      <c r="N727" s="167" t="str">
        <f>IF(ISNUMBER(namespace_raw[[#This Row],[Column11]]), (namespace_raw[[#This Row],[Column11]]*(1+$N$2))/1048576,"")</f>
        <v/>
      </c>
      <c r="O727" s="169" t="str">
        <f>IF(ISNUMBER(namespace_raw[[#This Row],[Column8]]), (E727  * $O$2),"")</f>
        <v/>
      </c>
      <c r="P727" s="170" t="str">
        <f>IF(ISNUMBER(namespace_raw[[#This Row],[Column8]]), (F727  * $P$2),"")</f>
        <v/>
      </c>
    </row>
    <row r="728" spans="1:16" ht="15" customHeight="1" x14ac:dyDescent="0.25">
      <c r="A728" s="32" t="str">
        <f>IF(ISNONTEXT(namespace_raw[[#This Row],[Column1]]), "", namespace_raw[[#This Row],[Column1]])</f>
        <v/>
      </c>
      <c r="B728" s="33" t="str">
        <f>IF(ISNONTEXT(namespace_raw[[#This Row],[Column2]]), "", namespace_raw[[#This Row],[Column2]])</f>
        <v/>
      </c>
      <c r="C728" s="94" t="str">
        <f>IF(ISNUMBER(namespace_raw[[#This Row],[Column4]]), namespace_raw[[#This Row],[Column4]], "")</f>
        <v/>
      </c>
      <c r="D728" s="95" t="str">
        <f>IF(ISNUMBER(namespace_raw[[#This Row],[Column5]]), namespace_raw[[#This Row],[Column5]]/1048576, "")</f>
        <v/>
      </c>
      <c r="E728" s="95" t="str">
        <f>IF(ISNUMBER(namespace_raw[[#This Row],[Column6]]), namespace_raw[[#This Row],[Column6]],"")</f>
        <v/>
      </c>
      <c r="F728" s="96" t="str">
        <f>IF(ISNUMBER(namespace_raw[[#This Row],[Column7]]), namespace_raw[[#This Row],[Column7]]/1048576,"")</f>
        <v/>
      </c>
      <c r="G728" s="122" t="str">
        <f>IF(ISNUMBER(namespace_raw[[#This Row],[Column8]]), namespace_raw[[#This Row],[Column8]],"")</f>
        <v/>
      </c>
      <c r="H728" s="123" t="str">
        <f>IF(ISNUMBER(namespace_raw[[#This Row],[Column9]]), namespace_raw[[#This Row],[Column9]]/1048576,"")</f>
        <v/>
      </c>
      <c r="I728" s="124" t="str">
        <f>IF(ISNUMBER(namespace_raw[[#This Row],[Column8]]),MAX(G728, M728, O728, $I$2,IF(Q728&lt;&gt;"",VALUE(Q728),0)), "")</f>
        <v/>
      </c>
      <c r="J728" s="125" t="str">
        <f>IF(ISNUMBER(namespace_raw[[#This Row],[Column9]]),MAX(H728, N728, P728, $J$2,IF(R728&lt;&gt;"",VALUE(R728),0)),"")</f>
        <v/>
      </c>
      <c r="K728" s="166" t="str">
        <f>IF(ISNUMBER(namespace_raw[[#This Row],[Column12]]), namespace_raw[[#This Row],[Column12]],"")</f>
        <v/>
      </c>
      <c r="L728" s="167" t="str">
        <f>IF(ISNUMBER(namespace_raw[[#This Row],[Column13]]), namespace_raw[[#This Row],[Column13]]/1048576,"")</f>
        <v/>
      </c>
      <c r="M728" s="168" t="str">
        <f>IF(ISNUMBER(namespace_raw[[#This Row],[Column10]]), (namespace_raw[[#This Row],[Column10]]*(1+$M$2)),"")</f>
        <v/>
      </c>
      <c r="N728" s="167" t="str">
        <f>IF(ISNUMBER(namespace_raw[[#This Row],[Column11]]), (namespace_raw[[#This Row],[Column11]]*(1+$N$2))/1048576,"")</f>
        <v/>
      </c>
      <c r="O728" s="169" t="str">
        <f>IF(ISNUMBER(namespace_raw[[#This Row],[Column8]]), (E728  * $O$2),"")</f>
        <v/>
      </c>
      <c r="P728" s="170" t="str">
        <f>IF(ISNUMBER(namespace_raw[[#This Row],[Column8]]), (F728  * $P$2),"")</f>
        <v/>
      </c>
    </row>
    <row r="729" spans="1:16" ht="15" customHeight="1" x14ac:dyDescent="0.25">
      <c r="A729" s="32" t="str">
        <f>IF(ISNONTEXT(namespace_raw[[#This Row],[Column1]]), "", namespace_raw[[#This Row],[Column1]])</f>
        <v/>
      </c>
      <c r="B729" s="33" t="str">
        <f>IF(ISNONTEXT(namespace_raw[[#This Row],[Column2]]), "", namespace_raw[[#This Row],[Column2]])</f>
        <v/>
      </c>
      <c r="C729" s="94" t="str">
        <f>IF(ISNUMBER(namespace_raw[[#This Row],[Column4]]), namespace_raw[[#This Row],[Column4]], "")</f>
        <v/>
      </c>
      <c r="D729" s="95" t="str">
        <f>IF(ISNUMBER(namespace_raw[[#This Row],[Column5]]), namespace_raw[[#This Row],[Column5]]/1048576, "")</f>
        <v/>
      </c>
      <c r="E729" s="95" t="str">
        <f>IF(ISNUMBER(namespace_raw[[#This Row],[Column6]]), namespace_raw[[#This Row],[Column6]],"")</f>
        <v/>
      </c>
      <c r="F729" s="96" t="str">
        <f>IF(ISNUMBER(namespace_raw[[#This Row],[Column7]]), namespace_raw[[#This Row],[Column7]]/1048576,"")</f>
        <v/>
      </c>
      <c r="G729" s="122" t="str">
        <f>IF(ISNUMBER(namespace_raw[[#This Row],[Column8]]), namespace_raw[[#This Row],[Column8]],"")</f>
        <v/>
      </c>
      <c r="H729" s="123" t="str">
        <f>IF(ISNUMBER(namespace_raw[[#This Row],[Column9]]), namespace_raw[[#This Row],[Column9]]/1048576,"")</f>
        <v/>
      </c>
      <c r="I729" s="124" t="str">
        <f>IF(ISNUMBER(namespace_raw[[#This Row],[Column8]]),MAX(G729, M729, O729, $I$2,IF(Q729&lt;&gt;"",VALUE(Q729),0)), "")</f>
        <v/>
      </c>
      <c r="J729" s="125" t="str">
        <f>IF(ISNUMBER(namespace_raw[[#This Row],[Column9]]),MAX(H729, N729, P729, $J$2,IF(R729&lt;&gt;"",VALUE(R729),0)),"")</f>
        <v/>
      </c>
      <c r="K729" s="166" t="str">
        <f>IF(ISNUMBER(namespace_raw[[#This Row],[Column12]]), namespace_raw[[#This Row],[Column12]],"")</f>
        <v/>
      </c>
      <c r="L729" s="167" t="str">
        <f>IF(ISNUMBER(namespace_raw[[#This Row],[Column13]]), namespace_raw[[#This Row],[Column13]]/1048576,"")</f>
        <v/>
      </c>
      <c r="M729" s="168" t="str">
        <f>IF(ISNUMBER(namespace_raw[[#This Row],[Column10]]), (namespace_raw[[#This Row],[Column10]]*(1+$M$2)),"")</f>
        <v/>
      </c>
      <c r="N729" s="167" t="str">
        <f>IF(ISNUMBER(namespace_raw[[#This Row],[Column11]]), (namespace_raw[[#This Row],[Column11]]*(1+$N$2))/1048576,"")</f>
        <v/>
      </c>
      <c r="O729" s="169" t="str">
        <f>IF(ISNUMBER(namespace_raw[[#This Row],[Column8]]), (E729  * $O$2),"")</f>
        <v/>
      </c>
      <c r="P729" s="170" t="str">
        <f>IF(ISNUMBER(namespace_raw[[#This Row],[Column8]]), (F729  * $P$2),"")</f>
        <v/>
      </c>
    </row>
    <row r="730" spans="1:16" ht="15" customHeight="1" x14ac:dyDescent="0.25">
      <c r="A730" s="32" t="str">
        <f>IF(ISNONTEXT(namespace_raw[[#This Row],[Column1]]), "", namespace_raw[[#This Row],[Column1]])</f>
        <v/>
      </c>
      <c r="B730" s="33" t="str">
        <f>IF(ISNONTEXT(namespace_raw[[#This Row],[Column2]]), "", namespace_raw[[#This Row],[Column2]])</f>
        <v/>
      </c>
      <c r="C730" s="94" t="str">
        <f>IF(ISNUMBER(namespace_raw[[#This Row],[Column4]]), namespace_raw[[#This Row],[Column4]], "")</f>
        <v/>
      </c>
      <c r="D730" s="95" t="str">
        <f>IF(ISNUMBER(namespace_raw[[#This Row],[Column5]]), namespace_raw[[#This Row],[Column5]]/1048576, "")</f>
        <v/>
      </c>
      <c r="E730" s="95" t="str">
        <f>IF(ISNUMBER(namespace_raw[[#This Row],[Column6]]), namespace_raw[[#This Row],[Column6]],"")</f>
        <v/>
      </c>
      <c r="F730" s="96" t="str">
        <f>IF(ISNUMBER(namespace_raw[[#This Row],[Column7]]), namespace_raw[[#This Row],[Column7]]/1048576,"")</f>
        <v/>
      </c>
      <c r="G730" s="122" t="str">
        <f>IF(ISNUMBER(namespace_raw[[#This Row],[Column8]]), namespace_raw[[#This Row],[Column8]],"")</f>
        <v/>
      </c>
      <c r="H730" s="123" t="str">
        <f>IF(ISNUMBER(namespace_raw[[#This Row],[Column9]]), namespace_raw[[#This Row],[Column9]]/1048576,"")</f>
        <v/>
      </c>
      <c r="I730" s="124" t="str">
        <f>IF(ISNUMBER(namespace_raw[[#This Row],[Column8]]),MAX(G730, M730, O730, $I$2,IF(Q730&lt;&gt;"",VALUE(Q730),0)), "")</f>
        <v/>
      </c>
      <c r="J730" s="125" t="str">
        <f>IF(ISNUMBER(namespace_raw[[#This Row],[Column9]]),MAX(H730, N730, P730, $J$2,IF(R730&lt;&gt;"",VALUE(R730),0)),"")</f>
        <v/>
      </c>
      <c r="K730" s="166" t="str">
        <f>IF(ISNUMBER(namespace_raw[[#This Row],[Column12]]), namespace_raw[[#This Row],[Column12]],"")</f>
        <v/>
      </c>
      <c r="L730" s="167" t="str">
        <f>IF(ISNUMBER(namespace_raw[[#This Row],[Column13]]), namespace_raw[[#This Row],[Column13]]/1048576,"")</f>
        <v/>
      </c>
      <c r="M730" s="168" t="str">
        <f>IF(ISNUMBER(namespace_raw[[#This Row],[Column10]]), (namespace_raw[[#This Row],[Column10]]*(1+$M$2)),"")</f>
        <v/>
      </c>
      <c r="N730" s="167" t="str">
        <f>IF(ISNUMBER(namespace_raw[[#This Row],[Column11]]), (namespace_raw[[#This Row],[Column11]]*(1+$N$2))/1048576,"")</f>
        <v/>
      </c>
      <c r="O730" s="169" t="str">
        <f>IF(ISNUMBER(namespace_raw[[#This Row],[Column8]]), (E730  * $O$2),"")</f>
        <v/>
      </c>
      <c r="P730" s="170" t="str">
        <f>IF(ISNUMBER(namespace_raw[[#This Row],[Column8]]), (F730  * $P$2),"")</f>
        <v/>
      </c>
    </row>
    <row r="731" spans="1:16" ht="15" customHeight="1" x14ac:dyDescent="0.25">
      <c r="A731" s="32" t="str">
        <f>IF(ISNONTEXT(namespace_raw[[#This Row],[Column1]]), "", namespace_raw[[#This Row],[Column1]])</f>
        <v/>
      </c>
      <c r="B731" s="33" t="str">
        <f>IF(ISNONTEXT(namespace_raw[[#This Row],[Column2]]), "", namespace_raw[[#This Row],[Column2]])</f>
        <v/>
      </c>
      <c r="C731" s="94" t="str">
        <f>IF(ISNUMBER(namespace_raw[[#This Row],[Column4]]), namespace_raw[[#This Row],[Column4]], "")</f>
        <v/>
      </c>
      <c r="D731" s="95" t="str">
        <f>IF(ISNUMBER(namespace_raw[[#This Row],[Column5]]), namespace_raw[[#This Row],[Column5]]/1048576, "")</f>
        <v/>
      </c>
      <c r="E731" s="95" t="str">
        <f>IF(ISNUMBER(namespace_raw[[#This Row],[Column6]]), namespace_raw[[#This Row],[Column6]],"")</f>
        <v/>
      </c>
      <c r="F731" s="96" t="str">
        <f>IF(ISNUMBER(namespace_raw[[#This Row],[Column7]]), namespace_raw[[#This Row],[Column7]]/1048576,"")</f>
        <v/>
      </c>
      <c r="G731" s="122" t="str">
        <f>IF(ISNUMBER(namespace_raw[[#This Row],[Column8]]), namespace_raw[[#This Row],[Column8]],"")</f>
        <v/>
      </c>
      <c r="H731" s="123" t="str">
        <f>IF(ISNUMBER(namespace_raw[[#This Row],[Column9]]), namespace_raw[[#This Row],[Column9]]/1048576,"")</f>
        <v/>
      </c>
      <c r="I731" s="124" t="str">
        <f>IF(ISNUMBER(namespace_raw[[#This Row],[Column8]]),MAX(G731, M731, O731, $I$2,IF(Q731&lt;&gt;"",VALUE(Q731),0)), "")</f>
        <v/>
      </c>
      <c r="J731" s="125" t="str">
        <f>IF(ISNUMBER(namespace_raw[[#This Row],[Column9]]),MAX(H731, N731, P731, $J$2,IF(R731&lt;&gt;"",VALUE(R731),0)),"")</f>
        <v/>
      </c>
      <c r="K731" s="166" t="str">
        <f>IF(ISNUMBER(namespace_raw[[#This Row],[Column12]]), namespace_raw[[#This Row],[Column12]],"")</f>
        <v/>
      </c>
      <c r="L731" s="167" t="str">
        <f>IF(ISNUMBER(namespace_raw[[#This Row],[Column13]]), namespace_raw[[#This Row],[Column13]]/1048576,"")</f>
        <v/>
      </c>
      <c r="M731" s="168" t="str">
        <f>IF(ISNUMBER(namespace_raw[[#This Row],[Column10]]), (namespace_raw[[#This Row],[Column10]]*(1+$M$2)),"")</f>
        <v/>
      </c>
      <c r="N731" s="167" t="str">
        <f>IF(ISNUMBER(namespace_raw[[#This Row],[Column11]]), (namespace_raw[[#This Row],[Column11]]*(1+$N$2))/1048576,"")</f>
        <v/>
      </c>
      <c r="O731" s="169" t="str">
        <f>IF(ISNUMBER(namespace_raw[[#This Row],[Column8]]), (E731  * $O$2),"")</f>
        <v/>
      </c>
      <c r="P731" s="170" t="str">
        <f>IF(ISNUMBER(namespace_raw[[#This Row],[Column8]]), (F731  * $P$2),"")</f>
        <v/>
      </c>
    </row>
    <row r="732" spans="1:16" ht="15" customHeight="1" x14ac:dyDescent="0.25">
      <c r="A732" s="32" t="str">
        <f>IF(ISNONTEXT(namespace_raw[[#This Row],[Column1]]), "", namespace_raw[[#This Row],[Column1]])</f>
        <v/>
      </c>
      <c r="B732" s="33" t="str">
        <f>IF(ISNONTEXT(namespace_raw[[#This Row],[Column2]]), "", namespace_raw[[#This Row],[Column2]])</f>
        <v/>
      </c>
      <c r="C732" s="94" t="str">
        <f>IF(ISNUMBER(namespace_raw[[#This Row],[Column4]]), namespace_raw[[#This Row],[Column4]], "")</f>
        <v/>
      </c>
      <c r="D732" s="95" t="str">
        <f>IF(ISNUMBER(namespace_raw[[#This Row],[Column5]]), namespace_raw[[#This Row],[Column5]]/1048576, "")</f>
        <v/>
      </c>
      <c r="E732" s="95" t="str">
        <f>IF(ISNUMBER(namespace_raw[[#This Row],[Column6]]), namespace_raw[[#This Row],[Column6]],"")</f>
        <v/>
      </c>
      <c r="F732" s="96" t="str">
        <f>IF(ISNUMBER(namespace_raw[[#This Row],[Column7]]), namespace_raw[[#This Row],[Column7]]/1048576,"")</f>
        <v/>
      </c>
      <c r="G732" s="122" t="str">
        <f>IF(ISNUMBER(namespace_raw[[#This Row],[Column8]]), namespace_raw[[#This Row],[Column8]],"")</f>
        <v/>
      </c>
      <c r="H732" s="123" t="str">
        <f>IF(ISNUMBER(namespace_raw[[#This Row],[Column9]]), namespace_raw[[#This Row],[Column9]]/1048576,"")</f>
        <v/>
      </c>
      <c r="I732" s="124" t="str">
        <f>IF(ISNUMBER(namespace_raw[[#This Row],[Column8]]),MAX(G732, M732, O732, $I$2,IF(Q732&lt;&gt;"",VALUE(Q732),0)), "")</f>
        <v/>
      </c>
      <c r="J732" s="125" t="str">
        <f>IF(ISNUMBER(namespace_raw[[#This Row],[Column9]]),MAX(H732, N732, P732, $J$2,IF(R732&lt;&gt;"",VALUE(R732),0)),"")</f>
        <v/>
      </c>
      <c r="K732" s="166" t="str">
        <f>IF(ISNUMBER(namespace_raw[[#This Row],[Column12]]), namespace_raw[[#This Row],[Column12]],"")</f>
        <v/>
      </c>
      <c r="L732" s="167" t="str">
        <f>IF(ISNUMBER(namespace_raw[[#This Row],[Column13]]), namespace_raw[[#This Row],[Column13]]/1048576,"")</f>
        <v/>
      </c>
      <c r="M732" s="168" t="str">
        <f>IF(ISNUMBER(namespace_raw[[#This Row],[Column10]]), (namespace_raw[[#This Row],[Column10]]*(1+$M$2)),"")</f>
        <v/>
      </c>
      <c r="N732" s="167" t="str">
        <f>IF(ISNUMBER(namespace_raw[[#This Row],[Column11]]), (namespace_raw[[#This Row],[Column11]]*(1+$N$2))/1048576,"")</f>
        <v/>
      </c>
      <c r="O732" s="169" t="str">
        <f>IF(ISNUMBER(namespace_raw[[#This Row],[Column8]]), (E732  * $O$2),"")</f>
        <v/>
      </c>
      <c r="P732" s="170" t="str">
        <f>IF(ISNUMBER(namespace_raw[[#This Row],[Column8]]), (F732  * $P$2),"")</f>
        <v/>
      </c>
    </row>
    <row r="733" spans="1:16" ht="15" customHeight="1" x14ac:dyDescent="0.25">
      <c r="A733" s="32" t="str">
        <f>IF(ISNONTEXT(namespace_raw[[#This Row],[Column1]]), "", namespace_raw[[#This Row],[Column1]])</f>
        <v/>
      </c>
      <c r="B733" s="33" t="str">
        <f>IF(ISNONTEXT(namespace_raw[[#This Row],[Column2]]), "", namespace_raw[[#This Row],[Column2]])</f>
        <v/>
      </c>
      <c r="C733" s="94" t="str">
        <f>IF(ISNUMBER(namespace_raw[[#This Row],[Column4]]), namespace_raw[[#This Row],[Column4]], "")</f>
        <v/>
      </c>
      <c r="D733" s="95" t="str">
        <f>IF(ISNUMBER(namespace_raw[[#This Row],[Column5]]), namespace_raw[[#This Row],[Column5]]/1048576, "")</f>
        <v/>
      </c>
      <c r="E733" s="95" t="str">
        <f>IF(ISNUMBER(namespace_raw[[#This Row],[Column6]]), namespace_raw[[#This Row],[Column6]],"")</f>
        <v/>
      </c>
      <c r="F733" s="96" t="str">
        <f>IF(ISNUMBER(namespace_raw[[#This Row],[Column7]]), namespace_raw[[#This Row],[Column7]]/1048576,"")</f>
        <v/>
      </c>
      <c r="G733" s="122" t="str">
        <f>IF(ISNUMBER(namespace_raw[[#This Row],[Column8]]), namespace_raw[[#This Row],[Column8]],"")</f>
        <v/>
      </c>
      <c r="H733" s="123" t="str">
        <f>IF(ISNUMBER(namespace_raw[[#This Row],[Column9]]), namespace_raw[[#This Row],[Column9]]/1048576,"")</f>
        <v/>
      </c>
      <c r="I733" s="124" t="str">
        <f>IF(ISNUMBER(namespace_raw[[#This Row],[Column8]]),MAX(G733, M733, O733, $I$2,IF(Q733&lt;&gt;"",VALUE(Q733),0)), "")</f>
        <v/>
      </c>
      <c r="J733" s="125" t="str">
        <f>IF(ISNUMBER(namespace_raw[[#This Row],[Column9]]),MAX(H733, N733, P733, $J$2,IF(R733&lt;&gt;"",VALUE(R733),0)),"")</f>
        <v/>
      </c>
      <c r="K733" s="166" t="str">
        <f>IF(ISNUMBER(namespace_raw[[#This Row],[Column12]]), namespace_raw[[#This Row],[Column12]],"")</f>
        <v/>
      </c>
      <c r="L733" s="167" t="str">
        <f>IF(ISNUMBER(namespace_raw[[#This Row],[Column13]]), namespace_raw[[#This Row],[Column13]]/1048576,"")</f>
        <v/>
      </c>
      <c r="M733" s="168" t="str">
        <f>IF(ISNUMBER(namespace_raw[[#This Row],[Column10]]), (namespace_raw[[#This Row],[Column10]]*(1+$M$2)),"")</f>
        <v/>
      </c>
      <c r="N733" s="167" t="str">
        <f>IF(ISNUMBER(namespace_raw[[#This Row],[Column11]]), (namespace_raw[[#This Row],[Column11]]*(1+$N$2))/1048576,"")</f>
        <v/>
      </c>
      <c r="O733" s="169" t="str">
        <f>IF(ISNUMBER(namespace_raw[[#This Row],[Column8]]), (E733  * $O$2),"")</f>
        <v/>
      </c>
      <c r="P733" s="170" t="str">
        <f>IF(ISNUMBER(namespace_raw[[#This Row],[Column8]]), (F733  * $P$2),"")</f>
        <v/>
      </c>
    </row>
    <row r="734" spans="1:16" ht="15" customHeight="1" x14ac:dyDescent="0.25">
      <c r="A734" s="32" t="str">
        <f>IF(ISNONTEXT(namespace_raw[[#This Row],[Column1]]), "", namespace_raw[[#This Row],[Column1]])</f>
        <v/>
      </c>
      <c r="B734" s="33" t="str">
        <f>IF(ISNONTEXT(namespace_raw[[#This Row],[Column2]]), "", namespace_raw[[#This Row],[Column2]])</f>
        <v/>
      </c>
      <c r="C734" s="94" t="str">
        <f>IF(ISNUMBER(namespace_raw[[#This Row],[Column4]]), namespace_raw[[#This Row],[Column4]], "")</f>
        <v/>
      </c>
      <c r="D734" s="95" t="str">
        <f>IF(ISNUMBER(namespace_raw[[#This Row],[Column5]]), namespace_raw[[#This Row],[Column5]]/1048576, "")</f>
        <v/>
      </c>
      <c r="E734" s="95" t="str">
        <f>IF(ISNUMBER(namespace_raw[[#This Row],[Column6]]), namespace_raw[[#This Row],[Column6]],"")</f>
        <v/>
      </c>
      <c r="F734" s="96" t="str">
        <f>IF(ISNUMBER(namespace_raw[[#This Row],[Column7]]), namespace_raw[[#This Row],[Column7]]/1048576,"")</f>
        <v/>
      </c>
      <c r="G734" s="122" t="str">
        <f>IF(ISNUMBER(namespace_raw[[#This Row],[Column8]]), namespace_raw[[#This Row],[Column8]],"")</f>
        <v/>
      </c>
      <c r="H734" s="123" t="str">
        <f>IF(ISNUMBER(namespace_raw[[#This Row],[Column9]]), namespace_raw[[#This Row],[Column9]]/1048576,"")</f>
        <v/>
      </c>
      <c r="I734" s="124" t="str">
        <f>IF(ISNUMBER(namespace_raw[[#This Row],[Column8]]),MAX(G734, M734, O734, $I$2,IF(Q734&lt;&gt;"",VALUE(Q734),0)), "")</f>
        <v/>
      </c>
      <c r="J734" s="125" t="str">
        <f>IF(ISNUMBER(namespace_raw[[#This Row],[Column9]]),MAX(H734, N734, P734, $J$2,IF(R734&lt;&gt;"",VALUE(R734),0)),"")</f>
        <v/>
      </c>
      <c r="K734" s="166" t="str">
        <f>IF(ISNUMBER(namespace_raw[[#This Row],[Column12]]), namespace_raw[[#This Row],[Column12]],"")</f>
        <v/>
      </c>
      <c r="L734" s="167" t="str">
        <f>IF(ISNUMBER(namespace_raw[[#This Row],[Column13]]), namespace_raw[[#This Row],[Column13]]/1048576,"")</f>
        <v/>
      </c>
      <c r="M734" s="168" t="str">
        <f>IF(ISNUMBER(namespace_raw[[#This Row],[Column10]]), (namespace_raw[[#This Row],[Column10]]*(1+$M$2)),"")</f>
        <v/>
      </c>
      <c r="N734" s="167" t="str">
        <f>IF(ISNUMBER(namespace_raw[[#This Row],[Column11]]), (namespace_raw[[#This Row],[Column11]]*(1+$N$2))/1048576,"")</f>
        <v/>
      </c>
      <c r="O734" s="169" t="str">
        <f>IF(ISNUMBER(namespace_raw[[#This Row],[Column8]]), (E734  * $O$2),"")</f>
        <v/>
      </c>
      <c r="P734" s="170" t="str">
        <f>IF(ISNUMBER(namespace_raw[[#This Row],[Column8]]), (F734  * $P$2),"")</f>
        <v/>
      </c>
    </row>
    <row r="735" spans="1:16" ht="15" customHeight="1" x14ac:dyDescent="0.25">
      <c r="A735" s="32" t="str">
        <f>IF(ISNONTEXT(namespace_raw[[#This Row],[Column1]]), "", namespace_raw[[#This Row],[Column1]])</f>
        <v/>
      </c>
      <c r="B735" s="33" t="str">
        <f>IF(ISNONTEXT(namespace_raw[[#This Row],[Column2]]), "", namespace_raw[[#This Row],[Column2]])</f>
        <v/>
      </c>
      <c r="C735" s="94" t="str">
        <f>IF(ISNUMBER(namespace_raw[[#This Row],[Column4]]), namespace_raw[[#This Row],[Column4]], "")</f>
        <v/>
      </c>
      <c r="D735" s="95" t="str">
        <f>IF(ISNUMBER(namespace_raw[[#This Row],[Column5]]), namespace_raw[[#This Row],[Column5]]/1048576, "")</f>
        <v/>
      </c>
      <c r="E735" s="95" t="str">
        <f>IF(ISNUMBER(namespace_raw[[#This Row],[Column6]]), namespace_raw[[#This Row],[Column6]],"")</f>
        <v/>
      </c>
      <c r="F735" s="96" t="str">
        <f>IF(ISNUMBER(namespace_raw[[#This Row],[Column7]]), namespace_raw[[#This Row],[Column7]]/1048576,"")</f>
        <v/>
      </c>
      <c r="G735" s="122" t="str">
        <f>IF(ISNUMBER(namespace_raw[[#This Row],[Column8]]), namespace_raw[[#This Row],[Column8]],"")</f>
        <v/>
      </c>
      <c r="H735" s="123" t="str">
        <f>IF(ISNUMBER(namespace_raw[[#This Row],[Column9]]), namespace_raw[[#This Row],[Column9]]/1048576,"")</f>
        <v/>
      </c>
      <c r="I735" s="124" t="str">
        <f>IF(ISNUMBER(namespace_raw[[#This Row],[Column8]]),MAX(G735, M735, O735, $I$2,IF(Q735&lt;&gt;"",VALUE(Q735),0)), "")</f>
        <v/>
      </c>
      <c r="J735" s="125" t="str">
        <f>IF(ISNUMBER(namespace_raw[[#This Row],[Column9]]),MAX(H735, N735, P735, $J$2,IF(R735&lt;&gt;"",VALUE(R735),0)),"")</f>
        <v/>
      </c>
      <c r="K735" s="166" t="str">
        <f>IF(ISNUMBER(namespace_raw[[#This Row],[Column12]]), namespace_raw[[#This Row],[Column12]],"")</f>
        <v/>
      </c>
      <c r="L735" s="167" t="str">
        <f>IF(ISNUMBER(namespace_raw[[#This Row],[Column13]]), namespace_raw[[#This Row],[Column13]]/1048576,"")</f>
        <v/>
      </c>
      <c r="M735" s="168" t="str">
        <f>IF(ISNUMBER(namespace_raw[[#This Row],[Column10]]), (namespace_raw[[#This Row],[Column10]]*(1+$M$2)),"")</f>
        <v/>
      </c>
      <c r="N735" s="167" t="str">
        <f>IF(ISNUMBER(namespace_raw[[#This Row],[Column11]]), (namespace_raw[[#This Row],[Column11]]*(1+$N$2))/1048576,"")</f>
        <v/>
      </c>
      <c r="O735" s="169" t="str">
        <f>IF(ISNUMBER(namespace_raw[[#This Row],[Column8]]), (E735  * $O$2),"")</f>
        <v/>
      </c>
      <c r="P735" s="170" t="str">
        <f>IF(ISNUMBER(namespace_raw[[#This Row],[Column8]]), (F735  * $P$2),"")</f>
        <v/>
      </c>
    </row>
    <row r="736" spans="1:16" ht="15" customHeight="1" x14ac:dyDescent="0.25">
      <c r="A736" s="32" t="str">
        <f>IF(ISNONTEXT(namespace_raw[[#This Row],[Column1]]), "", namespace_raw[[#This Row],[Column1]])</f>
        <v/>
      </c>
      <c r="B736" s="33" t="str">
        <f>IF(ISNONTEXT(namespace_raw[[#This Row],[Column2]]), "", namespace_raw[[#This Row],[Column2]])</f>
        <v/>
      </c>
      <c r="C736" s="94" t="str">
        <f>IF(ISNUMBER(namespace_raw[[#This Row],[Column4]]), namespace_raw[[#This Row],[Column4]], "")</f>
        <v/>
      </c>
      <c r="D736" s="95" t="str">
        <f>IF(ISNUMBER(namespace_raw[[#This Row],[Column5]]), namespace_raw[[#This Row],[Column5]]/1048576, "")</f>
        <v/>
      </c>
      <c r="E736" s="95" t="str">
        <f>IF(ISNUMBER(namespace_raw[[#This Row],[Column6]]), namespace_raw[[#This Row],[Column6]],"")</f>
        <v/>
      </c>
      <c r="F736" s="96" t="str">
        <f>IF(ISNUMBER(namespace_raw[[#This Row],[Column7]]), namespace_raw[[#This Row],[Column7]]/1048576,"")</f>
        <v/>
      </c>
      <c r="G736" s="122" t="str">
        <f>IF(ISNUMBER(namespace_raw[[#This Row],[Column8]]), namespace_raw[[#This Row],[Column8]],"")</f>
        <v/>
      </c>
      <c r="H736" s="123" t="str">
        <f>IF(ISNUMBER(namespace_raw[[#This Row],[Column9]]), namespace_raw[[#This Row],[Column9]]/1048576,"")</f>
        <v/>
      </c>
      <c r="I736" s="124" t="str">
        <f>IF(ISNUMBER(namespace_raw[[#This Row],[Column8]]),MAX(G736, M736, O736, $I$2,IF(Q736&lt;&gt;"",VALUE(Q736),0)), "")</f>
        <v/>
      </c>
      <c r="J736" s="125" t="str">
        <f>IF(ISNUMBER(namespace_raw[[#This Row],[Column9]]),MAX(H736, N736, P736, $J$2,IF(R736&lt;&gt;"",VALUE(R736),0)),"")</f>
        <v/>
      </c>
      <c r="K736" s="166" t="str">
        <f>IF(ISNUMBER(namespace_raw[[#This Row],[Column12]]), namespace_raw[[#This Row],[Column12]],"")</f>
        <v/>
      </c>
      <c r="L736" s="167" t="str">
        <f>IF(ISNUMBER(namespace_raw[[#This Row],[Column13]]), namespace_raw[[#This Row],[Column13]]/1048576,"")</f>
        <v/>
      </c>
      <c r="M736" s="168" t="str">
        <f>IF(ISNUMBER(namespace_raw[[#This Row],[Column10]]), (namespace_raw[[#This Row],[Column10]]*(1+$M$2)),"")</f>
        <v/>
      </c>
      <c r="N736" s="167" t="str">
        <f>IF(ISNUMBER(namespace_raw[[#This Row],[Column11]]), (namespace_raw[[#This Row],[Column11]]*(1+$N$2))/1048576,"")</f>
        <v/>
      </c>
      <c r="O736" s="169" t="str">
        <f>IF(ISNUMBER(namespace_raw[[#This Row],[Column8]]), (E736  * $O$2),"")</f>
        <v/>
      </c>
      <c r="P736" s="170" t="str">
        <f>IF(ISNUMBER(namespace_raw[[#This Row],[Column8]]), (F736  * $P$2),"")</f>
        <v/>
      </c>
    </row>
    <row r="737" spans="1:16" ht="15" customHeight="1" x14ac:dyDescent="0.25">
      <c r="A737" s="32" t="str">
        <f>IF(ISNONTEXT(namespace_raw[[#This Row],[Column1]]), "", namespace_raw[[#This Row],[Column1]])</f>
        <v/>
      </c>
      <c r="B737" s="33" t="str">
        <f>IF(ISNONTEXT(namespace_raw[[#This Row],[Column2]]), "", namespace_raw[[#This Row],[Column2]])</f>
        <v/>
      </c>
      <c r="C737" s="94" t="str">
        <f>IF(ISNUMBER(namespace_raw[[#This Row],[Column4]]), namespace_raw[[#This Row],[Column4]], "")</f>
        <v/>
      </c>
      <c r="D737" s="95" t="str">
        <f>IF(ISNUMBER(namespace_raw[[#This Row],[Column5]]), namespace_raw[[#This Row],[Column5]]/1048576, "")</f>
        <v/>
      </c>
      <c r="E737" s="95" t="str">
        <f>IF(ISNUMBER(namespace_raw[[#This Row],[Column6]]), namespace_raw[[#This Row],[Column6]],"")</f>
        <v/>
      </c>
      <c r="F737" s="96" t="str">
        <f>IF(ISNUMBER(namespace_raw[[#This Row],[Column7]]), namespace_raw[[#This Row],[Column7]]/1048576,"")</f>
        <v/>
      </c>
      <c r="G737" s="122" t="str">
        <f>IF(ISNUMBER(namespace_raw[[#This Row],[Column8]]), namespace_raw[[#This Row],[Column8]],"")</f>
        <v/>
      </c>
      <c r="H737" s="123" t="str">
        <f>IF(ISNUMBER(namespace_raw[[#This Row],[Column9]]), namespace_raw[[#This Row],[Column9]]/1048576,"")</f>
        <v/>
      </c>
      <c r="I737" s="124" t="str">
        <f>IF(ISNUMBER(namespace_raw[[#This Row],[Column8]]),MAX(G737, M737, O737, $I$2,IF(Q737&lt;&gt;"",VALUE(Q737),0)), "")</f>
        <v/>
      </c>
      <c r="J737" s="125" t="str">
        <f>IF(ISNUMBER(namespace_raw[[#This Row],[Column9]]),MAX(H737, N737, P737, $J$2,IF(R737&lt;&gt;"",VALUE(R737),0)),"")</f>
        <v/>
      </c>
      <c r="K737" s="166" t="str">
        <f>IF(ISNUMBER(namespace_raw[[#This Row],[Column12]]), namespace_raw[[#This Row],[Column12]],"")</f>
        <v/>
      </c>
      <c r="L737" s="167" t="str">
        <f>IF(ISNUMBER(namespace_raw[[#This Row],[Column13]]), namespace_raw[[#This Row],[Column13]]/1048576,"")</f>
        <v/>
      </c>
      <c r="M737" s="168" t="str">
        <f>IF(ISNUMBER(namespace_raw[[#This Row],[Column10]]), (namespace_raw[[#This Row],[Column10]]*(1+$M$2)),"")</f>
        <v/>
      </c>
      <c r="N737" s="167" t="str">
        <f>IF(ISNUMBER(namespace_raw[[#This Row],[Column11]]), (namespace_raw[[#This Row],[Column11]]*(1+$N$2))/1048576,"")</f>
        <v/>
      </c>
      <c r="O737" s="169" t="str">
        <f>IF(ISNUMBER(namespace_raw[[#This Row],[Column8]]), (E737  * $O$2),"")</f>
        <v/>
      </c>
      <c r="P737" s="170" t="str">
        <f>IF(ISNUMBER(namespace_raw[[#This Row],[Column8]]), (F737  * $P$2),"")</f>
        <v/>
      </c>
    </row>
    <row r="738" spans="1:16" ht="15" customHeight="1" x14ac:dyDescent="0.25">
      <c r="A738" s="32" t="str">
        <f>IF(ISNONTEXT(namespace_raw[[#This Row],[Column1]]), "", namespace_raw[[#This Row],[Column1]])</f>
        <v/>
      </c>
      <c r="B738" s="33" t="str">
        <f>IF(ISNONTEXT(namespace_raw[[#This Row],[Column2]]), "", namespace_raw[[#This Row],[Column2]])</f>
        <v/>
      </c>
      <c r="C738" s="94" t="str">
        <f>IF(ISNUMBER(namespace_raw[[#This Row],[Column4]]), namespace_raw[[#This Row],[Column4]], "")</f>
        <v/>
      </c>
      <c r="D738" s="95" t="str">
        <f>IF(ISNUMBER(namespace_raw[[#This Row],[Column5]]), namespace_raw[[#This Row],[Column5]]/1048576, "")</f>
        <v/>
      </c>
      <c r="E738" s="95" t="str">
        <f>IF(ISNUMBER(namespace_raw[[#This Row],[Column6]]), namespace_raw[[#This Row],[Column6]],"")</f>
        <v/>
      </c>
      <c r="F738" s="96" t="str">
        <f>IF(ISNUMBER(namespace_raw[[#This Row],[Column7]]), namespace_raw[[#This Row],[Column7]]/1048576,"")</f>
        <v/>
      </c>
      <c r="G738" s="122" t="str">
        <f>IF(ISNUMBER(namespace_raw[[#This Row],[Column8]]), namespace_raw[[#This Row],[Column8]],"")</f>
        <v/>
      </c>
      <c r="H738" s="123" t="str">
        <f>IF(ISNUMBER(namespace_raw[[#This Row],[Column9]]), namespace_raw[[#This Row],[Column9]]/1048576,"")</f>
        <v/>
      </c>
      <c r="I738" s="124" t="str">
        <f>IF(ISNUMBER(namespace_raw[[#This Row],[Column8]]),MAX(G738, M738, O738, $I$2,IF(Q738&lt;&gt;"",VALUE(Q738),0)), "")</f>
        <v/>
      </c>
      <c r="J738" s="125" t="str">
        <f>IF(ISNUMBER(namespace_raw[[#This Row],[Column9]]),MAX(H738, N738, P738, $J$2,IF(R738&lt;&gt;"",VALUE(R738),0)),"")</f>
        <v/>
      </c>
      <c r="K738" s="166" t="str">
        <f>IF(ISNUMBER(namespace_raw[[#This Row],[Column12]]), namespace_raw[[#This Row],[Column12]],"")</f>
        <v/>
      </c>
      <c r="L738" s="167" t="str">
        <f>IF(ISNUMBER(namespace_raw[[#This Row],[Column13]]), namespace_raw[[#This Row],[Column13]]/1048576,"")</f>
        <v/>
      </c>
      <c r="M738" s="168" t="str">
        <f>IF(ISNUMBER(namespace_raw[[#This Row],[Column10]]), (namespace_raw[[#This Row],[Column10]]*(1+$M$2)),"")</f>
        <v/>
      </c>
      <c r="N738" s="167" t="str">
        <f>IF(ISNUMBER(namespace_raw[[#This Row],[Column11]]), (namespace_raw[[#This Row],[Column11]]*(1+$N$2))/1048576,"")</f>
        <v/>
      </c>
      <c r="O738" s="169" t="str">
        <f>IF(ISNUMBER(namespace_raw[[#This Row],[Column8]]), (E738  * $O$2),"")</f>
        <v/>
      </c>
      <c r="P738" s="170" t="str">
        <f>IF(ISNUMBER(namespace_raw[[#This Row],[Column8]]), (F738  * $P$2),"")</f>
        <v/>
      </c>
    </row>
    <row r="739" spans="1:16" ht="15" customHeight="1" x14ac:dyDescent="0.25">
      <c r="A739" s="32" t="str">
        <f>IF(ISNONTEXT(namespace_raw[[#This Row],[Column1]]), "", namespace_raw[[#This Row],[Column1]])</f>
        <v/>
      </c>
      <c r="B739" s="33" t="str">
        <f>IF(ISNONTEXT(namespace_raw[[#This Row],[Column2]]), "", namespace_raw[[#This Row],[Column2]])</f>
        <v/>
      </c>
      <c r="C739" s="94" t="str">
        <f>IF(ISNUMBER(namespace_raw[[#This Row],[Column4]]), namespace_raw[[#This Row],[Column4]], "")</f>
        <v/>
      </c>
      <c r="D739" s="95" t="str">
        <f>IF(ISNUMBER(namespace_raw[[#This Row],[Column5]]), namespace_raw[[#This Row],[Column5]]/1048576, "")</f>
        <v/>
      </c>
      <c r="E739" s="95" t="str">
        <f>IF(ISNUMBER(namespace_raw[[#This Row],[Column6]]), namespace_raw[[#This Row],[Column6]],"")</f>
        <v/>
      </c>
      <c r="F739" s="96" t="str">
        <f>IF(ISNUMBER(namespace_raw[[#This Row],[Column7]]), namespace_raw[[#This Row],[Column7]]/1048576,"")</f>
        <v/>
      </c>
      <c r="G739" s="122" t="str">
        <f>IF(ISNUMBER(namespace_raw[[#This Row],[Column8]]), namespace_raw[[#This Row],[Column8]],"")</f>
        <v/>
      </c>
      <c r="H739" s="123" t="str">
        <f>IF(ISNUMBER(namespace_raw[[#This Row],[Column9]]), namespace_raw[[#This Row],[Column9]]/1048576,"")</f>
        <v/>
      </c>
      <c r="I739" s="124" t="str">
        <f>IF(ISNUMBER(namespace_raw[[#This Row],[Column8]]),MAX(G739, M739, O739, $I$2,IF(Q739&lt;&gt;"",VALUE(Q739),0)), "")</f>
        <v/>
      </c>
      <c r="J739" s="125" t="str">
        <f>IF(ISNUMBER(namespace_raw[[#This Row],[Column9]]),MAX(H739, N739, P739, $J$2,IF(R739&lt;&gt;"",VALUE(R739),0)),"")</f>
        <v/>
      </c>
      <c r="K739" s="166" t="str">
        <f>IF(ISNUMBER(namespace_raw[[#This Row],[Column12]]), namespace_raw[[#This Row],[Column12]],"")</f>
        <v/>
      </c>
      <c r="L739" s="167" t="str">
        <f>IF(ISNUMBER(namespace_raw[[#This Row],[Column13]]), namespace_raw[[#This Row],[Column13]]/1048576,"")</f>
        <v/>
      </c>
      <c r="M739" s="168" t="str">
        <f>IF(ISNUMBER(namespace_raw[[#This Row],[Column10]]), (namespace_raw[[#This Row],[Column10]]*(1+$M$2)),"")</f>
        <v/>
      </c>
      <c r="N739" s="167" t="str">
        <f>IF(ISNUMBER(namespace_raw[[#This Row],[Column11]]), (namespace_raw[[#This Row],[Column11]]*(1+$N$2))/1048576,"")</f>
        <v/>
      </c>
      <c r="O739" s="169" t="str">
        <f>IF(ISNUMBER(namespace_raw[[#This Row],[Column8]]), (E739  * $O$2),"")</f>
        <v/>
      </c>
      <c r="P739" s="170" t="str">
        <f>IF(ISNUMBER(namespace_raw[[#This Row],[Column8]]), (F739  * $P$2),"")</f>
        <v/>
      </c>
    </row>
    <row r="740" spans="1:16" ht="15" customHeight="1" x14ac:dyDescent="0.25">
      <c r="A740" s="32" t="str">
        <f>IF(ISNONTEXT(namespace_raw[[#This Row],[Column1]]), "", namespace_raw[[#This Row],[Column1]])</f>
        <v/>
      </c>
      <c r="B740" s="33" t="str">
        <f>IF(ISNONTEXT(namespace_raw[[#This Row],[Column2]]), "", namespace_raw[[#This Row],[Column2]])</f>
        <v/>
      </c>
      <c r="C740" s="94" t="str">
        <f>IF(ISNUMBER(namespace_raw[[#This Row],[Column4]]), namespace_raw[[#This Row],[Column4]], "")</f>
        <v/>
      </c>
      <c r="D740" s="95" t="str">
        <f>IF(ISNUMBER(namespace_raw[[#This Row],[Column5]]), namespace_raw[[#This Row],[Column5]]/1048576, "")</f>
        <v/>
      </c>
      <c r="E740" s="95" t="str">
        <f>IF(ISNUMBER(namespace_raw[[#This Row],[Column6]]), namespace_raw[[#This Row],[Column6]],"")</f>
        <v/>
      </c>
      <c r="F740" s="96" t="str">
        <f>IF(ISNUMBER(namespace_raw[[#This Row],[Column7]]), namespace_raw[[#This Row],[Column7]]/1048576,"")</f>
        <v/>
      </c>
      <c r="G740" s="122" t="str">
        <f>IF(ISNUMBER(namespace_raw[[#This Row],[Column8]]), namespace_raw[[#This Row],[Column8]],"")</f>
        <v/>
      </c>
      <c r="H740" s="123" t="str">
        <f>IF(ISNUMBER(namespace_raw[[#This Row],[Column9]]), namespace_raw[[#This Row],[Column9]]/1048576,"")</f>
        <v/>
      </c>
      <c r="I740" s="124" t="str">
        <f>IF(ISNUMBER(namespace_raw[[#This Row],[Column8]]),MAX(G740, M740, O740, $I$2,IF(Q740&lt;&gt;"",VALUE(Q740),0)), "")</f>
        <v/>
      </c>
      <c r="J740" s="125" t="str">
        <f>IF(ISNUMBER(namespace_raw[[#This Row],[Column9]]),MAX(H740, N740, P740, $J$2,IF(R740&lt;&gt;"",VALUE(R740),0)),"")</f>
        <v/>
      </c>
      <c r="K740" s="166" t="str">
        <f>IF(ISNUMBER(namespace_raw[[#This Row],[Column12]]), namespace_raw[[#This Row],[Column12]],"")</f>
        <v/>
      </c>
      <c r="L740" s="167" t="str">
        <f>IF(ISNUMBER(namespace_raw[[#This Row],[Column13]]), namespace_raw[[#This Row],[Column13]]/1048576,"")</f>
        <v/>
      </c>
      <c r="M740" s="168" t="str">
        <f>IF(ISNUMBER(namespace_raw[[#This Row],[Column10]]), (namespace_raw[[#This Row],[Column10]]*(1+$M$2)),"")</f>
        <v/>
      </c>
      <c r="N740" s="167" t="str">
        <f>IF(ISNUMBER(namespace_raw[[#This Row],[Column11]]), (namespace_raw[[#This Row],[Column11]]*(1+$N$2))/1048576,"")</f>
        <v/>
      </c>
      <c r="O740" s="169" t="str">
        <f>IF(ISNUMBER(namespace_raw[[#This Row],[Column8]]), (E740  * $O$2),"")</f>
        <v/>
      </c>
      <c r="P740" s="170" t="str">
        <f>IF(ISNUMBER(namespace_raw[[#This Row],[Column8]]), (F740  * $P$2),"")</f>
        <v/>
      </c>
    </row>
    <row r="741" spans="1:16" ht="15" customHeight="1" x14ac:dyDescent="0.25">
      <c r="A741" s="32" t="str">
        <f>IF(ISNONTEXT(namespace_raw[[#This Row],[Column1]]), "", namespace_raw[[#This Row],[Column1]])</f>
        <v/>
      </c>
      <c r="B741" s="33" t="str">
        <f>IF(ISNONTEXT(namespace_raw[[#This Row],[Column2]]), "", namespace_raw[[#This Row],[Column2]])</f>
        <v/>
      </c>
      <c r="C741" s="94" t="str">
        <f>IF(ISNUMBER(namespace_raw[[#This Row],[Column4]]), namespace_raw[[#This Row],[Column4]], "")</f>
        <v/>
      </c>
      <c r="D741" s="95" t="str">
        <f>IF(ISNUMBER(namespace_raw[[#This Row],[Column5]]), namespace_raw[[#This Row],[Column5]]/1048576, "")</f>
        <v/>
      </c>
      <c r="E741" s="95" t="str">
        <f>IF(ISNUMBER(namespace_raw[[#This Row],[Column6]]), namespace_raw[[#This Row],[Column6]],"")</f>
        <v/>
      </c>
      <c r="F741" s="96" t="str">
        <f>IF(ISNUMBER(namespace_raw[[#This Row],[Column7]]), namespace_raw[[#This Row],[Column7]]/1048576,"")</f>
        <v/>
      </c>
      <c r="G741" s="122" t="str">
        <f>IF(ISNUMBER(namespace_raw[[#This Row],[Column8]]), namespace_raw[[#This Row],[Column8]],"")</f>
        <v/>
      </c>
      <c r="H741" s="123" t="str">
        <f>IF(ISNUMBER(namespace_raw[[#This Row],[Column9]]), namespace_raw[[#This Row],[Column9]]/1048576,"")</f>
        <v/>
      </c>
      <c r="I741" s="124" t="str">
        <f>IF(ISNUMBER(namespace_raw[[#This Row],[Column8]]),MAX(G741, M741, O741, $I$2,IF(Q741&lt;&gt;"",VALUE(Q741),0)), "")</f>
        <v/>
      </c>
      <c r="J741" s="125" t="str">
        <f>IF(ISNUMBER(namespace_raw[[#This Row],[Column9]]),MAX(H741, N741, P741, $J$2,IF(R741&lt;&gt;"",VALUE(R741),0)),"")</f>
        <v/>
      </c>
      <c r="K741" s="166" t="str">
        <f>IF(ISNUMBER(namespace_raw[[#This Row],[Column12]]), namespace_raw[[#This Row],[Column12]],"")</f>
        <v/>
      </c>
      <c r="L741" s="167" t="str">
        <f>IF(ISNUMBER(namespace_raw[[#This Row],[Column13]]), namespace_raw[[#This Row],[Column13]]/1048576,"")</f>
        <v/>
      </c>
      <c r="M741" s="168" t="str">
        <f>IF(ISNUMBER(namespace_raw[[#This Row],[Column10]]), (namespace_raw[[#This Row],[Column10]]*(1+$M$2)),"")</f>
        <v/>
      </c>
      <c r="N741" s="167" t="str">
        <f>IF(ISNUMBER(namespace_raw[[#This Row],[Column11]]), (namespace_raw[[#This Row],[Column11]]*(1+$N$2))/1048576,"")</f>
        <v/>
      </c>
      <c r="O741" s="169" t="str">
        <f>IF(ISNUMBER(namespace_raw[[#This Row],[Column8]]), (E741  * $O$2),"")</f>
        <v/>
      </c>
      <c r="P741" s="170" t="str">
        <f>IF(ISNUMBER(namespace_raw[[#This Row],[Column8]]), (F741  * $P$2),"")</f>
        <v/>
      </c>
    </row>
    <row r="742" spans="1:16" ht="15" customHeight="1" x14ac:dyDescent="0.25">
      <c r="A742" s="32" t="str">
        <f>IF(ISNONTEXT(namespace_raw[[#This Row],[Column1]]), "", namespace_raw[[#This Row],[Column1]])</f>
        <v/>
      </c>
      <c r="B742" s="33" t="str">
        <f>IF(ISNONTEXT(namespace_raw[[#This Row],[Column2]]), "", namespace_raw[[#This Row],[Column2]])</f>
        <v/>
      </c>
      <c r="C742" s="94" t="str">
        <f>IF(ISNUMBER(namespace_raw[[#This Row],[Column4]]), namespace_raw[[#This Row],[Column4]], "")</f>
        <v/>
      </c>
      <c r="D742" s="95" t="str">
        <f>IF(ISNUMBER(namespace_raw[[#This Row],[Column5]]), namespace_raw[[#This Row],[Column5]]/1048576, "")</f>
        <v/>
      </c>
      <c r="E742" s="95" t="str">
        <f>IF(ISNUMBER(namespace_raw[[#This Row],[Column6]]), namespace_raw[[#This Row],[Column6]],"")</f>
        <v/>
      </c>
      <c r="F742" s="96" t="str">
        <f>IF(ISNUMBER(namespace_raw[[#This Row],[Column7]]), namespace_raw[[#This Row],[Column7]]/1048576,"")</f>
        <v/>
      </c>
      <c r="G742" s="122" t="str">
        <f>IF(ISNUMBER(namespace_raw[[#This Row],[Column8]]), namespace_raw[[#This Row],[Column8]],"")</f>
        <v/>
      </c>
      <c r="H742" s="123" t="str">
        <f>IF(ISNUMBER(namespace_raw[[#This Row],[Column9]]), namespace_raw[[#This Row],[Column9]]/1048576,"")</f>
        <v/>
      </c>
      <c r="I742" s="124" t="str">
        <f>IF(ISNUMBER(namespace_raw[[#This Row],[Column8]]),MAX(G742, M742, O742, $I$2,IF(Q742&lt;&gt;"",VALUE(Q742),0)), "")</f>
        <v/>
      </c>
      <c r="J742" s="125" t="str">
        <f>IF(ISNUMBER(namespace_raw[[#This Row],[Column9]]),MAX(H742, N742, P742, $J$2,IF(R742&lt;&gt;"",VALUE(R742),0)),"")</f>
        <v/>
      </c>
      <c r="K742" s="166" t="str">
        <f>IF(ISNUMBER(namespace_raw[[#This Row],[Column12]]), namespace_raw[[#This Row],[Column12]],"")</f>
        <v/>
      </c>
      <c r="L742" s="167" t="str">
        <f>IF(ISNUMBER(namespace_raw[[#This Row],[Column13]]), namespace_raw[[#This Row],[Column13]]/1048576,"")</f>
        <v/>
      </c>
      <c r="M742" s="168" t="str">
        <f>IF(ISNUMBER(namespace_raw[[#This Row],[Column10]]), (namespace_raw[[#This Row],[Column10]]*(1+$M$2)),"")</f>
        <v/>
      </c>
      <c r="N742" s="167" t="str">
        <f>IF(ISNUMBER(namespace_raw[[#This Row],[Column11]]), (namespace_raw[[#This Row],[Column11]]*(1+$N$2))/1048576,"")</f>
        <v/>
      </c>
      <c r="O742" s="169" t="str">
        <f>IF(ISNUMBER(namespace_raw[[#This Row],[Column8]]), (E742  * $O$2),"")</f>
        <v/>
      </c>
      <c r="P742" s="170" t="str">
        <f>IF(ISNUMBER(namespace_raw[[#This Row],[Column8]]), (F742  * $P$2),"")</f>
        <v/>
      </c>
    </row>
    <row r="743" spans="1:16" ht="15" customHeight="1" x14ac:dyDescent="0.25">
      <c r="A743" s="32" t="str">
        <f>IF(ISNONTEXT(namespace_raw[[#This Row],[Column1]]), "", namespace_raw[[#This Row],[Column1]])</f>
        <v/>
      </c>
      <c r="B743" s="33" t="str">
        <f>IF(ISNONTEXT(namespace_raw[[#This Row],[Column2]]), "", namespace_raw[[#This Row],[Column2]])</f>
        <v/>
      </c>
      <c r="C743" s="94" t="str">
        <f>IF(ISNUMBER(namespace_raw[[#This Row],[Column4]]), namespace_raw[[#This Row],[Column4]], "")</f>
        <v/>
      </c>
      <c r="D743" s="95" t="str">
        <f>IF(ISNUMBER(namespace_raw[[#This Row],[Column5]]), namespace_raw[[#This Row],[Column5]]/1048576, "")</f>
        <v/>
      </c>
      <c r="E743" s="95" t="str">
        <f>IF(ISNUMBER(namespace_raw[[#This Row],[Column6]]), namespace_raw[[#This Row],[Column6]],"")</f>
        <v/>
      </c>
      <c r="F743" s="96" t="str">
        <f>IF(ISNUMBER(namespace_raw[[#This Row],[Column7]]), namespace_raw[[#This Row],[Column7]]/1048576,"")</f>
        <v/>
      </c>
      <c r="G743" s="122" t="str">
        <f>IF(ISNUMBER(namespace_raw[[#This Row],[Column8]]), namespace_raw[[#This Row],[Column8]],"")</f>
        <v/>
      </c>
      <c r="H743" s="123" t="str">
        <f>IF(ISNUMBER(namespace_raw[[#This Row],[Column9]]), namespace_raw[[#This Row],[Column9]]/1048576,"")</f>
        <v/>
      </c>
      <c r="I743" s="124" t="str">
        <f>IF(ISNUMBER(namespace_raw[[#This Row],[Column8]]),MAX(G743, M743, O743, $I$2,IF(Q743&lt;&gt;"",VALUE(Q743),0)), "")</f>
        <v/>
      </c>
      <c r="J743" s="125" t="str">
        <f>IF(ISNUMBER(namespace_raw[[#This Row],[Column9]]),MAX(H743, N743, P743, $J$2,IF(R743&lt;&gt;"",VALUE(R743),0)),"")</f>
        <v/>
      </c>
      <c r="K743" s="166" t="str">
        <f>IF(ISNUMBER(namespace_raw[[#This Row],[Column12]]), namespace_raw[[#This Row],[Column12]],"")</f>
        <v/>
      </c>
      <c r="L743" s="167" t="str">
        <f>IF(ISNUMBER(namespace_raw[[#This Row],[Column13]]), namespace_raw[[#This Row],[Column13]]/1048576,"")</f>
        <v/>
      </c>
      <c r="M743" s="168" t="str">
        <f>IF(ISNUMBER(namespace_raw[[#This Row],[Column10]]), (namespace_raw[[#This Row],[Column10]]*(1+$M$2)),"")</f>
        <v/>
      </c>
      <c r="N743" s="167" t="str">
        <f>IF(ISNUMBER(namespace_raw[[#This Row],[Column11]]), (namespace_raw[[#This Row],[Column11]]*(1+$N$2))/1048576,"")</f>
        <v/>
      </c>
      <c r="O743" s="169" t="str">
        <f>IF(ISNUMBER(namespace_raw[[#This Row],[Column8]]), (E743  * $O$2),"")</f>
        <v/>
      </c>
      <c r="P743" s="170" t="str">
        <f>IF(ISNUMBER(namespace_raw[[#This Row],[Column8]]), (F743  * $P$2),"")</f>
        <v/>
      </c>
    </row>
    <row r="744" spans="1:16" ht="15" customHeight="1" x14ac:dyDescent="0.25">
      <c r="A744" s="32" t="str">
        <f>IF(ISNONTEXT(namespace_raw[[#This Row],[Column1]]), "", namespace_raw[[#This Row],[Column1]])</f>
        <v/>
      </c>
      <c r="B744" s="33" t="str">
        <f>IF(ISNONTEXT(namespace_raw[[#This Row],[Column2]]), "", namespace_raw[[#This Row],[Column2]])</f>
        <v/>
      </c>
      <c r="C744" s="94" t="str">
        <f>IF(ISNUMBER(namespace_raw[[#This Row],[Column4]]), namespace_raw[[#This Row],[Column4]], "")</f>
        <v/>
      </c>
      <c r="D744" s="95" t="str">
        <f>IF(ISNUMBER(namespace_raw[[#This Row],[Column5]]), namespace_raw[[#This Row],[Column5]]/1048576, "")</f>
        <v/>
      </c>
      <c r="E744" s="95" t="str">
        <f>IF(ISNUMBER(namespace_raw[[#This Row],[Column6]]), namespace_raw[[#This Row],[Column6]],"")</f>
        <v/>
      </c>
      <c r="F744" s="96" t="str">
        <f>IF(ISNUMBER(namespace_raw[[#This Row],[Column7]]), namespace_raw[[#This Row],[Column7]]/1048576,"")</f>
        <v/>
      </c>
      <c r="G744" s="122" t="str">
        <f>IF(ISNUMBER(namespace_raw[[#This Row],[Column8]]), namespace_raw[[#This Row],[Column8]],"")</f>
        <v/>
      </c>
      <c r="H744" s="123" t="str">
        <f>IF(ISNUMBER(namespace_raw[[#This Row],[Column9]]), namespace_raw[[#This Row],[Column9]]/1048576,"")</f>
        <v/>
      </c>
      <c r="I744" s="124" t="str">
        <f>IF(ISNUMBER(namespace_raw[[#This Row],[Column8]]),MAX(G744, M744, O744, $I$2,IF(Q744&lt;&gt;"",VALUE(Q744),0)), "")</f>
        <v/>
      </c>
      <c r="J744" s="125" t="str">
        <f>IF(ISNUMBER(namespace_raw[[#This Row],[Column9]]),MAX(H744, N744, P744, $J$2,IF(R744&lt;&gt;"",VALUE(R744),0)),"")</f>
        <v/>
      </c>
      <c r="K744" s="166" t="str">
        <f>IF(ISNUMBER(namespace_raw[[#This Row],[Column12]]), namespace_raw[[#This Row],[Column12]],"")</f>
        <v/>
      </c>
      <c r="L744" s="167" t="str">
        <f>IF(ISNUMBER(namespace_raw[[#This Row],[Column13]]), namespace_raw[[#This Row],[Column13]]/1048576,"")</f>
        <v/>
      </c>
      <c r="M744" s="168" t="str">
        <f>IF(ISNUMBER(namespace_raw[[#This Row],[Column10]]), (namespace_raw[[#This Row],[Column10]]*(1+$M$2)),"")</f>
        <v/>
      </c>
      <c r="N744" s="167" t="str">
        <f>IF(ISNUMBER(namespace_raw[[#This Row],[Column11]]), (namespace_raw[[#This Row],[Column11]]*(1+$N$2))/1048576,"")</f>
        <v/>
      </c>
      <c r="O744" s="169" t="str">
        <f>IF(ISNUMBER(namespace_raw[[#This Row],[Column8]]), (E744  * $O$2),"")</f>
        <v/>
      </c>
      <c r="P744" s="170" t="str">
        <f>IF(ISNUMBER(namespace_raw[[#This Row],[Column8]]), (F744  * $P$2),"")</f>
        <v/>
      </c>
    </row>
    <row r="745" spans="1:16" ht="15" customHeight="1" x14ac:dyDescent="0.25">
      <c r="A745" s="32" t="str">
        <f>IF(ISNONTEXT(namespace_raw[[#This Row],[Column1]]), "", namespace_raw[[#This Row],[Column1]])</f>
        <v/>
      </c>
      <c r="B745" s="33" t="str">
        <f>IF(ISNONTEXT(namespace_raw[[#This Row],[Column2]]), "", namespace_raw[[#This Row],[Column2]])</f>
        <v/>
      </c>
      <c r="C745" s="94" t="str">
        <f>IF(ISNUMBER(namespace_raw[[#This Row],[Column4]]), namespace_raw[[#This Row],[Column4]], "")</f>
        <v/>
      </c>
      <c r="D745" s="95" t="str">
        <f>IF(ISNUMBER(namespace_raw[[#This Row],[Column5]]), namespace_raw[[#This Row],[Column5]]/1048576, "")</f>
        <v/>
      </c>
      <c r="E745" s="95" t="str">
        <f>IF(ISNUMBER(namespace_raw[[#This Row],[Column6]]), namespace_raw[[#This Row],[Column6]],"")</f>
        <v/>
      </c>
      <c r="F745" s="96" t="str">
        <f>IF(ISNUMBER(namespace_raw[[#This Row],[Column7]]), namespace_raw[[#This Row],[Column7]]/1048576,"")</f>
        <v/>
      </c>
      <c r="G745" s="122" t="str">
        <f>IF(ISNUMBER(namespace_raw[[#This Row],[Column8]]), namespace_raw[[#This Row],[Column8]],"")</f>
        <v/>
      </c>
      <c r="H745" s="123" t="str">
        <f>IF(ISNUMBER(namespace_raw[[#This Row],[Column9]]), namespace_raw[[#This Row],[Column9]]/1048576,"")</f>
        <v/>
      </c>
      <c r="I745" s="124" t="str">
        <f>IF(ISNUMBER(namespace_raw[[#This Row],[Column8]]),MAX(G745, M745, O745, $I$2,IF(Q745&lt;&gt;"",VALUE(Q745),0)), "")</f>
        <v/>
      </c>
      <c r="J745" s="125" t="str">
        <f>IF(ISNUMBER(namespace_raw[[#This Row],[Column9]]),MAX(H745, N745, P745, $J$2,IF(R745&lt;&gt;"",VALUE(R745),0)),"")</f>
        <v/>
      </c>
      <c r="K745" s="166" t="str">
        <f>IF(ISNUMBER(namespace_raw[[#This Row],[Column12]]), namespace_raw[[#This Row],[Column12]],"")</f>
        <v/>
      </c>
      <c r="L745" s="167" t="str">
        <f>IF(ISNUMBER(namespace_raw[[#This Row],[Column13]]), namespace_raw[[#This Row],[Column13]]/1048576,"")</f>
        <v/>
      </c>
      <c r="M745" s="168" t="str">
        <f>IF(ISNUMBER(namespace_raw[[#This Row],[Column10]]), (namespace_raw[[#This Row],[Column10]]*(1+$M$2)),"")</f>
        <v/>
      </c>
      <c r="N745" s="167" t="str">
        <f>IF(ISNUMBER(namespace_raw[[#This Row],[Column11]]), (namespace_raw[[#This Row],[Column11]]*(1+$N$2))/1048576,"")</f>
        <v/>
      </c>
      <c r="O745" s="169" t="str">
        <f>IF(ISNUMBER(namespace_raw[[#This Row],[Column8]]), (E745  * $O$2),"")</f>
        <v/>
      </c>
      <c r="P745" s="170" t="str">
        <f>IF(ISNUMBER(namespace_raw[[#This Row],[Column8]]), (F745  * $P$2),"")</f>
        <v/>
      </c>
    </row>
    <row r="746" spans="1:16" ht="15" customHeight="1" x14ac:dyDescent="0.25">
      <c r="A746" s="32" t="str">
        <f>IF(ISNONTEXT(namespace_raw[[#This Row],[Column1]]), "", namespace_raw[[#This Row],[Column1]])</f>
        <v/>
      </c>
      <c r="B746" s="33" t="str">
        <f>IF(ISNONTEXT(namespace_raw[[#This Row],[Column2]]), "", namespace_raw[[#This Row],[Column2]])</f>
        <v/>
      </c>
      <c r="C746" s="94" t="str">
        <f>IF(ISNUMBER(namespace_raw[[#This Row],[Column4]]), namespace_raw[[#This Row],[Column4]], "")</f>
        <v/>
      </c>
      <c r="D746" s="95" t="str">
        <f>IF(ISNUMBER(namespace_raw[[#This Row],[Column5]]), namespace_raw[[#This Row],[Column5]]/1048576, "")</f>
        <v/>
      </c>
      <c r="E746" s="95" t="str">
        <f>IF(ISNUMBER(namespace_raw[[#This Row],[Column6]]), namespace_raw[[#This Row],[Column6]],"")</f>
        <v/>
      </c>
      <c r="F746" s="96" t="str">
        <f>IF(ISNUMBER(namespace_raw[[#This Row],[Column7]]), namespace_raw[[#This Row],[Column7]]/1048576,"")</f>
        <v/>
      </c>
      <c r="G746" s="122" t="str">
        <f>IF(ISNUMBER(namespace_raw[[#This Row],[Column8]]), namespace_raw[[#This Row],[Column8]],"")</f>
        <v/>
      </c>
      <c r="H746" s="123" t="str">
        <f>IF(ISNUMBER(namespace_raw[[#This Row],[Column9]]), namespace_raw[[#This Row],[Column9]]/1048576,"")</f>
        <v/>
      </c>
      <c r="I746" s="124" t="str">
        <f>IF(ISNUMBER(namespace_raw[[#This Row],[Column8]]),MAX(G746, M746, O746, $I$2,IF(Q746&lt;&gt;"",VALUE(Q746),0)), "")</f>
        <v/>
      </c>
      <c r="J746" s="125" t="str">
        <f>IF(ISNUMBER(namespace_raw[[#This Row],[Column9]]),MAX(H746, N746, P746, $J$2,IF(R746&lt;&gt;"",VALUE(R746),0)),"")</f>
        <v/>
      </c>
      <c r="K746" s="166" t="str">
        <f>IF(ISNUMBER(namespace_raw[[#This Row],[Column12]]), namespace_raw[[#This Row],[Column12]],"")</f>
        <v/>
      </c>
      <c r="L746" s="167" t="str">
        <f>IF(ISNUMBER(namespace_raw[[#This Row],[Column13]]), namespace_raw[[#This Row],[Column13]]/1048576,"")</f>
        <v/>
      </c>
      <c r="M746" s="168" t="str">
        <f>IF(ISNUMBER(namespace_raw[[#This Row],[Column10]]), (namespace_raw[[#This Row],[Column10]]*(1+$M$2)),"")</f>
        <v/>
      </c>
      <c r="N746" s="167" t="str">
        <f>IF(ISNUMBER(namespace_raw[[#This Row],[Column11]]), (namespace_raw[[#This Row],[Column11]]*(1+$N$2))/1048576,"")</f>
        <v/>
      </c>
      <c r="O746" s="169" t="str">
        <f>IF(ISNUMBER(namespace_raw[[#This Row],[Column8]]), (E746  * $O$2),"")</f>
        <v/>
      </c>
      <c r="P746" s="170" t="str">
        <f>IF(ISNUMBER(namespace_raw[[#This Row],[Column8]]), (F746  * $P$2),"")</f>
        <v/>
      </c>
    </row>
    <row r="747" spans="1:16" ht="15" customHeight="1" x14ac:dyDescent="0.25">
      <c r="A747" s="32" t="str">
        <f>IF(ISNONTEXT(namespace_raw[[#This Row],[Column1]]), "", namespace_raw[[#This Row],[Column1]])</f>
        <v/>
      </c>
      <c r="B747" s="33" t="str">
        <f>IF(ISNONTEXT(namespace_raw[[#This Row],[Column2]]), "", namespace_raw[[#This Row],[Column2]])</f>
        <v/>
      </c>
      <c r="C747" s="94" t="str">
        <f>IF(ISNUMBER(namespace_raw[[#This Row],[Column4]]), namespace_raw[[#This Row],[Column4]], "")</f>
        <v/>
      </c>
      <c r="D747" s="95" t="str">
        <f>IF(ISNUMBER(namespace_raw[[#This Row],[Column5]]), namespace_raw[[#This Row],[Column5]]/1048576, "")</f>
        <v/>
      </c>
      <c r="E747" s="95" t="str">
        <f>IF(ISNUMBER(namespace_raw[[#This Row],[Column6]]), namespace_raw[[#This Row],[Column6]],"")</f>
        <v/>
      </c>
      <c r="F747" s="96" t="str">
        <f>IF(ISNUMBER(namespace_raw[[#This Row],[Column7]]), namespace_raw[[#This Row],[Column7]]/1048576,"")</f>
        <v/>
      </c>
      <c r="G747" s="122" t="str">
        <f>IF(ISNUMBER(namespace_raw[[#This Row],[Column8]]), namespace_raw[[#This Row],[Column8]],"")</f>
        <v/>
      </c>
      <c r="H747" s="123" t="str">
        <f>IF(ISNUMBER(namespace_raw[[#This Row],[Column9]]), namespace_raw[[#This Row],[Column9]]/1048576,"")</f>
        <v/>
      </c>
      <c r="I747" s="124" t="str">
        <f>IF(ISNUMBER(namespace_raw[[#This Row],[Column8]]),MAX(G747, M747, O747, $I$2,IF(Q747&lt;&gt;"",VALUE(Q747),0)), "")</f>
        <v/>
      </c>
      <c r="J747" s="125" t="str">
        <f>IF(ISNUMBER(namespace_raw[[#This Row],[Column9]]),MAX(H747, N747, P747, $J$2,IF(R747&lt;&gt;"",VALUE(R747),0)),"")</f>
        <v/>
      </c>
      <c r="K747" s="166" t="str">
        <f>IF(ISNUMBER(namespace_raw[[#This Row],[Column12]]), namespace_raw[[#This Row],[Column12]],"")</f>
        <v/>
      </c>
      <c r="L747" s="167" t="str">
        <f>IF(ISNUMBER(namespace_raw[[#This Row],[Column13]]), namespace_raw[[#This Row],[Column13]]/1048576,"")</f>
        <v/>
      </c>
      <c r="M747" s="168" t="str">
        <f>IF(ISNUMBER(namespace_raw[[#This Row],[Column10]]), (namespace_raw[[#This Row],[Column10]]*(1+$M$2)),"")</f>
        <v/>
      </c>
      <c r="N747" s="167" t="str">
        <f>IF(ISNUMBER(namespace_raw[[#This Row],[Column11]]), (namespace_raw[[#This Row],[Column11]]*(1+$N$2))/1048576,"")</f>
        <v/>
      </c>
      <c r="O747" s="169" t="str">
        <f>IF(ISNUMBER(namespace_raw[[#This Row],[Column8]]), (E747  * $O$2),"")</f>
        <v/>
      </c>
      <c r="P747" s="170" t="str">
        <f>IF(ISNUMBER(namespace_raw[[#This Row],[Column8]]), (F747  * $P$2),"")</f>
        <v/>
      </c>
    </row>
    <row r="748" spans="1:16" ht="15" customHeight="1" x14ac:dyDescent="0.25">
      <c r="A748" s="32" t="str">
        <f>IF(ISNONTEXT(namespace_raw[[#This Row],[Column1]]), "", namespace_raw[[#This Row],[Column1]])</f>
        <v/>
      </c>
      <c r="B748" s="33" t="str">
        <f>IF(ISNONTEXT(namespace_raw[[#This Row],[Column2]]), "", namespace_raw[[#This Row],[Column2]])</f>
        <v/>
      </c>
      <c r="C748" s="94" t="str">
        <f>IF(ISNUMBER(namespace_raw[[#This Row],[Column4]]), namespace_raw[[#This Row],[Column4]], "")</f>
        <v/>
      </c>
      <c r="D748" s="95" t="str">
        <f>IF(ISNUMBER(namespace_raw[[#This Row],[Column5]]), namespace_raw[[#This Row],[Column5]]/1048576, "")</f>
        <v/>
      </c>
      <c r="E748" s="95" t="str">
        <f>IF(ISNUMBER(namespace_raw[[#This Row],[Column6]]), namespace_raw[[#This Row],[Column6]],"")</f>
        <v/>
      </c>
      <c r="F748" s="96" t="str">
        <f>IF(ISNUMBER(namespace_raw[[#This Row],[Column7]]), namespace_raw[[#This Row],[Column7]]/1048576,"")</f>
        <v/>
      </c>
      <c r="G748" s="122" t="str">
        <f>IF(ISNUMBER(namespace_raw[[#This Row],[Column8]]), namespace_raw[[#This Row],[Column8]],"")</f>
        <v/>
      </c>
      <c r="H748" s="123" t="str">
        <f>IF(ISNUMBER(namespace_raw[[#This Row],[Column9]]), namespace_raw[[#This Row],[Column9]]/1048576,"")</f>
        <v/>
      </c>
      <c r="I748" s="124" t="str">
        <f>IF(ISNUMBER(namespace_raw[[#This Row],[Column8]]),MAX(G748, M748, O748, $I$2,IF(Q748&lt;&gt;"",VALUE(Q748),0)), "")</f>
        <v/>
      </c>
      <c r="J748" s="125" t="str">
        <f>IF(ISNUMBER(namespace_raw[[#This Row],[Column9]]),MAX(H748, N748, P748, $J$2,IF(R748&lt;&gt;"",VALUE(R748),0)),"")</f>
        <v/>
      </c>
      <c r="K748" s="166" t="str">
        <f>IF(ISNUMBER(namespace_raw[[#This Row],[Column12]]), namespace_raw[[#This Row],[Column12]],"")</f>
        <v/>
      </c>
      <c r="L748" s="167" t="str">
        <f>IF(ISNUMBER(namespace_raw[[#This Row],[Column13]]), namespace_raw[[#This Row],[Column13]]/1048576,"")</f>
        <v/>
      </c>
      <c r="M748" s="168" t="str">
        <f>IF(ISNUMBER(namespace_raw[[#This Row],[Column10]]), (namespace_raw[[#This Row],[Column10]]*(1+$M$2)),"")</f>
        <v/>
      </c>
      <c r="N748" s="167" t="str">
        <f>IF(ISNUMBER(namespace_raw[[#This Row],[Column11]]), (namespace_raw[[#This Row],[Column11]]*(1+$N$2))/1048576,"")</f>
        <v/>
      </c>
      <c r="O748" s="169" t="str">
        <f>IF(ISNUMBER(namespace_raw[[#This Row],[Column8]]), (E748  * $O$2),"")</f>
        <v/>
      </c>
      <c r="P748" s="170" t="str">
        <f>IF(ISNUMBER(namespace_raw[[#This Row],[Column8]]), (F748  * $P$2),"")</f>
        <v/>
      </c>
    </row>
    <row r="749" spans="1:16" ht="15" customHeight="1" x14ac:dyDescent="0.25">
      <c r="A749" s="32" t="str">
        <f>IF(ISNONTEXT(namespace_raw[[#This Row],[Column1]]), "", namespace_raw[[#This Row],[Column1]])</f>
        <v/>
      </c>
      <c r="B749" s="33" t="str">
        <f>IF(ISNONTEXT(namespace_raw[[#This Row],[Column2]]), "", namespace_raw[[#This Row],[Column2]])</f>
        <v/>
      </c>
      <c r="C749" s="94" t="str">
        <f>IF(ISNUMBER(namespace_raw[[#This Row],[Column4]]), namespace_raw[[#This Row],[Column4]], "")</f>
        <v/>
      </c>
      <c r="D749" s="95" t="str">
        <f>IF(ISNUMBER(namespace_raw[[#This Row],[Column5]]), namespace_raw[[#This Row],[Column5]]/1048576, "")</f>
        <v/>
      </c>
      <c r="E749" s="95" t="str">
        <f>IF(ISNUMBER(namespace_raw[[#This Row],[Column6]]), namespace_raw[[#This Row],[Column6]],"")</f>
        <v/>
      </c>
      <c r="F749" s="96" t="str">
        <f>IF(ISNUMBER(namespace_raw[[#This Row],[Column7]]), namespace_raw[[#This Row],[Column7]]/1048576,"")</f>
        <v/>
      </c>
      <c r="G749" s="122" t="str">
        <f>IF(ISNUMBER(namespace_raw[[#This Row],[Column8]]), namespace_raw[[#This Row],[Column8]],"")</f>
        <v/>
      </c>
      <c r="H749" s="123" t="str">
        <f>IF(ISNUMBER(namespace_raw[[#This Row],[Column9]]), namespace_raw[[#This Row],[Column9]]/1048576,"")</f>
        <v/>
      </c>
      <c r="I749" s="124" t="str">
        <f>IF(ISNUMBER(namespace_raw[[#This Row],[Column8]]),MAX(G749, M749, O749, $I$2,IF(Q749&lt;&gt;"",VALUE(Q749),0)), "")</f>
        <v/>
      </c>
      <c r="J749" s="125" t="str">
        <f>IF(ISNUMBER(namespace_raw[[#This Row],[Column9]]),MAX(H749, N749, P749, $J$2,IF(R749&lt;&gt;"",VALUE(R749),0)),"")</f>
        <v/>
      </c>
      <c r="K749" s="166" t="str">
        <f>IF(ISNUMBER(namespace_raw[[#This Row],[Column12]]), namespace_raw[[#This Row],[Column12]],"")</f>
        <v/>
      </c>
      <c r="L749" s="167" t="str">
        <f>IF(ISNUMBER(namespace_raw[[#This Row],[Column13]]), namespace_raw[[#This Row],[Column13]]/1048576,"")</f>
        <v/>
      </c>
      <c r="M749" s="168" t="str">
        <f>IF(ISNUMBER(namespace_raw[[#This Row],[Column10]]), (namespace_raw[[#This Row],[Column10]]*(1+$M$2)),"")</f>
        <v/>
      </c>
      <c r="N749" s="167" t="str">
        <f>IF(ISNUMBER(namespace_raw[[#This Row],[Column11]]), (namespace_raw[[#This Row],[Column11]]*(1+$N$2))/1048576,"")</f>
        <v/>
      </c>
      <c r="O749" s="169" t="str">
        <f>IF(ISNUMBER(namespace_raw[[#This Row],[Column8]]), (E749  * $O$2),"")</f>
        <v/>
      </c>
      <c r="P749" s="170" t="str">
        <f>IF(ISNUMBER(namespace_raw[[#This Row],[Column8]]), (F749  * $P$2),"")</f>
        <v/>
      </c>
    </row>
    <row r="750" spans="1:16" ht="15" customHeight="1" x14ac:dyDescent="0.25">
      <c r="A750" s="32" t="str">
        <f>IF(ISNONTEXT(namespace_raw[[#This Row],[Column1]]), "", namespace_raw[[#This Row],[Column1]])</f>
        <v/>
      </c>
      <c r="B750" s="33" t="str">
        <f>IF(ISNONTEXT(namespace_raw[[#This Row],[Column2]]), "", namespace_raw[[#This Row],[Column2]])</f>
        <v/>
      </c>
      <c r="C750" s="94" t="str">
        <f>IF(ISNUMBER(namespace_raw[[#This Row],[Column4]]), namespace_raw[[#This Row],[Column4]], "")</f>
        <v/>
      </c>
      <c r="D750" s="95" t="str">
        <f>IF(ISNUMBER(namespace_raw[[#This Row],[Column5]]), namespace_raw[[#This Row],[Column5]]/1048576, "")</f>
        <v/>
      </c>
      <c r="E750" s="95" t="str">
        <f>IF(ISNUMBER(namespace_raw[[#This Row],[Column6]]), namespace_raw[[#This Row],[Column6]],"")</f>
        <v/>
      </c>
      <c r="F750" s="96" t="str">
        <f>IF(ISNUMBER(namespace_raw[[#This Row],[Column7]]), namespace_raw[[#This Row],[Column7]]/1048576,"")</f>
        <v/>
      </c>
      <c r="G750" s="122" t="str">
        <f>IF(ISNUMBER(namespace_raw[[#This Row],[Column8]]), namespace_raw[[#This Row],[Column8]],"")</f>
        <v/>
      </c>
      <c r="H750" s="123" t="str">
        <f>IF(ISNUMBER(namespace_raw[[#This Row],[Column9]]), namespace_raw[[#This Row],[Column9]]/1048576,"")</f>
        <v/>
      </c>
      <c r="I750" s="124" t="str">
        <f>IF(ISNUMBER(namespace_raw[[#This Row],[Column8]]),MAX(G750, M750, O750, $I$2,IF(Q750&lt;&gt;"",VALUE(Q750),0)), "")</f>
        <v/>
      </c>
      <c r="J750" s="125" t="str">
        <f>IF(ISNUMBER(namespace_raw[[#This Row],[Column9]]),MAX(H750, N750, P750, $J$2,IF(R750&lt;&gt;"",VALUE(R750),0)),"")</f>
        <v/>
      </c>
      <c r="K750" s="166" t="str">
        <f>IF(ISNUMBER(namespace_raw[[#This Row],[Column12]]), namespace_raw[[#This Row],[Column12]],"")</f>
        <v/>
      </c>
      <c r="L750" s="167" t="str">
        <f>IF(ISNUMBER(namespace_raw[[#This Row],[Column13]]), namespace_raw[[#This Row],[Column13]]/1048576,"")</f>
        <v/>
      </c>
      <c r="M750" s="168" t="str">
        <f>IF(ISNUMBER(namespace_raw[[#This Row],[Column10]]), (namespace_raw[[#This Row],[Column10]]*(1+$M$2)),"")</f>
        <v/>
      </c>
      <c r="N750" s="167" t="str">
        <f>IF(ISNUMBER(namespace_raw[[#This Row],[Column11]]), (namespace_raw[[#This Row],[Column11]]*(1+$N$2))/1048576,"")</f>
        <v/>
      </c>
      <c r="O750" s="169" t="str">
        <f>IF(ISNUMBER(namespace_raw[[#This Row],[Column8]]), (E750  * $O$2),"")</f>
        <v/>
      </c>
      <c r="P750" s="170" t="str">
        <f>IF(ISNUMBER(namespace_raw[[#This Row],[Column8]]), (F750  * $P$2),"")</f>
        <v/>
      </c>
    </row>
    <row r="751" spans="1:16" ht="15" customHeight="1" x14ac:dyDescent="0.25">
      <c r="A751" s="32" t="str">
        <f>IF(ISNONTEXT(namespace_raw[[#This Row],[Column1]]), "", namespace_raw[[#This Row],[Column1]])</f>
        <v/>
      </c>
      <c r="B751" s="33" t="str">
        <f>IF(ISNONTEXT(namespace_raw[[#This Row],[Column2]]), "", namespace_raw[[#This Row],[Column2]])</f>
        <v/>
      </c>
      <c r="C751" s="94" t="str">
        <f>IF(ISNUMBER(namespace_raw[[#This Row],[Column4]]), namespace_raw[[#This Row],[Column4]], "")</f>
        <v/>
      </c>
      <c r="D751" s="95" t="str">
        <f>IF(ISNUMBER(namespace_raw[[#This Row],[Column5]]), namespace_raw[[#This Row],[Column5]]/1048576, "")</f>
        <v/>
      </c>
      <c r="E751" s="95" t="str">
        <f>IF(ISNUMBER(namespace_raw[[#This Row],[Column6]]), namespace_raw[[#This Row],[Column6]],"")</f>
        <v/>
      </c>
      <c r="F751" s="96" t="str">
        <f>IF(ISNUMBER(namespace_raw[[#This Row],[Column7]]), namespace_raw[[#This Row],[Column7]]/1048576,"")</f>
        <v/>
      </c>
      <c r="G751" s="122" t="str">
        <f>IF(ISNUMBER(namespace_raw[[#This Row],[Column8]]), namespace_raw[[#This Row],[Column8]],"")</f>
        <v/>
      </c>
      <c r="H751" s="123" t="str">
        <f>IF(ISNUMBER(namespace_raw[[#This Row],[Column9]]), namespace_raw[[#This Row],[Column9]]/1048576,"")</f>
        <v/>
      </c>
      <c r="I751" s="124" t="str">
        <f>IF(ISNUMBER(namespace_raw[[#This Row],[Column8]]),MAX(G751, M751, O751, $I$2,IF(Q751&lt;&gt;"",VALUE(Q751),0)), "")</f>
        <v/>
      </c>
      <c r="J751" s="125" t="str">
        <f>IF(ISNUMBER(namespace_raw[[#This Row],[Column9]]),MAX(H751, N751, P751, $J$2,IF(R751&lt;&gt;"",VALUE(R751),0)),"")</f>
        <v/>
      </c>
      <c r="K751" s="166" t="str">
        <f>IF(ISNUMBER(namespace_raw[[#This Row],[Column12]]), namespace_raw[[#This Row],[Column12]],"")</f>
        <v/>
      </c>
      <c r="L751" s="167" t="str">
        <f>IF(ISNUMBER(namespace_raw[[#This Row],[Column13]]), namespace_raw[[#This Row],[Column13]]/1048576,"")</f>
        <v/>
      </c>
      <c r="M751" s="168" t="str">
        <f>IF(ISNUMBER(namespace_raw[[#This Row],[Column10]]), (namespace_raw[[#This Row],[Column10]]*(1+$M$2)),"")</f>
        <v/>
      </c>
      <c r="N751" s="167" t="str">
        <f>IF(ISNUMBER(namespace_raw[[#This Row],[Column11]]), (namespace_raw[[#This Row],[Column11]]*(1+$N$2))/1048576,"")</f>
        <v/>
      </c>
      <c r="O751" s="169" t="str">
        <f>IF(ISNUMBER(namespace_raw[[#This Row],[Column8]]), (E751  * $O$2),"")</f>
        <v/>
      </c>
      <c r="P751" s="170" t="str">
        <f>IF(ISNUMBER(namespace_raw[[#This Row],[Column8]]), (F751  * $P$2),"")</f>
        <v/>
      </c>
    </row>
    <row r="752" spans="1:16" ht="15" customHeight="1" x14ac:dyDescent="0.25">
      <c r="A752" s="32" t="str">
        <f>IF(ISNONTEXT(namespace_raw[[#This Row],[Column1]]), "", namespace_raw[[#This Row],[Column1]])</f>
        <v/>
      </c>
      <c r="B752" s="33" t="str">
        <f>IF(ISNONTEXT(namespace_raw[[#This Row],[Column2]]), "", namespace_raw[[#This Row],[Column2]])</f>
        <v/>
      </c>
      <c r="C752" s="94" t="str">
        <f>IF(ISNUMBER(namespace_raw[[#This Row],[Column4]]), namespace_raw[[#This Row],[Column4]], "")</f>
        <v/>
      </c>
      <c r="D752" s="95" t="str">
        <f>IF(ISNUMBER(namespace_raw[[#This Row],[Column5]]), namespace_raw[[#This Row],[Column5]]/1048576, "")</f>
        <v/>
      </c>
      <c r="E752" s="95" t="str">
        <f>IF(ISNUMBER(namespace_raw[[#This Row],[Column6]]), namespace_raw[[#This Row],[Column6]],"")</f>
        <v/>
      </c>
      <c r="F752" s="96" t="str">
        <f>IF(ISNUMBER(namespace_raw[[#This Row],[Column7]]), namespace_raw[[#This Row],[Column7]]/1048576,"")</f>
        <v/>
      </c>
      <c r="G752" s="122" t="str">
        <f>IF(ISNUMBER(namespace_raw[[#This Row],[Column8]]), namespace_raw[[#This Row],[Column8]],"")</f>
        <v/>
      </c>
      <c r="H752" s="123" t="str">
        <f>IF(ISNUMBER(namespace_raw[[#This Row],[Column9]]), namespace_raw[[#This Row],[Column9]]/1048576,"")</f>
        <v/>
      </c>
      <c r="I752" s="124" t="str">
        <f>IF(ISNUMBER(namespace_raw[[#This Row],[Column8]]),MAX(G752, M752, O752, $I$2,IF(Q752&lt;&gt;"",VALUE(Q752),0)), "")</f>
        <v/>
      </c>
      <c r="J752" s="125" t="str">
        <f>IF(ISNUMBER(namespace_raw[[#This Row],[Column9]]),MAX(H752, N752, P752, $J$2,IF(R752&lt;&gt;"",VALUE(R752),0)),"")</f>
        <v/>
      </c>
      <c r="K752" s="166" t="str">
        <f>IF(ISNUMBER(namespace_raw[[#This Row],[Column12]]), namespace_raw[[#This Row],[Column12]],"")</f>
        <v/>
      </c>
      <c r="L752" s="167" t="str">
        <f>IF(ISNUMBER(namespace_raw[[#This Row],[Column13]]), namespace_raw[[#This Row],[Column13]]/1048576,"")</f>
        <v/>
      </c>
      <c r="M752" s="168" t="str">
        <f>IF(ISNUMBER(namespace_raw[[#This Row],[Column10]]), (namespace_raw[[#This Row],[Column10]]*(1+$M$2)),"")</f>
        <v/>
      </c>
      <c r="N752" s="167" t="str">
        <f>IF(ISNUMBER(namespace_raw[[#This Row],[Column11]]), (namespace_raw[[#This Row],[Column11]]*(1+$N$2))/1048576,"")</f>
        <v/>
      </c>
      <c r="O752" s="169" t="str">
        <f>IF(ISNUMBER(namespace_raw[[#This Row],[Column8]]), (E752  * $O$2),"")</f>
        <v/>
      </c>
      <c r="P752" s="170" t="str">
        <f>IF(ISNUMBER(namespace_raw[[#This Row],[Column8]]), (F752  * $P$2),"")</f>
        <v/>
      </c>
    </row>
    <row r="753" spans="1:16" ht="15" customHeight="1" x14ac:dyDescent="0.25">
      <c r="A753" s="32" t="str">
        <f>IF(ISNONTEXT(namespace_raw[[#This Row],[Column1]]), "", namespace_raw[[#This Row],[Column1]])</f>
        <v/>
      </c>
      <c r="B753" s="33" t="str">
        <f>IF(ISNONTEXT(namespace_raw[[#This Row],[Column2]]), "", namespace_raw[[#This Row],[Column2]])</f>
        <v/>
      </c>
      <c r="C753" s="94" t="str">
        <f>IF(ISNUMBER(namespace_raw[[#This Row],[Column4]]), namespace_raw[[#This Row],[Column4]], "")</f>
        <v/>
      </c>
      <c r="D753" s="95" t="str">
        <f>IF(ISNUMBER(namespace_raw[[#This Row],[Column5]]), namespace_raw[[#This Row],[Column5]]/1048576, "")</f>
        <v/>
      </c>
      <c r="E753" s="95" t="str">
        <f>IF(ISNUMBER(namespace_raw[[#This Row],[Column6]]), namespace_raw[[#This Row],[Column6]],"")</f>
        <v/>
      </c>
      <c r="F753" s="96" t="str">
        <f>IF(ISNUMBER(namespace_raw[[#This Row],[Column7]]), namespace_raw[[#This Row],[Column7]]/1048576,"")</f>
        <v/>
      </c>
      <c r="G753" s="122" t="str">
        <f>IF(ISNUMBER(namespace_raw[[#This Row],[Column8]]), namespace_raw[[#This Row],[Column8]],"")</f>
        <v/>
      </c>
      <c r="H753" s="123" t="str">
        <f>IF(ISNUMBER(namespace_raw[[#This Row],[Column9]]), namespace_raw[[#This Row],[Column9]]/1048576,"")</f>
        <v/>
      </c>
      <c r="I753" s="124" t="str">
        <f>IF(ISNUMBER(namespace_raw[[#This Row],[Column8]]),MAX(G753, M753, O753, $I$2,IF(Q753&lt;&gt;"",VALUE(Q753),0)), "")</f>
        <v/>
      </c>
      <c r="J753" s="125" t="str">
        <f>IF(ISNUMBER(namespace_raw[[#This Row],[Column9]]),MAX(H753, N753, P753, $J$2,IF(R753&lt;&gt;"",VALUE(R753),0)),"")</f>
        <v/>
      </c>
      <c r="K753" s="166" t="str">
        <f>IF(ISNUMBER(namespace_raw[[#This Row],[Column12]]), namespace_raw[[#This Row],[Column12]],"")</f>
        <v/>
      </c>
      <c r="L753" s="167" t="str">
        <f>IF(ISNUMBER(namespace_raw[[#This Row],[Column13]]), namespace_raw[[#This Row],[Column13]]/1048576,"")</f>
        <v/>
      </c>
      <c r="M753" s="168" t="str">
        <f>IF(ISNUMBER(namespace_raw[[#This Row],[Column10]]), (namespace_raw[[#This Row],[Column10]]*(1+$M$2)),"")</f>
        <v/>
      </c>
      <c r="N753" s="167" t="str">
        <f>IF(ISNUMBER(namespace_raw[[#This Row],[Column11]]), (namespace_raw[[#This Row],[Column11]]*(1+$N$2))/1048576,"")</f>
        <v/>
      </c>
      <c r="O753" s="169" t="str">
        <f>IF(ISNUMBER(namespace_raw[[#This Row],[Column8]]), (E753  * $O$2),"")</f>
        <v/>
      </c>
      <c r="P753" s="170" t="str">
        <f>IF(ISNUMBER(namespace_raw[[#This Row],[Column8]]), (F753  * $P$2),"")</f>
        <v/>
      </c>
    </row>
    <row r="754" spans="1:16" ht="15" customHeight="1" x14ac:dyDescent="0.25">
      <c r="A754" s="32" t="str">
        <f>IF(ISNONTEXT(namespace_raw[[#This Row],[Column1]]), "", namespace_raw[[#This Row],[Column1]])</f>
        <v/>
      </c>
      <c r="B754" s="33" t="str">
        <f>IF(ISNONTEXT(namespace_raw[[#This Row],[Column2]]), "", namespace_raw[[#This Row],[Column2]])</f>
        <v/>
      </c>
      <c r="C754" s="94" t="str">
        <f>IF(ISNUMBER(namespace_raw[[#This Row],[Column4]]), namespace_raw[[#This Row],[Column4]], "")</f>
        <v/>
      </c>
      <c r="D754" s="95" t="str">
        <f>IF(ISNUMBER(namespace_raw[[#This Row],[Column5]]), namespace_raw[[#This Row],[Column5]]/1048576, "")</f>
        <v/>
      </c>
      <c r="E754" s="95" t="str">
        <f>IF(ISNUMBER(namespace_raw[[#This Row],[Column6]]), namespace_raw[[#This Row],[Column6]],"")</f>
        <v/>
      </c>
      <c r="F754" s="96" t="str">
        <f>IF(ISNUMBER(namespace_raw[[#This Row],[Column7]]), namespace_raw[[#This Row],[Column7]]/1048576,"")</f>
        <v/>
      </c>
      <c r="G754" s="122" t="str">
        <f>IF(ISNUMBER(namespace_raw[[#This Row],[Column8]]), namespace_raw[[#This Row],[Column8]],"")</f>
        <v/>
      </c>
      <c r="H754" s="123" t="str">
        <f>IF(ISNUMBER(namespace_raw[[#This Row],[Column9]]), namespace_raw[[#This Row],[Column9]]/1048576,"")</f>
        <v/>
      </c>
      <c r="I754" s="124" t="str">
        <f>IF(ISNUMBER(namespace_raw[[#This Row],[Column8]]),MAX(G754, M754, O754, $I$2,IF(Q754&lt;&gt;"",VALUE(Q754),0)), "")</f>
        <v/>
      </c>
      <c r="J754" s="125" t="str">
        <f>IF(ISNUMBER(namespace_raw[[#This Row],[Column9]]),MAX(H754, N754, P754, $J$2,IF(R754&lt;&gt;"",VALUE(R754),0)),"")</f>
        <v/>
      </c>
      <c r="K754" s="166" t="str">
        <f>IF(ISNUMBER(namespace_raw[[#This Row],[Column12]]), namespace_raw[[#This Row],[Column12]],"")</f>
        <v/>
      </c>
      <c r="L754" s="167" t="str">
        <f>IF(ISNUMBER(namespace_raw[[#This Row],[Column13]]), namespace_raw[[#This Row],[Column13]]/1048576,"")</f>
        <v/>
      </c>
      <c r="M754" s="168" t="str">
        <f>IF(ISNUMBER(namespace_raw[[#This Row],[Column10]]), (namespace_raw[[#This Row],[Column10]]*(1+$M$2)),"")</f>
        <v/>
      </c>
      <c r="N754" s="167" t="str">
        <f>IF(ISNUMBER(namespace_raw[[#This Row],[Column11]]), (namespace_raw[[#This Row],[Column11]]*(1+$N$2))/1048576,"")</f>
        <v/>
      </c>
      <c r="O754" s="169" t="str">
        <f>IF(ISNUMBER(namespace_raw[[#This Row],[Column8]]), (E754  * $O$2),"")</f>
        <v/>
      </c>
      <c r="P754" s="170" t="str">
        <f>IF(ISNUMBER(namespace_raw[[#This Row],[Column8]]), (F754  * $P$2),"")</f>
        <v/>
      </c>
    </row>
    <row r="755" spans="1:16" ht="15" customHeight="1" x14ac:dyDescent="0.25">
      <c r="A755" s="32" t="str">
        <f>IF(ISNONTEXT(namespace_raw[[#This Row],[Column1]]), "", namespace_raw[[#This Row],[Column1]])</f>
        <v/>
      </c>
      <c r="B755" s="33" t="str">
        <f>IF(ISNONTEXT(namespace_raw[[#This Row],[Column2]]), "", namespace_raw[[#This Row],[Column2]])</f>
        <v/>
      </c>
      <c r="C755" s="94" t="str">
        <f>IF(ISNUMBER(namespace_raw[[#This Row],[Column4]]), namespace_raw[[#This Row],[Column4]], "")</f>
        <v/>
      </c>
      <c r="D755" s="95" t="str">
        <f>IF(ISNUMBER(namespace_raw[[#This Row],[Column5]]), namespace_raw[[#This Row],[Column5]]/1048576, "")</f>
        <v/>
      </c>
      <c r="E755" s="95" t="str">
        <f>IF(ISNUMBER(namespace_raw[[#This Row],[Column6]]), namespace_raw[[#This Row],[Column6]],"")</f>
        <v/>
      </c>
      <c r="F755" s="96" t="str">
        <f>IF(ISNUMBER(namespace_raw[[#This Row],[Column7]]), namespace_raw[[#This Row],[Column7]]/1048576,"")</f>
        <v/>
      </c>
      <c r="G755" s="122" t="str">
        <f>IF(ISNUMBER(namespace_raw[[#This Row],[Column8]]), namespace_raw[[#This Row],[Column8]],"")</f>
        <v/>
      </c>
      <c r="H755" s="123" t="str">
        <f>IF(ISNUMBER(namespace_raw[[#This Row],[Column9]]), namespace_raw[[#This Row],[Column9]]/1048576,"")</f>
        <v/>
      </c>
      <c r="I755" s="124" t="str">
        <f>IF(ISNUMBER(namespace_raw[[#This Row],[Column8]]),MAX(G755, M755, O755, $I$2,IF(Q755&lt;&gt;"",VALUE(Q755),0)), "")</f>
        <v/>
      </c>
      <c r="J755" s="125" t="str">
        <f>IF(ISNUMBER(namespace_raw[[#This Row],[Column9]]),MAX(H755, N755, P755, $J$2,IF(R755&lt;&gt;"",VALUE(R755),0)),"")</f>
        <v/>
      </c>
      <c r="K755" s="166" t="str">
        <f>IF(ISNUMBER(namespace_raw[[#This Row],[Column12]]), namespace_raw[[#This Row],[Column12]],"")</f>
        <v/>
      </c>
      <c r="L755" s="167" t="str">
        <f>IF(ISNUMBER(namespace_raw[[#This Row],[Column13]]), namespace_raw[[#This Row],[Column13]]/1048576,"")</f>
        <v/>
      </c>
      <c r="M755" s="168" t="str">
        <f>IF(ISNUMBER(namespace_raw[[#This Row],[Column10]]), (namespace_raw[[#This Row],[Column10]]*(1+$M$2)),"")</f>
        <v/>
      </c>
      <c r="N755" s="167" t="str">
        <f>IF(ISNUMBER(namespace_raw[[#This Row],[Column11]]), (namespace_raw[[#This Row],[Column11]]*(1+$N$2))/1048576,"")</f>
        <v/>
      </c>
      <c r="O755" s="169" t="str">
        <f>IF(ISNUMBER(namespace_raw[[#This Row],[Column8]]), (E755  * $O$2),"")</f>
        <v/>
      </c>
      <c r="P755" s="170" t="str">
        <f>IF(ISNUMBER(namespace_raw[[#This Row],[Column8]]), (F755  * $P$2),"")</f>
        <v/>
      </c>
    </row>
    <row r="756" spans="1:16" ht="15" customHeight="1" x14ac:dyDescent="0.25">
      <c r="A756" s="32" t="str">
        <f>IF(ISNONTEXT(namespace_raw[[#This Row],[Column1]]), "", namespace_raw[[#This Row],[Column1]])</f>
        <v/>
      </c>
      <c r="B756" s="33" t="str">
        <f>IF(ISNONTEXT(namespace_raw[[#This Row],[Column2]]), "", namespace_raw[[#This Row],[Column2]])</f>
        <v/>
      </c>
      <c r="C756" s="94" t="str">
        <f>IF(ISNUMBER(namespace_raw[[#This Row],[Column4]]), namespace_raw[[#This Row],[Column4]], "")</f>
        <v/>
      </c>
      <c r="D756" s="95" t="str">
        <f>IF(ISNUMBER(namespace_raw[[#This Row],[Column5]]), namespace_raw[[#This Row],[Column5]]/1048576, "")</f>
        <v/>
      </c>
      <c r="E756" s="95" t="str">
        <f>IF(ISNUMBER(namespace_raw[[#This Row],[Column6]]), namespace_raw[[#This Row],[Column6]],"")</f>
        <v/>
      </c>
      <c r="F756" s="96" t="str">
        <f>IF(ISNUMBER(namespace_raw[[#This Row],[Column7]]), namespace_raw[[#This Row],[Column7]]/1048576,"")</f>
        <v/>
      </c>
      <c r="G756" s="122" t="str">
        <f>IF(ISNUMBER(namespace_raw[[#This Row],[Column8]]), namespace_raw[[#This Row],[Column8]],"")</f>
        <v/>
      </c>
      <c r="H756" s="123" t="str">
        <f>IF(ISNUMBER(namespace_raw[[#This Row],[Column9]]), namespace_raw[[#This Row],[Column9]]/1048576,"")</f>
        <v/>
      </c>
      <c r="I756" s="124" t="str">
        <f>IF(ISNUMBER(namespace_raw[[#This Row],[Column8]]),MAX(G756, M756, O756, $I$2,IF(Q756&lt;&gt;"",VALUE(Q756),0)), "")</f>
        <v/>
      </c>
      <c r="J756" s="125" t="str">
        <f>IF(ISNUMBER(namespace_raw[[#This Row],[Column9]]),MAX(H756, N756, P756, $J$2,IF(R756&lt;&gt;"",VALUE(R756),0)),"")</f>
        <v/>
      </c>
      <c r="K756" s="166" t="str">
        <f>IF(ISNUMBER(namespace_raw[[#This Row],[Column12]]), namespace_raw[[#This Row],[Column12]],"")</f>
        <v/>
      </c>
      <c r="L756" s="167" t="str">
        <f>IF(ISNUMBER(namespace_raw[[#This Row],[Column13]]), namespace_raw[[#This Row],[Column13]]/1048576,"")</f>
        <v/>
      </c>
      <c r="M756" s="168" t="str">
        <f>IF(ISNUMBER(namespace_raw[[#This Row],[Column10]]), (namespace_raw[[#This Row],[Column10]]*(1+$M$2)),"")</f>
        <v/>
      </c>
      <c r="N756" s="167" t="str">
        <f>IF(ISNUMBER(namespace_raw[[#This Row],[Column11]]), (namespace_raw[[#This Row],[Column11]]*(1+$N$2))/1048576,"")</f>
        <v/>
      </c>
      <c r="O756" s="169" t="str">
        <f>IF(ISNUMBER(namespace_raw[[#This Row],[Column8]]), (E756  * $O$2),"")</f>
        <v/>
      </c>
      <c r="P756" s="170" t="str">
        <f>IF(ISNUMBER(namespace_raw[[#This Row],[Column8]]), (F756  * $P$2),"")</f>
        <v/>
      </c>
    </row>
    <row r="757" spans="1:16" ht="15" customHeight="1" x14ac:dyDescent="0.25">
      <c r="A757" s="32" t="str">
        <f>IF(ISNONTEXT(namespace_raw[[#This Row],[Column1]]), "", namespace_raw[[#This Row],[Column1]])</f>
        <v/>
      </c>
      <c r="B757" s="33" t="str">
        <f>IF(ISNONTEXT(namespace_raw[[#This Row],[Column2]]), "", namespace_raw[[#This Row],[Column2]])</f>
        <v/>
      </c>
      <c r="C757" s="94" t="str">
        <f>IF(ISNUMBER(namespace_raw[[#This Row],[Column4]]), namespace_raw[[#This Row],[Column4]], "")</f>
        <v/>
      </c>
      <c r="D757" s="95" t="str">
        <f>IF(ISNUMBER(namespace_raw[[#This Row],[Column5]]), namespace_raw[[#This Row],[Column5]]/1048576, "")</f>
        <v/>
      </c>
      <c r="E757" s="95" t="str">
        <f>IF(ISNUMBER(namespace_raw[[#This Row],[Column6]]), namespace_raw[[#This Row],[Column6]],"")</f>
        <v/>
      </c>
      <c r="F757" s="96" t="str">
        <f>IF(ISNUMBER(namespace_raw[[#This Row],[Column7]]), namespace_raw[[#This Row],[Column7]]/1048576,"")</f>
        <v/>
      </c>
      <c r="G757" s="122" t="str">
        <f>IF(ISNUMBER(namespace_raw[[#This Row],[Column8]]), namespace_raw[[#This Row],[Column8]],"")</f>
        <v/>
      </c>
      <c r="H757" s="123" t="str">
        <f>IF(ISNUMBER(namespace_raw[[#This Row],[Column9]]), namespace_raw[[#This Row],[Column9]]/1048576,"")</f>
        <v/>
      </c>
      <c r="I757" s="124" t="str">
        <f>IF(ISNUMBER(namespace_raw[[#This Row],[Column8]]),MAX(G757, M757, O757, $I$2,IF(Q757&lt;&gt;"",VALUE(Q757),0)), "")</f>
        <v/>
      </c>
      <c r="J757" s="125" t="str">
        <f>IF(ISNUMBER(namespace_raw[[#This Row],[Column9]]),MAX(H757, N757, P757, $J$2,IF(R757&lt;&gt;"",VALUE(R757),0)),"")</f>
        <v/>
      </c>
      <c r="K757" s="166" t="str">
        <f>IF(ISNUMBER(namespace_raw[[#This Row],[Column12]]), namespace_raw[[#This Row],[Column12]],"")</f>
        <v/>
      </c>
      <c r="L757" s="167" t="str">
        <f>IF(ISNUMBER(namespace_raw[[#This Row],[Column13]]), namespace_raw[[#This Row],[Column13]]/1048576,"")</f>
        <v/>
      </c>
      <c r="M757" s="168" t="str">
        <f>IF(ISNUMBER(namespace_raw[[#This Row],[Column10]]), (namespace_raw[[#This Row],[Column10]]*(1+$M$2)),"")</f>
        <v/>
      </c>
      <c r="N757" s="167" t="str">
        <f>IF(ISNUMBER(namespace_raw[[#This Row],[Column11]]), (namespace_raw[[#This Row],[Column11]]*(1+$N$2))/1048576,"")</f>
        <v/>
      </c>
      <c r="O757" s="169" t="str">
        <f>IF(ISNUMBER(namespace_raw[[#This Row],[Column8]]), (E757  * $O$2),"")</f>
        <v/>
      </c>
      <c r="P757" s="170" t="str">
        <f>IF(ISNUMBER(namespace_raw[[#This Row],[Column8]]), (F757  * $P$2),"")</f>
        <v/>
      </c>
    </row>
    <row r="758" spans="1:16" ht="15" customHeight="1" x14ac:dyDescent="0.25">
      <c r="A758" s="32" t="str">
        <f>IF(ISNONTEXT(namespace_raw[[#This Row],[Column1]]), "", namespace_raw[[#This Row],[Column1]])</f>
        <v/>
      </c>
      <c r="B758" s="33" t="str">
        <f>IF(ISNONTEXT(namespace_raw[[#This Row],[Column2]]), "", namespace_raw[[#This Row],[Column2]])</f>
        <v/>
      </c>
      <c r="C758" s="94" t="str">
        <f>IF(ISNUMBER(namespace_raw[[#This Row],[Column4]]), namespace_raw[[#This Row],[Column4]], "")</f>
        <v/>
      </c>
      <c r="D758" s="95" t="str">
        <f>IF(ISNUMBER(namespace_raw[[#This Row],[Column5]]), namespace_raw[[#This Row],[Column5]]/1048576, "")</f>
        <v/>
      </c>
      <c r="E758" s="95" t="str">
        <f>IF(ISNUMBER(namespace_raw[[#This Row],[Column6]]), namespace_raw[[#This Row],[Column6]],"")</f>
        <v/>
      </c>
      <c r="F758" s="96" t="str">
        <f>IF(ISNUMBER(namespace_raw[[#This Row],[Column7]]), namespace_raw[[#This Row],[Column7]]/1048576,"")</f>
        <v/>
      </c>
      <c r="G758" s="122" t="str">
        <f>IF(ISNUMBER(namespace_raw[[#This Row],[Column8]]), namespace_raw[[#This Row],[Column8]],"")</f>
        <v/>
      </c>
      <c r="H758" s="123" t="str">
        <f>IF(ISNUMBER(namespace_raw[[#This Row],[Column9]]), namespace_raw[[#This Row],[Column9]]/1048576,"")</f>
        <v/>
      </c>
      <c r="I758" s="124" t="str">
        <f>IF(ISNUMBER(namespace_raw[[#This Row],[Column8]]),MAX(G758, M758, O758, $I$2,IF(Q758&lt;&gt;"",VALUE(Q758),0)), "")</f>
        <v/>
      </c>
      <c r="J758" s="125" t="str">
        <f>IF(ISNUMBER(namespace_raw[[#This Row],[Column9]]),MAX(H758, N758, P758, $J$2,IF(R758&lt;&gt;"",VALUE(R758),0)),"")</f>
        <v/>
      </c>
      <c r="K758" s="166" t="str">
        <f>IF(ISNUMBER(namespace_raw[[#This Row],[Column12]]), namespace_raw[[#This Row],[Column12]],"")</f>
        <v/>
      </c>
      <c r="L758" s="167" t="str">
        <f>IF(ISNUMBER(namespace_raw[[#This Row],[Column13]]), namespace_raw[[#This Row],[Column13]]/1048576,"")</f>
        <v/>
      </c>
      <c r="M758" s="168" t="str">
        <f>IF(ISNUMBER(namespace_raw[[#This Row],[Column10]]), (namespace_raw[[#This Row],[Column10]]*(1+$M$2)),"")</f>
        <v/>
      </c>
      <c r="N758" s="167" t="str">
        <f>IF(ISNUMBER(namespace_raw[[#This Row],[Column11]]), (namespace_raw[[#This Row],[Column11]]*(1+$N$2))/1048576,"")</f>
        <v/>
      </c>
      <c r="O758" s="169" t="str">
        <f>IF(ISNUMBER(namespace_raw[[#This Row],[Column8]]), (E758  * $O$2),"")</f>
        <v/>
      </c>
      <c r="P758" s="170" t="str">
        <f>IF(ISNUMBER(namespace_raw[[#This Row],[Column8]]), (F758  * $P$2),"")</f>
        <v/>
      </c>
    </row>
    <row r="759" spans="1:16" ht="15" customHeight="1" x14ac:dyDescent="0.25">
      <c r="A759" s="32" t="str">
        <f>IF(ISNONTEXT(namespace_raw[[#This Row],[Column1]]), "", namespace_raw[[#This Row],[Column1]])</f>
        <v/>
      </c>
      <c r="B759" s="33" t="str">
        <f>IF(ISNONTEXT(namespace_raw[[#This Row],[Column2]]), "", namespace_raw[[#This Row],[Column2]])</f>
        <v/>
      </c>
      <c r="C759" s="94" t="str">
        <f>IF(ISNUMBER(namespace_raw[[#This Row],[Column4]]), namespace_raw[[#This Row],[Column4]], "")</f>
        <v/>
      </c>
      <c r="D759" s="95" t="str">
        <f>IF(ISNUMBER(namespace_raw[[#This Row],[Column5]]), namespace_raw[[#This Row],[Column5]]/1048576, "")</f>
        <v/>
      </c>
      <c r="E759" s="95" t="str">
        <f>IF(ISNUMBER(namespace_raw[[#This Row],[Column6]]), namespace_raw[[#This Row],[Column6]],"")</f>
        <v/>
      </c>
      <c r="F759" s="96" t="str">
        <f>IF(ISNUMBER(namespace_raw[[#This Row],[Column7]]), namespace_raw[[#This Row],[Column7]]/1048576,"")</f>
        <v/>
      </c>
      <c r="G759" s="122" t="str">
        <f>IF(ISNUMBER(namespace_raw[[#This Row],[Column8]]), namespace_raw[[#This Row],[Column8]],"")</f>
        <v/>
      </c>
      <c r="H759" s="123" t="str">
        <f>IF(ISNUMBER(namespace_raw[[#This Row],[Column9]]), namespace_raw[[#This Row],[Column9]]/1048576,"")</f>
        <v/>
      </c>
      <c r="I759" s="124" t="str">
        <f>IF(ISNUMBER(namespace_raw[[#This Row],[Column8]]),MAX(G759, M759, O759, $I$2,IF(Q759&lt;&gt;"",VALUE(Q759),0)), "")</f>
        <v/>
      </c>
      <c r="J759" s="125" t="str">
        <f>IF(ISNUMBER(namespace_raw[[#This Row],[Column9]]),MAX(H759, N759, P759, $J$2,IF(R759&lt;&gt;"",VALUE(R759),0)),"")</f>
        <v/>
      </c>
      <c r="K759" s="166" t="str">
        <f>IF(ISNUMBER(namespace_raw[[#This Row],[Column12]]), namespace_raw[[#This Row],[Column12]],"")</f>
        <v/>
      </c>
      <c r="L759" s="167" t="str">
        <f>IF(ISNUMBER(namespace_raw[[#This Row],[Column13]]), namespace_raw[[#This Row],[Column13]]/1048576,"")</f>
        <v/>
      </c>
      <c r="M759" s="168" t="str">
        <f>IF(ISNUMBER(namespace_raw[[#This Row],[Column10]]), (namespace_raw[[#This Row],[Column10]]*(1+$M$2)),"")</f>
        <v/>
      </c>
      <c r="N759" s="167" t="str">
        <f>IF(ISNUMBER(namespace_raw[[#This Row],[Column11]]), (namespace_raw[[#This Row],[Column11]]*(1+$N$2))/1048576,"")</f>
        <v/>
      </c>
      <c r="O759" s="169" t="str">
        <f>IF(ISNUMBER(namespace_raw[[#This Row],[Column8]]), (E759  * $O$2),"")</f>
        <v/>
      </c>
      <c r="P759" s="170" t="str">
        <f>IF(ISNUMBER(namespace_raw[[#This Row],[Column8]]), (F759  * $P$2),"")</f>
        <v/>
      </c>
    </row>
    <row r="760" spans="1:16" ht="15" customHeight="1" x14ac:dyDescent="0.25">
      <c r="A760" s="32" t="str">
        <f>IF(ISNONTEXT(namespace_raw[[#This Row],[Column1]]), "", namespace_raw[[#This Row],[Column1]])</f>
        <v/>
      </c>
      <c r="B760" s="33" t="str">
        <f>IF(ISNONTEXT(namespace_raw[[#This Row],[Column2]]), "", namespace_raw[[#This Row],[Column2]])</f>
        <v/>
      </c>
      <c r="C760" s="94" t="str">
        <f>IF(ISNUMBER(namespace_raw[[#This Row],[Column4]]), namespace_raw[[#This Row],[Column4]], "")</f>
        <v/>
      </c>
      <c r="D760" s="95" t="str">
        <f>IF(ISNUMBER(namespace_raw[[#This Row],[Column5]]), namespace_raw[[#This Row],[Column5]]/1048576, "")</f>
        <v/>
      </c>
      <c r="E760" s="95" t="str">
        <f>IF(ISNUMBER(namespace_raw[[#This Row],[Column6]]), namespace_raw[[#This Row],[Column6]],"")</f>
        <v/>
      </c>
      <c r="F760" s="96" t="str">
        <f>IF(ISNUMBER(namespace_raw[[#This Row],[Column7]]), namespace_raw[[#This Row],[Column7]]/1048576,"")</f>
        <v/>
      </c>
      <c r="G760" s="122" t="str">
        <f>IF(ISNUMBER(namespace_raw[[#This Row],[Column8]]), namespace_raw[[#This Row],[Column8]],"")</f>
        <v/>
      </c>
      <c r="H760" s="123" t="str">
        <f>IF(ISNUMBER(namespace_raw[[#This Row],[Column9]]), namespace_raw[[#This Row],[Column9]]/1048576,"")</f>
        <v/>
      </c>
      <c r="I760" s="124" t="str">
        <f>IF(ISNUMBER(namespace_raw[[#This Row],[Column8]]),MAX(G760, M760, O760, $I$2,IF(Q760&lt;&gt;"",VALUE(Q760),0)), "")</f>
        <v/>
      </c>
      <c r="J760" s="125" t="str">
        <f>IF(ISNUMBER(namespace_raw[[#This Row],[Column9]]),MAX(H760, N760, P760, $J$2,IF(R760&lt;&gt;"",VALUE(R760),0)),"")</f>
        <v/>
      </c>
      <c r="K760" s="166" t="str">
        <f>IF(ISNUMBER(namespace_raw[[#This Row],[Column12]]), namespace_raw[[#This Row],[Column12]],"")</f>
        <v/>
      </c>
      <c r="L760" s="167" t="str">
        <f>IF(ISNUMBER(namespace_raw[[#This Row],[Column13]]), namespace_raw[[#This Row],[Column13]]/1048576,"")</f>
        <v/>
      </c>
      <c r="M760" s="168" t="str">
        <f>IF(ISNUMBER(namespace_raw[[#This Row],[Column10]]), (namespace_raw[[#This Row],[Column10]]*(1+$M$2)),"")</f>
        <v/>
      </c>
      <c r="N760" s="167" t="str">
        <f>IF(ISNUMBER(namespace_raw[[#This Row],[Column11]]), (namespace_raw[[#This Row],[Column11]]*(1+$N$2))/1048576,"")</f>
        <v/>
      </c>
      <c r="O760" s="169" t="str">
        <f>IF(ISNUMBER(namespace_raw[[#This Row],[Column8]]), (E760  * $O$2),"")</f>
        <v/>
      </c>
      <c r="P760" s="170" t="str">
        <f>IF(ISNUMBER(namespace_raw[[#This Row],[Column8]]), (F760  * $P$2),"")</f>
        <v/>
      </c>
    </row>
    <row r="761" spans="1:16" ht="15" customHeight="1" x14ac:dyDescent="0.25">
      <c r="A761" s="32" t="str">
        <f>IF(ISNONTEXT(namespace_raw[[#This Row],[Column1]]), "", namespace_raw[[#This Row],[Column1]])</f>
        <v/>
      </c>
      <c r="B761" s="33" t="str">
        <f>IF(ISNONTEXT(namespace_raw[[#This Row],[Column2]]), "", namespace_raw[[#This Row],[Column2]])</f>
        <v/>
      </c>
      <c r="C761" s="94" t="str">
        <f>IF(ISNUMBER(namespace_raw[[#This Row],[Column4]]), namespace_raw[[#This Row],[Column4]], "")</f>
        <v/>
      </c>
      <c r="D761" s="95" t="str">
        <f>IF(ISNUMBER(namespace_raw[[#This Row],[Column5]]), namespace_raw[[#This Row],[Column5]]/1048576, "")</f>
        <v/>
      </c>
      <c r="E761" s="95" t="str">
        <f>IF(ISNUMBER(namespace_raw[[#This Row],[Column6]]), namespace_raw[[#This Row],[Column6]],"")</f>
        <v/>
      </c>
      <c r="F761" s="96" t="str">
        <f>IF(ISNUMBER(namespace_raw[[#This Row],[Column7]]), namespace_raw[[#This Row],[Column7]]/1048576,"")</f>
        <v/>
      </c>
      <c r="G761" s="122" t="str">
        <f>IF(ISNUMBER(namespace_raw[[#This Row],[Column8]]), namespace_raw[[#This Row],[Column8]],"")</f>
        <v/>
      </c>
      <c r="H761" s="123" t="str">
        <f>IF(ISNUMBER(namespace_raw[[#This Row],[Column9]]), namespace_raw[[#This Row],[Column9]]/1048576,"")</f>
        <v/>
      </c>
      <c r="I761" s="124" t="str">
        <f>IF(ISNUMBER(namespace_raw[[#This Row],[Column8]]),MAX(G761, M761, O761, $I$2,IF(Q761&lt;&gt;"",VALUE(Q761),0)), "")</f>
        <v/>
      </c>
      <c r="J761" s="125" t="str">
        <f>IF(ISNUMBER(namespace_raw[[#This Row],[Column9]]),MAX(H761, N761, P761, $J$2,IF(R761&lt;&gt;"",VALUE(R761),0)),"")</f>
        <v/>
      </c>
      <c r="K761" s="166" t="str">
        <f>IF(ISNUMBER(namespace_raw[[#This Row],[Column12]]), namespace_raw[[#This Row],[Column12]],"")</f>
        <v/>
      </c>
      <c r="L761" s="167" t="str">
        <f>IF(ISNUMBER(namespace_raw[[#This Row],[Column13]]), namespace_raw[[#This Row],[Column13]]/1048576,"")</f>
        <v/>
      </c>
      <c r="M761" s="168" t="str">
        <f>IF(ISNUMBER(namespace_raw[[#This Row],[Column10]]), (namespace_raw[[#This Row],[Column10]]*(1+$M$2)),"")</f>
        <v/>
      </c>
      <c r="N761" s="167" t="str">
        <f>IF(ISNUMBER(namespace_raw[[#This Row],[Column11]]), (namespace_raw[[#This Row],[Column11]]*(1+$N$2))/1048576,"")</f>
        <v/>
      </c>
      <c r="O761" s="169" t="str">
        <f>IF(ISNUMBER(namespace_raw[[#This Row],[Column8]]), (E761  * $O$2),"")</f>
        <v/>
      </c>
      <c r="P761" s="170" t="str">
        <f>IF(ISNUMBER(namespace_raw[[#This Row],[Column8]]), (F761  * $P$2),"")</f>
        <v/>
      </c>
    </row>
    <row r="762" spans="1:16" ht="15" customHeight="1" x14ac:dyDescent="0.25">
      <c r="A762" s="32" t="str">
        <f>IF(ISNONTEXT(namespace_raw[[#This Row],[Column1]]), "", namespace_raw[[#This Row],[Column1]])</f>
        <v/>
      </c>
      <c r="B762" s="33" t="str">
        <f>IF(ISNONTEXT(namespace_raw[[#This Row],[Column2]]), "", namespace_raw[[#This Row],[Column2]])</f>
        <v/>
      </c>
      <c r="C762" s="94" t="str">
        <f>IF(ISNUMBER(namespace_raw[[#This Row],[Column4]]), namespace_raw[[#This Row],[Column4]], "")</f>
        <v/>
      </c>
      <c r="D762" s="95" t="str">
        <f>IF(ISNUMBER(namespace_raw[[#This Row],[Column5]]), namespace_raw[[#This Row],[Column5]]/1048576, "")</f>
        <v/>
      </c>
      <c r="E762" s="95" t="str">
        <f>IF(ISNUMBER(namespace_raw[[#This Row],[Column6]]), namespace_raw[[#This Row],[Column6]],"")</f>
        <v/>
      </c>
      <c r="F762" s="96" t="str">
        <f>IF(ISNUMBER(namespace_raw[[#This Row],[Column7]]), namespace_raw[[#This Row],[Column7]]/1048576,"")</f>
        <v/>
      </c>
      <c r="G762" s="122" t="str">
        <f>IF(ISNUMBER(namespace_raw[[#This Row],[Column8]]), namespace_raw[[#This Row],[Column8]],"")</f>
        <v/>
      </c>
      <c r="H762" s="123" t="str">
        <f>IF(ISNUMBER(namespace_raw[[#This Row],[Column9]]), namespace_raw[[#This Row],[Column9]]/1048576,"")</f>
        <v/>
      </c>
      <c r="I762" s="124" t="str">
        <f>IF(ISNUMBER(namespace_raw[[#This Row],[Column8]]),MAX(G762, M762, O762, $I$2,IF(Q762&lt;&gt;"",VALUE(Q762),0)), "")</f>
        <v/>
      </c>
      <c r="J762" s="125" t="str">
        <f>IF(ISNUMBER(namespace_raw[[#This Row],[Column9]]),MAX(H762, N762, P762, $J$2,IF(R762&lt;&gt;"",VALUE(R762),0)),"")</f>
        <v/>
      </c>
      <c r="K762" s="166" t="str">
        <f>IF(ISNUMBER(namespace_raw[[#This Row],[Column12]]), namespace_raw[[#This Row],[Column12]],"")</f>
        <v/>
      </c>
      <c r="L762" s="167" t="str">
        <f>IF(ISNUMBER(namespace_raw[[#This Row],[Column13]]), namespace_raw[[#This Row],[Column13]]/1048576,"")</f>
        <v/>
      </c>
      <c r="M762" s="168" t="str">
        <f>IF(ISNUMBER(namespace_raw[[#This Row],[Column10]]), (namespace_raw[[#This Row],[Column10]]*(1+$M$2)),"")</f>
        <v/>
      </c>
      <c r="N762" s="167" t="str">
        <f>IF(ISNUMBER(namespace_raw[[#This Row],[Column11]]), (namespace_raw[[#This Row],[Column11]]*(1+$N$2))/1048576,"")</f>
        <v/>
      </c>
      <c r="O762" s="169" t="str">
        <f>IF(ISNUMBER(namespace_raw[[#This Row],[Column8]]), (E762  * $O$2),"")</f>
        <v/>
      </c>
      <c r="P762" s="170" t="str">
        <f>IF(ISNUMBER(namespace_raw[[#This Row],[Column8]]), (F762  * $P$2),"")</f>
        <v/>
      </c>
    </row>
    <row r="763" spans="1:16" ht="15" customHeight="1" x14ac:dyDescent="0.25">
      <c r="A763" s="32" t="str">
        <f>IF(ISNONTEXT(namespace_raw[[#This Row],[Column1]]), "", namespace_raw[[#This Row],[Column1]])</f>
        <v/>
      </c>
      <c r="B763" s="33" t="str">
        <f>IF(ISNONTEXT(namespace_raw[[#This Row],[Column2]]), "", namespace_raw[[#This Row],[Column2]])</f>
        <v/>
      </c>
      <c r="C763" s="94" t="str">
        <f>IF(ISNUMBER(namespace_raw[[#This Row],[Column4]]), namespace_raw[[#This Row],[Column4]], "")</f>
        <v/>
      </c>
      <c r="D763" s="95" t="str">
        <f>IF(ISNUMBER(namespace_raw[[#This Row],[Column5]]), namespace_raw[[#This Row],[Column5]]/1048576, "")</f>
        <v/>
      </c>
      <c r="E763" s="95" t="str">
        <f>IF(ISNUMBER(namespace_raw[[#This Row],[Column6]]), namespace_raw[[#This Row],[Column6]],"")</f>
        <v/>
      </c>
      <c r="F763" s="96" t="str">
        <f>IF(ISNUMBER(namespace_raw[[#This Row],[Column7]]), namespace_raw[[#This Row],[Column7]]/1048576,"")</f>
        <v/>
      </c>
      <c r="G763" s="122" t="str">
        <f>IF(ISNUMBER(namespace_raw[[#This Row],[Column8]]), namespace_raw[[#This Row],[Column8]],"")</f>
        <v/>
      </c>
      <c r="H763" s="123" t="str">
        <f>IF(ISNUMBER(namespace_raw[[#This Row],[Column9]]), namespace_raw[[#This Row],[Column9]]/1048576,"")</f>
        <v/>
      </c>
      <c r="I763" s="124" t="str">
        <f>IF(ISNUMBER(namespace_raw[[#This Row],[Column8]]),MAX(G763, M763, O763, $I$2,IF(Q763&lt;&gt;"",VALUE(Q763),0)), "")</f>
        <v/>
      </c>
      <c r="J763" s="125" t="str">
        <f>IF(ISNUMBER(namespace_raw[[#This Row],[Column9]]),MAX(H763, N763, P763, $J$2,IF(R763&lt;&gt;"",VALUE(R763),0)),"")</f>
        <v/>
      </c>
      <c r="K763" s="166" t="str">
        <f>IF(ISNUMBER(namespace_raw[[#This Row],[Column12]]), namespace_raw[[#This Row],[Column12]],"")</f>
        <v/>
      </c>
      <c r="L763" s="167" t="str">
        <f>IF(ISNUMBER(namespace_raw[[#This Row],[Column13]]), namespace_raw[[#This Row],[Column13]]/1048576,"")</f>
        <v/>
      </c>
      <c r="M763" s="168" t="str">
        <f>IF(ISNUMBER(namespace_raw[[#This Row],[Column10]]), (namespace_raw[[#This Row],[Column10]]*(1+$M$2)),"")</f>
        <v/>
      </c>
      <c r="N763" s="167" t="str">
        <f>IF(ISNUMBER(namespace_raw[[#This Row],[Column11]]), (namespace_raw[[#This Row],[Column11]]*(1+$N$2))/1048576,"")</f>
        <v/>
      </c>
      <c r="O763" s="169" t="str">
        <f>IF(ISNUMBER(namespace_raw[[#This Row],[Column8]]), (E763  * $O$2),"")</f>
        <v/>
      </c>
      <c r="P763" s="170" t="str">
        <f>IF(ISNUMBER(namespace_raw[[#This Row],[Column8]]), (F763  * $P$2),"")</f>
        <v/>
      </c>
    </row>
    <row r="764" spans="1:16" ht="15" customHeight="1" x14ac:dyDescent="0.25">
      <c r="A764" s="32" t="str">
        <f>IF(ISNONTEXT(namespace_raw[[#This Row],[Column1]]), "", namespace_raw[[#This Row],[Column1]])</f>
        <v/>
      </c>
      <c r="B764" s="33" t="str">
        <f>IF(ISNONTEXT(namespace_raw[[#This Row],[Column2]]), "", namespace_raw[[#This Row],[Column2]])</f>
        <v/>
      </c>
      <c r="C764" s="94" t="str">
        <f>IF(ISNUMBER(namespace_raw[[#This Row],[Column4]]), namespace_raw[[#This Row],[Column4]], "")</f>
        <v/>
      </c>
      <c r="D764" s="95" t="str">
        <f>IF(ISNUMBER(namespace_raw[[#This Row],[Column5]]), namespace_raw[[#This Row],[Column5]]/1048576, "")</f>
        <v/>
      </c>
      <c r="E764" s="95" t="str">
        <f>IF(ISNUMBER(namespace_raw[[#This Row],[Column6]]), namespace_raw[[#This Row],[Column6]],"")</f>
        <v/>
      </c>
      <c r="F764" s="96" t="str">
        <f>IF(ISNUMBER(namespace_raw[[#This Row],[Column7]]), namespace_raw[[#This Row],[Column7]]/1048576,"")</f>
        <v/>
      </c>
      <c r="G764" s="122" t="str">
        <f>IF(ISNUMBER(namespace_raw[[#This Row],[Column8]]), namespace_raw[[#This Row],[Column8]],"")</f>
        <v/>
      </c>
      <c r="H764" s="123" t="str">
        <f>IF(ISNUMBER(namespace_raw[[#This Row],[Column9]]), namespace_raw[[#This Row],[Column9]]/1048576,"")</f>
        <v/>
      </c>
      <c r="I764" s="124" t="str">
        <f>IF(ISNUMBER(namespace_raw[[#This Row],[Column8]]),MAX(G764, M764, O764, $I$2,IF(Q764&lt;&gt;"",VALUE(Q764),0)), "")</f>
        <v/>
      </c>
      <c r="J764" s="125" t="str">
        <f>IF(ISNUMBER(namespace_raw[[#This Row],[Column9]]),MAX(H764, N764, P764, $J$2,IF(R764&lt;&gt;"",VALUE(R764),0)),"")</f>
        <v/>
      </c>
      <c r="K764" s="166" t="str">
        <f>IF(ISNUMBER(namespace_raw[[#This Row],[Column12]]), namespace_raw[[#This Row],[Column12]],"")</f>
        <v/>
      </c>
      <c r="L764" s="167" t="str">
        <f>IF(ISNUMBER(namespace_raw[[#This Row],[Column13]]), namespace_raw[[#This Row],[Column13]]/1048576,"")</f>
        <v/>
      </c>
      <c r="M764" s="168" t="str">
        <f>IF(ISNUMBER(namespace_raw[[#This Row],[Column10]]), (namespace_raw[[#This Row],[Column10]]*(1+$M$2)),"")</f>
        <v/>
      </c>
      <c r="N764" s="167" t="str">
        <f>IF(ISNUMBER(namespace_raw[[#This Row],[Column11]]), (namespace_raw[[#This Row],[Column11]]*(1+$N$2))/1048576,"")</f>
        <v/>
      </c>
      <c r="O764" s="169" t="str">
        <f>IF(ISNUMBER(namespace_raw[[#This Row],[Column8]]), (E764  * $O$2),"")</f>
        <v/>
      </c>
      <c r="P764" s="170" t="str">
        <f>IF(ISNUMBER(namespace_raw[[#This Row],[Column8]]), (F764  * $P$2),"")</f>
        <v/>
      </c>
    </row>
    <row r="765" spans="1:16" ht="15" customHeight="1" x14ac:dyDescent="0.25">
      <c r="A765" s="32" t="str">
        <f>IF(ISNONTEXT(namespace_raw[[#This Row],[Column1]]), "", namespace_raw[[#This Row],[Column1]])</f>
        <v/>
      </c>
      <c r="B765" s="33" t="str">
        <f>IF(ISNONTEXT(namespace_raw[[#This Row],[Column2]]), "", namespace_raw[[#This Row],[Column2]])</f>
        <v/>
      </c>
      <c r="C765" s="94" t="str">
        <f>IF(ISNUMBER(namespace_raw[[#This Row],[Column4]]), namespace_raw[[#This Row],[Column4]], "")</f>
        <v/>
      </c>
      <c r="D765" s="95" t="str">
        <f>IF(ISNUMBER(namespace_raw[[#This Row],[Column5]]), namespace_raw[[#This Row],[Column5]]/1048576, "")</f>
        <v/>
      </c>
      <c r="E765" s="95" t="str">
        <f>IF(ISNUMBER(namespace_raw[[#This Row],[Column6]]), namespace_raw[[#This Row],[Column6]],"")</f>
        <v/>
      </c>
      <c r="F765" s="96" t="str">
        <f>IF(ISNUMBER(namespace_raw[[#This Row],[Column7]]), namespace_raw[[#This Row],[Column7]]/1048576,"")</f>
        <v/>
      </c>
      <c r="G765" s="122" t="str">
        <f>IF(ISNUMBER(namespace_raw[[#This Row],[Column8]]), namespace_raw[[#This Row],[Column8]],"")</f>
        <v/>
      </c>
      <c r="H765" s="123" t="str">
        <f>IF(ISNUMBER(namespace_raw[[#This Row],[Column9]]), namespace_raw[[#This Row],[Column9]]/1048576,"")</f>
        <v/>
      </c>
      <c r="I765" s="124" t="str">
        <f>IF(ISNUMBER(namespace_raw[[#This Row],[Column8]]),MAX(G765, M765, O765, $I$2,IF(Q765&lt;&gt;"",VALUE(Q765),0)), "")</f>
        <v/>
      </c>
      <c r="J765" s="125" t="str">
        <f>IF(ISNUMBER(namespace_raw[[#This Row],[Column9]]),MAX(H765, N765, P765, $J$2,IF(R765&lt;&gt;"",VALUE(R765),0)),"")</f>
        <v/>
      </c>
      <c r="K765" s="166" t="str">
        <f>IF(ISNUMBER(namespace_raw[[#This Row],[Column12]]), namespace_raw[[#This Row],[Column12]],"")</f>
        <v/>
      </c>
      <c r="L765" s="167" t="str">
        <f>IF(ISNUMBER(namespace_raw[[#This Row],[Column13]]), namespace_raw[[#This Row],[Column13]]/1048576,"")</f>
        <v/>
      </c>
      <c r="M765" s="168" t="str">
        <f>IF(ISNUMBER(namespace_raw[[#This Row],[Column10]]), (namespace_raw[[#This Row],[Column10]]*(1+$M$2)),"")</f>
        <v/>
      </c>
      <c r="N765" s="167" t="str">
        <f>IF(ISNUMBER(namespace_raw[[#This Row],[Column11]]), (namespace_raw[[#This Row],[Column11]]*(1+$N$2))/1048576,"")</f>
        <v/>
      </c>
      <c r="O765" s="169" t="str">
        <f>IF(ISNUMBER(namespace_raw[[#This Row],[Column8]]), (E765  * $O$2),"")</f>
        <v/>
      </c>
      <c r="P765" s="170" t="str">
        <f>IF(ISNUMBER(namespace_raw[[#This Row],[Column8]]), (F765  * $P$2),"")</f>
        <v/>
      </c>
    </row>
    <row r="766" spans="1:16" ht="15" customHeight="1" x14ac:dyDescent="0.25">
      <c r="A766" s="32" t="str">
        <f>IF(ISNONTEXT(namespace_raw[[#This Row],[Column1]]), "", namespace_raw[[#This Row],[Column1]])</f>
        <v/>
      </c>
      <c r="B766" s="33" t="str">
        <f>IF(ISNONTEXT(namespace_raw[[#This Row],[Column2]]), "", namespace_raw[[#This Row],[Column2]])</f>
        <v/>
      </c>
      <c r="C766" s="94" t="str">
        <f>IF(ISNUMBER(namespace_raw[[#This Row],[Column4]]), namespace_raw[[#This Row],[Column4]], "")</f>
        <v/>
      </c>
      <c r="D766" s="95" t="str">
        <f>IF(ISNUMBER(namespace_raw[[#This Row],[Column5]]), namespace_raw[[#This Row],[Column5]]/1048576, "")</f>
        <v/>
      </c>
      <c r="E766" s="95" t="str">
        <f>IF(ISNUMBER(namespace_raw[[#This Row],[Column6]]), namespace_raw[[#This Row],[Column6]],"")</f>
        <v/>
      </c>
      <c r="F766" s="96" t="str">
        <f>IF(ISNUMBER(namespace_raw[[#This Row],[Column7]]), namespace_raw[[#This Row],[Column7]]/1048576,"")</f>
        <v/>
      </c>
      <c r="G766" s="122" t="str">
        <f>IF(ISNUMBER(namespace_raw[[#This Row],[Column8]]), namespace_raw[[#This Row],[Column8]],"")</f>
        <v/>
      </c>
      <c r="H766" s="123" t="str">
        <f>IF(ISNUMBER(namespace_raw[[#This Row],[Column9]]), namespace_raw[[#This Row],[Column9]]/1048576,"")</f>
        <v/>
      </c>
      <c r="I766" s="124" t="str">
        <f>IF(ISNUMBER(namespace_raw[[#This Row],[Column8]]),MAX(G766, M766, O766, $I$2,IF(Q766&lt;&gt;"",VALUE(Q766),0)), "")</f>
        <v/>
      </c>
      <c r="J766" s="125" t="str">
        <f>IF(ISNUMBER(namespace_raw[[#This Row],[Column9]]),MAX(H766, N766, P766, $J$2,IF(R766&lt;&gt;"",VALUE(R766),0)),"")</f>
        <v/>
      </c>
      <c r="K766" s="166" t="str">
        <f>IF(ISNUMBER(namespace_raw[[#This Row],[Column12]]), namespace_raw[[#This Row],[Column12]],"")</f>
        <v/>
      </c>
      <c r="L766" s="167" t="str">
        <f>IF(ISNUMBER(namespace_raw[[#This Row],[Column13]]), namespace_raw[[#This Row],[Column13]]/1048576,"")</f>
        <v/>
      </c>
      <c r="M766" s="168" t="str">
        <f>IF(ISNUMBER(namespace_raw[[#This Row],[Column10]]), (namespace_raw[[#This Row],[Column10]]*(1+$M$2)),"")</f>
        <v/>
      </c>
      <c r="N766" s="167" t="str">
        <f>IF(ISNUMBER(namespace_raw[[#This Row],[Column11]]), (namespace_raw[[#This Row],[Column11]]*(1+$N$2))/1048576,"")</f>
        <v/>
      </c>
      <c r="O766" s="169" t="str">
        <f>IF(ISNUMBER(namespace_raw[[#This Row],[Column8]]), (E766  * $O$2),"")</f>
        <v/>
      </c>
      <c r="P766" s="170" t="str">
        <f>IF(ISNUMBER(namespace_raw[[#This Row],[Column8]]), (F766  * $P$2),"")</f>
        <v/>
      </c>
    </row>
    <row r="767" spans="1:16" ht="15" customHeight="1" x14ac:dyDescent="0.25">
      <c r="A767" s="32" t="str">
        <f>IF(ISNONTEXT(namespace_raw[[#This Row],[Column1]]), "", namespace_raw[[#This Row],[Column1]])</f>
        <v/>
      </c>
      <c r="B767" s="33" t="str">
        <f>IF(ISNONTEXT(namespace_raw[[#This Row],[Column2]]), "", namespace_raw[[#This Row],[Column2]])</f>
        <v/>
      </c>
      <c r="C767" s="94" t="str">
        <f>IF(ISNUMBER(namespace_raw[[#This Row],[Column4]]), namespace_raw[[#This Row],[Column4]], "")</f>
        <v/>
      </c>
      <c r="D767" s="95" t="str">
        <f>IF(ISNUMBER(namespace_raw[[#This Row],[Column5]]), namespace_raw[[#This Row],[Column5]]/1048576, "")</f>
        <v/>
      </c>
      <c r="E767" s="95" t="str">
        <f>IF(ISNUMBER(namespace_raw[[#This Row],[Column6]]), namespace_raw[[#This Row],[Column6]],"")</f>
        <v/>
      </c>
      <c r="F767" s="96" t="str">
        <f>IF(ISNUMBER(namespace_raw[[#This Row],[Column7]]), namespace_raw[[#This Row],[Column7]]/1048576,"")</f>
        <v/>
      </c>
      <c r="G767" s="122" t="str">
        <f>IF(ISNUMBER(namespace_raw[[#This Row],[Column8]]), namespace_raw[[#This Row],[Column8]],"")</f>
        <v/>
      </c>
      <c r="H767" s="123" t="str">
        <f>IF(ISNUMBER(namespace_raw[[#This Row],[Column9]]), namespace_raw[[#This Row],[Column9]]/1048576,"")</f>
        <v/>
      </c>
      <c r="I767" s="124" t="str">
        <f>IF(ISNUMBER(namespace_raw[[#This Row],[Column8]]),MAX(G767, M767, O767, $I$2,IF(Q767&lt;&gt;"",VALUE(Q767),0)), "")</f>
        <v/>
      </c>
      <c r="J767" s="125" t="str">
        <f>IF(ISNUMBER(namespace_raw[[#This Row],[Column9]]),MAX(H767, N767, P767, $J$2,IF(R767&lt;&gt;"",VALUE(R767),0)),"")</f>
        <v/>
      </c>
      <c r="K767" s="166" t="str">
        <f>IF(ISNUMBER(namespace_raw[[#This Row],[Column12]]), namespace_raw[[#This Row],[Column12]],"")</f>
        <v/>
      </c>
      <c r="L767" s="167" t="str">
        <f>IF(ISNUMBER(namespace_raw[[#This Row],[Column13]]), namespace_raw[[#This Row],[Column13]]/1048576,"")</f>
        <v/>
      </c>
      <c r="M767" s="168" t="str">
        <f>IF(ISNUMBER(namespace_raw[[#This Row],[Column10]]), (namespace_raw[[#This Row],[Column10]]*(1+$M$2)),"")</f>
        <v/>
      </c>
      <c r="N767" s="167" t="str">
        <f>IF(ISNUMBER(namespace_raw[[#This Row],[Column11]]), (namespace_raw[[#This Row],[Column11]]*(1+$N$2))/1048576,"")</f>
        <v/>
      </c>
      <c r="O767" s="169" t="str">
        <f>IF(ISNUMBER(namespace_raw[[#This Row],[Column8]]), (E767  * $O$2),"")</f>
        <v/>
      </c>
      <c r="P767" s="170" t="str">
        <f>IF(ISNUMBER(namespace_raw[[#This Row],[Column8]]), (F767  * $P$2),"")</f>
        <v/>
      </c>
    </row>
    <row r="768" spans="1:16" ht="15" customHeight="1" x14ac:dyDescent="0.25">
      <c r="A768" s="32" t="str">
        <f>IF(ISNONTEXT(namespace_raw[[#This Row],[Column1]]), "", namespace_raw[[#This Row],[Column1]])</f>
        <v/>
      </c>
      <c r="B768" s="33" t="str">
        <f>IF(ISNONTEXT(namespace_raw[[#This Row],[Column2]]), "", namespace_raw[[#This Row],[Column2]])</f>
        <v/>
      </c>
      <c r="C768" s="94" t="str">
        <f>IF(ISNUMBER(namespace_raw[[#This Row],[Column4]]), namespace_raw[[#This Row],[Column4]], "")</f>
        <v/>
      </c>
      <c r="D768" s="95" t="str">
        <f>IF(ISNUMBER(namespace_raw[[#This Row],[Column5]]), namespace_raw[[#This Row],[Column5]]/1048576, "")</f>
        <v/>
      </c>
      <c r="E768" s="95" t="str">
        <f>IF(ISNUMBER(namespace_raw[[#This Row],[Column6]]), namespace_raw[[#This Row],[Column6]],"")</f>
        <v/>
      </c>
      <c r="F768" s="96" t="str">
        <f>IF(ISNUMBER(namespace_raw[[#This Row],[Column7]]), namespace_raw[[#This Row],[Column7]]/1048576,"")</f>
        <v/>
      </c>
      <c r="G768" s="122" t="str">
        <f>IF(ISNUMBER(namespace_raw[[#This Row],[Column8]]), namespace_raw[[#This Row],[Column8]],"")</f>
        <v/>
      </c>
      <c r="H768" s="123" t="str">
        <f>IF(ISNUMBER(namespace_raw[[#This Row],[Column9]]), namespace_raw[[#This Row],[Column9]]/1048576,"")</f>
        <v/>
      </c>
      <c r="I768" s="124" t="str">
        <f>IF(ISNUMBER(namespace_raw[[#This Row],[Column8]]),MAX(G768, M768, O768, $I$2,IF(Q768&lt;&gt;"",VALUE(Q768),0)), "")</f>
        <v/>
      </c>
      <c r="J768" s="125" t="str">
        <f>IF(ISNUMBER(namespace_raw[[#This Row],[Column9]]),MAX(H768, N768, P768, $J$2,IF(R768&lt;&gt;"",VALUE(R768),0)),"")</f>
        <v/>
      </c>
      <c r="K768" s="166" t="str">
        <f>IF(ISNUMBER(namespace_raw[[#This Row],[Column12]]), namespace_raw[[#This Row],[Column12]],"")</f>
        <v/>
      </c>
      <c r="L768" s="167" t="str">
        <f>IF(ISNUMBER(namespace_raw[[#This Row],[Column13]]), namespace_raw[[#This Row],[Column13]]/1048576,"")</f>
        <v/>
      </c>
      <c r="M768" s="168" t="str">
        <f>IF(ISNUMBER(namespace_raw[[#This Row],[Column10]]), (namespace_raw[[#This Row],[Column10]]*(1+$M$2)),"")</f>
        <v/>
      </c>
      <c r="N768" s="167" t="str">
        <f>IF(ISNUMBER(namespace_raw[[#This Row],[Column11]]), (namespace_raw[[#This Row],[Column11]]*(1+$N$2))/1048576,"")</f>
        <v/>
      </c>
      <c r="O768" s="169" t="str">
        <f>IF(ISNUMBER(namespace_raw[[#This Row],[Column8]]), (E768  * $O$2),"")</f>
        <v/>
      </c>
      <c r="P768" s="170" t="str">
        <f>IF(ISNUMBER(namespace_raw[[#This Row],[Column8]]), (F768  * $P$2),"")</f>
        <v/>
      </c>
    </row>
    <row r="769" spans="1:16" ht="15" customHeight="1" x14ac:dyDescent="0.25">
      <c r="A769" s="32" t="str">
        <f>IF(ISNONTEXT(namespace_raw[[#This Row],[Column1]]), "", namespace_raw[[#This Row],[Column1]])</f>
        <v/>
      </c>
      <c r="B769" s="33" t="str">
        <f>IF(ISNONTEXT(namespace_raw[[#This Row],[Column2]]), "", namespace_raw[[#This Row],[Column2]])</f>
        <v/>
      </c>
      <c r="C769" s="94" t="str">
        <f>IF(ISNUMBER(namespace_raw[[#This Row],[Column4]]), namespace_raw[[#This Row],[Column4]], "")</f>
        <v/>
      </c>
      <c r="D769" s="95" t="str">
        <f>IF(ISNUMBER(namespace_raw[[#This Row],[Column5]]), namespace_raw[[#This Row],[Column5]]/1048576, "")</f>
        <v/>
      </c>
      <c r="E769" s="95" t="str">
        <f>IF(ISNUMBER(namespace_raw[[#This Row],[Column6]]), namespace_raw[[#This Row],[Column6]],"")</f>
        <v/>
      </c>
      <c r="F769" s="96" t="str">
        <f>IF(ISNUMBER(namespace_raw[[#This Row],[Column7]]), namespace_raw[[#This Row],[Column7]]/1048576,"")</f>
        <v/>
      </c>
      <c r="G769" s="122" t="str">
        <f>IF(ISNUMBER(namespace_raw[[#This Row],[Column8]]), namespace_raw[[#This Row],[Column8]],"")</f>
        <v/>
      </c>
      <c r="H769" s="123" t="str">
        <f>IF(ISNUMBER(namespace_raw[[#This Row],[Column9]]), namespace_raw[[#This Row],[Column9]]/1048576,"")</f>
        <v/>
      </c>
      <c r="I769" s="124" t="str">
        <f>IF(ISNUMBER(namespace_raw[[#This Row],[Column8]]),MAX(G769, M769, O769, $I$2,IF(Q769&lt;&gt;"",VALUE(Q769),0)), "")</f>
        <v/>
      </c>
      <c r="J769" s="125" t="str">
        <f>IF(ISNUMBER(namespace_raw[[#This Row],[Column9]]),MAX(H769, N769, P769, $J$2,IF(R769&lt;&gt;"",VALUE(R769),0)),"")</f>
        <v/>
      </c>
      <c r="K769" s="166" t="str">
        <f>IF(ISNUMBER(namespace_raw[[#This Row],[Column12]]), namespace_raw[[#This Row],[Column12]],"")</f>
        <v/>
      </c>
      <c r="L769" s="167" t="str">
        <f>IF(ISNUMBER(namespace_raw[[#This Row],[Column13]]), namespace_raw[[#This Row],[Column13]]/1048576,"")</f>
        <v/>
      </c>
      <c r="M769" s="168" t="str">
        <f>IF(ISNUMBER(namespace_raw[[#This Row],[Column10]]), (namespace_raw[[#This Row],[Column10]]*(1+$M$2)),"")</f>
        <v/>
      </c>
      <c r="N769" s="167" t="str">
        <f>IF(ISNUMBER(namespace_raw[[#This Row],[Column11]]), (namespace_raw[[#This Row],[Column11]]*(1+$N$2))/1048576,"")</f>
        <v/>
      </c>
      <c r="O769" s="169" t="str">
        <f>IF(ISNUMBER(namespace_raw[[#This Row],[Column8]]), (E769  * $O$2),"")</f>
        <v/>
      </c>
      <c r="P769" s="170" t="str">
        <f>IF(ISNUMBER(namespace_raw[[#This Row],[Column8]]), (F769  * $P$2),"")</f>
        <v/>
      </c>
    </row>
    <row r="770" spans="1:16" ht="15" customHeight="1" x14ac:dyDescent="0.25">
      <c r="A770" s="32" t="str">
        <f>IF(ISNONTEXT(namespace_raw[[#This Row],[Column1]]), "", namespace_raw[[#This Row],[Column1]])</f>
        <v/>
      </c>
      <c r="B770" s="33" t="str">
        <f>IF(ISNONTEXT(namespace_raw[[#This Row],[Column2]]), "", namespace_raw[[#This Row],[Column2]])</f>
        <v/>
      </c>
      <c r="C770" s="94" t="str">
        <f>IF(ISNUMBER(namespace_raw[[#This Row],[Column4]]), namespace_raw[[#This Row],[Column4]], "")</f>
        <v/>
      </c>
      <c r="D770" s="95" t="str">
        <f>IF(ISNUMBER(namespace_raw[[#This Row],[Column5]]), namespace_raw[[#This Row],[Column5]]/1048576, "")</f>
        <v/>
      </c>
      <c r="E770" s="95" t="str">
        <f>IF(ISNUMBER(namespace_raw[[#This Row],[Column6]]), namespace_raw[[#This Row],[Column6]],"")</f>
        <v/>
      </c>
      <c r="F770" s="96" t="str">
        <f>IF(ISNUMBER(namespace_raw[[#This Row],[Column7]]), namespace_raw[[#This Row],[Column7]]/1048576,"")</f>
        <v/>
      </c>
      <c r="G770" s="122" t="str">
        <f>IF(ISNUMBER(namespace_raw[[#This Row],[Column8]]), namespace_raw[[#This Row],[Column8]],"")</f>
        <v/>
      </c>
      <c r="H770" s="123" t="str">
        <f>IF(ISNUMBER(namespace_raw[[#This Row],[Column9]]), namespace_raw[[#This Row],[Column9]]/1048576,"")</f>
        <v/>
      </c>
      <c r="I770" s="124" t="str">
        <f>IF(ISNUMBER(namespace_raw[[#This Row],[Column8]]),MAX(G770, M770, O770, $I$2,IF(Q770&lt;&gt;"",VALUE(Q770),0)), "")</f>
        <v/>
      </c>
      <c r="J770" s="125" t="str">
        <f>IF(ISNUMBER(namespace_raw[[#This Row],[Column9]]),MAX(H770, N770, P770, $J$2,IF(R770&lt;&gt;"",VALUE(R770),0)),"")</f>
        <v/>
      </c>
      <c r="K770" s="166" t="str">
        <f>IF(ISNUMBER(namespace_raw[[#This Row],[Column12]]), namespace_raw[[#This Row],[Column12]],"")</f>
        <v/>
      </c>
      <c r="L770" s="167" t="str">
        <f>IF(ISNUMBER(namespace_raw[[#This Row],[Column13]]), namespace_raw[[#This Row],[Column13]]/1048576,"")</f>
        <v/>
      </c>
      <c r="M770" s="168" t="str">
        <f>IF(ISNUMBER(namespace_raw[[#This Row],[Column10]]), (namespace_raw[[#This Row],[Column10]]*(1+$M$2)),"")</f>
        <v/>
      </c>
      <c r="N770" s="167" t="str">
        <f>IF(ISNUMBER(namespace_raw[[#This Row],[Column11]]), (namespace_raw[[#This Row],[Column11]]*(1+$N$2))/1048576,"")</f>
        <v/>
      </c>
      <c r="O770" s="169" t="str">
        <f>IF(ISNUMBER(namespace_raw[[#This Row],[Column8]]), (E770  * $O$2),"")</f>
        <v/>
      </c>
      <c r="P770" s="170" t="str">
        <f>IF(ISNUMBER(namespace_raw[[#This Row],[Column8]]), (F770  * $P$2),"")</f>
        <v/>
      </c>
    </row>
    <row r="771" spans="1:16" ht="15" customHeight="1" x14ac:dyDescent="0.25">
      <c r="A771" s="32" t="str">
        <f>IF(ISNONTEXT(namespace_raw[[#This Row],[Column1]]), "", namespace_raw[[#This Row],[Column1]])</f>
        <v/>
      </c>
      <c r="B771" s="33" t="str">
        <f>IF(ISNONTEXT(namespace_raw[[#This Row],[Column2]]), "", namespace_raw[[#This Row],[Column2]])</f>
        <v/>
      </c>
      <c r="C771" s="94" t="str">
        <f>IF(ISNUMBER(namespace_raw[[#This Row],[Column4]]), namespace_raw[[#This Row],[Column4]], "")</f>
        <v/>
      </c>
      <c r="D771" s="95" t="str">
        <f>IF(ISNUMBER(namespace_raw[[#This Row],[Column5]]), namespace_raw[[#This Row],[Column5]]/1048576, "")</f>
        <v/>
      </c>
      <c r="E771" s="95" t="str">
        <f>IF(ISNUMBER(namespace_raw[[#This Row],[Column6]]), namespace_raw[[#This Row],[Column6]],"")</f>
        <v/>
      </c>
      <c r="F771" s="96" t="str">
        <f>IF(ISNUMBER(namespace_raw[[#This Row],[Column7]]), namespace_raw[[#This Row],[Column7]]/1048576,"")</f>
        <v/>
      </c>
      <c r="G771" s="122" t="str">
        <f>IF(ISNUMBER(namespace_raw[[#This Row],[Column8]]), namespace_raw[[#This Row],[Column8]],"")</f>
        <v/>
      </c>
      <c r="H771" s="123" t="str">
        <f>IF(ISNUMBER(namespace_raw[[#This Row],[Column9]]), namespace_raw[[#This Row],[Column9]]/1048576,"")</f>
        <v/>
      </c>
      <c r="I771" s="124" t="str">
        <f>IF(ISNUMBER(namespace_raw[[#This Row],[Column8]]),MAX(G771, M771, O771, $I$2,IF(Q771&lt;&gt;"",VALUE(Q771),0)), "")</f>
        <v/>
      </c>
      <c r="J771" s="125" t="str">
        <f>IF(ISNUMBER(namespace_raw[[#This Row],[Column9]]),MAX(H771, N771, P771, $J$2,IF(R771&lt;&gt;"",VALUE(R771),0)),"")</f>
        <v/>
      </c>
      <c r="K771" s="166" t="str">
        <f>IF(ISNUMBER(namespace_raw[[#This Row],[Column12]]), namespace_raw[[#This Row],[Column12]],"")</f>
        <v/>
      </c>
      <c r="L771" s="167" t="str">
        <f>IF(ISNUMBER(namespace_raw[[#This Row],[Column13]]), namespace_raw[[#This Row],[Column13]]/1048576,"")</f>
        <v/>
      </c>
      <c r="M771" s="168" t="str">
        <f>IF(ISNUMBER(namespace_raw[[#This Row],[Column10]]), (namespace_raw[[#This Row],[Column10]]*(1+$M$2)),"")</f>
        <v/>
      </c>
      <c r="N771" s="167" t="str">
        <f>IF(ISNUMBER(namespace_raw[[#This Row],[Column11]]), (namespace_raw[[#This Row],[Column11]]*(1+$N$2))/1048576,"")</f>
        <v/>
      </c>
      <c r="O771" s="169" t="str">
        <f>IF(ISNUMBER(namespace_raw[[#This Row],[Column8]]), (E771  * $O$2),"")</f>
        <v/>
      </c>
      <c r="P771" s="170" t="str">
        <f>IF(ISNUMBER(namespace_raw[[#This Row],[Column8]]), (F771  * $P$2),"")</f>
        <v/>
      </c>
    </row>
    <row r="772" spans="1:16" ht="15" customHeight="1" x14ac:dyDescent="0.25">
      <c r="A772" s="32" t="str">
        <f>IF(ISNONTEXT(namespace_raw[[#This Row],[Column1]]), "", namespace_raw[[#This Row],[Column1]])</f>
        <v/>
      </c>
      <c r="B772" s="33" t="str">
        <f>IF(ISNONTEXT(namespace_raw[[#This Row],[Column2]]), "", namespace_raw[[#This Row],[Column2]])</f>
        <v/>
      </c>
      <c r="C772" s="94" t="str">
        <f>IF(ISNUMBER(namespace_raw[[#This Row],[Column4]]), namespace_raw[[#This Row],[Column4]], "")</f>
        <v/>
      </c>
      <c r="D772" s="95" t="str">
        <f>IF(ISNUMBER(namespace_raw[[#This Row],[Column5]]), namespace_raw[[#This Row],[Column5]]/1048576, "")</f>
        <v/>
      </c>
      <c r="E772" s="95" t="str">
        <f>IF(ISNUMBER(namespace_raw[[#This Row],[Column6]]), namespace_raw[[#This Row],[Column6]],"")</f>
        <v/>
      </c>
      <c r="F772" s="96" t="str">
        <f>IF(ISNUMBER(namespace_raw[[#This Row],[Column7]]), namespace_raw[[#This Row],[Column7]]/1048576,"")</f>
        <v/>
      </c>
      <c r="G772" s="122" t="str">
        <f>IF(ISNUMBER(namespace_raw[[#This Row],[Column8]]), namespace_raw[[#This Row],[Column8]],"")</f>
        <v/>
      </c>
      <c r="H772" s="123" t="str">
        <f>IF(ISNUMBER(namespace_raw[[#This Row],[Column9]]), namespace_raw[[#This Row],[Column9]]/1048576,"")</f>
        <v/>
      </c>
      <c r="I772" s="124" t="str">
        <f>IF(ISNUMBER(namespace_raw[[#This Row],[Column8]]),MAX(G772, M772, O772, $I$2,IF(Q772&lt;&gt;"",VALUE(Q772),0)), "")</f>
        <v/>
      </c>
      <c r="J772" s="125" t="str">
        <f>IF(ISNUMBER(namespace_raw[[#This Row],[Column9]]),MAX(H772, N772, P772, $J$2,IF(R772&lt;&gt;"",VALUE(R772),0)),"")</f>
        <v/>
      </c>
      <c r="K772" s="166" t="str">
        <f>IF(ISNUMBER(namespace_raw[[#This Row],[Column12]]), namespace_raw[[#This Row],[Column12]],"")</f>
        <v/>
      </c>
      <c r="L772" s="167" t="str">
        <f>IF(ISNUMBER(namespace_raw[[#This Row],[Column13]]), namespace_raw[[#This Row],[Column13]]/1048576,"")</f>
        <v/>
      </c>
      <c r="M772" s="168" t="str">
        <f>IF(ISNUMBER(namespace_raw[[#This Row],[Column10]]), (namespace_raw[[#This Row],[Column10]]*(1+$M$2)),"")</f>
        <v/>
      </c>
      <c r="N772" s="167" t="str">
        <f>IF(ISNUMBER(namespace_raw[[#This Row],[Column11]]), (namespace_raw[[#This Row],[Column11]]*(1+$N$2))/1048576,"")</f>
        <v/>
      </c>
      <c r="O772" s="169" t="str">
        <f>IF(ISNUMBER(namespace_raw[[#This Row],[Column8]]), (E772  * $O$2),"")</f>
        <v/>
      </c>
      <c r="P772" s="170" t="str">
        <f>IF(ISNUMBER(namespace_raw[[#This Row],[Column8]]), (F772  * $P$2),"")</f>
        <v/>
      </c>
    </row>
    <row r="773" spans="1:16" ht="15" customHeight="1" x14ac:dyDescent="0.25">
      <c r="A773" s="32" t="str">
        <f>IF(ISNONTEXT(namespace_raw[[#This Row],[Column1]]), "", namespace_raw[[#This Row],[Column1]])</f>
        <v/>
      </c>
      <c r="B773" s="33" t="str">
        <f>IF(ISNONTEXT(namespace_raw[[#This Row],[Column2]]), "", namespace_raw[[#This Row],[Column2]])</f>
        <v/>
      </c>
      <c r="C773" s="94" t="str">
        <f>IF(ISNUMBER(namespace_raw[[#This Row],[Column4]]), namespace_raw[[#This Row],[Column4]], "")</f>
        <v/>
      </c>
      <c r="D773" s="95" t="str">
        <f>IF(ISNUMBER(namespace_raw[[#This Row],[Column5]]), namespace_raw[[#This Row],[Column5]]/1048576, "")</f>
        <v/>
      </c>
      <c r="E773" s="95" t="str">
        <f>IF(ISNUMBER(namespace_raw[[#This Row],[Column6]]), namespace_raw[[#This Row],[Column6]],"")</f>
        <v/>
      </c>
      <c r="F773" s="96" t="str">
        <f>IF(ISNUMBER(namespace_raw[[#This Row],[Column7]]), namespace_raw[[#This Row],[Column7]]/1048576,"")</f>
        <v/>
      </c>
      <c r="G773" s="122" t="str">
        <f>IF(ISNUMBER(namespace_raw[[#This Row],[Column8]]), namespace_raw[[#This Row],[Column8]],"")</f>
        <v/>
      </c>
      <c r="H773" s="123" t="str">
        <f>IF(ISNUMBER(namespace_raw[[#This Row],[Column9]]), namespace_raw[[#This Row],[Column9]]/1048576,"")</f>
        <v/>
      </c>
      <c r="I773" s="124" t="str">
        <f>IF(ISNUMBER(namespace_raw[[#This Row],[Column8]]),MAX(G773, M773, O773, $I$2,IF(Q773&lt;&gt;"",VALUE(Q773),0)), "")</f>
        <v/>
      </c>
      <c r="J773" s="125" t="str">
        <f>IF(ISNUMBER(namespace_raw[[#This Row],[Column9]]),MAX(H773, N773, P773, $J$2,IF(R773&lt;&gt;"",VALUE(R773),0)),"")</f>
        <v/>
      </c>
      <c r="K773" s="166" t="str">
        <f>IF(ISNUMBER(namespace_raw[[#This Row],[Column12]]), namespace_raw[[#This Row],[Column12]],"")</f>
        <v/>
      </c>
      <c r="L773" s="167" t="str">
        <f>IF(ISNUMBER(namespace_raw[[#This Row],[Column13]]), namespace_raw[[#This Row],[Column13]]/1048576,"")</f>
        <v/>
      </c>
      <c r="M773" s="168" t="str">
        <f>IF(ISNUMBER(namespace_raw[[#This Row],[Column10]]), (namespace_raw[[#This Row],[Column10]]*(1+$M$2)),"")</f>
        <v/>
      </c>
      <c r="N773" s="167" t="str">
        <f>IF(ISNUMBER(namespace_raw[[#This Row],[Column11]]), (namespace_raw[[#This Row],[Column11]]*(1+$N$2))/1048576,"")</f>
        <v/>
      </c>
      <c r="O773" s="169" t="str">
        <f>IF(ISNUMBER(namespace_raw[[#This Row],[Column8]]), (E773  * $O$2),"")</f>
        <v/>
      </c>
      <c r="P773" s="170" t="str">
        <f>IF(ISNUMBER(namespace_raw[[#This Row],[Column8]]), (F773  * $P$2),"")</f>
        <v/>
      </c>
    </row>
    <row r="774" spans="1:16" ht="15" customHeight="1" x14ac:dyDescent="0.25">
      <c r="A774" s="32" t="str">
        <f>IF(ISNONTEXT(namespace_raw[[#This Row],[Column1]]), "", namespace_raw[[#This Row],[Column1]])</f>
        <v/>
      </c>
      <c r="B774" s="33" t="str">
        <f>IF(ISNONTEXT(namespace_raw[[#This Row],[Column2]]), "", namespace_raw[[#This Row],[Column2]])</f>
        <v/>
      </c>
      <c r="C774" s="94" t="str">
        <f>IF(ISNUMBER(namespace_raw[[#This Row],[Column4]]), namespace_raw[[#This Row],[Column4]], "")</f>
        <v/>
      </c>
      <c r="D774" s="95" t="str">
        <f>IF(ISNUMBER(namespace_raw[[#This Row],[Column5]]), namespace_raw[[#This Row],[Column5]]/1048576, "")</f>
        <v/>
      </c>
      <c r="E774" s="95" t="str">
        <f>IF(ISNUMBER(namespace_raw[[#This Row],[Column6]]), namespace_raw[[#This Row],[Column6]],"")</f>
        <v/>
      </c>
      <c r="F774" s="96" t="str">
        <f>IF(ISNUMBER(namespace_raw[[#This Row],[Column7]]), namespace_raw[[#This Row],[Column7]]/1048576,"")</f>
        <v/>
      </c>
      <c r="G774" s="122" t="str">
        <f>IF(ISNUMBER(namespace_raw[[#This Row],[Column8]]), namespace_raw[[#This Row],[Column8]],"")</f>
        <v/>
      </c>
      <c r="H774" s="123" t="str">
        <f>IF(ISNUMBER(namespace_raw[[#This Row],[Column9]]), namespace_raw[[#This Row],[Column9]]/1048576,"")</f>
        <v/>
      </c>
      <c r="I774" s="124" t="str">
        <f>IF(ISNUMBER(namespace_raw[[#This Row],[Column8]]),MAX(G774, M774, O774, $I$2,IF(Q774&lt;&gt;"",VALUE(Q774),0)), "")</f>
        <v/>
      </c>
      <c r="J774" s="125" t="str">
        <f>IF(ISNUMBER(namespace_raw[[#This Row],[Column9]]),MAX(H774, N774, P774, $J$2,IF(R774&lt;&gt;"",VALUE(R774),0)),"")</f>
        <v/>
      </c>
      <c r="K774" s="166" t="str">
        <f>IF(ISNUMBER(namespace_raw[[#This Row],[Column12]]), namespace_raw[[#This Row],[Column12]],"")</f>
        <v/>
      </c>
      <c r="L774" s="167" t="str">
        <f>IF(ISNUMBER(namespace_raw[[#This Row],[Column13]]), namespace_raw[[#This Row],[Column13]]/1048576,"")</f>
        <v/>
      </c>
      <c r="M774" s="168" t="str">
        <f>IF(ISNUMBER(namespace_raw[[#This Row],[Column10]]), (namespace_raw[[#This Row],[Column10]]*(1+$M$2)),"")</f>
        <v/>
      </c>
      <c r="N774" s="167" t="str">
        <f>IF(ISNUMBER(namespace_raw[[#This Row],[Column11]]), (namespace_raw[[#This Row],[Column11]]*(1+$N$2))/1048576,"")</f>
        <v/>
      </c>
      <c r="O774" s="169" t="str">
        <f>IF(ISNUMBER(namespace_raw[[#This Row],[Column8]]), (E774  * $O$2),"")</f>
        <v/>
      </c>
      <c r="P774" s="170" t="str">
        <f>IF(ISNUMBER(namespace_raw[[#This Row],[Column8]]), (F774  * $P$2),"")</f>
        <v/>
      </c>
    </row>
    <row r="775" spans="1:16" ht="15" customHeight="1" x14ac:dyDescent="0.25">
      <c r="A775" s="32" t="str">
        <f>IF(ISNONTEXT(namespace_raw[[#This Row],[Column1]]), "", namespace_raw[[#This Row],[Column1]])</f>
        <v/>
      </c>
      <c r="B775" s="33" t="str">
        <f>IF(ISNONTEXT(namespace_raw[[#This Row],[Column2]]), "", namespace_raw[[#This Row],[Column2]])</f>
        <v/>
      </c>
      <c r="C775" s="94" t="str">
        <f>IF(ISNUMBER(namespace_raw[[#This Row],[Column4]]), namespace_raw[[#This Row],[Column4]], "")</f>
        <v/>
      </c>
      <c r="D775" s="95" t="str">
        <f>IF(ISNUMBER(namespace_raw[[#This Row],[Column5]]), namespace_raw[[#This Row],[Column5]]/1048576, "")</f>
        <v/>
      </c>
      <c r="E775" s="95" t="str">
        <f>IF(ISNUMBER(namespace_raw[[#This Row],[Column6]]), namespace_raw[[#This Row],[Column6]],"")</f>
        <v/>
      </c>
      <c r="F775" s="96" t="str">
        <f>IF(ISNUMBER(namespace_raw[[#This Row],[Column7]]), namespace_raw[[#This Row],[Column7]]/1048576,"")</f>
        <v/>
      </c>
      <c r="G775" s="122" t="str">
        <f>IF(ISNUMBER(namespace_raw[[#This Row],[Column8]]), namespace_raw[[#This Row],[Column8]],"")</f>
        <v/>
      </c>
      <c r="H775" s="123" t="str">
        <f>IF(ISNUMBER(namespace_raw[[#This Row],[Column9]]), namespace_raw[[#This Row],[Column9]]/1048576,"")</f>
        <v/>
      </c>
      <c r="I775" s="124" t="str">
        <f>IF(ISNUMBER(namespace_raw[[#This Row],[Column8]]),MAX(G775, M775, O775, $I$2,IF(Q775&lt;&gt;"",VALUE(Q775),0)), "")</f>
        <v/>
      </c>
      <c r="J775" s="125" t="str">
        <f>IF(ISNUMBER(namespace_raw[[#This Row],[Column9]]),MAX(H775, N775, P775, $J$2,IF(R775&lt;&gt;"",VALUE(R775),0)),"")</f>
        <v/>
      </c>
      <c r="K775" s="166" t="str">
        <f>IF(ISNUMBER(namespace_raw[[#This Row],[Column12]]), namespace_raw[[#This Row],[Column12]],"")</f>
        <v/>
      </c>
      <c r="L775" s="167" t="str">
        <f>IF(ISNUMBER(namespace_raw[[#This Row],[Column13]]), namespace_raw[[#This Row],[Column13]]/1048576,"")</f>
        <v/>
      </c>
      <c r="M775" s="168" t="str">
        <f>IF(ISNUMBER(namespace_raw[[#This Row],[Column10]]), (namespace_raw[[#This Row],[Column10]]*(1+$M$2)),"")</f>
        <v/>
      </c>
      <c r="N775" s="167" t="str">
        <f>IF(ISNUMBER(namespace_raw[[#This Row],[Column11]]), (namespace_raw[[#This Row],[Column11]]*(1+$N$2))/1048576,"")</f>
        <v/>
      </c>
      <c r="O775" s="169" t="str">
        <f>IF(ISNUMBER(namespace_raw[[#This Row],[Column8]]), (E775  * $O$2),"")</f>
        <v/>
      </c>
      <c r="P775" s="170" t="str">
        <f>IF(ISNUMBER(namespace_raw[[#This Row],[Column8]]), (F775  * $P$2),"")</f>
        <v/>
      </c>
    </row>
    <row r="776" spans="1:16" ht="15" customHeight="1" x14ac:dyDescent="0.25">
      <c r="A776" s="32" t="str">
        <f>IF(ISNONTEXT(namespace_raw[[#This Row],[Column1]]), "", namespace_raw[[#This Row],[Column1]])</f>
        <v/>
      </c>
      <c r="B776" s="33" t="str">
        <f>IF(ISNONTEXT(namespace_raw[[#This Row],[Column2]]), "", namespace_raw[[#This Row],[Column2]])</f>
        <v/>
      </c>
      <c r="C776" s="94" t="str">
        <f>IF(ISNUMBER(namespace_raw[[#This Row],[Column4]]), namespace_raw[[#This Row],[Column4]], "")</f>
        <v/>
      </c>
      <c r="D776" s="95" t="str">
        <f>IF(ISNUMBER(namespace_raw[[#This Row],[Column5]]), namespace_raw[[#This Row],[Column5]]/1048576, "")</f>
        <v/>
      </c>
      <c r="E776" s="95" t="str">
        <f>IF(ISNUMBER(namespace_raw[[#This Row],[Column6]]), namespace_raw[[#This Row],[Column6]],"")</f>
        <v/>
      </c>
      <c r="F776" s="96" t="str">
        <f>IF(ISNUMBER(namespace_raw[[#This Row],[Column7]]), namespace_raw[[#This Row],[Column7]]/1048576,"")</f>
        <v/>
      </c>
      <c r="G776" s="122" t="str">
        <f>IF(ISNUMBER(namespace_raw[[#This Row],[Column8]]), namespace_raw[[#This Row],[Column8]],"")</f>
        <v/>
      </c>
      <c r="H776" s="123" t="str">
        <f>IF(ISNUMBER(namespace_raw[[#This Row],[Column9]]), namespace_raw[[#This Row],[Column9]]/1048576,"")</f>
        <v/>
      </c>
      <c r="I776" s="124" t="str">
        <f>IF(ISNUMBER(namespace_raw[[#This Row],[Column8]]),MAX(G776, M776, O776, $I$2,IF(Q776&lt;&gt;"",VALUE(Q776),0)), "")</f>
        <v/>
      </c>
      <c r="J776" s="125" t="str">
        <f>IF(ISNUMBER(namespace_raw[[#This Row],[Column9]]),MAX(H776, N776, P776, $J$2,IF(R776&lt;&gt;"",VALUE(R776),0)),"")</f>
        <v/>
      </c>
      <c r="K776" s="166" t="str">
        <f>IF(ISNUMBER(namespace_raw[[#This Row],[Column12]]), namespace_raw[[#This Row],[Column12]],"")</f>
        <v/>
      </c>
      <c r="L776" s="167" t="str">
        <f>IF(ISNUMBER(namespace_raw[[#This Row],[Column13]]), namespace_raw[[#This Row],[Column13]]/1048576,"")</f>
        <v/>
      </c>
      <c r="M776" s="168" t="str">
        <f>IF(ISNUMBER(namespace_raw[[#This Row],[Column10]]), (namespace_raw[[#This Row],[Column10]]*(1+$M$2)),"")</f>
        <v/>
      </c>
      <c r="N776" s="167" t="str">
        <f>IF(ISNUMBER(namespace_raw[[#This Row],[Column11]]), (namespace_raw[[#This Row],[Column11]]*(1+$N$2))/1048576,"")</f>
        <v/>
      </c>
      <c r="O776" s="169" t="str">
        <f>IF(ISNUMBER(namespace_raw[[#This Row],[Column8]]), (E776  * $O$2),"")</f>
        <v/>
      </c>
      <c r="P776" s="170" t="str">
        <f>IF(ISNUMBER(namespace_raw[[#This Row],[Column8]]), (F776  * $P$2),"")</f>
        <v/>
      </c>
    </row>
    <row r="777" spans="1:16" ht="15" customHeight="1" x14ac:dyDescent="0.25">
      <c r="A777" s="32" t="str">
        <f>IF(ISNONTEXT(namespace_raw[[#This Row],[Column1]]), "", namespace_raw[[#This Row],[Column1]])</f>
        <v/>
      </c>
      <c r="B777" s="33" t="str">
        <f>IF(ISNONTEXT(namespace_raw[[#This Row],[Column2]]), "", namespace_raw[[#This Row],[Column2]])</f>
        <v/>
      </c>
      <c r="C777" s="94" t="str">
        <f>IF(ISNUMBER(namespace_raw[[#This Row],[Column4]]), namespace_raw[[#This Row],[Column4]], "")</f>
        <v/>
      </c>
      <c r="D777" s="95" t="str">
        <f>IF(ISNUMBER(namespace_raw[[#This Row],[Column5]]), namespace_raw[[#This Row],[Column5]]/1048576, "")</f>
        <v/>
      </c>
      <c r="E777" s="95" t="str">
        <f>IF(ISNUMBER(namespace_raw[[#This Row],[Column6]]), namespace_raw[[#This Row],[Column6]],"")</f>
        <v/>
      </c>
      <c r="F777" s="96" t="str">
        <f>IF(ISNUMBER(namespace_raw[[#This Row],[Column7]]), namespace_raw[[#This Row],[Column7]]/1048576,"")</f>
        <v/>
      </c>
      <c r="G777" s="122" t="str">
        <f>IF(ISNUMBER(namespace_raw[[#This Row],[Column8]]), namespace_raw[[#This Row],[Column8]],"")</f>
        <v/>
      </c>
      <c r="H777" s="123" t="str">
        <f>IF(ISNUMBER(namespace_raw[[#This Row],[Column9]]), namespace_raw[[#This Row],[Column9]]/1048576,"")</f>
        <v/>
      </c>
      <c r="I777" s="124" t="str">
        <f>IF(ISNUMBER(namespace_raw[[#This Row],[Column8]]),MAX(G777, M777, O777, $I$2,IF(Q777&lt;&gt;"",VALUE(Q777),0)), "")</f>
        <v/>
      </c>
      <c r="J777" s="125" t="str">
        <f>IF(ISNUMBER(namespace_raw[[#This Row],[Column9]]),MAX(H777, N777, P777, $J$2,IF(R777&lt;&gt;"",VALUE(R777),0)),"")</f>
        <v/>
      </c>
      <c r="K777" s="166" t="str">
        <f>IF(ISNUMBER(namespace_raw[[#This Row],[Column12]]), namespace_raw[[#This Row],[Column12]],"")</f>
        <v/>
      </c>
      <c r="L777" s="167" t="str">
        <f>IF(ISNUMBER(namespace_raw[[#This Row],[Column13]]), namespace_raw[[#This Row],[Column13]]/1048576,"")</f>
        <v/>
      </c>
      <c r="M777" s="168" t="str">
        <f>IF(ISNUMBER(namespace_raw[[#This Row],[Column10]]), (namespace_raw[[#This Row],[Column10]]*(1+$M$2)),"")</f>
        <v/>
      </c>
      <c r="N777" s="167" t="str">
        <f>IF(ISNUMBER(namespace_raw[[#This Row],[Column11]]), (namespace_raw[[#This Row],[Column11]]*(1+$N$2))/1048576,"")</f>
        <v/>
      </c>
      <c r="O777" s="169" t="str">
        <f>IF(ISNUMBER(namespace_raw[[#This Row],[Column8]]), (E777  * $O$2),"")</f>
        <v/>
      </c>
      <c r="P777" s="170" t="str">
        <f>IF(ISNUMBER(namespace_raw[[#This Row],[Column8]]), (F777  * $P$2),"")</f>
        <v/>
      </c>
    </row>
    <row r="778" spans="1:16" ht="15" customHeight="1" x14ac:dyDescent="0.25">
      <c r="A778" s="32" t="str">
        <f>IF(ISNONTEXT(namespace_raw[[#This Row],[Column1]]), "", namespace_raw[[#This Row],[Column1]])</f>
        <v/>
      </c>
      <c r="B778" s="33" t="str">
        <f>IF(ISNONTEXT(namespace_raw[[#This Row],[Column2]]), "", namespace_raw[[#This Row],[Column2]])</f>
        <v/>
      </c>
      <c r="C778" s="94" t="str">
        <f>IF(ISNUMBER(namespace_raw[[#This Row],[Column4]]), namespace_raw[[#This Row],[Column4]], "")</f>
        <v/>
      </c>
      <c r="D778" s="95" t="str">
        <f>IF(ISNUMBER(namespace_raw[[#This Row],[Column5]]), namespace_raw[[#This Row],[Column5]]/1048576, "")</f>
        <v/>
      </c>
      <c r="E778" s="95" t="str">
        <f>IF(ISNUMBER(namespace_raw[[#This Row],[Column6]]), namespace_raw[[#This Row],[Column6]],"")</f>
        <v/>
      </c>
      <c r="F778" s="96" t="str">
        <f>IF(ISNUMBER(namespace_raw[[#This Row],[Column7]]), namespace_raw[[#This Row],[Column7]]/1048576,"")</f>
        <v/>
      </c>
      <c r="G778" s="122" t="str">
        <f>IF(ISNUMBER(namespace_raw[[#This Row],[Column8]]), namespace_raw[[#This Row],[Column8]],"")</f>
        <v/>
      </c>
      <c r="H778" s="123" t="str">
        <f>IF(ISNUMBER(namespace_raw[[#This Row],[Column9]]), namespace_raw[[#This Row],[Column9]]/1048576,"")</f>
        <v/>
      </c>
      <c r="I778" s="124" t="str">
        <f>IF(ISNUMBER(namespace_raw[[#This Row],[Column8]]),MAX(G778, M778, O778, $I$2,IF(Q778&lt;&gt;"",VALUE(Q778),0)), "")</f>
        <v/>
      </c>
      <c r="J778" s="125" t="str">
        <f>IF(ISNUMBER(namespace_raw[[#This Row],[Column9]]),MAX(H778, N778, P778, $J$2,IF(R778&lt;&gt;"",VALUE(R778),0)),"")</f>
        <v/>
      </c>
      <c r="K778" s="166" t="str">
        <f>IF(ISNUMBER(namespace_raw[[#This Row],[Column12]]), namespace_raw[[#This Row],[Column12]],"")</f>
        <v/>
      </c>
      <c r="L778" s="167" t="str">
        <f>IF(ISNUMBER(namespace_raw[[#This Row],[Column13]]), namespace_raw[[#This Row],[Column13]]/1048576,"")</f>
        <v/>
      </c>
      <c r="M778" s="168" t="str">
        <f>IF(ISNUMBER(namespace_raw[[#This Row],[Column10]]), (namespace_raw[[#This Row],[Column10]]*(1+$M$2)),"")</f>
        <v/>
      </c>
      <c r="N778" s="167" t="str">
        <f>IF(ISNUMBER(namespace_raw[[#This Row],[Column11]]), (namespace_raw[[#This Row],[Column11]]*(1+$N$2))/1048576,"")</f>
        <v/>
      </c>
      <c r="O778" s="169" t="str">
        <f>IF(ISNUMBER(namespace_raw[[#This Row],[Column8]]), (E778  * $O$2),"")</f>
        <v/>
      </c>
      <c r="P778" s="170" t="str">
        <f>IF(ISNUMBER(namespace_raw[[#This Row],[Column8]]), (F778  * $P$2),"")</f>
        <v/>
      </c>
    </row>
    <row r="779" spans="1:16" ht="15" customHeight="1" x14ac:dyDescent="0.25">
      <c r="A779" s="32" t="str">
        <f>IF(ISNONTEXT(namespace_raw[[#This Row],[Column1]]), "", namespace_raw[[#This Row],[Column1]])</f>
        <v/>
      </c>
      <c r="B779" s="33" t="str">
        <f>IF(ISNONTEXT(namespace_raw[[#This Row],[Column2]]), "", namespace_raw[[#This Row],[Column2]])</f>
        <v/>
      </c>
      <c r="C779" s="94" t="str">
        <f>IF(ISNUMBER(namespace_raw[[#This Row],[Column4]]), namespace_raw[[#This Row],[Column4]], "")</f>
        <v/>
      </c>
      <c r="D779" s="95" t="str">
        <f>IF(ISNUMBER(namespace_raw[[#This Row],[Column5]]), namespace_raw[[#This Row],[Column5]]/1048576, "")</f>
        <v/>
      </c>
      <c r="E779" s="95" t="str">
        <f>IF(ISNUMBER(namespace_raw[[#This Row],[Column6]]), namespace_raw[[#This Row],[Column6]],"")</f>
        <v/>
      </c>
      <c r="F779" s="96" t="str">
        <f>IF(ISNUMBER(namespace_raw[[#This Row],[Column7]]), namespace_raw[[#This Row],[Column7]]/1048576,"")</f>
        <v/>
      </c>
      <c r="G779" s="122" t="str">
        <f>IF(ISNUMBER(namespace_raw[[#This Row],[Column8]]), namespace_raw[[#This Row],[Column8]],"")</f>
        <v/>
      </c>
      <c r="H779" s="123" t="str">
        <f>IF(ISNUMBER(namespace_raw[[#This Row],[Column9]]), namespace_raw[[#This Row],[Column9]]/1048576,"")</f>
        <v/>
      </c>
      <c r="I779" s="124" t="str">
        <f>IF(ISNUMBER(namespace_raw[[#This Row],[Column8]]),MAX(G779, M779, O779, $I$2,IF(Q779&lt;&gt;"",VALUE(Q779),0)), "")</f>
        <v/>
      </c>
      <c r="J779" s="125" t="str">
        <f>IF(ISNUMBER(namespace_raw[[#This Row],[Column9]]),MAX(H779, N779, P779, $J$2,IF(R779&lt;&gt;"",VALUE(R779),0)),"")</f>
        <v/>
      </c>
      <c r="K779" s="166" t="str">
        <f>IF(ISNUMBER(namespace_raw[[#This Row],[Column12]]), namespace_raw[[#This Row],[Column12]],"")</f>
        <v/>
      </c>
      <c r="L779" s="167" t="str">
        <f>IF(ISNUMBER(namespace_raw[[#This Row],[Column13]]), namespace_raw[[#This Row],[Column13]]/1048576,"")</f>
        <v/>
      </c>
      <c r="M779" s="168" t="str">
        <f>IF(ISNUMBER(namespace_raw[[#This Row],[Column10]]), (namespace_raw[[#This Row],[Column10]]*(1+$M$2)),"")</f>
        <v/>
      </c>
      <c r="N779" s="167" t="str">
        <f>IF(ISNUMBER(namespace_raw[[#This Row],[Column11]]), (namespace_raw[[#This Row],[Column11]]*(1+$N$2))/1048576,"")</f>
        <v/>
      </c>
      <c r="O779" s="169" t="str">
        <f>IF(ISNUMBER(namespace_raw[[#This Row],[Column8]]), (E779  * $O$2),"")</f>
        <v/>
      </c>
      <c r="P779" s="170" t="str">
        <f>IF(ISNUMBER(namespace_raw[[#This Row],[Column8]]), (F779  * $P$2),"")</f>
        <v/>
      </c>
    </row>
    <row r="780" spans="1:16" ht="15" customHeight="1" x14ac:dyDescent="0.25">
      <c r="A780" s="32" t="str">
        <f>IF(ISNONTEXT(namespace_raw[[#This Row],[Column1]]), "", namespace_raw[[#This Row],[Column1]])</f>
        <v/>
      </c>
      <c r="B780" s="33" t="str">
        <f>IF(ISNONTEXT(namespace_raw[[#This Row],[Column2]]), "", namespace_raw[[#This Row],[Column2]])</f>
        <v/>
      </c>
      <c r="C780" s="94" t="str">
        <f>IF(ISNUMBER(namespace_raw[[#This Row],[Column4]]), namespace_raw[[#This Row],[Column4]], "")</f>
        <v/>
      </c>
      <c r="D780" s="95" t="str">
        <f>IF(ISNUMBER(namespace_raw[[#This Row],[Column5]]), namespace_raw[[#This Row],[Column5]]/1048576, "")</f>
        <v/>
      </c>
      <c r="E780" s="95" t="str">
        <f>IF(ISNUMBER(namespace_raw[[#This Row],[Column6]]), namespace_raw[[#This Row],[Column6]],"")</f>
        <v/>
      </c>
      <c r="F780" s="96" t="str">
        <f>IF(ISNUMBER(namespace_raw[[#This Row],[Column7]]), namespace_raw[[#This Row],[Column7]]/1048576,"")</f>
        <v/>
      </c>
      <c r="G780" s="122" t="str">
        <f>IF(ISNUMBER(namespace_raw[[#This Row],[Column8]]), namespace_raw[[#This Row],[Column8]],"")</f>
        <v/>
      </c>
      <c r="H780" s="123" t="str">
        <f>IF(ISNUMBER(namespace_raw[[#This Row],[Column9]]), namespace_raw[[#This Row],[Column9]]/1048576,"")</f>
        <v/>
      </c>
      <c r="I780" s="124" t="str">
        <f>IF(ISNUMBER(namespace_raw[[#This Row],[Column8]]),MAX(G780, M780, O780, $I$2,IF(Q780&lt;&gt;"",VALUE(Q780),0)), "")</f>
        <v/>
      </c>
      <c r="J780" s="125" t="str">
        <f>IF(ISNUMBER(namespace_raw[[#This Row],[Column9]]),MAX(H780, N780, P780, $J$2,IF(R780&lt;&gt;"",VALUE(R780),0)),"")</f>
        <v/>
      </c>
      <c r="K780" s="166" t="str">
        <f>IF(ISNUMBER(namespace_raw[[#This Row],[Column12]]), namespace_raw[[#This Row],[Column12]],"")</f>
        <v/>
      </c>
      <c r="L780" s="167" t="str">
        <f>IF(ISNUMBER(namespace_raw[[#This Row],[Column13]]), namespace_raw[[#This Row],[Column13]]/1048576,"")</f>
        <v/>
      </c>
      <c r="M780" s="168" t="str">
        <f>IF(ISNUMBER(namespace_raw[[#This Row],[Column10]]), (namespace_raw[[#This Row],[Column10]]*(1+$M$2)),"")</f>
        <v/>
      </c>
      <c r="N780" s="167" t="str">
        <f>IF(ISNUMBER(namespace_raw[[#This Row],[Column11]]), (namespace_raw[[#This Row],[Column11]]*(1+$N$2))/1048576,"")</f>
        <v/>
      </c>
      <c r="O780" s="169" t="str">
        <f>IF(ISNUMBER(namespace_raw[[#This Row],[Column8]]), (E780  * $O$2),"")</f>
        <v/>
      </c>
      <c r="P780" s="170" t="str">
        <f>IF(ISNUMBER(namespace_raw[[#This Row],[Column8]]), (F780  * $P$2),"")</f>
        <v/>
      </c>
    </row>
    <row r="781" spans="1:16" ht="15" customHeight="1" x14ac:dyDescent="0.25">
      <c r="A781" s="32" t="str">
        <f>IF(ISNONTEXT(namespace_raw[[#This Row],[Column1]]), "", namespace_raw[[#This Row],[Column1]])</f>
        <v/>
      </c>
      <c r="B781" s="33" t="str">
        <f>IF(ISNONTEXT(namespace_raw[[#This Row],[Column2]]), "", namespace_raw[[#This Row],[Column2]])</f>
        <v/>
      </c>
      <c r="C781" s="94" t="str">
        <f>IF(ISNUMBER(namespace_raw[[#This Row],[Column4]]), namespace_raw[[#This Row],[Column4]], "")</f>
        <v/>
      </c>
      <c r="D781" s="95" t="str">
        <f>IF(ISNUMBER(namespace_raw[[#This Row],[Column5]]), namespace_raw[[#This Row],[Column5]]/1048576, "")</f>
        <v/>
      </c>
      <c r="E781" s="95" t="str">
        <f>IF(ISNUMBER(namespace_raw[[#This Row],[Column6]]), namespace_raw[[#This Row],[Column6]],"")</f>
        <v/>
      </c>
      <c r="F781" s="96" t="str">
        <f>IF(ISNUMBER(namespace_raw[[#This Row],[Column7]]), namespace_raw[[#This Row],[Column7]]/1048576,"")</f>
        <v/>
      </c>
      <c r="G781" s="122" t="str">
        <f>IF(ISNUMBER(namespace_raw[[#This Row],[Column8]]), namespace_raw[[#This Row],[Column8]],"")</f>
        <v/>
      </c>
      <c r="H781" s="123" t="str">
        <f>IF(ISNUMBER(namespace_raw[[#This Row],[Column9]]), namespace_raw[[#This Row],[Column9]]/1048576,"")</f>
        <v/>
      </c>
      <c r="I781" s="124" t="str">
        <f>IF(ISNUMBER(namespace_raw[[#This Row],[Column8]]),MAX(G781, M781, O781, $I$2,IF(Q781&lt;&gt;"",VALUE(Q781),0)), "")</f>
        <v/>
      </c>
      <c r="J781" s="125" t="str">
        <f>IF(ISNUMBER(namespace_raw[[#This Row],[Column9]]),MAX(H781, N781, P781, $J$2,IF(R781&lt;&gt;"",VALUE(R781),0)),"")</f>
        <v/>
      </c>
      <c r="K781" s="166" t="str">
        <f>IF(ISNUMBER(namespace_raw[[#This Row],[Column12]]), namespace_raw[[#This Row],[Column12]],"")</f>
        <v/>
      </c>
      <c r="L781" s="167" t="str">
        <f>IF(ISNUMBER(namespace_raw[[#This Row],[Column13]]), namespace_raw[[#This Row],[Column13]]/1048576,"")</f>
        <v/>
      </c>
      <c r="M781" s="168" t="str">
        <f>IF(ISNUMBER(namespace_raw[[#This Row],[Column10]]), (namespace_raw[[#This Row],[Column10]]*(1+$M$2)),"")</f>
        <v/>
      </c>
      <c r="N781" s="167" t="str">
        <f>IF(ISNUMBER(namespace_raw[[#This Row],[Column11]]), (namespace_raw[[#This Row],[Column11]]*(1+$N$2))/1048576,"")</f>
        <v/>
      </c>
      <c r="O781" s="169" t="str">
        <f>IF(ISNUMBER(namespace_raw[[#This Row],[Column8]]), (E781  * $O$2),"")</f>
        <v/>
      </c>
      <c r="P781" s="170" t="str">
        <f>IF(ISNUMBER(namespace_raw[[#This Row],[Column8]]), (F781  * $P$2),"")</f>
        <v/>
      </c>
    </row>
    <row r="782" spans="1:16" ht="15" customHeight="1" x14ac:dyDescent="0.25">
      <c r="A782" s="32" t="str">
        <f>IF(ISNONTEXT(namespace_raw[[#This Row],[Column1]]), "", namespace_raw[[#This Row],[Column1]])</f>
        <v/>
      </c>
      <c r="B782" s="33" t="str">
        <f>IF(ISNONTEXT(namespace_raw[[#This Row],[Column2]]), "", namespace_raw[[#This Row],[Column2]])</f>
        <v/>
      </c>
      <c r="C782" s="94" t="str">
        <f>IF(ISNUMBER(namespace_raw[[#This Row],[Column4]]), namespace_raw[[#This Row],[Column4]], "")</f>
        <v/>
      </c>
      <c r="D782" s="95" t="str">
        <f>IF(ISNUMBER(namespace_raw[[#This Row],[Column5]]), namespace_raw[[#This Row],[Column5]]/1048576, "")</f>
        <v/>
      </c>
      <c r="E782" s="95" t="str">
        <f>IF(ISNUMBER(namespace_raw[[#This Row],[Column6]]), namespace_raw[[#This Row],[Column6]],"")</f>
        <v/>
      </c>
      <c r="F782" s="96" t="str">
        <f>IF(ISNUMBER(namespace_raw[[#This Row],[Column7]]), namespace_raw[[#This Row],[Column7]]/1048576,"")</f>
        <v/>
      </c>
      <c r="G782" s="122" t="str">
        <f>IF(ISNUMBER(namespace_raw[[#This Row],[Column8]]), namespace_raw[[#This Row],[Column8]],"")</f>
        <v/>
      </c>
      <c r="H782" s="123" t="str">
        <f>IF(ISNUMBER(namespace_raw[[#This Row],[Column9]]), namespace_raw[[#This Row],[Column9]]/1048576,"")</f>
        <v/>
      </c>
      <c r="I782" s="124" t="str">
        <f>IF(ISNUMBER(namespace_raw[[#This Row],[Column8]]),MAX(G782, M782, O782, $I$2,IF(Q782&lt;&gt;"",VALUE(Q782),0)), "")</f>
        <v/>
      </c>
      <c r="J782" s="125" t="str">
        <f>IF(ISNUMBER(namespace_raw[[#This Row],[Column9]]),MAX(H782, N782, P782, $J$2,IF(R782&lt;&gt;"",VALUE(R782),0)),"")</f>
        <v/>
      </c>
      <c r="K782" s="166" t="str">
        <f>IF(ISNUMBER(namespace_raw[[#This Row],[Column12]]), namespace_raw[[#This Row],[Column12]],"")</f>
        <v/>
      </c>
      <c r="L782" s="167" t="str">
        <f>IF(ISNUMBER(namespace_raw[[#This Row],[Column13]]), namespace_raw[[#This Row],[Column13]]/1048576,"")</f>
        <v/>
      </c>
      <c r="M782" s="168" t="str">
        <f>IF(ISNUMBER(namespace_raw[[#This Row],[Column10]]), (namespace_raw[[#This Row],[Column10]]*(1+$M$2)),"")</f>
        <v/>
      </c>
      <c r="N782" s="167" t="str">
        <f>IF(ISNUMBER(namespace_raw[[#This Row],[Column11]]), (namespace_raw[[#This Row],[Column11]]*(1+$N$2))/1048576,"")</f>
        <v/>
      </c>
      <c r="O782" s="169" t="str">
        <f>IF(ISNUMBER(namespace_raw[[#This Row],[Column8]]), (E782  * $O$2),"")</f>
        <v/>
      </c>
      <c r="P782" s="170" t="str">
        <f>IF(ISNUMBER(namespace_raw[[#This Row],[Column8]]), (F782  * $P$2),"")</f>
        <v/>
      </c>
    </row>
    <row r="783" spans="1:16" ht="15" customHeight="1" x14ac:dyDescent="0.25">
      <c r="A783" s="32" t="str">
        <f>IF(ISNONTEXT(namespace_raw[[#This Row],[Column1]]), "", namespace_raw[[#This Row],[Column1]])</f>
        <v/>
      </c>
      <c r="B783" s="33" t="str">
        <f>IF(ISNONTEXT(namespace_raw[[#This Row],[Column2]]), "", namespace_raw[[#This Row],[Column2]])</f>
        <v/>
      </c>
      <c r="C783" s="94" t="str">
        <f>IF(ISNUMBER(namespace_raw[[#This Row],[Column4]]), namespace_raw[[#This Row],[Column4]], "")</f>
        <v/>
      </c>
      <c r="D783" s="95" t="str">
        <f>IF(ISNUMBER(namespace_raw[[#This Row],[Column5]]), namespace_raw[[#This Row],[Column5]]/1048576, "")</f>
        <v/>
      </c>
      <c r="E783" s="95" t="str">
        <f>IF(ISNUMBER(namespace_raw[[#This Row],[Column6]]), namespace_raw[[#This Row],[Column6]],"")</f>
        <v/>
      </c>
      <c r="F783" s="96" t="str">
        <f>IF(ISNUMBER(namespace_raw[[#This Row],[Column7]]), namespace_raw[[#This Row],[Column7]]/1048576,"")</f>
        <v/>
      </c>
      <c r="G783" s="122" t="str">
        <f>IF(ISNUMBER(namespace_raw[[#This Row],[Column8]]), namespace_raw[[#This Row],[Column8]],"")</f>
        <v/>
      </c>
      <c r="H783" s="123" t="str">
        <f>IF(ISNUMBER(namespace_raw[[#This Row],[Column9]]), namespace_raw[[#This Row],[Column9]]/1048576,"")</f>
        <v/>
      </c>
      <c r="I783" s="124" t="str">
        <f>IF(ISNUMBER(namespace_raw[[#This Row],[Column8]]),MAX(G783, M783, O783, $I$2,IF(Q783&lt;&gt;"",VALUE(Q783),0)), "")</f>
        <v/>
      </c>
      <c r="J783" s="125" t="str">
        <f>IF(ISNUMBER(namespace_raw[[#This Row],[Column9]]),MAX(H783, N783, P783, $J$2,IF(R783&lt;&gt;"",VALUE(R783),0)),"")</f>
        <v/>
      </c>
      <c r="K783" s="166" t="str">
        <f>IF(ISNUMBER(namespace_raw[[#This Row],[Column12]]), namespace_raw[[#This Row],[Column12]],"")</f>
        <v/>
      </c>
      <c r="L783" s="167" t="str">
        <f>IF(ISNUMBER(namespace_raw[[#This Row],[Column13]]), namespace_raw[[#This Row],[Column13]]/1048576,"")</f>
        <v/>
      </c>
      <c r="M783" s="168" t="str">
        <f>IF(ISNUMBER(namespace_raw[[#This Row],[Column10]]), (namespace_raw[[#This Row],[Column10]]*(1+$M$2)),"")</f>
        <v/>
      </c>
      <c r="N783" s="167" t="str">
        <f>IF(ISNUMBER(namespace_raw[[#This Row],[Column11]]), (namespace_raw[[#This Row],[Column11]]*(1+$N$2))/1048576,"")</f>
        <v/>
      </c>
      <c r="O783" s="169" t="str">
        <f>IF(ISNUMBER(namespace_raw[[#This Row],[Column8]]), (E783  * $O$2),"")</f>
        <v/>
      </c>
      <c r="P783" s="170" t="str">
        <f>IF(ISNUMBER(namespace_raw[[#This Row],[Column8]]), (F783  * $P$2),"")</f>
        <v/>
      </c>
    </row>
    <row r="784" spans="1:16" ht="15" customHeight="1" x14ac:dyDescent="0.25">
      <c r="A784" s="32" t="str">
        <f>IF(ISNONTEXT(namespace_raw[[#This Row],[Column1]]), "", namespace_raw[[#This Row],[Column1]])</f>
        <v/>
      </c>
      <c r="B784" s="33" t="str">
        <f>IF(ISNONTEXT(namespace_raw[[#This Row],[Column2]]), "", namespace_raw[[#This Row],[Column2]])</f>
        <v/>
      </c>
      <c r="C784" s="94" t="str">
        <f>IF(ISNUMBER(namespace_raw[[#This Row],[Column4]]), namespace_raw[[#This Row],[Column4]], "")</f>
        <v/>
      </c>
      <c r="D784" s="95" t="str">
        <f>IF(ISNUMBER(namespace_raw[[#This Row],[Column5]]), namespace_raw[[#This Row],[Column5]]/1048576, "")</f>
        <v/>
      </c>
      <c r="E784" s="95" t="str">
        <f>IF(ISNUMBER(namespace_raw[[#This Row],[Column6]]), namespace_raw[[#This Row],[Column6]],"")</f>
        <v/>
      </c>
      <c r="F784" s="96" t="str">
        <f>IF(ISNUMBER(namespace_raw[[#This Row],[Column7]]), namespace_raw[[#This Row],[Column7]]/1048576,"")</f>
        <v/>
      </c>
      <c r="G784" s="122" t="str">
        <f>IF(ISNUMBER(namespace_raw[[#This Row],[Column8]]), namespace_raw[[#This Row],[Column8]],"")</f>
        <v/>
      </c>
      <c r="H784" s="123" t="str">
        <f>IF(ISNUMBER(namespace_raw[[#This Row],[Column9]]), namespace_raw[[#This Row],[Column9]]/1048576,"")</f>
        <v/>
      </c>
      <c r="I784" s="124" t="str">
        <f>IF(ISNUMBER(namespace_raw[[#This Row],[Column8]]),MAX(G784, M784, O784, $I$2,IF(Q784&lt;&gt;"",VALUE(Q784),0)), "")</f>
        <v/>
      </c>
      <c r="J784" s="125" t="str">
        <f>IF(ISNUMBER(namespace_raw[[#This Row],[Column9]]),MAX(H784, N784, P784, $J$2,IF(R784&lt;&gt;"",VALUE(R784),0)),"")</f>
        <v/>
      </c>
      <c r="K784" s="166" t="str">
        <f>IF(ISNUMBER(namespace_raw[[#This Row],[Column12]]), namespace_raw[[#This Row],[Column12]],"")</f>
        <v/>
      </c>
      <c r="L784" s="167" t="str">
        <f>IF(ISNUMBER(namespace_raw[[#This Row],[Column13]]), namespace_raw[[#This Row],[Column13]]/1048576,"")</f>
        <v/>
      </c>
      <c r="M784" s="168" t="str">
        <f>IF(ISNUMBER(namespace_raw[[#This Row],[Column10]]), (namespace_raw[[#This Row],[Column10]]*(1+$M$2)),"")</f>
        <v/>
      </c>
      <c r="N784" s="167" t="str">
        <f>IF(ISNUMBER(namespace_raw[[#This Row],[Column11]]), (namespace_raw[[#This Row],[Column11]]*(1+$N$2))/1048576,"")</f>
        <v/>
      </c>
      <c r="O784" s="169" t="str">
        <f>IF(ISNUMBER(namespace_raw[[#This Row],[Column8]]), (E784  * $O$2),"")</f>
        <v/>
      </c>
      <c r="P784" s="170" t="str">
        <f>IF(ISNUMBER(namespace_raw[[#This Row],[Column8]]), (F784  * $P$2),"")</f>
        <v/>
      </c>
    </row>
    <row r="785" spans="1:16" ht="15" customHeight="1" x14ac:dyDescent="0.25">
      <c r="A785" s="32" t="str">
        <f>IF(ISNONTEXT(namespace_raw[[#This Row],[Column1]]), "", namespace_raw[[#This Row],[Column1]])</f>
        <v/>
      </c>
      <c r="B785" s="33" t="str">
        <f>IF(ISNONTEXT(namespace_raw[[#This Row],[Column2]]), "", namespace_raw[[#This Row],[Column2]])</f>
        <v/>
      </c>
      <c r="C785" s="94" t="str">
        <f>IF(ISNUMBER(namespace_raw[[#This Row],[Column4]]), namespace_raw[[#This Row],[Column4]], "")</f>
        <v/>
      </c>
      <c r="D785" s="95" t="str">
        <f>IF(ISNUMBER(namespace_raw[[#This Row],[Column5]]), namespace_raw[[#This Row],[Column5]]/1048576, "")</f>
        <v/>
      </c>
      <c r="E785" s="95" t="str">
        <f>IF(ISNUMBER(namespace_raw[[#This Row],[Column6]]), namespace_raw[[#This Row],[Column6]],"")</f>
        <v/>
      </c>
      <c r="F785" s="96" t="str">
        <f>IF(ISNUMBER(namespace_raw[[#This Row],[Column7]]), namespace_raw[[#This Row],[Column7]]/1048576,"")</f>
        <v/>
      </c>
      <c r="G785" s="122" t="str">
        <f>IF(ISNUMBER(namespace_raw[[#This Row],[Column8]]), namespace_raw[[#This Row],[Column8]],"")</f>
        <v/>
      </c>
      <c r="H785" s="123" t="str">
        <f>IF(ISNUMBER(namespace_raw[[#This Row],[Column9]]), namespace_raw[[#This Row],[Column9]]/1048576,"")</f>
        <v/>
      </c>
      <c r="I785" s="124" t="str">
        <f>IF(ISNUMBER(namespace_raw[[#This Row],[Column8]]),MAX(G785, M785, O785, $I$2,IF(Q785&lt;&gt;"",VALUE(Q785),0)), "")</f>
        <v/>
      </c>
      <c r="J785" s="125" t="str">
        <f>IF(ISNUMBER(namespace_raw[[#This Row],[Column9]]),MAX(H785, N785, P785, $J$2,IF(R785&lt;&gt;"",VALUE(R785),0)),"")</f>
        <v/>
      </c>
      <c r="K785" s="166" t="str">
        <f>IF(ISNUMBER(namespace_raw[[#This Row],[Column12]]), namespace_raw[[#This Row],[Column12]],"")</f>
        <v/>
      </c>
      <c r="L785" s="167" t="str">
        <f>IF(ISNUMBER(namespace_raw[[#This Row],[Column13]]), namespace_raw[[#This Row],[Column13]]/1048576,"")</f>
        <v/>
      </c>
      <c r="M785" s="168" t="str">
        <f>IF(ISNUMBER(namespace_raw[[#This Row],[Column10]]), (namespace_raw[[#This Row],[Column10]]*(1+$M$2)),"")</f>
        <v/>
      </c>
      <c r="N785" s="167" t="str">
        <f>IF(ISNUMBER(namespace_raw[[#This Row],[Column11]]), (namespace_raw[[#This Row],[Column11]]*(1+$N$2))/1048576,"")</f>
        <v/>
      </c>
      <c r="O785" s="169" t="str">
        <f>IF(ISNUMBER(namespace_raw[[#This Row],[Column8]]), (E785  * $O$2),"")</f>
        <v/>
      </c>
      <c r="P785" s="170" t="str">
        <f>IF(ISNUMBER(namespace_raw[[#This Row],[Column8]]), (F785  * $P$2),"")</f>
        <v/>
      </c>
    </row>
    <row r="786" spans="1:16" ht="15" customHeight="1" x14ac:dyDescent="0.25">
      <c r="A786" s="32" t="str">
        <f>IF(ISNONTEXT(namespace_raw[[#This Row],[Column1]]), "", namespace_raw[[#This Row],[Column1]])</f>
        <v/>
      </c>
      <c r="B786" s="33" t="str">
        <f>IF(ISNONTEXT(namespace_raw[[#This Row],[Column2]]), "", namespace_raw[[#This Row],[Column2]])</f>
        <v/>
      </c>
      <c r="C786" s="94" t="str">
        <f>IF(ISNUMBER(namespace_raw[[#This Row],[Column4]]), namespace_raw[[#This Row],[Column4]], "")</f>
        <v/>
      </c>
      <c r="D786" s="95" t="str">
        <f>IF(ISNUMBER(namespace_raw[[#This Row],[Column5]]), namespace_raw[[#This Row],[Column5]]/1048576, "")</f>
        <v/>
      </c>
      <c r="E786" s="95" t="str">
        <f>IF(ISNUMBER(namespace_raw[[#This Row],[Column6]]), namespace_raw[[#This Row],[Column6]],"")</f>
        <v/>
      </c>
      <c r="F786" s="96" t="str">
        <f>IF(ISNUMBER(namespace_raw[[#This Row],[Column7]]), namespace_raw[[#This Row],[Column7]]/1048576,"")</f>
        <v/>
      </c>
      <c r="G786" s="122" t="str">
        <f>IF(ISNUMBER(namespace_raw[[#This Row],[Column8]]), namespace_raw[[#This Row],[Column8]],"")</f>
        <v/>
      </c>
      <c r="H786" s="123" t="str">
        <f>IF(ISNUMBER(namespace_raw[[#This Row],[Column9]]), namespace_raw[[#This Row],[Column9]]/1048576,"")</f>
        <v/>
      </c>
      <c r="I786" s="124" t="str">
        <f>IF(ISNUMBER(namespace_raw[[#This Row],[Column8]]),MAX(G786, M786, O786, $I$2,IF(Q786&lt;&gt;"",VALUE(Q786),0)), "")</f>
        <v/>
      </c>
      <c r="J786" s="125" t="str">
        <f>IF(ISNUMBER(namespace_raw[[#This Row],[Column9]]),MAX(H786, N786, P786, $J$2,IF(R786&lt;&gt;"",VALUE(R786),0)),"")</f>
        <v/>
      </c>
      <c r="K786" s="166" t="str">
        <f>IF(ISNUMBER(namespace_raw[[#This Row],[Column12]]), namespace_raw[[#This Row],[Column12]],"")</f>
        <v/>
      </c>
      <c r="L786" s="167" t="str">
        <f>IF(ISNUMBER(namespace_raw[[#This Row],[Column13]]), namespace_raw[[#This Row],[Column13]]/1048576,"")</f>
        <v/>
      </c>
      <c r="M786" s="168" t="str">
        <f>IF(ISNUMBER(namespace_raw[[#This Row],[Column10]]), (namespace_raw[[#This Row],[Column10]]*(1+$M$2)),"")</f>
        <v/>
      </c>
      <c r="N786" s="167" t="str">
        <f>IF(ISNUMBER(namespace_raw[[#This Row],[Column11]]), (namespace_raw[[#This Row],[Column11]]*(1+$N$2))/1048576,"")</f>
        <v/>
      </c>
      <c r="O786" s="169" t="str">
        <f>IF(ISNUMBER(namespace_raw[[#This Row],[Column8]]), (E786  * $O$2),"")</f>
        <v/>
      </c>
      <c r="P786" s="170" t="str">
        <f>IF(ISNUMBER(namespace_raw[[#This Row],[Column8]]), (F786  * $P$2),"")</f>
        <v/>
      </c>
    </row>
    <row r="787" spans="1:16" ht="15" customHeight="1" x14ac:dyDescent="0.25">
      <c r="A787" s="32" t="str">
        <f>IF(ISNONTEXT(namespace_raw[[#This Row],[Column1]]), "", namespace_raw[[#This Row],[Column1]])</f>
        <v/>
      </c>
      <c r="B787" s="33" t="str">
        <f>IF(ISNONTEXT(namespace_raw[[#This Row],[Column2]]), "", namespace_raw[[#This Row],[Column2]])</f>
        <v/>
      </c>
      <c r="C787" s="94" t="str">
        <f>IF(ISNUMBER(namespace_raw[[#This Row],[Column4]]), namespace_raw[[#This Row],[Column4]], "")</f>
        <v/>
      </c>
      <c r="D787" s="95" t="str">
        <f>IF(ISNUMBER(namespace_raw[[#This Row],[Column5]]), namespace_raw[[#This Row],[Column5]]/1048576, "")</f>
        <v/>
      </c>
      <c r="E787" s="95" t="str">
        <f>IF(ISNUMBER(namespace_raw[[#This Row],[Column6]]), namespace_raw[[#This Row],[Column6]],"")</f>
        <v/>
      </c>
      <c r="F787" s="96" t="str">
        <f>IF(ISNUMBER(namespace_raw[[#This Row],[Column7]]), namespace_raw[[#This Row],[Column7]]/1048576,"")</f>
        <v/>
      </c>
      <c r="G787" s="122" t="str">
        <f>IF(ISNUMBER(namespace_raw[[#This Row],[Column8]]), namespace_raw[[#This Row],[Column8]],"")</f>
        <v/>
      </c>
      <c r="H787" s="123" t="str">
        <f>IF(ISNUMBER(namespace_raw[[#This Row],[Column9]]), namespace_raw[[#This Row],[Column9]]/1048576,"")</f>
        <v/>
      </c>
      <c r="I787" s="124" t="str">
        <f>IF(ISNUMBER(namespace_raw[[#This Row],[Column8]]),MAX(G787, M787, O787, $I$2,IF(Q787&lt;&gt;"",VALUE(Q787),0)), "")</f>
        <v/>
      </c>
      <c r="J787" s="125" t="str">
        <f>IF(ISNUMBER(namespace_raw[[#This Row],[Column9]]),MAX(H787, N787, P787, $J$2,IF(R787&lt;&gt;"",VALUE(R787),0)),"")</f>
        <v/>
      </c>
      <c r="K787" s="166" t="str">
        <f>IF(ISNUMBER(namespace_raw[[#This Row],[Column12]]), namespace_raw[[#This Row],[Column12]],"")</f>
        <v/>
      </c>
      <c r="L787" s="167" t="str">
        <f>IF(ISNUMBER(namespace_raw[[#This Row],[Column13]]), namespace_raw[[#This Row],[Column13]]/1048576,"")</f>
        <v/>
      </c>
      <c r="M787" s="168" t="str">
        <f>IF(ISNUMBER(namespace_raw[[#This Row],[Column10]]), (namespace_raw[[#This Row],[Column10]]*(1+$M$2)),"")</f>
        <v/>
      </c>
      <c r="N787" s="167" t="str">
        <f>IF(ISNUMBER(namespace_raw[[#This Row],[Column11]]), (namespace_raw[[#This Row],[Column11]]*(1+$N$2))/1048576,"")</f>
        <v/>
      </c>
      <c r="O787" s="169" t="str">
        <f>IF(ISNUMBER(namespace_raw[[#This Row],[Column8]]), (E787  * $O$2),"")</f>
        <v/>
      </c>
      <c r="P787" s="170" t="str">
        <f>IF(ISNUMBER(namespace_raw[[#This Row],[Column8]]), (F787  * $P$2),"")</f>
        <v/>
      </c>
    </row>
    <row r="788" spans="1:16" ht="15" customHeight="1" x14ac:dyDescent="0.25">
      <c r="A788" s="32" t="str">
        <f>IF(ISNONTEXT(namespace_raw[[#This Row],[Column1]]), "", namespace_raw[[#This Row],[Column1]])</f>
        <v/>
      </c>
      <c r="B788" s="33" t="str">
        <f>IF(ISNONTEXT(namespace_raw[[#This Row],[Column2]]), "", namespace_raw[[#This Row],[Column2]])</f>
        <v/>
      </c>
      <c r="C788" s="94" t="str">
        <f>IF(ISNUMBER(namespace_raw[[#This Row],[Column4]]), namespace_raw[[#This Row],[Column4]], "")</f>
        <v/>
      </c>
      <c r="D788" s="95" t="str">
        <f>IF(ISNUMBER(namespace_raw[[#This Row],[Column5]]), namespace_raw[[#This Row],[Column5]]/1048576, "")</f>
        <v/>
      </c>
      <c r="E788" s="95" t="str">
        <f>IF(ISNUMBER(namespace_raw[[#This Row],[Column6]]), namespace_raw[[#This Row],[Column6]],"")</f>
        <v/>
      </c>
      <c r="F788" s="96" t="str">
        <f>IF(ISNUMBER(namespace_raw[[#This Row],[Column7]]), namespace_raw[[#This Row],[Column7]]/1048576,"")</f>
        <v/>
      </c>
      <c r="G788" s="122" t="str">
        <f>IF(ISNUMBER(namespace_raw[[#This Row],[Column8]]), namespace_raw[[#This Row],[Column8]],"")</f>
        <v/>
      </c>
      <c r="H788" s="123" t="str">
        <f>IF(ISNUMBER(namespace_raw[[#This Row],[Column9]]), namespace_raw[[#This Row],[Column9]]/1048576,"")</f>
        <v/>
      </c>
      <c r="I788" s="124" t="str">
        <f>IF(ISNUMBER(namespace_raw[[#This Row],[Column8]]),MAX(G788, M788, O788, $I$2,IF(Q788&lt;&gt;"",VALUE(Q788),0)), "")</f>
        <v/>
      </c>
      <c r="J788" s="125" t="str">
        <f>IF(ISNUMBER(namespace_raw[[#This Row],[Column9]]),MAX(H788, N788, P788, $J$2,IF(R788&lt;&gt;"",VALUE(R788),0)),"")</f>
        <v/>
      </c>
      <c r="K788" s="166" t="str">
        <f>IF(ISNUMBER(namespace_raw[[#This Row],[Column12]]), namespace_raw[[#This Row],[Column12]],"")</f>
        <v/>
      </c>
      <c r="L788" s="167" t="str">
        <f>IF(ISNUMBER(namespace_raw[[#This Row],[Column13]]), namespace_raw[[#This Row],[Column13]]/1048576,"")</f>
        <v/>
      </c>
      <c r="M788" s="168" t="str">
        <f>IF(ISNUMBER(namespace_raw[[#This Row],[Column10]]), (namespace_raw[[#This Row],[Column10]]*(1+$M$2)),"")</f>
        <v/>
      </c>
      <c r="N788" s="167" t="str">
        <f>IF(ISNUMBER(namespace_raw[[#This Row],[Column11]]), (namespace_raw[[#This Row],[Column11]]*(1+$N$2))/1048576,"")</f>
        <v/>
      </c>
      <c r="O788" s="169" t="str">
        <f>IF(ISNUMBER(namespace_raw[[#This Row],[Column8]]), (E788  * $O$2),"")</f>
        <v/>
      </c>
      <c r="P788" s="170" t="str">
        <f>IF(ISNUMBER(namespace_raw[[#This Row],[Column8]]), (F788  * $P$2),"")</f>
        <v/>
      </c>
    </row>
    <row r="789" spans="1:16" ht="15" customHeight="1" x14ac:dyDescent="0.25">
      <c r="A789" s="32" t="str">
        <f>IF(ISNONTEXT(namespace_raw[[#This Row],[Column1]]), "", namespace_raw[[#This Row],[Column1]])</f>
        <v/>
      </c>
      <c r="B789" s="33" t="str">
        <f>IF(ISNONTEXT(namespace_raw[[#This Row],[Column2]]), "", namespace_raw[[#This Row],[Column2]])</f>
        <v/>
      </c>
      <c r="C789" s="94" t="str">
        <f>IF(ISNUMBER(namespace_raw[[#This Row],[Column4]]), namespace_raw[[#This Row],[Column4]], "")</f>
        <v/>
      </c>
      <c r="D789" s="95" t="str">
        <f>IF(ISNUMBER(namespace_raw[[#This Row],[Column5]]), namespace_raw[[#This Row],[Column5]]/1048576, "")</f>
        <v/>
      </c>
      <c r="E789" s="95" t="str">
        <f>IF(ISNUMBER(namespace_raw[[#This Row],[Column6]]), namespace_raw[[#This Row],[Column6]],"")</f>
        <v/>
      </c>
      <c r="F789" s="96" t="str">
        <f>IF(ISNUMBER(namespace_raw[[#This Row],[Column7]]), namespace_raw[[#This Row],[Column7]]/1048576,"")</f>
        <v/>
      </c>
      <c r="G789" s="122" t="str">
        <f>IF(ISNUMBER(namespace_raw[[#This Row],[Column8]]), namespace_raw[[#This Row],[Column8]],"")</f>
        <v/>
      </c>
      <c r="H789" s="123" t="str">
        <f>IF(ISNUMBER(namespace_raw[[#This Row],[Column9]]), namespace_raw[[#This Row],[Column9]]/1048576,"")</f>
        <v/>
      </c>
      <c r="I789" s="124" t="str">
        <f>IF(ISNUMBER(namespace_raw[[#This Row],[Column8]]),MAX(G789, M789, O789, $I$2,IF(Q789&lt;&gt;"",VALUE(Q789),0)), "")</f>
        <v/>
      </c>
      <c r="J789" s="125" t="str">
        <f>IF(ISNUMBER(namespace_raw[[#This Row],[Column9]]),MAX(H789, N789, P789, $J$2,IF(R789&lt;&gt;"",VALUE(R789),0)),"")</f>
        <v/>
      </c>
      <c r="K789" s="166" t="str">
        <f>IF(ISNUMBER(namespace_raw[[#This Row],[Column12]]), namespace_raw[[#This Row],[Column12]],"")</f>
        <v/>
      </c>
      <c r="L789" s="167" t="str">
        <f>IF(ISNUMBER(namespace_raw[[#This Row],[Column13]]), namespace_raw[[#This Row],[Column13]]/1048576,"")</f>
        <v/>
      </c>
      <c r="M789" s="168" t="str">
        <f>IF(ISNUMBER(namespace_raw[[#This Row],[Column10]]), (namespace_raw[[#This Row],[Column10]]*(1+$M$2)),"")</f>
        <v/>
      </c>
      <c r="N789" s="167" t="str">
        <f>IF(ISNUMBER(namespace_raw[[#This Row],[Column11]]), (namespace_raw[[#This Row],[Column11]]*(1+$N$2))/1048576,"")</f>
        <v/>
      </c>
      <c r="O789" s="169" t="str">
        <f>IF(ISNUMBER(namespace_raw[[#This Row],[Column8]]), (E789  * $O$2),"")</f>
        <v/>
      </c>
      <c r="P789" s="170" t="str">
        <f>IF(ISNUMBER(namespace_raw[[#This Row],[Column8]]), (F789  * $P$2),"")</f>
        <v/>
      </c>
    </row>
    <row r="790" spans="1:16" ht="15" customHeight="1" x14ac:dyDescent="0.25">
      <c r="A790" s="32" t="str">
        <f>IF(ISNONTEXT(namespace_raw[[#This Row],[Column1]]), "", namespace_raw[[#This Row],[Column1]])</f>
        <v/>
      </c>
      <c r="B790" s="33" t="str">
        <f>IF(ISNONTEXT(namespace_raw[[#This Row],[Column2]]), "", namespace_raw[[#This Row],[Column2]])</f>
        <v/>
      </c>
      <c r="C790" s="94" t="str">
        <f>IF(ISNUMBER(namespace_raw[[#This Row],[Column4]]), namespace_raw[[#This Row],[Column4]], "")</f>
        <v/>
      </c>
      <c r="D790" s="95" t="str">
        <f>IF(ISNUMBER(namespace_raw[[#This Row],[Column5]]), namespace_raw[[#This Row],[Column5]]/1048576, "")</f>
        <v/>
      </c>
      <c r="E790" s="95" t="str">
        <f>IF(ISNUMBER(namespace_raw[[#This Row],[Column6]]), namespace_raw[[#This Row],[Column6]],"")</f>
        <v/>
      </c>
      <c r="F790" s="96" t="str">
        <f>IF(ISNUMBER(namespace_raw[[#This Row],[Column7]]), namespace_raw[[#This Row],[Column7]]/1048576,"")</f>
        <v/>
      </c>
      <c r="G790" s="122" t="str">
        <f>IF(ISNUMBER(namespace_raw[[#This Row],[Column8]]), namespace_raw[[#This Row],[Column8]],"")</f>
        <v/>
      </c>
      <c r="H790" s="123" t="str">
        <f>IF(ISNUMBER(namespace_raw[[#This Row],[Column9]]), namespace_raw[[#This Row],[Column9]]/1048576,"")</f>
        <v/>
      </c>
      <c r="I790" s="124" t="str">
        <f>IF(ISNUMBER(namespace_raw[[#This Row],[Column8]]),MAX(G790, M790, O790, $I$2,IF(Q790&lt;&gt;"",VALUE(Q790),0)), "")</f>
        <v/>
      </c>
      <c r="J790" s="125" t="str">
        <f>IF(ISNUMBER(namespace_raw[[#This Row],[Column9]]),MAX(H790, N790, P790, $J$2,IF(R790&lt;&gt;"",VALUE(R790),0)),"")</f>
        <v/>
      </c>
      <c r="K790" s="166" t="str">
        <f>IF(ISNUMBER(namespace_raw[[#This Row],[Column12]]), namespace_raw[[#This Row],[Column12]],"")</f>
        <v/>
      </c>
      <c r="L790" s="167" t="str">
        <f>IF(ISNUMBER(namespace_raw[[#This Row],[Column13]]), namespace_raw[[#This Row],[Column13]]/1048576,"")</f>
        <v/>
      </c>
      <c r="M790" s="168" t="str">
        <f>IF(ISNUMBER(namespace_raw[[#This Row],[Column10]]), (namespace_raw[[#This Row],[Column10]]*(1+$M$2)),"")</f>
        <v/>
      </c>
      <c r="N790" s="167" t="str">
        <f>IF(ISNUMBER(namespace_raw[[#This Row],[Column11]]), (namespace_raw[[#This Row],[Column11]]*(1+$N$2))/1048576,"")</f>
        <v/>
      </c>
      <c r="O790" s="169" t="str">
        <f>IF(ISNUMBER(namespace_raw[[#This Row],[Column8]]), (E790  * $O$2),"")</f>
        <v/>
      </c>
      <c r="P790" s="170" t="str">
        <f>IF(ISNUMBER(namespace_raw[[#This Row],[Column8]]), (F790  * $P$2),"")</f>
        <v/>
      </c>
    </row>
    <row r="791" spans="1:16" ht="15" customHeight="1" x14ac:dyDescent="0.25">
      <c r="A791" s="32" t="str">
        <f>IF(ISNONTEXT(namespace_raw[[#This Row],[Column1]]), "", namespace_raw[[#This Row],[Column1]])</f>
        <v/>
      </c>
      <c r="B791" s="33" t="str">
        <f>IF(ISNONTEXT(namespace_raw[[#This Row],[Column2]]), "", namespace_raw[[#This Row],[Column2]])</f>
        <v/>
      </c>
      <c r="C791" s="94" t="str">
        <f>IF(ISNUMBER(namespace_raw[[#This Row],[Column4]]), namespace_raw[[#This Row],[Column4]], "")</f>
        <v/>
      </c>
      <c r="D791" s="95" t="str">
        <f>IF(ISNUMBER(namespace_raw[[#This Row],[Column5]]), namespace_raw[[#This Row],[Column5]]/1048576, "")</f>
        <v/>
      </c>
      <c r="E791" s="95" t="str">
        <f>IF(ISNUMBER(namespace_raw[[#This Row],[Column6]]), namespace_raw[[#This Row],[Column6]],"")</f>
        <v/>
      </c>
      <c r="F791" s="96" t="str">
        <f>IF(ISNUMBER(namespace_raw[[#This Row],[Column7]]), namespace_raw[[#This Row],[Column7]]/1048576,"")</f>
        <v/>
      </c>
      <c r="G791" s="122" t="str">
        <f>IF(ISNUMBER(namespace_raw[[#This Row],[Column8]]), namespace_raw[[#This Row],[Column8]],"")</f>
        <v/>
      </c>
      <c r="H791" s="123" t="str">
        <f>IF(ISNUMBER(namespace_raw[[#This Row],[Column9]]), namespace_raw[[#This Row],[Column9]]/1048576,"")</f>
        <v/>
      </c>
      <c r="I791" s="124" t="str">
        <f>IF(ISNUMBER(namespace_raw[[#This Row],[Column8]]),MAX(G791, M791, O791, $I$2,IF(Q791&lt;&gt;"",VALUE(Q791),0)), "")</f>
        <v/>
      </c>
      <c r="J791" s="125" t="str">
        <f>IF(ISNUMBER(namespace_raw[[#This Row],[Column9]]),MAX(H791, N791, P791, $J$2,IF(R791&lt;&gt;"",VALUE(R791),0)),"")</f>
        <v/>
      </c>
      <c r="K791" s="166" t="str">
        <f>IF(ISNUMBER(namespace_raw[[#This Row],[Column12]]), namespace_raw[[#This Row],[Column12]],"")</f>
        <v/>
      </c>
      <c r="L791" s="167" t="str">
        <f>IF(ISNUMBER(namespace_raw[[#This Row],[Column13]]), namespace_raw[[#This Row],[Column13]]/1048576,"")</f>
        <v/>
      </c>
      <c r="M791" s="168" t="str">
        <f>IF(ISNUMBER(namespace_raw[[#This Row],[Column10]]), (namespace_raw[[#This Row],[Column10]]*(1+$M$2)),"")</f>
        <v/>
      </c>
      <c r="N791" s="167" t="str">
        <f>IF(ISNUMBER(namespace_raw[[#This Row],[Column11]]), (namespace_raw[[#This Row],[Column11]]*(1+$N$2))/1048576,"")</f>
        <v/>
      </c>
      <c r="O791" s="169" t="str">
        <f>IF(ISNUMBER(namespace_raw[[#This Row],[Column8]]), (E791  * $O$2),"")</f>
        <v/>
      </c>
      <c r="P791" s="170" t="str">
        <f>IF(ISNUMBER(namespace_raw[[#This Row],[Column8]]), (F791  * $P$2),"")</f>
        <v/>
      </c>
    </row>
    <row r="792" spans="1:16" ht="15" customHeight="1" x14ac:dyDescent="0.25">
      <c r="A792" s="32" t="str">
        <f>IF(ISNONTEXT(namespace_raw[[#This Row],[Column1]]), "", namespace_raw[[#This Row],[Column1]])</f>
        <v/>
      </c>
      <c r="B792" s="33" t="str">
        <f>IF(ISNONTEXT(namespace_raw[[#This Row],[Column2]]), "", namespace_raw[[#This Row],[Column2]])</f>
        <v/>
      </c>
      <c r="C792" s="94" t="str">
        <f>IF(ISNUMBER(namespace_raw[[#This Row],[Column4]]), namespace_raw[[#This Row],[Column4]], "")</f>
        <v/>
      </c>
      <c r="D792" s="95" t="str">
        <f>IF(ISNUMBER(namespace_raw[[#This Row],[Column5]]), namespace_raw[[#This Row],[Column5]]/1048576, "")</f>
        <v/>
      </c>
      <c r="E792" s="95" t="str">
        <f>IF(ISNUMBER(namespace_raw[[#This Row],[Column6]]), namespace_raw[[#This Row],[Column6]],"")</f>
        <v/>
      </c>
      <c r="F792" s="96" t="str">
        <f>IF(ISNUMBER(namespace_raw[[#This Row],[Column7]]), namespace_raw[[#This Row],[Column7]]/1048576,"")</f>
        <v/>
      </c>
      <c r="G792" s="122" t="str">
        <f>IF(ISNUMBER(namespace_raw[[#This Row],[Column8]]), namespace_raw[[#This Row],[Column8]],"")</f>
        <v/>
      </c>
      <c r="H792" s="123" t="str">
        <f>IF(ISNUMBER(namespace_raw[[#This Row],[Column9]]), namespace_raw[[#This Row],[Column9]]/1048576,"")</f>
        <v/>
      </c>
      <c r="I792" s="124" t="str">
        <f>IF(ISNUMBER(namespace_raw[[#This Row],[Column8]]),MAX(G792, M792, O792, $I$2,IF(Q792&lt;&gt;"",VALUE(Q792),0)), "")</f>
        <v/>
      </c>
      <c r="J792" s="125" t="str">
        <f>IF(ISNUMBER(namespace_raw[[#This Row],[Column9]]),MAX(H792, N792, P792, $J$2,IF(R792&lt;&gt;"",VALUE(R792),0)),"")</f>
        <v/>
      </c>
      <c r="K792" s="166" t="str">
        <f>IF(ISNUMBER(namespace_raw[[#This Row],[Column12]]), namespace_raw[[#This Row],[Column12]],"")</f>
        <v/>
      </c>
      <c r="L792" s="167" t="str">
        <f>IF(ISNUMBER(namespace_raw[[#This Row],[Column13]]), namespace_raw[[#This Row],[Column13]]/1048576,"")</f>
        <v/>
      </c>
      <c r="M792" s="168" t="str">
        <f>IF(ISNUMBER(namespace_raw[[#This Row],[Column10]]), (namespace_raw[[#This Row],[Column10]]*(1+$M$2)),"")</f>
        <v/>
      </c>
      <c r="N792" s="167" t="str">
        <f>IF(ISNUMBER(namespace_raw[[#This Row],[Column11]]), (namespace_raw[[#This Row],[Column11]]*(1+$N$2))/1048576,"")</f>
        <v/>
      </c>
      <c r="O792" s="169" t="str">
        <f>IF(ISNUMBER(namespace_raw[[#This Row],[Column8]]), (E792  * $O$2),"")</f>
        <v/>
      </c>
      <c r="P792" s="170" t="str">
        <f>IF(ISNUMBER(namespace_raw[[#This Row],[Column8]]), (F792  * $P$2),"")</f>
        <v/>
      </c>
    </row>
    <row r="793" spans="1:16" ht="15" customHeight="1" x14ac:dyDescent="0.25">
      <c r="A793" s="32" t="str">
        <f>IF(ISNONTEXT(namespace_raw[[#This Row],[Column1]]), "", namespace_raw[[#This Row],[Column1]])</f>
        <v/>
      </c>
      <c r="B793" s="33" t="str">
        <f>IF(ISNONTEXT(namespace_raw[[#This Row],[Column2]]), "", namespace_raw[[#This Row],[Column2]])</f>
        <v/>
      </c>
      <c r="C793" s="94" t="str">
        <f>IF(ISNUMBER(namespace_raw[[#This Row],[Column4]]), namespace_raw[[#This Row],[Column4]], "")</f>
        <v/>
      </c>
      <c r="D793" s="95" t="str">
        <f>IF(ISNUMBER(namespace_raw[[#This Row],[Column5]]), namespace_raw[[#This Row],[Column5]]/1048576, "")</f>
        <v/>
      </c>
      <c r="E793" s="95" t="str">
        <f>IF(ISNUMBER(namespace_raw[[#This Row],[Column6]]), namespace_raw[[#This Row],[Column6]],"")</f>
        <v/>
      </c>
      <c r="F793" s="96" t="str">
        <f>IF(ISNUMBER(namespace_raw[[#This Row],[Column7]]), namespace_raw[[#This Row],[Column7]]/1048576,"")</f>
        <v/>
      </c>
      <c r="G793" s="122" t="str">
        <f>IF(ISNUMBER(namespace_raw[[#This Row],[Column8]]), namespace_raw[[#This Row],[Column8]],"")</f>
        <v/>
      </c>
      <c r="H793" s="123" t="str">
        <f>IF(ISNUMBER(namespace_raw[[#This Row],[Column9]]), namespace_raw[[#This Row],[Column9]]/1048576,"")</f>
        <v/>
      </c>
      <c r="I793" s="124" t="str">
        <f>IF(ISNUMBER(namespace_raw[[#This Row],[Column8]]),MAX(G793, M793, O793, $I$2,IF(Q793&lt;&gt;"",VALUE(Q793),0)), "")</f>
        <v/>
      </c>
      <c r="J793" s="125" t="str">
        <f>IF(ISNUMBER(namespace_raw[[#This Row],[Column9]]),MAX(H793, N793, P793, $J$2,IF(R793&lt;&gt;"",VALUE(R793),0)),"")</f>
        <v/>
      </c>
      <c r="K793" s="166" t="str">
        <f>IF(ISNUMBER(namespace_raw[[#This Row],[Column12]]), namespace_raw[[#This Row],[Column12]],"")</f>
        <v/>
      </c>
      <c r="L793" s="167" t="str">
        <f>IF(ISNUMBER(namespace_raw[[#This Row],[Column13]]), namespace_raw[[#This Row],[Column13]]/1048576,"")</f>
        <v/>
      </c>
      <c r="M793" s="168" t="str">
        <f>IF(ISNUMBER(namespace_raw[[#This Row],[Column10]]), (namespace_raw[[#This Row],[Column10]]*(1+$M$2)),"")</f>
        <v/>
      </c>
      <c r="N793" s="167" t="str">
        <f>IF(ISNUMBER(namespace_raw[[#This Row],[Column11]]), (namespace_raw[[#This Row],[Column11]]*(1+$N$2))/1048576,"")</f>
        <v/>
      </c>
      <c r="O793" s="169" t="str">
        <f>IF(ISNUMBER(namespace_raw[[#This Row],[Column8]]), (E793  * $O$2),"")</f>
        <v/>
      </c>
      <c r="P793" s="170" t="str">
        <f>IF(ISNUMBER(namespace_raw[[#This Row],[Column8]]), (F793  * $P$2),"")</f>
        <v/>
      </c>
    </row>
    <row r="794" spans="1:16" ht="15" customHeight="1" x14ac:dyDescent="0.25">
      <c r="A794" s="32" t="str">
        <f>IF(ISNONTEXT(namespace_raw[[#This Row],[Column1]]), "", namespace_raw[[#This Row],[Column1]])</f>
        <v/>
      </c>
      <c r="B794" s="33" t="str">
        <f>IF(ISNONTEXT(namespace_raw[[#This Row],[Column2]]), "", namespace_raw[[#This Row],[Column2]])</f>
        <v/>
      </c>
      <c r="C794" s="94" t="str">
        <f>IF(ISNUMBER(namespace_raw[[#This Row],[Column4]]), namespace_raw[[#This Row],[Column4]], "")</f>
        <v/>
      </c>
      <c r="D794" s="95" t="str">
        <f>IF(ISNUMBER(namespace_raw[[#This Row],[Column5]]), namespace_raw[[#This Row],[Column5]]/1048576, "")</f>
        <v/>
      </c>
      <c r="E794" s="95" t="str">
        <f>IF(ISNUMBER(namespace_raw[[#This Row],[Column6]]), namespace_raw[[#This Row],[Column6]],"")</f>
        <v/>
      </c>
      <c r="F794" s="96" t="str">
        <f>IF(ISNUMBER(namespace_raw[[#This Row],[Column7]]), namespace_raw[[#This Row],[Column7]]/1048576,"")</f>
        <v/>
      </c>
      <c r="G794" s="122" t="str">
        <f>IF(ISNUMBER(namespace_raw[[#This Row],[Column8]]), namespace_raw[[#This Row],[Column8]],"")</f>
        <v/>
      </c>
      <c r="H794" s="123" t="str">
        <f>IF(ISNUMBER(namespace_raw[[#This Row],[Column9]]), namespace_raw[[#This Row],[Column9]]/1048576,"")</f>
        <v/>
      </c>
      <c r="I794" s="124" t="str">
        <f>IF(ISNUMBER(namespace_raw[[#This Row],[Column8]]),MAX(G794, M794, O794, $I$2,IF(Q794&lt;&gt;"",VALUE(Q794),0)), "")</f>
        <v/>
      </c>
      <c r="J794" s="125" t="str">
        <f>IF(ISNUMBER(namespace_raw[[#This Row],[Column9]]),MAX(H794, N794, P794, $J$2,IF(R794&lt;&gt;"",VALUE(R794),0)),"")</f>
        <v/>
      </c>
      <c r="K794" s="166" t="str">
        <f>IF(ISNUMBER(namespace_raw[[#This Row],[Column12]]), namespace_raw[[#This Row],[Column12]],"")</f>
        <v/>
      </c>
      <c r="L794" s="167" t="str">
        <f>IF(ISNUMBER(namespace_raw[[#This Row],[Column13]]), namespace_raw[[#This Row],[Column13]]/1048576,"")</f>
        <v/>
      </c>
      <c r="M794" s="168" t="str">
        <f>IF(ISNUMBER(namespace_raw[[#This Row],[Column10]]), (namespace_raw[[#This Row],[Column10]]*(1+$M$2)),"")</f>
        <v/>
      </c>
      <c r="N794" s="167" t="str">
        <f>IF(ISNUMBER(namespace_raw[[#This Row],[Column11]]), (namespace_raw[[#This Row],[Column11]]*(1+$N$2))/1048576,"")</f>
        <v/>
      </c>
      <c r="O794" s="169" t="str">
        <f>IF(ISNUMBER(namespace_raw[[#This Row],[Column8]]), (E794  * $O$2),"")</f>
        <v/>
      </c>
      <c r="P794" s="170" t="str">
        <f>IF(ISNUMBER(namespace_raw[[#This Row],[Column8]]), (F794  * $P$2),"")</f>
        <v/>
      </c>
    </row>
    <row r="795" spans="1:16" ht="15" customHeight="1" x14ac:dyDescent="0.25">
      <c r="A795" s="32" t="str">
        <f>IF(ISNONTEXT(namespace_raw[[#This Row],[Column1]]), "", namespace_raw[[#This Row],[Column1]])</f>
        <v/>
      </c>
      <c r="B795" s="33" t="str">
        <f>IF(ISNONTEXT(namespace_raw[[#This Row],[Column2]]), "", namespace_raw[[#This Row],[Column2]])</f>
        <v/>
      </c>
      <c r="C795" s="94" t="str">
        <f>IF(ISNUMBER(namespace_raw[[#This Row],[Column4]]), namespace_raw[[#This Row],[Column4]], "")</f>
        <v/>
      </c>
      <c r="D795" s="95" t="str">
        <f>IF(ISNUMBER(namespace_raw[[#This Row],[Column5]]), namespace_raw[[#This Row],[Column5]]/1048576, "")</f>
        <v/>
      </c>
      <c r="E795" s="95" t="str">
        <f>IF(ISNUMBER(namespace_raw[[#This Row],[Column6]]), namespace_raw[[#This Row],[Column6]],"")</f>
        <v/>
      </c>
      <c r="F795" s="96" t="str">
        <f>IF(ISNUMBER(namespace_raw[[#This Row],[Column7]]), namespace_raw[[#This Row],[Column7]]/1048576,"")</f>
        <v/>
      </c>
      <c r="G795" s="122" t="str">
        <f>IF(ISNUMBER(namespace_raw[[#This Row],[Column8]]), namespace_raw[[#This Row],[Column8]],"")</f>
        <v/>
      </c>
      <c r="H795" s="123" t="str">
        <f>IF(ISNUMBER(namespace_raw[[#This Row],[Column9]]), namespace_raw[[#This Row],[Column9]]/1048576,"")</f>
        <v/>
      </c>
      <c r="I795" s="124" t="str">
        <f>IF(ISNUMBER(namespace_raw[[#This Row],[Column8]]),MAX(G795, M795, O795, $I$2,IF(Q795&lt;&gt;"",VALUE(Q795),0)), "")</f>
        <v/>
      </c>
      <c r="J795" s="125" t="str">
        <f>IF(ISNUMBER(namespace_raw[[#This Row],[Column9]]),MAX(H795, N795, P795, $J$2,IF(R795&lt;&gt;"",VALUE(R795),0)),"")</f>
        <v/>
      </c>
      <c r="K795" s="166" t="str">
        <f>IF(ISNUMBER(namespace_raw[[#This Row],[Column12]]), namespace_raw[[#This Row],[Column12]],"")</f>
        <v/>
      </c>
      <c r="L795" s="167" t="str">
        <f>IF(ISNUMBER(namespace_raw[[#This Row],[Column13]]), namespace_raw[[#This Row],[Column13]]/1048576,"")</f>
        <v/>
      </c>
      <c r="M795" s="168" t="str">
        <f>IF(ISNUMBER(namespace_raw[[#This Row],[Column10]]), (namespace_raw[[#This Row],[Column10]]*(1+$M$2)),"")</f>
        <v/>
      </c>
      <c r="N795" s="167" t="str">
        <f>IF(ISNUMBER(namespace_raw[[#This Row],[Column11]]), (namespace_raw[[#This Row],[Column11]]*(1+$N$2))/1048576,"")</f>
        <v/>
      </c>
      <c r="O795" s="169" t="str">
        <f>IF(ISNUMBER(namespace_raw[[#This Row],[Column8]]), (E795  * $O$2),"")</f>
        <v/>
      </c>
      <c r="P795" s="170" t="str">
        <f>IF(ISNUMBER(namespace_raw[[#This Row],[Column8]]), (F795  * $P$2),"")</f>
        <v/>
      </c>
    </row>
    <row r="796" spans="1:16" ht="15" customHeight="1" x14ac:dyDescent="0.25">
      <c r="A796" s="32" t="str">
        <f>IF(ISNONTEXT(namespace_raw[[#This Row],[Column1]]), "", namespace_raw[[#This Row],[Column1]])</f>
        <v/>
      </c>
      <c r="B796" s="33" t="str">
        <f>IF(ISNONTEXT(namespace_raw[[#This Row],[Column2]]), "", namespace_raw[[#This Row],[Column2]])</f>
        <v/>
      </c>
      <c r="C796" s="94" t="str">
        <f>IF(ISNUMBER(namespace_raw[[#This Row],[Column4]]), namespace_raw[[#This Row],[Column4]], "")</f>
        <v/>
      </c>
      <c r="D796" s="95" t="str">
        <f>IF(ISNUMBER(namespace_raw[[#This Row],[Column5]]), namespace_raw[[#This Row],[Column5]]/1048576, "")</f>
        <v/>
      </c>
      <c r="E796" s="95" t="str">
        <f>IF(ISNUMBER(namespace_raw[[#This Row],[Column6]]), namespace_raw[[#This Row],[Column6]],"")</f>
        <v/>
      </c>
      <c r="F796" s="96" t="str">
        <f>IF(ISNUMBER(namespace_raw[[#This Row],[Column7]]), namespace_raw[[#This Row],[Column7]]/1048576,"")</f>
        <v/>
      </c>
      <c r="G796" s="122" t="str">
        <f>IF(ISNUMBER(namespace_raw[[#This Row],[Column8]]), namespace_raw[[#This Row],[Column8]],"")</f>
        <v/>
      </c>
      <c r="H796" s="123" t="str">
        <f>IF(ISNUMBER(namespace_raw[[#This Row],[Column9]]), namespace_raw[[#This Row],[Column9]]/1048576,"")</f>
        <v/>
      </c>
      <c r="I796" s="124" t="str">
        <f>IF(ISNUMBER(namespace_raw[[#This Row],[Column8]]),MAX(G796, M796, O796, $I$2,IF(Q796&lt;&gt;"",VALUE(Q796),0)), "")</f>
        <v/>
      </c>
      <c r="J796" s="125" t="str">
        <f>IF(ISNUMBER(namespace_raw[[#This Row],[Column9]]),MAX(H796, N796, P796, $J$2,IF(R796&lt;&gt;"",VALUE(R796),0)),"")</f>
        <v/>
      </c>
      <c r="K796" s="166" t="str">
        <f>IF(ISNUMBER(namespace_raw[[#This Row],[Column12]]), namespace_raw[[#This Row],[Column12]],"")</f>
        <v/>
      </c>
      <c r="L796" s="167" t="str">
        <f>IF(ISNUMBER(namespace_raw[[#This Row],[Column13]]), namespace_raw[[#This Row],[Column13]]/1048576,"")</f>
        <v/>
      </c>
      <c r="M796" s="168" t="str">
        <f>IF(ISNUMBER(namespace_raw[[#This Row],[Column10]]), (namespace_raw[[#This Row],[Column10]]*(1+$M$2)),"")</f>
        <v/>
      </c>
      <c r="N796" s="167" t="str">
        <f>IF(ISNUMBER(namespace_raw[[#This Row],[Column11]]), (namespace_raw[[#This Row],[Column11]]*(1+$N$2))/1048576,"")</f>
        <v/>
      </c>
      <c r="O796" s="169" t="str">
        <f>IF(ISNUMBER(namespace_raw[[#This Row],[Column8]]), (E796  * $O$2),"")</f>
        <v/>
      </c>
      <c r="P796" s="170" t="str">
        <f>IF(ISNUMBER(namespace_raw[[#This Row],[Column8]]), (F796  * $P$2),"")</f>
        <v/>
      </c>
    </row>
    <row r="797" spans="1:16" ht="15" customHeight="1" x14ac:dyDescent="0.25">
      <c r="A797" s="32" t="str">
        <f>IF(ISNONTEXT(namespace_raw[[#This Row],[Column1]]), "", namespace_raw[[#This Row],[Column1]])</f>
        <v/>
      </c>
      <c r="B797" s="33" t="str">
        <f>IF(ISNONTEXT(namespace_raw[[#This Row],[Column2]]), "", namespace_raw[[#This Row],[Column2]])</f>
        <v/>
      </c>
      <c r="C797" s="94" t="str">
        <f>IF(ISNUMBER(namespace_raw[[#This Row],[Column4]]), namespace_raw[[#This Row],[Column4]], "")</f>
        <v/>
      </c>
      <c r="D797" s="95" t="str">
        <f>IF(ISNUMBER(namespace_raw[[#This Row],[Column5]]), namespace_raw[[#This Row],[Column5]]/1048576, "")</f>
        <v/>
      </c>
      <c r="E797" s="95" t="str">
        <f>IF(ISNUMBER(namespace_raw[[#This Row],[Column6]]), namespace_raw[[#This Row],[Column6]],"")</f>
        <v/>
      </c>
      <c r="F797" s="96" t="str">
        <f>IF(ISNUMBER(namespace_raw[[#This Row],[Column7]]), namespace_raw[[#This Row],[Column7]]/1048576,"")</f>
        <v/>
      </c>
      <c r="G797" s="122" t="str">
        <f>IF(ISNUMBER(namespace_raw[[#This Row],[Column8]]), namespace_raw[[#This Row],[Column8]],"")</f>
        <v/>
      </c>
      <c r="H797" s="123" t="str">
        <f>IF(ISNUMBER(namespace_raw[[#This Row],[Column9]]), namespace_raw[[#This Row],[Column9]]/1048576,"")</f>
        <v/>
      </c>
      <c r="I797" s="124" t="str">
        <f>IF(ISNUMBER(namespace_raw[[#This Row],[Column8]]),MAX(G797, M797, O797, $I$2,IF(Q797&lt;&gt;"",VALUE(Q797),0)), "")</f>
        <v/>
      </c>
      <c r="J797" s="125" t="str">
        <f>IF(ISNUMBER(namespace_raw[[#This Row],[Column9]]),MAX(H797, N797, P797, $J$2,IF(R797&lt;&gt;"",VALUE(R797),0)),"")</f>
        <v/>
      </c>
      <c r="K797" s="166" t="str">
        <f>IF(ISNUMBER(namespace_raw[[#This Row],[Column12]]), namespace_raw[[#This Row],[Column12]],"")</f>
        <v/>
      </c>
      <c r="L797" s="167" t="str">
        <f>IF(ISNUMBER(namespace_raw[[#This Row],[Column13]]), namespace_raw[[#This Row],[Column13]]/1048576,"")</f>
        <v/>
      </c>
      <c r="M797" s="168" t="str">
        <f>IF(ISNUMBER(namespace_raw[[#This Row],[Column10]]), (namespace_raw[[#This Row],[Column10]]*(1+$M$2)),"")</f>
        <v/>
      </c>
      <c r="N797" s="167" t="str">
        <f>IF(ISNUMBER(namespace_raw[[#This Row],[Column11]]), (namespace_raw[[#This Row],[Column11]]*(1+$N$2))/1048576,"")</f>
        <v/>
      </c>
      <c r="O797" s="169" t="str">
        <f>IF(ISNUMBER(namespace_raw[[#This Row],[Column8]]), (E797  * $O$2),"")</f>
        <v/>
      </c>
      <c r="P797" s="170" t="str">
        <f>IF(ISNUMBER(namespace_raw[[#This Row],[Column8]]), (F797  * $P$2),"")</f>
        <v/>
      </c>
    </row>
    <row r="798" spans="1:16" ht="15" customHeight="1" x14ac:dyDescent="0.25">
      <c r="A798" s="32" t="str">
        <f>IF(ISNONTEXT(namespace_raw[[#This Row],[Column1]]), "", namespace_raw[[#This Row],[Column1]])</f>
        <v/>
      </c>
      <c r="B798" s="33" t="str">
        <f>IF(ISNONTEXT(namespace_raw[[#This Row],[Column2]]), "", namespace_raw[[#This Row],[Column2]])</f>
        <v/>
      </c>
      <c r="C798" s="94" t="str">
        <f>IF(ISNUMBER(namespace_raw[[#This Row],[Column4]]), namespace_raw[[#This Row],[Column4]], "")</f>
        <v/>
      </c>
      <c r="D798" s="95" t="str">
        <f>IF(ISNUMBER(namespace_raw[[#This Row],[Column5]]), namespace_raw[[#This Row],[Column5]]/1048576, "")</f>
        <v/>
      </c>
      <c r="E798" s="95" t="str">
        <f>IF(ISNUMBER(namespace_raw[[#This Row],[Column6]]), namespace_raw[[#This Row],[Column6]],"")</f>
        <v/>
      </c>
      <c r="F798" s="96" t="str">
        <f>IF(ISNUMBER(namespace_raw[[#This Row],[Column7]]), namespace_raw[[#This Row],[Column7]]/1048576,"")</f>
        <v/>
      </c>
      <c r="G798" s="122" t="str">
        <f>IF(ISNUMBER(namespace_raw[[#This Row],[Column8]]), namespace_raw[[#This Row],[Column8]],"")</f>
        <v/>
      </c>
      <c r="H798" s="123" t="str">
        <f>IF(ISNUMBER(namespace_raw[[#This Row],[Column9]]), namespace_raw[[#This Row],[Column9]]/1048576,"")</f>
        <v/>
      </c>
      <c r="I798" s="124" t="str">
        <f>IF(ISNUMBER(namespace_raw[[#This Row],[Column8]]),MAX(G798, M798, O798, $I$2,IF(Q798&lt;&gt;"",VALUE(Q798),0)), "")</f>
        <v/>
      </c>
      <c r="J798" s="125" t="str">
        <f>IF(ISNUMBER(namespace_raw[[#This Row],[Column9]]),MAX(H798, N798, P798, $J$2,IF(R798&lt;&gt;"",VALUE(R798),0)),"")</f>
        <v/>
      </c>
      <c r="K798" s="166" t="str">
        <f>IF(ISNUMBER(namespace_raw[[#This Row],[Column12]]), namespace_raw[[#This Row],[Column12]],"")</f>
        <v/>
      </c>
      <c r="L798" s="167" t="str">
        <f>IF(ISNUMBER(namespace_raw[[#This Row],[Column13]]), namespace_raw[[#This Row],[Column13]]/1048576,"")</f>
        <v/>
      </c>
      <c r="M798" s="168" t="str">
        <f>IF(ISNUMBER(namespace_raw[[#This Row],[Column10]]), (namespace_raw[[#This Row],[Column10]]*(1+$M$2)),"")</f>
        <v/>
      </c>
      <c r="N798" s="167" t="str">
        <f>IF(ISNUMBER(namespace_raw[[#This Row],[Column11]]), (namespace_raw[[#This Row],[Column11]]*(1+$N$2))/1048576,"")</f>
        <v/>
      </c>
      <c r="O798" s="169" t="str">
        <f>IF(ISNUMBER(namespace_raw[[#This Row],[Column8]]), (E798  * $O$2),"")</f>
        <v/>
      </c>
      <c r="P798" s="170" t="str">
        <f>IF(ISNUMBER(namespace_raw[[#This Row],[Column8]]), (F798  * $P$2),"")</f>
        <v/>
      </c>
    </row>
    <row r="799" spans="1:16" ht="15" customHeight="1" x14ac:dyDescent="0.25">
      <c r="A799" s="32" t="str">
        <f>IF(ISNONTEXT(namespace_raw[[#This Row],[Column1]]), "", namespace_raw[[#This Row],[Column1]])</f>
        <v/>
      </c>
      <c r="B799" s="33" t="str">
        <f>IF(ISNONTEXT(namespace_raw[[#This Row],[Column2]]), "", namespace_raw[[#This Row],[Column2]])</f>
        <v/>
      </c>
      <c r="C799" s="94" t="str">
        <f>IF(ISNUMBER(namespace_raw[[#This Row],[Column4]]), namespace_raw[[#This Row],[Column4]], "")</f>
        <v/>
      </c>
      <c r="D799" s="95" t="str">
        <f>IF(ISNUMBER(namespace_raw[[#This Row],[Column5]]), namespace_raw[[#This Row],[Column5]]/1048576, "")</f>
        <v/>
      </c>
      <c r="E799" s="95" t="str">
        <f>IF(ISNUMBER(namespace_raw[[#This Row],[Column6]]), namespace_raw[[#This Row],[Column6]],"")</f>
        <v/>
      </c>
      <c r="F799" s="96" t="str">
        <f>IF(ISNUMBER(namespace_raw[[#This Row],[Column7]]), namespace_raw[[#This Row],[Column7]]/1048576,"")</f>
        <v/>
      </c>
      <c r="G799" s="122" t="str">
        <f>IF(ISNUMBER(namespace_raw[[#This Row],[Column8]]), namespace_raw[[#This Row],[Column8]],"")</f>
        <v/>
      </c>
      <c r="H799" s="123" t="str">
        <f>IF(ISNUMBER(namespace_raw[[#This Row],[Column9]]), namespace_raw[[#This Row],[Column9]]/1048576,"")</f>
        <v/>
      </c>
      <c r="I799" s="124" t="str">
        <f>IF(ISNUMBER(namespace_raw[[#This Row],[Column8]]),MAX(G799, M799, O799, $I$2,IF(Q799&lt;&gt;"",VALUE(Q799),0)), "")</f>
        <v/>
      </c>
      <c r="J799" s="125" t="str">
        <f>IF(ISNUMBER(namespace_raw[[#This Row],[Column9]]),MAX(H799, N799, P799, $J$2,IF(R799&lt;&gt;"",VALUE(R799),0)),"")</f>
        <v/>
      </c>
      <c r="K799" s="166" t="str">
        <f>IF(ISNUMBER(namespace_raw[[#This Row],[Column12]]), namespace_raw[[#This Row],[Column12]],"")</f>
        <v/>
      </c>
      <c r="L799" s="167" t="str">
        <f>IF(ISNUMBER(namespace_raw[[#This Row],[Column13]]), namespace_raw[[#This Row],[Column13]]/1048576,"")</f>
        <v/>
      </c>
      <c r="M799" s="168" t="str">
        <f>IF(ISNUMBER(namespace_raw[[#This Row],[Column10]]), (namespace_raw[[#This Row],[Column10]]*(1+$M$2)),"")</f>
        <v/>
      </c>
      <c r="N799" s="167" t="str">
        <f>IF(ISNUMBER(namespace_raw[[#This Row],[Column11]]), (namespace_raw[[#This Row],[Column11]]*(1+$N$2))/1048576,"")</f>
        <v/>
      </c>
      <c r="O799" s="169" t="str">
        <f>IF(ISNUMBER(namespace_raw[[#This Row],[Column8]]), (E799  * $O$2),"")</f>
        <v/>
      </c>
      <c r="P799" s="170" t="str">
        <f>IF(ISNUMBER(namespace_raw[[#This Row],[Column8]]), (F799  * $P$2),"")</f>
        <v/>
      </c>
    </row>
    <row r="800" spans="1:16" ht="15" customHeight="1" x14ac:dyDescent="0.25">
      <c r="A800" s="32" t="str">
        <f>IF(ISNONTEXT(namespace_raw[[#This Row],[Column1]]), "", namespace_raw[[#This Row],[Column1]])</f>
        <v/>
      </c>
      <c r="B800" s="33" t="str">
        <f>IF(ISNONTEXT(namespace_raw[[#This Row],[Column2]]), "", namespace_raw[[#This Row],[Column2]])</f>
        <v/>
      </c>
      <c r="C800" s="94" t="str">
        <f>IF(ISNUMBER(namespace_raw[[#This Row],[Column4]]), namespace_raw[[#This Row],[Column4]], "")</f>
        <v/>
      </c>
      <c r="D800" s="95" t="str">
        <f>IF(ISNUMBER(namespace_raw[[#This Row],[Column5]]), namespace_raw[[#This Row],[Column5]]/1048576, "")</f>
        <v/>
      </c>
      <c r="E800" s="95" t="str">
        <f>IF(ISNUMBER(namespace_raw[[#This Row],[Column6]]), namespace_raw[[#This Row],[Column6]],"")</f>
        <v/>
      </c>
      <c r="F800" s="96" t="str">
        <f>IF(ISNUMBER(namespace_raw[[#This Row],[Column7]]), namespace_raw[[#This Row],[Column7]]/1048576,"")</f>
        <v/>
      </c>
      <c r="G800" s="122" t="str">
        <f>IF(ISNUMBER(namespace_raw[[#This Row],[Column8]]), namespace_raw[[#This Row],[Column8]],"")</f>
        <v/>
      </c>
      <c r="H800" s="123" t="str">
        <f>IF(ISNUMBER(namespace_raw[[#This Row],[Column9]]), namespace_raw[[#This Row],[Column9]]/1048576,"")</f>
        <v/>
      </c>
      <c r="I800" s="124" t="str">
        <f>IF(ISNUMBER(namespace_raw[[#This Row],[Column8]]),MAX(G800, M800, O800, $I$2,IF(Q800&lt;&gt;"",VALUE(Q800),0)), "")</f>
        <v/>
      </c>
      <c r="J800" s="125" t="str">
        <f>IF(ISNUMBER(namespace_raw[[#This Row],[Column9]]),MAX(H800, N800, P800, $J$2,IF(R800&lt;&gt;"",VALUE(R800),0)),"")</f>
        <v/>
      </c>
      <c r="K800" s="166" t="str">
        <f>IF(ISNUMBER(namespace_raw[[#This Row],[Column12]]), namespace_raw[[#This Row],[Column12]],"")</f>
        <v/>
      </c>
      <c r="L800" s="167" t="str">
        <f>IF(ISNUMBER(namespace_raw[[#This Row],[Column13]]), namespace_raw[[#This Row],[Column13]]/1048576,"")</f>
        <v/>
      </c>
      <c r="M800" s="168" t="str">
        <f>IF(ISNUMBER(namespace_raw[[#This Row],[Column10]]), (namespace_raw[[#This Row],[Column10]]*(1+$M$2)),"")</f>
        <v/>
      </c>
      <c r="N800" s="167" t="str">
        <f>IF(ISNUMBER(namespace_raw[[#This Row],[Column11]]), (namespace_raw[[#This Row],[Column11]]*(1+$N$2))/1048576,"")</f>
        <v/>
      </c>
      <c r="O800" s="169" t="str">
        <f>IF(ISNUMBER(namespace_raw[[#This Row],[Column8]]), (E800  * $O$2),"")</f>
        <v/>
      </c>
      <c r="P800" s="170" t="str">
        <f>IF(ISNUMBER(namespace_raw[[#This Row],[Column8]]), (F800  * $P$2),"")</f>
        <v/>
      </c>
    </row>
    <row r="801" spans="1:16" ht="15" customHeight="1" x14ac:dyDescent="0.25">
      <c r="A801" s="32" t="str">
        <f>IF(ISNONTEXT(namespace_raw[[#This Row],[Column1]]), "", namespace_raw[[#This Row],[Column1]])</f>
        <v/>
      </c>
      <c r="B801" s="33" t="str">
        <f>IF(ISNONTEXT(namespace_raw[[#This Row],[Column2]]), "", namespace_raw[[#This Row],[Column2]])</f>
        <v/>
      </c>
      <c r="C801" s="94" t="str">
        <f>IF(ISNUMBER(namespace_raw[[#This Row],[Column4]]), namespace_raw[[#This Row],[Column4]], "")</f>
        <v/>
      </c>
      <c r="D801" s="95" t="str">
        <f>IF(ISNUMBER(namespace_raw[[#This Row],[Column5]]), namespace_raw[[#This Row],[Column5]]/1048576, "")</f>
        <v/>
      </c>
      <c r="E801" s="95" t="str">
        <f>IF(ISNUMBER(namespace_raw[[#This Row],[Column6]]), namespace_raw[[#This Row],[Column6]],"")</f>
        <v/>
      </c>
      <c r="F801" s="96" t="str">
        <f>IF(ISNUMBER(namespace_raw[[#This Row],[Column7]]), namespace_raw[[#This Row],[Column7]]/1048576,"")</f>
        <v/>
      </c>
      <c r="G801" s="122" t="str">
        <f>IF(ISNUMBER(namespace_raw[[#This Row],[Column8]]), namespace_raw[[#This Row],[Column8]],"")</f>
        <v/>
      </c>
      <c r="H801" s="123" t="str">
        <f>IF(ISNUMBER(namespace_raw[[#This Row],[Column9]]), namespace_raw[[#This Row],[Column9]]/1048576,"")</f>
        <v/>
      </c>
      <c r="I801" s="124" t="str">
        <f>IF(ISNUMBER(namespace_raw[[#This Row],[Column8]]),MAX(G801, M801, O801, $I$2,IF(Q801&lt;&gt;"",VALUE(Q801),0)), "")</f>
        <v/>
      </c>
      <c r="J801" s="125" t="str">
        <f>IF(ISNUMBER(namespace_raw[[#This Row],[Column9]]),MAX(H801, N801, P801, $J$2,IF(R801&lt;&gt;"",VALUE(R801),0)),"")</f>
        <v/>
      </c>
      <c r="K801" s="166" t="str">
        <f>IF(ISNUMBER(namespace_raw[[#This Row],[Column12]]), namespace_raw[[#This Row],[Column12]],"")</f>
        <v/>
      </c>
      <c r="L801" s="167" t="str">
        <f>IF(ISNUMBER(namespace_raw[[#This Row],[Column13]]), namespace_raw[[#This Row],[Column13]]/1048576,"")</f>
        <v/>
      </c>
      <c r="M801" s="168" t="str">
        <f>IF(ISNUMBER(namespace_raw[[#This Row],[Column10]]), (namespace_raw[[#This Row],[Column10]]*(1+$M$2)),"")</f>
        <v/>
      </c>
      <c r="N801" s="167" t="str">
        <f>IF(ISNUMBER(namespace_raw[[#This Row],[Column11]]), (namespace_raw[[#This Row],[Column11]]*(1+$N$2))/1048576,"")</f>
        <v/>
      </c>
      <c r="O801" s="169" t="str">
        <f>IF(ISNUMBER(namespace_raw[[#This Row],[Column8]]), (E801  * $O$2),"")</f>
        <v/>
      </c>
      <c r="P801" s="170" t="str">
        <f>IF(ISNUMBER(namespace_raw[[#This Row],[Column8]]), (F801  * $P$2),"")</f>
        <v/>
      </c>
    </row>
    <row r="802" spans="1:16" ht="15" customHeight="1" x14ac:dyDescent="0.25">
      <c r="A802" s="32" t="str">
        <f>IF(ISNONTEXT(namespace_raw[[#This Row],[Column1]]), "", namespace_raw[[#This Row],[Column1]])</f>
        <v/>
      </c>
      <c r="B802" s="33" t="str">
        <f>IF(ISNONTEXT(namespace_raw[[#This Row],[Column2]]), "", namespace_raw[[#This Row],[Column2]])</f>
        <v/>
      </c>
      <c r="C802" s="94" t="str">
        <f>IF(ISNUMBER(namespace_raw[[#This Row],[Column4]]), namespace_raw[[#This Row],[Column4]], "")</f>
        <v/>
      </c>
      <c r="D802" s="95" t="str">
        <f>IF(ISNUMBER(namespace_raw[[#This Row],[Column5]]), namespace_raw[[#This Row],[Column5]]/1048576, "")</f>
        <v/>
      </c>
      <c r="E802" s="95" t="str">
        <f>IF(ISNUMBER(namespace_raw[[#This Row],[Column6]]), namespace_raw[[#This Row],[Column6]],"")</f>
        <v/>
      </c>
      <c r="F802" s="96" t="str">
        <f>IF(ISNUMBER(namespace_raw[[#This Row],[Column7]]), namespace_raw[[#This Row],[Column7]]/1048576,"")</f>
        <v/>
      </c>
      <c r="G802" s="122" t="str">
        <f>IF(ISNUMBER(namespace_raw[[#This Row],[Column8]]), namespace_raw[[#This Row],[Column8]],"")</f>
        <v/>
      </c>
      <c r="H802" s="123" t="str">
        <f>IF(ISNUMBER(namespace_raw[[#This Row],[Column9]]), namespace_raw[[#This Row],[Column9]]/1048576,"")</f>
        <v/>
      </c>
      <c r="I802" s="124" t="str">
        <f>IF(ISNUMBER(namespace_raw[[#This Row],[Column8]]),MAX(G802, M802, O802, $I$2,IF(Q802&lt;&gt;"",VALUE(Q802),0)), "")</f>
        <v/>
      </c>
      <c r="J802" s="125" t="str">
        <f>IF(ISNUMBER(namespace_raw[[#This Row],[Column9]]),MAX(H802, N802, P802, $J$2,IF(R802&lt;&gt;"",VALUE(R802),0)),"")</f>
        <v/>
      </c>
      <c r="K802" s="166" t="str">
        <f>IF(ISNUMBER(namespace_raw[[#This Row],[Column12]]), namespace_raw[[#This Row],[Column12]],"")</f>
        <v/>
      </c>
      <c r="L802" s="167" t="str">
        <f>IF(ISNUMBER(namespace_raw[[#This Row],[Column13]]), namespace_raw[[#This Row],[Column13]]/1048576,"")</f>
        <v/>
      </c>
      <c r="M802" s="168" t="str">
        <f>IF(ISNUMBER(namespace_raw[[#This Row],[Column10]]), (namespace_raw[[#This Row],[Column10]]*(1+$M$2)),"")</f>
        <v/>
      </c>
      <c r="N802" s="167" t="str">
        <f>IF(ISNUMBER(namespace_raw[[#This Row],[Column11]]), (namespace_raw[[#This Row],[Column11]]*(1+$N$2))/1048576,"")</f>
        <v/>
      </c>
      <c r="O802" s="169" t="str">
        <f>IF(ISNUMBER(namespace_raw[[#This Row],[Column8]]), (E802  * $O$2),"")</f>
        <v/>
      </c>
      <c r="P802" s="170" t="str">
        <f>IF(ISNUMBER(namespace_raw[[#This Row],[Column8]]), (F802  * $P$2),"")</f>
        <v/>
      </c>
    </row>
    <row r="803" spans="1:16" ht="15" customHeight="1" x14ac:dyDescent="0.25">
      <c r="A803" s="32" t="str">
        <f>IF(ISNONTEXT(namespace_raw[[#This Row],[Column1]]), "", namespace_raw[[#This Row],[Column1]])</f>
        <v/>
      </c>
      <c r="B803" s="33" t="str">
        <f>IF(ISNONTEXT(namespace_raw[[#This Row],[Column2]]), "", namespace_raw[[#This Row],[Column2]])</f>
        <v/>
      </c>
      <c r="C803" s="94" t="str">
        <f>IF(ISNUMBER(namespace_raw[[#This Row],[Column4]]), namespace_raw[[#This Row],[Column4]], "")</f>
        <v/>
      </c>
      <c r="D803" s="95" t="str">
        <f>IF(ISNUMBER(namespace_raw[[#This Row],[Column5]]), namespace_raw[[#This Row],[Column5]]/1048576, "")</f>
        <v/>
      </c>
      <c r="E803" s="95" t="str">
        <f>IF(ISNUMBER(namespace_raw[[#This Row],[Column6]]), namespace_raw[[#This Row],[Column6]],"")</f>
        <v/>
      </c>
      <c r="F803" s="96" t="str">
        <f>IF(ISNUMBER(namespace_raw[[#This Row],[Column7]]), namespace_raw[[#This Row],[Column7]]/1048576,"")</f>
        <v/>
      </c>
      <c r="G803" s="122" t="str">
        <f>IF(ISNUMBER(namespace_raw[[#This Row],[Column8]]), namespace_raw[[#This Row],[Column8]],"")</f>
        <v/>
      </c>
      <c r="H803" s="123" t="str">
        <f>IF(ISNUMBER(namespace_raw[[#This Row],[Column9]]), namespace_raw[[#This Row],[Column9]]/1048576,"")</f>
        <v/>
      </c>
      <c r="I803" s="124" t="str">
        <f>IF(ISNUMBER(namespace_raw[[#This Row],[Column8]]),MAX(G803, M803, O803, $I$2,IF(Q803&lt;&gt;"",VALUE(Q803),0)), "")</f>
        <v/>
      </c>
      <c r="J803" s="125" t="str">
        <f>IF(ISNUMBER(namespace_raw[[#This Row],[Column9]]),MAX(H803, N803, P803, $J$2,IF(R803&lt;&gt;"",VALUE(R803),0)),"")</f>
        <v/>
      </c>
      <c r="K803" s="166" t="str">
        <f>IF(ISNUMBER(namespace_raw[[#This Row],[Column12]]), namespace_raw[[#This Row],[Column12]],"")</f>
        <v/>
      </c>
      <c r="L803" s="167" t="str">
        <f>IF(ISNUMBER(namespace_raw[[#This Row],[Column13]]), namespace_raw[[#This Row],[Column13]]/1048576,"")</f>
        <v/>
      </c>
      <c r="M803" s="168" t="str">
        <f>IF(ISNUMBER(namespace_raw[[#This Row],[Column10]]), (namespace_raw[[#This Row],[Column10]]*(1+$M$2)),"")</f>
        <v/>
      </c>
      <c r="N803" s="167" t="str">
        <f>IF(ISNUMBER(namespace_raw[[#This Row],[Column11]]), (namespace_raw[[#This Row],[Column11]]*(1+$N$2))/1048576,"")</f>
        <v/>
      </c>
      <c r="O803" s="169" t="str">
        <f>IF(ISNUMBER(namespace_raw[[#This Row],[Column8]]), (E803  * $O$2),"")</f>
        <v/>
      </c>
      <c r="P803" s="170" t="str">
        <f>IF(ISNUMBER(namespace_raw[[#This Row],[Column8]]), (F803  * $P$2),"")</f>
        <v/>
      </c>
    </row>
    <row r="804" spans="1:16" ht="15" customHeight="1" x14ac:dyDescent="0.25">
      <c r="A804" s="32" t="str">
        <f>IF(ISNONTEXT(namespace_raw[[#This Row],[Column1]]), "", namespace_raw[[#This Row],[Column1]])</f>
        <v/>
      </c>
      <c r="B804" s="33" t="str">
        <f>IF(ISNONTEXT(namespace_raw[[#This Row],[Column2]]), "", namespace_raw[[#This Row],[Column2]])</f>
        <v/>
      </c>
      <c r="C804" s="94" t="str">
        <f>IF(ISNUMBER(namespace_raw[[#This Row],[Column4]]), namespace_raw[[#This Row],[Column4]], "")</f>
        <v/>
      </c>
      <c r="D804" s="95" t="str">
        <f>IF(ISNUMBER(namespace_raw[[#This Row],[Column5]]), namespace_raw[[#This Row],[Column5]]/1048576, "")</f>
        <v/>
      </c>
      <c r="E804" s="95" t="str">
        <f>IF(ISNUMBER(namespace_raw[[#This Row],[Column6]]), namespace_raw[[#This Row],[Column6]],"")</f>
        <v/>
      </c>
      <c r="F804" s="96" t="str">
        <f>IF(ISNUMBER(namespace_raw[[#This Row],[Column7]]), namespace_raw[[#This Row],[Column7]]/1048576,"")</f>
        <v/>
      </c>
      <c r="G804" s="122" t="str">
        <f>IF(ISNUMBER(namespace_raw[[#This Row],[Column8]]), namespace_raw[[#This Row],[Column8]],"")</f>
        <v/>
      </c>
      <c r="H804" s="123" t="str">
        <f>IF(ISNUMBER(namespace_raw[[#This Row],[Column9]]), namespace_raw[[#This Row],[Column9]]/1048576,"")</f>
        <v/>
      </c>
      <c r="I804" s="124" t="str">
        <f>IF(ISNUMBER(namespace_raw[[#This Row],[Column8]]),MAX(G804, M804, O804, $I$2,IF(Q804&lt;&gt;"",VALUE(Q804),0)), "")</f>
        <v/>
      </c>
      <c r="J804" s="125" t="str">
        <f>IF(ISNUMBER(namespace_raw[[#This Row],[Column9]]),MAX(H804, N804, P804, $J$2,IF(R804&lt;&gt;"",VALUE(R804),0)),"")</f>
        <v/>
      </c>
      <c r="K804" s="166" t="str">
        <f>IF(ISNUMBER(namespace_raw[[#This Row],[Column12]]), namespace_raw[[#This Row],[Column12]],"")</f>
        <v/>
      </c>
      <c r="L804" s="167" t="str">
        <f>IF(ISNUMBER(namespace_raw[[#This Row],[Column13]]), namespace_raw[[#This Row],[Column13]]/1048576,"")</f>
        <v/>
      </c>
      <c r="M804" s="168" t="str">
        <f>IF(ISNUMBER(namespace_raw[[#This Row],[Column10]]), (namespace_raw[[#This Row],[Column10]]*(1+$M$2)),"")</f>
        <v/>
      </c>
      <c r="N804" s="167" t="str">
        <f>IF(ISNUMBER(namespace_raw[[#This Row],[Column11]]), (namespace_raw[[#This Row],[Column11]]*(1+$N$2))/1048576,"")</f>
        <v/>
      </c>
      <c r="O804" s="169" t="str">
        <f>IF(ISNUMBER(namespace_raw[[#This Row],[Column8]]), (E804  * $O$2),"")</f>
        <v/>
      </c>
      <c r="P804" s="170" t="str">
        <f>IF(ISNUMBER(namespace_raw[[#This Row],[Column8]]), (F804  * $P$2),"")</f>
        <v/>
      </c>
    </row>
    <row r="805" spans="1:16" ht="15" customHeight="1" x14ac:dyDescent="0.25">
      <c r="A805" s="32" t="str">
        <f>IF(ISNONTEXT(namespace_raw[[#This Row],[Column1]]), "", namespace_raw[[#This Row],[Column1]])</f>
        <v/>
      </c>
      <c r="B805" s="33" t="str">
        <f>IF(ISNONTEXT(namespace_raw[[#This Row],[Column2]]), "", namespace_raw[[#This Row],[Column2]])</f>
        <v/>
      </c>
      <c r="C805" s="94" t="str">
        <f>IF(ISNUMBER(namespace_raw[[#This Row],[Column4]]), namespace_raw[[#This Row],[Column4]], "")</f>
        <v/>
      </c>
      <c r="D805" s="95" t="str">
        <f>IF(ISNUMBER(namespace_raw[[#This Row],[Column5]]), namespace_raw[[#This Row],[Column5]]/1048576, "")</f>
        <v/>
      </c>
      <c r="E805" s="95" t="str">
        <f>IF(ISNUMBER(namespace_raw[[#This Row],[Column6]]), namespace_raw[[#This Row],[Column6]],"")</f>
        <v/>
      </c>
      <c r="F805" s="96" t="str">
        <f>IF(ISNUMBER(namespace_raw[[#This Row],[Column7]]), namespace_raw[[#This Row],[Column7]]/1048576,"")</f>
        <v/>
      </c>
      <c r="G805" s="122" t="str">
        <f>IF(ISNUMBER(namespace_raw[[#This Row],[Column8]]), namespace_raw[[#This Row],[Column8]],"")</f>
        <v/>
      </c>
      <c r="H805" s="123" t="str">
        <f>IF(ISNUMBER(namespace_raw[[#This Row],[Column9]]), namespace_raw[[#This Row],[Column9]]/1048576,"")</f>
        <v/>
      </c>
      <c r="I805" s="124" t="str">
        <f>IF(ISNUMBER(namespace_raw[[#This Row],[Column8]]),MAX(G805, M805, O805, $I$2,IF(Q805&lt;&gt;"",VALUE(Q805),0)), "")</f>
        <v/>
      </c>
      <c r="J805" s="125" t="str">
        <f>IF(ISNUMBER(namespace_raw[[#This Row],[Column9]]),MAX(H805, N805, P805, $J$2,IF(R805&lt;&gt;"",VALUE(R805),0)),"")</f>
        <v/>
      </c>
      <c r="K805" s="166" t="str">
        <f>IF(ISNUMBER(namespace_raw[[#This Row],[Column12]]), namespace_raw[[#This Row],[Column12]],"")</f>
        <v/>
      </c>
      <c r="L805" s="167" t="str">
        <f>IF(ISNUMBER(namespace_raw[[#This Row],[Column13]]), namespace_raw[[#This Row],[Column13]]/1048576,"")</f>
        <v/>
      </c>
      <c r="M805" s="168" t="str">
        <f>IF(ISNUMBER(namespace_raw[[#This Row],[Column10]]), (namespace_raw[[#This Row],[Column10]]*(1+$M$2)),"")</f>
        <v/>
      </c>
      <c r="N805" s="167" t="str">
        <f>IF(ISNUMBER(namespace_raw[[#This Row],[Column11]]), (namespace_raw[[#This Row],[Column11]]*(1+$N$2))/1048576,"")</f>
        <v/>
      </c>
      <c r="O805" s="169" t="str">
        <f>IF(ISNUMBER(namespace_raw[[#This Row],[Column8]]), (E805  * $O$2),"")</f>
        <v/>
      </c>
      <c r="P805" s="170" t="str">
        <f>IF(ISNUMBER(namespace_raw[[#This Row],[Column8]]), (F805  * $P$2),"")</f>
        <v/>
      </c>
    </row>
    <row r="806" spans="1:16" ht="15" customHeight="1" x14ac:dyDescent="0.25">
      <c r="A806" s="32" t="str">
        <f>IF(ISNONTEXT(namespace_raw[[#This Row],[Column1]]), "", namespace_raw[[#This Row],[Column1]])</f>
        <v/>
      </c>
      <c r="B806" s="33" t="str">
        <f>IF(ISNONTEXT(namespace_raw[[#This Row],[Column2]]), "", namespace_raw[[#This Row],[Column2]])</f>
        <v/>
      </c>
      <c r="C806" s="94" t="str">
        <f>IF(ISNUMBER(namespace_raw[[#This Row],[Column4]]), namespace_raw[[#This Row],[Column4]], "")</f>
        <v/>
      </c>
      <c r="D806" s="95" t="str">
        <f>IF(ISNUMBER(namespace_raw[[#This Row],[Column5]]), namespace_raw[[#This Row],[Column5]]/1048576, "")</f>
        <v/>
      </c>
      <c r="E806" s="95" t="str">
        <f>IF(ISNUMBER(namespace_raw[[#This Row],[Column6]]), namespace_raw[[#This Row],[Column6]],"")</f>
        <v/>
      </c>
      <c r="F806" s="96" t="str">
        <f>IF(ISNUMBER(namespace_raw[[#This Row],[Column7]]), namespace_raw[[#This Row],[Column7]]/1048576,"")</f>
        <v/>
      </c>
      <c r="G806" s="122" t="str">
        <f>IF(ISNUMBER(namespace_raw[[#This Row],[Column8]]), namespace_raw[[#This Row],[Column8]],"")</f>
        <v/>
      </c>
      <c r="H806" s="123" t="str">
        <f>IF(ISNUMBER(namespace_raw[[#This Row],[Column9]]), namespace_raw[[#This Row],[Column9]]/1048576,"")</f>
        <v/>
      </c>
      <c r="I806" s="124" t="str">
        <f>IF(ISNUMBER(namespace_raw[[#This Row],[Column8]]),MAX(G806, M806, O806, $I$2,IF(Q806&lt;&gt;"",VALUE(Q806),0)), "")</f>
        <v/>
      </c>
      <c r="J806" s="125" t="str">
        <f>IF(ISNUMBER(namespace_raw[[#This Row],[Column9]]),MAX(H806, N806, P806, $J$2,IF(R806&lt;&gt;"",VALUE(R806),0)),"")</f>
        <v/>
      </c>
      <c r="K806" s="166" t="str">
        <f>IF(ISNUMBER(namespace_raw[[#This Row],[Column12]]), namespace_raw[[#This Row],[Column12]],"")</f>
        <v/>
      </c>
      <c r="L806" s="167" t="str">
        <f>IF(ISNUMBER(namespace_raw[[#This Row],[Column13]]), namespace_raw[[#This Row],[Column13]]/1048576,"")</f>
        <v/>
      </c>
      <c r="M806" s="168" t="str">
        <f>IF(ISNUMBER(namespace_raw[[#This Row],[Column10]]), (namespace_raw[[#This Row],[Column10]]*(1+$M$2)),"")</f>
        <v/>
      </c>
      <c r="N806" s="167" t="str">
        <f>IF(ISNUMBER(namespace_raw[[#This Row],[Column11]]), (namespace_raw[[#This Row],[Column11]]*(1+$N$2))/1048576,"")</f>
        <v/>
      </c>
      <c r="O806" s="169" t="str">
        <f>IF(ISNUMBER(namespace_raw[[#This Row],[Column8]]), (E806  * $O$2),"")</f>
        <v/>
      </c>
      <c r="P806" s="170" t="str">
        <f>IF(ISNUMBER(namespace_raw[[#This Row],[Column8]]), (F806  * $P$2),"")</f>
        <v/>
      </c>
    </row>
    <row r="807" spans="1:16" ht="15" customHeight="1" x14ac:dyDescent="0.25">
      <c r="A807" s="32" t="str">
        <f>IF(ISNONTEXT(namespace_raw[[#This Row],[Column1]]), "", namespace_raw[[#This Row],[Column1]])</f>
        <v/>
      </c>
      <c r="B807" s="33" t="str">
        <f>IF(ISNONTEXT(namespace_raw[[#This Row],[Column2]]), "", namespace_raw[[#This Row],[Column2]])</f>
        <v/>
      </c>
      <c r="C807" s="94" t="str">
        <f>IF(ISNUMBER(namespace_raw[[#This Row],[Column4]]), namespace_raw[[#This Row],[Column4]], "")</f>
        <v/>
      </c>
      <c r="D807" s="95" t="str">
        <f>IF(ISNUMBER(namespace_raw[[#This Row],[Column5]]), namespace_raw[[#This Row],[Column5]]/1048576, "")</f>
        <v/>
      </c>
      <c r="E807" s="95" t="str">
        <f>IF(ISNUMBER(namespace_raw[[#This Row],[Column6]]), namespace_raw[[#This Row],[Column6]],"")</f>
        <v/>
      </c>
      <c r="F807" s="96" t="str">
        <f>IF(ISNUMBER(namespace_raw[[#This Row],[Column7]]), namespace_raw[[#This Row],[Column7]]/1048576,"")</f>
        <v/>
      </c>
      <c r="G807" s="122" t="str">
        <f>IF(ISNUMBER(namespace_raw[[#This Row],[Column8]]), namespace_raw[[#This Row],[Column8]],"")</f>
        <v/>
      </c>
      <c r="H807" s="123" t="str">
        <f>IF(ISNUMBER(namespace_raw[[#This Row],[Column9]]), namespace_raw[[#This Row],[Column9]]/1048576,"")</f>
        <v/>
      </c>
      <c r="I807" s="124" t="str">
        <f>IF(ISNUMBER(namespace_raw[[#This Row],[Column8]]),MAX(G807, M807, O807, $I$2,IF(Q807&lt;&gt;"",VALUE(Q807),0)), "")</f>
        <v/>
      </c>
      <c r="J807" s="125" t="str">
        <f>IF(ISNUMBER(namespace_raw[[#This Row],[Column9]]),MAX(H807, N807, P807, $J$2,IF(R807&lt;&gt;"",VALUE(R807),0)),"")</f>
        <v/>
      </c>
      <c r="K807" s="166" t="str">
        <f>IF(ISNUMBER(namespace_raw[[#This Row],[Column12]]), namespace_raw[[#This Row],[Column12]],"")</f>
        <v/>
      </c>
      <c r="L807" s="167" t="str">
        <f>IF(ISNUMBER(namespace_raw[[#This Row],[Column13]]), namespace_raw[[#This Row],[Column13]]/1048576,"")</f>
        <v/>
      </c>
      <c r="M807" s="168" t="str">
        <f>IF(ISNUMBER(namespace_raw[[#This Row],[Column10]]), (namespace_raw[[#This Row],[Column10]]*(1+$M$2)),"")</f>
        <v/>
      </c>
      <c r="N807" s="167" t="str">
        <f>IF(ISNUMBER(namespace_raw[[#This Row],[Column11]]), (namespace_raw[[#This Row],[Column11]]*(1+$N$2))/1048576,"")</f>
        <v/>
      </c>
      <c r="O807" s="169" t="str">
        <f>IF(ISNUMBER(namespace_raw[[#This Row],[Column8]]), (E807  * $O$2),"")</f>
        <v/>
      </c>
      <c r="P807" s="170" t="str">
        <f>IF(ISNUMBER(namespace_raw[[#This Row],[Column8]]), (F807  * $P$2),"")</f>
        <v/>
      </c>
    </row>
    <row r="808" spans="1:16" ht="15" customHeight="1" x14ac:dyDescent="0.25">
      <c r="A808" s="32" t="str">
        <f>IF(ISNONTEXT(namespace_raw[[#This Row],[Column1]]), "", namespace_raw[[#This Row],[Column1]])</f>
        <v/>
      </c>
      <c r="B808" s="33" t="str">
        <f>IF(ISNONTEXT(namespace_raw[[#This Row],[Column2]]), "", namespace_raw[[#This Row],[Column2]])</f>
        <v/>
      </c>
      <c r="C808" s="94" t="str">
        <f>IF(ISNUMBER(namespace_raw[[#This Row],[Column4]]), namespace_raw[[#This Row],[Column4]], "")</f>
        <v/>
      </c>
      <c r="D808" s="95" t="str">
        <f>IF(ISNUMBER(namespace_raw[[#This Row],[Column5]]), namespace_raw[[#This Row],[Column5]]/1048576, "")</f>
        <v/>
      </c>
      <c r="E808" s="95" t="str">
        <f>IF(ISNUMBER(namespace_raw[[#This Row],[Column6]]), namespace_raw[[#This Row],[Column6]],"")</f>
        <v/>
      </c>
      <c r="F808" s="96" t="str">
        <f>IF(ISNUMBER(namespace_raw[[#This Row],[Column7]]), namespace_raw[[#This Row],[Column7]]/1048576,"")</f>
        <v/>
      </c>
      <c r="G808" s="122" t="str">
        <f>IF(ISNUMBER(namespace_raw[[#This Row],[Column8]]), namespace_raw[[#This Row],[Column8]],"")</f>
        <v/>
      </c>
      <c r="H808" s="123" t="str">
        <f>IF(ISNUMBER(namespace_raw[[#This Row],[Column9]]), namespace_raw[[#This Row],[Column9]]/1048576,"")</f>
        <v/>
      </c>
      <c r="I808" s="124" t="str">
        <f>IF(ISNUMBER(namespace_raw[[#This Row],[Column8]]),MAX(G808, M808, O808, $I$2,IF(Q808&lt;&gt;"",VALUE(Q808),0)), "")</f>
        <v/>
      </c>
      <c r="J808" s="125" t="str">
        <f>IF(ISNUMBER(namespace_raw[[#This Row],[Column9]]),MAX(H808, N808, P808, $J$2,IF(R808&lt;&gt;"",VALUE(R808),0)),"")</f>
        <v/>
      </c>
      <c r="K808" s="166" t="str">
        <f>IF(ISNUMBER(namespace_raw[[#This Row],[Column12]]), namespace_raw[[#This Row],[Column12]],"")</f>
        <v/>
      </c>
      <c r="L808" s="167" t="str">
        <f>IF(ISNUMBER(namespace_raw[[#This Row],[Column13]]), namespace_raw[[#This Row],[Column13]]/1048576,"")</f>
        <v/>
      </c>
      <c r="M808" s="168" t="str">
        <f>IF(ISNUMBER(namespace_raw[[#This Row],[Column10]]), (namespace_raw[[#This Row],[Column10]]*(1+$M$2)),"")</f>
        <v/>
      </c>
      <c r="N808" s="167" t="str">
        <f>IF(ISNUMBER(namespace_raw[[#This Row],[Column11]]), (namespace_raw[[#This Row],[Column11]]*(1+$N$2))/1048576,"")</f>
        <v/>
      </c>
      <c r="O808" s="169" t="str">
        <f>IF(ISNUMBER(namespace_raw[[#This Row],[Column8]]), (E808  * $O$2),"")</f>
        <v/>
      </c>
      <c r="P808" s="170" t="str">
        <f>IF(ISNUMBER(namespace_raw[[#This Row],[Column8]]), (F808  * $P$2),"")</f>
        <v/>
      </c>
    </row>
    <row r="809" spans="1:16" ht="15" customHeight="1" x14ac:dyDescent="0.25">
      <c r="A809" s="32" t="str">
        <f>IF(ISNONTEXT(namespace_raw[[#This Row],[Column1]]), "", namespace_raw[[#This Row],[Column1]])</f>
        <v/>
      </c>
      <c r="B809" s="33" t="str">
        <f>IF(ISNONTEXT(namespace_raw[[#This Row],[Column2]]), "", namespace_raw[[#This Row],[Column2]])</f>
        <v/>
      </c>
      <c r="C809" s="94" t="str">
        <f>IF(ISNUMBER(namespace_raw[[#This Row],[Column4]]), namespace_raw[[#This Row],[Column4]], "")</f>
        <v/>
      </c>
      <c r="D809" s="95" t="str">
        <f>IF(ISNUMBER(namespace_raw[[#This Row],[Column5]]), namespace_raw[[#This Row],[Column5]]/1048576, "")</f>
        <v/>
      </c>
      <c r="E809" s="95" t="str">
        <f>IF(ISNUMBER(namespace_raw[[#This Row],[Column6]]), namespace_raw[[#This Row],[Column6]],"")</f>
        <v/>
      </c>
      <c r="F809" s="96" t="str">
        <f>IF(ISNUMBER(namespace_raw[[#This Row],[Column7]]), namespace_raw[[#This Row],[Column7]]/1048576,"")</f>
        <v/>
      </c>
      <c r="G809" s="122" t="str">
        <f>IF(ISNUMBER(namespace_raw[[#This Row],[Column8]]), namespace_raw[[#This Row],[Column8]],"")</f>
        <v/>
      </c>
      <c r="H809" s="123" t="str">
        <f>IF(ISNUMBER(namespace_raw[[#This Row],[Column9]]), namespace_raw[[#This Row],[Column9]]/1048576,"")</f>
        <v/>
      </c>
      <c r="I809" s="124" t="str">
        <f>IF(ISNUMBER(namespace_raw[[#This Row],[Column8]]),MAX(G809, M809, O809, $I$2,IF(Q809&lt;&gt;"",VALUE(Q809),0)), "")</f>
        <v/>
      </c>
      <c r="J809" s="125" t="str">
        <f>IF(ISNUMBER(namespace_raw[[#This Row],[Column9]]),MAX(H809, N809, P809, $J$2,IF(R809&lt;&gt;"",VALUE(R809),0)),"")</f>
        <v/>
      </c>
      <c r="K809" s="166" t="str">
        <f>IF(ISNUMBER(namespace_raw[[#This Row],[Column12]]), namespace_raw[[#This Row],[Column12]],"")</f>
        <v/>
      </c>
      <c r="L809" s="167" t="str">
        <f>IF(ISNUMBER(namespace_raw[[#This Row],[Column13]]), namespace_raw[[#This Row],[Column13]]/1048576,"")</f>
        <v/>
      </c>
      <c r="M809" s="168" t="str">
        <f>IF(ISNUMBER(namespace_raw[[#This Row],[Column10]]), (namespace_raw[[#This Row],[Column10]]*(1+$M$2)),"")</f>
        <v/>
      </c>
      <c r="N809" s="167" t="str">
        <f>IF(ISNUMBER(namespace_raw[[#This Row],[Column11]]), (namespace_raw[[#This Row],[Column11]]*(1+$N$2))/1048576,"")</f>
        <v/>
      </c>
      <c r="O809" s="169" t="str">
        <f>IF(ISNUMBER(namespace_raw[[#This Row],[Column8]]), (E809  * $O$2),"")</f>
        <v/>
      </c>
      <c r="P809" s="170" t="str">
        <f>IF(ISNUMBER(namespace_raw[[#This Row],[Column8]]), (F809  * $P$2),"")</f>
        <v/>
      </c>
    </row>
    <row r="810" spans="1:16" ht="15" customHeight="1" x14ac:dyDescent="0.25">
      <c r="A810" s="32" t="str">
        <f>IF(ISNONTEXT(namespace_raw[[#This Row],[Column1]]), "", namespace_raw[[#This Row],[Column1]])</f>
        <v/>
      </c>
      <c r="B810" s="33" t="str">
        <f>IF(ISNONTEXT(namespace_raw[[#This Row],[Column2]]), "", namespace_raw[[#This Row],[Column2]])</f>
        <v/>
      </c>
      <c r="C810" s="94" t="str">
        <f>IF(ISNUMBER(namespace_raw[[#This Row],[Column4]]), namespace_raw[[#This Row],[Column4]], "")</f>
        <v/>
      </c>
      <c r="D810" s="95" t="str">
        <f>IF(ISNUMBER(namespace_raw[[#This Row],[Column5]]), namespace_raw[[#This Row],[Column5]]/1048576, "")</f>
        <v/>
      </c>
      <c r="E810" s="95" t="str">
        <f>IF(ISNUMBER(namespace_raw[[#This Row],[Column6]]), namespace_raw[[#This Row],[Column6]],"")</f>
        <v/>
      </c>
      <c r="F810" s="96" t="str">
        <f>IF(ISNUMBER(namespace_raw[[#This Row],[Column7]]), namespace_raw[[#This Row],[Column7]]/1048576,"")</f>
        <v/>
      </c>
      <c r="G810" s="122" t="str">
        <f>IF(ISNUMBER(namespace_raw[[#This Row],[Column8]]), namespace_raw[[#This Row],[Column8]],"")</f>
        <v/>
      </c>
      <c r="H810" s="123" t="str">
        <f>IF(ISNUMBER(namespace_raw[[#This Row],[Column9]]), namespace_raw[[#This Row],[Column9]]/1048576,"")</f>
        <v/>
      </c>
      <c r="I810" s="124" t="str">
        <f>IF(ISNUMBER(namespace_raw[[#This Row],[Column8]]),MAX(G810, M810, O810, $I$2,IF(Q810&lt;&gt;"",VALUE(Q810),0)), "")</f>
        <v/>
      </c>
      <c r="J810" s="125" t="str">
        <f>IF(ISNUMBER(namespace_raw[[#This Row],[Column9]]),MAX(H810, N810, P810, $J$2,IF(R810&lt;&gt;"",VALUE(R810),0)),"")</f>
        <v/>
      </c>
      <c r="K810" s="166" t="str">
        <f>IF(ISNUMBER(namespace_raw[[#This Row],[Column12]]), namespace_raw[[#This Row],[Column12]],"")</f>
        <v/>
      </c>
      <c r="L810" s="167" t="str">
        <f>IF(ISNUMBER(namespace_raw[[#This Row],[Column13]]), namespace_raw[[#This Row],[Column13]]/1048576,"")</f>
        <v/>
      </c>
      <c r="M810" s="168" t="str">
        <f>IF(ISNUMBER(namespace_raw[[#This Row],[Column10]]), (namespace_raw[[#This Row],[Column10]]*(1+$M$2)),"")</f>
        <v/>
      </c>
      <c r="N810" s="167" t="str">
        <f>IF(ISNUMBER(namespace_raw[[#This Row],[Column11]]), (namespace_raw[[#This Row],[Column11]]*(1+$N$2))/1048576,"")</f>
        <v/>
      </c>
      <c r="O810" s="169" t="str">
        <f>IF(ISNUMBER(namespace_raw[[#This Row],[Column8]]), (E810  * $O$2),"")</f>
        <v/>
      </c>
      <c r="P810" s="170" t="str">
        <f>IF(ISNUMBER(namespace_raw[[#This Row],[Column8]]), (F810  * $P$2),"")</f>
        <v/>
      </c>
    </row>
    <row r="811" spans="1:16" ht="15" customHeight="1" x14ac:dyDescent="0.25">
      <c r="A811" s="32" t="str">
        <f>IF(ISNONTEXT(namespace_raw[[#This Row],[Column1]]), "", namespace_raw[[#This Row],[Column1]])</f>
        <v/>
      </c>
      <c r="B811" s="33" t="str">
        <f>IF(ISNONTEXT(namespace_raw[[#This Row],[Column2]]), "", namespace_raw[[#This Row],[Column2]])</f>
        <v/>
      </c>
      <c r="C811" s="94" t="str">
        <f>IF(ISNUMBER(namespace_raw[[#This Row],[Column4]]), namespace_raw[[#This Row],[Column4]], "")</f>
        <v/>
      </c>
      <c r="D811" s="95" t="str">
        <f>IF(ISNUMBER(namespace_raw[[#This Row],[Column5]]), namespace_raw[[#This Row],[Column5]]/1048576, "")</f>
        <v/>
      </c>
      <c r="E811" s="95" t="str">
        <f>IF(ISNUMBER(namespace_raw[[#This Row],[Column6]]), namespace_raw[[#This Row],[Column6]],"")</f>
        <v/>
      </c>
      <c r="F811" s="96" t="str">
        <f>IF(ISNUMBER(namespace_raw[[#This Row],[Column7]]), namespace_raw[[#This Row],[Column7]]/1048576,"")</f>
        <v/>
      </c>
      <c r="G811" s="122" t="str">
        <f>IF(ISNUMBER(namespace_raw[[#This Row],[Column8]]), namespace_raw[[#This Row],[Column8]],"")</f>
        <v/>
      </c>
      <c r="H811" s="123" t="str">
        <f>IF(ISNUMBER(namespace_raw[[#This Row],[Column9]]), namespace_raw[[#This Row],[Column9]]/1048576,"")</f>
        <v/>
      </c>
      <c r="I811" s="124" t="str">
        <f>IF(ISNUMBER(namespace_raw[[#This Row],[Column8]]),MAX(G811, M811, O811, $I$2,IF(Q811&lt;&gt;"",VALUE(Q811),0)), "")</f>
        <v/>
      </c>
      <c r="J811" s="125" t="str">
        <f>IF(ISNUMBER(namespace_raw[[#This Row],[Column9]]),MAX(H811, N811, P811, $J$2,IF(R811&lt;&gt;"",VALUE(R811),0)),"")</f>
        <v/>
      </c>
      <c r="K811" s="166" t="str">
        <f>IF(ISNUMBER(namespace_raw[[#This Row],[Column12]]), namespace_raw[[#This Row],[Column12]],"")</f>
        <v/>
      </c>
      <c r="L811" s="167" t="str">
        <f>IF(ISNUMBER(namespace_raw[[#This Row],[Column13]]), namespace_raw[[#This Row],[Column13]]/1048576,"")</f>
        <v/>
      </c>
      <c r="M811" s="168" t="str">
        <f>IF(ISNUMBER(namespace_raw[[#This Row],[Column10]]), (namespace_raw[[#This Row],[Column10]]*(1+$M$2)),"")</f>
        <v/>
      </c>
      <c r="N811" s="167" t="str">
        <f>IF(ISNUMBER(namespace_raw[[#This Row],[Column11]]), (namespace_raw[[#This Row],[Column11]]*(1+$N$2))/1048576,"")</f>
        <v/>
      </c>
      <c r="O811" s="169" t="str">
        <f>IF(ISNUMBER(namespace_raw[[#This Row],[Column8]]), (E811  * $O$2),"")</f>
        <v/>
      </c>
      <c r="P811" s="170" t="str">
        <f>IF(ISNUMBER(namespace_raw[[#This Row],[Column8]]), (F811  * $P$2),"")</f>
        <v/>
      </c>
    </row>
    <row r="812" spans="1:16" ht="15" customHeight="1" x14ac:dyDescent="0.25">
      <c r="A812" s="32" t="str">
        <f>IF(ISNONTEXT(namespace_raw[[#This Row],[Column1]]), "", namespace_raw[[#This Row],[Column1]])</f>
        <v/>
      </c>
      <c r="B812" s="33" t="str">
        <f>IF(ISNONTEXT(namespace_raw[[#This Row],[Column2]]), "", namespace_raw[[#This Row],[Column2]])</f>
        <v/>
      </c>
      <c r="C812" s="94" t="str">
        <f>IF(ISNUMBER(namespace_raw[[#This Row],[Column4]]), namespace_raw[[#This Row],[Column4]], "")</f>
        <v/>
      </c>
      <c r="D812" s="95" t="str">
        <f>IF(ISNUMBER(namespace_raw[[#This Row],[Column5]]), namespace_raw[[#This Row],[Column5]]/1048576, "")</f>
        <v/>
      </c>
      <c r="E812" s="95" t="str">
        <f>IF(ISNUMBER(namespace_raw[[#This Row],[Column6]]), namespace_raw[[#This Row],[Column6]],"")</f>
        <v/>
      </c>
      <c r="F812" s="96" t="str">
        <f>IF(ISNUMBER(namespace_raw[[#This Row],[Column7]]), namespace_raw[[#This Row],[Column7]]/1048576,"")</f>
        <v/>
      </c>
      <c r="G812" s="122" t="str">
        <f>IF(ISNUMBER(namespace_raw[[#This Row],[Column8]]), namespace_raw[[#This Row],[Column8]],"")</f>
        <v/>
      </c>
      <c r="H812" s="123" t="str">
        <f>IF(ISNUMBER(namespace_raw[[#This Row],[Column9]]), namespace_raw[[#This Row],[Column9]]/1048576,"")</f>
        <v/>
      </c>
      <c r="I812" s="124" t="str">
        <f>IF(ISNUMBER(namespace_raw[[#This Row],[Column8]]),MAX(G812, M812, O812, $I$2,IF(Q812&lt;&gt;"",VALUE(Q812),0)), "")</f>
        <v/>
      </c>
      <c r="J812" s="125" t="str">
        <f>IF(ISNUMBER(namespace_raw[[#This Row],[Column9]]),MAX(H812, N812, P812, $J$2,IF(R812&lt;&gt;"",VALUE(R812),0)),"")</f>
        <v/>
      </c>
      <c r="K812" s="166" t="str">
        <f>IF(ISNUMBER(namespace_raw[[#This Row],[Column12]]), namespace_raw[[#This Row],[Column12]],"")</f>
        <v/>
      </c>
      <c r="L812" s="167" t="str">
        <f>IF(ISNUMBER(namespace_raw[[#This Row],[Column13]]), namespace_raw[[#This Row],[Column13]]/1048576,"")</f>
        <v/>
      </c>
      <c r="M812" s="168" t="str">
        <f>IF(ISNUMBER(namespace_raw[[#This Row],[Column10]]), (namespace_raw[[#This Row],[Column10]]*(1+$M$2)),"")</f>
        <v/>
      </c>
      <c r="N812" s="167" t="str">
        <f>IF(ISNUMBER(namespace_raw[[#This Row],[Column11]]), (namespace_raw[[#This Row],[Column11]]*(1+$N$2))/1048576,"")</f>
        <v/>
      </c>
      <c r="O812" s="169" t="str">
        <f>IF(ISNUMBER(namespace_raw[[#This Row],[Column8]]), (E812  * $O$2),"")</f>
        <v/>
      </c>
      <c r="P812" s="170" t="str">
        <f>IF(ISNUMBER(namespace_raw[[#This Row],[Column8]]), (F812  * $P$2),"")</f>
        <v/>
      </c>
    </row>
    <row r="813" spans="1:16" ht="15" customHeight="1" x14ac:dyDescent="0.25">
      <c r="A813" s="32" t="str">
        <f>IF(ISNONTEXT(namespace_raw[[#This Row],[Column1]]), "", namespace_raw[[#This Row],[Column1]])</f>
        <v/>
      </c>
      <c r="B813" s="33" t="str">
        <f>IF(ISNONTEXT(namespace_raw[[#This Row],[Column2]]), "", namespace_raw[[#This Row],[Column2]])</f>
        <v/>
      </c>
      <c r="C813" s="94" t="str">
        <f>IF(ISNUMBER(namespace_raw[[#This Row],[Column4]]), namespace_raw[[#This Row],[Column4]], "")</f>
        <v/>
      </c>
      <c r="D813" s="95" t="str">
        <f>IF(ISNUMBER(namespace_raw[[#This Row],[Column5]]), namespace_raw[[#This Row],[Column5]]/1048576, "")</f>
        <v/>
      </c>
      <c r="E813" s="95" t="str">
        <f>IF(ISNUMBER(namespace_raw[[#This Row],[Column6]]), namespace_raw[[#This Row],[Column6]],"")</f>
        <v/>
      </c>
      <c r="F813" s="96" t="str">
        <f>IF(ISNUMBER(namespace_raw[[#This Row],[Column7]]), namespace_raw[[#This Row],[Column7]]/1048576,"")</f>
        <v/>
      </c>
      <c r="G813" s="122" t="str">
        <f>IF(ISNUMBER(namespace_raw[[#This Row],[Column8]]), namespace_raw[[#This Row],[Column8]],"")</f>
        <v/>
      </c>
      <c r="H813" s="123" t="str">
        <f>IF(ISNUMBER(namespace_raw[[#This Row],[Column9]]), namespace_raw[[#This Row],[Column9]]/1048576,"")</f>
        <v/>
      </c>
      <c r="I813" s="124" t="str">
        <f>IF(ISNUMBER(namespace_raw[[#This Row],[Column8]]),MAX(G813, M813, O813, $I$2,IF(Q813&lt;&gt;"",VALUE(Q813),0)), "")</f>
        <v/>
      </c>
      <c r="J813" s="125" t="str">
        <f>IF(ISNUMBER(namespace_raw[[#This Row],[Column9]]),MAX(H813, N813, P813, $J$2,IF(R813&lt;&gt;"",VALUE(R813),0)),"")</f>
        <v/>
      </c>
      <c r="K813" s="166" t="str">
        <f>IF(ISNUMBER(namespace_raw[[#This Row],[Column12]]), namespace_raw[[#This Row],[Column12]],"")</f>
        <v/>
      </c>
      <c r="L813" s="167" t="str">
        <f>IF(ISNUMBER(namespace_raw[[#This Row],[Column13]]), namespace_raw[[#This Row],[Column13]]/1048576,"")</f>
        <v/>
      </c>
      <c r="M813" s="168" t="str">
        <f>IF(ISNUMBER(namespace_raw[[#This Row],[Column10]]), (namespace_raw[[#This Row],[Column10]]*(1+$M$2)),"")</f>
        <v/>
      </c>
      <c r="N813" s="167" t="str">
        <f>IF(ISNUMBER(namespace_raw[[#This Row],[Column11]]), (namespace_raw[[#This Row],[Column11]]*(1+$N$2))/1048576,"")</f>
        <v/>
      </c>
      <c r="O813" s="169" t="str">
        <f>IF(ISNUMBER(namespace_raw[[#This Row],[Column8]]), (E813  * $O$2),"")</f>
        <v/>
      </c>
      <c r="P813" s="170" t="str">
        <f>IF(ISNUMBER(namespace_raw[[#This Row],[Column8]]), (F813  * $P$2),"")</f>
        <v/>
      </c>
    </row>
    <row r="814" spans="1:16" ht="15" customHeight="1" x14ac:dyDescent="0.25">
      <c r="A814" s="32" t="str">
        <f>IF(ISNONTEXT(namespace_raw[[#This Row],[Column1]]), "", namespace_raw[[#This Row],[Column1]])</f>
        <v/>
      </c>
      <c r="B814" s="33" t="str">
        <f>IF(ISNONTEXT(namespace_raw[[#This Row],[Column2]]), "", namespace_raw[[#This Row],[Column2]])</f>
        <v/>
      </c>
      <c r="C814" s="94" t="str">
        <f>IF(ISNUMBER(namespace_raw[[#This Row],[Column4]]), namespace_raw[[#This Row],[Column4]], "")</f>
        <v/>
      </c>
      <c r="D814" s="95" t="str">
        <f>IF(ISNUMBER(namespace_raw[[#This Row],[Column5]]), namespace_raw[[#This Row],[Column5]]/1048576, "")</f>
        <v/>
      </c>
      <c r="E814" s="95" t="str">
        <f>IF(ISNUMBER(namespace_raw[[#This Row],[Column6]]), namespace_raw[[#This Row],[Column6]],"")</f>
        <v/>
      </c>
      <c r="F814" s="96" t="str">
        <f>IF(ISNUMBER(namespace_raw[[#This Row],[Column7]]), namespace_raw[[#This Row],[Column7]]/1048576,"")</f>
        <v/>
      </c>
      <c r="G814" s="122" t="str">
        <f>IF(ISNUMBER(namespace_raw[[#This Row],[Column8]]), namespace_raw[[#This Row],[Column8]],"")</f>
        <v/>
      </c>
      <c r="H814" s="123" t="str">
        <f>IF(ISNUMBER(namespace_raw[[#This Row],[Column9]]), namespace_raw[[#This Row],[Column9]]/1048576,"")</f>
        <v/>
      </c>
      <c r="I814" s="124" t="str">
        <f>IF(ISNUMBER(namespace_raw[[#This Row],[Column8]]),MAX(G814, M814, O814, $I$2,IF(Q814&lt;&gt;"",VALUE(Q814),0)), "")</f>
        <v/>
      </c>
      <c r="J814" s="125" t="str">
        <f>IF(ISNUMBER(namespace_raw[[#This Row],[Column9]]),MAX(H814, N814, P814, $J$2,IF(R814&lt;&gt;"",VALUE(R814),0)),"")</f>
        <v/>
      </c>
      <c r="K814" s="166" t="str">
        <f>IF(ISNUMBER(namespace_raw[[#This Row],[Column12]]), namespace_raw[[#This Row],[Column12]],"")</f>
        <v/>
      </c>
      <c r="L814" s="167" t="str">
        <f>IF(ISNUMBER(namespace_raw[[#This Row],[Column13]]), namespace_raw[[#This Row],[Column13]]/1048576,"")</f>
        <v/>
      </c>
      <c r="M814" s="168" t="str">
        <f>IF(ISNUMBER(namespace_raw[[#This Row],[Column10]]), (namespace_raw[[#This Row],[Column10]]*(1+$M$2)),"")</f>
        <v/>
      </c>
      <c r="N814" s="167" t="str">
        <f>IF(ISNUMBER(namespace_raw[[#This Row],[Column11]]), (namespace_raw[[#This Row],[Column11]]*(1+$N$2))/1048576,"")</f>
        <v/>
      </c>
      <c r="O814" s="169" t="str">
        <f>IF(ISNUMBER(namespace_raw[[#This Row],[Column8]]), (E814  * $O$2),"")</f>
        <v/>
      </c>
      <c r="P814" s="170" t="str">
        <f>IF(ISNUMBER(namespace_raw[[#This Row],[Column8]]), (F814  * $P$2),"")</f>
        <v/>
      </c>
    </row>
    <row r="815" spans="1:16" ht="15" customHeight="1" x14ac:dyDescent="0.25">
      <c r="A815" s="32" t="str">
        <f>IF(ISNONTEXT(namespace_raw[[#This Row],[Column1]]), "", namespace_raw[[#This Row],[Column1]])</f>
        <v/>
      </c>
      <c r="B815" s="33" t="str">
        <f>IF(ISNONTEXT(namespace_raw[[#This Row],[Column2]]), "", namespace_raw[[#This Row],[Column2]])</f>
        <v/>
      </c>
      <c r="C815" s="94" t="str">
        <f>IF(ISNUMBER(namespace_raw[[#This Row],[Column4]]), namespace_raw[[#This Row],[Column4]], "")</f>
        <v/>
      </c>
      <c r="D815" s="95" t="str">
        <f>IF(ISNUMBER(namespace_raw[[#This Row],[Column5]]), namespace_raw[[#This Row],[Column5]]/1048576, "")</f>
        <v/>
      </c>
      <c r="E815" s="95" t="str">
        <f>IF(ISNUMBER(namespace_raw[[#This Row],[Column6]]), namespace_raw[[#This Row],[Column6]],"")</f>
        <v/>
      </c>
      <c r="F815" s="96" t="str">
        <f>IF(ISNUMBER(namespace_raw[[#This Row],[Column7]]), namespace_raw[[#This Row],[Column7]]/1048576,"")</f>
        <v/>
      </c>
      <c r="G815" s="122" t="str">
        <f>IF(ISNUMBER(namespace_raw[[#This Row],[Column8]]), namespace_raw[[#This Row],[Column8]],"")</f>
        <v/>
      </c>
      <c r="H815" s="123" t="str">
        <f>IF(ISNUMBER(namespace_raw[[#This Row],[Column9]]), namespace_raw[[#This Row],[Column9]]/1048576,"")</f>
        <v/>
      </c>
      <c r="I815" s="124" t="str">
        <f>IF(ISNUMBER(namespace_raw[[#This Row],[Column8]]),MAX(G815, M815, O815, $I$2,IF(Q815&lt;&gt;"",VALUE(Q815),0)), "")</f>
        <v/>
      </c>
      <c r="J815" s="125" t="str">
        <f>IF(ISNUMBER(namespace_raw[[#This Row],[Column9]]),MAX(H815, N815, P815, $J$2,IF(R815&lt;&gt;"",VALUE(R815),0)),"")</f>
        <v/>
      </c>
      <c r="K815" s="166" t="str">
        <f>IF(ISNUMBER(namespace_raw[[#This Row],[Column12]]), namespace_raw[[#This Row],[Column12]],"")</f>
        <v/>
      </c>
      <c r="L815" s="167" t="str">
        <f>IF(ISNUMBER(namespace_raw[[#This Row],[Column13]]), namespace_raw[[#This Row],[Column13]]/1048576,"")</f>
        <v/>
      </c>
      <c r="M815" s="168" t="str">
        <f>IF(ISNUMBER(namespace_raw[[#This Row],[Column10]]), (namespace_raw[[#This Row],[Column10]]*(1+$M$2)),"")</f>
        <v/>
      </c>
      <c r="N815" s="167" t="str">
        <f>IF(ISNUMBER(namespace_raw[[#This Row],[Column11]]), (namespace_raw[[#This Row],[Column11]]*(1+$N$2))/1048576,"")</f>
        <v/>
      </c>
      <c r="O815" s="169" t="str">
        <f>IF(ISNUMBER(namespace_raw[[#This Row],[Column8]]), (E815  * $O$2),"")</f>
        <v/>
      </c>
      <c r="P815" s="170" t="str">
        <f>IF(ISNUMBER(namespace_raw[[#This Row],[Column8]]), (F815  * $P$2),"")</f>
        <v/>
      </c>
    </row>
    <row r="816" spans="1:16" ht="15" customHeight="1" x14ac:dyDescent="0.25">
      <c r="A816" s="32" t="str">
        <f>IF(ISNONTEXT(namespace_raw[[#This Row],[Column1]]), "", namespace_raw[[#This Row],[Column1]])</f>
        <v/>
      </c>
      <c r="B816" s="33" t="str">
        <f>IF(ISNONTEXT(namespace_raw[[#This Row],[Column2]]), "", namespace_raw[[#This Row],[Column2]])</f>
        <v/>
      </c>
      <c r="C816" s="94" t="str">
        <f>IF(ISNUMBER(namespace_raw[[#This Row],[Column4]]), namespace_raw[[#This Row],[Column4]], "")</f>
        <v/>
      </c>
      <c r="D816" s="95" t="str">
        <f>IF(ISNUMBER(namespace_raw[[#This Row],[Column5]]), namespace_raw[[#This Row],[Column5]]/1048576, "")</f>
        <v/>
      </c>
      <c r="E816" s="95" t="str">
        <f>IF(ISNUMBER(namespace_raw[[#This Row],[Column6]]), namespace_raw[[#This Row],[Column6]],"")</f>
        <v/>
      </c>
      <c r="F816" s="96" t="str">
        <f>IF(ISNUMBER(namespace_raw[[#This Row],[Column7]]), namespace_raw[[#This Row],[Column7]]/1048576,"")</f>
        <v/>
      </c>
      <c r="G816" s="122" t="str">
        <f>IF(ISNUMBER(namespace_raw[[#This Row],[Column8]]), namespace_raw[[#This Row],[Column8]],"")</f>
        <v/>
      </c>
      <c r="H816" s="123" t="str">
        <f>IF(ISNUMBER(namespace_raw[[#This Row],[Column9]]), namespace_raw[[#This Row],[Column9]]/1048576,"")</f>
        <v/>
      </c>
      <c r="I816" s="124" t="str">
        <f>IF(ISNUMBER(namespace_raw[[#This Row],[Column8]]),MAX(G816, M816, O816, $I$2,IF(Q816&lt;&gt;"",VALUE(Q816),0)), "")</f>
        <v/>
      </c>
      <c r="J816" s="125" t="str">
        <f>IF(ISNUMBER(namespace_raw[[#This Row],[Column9]]),MAX(H816, N816, P816, $J$2,IF(R816&lt;&gt;"",VALUE(R816),0)),"")</f>
        <v/>
      </c>
      <c r="K816" s="166" t="str">
        <f>IF(ISNUMBER(namespace_raw[[#This Row],[Column12]]), namespace_raw[[#This Row],[Column12]],"")</f>
        <v/>
      </c>
      <c r="L816" s="167" t="str">
        <f>IF(ISNUMBER(namespace_raw[[#This Row],[Column13]]), namespace_raw[[#This Row],[Column13]]/1048576,"")</f>
        <v/>
      </c>
      <c r="M816" s="168" t="str">
        <f>IF(ISNUMBER(namespace_raw[[#This Row],[Column10]]), (namespace_raw[[#This Row],[Column10]]*(1+$M$2)),"")</f>
        <v/>
      </c>
      <c r="N816" s="167" t="str">
        <f>IF(ISNUMBER(namespace_raw[[#This Row],[Column11]]), (namespace_raw[[#This Row],[Column11]]*(1+$N$2))/1048576,"")</f>
        <v/>
      </c>
      <c r="O816" s="169" t="str">
        <f>IF(ISNUMBER(namespace_raw[[#This Row],[Column8]]), (E816  * $O$2),"")</f>
        <v/>
      </c>
      <c r="P816" s="170" t="str">
        <f>IF(ISNUMBER(namespace_raw[[#This Row],[Column8]]), (F816  * $P$2),"")</f>
        <v/>
      </c>
    </row>
    <row r="817" spans="1:16" ht="15" customHeight="1" x14ac:dyDescent="0.25">
      <c r="A817" s="32" t="str">
        <f>IF(ISNONTEXT(namespace_raw[[#This Row],[Column1]]), "", namespace_raw[[#This Row],[Column1]])</f>
        <v/>
      </c>
      <c r="B817" s="33" t="str">
        <f>IF(ISNONTEXT(namespace_raw[[#This Row],[Column2]]), "", namespace_raw[[#This Row],[Column2]])</f>
        <v/>
      </c>
      <c r="C817" s="94" t="str">
        <f>IF(ISNUMBER(namespace_raw[[#This Row],[Column4]]), namespace_raw[[#This Row],[Column4]], "")</f>
        <v/>
      </c>
      <c r="D817" s="95" t="str">
        <f>IF(ISNUMBER(namespace_raw[[#This Row],[Column5]]), namespace_raw[[#This Row],[Column5]]/1048576, "")</f>
        <v/>
      </c>
      <c r="E817" s="95" t="str">
        <f>IF(ISNUMBER(namespace_raw[[#This Row],[Column6]]), namespace_raw[[#This Row],[Column6]],"")</f>
        <v/>
      </c>
      <c r="F817" s="96" t="str">
        <f>IF(ISNUMBER(namespace_raw[[#This Row],[Column7]]), namespace_raw[[#This Row],[Column7]]/1048576,"")</f>
        <v/>
      </c>
      <c r="G817" s="122" t="str">
        <f>IF(ISNUMBER(namespace_raw[[#This Row],[Column8]]), namespace_raw[[#This Row],[Column8]],"")</f>
        <v/>
      </c>
      <c r="H817" s="123" t="str">
        <f>IF(ISNUMBER(namespace_raw[[#This Row],[Column9]]), namespace_raw[[#This Row],[Column9]]/1048576,"")</f>
        <v/>
      </c>
      <c r="I817" s="124" t="str">
        <f>IF(ISNUMBER(namespace_raw[[#This Row],[Column8]]),MAX(G817, M817, O817, $I$2,IF(Q817&lt;&gt;"",VALUE(Q817),0)), "")</f>
        <v/>
      </c>
      <c r="J817" s="125" t="str">
        <f>IF(ISNUMBER(namespace_raw[[#This Row],[Column9]]),MAX(H817, N817, P817, $J$2,IF(R817&lt;&gt;"",VALUE(R817),0)),"")</f>
        <v/>
      </c>
      <c r="K817" s="166" t="str">
        <f>IF(ISNUMBER(namespace_raw[[#This Row],[Column12]]), namespace_raw[[#This Row],[Column12]],"")</f>
        <v/>
      </c>
      <c r="L817" s="167" t="str">
        <f>IF(ISNUMBER(namespace_raw[[#This Row],[Column13]]), namespace_raw[[#This Row],[Column13]]/1048576,"")</f>
        <v/>
      </c>
      <c r="M817" s="168" t="str">
        <f>IF(ISNUMBER(namespace_raw[[#This Row],[Column10]]), (namespace_raw[[#This Row],[Column10]]*(1+$M$2)),"")</f>
        <v/>
      </c>
      <c r="N817" s="167" t="str">
        <f>IF(ISNUMBER(namespace_raw[[#This Row],[Column11]]), (namespace_raw[[#This Row],[Column11]]*(1+$N$2))/1048576,"")</f>
        <v/>
      </c>
      <c r="O817" s="169" t="str">
        <f>IF(ISNUMBER(namespace_raw[[#This Row],[Column8]]), (E817  * $O$2),"")</f>
        <v/>
      </c>
      <c r="P817" s="170" t="str">
        <f>IF(ISNUMBER(namespace_raw[[#This Row],[Column8]]), (F817  * $P$2),"")</f>
        <v/>
      </c>
    </row>
    <row r="818" spans="1:16" ht="15" customHeight="1" x14ac:dyDescent="0.25">
      <c r="A818" s="32" t="str">
        <f>IF(ISNONTEXT(namespace_raw[[#This Row],[Column1]]), "", namespace_raw[[#This Row],[Column1]])</f>
        <v/>
      </c>
      <c r="B818" s="33" t="str">
        <f>IF(ISNONTEXT(namespace_raw[[#This Row],[Column2]]), "", namespace_raw[[#This Row],[Column2]])</f>
        <v/>
      </c>
      <c r="C818" s="94" t="str">
        <f>IF(ISNUMBER(namespace_raw[[#This Row],[Column4]]), namespace_raw[[#This Row],[Column4]], "")</f>
        <v/>
      </c>
      <c r="D818" s="95" t="str">
        <f>IF(ISNUMBER(namespace_raw[[#This Row],[Column5]]), namespace_raw[[#This Row],[Column5]]/1048576, "")</f>
        <v/>
      </c>
      <c r="E818" s="95" t="str">
        <f>IF(ISNUMBER(namespace_raw[[#This Row],[Column6]]), namespace_raw[[#This Row],[Column6]],"")</f>
        <v/>
      </c>
      <c r="F818" s="96" t="str">
        <f>IF(ISNUMBER(namespace_raw[[#This Row],[Column7]]), namespace_raw[[#This Row],[Column7]]/1048576,"")</f>
        <v/>
      </c>
      <c r="G818" s="122" t="str">
        <f>IF(ISNUMBER(namespace_raw[[#This Row],[Column8]]), namespace_raw[[#This Row],[Column8]],"")</f>
        <v/>
      </c>
      <c r="H818" s="123" t="str">
        <f>IF(ISNUMBER(namespace_raw[[#This Row],[Column9]]), namespace_raw[[#This Row],[Column9]]/1048576,"")</f>
        <v/>
      </c>
      <c r="I818" s="124" t="str">
        <f>IF(ISNUMBER(namespace_raw[[#This Row],[Column8]]),MAX(G818, M818, O818, $I$2,IF(Q818&lt;&gt;"",VALUE(Q818),0)), "")</f>
        <v/>
      </c>
      <c r="J818" s="125" t="str">
        <f>IF(ISNUMBER(namespace_raw[[#This Row],[Column9]]),MAX(H818, N818, P818, $J$2,IF(R818&lt;&gt;"",VALUE(R818),0)),"")</f>
        <v/>
      </c>
      <c r="K818" s="166" t="str">
        <f>IF(ISNUMBER(namespace_raw[[#This Row],[Column12]]), namespace_raw[[#This Row],[Column12]],"")</f>
        <v/>
      </c>
      <c r="L818" s="167" t="str">
        <f>IF(ISNUMBER(namespace_raw[[#This Row],[Column13]]), namespace_raw[[#This Row],[Column13]]/1048576,"")</f>
        <v/>
      </c>
      <c r="M818" s="168" t="str">
        <f>IF(ISNUMBER(namespace_raw[[#This Row],[Column10]]), (namespace_raw[[#This Row],[Column10]]*(1+$M$2)),"")</f>
        <v/>
      </c>
      <c r="N818" s="167" t="str">
        <f>IF(ISNUMBER(namespace_raw[[#This Row],[Column11]]), (namespace_raw[[#This Row],[Column11]]*(1+$N$2))/1048576,"")</f>
        <v/>
      </c>
      <c r="O818" s="169" t="str">
        <f>IF(ISNUMBER(namespace_raw[[#This Row],[Column8]]), (E818  * $O$2),"")</f>
        <v/>
      </c>
      <c r="P818" s="170" t="str">
        <f>IF(ISNUMBER(namespace_raw[[#This Row],[Column8]]), (F818  * $P$2),"")</f>
        <v/>
      </c>
    </row>
    <row r="819" spans="1:16" ht="15" customHeight="1" x14ac:dyDescent="0.25">
      <c r="A819" s="32" t="str">
        <f>IF(ISNONTEXT(namespace_raw[[#This Row],[Column1]]), "", namespace_raw[[#This Row],[Column1]])</f>
        <v/>
      </c>
      <c r="B819" s="33" t="str">
        <f>IF(ISNONTEXT(namespace_raw[[#This Row],[Column2]]), "", namespace_raw[[#This Row],[Column2]])</f>
        <v/>
      </c>
      <c r="C819" s="94" t="str">
        <f>IF(ISNUMBER(namespace_raw[[#This Row],[Column4]]), namespace_raw[[#This Row],[Column4]], "")</f>
        <v/>
      </c>
      <c r="D819" s="95" t="str">
        <f>IF(ISNUMBER(namespace_raw[[#This Row],[Column5]]), namespace_raw[[#This Row],[Column5]]/1048576, "")</f>
        <v/>
      </c>
      <c r="E819" s="95" t="str">
        <f>IF(ISNUMBER(namespace_raw[[#This Row],[Column6]]), namespace_raw[[#This Row],[Column6]],"")</f>
        <v/>
      </c>
      <c r="F819" s="96" t="str">
        <f>IF(ISNUMBER(namespace_raw[[#This Row],[Column7]]), namespace_raw[[#This Row],[Column7]]/1048576,"")</f>
        <v/>
      </c>
      <c r="G819" s="122" t="str">
        <f>IF(ISNUMBER(namespace_raw[[#This Row],[Column8]]), namespace_raw[[#This Row],[Column8]],"")</f>
        <v/>
      </c>
      <c r="H819" s="123" t="str">
        <f>IF(ISNUMBER(namespace_raw[[#This Row],[Column9]]), namespace_raw[[#This Row],[Column9]]/1048576,"")</f>
        <v/>
      </c>
      <c r="I819" s="124" t="str">
        <f>IF(ISNUMBER(namespace_raw[[#This Row],[Column8]]),MAX(G819, M819, O819, $I$2,IF(Q819&lt;&gt;"",VALUE(Q819),0)), "")</f>
        <v/>
      </c>
      <c r="J819" s="125" t="str">
        <f>IF(ISNUMBER(namespace_raw[[#This Row],[Column9]]),MAX(H819, N819, P819, $J$2,IF(R819&lt;&gt;"",VALUE(R819),0)),"")</f>
        <v/>
      </c>
      <c r="K819" s="166" t="str">
        <f>IF(ISNUMBER(namespace_raw[[#This Row],[Column12]]), namespace_raw[[#This Row],[Column12]],"")</f>
        <v/>
      </c>
      <c r="L819" s="167" t="str">
        <f>IF(ISNUMBER(namespace_raw[[#This Row],[Column13]]), namespace_raw[[#This Row],[Column13]]/1048576,"")</f>
        <v/>
      </c>
      <c r="M819" s="168" t="str">
        <f>IF(ISNUMBER(namespace_raw[[#This Row],[Column10]]), (namespace_raw[[#This Row],[Column10]]*(1+$M$2)),"")</f>
        <v/>
      </c>
      <c r="N819" s="167" t="str">
        <f>IF(ISNUMBER(namespace_raw[[#This Row],[Column11]]), (namespace_raw[[#This Row],[Column11]]*(1+$N$2))/1048576,"")</f>
        <v/>
      </c>
      <c r="O819" s="169" t="str">
        <f>IF(ISNUMBER(namespace_raw[[#This Row],[Column8]]), (E819  * $O$2),"")</f>
        <v/>
      </c>
      <c r="P819" s="170" t="str">
        <f>IF(ISNUMBER(namespace_raw[[#This Row],[Column8]]), (F819  * $P$2),"")</f>
        <v/>
      </c>
    </row>
    <row r="820" spans="1:16" ht="15" customHeight="1" x14ac:dyDescent="0.25">
      <c r="A820" s="32" t="str">
        <f>IF(ISNONTEXT(namespace_raw[[#This Row],[Column1]]), "", namespace_raw[[#This Row],[Column1]])</f>
        <v/>
      </c>
      <c r="B820" s="33" t="str">
        <f>IF(ISNONTEXT(namespace_raw[[#This Row],[Column2]]), "", namespace_raw[[#This Row],[Column2]])</f>
        <v/>
      </c>
      <c r="C820" s="94" t="str">
        <f>IF(ISNUMBER(namespace_raw[[#This Row],[Column4]]), namespace_raw[[#This Row],[Column4]], "")</f>
        <v/>
      </c>
      <c r="D820" s="95" t="str">
        <f>IF(ISNUMBER(namespace_raw[[#This Row],[Column5]]), namespace_raw[[#This Row],[Column5]]/1048576, "")</f>
        <v/>
      </c>
      <c r="E820" s="95" t="str">
        <f>IF(ISNUMBER(namespace_raw[[#This Row],[Column6]]), namespace_raw[[#This Row],[Column6]],"")</f>
        <v/>
      </c>
      <c r="F820" s="96" t="str">
        <f>IF(ISNUMBER(namespace_raw[[#This Row],[Column7]]), namespace_raw[[#This Row],[Column7]]/1048576,"")</f>
        <v/>
      </c>
      <c r="G820" s="122" t="str">
        <f>IF(ISNUMBER(namespace_raw[[#This Row],[Column8]]), namespace_raw[[#This Row],[Column8]],"")</f>
        <v/>
      </c>
      <c r="H820" s="123" t="str">
        <f>IF(ISNUMBER(namespace_raw[[#This Row],[Column9]]), namespace_raw[[#This Row],[Column9]]/1048576,"")</f>
        <v/>
      </c>
      <c r="I820" s="124" t="str">
        <f>IF(ISNUMBER(namespace_raw[[#This Row],[Column8]]),MAX(G820, M820, O820, $I$2,IF(Q820&lt;&gt;"",VALUE(Q820),0)), "")</f>
        <v/>
      </c>
      <c r="J820" s="125" t="str">
        <f>IF(ISNUMBER(namespace_raw[[#This Row],[Column9]]),MAX(H820, N820, P820, $J$2,IF(R820&lt;&gt;"",VALUE(R820),0)),"")</f>
        <v/>
      </c>
      <c r="K820" s="166" t="str">
        <f>IF(ISNUMBER(namespace_raw[[#This Row],[Column12]]), namespace_raw[[#This Row],[Column12]],"")</f>
        <v/>
      </c>
      <c r="L820" s="167" t="str">
        <f>IF(ISNUMBER(namespace_raw[[#This Row],[Column13]]), namespace_raw[[#This Row],[Column13]]/1048576,"")</f>
        <v/>
      </c>
      <c r="M820" s="168" t="str">
        <f>IF(ISNUMBER(namespace_raw[[#This Row],[Column10]]), (namespace_raw[[#This Row],[Column10]]*(1+$M$2)),"")</f>
        <v/>
      </c>
      <c r="N820" s="167" t="str">
        <f>IF(ISNUMBER(namespace_raw[[#This Row],[Column11]]), (namespace_raw[[#This Row],[Column11]]*(1+$N$2))/1048576,"")</f>
        <v/>
      </c>
      <c r="O820" s="169" t="str">
        <f>IF(ISNUMBER(namespace_raw[[#This Row],[Column8]]), (E820  * $O$2),"")</f>
        <v/>
      </c>
      <c r="P820" s="170" t="str">
        <f>IF(ISNUMBER(namespace_raw[[#This Row],[Column8]]), (F820  * $P$2),"")</f>
        <v/>
      </c>
    </row>
    <row r="821" spans="1:16" ht="15" customHeight="1" x14ac:dyDescent="0.25">
      <c r="A821" s="32" t="str">
        <f>IF(ISNONTEXT(namespace_raw[[#This Row],[Column1]]), "", namespace_raw[[#This Row],[Column1]])</f>
        <v/>
      </c>
      <c r="B821" s="33" t="str">
        <f>IF(ISNONTEXT(namespace_raw[[#This Row],[Column2]]), "", namespace_raw[[#This Row],[Column2]])</f>
        <v/>
      </c>
      <c r="C821" s="94" t="str">
        <f>IF(ISNUMBER(namespace_raw[[#This Row],[Column4]]), namespace_raw[[#This Row],[Column4]], "")</f>
        <v/>
      </c>
      <c r="D821" s="95" t="str">
        <f>IF(ISNUMBER(namespace_raw[[#This Row],[Column5]]), namespace_raw[[#This Row],[Column5]]/1048576, "")</f>
        <v/>
      </c>
      <c r="E821" s="95" t="str">
        <f>IF(ISNUMBER(namespace_raw[[#This Row],[Column6]]), namespace_raw[[#This Row],[Column6]],"")</f>
        <v/>
      </c>
      <c r="F821" s="96" t="str">
        <f>IF(ISNUMBER(namespace_raw[[#This Row],[Column7]]), namespace_raw[[#This Row],[Column7]]/1048576,"")</f>
        <v/>
      </c>
      <c r="G821" s="122" t="str">
        <f>IF(ISNUMBER(namespace_raw[[#This Row],[Column8]]), namespace_raw[[#This Row],[Column8]],"")</f>
        <v/>
      </c>
      <c r="H821" s="123" t="str">
        <f>IF(ISNUMBER(namespace_raw[[#This Row],[Column9]]), namespace_raw[[#This Row],[Column9]]/1048576,"")</f>
        <v/>
      </c>
      <c r="I821" s="124" t="str">
        <f>IF(ISNUMBER(namespace_raw[[#This Row],[Column8]]),MAX(G821, M821, O821, $I$2,IF(Q821&lt;&gt;"",VALUE(Q821),0)), "")</f>
        <v/>
      </c>
      <c r="J821" s="125" t="str">
        <f>IF(ISNUMBER(namespace_raw[[#This Row],[Column9]]),MAX(H821, N821, P821, $J$2,IF(R821&lt;&gt;"",VALUE(R821),0)),"")</f>
        <v/>
      </c>
      <c r="K821" s="166" t="str">
        <f>IF(ISNUMBER(namespace_raw[[#This Row],[Column12]]), namespace_raw[[#This Row],[Column12]],"")</f>
        <v/>
      </c>
      <c r="L821" s="167" t="str">
        <f>IF(ISNUMBER(namespace_raw[[#This Row],[Column13]]), namespace_raw[[#This Row],[Column13]]/1048576,"")</f>
        <v/>
      </c>
      <c r="M821" s="168" t="str">
        <f>IF(ISNUMBER(namespace_raw[[#This Row],[Column10]]), (namespace_raw[[#This Row],[Column10]]*(1+$M$2)),"")</f>
        <v/>
      </c>
      <c r="N821" s="167" t="str">
        <f>IF(ISNUMBER(namespace_raw[[#This Row],[Column11]]), (namespace_raw[[#This Row],[Column11]]*(1+$N$2))/1048576,"")</f>
        <v/>
      </c>
      <c r="O821" s="169" t="str">
        <f>IF(ISNUMBER(namespace_raw[[#This Row],[Column8]]), (E821  * $O$2),"")</f>
        <v/>
      </c>
      <c r="P821" s="170" t="str">
        <f>IF(ISNUMBER(namespace_raw[[#This Row],[Column8]]), (F821  * $P$2),"")</f>
        <v/>
      </c>
    </row>
    <row r="822" spans="1:16" ht="15" customHeight="1" x14ac:dyDescent="0.25">
      <c r="A822" s="32" t="str">
        <f>IF(ISNONTEXT(namespace_raw[[#This Row],[Column1]]), "", namespace_raw[[#This Row],[Column1]])</f>
        <v/>
      </c>
      <c r="B822" s="33" t="str">
        <f>IF(ISNONTEXT(namespace_raw[[#This Row],[Column2]]), "", namespace_raw[[#This Row],[Column2]])</f>
        <v/>
      </c>
      <c r="C822" s="94" t="str">
        <f>IF(ISNUMBER(namespace_raw[[#This Row],[Column4]]), namespace_raw[[#This Row],[Column4]], "")</f>
        <v/>
      </c>
      <c r="D822" s="95" t="str">
        <f>IF(ISNUMBER(namespace_raw[[#This Row],[Column5]]), namespace_raw[[#This Row],[Column5]]/1048576, "")</f>
        <v/>
      </c>
      <c r="E822" s="95" t="str">
        <f>IF(ISNUMBER(namespace_raw[[#This Row],[Column6]]), namespace_raw[[#This Row],[Column6]],"")</f>
        <v/>
      </c>
      <c r="F822" s="96" t="str">
        <f>IF(ISNUMBER(namespace_raw[[#This Row],[Column7]]), namespace_raw[[#This Row],[Column7]]/1048576,"")</f>
        <v/>
      </c>
      <c r="G822" s="122" t="str">
        <f>IF(ISNUMBER(namespace_raw[[#This Row],[Column8]]), namespace_raw[[#This Row],[Column8]],"")</f>
        <v/>
      </c>
      <c r="H822" s="123" t="str">
        <f>IF(ISNUMBER(namespace_raw[[#This Row],[Column9]]), namespace_raw[[#This Row],[Column9]]/1048576,"")</f>
        <v/>
      </c>
      <c r="I822" s="124" t="str">
        <f>IF(ISNUMBER(namespace_raw[[#This Row],[Column8]]),MAX(G822, M822, O822, $I$2,IF(Q822&lt;&gt;"",VALUE(Q822),0)), "")</f>
        <v/>
      </c>
      <c r="J822" s="125" t="str">
        <f>IF(ISNUMBER(namespace_raw[[#This Row],[Column9]]),MAX(H822, N822, P822, $J$2,IF(R822&lt;&gt;"",VALUE(R822),0)),"")</f>
        <v/>
      </c>
      <c r="K822" s="166" t="str">
        <f>IF(ISNUMBER(namespace_raw[[#This Row],[Column12]]), namespace_raw[[#This Row],[Column12]],"")</f>
        <v/>
      </c>
      <c r="L822" s="167" t="str">
        <f>IF(ISNUMBER(namespace_raw[[#This Row],[Column13]]), namespace_raw[[#This Row],[Column13]]/1048576,"")</f>
        <v/>
      </c>
      <c r="M822" s="168" t="str">
        <f>IF(ISNUMBER(namespace_raw[[#This Row],[Column10]]), (namespace_raw[[#This Row],[Column10]]*(1+$M$2)),"")</f>
        <v/>
      </c>
      <c r="N822" s="167" t="str">
        <f>IF(ISNUMBER(namespace_raw[[#This Row],[Column11]]), (namespace_raw[[#This Row],[Column11]]*(1+$N$2))/1048576,"")</f>
        <v/>
      </c>
      <c r="O822" s="169" t="str">
        <f>IF(ISNUMBER(namespace_raw[[#This Row],[Column8]]), (E822  * $O$2),"")</f>
        <v/>
      </c>
      <c r="P822" s="170" t="str">
        <f>IF(ISNUMBER(namespace_raw[[#This Row],[Column8]]), (F822  * $P$2),"")</f>
        <v/>
      </c>
    </row>
    <row r="823" spans="1:16" ht="15" customHeight="1" x14ac:dyDescent="0.25">
      <c r="A823" s="32" t="str">
        <f>IF(ISNONTEXT(namespace_raw[[#This Row],[Column1]]), "", namespace_raw[[#This Row],[Column1]])</f>
        <v/>
      </c>
      <c r="B823" s="33" t="str">
        <f>IF(ISNONTEXT(namespace_raw[[#This Row],[Column2]]), "", namespace_raw[[#This Row],[Column2]])</f>
        <v/>
      </c>
      <c r="C823" s="94" t="str">
        <f>IF(ISNUMBER(namespace_raw[[#This Row],[Column4]]), namespace_raw[[#This Row],[Column4]], "")</f>
        <v/>
      </c>
      <c r="D823" s="95" t="str">
        <f>IF(ISNUMBER(namespace_raw[[#This Row],[Column5]]), namespace_raw[[#This Row],[Column5]]/1048576, "")</f>
        <v/>
      </c>
      <c r="E823" s="95" t="str">
        <f>IF(ISNUMBER(namespace_raw[[#This Row],[Column6]]), namespace_raw[[#This Row],[Column6]],"")</f>
        <v/>
      </c>
      <c r="F823" s="96" t="str">
        <f>IF(ISNUMBER(namespace_raw[[#This Row],[Column7]]), namespace_raw[[#This Row],[Column7]]/1048576,"")</f>
        <v/>
      </c>
      <c r="G823" s="122" t="str">
        <f>IF(ISNUMBER(namespace_raw[[#This Row],[Column8]]), namespace_raw[[#This Row],[Column8]],"")</f>
        <v/>
      </c>
      <c r="H823" s="123" t="str">
        <f>IF(ISNUMBER(namespace_raw[[#This Row],[Column9]]), namespace_raw[[#This Row],[Column9]]/1048576,"")</f>
        <v/>
      </c>
      <c r="I823" s="124" t="str">
        <f>IF(ISNUMBER(namespace_raw[[#This Row],[Column8]]),MAX(G823, M823, O823, $I$2,IF(Q823&lt;&gt;"",VALUE(Q823),0)), "")</f>
        <v/>
      </c>
      <c r="J823" s="125" t="str">
        <f>IF(ISNUMBER(namespace_raw[[#This Row],[Column9]]),MAX(H823, N823, P823, $J$2,IF(R823&lt;&gt;"",VALUE(R823),0)),"")</f>
        <v/>
      </c>
      <c r="K823" s="166" t="str">
        <f>IF(ISNUMBER(namespace_raw[[#This Row],[Column12]]), namespace_raw[[#This Row],[Column12]],"")</f>
        <v/>
      </c>
      <c r="L823" s="167" t="str">
        <f>IF(ISNUMBER(namespace_raw[[#This Row],[Column13]]), namespace_raw[[#This Row],[Column13]]/1048576,"")</f>
        <v/>
      </c>
      <c r="M823" s="168" t="str">
        <f>IF(ISNUMBER(namespace_raw[[#This Row],[Column10]]), (namespace_raw[[#This Row],[Column10]]*(1+$M$2)),"")</f>
        <v/>
      </c>
      <c r="N823" s="167" t="str">
        <f>IF(ISNUMBER(namespace_raw[[#This Row],[Column11]]), (namespace_raw[[#This Row],[Column11]]*(1+$N$2))/1048576,"")</f>
        <v/>
      </c>
      <c r="O823" s="169" t="str">
        <f>IF(ISNUMBER(namespace_raw[[#This Row],[Column8]]), (E823  * $O$2),"")</f>
        <v/>
      </c>
      <c r="P823" s="170" t="str">
        <f>IF(ISNUMBER(namespace_raw[[#This Row],[Column8]]), (F823  * $P$2),"")</f>
        <v/>
      </c>
    </row>
    <row r="824" spans="1:16" ht="15" customHeight="1" x14ac:dyDescent="0.25">
      <c r="A824" s="32" t="str">
        <f>IF(ISNONTEXT(namespace_raw[[#This Row],[Column1]]), "", namespace_raw[[#This Row],[Column1]])</f>
        <v/>
      </c>
      <c r="B824" s="33" t="str">
        <f>IF(ISNONTEXT(namespace_raw[[#This Row],[Column2]]), "", namespace_raw[[#This Row],[Column2]])</f>
        <v/>
      </c>
      <c r="C824" s="94" t="str">
        <f>IF(ISNUMBER(namespace_raw[[#This Row],[Column4]]), namespace_raw[[#This Row],[Column4]], "")</f>
        <v/>
      </c>
      <c r="D824" s="95" t="str">
        <f>IF(ISNUMBER(namespace_raw[[#This Row],[Column5]]), namespace_raw[[#This Row],[Column5]]/1048576, "")</f>
        <v/>
      </c>
      <c r="E824" s="95" t="str">
        <f>IF(ISNUMBER(namespace_raw[[#This Row],[Column6]]), namespace_raw[[#This Row],[Column6]],"")</f>
        <v/>
      </c>
      <c r="F824" s="96" t="str">
        <f>IF(ISNUMBER(namespace_raw[[#This Row],[Column7]]), namespace_raw[[#This Row],[Column7]]/1048576,"")</f>
        <v/>
      </c>
      <c r="G824" s="122" t="str">
        <f>IF(ISNUMBER(namespace_raw[[#This Row],[Column8]]), namespace_raw[[#This Row],[Column8]],"")</f>
        <v/>
      </c>
      <c r="H824" s="123" t="str">
        <f>IF(ISNUMBER(namespace_raw[[#This Row],[Column9]]), namespace_raw[[#This Row],[Column9]]/1048576,"")</f>
        <v/>
      </c>
      <c r="I824" s="124" t="str">
        <f>IF(ISNUMBER(namespace_raw[[#This Row],[Column8]]),MAX(G824, M824, O824, $I$2,IF(Q824&lt;&gt;"",VALUE(Q824),0)), "")</f>
        <v/>
      </c>
      <c r="J824" s="125" t="str">
        <f>IF(ISNUMBER(namespace_raw[[#This Row],[Column9]]),MAX(H824, N824, P824, $J$2,IF(R824&lt;&gt;"",VALUE(R824),0)),"")</f>
        <v/>
      </c>
      <c r="K824" s="166" t="str">
        <f>IF(ISNUMBER(namespace_raw[[#This Row],[Column12]]), namespace_raw[[#This Row],[Column12]],"")</f>
        <v/>
      </c>
      <c r="L824" s="167" t="str">
        <f>IF(ISNUMBER(namespace_raw[[#This Row],[Column13]]), namespace_raw[[#This Row],[Column13]]/1048576,"")</f>
        <v/>
      </c>
      <c r="M824" s="168" t="str">
        <f>IF(ISNUMBER(namespace_raw[[#This Row],[Column10]]), (namespace_raw[[#This Row],[Column10]]*(1+$M$2)),"")</f>
        <v/>
      </c>
      <c r="N824" s="167" t="str">
        <f>IF(ISNUMBER(namespace_raw[[#This Row],[Column11]]), (namespace_raw[[#This Row],[Column11]]*(1+$N$2))/1048576,"")</f>
        <v/>
      </c>
      <c r="O824" s="169" t="str">
        <f>IF(ISNUMBER(namespace_raw[[#This Row],[Column8]]), (E824  * $O$2),"")</f>
        <v/>
      </c>
      <c r="P824" s="170" t="str">
        <f>IF(ISNUMBER(namespace_raw[[#This Row],[Column8]]), (F824  * $P$2),"")</f>
        <v/>
      </c>
    </row>
    <row r="825" spans="1:16" ht="15" customHeight="1" x14ac:dyDescent="0.25">
      <c r="A825" s="32" t="str">
        <f>IF(ISNONTEXT(namespace_raw[[#This Row],[Column1]]), "", namespace_raw[[#This Row],[Column1]])</f>
        <v/>
      </c>
      <c r="B825" s="33" t="str">
        <f>IF(ISNONTEXT(namespace_raw[[#This Row],[Column2]]), "", namespace_raw[[#This Row],[Column2]])</f>
        <v/>
      </c>
      <c r="C825" s="94" t="str">
        <f>IF(ISNUMBER(namespace_raw[[#This Row],[Column4]]), namespace_raw[[#This Row],[Column4]], "")</f>
        <v/>
      </c>
      <c r="D825" s="95" t="str">
        <f>IF(ISNUMBER(namespace_raw[[#This Row],[Column5]]), namespace_raw[[#This Row],[Column5]]/1048576, "")</f>
        <v/>
      </c>
      <c r="E825" s="95" t="str">
        <f>IF(ISNUMBER(namespace_raw[[#This Row],[Column6]]), namespace_raw[[#This Row],[Column6]],"")</f>
        <v/>
      </c>
      <c r="F825" s="96" t="str">
        <f>IF(ISNUMBER(namespace_raw[[#This Row],[Column7]]), namespace_raw[[#This Row],[Column7]]/1048576,"")</f>
        <v/>
      </c>
      <c r="G825" s="122" t="str">
        <f>IF(ISNUMBER(namespace_raw[[#This Row],[Column8]]), namespace_raw[[#This Row],[Column8]],"")</f>
        <v/>
      </c>
      <c r="H825" s="123" t="str">
        <f>IF(ISNUMBER(namespace_raw[[#This Row],[Column9]]), namespace_raw[[#This Row],[Column9]]/1048576,"")</f>
        <v/>
      </c>
      <c r="I825" s="124" t="str">
        <f>IF(ISNUMBER(namespace_raw[[#This Row],[Column8]]),MAX(G825, M825, O825, $I$2,IF(Q825&lt;&gt;"",VALUE(Q825),0)), "")</f>
        <v/>
      </c>
      <c r="J825" s="125" t="str">
        <f>IF(ISNUMBER(namespace_raw[[#This Row],[Column9]]),MAX(H825, N825, P825, $J$2,IF(R825&lt;&gt;"",VALUE(R825),0)),"")</f>
        <v/>
      </c>
      <c r="K825" s="166" t="str">
        <f>IF(ISNUMBER(namespace_raw[[#This Row],[Column12]]), namespace_raw[[#This Row],[Column12]],"")</f>
        <v/>
      </c>
      <c r="L825" s="167" t="str">
        <f>IF(ISNUMBER(namespace_raw[[#This Row],[Column13]]), namespace_raw[[#This Row],[Column13]]/1048576,"")</f>
        <v/>
      </c>
      <c r="M825" s="168" t="str">
        <f>IF(ISNUMBER(namespace_raw[[#This Row],[Column10]]), (namespace_raw[[#This Row],[Column10]]*(1+$M$2)),"")</f>
        <v/>
      </c>
      <c r="N825" s="167" t="str">
        <f>IF(ISNUMBER(namespace_raw[[#This Row],[Column11]]), (namespace_raw[[#This Row],[Column11]]*(1+$N$2))/1048576,"")</f>
        <v/>
      </c>
      <c r="O825" s="169" t="str">
        <f>IF(ISNUMBER(namespace_raw[[#This Row],[Column8]]), (E825  * $O$2),"")</f>
        <v/>
      </c>
      <c r="P825" s="170" t="str">
        <f>IF(ISNUMBER(namespace_raw[[#This Row],[Column8]]), (F825  * $P$2),"")</f>
        <v/>
      </c>
    </row>
    <row r="826" spans="1:16" ht="15" customHeight="1" x14ac:dyDescent="0.25">
      <c r="A826" s="32" t="str">
        <f>IF(ISNONTEXT(namespace_raw[[#This Row],[Column1]]), "", namespace_raw[[#This Row],[Column1]])</f>
        <v/>
      </c>
      <c r="B826" s="33" t="str">
        <f>IF(ISNONTEXT(namespace_raw[[#This Row],[Column2]]), "", namespace_raw[[#This Row],[Column2]])</f>
        <v/>
      </c>
      <c r="C826" s="94" t="str">
        <f>IF(ISNUMBER(namespace_raw[[#This Row],[Column4]]), namespace_raw[[#This Row],[Column4]], "")</f>
        <v/>
      </c>
      <c r="D826" s="95" t="str">
        <f>IF(ISNUMBER(namespace_raw[[#This Row],[Column5]]), namespace_raw[[#This Row],[Column5]]/1048576, "")</f>
        <v/>
      </c>
      <c r="E826" s="95" t="str">
        <f>IF(ISNUMBER(namespace_raw[[#This Row],[Column6]]), namespace_raw[[#This Row],[Column6]],"")</f>
        <v/>
      </c>
      <c r="F826" s="96" t="str">
        <f>IF(ISNUMBER(namespace_raw[[#This Row],[Column7]]), namespace_raw[[#This Row],[Column7]]/1048576,"")</f>
        <v/>
      </c>
      <c r="G826" s="122" t="str">
        <f>IF(ISNUMBER(namespace_raw[[#This Row],[Column8]]), namespace_raw[[#This Row],[Column8]],"")</f>
        <v/>
      </c>
      <c r="H826" s="123" t="str">
        <f>IF(ISNUMBER(namespace_raw[[#This Row],[Column9]]), namespace_raw[[#This Row],[Column9]]/1048576,"")</f>
        <v/>
      </c>
      <c r="I826" s="124" t="str">
        <f>IF(ISNUMBER(namespace_raw[[#This Row],[Column8]]),MAX(G826, M826, O826, $I$2,IF(Q826&lt;&gt;"",VALUE(Q826),0)), "")</f>
        <v/>
      </c>
      <c r="J826" s="125" t="str">
        <f>IF(ISNUMBER(namespace_raw[[#This Row],[Column9]]),MAX(H826, N826, P826, $J$2,IF(R826&lt;&gt;"",VALUE(R826),0)),"")</f>
        <v/>
      </c>
      <c r="K826" s="166" t="str">
        <f>IF(ISNUMBER(namespace_raw[[#This Row],[Column12]]), namespace_raw[[#This Row],[Column12]],"")</f>
        <v/>
      </c>
      <c r="L826" s="167" t="str">
        <f>IF(ISNUMBER(namespace_raw[[#This Row],[Column13]]), namespace_raw[[#This Row],[Column13]]/1048576,"")</f>
        <v/>
      </c>
      <c r="M826" s="168" t="str">
        <f>IF(ISNUMBER(namespace_raw[[#This Row],[Column10]]), (namespace_raw[[#This Row],[Column10]]*(1+$M$2)),"")</f>
        <v/>
      </c>
      <c r="N826" s="167" t="str">
        <f>IF(ISNUMBER(namespace_raw[[#This Row],[Column11]]), (namespace_raw[[#This Row],[Column11]]*(1+$N$2))/1048576,"")</f>
        <v/>
      </c>
      <c r="O826" s="169" t="str">
        <f>IF(ISNUMBER(namespace_raw[[#This Row],[Column8]]), (E826  * $O$2),"")</f>
        <v/>
      </c>
      <c r="P826" s="170" t="str">
        <f>IF(ISNUMBER(namespace_raw[[#This Row],[Column8]]), (F826  * $P$2),"")</f>
        <v/>
      </c>
    </row>
    <row r="827" spans="1:16" ht="15" customHeight="1" x14ac:dyDescent="0.25">
      <c r="A827" s="32" t="str">
        <f>IF(ISNONTEXT(namespace_raw[[#This Row],[Column1]]), "", namespace_raw[[#This Row],[Column1]])</f>
        <v/>
      </c>
      <c r="B827" s="33" t="str">
        <f>IF(ISNONTEXT(namespace_raw[[#This Row],[Column2]]), "", namespace_raw[[#This Row],[Column2]])</f>
        <v/>
      </c>
      <c r="C827" s="94" t="str">
        <f>IF(ISNUMBER(namespace_raw[[#This Row],[Column4]]), namespace_raw[[#This Row],[Column4]], "")</f>
        <v/>
      </c>
      <c r="D827" s="95" t="str">
        <f>IF(ISNUMBER(namespace_raw[[#This Row],[Column5]]), namespace_raw[[#This Row],[Column5]]/1048576, "")</f>
        <v/>
      </c>
      <c r="E827" s="95" t="str">
        <f>IF(ISNUMBER(namespace_raw[[#This Row],[Column6]]), namespace_raw[[#This Row],[Column6]],"")</f>
        <v/>
      </c>
      <c r="F827" s="96" t="str">
        <f>IF(ISNUMBER(namespace_raw[[#This Row],[Column7]]), namespace_raw[[#This Row],[Column7]]/1048576,"")</f>
        <v/>
      </c>
      <c r="G827" s="122" t="str">
        <f>IF(ISNUMBER(namespace_raw[[#This Row],[Column8]]), namespace_raw[[#This Row],[Column8]],"")</f>
        <v/>
      </c>
      <c r="H827" s="123" t="str">
        <f>IF(ISNUMBER(namespace_raw[[#This Row],[Column9]]), namespace_raw[[#This Row],[Column9]]/1048576,"")</f>
        <v/>
      </c>
      <c r="I827" s="124" t="str">
        <f>IF(ISNUMBER(namespace_raw[[#This Row],[Column8]]),MAX(G827, M827, O827, $I$2,IF(Q827&lt;&gt;"",VALUE(Q827),0)), "")</f>
        <v/>
      </c>
      <c r="J827" s="125" t="str">
        <f>IF(ISNUMBER(namespace_raw[[#This Row],[Column9]]),MAX(H827, N827, P827, $J$2,IF(R827&lt;&gt;"",VALUE(R827),0)),"")</f>
        <v/>
      </c>
      <c r="K827" s="166" t="str">
        <f>IF(ISNUMBER(namespace_raw[[#This Row],[Column12]]), namespace_raw[[#This Row],[Column12]],"")</f>
        <v/>
      </c>
      <c r="L827" s="167" t="str">
        <f>IF(ISNUMBER(namespace_raw[[#This Row],[Column13]]), namespace_raw[[#This Row],[Column13]]/1048576,"")</f>
        <v/>
      </c>
      <c r="M827" s="168" t="str">
        <f>IF(ISNUMBER(namespace_raw[[#This Row],[Column10]]), (namespace_raw[[#This Row],[Column10]]*(1+$M$2)),"")</f>
        <v/>
      </c>
      <c r="N827" s="167" t="str">
        <f>IF(ISNUMBER(namespace_raw[[#This Row],[Column11]]), (namespace_raw[[#This Row],[Column11]]*(1+$N$2))/1048576,"")</f>
        <v/>
      </c>
      <c r="O827" s="169" t="str">
        <f>IF(ISNUMBER(namespace_raw[[#This Row],[Column8]]), (E827  * $O$2),"")</f>
        <v/>
      </c>
      <c r="P827" s="170" t="str">
        <f>IF(ISNUMBER(namespace_raw[[#This Row],[Column8]]), (F827  * $P$2),"")</f>
        <v/>
      </c>
    </row>
    <row r="828" spans="1:16" ht="15" customHeight="1" x14ac:dyDescent="0.25">
      <c r="A828" s="32" t="str">
        <f>IF(ISNONTEXT(namespace_raw[[#This Row],[Column1]]), "", namespace_raw[[#This Row],[Column1]])</f>
        <v/>
      </c>
      <c r="B828" s="33" t="str">
        <f>IF(ISNONTEXT(namespace_raw[[#This Row],[Column2]]), "", namespace_raw[[#This Row],[Column2]])</f>
        <v/>
      </c>
      <c r="C828" s="94" t="str">
        <f>IF(ISNUMBER(namespace_raw[[#This Row],[Column4]]), namespace_raw[[#This Row],[Column4]], "")</f>
        <v/>
      </c>
      <c r="D828" s="95" t="str">
        <f>IF(ISNUMBER(namespace_raw[[#This Row],[Column5]]), namespace_raw[[#This Row],[Column5]]/1048576, "")</f>
        <v/>
      </c>
      <c r="E828" s="95" t="str">
        <f>IF(ISNUMBER(namespace_raw[[#This Row],[Column6]]), namespace_raw[[#This Row],[Column6]],"")</f>
        <v/>
      </c>
      <c r="F828" s="96" t="str">
        <f>IF(ISNUMBER(namespace_raw[[#This Row],[Column7]]), namespace_raw[[#This Row],[Column7]]/1048576,"")</f>
        <v/>
      </c>
      <c r="G828" s="122" t="str">
        <f>IF(ISNUMBER(namespace_raw[[#This Row],[Column8]]), namespace_raw[[#This Row],[Column8]],"")</f>
        <v/>
      </c>
      <c r="H828" s="123" t="str">
        <f>IF(ISNUMBER(namespace_raw[[#This Row],[Column9]]), namespace_raw[[#This Row],[Column9]]/1048576,"")</f>
        <v/>
      </c>
      <c r="I828" s="124" t="str">
        <f>IF(ISNUMBER(namespace_raw[[#This Row],[Column8]]),MAX(G828, M828, O828, $I$2,IF(Q828&lt;&gt;"",VALUE(Q828),0)), "")</f>
        <v/>
      </c>
      <c r="J828" s="125" t="str">
        <f>IF(ISNUMBER(namespace_raw[[#This Row],[Column9]]),MAX(H828, N828, P828, $J$2,IF(R828&lt;&gt;"",VALUE(R828),0)),"")</f>
        <v/>
      </c>
      <c r="K828" s="166" t="str">
        <f>IF(ISNUMBER(namespace_raw[[#This Row],[Column12]]), namespace_raw[[#This Row],[Column12]],"")</f>
        <v/>
      </c>
      <c r="L828" s="167" t="str">
        <f>IF(ISNUMBER(namespace_raw[[#This Row],[Column13]]), namespace_raw[[#This Row],[Column13]]/1048576,"")</f>
        <v/>
      </c>
      <c r="M828" s="168" t="str">
        <f>IF(ISNUMBER(namespace_raw[[#This Row],[Column10]]), (namespace_raw[[#This Row],[Column10]]*(1+$M$2)),"")</f>
        <v/>
      </c>
      <c r="N828" s="167" t="str">
        <f>IF(ISNUMBER(namespace_raw[[#This Row],[Column11]]), (namespace_raw[[#This Row],[Column11]]*(1+$N$2))/1048576,"")</f>
        <v/>
      </c>
      <c r="O828" s="169" t="str">
        <f>IF(ISNUMBER(namespace_raw[[#This Row],[Column8]]), (E828  * $O$2),"")</f>
        <v/>
      </c>
      <c r="P828" s="170" t="str">
        <f>IF(ISNUMBER(namespace_raw[[#This Row],[Column8]]), (F828  * $P$2),"")</f>
        <v/>
      </c>
    </row>
    <row r="829" spans="1:16" ht="15" customHeight="1" x14ac:dyDescent="0.25">
      <c r="A829" s="32" t="str">
        <f>IF(ISNONTEXT(namespace_raw[[#This Row],[Column1]]), "", namespace_raw[[#This Row],[Column1]])</f>
        <v/>
      </c>
      <c r="B829" s="33" t="str">
        <f>IF(ISNONTEXT(namespace_raw[[#This Row],[Column2]]), "", namespace_raw[[#This Row],[Column2]])</f>
        <v/>
      </c>
      <c r="C829" s="94" t="str">
        <f>IF(ISNUMBER(namespace_raw[[#This Row],[Column4]]), namespace_raw[[#This Row],[Column4]], "")</f>
        <v/>
      </c>
      <c r="D829" s="95" t="str">
        <f>IF(ISNUMBER(namespace_raw[[#This Row],[Column5]]), namespace_raw[[#This Row],[Column5]]/1048576, "")</f>
        <v/>
      </c>
      <c r="E829" s="95" t="str">
        <f>IF(ISNUMBER(namespace_raw[[#This Row],[Column6]]), namespace_raw[[#This Row],[Column6]],"")</f>
        <v/>
      </c>
      <c r="F829" s="96" t="str">
        <f>IF(ISNUMBER(namespace_raw[[#This Row],[Column7]]), namespace_raw[[#This Row],[Column7]]/1048576,"")</f>
        <v/>
      </c>
      <c r="G829" s="122" t="str">
        <f>IF(ISNUMBER(namespace_raw[[#This Row],[Column8]]), namespace_raw[[#This Row],[Column8]],"")</f>
        <v/>
      </c>
      <c r="H829" s="123" t="str">
        <f>IF(ISNUMBER(namespace_raw[[#This Row],[Column9]]), namespace_raw[[#This Row],[Column9]]/1048576,"")</f>
        <v/>
      </c>
      <c r="I829" s="124" t="str">
        <f>IF(ISNUMBER(namespace_raw[[#This Row],[Column8]]),MAX(G829, M829, O829, $I$2,IF(Q829&lt;&gt;"",VALUE(Q829),0)), "")</f>
        <v/>
      </c>
      <c r="J829" s="125" t="str">
        <f>IF(ISNUMBER(namespace_raw[[#This Row],[Column9]]),MAX(H829, N829, P829, $J$2,IF(R829&lt;&gt;"",VALUE(R829),0)),"")</f>
        <v/>
      </c>
      <c r="K829" s="166" t="str">
        <f>IF(ISNUMBER(namespace_raw[[#This Row],[Column12]]), namespace_raw[[#This Row],[Column12]],"")</f>
        <v/>
      </c>
      <c r="L829" s="167" t="str">
        <f>IF(ISNUMBER(namespace_raw[[#This Row],[Column13]]), namespace_raw[[#This Row],[Column13]]/1048576,"")</f>
        <v/>
      </c>
      <c r="M829" s="168" t="str">
        <f>IF(ISNUMBER(namespace_raw[[#This Row],[Column10]]), (namespace_raw[[#This Row],[Column10]]*(1+$M$2)),"")</f>
        <v/>
      </c>
      <c r="N829" s="167" t="str">
        <f>IF(ISNUMBER(namespace_raw[[#This Row],[Column11]]), (namespace_raw[[#This Row],[Column11]]*(1+$N$2))/1048576,"")</f>
        <v/>
      </c>
      <c r="O829" s="169" t="str">
        <f>IF(ISNUMBER(namespace_raw[[#This Row],[Column8]]), (E829  * $O$2),"")</f>
        <v/>
      </c>
      <c r="P829" s="170" t="str">
        <f>IF(ISNUMBER(namespace_raw[[#This Row],[Column8]]), (F829  * $P$2),"")</f>
        <v/>
      </c>
    </row>
    <row r="830" spans="1:16" ht="15" customHeight="1" x14ac:dyDescent="0.25">
      <c r="A830" s="32" t="str">
        <f>IF(ISNONTEXT(namespace_raw[[#This Row],[Column1]]), "", namespace_raw[[#This Row],[Column1]])</f>
        <v/>
      </c>
      <c r="B830" s="33" t="str">
        <f>IF(ISNONTEXT(namespace_raw[[#This Row],[Column2]]), "", namespace_raw[[#This Row],[Column2]])</f>
        <v/>
      </c>
      <c r="C830" s="94" t="str">
        <f>IF(ISNUMBER(namespace_raw[[#This Row],[Column4]]), namespace_raw[[#This Row],[Column4]], "")</f>
        <v/>
      </c>
      <c r="D830" s="95" t="str">
        <f>IF(ISNUMBER(namespace_raw[[#This Row],[Column5]]), namespace_raw[[#This Row],[Column5]]/1048576, "")</f>
        <v/>
      </c>
      <c r="E830" s="95" t="str">
        <f>IF(ISNUMBER(namespace_raw[[#This Row],[Column6]]), namespace_raw[[#This Row],[Column6]],"")</f>
        <v/>
      </c>
      <c r="F830" s="96" t="str">
        <f>IF(ISNUMBER(namespace_raw[[#This Row],[Column7]]), namespace_raw[[#This Row],[Column7]]/1048576,"")</f>
        <v/>
      </c>
      <c r="G830" s="122" t="str">
        <f>IF(ISNUMBER(namespace_raw[[#This Row],[Column8]]), namespace_raw[[#This Row],[Column8]],"")</f>
        <v/>
      </c>
      <c r="H830" s="123" t="str">
        <f>IF(ISNUMBER(namespace_raw[[#This Row],[Column9]]), namespace_raw[[#This Row],[Column9]]/1048576,"")</f>
        <v/>
      </c>
      <c r="I830" s="124" t="str">
        <f>IF(ISNUMBER(namespace_raw[[#This Row],[Column8]]),MAX(G830, M830, O830, $I$2,IF(Q830&lt;&gt;"",VALUE(Q830),0)), "")</f>
        <v/>
      </c>
      <c r="J830" s="125" t="str">
        <f>IF(ISNUMBER(namespace_raw[[#This Row],[Column9]]),MAX(H830, N830, P830, $J$2,IF(R830&lt;&gt;"",VALUE(R830),0)),"")</f>
        <v/>
      </c>
      <c r="K830" s="166" t="str">
        <f>IF(ISNUMBER(namespace_raw[[#This Row],[Column12]]), namespace_raw[[#This Row],[Column12]],"")</f>
        <v/>
      </c>
      <c r="L830" s="167" t="str">
        <f>IF(ISNUMBER(namespace_raw[[#This Row],[Column13]]), namespace_raw[[#This Row],[Column13]]/1048576,"")</f>
        <v/>
      </c>
      <c r="M830" s="168" t="str">
        <f>IF(ISNUMBER(namespace_raw[[#This Row],[Column10]]), (namespace_raw[[#This Row],[Column10]]*(1+$M$2)),"")</f>
        <v/>
      </c>
      <c r="N830" s="167" t="str">
        <f>IF(ISNUMBER(namespace_raw[[#This Row],[Column11]]), (namespace_raw[[#This Row],[Column11]]*(1+$N$2))/1048576,"")</f>
        <v/>
      </c>
      <c r="O830" s="169" t="str">
        <f>IF(ISNUMBER(namespace_raw[[#This Row],[Column8]]), (E830  * $O$2),"")</f>
        <v/>
      </c>
      <c r="P830" s="170" t="str">
        <f>IF(ISNUMBER(namespace_raw[[#This Row],[Column8]]), (F830  * $P$2),"")</f>
        <v/>
      </c>
    </row>
    <row r="831" spans="1:16" ht="15" customHeight="1" x14ac:dyDescent="0.25">
      <c r="A831" s="32" t="str">
        <f>IF(ISNONTEXT(namespace_raw[[#This Row],[Column1]]), "", namespace_raw[[#This Row],[Column1]])</f>
        <v/>
      </c>
      <c r="B831" s="33" t="str">
        <f>IF(ISNONTEXT(namespace_raw[[#This Row],[Column2]]), "", namespace_raw[[#This Row],[Column2]])</f>
        <v/>
      </c>
      <c r="C831" s="94" t="str">
        <f>IF(ISNUMBER(namespace_raw[[#This Row],[Column4]]), namespace_raw[[#This Row],[Column4]], "")</f>
        <v/>
      </c>
      <c r="D831" s="95" t="str">
        <f>IF(ISNUMBER(namespace_raw[[#This Row],[Column5]]), namespace_raw[[#This Row],[Column5]]/1048576, "")</f>
        <v/>
      </c>
      <c r="E831" s="95" t="str">
        <f>IF(ISNUMBER(namespace_raw[[#This Row],[Column6]]), namespace_raw[[#This Row],[Column6]],"")</f>
        <v/>
      </c>
      <c r="F831" s="96" t="str">
        <f>IF(ISNUMBER(namespace_raw[[#This Row],[Column7]]), namespace_raw[[#This Row],[Column7]]/1048576,"")</f>
        <v/>
      </c>
      <c r="G831" s="122" t="str">
        <f>IF(ISNUMBER(namespace_raw[[#This Row],[Column8]]), namespace_raw[[#This Row],[Column8]],"")</f>
        <v/>
      </c>
      <c r="H831" s="123" t="str">
        <f>IF(ISNUMBER(namespace_raw[[#This Row],[Column9]]), namespace_raw[[#This Row],[Column9]]/1048576,"")</f>
        <v/>
      </c>
      <c r="I831" s="124" t="str">
        <f>IF(ISNUMBER(namespace_raw[[#This Row],[Column8]]),MAX(G831, M831, O831, $I$2,IF(Q831&lt;&gt;"",VALUE(Q831),0)), "")</f>
        <v/>
      </c>
      <c r="J831" s="125" t="str">
        <f>IF(ISNUMBER(namespace_raw[[#This Row],[Column9]]),MAX(H831, N831, P831, $J$2,IF(R831&lt;&gt;"",VALUE(R831),0)),"")</f>
        <v/>
      </c>
      <c r="K831" s="166" t="str">
        <f>IF(ISNUMBER(namespace_raw[[#This Row],[Column12]]), namespace_raw[[#This Row],[Column12]],"")</f>
        <v/>
      </c>
      <c r="L831" s="167" t="str">
        <f>IF(ISNUMBER(namespace_raw[[#This Row],[Column13]]), namespace_raw[[#This Row],[Column13]]/1048576,"")</f>
        <v/>
      </c>
      <c r="M831" s="168" t="str">
        <f>IF(ISNUMBER(namespace_raw[[#This Row],[Column10]]), (namespace_raw[[#This Row],[Column10]]*(1+$M$2)),"")</f>
        <v/>
      </c>
      <c r="N831" s="167" t="str">
        <f>IF(ISNUMBER(namespace_raw[[#This Row],[Column11]]), (namespace_raw[[#This Row],[Column11]]*(1+$N$2))/1048576,"")</f>
        <v/>
      </c>
      <c r="O831" s="169" t="str">
        <f>IF(ISNUMBER(namespace_raw[[#This Row],[Column8]]), (E831  * $O$2),"")</f>
        <v/>
      </c>
      <c r="P831" s="170" t="str">
        <f>IF(ISNUMBER(namespace_raw[[#This Row],[Column8]]), (F831  * $P$2),"")</f>
        <v/>
      </c>
    </row>
    <row r="832" spans="1:16" ht="15" customHeight="1" x14ac:dyDescent="0.25">
      <c r="A832" s="32" t="str">
        <f>IF(ISNONTEXT(namespace_raw[[#This Row],[Column1]]), "", namespace_raw[[#This Row],[Column1]])</f>
        <v/>
      </c>
      <c r="B832" s="33" t="str">
        <f>IF(ISNONTEXT(namespace_raw[[#This Row],[Column2]]), "", namespace_raw[[#This Row],[Column2]])</f>
        <v/>
      </c>
      <c r="C832" s="94" t="str">
        <f>IF(ISNUMBER(namespace_raw[[#This Row],[Column4]]), namespace_raw[[#This Row],[Column4]], "")</f>
        <v/>
      </c>
      <c r="D832" s="95" t="str">
        <f>IF(ISNUMBER(namespace_raw[[#This Row],[Column5]]), namespace_raw[[#This Row],[Column5]]/1048576, "")</f>
        <v/>
      </c>
      <c r="E832" s="95" t="str">
        <f>IF(ISNUMBER(namespace_raw[[#This Row],[Column6]]), namespace_raw[[#This Row],[Column6]],"")</f>
        <v/>
      </c>
      <c r="F832" s="96" t="str">
        <f>IF(ISNUMBER(namespace_raw[[#This Row],[Column7]]), namespace_raw[[#This Row],[Column7]]/1048576,"")</f>
        <v/>
      </c>
      <c r="G832" s="122" t="str">
        <f>IF(ISNUMBER(namespace_raw[[#This Row],[Column8]]), namespace_raw[[#This Row],[Column8]],"")</f>
        <v/>
      </c>
      <c r="H832" s="123" t="str">
        <f>IF(ISNUMBER(namespace_raw[[#This Row],[Column9]]), namespace_raw[[#This Row],[Column9]]/1048576,"")</f>
        <v/>
      </c>
      <c r="I832" s="124" t="str">
        <f>IF(ISNUMBER(namespace_raw[[#This Row],[Column8]]),MAX(G832, M832, O832, $I$2,IF(Q832&lt;&gt;"",VALUE(Q832),0)), "")</f>
        <v/>
      </c>
      <c r="J832" s="125" t="str">
        <f>IF(ISNUMBER(namespace_raw[[#This Row],[Column9]]),MAX(H832, N832, P832, $J$2,IF(R832&lt;&gt;"",VALUE(R832),0)),"")</f>
        <v/>
      </c>
      <c r="K832" s="166" t="str">
        <f>IF(ISNUMBER(namespace_raw[[#This Row],[Column12]]), namespace_raw[[#This Row],[Column12]],"")</f>
        <v/>
      </c>
      <c r="L832" s="167" t="str">
        <f>IF(ISNUMBER(namespace_raw[[#This Row],[Column13]]), namespace_raw[[#This Row],[Column13]]/1048576,"")</f>
        <v/>
      </c>
      <c r="M832" s="168" t="str">
        <f>IF(ISNUMBER(namespace_raw[[#This Row],[Column10]]), (namespace_raw[[#This Row],[Column10]]*(1+$M$2)),"")</f>
        <v/>
      </c>
      <c r="N832" s="167" t="str">
        <f>IF(ISNUMBER(namespace_raw[[#This Row],[Column11]]), (namespace_raw[[#This Row],[Column11]]*(1+$N$2))/1048576,"")</f>
        <v/>
      </c>
      <c r="O832" s="169" t="str">
        <f>IF(ISNUMBER(namespace_raw[[#This Row],[Column8]]), (E832  * $O$2),"")</f>
        <v/>
      </c>
      <c r="P832" s="170" t="str">
        <f>IF(ISNUMBER(namespace_raw[[#This Row],[Column8]]), (F832  * $P$2),"")</f>
        <v/>
      </c>
    </row>
    <row r="833" spans="1:16" ht="15" customHeight="1" x14ac:dyDescent="0.25">
      <c r="A833" s="32" t="str">
        <f>IF(ISNONTEXT(namespace_raw[[#This Row],[Column1]]), "", namespace_raw[[#This Row],[Column1]])</f>
        <v/>
      </c>
      <c r="B833" s="33" t="str">
        <f>IF(ISNONTEXT(namespace_raw[[#This Row],[Column2]]), "", namespace_raw[[#This Row],[Column2]])</f>
        <v/>
      </c>
      <c r="C833" s="94" t="str">
        <f>IF(ISNUMBER(namespace_raw[[#This Row],[Column4]]), namespace_raw[[#This Row],[Column4]], "")</f>
        <v/>
      </c>
      <c r="D833" s="95" t="str">
        <f>IF(ISNUMBER(namespace_raw[[#This Row],[Column5]]), namespace_raw[[#This Row],[Column5]]/1048576, "")</f>
        <v/>
      </c>
      <c r="E833" s="95" t="str">
        <f>IF(ISNUMBER(namespace_raw[[#This Row],[Column6]]), namespace_raw[[#This Row],[Column6]],"")</f>
        <v/>
      </c>
      <c r="F833" s="96" t="str">
        <f>IF(ISNUMBER(namespace_raw[[#This Row],[Column7]]), namespace_raw[[#This Row],[Column7]]/1048576,"")</f>
        <v/>
      </c>
      <c r="G833" s="122" t="str">
        <f>IF(ISNUMBER(namespace_raw[[#This Row],[Column8]]), namespace_raw[[#This Row],[Column8]],"")</f>
        <v/>
      </c>
      <c r="H833" s="123" t="str">
        <f>IF(ISNUMBER(namespace_raw[[#This Row],[Column9]]), namespace_raw[[#This Row],[Column9]]/1048576,"")</f>
        <v/>
      </c>
      <c r="I833" s="124" t="str">
        <f>IF(ISNUMBER(namespace_raw[[#This Row],[Column8]]),MAX(G833, M833, O833, $I$2,IF(Q833&lt;&gt;"",VALUE(Q833),0)), "")</f>
        <v/>
      </c>
      <c r="J833" s="125" t="str">
        <f>IF(ISNUMBER(namespace_raw[[#This Row],[Column9]]),MAX(H833, N833, P833, $J$2,IF(R833&lt;&gt;"",VALUE(R833),0)),"")</f>
        <v/>
      </c>
      <c r="K833" s="166" t="str">
        <f>IF(ISNUMBER(namespace_raw[[#This Row],[Column12]]), namespace_raw[[#This Row],[Column12]],"")</f>
        <v/>
      </c>
      <c r="L833" s="167" t="str">
        <f>IF(ISNUMBER(namespace_raw[[#This Row],[Column13]]), namespace_raw[[#This Row],[Column13]]/1048576,"")</f>
        <v/>
      </c>
      <c r="M833" s="168" t="str">
        <f>IF(ISNUMBER(namespace_raw[[#This Row],[Column10]]), (namespace_raw[[#This Row],[Column10]]*(1+$M$2)),"")</f>
        <v/>
      </c>
      <c r="N833" s="167" t="str">
        <f>IF(ISNUMBER(namespace_raw[[#This Row],[Column11]]), (namespace_raw[[#This Row],[Column11]]*(1+$N$2))/1048576,"")</f>
        <v/>
      </c>
      <c r="O833" s="169" t="str">
        <f>IF(ISNUMBER(namespace_raw[[#This Row],[Column8]]), (E833  * $O$2),"")</f>
        <v/>
      </c>
      <c r="P833" s="170" t="str">
        <f>IF(ISNUMBER(namespace_raw[[#This Row],[Column8]]), (F833  * $P$2),"")</f>
        <v/>
      </c>
    </row>
    <row r="834" spans="1:16" ht="15" customHeight="1" x14ac:dyDescent="0.25">
      <c r="A834" s="32" t="str">
        <f>IF(ISNONTEXT(namespace_raw[[#This Row],[Column1]]), "", namespace_raw[[#This Row],[Column1]])</f>
        <v/>
      </c>
      <c r="B834" s="33" t="str">
        <f>IF(ISNONTEXT(namespace_raw[[#This Row],[Column2]]), "", namespace_raw[[#This Row],[Column2]])</f>
        <v/>
      </c>
      <c r="C834" s="94" t="str">
        <f>IF(ISNUMBER(namespace_raw[[#This Row],[Column4]]), namespace_raw[[#This Row],[Column4]], "")</f>
        <v/>
      </c>
      <c r="D834" s="95" t="str">
        <f>IF(ISNUMBER(namespace_raw[[#This Row],[Column5]]), namespace_raw[[#This Row],[Column5]]/1048576, "")</f>
        <v/>
      </c>
      <c r="E834" s="95" t="str">
        <f>IF(ISNUMBER(namespace_raw[[#This Row],[Column6]]), namespace_raw[[#This Row],[Column6]],"")</f>
        <v/>
      </c>
      <c r="F834" s="96" t="str">
        <f>IF(ISNUMBER(namespace_raw[[#This Row],[Column7]]), namespace_raw[[#This Row],[Column7]]/1048576,"")</f>
        <v/>
      </c>
      <c r="G834" s="122" t="str">
        <f>IF(ISNUMBER(namespace_raw[[#This Row],[Column8]]), namespace_raw[[#This Row],[Column8]],"")</f>
        <v/>
      </c>
      <c r="H834" s="123" t="str">
        <f>IF(ISNUMBER(namespace_raw[[#This Row],[Column9]]), namespace_raw[[#This Row],[Column9]]/1048576,"")</f>
        <v/>
      </c>
      <c r="I834" s="124" t="str">
        <f>IF(ISNUMBER(namespace_raw[[#This Row],[Column8]]),MAX(G834, M834, O834, $I$2,IF(Q834&lt;&gt;"",VALUE(Q834),0)), "")</f>
        <v/>
      </c>
      <c r="J834" s="125" t="str">
        <f>IF(ISNUMBER(namespace_raw[[#This Row],[Column9]]),MAX(H834, N834, P834, $J$2,IF(R834&lt;&gt;"",VALUE(R834),0)),"")</f>
        <v/>
      </c>
      <c r="K834" s="166" t="str">
        <f>IF(ISNUMBER(namespace_raw[[#This Row],[Column12]]), namespace_raw[[#This Row],[Column12]],"")</f>
        <v/>
      </c>
      <c r="L834" s="167" t="str">
        <f>IF(ISNUMBER(namespace_raw[[#This Row],[Column13]]), namespace_raw[[#This Row],[Column13]]/1048576,"")</f>
        <v/>
      </c>
      <c r="M834" s="168" t="str">
        <f>IF(ISNUMBER(namespace_raw[[#This Row],[Column10]]), (namespace_raw[[#This Row],[Column10]]*(1+$M$2)),"")</f>
        <v/>
      </c>
      <c r="N834" s="167" t="str">
        <f>IF(ISNUMBER(namespace_raw[[#This Row],[Column11]]), (namespace_raw[[#This Row],[Column11]]*(1+$N$2))/1048576,"")</f>
        <v/>
      </c>
      <c r="O834" s="169" t="str">
        <f>IF(ISNUMBER(namespace_raw[[#This Row],[Column8]]), (E834  * $O$2),"")</f>
        <v/>
      </c>
      <c r="P834" s="170" t="str">
        <f>IF(ISNUMBER(namespace_raw[[#This Row],[Column8]]), (F834  * $P$2),"")</f>
        <v/>
      </c>
    </row>
    <row r="835" spans="1:16" ht="15" customHeight="1" x14ac:dyDescent="0.25">
      <c r="A835" s="32" t="str">
        <f>IF(ISNONTEXT(namespace_raw[[#This Row],[Column1]]), "", namespace_raw[[#This Row],[Column1]])</f>
        <v/>
      </c>
      <c r="B835" s="33" t="str">
        <f>IF(ISNONTEXT(namespace_raw[[#This Row],[Column2]]), "", namespace_raw[[#This Row],[Column2]])</f>
        <v/>
      </c>
      <c r="C835" s="94" t="str">
        <f>IF(ISNUMBER(namespace_raw[[#This Row],[Column4]]), namespace_raw[[#This Row],[Column4]], "")</f>
        <v/>
      </c>
      <c r="D835" s="95" t="str">
        <f>IF(ISNUMBER(namespace_raw[[#This Row],[Column5]]), namespace_raw[[#This Row],[Column5]]/1048576, "")</f>
        <v/>
      </c>
      <c r="E835" s="95" t="str">
        <f>IF(ISNUMBER(namespace_raw[[#This Row],[Column6]]), namespace_raw[[#This Row],[Column6]],"")</f>
        <v/>
      </c>
      <c r="F835" s="96" t="str">
        <f>IF(ISNUMBER(namespace_raw[[#This Row],[Column7]]), namespace_raw[[#This Row],[Column7]]/1048576,"")</f>
        <v/>
      </c>
      <c r="G835" s="122" t="str">
        <f>IF(ISNUMBER(namespace_raw[[#This Row],[Column8]]), namespace_raw[[#This Row],[Column8]],"")</f>
        <v/>
      </c>
      <c r="H835" s="123" t="str">
        <f>IF(ISNUMBER(namespace_raw[[#This Row],[Column9]]), namespace_raw[[#This Row],[Column9]]/1048576,"")</f>
        <v/>
      </c>
      <c r="I835" s="124" t="str">
        <f>IF(ISNUMBER(namespace_raw[[#This Row],[Column8]]),MAX(G835, M835, O835, $I$2,IF(Q835&lt;&gt;"",VALUE(Q835),0)), "")</f>
        <v/>
      </c>
      <c r="J835" s="125" t="str">
        <f>IF(ISNUMBER(namespace_raw[[#This Row],[Column9]]),MAX(H835, N835, P835, $J$2,IF(R835&lt;&gt;"",VALUE(R835),0)),"")</f>
        <v/>
      </c>
      <c r="K835" s="166" t="str">
        <f>IF(ISNUMBER(namespace_raw[[#This Row],[Column12]]), namespace_raw[[#This Row],[Column12]],"")</f>
        <v/>
      </c>
      <c r="L835" s="167" t="str">
        <f>IF(ISNUMBER(namespace_raw[[#This Row],[Column13]]), namespace_raw[[#This Row],[Column13]]/1048576,"")</f>
        <v/>
      </c>
      <c r="M835" s="168" t="str">
        <f>IF(ISNUMBER(namespace_raw[[#This Row],[Column10]]), (namespace_raw[[#This Row],[Column10]]*(1+$M$2)),"")</f>
        <v/>
      </c>
      <c r="N835" s="167" t="str">
        <f>IF(ISNUMBER(namespace_raw[[#This Row],[Column11]]), (namespace_raw[[#This Row],[Column11]]*(1+$N$2))/1048576,"")</f>
        <v/>
      </c>
      <c r="O835" s="169" t="str">
        <f>IF(ISNUMBER(namespace_raw[[#This Row],[Column8]]), (E835  * $O$2),"")</f>
        <v/>
      </c>
      <c r="P835" s="170" t="str">
        <f>IF(ISNUMBER(namespace_raw[[#This Row],[Column8]]), (F835  * $P$2),"")</f>
        <v/>
      </c>
    </row>
    <row r="836" spans="1:16" ht="15" customHeight="1" x14ac:dyDescent="0.25">
      <c r="A836" s="32" t="str">
        <f>IF(ISNONTEXT(namespace_raw[[#This Row],[Column1]]), "", namespace_raw[[#This Row],[Column1]])</f>
        <v/>
      </c>
      <c r="B836" s="33" t="str">
        <f>IF(ISNONTEXT(namespace_raw[[#This Row],[Column2]]), "", namespace_raw[[#This Row],[Column2]])</f>
        <v/>
      </c>
      <c r="C836" s="94" t="str">
        <f>IF(ISNUMBER(namespace_raw[[#This Row],[Column4]]), namespace_raw[[#This Row],[Column4]], "")</f>
        <v/>
      </c>
      <c r="D836" s="95" t="str">
        <f>IF(ISNUMBER(namespace_raw[[#This Row],[Column5]]), namespace_raw[[#This Row],[Column5]]/1048576, "")</f>
        <v/>
      </c>
      <c r="E836" s="95" t="str">
        <f>IF(ISNUMBER(namespace_raw[[#This Row],[Column6]]), namespace_raw[[#This Row],[Column6]],"")</f>
        <v/>
      </c>
      <c r="F836" s="96" t="str">
        <f>IF(ISNUMBER(namespace_raw[[#This Row],[Column7]]), namespace_raw[[#This Row],[Column7]]/1048576,"")</f>
        <v/>
      </c>
      <c r="G836" s="122" t="str">
        <f>IF(ISNUMBER(namespace_raw[[#This Row],[Column8]]), namespace_raw[[#This Row],[Column8]],"")</f>
        <v/>
      </c>
      <c r="H836" s="123" t="str">
        <f>IF(ISNUMBER(namespace_raw[[#This Row],[Column9]]), namespace_raw[[#This Row],[Column9]]/1048576,"")</f>
        <v/>
      </c>
      <c r="I836" s="124" t="str">
        <f>IF(ISNUMBER(namespace_raw[[#This Row],[Column8]]),MAX(G836, M836, O836, $I$2,IF(Q836&lt;&gt;"",VALUE(Q836),0)), "")</f>
        <v/>
      </c>
      <c r="J836" s="125" t="str">
        <f>IF(ISNUMBER(namespace_raw[[#This Row],[Column9]]),MAX(H836, N836, P836, $J$2,IF(R836&lt;&gt;"",VALUE(R836),0)),"")</f>
        <v/>
      </c>
      <c r="K836" s="166" t="str">
        <f>IF(ISNUMBER(namespace_raw[[#This Row],[Column12]]), namespace_raw[[#This Row],[Column12]],"")</f>
        <v/>
      </c>
      <c r="L836" s="167" t="str">
        <f>IF(ISNUMBER(namespace_raw[[#This Row],[Column13]]), namespace_raw[[#This Row],[Column13]]/1048576,"")</f>
        <v/>
      </c>
      <c r="M836" s="168" t="str">
        <f>IF(ISNUMBER(namespace_raw[[#This Row],[Column10]]), (namespace_raw[[#This Row],[Column10]]*(1+$M$2)),"")</f>
        <v/>
      </c>
      <c r="N836" s="167" t="str">
        <f>IF(ISNUMBER(namespace_raw[[#This Row],[Column11]]), (namespace_raw[[#This Row],[Column11]]*(1+$N$2))/1048576,"")</f>
        <v/>
      </c>
      <c r="O836" s="169" t="str">
        <f>IF(ISNUMBER(namespace_raw[[#This Row],[Column8]]), (E836  * $O$2),"")</f>
        <v/>
      </c>
      <c r="P836" s="170" t="str">
        <f>IF(ISNUMBER(namespace_raw[[#This Row],[Column8]]), (F836  * $P$2),"")</f>
        <v/>
      </c>
    </row>
    <row r="837" spans="1:16" ht="15" customHeight="1" x14ac:dyDescent="0.25">
      <c r="A837" s="32" t="str">
        <f>IF(ISNONTEXT(namespace_raw[[#This Row],[Column1]]), "", namespace_raw[[#This Row],[Column1]])</f>
        <v/>
      </c>
      <c r="B837" s="33" t="str">
        <f>IF(ISNONTEXT(namespace_raw[[#This Row],[Column2]]), "", namespace_raw[[#This Row],[Column2]])</f>
        <v/>
      </c>
      <c r="C837" s="94" t="str">
        <f>IF(ISNUMBER(namespace_raw[[#This Row],[Column4]]), namespace_raw[[#This Row],[Column4]], "")</f>
        <v/>
      </c>
      <c r="D837" s="95" t="str">
        <f>IF(ISNUMBER(namespace_raw[[#This Row],[Column5]]), namespace_raw[[#This Row],[Column5]]/1048576, "")</f>
        <v/>
      </c>
      <c r="E837" s="95" t="str">
        <f>IF(ISNUMBER(namespace_raw[[#This Row],[Column6]]), namespace_raw[[#This Row],[Column6]],"")</f>
        <v/>
      </c>
      <c r="F837" s="96" t="str">
        <f>IF(ISNUMBER(namespace_raw[[#This Row],[Column7]]), namespace_raw[[#This Row],[Column7]]/1048576,"")</f>
        <v/>
      </c>
      <c r="G837" s="122" t="str">
        <f>IF(ISNUMBER(namespace_raw[[#This Row],[Column8]]), namespace_raw[[#This Row],[Column8]],"")</f>
        <v/>
      </c>
      <c r="H837" s="123" t="str">
        <f>IF(ISNUMBER(namespace_raw[[#This Row],[Column9]]), namespace_raw[[#This Row],[Column9]]/1048576,"")</f>
        <v/>
      </c>
      <c r="I837" s="124" t="str">
        <f>IF(ISNUMBER(namespace_raw[[#This Row],[Column8]]),MAX(G837, M837, O837, $I$2,IF(Q837&lt;&gt;"",VALUE(Q837),0)), "")</f>
        <v/>
      </c>
      <c r="J837" s="125" t="str">
        <f>IF(ISNUMBER(namespace_raw[[#This Row],[Column9]]),MAX(H837, N837, P837, $J$2,IF(R837&lt;&gt;"",VALUE(R837),0)),"")</f>
        <v/>
      </c>
      <c r="K837" s="166" t="str">
        <f>IF(ISNUMBER(namespace_raw[[#This Row],[Column12]]), namespace_raw[[#This Row],[Column12]],"")</f>
        <v/>
      </c>
      <c r="L837" s="167" t="str">
        <f>IF(ISNUMBER(namespace_raw[[#This Row],[Column13]]), namespace_raw[[#This Row],[Column13]]/1048576,"")</f>
        <v/>
      </c>
      <c r="M837" s="168" t="str">
        <f>IF(ISNUMBER(namespace_raw[[#This Row],[Column10]]), (namespace_raw[[#This Row],[Column10]]*(1+$M$2)),"")</f>
        <v/>
      </c>
      <c r="N837" s="167" t="str">
        <f>IF(ISNUMBER(namespace_raw[[#This Row],[Column11]]), (namespace_raw[[#This Row],[Column11]]*(1+$N$2))/1048576,"")</f>
        <v/>
      </c>
      <c r="O837" s="169" t="str">
        <f>IF(ISNUMBER(namespace_raw[[#This Row],[Column8]]), (E837  * $O$2),"")</f>
        <v/>
      </c>
      <c r="P837" s="170" t="str">
        <f>IF(ISNUMBER(namespace_raw[[#This Row],[Column8]]), (F837  * $P$2),"")</f>
        <v/>
      </c>
    </row>
    <row r="838" spans="1:16" ht="15" customHeight="1" x14ac:dyDescent="0.25">
      <c r="A838" s="32" t="str">
        <f>IF(ISNONTEXT(namespace_raw[[#This Row],[Column1]]), "", namespace_raw[[#This Row],[Column1]])</f>
        <v/>
      </c>
      <c r="B838" s="33" t="str">
        <f>IF(ISNONTEXT(namespace_raw[[#This Row],[Column2]]), "", namespace_raw[[#This Row],[Column2]])</f>
        <v/>
      </c>
      <c r="C838" s="94" t="str">
        <f>IF(ISNUMBER(namespace_raw[[#This Row],[Column4]]), namespace_raw[[#This Row],[Column4]], "")</f>
        <v/>
      </c>
      <c r="D838" s="95" t="str">
        <f>IF(ISNUMBER(namespace_raw[[#This Row],[Column5]]), namespace_raw[[#This Row],[Column5]]/1048576, "")</f>
        <v/>
      </c>
      <c r="E838" s="95" t="str">
        <f>IF(ISNUMBER(namespace_raw[[#This Row],[Column6]]), namespace_raw[[#This Row],[Column6]],"")</f>
        <v/>
      </c>
      <c r="F838" s="96" t="str">
        <f>IF(ISNUMBER(namespace_raw[[#This Row],[Column7]]), namespace_raw[[#This Row],[Column7]]/1048576,"")</f>
        <v/>
      </c>
      <c r="G838" s="122" t="str">
        <f>IF(ISNUMBER(namespace_raw[[#This Row],[Column8]]), namespace_raw[[#This Row],[Column8]],"")</f>
        <v/>
      </c>
      <c r="H838" s="123" t="str">
        <f>IF(ISNUMBER(namespace_raw[[#This Row],[Column9]]), namespace_raw[[#This Row],[Column9]]/1048576,"")</f>
        <v/>
      </c>
      <c r="I838" s="124" t="str">
        <f>IF(ISNUMBER(namespace_raw[[#This Row],[Column8]]),MAX(G838, M838, O838, $I$2,IF(Q838&lt;&gt;"",VALUE(Q838),0)), "")</f>
        <v/>
      </c>
      <c r="J838" s="125" t="str">
        <f>IF(ISNUMBER(namespace_raw[[#This Row],[Column9]]),MAX(H838, N838, P838, $J$2,IF(R838&lt;&gt;"",VALUE(R838),0)),"")</f>
        <v/>
      </c>
      <c r="K838" s="166" t="str">
        <f>IF(ISNUMBER(namespace_raw[[#This Row],[Column12]]), namespace_raw[[#This Row],[Column12]],"")</f>
        <v/>
      </c>
      <c r="L838" s="167" t="str">
        <f>IF(ISNUMBER(namespace_raw[[#This Row],[Column13]]), namespace_raw[[#This Row],[Column13]]/1048576,"")</f>
        <v/>
      </c>
      <c r="M838" s="168" t="str">
        <f>IF(ISNUMBER(namespace_raw[[#This Row],[Column10]]), (namespace_raw[[#This Row],[Column10]]*(1+$M$2)),"")</f>
        <v/>
      </c>
      <c r="N838" s="167" t="str">
        <f>IF(ISNUMBER(namespace_raw[[#This Row],[Column11]]), (namespace_raw[[#This Row],[Column11]]*(1+$N$2))/1048576,"")</f>
        <v/>
      </c>
      <c r="O838" s="169" t="str">
        <f>IF(ISNUMBER(namespace_raw[[#This Row],[Column8]]), (E838  * $O$2),"")</f>
        <v/>
      </c>
      <c r="P838" s="170" t="str">
        <f>IF(ISNUMBER(namespace_raw[[#This Row],[Column8]]), (F838  * $P$2),"")</f>
        <v/>
      </c>
    </row>
    <row r="839" spans="1:16" ht="15" customHeight="1" x14ac:dyDescent="0.25">
      <c r="A839" s="32" t="str">
        <f>IF(ISNONTEXT(namespace_raw[[#This Row],[Column1]]), "", namespace_raw[[#This Row],[Column1]])</f>
        <v/>
      </c>
      <c r="B839" s="33" t="str">
        <f>IF(ISNONTEXT(namespace_raw[[#This Row],[Column2]]), "", namespace_raw[[#This Row],[Column2]])</f>
        <v/>
      </c>
      <c r="C839" s="94" t="str">
        <f>IF(ISNUMBER(namespace_raw[[#This Row],[Column4]]), namespace_raw[[#This Row],[Column4]], "")</f>
        <v/>
      </c>
      <c r="D839" s="95" t="str">
        <f>IF(ISNUMBER(namespace_raw[[#This Row],[Column5]]), namespace_raw[[#This Row],[Column5]]/1048576, "")</f>
        <v/>
      </c>
      <c r="E839" s="95" t="str">
        <f>IF(ISNUMBER(namespace_raw[[#This Row],[Column6]]), namespace_raw[[#This Row],[Column6]],"")</f>
        <v/>
      </c>
      <c r="F839" s="96" t="str">
        <f>IF(ISNUMBER(namespace_raw[[#This Row],[Column7]]), namespace_raw[[#This Row],[Column7]]/1048576,"")</f>
        <v/>
      </c>
      <c r="G839" s="122" t="str">
        <f>IF(ISNUMBER(namespace_raw[[#This Row],[Column8]]), namespace_raw[[#This Row],[Column8]],"")</f>
        <v/>
      </c>
      <c r="H839" s="123" t="str">
        <f>IF(ISNUMBER(namespace_raw[[#This Row],[Column9]]), namespace_raw[[#This Row],[Column9]]/1048576,"")</f>
        <v/>
      </c>
      <c r="I839" s="124" t="str">
        <f>IF(ISNUMBER(namespace_raw[[#This Row],[Column8]]),MAX(G839, M839, O839, $I$2,IF(Q839&lt;&gt;"",VALUE(Q839),0)), "")</f>
        <v/>
      </c>
      <c r="J839" s="125" t="str">
        <f>IF(ISNUMBER(namespace_raw[[#This Row],[Column9]]),MAX(H839, N839, P839, $J$2,IF(R839&lt;&gt;"",VALUE(R839),0)),"")</f>
        <v/>
      </c>
      <c r="K839" s="166" t="str">
        <f>IF(ISNUMBER(namespace_raw[[#This Row],[Column12]]), namespace_raw[[#This Row],[Column12]],"")</f>
        <v/>
      </c>
      <c r="L839" s="167" t="str">
        <f>IF(ISNUMBER(namespace_raw[[#This Row],[Column13]]), namespace_raw[[#This Row],[Column13]]/1048576,"")</f>
        <v/>
      </c>
      <c r="M839" s="168" t="str">
        <f>IF(ISNUMBER(namespace_raw[[#This Row],[Column10]]), (namespace_raw[[#This Row],[Column10]]*(1+$M$2)),"")</f>
        <v/>
      </c>
      <c r="N839" s="167" t="str">
        <f>IF(ISNUMBER(namespace_raw[[#This Row],[Column11]]), (namespace_raw[[#This Row],[Column11]]*(1+$N$2))/1048576,"")</f>
        <v/>
      </c>
      <c r="O839" s="169" t="str">
        <f>IF(ISNUMBER(namespace_raw[[#This Row],[Column8]]), (E839  * $O$2),"")</f>
        <v/>
      </c>
      <c r="P839" s="170" t="str">
        <f>IF(ISNUMBER(namespace_raw[[#This Row],[Column8]]), (F839  * $P$2),"")</f>
        <v/>
      </c>
    </row>
    <row r="840" spans="1:16" ht="15" customHeight="1" x14ac:dyDescent="0.25">
      <c r="A840" s="32" t="str">
        <f>IF(ISNONTEXT(namespace_raw[[#This Row],[Column1]]), "", namespace_raw[[#This Row],[Column1]])</f>
        <v/>
      </c>
      <c r="B840" s="33" t="str">
        <f>IF(ISNONTEXT(namespace_raw[[#This Row],[Column2]]), "", namespace_raw[[#This Row],[Column2]])</f>
        <v/>
      </c>
      <c r="C840" s="94" t="str">
        <f>IF(ISNUMBER(namespace_raw[[#This Row],[Column4]]), namespace_raw[[#This Row],[Column4]], "")</f>
        <v/>
      </c>
      <c r="D840" s="95" t="str">
        <f>IF(ISNUMBER(namespace_raw[[#This Row],[Column5]]), namespace_raw[[#This Row],[Column5]]/1048576, "")</f>
        <v/>
      </c>
      <c r="E840" s="95" t="str">
        <f>IF(ISNUMBER(namespace_raw[[#This Row],[Column6]]), namespace_raw[[#This Row],[Column6]],"")</f>
        <v/>
      </c>
      <c r="F840" s="96" t="str">
        <f>IF(ISNUMBER(namespace_raw[[#This Row],[Column7]]), namespace_raw[[#This Row],[Column7]]/1048576,"")</f>
        <v/>
      </c>
      <c r="G840" s="122" t="str">
        <f>IF(ISNUMBER(namespace_raw[[#This Row],[Column8]]), namespace_raw[[#This Row],[Column8]],"")</f>
        <v/>
      </c>
      <c r="H840" s="123" t="str">
        <f>IF(ISNUMBER(namespace_raw[[#This Row],[Column9]]), namespace_raw[[#This Row],[Column9]]/1048576,"")</f>
        <v/>
      </c>
      <c r="I840" s="124" t="str">
        <f>IF(ISNUMBER(namespace_raw[[#This Row],[Column8]]),MAX(G840, M840, O840, $I$2,IF(Q840&lt;&gt;"",VALUE(Q840),0)), "")</f>
        <v/>
      </c>
      <c r="J840" s="125" t="str">
        <f>IF(ISNUMBER(namespace_raw[[#This Row],[Column9]]),MAX(H840, N840, P840, $J$2,IF(R840&lt;&gt;"",VALUE(R840),0)),"")</f>
        <v/>
      </c>
      <c r="K840" s="166" t="str">
        <f>IF(ISNUMBER(namespace_raw[[#This Row],[Column12]]), namespace_raw[[#This Row],[Column12]],"")</f>
        <v/>
      </c>
      <c r="L840" s="167" t="str">
        <f>IF(ISNUMBER(namespace_raw[[#This Row],[Column13]]), namespace_raw[[#This Row],[Column13]]/1048576,"")</f>
        <v/>
      </c>
      <c r="M840" s="168" t="str">
        <f>IF(ISNUMBER(namespace_raw[[#This Row],[Column10]]), (namespace_raw[[#This Row],[Column10]]*(1+$M$2)),"")</f>
        <v/>
      </c>
      <c r="N840" s="167" t="str">
        <f>IF(ISNUMBER(namespace_raw[[#This Row],[Column11]]), (namespace_raw[[#This Row],[Column11]]*(1+$N$2))/1048576,"")</f>
        <v/>
      </c>
      <c r="O840" s="169" t="str">
        <f>IF(ISNUMBER(namespace_raw[[#This Row],[Column8]]), (E840  * $O$2),"")</f>
        <v/>
      </c>
      <c r="P840" s="170" t="str">
        <f>IF(ISNUMBER(namespace_raw[[#This Row],[Column8]]), (F840  * $P$2),"")</f>
        <v/>
      </c>
    </row>
    <row r="841" spans="1:16" ht="15" customHeight="1" x14ac:dyDescent="0.25">
      <c r="A841" s="32" t="str">
        <f>IF(ISNONTEXT(namespace_raw[[#This Row],[Column1]]), "", namespace_raw[[#This Row],[Column1]])</f>
        <v/>
      </c>
      <c r="B841" s="33" t="str">
        <f>IF(ISNONTEXT(namespace_raw[[#This Row],[Column2]]), "", namespace_raw[[#This Row],[Column2]])</f>
        <v/>
      </c>
      <c r="C841" s="94" t="str">
        <f>IF(ISNUMBER(namespace_raw[[#This Row],[Column4]]), namespace_raw[[#This Row],[Column4]], "")</f>
        <v/>
      </c>
      <c r="D841" s="95" t="str">
        <f>IF(ISNUMBER(namespace_raw[[#This Row],[Column5]]), namespace_raw[[#This Row],[Column5]]/1048576, "")</f>
        <v/>
      </c>
      <c r="E841" s="95" t="str">
        <f>IF(ISNUMBER(namespace_raw[[#This Row],[Column6]]), namespace_raw[[#This Row],[Column6]],"")</f>
        <v/>
      </c>
      <c r="F841" s="96" t="str">
        <f>IF(ISNUMBER(namespace_raw[[#This Row],[Column7]]), namespace_raw[[#This Row],[Column7]]/1048576,"")</f>
        <v/>
      </c>
      <c r="G841" s="122" t="str">
        <f>IF(ISNUMBER(namespace_raw[[#This Row],[Column8]]), namespace_raw[[#This Row],[Column8]],"")</f>
        <v/>
      </c>
      <c r="H841" s="123" t="str">
        <f>IF(ISNUMBER(namespace_raw[[#This Row],[Column9]]), namespace_raw[[#This Row],[Column9]]/1048576,"")</f>
        <v/>
      </c>
      <c r="I841" s="124" t="str">
        <f>IF(ISNUMBER(namespace_raw[[#This Row],[Column8]]),MAX(G841, M841, O841, $I$2,IF(Q841&lt;&gt;"",VALUE(Q841),0)), "")</f>
        <v/>
      </c>
      <c r="J841" s="125" t="str">
        <f>IF(ISNUMBER(namespace_raw[[#This Row],[Column9]]),MAX(H841, N841, P841, $J$2,IF(R841&lt;&gt;"",VALUE(R841),0)),"")</f>
        <v/>
      </c>
      <c r="K841" s="166" t="str">
        <f>IF(ISNUMBER(namespace_raw[[#This Row],[Column12]]), namespace_raw[[#This Row],[Column12]],"")</f>
        <v/>
      </c>
      <c r="L841" s="167" t="str">
        <f>IF(ISNUMBER(namespace_raw[[#This Row],[Column13]]), namespace_raw[[#This Row],[Column13]]/1048576,"")</f>
        <v/>
      </c>
      <c r="M841" s="168" t="str">
        <f>IF(ISNUMBER(namespace_raw[[#This Row],[Column10]]), (namespace_raw[[#This Row],[Column10]]*(1+$M$2)),"")</f>
        <v/>
      </c>
      <c r="N841" s="167" t="str">
        <f>IF(ISNUMBER(namespace_raw[[#This Row],[Column11]]), (namespace_raw[[#This Row],[Column11]]*(1+$N$2))/1048576,"")</f>
        <v/>
      </c>
      <c r="O841" s="169" t="str">
        <f>IF(ISNUMBER(namespace_raw[[#This Row],[Column8]]), (E841  * $O$2),"")</f>
        <v/>
      </c>
      <c r="P841" s="170" t="str">
        <f>IF(ISNUMBER(namespace_raw[[#This Row],[Column8]]), (F841  * $P$2),"")</f>
        <v/>
      </c>
    </row>
    <row r="842" spans="1:16" ht="15" customHeight="1" x14ac:dyDescent="0.25">
      <c r="A842" s="32" t="str">
        <f>IF(ISNONTEXT(namespace_raw[[#This Row],[Column1]]), "", namespace_raw[[#This Row],[Column1]])</f>
        <v/>
      </c>
      <c r="B842" s="33" t="str">
        <f>IF(ISNONTEXT(namespace_raw[[#This Row],[Column2]]), "", namespace_raw[[#This Row],[Column2]])</f>
        <v/>
      </c>
      <c r="C842" s="94" t="str">
        <f>IF(ISNUMBER(namespace_raw[[#This Row],[Column4]]), namespace_raw[[#This Row],[Column4]], "")</f>
        <v/>
      </c>
      <c r="D842" s="95" t="str">
        <f>IF(ISNUMBER(namespace_raw[[#This Row],[Column5]]), namespace_raw[[#This Row],[Column5]]/1048576, "")</f>
        <v/>
      </c>
      <c r="E842" s="95" t="str">
        <f>IF(ISNUMBER(namespace_raw[[#This Row],[Column6]]), namespace_raw[[#This Row],[Column6]],"")</f>
        <v/>
      </c>
      <c r="F842" s="96" t="str">
        <f>IF(ISNUMBER(namespace_raw[[#This Row],[Column7]]), namespace_raw[[#This Row],[Column7]]/1048576,"")</f>
        <v/>
      </c>
      <c r="G842" s="122" t="str">
        <f>IF(ISNUMBER(namespace_raw[[#This Row],[Column8]]), namespace_raw[[#This Row],[Column8]],"")</f>
        <v/>
      </c>
      <c r="H842" s="123" t="str">
        <f>IF(ISNUMBER(namespace_raw[[#This Row],[Column9]]), namespace_raw[[#This Row],[Column9]]/1048576,"")</f>
        <v/>
      </c>
      <c r="I842" s="124" t="str">
        <f>IF(ISNUMBER(namespace_raw[[#This Row],[Column8]]),MAX(G842, M842, O842, $I$2,IF(Q842&lt;&gt;"",VALUE(Q842),0)), "")</f>
        <v/>
      </c>
      <c r="J842" s="125" t="str">
        <f>IF(ISNUMBER(namespace_raw[[#This Row],[Column9]]),MAX(H842, N842, P842, $J$2,IF(R842&lt;&gt;"",VALUE(R842),0)),"")</f>
        <v/>
      </c>
      <c r="K842" s="166" t="str">
        <f>IF(ISNUMBER(namespace_raw[[#This Row],[Column12]]), namespace_raw[[#This Row],[Column12]],"")</f>
        <v/>
      </c>
      <c r="L842" s="167" t="str">
        <f>IF(ISNUMBER(namespace_raw[[#This Row],[Column13]]), namespace_raw[[#This Row],[Column13]]/1048576,"")</f>
        <v/>
      </c>
      <c r="M842" s="168" t="str">
        <f>IF(ISNUMBER(namespace_raw[[#This Row],[Column10]]), (namespace_raw[[#This Row],[Column10]]*(1+$M$2)),"")</f>
        <v/>
      </c>
      <c r="N842" s="167" t="str">
        <f>IF(ISNUMBER(namespace_raw[[#This Row],[Column11]]), (namespace_raw[[#This Row],[Column11]]*(1+$N$2))/1048576,"")</f>
        <v/>
      </c>
      <c r="O842" s="169" t="str">
        <f>IF(ISNUMBER(namespace_raw[[#This Row],[Column8]]), (E842  * $O$2),"")</f>
        <v/>
      </c>
      <c r="P842" s="170" t="str">
        <f>IF(ISNUMBER(namespace_raw[[#This Row],[Column8]]), (F842  * $P$2),"")</f>
        <v/>
      </c>
    </row>
    <row r="843" spans="1:16" ht="15" customHeight="1" x14ac:dyDescent="0.25">
      <c r="A843" s="32" t="str">
        <f>IF(ISNONTEXT(namespace_raw[[#This Row],[Column1]]), "", namespace_raw[[#This Row],[Column1]])</f>
        <v/>
      </c>
      <c r="B843" s="33" t="str">
        <f>IF(ISNONTEXT(namespace_raw[[#This Row],[Column2]]), "", namespace_raw[[#This Row],[Column2]])</f>
        <v/>
      </c>
      <c r="C843" s="94" t="str">
        <f>IF(ISNUMBER(namespace_raw[[#This Row],[Column4]]), namespace_raw[[#This Row],[Column4]], "")</f>
        <v/>
      </c>
      <c r="D843" s="95" t="str">
        <f>IF(ISNUMBER(namespace_raw[[#This Row],[Column5]]), namespace_raw[[#This Row],[Column5]]/1048576, "")</f>
        <v/>
      </c>
      <c r="E843" s="95" t="str">
        <f>IF(ISNUMBER(namespace_raw[[#This Row],[Column6]]), namespace_raw[[#This Row],[Column6]],"")</f>
        <v/>
      </c>
      <c r="F843" s="96" t="str">
        <f>IF(ISNUMBER(namespace_raw[[#This Row],[Column7]]), namespace_raw[[#This Row],[Column7]]/1048576,"")</f>
        <v/>
      </c>
      <c r="G843" s="122" t="str">
        <f>IF(ISNUMBER(namespace_raw[[#This Row],[Column8]]), namespace_raw[[#This Row],[Column8]],"")</f>
        <v/>
      </c>
      <c r="H843" s="123" t="str">
        <f>IF(ISNUMBER(namespace_raw[[#This Row],[Column9]]), namespace_raw[[#This Row],[Column9]]/1048576,"")</f>
        <v/>
      </c>
      <c r="I843" s="124" t="str">
        <f>IF(ISNUMBER(namespace_raw[[#This Row],[Column8]]),MAX(G843, M843, O843, $I$2,IF(Q843&lt;&gt;"",VALUE(Q843),0)), "")</f>
        <v/>
      </c>
      <c r="J843" s="125" t="str">
        <f>IF(ISNUMBER(namespace_raw[[#This Row],[Column9]]),MAX(H843, N843, P843, $J$2,IF(R843&lt;&gt;"",VALUE(R843),0)),"")</f>
        <v/>
      </c>
      <c r="K843" s="166" t="str">
        <f>IF(ISNUMBER(namespace_raw[[#This Row],[Column12]]), namespace_raw[[#This Row],[Column12]],"")</f>
        <v/>
      </c>
      <c r="L843" s="167" t="str">
        <f>IF(ISNUMBER(namespace_raw[[#This Row],[Column13]]), namespace_raw[[#This Row],[Column13]]/1048576,"")</f>
        <v/>
      </c>
      <c r="M843" s="168" t="str">
        <f>IF(ISNUMBER(namespace_raw[[#This Row],[Column10]]), (namespace_raw[[#This Row],[Column10]]*(1+$M$2)),"")</f>
        <v/>
      </c>
      <c r="N843" s="167" t="str">
        <f>IF(ISNUMBER(namespace_raw[[#This Row],[Column11]]), (namespace_raw[[#This Row],[Column11]]*(1+$N$2))/1048576,"")</f>
        <v/>
      </c>
      <c r="O843" s="169" t="str">
        <f>IF(ISNUMBER(namespace_raw[[#This Row],[Column8]]), (E843  * $O$2),"")</f>
        <v/>
      </c>
      <c r="P843" s="170" t="str">
        <f>IF(ISNUMBER(namespace_raw[[#This Row],[Column8]]), (F843  * $P$2),"")</f>
        <v/>
      </c>
    </row>
    <row r="844" spans="1:16" ht="15" customHeight="1" x14ac:dyDescent="0.25">
      <c r="A844" s="32" t="str">
        <f>IF(ISNONTEXT(namespace_raw[[#This Row],[Column1]]), "", namespace_raw[[#This Row],[Column1]])</f>
        <v/>
      </c>
      <c r="B844" s="33" t="str">
        <f>IF(ISNONTEXT(namespace_raw[[#This Row],[Column2]]), "", namespace_raw[[#This Row],[Column2]])</f>
        <v/>
      </c>
      <c r="C844" s="94" t="str">
        <f>IF(ISNUMBER(namespace_raw[[#This Row],[Column4]]), namespace_raw[[#This Row],[Column4]], "")</f>
        <v/>
      </c>
      <c r="D844" s="95" t="str">
        <f>IF(ISNUMBER(namespace_raw[[#This Row],[Column5]]), namespace_raw[[#This Row],[Column5]]/1048576, "")</f>
        <v/>
      </c>
      <c r="E844" s="95" t="str">
        <f>IF(ISNUMBER(namespace_raw[[#This Row],[Column6]]), namespace_raw[[#This Row],[Column6]],"")</f>
        <v/>
      </c>
      <c r="F844" s="96" t="str">
        <f>IF(ISNUMBER(namespace_raw[[#This Row],[Column7]]), namespace_raw[[#This Row],[Column7]]/1048576,"")</f>
        <v/>
      </c>
      <c r="G844" s="122" t="str">
        <f>IF(ISNUMBER(namespace_raw[[#This Row],[Column8]]), namespace_raw[[#This Row],[Column8]],"")</f>
        <v/>
      </c>
      <c r="H844" s="123" t="str">
        <f>IF(ISNUMBER(namespace_raw[[#This Row],[Column9]]), namespace_raw[[#This Row],[Column9]]/1048576,"")</f>
        <v/>
      </c>
      <c r="I844" s="124" t="str">
        <f>IF(ISNUMBER(namespace_raw[[#This Row],[Column8]]),MAX(G844, M844, O844, $I$2,IF(Q844&lt;&gt;"",VALUE(Q844),0)), "")</f>
        <v/>
      </c>
      <c r="J844" s="125" t="str">
        <f>IF(ISNUMBER(namespace_raw[[#This Row],[Column9]]),MAX(H844, N844, P844, $J$2,IF(R844&lt;&gt;"",VALUE(R844),0)),"")</f>
        <v/>
      </c>
      <c r="K844" s="166" t="str">
        <f>IF(ISNUMBER(namespace_raw[[#This Row],[Column12]]), namespace_raw[[#This Row],[Column12]],"")</f>
        <v/>
      </c>
      <c r="L844" s="167" t="str">
        <f>IF(ISNUMBER(namespace_raw[[#This Row],[Column13]]), namespace_raw[[#This Row],[Column13]]/1048576,"")</f>
        <v/>
      </c>
      <c r="M844" s="168" t="str">
        <f>IF(ISNUMBER(namespace_raw[[#This Row],[Column10]]), (namespace_raw[[#This Row],[Column10]]*(1+$M$2)),"")</f>
        <v/>
      </c>
      <c r="N844" s="167" t="str">
        <f>IF(ISNUMBER(namespace_raw[[#This Row],[Column11]]), (namespace_raw[[#This Row],[Column11]]*(1+$N$2))/1048576,"")</f>
        <v/>
      </c>
      <c r="O844" s="169" t="str">
        <f>IF(ISNUMBER(namespace_raw[[#This Row],[Column8]]), (E844  * $O$2),"")</f>
        <v/>
      </c>
      <c r="P844" s="170" t="str">
        <f>IF(ISNUMBER(namespace_raw[[#This Row],[Column8]]), (F844  * $P$2),"")</f>
        <v/>
      </c>
    </row>
    <row r="845" spans="1:16" ht="15" customHeight="1" x14ac:dyDescent="0.25">
      <c r="A845" s="32" t="str">
        <f>IF(ISNONTEXT(namespace_raw[[#This Row],[Column1]]), "", namespace_raw[[#This Row],[Column1]])</f>
        <v/>
      </c>
      <c r="B845" s="33" t="str">
        <f>IF(ISNONTEXT(namespace_raw[[#This Row],[Column2]]), "", namespace_raw[[#This Row],[Column2]])</f>
        <v/>
      </c>
      <c r="C845" s="94" t="str">
        <f>IF(ISNUMBER(namespace_raw[[#This Row],[Column4]]), namespace_raw[[#This Row],[Column4]], "")</f>
        <v/>
      </c>
      <c r="D845" s="95" t="str">
        <f>IF(ISNUMBER(namespace_raw[[#This Row],[Column5]]), namespace_raw[[#This Row],[Column5]]/1048576, "")</f>
        <v/>
      </c>
      <c r="E845" s="95" t="str">
        <f>IF(ISNUMBER(namespace_raw[[#This Row],[Column6]]), namespace_raw[[#This Row],[Column6]],"")</f>
        <v/>
      </c>
      <c r="F845" s="96" t="str">
        <f>IF(ISNUMBER(namespace_raw[[#This Row],[Column7]]), namespace_raw[[#This Row],[Column7]]/1048576,"")</f>
        <v/>
      </c>
      <c r="G845" s="122" t="str">
        <f>IF(ISNUMBER(namespace_raw[[#This Row],[Column8]]), namespace_raw[[#This Row],[Column8]],"")</f>
        <v/>
      </c>
      <c r="H845" s="123" t="str">
        <f>IF(ISNUMBER(namespace_raw[[#This Row],[Column9]]), namespace_raw[[#This Row],[Column9]]/1048576,"")</f>
        <v/>
      </c>
      <c r="I845" s="124" t="str">
        <f>IF(ISNUMBER(namespace_raw[[#This Row],[Column8]]),MAX(G845, M845, O845, $I$2,IF(Q845&lt;&gt;"",VALUE(Q845),0)), "")</f>
        <v/>
      </c>
      <c r="J845" s="125" t="str">
        <f>IF(ISNUMBER(namespace_raw[[#This Row],[Column9]]),MAX(H845, N845, P845, $J$2,IF(R845&lt;&gt;"",VALUE(R845),0)),"")</f>
        <v/>
      </c>
      <c r="K845" s="166" t="str">
        <f>IF(ISNUMBER(namespace_raw[[#This Row],[Column12]]), namespace_raw[[#This Row],[Column12]],"")</f>
        <v/>
      </c>
      <c r="L845" s="167" t="str">
        <f>IF(ISNUMBER(namespace_raw[[#This Row],[Column13]]), namespace_raw[[#This Row],[Column13]]/1048576,"")</f>
        <v/>
      </c>
      <c r="M845" s="168" t="str">
        <f>IF(ISNUMBER(namespace_raw[[#This Row],[Column10]]), (namespace_raw[[#This Row],[Column10]]*(1+$M$2)),"")</f>
        <v/>
      </c>
      <c r="N845" s="167" t="str">
        <f>IF(ISNUMBER(namespace_raw[[#This Row],[Column11]]), (namespace_raw[[#This Row],[Column11]]*(1+$N$2))/1048576,"")</f>
        <v/>
      </c>
      <c r="O845" s="169" t="str">
        <f>IF(ISNUMBER(namespace_raw[[#This Row],[Column8]]), (E845  * $O$2),"")</f>
        <v/>
      </c>
      <c r="P845" s="170" t="str">
        <f>IF(ISNUMBER(namespace_raw[[#This Row],[Column8]]), (F845  * $P$2),"")</f>
        <v/>
      </c>
    </row>
    <row r="846" spans="1:16" ht="15" customHeight="1" x14ac:dyDescent="0.25">
      <c r="A846" s="32" t="str">
        <f>IF(ISNONTEXT(namespace_raw[[#This Row],[Column1]]), "", namespace_raw[[#This Row],[Column1]])</f>
        <v/>
      </c>
      <c r="B846" s="33" t="str">
        <f>IF(ISNONTEXT(namespace_raw[[#This Row],[Column2]]), "", namespace_raw[[#This Row],[Column2]])</f>
        <v/>
      </c>
      <c r="C846" s="94" t="str">
        <f>IF(ISNUMBER(namespace_raw[[#This Row],[Column4]]), namespace_raw[[#This Row],[Column4]], "")</f>
        <v/>
      </c>
      <c r="D846" s="95" t="str">
        <f>IF(ISNUMBER(namespace_raw[[#This Row],[Column5]]), namespace_raw[[#This Row],[Column5]]/1048576, "")</f>
        <v/>
      </c>
      <c r="E846" s="95" t="str">
        <f>IF(ISNUMBER(namespace_raw[[#This Row],[Column6]]), namespace_raw[[#This Row],[Column6]],"")</f>
        <v/>
      </c>
      <c r="F846" s="96" t="str">
        <f>IF(ISNUMBER(namespace_raw[[#This Row],[Column7]]), namespace_raw[[#This Row],[Column7]]/1048576,"")</f>
        <v/>
      </c>
      <c r="G846" s="122" t="str">
        <f>IF(ISNUMBER(namespace_raw[[#This Row],[Column8]]), namespace_raw[[#This Row],[Column8]],"")</f>
        <v/>
      </c>
      <c r="H846" s="123" t="str">
        <f>IF(ISNUMBER(namespace_raw[[#This Row],[Column9]]), namespace_raw[[#This Row],[Column9]]/1048576,"")</f>
        <v/>
      </c>
      <c r="I846" s="124" t="str">
        <f>IF(ISNUMBER(namespace_raw[[#This Row],[Column8]]),MAX(G846, M846, O846, $I$2,IF(Q846&lt;&gt;"",VALUE(Q846),0)), "")</f>
        <v/>
      </c>
      <c r="J846" s="125" t="str">
        <f>IF(ISNUMBER(namespace_raw[[#This Row],[Column9]]),MAX(H846, N846, P846, $J$2,IF(R846&lt;&gt;"",VALUE(R846),0)),"")</f>
        <v/>
      </c>
      <c r="K846" s="166" t="str">
        <f>IF(ISNUMBER(namespace_raw[[#This Row],[Column12]]), namespace_raw[[#This Row],[Column12]],"")</f>
        <v/>
      </c>
      <c r="L846" s="167" t="str">
        <f>IF(ISNUMBER(namespace_raw[[#This Row],[Column13]]), namespace_raw[[#This Row],[Column13]]/1048576,"")</f>
        <v/>
      </c>
      <c r="M846" s="168" t="str">
        <f>IF(ISNUMBER(namespace_raw[[#This Row],[Column10]]), (namespace_raw[[#This Row],[Column10]]*(1+$M$2)),"")</f>
        <v/>
      </c>
      <c r="N846" s="167" t="str">
        <f>IF(ISNUMBER(namespace_raw[[#This Row],[Column11]]), (namespace_raw[[#This Row],[Column11]]*(1+$N$2))/1048576,"")</f>
        <v/>
      </c>
      <c r="O846" s="169" t="str">
        <f>IF(ISNUMBER(namespace_raw[[#This Row],[Column8]]), (E846  * $O$2),"")</f>
        <v/>
      </c>
      <c r="P846" s="170" t="str">
        <f>IF(ISNUMBER(namespace_raw[[#This Row],[Column8]]), (F846  * $P$2),"")</f>
        <v/>
      </c>
    </row>
    <row r="847" spans="1:16" ht="15" customHeight="1" x14ac:dyDescent="0.25">
      <c r="A847" s="32" t="str">
        <f>IF(ISNONTEXT(namespace_raw[[#This Row],[Column1]]), "", namespace_raw[[#This Row],[Column1]])</f>
        <v/>
      </c>
      <c r="B847" s="33" t="str">
        <f>IF(ISNONTEXT(namespace_raw[[#This Row],[Column2]]), "", namespace_raw[[#This Row],[Column2]])</f>
        <v/>
      </c>
      <c r="C847" s="94" t="str">
        <f>IF(ISNUMBER(namespace_raw[[#This Row],[Column4]]), namespace_raw[[#This Row],[Column4]], "")</f>
        <v/>
      </c>
      <c r="D847" s="95" t="str">
        <f>IF(ISNUMBER(namespace_raw[[#This Row],[Column5]]), namespace_raw[[#This Row],[Column5]]/1048576, "")</f>
        <v/>
      </c>
      <c r="E847" s="95" t="str">
        <f>IF(ISNUMBER(namespace_raw[[#This Row],[Column6]]), namespace_raw[[#This Row],[Column6]],"")</f>
        <v/>
      </c>
      <c r="F847" s="96" t="str">
        <f>IF(ISNUMBER(namespace_raw[[#This Row],[Column7]]), namespace_raw[[#This Row],[Column7]]/1048576,"")</f>
        <v/>
      </c>
      <c r="G847" s="122" t="str">
        <f>IF(ISNUMBER(namespace_raw[[#This Row],[Column8]]), namespace_raw[[#This Row],[Column8]],"")</f>
        <v/>
      </c>
      <c r="H847" s="123" t="str">
        <f>IF(ISNUMBER(namespace_raw[[#This Row],[Column9]]), namespace_raw[[#This Row],[Column9]]/1048576,"")</f>
        <v/>
      </c>
      <c r="I847" s="124" t="str">
        <f>IF(ISNUMBER(namespace_raw[[#This Row],[Column8]]),MAX(G847, M847, O847, $I$2,IF(Q847&lt;&gt;"",VALUE(Q847),0)), "")</f>
        <v/>
      </c>
      <c r="J847" s="125" t="str">
        <f>IF(ISNUMBER(namespace_raw[[#This Row],[Column9]]),MAX(H847, N847, P847, $J$2,IF(R847&lt;&gt;"",VALUE(R847),0)),"")</f>
        <v/>
      </c>
      <c r="K847" s="166" t="str">
        <f>IF(ISNUMBER(namespace_raw[[#This Row],[Column12]]), namespace_raw[[#This Row],[Column12]],"")</f>
        <v/>
      </c>
      <c r="L847" s="167" t="str">
        <f>IF(ISNUMBER(namespace_raw[[#This Row],[Column13]]), namespace_raw[[#This Row],[Column13]]/1048576,"")</f>
        <v/>
      </c>
      <c r="M847" s="168" t="str">
        <f>IF(ISNUMBER(namespace_raw[[#This Row],[Column10]]), (namespace_raw[[#This Row],[Column10]]*(1+$M$2)),"")</f>
        <v/>
      </c>
      <c r="N847" s="167" t="str">
        <f>IF(ISNUMBER(namespace_raw[[#This Row],[Column11]]), (namespace_raw[[#This Row],[Column11]]*(1+$N$2))/1048576,"")</f>
        <v/>
      </c>
      <c r="O847" s="169" t="str">
        <f>IF(ISNUMBER(namespace_raw[[#This Row],[Column8]]), (E847  * $O$2),"")</f>
        <v/>
      </c>
      <c r="P847" s="170" t="str">
        <f>IF(ISNUMBER(namespace_raw[[#This Row],[Column8]]), (F847  * $P$2),"")</f>
        <v/>
      </c>
    </row>
    <row r="848" spans="1:16" ht="15" customHeight="1" x14ac:dyDescent="0.25">
      <c r="A848" s="32" t="str">
        <f>IF(ISNONTEXT(namespace_raw[[#This Row],[Column1]]), "", namespace_raw[[#This Row],[Column1]])</f>
        <v/>
      </c>
      <c r="B848" s="33" t="str">
        <f>IF(ISNONTEXT(namespace_raw[[#This Row],[Column2]]), "", namespace_raw[[#This Row],[Column2]])</f>
        <v/>
      </c>
      <c r="C848" s="94" t="str">
        <f>IF(ISNUMBER(namespace_raw[[#This Row],[Column4]]), namespace_raw[[#This Row],[Column4]], "")</f>
        <v/>
      </c>
      <c r="D848" s="95" t="str">
        <f>IF(ISNUMBER(namespace_raw[[#This Row],[Column5]]), namespace_raw[[#This Row],[Column5]]/1048576, "")</f>
        <v/>
      </c>
      <c r="E848" s="95" t="str">
        <f>IF(ISNUMBER(namespace_raw[[#This Row],[Column6]]), namespace_raw[[#This Row],[Column6]],"")</f>
        <v/>
      </c>
      <c r="F848" s="96" t="str">
        <f>IF(ISNUMBER(namespace_raw[[#This Row],[Column7]]), namespace_raw[[#This Row],[Column7]]/1048576,"")</f>
        <v/>
      </c>
      <c r="G848" s="122" t="str">
        <f>IF(ISNUMBER(namespace_raw[[#This Row],[Column8]]), namespace_raw[[#This Row],[Column8]],"")</f>
        <v/>
      </c>
      <c r="H848" s="123" t="str">
        <f>IF(ISNUMBER(namespace_raw[[#This Row],[Column9]]), namespace_raw[[#This Row],[Column9]]/1048576,"")</f>
        <v/>
      </c>
      <c r="I848" s="124" t="str">
        <f>IF(ISNUMBER(namespace_raw[[#This Row],[Column8]]),MAX(G848, M848, O848, $I$2,IF(Q848&lt;&gt;"",VALUE(Q848),0)), "")</f>
        <v/>
      </c>
      <c r="J848" s="125" t="str">
        <f>IF(ISNUMBER(namespace_raw[[#This Row],[Column9]]),MAX(H848, N848, P848, $J$2,IF(R848&lt;&gt;"",VALUE(R848),0)),"")</f>
        <v/>
      </c>
      <c r="K848" s="166" t="str">
        <f>IF(ISNUMBER(namespace_raw[[#This Row],[Column12]]), namespace_raw[[#This Row],[Column12]],"")</f>
        <v/>
      </c>
      <c r="L848" s="167" t="str">
        <f>IF(ISNUMBER(namespace_raw[[#This Row],[Column13]]), namespace_raw[[#This Row],[Column13]]/1048576,"")</f>
        <v/>
      </c>
      <c r="M848" s="168" t="str">
        <f>IF(ISNUMBER(namespace_raw[[#This Row],[Column10]]), (namespace_raw[[#This Row],[Column10]]*(1+$M$2)),"")</f>
        <v/>
      </c>
      <c r="N848" s="167" t="str">
        <f>IF(ISNUMBER(namespace_raw[[#This Row],[Column11]]), (namespace_raw[[#This Row],[Column11]]*(1+$N$2))/1048576,"")</f>
        <v/>
      </c>
      <c r="O848" s="169" t="str">
        <f>IF(ISNUMBER(namespace_raw[[#This Row],[Column8]]), (E848  * $O$2),"")</f>
        <v/>
      </c>
      <c r="P848" s="170" t="str">
        <f>IF(ISNUMBER(namespace_raw[[#This Row],[Column8]]), (F848  * $P$2),"")</f>
        <v/>
      </c>
    </row>
    <row r="849" spans="1:16" ht="15" customHeight="1" x14ac:dyDescent="0.25">
      <c r="A849" s="32" t="str">
        <f>IF(ISNONTEXT(namespace_raw[[#This Row],[Column1]]), "", namespace_raw[[#This Row],[Column1]])</f>
        <v/>
      </c>
      <c r="B849" s="33" t="str">
        <f>IF(ISNONTEXT(namespace_raw[[#This Row],[Column2]]), "", namespace_raw[[#This Row],[Column2]])</f>
        <v/>
      </c>
      <c r="C849" s="94" t="str">
        <f>IF(ISNUMBER(namespace_raw[[#This Row],[Column4]]), namespace_raw[[#This Row],[Column4]], "")</f>
        <v/>
      </c>
      <c r="D849" s="95" t="str">
        <f>IF(ISNUMBER(namespace_raw[[#This Row],[Column5]]), namespace_raw[[#This Row],[Column5]]/1048576, "")</f>
        <v/>
      </c>
      <c r="E849" s="95" t="str">
        <f>IF(ISNUMBER(namespace_raw[[#This Row],[Column6]]), namespace_raw[[#This Row],[Column6]],"")</f>
        <v/>
      </c>
      <c r="F849" s="96" t="str">
        <f>IF(ISNUMBER(namespace_raw[[#This Row],[Column7]]), namespace_raw[[#This Row],[Column7]]/1048576,"")</f>
        <v/>
      </c>
      <c r="G849" s="122" t="str">
        <f>IF(ISNUMBER(namespace_raw[[#This Row],[Column8]]), namespace_raw[[#This Row],[Column8]],"")</f>
        <v/>
      </c>
      <c r="H849" s="123" t="str">
        <f>IF(ISNUMBER(namespace_raw[[#This Row],[Column9]]), namespace_raw[[#This Row],[Column9]]/1048576,"")</f>
        <v/>
      </c>
      <c r="I849" s="124" t="str">
        <f>IF(ISNUMBER(namespace_raw[[#This Row],[Column8]]),MAX(G849, M849, O849, $I$2,IF(Q849&lt;&gt;"",VALUE(Q849),0)), "")</f>
        <v/>
      </c>
      <c r="J849" s="125" t="str">
        <f>IF(ISNUMBER(namespace_raw[[#This Row],[Column9]]),MAX(H849, N849, P849, $J$2,IF(R849&lt;&gt;"",VALUE(R849),0)),"")</f>
        <v/>
      </c>
      <c r="K849" s="166" t="str">
        <f>IF(ISNUMBER(namespace_raw[[#This Row],[Column12]]), namespace_raw[[#This Row],[Column12]],"")</f>
        <v/>
      </c>
      <c r="L849" s="167" t="str">
        <f>IF(ISNUMBER(namespace_raw[[#This Row],[Column13]]), namespace_raw[[#This Row],[Column13]]/1048576,"")</f>
        <v/>
      </c>
      <c r="M849" s="168" t="str">
        <f>IF(ISNUMBER(namespace_raw[[#This Row],[Column10]]), (namespace_raw[[#This Row],[Column10]]*(1+$M$2)),"")</f>
        <v/>
      </c>
      <c r="N849" s="167" t="str">
        <f>IF(ISNUMBER(namespace_raw[[#This Row],[Column11]]), (namespace_raw[[#This Row],[Column11]]*(1+$N$2))/1048576,"")</f>
        <v/>
      </c>
      <c r="O849" s="169" t="str">
        <f>IF(ISNUMBER(namespace_raw[[#This Row],[Column8]]), (E849  * $O$2),"")</f>
        <v/>
      </c>
      <c r="P849" s="170" t="str">
        <f>IF(ISNUMBER(namespace_raw[[#This Row],[Column8]]), (F849  * $P$2),"")</f>
        <v/>
      </c>
    </row>
    <row r="850" spans="1:16" ht="15" customHeight="1" x14ac:dyDescent="0.25">
      <c r="A850" s="32" t="str">
        <f>IF(ISNONTEXT(namespace_raw[[#This Row],[Column1]]), "", namespace_raw[[#This Row],[Column1]])</f>
        <v/>
      </c>
      <c r="B850" s="33" t="str">
        <f>IF(ISNONTEXT(namespace_raw[[#This Row],[Column2]]), "", namespace_raw[[#This Row],[Column2]])</f>
        <v/>
      </c>
      <c r="C850" s="94" t="str">
        <f>IF(ISNUMBER(namespace_raw[[#This Row],[Column4]]), namespace_raw[[#This Row],[Column4]], "")</f>
        <v/>
      </c>
      <c r="D850" s="95" t="str">
        <f>IF(ISNUMBER(namespace_raw[[#This Row],[Column5]]), namespace_raw[[#This Row],[Column5]]/1048576, "")</f>
        <v/>
      </c>
      <c r="E850" s="95" t="str">
        <f>IF(ISNUMBER(namespace_raw[[#This Row],[Column6]]), namespace_raw[[#This Row],[Column6]],"")</f>
        <v/>
      </c>
      <c r="F850" s="96" t="str">
        <f>IF(ISNUMBER(namespace_raw[[#This Row],[Column7]]), namespace_raw[[#This Row],[Column7]]/1048576,"")</f>
        <v/>
      </c>
      <c r="G850" s="122" t="str">
        <f>IF(ISNUMBER(namespace_raw[[#This Row],[Column8]]), namespace_raw[[#This Row],[Column8]],"")</f>
        <v/>
      </c>
      <c r="H850" s="123" t="str">
        <f>IF(ISNUMBER(namespace_raw[[#This Row],[Column9]]), namespace_raw[[#This Row],[Column9]]/1048576,"")</f>
        <v/>
      </c>
      <c r="I850" s="124" t="str">
        <f>IF(ISNUMBER(namespace_raw[[#This Row],[Column8]]),MAX(G850, M850, O850, $I$2,IF(Q850&lt;&gt;"",VALUE(Q850),0)), "")</f>
        <v/>
      </c>
      <c r="J850" s="125" t="str">
        <f>IF(ISNUMBER(namespace_raw[[#This Row],[Column9]]),MAX(H850, N850, P850, $J$2,IF(R850&lt;&gt;"",VALUE(R850),0)),"")</f>
        <v/>
      </c>
      <c r="K850" s="166" t="str">
        <f>IF(ISNUMBER(namespace_raw[[#This Row],[Column12]]), namespace_raw[[#This Row],[Column12]],"")</f>
        <v/>
      </c>
      <c r="L850" s="167" t="str">
        <f>IF(ISNUMBER(namespace_raw[[#This Row],[Column13]]), namespace_raw[[#This Row],[Column13]]/1048576,"")</f>
        <v/>
      </c>
      <c r="M850" s="168" t="str">
        <f>IF(ISNUMBER(namespace_raw[[#This Row],[Column10]]), (namespace_raw[[#This Row],[Column10]]*(1+$M$2)),"")</f>
        <v/>
      </c>
      <c r="N850" s="167" t="str">
        <f>IF(ISNUMBER(namespace_raw[[#This Row],[Column11]]), (namespace_raw[[#This Row],[Column11]]*(1+$N$2))/1048576,"")</f>
        <v/>
      </c>
      <c r="O850" s="169" t="str">
        <f>IF(ISNUMBER(namespace_raw[[#This Row],[Column8]]), (E850  * $O$2),"")</f>
        <v/>
      </c>
      <c r="P850" s="170" t="str">
        <f>IF(ISNUMBER(namespace_raw[[#This Row],[Column8]]), (F850  * $P$2),"")</f>
        <v/>
      </c>
    </row>
    <row r="851" spans="1:16" ht="15" customHeight="1" x14ac:dyDescent="0.25">
      <c r="A851" s="32" t="str">
        <f>IF(ISNONTEXT(namespace_raw[[#This Row],[Column1]]), "", namespace_raw[[#This Row],[Column1]])</f>
        <v/>
      </c>
      <c r="B851" s="33" t="str">
        <f>IF(ISNONTEXT(namespace_raw[[#This Row],[Column2]]), "", namespace_raw[[#This Row],[Column2]])</f>
        <v/>
      </c>
      <c r="C851" s="94" t="str">
        <f>IF(ISNUMBER(namespace_raw[[#This Row],[Column4]]), namespace_raw[[#This Row],[Column4]], "")</f>
        <v/>
      </c>
      <c r="D851" s="95" t="str">
        <f>IF(ISNUMBER(namespace_raw[[#This Row],[Column5]]), namespace_raw[[#This Row],[Column5]]/1048576, "")</f>
        <v/>
      </c>
      <c r="E851" s="95" t="str">
        <f>IF(ISNUMBER(namespace_raw[[#This Row],[Column6]]), namespace_raw[[#This Row],[Column6]],"")</f>
        <v/>
      </c>
      <c r="F851" s="96" t="str">
        <f>IF(ISNUMBER(namespace_raw[[#This Row],[Column7]]), namespace_raw[[#This Row],[Column7]]/1048576,"")</f>
        <v/>
      </c>
      <c r="G851" s="122" t="str">
        <f>IF(ISNUMBER(namespace_raw[[#This Row],[Column8]]), namespace_raw[[#This Row],[Column8]],"")</f>
        <v/>
      </c>
      <c r="H851" s="123" t="str">
        <f>IF(ISNUMBER(namespace_raw[[#This Row],[Column9]]), namespace_raw[[#This Row],[Column9]]/1048576,"")</f>
        <v/>
      </c>
      <c r="I851" s="124" t="str">
        <f>IF(ISNUMBER(namespace_raw[[#This Row],[Column8]]),MAX(G851, M851, O851, $I$2,IF(Q851&lt;&gt;"",VALUE(Q851),0)), "")</f>
        <v/>
      </c>
      <c r="J851" s="125" t="str">
        <f>IF(ISNUMBER(namespace_raw[[#This Row],[Column9]]),MAX(H851, N851, P851, $J$2,IF(R851&lt;&gt;"",VALUE(R851),0)),"")</f>
        <v/>
      </c>
      <c r="K851" s="166" t="str">
        <f>IF(ISNUMBER(namespace_raw[[#This Row],[Column12]]), namespace_raw[[#This Row],[Column12]],"")</f>
        <v/>
      </c>
      <c r="L851" s="167" t="str">
        <f>IF(ISNUMBER(namespace_raw[[#This Row],[Column13]]), namespace_raw[[#This Row],[Column13]]/1048576,"")</f>
        <v/>
      </c>
      <c r="M851" s="168" t="str">
        <f>IF(ISNUMBER(namespace_raw[[#This Row],[Column10]]), (namespace_raw[[#This Row],[Column10]]*(1+$M$2)),"")</f>
        <v/>
      </c>
      <c r="N851" s="167" t="str">
        <f>IF(ISNUMBER(namespace_raw[[#This Row],[Column11]]), (namespace_raw[[#This Row],[Column11]]*(1+$N$2))/1048576,"")</f>
        <v/>
      </c>
      <c r="O851" s="169" t="str">
        <f>IF(ISNUMBER(namespace_raw[[#This Row],[Column8]]), (E851  * $O$2),"")</f>
        <v/>
      </c>
      <c r="P851" s="170" t="str">
        <f>IF(ISNUMBER(namespace_raw[[#This Row],[Column8]]), (F851  * $P$2),"")</f>
        <v/>
      </c>
    </row>
    <row r="852" spans="1:16" ht="15" customHeight="1" x14ac:dyDescent="0.25">
      <c r="A852" s="32" t="str">
        <f>IF(ISNONTEXT(namespace_raw[[#This Row],[Column1]]), "", namespace_raw[[#This Row],[Column1]])</f>
        <v/>
      </c>
      <c r="B852" s="33" t="str">
        <f>IF(ISNONTEXT(namespace_raw[[#This Row],[Column2]]), "", namespace_raw[[#This Row],[Column2]])</f>
        <v/>
      </c>
      <c r="C852" s="94" t="str">
        <f>IF(ISNUMBER(namespace_raw[[#This Row],[Column4]]), namespace_raw[[#This Row],[Column4]], "")</f>
        <v/>
      </c>
      <c r="D852" s="95" t="str">
        <f>IF(ISNUMBER(namespace_raw[[#This Row],[Column5]]), namespace_raw[[#This Row],[Column5]]/1048576, "")</f>
        <v/>
      </c>
      <c r="E852" s="95" t="str">
        <f>IF(ISNUMBER(namespace_raw[[#This Row],[Column6]]), namespace_raw[[#This Row],[Column6]],"")</f>
        <v/>
      </c>
      <c r="F852" s="96" t="str">
        <f>IF(ISNUMBER(namespace_raw[[#This Row],[Column7]]), namespace_raw[[#This Row],[Column7]]/1048576,"")</f>
        <v/>
      </c>
      <c r="G852" s="122" t="str">
        <f>IF(ISNUMBER(namespace_raw[[#This Row],[Column8]]), namespace_raw[[#This Row],[Column8]],"")</f>
        <v/>
      </c>
      <c r="H852" s="123" t="str">
        <f>IF(ISNUMBER(namespace_raw[[#This Row],[Column9]]), namespace_raw[[#This Row],[Column9]]/1048576,"")</f>
        <v/>
      </c>
      <c r="I852" s="124" t="str">
        <f>IF(ISNUMBER(namespace_raw[[#This Row],[Column8]]),MAX(G852, M852, O852, $I$2,IF(Q852&lt;&gt;"",VALUE(Q852),0)), "")</f>
        <v/>
      </c>
      <c r="J852" s="125" t="str">
        <f>IF(ISNUMBER(namespace_raw[[#This Row],[Column9]]),MAX(H852, N852, P852, $J$2,IF(R852&lt;&gt;"",VALUE(R852),0)),"")</f>
        <v/>
      </c>
      <c r="K852" s="166" t="str">
        <f>IF(ISNUMBER(namespace_raw[[#This Row],[Column12]]), namespace_raw[[#This Row],[Column12]],"")</f>
        <v/>
      </c>
      <c r="L852" s="167" t="str">
        <f>IF(ISNUMBER(namespace_raw[[#This Row],[Column13]]), namespace_raw[[#This Row],[Column13]]/1048576,"")</f>
        <v/>
      </c>
      <c r="M852" s="168" t="str">
        <f>IF(ISNUMBER(namespace_raw[[#This Row],[Column10]]), (namespace_raw[[#This Row],[Column10]]*(1+$M$2)),"")</f>
        <v/>
      </c>
      <c r="N852" s="167" t="str">
        <f>IF(ISNUMBER(namespace_raw[[#This Row],[Column11]]), (namespace_raw[[#This Row],[Column11]]*(1+$N$2))/1048576,"")</f>
        <v/>
      </c>
      <c r="O852" s="169" t="str">
        <f>IF(ISNUMBER(namespace_raw[[#This Row],[Column8]]), (E852  * $O$2),"")</f>
        <v/>
      </c>
      <c r="P852" s="170" t="str">
        <f>IF(ISNUMBER(namespace_raw[[#This Row],[Column8]]), (F852  * $P$2),"")</f>
        <v/>
      </c>
    </row>
    <row r="853" spans="1:16" ht="15" customHeight="1" x14ac:dyDescent="0.25">
      <c r="A853" s="32" t="str">
        <f>IF(ISNONTEXT(namespace_raw[[#This Row],[Column1]]), "", namespace_raw[[#This Row],[Column1]])</f>
        <v/>
      </c>
      <c r="B853" s="33" t="str">
        <f>IF(ISNONTEXT(namespace_raw[[#This Row],[Column2]]), "", namespace_raw[[#This Row],[Column2]])</f>
        <v/>
      </c>
      <c r="C853" s="94" t="str">
        <f>IF(ISNUMBER(namespace_raw[[#This Row],[Column4]]), namespace_raw[[#This Row],[Column4]], "")</f>
        <v/>
      </c>
      <c r="D853" s="95" t="str">
        <f>IF(ISNUMBER(namespace_raw[[#This Row],[Column5]]), namespace_raw[[#This Row],[Column5]]/1048576, "")</f>
        <v/>
      </c>
      <c r="E853" s="95" t="str">
        <f>IF(ISNUMBER(namespace_raw[[#This Row],[Column6]]), namespace_raw[[#This Row],[Column6]],"")</f>
        <v/>
      </c>
      <c r="F853" s="96" t="str">
        <f>IF(ISNUMBER(namespace_raw[[#This Row],[Column7]]), namespace_raw[[#This Row],[Column7]]/1048576,"")</f>
        <v/>
      </c>
      <c r="G853" s="122" t="str">
        <f>IF(ISNUMBER(namespace_raw[[#This Row],[Column8]]), namespace_raw[[#This Row],[Column8]],"")</f>
        <v/>
      </c>
      <c r="H853" s="123" t="str">
        <f>IF(ISNUMBER(namespace_raw[[#This Row],[Column9]]), namespace_raw[[#This Row],[Column9]]/1048576,"")</f>
        <v/>
      </c>
      <c r="I853" s="124" t="str">
        <f>IF(ISNUMBER(namespace_raw[[#This Row],[Column8]]),MAX(G853, M853, O853, $I$2,IF(Q853&lt;&gt;"",VALUE(Q853),0)), "")</f>
        <v/>
      </c>
      <c r="J853" s="125" t="str">
        <f>IF(ISNUMBER(namespace_raw[[#This Row],[Column9]]),MAX(H853, N853, P853, $J$2,IF(R853&lt;&gt;"",VALUE(R853),0)),"")</f>
        <v/>
      </c>
      <c r="K853" s="166" t="str">
        <f>IF(ISNUMBER(namespace_raw[[#This Row],[Column12]]), namespace_raw[[#This Row],[Column12]],"")</f>
        <v/>
      </c>
      <c r="L853" s="167" t="str">
        <f>IF(ISNUMBER(namespace_raw[[#This Row],[Column13]]), namespace_raw[[#This Row],[Column13]]/1048576,"")</f>
        <v/>
      </c>
      <c r="M853" s="168" t="str">
        <f>IF(ISNUMBER(namespace_raw[[#This Row],[Column10]]), (namespace_raw[[#This Row],[Column10]]*(1+$M$2)),"")</f>
        <v/>
      </c>
      <c r="N853" s="167" t="str">
        <f>IF(ISNUMBER(namespace_raw[[#This Row],[Column11]]), (namespace_raw[[#This Row],[Column11]]*(1+$N$2))/1048576,"")</f>
        <v/>
      </c>
      <c r="O853" s="169" t="str">
        <f>IF(ISNUMBER(namespace_raw[[#This Row],[Column8]]), (E853  * $O$2),"")</f>
        <v/>
      </c>
      <c r="P853" s="170" t="str">
        <f>IF(ISNUMBER(namespace_raw[[#This Row],[Column8]]), (F853  * $P$2),"")</f>
        <v/>
      </c>
    </row>
    <row r="854" spans="1:16" ht="15" customHeight="1" x14ac:dyDescent="0.25">
      <c r="A854" s="32" t="str">
        <f>IF(ISNONTEXT(namespace_raw[[#This Row],[Column1]]), "", namespace_raw[[#This Row],[Column1]])</f>
        <v/>
      </c>
      <c r="B854" s="33" t="str">
        <f>IF(ISNONTEXT(namespace_raw[[#This Row],[Column2]]), "", namespace_raw[[#This Row],[Column2]])</f>
        <v/>
      </c>
      <c r="C854" s="94" t="str">
        <f>IF(ISNUMBER(namespace_raw[[#This Row],[Column4]]), namespace_raw[[#This Row],[Column4]], "")</f>
        <v/>
      </c>
      <c r="D854" s="95" t="str">
        <f>IF(ISNUMBER(namespace_raw[[#This Row],[Column5]]), namespace_raw[[#This Row],[Column5]]/1048576, "")</f>
        <v/>
      </c>
      <c r="E854" s="95" t="str">
        <f>IF(ISNUMBER(namespace_raw[[#This Row],[Column6]]), namespace_raw[[#This Row],[Column6]],"")</f>
        <v/>
      </c>
      <c r="F854" s="96" t="str">
        <f>IF(ISNUMBER(namespace_raw[[#This Row],[Column7]]), namespace_raw[[#This Row],[Column7]]/1048576,"")</f>
        <v/>
      </c>
      <c r="G854" s="122" t="str">
        <f>IF(ISNUMBER(namespace_raw[[#This Row],[Column8]]), namespace_raw[[#This Row],[Column8]],"")</f>
        <v/>
      </c>
      <c r="H854" s="123" t="str">
        <f>IF(ISNUMBER(namespace_raw[[#This Row],[Column9]]), namespace_raw[[#This Row],[Column9]]/1048576,"")</f>
        <v/>
      </c>
      <c r="I854" s="124" t="str">
        <f>IF(ISNUMBER(namespace_raw[[#This Row],[Column8]]),MAX(G854, M854, O854, $I$2,IF(Q854&lt;&gt;"",VALUE(Q854),0)), "")</f>
        <v/>
      </c>
      <c r="J854" s="125" t="str">
        <f>IF(ISNUMBER(namespace_raw[[#This Row],[Column9]]),MAX(H854, N854, P854, $J$2,IF(R854&lt;&gt;"",VALUE(R854),0)),"")</f>
        <v/>
      </c>
      <c r="K854" s="166" t="str">
        <f>IF(ISNUMBER(namespace_raw[[#This Row],[Column12]]), namespace_raw[[#This Row],[Column12]],"")</f>
        <v/>
      </c>
      <c r="L854" s="167" t="str">
        <f>IF(ISNUMBER(namespace_raw[[#This Row],[Column13]]), namespace_raw[[#This Row],[Column13]]/1048576,"")</f>
        <v/>
      </c>
      <c r="M854" s="168" t="str">
        <f>IF(ISNUMBER(namespace_raw[[#This Row],[Column10]]), (namespace_raw[[#This Row],[Column10]]*(1+$M$2)),"")</f>
        <v/>
      </c>
      <c r="N854" s="167" t="str">
        <f>IF(ISNUMBER(namespace_raw[[#This Row],[Column11]]), (namespace_raw[[#This Row],[Column11]]*(1+$N$2))/1048576,"")</f>
        <v/>
      </c>
      <c r="O854" s="169" t="str">
        <f>IF(ISNUMBER(namespace_raw[[#This Row],[Column8]]), (E854  * $O$2),"")</f>
        <v/>
      </c>
      <c r="P854" s="170" t="str">
        <f>IF(ISNUMBER(namespace_raw[[#This Row],[Column8]]), (F854  * $P$2),"")</f>
        <v/>
      </c>
    </row>
    <row r="855" spans="1:16" ht="15" customHeight="1" x14ac:dyDescent="0.25">
      <c r="A855" s="32" t="str">
        <f>IF(ISNONTEXT(namespace_raw[[#This Row],[Column1]]), "", namespace_raw[[#This Row],[Column1]])</f>
        <v/>
      </c>
      <c r="B855" s="33" t="str">
        <f>IF(ISNONTEXT(namespace_raw[[#This Row],[Column2]]), "", namespace_raw[[#This Row],[Column2]])</f>
        <v/>
      </c>
      <c r="C855" s="94" t="str">
        <f>IF(ISNUMBER(namespace_raw[[#This Row],[Column4]]), namespace_raw[[#This Row],[Column4]], "")</f>
        <v/>
      </c>
      <c r="D855" s="95" t="str">
        <f>IF(ISNUMBER(namespace_raw[[#This Row],[Column5]]), namespace_raw[[#This Row],[Column5]]/1048576, "")</f>
        <v/>
      </c>
      <c r="E855" s="95" t="str">
        <f>IF(ISNUMBER(namespace_raw[[#This Row],[Column6]]), namespace_raw[[#This Row],[Column6]],"")</f>
        <v/>
      </c>
      <c r="F855" s="96" t="str">
        <f>IF(ISNUMBER(namespace_raw[[#This Row],[Column7]]), namespace_raw[[#This Row],[Column7]]/1048576,"")</f>
        <v/>
      </c>
      <c r="G855" s="122" t="str">
        <f>IF(ISNUMBER(namespace_raw[[#This Row],[Column8]]), namespace_raw[[#This Row],[Column8]],"")</f>
        <v/>
      </c>
      <c r="H855" s="123" t="str">
        <f>IF(ISNUMBER(namespace_raw[[#This Row],[Column9]]), namespace_raw[[#This Row],[Column9]]/1048576,"")</f>
        <v/>
      </c>
      <c r="I855" s="124" t="str">
        <f>IF(ISNUMBER(namespace_raw[[#This Row],[Column8]]),MAX(G855, M855, O855, $I$2,IF(Q855&lt;&gt;"",VALUE(Q855),0)), "")</f>
        <v/>
      </c>
      <c r="J855" s="125" t="str">
        <f>IF(ISNUMBER(namespace_raw[[#This Row],[Column9]]),MAX(H855, N855, P855, $J$2,IF(R855&lt;&gt;"",VALUE(R855),0)),"")</f>
        <v/>
      </c>
      <c r="K855" s="166" t="str">
        <f>IF(ISNUMBER(namespace_raw[[#This Row],[Column12]]), namespace_raw[[#This Row],[Column12]],"")</f>
        <v/>
      </c>
      <c r="L855" s="167" t="str">
        <f>IF(ISNUMBER(namespace_raw[[#This Row],[Column13]]), namespace_raw[[#This Row],[Column13]]/1048576,"")</f>
        <v/>
      </c>
      <c r="M855" s="168" t="str">
        <f>IF(ISNUMBER(namespace_raw[[#This Row],[Column10]]), (namespace_raw[[#This Row],[Column10]]*(1+$M$2)),"")</f>
        <v/>
      </c>
      <c r="N855" s="167" t="str">
        <f>IF(ISNUMBER(namespace_raw[[#This Row],[Column11]]), (namespace_raw[[#This Row],[Column11]]*(1+$N$2))/1048576,"")</f>
        <v/>
      </c>
      <c r="O855" s="169" t="str">
        <f>IF(ISNUMBER(namespace_raw[[#This Row],[Column8]]), (E855  * $O$2),"")</f>
        <v/>
      </c>
      <c r="P855" s="170" t="str">
        <f>IF(ISNUMBER(namespace_raw[[#This Row],[Column8]]), (F855  * $P$2),"")</f>
        <v/>
      </c>
    </row>
    <row r="856" spans="1:16" ht="15" customHeight="1" x14ac:dyDescent="0.25">
      <c r="A856" s="32" t="str">
        <f>IF(ISNONTEXT(namespace_raw[[#This Row],[Column1]]), "", namespace_raw[[#This Row],[Column1]])</f>
        <v/>
      </c>
      <c r="B856" s="33" t="str">
        <f>IF(ISNONTEXT(namespace_raw[[#This Row],[Column2]]), "", namespace_raw[[#This Row],[Column2]])</f>
        <v/>
      </c>
      <c r="C856" s="94" t="str">
        <f>IF(ISNUMBER(namespace_raw[[#This Row],[Column4]]), namespace_raw[[#This Row],[Column4]], "")</f>
        <v/>
      </c>
      <c r="D856" s="95" t="str">
        <f>IF(ISNUMBER(namespace_raw[[#This Row],[Column5]]), namespace_raw[[#This Row],[Column5]]/1048576, "")</f>
        <v/>
      </c>
      <c r="E856" s="95" t="str">
        <f>IF(ISNUMBER(namespace_raw[[#This Row],[Column6]]), namespace_raw[[#This Row],[Column6]],"")</f>
        <v/>
      </c>
      <c r="F856" s="96" t="str">
        <f>IF(ISNUMBER(namespace_raw[[#This Row],[Column7]]), namespace_raw[[#This Row],[Column7]]/1048576,"")</f>
        <v/>
      </c>
      <c r="G856" s="122" t="str">
        <f>IF(ISNUMBER(namespace_raw[[#This Row],[Column8]]), namespace_raw[[#This Row],[Column8]],"")</f>
        <v/>
      </c>
      <c r="H856" s="123" t="str">
        <f>IF(ISNUMBER(namespace_raw[[#This Row],[Column9]]), namespace_raw[[#This Row],[Column9]]/1048576,"")</f>
        <v/>
      </c>
      <c r="I856" s="124" t="str">
        <f>IF(ISNUMBER(namespace_raw[[#This Row],[Column8]]),MAX(G856, M856, O856, $I$2,IF(Q856&lt;&gt;"",VALUE(Q856),0)), "")</f>
        <v/>
      </c>
      <c r="J856" s="125" t="str">
        <f>IF(ISNUMBER(namespace_raw[[#This Row],[Column9]]),MAX(H856, N856, P856, $J$2,IF(R856&lt;&gt;"",VALUE(R856),0)),"")</f>
        <v/>
      </c>
      <c r="K856" s="166" t="str">
        <f>IF(ISNUMBER(namespace_raw[[#This Row],[Column12]]), namespace_raw[[#This Row],[Column12]],"")</f>
        <v/>
      </c>
      <c r="L856" s="167" t="str">
        <f>IF(ISNUMBER(namespace_raw[[#This Row],[Column13]]), namespace_raw[[#This Row],[Column13]]/1048576,"")</f>
        <v/>
      </c>
      <c r="M856" s="168" t="str">
        <f>IF(ISNUMBER(namespace_raw[[#This Row],[Column10]]), (namespace_raw[[#This Row],[Column10]]*(1+$M$2)),"")</f>
        <v/>
      </c>
      <c r="N856" s="167" t="str">
        <f>IF(ISNUMBER(namespace_raw[[#This Row],[Column11]]), (namespace_raw[[#This Row],[Column11]]*(1+$N$2))/1048576,"")</f>
        <v/>
      </c>
      <c r="O856" s="169" t="str">
        <f>IF(ISNUMBER(namespace_raw[[#This Row],[Column8]]), (E856  * $O$2),"")</f>
        <v/>
      </c>
      <c r="P856" s="170" t="str">
        <f>IF(ISNUMBER(namespace_raw[[#This Row],[Column8]]), (F856  * $P$2),"")</f>
        <v/>
      </c>
    </row>
    <row r="857" spans="1:16" ht="15" customHeight="1" x14ac:dyDescent="0.25">
      <c r="A857" s="32" t="str">
        <f>IF(ISNONTEXT(namespace_raw[[#This Row],[Column1]]), "", namespace_raw[[#This Row],[Column1]])</f>
        <v/>
      </c>
      <c r="B857" s="33" t="str">
        <f>IF(ISNONTEXT(namespace_raw[[#This Row],[Column2]]), "", namespace_raw[[#This Row],[Column2]])</f>
        <v/>
      </c>
      <c r="C857" s="94" t="str">
        <f>IF(ISNUMBER(namespace_raw[[#This Row],[Column4]]), namespace_raw[[#This Row],[Column4]], "")</f>
        <v/>
      </c>
      <c r="D857" s="95" t="str">
        <f>IF(ISNUMBER(namespace_raw[[#This Row],[Column5]]), namespace_raw[[#This Row],[Column5]]/1048576, "")</f>
        <v/>
      </c>
      <c r="E857" s="95" t="str">
        <f>IF(ISNUMBER(namespace_raw[[#This Row],[Column6]]), namespace_raw[[#This Row],[Column6]],"")</f>
        <v/>
      </c>
      <c r="F857" s="96" t="str">
        <f>IF(ISNUMBER(namespace_raw[[#This Row],[Column7]]), namespace_raw[[#This Row],[Column7]]/1048576,"")</f>
        <v/>
      </c>
      <c r="G857" s="122" t="str">
        <f>IF(ISNUMBER(namespace_raw[[#This Row],[Column8]]), namespace_raw[[#This Row],[Column8]],"")</f>
        <v/>
      </c>
      <c r="H857" s="123" t="str">
        <f>IF(ISNUMBER(namespace_raw[[#This Row],[Column9]]), namespace_raw[[#This Row],[Column9]]/1048576,"")</f>
        <v/>
      </c>
      <c r="I857" s="124" t="str">
        <f>IF(ISNUMBER(namespace_raw[[#This Row],[Column8]]),MAX(G857, M857, O857, $I$2,IF(Q857&lt;&gt;"",VALUE(Q857),0)), "")</f>
        <v/>
      </c>
      <c r="J857" s="125" t="str">
        <f>IF(ISNUMBER(namespace_raw[[#This Row],[Column9]]),MAX(H857, N857, P857, $J$2,IF(R857&lt;&gt;"",VALUE(R857),0)),"")</f>
        <v/>
      </c>
      <c r="K857" s="166" t="str">
        <f>IF(ISNUMBER(namespace_raw[[#This Row],[Column12]]), namespace_raw[[#This Row],[Column12]],"")</f>
        <v/>
      </c>
      <c r="L857" s="167" t="str">
        <f>IF(ISNUMBER(namespace_raw[[#This Row],[Column13]]), namespace_raw[[#This Row],[Column13]]/1048576,"")</f>
        <v/>
      </c>
      <c r="M857" s="168" t="str">
        <f>IF(ISNUMBER(namespace_raw[[#This Row],[Column10]]), (namespace_raw[[#This Row],[Column10]]*(1+$M$2)),"")</f>
        <v/>
      </c>
      <c r="N857" s="167" t="str">
        <f>IF(ISNUMBER(namespace_raw[[#This Row],[Column11]]), (namespace_raw[[#This Row],[Column11]]*(1+$N$2))/1048576,"")</f>
        <v/>
      </c>
      <c r="O857" s="169" t="str">
        <f>IF(ISNUMBER(namespace_raw[[#This Row],[Column8]]), (E857  * $O$2),"")</f>
        <v/>
      </c>
      <c r="P857" s="170" t="str">
        <f>IF(ISNUMBER(namespace_raw[[#This Row],[Column8]]), (F857  * $P$2),"")</f>
        <v/>
      </c>
    </row>
    <row r="858" spans="1:16" ht="15" customHeight="1" x14ac:dyDescent="0.25">
      <c r="A858" s="32" t="str">
        <f>IF(ISNONTEXT(namespace_raw[[#This Row],[Column1]]), "", namespace_raw[[#This Row],[Column1]])</f>
        <v/>
      </c>
      <c r="B858" s="33" t="str">
        <f>IF(ISNONTEXT(namespace_raw[[#This Row],[Column2]]), "", namespace_raw[[#This Row],[Column2]])</f>
        <v/>
      </c>
      <c r="C858" s="94" t="str">
        <f>IF(ISNUMBER(namespace_raw[[#This Row],[Column4]]), namespace_raw[[#This Row],[Column4]], "")</f>
        <v/>
      </c>
      <c r="D858" s="95" t="str">
        <f>IF(ISNUMBER(namespace_raw[[#This Row],[Column5]]), namespace_raw[[#This Row],[Column5]]/1048576, "")</f>
        <v/>
      </c>
      <c r="E858" s="95" t="str">
        <f>IF(ISNUMBER(namespace_raw[[#This Row],[Column6]]), namespace_raw[[#This Row],[Column6]],"")</f>
        <v/>
      </c>
      <c r="F858" s="96" t="str">
        <f>IF(ISNUMBER(namespace_raw[[#This Row],[Column7]]), namespace_raw[[#This Row],[Column7]]/1048576,"")</f>
        <v/>
      </c>
      <c r="G858" s="122" t="str">
        <f>IF(ISNUMBER(namespace_raw[[#This Row],[Column8]]), namespace_raw[[#This Row],[Column8]],"")</f>
        <v/>
      </c>
      <c r="H858" s="123" t="str">
        <f>IF(ISNUMBER(namespace_raw[[#This Row],[Column9]]), namespace_raw[[#This Row],[Column9]]/1048576,"")</f>
        <v/>
      </c>
      <c r="I858" s="124" t="str">
        <f>IF(ISNUMBER(namespace_raw[[#This Row],[Column8]]),MAX(G858, M858, O858, $I$2,IF(Q858&lt;&gt;"",VALUE(Q858),0)), "")</f>
        <v/>
      </c>
      <c r="J858" s="125" t="str">
        <f>IF(ISNUMBER(namespace_raw[[#This Row],[Column9]]),MAX(H858, N858, P858, $J$2,IF(R858&lt;&gt;"",VALUE(R858),0)),"")</f>
        <v/>
      </c>
      <c r="K858" s="166" t="str">
        <f>IF(ISNUMBER(namespace_raw[[#This Row],[Column12]]), namespace_raw[[#This Row],[Column12]],"")</f>
        <v/>
      </c>
      <c r="L858" s="167" t="str">
        <f>IF(ISNUMBER(namespace_raw[[#This Row],[Column13]]), namespace_raw[[#This Row],[Column13]]/1048576,"")</f>
        <v/>
      </c>
      <c r="M858" s="168" t="str">
        <f>IF(ISNUMBER(namespace_raw[[#This Row],[Column10]]), (namespace_raw[[#This Row],[Column10]]*(1+$M$2)),"")</f>
        <v/>
      </c>
      <c r="N858" s="167" t="str">
        <f>IF(ISNUMBER(namespace_raw[[#This Row],[Column11]]), (namespace_raw[[#This Row],[Column11]]*(1+$N$2))/1048576,"")</f>
        <v/>
      </c>
      <c r="O858" s="169" t="str">
        <f>IF(ISNUMBER(namespace_raw[[#This Row],[Column8]]), (E858  * $O$2),"")</f>
        <v/>
      </c>
      <c r="P858" s="170" t="str">
        <f>IF(ISNUMBER(namespace_raw[[#This Row],[Column8]]), (F858  * $P$2),"")</f>
        <v/>
      </c>
    </row>
    <row r="859" spans="1:16" ht="15" customHeight="1" x14ac:dyDescent="0.25">
      <c r="A859" s="32" t="str">
        <f>IF(ISNONTEXT(namespace_raw[[#This Row],[Column1]]), "", namespace_raw[[#This Row],[Column1]])</f>
        <v/>
      </c>
      <c r="B859" s="33" t="str">
        <f>IF(ISNONTEXT(namespace_raw[[#This Row],[Column2]]), "", namespace_raw[[#This Row],[Column2]])</f>
        <v/>
      </c>
      <c r="C859" s="94" t="str">
        <f>IF(ISNUMBER(namespace_raw[[#This Row],[Column4]]), namespace_raw[[#This Row],[Column4]], "")</f>
        <v/>
      </c>
      <c r="D859" s="95" t="str">
        <f>IF(ISNUMBER(namespace_raw[[#This Row],[Column5]]), namespace_raw[[#This Row],[Column5]]/1048576, "")</f>
        <v/>
      </c>
      <c r="E859" s="95" t="str">
        <f>IF(ISNUMBER(namespace_raw[[#This Row],[Column6]]), namespace_raw[[#This Row],[Column6]],"")</f>
        <v/>
      </c>
      <c r="F859" s="96" t="str">
        <f>IF(ISNUMBER(namespace_raw[[#This Row],[Column7]]), namespace_raw[[#This Row],[Column7]]/1048576,"")</f>
        <v/>
      </c>
      <c r="G859" s="122" t="str">
        <f>IF(ISNUMBER(namespace_raw[[#This Row],[Column8]]), namespace_raw[[#This Row],[Column8]],"")</f>
        <v/>
      </c>
      <c r="H859" s="123" t="str">
        <f>IF(ISNUMBER(namespace_raw[[#This Row],[Column9]]), namespace_raw[[#This Row],[Column9]]/1048576,"")</f>
        <v/>
      </c>
      <c r="I859" s="124" t="str">
        <f>IF(ISNUMBER(namespace_raw[[#This Row],[Column8]]),MAX(G859, M859, O859, $I$2,IF(Q859&lt;&gt;"",VALUE(Q859),0)), "")</f>
        <v/>
      </c>
      <c r="J859" s="125" t="str">
        <f>IF(ISNUMBER(namespace_raw[[#This Row],[Column9]]),MAX(H859, N859, P859, $J$2,IF(R859&lt;&gt;"",VALUE(R859),0)),"")</f>
        <v/>
      </c>
      <c r="K859" s="166" t="str">
        <f>IF(ISNUMBER(namespace_raw[[#This Row],[Column12]]), namespace_raw[[#This Row],[Column12]],"")</f>
        <v/>
      </c>
      <c r="L859" s="167" t="str">
        <f>IF(ISNUMBER(namespace_raw[[#This Row],[Column13]]), namespace_raw[[#This Row],[Column13]]/1048576,"")</f>
        <v/>
      </c>
      <c r="M859" s="168" t="str">
        <f>IF(ISNUMBER(namespace_raw[[#This Row],[Column10]]), (namespace_raw[[#This Row],[Column10]]*(1+$M$2)),"")</f>
        <v/>
      </c>
      <c r="N859" s="167" t="str">
        <f>IF(ISNUMBER(namespace_raw[[#This Row],[Column11]]), (namespace_raw[[#This Row],[Column11]]*(1+$N$2))/1048576,"")</f>
        <v/>
      </c>
      <c r="O859" s="169" t="str">
        <f>IF(ISNUMBER(namespace_raw[[#This Row],[Column8]]), (E859  * $O$2),"")</f>
        <v/>
      </c>
      <c r="P859" s="170" t="str">
        <f>IF(ISNUMBER(namespace_raw[[#This Row],[Column8]]), (F859  * $P$2),"")</f>
        <v/>
      </c>
    </row>
    <row r="860" spans="1:16" ht="15" customHeight="1" x14ac:dyDescent="0.25">
      <c r="A860" s="32" t="str">
        <f>IF(ISNONTEXT(namespace_raw[[#This Row],[Column1]]), "", namespace_raw[[#This Row],[Column1]])</f>
        <v/>
      </c>
      <c r="B860" s="33" t="str">
        <f>IF(ISNONTEXT(namespace_raw[[#This Row],[Column2]]), "", namespace_raw[[#This Row],[Column2]])</f>
        <v/>
      </c>
      <c r="C860" s="94" t="str">
        <f>IF(ISNUMBER(namespace_raw[[#This Row],[Column4]]), namespace_raw[[#This Row],[Column4]], "")</f>
        <v/>
      </c>
      <c r="D860" s="95" t="str">
        <f>IF(ISNUMBER(namespace_raw[[#This Row],[Column5]]), namespace_raw[[#This Row],[Column5]]/1048576, "")</f>
        <v/>
      </c>
      <c r="E860" s="95" t="str">
        <f>IF(ISNUMBER(namespace_raw[[#This Row],[Column6]]), namespace_raw[[#This Row],[Column6]],"")</f>
        <v/>
      </c>
      <c r="F860" s="96" t="str">
        <f>IF(ISNUMBER(namespace_raw[[#This Row],[Column7]]), namespace_raw[[#This Row],[Column7]]/1048576,"")</f>
        <v/>
      </c>
      <c r="G860" s="122" t="str">
        <f>IF(ISNUMBER(namespace_raw[[#This Row],[Column8]]), namespace_raw[[#This Row],[Column8]],"")</f>
        <v/>
      </c>
      <c r="H860" s="123" t="str">
        <f>IF(ISNUMBER(namespace_raw[[#This Row],[Column9]]), namespace_raw[[#This Row],[Column9]]/1048576,"")</f>
        <v/>
      </c>
      <c r="I860" s="124" t="str">
        <f>IF(ISNUMBER(namespace_raw[[#This Row],[Column8]]),MAX(G860, M860, O860, $I$2,IF(Q860&lt;&gt;"",VALUE(Q860),0)), "")</f>
        <v/>
      </c>
      <c r="J860" s="125" t="str">
        <f>IF(ISNUMBER(namespace_raw[[#This Row],[Column9]]),MAX(H860, N860, P860, $J$2,IF(R860&lt;&gt;"",VALUE(R860),0)),"")</f>
        <v/>
      </c>
      <c r="K860" s="166" t="str">
        <f>IF(ISNUMBER(namespace_raw[[#This Row],[Column12]]), namespace_raw[[#This Row],[Column12]],"")</f>
        <v/>
      </c>
      <c r="L860" s="167" t="str">
        <f>IF(ISNUMBER(namespace_raw[[#This Row],[Column13]]), namespace_raw[[#This Row],[Column13]]/1048576,"")</f>
        <v/>
      </c>
      <c r="M860" s="168" t="str">
        <f>IF(ISNUMBER(namespace_raw[[#This Row],[Column10]]), (namespace_raw[[#This Row],[Column10]]*(1+$M$2)),"")</f>
        <v/>
      </c>
      <c r="N860" s="167" t="str">
        <f>IF(ISNUMBER(namespace_raw[[#This Row],[Column11]]), (namespace_raw[[#This Row],[Column11]]*(1+$N$2))/1048576,"")</f>
        <v/>
      </c>
      <c r="O860" s="169" t="str">
        <f>IF(ISNUMBER(namespace_raw[[#This Row],[Column8]]), (E860  * $O$2),"")</f>
        <v/>
      </c>
      <c r="P860" s="170" t="str">
        <f>IF(ISNUMBER(namespace_raw[[#This Row],[Column8]]), (F860  * $P$2),"")</f>
        <v/>
      </c>
    </row>
    <row r="861" spans="1:16" ht="15" customHeight="1" x14ac:dyDescent="0.25">
      <c r="A861" s="32" t="str">
        <f>IF(ISNONTEXT(namespace_raw[[#This Row],[Column1]]), "", namespace_raw[[#This Row],[Column1]])</f>
        <v/>
      </c>
      <c r="B861" s="33" t="str">
        <f>IF(ISNONTEXT(namespace_raw[[#This Row],[Column2]]), "", namespace_raw[[#This Row],[Column2]])</f>
        <v/>
      </c>
      <c r="C861" s="94" t="str">
        <f>IF(ISNUMBER(namespace_raw[[#This Row],[Column4]]), namespace_raw[[#This Row],[Column4]], "")</f>
        <v/>
      </c>
      <c r="D861" s="95" t="str">
        <f>IF(ISNUMBER(namespace_raw[[#This Row],[Column5]]), namespace_raw[[#This Row],[Column5]]/1048576, "")</f>
        <v/>
      </c>
      <c r="E861" s="95" t="str">
        <f>IF(ISNUMBER(namespace_raw[[#This Row],[Column6]]), namespace_raw[[#This Row],[Column6]],"")</f>
        <v/>
      </c>
      <c r="F861" s="96" t="str">
        <f>IF(ISNUMBER(namespace_raw[[#This Row],[Column7]]), namespace_raw[[#This Row],[Column7]]/1048576,"")</f>
        <v/>
      </c>
      <c r="G861" s="122" t="str">
        <f>IF(ISNUMBER(namespace_raw[[#This Row],[Column8]]), namespace_raw[[#This Row],[Column8]],"")</f>
        <v/>
      </c>
      <c r="H861" s="123" t="str">
        <f>IF(ISNUMBER(namespace_raw[[#This Row],[Column9]]), namespace_raw[[#This Row],[Column9]]/1048576,"")</f>
        <v/>
      </c>
      <c r="I861" s="124" t="str">
        <f>IF(ISNUMBER(namespace_raw[[#This Row],[Column8]]),MAX(G861, M861, O861, $I$2,IF(Q861&lt;&gt;"",VALUE(Q861),0)), "")</f>
        <v/>
      </c>
      <c r="J861" s="125" t="str">
        <f>IF(ISNUMBER(namespace_raw[[#This Row],[Column9]]),MAX(H861, N861, P861, $J$2,IF(R861&lt;&gt;"",VALUE(R861),0)),"")</f>
        <v/>
      </c>
      <c r="K861" s="166" t="str">
        <f>IF(ISNUMBER(namespace_raw[[#This Row],[Column12]]), namespace_raw[[#This Row],[Column12]],"")</f>
        <v/>
      </c>
      <c r="L861" s="167" t="str">
        <f>IF(ISNUMBER(namespace_raw[[#This Row],[Column13]]), namespace_raw[[#This Row],[Column13]]/1048576,"")</f>
        <v/>
      </c>
      <c r="M861" s="168" t="str">
        <f>IF(ISNUMBER(namespace_raw[[#This Row],[Column10]]), (namespace_raw[[#This Row],[Column10]]*(1+$M$2)),"")</f>
        <v/>
      </c>
      <c r="N861" s="167" t="str">
        <f>IF(ISNUMBER(namespace_raw[[#This Row],[Column11]]), (namespace_raw[[#This Row],[Column11]]*(1+$N$2))/1048576,"")</f>
        <v/>
      </c>
      <c r="O861" s="169" t="str">
        <f>IF(ISNUMBER(namespace_raw[[#This Row],[Column8]]), (E861  * $O$2),"")</f>
        <v/>
      </c>
      <c r="P861" s="170" t="str">
        <f>IF(ISNUMBER(namespace_raw[[#This Row],[Column8]]), (F861  * $P$2),"")</f>
        <v/>
      </c>
    </row>
    <row r="862" spans="1:16" ht="15" customHeight="1" x14ac:dyDescent="0.25">
      <c r="A862" s="32" t="str">
        <f>IF(ISNONTEXT(namespace_raw[[#This Row],[Column1]]), "", namespace_raw[[#This Row],[Column1]])</f>
        <v/>
      </c>
      <c r="B862" s="33" t="str">
        <f>IF(ISNONTEXT(namespace_raw[[#This Row],[Column2]]), "", namespace_raw[[#This Row],[Column2]])</f>
        <v/>
      </c>
      <c r="C862" s="94" t="str">
        <f>IF(ISNUMBER(namespace_raw[[#This Row],[Column4]]), namespace_raw[[#This Row],[Column4]], "")</f>
        <v/>
      </c>
      <c r="D862" s="95" t="str">
        <f>IF(ISNUMBER(namespace_raw[[#This Row],[Column5]]), namespace_raw[[#This Row],[Column5]]/1048576, "")</f>
        <v/>
      </c>
      <c r="E862" s="95" t="str">
        <f>IF(ISNUMBER(namespace_raw[[#This Row],[Column6]]), namespace_raw[[#This Row],[Column6]],"")</f>
        <v/>
      </c>
      <c r="F862" s="96" t="str">
        <f>IF(ISNUMBER(namespace_raw[[#This Row],[Column7]]), namespace_raw[[#This Row],[Column7]]/1048576,"")</f>
        <v/>
      </c>
      <c r="G862" s="122" t="str">
        <f>IF(ISNUMBER(namespace_raw[[#This Row],[Column8]]), namespace_raw[[#This Row],[Column8]],"")</f>
        <v/>
      </c>
      <c r="H862" s="123" t="str">
        <f>IF(ISNUMBER(namespace_raw[[#This Row],[Column9]]), namespace_raw[[#This Row],[Column9]]/1048576,"")</f>
        <v/>
      </c>
      <c r="I862" s="124" t="str">
        <f>IF(ISNUMBER(namespace_raw[[#This Row],[Column8]]),MAX(G862, M862, O862, $I$2,IF(Q862&lt;&gt;"",VALUE(Q862),0)), "")</f>
        <v/>
      </c>
      <c r="J862" s="125" t="str">
        <f>IF(ISNUMBER(namespace_raw[[#This Row],[Column9]]),MAX(H862, N862, P862, $J$2,IF(R862&lt;&gt;"",VALUE(R862),0)),"")</f>
        <v/>
      </c>
      <c r="K862" s="166" t="str">
        <f>IF(ISNUMBER(namespace_raw[[#This Row],[Column12]]), namespace_raw[[#This Row],[Column12]],"")</f>
        <v/>
      </c>
      <c r="L862" s="167" t="str">
        <f>IF(ISNUMBER(namespace_raw[[#This Row],[Column13]]), namespace_raw[[#This Row],[Column13]]/1048576,"")</f>
        <v/>
      </c>
      <c r="M862" s="168" t="str">
        <f>IF(ISNUMBER(namespace_raw[[#This Row],[Column10]]), (namespace_raw[[#This Row],[Column10]]*(1+$M$2)),"")</f>
        <v/>
      </c>
      <c r="N862" s="167" t="str">
        <f>IF(ISNUMBER(namespace_raw[[#This Row],[Column11]]), (namespace_raw[[#This Row],[Column11]]*(1+$N$2))/1048576,"")</f>
        <v/>
      </c>
      <c r="O862" s="169" t="str">
        <f>IF(ISNUMBER(namespace_raw[[#This Row],[Column8]]), (E862  * $O$2),"")</f>
        <v/>
      </c>
      <c r="P862" s="170" t="str">
        <f>IF(ISNUMBER(namespace_raw[[#This Row],[Column8]]), (F862  * $P$2),"")</f>
        <v/>
      </c>
    </row>
    <row r="863" spans="1:16" ht="15" customHeight="1" x14ac:dyDescent="0.25">
      <c r="A863" s="32" t="str">
        <f>IF(ISNONTEXT(namespace_raw[[#This Row],[Column1]]), "", namespace_raw[[#This Row],[Column1]])</f>
        <v/>
      </c>
      <c r="B863" s="33" t="str">
        <f>IF(ISNONTEXT(namespace_raw[[#This Row],[Column2]]), "", namespace_raw[[#This Row],[Column2]])</f>
        <v/>
      </c>
      <c r="C863" s="94" t="str">
        <f>IF(ISNUMBER(namespace_raw[[#This Row],[Column4]]), namespace_raw[[#This Row],[Column4]], "")</f>
        <v/>
      </c>
      <c r="D863" s="95" t="str">
        <f>IF(ISNUMBER(namespace_raw[[#This Row],[Column5]]), namespace_raw[[#This Row],[Column5]]/1048576, "")</f>
        <v/>
      </c>
      <c r="E863" s="95" t="str">
        <f>IF(ISNUMBER(namespace_raw[[#This Row],[Column6]]), namespace_raw[[#This Row],[Column6]],"")</f>
        <v/>
      </c>
      <c r="F863" s="96" t="str">
        <f>IF(ISNUMBER(namespace_raw[[#This Row],[Column7]]), namespace_raw[[#This Row],[Column7]]/1048576,"")</f>
        <v/>
      </c>
      <c r="G863" s="122" t="str">
        <f>IF(ISNUMBER(namespace_raw[[#This Row],[Column8]]), namespace_raw[[#This Row],[Column8]],"")</f>
        <v/>
      </c>
      <c r="H863" s="123" t="str">
        <f>IF(ISNUMBER(namespace_raw[[#This Row],[Column9]]), namespace_raw[[#This Row],[Column9]]/1048576,"")</f>
        <v/>
      </c>
      <c r="I863" s="124" t="str">
        <f>IF(ISNUMBER(namespace_raw[[#This Row],[Column8]]),MAX(G863, M863, O863, $I$2,IF(Q863&lt;&gt;"",VALUE(Q863),0)), "")</f>
        <v/>
      </c>
      <c r="J863" s="125" t="str">
        <f>IF(ISNUMBER(namespace_raw[[#This Row],[Column9]]),MAX(H863, N863, P863, $J$2,IF(R863&lt;&gt;"",VALUE(R863),0)),"")</f>
        <v/>
      </c>
      <c r="K863" s="166" t="str">
        <f>IF(ISNUMBER(namespace_raw[[#This Row],[Column12]]), namespace_raw[[#This Row],[Column12]],"")</f>
        <v/>
      </c>
      <c r="L863" s="167" t="str">
        <f>IF(ISNUMBER(namespace_raw[[#This Row],[Column13]]), namespace_raw[[#This Row],[Column13]]/1048576,"")</f>
        <v/>
      </c>
      <c r="M863" s="168" t="str">
        <f>IF(ISNUMBER(namespace_raw[[#This Row],[Column10]]), (namespace_raw[[#This Row],[Column10]]*(1+$M$2)),"")</f>
        <v/>
      </c>
      <c r="N863" s="167" t="str">
        <f>IF(ISNUMBER(namespace_raw[[#This Row],[Column11]]), (namespace_raw[[#This Row],[Column11]]*(1+$N$2))/1048576,"")</f>
        <v/>
      </c>
      <c r="O863" s="169" t="str">
        <f>IF(ISNUMBER(namespace_raw[[#This Row],[Column8]]), (E863  * $O$2),"")</f>
        <v/>
      </c>
      <c r="P863" s="170" t="str">
        <f>IF(ISNUMBER(namespace_raw[[#This Row],[Column8]]), (F863  * $P$2),"")</f>
        <v/>
      </c>
    </row>
    <row r="864" spans="1:16" ht="15" customHeight="1" x14ac:dyDescent="0.25">
      <c r="A864" s="32" t="str">
        <f>IF(ISNONTEXT(namespace_raw[[#This Row],[Column1]]), "", namespace_raw[[#This Row],[Column1]])</f>
        <v/>
      </c>
      <c r="B864" s="33" t="str">
        <f>IF(ISNONTEXT(namespace_raw[[#This Row],[Column2]]), "", namespace_raw[[#This Row],[Column2]])</f>
        <v/>
      </c>
      <c r="C864" s="94" t="str">
        <f>IF(ISNUMBER(namespace_raw[[#This Row],[Column4]]), namespace_raw[[#This Row],[Column4]], "")</f>
        <v/>
      </c>
      <c r="D864" s="95" t="str">
        <f>IF(ISNUMBER(namespace_raw[[#This Row],[Column5]]), namespace_raw[[#This Row],[Column5]]/1048576, "")</f>
        <v/>
      </c>
      <c r="E864" s="95" t="str">
        <f>IF(ISNUMBER(namespace_raw[[#This Row],[Column6]]), namespace_raw[[#This Row],[Column6]],"")</f>
        <v/>
      </c>
      <c r="F864" s="96" t="str">
        <f>IF(ISNUMBER(namespace_raw[[#This Row],[Column7]]), namespace_raw[[#This Row],[Column7]]/1048576,"")</f>
        <v/>
      </c>
      <c r="G864" s="122" t="str">
        <f>IF(ISNUMBER(namespace_raw[[#This Row],[Column8]]), namespace_raw[[#This Row],[Column8]],"")</f>
        <v/>
      </c>
      <c r="H864" s="123" t="str">
        <f>IF(ISNUMBER(namespace_raw[[#This Row],[Column9]]), namespace_raw[[#This Row],[Column9]]/1048576,"")</f>
        <v/>
      </c>
      <c r="I864" s="124" t="str">
        <f>IF(ISNUMBER(namespace_raw[[#This Row],[Column8]]),MAX(G864, M864, O864, $I$2,IF(Q864&lt;&gt;"",VALUE(Q864),0)), "")</f>
        <v/>
      </c>
      <c r="J864" s="125" t="str">
        <f>IF(ISNUMBER(namespace_raw[[#This Row],[Column9]]),MAX(H864, N864, P864, $J$2,IF(R864&lt;&gt;"",VALUE(R864),0)),"")</f>
        <v/>
      </c>
      <c r="K864" s="166" t="str">
        <f>IF(ISNUMBER(namespace_raw[[#This Row],[Column12]]), namespace_raw[[#This Row],[Column12]],"")</f>
        <v/>
      </c>
      <c r="L864" s="167" t="str">
        <f>IF(ISNUMBER(namespace_raw[[#This Row],[Column13]]), namespace_raw[[#This Row],[Column13]]/1048576,"")</f>
        <v/>
      </c>
      <c r="M864" s="168" t="str">
        <f>IF(ISNUMBER(namespace_raw[[#This Row],[Column10]]), (namespace_raw[[#This Row],[Column10]]*(1+$M$2)),"")</f>
        <v/>
      </c>
      <c r="N864" s="167" t="str">
        <f>IF(ISNUMBER(namespace_raw[[#This Row],[Column11]]), (namespace_raw[[#This Row],[Column11]]*(1+$N$2))/1048576,"")</f>
        <v/>
      </c>
      <c r="O864" s="169" t="str">
        <f>IF(ISNUMBER(namespace_raw[[#This Row],[Column8]]), (E864  * $O$2),"")</f>
        <v/>
      </c>
      <c r="P864" s="170" t="str">
        <f>IF(ISNUMBER(namespace_raw[[#This Row],[Column8]]), (F864  * $P$2),"")</f>
        <v/>
      </c>
    </row>
    <row r="865" spans="1:16" ht="15" customHeight="1" x14ac:dyDescent="0.25">
      <c r="A865" s="32" t="str">
        <f>IF(ISNONTEXT(namespace_raw[[#This Row],[Column1]]), "", namespace_raw[[#This Row],[Column1]])</f>
        <v/>
      </c>
      <c r="B865" s="33" t="str">
        <f>IF(ISNONTEXT(namespace_raw[[#This Row],[Column2]]), "", namespace_raw[[#This Row],[Column2]])</f>
        <v/>
      </c>
      <c r="C865" s="94" t="str">
        <f>IF(ISNUMBER(namespace_raw[[#This Row],[Column4]]), namespace_raw[[#This Row],[Column4]], "")</f>
        <v/>
      </c>
      <c r="D865" s="95" t="str">
        <f>IF(ISNUMBER(namespace_raw[[#This Row],[Column5]]), namespace_raw[[#This Row],[Column5]]/1048576, "")</f>
        <v/>
      </c>
      <c r="E865" s="95" t="str">
        <f>IF(ISNUMBER(namespace_raw[[#This Row],[Column6]]), namespace_raw[[#This Row],[Column6]],"")</f>
        <v/>
      </c>
      <c r="F865" s="96" t="str">
        <f>IF(ISNUMBER(namespace_raw[[#This Row],[Column7]]), namespace_raw[[#This Row],[Column7]]/1048576,"")</f>
        <v/>
      </c>
      <c r="G865" s="122" t="str">
        <f>IF(ISNUMBER(namespace_raw[[#This Row],[Column8]]), namespace_raw[[#This Row],[Column8]],"")</f>
        <v/>
      </c>
      <c r="H865" s="123" t="str">
        <f>IF(ISNUMBER(namespace_raw[[#This Row],[Column9]]), namespace_raw[[#This Row],[Column9]]/1048576,"")</f>
        <v/>
      </c>
      <c r="I865" s="124" t="str">
        <f>IF(ISNUMBER(namespace_raw[[#This Row],[Column8]]),MAX(G865, M865, O865, $I$2,IF(Q865&lt;&gt;"",VALUE(Q865),0)), "")</f>
        <v/>
      </c>
      <c r="J865" s="125" t="str">
        <f>IF(ISNUMBER(namespace_raw[[#This Row],[Column9]]),MAX(H865, N865, P865, $J$2,IF(R865&lt;&gt;"",VALUE(R865),0)),"")</f>
        <v/>
      </c>
      <c r="K865" s="166" t="str">
        <f>IF(ISNUMBER(namespace_raw[[#This Row],[Column12]]), namespace_raw[[#This Row],[Column12]],"")</f>
        <v/>
      </c>
      <c r="L865" s="167" t="str">
        <f>IF(ISNUMBER(namespace_raw[[#This Row],[Column13]]), namespace_raw[[#This Row],[Column13]]/1048576,"")</f>
        <v/>
      </c>
      <c r="M865" s="168" t="str">
        <f>IF(ISNUMBER(namespace_raw[[#This Row],[Column10]]), (namespace_raw[[#This Row],[Column10]]*(1+$M$2)),"")</f>
        <v/>
      </c>
      <c r="N865" s="167" t="str">
        <f>IF(ISNUMBER(namespace_raw[[#This Row],[Column11]]), (namespace_raw[[#This Row],[Column11]]*(1+$N$2))/1048576,"")</f>
        <v/>
      </c>
      <c r="O865" s="169" t="str">
        <f>IF(ISNUMBER(namespace_raw[[#This Row],[Column8]]), (E865  * $O$2),"")</f>
        <v/>
      </c>
      <c r="P865" s="170" t="str">
        <f>IF(ISNUMBER(namespace_raw[[#This Row],[Column8]]), (F865  * $P$2),"")</f>
        <v/>
      </c>
    </row>
    <row r="866" spans="1:16" ht="15" customHeight="1" x14ac:dyDescent="0.25">
      <c r="A866" s="32" t="str">
        <f>IF(ISNONTEXT(namespace_raw[[#This Row],[Column1]]), "", namespace_raw[[#This Row],[Column1]])</f>
        <v/>
      </c>
      <c r="B866" s="33" t="str">
        <f>IF(ISNONTEXT(namespace_raw[[#This Row],[Column2]]), "", namespace_raw[[#This Row],[Column2]])</f>
        <v/>
      </c>
      <c r="C866" s="94" t="str">
        <f>IF(ISNUMBER(namespace_raw[[#This Row],[Column4]]), namespace_raw[[#This Row],[Column4]], "")</f>
        <v/>
      </c>
      <c r="D866" s="95" t="str">
        <f>IF(ISNUMBER(namespace_raw[[#This Row],[Column5]]), namespace_raw[[#This Row],[Column5]]/1048576, "")</f>
        <v/>
      </c>
      <c r="E866" s="95" t="str">
        <f>IF(ISNUMBER(namespace_raw[[#This Row],[Column6]]), namespace_raw[[#This Row],[Column6]],"")</f>
        <v/>
      </c>
      <c r="F866" s="96" t="str">
        <f>IF(ISNUMBER(namespace_raw[[#This Row],[Column7]]), namespace_raw[[#This Row],[Column7]]/1048576,"")</f>
        <v/>
      </c>
      <c r="G866" s="122" t="str">
        <f>IF(ISNUMBER(namespace_raw[[#This Row],[Column8]]), namespace_raw[[#This Row],[Column8]],"")</f>
        <v/>
      </c>
      <c r="H866" s="123" t="str">
        <f>IF(ISNUMBER(namespace_raw[[#This Row],[Column9]]), namespace_raw[[#This Row],[Column9]]/1048576,"")</f>
        <v/>
      </c>
      <c r="I866" s="124" t="str">
        <f>IF(ISNUMBER(namespace_raw[[#This Row],[Column8]]),MAX(G866, M866, O866, $I$2,IF(Q866&lt;&gt;"",VALUE(Q866),0)), "")</f>
        <v/>
      </c>
      <c r="J866" s="125" t="str">
        <f>IF(ISNUMBER(namespace_raw[[#This Row],[Column9]]),MAX(H866, N866, P866, $J$2,IF(R866&lt;&gt;"",VALUE(R866),0)),"")</f>
        <v/>
      </c>
      <c r="K866" s="166" t="str">
        <f>IF(ISNUMBER(namespace_raw[[#This Row],[Column12]]), namespace_raw[[#This Row],[Column12]],"")</f>
        <v/>
      </c>
      <c r="L866" s="167" t="str">
        <f>IF(ISNUMBER(namespace_raw[[#This Row],[Column13]]), namespace_raw[[#This Row],[Column13]]/1048576,"")</f>
        <v/>
      </c>
      <c r="M866" s="168" t="str">
        <f>IF(ISNUMBER(namespace_raw[[#This Row],[Column10]]), (namespace_raw[[#This Row],[Column10]]*(1+$M$2)),"")</f>
        <v/>
      </c>
      <c r="N866" s="167" t="str">
        <f>IF(ISNUMBER(namespace_raw[[#This Row],[Column11]]), (namespace_raw[[#This Row],[Column11]]*(1+$N$2))/1048576,"")</f>
        <v/>
      </c>
      <c r="O866" s="169" t="str">
        <f>IF(ISNUMBER(namespace_raw[[#This Row],[Column8]]), (E866  * $O$2),"")</f>
        <v/>
      </c>
      <c r="P866" s="170" t="str">
        <f>IF(ISNUMBER(namespace_raw[[#This Row],[Column8]]), (F866  * $P$2),"")</f>
        <v/>
      </c>
    </row>
    <row r="867" spans="1:16" ht="15" customHeight="1" x14ac:dyDescent="0.25">
      <c r="A867" s="32" t="str">
        <f>IF(ISNONTEXT(namespace_raw[[#This Row],[Column1]]), "", namespace_raw[[#This Row],[Column1]])</f>
        <v/>
      </c>
      <c r="B867" s="33" t="str">
        <f>IF(ISNONTEXT(namespace_raw[[#This Row],[Column2]]), "", namespace_raw[[#This Row],[Column2]])</f>
        <v/>
      </c>
      <c r="C867" s="94" t="str">
        <f>IF(ISNUMBER(namespace_raw[[#This Row],[Column4]]), namespace_raw[[#This Row],[Column4]], "")</f>
        <v/>
      </c>
      <c r="D867" s="95" t="str">
        <f>IF(ISNUMBER(namespace_raw[[#This Row],[Column5]]), namespace_raw[[#This Row],[Column5]]/1048576, "")</f>
        <v/>
      </c>
      <c r="E867" s="95" t="str">
        <f>IF(ISNUMBER(namespace_raw[[#This Row],[Column6]]), namespace_raw[[#This Row],[Column6]],"")</f>
        <v/>
      </c>
      <c r="F867" s="96" t="str">
        <f>IF(ISNUMBER(namespace_raw[[#This Row],[Column7]]), namespace_raw[[#This Row],[Column7]]/1048576,"")</f>
        <v/>
      </c>
      <c r="G867" s="122" t="str">
        <f>IF(ISNUMBER(namespace_raw[[#This Row],[Column8]]), namespace_raw[[#This Row],[Column8]],"")</f>
        <v/>
      </c>
      <c r="H867" s="123" t="str">
        <f>IF(ISNUMBER(namespace_raw[[#This Row],[Column9]]), namespace_raw[[#This Row],[Column9]]/1048576,"")</f>
        <v/>
      </c>
      <c r="I867" s="124" t="str">
        <f>IF(ISNUMBER(namespace_raw[[#This Row],[Column8]]),MAX(G867, M867, O867, $I$2,IF(Q867&lt;&gt;"",VALUE(Q867),0)), "")</f>
        <v/>
      </c>
      <c r="J867" s="125" t="str">
        <f>IF(ISNUMBER(namespace_raw[[#This Row],[Column9]]),MAX(H867, N867, P867, $J$2,IF(R867&lt;&gt;"",VALUE(R867),0)),"")</f>
        <v/>
      </c>
      <c r="K867" s="166" t="str">
        <f>IF(ISNUMBER(namespace_raw[[#This Row],[Column12]]), namespace_raw[[#This Row],[Column12]],"")</f>
        <v/>
      </c>
      <c r="L867" s="167" t="str">
        <f>IF(ISNUMBER(namespace_raw[[#This Row],[Column13]]), namespace_raw[[#This Row],[Column13]]/1048576,"")</f>
        <v/>
      </c>
      <c r="M867" s="168" t="str">
        <f>IF(ISNUMBER(namespace_raw[[#This Row],[Column10]]), (namespace_raw[[#This Row],[Column10]]*(1+$M$2)),"")</f>
        <v/>
      </c>
      <c r="N867" s="167" t="str">
        <f>IF(ISNUMBER(namespace_raw[[#This Row],[Column11]]), (namespace_raw[[#This Row],[Column11]]*(1+$N$2))/1048576,"")</f>
        <v/>
      </c>
      <c r="O867" s="169" t="str">
        <f>IF(ISNUMBER(namespace_raw[[#This Row],[Column8]]), (E867  * $O$2),"")</f>
        <v/>
      </c>
      <c r="P867" s="170" t="str">
        <f>IF(ISNUMBER(namespace_raw[[#This Row],[Column8]]), (F867  * $P$2),"")</f>
        <v/>
      </c>
    </row>
    <row r="868" spans="1:16" ht="15" customHeight="1" x14ac:dyDescent="0.25">
      <c r="A868" s="32" t="str">
        <f>IF(ISNONTEXT(namespace_raw[[#This Row],[Column1]]), "", namespace_raw[[#This Row],[Column1]])</f>
        <v/>
      </c>
      <c r="B868" s="33" t="str">
        <f>IF(ISNONTEXT(namespace_raw[[#This Row],[Column2]]), "", namespace_raw[[#This Row],[Column2]])</f>
        <v/>
      </c>
      <c r="C868" s="94" t="str">
        <f>IF(ISNUMBER(namespace_raw[[#This Row],[Column4]]), namespace_raw[[#This Row],[Column4]], "")</f>
        <v/>
      </c>
      <c r="D868" s="95" t="str">
        <f>IF(ISNUMBER(namespace_raw[[#This Row],[Column5]]), namespace_raw[[#This Row],[Column5]]/1048576, "")</f>
        <v/>
      </c>
      <c r="E868" s="95" t="str">
        <f>IF(ISNUMBER(namespace_raw[[#This Row],[Column6]]), namespace_raw[[#This Row],[Column6]],"")</f>
        <v/>
      </c>
      <c r="F868" s="96" t="str">
        <f>IF(ISNUMBER(namespace_raw[[#This Row],[Column7]]), namespace_raw[[#This Row],[Column7]]/1048576,"")</f>
        <v/>
      </c>
      <c r="G868" s="122" t="str">
        <f>IF(ISNUMBER(namespace_raw[[#This Row],[Column8]]), namespace_raw[[#This Row],[Column8]],"")</f>
        <v/>
      </c>
      <c r="H868" s="123" t="str">
        <f>IF(ISNUMBER(namespace_raw[[#This Row],[Column9]]), namespace_raw[[#This Row],[Column9]]/1048576,"")</f>
        <v/>
      </c>
      <c r="I868" s="124" t="str">
        <f>IF(ISNUMBER(namespace_raw[[#This Row],[Column8]]),MAX(G868, M868, O868, $I$2,IF(Q868&lt;&gt;"",VALUE(Q868),0)), "")</f>
        <v/>
      </c>
      <c r="J868" s="125" t="str">
        <f>IF(ISNUMBER(namespace_raw[[#This Row],[Column9]]),MAX(H868, N868, P868, $J$2,IF(R868&lt;&gt;"",VALUE(R868),0)),"")</f>
        <v/>
      </c>
      <c r="K868" s="166" t="str">
        <f>IF(ISNUMBER(namespace_raw[[#This Row],[Column12]]), namespace_raw[[#This Row],[Column12]],"")</f>
        <v/>
      </c>
      <c r="L868" s="167" t="str">
        <f>IF(ISNUMBER(namespace_raw[[#This Row],[Column13]]), namespace_raw[[#This Row],[Column13]]/1048576,"")</f>
        <v/>
      </c>
      <c r="M868" s="168" t="str">
        <f>IF(ISNUMBER(namespace_raw[[#This Row],[Column10]]), (namespace_raw[[#This Row],[Column10]]*(1+$M$2)),"")</f>
        <v/>
      </c>
      <c r="N868" s="167" t="str">
        <f>IF(ISNUMBER(namespace_raw[[#This Row],[Column11]]), (namespace_raw[[#This Row],[Column11]]*(1+$N$2))/1048576,"")</f>
        <v/>
      </c>
      <c r="O868" s="169" t="str">
        <f>IF(ISNUMBER(namespace_raw[[#This Row],[Column8]]), (E868  * $O$2),"")</f>
        <v/>
      </c>
      <c r="P868" s="170" t="str">
        <f>IF(ISNUMBER(namespace_raw[[#This Row],[Column8]]), (F868  * $P$2),"")</f>
        <v/>
      </c>
    </row>
    <row r="869" spans="1:16" ht="15" customHeight="1" x14ac:dyDescent="0.25">
      <c r="A869" s="32" t="str">
        <f>IF(ISNONTEXT(namespace_raw[[#This Row],[Column1]]), "", namespace_raw[[#This Row],[Column1]])</f>
        <v/>
      </c>
      <c r="B869" s="33" t="str">
        <f>IF(ISNONTEXT(namespace_raw[[#This Row],[Column2]]), "", namespace_raw[[#This Row],[Column2]])</f>
        <v/>
      </c>
      <c r="C869" s="94" t="str">
        <f>IF(ISNUMBER(namespace_raw[[#This Row],[Column4]]), namespace_raw[[#This Row],[Column4]], "")</f>
        <v/>
      </c>
      <c r="D869" s="95" t="str">
        <f>IF(ISNUMBER(namespace_raw[[#This Row],[Column5]]), namespace_raw[[#This Row],[Column5]]/1048576, "")</f>
        <v/>
      </c>
      <c r="E869" s="95" t="str">
        <f>IF(ISNUMBER(namespace_raw[[#This Row],[Column6]]), namespace_raw[[#This Row],[Column6]],"")</f>
        <v/>
      </c>
      <c r="F869" s="96" t="str">
        <f>IF(ISNUMBER(namespace_raw[[#This Row],[Column7]]), namespace_raw[[#This Row],[Column7]]/1048576,"")</f>
        <v/>
      </c>
      <c r="G869" s="122" t="str">
        <f>IF(ISNUMBER(namespace_raw[[#This Row],[Column8]]), namespace_raw[[#This Row],[Column8]],"")</f>
        <v/>
      </c>
      <c r="H869" s="123" t="str">
        <f>IF(ISNUMBER(namespace_raw[[#This Row],[Column9]]), namespace_raw[[#This Row],[Column9]]/1048576,"")</f>
        <v/>
      </c>
      <c r="I869" s="124" t="str">
        <f>IF(ISNUMBER(namespace_raw[[#This Row],[Column8]]),MAX(G869, M869, O869, $I$2,IF(Q869&lt;&gt;"",VALUE(Q869),0)), "")</f>
        <v/>
      </c>
      <c r="J869" s="125" t="str">
        <f>IF(ISNUMBER(namespace_raw[[#This Row],[Column9]]),MAX(H869, N869, P869, $J$2,IF(R869&lt;&gt;"",VALUE(R869),0)),"")</f>
        <v/>
      </c>
      <c r="K869" s="166" t="str">
        <f>IF(ISNUMBER(namespace_raw[[#This Row],[Column12]]), namespace_raw[[#This Row],[Column12]],"")</f>
        <v/>
      </c>
      <c r="L869" s="167" t="str">
        <f>IF(ISNUMBER(namespace_raw[[#This Row],[Column13]]), namespace_raw[[#This Row],[Column13]]/1048576,"")</f>
        <v/>
      </c>
      <c r="M869" s="168" t="str">
        <f>IF(ISNUMBER(namespace_raw[[#This Row],[Column10]]), (namespace_raw[[#This Row],[Column10]]*(1+$M$2)),"")</f>
        <v/>
      </c>
      <c r="N869" s="167" t="str">
        <f>IF(ISNUMBER(namespace_raw[[#This Row],[Column11]]), (namespace_raw[[#This Row],[Column11]]*(1+$N$2))/1048576,"")</f>
        <v/>
      </c>
      <c r="O869" s="169" t="str">
        <f>IF(ISNUMBER(namespace_raw[[#This Row],[Column8]]), (E869  * $O$2),"")</f>
        <v/>
      </c>
      <c r="P869" s="170" t="str">
        <f>IF(ISNUMBER(namespace_raw[[#This Row],[Column8]]), (F869  * $P$2),"")</f>
        <v/>
      </c>
    </row>
    <row r="870" spans="1:16" ht="15" customHeight="1" x14ac:dyDescent="0.25">
      <c r="A870" s="32" t="str">
        <f>IF(ISNONTEXT(namespace_raw[[#This Row],[Column1]]), "", namespace_raw[[#This Row],[Column1]])</f>
        <v/>
      </c>
      <c r="B870" s="33" t="str">
        <f>IF(ISNONTEXT(namespace_raw[[#This Row],[Column2]]), "", namespace_raw[[#This Row],[Column2]])</f>
        <v/>
      </c>
      <c r="C870" s="94" t="str">
        <f>IF(ISNUMBER(namespace_raw[[#This Row],[Column4]]), namespace_raw[[#This Row],[Column4]], "")</f>
        <v/>
      </c>
      <c r="D870" s="95" t="str">
        <f>IF(ISNUMBER(namespace_raw[[#This Row],[Column5]]), namespace_raw[[#This Row],[Column5]]/1048576, "")</f>
        <v/>
      </c>
      <c r="E870" s="95" t="str">
        <f>IF(ISNUMBER(namespace_raw[[#This Row],[Column6]]), namespace_raw[[#This Row],[Column6]],"")</f>
        <v/>
      </c>
      <c r="F870" s="96" t="str">
        <f>IF(ISNUMBER(namespace_raw[[#This Row],[Column7]]), namespace_raw[[#This Row],[Column7]]/1048576,"")</f>
        <v/>
      </c>
      <c r="G870" s="122" t="str">
        <f>IF(ISNUMBER(namespace_raw[[#This Row],[Column8]]), namespace_raw[[#This Row],[Column8]],"")</f>
        <v/>
      </c>
      <c r="H870" s="123" t="str">
        <f>IF(ISNUMBER(namespace_raw[[#This Row],[Column9]]), namespace_raw[[#This Row],[Column9]]/1048576,"")</f>
        <v/>
      </c>
      <c r="I870" s="124" t="str">
        <f>IF(ISNUMBER(namespace_raw[[#This Row],[Column8]]),MAX(G870, M870, O870, $I$2,IF(Q870&lt;&gt;"",VALUE(Q870),0)), "")</f>
        <v/>
      </c>
      <c r="J870" s="125" t="str">
        <f>IF(ISNUMBER(namespace_raw[[#This Row],[Column9]]),MAX(H870, N870, P870, $J$2,IF(R870&lt;&gt;"",VALUE(R870),0)),"")</f>
        <v/>
      </c>
      <c r="K870" s="166" t="str">
        <f>IF(ISNUMBER(namespace_raw[[#This Row],[Column12]]), namespace_raw[[#This Row],[Column12]],"")</f>
        <v/>
      </c>
      <c r="L870" s="167" t="str">
        <f>IF(ISNUMBER(namespace_raw[[#This Row],[Column13]]), namespace_raw[[#This Row],[Column13]]/1048576,"")</f>
        <v/>
      </c>
      <c r="M870" s="168" t="str">
        <f>IF(ISNUMBER(namespace_raw[[#This Row],[Column10]]), (namespace_raw[[#This Row],[Column10]]*(1+$M$2)),"")</f>
        <v/>
      </c>
      <c r="N870" s="167" t="str">
        <f>IF(ISNUMBER(namespace_raw[[#This Row],[Column11]]), (namespace_raw[[#This Row],[Column11]]*(1+$N$2))/1048576,"")</f>
        <v/>
      </c>
      <c r="O870" s="169" t="str">
        <f>IF(ISNUMBER(namespace_raw[[#This Row],[Column8]]), (E870  * $O$2),"")</f>
        <v/>
      </c>
      <c r="P870" s="170" t="str">
        <f>IF(ISNUMBER(namespace_raw[[#This Row],[Column8]]), (F870  * $P$2),"")</f>
        <v/>
      </c>
    </row>
    <row r="871" spans="1:16" ht="15" customHeight="1" x14ac:dyDescent="0.25">
      <c r="A871" s="32" t="str">
        <f>IF(ISNONTEXT(namespace_raw[[#This Row],[Column1]]), "", namespace_raw[[#This Row],[Column1]])</f>
        <v/>
      </c>
      <c r="B871" s="33" t="str">
        <f>IF(ISNONTEXT(namespace_raw[[#This Row],[Column2]]), "", namespace_raw[[#This Row],[Column2]])</f>
        <v/>
      </c>
      <c r="C871" s="94" t="str">
        <f>IF(ISNUMBER(namespace_raw[[#This Row],[Column4]]), namespace_raw[[#This Row],[Column4]], "")</f>
        <v/>
      </c>
      <c r="D871" s="95" t="str">
        <f>IF(ISNUMBER(namespace_raw[[#This Row],[Column5]]), namespace_raw[[#This Row],[Column5]]/1048576, "")</f>
        <v/>
      </c>
      <c r="E871" s="95" t="str">
        <f>IF(ISNUMBER(namespace_raw[[#This Row],[Column6]]), namespace_raw[[#This Row],[Column6]],"")</f>
        <v/>
      </c>
      <c r="F871" s="96" t="str">
        <f>IF(ISNUMBER(namespace_raw[[#This Row],[Column7]]), namespace_raw[[#This Row],[Column7]]/1048576,"")</f>
        <v/>
      </c>
      <c r="G871" s="122" t="str">
        <f>IF(ISNUMBER(namespace_raw[[#This Row],[Column8]]), namespace_raw[[#This Row],[Column8]],"")</f>
        <v/>
      </c>
      <c r="H871" s="123" t="str">
        <f>IF(ISNUMBER(namespace_raw[[#This Row],[Column9]]), namespace_raw[[#This Row],[Column9]]/1048576,"")</f>
        <v/>
      </c>
      <c r="I871" s="124" t="str">
        <f>IF(ISNUMBER(namespace_raw[[#This Row],[Column8]]),MAX(G871, M871, O871, $I$2,IF(Q871&lt;&gt;"",VALUE(Q871),0)), "")</f>
        <v/>
      </c>
      <c r="J871" s="125" t="str">
        <f>IF(ISNUMBER(namespace_raw[[#This Row],[Column9]]),MAX(H871, N871, P871, $J$2,IF(R871&lt;&gt;"",VALUE(R871),0)),"")</f>
        <v/>
      </c>
      <c r="K871" s="166" t="str">
        <f>IF(ISNUMBER(namespace_raw[[#This Row],[Column12]]), namespace_raw[[#This Row],[Column12]],"")</f>
        <v/>
      </c>
      <c r="L871" s="167" t="str">
        <f>IF(ISNUMBER(namespace_raw[[#This Row],[Column13]]), namespace_raw[[#This Row],[Column13]]/1048576,"")</f>
        <v/>
      </c>
      <c r="M871" s="168" t="str">
        <f>IF(ISNUMBER(namespace_raw[[#This Row],[Column10]]), (namespace_raw[[#This Row],[Column10]]*(1+$M$2)),"")</f>
        <v/>
      </c>
      <c r="N871" s="167" t="str">
        <f>IF(ISNUMBER(namespace_raw[[#This Row],[Column11]]), (namespace_raw[[#This Row],[Column11]]*(1+$N$2))/1048576,"")</f>
        <v/>
      </c>
      <c r="O871" s="169" t="str">
        <f>IF(ISNUMBER(namespace_raw[[#This Row],[Column8]]), (E871  * $O$2),"")</f>
        <v/>
      </c>
      <c r="P871" s="170" t="str">
        <f>IF(ISNUMBER(namespace_raw[[#This Row],[Column8]]), (F871  * $P$2),"")</f>
        <v/>
      </c>
    </row>
    <row r="872" spans="1:16" ht="15" customHeight="1" x14ac:dyDescent="0.25">
      <c r="A872" s="32" t="str">
        <f>IF(ISNONTEXT(namespace_raw[[#This Row],[Column1]]), "", namespace_raw[[#This Row],[Column1]])</f>
        <v/>
      </c>
      <c r="B872" s="33" t="str">
        <f>IF(ISNONTEXT(namespace_raw[[#This Row],[Column2]]), "", namespace_raw[[#This Row],[Column2]])</f>
        <v/>
      </c>
      <c r="C872" s="94" t="str">
        <f>IF(ISNUMBER(namespace_raw[[#This Row],[Column4]]), namespace_raw[[#This Row],[Column4]], "")</f>
        <v/>
      </c>
      <c r="D872" s="95" t="str">
        <f>IF(ISNUMBER(namespace_raw[[#This Row],[Column5]]), namespace_raw[[#This Row],[Column5]]/1048576, "")</f>
        <v/>
      </c>
      <c r="E872" s="95" t="str">
        <f>IF(ISNUMBER(namespace_raw[[#This Row],[Column6]]), namespace_raw[[#This Row],[Column6]],"")</f>
        <v/>
      </c>
      <c r="F872" s="96" t="str">
        <f>IF(ISNUMBER(namespace_raw[[#This Row],[Column7]]), namespace_raw[[#This Row],[Column7]]/1048576,"")</f>
        <v/>
      </c>
      <c r="G872" s="122" t="str">
        <f>IF(ISNUMBER(namespace_raw[[#This Row],[Column8]]), namespace_raw[[#This Row],[Column8]],"")</f>
        <v/>
      </c>
      <c r="H872" s="123" t="str">
        <f>IF(ISNUMBER(namespace_raw[[#This Row],[Column9]]), namespace_raw[[#This Row],[Column9]]/1048576,"")</f>
        <v/>
      </c>
      <c r="I872" s="124" t="str">
        <f>IF(ISNUMBER(namespace_raw[[#This Row],[Column8]]),MAX(G872, M872, O872, $I$2,IF(Q872&lt;&gt;"",VALUE(Q872),0)), "")</f>
        <v/>
      </c>
      <c r="J872" s="125" t="str">
        <f>IF(ISNUMBER(namespace_raw[[#This Row],[Column9]]),MAX(H872, N872, P872, $J$2,IF(R872&lt;&gt;"",VALUE(R872),0)),"")</f>
        <v/>
      </c>
      <c r="K872" s="166" t="str">
        <f>IF(ISNUMBER(namespace_raw[[#This Row],[Column12]]), namespace_raw[[#This Row],[Column12]],"")</f>
        <v/>
      </c>
      <c r="L872" s="167" t="str">
        <f>IF(ISNUMBER(namespace_raw[[#This Row],[Column13]]), namespace_raw[[#This Row],[Column13]]/1048576,"")</f>
        <v/>
      </c>
      <c r="M872" s="168" t="str">
        <f>IF(ISNUMBER(namespace_raw[[#This Row],[Column10]]), (namespace_raw[[#This Row],[Column10]]*(1+$M$2)),"")</f>
        <v/>
      </c>
      <c r="N872" s="167" t="str">
        <f>IF(ISNUMBER(namespace_raw[[#This Row],[Column11]]), (namespace_raw[[#This Row],[Column11]]*(1+$N$2))/1048576,"")</f>
        <v/>
      </c>
      <c r="O872" s="169" t="str">
        <f>IF(ISNUMBER(namespace_raw[[#This Row],[Column8]]), (E872  * $O$2),"")</f>
        <v/>
      </c>
      <c r="P872" s="170" t="str">
        <f>IF(ISNUMBER(namespace_raw[[#This Row],[Column8]]), (F872  * $P$2),"")</f>
        <v/>
      </c>
    </row>
    <row r="873" spans="1:16" ht="15" customHeight="1" x14ac:dyDescent="0.25">
      <c r="A873" s="32" t="str">
        <f>IF(ISNONTEXT(namespace_raw[[#This Row],[Column1]]), "", namespace_raw[[#This Row],[Column1]])</f>
        <v/>
      </c>
      <c r="B873" s="33" t="str">
        <f>IF(ISNONTEXT(namespace_raw[[#This Row],[Column2]]), "", namespace_raw[[#This Row],[Column2]])</f>
        <v/>
      </c>
      <c r="C873" s="94" t="str">
        <f>IF(ISNUMBER(namespace_raw[[#This Row],[Column4]]), namespace_raw[[#This Row],[Column4]], "")</f>
        <v/>
      </c>
      <c r="D873" s="95" t="str">
        <f>IF(ISNUMBER(namespace_raw[[#This Row],[Column5]]), namespace_raw[[#This Row],[Column5]]/1048576, "")</f>
        <v/>
      </c>
      <c r="E873" s="95" t="str">
        <f>IF(ISNUMBER(namespace_raw[[#This Row],[Column6]]), namespace_raw[[#This Row],[Column6]],"")</f>
        <v/>
      </c>
      <c r="F873" s="96" t="str">
        <f>IF(ISNUMBER(namespace_raw[[#This Row],[Column7]]), namespace_raw[[#This Row],[Column7]]/1048576,"")</f>
        <v/>
      </c>
      <c r="G873" s="122" t="str">
        <f>IF(ISNUMBER(namespace_raw[[#This Row],[Column8]]), namespace_raw[[#This Row],[Column8]],"")</f>
        <v/>
      </c>
      <c r="H873" s="123" t="str">
        <f>IF(ISNUMBER(namespace_raw[[#This Row],[Column9]]), namespace_raw[[#This Row],[Column9]]/1048576,"")</f>
        <v/>
      </c>
      <c r="I873" s="124" t="str">
        <f>IF(ISNUMBER(namespace_raw[[#This Row],[Column8]]),MAX(G873, M873, O873, $I$2,IF(Q873&lt;&gt;"",VALUE(Q873),0)), "")</f>
        <v/>
      </c>
      <c r="J873" s="125" t="str">
        <f>IF(ISNUMBER(namespace_raw[[#This Row],[Column9]]),MAX(H873, N873, P873, $J$2,IF(R873&lt;&gt;"",VALUE(R873),0)),"")</f>
        <v/>
      </c>
      <c r="K873" s="166" t="str">
        <f>IF(ISNUMBER(namespace_raw[[#This Row],[Column12]]), namespace_raw[[#This Row],[Column12]],"")</f>
        <v/>
      </c>
      <c r="L873" s="167" t="str">
        <f>IF(ISNUMBER(namespace_raw[[#This Row],[Column13]]), namespace_raw[[#This Row],[Column13]]/1048576,"")</f>
        <v/>
      </c>
      <c r="M873" s="168" t="str">
        <f>IF(ISNUMBER(namespace_raw[[#This Row],[Column10]]), (namespace_raw[[#This Row],[Column10]]*(1+$M$2)),"")</f>
        <v/>
      </c>
      <c r="N873" s="167" t="str">
        <f>IF(ISNUMBER(namespace_raw[[#This Row],[Column11]]), (namespace_raw[[#This Row],[Column11]]*(1+$N$2))/1048576,"")</f>
        <v/>
      </c>
      <c r="O873" s="169" t="str">
        <f>IF(ISNUMBER(namespace_raw[[#This Row],[Column8]]), (E873  * $O$2),"")</f>
        <v/>
      </c>
      <c r="P873" s="170" t="str">
        <f>IF(ISNUMBER(namespace_raw[[#This Row],[Column8]]), (F873  * $P$2),"")</f>
        <v/>
      </c>
    </row>
    <row r="874" spans="1:16" ht="15" customHeight="1" x14ac:dyDescent="0.25">
      <c r="A874" s="32" t="str">
        <f>IF(ISNONTEXT(namespace_raw[[#This Row],[Column1]]), "", namespace_raw[[#This Row],[Column1]])</f>
        <v/>
      </c>
      <c r="B874" s="33" t="str">
        <f>IF(ISNONTEXT(namespace_raw[[#This Row],[Column2]]), "", namespace_raw[[#This Row],[Column2]])</f>
        <v/>
      </c>
      <c r="C874" s="94" t="str">
        <f>IF(ISNUMBER(namespace_raw[[#This Row],[Column4]]), namespace_raw[[#This Row],[Column4]], "")</f>
        <v/>
      </c>
      <c r="D874" s="95" t="str">
        <f>IF(ISNUMBER(namespace_raw[[#This Row],[Column5]]), namespace_raw[[#This Row],[Column5]]/1048576, "")</f>
        <v/>
      </c>
      <c r="E874" s="95" t="str">
        <f>IF(ISNUMBER(namespace_raw[[#This Row],[Column6]]), namespace_raw[[#This Row],[Column6]],"")</f>
        <v/>
      </c>
      <c r="F874" s="96" t="str">
        <f>IF(ISNUMBER(namespace_raw[[#This Row],[Column7]]), namespace_raw[[#This Row],[Column7]]/1048576,"")</f>
        <v/>
      </c>
      <c r="G874" s="122" t="str">
        <f>IF(ISNUMBER(namespace_raw[[#This Row],[Column8]]), namespace_raw[[#This Row],[Column8]],"")</f>
        <v/>
      </c>
      <c r="H874" s="123" t="str">
        <f>IF(ISNUMBER(namespace_raw[[#This Row],[Column9]]), namespace_raw[[#This Row],[Column9]]/1048576,"")</f>
        <v/>
      </c>
      <c r="I874" s="124" t="str">
        <f>IF(ISNUMBER(namespace_raw[[#This Row],[Column8]]),MAX(G874, M874, O874, $I$2,IF(Q874&lt;&gt;"",VALUE(Q874),0)), "")</f>
        <v/>
      </c>
      <c r="J874" s="125" t="str">
        <f>IF(ISNUMBER(namespace_raw[[#This Row],[Column9]]),MAX(H874, N874, P874, $J$2,IF(R874&lt;&gt;"",VALUE(R874),0)),"")</f>
        <v/>
      </c>
      <c r="K874" s="166" t="str">
        <f>IF(ISNUMBER(namespace_raw[[#This Row],[Column12]]), namespace_raw[[#This Row],[Column12]],"")</f>
        <v/>
      </c>
      <c r="L874" s="167" t="str">
        <f>IF(ISNUMBER(namespace_raw[[#This Row],[Column13]]), namespace_raw[[#This Row],[Column13]]/1048576,"")</f>
        <v/>
      </c>
      <c r="M874" s="168" t="str">
        <f>IF(ISNUMBER(namespace_raw[[#This Row],[Column10]]), (namespace_raw[[#This Row],[Column10]]*(1+$M$2)),"")</f>
        <v/>
      </c>
      <c r="N874" s="167" t="str">
        <f>IF(ISNUMBER(namespace_raw[[#This Row],[Column11]]), (namespace_raw[[#This Row],[Column11]]*(1+$N$2))/1048576,"")</f>
        <v/>
      </c>
      <c r="O874" s="169" t="str">
        <f>IF(ISNUMBER(namespace_raw[[#This Row],[Column8]]), (E874  * $O$2),"")</f>
        <v/>
      </c>
      <c r="P874" s="170" t="str">
        <f>IF(ISNUMBER(namespace_raw[[#This Row],[Column8]]), (F874  * $P$2),"")</f>
        <v/>
      </c>
    </row>
    <row r="875" spans="1:16" ht="15" customHeight="1" x14ac:dyDescent="0.25">
      <c r="A875" s="32" t="str">
        <f>IF(ISNONTEXT(namespace_raw[[#This Row],[Column1]]), "", namespace_raw[[#This Row],[Column1]])</f>
        <v/>
      </c>
      <c r="B875" s="33" t="str">
        <f>IF(ISNONTEXT(namespace_raw[[#This Row],[Column2]]), "", namespace_raw[[#This Row],[Column2]])</f>
        <v/>
      </c>
      <c r="C875" s="94" t="str">
        <f>IF(ISNUMBER(namespace_raw[[#This Row],[Column4]]), namespace_raw[[#This Row],[Column4]], "")</f>
        <v/>
      </c>
      <c r="D875" s="95" t="str">
        <f>IF(ISNUMBER(namespace_raw[[#This Row],[Column5]]), namespace_raw[[#This Row],[Column5]]/1048576, "")</f>
        <v/>
      </c>
      <c r="E875" s="95" t="str">
        <f>IF(ISNUMBER(namespace_raw[[#This Row],[Column6]]), namespace_raw[[#This Row],[Column6]],"")</f>
        <v/>
      </c>
      <c r="F875" s="96" t="str">
        <f>IF(ISNUMBER(namespace_raw[[#This Row],[Column7]]), namespace_raw[[#This Row],[Column7]]/1048576,"")</f>
        <v/>
      </c>
      <c r="G875" s="122" t="str">
        <f>IF(ISNUMBER(namespace_raw[[#This Row],[Column8]]), namespace_raw[[#This Row],[Column8]],"")</f>
        <v/>
      </c>
      <c r="H875" s="123" t="str">
        <f>IF(ISNUMBER(namespace_raw[[#This Row],[Column9]]), namespace_raw[[#This Row],[Column9]]/1048576,"")</f>
        <v/>
      </c>
      <c r="I875" s="124" t="str">
        <f>IF(ISNUMBER(namespace_raw[[#This Row],[Column8]]),MAX(G875, M875, O875, $I$2,IF(Q875&lt;&gt;"",VALUE(Q875),0)), "")</f>
        <v/>
      </c>
      <c r="J875" s="125" t="str">
        <f>IF(ISNUMBER(namespace_raw[[#This Row],[Column9]]),MAX(H875, N875, P875, $J$2,IF(R875&lt;&gt;"",VALUE(R875),0)),"")</f>
        <v/>
      </c>
      <c r="K875" s="166" t="str">
        <f>IF(ISNUMBER(namespace_raw[[#This Row],[Column12]]), namespace_raw[[#This Row],[Column12]],"")</f>
        <v/>
      </c>
      <c r="L875" s="167" t="str">
        <f>IF(ISNUMBER(namespace_raw[[#This Row],[Column13]]), namespace_raw[[#This Row],[Column13]]/1048576,"")</f>
        <v/>
      </c>
      <c r="M875" s="168" t="str">
        <f>IF(ISNUMBER(namespace_raw[[#This Row],[Column10]]), (namespace_raw[[#This Row],[Column10]]*(1+$M$2)),"")</f>
        <v/>
      </c>
      <c r="N875" s="167" t="str">
        <f>IF(ISNUMBER(namespace_raw[[#This Row],[Column11]]), (namespace_raw[[#This Row],[Column11]]*(1+$N$2))/1048576,"")</f>
        <v/>
      </c>
      <c r="O875" s="169" t="str">
        <f>IF(ISNUMBER(namespace_raw[[#This Row],[Column8]]), (E875  * $O$2),"")</f>
        <v/>
      </c>
      <c r="P875" s="170" t="str">
        <f>IF(ISNUMBER(namespace_raw[[#This Row],[Column8]]), (F875  * $P$2),"")</f>
        <v/>
      </c>
    </row>
    <row r="876" spans="1:16" ht="15" customHeight="1" x14ac:dyDescent="0.25">
      <c r="A876" s="32" t="str">
        <f>IF(ISNONTEXT(namespace_raw[[#This Row],[Column1]]), "", namespace_raw[[#This Row],[Column1]])</f>
        <v/>
      </c>
      <c r="B876" s="33" t="str">
        <f>IF(ISNONTEXT(namespace_raw[[#This Row],[Column2]]), "", namespace_raw[[#This Row],[Column2]])</f>
        <v/>
      </c>
      <c r="C876" s="94" t="str">
        <f>IF(ISNUMBER(namespace_raw[[#This Row],[Column4]]), namespace_raw[[#This Row],[Column4]], "")</f>
        <v/>
      </c>
      <c r="D876" s="95" t="str">
        <f>IF(ISNUMBER(namespace_raw[[#This Row],[Column5]]), namespace_raw[[#This Row],[Column5]]/1048576, "")</f>
        <v/>
      </c>
      <c r="E876" s="95" t="str">
        <f>IF(ISNUMBER(namespace_raw[[#This Row],[Column6]]), namespace_raw[[#This Row],[Column6]],"")</f>
        <v/>
      </c>
      <c r="F876" s="96" t="str">
        <f>IF(ISNUMBER(namespace_raw[[#This Row],[Column7]]), namespace_raw[[#This Row],[Column7]]/1048576,"")</f>
        <v/>
      </c>
      <c r="G876" s="122" t="str">
        <f>IF(ISNUMBER(namespace_raw[[#This Row],[Column8]]), namespace_raw[[#This Row],[Column8]],"")</f>
        <v/>
      </c>
      <c r="H876" s="123" t="str">
        <f>IF(ISNUMBER(namespace_raw[[#This Row],[Column9]]), namespace_raw[[#This Row],[Column9]]/1048576,"")</f>
        <v/>
      </c>
      <c r="I876" s="124" t="str">
        <f>IF(ISNUMBER(namespace_raw[[#This Row],[Column8]]),MAX(G876, M876, O876, $I$2,IF(Q876&lt;&gt;"",VALUE(Q876),0)), "")</f>
        <v/>
      </c>
      <c r="J876" s="125" t="str">
        <f>IF(ISNUMBER(namespace_raw[[#This Row],[Column9]]),MAX(H876, N876, P876, $J$2,IF(R876&lt;&gt;"",VALUE(R876),0)),"")</f>
        <v/>
      </c>
      <c r="K876" s="166" t="str">
        <f>IF(ISNUMBER(namespace_raw[[#This Row],[Column12]]), namespace_raw[[#This Row],[Column12]],"")</f>
        <v/>
      </c>
      <c r="L876" s="167" t="str">
        <f>IF(ISNUMBER(namespace_raw[[#This Row],[Column13]]), namespace_raw[[#This Row],[Column13]]/1048576,"")</f>
        <v/>
      </c>
      <c r="M876" s="168" t="str">
        <f>IF(ISNUMBER(namespace_raw[[#This Row],[Column10]]), (namespace_raw[[#This Row],[Column10]]*(1+$M$2)),"")</f>
        <v/>
      </c>
      <c r="N876" s="167" t="str">
        <f>IF(ISNUMBER(namespace_raw[[#This Row],[Column11]]), (namespace_raw[[#This Row],[Column11]]*(1+$N$2))/1048576,"")</f>
        <v/>
      </c>
      <c r="O876" s="169" t="str">
        <f>IF(ISNUMBER(namespace_raw[[#This Row],[Column8]]), (E876  * $O$2),"")</f>
        <v/>
      </c>
      <c r="P876" s="170" t="str">
        <f>IF(ISNUMBER(namespace_raw[[#This Row],[Column8]]), (F876  * $P$2),"")</f>
        <v/>
      </c>
    </row>
    <row r="877" spans="1:16" ht="15" customHeight="1" x14ac:dyDescent="0.25">
      <c r="A877" s="32" t="str">
        <f>IF(ISNONTEXT(namespace_raw[[#This Row],[Column1]]), "", namespace_raw[[#This Row],[Column1]])</f>
        <v/>
      </c>
      <c r="B877" s="33" t="str">
        <f>IF(ISNONTEXT(namespace_raw[[#This Row],[Column2]]), "", namespace_raw[[#This Row],[Column2]])</f>
        <v/>
      </c>
      <c r="C877" s="94" t="str">
        <f>IF(ISNUMBER(namespace_raw[[#This Row],[Column4]]), namespace_raw[[#This Row],[Column4]], "")</f>
        <v/>
      </c>
      <c r="D877" s="95" t="str">
        <f>IF(ISNUMBER(namespace_raw[[#This Row],[Column5]]), namespace_raw[[#This Row],[Column5]]/1048576, "")</f>
        <v/>
      </c>
      <c r="E877" s="95" t="str">
        <f>IF(ISNUMBER(namespace_raw[[#This Row],[Column6]]), namespace_raw[[#This Row],[Column6]],"")</f>
        <v/>
      </c>
      <c r="F877" s="96" t="str">
        <f>IF(ISNUMBER(namespace_raw[[#This Row],[Column7]]), namespace_raw[[#This Row],[Column7]]/1048576,"")</f>
        <v/>
      </c>
      <c r="G877" s="122" t="str">
        <f>IF(ISNUMBER(namespace_raw[[#This Row],[Column8]]), namespace_raw[[#This Row],[Column8]],"")</f>
        <v/>
      </c>
      <c r="H877" s="123" t="str">
        <f>IF(ISNUMBER(namespace_raw[[#This Row],[Column9]]), namespace_raw[[#This Row],[Column9]]/1048576,"")</f>
        <v/>
      </c>
      <c r="I877" s="124" t="str">
        <f>IF(ISNUMBER(namespace_raw[[#This Row],[Column8]]),MAX(G877, M877, O877, $I$2,IF(Q877&lt;&gt;"",VALUE(Q877),0)), "")</f>
        <v/>
      </c>
      <c r="J877" s="125" t="str">
        <f>IF(ISNUMBER(namespace_raw[[#This Row],[Column9]]),MAX(H877, N877, P877, $J$2,IF(R877&lt;&gt;"",VALUE(R877),0)),"")</f>
        <v/>
      </c>
      <c r="K877" s="166" t="str">
        <f>IF(ISNUMBER(namespace_raw[[#This Row],[Column12]]), namespace_raw[[#This Row],[Column12]],"")</f>
        <v/>
      </c>
      <c r="L877" s="167" t="str">
        <f>IF(ISNUMBER(namespace_raw[[#This Row],[Column13]]), namespace_raw[[#This Row],[Column13]]/1048576,"")</f>
        <v/>
      </c>
      <c r="M877" s="168" t="str">
        <f>IF(ISNUMBER(namespace_raw[[#This Row],[Column10]]), (namespace_raw[[#This Row],[Column10]]*(1+$M$2)),"")</f>
        <v/>
      </c>
      <c r="N877" s="167" t="str">
        <f>IF(ISNUMBER(namespace_raw[[#This Row],[Column11]]), (namespace_raw[[#This Row],[Column11]]*(1+$N$2))/1048576,"")</f>
        <v/>
      </c>
      <c r="O877" s="169" t="str">
        <f>IF(ISNUMBER(namespace_raw[[#This Row],[Column8]]), (E877  * $O$2),"")</f>
        <v/>
      </c>
      <c r="P877" s="170" t="str">
        <f>IF(ISNUMBER(namespace_raw[[#This Row],[Column8]]), (F877  * $P$2),"")</f>
        <v/>
      </c>
    </row>
    <row r="878" spans="1:16" ht="15" customHeight="1" x14ac:dyDescent="0.25">
      <c r="A878" s="32" t="str">
        <f>IF(ISNONTEXT(namespace_raw[[#This Row],[Column1]]), "", namespace_raw[[#This Row],[Column1]])</f>
        <v/>
      </c>
      <c r="B878" s="33" t="str">
        <f>IF(ISNONTEXT(namespace_raw[[#This Row],[Column2]]), "", namespace_raw[[#This Row],[Column2]])</f>
        <v/>
      </c>
      <c r="C878" s="94" t="str">
        <f>IF(ISNUMBER(namespace_raw[[#This Row],[Column4]]), namespace_raw[[#This Row],[Column4]], "")</f>
        <v/>
      </c>
      <c r="D878" s="95" t="str">
        <f>IF(ISNUMBER(namespace_raw[[#This Row],[Column5]]), namespace_raw[[#This Row],[Column5]]/1048576, "")</f>
        <v/>
      </c>
      <c r="E878" s="95" t="str">
        <f>IF(ISNUMBER(namespace_raw[[#This Row],[Column6]]), namespace_raw[[#This Row],[Column6]],"")</f>
        <v/>
      </c>
      <c r="F878" s="96" t="str">
        <f>IF(ISNUMBER(namespace_raw[[#This Row],[Column7]]), namespace_raw[[#This Row],[Column7]]/1048576,"")</f>
        <v/>
      </c>
      <c r="G878" s="122" t="str">
        <f>IF(ISNUMBER(namespace_raw[[#This Row],[Column8]]), namespace_raw[[#This Row],[Column8]],"")</f>
        <v/>
      </c>
      <c r="H878" s="123" t="str">
        <f>IF(ISNUMBER(namespace_raw[[#This Row],[Column9]]), namespace_raw[[#This Row],[Column9]]/1048576,"")</f>
        <v/>
      </c>
      <c r="I878" s="124" t="str">
        <f>IF(ISNUMBER(namespace_raw[[#This Row],[Column8]]),MAX(G878, M878, O878, $I$2,IF(Q878&lt;&gt;"",VALUE(Q878),0)), "")</f>
        <v/>
      </c>
      <c r="J878" s="125" t="str">
        <f>IF(ISNUMBER(namespace_raw[[#This Row],[Column9]]),MAX(H878, N878, P878, $J$2,IF(R878&lt;&gt;"",VALUE(R878),0)),"")</f>
        <v/>
      </c>
      <c r="K878" s="166" t="str">
        <f>IF(ISNUMBER(namespace_raw[[#This Row],[Column12]]), namespace_raw[[#This Row],[Column12]],"")</f>
        <v/>
      </c>
      <c r="L878" s="167" t="str">
        <f>IF(ISNUMBER(namespace_raw[[#This Row],[Column13]]), namespace_raw[[#This Row],[Column13]]/1048576,"")</f>
        <v/>
      </c>
      <c r="M878" s="168" t="str">
        <f>IF(ISNUMBER(namespace_raw[[#This Row],[Column10]]), (namespace_raw[[#This Row],[Column10]]*(1+$M$2)),"")</f>
        <v/>
      </c>
      <c r="N878" s="167" t="str">
        <f>IF(ISNUMBER(namespace_raw[[#This Row],[Column11]]), (namespace_raw[[#This Row],[Column11]]*(1+$N$2))/1048576,"")</f>
        <v/>
      </c>
      <c r="O878" s="169" t="str">
        <f>IF(ISNUMBER(namespace_raw[[#This Row],[Column8]]), (E878  * $O$2),"")</f>
        <v/>
      </c>
      <c r="P878" s="170" t="str">
        <f>IF(ISNUMBER(namespace_raw[[#This Row],[Column8]]), (F878  * $P$2),"")</f>
        <v/>
      </c>
    </row>
    <row r="879" spans="1:16" ht="15" customHeight="1" x14ac:dyDescent="0.25">
      <c r="A879" s="32" t="str">
        <f>IF(ISNONTEXT(namespace_raw[[#This Row],[Column1]]), "", namespace_raw[[#This Row],[Column1]])</f>
        <v/>
      </c>
      <c r="B879" s="33" t="str">
        <f>IF(ISNONTEXT(namespace_raw[[#This Row],[Column2]]), "", namespace_raw[[#This Row],[Column2]])</f>
        <v/>
      </c>
      <c r="C879" s="94" t="str">
        <f>IF(ISNUMBER(namespace_raw[[#This Row],[Column4]]), namespace_raw[[#This Row],[Column4]], "")</f>
        <v/>
      </c>
      <c r="D879" s="95" t="str">
        <f>IF(ISNUMBER(namespace_raw[[#This Row],[Column5]]), namespace_raw[[#This Row],[Column5]]/1048576, "")</f>
        <v/>
      </c>
      <c r="E879" s="95" t="str">
        <f>IF(ISNUMBER(namespace_raw[[#This Row],[Column6]]), namespace_raw[[#This Row],[Column6]],"")</f>
        <v/>
      </c>
      <c r="F879" s="96" t="str">
        <f>IF(ISNUMBER(namespace_raw[[#This Row],[Column7]]), namespace_raw[[#This Row],[Column7]]/1048576,"")</f>
        <v/>
      </c>
      <c r="G879" s="122" t="str">
        <f>IF(ISNUMBER(namespace_raw[[#This Row],[Column8]]), namespace_raw[[#This Row],[Column8]],"")</f>
        <v/>
      </c>
      <c r="H879" s="123" t="str">
        <f>IF(ISNUMBER(namespace_raw[[#This Row],[Column9]]), namespace_raw[[#This Row],[Column9]]/1048576,"")</f>
        <v/>
      </c>
      <c r="I879" s="124" t="str">
        <f>IF(ISNUMBER(namespace_raw[[#This Row],[Column8]]),MAX(G879, M879, O879, $I$2,IF(Q879&lt;&gt;"",VALUE(Q879),0)), "")</f>
        <v/>
      </c>
      <c r="J879" s="125" t="str">
        <f>IF(ISNUMBER(namespace_raw[[#This Row],[Column9]]),MAX(H879, N879, P879, $J$2,IF(R879&lt;&gt;"",VALUE(R879),0)),"")</f>
        <v/>
      </c>
      <c r="K879" s="166" t="str">
        <f>IF(ISNUMBER(namespace_raw[[#This Row],[Column12]]), namespace_raw[[#This Row],[Column12]],"")</f>
        <v/>
      </c>
      <c r="L879" s="167" t="str">
        <f>IF(ISNUMBER(namespace_raw[[#This Row],[Column13]]), namespace_raw[[#This Row],[Column13]]/1048576,"")</f>
        <v/>
      </c>
      <c r="M879" s="168" t="str">
        <f>IF(ISNUMBER(namespace_raw[[#This Row],[Column10]]), (namespace_raw[[#This Row],[Column10]]*(1+$M$2)),"")</f>
        <v/>
      </c>
      <c r="N879" s="167" t="str">
        <f>IF(ISNUMBER(namespace_raw[[#This Row],[Column11]]), (namespace_raw[[#This Row],[Column11]]*(1+$N$2))/1048576,"")</f>
        <v/>
      </c>
      <c r="O879" s="169" t="str">
        <f>IF(ISNUMBER(namespace_raw[[#This Row],[Column8]]), (E879  * $O$2),"")</f>
        <v/>
      </c>
      <c r="P879" s="170" t="str">
        <f>IF(ISNUMBER(namespace_raw[[#This Row],[Column8]]), (F879  * $P$2),"")</f>
        <v/>
      </c>
    </row>
    <row r="880" spans="1:16" ht="15" customHeight="1" x14ac:dyDescent="0.25">
      <c r="A880" s="32" t="str">
        <f>IF(ISNONTEXT(namespace_raw[[#This Row],[Column1]]), "", namespace_raw[[#This Row],[Column1]])</f>
        <v/>
      </c>
      <c r="B880" s="33" t="str">
        <f>IF(ISNONTEXT(namespace_raw[[#This Row],[Column2]]), "", namespace_raw[[#This Row],[Column2]])</f>
        <v/>
      </c>
      <c r="C880" s="94" t="str">
        <f>IF(ISNUMBER(namespace_raw[[#This Row],[Column4]]), namespace_raw[[#This Row],[Column4]], "")</f>
        <v/>
      </c>
      <c r="D880" s="95" t="str">
        <f>IF(ISNUMBER(namespace_raw[[#This Row],[Column5]]), namespace_raw[[#This Row],[Column5]]/1048576, "")</f>
        <v/>
      </c>
      <c r="E880" s="95" t="str">
        <f>IF(ISNUMBER(namespace_raw[[#This Row],[Column6]]), namespace_raw[[#This Row],[Column6]],"")</f>
        <v/>
      </c>
      <c r="F880" s="96" t="str">
        <f>IF(ISNUMBER(namespace_raw[[#This Row],[Column7]]), namespace_raw[[#This Row],[Column7]]/1048576,"")</f>
        <v/>
      </c>
      <c r="G880" s="122" t="str">
        <f>IF(ISNUMBER(namespace_raw[[#This Row],[Column8]]), namespace_raw[[#This Row],[Column8]],"")</f>
        <v/>
      </c>
      <c r="H880" s="123" t="str">
        <f>IF(ISNUMBER(namespace_raw[[#This Row],[Column9]]), namespace_raw[[#This Row],[Column9]]/1048576,"")</f>
        <v/>
      </c>
      <c r="I880" s="124" t="str">
        <f>IF(ISNUMBER(namespace_raw[[#This Row],[Column8]]),MAX(G880, M880, O880, $I$2,IF(Q880&lt;&gt;"",VALUE(Q880),0)), "")</f>
        <v/>
      </c>
      <c r="J880" s="125" t="str">
        <f>IF(ISNUMBER(namespace_raw[[#This Row],[Column9]]),MAX(H880, N880, P880, $J$2,IF(R880&lt;&gt;"",VALUE(R880),0)),"")</f>
        <v/>
      </c>
      <c r="K880" s="166" t="str">
        <f>IF(ISNUMBER(namespace_raw[[#This Row],[Column12]]), namespace_raw[[#This Row],[Column12]],"")</f>
        <v/>
      </c>
      <c r="L880" s="167" t="str">
        <f>IF(ISNUMBER(namespace_raw[[#This Row],[Column13]]), namespace_raw[[#This Row],[Column13]]/1048576,"")</f>
        <v/>
      </c>
      <c r="M880" s="168" t="str">
        <f>IF(ISNUMBER(namespace_raw[[#This Row],[Column10]]), (namespace_raw[[#This Row],[Column10]]*(1+$M$2)),"")</f>
        <v/>
      </c>
      <c r="N880" s="167" t="str">
        <f>IF(ISNUMBER(namespace_raw[[#This Row],[Column11]]), (namespace_raw[[#This Row],[Column11]]*(1+$N$2))/1048576,"")</f>
        <v/>
      </c>
      <c r="O880" s="169" t="str">
        <f>IF(ISNUMBER(namespace_raw[[#This Row],[Column8]]), (E880  * $O$2),"")</f>
        <v/>
      </c>
      <c r="P880" s="170" t="str">
        <f>IF(ISNUMBER(namespace_raw[[#This Row],[Column8]]), (F880  * $P$2),"")</f>
        <v/>
      </c>
    </row>
    <row r="881" spans="1:16" ht="15" customHeight="1" x14ac:dyDescent="0.25">
      <c r="A881" s="32" t="str">
        <f>IF(ISNONTEXT(namespace_raw[[#This Row],[Column1]]), "", namespace_raw[[#This Row],[Column1]])</f>
        <v/>
      </c>
      <c r="B881" s="33" t="str">
        <f>IF(ISNONTEXT(namespace_raw[[#This Row],[Column2]]), "", namespace_raw[[#This Row],[Column2]])</f>
        <v/>
      </c>
      <c r="C881" s="94" t="str">
        <f>IF(ISNUMBER(namespace_raw[[#This Row],[Column4]]), namespace_raw[[#This Row],[Column4]], "")</f>
        <v/>
      </c>
      <c r="D881" s="95" t="str">
        <f>IF(ISNUMBER(namespace_raw[[#This Row],[Column5]]), namespace_raw[[#This Row],[Column5]]/1048576, "")</f>
        <v/>
      </c>
      <c r="E881" s="95" t="str">
        <f>IF(ISNUMBER(namespace_raw[[#This Row],[Column6]]), namespace_raw[[#This Row],[Column6]],"")</f>
        <v/>
      </c>
      <c r="F881" s="96" t="str">
        <f>IF(ISNUMBER(namespace_raw[[#This Row],[Column7]]), namespace_raw[[#This Row],[Column7]]/1048576,"")</f>
        <v/>
      </c>
      <c r="G881" s="122" t="str">
        <f>IF(ISNUMBER(namespace_raw[[#This Row],[Column8]]), namespace_raw[[#This Row],[Column8]],"")</f>
        <v/>
      </c>
      <c r="H881" s="123" t="str">
        <f>IF(ISNUMBER(namespace_raw[[#This Row],[Column9]]), namespace_raw[[#This Row],[Column9]]/1048576,"")</f>
        <v/>
      </c>
      <c r="I881" s="124" t="str">
        <f>IF(ISNUMBER(namespace_raw[[#This Row],[Column8]]),MAX(G881, M881, O881, $I$2,IF(Q881&lt;&gt;"",VALUE(Q881),0)), "")</f>
        <v/>
      </c>
      <c r="J881" s="125" t="str">
        <f>IF(ISNUMBER(namespace_raw[[#This Row],[Column9]]),MAX(H881, N881, P881, $J$2,IF(R881&lt;&gt;"",VALUE(R881),0)),"")</f>
        <v/>
      </c>
      <c r="K881" s="166" t="str">
        <f>IF(ISNUMBER(namespace_raw[[#This Row],[Column12]]), namespace_raw[[#This Row],[Column12]],"")</f>
        <v/>
      </c>
      <c r="L881" s="167" t="str">
        <f>IF(ISNUMBER(namespace_raw[[#This Row],[Column13]]), namespace_raw[[#This Row],[Column13]]/1048576,"")</f>
        <v/>
      </c>
      <c r="M881" s="168" t="str">
        <f>IF(ISNUMBER(namespace_raw[[#This Row],[Column10]]), (namespace_raw[[#This Row],[Column10]]*(1+$M$2)),"")</f>
        <v/>
      </c>
      <c r="N881" s="167" t="str">
        <f>IF(ISNUMBER(namespace_raw[[#This Row],[Column11]]), (namespace_raw[[#This Row],[Column11]]*(1+$N$2))/1048576,"")</f>
        <v/>
      </c>
      <c r="O881" s="169" t="str">
        <f>IF(ISNUMBER(namespace_raw[[#This Row],[Column8]]), (E881  * $O$2),"")</f>
        <v/>
      </c>
      <c r="P881" s="170" t="str">
        <f>IF(ISNUMBER(namespace_raw[[#This Row],[Column8]]), (F881  * $P$2),"")</f>
        <v/>
      </c>
    </row>
    <row r="882" spans="1:16" ht="15" customHeight="1" x14ac:dyDescent="0.25">
      <c r="A882" s="32" t="str">
        <f>IF(ISNONTEXT(namespace_raw[[#This Row],[Column1]]), "", namespace_raw[[#This Row],[Column1]])</f>
        <v/>
      </c>
      <c r="B882" s="33" t="str">
        <f>IF(ISNONTEXT(namespace_raw[[#This Row],[Column2]]), "", namespace_raw[[#This Row],[Column2]])</f>
        <v/>
      </c>
      <c r="C882" s="94" t="str">
        <f>IF(ISNUMBER(namespace_raw[[#This Row],[Column4]]), namespace_raw[[#This Row],[Column4]], "")</f>
        <v/>
      </c>
      <c r="D882" s="95" t="str">
        <f>IF(ISNUMBER(namespace_raw[[#This Row],[Column5]]), namespace_raw[[#This Row],[Column5]]/1048576, "")</f>
        <v/>
      </c>
      <c r="E882" s="95" t="str">
        <f>IF(ISNUMBER(namespace_raw[[#This Row],[Column6]]), namespace_raw[[#This Row],[Column6]],"")</f>
        <v/>
      </c>
      <c r="F882" s="96" t="str">
        <f>IF(ISNUMBER(namespace_raw[[#This Row],[Column7]]), namespace_raw[[#This Row],[Column7]]/1048576,"")</f>
        <v/>
      </c>
      <c r="G882" s="122" t="str">
        <f>IF(ISNUMBER(namespace_raw[[#This Row],[Column8]]), namespace_raw[[#This Row],[Column8]],"")</f>
        <v/>
      </c>
      <c r="H882" s="123" t="str">
        <f>IF(ISNUMBER(namespace_raw[[#This Row],[Column9]]), namespace_raw[[#This Row],[Column9]]/1048576,"")</f>
        <v/>
      </c>
      <c r="I882" s="124" t="str">
        <f>IF(ISNUMBER(namespace_raw[[#This Row],[Column8]]),MAX(G882, M882, O882, $I$2,IF(Q882&lt;&gt;"",VALUE(Q882),0)), "")</f>
        <v/>
      </c>
      <c r="J882" s="125" t="str">
        <f>IF(ISNUMBER(namespace_raw[[#This Row],[Column9]]),MAX(H882, N882, P882, $J$2,IF(R882&lt;&gt;"",VALUE(R882),0)),"")</f>
        <v/>
      </c>
      <c r="K882" s="166" t="str">
        <f>IF(ISNUMBER(namespace_raw[[#This Row],[Column12]]), namespace_raw[[#This Row],[Column12]],"")</f>
        <v/>
      </c>
      <c r="L882" s="167" t="str">
        <f>IF(ISNUMBER(namespace_raw[[#This Row],[Column13]]), namespace_raw[[#This Row],[Column13]]/1048576,"")</f>
        <v/>
      </c>
      <c r="M882" s="168" t="str">
        <f>IF(ISNUMBER(namespace_raw[[#This Row],[Column10]]), (namespace_raw[[#This Row],[Column10]]*(1+$M$2)),"")</f>
        <v/>
      </c>
      <c r="N882" s="167" t="str">
        <f>IF(ISNUMBER(namespace_raw[[#This Row],[Column11]]), (namespace_raw[[#This Row],[Column11]]*(1+$N$2))/1048576,"")</f>
        <v/>
      </c>
      <c r="O882" s="169" t="str">
        <f>IF(ISNUMBER(namespace_raw[[#This Row],[Column8]]), (E882  * $O$2),"")</f>
        <v/>
      </c>
      <c r="P882" s="170" t="str">
        <f>IF(ISNUMBER(namespace_raw[[#This Row],[Column8]]), (F882  * $P$2),"")</f>
        <v/>
      </c>
    </row>
    <row r="883" spans="1:16" ht="15" customHeight="1" x14ac:dyDescent="0.25">
      <c r="A883" s="32" t="str">
        <f>IF(ISNONTEXT(namespace_raw[[#This Row],[Column1]]), "", namespace_raw[[#This Row],[Column1]])</f>
        <v/>
      </c>
      <c r="B883" s="33" t="str">
        <f>IF(ISNONTEXT(namespace_raw[[#This Row],[Column2]]), "", namespace_raw[[#This Row],[Column2]])</f>
        <v/>
      </c>
      <c r="C883" s="94" t="str">
        <f>IF(ISNUMBER(namespace_raw[[#This Row],[Column4]]), namespace_raw[[#This Row],[Column4]], "")</f>
        <v/>
      </c>
      <c r="D883" s="95" t="str">
        <f>IF(ISNUMBER(namespace_raw[[#This Row],[Column5]]), namespace_raw[[#This Row],[Column5]]/1048576, "")</f>
        <v/>
      </c>
      <c r="E883" s="95" t="str">
        <f>IF(ISNUMBER(namespace_raw[[#This Row],[Column6]]), namespace_raw[[#This Row],[Column6]],"")</f>
        <v/>
      </c>
      <c r="F883" s="96" t="str">
        <f>IF(ISNUMBER(namespace_raw[[#This Row],[Column7]]), namespace_raw[[#This Row],[Column7]]/1048576,"")</f>
        <v/>
      </c>
      <c r="G883" s="122" t="str">
        <f>IF(ISNUMBER(namespace_raw[[#This Row],[Column8]]), namespace_raw[[#This Row],[Column8]],"")</f>
        <v/>
      </c>
      <c r="H883" s="123" t="str">
        <f>IF(ISNUMBER(namespace_raw[[#This Row],[Column9]]), namespace_raw[[#This Row],[Column9]]/1048576,"")</f>
        <v/>
      </c>
      <c r="I883" s="124" t="str">
        <f>IF(ISNUMBER(namespace_raw[[#This Row],[Column8]]),MAX(G883, M883, O883, $I$2,IF(Q883&lt;&gt;"",VALUE(Q883),0)), "")</f>
        <v/>
      </c>
      <c r="J883" s="125" t="str">
        <f>IF(ISNUMBER(namespace_raw[[#This Row],[Column9]]),MAX(H883, N883, P883, $J$2,IF(R883&lt;&gt;"",VALUE(R883),0)),"")</f>
        <v/>
      </c>
      <c r="K883" s="166" t="str">
        <f>IF(ISNUMBER(namespace_raw[[#This Row],[Column12]]), namespace_raw[[#This Row],[Column12]],"")</f>
        <v/>
      </c>
      <c r="L883" s="167" t="str">
        <f>IF(ISNUMBER(namespace_raw[[#This Row],[Column13]]), namespace_raw[[#This Row],[Column13]]/1048576,"")</f>
        <v/>
      </c>
      <c r="M883" s="168" t="str">
        <f>IF(ISNUMBER(namespace_raw[[#This Row],[Column10]]), (namespace_raw[[#This Row],[Column10]]*(1+$M$2)),"")</f>
        <v/>
      </c>
      <c r="N883" s="167" t="str">
        <f>IF(ISNUMBER(namespace_raw[[#This Row],[Column11]]), (namespace_raw[[#This Row],[Column11]]*(1+$N$2))/1048576,"")</f>
        <v/>
      </c>
      <c r="O883" s="169" t="str">
        <f>IF(ISNUMBER(namespace_raw[[#This Row],[Column8]]), (E883  * $O$2),"")</f>
        <v/>
      </c>
      <c r="P883" s="170" t="str">
        <f>IF(ISNUMBER(namespace_raw[[#This Row],[Column8]]), (F883  * $P$2),"")</f>
        <v/>
      </c>
    </row>
    <row r="884" spans="1:16" ht="15" customHeight="1" x14ac:dyDescent="0.25">
      <c r="A884" s="32" t="str">
        <f>IF(ISNONTEXT(namespace_raw[[#This Row],[Column1]]), "", namespace_raw[[#This Row],[Column1]])</f>
        <v/>
      </c>
      <c r="B884" s="33" t="str">
        <f>IF(ISNONTEXT(namespace_raw[[#This Row],[Column2]]), "", namespace_raw[[#This Row],[Column2]])</f>
        <v/>
      </c>
      <c r="C884" s="94" t="str">
        <f>IF(ISNUMBER(namespace_raw[[#This Row],[Column4]]), namespace_raw[[#This Row],[Column4]], "")</f>
        <v/>
      </c>
      <c r="D884" s="95" t="str">
        <f>IF(ISNUMBER(namespace_raw[[#This Row],[Column5]]), namespace_raw[[#This Row],[Column5]]/1048576, "")</f>
        <v/>
      </c>
      <c r="E884" s="95" t="str">
        <f>IF(ISNUMBER(namespace_raw[[#This Row],[Column6]]), namespace_raw[[#This Row],[Column6]],"")</f>
        <v/>
      </c>
      <c r="F884" s="96" t="str">
        <f>IF(ISNUMBER(namespace_raw[[#This Row],[Column7]]), namespace_raw[[#This Row],[Column7]]/1048576,"")</f>
        <v/>
      </c>
      <c r="G884" s="122" t="str">
        <f>IF(ISNUMBER(namespace_raw[[#This Row],[Column8]]), namespace_raw[[#This Row],[Column8]],"")</f>
        <v/>
      </c>
      <c r="H884" s="123" t="str">
        <f>IF(ISNUMBER(namespace_raw[[#This Row],[Column9]]), namespace_raw[[#This Row],[Column9]]/1048576,"")</f>
        <v/>
      </c>
      <c r="I884" s="124" t="str">
        <f>IF(ISNUMBER(namespace_raw[[#This Row],[Column8]]),MAX(G884, M884, O884, $I$2,IF(Q884&lt;&gt;"",VALUE(Q884),0)), "")</f>
        <v/>
      </c>
      <c r="J884" s="125" t="str">
        <f>IF(ISNUMBER(namespace_raw[[#This Row],[Column9]]),MAX(H884, N884, P884, $J$2,IF(R884&lt;&gt;"",VALUE(R884),0)),"")</f>
        <v/>
      </c>
      <c r="K884" s="166" t="str">
        <f>IF(ISNUMBER(namespace_raw[[#This Row],[Column12]]), namespace_raw[[#This Row],[Column12]],"")</f>
        <v/>
      </c>
      <c r="L884" s="167" t="str">
        <f>IF(ISNUMBER(namespace_raw[[#This Row],[Column13]]), namespace_raw[[#This Row],[Column13]]/1048576,"")</f>
        <v/>
      </c>
      <c r="M884" s="168" t="str">
        <f>IF(ISNUMBER(namespace_raw[[#This Row],[Column10]]), (namespace_raw[[#This Row],[Column10]]*(1+$M$2)),"")</f>
        <v/>
      </c>
      <c r="N884" s="167" t="str">
        <f>IF(ISNUMBER(namespace_raw[[#This Row],[Column11]]), (namespace_raw[[#This Row],[Column11]]*(1+$N$2))/1048576,"")</f>
        <v/>
      </c>
      <c r="O884" s="169" t="str">
        <f>IF(ISNUMBER(namespace_raw[[#This Row],[Column8]]), (E884  * $O$2),"")</f>
        <v/>
      </c>
      <c r="P884" s="170" t="str">
        <f>IF(ISNUMBER(namespace_raw[[#This Row],[Column8]]), (F884  * $P$2),"")</f>
        <v/>
      </c>
    </row>
    <row r="885" spans="1:16" ht="15" customHeight="1" x14ac:dyDescent="0.25">
      <c r="A885" s="32" t="str">
        <f>IF(ISNONTEXT(namespace_raw[[#This Row],[Column1]]), "", namespace_raw[[#This Row],[Column1]])</f>
        <v/>
      </c>
      <c r="B885" s="33" t="str">
        <f>IF(ISNONTEXT(namespace_raw[[#This Row],[Column2]]), "", namespace_raw[[#This Row],[Column2]])</f>
        <v/>
      </c>
      <c r="C885" s="94" t="str">
        <f>IF(ISNUMBER(namespace_raw[[#This Row],[Column4]]), namespace_raw[[#This Row],[Column4]], "")</f>
        <v/>
      </c>
      <c r="D885" s="95" t="str">
        <f>IF(ISNUMBER(namespace_raw[[#This Row],[Column5]]), namespace_raw[[#This Row],[Column5]]/1048576, "")</f>
        <v/>
      </c>
      <c r="E885" s="95" t="str">
        <f>IF(ISNUMBER(namespace_raw[[#This Row],[Column6]]), namespace_raw[[#This Row],[Column6]],"")</f>
        <v/>
      </c>
      <c r="F885" s="96" t="str">
        <f>IF(ISNUMBER(namespace_raw[[#This Row],[Column7]]), namespace_raw[[#This Row],[Column7]]/1048576,"")</f>
        <v/>
      </c>
      <c r="G885" s="122" t="str">
        <f>IF(ISNUMBER(namespace_raw[[#This Row],[Column8]]), namespace_raw[[#This Row],[Column8]],"")</f>
        <v/>
      </c>
      <c r="H885" s="123" t="str">
        <f>IF(ISNUMBER(namespace_raw[[#This Row],[Column9]]), namespace_raw[[#This Row],[Column9]]/1048576,"")</f>
        <v/>
      </c>
      <c r="I885" s="124" t="str">
        <f>IF(ISNUMBER(namespace_raw[[#This Row],[Column8]]),MAX(G885, M885, O885, $I$2,IF(Q885&lt;&gt;"",VALUE(Q885),0)), "")</f>
        <v/>
      </c>
      <c r="J885" s="125" t="str">
        <f>IF(ISNUMBER(namespace_raw[[#This Row],[Column9]]),MAX(H885, N885, P885, $J$2,IF(R885&lt;&gt;"",VALUE(R885),0)),"")</f>
        <v/>
      </c>
      <c r="K885" s="166" t="str">
        <f>IF(ISNUMBER(namespace_raw[[#This Row],[Column12]]), namespace_raw[[#This Row],[Column12]],"")</f>
        <v/>
      </c>
      <c r="L885" s="167" t="str">
        <f>IF(ISNUMBER(namespace_raw[[#This Row],[Column13]]), namespace_raw[[#This Row],[Column13]]/1048576,"")</f>
        <v/>
      </c>
      <c r="M885" s="168" t="str">
        <f>IF(ISNUMBER(namespace_raw[[#This Row],[Column10]]), (namespace_raw[[#This Row],[Column10]]*(1+$M$2)),"")</f>
        <v/>
      </c>
      <c r="N885" s="167" t="str">
        <f>IF(ISNUMBER(namespace_raw[[#This Row],[Column11]]), (namespace_raw[[#This Row],[Column11]]*(1+$N$2))/1048576,"")</f>
        <v/>
      </c>
      <c r="O885" s="169" t="str">
        <f>IF(ISNUMBER(namespace_raw[[#This Row],[Column8]]), (E885  * $O$2),"")</f>
        <v/>
      </c>
      <c r="P885" s="170" t="str">
        <f>IF(ISNUMBER(namespace_raw[[#This Row],[Column8]]), (F885  * $P$2),"")</f>
        <v/>
      </c>
    </row>
    <row r="886" spans="1:16" ht="15" customHeight="1" x14ac:dyDescent="0.25">
      <c r="A886" s="32" t="str">
        <f>IF(ISNONTEXT(namespace_raw[[#This Row],[Column1]]), "", namespace_raw[[#This Row],[Column1]])</f>
        <v/>
      </c>
      <c r="B886" s="33" t="str">
        <f>IF(ISNONTEXT(namespace_raw[[#This Row],[Column2]]), "", namespace_raw[[#This Row],[Column2]])</f>
        <v/>
      </c>
      <c r="C886" s="94" t="str">
        <f>IF(ISNUMBER(namespace_raw[[#This Row],[Column4]]), namespace_raw[[#This Row],[Column4]], "")</f>
        <v/>
      </c>
      <c r="D886" s="95" t="str">
        <f>IF(ISNUMBER(namespace_raw[[#This Row],[Column5]]), namespace_raw[[#This Row],[Column5]]/1048576, "")</f>
        <v/>
      </c>
      <c r="E886" s="95" t="str">
        <f>IF(ISNUMBER(namespace_raw[[#This Row],[Column6]]), namespace_raw[[#This Row],[Column6]],"")</f>
        <v/>
      </c>
      <c r="F886" s="96" t="str">
        <f>IF(ISNUMBER(namespace_raw[[#This Row],[Column7]]), namespace_raw[[#This Row],[Column7]]/1048576,"")</f>
        <v/>
      </c>
      <c r="G886" s="122" t="str">
        <f>IF(ISNUMBER(namespace_raw[[#This Row],[Column8]]), namespace_raw[[#This Row],[Column8]],"")</f>
        <v/>
      </c>
      <c r="H886" s="123" t="str">
        <f>IF(ISNUMBER(namespace_raw[[#This Row],[Column9]]), namespace_raw[[#This Row],[Column9]]/1048576,"")</f>
        <v/>
      </c>
      <c r="I886" s="124" t="str">
        <f>IF(ISNUMBER(namespace_raw[[#This Row],[Column8]]),MAX(G886, M886, O886, $I$2,IF(Q886&lt;&gt;"",VALUE(Q886),0)), "")</f>
        <v/>
      </c>
      <c r="J886" s="125" t="str">
        <f>IF(ISNUMBER(namespace_raw[[#This Row],[Column9]]),MAX(H886, N886, P886, $J$2,IF(R886&lt;&gt;"",VALUE(R886),0)),"")</f>
        <v/>
      </c>
      <c r="K886" s="166" t="str">
        <f>IF(ISNUMBER(namespace_raw[[#This Row],[Column12]]), namespace_raw[[#This Row],[Column12]],"")</f>
        <v/>
      </c>
      <c r="L886" s="167" t="str">
        <f>IF(ISNUMBER(namespace_raw[[#This Row],[Column13]]), namespace_raw[[#This Row],[Column13]]/1048576,"")</f>
        <v/>
      </c>
      <c r="M886" s="168" t="str">
        <f>IF(ISNUMBER(namespace_raw[[#This Row],[Column10]]), (namespace_raw[[#This Row],[Column10]]*(1+$M$2)),"")</f>
        <v/>
      </c>
      <c r="N886" s="167" t="str">
        <f>IF(ISNUMBER(namespace_raw[[#This Row],[Column11]]), (namespace_raw[[#This Row],[Column11]]*(1+$N$2))/1048576,"")</f>
        <v/>
      </c>
      <c r="O886" s="169" t="str">
        <f>IF(ISNUMBER(namespace_raw[[#This Row],[Column8]]), (E886  * $O$2),"")</f>
        <v/>
      </c>
      <c r="P886" s="170" t="str">
        <f>IF(ISNUMBER(namespace_raw[[#This Row],[Column8]]), (F886  * $P$2),"")</f>
        <v/>
      </c>
    </row>
    <row r="887" spans="1:16" ht="15" customHeight="1" x14ac:dyDescent="0.25">
      <c r="A887" s="32" t="str">
        <f>IF(ISNONTEXT(namespace_raw[[#This Row],[Column1]]), "", namespace_raw[[#This Row],[Column1]])</f>
        <v/>
      </c>
      <c r="B887" s="33" t="str">
        <f>IF(ISNONTEXT(namespace_raw[[#This Row],[Column2]]), "", namespace_raw[[#This Row],[Column2]])</f>
        <v/>
      </c>
      <c r="C887" s="94" t="str">
        <f>IF(ISNUMBER(namespace_raw[[#This Row],[Column4]]), namespace_raw[[#This Row],[Column4]], "")</f>
        <v/>
      </c>
      <c r="D887" s="95" t="str">
        <f>IF(ISNUMBER(namespace_raw[[#This Row],[Column5]]), namespace_raw[[#This Row],[Column5]]/1048576, "")</f>
        <v/>
      </c>
      <c r="E887" s="95" t="str">
        <f>IF(ISNUMBER(namespace_raw[[#This Row],[Column6]]), namespace_raw[[#This Row],[Column6]],"")</f>
        <v/>
      </c>
      <c r="F887" s="96" t="str">
        <f>IF(ISNUMBER(namespace_raw[[#This Row],[Column7]]), namespace_raw[[#This Row],[Column7]]/1048576,"")</f>
        <v/>
      </c>
      <c r="G887" s="122" t="str">
        <f>IF(ISNUMBER(namespace_raw[[#This Row],[Column8]]), namespace_raw[[#This Row],[Column8]],"")</f>
        <v/>
      </c>
      <c r="H887" s="123" t="str">
        <f>IF(ISNUMBER(namespace_raw[[#This Row],[Column9]]), namespace_raw[[#This Row],[Column9]]/1048576,"")</f>
        <v/>
      </c>
      <c r="I887" s="124" t="str">
        <f>IF(ISNUMBER(namespace_raw[[#This Row],[Column8]]),MAX(G887, M887, O887, $I$2,IF(Q887&lt;&gt;"",VALUE(Q887),0)), "")</f>
        <v/>
      </c>
      <c r="J887" s="125" t="str">
        <f>IF(ISNUMBER(namespace_raw[[#This Row],[Column9]]),MAX(H887, N887, P887, $J$2,IF(R887&lt;&gt;"",VALUE(R887),0)),"")</f>
        <v/>
      </c>
      <c r="K887" s="166" t="str">
        <f>IF(ISNUMBER(namespace_raw[[#This Row],[Column12]]), namespace_raw[[#This Row],[Column12]],"")</f>
        <v/>
      </c>
      <c r="L887" s="167" t="str">
        <f>IF(ISNUMBER(namespace_raw[[#This Row],[Column13]]), namespace_raw[[#This Row],[Column13]]/1048576,"")</f>
        <v/>
      </c>
      <c r="M887" s="168" t="str">
        <f>IF(ISNUMBER(namespace_raw[[#This Row],[Column10]]), (namespace_raw[[#This Row],[Column10]]*(1+$M$2)),"")</f>
        <v/>
      </c>
      <c r="N887" s="167" t="str">
        <f>IF(ISNUMBER(namespace_raw[[#This Row],[Column11]]), (namespace_raw[[#This Row],[Column11]]*(1+$N$2))/1048576,"")</f>
        <v/>
      </c>
      <c r="O887" s="169" t="str">
        <f>IF(ISNUMBER(namespace_raw[[#This Row],[Column8]]), (E887  * $O$2),"")</f>
        <v/>
      </c>
      <c r="P887" s="170" t="str">
        <f>IF(ISNUMBER(namespace_raw[[#This Row],[Column8]]), (F887  * $P$2),"")</f>
        <v/>
      </c>
    </row>
    <row r="888" spans="1:16" ht="15" customHeight="1" x14ac:dyDescent="0.25">
      <c r="A888" s="32" t="str">
        <f>IF(ISNONTEXT(namespace_raw[[#This Row],[Column1]]), "", namespace_raw[[#This Row],[Column1]])</f>
        <v/>
      </c>
      <c r="B888" s="33" t="str">
        <f>IF(ISNONTEXT(namespace_raw[[#This Row],[Column2]]), "", namespace_raw[[#This Row],[Column2]])</f>
        <v/>
      </c>
      <c r="C888" s="94" t="str">
        <f>IF(ISNUMBER(namespace_raw[[#This Row],[Column4]]), namespace_raw[[#This Row],[Column4]], "")</f>
        <v/>
      </c>
      <c r="D888" s="95" t="str">
        <f>IF(ISNUMBER(namespace_raw[[#This Row],[Column5]]), namespace_raw[[#This Row],[Column5]]/1048576, "")</f>
        <v/>
      </c>
      <c r="E888" s="95" t="str">
        <f>IF(ISNUMBER(namespace_raw[[#This Row],[Column6]]), namespace_raw[[#This Row],[Column6]],"")</f>
        <v/>
      </c>
      <c r="F888" s="96" t="str">
        <f>IF(ISNUMBER(namespace_raw[[#This Row],[Column7]]), namespace_raw[[#This Row],[Column7]]/1048576,"")</f>
        <v/>
      </c>
      <c r="G888" s="122" t="str">
        <f>IF(ISNUMBER(namespace_raw[[#This Row],[Column8]]), namespace_raw[[#This Row],[Column8]],"")</f>
        <v/>
      </c>
      <c r="H888" s="123" t="str">
        <f>IF(ISNUMBER(namespace_raw[[#This Row],[Column9]]), namespace_raw[[#This Row],[Column9]]/1048576,"")</f>
        <v/>
      </c>
      <c r="I888" s="124" t="str">
        <f>IF(ISNUMBER(namespace_raw[[#This Row],[Column8]]),MAX(G888, M888, O888, $I$2,IF(Q888&lt;&gt;"",VALUE(Q888),0)), "")</f>
        <v/>
      </c>
      <c r="J888" s="125" t="str">
        <f>IF(ISNUMBER(namespace_raw[[#This Row],[Column9]]),MAX(H888, N888, P888, $J$2,IF(R888&lt;&gt;"",VALUE(R888),0)),"")</f>
        <v/>
      </c>
      <c r="K888" s="166" t="str">
        <f>IF(ISNUMBER(namespace_raw[[#This Row],[Column12]]), namespace_raw[[#This Row],[Column12]],"")</f>
        <v/>
      </c>
      <c r="L888" s="167" t="str">
        <f>IF(ISNUMBER(namespace_raw[[#This Row],[Column13]]), namespace_raw[[#This Row],[Column13]]/1048576,"")</f>
        <v/>
      </c>
      <c r="M888" s="168" t="str">
        <f>IF(ISNUMBER(namespace_raw[[#This Row],[Column10]]), (namespace_raw[[#This Row],[Column10]]*(1+$M$2)),"")</f>
        <v/>
      </c>
      <c r="N888" s="167" t="str">
        <f>IF(ISNUMBER(namespace_raw[[#This Row],[Column11]]), (namespace_raw[[#This Row],[Column11]]*(1+$N$2))/1048576,"")</f>
        <v/>
      </c>
      <c r="O888" s="169" t="str">
        <f>IF(ISNUMBER(namespace_raw[[#This Row],[Column8]]), (E888  * $O$2),"")</f>
        <v/>
      </c>
      <c r="P888" s="170" t="str">
        <f>IF(ISNUMBER(namespace_raw[[#This Row],[Column8]]), (F888  * $P$2),"")</f>
        <v/>
      </c>
    </row>
    <row r="889" spans="1:16" ht="15" customHeight="1" x14ac:dyDescent="0.25">
      <c r="A889" s="32" t="str">
        <f>IF(ISNONTEXT(namespace_raw[[#This Row],[Column1]]), "", namespace_raw[[#This Row],[Column1]])</f>
        <v/>
      </c>
      <c r="B889" s="33" t="str">
        <f>IF(ISNONTEXT(namespace_raw[[#This Row],[Column2]]), "", namespace_raw[[#This Row],[Column2]])</f>
        <v/>
      </c>
      <c r="C889" s="94" t="str">
        <f>IF(ISNUMBER(namespace_raw[[#This Row],[Column4]]), namespace_raw[[#This Row],[Column4]], "")</f>
        <v/>
      </c>
      <c r="D889" s="95" t="str">
        <f>IF(ISNUMBER(namespace_raw[[#This Row],[Column5]]), namespace_raw[[#This Row],[Column5]]/1048576, "")</f>
        <v/>
      </c>
      <c r="E889" s="95" t="str">
        <f>IF(ISNUMBER(namespace_raw[[#This Row],[Column6]]), namespace_raw[[#This Row],[Column6]],"")</f>
        <v/>
      </c>
      <c r="F889" s="96" t="str">
        <f>IF(ISNUMBER(namespace_raw[[#This Row],[Column7]]), namespace_raw[[#This Row],[Column7]]/1048576,"")</f>
        <v/>
      </c>
      <c r="G889" s="122" t="str">
        <f>IF(ISNUMBER(namespace_raw[[#This Row],[Column8]]), namespace_raw[[#This Row],[Column8]],"")</f>
        <v/>
      </c>
      <c r="H889" s="123" t="str">
        <f>IF(ISNUMBER(namespace_raw[[#This Row],[Column9]]), namespace_raw[[#This Row],[Column9]]/1048576,"")</f>
        <v/>
      </c>
      <c r="I889" s="124" t="str">
        <f>IF(ISNUMBER(namespace_raw[[#This Row],[Column8]]),MAX(G889, M889, O889, $I$2,IF(Q889&lt;&gt;"",VALUE(Q889),0)), "")</f>
        <v/>
      </c>
      <c r="J889" s="125" t="str">
        <f>IF(ISNUMBER(namespace_raw[[#This Row],[Column9]]),MAX(H889, N889, P889, $J$2,IF(R889&lt;&gt;"",VALUE(R889),0)),"")</f>
        <v/>
      </c>
      <c r="K889" s="166" t="str">
        <f>IF(ISNUMBER(namespace_raw[[#This Row],[Column12]]), namespace_raw[[#This Row],[Column12]],"")</f>
        <v/>
      </c>
      <c r="L889" s="167" t="str">
        <f>IF(ISNUMBER(namespace_raw[[#This Row],[Column13]]), namespace_raw[[#This Row],[Column13]]/1048576,"")</f>
        <v/>
      </c>
      <c r="M889" s="168" t="str">
        <f>IF(ISNUMBER(namespace_raw[[#This Row],[Column10]]), (namespace_raw[[#This Row],[Column10]]*(1+$M$2)),"")</f>
        <v/>
      </c>
      <c r="N889" s="167" t="str">
        <f>IF(ISNUMBER(namespace_raw[[#This Row],[Column11]]), (namespace_raw[[#This Row],[Column11]]*(1+$N$2))/1048576,"")</f>
        <v/>
      </c>
      <c r="O889" s="169" t="str">
        <f>IF(ISNUMBER(namespace_raw[[#This Row],[Column8]]), (E889  * $O$2),"")</f>
        <v/>
      </c>
      <c r="P889" s="170" t="str">
        <f>IF(ISNUMBER(namespace_raw[[#This Row],[Column8]]), (F889  * $P$2),"")</f>
        <v/>
      </c>
    </row>
    <row r="890" spans="1:16" ht="15" customHeight="1" x14ac:dyDescent="0.25">
      <c r="A890" s="32" t="str">
        <f>IF(ISNONTEXT(namespace_raw[[#This Row],[Column1]]), "", namespace_raw[[#This Row],[Column1]])</f>
        <v/>
      </c>
      <c r="B890" s="33" t="str">
        <f>IF(ISNONTEXT(namespace_raw[[#This Row],[Column2]]), "", namespace_raw[[#This Row],[Column2]])</f>
        <v/>
      </c>
      <c r="C890" s="94" t="str">
        <f>IF(ISNUMBER(namespace_raw[[#This Row],[Column4]]), namespace_raw[[#This Row],[Column4]], "")</f>
        <v/>
      </c>
      <c r="D890" s="95" t="str">
        <f>IF(ISNUMBER(namespace_raw[[#This Row],[Column5]]), namespace_raw[[#This Row],[Column5]]/1048576, "")</f>
        <v/>
      </c>
      <c r="E890" s="95" t="str">
        <f>IF(ISNUMBER(namespace_raw[[#This Row],[Column6]]), namespace_raw[[#This Row],[Column6]],"")</f>
        <v/>
      </c>
      <c r="F890" s="96" t="str">
        <f>IF(ISNUMBER(namespace_raw[[#This Row],[Column7]]), namespace_raw[[#This Row],[Column7]]/1048576,"")</f>
        <v/>
      </c>
      <c r="G890" s="122" t="str">
        <f>IF(ISNUMBER(namespace_raw[[#This Row],[Column8]]), namespace_raw[[#This Row],[Column8]],"")</f>
        <v/>
      </c>
      <c r="H890" s="123" t="str">
        <f>IF(ISNUMBER(namespace_raw[[#This Row],[Column9]]), namespace_raw[[#This Row],[Column9]]/1048576,"")</f>
        <v/>
      </c>
      <c r="I890" s="124" t="str">
        <f>IF(ISNUMBER(namespace_raw[[#This Row],[Column8]]),MAX(G890, M890, O890, $I$2,IF(Q890&lt;&gt;"",VALUE(Q890),0)), "")</f>
        <v/>
      </c>
      <c r="J890" s="125" t="str">
        <f>IF(ISNUMBER(namespace_raw[[#This Row],[Column9]]),MAX(H890, N890, P890, $J$2,IF(R890&lt;&gt;"",VALUE(R890),0)),"")</f>
        <v/>
      </c>
      <c r="K890" s="166" t="str">
        <f>IF(ISNUMBER(namespace_raw[[#This Row],[Column12]]), namespace_raw[[#This Row],[Column12]],"")</f>
        <v/>
      </c>
      <c r="L890" s="167" t="str">
        <f>IF(ISNUMBER(namespace_raw[[#This Row],[Column13]]), namespace_raw[[#This Row],[Column13]]/1048576,"")</f>
        <v/>
      </c>
      <c r="M890" s="168" t="str">
        <f>IF(ISNUMBER(namespace_raw[[#This Row],[Column10]]), (namespace_raw[[#This Row],[Column10]]*(1+$M$2)),"")</f>
        <v/>
      </c>
      <c r="N890" s="167" t="str">
        <f>IF(ISNUMBER(namespace_raw[[#This Row],[Column11]]), (namespace_raw[[#This Row],[Column11]]*(1+$N$2))/1048576,"")</f>
        <v/>
      </c>
      <c r="O890" s="169" t="str">
        <f>IF(ISNUMBER(namespace_raw[[#This Row],[Column8]]), (E890  * $O$2),"")</f>
        <v/>
      </c>
      <c r="P890" s="170" t="str">
        <f>IF(ISNUMBER(namespace_raw[[#This Row],[Column8]]), (F890  * $P$2),"")</f>
        <v/>
      </c>
    </row>
    <row r="891" spans="1:16" ht="15" customHeight="1" x14ac:dyDescent="0.25">
      <c r="A891" s="32" t="str">
        <f>IF(ISNONTEXT(namespace_raw[[#This Row],[Column1]]), "", namespace_raw[[#This Row],[Column1]])</f>
        <v/>
      </c>
      <c r="B891" s="33" t="str">
        <f>IF(ISNONTEXT(namespace_raw[[#This Row],[Column2]]), "", namespace_raw[[#This Row],[Column2]])</f>
        <v/>
      </c>
      <c r="C891" s="94" t="str">
        <f>IF(ISNUMBER(namespace_raw[[#This Row],[Column4]]), namespace_raw[[#This Row],[Column4]], "")</f>
        <v/>
      </c>
      <c r="D891" s="95" t="str">
        <f>IF(ISNUMBER(namespace_raw[[#This Row],[Column5]]), namespace_raw[[#This Row],[Column5]]/1048576, "")</f>
        <v/>
      </c>
      <c r="E891" s="95" t="str">
        <f>IF(ISNUMBER(namespace_raw[[#This Row],[Column6]]), namespace_raw[[#This Row],[Column6]],"")</f>
        <v/>
      </c>
      <c r="F891" s="96" t="str">
        <f>IF(ISNUMBER(namespace_raw[[#This Row],[Column7]]), namespace_raw[[#This Row],[Column7]]/1048576,"")</f>
        <v/>
      </c>
      <c r="G891" s="122" t="str">
        <f>IF(ISNUMBER(namespace_raw[[#This Row],[Column8]]), namespace_raw[[#This Row],[Column8]],"")</f>
        <v/>
      </c>
      <c r="H891" s="123" t="str">
        <f>IF(ISNUMBER(namespace_raw[[#This Row],[Column9]]), namespace_raw[[#This Row],[Column9]]/1048576,"")</f>
        <v/>
      </c>
      <c r="I891" s="124" t="str">
        <f>IF(ISNUMBER(namespace_raw[[#This Row],[Column8]]),MAX(G891, M891, O891, $I$2,IF(Q891&lt;&gt;"",VALUE(Q891),0)), "")</f>
        <v/>
      </c>
      <c r="J891" s="125" t="str">
        <f>IF(ISNUMBER(namespace_raw[[#This Row],[Column9]]),MAX(H891, N891, P891, $J$2,IF(R891&lt;&gt;"",VALUE(R891),0)),"")</f>
        <v/>
      </c>
      <c r="K891" s="166" t="str">
        <f>IF(ISNUMBER(namespace_raw[[#This Row],[Column12]]), namespace_raw[[#This Row],[Column12]],"")</f>
        <v/>
      </c>
      <c r="L891" s="167" t="str">
        <f>IF(ISNUMBER(namespace_raw[[#This Row],[Column13]]), namespace_raw[[#This Row],[Column13]]/1048576,"")</f>
        <v/>
      </c>
      <c r="M891" s="168" t="str">
        <f>IF(ISNUMBER(namespace_raw[[#This Row],[Column10]]), (namespace_raw[[#This Row],[Column10]]*(1+$M$2)),"")</f>
        <v/>
      </c>
      <c r="N891" s="167" t="str">
        <f>IF(ISNUMBER(namespace_raw[[#This Row],[Column11]]), (namespace_raw[[#This Row],[Column11]]*(1+$N$2))/1048576,"")</f>
        <v/>
      </c>
      <c r="O891" s="169" t="str">
        <f>IF(ISNUMBER(namespace_raw[[#This Row],[Column8]]), (E891  * $O$2),"")</f>
        <v/>
      </c>
      <c r="P891" s="170" t="str">
        <f>IF(ISNUMBER(namespace_raw[[#This Row],[Column8]]), (F891  * $P$2),"")</f>
        <v/>
      </c>
    </row>
    <row r="892" spans="1:16" ht="15" customHeight="1" x14ac:dyDescent="0.25">
      <c r="A892" s="32" t="str">
        <f>IF(ISNONTEXT(namespace_raw[[#This Row],[Column1]]), "", namespace_raw[[#This Row],[Column1]])</f>
        <v/>
      </c>
      <c r="B892" s="33" t="str">
        <f>IF(ISNONTEXT(namespace_raw[[#This Row],[Column2]]), "", namespace_raw[[#This Row],[Column2]])</f>
        <v/>
      </c>
      <c r="C892" s="94" t="str">
        <f>IF(ISNUMBER(namespace_raw[[#This Row],[Column4]]), namespace_raw[[#This Row],[Column4]], "")</f>
        <v/>
      </c>
      <c r="D892" s="95" t="str">
        <f>IF(ISNUMBER(namespace_raw[[#This Row],[Column5]]), namespace_raw[[#This Row],[Column5]]/1048576, "")</f>
        <v/>
      </c>
      <c r="E892" s="95" t="str">
        <f>IF(ISNUMBER(namespace_raw[[#This Row],[Column6]]), namespace_raw[[#This Row],[Column6]],"")</f>
        <v/>
      </c>
      <c r="F892" s="96" t="str">
        <f>IF(ISNUMBER(namespace_raw[[#This Row],[Column7]]), namespace_raw[[#This Row],[Column7]]/1048576,"")</f>
        <v/>
      </c>
      <c r="G892" s="122" t="str">
        <f>IF(ISNUMBER(namespace_raw[[#This Row],[Column8]]), namespace_raw[[#This Row],[Column8]],"")</f>
        <v/>
      </c>
      <c r="H892" s="123" t="str">
        <f>IF(ISNUMBER(namespace_raw[[#This Row],[Column9]]), namespace_raw[[#This Row],[Column9]]/1048576,"")</f>
        <v/>
      </c>
      <c r="I892" s="124" t="str">
        <f>IF(ISNUMBER(namespace_raw[[#This Row],[Column8]]),MAX(G892, M892, O892, $I$2,IF(Q892&lt;&gt;"",VALUE(Q892),0)), "")</f>
        <v/>
      </c>
      <c r="J892" s="125" t="str">
        <f>IF(ISNUMBER(namespace_raw[[#This Row],[Column9]]),MAX(H892, N892, P892, $J$2,IF(R892&lt;&gt;"",VALUE(R892),0)),"")</f>
        <v/>
      </c>
      <c r="K892" s="166" t="str">
        <f>IF(ISNUMBER(namespace_raw[[#This Row],[Column12]]), namespace_raw[[#This Row],[Column12]],"")</f>
        <v/>
      </c>
      <c r="L892" s="167" t="str">
        <f>IF(ISNUMBER(namespace_raw[[#This Row],[Column13]]), namespace_raw[[#This Row],[Column13]]/1048576,"")</f>
        <v/>
      </c>
      <c r="M892" s="168" t="str">
        <f>IF(ISNUMBER(namespace_raw[[#This Row],[Column10]]), (namespace_raw[[#This Row],[Column10]]*(1+$M$2)),"")</f>
        <v/>
      </c>
      <c r="N892" s="167" t="str">
        <f>IF(ISNUMBER(namespace_raw[[#This Row],[Column11]]), (namespace_raw[[#This Row],[Column11]]*(1+$N$2))/1048576,"")</f>
        <v/>
      </c>
      <c r="O892" s="169" t="str">
        <f>IF(ISNUMBER(namespace_raw[[#This Row],[Column8]]), (E892  * $O$2),"")</f>
        <v/>
      </c>
      <c r="P892" s="170" t="str">
        <f>IF(ISNUMBER(namespace_raw[[#This Row],[Column8]]), (F892  * $P$2),"")</f>
        <v/>
      </c>
    </row>
    <row r="893" spans="1:16" ht="15" customHeight="1" x14ac:dyDescent="0.25">
      <c r="A893" s="32" t="str">
        <f>IF(ISNONTEXT(namespace_raw[[#This Row],[Column1]]), "", namespace_raw[[#This Row],[Column1]])</f>
        <v/>
      </c>
      <c r="B893" s="33" t="str">
        <f>IF(ISNONTEXT(namespace_raw[[#This Row],[Column2]]), "", namespace_raw[[#This Row],[Column2]])</f>
        <v/>
      </c>
      <c r="C893" s="94" t="str">
        <f>IF(ISNUMBER(namespace_raw[[#This Row],[Column4]]), namespace_raw[[#This Row],[Column4]], "")</f>
        <v/>
      </c>
      <c r="D893" s="95" t="str">
        <f>IF(ISNUMBER(namespace_raw[[#This Row],[Column5]]), namespace_raw[[#This Row],[Column5]]/1048576, "")</f>
        <v/>
      </c>
      <c r="E893" s="95" t="str">
        <f>IF(ISNUMBER(namespace_raw[[#This Row],[Column6]]), namespace_raw[[#This Row],[Column6]],"")</f>
        <v/>
      </c>
      <c r="F893" s="96" t="str">
        <f>IF(ISNUMBER(namespace_raw[[#This Row],[Column7]]), namespace_raw[[#This Row],[Column7]]/1048576,"")</f>
        <v/>
      </c>
      <c r="G893" s="122" t="str">
        <f>IF(ISNUMBER(namespace_raw[[#This Row],[Column8]]), namespace_raw[[#This Row],[Column8]],"")</f>
        <v/>
      </c>
      <c r="H893" s="123" t="str">
        <f>IF(ISNUMBER(namespace_raw[[#This Row],[Column9]]), namespace_raw[[#This Row],[Column9]]/1048576,"")</f>
        <v/>
      </c>
      <c r="I893" s="124" t="str">
        <f>IF(ISNUMBER(namespace_raw[[#This Row],[Column8]]),MAX(G893, M893, O893, $I$2,IF(Q893&lt;&gt;"",VALUE(Q893),0)), "")</f>
        <v/>
      </c>
      <c r="J893" s="125" t="str">
        <f>IF(ISNUMBER(namespace_raw[[#This Row],[Column9]]),MAX(H893, N893, P893, $J$2,IF(R893&lt;&gt;"",VALUE(R893),0)),"")</f>
        <v/>
      </c>
      <c r="K893" s="166" t="str">
        <f>IF(ISNUMBER(namespace_raw[[#This Row],[Column12]]), namespace_raw[[#This Row],[Column12]],"")</f>
        <v/>
      </c>
      <c r="L893" s="167" t="str">
        <f>IF(ISNUMBER(namespace_raw[[#This Row],[Column13]]), namespace_raw[[#This Row],[Column13]]/1048576,"")</f>
        <v/>
      </c>
      <c r="M893" s="168" t="str">
        <f>IF(ISNUMBER(namespace_raw[[#This Row],[Column10]]), (namespace_raw[[#This Row],[Column10]]*(1+$M$2)),"")</f>
        <v/>
      </c>
      <c r="N893" s="167" t="str">
        <f>IF(ISNUMBER(namespace_raw[[#This Row],[Column11]]), (namespace_raw[[#This Row],[Column11]]*(1+$N$2))/1048576,"")</f>
        <v/>
      </c>
      <c r="O893" s="169" t="str">
        <f>IF(ISNUMBER(namespace_raw[[#This Row],[Column8]]), (E893  * $O$2),"")</f>
        <v/>
      </c>
      <c r="P893" s="170" t="str">
        <f>IF(ISNUMBER(namespace_raw[[#This Row],[Column8]]), (F893  * $P$2),"")</f>
        <v/>
      </c>
    </row>
    <row r="894" spans="1:16" ht="15" customHeight="1" x14ac:dyDescent="0.25">
      <c r="A894" s="32" t="str">
        <f>IF(ISNONTEXT(namespace_raw[[#This Row],[Column1]]), "", namespace_raw[[#This Row],[Column1]])</f>
        <v/>
      </c>
      <c r="B894" s="33" t="str">
        <f>IF(ISNONTEXT(namespace_raw[[#This Row],[Column2]]), "", namespace_raw[[#This Row],[Column2]])</f>
        <v/>
      </c>
      <c r="C894" s="94" t="str">
        <f>IF(ISNUMBER(namespace_raw[[#This Row],[Column4]]), namespace_raw[[#This Row],[Column4]], "")</f>
        <v/>
      </c>
      <c r="D894" s="95" t="str">
        <f>IF(ISNUMBER(namespace_raw[[#This Row],[Column5]]), namespace_raw[[#This Row],[Column5]]/1048576, "")</f>
        <v/>
      </c>
      <c r="E894" s="95" t="str">
        <f>IF(ISNUMBER(namespace_raw[[#This Row],[Column6]]), namespace_raw[[#This Row],[Column6]],"")</f>
        <v/>
      </c>
      <c r="F894" s="96" t="str">
        <f>IF(ISNUMBER(namespace_raw[[#This Row],[Column7]]), namespace_raw[[#This Row],[Column7]]/1048576,"")</f>
        <v/>
      </c>
      <c r="G894" s="122" t="str">
        <f>IF(ISNUMBER(namespace_raw[[#This Row],[Column8]]), namespace_raw[[#This Row],[Column8]],"")</f>
        <v/>
      </c>
      <c r="H894" s="123" t="str">
        <f>IF(ISNUMBER(namespace_raw[[#This Row],[Column9]]), namespace_raw[[#This Row],[Column9]]/1048576,"")</f>
        <v/>
      </c>
      <c r="I894" s="124" t="str">
        <f>IF(ISNUMBER(namespace_raw[[#This Row],[Column8]]),MAX(G894, M894, O894, $I$2,IF(Q894&lt;&gt;"",VALUE(Q894),0)), "")</f>
        <v/>
      </c>
      <c r="J894" s="125" t="str">
        <f>IF(ISNUMBER(namespace_raw[[#This Row],[Column9]]),MAX(H894, N894, P894, $J$2,IF(R894&lt;&gt;"",VALUE(R894),0)),"")</f>
        <v/>
      </c>
      <c r="K894" s="166" t="str">
        <f>IF(ISNUMBER(namespace_raw[[#This Row],[Column12]]), namespace_raw[[#This Row],[Column12]],"")</f>
        <v/>
      </c>
      <c r="L894" s="167" t="str">
        <f>IF(ISNUMBER(namespace_raw[[#This Row],[Column13]]), namespace_raw[[#This Row],[Column13]]/1048576,"")</f>
        <v/>
      </c>
      <c r="M894" s="168" t="str">
        <f>IF(ISNUMBER(namespace_raw[[#This Row],[Column10]]), (namespace_raw[[#This Row],[Column10]]*(1+$M$2)),"")</f>
        <v/>
      </c>
      <c r="N894" s="167" t="str">
        <f>IF(ISNUMBER(namespace_raw[[#This Row],[Column11]]), (namespace_raw[[#This Row],[Column11]]*(1+$N$2))/1048576,"")</f>
        <v/>
      </c>
      <c r="O894" s="169" t="str">
        <f>IF(ISNUMBER(namespace_raw[[#This Row],[Column8]]), (E894  * $O$2),"")</f>
        <v/>
      </c>
      <c r="P894" s="170" t="str">
        <f>IF(ISNUMBER(namespace_raw[[#This Row],[Column8]]), (F894  * $P$2),"")</f>
        <v/>
      </c>
    </row>
    <row r="895" spans="1:16" ht="15" customHeight="1" x14ac:dyDescent="0.25">
      <c r="A895" s="32" t="str">
        <f>IF(ISNONTEXT(namespace_raw[[#This Row],[Column1]]), "", namespace_raw[[#This Row],[Column1]])</f>
        <v/>
      </c>
      <c r="B895" s="33" t="str">
        <f>IF(ISNONTEXT(namespace_raw[[#This Row],[Column2]]), "", namespace_raw[[#This Row],[Column2]])</f>
        <v/>
      </c>
      <c r="C895" s="94" t="str">
        <f>IF(ISNUMBER(namespace_raw[[#This Row],[Column4]]), namespace_raw[[#This Row],[Column4]], "")</f>
        <v/>
      </c>
      <c r="D895" s="95" t="str">
        <f>IF(ISNUMBER(namespace_raw[[#This Row],[Column5]]), namespace_raw[[#This Row],[Column5]]/1048576, "")</f>
        <v/>
      </c>
      <c r="E895" s="95" t="str">
        <f>IF(ISNUMBER(namespace_raw[[#This Row],[Column6]]), namespace_raw[[#This Row],[Column6]],"")</f>
        <v/>
      </c>
      <c r="F895" s="96" t="str">
        <f>IF(ISNUMBER(namespace_raw[[#This Row],[Column7]]), namespace_raw[[#This Row],[Column7]]/1048576,"")</f>
        <v/>
      </c>
      <c r="G895" s="122" t="str">
        <f>IF(ISNUMBER(namespace_raw[[#This Row],[Column8]]), namespace_raw[[#This Row],[Column8]],"")</f>
        <v/>
      </c>
      <c r="H895" s="123" t="str">
        <f>IF(ISNUMBER(namespace_raw[[#This Row],[Column9]]), namespace_raw[[#This Row],[Column9]]/1048576,"")</f>
        <v/>
      </c>
      <c r="I895" s="124" t="str">
        <f>IF(ISNUMBER(namespace_raw[[#This Row],[Column8]]),MAX(G895, M895, O895, $I$2,IF(Q895&lt;&gt;"",VALUE(Q895),0)), "")</f>
        <v/>
      </c>
      <c r="J895" s="125" t="str">
        <f>IF(ISNUMBER(namespace_raw[[#This Row],[Column9]]),MAX(H895, N895, P895, $J$2,IF(R895&lt;&gt;"",VALUE(R895),0)),"")</f>
        <v/>
      </c>
      <c r="K895" s="166" t="str">
        <f>IF(ISNUMBER(namespace_raw[[#This Row],[Column12]]), namespace_raw[[#This Row],[Column12]],"")</f>
        <v/>
      </c>
      <c r="L895" s="167" t="str">
        <f>IF(ISNUMBER(namespace_raw[[#This Row],[Column13]]), namespace_raw[[#This Row],[Column13]]/1048576,"")</f>
        <v/>
      </c>
      <c r="M895" s="168" t="str">
        <f>IF(ISNUMBER(namespace_raw[[#This Row],[Column10]]), (namespace_raw[[#This Row],[Column10]]*(1+$M$2)),"")</f>
        <v/>
      </c>
      <c r="N895" s="167" t="str">
        <f>IF(ISNUMBER(namespace_raw[[#This Row],[Column11]]), (namespace_raw[[#This Row],[Column11]]*(1+$N$2))/1048576,"")</f>
        <v/>
      </c>
      <c r="O895" s="169" t="str">
        <f>IF(ISNUMBER(namespace_raw[[#This Row],[Column8]]), (E895  * $O$2),"")</f>
        <v/>
      </c>
      <c r="P895" s="170" t="str">
        <f>IF(ISNUMBER(namespace_raw[[#This Row],[Column8]]), (F895  * $P$2),"")</f>
        <v/>
      </c>
    </row>
    <row r="896" spans="1:16" ht="15" customHeight="1" x14ac:dyDescent="0.25">
      <c r="A896" s="32" t="str">
        <f>IF(ISNONTEXT(namespace_raw[[#This Row],[Column1]]), "", namespace_raw[[#This Row],[Column1]])</f>
        <v/>
      </c>
      <c r="B896" s="33" t="str">
        <f>IF(ISNONTEXT(namespace_raw[[#This Row],[Column2]]), "", namespace_raw[[#This Row],[Column2]])</f>
        <v/>
      </c>
      <c r="C896" s="94" t="str">
        <f>IF(ISNUMBER(namespace_raw[[#This Row],[Column4]]), namespace_raw[[#This Row],[Column4]], "")</f>
        <v/>
      </c>
      <c r="D896" s="95" t="str">
        <f>IF(ISNUMBER(namespace_raw[[#This Row],[Column5]]), namespace_raw[[#This Row],[Column5]]/1048576, "")</f>
        <v/>
      </c>
      <c r="E896" s="95" t="str">
        <f>IF(ISNUMBER(namespace_raw[[#This Row],[Column6]]), namespace_raw[[#This Row],[Column6]],"")</f>
        <v/>
      </c>
      <c r="F896" s="96" t="str">
        <f>IF(ISNUMBER(namespace_raw[[#This Row],[Column7]]), namespace_raw[[#This Row],[Column7]]/1048576,"")</f>
        <v/>
      </c>
      <c r="G896" s="122" t="str">
        <f>IF(ISNUMBER(namespace_raw[[#This Row],[Column8]]), namespace_raw[[#This Row],[Column8]],"")</f>
        <v/>
      </c>
      <c r="H896" s="123" t="str">
        <f>IF(ISNUMBER(namespace_raw[[#This Row],[Column9]]), namespace_raw[[#This Row],[Column9]]/1048576,"")</f>
        <v/>
      </c>
      <c r="I896" s="124" t="str">
        <f>IF(ISNUMBER(namespace_raw[[#This Row],[Column8]]),MAX(G896, M896, O896, $I$2,IF(Q896&lt;&gt;"",VALUE(Q896),0)), "")</f>
        <v/>
      </c>
      <c r="J896" s="125" t="str">
        <f>IF(ISNUMBER(namespace_raw[[#This Row],[Column9]]),MAX(H896, N896, P896, $J$2,IF(R896&lt;&gt;"",VALUE(R896),0)),"")</f>
        <v/>
      </c>
      <c r="K896" s="166" t="str">
        <f>IF(ISNUMBER(namespace_raw[[#This Row],[Column12]]), namespace_raw[[#This Row],[Column12]],"")</f>
        <v/>
      </c>
      <c r="L896" s="167" t="str">
        <f>IF(ISNUMBER(namespace_raw[[#This Row],[Column13]]), namespace_raw[[#This Row],[Column13]]/1048576,"")</f>
        <v/>
      </c>
      <c r="M896" s="168" t="str">
        <f>IF(ISNUMBER(namespace_raw[[#This Row],[Column10]]), (namespace_raw[[#This Row],[Column10]]*(1+$M$2)),"")</f>
        <v/>
      </c>
      <c r="N896" s="167" t="str">
        <f>IF(ISNUMBER(namespace_raw[[#This Row],[Column11]]), (namespace_raw[[#This Row],[Column11]]*(1+$N$2))/1048576,"")</f>
        <v/>
      </c>
      <c r="O896" s="169" t="str">
        <f>IF(ISNUMBER(namespace_raw[[#This Row],[Column8]]), (E896  * $O$2),"")</f>
        <v/>
      </c>
      <c r="P896" s="170" t="str">
        <f>IF(ISNUMBER(namespace_raw[[#This Row],[Column8]]), (F896  * $P$2),"")</f>
        <v/>
      </c>
    </row>
    <row r="897" spans="1:16" ht="15" customHeight="1" x14ac:dyDescent="0.25">
      <c r="A897" s="32" t="str">
        <f>IF(ISNONTEXT(namespace_raw[[#This Row],[Column1]]), "", namespace_raw[[#This Row],[Column1]])</f>
        <v/>
      </c>
      <c r="B897" s="33" t="str">
        <f>IF(ISNONTEXT(namespace_raw[[#This Row],[Column2]]), "", namespace_raw[[#This Row],[Column2]])</f>
        <v/>
      </c>
      <c r="C897" s="94" t="str">
        <f>IF(ISNUMBER(namespace_raw[[#This Row],[Column4]]), namespace_raw[[#This Row],[Column4]], "")</f>
        <v/>
      </c>
      <c r="D897" s="95" t="str">
        <f>IF(ISNUMBER(namespace_raw[[#This Row],[Column5]]), namespace_raw[[#This Row],[Column5]]/1048576, "")</f>
        <v/>
      </c>
      <c r="E897" s="95" t="str">
        <f>IF(ISNUMBER(namespace_raw[[#This Row],[Column6]]), namespace_raw[[#This Row],[Column6]],"")</f>
        <v/>
      </c>
      <c r="F897" s="96" t="str">
        <f>IF(ISNUMBER(namespace_raw[[#This Row],[Column7]]), namespace_raw[[#This Row],[Column7]]/1048576,"")</f>
        <v/>
      </c>
      <c r="G897" s="122" t="str">
        <f>IF(ISNUMBER(namespace_raw[[#This Row],[Column8]]), namespace_raw[[#This Row],[Column8]],"")</f>
        <v/>
      </c>
      <c r="H897" s="123" t="str">
        <f>IF(ISNUMBER(namespace_raw[[#This Row],[Column9]]), namespace_raw[[#This Row],[Column9]]/1048576,"")</f>
        <v/>
      </c>
      <c r="I897" s="124" t="str">
        <f>IF(ISNUMBER(namespace_raw[[#This Row],[Column8]]),MAX(G897, M897, O897, $I$2,IF(Q897&lt;&gt;"",VALUE(Q897),0)), "")</f>
        <v/>
      </c>
      <c r="J897" s="125" t="str">
        <f>IF(ISNUMBER(namespace_raw[[#This Row],[Column9]]),MAX(H897, N897, P897, $J$2,IF(R897&lt;&gt;"",VALUE(R897),0)),"")</f>
        <v/>
      </c>
      <c r="K897" s="166" t="str">
        <f>IF(ISNUMBER(namespace_raw[[#This Row],[Column12]]), namespace_raw[[#This Row],[Column12]],"")</f>
        <v/>
      </c>
      <c r="L897" s="167" t="str">
        <f>IF(ISNUMBER(namespace_raw[[#This Row],[Column13]]), namespace_raw[[#This Row],[Column13]]/1048576,"")</f>
        <v/>
      </c>
      <c r="M897" s="168" t="str">
        <f>IF(ISNUMBER(namespace_raw[[#This Row],[Column10]]), (namespace_raw[[#This Row],[Column10]]*(1+$M$2)),"")</f>
        <v/>
      </c>
      <c r="N897" s="167" t="str">
        <f>IF(ISNUMBER(namespace_raw[[#This Row],[Column11]]), (namespace_raw[[#This Row],[Column11]]*(1+$N$2))/1048576,"")</f>
        <v/>
      </c>
      <c r="O897" s="169" t="str">
        <f>IF(ISNUMBER(namespace_raw[[#This Row],[Column8]]), (E897  * $O$2),"")</f>
        <v/>
      </c>
      <c r="P897" s="170" t="str">
        <f>IF(ISNUMBER(namespace_raw[[#This Row],[Column8]]), (F897  * $P$2),"")</f>
        <v/>
      </c>
    </row>
    <row r="898" spans="1:16" ht="15" customHeight="1" x14ac:dyDescent="0.25">
      <c r="A898" s="32" t="str">
        <f>IF(ISNONTEXT(namespace_raw[[#This Row],[Column1]]), "", namespace_raw[[#This Row],[Column1]])</f>
        <v/>
      </c>
      <c r="B898" s="33" t="str">
        <f>IF(ISNONTEXT(namespace_raw[[#This Row],[Column2]]), "", namespace_raw[[#This Row],[Column2]])</f>
        <v/>
      </c>
      <c r="C898" s="94" t="str">
        <f>IF(ISNUMBER(namespace_raw[[#This Row],[Column4]]), namespace_raw[[#This Row],[Column4]], "")</f>
        <v/>
      </c>
      <c r="D898" s="95" t="str">
        <f>IF(ISNUMBER(namespace_raw[[#This Row],[Column5]]), namespace_raw[[#This Row],[Column5]]/1048576, "")</f>
        <v/>
      </c>
      <c r="E898" s="95" t="str">
        <f>IF(ISNUMBER(namespace_raw[[#This Row],[Column6]]), namespace_raw[[#This Row],[Column6]],"")</f>
        <v/>
      </c>
      <c r="F898" s="96" t="str">
        <f>IF(ISNUMBER(namespace_raw[[#This Row],[Column7]]), namespace_raw[[#This Row],[Column7]]/1048576,"")</f>
        <v/>
      </c>
      <c r="G898" s="122" t="str">
        <f>IF(ISNUMBER(namespace_raw[[#This Row],[Column8]]), namespace_raw[[#This Row],[Column8]],"")</f>
        <v/>
      </c>
      <c r="H898" s="123" t="str">
        <f>IF(ISNUMBER(namespace_raw[[#This Row],[Column9]]), namespace_raw[[#This Row],[Column9]]/1048576,"")</f>
        <v/>
      </c>
      <c r="I898" s="124" t="str">
        <f>IF(ISNUMBER(namespace_raw[[#This Row],[Column8]]),MAX(G898, M898, O898, $I$2,IF(Q898&lt;&gt;"",VALUE(Q898),0)), "")</f>
        <v/>
      </c>
      <c r="J898" s="125" t="str">
        <f>IF(ISNUMBER(namespace_raw[[#This Row],[Column9]]),MAX(H898, N898, P898, $J$2,IF(R898&lt;&gt;"",VALUE(R898),0)),"")</f>
        <v/>
      </c>
      <c r="K898" s="166" t="str">
        <f>IF(ISNUMBER(namespace_raw[[#This Row],[Column12]]), namespace_raw[[#This Row],[Column12]],"")</f>
        <v/>
      </c>
      <c r="L898" s="167" t="str">
        <f>IF(ISNUMBER(namespace_raw[[#This Row],[Column13]]), namespace_raw[[#This Row],[Column13]]/1048576,"")</f>
        <v/>
      </c>
      <c r="M898" s="168" t="str">
        <f>IF(ISNUMBER(namespace_raw[[#This Row],[Column10]]), (namespace_raw[[#This Row],[Column10]]*(1+$M$2)),"")</f>
        <v/>
      </c>
      <c r="N898" s="167" t="str">
        <f>IF(ISNUMBER(namespace_raw[[#This Row],[Column11]]), (namespace_raw[[#This Row],[Column11]]*(1+$N$2))/1048576,"")</f>
        <v/>
      </c>
      <c r="O898" s="169" t="str">
        <f>IF(ISNUMBER(namespace_raw[[#This Row],[Column8]]), (E898  * $O$2),"")</f>
        <v/>
      </c>
      <c r="P898" s="170" t="str">
        <f>IF(ISNUMBER(namespace_raw[[#This Row],[Column8]]), (F898  * $P$2),"")</f>
        <v/>
      </c>
    </row>
    <row r="899" spans="1:16" ht="15" customHeight="1" x14ac:dyDescent="0.25">
      <c r="A899" s="32" t="str">
        <f>IF(ISNONTEXT(namespace_raw[[#This Row],[Column1]]), "", namespace_raw[[#This Row],[Column1]])</f>
        <v/>
      </c>
      <c r="B899" s="33" t="str">
        <f>IF(ISNONTEXT(namespace_raw[[#This Row],[Column2]]), "", namespace_raw[[#This Row],[Column2]])</f>
        <v/>
      </c>
      <c r="C899" s="94" t="str">
        <f>IF(ISNUMBER(namespace_raw[[#This Row],[Column4]]), namespace_raw[[#This Row],[Column4]], "")</f>
        <v/>
      </c>
      <c r="D899" s="95" t="str">
        <f>IF(ISNUMBER(namespace_raw[[#This Row],[Column5]]), namespace_raw[[#This Row],[Column5]]/1048576, "")</f>
        <v/>
      </c>
      <c r="E899" s="95" t="str">
        <f>IF(ISNUMBER(namespace_raw[[#This Row],[Column6]]), namespace_raw[[#This Row],[Column6]],"")</f>
        <v/>
      </c>
      <c r="F899" s="96" t="str">
        <f>IF(ISNUMBER(namespace_raw[[#This Row],[Column7]]), namespace_raw[[#This Row],[Column7]]/1048576,"")</f>
        <v/>
      </c>
      <c r="G899" s="122" t="str">
        <f>IF(ISNUMBER(namespace_raw[[#This Row],[Column8]]), namespace_raw[[#This Row],[Column8]],"")</f>
        <v/>
      </c>
      <c r="H899" s="123" t="str">
        <f>IF(ISNUMBER(namespace_raw[[#This Row],[Column9]]), namespace_raw[[#This Row],[Column9]]/1048576,"")</f>
        <v/>
      </c>
      <c r="I899" s="124" t="str">
        <f>IF(ISNUMBER(namespace_raw[[#This Row],[Column8]]),MAX(G899, M899, O899, $I$2,IF(Q899&lt;&gt;"",VALUE(Q899),0)), "")</f>
        <v/>
      </c>
      <c r="J899" s="125" t="str">
        <f>IF(ISNUMBER(namespace_raw[[#This Row],[Column9]]),MAX(H899, N899, P899, $J$2,IF(R899&lt;&gt;"",VALUE(R899),0)),"")</f>
        <v/>
      </c>
      <c r="K899" s="166" t="str">
        <f>IF(ISNUMBER(namespace_raw[[#This Row],[Column12]]), namespace_raw[[#This Row],[Column12]],"")</f>
        <v/>
      </c>
      <c r="L899" s="167" t="str">
        <f>IF(ISNUMBER(namespace_raw[[#This Row],[Column13]]), namespace_raw[[#This Row],[Column13]]/1048576,"")</f>
        <v/>
      </c>
      <c r="M899" s="168" t="str">
        <f>IF(ISNUMBER(namespace_raw[[#This Row],[Column10]]), (namespace_raw[[#This Row],[Column10]]*(1+$M$2)),"")</f>
        <v/>
      </c>
      <c r="N899" s="167" t="str">
        <f>IF(ISNUMBER(namespace_raw[[#This Row],[Column11]]), (namespace_raw[[#This Row],[Column11]]*(1+$N$2))/1048576,"")</f>
        <v/>
      </c>
      <c r="O899" s="169" t="str">
        <f>IF(ISNUMBER(namespace_raw[[#This Row],[Column8]]), (E899  * $O$2),"")</f>
        <v/>
      </c>
      <c r="P899" s="170" t="str">
        <f>IF(ISNUMBER(namespace_raw[[#This Row],[Column8]]), (F899  * $P$2),"")</f>
        <v/>
      </c>
    </row>
    <row r="900" spans="1:16" ht="15" customHeight="1" x14ac:dyDescent="0.25">
      <c r="A900" s="32" t="str">
        <f>IF(ISNONTEXT(namespace_raw[[#This Row],[Column1]]), "", namespace_raw[[#This Row],[Column1]])</f>
        <v/>
      </c>
      <c r="B900" s="33" t="str">
        <f>IF(ISNONTEXT(namespace_raw[[#This Row],[Column2]]), "", namespace_raw[[#This Row],[Column2]])</f>
        <v/>
      </c>
      <c r="C900" s="94" t="str">
        <f>IF(ISNUMBER(namespace_raw[[#This Row],[Column4]]), namespace_raw[[#This Row],[Column4]], "")</f>
        <v/>
      </c>
      <c r="D900" s="95" t="str">
        <f>IF(ISNUMBER(namespace_raw[[#This Row],[Column5]]), namespace_raw[[#This Row],[Column5]]/1048576, "")</f>
        <v/>
      </c>
      <c r="E900" s="95" t="str">
        <f>IF(ISNUMBER(namespace_raw[[#This Row],[Column6]]), namespace_raw[[#This Row],[Column6]],"")</f>
        <v/>
      </c>
      <c r="F900" s="96" t="str">
        <f>IF(ISNUMBER(namespace_raw[[#This Row],[Column7]]), namespace_raw[[#This Row],[Column7]]/1048576,"")</f>
        <v/>
      </c>
      <c r="G900" s="122" t="str">
        <f>IF(ISNUMBER(namespace_raw[[#This Row],[Column8]]), namespace_raw[[#This Row],[Column8]],"")</f>
        <v/>
      </c>
      <c r="H900" s="123" t="str">
        <f>IF(ISNUMBER(namespace_raw[[#This Row],[Column9]]), namespace_raw[[#This Row],[Column9]]/1048576,"")</f>
        <v/>
      </c>
      <c r="I900" s="124" t="str">
        <f>IF(ISNUMBER(namespace_raw[[#This Row],[Column8]]),MAX(G900, M900, O900, $I$2,IF(Q900&lt;&gt;"",VALUE(Q900),0)), "")</f>
        <v/>
      </c>
      <c r="J900" s="125" t="str">
        <f>IF(ISNUMBER(namespace_raw[[#This Row],[Column9]]),MAX(H900, N900, P900, $J$2,IF(R900&lt;&gt;"",VALUE(R900),0)),"")</f>
        <v/>
      </c>
      <c r="K900" s="166" t="str">
        <f>IF(ISNUMBER(namespace_raw[[#This Row],[Column12]]), namespace_raw[[#This Row],[Column12]],"")</f>
        <v/>
      </c>
      <c r="L900" s="167" t="str">
        <f>IF(ISNUMBER(namespace_raw[[#This Row],[Column13]]), namespace_raw[[#This Row],[Column13]]/1048576,"")</f>
        <v/>
      </c>
      <c r="M900" s="168" t="str">
        <f>IF(ISNUMBER(namespace_raw[[#This Row],[Column10]]), (namespace_raw[[#This Row],[Column10]]*(1+$M$2)),"")</f>
        <v/>
      </c>
      <c r="N900" s="167" t="str">
        <f>IF(ISNUMBER(namespace_raw[[#This Row],[Column11]]), (namespace_raw[[#This Row],[Column11]]*(1+$N$2))/1048576,"")</f>
        <v/>
      </c>
      <c r="O900" s="169" t="str">
        <f>IF(ISNUMBER(namespace_raw[[#This Row],[Column8]]), (E900  * $O$2),"")</f>
        <v/>
      </c>
      <c r="P900" s="170" t="str">
        <f>IF(ISNUMBER(namespace_raw[[#This Row],[Column8]]), (F900  * $P$2),"")</f>
        <v/>
      </c>
    </row>
    <row r="901" spans="1:16" ht="15" customHeight="1" x14ac:dyDescent="0.25">
      <c r="A901" s="32" t="str">
        <f>IF(ISNONTEXT(namespace_raw[[#This Row],[Column1]]), "", namespace_raw[[#This Row],[Column1]])</f>
        <v/>
      </c>
      <c r="B901" s="33" t="str">
        <f>IF(ISNONTEXT(namespace_raw[[#This Row],[Column2]]), "", namespace_raw[[#This Row],[Column2]])</f>
        <v/>
      </c>
      <c r="C901" s="94" t="str">
        <f>IF(ISNUMBER(namespace_raw[[#This Row],[Column4]]), namespace_raw[[#This Row],[Column4]], "")</f>
        <v/>
      </c>
      <c r="D901" s="95" t="str">
        <f>IF(ISNUMBER(namespace_raw[[#This Row],[Column5]]), namespace_raw[[#This Row],[Column5]]/1048576, "")</f>
        <v/>
      </c>
      <c r="E901" s="95" t="str">
        <f>IF(ISNUMBER(namespace_raw[[#This Row],[Column6]]), namespace_raw[[#This Row],[Column6]],"")</f>
        <v/>
      </c>
      <c r="F901" s="96" t="str">
        <f>IF(ISNUMBER(namespace_raw[[#This Row],[Column7]]), namespace_raw[[#This Row],[Column7]]/1048576,"")</f>
        <v/>
      </c>
      <c r="G901" s="122" t="str">
        <f>IF(ISNUMBER(namespace_raw[[#This Row],[Column8]]), namespace_raw[[#This Row],[Column8]],"")</f>
        <v/>
      </c>
      <c r="H901" s="123" t="str">
        <f>IF(ISNUMBER(namespace_raw[[#This Row],[Column9]]), namespace_raw[[#This Row],[Column9]]/1048576,"")</f>
        <v/>
      </c>
      <c r="I901" s="124" t="str">
        <f>IF(ISNUMBER(namespace_raw[[#This Row],[Column8]]),MAX(G901, M901, O901, $I$2,IF(Q901&lt;&gt;"",VALUE(Q901),0)), "")</f>
        <v/>
      </c>
      <c r="J901" s="125" t="str">
        <f>IF(ISNUMBER(namespace_raw[[#This Row],[Column9]]),MAX(H901, N901, P901, $J$2,IF(R901&lt;&gt;"",VALUE(R901),0)),"")</f>
        <v/>
      </c>
      <c r="K901" s="166" t="str">
        <f>IF(ISNUMBER(namespace_raw[[#This Row],[Column12]]), namespace_raw[[#This Row],[Column12]],"")</f>
        <v/>
      </c>
      <c r="L901" s="167" t="str">
        <f>IF(ISNUMBER(namespace_raw[[#This Row],[Column13]]), namespace_raw[[#This Row],[Column13]]/1048576,"")</f>
        <v/>
      </c>
      <c r="M901" s="168" t="str">
        <f>IF(ISNUMBER(namespace_raw[[#This Row],[Column10]]), (namespace_raw[[#This Row],[Column10]]*(1+$M$2)),"")</f>
        <v/>
      </c>
      <c r="N901" s="167" t="str">
        <f>IF(ISNUMBER(namespace_raw[[#This Row],[Column11]]), (namespace_raw[[#This Row],[Column11]]*(1+$N$2))/1048576,"")</f>
        <v/>
      </c>
      <c r="O901" s="169" t="str">
        <f>IF(ISNUMBER(namespace_raw[[#This Row],[Column8]]), (E901  * $O$2),"")</f>
        <v/>
      </c>
      <c r="P901" s="170" t="str">
        <f>IF(ISNUMBER(namespace_raw[[#This Row],[Column8]]), (F901  * $P$2),"")</f>
        <v/>
      </c>
    </row>
    <row r="902" spans="1:16" ht="15" customHeight="1" x14ac:dyDescent="0.25">
      <c r="A902" s="32" t="str">
        <f>IF(ISNONTEXT(namespace_raw[[#This Row],[Column1]]), "", namespace_raw[[#This Row],[Column1]])</f>
        <v/>
      </c>
      <c r="B902" s="33" t="str">
        <f>IF(ISNONTEXT(namespace_raw[[#This Row],[Column2]]), "", namespace_raw[[#This Row],[Column2]])</f>
        <v/>
      </c>
      <c r="C902" s="94" t="str">
        <f>IF(ISNUMBER(namespace_raw[[#This Row],[Column4]]), namespace_raw[[#This Row],[Column4]], "")</f>
        <v/>
      </c>
      <c r="D902" s="95" t="str">
        <f>IF(ISNUMBER(namespace_raw[[#This Row],[Column5]]), namespace_raw[[#This Row],[Column5]]/1048576, "")</f>
        <v/>
      </c>
      <c r="E902" s="95" t="str">
        <f>IF(ISNUMBER(namespace_raw[[#This Row],[Column6]]), namespace_raw[[#This Row],[Column6]],"")</f>
        <v/>
      </c>
      <c r="F902" s="96" t="str">
        <f>IF(ISNUMBER(namespace_raw[[#This Row],[Column7]]), namespace_raw[[#This Row],[Column7]]/1048576,"")</f>
        <v/>
      </c>
      <c r="G902" s="122" t="str">
        <f>IF(ISNUMBER(namespace_raw[[#This Row],[Column8]]), namespace_raw[[#This Row],[Column8]],"")</f>
        <v/>
      </c>
      <c r="H902" s="123" t="str">
        <f>IF(ISNUMBER(namespace_raw[[#This Row],[Column9]]), namespace_raw[[#This Row],[Column9]]/1048576,"")</f>
        <v/>
      </c>
      <c r="I902" s="124" t="str">
        <f>IF(ISNUMBER(namespace_raw[[#This Row],[Column8]]),MAX(G902, M902, O902, $I$2,IF(Q902&lt;&gt;"",VALUE(Q902),0)), "")</f>
        <v/>
      </c>
      <c r="J902" s="125" t="str">
        <f>IF(ISNUMBER(namespace_raw[[#This Row],[Column9]]),MAX(H902, N902, P902, $J$2,IF(R902&lt;&gt;"",VALUE(R902),0)),"")</f>
        <v/>
      </c>
      <c r="K902" s="166" t="str">
        <f>IF(ISNUMBER(namespace_raw[[#This Row],[Column12]]), namespace_raw[[#This Row],[Column12]],"")</f>
        <v/>
      </c>
      <c r="L902" s="167" t="str">
        <f>IF(ISNUMBER(namespace_raw[[#This Row],[Column13]]), namespace_raw[[#This Row],[Column13]]/1048576,"")</f>
        <v/>
      </c>
      <c r="M902" s="168" t="str">
        <f>IF(ISNUMBER(namespace_raw[[#This Row],[Column10]]), (namespace_raw[[#This Row],[Column10]]*(1+$M$2)),"")</f>
        <v/>
      </c>
      <c r="N902" s="167" t="str">
        <f>IF(ISNUMBER(namespace_raw[[#This Row],[Column11]]), (namespace_raw[[#This Row],[Column11]]*(1+$N$2))/1048576,"")</f>
        <v/>
      </c>
      <c r="O902" s="169" t="str">
        <f>IF(ISNUMBER(namespace_raw[[#This Row],[Column8]]), (E902  * $O$2),"")</f>
        <v/>
      </c>
      <c r="P902" s="170" t="str">
        <f>IF(ISNUMBER(namespace_raw[[#This Row],[Column8]]), (F902  * $P$2),"")</f>
        <v/>
      </c>
    </row>
    <row r="903" spans="1:16" ht="15" customHeight="1" x14ac:dyDescent="0.25">
      <c r="A903" s="32" t="str">
        <f>IF(ISNONTEXT(namespace_raw[[#This Row],[Column1]]), "", namespace_raw[[#This Row],[Column1]])</f>
        <v/>
      </c>
      <c r="B903" s="33" t="str">
        <f>IF(ISNONTEXT(namespace_raw[[#This Row],[Column2]]), "", namespace_raw[[#This Row],[Column2]])</f>
        <v/>
      </c>
      <c r="C903" s="94" t="str">
        <f>IF(ISNUMBER(namespace_raw[[#This Row],[Column4]]), namespace_raw[[#This Row],[Column4]], "")</f>
        <v/>
      </c>
      <c r="D903" s="95" t="str">
        <f>IF(ISNUMBER(namespace_raw[[#This Row],[Column5]]), namespace_raw[[#This Row],[Column5]]/1048576, "")</f>
        <v/>
      </c>
      <c r="E903" s="95" t="str">
        <f>IF(ISNUMBER(namespace_raw[[#This Row],[Column6]]), namespace_raw[[#This Row],[Column6]],"")</f>
        <v/>
      </c>
      <c r="F903" s="96" t="str">
        <f>IF(ISNUMBER(namespace_raw[[#This Row],[Column7]]), namespace_raw[[#This Row],[Column7]]/1048576,"")</f>
        <v/>
      </c>
      <c r="G903" s="122" t="str">
        <f>IF(ISNUMBER(namespace_raw[[#This Row],[Column8]]), namespace_raw[[#This Row],[Column8]],"")</f>
        <v/>
      </c>
      <c r="H903" s="123" t="str">
        <f>IF(ISNUMBER(namespace_raw[[#This Row],[Column9]]), namespace_raw[[#This Row],[Column9]]/1048576,"")</f>
        <v/>
      </c>
      <c r="I903" s="124" t="str">
        <f>IF(ISNUMBER(namespace_raw[[#This Row],[Column8]]),MAX(G903, M903, O903, $I$2,IF(Q903&lt;&gt;"",VALUE(Q903),0)), "")</f>
        <v/>
      </c>
      <c r="J903" s="125" t="str">
        <f>IF(ISNUMBER(namespace_raw[[#This Row],[Column9]]),MAX(H903, N903, P903, $J$2,IF(R903&lt;&gt;"",VALUE(R903),0)),"")</f>
        <v/>
      </c>
      <c r="K903" s="166" t="str">
        <f>IF(ISNUMBER(namespace_raw[[#This Row],[Column12]]), namespace_raw[[#This Row],[Column12]],"")</f>
        <v/>
      </c>
      <c r="L903" s="167" t="str">
        <f>IF(ISNUMBER(namespace_raw[[#This Row],[Column13]]), namespace_raw[[#This Row],[Column13]]/1048576,"")</f>
        <v/>
      </c>
      <c r="M903" s="168" t="str">
        <f>IF(ISNUMBER(namespace_raw[[#This Row],[Column10]]), (namespace_raw[[#This Row],[Column10]]*(1+$M$2)),"")</f>
        <v/>
      </c>
      <c r="N903" s="167" t="str">
        <f>IF(ISNUMBER(namespace_raw[[#This Row],[Column11]]), (namespace_raw[[#This Row],[Column11]]*(1+$N$2))/1048576,"")</f>
        <v/>
      </c>
      <c r="O903" s="169" t="str">
        <f>IF(ISNUMBER(namespace_raw[[#This Row],[Column8]]), (E903  * $O$2),"")</f>
        <v/>
      </c>
      <c r="P903" s="170" t="str">
        <f>IF(ISNUMBER(namespace_raw[[#This Row],[Column8]]), (F903  * $P$2),"")</f>
        <v/>
      </c>
    </row>
    <row r="904" spans="1:16" ht="15" customHeight="1" x14ac:dyDescent="0.25">
      <c r="A904" s="32" t="str">
        <f>IF(ISNONTEXT(namespace_raw[[#This Row],[Column1]]), "", namespace_raw[[#This Row],[Column1]])</f>
        <v/>
      </c>
      <c r="B904" s="33" t="str">
        <f>IF(ISNONTEXT(namespace_raw[[#This Row],[Column2]]), "", namespace_raw[[#This Row],[Column2]])</f>
        <v/>
      </c>
      <c r="C904" s="94" t="str">
        <f>IF(ISNUMBER(namespace_raw[[#This Row],[Column4]]), namespace_raw[[#This Row],[Column4]], "")</f>
        <v/>
      </c>
      <c r="D904" s="95" t="str">
        <f>IF(ISNUMBER(namespace_raw[[#This Row],[Column5]]), namespace_raw[[#This Row],[Column5]]/1048576, "")</f>
        <v/>
      </c>
      <c r="E904" s="95" t="str">
        <f>IF(ISNUMBER(namespace_raw[[#This Row],[Column6]]), namespace_raw[[#This Row],[Column6]],"")</f>
        <v/>
      </c>
      <c r="F904" s="96" t="str">
        <f>IF(ISNUMBER(namespace_raw[[#This Row],[Column7]]), namespace_raw[[#This Row],[Column7]]/1048576,"")</f>
        <v/>
      </c>
      <c r="G904" s="122" t="str">
        <f>IF(ISNUMBER(namespace_raw[[#This Row],[Column8]]), namespace_raw[[#This Row],[Column8]],"")</f>
        <v/>
      </c>
      <c r="H904" s="123" t="str">
        <f>IF(ISNUMBER(namespace_raw[[#This Row],[Column9]]), namespace_raw[[#This Row],[Column9]]/1048576,"")</f>
        <v/>
      </c>
      <c r="I904" s="124" t="str">
        <f>IF(ISNUMBER(namespace_raw[[#This Row],[Column8]]),MAX(G904, M904, O904, $I$2,IF(Q904&lt;&gt;"",VALUE(Q904),0)), "")</f>
        <v/>
      </c>
      <c r="J904" s="125" t="str">
        <f>IF(ISNUMBER(namespace_raw[[#This Row],[Column9]]),MAX(H904, N904, P904, $J$2,IF(R904&lt;&gt;"",VALUE(R904),0)),"")</f>
        <v/>
      </c>
      <c r="K904" s="166" t="str">
        <f>IF(ISNUMBER(namespace_raw[[#This Row],[Column12]]), namespace_raw[[#This Row],[Column12]],"")</f>
        <v/>
      </c>
      <c r="L904" s="167" t="str">
        <f>IF(ISNUMBER(namespace_raw[[#This Row],[Column13]]), namespace_raw[[#This Row],[Column13]]/1048576,"")</f>
        <v/>
      </c>
      <c r="M904" s="168" t="str">
        <f>IF(ISNUMBER(namespace_raw[[#This Row],[Column10]]), (namespace_raw[[#This Row],[Column10]]*(1+$M$2)),"")</f>
        <v/>
      </c>
      <c r="N904" s="167" t="str">
        <f>IF(ISNUMBER(namespace_raw[[#This Row],[Column11]]), (namespace_raw[[#This Row],[Column11]]*(1+$N$2))/1048576,"")</f>
        <v/>
      </c>
      <c r="O904" s="169" t="str">
        <f>IF(ISNUMBER(namespace_raw[[#This Row],[Column8]]), (E904  * $O$2),"")</f>
        <v/>
      </c>
      <c r="P904" s="170" t="str">
        <f>IF(ISNUMBER(namespace_raw[[#This Row],[Column8]]), (F904  * $P$2),"")</f>
        <v/>
      </c>
    </row>
    <row r="905" spans="1:16" ht="15" customHeight="1" x14ac:dyDescent="0.25">
      <c r="A905" s="32" t="str">
        <f>IF(ISNONTEXT(namespace_raw[[#This Row],[Column1]]), "", namespace_raw[[#This Row],[Column1]])</f>
        <v/>
      </c>
      <c r="B905" s="33" t="str">
        <f>IF(ISNONTEXT(namespace_raw[[#This Row],[Column2]]), "", namespace_raw[[#This Row],[Column2]])</f>
        <v/>
      </c>
      <c r="C905" s="94" t="str">
        <f>IF(ISNUMBER(namespace_raw[[#This Row],[Column4]]), namespace_raw[[#This Row],[Column4]], "")</f>
        <v/>
      </c>
      <c r="D905" s="95" t="str">
        <f>IF(ISNUMBER(namespace_raw[[#This Row],[Column5]]), namespace_raw[[#This Row],[Column5]]/1048576, "")</f>
        <v/>
      </c>
      <c r="E905" s="95" t="str">
        <f>IF(ISNUMBER(namespace_raw[[#This Row],[Column6]]), namespace_raw[[#This Row],[Column6]],"")</f>
        <v/>
      </c>
      <c r="F905" s="96" t="str">
        <f>IF(ISNUMBER(namespace_raw[[#This Row],[Column7]]), namespace_raw[[#This Row],[Column7]]/1048576,"")</f>
        <v/>
      </c>
      <c r="G905" s="122" t="str">
        <f>IF(ISNUMBER(namespace_raw[[#This Row],[Column8]]), namespace_raw[[#This Row],[Column8]],"")</f>
        <v/>
      </c>
      <c r="H905" s="123" t="str">
        <f>IF(ISNUMBER(namespace_raw[[#This Row],[Column9]]), namespace_raw[[#This Row],[Column9]]/1048576,"")</f>
        <v/>
      </c>
      <c r="I905" s="124" t="str">
        <f>IF(ISNUMBER(namespace_raw[[#This Row],[Column8]]),MAX(G905, M905, O905, $I$2,IF(Q905&lt;&gt;"",VALUE(Q905),0)), "")</f>
        <v/>
      </c>
      <c r="J905" s="125" t="str">
        <f>IF(ISNUMBER(namespace_raw[[#This Row],[Column9]]),MAX(H905, N905, P905, $J$2,IF(R905&lt;&gt;"",VALUE(R905),0)),"")</f>
        <v/>
      </c>
      <c r="K905" s="166" t="str">
        <f>IF(ISNUMBER(namespace_raw[[#This Row],[Column12]]), namespace_raw[[#This Row],[Column12]],"")</f>
        <v/>
      </c>
      <c r="L905" s="167" t="str">
        <f>IF(ISNUMBER(namespace_raw[[#This Row],[Column13]]), namespace_raw[[#This Row],[Column13]]/1048576,"")</f>
        <v/>
      </c>
      <c r="M905" s="168" t="str">
        <f>IF(ISNUMBER(namespace_raw[[#This Row],[Column10]]), (namespace_raw[[#This Row],[Column10]]*(1+$M$2)),"")</f>
        <v/>
      </c>
      <c r="N905" s="167" t="str">
        <f>IF(ISNUMBER(namespace_raw[[#This Row],[Column11]]), (namespace_raw[[#This Row],[Column11]]*(1+$N$2))/1048576,"")</f>
        <v/>
      </c>
      <c r="O905" s="169" t="str">
        <f>IF(ISNUMBER(namespace_raw[[#This Row],[Column8]]), (E905  * $O$2),"")</f>
        <v/>
      </c>
      <c r="P905" s="170" t="str">
        <f>IF(ISNUMBER(namespace_raw[[#This Row],[Column8]]), (F905  * $P$2),"")</f>
        <v/>
      </c>
    </row>
    <row r="906" spans="1:16" ht="15" customHeight="1" x14ac:dyDescent="0.25">
      <c r="A906" s="32" t="str">
        <f>IF(ISNONTEXT(namespace_raw[[#This Row],[Column1]]), "", namespace_raw[[#This Row],[Column1]])</f>
        <v/>
      </c>
      <c r="B906" s="33" t="str">
        <f>IF(ISNONTEXT(namespace_raw[[#This Row],[Column2]]), "", namespace_raw[[#This Row],[Column2]])</f>
        <v/>
      </c>
      <c r="C906" s="94" t="str">
        <f>IF(ISNUMBER(namespace_raw[[#This Row],[Column4]]), namespace_raw[[#This Row],[Column4]], "")</f>
        <v/>
      </c>
      <c r="D906" s="95" t="str">
        <f>IF(ISNUMBER(namespace_raw[[#This Row],[Column5]]), namespace_raw[[#This Row],[Column5]]/1048576, "")</f>
        <v/>
      </c>
      <c r="E906" s="95" t="str">
        <f>IF(ISNUMBER(namespace_raw[[#This Row],[Column6]]), namespace_raw[[#This Row],[Column6]],"")</f>
        <v/>
      </c>
      <c r="F906" s="96" t="str">
        <f>IF(ISNUMBER(namespace_raw[[#This Row],[Column7]]), namespace_raw[[#This Row],[Column7]]/1048576,"")</f>
        <v/>
      </c>
      <c r="G906" s="122" t="str">
        <f>IF(ISNUMBER(namespace_raw[[#This Row],[Column8]]), namespace_raw[[#This Row],[Column8]],"")</f>
        <v/>
      </c>
      <c r="H906" s="123" t="str">
        <f>IF(ISNUMBER(namespace_raw[[#This Row],[Column9]]), namespace_raw[[#This Row],[Column9]]/1048576,"")</f>
        <v/>
      </c>
      <c r="I906" s="124" t="str">
        <f>IF(ISNUMBER(namespace_raw[[#This Row],[Column8]]),MAX(G906, M906, O906, $I$2,IF(Q906&lt;&gt;"",VALUE(Q906),0)), "")</f>
        <v/>
      </c>
      <c r="J906" s="125" t="str">
        <f>IF(ISNUMBER(namespace_raw[[#This Row],[Column9]]),MAX(H906, N906, P906, $J$2,IF(R906&lt;&gt;"",VALUE(R906),0)),"")</f>
        <v/>
      </c>
      <c r="K906" s="166" t="str">
        <f>IF(ISNUMBER(namespace_raw[[#This Row],[Column12]]), namespace_raw[[#This Row],[Column12]],"")</f>
        <v/>
      </c>
      <c r="L906" s="167" t="str">
        <f>IF(ISNUMBER(namespace_raw[[#This Row],[Column13]]), namespace_raw[[#This Row],[Column13]]/1048576,"")</f>
        <v/>
      </c>
      <c r="M906" s="168" t="str">
        <f>IF(ISNUMBER(namespace_raw[[#This Row],[Column10]]), (namespace_raw[[#This Row],[Column10]]*(1+$M$2)),"")</f>
        <v/>
      </c>
      <c r="N906" s="167" t="str">
        <f>IF(ISNUMBER(namespace_raw[[#This Row],[Column11]]), (namespace_raw[[#This Row],[Column11]]*(1+$N$2))/1048576,"")</f>
        <v/>
      </c>
      <c r="O906" s="169" t="str">
        <f>IF(ISNUMBER(namespace_raw[[#This Row],[Column8]]), (E906  * $O$2),"")</f>
        <v/>
      </c>
      <c r="P906" s="170" t="str">
        <f>IF(ISNUMBER(namespace_raw[[#This Row],[Column8]]), (F906  * $P$2),"")</f>
        <v/>
      </c>
    </row>
    <row r="907" spans="1:16" ht="15" customHeight="1" x14ac:dyDescent="0.25">
      <c r="A907" s="32" t="str">
        <f>IF(ISNONTEXT(namespace_raw[[#This Row],[Column1]]), "", namespace_raw[[#This Row],[Column1]])</f>
        <v/>
      </c>
      <c r="B907" s="33" t="str">
        <f>IF(ISNONTEXT(namespace_raw[[#This Row],[Column2]]), "", namespace_raw[[#This Row],[Column2]])</f>
        <v/>
      </c>
      <c r="C907" s="94" t="str">
        <f>IF(ISNUMBER(namespace_raw[[#This Row],[Column4]]), namespace_raw[[#This Row],[Column4]], "")</f>
        <v/>
      </c>
      <c r="D907" s="95" t="str">
        <f>IF(ISNUMBER(namespace_raw[[#This Row],[Column5]]), namespace_raw[[#This Row],[Column5]]/1048576, "")</f>
        <v/>
      </c>
      <c r="E907" s="95" t="str">
        <f>IF(ISNUMBER(namespace_raw[[#This Row],[Column6]]), namespace_raw[[#This Row],[Column6]],"")</f>
        <v/>
      </c>
      <c r="F907" s="96" t="str">
        <f>IF(ISNUMBER(namespace_raw[[#This Row],[Column7]]), namespace_raw[[#This Row],[Column7]]/1048576,"")</f>
        <v/>
      </c>
      <c r="G907" s="122" t="str">
        <f>IF(ISNUMBER(namespace_raw[[#This Row],[Column8]]), namespace_raw[[#This Row],[Column8]],"")</f>
        <v/>
      </c>
      <c r="H907" s="123" t="str">
        <f>IF(ISNUMBER(namespace_raw[[#This Row],[Column9]]), namespace_raw[[#This Row],[Column9]]/1048576,"")</f>
        <v/>
      </c>
      <c r="I907" s="124" t="str">
        <f>IF(ISNUMBER(namespace_raw[[#This Row],[Column8]]),MAX(G907, M907, O907, $I$2,IF(Q907&lt;&gt;"",VALUE(Q907),0)), "")</f>
        <v/>
      </c>
      <c r="J907" s="125" t="str">
        <f>IF(ISNUMBER(namespace_raw[[#This Row],[Column9]]),MAX(H907, N907, P907, $J$2,IF(R907&lt;&gt;"",VALUE(R907),0)),"")</f>
        <v/>
      </c>
      <c r="K907" s="166" t="str">
        <f>IF(ISNUMBER(namespace_raw[[#This Row],[Column12]]), namespace_raw[[#This Row],[Column12]],"")</f>
        <v/>
      </c>
      <c r="L907" s="167" t="str">
        <f>IF(ISNUMBER(namespace_raw[[#This Row],[Column13]]), namespace_raw[[#This Row],[Column13]]/1048576,"")</f>
        <v/>
      </c>
      <c r="M907" s="168" t="str">
        <f>IF(ISNUMBER(namespace_raw[[#This Row],[Column10]]), (namespace_raw[[#This Row],[Column10]]*(1+$M$2)),"")</f>
        <v/>
      </c>
      <c r="N907" s="167" t="str">
        <f>IF(ISNUMBER(namespace_raw[[#This Row],[Column11]]), (namespace_raw[[#This Row],[Column11]]*(1+$N$2))/1048576,"")</f>
        <v/>
      </c>
      <c r="O907" s="169" t="str">
        <f>IF(ISNUMBER(namespace_raw[[#This Row],[Column8]]), (E907  * $O$2),"")</f>
        <v/>
      </c>
      <c r="P907" s="170" t="str">
        <f>IF(ISNUMBER(namespace_raw[[#This Row],[Column8]]), (F907  * $P$2),"")</f>
        <v/>
      </c>
    </row>
    <row r="908" spans="1:16" ht="15" customHeight="1" x14ac:dyDescent="0.25">
      <c r="A908" s="32" t="str">
        <f>IF(ISNONTEXT(namespace_raw[[#This Row],[Column1]]), "", namespace_raw[[#This Row],[Column1]])</f>
        <v/>
      </c>
      <c r="B908" s="33" t="str">
        <f>IF(ISNONTEXT(namespace_raw[[#This Row],[Column2]]), "", namespace_raw[[#This Row],[Column2]])</f>
        <v/>
      </c>
      <c r="C908" s="94" t="str">
        <f>IF(ISNUMBER(namespace_raw[[#This Row],[Column4]]), namespace_raw[[#This Row],[Column4]], "")</f>
        <v/>
      </c>
      <c r="D908" s="95" t="str">
        <f>IF(ISNUMBER(namespace_raw[[#This Row],[Column5]]), namespace_raw[[#This Row],[Column5]]/1048576, "")</f>
        <v/>
      </c>
      <c r="E908" s="95" t="str">
        <f>IF(ISNUMBER(namespace_raw[[#This Row],[Column6]]), namespace_raw[[#This Row],[Column6]],"")</f>
        <v/>
      </c>
      <c r="F908" s="96" t="str">
        <f>IF(ISNUMBER(namespace_raw[[#This Row],[Column7]]), namespace_raw[[#This Row],[Column7]]/1048576,"")</f>
        <v/>
      </c>
      <c r="G908" s="122" t="str">
        <f>IF(ISNUMBER(namespace_raw[[#This Row],[Column8]]), namespace_raw[[#This Row],[Column8]],"")</f>
        <v/>
      </c>
      <c r="H908" s="123" t="str">
        <f>IF(ISNUMBER(namespace_raw[[#This Row],[Column9]]), namespace_raw[[#This Row],[Column9]]/1048576,"")</f>
        <v/>
      </c>
      <c r="I908" s="124" t="str">
        <f>IF(ISNUMBER(namespace_raw[[#This Row],[Column8]]),MAX(G908, M908, O908, $I$2,IF(Q908&lt;&gt;"",VALUE(Q908),0)), "")</f>
        <v/>
      </c>
      <c r="J908" s="125" t="str">
        <f>IF(ISNUMBER(namespace_raw[[#This Row],[Column9]]),MAX(H908, N908, P908, $J$2,IF(R908&lt;&gt;"",VALUE(R908),0)),"")</f>
        <v/>
      </c>
      <c r="K908" s="166" t="str">
        <f>IF(ISNUMBER(namespace_raw[[#This Row],[Column12]]), namespace_raw[[#This Row],[Column12]],"")</f>
        <v/>
      </c>
      <c r="L908" s="167" t="str">
        <f>IF(ISNUMBER(namespace_raw[[#This Row],[Column13]]), namespace_raw[[#This Row],[Column13]]/1048576,"")</f>
        <v/>
      </c>
      <c r="M908" s="168" t="str">
        <f>IF(ISNUMBER(namespace_raw[[#This Row],[Column10]]), (namespace_raw[[#This Row],[Column10]]*(1+$M$2)),"")</f>
        <v/>
      </c>
      <c r="N908" s="167" t="str">
        <f>IF(ISNUMBER(namespace_raw[[#This Row],[Column11]]), (namespace_raw[[#This Row],[Column11]]*(1+$N$2))/1048576,"")</f>
        <v/>
      </c>
      <c r="O908" s="169" t="str">
        <f>IF(ISNUMBER(namespace_raw[[#This Row],[Column8]]), (E908  * $O$2),"")</f>
        <v/>
      </c>
      <c r="P908" s="170" t="str">
        <f>IF(ISNUMBER(namespace_raw[[#This Row],[Column8]]), (F908  * $P$2),"")</f>
        <v/>
      </c>
    </row>
    <row r="909" spans="1:16" ht="15" customHeight="1" x14ac:dyDescent="0.25">
      <c r="A909" s="32" t="str">
        <f>IF(ISNONTEXT(namespace_raw[[#This Row],[Column1]]), "", namespace_raw[[#This Row],[Column1]])</f>
        <v/>
      </c>
      <c r="B909" s="33" t="str">
        <f>IF(ISNONTEXT(namespace_raw[[#This Row],[Column2]]), "", namespace_raw[[#This Row],[Column2]])</f>
        <v/>
      </c>
      <c r="C909" s="94" t="str">
        <f>IF(ISNUMBER(namespace_raw[[#This Row],[Column4]]), namespace_raw[[#This Row],[Column4]], "")</f>
        <v/>
      </c>
      <c r="D909" s="95" t="str">
        <f>IF(ISNUMBER(namespace_raw[[#This Row],[Column5]]), namespace_raw[[#This Row],[Column5]]/1048576, "")</f>
        <v/>
      </c>
      <c r="E909" s="95" t="str">
        <f>IF(ISNUMBER(namespace_raw[[#This Row],[Column6]]), namespace_raw[[#This Row],[Column6]],"")</f>
        <v/>
      </c>
      <c r="F909" s="96" t="str">
        <f>IF(ISNUMBER(namespace_raw[[#This Row],[Column7]]), namespace_raw[[#This Row],[Column7]]/1048576,"")</f>
        <v/>
      </c>
      <c r="G909" s="122" t="str">
        <f>IF(ISNUMBER(namespace_raw[[#This Row],[Column8]]), namespace_raw[[#This Row],[Column8]],"")</f>
        <v/>
      </c>
      <c r="H909" s="123" t="str">
        <f>IF(ISNUMBER(namespace_raw[[#This Row],[Column9]]), namespace_raw[[#This Row],[Column9]]/1048576,"")</f>
        <v/>
      </c>
      <c r="I909" s="124" t="str">
        <f>IF(ISNUMBER(namespace_raw[[#This Row],[Column8]]),MAX(G909, M909, O909, $I$2,IF(Q909&lt;&gt;"",VALUE(Q909),0)), "")</f>
        <v/>
      </c>
      <c r="J909" s="125" t="str">
        <f>IF(ISNUMBER(namespace_raw[[#This Row],[Column9]]),MAX(H909, N909, P909, $J$2,IF(R909&lt;&gt;"",VALUE(R909),0)),"")</f>
        <v/>
      </c>
      <c r="K909" s="166" t="str">
        <f>IF(ISNUMBER(namespace_raw[[#This Row],[Column12]]), namespace_raw[[#This Row],[Column12]],"")</f>
        <v/>
      </c>
      <c r="L909" s="167" t="str">
        <f>IF(ISNUMBER(namespace_raw[[#This Row],[Column13]]), namespace_raw[[#This Row],[Column13]]/1048576,"")</f>
        <v/>
      </c>
      <c r="M909" s="168" t="str">
        <f>IF(ISNUMBER(namespace_raw[[#This Row],[Column10]]), (namespace_raw[[#This Row],[Column10]]*(1+$M$2)),"")</f>
        <v/>
      </c>
      <c r="N909" s="167" t="str">
        <f>IF(ISNUMBER(namespace_raw[[#This Row],[Column11]]), (namespace_raw[[#This Row],[Column11]]*(1+$N$2))/1048576,"")</f>
        <v/>
      </c>
      <c r="O909" s="169" t="str">
        <f>IF(ISNUMBER(namespace_raw[[#This Row],[Column8]]), (E909  * $O$2),"")</f>
        <v/>
      </c>
      <c r="P909" s="170" t="str">
        <f>IF(ISNUMBER(namespace_raw[[#This Row],[Column8]]), (F909  * $P$2),"")</f>
        <v/>
      </c>
    </row>
    <row r="910" spans="1:16" ht="15" customHeight="1" x14ac:dyDescent="0.25">
      <c r="A910" s="32" t="str">
        <f>IF(ISNONTEXT(namespace_raw[[#This Row],[Column1]]), "", namespace_raw[[#This Row],[Column1]])</f>
        <v/>
      </c>
      <c r="B910" s="33" t="str">
        <f>IF(ISNONTEXT(namespace_raw[[#This Row],[Column2]]), "", namespace_raw[[#This Row],[Column2]])</f>
        <v/>
      </c>
      <c r="C910" s="94" t="str">
        <f>IF(ISNUMBER(namespace_raw[[#This Row],[Column4]]), namespace_raw[[#This Row],[Column4]], "")</f>
        <v/>
      </c>
      <c r="D910" s="95" t="str">
        <f>IF(ISNUMBER(namespace_raw[[#This Row],[Column5]]), namespace_raw[[#This Row],[Column5]]/1048576, "")</f>
        <v/>
      </c>
      <c r="E910" s="95" t="str">
        <f>IF(ISNUMBER(namespace_raw[[#This Row],[Column6]]), namespace_raw[[#This Row],[Column6]],"")</f>
        <v/>
      </c>
      <c r="F910" s="96" t="str">
        <f>IF(ISNUMBER(namespace_raw[[#This Row],[Column7]]), namespace_raw[[#This Row],[Column7]]/1048576,"")</f>
        <v/>
      </c>
      <c r="G910" s="122" t="str">
        <f>IF(ISNUMBER(namespace_raw[[#This Row],[Column8]]), namespace_raw[[#This Row],[Column8]],"")</f>
        <v/>
      </c>
      <c r="H910" s="123" t="str">
        <f>IF(ISNUMBER(namespace_raw[[#This Row],[Column9]]), namespace_raw[[#This Row],[Column9]]/1048576,"")</f>
        <v/>
      </c>
      <c r="I910" s="124" t="str">
        <f>IF(ISNUMBER(namespace_raw[[#This Row],[Column8]]),MAX(G910, M910, O910, $I$2,IF(Q910&lt;&gt;"",VALUE(Q910),0)), "")</f>
        <v/>
      </c>
      <c r="J910" s="125" t="str">
        <f>IF(ISNUMBER(namespace_raw[[#This Row],[Column9]]),MAX(H910, N910, P910, $J$2,IF(R910&lt;&gt;"",VALUE(R910),0)),"")</f>
        <v/>
      </c>
      <c r="K910" s="166" t="str">
        <f>IF(ISNUMBER(namespace_raw[[#This Row],[Column12]]), namespace_raw[[#This Row],[Column12]],"")</f>
        <v/>
      </c>
      <c r="L910" s="167" t="str">
        <f>IF(ISNUMBER(namespace_raw[[#This Row],[Column13]]), namespace_raw[[#This Row],[Column13]]/1048576,"")</f>
        <v/>
      </c>
      <c r="M910" s="168" t="str">
        <f>IF(ISNUMBER(namespace_raw[[#This Row],[Column10]]), (namespace_raw[[#This Row],[Column10]]*(1+$M$2)),"")</f>
        <v/>
      </c>
      <c r="N910" s="167" t="str">
        <f>IF(ISNUMBER(namespace_raw[[#This Row],[Column11]]), (namespace_raw[[#This Row],[Column11]]*(1+$N$2))/1048576,"")</f>
        <v/>
      </c>
      <c r="O910" s="169" t="str">
        <f>IF(ISNUMBER(namespace_raw[[#This Row],[Column8]]), (E910  * $O$2),"")</f>
        <v/>
      </c>
      <c r="P910" s="170" t="str">
        <f>IF(ISNUMBER(namespace_raw[[#This Row],[Column8]]), (F910  * $P$2),"")</f>
        <v/>
      </c>
    </row>
    <row r="911" spans="1:16" ht="15" customHeight="1" x14ac:dyDescent="0.25">
      <c r="A911" s="32" t="str">
        <f>IF(ISNONTEXT(namespace_raw[[#This Row],[Column1]]), "", namespace_raw[[#This Row],[Column1]])</f>
        <v/>
      </c>
      <c r="B911" s="33" t="str">
        <f>IF(ISNONTEXT(namespace_raw[[#This Row],[Column2]]), "", namespace_raw[[#This Row],[Column2]])</f>
        <v/>
      </c>
      <c r="C911" s="94" t="str">
        <f>IF(ISNUMBER(namespace_raw[[#This Row],[Column4]]), namespace_raw[[#This Row],[Column4]], "")</f>
        <v/>
      </c>
      <c r="D911" s="95" t="str">
        <f>IF(ISNUMBER(namespace_raw[[#This Row],[Column5]]), namespace_raw[[#This Row],[Column5]]/1048576, "")</f>
        <v/>
      </c>
      <c r="E911" s="95" t="str">
        <f>IF(ISNUMBER(namespace_raw[[#This Row],[Column6]]), namespace_raw[[#This Row],[Column6]],"")</f>
        <v/>
      </c>
      <c r="F911" s="96" t="str">
        <f>IF(ISNUMBER(namespace_raw[[#This Row],[Column7]]), namespace_raw[[#This Row],[Column7]]/1048576,"")</f>
        <v/>
      </c>
      <c r="G911" s="122" t="str">
        <f>IF(ISNUMBER(namespace_raw[[#This Row],[Column8]]), namespace_raw[[#This Row],[Column8]],"")</f>
        <v/>
      </c>
      <c r="H911" s="123" t="str">
        <f>IF(ISNUMBER(namespace_raw[[#This Row],[Column9]]), namespace_raw[[#This Row],[Column9]]/1048576,"")</f>
        <v/>
      </c>
      <c r="I911" s="124" t="str">
        <f>IF(ISNUMBER(namespace_raw[[#This Row],[Column8]]),MAX(G911, M911, O911, $I$2,IF(Q911&lt;&gt;"",VALUE(Q911),0)), "")</f>
        <v/>
      </c>
      <c r="J911" s="125" t="str">
        <f>IF(ISNUMBER(namespace_raw[[#This Row],[Column9]]),MAX(H911, N911, P911, $J$2,IF(R911&lt;&gt;"",VALUE(R911),0)),"")</f>
        <v/>
      </c>
      <c r="K911" s="166" t="str">
        <f>IF(ISNUMBER(namespace_raw[[#This Row],[Column12]]), namespace_raw[[#This Row],[Column12]],"")</f>
        <v/>
      </c>
      <c r="L911" s="167" t="str">
        <f>IF(ISNUMBER(namespace_raw[[#This Row],[Column13]]), namespace_raw[[#This Row],[Column13]]/1048576,"")</f>
        <v/>
      </c>
      <c r="M911" s="168" t="str">
        <f>IF(ISNUMBER(namespace_raw[[#This Row],[Column10]]), (namespace_raw[[#This Row],[Column10]]*(1+$M$2)),"")</f>
        <v/>
      </c>
      <c r="N911" s="167" t="str">
        <f>IF(ISNUMBER(namespace_raw[[#This Row],[Column11]]), (namespace_raw[[#This Row],[Column11]]*(1+$N$2))/1048576,"")</f>
        <v/>
      </c>
      <c r="O911" s="169" t="str">
        <f>IF(ISNUMBER(namespace_raw[[#This Row],[Column8]]), (E911  * $O$2),"")</f>
        <v/>
      </c>
      <c r="P911" s="170" t="str">
        <f>IF(ISNUMBER(namespace_raw[[#This Row],[Column8]]), (F911  * $P$2),"")</f>
        <v/>
      </c>
    </row>
    <row r="912" spans="1:16" ht="15" customHeight="1" x14ac:dyDescent="0.25">
      <c r="A912" s="32" t="str">
        <f>IF(ISNONTEXT(namespace_raw[[#This Row],[Column1]]), "", namespace_raw[[#This Row],[Column1]])</f>
        <v/>
      </c>
      <c r="B912" s="33" t="str">
        <f>IF(ISNONTEXT(namespace_raw[[#This Row],[Column2]]), "", namespace_raw[[#This Row],[Column2]])</f>
        <v/>
      </c>
      <c r="C912" s="94" t="str">
        <f>IF(ISNUMBER(namespace_raw[[#This Row],[Column4]]), namespace_raw[[#This Row],[Column4]], "")</f>
        <v/>
      </c>
      <c r="D912" s="95" t="str">
        <f>IF(ISNUMBER(namespace_raw[[#This Row],[Column5]]), namespace_raw[[#This Row],[Column5]]/1048576, "")</f>
        <v/>
      </c>
      <c r="E912" s="95" t="str">
        <f>IF(ISNUMBER(namespace_raw[[#This Row],[Column6]]), namespace_raw[[#This Row],[Column6]],"")</f>
        <v/>
      </c>
      <c r="F912" s="96" t="str">
        <f>IF(ISNUMBER(namespace_raw[[#This Row],[Column7]]), namespace_raw[[#This Row],[Column7]]/1048576,"")</f>
        <v/>
      </c>
      <c r="G912" s="122" t="str">
        <f>IF(ISNUMBER(namespace_raw[[#This Row],[Column8]]), namespace_raw[[#This Row],[Column8]],"")</f>
        <v/>
      </c>
      <c r="H912" s="123" t="str">
        <f>IF(ISNUMBER(namespace_raw[[#This Row],[Column9]]), namespace_raw[[#This Row],[Column9]]/1048576,"")</f>
        <v/>
      </c>
      <c r="I912" s="124" t="str">
        <f>IF(ISNUMBER(namespace_raw[[#This Row],[Column8]]),MAX(G912, M912, O912, $I$2,IF(Q912&lt;&gt;"",VALUE(Q912),0)), "")</f>
        <v/>
      </c>
      <c r="J912" s="125" t="str">
        <f>IF(ISNUMBER(namespace_raw[[#This Row],[Column9]]),MAX(H912, N912, P912, $J$2,IF(R912&lt;&gt;"",VALUE(R912),0)),"")</f>
        <v/>
      </c>
      <c r="K912" s="166" t="str">
        <f>IF(ISNUMBER(namespace_raw[[#This Row],[Column12]]), namespace_raw[[#This Row],[Column12]],"")</f>
        <v/>
      </c>
      <c r="L912" s="167" t="str">
        <f>IF(ISNUMBER(namespace_raw[[#This Row],[Column13]]), namespace_raw[[#This Row],[Column13]]/1048576,"")</f>
        <v/>
      </c>
      <c r="M912" s="168" t="str">
        <f>IF(ISNUMBER(namespace_raw[[#This Row],[Column10]]), (namespace_raw[[#This Row],[Column10]]*(1+$M$2)),"")</f>
        <v/>
      </c>
      <c r="N912" s="167" t="str">
        <f>IF(ISNUMBER(namespace_raw[[#This Row],[Column11]]), (namespace_raw[[#This Row],[Column11]]*(1+$N$2))/1048576,"")</f>
        <v/>
      </c>
      <c r="O912" s="169" t="str">
        <f>IF(ISNUMBER(namespace_raw[[#This Row],[Column8]]), (E912  * $O$2),"")</f>
        <v/>
      </c>
      <c r="P912" s="170" t="str">
        <f>IF(ISNUMBER(namespace_raw[[#This Row],[Column8]]), (F912  * $P$2),"")</f>
        <v/>
      </c>
    </row>
    <row r="913" spans="1:16" ht="15" customHeight="1" x14ac:dyDescent="0.25">
      <c r="A913" s="32" t="str">
        <f>IF(ISNONTEXT(namespace_raw[[#This Row],[Column1]]), "", namespace_raw[[#This Row],[Column1]])</f>
        <v/>
      </c>
      <c r="B913" s="33" t="str">
        <f>IF(ISNONTEXT(namespace_raw[[#This Row],[Column2]]), "", namespace_raw[[#This Row],[Column2]])</f>
        <v/>
      </c>
      <c r="C913" s="94" t="str">
        <f>IF(ISNUMBER(namespace_raw[[#This Row],[Column4]]), namespace_raw[[#This Row],[Column4]], "")</f>
        <v/>
      </c>
      <c r="D913" s="95" t="str">
        <f>IF(ISNUMBER(namespace_raw[[#This Row],[Column5]]), namespace_raw[[#This Row],[Column5]]/1048576, "")</f>
        <v/>
      </c>
      <c r="E913" s="95" t="str">
        <f>IF(ISNUMBER(namespace_raw[[#This Row],[Column6]]), namespace_raw[[#This Row],[Column6]],"")</f>
        <v/>
      </c>
      <c r="F913" s="96" t="str">
        <f>IF(ISNUMBER(namespace_raw[[#This Row],[Column7]]), namespace_raw[[#This Row],[Column7]]/1048576,"")</f>
        <v/>
      </c>
      <c r="G913" s="122" t="str">
        <f>IF(ISNUMBER(namespace_raw[[#This Row],[Column8]]), namespace_raw[[#This Row],[Column8]],"")</f>
        <v/>
      </c>
      <c r="H913" s="123" t="str">
        <f>IF(ISNUMBER(namespace_raw[[#This Row],[Column9]]), namespace_raw[[#This Row],[Column9]]/1048576,"")</f>
        <v/>
      </c>
      <c r="I913" s="124" t="str">
        <f>IF(ISNUMBER(namespace_raw[[#This Row],[Column8]]),MAX(G913, M913, O913, $I$2,IF(Q913&lt;&gt;"",VALUE(Q913),0)), "")</f>
        <v/>
      </c>
      <c r="J913" s="125" t="str">
        <f>IF(ISNUMBER(namespace_raw[[#This Row],[Column9]]),MAX(H913, N913, P913, $J$2,IF(R913&lt;&gt;"",VALUE(R913),0)),"")</f>
        <v/>
      </c>
      <c r="K913" s="166" t="str">
        <f>IF(ISNUMBER(namespace_raw[[#This Row],[Column12]]), namespace_raw[[#This Row],[Column12]],"")</f>
        <v/>
      </c>
      <c r="L913" s="167" t="str">
        <f>IF(ISNUMBER(namespace_raw[[#This Row],[Column13]]), namespace_raw[[#This Row],[Column13]]/1048576,"")</f>
        <v/>
      </c>
      <c r="M913" s="168" t="str">
        <f>IF(ISNUMBER(namespace_raw[[#This Row],[Column10]]), (namespace_raw[[#This Row],[Column10]]*(1+$M$2)),"")</f>
        <v/>
      </c>
      <c r="N913" s="167" t="str">
        <f>IF(ISNUMBER(namespace_raw[[#This Row],[Column11]]), (namespace_raw[[#This Row],[Column11]]*(1+$N$2))/1048576,"")</f>
        <v/>
      </c>
      <c r="O913" s="169" t="str">
        <f>IF(ISNUMBER(namespace_raw[[#This Row],[Column8]]), (E913  * $O$2),"")</f>
        <v/>
      </c>
      <c r="P913" s="170" t="str">
        <f>IF(ISNUMBER(namespace_raw[[#This Row],[Column8]]), (F913  * $P$2),"")</f>
        <v/>
      </c>
    </row>
    <row r="914" spans="1:16" ht="15" customHeight="1" x14ac:dyDescent="0.25">
      <c r="A914" s="32" t="str">
        <f>IF(ISNONTEXT(namespace_raw[[#This Row],[Column1]]), "", namespace_raw[[#This Row],[Column1]])</f>
        <v/>
      </c>
      <c r="B914" s="33" t="str">
        <f>IF(ISNONTEXT(namespace_raw[[#This Row],[Column2]]), "", namespace_raw[[#This Row],[Column2]])</f>
        <v/>
      </c>
      <c r="C914" s="94" t="str">
        <f>IF(ISNUMBER(namespace_raw[[#This Row],[Column4]]), namespace_raw[[#This Row],[Column4]], "")</f>
        <v/>
      </c>
      <c r="D914" s="95" t="str">
        <f>IF(ISNUMBER(namespace_raw[[#This Row],[Column5]]), namespace_raw[[#This Row],[Column5]]/1048576, "")</f>
        <v/>
      </c>
      <c r="E914" s="95" t="str">
        <f>IF(ISNUMBER(namespace_raw[[#This Row],[Column6]]), namespace_raw[[#This Row],[Column6]],"")</f>
        <v/>
      </c>
      <c r="F914" s="96" t="str">
        <f>IF(ISNUMBER(namespace_raw[[#This Row],[Column7]]), namespace_raw[[#This Row],[Column7]]/1048576,"")</f>
        <v/>
      </c>
      <c r="G914" s="122" t="str">
        <f>IF(ISNUMBER(namespace_raw[[#This Row],[Column8]]), namespace_raw[[#This Row],[Column8]],"")</f>
        <v/>
      </c>
      <c r="H914" s="123" t="str">
        <f>IF(ISNUMBER(namespace_raw[[#This Row],[Column9]]), namespace_raw[[#This Row],[Column9]]/1048576,"")</f>
        <v/>
      </c>
      <c r="I914" s="124" t="str">
        <f>IF(ISNUMBER(namespace_raw[[#This Row],[Column8]]),MAX(G914, M914, O914, $I$2,IF(Q914&lt;&gt;"",VALUE(Q914),0)), "")</f>
        <v/>
      </c>
      <c r="J914" s="125" t="str">
        <f>IF(ISNUMBER(namespace_raw[[#This Row],[Column9]]),MAX(H914, N914, P914, $J$2,IF(R914&lt;&gt;"",VALUE(R914),0)),"")</f>
        <v/>
      </c>
      <c r="K914" s="166" t="str">
        <f>IF(ISNUMBER(namespace_raw[[#This Row],[Column12]]), namespace_raw[[#This Row],[Column12]],"")</f>
        <v/>
      </c>
      <c r="L914" s="167" t="str">
        <f>IF(ISNUMBER(namespace_raw[[#This Row],[Column13]]), namespace_raw[[#This Row],[Column13]]/1048576,"")</f>
        <v/>
      </c>
      <c r="M914" s="168" t="str">
        <f>IF(ISNUMBER(namespace_raw[[#This Row],[Column10]]), (namespace_raw[[#This Row],[Column10]]*(1+$M$2)),"")</f>
        <v/>
      </c>
      <c r="N914" s="167" t="str">
        <f>IF(ISNUMBER(namespace_raw[[#This Row],[Column11]]), (namespace_raw[[#This Row],[Column11]]*(1+$N$2))/1048576,"")</f>
        <v/>
      </c>
      <c r="O914" s="169" t="str">
        <f>IF(ISNUMBER(namespace_raw[[#This Row],[Column8]]), (E914  * $O$2),"")</f>
        <v/>
      </c>
      <c r="P914" s="170" t="str">
        <f>IF(ISNUMBER(namespace_raw[[#This Row],[Column8]]), (F914  * $P$2),"")</f>
        <v/>
      </c>
    </row>
    <row r="915" spans="1:16" ht="15" customHeight="1" x14ac:dyDescent="0.25">
      <c r="A915" s="32" t="str">
        <f>IF(ISNONTEXT(namespace_raw[[#This Row],[Column1]]), "", namespace_raw[[#This Row],[Column1]])</f>
        <v/>
      </c>
      <c r="B915" s="33" t="str">
        <f>IF(ISNONTEXT(namespace_raw[[#This Row],[Column2]]), "", namespace_raw[[#This Row],[Column2]])</f>
        <v/>
      </c>
      <c r="C915" s="94" t="str">
        <f>IF(ISNUMBER(namespace_raw[[#This Row],[Column4]]), namespace_raw[[#This Row],[Column4]], "")</f>
        <v/>
      </c>
      <c r="D915" s="95" t="str">
        <f>IF(ISNUMBER(namespace_raw[[#This Row],[Column5]]), namespace_raw[[#This Row],[Column5]]/1048576, "")</f>
        <v/>
      </c>
      <c r="E915" s="95" t="str">
        <f>IF(ISNUMBER(namespace_raw[[#This Row],[Column6]]), namespace_raw[[#This Row],[Column6]],"")</f>
        <v/>
      </c>
      <c r="F915" s="96" t="str">
        <f>IF(ISNUMBER(namespace_raw[[#This Row],[Column7]]), namespace_raw[[#This Row],[Column7]]/1048576,"")</f>
        <v/>
      </c>
      <c r="G915" s="122" t="str">
        <f>IF(ISNUMBER(namespace_raw[[#This Row],[Column8]]), namespace_raw[[#This Row],[Column8]],"")</f>
        <v/>
      </c>
      <c r="H915" s="123" t="str">
        <f>IF(ISNUMBER(namespace_raw[[#This Row],[Column9]]), namespace_raw[[#This Row],[Column9]]/1048576,"")</f>
        <v/>
      </c>
      <c r="I915" s="124" t="str">
        <f>IF(ISNUMBER(namespace_raw[[#This Row],[Column8]]),MAX(G915, M915, O915, $I$2,IF(Q915&lt;&gt;"",VALUE(Q915),0)), "")</f>
        <v/>
      </c>
      <c r="J915" s="125" t="str">
        <f>IF(ISNUMBER(namespace_raw[[#This Row],[Column9]]),MAX(H915, N915, P915, $J$2,IF(R915&lt;&gt;"",VALUE(R915),0)),"")</f>
        <v/>
      </c>
      <c r="K915" s="166" t="str">
        <f>IF(ISNUMBER(namespace_raw[[#This Row],[Column12]]), namespace_raw[[#This Row],[Column12]],"")</f>
        <v/>
      </c>
      <c r="L915" s="167" t="str">
        <f>IF(ISNUMBER(namespace_raw[[#This Row],[Column13]]), namespace_raw[[#This Row],[Column13]]/1048576,"")</f>
        <v/>
      </c>
      <c r="M915" s="168" t="str">
        <f>IF(ISNUMBER(namespace_raw[[#This Row],[Column10]]), (namespace_raw[[#This Row],[Column10]]*(1+$M$2)),"")</f>
        <v/>
      </c>
      <c r="N915" s="167" t="str">
        <f>IF(ISNUMBER(namespace_raw[[#This Row],[Column11]]), (namespace_raw[[#This Row],[Column11]]*(1+$N$2))/1048576,"")</f>
        <v/>
      </c>
      <c r="O915" s="169" t="str">
        <f>IF(ISNUMBER(namespace_raw[[#This Row],[Column8]]), (E915  * $O$2),"")</f>
        <v/>
      </c>
      <c r="P915" s="170" t="str">
        <f>IF(ISNUMBER(namespace_raw[[#This Row],[Column8]]), (F915  * $P$2),"")</f>
        <v/>
      </c>
    </row>
    <row r="916" spans="1:16" ht="15" customHeight="1" x14ac:dyDescent="0.25">
      <c r="A916" s="32" t="str">
        <f>IF(ISNONTEXT(namespace_raw[[#This Row],[Column1]]), "", namespace_raw[[#This Row],[Column1]])</f>
        <v/>
      </c>
      <c r="B916" s="33" t="str">
        <f>IF(ISNONTEXT(namespace_raw[[#This Row],[Column2]]), "", namespace_raw[[#This Row],[Column2]])</f>
        <v/>
      </c>
      <c r="C916" s="94" t="str">
        <f>IF(ISNUMBER(namespace_raw[[#This Row],[Column4]]), namespace_raw[[#This Row],[Column4]], "")</f>
        <v/>
      </c>
      <c r="D916" s="95" t="str">
        <f>IF(ISNUMBER(namespace_raw[[#This Row],[Column5]]), namespace_raw[[#This Row],[Column5]]/1048576, "")</f>
        <v/>
      </c>
      <c r="E916" s="95" t="str">
        <f>IF(ISNUMBER(namespace_raw[[#This Row],[Column6]]), namespace_raw[[#This Row],[Column6]],"")</f>
        <v/>
      </c>
      <c r="F916" s="96" t="str">
        <f>IF(ISNUMBER(namespace_raw[[#This Row],[Column7]]), namespace_raw[[#This Row],[Column7]]/1048576,"")</f>
        <v/>
      </c>
      <c r="G916" s="122" t="str">
        <f>IF(ISNUMBER(namespace_raw[[#This Row],[Column8]]), namespace_raw[[#This Row],[Column8]],"")</f>
        <v/>
      </c>
      <c r="H916" s="123" t="str">
        <f>IF(ISNUMBER(namespace_raw[[#This Row],[Column9]]), namespace_raw[[#This Row],[Column9]]/1048576,"")</f>
        <v/>
      </c>
      <c r="I916" s="124" t="str">
        <f>IF(ISNUMBER(namespace_raw[[#This Row],[Column8]]),MAX(G916, M916, O916, $I$2,IF(Q916&lt;&gt;"",VALUE(Q916),0)), "")</f>
        <v/>
      </c>
      <c r="J916" s="125" t="str">
        <f>IF(ISNUMBER(namespace_raw[[#This Row],[Column9]]),MAX(H916, N916, P916, $J$2,IF(R916&lt;&gt;"",VALUE(R916),0)),"")</f>
        <v/>
      </c>
      <c r="K916" s="166" t="str">
        <f>IF(ISNUMBER(namespace_raw[[#This Row],[Column12]]), namespace_raw[[#This Row],[Column12]],"")</f>
        <v/>
      </c>
      <c r="L916" s="167" t="str">
        <f>IF(ISNUMBER(namespace_raw[[#This Row],[Column13]]), namespace_raw[[#This Row],[Column13]]/1048576,"")</f>
        <v/>
      </c>
      <c r="M916" s="168" t="str">
        <f>IF(ISNUMBER(namespace_raw[[#This Row],[Column10]]), (namespace_raw[[#This Row],[Column10]]*(1+$M$2)),"")</f>
        <v/>
      </c>
      <c r="N916" s="167" t="str">
        <f>IF(ISNUMBER(namespace_raw[[#This Row],[Column11]]), (namespace_raw[[#This Row],[Column11]]*(1+$N$2))/1048576,"")</f>
        <v/>
      </c>
      <c r="O916" s="169" t="str">
        <f>IF(ISNUMBER(namespace_raw[[#This Row],[Column8]]), (E916  * $O$2),"")</f>
        <v/>
      </c>
      <c r="P916" s="170" t="str">
        <f>IF(ISNUMBER(namespace_raw[[#This Row],[Column8]]), (F916  * $P$2),"")</f>
        <v/>
      </c>
    </row>
    <row r="917" spans="1:16" ht="15" customHeight="1" x14ac:dyDescent="0.25">
      <c r="A917" s="32" t="str">
        <f>IF(ISNONTEXT(namespace_raw[[#This Row],[Column1]]), "", namespace_raw[[#This Row],[Column1]])</f>
        <v/>
      </c>
      <c r="B917" s="33" t="str">
        <f>IF(ISNONTEXT(namespace_raw[[#This Row],[Column2]]), "", namespace_raw[[#This Row],[Column2]])</f>
        <v/>
      </c>
      <c r="C917" s="94" t="str">
        <f>IF(ISNUMBER(namespace_raw[[#This Row],[Column4]]), namespace_raw[[#This Row],[Column4]], "")</f>
        <v/>
      </c>
      <c r="D917" s="95" t="str">
        <f>IF(ISNUMBER(namespace_raw[[#This Row],[Column5]]), namespace_raw[[#This Row],[Column5]]/1048576, "")</f>
        <v/>
      </c>
      <c r="E917" s="95" t="str">
        <f>IF(ISNUMBER(namespace_raw[[#This Row],[Column6]]), namespace_raw[[#This Row],[Column6]],"")</f>
        <v/>
      </c>
      <c r="F917" s="96" t="str">
        <f>IF(ISNUMBER(namespace_raw[[#This Row],[Column7]]), namespace_raw[[#This Row],[Column7]]/1048576,"")</f>
        <v/>
      </c>
      <c r="G917" s="122" t="str">
        <f>IF(ISNUMBER(namespace_raw[[#This Row],[Column8]]), namespace_raw[[#This Row],[Column8]],"")</f>
        <v/>
      </c>
      <c r="H917" s="123" t="str">
        <f>IF(ISNUMBER(namespace_raw[[#This Row],[Column9]]), namespace_raw[[#This Row],[Column9]]/1048576,"")</f>
        <v/>
      </c>
      <c r="I917" s="124" t="str">
        <f>IF(ISNUMBER(namespace_raw[[#This Row],[Column8]]),MAX(G917, M917, O917, $I$2,IF(Q917&lt;&gt;"",VALUE(Q917),0)), "")</f>
        <v/>
      </c>
      <c r="J917" s="125" t="str">
        <f>IF(ISNUMBER(namespace_raw[[#This Row],[Column9]]),MAX(H917, N917, P917, $J$2,IF(R917&lt;&gt;"",VALUE(R917),0)),"")</f>
        <v/>
      </c>
      <c r="K917" s="166" t="str">
        <f>IF(ISNUMBER(namespace_raw[[#This Row],[Column12]]), namespace_raw[[#This Row],[Column12]],"")</f>
        <v/>
      </c>
      <c r="L917" s="167" t="str">
        <f>IF(ISNUMBER(namespace_raw[[#This Row],[Column13]]), namespace_raw[[#This Row],[Column13]]/1048576,"")</f>
        <v/>
      </c>
      <c r="M917" s="168" t="str">
        <f>IF(ISNUMBER(namespace_raw[[#This Row],[Column10]]), (namespace_raw[[#This Row],[Column10]]*(1+$M$2)),"")</f>
        <v/>
      </c>
      <c r="N917" s="167" t="str">
        <f>IF(ISNUMBER(namespace_raw[[#This Row],[Column11]]), (namespace_raw[[#This Row],[Column11]]*(1+$N$2))/1048576,"")</f>
        <v/>
      </c>
      <c r="O917" s="169" t="str">
        <f>IF(ISNUMBER(namespace_raw[[#This Row],[Column8]]), (E917  * $O$2),"")</f>
        <v/>
      </c>
      <c r="P917" s="170" t="str">
        <f>IF(ISNUMBER(namespace_raw[[#This Row],[Column8]]), (F917  * $P$2),"")</f>
        <v/>
      </c>
    </row>
    <row r="918" spans="1:16" ht="15" customHeight="1" x14ac:dyDescent="0.25">
      <c r="A918" s="32" t="str">
        <f>IF(ISNONTEXT(namespace_raw[[#This Row],[Column1]]), "", namespace_raw[[#This Row],[Column1]])</f>
        <v/>
      </c>
      <c r="B918" s="33" t="str">
        <f>IF(ISNONTEXT(namespace_raw[[#This Row],[Column2]]), "", namespace_raw[[#This Row],[Column2]])</f>
        <v/>
      </c>
      <c r="C918" s="94" t="str">
        <f>IF(ISNUMBER(namespace_raw[[#This Row],[Column4]]), namespace_raw[[#This Row],[Column4]], "")</f>
        <v/>
      </c>
      <c r="D918" s="95" t="str">
        <f>IF(ISNUMBER(namespace_raw[[#This Row],[Column5]]), namespace_raw[[#This Row],[Column5]]/1048576, "")</f>
        <v/>
      </c>
      <c r="E918" s="95" t="str">
        <f>IF(ISNUMBER(namespace_raw[[#This Row],[Column6]]), namespace_raw[[#This Row],[Column6]],"")</f>
        <v/>
      </c>
      <c r="F918" s="96" t="str">
        <f>IF(ISNUMBER(namespace_raw[[#This Row],[Column7]]), namespace_raw[[#This Row],[Column7]]/1048576,"")</f>
        <v/>
      </c>
      <c r="G918" s="122" t="str">
        <f>IF(ISNUMBER(namespace_raw[[#This Row],[Column8]]), namespace_raw[[#This Row],[Column8]],"")</f>
        <v/>
      </c>
      <c r="H918" s="123" t="str">
        <f>IF(ISNUMBER(namespace_raw[[#This Row],[Column9]]), namespace_raw[[#This Row],[Column9]]/1048576,"")</f>
        <v/>
      </c>
      <c r="I918" s="124" t="str">
        <f>IF(ISNUMBER(namespace_raw[[#This Row],[Column8]]),MAX(G918, M918, O918, $I$2,IF(Q918&lt;&gt;"",VALUE(Q918),0)), "")</f>
        <v/>
      </c>
      <c r="J918" s="125" t="str">
        <f>IF(ISNUMBER(namespace_raw[[#This Row],[Column9]]),MAX(H918, N918, P918, $J$2,IF(R918&lt;&gt;"",VALUE(R918),0)),"")</f>
        <v/>
      </c>
      <c r="K918" s="166" t="str">
        <f>IF(ISNUMBER(namespace_raw[[#This Row],[Column12]]), namespace_raw[[#This Row],[Column12]],"")</f>
        <v/>
      </c>
      <c r="L918" s="167" t="str">
        <f>IF(ISNUMBER(namespace_raw[[#This Row],[Column13]]), namespace_raw[[#This Row],[Column13]]/1048576,"")</f>
        <v/>
      </c>
      <c r="M918" s="168" t="str">
        <f>IF(ISNUMBER(namespace_raw[[#This Row],[Column10]]), (namespace_raw[[#This Row],[Column10]]*(1+$M$2)),"")</f>
        <v/>
      </c>
      <c r="N918" s="167" t="str">
        <f>IF(ISNUMBER(namespace_raw[[#This Row],[Column11]]), (namespace_raw[[#This Row],[Column11]]*(1+$N$2))/1048576,"")</f>
        <v/>
      </c>
      <c r="O918" s="169" t="str">
        <f>IF(ISNUMBER(namespace_raw[[#This Row],[Column8]]), (E918  * $O$2),"")</f>
        <v/>
      </c>
      <c r="P918" s="170" t="str">
        <f>IF(ISNUMBER(namespace_raw[[#This Row],[Column8]]), (F918  * $P$2),"")</f>
        <v/>
      </c>
    </row>
    <row r="919" spans="1:16" ht="15" customHeight="1" x14ac:dyDescent="0.25">
      <c r="A919" s="32" t="str">
        <f>IF(ISNONTEXT(namespace_raw[[#This Row],[Column1]]), "", namespace_raw[[#This Row],[Column1]])</f>
        <v/>
      </c>
      <c r="B919" s="33" t="str">
        <f>IF(ISNONTEXT(namespace_raw[[#This Row],[Column2]]), "", namespace_raw[[#This Row],[Column2]])</f>
        <v/>
      </c>
      <c r="C919" s="94" t="str">
        <f>IF(ISNUMBER(namespace_raw[[#This Row],[Column4]]), namespace_raw[[#This Row],[Column4]], "")</f>
        <v/>
      </c>
      <c r="D919" s="95" t="str">
        <f>IF(ISNUMBER(namespace_raw[[#This Row],[Column5]]), namespace_raw[[#This Row],[Column5]]/1048576, "")</f>
        <v/>
      </c>
      <c r="E919" s="95" t="str">
        <f>IF(ISNUMBER(namespace_raw[[#This Row],[Column6]]), namespace_raw[[#This Row],[Column6]],"")</f>
        <v/>
      </c>
      <c r="F919" s="96" t="str">
        <f>IF(ISNUMBER(namespace_raw[[#This Row],[Column7]]), namespace_raw[[#This Row],[Column7]]/1048576,"")</f>
        <v/>
      </c>
      <c r="G919" s="122" t="str">
        <f>IF(ISNUMBER(namespace_raw[[#This Row],[Column8]]), namespace_raw[[#This Row],[Column8]],"")</f>
        <v/>
      </c>
      <c r="H919" s="123" t="str">
        <f>IF(ISNUMBER(namespace_raw[[#This Row],[Column9]]), namespace_raw[[#This Row],[Column9]]/1048576,"")</f>
        <v/>
      </c>
      <c r="I919" s="124" t="str">
        <f>IF(ISNUMBER(namespace_raw[[#This Row],[Column8]]),MAX(G919, M919, O919, $I$2,IF(Q919&lt;&gt;"",VALUE(Q919),0)), "")</f>
        <v/>
      </c>
      <c r="J919" s="125" t="str">
        <f>IF(ISNUMBER(namespace_raw[[#This Row],[Column9]]),MAX(H919, N919, P919, $J$2,IF(R919&lt;&gt;"",VALUE(R919),0)),"")</f>
        <v/>
      </c>
      <c r="K919" s="166" t="str">
        <f>IF(ISNUMBER(namespace_raw[[#This Row],[Column12]]), namespace_raw[[#This Row],[Column12]],"")</f>
        <v/>
      </c>
      <c r="L919" s="167" t="str">
        <f>IF(ISNUMBER(namespace_raw[[#This Row],[Column13]]), namespace_raw[[#This Row],[Column13]]/1048576,"")</f>
        <v/>
      </c>
      <c r="M919" s="168" t="str">
        <f>IF(ISNUMBER(namespace_raw[[#This Row],[Column10]]), (namespace_raw[[#This Row],[Column10]]*(1+$M$2)),"")</f>
        <v/>
      </c>
      <c r="N919" s="167" t="str">
        <f>IF(ISNUMBER(namespace_raw[[#This Row],[Column11]]), (namespace_raw[[#This Row],[Column11]]*(1+$N$2))/1048576,"")</f>
        <v/>
      </c>
      <c r="O919" s="169" t="str">
        <f>IF(ISNUMBER(namespace_raw[[#This Row],[Column8]]), (E919  * $O$2),"")</f>
        <v/>
      </c>
      <c r="P919" s="170" t="str">
        <f>IF(ISNUMBER(namespace_raw[[#This Row],[Column8]]), (F919  * $P$2),"")</f>
        <v/>
      </c>
    </row>
    <row r="920" spans="1:16" ht="15" customHeight="1" x14ac:dyDescent="0.25">
      <c r="A920" s="32" t="str">
        <f>IF(ISNONTEXT(namespace_raw[[#This Row],[Column1]]), "", namespace_raw[[#This Row],[Column1]])</f>
        <v/>
      </c>
      <c r="B920" s="33" t="str">
        <f>IF(ISNONTEXT(namespace_raw[[#This Row],[Column2]]), "", namespace_raw[[#This Row],[Column2]])</f>
        <v/>
      </c>
      <c r="C920" s="94" t="str">
        <f>IF(ISNUMBER(namespace_raw[[#This Row],[Column4]]), namespace_raw[[#This Row],[Column4]], "")</f>
        <v/>
      </c>
      <c r="D920" s="95" t="str">
        <f>IF(ISNUMBER(namespace_raw[[#This Row],[Column5]]), namespace_raw[[#This Row],[Column5]]/1048576, "")</f>
        <v/>
      </c>
      <c r="E920" s="95" t="str">
        <f>IF(ISNUMBER(namespace_raw[[#This Row],[Column6]]), namespace_raw[[#This Row],[Column6]],"")</f>
        <v/>
      </c>
      <c r="F920" s="96" t="str">
        <f>IF(ISNUMBER(namespace_raw[[#This Row],[Column7]]), namespace_raw[[#This Row],[Column7]]/1048576,"")</f>
        <v/>
      </c>
      <c r="G920" s="122" t="str">
        <f>IF(ISNUMBER(namespace_raw[[#This Row],[Column8]]), namespace_raw[[#This Row],[Column8]],"")</f>
        <v/>
      </c>
      <c r="H920" s="123" t="str">
        <f>IF(ISNUMBER(namespace_raw[[#This Row],[Column9]]), namespace_raw[[#This Row],[Column9]]/1048576,"")</f>
        <v/>
      </c>
      <c r="I920" s="124" t="str">
        <f>IF(ISNUMBER(namespace_raw[[#This Row],[Column8]]),MAX(G920, M920, O920, $I$2,IF(Q920&lt;&gt;"",VALUE(Q920),0)), "")</f>
        <v/>
      </c>
      <c r="J920" s="125" t="str">
        <f>IF(ISNUMBER(namespace_raw[[#This Row],[Column9]]),MAX(H920, N920, P920, $J$2,IF(R920&lt;&gt;"",VALUE(R920),0)),"")</f>
        <v/>
      </c>
      <c r="K920" s="166" t="str">
        <f>IF(ISNUMBER(namespace_raw[[#This Row],[Column12]]), namespace_raw[[#This Row],[Column12]],"")</f>
        <v/>
      </c>
      <c r="L920" s="167" t="str">
        <f>IF(ISNUMBER(namespace_raw[[#This Row],[Column13]]), namespace_raw[[#This Row],[Column13]]/1048576,"")</f>
        <v/>
      </c>
      <c r="M920" s="168" t="str">
        <f>IF(ISNUMBER(namespace_raw[[#This Row],[Column10]]), (namespace_raw[[#This Row],[Column10]]*(1+$M$2)),"")</f>
        <v/>
      </c>
      <c r="N920" s="167" t="str">
        <f>IF(ISNUMBER(namespace_raw[[#This Row],[Column11]]), (namespace_raw[[#This Row],[Column11]]*(1+$N$2))/1048576,"")</f>
        <v/>
      </c>
      <c r="O920" s="169" t="str">
        <f>IF(ISNUMBER(namespace_raw[[#This Row],[Column8]]), (E920  * $O$2),"")</f>
        <v/>
      </c>
      <c r="P920" s="170" t="str">
        <f>IF(ISNUMBER(namespace_raw[[#This Row],[Column8]]), (F920  * $P$2),"")</f>
        <v/>
      </c>
    </row>
    <row r="921" spans="1:16" ht="15" customHeight="1" x14ac:dyDescent="0.25">
      <c r="A921" s="32" t="str">
        <f>IF(ISNONTEXT(namespace_raw[[#This Row],[Column1]]), "", namespace_raw[[#This Row],[Column1]])</f>
        <v/>
      </c>
      <c r="B921" s="33" t="str">
        <f>IF(ISNONTEXT(namespace_raw[[#This Row],[Column2]]), "", namespace_raw[[#This Row],[Column2]])</f>
        <v/>
      </c>
      <c r="C921" s="94" t="str">
        <f>IF(ISNUMBER(namespace_raw[[#This Row],[Column4]]), namespace_raw[[#This Row],[Column4]], "")</f>
        <v/>
      </c>
      <c r="D921" s="95" t="str">
        <f>IF(ISNUMBER(namespace_raw[[#This Row],[Column5]]), namespace_raw[[#This Row],[Column5]]/1048576, "")</f>
        <v/>
      </c>
      <c r="E921" s="95" t="str">
        <f>IF(ISNUMBER(namespace_raw[[#This Row],[Column6]]), namespace_raw[[#This Row],[Column6]],"")</f>
        <v/>
      </c>
      <c r="F921" s="96" t="str">
        <f>IF(ISNUMBER(namespace_raw[[#This Row],[Column7]]), namespace_raw[[#This Row],[Column7]]/1048576,"")</f>
        <v/>
      </c>
      <c r="G921" s="122" t="str">
        <f>IF(ISNUMBER(namespace_raw[[#This Row],[Column8]]), namespace_raw[[#This Row],[Column8]],"")</f>
        <v/>
      </c>
      <c r="H921" s="123" t="str">
        <f>IF(ISNUMBER(namespace_raw[[#This Row],[Column9]]), namespace_raw[[#This Row],[Column9]]/1048576,"")</f>
        <v/>
      </c>
      <c r="I921" s="124" t="str">
        <f>IF(ISNUMBER(namespace_raw[[#This Row],[Column8]]),MAX(G921, M921, O921, $I$2,IF(Q921&lt;&gt;"",VALUE(Q921),0)), "")</f>
        <v/>
      </c>
      <c r="J921" s="125" t="str">
        <f>IF(ISNUMBER(namespace_raw[[#This Row],[Column9]]),MAX(H921, N921, P921, $J$2,IF(R921&lt;&gt;"",VALUE(R921),0)),"")</f>
        <v/>
      </c>
      <c r="K921" s="166" t="str">
        <f>IF(ISNUMBER(namespace_raw[[#This Row],[Column12]]), namespace_raw[[#This Row],[Column12]],"")</f>
        <v/>
      </c>
      <c r="L921" s="167" t="str">
        <f>IF(ISNUMBER(namespace_raw[[#This Row],[Column13]]), namespace_raw[[#This Row],[Column13]]/1048576,"")</f>
        <v/>
      </c>
      <c r="M921" s="168" t="str">
        <f>IF(ISNUMBER(namespace_raw[[#This Row],[Column10]]), (namespace_raw[[#This Row],[Column10]]*(1+$M$2)),"")</f>
        <v/>
      </c>
      <c r="N921" s="167" t="str">
        <f>IF(ISNUMBER(namespace_raw[[#This Row],[Column11]]), (namespace_raw[[#This Row],[Column11]]*(1+$N$2))/1048576,"")</f>
        <v/>
      </c>
      <c r="O921" s="169" t="str">
        <f>IF(ISNUMBER(namespace_raw[[#This Row],[Column8]]), (E921  * $O$2),"")</f>
        <v/>
      </c>
      <c r="P921" s="170" t="str">
        <f>IF(ISNUMBER(namespace_raw[[#This Row],[Column8]]), (F921  * $P$2),"")</f>
        <v/>
      </c>
    </row>
    <row r="922" spans="1:16" ht="15" customHeight="1" x14ac:dyDescent="0.25">
      <c r="A922" s="32" t="str">
        <f>IF(ISNONTEXT(namespace_raw[[#This Row],[Column1]]), "", namespace_raw[[#This Row],[Column1]])</f>
        <v/>
      </c>
      <c r="B922" s="33" t="str">
        <f>IF(ISNONTEXT(namespace_raw[[#This Row],[Column2]]), "", namespace_raw[[#This Row],[Column2]])</f>
        <v/>
      </c>
      <c r="C922" s="94" t="str">
        <f>IF(ISNUMBER(namespace_raw[[#This Row],[Column4]]), namespace_raw[[#This Row],[Column4]], "")</f>
        <v/>
      </c>
      <c r="D922" s="95" t="str">
        <f>IF(ISNUMBER(namespace_raw[[#This Row],[Column5]]), namespace_raw[[#This Row],[Column5]]/1048576, "")</f>
        <v/>
      </c>
      <c r="E922" s="95" t="str">
        <f>IF(ISNUMBER(namespace_raw[[#This Row],[Column6]]), namespace_raw[[#This Row],[Column6]],"")</f>
        <v/>
      </c>
      <c r="F922" s="96" t="str">
        <f>IF(ISNUMBER(namespace_raw[[#This Row],[Column7]]), namespace_raw[[#This Row],[Column7]]/1048576,"")</f>
        <v/>
      </c>
      <c r="G922" s="122" t="str">
        <f>IF(ISNUMBER(namespace_raw[[#This Row],[Column8]]), namespace_raw[[#This Row],[Column8]],"")</f>
        <v/>
      </c>
      <c r="H922" s="123" t="str">
        <f>IF(ISNUMBER(namespace_raw[[#This Row],[Column9]]), namespace_raw[[#This Row],[Column9]]/1048576,"")</f>
        <v/>
      </c>
      <c r="I922" s="124" t="str">
        <f>IF(ISNUMBER(namespace_raw[[#This Row],[Column8]]),MAX(G922, M922, O922, $I$2,IF(Q922&lt;&gt;"",VALUE(Q922),0)), "")</f>
        <v/>
      </c>
      <c r="J922" s="125" t="str">
        <f>IF(ISNUMBER(namespace_raw[[#This Row],[Column9]]),MAX(H922, N922, P922, $J$2,IF(R922&lt;&gt;"",VALUE(R922),0)),"")</f>
        <v/>
      </c>
      <c r="K922" s="166" t="str">
        <f>IF(ISNUMBER(namespace_raw[[#This Row],[Column12]]), namespace_raw[[#This Row],[Column12]],"")</f>
        <v/>
      </c>
      <c r="L922" s="167" t="str">
        <f>IF(ISNUMBER(namespace_raw[[#This Row],[Column13]]), namespace_raw[[#This Row],[Column13]]/1048576,"")</f>
        <v/>
      </c>
      <c r="M922" s="168" t="str">
        <f>IF(ISNUMBER(namespace_raw[[#This Row],[Column10]]), (namespace_raw[[#This Row],[Column10]]*(1+$M$2)),"")</f>
        <v/>
      </c>
      <c r="N922" s="167" t="str">
        <f>IF(ISNUMBER(namespace_raw[[#This Row],[Column11]]), (namespace_raw[[#This Row],[Column11]]*(1+$N$2))/1048576,"")</f>
        <v/>
      </c>
      <c r="O922" s="169" t="str">
        <f>IF(ISNUMBER(namespace_raw[[#This Row],[Column8]]), (E922  * $O$2),"")</f>
        <v/>
      </c>
      <c r="P922" s="170" t="str">
        <f>IF(ISNUMBER(namespace_raw[[#This Row],[Column8]]), (F922  * $P$2),"")</f>
        <v/>
      </c>
    </row>
    <row r="923" spans="1:16" ht="15" customHeight="1" x14ac:dyDescent="0.25">
      <c r="A923" s="32" t="str">
        <f>IF(ISNONTEXT(namespace_raw[[#This Row],[Column1]]), "", namespace_raw[[#This Row],[Column1]])</f>
        <v/>
      </c>
      <c r="B923" s="33" t="str">
        <f>IF(ISNONTEXT(namespace_raw[[#This Row],[Column2]]), "", namespace_raw[[#This Row],[Column2]])</f>
        <v/>
      </c>
      <c r="C923" s="94" t="str">
        <f>IF(ISNUMBER(namespace_raw[[#This Row],[Column4]]), namespace_raw[[#This Row],[Column4]], "")</f>
        <v/>
      </c>
      <c r="D923" s="95" t="str">
        <f>IF(ISNUMBER(namespace_raw[[#This Row],[Column5]]), namespace_raw[[#This Row],[Column5]]/1048576, "")</f>
        <v/>
      </c>
      <c r="E923" s="95" t="str">
        <f>IF(ISNUMBER(namespace_raw[[#This Row],[Column6]]), namespace_raw[[#This Row],[Column6]],"")</f>
        <v/>
      </c>
      <c r="F923" s="96" t="str">
        <f>IF(ISNUMBER(namespace_raw[[#This Row],[Column7]]), namespace_raw[[#This Row],[Column7]]/1048576,"")</f>
        <v/>
      </c>
      <c r="G923" s="122" t="str">
        <f>IF(ISNUMBER(namespace_raw[[#This Row],[Column8]]), namespace_raw[[#This Row],[Column8]],"")</f>
        <v/>
      </c>
      <c r="H923" s="123" t="str">
        <f>IF(ISNUMBER(namespace_raw[[#This Row],[Column9]]), namespace_raw[[#This Row],[Column9]]/1048576,"")</f>
        <v/>
      </c>
      <c r="I923" s="124" t="str">
        <f>IF(ISNUMBER(namespace_raw[[#This Row],[Column8]]),MAX(G923, M923, O923, $I$2,IF(Q923&lt;&gt;"",VALUE(Q923),0)), "")</f>
        <v/>
      </c>
      <c r="J923" s="125" t="str">
        <f>IF(ISNUMBER(namespace_raw[[#This Row],[Column9]]),MAX(H923, N923, P923, $J$2,IF(R923&lt;&gt;"",VALUE(R923),0)),"")</f>
        <v/>
      </c>
      <c r="K923" s="166" t="str">
        <f>IF(ISNUMBER(namespace_raw[[#This Row],[Column12]]), namespace_raw[[#This Row],[Column12]],"")</f>
        <v/>
      </c>
      <c r="L923" s="167" t="str">
        <f>IF(ISNUMBER(namespace_raw[[#This Row],[Column13]]), namespace_raw[[#This Row],[Column13]]/1048576,"")</f>
        <v/>
      </c>
      <c r="M923" s="168" t="str">
        <f>IF(ISNUMBER(namespace_raw[[#This Row],[Column10]]), (namespace_raw[[#This Row],[Column10]]*(1+$M$2)),"")</f>
        <v/>
      </c>
      <c r="N923" s="167" t="str">
        <f>IF(ISNUMBER(namespace_raw[[#This Row],[Column11]]), (namespace_raw[[#This Row],[Column11]]*(1+$N$2))/1048576,"")</f>
        <v/>
      </c>
      <c r="O923" s="169" t="str">
        <f>IF(ISNUMBER(namespace_raw[[#This Row],[Column8]]), (E923  * $O$2),"")</f>
        <v/>
      </c>
      <c r="P923" s="170" t="str">
        <f>IF(ISNUMBER(namespace_raw[[#This Row],[Column8]]), (F923  * $P$2),"")</f>
        <v/>
      </c>
    </row>
    <row r="924" spans="1:16" ht="15" customHeight="1" x14ac:dyDescent="0.25">
      <c r="A924" s="32" t="str">
        <f>IF(ISNONTEXT(namespace_raw[[#This Row],[Column1]]), "", namespace_raw[[#This Row],[Column1]])</f>
        <v/>
      </c>
      <c r="B924" s="33" t="str">
        <f>IF(ISNONTEXT(namespace_raw[[#This Row],[Column2]]), "", namespace_raw[[#This Row],[Column2]])</f>
        <v/>
      </c>
      <c r="C924" s="94" t="str">
        <f>IF(ISNUMBER(namespace_raw[[#This Row],[Column4]]), namespace_raw[[#This Row],[Column4]], "")</f>
        <v/>
      </c>
      <c r="D924" s="95" t="str">
        <f>IF(ISNUMBER(namespace_raw[[#This Row],[Column5]]), namespace_raw[[#This Row],[Column5]]/1048576, "")</f>
        <v/>
      </c>
      <c r="E924" s="95" t="str">
        <f>IF(ISNUMBER(namespace_raw[[#This Row],[Column6]]), namespace_raw[[#This Row],[Column6]],"")</f>
        <v/>
      </c>
      <c r="F924" s="96" t="str">
        <f>IF(ISNUMBER(namespace_raw[[#This Row],[Column7]]), namespace_raw[[#This Row],[Column7]]/1048576,"")</f>
        <v/>
      </c>
      <c r="G924" s="122" t="str">
        <f>IF(ISNUMBER(namespace_raw[[#This Row],[Column8]]), namespace_raw[[#This Row],[Column8]],"")</f>
        <v/>
      </c>
      <c r="H924" s="123" t="str">
        <f>IF(ISNUMBER(namespace_raw[[#This Row],[Column9]]), namespace_raw[[#This Row],[Column9]]/1048576,"")</f>
        <v/>
      </c>
      <c r="I924" s="124" t="str">
        <f>IF(ISNUMBER(namespace_raw[[#This Row],[Column8]]),MAX(G924, M924, O924, $I$2,IF(Q924&lt;&gt;"",VALUE(Q924),0)), "")</f>
        <v/>
      </c>
      <c r="J924" s="125" t="str">
        <f>IF(ISNUMBER(namespace_raw[[#This Row],[Column9]]),MAX(H924, N924, P924, $J$2,IF(R924&lt;&gt;"",VALUE(R924),0)),"")</f>
        <v/>
      </c>
      <c r="K924" s="166" t="str">
        <f>IF(ISNUMBER(namespace_raw[[#This Row],[Column12]]), namespace_raw[[#This Row],[Column12]],"")</f>
        <v/>
      </c>
      <c r="L924" s="167" t="str">
        <f>IF(ISNUMBER(namespace_raw[[#This Row],[Column13]]), namespace_raw[[#This Row],[Column13]]/1048576,"")</f>
        <v/>
      </c>
      <c r="M924" s="168" t="str">
        <f>IF(ISNUMBER(namespace_raw[[#This Row],[Column10]]), (namespace_raw[[#This Row],[Column10]]*(1+$M$2)),"")</f>
        <v/>
      </c>
      <c r="N924" s="167" t="str">
        <f>IF(ISNUMBER(namespace_raw[[#This Row],[Column11]]), (namespace_raw[[#This Row],[Column11]]*(1+$N$2))/1048576,"")</f>
        <v/>
      </c>
      <c r="O924" s="169" t="str">
        <f>IF(ISNUMBER(namespace_raw[[#This Row],[Column8]]), (E924  * $O$2),"")</f>
        <v/>
      </c>
      <c r="P924" s="170" t="str">
        <f>IF(ISNUMBER(namespace_raw[[#This Row],[Column8]]), (F924  * $P$2),"")</f>
        <v/>
      </c>
    </row>
    <row r="925" spans="1:16" ht="15" customHeight="1" x14ac:dyDescent="0.25">
      <c r="A925" s="32" t="str">
        <f>IF(ISNONTEXT(namespace_raw[[#This Row],[Column1]]), "", namespace_raw[[#This Row],[Column1]])</f>
        <v/>
      </c>
      <c r="B925" s="33" t="str">
        <f>IF(ISNONTEXT(namespace_raw[[#This Row],[Column2]]), "", namespace_raw[[#This Row],[Column2]])</f>
        <v/>
      </c>
      <c r="C925" s="94" t="str">
        <f>IF(ISNUMBER(namespace_raw[[#This Row],[Column4]]), namespace_raw[[#This Row],[Column4]], "")</f>
        <v/>
      </c>
      <c r="D925" s="95" t="str">
        <f>IF(ISNUMBER(namespace_raw[[#This Row],[Column5]]), namespace_raw[[#This Row],[Column5]]/1048576, "")</f>
        <v/>
      </c>
      <c r="E925" s="95" t="str">
        <f>IF(ISNUMBER(namespace_raw[[#This Row],[Column6]]), namespace_raw[[#This Row],[Column6]],"")</f>
        <v/>
      </c>
      <c r="F925" s="96" t="str">
        <f>IF(ISNUMBER(namespace_raw[[#This Row],[Column7]]), namespace_raw[[#This Row],[Column7]]/1048576,"")</f>
        <v/>
      </c>
      <c r="G925" s="122" t="str">
        <f>IF(ISNUMBER(namespace_raw[[#This Row],[Column8]]), namespace_raw[[#This Row],[Column8]],"")</f>
        <v/>
      </c>
      <c r="H925" s="123" t="str">
        <f>IF(ISNUMBER(namespace_raw[[#This Row],[Column9]]), namespace_raw[[#This Row],[Column9]]/1048576,"")</f>
        <v/>
      </c>
      <c r="I925" s="124" t="str">
        <f>IF(ISNUMBER(namespace_raw[[#This Row],[Column8]]),MAX(G925, M925, O925, $I$2,IF(Q925&lt;&gt;"",VALUE(Q925),0)), "")</f>
        <v/>
      </c>
      <c r="J925" s="125" t="str">
        <f>IF(ISNUMBER(namespace_raw[[#This Row],[Column9]]),MAX(H925, N925, P925, $J$2,IF(R925&lt;&gt;"",VALUE(R925),0)),"")</f>
        <v/>
      </c>
      <c r="K925" s="166" t="str">
        <f>IF(ISNUMBER(namespace_raw[[#This Row],[Column12]]), namespace_raw[[#This Row],[Column12]],"")</f>
        <v/>
      </c>
      <c r="L925" s="167" t="str">
        <f>IF(ISNUMBER(namespace_raw[[#This Row],[Column13]]), namespace_raw[[#This Row],[Column13]]/1048576,"")</f>
        <v/>
      </c>
      <c r="M925" s="168" t="str">
        <f>IF(ISNUMBER(namespace_raw[[#This Row],[Column10]]), (namespace_raw[[#This Row],[Column10]]*(1+$M$2)),"")</f>
        <v/>
      </c>
      <c r="N925" s="167" t="str">
        <f>IF(ISNUMBER(namespace_raw[[#This Row],[Column11]]), (namespace_raw[[#This Row],[Column11]]*(1+$N$2))/1048576,"")</f>
        <v/>
      </c>
      <c r="O925" s="169" t="str">
        <f>IF(ISNUMBER(namespace_raw[[#This Row],[Column8]]), (E925  * $O$2),"")</f>
        <v/>
      </c>
      <c r="P925" s="170" t="str">
        <f>IF(ISNUMBER(namespace_raw[[#This Row],[Column8]]), (F925  * $P$2),"")</f>
        <v/>
      </c>
    </row>
    <row r="926" spans="1:16" ht="15" customHeight="1" x14ac:dyDescent="0.25">
      <c r="A926" s="32" t="str">
        <f>IF(ISNONTEXT(namespace_raw[[#This Row],[Column1]]), "", namespace_raw[[#This Row],[Column1]])</f>
        <v/>
      </c>
      <c r="B926" s="33" t="str">
        <f>IF(ISNONTEXT(namespace_raw[[#This Row],[Column2]]), "", namespace_raw[[#This Row],[Column2]])</f>
        <v/>
      </c>
      <c r="C926" s="94" t="str">
        <f>IF(ISNUMBER(namespace_raw[[#This Row],[Column4]]), namespace_raw[[#This Row],[Column4]], "")</f>
        <v/>
      </c>
      <c r="D926" s="95" t="str">
        <f>IF(ISNUMBER(namespace_raw[[#This Row],[Column5]]), namespace_raw[[#This Row],[Column5]]/1048576, "")</f>
        <v/>
      </c>
      <c r="E926" s="95" t="str">
        <f>IF(ISNUMBER(namespace_raw[[#This Row],[Column6]]), namespace_raw[[#This Row],[Column6]],"")</f>
        <v/>
      </c>
      <c r="F926" s="96" t="str">
        <f>IF(ISNUMBER(namespace_raw[[#This Row],[Column7]]), namespace_raw[[#This Row],[Column7]]/1048576,"")</f>
        <v/>
      </c>
      <c r="G926" s="122" t="str">
        <f>IF(ISNUMBER(namespace_raw[[#This Row],[Column8]]), namespace_raw[[#This Row],[Column8]],"")</f>
        <v/>
      </c>
      <c r="H926" s="123" t="str">
        <f>IF(ISNUMBER(namespace_raw[[#This Row],[Column9]]), namespace_raw[[#This Row],[Column9]]/1048576,"")</f>
        <v/>
      </c>
      <c r="I926" s="124" t="str">
        <f>IF(ISNUMBER(namespace_raw[[#This Row],[Column8]]),MAX(G926, M926, O926, $I$2,IF(Q926&lt;&gt;"",VALUE(Q926),0)), "")</f>
        <v/>
      </c>
      <c r="J926" s="125" t="str">
        <f>IF(ISNUMBER(namespace_raw[[#This Row],[Column9]]),MAX(H926, N926, P926, $J$2,IF(R926&lt;&gt;"",VALUE(R926),0)),"")</f>
        <v/>
      </c>
      <c r="K926" s="166" t="str">
        <f>IF(ISNUMBER(namespace_raw[[#This Row],[Column12]]), namespace_raw[[#This Row],[Column12]],"")</f>
        <v/>
      </c>
      <c r="L926" s="167" t="str">
        <f>IF(ISNUMBER(namespace_raw[[#This Row],[Column13]]), namespace_raw[[#This Row],[Column13]]/1048576,"")</f>
        <v/>
      </c>
      <c r="M926" s="168" t="str">
        <f>IF(ISNUMBER(namespace_raw[[#This Row],[Column10]]), (namespace_raw[[#This Row],[Column10]]*(1+$M$2)),"")</f>
        <v/>
      </c>
      <c r="N926" s="167" t="str">
        <f>IF(ISNUMBER(namespace_raw[[#This Row],[Column11]]), (namespace_raw[[#This Row],[Column11]]*(1+$N$2))/1048576,"")</f>
        <v/>
      </c>
      <c r="O926" s="169" t="str">
        <f>IF(ISNUMBER(namespace_raw[[#This Row],[Column8]]), (E926  * $O$2),"")</f>
        <v/>
      </c>
      <c r="P926" s="170" t="str">
        <f>IF(ISNUMBER(namespace_raw[[#This Row],[Column8]]), (F926  * $P$2),"")</f>
        <v/>
      </c>
    </row>
    <row r="927" spans="1:16" ht="15" customHeight="1" x14ac:dyDescent="0.25">
      <c r="A927" s="32" t="str">
        <f>IF(ISNONTEXT(namespace_raw[[#This Row],[Column1]]), "", namespace_raw[[#This Row],[Column1]])</f>
        <v/>
      </c>
      <c r="B927" s="33" t="str">
        <f>IF(ISNONTEXT(namespace_raw[[#This Row],[Column2]]), "", namespace_raw[[#This Row],[Column2]])</f>
        <v/>
      </c>
      <c r="C927" s="94" t="str">
        <f>IF(ISNUMBER(namespace_raw[[#This Row],[Column4]]), namespace_raw[[#This Row],[Column4]], "")</f>
        <v/>
      </c>
      <c r="D927" s="95" t="str">
        <f>IF(ISNUMBER(namespace_raw[[#This Row],[Column5]]), namespace_raw[[#This Row],[Column5]]/1048576, "")</f>
        <v/>
      </c>
      <c r="E927" s="95" t="str">
        <f>IF(ISNUMBER(namespace_raw[[#This Row],[Column6]]), namespace_raw[[#This Row],[Column6]],"")</f>
        <v/>
      </c>
      <c r="F927" s="96" t="str">
        <f>IF(ISNUMBER(namespace_raw[[#This Row],[Column7]]), namespace_raw[[#This Row],[Column7]]/1048576,"")</f>
        <v/>
      </c>
      <c r="G927" s="122" t="str">
        <f>IF(ISNUMBER(namespace_raw[[#This Row],[Column8]]), namespace_raw[[#This Row],[Column8]],"")</f>
        <v/>
      </c>
      <c r="H927" s="123" t="str">
        <f>IF(ISNUMBER(namespace_raw[[#This Row],[Column9]]), namespace_raw[[#This Row],[Column9]]/1048576,"")</f>
        <v/>
      </c>
      <c r="I927" s="124" t="str">
        <f>IF(ISNUMBER(namespace_raw[[#This Row],[Column8]]),MAX(G927, M927, O927, $I$2,IF(Q927&lt;&gt;"",VALUE(Q927),0)), "")</f>
        <v/>
      </c>
      <c r="J927" s="125" t="str">
        <f>IF(ISNUMBER(namespace_raw[[#This Row],[Column9]]),MAX(H927, N927, P927, $J$2,IF(R927&lt;&gt;"",VALUE(R927),0)),"")</f>
        <v/>
      </c>
      <c r="K927" s="166" t="str">
        <f>IF(ISNUMBER(namespace_raw[[#This Row],[Column12]]), namespace_raw[[#This Row],[Column12]],"")</f>
        <v/>
      </c>
      <c r="L927" s="167" t="str">
        <f>IF(ISNUMBER(namespace_raw[[#This Row],[Column13]]), namespace_raw[[#This Row],[Column13]]/1048576,"")</f>
        <v/>
      </c>
      <c r="M927" s="168" t="str">
        <f>IF(ISNUMBER(namespace_raw[[#This Row],[Column10]]), (namespace_raw[[#This Row],[Column10]]*(1+$M$2)),"")</f>
        <v/>
      </c>
      <c r="N927" s="167" t="str">
        <f>IF(ISNUMBER(namespace_raw[[#This Row],[Column11]]), (namespace_raw[[#This Row],[Column11]]*(1+$N$2))/1048576,"")</f>
        <v/>
      </c>
      <c r="O927" s="169" t="str">
        <f>IF(ISNUMBER(namespace_raw[[#This Row],[Column8]]), (E927  * $O$2),"")</f>
        <v/>
      </c>
      <c r="P927" s="170" t="str">
        <f>IF(ISNUMBER(namespace_raw[[#This Row],[Column8]]), (F927  * $P$2),"")</f>
        <v/>
      </c>
    </row>
    <row r="928" spans="1:16" ht="15" customHeight="1" x14ac:dyDescent="0.25">
      <c r="A928" s="32" t="str">
        <f>IF(ISNONTEXT(namespace_raw[[#This Row],[Column1]]), "", namespace_raw[[#This Row],[Column1]])</f>
        <v/>
      </c>
      <c r="B928" s="33" t="str">
        <f>IF(ISNONTEXT(namespace_raw[[#This Row],[Column2]]), "", namespace_raw[[#This Row],[Column2]])</f>
        <v/>
      </c>
      <c r="C928" s="94" t="str">
        <f>IF(ISNUMBER(namespace_raw[[#This Row],[Column4]]), namespace_raw[[#This Row],[Column4]], "")</f>
        <v/>
      </c>
      <c r="D928" s="95" t="str">
        <f>IF(ISNUMBER(namespace_raw[[#This Row],[Column5]]), namespace_raw[[#This Row],[Column5]]/1048576, "")</f>
        <v/>
      </c>
      <c r="E928" s="95" t="str">
        <f>IF(ISNUMBER(namespace_raw[[#This Row],[Column6]]), namespace_raw[[#This Row],[Column6]],"")</f>
        <v/>
      </c>
      <c r="F928" s="96" t="str">
        <f>IF(ISNUMBER(namespace_raw[[#This Row],[Column7]]), namespace_raw[[#This Row],[Column7]]/1048576,"")</f>
        <v/>
      </c>
      <c r="G928" s="122" t="str">
        <f>IF(ISNUMBER(namespace_raw[[#This Row],[Column8]]), namespace_raw[[#This Row],[Column8]],"")</f>
        <v/>
      </c>
      <c r="H928" s="123" t="str">
        <f>IF(ISNUMBER(namespace_raw[[#This Row],[Column9]]), namespace_raw[[#This Row],[Column9]]/1048576,"")</f>
        <v/>
      </c>
      <c r="I928" s="124" t="str">
        <f>IF(ISNUMBER(namespace_raw[[#This Row],[Column8]]),MAX(G928, M928, O928, $I$2,IF(Q928&lt;&gt;"",VALUE(Q928),0)), "")</f>
        <v/>
      </c>
      <c r="J928" s="125" t="str">
        <f>IF(ISNUMBER(namespace_raw[[#This Row],[Column9]]),MAX(H928, N928, P928, $J$2,IF(R928&lt;&gt;"",VALUE(R928),0)),"")</f>
        <v/>
      </c>
      <c r="K928" s="166" t="str">
        <f>IF(ISNUMBER(namespace_raw[[#This Row],[Column12]]), namespace_raw[[#This Row],[Column12]],"")</f>
        <v/>
      </c>
      <c r="L928" s="167" t="str">
        <f>IF(ISNUMBER(namespace_raw[[#This Row],[Column13]]), namespace_raw[[#This Row],[Column13]]/1048576,"")</f>
        <v/>
      </c>
      <c r="M928" s="168" t="str">
        <f>IF(ISNUMBER(namespace_raw[[#This Row],[Column10]]), (namespace_raw[[#This Row],[Column10]]*(1+$M$2)),"")</f>
        <v/>
      </c>
      <c r="N928" s="167" t="str">
        <f>IF(ISNUMBER(namespace_raw[[#This Row],[Column11]]), (namespace_raw[[#This Row],[Column11]]*(1+$N$2))/1048576,"")</f>
        <v/>
      </c>
      <c r="O928" s="169" t="str">
        <f>IF(ISNUMBER(namespace_raw[[#This Row],[Column8]]), (E928  * $O$2),"")</f>
        <v/>
      </c>
      <c r="P928" s="170" t="str">
        <f>IF(ISNUMBER(namespace_raw[[#This Row],[Column8]]), (F928  * $P$2),"")</f>
        <v/>
      </c>
    </row>
    <row r="929" spans="1:16" ht="15" customHeight="1" x14ac:dyDescent="0.25">
      <c r="A929" s="32" t="str">
        <f>IF(ISNONTEXT(namespace_raw[[#This Row],[Column1]]), "", namespace_raw[[#This Row],[Column1]])</f>
        <v/>
      </c>
      <c r="B929" s="33" t="str">
        <f>IF(ISNONTEXT(namespace_raw[[#This Row],[Column2]]), "", namespace_raw[[#This Row],[Column2]])</f>
        <v/>
      </c>
      <c r="C929" s="94" t="str">
        <f>IF(ISNUMBER(namespace_raw[[#This Row],[Column4]]), namespace_raw[[#This Row],[Column4]], "")</f>
        <v/>
      </c>
      <c r="D929" s="95" t="str">
        <f>IF(ISNUMBER(namespace_raw[[#This Row],[Column5]]), namespace_raw[[#This Row],[Column5]]/1048576, "")</f>
        <v/>
      </c>
      <c r="E929" s="95" t="str">
        <f>IF(ISNUMBER(namespace_raw[[#This Row],[Column6]]), namespace_raw[[#This Row],[Column6]],"")</f>
        <v/>
      </c>
      <c r="F929" s="96" t="str">
        <f>IF(ISNUMBER(namespace_raw[[#This Row],[Column7]]), namespace_raw[[#This Row],[Column7]]/1048576,"")</f>
        <v/>
      </c>
      <c r="G929" s="122" t="str">
        <f>IF(ISNUMBER(namespace_raw[[#This Row],[Column8]]), namespace_raw[[#This Row],[Column8]],"")</f>
        <v/>
      </c>
      <c r="H929" s="123" t="str">
        <f>IF(ISNUMBER(namespace_raw[[#This Row],[Column9]]), namespace_raw[[#This Row],[Column9]]/1048576,"")</f>
        <v/>
      </c>
      <c r="I929" s="124" t="str">
        <f>IF(ISNUMBER(namespace_raw[[#This Row],[Column8]]),MAX(G929, M929, O929, $I$2,IF(Q929&lt;&gt;"",VALUE(Q929),0)), "")</f>
        <v/>
      </c>
      <c r="J929" s="125" t="str">
        <f>IF(ISNUMBER(namespace_raw[[#This Row],[Column9]]),MAX(H929, N929, P929, $J$2,IF(R929&lt;&gt;"",VALUE(R929),0)),"")</f>
        <v/>
      </c>
      <c r="K929" s="166" t="str">
        <f>IF(ISNUMBER(namespace_raw[[#This Row],[Column12]]), namespace_raw[[#This Row],[Column12]],"")</f>
        <v/>
      </c>
      <c r="L929" s="167" t="str">
        <f>IF(ISNUMBER(namespace_raw[[#This Row],[Column13]]), namespace_raw[[#This Row],[Column13]]/1048576,"")</f>
        <v/>
      </c>
      <c r="M929" s="168" t="str">
        <f>IF(ISNUMBER(namespace_raw[[#This Row],[Column10]]), (namespace_raw[[#This Row],[Column10]]*(1+$M$2)),"")</f>
        <v/>
      </c>
      <c r="N929" s="167" t="str">
        <f>IF(ISNUMBER(namespace_raw[[#This Row],[Column11]]), (namespace_raw[[#This Row],[Column11]]*(1+$N$2))/1048576,"")</f>
        <v/>
      </c>
      <c r="O929" s="169" t="str">
        <f>IF(ISNUMBER(namespace_raw[[#This Row],[Column8]]), (E929  * $O$2),"")</f>
        <v/>
      </c>
      <c r="P929" s="170" t="str">
        <f>IF(ISNUMBER(namespace_raw[[#This Row],[Column8]]), (F929  * $P$2),"")</f>
        <v/>
      </c>
    </row>
    <row r="930" spans="1:16" ht="15" customHeight="1" x14ac:dyDescent="0.25">
      <c r="A930" s="32" t="str">
        <f>IF(ISNONTEXT(namespace_raw[[#This Row],[Column1]]), "", namespace_raw[[#This Row],[Column1]])</f>
        <v/>
      </c>
      <c r="B930" s="33" t="str">
        <f>IF(ISNONTEXT(namespace_raw[[#This Row],[Column2]]), "", namespace_raw[[#This Row],[Column2]])</f>
        <v/>
      </c>
      <c r="C930" s="94" t="str">
        <f>IF(ISNUMBER(namespace_raw[[#This Row],[Column4]]), namespace_raw[[#This Row],[Column4]], "")</f>
        <v/>
      </c>
      <c r="D930" s="95" t="str">
        <f>IF(ISNUMBER(namespace_raw[[#This Row],[Column5]]), namespace_raw[[#This Row],[Column5]]/1048576, "")</f>
        <v/>
      </c>
      <c r="E930" s="95" t="str">
        <f>IF(ISNUMBER(namespace_raw[[#This Row],[Column6]]), namespace_raw[[#This Row],[Column6]],"")</f>
        <v/>
      </c>
      <c r="F930" s="96" t="str">
        <f>IF(ISNUMBER(namespace_raw[[#This Row],[Column7]]), namespace_raw[[#This Row],[Column7]]/1048576,"")</f>
        <v/>
      </c>
      <c r="G930" s="122" t="str">
        <f>IF(ISNUMBER(namespace_raw[[#This Row],[Column8]]), namespace_raw[[#This Row],[Column8]],"")</f>
        <v/>
      </c>
      <c r="H930" s="123" t="str">
        <f>IF(ISNUMBER(namespace_raw[[#This Row],[Column9]]), namespace_raw[[#This Row],[Column9]]/1048576,"")</f>
        <v/>
      </c>
      <c r="I930" s="124" t="str">
        <f>IF(ISNUMBER(namespace_raw[[#This Row],[Column8]]),MAX(G930, M930, O930, $I$2,IF(Q930&lt;&gt;"",VALUE(Q930),0)), "")</f>
        <v/>
      </c>
      <c r="J930" s="125" t="str">
        <f>IF(ISNUMBER(namespace_raw[[#This Row],[Column9]]),MAX(H930, N930, P930, $J$2,IF(R930&lt;&gt;"",VALUE(R930),0)),"")</f>
        <v/>
      </c>
      <c r="K930" s="166" t="str">
        <f>IF(ISNUMBER(namespace_raw[[#This Row],[Column12]]), namespace_raw[[#This Row],[Column12]],"")</f>
        <v/>
      </c>
      <c r="L930" s="167" t="str">
        <f>IF(ISNUMBER(namespace_raw[[#This Row],[Column13]]), namespace_raw[[#This Row],[Column13]]/1048576,"")</f>
        <v/>
      </c>
      <c r="M930" s="168" t="str">
        <f>IF(ISNUMBER(namespace_raw[[#This Row],[Column10]]), (namespace_raw[[#This Row],[Column10]]*(1+$M$2)),"")</f>
        <v/>
      </c>
      <c r="N930" s="167" t="str">
        <f>IF(ISNUMBER(namespace_raw[[#This Row],[Column11]]), (namespace_raw[[#This Row],[Column11]]*(1+$N$2))/1048576,"")</f>
        <v/>
      </c>
      <c r="O930" s="169" t="str">
        <f>IF(ISNUMBER(namespace_raw[[#This Row],[Column8]]), (E930  * $O$2),"")</f>
        <v/>
      </c>
      <c r="P930" s="170" t="str">
        <f>IF(ISNUMBER(namespace_raw[[#This Row],[Column8]]), (F930  * $P$2),"")</f>
        <v/>
      </c>
    </row>
    <row r="931" spans="1:16" ht="15" customHeight="1" x14ac:dyDescent="0.25">
      <c r="A931" s="32" t="str">
        <f>IF(ISNONTEXT(namespace_raw[[#This Row],[Column1]]), "", namespace_raw[[#This Row],[Column1]])</f>
        <v/>
      </c>
      <c r="B931" s="33" t="str">
        <f>IF(ISNONTEXT(namespace_raw[[#This Row],[Column2]]), "", namespace_raw[[#This Row],[Column2]])</f>
        <v/>
      </c>
      <c r="C931" s="94" t="str">
        <f>IF(ISNUMBER(namespace_raw[[#This Row],[Column4]]), namespace_raw[[#This Row],[Column4]], "")</f>
        <v/>
      </c>
      <c r="D931" s="95" t="str">
        <f>IF(ISNUMBER(namespace_raw[[#This Row],[Column5]]), namespace_raw[[#This Row],[Column5]]/1048576, "")</f>
        <v/>
      </c>
      <c r="E931" s="95" t="str">
        <f>IF(ISNUMBER(namespace_raw[[#This Row],[Column6]]), namespace_raw[[#This Row],[Column6]],"")</f>
        <v/>
      </c>
      <c r="F931" s="96" t="str">
        <f>IF(ISNUMBER(namespace_raw[[#This Row],[Column7]]), namespace_raw[[#This Row],[Column7]]/1048576,"")</f>
        <v/>
      </c>
      <c r="G931" s="122" t="str">
        <f>IF(ISNUMBER(namespace_raw[[#This Row],[Column8]]), namespace_raw[[#This Row],[Column8]],"")</f>
        <v/>
      </c>
      <c r="H931" s="123" t="str">
        <f>IF(ISNUMBER(namespace_raw[[#This Row],[Column9]]), namespace_raw[[#This Row],[Column9]]/1048576,"")</f>
        <v/>
      </c>
      <c r="I931" s="124" t="str">
        <f>IF(ISNUMBER(namespace_raw[[#This Row],[Column8]]),MAX(G931, M931, O931, $I$2,IF(Q931&lt;&gt;"",VALUE(Q931),0)), "")</f>
        <v/>
      </c>
      <c r="J931" s="125" t="str">
        <f>IF(ISNUMBER(namespace_raw[[#This Row],[Column9]]),MAX(H931, N931, P931, $J$2,IF(R931&lt;&gt;"",VALUE(R931),0)),"")</f>
        <v/>
      </c>
      <c r="K931" s="166" t="str">
        <f>IF(ISNUMBER(namespace_raw[[#This Row],[Column12]]), namespace_raw[[#This Row],[Column12]],"")</f>
        <v/>
      </c>
      <c r="L931" s="167" t="str">
        <f>IF(ISNUMBER(namespace_raw[[#This Row],[Column13]]), namespace_raw[[#This Row],[Column13]]/1048576,"")</f>
        <v/>
      </c>
      <c r="M931" s="168" t="str">
        <f>IF(ISNUMBER(namespace_raw[[#This Row],[Column10]]), (namespace_raw[[#This Row],[Column10]]*(1+$M$2)),"")</f>
        <v/>
      </c>
      <c r="N931" s="167" t="str">
        <f>IF(ISNUMBER(namespace_raw[[#This Row],[Column11]]), (namespace_raw[[#This Row],[Column11]]*(1+$N$2))/1048576,"")</f>
        <v/>
      </c>
      <c r="O931" s="169" t="str">
        <f>IF(ISNUMBER(namespace_raw[[#This Row],[Column8]]), (E931  * $O$2),"")</f>
        <v/>
      </c>
      <c r="P931" s="170" t="str">
        <f>IF(ISNUMBER(namespace_raw[[#This Row],[Column8]]), (F931  * $P$2),"")</f>
        <v/>
      </c>
    </row>
    <row r="932" spans="1:16" ht="15" customHeight="1" x14ac:dyDescent="0.25">
      <c r="A932" s="32" t="str">
        <f>IF(ISNONTEXT(namespace_raw[[#This Row],[Column1]]), "", namespace_raw[[#This Row],[Column1]])</f>
        <v/>
      </c>
      <c r="B932" s="33" t="str">
        <f>IF(ISNONTEXT(namespace_raw[[#This Row],[Column2]]), "", namespace_raw[[#This Row],[Column2]])</f>
        <v/>
      </c>
      <c r="C932" s="94" t="str">
        <f>IF(ISNUMBER(namespace_raw[[#This Row],[Column4]]), namespace_raw[[#This Row],[Column4]], "")</f>
        <v/>
      </c>
      <c r="D932" s="95" t="str">
        <f>IF(ISNUMBER(namespace_raw[[#This Row],[Column5]]), namespace_raw[[#This Row],[Column5]]/1048576, "")</f>
        <v/>
      </c>
      <c r="E932" s="95" t="str">
        <f>IF(ISNUMBER(namespace_raw[[#This Row],[Column6]]), namespace_raw[[#This Row],[Column6]],"")</f>
        <v/>
      </c>
      <c r="F932" s="96" t="str">
        <f>IF(ISNUMBER(namespace_raw[[#This Row],[Column7]]), namespace_raw[[#This Row],[Column7]]/1048576,"")</f>
        <v/>
      </c>
      <c r="G932" s="122" t="str">
        <f>IF(ISNUMBER(namespace_raw[[#This Row],[Column8]]), namespace_raw[[#This Row],[Column8]],"")</f>
        <v/>
      </c>
      <c r="H932" s="123" t="str">
        <f>IF(ISNUMBER(namespace_raw[[#This Row],[Column9]]), namespace_raw[[#This Row],[Column9]]/1048576,"")</f>
        <v/>
      </c>
      <c r="I932" s="124" t="str">
        <f>IF(ISNUMBER(namespace_raw[[#This Row],[Column8]]),MAX(G932, M932, O932, $I$2,IF(Q932&lt;&gt;"",VALUE(Q932),0)), "")</f>
        <v/>
      </c>
      <c r="J932" s="125" t="str">
        <f>IF(ISNUMBER(namespace_raw[[#This Row],[Column9]]),MAX(H932, N932, P932, $J$2,IF(R932&lt;&gt;"",VALUE(R932),0)),"")</f>
        <v/>
      </c>
      <c r="K932" s="166" t="str">
        <f>IF(ISNUMBER(namespace_raw[[#This Row],[Column12]]), namespace_raw[[#This Row],[Column12]],"")</f>
        <v/>
      </c>
      <c r="L932" s="167" t="str">
        <f>IF(ISNUMBER(namespace_raw[[#This Row],[Column13]]), namespace_raw[[#This Row],[Column13]]/1048576,"")</f>
        <v/>
      </c>
      <c r="M932" s="168" t="str">
        <f>IF(ISNUMBER(namespace_raw[[#This Row],[Column10]]), (namespace_raw[[#This Row],[Column10]]*(1+$M$2)),"")</f>
        <v/>
      </c>
      <c r="N932" s="167" t="str">
        <f>IF(ISNUMBER(namespace_raw[[#This Row],[Column11]]), (namespace_raw[[#This Row],[Column11]]*(1+$N$2))/1048576,"")</f>
        <v/>
      </c>
      <c r="O932" s="169" t="str">
        <f>IF(ISNUMBER(namespace_raw[[#This Row],[Column8]]), (E932  * $O$2),"")</f>
        <v/>
      </c>
      <c r="P932" s="170" t="str">
        <f>IF(ISNUMBER(namespace_raw[[#This Row],[Column8]]), (F932  * $P$2),"")</f>
        <v/>
      </c>
    </row>
    <row r="933" spans="1:16" ht="15" customHeight="1" x14ac:dyDescent="0.25">
      <c r="A933" s="32" t="str">
        <f>IF(ISNONTEXT(namespace_raw[[#This Row],[Column1]]), "", namespace_raw[[#This Row],[Column1]])</f>
        <v/>
      </c>
      <c r="B933" s="33" t="str">
        <f>IF(ISNONTEXT(namespace_raw[[#This Row],[Column2]]), "", namespace_raw[[#This Row],[Column2]])</f>
        <v/>
      </c>
      <c r="C933" s="94" t="str">
        <f>IF(ISNUMBER(namespace_raw[[#This Row],[Column4]]), namespace_raw[[#This Row],[Column4]], "")</f>
        <v/>
      </c>
      <c r="D933" s="95" t="str">
        <f>IF(ISNUMBER(namespace_raw[[#This Row],[Column5]]), namespace_raw[[#This Row],[Column5]]/1048576, "")</f>
        <v/>
      </c>
      <c r="E933" s="95" t="str">
        <f>IF(ISNUMBER(namespace_raw[[#This Row],[Column6]]), namespace_raw[[#This Row],[Column6]],"")</f>
        <v/>
      </c>
      <c r="F933" s="96" t="str">
        <f>IF(ISNUMBER(namespace_raw[[#This Row],[Column7]]), namespace_raw[[#This Row],[Column7]]/1048576,"")</f>
        <v/>
      </c>
      <c r="G933" s="122" t="str">
        <f>IF(ISNUMBER(namespace_raw[[#This Row],[Column8]]), namespace_raw[[#This Row],[Column8]],"")</f>
        <v/>
      </c>
      <c r="H933" s="123" t="str">
        <f>IF(ISNUMBER(namespace_raw[[#This Row],[Column9]]), namespace_raw[[#This Row],[Column9]]/1048576,"")</f>
        <v/>
      </c>
      <c r="I933" s="124" t="str">
        <f>IF(ISNUMBER(namespace_raw[[#This Row],[Column8]]),MAX(G933, M933, O933, $I$2,IF(Q933&lt;&gt;"",VALUE(Q933),0)), "")</f>
        <v/>
      </c>
      <c r="J933" s="125" t="str">
        <f>IF(ISNUMBER(namespace_raw[[#This Row],[Column9]]),MAX(H933, N933, P933, $J$2,IF(R933&lt;&gt;"",VALUE(R933),0)),"")</f>
        <v/>
      </c>
      <c r="K933" s="166" t="str">
        <f>IF(ISNUMBER(namespace_raw[[#This Row],[Column12]]), namespace_raw[[#This Row],[Column12]],"")</f>
        <v/>
      </c>
      <c r="L933" s="167" t="str">
        <f>IF(ISNUMBER(namespace_raw[[#This Row],[Column13]]), namespace_raw[[#This Row],[Column13]]/1048576,"")</f>
        <v/>
      </c>
      <c r="M933" s="168" t="str">
        <f>IF(ISNUMBER(namespace_raw[[#This Row],[Column10]]), (namespace_raw[[#This Row],[Column10]]*(1+$M$2)),"")</f>
        <v/>
      </c>
      <c r="N933" s="167" t="str">
        <f>IF(ISNUMBER(namespace_raw[[#This Row],[Column11]]), (namespace_raw[[#This Row],[Column11]]*(1+$N$2))/1048576,"")</f>
        <v/>
      </c>
      <c r="O933" s="169" t="str">
        <f>IF(ISNUMBER(namespace_raw[[#This Row],[Column8]]), (E933  * $O$2),"")</f>
        <v/>
      </c>
      <c r="P933" s="170" t="str">
        <f>IF(ISNUMBER(namespace_raw[[#This Row],[Column8]]), (F933  * $P$2),"")</f>
        <v/>
      </c>
    </row>
    <row r="934" spans="1:16" ht="15" customHeight="1" x14ac:dyDescent="0.25">
      <c r="A934" s="32" t="str">
        <f>IF(ISNONTEXT(namespace_raw[[#This Row],[Column1]]), "", namespace_raw[[#This Row],[Column1]])</f>
        <v/>
      </c>
      <c r="B934" s="33" t="str">
        <f>IF(ISNONTEXT(namespace_raw[[#This Row],[Column2]]), "", namespace_raw[[#This Row],[Column2]])</f>
        <v/>
      </c>
      <c r="C934" s="94" t="str">
        <f>IF(ISNUMBER(namespace_raw[[#This Row],[Column4]]), namespace_raw[[#This Row],[Column4]], "")</f>
        <v/>
      </c>
      <c r="D934" s="95" t="str">
        <f>IF(ISNUMBER(namespace_raw[[#This Row],[Column5]]), namespace_raw[[#This Row],[Column5]]/1048576, "")</f>
        <v/>
      </c>
      <c r="E934" s="95" t="str">
        <f>IF(ISNUMBER(namespace_raw[[#This Row],[Column6]]), namespace_raw[[#This Row],[Column6]],"")</f>
        <v/>
      </c>
      <c r="F934" s="96" t="str">
        <f>IF(ISNUMBER(namespace_raw[[#This Row],[Column7]]), namespace_raw[[#This Row],[Column7]]/1048576,"")</f>
        <v/>
      </c>
      <c r="G934" s="122" t="str">
        <f>IF(ISNUMBER(namespace_raw[[#This Row],[Column8]]), namespace_raw[[#This Row],[Column8]],"")</f>
        <v/>
      </c>
      <c r="H934" s="123" t="str">
        <f>IF(ISNUMBER(namespace_raw[[#This Row],[Column9]]), namespace_raw[[#This Row],[Column9]]/1048576,"")</f>
        <v/>
      </c>
      <c r="I934" s="124" t="str">
        <f>IF(ISNUMBER(namespace_raw[[#This Row],[Column8]]),MAX(G934, M934, O934, $I$2,IF(Q934&lt;&gt;"",VALUE(Q934),0)), "")</f>
        <v/>
      </c>
      <c r="J934" s="125" t="str">
        <f>IF(ISNUMBER(namespace_raw[[#This Row],[Column9]]),MAX(H934, N934, P934, $J$2,IF(R934&lt;&gt;"",VALUE(R934),0)),"")</f>
        <v/>
      </c>
      <c r="K934" s="166" t="str">
        <f>IF(ISNUMBER(namespace_raw[[#This Row],[Column12]]), namespace_raw[[#This Row],[Column12]],"")</f>
        <v/>
      </c>
      <c r="L934" s="167" t="str">
        <f>IF(ISNUMBER(namespace_raw[[#This Row],[Column13]]), namespace_raw[[#This Row],[Column13]]/1048576,"")</f>
        <v/>
      </c>
      <c r="M934" s="168" t="str">
        <f>IF(ISNUMBER(namespace_raw[[#This Row],[Column10]]), (namespace_raw[[#This Row],[Column10]]*(1+$M$2)),"")</f>
        <v/>
      </c>
      <c r="N934" s="167" t="str">
        <f>IF(ISNUMBER(namespace_raw[[#This Row],[Column11]]), (namespace_raw[[#This Row],[Column11]]*(1+$N$2))/1048576,"")</f>
        <v/>
      </c>
      <c r="O934" s="169" t="str">
        <f>IF(ISNUMBER(namespace_raw[[#This Row],[Column8]]), (E934  * $O$2),"")</f>
        <v/>
      </c>
      <c r="P934" s="170" t="str">
        <f>IF(ISNUMBER(namespace_raw[[#This Row],[Column8]]), (F934  * $P$2),"")</f>
        <v/>
      </c>
    </row>
    <row r="935" spans="1:16" ht="15" customHeight="1" x14ac:dyDescent="0.25">
      <c r="A935" s="32" t="str">
        <f>IF(ISNONTEXT(namespace_raw[[#This Row],[Column1]]), "", namespace_raw[[#This Row],[Column1]])</f>
        <v/>
      </c>
      <c r="B935" s="33" t="str">
        <f>IF(ISNONTEXT(namespace_raw[[#This Row],[Column2]]), "", namespace_raw[[#This Row],[Column2]])</f>
        <v/>
      </c>
      <c r="C935" s="94" t="str">
        <f>IF(ISNUMBER(namespace_raw[[#This Row],[Column4]]), namespace_raw[[#This Row],[Column4]], "")</f>
        <v/>
      </c>
      <c r="D935" s="95" t="str">
        <f>IF(ISNUMBER(namespace_raw[[#This Row],[Column5]]), namespace_raw[[#This Row],[Column5]]/1048576, "")</f>
        <v/>
      </c>
      <c r="E935" s="95" t="str">
        <f>IF(ISNUMBER(namespace_raw[[#This Row],[Column6]]), namespace_raw[[#This Row],[Column6]],"")</f>
        <v/>
      </c>
      <c r="F935" s="96" t="str">
        <f>IF(ISNUMBER(namespace_raw[[#This Row],[Column7]]), namespace_raw[[#This Row],[Column7]]/1048576,"")</f>
        <v/>
      </c>
      <c r="G935" s="122" t="str">
        <f>IF(ISNUMBER(namespace_raw[[#This Row],[Column8]]), namespace_raw[[#This Row],[Column8]],"")</f>
        <v/>
      </c>
      <c r="H935" s="123" t="str">
        <f>IF(ISNUMBER(namespace_raw[[#This Row],[Column9]]), namespace_raw[[#This Row],[Column9]]/1048576,"")</f>
        <v/>
      </c>
      <c r="I935" s="124" t="str">
        <f>IF(ISNUMBER(namespace_raw[[#This Row],[Column8]]),MAX(G935, M935, O935, $I$2,IF(Q935&lt;&gt;"",VALUE(Q935),0)), "")</f>
        <v/>
      </c>
      <c r="J935" s="125" t="str">
        <f>IF(ISNUMBER(namespace_raw[[#This Row],[Column9]]),MAX(H935, N935, P935, $J$2,IF(R935&lt;&gt;"",VALUE(R935),0)),"")</f>
        <v/>
      </c>
      <c r="K935" s="166" t="str">
        <f>IF(ISNUMBER(namespace_raw[[#This Row],[Column12]]), namespace_raw[[#This Row],[Column12]],"")</f>
        <v/>
      </c>
      <c r="L935" s="167" t="str">
        <f>IF(ISNUMBER(namespace_raw[[#This Row],[Column13]]), namespace_raw[[#This Row],[Column13]]/1048576,"")</f>
        <v/>
      </c>
      <c r="M935" s="168" t="str">
        <f>IF(ISNUMBER(namespace_raw[[#This Row],[Column10]]), (namespace_raw[[#This Row],[Column10]]*(1+$M$2)),"")</f>
        <v/>
      </c>
      <c r="N935" s="167" t="str">
        <f>IF(ISNUMBER(namespace_raw[[#This Row],[Column11]]), (namespace_raw[[#This Row],[Column11]]*(1+$N$2))/1048576,"")</f>
        <v/>
      </c>
      <c r="O935" s="169" t="str">
        <f>IF(ISNUMBER(namespace_raw[[#This Row],[Column8]]), (E935  * $O$2),"")</f>
        <v/>
      </c>
      <c r="P935" s="170" t="str">
        <f>IF(ISNUMBER(namespace_raw[[#This Row],[Column8]]), (F935  * $P$2),"")</f>
        <v/>
      </c>
    </row>
    <row r="936" spans="1:16" ht="15" customHeight="1" x14ac:dyDescent="0.25">
      <c r="A936" s="32" t="str">
        <f>IF(ISNONTEXT(namespace_raw[[#This Row],[Column1]]), "", namespace_raw[[#This Row],[Column1]])</f>
        <v/>
      </c>
      <c r="B936" s="33" t="str">
        <f>IF(ISNONTEXT(namespace_raw[[#This Row],[Column2]]), "", namespace_raw[[#This Row],[Column2]])</f>
        <v/>
      </c>
      <c r="C936" s="94" t="str">
        <f>IF(ISNUMBER(namespace_raw[[#This Row],[Column4]]), namespace_raw[[#This Row],[Column4]], "")</f>
        <v/>
      </c>
      <c r="D936" s="95" t="str">
        <f>IF(ISNUMBER(namespace_raw[[#This Row],[Column5]]), namespace_raw[[#This Row],[Column5]]/1048576, "")</f>
        <v/>
      </c>
      <c r="E936" s="95" t="str">
        <f>IF(ISNUMBER(namespace_raw[[#This Row],[Column6]]), namespace_raw[[#This Row],[Column6]],"")</f>
        <v/>
      </c>
      <c r="F936" s="96" t="str">
        <f>IF(ISNUMBER(namespace_raw[[#This Row],[Column7]]), namespace_raw[[#This Row],[Column7]]/1048576,"")</f>
        <v/>
      </c>
      <c r="G936" s="122" t="str">
        <f>IF(ISNUMBER(namespace_raw[[#This Row],[Column8]]), namespace_raw[[#This Row],[Column8]],"")</f>
        <v/>
      </c>
      <c r="H936" s="123" t="str">
        <f>IF(ISNUMBER(namespace_raw[[#This Row],[Column9]]), namespace_raw[[#This Row],[Column9]]/1048576,"")</f>
        <v/>
      </c>
      <c r="I936" s="124" t="str">
        <f>IF(ISNUMBER(namespace_raw[[#This Row],[Column8]]),MAX(G936, M936, O936, $I$2,IF(Q936&lt;&gt;"",VALUE(Q936),0)), "")</f>
        <v/>
      </c>
      <c r="J936" s="125" t="str">
        <f>IF(ISNUMBER(namespace_raw[[#This Row],[Column9]]),MAX(H936, N936, P936, $J$2,IF(R936&lt;&gt;"",VALUE(R936),0)),"")</f>
        <v/>
      </c>
      <c r="K936" s="166" t="str">
        <f>IF(ISNUMBER(namespace_raw[[#This Row],[Column12]]), namespace_raw[[#This Row],[Column12]],"")</f>
        <v/>
      </c>
      <c r="L936" s="167" t="str">
        <f>IF(ISNUMBER(namespace_raw[[#This Row],[Column13]]), namespace_raw[[#This Row],[Column13]]/1048576,"")</f>
        <v/>
      </c>
      <c r="M936" s="168" t="str">
        <f>IF(ISNUMBER(namespace_raw[[#This Row],[Column10]]), (namespace_raw[[#This Row],[Column10]]*(1+$M$2)),"")</f>
        <v/>
      </c>
      <c r="N936" s="167" t="str">
        <f>IF(ISNUMBER(namespace_raw[[#This Row],[Column11]]), (namespace_raw[[#This Row],[Column11]]*(1+$N$2))/1048576,"")</f>
        <v/>
      </c>
      <c r="O936" s="169" t="str">
        <f>IF(ISNUMBER(namespace_raw[[#This Row],[Column8]]), (E936  * $O$2),"")</f>
        <v/>
      </c>
      <c r="P936" s="170" t="str">
        <f>IF(ISNUMBER(namespace_raw[[#This Row],[Column8]]), (F936  * $P$2),"")</f>
        <v/>
      </c>
    </row>
    <row r="937" spans="1:16" ht="15" customHeight="1" x14ac:dyDescent="0.25">
      <c r="A937" s="32" t="str">
        <f>IF(ISNONTEXT(namespace_raw[[#This Row],[Column1]]), "", namespace_raw[[#This Row],[Column1]])</f>
        <v/>
      </c>
      <c r="B937" s="33" t="str">
        <f>IF(ISNONTEXT(namespace_raw[[#This Row],[Column2]]), "", namespace_raw[[#This Row],[Column2]])</f>
        <v/>
      </c>
      <c r="C937" s="94" t="str">
        <f>IF(ISNUMBER(namespace_raw[[#This Row],[Column4]]), namespace_raw[[#This Row],[Column4]], "")</f>
        <v/>
      </c>
      <c r="D937" s="95" t="str">
        <f>IF(ISNUMBER(namespace_raw[[#This Row],[Column5]]), namespace_raw[[#This Row],[Column5]]/1048576, "")</f>
        <v/>
      </c>
      <c r="E937" s="95" t="str">
        <f>IF(ISNUMBER(namespace_raw[[#This Row],[Column6]]), namespace_raw[[#This Row],[Column6]],"")</f>
        <v/>
      </c>
      <c r="F937" s="96" t="str">
        <f>IF(ISNUMBER(namespace_raw[[#This Row],[Column7]]), namespace_raw[[#This Row],[Column7]]/1048576,"")</f>
        <v/>
      </c>
      <c r="G937" s="122" t="str">
        <f>IF(ISNUMBER(namespace_raw[[#This Row],[Column8]]), namespace_raw[[#This Row],[Column8]],"")</f>
        <v/>
      </c>
      <c r="H937" s="123" t="str">
        <f>IF(ISNUMBER(namespace_raw[[#This Row],[Column9]]), namespace_raw[[#This Row],[Column9]]/1048576,"")</f>
        <v/>
      </c>
      <c r="I937" s="124" t="str">
        <f>IF(ISNUMBER(namespace_raw[[#This Row],[Column8]]),MAX(G937, M937, O937, $I$2,IF(Q937&lt;&gt;"",VALUE(Q937),0)), "")</f>
        <v/>
      </c>
      <c r="J937" s="125" t="str">
        <f>IF(ISNUMBER(namespace_raw[[#This Row],[Column9]]),MAX(H937, N937, P937, $J$2,IF(R937&lt;&gt;"",VALUE(R937),0)),"")</f>
        <v/>
      </c>
      <c r="K937" s="166" t="str">
        <f>IF(ISNUMBER(namespace_raw[[#This Row],[Column12]]), namespace_raw[[#This Row],[Column12]],"")</f>
        <v/>
      </c>
      <c r="L937" s="167" t="str">
        <f>IF(ISNUMBER(namespace_raw[[#This Row],[Column13]]), namespace_raw[[#This Row],[Column13]]/1048576,"")</f>
        <v/>
      </c>
      <c r="M937" s="168" t="str">
        <f>IF(ISNUMBER(namespace_raw[[#This Row],[Column10]]), (namespace_raw[[#This Row],[Column10]]*(1+$M$2)),"")</f>
        <v/>
      </c>
      <c r="N937" s="167" t="str">
        <f>IF(ISNUMBER(namespace_raw[[#This Row],[Column11]]), (namespace_raw[[#This Row],[Column11]]*(1+$N$2))/1048576,"")</f>
        <v/>
      </c>
      <c r="O937" s="169" t="str">
        <f>IF(ISNUMBER(namespace_raw[[#This Row],[Column8]]), (E937  * $O$2),"")</f>
        <v/>
      </c>
      <c r="P937" s="170" t="str">
        <f>IF(ISNUMBER(namespace_raw[[#This Row],[Column8]]), (F937  * $P$2),"")</f>
        <v/>
      </c>
    </row>
    <row r="938" spans="1:16" ht="15" customHeight="1" x14ac:dyDescent="0.25">
      <c r="A938" s="32" t="str">
        <f>IF(ISNONTEXT(namespace_raw[[#This Row],[Column1]]), "", namespace_raw[[#This Row],[Column1]])</f>
        <v/>
      </c>
      <c r="B938" s="33" t="str">
        <f>IF(ISNONTEXT(namespace_raw[[#This Row],[Column2]]), "", namespace_raw[[#This Row],[Column2]])</f>
        <v/>
      </c>
      <c r="C938" s="94" t="str">
        <f>IF(ISNUMBER(namespace_raw[[#This Row],[Column4]]), namespace_raw[[#This Row],[Column4]], "")</f>
        <v/>
      </c>
      <c r="D938" s="95" t="str">
        <f>IF(ISNUMBER(namespace_raw[[#This Row],[Column5]]), namespace_raw[[#This Row],[Column5]]/1048576, "")</f>
        <v/>
      </c>
      <c r="E938" s="95" t="str">
        <f>IF(ISNUMBER(namespace_raw[[#This Row],[Column6]]), namespace_raw[[#This Row],[Column6]],"")</f>
        <v/>
      </c>
      <c r="F938" s="96" t="str">
        <f>IF(ISNUMBER(namespace_raw[[#This Row],[Column7]]), namespace_raw[[#This Row],[Column7]]/1048576,"")</f>
        <v/>
      </c>
      <c r="G938" s="122" t="str">
        <f>IF(ISNUMBER(namespace_raw[[#This Row],[Column8]]), namespace_raw[[#This Row],[Column8]],"")</f>
        <v/>
      </c>
      <c r="H938" s="123" t="str">
        <f>IF(ISNUMBER(namespace_raw[[#This Row],[Column9]]), namespace_raw[[#This Row],[Column9]]/1048576,"")</f>
        <v/>
      </c>
      <c r="I938" s="124" t="str">
        <f>IF(ISNUMBER(namespace_raw[[#This Row],[Column8]]),MAX(G938, M938, O938, $I$2,IF(Q938&lt;&gt;"",VALUE(Q938),0)), "")</f>
        <v/>
      </c>
      <c r="J938" s="125" t="str">
        <f>IF(ISNUMBER(namespace_raw[[#This Row],[Column9]]),MAX(H938, N938, P938, $J$2,IF(R938&lt;&gt;"",VALUE(R938),0)),"")</f>
        <v/>
      </c>
      <c r="K938" s="166" t="str">
        <f>IF(ISNUMBER(namespace_raw[[#This Row],[Column12]]), namespace_raw[[#This Row],[Column12]],"")</f>
        <v/>
      </c>
      <c r="L938" s="167" t="str">
        <f>IF(ISNUMBER(namespace_raw[[#This Row],[Column13]]), namespace_raw[[#This Row],[Column13]]/1048576,"")</f>
        <v/>
      </c>
      <c r="M938" s="168" t="str">
        <f>IF(ISNUMBER(namespace_raw[[#This Row],[Column10]]), (namespace_raw[[#This Row],[Column10]]*(1+$M$2)),"")</f>
        <v/>
      </c>
      <c r="N938" s="167" t="str">
        <f>IF(ISNUMBER(namespace_raw[[#This Row],[Column11]]), (namespace_raw[[#This Row],[Column11]]*(1+$N$2))/1048576,"")</f>
        <v/>
      </c>
      <c r="O938" s="169" t="str">
        <f>IF(ISNUMBER(namespace_raw[[#This Row],[Column8]]), (E938  * $O$2),"")</f>
        <v/>
      </c>
      <c r="P938" s="170" t="str">
        <f>IF(ISNUMBER(namespace_raw[[#This Row],[Column8]]), (F938  * $P$2),"")</f>
        <v/>
      </c>
    </row>
    <row r="939" spans="1:16" ht="15" customHeight="1" x14ac:dyDescent="0.25">
      <c r="A939" s="32" t="str">
        <f>IF(ISNONTEXT(namespace_raw[[#This Row],[Column1]]), "", namespace_raw[[#This Row],[Column1]])</f>
        <v/>
      </c>
      <c r="B939" s="33" t="str">
        <f>IF(ISNONTEXT(namespace_raw[[#This Row],[Column2]]), "", namespace_raw[[#This Row],[Column2]])</f>
        <v/>
      </c>
      <c r="C939" s="94" t="str">
        <f>IF(ISNUMBER(namespace_raw[[#This Row],[Column4]]), namespace_raw[[#This Row],[Column4]], "")</f>
        <v/>
      </c>
      <c r="D939" s="95" t="str">
        <f>IF(ISNUMBER(namespace_raw[[#This Row],[Column5]]), namespace_raw[[#This Row],[Column5]]/1048576, "")</f>
        <v/>
      </c>
      <c r="E939" s="95" t="str">
        <f>IF(ISNUMBER(namespace_raw[[#This Row],[Column6]]), namespace_raw[[#This Row],[Column6]],"")</f>
        <v/>
      </c>
      <c r="F939" s="96" t="str">
        <f>IF(ISNUMBER(namespace_raw[[#This Row],[Column7]]), namespace_raw[[#This Row],[Column7]]/1048576,"")</f>
        <v/>
      </c>
      <c r="G939" s="122" t="str">
        <f>IF(ISNUMBER(namespace_raw[[#This Row],[Column8]]), namespace_raw[[#This Row],[Column8]],"")</f>
        <v/>
      </c>
      <c r="H939" s="123" t="str">
        <f>IF(ISNUMBER(namespace_raw[[#This Row],[Column9]]), namespace_raw[[#This Row],[Column9]]/1048576,"")</f>
        <v/>
      </c>
      <c r="I939" s="124" t="str">
        <f>IF(ISNUMBER(namespace_raw[[#This Row],[Column8]]),MAX(G939, M939, O939, $I$2,IF(Q939&lt;&gt;"",VALUE(Q939),0)), "")</f>
        <v/>
      </c>
      <c r="J939" s="125" t="str">
        <f>IF(ISNUMBER(namespace_raw[[#This Row],[Column9]]),MAX(H939, N939, P939, $J$2,IF(R939&lt;&gt;"",VALUE(R939),0)),"")</f>
        <v/>
      </c>
      <c r="K939" s="166" t="str">
        <f>IF(ISNUMBER(namespace_raw[[#This Row],[Column12]]), namespace_raw[[#This Row],[Column12]],"")</f>
        <v/>
      </c>
      <c r="L939" s="167" t="str">
        <f>IF(ISNUMBER(namespace_raw[[#This Row],[Column13]]), namespace_raw[[#This Row],[Column13]]/1048576,"")</f>
        <v/>
      </c>
      <c r="M939" s="168" t="str">
        <f>IF(ISNUMBER(namespace_raw[[#This Row],[Column10]]), (namespace_raw[[#This Row],[Column10]]*(1+$M$2)),"")</f>
        <v/>
      </c>
      <c r="N939" s="167" t="str">
        <f>IF(ISNUMBER(namespace_raw[[#This Row],[Column11]]), (namespace_raw[[#This Row],[Column11]]*(1+$N$2))/1048576,"")</f>
        <v/>
      </c>
      <c r="O939" s="169" t="str">
        <f>IF(ISNUMBER(namespace_raw[[#This Row],[Column8]]), (E939  * $O$2),"")</f>
        <v/>
      </c>
      <c r="P939" s="170" t="str">
        <f>IF(ISNUMBER(namespace_raw[[#This Row],[Column8]]), (F939  * $P$2),"")</f>
        <v/>
      </c>
    </row>
    <row r="940" spans="1:16" ht="15" customHeight="1" x14ac:dyDescent="0.25">
      <c r="A940" s="32" t="str">
        <f>IF(ISNONTEXT(namespace_raw[[#This Row],[Column1]]), "", namespace_raw[[#This Row],[Column1]])</f>
        <v/>
      </c>
      <c r="B940" s="33" t="str">
        <f>IF(ISNONTEXT(namespace_raw[[#This Row],[Column2]]), "", namespace_raw[[#This Row],[Column2]])</f>
        <v/>
      </c>
      <c r="C940" s="94" t="str">
        <f>IF(ISNUMBER(namespace_raw[[#This Row],[Column4]]), namespace_raw[[#This Row],[Column4]], "")</f>
        <v/>
      </c>
      <c r="D940" s="95" t="str">
        <f>IF(ISNUMBER(namespace_raw[[#This Row],[Column5]]), namespace_raw[[#This Row],[Column5]]/1048576, "")</f>
        <v/>
      </c>
      <c r="E940" s="95" t="str">
        <f>IF(ISNUMBER(namespace_raw[[#This Row],[Column6]]), namespace_raw[[#This Row],[Column6]],"")</f>
        <v/>
      </c>
      <c r="F940" s="96" t="str">
        <f>IF(ISNUMBER(namespace_raw[[#This Row],[Column7]]), namespace_raw[[#This Row],[Column7]]/1048576,"")</f>
        <v/>
      </c>
      <c r="G940" s="122" t="str">
        <f>IF(ISNUMBER(namespace_raw[[#This Row],[Column8]]), namespace_raw[[#This Row],[Column8]],"")</f>
        <v/>
      </c>
      <c r="H940" s="123" t="str">
        <f>IF(ISNUMBER(namespace_raw[[#This Row],[Column9]]), namespace_raw[[#This Row],[Column9]]/1048576,"")</f>
        <v/>
      </c>
      <c r="I940" s="124" t="str">
        <f>IF(ISNUMBER(namespace_raw[[#This Row],[Column8]]),MAX(G940, M940, O940, $I$2,IF(Q940&lt;&gt;"",VALUE(Q940),0)), "")</f>
        <v/>
      </c>
      <c r="J940" s="125" t="str">
        <f>IF(ISNUMBER(namespace_raw[[#This Row],[Column9]]),MAX(H940, N940, P940, $J$2,IF(R940&lt;&gt;"",VALUE(R940),0)),"")</f>
        <v/>
      </c>
      <c r="K940" s="166" t="str">
        <f>IF(ISNUMBER(namespace_raw[[#This Row],[Column12]]), namespace_raw[[#This Row],[Column12]],"")</f>
        <v/>
      </c>
      <c r="L940" s="167" t="str">
        <f>IF(ISNUMBER(namespace_raw[[#This Row],[Column13]]), namespace_raw[[#This Row],[Column13]]/1048576,"")</f>
        <v/>
      </c>
      <c r="M940" s="168" t="str">
        <f>IF(ISNUMBER(namespace_raw[[#This Row],[Column10]]), (namespace_raw[[#This Row],[Column10]]*(1+$M$2)),"")</f>
        <v/>
      </c>
      <c r="N940" s="167" t="str">
        <f>IF(ISNUMBER(namespace_raw[[#This Row],[Column11]]), (namespace_raw[[#This Row],[Column11]]*(1+$N$2))/1048576,"")</f>
        <v/>
      </c>
      <c r="O940" s="169" t="str">
        <f>IF(ISNUMBER(namespace_raw[[#This Row],[Column8]]), (E940  * $O$2),"")</f>
        <v/>
      </c>
      <c r="P940" s="170" t="str">
        <f>IF(ISNUMBER(namespace_raw[[#This Row],[Column8]]), (F940  * $P$2),"")</f>
        <v/>
      </c>
    </row>
    <row r="941" spans="1:16" ht="15" customHeight="1" x14ac:dyDescent="0.25">
      <c r="A941" s="32" t="str">
        <f>IF(ISNONTEXT(namespace_raw[[#This Row],[Column1]]), "", namespace_raw[[#This Row],[Column1]])</f>
        <v/>
      </c>
      <c r="B941" s="33" t="str">
        <f>IF(ISNONTEXT(namespace_raw[[#This Row],[Column2]]), "", namespace_raw[[#This Row],[Column2]])</f>
        <v/>
      </c>
      <c r="C941" s="94" t="str">
        <f>IF(ISNUMBER(namespace_raw[[#This Row],[Column4]]), namespace_raw[[#This Row],[Column4]], "")</f>
        <v/>
      </c>
      <c r="D941" s="95" t="str">
        <f>IF(ISNUMBER(namespace_raw[[#This Row],[Column5]]), namespace_raw[[#This Row],[Column5]]/1048576, "")</f>
        <v/>
      </c>
      <c r="E941" s="95" t="str">
        <f>IF(ISNUMBER(namespace_raw[[#This Row],[Column6]]), namespace_raw[[#This Row],[Column6]],"")</f>
        <v/>
      </c>
      <c r="F941" s="96" t="str">
        <f>IF(ISNUMBER(namespace_raw[[#This Row],[Column7]]), namespace_raw[[#This Row],[Column7]]/1048576,"")</f>
        <v/>
      </c>
      <c r="G941" s="122" t="str">
        <f>IF(ISNUMBER(namespace_raw[[#This Row],[Column8]]), namespace_raw[[#This Row],[Column8]],"")</f>
        <v/>
      </c>
      <c r="H941" s="123" t="str">
        <f>IF(ISNUMBER(namespace_raw[[#This Row],[Column9]]), namespace_raw[[#This Row],[Column9]]/1048576,"")</f>
        <v/>
      </c>
      <c r="I941" s="124" t="str">
        <f>IF(ISNUMBER(namespace_raw[[#This Row],[Column8]]),MAX(G941, M941, O941, $I$2,IF(Q941&lt;&gt;"",VALUE(Q941),0)), "")</f>
        <v/>
      </c>
      <c r="J941" s="125" t="str">
        <f>IF(ISNUMBER(namespace_raw[[#This Row],[Column9]]),MAX(H941, N941, P941, $J$2,IF(R941&lt;&gt;"",VALUE(R941),0)),"")</f>
        <v/>
      </c>
      <c r="K941" s="166" t="str">
        <f>IF(ISNUMBER(namespace_raw[[#This Row],[Column12]]), namespace_raw[[#This Row],[Column12]],"")</f>
        <v/>
      </c>
      <c r="L941" s="167" t="str">
        <f>IF(ISNUMBER(namespace_raw[[#This Row],[Column13]]), namespace_raw[[#This Row],[Column13]]/1048576,"")</f>
        <v/>
      </c>
      <c r="M941" s="168" t="str">
        <f>IF(ISNUMBER(namespace_raw[[#This Row],[Column10]]), (namespace_raw[[#This Row],[Column10]]*(1+$M$2)),"")</f>
        <v/>
      </c>
      <c r="N941" s="167" t="str">
        <f>IF(ISNUMBER(namespace_raw[[#This Row],[Column11]]), (namespace_raw[[#This Row],[Column11]]*(1+$N$2))/1048576,"")</f>
        <v/>
      </c>
      <c r="O941" s="169" t="str">
        <f>IF(ISNUMBER(namespace_raw[[#This Row],[Column8]]), (E941  * $O$2),"")</f>
        <v/>
      </c>
      <c r="P941" s="170" t="str">
        <f>IF(ISNUMBER(namespace_raw[[#This Row],[Column8]]), (F941  * $P$2),"")</f>
        <v/>
      </c>
    </row>
    <row r="942" spans="1:16" ht="15" customHeight="1" x14ac:dyDescent="0.25">
      <c r="A942" s="32" t="str">
        <f>IF(ISNONTEXT(namespace_raw[[#This Row],[Column1]]), "", namespace_raw[[#This Row],[Column1]])</f>
        <v/>
      </c>
      <c r="B942" s="33" t="str">
        <f>IF(ISNONTEXT(namespace_raw[[#This Row],[Column2]]), "", namespace_raw[[#This Row],[Column2]])</f>
        <v/>
      </c>
      <c r="C942" s="94" t="str">
        <f>IF(ISNUMBER(namespace_raw[[#This Row],[Column4]]), namespace_raw[[#This Row],[Column4]], "")</f>
        <v/>
      </c>
      <c r="D942" s="95" t="str">
        <f>IF(ISNUMBER(namespace_raw[[#This Row],[Column5]]), namespace_raw[[#This Row],[Column5]]/1048576, "")</f>
        <v/>
      </c>
      <c r="E942" s="95" t="str">
        <f>IF(ISNUMBER(namespace_raw[[#This Row],[Column6]]), namespace_raw[[#This Row],[Column6]],"")</f>
        <v/>
      </c>
      <c r="F942" s="96" t="str">
        <f>IF(ISNUMBER(namespace_raw[[#This Row],[Column7]]), namespace_raw[[#This Row],[Column7]]/1048576,"")</f>
        <v/>
      </c>
      <c r="G942" s="122" t="str">
        <f>IF(ISNUMBER(namespace_raw[[#This Row],[Column8]]), namespace_raw[[#This Row],[Column8]],"")</f>
        <v/>
      </c>
      <c r="H942" s="123" t="str">
        <f>IF(ISNUMBER(namespace_raw[[#This Row],[Column9]]), namespace_raw[[#This Row],[Column9]]/1048576,"")</f>
        <v/>
      </c>
      <c r="I942" s="124" t="str">
        <f>IF(ISNUMBER(namespace_raw[[#This Row],[Column8]]),MAX(G942, M942, O942, $I$2,IF(Q942&lt;&gt;"",VALUE(Q942),0)), "")</f>
        <v/>
      </c>
      <c r="J942" s="125" t="str">
        <f>IF(ISNUMBER(namespace_raw[[#This Row],[Column9]]),MAX(H942, N942, P942, $J$2,IF(R942&lt;&gt;"",VALUE(R942),0)),"")</f>
        <v/>
      </c>
      <c r="K942" s="166" t="str">
        <f>IF(ISNUMBER(namespace_raw[[#This Row],[Column12]]), namespace_raw[[#This Row],[Column12]],"")</f>
        <v/>
      </c>
      <c r="L942" s="167" t="str">
        <f>IF(ISNUMBER(namespace_raw[[#This Row],[Column13]]), namespace_raw[[#This Row],[Column13]]/1048576,"")</f>
        <v/>
      </c>
      <c r="M942" s="168" t="str">
        <f>IF(ISNUMBER(namespace_raw[[#This Row],[Column10]]), (namespace_raw[[#This Row],[Column10]]*(1+$M$2)),"")</f>
        <v/>
      </c>
      <c r="N942" s="167" t="str">
        <f>IF(ISNUMBER(namespace_raw[[#This Row],[Column11]]), (namespace_raw[[#This Row],[Column11]]*(1+$N$2))/1048576,"")</f>
        <v/>
      </c>
      <c r="O942" s="169" t="str">
        <f>IF(ISNUMBER(namespace_raw[[#This Row],[Column8]]), (E942  * $O$2),"")</f>
        <v/>
      </c>
      <c r="P942" s="170" t="str">
        <f>IF(ISNUMBER(namespace_raw[[#This Row],[Column8]]), (F942  * $P$2),"")</f>
        <v/>
      </c>
    </row>
    <row r="943" spans="1:16" ht="15" customHeight="1" x14ac:dyDescent="0.25">
      <c r="A943" s="32" t="str">
        <f>IF(ISNONTEXT(namespace_raw[[#This Row],[Column1]]), "", namespace_raw[[#This Row],[Column1]])</f>
        <v/>
      </c>
      <c r="B943" s="33" t="str">
        <f>IF(ISNONTEXT(namespace_raw[[#This Row],[Column2]]), "", namespace_raw[[#This Row],[Column2]])</f>
        <v/>
      </c>
      <c r="C943" s="94" t="str">
        <f>IF(ISNUMBER(namespace_raw[[#This Row],[Column4]]), namespace_raw[[#This Row],[Column4]], "")</f>
        <v/>
      </c>
      <c r="D943" s="95" t="str">
        <f>IF(ISNUMBER(namespace_raw[[#This Row],[Column5]]), namespace_raw[[#This Row],[Column5]]/1048576, "")</f>
        <v/>
      </c>
      <c r="E943" s="95" t="str">
        <f>IF(ISNUMBER(namespace_raw[[#This Row],[Column6]]), namespace_raw[[#This Row],[Column6]],"")</f>
        <v/>
      </c>
      <c r="F943" s="96" t="str">
        <f>IF(ISNUMBER(namespace_raw[[#This Row],[Column7]]), namespace_raw[[#This Row],[Column7]]/1048576,"")</f>
        <v/>
      </c>
      <c r="G943" s="122" t="str">
        <f>IF(ISNUMBER(namespace_raw[[#This Row],[Column8]]), namespace_raw[[#This Row],[Column8]],"")</f>
        <v/>
      </c>
      <c r="H943" s="123" t="str">
        <f>IF(ISNUMBER(namespace_raw[[#This Row],[Column9]]), namespace_raw[[#This Row],[Column9]]/1048576,"")</f>
        <v/>
      </c>
      <c r="I943" s="124" t="str">
        <f>IF(ISNUMBER(namespace_raw[[#This Row],[Column8]]),MAX(G943, M943, O943, $I$2,IF(Q943&lt;&gt;"",VALUE(Q943),0)), "")</f>
        <v/>
      </c>
      <c r="J943" s="125" t="str">
        <f>IF(ISNUMBER(namespace_raw[[#This Row],[Column9]]),MAX(H943, N943, P943, $J$2,IF(R943&lt;&gt;"",VALUE(R943),0)),"")</f>
        <v/>
      </c>
      <c r="K943" s="166" t="str">
        <f>IF(ISNUMBER(namespace_raw[[#This Row],[Column12]]), namespace_raw[[#This Row],[Column12]],"")</f>
        <v/>
      </c>
      <c r="L943" s="167" t="str">
        <f>IF(ISNUMBER(namespace_raw[[#This Row],[Column13]]), namespace_raw[[#This Row],[Column13]]/1048576,"")</f>
        <v/>
      </c>
      <c r="M943" s="168" t="str">
        <f>IF(ISNUMBER(namespace_raw[[#This Row],[Column10]]), (namespace_raw[[#This Row],[Column10]]*(1+$M$2)),"")</f>
        <v/>
      </c>
      <c r="N943" s="167" t="str">
        <f>IF(ISNUMBER(namespace_raw[[#This Row],[Column11]]), (namespace_raw[[#This Row],[Column11]]*(1+$N$2))/1048576,"")</f>
        <v/>
      </c>
      <c r="O943" s="169" t="str">
        <f>IF(ISNUMBER(namespace_raw[[#This Row],[Column8]]), (E943  * $O$2),"")</f>
        <v/>
      </c>
      <c r="P943" s="170" t="str">
        <f>IF(ISNUMBER(namespace_raw[[#This Row],[Column8]]), (F943  * $P$2),"")</f>
        <v/>
      </c>
    </row>
    <row r="944" spans="1:16" ht="15" customHeight="1" x14ac:dyDescent="0.25">
      <c r="A944" s="32" t="str">
        <f>IF(ISNONTEXT(namespace_raw[[#This Row],[Column1]]), "", namespace_raw[[#This Row],[Column1]])</f>
        <v/>
      </c>
      <c r="B944" s="33" t="str">
        <f>IF(ISNONTEXT(namespace_raw[[#This Row],[Column2]]), "", namespace_raw[[#This Row],[Column2]])</f>
        <v/>
      </c>
      <c r="C944" s="94" t="str">
        <f>IF(ISNUMBER(namespace_raw[[#This Row],[Column4]]), namespace_raw[[#This Row],[Column4]], "")</f>
        <v/>
      </c>
      <c r="D944" s="95" t="str">
        <f>IF(ISNUMBER(namespace_raw[[#This Row],[Column5]]), namespace_raw[[#This Row],[Column5]]/1048576, "")</f>
        <v/>
      </c>
      <c r="E944" s="95" t="str">
        <f>IF(ISNUMBER(namespace_raw[[#This Row],[Column6]]), namespace_raw[[#This Row],[Column6]],"")</f>
        <v/>
      </c>
      <c r="F944" s="96" t="str">
        <f>IF(ISNUMBER(namespace_raw[[#This Row],[Column7]]), namespace_raw[[#This Row],[Column7]]/1048576,"")</f>
        <v/>
      </c>
      <c r="G944" s="122" t="str">
        <f>IF(ISNUMBER(namespace_raw[[#This Row],[Column8]]), namespace_raw[[#This Row],[Column8]],"")</f>
        <v/>
      </c>
      <c r="H944" s="123" t="str">
        <f>IF(ISNUMBER(namespace_raw[[#This Row],[Column9]]), namespace_raw[[#This Row],[Column9]]/1048576,"")</f>
        <v/>
      </c>
      <c r="I944" s="124" t="str">
        <f>IF(ISNUMBER(namespace_raw[[#This Row],[Column8]]),MAX(G944, M944, O944, $I$2,IF(Q944&lt;&gt;"",VALUE(Q944),0)), "")</f>
        <v/>
      </c>
      <c r="J944" s="125" t="str">
        <f>IF(ISNUMBER(namespace_raw[[#This Row],[Column9]]),MAX(H944, N944, P944, $J$2,IF(R944&lt;&gt;"",VALUE(R944),0)),"")</f>
        <v/>
      </c>
      <c r="K944" s="166" t="str">
        <f>IF(ISNUMBER(namespace_raw[[#This Row],[Column12]]), namespace_raw[[#This Row],[Column12]],"")</f>
        <v/>
      </c>
      <c r="L944" s="167" t="str">
        <f>IF(ISNUMBER(namespace_raw[[#This Row],[Column13]]), namespace_raw[[#This Row],[Column13]]/1048576,"")</f>
        <v/>
      </c>
      <c r="M944" s="168" t="str">
        <f>IF(ISNUMBER(namespace_raw[[#This Row],[Column10]]), (namespace_raw[[#This Row],[Column10]]*(1+$M$2)),"")</f>
        <v/>
      </c>
      <c r="N944" s="167" t="str">
        <f>IF(ISNUMBER(namespace_raw[[#This Row],[Column11]]), (namespace_raw[[#This Row],[Column11]]*(1+$N$2))/1048576,"")</f>
        <v/>
      </c>
      <c r="O944" s="169" t="str">
        <f>IF(ISNUMBER(namespace_raw[[#This Row],[Column8]]), (E944  * $O$2),"")</f>
        <v/>
      </c>
      <c r="P944" s="170" t="str">
        <f>IF(ISNUMBER(namespace_raw[[#This Row],[Column8]]), (F944  * $P$2),"")</f>
        <v/>
      </c>
    </row>
    <row r="945" spans="1:16" ht="15" customHeight="1" x14ac:dyDescent="0.25">
      <c r="A945" s="32" t="str">
        <f>IF(ISNONTEXT(namespace_raw[[#This Row],[Column1]]), "", namespace_raw[[#This Row],[Column1]])</f>
        <v/>
      </c>
      <c r="B945" s="33" t="str">
        <f>IF(ISNONTEXT(namespace_raw[[#This Row],[Column2]]), "", namespace_raw[[#This Row],[Column2]])</f>
        <v/>
      </c>
      <c r="C945" s="94" t="str">
        <f>IF(ISNUMBER(namespace_raw[[#This Row],[Column4]]), namespace_raw[[#This Row],[Column4]], "")</f>
        <v/>
      </c>
      <c r="D945" s="95" t="str">
        <f>IF(ISNUMBER(namespace_raw[[#This Row],[Column5]]), namespace_raw[[#This Row],[Column5]]/1048576, "")</f>
        <v/>
      </c>
      <c r="E945" s="95" t="str">
        <f>IF(ISNUMBER(namespace_raw[[#This Row],[Column6]]), namespace_raw[[#This Row],[Column6]],"")</f>
        <v/>
      </c>
      <c r="F945" s="96" t="str">
        <f>IF(ISNUMBER(namespace_raw[[#This Row],[Column7]]), namespace_raw[[#This Row],[Column7]]/1048576,"")</f>
        <v/>
      </c>
      <c r="G945" s="122" t="str">
        <f>IF(ISNUMBER(namespace_raw[[#This Row],[Column8]]), namespace_raw[[#This Row],[Column8]],"")</f>
        <v/>
      </c>
      <c r="H945" s="123" t="str">
        <f>IF(ISNUMBER(namespace_raw[[#This Row],[Column9]]), namespace_raw[[#This Row],[Column9]]/1048576,"")</f>
        <v/>
      </c>
      <c r="I945" s="124" t="str">
        <f>IF(ISNUMBER(namespace_raw[[#This Row],[Column8]]),MAX(G945, M945, O945, $I$2,IF(Q945&lt;&gt;"",VALUE(Q945),0)), "")</f>
        <v/>
      </c>
      <c r="J945" s="125" t="str">
        <f>IF(ISNUMBER(namespace_raw[[#This Row],[Column9]]),MAX(H945, N945, P945, $J$2,IF(R945&lt;&gt;"",VALUE(R945),0)),"")</f>
        <v/>
      </c>
      <c r="K945" s="166" t="str">
        <f>IF(ISNUMBER(namespace_raw[[#This Row],[Column12]]), namespace_raw[[#This Row],[Column12]],"")</f>
        <v/>
      </c>
      <c r="L945" s="167" t="str">
        <f>IF(ISNUMBER(namespace_raw[[#This Row],[Column13]]), namespace_raw[[#This Row],[Column13]]/1048576,"")</f>
        <v/>
      </c>
      <c r="M945" s="168" t="str">
        <f>IF(ISNUMBER(namespace_raw[[#This Row],[Column10]]), (namespace_raw[[#This Row],[Column10]]*(1+$M$2)),"")</f>
        <v/>
      </c>
      <c r="N945" s="167" t="str">
        <f>IF(ISNUMBER(namespace_raw[[#This Row],[Column11]]), (namespace_raw[[#This Row],[Column11]]*(1+$N$2))/1048576,"")</f>
        <v/>
      </c>
      <c r="O945" s="169" t="str">
        <f>IF(ISNUMBER(namespace_raw[[#This Row],[Column8]]), (E945  * $O$2),"")</f>
        <v/>
      </c>
      <c r="P945" s="170" t="str">
        <f>IF(ISNUMBER(namespace_raw[[#This Row],[Column8]]), (F945  * $P$2),"")</f>
        <v/>
      </c>
    </row>
    <row r="946" spans="1:16" ht="15" customHeight="1" x14ac:dyDescent="0.25">
      <c r="A946" s="32" t="str">
        <f>IF(ISNONTEXT(namespace_raw[[#This Row],[Column1]]), "", namespace_raw[[#This Row],[Column1]])</f>
        <v/>
      </c>
      <c r="B946" s="33" t="str">
        <f>IF(ISNONTEXT(namespace_raw[[#This Row],[Column2]]), "", namespace_raw[[#This Row],[Column2]])</f>
        <v/>
      </c>
      <c r="C946" s="94" t="str">
        <f>IF(ISNUMBER(namespace_raw[[#This Row],[Column4]]), namespace_raw[[#This Row],[Column4]], "")</f>
        <v/>
      </c>
      <c r="D946" s="95" t="str">
        <f>IF(ISNUMBER(namespace_raw[[#This Row],[Column5]]), namespace_raw[[#This Row],[Column5]]/1048576, "")</f>
        <v/>
      </c>
      <c r="E946" s="95" t="str">
        <f>IF(ISNUMBER(namespace_raw[[#This Row],[Column6]]), namespace_raw[[#This Row],[Column6]],"")</f>
        <v/>
      </c>
      <c r="F946" s="96" t="str">
        <f>IF(ISNUMBER(namespace_raw[[#This Row],[Column7]]), namespace_raw[[#This Row],[Column7]]/1048576,"")</f>
        <v/>
      </c>
      <c r="G946" s="122" t="str">
        <f>IF(ISNUMBER(namespace_raw[[#This Row],[Column8]]), namespace_raw[[#This Row],[Column8]],"")</f>
        <v/>
      </c>
      <c r="H946" s="123" t="str">
        <f>IF(ISNUMBER(namespace_raw[[#This Row],[Column9]]), namespace_raw[[#This Row],[Column9]]/1048576,"")</f>
        <v/>
      </c>
      <c r="I946" s="124" t="str">
        <f>IF(ISNUMBER(namespace_raw[[#This Row],[Column8]]),MAX(G946, M946, O946, $I$2,IF(Q946&lt;&gt;"",VALUE(Q946),0)), "")</f>
        <v/>
      </c>
      <c r="J946" s="125" t="str">
        <f>IF(ISNUMBER(namespace_raw[[#This Row],[Column9]]),MAX(H946, N946, P946, $J$2,IF(R946&lt;&gt;"",VALUE(R946),0)),"")</f>
        <v/>
      </c>
      <c r="K946" s="166" t="str">
        <f>IF(ISNUMBER(namespace_raw[[#This Row],[Column12]]), namespace_raw[[#This Row],[Column12]],"")</f>
        <v/>
      </c>
      <c r="L946" s="167" t="str">
        <f>IF(ISNUMBER(namespace_raw[[#This Row],[Column13]]), namespace_raw[[#This Row],[Column13]]/1048576,"")</f>
        <v/>
      </c>
      <c r="M946" s="168" t="str">
        <f>IF(ISNUMBER(namespace_raw[[#This Row],[Column10]]), (namespace_raw[[#This Row],[Column10]]*(1+$M$2)),"")</f>
        <v/>
      </c>
      <c r="N946" s="167" t="str">
        <f>IF(ISNUMBER(namespace_raw[[#This Row],[Column11]]), (namespace_raw[[#This Row],[Column11]]*(1+$N$2))/1048576,"")</f>
        <v/>
      </c>
      <c r="O946" s="169" t="str">
        <f>IF(ISNUMBER(namespace_raw[[#This Row],[Column8]]), (E946  * $O$2),"")</f>
        <v/>
      </c>
      <c r="P946" s="170" t="str">
        <f>IF(ISNUMBER(namespace_raw[[#This Row],[Column8]]), (F946  * $P$2),"")</f>
        <v/>
      </c>
    </row>
    <row r="947" spans="1:16" ht="15" customHeight="1" x14ac:dyDescent="0.25">
      <c r="A947" s="32" t="str">
        <f>IF(ISNONTEXT(namespace_raw[[#This Row],[Column1]]), "", namespace_raw[[#This Row],[Column1]])</f>
        <v/>
      </c>
      <c r="B947" s="33" t="str">
        <f>IF(ISNONTEXT(namespace_raw[[#This Row],[Column2]]), "", namespace_raw[[#This Row],[Column2]])</f>
        <v/>
      </c>
      <c r="C947" s="94" t="str">
        <f>IF(ISNUMBER(namespace_raw[[#This Row],[Column4]]), namespace_raw[[#This Row],[Column4]], "")</f>
        <v/>
      </c>
      <c r="D947" s="95" t="str">
        <f>IF(ISNUMBER(namespace_raw[[#This Row],[Column5]]), namespace_raw[[#This Row],[Column5]]/1048576, "")</f>
        <v/>
      </c>
      <c r="E947" s="95" t="str">
        <f>IF(ISNUMBER(namespace_raw[[#This Row],[Column6]]), namespace_raw[[#This Row],[Column6]],"")</f>
        <v/>
      </c>
      <c r="F947" s="96" t="str">
        <f>IF(ISNUMBER(namespace_raw[[#This Row],[Column7]]), namespace_raw[[#This Row],[Column7]]/1048576,"")</f>
        <v/>
      </c>
      <c r="G947" s="122" t="str">
        <f>IF(ISNUMBER(namespace_raw[[#This Row],[Column8]]), namespace_raw[[#This Row],[Column8]],"")</f>
        <v/>
      </c>
      <c r="H947" s="123" t="str">
        <f>IF(ISNUMBER(namespace_raw[[#This Row],[Column9]]), namespace_raw[[#This Row],[Column9]]/1048576,"")</f>
        <v/>
      </c>
      <c r="I947" s="124" t="str">
        <f>IF(ISNUMBER(namespace_raw[[#This Row],[Column8]]),MAX(G947, M947, O947, $I$2,IF(Q947&lt;&gt;"",VALUE(Q947),0)), "")</f>
        <v/>
      </c>
      <c r="J947" s="125" t="str">
        <f>IF(ISNUMBER(namespace_raw[[#This Row],[Column9]]),MAX(H947, N947, P947, $J$2,IF(R947&lt;&gt;"",VALUE(R947),0)),"")</f>
        <v/>
      </c>
      <c r="K947" s="166" t="str">
        <f>IF(ISNUMBER(namespace_raw[[#This Row],[Column12]]), namespace_raw[[#This Row],[Column12]],"")</f>
        <v/>
      </c>
      <c r="L947" s="167" t="str">
        <f>IF(ISNUMBER(namespace_raw[[#This Row],[Column13]]), namespace_raw[[#This Row],[Column13]]/1048576,"")</f>
        <v/>
      </c>
      <c r="M947" s="168" t="str">
        <f>IF(ISNUMBER(namespace_raw[[#This Row],[Column10]]), (namespace_raw[[#This Row],[Column10]]*(1+$M$2)),"")</f>
        <v/>
      </c>
      <c r="N947" s="167" t="str">
        <f>IF(ISNUMBER(namespace_raw[[#This Row],[Column11]]), (namespace_raw[[#This Row],[Column11]]*(1+$N$2))/1048576,"")</f>
        <v/>
      </c>
      <c r="O947" s="169" t="str">
        <f>IF(ISNUMBER(namespace_raw[[#This Row],[Column8]]), (E947  * $O$2),"")</f>
        <v/>
      </c>
      <c r="P947" s="170" t="str">
        <f>IF(ISNUMBER(namespace_raw[[#This Row],[Column8]]), (F947  * $P$2),"")</f>
        <v/>
      </c>
    </row>
    <row r="948" spans="1:16" ht="15" customHeight="1" x14ac:dyDescent="0.25">
      <c r="A948" s="32" t="str">
        <f>IF(ISNONTEXT(namespace_raw[[#This Row],[Column1]]), "", namespace_raw[[#This Row],[Column1]])</f>
        <v/>
      </c>
      <c r="B948" s="33" t="str">
        <f>IF(ISNONTEXT(namespace_raw[[#This Row],[Column2]]), "", namespace_raw[[#This Row],[Column2]])</f>
        <v/>
      </c>
      <c r="C948" s="94" t="str">
        <f>IF(ISNUMBER(namespace_raw[[#This Row],[Column4]]), namespace_raw[[#This Row],[Column4]], "")</f>
        <v/>
      </c>
      <c r="D948" s="95" t="str">
        <f>IF(ISNUMBER(namespace_raw[[#This Row],[Column5]]), namespace_raw[[#This Row],[Column5]]/1048576, "")</f>
        <v/>
      </c>
      <c r="E948" s="95" t="str">
        <f>IF(ISNUMBER(namespace_raw[[#This Row],[Column6]]), namespace_raw[[#This Row],[Column6]],"")</f>
        <v/>
      </c>
      <c r="F948" s="96" t="str">
        <f>IF(ISNUMBER(namespace_raw[[#This Row],[Column7]]), namespace_raw[[#This Row],[Column7]]/1048576,"")</f>
        <v/>
      </c>
      <c r="G948" s="122" t="str">
        <f>IF(ISNUMBER(namespace_raw[[#This Row],[Column8]]), namespace_raw[[#This Row],[Column8]],"")</f>
        <v/>
      </c>
      <c r="H948" s="123" t="str">
        <f>IF(ISNUMBER(namespace_raw[[#This Row],[Column9]]), namespace_raw[[#This Row],[Column9]]/1048576,"")</f>
        <v/>
      </c>
      <c r="I948" s="124" t="str">
        <f>IF(ISNUMBER(namespace_raw[[#This Row],[Column8]]),MAX(G948, M948, O948, $I$2,IF(Q948&lt;&gt;"",VALUE(Q948),0)), "")</f>
        <v/>
      </c>
      <c r="J948" s="125" t="str">
        <f>IF(ISNUMBER(namespace_raw[[#This Row],[Column9]]),MAX(H948, N948, P948, $J$2,IF(R948&lt;&gt;"",VALUE(R948),0)),"")</f>
        <v/>
      </c>
      <c r="K948" s="166" t="str">
        <f>IF(ISNUMBER(namespace_raw[[#This Row],[Column12]]), namespace_raw[[#This Row],[Column12]],"")</f>
        <v/>
      </c>
      <c r="L948" s="167" t="str">
        <f>IF(ISNUMBER(namespace_raw[[#This Row],[Column13]]), namespace_raw[[#This Row],[Column13]]/1048576,"")</f>
        <v/>
      </c>
      <c r="M948" s="168" t="str">
        <f>IF(ISNUMBER(namespace_raw[[#This Row],[Column10]]), (namespace_raw[[#This Row],[Column10]]*(1+$M$2)),"")</f>
        <v/>
      </c>
      <c r="N948" s="167" t="str">
        <f>IF(ISNUMBER(namespace_raw[[#This Row],[Column11]]), (namespace_raw[[#This Row],[Column11]]*(1+$N$2))/1048576,"")</f>
        <v/>
      </c>
      <c r="O948" s="169" t="str">
        <f>IF(ISNUMBER(namespace_raw[[#This Row],[Column8]]), (E948  * $O$2),"")</f>
        <v/>
      </c>
      <c r="P948" s="170" t="str">
        <f>IF(ISNUMBER(namespace_raw[[#This Row],[Column8]]), (F948  * $P$2),"")</f>
        <v/>
      </c>
    </row>
    <row r="949" spans="1:16" ht="15" customHeight="1" x14ac:dyDescent="0.25">
      <c r="A949" s="32" t="str">
        <f>IF(ISNONTEXT(namespace_raw[[#This Row],[Column1]]), "", namespace_raw[[#This Row],[Column1]])</f>
        <v/>
      </c>
      <c r="B949" s="33" t="str">
        <f>IF(ISNONTEXT(namespace_raw[[#This Row],[Column2]]), "", namespace_raw[[#This Row],[Column2]])</f>
        <v/>
      </c>
      <c r="C949" s="94" t="str">
        <f>IF(ISNUMBER(namespace_raw[[#This Row],[Column4]]), namespace_raw[[#This Row],[Column4]], "")</f>
        <v/>
      </c>
      <c r="D949" s="95" t="str">
        <f>IF(ISNUMBER(namespace_raw[[#This Row],[Column5]]), namespace_raw[[#This Row],[Column5]]/1048576, "")</f>
        <v/>
      </c>
      <c r="E949" s="95" t="str">
        <f>IF(ISNUMBER(namespace_raw[[#This Row],[Column6]]), namespace_raw[[#This Row],[Column6]],"")</f>
        <v/>
      </c>
      <c r="F949" s="96" t="str">
        <f>IF(ISNUMBER(namespace_raw[[#This Row],[Column7]]), namespace_raw[[#This Row],[Column7]]/1048576,"")</f>
        <v/>
      </c>
      <c r="G949" s="122" t="str">
        <f>IF(ISNUMBER(namespace_raw[[#This Row],[Column8]]), namespace_raw[[#This Row],[Column8]],"")</f>
        <v/>
      </c>
      <c r="H949" s="123" t="str">
        <f>IF(ISNUMBER(namespace_raw[[#This Row],[Column9]]), namespace_raw[[#This Row],[Column9]]/1048576,"")</f>
        <v/>
      </c>
      <c r="I949" s="124" t="str">
        <f>IF(ISNUMBER(namespace_raw[[#This Row],[Column8]]),MAX(G949, M949, O949, $I$2,IF(Q949&lt;&gt;"",VALUE(Q949),0)), "")</f>
        <v/>
      </c>
      <c r="J949" s="125" t="str">
        <f>IF(ISNUMBER(namespace_raw[[#This Row],[Column9]]),MAX(H949, N949, P949, $J$2,IF(R949&lt;&gt;"",VALUE(R949),0)),"")</f>
        <v/>
      </c>
      <c r="K949" s="166" t="str">
        <f>IF(ISNUMBER(namespace_raw[[#This Row],[Column12]]), namespace_raw[[#This Row],[Column12]],"")</f>
        <v/>
      </c>
      <c r="L949" s="167" t="str">
        <f>IF(ISNUMBER(namespace_raw[[#This Row],[Column13]]), namespace_raw[[#This Row],[Column13]]/1048576,"")</f>
        <v/>
      </c>
      <c r="M949" s="168" t="str">
        <f>IF(ISNUMBER(namespace_raw[[#This Row],[Column10]]), (namespace_raw[[#This Row],[Column10]]*(1+$M$2)),"")</f>
        <v/>
      </c>
      <c r="N949" s="167" t="str">
        <f>IF(ISNUMBER(namespace_raw[[#This Row],[Column11]]), (namespace_raw[[#This Row],[Column11]]*(1+$N$2))/1048576,"")</f>
        <v/>
      </c>
      <c r="O949" s="169" t="str">
        <f>IF(ISNUMBER(namespace_raw[[#This Row],[Column8]]), (E949  * $O$2),"")</f>
        <v/>
      </c>
      <c r="P949" s="170" t="str">
        <f>IF(ISNUMBER(namespace_raw[[#This Row],[Column8]]), (F949  * $P$2),"")</f>
        <v/>
      </c>
    </row>
    <row r="950" spans="1:16" ht="15" customHeight="1" x14ac:dyDescent="0.25">
      <c r="A950" s="32" t="str">
        <f>IF(ISNONTEXT(namespace_raw[[#This Row],[Column1]]), "", namespace_raw[[#This Row],[Column1]])</f>
        <v/>
      </c>
      <c r="B950" s="33" t="str">
        <f>IF(ISNONTEXT(namespace_raw[[#This Row],[Column2]]), "", namespace_raw[[#This Row],[Column2]])</f>
        <v/>
      </c>
      <c r="C950" s="94" t="str">
        <f>IF(ISNUMBER(namespace_raw[[#This Row],[Column4]]), namespace_raw[[#This Row],[Column4]], "")</f>
        <v/>
      </c>
      <c r="D950" s="95" t="str">
        <f>IF(ISNUMBER(namespace_raw[[#This Row],[Column5]]), namespace_raw[[#This Row],[Column5]]/1048576, "")</f>
        <v/>
      </c>
      <c r="E950" s="95" t="str">
        <f>IF(ISNUMBER(namespace_raw[[#This Row],[Column6]]), namespace_raw[[#This Row],[Column6]],"")</f>
        <v/>
      </c>
      <c r="F950" s="96" t="str">
        <f>IF(ISNUMBER(namespace_raw[[#This Row],[Column7]]), namespace_raw[[#This Row],[Column7]]/1048576,"")</f>
        <v/>
      </c>
      <c r="G950" s="122" t="str">
        <f>IF(ISNUMBER(namespace_raw[[#This Row],[Column8]]), namespace_raw[[#This Row],[Column8]],"")</f>
        <v/>
      </c>
      <c r="H950" s="123" t="str">
        <f>IF(ISNUMBER(namespace_raw[[#This Row],[Column9]]), namespace_raw[[#This Row],[Column9]]/1048576,"")</f>
        <v/>
      </c>
      <c r="I950" s="124" t="str">
        <f>IF(ISNUMBER(namespace_raw[[#This Row],[Column8]]),MAX(G950, M950, O950, $I$2,IF(Q950&lt;&gt;"",VALUE(Q950),0)), "")</f>
        <v/>
      </c>
      <c r="J950" s="125" t="str">
        <f>IF(ISNUMBER(namespace_raw[[#This Row],[Column9]]),MAX(H950, N950, P950, $J$2,IF(R950&lt;&gt;"",VALUE(R950),0)),"")</f>
        <v/>
      </c>
      <c r="K950" s="166" t="str">
        <f>IF(ISNUMBER(namespace_raw[[#This Row],[Column12]]), namespace_raw[[#This Row],[Column12]],"")</f>
        <v/>
      </c>
      <c r="L950" s="167" t="str">
        <f>IF(ISNUMBER(namespace_raw[[#This Row],[Column13]]), namespace_raw[[#This Row],[Column13]]/1048576,"")</f>
        <v/>
      </c>
      <c r="M950" s="168" t="str">
        <f>IF(ISNUMBER(namespace_raw[[#This Row],[Column10]]), (namespace_raw[[#This Row],[Column10]]*(1+$M$2)),"")</f>
        <v/>
      </c>
      <c r="N950" s="167" t="str">
        <f>IF(ISNUMBER(namespace_raw[[#This Row],[Column11]]), (namespace_raw[[#This Row],[Column11]]*(1+$N$2))/1048576,"")</f>
        <v/>
      </c>
      <c r="O950" s="169" t="str">
        <f>IF(ISNUMBER(namespace_raw[[#This Row],[Column8]]), (E950  * $O$2),"")</f>
        <v/>
      </c>
      <c r="P950" s="170" t="str">
        <f>IF(ISNUMBER(namespace_raw[[#This Row],[Column8]]), (F950  * $P$2),"")</f>
        <v/>
      </c>
    </row>
    <row r="951" spans="1:16" ht="15" customHeight="1" x14ac:dyDescent="0.25">
      <c r="A951" s="32" t="str">
        <f>IF(ISNONTEXT(namespace_raw[[#This Row],[Column1]]), "", namespace_raw[[#This Row],[Column1]])</f>
        <v/>
      </c>
      <c r="B951" s="33" t="str">
        <f>IF(ISNONTEXT(namespace_raw[[#This Row],[Column2]]), "", namespace_raw[[#This Row],[Column2]])</f>
        <v/>
      </c>
      <c r="C951" s="94" t="str">
        <f>IF(ISNUMBER(namespace_raw[[#This Row],[Column4]]), namespace_raw[[#This Row],[Column4]], "")</f>
        <v/>
      </c>
      <c r="D951" s="95" t="str">
        <f>IF(ISNUMBER(namespace_raw[[#This Row],[Column5]]), namespace_raw[[#This Row],[Column5]]/1048576, "")</f>
        <v/>
      </c>
      <c r="E951" s="95" t="str">
        <f>IF(ISNUMBER(namespace_raw[[#This Row],[Column6]]), namespace_raw[[#This Row],[Column6]],"")</f>
        <v/>
      </c>
      <c r="F951" s="96" t="str">
        <f>IF(ISNUMBER(namespace_raw[[#This Row],[Column7]]), namespace_raw[[#This Row],[Column7]]/1048576,"")</f>
        <v/>
      </c>
      <c r="G951" s="122" t="str">
        <f>IF(ISNUMBER(namespace_raw[[#This Row],[Column8]]), namespace_raw[[#This Row],[Column8]],"")</f>
        <v/>
      </c>
      <c r="H951" s="123" t="str">
        <f>IF(ISNUMBER(namespace_raw[[#This Row],[Column9]]), namespace_raw[[#This Row],[Column9]]/1048576,"")</f>
        <v/>
      </c>
      <c r="I951" s="124" t="str">
        <f>IF(ISNUMBER(namespace_raw[[#This Row],[Column8]]),MAX(G951, M951, O951, $I$2,IF(Q951&lt;&gt;"",VALUE(Q951),0)), "")</f>
        <v/>
      </c>
      <c r="J951" s="125" t="str">
        <f>IF(ISNUMBER(namespace_raw[[#This Row],[Column9]]),MAX(H951, N951, P951, $J$2,IF(R951&lt;&gt;"",VALUE(R951),0)),"")</f>
        <v/>
      </c>
      <c r="K951" s="166" t="str">
        <f>IF(ISNUMBER(namespace_raw[[#This Row],[Column12]]), namespace_raw[[#This Row],[Column12]],"")</f>
        <v/>
      </c>
      <c r="L951" s="167" t="str">
        <f>IF(ISNUMBER(namespace_raw[[#This Row],[Column13]]), namespace_raw[[#This Row],[Column13]]/1048576,"")</f>
        <v/>
      </c>
      <c r="M951" s="168" t="str">
        <f>IF(ISNUMBER(namespace_raw[[#This Row],[Column10]]), (namespace_raw[[#This Row],[Column10]]*(1+$M$2)),"")</f>
        <v/>
      </c>
      <c r="N951" s="167" t="str">
        <f>IF(ISNUMBER(namespace_raw[[#This Row],[Column11]]), (namespace_raw[[#This Row],[Column11]]*(1+$N$2))/1048576,"")</f>
        <v/>
      </c>
      <c r="O951" s="169" t="str">
        <f>IF(ISNUMBER(namespace_raw[[#This Row],[Column8]]), (E951  * $O$2),"")</f>
        <v/>
      </c>
      <c r="P951" s="170" t="str">
        <f>IF(ISNUMBER(namespace_raw[[#This Row],[Column8]]), (F951  * $P$2),"")</f>
        <v/>
      </c>
    </row>
    <row r="952" spans="1:16" ht="15" customHeight="1" x14ac:dyDescent="0.25">
      <c r="A952" s="32" t="str">
        <f>IF(ISNONTEXT(namespace_raw[[#This Row],[Column1]]), "", namespace_raw[[#This Row],[Column1]])</f>
        <v/>
      </c>
      <c r="B952" s="33" t="str">
        <f>IF(ISNONTEXT(namespace_raw[[#This Row],[Column2]]), "", namespace_raw[[#This Row],[Column2]])</f>
        <v/>
      </c>
      <c r="C952" s="94" t="str">
        <f>IF(ISNUMBER(namespace_raw[[#This Row],[Column4]]), namespace_raw[[#This Row],[Column4]], "")</f>
        <v/>
      </c>
      <c r="D952" s="95" t="str">
        <f>IF(ISNUMBER(namespace_raw[[#This Row],[Column5]]), namespace_raw[[#This Row],[Column5]]/1048576, "")</f>
        <v/>
      </c>
      <c r="E952" s="95" t="str">
        <f>IF(ISNUMBER(namespace_raw[[#This Row],[Column6]]), namespace_raw[[#This Row],[Column6]],"")</f>
        <v/>
      </c>
      <c r="F952" s="96" t="str">
        <f>IF(ISNUMBER(namespace_raw[[#This Row],[Column7]]), namespace_raw[[#This Row],[Column7]]/1048576,"")</f>
        <v/>
      </c>
      <c r="G952" s="122" t="str">
        <f>IF(ISNUMBER(namespace_raw[[#This Row],[Column8]]), namespace_raw[[#This Row],[Column8]],"")</f>
        <v/>
      </c>
      <c r="H952" s="123" t="str">
        <f>IF(ISNUMBER(namespace_raw[[#This Row],[Column9]]), namespace_raw[[#This Row],[Column9]]/1048576,"")</f>
        <v/>
      </c>
      <c r="I952" s="124" t="str">
        <f>IF(ISNUMBER(namespace_raw[[#This Row],[Column8]]),MAX(G952, M952, O952, $I$2,IF(Q952&lt;&gt;"",VALUE(Q952),0)), "")</f>
        <v/>
      </c>
      <c r="J952" s="125" t="str">
        <f>IF(ISNUMBER(namespace_raw[[#This Row],[Column9]]),MAX(H952, N952, P952, $J$2,IF(R952&lt;&gt;"",VALUE(R952),0)),"")</f>
        <v/>
      </c>
      <c r="K952" s="166" t="str">
        <f>IF(ISNUMBER(namespace_raw[[#This Row],[Column12]]), namespace_raw[[#This Row],[Column12]],"")</f>
        <v/>
      </c>
      <c r="L952" s="167" t="str">
        <f>IF(ISNUMBER(namespace_raw[[#This Row],[Column13]]), namespace_raw[[#This Row],[Column13]]/1048576,"")</f>
        <v/>
      </c>
      <c r="M952" s="168" t="str">
        <f>IF(ISNUMBER(namespace_raw[[#This Row],[Column10]]), (namespace_raw[[#This Row],[Column10]]*(1+$M$2)),"")</f>
        <v/>
      </c>
      <c r="N952" s="167" t="str">
        <f>IF(ISNUMBER(namespace_raw[[#This Row],[Column11]]), (namespace_raw[[#This Row],[Column11]]*(1+$N$2))/1048576,"")</f>
        <v/>
      </c>
      <c r="O952" s="169" t="str">
        <f>IF(ISNUMBER(namespace_raw[[#This Row],[Column8]]), (E952  * $O$2),"")</f>
        <v/>
      </c>
      <c r="P952" s="170" t="str">
        <f>IF(ISNUMBER(namespace_raw[[#This Row],[Column8]]), (F952  * $P$2),"")</f>
        <v/>
      </c>
    </row>
    <row r="953" spans="1:16" ht="15" customHeight="1" x14ac:dyDescent="0.25">
      <c r="A953" s="32" t="str">
        <f>IF(ISNONTEXT(namespace_raw[[#This Row],[Column1]]), "", namespace_raw[[#This Row],[Column1]])</f>
        <v/>
      </c>
      <c r="B953" s="33" t="str">
        <f>IF(ISNONTEXT(namespace_raw[[#This Row],[Column2]]), "", namespace_raw[[#This Row],[Column2]])</f>
        <v/>
      </c>
      <c r="C953" s="94" t="str">
        <f>IF(ISNUMBER(namespace_raw[[#This Row],[Column4]]), namespace_raw[[#This Row],[Column4]], "")</f>
        <v/>
      </c>
      <c r="D953" s="95" t="str">
        <f>IF(ISNUMBER(namespace_raw[[#This Row],[Column5]]), namespace_raw[[#This Row],[Column5]]/1048576, "")</f>
        <v/>
      </c>
      <c r="E953" s="95" t="str">
        <f>IF(ISNUMBER(namespace_raw[[#This Row],[Column6]]), namespace_raw[[#This Row],[Column6]],"")</f>
        <v/>
      </c>
      <c r="F953" s="96" t="str">
        <f>IF(ISNUMBER(namespace_raw[[#This Row],[Column7]]), namespace_raw[[#This Row],[Column7]]/1048576,"")</f>
        <v/>
      </c>
      <c r="G953" s="122" t="str">
        <f>IF(ISNUMBER(namespace_raw[[#This Row],[Column8]]), namespace_raw[[#This Row],[Column8]],"")</f>
        <v/>
      </c>
      <c r="H953" s="123" t="str">
        <f>IF(ISNUMBER(namespace_raw[[#This Row],[Column9]]), namespace_raw[[#This Row],[Column9]]/1048576,"")</f>
        <v/>
      </c>
      <c r="I953" s="124" t="str">
        <f>IF(ISNUMBER(namespace_raw[[#This Row],[Column8]]),MAX(G953, M953, O953, $I$2,IF(Q953&lt;&gt;"",VALUE(Q953),0)), "")</f>
        <v/>
      </c>
      <c r="J953" s="125" t="str">
        <f>IF(ISNUMBER(namespace_raw[[#This Row],[Column9]]),MAX(H953, N953, P953, $J$2,IF(R953&lt;&gt;"",VALUE(R953),0)),"")</f>
        <v/>
      </c>
      <c r="K953" s="166" t="str">
        <f>IF(ISNUMBER(namespace_raw[[#This Row],[Column12]]), namespace_raw[[#This Row],[Column12]],"")</f>
        <v/>
      </c>
      <c r="L953" s="167" t="str">
        <f>IF(ISNUMBER(namespace_raw[[#This Row],[Column13]]), namespace_raw[[#This Row],[Column13]]/1048576,"")</f>
        <v/>
      </c>
      <c r="M953" s="168" t="str">
        <f>IF(ISNUMBER(namespace_raw[[#This Row],[Column10]]), (namespace_raw[[#This Row],[Column10]]*(1+$M$2)),"")</f>
        <v/>
      </c>
      <c r="N953" s="167" t="str">
        <f>IF(ISNUMBER(namespace_raw[[#This Row],[Column11]]), (namespace_raw[[#This Row],[Column11]]*(1+$N$2))/1048576,"")</f>
        <v/>
      </c>
      <c r="O953" s="169" t="str">
        <f>IF(ISNUMBER(namespace_raw[[#This Row],[Column8]]), (E953  * $O$2),"")</f>
        <v/>
      </c>
      <c r="P953" s="170" t="str">
        <f>IF(ISNUMBER(namespace_raw[[#This Row],[Column8]]), (F953  * $P$2),"")</f>
        <v/>
      </c>
    </row>
    <row r="954" spans="1:16" ht="15" customHeight="1" x14ac:dyDescent="0.25">
      <c r="A954" s="32" t="str">
        <f>IF(ISNONTEXT(namespace_raw[[#This Row],[Column1]]), "", namespace_raw[[#This Row],[Column1]])</f>
        <v/>
      </c>
      <c r="B954" s="33" t="str">
        <f>IF(ISNONTEXT(namespace_raw[[#This Row],[Column2]]), "", namespace_raw[[#This Row],[Column2]])</f>
        <v/>
      </c>
      <c r="C954" s="94" t="str">
        <f>IF(ISNUMBER(namespace_raw[[#This Row],[Column4]]), namespace_raw[[#This Row],[Column4]], "")</f>
        <v/>
      </c>
      <c r="D954" s="95" t="str">
        <f>IF(ISNUMBER(namespace_raw[[#This Row],[Column5]]), namespace_raw[[#This Row],[Column5]]/1048576, "")</f>
        <v/>
      </c>
      <c r="E954" s="95" t="str">
        <f>IF(ISNUMBER(namespace_raw[[#This Row],[Column6]]), namespace_raw[[#This Row],[Column6]],"")</f>
        <v/>
      </c>
      <c r="F954" s="96" t="str">
        <f>IF(ISNUMBER(namespace_raw[[#This Row],[Column7]]), namespace_raw[[#This Row],[Column7]]/1048576,"")</f>
        <v/>
      </c>
      <c r="G954" s="122" t="str">
        <f>IF(ISNUMBER(namespace_raw[[#This Row],[Column8]]), namespace_raw[[#This Row],[Column8]],"")</f>
        <v/>
      </c>
      <c r="H954" s="123" t="str">
        <f>IF(ISNUMBER(namespace_raw[[#This Row],[Column9]]), namespace_raw[[#This Row],[Column9]]/1048576,"")</f>
        <v/>
      </c>
      <c r="I954" s="124" t="str">
        <f>IF(ISNUMBER(namespace_raw[[#This Row],[Column8]]),MAX(G954, M954, O954, $I$2,IF(Q954&lt;&gt;"",VALUE(Q954),0)), "")</f>
        <v/>
      </c>
      <c r="J954" s="125" t="str">
        <f>IF(ISNUMBER(namespace_raw[[#This Row],[Column9]]),MAX(H954, N954, P954, $J$2,IF(R954&lt;&gt;"",VALUE(R954),0)),"")</f>
        <v/>
      </c>
      <c r="K954" s="166" t="str">
        <f>IF(ISNUMBER(namespace_raw[[#This Row],[Column12]]), namespace_raw[[#This Row],[Column12]],"")</f>
        <v/>
      </c>
      <c r="L954" s="167" t="str">
        <f>IF(ISNUMBER(namespace_raw[[#This Row],[Column13]]), namespace_raw[[#This Row],[Column13]]/1048576,"")</f>
        <v/>
      </c>
      <c r="M954" s="168" t="str">
        <f>IF(ISNUMBER(namespace_raw[[#This Row],[Column10]]), (namespace_raw[[#This Row],[Column10]]*(1+$M$2)),"")</f>
        <v/>
      </c>
      <c r="N954" s="167" t="str">
        <f>IF(ISNUMBER(namespace_raw[[#This Row],[Column11]]), (namespace_raw[[#This Row],[Column11]]*(1+$N$2))/1048576,"")</f>
        <v/>
      </c>
      <c r="O954" s="169" t="str">
        <f>IF(ISNUMBER(namespace_raw[[#This Row],[Column8]]), (E954  * $O$2),"")</f>
        <v/>
      </c>
      <c r="P954" s="170" t="str">
        <f>IF(ISNUMBER(namespace_raw[[#This Row],[Column8]]), (F954  * $P$2),"")</f>
        <v/>
      </c>
    </row>
    <row r="955" spans="1:16" ht="15" customHeight="1" x14ac:dyDescent="0.25">
      <c r="A955" s="32" t="str">
        <f>IF(ISNONTEXT(namespace_raw[[#This Row],[Column1]]), "", namespace_raw[[#This Row],[Column1]])</f>
        <v/>
      </c>
      <c r="B955" s="33" t="str">
        <f>IF(ISNONTEXT(namespace_raw[[#This Row],[Column2]]), "", namespace_raw[[#This Row],[Column2]])</f>
        <v/>
      </c>
      <c r="C955" s="94" t="str">
        <f>IF(ISNUMBER(namespace_raw[[#This Row],[Column4]]), namespace_raw[[#This Row],[Column4]], "")</f>
        <v/>
      </c>
      <c r="D955" s="95" t="str">
        <f>IF(ISNUMBER(namespace_raw[[#This Row],[Column5]]), namespace_raw[[#This Row],[Column5]]/1048576, "")</f>
        <v/>
      </c>
      <c r="E955" s="95" t="str">
        <f>IF(ISNUMBER(namespace_raw[[#This Row],[Column6]]), namespace_raw[[#This Row],[Column6]],"")</f>
        <v/>
      </c>
      <c r="F955" s="96" t="str">
        <f>IF(ISNUMBER(namespace_raw[[#This Row],[Column7]]), namespace_raw[[#This Row],[Column7]]/1048576,"")</f>
        <v/>
      </c>
      <c r="G955" s="122" t="str">
        <f>IF(ISNUMBER(namespace_raw[[#This Row],[Column8]]), namespace_raw[[#This Row],[Column8]],"")</f>
        <v/>
      </c>
      <c r="H955" s="123" t="str">
        <f>IF(ISNUMBER(namespace_raw[[#This Row],[Column9]]), namespace_raw[[#This Row],[Column9]]/1048576,"")</f>
        <v/>
      </c>
      <c r="I955" s="124" t="str">
        <f>IF(ISNUMBER(namespace_raw[[#This Row],[Column8]]),MAX(G955, M955, O955, $I$2,IF(Q955&lt;&gt;"",VALUE(Q955),0)), "")</f>
        <v/>
      </c>
      <c r="J955" s="125" t="str">
        <f>IF(ISNUMBER(namespace_raw[[#This Row],[Column9]]),MAX(H955, N955, P955, $J$2,IF(R955&lt;&gt;"",VALUE(R955),0)),"")</f>
        <v/>
      </c>
      <c r="K955" s="166" t="str">
        <f>IF(ISNUMBER(namespace_raw[[#This Row],[Column12]]), namespace_raw[[#This Row],[Column12]],"")</f>
        <v/>
      </c>
      <c r="L955" s="167" t="str">
        <f>IF(ISNUMBER(namespace_raw[[#This Row],[Column13]]), namespace_raw[[#This Row],[Column13]]/1048576,"")</f>
        <v/>
      </c>
      <c r="M955" s="168" t="str">
        <f>IF(ISNUMBER(namespace_raw[[#This Row],[Column10]]), (namespace_raw[[#This Row],[Column10]]*(1+$M$2)),"")</f>
        <v/>
      </c>
      <c r="N955" s="167" t="str">
        <f>IF(ISNUMBER(namespace_raw[[#This Row],[Column11]]), (namespace_raw[[#This Row],[Column11]]*(1+$N$2))/1048576,"")</f>
        <v/>
      </c>
      <c r="O955" s="169" t="str">
        <f>IF(ISNUMBER(namespace_raw[[#This Row],[Column8]]), (E955  * $O$2),"")</f>
        <v/>
      </c>
      <c r="P955" s="170" t="str">
        <f>IF(ISNUMBER(namespace_raw[[#This Row],[Column8]]), (F955  * $P$2),"")</f>
        <v/>
      </c>
    </row>
    <row r="956" spans="1:16" ht="15" customHeight="1" x14ac:dyDescent="0.25">
      <c r="A956" s="32" t="str">
        <f>IF(ISNONTEXT(namespace_raw[[#This Row],[Column1]]), "", namespace_raw[[#This Row],[Column1]])</f>
        <v/>
      </c>
      <c r="B956" s="33" t="str">
        <f>IF(ISNONTEXT(namespace_raw[[#This Row],[Column2]]), "", namespace_raw[[#This Row],[Column2]])</f>
        <v/>
      </c>
      <c r="C956" s="94" t="str">
        <f>IF(ISNUMBER(namespace_raw[[#This Row],[Column4]]), namespace_raw[[#This Row],[Column4]], "")</f>
        <v/>
      </c>
      <c r="D956" s="95" t="str">
        <f>IF(ISNUMBER(namespace_raw[[#This Row],[Column5]]), namespace_raw[[#This Row],[Column5]]/1048576, "")</f>
        <v/>
      </c>
      <c r="E956" s="95" t="str">
        <f>IF(ISNUMBER(namespace_raw[[#This Row],[Column6]]), namespace_raw[[#This Row],[Column6]],"")</f>
        <v/>
      </c>
      <c r="F956" s="96" t="str">
        <f>IF(ISNUMBER(namespace_raw[[#This Row],[Column7]]), namespace_raw[[#This Row],[Column7]]/1048576,"")</f>
        <v/>
      </c>
      <c r="G956" s="122" t="str">
        <f>IF(ISNUMBER(namespace_raw[[#This Row],[Column8]]), namespace_raw[[#This Row],[Column8]],"")</f>
        <v/>
      </c>
      <c r="H956" s="123" t="str">
        <f>IF(ISNUMBER(namespace_raw[[#This Row],[Column9]]), namespace_raw[[#This Row],[Column9]]/1048576,"")</f>
        <v/>
      </c>
      <c r="I956" s="124" t="str">
        <f>IF(ISNUMBER(namespace_raw[[#This Row],[Column8]]),MAX(G956, M956, O956, $I$2,IF(Q956&lt;&gt;"",VALUE(Q956),0)), "")</f>
        <v/>
      </c>
      <c r="J956" s="125" t="str">
        <f>IF(ISNUMBER(namespace_raw[[#This Row],[Column9]]),MAX(H956, N956, P956, $J$2,IF(R956&lt;&gt;"",VALUE(R956),0)),"")</f>
        <v/>
      </c>
      <c r="K956" s="166" t="str">
        <f>IF(ISNUMBER(namespace_raw[[#This Row],[Column12]]), namespace_raw[[#This Row],[Column12]],"")</f>
        <v/>
      </c>
      <c r="L956" s="167" t="str">
        <f>IF(ISNUMBER(namespace_raw[[#This Row],[Column13]]), namespace_raw[[#This Row],[Column13]]/1048576,"")</f>
        <v/>
      </c>
      <c r="M956" s="168" t="str">
        <f>IF(ISNUMBER(namespace_raw[[#This Row],[Column10]]), (namespace_raw[[#This Row],[Column10]]*(1+$M$2)),"")</f>
        <v/>
      </c>
      <c r="N956" s="167" t="str">
        <f>IF(ISNUMBER(namespace_raw[[#This Row],[Column11]]), (namespace_raw[[#This Row],[Column11]]*(1+$N$2))/1048576,"")</f>
        <v/>
      </c>
      <c r="O956" s="169" t="str">
        <f>IF(ISNUMBER(namespace_raw[[#This Row],[Column8]]), (E956  * $O$2),"")</f>
        <v/>
      </c>
      <c r="P956" s="170" t="str">
        <f>IF(ISNUMBER(namespace_raw[[#This Row],[Column8]]), (F956  * $P$2),"")</f>
        <v/>
      </c>
    </row>
    <row r="957" spans="1:16" ht="15" customHeight="1" x14ac:dyDescent="0.25">
      <c r="A957" s="32" t="str">
        <f>IF(ISNONTEXT(namespace_raw[[#This Row],[Column1]]), "", namespace_raw[[#This Row],[Column1]])</f>
        <v/>
      </c>
      <c r="B957" s="33" t="str">
        <f>IF(ISNONTEXT(namespace_raw[[#This Row],[Column2]]), "", namespace_raw[[#This Row],[Column2]])</f>
        <v/>
      </c>
      <c r="C957" s="94" t="str">
        <f>IF(ISNUMBER(namespace_raw[[#This Row],[Column4]]), namespace_raw[[#This Row],[Column4]], "")</f>
        <v/>
      </c>
      <c r="D957" s="95" t="str">
        <f>IF(ISNUMBER(namespace_raw[[#This Row],[Column5]]), namespace_raw[[#This Row],[Column5]]/1048576, "")</f>
        <v/>
      </c>
      <c r="E957" s="95" t="str">
        <f>IF(ISNUMBER(namespace_raw[[#This Row],[Column6]]), namespace_raw[[#This Row],[Column6]],"")</f>
        <v/>
      </c>
      <c r="F957" s="96" t="str">
        <f>IF(ISNUMBER(namespace_raw[[#This Row],[Column7]]), namespace_raw[[#This Row],[Column7]]/1048576,"")</f>
        <v/>
      </c>
      <c r="G957" s="122" t="str">
        <f>IF(ISNUMBER(namespace_raw[[#This Row],[Column8]]), namespace_raw[[#This Row],[Column8]],"")</f>
        <v/>
      </c>
      <c r="H957" s="123" t="str">
        <f>IF(ISNUMBER(namespace_raw[[#This Row],[Column9]]), namespace_raw[[#This Row],[Column9]]/1048576,"")</f>
        <v/>
      </c>
      <c r="I957" s="124" t="str">
        <f>IF(ISNUMBER(namespace_raw[[#This Row],[Column8]]),MAX(G957, M957, O957, $I$2,IF(Q957&lt;&gt;"",VALUE(Q957),0)), "")</f>
        <v/>
      </c>
      <c r="J957" s="125" t="str">
        <f>IF(ISNUMBER(namespace_raw[[#This Row],[Column9]]),MAX(H957, N957, P957, $J$2,IF(R957&lt;&gt;"",VALUE(R957),0)),"")</f>
        <v/>
      </c>
      <c r="K957" s="166" t="str">
        <f>IF(ISNUMBER(namespace_raw[[#This Row],[Column12]]), namespace_raw[[#This Row],[Column12]],"")</f>
        <v/>
      </c>
      <c r="L957" s="167" t="str">
        <f>IF(ISNUMBER(namespace_raw[[#This Row],[Column13]]), namespace_raw[[#This Row],[Column13]]/1048576,"")</f>
        <v/>
      </c>
      <c r="M957" s="168" t="str">
        <f>IF(ISNUMBER(namespace_raw[[#This Row],[Column10]]), (namespace_raw[[#This Row],[Column10]]*(1+$M$2)),"")</f>
        <v/>
      </c>
      <c r="N957" s="167" t="str">
        <f>IF(ISNUMBER(namespace_raw[[#This Row],[Column11]]), (namespace_raw[[#This Row],[Column11]]*(1+$N$2))/1048576,"")</f>
        <v/>
      </c>
      <c r="O957" s="169" t="str">
        <f>IF(ISNUMBER(namespace_raw[[#This Row],[Column8]]), (E957  * $O$2),"")</f>
        <v/>
      </c>
      <c r="P957" s="170" t="str">
        <f>IF(ISNUMBER(namespace_raw[[#This Row],[Column8]]), (F957  * $P$2),"")</f>
        <v/>
      </c>
    </row>
    <row r="958" spans="1:16" ht="15" customHeight="1" x14ac:dyDescent="0.25">
      <c r="A958" s="32" t="str">
        <f>IF(ISNONTEXT(namespace_raw[[#This Row],[Column1]]), "", namespace_raw[[#This Row],[Column1]])</f>
        <v/>
      </c>
      <c r="B958" s="33" t="str">
        <f>IF(ISNONTEXT(namespace_raw[[#This Row],[Column2]]), "", namespace_raw[[#This Row],[Column2]])</f>
        <v/>
      </c>
      <c r="C958" s="94" t="str">
        <f>IF(ISNUMBER(namespace_raw[[#This Row],[Column4]]), namespace_raw[[#This Row],[Column4]], "")</f>
        <v/>
      </c>
      <c r="D958" s="95" t="str">
        <f>IF(ISNUMBER(namespace_raw[[#This Row],[Column5]]), namespace_raw[[#This Row],[Column5]]/1048576, "")</f>
        <v/>
      </c>
      <c r="E958" s="95" t="str">
        <f>IF(ISNUMBER(namespace_raw[[#This Row],[Column6]]), namespace_raw[[#This Row],[Column6]],"")</f>
        <v/>
      </c>
      <c r="F958" s="96" t="str">
        <f>IF(ISNUMBER(namespace_raw[[#This Row],[Column7]]), namespace_raw[[#This Row],[Column7]]/1048576,"")</f>
        <v/>
      </c>
      <c r="G958" s="122" t="str">
        <f>IF(ISNUMBER(namespace_raw[[#This Row],[Column8]]), namespace_raw[[#This Row],[Column8]],"")</f>
        <v/>
      </c>
      <c r="H958" s="123" t="str">
        <f>IF(ISNUMBER(namespace_raw[[#This Row],[Column9]]), namespace_raw[[#This Row],[Column9]]/1048576,"")</f>
        <v/>
      </c>
      <c r="I958" s="124" t="str">
        <f>IF(ISNUMBER(namespace_raw[[#This Row],[Column8]]),MAX(G958, M958, O958, $I$2,IF(Q958&lt;&gt;"",VALUE(Q958),0)), "")</f>
        <v/>
      </c>
      <c r="J958" s="125" t="str">
        <f>IF(ISNUMBER(namespace_raw[[#This Row],[Column9]]),MAX(H958, N958, P958, $J$2,IF(R958&lt;&gt;"",VALUE(R958),0)),"")</f>
        <v/>
      </c>
      <c r="K958" s="166" t="str">
        <f>IF(ISNUMBER(namespace_raw[[#This Row],[Column12]]), namespace_raw[[#This Row],[Column12]],"")</f>
        <v/>
      </c>
      <c r="L958" s="167" t="str">
        <f>IF(ISNUMBER(namespace_raw[[#This Row],[Column13]]), namespace_raw[[#This Row],[Column13]]/1048576,"")</f>
        <v/>
      </c>
      <c r="M958" s="168" t="str">
        <f>IF(ISNUMBER(namespace_raw[[#This Row],[Column10]]), (namespace_raw[[#This Row],[Column10]]*(1+$M$2)),"")</f>
        <v/>
      </c>
      <c r="N958" s="167" t="str">
        <f>IF(ISNUMBER(namespace_raw[[#This Row],[Column11]]), (namespace_raw[[#This Row],[Column11]]*(1+$N$2))/1048576,"")</f>
        <v/>
      </c>
      <c r="O958" s="169" t="str">
        <f>IF(ISNUMBER(namespace_raw[[#This Row],[Column8]]), (E958  * $O$2),"")</f>
        <v/>
      </c>
      <c r="P958" s="170" t="str">
        <f>IF(ISNUMBER(namespace_raw[[#This Row],[Column8]]), (F958  * $P$2),"")</f>
        <v/>
      </c>
    </row>
    <row r="959" spans="1:16" ht="15" customHeight="1" x14ac:dyDescent="0.25">
      <c r="A959" s="32" t="str">
        <f>IF(ISNONTEXT(namespace_raw[[#This Row],[Column1]]), "", namespace_raw[[#This Row],[Column1]])</f>
        <v/>
      </c>
      <c r="B959" s="33" t="str">
        <f>IF(ISNONTEXT(namespace_raw[[#This Row],[Column2]]), "", namespace_raw[[#This Row],[Column2]])</f>
        <v/>
      </c>
      <c r="C959" s="94" t="str">
        <f>IF(ISNUMBER(namespace_raw[[#This Row],[Column4]]), namespace_raw[[#This Row],[Column4]], "")</f>
        <v/>
      </c>
      <c r="D959" s="95" t="str">
        <f>IF(ISNUMBER(namespace_raw[[#This Row],[Column5]]), namespace_raw[[#This Row],[Column5]]/1048576, "")</f>
        <v/>
      </c>
      <c r="E959" s="95" t="str">
        <f>IF(ISNUMBER(namespace_raw[[#This Row],[Column6]]), namespace_raw[[#This Row],[Column6]],"")</f>
        <v/>
      </c>
      <c r="F959" s="96" t="str">
        <f>IF(ISNUMBER(namespace_raw[[#This Row],[Column7]]), namespace_raw[[#This Row],[Column7]]/1048576,"")</f>
        <v/>
      </c>
      <c r="G959" s="122" t="str">
        <f>IF(ISNUMBER(namespace_raw[[#This Row],[Column8]]), namespace_raw[[#This Row],[Column8]],"")</f>
        <v/>
      </c>
      <c r="H959" s="123" t="str">
        <f>IF(ISNUMBER(namespace_raw[[#This Row],[Column9]]), namespace_raw[[#This Row],[Column9]]/1048576,"")</f>
        <v/>
      </c>
      <c r="I959" s="124" t="str">
        <f>IF(ISNUMBER(namespace_raw[[#This Row],[Column8]]),MAX(G959, M959, O959, $I$2,IF(Q959&lt;&gt;"",VALUE(Q959),0)), "")</f>
        <v/>
      </c>
      <c r="J959" s="125" t="str">
        <f>IF(ISNUMBER(namespace_raw[[#This Row],[Column9]]),MAX(H959, N959, P959, $J$2,IF(R959&lt;&gt;"",VALUE(R959),0)),"")</f>
        <v/>
      </c>
      <c r="K959" s="166" t="str">
        <f>IF(ISNUMBER(namespace_raw[[#This Row],[Column12]]), namespace_raw[[#This Row],[Column12]],"")</f>
        <v/>
      </c>
      <c r="L959" s="167" t="str">
        <f>IF(ISNUMBER(namespace_raw[[#This Row],[Column13]]), namespace_raw[[#This Row],[Column13]]/1048576,"")</f>
        <v/>
      </c>
      <c r="M959" s="168" t="str">
        <f>IF(ISNUMBER(namespace_raw[[#This Row],[Column10]]), (namespace_raw[[#This Row],[Column10]]*(1+$M$2)),"")</f>
        <v/>
      </c>
      <c r="N959" s="167" t="str">
        <f>IF(ISNUMBER(namespace_raw[[#This Row],[Column11]]), (namespace_raw[[#This Row],[Column11]]*(1+$N$2))/1048576,"")</f>
        <v/>
      </c>
      <c r="O959" s="169" t="str">
        <f>IF(ISNUMBER(namespace_raw[[#This Row],[Column8]]), (E959  * $O$2),"")</f>
        <v/>
      </c>
      <c r="P959" s="170" t="str">
        <f>IF(ISNUMBER(namespace_raw[[#This Row],[Column8]]), (F959  * $P$2),"")</f>
        <v/>
      </c>
    </row>
    <row r="960" spans="1:16" ht="15" customHeight="1" x14ac:dyDescent="0.25">
      <c r="A960" s="32" t="str">
        <f>IF(ISNONTEXT(namespace_raw[[#This Row],[Column1]]), "", namespace_raw[[#This Row],[Column1]])</f>
        <v/>
      </c>
      <c r="B960" s="33" t="str">
        <f>IF(ISNONTEXT(namespace_raw[[#This Row],[Column2]]), "", namespace_raw[[#This Row],[Column2]])</f>
        <v/>
      </c>
      <c r="C960" s="94" t="str">
        <f>IF(ISNUMBER(namespace_raw[[#This Row],[Column4]]), namespace_raw[[#This Row],[Column4]], "")</f>
        <v/>
      </c>
      <c r="D960" s="95" t="str">
        <f>IF(ISNUMBER(namespace_raw[[#This Row],[Column5]]), namespace_raw[[#This Row],[Column5]]/1048576, "")</f>
        <v/>
      </c>
      <c r="E960" s="95" t="str">
        <f>IF(ISNUMBER(namespace_raw[[#This Row],[Column6]]), namespace_raw[[#This Row],[Column6]],"")</f>
        <v/>
      </c>
      <c r="F960" s="96" t="str">
        <f>IF(ISNUMBER(namespace_raw[[#This Row],[Column7]]), namespace_raw[[#This Row],[Column7]]/1048576,"")</f>
        <v/>
      </c>
      <c r="G960" s="122" t="str">
        <f>IF(ISNUMBER(namespace_raw[[#This Row],[Column8]]), namespace_raw[[#This Row],[Column8]],"")</f>
        <v/>
      </c>
      <c r="H960" s="123" t="str">
        <f>IF(ISNUMBER(namespace_raw[[#This Row],[Column9]]), namespace_raw[[#This Row],[Column9]]/1048576,"")</f>
        <v/>
      </c>
      <c r="I960" s="124" t="str">
        <f>IF(ISNUMBER(namespace_raw[[#This Row],[Column8]]),MAX(G960, M960, O960, $I$2,IF(Q960&lt;&gt;"",VALUE(Q960),0)), "")</f>
        <v/>
      </c>
      <c r="J960" s="125" t="str">
        <f>IF(ISNUMBER(namespace_raw[[#This Row],[Column9]]),MAX(H960, N960, P960, $J$2,IF(R960&lt;&gt;"",VALUE(R960),0)),"")</f>
        <v/>
      </c>
      <c r="K960" s="166" t="str">
        <f>IF(ISNUMBER(namespace_raw[[#This Row],[Column12]]), namespace_raw[[#This Row],[Column12]],"")</f>
        <v/>
      </c>
      <c r="L960" s="167" t="str">
        <f>IF(ISNUMBER(namespace_raw[[#This Row],[Column13]]), namespace_raw[[#This Row],[Column13]]/1048576,"")</f>
        <v/>
      </c>
      <c r="M960" s="168" t="str">
        <f>IF(ISNUMBER(namespace_raw[[#This Row],[Column10]]), (namespace_raw[[#This Row],[Column10]]*(1+$M$2)),"")</f>
        <v/>
      </c>
      <c r="N960" s="167" t="str">
        <f>IF(ISNUMBER(namespace_raw[[#This Row],[Column11]]), (namespace_raw[[#This Row],[Column11]]*(1+$N$2))/1048576,"")</f>
        <v/>
      </c>
      <c r="O960" s="169" t="str">
        <f>IF(ISNUMBER(namespace_raw[[#This Row],[Column8]]), (E960  * $O$2),"")</f>
        <v/>
      </c>
      <c r="P960" s="170" t="str">
        <f>IF(ISNUMBER(namespace_raw[[#This Row],[Column8]]), (F960  * $P$2),"")</f>
        <v/>
      </c>
    </row>
    <row r="961" spans="1:16" ht="15" customHeight="1" x14ac:dyDescent="0.25">
      <c r="A961" s="32" t="str">
        <f>IF(ISNONTEXT(namespace_raw[[#This Row],[Column1]]), "", namespace_raw[[#This Row],[Column1]])</f>
        <v/>
      </c>
      <c r="B961" s="33" t="str">
        <f>IF(ISNONTEXT(namespace_raw[[#This Row],[Column2]]), "", namespace_raw[[#This Row],[Column2]])</f>
        <v/>
      </c>
      <c r="C961" s="94" t="str">
        <f>IF(ISNUMBER(namespace_raw[[#This Row],[Column4]]), namespace_raw[[#This Row],[Column4]], "")</f>
        <v/>
      </c>
      <c r="D961" s="95" t="str">
        <f>IF(ISNUMBER(namespace_raw[[#This Row],[Column5]]), namespace_raw[[#This Row],[Column5]]/1048576, "")</f>
        <v/>
      </c>
      <c r="E961" s="95" t="str">
        <f>IF(ISNUMBER(namespace_raw[[#This Row],[Column6]]), namespace_raw[[#This Row],[Column6]],"")</f>
        <v/>
      </c>
      <c r="F961" s="96" t="str">
        <f>IF(ISNUMBER(namespace_raw[[#This Row],[Column7]]), namespace_raw[[#This Row],[Column7]]/1048576,"")</f>
        <v/>
      </c>
      <c r="G961" s="122" t="str">
        <f>IF(ISNUMBER(namespace_raw[[#This Row],[Column8]]), namespace_raw[[#This Row],[Column8]],"")</f>
        <v/>
      </c>
      <c r="H961" s="123" t="str">
        <f>IF(ISNUMBER(namespace_raw[[#This Row],[Column9]]), namespace_raw[[#This Row],[Column9]]/1048576,"")</f>
        <v/>
      </c>
      <c r="I961" s="124" t="str">
        <f>IF(ISNUMBER(namespace_raw[[#This Row],[Column8]]),MAX(G961, M961, O961, $I$2,IF(Q961&lt;&gt;"",VALUE(Q961),0)), "")</f>
        <v/>
      </c>
      <c r="J961" s="125" t="str">
        <f>IF(ISNUMBER(namespace_raw[[#This Row],[Column9]]),MAX(H961, N961, P961, $J$2,IF(R961&lt;&gt;"",VALUE(R961),0)),"")</f>
        <v/>
      </c>
      <c r="K961" s="166" t="str">
        <f>IF(ISNUMBER(namespace_raw[[#This Row],[Column12]]), namespace_raw[[#This Row],[Column12]],"")</f>
        <v/>
      </c>
      <c r="L961" s="167" t="str">
        <f>IF(ISNUMBER(namespace_raw[[#This Row],[Column13]]), namespace_raw[[#This Row],[Column13]]/1048576,"")</f>
        <v/>
      </c>
      <c r="M961" s="168" t="str">
        <f>IF(ISNUMBER(namespace_raw[[#This Row],[Column10]]), (namespace_raw[[#This Row],[Column10]]*(1+$M$2)),"")</f>
        <v/>
      </c>
      <c r="N961" s="167" t="str">
        <f>IF(ISNUMBER(namespace_raw[[#This Row],[Column11]]), (namespace_raw[[#This Row],[Column11]]*(1+$N$2))/1048576,"")</f>
        <v/>
      </c>
      <c r="O961" s="169" t="str">
        <f>IF(ISNUMBER(namespace_raw[[#This Row],[Column8]]), (E961  * $O$2),"")</f>
        <v/>
      </c>
      <c r="P961" s="170" t="str">
        <f>IF(ISNUMBER(namespace_raw[[#This Row],[Column8]]), (F961  * $P$2),"")</f>
        <v/>
      </c>
    </row>
    <row r="962" spans="1:16" ht="15" customHeight="1" x14ac:dyDescent="0.25">
      <c r="A962" s="32" t="str">
        <f>IF(ISNONTEXT(namespace_raw[[#This Row],[Column1]]), "", namespace_raw[[#This Row],[Column1]])</f>
        <v/>
      </c>
      <c r="B962" s="33" t="str">
        <f>IF(ISNONTEXT(namespace_raw[[#This Row],[Column2]]), "", namespace_raw[[#This Row],[Column2]])</f>
        <v/>
      </c>
      <c r="C962" s="94" t="str">
        <f>IF(ISNUMBER(namespace_raw[[#This Row],[Column4]]), namespace_raw[[#This Row],[Column4]], "")</f>
        <v/>
      </c>
      <c r="D962" s="95" t="str">
        <f>IF(ISNUMBER(namespace_raw[[#This Row],[Column5]]), namespace_raw[[#This Row],[Column5]]/1048576, "")</f>
        <v/>
      </c>
      <c r="E962" s="95" t="str">
        <f>IF(ISNUMBER(namespace_raw[[#This Row],[Column6]]), namespace_raw[[#This Row],[Column6]],"")</f>
        <v/>
      </c>
      <c r="F962" s="96" t="str">
        <f>IF(ISNUMBER(namespace_raw[[#This Row],[Column7]]), namespace_raw[[#This Row],[Column7]]/1048576,"")</f>
        <v/>
      </c>
      <c r="G962" s="122" t="str">
        <f>IF(ISNUMBER(namespace_raw[[#This Row],[Column8]]), namespace_raw[[#This Row],[Column8]],"")</f>
        <v/>
      </c>
      <c r="H962" s="123" t="str">
        <f>IF(ISNUMBER(namespace_raw[[#This Row],[Column9]]), namespace_raw[[#This Row],[Column9]]/1048576,"")</f>
        <v/>
      </c>
      <c r="I962" s="124" t="str">
        <f>IF(ISNUMBER(namespace_raw[[#This Row],[Column8]]),MAX(G962, M962, O962, $I$2,IF(Q962&lt;&gt;"",VALUE(Q962),0)), "")</f>
        <v/>
      </c>
      <c r="J962" s="125" t="str">
        <f>IF(ISNUMBER(namespace_raw[[#This Row],[Column9]]),MAX(H962, N962, P962, $J$2,IF(R962&lt;&gt;"",VALUE(R962),0)),"")</f>
        <v/>
      </c>
      <c r="K962" s="166" t="str">
        <f>IF(ISNUMBER(namespace_raw[[#This Row],[Column12]]), namespace_raw[[#This Row],[Column12]],"")</f>
        <v/>
      </c>
      <c r="L962" s="167" t="str">
        <f>IF(ISNUMBER(namespace_raw[[#This Row],[Column13]]), namespace_raw[[#This Row],[Column13]]/1048576,"")</f>
        <v/>
      </c>
      <c r="M962" s="168" t="str">
        <f>IF(ISNUMBER(namespace_raw[[#This Row],[Column10]]), (namespace_raw[[#This Row],[Column10]]*(1+$M$2)),"")</f>
        <v/>
      </c>
      <c r="N962" s="167" t="str">
        <f>IF(ISNUMBER(namespace_raw[[#This Row],[Column11]]), (namespace_raw[[#This Row],[Column11]]*(1+$N$2))/1048576,"")</f>
        <v/>
      </c>
      <c r="O962" s="169" t="str">
        <f>IF(ISNUMBER(namespace_raw[[#This Row],[Column8]]), (E962  * $O$2),"")</f>
        <v/>
      </c>
      <c r="P962" s="170" t="str">
        <f>IF(ISNUMBER(namespace_raw[[#This Row],[Column8]]), (F962  * $P$2),"")</f>
        <v/>
      </c>
    </row>
    <row r="963" spans="1:16" ht="15" customHeight="1" x14ac:dyDescent="0.25">
      <c r="A963" s="32" t="str">
        <f>IF(ISNONTEXT(namespace_raw[[#This Row],[Column1]]), "", namespace_raw[[#This Row],[Column1]])</f>
        <v/>
      </c>
      <c r="B963" s="33" t="str">
        <f>IF(ISNONTEXT(namespace_raw[[#This Row],[Column2]]), "", namespace_raw[[#This Row],[Column2]])</f>
        <v/>
      </c>
      <c r="C963" s="94" t="str">
        <f>IF(ISNUMBER(namespace_raw[[#This Row],[Column4]]), namespace_raw[[#This Row],[Column4]], "")</f>
        <v/>
      </c>
      <c r="D963" s="95" t="str">
        <f>IF(ISNUMBER(namespace_raw[[#This Row],[Column5]]), namespace_raw[[#This Row],[Column5]]/1048576, "")</f>
        <v/>
      </c>
      <c r="E963" s="95" t="str">
        <f>IF(ISNUMBER(namespace_raw[[#This Row],[Column6]]), namespace_raw[[#This Row],[Column6]],"")</f>
        <v/>
      </c>
      <c r="F963" s="96" t="str">
        <f>IF(ISNUMBER(namespace_raw[[#This Row],[Column7]]), namespace_raw[[#This Row],[Column7]]/1048576,"")</f>
        <v/>
      </c>
      <c r="G963" s="122" t="str">
        <f>IF(ISNUMBER(namespace_raw[[#This Row],[Column8]]), namespace_raw[[#This Row],[Column8]],"")</f>
        <v/>
      </c>
      <c r="H963" s="123" t="str">
        <f>IF(ISNUMBER(namespace_raw[[#This Row],[Column9]]), namespace_raw[[#This Row],[Column9]]/1048576,"")</f>
        <v/>
      </c>
      <c r="I963" s="124" t="str">
        <f>IF(ISNUMBER(namespace_raw[[#This Row],[Column8]]),MAX(G963, M963, O963, $I$2,IF(Q963&lt;&gt;"",VALUE(Q963),0)), "")</f>
        <v/>
      </c>
      <c r="J963" s="125" t="str">
        <f>IF(ISNUMBER(namespace_raw[[#This Row],[Column9]]),MAX(H963, N963, P963, $J$2,IF(R963&lt;&gt;"",VALUE(R963),0)),"")</f>
        <v/>
      </c>
      <c r="K963" s="166" t="str">
        <f>IF(ISNUMBER(namespace_raw[[#This Row],[Column12]]), namespace_raw[[#This Row],[Column12]],"")</f>
        <v/>
      </c>
      <c r="L963" s="167" t="str">
        <f>IF(ISNUMBER(namespace_raw[[#This Row],[Column13]]), namespace_raw[[#This Row],[Column13]]/1048576,"")</f>
        <v/>
      </c>
      <c r="M963" s="168" t="str">
        <f>IF(ISNUMBER(namespace_raw[[#This Row],[Column10]]), (namespace_raw[[#This Row],[Column10]]*(1+$M$2)),"")</f>
        <v/>
      </c>
      <c r="N963" s="167" t="str">
        <f>IF(ISNUMBER(namespace_raw[[#This Row],[Column11]]), (namespace_raw[[#This Row],[Column11]]*(1+$N$2))/1048576,"")</f>
        <v/>
      </c>
      <c r="O963" s="169" t="str">
        <f>IF(ISNUMBER(namespace_raw[[#This Row],[Column8]]), (E963  * $O$2),"")</f>
        <v/>
      </c>
      <c r="P963" s="170" t="str">
        <f>IF(ISNUMBER(namespace_raw[[#This Row],[Column8]]), (F963  * $P$2),"")</f>
        <v/>
      </c>
    </row>
    <row r="964" spans="1:16" ht="15" customHeight="1" x14ac:dyDescent="0.25">
      <c r="A964" s="32" t="str">
        <f>IF(ISNONTEXT(namespace_raw[[#This Row],[Column1]]), "", namespace_raw[[#This Row],[Column1]])</f>
        <v/>
      </c>
      <c r="B964" s="33" t="str">
        <f>IF(ISNONTEXT(namespace_raw[[#This Row],[Column2]]), "", namespace_raw[[#This Row],[Column2]])</f>
        <v/>
      </c>
      <c r="C964" s="94" t="str">
        <f>IF(ISNUMBER(namespace_raw[[#This Row],[Column4]]), namespace_raw[[#This Row],[Column4]], "")</f>
        <v/>
      </c>
      <c r="D964" s="95" t="str">
        <f>IF(ISNUMBER(namespace_raw[[#This Row],[Column5]]), namespace_raw[[#This Row],[Column5]]/1048576, "")</f>
        <v/>
      </c>
      <c r="E964" s="95" t="str">
        <f>IF(ISNUMBER(namespace_raw[[#This Row],[Column6]]), namespace_raw[[#This Row],[Column6]],"")</f>
        <v/>
      </c>
      <c r="F964" s="96" t="str">
        <f>IF(ISNUMBER(namespace_raw[[#This Row],[Column7]]), namespace_raw[[#This Row],[Column7]]/1048576,"")</f>
        <v/>
      </c>
      <c r="G964" s="122" t="str">
        <f>IF(ISNUMBER(namespace_raw[[#This Row],[Column8]]), namespace_raw[[#This Row],[Column8]],"")</f>
        <v/>
      </c>
      <c r="H964" s="123" t="str">
        <f>IF(ISNUMBER(namespace_raw[[#This Row],[Column9]]), namespace_raw[[#This Row],[Column9]]/1048576,"")</f>
        <v/>
      </c>
      <c r="I964" s="124" t="str">
        <f>IF(ISNUMBER(namespace_raw[[#This Row],[Column8]]),MAX(G964, M964, O964, $I$2,IF(Q964&lt;&gt;"",VALUE(Q964),0)), "")</f>
        <v/>
      </c>
      <c r="J964" s="125" t="str">
        <f>IF(ISNUMBER(namespace_raw[[#This Row],[Column9]]),MAX(H964, N964, P964, $J$2,IF(R964&lt;&gt;"",VALUE(R964),0)),"")</f>
        <v/>
      </c>
      <c r="K964" s="166" t="str">
        <f>IF(ISNUMBER(namespace_raw[[#This Row],[Column12]]), namespace_raw[[#This Row],[Column12]],"")</f>
        <v/>
      </c>
      <c r="L964" s="167" t="str">
        <f>IF(ISNUMBER(namespace_raw[[#This Row],[Column13]]), namespace_raw[[#This Row],[Column13]]/1048576,"")</f>
        <v/>
      </c>
      <c r="M964" s="168" t="str">
        <f>IF(ISNUMBER(namespace_raw[[#This Row],[Column10]]), (namespace_raw[[#This Row],[Column10]]*(1+$M$2)),"")</f>
        <v/>
      </c>
      <c r="N964" s="167" t="str">
        <f>IF(ISNUMBER(namespace_raw[[#This Row],[Column11]]), (namespace_raw[[#This Row],[Column11]]*(1+$N$2))/1048576,"")</f>
        <v/>
      </c>
      <c r="O964" s="169" t="str">
        <f>IF(ISNUMBER(namespace_raw[[#This Row],[Column8]]), (E964  * $O$2),"")</f>
        <v/>
      </c>
      <c r="P964" s="170" t="str">
        <f>IF(ISNUMBER(namespace_raw[[#This Row],[Column8]]), (F964  * $P$2),"")</f>
        <v/>
      </c>
    </row>
    <row r="965" spans="1:16" ht="15" customHeight="1" x14ac:dyDescent="0.25">
      <c r="A965" s="32" t="str">
        <f>IF(ISNONTEXT(namespace_raw[[#This Row],[Column1]]), "", namespace_raw[[#This Row],[Column1]])</f>
        <v/>
      </c>
      <c r="B965" s="33" t="str">
        <f>IF(ISNONTEXT(namespace_raw[[#This Row],[Column2]]), "", namespace_raw[[#This Row],[Column2]])</f>
        <v/>
      </c>
      <c r="C965" s="94" t="str">
        <f>IF(ISNUMBER(namespace_raw[[#This Row],[Column4]]), namespace_raw[[#This Row],[Column4]], "")</f>
        <v/>
      </c>
      <c r="D965" s="95" t="str">
        <f>IF(ISNUMBER(namespace_raw[[#This Row],[Column5]]), namespace_raw[[#This Row],[Column5]]/1048576, "")</f>
        <v/>
      </c>
      <c r="E965" s="95" t="str">
        <f>IF(ISNUMBER(namespace_raw[[#This Row],[Column6]]), namespace_raw[[#This Row],[Column6]],"")</f>
        <v/>
      </c>
      <c r="F965" s="96" t="str">
        <f>IF(ISNUMBER(namespace_raw[[#This Row],[Column7]]), namespace_raw[[#This Row],[Column7]]/1048576,"")</f>
        <v/>
      </c>
      <c r="G965" s="122" t="str">
        <f>IF(ISNUMBER(namespace_raw[[#This Row],[Column8]]), namespace_raw[[#This Row],[Column8]],"")</f>
        <v/>
      </c>
      <c r="H965" s="123" t="str">
        <f>IF(ISNUMBER(namespace_raw[[#This Row],[Column9]]), namespace_raw[[#This Row],[Column9]]/1048576,"")</f>
        <v/>
      </c>
      <c r="I965" s="124" t="str">
        <f>IF(ISNUMBER(namespace_raw[[#This Row],[Column8]]),MAX(G965, M965, O965, $I$2,IF(Q965&lt;&gt;"",VALUE(Q965),0)), "")</f>
        <v/>
      </c>
      <c r="J965" s="125" t="str">
        <f>IF(ISNUMBER(namespace_raw[[#This Row],[Column9]]),MAX(H965, N965, P965, $J$2,IF(R965&lt;&gt;"",VALUE(R965),0)),"")</f>
        <v/>
      </c>
      <c r="K965" s="166" t="str">
        <f>IF(ISNUMBER(namespace_raw[[#This Row],[Column12]]), namespace_raw[[#This Row],[Column12]],"")</f>
        <v/>
      </c>
      <c r="L965" s="167" t="str">
        <f>IF(ISNUMBER(namespace_raw[[#This Row],[Column13]]), namespace_raw[[#This Row],[Column13]]/1048576,"")</f>
        <v/>
      </c>
      <c r="M965" s="168" t="str">
        <f>IF(ISNUMBER(namespace_raw[[#This Row],[Column10]]), (namespace_raw[[#This Row],[Column10]]*(1+$M$2)),"")</f>
        <v/>
      </c>
      <c r="N965" s="167" t="str">
        <f>IF(ISNUMBER(namespace_raw[[#This Row],[Column11]]), (namespace_raw[[#This Row],[Column11]]*(1+$N$2))/1048576,"")</f>
        <v/>
      </c>
      <c r="O965" s="169" t="str">
        <f>IF(ISNUMBER(namespace_raw[[#This Row],[Column8]]), (E965  * $O$2),"")</f>
        <v/>
      </c>
      <c r="P965" s="170" t="str">
        <f>IF(ISNUMBER(namespace_raw[[#This Row],[Column8]]), (F965  * $P$2),"")</f>
        <v/>
      </c>
    </row>
    <row r="966" spans="1:16" ht="15" customHeight="1" x14ac:dyDescent="0.25">
      <c r="A966" s="32" t="str">
        <f>IF(ISNONTEXT(namespace_raw[[#This Row],[Column1]]), "", namespace_raw[[#This Row],[Column1]])</f>
        <v/>
      </c>
      <c r="B966" s="33" t="str">
        <f>IF(ISNONTEXT(namespace_raw[[#This Row],[Column2]]), "", namespace_raw[[#This Row],[Column2]])</f>
        <v/>
      </c>
      <c r="C966" s="94" t="str">
        <f>IF(ISNUMBER(namespace_raw[[#This Row],[Column4]]), namespace_raw[[#This Row],[Column4]], "")</f>
        <v/>
      </c>
      <c r="D966" s="95" t="str">
        <f>IF(ISNUMBER(namespace_raw[[#This Row],[Column5]]), namespace_raw[[#This Row],[Column5]]/1048576, "")</f>
        <v/>
      </c>
      <c r="E966" s="95" t="str">
        <f>IF(ISNUMBER(namespace_raw[[#This Row],[Column6]]), namespace_raw[[#This Row],[Column6]],"")</f>
        <v/>
      </c>
      <c r="F966" s="96" t="str">
        <f>IF(ISNUMBER(namespace_raw[[#This Row],[Column7]]), namespace_raw[[#This Row],[Column7]]/1048576,"")</f>
        <v/>
      </c>
      <c r="G966" s="122" t="str">
        <f>IF(ISNUMBER(namespace_raw[[#This Row],[Column8]]), namespace_raw[[#This Row],[Column8]],"")</f>
        <v/>
      </c>
      <c r="H966" s="123" t="str">
        <f>IF(ISNUMBER(namespace_raw[[#This Row],[Column9]]), namespace_raw[[#This Row],[Column9]]/1048576,"")</f>
        <v/>
      </c>
      <c r="I966" s="124" t="str">
        <f>IF(ISNUMBER(namespace_raw[[#This Row],[Column8]]),MAX(G966, M966, O966, $I$2,IF(Q966&lt;&gt;"",VALUE(Q966),0)), "")</f>
        <v/>
      </c>
      <c r="J966" s="125" t="str">
        <f>IF(ISNUMBER(namespace_raw[[#This Row],[Column9]]),MAX(H966, N966, P966, $J$2,IF(R966&lt;&gt;"",VALUE(R966),0)),"")</f>
        <v/>
      </c>
      <c r="K966" s="166" t="str">
        <f>IF(ISNUMBER(namespace_raw[[#This Row],[Column12]]), namespace_raw[[#This Row],[Column12]],"")</f>
        <v/>
      </c>
      <c r="L966" s="167" t="str">
        <f>IF(ISNUMBER(namespace_raw[[#This Row],[Column13]]), namespace_raw[[#This Row],[Column13]]/1048576,"")</f>
        <v/>
      </c>
      <c r="M966" s="168" t="str">
        <f>IF(ISNUMBER(namespace_raw[[#This Row],[Column10]]), (namespace_raw[[#This Row],[Column10]]*(1+$M$2)),"")</f>
        <v/>
      </c>
      <c r="N966" s="167" t="str">
        <f>IF(ISNUMBER(namespace_raw[[#This Row],[Column11]]), (namespace_raw[[#This Row],[Column11]]*(1+$N$2))/1048576,"")</f>
        <v/>
      </c>
      <c r="O966" s="169" t="str">
        <f>IF(ISNUMBER(namespace_raw[[#This Row],[Column8]]), (E966  * $O$2),"")</f>
        <v/>
      </c>
      <c r="P966" s="170" t="str">
        <f>IF(ISNUMBER(namespace_raw[[#This Row],[Column8]]), (F966  * $P$2),"")</f>
        <v/>
      </c>
    </row>
    <row r="967" spans="1:16" ht="15" customHeight="1" x14ac:dyDescent="0.25">
      <c r="A967" s="32" t="str">
        <f>IF(ISNONTEXT(namespace_raw[[#This Row],[Column1]]), "", namespace_raw[[#This Row],[Column1]])</f>
        <v/>
      </c>
      <c r="B967" s="33" t="str">
        <f>IF(ISNONTEXT(namespace_raw[[#This Row],[Column2]]), "", namespace_raw[[#This Row],[Column2]])</f>
        <v/>
      </c>
      <c r="C967" s="94" t="str">
        <f>IF(ISNUMBER(namespace_raw[[#This Row],[Column4]]), namespace_raw[[#This Row],[Column4]], "")</f>
        <v/>
      </c>
      <c r="D967" s="95" t="str">
        <f>IF(ISNUMBER(namespace_raw[[#This Row],[Column5]]), namespace_raw[[#This Row],[Column5]]/1048576, "")</f>
        <v/>
      </c>
      <c r="E967" s="95" t="str">
        <f>IF(ISNUMBER(namespace_raw[[#This Row],[Column6]]), namespace_raw[[#This Row],[Column6]],"")</f>
        <v/>
      </c>
      <c r="F967" s="96" t="str">
        <f>IF(ISNUMBER(namespace_raw[[#This Row],[Column7]]), namespace_raw[[#This Row],[Column7]]/1048576,"")</f>
        <v/>
      </c>
      <c r="G967" s="122" t="str">
        <f>IF(ISNUMBER(namespace_raw[[#This Row],[Column8]]), namespace_raw[[#This Row],[Column8]],"")</f>
        <v/>
      </c>
      <c r="H967" s="123" t="str">
        <f>IF(ISNUMBER(namespace_raw[[#This Row],[Column9]]), namespace_raw[[#This Row],[Column9]]/1048576,"")</f>
        <v/>
      </c>
      <c r="I967" s="124" t="str">
        <f>IF(ISNUMBER(namespace_raw[[#This Row],[Column8]]),MAX(G967, M967, O967, $I$2,IF(Q967&lt;&gt;"",VALUE(Q967),0)), "")</f>
        <v/>
      </c>
      <c r="J967" s="125" t="str">
        <f>IF(ISNUMBER(namespace_raw[[#This Row],[Column9]]),MAX(H967, N967, P967, $J$2,IF(R967&lt;&gt;"",VALUE(R967),0)),"")</f>
        <v/>
      </c>
      <c r="K967" s="166" t="str">
        <f>IF(ISNUMBER(namespace_raw[[#This Row],[Column12]]), namespace_raw[[#This Row],[Column12]],"")</f>
        <v/>
      </c>
      <c r="L967" s="167" t="str">
        <f>IF(ISNUMBER(namespace_raw[[#This Row],[Column13]]), namespace_raw[[#This Row],[Column13]]/1048576,"")</f>
        <v/>
      </c>
      <c r="M967" s="168" t="str">
        <f>IF(ISNUMBER(namespace_raw[[#This Row],[Column10]]), (namespace_raw[[#This Row],[Column10]]*(1+$M$2)),"")</f>
        <v/>
      </c>
      <c r="N967" s="167" t="str">
        <f>IF(ISNUMBER(namespace_raw[[#This Row],[Column11]]), (namespace_raw[[#This Row],[Column11]]*(1+$N$2))/1048576,"")</f>
        <v/>
      </c>
      <c r="O967" s="169" t="str">
        <f>IF(ISNUMBER(namespace_raw[[#This Row],[Column8]]), (E967  * $O$2),"")</f>
        <v/>
      </c>
      <c r="P967" s="170" t="str">
        <f>IF(ISNUMBER(namespace_raw[[#This Row],[Column8]]), (F967  * $P$2),"")</f>
        <v/>
      </c>
    </row>
    <row r="968" spans="1:16" ht="15" customHeight="1" x14ac:dyDescent="0.25">
      <c r="A968" s="32" t="str">
        <f>IF(ISNONTEXT(namespace_raw[[#This Row],[Column1]]), "", namespace_raw[[#This Row],[Column1]])</f>
        <v/>
      </c>
      <c r="B968" s="33" t="str">
        <f>IF(ISNONTEXT(namespace_raw[[#This Row],[Column2]]), "", namespace_raw[[#This Row],[Column2]])</f>
        <v/>
      </c>
      <c r="C968" s="94" t="str">
        <f>IF(ISNUMBER(namespace_raw[[#This Row],[Column4]]), namespace_raw[[#This Row],[Column4]], "")</f>
        <v/>
      </c>
      <c r="D968" s="95" t="str">
        <f>IF(ISNUMBER(namespace_raw[[#This Row],[Column5]]), namespace_raw[[#This Row],[Column5]]/1048576, "")</f>
        <v/>
      </c>
      <c r="E968" s="95" t="str">
        <f>IF(ISNUMBER(namespace_raw[[#This Row],[Column6]]), namespace_raw[[#This Row],[Column6]],"")</f>
        <v/>
      </c>
      <c r="F968" s="96" t="str">
        <f>IF(ISNUMBER(namespace_raw[[#This Row],[Column7]]), namespace_raw[[#This Row],[Column7]]/1048576,"")</f>
        <v/>
      </c>
      <c r="G968" s="122" t="str">
        <f>IF(ISNUMBER(namespace_raw[[#This Row],[Column8]]), namespace_raw[[#This Row],[Column8]],"")</f>
        <v/>
      </c>
      <c r="H968" s="123" t="str">
        <f>IF(ISNUMBER(namespace_raw[[#This Row],[Column9]]), namespace_raw[[#This Row],[Column9]]/1048576,"")</f>
        <v/>
      </c>
      <c r="I968" s="124" t="str">
        <f>IF(ISNUMBER(namespace_raw[[#This Row],[Column8]]),MAX(G968, M968, O968, $I$2,IF(Q968&lt;&gt;"",VALUE(Q968),0)), "")</f>
        <v/>
      </c>
      <c r="J968" s="125" t="str">
        <f>IF(ISNUMBER(namespace_raw[[#This Row],[Column9]]),MAX(H968, N968, P968, $J$2,IF(R968&lt;&gt;"",VALUE(R968),0)),"")</f>
        <v/>
      </c>
      <c r="K968" s="166" t="str">
        <f>IF(ISNUMBER(namespace_raw[[#This Row],[Column12]]), namespace_raw[[#This Row],[Column12]],"")</f>
        <v/>
      </c>
      <c r="L968" s="167" t="str">
        <f>IF(ISNUMBER(namespace_raw[[#This Row],[Column13]]), namespace_raw[[#This Row],[Column13]]/1048576,"")</f>
        <v/>
      </c>
      <c r="M968" s="168" t="str">
        <f>IF(ISNUMBER(namespace_raw[[#This Row],[Column10]]), (namespace_raw[[#This Row],[Column10]]*(1+$M$2)),"")</f>
        <v/>
      </c>
      <c r="N968" s="167" t="str">
        <f>IF(ISNUMBER(namespace_raw[[#This Row],[Column11]]), (namespace_raw[[#This Row],[Column11]]*(1+$N$2))/1048576,"")</f>
        <v/>
      </c>
      <c r="O968" s="169" t="str">
        <f>IF(ISNUMBER(namespace_raw[[#This Row],[Column8]]), (E968  * $O$2),"")</f>
        <v/>
      </c>
      <c r="P968" s="170" t="str">
        <f>IF(ISNUMBER(namespace_raw[[#This Row],[Column8]]), (F968  * $P$2),"")</f>
        <v/>
      </c>
    </row>
    <row r="969" spans="1:16" ht="15" customHeight="1" x14ac:dyDescent="0.25">
      <c r="A969" s="32" t="str">
        <f>IF(ISNONTEXT(namespace_raw[[#This Row],[Column1]]), "", namespace_raw[[#This Row],[Column1]])</f>
        <v/>
      </c>
      <c r="B969" s="33" t="str">
        <f>IF(ISNONTEXT(namespace_raw[[#This Row],[Column2]]), "", namespace_raw[[#This Row],[Column2]])</f>
        <v/>
      </c>
      <c r="C969" s="94" t="str">
        <f>IF(ISNUMBER(namespace_raw[[#This Row],[Column4]]), namespace_raw[[#This Row],[Column4]], "")</f>
        <v/>
      </c>
      <c r="D969" s="95" t="str">
        <f>IF(ISNUMBER(namespace_raw[[#This Row],[Column5]]), namespace_raw[[#This Row],[Column5]]/1048576, "")</f>
        <v/>
      </c>
      <c r="E969" s="95" t="str">
        <f>IF(ISNUMBER(namespace_raw[[#This Row],[Column6]]), namespace_raw[[#This Row],[Column6]],"")</f>
        <v/>
      </c>
      <c r="F969" s="96" t="str">
        <f>IF(ISNUMBER(namespace_raw[[#This Row],[Column7]]), namespace_raw[[#This Row],[Column7]]/1048576,"")</f>
        <v/>
      </c>
      <c r="G969" s="122" t="str">
        <f>IF(ISNUMBER(namespace_raw[[#This Row],[Column8]]), namespace_raw[[#This Row],[Column8]],"")</f>
        <v/>
      </c>
      <c r="H969" s="123" t="str">
        <f>IF(ISNUMBER(namespace_raw[[#This Row],[Column9]]), namespace_raw[[#This Row],[Column9]]/1048576,"")</f>
        <v/>
      </c>
      <c r="I969" s="124" t="str">
        <f>IF(ISNUMBER(namespace_raw[[#This Row],[Column8]]),MAX(G969, M969, O969, $I$2,IF(Q969&lt;&gt;"",VALUE(Q969),0)), "")</f>
        <v/>
      </c>
      <c r="J969" s="125" t="str">
        <f>IF(ISNUMBER(namespace_raw[[#This Row],[Column9]]),MAX(H969, N969, P969, $J$2,IF(R969&lt;&gt;"",VALUE(R969),0)),"")</f>
        <v/>
      </c>
      <c r="K969" s="166" t="str">
        <f>IF(ISNUMBER(namespace_raw[[#This Row],[Column12]]), namespace_raw[[#This Row],[Column12]],"")</f>
        <v/>
      </c>
      <c r="L969" s="167" t="str">
        <f>IF(ISNUMBER(namespace_raw[[#This Row],[Column13]]), namespace_raw[[#This Row],[Column13]]/1048576,"")</f>
        <v/>
      </c>
      <c r="M969" s="168" t="str">
        <f>IF(ISNUMBER(namespace_raw[[#This Row],[Column10]]), (namespace_raw[[#This Row],[Column10]]*(1+$M$2)),"")</f>
        <v/>
      </c>
      <c r="N969" s="167" t="str">
        <f>IF(ISNUMBER(namespace_raw[[#This Row],[Column11]]), (namespace_raw[[#This Row],[Column11]]*(1+$N$2))/1048576,"")</f>
        <v/>
      </c>
      <c r="O969" s="169" t="str">
        <f>IF(ISNUMBER(namespace_raw[[#This Row],[Column8]]), (E969  * $O$2),"")</f>
        <v/>
      </c>
      <c r="P969" s="170" t="str">
        <f>IF(ISNUMBER(namespace_raw[[#This Row],[Column8]]), (F969  * $P$2),"")</f>
        <v/>
      </c>
    </row>
    <row r="970" spans="1:16" ht="15" customHeight="1" x14ac:dyDescent="0.25">
      <c r="A970" s="32" t="str">
        <f>IF(ISNONTEXT(namespace_raw[[#This Row],[Column1]]), "", namespace_raw[[#This Row],[Column1]])</f>
        <v/>
      </c>
      <c r="B970" s="33" t="str">
        <f>IF(ISNONTEXT(namespace_raw[[#This Row],[Column2]]), "", namespace_raw[[#This Row],[Column2]])</f>
        <v/>
      </c>
      <c r="C970" s="94" t="str">
        <f>IF(ISNUMBER(namespace_raw[[#This Row],[Column4]]), namespace_raw[[#This Row],[Column4]], "")</f>
        <v/>
      </c>
      <c r="D970" s="95" t="str">
        <f>IF(ISNUMBER(namespace_raw[[#This Row],[Column5]]), namespace_raw[[#This Row],[Column5]]/1048576, "")</f>
        <v/>
      </c>
      <c r="E970" s="95" t="str">
        <f>IF(ISNUMBER(namespace_raw[[#This Row],[Column6]]), namespace_raw[[#This Row],[Column6]],"")</f>
        <v/>
      </c>
      <c r="F970" s="96" t="str">
        <f>IF(ISNUMBER(namespace_raw[[#This Row],[Column7]]), namespace_raw[[#This Row],[Column7]]/1048576,"")</f>
        <v/>
      </c>
      <c r="G970" s="122" t="str">
        <f>IF(ISNUMBER(namespace_raw[[#This Row],[Column8]]), namespace_raw[[#This Row],[Column8]],"")</f>
        <v/>
      </c>
      <c r="H970" s="123" t="str">
        <f>IF(ISNUMBER(namespace_raw[[#This Row],[Column9]]), namespace_raw[[#This Row],[Column9]]/1048576,"")</f>
        <v/>
      </c>
      <c r="I970" s="124" t="str">
        <f>IF(ISNUMBER(namespace_raw[[#This Row],[Column8]]),MAX(G970, M970, O970, $I$2,IF(Q970&lt;&gt;"",VALUE(Q970),0)), "")</f>
        <v/>
      </c>
      <c r="J970" s="125" t="str">
        <f>IF(ISNUMBER(namespace_raw[[#This Row],[Column9]]),MAX(H970, N970, P970, $J$2,IF(R970&lt;&gt;"",VALUE(R970),0)),"")</f>
        <v/>
      </c>
      <c r="K970" s="166" t="str">
        <f>IF(ISNUMBER(namespace_raw[[#This Row],[Column12]]), namespace_raw[[#This Row],[Column12]],"")</f>
        <v/>
      </c>
      <c r="L970" s="167" t="str">
        <f>IF(ISNUMBER(namespace_raw[[#This Row],[Column13]]), namespace_raw[[#This Row],[Column13]]/1048576,"")</f>
        <v/>
      </c>
      <c r="M970" s="168" t="str">
        <f>IF(ISNUMBER(namespace_raw[[#This Row],[Column10]]), (namespace_raw[[#This Row],[Column10]]*(1+$M$2)),"")</f>
        <v/>
      </c>
      <c r="N970" s="167" t="str">
        <f>IF(ISNUMBER(namespace_raw[[#This Row],[Column11]]), (namespace_raw[[#This Row],[Column11]]*(1+$N$2))/1048576,"")</f>
        <v/>
      </c>
      <c r="O970" s="169" t="str">
        <f>IF(ISNUMBER(namespace_raw[[#This Row],[Column8]]), (E970  * $O$2),"")</f>
        <v/>
      </c>
      <c r="P970" s="170" t="str">
        <f>IF(ISNUMBER(namespace_raw[[#This Row],[Column8]]), (F970  * $P$2),"")</f>
        <v/>
      </c>
    </row>
    <row r="971" spans="1:16" ht="15" customHeight="1" x14ac:dyDescent="0.25">
      <c r="A971" s="32" t="str">
        <f>IF(ISNONTEXT(namespace_raw[[#This Row],[Column1]]), "", namespace_raw[[#This Row],[Column1]])</f>
        <v/>
      </c>
      <c r="B971" s="33" t="str">
        <f>IF(ISNONTEXT(namespace_raw[[#This Row],[Column2]]), "", namespace_raw[[#This Row],[Column2]])</f>
        <v/>
      </c>
      <c r="C971" s="94" t="str">
        <f>IF(ISNUMBER(namespace_raw[[#This Row],[Column4]]), namespace_raw[[#This Row],[Column4]], "")</f>
        <v/>
      </c>
      <c r="D971" s="95" t="str">
        <f>IF(ISNUMBER(namespace_raw[[#This Row],[Column5]]), namespace_raw[[#This Row],[Column5]]/1048576, "")</f>
        <v/>
      </c>
      <c r="E971" s="95" t="str">
        <f>IF(ISNUMBER(namespace_raw[[#This Row],[Column6]]), namespace_raw[[#This Row],[Column6]],"")</f>
        <v/>
      </c>
      <c r="F971" s="96" t="str">
        <f>IF(ISNUMBER(namespace_raw[[#This Row],[Column7]]), namespace_raw[[#This Row],[Column7]]/1048576,"")</f>
        <v/>
      </c>
      <c r="G971" s="122" t="str">
        <f>IF(ISNUMBER(namespace_raw[[#This Row],[Column8]]), namespace_raw[[#This Row],[Column8]],"")</f>
        <v/>
      </c>
      <c r="H971" s="123" t="str">
        <f>IF(ISNUMBER(namespace_raw[[#This Row],[Column9]]), namespace_raw[[#This Row],[Column9]]/1048576,"")</f>
        <v/>
      </c>
      <c r="I971" s="124" t="str">
        <f>IF(ISNUMBER(namespace_raw[[#This Row],[Column8]]),MAX(G971, M971, O971, $I$2,IF(Q971&lt;&gt;"",VALUE(Q971),0)), "")</f>
        <v/>
      </c>
      <c r="J971" s="125" t="str">
        <f>IF(ISNUMBER(namespace_raw[[#This Row],[Column9]]),MAX(H971, N971, P971, $J$2,IF(R971&lt;&gt;"",VALUE(R971),0)),"")</f>
        <v/>
      </c>
      <c r="K971" s="166" t="str">
        <f>IF(ISNUMBER(namespace_raw[[#This Row],[Column12]]), namespace_raw[[#This Row],[Column12]],"")</f>
        <v/>
      </c>
      <c r="L971" s="167" t="str">
        <f>IF(ISNUMBER(namespace_raw[[#This Row],[Column13]]), namespace_raw[[#This Row],[Column13]]/1048576,"")</f>
        <v/>
      </c>
      <c r="M971" s="168" t="str">
        <f>IF(ISNUMBER(namespace_raw[[#This Row],[Column10]]), (namespace_raw[[#This Row],[Column10]]*(1+$M$2)),"")</f>
        <v/>
      </c>
      <c r="N971" s="167" t="str">
        <f>IF(ISNUMBER(namespace_raw[[#This Row],[Column11]]), (namespace_raw[[#This Row],[Column11]]*(1+$N$2))/1048576,"")</f>
        <v/>
      </c>
      <c r="O971" s="169" t="str">
        <f>IF(ISNUMBER(namespace_raw[[#This Row],[Column8]]), (E971  * $O$2),"")</f>
        <v/>
      </c>
      <c r="P971" s="170" t="str">
        <f>IF(ISNUMBER(namespace_raw[[#This Row],[Column8]]), (F971  * $P$2),"")</f>
        <v/>
      </c>
    </row>
    <row r="972" spans="1:16" ht="15" customHeight="1" x14ac:dyDescent="0.25">
      <c r="A972" s="32" t="str">
        <f>IF(ISNONTEXT(namespace_raw[[#This Row],[Column1]]), "", namespace_raw[[#This Row],[Column1]])</f>
        <v/>
      </c>
      <c r="B972" s="33" t="str">
        <f>IF(ISNONTEXT(namespace_raw[[#This Row],[Column2]]), "", namespace_raw[[#This Row],[Column2]])</f>
        <v/>
      </c>
      <c r="C972" s="94" t="str">
        <f>IF(ISNUMBER(namespace_raw[[#This Row],[Column4]]), namespace_raw[[#This Row],[Column4]], "")</f>
        <v/>
      </c>
      <c r="D972" s="95" t="str">
        <f>IF(ISNUMBER(namespace_raw[[#This Row],[Column5]]), namespace_raw[[#This Row],[Column5]]/1048576, "")</f>
        <v/>
      </c>
      <c r="E972" s="95" t="str">
        <f>IF(ISNUMBER(namespace_raw[[#This Row],[Column6]]), namespace_raw[[#This Row],[Column6]],"")</f>
        <v/>
      </c>
      <c r="F972" s="96" t="str">
        <f>IF(ISNUMBER(namespace_raw[[#This Row],[Column7]]), namespace_raw[[#This Row],[Column7]]/1048576,"")</f>
        <v/>
      </c>
      <c r="G972" s="122" t="str">
        <f>IF(ISNUMBER(namespace_raw[[#This Row],[Column8]]), namespace_raw[[#This Row],[Column8]],"")</f>
        <v/>
      </c>
      <c r="H972" s="123" t="str">
        <f>IF(ISNUMBER(namespace_raw[[#This Row],[Column9]]), namespace_raw[[#This Row],[Column9]]/1048576,"")</f>
        <v/>
      </c>
      <c r="I972" s="124" t="str">
        <f>IF(ISNUMBER(namespace_raw[[#This Row],[Column8]]),MAX(G972, M972, O972, $I$2,IF(Q972&lt;&gt;"",VALUE(Q972),0)), "")</f>
        <v/>
      </c>
      <c r="J972" s="125" t="str">
        <f>IF(ISNUMBER(namespace_raw[[#This Row],[Column9]]),MAX(H972, N972, P972, $J$2,IF(R972&lt;&gt;"",VALUE(R972),0)),"")</f>
        <v/>
      </c>
      <c r="K972" s="166" t="str">
        <f>IF(ISNUMBER(namespace_raw[[#This Row],[Column12]]), namespace_raw[[#This Row],[Column12]],"")</f>
        <v/>
      </c>
      <c r="L972" s="167" t="str">
        <f>IF(ISNUMBER(namespace_raw[[#This Row],[Column13]]), namespace_raw[[#This Row],[Column13]]/1048576,"")</f>
        <v/>
      </c>
      <c r="M972" s="168" t="str">
        <f>IF(ISNUMBER(namespace_raw[[#This Row],[Column10]]), (namespace_raw[[#This Row],[Column10]]*(1+$M$2)),"")</f>
        <v/>
      </c>
      <c r="N972" s="167" t="str">
        <f>IF(ISNUMBER(namespace_raw[[#This Row],[Column11]]), (namespace_raw[[#This Row],[Column11]]*(1+$N$2))/1048576,"")</f>
        <v/>
      </c>
      <c r="O972" s="169" t="str">
        <f>IF(ISNUMBER(namespace_raw[[#This Row],[Column8]]), (E972  * $O$2),"")</f>
        <v/>
      </c>
      <c r="P972" s="170" t="str">
        <f>IF(ISNUMBER(namespace_raw[[#This Row],[Column8]]), (F972  * $P$2),"")</f>
        <v/>
      </c>
    </row>
    <row r="973" spans="1:16" ht="15" customHeight="1" x14ac:dyDescent="0.25">
      <c r="A973" s="32" t="str">
        <f>IF(ISNONTEXT(namespace_raw[[#This Row],[Column1]]), "", namespace_raw[[#This Row],[Column1]])</f>
        <v/>
      </c>
      <c r="B973" s="33" t="str">
        <f>IF(ISNONTEXT(namespace_raw[[#This Row],[Column2]]), "", namespace_raw[[#This Row],[Column2]])</f>
        <v/>
      </c>
      <c r="C973" s="94" t="str">
        <f>IF(ISNUMBER(namespace_raw[[#This Row],[Column4]]), namespace_raw[[#This Row],[Column4]], "")</f>
        <v/>
      </c>
      <c r="D973" s="95" t="str">
        <f>IF(ISNUMBER(namespace_raw[[#This Row],[Column5]]), namespace_raw[[#This Row],[Column5]]/1048576, "")</f>
        <v/>
      </c>
      <c r="E973" s="95" t="str">
        <f>IF(ISNUMBER(namespace_raw[[#This Row],[Column6]]), namespace_raw[[#This Row],[Column6]],"")</f>
        <v/>
      </c>
      <c r="F973" s="96" t="str">
        <f>IF(ISNUMBER(namespace_raw[[#This Row],[Column7]]), namespace_raw[[#This Row],[Column7]]/1048576,"")</f>
        <v/>
      </c>
      <c r="G973" s="122" t="str">
        <f>IF(ISNUMBER(namespace_raw[[#This Row],[Column8]]), namespace_raw[[#This Row],[Column8]],"")</f>
        <v/>
      </c>
      <c r="H973" s="123" t="str">
        <f>IF(ISNUMBER(namespace_raw[[#This Row],[Column9]]), namespace_raw[[#This Row],[Column9]]/1048576,"")</f>
        <v/>
      </c>
      <c r="I973" s="124" t="str">
        <f>IF(ISNUMBER(namespace_raw[[#This Row],[Column8]]),MAX(G973, M973, O973, $I$2,IF(Q973&lt;&gt;"",VALUE(Q973),0)), "")</f>
        <v/>
      </c>
      <c r="J973" s="125" t="str">
        <f>IF(ISNUMBER(namespace_raw[[#This Row],[Column9]]),MAX(H973, N973, P973, $J$2,IF(R973&lt;&gt;"",VALUE(R973),0)),"")</f>
        <v/>
      </c>
      <c r="K973" s="166" t="str">
        <f>IF(ISNUMBER(namespace_raw[[#This Row],[Column12]]), namespace_raw[[#This Row],[Column12]],"")</f>
        <v/>
      </c>
      <c r="L973" s="167" t="str">
        <f>IF(ISNUMBER(namespace_raw[[#This Row],[Column13]]), namespace_raw[[#This Row],[Column13]]/1048576,"")</f>
        <v/>
      </c>
      <c r="M973" s="168" t="str">
        <f>IF(ISNUMBER(namespace_raw[[#This Row],[Column10]]), (namespace_raw[[#This Row],[Column10]]*(1+$M$2)),"")</f>
        <v/>
      </c>
      <c r="N973" s="167" t="str">
        <f>IF(ISNUMBER(namespace_raw[[#This Row],[Column11]]), (namespace_raw[[#This Row],[Column11]]*(1+$N$2))/1048576,"")</f>
        <v/>
      </c>
      <c r="O973" s="169" t="str">
        <f>IF(ISNUMBER(namespace_raw[[#This Row],[Column8]]), (E973  * $O$2),"")</f>
        <v/>
      </c>
      <c r="P973" s="170" t="str">
        <f>IF(ISNUMBER(namespace_raw[[#This Row],[Column8]]), (F973  * $P$2),"")</f>
        <v/>
      </c>
    </row>
    <row r="974" spans="1:16" ht="15" customHeight="1" x14ac:dyDescent="0.25">
      <c r="A974" s="32" t="str">
        <f>IF(ISNONTEXT(namespace_raw[[#This Row],[Column1]]), "", namespace_raw[[#This Row],[Column1]])</f>
        <v/>
      </c>
      <c r="B974" s="33" t="str">
        <f>IF(ISNONTEXT(namespace_raw[[#This Row],[Column2]]), "", namespace_raw[[#This Row],[Column2]])</f>
        <v/>
      </c>
      <c r="C974" s="94" t="str">
        <f>IF(ISNUMBER(namespace_raw[[#This Row],[Column4]]), namespace_raw[[#This Row],[Column4]], "")</f>
        <v/>
      </c>
      <c r="D974" s="95" t="str">
        <f>IF(ISNUMBER(namespace_raw[[#This Row],[Column5]]), namespace_raw[[#This Row],[Column5]]/1048576, "")</f>
        <v/>
      </c>
      <c r="E974" s="95" t="str">
        <f>IF(ISNUMBER(namespace_raw[[#This Row],[Column6]]), namespace_raw[[#This Row],[Column6]],"")</f>
        <v/>
      </c>
      <c r="F974" s="96" t="str">
        <f>IF(ISNUMBER(namespace_raw[[#This Row],[Column7]]), namespace_raw[[#This Row],[Column7]]/1048576,"")</f>
        <v/>
      </c>
      <c r="G974" s="122" t="str">
        <f>IF(ISNUMBER(namespace_raw[[#This Row],[Column8]]), namespace_raw[[#This Row],[Column8]],"")</f>
        <v/>
      </c>
      <c r="H974" s="123" t="str">
        <f>IF(ISNUMBER(namespace_raw[[#This Row],[Column9]]), namespace_raw[[#This Row],[Column9]]/1048576,"")</f>
        <v/>
      </c>
      <c r="I974" s="124" t="str">
        <f>IF(ISNUMBER(namespace_raw[[#This Row],[Column8]]),MAX(G974, M974, O974, $I$2,IF(Q974&lt;&gt;"",VALUE(Q974),0)), "")</f>
        <v/>
      </c>
      <c r="J974" s="125" t="str">
        <f>IF(ISNUMBER(namespace_raw[[#This Row],[Column9]]),MAX(H974, N974, P974, $J$2,IF(R974&lt;&gt;"",VALUE(R974),0)),"")</f>
        <v/>
      </c>
      <c r="K974" s="166" t="str">
        <f>IF(ISNUMBER(namespace_raw[[#This Row],[Column12]]), namespace_raw[[#This Row],[Column12]],"")</f>
        <v/>
      </c>
      <c r="L974" s="167" t="str">
        <f>IF(ISNUMBER(namespace_raw[[#This Row],[Column13]]), namespace_raw[[#This Row],[Column13]]/1048576,"")</f>
        <v/>
      </c>
      <c r="M974" s="168" t="str">
        <f>IF(ISNUMBER(namespace_raw[[#This Row],[Column10]]), (namespace_raw[[#This Row],[Column10]]*(1+$M$2)),"")</f>
        <v/>
      </c>
      <c r="N974" s="167" t="str">
        <f>IF(ISNUMBER(namespace_raw[[#This Row],[Column11]]), (namespace_raw[[#This Row],[Column11]]*(1+$N$2))/1048576,"")</f>
        <v/>
      </c>
      <c r="O974" s="169" t="str">
        <f>IF(ISNUMBER(namespace_raw[[#This Row],[Column8]]), (E974  * $O$2),"")</f>
        <v/>
      </c>
      <c r="P974" s="170" t="str">
        <f>IF(ISNUMBER(namespace_raw[[#This Row],[Column8]]), (F974  * $P$2),"")</f>
        <v/>
      </c>
    </row>
    <row r="975" spans="1:16" ht="15" customHeight="1" x14ac:dyDescent="0.25">
      <c r="A975" s="32" t="str">
        <f>IF(ISNONTEXT(namespace_raw[[#This Row],[Column1]]), "", namespace_raw[[#This Row],[Column1]])</f>
        <v/>
      </c>
      <c r="B975" s="33" t="str">
        <f>IF(ISNONTEXT(namespace_raw[[#This Row],[Column2]]), "", namespace_raw[[#This Row],[Column2]])</f>
        <v/>
      </c>
      <c r="C975" s="94" t="str">
        <f>IF(ISNUMBER(namespace_raw[[#This Row],[Column4]]), namespace_raw[[#This Row],[Column4]], "")</f>
        <v/>
      </c>
      <c r="D975" s="95" t="str">
        <f>IF(ISNUMBER(namespace_raw[[#This Row],[Column5]]), namespace_raw[[#This Row],[Column5]]/1048576, "")</f>
        <v/>
      </c>
      <c r="E975" s="95" t="str">
        <f>IF(ISNUMBER(namespace_raw[[#This Row],[Column6]]), namespace_raw[[#This Row],[Column6]],"")</f>
        <v/>
      </c>
      <c r="F975" s="96" t="str">
        <f>IF(ISNUMBER(namespace_raw[[#This Row],[Column7]]), namespace_raw[[#This Row],[Column7]]/1048576,"")</f>
        <v/>
      </c>
      <c r="G975" s="122" t="str">
        <f>IF(ISNUMBER(namespace_raw[[#This Row],[Column8]]), namespace_raw[[#This Row],[Column8]],"")</f>
        <v/>
      </c>
      <c r="H975" s="123" t="str">
        <f>IF(ISNUMBER(namespace_raw[[#This Row],[Column9]]), namespace_raw[[#This Row],[Column9]]/1048576,"")</f>
        <v/>
      </c>
      <c r="I975" s="124" t="str">
        <f>IF(ISNUMBER(namespace_raw[[#This Row],[Column8]]),MAX(G975, M975, O975, $I$2,IF(Q975&lt;&gt;"",VALUE(Q975),0)), "")</f>
        <v/>
      </c>
      <c r="J975" s="125" t="str">
        <f>IF(ISNUMBER(namespace_raw[[#This Row],[Column9]]),MAX(H975, N975, P975, $J$2,IF(R975&lt;&gt;"",VALUE(R975),0)),"")</f>
        <v/>
      </c>
      <c r="K975" s="166" t="str">
        <f>IF(ISNUMBER(namespace_raw[[#This Row],[Column12]]), namespace_raw[[#This Row],[Column12]],"")</f>
        <v/>
      </c>
      <c r="L975" s="167" t="str">
        <f>IF(ISNUMBER(namespace_raw[[#This Row],[Column13]]), namespace_raw[[#This Row],[Column13]]/1048576,"")</f>
        <v/>
      </c>
      <c r="M975" s="168" t="str">
        <f>IF(ISNUMBER(namespace_raw[[#This Row],[Column10]]), (namespace_raw[[#This Row],[Column10]]*(1+$M$2)),"")</f>
        <v/>
      </c>
      <c r="N975" s="167" t="str">
        <f>IF(ISNUMBER(namespace_raw[[#This Row],[Column11]]), (namespace_raw[[#This Row],[Column11]]*(1+$N$2))/1048576,"")</f>
        <v/>
      </c>
      <c r="O975" s="169" t="str">
        <f>IF(ISNUMBER(namespace_raw[[#This Row],[Column8]]), (E975  * $O$2),"")</f>
        <v/>
      </c>
      <c r="P975" s="170" t="str">
        <f>IF(ISNUMBER(namespace_raw[[#This Row],[Column8]]), (F975  * $P$2),"")</f>
        <v/>
      </c>
    </row>
    <row r="976" spans="1:16" ht="15" customHeight="1" x14ac:dyDescent="0.25">
      <c r="A976" s="32" t="str">
        <f>IF(ISNONTEXT(namespace_raw[[#This Row],[Column1]]), "", namespace_raw[[#This Row],[Column1]])</f>
        <v/>
      </c>
      <c r="B976" s="33" t="str">
        <f>IF(ISNONTEXT(namespace_raw[[#This Row],[Column2]]), "", namespace_raw[[#This Row],[Column2]])</f>
        <v/>
      </c>
      <c r="C976" s="94" t="str">
        <f>IF(ISNUMBER(namespace_raw[[#This Row],[Column4]]), namespace_raw[[#This Row],[Column4]], "")</f>
        <v/>
      </c>
      <c r="D976" s="95" t="str">
        <f>IF(ISNUMBER(namespace_raw[[#This Row],[Column5]]), namespace_raw[[#This Row],[Column5]]/1048576, "")</f>
        <v/>
      </c>
      <c r="E976" s="95" t="str">
        <f>IF(ISNUMBER(namespace_raw[[#This Row],[Column6]]), namespace_raw[[#This Row],[Column6]],"")</f>
        <v/>
      </c>
      <c r="F976" s="96" t="str">
        <f>IF(ISNUMBER(namespace_raw[[#This Row],[Column7]]), namespace_raw[[#This Row],[Column7]]/1048576,"")</f>
        <v/>
      </c>
      <c r="G976" s="122" t="str">
        <f>IF(ISNUMBER(namespace_raw[[#This Row],[Column8]]), namespace_raw[[#This Row],[Column8]],"")</f>
        <v/>
      </c>
      <c r="H976" s="123" t="str">
        <f>IF(ISNUMBER(namespace_raw[[#This Row],[Column9]]), namespace_raw[[#This Row],[Column9]]/1048576,"")</f>
        <v/>
      </c>
      <c r="I976" s="124" t="str">
        <f>IF(ISNUMBER(namespace_raw[[#This Row],[Column8]]),MAX(G976, M976, O976, $I$2,IF(Q976&lt;&gt;"",VALUE(Q976),0)), "")</f>
        <v/>
      </c>
      <c r="J976" s="125" t="str">
        <f>IF(ISNUMBER(namespace_raw[[#This Row],[Column9]]),MAX(H976, N976, P976, $J$2,IF(R976&lt;&gt;"",VALUE(R976),0)),"")</f>
        <v/>
      </c>
      <c r="K976" s="166" t="str">
        <f>IF(ISNUMBER(namespace_raw[[#This Row],[Column12]]), namespace_raw[[#This Row],[Column12]],"")</f>
        <v/>
      </c>
      <c r="L976" s="167" t="str">
        <f>IF(ISNUMBER(namespace_raw[[#This Row],[Column13]]), namespace_raw[[#This Row],[Column13]]/1048576,"")</f>
        <v/>
      </c>
      <c r="M976" s="168" t="str">
        <f>IF(ISNUMBER(namespace_raw[[#This Row],[Column10]]), (namespace_raw[[#This Row],[Column10]]*(1+$M$2)),"")</f>
        <v/>
      </c>
      <c r="N976" s="167" t="str">
        <f>IF(ISNUMBER(namespace_raw[[#This Row],[Column11]]), (namespace_raw[[#This Row],[Column11]]*(1+$N$2))/1048576,"")</f>
        <v/>
      </c>
      <c r="O976" s="169" t="str">
        <f>IF(ISNUMBER(namespace_raw[[#This Row],[Column8]]), (E976  * $O$2),"")</f>
        <v/>
      </c>
      <c r="P976" s="170" t="str">
        <f>IF(ISNUMBER(namespace_raw[[#This Row],[Column8]]), (F976  * $P$2),"")</f>
        <v/>
      </c>
    </row>
    <row r="977" spans="1:16" ht="15" customHeight="1" x14ac:dyDescent="0.25">
      <c r="A977" s="32" t="str">
        <f>IF(ISNONTEXT(namespace_raw[[#This Row],[Column1]]), "", namespace_raw[[#This Row],[Column1]])</f>
        <v/>
      </c>
      <c r="B977" s="33" t="str">
        <f>IF(ISNONTEXT(namespace_raw[[#This Row],[Column2]]), "", namespace_raw[[#This Row],[Column2]])</f>
        <v/>
      </c>
      <c r="C977" s="94" t="str">
        <f>IF(ISNUMBER(namespace_raw[[#This Row],[Column4]]), namespace_raw[[#This Row],[Column4]], "")</f>
        <v/>
      </c>
      <c r="D977" s="95" t="str">
        <f>IF(ISNUMBER(namespace_raw[[#This Row],[Column5]]), namespace_raw[[#This Row],[Column5]]/1048576, "")</f>
        <v/>
      </c>
      <c r="E977" s="95" t="str">
        <f>IF(ISNUMBER(namespace_raw[[#This Row],[Column6]]), namespace_raw[[#This Row],[Column6]],"")</f>
        <v/>
      </c>
      <c r="F977" s="96" t="str">
        <f>IF(ISNUMBER(namespace_raw[[#This Row],[Column7]]), namespace_raw[[#This Row],[Column7]]/1048576,"")</f>
        <v/>
      </c>
      <c r="G977" s="122" t="str">
        <f>IF(ISNUMBER(namespace_raw[[#This Row],[Column8]]), namespace_raw[[#This Row],[Column8]],"")</f>
        <v/>
      </c>
      <c r="H977" s="123" t="str">
        <f>IF(ISNUMBER(namespace_raw[[#This Row],[Column9]]), namespace_raw[[#This Row],[Column9]]/1048576,"")</f>
        <v/>
      </c>
      <c r="I977" s="124" t="str">
        <f>IF(ISNUMBER(namespace_raw[[#This Row],[Column8]]),MAX(G977, M977, O977, $I$2,IF(Q977&lt;&gt;"",VALUE(Q977),0)), "")</f>
        <v/>
      </c>
      <c r="J977" s="125" t="str">
        <f>IF(ISNUMBER(namespace_raw[[#This Row],[Column9]]),MAX(H977, N977, P977, $J$2,IF(R977&lt;&gt;"",VALUE(R977),0)),"")</f>
        <v/>
      </c>
      <c r="K977" s="166" t="str">
        <f>IF(ISNUMBER(namespace_raw[[#This Row],[Column12]]), namespace_raw[[#This Row],[Column12]],"")</f>
        <v/>
      </c>
      <c r="L977" s="167" t="str">
        <f>IF(ISNUMBER(namespace_raw[[#This Row],[Column13]]), namespace_raw[[#This Row],[Column13]]/1048576,"")</f>
        <v/>
      </c>
      <c r="M977" s="168" t="str">
        <f>IF(ISNUMBER(namespace_raw[[#This Row],[Column10]]), (namespace_raw[[#This Row],[Column10]]*(1+$M$2)),"")</f>
        <v/>
      </c>
      <c r="N977" s="167" t="str">
        <f>IF(ISNUMBER(namespace_raw[[#This Row],[Column11]]), (namespace_raw[[#This Row],[Column11]]*(1+$N$2))/1048576,"")</f>
        <v/>
      </c>
      <c r="O977" s="169" t="str">
        <f>IF(ISNUMBER(namespace_raw[[#This Row],[Column8]]), (E977  * $O$2),"")</f>
        <v/>
      </c>
      <c r="P977" s="170" t="str">
        <f>IF(ISNUMBER(namespace_raw[[#This Row],[Column8]]), (F977  * $P$2),"")</f>
        <v/>
      </c>
    </row>
    <row r="978" spans="1:16" ht="15" customHeight="1" x14ac:dyDescent="0.25">
      <c r="A978" s="32" t="str">
        <f>IF(ISNONTEXT(namespace_raw[[#This Row],[Column1]]), "", namespace_raw[[#This Row],[Column1]])</f>
        <v/>
      </c>
      <c r="B978" s="33" t="str">
        <f>IF(ISNONTEXT(namespace_raw[[#This Row],[Column2]]), "", namespace_raw[[#This Row],[Column2]])</f>
        <v/>
      </c>
      <c r="C978" s="94" t="str">
        <f>IF(ISNUMBER(namespace_raw[[#This Row],[Column4]]), namespace_raw[[#This Row],[Column4]], "")</f>
        <v/>
      </c>
      <c r="D978" s="95" t="str">
        <f>IF(ISNUMBER(namespace_raw[[#This Row],[Column5]]), namespace_raw[[#This Row],[Column5]]/1048576, "")</f>
        <v/>
      </c>
      <c r="E978" s="95" t="str">
        <f>IF(ISNUMBER(namespace_raw[[#This Row],[Column6]]), namespace_raw[[#This Row],[Column6]],"")</f>
        <v/>
      </c>
      <c r="F978" s="96" t="str">
        <f>IF(ISNUMBER(namespace_raw[[#This Row],[Column7]]), namespace_raw[[#This Row],[Column7]]/1048576,"")</f>
        <v/>
      </c>
      <c r="G978" s="122" t="str">
        <f>IF(ISNUMBER(namespace_raw[[#This Row],[Column8]]), namespace_raw[[#This Row],[Column8]],"")</f>
        <v/>
      </c>
      <c r="H978" s="123" t="str">
        <f>IF(ISNUMBER(namespace_raw[[#This Row],[Column9]]), namespace_raw[[#This Row],[Column9]]/1048576,"")</f>
        <v/>
      </c>
      <c r="I978" s="124" t="str">
        <f>IF(ISNUMBER(namespace_raw[[#This Row],[Column8]]),MAX(G978, M978, O978, $I$2,IF(Q978&lt;&gt;"",VALUE(Q978),0)), "")</f>
        <v/>
      </c>
      <c r="J978" s="125" t="str">
        <f>IF(ISNUMBER(namespace_raw[[#This Row],[Column9]]),MAX(H978, N978, P978, $J$2,IF(R978&lt;&gt;"",VALUE(R978),0)),"")</f>
        <v/>
      </c>
      <c r="K978" s="166" t="str">
        <f>IF(ISNUMBER(namespace_raw[[#This Row],[Column12]]), namespace_raw[[#This Row],[Column12]],"")</f>
        <v/>
      </c>
      <c r="L978" s="167" t="str">
        <f>IF(ISNUMBER(namespace_raw[[#This Row],[Column13]]), namespace_raw[[#This Row],[Column13]]/1048576,"")</f>
        <v/>
      </c>
      <c r="M978" s="168" t="str">
        <f>IF(ISNUMBER(namespace_raw[[#This Row],[Column10]]), (namespace_raw[[#This Row],[Column10]]*(1+$M$2)),"")</f>
        <v/>
      </c>
      <c r="N978" s="167" t="str">
        <f>IF(ISNUMBER(namespace_raw[[#This Row],[Column11]]), (namespace_raw[[#This Row],[Column11]]*(1+$N$2))/1048576,"")</f>
        <v/>
      </c>
      <c r="O978" s="169" t="str">
        <f>IF(ISNUMBER(namespace_raw[[#This Row],[Column8]]), (E978  * $O$2),"")</f>
        <v/>
      </c>
      <c r="P978" s="170" t="str">
        <f>IF(ISNUMBER(namespace_raw[[#This Row],[Column8]]), (F978  * $P$2),"")</f>
        <v/>
      </c>
    </row>
    <row r="979" spans="1:16" ht="15" customHeight="1" x14ac:dyDescent="0.25">
      <c r="A979" s="32" t="str">
        <f>IF(ISNONTEXT(namespace_raw[[#This Row],[Column1]]), "", namespace_raw[[#This Row],[Column1]])</f>
        <v/>
      </c>
      <c r="B979" s="33" t="str">
        <f>IF(ISNONTEXT(namespace_raw[[#This Row],[Column2]]), "", namespace_raw[[#This Row],[Column2]])</f>
        <v/>
      </c>
      <c r="C979" s="94" t="str">
        <f>IF(ISNUMBER(namespace_raw[[#This Row],[Column4]]), namespace_raw[[#This Row],[Column4]], "")</f>
        <v/>
      </c>
      <c r="D979" s="95" t="str">
        <f>IF(ISNUMBER(namespace_raw[[#This Row],[Column5]]), namespace_raw[[#This Row],[Column5]]/1048576, "")</f>
        <v/>
      </c>
      <c r="E979" s="95" t="str">
        <f>IF(ISNUMBER(namespace_raw[[#This Row],[Column6]]), namespace_raw[[#This Row],[Column6]],"")</f>
        <v/>
      </c>
      <c r="F979" s="96" t="str">
        <f>IF(ISNUMBER(namespace_raw[[#This Row],[Column7]]), namespace_raw[[#This Row],[Column7]]/1048576,"")</f>
        <v/>
      </c>
      <c r="G979" s="122" t="str">
        <f>IF(ISNUMBER(namespace_raw[[#This Row],[Column8]]), namespace_raw[[#This Row],[Column8]],"")</f>
        <v/>
      </c>
      <c r="H979" s="123" t="str">
        <f>IF(ISNUMBER(namespace_raw[[#This Row],[Column9]]), namespace_raw[[#This Row],[Column9]]/1048576,"")</f>
        <v/>
      </c>
      <c r="I979" s="124" t="str">
        <f>IF(ISNUMBER(namespace_raw[[#This Row],[Column8]]),MAX(G979, M979, O979, $I$2,IF(Q979&lt;&gt;"",VALUE(Q979),0)), "")</f>
        <v/>
      </c>
      <c r="J979" s="125" t="str">
        <f>IF(ISNUMBER(namespace_raw[[#This Row],[Column9]]),MAX(H979, N979, P979, $J$2,IF(R979&lt;&gt;"",VALUE(R979),0)),"")</f>
        <v/>
      </c>
      <c r="K979" s="166" t="str">
        <f>IF(ISNUMBER(namespace_raw[[#This Row],[Column12]]), namespace_raw[[#This Row],[Column12]],"")</f>
        <v/>
      </c>
      <c r="L979" s="167" t="str">
        <f>IF(ISNUMBER(namespace_raw[[#This Row],[Column13]]), namespace_raw[[#This Row],[Column13]]/1048576,"")</f>
        <v/>
      </c>
      <c r="M979" s="168" t="str">
        <f>IF(ISNUMBER(namespace_raw[[#This Row],[Column10]]), (namespace_raw[[#This Row],[Column10]]*(1+$M$2)),"")</f>
        <v/>
      </c>
      <c r="N979" s="167" t="str">
        <f>IF(ISNUMBER(namespace_raw[[#This Row],[Column11]]), (namespace_raw[[#This Row],[Column11]]*(1+$N$2))/1048576,"")</f>
        <v/>
      </c>
      <c r="O979" s="169" t="str">
        <f>IF(ISNUMBER(namespace_raw[[#This Row],[Column8]]), (E979  * $O$2),"")</f>
        <v/>
      </c>
      <c r="P979" s="170" t="str">
        <f>IF(ISNUMBER(namespace_raw[[#This Row],[Column8]]), (F979  * $P$2),"")</f>
        <v/>
      </c>
    </row>
    <row r="980" spans="1:16" ht="15" customHeight="1" x14ac:dyDescent="0.25">
      <c r="A980" s="32" t="str">
        <f>IF(ISNONTEXT(namespace_raw[[#This Row],[Column1]]), "", namespace_raw[[#This Row],[Column1]])</f>
        <v/>
      </c>
      <c r="B980" s="33" t="str">
        <f>IF(ISNONTEXT(namespace_raw[[#This Row],[Column2]]), "", namespace_raw[[#This Row],[Column2]])</f>
        <v/>
      </c>
      <c r="C980" s="94" t="str">
        <f>IF(ISNUMBER(namespace_raw[[#This Row],[Column4]]), namespace_raw[[#This Row],[Column4]], "")</f>
        <v/>
      </c>
      <c r="D980" s="95" t="str">
        <f>IF(ISNUMBER(namespace_raw[[#This Row],[Column5]]), namespace_raw[[#This Row],[Column5]]/1048576, "")</f>
        <v/>
      </c>
      <c r="E980" s="95" t="str">
        <f>IF(ISNUMBER(namespace_raw[[#This Row],[Column6]]), namespace_raw[[#This Row],[Column6]],"")</f>
        <v/>
      </c>
      <c r="F980" s="96" t="str">
        <f>IF(ISNUMBER(namespace_raw[[#This Row],[Column7]]), namespace_raw[[#This Row],[Column7]]/1048576,"")</f>
        <v/>
      </c>
      <c r="G980" s="122" t="str">
        <f>IF(ISNUMBER(namespace_raw[[#This Row],[Column8]]), namespace_raw[[#This Row],[Column8]],"")</f>
        <v/>
      </c>
      <c r="H980" s="123" t="str">
        <f>IF(ISNUMBER(namespace_raw[[#This Row],[Column9]]), namespace_raw[[#This Row],[Column9]]/1048576,"")</f>
        <v/>
      </c>
      <c r="I980" s="124" t="str">
        <f>IF(ISNUMBER(namespace_raw[[#This Row],[Column8]]),MAX(G980, M980, O980, $I$2,IF(Q980&lt;&gt;"",VALUE(Q980),0)), "")</f>
        <v/>
      </c>
      <c r="J980" s="125" t="str">
        <f>IF(ISNUMBER(namespace_raw[[#This Row],[Column9]]),MAX(H980, N980, P980, $J$2,IF(R980&lt;&gt;"",VALUE(R980),0)),"")</f>
        <v/>
      </c>
      <c r="K980" s="166" t="str">
        <f>IF(ISNUMBER(namespace_raw[[#This Row],[Column12]]), namespace_raw[[#This Row],[Column12]],"")</f>
        <v/>
      </c>
      <c r="L980" s="167" t="str">
        <f>IF(ISNUMBER(namespace_raw[[#This Row],[Column13]]), namespace_raw[[#This Row],[Column13]]/1048576,"")</f>
        <v/>
      </c>
      <c r="M980" s="168" t="str">
        <f>IF(ISNUMBER(namespace_raw[[#This Row],[Column10]]), (namespace_raw[[#This Row],[Column10]]*(1+$M$2)),"")</f>
        <v/>
      </c>
      <c r="N980" s="167" t="str">
        <f>IF(ISNUMBER(namespace_raw[[#This Row],[Column11]]), (namespace_raw[[#This Row],[Column11]]*(1+$N$2))/1048576,"")</f>
        <v/>
      </c>
      <c r="O980" s="169" t="str">
        <f>IF(ISNUMBER(namespace_raw[[#This Row],[Column8]]), (E980  * $O$2),"")</f>
        <v/>
      </c>
      <c r="P980" s="170" t="str">
        <f>IF(ISNUMBER(namespace_raw[[#This Row],[Column8]]), (F980  * $P$2),"")</f>
        <v/>
      </c>
    </row>
    <row r="981" spans="1:16" ht="15" customHeight="1" x14ac:dyDescent="0.25">
      <c r="A981" s="32" t="str">
        <f>IF(ISNONTEXT(namespace_raw[[#This Row],[Column1]]), "", namespace_raw[[#This Row],[Column1]])</f>
        <v/>
      </c>
      <c r="B981" s="33" t="str">
        <f>IF(ISNONTEXT(namespace_raw[[#This Row],[Column2]]), "", namespace_raw[[#This Row],[Column2]])</f>
        <v/>
      </c>
      <c r="C981" s="94" t="str">
        <f>IF(ISNUMBER(namespace_raw[[#This Row],[Column4]]), namespace_raw[[#This Row],[Column4]], "")</f>
        <v/>
      </c>
      <c r="D981" s="95" t="str">
        <f>IF(ISNUMBER(namespace_raw[[#This Row],[Column5]]), namespace_raw[[#This Row],[Column5]]/1048576, "")</f>
        <v/>
      </c>
      <c r="E981" s="95" t="str">
        <f>IF(ISNUMBER(namespace_raw[[#This Row],[Column6]]), namespace_raw[[#This Row],[Column6]],"")</f>
        <v/>
      </c>
      <c r="F981" s="96" t="str">
        <f>IF(ISNUMBER(namespace_raw[[#This Row],[Column7]]), namespace_raw[[#This Row],[Column7]]/1048576,"")</f>
        <v/>
      </c>
      <c r="G981" s="122" t="str">
        <f>IF(ISNUMBER(namespace_raw[[#This Row],[Column8]]), namespace_raw[[#This Row],[Column8]],"")</f>
        <v/>
      </c>
      <c r="H981" s="123" t="str">
        <f>IF(ISNUMBER(namespace_raw[[#This Row],[Column9]]), namespace_raw[[#This Row],[Column9]]/1048576,"")</f>
        <v/>
      </c>
      <c r="I981" s="124" t="str">
        <f>IF(ISNUMBER(namespace_raw[[#This Row],[Column8]]),MAX(G981, M981, O981, $I$2,IF(Q981&lt;&gt;"",VALUE(Q981),0)), "")</f>
        <v/>
      </c>
      <c r="J981" s="125" t="str">
        <f>IF(ISNUMBER(namespace_raw[[#This Row],[Column9]]),MAX(H981, N981, P981, $J$2,IF(R981&lt;&gt;"",VALUE(R981),0)),"")</f>
        <v/>
      </c>
      <c r="K981" s="166" t="str">
        <f>IF(ISNUMBER(namespace_raw[[#This Row],[Column12]]), namespace_raw[[#This Row],[Column12]],"")</f>
        <v/>
      </c>
      <c r="L981" s="167" t="str">
        <f>IF(ISNUMBER(namespace_raw[[#This Row],[Column13]]), namespace_raw[[#This Row],[Column13]]/1048576,"")</f>
        <v/>
      </c>
      <c r="M981" s="168" t="str">
        <f>IF(ISNUMBER(namespace_raw[[#This Row],[Column10]]), (namespace_raw[[#This Row],[Column10]]*(1+$M$2)),"")</f>
        <v/>
      </c>
      <c r="N981" s="167" t="str">
        <f>IF(ISNUMBER(namespace_raw[[#This Row],[Column11]]), (namespace_raw[[#This Row],[Column11]]*(1+$N$2))/1048576,"")</f>
        <v/>
      </c>
      <c r="O981" s="169" t="str">
        <f>IF(ISNUMBER(namespace_raw[[#This Row],[Column8]]), (E981  * $O$2),"")</f>
        <v/>
      </c>
      <c r="P981" s="170" t="str">
        <f>IF(ISNUMBER(namespace_raw[[#This Row],[Column8]]), (F981  * $P$2),"")</f>
        <v/>
      </c>
    </row>
    <row r="982" spans="1:16" ht="15" customHeight="1" x14ac:dyDescent="0.25">
      <c r="A982" s="32" t="str">
        <f>IF(ISNONTEXT(namespace_raw[[#This Row],[Column1]]), "", namespace_raw[[#This Row],[Column1]])</f>
        <v/>
      </c>
      <c r="B982" s="33" t="str">
        <f>IF(ISNONTEXT(namespace_raw[[#This Row],[Column2]]), "", namespace_raw[[#This Row],[Column2]])</f>
        <v/>
      </c>
      <c r="C982" s="94" t="str">
        <f>IF(ISNUMBER(namespace_raw[[#This Row],[Column4]]), namespace_raw[[#This Row],[Column4]], "")</f>
        <v/>
      </c>
      <c r="D982" s="95" t="str">
        <f>IF(ISNUMBER(namespace_raw[[#This Row],[Column5]]), namespace_raw[[#This Row],[Column5]]/1048576, "")</f>
        <v/>
      </c>
      <c r="E982" s="95" t="str">
        <f>IF(ISNUMBER(namespace_raw[[#This Row],[Column6]]), namespace_raw[[#This Row],[Column6]],"")</f>
        <v/>
      </c>
      <c r="F982" s="96" t="str">
        <f>IF(ISNUMBER(namespace_raw[[#This Row],[Column7]]), namespace_raw[[#This Row],[Column7]]/1048576,"")</f>
        <v/>
      </c>
      <c r="G982" s="122" t="str">
        <f>IF(ISNUMBER(namespace_raw[[#This Row],[Column8]]), namespace_raw[[#This Row],[Column8]],"")</f>
        <v/>
      </c>
      <c r="H982" s="123" t="str">
        <f>IF(ISNUMBER(namespace_raw[[#This Row],[Column9]]), namespace_raw[[#This Row],[Column9]]/1048576,"")</f>
        <v/>
      </c>
      <c r="I982" s="124" t="str">
        <f>IF(ISNUMBER(namespace_raw[[#This Row],[Column8]]),MAX(G982, M982, O982, $I$2,IF(Q982&lt;&gt;"",VALUE(Q982),0)), "")</f>
        <v/>
      </c>
      <c r="J982" s="125" t="str">
        <f>IF(ISNUMBER(namespace_raw[[#This Row],[Column9]]),MAX(H982, N982, P982, $J$2,IF(R982&lt;&gt;"",VALUE(R982),0)),"")</f>
        <v/>
      </c>
      <c r="K982" s="166" t="str">
        <f>IF(ISNUMBER(namespace_raw[[#This Row],[Column12]]), namespace_raw[[#This Row],[Column12]],"")</f>
        <v/>
      </c>
      <c r="L982" s="167" t="str">
        <f>IF(ISNUMBER(namespace_raw[[#This Row],[Column13]]), namespace_raw[[#This Row],[Column13]]/1048576,"")</f>
        <v/>
      </c>
      <c r="M982" s="168" t="str">
        <f>IF(ISNUMBER(namespace_raw[[#This Row],[Column10]]), (namespace_raw[[#This Row],[Column10]]*(1+$M$2)),"")</f>
        <v/>
      </c>
      <c r="N982" s="167" t="str">
        <f>IF(ISNUMBER(namespace_raw[[#This Row],[Column11]]), (namespace_raw[[#This Row],[Column11]]*(1+$N$2))/1048576,"")</f>
        <v/>
      </c>
      <c r="O982" s="169" t="str">
        <f>IF(ISNUMBER(namespace_raw[[#This Row],[Column8]]), (E982  * $O$2),"")</f>
        <v/>
      </c>
      <c r="P982" s="170" t="str">
        <f>IF(ISNUMBER(namespace_raw[[#This Row],[Column8]]), (F982  * $P$2),"")</f>
        <v/>
      </c>
    </row>
    <row r="983" spans="1:16" ht="15" customHeight="1" x14ac:dyDescent="0.25">
      <c r="A983" s="32" t="str">
        <f>IF(ISNONTEXT(namespace_raw[[#This Row],[Column1]]), "", namespace_raw[[#This Row],[Column1]])</f>
        <v/>
      </c>
      <c r="B983" s="33" t="str">
        <f>IF(ISNONTEXT(namespace_raw[[#This Row],[Column2]]), "", namespace_raw[[#This Row],[Column2]])</f>
        <v/>
      </c>
      <c r="C983" s="94" t="str">
        <f>IF(ISNUMBER(namespace_raw[[#This Row],[Column4]]), namespace_raw[[#This Row],[Column4]], "")</f>
        <v/>
      </c>
      <c r="D983" s="95" t="str">
        <f>IF(ISNUMBER(namespace_raw[[#This Row],[Column5]]), namespace_raw[[#This Row],[Column5]]/1048576, "")</f>
        <v/>
      </c>
      <c r="E983" s="95" t="str">
        <f>IF(ISNUMBER(namespace_raw[[#This Row],[Column6]]), namespace_raw[[#This Row],[Column6]],"")</f>
        <v/>
      </c>
      <c r="F983" s="96" t="str">
        <f>IF(ISNUMBER(namespace_raw[[#This Row],[Column7]]), namespace_raw[[#This Row],[Column7]]/1048576,"")</f>
        <v/>
      </c>
      <c r="G983" s="122" t="str">
        <f>IF(ISNUMBER(namespace_raw[[#This Row],[Column8]]), namespace_raw[[#This Row],[Column8]],"")</f>
        <v/>
      </c>
      <c r="H983" s="123" t="str">
        <f>IF(ISNUMBER(namespace_raw[[#This Row],[Column9]]), namespace_raw[[#This Row],[Column9]]/1048576,"")</f>
        <v/>
      </c>
      <c r="I983" s="124" t="str">
        <f>IF(ISNUMBER(namespace_raw[[#This Row],[Column8]]),MAX(G983, M983, O983, $I$2,IF(Q983&lt;&gt;"",VALUE(Q983),0)), "")</f>
        <v/>
      </c>
      <c r="J983" s="125" t="str">
        <f>IF(ISNUMBER(namespace_raw[[#This Row],[Column9]]),MAX(H983, N983, P983, $J$2,IF(R983&lt;&gt;"",VALUE(R983),0)),"")</f>
        <v/>
      </c>
      <c r="K983" s="166" t="str">
        <f>IF(ISNUMBER(namespace_raw[[#This Row],[Column12]]), namespace_raw[[#This Row],[Column12]],"")</f>
        <v/>
      </c>
      <c r="L983" s="167" t="str">
        <f>IF(ISNUMBER(namespace_raw[[#This Row],[Column13]]), namespace_raw[[#This Row],[Column13]]/1048576,"")</f>
        <v/>
      </c>
      <c r="M983" s="168" t="str">
        <f>IF(ISNUMBER(namespace_raw[[#This Row],[Column10]]), (namespace_raw[[#This Row],[Column10]]*(1+$M$2)),"")</f>
        <v/>
      </c>
      <c r="N983" s="167" t="str">
        <f>IF(ISNUMBER(namespace_raw[[#This Row],[Column11]]), (namespace_raw[[#This Row],[Column11]]*(1+$N$2))/1048576,"")</f>
        <v/>
      </c>
      <c r="O983" s="169" t="str">
        <f>IF(ISNUMBER(namespace_raw[[#This Row],[Column8]]), (E983  * $O$2),"")</f>
        <v/>
      </c>
      <c r="P983" s="170" t="str">
        <f>IF(ISNUMBER(namespace_raw[[#This Row],[Column8]]), (F983  * $P$2),"")</f>
        <v/>
      </c>
    </row>
    <row r="984" spans="1:16" ht="15" customHeight="1" x14ac:dyDescent="0.25">
      <c r="A984" s="32" t="str">
        <f>IF(ISNONTEXT(namespace_raw[[#This Row],[Column1]]), "", namespace_raw[[#This Row],[Column1]])</f>
        <v/>
      </c>
      <c r="B984" s="33" t="str">
        <f>IF(ISNONTEXT(namespace_raw[[#This Row],[Column2]]), "", namespace_raw[[#This Row],[Column2]])</f>
        <v/>
      </c>
      <c r="C984" s="94" t="str">
        <f>IF(ISNUMBER(namespace_raw[[#This Row],[Column4]]), namespace_raw[[#This Row],[Column4]], "")</f>
        <v/>
      </c>
      <c r="D984" s="95" t="str">
        <f>IF(ISNUMBER(namespace_raw[[#This Row],[Column5]]), namespace_raw[[#This Row],[Column5]]/1048576, "")</f>
        <v/>
      </c>
      <c r="E984" s="95" t="str">
        <f>IF(ISNUMBER(namespace_raw[[#This Row],[Column6]]), namespace_raw[[#This Row],[Column6]],"")</f>
        <v/>
      </c>
      <c r="F984" s="96" t="str">
        <f>IF(ISNUMBER(namespace_raw[[#This Row],[Column7]]), namespace_raw[[#This Row],[Column7]]/1048576,"")</f>
        <v/>
      </c>
      <c r="G984" s="122" t="str">
        <f>IF(ISNUMBER(namespace_raw[[#This Row],[Column8]]), namespace_raw[[#This Row],[Column8]],"")</f>
        <v/>
      </c>
      <c r="H984" s="123" t="str">
        <f>IF(ISNUMBER(namespace_raw[[#This Row],[Column9]]), namespace_raw[[#This Row],[Column9]]/1048576,"")</f>
        <v/>
      </c>
      <c r="I984" s="124" t="str">
        <f>IF(ISNUMBER(namespace_raw[[#This Row],[Column8]]),MAX(G984, M984, O984, $I$2,IF(Q984&lt;&gt;"",VALUE(Q984),0)), "")</f>
        <v/>
      </c>
      <c r="J984" s="125" t="str">
        <f>IF(ISNUMBER(namespace_raw[[#This Row],[Column9]]),MAX(H984, N984, P984, $J$2,IF(R984&lt;&gt;"",VALUE(R984),0)),"")</f>
        <v/>
      </c>
      <c r="K984" s="166" t="str">
        <f>IF(ISNUMBER(namespace_raw[[#This Row],[Column12]]), namespace_raw[[#This Row],[Column12]],"")</f>
        <v/>
      </c>
      <c r="L984" s="167" t="str">
        <f>IF(ISNUMBER(namespace_raw[[#This Row],[Column13]]), namespace_raw[[#This Row],[Column13]]/1048576,"")</f>
        <v/>
      </c>
      <c r="M984" s="168" t="str">
        <f>IF(ISNUMBER(namespace_raw[[#This Row],[Column10]]), (namespace_raw[[#This Row],[Column10]]*(1+$M$2)),"")</f>
        <v/>
      </c>
      <c r="N984" s="167" t="str">
        <f>IF(ISNUMBER(namespace_raw[[#This Row],[Column11]]), (namespace_raw[[#This Row],[Column11]]*(1+$N$2))/1048576,"")</f>
        <v/>
      </c>
      <c r="O984" s="169" t="str">
        <f>IF(ISNUMBER(namespace_raw[[#This Row],[Column8]]), (E984  * $O$2),"")</f>
        <v/>
      </c>
      <c r="P984" s="170" t="str">
        <f>IF(ISNUMBER(namespace_raw[[#This Row],[Column8]]), (F984  * $P$2),"")</f>
        <v/>
      </c>
    </row>
    <row r="985" spans="1:16" ht="15" customHeight="1" x14ac:dyDescent="0.25">
      <c r="A985" s="32" t="str">
        <f>IF(ISNONTEXT(namespace_raw[[#This Row],[Column1]]), "", namespace_raw[[#This Row],[Column1]])</f>
        <v/>
      </c>
      <c r="B985" s="33" t="str">
        <f>IF(ISNONTEXT(namespace_raw[[#This Row],[Column2]]), "", namespace_raw[[#This Row],[Column2]])</f>
        <v/>
      </c>
      <c r="C985" s="94" t="str">
        <f>IF(ISNUMBER(namespace_raw[[#This Row],[Column4]]), namespace_raw[[#This Row],[Column4]], "")</f>
        <v/>
      </c>
      <c r="D985" s="95" t="str">
        <f>IF(ISNUMBER(namespace_raw[[#This Row],[Column5]]), namespace_raw[[#This Row],[Column5]]/1048576, "")</f>
        <v/>
      </c>
      <c r="E985" s="95" t="str">
        <f>IF(ISNUMBER(namespace_raw[[#This Row],[Column6]]), namespace_raw[[#This Row],[Column6]],"")</f>
        <v/>
      </c>
      <c r="F985" s="96" t="str">
        <f>IF(ISNUMBER(namespace_raw[[#This Row],[Column7]]), namespace_raw[[#This Row],[Column7]]/1048576,"")</f>
        <v/>
      </c>
      <c r="G985" s="122" t="str">
        <f>IF(ISNUMBER(namespace_raw[[#This Row],[Column8]]), namespace_raw[[#This Row],[Column8]],"")</f>
        <v/>
      </c>
      <c r="H985" s="123" t="str">
        <f>IF(ISNUMBER(namespace_raw[[#This Row],[Column9]]), namespace_raw[[#This Row],[Column9]]/1048576,"")</f>
        <v/>
      </c>
      <c r="I985" s="124" t="str">
        <f>IF(ISNUMBER(namespace_raw[[#This Row],[Column8]]),MAX(G985, M985, O985, $I$2,IF(Q985&lt;&gt;"",VALUE(Q985),0)), "")</f>
        <v/>
      </c>
      <c r="J985" s="125" t="str">
        <f>IF(ISNUMBER(namespace_raw[[#This Row],[Column9]]),MAX(H985, N985, P985, $J$2,IF(R985&lt;&gt;"",VALUE(R985),0)),"")</f>
        <v/>
      </c>
      <c r="K985" s="166" t="str">
        <f>IF(ISNUMBER(namespace_raw[[#This Row],[Column12]]), namespace_raw[[#This Row],[Column12]],"")</f>
        <v/>
      </c>
      <c r="L985" s="167" t="str">
        <f>IF(ISNUMBER(namespace_raw[[#This Row],[Column13]]), namespace_raw[[#This Row],[Column13]]/1048576,"")</f>
        <v/>
      </c>
      <c r="M985" s="168" t="str">
        <f>IF(ISNUMBER(namespace_raw[[#This Row],[Column10]]), (namespace_raw[[#This Row],[Column10]]*(1+$M$2)),"")</f>
        <v/>
      </c>
      <c r="N985" s="167" t="str">
        <f>IF(ISNUMBER(namespace_raw[[#This Row],[Column11]]), (namespace_raw[[#This Row],[Column11]]*(1+$N$2))/1048576,"")</f>
        <v/>
      </c>
      <c r="O985" s="169" t="str">
        <f>IF(ISNUMBER(namespace_raw[[#This Row],[Column8]]), (E985  * $O$2),"")</f>
        <v/>
      </c>
      <c r="P985" s="170" t="str">
        <f>IF(ISNUMBER(namespace_raw[[#This Row],[Column8]]), (F985  * $P$2),"")</f>
        <v/>
      </c>
    </row>
    <row r="986" spans="1:16" ht="15" customHeight="1" x14ac:dyDescent="0.25">
      <c r="A986" s="32" t="str">
        <f>IF(ISNONTEXT(namespace_raw[[#This Row],[Column1]]), "", namespace_raw[[#This Row],[Column1]])</f>
        <v/>
      </c>
      <c r="B986" s="33" t="str">
        <f>IF(ISNONTEXT(namespace_raw[[#This Row],[Column2]]), "", namespace_raw[[#This Row],[Column2]])</f>
        <v/>
      </c>
      <c r="C986" s="94" t="str">
        <f>IF(ISNUMBER(namespace_raw[[#This Row],[Column4]]), namespace_raw[[#This Row],[Column4]], "")</f>
        <v/>
      </c>
      <c r="D986" s="95" t="str">
        <f>IF(ISNUMBER(namespace_raw[[#This Row],[Column5]]), namespace_raw[[#This Row],[Column5]]/1048576, "")</f>
        <v/>
      </c>
      <c r="E986" s="95" t="str">
        <f>IF(ISNUMBER(namespace_raw[[#This Row],[Column6]]), namespace_raw[[#This Row],[Column6]],"")</f>
        <v/>
      </c>
      <c r="F986" s="96" t="str">
        <f>IF(ISNUMBER(namespace_raw[[#This Row],[Column7]]), namespace_raw[[#This Row],[Column7]]/1048576,"")</f>
        <v/>
      </c>
      <c r="G986" s="122" t="str">
        <f>IF(ISNUMBER(namespace_raw[[#This Row],[Column8]]), namespace_raw[[#This Row],[Column8]],"")</f>
        <v/>
      </c>
      <c r="H986" s="123" t="str">
        <f>IF(ISNUMBER(namespace_raw[[#This Row],[Column9]]), namespace_raw[[#This Row],[Column9]]/1048576,"")</f>
        <v/>
      </c>
      <c r="I986" s="124" t="str">
        <f>IF(ISNUMBER(namespace_raw[[#This Row],[Column8]]),MAX(G986, M986, O986, $I$2,IF(Q986&lt;&gt;"",VALUE(Q986),0)), "")</f>
        <v/>
      </c>
      <c r="J986" s="125" t="str">
        <f>IF(ISNUMBER(namespace_raw[[#This Row],[Column9]]),MAX(H986, N986, P986, $J$2,IF(R986&lt;&gt;"",VALUE(R986),0)),"")</f>
        <v/>
      </c>
      <c r="K986" s="166" t="str">
        <f>IF(ISNUMBER(namespace_raw[[#This Row],[Column12]]), namespace_raw[[#This Row],[Column12]],"")</f>
        <v/>
      </c>
      <c r="L986" s="167" t="str">
        <f>IF(ISNUMBER(namespace_raw[[#This Row],[Column13]]), namespace_raw[[#This Row],[Column13]]/1048576,"")</f>
        <v/>
      </c>
      <c r="M986" s="168" t="str">
        <f>IF(ISNUMBER(namespace_raw[[#This Row],[Column10]]), (namespace_raw[[#This Row],[Column10]]*(1+$M$2)),"")</f>
        <v/>
      </c>
      <c r="N986" s="167" t="str">
        <f>IF(ISNUMBER(namespace_raw[[#This Row],[Column11]]), (namespace_raw[[#This Row],[Column11]]*(1+$N$2))/1048576,"")</f>
        <v/>
      </c>
      <c r="O986" s="169" t="str">
        <f>IF(ISNUMBER(namespace_raw[[#This Row],[Column8]]), (E986  * $O$2),"")</f>
        <v/>
      </c>
      <c r="P986" s="170" t="str">
        <f>IF(ISNUMBER(namespace_raw[[#This Row],[Column8]]), (F986  * $P$2),"")</f>
        <v/>
      </c>
    </row>
    <row r="987" spans="1:16" ht="15" customHeight="1" x14ac:dyDescent="0.25">
      <c r="A987" s="32" t="str">
        <f>IF(ISNONTEXT(namespace_raw[[#This Row],[Column1]]), "", namespace_raw[[#This Row],[Column1]])</f>
        <v/>
      </c>
      <c r="B987" s="33" t="str">
        <f>IF(ISNONTEXT(namespace_raw[[#This Row],[Column2]]), "", namespace_raw[[#This Row],[Column2]])</f>
        <v/>
      </c>
      <c r="C987" s="94" t="str">
        <f>IF(ISNUMBER(namespace_raw[[#This Row],[Column4]]), namespace_raw[[#This Row],[Column4]], "")</f>
        <v/>
      </c>
      <c r="D987" s="95" t="str">
        <f>IF(ISNUMBER(namespace_raw[[#This Row],[Column5]]), namespace_raw[[#This Row],[Column5]]/1048576, "")</f>
        <v/>
      </c>
      <c r="E987" s="95" t="str">
        <f>IF(ISNUMBER(namespace_raw[[#This Row],[Column6]]), namespace_raw[[#This Row],[Column6]],"")</f>
        <v/>
      </c>
      <c r="F987" s="96" t="str">
        <f>IF(ISNUMBER(namespace_raw[[#This Row],[Column7]]), namespace_raw[[#This Row],[Column7]]/1048576,"")</f>
        <v/>
      </c>
      <c r="G987" s="122" t="str">
        <f>IF(ISNUMBER(namespace_raw[[#This Row],[Column8]]), namespace_raw[[#This Row],[Column8]],"")</f>
        <v/>
      </c>
      <c r="H987" s="123" t="str">
        <f>IF(ISNUMBER(namespace_raw[[#This Row],[Column9]]), namespace_raw[[#This Row],[Column9]]/1048576,"")</f>
        <v/>
      </c>
      <c r="I987" s="124" t="str">
        <f>IF(ISNUMBER(namespace_raw[[#This Row],[Column8]]),MAX(G987, M987, O987, $I$2,IF(Q987&lt;&gt;"",VALUE(Q987),0)), "")</f>
        <v/>
      </c>
      <c r="J987" s="125" t="str">
        <f>IF(ISNUMBER(namespace_raw[[#This Row],[Column9]]),MAX(H987, N987, P987, $J$2,IF(R987&lt;&gt;"",VALUE(R987),0)),"")</f>
        <v/>
      </c>
      <c r="K987" s="166" t="str">
        <f>IF(ISNUMBER(namespace_raw[[#This Row],[Column12]]), namespace_raw[[#This Row],[Column12]],"")</f>
        <v/>
      </c>
      <c r="L987" s="167" t="str">
        <f>IF(ISNUMBER(namespace_raw[[#This Row],[Column13]]), namespace_raw[[#This Row],[Column13]]/1048576,"")</f>
        <v/>
      </c>
      <c r="M987" s="168" t="str">
        <f>IF(ISNUMBER(namespace_raw[[#This Row],[Column10]]), (namespace_raw[[#This Row],[Column10]]*(1+$M$2)),"")</f>
        <v/>
      </c>
      <c r="N987" s="167" t="str">
        <f>IF(ISNUMBER(namespace_raw[[#This Row],[Column11]]), (namespace_raw[[#This Row],[Column11]]*(1+$N$2))/1048576,"")</f>
        <v/>
      </c>
      <c r="O987" s="169" t="str">
        <f>IF(ISNUMBER(namespace_raw[[#This Row],[Column8]]), (E987  * $O$2),"")</f>
        <v/>
      </c>
      <c r="P987" s="170" t="str">
        <f>IF(ISNUMBER(namespace_raw[[#This Row],[Column8]]), (F987  * $P$2),"")</f>
        <v/>
      </c>
    </row>
    <row r="988" spans="1:16" ht="15" customHeight="1" x14ac:dyDescent="0.25">
      <c r="A988" s="32" t="str">
        <f>IF(ISNONTEXT(namespace_raw[[#This Row],[Column1]]), "", namespace_raw[[#This Row],[Column1]])</f>
        <v/>
      </c>
      <c r="B988" s="33" t="str">
        <f>IF(ISNONTEXT(namespace_raw[[#This Row],[Column2]]), "", namespace_raw[[#This Row],[Column2]])</f>
        <v/>
      </c>
      <c r="C988" s="94" t="str">
        <f>IF(ISNUMBER(namespace_raw[[#This Row],[Column4]]), namespace_raw[[#This Row],[Column4]], "")</f>
        <v/>
      </c>
      <c r="D988" s="95" t="str">
        <f>IF(ISNUMBER(namespace_raw[[#This Row],[Column5]]), namespace_raw[[#This Row],[Column5]]/1048576, "")</f>
        <v/>
      </c>
      <c r="E988" s="95" t="str">
        <f>IF(ISNUMBER(namespace_raw[[#This Row],[Column6]]), namespace_raw[[#This Row],[Column6]],"")</f>
        <v/>
      </c>
      <c r="F988" s="96" t="str">
        <f>IF(ISNUMBER(namespace_raw[[#This Row],[Column7]]), namespace_raw[[#This Row],[Column7]]/1048576,"")</f>
        <v/>
      </c>
      <c r="G988" s="122" t="str">
        <f>IF(ISNUMBER(namespace_raw[[#This Row],[Column8]]), namespace_raw[[#This Row],[Column8]],"")</f>
        <v/>
      </c>
      <c r="H988" s="123" t="str">
        <f>IF(ISNUMBER(namespace_raw[[#This Row],[Column9]]), namespace_raw[[#This Row],[Column9]]/1048576,"")</f>
        <v/>
      </c>
      <c r="I988" s="124" t="str">
        <f>IF(ISNUMBER(namespace_raw[[#This Row],[Column8]]),MAX(G988, M988, O988, $I$2,IF(Q988&lt;&gt;"",VALUE(Q988),0)), "")</f>
        <v/>
      </c>
      <c r="J988" s="125" t="str">
        <f>IF(ISNUMBER(namespace_raw[[#This Row],[Column9]]),MAX(H988, N988, P988, $J$2,IF(R988&lt;&gt;"",VALUE(R988),0)),"")</f>
        <v/>
      </c>
      <c r="K988" s="166" t="str">
        <f>IF(ISNUMBER(namespace_raw[[#This Row],[Column12]]), namespace_raw[[#This Row],[Column12]],"")</f>
        <v/>
      </c>
      <c r="L988" s="167" t="str">
        <f>IF(ISNUMBER(namespace_raw[[#This Row],[Column13]]), namespace_raw[[#This Row],[Column13]]/1048576,"")</f>
        <v/>
      </c>
      <c r="M988" s="168" t="str">
        <f>IF(ISNUMBER(namespace_raw[[#This Row],[Column10]]), (namespace_raw[[#This Row],[Column10]]*(1+$M$2)),"")</f>
        <v/>
      </c>
      <c r="N988" s="167" t="str">
        <f>IF(ISNUMBER(namespace_raw[[#This Row],[Column11]]), (namespace_raw[[#This Row],[Column11]]*(1+$N$2))/1048576,"")</f>
        <v/>
      </c>
      <c r="O988" s="169" t="str">
        <f>IF(ISNUMBER(namespace_raw[[#This Row],[Column8]]), (E988  * $O$2),"")</f>
        <v/>
      </c>
      <c r="P988" s="170" t="str">
        <f>IF(ISNUMBER(namespace_raw[[#This Row],[Column8]]), (F988  * $P$2),"")</f>
        <v/>
      </c>
    </row>
    <row r="989" spans="1:16" ht="15" customHeight="1" x14ac:dyDescent="0.25">
      <c r="A989" s="32" t="str">
        <f>IF(ISNONTEXT(namespace_raw[[#This Row],[Column1]]), "", namespace_raw[[#This Row],[Column1]])</f>
        <v/>
      </c>
      <c r="B989" s="33" t="str">
        <f>IF(ISNONTEXT(namespace_raw[[#This Row],[Column2]]), "", namespace_raw[[#This Row],[Column2]])</f>
        <v/>
      </c>
      <c r="C989" s="94" t="str">
        <f>IF(ISNUMBER(namespace_raw[[#This Row],[Column4]]), namespace_raw[[#This Row],[Column4]], "")</f>
        <v/>
      </c>
      <c r="D989" s="95" t="str">
        <f>IF(ISNUMBER(namespace_raw[[#This Row],[Column5]]), namespace_raw[[#This Row],[Column5]]/1048576, "")</f>
        <v/>
      </c>
      <c r="E989" s="95" t="str">
        <f>IF(ISNUMBER(namespace_raw[[#This Row],[Column6]]), namespace_raw[[#This Row],[Column6]],"")</f>
        <v/>
      </c>
      <c r="F989" s="96" t="str">
        <f>IF(ISNUMBER(namespace_raw[[#This Row],[Column7]]), namespace_raw[[#This Row],[Column7]]/1048576,"")</f>
        <v/>
      </c>
      <c r="G989" s="122" t="str">
        <f>IF(ISNUMBER(namespace_raw[[#This Row],[Column8]]), namespace_raw[[#This Row],[Column8]],"")</f>
        <v/>
      </c>
      <c r="H989" s="123" t="str">
        <f>IF(ISNUMBER(namespace_raw[[#This Row],[Column9]]), namespace_raw[[#This Row],[Column9]]/1048576,"")</f>
        <v/>
      </c>
      <c r="I989" s="124" t="str">
        <f>IF(ISNUMBER(namespace_raw[[#This Row],[Column8]]),MAX(G989, M989, O989, $I$2,IF(Q989&lt;&gt;"",VALUE(Q989),0)), "")</f>
        <v/>
      </c>
      <c r="J989" s="125" t="str">
        <f>IF(ISNUMBER(namespace_raw[[#This Row],[Column9]]),MAX(H989, N989, P989, $J$2,IF(R989&lt;&gt;"",VALUE(R989),0)),"")</f>
        <v/>
      </c>
      <c r="K989" s="166" t="str">
        <f>IF(ISNUMBER(namespace_raw[[#This Row],[Column12]]), namespace_raw[[#This Row],[Column12]],"")</f>
        <v/>
      </c>
      <c r="L989" s="167" t="str">
        <f>IF(ISNUMBER(namespace_raw[[#This Row],[Column13]]), namespace_raw[[#This Row],[Column13]]/1048576,"")</f>
        <v/>
      </c>
      <c r="M989" s="168" t="str">
        <f>IF(ISNUMBER(namespace_raw[[#This Row],[Column10]]), (namespace_raw[[#This Row],[Column10]]*(1+$M$2)),"")</f>
        <v/>
      </c>
      <c r="N989" s="167" t="str">
        <f>IF(ISNUMBER(namespace_raw[[#This Row],[Column11]]), (namespace_raw[[#This Row],[Column11]]*(1+$N$2))/1048576,"")</f>
        <v/>
      </c>
      <c r="O989" s="169" t="str">
        <f>IF(ISNUMBER(namespace_raw[[#This Row],[Column8]]), (E989  * $O$2),"")</f>
        <v/>
      </c>
      <c r="P989" s="170" t="str">
        <f>IF(ISNUMBER(namespace_raw[[#This Row],[Column8]]), (F989  * $P$2),"")</f>
        <v/>
      </c>
    </row>
    <row r="990" spans="1:16" ht="15" customHeight="1" x14ac:dyDescent="0.25">
      <c r="A990" s="32" t="str">
        <f>IF(ISNONTEXT(namespace_raw[[#This Row],[Column1]]), "", namespace_raw[[#This Row],[Column1]])</f>
        <v/>
      </c>
      <c r="B990" s="33" t="str">
        <f>IF(ISNONTEXT(namespace_raw[[#This Row],[Column2]]), "", namespace_raw[[#This Row],[Column2]])</f>
        <v/>
      </c>
      <c r="C990" s="94" t="str">
        <f>IF(ISNUMBER(namespace_raw[[#This Row],[Column4]]), namespace_raw[[#This Row],[Column4]], "")</f>
        <v/>
      </c>
      <c r="D990" s="95" t="str">
        <f>IF(ISNUMBER(namespace_raw[[#This Row],[Column5]]), namespace_raw[[#This Row],[Column5]]/1048576, "")</f>
        <v/>
      </c>
      <c r="E990" s="95" t="str">
        <f>IF(ISNUMBER(namespace_raw[[#This Row],[Column6]]), namespace_raw[[#This Row],[Column6]],"")</f>
        <v/>
      </c>
      <c r="F990" s="96" t="str">
        <f>IF(ISNUMBER(namespace_raw[[#This Row],[Column7]]), namespace_raw[[#This Row],[Column7]]/1048576,"")</f>
        <v/>
      </c>
      <c r="G990" s="122" t="str">
        <f>IF(ISNUMBER(namespace_raw[[#This Row],[Column8]]), namespace_raw[[#This Row],[Column8]],"")</f>
        <v/>
      </c>
      <c r="H990" s="123" t="str">
        <f>IF(ISNUMBER(namespace_raw[[#This Row],[Column9]]), namespace_raw[[#This Row],[Column9]]/1048576,"")</f>
        <v/>
      </c>
      <c r="I990" s="124" t="str">
        <f>IF(ISNUMBER(namespace_raw[[#This Row],[Column8]]),MAX(G990, M990, O990, $I$2,IF(Q990&lt;&gt;"",VALUE(Q990),0)), "")</f>
        <v/>
      </c>
      <c r="J990" s="125" t="str">
        <f>IF(ISNUMBER(namespace_raw[[#This Row],[Column9]]),MAX(H990, N990, P990, $J$2,IF(R990&lt;&gt;"",VALUE(R990),0)),"")</f>
        <v/>
      </c>
      <c r="K990" s="166" t="str">
        <f>IF(ISNUMBER(namespace_raw[[#This Row],[Column12]]), namespace_raw[[#This Row],[Column12]],"")</f>
        <v/>
      </c>
      <c r="L990" s="167" t="str">
        <f>IF(ISNUMBER(namespace_raw[[#This Row],[Column13]]), namespace_raw[[#This Row],[Column13]]/1048576,"")</f>
        <v/>
      </c>
      <c r="M990" s="168" t="str">
        <f>IF(ISNUMBER(namespace_raw[[#This Row],[Column10]]), (namespace_raw[[#This Row],[Column10]]*(1+$M$2)),"")</f>
        <v/>
      </c>
      <c r="N990" s="167" t="str">
        <f>IF(ISNUMBER(namespace_raw[[#This Row],[Column11]]), (namespace_raw[[#This Row],[Column11]]*(1+$N$2))/1048576,"")</f>
        <v/>
      </c>
      <c r="O990" s="169" t="str">
        <f>IF(ISNUMBER(namespace_raw[[#This Row],[Column8]]), (E990  * $O$2),"")</f>
        <v/>
      </c>
      <c r="P990" s="170" t="str">
        <f>IF(ISNUMBER(namespace_raw[[#This Row],[Column8]]), (F990  * $P$2),"")</f>
        <v/>
      </c>
    </row>
    <row r="991" spans="1:16" ht="15" customHeight="1" x14ac:dyDescent="0.25">
      <c r="A991" s="32" t="str">
        <f>IF(ISNONTEXT(namespace_raw[[#This Row],[Column1]]), "", namespace_raw[[#This Row],[Column1]])</f>
        <v/>
      </c>
      <c r="B991" s="33" t="str">
        <f>IF(ISNONTEXT(namespace_raw[[#This Row],[Column2]]), "", namespace_raw[[#This Row],[Column2]])</f>
        <v/>
      </c>
      <c r="C991" s="94" t="str">
        <f>IF(ISNUMBER(namespace_raw[[#This Row],[Column4]]), namespace_raw[[#This Row],[Column4]], "")</f>
        <v/>
      </c>
      <c r="D991" s="95" t="str">
        <f>IF(ISNUMBER(namespace_raw[[#This Row],[Column5]]), namespace_raw[[#This Row],[Column5]]/1048576, "")</f>
        <v/>
      </c>
      <c r="E991" s="95" t="str">
        <f>IF(ISNUMBER(namespace_raw[[#This Row],[Column6]]), namespace_raw[[#This Row],[Column6]],"")</f>
        <v/>
      </c>
      <c r="F991" s="96" t="str">
        <f>IF(ISNUMBER(namespace_raw[[#This Row],[Column7]]), namespace_raw[[#This Row],[Column7]]/1048576,"")</f>
        <v/>
      </c>
      <c r="G991" s="122" t="str">
        <f>IF(ISNUMBER(namespace_raw[[#This Row],[Column8]]), namespace_raw[[#This Row],[Column8]],"")</f>
        <v/>
      </c>
      <c r="H991" s="123" t="str">
        <f>IF(ISNUMBER(namespace_raw[[#This Row],[Column9]]), namespace_raw[[#This Row],[Column9]]/1048576,"")</f>
        <v/>
      </c>
      <c r="I991" s="124" t="str">
        <f>IF(ISNUMBER(namespace_raw[[#This Row],[Column8]]),MAX(G991, M991, O991, $I$2,IF(Q991&lt;&gt;"",VALUE(Q991),0)), "")</f>
        <v/>
      </c>
      <c r="J991" s="125" t="str">
        <f>IF(ISNUMBER(namespace_raw[[#This Row],[Column9]]),MAX(H991, N991, P991, $J$2,IF(R991&lt;&gt;"",VALUE(R991),0)),"")</f>
        <v/>
      </c>
      <c r="K991" s="166" t="str">
        <f>IF(ISNUMBER(namespace_raw[[#This Row],[Column12]]), namespace_raw[[#This Row],[Column12]],"")</f>
        <v/>
      </c>
      <c r="L991" s="167" t="str">
        <f>IF(ISNUMBER(namespace_raw[[#This Row],[Column13]]), namespace_raw[[#This Row],[Column13]]/1048576,"")</f>
        <v/>
      </c>
      <c r="M991" s="168" t="str">
        <f>IF(ISNUMBER(namespace_raw[[#This Row],[Column10]]), (namespace_raw[[#This Row],[Column10]]*(1+$M$2)),"")</f>
        <v/>
      </c>
      <c r="N991" s="167" t="str">
        <f>IF(ISNUMBER(namespace_raw[[#This Row],[Column11]]), (namespace_raw[[#This Row],[Column11]]*(1+$N$2))/1048576,"")</f>
        <v/>
      </c>
      <c r="O991" s="169" t="str">
        <f>IF(ISNUMBER(namespace_raw[[#This Row],[Column8]]), (E991  * $O$2),"")</f>
        <v/>
      </c>
      <c r="P991" s="170" t="str">
        <f>IF(ISNUMBER(namespace_raw[[#This Row],[Column8]]), (F991  * $P$2),"")</f>
        <v/>
      </c>
    </row>
    <row r="992" spans="1:16" ht="15" customHeight="1" x14ac:dyDescent="0.25">
      <c r="A992" s="32" t="str">
        <f>IF(ISNONTEXT(namespace_raw[[#This Row],[Column1]]), "", namespace_raw[[#This Row],[Column1]])</f>
        <v/>
      </c>
      <c r="B992" s="33" t="str">
        <f>IF(ISNONTEXT(namespace_raw[[#This Row],[Column2]]), "", namespace_raw[[#This Row],[Column2]])</f>
        <v/>
      </c>
      <c r="C992" s="94" t="str">
        <f>IF(ISNUMBER(namespace_raw[[#This Row],[Column4]]), namespace_raw[[#This Row],[Column4]], "")</f>
        <v/>
      </c>
      <c r="D992" s="95" t="str">
        <f>IF(ISNUMBER(namespace_raw[[#This Row],[Column5]]), namespace_raw[[#This Row],[Column5]]/1048576, "")</f>
        <v/>
      </c>
      <c r="E992" s="95" t="str">
        <f>IF(ISNUMBER(namespace_raw[[#This Row],[Column6]]), namespace_raw[[#This Row],[Column6]],"")</f>
        <v/>
      </c>
      <c r="F992" s="96" t="str">
        <f>IF(ISNUMBER(namespace_raw[[#This Row],[Column7]]), namespace_raw[[#This Row],[Column7]]/1048576,"")</f>
        <v/>
      </c>
      <c r="G992" s="122" t="str">
        <f>IF(ISNUMBER(namespace_raw[[#This Row],[Column8]]), namespace_raw[[#This Row],[Column8]],"")</f>
        <v/>
      </c>
      <c r="H992" s="123" t="str">
        <f>IF(ISNUMBER(namespace_raw[[#This Row],[Column9]]), namespace_raw[[#This Row],[Column9]]/1048576,"")</f>
        <v/>
      </c>
      <c r="I992" s="124" t="str">
        <f>IF(ISNUMBER(namespace_raw[[#This Row],[Column8]]),MAX(G992, M992, O992, $I$2,IF(Q992&lt;&gt;"",VALUE(Q992),0)), "")</f>
        <v/>
      </c>
      <c r="J992" s="125" t="str">
        <f>IF(ISNUMBER(namespace_raw[[#This Row],[Column9]]),MAX(H992, N992, P992, $J$2,IF(R992&lt;&gt;"",VALUE(R992),0)),"")</f>
        <v/>
      </c>
      <c r="K992" s="166" t="str">
        <f>IF(ISNUMBER(namespace_raw[[#This Row],[Column12]]), namespace_raw[[#This Row],[Column12]],"")</f>
        <v/>
      </c>
      <c r="L992" s="167" t="str">
        <f>IF(ISNUMBER(namespace_raw[[#This Row],[Column13]]), namespace_raw[[#This Row],[Column13]]/1048576,"")</f>
        <v/>
      </c>
      <c r="M992" s="168" t="str">
        <f>IF(ISNUMBER(namespace_raw[[#This Row],[Column10]]), (namespace_raw[[#This Row],[Column10]]*(1+$M$2)),"")</f>
        <v/>
      </c>
      <c r="N992" s="167" t="str">
        <f>IF(ISNUMBER(namespace_raw[[#This Row],[Column11]]), (namespace_raw[[#This Row],[Column11]]*(1+$N$2))/1048576,"")</f>
        <v/>
      </c>
      <c r="O992" s="169" t="str">
        <f>IF(ISNUMBER(namespace_raw[[#This Row],[Column8]]), (E992  * $O$2),"")</f>
        <v/>
      </c>
      <c r="P992" s="170" t="str">
        <f>IF(ISNUMBER(namespace_raw[[#This Row],[Column8]]), (F992  * $P$2),"")</f>
        <v/>
      </c>
    </row>
    <row r="993" spans="1:16" ht="15" customHeight="1" x14ac:dyDescent="0.25">
      <c r="A993" s="32" t="str">
        <f>IF(ISNONTEXT(namespace_raw[[#This Row],[Column1]]), "", namespace_raw[[#This Row],[Column1]])</f>
        <v/>
      </c>
      <c r="B993" s="33" t="str">
        <f>IF(ISNONTEXT(namespace_raw[[#This Row],[Column2]]), "", namespace_raw[[#This Row],[Column2]])</f>
        <v/>
      </c>
      <c r="C993" s="94" t="str">
        <f>IF(ISNUMBER(namespace_raw[[#This Row],[Column4]]), namespace_raw[[#This Row],[Column4]], "")</f>
        <v/>
      </c>
      <c r="D993" s="95" t="str">
        <f>IF(ISNUMBER(namespace_raw[[#This Row],[Column5]]), namespace_raw[[#This Row],[Column5]]/1048576, "")</f>
        <v/>
      </c>
      <c r="E993" s="95" t="str">
        <f>IF(ISNUMBER(namespace_raw[[#This Row],[Column6]]), namespace_raw[[#This Row],[Column6]],"")</f>
        <v/>
      </c>
      <c r="F993" s="96" t="str">
        <f>IF(ISNUMBER(namespace_raw[[#This Row],[Column7]]), namespace_raw[[#This Row],[Column7]]/1048576,"")</f>
        <v/>
      </c>
      <c r="G993" s="122" t="str">
        <f>IF(ISNUMBER(namespace_raw[[#This Row],[Column8]]), namespace_raw[[#This Row],[Column8]],"")</f>
        <v/>
      </c>
      <c r="H993" s="123" t="str">
        <f>IF(ISNUMBER(namespace_raw[[#This Row],[Column9]]), namespace_raw[[#This Row],[Column9]]/1048576,"")</f>
        <v/>
      </c>
      <c r="I993" s="124" t="str">
        <f>IF(ISNUMBER(namespace_raw[[#This Row],[Column8]]),MAX(G993, M993, O993, $I$2,IF(Q993&lt;&gt;"",VALUE(Q993),0)), "")</f>
        <v/>
      </c>
      <c r="J993" s="125" t="str">
        <f>IF(ISNUMBER(namespace_raw[[#This Row],[Column9]]),MAX(H993, N993, P993, $J$2,IF(R993&lt;&gt;"",VALUE(R993),0)),"")</f>
        <v/>
      </c>
      <c r="K993" s="166" t="str">
        <f>IF(ISNUMBER(namespace_raw[[#This Row],[Column12]]), namespace_raw[[#This Row],[Column12]],"")</f>
        <v/>
      </c>
      <c r="L993" s="167" t="str">
        <f>IF(ISNUMBER(namespace_raw[[#This Row],[Column13]]), namespace_raw[[#This Row],[Column13]]/1048576,"")</f>
        <v/>
      </c>
      <c r="M993" s="168" t="str">
        <f>IF(ISNUMBER(namespace_raw[[#This Row],[Column10]]), (namespace_raw[[#This Row],[Column10]]*(1+$M$2)),"")</f>
        <v/>
      </c>
      <c r="N993" s="167" t="str">
        <f>IF(ISNUMBER(namespace_raw[[#This Row],[Column11]]), (namespace_raw[[#This Row],[Column11]]*(1+$N$2))/1048576,"")</f>
        <v/>
      </c>
      <c r="O993" s="169" t="str">
        <f>IF(ISNUMBER(namespace_raw[[#This Row],[Column8]]), (E993  * $O$2),"")</f>
        <v/>
      </c>
      <c r="P993" s="170" t="str">
        <f>IF(ISNUMBER(namespace_raw[[#This Row],[Column8]]), (F993  * $P$2),"")</f>
        <v/>
      </c>
    </row>
    <row r="994" spans="1:16" ht="15" customHeight="1" x14ac:dyDescent="0.25">
      <c r="A994" s="32" t="str">
        <f>IF(ISNONTEXT(namespace_raw[[#This Row],[Column1]]), "", namespace_raw[[#This Row],[Column1]])</f>
        <v/>
      </c>
      <c r="B994" s="33" t="str">
        <f>IF(ISNONTEXT(namespace_raw[[#This Row],[Column2]]), "", namespace_raw[[#This Row],[Column2]])</f>
        <v/>
      </c>
      <c r="C994" s="94" t="str">
        <f>IF(ISNUMBER(namespace_raw[[#This Row],[Column4]]), namespace_raw[[#This Row],[Column4]], "")</f>
        <v/>
      </c>
      <c r="D994" s="95" t="str">
        <f>IF(ISNUMBER(namespace_raw[[#This Row],[Column5]]), namespace_raw[[#This Row],[Column5]]/1048576, "")</f>
        <v/>
      </c>
      <c r="E994" s="95" t="str">
        <f>IF(ISNUMBER(namespace_raw[[#This Row],[Column6]]), namespace_raw[[#This Row],[Column6]],"")</f>
        <v/>
      </c>
      <c r="F994" s="96" t="str">
        <f>IF(ISNUMBER(namespace_raw[[#This Row],[Column7]]), namespace_raw[[#This Row],[Column7]]/1048576,"")</f>
        <v/>
      </c>
      <c r="G994" s="122" t="str">
        <f>IF(ISNUMBER(namespace_raw[[#This Row],[Column8]]), namespace_raw[[#This Row],[Column8]],"")</f>
        <v/>
      </c>
      <c r="H994" s="123" t="str">
        <f>IF(ISNUMBER(namespace_raw[[#This Row],[Column9]]), namespace_raw[[#This Row],[Column9]]/1048576,"")</f>
        <v/>
      </c>
      <c r="I994" s="124" t="str">
        <f>IF(ISNUMBER(namespace_raw[[#This Row],[Column8]]),MAX(G994, M994, O994, $I$2,IF(Q994&lt;&gt;"",VALUE(Q994),0)), "")</f>
        <v/>
      </c>
      <c r="J994" s="125" t="str">
        <f>IF(ISNUMBER(namespace_raw[[#This Row],[Column9]]),MAX(H994, N994, P994, $J$2,IF(R994&lt;&gt;"",VALUE(R994),0)),"")</f>
        <v/>
      </c>
      <c r="K994" s="166" t="str">
        <f>IF(ISNUMBER(namespace_raw[[#This Row],[Column12]]), namespace_raw[[#This Row],[Column12]],"")</f>
        <v/>
      </c>
      <c r="L994" s="167" t="str">
        <f>IF(ISNUMBER(namespace_raw[[#This Row],[Column13]]), namespace_raw[[#This Row],[Column13]]/1048576,"")</f>
        <v/>
      </c>
      <c r="M994" s="168" t="str">
        <f>IF(ISNUMBER(namespace_raw[[#This Row],[Column10]]), (namespace_raw[[#This Row],[Column10]]*(1+$M$2)),"")</f>
        <v/>
      </c>
      <c r="N994" s="167" t="str">
        <f>IF(ISNUMBER(namespace_raw[[#This Row],[Column11]]), (namespace_raw[[#This Row],[Column11]]*(1+$N$2))/1048576,"")</f>
        <v/>
      </c>
      <c r="O994" s="169" t="str">
        <f>IF(ISNUMBER(namespace_raw[[#This Row],[Column8]]), (E994  * $O$2),"")</f>
        <v/>
      </c>
      <c r="P994" s="170" t="str">
        <f>IF(ISNUMBER(namespace_raw[[#This Row],[Column8]]), (F994  * $P$2),"")</f>
        <v/>
      </c>
    </row>
    <row r="995" spans="1:16" ht="15" customHeight="1" x14ac:dyDescent="0.25">
      <c r="A995" s="32" t="str">
        <f>IF(ISNONTEXT(namespace_raw[[#This Row],[Column1]]), "", namespace_raw[[#This Row],[Column1]])</f>
        <v/>
      </c>
      <c r="B995" s="33" t="str">
        <f>IF(ISNONTEXT(namespace_raw[[#This Row],[Column2]]), "", namespace_raw[[#This Row],[Column2]])</f>
        <v/>
      </c>
      <c r="C995" s="94" t="str">
        <f>IF(ISNUMBER(namespace_raw[[#This Row],[Column4]]), namespace_raw[[#This Row],[Column4]], "")</f>
        <v/>
      </c>
      <c r="D995" s="95" t="str">
        <f>IF(ISNUMBER(namespace_raw[[#This Row],[Column5]]), namespace_raw[[#This Row],[Column5]]/1048576, "")</f>
        <v/>
      </c>
      <c r="E995" s="95" t="str">
        <f>IF(ISNUMBER(namespace_raw[[#This Row],[Column6]]), namespace_raw[[#This Row],[Column6]],"")</f>
        <v/>
      </c>
      <c r="F995" s="96" t="str">
        <f>IF(ISNUMBER(namespace_raw[[#This Row],[Column7]]), namespace_raw[[#This Row],[Column7]]/1048576,"")</f>
        <v/>
      </c>
      <c r="G995" s="122" t="str">
        <f>IF(ISNUMBER(namespace_raw[[#This Row],[Column8]]), namespace_raw[[#This Row],[Column8]],"")</f>
        <v/>
      </c>
      <c r="H995" s="123" t="str">
        <f>IF(ISNUMBER(namespace_raw[[#This Row],[Column9]]), namespace_raw[[#This Row],[Column9]]/1048576,"")</f>
        <v/>
      </c>
      <c r="I995" s="124" t="str">
        <f>IF(ISNUMBER(namespace_raw[[#This Row],[Column8]]),MAX(G995, M995, O995, $I$2,IF(Q995&lt;&gt;"",VALUE(Q995),0)), "")</f>
        <v/>
      </c>
      <c r="J995" s="125" t="str">
        <f>IF(ISNUMBER(namespace_raw[[#This Row],[Column9]]),MAX(H995, N995, P995, $J$2,IF(R995&lt;&gt;"",VALUE(R995),0)),"")</f>
        <v/>
      </c>
      <c r="K995" s="166" t="str">
        <f>IF(ISNUMBER(namespace_raw[[#This Row],[Column12]]), namespace_raw[[#This Row],[Column12]],"")</f>
        <v/>
      </c>
      <c r="L995" s="167" t="str">
        <f>IF(ISNUMBER(namespace_raw[[#This Row],[Column13]]), namespace_raw[[#This Row],[Column13]]/1048576,"")</f>
        <v/>
      </c>
      <c r="M995" s="168" t="str">
        <f>IF(ISNUMBER(namespace_raw[[#This Row],[Column10]]), (namespace_raw[[#This Row],[Column10]]*(1+$M$2)),"")</f>
        <v/>
      </c>
      <c r="N995" s="167" t="str">
        <f>IF(ISNUMBER(namespace_raw[[#This Row],[Column11]]), (namespace_raw[[#This Row],[Column11]]*(1+$N$2))/1048576,"")</f>
        <v/>
      </c>
      <c r="O995" s="169" t="str">
        <f>IF(ISNUMBER(namespace_raw[[#This Row],[Column8]]), (E995  * $O$2),"")</f>
        <v/>
      </c>
      <c r="P995" s="170" t="str">
        <f>IF(ISNUMBER(namespace_raw[[#This Row],[Column8]]), (F995  * $P$2),"")</f>
        <v/>
      </c>
    </row>
    <row r="996" spans="1:16" ht="15" customHeight="1" x14ac:dyDescent="0.25">
      <c r="A996" s="32" t="str">
        <f>IF(ISNONTEXT(namespace_raw[[#This Row],[Column1]]), "", namespace_raw[[#This Row],[Column1]])</f>
        <v/>
      </c>
      <c r="B996" s="33" t="str">
        <f>IF(ISNONTEXT(namespace_raw[[#This Row],[Column2]]), "", namespace_raw[[#This Row],[Column2]])</f>
        <v/>
      </c>
      <c r="C996" s="94" t="str">
        <f>IF(ISNUMBER(namespace_raw[[#This Row],[Column4]]), namespace_raw[[#This Row],[Column4]], "")</f>
        <v/>
      </c>
      <c r="D996" s="95" t="str">
        <f>IF(ISNUMBER(namespace_raw[[#This Row],[Column5]]), namespace_raw[[#This Row],[Column5]]/1048576, "")</f>
        <v/>
      </c>
      <c r="E996" s="95" t="str">
        <f>IF(ISNUMBER(namespace_raw[[#This Row],[Column6]]), namespace_raw[[#This Row],[Column6]],"")</f>
        <v/>
      </c>
      <c r="F996" s="96" t="str">
        <f>IF(ISNUMBER(namespace_raw[[#This Row],[Column7]]), namespace_raw[[#This Row],[Column7]]/1048576,"")</f>
        <v/>
      </c>
      <c r="G996" s="122" t="str">
        <f>IF(ISNUMBER(namespace_raw[[#This Row],[Column8]]), namespace_raw[[#This Row],[Column8]],"")</f>
        <v/>
      </c>
      <c r="H996" s="123" t="str">
        <f>IF(ISNUMBER(namespace_raw[[#This Row],[Column9]]), namespace_raw[[#This Row],[Column9]]/1048576,"")</f>
        <v/>
      </c>
      <c r="I996" s="124" t="str">
        <f>IF(ISNUMBER(namespace_raw[[#This Row],[Column8]]),MAX(G996, M996, O996, $I$2,IF(Q996&lt;&gt;"",VALUE(Q996),0)), "")</f>
        <v/>
      </c>
      <c r="J996" s="125" t="str">
        <f>IF(ISNUMBER(namespace_raw[[#This Row],[Column9]]),MAX(H996, N996, P996, $J$2,IF(R996&lt;&gt;"",VALUE(R996),0)),"")</f>
        <v/>
      </c>
      <c r="K996" s="166" t="str">
        <f>IF(ISNUMBER(namespace_raw[[#This Row],[Column12]]), namespace_raw[[#This Row],[Column12]],"")</f>
        <v/>
      </c>
      <c r="L996" s="167" t="str">
        <f>IF(ISNUMBER(namespace_raw[[#This Row],[Column13]]), namespace_raw[[#This Row],[Column13]]/1048576,"")</f>
        <v/>
      </c>
      <c r="M996" s="168" t="str">
        <f>IF(ISNUMBER(namespace_raw[[#This Row],[Column10]]), (namespace_raw[[#This Row],[Column10]]*(1+$M$2)),"")</f>
        <v/>
      </c>
      <c r="N996" s="167" t="str">
        <f>IF(ISNUMBER(namespace_raw[[#This Row],[Column11]]), (namespace_raw[[#This Row],[Column11]]*(1+$N$2))/1048576,"")</f>
        <v/>
      </c>
      <c r="O996" s="169" t="str">
        <f>IF(ISNUMBER(namespace_raw[[#This Row],[Column8]]), (E996  * $O$2),"")</f>
        <v/>
      </c>
      <c r="P996" s="170" t="str">
        <f>IF(ISNUMBER(namespace_raw[[#This Row],[Column8]]), (F996  * $P$2),"")</f>
        <v/>
      </c>
    </row>
    <row r="997" spans="1:16" ht="15" customHeight="1" x14ac:dyDescent="0.25">
      <c r="A997" s="32" t="str">
        <f>IF(ISNONTEXT(namespace_raw[[#This Row],[Column1]]), "", namespace_raw[[#This Row],[Column1]])</f>
        <v/>
      </c>
      <c r="B997" s="33" t="str">
        <f>IF(ISNONTEXT(namespace_raw[[#This Row],[Column2]]), "", namespace_raw[[#This Row],[Column2]])</f>
        <v/>
      </c>
      <c r="C997" s="94" t="str">
        <f>IF(ISNUMBER(namespace_raw[[#This Row],[Column4]]), namespace_raw[[#This Row],[Column4]], "")</f>
        <v/>
      </c>
      <c r="D997" s="95" t="str">
        <f>IF(ISNUMBER(namespace_raw[[#This Row],[Column5]]), namespace_raw[[#This Row],[Column5]]/1048576, "")</f>
        <v/>
      </c>
      <c r="E997" s="95" t="str">
        <f>IF(ISNUMBER(namespace_raw[[#This Row],[Column6]]), namespace_raw[[#This Row],[Column6]],"")</f>
        <v/>
      </c>
      <c r="F997" s="96" t="str">
        <f>IF(ISNUMBER(namespace_raw[[#This Row],[Column7]]), namespace_raw[[#This Row],[Column7]]/1048576,"")</f>
        <v/>
      </c>
      <c r="G997" s="122" t="str">
        <f>IF(ISNUMBER(namespace_raw[[#This Row],[Column8]]), namespace_raw[[#This Row],[Column8]],"")</f>
        <v/>
      </c>
      <c r="H997" s="123" t="str">
        <f>IF(ISNUMBER(namespace_raw[[#This Row],[Column9]]), namespace_raw[[#This Row],[Column9]]/1048576,"")</f>
        <v/>
      </c>
      <c r="I997" s="124" t="str">
        <f>IF(ISNUMBER(namespace_raw[[#This Row],[Column8]]),MAX(G997, M997, O997, $I$2,IF(Q997&lt;&gt;"",VALUE(Q997),0)), "")</f>
        <v/>
      </c>
      <c r="J997" s="125" t="str">
        <f>IF(ISNUMBER(namespace_raw[[#This Row],[Column9]]),MAX(H997, N997, P997, $J$2,IF(R997&lt;&gt;"",VALUE(R997),0)),"")</f>
        <v/>
      </c>
      <c r="K997" s="166" t="str">
        <f>IF(ISNUMBER(namespace_raw[[#This Row],[Column12]]), namespace_raw[[#This Row],[Column12]],"")</f>
        <v/>
      </c>
      <c r="L997" s="167" t="str">
        <f>IF(ISNUMBER(namespace_raw[[#This Row],[Column13]]), namespace_raw[[#This Row],[Column13]]/1048576,"")</f>
        <v/>
      </c>
      <c r="M997" s="168" t="str">
        <f>IF(ISNUMBER(namespace_raw[[#This Row],[Column10]]), (namespace_raw[[#This Row],[Column10]]*(1+$M$2)),"")</f>
        <v/>
      </c>
      <c r="N997" s="167" t="str">
        <f>IF(ISNUMBER(namespace_raw[[#This Row],[Column11]]), (namespace_raw[[#This Row],[Column11]]*(1+$N$2))/1048576,"")</f>
        <v/>
      </c>
      <c r="O997" s="169" t="str">
        <f>IF(ISNUMBER(namespace_raw[[#This Row],[Column8]]), (E997  * $O$2),"")</f>
        <v/>
      </c>
      <c r="P997" s="170" t="str">
        <f>IF(ISNUMBER(namespace_raw[[#This Row],[Column8]]), (F997  * $P$2),"")</f>
        <v/>
      </c>
    </row>
    <row r="998" spans="1:16" ht="15" customHeight="1" x14ac:dyDescent="0.25">
      <c r="A998" s="32" t="str">
        <f>IF(ISNONTEXT(namespace_raw[[#This Row],[Column1]]), "", namespace_raw[[#This Row],[Column1]])</f>
        <v/>
      </c>
      <c r="B998" s="33" t="str">
        <f>IF(ISNONTEXT(namespace_raw[[#This Row],[Column2]]), "", namespace_raw[[#This Row],[Column2]])</f>
        <v/>
      </c>
      <c r="C998" s="94" t="str">
        <f>IF(ISNUMBER(namespace_raw[[#This Row],[Column4]]), namespace_raw[[#This Row],[Column4]], "")</f>
        <v/>
      </c>
      <c r="D998" s="95" t="str">
        <f>IF(ISNUMBER(namespace_raw[[#This Row],[Column5]]), namespace_raw[[#This Row],[Column5]]/1048576, "")</f>
        <v/>
      </c>
      <c r="E998" s="95" t="str">
        <f>IF(ISNUMBER(namespace_raw[[#This Row],[Column6]]), namespace_raw[[#This Row],[Column6]],"")</f>
        <v/>
      </c>
      <c r="F998" s="96" t="str">
        <f>IF(ISNUMBER(namespace_raw[[#This Row],[Column7]]), namespace_raw[[#This Row],[Column7]]/1048576,"")</f>
        <v/>
      </c>
      <c r="G998" s="122" t="str">
        <f>IF(ISNUMBER(namespace_raw[[#This Row],[Column8]]), namespace_raw[[#This Row],[Column8]],"")</f>
        <v/>
      </c>
      <c r="H998" s="123" t="str">
        <f>IF(ISNUMBER(namespace_raw[[#This Row],[Column9]]), namespace_raw[[#This Row],[Column9]]/1048576,"")</f>
        <v/>
      </c>
      <c r="I998" s="124" t="str">
        <f>IF(ISNUMBER(namespace_raw[[#This Row],[Column8]]),MAX(G998, M998, O998, $I$2,IF(Q998&lt;&gt;"",VALUE(Q998),0)), "")</f>
        <v/>
      </c>
      <c r="J998" s="125" t="str">
        <f>IF(ISNUMBER(namespace_raw[[#This Row],[Column9]]),MAX(H998, N998, P998, $J$2,IF(R998&lt;&gt;"",VALUE(R998),0)),"")</f>
        <v/>
      </c>
      <c r="K998" s="166" t="str">
        <f>IF(ISNUMBER(namespace_raw[[#This Row],[Column12]]), namespace_raw[[#This Row],[Column12]],"")</f>
        <v/>
      </c>
      <c r="L998" s="167" t="str">
        <f>IF(ISNUMBER(namespace_raw[[#This Row],[Column13]]), namespace_raw[[#This Row],[Column13]]/1048576,"")</f>
        <v/>
      </c>
      <c r="M998" s="168" t="str">
        <f>IF(ISNUMBER(namespace_raw[[#This Row],[Column10]]), (namespace_raw[[#This Row],[Column10]]*(1+$M$2)),"")</f>
        <v/>
      </c>
      <c r="N998" s="167" t="str">
        <f>IF(ISNUMBER(namespace_raw[[#This Row],[Column11]]), (namespace_raw[[#This Row],[Column11]]*(1+$N$2))/1048576,"")</f>
        <v/>
      </c>
      <c r="O998" s="169" t="str">
        <f>IF(ISNUMBER(namespace_raw[[#This Row],[Column8]]), (E998  * $O$2),"")</f>
        <v/>
      </c>
      <c r="P998" s="170" t="str">
        <f>IF(ISNUMBER(namespace_raw[[#This Row],[Column8]]), (F998  * $P$2),"")</f>
        <v/>
      </c>
    </row>
    <row r="999" spans="1:16" ht="15" customHeight="1" x14ac:dyDescent="0.25">
      <c r="A999" s="32" t="str">
        <f>IF(ISNONTEXT(namespace_raw[[#This Row],[Column1]]), "", namespace_raw[[#This Row],[Column1]])</f>
        <v/>
      </c>
      <c r="B999" s="33" t="str">
        <f>IF(ISNONTEXT(namespace_raw[[#This Row],[Column2]]), "", namespace_raw[[#This Row],[Column2]])</f>
        <v/>
      </c>
      <c r="C999" s="94" t="str">
        <f>IF(ISNUMBER(namespace_raw[[#This Row],[Column4]]), namespace_raw[[#This Row],[Column4]], "")</f>
        <v/>
      </c>
      <c r="D999" s="95" t="str">
        <f>IF(ISNUMBER(namespace_raw[[#This Row],[Column5]]), namespace_raw[[#This Row],[Column5]]/1048576, "")</f>
        <v/>
      </c>
      <c r="E999" s="95" t="str">
        <f>IF(ISNUMBER(namespace_raw[[#This Row],[Column6]]), namespace_raw[[#This Row],[Column6]],"")</f>
        <v/>
      </c>
      <c r="F999" s="96" t="str">
        <f>IF(ISNUMBER(namespace_raw[[#This Row],[Column7]]), namespace_raw[[#This Row],[Column7]]/1048576,"")</f>
        <v/>
      </c>
      <c r="G999" s="122" t="str">
        <f>IF(ISNUMBER(namespace_raw[[#This Row],[Column8]]), namespace_raw[[#This Row],[Column8]],"")</f>
        <v/>
      </c>
      <c r="H999" s="123" t="str">
        <f>IF(ISNUMBER(namespace_raw[[#This Row],[Column9]]), namespace_raw[[#This Row],[Column9]]/1048576,"")</f>
        <v/>
      </c>
      <c r="I999" s="124" t="str">
        <f>IF(ISNUMBER(namespace_raw[[#This Row],[Column8]]),MAX(G999, M999, O999, $I$2,IF(Q999&lt;&gt;"",VALUE(Q999),0)), "")</f>
        <v/>
      </c>
      <c r="J999" s="125" t="str">
        <f>IF(ISNUMBER(namespace_raw[[#This Row],[Column9]]),MAX(H999, N999, P999, $J$2,IF(R999&lt;&gt;"",VALUE(R999),0)),"")</f>
        <v/>
      </c>
      <c r="K999" s="166" t="str">
        <f>IF(ISNUMBER(namespace_raw[[#This Row],[Column12]]), namespace_raw[[#This Row],[Column12]],"")</f>
        <v/>
      </c>
      <c r="L999" s="167" t="str">
        <f>IF(ISNUMBER(namespace_raw[[#This Row],[Column13]]), namespace_raw[[#This Row],[Column13]]/1048576,"")</f>
        <v/>
      </c>
      <c r="M999" s="168" t="str">
        <f>IF(ISNUMBER(namespace_raw[[#This Row],[Column10]]), (namespace_raw[[#This Row],[Column10]]*(1+$M$2)),"")</f>
        <v/>
      </c>
      <c r="N999" s="167" t="str">
        <f>IF(ISNUMBER(namespace_raw[[#This Row],[Column11]]), (namespace_raw[[#This Row],[Column11]]*(1+$N$2))/1048576,"")</f>
        <v/>
      </c>
      <c r="O999" s="169" t="str">
        <f>IF(ISNUMBER(namespace_raw[[#This Row],[Column8]]), (E999  * $O$2),"")</f>
        <v/>
      </c>
      <c r="P999" s="170" t="str">
        <f>IF(ISNUMBER(namespace_raw[[#This Row],[Column8]]), (F999  * $P$2),"")</f>
        <v/>
      </c>
    </row>
    <row r="1000" spans="1:16" ht="15" customHeight="1" x14ac:dyDescent="0.25">
      <c r="A1000" s="32" t="str">
        <f>IF(ISNONTEXT(namespace_raw[[#This Row],[Column1]]), "", namespace_raw[[#This Row],[Column1]])</f>
        <v/>
      </c>
      <c r="B1000" s="33" t="str">
        <f>IF(ISNONTEXT(namespace_raw[[#This Row],[Column2]]), "", namespace_raw[[#This Row],[Column2]])</f>
        <v/>
      </c>
      <c r="C1000" s="94" t="str">
        <f>IF(ISNUMBER(namespace_raw[[#This Row],[Column4]]), namespace_raw[[#This Row],[Column4]], "")</f>
        <v/>
      </c>
      <c r="D1000" s="95" t="str">
        <f>IF(ISNUMBER(namespace_raw[[#This Row],[Column5]]), namespace_raw[[#This Row],[Column5]]/1048576, "")</f>
        <v/>
      </c>
      <c r="E1000" s="95" t="str">
        <f>IF(ISNUMBER(namespace_raw[[#This Row],[Column6]]), namespace_raw[[#This Row],[Column6]],"")</f>
        <v/>
      </c>
      <c r="F1000" s="96" t="str">
        <f>IF(ISNUMBER(namespace_raw[[#This Row],[Column7]]), namespace_raw[[#This Row],[Column7]]/1048576,"")</f>
        <v/>
      </c>
      <c r="G1000" s="122" t="str">
        <f>IF(ISNUMBER(namespace_raw[[#This Row],[Column8]]), namespace_raw[[#This Row],[Column8]],"")</f>
        <v/>
      </c>
      <c r="H1000" s="123" t="str">
        <f>IF(ISNUMBER(namespace_raw[[#This Row],[Column9]]), namespace_raw[[#This Row],[Column9]]/1048576,"")</f>
        <v/>
      </c>
      <c r="I1000" s="124" t="str">
        <f>IF(ISNUMBER(namespace_raw[[#This Row],[Column8]]),MAX(G1000, M1000, O1000, $I$2,IF(Q1000&lt;&gt;"",VALUE(Q1000),0)), "")</f>
        <v/>
      </c>
      <c r="J1000" s="125" t="str">
        <f>IF(ISNUMBER(namespace_raw[[#This Row],[Column9]]),MAX(H1000, N1000, P1000, $J$2,IF(R1000&lt;&gt;"",VALUE(R1000),0)),"")</f>
        <v/>
      </c>
      <c r="K1000" s="166" t="str">
        <f>IF(ISNUMBER(namespace_raw[[#This Row],[Column12]]), namespace_raw[[#This Row],[Column12]],"")</f>
        <v/>
      </c>
      <c r="L1000" s="167" t="str">
        <f>IF(ISNUMBER(namespace_raw[[#This Row],[Column13]]), namespace_raw[[#This Row],[Column13]]/1048576,"")</f>
        <v/>
      </c>
      <c r="M1000" s="168" t="str">
        <f>IF(ISNUMBER(namespace_raw[[#This Row],[Column10]]), (namespace_raw[[#This Row],[Column10]]*(1+$M$2)),"")</f>
        <v/>
      </c>
      <c r="N1000" s="167" t="str">
        <f>IF(ISNUMBER(namespace_raw[[#This Row],[Column11]]), (namespace_raw[[#This Row],[Column11]]*(1+$N$2))/1048576,"")</f>
        <v/>
      </c>
      <c r="O1000" s="169" t="str">
        <f>IF(ISNUMBER(namespace_raw[[#This Row],[Column8]]), (E1000  * $O$2),"")</f>
        <v/>
      </c>
      <c r="P1000" s="170" t="str">
        <f>IF(ISNUMBER(namespace_raw[[#This Row],[Column8]]), (F1000  * $P$2),"")</f>
        <v/>
      </c>
    </row>
    <row r="1001" spans="1:16" ht="15" customHeight="1" x14ac:dyDescent="0.25">
      <c r="A1001" s="32" t="str">
        <f>IF(ISNONTEXT(namespace_raw[[#This Row],[Column1]]), "", namespace_raw[[#This Row],[Column1]])</f>
        <v/>
      </c>
      <c r="B1001" s="33" t="str">
        <f>IF(ISNONTEXT(namespace_raw[[#This Row],[Column2]]), "", namespace_raw[[#This Row],[Column2]])</f>
        <v/>
      </c>
      <c r="C1001" s="94" t="str">
        <f>IF(ISNUMBER(namespace_raw[[#This Row],[Column4]]), namespace_raw[[#This Row],[Column4]], "")</f>
        <v/>
      </c>
      <c r="D1001" s="95" t="str">
        <f>IF(ISNUMBER(namespace_raw[[#This Row],[Column5]]), namespace_raw[[#This Row],[Column5]]/1048576, "")</f>
        <v/>
      </c>
      <c r="E1001" s="95" t="str">
        <f>IF(ISNUMBER(namespace_raw[[#This Row],[Column6]]), namespace_raw[[#This Row],[Column6]],"")</f>
        <v/>
      </c>
      <c r="F1001" s="96" t="str">
        <f>IF(ISNUMBER(namespace_raw[[#This Row],[Column7]]), namespace_raw[[#This Row],[Column7]]/1048576,"")</f>
        <v/>
      </c>
      <c r="G1001" s="122" t="str">
        <f>IF(ISNUMBER(namespace_raw[[#This Row],[Column8]]), namespace_raw[[#This Row],[Column8]],"")</f>
        <v/>
      </c>
      <c r="H1001" s="123" t="str">
        <f>IF(ISNUMBER(namespace_raw[[#This Row],[Column9]]), namespace_raw[[#This Row],[Column9]]/1048576,"")</f>
        <v/>
      </c>
      <c r="I1001" s="124" t="str">
        <f>IF(ISNUMBER(namespace_raw[[#This Row],[Column8]]),MAX(G1001, M1001, O1001, $I$2,IF(Q1001&lt;&gt;"",VALUE(Q1001),0)), "")</f>
        <v/>
      </c>
      <c r="J1001" s="125" t="str">
        <f>IF(ISNUMBER(namespace_raw[[#This Row],[Column9]]),MAX(H1001, N1001, P1001, $J$2,IF(R1001&lt;&gt;"",VALUE(R1001),0)),"")</f>
        <v/>
      </c>
      <c r="K1001" s="166" t="str">
        <f>IF(ISNUMBER(namespace_raw[[#This Row],[Column12]]), namespace_raw[[#This Row],[Column12]],"")</f>
        <v/>
      </c>
      <c r="L1001" s="167" t="str">
        <f>IF(ISNUMBER(namespace_raw[[#This Row],[Column13]]), namespace_raw[[#This Row],[Column13]]/1048576,"")</f>
        <v/>
      </c>
      <c r="M1001" s="168" t="str">
        <f>IF(ISNUMBER(namespace_raw[[#This Row],[Column10]]), (namespace_raw[[#This Row],[Column10]]*(1+$M$2)),"")</f>
        <v/>
      </c>
      <c r="N1001" s="167" t="str">
        <f>IF(ISNUMBER(namespace_raw[[#This Row],[Column11]]), (namespace_raw[[#This Row],[Column11]]*(1+$N$2))/1048576,"")</f>
        <v/>
      </c>
      <c r="O1001" s="169" t="str">
        <f>IF(ISNUMBER(namespace_raw[[#This Row],[Column8]]), (E1001  * $O$2),"")</f>
        <v/>
      </c>
      <c r="P1001" s="170" t="str">
        <f>IF(ISNUMBER(namespace_raw[[#This Row],[Column8]]), (F1001  * $P$2),"")</f>
        <v/>
      </c>
    </row>
    <row r="1002" spans="1:16" ht="15" customHeight="1" x14ac:dyDescent="0.25">
      <c r="A1002" s="32" t="str">
        <f>IF(ISNONTEXT(namespace_raw[[#This Row],[Column1]]), "", namespace_raw[[#This Row],[Column1]])</f>
        <v/>
      </c>
      <c r="B1002" s="33" t="str">
        <f>IF(ISNONTEXT(namespace_raw[[#This Row],[Column2]]), "", namespace_raw[[#This Row],[Column2]])</f>
        <v/>
      </c>
      <c r="C1002" s="94" t="str">
        <f>IF(ISNUMBER(namespace_raw[[#This Row],[Column4]]), namespace_raw[[#This Row],[Column4]], "")</f>
        <v/>
      </c>
      <c r="D1002" s="95" t="str">
        <f>IF(ISNUMBER(namespace_raw[[#This Row],[Column5]]), namespace_raw[[#This Row],[Column5]]/1048576, "")</f>
        <v/>
      </c>
      <c r="E1002" s="95" t="str">
        <f>IF(ISNUMBER(namespace_raw[[#This Row],[Column6]]), namespace_raw[[#This Row],[Column6]],"")</f>
        <v/>
      </c>
      <c r="F1002" s="96" t="str">
        <f>IF(ISNUMBER(namespace_raw[[#This Row],[Column7]]), namespace_raw[[#This Row],[Column7]]/1048576,"")</f>
        <v/>
      </c>
      <c r="G1002" s="122" t="str">
        <f>IF(ISNUMBER(namespace_raw[[#This Row],[Column8]]), namespace_raw[[#This Row],[Column8]],"")</f>
        <v/>
      </c>
      <c r="H1002" s="123" t="str">
        <f>IF(ISNUMBER(namespace_raw[[#This Row],[Column9]]), namespace_raw[[#This Row],[Column9]]/1048576,"")</f>
        <v/>
      </c>
      <c r="I1002" s="124" t="str">
        <f>IF(ISNUMBER(namespace_raw[[#This Row],[Column8]]),MAX(G1002, M1002, O1002, $I$2,IF(Q1002&lt;&gt;"",VALUE(Q1002),0)), "")</f>
        <v/>
      </c>
      <c r="J1002" s="125" t="str">
        <f>IF(ISNUMBER(namespace_raw[[#This Row],[Column9]]),MAX(H1002, N1002, P1002, $J$2,IF(R1002&lt;&gt;"",VALUE(R1002),0)),"")</f>
        <v/>
      </c>
      <c r="K1002" s="166" t="str">
        <f>IF(ISNUMBER(namespace_raw[[#This Row],[Column12]]), namespace_raw[[#This Row],[Column12]],"")</f>
        <v/>
      </c>
      <c r="L1002" s="167" t="str">
        <f>IF(ISNUMBER(namespace_raw[[#This Row],[Column13]]), namespace_raw[[#This Row],[Column13]]/1048576,"")</f>
        <v/>
      </c>
      <c r="M1002" s="168" t="str">
        <f>IF(ISNUMBER(namespace_raw[[#This Row],[Column10]]), (namespace_raw[[#This Row],[Column10]]*(1+$M$2)),"")</f>
        <v/>
      </c>
      <c r="N1002" s="167" t="str">
        <f>IF(ISNUMBER(namespace_raw[[#This Row],[Column11]]), (namespace_raw[[#This Row],[Column11]]*(1+$N$2))/1048576,"")</f>
        <v/>
      </c>
      <c r="O1002" s="169" t="str">
        <f>IF(ISNUMBER(namespace_raw[[#This Row],[Column8]]), (E1002  * $O$2),"")</f>
        <v/>
      </c>
      <c r="P1002" s="170" t="str">
        <f>IF(ISNUMBER(namespace_raw[[#This Row],[Column8]]), (F1002  * $P$2),"")</f>
        <v/>
      </c>
    </row>
  </sheetData>
  <autoFilter ref="A3:F4" xr:uid="{00000000-0001-0000-0100-000000000000}"/>
  <mergeCells count="1">
    <mergeCell ref="C1:D1"/>
  </mergeCells>
  <conditionalFormatting sqref="R4 L4:L1002">
    <cfRule type="expression" dxfId="9" priority="2">
      <formula>L4&gt;J4</formula>
    </cfRule>
  </conditionalFormatting>
  <dataValidations count="4">
    <dataValidation type="list" allowBlank="1" showInputMessage="1" showErrorMessage="1" sqref="M2:N2" xr:uid="{23ADCE16-F800-497D-B0A1-B63CD0F2B946}">
      <formula1>"0%,10%,20%,30%,40%,50%,60%,70%,80%,90%,100%,150%,200%,300%"</formula1>
    </dataValidation>
    <dataValidation type="decimal" showInputMessage="1" showErrorMessage="1" sqref="J2" xr:uid="{7C3DE803-E0D1-4F07-A123-857386C78540}">
      <formula1>25</formula1>
      <formula2>256000</formula2>
    </dataValidation>
    <dataValidation type="decimal" showInputMessage="1" showErrorMessage="1" sqref="I2" xr:uid="{F86694E5-EC9A-41BB-ADD0-008E9AEDF1A5}">
      <formula1>50</formula1>
      <formula2>128000</formula2>
    </dataValidation>
    <dataValidation type="list" allowBlank="1" showInputMessage="1" showErrorMessage="1" sqref="O2:P2" xr:uid="{AE142A9A-C876-40C4-AE80-1EF47721F90D}">
      <formula1>"0%,10%,20%,30%,40%,50%,60%,70%,80%,90%,100%,120%,150%"</formula1>
    </dataValidation>
  </dataValidations>
  <pageMargins left="0.7" right="0.7" top="0.75" bottom="0.75" header="0" footer="0"/>
  <pageSetup orientation="landscape" r:id="rId1"/>
  <headerFooter>
    <oddFooter>&amp;C_x000D_&amp;1#&amp;"Calibri"&amp;7&amp;K000000 Juniper Business Use Only</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5" tint="0.39997558519241921"/>
  </sheetPr>
  <dimension ref="A1:AK502"/>
  <sheetViews>
    <sheetView zoomScaleNormal="100" workbookViewId="0">
      <pane xSplit="4" ySplit="3" topLeftCell="K4" activePane="bottomRight" state="frozen"/>
      <selection pane="topRight" activeCell="E1" sqref="E1"/>
      <selection pane="bottomLeft" activeCell="A4" sqref="A4"/>
      <selection pane="bottomRight" sqref="A1:A2"/>
    </sheetView>
  </sheetViews>
  <sheetFormatPr defaultColWidth="14.42578125" defaultRowHeight="15" customHeight="1" x14ac:dyDescent="0.25"/>
  <cols>
    <col min="1" max="1" width="20.85546875" style="72" customWidth="1"/>
    <col min="2" max="2" width="16.42578125" style="73" customWidth="1"/>
    <col min="3" max="3" width="14.7109375" style="73" customWidth="1"/>
    <col min="4" max="4" width="9.85546875" style="64" customWidth="1"/>
    <col min="5" max="5" width="15.7109375" style="74" hidden="1" customWidth="1"/>
    <col min="6" max="6" width="15.42578125" style="75" hidden="1" customWidth="1"/>
    <col min="7" max="7" width="13.7109375" style="180" hidden="1" customWidth="1"/>
    <col min="8" max="8" width="17.42578125" style="180" hidden="1" customWidth="1"/>
    <col min="9" max="9" width="14.28515625" style="64" hidden="1" customWidth="1"/>
    <col min="10" max="10" width="15.42578125" style="64" hidden="1" customWidth="1"/>
    <col min="11" max="11" width="15.42578125" style="180" customWidth="1"/>
    <col min="12" max="12" width="18.85546875" style="180" customWidth="1"/>
    <col min="13" max="13" width="15.42578125" style="151" customWidth="1"/>
    <col min="14" max="14" width="18.42578125" style="151" customWidth="1"/>
    <col min="15" max="15" width="17.28515625" style="76" customWidth="1"/>
    <col min="16" max="16" width="15.7109375" style="65" customWidth="1"/>
    <col min="17" max="17" width="23.42578125" style="165" customWidth="1"/>
    <col min="18" max="18" width="23.7109375" style="64" hidden="1" customWidth="1"/>
    <col min="19" max="21" width="24.42578125" style="64" hidden="1" customWidth="1"/>
    <col min="22" max="23" width="24.42578125" style="180" customWidth="1"/>
    <col min="24" max="25" width="24.42578125" style="64" customWidth="1"/>
    <col min="26" max="26" width="23.7109375" style="64" hidden="1" customWidth="1"/>
    <col min="27" max="27" width="27.42578125" style="64" hidden="1" customWidth="1"/>
    <col min="28" max="28" width="18" style="80" customWidth="1"/>
    <col min="29" max="29" width="18.42578125" style="64" customWidth="1"/>
    <col min="30" max="30" width="22.7109375" style="79" customWidth="1"/>
    <col min="31" max="31" width="23" style="79" customWidth="1"/>
    <col min="32" max="37" width="8.7109375" style="12" customWidth="1"/>
    <col min="38" max="16384" width="14.42578125" style="12"/>
  </cols>
  <sheetData>
    <row r="1" spans="1:37" ht="19.5" customHeight="1" thickBot="1" x14ac:dyDescent="0.3">
      <c r="A1" s="218" t="s">
        <v>45</v>
      </c>
      <c r="B1" s="20" t="s">
        <v>42</v>
      </c>
      <c r="C1" s="20" t="s">
        <v>43</v>
      </c>
      <c r="D1" s="41"/>
      <c r="E1" s="121" t="e">
        <f>MATCH(MAX(D4:D502), D4:D502, 0)</f>
        <v>#N/A</v>
      </c>
      <c r="F1" s="69"/>
      <c r="G1" s="41"/>
      <c r="H1" s="41"/>
      <c r="I1" s="41"/>
      <c r="J1" s="41"/>
      <c r="K1" s="191" t="str">
        <f>IF(deployment!$E$2&lt;&gt;"Deployment", "!!  Set 'Display CPU/Memory per' to 'Deployment' to get the correct capacity calculation result.", "")</f>
        <v/>
      </c>
      <c r="L1" s="120"/>
      <c r="M1" s="41"/>
      <c r="N1" s="41"/>
      <c r="O1" s="41"/>
      <c r="P1" s="42"/>
      <c r="Q1" s="66"/>
      <c r="R1" s="66"/>
      <c r="S1" s="66"/>
      <c r="T1" s="66"/>
      <c r="U1" s="66"/>
      <c r="V1" s="66"/>
      <c r="W1" s="66"/>
      <c r="X1" s="66"/>
      <c r="Y1" s="66"/>
      <c r="Z1" s="66"/>
      <c r="AA1" s="66"/>
      <c r="AB1" s="67"/>
      <c r="AC1" s="66"/>
      <c r="AD1" s="68"/>
      <c r="AE1" s="68"/>
    </row>
    <row r="2" spans="1:37" ht="22.5" customHeight="1" thickBot="1" x14ac:dyDescent="0.3">
      <c r="A2" s="219"/>
      <c r="B2" s="43">
        <v>0.7</v>
      </c>
      <c r="C2" s="43">
        <v>0.7</v>
      </c>
      <c r="D2" s="41"/>
      <c r="E2" s="69"/>
      <c r="F2" s="88"/>
      <c r="G2" s="41"/>
      <c r="H2" s="41"/>
      <c r="I2" s="41"/>
      <c r="J2" s="41"/>
      <c r="K2" s="70"/>
      <c r="L2" s="70"/>
      <c r="M2" s="41"/>
      <c r="N2" s="41"/>
      <c r="O2" s="41"/>
      <c r="P2" s="41"/>
      <c r="Q2" s="66"/>
      <c r="R2" s="66"/>
      <c r="S2" s="66"/>
      <c r="T2" s="66"/>
      <c r="U2" s="66"/>
      <c r="V2" s="66"/>
      <c r="W2" s="66"/>
      <c r="X2" s="66"/>
      <c r="Y2" s="66"/>
      <c r="Z2" s="66"/>
      <c r="AA2" s="66"/>
      <c r="AB2" s="67"/>
      <c r="AC2" s="66"/>
      <c r="AD2" s="68"/>
      <c r="AE2" s="68"/>
    </row>
    <row r="3" spans="1:37" customFormat="1" ht="49.5" customHeight="1" thickTop="1" thickBot="1" x14ac:dyDescent="0.3">
      <c r="A3" s="44" t="s">
        <v>2</v>
      </c>
      <c r="B3" s="45" t="s">
        <v>25</v>
      </c>
      <c r="C3" s="45" t="s">
        <v>26</v>
      </c>
      <c r="D3" s="46" t="s">
        <v>3</v>
      </c>
      <c r="E3" s="47" t="s">
        <v>4</v>
      </c>
      <c r="F3" s="48" t="s">
        <v>5</v>
      </c>
      <c r="G3" s="178" t="s">
        <v>77</v>
      </c>
      <c r="H3" s="177" t="s">
        <v>78</v>
      </c>
      <c r="I3" s="45" t="s">
        <v>79</v>
      </c>
      <c r="J3" s="49" t="s">
        <v>80</v>
      </c>
      <c r="K3" s="177" t="s">
        <v>73</v>
      </c>
      <c r="L3" s="177" t="s">
        <v>74</v>
      </c>
      <c r="M3" s="45" t="s">
        <v>27</v>
      </c>
      <c r="N3" s="49" t="s">
        <v>28</v>
      </c>
      <c r="O3" s="50" t="s">
        <v>41</v>
      </c>
      <c r="P3" s="21" t="s">
        <v>58</v>
      </c>
      <c r="Q3" s="22" t="s">
        <v>44</v>
      </c>
      <c r="R3" s="9" t="s">
        <v>29</v>
      </c>
      <c r="S3" s="8" t="s">
        <v>30</v>
      </c>
      <c r="T3" s="6" t="s">
        <v>31</v>
      </c>
      <c r="U3" s="6" t="s">
        <v>32</v>
      </c>
      <c r="V3" s="177" t="s">
        <v>75</v>
      </c>
      <c r="W3" s="177" t="s">
        <v>76</v>
      </c>
      <c r="X3" s="45" t="s">
        <v>81</v>
      </c>
      <c r="Y3" s="45" t="s">
        <v>82</v>
      </c>
      <c r="Z3" s="51" t="s">
        <v>46</v>
      </c>
      <c r="AA3" s="52" t="s">
        <v>47</v>
      </c>
      <c r="AB3" s="85" t="s">
        <v>35</v>
      </c>
      <c r="AC3" s="83" t="s">
        <v>36</v>
      </c>
      <c r="AD3" s="84" t="s">
        <v>37</v>
      </c>
      <c r="AE3" s="86" t="s">
        <v>38</v>
      </c>
      <c r="AF3" s="2"/>
      <c r="AG3" s="2"/>
      <c r="AH3" s="2"/>
      <c r="AI3" s="2"/>
      <c r="AJ3" s="2"/>
      <c r="AK3" s="2"/>
    </row>
    <row r="4" spans="1:37" ht="16.5" thickTop="1" x14ac:dyDescent="0.25">
      <c r="A4" s="107" t="str" cm="1">
        <f t="array" ref="A4">IFERROR(_xlfn.UNIQUE(_xlfn._xlws.FILTER('node-raw'!B2:B2, 'node-raw'!B2:B2&lt;&gt;"")),"")</f>
        <v/>
      </c>
      <c r="B4" s="108" t="str">
        <f>IF(A4&lt;&gt;"", VLOOKUP(A4, node!$C$2:$D$1000, 2, FALSE), "")</f>
        <v/>
      </c>
      <c r="C4" s="109" t="str">
        <f>IF(A4&lt;&gt;"", VLOOKUP(A4, node!$C$2:$E$1000, 3, FALSE), "")</f>
        <v/>
      </c>
      <c r="D4" s="110" t="str">
        <f>IF(A4&lt;&gt;"",COUNTIFS(node!$C$2:$C$1000,"="&amp;A4, node!$C$2:$C$1000,"&lt;&gt;"&amp;""),"")</f>
        <v/>
      </c>
      <c r="E4" s="111" t="str">
        <f>IF(A4&lt;&gt;"",SUMIFS(node!$F$2:$F$500, node!$C$2:$C$500,"="&amp;A4, node!$C$2:$C$500,"&lt;&gt;"&amp;"")/(B4*D4),"")</f>
        <v/>
      </c>
      <c r="F4" s="112" t="str">
        <f>IF(A4&lt;&gt;"",SUMIFS(node!$H$2:$H$500, node!$C$2:$C$500,"="&amp;A4, node!$C$2:$C$500,"&lt;&gt;"&amp;"")/(C4*D4),"")</f>
        <v/>
      </c>
      <c r="G4" s="179" t="str">
        <f>IF(A4&lt;&gt;"",SUMIFS(deployment!$F$4:$F$502, deployment!$D$4:$D$502,"="&amp;A4, deployment!$D$4:$D$502,"&lt;&gt;"&amp;""),"")</f>
        <v/>
      </c>
      <c r="H4" s="181" t="str">
        <f>IF(A4&lt;&gt;"",SUMIFS(deployment!$G$4:$G$502, deployment!$D$4:$D$502,"="&amp;A4, deployment!$D$4:$D$502,"&lt;&gt;"&amp;""),"")</f>
        <v/>
      </c>
      <c r="I4" s="113" t="str">
        <f>IF(A4&lt;&gt;"",SUMIFS(deployment!$H$4:$H$502, deployment!$D$4:$D$502,"="&amp;A4, deployment!$D$4:$D$502,"&lt;&gt;"&amp;""),"")</f>
        <v/>
      </c>
      <c r="J4" s="114" t="str">
        <f>IF(A4&lt;&gt;"",SUMIFS(deployment!$I$4:$I$502, deployment!$D$4:$D$502,"="&amp;A4, deployment!$D$4:$D$502,"&lt;&gt;"&amp;""),"")</f>
        <v/>
      </c>
      <c r="K4" s="182" t="str">
        <f>IF(A4&lt;&gt;"",SUMIFS(deployment!$J$4:$J$1002, deployment!$D$4:$D$1002,"="&amp;A4, deployment!$D$4:$D$1002,"&lt;&gt;"&amp;"", deployment!$C$4:$C$1002, "&lt;&gt;* )")+SUMIFS(namespace!$G$4:$G$1002, namespace!$B$4:$B$1002,"="&amp;A4, namespace!$B$4:$B$1002,"&lt;&gt;"&amp;""),"")</f>
        <v/>
      </c>
      <c r="L4" s="182" t="str">
        <f>IF(A4&lt;&gt;"",SUMIFS(deployment!$K$4:$K$1002, deployment!$D$4:$D$1002,"="&amp;A4, deployment!$D$4:$D$1002,"&lt;&gt;"&amp;"", deployment!$C$4:$C$1002, "&lt;&gt;* )")+SUMIFS(namespace!$H$4:$H$1002, namespace!$B$4:$B$1002,"="&amp;A4, namespace!$B$4:$B$1002,"&lt;&gt;"&amp;""),"")</f>
        <v/>
      </c>
      <c r="M4" s="115" t="str">
        <f>IF(A4&lt;&gt;"",SUMIFS(deployment!$L$4:$L$1002, deployment!$D$4:$D$1002,"="&amp;A4, deployment!$D$4:$D$1002,"&lt;&gt;"&amp;"", deployment!$C$4:$C$1002, "&lt;&gt;* )")+SUMIFS(namespace!$I$4:$I$1002, namespace!$B$4:$B$1002,"="&amp;A4, namespace!$B$4:$B$1002,"&lt;&gt;"&amp;""),"")</f>
        <v/>
      </c>
      <c r="N4" s="115" t="str">
        <f>IF(A4&lt;&gt;"",SUMIFS(deployment!$M$4:$M$1002, deployment!$D$4:$D$1002,"="&amp;A4, deployment!$D$4:$D$1002,"&lt;&gt;"&amp;"", deployment!$C$4:$C$1002, "&lt;&gt;* )")+SUMIFS(namespace!$J$4:$J$1002, namespace!$B$4:$B$1002,"="&amp;A4, namespace!$B$4:$B$1002,"&lt;&gt;"&amp;""),"")</f>
        <v/>
      </c>
      <c r="O4" s="116" t="str">
        <f>IF(A4&lt;&gt;"",MAX(ROUNDUP(K4/(B4*$B$2), 0), ROUNDUP(L4/(C4*$C$2), 0), ROUNDUP(M4/(B4*$B$2), 0), ROUNDUP(N4/(C4*$C$2), 0), 1),"")</f>
        <v/>
      </c>
      <c r="P4" s="117"/>
      <c r="Q4" s="163" t="str">
        <f t="shared" ref="Q4:Q67" si="0">IF(A4&lt;&gt;"",(D4-P4)/D4,"")</f>
        <v/>
      </c>
      <c r="R4" s="60" t="str">
        <f t="shared" ref="R4:R67" si="1">IF(A4&lt;&gt;"",G4/(P4*B4),"")</f>
        <v/>
      </c>
      <c r="S4" s="60" t="str">
        <f t="shared" ref="S4:S67" si="2">IF(A4&lt;&gt;"",H4/(P4*C4),"")</f>
        <v/>
      </c>
      <c r="T4" s="61" t="str">
        <f t="shared" ref="T4:T67" si="3">IF(A4&lt;&gt;"",I4/(P4*B4),"")</f>
        <v/>
      </c>
      <c r="U4" s="61" t="str">
        <f t="shared" ref="U4:U67" si="4">IF(A4&lt;&gt;"",J4/(P4*C4),"")</f>
        <v/>
      </c>
      <c r="V4" s="183" t="str">
        <f>IF(A4&lt;&gt;"",IF(P4&lt;&gt;0,K4/(P4*B4),0),"")</f>
        <v/>
      </c>
      <c r="W4" s="183" t="str">
        <f>IF(A4&lt;&gt;"",IF(P4&lt;&gt;0,L4/(P4*C4),0),"")</f>
        <v/>
      </c>
      <c r="X4" s="61" t="str">
        <f>IF(A4&lt;&gt;"",IF(P4&lt;&gt;0,M4/(P4*B4),0),"")</f>
        <v/>
      </c>
      <c r="Y4" s="61" t="str">
        <f>IF(A4&lt;&gt;"",IF(P4&lt;&gt;0,N4/(P4*C4),0),"")</f>
        <v/>
      </c>
      <c r="Z4" s="118" t="str">
        <f t="shared" ref="Z4" si="5">IF(A4&lt;&gt;"",(D4*E4)/P4,"")</f>
        <v/>
      </c>
      <c r="AA4" s="62" t="str">
        <f t="shared" ref="AA4" si="6">IF(A4&lt;&gt;"",(D4*F4)/P4,"")</f>
        <v/>
      </c>
      <c r="AB4" s="119" t="str">
        <f>IF(A4&lt;&gt;"", IF(P4&lt;&gt;0,SUMIFS(node!$J$2:$J$1000, node!$C$2:$C$1000,"="&amp;A4)/P4,0), "")</f>
        <v/>
      </c>
      <c r="AC4" s="81" t="str">
        <f>IF(A4&lt;&gt;"", IF(P4&lt;&gt;0,SUMIFS(node!$K$2:$K$1000, node!$C$2:$C$1000,"="&amp;A4)/P4,0), "")</f>
        <v/>
      </c>
      <c r="AD4" s="82" t="str">
        <f>IF(A4&lt;&gt;"", SUMIFS(node!$L$2:$L$1000, node!$C$2:$C$1000,"="&amp;A4), "")</f>
        <v/>
      </c>
      <c r="AE4" s="87" t="str">
        <f>IF(A4&lt;&gt;"", SUMIFS(node!$M$2:$M$1000, node!$C$2:$C$1000,"="&amp;A4), "")</f>
        <v/>
      </c>
    </row>
    <row r="5" spans="1:37" ht="15.75" x14ac:dyDescent="0.25">
      <c r="A5" s="71"/>
      <c r="B5" s="108" t="str">
        <f>IF(A5&lt;&gt;"", VLOOKUP(A5, node!$C$2:$D$1000, 2, FALSE), "")</f>
        <v/>
      </c>
      <c r="C5" s="109" t="str">
        <f>IF(A5&lt;&gt;"", VLOOKUP(A5, node!$C$2:$E$1000, 3, FALSE), "")</f>
        <v/>
      </c>
      <c r="D5" s="110" t="str">
        <f>IF(A5&lt;&gt;"",COUNTIFS(node!$C$2:$C$1000,"="&amp;A5, node!$C$2:$C$1000,"&lt;&gt;"&amp;""),"")</f>
        <v/>
      </c>
      <c r="E5" s="111" t="str">
        <f>IF(A5&lt;&gt;"",SUMIFS(node!$F$2:$F$500, node!$C$2:$C$500,"="&amp;A5, node!$C$2:$C$500,"&lt;&gt;"&amp;"")/(B5*D5),"")</f>
        <v/>
      </c>
      <c r="F5" s="112" t="str">
        <f>IF(A5&lt;&gt;"",SUMIFS(node!$H$2:$H$500, node!$C$2:$C$500,"="&amp;A5, node!$C$2:$C$500,"&lt;&gt;"&amp;"")/(C5*D5),"")</f>
        <v/>
      </c>
      <c r="G5" s="179" t="str">
        <f>IF(A5&lt;&gt;"",SUMIFS(deployment!$F$4:$F$502, deployment!$D$4:$D$502,"="&amp;A5, deployment!$D$4:$D$502,"&lt;&gt;"&amp;""),"")</f>
        <v/>
      </c>
      <c r="H5" s="181" t="str">
        <f>IF(A5&lt;&gt;"",SUMIFS(deployment!$G$4:$G$502, deployment!$D$4:$D$502,"="&amp;A5, deployment!$D$4:$D$502,"&lt;&gt;"&amp;""),"")</f>
        <v/>
      </c>
      <c r="I5" s="113" t="str">
        <f>IF(A5&lt;&gt;"",SUMIFS(deployment!$H$4:$H$502, deployment!$D$4:$D$502,"="&amp;A5, deployment!$D$4:$D$502,"&lt;&gt;"&amp;""),"")</f>
        <v/>
      </c>
      <c r="J5" s="114" t="str">
        <f>IF(A5&lt;&gt;"",SUMIFS(deployment!$I$4:$I$502, deployment!$D$4:$D$502,"="&amp;A5, deployment!$D$4:$D$502,"&lt;&gt;"&amp;""),"")</f>
        <v/>
      </c>
      <c r="K5" s="182" t="str">
        <f>IF(A5&lt;&gt;"",SUMIFS(deployment!$J$4:$J$1002, deployment!$D$4:$D$1002,"="&amp;A5, deployment!$D$4:$D$1002,"&lt;&gt;"&amp;"", deployment!$C$4:$C$1002, "&lt;&gt;* )")+SUMIFS(namespace!$G$4:$G$1002, namespace!$B$4:$B$1002,"="&amp;A5, namespace!$B$4:$B$1002,"&lt;&gt;"&amp;""),"")</f>
        <v/>
      </c>
      <c r="L5" s="182" t="str">
        <f>IF(A5&lt;&gt;"",SUMIFS(deployment!$K$4:$K$1002, deployment!$D$4:$D$1002,"="&amp;A5, deployment!$D$4:$D$1002,"&lt;&gt;"&amp;"", deployment!$C$4:$C$1002, "&lt;&gt;* )")+SUMIFS(namespace!$H$4:$H$1002, namespace!$B$4:$B$1002,"="&amp;A5, namespace!$B$4:$B$1002,"&lt;&gt;"&amp;""),"")</f>
        <v/>
      </c>
      <c r="M5" s="115" t="str">
        <f>IF(A5&lt;&gt;"",SUMIFS(deployment!$L$4:$L$1002, deployment!$D$4:$D$1002,"="&amp;A5, deployment!$D$4:$D$1002,"&lt;&gt;"&amp;"", deployment!$C$4:$C$1002, "&lt;&gt;* )")+SUMIFS(namespace!$I$4:$I$1002, namespace!$B$4:$B$1002,"="&amp;A5, namespace!$B$4:$B$1002,"&lt;&gt;"&amp;""),"")</f>
        <v/>
      </c>
      <c r="N5" s="115" t="str">
        <f>IF(A5&lt;&gt;"",SUMIFS(deployment!$M$4:$M$1002, deployment!$D$4:$D$1002,"="&amp;A5, deployment!$D$4:$D$1002,"&lt;&gt;"&amp;"", deployment!$C$4:$C$1002, "&lt;&gt;* )")+SUMIFS(namespace!$J$4:$J$1002, namespace!$B$4:$B$1002,"="&amp;A5, namespace!$B$4:$B$1002,"&lt;&gt;"&amp;""),"")</f>
        <v/>
      </c>
      <c r="O5" s="116" t="str">
        <f t="shared" ref="O5:O68" si="7">IF(A5&lt;&gt;"",MAX(ROUNDUP(K5/(B5*$B$2), 0), ROUNDUP(L5/(C5*$C$2), 0), ROUNDUP(M5/(B5*$B$2), 0), ROUNDUP(N5/(C5*$C$2), 0), 1),"")</f>
        <v/>
      </c>
      <c r="P5" s="59"/>
      <c r="Q5" s="164" t="str">
        <f t="shared" si="0"/>
        <v/>
      </c>
      <c r="R5" s="60" t="str">
        <f t="shared" si="1"/>
        <v/>
      </c>
      <c r="S5" s="60" t="str">
        <f t="shared" si="2"/>
        <v/>
      </c>
      <c r="T5" s="61" t="str">
        <f t="shared" si="3"/>
        <v/>
      </c>
      <c r="U5" s="61" t="str">
        <f t="shared" si="4"/>
        <v/>
      </c>
      <c r="V5" s="183" t="str">
        <f t="shared" ref="V5:V68" si="8">IF(A5&lt;&gt;"",IF(P5&lt;&gt;0,K5/(P5*B5),0),"")</f>
        <v/>
      </c>
      <c r="W5" s="183" t="str">
        <f t="shared" ref="W5:W68" si="9">IF(A5&lt;&gt;"",IF(P5&lt;&gt;0,L5/(P5*C5),0),"")</f>
        <v/>
      </c>
      <c r="X5" s="61" t="str">
        <f t="shared" ref="X5:X68" si="10">IF(A5&lt;&gt;"",IF(P5&lt;&gt;0,M5/(P5*B5),0),"")</f>
        <v/>
      </c>
      <c r="Y5" s="61" t="str">
        <f t="shared" ref="Y5:Y68" si="11">IF(A5&lt;&gt;"",IF(P5&lt;&gt;0,N5/(P5*C5),0),"")</f>
        <v/>
      </c>
      <c r="Z5" s="118" t="str">
        <f t="shared" ref="Z5:Z68" si="12">IF(A5&lt;&gt;"",(D5*E5)/P5,"")</f>
        <v/>
      </c>
      <c r="AA5" s="62" t="str">
        <f t="shared" ref="AA5:AA68" si="13">IF(A5&lt;&gt;"",(D5*F5)/P5,"")</f>
        <v/>
      </c>
      <c r="AB5" s="119" t="str">
        <f>IF(A5&lt;&gt;"", IF(P5&lt;&gt;0,SUMIFS(node!$J$2:$J$1000, node!$C$2:$C$1000,"="&amp;A5)/P5,0), "")</f>
        <v/>
      </c>
      <c r="AC5" s="81" t="str">
        <f>IF(A5&lt;&gt;"", IF(P5&lt;&gt;0,SUMIFS(node!$K$2:$K$1000, node!$C$2:$C$1000,"="&amp;A5)/P5,0), "")</f>
        <v/>
      </c>
      <c r="AD5" s="82" t="str">
        <f>IF(A5&lt;&gt;"", SUMIFS(node!$L$2:$L$1000, node!$C$2:$C$1000,"="&amp;A5), "")</f>
        <v/>
      </c>
      <c r="AE5" s="87" t="str">
        <f>IF(A5&lt;&gt;"", SUMIFS(node!$M$2:$M$1000, node!$C$2:$C$1000,"="&amp;A5), "")</f>
        <v/>
      </c>
    </row>
    <row r="6" spans="1:37" ht="15.75" x14ac:dyDescent="0.25">
      <c r="A6" s="71"/>
      <c r="B6" s="108" t="str">
        <f>IF(A6&lt;&gt;"", VLOOKUP(A6, node!$C$2:$D$1000, 2, FALSE), "")</f>
        <v/>
      </c>
      <c r="C6" s="109" t="str">
        <f>IF(A6&lt;&gt;"", VLOOKUP(A6, node!$C$2:$E$1000, 3, FALSE), "")</f>
        <v/>
      </c>
      <c r="D6" s="110" t="str">
        <f>IF(A6&lt;&gt;"",COUNTIFS(node!$C$2:$C$1000,"="&amp;A6, node!$C$2:$C$1000,"&lt;&gt;"&amp;""),"")</f>
        <v/>
      </c>
      <c r="E6" s="111" t="str">
        <f>IF(A6&lt;&gt;"",SUMIFS(node!$F$2:$F$500, node!$C$2:$C$500,"="&amp;A6, node!$C$2:$C$500,"&lt;&gt;"&amp;"")/(B6*D6),"")</f>
        <v/>
      </c>
      <c r="F6" s="112" t="str">
        <f>IF(A6&lt;&gt;"",SUMIFS(node!$H$2:$H$500, node!$C$2:$C$500,"="&amp;A6, node!$C$2:$C$500,"&lt;&gt;"&amp;"")/(C6*D6),"")</f>
        <v/>
      </c>
      <c r="G6" s="179" t="str">
        <f>IF(A6&lt;&gt;"",SUMIFS(deployment!$F$4:$F$502, deployment!$D$4:$D$502,"="&amp;A6, deployment!$D$4:$D$502,"&lt;&gt;"&amp;""),"")</f>
        <v/>
      </c>
      <c r="H6" s="181" t="str">
        <f>IF(A6&lt;&gt;"",SUMIFS(deployment!$G$4:$G$502, deployment!$D$4:$D$502,"="&amp;A6, deployment!$D$4:$D$502,"&lt;&gt;"&amp;""),"")</f>
        <v/>
      </c>
      <c r="I6" s="113" t="str">
        <f>IF(A6&lt;&gt;"",SUMIFS(deployment!$H$4:$H$502, deployment!$D$4:$D$502,"="&amp;A6, deployment!$D$4:$D$502,"&lt;&gt;"&amp;""),"")</f>
        <v/>
      </c>
      <c r="J6" s="114" t="str">
        <f>IF(A6&lt;&gt;"",SUMIFS(deployment!$I$4:$I$502, deployment!$D$4:$D$502,"="&amp;A6, deployment!$D$4:$D$502,"&lt;&gt;"&amp;""),"")</f>
        <v/>
      </c>
      <c r="K6" s="182" t="str">
        <f>IF(A6&lt;&gt;"",SUMIFS(deployment!$J$4:$J$1002, deployment!$D$4:$D$1002,"="&amp;A6, deployment!$D$4:$D$1002,"&lt;&gt;"&amp;"", deployment!$C$4:$C$1002, "&lt;&gt;* )")+SUMIFS(namespace!$G$4:$G$1002, namespace!$B$4:$B$1002,"="&amp;A6, namespace!$B$4:$B$1002,"&lt;&gt;"&amp;""),"")</f>
        <v/>
      </c>
      <c r="L6" s="182" t="str">
        <f>IF(A6&lt;&gt;"",SUMIFS(deployment!$K$4:$K$1002, deployment!$D$4:$D$1002,"="&amp;A6, deployment!$D$4:$D$1002,"&lt;&gt;"&amp;"", deployment!$C$4:$C$1002, "&lt;&gt;* )")+SUMIFS(namespace!$H$4:$H$1002, namespace!$B$4:$B$1002,"="&amp;A6, namespace!$B$4:$B$1002,"&lt;&gt;"&amp;""),"")</f>
        <v/>
      </c>
      <c r="M6" s="115" t="str">
        <f>IF(A6&lt;&gt;"",SUMIFS(deployment!$L$4:$L$1002, deployment!$D$4:$D$1002,"="&amp;A6, deployment!$D$4:$D$1002,"&lt;&gt;"&amp;"", deployment!$C$4:$C$1002, "&lt;&gt;* )")+SUMIFS(namespace!$I$4:$I$1002, namespace!$B$4:$B$1002,"="&amp;A6, namespace!$B$4:$B$1002,"&lt;&gt;"&amp;""),"")</f>
        <v/>
      </c>
      <c r="N6" s="115" t="str">
        <f>IF(A6&lt;&gt;"",SUMIFS(deployment!$M$4:$M$1002, deployment!$D$4:$D$1002,"="&amp;A6, deployment!$D$4:$D$1002,"&lt;&gt;"&amp;"", deployment!$C$4:$C$1002, "&lt;&gt;* )")+SUMIFS(namespace!$J$4:$J$1002, namespace!$B$4:$B$1002,"="&amp;A6, namespace!$B$4:$B$1002,"&lt;&gt;"&amp;""),"")</f>
        <v/>
      </c>
      <c r="O6" s="116" t="str">
        <f t="shared" si="7"/>
        <v/>
      </c>
      <c r="P6" s="59"/>
      <c r="Q6" s="164" t="str">
        <f t="shared" si="0"/>
        <v/>
      </c>
      <c r="R6" s="60" t="str">
        <f t="shared" si="1"/>
        <v/>
      </c>
      <c r="S6" s="60" t="str">
        <f t="shared" si="2"/>
        <v/>
      </c>
      <c r="T6" s="61" t="str">
        <f t="shared" si="3"/>
        <v/>
      </c>
      <c r="U6" s="61" t="str">
        <f t="shared" si="4"/>
        <v/>
      </c>
      <c r="V6" s="183" t="str">
        <f t="shared" si="8"/>
        <v/>
      </c>
      <c r="W6" s="183" t="str">
        <f t="shared" si="9"/>
        <v/>
      </c>
      <c r="X6" s="61" t="str">
        <f t="shared" si="10"/>
        <v/>
      </c>
      <c r="Y6" s="61" t="str">
        <f t="shared" si="11"/>
        <v/>
      </c>
      <c r="Z6" s="118" t="str">
        <f t="shared" si="12"/>
        <v/>
      </c>
      <c r="AA6" s="62" t="str">
        <f t="shared" si="13"/>
        <v/>
      </c>
      <c r="AB6" s="119" t="str">
        <f>IF(A6&lt;&gt;"", IF(P6&lt;&gt;0,SUMIFS(node!$J$2:$J$1000, node!$C$2:$C$1000,"="&amp;A6)/P6,0), "")</f>
        <v/>
      </c>
      <c r="AC6" s="81" t="str">
        <f>IF(A6&lt;&gt;"", IF(P6&lt;&gt;0,SUMIFS(node!$K$2:$K$1000, node!$C$2:$C$1000,"="&amp;A6)/P6,0), "")</f>
        <v/>
      </c>
      <c r="AD6" s="82" t="str">
        <f>IF(A6&lt;&gt;"", SUMIFS(node!$L$2:$L$1000, node!$C$2:$C$1000,"="&amp;A6), "")</f>
        <v/>
      </c>
      <c r="AE6" s="87" t="str">
        <f>IF(A6&lt;&gt;"", SUMIFS(node!$M$2:$M$1000, node!$C$2:$C$1000,"="&amp;A6), "")</f>
        <v/>
      </c>
    </row>
    <row r="7" spans="1:37" ht="15.75" x14ac:dyDescent="0.25">
      <c r="A7" s="71"/>
      <c r="B7" s="108" t="str">
        <f>IF(A7&lt;&gt;"", VLOOKUP(A7, node!$C$2:$D$1000, 2, FALSE), "")</f>
        <v/>
      </c>
      <c r="C7" s="109" t="str">
        <f>IF(A7&lt;&gt;"", VLOOKUP(A7, node!$C$2:$E$1000, 3, FALSE), "")</f>
        <v/>
      </c>
      <c r="D7" s="110" t="str">
        <f>IF(A7&lt;&gt;"",COUNTIFS(node!$C$2:$C$1000,"="&amp;A7, node!$C$2:$C$1000,"&lt;&gt;"&amp;""),"")</f>
        <v/>
      </c>
      <c r="E7" s="111" t="str">
        <f>IF(A7&lt;&gt;"",SUMIFS(node!$F$2:$F$500, node!$C$2:$C$500,"="&amp;A7, node!$C$2:$C$500,"&lt;&gt;"&amp;"")/(B7*D7),"")</f>
        <v/>
      </c>
      <c r="F7" s="112" t="str">
        <f>IF(A7&lt;&gt;"",SUMIFS(node!$H$2:$H$500, node!$C$2:$C$500,"="&amp;A7, node!$C$2:$C$500,"&lt;&gt;"&amp;"")/(C7*D7),"")</f>
        <v/>
      </c>
      <c r="G7" s="179" t="str">
        <f>IF(A7&lt;&gt;"",SUMIFS(deployment!$F$4:$F$502, deployment!$D$4:$D$502,"="&amp;A7, deployment!$D$4:$D$502,"&lt;&gt;"&amp;""),"")</f>
        <v/>
      </c>
      <c r="H7" s="181" t="str">
        <f>IF(A7&lt;&gt;"",SUMIFS(deployment!$G$4:$G$502, deployment!$D$4:$D$502,"="&amp;A7, deployment!$D$4:$D$502,"&lt;&gt;"&amp;""),"")</f>
        <v/>
      </c>
      <c r="I7" s="113" t="str">
        <f>IF(A7&lt;&gt;"",SUMIFS(deployment!$H$4:$H$502, deployment!$D$4:$D$502,"="&amp;A7, deployment!$D$4:$D$502,"&lt;&gt;"&amp;""),"")</f>
        <v/>
      </c>
      <c r="J7" s="114" t="str">
        <f>IF(A7&lt;&gt;"",SUMIFS(deployment!$I$4:$I$502, deployment!$D$4:$D$502,"="&amp;A7, deployment!$D$4:$D$502,"&lt;&gt;"&amp;""),"")</f>
        <v/>
      </c>
      <c r="K7" s="182" t="str">
        <f>IF(A7&lt;&gt;"",SUMIFS(deployment!$J$4:$J$1002, deployment!$D$4:$D$1002,"="&amp;A7, deployment!$D$4:$D$1002,"&lt;&gt;"&amp;"", deployment!$C$4:$C$1002, "&lt;&gt;* )")+SUMIFS(namespace!$G$4:$G$1002, namespace!$B$4:$B$1002,"="&amp;A7, namespace!$B$4:$B$1002,"&lt;&gt;"&amp;""),"")</f>
        <v/>
      </c>
      <c r="L7" s="182" t="str">
        <f>IF(A7&lt;&gt;"",SUMIFS(deployment!$K$4:$K$1002, deployment!$D$4:$D$1002,"="&amp;A7, deployment!$D$4:$D$1002,"&lt;&gt;"&amp;"", deployment!$C$4:$C$1002, "&lt;&gt;* )")+SUMIFS(namespace!$H$4:$H$1002, namespace!$B$4:$B$1002,"="&amp;A7, namespace!$B$4:$B$1002,"&lt;&gt;"&amp;""),"")</f>
        <v/>
      </c>
      <c r="M7" s="115" t="str">
        <f>IF(A7&lt;&gt;"",SUMIFS(deployment!$L$4:$L$1002, deployment!$D$4:$D$1002,"="&amp;A7, deployment!$D$4:$D$1002,"&lt;&gt;"&amp;"", deployment!$C$4:$C$1002, "&lt;&gt;* )")+SUMIFS(namespace!$I$4:$I$1002, namespace!$B$4:$B$1002,"="&amp;A7, namespace!$B$4:$B$1002,"&lt;&gt;"&amp;""),"")</f>
        <v/>
      </c>
      <c r="N7" s="115" t="str">
        <f>IF(A7&lt;&gt;"",SUMIFS(deployment!$M$4:$M$1002, deployment!$D$4:$D$1002,"="&amp;A7, deployment!$D$4:$D$1002,"&lt;&gt;"&amp;"", deployment!$C$4:$C$1002, "&lt;&gt;* )")+SUMIFS(namespace!$J$4:$J$1002, namespace!$B$4:$B$1002,"="&amp;A7, namespace!$B$4:$B$1002,"&lt;&gt;"&amp;""),"")</f>
        <v/>
      </c>
      <c r="O7" s="116" t="str">
        <f t="shared" si="7"/>
        <v/>
      </c>
      <c r="P7" s="59"/>
      <c r="Q7" s="164" t="str">
        <f t="shared" si="0"/>
        <v/>
      </c>
      <c r="R7" s="60" t="str">
        <f t="shared" si="1"/>
        <v/>
      </c>
      <c r="S7" s="60" t="str">
        <f t="shared" si="2"/>
        <v/>
      </c>
      <c r="T7" s="61" t="str">
        <f t="shared" si="3"/>
        <v/>
      </c>
      <c r="U7" s="61" t="str">
        <f t="shared" si="4"/>
        <v/>
      </c>
      <c r="V7" s="183" t="str">
        <f t="shared" si="8"/>
        <v/>
      </c>
      <c r="W7" s="183" t="str">
        <f t="shared" si="9"/>
        <v/>
      </c>
      <c r="X7" s="61" t="str">
        <f t="shared" si="10"/>
        <v/>
      </c>
      <c r="Y7" s="61" t="str">
        <f t="shared" si="11"/>
        <v/>
      </c>
      <c r="Z7" s="118" t="str">
        <f t="shared" si="12"/>
        <v/>
      </c>
      <c r="AA7" s="62" t="str">
        <f t="shared" si="13"/>
        <v/>
      </c>
      <c r="AB7" s="119" t="str">
        <f>IF(A7&lt;&gt;"", IF(P7&lt;&gt;0,SUMIFS(node!$J$2:$J$1000, node!$C$2:$C$1000,"="&amp;A7)/P7,0), "")</f>
        <v/>
      </c>
      <c r="AC7" s="81" t="str">
        <f>IF(A7&lt;&gt;"", IF(P7&lt;&gt;0,SUMIFS(node!$K$2:$K$1000, node!$C$2:$C$1000,"="&amp;A7)/P7,0), "")</f>
        <v/>
      </c>
      <c r="AD7" s="82" t="str">
        <f>IF(A7&lt;&gt;"", SUMIFS(node!$L$2:$L$1000, node!$C$2:$C$1000,"="&amp;A7), "")</f>
        <v/>
      </c>
      <c r="AE7" s="87" t="str">
        <f>IF(A7&lt;&gt;"", SUMIFS(node!$M$2:$M$1000, node!$C$2:$C$1000,"="&amp;A7), "")</f>
        <v/>
      </c>
    </row>
    <row r="8" spans="1:37" ht="15.75" x14ac:dyDescent="0.25">
      <c r="A8" s="71"/>
      <c r="B8" s="108" t="str">
        <f>IF(A8&lt;&gt;"", VLOOKUP(A8, node!$C$2:$D$1000, 2, FALSE), "")</f>
        <v/>
      </c>
      <c r="C8" s="109" t="str">
        <f>IF(A8&lt;&gt;"", VLOOKUP(A8, node!$C$2:$E$1000, 3, FALSE), "")</f>
        <v/>
      </c>
      <c r="D8" s="110" t="str">
        <f>IF(A8&lt;&gt;"",COUNTIFS(node!$C$2:$C$1000,"="&amp;A8, node!$C$2:$C$1000,"&lt;&gt;"&amp;""),"")</f>
        <v/>
      </c>
      <c r="E8" s="111" t="str">
        <f>IF(A8&lt;&gt;"",SUMIFS(node!$F$2:$F$500, node!$C$2:$C$500,"="&amp;A8, node!$C$2:$C$500,"&lt;&gt;"&amp;"")/(B8*D8),"")</f>
        <v/>
      </c>
      <c r="F8" s="112" t="str">
        <f>IF(A8&lt;&gt;"",SUMIFS(node!$H$2:$H$500, node!$C$2:$C$500,"="&amp;A8, node!$C$2:$C$500,"&lt;&gt;"&amp;"")/(C8*D8),"")</f>
        <v/>
      </c>
      <c r="G8" s="179" t="str">
        <f>IF(A8&lt;&gt;"",SUMIFS(deployment!$F$4:$F$502, deployment!$D$4:$D$502,"="&amp;A8, deployment!$D$4:$D$502,"&lt;&gt;"&amp;""),"")</f>
        <v/>
      </c>
      <c r="H8" s="181" t="str">
        <f>IF(A8&lt;&gt;"",SUMIFS(deployment!$G$4:$G$502, deployment!$D$4:$D$502,"="&amp;A8, deployment!$D$4:$D$502,"&lt;&gt;"&amp;""),"")</f>
        <v/>
      </c>
      <c r="I8" s="113" t="str">
        <f>IF(A8&lt;&gt;"",SUMIFS(deployment!$H$4:$H$502, deployment!$D$4:$D$502,"="&amp;A8, deployment!$D$4:$D$502,"&lt;&gt;"&amp;""),"")</f>
        <v/>
      </c>
      <c r="J8" s="114" t="str">
        <f>IF(A8&lt;&gt;"",SUMIFS(deployment!$I$4:$I$502, deployment!$D$4:$D$502,"="&amp;A8, deployment!$D$4:$D$502,"&lt;&gt;"&amp;""),"")</f>
        <v/>
      </c>
      <c r="K8" s="182" t="str">
        <f>IF(A8&lt;&gt;"",SUMIFS(deployment!$J$4:$J$1002, deployment!$D$4:$D$1002,"="&amp;A8, deployment!$D$4:$D$1002,"&lt;&gt;"&amp;"", deployment!$C$4:$C$1002, "&lt;&gt;* )")+SUMIFS(namespace!$G$4:$G$1002, namespace!$B$4:$B$1002,"="&amp;A8, namespace!$B$4:$B$1002,"&lt;&gt;"&amp;""),"")</f>
        <v/>
      </c>
      <c r="L8" s="182" t="str">
        <f>IF(A8&lt;&gt;"",SUMIFS(deployment!$K$4:$K$1002, deployment!$D$4:$D$1002,"="&amp;A8, deployment!$D$4:$D$1002,"&lt;&gt;"&amp;"", deployment!$C$4:$C$1002, "&lt;&gt;* )")+SUMIFS(namespace!$H$4:$H$1002, namespace!$B$4:$B$1002,"="&amp;A8, namespace!$B$4:$B$1002,"&lt;&gt;"&amp;""),"")</f>
        <v/>
      </c>
      <c r="M8" s="115" t="str">
        <f>IF(A8&lt;&gt;"",SUMIFS(deployment!$L$4:$L$1002, deployment!$D$4:$D$1002,"="&amp;A8, deployment!$D$4:$D$1002,"&lt;&gt;"&amp;"", deployment!$C$4:$C$1002, "&lt;&gt;* )")+SUMIFS(namespace!$I$4:$I$1002, namespace!$B$4:$B$1002,"="&amp;A8, namespace!$B$4:$B$1002,"&lt;&gt;"&amp;""),"")</f>
        <v/>
      </c>
      <c r="N8" s="115" t="str">
        <f>IF(A8&lt;&gt;"",SUMIFS(deployment!$M$4:$M$1002, deployment!$D$4:$D$1002,"="&amp;A8, deployment!$D$4:$D$1002,"&lt;&gt;"&amp;"", deployment!$C$4:$C$1002, "&lt;&gt;* )")+SUMIFS(namespace!$J$4:$J$1002, namespace!$B$4:$B$1002,"="&amp;A8, namespace!$B$4:$B$1002,"&lt;&gt;"&amp;""),"")</f>
        <v/>
      </c>
      <c r="O8" s="116" t="str">
        <f t="shared" si="7"/>
        <v/>
      </c>
      <c r="P8" s="59"/>
      <c r="Q8" s="164" t="str">
        <f t="shared" si="0"/>
        <v/>
      </c>
      <c r="R8" s="60" t="str">
        <f t="shared" si="1"/>
        <v/>
      </c>
      <c r="S8" s="60" t="str">
        <f t="shared" si="2"/>
        <v/>
      </c>
      <c r="T8" s="61" t="str">
        <f t="shared" si="3"/>
        <v/>
      </c>
      <c r="U8" s="61" t="str">
        <f t="shared" si="4"/>
        <v/>
      </c>
      <c r="V8" s="183" t="str">
        <f t="shared" si="8"/>
        <v/>
      </c>
      <c r="W8" s="183" t="str">
        <f t="shared" si="9"/>
        <v/>
      </c>
      <c r="X8" s="61" t="str">
        <f t="shared" si="10"/>
        <v/>
      </c>
      <c r="Y8" s="61" t="str">
        <f t="shared" si="11"/>
        <v/>
      </c>
      <c r="Z8" s="118" t="str">
        <f t="shared" si="12"/>
        <v/>
      </c>
      <c r="AA8" s="62" t="str">
        <f t="shared" si="13"/>
        <v/>
      </c>
      <c r="AB8" s="119" t="str">
        <f>IF(A8&lt;&gt;"", IF(P8&lt;&gt;0,SUMIFS(node!$J$2:$J$1000, node!$C$2:$C$1000,"="&amp;A8)/P8,0), "")</f>
        <v/>
      </c>
      <c r="AC8" s="81" t="str">
        <f>IF(A8&lt;&gt;"", IF(P8&lt;&gt;0,SUMIFS(node!$K$2:$K$1000, node!$C$2:$C$1000,"="&amp;A8)/P8,0), "")</f>
        <v/>
      </c>
      <c r="AD8" s="82" t="str">
        <f>IF(A8&lt;&gt;"", SUMIFS(node!$L$2:$L$1000, node!$C$2:$C$1000,"="&amp;A8), "")</f>
        <v/>
      </c>
      <c r="AE8" s="87" t="str">
        <f>IF(A8&lt;&gt;"", SUMIFS(node!$M$2:$M$1000, node!$C$2:$C$1000,"="&amp;A8), "")</f>
        <v/>
      </c>
    </row>
    <row r="9" spans="1:37" ht="15.75" x14ac:dyDescent="0.25">
      <c r="A9" s="71"/>
      <c r="B9" s="108" t="str">
        <f>IF(A9&lt;&gt;"", VLOOKUP(A9, node!$C$2:$D$1000, 2, FALSE), "")</f>
        <v/>
      </c>
      <c r="C9" s="109" t="str">
        <f>IF(A9&lt;&gt;"", VLOOKUP(A9, node!$C$2:$E$1000, 3, FALSE), "")</f>
        <v/>
      </c>
      <c r="D9" s="110" t="str">
        <f>IF(A9&lt;&gt;"",COUNTIFS(node!$C$2:$C$1000,"="&amp;A9, node!$C$2:$C$1000,"&lt;&gt;"&amp;""),"")</f>
        <v/>
      </c>
      <c r="E9" s="111" t="str">
        <f>IF(A9&lt;&gt;"",SUMIFS(node!$F$2:$F$500, node!$C$2:$C$500,"="&amp;A9, node!$C$2:$C$500,"&lt;&gt;"&amp;"")/(B9*D9),"")</f>
        <v/>
      </c>
      <c r="F9" s="112" t="str">
        <f>IF(A9&lt;&gt;"",SUMIFS(node!$H$2:$H$500, node!$C$2:$C$500,"="&amp;A9, node!$C$2:$C$500,"&lt;&gt;"&amp;"")/(C9*D9),"")</f>
        <v/>
      </c>
      <c r="G9" s="179" t="str">
        <f>IF(A9&lt;&gt;"",SUMIFS(deployment!$F$4:$F$502, deployment!$D$4:$D$502,"="&amp;A9, deployment!$D$4:$D$502,"&lt;&gt;"&amp;""),"")</f>
        <v/>
      </c>
      <c r="H9" s="181" t="str">
        <f>IF(A9&lt;&gt;"",SUMIFS(deployment!$G$4:$G$502, deployment!$D$4:$D$502,"="&amp;A9, deployment!$D$4:$D$502,"&lt;&gt;"&amp;""),"")</f>
        <v/>
      </c>
      <c r="I9" s="113" t="str">
        <f>IF(A9&lt;&gt;"",SUMIFS(deployment!$H$4:$H$502, deployment!$D$4:$D$502,"="&amp;A9, deployment!$D$4:$D$502,"&lt;&gt;"&amp;""),"")</f>
        <v/>
      </c>
      <c r="J9" s="114" t="str">
        <f>IF(A9&lt;&gt;"",SUMIFS(deployment!$I$4:$I$502, deployment!$D$4:$D$502,"="&amp;A9, deployment!$D$4:$D$502,"&lt;&gt;"&amp;""),"")</f>
        <v/>
      </c>
      <c r="K9" s="182" t="str">
        <f>IF(A9&lt;&gt;"",SUMIFS(deployment!$J$4:$J$1002, deployment!$D$4:$D$1002,"="&amp;A9, deployment!$D$4:$D$1002,"&lt;&gt;"&amp;"", deployment!$C$4:$C$1002, "&lt;&gt;* )")+SUMIFS(namespace!$G$4:$G$1002, namespace!$B$4:$B$1002,"="&amp;A9, namespace!$B$4:$B$1002,"&lt;&gt;"&amp;""),"")</f>
        <v/>
      </c>
      <c r="L9" s="182" t="str">
        <f>IF(A9&lt;&gt;"",SUMIFS(deployment!$K$4:$K$1002, deployment!$D$4:$D$1002,"="&amp;A9, deployment!$D$4:$D$1002,"&lt;&gt;"&amp;"", deployment!$C$4:$C$1002, "&lt;&gt;* )")+SUMIFS(namespace!$H$4:$H$1002, namespace!$B$4:$B$1002,"="&amp;A9, namespace!$B$4:$B$1002,"&lt;&gt;"&amp;""),"")</f>
        <v/>
      </c>
      <c r="M9" s="115" t="str">
        <f>IF(A9&lt;&gt;"",SUMIFS(deployment!$L$4:$L$1002, deployment!$D$4:$D$1002,"="&amp;A9, deployment!$D$4:$D$1002,"&lt;&gt;"&amp;"", deployment!$C$4:$C$1002, "&lt;&gt;* )")+SUMIFS(namespace!$I$4:$I$1002, namespace!$B$4:$B$1002,"="&amp;A9, namespace!$B$4:$B$1002,"&lt;&gt;"&amp;""),"")</f>
        <v/>
      </c>
      <c r="N9" s="115" t="str">
        <f>IF(A9&lt;&gt;"",SUMIFS(deployment!$M$4:$M$1002, deployment!$D$4:$D$1002,"="&amp;A9, deployment!$D$4:$D$1002,"&lt;&gt;"&amp;"", deployment!$C$4:$C$1002, "&lt;&gt;* )")+SUMIFS(namespace!$J$4:$J$1002, namespace!$B$4:$B$1002,"="&amp;A9, namespace!$B$4:$B$1002,"&lt;&gt;"&amp;""),"")</f>
        <v/>
      </c>
      <c r="O9" s="116" t="str">
        <f t="shared" si="7"/>
        <v/>
      </c>
      <c r="P9" s="59"/>
      <c r="Q9" s="164" t="str">
        <f t="shared" si="0"/>
        <v/>
      </c>
      <c r="R9" s="60" t="str">
        <f t="shared" si="1"/>
        <v/>
      </c>
      <c r="S9" s="60" t="str">
        <f t="shared" si="2"/>
        <v/>
      </c>
      <c r="T9" s="61" t="str">
        <f t="shared" si="3"/>
        <v/>
      </c>
      <c r="U9" s="61" t="str">
        <f t="shared" si="4"/>
        <v/>
      </c>
      <c r="V9" s="183" t="str">
        <f t="shared" si="8"/>
        <v/>
      </c>
      <c r="W9" s="183" t="str">
        <f t="shared" si="9"/>
        <v/>
      </c>
      <c r="X9" s="61" t="str">
        <f t="shared" si="10"/>
        <v/>
      </c>
      <c r="Y9" s="61" t="str">
        <f t="shared" si="11"/>
        <v/>
      </c>
      <c r="Z9" s="118" t="str">
        <f t="shared" si="12"/>
        <v/>
      </c>
      <c r="AA9" s="62" t="str">
        <f t="shared" si="13"/>
        <v/>
      </c>
      <c r="AB9" s="119" t="str">
        <f>IF(A9&lt;&gt;"", IF(P9&lt;&gt;0,SUMIFS(node!$J$2:$J$1000, node!$C$2:$C$1000,"="&amp;A9)/P9,0), "")</f>
        <v/>
      </c>
      <c r="AC9" s="81" t="str">
        <f>IF(A9&lt;&gt;"", IF(P9&lt;&gt;0,SUMIFS(node!$K$2:$K$1000, node!$C$2:$C$1000,"="&amp;A9)/P9,0), "")</f>
        <v/>
      </c>
      <c r="AD9" s="82" t="str">
        <f>IF(A9&lt;&gt;"", SUMIFS(node!$L$2:$L$1000, node!$C$2:$C$1000,"="&amp;A9), "")</f>
        <v/>
      </c>
      <c r="AE9" s="87" t="str">
        <f>IF(A9&lt;&gt;"", SUMIFS(node!$M$2:$M$1000, node!$C$2:$C$1000,"="&amp;A9), "")</f>
        <v/>
      </c>
    </row>
    <row r="10" spans="1:37" ht="15.75" x14ac:dyDescent="0.25">
      <c r="A10" s="71"/>
      <c r="B10" s="108" t="str">
        <f>IF(A10&lt;&gt;"", VLOOKUP(A10, node!$C$2:$D$1000, 2, FALSE), "")</f>
        <v/>
      </c>
      <c r="C10" s="109" t="str">
        <f>IF(A10&lt;&gt;"", VLOOKUP(A10, node!$C$2:$E$1000, 3, FALSE), "")</f>
        <v/>
      </c>
      <c r="D10" s="110" t="str">
        <f>IF(A10&lt;&gt;"",COUNTIFS(node!$C$2:$C$1000,"="&amp;A10, node!$C$2:$C$1000,"&lt;&gt;"&amp;""),"")</f>
        <v/>
      </c>
      <c r="E10" s="111" t="str">
        <f>IF(A10&lt;&gt;"",SUMIFS(node!$F$2:$F$500, node!$C$2:$C$500,"="&amp;A10, node!$C$2:$C$500,"&lt;&gt;"&amp;"")/(B10*D10),"")</f>
        <v/>
      </c>
      <c r="F10" s="112" t="str">
        <f>IF(A10&lt;&gt;"",SUMIFS(node!$H$2:$H$500, node!$C$2:$C$500,"="&amp;A10, node!$C$2:$C$500,"&lt;&gt;"&amp;"")/(C10*D10),"")</f>
        <v/>
      </c>
      <c r="G10" s="179" t="str">
        <f>IF(A10&lt;&gt;"",SUMIFS(deployment!$F$4:$F$502, deployment!$D$4:$D$502,"="&amp;A10, deployment!$D$4:$D$502,"&lt;&gt;"&amp;""),"")</f>
        <v/>
      </c>
      <c r="H10" s="181" t="str">
        <f>IF(A10&lt;&gt;"",SUMIFS(deployment!$G$4:$G$502, deployment!$D$4:$D$502,"="&amp;A10, deployment!$D$4:$D$502,"&lt;&gt;"&amp;""),"")</f>
        <v/>
      </c>
      <c r="I10" s="113" t="str">
        <f>IF(A10&lt;&gt;"",SUMIFS(deployment!$H$4:$H$502, deployment!$D$4:$D$502,"="&amp;A10, deployment!$D$4:$D$502,"&lt;&gt;"&amp;""),"")</f>
        <v/>
      </c>
      <c r="J10" s="114" t="str">
        <f>IF(A10&lt;&gt;"",SUMIFS(deployment!$I$4:$I$502, deployment!$D$4:$D$502,"="&amp;A10, deployment!$D$4:$D$502,"&lt;&gt;"&amp;""),"")</f>
        <v/>
      </c>
      <c r="K10" s="182" t="str">
        <f>IF(A10&lt;&gt;"",SUMIFS(deployment!$J$4:$J$1002, deployment!$D$4:$D$1002,"="&amp;A10, deployment!$D$4:$D$1002,"&lt;&gt;"&amp;"", deployment!$C$4:$C$1002, "&lt;&gt;* )")+SUMIFS(namespace!$G$4:$G$1002, namespace!$B$4:$B$1002,"="&amp;A10, namespace!$B$4:$B$1002,"&lt;&gt;"&amp;""),"")</f>
        <v/>
      </c>
      <c r="L10" s="182" t="str">
        <f>IF(A10&lt;&gt;"",SUMIFS(deployment!$K$4:$K$1002, deployment!$D$4:$D$1002,"="&amp;A10, deployment!$D$4:$D$1002,"&lt;&gt;"&amp;"", deployment!$C$4:$C$1002, "&lt;&gt;* )")+SUMIFS(namespace!$H$4:$H$1002, namespace!$B$4:$B$1002,"="&amp;A10, namespace!$B$4:$B$1002,"&lt;&gt;"&amp;""),"")</f>
        <v/>
      </c>
      <c r="M10" s="115" t="str">
        <f>IF(A10&lt;&gt;"",SUMIFS(deployment!$L$4:$L$1002, deployment!$D$4:$D$1002,"="&amp;A10, deployment!$D$4:$D$1002,"&lt;&gt;"&amp;"", deployment!$C$4:$C$1002, "&lt;&gt;* )")+SUMIFS(namespace!$I$4:$I$1002, namespace!$B$4:$B$1002,"="&amp;A10, namespace!$B$4:$B$1002,"&lt;&gt;"&amp;""),"")</f>
        <v/>
      </c>
      <c r="N10" s="115" t="str">
        <f>IF(A10&lt;&gt;"",SUMIFS(deployment!$M$4:$M$1002, deployment!$D$4:$D$1002,"="&amp;A10, deployment!$D$4:$D$1002,"&lt;&gt;"&amp;"", deployment!$C$4:$C$1002, "&lt;&gt;* )")+SUMIFS(namespace!$J$4:$J$1002, namespace!$B$4:$B$1002,"="&amp;A10, namespace!$B$4:$B$1002,"&lt;&gt;"&amp;""),"")</f>
        <v/>
      </c>
      <c r="O10" s="116" t="str">
        <f t="shared" si="7"/>
        <v/>
      </c>
      <c r="P10" s="59"/>
      <c r="Q10" s="164" t="str">
        <f t="shared" si="0"/>
        <v/>
      </c>
      <c r="R10" s="60" t="str">
        <f t="shared" si="1"/>
        <v/>
      </c>
      <c r="S10" s="60" t="str">
        <f t="shared" si="2"/>
        <v/>
      </c>
      <c r="T10" s="61" t="str">
        <f t="shared" si="3"/>
        <v/>
      </c>
      <c r="U10" s="61" t="str">
        <f t="shared" si="4"/>
        <v/>
      </c>
      <c r="V10" s="183" t="str">
        <f t="shared" si="8"/>
        <v/>
      </c>
      <c r="W10" s="183" t="str">
        <f t="shared" si="9"/>
        <v/>
      </c>
      <c r="X10" s="61" t="str">
        <f t="shared" si="10"/>
        <v/>
      </c>
      <c r="Y10" s="61" t="str">
        <f t="shared" si="11"/>
        <v/>
      </c>
      <c r="Z10" s="118" t="str">
        <f t="shared" si="12"/>
        <v/>
      </c>
      <c r="AA10" s="62" t="str">
        <f t="shared" si="13"/>
        <v/>
      </c>
      <c r="AB10" s="119" t="str">
        <f>IF(A10&lt;&gt;"", IF(P10&lt;&gt;0,SUMIFS(node!$J$2:$J$1000, node!$C$2:$C$1000,"="&amp;A10)/P10,0), "")</f>
        <v/>
      </c>
      <c r="AC10" s="81" t="str">
        <f>IF(A10&lt;&gt;"", IF(P10&lt;&gt;0,SUMIFS(node!$K$2:$K$1000, node!$C$2:$C$1000,"="&amp;A10)/P10,0), "")</f>
        <v/>
      </c>
      <c r="AD10" s="82" t="str">
        <f>IF(A10&lt;&gt;"", SUMIFS(node!$L$2:$L$1000, node!$C$2:$C$1000,"="&amp;A10), "")</f>
        <v/>
      </c>
      <c r="AE10" s="87" t="str">
        <f>IF(A10&lt;&gt;"", SUMIFS(node!$M$2:$M$1000, node!$C$2:$C$1000,"="&amp;A10), "")</f>
        <v/>
      </c>
    </row>
    <row r="11" spans="1:37" s="7" customFormat="1" ht="15.75" x14ac:dyDescent="0.25">
      <c r="A11" s="71"/>
      <c r="B11" s="108" t="str">
        <f>IF(A11&lt;&gt;"", VLOOKUP(A11, node!$C$2:$D$1000, 2, FALSE), "")</f>
        <v/>
      </c>
      <c r="C11" s="109" t="str">
        <f>IF(A11&lt;&gt;"", VLOOKUP(A11, node!$C$2:$E$1000, 3, FALSE), "")</f>
        <v/>
      </c>
      <c r="D11" s="110" t="str">
        <f>IF(A11&lt;&gt;"",COUNTIFS(node!$C$2:$C$1000,"="&amp;A11, node!$C$2:$C$1000,"&lt;&gt;"&amp;""),"")</f>
        <v/>
      </c>
      <c r="E11" s="111" t="str">
        <f>IF(A11&lt;&gt;"",SUMIFS(node!$F$2:$F$500, node!$C$2:$C$500,"="&amp;A11, node!$C$2:$C$500,"&lt;&gt;"&amp;"")/(B11*D11),"")</f>
        <v/>
      </c>
      <c r="F11" s="112" t="str">
        <f>IF(A11&lt;&gt;"",SUMIFS(node!$H$2:$H$500, node!$C$2:$C$500,"="&amp;A11, node!$C$2:$C$500,"&lt;&gt;"&amp;"")/(C11*D11),"")</f>
        <v/>
      </c>
      <c r="G11" s="179" t="str">
        <f>IF(A11&lt;&gt;"",SUMIFS(deployment!$F$4:$F$502, deployment!$D$4:$D$502,"="&amp;A11, deployment!$D$4:$D$502,"&lt;&gt;"&amp;""),"")</f>
        <v/>
      </c>
      <c r="H11" s="181" t="str">
        <f>IF(A11&lt;&gt;"",SUMIFS(deployment!$G$4:$G$502, deployment!$D$4:$D$502,"="&amp;A11, deployment!$D$4:$D$502,"&lt;&gt;"&amp;""),"")</f>
        <v/>
      </c>
      <c r="I11" s="113" t="str">
        <f>IF(A11&lt;&gt;"",SUMIFS(deployment!$H$4:$H$502, deployment!$D$4:$D$502,"="&amp;A11, deployment!$D$4:$D$502,"&lt;&gt;"&amp;""),"")</f>
        <v/>
      </c>
      <c r="J11" s="114" t="str">
        <f>IF(A11&lt;&gt;"",SUMIFS(deployment!$I$4:$I$502, deployment!$D$4:$D$502,"="&amp;A11, deployment!$D$4:$D$502,"&lt;&gt;"&amp;""),"")</f>
        <v/>
      </c>
      <c r="K11" s="182" t="str">
        <f>IF(A11&lt;&gt;"",SUMIFS(deployment!$J$4:$J$1002, deployment!$D$4:$D$1002,"="&amp;A11, deployment!$D$4:$D$1002,"&lt;&gt;"&amp;"", deployment!$C$4:$C$1002, "&lt;&gt;* )")+SUMIFS(namespace!$G$4:$G$1002, namespace!$B$4:$B$1002,"="&amp;A11, namespace!$B$4:$B$1002,"&lt;&gt;"&amp;""),"")</f>
        <v/>
      </c>
      <c r="L11" s="182" t="str">
        <f>IF(A11&lt;&gt;"",SUMIFS(deployment!$K$4:$K$1002, deployment!$D$4:$D$1002,"="&amp;A11, deployment!$D$4:$D$1002,"&lt;&gt;"&amp;"", deployment!$C$4:$C$1002, "&lt;&gt;* )")+SUMIFS(namespace!$H$4:$H$1002, namespace!$B$4:$B$1002,"="&amp;A11, namespace!$B$4:$B$1002,"&lt;&gt;"&amp;""),"")</f>
        <v/>
      </c>
      <c r="M11" s="115" t="str">
        <f>IF(A11&lt;&gt;"",SUMIFS(deployment!$L$4:$L$1002, deployment!$D$4:$D$1002,"="&amp;A11, deployment!$D$4:$D$1002,"&lt;&gt;"&amp;"", deployment!$C$4:$C$1002, "&lt;&gt;* )")+SUMIFS(namespace!$I$4:$I$1002, namespace!$B$4:$B$1002,"="&amp;A11, namespace!$B$4:$B$1002,"&lt;&gt;"&amp;""),"")</f>
        <v/>
      </c>
      <c r="N11" s="115" t="str">
        <f>IF(A11&lt;&gt;"",SUMIFS(deployment!$M$4:$M$1002, deployment!$D$4:$D$1002,"="&amp;A11, deployment!$D$4:$D$1002,"&lt;&gt;"&amp;"", deployment!$C$4:$C$1002, "&lt;&gt;* )")+SUMIFS(namespace!$J$4:$J$1002, namespace!$B$4:$B$1002,"="&amp;A11, namespace!$B$4:$B$1002,"&lt;&gt;"&amp;""),"")</f>
        <v/>
      </c>
      <c r="O11" s="116" t="str">
        <f t="shared" si="7"/>
        <v/>
      </c>
      <c r="P11" s="59"/>
      <c r="Q11" s="164" t="str">
        <f t="shared" si="0"/>
        <v/>
      </c>
      <c r="R11" s="60" t="str">
        <f t="shared" si="1"/>
        <v/>
      </c>
      <c r="S11" s="60" t="str">
        <f t="shared" si="2"/>
        <v/>
      </c>
      <c r="T11" s="61" t="str">
        <f t="shared" si="3"/>
        <v/>
      </c>
      <c r="U11" s="61" t="str">
        <f t="shared" si="4"/>
        <v/>
      </c>
      <c r="V11" s="183" t="str">
        <f t="shared" si="8"/>
        <v/>
      </c>
      <c r="W11" s="183" t="str">
        <f t="shared" si="9"/>
        <v/>
      </c>
      <c r="X11" s="61" t="str">
        <f t="shared" si="10"/>
        <v/>
      </c>
      <c r="Y11" s="61" t="str">
        <f t="shared" si="11"/>
        <v/>
      </c>
      <c r="Z11" s="118" t="str">
        <f t="shared" si="12"/>
        <v/>
      </c>
      <c r="AA11" s="62" t="str">
        <f t="shared" si="13"/>
        <v/>
      </c>
      <c r="AB11" s="119" t="str">
        <f>IF(A11&lt;&gt;"", IF(P11&lt;&gt;0,SUMIFS(node!$J$2:$J$1000, node!$C$2:$C$1000,"="&amp;A11)/P11,0), "")</f>
        <v/>
      </c>
      <c r="AC11" s="81" t="str">
        <f>IF(A11&lt;&gt;"", IF(P11&lt;&gt;0,SUMIFS(node!$K$2:$K$1000, node!$C$2:$C$1000,"="&amp;A11)/P11,0), "")</f>
        <v/>
      </c>
      <c r="AD11" s="82" t="str">
        <f>IF(A11&lt;&gt;"", SUMIFS(node!$L$2:$L$1000, node!$C$2:$C$1000,"="&amp;A11), "")</f>
        <v/>
      </c>
      <c r="AE11" s="87" t="str">
        <f>IF(A11&lt;&gt;"", SUMIFS(node!$M$2:$M$1000, node!$C$2:$C$1000,"="&amp;A11), "")</f>
        <v/>
      </c>
    </row>
    <row r="12" spans="1:37" ht="15" customHeight="1" x14ac:dyDescent="0.25">
      <c r="A12" s="71"/>
      <c r="B12" s="108" t="str">
        <f>IF(A12&lt;&gt;"", VLOOKUP(A12, node!$C$2:$D$1000, 2, FALSE), "")</f>
        <v/>
      </c>
      <c r="C12" s="109" t="str">
        <f>IF(A12&lt;&gt;"", VLOOKUP(A12, node!$C$2:$E$1000, 3, FALSE), "")</f>
        <v/>
      </c>
      <c r="D12" s="110" t="str">
        <f>IF(A12&lt;&gt;"",COUNTIFS(node!$C$2:$C$1000,"="&amp;A12, node!$C$2:$C$1000,"&lt;&gt;"&amp;""),"")</f>
        <v/>
      </c>
      <c r="E12" s="111" t="str">
        <f>IF(A12&lt;&gt;"",SUMIFS(node!$F$2:$F$500, node!$C$2:$C$500,"="&amp;A12, node!$C$2:$C$500,"&lt;&gt;"&amp;"")/(B12*D12),"")</f>
        <v/>
      </c>
      <c r="F12" s="112" t="str">
        <f>IF(A12&lt;&gt;"",SUMIFS(node!$H$2:$H$500, node!$C$2:$C$500,"="&amp;A12, node!$C$2:$C$500,"&lt;&gt;"&amp;"")/(C12*D12),"")</f>
        <v/>
      </c>
      <c r="G12" s="179" t="str">
        <f>IF(A12&lt;&gt;"",SUMIFS(deployment!$F$4:$F$502, deployment!$D$4:$D$502,"="&amp;A12, deployment!$D$4:$D$502,"&lt;&gt;"&amp;""),"")</f>
        <v/>
      </c>
      <c r="H12" s="181" t="str">
        <f>IF(A12&lt;&gt;"",SUMIFS(deployment!$G$4:$G$502, deployment!$D$4:$D$502,"="&amp;A12, deployment!$D$4:$D$502,"&lt;&gt;"&amp;""),"")</f>
        <v/>
      </c>
      <c r="I12" s="113" t="str">
        <f>IF(A12&lt;&gt;"",SUMIFS(deployment!$H$4:$H$502, deployment!$D$4:$D$502,"="&amp;A12, deployment!$D$4:$D$502,"&lt;&gt;"&amp;""),"")</f>
        <v/>
      </c>
      <c r="J12" s="114" t="str">
        <f>IF(A12&lt;&gt;"",SUMIFS(deployment!$I$4:$I$502, deployment!$D$4:$D$502,"="&amp;A12, deployment!$D$4:$D$502,"&lt;&gt;"&amp;""),"")</f>
        <v/>
      </c>
      <c r="K12" s="182" t="str">
        <f>IF(A12&lt;&gt;"",SUMIFS(deployment!$J$4:$J$1002, deployment!$D$4:$D$1002,"="&amp;A12, deployment!$D$4:$D$1002,"&lt;&gt;"&amp;"", deployment!$C$4:$C$1002, "&lt;&gt;* )")+SUMIFS(namespace!$G$4:$G$1002, namespace!$B$4:$B$1002,"="&amp;A12, namespace!$B$4:$B$1002,"&lt;&gt;"&amp;""),"")</f>
        <v/>
      </c>
      <c r="L12" s="182" t="str">
        <f>IF(A12&lt;&gt;"",SUMIFS(deployment!$K$4:$K$1002, deployment!$D$4:$D$1002,"="&amp;A12, deployment!$D$4:$D$1002,"&lt;&gt;"&amp;"", deployment!$C$4:$C$1002, "&lt;&gt;* )")+SUMIFS(namespace!$H$4:$H$1002, namespace!$B$4:$B$1002,"="&amp;A12, namespace!$B$4:$B$1002,"&lt;&gt;"&amp;""),"")</f>
        <v/>
      </c>
      <c r="M12" s="115" t="str">
        <f>IF(A12&lt;&gt;"",SUMIFS(deployment!$L$4:$L$1002, deployment!$D$4:$D$1002,"="&amp;A12, deployment!$D$4:$D$1002,"&lt;&gt;"&amp;"", deployment!$C$4:$C$1002, "&lt;&gt;* )")+SUMIFS(namespace!$I$4:$I$1002, namespace!$B$4:$B$1002,"="&amp;A12, namespace!$B$4:$B$1002,"&lt;&gt;"&amp;""),"")</f>
        <v/>
      </c>
      <c r="N12" s="115" t="str">
        <f>IF(A12&lt;&gt;"",SUMIFS(deployment!$M$4:$M$1002, deployment!$D$4:$D$1002,"="&amp;A12, deployment!$D$4:$D$1002,"&lt;&gt;"&amp;"", deployment!$C$4:$C$1002, "&lt;&gt;* )")+SUMIFS(namespace!$J$4:$J$1002, namespace!$B$4:$B$1002,"="&amp;A12, namespace!$B$4:$B$1002,"&lt;&gt;"&amp;""),"")</f>
        <v/>
      </c>
      <c r="O12" s="116" t="str">
        <f t="shared" si="7"/>
        <v/>
      </c>
      <c r="P12" s="63"/>
      <c r="Q12" s="164" t="str">
        <f t="shared" si="0"/>
        <v/>
      </c>
      <c r="R12" s="60" t="str">
        <f t="shared" si="1"/>
        <v/>
      </c>
      <c r="S12" s="60" t="str">
        <f t="shared" si="2"/>
        <v/>
      </c>
      <c r="T12" s="61" t="str">
        <f t="shared" si="3"/>
        <v/>
      </c>
      <c r="U12" s="61" t="str">
        <f t="shared" si="4"/>
        <v/>
      </c>
      <c r="V12" s="183" t="str">
        <f t="shared" si="8"/>
        <v/>
      </c>
      <c r="W12" s="183" t="str">
        <f t="shared" si="9"/>
        <v/>
      </c>
      <c r="X12" s="61" t="str">
        <f t="shared" si="10"/>
        <v/>
      </c>
      <c r="Y12" s="61" t="str">
        <f t="shared" si="11"/>
        <v/>
      </c>
      <c r="Z12" s="118" t="str">
        <f t="shared" si="12"/>
        <v/>
      </c>
      <c r="AA12" s="62" t="str">
        <f t="shared" si="13"/>
        <v/>
      </c>
      <c r="AB12" s="119" t="str">
        <f>IF(A12&lt;&gt;"", IF(P12&lt;&gt;0,SUMIFS(node!$J$2:$J$1000, node!$C$2:$C$1000,"="&amp;A12)/P12,0), "")</f>
        <v/>
      </c>
      <c r="AC12" s="81" t="str">
        <f>IF(A12&lt;&gt;"", IF(P12&lt;&gt;0,SUMIFS(node!$K$2:$K$1000, node!$C$2:$C$1000,"="&amp;A12)/P12,0), "")</f>
        <v/>
      </c>
      <c r="AD12" s="82" t="str">
        <f>IF(A12&lt;&gt;"", SUMIFS(node!$L$2:$L$1000, node!$C$2:$C$1000,"="&amp;A12), "")</f>
        <v/>
      </c>
      <c r="AE12" s="87" t="str">
        <f>IF(A12&lt;&gt;"", SUMIFS(node!$M$2:$M$1000, node!$C$2:$C$1000,"="&amp;A12), "")</f>
        <v/>
      </c>
    </row>
    <row r="13" spans="1:37" ht="15.75" x14ac:dyDescent="0.25">
      <c r="A13" s="71"/>
      <c r="B13" s="108" t="str">
        <f>IF(A13&lt;&gt;"", VLOOKUP(A13, node!$C$2:$D$1000, 2, FALSE), "")</f>
        <v/>
      </c>
      <c r="C13" s="109" t="str">
        <f>IF(A13&lt;&gt;"", VLOOKUP(A13, node!$C$2:$E$1000, 3, FALSE), "")</f>
        <v/>
      </c>
      <c r="D13" s="110" t="str">
        <f>IF(A13&lt;&gt;"",COUNTIFS(node!$C$2:$C$1000,"="&amp;A13, node!$C$2:$C$1000,"&lt;&gt;"&amp;""),"")</f>
        <v/>
      </c>
      <c r="E13" s="111" t="str">
        <f>IF(A13&lt;&gt;"",SUMIFS(node!$F$2:$F$500, node!$C$2:$C$500,"="&amp;A13, node!$C$2:$C$500,"&lt;&gt;"&amp;"")/(B13*D13),"")</f>
        <v/>
      </c>
      <c r="F13" s="112" t="str">
        <f>IF(A13&lt;&gt;"",SUMIFS(node!$H$2:$H$500, node!$C$2:$C$500,"="&amp;A13, node!$C$2:$C$500,"&lt;&gt;"&amp;"")/(C13*D13),"")</f>
        <v/>
      </c>
      <c r="G13" s="179" t="str">
        <f>IF(A13&lt;&gt;"",SUMIFS(deployment!$F$4:$F$502, deployment!$D$4:$D$502,"="&amp;A13, deployment!$D$4:$D$502,"&lt;&gt;"&amp;""),"")</f>
        <v/>
      </c>
      <c r="H13" s="181" t="str">
        <f>IF(A13&lt;&gt;"",SUMIFS(deployment!$G$4:$G$502, deployment!$D$4:$D$502,"="&amp;A13, deployment!$D$4:$D$502,"&lt;&gt;"&amp;""),"")</f>
        <v/>
      </c>
      <c r="I13" s="113" t="str">
        <f>IF(A13&lt;&gt;"",SUMIFS(deployment!$H$4:$H$502, deployment!$D$4:$D$502,"="&amp;A13, deployment!$D$4:$D$502,"&lt;&gt;"&amp;""),"")</f>
        <v/>
      </c>
      <c r="J13" s="114" t="str">
        <f>IF(A13&lt;&gt;"",SUMIFS(deployment!$I$4:$I$502, deployment!$D$4:$D$502,"="&amp;A13, deployment!$D$4:$D$502,"&lt;&gt;"&amp;""),"")</f>
        <v/>
      </c>
      <c r="K13" s="182" t="str">
        <f>IF(A13&lt;&gt;"",SUMIFS(deployment!$J$4:$J$1002, deployment!$D$4:$D$1002,"="&amp;A13, deployment!$D$4:$D$1002,"&lt;&gt;"&amp;"", deployment!$C$4:$C$1002, "&lt;&gt;* )")+SUMIFS(namespace!$G$4:$G$1002, namespace!$B$4:$B$1002,"="&amp;A13, namespace!$B$4:$B$1002,"&lt;&gt;"&amp;""),"")</f>
        <v/>
      </c>
      <c r="L13" s="182" t="str">
        <f>IF(A13&lt;&gt;"",SUMIFS(deployment!$K$4:$K$1002, deployment!$D$4:$D$1002,"="&amp;A13, deployment!$D$4:$D$1002,"&lt;&gt;"&amp;"", deployment!$C$4:$C$1002, "&lt;&gt;* )")+SUMIFS(namespace!$H$4:$H$1002, namespace!$B$4:$B$1002,"="&amp;A13, namespace!$B$4:$B$1002,"&lt;&gt;"&amp;""),"")</f>
        <v/>
      </c>
      <c r="M13" s="115" t="str">
        <f>IF(A13&lt;&gt;"",SUMIFS(deployment!$L$4:$L$1002, deployment!$D$4:$D$1002,"="&amp;A13, deployment!$D$4:$D$1002,"&lt;&gt;"&amp;"", deployment!$C$4:$C$1002, "&lt;&gt;* )")+SUMIFS(namespace!$I$4:$I$1002, namespace!$B$4:$B$1002,"="&amp;A13, namespace!$B$4:$B$1002,"&lt;&gt;"&amp;""),"")</f>
        <v/>
      </c>
      <c r="N13" s="115" t="str">
        <f>IF(A13&lt;&gt;"",SUMIFS(deployment!$M$4:$M$1002, deployment!$D$4:$D$1002,"="&amp;A13, deployment!$D$4:$D$1002,"&lt;&gt;"&amp;"", deployment!$C$4:$C$1002, "&lt;&gt;* )")+SUMIFS(namespace!$J$4:$J$1002, namespace!$B$4:$B$1002,"="&amp;A13, namespace!$B$4:$B$1002,"&lt;&gt;"&amp;""),"")</f>
        <v/>
      </c>
      <c r="O13" s="116" t="str">
        <f t="shared" si="7"/>
        <v/>
      </c>
      <c r="P13" s="63"/>
      <c r="Q13" s="164" t="str">
        <f t="shared" si="0"/>
        <v/>
      </c>
      <c r="R13" s="60" t="str">
        <f t="shared" si="1"/>
        <v/>
      </c>
      <c r="S13" s="60" t="str">
        <f t="shared" si="2"/>
        <v/>
      </c>
      <c r="T13" s="61" t="str">
        <f t="shared" si="3"/>
        <v/>
      </c>
      <c r="U13" s="61" t="str">
        <f t="shared" si="4"/>
        <v/>
      </c>
      <c r="V13" s="183" t="str">
        <f t="shared" si="8"/>
        <v/>
      </c>
      <c r="W13" s="183" t="str">
        <f t="shared" si="9"/>
        <v/>
      </c>
      <c r="X13" s="61" t="str">
        <f t="shared" si="10"/>
        <v/>
      </c>
      <c r="Y13" s="61" t="str">
        <f t="shared" si="11"/>
        <v/>
      </c>
      <c r="Z13" s="118" t="str">
        <f t="shared" si="12"/>
        <v/>
      </c>
      <c r="AA13" s="62" t="str">
        <f t="shared" si="13"/>
        <v/>
      </c>
      <c r="AB13" s="119" t="str">
        <f>IF(A13&lt;&gt;"", IF(P13&lt;&gt;0,SUMIFS(node!$J$2:$J$1000, node!$C$2:$C$1000,"="&amp;A13)/P13,0), "")</f>
        <v/>
      </c>
      <c r="AC13" s="81" t="str">
        <f>IF(A13&lt;&gt;"", IF(P13&lt;&gt;0,SUMIFS(node!$K$2:$K$1000, node!$C$2:$C$1000,"="&amp;A13)/P13,0), "")</f>
        <v/>
      </c>
      <c r="AD13" s="82" t="str">
        <f>IF(A13&lt;&gt;"", SUMIFS(node!$L$2:$L$1000, node!$C$2:$C$1000,"="&amp;A13), "")</f>
        <v/>
      </c>
      <c r="AE13" s="87" t="str">
        <f>IF(A13&lt;&gt;"", SUMIFS(node!$M$2:$M$1000, node!$C$2:$C$1000,"="&amp;A13), "")</f>
        <v/>
      </c>
    </row>
    <row r="14" spans="1:37" ht="15" customHeight="1" x14ac:dyDescent="0.25">
      <c r="A14" s="71"/>
      <c r="B14" s="108" t="str">
        <f>IF(A14&lt;&gt;"", VLOOKUP(A14, node!$C$2:$D$1000, 2, FALSE), "")</f>
        <v/>
      </c>
      <c r="C14" s="109" t="str">
        <f>IF(A14&lt;&gt;"", VLOOKUP(A14, node!$C$2:$E$1000, 3, FALSE), "")</f>
        <v/>
      </c>
      <c r="D14" s="110" t="str">
        <f>IF(A14&lt;&gt;"",COUNTIFS(node!$C$2:$C$1000,"="&amp;A14, node!$C$2:$C$1000,"&lt;&gt;"&amp;""),"")</f>
        <v/>
      </c>
      <c r="E14" s="111" t="str">
        <f>IF(A14&lt;&gt;"",SUMIFS(node!$F$2:$F$500, node!$C$2:$C$500,"="&amp;A14, node!$C$2:$C$500,"&lt;&gt;"&amp;"")/(B14*D14),"")</f>
        <v/>
      </c>
      <c r="F14" s="112" t="str">
        <f>IF(A14&lt;&gt;"",SUMIFS(node!$H$2:$H$500, node!$C$2:$C$500,"="&amp;A14, node!$C$2:$C$500,"&lt;&gt;"&amp;"")/(C14*D14),"")</f>
        <v/>
      </c>
      <c r="G14" s="179" t="str">
        <f>IF(A14&lt;&gt;"",SUMIFS(deployment!$F$4:$F$502, deployment!$D$4:$D$502,"="&amp;A14, deployment!$D$4:$D$502,"&lt;&gt;"&amp;""),"")</f>
        <v/>
      </c>
      <c r="H14" s="181" t="str">
        <f>IF(A14&lt;&gt;"",SUMIFS(deployment!$G$4:$G$502, deployment!$D$4:$D$502,"="&amp;A14, deployment!$D$4:$D$502,"&lt;&gt;"&amp;""),"")</f>
        <v/>
      </c>
      <c r="I14" s="113" t="str">
        <f>IF(A14&lt;&gt;"",SUMIFS(deployment!$H$4:$H$502, deployment!$D$4:$D$502,"="&amp;A14, deployment!$D$4:$D$502,"&lt;&gt;"&amp;""),"")</f>
        <v/>
      </c>
      <c r="J14" s="114" t="str">
        <f>IF(A14&lt;&gt;"",SUMIFS(deployment!$I$4:$I$502, deployment!$D$4:$D$502,"="&amp;A14, deployment!$D$4:$D$502,"&lt;&gt;"&amp;""),"")</f>
        <v/>
      </c>
      <c r="K14" s="182" t="str">
        <f>IF(A14&lt;&gt;"",SUMIFS(deployment!$J$4:$J$1002, deployment!$D$4:$D$1002,"="&amp;A14, deployment!$D$4:$D$1002,"&lt;&gt;"&amp;"", deployment!$C$4:$C$1002, "&lt;&gt;* )")+SUMIFS(namespace!$G$4:$G$1002, namespace!$B$4:$B$1002,"="&amp;A14, namespace!$B$4:$B$1002,"&lt;&gt;"&amp;""),"")</f>
        <v/>
      </c>
      <c r="L14" s="182" t="str">
        <f>IF(A14&lt;&gt;"",SUMIFS(deployment!$K$4:$K$1002, deployment!$D$4:$D$1002,"="&amp;A14, deployment!$D$4:$D$1002,"&lt;&gt;"&amp;"", deployment!$C$4:$C$1002, "&lt;&gt;* )")+SUMIFS(namespace!$H$4:$H$1002, namespace!$B$4:$B$1002,"="&amp;A14, namespace!$B$4:$B$1002,"&lt;&gt;"&amp;""),"")</f>
        <v/>
      </c>
      <c r="M14" s="115" t="str">
        <f>IF(A14&lt;&gt;"",SUMIFS(deployment!$L$4:$L$1002, deployment!$D$4:$D$1002,"="&amp;A14, deployment!$D$4:$D$1002,"&lt;&gt;"&amp;"", deployment!$C$4:$C$1002, "&lt;&gt;* )")+SUMIFS(namespace!$I$4:$I$1002, namespace!$B$4:$B$1002,"="&amp;A14, namespace!$B$4:$B$1002,"&lt;&gt;"&amp;""),"")</f>
        <v/>
      </c>
      <c r="N14" s="115" t="str">
        <f>IF(A14&lt;&gt;"",SUMIFS(deployment!$M$4:$M$1002, deployment!$D$4:$D$1002,"="&amp;A14, deployment!$D$4:$D$1002,"&lt;&gt;"&amp;"", deployment!$C$4:$C$1002, "&lt;&gt;* )")+SUMIFS(namespace!$J$4:$J$1002, namespace!$B$4:$B$1002,"="&amp;A14, namespace!$B$4:$B$1002,"&lt;&gt;"&amp;""),"")</f>
        <v/>
      </c>
      <c r="O14" s="116" t="str">
        <f t="shared" si="7"/>
        <v/>
      </c>
      <c r="P14" s="63"/>
      <c r="Q14" s="164" t="str">
        <f t="shared" si="0"/>
        <v/>
      </c>
      <c r="R14" s="60" t="str">
        <f t="shared" si="1"/>
        <v/>
      </c>
      <c r="S14" s="60" t="str">
        <f t="shared" si="2"/>
        <v/>
      </c>
      <c r="T14" s="61" t="str">
        <f t="shared" si="3"/>
        <v/>
      </c>
      <c r="U14" s="61" t="str">
        <f t="shared" si="4"/>
        <v/>
      </c>
      <c r="V14" s="183" t="str">
        <f t="shared" si="8"/>
        <v/>
      </c>
      <c r="W14" s="183" t="str">
        <f t="shared" si="9"/>
        <v/>
      </c>
      <c r="X14" s="61" t="str">
        <f t="shared" si="10"/>
        <v/>
      </c>
      <c r="Y14" s="61" t="str">
        <f t="shared" si="11"/>
        <v/>
      </c>
      <c r="Z14" s="118" t="str">
        <f t="shared" si="12"/>
        <v/>
      </c>
      <c r="AA14" s="62" t="str">
        <f t="shared" si="13"/>
        <v/>
      </c>
      <c r="AB14" s="119" t="str">
        <f>IF(A14&lt;&gt;"", IF(P14&lt;&gt;0,SUMIFS(node!$J$2:$J$1000, node!$C$2:$C$1000,"="&amp;A14)/P14,0), "")</f>
        <v/>
      </c>
      <c r="AC14" s="81" t="str">
        <f>IF(A14&lt;&gt;"", IF(P14&lt;&gt;0,SUMIFS(node!$K$2:$K$1000, node!$C$2:$C$1000,"="&amp;A14)/P14,0), "")</f>
        <v/>
      </c>
      <c r="AD14" s="82" t="str">
        <f>IF(A14&lt;&gt;"", SUMIFS(node!$L$2:$L$1000, node!$C$2:$C$1000,"="&amp;A14), "")</f>
        <v/>
      </c>
      <c r="AE14" s="87" t="str">
        <f>IF(A14&lt;&gt;"", SUMIFS(node!$M$2:$M$1000, node!$C$2:$C$1000,"="&amp;A14), "")</f>
        <v/>
      </c>
    </row>
    <row r="15" spans="1:37" ht="15" customHeight="1" x14ac:dyDescent="0.25">
      <c r="A15" s="71"/>
      <c r="B15" s="108" t="str">
        <f>IF(A15&lt;&gt;"", VLOOKUP(A15, node!$C$2:$D$1000, 2, FALSE), "")</f>
        <v/>
      </c>
      <c r="C15" s="109" t="str">
        <f>IF(A15&lt;&gt;"", VLOOKUP(A15, node!$C$2:$E$1000, 3, FALSE), "")</f>
        <v/>
      </c>
      <c r="D15" s="110" t="str">
        <f>IF(A15&lt;&gt;"",COUNTIFS(node!$C$2:$C$1000,"="&amp;A15, node!$C$2:$C$1000,"&lt;&gt;"&amp;""),"")</f>
        <v/>
      </c>
      <c r="E15" s="111" t="str">
        <f>IF(A15&lt;&gt;"",SUMIFS(node!$F$2:$F$500, node!$C$2:$C$500,"="&amp;A15, node!$C$2:$C$500,"&lt;&gt;"&amp;"")/(B15*D15),"")</f>
        <v/>
      </c>
      <c r="F15" s="112" t="str">
        <f>IF(A15&lt;&gt;"",SUMIFS(node!$H$2:$H$500, node!$C$2:$C$500,"="&amp;A15, node!$C$2:$C$500,"&lt;&gt;"&amp;"")/(C15*D15),"")</f>
        <v/>
      </c>
      <c r="G15" s="179" t="str">
        <f>IF(A15&lt;&gt;"",SUMIFS(deployment!$F$4:$F$502, deployment!$D$4:$D$502,"="&amp;A15, deployment!$D$4:$D$502,"&lt;&gt;"&amp;""),"")</f>
        <v/>
      </c>
      <c r="H15" s="181" t="str">
        <f>IF(A15&lt;&gt;"",SUMIFS(deployment!$G$4:$G$502, deployment!$D$4:$D$502,"="&amp;A15, deployment!$D$4:$D$502,"&lt;&gt;"&amp;""),"")</f>
        <v/>
      </c>
      <c r="I15" s="113" t="str">
        <f>IF(A15&lt;&gt;"",SUMIFS(deployment!$H$4:$H$502, deployment!$D$4:$D$502,"="&amp;A15, deployment!$D$4:$D$502,"&lt;&gt;"&amp;""),"")</f>
        <v/>
      </c>
      <c r="J15" s="114" t="str">
        <f>IF(A15&lt;&gt;"",SUMIFS(deployment!$I$4:$I$502, deployment!$D$4:$D$502,"="&amp;A15, deployment!$D$4:$D$502,"&lt;&gt;"&amp;""),"")</f>
        <v/>
      </c>
      <c r="K15" s="182" t="str">
        <f>IF(A15&lt;&gt;"",SUMIFS(deployment!$J$4:$J$1002, deployment!$D$4:$D$1002,"="&amp;A15, deployment!$D$4:$D$1002,"&lt;&gt;"&amp;"", deployment!$C$4:$C$1002, "&lt;&gt;* )")+SUMIFS(namespace!$G$4:$G$1002, namespace!$B$4:$B$1002,"="&amp;A15, namespace!$B$4:$B$1002,"&lt;&gt;"&amp;""),"")</f>
        <v/>
      </c>
      <c r="L15" s="182" t="str">
        <f>IF(A15&lt;&gt;"",SUMIFS(deployment!$K$4:$K$1002, deployment!$D$4:$D$1002,"="&amp;A15, deployment!$D$4:$D$1002,"&lt;&gt;"&amp;"", deployment!$C$4:$C$1002, "&lt;&gt;* )")+SUMIFS(namespace!$H$4:$H$1002, namespace!$B$4:$B$1002,"="&amp;A15, namespace!$B$4:$B$1002,"&lt;&gt;"&amp;""),"")</f>
        <v/>
      </c>
      <c r="M15" s="115" t="str">
        <f>IF(A15&lt;&gt;"",SUMIFS(deployment!$L$4:$L$1002, deployment!$D$4:$D$1002,"="&amp;A15, deployment!$D$4:$D$1002,"&lt;&gt;"&amp;"", deployment!$C$4:$C$1002, "&lt;&gt;* )")+SUMIFS(namespace!$I$4:$I$1002, namespace!$B$4:$B$1002,"="&amp;A15, namespace!$B$4:$B$1002,"&lt;&gt;"&amp;""),"")</f>
        <v/>
      </c>
      <c r="N15" s="115" t="str">
        <f>IF(A15&lt;&gt;"",SUMIFS(deployment!$M$4:$M$1002, deployment!$D$4:$D$1002,"="&amp;A15, deployment!$D$4:$D$1002,"&lt;&gt;"&amp;"", deployment!$C$4:$C$1002, "&lt;&gt;* )")+SUMIFS(namespace!$J$4:$J$1002, namespace!$B$4:$B$1002,"="&amp;A15, namespace!$B$4:$B$1002,"&lt;&gt;"&amp;""),"")</f>
        <v/>
      </c>
      <c r="O15" s="116" t="str">
        <f t="shared" si="7"/>
        <v/>
      </c>
      <c r="P15" s="63"/>
      <c r="Q15" s="164" t="str">
        <f t="shared" si="0"/>
        <v/>
      </c>
      <c r="R15" s="60" t="str">
        <f t="shared" si="1"/>
        <v/>
      </c>
      <c r="S15" s="60" t="str">
        <f t="shared" si="2"/>
        <v/>
      </c>
      <c r="T15" s="61" t="str">
        <f t="shared" si="3"/>
        <v/>
      </c>
      <c r="U15" s="61" t="str">
        <f t="shared" si="4"/>
        <v/>
      </c>
      <c r="V15" s="183" t="str">
        <f t="shared" si="8"/>
        <v/>
      </c>
      <c r="W15" s="183" t="str">
        <f t="shared" si="9"/>
        <v/>
      </c>
      <c r="X15" s="61" t="str">
        <f t="shared" si="10"/>
        <v/>
      </c>
      <c r="Y15" s="61" t="str">
        <f t="shared" si="11"/>
        <v/>
      </c>
      <c r="Z15" s="118" t="str">
        <f t="shared" si="12"/>
        <v/>
      </c>
      <c r="AA15" s="62" t="str">
        <f t="shared" si="13"/>
        <v/>
      </c>
      <c r="AB15" s="119" t="str">
        <f>IF(A15&lt;&gt;"", IF(P15&lt;&gt;0,SUMIFS(node!$J$2:$J$1000, node!$C$2:$C$1000,"="&amp;A15)/P15,0), "")</f>
        <v/>
      </c>
      <c r="AC15" s="81" t="str">
        <f>IF(A15&lt;&gt;"", IF(P15&lt;&gt;0,SUMIFS(node!$K$2:$K$1000, node!$C$2:$C$1000,"="&amp;A15)/P15,0), "")</f>
        <v/>
      </c>
      <c r="AD15" s="82" t="str">
        <f>IF(A15&lt;&gt;"", SUMIFS(node!$L$2:$L$1000, node!$C$2:$C$1000,"="&amp;A15), "")</f>
        <v/>
      </c>
      <c r="AE15" s="87" t="str">
        <f>IF(A15&lt;&gt;"", SUMIFS(node!$M$2:$M$1000, node!$C$2:$C$1000,"="&amp;A15), "")</f>
        <v/>
      </c>
    </row>
    <row r="16" spans="1:37" ht="15" customHeight="1" x14ac:dyDescent="0.25">
      <c r="A16" s="71"/>
      <c r="B16" s="108" t="str">
        <f>IF(A16&lt;&gt;"", VLOOKUP(A16, node!$C$2:$D$1000, 2, FALSE), "")</f>
        <v/>
      </c>
      <c r="C16" s="109" t="str">
        <f>IF(A16&lt;&gt;"", VLOOKUP(A16, node!$C$2:$E$1000, 3, FALSE), "")</f>
        <v/>
      </c>
      <c r="D16" s="110" t="str">
        <f>IF(A16&lt;&gt;"",COUNTIFS(node!$C$2:$C$1000,"="&amp;A16, node!$C$2:$C$1000,"&lt;&gt;"&amp;""),"")</f>
        <v/>
      </c>
      <c r="E16" s="111" t="str">
        <f>IF(A16&lt;&gt;"",SUMIFS(node!$F$2:$F$500, node!$C$2:$C$500,"="&amp;A16, node!$C$2:$C$500,"&lt;&gt;"&amp;"")/(B16*D16),"")</f>
        <v/>
      </c>
      <c r="F16" s="112" t="str">
        <f>IF(A16&lt;&gt;"",SUMIFS(node!$H$2:$H$500, node!$C$2:$C$500,"="&amp;A16, node!$C$2:$C$500,"&lt;&gt;"&amp;"")/(C16*D16),"")</f>
        <v/>
      </c>
      <c r="G16" s="179" t="str">
        <f>IF(A16&lt;&gt;"",SUMIFS(deployment!$F$4:$F$502, deployment!$D$4:$D$502,"="&amp;A16, deployment!$D$4:$D$502,"&lt;&gt;"&amp;""),"")</f>
        <v/>
      </c>
      <c r="H16" s="181" t="str">
        <f>IF(A16&lt;&gt;"",SUMIFS(deployment!$G$4:$G$502, deployment!$D$4:$D$502,"="&amp;A16, deployment!$D$4:$D$502,"&lt;&gt;"&amp;""),"")</f>
        <v/>
      </c>
      <c r="I16" s="113" t="str">
        <f>IF(A16&lt;&gt;"",SUMIFS(deployment!$H$4:$H$502, deployment!$D$4:$D$502,"="&amp;A16, deployment!$D$4:$D$502,"&lt;&gt;"&amp;""),"")</f>
        <v/>
      </c>
      <c r="J16" s="114" t="str">
        <f>IF(A16&lt;&gt;"",SUMIFS(deployment!$I$4:$I$502, deployment!$D$4:$D$502,"="&amp;A16, deployment!$D$4:$D$502,"&lt;&gt;"&amp;""),"")</f>
        <v/>
      </c>
      <c r="K16" s="182" t="str">
        <f>IF(A16&lt;&gt;"",SUMIFS(deployment!$J$4:$J$1002, deployment!$D$4:$D$1002,"="&amp;A16, deployment!$D$4:$D$1002,"&lt;&gt;"&amp;"", deployment!$C$4:$C$1002, "&lt;&gt;* )")+SUMIFS(namespace!$G$4:$G$1002, namespace!$B$4:$B$1002,"="&amp;A16, namespace!$B$4:$B$1002,"&lt;&gt;"&amp;""),"")</f>
        <v/>
      </c>
      <c r="L16" s="182" t="str">
        <f>IF(A16&lt;&gt;"",SUMIFS(deployment!$K$4:$K$1002, deployment!$D$4:$D$1002,"="&amp;A16, deployment!$D$4:$D$1002,"&lt;&gt;"&amp;"", deployment!$C$4:$C$1002, "&lt;&gt;* )")+SUMIFS(namespace!$H$4:$H$1002, namespace!$B$4:$B$1002,"="&amp;A16, namespace!$B$4:$B$1002,"&lt;&gt;"&amp;""),"")</f>
        <v/>
      </c>
      <c r="M16" s="115" t="str">
        <f>IF(A16&lt;&gt;"",SUMIFS(deployment!$L$4:$L$1002, deployment!$D$4:$D$1002,"="&amp;A16, deployment!$D$4:$D$1002,"&lt;&gt;"&amp;"", deployment!$C$4:$C$1002, "&lt;&gt;* )")+SUMIFS(namespace!$I$4:$I$1002, namespace!$B$4:$B$1002,"="&amp;A16, namespace!$B$4:$B$1002,"&lt;&gt;"&amp;""),"")</f>
        <v/>
      </c>
      <c r="N16" s="115" t="str">
        <f>IF(A16&lt;&gt;"",SUMIFS(deployment!$M$4:$M$1002, deployment!$D$4:$D$1002,"="&amp;A16, deployment!$D$4:$D$1002,"&lt;&gt;"&amp;"", deployment!$C$4:$C$1002, "&lt;&gt;* )")+SUMIFS(namespace!$J$4:$J$1002, namespace!$B$4:$B$1002,"="&amp;A16, namespace!$B$4:$B$1002,"&lt;&gt;"&amp;""),"")</f>
        <v/>
      </c>
      <c r="O16" s="116" t="str">
        <f t="shared" si="7"/>
        <v/>
      </c>
      <c r="P16" s="63"/>
      <c r="Q16" s="164" t="str">
        <f t="shared" si="0"/>
        <v/>
      </c>
      <c r="R16" s="60" t="str">
        <f t="shared" si="1"/>
        <v/>
      </c>
      <c r="S16" s="60" t="str">
        <f t="shared" si="2"/>
        <v/>
      </c>
      <c r="T16" s="61" t="str">
        <f t="shared" si="3"/>
        <v/>
      </c>
      <c r="U16" s="61" t="str">
        <f t="shared" si="4"/>
        <v/>
      </c>
      <c r="V16" s="183" t="str">
        <f t="shared" si="8"/>
        <v/>
      </c>
      <c r="W16" s="183" t="str">
        <f t="shared" si="9"/>
        <v/>
      </c>
      <c r="X16" s="61" t="str">
        <f t="shared" si="10"/>
        <v/>
      </c>
      <c r="Y16" s="61" t="str">
        <f t="shared" si="11"/>
        <v/>
      </c>
      <c r="Z16" s="118" t="str">
        <f t="shared" si="12"/>
        <v/>
      </c>
      <c r="AA16" s="62" t="str">
        <f t="shared" si="13"/>
        <v/>
      </c>
      <c r="AB16" s="119" t="str">
        <f>IF(A16&lt;&gt;"", IF(P16&lt;&gt;0,SUMIFS(node!$J$2:$J$1000, node!$C$2:$C$1000,"="&amp;A16)/P16,0), "")</f>
        <v/>
      </c>
      <c r="AC16" s="81" t="str">
        <f>IF(A16&lt;&gt;"", IF(P16&lt;&gt;0,SUMIFS(node!$K$2:$K$1000, node!$C$2:$C$1000,"="&amp;A16)/P16,0), "")</f>
        <v/>
      </c>
      <c r="AD16" s="82" t="str">
        <f>IF(A16&lt;&gt;"", SUMIFS(node!$L$2:$L$1000, node!$C$2:$C$1000,"="&amp;A16), "")</f>
        <v/>
      </c>
      <c r="AE16" s="87" t="str">
        <f>IF(A16&lt;&gt;"", SUMIFS(node!$M$2:$M$1000, node!$C$2:$C$1000,"="&amp;A16), "")</f>
        <v/>
      </c>
    </row>
    <row r="17" spans="1:31" ht="15" customHeight="1" x14ac:dyDescent="0.25">
      <c r="A17" s="71"/>
      <c r="B17" s="108" t="str">
        <f>IF(A17&lt;&gt;"", VLOOKUP(A17, node!$C$2:$D$1000, 2, FALSE), "")</f>
        <v/>
      </c>
      <c r="C17" s="109" t="str">
        <f>IF(A17&lt;&gt;"", VLOOKUP(A17, node!$C$2:$E$1000, 3, FALSE), "")</f>
        <v/>
      </c>
      <c r="D17" s="110" t="str">
        <f>IF(A17&lt;&gt;"",COUNTIFS(node!$C$2:$C$1000,"="&amp;A17, node!$C$2:$C$1000,"&lt;&gt;"&amp;""),"")</f>
        <v/>
      </c>
      <c r="E17" s="111" t="str">
        <f>IF(A17&lt;&gt;"",SUMIFS(node!$F$2:$F$500, node!$C$2:$C$500,"="&amp;A17, node!$C$2:$C$500,"&lt;&gt;"&amp;"")/(B17*D17),"")</f>
        <v/>
      </c>
      <c r="F17" s="112" t="str">
        <f>IF(A17&lt;&gt;"",SUMIFS(node!$H$2:$H$500, node!$C$2:$C$500,"="&amp;A17, node!$C$2:$C$500,"&lt;&gt;"&amp;"")/(C17*D17),"")</f>
        <v/>
      </c>
      <c r="G17" s="179" t="str">
        <f>IF(A17&lt;&gt;"",SUMIFS(deployment!$F$4:$F$502, deployment!$D$4:$D$502,"="&amp;A17, deployment!$D$4:$D$502,"&lt;&gt;"&amp;""),"")</f>
        <v/>
      </c>
      <c r="H17" s="181" t="str">
        <f>IF(A17&lt;&gt;"",SUMIFS(deployment!$G$4:$G$502, deployment!$D$4:$D$502,"="&amp;A17, deployment!$D$4:$D$502,"&lt;&gt;"&amp;""),"")</f>
        <v/>
      </c>
      <c r="I17" s="113" t="str">
        <f>IF(A17&lt;&gt;"",SUMIFS(deployment!$H$4:$H$502, deployment!$D$4:$D$502,"="&amp;A17, deployment!$D$4:$D$502,"&lt;&gt;"&amp;""),"")</f>
        <v/>
      </c>
      <c r="J17" s="114" t="str">
        <f>IF(A17&lt;&gt;"",SUMIFS(deployment!$I$4:$I$502, deployment!$D$4:$D$502,"="&amp;A17, deployment!$D$4:$D$502,"&lt;&gt;"&amp;""),"")</f>
        <v/>
      </c>
      <c r="K17" s="182" t="str">
        <f>IF(A17&lt;&gt;"",SUMIFS(deployment!$J$4:$J$1002, deployment!$D$4:$D$1002,"="&amp;A17, deployment!$D$4:$D$1002,"&lt;&gt;"&amp;"", deployment!$C$4:$C$1002, "&lt;&gt;* )")+SUMIFS(namespace!$G$4:$G$1002, namespace!$B$4:$B$1002,"="&amp;A17, namespace!$B$4:$B$1002,"&lt;&gt;"&amp;""),"")</f>
        <v/>
      </c>
      <c r="L17" s="182" t="str">
        <f>IF(A17&lt;&gt;"",SUMIFS(deployment!$K$4:$K$1002, deployment!$D$4:$D$1002,"="&amp;A17, deployment!$D$4:$D$1002,"&lt;&gt;"&amp;"", deployment!$C$4:$C$1002, "&lt;&gt;* )")+SUMIFS(namespace!$H$4:$H$1002, namespace!$B$4:$B$1002,"="&amp;A17, namespace!$B$4:$B$1002,"&lt;&gt;"&amp;""),"")</f>
        <v/>
      </c>
      <c r="M17" s="115" t="str">
        <f>IF(A17&lt;&gt;"",SUMIFS(deployment!$L$4:$L$1002, deployment!$D$4:$D$1002,"="&amp;A17, deployment!$D$4:$D$1002,"&lt;&gt;"&amp;"", deployment!$C$4:$C$1002, "&lt;&gt;* )")+SUMIFS(namespace!$I$4:$I$1002, namespace!$B$4:$B$1002,"="&amp;A17, namespace!$B$4:$B$1002,"&lt;&gt;"&amp;""),"")</f>
        <v/>
      </c>
      <c r="N17" s="115" t="str">
        <f>IF(A17&lt;&gt;"",SUMIFS(deployment!$M$4:$M$1002, deployment!$D$4:$D$1002,"="&amp;A17, deployment!$D$4:$D$1002,"&lt;&gt;"&amp;"", deployment!$C$4:$C$1002, "&lt;&gt;* )")+SUMIFS(namespace!$J$4:$J$1002, namespace!$B$4:$B$1002,"="&amp;A17, namespace!$B$4:$B$1002,"&lt;&gt;"&amp;""),"")</f>
        <v/>
      </c>
      <c r="O17" s="116" t="str">
        <f t="shared" si="7"/>
        <v/>
      </c>
      <c r="P17" s="63"/>
      <c r="Q17" s="164" t="str">
        <f t="shared" si="0"/>
        <v/>
      </c>
      <c r="R17" s="60" t="str">
        <f t="shared" si="1"/>
        <v/>
      </c>
      <c r="S17" s="60" t="str">
        <f t="shared" si="2"/>
        <v/>
      </c>
      <c r="T17" s="61" t="str">
        <f t="shared" si="3"/>
        <v/>
      </c>
      <c r="U17" s="61" t="str">
        <f t="shared" si="4"/>
        <v/>
      </c>
      <c r="V17" s="183" t="str">
        <f t="shared" si="8"/>
        <v/>
      </c>
      <c r="W17" s="183" t="str">
        <f t="shared" si="9"/>
        <v/>
      </c>
      <c r="X17" s="61" t="str">
        <f t="shared" si="10"/>
        <v/>
      </c>
      <c r="Y17" s="61" t="str">
        <f t="shared" si="11"/>
        <v/>
      </c>
      <c r="Z17" s="118" t="str">
        <f t="shared" si="12"/>
        <v/>
      </c>
      <c r="AA17" s="62" t="str">
        <f t="shared" si="13"/>
        <v/>
      </c>
      <c r="AB17" s="119" t="str">
        <f>IF(A17&lt;&gt;"", IF(P17&lt;&gt;0,SUMIFS(node!$J$2:$J$1000, node!$C$2:$C$1000,"="&amp;A17)/P17,0), "")</f>
        <v/>
      </c>
      <c r="AC17" s="81" t="str">
        <f>IF(A17&lt;&gt;"", IF(P17&lt;&gt;0,SUMIFS(node!$K$2:$K$1000, node!$C$2:$C$1000,"="&amp;A17)/P17,0), "")</f>
        <v/>
      </c>
      <c r="AD17" s="82" t="str">
        <f>IF(A17&lt;&gt;"", SUMIFS(node!$L$2:$L$1000, node!$C$2:$C$1000,"="&amp;A17), "")</f>
        <v/>
      </c>
      <c r="AE17" s="87" t="str">
        <f>IF(A17&lt;&gt;"", SUMIFS(node!$M$2:$M$1000, node!$C$2:$C$1000,"="&amp;A17), "")</f>
        <v/>
      </c>
    </row>
    <row r="18" spans="1:31" ht="15" customHeight="1" x14ac:dyDescent="0.25">
      <c r="A18" s="71"/>
      <c r="B18" s="108" t="str">
        <f>IF(A18&lt;&gt;"", VLOOKUP(A18, node!$C$2:$D$1000, 2, FALSE), "")</f>
        <v/>
      </c>
      <c r="C18" s="109" t="str">
        <f>IF(A18&lt;&gt;"", VLOOKUP(A18, node!$C$2:$E$1000, 3, FALSE), "")</f>
        <v/>
      </c>
      <c r="D18" s="110" t="str">
        <f>IF(A18&lt;&gt;"",COUNTIFS(node!$C$2:$C$1000,"="&amp;A18, node!$C$2:$C$1000,"&lt;&gt;"&amp;""),"")</f>
        <v/>
      </c>
      <c r="E18" s="111" t="str">
        <f>IF(A18&lt;&gt;"",SUMIFS(node!$F$2:$F$500, node!$C$2:$C$500,"="&amp;A18, node!$C$2:$C$500,"&lt;&gt;"&amp;"")/(B18*D18),"")</f>
        <v/>
      </c>
      <c r="F18" s="112" t="str">
        <f>IF(A18&lt;&gt;"",SUMIFS(node!$H$2:$H$500, node!$C$2:$C$500,"="&amp;A18, node!$C$2:$C$500,"&lt;&gt;"&amp;"")/(C18*D18),"")</f>
        <v/>
      </c>
      <c r="G18" s="179" t="str">
        <f>IF(A18&lt;&gt;"",SUMIFS(deployment!$F$4:$F$502, deployment!$D$4:$D$502,"="&amp;A18, deployment!$D$4:$D$502,"&lt;&gt;"&amp;""),"")</f>
        <v/>
      </c>
      <c r="H18" s="181" t="str">
        <f>IF(A18&lt;&gt;"",SUMIFS(deployment!$G$4:$G$502, deployment!$D$4:$D$502,"="&amp;A18, deployment!$D$4:$D$502,"&lt;&gt;"&amp;""),"")</f>
        <v/>
      </c>
      <c r="I18" s="113" t="str">
        <f>IF(A18&lt;&gt;"",SUMIFS(deployment!$H$4:$H$502, deployment!$D$4:$D$502,"="&amp;A18, deployment!$D$4:$D$502,"&lt;&gt;"&amp;""),"")</f>
        <v/>
      </c>
      <c r="J18" s="114" t="str">
        <f>IF(A18&lt;&gt;"",SUMIFS(deployment!$I$4:$I$502, deployment!$D$4:$D$502,"="&amp;A18, deployment!$D$4:$D$502,"&lt;&gt;"&amp;""),"")</f>
        <v/>
      </c>
      <c r="K18" s="182" t="str">
        <f>IF(A18&lt;&gt;"",SUMIFS(deployment!$J$4:$J$1002, deployment!$D$4:$D$1002,"="&amp;A18, deployment!$D$4:$D$1002,"&lt;&gt;"&amp;"", deployment!$C$4:$C$1002, "&lt;&gt;* )")+SUMIFS(namespace!$G$4:$G$1002, namespace!$B$4:$B$1002,"="&amp;A18, namespace!$B$4:$B$1002,"&lt;&gt;"&amp;""),"")</f>
        <v/>
      </c>
      <c r="L18" s="182" t="str">
        <f>IF(A18&lt;&gt;"",SUMIFS(deployment!$K$4:$K$1002, deployment!$D$4:$D$1002,"="&amp;A18, deployment!$D$4:$D$1002,"&lt;&gt;"&amp;"", deployment!$C$4:$C$1002, "&lt;&gt;* )")+SUMIFS(namespace!$H$4:$H$1002, namespace!$B$4:$B$1002,"="&amp;A18, namespace!$B$4:$B$1002,"&lt;&gt;"&amp;""),"")</f>
        <v/>
      </c>
      <c r="M18" s="115" t="str">
        <f>IF(A18&lt;&gt;"",SUMIFS(deployment!$L$4:$L$1002, deployment!$D$4:$D$1002,"="&amp;A18, deployment!$D$4:$D$1002,"&lt;&gt;"&amp;"", deployment!$C$4:$C$1002, "&lt;&gt;* )")+SUMIFS(namespace!$I$4:$I$1002, namespace!$B$4:$B$1002,"="&amp;A18, namespace!$B$4:$B$1002,"&lt;&gt;"&amp;""),"")</f>
        <v/>
      </c>
      <c r="N18" s="115" t="str">
        <f>IF(A18&lt;&gt;"",SUMIFS(deployment!$M$4:$M$1002, deployment!$D$4:$D$1002,"="&amp;A18, deployment!$D$4:$D$1002,"&lt;&gt;"&amp;"", deployment!$C$4:$C$1002, "&lt;&gt;* )")+SUMIFS(namespace!$J$4:$J$1002, namespace!$B$4:$B$1002,"="&amp;A18, namespace!$B$4:$B$1002,"&lt;&gt;"&amp;""),"")</f>
        <v/>
      </c>
      <c r="O18" s="116" t="str">
        <f t="shared" si="7"/>
        <v/>
      </c>
      <c r="P18" s="63"/>
      <c r="Q18" s="164" t="str">
        <f t="shared" si="0"/>
        <v/>
      </c>
      <c r="R18" s="60" t="str">
        <f t="shared" si="1"/>
        <v/>
      </c>
      <c r="S18" s="60" t="str">
        <f t="shared" si="2"/>
        <v/>
      </c>
      <c r="T18" s="61" t="str">
        <f t="shared" si="3"/>
        <v/>
      </c>
      <c r="U18" s="61" t="str">
        <f t="shared" si="4"/>
        <v/>
      </c>
      <c r="V18" s="183" t="str">
        <f t="shared" si="8"/>
        <v/>
      </c>
      <c r="W18" s="183" t="str">
        <f t="shared" si="9"/>
        <v/>
      </c>
      <c r="X18" s="61" t="str">
        <f t="shared" si="10"/>
        <v/>
      </c>
      <c r="Y18" s="61" t="str">
        <f t="shared" si="11"/>
        <v/>
      </c>
      <c r="Z18" s="118" t="str">
        <f t="shared" si="12"/>
        <v/>
      </c>
      <c r="AA18" s="62" t="str">
        <f t="shared" si="13"/>
        <v/>
      </c>
      <c r="AB18" s="119" t="str">
        <f>IF(A18&lt;&gt;"", IF(P18&lt;&gt;0,SUMIFS(node!$J$2:$J$1000, node!$C$2:$C$1000,"="&amp;A18)/P18,0), "")</f>
        <v/>
      </c>
      <c r="AC18" s="81" t="str">
        <f>IF(A18&lt;&gt;"", IF(P18&lt;&gt;0,SUMIFS(node!$K$2:$K$1000, node!$C$2:$C$1000,"="&amp;A18)/P18,0), "")</f>
        <v/>
      </c>
      <c r="AD18" s="82" t="str">
        <f>IF(A18&lt;&gt;"", SUMIFS(node!$L$2:$L$1000, node!$C$2:$C$1000,"="&amp;A18), "")</f>
        <v/>
      </c>
      <c r="AE18" s="87" t="str">
        <f>IF(A18&lt;&gt;"", SUMIFS(node!$M$2:$M$1000, node!$C$2:$C$1000,"="&amp;A18), "")</f>
        <v/>
      </c>
    </row>
    <row r="19" spans="1:31" ht="15" customHeight="1" x14ac:dyDescent="0.25">
      <c r="A19" s="71"/>
      <c r="B19" s="108" t="str">
        <f>IF(A19&lt;&gt;"", VLOOKUP(A19, node!$C$2:$D$1000, 2, FALSE), "")</f>
        <v/>
      </c>
      <c r="C19" s="109" t="str">
        <f>IF(A19&lt;&gt;"", VLOOKUP(A19, node!$C$2:$E$1000, 3, FALSE), "")</f>
        <v/>
      </c>
      <c r="D19" s="110" t="str">
        <f>IF(A19&lt;&gt;"",COUNTIFS(node!$C$2:$C$1000,"="&amp;A19, node!$C$2:$C$1000,"&lt;&gt;"&amp;""),"")</f>
        <v/>
      </c>
      <c r="E19" s="111" t="str">
        <f>IF(A19&lt;&gt;"",SUMIFS(node!$F$2:$F$500, node!$C$2:$C$500,"="&amp;A19, node!$C$2:$C$500,"&lt;&gt;"&amp;"")/(B19*D19),"")</f>
        <v/>
      </c>
      <c r="F19" s="112" t="str">
        <f>IF(A19&lt;&gt;"",SUMIFS(node!$H$2:$H$500, node!$C$2:$C$500,"="&amp;A19, node!$C$2:$C$500,"&lt;&gt;"&amp;"")/(C19*D19),"")</f>
        <v/>
      </c>
      <c r="G19" s="179" t="str">
        <f>IF(A19&lt;&gt;"",SUMIFS(deployment!$F$4:$F$502, deployment!$D$4:$D$502,"="&amp;A19, deployment!$D$4:$D$502,"&lt;&gt;"&amp;""),"")</f>
        <v/>
      </c>
      <c r="H19" s="181" t="str">
        <f>IF(A19&lt;&gt;"",SUMIFS(deployment!$G$4:$G$502, deployment!$D$4:$D$502,"="&amp;A19, deployment!$D$4:$D$502,"&lt;&gt;"&amp;""),"")</f>
        <v/>
      </c>
      <c r="I19" s="113" t="str">
        <f>IF(A19&lt;&gt;"",SUMIFS(deployment!$H$4:$H$502, deployment!$D$4:$D$502,"="&amp;A19, deployment!$D$4:$D$502,"&lt;&gt;"&amp;""),"")</f>
        <v/>
      </c>
      <c r="J19" s="114" t="str">
        <f>IF(A19&lt;&gt;"",SUMIFS(deployment!$I$4:$I$502, deployment!$D$4:$D$502,"="&amp;A19, deployment!$D$4:$D$502,"&lt;&gt;"&amp;""),"")</f>
        <v/>
      </c>
      <c r="K19" s="182" t="str">
        <f>IF(A19&lt;&gt;"",SUMIFS(deployment!$J$4:$J$1002, deployment!$D$4:$D$1002,"="&amp;A19, deployment!$D$4:$D$1002,"&lt;&gt;"&amp;"", deployment!$C$4:$C$1002, "&lt;&gt;* )")+SUMIFS(namespace!$G$4:$G$1002, namespace!$B$4:$B$1002,"="&amp;A19, namespace!$B$4:$B$1002,"&lt;&gt;"&amp;""),"")</f>
        <v/>
      </c>
      <c r="L19" s="182" t="str">
        <f>IF(A19&lt;&gt;"",SUMIFS(deployment!$K$4:$K$1002, deployment!$D$4:$D$1002,"="&amp;A19, deployment!$D$4:$D$1002,"&lt;&gt;"&amp;"", deployment!$C$4:$C$1002, "&lt;&gt;* )")+SUMIFS(namespace!$H$4:$H$1002, namespace!$B$4:$B$1002,"="&amp;A19, namespace!$B$4:$B$1002,"&lt;&gt;"&amp;""),"")</f>
        <v/>
      </c>
      <c r="M19" s="115" t="str">
        <f>IF(A19&lt;&gt;"",SUMIFS(deployment!$L$4:$L$1002, deployment!$D$4:$D$1002,"="&amp;A19, deployment!$D$4:$D$1002,"&lt;&gt;"&amp;"", deployment!$C$4:$C$1002, "&lt;&gt;* )")+SUMIFS(namespace!$I$4:$I$1002, namespace!$B$4:$B$1002,"="&amp;A19, namespace!$B$4:$B$1002,"&lt;&gt;"&amp;""),"")</f>
        <v/>
      </c>
      <c r="N19" s="115" t="str">
        <f>IF(A19&lt;&gt;"",SUMIFS(deployment!$M$4:$M$1002, deployment!$D$4:$D$1002,"="&amp;A19, deployment!$D$4:$D$1002,"&lt;&gt;"&amp;"", deployment!$C$4:$C$1002, "&lt;&gt;* )")+SUMIFS(namespace!$J$4:$J$1002, namespace!$B$4:$B$1002,"="&amp;A19, namespace!$B$4:$B$1002,"&lt;&gt;"&amp;""),"")</f>
        <v/>
      </c>
      <c r="O19" s="116" t="str">
        <f t="shared" si="7"/>
        <v/>
      </c>
      <c r="P19" s="63"/>
      <c r="Q19" s="164" t="str">
        <f t="shared" si="0"/>
        <v/>
      </c>
      <c r="R19" s="60" t="str">
        <f t="shared" si="1"/>
        <v/>
      </c>
      <c r="S19" s="60" t="str">
        <f t="shared" si="2"/>
        <v/>
      </c>
      <c r="T19" s="61" t="str">
        <f t="shared" si="3"/>
        <v/>
      </c>
      <c r="U19" s="61" t="str">
        <f t="shared" si="4"/>
        <v/>
      </c>
      <c r="V19" s="183" t="str">
        <f t="shared" si="8"/>
        <v/>
      </c>
      <c r="W19" s="183" t="str">
        <f t="shared" si="9"/>
        <v/>
      </c>
      <c r="X19" s="61" t="str">
        <f t="shared" si="10"/>
        <v/>
      </c>
      <c r="Y19" s="61" t="str">
        <f t="shared" si="11"/>
        <v/>
      </c>
      <c r="Z19" s="118" t="str">
        <f t="shared" si="12"/>
        <v/>
      </c>
      <c r="AA19" s="62" t="str">
        <f t="shared" si="13"/>
        <v/>
      </c>
      <c r="AB19" s="119" t="str">
        <f>IF(A19&lt;&gt;"", IF(P19&lt;&gt;0,SUMIFS(node!$J$2:$J$1000, node!$C$2:$C$1000,"="&amp;A19)/P19,0), "")</f>
        <v/>
      </c>
      <c r="AC19" s="81" t="str">
        <f>IF(A19&lt;&gt;"", IF(P19&lt;&gt;0,SUMIFS(node!$K$2:$K$1000, node!$C$2:$C$1000,"="&amp;A19)/P19,0), "")</f>
        <v/>
      </c>
      <c r="AD19" s="82" t="str">
        <f>IF(A19&lt;&gt;"", SUMIFS(node!$L$2:$L$1000, node!$C$2:$C$1000,"="&amp;A19), "")</f>
        <v/>
      </c>
      <c r="AE19" s="87" t="str">
        <f>IF(A19&lt;&gt;"", SUMIFS(node!$M$2:$M$1000, node!$C$2:$C$1000,"="&amp;A19), "")</f>
        <v/>
      </c>
    </row>
    <row r="20" spans="1:31" ht="15" customHeight="1" x14ac:dyDescent="0.25">
      <c r="A20" s="71"/>
      <c r="B20" s="108" t="str">
        <f>IF(A20&lt;&gt;"", VLOOKUP(A20, node!$C$2:$D$1000, 2, FALSE), "")</f>
        <v/>
      </c>
      <c r="C20" s="109" t="str">
        <f>IF(A20&lt;&gt;"", VLOOKUP(A20, node!$C$2:$E$1000, 3, FALSE), "")</f>
        <v/>
      </c>
      <c r="D20" s="110" t="str">
        <f>IF(A20&lt;&gt;"",COUNTIFS(node!$C$2:$C$1000,"="&amp;A20, node!$C$2:$C$1000,"&lt;&gt;"&amp;""),"")</f>
        <v/>
      </c>
      <c r="E20" s="111" t="str">
        <f>IF(A20&lt;&gt;"",SUMIFS(node!$F$2:$F$500, node!$C$2:$C$500,"="&amp;A20, node!$C$2:$C$500,"&lt;&gt;"&amp;"")/(B20*D20),"")</f>
        <v/>
      </c>
      <c r="F20" s="112" t="str">
        <f>IF(A20&lt;&gt;"",SUMIFS(node!$H$2:$H$500, node!$C$2:$C$500,"="&amp;A20, node!$C$2:$C$500,"&lt;&gt;"&amp;"")/(C20*D20),"")</f>
        <v/>
      </c>
      <c r="G20" s="179" t="str">
        <f>IF(A20&lt;&gt;"",SUMIFS(deployment!$F$4:$F$502, deployment!$D$4:$D$502,"="&amp;A20, deployment!$D$4:$D$502,"&lt;&gt;"&amp;""),"")</f>
        <v/>
      </c>
      <c r="H20" s="181" t="str">
        <f>IF(A20&lt;&gt;"",SUMIFS(deployment!$G$4:$G$502, deployment!$D$4:$D$502,"="&amp;A20, deployment!$D$4:$D$502,"&lt;&gt;"&amp;""),"")</f>
        <v/>
      </c>
      <c r="I20" s="113" t="str">
        <f>IF(A20&lt;&gt;"",SUMIFS(deployment!$H$4:$H$502, deployment!$D$4:$D$502,"="&amp;A20, deployment!$D$4:$D$502,"&lt;&gt;"&amp;""),"")</f>
        <v/>
      </c>
      <c r="J20" s="114" t="str">
        <f>IF(A20&lt;&gt;"",SUMIFS(deployment!$I$4:$I$502, deployment!$D$4:$D$502,"="&amp;A20, deployment!$D$4:$D$502,"&lt;&gt;"&amp;""),"")</f>
        <v/>
      </c>
      <c r="K20" s="182" t="str">
        <f>IF(A20&lt;&gt;"",SUMIFS(deployment!$J$4:$J$1002, deployment!$D$4:$D$1002,"="&amp;A20, deployment!$D$4:$D$1002,"&lt;&gt;"&amp;"", deployment!$C$4:$C$1002, "&lt;&gt;* )")+SUMIFS(namespace!$G$4:$G$1002, namespace!$B$4:$B$1002,"="&amp;A20, namespace!$B$4:$B$1002,"&lt;&gt;"&amp;""),"")</f>
        <v/>
      </c>
      <c r="L20" s="182" t="str">
        <f>IF(A20&lt;&gt;"",SUMIFS(deployment!$K$4:$K$1002, deployment!$D$4:$D$1002,"="&amp;A20, deployment!$D$4:$D$1002,"&lt;&gt;"&amp;"", deployment!$C$4:$C$1002, "&lt;&gt;* )")+SUMIFS(namespace!$H$4:$H$1002, namespace!$B$4:$B$1002,"="&amp;A20, namespace!$B$4:$B$1002,"&lt;&gt;"&amp;""),"")</f>
        <v/>
      </c>
      <c r="M20" s="115" t="str">
        <f>IF(A20&lt;&gt;"",SUMIFS(deployment!$L$4:$L$1002, deployment!$D$4:$D$1002,"="&amp;A20, deployment!$D$4:$D$1002,"&lt;&gt;"&amp;"", deployment!$C$4:$C$1002, "&lt;&gt;* )")+SUMIFS(namespace!$I$4:$I$1002, namespace!$B$4:$B$1002,"="&amp;A20, namespace!$B$4:$B$1002,"&lt;&gt;"&amp;""),"")</f>
        <v/>
      </c>
      <c r="N20" s="115" t="str">
        <f>IF(A20&lt;&gt;"",SUMIFS(deployment!$M$4:$M$1002, deployment!$D$4:$D$1002,"="&amp;A20, deployment!$D$4:$D$1002,"&lt;&gt;"&amp;"", deployment!$C$4:$C$1002, "&lt;&gt;* )")+SUMIFS(namespace!$J$4:$J$1002, namespace!$B$4:$B$1002,"="&amp;A20, namespace!$B$4:$B$1002,"&lt;&gt;"&amp;""),"")</f>
        <v/>
      </c>
      <c r="O20" s="116" t="str">
        <f t="shared" si="7"/>
        <v/>
      </c>
      <c r="P20" s="63"/>
      <c r="Q20" s="164" t="str">
        <f t="shared" si="0"/>
        <v/>
      </c>
      <c r="R20" s="60" t="str">
        <f t="shared" si="1"/>
        <v/>
      </c>
      <c r="S20" s="60" t="str">
        <f t="shared" si="2"/>
        <v/>
      </c>
      <c r="T20" s="61" t="str">
        <f t="shared" si="3"/>
        <v/>
      </c>
      <c r="U20" s="61" t="str">
        <f t="shared" si="4"/>
        <v/>
      </c>
      <c r="V20" s="183" t="str">
        <f t="shared" si="8"/>
        <v/>
      </c>
      <c r="W20" s="183" t="str">
        <f t="shared" si="9"/>
        <v/>
      </c>
      <c r="X20" s="61" t="str">
        <f t="shared" si="10"/>
        <v/>
      </c>
      <c r="Y20" s="61" t="str">
        <f t="shared" si="11"/>
        <v/>
      </c>
      <c r="Z20" s="118" t="str">
        <f t="shared" si="12"/>
        <v/>
      </c>
      <c r="AA20" s="62" t="str">
        <f t="shared" si="13"/>
        <v/>
      </c>
      <c r="AB20" s="119" t="str">
        <f>IF(A20&lt;&gt;"", IF(P20&lt;&gt;0,SUMIFS(node!$J$2:$J$1000, node!$C$2:$C$1000,"="&amp;A20)/P20,0), "")</f>
        <v/>
      </c>
      <c r="AC20" s="81" t="str">
        <f>IF(A20&lt;&gt;"", IF(P20&lt;&gt;0,SUMIFS(node!$K$2:$K$1000, node!$C$2:$C$1000,"="&amp;A20)/P20,0), "")</f>
        <v/>
      </c>
      <c r="AD20" s="82" t="str">
        <f>IF(A20&lt;&gt;"", SUMIFS(node!$L$2:$L$1000, node!$C$2:$C$1000,"="&amp;A20), "")</f>
        <v/>
      </c>
      <c r="AE20" s="87" t="str">
        <f>IF(A20&lt;&gt;"", SUMIFS(node!$M$2:$M$1000, node!$C$2:$C$1000,"="&amp;A20), "")</f>
        <v/>
      </c>
    </row>
    <row r="21" spans="1:31" ht="15" customHeight="1" x14ac:dyDescent="0.25">
      <c r="A21" s="71"/>
      <c r="B21" s="108" t="str">
        <f>IF(A21&lt;&gt;"", VLOOKUP(A21, node!$C$2:$D$1000, 2, FALSE), "")</f>
        <v/>
      </c>
      <c r="C21" s="109" t="str">
        <f>IF(A21&lt;&gt;"", VLOOKUP(A21, node!$C$2:$E$1000, 3, FALSE), "")</f>
        <v/>
      </c>
      <c r="D21" s="110" t="str">
        <f>IF(A21&lt;&gt;"",COUNTIFS(node!$C$2:$C$1000,"="&amp;A21, node!$C$2:$C$1000,"&lt;&gt;"&amp;""),"")</f>
        <v/>
      </c>
      <c r="E21" s="111" t="str">
        <f>IF(A21&lt;&gt;"",SUMIFS(node!$F$2:$F$500, node!$C$2:$C$500,"="&amp;A21, node!$C$2:$C$500,"&lt;&gt;"&amp;"")/(B21*D21),"")</f>
        <v/>
      </c>
      <c r="F21" s="112" t="str">
        <f>IF(A21&lt;&gt;"",SUMIFS(node!$H$2:$H$500, node!$C$2:$C$500,"="&amp;A21, node!$C$2:$C$500,"&lt;&gt;"&amp;"")/(C21*D21),"")</f>
        <v/>
      </c>
      <c r="G21" s="179" t="str">
        <f>IF(A21&lt;&gt;"",SUMIFS(deployment!$F$4:$F$502, deployment!$D$4:$D$502,"="&amp;A21, deployment!$D$4:$D$502,"&lt;&gt;"&amp;""),"")</f>
        <v/>
      </c>
      <c r="H21" s="181" t="str">
        <f>IF(A21&lt;&gt;"",SUMIFS(deployment!$G$4:$G$502, deployment!$D$4:$D$502,"="&amp;A21, deployment!$D$4:$D$502,"&lt;&gt;"&amp;""),"")</f>
        <v/>
      </c>
      <c r="I21" s="113" t="str">
        <f>IF(A21&lt;&gt;"",SUMIFS(deployment!$H$4:$H$502, deployment!$D$4:$D$502,"="&amp;A21, deployment!$D$4:$D$502,"&lt;&gt;"&amp;""),"")</f>
        <v/>
      </c>
      <c r="J21" s="114" t="str">
        <f>IF(A21&lt;&gt;"",SUMIFS(deployment!$I$4:$I$502, deployment!$D$4:$D$502,"="&amp;A21, deployment!$D$4:$D$502,"&lt;&gt;"&amp;""),"")</f>
        <v/>
      </c>
      <c r="K21" s="182" t="str">
        <f>IF(A21&lt;&gt;"",SUMIFS(deployment!$J$4:$J$1002, deployment!$D$4:$D$1002,"="&amp;A21, deployment!$D$4:$D$1002,"&lt;&gt;"&amp;"", deployment!$C$4:$C$1002, "&lt;&gt;* )")+SUMIFS(namespace!$G$4:$G$1002, namespace!$B$4:$B$1002,"="&amp;A21, namespace!$B$4:$B$1002,"&lt;&gt;"&amp;""),"")</f>
        <v/>
      </c>
      <c r="L21" s="182" t="str">
        <f>IF(A21&lt;&gt;"",SUMIFS(deployment!$K$4:$K$1002, deployment!$D$4:$D$1002,"="&amp;A21, deployment!$D$4:$D$1002,"&lt;&gt;"&amp;"", deployment!$C$4:$C$1002, "&lt;&gt;* )")+SUMIFS(namespace!$H$4:$H$1002, namespace!$B$4:$B$1002,"="&amp;A21, namespace!$B$4:$B$1002,"&lt;&gt;"&amp;""),"")</f>
        <v/>
      </c>
      <c r="M21" s="115" t="str">
        <f>IF(A21&lt;&gt;"",SUMIFS(deployment!$L$4:$L$1002, deployment!$D$4:$D$1002,"="&amp;A21, deployment!$D$4:$D$1002,"&lt;&gt;"&amp;"", deployment!$C$4:$C$1002, "&lt;&gt;* )")+SUMIFS(namespace!$I$4:$I$1002, namespace!$B$4:$B$1002,"="&amp;A21, namespace!$B$4:$B$1002,"&lt;&gt;"&amp;""),"")</f>
        <v/>
      </c>
      <c r="N21" s="115" t="str">
        <f>IF(A21&lt;&gt;"",SUMIFS(deployment!$M$4:$M$1002, deployment!$D$4:$D$1002,"="&amp;A21, deployment!$D$4:$D$1002,"&lt;&gt;"&amp;"", deployment!$C$4:$C$1002, "&lt;&gt;* )")+SUMIFS(namespace!$J$4:$J$1002, namespace!$B$4:$B$1002,"="&amp;A21, namespace!$B$4:$B$1002,"&lt;&gt;"&amp;""),"")</f>
        <v/>
      </c>
      <c r="O21" s="116" t="str">
        <f t="shared" si="7"/>
        <v/>
      </c>
      <c r="P21" s="63"/>
      <c r="Q21" s="164" t="str">
        <f t="shared" si="0"/>
        <v/>
      </c>
      <c r="R21" s="60" t="str">
        <f t="shared" si="1"/>
        <v/>
      </c>
      <c r="S21" s="60" t="str">
        <f t="shared" si="2"/>
        <v/>
      </c>
      <c r="T21" s="61" t="str">
        <f t="shared" si="3"/>
        <v/>
      </c>
      <c r="U21" s="61" t="str">
        <f t="shared" si="4"/>
        <v/>
      </c>
      <c r="V21" s="183" t="str">
        <f t="shared" si="8"/>
        <v/>
      </c>
      <c r="W21" s="183" t="str">
        <f t="shared" si="9"/>
        <v/>
      </c>
      <c r="X21" s="61" t="str">
        <f t="shared" si="10"/>
        <v/>
      </c>
      <c r="Y21" s="61" t="str">
        <f t="shared" si="11"/>
        <v/>
      </c>
      <c r="Z21" s="118" t="str">
        <f t="shared" si="12"/>
        <v/>
      </c>
      <c r="AA21" s="62" t="str">
        <f t="shared" si="13"/>
        <v/>
      </c>
      <c r="AB21" s="119" t="str">
        <f>IF(A21&lt;&gt;"", IF(P21&lt;&gt;0,SUMIFS(node!$J$2:$J$1000, node!$C$2:$C$1000,"="&amp;A21)/P21,0), "")</f>
        <v/>
      </c>
      <c r="AC21" s="81" t="str">
        <f>IF(A21&lt;&gt;"", IF(P21&lt;&gt;0,SUMIFS(node!$K$2:$K$1000, node!$C$2:$C$1000,"="&amp;A21)/P21,0), "")</f>
        <v/>
      </c>
      <c r="AD21" s="82" t="str">
        <f>IF(A21&lt;&gt;"", SUMIFS(node!$L$2:$L$1000, node!$C$2:$C$1000,"="&amp;A21), "")</f>
        <v/>
      </c>
      <c r="AE21" s="87" t="str">
        <f>IF(A21&lt;&gt;"", SUMIFS(node!$M$2:$M$1000, node!$C$2:$C$1000,"="&amp;A21), "")</f>
        <v/>
      </c>
    </row>
    <row r="22" spans="1:31" ht="15" customHeight="1" x14ac:dyDescent="0.25">
      <c r="A22" s="71"/>
      <c r="B22" s="108" t="str">
        <f>IF(A22&lt;&gt;"", VLOOKUP(A22, node!$C$2:$D$1000, 2, FALSE), "")</f>
        <v/>
      </c>
      <c r="C22" s="109" t="str">
        <f>IF(A22&lt;&gt;"", VLOOKUP(A22, node!$C$2:$E$1000, 3, FALSE), "")</f>
        <v/>
      </c>
      <c r="D22" s="110" t="str">
        <f>IF(A22&lt;&gt;"",COUNTIFS(node!$C$2:$C$1000,"="&amp;A22, node!$C$2:$C$1000,"&lt;&gt;"&amp;""),"")</f>
        <v/>
      </c>
      <c r="E22" s="111" t="str">
        <f>IF(A22&lt;&gt;"",SUMIFS(node!$F$2:$F$500, node!$C$2:$C$500,"="&amp;A22, node!$C$2:$C$500,"&lt;&gt;"&amp;"")/(B22*D22),"")</f>
        <v/>
      </c>
      <c r="F22" s="112" t="str">
        <f>IF(A22&lt;&gt;"",SUMIFS(node!$H$2:$H$500, node!$C$2:$C$500,"="&amp;A22, node!$C$2:$C$500,"&lt;&gt;"&amp;"")/(C22*D22),"")</f>
        <v/>
      </c>
      <c r="G22" s="179" t="str">
        <f>IF(A22&lt;&gt;"",SUMIFS(deployment!$F$4:$F$502, deployment!$D$4:$D$502,"="&amp;A22, deployment!$D$4:$D$502,"&lt;&gt;"&amp;""),"")</f>
        <v/>
      </c>
      <c r="H22" s="181" t="str">
        <f>IF(A22&lt;&gt;"",SUMIFS(deployment!$G$4:$G$502, deployment!$D$4:$D$502,"="&amp;A22, deployment!$D$4:$D$502,"&lt;&gt;"&amp;""),"")</f>
        <v/>
      </c>
      <c r="I22" s="113" t="str">
        <f>IF(A22&lt;&gt;"",SUMIFS(deployment!$H$4:$H$502, deployment!$D$4:$D$502,"="&amp;A22, deployment!$D$4:$D$502,"&lt;&gt;"&amp;""),"")</f>
        <v/>
      </c>
      <c r="J22" s="114" t="str">
        <f>IF(A22&lt;&gt;"",SUMIFS(deployment!$I$4:$I$502, deployment!$D$4:$D$502,"="&amp;A22, deployment!$D$4:$D$502,"&lt;&gt;"&amp;""),"")</f>
        <v/>
      </c>
      <c r="K22" s="182" t="str">
        <f>IF(A22&lt;&gt;"",SUMIFS(deployment!$J$4:$J$1002, deployment!$D$4:$D$1002,"="&amp;A22, deployment!$D$4:$D$1002,"&lt;&gt;"&amp;"", deployment!$C$4:$C$1002, "&lt;&gt;* )")+SUMIFS(namespace!$G$4:$G$1002, namespace!$B$4:$B$1002,"="&amp;A22, namespace!$B$4:$B$1002,"&lt;&gt;"&amp;""),"")</f>
        <v/>
      </c>
      <c r="L22" s="182" t="str">
        <f>IF(A22&lt;&gt;"",SUMIFS(deployment!$K$4:$K$1002, deployment!$D$4:$D$1002,"="&amp;A22, deployment!$D$4:$D$1002,"&lt;&gt;"&amp;"", deployment!$C$4:$C$1002, "&lt;&gt;* )")+SUMIFS(namespace!$H$4:$H$1002, namespace!$B$4:$B$1002,"="&amp;A22, namespace!$B$4:$B$1002,"&lt;&gt;"&amp;""),"")</f>
        <v/>
      </c>
      <c r="M22" s="115" t="str">
        <f>IF(A22&lt;&gt;"",SUMIFS(deployment!$L$4:$L$1002, deployment!$D$4:$D$1002,"="&amp;A22, deployment!$D$4:$D$1002,"&lt;&gt;"&amp;"", deployment!$C$4:$C$1002, "&lt;&gt;* )")+SUMIFS(namespace!$I$4:$I$1002, namespace!$B$4:$B$1002,"="&amp;A22, namespace!$B$4:$B$1002,"&lt;&gt;"&amp;""),"")</f>
        <v/>
      </c>
      <c r="N22" s="115" t="str">
        <f>IF(A22&lt;&gt;"",SUMIFS(deployment!$M$4:$M$1002, deployment!$D$4:$D$1002,"="&amp;A22, deployment!$D$4:$D$1002,"&lt;&gt;"&amp;"", deployment!$C$4:$C$1002, "&lt;&gt;* )")+SUMIFS(namespace!$J$4:$J$1002, namespace!$B$4:$B$1002,"="&amp;A22, namespace!$B$4:$B$1002,"&lt;&gt;"&amp;""),"")</f>
        <v/>
      </c>
      <c r="O22" s="116" t="str">
        <f t="shared" si="7"/>
        <v/>
      </c>
      <c r="P22" s="63"/>
      <c r="Q22" s="164" t="str">
        <f t="shared" si="0"/>
        <v/>
      </c>
      <c r="R22" s="60" t="str">
        <f t="shared" si="1"/>
        <v/>
      </c>
      <c r="S22" s="60" t="str">
        <f t="shared" si="2"/>
        <v/>
      </c>
      <c r="T22" s="61" t="str">
        <f t="shared" si="3"/>
        <v/>
      </c>
      <c r="U22" s="61" t="str">
        <f t="shared" si="4"/>
        <v/>
      </c>
      <c r="V22" s="183" t="str">
        <f t="shared" si="8"/>
        <v/>
      </c>
      <c r="W22" s="183" t="str">
        <f t="shared" si="9"/>
        <v/>
      </c>
      <c r="X22" s="61" t="str">
        <f t="shared" si="10"/>
        <v/>
      </c>
      <c r="Y22" s="61" t="str">
        <f t="shared" si="11"/>
        <v/>
      </c>
      <c r="Z22" s="118" t="str">
        <f t="shared" si="12"/>
        <v/>
      </c>
      <c r="AA22" s="62" t="str">
        <f t="shared" si="13"/>
        <v/>
      </c>
      <c r="AB22" s="119" t="str">
        <f>IF(A22&lt;&gt;"", IF(P22&lt;&gt;0,SUMIFS(node!$J$2:$J$1000, node!$C$2:$C$1000,"="&amp;A22)/P22,0), "")</f>
        <v/>
      </c>
      <c r="AC22" s="81" t="str">
        <f>IF(A22&lt;&gt;"", IF(P22&lt;&gt;0,SUMIFS(node!$K$2:$K$1000, node!$C$2:$C$1000,"="&amp;A22)/P22,0), "")</f>
        <v/>
      </c>
      <c r="AD22" s="82" t="str">
        <f>IF(A22&lt;&gt;"", SUMIFS(node!$L$2:$L$1000, node!$C$2:$C$1000,"="&amp;A22), "")</f>
        <v/>
      </c>
      <c r="AE22" s="87" t="str">
        <f>IF(A22&lt;&gt;"", SUMIFS(node!$M$2:$M$1000, node!$C$2:$C$1000,"="&amp;A22), "")</f>
        <v/>
      </c>
    </row>
    <row r="23" spans="1:31" ht="15.75" customHeight="1" x14ac:dyDescent="0.25">
      <c r="A23" s="71"/>
      <c r="B23" s="108" t="str">
        <f>IF(A23&lt;&gt;"", VLOOKUP(A23, node!$C$2:$D$1000, 2, FALSE), "")</f>
        <v/>
      </c>
      <c r="C23" s="109" t="str">
        <f>IF(A23&lt;&gt;"", VLOOKUP(A23, node!$C$2:$E$1000, 3, FALSE), "")</f>
        <v/>
      </c>
      <c r="D23" s="110" t="str">
        <f>IF(A23&lt;&gt;"",COUNTIFS(node!$C$2:$C$1000,"="&amp;A23, node!$C$2:$C$1000,"&lt;&gt;"&amp;""),"")</f>
        <v/>
      </c>
      <c r="E23" s="111" t="str">
        <f>IF(A23&lt;&gt;"",SUMIFS(node!$F$2:$F$500, node!$C$2:$C$500,"="&amp;A23, node!$C$2:$C$500,"&lt;&gt;"&amp;"")/(B23*D23),"")</f>
        <v/>
      </c>
      <c r="F23" s="112" t="str">
        <f>IF(A23&lt;&gt;"",SUMIFS(node!$H$2:$H$500, node!$C$2:$C$500,"="&amp;A23, node!$C$2:$C$500,"&lt;&gt;"&amp;"")/(C23*D23),"")</f>
        <v/>
      </c>
      <c r="G23" s="179" t="str">
        <f>IF(A23&lt;&gt;"",SUMIFS(deployment!$F$4:$F$502, deployment!$D$4:$D$502,"="&amp;A23, deployment!$D$4:$D$502,"&lt;&gt;"&amp;""),"")</f>
        <v/>
      </c>
      <c r="H23" s="181" t="str">
        <f>IF(A23&lt;&gt;"",SUMIFS(deployment!$G$4:$G$502, deployment!$D$4:$D$502,"="&amp;A23, deployment!$D$4:$D$502,"&lt;&gt;"&amp;""),"")</f>
        <v/>
      </c>
      <c r="I23" s="113" t="str">
        <f>IF(A23&lt;&gt;"",SUMIFS(deployment!$H$4:$H$502, deployment!$D$4:$D$502,"="&amp;A23, deployment!$D$4:$D$502,"&lt;&gt;"&amp;""),"")</f>
        <v/>
      </c>
      <c r="J23" s="114" t="str">
        <f>IF(A23&lt;&gt;"",SUMIFS(deployment!$I$4:$I$502, deployment!$D$4:$D$502,"="&amp;A23, deployment!$D$4:$D$502,"&lt;&gt;"&amp;""),"")</f>
        <v/>
      </c>
      <c r="K23" s="182" t="str">
        <f>IF(A23&lt;&gt;"",SUMIFS(deployment!$J$4:$J$1002, deployment!$D$4:$D$1002,"="&amp;A23, deployment!$D$4:$D$1002,"&lt;&gt;"&amp;"", deployment!$C$4:$C$1002, "&lt;&gt;* )")+SUMIFS(namespace!$G$4:$G$1002, namespace!$B$4:$B$1002,"="&amp;A23, namespace!$B$4:$B$1002,"&lt;&gt;"&amp;""),"")</f>
        <v/>
      </c>
      <c r="L23" s="182" t="str">
        <f>IF(A23&lt;&gt;"",SUMIFS(deployment!$K$4:$K$1002, deployment!$D$4:$D$1002,"="&amp;A23, deployment!$D$4:$D$1002,"&lt;&gt;"&amp;"", deployment!$C$4:$C$1002, "&lt;&gt;* )")+SUMIFS(namespace!$H$4:$H$1002, namespace!$B$4:$B$1002,"="&amp;A23, namespace!$B$4:$B$1002,"&lt;&gt;"&amp;""),"")</f>
        <v/>
      </c>
      <c r="M23" s="115" t="str">
        <f>IF(A23&lt;&gt;"",SUMIFS(deployment!$L$4:$L$1002, deployment!$D$4:$D$1002,"="&amp;A23, deployment!$D$4:$D$1002,"&lt;&gt;"&amp;"", deployment!$C$4:$C$1002, "&lt;&gt;* )")+SUMIFS(namespace!$I$4:$I$1002, namespace!$B$4:$B$1002,"="&amp;A23, namespace!$B$4:$B$1002,"&lt;&gt;"&amp;""),"")</f>
        <v/>
      </c>
      <c r="N23" s="115" t="str">
        <f>IF(A23&lt;&gt;"",SUMIFS(deployment!$M$4:$M$1002, deployment!$D$4:$D$1002,"="&amp;A23, deployment!$D$4:$D$1002,"&lt;&gt;"&amp;"", deployment!$C$4:$C$1002, "&lt;&gt;* )")+SUMIFS(namespace!$J$4:$J$1002, namespace!$B$4:$B$1002,"="&amp;A23, namespace!$B$4:$B$1002,"&lt;&gt;"&amp;""),"")</f>
        <v/>
      </c>
      <c r="O23" s="116" t="str">
        <f t="shared" si="7"/>
        <v/>
      </c>
      <c r="P23" s="63"/>
      <c r="Q23" s="164" t="str">
        <f t="shared" si="0"/>
        <v/>
      </c>
      <c r="R23" s="60" t="str">
        <f t="shared" si="1"/>
        <v/>
      </c>
      <c r="S23" s="60" t="str">
        <f t="shared" si="2"/>
        <v/>
      </c>
      <c r="T23" s="61" t="str">
        <f t="shared" si="3"/>
        <v/>
      </c>
      <c r="U23" s="61" t="str">
        <f t="shared" si="4"/>
        <v/>
      </c>
      <c r="V23" s="183" t="str">
        <f t="shared" si="8"/>
        <v/>
      </c>
      <c r="W23" s="183" t="str">
        <f t="shared" si="9"/>
        <v/>
      </c>
      <c r="X23" s="61" t="str">
        <f t="shared" si="10"/>
        <v/>
      </c>
      <c r="Y23" s="61" t="str">
        <f t="shared" si="11"/>
        <v/>
      </c>
      <c r="Z23" s="118" t="str">
        <f t="shared" si="12"/>
        <v/>
      </c>
      <c r="AA23" s="62" t="str">
        <f t="shared" si="13"/>
        <v/>
      </c>
      <c r="AB23" s="119" t="str">
        <f>IF(A23&lt;&gt;"", IF(P23&lt;&gt;0,SUMIFS(node!$J$2:$J$1000, node!$C$2:$C$1000,"="&amp;A23)/P23,0), "")</f>
        <v/>
      </c>
      <c r="AC23" s="81" t="str">
        <f>IF(A23&lt;&gt;"", IF(P23&lt;&gt;0,SUMIFS(node!$K$2:$K$1000, node!$C$2:$C$1000,"="&amp;A23)/P23,0), "")</f>
        <v/>
      </c>
      <c r="AD23" s="82" t="str">
        <f>IF(A23&lt;&gt;"", SUMIFS(node!$L$2:$L$1000, node!$C$2:$C$1000,"="&amp;A23), "")</f>
        <v/>
      </c>
      <c r="AE23" s="87" t="str">
        <f>IF(A23&lt;&gt;"", SUMIFS(node!$M$2:$M$1000, node!$C$2:$C$1000,"="&amp;A23), "")</f>
        <v/>
      </c>
    </row>
    <row r="24" spans="1:31" ht="15.75" customHeight="1" x14ac:dyDescent="0.25">
      <c r="A24" s="71"/>
      <c r="B24" s="108" t="str">
        <f>IF(A24&lt;&gt;"", VLOOKUP(A24, node!$C$2:$D$1000, 2, FALSE), "")</f>
        <v/>
      </c>
      <c r="C24" s="109" t="str">
        <f>IF(A24&lt;&gt;"", VLOOKUP(A24, node!$C$2:$E$1000, 3, FALSE), "")</f>
        <v/>
      </c>
      <c r="D24" s="110" t="str">
        <f>IF(A24&lt;&gt;"",COUNTIFS(node!$C$2:$C$1000,"="&amp;A24, node!$C$2:$C$1000,"&lt;&gt;"&amp;""),"")</f>
        <v/>
      </c>
      <c r="E24" s="111" t="str">
        <f>IF(A24&lt;&gt;"",SUMIFS(node!$F$2:$F$500, node!$C$2:$C$500,"="&amp;A24, node!$C$2:$C$500,"&lt;&gt;"&amp;"")/(B24*D24),"")</f>
        <v/>
      </c>
      <c r="F24" s="112" t="str">
        <f>IF(A24&lt;&gt;"",SUMIFS(node!$H$2:$H$500, node!$C$2:$C$500,"="&amp;A24, node!$C$2:$C$500,"&lt;&gt;"&amp;"")/(C24*D24),"")</f>
        <v/>
      </c>
      <c r="G24" s="179" t="str">
        <f>IF(A24&lt;&gt;"",SUMIFS(deployment!$F$4:$F$502, deployment!$D$4:$D$502,"="&amp;A24, deployment!$D$4:$D$502,"&lt;&gt;"&amp;""),"")</f>
        <v/>
      </c>
      <c r="H24" s="181" t="str">
        <f>IF(A24&lt;&gt;"",SUMIFS(deployment!$G$4:$G$502, deployment!$D$4:$D$502,"="&amp;A24, deployment!$D$4:$D$502,"&lt;&gt;"&amp;""),"")</f>
        <v/>
      </c>
      <c r="I24" s="113" t="str">
        <f>IF(A24&lt;&gt;"",SUMIFS(deployment!$H$4:$H$502, deployment!$D$4:$D$502,"="&amp;A24, deployment!$D$4:$D$502,"&lt;&gt;"&amp;""),"")</f>
        <v/>
      </c>
      <c r="J24" s="114" t="str">
        <f>IF(A24&lt;&gt;"",SUMIFS(deployment!$I$4:$I$502, deployment!$D$4:$D$502,"="&amp;A24, deployment!$D$4:$D$502,"&lt;&gt;"&amp;""),"")</f>
        <v/>
      </c>
      <c r="K24" s="182" t="str">
        <f>IF(A24&lt;&gt;"",SUMIFS(deployment!$J$4:$J$1002, deployment!$D$4:$D$1002,"="&amp;A24, deployment!$D$4:$D$1002,"&lt;&gt;"&amp;"", deployment!$C$4:$C$1002, "&lt;&gt;* )")+SUMIFS(namespace!$G$4:$G$1002, namespace!$B$4:$B$1002,"="&amp;A24, namespace!$B$4:$B$1002,"&lt;&gt;"&amp;""),"")</f>
        <v/>
      </c>
      <c r="L24" s="182" t="str">
        <f>IF(A24&lt;&gt;"",SUMIFS(deployment!$K$4:$K$1002, deployment!$D$4:$D$1002,"="&amp;A24, deployment!$D$4:$D$1002,"&lt;&gt;"&amp;"", deployment!$C$4:$C$1002, "&lt;&gt;* )")+SUMIFS(namespace!$H$4:$H$1002, namespace!$B$4:$B$1002,"="&amp;A24, namespace!$B$4:$B$1002,"&lt;&gt;"&amp;""),"")</f>
        <v/>
      </c>
      <c r="M24" s="115" t="str">
        <f>IF(A24&lt;&gt;"",SUMIFS(deployment!$L$4:$L$1002, deployment!$D$4:$D$1002,"="&amp;A24, deployment!$D$4:$D$1002,"&lt;&gt;"&amp;"", deployment!$C$4:$C$1002, "&lt;&gt;* )")+SUMIFS(namespace!$I$4:$I$1002, namespace!$B$4:$B$1002,"="&amp;A24, namespace!$B$4:$B$1002,"&lt;&gt;"&amp;""),"")</f>
        <v/>
      </c>
      <c r="N24" s="115" t="str">
        <f>IF(A24&lt;&gt;"",SUMIFS(deployment!$M$4:$M$1002, deployment!$D$4:$D$1002,"="&amp;A24, deployment!$D$4:$D$1002,"&lt;&gt;"&amp;"", deployment!$C$4:$C$1002, "&lt;&gt;* )")+SUMIFS(namespace!$J$4:$J$1002, namespace!$B$4:$B$1002,"="&amp;A24, namespace!$B$4:$B$1002,"&lt;&gt;"&amp;""),"")</f>
        <v/>
      </c>
      <c r="O24" s="116" t="str">
        <f t="shared" si="7"/>
        <v/>
      </c>
      <c r="P24" s="63"/>
      <c r="Q24" s="164" t="str">
        <f t="shared" si="0"/>
        <v/>
      </c>
      <c r="R24" s="60" t="str">
        <f t="shared" si="1"/>
        <v/>
      </c>
      <c r="S24" s="60" t="str">
        <f t="shared" si="2"/>
        <v/>
      </c>
      <c r="T24" s="61" t="str">
        <f t="shared" si="3"/>
        <v/>
      </c>
      <c r="U24" s="61" t="str">
        <f t="shared" si="4"/>
        <v/>
      </c>
      <c r="V24" s="183" t="str">
        <f t="shared" si="8"/>
        <v/>
      </c>
      <c r="W24" s="183" t="str">
        <f t="shared" si="9"/>
        <v/>
      </c>
      <c r="X24" s="61" t="str">
        <f t="shared" si="10"/>
        <v/>
      </c>
      <c r="Y24" s="61" t="str">
        <f t="shared" si="11"/>
        <v/>
      </c>
      <c r="Z24" s="118" t="str">
        <f t="shared" si="12"/>
        <v/>
      </c>
      <c r="AA24" s="62" t="str">
        <f t="shared" si="13"/>
        <v/>
      </c>
      <c r="AB24" s="119" t="str">
        <f>IF(A24&lt;&gt;"", IF(P24&lt;&gt;0,SUMIFS(node!$J$2:$J$1000, node!$C$2:$C$1000,"="&amp;A24)/P24,0), "")</f>
        <v/>
      </c>
      <c r="AC24" s="81" t="str">
        <f>IF(A24&lt;&gt;"", IF(P24&lt;&gt;0,SUMIFS(node!$K$2:$K$1000, node!$C$2:$C$1000,"="&amp;A24)/P24,0), "")</f>
        <v/>
      </c>
      <c r="AD24" s="82" t="str">
        <f>IF(A24&lt;&gt;"", SUMIFS(node!$L$2:$L$1000, node!$C$2:$C$1000,"="&amp;A24), "")</f>
        <v/>
      </c>
      <c r="AE24" s="87" t="str">
        <f>IF(A24&lt;&gt;"", SUMIFS(node!$M$2:$M$1000, node!$C$2:$C$1000,"="&amp;A24), "")</f>
        <v/>
      </c>
    </row>
    <row r="25" spans="1:31" ht="15.75" customHeight="1" x14ac:dyDescent="0.25">
      <c r="A25" s="71"/>
      <c r="B25" s="108" t="str">
        <f>IF(A25&lt;&gt;"", VLOOKUP(A25, node!$C$2:$D$1000, 2, FALSE), "")</f>
        <v/>
      </c>
      <c r="C25" s="109" t="str">
        <f>IF(A25&lt;&gt;"", VLOOKUP(A25, node!$C$2:$E$1000, 3, FALSE), "")</f>
        <v/>
      </c>
      <c r="D25" s="110" t="str">
        <f>IF(A25&lt;&gt;"",COUNTIFS(node!$C$2:$C$1000,"="&amp;A25, node!$C$2:$C$1000,"&lt;&gt;"&amp;""),"")</f>
        <v/>
      </c>
      <c r="E25" s="111" t="str">
        <f>IF(A25&lt;&gt;"",SUMIFS(node!$F$2:$F$500, node!$C$2:$C$500,"="&amp;A25, node!$C$2:$C$500,"&lt;&gt;"&amp;"")/(B25*D25),"")</f>
        <v/>
      </c>
      <c r="F25" s="112" t="str">
        <f>IF(A25&lt;&gt;"",SUMIFS(node!$H$2:$H$500, node!$C$2:$C$500,"="&amp;A25, node!$C$2:$C$500,"&lt;&gt;"&amp;"")/(C25*D25),"")</f>
        <v/>
      </c>
      <c r="G25" s="179" t="str">
        <f>IF(A25&lt;&gt;"",SUMIFS(deployment!$F$4:$F$502, deployment!$D$4:$D$502,"="&amp;A25, deployment!$D$4:$D$502,"&lt;&gt;"&amp;""),"")</f>
        <v/>
      </c>
      <c r="H25" s="181" t="str">
        <f>IF(A25&lt;&gt;"",SUMIFS(deployment!$G$4:$G$502, deployment!$D$4:$D$502,"="&amp;A25, deployment!$D$4:$D$502,"&lt;&gt;"&amp;""),"")</f>
        <v/>
      </c>
      <c r="I25" s="113" t="str">
        <f>IF(A25&lt;&gt;"",SUMIFS(deployment!$H$4:$H$502, deployment!$D$4:$D$502,"="&amp;A25, deployment!$D$4:$D$502,"&lt;&gt;"&amp;""),"")</f>
        <v/>
      </c>
      <c r="J25" s="114" t="str">
        <f>IF(A25&lt;&gt;"",SUMIFS(deployment!$I$4:$I$502, deployment!$D$4:$D$502,"="&amp;A25, deployment!$D$4:$D$502,"&lt;&gt;"&amp;""),"")</f>
        <v/>
      </c>
      <c r="K25" s="182" t="str">
        <f>IF(A25&lt;&gt;"",SUMIFS(deployment!$J$4:$J$1002, deployment!$D$4:$D$1002,"="&amp;A25, deployment!$D$4:$D$1002,"&lt;&gt;"&amp;"", deployment!$C$4:$C$1002, "&lt;&gt;* )")+SUMIFS(namespace!$G$4:$G$1002, namespace!$B$4:$B$1002,"="&amp;A25, namespace!$B$4:$B$1002,"&lt;&gt;"&amp;""),"")</f>
        <v/>
      </c>
      <c r="L25" s="182" t="str">
        <f>IF(A25&lt;&gt;"",SUMIFS(deployment!$K$4:$K$1002, deployment!$D$4:$D$1002,"="&amp;A25, deployment!$D$4:$D$1002,"&lt;&gt;"&amp;"", deployment!$C$4:$C$1002, "&lt;&gt;* )")+SUMIFS(namespace!$H$4:$H$1002, namespace!$B$4:$B$1002,"="&amp;A25, namespace!$B$4:$B$1002,"&lt;&gt;"&amp;""),"")</f>
        <v/>
      </c>
      <c r="M25" s="115" t="str">
        <f>IF(A25&lt;&gt;"",SUMIFS(deployment!$L$4:$L$1002, deployment!$D$4:$D$1002,"="&amp;A25, deployment!$D$4:$D$1002,"&lt;&gt;"&amp;"", deployment!$C$4:$C$1002, "&lt;&gt;* )")+SUMIFS(namespace!$I$4:$I$1002, namespace!$B$4:$B$1002,"="&amp;A25, namespace!$B$4:$B$1002,"&lt;&gt;"&amp;""),"")</f>
        <v/>
      </c>
      <c r="N25" s="115" t="str">
        <f>IF(A25&lt;&gt;"",SUMIFS(deployment!$M$4:$M$1002, deployment!$D$4:$D$1002,"="&amp;A25, deployment!$D$4:$D$1002,"&lt;&gt;"&amp;"", deployment!$C$4:$C$1002, "&lt;&gt;* )")+SUMIFS(namespace!$J$4:$J$1002, namespace!$B$4:$B$1002,"="&amp;A25, namespace!$B$4:$B$1002,"&lt;&gt;"&amp;""),"")</f>
        <v/>
      </c>
      <c r="O25" s="116" t="str">
        <f t="shared" si="7"/>
        <v/>
      </c>
      <c r="P25" s="63"/>
      <c r="Q25" s="164" t="str">
        <f t="shared" si="0"/>
        <v/>
      </c>
      <c r="R25" s="60" t="str">
        <f t="shared" si="1"/>
        <v/>
      </c>
      <c r="S25" s="60" t="str">
        <f t="shared" si="2"/>
        <v/>
      </c>
      <c r="T25" s="61" t="str">
        <f t="shared" si="3"/>
        <v/>
      </c>
      <c r="U25" s="61" t="str">
        <f t="shared" si="4"/>
        <v/>
      </c>
      <c r="V25" s="183" t="str">
        <f t="shared" si="8"/>
        <v/>
      </c>
      <c r="W25" s="183" t="str">
        <f t="shared" si="9"/>
        <v/>
      </c>
      <c r="X25" s="61" t="str">
        <f t="shared" si="10"/>
        <v/>
      </c>
      <c r="Y25" s="61" t="str">
        <f t="shared" si="11"/>
        <v/>
      </c>
      <c r="Z25" s="118" t="str">
        <f t="shared" si="12"/>
        <v/>
      </c>
      <c r="AA25" s="62" t="str">
        <f t="shared" si="13"/>
        <v/>
      </c>
      <c r="AB25" s="119" t="str">
        <f>IF(A25&lt;&gt;"", IF(P25&lt;&gt;0,SUMIFS(node!$J$2:$J$1000, node!$C$2:$C$1000,"="&amp;A25)/P25,0), "")</f>
        <v/>
      </c>
      <c r="AC25" s="81" t="str">
        <f>IF(A25&lt;&gt;"", IF(P25&lt;&gt;0,SUMIFS(node!$K$2:$K$1000, node!$C$2:$C$1000,"="&amp;A25)/P25,0), "")</f>
        <v/>
      </c>
      <c r="AD25" s="82" t="str">
        <f>IF(A25&lt;&gt;"", SUMIFS(node!$L$2:$L$1000, node!$C$2:$C$1000,"="&amp;A25), "")</f>
        <v/>
      </c>
      <c r="AE25" s="87" t="str">
        <f>IF(A25&lt;&gt;"", SUMIFS(node!$M$2:$M$1000, node!$C$2:$C$1000,"="&amp;A25), "")</f>
        <v/>
      </c>
    </row>
    <row r="26" spans="1:31" ht="15.75" customHeight="1" x14ac:dyDescent="0.25">
      <c r="A26" s="71"/>
      <c r="B26" s="108" t="str">
        <f>IF(A26&lt;&gt;"", VLOOKUP(A26, node!$C$2:$D$1000, 2, FALSE), "")</f>
        <v/>
      </c>
      <c r="C26" s="109" t="str">
        <f>IF(A26&lt;&gt;"", VLOOKUP(A26, node!$C$2:$E$1000, 3, FALSE), "")</f>
        <v/>
      </c>
      <c r="D26" s="110" t="str">
        <f>IF(A26&lt;&gt;"",COUNTIFS(node!$C$2:$C$1000,"="&amp;A26, node!$C$2:$C$1000,"&lt;&gt;"&amp;""),"")</f>
        <v/>
      </c>
      <c r="E26" s="111" t="str">
        <f>IF(A26&lt;&gt;"",SUMIFS(node!$F$2:$F$500, node!$C$2:$C$500,"="&amp;A26, node!$C$2:$C$500,"&lt;&gt;"&amp;"")/(B26*D26),"")</f>
        <v/>
      </c>
      <c r="F26" s="112" t="str">
        <f>IF(A26&lt;&gt;"",SUMIFS(node!$H$2:$H$500, node!$C$2:$C$500,"="&amp;A26, node!$C$2:$C$500,"&lt;&gt;"&amp;"")/(C26*D26),"")</f>
        <v/>
      </c>
      <c r="G26" s="179" t="str">
        <f>IF(A26&lt;&gt;"",SUMIFS(deployment!$F$4:$F$502, deployment!$D$4:$D$502,"="&amp;A26, deployment!$D$4:$D$502,"&lt;&gt;"&amp;""),"")</f>
        <v/>
      </c>
      <c r="H26" s="181" t="str">
        <f>IF(A26&lt;&gt;"",SUMIFS(deployment!$G$4:$G$502, deployment!$D$4:$D$502,"="&amp;A26, deployment!$D$4:$D$502,"&lt;&gt;"&amp;""),"")</f>
        <v/>
      </c>
      <c r="I26" s="113" t="str">
        <f>IF(A26&lt;&gt;"",SUMIFS(deployment!$H$4:$H$502, deployment!$D$4:$D$502,"="&amp;A26, deployment!$D$4:$D$502,"&lt;&gt;"&amp;""),"")</f>
        <v/>
      </c>
      <c r="J26" s="114" t="str">
        <f>IF(A26&lt;&gt;"",SUMIFS(deployment!$I$4:$I$502, deployment!$D$4:$D$502,"="&amp;A26, deployment!$D$4:$D$502,"&lt;&gt;"&amp;""),"")</f>
        <v/>
      </c>
      <c r="K26" s="182" t="str">
        <f>IF(A26&lt;&gt;"",SUMIFS(deployment!$J$4:$J$1002, deployment!$D$4:$D$1002,"="&amp;A26, deployment!$D$4:$D$1002,"&lt;&gt;"&amp;"", deployment!$C$4:$C$1002, "&lt;&gt;* )")+SUMIFS(namespace!$G$4:$G$1002, namespace!$B$4:$B$1002,"="&amp;A26, namespace!$B$4:$B$1002,"&lt;&gt;"&amp;""),"")</f>
        <v/>
      </c>
      <c r="L26" s="182" t="str">
        <f>IF(A26&lt;&gt;"",SUMIFS(deployment!$K$4:$K$1002, deployment!$D$4:$D$1002,"="&amp;A26, deployment!$D$4:$D$1002,"&lt;&gt;"&amp;"", deployment!$C$4:$C$1002, "&lt;&gt;* )")+SUMIFS(namespace!$H$4:$H$1002, namespace!$B$4:$B$1002,"="&amp;A26, namespace!$B$4:$B$1002,"&lt;&gt;"&amp;""),"")</f>
        <v/>
      </c>
      <c r="M26" s="115" t="str">
        <f>IF(A26&lt;&gt;"",SUMIFS(deployment!$L$4:$L$1002, deployment!$D$4:$D$1002,"="&amp;A26, deployment!$D$4:$D$1002,"&lt;&gt;"&amp;"", deployment!$C$4:$C$1002, "&lt;&gt;* )")+SUMIFS(namespace!$I$4:$I$1002, namespace!$B$4:$B$1002,"="&amp;A26, namespace!$B$4:$B$1002,"&lt;&gt;"&amp;""),"")</f>
        <v/>
      </c>
      <c r="N26" s="115" t="str">
        <f>IF(A26&lt;&gt;"",SUMIFS(deployment!$M$4:$M$1002, deployment!$D$4:$D$1002,"="&amp;A26, deployment!$D$4:$D$1002,"&lt;&gt;"&amp;"", deployment!$C$4:$C$1002, "&lt;&gt;* )")+SUMIFS(namespace!$J$4:$J$1002, namespace!$B$4:$B$1002,"="&amp;A26, namespace!$B$4:$B$1002,"&lt;&gt;"&amp;""),"")</f>
        <v/>
      </c>
      <c r="O26" s="116" t="str">
        <f t="shared" si="7"/>
        <v/>
      </c>
      <c r="P26" s="63"/>
      <c r="Q26" s="164" t="str">
        <f t="shared" si="0"/>
        <v/>
      </c>
      <c r="R26" s="60" t="str">
        <f t="shared" si="1"/>
        <v/>
      </c>
      <c r="S26" s="60" t="str">
        <f t="shared" si="2"/>
        <v/>
      </c>
      <c r="T26" s="61" t="str">
        <f t="shared" si="3"/>
        <v/>
      </c>
      <c r="U26" s="61" t="str">
        <f t="shared" si="4"/>
        <v/>
      </c>
      <c r="V26" s="183" t="str">
        <f t="shared" si="8"/>
        <v/>
      </c>
      <c r="W26" s="183" t="str">
        <f t="shared" si="9"/>
        <v/>
      </c>
      <c r="X26" s="61" t="str">
        <f t="shared" si="10"/>
        <v/>
      </c>
      <c r="Y26" s="61" t="str">
        <f t="shared" si="11"/>
        <v/>
      </c>
      <c r="Z26" s="118" t="str">
        <f t="shared" si="12"/>
        <v/>
      </c>
      <c r="AA26" s="62" t="str">
        <f t="shared" si="13"/>
        <v/>
      </c>
      <c r="AB26" s="119" t="str">
        <f>IF(A26&lt;&gt;"", IF(P26&lt;&gt;0,SUMIFS(node!$J$2:$J$1000, node!$C$2:$C$1000,"="&amp;A26)/P26,0), "")</f>
        <v/>
      </c>
      <c r="AC26" s="81" t="str">
        <f>IF(A26&lt;&gt;"", IF(P26&lt;&gt;0,SUMIFS(node!$K$2:$K$1000, node!$C$2:$C$1000,"="&amp;A26)/P26,0), "")</f>
        <v/>
      </c>
      <c r="AD26" s="82" t="str">
        <f>IF(A26&lt;&gt;"", SUMIFS(node!$L$2:$L$1000, node!$C$2:$C$1000,"="&amp;A26), "")</f>
        <v/>
      </c>
      <c r="AE26" s="87" t="str">
        <f>IF(A26&lt;&gt;"", SUMIFS(node!$M$2:$M$1000, node!$C$2:$C$1000,"="&amp;A26), "")</f>
        <v/>
      </c>
    </row>
    <row r="27" spans="1:31" ht="15.75" customHeight="1" x14ac:dyDescent="0.25">
      <c r="A27" s="71"/>
      <c r="B27" s="108" t="str">
        <f>IF(A27&lt;&gt;"", VLOOKUP(A27, node!$C$2:$D$1000, 2, FALSE), "")</f>
        <v/>
      </c>
      <c r="C27" s="109" t="str">
        <f>IF(A27&lt;&gt;"", VLOOKUP(A27, node!$C$2:$E$1000, 3, FALSE), "")</f>
        <v/>
      </c>
      <c r="D27" s="110" t="str">
        <f>IF(A27&lt;&gt;"",COUNTIFS(node!$C$2:$C$1000,"="&amp;A27, node!$C$2:$C$1000,"&lt;&gt;"&amp;""),"")</f>
        <v/>
      </c>
      <c r="E27" s="111" t="str">
        <f>IF(A27&lt;&gt;"",SUMIFS(node!$F$2:$F$500, node!$C$2:$C$500,"="&amp;A27, node!$C$2:$C$500,"&lt;&gt;"&amp;"")/(B27*D27),"")</f>
        <v/>
      </c>
      <c r="F27" s="112" t="str">
        <f>IF(A27&lt;&gt;"",SUMIFS(node!$H$2:$H$500, node!$C$2:$C$500,"="&amp;A27, node!$C$2:$C$500,"&lt;&gt;"&amp;"")/(C27*D27),"")</f>
        <v/>
      </c>
      <c r="G27" s="179" t="str">
        <f>IF(A27&lt;&gt;"",SUMIFS(deployment!$F$4:$F$502, deployment!$D$4:$D$502,"="&amp;A27, deployment!$D$4:$D$502,"&lt;&gt;"&amp;""),"")</f>
        <v/>
      </c>
      <c r="H27" s="181" t="str">
        <f>IF(A27&lt;&gt;"",SUMIFS(deployment!$G$4:$G$502, deployment!$D$4:$D$502,"="&amp;A27, deployment!$D$4:$D$502,"&lt;&gt;"&amp;""),"")</f>
        <v/>
      </c>
      <c r="I27" s="113" t="str">
        <f>IF(A27&lt;&gt;"",SUMIFS(deployment!$H$4:$H$502, deployment!$D$4:$D$502,"="&amp;A27, deployment!$D$4:$D$502,"&lt;&gt;"&amp;""),"")</f>
        <v/>
      </c>
      <c r="J27" s="114" t="str">
        <f>IF(A27&lt;&gt;"",SUMIFS(deployment!$I$4:$I$502, deployment!$D$4:$D$502,"="&amp;A27, deployment!$D$4:$D$502,"&lt;&gt;"&amp;""),"")</f>
        <v/>
      </c>
      <c r="K27" s="182" t="str">
        <f>IF(A27&lt;&gt;"",SUMIFS(deployment!$J$4:$J$1002, deployment!$D$4:$D$1002,"="&amp;A27, deployment!$D$4:$D$1002,"&lt;&gt;"&amp;"", deployment!$C$4:$C$1002, "&lt;&gt;* )")+SUMIFS(namespace!$G$4:$G$1002, namespace!$B$4:$B$1002,"="&amp;A27, namespace!$B$4:$B$1002,"&lt;&gt;"&amp;""),"")</f>
        <v/>
      </c>
      <c r="L27" s="182" t="str">
        <f>IF(A27&lt;&gt;"",SUMIFS(deployment!$K$4:$K$1002, deployment!$D$4:$D$1002,"="&amp;A27, deployment!$D$4:$D$1002,"&lt;&gt;"&amp;"", deployment!$C$4:$C$1002, "&lt;&gt;* )")+SUMIFS(namespace!$H$4:$H$1002, namespace!$B$4:$B$1002,"="&amp;A27, namespace!$B$4:$B$1002,"&lt;&gt;"&amp;""),"")</f>
        <v/>
      </c>
      <c r="M27" s="115" t="str">
        <f>IF(A27&lt;&gt;"",SUMIFS(deployment!$L$4:$L$1002, deployment!$D$4:$D$1002,"="&amp;A27, deployment!$D$4:$D$1002,"&lt;&gt;"&amp;"", deployment!$C$4:$C$1002, "&lt;&gt;* )")+SUMIFS(namespace!$I$4:$I$1002, namespace!$B$4:$B$1002,"="&amp;A27, namespace!$B$4:$B$1002,"&lt;&gt;"&amp;""),"")</f>
        <v/>
      </c>
      <c r="N27" s="115" t="str">
        <f>IF(A27&lt;&gt;"",SUMIFS(deployment!$M$4:$M$1002, deployment!$D$4:$D$1002,"="&amp;A27, deployment!$D$4:$D$1002,"&lt;&gt;"&amp;"", deployment!$C$4:$C$1002, "&lt;&gt;* )")+SUMIFS(namespace!$J$4:$J$1002, namespace!$B$4:$B$1002,"="&amp;A27, namespace!$B$4:$B$1002,"&lt;&gt;"&amp;""),"")</f>
        <v/>
      </c>
      <c r="O27" s="116" t="str">
        <f t="shared" si="7"/>
        <v/>
      </c>
      <c r="P27" s="63"/>
      <c r="Q27" s="164" t="str">
        <f t="shared" si="0"/>
        <v/>
      </c>
      <c r="R27" s="60" t="str">
        <f t="shared" si="1"/>
        <v/>
      </c>
      <c r="S27" s="60" t="str">
        <f t="shared" si="2"/>
        <v/>
      </c>
      <c r="T27" s="61" t="str">
        <f t="shared" si="3"/>
        <v/>
      </c>
      <c r="U27" s="61" t="str">
        <f t="shared" si="4"/>
        <v/>
      </c>
      <c r="V27" s="183" t="str">
        <f t="shared" si="8"/>
        <v/>
      </c>
      <c r="W27" s="183" t="str">
        <f t="shared" si="9"/>
        <v/>
      </c>
      <c r="X27" s="61" t="str">
        <f t="shared" si="10"/>
        <v/>
      </c>
      <c r="Y27" s="61" t="str">
        <f t="shared" si="11"/>
        <v/>
      </c>
      <c r="Z27" s="118" t="str">
        <f t="shared" si="12"/>
        <v/>
      </c>
      <c r="AA27" s="62" t="str">
        <f t="shared" si="13"/>
        <v/>
      </c>
      <c r="AB27" s="119" t="str">
        <f>IF(A27&lt;&gt;"", IF(P27&lt;&gt;0,SUMIFS(node!$J$2:$J$1000, node!$C$2:$C$1000,"="&amp;A27)/P27,0), "")</f>
        <v/>
      </c>
      <c r="AC27" s="81" t="str">
        <f>IF(A27&lt;&gt;"", IF(P27&lt;&gt;0,SUMIFS(node!$K$2:$K$1000, node!$C$2:$C$1000,"="&amp;A27)/P27,0), "")</f>
        <v/>
      </c>
      <c r="AD27" s="82" t="str">
        <f>IF(A27&lt;&gt;"", SUMIFS(node!$L$2:$L$1000, node!$C$2:$C$1000,"="&amp;A27), "")</f>
        <v/>
      </c>
      <c r="AE27" s="87" t="str">
        <f>IF(A27&lt;&gt;"", SUMIFS(node!$M$2:$M$1000, node!$C$2:$C$1000,"="&amp;A27), "")</f>
        <v/>
      </c>
    </row>
    <row r="28" spans="1:31" ht="15.75" customHeight="1" x14ac:dyDescent="0.25">
      <c r="A28" s="71"/>
      <c r="B28" s="108" t="str">
        <f>IF(A28&lt;&gt;"", VLOOKUP(A28, node!$C$2:$D$1000, 2, FALSE), "")</f>
        <v/>
      </c>
      <c r="C28" s="109" t="str">
        <f>IF(A28&lt;&gt;"", VLOOKUP(A28, node!$C$2:$E$1000, 3, FALSE), "")</f>
        <v/>
      </c>
      <c r="D28" s="110" t="str">
        <f>IF(A28&lt;&gt;"",COUNTIFS(node!$C$2:$C$1000,"="&amp;A28, node!$C$2:$C$1000,"&lt;&gt;"&amp;""),"")</f>
        <v/>
      </c>
      <c r="E28" s="111" t="str">
        <f>IF(A28&lt;&gt;"",SUMIFS(node!$F$2:$F$500, node!$C$2:$C$500,"="&amp;A28, node!$C$2:$C$500,"&lt;&gt;"&amp;"")/(B28*D28),"")</f>
        <v/>
      </c>
      <c r="F28" s="112" t="str">
        <f>IF(A28&lt;&gt;"",SUMIFS(node!$H$2:$H$500, node!$C$2:$C$500,"="&amp;A28, node!$C$2:$C$500,"&lt;&gt;"&amp;"")/(C28*D28),"")</f>
        <v/>
      </c>
      <c r="G28" s="179" t="str">
        <f>IF(A28&lt;&gt;"",SUMIFS(deployment!$F$4:$F$502, deployment!$D$4:$D$502,"="&amp;A28, deployment!$D$4:$D$502,"&lt;&gt;"&amp;""),"")</f>
        <v/>
      </c>
      <c r="H28" s="181" t="str">
        <f>IF(A28&lt;&gt;"",SUMIFS(deployment!$G$4:$G$502, deployment!$D$4:$D$502,"="&amp;A28, deployment!$D$4:$D$502,"&lt;&gt;"&amp;""),"")</f>
        <v/>
      </c>
      <c r="I28" s="113" t="str">
        <f>IF(A28&lt;&gt;"",SUMIFS(deployment!$H$4:$H$502, deployment!$D$4:$D$502,"="&amp;A28, deployment!$D$4:$D$502,"&lt;&gt;"&amp;""),"")</f>
        <v/>
      </c>
      <c r="J28" s="114" t="str">
        <f>IF(A28&lt;&gt;"",SUMIFS(deployment!$I$4:$I$502, deployment!$D$4:$D$502,"="&amp;A28, deployment!$D$4:$D$502,"&lt;&gt;"&amp;""),"")</f>
        <v/>
      </c>
      <c r="K28" s="182" t="str">
        <f>IF(A28&lt;&gt;"",SUMIFS(deployment!$J$4:$J$1002, deployment!$D$4:$D$1002,"="&amp;A28, deployment!$D$4:$D$1002,"&lt;&gt;"&amp;"", deployment!$C$4:$C$1002, "&lt;&gt;* )")+SUMIFS(namespace!$G$4:$G$1002, namespace!$B$4:$B$1002,"="&amp;A28, namespace!$B$4:$B$1002,"&lt;&gt;"&amp;""),"")</f>
        <v/>
      </c>
      <c r="L28" s="182" t="str">
        <f>IF(A28&lt;&gt;"",SUMIFS(deployment!$K$4:$K$1002, deployment!$D$4:$D$1002,"="&amp;A28, deployment!$D$4:$D$1002,"&lt;&gt;"&amp;"", deployment!$C$4:$C$1002, "&lt;&gt;* )")+SUMIFS(namespace!$H$4:$H$1002, namespace!$B$4:$B$1002,"="&amp;A28, namespace!$B$4:$B$1002,"&lt;&gt;"&amp;""),"")</f>
        <v/>
      </c>
      <c r="M28" s="115" t="str">
        <f>IF(A28&lt;&gt;"",SUMIFS(deployment!$L$4:$L$1002, deployment!$D$4:$D$1002,"="&amp;A28, deployment!$D$4:$D$1002,"&lt;&gt;"&amp;"", deployment!$C$4:$C$1002, "&lt;&gt;* )")+SUMIFS(namespace!$I$4:$I$1002, namespace!$B$4:$B$1002,"="&amp;A28, namespace!$B$4:$B$1002,"&lt;&gt;"&amp;""),"")</f>
        <v/>
      </c>
      <c r="N28" s="115" t="str">
        <f>IF(A28&lt;&gt;"",SUMIFS(deployment!$M$4:$M$1002, deployment!$D$4:$D$1002,"="&amp;A28, deployment!$D$4:$D$1002,"&lt;&gt;"&amp;"", deployment!$C$4:$C$1002, "&lt;&gt;* )")+SUMIFS(namespace!$J$4:$J$1002, namespace!$B$4:$B$1002,"="&amp;A28, namespace!$B$4:$B$1002,"&lt;&gt;"&amp;""),"")</f>
        <v/>
      </c>
      <c r="O28" s="116" t="str">
        <f t="shared" si="7"/>
        <v/>
      </c>
      <c r="P28" s="63"/>
      <c r="Q28" s="164" t="str">
        <f t="shared" si="0"/>
        <v/>
      </c>
      <c r="R28" s="60" t="str">
        <f t="shared" si="1"/>
        <v/>
      </c>
      <c r="S28" s="60" t="str">
        <f t="shared" si="2"/>
        <v/>
      </c>
      <c r="T28" s="61" t="str">
        <f t="shared" si="3"/>
        <v/>
      </c>
      <c r="U28" s="61" t="str">
        <f t="shared" si="4"/>
        <v/>
      </c>
      <c r="V28" s="183" t="str">
        <f t="shared" si="8"/>
        <v/>
      </c>
      <c r="W28" s="183" t="str">
        <f t="shared" si="9"/>
        <v/>
      </c>
      <c r="X28" s="61" t="str">
        <f t="shared" si="10"/>
        <v/>
      </c>
      <c r="Y28" s="61" t="str">
        <f t="shared" si="11"/>
        <v/>
      </c>
      <c r="Z28" s="118" t="str">
        <f t="shared" si="12"/>
        <v/>
      </c>
      <c r="AA28" s="62" t="str">
        <f t="shared" si="13"/>
        <v/>
      </c>
      <c r="AB28" s="119" t="str">
        <f>IF(A28&lt;&gt;"", IF(P28&lt;&gt;0,SUMIFS(node!$J$2:$J$1000, node!$C$2:$C$1000,"="&amp;A28)/P28,0), "")</f>
        <v/>
      </c>
      <c r="AC28" s="81" t="str">
        <f>IF(A28&lt;&gt;"", IF(P28&lt;&gt;0,SUMIFS(node!$K$2:$K$1000, node!$C$2:$C$1000,"="&amp;A28)/P28,0), "")</f>
        <v/>
      </c>
      <c r="AD28" s="82" t="str">
        <f>IF(A28&lt;&gt;"", SUMIFS(node!$L$2:$L$1000, node!$C$2:$C$1000,"="&amp;A28), "")</f>
        <v/>
      </c>
      <c r="AE28" s="87" t="str">
        <f>IF(A28&lt;&gt;"", SUMIFS(node!$M$2:$M$1000, node!$C$2:$C$1000,"="&amp;A28), "")</f>
        <v/>
      </c>
    </row>
    <row r="29" spans="1:31" ht="15.75" customHeight="1" x14ac:dyDescent="0.25">
      <c r="A29" s="71"/>
      <c r="B29" s="108" t="str">
        <f>IF(A29&lt;&gt;"", VLOOKUP(A29, node!$C$2:$D$1000, 2, FALSE), "")</f>
        <v/>
      </c>
      <c r="C29" s="109" t="str">
        <f>IF(A29&lt;&gt;"", VLOOKUP(A29, node!$C$2:$E$1000, 3, FALSE), "")</f>
        <v/>
      </c>
      <c r="D29" s="110" t="str">
        <f>IF(A29&lt;&gt;"",COUNTIFS(node!$C$2:$C$1000,"="&amp;A29, node!$C$2:$C$1000,"&lt;&gt;"&amp;""),"")</f>
        <v/>
      </c>
      <c r="E29" s="111" t="str">
        <f>IF(A29&lt;&gt;"",SUMIFS(node!$F$2:$F$500, node!$C$2:$C$500,"="&amp;A29, node!$C$2:$C$500,"&lt;&gt;"&amp;"")/(B29*D29),"")</f>
        <v/>
      </c>
      <c r="F29" s="112" t="str">
        <f>IF(A29&lt;&gt;"",SUMIFS(node!$H$2:$H$500, node!$C$2:$C$500,"="&amp;A29, node!$C$2:$C$500,"&lt;&gt;"&amp;"")/(C29*D29),"")</f>
        <v/>
      </c>
      <c r="G29" s="179" t="str">
        <f>IF(A29&lt;&gt;"",SUMIFS(deployment!$F$4:$F$502, deployment!$D$4:$D$502,"="&amp;A29, deployment!$D$4:$D$502,"&lt;&gt;"&amp;""),"")</f>
        <v/>
      </c>
      <c r="H29" s="181" t="str">
        <f>IF(A29&lt;&gt;"",SUMIFS(deployment!$G$4:$G$502, deployment!$D$4:$D$502,"="&amp;A29, deployment!$D$4:$D$502,"&lt;&gt;"&amp;""),"")</f>
        <v/>
      </c>
      <c r="I29" s="113" t="str">
        <f>IF(A29&lt;&gt;"",SUMIFS(deployment!$H$4:$H$502, deployment!$D$4:$D$502,"="&amp;A29, deployment!$D$4:$D$502,"&lt;&gt;"&amp;""),"")</f>
        <v/>
      </c>
      <c r="J29" s="114" t="str">
        <f>IF(A29&lt;&gt;"",SUMIFS(deployment!$I$4:$I$502, deployment!$D$4:$D$502,"="&amp;A29, deployment!$D$4:$D$502,"&lt;&gt;"&amp;""),"")</f>
        <v/>
      </c>
      <c r="K29" s="182" t="str">
        <f>IF(A29&lt;&gt;"",SUMIFS(deployment!$J$4:$J$1002, deployment!$D$4:$D$1002,"="&amp;A29, deployment!$D$4:$D$1002,"&lt;&gt;"&amp;"", deployment!$C$4:$C$1002, "&lt;&gt;* )")+SUMIFS(namespace!$G$4:$G$1002, namespace!$B$4:$B$1002,"="&amp;A29, namespace!$B$4:$B$1002,"&lt;&gt;"&amp;""),"")</f>
        <v/>
      </c>
      <c r="L29" s="182" t="str">
        <f>IF(A29&lt;&gt;"",SUMIFS(deployment!$K$4:$K$1002, deployment!$D$4:$D$1002,"="&amp;A29, deployment!$D$4:$D$1002,"&lt;&gt;"&amp;"", deployment!$C$4:$C$1002, "&lt;&gt;* )")+SUMIFS(namespace!$H$4:$H$1002, namespace!$B$4:$B$1002,"="&amp;A29, namespace!$B$4:$B$1002,"&lt;&gt;"&amp;""),"")</f>
        <v/>
      </c>
      <c r="M29" s="115" t="str">
        <f>IF(A29&lt;&gt;"",SUMIFS(deployment!$L$4:$L$1002, deployment!$D$4:$D$1002,"="&amp;A29, deployment!$D$4:$D$1002,"&lt;&gt;"&amp;"", deployment!$C$4:$C$1002, "&lt;&gt;* )")+SUMIFS(namespace!$I$4:$I$1002, namespace!$B$4:$B$1002,"="&amp;A29, namespace!$B$4:$B$1002,"&lt;&gt;"&amp;""),"")</f>
        <v/>
      </c>
      <c r="N29" s="115" t="str">
        <f>IF(A29&lt;&gt;"",SUMIFS(deployment!$M$4:$M$1002, deployment!$D$4:$D$1002,"="&amp;A29, deployment!$D$4:$D$1002,"&lt;&gt;"&amp;"", deployment!$C$4:$C$1002, "&lt;&gt;* )")+SUMIFS(namespace!$J$4:$J$1002, namespace!$B$4:$B$1002,"="&amp;A29, namespace!$B$4:$B$1002,"&lt;&gt;"&amp;""),"")</f>
        <v/>
      </c>
      <c r="O29" s="116" t="str">
        <f t="shared" si="7"/>
        <v/>
      </c>
      <c r="P29" s="63"/>
      <c r="Q29" s="164" t="str">
        <f t="shared" si="0"/>
        <v/>
      </c>
      <c r="R29" s="60" t="str">
        <f t="shared" si="1"/>
        <v/>
      </c>
      <c r="S29" s="60" t="str">
        <f t="shared" si="2"/>
        <v/>
      </c>
      <c r="T29" s="61" t="str">
        <f t="shared" si="3"/>
        <v/>
      </c>
      <c r="U29" s="61" t="str">
        <f t="shared" si="4"/>
        <v/>
      </c>
      <c r="V29" s="183" t="str">
        <f t="shared" si="8"/>
        <v/>
      </c>
      <c r="W29" s="183" t="str">
        <f t="shared" si="9"/>
        <v/>
      </c>
      <c r="X29" s="61" t="str">
        <f t="shared" si="10"/>
        <v/>
      </c>
      <c r="Y29" s="61" t="str">
        <f t="shared" si="11"/>
        <v/>
      </c>
      <c r="Z29" s="118" t="str">
        <f t="shared" si="12"/>
        <v/>
      </c>
      <c r="AA29" s="62" t="str">
        <f t="shared" si="13"/>
        <v/>
      </c>
      <c r="AB29" s="119" t="str">
        <f>IF(A29&lt;&gt;"", IF(P29&lt;&gt;0,SUMIFS(node!$J$2:$J$1000, node!$C$2:$C$1000,"="&amp;A29)/P29,0), "")</f>
        <v/>
      </c>
      <c r="AC29" s="81" t="str">
        <f>IF(A29&lt;&gt;"", IF(P29&lt;&gt;0,SUMIFS(node!$K$2:$K$1000, node!$C$2:$C$1000,"="&amp;A29)/P29,0), "")</f>
        <v/>
      </c>
      <c r="AD29" s="82" t="str">
        <f>IF(A29&lt;&gt;"", SUMIFS(node!$L$2:$L$1000, node!$C$2:$C$1000,"="&amp;A29), "")</f>
        <v/>
      </c>
      <c r="AE29" s="87" t="str">
        <f>IF(A29&lt;&gt;"", SUMIFS(node!$M$2:$M$1000, node!$C$2:$C$1000,"="&amp;A29), "")</f>
        <v/>
      </c>
    </row>
    <row r="30" spans="1:31" ht="15.75" customHeight="1" x14ac:dyDescent="0.25">
      <c r="A30" s="71"/>
      <c r="B30" s="108" t="str">
        <f>IF(A30&lt;&gt;"", VLOOKUP(A30, node!$C$2:$D$1000, 2, FALSE), "")</f>
        <v/>
      </c>
      <c r="C30" s="109" t="str">
        <f>IF(A30&lt;&gt;"", VLOOKUP(A30, node!$C$2:$E$1000, 3, FALSE), "")</f>
        <v/>
      </c>
      <c r="D30" s="110" t="str">
        <f>IF(A30&lt;&gt;"",COUNTIFS(node!$C$2:$C$1000,"="&amp;A30, node!$C$2:$C$1000,"&lt;&gt;"&amp;""),"")</f>
        <v/>
      </c>
      <c r="E30" s="111" t="str">
        <f>IF(A30&lt;&gt;"",SUMIFS(node!$F$2:$F$500, node!$C$2:$C$500,"="&amp;A30, node!$C$2:$C$500,"&lt;&gt;"&amp;"")/(B30*D30),"")</f>
        <v/>
      </c>
      <c r="F30" s="112" t="str">
        <f>IF(A30&lt;&gt;"",SUMIFS(node!$H$2:$H$500, node!$C$2:$C$500,"="&amp;A30, node!$C$2:$C$500,"&lt;&gt;"&amp;"")/(C30*D30),"")</f>
        <v/>
      </c>
      <c r="G30" s="179" t="str">
        <f>IF(A30&lt;&gt;"",SUMIFS(deployment!$F$4:$F$502, deployment!$D$4:$D$502,"="&amp;A30, deployment!$D$4:$D$502,"&lt;&gt;"&amp;""),"")</f>
        <v/>
      </c>
      <c r="H30" s="181" t="str">
        <f>IF(A30&lt;&gt;"",SUMIFS(deployment!$G$4:$G$502, deployment!$D$4:$D$502,"="&amp;A30, deployment!$D$4:$D$502,"&lt;&gt;"&amp;""),"")</f>
        <v/>
      </c>
      <c r="I30" s="113" t="str">
        <f>IF(A30&lt;&gt;"",SUMIFS(deployment!$H$4:$H$502, deployment!$D$4:$D$502,"="&amp;A30, deployment!$D$4:$D$502,"&lt;&gt;"&amp;""),"")</f>
        <v/>
      </c>
      <c r="J30" s="114" t="str">
        <f>IF(A30&lt;&gt;"",SUMIFS(deployment!$I$4:$I$502, deployment!$D$4:$D$502,"="&amp;A30, deployment!$D$4:$D$502,"&lt;&gt;"&amp;""),"")</f>
        <v/>
      </c>
      <c r="K30" s="182" t="str">
        <f>IF(A30&lt;&gt;"",SUMIFS(deployment!$J$4:$J$1002, deployment!$D$4:$D$1002,"="&amp;A30, deployment!$D$4:$D$1002,"&lt;&gt;"&amp;"", deployment!$C$4:$C$1002, "&lt;&gt;* )")+SUMIFS(namespace!$G$4:$G$1002, namespace!$B$4:$B$1002,"="&amp;A30, namespace!$B$4:$B$1002,"&lt;&gt;"&amp;""),"")</f>
        <v/>
      </c>
      <c r="L30" s="182" t="str">
        <f>IF(A30&lt;&gt;"",SUMIFS(deployment!$K$4:$K$1002, deployment!$D$4:$D$1002,"="&amp;A30, deployment!$D$4:$D$1002,"&lt;&gt;"&amp;"", deployment!$C$4:$C$1002, "&lt;&gt;* )")+SUMIFS(namespace!$H$4:$H$1002, namespace!$B$4:$B$1002,"="&amp;A30, namespace!$B$4:$B$1002,"&lt;&gt;"&amp;""),"")</f>
        <v/>
      </c>
      <c r="M30" s="115" t="str">
        <f>IF(A30&lt;&gt;"",SUMIFS(deployment!$L$4:$L$1002, deployment!$D$4:$D$1002,"="&amp;A30, deployment!$D$4:$D$1002,"&lt;&gt;"&amp;"", deployment!$C$4:$C$1002, "&lt;&gt;* )")+SUMIFS(namespace!$I$4:$I$1002, namespace!$B$4:$B$1002,"="&amp;A30, namespace!$B$4:$B$1002,"&lt;&gt;"&amp;""),"")</f>
        <v/>
      </c>
      <c r="N30" s="115" t="str">
        <f>IF(A30&lt;&gt;"",SUMIFS(deployment!$M$4:$M$1002, deployment!$D$4:$D$1002,"="&amp;A30, deployment!$D$4:$D$1002,"&lt;&gt;"&amp;"", deployment!$C$4:$C$1002, "&lt;&gt;* )")+SUMIFS(namespace!$J$4:$J$1002, namespace!$B$4:$B$1002,"="&amp;A30, namespace!$B$4:$B$1002,"&lt;&gt;"&amp;""),"")</f>
        <v/>
      </c>
      <c r="O30" s="116" t="str">
        <f t="shared" si="7"/>
        <v/>
      </c>
      <c r="P30" s="63"/>
      <c r="Q30" s="164" t="str">
        <f t="shared" si="0"/>
        <v/>
      </c>
      <c r="R30" s="60" t="str">
        <f t="shared" si="1"/>
        <v/>
      </c>
      <c r="S30" s="60" t="str">
        <f t="shared" si="2"/>
        <v/>
      </c>
      <c r="T30" s="61" t="str">
        <f t="shared" si="3"/>
        <v/>
      </c>
      <c r="U30" s="61" t="str">
        <f t="shared" si="4"/>
        <v/>
      </c>
      <c r="V30" s="183" t="str">
        <f t="shared" si="8"/>
        <v/>
      </c>
      <c r="W30" s="183" t="str">
        <f t="shared" si="9"/>
        <v/>
      </c>
      <c r="X30" s="61" t="str">
        <f t="shared" si="10"/>
        <v/>
      </c>
      <c r="Y30" s="61" t="str">
        <f t="shared" si="11"/>
        <v/>
      </c>
      <c r="Z30" s="118" t="str">
        <f t="shared" si="12"/>
        <v/>
      </c>
      <c r="AA30" s="62" t="str">
        <f t="shared" si="13"/>
        <v/>
      </c>
      <c r="AB30" s="119" t="str">
        <f>IF(A30&lt;&gt;"", IF(P30&lt;&gt;0,SUMIFS(node!$J$2:$J$1000, node!$C$2:$C$1000,"="&amp;A30)/P30,0), "")</f>
        <v/>
      </c>
      <c r="AC30" s="81" t="str">
        <f>IF(A30&lt;&gt;"", IF(P30&lt;&gt;0,SUMIFS(node!$K$2:$K$1000, node!$C$2:$C$1000,"="&amp;A30)/P30,0), "")</f>
        <v/>
      </c>
      <c r="AD30" s="82" t="str">
        <f>IF(A30&lt;&gt;"", SUMIFS(node!$L$2:$L$1000, node!$C$2:$C$1000,"="&amp;A30), "")</f>
        <v/>
      </c>
      <c r="AE30" s="87" t="str">
        <f>IF(A30&lt;&gt;"", SUMIFS(node!$M$2:$M$1000, node!$C$2:$C$1000,"="&amp;A30), "")</f>
        <v/>
      </c>
    </row>
    <row r="31" spans="1:31" ht="15.75" customHeight="1" x14ac:dyDescent="0.25">
      <c r="A31" s="71"/>
      <c r="B31" s="108" t="str">
        <f>IF(A31&lt;&gt;"", VLOOKUP(A31, node!$C$2:$D$1000, 2, FALSE), "")</f>
        <v/>
      </c>
      <c r="C31" s="109" t="str">
        <f>IF(A31&lt;&gt;"", VLOOKUP(A31, node!$C$2:$E$1000, 3, FALSE), "")</f>
        <v/>
      </c>
      <c r="D31" s="110" t="str">
        <f>IF(A31&lt;&gt;"",COUNTIFS(node!$C$2:$C$1000,"="&amp;A31, node!$C$2:$C$1000,"&lt;&gt;"&amp;""),"")</f>
        <v/>
      </c>
      <c r="E31" s="111" t="str">
        <f>IF(A31&lt;&gt;"",SUMIFS(node!$F$2:$F$500, node!$C$2:$C$500,"="&amp;A31, node!$C$2:$C$500,"&lt;&gt;"&amp;"")/(B31*D31),"")</f>
        <v/>
      </c>
      <c r="F31" s="112" t="str">
        <f>IF(A31&lt;&gt;"",SUMIFS(node!$H$2:$H$500, node!$C$2:$C$500,"="&amp;A31, node!$C$2:$C$500,"&lt;&gt;"&amp;"")/(C31*D31),"")</f>
        <v/>
      </c>
      <c r="G31" s="179" t="str">
        <f>IF(A31&lt;&gt;"",SUMIFS(deployment!$F$4:$F$502, deployment!$D$4:$D$502,"="&amp;A31, deployment!$D$4:$D$502,"&lt;&gt;"&amp;""),"")</f>
        <v/>
      </c>
      <c r="H31" s="181" t="str">
        <f>IF(A31&lt;&gt;"",SUMIFS(deployment!$G$4:$G$502, deployment!$D$4:$D$502,"="&amp;A31, deployment!$D$4:$D$502,"&lt;&gt;"&amp;""),"")</f>
        <v/>
      </c>
      <c r="I31" s="113" t="str">
        <f>IF(A31&lt;&gt;"",SUMIFS(deployment!$H$4:$H$502, deployment!$D$4:$D$502,"="&amp;A31, deployment!$D$4:$D$502,"&lt;&gt;"&amp;""),"")</f>
        <v/>
      </c>
      <c r="J31" s="114" t="str">
        <f>IF(A31&lt;&gt;"",SUMIFS(deployment!$I$4:$I$502, deployment!$D$4:$D$502,"="&amp;A31, deployment!$D$4:$D$502,"&lt;&gt;"&amp;""),"")</f>
        <v/>
      </c>
      <c r="K31" s="182" t="str">
        <f>IF(A31&lt;&gt;"",SUMIFS(deployment!$J$4:$J$1002, deployment!$D$4:$D$1002,"="&amp;A31, deployment!$D$4:$D$1002,"&lt;&gt;"&amp;"", deployment!$C$4:$C$1002, "&lt;&gt;* )")+SUMIFS(namespace!$G$4:$G$1002, namespace!$B$4:$B$1002,"="&amp;A31, namespace!$B$4:$B$1002,"&lt;&gt;"&amp;""),"")</f>
        <v/>
      </c>
      <c r="L31" s="182" t="str">
        <f>IF(A31&lt;&gt;"",SUMIFS(deployment!$K$4:$K$1002, deployment!$D$4:$D$1002,"="&amp;A31, deployment!$D$4:$D$1002,"&lt;&gt;"&amp;"", deployment!$C$4:$C$1002, "&lt;&gt;* )")+SUMIFS(namespace!$H$4:$H$1002, namespace!$B$4:$B$1002,"="&amp;A31, namespace!$B$4:$B$1002,"&lt;&gt;"&amp;""),"")</f>
        <v/>
      </c>
      <c r="M31" s="115" t="str">
        <f>IF(A31&lt;&gt;"",SUMIFS(deployment!$L$4:$L$1002, deployment!$D$4:$D$1002,"="&amp;A31, deployment!$D$4:$D$1002,"&lt;&gt;"&amp;"", deployment!$C$4:$C$1002, "&lt;&gt;* )")+SUMIFS(namespace!$I$4:$I$1002, namespace!$B$4:$B$1002,"="&amp;A31, namespace!$B$4:$B$1002,"&lt;&gt;"&amp;""),"")</f>
        <v/>
      </c>
      <c r="N31" s="115" t="str">
        <f>IF(A31&lt;&gt;"",SUMIFS(deployment!$M$4:$M$1002, deployment!$D$4:$D$1002,"="&amp;A31, deployment!$D$4:$D$1002,"&lt;&gt;"&amp;"", deployment!$C$4:$C$1002, "&lt;&gt;* )")+SUMIFS(namespace!$J$4:$J$1002, namespace!$B$4:$B$1002,"="&amp;A31, namespace!$B$4:$B$1002,"&lt;&gt;"&amp;""),"")</f>
        <v/>
      </c>
      <c r="O31" s="116" t="str">
        <f t="shared" si="7"/>
        <v/>
      </c>
      <c r="P31" s="63"/>
      <c r="Q31" s="164" t="str">
        <f t="shared" si="0"/>
        <v/>
      </c>
      <c r="R31" s="60" t="str">
        <f t="shared" si="1"/>
        <v/>
      </c>
      <c r="S31" s="60" t="str">
        <f t="shared" si="2"/>
        <v/>
      </c>
      <c r="T31" s="61" t="str">
        <f t="shared" si="3"/>
        <v/>
      </c>
      <c r="U31" s="61" t="str">
        <f t="shared" si="4"/>
        <v/>
      </c>
      <c r="V31" s="183" t="str">
        <f t="shared" si="8"/>
        <v/>
      </c>
      <c r="W31" s="183" t="str">
        <f t="shared" si="9"/>
        <v/>
      </c>
      <c r="X31" s="61" t="str">
        <f t="shared" si="10"/>
        <v/>
      </c>
      <c r="Y31" s="61" t="str">
        <f t="shared" si="11"/>
        <v/>
      </c>
      <c r="Z31" s="118" t="str">
        <f t="shared" si="12"/>
        <v/>
      </c>
      <c r="AA31" s="62" t="str">
        <f t="shared" si="13"/>
        <v/>
      </c>
      <c r="AB31" s="119" t="str">
        <f>IF(A31&lt;&gt;"", IF(P31&lt;&gt;0,SUMIFS(node!$J$2:$J$1000, node!$C$2:$C$1000,"="&amp;A31)/P31,0), "")</f>
        <v/>
      </c>
      <c r="AC31" s="81" t="str">
        <f>IF(A31&lt;&gt;"", IF(P31&lt;&gt;0,SUMIFS(node!$K$2:$K$1000, node!$C$2:$C$1000,"="&amp;A31)/P31,0), "")</f>
        <v/>
      </c>
      <c r="AD31" s="82" t="str">
        <f>IF(A31&lt;&gt;"", SUMIFS(node!$L$2:$L$1000, node!$C$2:$C$1000,"="&amp;A31), "")</f>
        <v/>
      </c>
      <c r="AE31" s="87" t="str">
        <f>IF(A31&lt;&gt;"", SUMIFS(node!$M$2:$M$1000, node!$C$2:$C$1000,"="&amp;A31), "")</f>
        <v/>
      </c>
    </row>
    <row r="32" spans="1:31" ht="15.75" customHeight="1" x14ac:dyDescent="0.25">
      <c r="A32" s="71"/>
      <c r="B32" s="108" t="str">
        <f>IF(A32&lt;&gt;"", VLOOKUP(A32, node!$C$2:$D$1000, 2, FALSE), "")</f>
        <v/>
      </c>
      <c r="C32" s="109" t="str">
        <f>IF(A32&lt;&gt;"", VLOOKUP(A32, node!$C$2:$E$1000, 3, FALSE), "")</f>
        <v/>
      </c>
      <c r="D32" s="110" t="str">
        <f>IF(A32&lt;&gt;"",COUNTIFS(node!$C$2:$C$1000,"="&amp;A32, node!$C$2:$C$1000,"&lt;&gt;"&amp;""),"")</f>
        <v/>
      </c>
      <c r="E32" s="111" t="str">
        <f>IF(A32&lt;&gt;"",SUMIFS(node!$F$2:$F$500, node!$C$2:$C$500,"="&amp;A32, node!$C$2:$C$500,"&lt;&gt;"&amp;"")/(B32*D32),"")</f>
        <v/>
      </c>
      <c r="F32" s="112" t="str">
        <f>IF(A32&lt;&gt;"",SUMIFS(node!$H$2:$H$500, node!$C$2:$C$500,"="&amp;A32, node!$C$2:$C$500,"&lt;&gt;"&amp;"")/(C32*D32),"")</f>
        <v/>
      </c>
      <c r="G32" s="179" t="str">
        <f>IF(A32&lt;&gt;"",SUMIFS(deployment!$F$4:$F$502, deployment!$D$4:$D$502,"="&amp;A32, deployment!$D$4:$D$502,"&lt;&gt;"&amp;""),"")</f>
        <v/>
      </c>
      <c r="H32" s="181" t="str">
        <f>IF(A32&lt;&gt;"",SUMIFS(deployment!$G$4:$G$502, deployment!$D$4:$D$502,"="&amp;A32, deployment!$D$4:$D$502,"&lt;&gt;"&amp;""),"")</f>
        <v/>
      </c>
      <c r="I32" s="113" t="str">
        <f>IF(A32&lt;&gt;"",SUMIFS(deployment!$H$4:$H$502, deployment!$D$4:$D$502,"="&amp;A32, deployment!$D$4:$D$502,"&lt;&gt;"&amp;""),"")</f>
        <v/>
      </c>
      <c r="J32" s="114" t="str">
        <f>IF(A32&lt;&gt;"",SUMIFS(deployment!$I$4:$I$502, deployment!$D$4:$D$502,"="&amp;A32, deployment!$D$4:$D$502,"&lt;&gt;"&amp;""),"")</f>
        <v/>
      </c>
      <c r="K32" s="182" t="str">
        <f>IF(A32&lt;&gt;"",SUMIFS(deployment!$J$4:$J$1002, deployment!$D$4:$D$1002,"="&amp;A32, deployment!$D$4:$D$1002,"&lt;&gt;"&amp;"", deployment!$C$4:$C$1002, "&lt;&gt;* )")+SUMIFS(namespace!$G$4:$G$1002, namespace!$B$4:$B$1002,"="&amp;A32, namespace!$B$4:$B$1002,"&lt;&gt;"&amp;""),"")</f>
        <v/>
      </c>
      <c r="L32" s="182" t="str">
        <f>IF(A32&lt;&gt;"",SUMIFS(deployment!$K$4:$K$1002, deployment!$D$4:$D$1002,"="&amp;A32, deployment!$D$4:$D$1002,"&lt;&gt;"&amp;"", deployment!$C$4:$C$1002, "&lt;&gt;* )")+SUMIFS(namespace!$H$4:$H$1002, namespace!$B$4:$B$1002,"="&amp;A32, namespace!$B$4:$B$1002,"&lt;&gt;"&amp;""),"")</f>
        <v/>
      </c>
      <c r="M32" s="115" t="str">
        <f>IF(A32&lt;&gt;"",SUMIFS(deployment!$L$4:$L$1002, deployment!$D$4:$D$1002,"="&amp;A32, deployment!$D$4:$D$1002,"&lt;&gt;"&amp;"", deployment!$C$4:$C$1002, "&lt;&gt;* )")+SUMIFS(namespace!$I$4:$I$1002, namespace!$B$4:$B$1002,"="&amp;A32, namespace!$B$4:$B$1002,"&lt;&gt;"&amp;""),"")</f>
        <v/>
      </c>
      <c r="N32" s="115" t="str">
        <f>IF(A32&lt;&gt;"",SUMIFS(deployment!$M$4:$M$1002, deployment!$D$4:$D$1002,"="&amp;A32, deployment!$D$4:$D$1002,"&lt;&gt;"&amp;"", deployment!$C$4:$C$1002, "&lt;&gt;* )")+SUMIFS(namespace!$J$4:$J$1002, namespace!$B$4:$B$1002,"="&amp;A32, namespace!$B$4:$B$1002,"&lt;&gt;"&amp;""),"")</f>
        <v/>
      </c>
      <c r="O32" s="116" t="str">
        <f t="shared" si="7"/>
        <v/>
      </c>
      <c r="P32" s="63"/>
      <c r="Q32" s="164" t="str">
        <f t="shared" si="0"/>
        <v/>
      </c>
      <c r="R32" s="60" t="str">
        <f t="shared" si="1"/>
        <v/>
      </c>
      <c r="S32" s="60" t="str">
        <f t="shared" si="2"/>
        <v/>
      </c>
      <c r="T32" s="61" t="str">
        <f t="shared" si="3"/>
        <v/>
      </c>
      <c r="U32" s="61" t="str">
        <f t="shared" si="4"/>
        <v/>
      </c>
      <c r="V32" s="183" t="str">
        <f t="shared" si="8"/>
        <v/>
      </c>
      <c r="W32" s="183" t="str">
        <f t="shared" si="9"/>
        <v/>
      </c>
      <c r="X32" s="61" t="str">
        <f t="shared" si="10"/>
        <v/>
      </c>
      <c r="Y32" s="61" t="str">
        <f t="shared" si="11"/>
        <v/>
      </c>
      <c r="Z32" s="118" t="str">
        <f t="shared" si="12"/>
        <v/>
      </c>
      <c r="AA32" s="62" t="str">
        <f t="shared" si="13"/>
        <v/>
      </c>
      <c r="AB32" s="119" t="str">
        <f>IF(A32&lt;&gt;"", IF(P32&lt;&gt;0,SUMIFS(node!$J$2:$J$1000, node!$C$2:$C$1000,"="&amp;A32)/P32,0), "")</f>
        <v/>
      </c>
      <c r="AC32" s="81" t="str">
        <f>IF(A32&lt;&gt;"", IF(P32&lt;&gt;0,SUMIFS(node!$K$2:$K$1000, node!$C$2:$C$1000,"="&amp;A32)/P32,0), "")</f>
        <v/>
      </c>
      <c r="AD32" s="82" t="str">
        <f>IF(A32&lt;&gt;"", SUMIFS(node!$L$2:$L$1000, node!$C$2:$C$1000,"="&amp;A32), "")</f>
        <v/>
      </c>
      <c r="AE32" s="87" t="str">
        <f>IF(A32&lt;&gt;"", SUMIFS(node!$M$2:$M$1000, node!$C$2:$C$1000,"="&amp;A32), "")</f>
        <v/>
      </c>
    </row>
    <row r="33" spans="1:31" ht="15.75" customHeight="1" x14ac:dyDescent="0.25">
      <c r="A33" s="71"/>
      <c r="B33" s="108" t="str">
        <f>IF(A33&lt;&gt;"", VLOOKUP(A33, node!$C$2:$D$1000, 2, FALSE), "")</f>
        <v/>
      </c>
      <c r="C33" s="109" t="str">
        <f>IF(A33&lt;&gt;"", VLOOKUP(A33, node!$C$2:$E$1000, 3, FALSE), "")</f>
        <v/>
      </c>
      <c r="D33" s="110" t="str">
        <f>IF(A33&lt;&gt;"",COUNTIFS(node!$C$2:$C$1000,"="&amp;A33, node!$C$2:$C$1000,"&lt;&gt;"&amp;""),"")</f>
        <v/>
      </c>
      <c r="E33" s="111" t="str">
        <f>IF(A33&lt;&gt;"",SUMIFS(node!$F$2:$F$500, node!$C$2:$C$500,"="&amp;A33, node!$C$2:$C$500,"&lt;&gt;"&amp;"")/(B33*D33),"")</f>
        <v/>
      </c>
      <c r="F33" s="112" t="str">
        <f>IF(A33&lt;&gt;"",SUMIFS(node!$H$2:$H$500, node!$C$2:$C$500,"="&amp;A33, node!$C$2:$C$500,"&lt;&gt;"&amp;"")/(C33*D33),"")</f>
        <v/>
      </c>
      <c r="G33" s="179" t="str">
        <f>IF(A33&lt;&gt;"",SUMIFS(deployment!$F$4:$F$502, deployment!$D$4:$D$502,"="&amp;A33, deployment!$D$4:$D$502,"&lt;&gt;"&amp;""),"")</f>
        <v/>
      </c>
      <c r="H33" s="181" t="str">
        <f>IF(A33&lt;&gt;"",SUMIFS(deployment!$G$4:$G$502, deployment!$D$4:$D$502,"="&amp;A33, deployment!$D$4:$D$502,"&lt;&gt;"&amp;""),"")</f>
        <v/>
      </c>
      <c r="I33" s="113" t="str">
        <f>IF(A33&lt;&gt;"",SUMIFS(deployment!$H$4:$H$502, deployment!$D$4:$D$502,"="&amp;A33, deployment!$D$4:$D$502,"&lt;&gt;"&amp;""),"")</f>
        <v/>
      </c>
      <c r="J33" s="114" t="str">
        <f>IF(A33&lt;&gt;"",SUMIFS(deployment!$I$4:$I$502, deployment!$D$4:$D$502,"="&amp;A33, deployment!$D$4:$D$502,"&lt;&gt;"&amp;""),"")</f>
        <v/>
      </c>
      <c r="K33" s="182" t="str">
        <f>IF(A33&lt;&gt;"",SUMIFS(deployment!$J$4:$J$1002, deployment!$D$4:$D$1002,"="&amp;A33, deployment!$D$4:$D$1002,"&lt;&gt;"&amp;"", deployment!$C$4:$C$1002, "&lt;&gt;* )")+SUMIFS(namespace!$G$4:$G$1002, namespace!$B$4:$B$1002,"="&amp;A33, namespace!$B$4:$B$1002,"&lt;&gt;"&amp;""),"")</f>
        <v/>
      </c>
      <c r="L33" s="182" t="str">
        <f>IF(A33&lt;&gt;"",SUMIFS(deployment!$K$4:$K$1002, deployment!$D$4:$D$1002,"="&amp;A33, deployment!$D$4:$D$1002,"&lt;&gt;"&amp;"", deployment!$C$4:$C$1002, "&lt;&gt;* )")+SUMIFS(namespace!$H$4:$H$1002, namespace!$B$4:$B$1002,"="&amp;A33, namespace!$B$4:$B$1002,"&lt;&gt;"&amp;""),"")</f>
        <v/>
      </c>
      <c r="M33" s="115" t="str">
        <f>IF(A33&lt;&gt;"",SUMIFS(deployment!$L$4:$L$1002, deployment!$D$4:$D$1002,"="&amp;A33, deployment!$D$4:$D$1002,"&lt;&gt;"&amp;"", deployment!$C$4:$C$1002, "&lt;&gt;* )")+SUMIFS(namespace!$I$4:$I$1002, namespace!$B$4:$B$1002,"="&amp;A33, namespace!$B$4:$B$1002,"&lt;&gt;"&amp;""),"")</f>
        <v/>
      </c>
      <c r="N33" s="115" t="str">
        <f>IF(A33&lt;&gt;"",SUMIFS(deployment!$M$4:$M$1002, deployment!$D$4:$D$1002,"="&amp;A33, deployment!$D$4:$D$1002,"&lt;&gt;"&amp;"", deployment!$C$4:$C$1002, "&lt;&gt;* )")+SUMIFS(namespace!$J$4:$J$1002, namespace!$B$4:$B$1002,"="&amp;A33, namespace!$B$4:$B$1002,"&lt;&gt;"&amp;""),"")</f>
        <v/>
      </c>
      <c r="O33" s="116" t="str">
        <f t="shared" si="7"/>
        <v/>
      </c>
      <c r="P33" s="63"/>
      <c r="Q33" s="164" t="str">
        <f t="shared" si="0"/>
        <v/>
      </c>
      <c r="R33" s="60" t="str">
        <f t="shared" si="1"/>
        <v/>
      </c>
      <c r="S33" s="60" t="str">
        <f t="shared" si="2"/>
        <v/>
      </c>
      <c r="T33" s="61" t="str">
        <f t="shared" si="3"/>
        <v/>
      </c>
      <c r="U33" s="61" t="str">
        <f t="shared" si="4"/>
        <v/>
      </c>
      <c r="V33" s="183" t="str">
        <f t="shared" si="8"/>
        <v/>
      </c>
      <c r="W33" s="183" t="str">
        <f t="shared" si="9"/>
        <v/>
      </c>
      <c r="X33" s="61" t="str">
        <f t="shared" si="10"/>
        <v/>
      </c>
      <c r="Y33" s="61" t="str">
        <f t="shared" si="11"/>
        <v/>
      </c>
      <c r="Z33" s="118" t="str">
        <f t="shared" si="12"/>
        <v/>
      </c>
      <c r="AA33" s="62" t="str">
        <f t="shared" si="13"/>
        <v/>
      </c>
      <c r="AB33" s="119" t="str">
        <f>IF(A33&lt;&gt;"", IF(P33&lt;&gt;0,SUMIFS(node!$J$2:$J$1000, node!$C$2:$C$1000,"="&amp;A33)/P33,0), "")</f>
        <v/>
      </c>
      <c r="AC33" s="81" t="str">
        <f>IF(A33&lt;&gt;"", IF(P33&lt;&gt;0,SUMIFS(node!$K$2:$K$1000, node!$C$2:$C$1000,"="&amp;A33)/P33,0), "")</f>
        <v/>
      </c>
      <c r="AD33" s="82" t="str">
        <f>IF(A33&lt;&gt;"", SUMIFS(node!$L$2:$L$1000, node!$C$2:$C$1000,"="&amp;A33), "")</f>
        <v/>
      </c>
      <c r="AE33" s="87" t="str">
        <f>IF(A33&lt;&gt;"", SUMIFS(node!$M$2:$M$1000, node!$C$2:$C$1000,"="&amp;A33), "")</f>
        <v/>
      </c>
    </row>
    <row r="34" spans="1:31" ht="15.75" customHeight="1" x14ac:dyDescent="0.25">
      <c r="A34" s="71"/>
      <c r="B34" s="108" t="str">
        <f>IF(A34&lt;&gt;"", VLOOKUP(A34, node!$C$2:$D$1000, 2, FALSE), "")</f>
        <v/>
      </c>
      <c r="C34" s="109" t="str">
        <f>IF(A34&lt;&gt;"", VLOOKUP(A34, node!$C$2:$E$1000, 3, FALSE), "")</f>
        <v/>
      </c>
      <c r="D34" s="110" t="str">
        <f>IF(A34&lt;&gt;"",COUNTIFS(node!$C$2:$C$1000,"="&amp;A34, node!$C$2:$C$1000,"&lt;&gt;"&amp;""),"")</f>
        <v/>
      </c>
      <c r="E34" s="111" t="str">
        <f>IF(A34&lt;&gt;"",SUMIFS(node!$F$2:$F$500, node!$C$2:$C$500,"="&amp;A34, node!$C$2:$C$500,"&lt;&gt;"&amp;"")/(B34*D34),"")</f>
        <v/>
      </c>
      <c r="F34" s="112" t="str">
        <f>IF(A34&lt;&gt;"",SUMIFS(node!$H$2:$H$500, node!$C$2:$C$500,"="&amp;A34, node!$C$2:$C$500,"&lt;&gt;"&amp;"")/(C34*D34),"")</f>
        <v/>
      </c>
      <c r="G34" s="179" t="str">
        <f>IF(A34&lt;&gt;"",SUMIFS(deployment!$F$4:$F$502, deployment!$D$4:$D$502,"="&amp;A34, deployment!$D$4:$D$502,"&lt;&gt;"&amp;""),"")</f>
        <v/>
      </c>
      <c r="H34" s="181" t="str">
        <f>IF(A34&lt;&gt;"",SUMIFS(deployment!$G$4:$G$502, deployment!$D$4:$D$502,"="&amp;A34, deployment!$D$4:$D$502,"&lt;&gt;"&amp;""),"")</f>
        <v/>
      </c>
      <c r="I34" s="113" t="str">
        <f>IF(A34&lt;&gt;"",SUMIFS(deployment!$H$4:$H$502, deployment!$D$4:$D$502,"="&amp;A34, deployment!$D$4:$D$502,"&lt;&gt;"&amp;""),"")</f>
        <v/>
      </c>
      <c r="J34" s="114" t="str">
        <f>IF(A34&lt;&gt;"",SUMIFS(deployment!$I$4:$I$502, deployment!$D$4:$D$502,"="&amp;A34, deployment!$D$4:$D$502,"&lt;&gt;"&amp;""),"")</f>
        <v/>
      </c>
      <c r="K34" s="182" t="str">
        <f>IF(A34&lt;&gt;"",SUMIFS(deployment!$J$4:$J$1002, deployment!$D$4:$D$1002,"="&amp;A34, deployment!$D$4:$D$1002,"&lt;&gt;"&amp;"", deployment!$C$4:$C$1002, "&lt;&gt;* )")+SUMIFS(namespace!$G$4:$G$1002, namespace!$B$4:$B$1002,"="&amp;A34, namespace!$B$4:$B$1002,"&lt;&gt;"&amp;""),"")</f>
        <v/>
      </c>
      <c r="L34" s="182" t="str">
        <f>IF(A34&lt;&gt;"",SUMIFS(deployment!$K$4:$K$1002, deployment!$D$4:$D$1002,"="&amp;A34, deployment!$D$4:$D$1002,"&lt;&gt;"&amp;"", deployment!$C$4:$C$1002, "&lt;&gt;* )")+SUMIFS(namespace!$H$4:$H$1002, namespace!$B$4:$B$1002,"="&amp;A34, namespace!$B$4:$B$1002,"&lt;&gt;"&amp;""),"")</f>
        <v/>
      </c>
      <c r="M34" s="115" t="str">
        <f>IF(A34&lt;&gt;"",SUMIFS(deployment!$L$4:$L$1002, deployment!$D$4:$D$1002,"="&amp;A34, deployment!$D$4:$D$1002,"&lt;&gt;"&amp;"", deployment!$C$4:$C$1002, "&lt;&gt;* )")+SUMIFS(namespace!$I$4:$I$1002, namespace!$B$4:$B$1002,"="&amp;A34, namespace!$B$4:$B$1002,"&lt;&gt;"&amp;""),"")</f>
        <v/>
      </c>
      <c r="N34" s="115" t="str">
        <f>IF(A34&lt;&gt;"",SUMIFS(deployment!$M$4:$M$1002, deployment!$D$4:$D$1002,"="&amp;A34, deployment!$D$4:$D$1002,"&lt;&gt;"&amp;"", deployment!$C$4:$C$1002, "&lt;&gt;* )")+SUMIFS(namespace!$J$4:$J$1002, namespace!$B$4:$B$1002,"="&amp;A34, namespace!$B$4:$B$1002,"&lt;&gt;"&amp;""),"")</f>
        <v/>
      </c>
      <c r="O34" s="116" t="str">
        <f t="shared" si="7"/>
        <v/>
      </c>
      <c r="P34" s="63"/>
      <c r="Q34" s="164" t="str">
        <f t="shared" si="0"/>
        <v/>
      </c>
      <c r="R34" s="60" t="str">
        <f t="shared" si="1"/>
        <v/>
      </c>
      <c r="S34" s="60" t="str">
        <f t="shared" si="2"/>
        <v/>
      </c>
      <c r="T34" s="61" t="str">
        <f t="shared" si="3"/>
        <v/>
      </c>
      <c r="U34" s="61" t="str">
        <f t="shared" si="4"/>
        <v/>
      </c>
      <c r="V34" s="183" t="str">
        <f t="shared" si="8"/>
        <v/>
      </c>
      <c r="W34" s="183" t="str">
        <f t="shared" si="9"/>
        <v/>
      </c>
      <c r="X34" s="61" t="str">
        <f t="shared" si="10"/>
        <v/>
      </c>
      <c r="Y34" s="61" t="str">
        <f t="shared" si="11"/>
        <v/>
      </c>
      <c r="Z34" s="118" t="str">
        <f t="shared" si="12"/>
        <v/>
      </c>
      <c r="AA34" s="62" t="str">
        <f t="shared" si="13"/>
        <v/>
      </c>
      <c r="AB34" s="119" t="str">
        <f>IF(A34&lt;&gt;"", IF(P34&lt;&gt;0,SUMIFS(node!$J$2:$J$1000, node!$C$2:$C$1000,"="&amp;A34)/P34,0), "")</f>
        <v/>
      </c>
      <c r="AC34" s="81" t="str">
        <f>IF(A34&lt;&gt;"", IF(P34&lt;&gt;0,SUMIFS(node!$K$2:$K$1000, node!$C$2:$C$1000,"="&amp;A34)/P34,0), "")</f>
        <v/>
      </c>
      <c r="AD34" s="82" t="str">
        <f>IF(A34&lt;&gt;"", SUMIFS(node!$L$2:$L$1000, node!$C$2:$C$1000,"="&amp;A34), "")</f>
        <v/>
      </c>
      <c r="AE34" s="87" t="str">
        <f>IF(A34&lt;&gt;"", SUMIFS(node!$M$2:$M$1000, node!$C$2:$C$1000,"="&amp;A34), "")</f>
        <v/>
      </c>
    </row>
    <row r="35" spans="1:31" ht="15.75" customHeight="1" x14ac:dyDescent="0.25">
      <c r="A35" s="71"/>
      <c r="B35" s="108" t="str">
        <f>IF(A35&lt;&gt;"", VLOOKUP(A35, node!$C$2:$D$1000, 2, FALSE), "")</f>
        <v/>
      </c>
      <c r="C35" s="109" t="str">
        <f>IF(A35&lt;&gt;"", VLOOKUP(A35, node!$C$2:$E$1000, 3, FALSE), "")</f>
        <v/>
      </c>
      <c r="D35" s="110" t="str">
        <f>IF(A35&lt;&gt;"",COUNTIFS(node!$C$2:$C$1000,"="&amp;A35, node!$C$2:$C$1000,"&lt;&gt;"&amp;""),"")</f>
        <v/>
      </c>
      <c r="E35" s="111" t="str">
        <f>IF(A35&lt;&gt;"",SUMIFS(node!$F$2:$F$500, node!$C$2:$C$500,"="&amp;A35, node!$C$2:$C$500,"&lt;&gt;"&amp;"")/(B35*D35),"")</f>
        <v/>
      </c>
      <c r="F35" s="112" t="str">
        <f>IF(A35&lt;&gt;"",SUMIFS(node!$H$2:$H$500, node!$C$2:$C$500,"="&amp;A35, node!$C$2:$C$500,"&lt;&gt;"&amp;"")/(C35*D35),"")</f>
        <v/>
      </c>
      <c r="G35" s="179" t="str">
        <f>IF(A35&lt;&gt;"",SUMIFS(deployment!$F$4:$F$502, deployment!$D$4:$D$502,"="&amp;A35, deployment!$D$4:$D$502,"&lt;&gt;"&amp;""),"")</f>
        <v/>
      </c>
      <c r="H35" s="181" t="str">
        <f>IF(A35&lt;&gt;"",SUMIFS(deployment!$G$4:$G$502, deployment!$D$4:$D$502,"="&amp;A35, deployment!$D$4:$D$502,"&lt;&gt;"&amp;""),"")</f>
        <v/>
      </c>
      <c r="I35" s="113" t="str">
        <f>IF(A35&lt;&gt;"",SUMIFS(deployment!$H$4:$H$502, deployment!$D$4:$D$502,"="&amp;A35, deployment!$D$4:$D$502,"&lt;&gt;"&amp;""),"")</f>
        <v/>
      </c>
      <c r="J35" s="114" t="str">
        <f>IF(A35&lt;&gt;"",SUMIFS(deployment!$I$4:$I$502, deployment!$D$4:$D$502,"="&amp;A35, deployment!$D$4:$D$502,"&lt;&gt;"&amp;""),"")</f>
        <v/>
      </c>
      <c r="K35" s="182" t="str">
        <f>IF(A35&lt;&gt;"",SUMIFS(deployment!$J$4:$J$1002, deployment!$D$4:$D$1002,"="&amp;A35, deployment!$D$4:$D$1002,"&lt;&gt;"&amp;"", deployment!$C$4:$C$1002, "&lt;&gt;* )")+SUMIFS(namespace!$G$4:$G$1002, namespace!$B$4:$B$1002,"="&amp;A35, namespace!$B$4:$B$1002,"&lt;&gt;"&amp;""),"")</f>
        <v/>
      </c>
      <c r="L35" s="182" t="str">
        <f>IF(A35&lt;&gt;"",SUMIFS(deployment!$K$4:$K$1002, deployment!$D$4:$D$1002,"="&amp;A35, deployment!$D$4:$D$1002,"&lt;&gt;"&amp;"", deployment!$C$4:$C$1002, "&lt;&gt;* )")+SUMIFS(namespace!$H$4:$H$1002, namespace!$B$4:$B$1002,"="&amp;A35, namespace!$B$4:$B$1002,"&lt;&gt;"&amp;""),"")</f>
        <v/>
      </c>
      <c r="M35" s="115" t="str">
        <f>IF(A35&lt;&gt;"",SUMIFS(deployment!$L$4:$L$1002, deployment!$D$4:$D$1002,"="&amp;A35, deployment!$D$4:$D$1002,"&lt;&gt;"&amp;"", deployment!$C$4:$C$1002, "&lt;&gt;* )")+SUMIFS(namespace!$I$4:$I$1002, namespace!$B$4:$B$1002,"="&amp;A35, namespace!$B$4:$B$1002,"&lt;&gt;"&amp;""),"")</f>
        <v/>
      </c>
      <c r="N35" s="115" t="str">
        <f>IF(A35&lt;&gt;"",SUMIFS(deployment!$M$4:$M$1002, deployment!$D$4:$D$1002,"="&amp;A35, deployment!$D$4:$D$1002,"&lt;&gt;"&amp;"", deployment!$C$4:$C$1002, "&lt;&gt;* )")+SUMIFS(namespace!$J$4:$J$1002, namespace!$B$4:$B$1002,"="&amp;A35, namespace!$B$4:$B$1002,"&lt;&gt;"&amp;""),"")</f>
        <v/>
      </c>
      <c r="O35" s="116" t="str">
        <f t="shared" si="7"/>
        <v/>
      </c>
      <c r="P35" s="63"/>
      <c r="Q35" s="164" t="str">
        <f t="shared" si="0"/>
        <v/>
      </c>
      <c r="R35" s="60" t="str">
        <f t="shared" si="1"/>
        <v/>
      </c>
      <c r="S35" s="60" t="str">
        <f t="shared" si="2"/>
        <v/>
      </c>
      <c r="T35" s="61" t="str">
        <f t="shared" si="3"/>
        <v/>
      </c>
      <c r="U35" s="61" t="str">
        <f t="shared" si="4"/>
        <v/>
      </c>
      <c r="V35" s="183" t="str">
        <f t="shared" si="8"/>
        <v/>
      </c>
      <c r="W35" s="183" t="str">
        <f t="shared" si="9"/>
        <v/>
      </c>
      <c r="X35" s="61" t="str">
        <f t="shared" si="10"/>
        <v/>
      </c>
      <c r="Y35" s="61" t="str">
        <f t="shared" si="11"/>
        <v/>
      </c>
      <c r="Z35" s="118" t="str">
        <f t="shared" si="12"/>
        <v/>
      </c>
      <c r="AA35" s="62" t="str">
        <f t="shared" si="13"/>
        <v/>
      </c>
      <c r="AB35" s="119" t="str">
        <f>IF(A35&lt;&gt;"", IF(P35&lt;&gt;0,SUMIFS(node!$J$2:$J$1000, node!$C$2:$C$1000,"="&amp;A35)/P35,0), "")</f>
        <v/>
      </c>
      <c r="AC35" s="81" t="str">
        <f>IF(A35&lt;&gt;"", IF(P35&lt;&gt;0,SUMIFS(node!$K$2:$K$1000, node!$C$2:$C$1000,"="&amp;A35)/P35,0), "")</f>
        <v/>
      </c>
      <c r="AD35" s="82" t="str">
        <f>IF(A35&lt;&gt;"", SUMIFS(node!$L$2:$L$1000, node!$C$2:$C$1000,"="&amp;A35), "")</f>
        <v/>
      </c>
      <c r="AE35" s="87" t="str">
        <f>IF(A35&lt;&gt;"", SUMIFS(node!$M$2:$M$1000, node!$C$2:$C$1000,"="&amp;A35), "")</f>
        <v/>
      </c>
    </row>
    <row r="36" spans="1:31" ht="15.75" customHeight="1" x14ac:dyDescent="0.25">
      <c r="A36" s="71"/>
      <c r="B36" s="108" t="str">
        <f>IF(A36&lt;&gt;"", VLOOKUP(A36, node!$C$2:$D$1000, 2, FALSE), "")</f>
        <v/>
      </c>
      <c r="C36" s="109" t="str">
        <f>IF(A36&lt;&gt;"", VLOOKUP(A36, node!$C$2:$E$1000, 3, FALSE), "")</f>
        <v/>
      </c>
      <c r="D36" s="110" t="str">
        <f>IF(A36&lt;&gt;"",COUNTIFS(node!$C$2:$C$1000,"="&amp;A36, node!$C$2:$C$1000,"&lt;&gt;"&amp;""),"")</f>
        <v/>
      </c>
      <c r="E36" s="111" t="str">
        <f>IF(A36&lt;&gt;"",SUMIFS(node!$F$2:$F$500, node!$C$2:$C$500,"="&amp;A36, node!$C$2:$C$500,"&lt;&gt;"&amp;"")/(B36*D36),"")</f>
        <v/>
      </c>
      <c r="F36" s="112" t="str">
        <f>IF(A36&lt;&gt;"",SUMIFS(node!$H$2:$H$500, node!$C$2:$C$500,"="&amp;A36, node!$C$2:$C$500,"&lt;&gt;"&amp;"")/(C36*D36),"")</f>
        <v/>
      </c>
      <c r="G36" s="179" t="str">
        <f>IF(A36&lt;&gt;"",SUMIFS(deployment!$F$4:$F$502, deployment!$D$4:$D$502,"="&amp;A36, deployment!$D$4:$D$502,"&lt;&gt;"&amp;""),"")</f>
        <v/>
      </c>
      <c r="H36" s="181" t="str">
        <f>IF(A36&lt;&gt;"",SUMIFS(deployment!$G$4:$G$502, deployment!$D$4:$D$502,"="&amp;A36, deployment!$D$4:$D$502,"&lt;&gt;"&amp;""),"")</f>
        <v/>
      </c>
      <c r="I36" s="113" t="str">
        <f>IF(A36&lt;&gt;"",SUMIFS(deployment!$H$4:$H$502, deployment!$D$4:$D$502,"="&amp;A36, deployment!$D$4:$D$502,"&lt;&gt;"&amp;""),"")</f>
        <v/>
      </c>
      <c r="J36" s="114" t="str">
        <f>IF(A36&lt;&gt;"",SUMIFS(deployment!$I$4:$I$502, deployment!$D$4:$D$502,"="&amp;A36, deployment!$D$4:$D$502,"&lt;&gt;"&amp;""),"")</f>
        <v/>
      </c>
      <c r="K36" s="182" t="str">
        <f>IF(A36&lt;&gt;"",SUMIFS(deployment!$J$4:$J$1002, deployment!$D$4:$D$1002,"="&amp;A36, deployment!$D$4:$D$1002,"&lt;&gt;"&amp;"", deployment!$C$4:$C$1002, "&lt;&gt;* )")+SUMIFS(namespace!$G$4:$G$1002, namespace!$B$4:$B$1002,"="&amp;A36, namespace!$B$4:$B$1002,"&lt;&gt;"&amp;""),"")</f>
        <v/>
      </c>
      <c r="L36" s="182" t="str">
        <f>IF(A36&lt;&gt;"",SUMIFS(deployment!$K$4:$K$1002, deployment!$D$4:$D$1002,"="&amp;A36, deployment!$D$4:$D$1002,"&lt;&gt;"&amp;"", deployment!$C$4:$C$1002, "&lt;&gt;* )")+SUMIFS(namespace!$H$4:$H$1002, namespace!$B$4:$B$1002,"="&amp;A36, namespace!$B$4:$B$1002,"&lt;&gt;"&amp;""),"")</f>
        <v/>
      </c>
      <c r="M36" s="115" t="str">
        <f>IF(A36&lt;&gt;"",SUMIFS(deployment!$L$4:$L$1002, deployment!$D$4:$D$1002,"="&amp;A36, deployment!$D$4:$D$1002,"&lt;&gt;"&amp;"", deployment!$C$4:$C$1002, "&lt;&gt;* )")+SUMIFS(namespace!$I$4:$I$1002, namespace!$B$4:$B$1002,"="&amp;A36, namespace!$B$4:$B$1002,"&lt;&gt;"&amp;""),"")</f>
        <v/>
      </c>
      <c r="N36" s="115" t="str">
        <f>IF(A36&lt;&gt;"",SUMIFS(deployment!$M$4:$M$1002, deployment!$D$4:$D$1002,"="&amp;A36, deployment!$D$4:$D$1002,"&lt;&gt;"&amp;"", deployment!$C$4:$C$1002, "&lt;&gt;* )")+SUMIFS(namespace!$J$4:$J$1002, namespace!$B$4:$B$1002,"="&amp;A36, namespace!$B$4:$B$1002,"&lt;&gt;"&amp;""),"")</f>
        <v/>
      </c>
      <c r="O36" s="116" t="str">
        <f t="shared" si="7"/>
        <v/>
      </c>
      <c r="P36" s="63"/>
      <c r="Q36" s="164" t="str">
        <f t="shared" si="0"/>
        <v/>
      </c>
      <c r="R36" s="60" t="str">
        <f t="shared" si="1"/>
        <v/>
      </c>
      <c r="S36" s="60" t="str">
        <f t="shared" si="2"/>
        <v/>
      </c>
      <c r="T36" s="61" t="str">
        <f t="shared" si="3"/>
        <v/>
      </c>
      <c r="U36" s="61" t="str">
        <f t="shared" si="4"/>
        <v/>
      </c>
      <c r="V36" s="183" t="str">
        <f t="shared" si="8"/>
        <v/>
      </c>
      <c r="W36" s="183" t="str">
        <f t="shared" si="9"/>
        <v/>
      </c>
      <c r="X36" s="61" t="str">
        <f t="shared" si="10"/>
        <v/>
      </c>
      <c r="Y36" s="61" t="str">
        <f t="shared" si="11"/>
        <v/>
      </c>
      <c r="Z36" s="118" t="str">
        <f t="shared" si="12"/>
        <v/>
      </c>
      <c r="AA36" s="62" t="str">
        <f t="shared" si="13"/>
        <v/>
      </c>
      <c r="AB36" s="119" t="str">
        <f>IF(A36&lt;&gt;"", IF(P36&lt;&gt;0,SUMIFS(node!$J$2:$J$1000, node!$C$2:$C$1000,"="&amp;A36)/P36,0), "")</f>
        <v/>
      </c>
      <c r="AC36" s="81" t="str">
        <f>IF(A36&lt;&gt;"", IF(P36&lt;&gt;0,SUMIFS(node!$K$2:$K$1000, node!$C$2:$C$1000,"="&amp;A36)/P36,0), "")</f>
        <v/>
      </c>
      <c r="AD36" s="82" t="str">
        <f>IF(A36&lt;&gt;"", SUMIFS(node!$L$2:$L$1000, node!$C$2:$C$1000,"="&amp;A36), "")</f>
        <v/>
      </c>
      <c r="AE36" s="87" t="str">
        <f>IF(A36&lt;&gt;"", SUMIFS(node!$M$2:$M$1000, node!$C$2:$C$1000,"="&amp;A36), "")</f>
        <v/>
      </c>
    </row>
    <row r="37" spans="1:31" ht="15.75" customHeight="1" x14ac:dyDescent="0.25">
      <c r="A37" s="71"/>
      <c r="B37" s="108" t="str">
        <f>IF(A37&lt;&gt;"", VLOOKUP(A37, node!$C$2:$D$1000, 2, FALSE), "")</f>
        <v/>
      </c>
      <c r="C37" s="109" t="str">
        <f>IF(A37&lt;&gt;"", VLOOKUP(A37, node!$C$2:$E$1000, 3, FALSE), "")</f>
        <v/>
      </c>
      <c r="D37" s="110" t="str">
        <f>IF(A37&lt;&gt;"",COUNTIFS(node!$C$2:$C$1000,"="&amp;A37, node!$C$2:$C$1000,"&lt;&gt;"&amp;""),"")</f>
        <v/>
      </c>
      <c r="E37" s="111" t="str">
        <f>IF(A37&lt;&gt;"",SUMIFS(node!$F$2:$F$500, node!$C$2:$C$500,"="&amp;A37, node!$C$2:$C$500,"&lt;&gt;"&amp;"")/(B37*D37),"")</f>
        <v/>
      </c>
      <c r="F37" s="112" t="str">
        <f>IF(A37&lt;&gt;"",SUMIFS(node!$H$2:$H$500, node!$C$2:$C$500,"="&amp;A37, node!$C$2:$C$500,"&lt;&gt;"&amp;"")/(C37*D37),"")</f>
        <v/>
      </c>
      <c r="G37" s="179" t="str">
        <f>IF(A37&lt;&gt;"",SUMIFS(deployment!$F$4:$F$502, deployment!$D$4:$D$502,"="&amp;A37, deployment!$D$4:$D$502,"&lt;&gt;"&amp;""),"")</f>
        <v/>
      </c>
      <c r="H37" s="181" t="str">
        <f>IF(A37&lt;&gt;"",SUMIFS(deployment!$G$4:$G$502, deployment!$D$4:$D$502,"="&amp;A37, deployment!$D$4:$D$502,"&lt;&gt;"&amp;""),"")</f>
        <v/>
      </c>
      <c r="I37" s="113" t="str">
        <f>IF(A37&lt;&gt;"",SUMIFS(deployment!$H$4:$H$502, deployment!$D$4:$D$502,"="&amp;A37, deployment!$D$4:$D$502,"&lt;&gt;"&amp;""),"")</f>
        <v/>
      </c>
      <c r="J37" s="114" t="str">
        <f>IF(A37&lt;&gt;"",SUMIFS(deployment!$I$4:$I$502, deployment!$D$4:$D$502,"="&amp;A37, deployment!$D$4:$D$502,"&lt;&gt;"&amp;""),"")</f>
        <v/>
      </c>
      <c r="K37" s="182" t="str">
        <f>IF(A37&lt;&gt;"",SUMIFS(deployment!$J$4:$J$1002, deployment!$D$4:$D$1002,"="&amp;A37, deployment!$D$4:$D$1002,"&lt;&gt;"&amp;"", deployment!$C$4:$C$1002, "&lt;&gt;* )")+SUMIFS(namespace!$G$4:$G$1002, namespace!$B$4:$B$1002,"="&amp;A37, namespace!$B$4:$B$1002,"&lt;&gt;"&amp;""),"")</f>
        <v/>
      </c>
      <c r="L37" s="182" t="str">
        <f>IF(A37&lt;&gt;"",SUMIFS(deployment!$K$4:$K$1002, deployment!$D$4:$D$1002,"="&amp;A37, deployment!$D$4:$D$1002,"&lt;&gt;"&amp;"", deployment!$C$4:$C$1002, "&lt;&gt;* )")+SUMIFS(namespace!$H$4:$H$1002, namespace!$B$4:$B$1002,"="&amp;A37, namespace!$B$4:$B$1002,"&lt;&gt;"&amp;""),"")</f>
        <v/>
      </c>
      <c r="M37" s="115" t="str">
        <f>IF(A37&lt;&gt;"",SUMIFS(deployment!$L$4:$L$1002, deployment!$D$4:$D$1002,"="&amp;A37, deployment!$D$4:$D$1002,"&lt;&gt;"&amp;"", deployment!$C$4:$C$1002, "&lt;&gt;* )")+SUMIFS(namespace!$I$4:$I$1002, namespace!$B$4:$B$1002,"="&amp;A37, namespace!$B$4:$B$1002,"&lt;&gt;"&amp;""),"")</f>
        <v/>
      </c>
      <c r="N37" s="115" t="str">
        <f>IF(A37&lt;&gt;"",SUMIFS(deployment!$M$4:$M$1002, deployment!$D$4:$D$1002,"="&amp;A37, deployment!$D$4:$D$1002,"&lt;&gt;"&amp;"", deployment!$C$4:$C$1002, "&lt;&gt;* )")+SUMIFS(namespace!$J$4:$J$1002, namespace!$B$4:$B$1002,"="&amp;A37, namespace!$B$4:$B$1002,"&lt;&gt;"&amp;""),"")</f>
        <v/>
      </c>
      <c r="O37" s="116" t="str">
        <f t="shared" si="7"/>
        <v/>
      </c>
      <c r="P37" s="63"/>
      <c r="Q37" s="164" t="str">
        <f t="shared" si="0"/>
        <v/>
      </c>
      <c r="R37" s="60" t="str">
        <f t="shared" si="1"/>
        <v/>
      </c>
      <c r="S37" s="60" t="str">
        <f t="shared" si="2"/>
        <v/>
      </c>
      <c r="T37" s="61" t="str">
        <f t="shared" si="3"/>
        <v/>
      </c>
      <c r="U37" s="61" t="str">
        <f t="shared" si="4"/>
        <v/>
      </c>
      <c r="V37" s="183" t="str">
        <f t="shared" si="8"/>
        <v/>
      </c>
      <c r="W37" s="183" t="str">
        <f t="shared" si="9"/>
        <v/>
      </c>
      <c r="X37" s="61" t="str">
        <f t="shared" si="10"/>
        <v/>
      </c>
      <c r="Y37" s="61" t="str">
        <f t="shared" si="11"/>
        <v/>
      </c>
      <c r="Z37" s="118" t="str">
        <f t="shared" si="12"/>
        <v/>
      </c>
      <c r="AA37" s="62" t="str">
        <f t="shared" si="13"/>
        <v/>
      </c>
      <c r="AB37" s="119" t="str">
        <f>IF(A37&lt;&gt;"", IF(P37&lt;&gt;0,SUMIFS(node!$J$2:$J$1000, node!$C$2:$C$1000,"="&amp;A37)/P37,0), "")</f>
        <v/>
      </c>
      <c r="AC37" s="81" t="str">
        <f>IF(A37&lt;&gt;"", IF(P37&lt;&gt;0,SUMIFS(node!$K$2:$K$1000, node!$C$2:$C$1000,"="&amp;A37)/P37,0), "")</f>
        <v/>
      </c>
      <c r="AD37" s="82" t="str">
        <f>IF(A37&lt;&gt;"", SUMIFS(node!$L$2:$L$1000, node!$C$2:$C$1000,"="&amp;A37), "")</f>
        <v/>
      </c>
      <c r="AE37" s="87" t="str">
        <f>IF(A37&lt;&gt;"", SUMIFS(node!$M$2:$M$1000, node!$C$2:$C$1000,"="&amp;A37), "")</f>
        <v/>
      </c>
    </row>
    <row r="38" spans="1:31" ht="15.75" customHeight="1" x14ac:dyDescent="0.25">
      <c r="A38" s="71"/>
      <c r="B38" s="108" t="str">
        <f>IF(A38&lt;&gt;"", VLOOKUP(A38, node!$C$2:$D$1000, 2, FALSE), "")</f>
        <v/>
      </c>
      <c r="C38" s="109" t="str">
        <f>IF(A38&lt;&gt;"", VLOOKUP(A38, node!$C$2:$E$1000, 3, FALSE), "")</f>
        <v/>
      </c>
      <c r="D38" s="110" t="str">
        <f>IF(A38&lt;&gt;"",COUNTIFS(node!$C$2:$C$1000,"="&amp;A38, node!$C$2:$C$1000,"&lt;&gt;"&amp;""),"")</f>
        <v/>
      </c>
      <c r="E38" s="111" t="str">
        <f>IF(A38&lt;&gt;"",SUMIFS(node!$F$2:$F$500, node!$C$2:$C$500,"="&amp;A38, node!$C$2:$C$500,"&lt;&gt;"&amp;"")/(B38*D38),"")</f>
        <v/>
      </c>
      <c r="F38" s="112" t="str">
        <f>IF(A38&lt;&gt;"",SUMIFS(node!$H$2:$H$500, node!$C$2:$C$500,"="&amp;A38, node!$C$2:$C$500,"&lt;&gt;"&amp;"")/(C38*D38),"")</f>
        <v/>
      </c>
      <c r="G38" s="179" t="str">
        <f>IF(A38&lt;&gt;"",SUMIFS(deployment!$F$4:$F$502, deployment!$D$4:$D$502,"="&amp;A38, deployment!$D$4:$D$502,"&lt;&gt;"&amp;""),"")</f>
        <v/>
      </c>
      <c r="H38" s="181" t="str">
        <f>IF(A38&lt;&gt;"",SUMIFS(deployment!$G$4:$G$502, deployment!$D$4:$D$502,"="&amp;A38, deployment!$D$4:$D$502,"&lt;&gt;"&amp;""),"")</f>
        <v/>
      </c>
      <c r="I38" s="113" t="str">
        <f>IF(A38&lt;&gt;"",SUMIFS(deployment!$H$4:$H$502, deployment!$D$4:$D$502,"="&amp;A38, deployment!$D$4:$D$502,"&lt;&gt;"&amp;""),"")</f>
        <v/>
      </c>
      <c r="J38" s="114" t="str">
        <f>IF(A38&lt;&gt;"",SUMIFS(deployment!$I$4:$I$502, deployment!$D$4:$D$502,"="&amp;A38, deployment!$D$4:$D$502,"&lt;&gt;"&amp;""),"")</f>
        <v/>
      </c>
      <c r="K38" s="182" t="str">
        <f>IF(A38&lt;&gt;"",SUMIFS(deployment!$J$4:$J$1002, deployment!$D$4:$D$1002,"="&amp;A38, deployment!$D$4:$D$1002,"&lt;&gt;"&amp;"", deployment!$C$4:$C$1002, "&lt;&gt;* )")+SUMIFS(namespace!$G$4:$G$1002, namespace!$B$4:$B$1002,"="&amp;A38, namespace!$B$4:$B$1002,"&lt;&gt;"&amp;""),"")</f>
        <v/>
      </c>
      <c r="L38" s="182" t="str">
        <f>IF(A38&lt;&gt;"",SUMIFS(deployment!$K$4:$K$1002, deployment!$D$4:$D$1002,"="&amp;A38, deployment!$D$4:$D$1002,"&lt;&gt;"&amp;"", deployment!$C$4:$C$1002, "&lt;&gt;* )")+SUMIFS(namespace!$H$4:$H$1002, namespace!$B$4:$B$1002,"="&amp;A38, namespace!$B$4:$B$1002,"&lt;&gt;"&amp;""),"")</f>
        <v/>
      </c>
      <c r="M38" s="115" t="str">
        <f>IF(A38&lt;&gt;"",SUMIFS(deployment!$L$4:$L$1002, deployment!$D$4:$D$1002,"="&amp;A38, deployment!$D$4:$D$1002,"&lt;&gt;"&amp;"", deployment!$C$4:$C$1002, "&lt;&gt;* )")+SUMIFS(namespace!$I$4:$I$1002, namespace!$B$4:$B$1002,"="&amp;A38, namespace!$B$4:$B$1002,"&lt;&gt;"&amp;""),"")</f>
        <v/>
      </c>
      <c r="N38" s="115" t="str">
        <f>IF(A38&lt;&gt;"",SUMIFS(deployment!$M$4:$M$1002, deployment!$D$4:$D$1002,"="&amp;A38, deployment!$D$4:$D$1002,"&lt;&gt;"&amp;"", deployment!$C$4:$C$1002, "&lt;&gt;* )")+SUMIFS(namespace!$J$4:$J$1002, namespace!$B$4:$B$1002,"="&amp;A38, namespace!$B$4:$B$1002,"&lt;&gt;"&amp;""),"")</f>
        <v/>
      </c>
      <c r="O38" s="116" t="str">
        <f t="shared" si="7"/>
        <v/>
      </c>
      <c r="P38" s="63"/>
      <c r="Q38" s="164" t="str">
        <f t="shared" si="0"/>
        <v/>
      </c>
      <c r="R38" s="60" t="str">
        <f t="shared" si="1"/>
        <v/>
      </c>
      <c r="S38" s="60" t="str">
        <f t="shared" si="2"/>
        <v/>
      </c>
      <c r="T38" s="61" t="str">
        <f t="shared" si="3"/>
        <v/>
      </c>
      <c r="U38" s="61" t="str">
        <f t="shared" si="4"/>
        <v/>
      </c>
      <c r="V38" s="183" t="str">
        <f t="shared" si="8"/>
        <v/>
      </c>
      <c r="W38" s="183" t="str">
        <f t="shared" si="9"/>
        <v/>
      </c>
      <c r="X38" s="61" t="str">
        <f t="shared" si="10"/>
        <v/>
      </c>
      <c r="Y38" s="61" t="str">
        <f t="shared" si="11"/>
        <v/>
      </c>
      <c r="Z38" s="118" t="str">
        <f t="shared" si="12"/>
        <v/>
      </c>
      <c r="AA38" s="62" t="str">
        <f t="shared" si="13"/>
        <v/>
      </c>
      <c r="AB38" s="119" t="str">
        <f>IF(A38&lt;&gt;"", IF(P38&lt;&gt;0,SUMIFS(node!$J$2:$J$1000, node!$C$2:$C$1000,"="&amp;A38)/P38,0), "")</f>
        <v/>
      </c>
      <c r="AC38" s="81" t="str">
        <f>IF(A38&lt;&gt;"", IF(P38&lt;&gt;0,SUMIFS(node!$K$2:$K$1000, node!$C$2:$C$1000,"="&amp;A38)/P38,0), "")</f>
        <v/>
      </c>
      <c r="AD38" s="82" t="str">
        <f>IF(A38&lt;&gt;"", SUMIFS(node!$L$2:$L$1000, node!$C$2:$C$1000,"="&amp;A38), "")</f>
        <v/>
      </c>
      <c r="AE38" s="87" t="str">
        <f>IF(A38&lt;&gt;"", SUMIFS(node!$M$2:$M$1000, node!$C$2:$C$1000,"="&amp;A38), "")</f>
        <v/>
      </c>
    </row>
    <row r="39" spans="1:31" ht="15.75" customHeight="1" x14ac:dyDescent="0.25">
      <c r="A39" s="71"/>
      <c r="B39" s="108" t="str">
        <f>IF(A39&lt;&gt;"", VLOOKUP(A39, node!$C$2:$D$1000, 2, FALSE), "")</f>
        <v/>
      </c>
      <c r="C39" s="109" t="str">
        <f>IF(A39&lt;&gt;"", VLOOKUP(A39, node!$C$2:$E$1000, 3, FALSE), "")</f>
        <v/>
      </c>
      <c r="D39" s="110" t="str">
        <f>IF(A39&lt;&gt;"",COUNTIFS(node!$C$2:$C$1000,"="&amp;A39, node!$C$2:$C$1000,"&lt;&gt;"&amp;""),"")</f>
        <v/>
      </c>
      <c r="E39" s="111" t="str">
        <f>IF(A39&lt;&gt;"",SUMIFS(node!$F$2:$F$500, node!$C$2:$C$500,"="&amp;A39, node!$C$2:$C$500,"&lt;&gt;"&amp;"")/(B39*D39),"")</f>
        <v/>
      </c>
      <c r="F39" s="112" t="str">
        <f>IF(A39&lt;&gt;"",SUMIFS(node!$H$2:$H$500, node!$C$2:$C$500,"="&amp;A39, node!$C$2:$C$500,"&lt;&gt;"&amp;"")/(C39*D39),"")</f>
        <v/>
      </c>
      <c r="G39" s="179" t="str">
        <f>IF(A39&lt;&gt;"",SUMIFS(deployment!$F$4:$F$502, deployment!$D$4:$D$502,"="&amp;A39, deployment!$D$4:$D$502,"&lt;&gt;"&amp;""),"")</f>
        <v/>
      </c>
      <c r="H39" s="181" t="str">
        <f>IF(A39&lt;&gt;"",SUMIFS(deployment!$G$4:$G$502, deployment!$D$4:$D$502,"="&amp;A39, deployment!$D$4:$D$502,"&lt;&gt;"&amp;""),"")</f>
        <v/>
      </c>
      <c r="I39" s="113" t="str">
        <f>IF(A39&lt;&gt;"",SUMIFS(deployment!$H$4:$H$502, deployment!$D$4:$D$502,"="&amp;A39, deployment!$D$4:$D$502,"&lt;&gt;"&amp;""),"")</f>
        <v/>
      </c>
      <c r="J39" s="114" t="str">
        <f>IF(A39&lt;&gt;"",SUMIFS(deployment!$I$4:$I$502, deployment!$D$4:$D$502,"="&amp;A39, deployment!$D$4:$D$502,"&lt;&gt;"&amp;""),"")</f>
        <v/>
      </c>
      <c r="K39" s="182" t="str">
        <f>IF(A39&lt;&gt;"",SUMIFS(deployment!$J$4:$J$1002, deployment!$D$4:$D$1002,"="&amp;A39, deployment!$D$4:$D$1002,"&lt;&gt;"&amp;"", deployment!$C$4:$C$1002, "&lt;&gt;* )")+SUMIFS(namespace!$G$4:$G$1002, namespace!$B$4:$B$1002,"="&amp;A39, namespace!$B$4:$B$1002,"&lt;&gt;"&amp;""),"")</f>
        <v/>
      </c>
      <c r="L39" s="182" t="str">
        <f>IF(A39&lt;&gt;"",SUMIFS(deployment!$K$4:$K$1002, deployment!$D$4:$D$1002,"="&amp;A39, deployment!$D$4:$D$1002,"&lt;&gt;"&amp;"", deployment!$C$4:$C$1002, "&lt;&gt;* )")+SUMIFS(namespace!$H$4:$H$1002, namespace!$B$4:$B$1002,"="&amp;A39, namespace!$B$4:$B$1002,"&lt;&gt;"&amp;""),"")</f>
        <v/>
      </c>
      <c r="M39" s="115" t="str">
        <f>IF(A39&lt;&gt;"",SUMIFS(deployment!$L$4:$L$1002, deployment!$D$4:$D$1002,"="&amp;A39, deployment!$D$4:$D$1002,"&lt;&gt;"&amp;"", deployment!$C$4:$C$1002, "&lt;&gt;* )")+SUMIFS(namespace!$I$4:$I$1002, namespace!$B$4:$B$1002,"="&amp;A39, namespace!$B$4:$B$1002,"&lt;&gt;"&amp;""),"")</f>
        <v/>
      </c>
      <c r="N39" s="115" t="str">
        <f>IF(A39&lt;&gt;"",SUMIFS(deployment!$M$4:$M$1002, deployment!$D$4:$D$1002,"="&amp;A39, deployment!$D$4:$D$1002,"&lt;&gt;"&amp;"", deployment!$C$4:$C$1002, "&lt;&gt;* )")+SUMIFS(namespace!$J$4:$J$1002, namespace!$B$4:$B$1002,"="&amp;A39, namespace!$B$4:$B$1002,"&lt;&gt;"&amp;""),"")</f>
        <v/>
      </c>
      <c r="O39" s="116" t="str">
        <f t="shared" si="7"/>
        <v/>
      </c>
      <c r="P39" s="63"/>
      <c r="Q39" s="164" t="str">
        <f t="shared" si="0"/>
        <v/>
      </c>
      <c r="R39" s="60" t="str">
        <f t="shared" si="1"/>
        <v/>
      </c>
      <c r="S39" s="60" t="str">
        <f t="shared" si="2"/>
        <v/>
      </c>
      <c r="T39" s="61" t="str">
        <f t="shared" si="3"/>
        <v/>
      </c>
      <c r="U39" s="61" t="str">
        <f t="shared" si="4"/>
        <v/>
      </c>
      <c r="V39" s="183" t="str">
        <f t="shared" si="8"/>
        <v/>
      </c>
      <c r="W39" s="183" t="str">
        <f t="shared" si="9"/>
        <v/>
      </c>
      <c r="X39" s="61" t="str">
        <f t="shared" si="10"/>
        <v/>
      </c>
      <c r="Y39" s="61" t="str">
        <f t="shared" si="11"/>
        <v/>
      </c>
      <c r="Z39" s="118" t="str">
        <f t="shared" si="12"/>
        <v/>
      </c>
      <c r="AA39" s="62" t="str">
        <f t="shared" si="13"/>
        <v/>
      </c>
      <c r="AB39" s="119" t="str">
        <f>IF(A39&lt;&gt;"", IF(P39&lt;&gt;0,SUMIFS(node!$J$2:$J$1000, node!$C$2:$C$1000,"="&amp;A39)/P39,0), "")</f>
        <v/>
      </c>
      <c r="AC39" s="81" t="str">
        <f>IF(A39&lt;&gt;"", IF(P39&lt;&gt;0,SUMIFS(node!$K$2:$K$1000, node!$C$2:$C$1000,"="&amp;A39)/P39,0), "")</f>
        <v/>
      </c>
      <c r="AD39" s="82" t="str">
        <f>IF(A39&lt;&gt;"", SUMIFS(node!$L$2:$L$1000, node!$C$2:$C$1000,"="&amp;A39), "")</f>
        <v/>
      </c>
      <c r="AE39" s="87" t="str">
        <f>IF(A39&lt;&gt;"", SUMIFS(node!$M$2:$M$1000, node!$C$2:$C$1000,"="&amp;A39), "")</f>
        <v/>
      </c>
    </row>
    <row r="40" spans="1:31" ht="15.75" customHeight="1" x14ac:dyDescent="0.25">
      <c r="A40" s="71"/>
      <c r="B40" s="108" t="str">
        <f>IF(A40&lt;&gt;"", VLOOKUP(A40, node!$C$2:$D$1000, 2, FALSE), "")</f>
        <v/>
      </c>
      <c r="C40" s="109" t="str">
        <f>IF(A40&lt;&gt;"", VLOOKUP(A40, node!$C$2:$E$1000, 3, FALSE), "")</f>
        <v/>
      </c>
      <c r="D40" s="110" t="str">
        <f>IF(A40&lt;&gt;"",COUNTIFS(node!$C$2:$C$1000,"="&amp;A40, node!$C$2:$C$1000,"&lt;&gt;"&amp;""),"")</f>
        <v/>
      </c>
      <c r="E40" s="111" t="str">
        <f>IF(A40&lt;&gt;"",SUMIFS(node!$F$2:$F$500, node!$C$2:$C$500,"="&amp;A40, node!$C$2:$C$500,"&lt;&gt;"&amp;"")/(B40*D40),"")</f>
        <v/>
      </c>
      <c r="F40" s="112" t="str">
        <f>IF(A40&lt;&gt;"",SUMIFS(node!$H$2:$H$500, node!$C$2:$C$500,"="&amp;A40, node!$C$2:$C$500,"&lt;&gt;"&amp;"")/(C40*D40),"")</f>
        <v/>
      </c>
      <c r="G40" s="179" t="str">
        <f>IF(A40&lt;&gt;"",SUMIFS(deployment!$F$4:$F$502, deployment!$D$4:$D$502,"="&amp;A40, deployment!$D$4:$D$502,"&lt;&gt;"&amp;""),"")</f>
        <v/>
      </c>
      <c r="H40" s="181" t="str">
        <f>IF(A40&lt;&gt;"",SUMIFS(deployment!$G$4:$G$502, deployment!$D$4:$D$502,"="&amp;A40, deployment!$D$4:$D$502,"&lt;&gt;"&amp;""),"")</f>
        <v/>
      </c>
      <c r="I40" s="113" t="str">
        <f>IF(A40&lt;&gt;"",SUMIFS(deployment!$H$4:$H$502, deployment!$D$4:$D$502,"="&amp;A40, deployment!$D$4:$D$502,"&lt;&gt;"&amp;""),"")</f>
        <v/>
      </c>
      <c r="J40" s="114" t="str">
        <f>IF(A40&lt;&gt;"",SUMIFS(deployment!$I$4:$I$502, deployment!$D$4:$D$502,"="&amp;A40, deployment!$D$4:$D$502,"&lt;&gt;"&amp;""),"")</f>
        <v/>
      </c>
      <c r="K40" s="182" t="str">
        <f>IF(A40&lt;&gt;"",SUMIFS(deployment!$J$4:$J$1002, deployment!$D$4:$D$1002,"="&amp;A40, deployment!$D$4:$D$1002,"&lt;&gt;"&amp;"", deployment!$C$4:$C$1002, "&lt;&gt;* )")+SUMIFS(namespace!$G$4:$G$1002, namespace!$B$4:$B$1002,"="&amp;A40, namespace!$B$4:$B$1002,"&lt;&gt;"&amp;""),"")</f>
        <v/>
      </c>
      <c r="L40" s="182" t="str">
        <f>IF(A40&lt;&gt;"",SUMIFS(deployment!$K$4:$K$1002, deployment!$D$4:$D$1002,"="&amp;A40, deployment!$D$4:$D$1002,"&lt;&gt;"&amp;"", deployment!$C$4:$C$1002, "&lt;&gt;* )")+SUMIFS(namespace!$H$4:$H$1002, namespace!$B$4:$B$1002,"="&amp;A40, namespace!$B$4:$B$1002,"&lt;&gt;"&amp;""),"")</f>
        <v/>
      </c>
      <c r="M40" s="115" t="str">
        <f>IF(A40&lt;&gt;"",SUMIFS(deployment!$L$4:$L$1002, deployment!$D$4:$D$1002,"="&amp;A40, deployment!$D$4:$D$1002,"&lt;&gt;"&amp;"", deployment!$C$4:$C$1002, "&lt;&gt;* )")+SUMIFS(namespace!$I$4:$I$1002, namespace!$B$4:$B$1002,"="&amp;A40, namespace!$B$4:$B$1002,"&lt;&gt;"&amp;""),"")</f>
        <v/>
      </c>
      <c r="N40" s="115" t="str">
        <f>IF(A40&lt;&gt;"",SUMIFS(deployment!$M$4:$M$1002, deployment!$D$4:$D$1002,"="&amp;A40, deployment!$D$4:$D$1002,"&lt;&gt;"&amp;"", deployment!$C$4:$C$1002, "&lt;&gt;* )")+SUMIFS(namespace!$J$4:$J$1002, namespace!$B$4:$B$1002,"="&amp;A40, namespace!$B$4:$B$1002,"&lt;&gt;"&amp;""),"")</f>
        <v/>
      </c>
      <c r="O40" s="116" t="str">
        <f t="shared" si="7"/>
        <v/>
      </c>
      <c r="P40" s="63"/>
      <c r="Q40" s="164" t="str">
        <f t="shared" si="0"/>
        <v/>
      </c>
      <c r="R40" s="60" t="str">
        <f t="shared" si="1"/>
        <v/>
      </c>
      <c r="S40" s="60" t="str">
        <f t="shared" si="2"/>
        <v/>
      </c>
      <c r="T40" s="61" t="str">
        <f t="shared" si="3"/>
        <v/>
      </c>
      <c r="U40" s="61" t="str">
        <f t="shared" si="4"/>
        <v/>
      </c>
      <c r="V40" s="183" t="str">
        <f t="shared" si="8"/>
        <v/>
      </c>
      <c r="W40" s="183" t="str">
        <f t="shared" si="9"/>
        <v/>
      </c>
      <c r="X40" s="61" t="str">
        <f t="shared" si="10"/>
        <v/>
      </c>
      <c r="Y40" s="61" t="str">
        <f t="shared" si="11"/>
        <v/>
      </c>
      <c r="Z40" s="118" t="str">
        <f t="shared" si="12"/>
        <v/>
      </c>
      <c r="AA40" s="62" t="str">
        <f t="shared" si="13"/>
        <v/>
      </c>
      <c r="AB40" s="119" t="str">
        <f>IF(A40&lt;&gt;"", IF(P40&lt;&gt;0,SUMIFS(node!$J$2:$J$1000, node!$C$2:$C$1000,"="&amp;A40)/P40,0), "")</f>
        <v/>
      </c>
      <c r="AC40" s="81" t="str">
        <f>IF(A40&lt;&gt;"", IF(P40&lt;&gt;0,SUMIFS(node!$K$2:$K$1000, node!$C$2:$C$1000,"="&amp;A40)/P40,0), "")</f>
        <v/>
      </c>
      <c r="AD40" s="82" t="str">
        <f>IF(A40&lt;&gt;"", SUMIFS(node!$L$2:$L$1000, node!$C$2:$C$1000,"="&amp;A40), "")</f>
        <v/>
      </c>
      <c r="AE40" s="87" t="str">
        <f>IF(A40&lt;&gt;"", SUMIFS(node!$M$2:$M$1000, node!$C$2:$C$1000,"="&amp;A40), "")</f>
        <v/>
      </c>
    </row>
    <row r="41" spans="1:31" ht="15.75" customHeight="1" x14ac:dyDescent="0.25">
      <c r="A41" s="71"/>
      <c r="B41" s="108" t="str">
        <f>IF(A41&lt;&gt;"", VLOOKUP(A41, node!$C$2:$D$1000, 2, FALSE), "")</f>
        <v/>
      </c>
      <c r="C41" s="109" t="str">
        <f>IF(A41&lt;&gt;"", VLOOKUP(A41, node!$C$2:$E$1000, 3, FALSE), "")</f>
        <v/>
      </c>
      <c r="D41" s="110" t="str">
        <f>IF(A41&lt;&gt;"",COUNTIFS(node!$C$2:$C$1000,"="&amp;A41, node!$C$2:$C$1000,"&lt;&gt;"&amp;""),"")</f>
        <v/>
      </c>
      <c r="E41" s="111" t="str">
        <f>IF(A41&lt;&gt;"",SUMIFS(node!$F$2:$F$500, node!$C$2:$C$500,"="&amp;A41, node!$C$2:$C$500,"&lt;&gt;"&amp;"")/(B41*D41),"")</f>
        <v/>
      </c>
      <c r="F41" s="112" t="str">
        <f>IF(A41&lt;&gt;"",SUMIFS(node!$H$2:$H$500, node!$C$2:$C$500,"="&amp;A41, node!$C$2:$C$500,"&lt;&gt;"&amp;"")/(C41*D41),"")</f>
        <v/>
      </c>
      <c r="G41" s="179" t="str">
        <f>IF(A41&lt;&gt;"",SUMIFS(deployment!$F$4:$F$502, deployment!$D$4:$D$502,"="&amp;A41, deployment!$D$4:$D$502,"&lt;&gt;"&amp;""),"")</f>
        <v/>
      </c>
      <c r="H41" s="181" t="str">
        <f>IF(A41&lt;&gt;"",SUMIFS(deployment!$G$4:$G$502, deployment!$D$4:$D$502,"="&amp;A41, deployment!$D$4:$D$502,"&lt;&gt;"&amp;""),"")</f>
        <v/>
      </c>
      <c r="I41" s="113" t="str">
        <f>IF(A41&lt;&gt;"",SUMIFS(deployment!$H$4:$H$502, deployment!$D$4:$D$502,"="&amp;A41, deployment!$D$4:$D$502,"&lt;&gt;"&amp;""),"")</f>
        <v/>
      </c>
      <c r="J41" s="114" t="str">
        <f>IF(A41&lt;&gt;"",SUMIFS(deployment!$I$4:$I$502, deployment!$D$4:$D$502,"="&amp;A41, deployment!$D$4:$D$502,"&lt;&gt;"&amp;""),"")</f>
        <v/>
      </c>
      <c r="K41" s="182" t="str">
        <f>IF(A41&lt;&gt;"",SUMIFS(deployment!$J$4:$J$1002, deployment!$D$4:$D$1002,"="&amp;A41, deployment!$D$4:$D$1002,"&lt;&gt;"&amp;"", deployment!$C$4:$C$1002, "&lt;&gt;* )")+SUMIFS(namespace!$G$4:$G$1002, namespace!$B$4:$B$1002,"="&amp;A41, namespace!$B$4:$B$1002,"&lt;&gt;"&amp;""),"")</f>
        <v/>
      </c>
      <c r="L41" s="182" t="str">
        <f>IF(A41&lt;&gt;"",SUMIFS(deployment!$K$4:$K$1002, deployment!$D$4:$D$1002,"="&amp;A41, deployment!$D$4:$D$1002,"&lt;&gt;"&amp;"", deployment!$C$4:$C$1002, "&lt;&gt;* )")+SUMIFS(namespace!$H$4:$H$1002, namespace!$B$4:$B$1002,"="&amp;A41, namespace!$B$4:$B$1002,"&lt;&gt;"&amp;""),"")</f>
        <v/>
      </c>
      <c r="M41" s="115" t="str">
        <f>IF(A41&lt;&gt;"",SUMIFS(deployment!$L$4:$L$1002, deployment!$D$4:$D$1002,"="&amp;A41, deployment!$D$4:$D$1002,"&lt;&gt;"&amp;"", deployment!$C$4:$C$1002, "&lt;&gt;* )")+SUMIFS(namespace!$I$4:$I$1002, namespace!$B$4:$B$1002,"="&amp;A41, namespace!$B$4:$B$1002,"&lt;&gt;"&amp;""),"")</f>
        <v/>
      </c>
      <c r="N41" s="115" t="str">
        <f>IF(A41&lt;&gt;"",SUMIFS(deployment!$M$4:$M$1002, deployment!$D$4:$D$1002,"="&amp;A41, deployment!$D$4:$D$1002,"&lt;&gt;"&amp;"", deployment!$C$4:$C$1002, "&lt;&gt;* )")+SUMIFS(namespace!$J$4:$J$1002, namespace!$B$4:$B$1002,"="&amp;A41, namespace!$B$4:$B$1002,"&lt;&gt;"&amp;""),"")</f>
        <v/>
      </c>
      <c r="O41" s="116" t="str">
        <f t="shared" si="7"/>
        <v/>
      </c>
      <c r="P41" s="63"/>
      <c r="Q41" s="164" t="str">
        <f t="shared" si="0"/>
        <v/>
      </c>
      <c r="R41" s="60" t="str">
        <f t="shared" si="1"/>
        <v/>
      </c>
      <c r="S41" s="60" t="str">
        <f t="shared" si="2"/>
        <v/>
      </c>
      <c r="T41" s="61" t="str">
        <f t="shared" si="3"/>
        <v/>
      </c>
      <c r="U41" s="61" t="str">
        <f t="shared" si="4"/>
        <v/>
      </c>
      <c r="V41" s="183" t="str">
        <f t="shared" si="8"/>
        <v/>
      </c>
      <c r="W41" s="183" t="str">
        <f t="shared" si="9"/>
        <v/>
      </c>
      <c r="X41" s="61" t="str">
        <f t="shared" si="10"/>
        <v/>
      </c>
      <c r="Y41" s="61" t="str">
        <f t="shared" si="11"/>
        <v/>
      </c>
      <c r="Z41" s="118" t="str">
        <f t="shared" si="12"/>
        <v/>
      </c>
      <c r="AA41" s="62" t="str">
        <f t="shared" si="13"/>
        <v/>
      </c>
      <c r="AB41" s="119" t="str">
        <f>IF(A41&lt;&gt;"", IF(P41&lt;&gt;0,SUMIFS(node!$J$2:$J$1000, node!$C$2:$C$1000,"="&amp;A41)/P41,0), "")</f>
        <v/>
      </c>
      <c r="AC41" s="81" t="str">
        <f>IF(A41&lt;&gt;"", IF(P41&lt;&gt;0,SUMIFS(node!$K$2:$K$1000, node!$C$2:$C$1000,"="&amp;A41)/P41,0), "")</f>
        <v/>
      </c>
      <c r="AD41" s="82" t="str">
        <f>IF(A41&lt;&gt;"", SUMIFS(node!$L$2:$L$1000, node!$C$2:$C$1000,"="&amp;A41), "")</f>
        <v/>
      </c>
      <c r="AE41" s="87" t="str">
        <f>IF(A41&lt;&gt;"", SUMIFS(node!$M$2:$M$1000, node!$C$2:$C$1000,"="&amp;A41), "")</f>
        <v/>
      </c>
    </row>
    <row r="42" spans="1:31" ht="15.75" customHeight="1" x14ac:dyDescent="0.25">
      <c r="A42" s="71"/>
      <c r="B42" s="108" t="str">
        <f>IF(A42&lt;&gt;"", VLOOKUP(A42, node!$C$2:$D$1000, 2, FALSE), "")</f>
        <v/>
      </c>
      <c r="C42" s="109" t="str">
        <f>IF(A42&lt;&gt;"", VLOOKUP(A42, node!$C$2:$E$1000, 3, FALSE), "")</f>
        <v/>
      </c>
      <c r="D42" s="110" t="str">
        <f>IF(A42&lt;&gt;"",COUNTIFS(node!$C$2:$C$1000,"="&amp;A42, node!$C$2:$C$1000,"&lt;&gt;"&amp;""),"")</f>
        <v/>
      </c>
      <c r="E42" s="111" t="str">
        <f>IF(A42&lt;&gt;"",SUMIFS(node!$F$2:$F$500, node!$C$2:$C$500,"="&amp;A42, node!$C$2:$C$500,"&lt;&gt;"&amp;"")/(B42*D42),"")</f>
        <v/>
      </c>
      <c r="F42" s="112" t="str">
        <f>IF(A42&lt;&gt;"",SUMIFS(node!$H$2:$H$500, node!$C$2:$C$500,"="&amp;A42, node!$C$2:$C$500,"&lt;&gt;"&amp;"")/(C42*D42),"")</f>
        <v/>
      </c>
      <c r="G42" s="179" t="str">
        <f>IF(A42&lt;&gt;"",SUMIFS(deployment!$F$4:$F$502, deployment!$D$4:$D$502,"="&amp;A42, deployment!$D$4:$D$502,"&lt;&gt;"&amp;""),"")</f>
        <v/>
      </c>
      <c r="H42" s="181" t="str">
        <f>IF(A42&lt;&gt;"",SUMIFS(deployment!$G$4:$G$502, deployment!$D$4:$D$502,"="&amp;A42, deployment!$D$4:$D$502,"&lt;&gt;"&amp;""),"")</f>
        <v/>
      </c>
      <c r="I42" s="113" t="str">
        <f>IF(A42&lt;&gt;"",SUMIFS(deployment!$H$4:$H$502, deployment!$D$4:$D$502,"="&amp;A42, deployment!$D$4:$D$502,"&lt;&gt;"&amp;""),"")</f>
        <v/>
      </c>
      <c r="J42" s="114" t="str">
        <f>IF(A42&lt;&gt;"",SUMIFS(deployment!$I$4:$I$502, deployment!$D$4:$D$502,"="&amp;A42, deployment!$D$4:$D$502,"&lt;&gt;"&amp;""),"")</f>
        <v/>
      </c>
      <c r="K42" s="182" t="str">
        <f>IF(A42&lt;&gt;"",SUMIFS(deployment!$J$4:$J$1002, deployment!$D$4:$D$1002,"="&amp;A42, deployment!$D$4:$D$1002,"&lt;&gt;"&amp;"", deployment!$C$4:$C$1002, "&lt;&gt;* )")+SUMIFS(namespace!$G$4:$G$1002, namespace!$B$4:$B$1002,"="&amp;A42, namespace!$B$4:$B$1002,"&lt;&gt;"&amp;""),"")</f>
        <v/>
      </c>
      <c r="L42" s="182" t="str">
        <f>IF(A42&lt;&gt;"",SUMIFS(deployment!$K$4:$K$1002, deployment!$D$4:$D$1002,"="&amp;A42, deployment!$D$4:$D$1002,"&lt;&gt;"&amp;"", deployment!$C$4:$C$1002, "&lt;&gt;* )")+SUMIFS(namespace!$H$4:$H$1002, namespace!$B$4:$B$1002,"="&amp;A42, namespace!$B$4:$B$1002,"&lt;&gt;"&amp;""),"")</f>
        <v/>
      </c>
      <c r="M42" s="115" t="str">
        <f>IF(A42&lt;&gt;"",SUMIFS(deployment!$L$4:$L$1002, deployment!$D$4:$D$1002,"="&amp;A42, deployment!$D$4:$D$1002,"&lt;&gt;"&amp;"", deployment!$C$4:$C$1002, "&lt;&gt;* )")+SUMIFS(namespace!$I$4:$I$1002, namespace!$B$4:$B$1002,"="&amp;A42, namespace!$B$4:$B$1002,"&lt;&gt;"&amp;""),"")</f>
        <v/>
      </c>
      <c r="N42" s="115" t="str">
        <f>IF(A42&lt;&gt;"",SUMIFS(deployment!$M$4:$M$1002, deployment!$D$4:$D$1002,"="&amp;A42, deployment!$D$4:$D$1002,"&lt;&gt;"&amp;"", deployment!$C$4:$C$1002, "&lt;&gt;* )")+SUMIFS(namespace!$J$4:$J$1002, namespace!$B$4:$B$1002,"="&amp;A42, namespace!$B$4:$B$1002,"&lt;&gt;"&amp;""),"")</f>
        <v/>
      </c>
      <c r="O42" s="116" t="str">
        <f t="shared" si="7"/>
        <v/>
      </c>
      <c r="P42" s="63"/>
      <c r="Q42" s="164" t="str">
        <f t="shared" si="0"/>
        <v/>
      </c>
      <c r="R42" s="60" t="str">
        <f t="shared" si="1"/>
        <v/>
      </c>
      <c r="S42" s="60" t="str">
        <f t="shared" si="2"/>
        <v/>
      </c>
      <c r="T42" s="61" t="str">
        <f t="shared" si="3"/>
        <v/>
      </c>
      <c r="U42" s="61" t="str">
        <f t="shared" si="4"/>
        <v/>
      </c>
      <c r="V42" s="183" t="str">
        <f t="shared" si="8"/>
        <v/>
      </c>
      <c r="W42" s="183" t="str">
        <f t="shared" si="9"/>
        <v/>
      </c>
      <c r="X42" s="61" t="str">
        <f t="shared" si="10"/>
        <v/>
      </c>
      <c r="Y42" s="61" t="str">
        <f t="shared" si="11"/>
        <v/>
      </c>
      <c r="Z42" s="118" t="str">
        <f t="shared" si="12"/>
        <v/>
      </c>
      <c r="AA42" s="62" t="str">
        <f t="shared" si="13"/>
        <v/>
      </c>
      <c r="AB42" s="119" t="str">
        <f>IF(A42&lt;&gt;"", IF(P42&lt;&gt;0,SUMIFS(node!$J$2:$J$1000, node!$C$2:$C$1000,"="&amp;A42)/P42,0), "")</f>
        <v/>
      </c>
      <c r="AC42" s="81" t="str">
        <f>IF(A42&lt;&gt;"", IF(P42&lt;&gt;0,SUMIFS(node!$K$2:$K$1000, node!$C$2:$C$1000,"="&amp;A42)/P42,0), "")</f>
        <v/>
      </c>
      <c r="AD42" s="82" t="str">
        <f>IF(A42&lt;&gt;"", SUMIFS(node!$L$2:$L$1000, node!$C$2:$C$1000,"="&amp;A42), "")</f>
        <v/>
      </c>
      <c r="AE42" s="87" t="str">
        <f>IF(A42&lt;&gt;"", SUMIFS(node!$M$2:$M$1000, node!$C$2:$C$1000,"="&amp;A42), "")</f>
        <v/>
      </c>
    </row>
    <row r="43" spans="1:31" ht="15.75" customHeight="1" x14ac:dyDescent="0.25">
      <c r="A43" s="71"/>
      <c r="B43" s="108" t="str">
        <f>IF(A43&lt;&gt;"", VLOOKUP(A43, node!$C$2:$D$1000, 2, FALSE), "")</f>
        <v/>
      </c>
      <c r="C43" s="109" t="str">
        <f>IF(A43&lt;&gt;"", VLOOKUP(A43, node!$C$2:$E$1000, 3, FALSE), "")</f>
        <v/>
      </c>
      <c r="D43" s="110" t="str">
        <f>IF(A43&lt;&gt;"",COUNTIFS(node!$C$2:$C$1000,"="&amp;A43, node!$C$2:$C$1000,"&lt;&gt;"&amp;""),"")</f>
        <v/>
      </c>
      <c r="E43" s="111" t="str">
        <f>IF(A43&lt;&gt;"",SUMIFS(node!$F$2:$F$500, node!$C$2:$C$500,"="&amp;A43, node!$C$2:$C$500,"&lt;&gt;"&amp;"")/(B43*D43),"")</f>
        <v/>
      </c>
      <c r="F43" s="112" t="str">
        <f>IF(A43&lt;&gt;"",SUMIFS(node!$H$2:$H$500, node!$C$2:$C$500,"="&amp;A43, node!$C$2:$C$500,"&lt;&gt;"&amp;"")/(C43*D43),"")</f>
        <v/>
      </c>
      <c r="G43" s="179" t="str">
        <f>IF(A43&lt;&gt;"",SUMIFS(deployment!$F$4:$F$502, deployment!$D$4:$D$502,"="&amp;A43, deployment!$D$4:$D$502,"&lt;&gt;"&amp;""),"")</f>
        <v/>
      </c>
      <c r="H43" s="181" t="str">
        <f>IF(A43&lt;&gt;"",SUMIFS(deployment!$G$4:$G$502, deployment!$D$4:$D$502,"="&amp;A43, deployment!$D$4:$D$502,"&lt;&gt;"&amp;""),"")</f>
        <v/>
      </c>
      <c r="I43" s="113" t="str">
        <f>IF(A43&lt;&gt;"",SUMIFS(deployment!$H$4:$H$502, deployment!$D$4:$D$502,"="&amp;A43, deployment!$D$4:$D$502,"&lt;&gt;"&amp;""),"")</f>
        <v/>
      </c>
      <c r="J43" s="114" t="str">
        <f>IF(A43&lt;&gt;"",SUMIFS(deployment!$I$4:$I$502, deployment!$D$4:$D$502,"="&amp;A43, deployment!$D$4:$D$502,"&lt;&gt;"&amp;""),"")</f>
        <v/>
      </c>
      <c r="K43" s="182" t="str">
        <f>IF(A43&lt;&gt;"",SUMIFS(deployment!$J$4:$J$1002, deployment!$D$4:$D$1002,"="&amp;A43, deployment!$D$4:$D$1002,"&lt;&gt;"&amp;"", deployment!$C$4:$C$1002, "&lt;&gt;* )")+SUMIFS(namespace!$G$4:$G$1002, namespace!$B$4:$B$1002,"="&amp;A43, namespace!$B$4:$B$1002,"&lt;&gt;"&amp;""),"")</f>
        <v/>
      </c>
      <c r="L43" s="182" t="str">
        <f>IF(A43&lt;&gt;"",SUMIFS(deployment!$K$4:$K$1002, deployment!$D$4:$D$1002,"="&amp;A43, deployment!$D$4:$D$1002,"&lt;&gt;"&amp;"", deployment!$C$4:$C$1002, "&lt;&gt;* )")+SUMIFS(namespace!$H$4:$H$1002, namespace!$B$4:$B$1002,"="&amp;A43, namespace!$B$4:$B$1002,"&lt;&gt;"&amp;""),"")</f>
        <v/>
      </c>
      <c r="M43" s="115" t="str">
        <f>IF(A43&lt;&gt;"",SUMIFS(deployment!$L$4:$L$1002, deployment!$D$4:$D$1002,"="&amp;A43, deployment!$D$4:$D$1002,"&lt;&gt;"&amp;"", deployment!$C$4:$C$1002, "&lt;&gt;* )")+SUMIFS(namespace!$I$4:$I$1002, namespace!$B$4:$B$1002,"="&amp;A43, namespace!$B$4:$B$1002,"&lt;&gt;"&amp;""),"")</f>
        <v/>
      </c>
      <c r="N43" s="115" t="str">
        <f>IF(A43&lt;&gt;"",SUMIFS(deployment!$M$4:$M$1002, deployment!$D$4:$D$1002,"="&amp;A43, deployment!$D$4:$D$1002,"&lt;&gt;"&amp;"", deployment!$C$4:$C$1002, "&lt;&gt;* )")+SUMIFS(namespace!$J$4:$J$1002, namespace!$B$4:$B$1002,"="&amp;A43, namespace!$B$4:$B$1002,"&lt;&gt;"&amp;""),"")</f>
        <v/>
      </c>
      <c r="O43" s="116" t="str">
        <f t="shared" si="7"/>
        <v/>
      </c>
      <c r="P43" s="63"/>
      <c r="Q43" s="164" t="str">
        <f t="shared" si="0"/>
        <v/>
      </c>
      <c r="R43" s="60" t="str">
        <f t="shared" si="1"/>
        <v/>
      </c>
      <c r="S43" s="60" t="str">
        <f t="shared" si="2"/>
        <v/>
      </c>
      <c r="T43" s="61" t="str">
        <f t="shared" si="3"/>
        <v/>
      </c>
      <c r="U43" s="61" t="str">
        <f t="shared" si="4"/>
        <v/>
      </c>
      <c r="V43" s="183" t="str">
        <f t="shared" si="8"/>
        <v/>
      </c>
      <c r="W43" s="183" t="str">
        <f t="shared" si="9"/>
        <v/>
      </c>
      <c r="X43" s="61" t="str">
        <f t="shared" si="10"/>
        <v/>
      </c>
      <c r="Y43" s="61" t="str">
        <f t="shared" si="11"/>
        <v/>
      </c>
      <c r="Z43" s="118" t="str">
        <f t="shared" si="12"/>
        <v/>
      </c>
      <c r="AA43" s="62" t="str">
        <f t="shared" si="13"/>
        <v/>
      </c>
      <c r="AB43" s="119" t="str">
        <f>IF(A43&lt;&gt;"", IF(P43&lt;&gt;0,SUMIFS(node!$J$2:$J$1000, node!$C$2:$C$1000,"="&amp;A43)/P43,0), "")</f>
        <v/>
      </c>
      <c r="AC43" s="81" t="str">
        <f>IF(A43&lt;&gt;"", IF(P43&lt;&gt;0,SUMIFS(node!$K$2:$K$1000, node!$C$2:$C$1000,"="&amp;A43)/P43,0), "")</f>
        <v/>
      </c>
      <c r="AD43" s="82" t="str">
        <f>IF(A43&lt;&gt;"", SUMIFS(node!$L$2:$L$1000, node!$C$2:$C$1000,"="&amp;A43), "")</f>
        <v/>
      </c>
      <c r="AE43" s="87" t="str">
        <f>IF(A43&lt;&gt;"", SUMIFS(node!$M$2:$M$1000, node!$C$2:$C$1000,"="&amp;A43), "")</f>
        <v/>
      </c>
    </row>
    <row r="44" spans="1:31" ht="15.75" customHeight="1" x14ac:dyDescent="0.25">
      <c r="A44" s="71"/>
      <c r="B44" s="108" t="str">
        <f>IF(A44&lt;&gt;"", VLOOKUP(A44, node!$C$2:$D$1000, 2, FALSE), "")</f>
        <v/>
      </c>
      <c r="C44" s="109" t="str">
        <f>IF(A44&lt;&gt;"", VLOOKUP(A44, node!$C$2:$E$1000, 3, FALSE), "")</f>
        <v/>
      </c>
      <c r="D44" s="110" t="str">
        <f>IF(A44&lt;&gt;"",COUNTIFS(node!$C$2:$C$1000,"="&amp;A44, node!$C$2:$C$1000,"&lt;&gt;"&amp;""),"")</f>
        <v/>
      </c>
      <c r="E44" s="111" t="str">
        <f>IF(A44&lt;&gt;"",SUMIFS(node!$F$2:$F$500, node!$C$2:$C$500,"="&amp;A44, node!$C$2:$C$500,"&lt;&gt;"&amp;"")/(B44*D44),"")</f>
        <v/>
      </c>
      <c r="F44" s="112" t="str">
        <f>IF(A44&lt;&gt;"",SUMIFS(node!$H$2:$H$500, node!$C$2:$C$500,"="&amp;A44, node!$C$2:$C$500,"&lt;&gt;"&amp;"")/(C44*D44),"")</f>
        <v/>
      </c>
      <c r="G44" s="179" t="str">
        <f>IF(A44&lt;&gt;"",SUMIFS(deployment!$F$4:$F$502, deployment!$D$4:$D$502,"="&amp;A44, deployment!$D$4:$D$502,"&lt;&gt;"&amp;""),"")</f>
        <v/>
      </c>
      <c r="H44" s="181" t="str">
        <f>IF(A44&lt;&gt;"",SUMIFS(deployment!$G$4:$G$502, deployment!$D$4:$D$502,"="&amp;A44, deployment!$D$4:$D$502,"&lt;&gt;"&amp;""),"")</f>
        <v/>
      </c>
      <c r="I44" s="113" t="str">
        <f>IF(A44&lt;&gt;"",SUMIFS(deployment!$H$4:$H$502, deployment!$D$4:$D$502,"="&amp;A44, deployment!$D$4:$D$502,"&lt;&gt;"&amp;""),"")</f>
        <v/>
      </c>
      <c r="J44" s="114" t="str">
        <f>IF(A44&lt;&gt;"",SUMIFS(deployment!$I$4:$I$502, deployment!$D$4:$D$502,"="&amp;A44, deployment!$D$4:$D$502,"&lt;&gt;"&amp;""),"")</f>
        <v/>
      </c>
      <c r="K44" s="182" t="str">
        <f>IF(A44&lt;&gt;"",SUMIFS(deployment!$J$4:$J$1002, deployment!$D$4:$D$1002,"="&amp;A44, deployment!$D$4:$D$1002,"&lt;&gt;"&amp;"", deployment!$C$4:$C$1002, "&lt;&gt;* )")+SUMIFS(namespace!$G$4:$G$1002, namespace!$B$4:$B$1002,"="&amp;A44, namespace!$B$4:$B$1002,"&lt;&gt;"&amp;""),"")</f>
        <v/>
      </c>
      <c r="L44" s="182" t="str">
        <f>IF(A44&lt;&gt;"",SUMIFS(deployment!$K$4:$K$1002, deployment!$D$4:$D$1002,"="&amp;A44, deployment!$D$4:$D$1002,"&lt;&gt;"&amp;"", deployment!$C$4:$C$1002, "&lt;&gt;* )")+SUMIFS(namespace!$H$4:$H$1002, namespace!$B$4:$B$1002,"="&amp;A44, namespace!$B$4:$B$1002,"&lt;&gt;"&amp;""),"")</f>
        <v/>
      </c>
      <c r="M44" s="115" t="str">
        <f>IF(A44&lt;&gt;"",SUMIFS(deployment!$L$4:$L$1002, deployment!$D$4:$D$1002,"="&amp;A44, deployment!$D$4:$D$1002,"&lt;&gt;"&amp;"", deployment!$C$4:$C$1002, "&lt;&gt;* )")+SUMIFS(namespace!$I$4:$I$1002, namespace!$B$4:$B$1002,"="&amp;A44, namespace!$B$4:$B$1002,"&lt;&gt;"&amp;""),"")</f>
        <v/>
      </c>
      <c r="N44" s="115" t="str">
        <f>IF(A44&lt;&gt;"",SUMIFS(deployment!$M$4:$M$1002, deployment!$D$4:$D$1002,"="&amp;A44, deployment!$D$4:$D$1002,"&lt;&gt;"&amp;"", deployment!$C$4:$C$1002, "&lt;&gt;* )")+SUMIFS(namespace!$J$4:$J$1002, namespace!$B$4:$B$1002,"="&amp;A44, namespace!$B$4:$B$1002,"&lt;&gt;"&amp;""),"")</f>
        <v/>
      </c>
      <c r="O44" s="116" t="str">
        <f t="shared" si="7"/>
        <v/>
      </c>
      <c r="P44" s="63"/>
      <c r="Q44" s="164" t="str">
        <f t="shared" si="0"/>
        <v/>
      </c>
      <c r="R44" s="60" t="str">
        <f t="shared" si="1"/>
        <v/>
      </c>
      <c r="S44" s="60" t="str">
        <f t="shared" si="2"/>
        <v/>
      </c>
      <c r="T44" s="61" t="str">
        <f t="shared" si="3"/>
        <v/>
      </c>
      <c r="U44" s="61" t="str">
        <f t="shared" si="4"/>
        <v/>
      </c>
      <c r="V44" s="183" t="str">
        <f t="shared" si="8"/>
        <v/>
      </c>
      <c r="W44" s="183" t="str">
        <f t="shared" si="9"/>
        <v/>
      </c>
      <c r="X44" s="61" t="str">
        <f t="shared" si="10"/>
        <v/>
      </c>
      <c r="Y44" s="61" t="str">
        <f t="shared" si="11"/>
        <v/>
      </c>
      <c r="Z44" s="118" t="str">
        <f t="shared" si="12"/>
        <v/>
      </c>
      <c r="AA44" s="62" t="str">
        <f t="shared" si="13"/>
        <v/>
      </c>
      <c r="AB44" s="119" t="str">
        <f>IF(A44&lt;&gt;"", IF(P44&lt;&gt;0,SUMIFS(node!$J$2:$J$1000, node!$C$2:$C$1000,"="&amp;A44)/P44,0), "")</f>
        <v/>
      </c>
      <c r="AC44" s="81" t="str">
        <f>IF(A44&lt;&gt;"", IF(P44&lt;&gt;0,SUMIFS(node!$K$2:$K$1000, node!$C$2:$C$1000,"="&amp;A44)/P44,0), "")</f>
        <v/>
      </c>
      <c r="AD44" s="82" t="str">
        <f>IF(A44&lt;&gt;"", SUMIFS(node!$L$2:$L$1000, node!$C$2:$C$1000,"="&amp;A44), "")</f>
        <v/>
      </c>
      <c r="AE44" s="87" t="str">
        <f>IF(A44&lt;&gt;"", SUMIFS(node!$M$2:$M$1000, node!$C$2:$C$1000,"="&amp;A44), "")</f>
        <v/>
      </c>
    </row>
    <row r="45" spans="1:31" ht="15.75" customHeight="1" x14ac:dyDescent="0.25">
      <c r="A45" s="71"/>
      <c r="B45" s="108" t="str">
        <f>IF(A45&lt;&gt;"", VLOOKUP(A45, node!$C$2:$D$1000, 2, FALSE), "")</f>
        <v/>
      </c>
      <c r="C45" s="109" t="str">
        <f>IF(A45&lt;&gt;"", VLOOKUP(A45, node!$C$2:$E$1000, 3, FALSE), "")</f>
        <v/>
      </c>
      <c r="D45" s="110" t="str">
        <f>IF(A45&lt;&gt;"",COUNTIFS(node!$C$2:$C$1000,"="&amp;A45, node!$C$2:$C$1000,"&lt;&gt;"&amp;""),"")</f>
        <v/>
      </c>
      <c r="E45" s="111" t="str">
        <f>IF(A45&lt;&gt;"",SUMIFS(node!$F$2:$F$500, node!$C$2:$C$500,"="&amp;A45, node!$C$2:$C$500,"&lt;&gt;"&amp;"")/(B45*D45),"")</f>
        <v/>
      </c>
      <c r="F45" s="112" t="str">
        <f>IF(A45&lt;&gt;"",SUMIFS(node!$H$2:$H$500, node!$C$2:$C$500,"="&amp;A45, node!$C$2:$C$500,"&lt;&gt;"&amp;"")/(C45*D45),"")</f>
        <v/>
      </c>
      <c r="G45" s="179" t="str">
        <f>IF(A45&lt;&gt;"",SUMIFS(deployment!$F$4:$F$502, deployment!$D$4:$D$502,"="&amp;A45, deployment!$D$4:$D$502,"&lt;&gt;"&amp;""),"")</f>
        <v/>
      </c>
      <c r="H45" s="181" t="str">
        <f>IF(A45&lt;&gt;"",SUMIFS(deployment!$G$4:$G$502, deployment!$D$4:$D$502,"="&amp;A45, deployment!$D$4:$D$502,"&lt;&gt;"&amp;""),"")</f>
        <v/>
      </c>
      <c r="I45" s="113" t="str">
        <f>IF(A45&lt;&gt;"",SUMIFS(deployment!$H$4:$H$502, deployment!$D$4:$D$502,"="&amp;A45, deployment!$D$4:$D$502,"&lt;&gt;"&amp;""),"")</f>
        <v/>
      </c>
      <c r="J45" s="114" t="str">
        <f>IF(A45&lt;&gt;"",SUMIFS(deployment!$I$4:$I$502, deployment!$D$4:$D$502,"="&amp;A45, deployment!$D$4:$D$502,"&lt;&gt;"&amp;""),"")</f>
        <v/>
      </c>
      <c r="K45" s="182" t="str">
        <f>IF(A45&lt;&gt;"",SUMIFS(deployment!$J$4:$J$1002, deployment!$D$4:$D$1002,"="&amp;A45, deployment!$D$4:$D$1002,"&lt;&gt;"&amp;"", deployment!$C$4:$C$1002, "&lt;&gt;* )")+SUMIFS(namespace!$G$4:$G$1002, namespace!$B$4:$B$1002,"="&amp;A45, namespace!$B$4:$B$1002,"&lt;&gt;"&amp;""),"")</f>
        <v/>
      </c>
      <c r="L45" s="182" t="str">
        <f>IF(A45&lt;&gt;"",SUMIFS(deployment!$K$4:$K$1002, deployment!$D$4:$D$1002,"="&amp;A45, deployment!$D$4:$D$1002,"&lt;&gt;"&amp;"", deployment!$C$4:$C$1002, "&lt;&gt;* )")+SUMIFS(namespace!$H$4:$H$1002, namespace!$B$4:$B$1002,"="&amp;A45, namespace!$B$4:$B$1002,"&lt;&gt;"&amp;""),"")</f>
        <v/>
      </c>
      <c r="M45" s="115" t="str">
        <f>IF(A45&lt;&gt;"",SUMIFS(deployment!$L$4:$L$1002, deployment!$D$4:$D$1002,"="&amp;A45, deployment!$D$4:$D$1002,"&lt;&gt;"&amp;"", deployment!$C$4:$C$1002, "&lt;&gt;* )")+SUMIFS(namespace!$I$4:$I$1002, namespace!$B$4:$B$1002,"="&amp;A45, namespace!$B$4:$B$1002,"&lt;&gt;"&amp;""),"")</f>
        <v/>
      </c>
      <c r="N45" s="115" t="str">
        <f>IF(A45&lt;&gt;"",SUMIFS(deployment!$M$4:$M$1002, deployment!$D$4:$D$1002,"="&amp;A45, deployment!$D$4:$D$1002,"&lt;&gt;"&amp;"", deployment!$C$4:$C$1002, "&lt;&gt;* )")+SUMIFS(namespace!$J$4:$J$1002, namespace!$B$4:$B$1002,"="&amp;A45, namespace!$B$4:$B$1002,"&lt;&gt;"&amp;""),"")</f>
        <v/>
      </c>
      <c r="O45" s="116" t="str">
        <f t="shared" si="7"/>
        <v/>
      </c>
      <c r="P45" s="63"/>
      <c r="Q45" s="164" t="str">
        <f t="shared" si="0"/>
        <v/>
      </c>
      <c r="R45" s="60" t="str">
        <f t="shared" si="1"/>
        <v/>
      </c>
      <c r="S45" s="60" t="str">
        <f t="shared" si="2"/>
        <v/>
      </c>
      <c r="T45" s="61" t="str">
        <f t="shared" si="3"/>
        <v/>
      </c>
      <c r="U45" s="61" t="str">
        <f t="shared" si="4"/>
        <v/>
      </c>
      <c r="V45" s="183" t="str">
        <f t="shared" si="8"/>
        <v/>
      </c>
      <c r="W45" s="183" t="str">
        <f t="shared" si="9"/>
        <v/>
      </c>
      <c r="X45" s="61" t="str">
        <f t="shared" si="10"/>
        <v/>
      </c>
      <c r="Y45" s="61" t="str">
        <f t="shared" si="11"/>
        <v/>
      </c>
      <c r="Z45" s="118" t="str">
        <f t="shared" si="12"/>
        <v/>
      </c>
      <c r="AA45" s="62" t="str">
        <f t="shared" si="13"/>
        <v/>
      </c>
      <c r="AB45" s="119" t="str">
        <f>IF(A45&lt;&gt;"", IF(P45&lt;&gt;0,SUMIFS(node!$J$2:$J$1000, node!$C$2:$C$1000,"="&amp;A45)/P45,0), "")</f>
        <v/>
      </c>
      <c r="AC45" s="81" t="str">
        <f>IF(A45&lt;&gt;"", IF(P45&lt;&gt;0,SUMIFS(node!$K$2:$K$1000, node!$C$2:$C$1000,"="&amp;A45)/P45,0), "")</f>
        <v/>
      </c>
      <c r="AD45" s="82" t="str">
        <f>IF(A45&lt;&gt;"", SUMIFS(node!$L$2:$L$1000, node!$C$2:$C$1000,"="&amp;A45), "")</f>
        <v/>
      </c>
      <c r="AE45" s="87" t="str">
        <f>IF(A45&lt;&gt;"", SUMIFS(node!$M$2:$M$1000, node!$C$2:$C$1000,"="&amp;A45), "")</f>
        <v/>
      </c>
    </row>
    <row r="46" spans="1:31" ht="15.75" customHeight="1" x14ac:dyDescent="0.25">
      <c r="A46" s="71"/>
      <c r="B46" s="108" t="str">
        <f>IF(A46&lt;&gt;"", VLOOKUP(A46, node!$C$2:$D$1000, 2, FALSE), "")</f>
        <v/>
      </c>
      <c r="C46" s="109" t="str">
        <f>IF(A46&lt;&gt;"", VLOOKUP(A46, node!$C$2:$E$1000, 3, FALSE), "")</f>
        <v/>
      </c>
      <c r="D46" s="110" t="str">
        <f>IF(A46&lt;&gt;"",COUNTIFS(node!$C$2:$C$1000,"="&amp;A46, node!$C$2:$C$1000,"&lt;&gt;"&amp;""),"")</f>
        <v/>
      </c>
      <c r="E46" s="111" t="str">
        <f>IF(A46&lt;&gt;"",SUMIFS(node!$F$2:$F$500, node!$C$2:$C$500,"="&amp;A46, node!$C$2:$C$500,"&lt;&gt;"&amp;"")/(B46*D46),"")</f>
        <v/>
      </c>
      <c r="F46" s="112" t="str">
        <f>IF(A46&lt;&gt;"",SUMIFS(node!$H$2:$H$500, node!$C$2:$C$500,"="&amp;A46, node!$C$2:$C$500,"&lt;&gt;"&amp;"")/(C46*D46),"")</f>
        <v/>
      </c>
      <c r="G46" s="179" t="str">
        <f>IF(A46&lt;&gt;"",SUMIFS(deployment!$F$4:$F$502, deployment!$D$4:$D$502,"="&amp;A46, deployment!$D$4:$D$502,"&lt;&gt;"&amp;""),"")</f>
        <v/>
      </c>
      <c r="H46" s="181" t="str">
        <f>IF(A46&lt;&gt;"",SUMIFS(deployment!$G$4:$G$502, deployment!$D$4:$D$502,"="&amp;A46, deployment!$D$4:$D$502,"&lt;&gt;"&amp;""),"")</f>
        <v/>
      </c>
      <c r="I46" s="113" t="str">
        <f>IF(A46&lt;&gt;"",SUMIFS(deployment!$H$4:$H$502, deployment!$D$4:$D$502,"="&amp;A46, deployment!$D$4:$D$502,"&lt;&gt;"&amp;""),"")</f>
        <v/>
      </c>
      <c r="J46" s="114" t="str">
        <f>IF(A46&lt;&gt;"",SUMIFS(deployment!$I$4:$I$502, deployment!$D$4:$D$502,"="&amp;A46, deployment!$D$4:$D$502,"&lt;&gt;"&amp;""),"")</f>
        <v/>
      </c>
      <c r="K46" s="182" t="str">
        <f>IF(A46&lt;&gt;"",SUMIFS(deployment!$J$4:$J$1002, deployment!$D$4:$D$1002,"="&amp;A46, deployment!$D$4:$D$1002,"&lt;&gt;"&amp;"", deployment!$C$4:$C$1002, "&lt;&gt;* )")+SUMIFS(namespace!$G$4:$G$1002, namespace!$B$4:$B$1002,"="&amp;A46, namespace!$B$4:$B$1002,"&lt;&gt;"&amp;""),"")</f>
        <v/>
      </c>
      <c r="L46" s="182" t="str">
        <f>IF(A46&lt;&gt;"",SUMIFS(deployment!$K$4:$K$1002, deployment!$D$4:$D$1002,"="&amp;A46, deployment!$D$4:$D$1002,"&lt;&gt;"&amp;"", deployment!$C$4:$C$1002, "&lt;&gt;* )")+SUMIFS(namespace!$H$4:$H$1002, namespace!$B$4:$B$1002,"="&amp;A46, namespace!$B$4:$B$1002,"&lt;&gt;"&amp;""),"")</f>
        <v/>
      </c>
      <c r="M46" s="115" t="str">
        <f>IF(A46&lt;&gt;"",SUMIFS(deployment!$L$4:$L$1002, deployment!$D$4:$D$1002,"="&amp;A46, deployment!$D$4:$D$1002,"&lt;&gt;"&amp;"", deployment!$C$4:$C$1002, "&lt;&gt;* )")+SUMIFS(namespace!$I$4:$I$1002, namespace!$B$4:$B$1002,"="&amp;A46, namespace!$B$4:$B$1002,"&lt;&gt;"&amp;""),"")</f>
        <v/>
      </c>
      <c r="N46" s="115" t="str">
        <f>IF(A46&lt;&gt;"",SUMIFS(deployment!$M$4:$M$1002, deployment!$D$4:$D$1002,"="&amp;A46, deployment!$D$4:$D$1002,"&lt;&gt;"&amp;"", deployment!$C$4:$C$1002, "&lt;&gt;* )")+SUMIFS(namespace!$J$4:$J$1002, namespace!$B$4:$B$1002,"="&amp;A46, namespace!$B$4:$B$1002,"&lt;&gt;"&amp;""),"")</f>
        <v/>
      </c>
      <c r="O46" s="116" t="str">
        <f t="shared" si="7"/>
        <v/>
      </c>
      <c r="P46" s="63"/>
      <c r="Q46" s="164" t="str">
        <f t="shared" si="0"/>
        <v/>
      </c>
      <c r="R46" s="60" t="str">
        <f t="shared" si="1"/>
        <v/>
      </c>
      <c r="S46" s="60" t="str">
        <f t="shared" si="2"/>
        <v/>
      </c>
      <c r="T46" s="61" t="str">
        <f t="shared" si="3"/>
        <v/>
      </c>
      <c r="U46" s="61" t="str">
        <f t="shared" si="4"/>
        <v/>
      </c>
      <c r="V46" s="183" t="str">
        <f t="shared" si="8"/>
        <v/>
      </c>
      <c r="W46" s="183" t="str">
        <f t="shared" si="9"/>
        <v/>
      </c>
      <c r="X46" s="61" t="str">
        <f t="shared" si="10"/>
        <v/>
      </c>
      <c r="Y46" s="61" t="str">
        <f t="shared" si="11"/>
        <v/>
      </c>
      <c r="Z46" s="118" t="str">
        <f t="shared" si="12"/>
        <v/>
      </c>
      <c r="AA46" s="62" t="str">
        <f t="shared" si="13"/>
        <v/>
      </c>
      <c r="AB46" s="119" t="str">
        <f>IF(A46&lt;&gt;"", IF(P46&lt;&gt;0,SUMIFS(node!$J$2:$J$1000, node!$C$2:$C$1000,"="&amp;A46)/P46,0), "")</f>
        <v/>
      </c>
      <c r="AC46" s="81" t="str">
        <f>IF(A46&lt;&gt;"", IF(P46&lt;&gt;0,SUMIFS(node!$K$2:$K$1000, node!$C$2:$C$1000,"="&amp;A46)/P46,0), "")</f>
        <v/>
      </c>
      <c r="AD46" s="82" t="str">
        <f>IF(A46&lt;&gt;"", SUMIFS(node!$L$2:$L$1000, node!$C$2:$C$1000,"="&amp;A46), "")</f>
        <v/>
      </c>
      <c r="AE46" s="87" t="str">
        <f>IF(A46&lt;&gt;"", SUMIFS(node!$M$2:$M$1000, node!$C$2:$C$1000,"="&amp;A46), "")</f>
        <v/>
      </c>
    </row>
    <row r="47" spans="1:31" ht="15.75" customHeight="1" x14ac:dyDescent="0.25">
      <c r="A47" s="71"/>
      <c r="B47" s="108" t="str">
        <f>IF(A47&lt;&gt;"", VLOOKUP(A47, node!$C$2:$D$1000, 2, FALSE), "")</f>
        <v/>
      </c>
      <c r="C47" s="109" t="str">
        <f>IF(A47&lt;&gt;"", VLOOKUP(A47, node!$C$2:$E$1000, 3, FALSE), "")</f>
        <v/>
      </c>
      <c r="D47" s="110" t="str">
        <f>IF(A47&lt;&gt;"",COUNTIFS(node!$C$2:$C$1000,"="&amp;A47, node!$C$2:$C$1000,"&lt;&gt;"&amp;""),"")</f>
        <v/>
      </c>
      <c r="E47" s="111" t="str">
        <f>IF(A47&lt;&gt;"",SUMIFS(node!$F$2:$F$500, node!$C$2:$C$500,"="&amp;A47, node!$C$2:$C$500,"&lt;&gt;"&amp;"")/(B47*D47),"")</f>
        <v/>
      </c>
      <c r="F47" s="112" t="str">
        <f>IF(A47&lt;&gt;"",SUMIFS(node!$H$2:$H$500, node!$C$2:$C$500,"="&amp;A47, node!$C$2:$C$500,"&lt;&gt;"&amp;"")/(C47*D47),"")</f>
        <v/>
      </c>
      <c r="G47" s="179" t="str">
        <f>IF(A47&lt;&gt;"",SUMIFS(deployment!$F$4:$F$502, deployment!$D$4:$D$502,"="&amp;A47, deployment!$D$4:$D$502,"&lt;&gt;"&amp;""),"")</f>
        <v/>
      </c>
      <c r="H47" s="181" t="str">
        <f>IF(A47&lt;&gt;"",SUMIFS(deployment!$G$4:$G$502, deployment!$D$4:$D$502,"="&amp;A47, deployment!$D$4:$D$502,"&lt;&gt;"&amp;""),"")</f>
        <v/>
      </c>
      <c r="I47" s="113" t="str">
        <f>IF(A47&lt;&gt;"",SUMIFS(deployment!$H$4:$H$502, deployment!$D$4:$D$502,"="&amp;A47, deployment!$D$4:$D$502,"&lt;&gt;"&amp;""),"")</f>
        <v/>
      </c>
      <c r="J47" s="114" t="str">
        <f>IF(A47&lt;&gt;"",SUMIFS(deployment!$I$4:$I$502, deployment!$D$4:$D$502,"="&amp;A47, deployment!$D$4:$D$502,"&lt;&gt;"&amp;""),"")</f>
        <v/>
      </c>
      <c r="K47" s="182" t="str">
        <f>IF(A47&lt;&gt;"",SUMIFS(deployment!$J$4:$J$1002, deployment!$D$4:$D$1002,"="&amp;A47, deployment!$D$4:$D$1002,"&lt;&gt;"&amp;"", deployment!$C$4:$C$1002, "&lt;&gt;* )")+SUMIFS(namespace!$G$4:$G$1002, namespace!$B$4:$B$1002,"="&amp;A47, namespace!$B$4:$B$1002,"&lt;&gt;"&amp;""),"")</f>
        <v/>
      </c>
      <c r="L47" s="182" t="str">
        <f>IF(A47&lt;&gt;"",SUMIFS(deployment!$K$4:$K$1002, deployment!$D$4:$D$1002,"="&amp;A47, deployment!$D$4:$D$1002,"&lt;&gt;"&amp;"", deployment!$C$4:$C$1002, "&lt;&gt;* )")+SUMIFS(namespace!$H$4:$H$1002, namespace!$B$4:$B$1002,"="&amp;A47, namespace!$B$4:$B$1002,"&lt;&gt;"&amp;""),"")</f>
        <v/>
      </c>
      <c r="M47" s="115" t="str">
        <f>IF(A47&lt;&gt;"",SUMIFS(deployment!$L$4:$L$1002, deployment!$D$4:$D$1002,"="&amp;A47, deployment!$D$4:$D$1002,"&lt;&gt;"&amp;"", deployment!$C$4:$C$1002, "&lt;&gt;* )")+SUMIFS(namespace!$I$4:$I$1002, namespace!$B$4:$B$1002,"="&amp;A47, namespace!$B$4:$B$1002,"&lt;&gt;"&amp;""),"")</f>
        <v/>
      </c>
      <c r="N47" s="115" t="str">
        <f>IF(A47&lt;&gt;"",SUMIFS(deployment!$M$4:$M$1002, deployment!$D$4:$D$1002,"="&amp;A47, deployment!$D$4:$D$1002,"&lt;&gt;"&amp;"", deployment!$C$4:$C$1002, "&lt;&gt;* )")+SUMIFS(namespace!$J$4:$J$1002, namespace!$B$4:$B$1002,"="&amp;A47, namespace!$B$4:$B$1002,"&lt;&gt;"&amp;""),"")</f>
        <v/>
      </c>
      <c r="O47" s="116" t="str">
        <f t="shared" si="7"/>
        <v/>
      </c>
      <c r="P47" s="63"/>
      <c r="Q47" s="164" t="str">
        <f t="shared" si="0"/>
        <v/>
      </c>
      <c r="R47" s="60" t="str">
        <f t="shared" si="1"/>
        <v/>
      </c>
      <c r="S47" s="60" t="str">
        <f t="shared" si="2"/>
        <v/>
      </c>
      <c r="T47" s="61" t="str">
        <f t="shared" si="3"/>
        <v/>
      </c>
      <c r="U47" s="61" t="str">
        <f t="shared" si="4"/>
        <v/>
      </c>
      <c r="V47" s="183" t="str">
        <f t="shared" si="8"/>
        <v/>
      </c>
      <c r="W47" s="183" t="str">
        <f t="shared" si="9"/>
        <v/>
      </c>
      <c r="X47" s="61" t="str">
        <f t="shared" si="10"/>
        <v/>
      </c>
      <c r="Y47" s="61" t="str">
        <f t="shared" si="11"/>
        <v/>
      </c>
      <c r="Z47" s="118" t="str">
        <f t="shared" si="12"/>
        <v/>
      </c>
      <c r="AA47" s="62" t="str">
        <f t="shared" si="13"/>
        <v/>
      </c>
      <c r="AB47" s="119" t="str">
        <f>IF(A47&lt;&gt;"", IF(P47&lt;&gt;0,SUMIFS(node!$J$2:$J$1000, node!$C$2:$C$1000,"="&amp;A47)/P47,0), "")</f>
        <v/>
      </c>
      <c r="AC47" s="81" t="str">
        <f>IF(A47&lt;&gt;"", IF(P47&lt;&gt;0,SUMIFS(node!$K$2:$K$1000, node!$C$2:$C$1000,"="&amp;A47)/P47,0), "")</f>
        <v/>
      </c>
      <c r="AD47" s="82" t="str">
        <f>IF(A47&lt;&gt;"", SUMIFS(node!$L$2:$L$1000, node!$C$2:$C$1000,"="&amp;A47), "")</f>
        <v/>
      </c>
      <c r="AE47" s="87" t="str">
        <f>IF(A47&lt;&gt;"", SUMIFS(node!$M$2:$M$1000, node!$C$2:$C$1000,"="&amp;A47), "")</f>
        <v/>
      </c>
    </row>
    <row r="48" spans="1:31" ht="15.75" customHeight="1" x14ac:dyDescent="0.25">
      <c r="A48" s="71"/>
      <c r="B48" s="108" t="str">
        <f>IF(A48&lt;&gt;"", VLOOKUP(A48, node!$C$2:$D$1000, 2, FALSE), "")</f>
        <v/>
      </c>
      <c r="C48" s="109" t="str">
        <f>IF(A48&lt;&gt;"", VLOOKUP(A48, node!$C$2:$E$1000, 3, FALSE), "")</f>
        <v/>
      </c>
      <c r="D48" s="110" t="str">
        <f>IF(A48&lt;&gt;"",COUNTIFS(node!$C$2:$C$1000,"="&amp;A48, node!$C$2:$C$1000,"&lt;&gt;"&amp;""),"")</f>
        <v/>
      </c>
      <c r="E48" s="111" t="str">
        <f>IF(A48&lt;&gt;"",SUMIFS(node!$F$2:$F$500, node!$C$2:$C$500,"="&amp;A48, node!$C$2:$C$500,"&lt;&gt;"&amp;"")/(B48*D48),"")</f>
        <v/>
      </c>
      <c r="F48" s="112" t="str">
        <f>IF(A48&lt;&gt;"",SUMIFS(node!$H$2:$H$500, node!$C$2:$C$500,"="&amp;A48, node!$C$2:$C$500,"&lt;&gt;"&amp;"")/(C48*D48),"")</f>
        <v/>
      </c>
      <c r="G48" s="179" t="str">
        <f>IF(A48&lt;&gt;"",SUMIFS(deployment!$F$4:$F$502, deployment!$D$4:$D$502,"="&amp;A48, deployment!$D$4:$D$502,"&lt;&gt;"&amp;""),"")</f>
        <v/>
      </c>
      <c r="H48" s="181" t="str">
        <f>IF(A48&lt;&gt;"",SUMIFS(deployment!$G$4:$G$502, deployment!$D$4:$D$502,"="&amp;A48, deployment!$D$4:$D$502,"&lt;&gt;"&amp;""),"")</f>
        <v/>
      </c>
      <c r="I48" s="113" t="str">
        <f>IF(A48&lt;&gt;"",SUMIFS(deployment!$H$4:$H$502, deployment!$D$4:$D$502,"="&amp;A48, deployment!$D$4:$D$502,"&lt;&gt;"&amp;""),"")</f>
        <v/>
      </c>
      <c r="J48" s="114" t="str">
        <f>IF(A48&lt;&gt;"",SUMIFS(deployment!$I$4:$I$502, deployment!$D$4:$D$502,"="&amp;A48, deployment!$D$4:$D$502,"&lt;&gt;"&amp;""),"")</f>
        <v/>
      </c>
      <c r="K48" s="182" t="str">
        <f>IF(A48&lt;&gt;"",SUMIFS(deployment!$J$4:$J$1002, deployment!$D$4:$D$1002,"="&amp;A48, deployment!$D$4:$D$1002,"&lt;&gt;"&amp;"", deployment!$C$4:$C$1002, "&lt;&gt;* )")+SUMIFS(namespace!$G$4:$G$1002, namespace!$B$4:$B$1002,"="&amp;A48, namespace!$B$4:$B$1002,"&lt;&gt;"&amp;""),"")</f>
        <v/>
      </c>
      <c r="L48" s="182" t="str">
        <f>IF(A48&lt;&gt;"",SUMIFS(deployment!$K$4:$K$1002, deployment!$D$4:$D$1002,"="&amp;A48, deployment!$D$4:$D$1002,"&lt;&gt;"&amp;"", deployment!$C$4:$C$1002, "&lt;&gt;* )")+SUMIFS(namespace!$H$4:$H$1002, namespace!$B$4:$B$1002,"="&amp;A48, namespace!$B$4:$B$1002,"&lt;&gt;"&amp;""),"")</f>
        <v/>
      </c>
      <c r="M48" s="115" t="str">
        <f>IF(A48&lt;&gt;"",SUMIFS(deployment!$L$4:$L$1002, deployment!$D$4:$D$1002,"="&amp;A48, deployment!$D$4:$D$1002,"&lt;&gt;"&amp;"", deployment!$C$4:$C$1002, "&lt;&gt;* )")+SUMIFS(namespace!$I$4:$I$1002, namespace!$B$4:$B$1002,"="&amp;A48, namespace!$B$4:$B$1002,"&lt;&gt;"&amp;""),"")</f>
        <v/>
      </c>
      <c r="N48" s="115" t="str">
        <f>IF(A48&lt;&gt;"",SUMIFS(deployment!$M$4:$M$1002, deployment!$D$4:$D$1002,"="&amp;A48, deployment!$D$4:$D$1002,"&lt;&gt;"&amp;"", deployment!$C$4:$C$1002, "&lt;&gt;* )")+SUMIFS(namespace!$J$4:$J$1002, namespace!$B$4:$B$1002,"="&amp;A48, namespace!$B$4:$B$1002,"&lt;&gt;"&amp;""),"")</f>
        <v/>
      </c>
      <c r="O48" s="116" t="str">
        <f t="shared" si="7"/>
        <v/>
      </c>
      <c r="P48" s="63"/>
      <c r="Q48" s="164" t="str">
        <f t="shared" si="0"/>
        <v/>
      </c>
      <c r="R48" s="60" t="str">
        <f t="shared" si="1"/>
        <v/>
      </c>
      <c r="S48" s="60" t="str">
        <f t="shared" si="2"/>
        <v/>
      </c>
      <c r="T48" s="61" t="str">
        <f t="shared" si="3"/>
        <v/>
      </c>
      <c r="U48" s="61" t="str">
        <f t="shared" si="4"/>
        <v/>
      </c>
      <c r="V48" s="183" t="str">
        <f t="shared" si="8"/>
        <v/>
      </c>
      <c r="W48" s="183" t="str">
        <f t="shared" si="9"/>
        <v/>
      </c>
      <c r="X48" s="61" t="str">
        <f t="shared" si="10"/>
        <v/>
      </c>
      <c r="Y48" s="61" t="str">
        <f t="shared" si="11"/>
        <v/>
      </c>
      <c r="Z48" s="118" t="str">
        <f t="shared" si="12"/>
        <v/>
      </c>
      <c r="AA48" s="62" t="str">
        <f t="shared" si="13"/>
        <v/>
      </c>
      <c r="AB48" s="119" t="str">
        <f>IF(A48&lt;&gt;"", IF(P48&lt;&gt;0,SUMIFS(node!$J$2:$J$1000, node!$C$2:$C$1000,"="&amp;A48)/P48,0), "")</f>
        <v/>
      </c>
      <c r="AC48" s="81" t="str">
        <f>IF(A48&lt;&gt;"", IF(P48&lt;&gt;0,SUMIFS(node!$K$2:$K$1000, node!$C$2:$C$1000,"="&amp;A48)/P48,0), "")</f>
        <v/>
      </c>
      <c r="AD48" s="82" t="str">
        <f>IF(A48&lt;&gt;"", SUMIFS(node!$L$2:$L$1000, node!$C$2:$C$1000,"="&amp;A48), "")</f>
        <v/>
      </c>
      <c r="AE48" s="87" t="str">
        <f>IF(A48&lt;&gt;"", SUMIFS(node!$M$2:$M$1000, node!$C$2:$C$1000,"="&amp;A48), "")</f>
        <v/>
      </c>
    </row>
    <row r="49" spans="1:31" ht="15.75" customHeight="1" x14ac:dyDescent="0.25">
      <c r="A49" s="71"/>
      <c r="B49" s="108" t="str">
        <f>IF(A49&lt;&gt;"", VLOOKUP(A49, node!$C$2:$D$1000, 2, FALSE), "")</f>
        <v/>
      </c>
      <c r="C49" s="109" t="str">
        <f>IF(A49&lt;&gt;"", VLOOKUP(A49, node!$C$2:$E$1000, 3, FALSE), "")</f>
        <v/>
      </c>
      <c r="D49" s="110" t="str">
        <f>IF(A49&lt;&gt;"",COUNTIFS(node!$C$2:$C$1000,"="&amp;A49, node!$C$2:$C$1000,"&lt;&gt;"&amp;""),"")</f>
        <v/>
      </c>
      <c r="E49" s="111" t="str">
        <f>IF(A49&lt;&gt;"",SUMIFS(node!$F$2:$F$500, node!$C$2:$C$500,"="&amp;A49, node!$C$2:$C$500,"&lt;&gt;"&amp;"")/(B49*D49),"")</f>
        <v/>
      </c>
      <c r="F49" s="112" t="str">
        <f>IF(A49&lt;&gt;"",SUMIFS(node!$H$2:$H$500, node!$C$2:$C$500,"="&amp;A49, node!$C$2:$C$500,"&lt;&gt;"&amp;"")/(C49*D49),"")</f>
        <v/>
      </c>
      <c r="G49" s="179" t="str">
        <f>IF(A49&lt;&gt;"",SUMIFS(deployment!$F$4:$F$502, deployment!$D$4:$D$502,"="&amp;A49, deployment!$D$4:$D$502,"&lt;&gt;"&amp;""),"")</f>
        <v/>
      </c>
      <c r="H49" s="181" t="str">
        <f>IF(A49&lt;&gt;"",SUMIFS(deployment!$G$4:$G$502, deployment!$D$4:$D$502,"="&amp;A49, deployment!$D$4:$D$502,"&lt;&gt;"&amp;""),"")</f>
        <v/>
      </c>
      <c r="I49" s="113" t="str">
        <f>IF(A49&lt;&gt;"",SUMIFS(deployment!$H$4:$H$502, deployment!$D$4:$D$502,"="&amp;A49, deployment!$D$4:$D$502,"&lt;&gt;"&amp;""),"")</f>
        <v/>
      </c>
      <c r="J49" s="114" t="str">
        <f>IF(A49&lt;&gt;"",SUMIFS(deployment!$I$4:$I$502, deployment!$D$4:$D$502,"="&amp;A49, deployment!$D$4:$D$502,"&lt;&gt;"&amp;""),"")</f>
        <v/>
      </c>
      <c r="K49" s="182" t="str">
        <f>IF(A49&lt;&gt;"",SUMIFS(deployment!$J$4:$J$1002, deployment!$D$4:$D$1002,"="&amp;A49, deployment!$D$4:$D$1002,"&lt;&gt;"&amp;"", deployment!$C$4:$C$1002, "&lt;&gt;* )")+SUMIFS(namespace!$G$4:$G$1002, namespace!$B$4:$B$1002,"="&amp;A49, namespace!$B$4:$B$1002,"&lt;&gt;"&amp;""),"")</f>
        <v/>
      </c>
      <c r="L49" s="182" t="str">
        <f>IF(A49&lt;&gt;"",SUMIFS(deployment!$K$4:$K$1002, deployment!$D$4:$D$1002,"="&amp;A49, deployment!$D$4:$D$1002,"&lt;&gt;"&amp;"", deployment!$C$4:$C$1002, "&lt;&gt;* )")+SUMIFS(namespace!$H$4:$H$1002, namespace!$B$4:$B$1002,"="&amp;A49, namespace!$B$4:$B$1002,"&lt;&gt;"&amp;""),"")</f>
        <v/>
      </c>
      <c r="M49" s="115" t="str">
        <f>IF(A49&lt;&gt;"",SUMIFS(deployment!$L$4:$L$1002, deployment!$D$4:$D$1002,"="&amp;A49, deployment!$D$4:$D$1002,"&lt;&gt;"&amp;"", deployment!$C$4:$C$1002, "&lt;&gt;* )")+SUMIFS(namespace!$I$4:$I$1002, namespace!$B$4:$B$1002,"="&amp;A49, namespace!$B$4:$B$1002,"&lt;&gt;"&amp;""),"")</f>
        <v/>
      </c>
      <c r="N49" s="115" t="str">
        <f>IF(A49&lt;&gt;"",SUMIFS(deployment!$M$4:$M$1002, deployment!$D$4:$D$1002,"="&amp;A49, deployment!$D$4:$D$1002,"&lt;&gt;"&amp;"", deployment!$C$4:$C$1002, "&lt;&gt;* )")+SUMIFS(namespace!$J$4:$J$1002, namespace!$B$4:$B$1002,"="&amp;A49, namespace!$B$4:$B$1002,"&lt;&gt;"&amp;""),"")</f>
        <v/>
      </c>
      <c r="O49" s="116" t="str">
        <f t="shared" si="7"/>
        <v/>
      </c>
      <c r="P49" s="63"/>
      <c r="Q49" s="164" t="str">
        <f t="shared" si="0"/>
        <v/>
      </c>
      <c r="R49" s="60" t="str">
        <f t="shared" si="1"/>
        <v/>
      </c>
      <c r="S49" s="60" t="str">
        <f t="shared" si="2"/>
        <v/>
      </c>
      <c r="T49" s="61" t="str">
        <f t="shared" si="3"/>
        <v/>
      </c>
      <c r="U49" s="61" t="str">
        <f t="shared" si="4"/>
        <v/>
      </c>
      <c r="V49" s="183" t="str">
        <f t="shared" si="8"/>
        <v/>
      </c>
      <c r="W49" s="183" t="str">
        <f t="shared" si="9"/>
        <v/>
      </c>
      <c r="X49" s="61" t="str">
        <f t="shared" si="10"/>
        <v/>
      </c>
      <c r="Y49" s="61" t="str">
        <f t="shared" si="11"/>
        <v/>
      </c>
      <c r="Z49" s="118" t="str">
        <f t="shared" si="12"/>
        <v/>
      </c>
      <c r="AA49" s="62" t="str">
        <f t="shared" si="13"/>
        <v/>
      </c>
      <c r="AB49" s="119" t="str">
        <f>IF(A49&lt;&gt;"", IF(P49&lt;&gt;0,SUMIFS(node!$J$2:$J$1000, node!$C$2:$C$1000,"="&amp;A49)/P49,0), "")</f>
        <v/>
      </c>
      <c r="AC49" s="81" t="str">
        <f>IF(A49&lt;&gt;"", IF(P49&lt;&gt;0,SUMIFS(node!$K$2:$K$1000, node!$C$2:$C$1000,"="&amp;A49)/P49,0), "")</f>
        <v/>
      </c>
      <c r="AD49" s="82" t="str">
        <f>IF(A49&lt;&gt;"", SUMIFS(node!$L$2:$L$1000, node!$C$2:$C$1000,"="&amp;A49), "")</f>
        <v/>
      </c>
      <c r="AE49" s="87" t="str">
        <f>IF(A49&lt;&gt;"", SUMIFS(node!$M$2:$M$1000, node!$C$2:$C$1000,"="&amp;A49), "")</f>
        <v/>
      </c>
    </row>
    <row r="50" spans="1:31" ht="15.75" customHeight="1" x14ac:dyDescent="0.25">
      <c r="A50" s="71"/>
      <c r="B50" s="108" t="str">
        <f>IF(A50&lt;&gt;"", VLOOKUP(A50, node!$C$2:$D$1000, 2, FALSE), "")</f>
        <v/>
      </c>
      <c r="C50" s="109" t="str">
        <f>IF(A50&lt;&gt;"", VLOOKUP(A50, node!$C$2:$E$1000, 3, FALSE), "")</f>
        <v/>
      </c>
      <c r="D50" s="110" t="str">
        <f>IF(A50&lt;&gt;"",COUNTIFS(node!$C$2:$C$1000,"="&amp;A50, node!$C$2:$C$1000,"&lt;&gt;"&amp;""),"")</f>
        <v/>
      </c>
      <c r="E50" s="111" t="str">
        <f>IF(A50&lt;&gt;"",SUMIFS(node!$F$2:$F$500, node!$C$2:$C$500,"="&amp;A50, node!$C$2:$C$500,"&lt;&gt;"&amp;"")/(B50*D50),"")</f>
        <v/>
      </c>
      <c r="F50" s="112" t="str">
        <f>IF(A50&lt;&gt;"",SUMIFS(node!$H$2:$H$500, node!$C$2:$C$500,"="&amp;A50, node!$C$2:$C$500,"&lt;&gt;"&amp;"")/(C50*D50),"")</f>
        <v/>
      </c>
      <c r="G50" s="179" t="str">
        <f>IF(A50&lt;&gt;"",SUMIFS(deployment!$F$4:$F$502, deployment!$D$4:$D$502,"="&amp;A50, deployment!$D$4:$D$502,"&lt;&gt;"&amp;""),"")</f>
        <v/>
      </c>
      <c r="H50" s="181" t="str">
        <f>IF(A50&lt;&gt;"",SUMIFS(deployment!$G$4:$G$502, deployment!$D$4:$D$502,"="&amp;A50, deployment!$D$4:$D$502,"&lt;&gt;"&amp;""),"")</f>
        <v/>
      </c>
      <c r="I50" s="113" t="str">
        <f>IF(A50&lt;&gt;"",SUMIFS(deployment!$H$4:$H$502, deployment!$D$4:$D$502,"="&amp;A50, deployment!$D$4:$D$502,"&lt;&gt;"&amp;""),"")</f>
        <v/>
      </c>
      <c r="J50" s="114" t="str">
        <f>IF(A50&lt;&gt;"",SUMIFS(deployment!$I$4:$I$502, deployment!$D$4:$D$502,"="&amp;A50, deployment!$D$4:$D$502,"&lt;&gt;"&amp;""),"")</f>
        <v/>
      </c>
      <c r="K50" s="182" t="str">
        <f>IF(A50&lt;&gt;"",SUMIFS(deployment!$J$4:$J$1002, deployment!$D$4:$D$1002,"="&amp;A50, deployment!$D$4:$D$1002,"&lt;&gt;"&amp;"", deployment!$C$4:$C$1002, "&lt;&gt;* )")+SUMIFS(namespace!$G$4:$G$1002, namespace!$B$4:$B$1002,"="&amp;A50, namespace!$B$4:$B$1002,"&lt;&gt;"&amp;""),"")</f>
        <v/>
      </c>
      <c r="L50" s="182" t="str">
        <f>IF(A50&lt;&gt;"",SUMIFS(deployment!$K$4:$K$1002, deployment!$D$4:$D$1002,"="&amp;A50, deployment!$D$4:$D$1002,"&lt;&gt;"&amp;"", deployment!$C$4:$C$1002, "&lt;&gt;* )")+SUMIFS(namespace!$H$4:$H$1002, namespace!$B$4:$B$1002,"="&amp;A50, namespace!$B$4:$B$1002,"&lt;&gt;"&amp;""),"")</f>
        <v/>
      </c>
      <c r="M50" s="115" t="str">
        <f>IF(A50&lt;&gt;"",SUMIFS(deployment!$L$4:$L$1002, deployment!$D$4:$D$1002,"="&amp;A50, deployment!$D$4:$D$1002,"&lt;&gt;"&amp;"", deployment!$C$4:$C$1002, "&lt;&gt;* )")+SUMIFS(namespace!$I$4:$I$1002, namespace!$B$4:$B$1002,"="&amp;A50, namespace!$B$4:$B$1002,"&lt;&gt;"&amp;""),"")</f>
        <v/>
      </c>
      <c r="N50" s="115" t="str">
        <f>IF(A50&lt;&gt;"",SUMIFS(deployment!$M$4:$M$1002, deployment!$D$4:$D$1002,"="&amp;A50, deployment!$D$4:$D$1002,"&lt;&gt;"&amp;"", deployment!$C$4:$C$1002, "&lt;&gt;* )")+SUMIFS(namespace!$J$4:$J$1002, namespace!$B$4:$B$1002,"="&amp;A50, namespace!$B$4:$B$1002,"&lt;&gt;"&amp;""),"")</f>
        <v/>
      </c>
      <c r="O50" s="116" t="str">
        <f t="shared" si="7"/>
        <v/>
      </c>
      <c r="P50" s="63"/>
      <c r="Q50" s="164" t="str">
        <f t="shared" si="0"/>
        <v/>
      </c>
      <c r="R50" s="60" t="str">
        <f t="shared" si="1"/>
        <v/>
      </c>
      <c r="S50" s="60" t="str">
        <f t="shared" si="2"/>
        <v/>
      </c>
      <c r="T50" s="61" t="str">
        <f t="shared" si="3"/>
        <v/>
      </c>
      <c r="U50" s="61" t="str">
        <f t="shared" si="4"/>
        <v/>
      </c>
      <c r="V50" s="183" t="str">
        <f t="shared" si="8"/>
        <v/>
      </c>
      <c r="W50" s="183" t="str">
        <f t="shared" si="9"/>
        <v/>
      </c>
      <c r="X50" s="61" t="str">
        <f t="shared" si="10"/>
        <v/>
      </c>
      <c r="Y50" s="61" t="str">
        <f t="shared" si="11"/>
        <v/>
      </c>
      <c r="Z50" s="118" t="str">
        <f t="shared" si="12"/>
        <v/>
      </c>
      <c r="AA50" s="62" t="str">
        <f t="shared" si="13"/>
        <v/>
      </c>
      <c r="AB50" s="119" t="str">
        <f>IF(A50&lt;&gt;"", IF(P50&lt;&gt;0,SUMIFS(node!$J$2:$J$1000, node!$C$2:$C$1000,"="&amp;A50)/P50,0), "")</f>
        <v/>
      </c>
      <c r="AC50" s="81" t="str">
        <f>IF(A50&lt;&gt;"", IF(P50&lt;&gt;0,SUMIFS(node!$K$2:$K$1000, node!$C$2:$C$1000,"="&amp;A50)/P50,0), "")</f>
        <v/>
      </c>
      <c r="AD50" s="82" t="str">
        <f>IF(A50&lt;&gt;"", SUMIFS(node!$L$2:$L$1000, node!$C$2:$C$1000,"="&amp;A50), "")</f>
        <v/>
      </c>
      <c r="AE50" s="87" t="str">
        <f>IF(A50&lt;&gt;"", SUMIFS(node!$M$2:$M$1000, node!$C$2:$C$1000,"="&amp;A50), "")</f>
        <v/>
      </c>
    </row>
    <row r="51" spans="1:31" ht="15.75" customHeight="1" x14ac:dyDescent="0.25">
      <c r="A51" s="71"/>
      <c r="B51" s="108" t="str">
        <f>IF(A51&lt;&gt;"", VLOOKUP(A51, node!$C$2:$D$1000, 2, FALSE), "")</f>
        <v/>
      </c>
      <c r="C51" s="109" t="str">
        <f>IF(A51&lt;&gt;"", VLOOKUP(A51, node!$C$2:$E$1000, 3, FALSE), "")</f>
        <v/>
      </c>
      <c r="D51" s="110" t="str">
        <f>IF(A51&lt;&gt;"",COUNTIFS(node!$C$2:$C$1000,"="&amp;A51, node!$C$2:$C$1000,"&lt;&gt;"&amp;""),"")</f>
        <v/>
      </c>
      <c r="E51" s="111" t="str">
        <f>IF(A51&lt;&gt;"",SUMIFS(node!$F$2:$F$500, node!$C$2:$C$500,"="&amp;A51, node!$C$2:$C$500,"&lt;&gt;"&amp;"")/(B51*D51),"")</f>
        <v/>
      </c>
      <c r="F51" s="112" t="str">
        <f>IF(A51&lt;&gt;"",SUMIFS(node!$H$2:$H$500, node!$C$2:$C$500,"="&amp;A51, node!$C$2:$C$500,"&lt;&gt;"&amp;"")/(C51*D51),"")</f>
        <v/>
      </c>
      <c r="G51" s="179" t="str">
        <f>IF(A51&lt;&gt;"",SUMIFS(deployment!$F$4:$F$502, deployment!$D$4:$D$502,"="&amp;A51, deployment!$D$4:$D$502,"&lt;&gt;"&amp;""),"")</f>
        <v/>
      </c>
      <c r="H51" s="181" t="str">
        <f>IF(A51&lt;&gt;"",SUMIFS(deployment!$G$4:$G$502, deployment!$D$4:$D$502,"="&amp;A51, deployment!$D$4:$D$502,"&lt;&gt;"&amp;""),"")</f>
        <v/>
      </c>
      <c r="I51" s="113" t="str">
        <f>IF(A51&lt;&gt;"",SUMIFS(deployment!$H$4:$H$502, deployment!$D$4:$D$502,"="&amp;A51, deployment!$D$4:$D$502,"&lt;&gt;"&amp;""),"")</f>
        <v/>
      </c>
      <c r="J51" s="114" t="str">
        <f>IF(A51&lt;&gt;"",SUMIFS(deployment!$I$4:$I$502, deployment!$D$4:$D$502,"="&amp;A51, deployment!$D$4:$D$502,"&lt;&gt;"&amp;""),"")</f>
        <v/>
      </c>
      <c r="K51" s="182" t="str">
        <f>IF(A51&lt;&gt;"",SUMIFS(deployment!$J$4:$J$1002, deployment!$D$4:$D$1002,"="&amp;A51, deployment!$D$4:$D$1002,"&lt;&gt;"&amp;"", deployment!$C$4:$C$1002, "&lt;&gt;* )")+SUMIFS(namespace!$G$4:$G$1002, namespace!$B$4:$B$1002,"="&amp;A51, namespace!$B$4:$B$1002,"&lt;&gt;"&amp;""),"")</f>
        <v/>
      </c>
      <c r="L51" s="182" t="str">
        <f>IF(A51&lt;&gt;"",SUMIFS(deployment!$K$4:$K$1002, deployment!$D$4:$D$1002,"="&amp;A51, deployment!$D$4:$D$1002,"&lt;&gt;"&amp;"", deployment!$C$4:$C$1002, "&lt;&gt;* )")+SUMIFS(namespace!$H$4:$H$1002, namespace!$B$4:$B$1002,"="&amp;A51, namespace!$B$4:$B$1002,"&lt;&gt;"&amp;""),"")</f>
        <v/>
      </c>
      <c r="M51" s="115" t="str">
        <f>IF(A51&lt;&gt;"",SUMIFS(deployment!$L$4:$L$1002, deployment!$D$4:$D$1002,"="&amp;A51, deployment!$D$4:$D$1002,"&lt;&gt;"&amp;"", deployment!$C$4:$C$1002, "&lt;&gt;* )")+SUMIFS(namespace!$I$4:$I$1002, namespace!$B$4:$B$1002,"="&amp;A51, namespace!$B$4:$B$1002,"&lt;&gt;"&amp;""),"")</f>
        <v/>
      </c>
      <c r="N51" s="115" t="str">
        <f>IF(A51&lt;&gt;"",SUMIFS(deployment!$M$4:$M$1002, deployment!$D$4:$D$1002,"="&amp;A51, deployment!$D$4:$D$1002,"&lt;&gt;"&amp;"", deployment!$C$4:$C$1002, "&lt;&gt;* )")+SUMIFS(namespace!$J$4:$J$1002, namespace!$B$4:$B$1002,"="&amp;A51, namespace!$B$4:$B$1002,"&lt;&gt;"&amp;""),"")</f>
        <v/>
      </c>
      <c r="O51" s="116" t="str">
        <f t="shared" si="7"/>
        <v/>
      </c>
      <c r="P51" s="63"/>
      <c r="Q51" s="164" t="str">
        <f t="shared" si="0"/>
        <v/>
      </c>
      <c r="R51" s="60" t="str">
        <f t="shared" si="1"/>
        <v/>
      </c>
      <c r="S51" s="60" t="str">
        <f t="shared" si="2"/>
        <v/>
      </c>
      <c r="T51" s="61" t="str">
        <f t="shared" si="3"/>
        <v/>
      </c>
      <c r="U51" s="61" t="str">
        <f t="shared" si="4"/>
        <v/>
      </c>
      <c r="V51" s="183" t="str">
        <f t="shared" si="8"/>
        <v/>
      </c>
      <c r="W51" s="183" t="str">
        <f t="shared" si="9"/>
        <v/>
      </c>
      <c r="X51" s="61" t="str">
        <f t="shared" si="10"/>
        <v/>
      </c>
      <c r="Y51" s="61" t="str">
        <f t="shared" si="11"/>
        <v/>
      </c>
      <c r="Z51" s="118" t="str">
        <f t="shared" si="12"/>
        <v/>
      </c>
      <c r="AA51" s="62" t="str">
        <f t="shared" si="13"/>
        <v/>
      </c>
      <c r="AB51" s="119" t="str">
        <f>IF(A51&lt;&gt;"", IF(P51&lt;&gt;0,SUMIFS(node!$J$2:$J$1000, node!$C$2:$C$1000,"="&amp;A51)/P51,0), "")</f>
        <v/>
      </c>
      <c r="AC51" s="81" t="str">
        <f>IF(A51&lt;&gt;"", IF(P51&lt;&gt;0,SUMIFS(node!$K$2:$K$1000, node!$C$2:$C$1000,"="&amp;A51)/P51,0), "")</f>
        <v/>
      </c>
      <c r="AD51" s="82" t="str">
        <f>IF(A51&lt;&gt;"", SUMIFS(node!$L$2:$L$1000, node!$C$2:$C$1000,"="&amp;A51), "")</f>
        <v/>
      </c>
      <c r="AE51" s="87" t="str">
        <f>IF(A51&lt;&gt;"", SUMIFS(node!$M$2:$M$1000, node!$C$2:$C$1000,"="&amp;A51), "")</f>
        <v/>
      </c>
    </row>
    <row r="52" spans="1:31" ht="15.75" customHeight="1" x14ac:dyDescent="0.25">
      <c r="A52" s="71"/>
      <c r="B52" s="108" t="str">
        <f>IF(A52&lt;&gt;"", VLOOKUP(A52, node!$C$2:$D$1000, 2, FALSE), "")</f>
        <v/>
      </c>
      <c r="C52" s="109" t="str">
        <f>IF(A52&lt;&gt;"", VLOOKUP(A52, node!$C$2:$E$1000, 3, FALSE), "")</f>
        <v/>
      </c>
      <c r="D52" s="110" t="str">
        <f>IF(A52&lt;&gt;"",COUNTIFS(node!$C$2:$C$1000,"="&amp;A52, node!$C$2:$C$1000,"&lt;&gt;"&amp;""),"")</f>
        <v/>
      </c>
      <c r="E52" s="111" t="str">
        <f>IF(A52&lt;&gt;"",SUMIFS(node!$F$2:$F$500, node!$C$2:$C$500,"="&amp;A52, node!$C$2:$C$500,"&lt;&gt;"&amp;"")/(B52*D52),"")</f>
        <v/>
      </c>
      <c r="F52" s="112" t="str">
        <f>IF(A52&lt;&gt;"",SUMIFS(node!$H$2:$H$500, node!$C$2:$C$500,"="&amp;A52, node!$C$2:$C$500,"&lt;&gt;"&amp;"")/(C52*D52),"")</f>
        <v/>
      </c>
      <c r="G52" s="179" t="str">
        <f>IF(A52&lt;&gt;"",SUMIFS(deployment!$F$4:$F$502, deployment!$D$4:$D$502,"="&amp;A52, deployment!$D$4:$D$502,"&lt;&gt;"&amp;""),"")</f>
        <v/>
      </c>
      <c r="H52" s="181" t="str">
        <f>IF(A52&lt;&gt;"",SUMIFS(deployment!$G$4:$G$502, deployment!$D$4:$D$502,"="&amp;A52, deployment!$D$4:$D$502,"&lt;&gt;"&amp;""),"")</f>
        <v/>
      </c>
      <c r="I52" s="113" t="str">
        <f>IF(A52&lt;&gt;"",SUMIFS(deployment!$H$4:$H$502, deployment!$D$4:$D$502,"="&amp;A52, deployment!$D$4:$D$502,"&lt;&gt;"&amp;""),"")</f>
        <v/>
      </c>
      <c r="J52" s="114" t="str">
        <f>IF(A52&lt;&gt;"",SUMIFS(deployment!$I$4:$I$502, deployment!$D$4:$D$502,"="&amp;A52, deployment!$D$4:$D$502,"&lt;&gt;"&amp;""),"")</f>
        <v/>
      </c>
      <c r="K52" s="182" t="str">
        <f>IF(A52&lt;&gt;"",SUMIFS(deployment!$J$4:$J$1002, deployment!$D$4:$D$1002,"="&amp;A52, deployment!$D$4:$D$1002,"&lt;&gt;"&amp;"", deployment!$C$4:$C$1002, "&lt;&gt;* )")+SUMIFS(namespace!$G$4:$G$1002, namespace!$B$4:$B$1002,"="&amp;A52, namespace!$B$4:$B$1002,"&lt;&gt;"&amp;""),"")</f>
        <v/>
      </c>
      <c r="L52" s="182" t="str">
        <f>IF(A52&lt;&gt;"",SUMIFS(deployment!$K$4:$K$1002, deployment!$D$4:$D$1002,"="&amp;A52, deployment!$D$4:$D$1002,"&lt;&gt;"&amp;"", deployment!$C$4:$C$1002, "&lt;&gt;* )")+SUMIFS(namespace!$H$4:$H$1002, namespace!$B$4:$B$1002,"="&amp;A52, namespace!$B$4:$B$1002,"&lt;&gt;"&amp;""),"")</f>
        <v/>
      </c>
      <c r="M52" s="115" t="str">
        <f>IF(A52&lt;&gt;"",SUMIFS(deployment!$L$4:$L$1002, deployment!$D$4:$D$1002,"="&amp;A52, deployment!$D$4:$D$1002,"&lt;&gt;"&amp;"", deployment!$C$4:$C$1002, "&lt;&gt;* )")+SUMIFS(namespace!$I$4:$I$1002, namespace!$B$4:$B$1002,"="&amp;A52, namespace!$B$4:$B$1002,"&lt;&gt;"&amp;""),"")</f>
        <v/>
      </c>
      <c r="N52" s="115" t="str">
        <f>IF(A52&lt;&gt;"",SUMIFS(deployment!$M$4:$M$1002, deployment!$D$4:$D$1002,"="&amp;A52, deployment!$D$4:$D$1002,"&lt;&gt;"&amp;"", deployment!$C$4:$C$1002, "&lt;&gt;* )")+SUMIFS(namespace!$J$4:$J$1002, namespace!$B$4:$B$1002,"="&amp;A52, namespace!$B$4:$B$1002,"&lt;&gt;"&amp;""),"")</f>
        <v/>
      </c>
      <c r="O52" s="116" t="str">
        <f t="shared" si="7"/>
        <v/>
      </c>
      <c r="P52" s="63"/>
      <c r="Q52" s="164" t="str">
        <f t="shared" si="0"/>
        <v/>
      </c>
      <c r="R52" s="60" t="str">
        <f t="shared" si="1"/>
        <v/>
      </c>
      <c r="S52" s="60" t="str">
        <f t="shared" si="2"/>
        <v/>
      </c>
      <c r="T52" s="61" t="str">
        <f t="shared" si="3"/>
        <v/>
      </c>
      <c r="U52" s="61" t="str">
        <f t="shared" si="4"/>
        <v/>
      </c>
      <c r="V52" s="183" t="str">
        <f t="shared" si="8"/>
        <v/>
      </c>
      <c r="W52" s="183" t="str">
        <f t="shared" si="9"/>
        <v/>
      </c>
      <c r="X52" s="61" t="str">
        <f t="shared" si="10"/>
        <v/>
      </c>
      <c r="Y52" s="61" t="str">
        <f t="shared" si="11"/>
        <v/>
      </c>
      <c r="Z52" s="118" t="str">
        <f t="shared" si="12"/>
        <v/>
      </c>
      <c r="AA52" s="62" t="str">
        <f t="shared" si="13"/>
        <v/>
      </c>
      <c r="AB52" s="119" t="str">
        <f>IF(A52&lt;&gt;"", IF(P52&lt;&gt;0,SUMIFS(node!$J$2:$J$1000, node!$C$2:$C$1000,"="&amp;A52)/P52,0), "")</f>
        <v/>
      </c>
      <c r="AC52" s="81" t="str">
        <f>IF(A52&lt;&gt;"", IF(P52&lt;&gt;0,SUMIFS(node!$K$2:$K$1000, node!$C$2:$C$1000,"="&amp;A52)/P52,0), "")</f>
        <v/>
      </c>
      <c r="AD52" s="82" t="str">
        <f>IF(A52&lt;&gt;"", SUMIFS(node!$L$2:$L$1000, node!$C$2:$C$1000,"="&amp;A52), "")</f>
        <v/>
      </c>
      <c r="AE52" s="87" t="str">
        <f>IF(A52&lt;&gt;"", SUMIFS(node!$M$2:$M$1000, node!$C$2:$C$1000,"="&amp;A52), "")</f>
        <v/>
      </c>
    </row>
    <row r="53" spans="1:31" ht="15.75" customHeight="1" x14ac:dyDescent="0.25">
      <c r="A53" s="71"/>
      <c r="B53" s="108" t="str">
        <f>IF(A53&lt;&gt;"", VLOOKUP(A53, node!$C$2:$D$1000, 2, FALSE), "")</f>
        <v/>
      </c>
      <c r="C53" s="109" t="str">
        <f>IF(A53&lt;&gt;"", VLOOKUP(A53, node!$C$2:$E$1000, 3, FALSE), "")</f>
        <v/>
      </c>
      <c r="D53" s="110" t="str">
        <f>IF(A53&lt;&gt;"",COUNTIFS(node!$C$2:$C$1000,"="&amp;A53, node!$C$2:$C$1000,"&lt;&gt;"&amp;""),"")</f>
        <v/>
      </c>
      <c r="E53" s="111" t="str">
        <f>IF(A53&lt;&gt;"",SUMIFS(node!$F$2:$F$500, node!$C$2:$C$500,"="&amp;A53, node!$C$2:$C$500,"&lt;&gt;"&amp;"")/(B53*D53),"")</f>
        <v/>
      </c>
      <c r="F53" s="112" t="str">
        <f>IF(A53&lt;&gt;"",SUMIFS(node!$H$2:$H$500, node!$C$2:$C$500,"="&amp;A53, node!$C$2:$C$500,"&lt;&gt;"&amp;"")/(C53*D53),"")</f>
        <v/>
      </c>
      <c r="G53" s="179" t="str">
        <f>IF(A53&lt;&gt;"",SUMIFS(deployment!$F$4:$F$502, deployment!$D$4:$D$502,"="&amp;A53, deployment!$D$4:$D$502,"&lt;&gt;"&amp;""),"")</f>
        <v/>
      </c>
      <c r="H53" s="181" t="str">
        <f>IF(A53&lt;&gt;"",SUMIFS(deployment!$G$4:$G$502, deployment!$D$4:$D$502,"="&amp;A53, deployment!$D$4:$D$502,"&lt;&gt;"&amp;""),"")</f>
        <v/>
      </c>
      <c r="I53" s="113" t="str">
        <f>IF(A53&lt;&gt;"",SUMIFS(deployment!$H$4:$H$502, deployment!$D$4:$D$502,"="&amp;A53, deployment!$D$4:$D$502,"&lt;&gt;"&amp;""),"")</f>
        <v/>
      </c>
      <c r="J53" s="114" t="str">
        <f>IF(A53&lt;&gt;"",SUMIFS(deployment!$I$4:$I$502, deployment!$D$4:$D$502,"="&amp;A53, deployment!$D$4:$D$502,"&lt;&gt;"&amp;""),"")</f>
        <v/>
      </c>
      <c r="K53" s="182" t="str">
        <f>IF(A53&lt;&gt;"",SUMIFS(deployment!$J$4:$J$1002, deployment!$D$4:$D$1002,"="&amp;A53, deployment!$D$4:$D$1002,"&lt;&gt;"&amp;"", deployment!$C$4:$C$1002, "&lt;&gt;* )")+SUMIFS(namespace!$G$4:$G$1002, namespace!$B$4:$B$1002,"="&amp;A53, namespace!$B$4:$B$1002,"&lt;&gt;"&amp;""),"")</f>
        <v/>
      </c>
      <c r="L53" s="182" t="str">
        <f>IF(A53&lt;&gt;"",SUMIFS(deployment!$K$4:$K$1002, deployment!$D$4:$D$1002,"="&amp;A53, deployment!$D$4:$D$1002,"&lt;&gt;"&amp;"", deployment!$C$4:$C$1002, "&lt;&gt;* )")+SUMIFS(namespace!$H$4:$H$1002, namespace!$B$4:$B$1002,"="&amp;A53, namespace!$B$4:$B$1002,"&lt;&gt;"&amp;""),"")</f>
        <v/>
      </c>
      <c r="M53" s="115" t="str">
        <f>IF(A53&lt;&gt;"",SUMIFS(deployment!$L$4:$L$1002, deployment!$D$4:$D$1002,"="&amp;A53, deployment!$D$4:$D$1002,"&lt;&gt;"&amp;"", deployment!$C$4:$C$1002, "&lt;&gt;* )")+SUMIFS(namespace!$I$4:$I$1002, namespace!$B$4:$B$1002,"="&amp;A53, namespace!$B$4:$B$1002,"&lt;&gt;"&amp;""),"")</f>
        <v/>
      </c>
      <c r="N53" s="115" t="str">
        <f>IF(A53&lt;&gt;"",SUMIFS(deployment!$M$4:$M$1002, deployment!$D$4:$D$1002,"="&amp;A53, deployment!$D$4:$D$1002,"&lt;&gt;"&amp;"", deployment!$C$4:$C$1002, "&lt;&gt;* )")+SUMIFS(namespace!$J$4:$J$1002, namespace!$B$4:$B$1002,"="&amp;A53, namespace!$B$4:$B$1002,"&lt;&gt;"&amp;""),"")</f>
        <v/>
      </c>
      <c r="O53" s="116" t="str">
        <f t="shared" si="7"/>
        <v/>
      </c>
      <c r="P53" s="63"/>
      <c r="Q53" s="164" t="str">
        <f t="shared" si="0"/>
        <v/>
      </c>
      <c r="R53" s="60" t="str">
        <f t="shared" si="1"/>
        <v/>
      </c>
      <c r="S53" s="60" t="str">
        <f t="shared" si="2"/>
        <v/>
      </c>
      <c r="T53" s="61" t="str">
        <f t="shared" si="3"/>
        <v/>
      </c>
      <c r="U53" s="61" t="str">
        <f t="shared" si="4"/>
        <v/>
      </c>
      <c r="V53" s="183" t="str">
        <f t="shared" si="8"/>
        <v/>
      </c>
      <c r="W53" s="183" t="str">
        <f t="shared" si="9"/>
        <v/>
      </c>
      <c r="X53" s="61" t="str">
        <f t="shared" si="10"/>
        <v/>
      </c>
      <c r="Y53" s="61" t="str">
        <f t="shared" si="11"/>
        <v/>
      </c>
      <c r="Z53" s="118" t="str">
        <f t="shared" si="12"/>
        <v/>
      </c>
      <c r="AA53" s="62" t="str">
        <f t="shared" si="13"/>
        <v/>
      </c>
      <c r="AB53" s="119" t="str">
        <f>IF(A53&lt;&gt;"", IF(P53&lt;&gt;0,SUMIFS(node!$J$2:$J$1000, node!$C$2:$C$1000,"="&amp;A53)/P53,0), "")</f>
        <v/>
      </c>
      <c r="AC53" s="81" t="str">
        <f>IF(A53&lt;&gt;"", IF(P53&lt;&gt;0,SUMIFS(node!$K$2:$K$1000, node!$C$2:$C$1000,"="&amp;A53)/P53,0), "")</f>
        <v/>
      </c>
      <c r="AD53" s="82" t="str">
        <f>IF(A53&lt;&gt;"", SUMIFS(node!$L$2:$L$1000, node!$C$2:$C$1000,"="&amp;A53), "")</f>
        <v/>
      </c>
      <c r="AE53" s="87" t="str">
        <f>IF(A53&lt;&gt;"", SUMIFS(node!$M$2:$M$1000, node!$C$2:$C$1000,"="&amp;A53), "")</f>
        <v/>
      </c>
    </row>
    <row r="54" spans="1:31" ht="15.75" customHeight="1" x14ac:dyDescent="0.25">
      <c r="A54" s="71" t="str">
        <f>IF(ISNONTEXT(node_raw[[#This Row],[Column2]]), "", node_raw[[#This Row],[Column2]])</f>
        <v/>
      </c>
      <c r="B54" s="108" t="str">
        <f>IF(A54&lt;&gt;"", VLOOKUP(A54, node!$C$2:$D$1000, 2, FALSE), "")</f>
        <v/>
      </c>
      <c r="C54" s="109" t="str">
        <f>IF(A54&lt;&gt;"", VLOOKUP(A54, node!$C$2:$E$1000, 3, FALSE), "")</f>
        <v/>
      </c>
      <c r="D54" s="110" t="str">
        <f>IF(A54&lt;&gt;"",COUNTIFS(node!$C$2:$C$1000,"="&amp;A54, node!$C$2:$C$1000,"&lt;&gt;"&amp;""),"")</f>
        <v/>
      </c>
      <c r="E54" s="111" t="str">
        <f>IF(A54&lt;&gt;"",SUMIFS(node!$F$2:$F$500, node!$C$2:$C$500,"="&amp;A54, node!$C$2:$C$500,"&lt;&gt;"&amp;"")/(B54*D54),"")</f>
        <v/>
      </c>
      <c r="F54" s="112" t="str">
        <f>IF(A54&lt;&gt;"",SUMIFS(node!$H$2:$H$500, node!$C$2:$C$500,"="&amp;A54, node!$C$2:$C$500,"&lt;&gt;"&amp;"")/(C54*D54),"")</f>
        <v/>
      </c>
      <c r="G54" s="179" t="str">
        <f>IF(A54&lt;&gt;"",SUMIFS(deployment!$F$4:$F$502, deployment!$D$4:$D$502,"="&amp;A54, deployment!$D$4:$D$502,"&lt;&gt;"&amp;""),"")</f>
        <v/>
      </c>
      <c r="H54" s="181" t="str">
        <f>IF(A54&lt;&gt;"",SUMIFS(deployment!$G$4:$G$502, deployment!$D$4:$D$502,"="&amp;A54, deployment!$D$4:$D$502,"&lt;&gt;"&amp;""),"")</f>
        <v/>
      </c>
      <c r="I54" s="113" t="str">
        <f>IF(A54&lt;&gt;"",SUMIFS(deployment!$H$4:$H$502, deployment!$D$4:$D$502,"="&amp;A54, deployment!$D$4:$D$502,"&lt;&gt;"&amp;""),"")</f>
        <v/>
      </c>
      <c r="J54" s="114" t="str">
        <f>IF(A54&lt;&gt;"",SUMIFS(deployment!$I$4:$I$502, deployment!$D$4:$D$502,"="&amp;A54, deployment!$D$4:$D$502,"&lt;&gt;"&amp;""),"")</f>
        <v/>
      </c>
      <c r="K54" s="182" t="str">
        <f>IF(A54&lt;&gt;"",SUMIFS(deployment!$J$4:$J$1002, deployment!$D$4:$D$1002,"="&amp;A54, deployment!$D$4:$D$1002,"&lt;&gt;"&amp;"", deployment!$C$4:$C$1002, "&lt;&gt;* )")+SUMIFS(namespace!$G$4:$G$1002, namespace!$B$4:$B$1002,"="&amp;A54, namespace!$B$4:$B$1002,"&lt;&gt;"&amp;""),"")</f>
        <v/>
      </c>
      <c r="L54" s="182" t="str">
        <f>IF(A54&lt;&gt;"",SUMIFS(deployment!$K$4:$K$1002, deployment!$D$4:$D$1002,"="&amp;A54, deployment!$D$4:$D$1002,"&lt;&gt;"&amp;"", deployment!$C$4:$C$1002, "&lt;&gt;* )")+SUMIFS(namespace!$H$4:$H$1002, namespace!$B$4:$B$1002,"="&amp;A54, namespace!$B$4:$B$1002,"&lt;&gt;"&amp;""),"")</f>
        <v/>
      </c>
      <c r="M54" s="115" t="str">
        <f>IF(A54&lt;&gt;"",SUMIFS(deployment!$L$4:$L$1002, deployment!$D$4:$D$1002,"="&amp;A54, deployment!$D$4:$D$1002,"&lt;&gt;"&amp;"", deployment!$C$4:$C$1002, "&lt;&gt;* )")+SUMIFS(namespace!$I$4:$I$1002, namespace!$B$4:$B$1002,"="&amp;A54, namespace!$B$4:$B$1002,"&lt;&gt;"&amp;""),"")</f>
        <v/>
      </c>
      <c r="N54" s="115" t="str">
        <f>IF(A54&lt;&gt;"",SUMIFS(deployment!$M$4:$M$1002, deployment!$D$4:$D$1002,"="&amp;A54, deployment!$D$4:$D$1002,"&lt;&gt;"&amp;"", deployment!$C$4:$C$1002, "&lt;&gt;* )")+SUMIFS(namespace!$J$4:$J$1002, namespace!$B$4:$B$1002,"="&amp;A54, namespace!$B$4:$B$1002,"&lt;&gt;"&amp;""),"")</f>
        <v/>
      </c>
      <c r="O54" s="116" t="str">
        <f t="shared" si="7"/>
        <v/>
      </c>
      <c r="P54" s="63"/>
      <c r="Q54" s="164" t="str">
        <f t="shared" si="0"/>
        <v/>
      </c>
      <c r="R54" s="60" t="str">
        <f t="shared" si="1"/>
        <v/>
      </c>
      <c r="S54" s="60" t="str">
        <f t="shared" si="2"/>
        <v/>
      </c>
      <c r="T54" s="61" t="str">
        <f t="shared" si="3"/>
        <v/>
      </c>
      <c r="U54" s="61" t="str">
        <f t="shared" si="4"/>
        <v/>
      </c>
      <c r="V54" s="183" t="str">
        <f t="shared" si="8"/>
        <v/>
      </c>
      <c r="W54" s="183" t="str">
        <f t="shared" si="9"/>
        <v/>
      </c>
      <c r="X54" s="61" t="str">
        <f t="shared" si="10"/>
        <v/>
      </c>
      <c r="Y54" s="61" t="str">
        <f t="shared" si="11"/>
        <v/>
      </c>
      <c r="Z54" s="118" t="str">
        <f t="shared" si="12"/>
        <v/>
      </c>
      <c r="AA54" s="62" t="str">
        <f t="shared" si="13"/>
        <v/>
      </c>
      <c r="AB54" s="119" t="str">
        <f>IF(A54&lt;&gt;"", IF(P54&lt;&gt;0,SUMIFS(node!$J$2:$J$1000, node!$C$2:$C$1000,"="&amp;A54)/P54,0), "")</f>
        <v/>
      </c>
      <c r="AC54" s="81" t="str">
        <f>IF(A54&lt;&gt;"", IF(P54&lt;&gt;0,SUMIFS(node!$K$2:$K$1000, node!$C$2:$C$1000,"="&amp;A54)/P54,0), "")</f>
        <v/>
      </c>
      <c r="AD54" s="82" t="str">
        <f>IF(A54&lt;&gt;"", SUMIFS(node!$L$2:$L$1000, node!$C$2:$C$1000,"="&amp;A54), "")</f>
        <v/>
      </c>
      <c r="AE54" s="87" t="str">
        <f>IF(A54&lt;&gt;"", SUMIFS(node!$M$2:$M$1000, node!$C$2:$C$1000,"="&amp;A54), "")</f>
        <v/>
      </c>
    </row>
    <row r="55" spans="1:31" ht="15.75" customHeight="1" x14ac:dyDescent="0.25">
      <c r="A55" s="71" t="str">
        <f>IF(ISNONTEXT(node_raw[[#This Row],[Column2]]), "", node_raw[[#This Row],[Column2]])</f>
        <v/>
      </c>
      <c r="B55" s="108" t="str">
        <f>IF(A55&lt;&gt;"", VLOOKUP(A55, node!$C$2:$D$1000, 2, FALSE), "")</f>
        <v/>
      </c>
      <c r="C55" s="109" t="str">
        <f>IF(A55&lt;&gt;"", VLOOKUP(A55, node!$C$2:$E$1000, 3, FALSE), "")</f>
        <v/>
      </c>
      <c r="D55" s="110" t="str">
        <f>IF(A55&lt;&gt;"",COUNTIFS(node!$C$2:$C$1000,"="&amp;A55, node!$C$2:$C$1000,"&lt;&gt;"&amp;""),"")</f>
        <v/>
      </c>
      <c r="E55" s="111" t="str">
        <f>IF(A55&lt;&gt;"",SUMIFS(node!$F$2:$F$500, node!$C$2:$C$500,"="&amp;A55, node!$C$2:$C$500,"&lt;&gt;"&amp;"")/(B55*D55),"")</f>
        <v/>
      </c>
      <c r="F55" s="112" t="str">
        <f>IF(A55&lt;&gt;"",SUMIFS(node!$H$2:$H$500, node!$C$2:$C$500,"="&amp;A55, node!$C$2:$C$500,"&lt;&gt;"&amp;"")/(C55*D55),"")</f>
        <v/>
      </c>
      <c r="G55" s="179" t="str">
        <f>IF(A55&lt;&gt;"",SUMIFS(deployment!$F$4:$F$502, deployment!$D$4:$D$502,"="&amp;A55, deployment!$D$4:$D$502,"&lt;&gt;"&amp;""),"")</f>
        <v/>
      </c>
      <c r="H55" s="181" t="str">
        <f>IF(A55&lt;&gt;"",SUMIFS(deployment!$G$4:$G$502, deployment!$D$4:$D$502,"="&amp;A55, deployment!$D$4:$D$502,"&lt;&gt;"&amp;""),"")</f>
        <v/>
      </c>
      <c r="I55" s="113" t="str">
        <f>IF(A55&lt;&gt;"",SUMIFS(deployment!$H$4:$H$502, deployment!$D$4:$D$502,"="&amp;A55, deployment!$D$4:$D$502,"&lt;&gt;"&amp;""),"")</f>
        <v/>
      </c>
      <c r="J55" s="114" t="str">
        <f>IF(A55&lt;&gt;"",SUMIFS(deployment!$I$4:$I$502, deployment!$D$4:$D$502,"="&amp;A55, deployment!$D$4:$D$502,"&lt;&gt;"&amp;""),"")</f>
        <v/>
      </c>
      <c r="K55" s="182" t="str">
        <f>IF(A55&lt;&gt;"",SUMIFS(deployment!$J$4:$J$1002, deployment!$D$4:$D$1002,"="&amp;A55, deployment!$D$4:$D$1002,"&lt;&gt;"&amp;"", deployment!$C$4:$C$1002, "&lt;&gt;* )")+SUMIFS(namespace!$G$4:$G$1002, namespace!$B$4:$B$1002,"="&amp;A55, namespace!$B$4:$B$1002,"&lt;&gt;"&amp;""),"")</f>
        <v/>
      </c>
      <c r="L55" s="182" t="str">
        <f>IF(A55&lt;&gt;"",SUMIFS(deployment!$K$4:$K$1002, deployment!$D$4:$D$1002,"="&amp;A55, deployment!$D$4:$D$1002,"&lt;&gt;"&amp;"", deployment!$C$4:$C$1002, "&lt;&gt;* )")+SUMIFS(namespace!$H$4:$H$1002, namespace!$B$4:$B$1002,"="&amp;A55, namespace!$B$4:$B$1002,"&lt;&gt;"&amp;""),"")</f>
        <v/>
      </c>
      <c r="M55" s="115" t="str">
        <f>IF(A55&lt;&gt;"",SUMIFS(deployment!$L$4:$L$1002, deployment!$D$4:$D$1002,"="&amp;A55, deployment!$D$4:$D$1002,"&lt;&gt;"&amp;"", deployment!$C$4:$C$1002, "&lt;&gt;* )")+SUMIFS(namespace!$I$4:$I$1002, namespace!$B$4:$B$1002,"="&amp;A55, namespace!$B$4:$B$1002,"&lt;&gt;"&amp;""),"")</f>
        <v/>
      </c>
      <c r="N55" s="115" t="str">
        <f>IF(A55&lt;&gt;"",SUMIFS(deployment!$M$4:$M$1002, deployment!$D$4:$D$1002,"="&amp;A55, deployment!$D$4:$D$1002,"&lt;&gt;"&amp;"", deployment!$C$4:$C$1002, "&lt;&gt;* )")+SUMIFS(namespace!$J$4:$J$1002, namespace!$B$4:$B$1002,"="&amp;A55, namespace!$B$4:$B$1002,"&lt;&gt;"&amp;""),"")</f>
        <v/>
      </c>
      <c r="O55" s="116" t="str">
        <f t="shared" si="7"/>
        <v/>
      </c>
      <c r="P55" s="63"/>
      <c r="Q55" s="164" t="str">
        <f t="shared" si="0"/>
        <v/>
      </c>
      <c r="R55" s="60" t="str">
        <f t="shared" si="1"/>
        <v/>
      </c>
      <c r="S55" s="60" t="str">
        <f t="shared" si="2"/>
        <v/>
      </c>
      <c r="T55" s="61" t="str">
        <f t="shared" si="3"/>
        <v/>
      </c>
      <c r="U55" s="61" t="str">
        <f t="shared" si="4"/>
        <v/>
      </c>
      <c r="V55" s="183" t="str">
        <f t="shared" si="8"/>
        <v/>
      </c>
      <c r="W55" s="183" t="str">
        <f t="shared" si="9"/>
        <v/>
      </c>
      <c r="X55" s="61" t="str">
        <f t="shared" si="10"/>
        <v/>
      </c>
      <c r="Y55" s="61" t="str">
        <f t="shared" si="11"/>
        <v/>
      </c>
      <c r="Z55" s="118" t="str">
        <f t="shared" si="12"/>
        <v/>
      </c>
      <c r="AA55" s="62" t="str">
        <f t="shared" si="13"/>
        <v/>
      </c>
      <c r="AB55" s="119" t="str">
        <f>IF(A55&lt;&gt;"", IF(P55&lt;&gt;0,SUMIFS(node!$J$2:$J$1000, node!$C$2:$C$1000,"="&amp;A55)/P55,0), "")</f>
        <v/>
      </c>
      <c r="AC55" s="81" t="str">
        <f>IF(A55&lt;&gt;"", IF(P55&lt;&gt;0,SUMIFS(node!$K$2:$K$1000, node!$C$2:$C$1000,"="&amp;A55)/P55,0), "")</f>
        <v/>
      </c>
      <c r="AD55" s="82" t="str">
        <f>IF(A55&lt;&gt;"", SUMIFS(node!$L$2:$L$1000, node!$C$2:$C$1000,"="&amp;A55), "")</f>
        <v/>
      </c>
      <c r="AE55" s="87" t="str">
        <f>IF(A55&lt;&gt;"", SUMIFS(node!$M$2:$M$1000, node!$C$2:$C$1000,"="&amp;A55), "")</f>
        <v/>
      </c>
    </row>
    <row r="56" spans="1:31" ht="15.75" customHeight="1" x14ac:dyDescent="0.25">
      <c r="A56" s="71" t="str">
        <f>IF(ISNONTEXT(node_raw[[#This Row],[Column2]]), "", node_raw[[#This Row],[Column2]])</f>
        <v/>
      </c>
      <c r="B56" s="108" t="str">
        <f>IF(A56&lt;&gt;"", VLOOKUP(A56, node!$C$2:$D$1000, 2, FALSE), "")</f>
        <v/>
      </c>
      <c r="C56" s="109" t="str">
        <f>IF(A56&lt;&gt;"", VLOOKUP(A56, node!$C$2:$E$1000, 3, FALSE), "")</f>
        <v/>
      </c>
      <c r="D56" s="110" t="str">
        <f>IF(A56&lt;&gt;"",COUNTIFS(node!$C$2:$C$1000,"="&amp;A56, node!$C$2:$C$1000,"&lt;&gt;"&amp;""),"")</f>
        <v/>
      </c>
      <c r="E56" s="111" t="str">
        <f>IF(A56&lt;&gt;"",SUMIFS(node!$F$2:$F$500, node!$C$2:$C$500,"="&amp;A56, node!$C$2:$C$500,"&lt;&gt;"&amp;"")/(B56*D56),"")</f>
        <v/>
      </c>
      <c r="F56" s="112" t="str">
        <f>IF(A56&lt;&gt;"",SUMIFS(node!$H$2:$H$500, node!$C$2:$C$500,"="&amp;A56, node!$C$2:$C$500,"&lt;&gt;"&amp;"")/(C56*D56),"")</f>
        <v/>
      </c>
      <c r="G56" s="179" t="str">
        <f>IF(A56&lt;&gt;"",SUMIFS(deployment!$F$4:$F$502, deployment!$D$4:$D$502,"="&amp;A56, deployment!$D$4:$D$502,"&lt;&gt;"&amp;""),"")</f>
        <v/>
      </c>
      <c r="H56" s="181" t="str">
        <f>IF(A56&lt;&gt;"",SUMIFS(deployment!$G$4:$G$502, deployment!$D$4:$D$502,"="&amp;A56, deployment!$D$4:$D$502,"&lt;&gt;"&amp;""),"")</f>
        <v/>
      </c>
      <c r="I56" s="113" t="str">
        <f>IF(A56&lt;&gt;"",SUMIFS(deployment!$H$4:$H$502, deployment!$D$4:$D$502,"="&amp;A56, deployment!$D$4:$D$502,"&lt;&gt;"&amp;""),"")</f>
        <v/>
      </c>
      <c r="J56" s="114" t="str">
        <f>IF(A56&lt;&gt;"",SUMIFS(deployment!$I$4:$I$502, deployment!$D$4:$D$502,"="&amp;A56, deployment!$D$4:$D$502,"&lt;&gt;"&amp;""),"")</f>
        <v/>
      </c>
      <c r="K56" s="182" t="str">
        <f>IF(A56&lt;&gt;"",SUMIFS(deployment!$J$4:$J$1002, deployment!$D$4:$D$1002,"="&amp;A56, deployment!$D$4:$D$1002,"&lt;&gt;"&amp;"", deployment!$C$4:$C$1002, "&lt;&gt;* )")+SUMIFS(namespace!$G$4:$G$1002, namespace!$B$4:$B$1002,"="&amp;A56, namespace!$B$4:$B$1002,"&lt;&gt;"&amp;""),"")</f>
        <v/>
      </c>
      <c r="L56" s="182" t="str">
        <f>IF(A56&lt;&gt;"",SUMIFS(deployment!$K$4:$K$1002, deployment!$D$4:$D$1002,"="&amp;A56, deployment!$D$4:$D$1002,"&lt;&gt;"&amp;"", deployment!$C$4:$C$1002, "&lt;&gt;* )")+SUMIFS(namespace!$H$4:$H$1002, namespace!$B$4:$B$1002,"="&amp;A56, namespace!$B$4:$B$1002,"&lt;&gt;"&amp;""),"")</f>
        <v/>
      </c>
      <c r="M56" s="115" t="str">
        <f>IF(A56&lt;&gt;"",SUMIFS(deployment!$L$4:$L$1002, deployment!$D$4:$D$1002,"="&amp;A56, deployment!$D$4:$D$1002,"&lt;&gt;"&amp;"", deployment!$C$4:$C$1002, "&lt;&gt;* )")+SUMIFS(namespace!$I$4:$I$1002, namespace!$B$4:$B$1002,"="&amp;A56, namespace!$B$4:$B$1002,"&lt;&gt;"&amp;""),"")</f>
        <v/>
      </c>
      <c r="N56" s="115" t="str">
        <f>IF(A56&lt;&gt;"",SUMIFS(deployment!$M$4:$M$1002, deployment!$D$4:$D$1002,"="&amp;A56, deployment!$D$4:$D$1002,"&lt;&gt;"&amp;"", deployment!$C$4:$C$1002, "&lt;&gt;* )")+SUMIFS(namespace!$J$4:$J$1002, namespace!$B$4:$B$1002,"="&amp;A56, namespace!$B$4:$B$1002,"&lt;&gt;"&amp;""),"")</f>
        <v/>
      </c>
      <c r="O56" s="116" t="str">
        <f t="shared" si="7"/>
        <v/>
      </c>
      <c r="P56" s="63"/>
      <c r="Q56" s="164" t="str">
        <f t="shared" si="0"/>
        <v/>
      </c>
      <c r="R56" s="60" t="str">
        <f t="shared" si="1"/>
        <v/>
      </c>
      <c r="S56" s="60" t="str">
        <f t="shared" si="2"/>
        <v/>
      </c>
      <c r="T56" s="61" t="str">
        <f t="shared" si="3"/>
        <v/>
      </c>
      <c r="U56" s="61" t="str">
        <f t="shared" si="4"/>
        <v/>
      </c>
      <c r="V56" s="183" t="str">
        <f t="shared" si="8"/>
        <v/>
      </c>
      <c r="W56" s="183" t="str">
        <f t="shared" si="9"/>
        <v/>
      </c>
      <c r="X56" s="61" t="str">
        <f t="shared" si="10"/>
        <v/>
      </c>
      <c r="Y56" s="61" t="str">
        <f t="shared" si="11"/>
        <v/>
      </c>
      <c r="Z56" s="118" t="str">
        <f t="shared" si="12"/>
        <v/>
      </c>
      <c r="AA56" s="62" t="str">
        <f t="shared" si="13"/>
        <v/>
      </c>
      <c r="AB56" s="119" t="str">
        <f>IF(A56&lt;&gt;"", IF(P56&lt;&gt;0,SUMIFS(node!$J$2:$J$1000, node!$C$2:$C$1000,"="&amp;A56)/P56,0), "")</f>
        <v/>
      </c>
      <c r="AC56" s="81" t="str">
        <f>IF(A56&lt;&gt;"", IF(P56&lt;&gt;0,SUMIFS(node!$K$2:$K$1000, node!$C$2:$C$1000,"="&amp;A56)/P56,0), "")</f>
        <v/>
      </c>
      <c r="AD56" s="82" t="str">
        <f>IF(A56&lt;&gt;"", SUMIFS(node!$L$2:$L$1000, node!$C$2:$C$1000,"="&amp;A56), "")</f>
        <v/>
      </c>
      <c r="AE56" s="87" t="str">
        <f>IF(A56&lt;&gt;"", SUMIFS(node!$M$2:$M$1000, node!$C$2:$C$1000,"="&amp;A56), "")</f>
        <v/>
      </c>
    </row>
    <row r="57" spans="1:31" ht="15.75" customHeight="1" x14ac:dyDescent="0.25">
      <c r="A57" s="71" t="str">
        <f>IF(ISNONTEXT(node_raw[[#This Row],[Column2]]), "", node_raw[[#This Row],[Column2]])</f>
        <v/>
      </c>
      <c r="B57" s="108" t="str">
        <f>IF(A57&lt;&gt;"", VLOOKUP(A57, node!$C$2:$D$1000, 2, FALSE), "")</f>
        <v/>
      </c>
      <c r="C57" s="109" t="str">
        <f>IF(A57&lt;&gt;"", VLOOKUP(A57, node!$C$2:$E$1000, 3, FALSE), "")</f>
        <v/>
      </c>
      <c r="D57" s="110" t="str">
        <f>IF(A57&lt;&gt;"",COUNTIFS(node!$C$2:$C$1000,"="&amp;A57, node!$C$2:$C$1000,"&lt;&gt;"&amp;""),"")</f>
        <v/>
      </c>
      <c r="E57" s="111" t="str">
        <f>IF(A57&lt;&gt;"",SUMIFS(node!$F$2:$F$500, node!$C$2:$C$500,"="&amp;A57, node!$C$2:$C$500,"&lt;&gt;"&amp;"")/(B57*D57),"")</f>
        <v/>
      </c>
      <c r="F57" s="112" t="str">
        <f>IF(A57&lt;&gt;"",SUMIFS(node!$H$2:$H$500, node!$C$2:$C$500,"="&amp;A57, node!$C$2:$C$500,"&lt;&gt;"&amp;"")/(C57*D57),"")</f>
        <v/>
      </c>
      <c r="G57" s="179" t="str">
        <f>IF(A57&lt;&gt;"",SUMIFS(deployment!$F$4:$F$502, deployment!$D$4:$D$502,"="&amp;A57, deployment!$D$4:$D$502,"&lt;&gt;"&amp;""),"")</f>
        <v/>
      </c>
      <c r="H57" s="181" t="str">
        <f>IF(A57&lt;&gt;"",SUMIFS(deployment!$G$4:$G$502, deployment!$D$4:$D$502,"="&amp;A57, deployment!$D$4:$D$502,"&lt;&gt;"&amp;""),"")</f>
        <v/>
      </c>
      <c r="I57" s="113" t="str">
        <f>IF(A57&lt;&gt;"",SUMIFS(deployment!$H$4:$H$502, deployment!$D$4:$D$502,"="&amp;A57, deployment!$D$4:$D$502,"&lt;&gt;"&amp;""),"")</f>
        <v/>
      </c>
      <c r="J57" s="114" t="str">
        <f>IF(A57&lt;&gt;"",SUMIFS(deployment!$I$4:$I$502, deployment!$D$4:$D$502,"="&amp;A57, deployment!$D$4:$D$502,"&lt;&gt;"&amp;""),"")</f>
        <v/>
      </c>
      <c r="K57" s="182" t="str">
        <f>IF(A57&lt;&gt;"",SUMIFS(deployment!$J$4:$J$1002, deployment!$D$4:$D$1002,"="&amp;A57, deployment!$D$4:$D$1002,"&lt;&gt;"&amp;"", deployment!$C$4:$C$1002, "&lt;&gt;* )")+SUMIFS(namespace!$G$4:$G$1002, namespace!$B$4:$B$1002,"="&amp;A57, namespace!$B$4:$B$1002,"&lt;&gt;"&amp;""),"")</f>
        <v/>
      </c>
      <c r="L57" s="182" t="str">
        <f>IF(A57&lt;&gt;"",SUMIFS(deployment!$K$4:$K$1002, deployment!$D$4:$D$1002,"="&amp;A57, deployment!$D$4:$D$1002,"&lt;&gt;"&amp;"", deployment!$C$4:$C$1002, "&lt;&gt;* )")+SUMIFS(namespace!$H$4:$H$1002, namespace!$B$4:$B$1002,"="&amp;A57, namespace!$B$4:$B$1002,"&lt;&gt;"&amp;""),"")</f>
        <v/>
      </c>
      <c r="M57" s="115" t="str">
        <f>IF(A57&lt;&gt;"",SUMIFS(deployment!$L$4:$L$1002, deployment!$D$4:$D$1002,"="&amp;A57, deployment!$D$4:$D$1002,"&lt;&gt;"&amp;"", deployment!$C$4:$C$1002, "&lt;&gt;* )")+SUMIFS(namespace!$I$4:$I$1002, namespace!$B$4:$B$1002,"="&amp;A57, namespace!$B$4:$B$1002,"&lt;&gt;"&amp;""),"")</f>
        <v/>
      </c>
      <c r="N57" s="115" t="str">
        <f>IF(A57&lt;&gt;"",SUMIFS(deployment!$M$4:$M$1002, deployment!$D$4:$D$1002,"="&amp;A57, deployment!$D$4:$D$1002,"&lt;&gt;"&amp;"", deployment!$C$4:$C$1002, "&lt;&gt;* )")+SUMIFS(namespace!$J$4:$J$1002, namespace!$B$4:$B$1002,"="&amp;A57, namespace!$B$4:$B$1002,"&lt;&gt;"&amp;""),"")</f>
        <v/>
      </c>
      <c r="O57" s="116" t="str">
        <f t="shared" si="7"/>
        <v/>
      </c>
      <c r="P57" s="63"/>
      <c r="Q57" s="164" t="str">
        <f t="shared" si="0"/>
        <v/>
      </c>
      <c r="R57" s="60" t="str">
        <f t="shared" si="1"/>
        <v/>
      </c>
      <c r="S57" s="60" t="str">
        <f t="shared" si="2"/>
        <v/>
      </c>
      <c r="T57" s="61" t="str">
        <f t="shared" si="3"/>
        <v/>
      </c>
      <c r="U57" s="61" t="str">
        <f t="shared" si="4"/>
        <v/>
      </c>
      <c r="V57" s="183" t="str">
        <f t="shared" si="8"/>
        <v/>
      </c>
      <c r="W57" s="183" t="str">
        <f t="shared" si="9"/>
        <v/>
      </c>
      <c r="X57" s="61" t="str">
        <f t="shared" si="10"/>
        <v/>
      </c>
      <c r="Y57" s="61" t="str">
        <f t="shared" si="11"/>
        <v/>
      </c>
      <c r="Z57" s="118" t="str">
        <f t="shared" si="12"/>
        <v/>
      </c>
      <c r="AA57" s="62" t="str">
        <f t="shared" si="13"/>
        <v/>
      </c>
      <c r="AB57" s="119" t="str">
        <f>IF(A57&lt;&gt;"", IF(P57&lt;&gt;0,SUMIFS(node!$J$2:$J$1000, node!$C$2:$C$1000,"="&amp;A57)/P57,0), "")</f>
        <v/>
      </c>
      <c r="AC57" s="81" t="str">
        <f>IF(A57&lt;&gt;"", IF(P57&lt;&gt;0,SUMIFS(node!$K$2:$K$1000, node!$C$2:$C$1000,"="&amp;A57)/P57,0), "")</f>
        <v/>
      </c>
      <c r="AD57" s="82" t="str">
        <f>IF(A57&lt;&gt;"", SUMIFS(node!$L$2:$L$1000, node!$C$2:$C$1000,"="&amp;A57), "")</f>
        <v/>
      </c>
      <c r="AE57" s="87" t="str">
        <f>IF(A57&lt;&gt;"", SUMIFS(node!$M$2:$M$1000, node!$C$2:$C$1000,"="&amp;A57), "")</f>
        <v/>
      </c>
    </row>
    <row r="58" spans="1:31" ht="15.75" customHeight="1" x14ac:dyDescent="0.25">
      <c r="A58" s="71" t="str">
        <f>IF(ISNONTEXT(node_raw[[#This Row],[Column2]]), "", node_raw[[#This Row],[Column2]])</f>
        <v/>
      </c>
      <c r="B58" s="108" t="str">
        <f>IF(A58&lt;&gt;"", VLOOKUP(A58, node!$C$2:$D$1000, 2, FALSE), "")</f>
        <v/>
      </c>
      <c r="C58" s="109" t="str">
        <f>IF(A58&lt;&gt;"", VLOOKUP(A58, node!$C$2:$E$1000, 3, FALSE), "")</f>
        <v/>
      </c>
      <c r="D58" s="110" t="str">
        <f>IF(A58&lt;&gt;"",COUNTIFS(node!$C$2:$C$1000,"="&amp;A58, node!$C$2:$C$1000,"&lt;&gt;"&amp;""),"")</f>
        <v/>
      </c>
      <c r="E58" s="111" t="str">
        <f>IF(A58&lt;&gt;"",SUMIFS(node!$F$2:$F$500, node!$C$2:$C$500,"="&amp;A58, node!$C$2:$C$500,"&lt;&gt;"&amp;"")/(B58*D58),"")</f>
        <v/>
      </c>
      <c r="F58" s="112" t="str">
        <f>IF(A58&lt;&gt;"",SUMIFS(node!$H$2:$H$500, node!$C$2:$C$500,"="&amp;A58, node!$C$2:$C$500,"&lt;&gt;"&amp;"")/(C58*D58),"")</f>
        <v/>
      </c>
      <c r="G58" s="179" t="str">
        <f>IF(A58&lt;&gt;"",SUMIFS(deployment!$F$4:$F$502, deployment!$D$4:$D$502,"="&amp;A58, deployment!$D$4:$D$502,"&lt;&gt;"&amp;""),"")</f>
        <v/>
      </c>
      <c r="H58" s="181" t="str">
        <f>IF(A58&lt;&gt;"",SUMIFS(deployment!$G$4:$G$502, deployment!$D$4:$D$502,"="&amp;A58, deployment!$D$4:$D$502,"&lt;&gt;"&amp;""),"")</f>
        <v/>
      </c>
      <c r="I58" s="113" t="str">
        <f>IF(A58&lt;&gt;"",SUMIFS(deployment!$H$4:$H$502, deployment!$D$4:$D$502,"="&amp;A58, deployment!$D$4:$D$502,"&lt;&gt;"&amp;""),"")</f>
        <v/>
      </c>
      <c r="J58" s="114" t="str">
        <f>IF(A58&lt;&gt;"",SUMIFS(deployment!$I$4:$I$502, deployment!$D$4:$D$502,"="&amp;A58, deployment!$D$4:$D$502,"&lt;&gt;"&amp;""),"")</f>
        <v/>
      </c>
      <c r="K58" s="182" t="str">
        <f>IF(A58&lt;&gt;"",SUMIFS(deployment!$J$4:$J$1002, deployment!$D$4:$D$1002,"="&amp;A58, deployment!$D$4:$D$1002,"&lt;&gt;"&amp;"", deployment!$C$4:$C$1002, "&lt;&gt;* )")+SUMIFS(namespace!$G$4:$G$1002, namespace!$B$4:$B$1002,"="&amp;A58, namespace!$B$4:$B$1002,"&lt;&gt;"&amp;""),"")</f>
        <v/>
      </c>
      <c r="L58" s="182" t="str">
        <f>IF(A58&lt;&gt;"",SUMIFS(deployment!$K$4:$K$1002, deployment!$D$4:$D$1002,"="&amp;A58, deployment!$D$4:$D$1002,"&lt;&gt;"&amp;"", deployment!$C$4:$C$1002, "&lt;&gt;* )")+SUMIFS(namespace!$H$4:$H$1002, namespace!$B$4:$B$1002,"="&amp;A58, namespace!$B$4:$B$1002,"&lt;&gt;"&amp;""),"")</f>
        <v/>
      </c>
      <c r="M58" s="115" t="str">
        <f>IF(A58&lt;&gt;"",SUMIFS(deployment!$L$4:$L$1002, deployment!$D$4:$D$1002,"="&amp;A58, deployment!$D$4:$D$1002,"&lt;&gt;"&amp;"", deployment!$C$4:$C$1002, "&lt;&gt;* )")+SUMIFS(namespace!$I$4:$I$1002, namespace!$B$4:$B$1002,"="&amp;A58, namespace!$B$4:$B$1002,"&lt;&gt;"&amp;""),"")</f>
        <v/>
      </c>
      <c r="N58" s="115" t="str">
        <f>IF(A58&lt;&gt;"",SUMIFS(deployment!$M$4:$M$1002, deployment!$D$4:$D$1002,"="&amp;A58, deployment!$D$4:$D$1002,"&lt;&gt;"&amp;"", deployment!$C$4:$C$1002, "&lt;&gt;* )")+SUMIFS(namespace!$J$4:$J$1002, namespace!$B$4:$B$1002,"="&amp;A58, namespace!$B$4:$B$1002,"&lt;&gt;"&amp;""),"")</f>
        <v/>
      </c>
      <c r="O58" s="116" t="str">
        <f t="shared" si="7"/>
        <v/>
      </c>
      <c r="P58" s="63"/>
      <c r="Q58" s="164" t="str">
        <f t="shared" si="0"/>
        <v/>
      </c>
      <c r="R58" s="60" t="str">
        <f t="shared" si="1"/>
        <v/>
      </c>
      <c r="S58" s="60" t="str">
        <f t="shared" si="2"/>
        <v/>
      </c>
      <c r="T58" s="61" t="str">
        <f t="shared" si="3"/>
        <v/>
      </c>
      <c r="U58" s="61" t="str">
        <f t="shared" si="4"/>
        <v/>
      </c>
      <c r="V58" s="183" t="str">
        <f t="shared" si="8"/>
        <v/>
      </c>
      <c r="W58" s="183" t="str">
        <f t="shared" si="9"/>
        <v/>
      </c>
      <c r="X58" s="61" t="str">
        <f t="shared" si="10"/>
        <v/>
      </c>
      <c r="Y58" s="61" t="str">
        <f t="shared" si="11"/>
        <v/>
      </c>
      <c r="Z58" s="118" t="str">
        <f t="shared" si="12"/>
        <v/>
      </c>
      <c r="AA58" s="62" t="str">
        <f t="shared" si="13"/>
        <v/>
      </c>
      <c r="AB58" s="119" t="str">
        <f>IF(A58&lt;&gt;"", IF(P58&lt;&gt;0,SUMIFS(node!$J$2:$J$1000, node!$C$2:$C$1000,"="&amp;A58)/P58,0), "")</f>
        <v/>
      </c>
      <c r="AC58" s="81" t="str">
        <f>IF(A58&lt;&gt;"", IF(P58&lt;&gt;0,SUMIFS(node!$K$2:$K$1000, node!$C$2:$C$1000,"="&amp;A58)/P58,0), "")</f>
        <v/>
      </c>
      <c r="AD58" s="82" t="str">
        <f>IF(A58&lt;&gt;"", SUMIFS(node!$L$2:$L$1000, node!$C$2:$C$1000,"="&amp;A58), "")</f>
        <v/>
      </c>
      <c r="AE58" s="87" t="str">
        <f>IF(A58&lt;&gt;"", SUMIFS(node!$M$2:$M$1000, node!$C$2:$C$1000,"="&amp;A58), "")</f>
        <v/>
      </c>
    </row>
    <row r="59" spans="1:31" ht="15.75" customHeight="1" x14ac:dyDescent="0.25">
      <c r="A59" s="71" t="str">
        <f>IF(ISNONTEXT(node_raw[[#This Row],[Column2]]), "", node_raw[[#This Row],[Column2]])</f>
        <v/>
      </c>
      <c r="B59" s="108" t="str">
        <f>IF(A59&lt;&gt;"", VLOOKUP(A59, node!$C$2:$D$1000, 2, FALSE), "")</f>
        <v/>
      </c>
      <c r="C59" s="109" t="str">
        <f>IF(A59&lt;&gt;"", VLOOKUP(A59, node!$C$2:$E$1000, 3, FALSE), "")</f>
        <v/>
      </c>
      <c r="D59" s="110" t="str">
        <f>IF(A59&lt;&gt;"",COUNTIFS(node!$C$2:$C$1000,"="&amp;A59, node!$C$2:$C$1000,"&lt;&gt;"&amp;""),"")</f>
        <v/>
      </c>
      <c r="E59" s="111" t="str">
        <f>IF(A59&lt;&gt;"",SUMIFS(node!$F$2:$F$500, node!$C$2:$C$500,"="&amp;A59, node!$C$2:$C$500,"&lt;&gt;"&amp;"")/(B59*D59),"")</f>
        <v/>
      </c>
      <c r="F59" s="112" t="str">
        <f>IF(A59&lt;&gt;"",SUMIFS(node!$H$2:$H$500, node!$C$2:$C$500,"="&amp;A59, node!$C$2:$C$500,"&lt;&gt;"&amp;"")/(C59*D59),"")</f>
        <v/>
      </c>
      <c r="G59" s="179" t="str">
        <f>IF(A59&lt;&gt;"",SUMIFS(deployment!$F$4:$F$502, deployment!$D$4:$D$502,"="&amp;A59, deployment!$D$4:$D$502,"&lt;&gt;"&amp;""),"")</f>
        <v/>
      </c>
      <c r="H59" s="181" t="str">
        <f>IF(A59&lt;&gt;"",SUMIFS(deployment!$G$4:$G$502, deployment!$D$4:$D$502,"="&amp;A59, deployment!$D$4:$D$502,"&lt;&gt;"&amp;""),"")</f>
        <v/>
      </c>
      <c r="I59" s="113" t="str">
        <f>IF(A59&lt;&gt;"",SUMIFS(deployment!$H$4:$H$502, deployment!$D$4:$D$502,"="&amp;A59, deployment!$D$4:$D$502,"&lt;&gt;"&amp;""),"")</f>
        <v/>
      </c>
      <c r="J59" s="114" t="str">
        <f>IF(A59&lt;&gt;"",SUMIFS(deployment!$I$4:$I$502, deployment!$D$4:$D$502,"="&amp;A59, deployment!$D$4:$D$502,"&lt;&gt;"&amp;""),"")</f>
        <v/>
      </c>
      <c r="K59" s="182" t="str">
        <f>IF(A59&lt;&gt;"",SUMIFS(deployment!$J$4:$J$1002, deployment!$D$4:$D$1002,"="&amp;A59, deployment!$D$4:$D$1002,"&lt;&gt;"&amp;"", deployment!$C$4:$C$1002, "&lt;&gt;* )")+SUMIFS(namespace!$G$4:$G$1002, namespace!$B$4:$B$1002,"="&amp;A59, namespace!$B$4:$B$1002,"&lt;&gt;"&amp;""),"")</f>
        <v/>
      </c>
      <c r="L59" s="182" t="str">
        <f>IF(A59&lt;&gt;"",SUMIFS(deployment!$K$4:$K$1002, deployment!$D$4:$D$1002,"="&amp;A59, deployment!$D$4:$D$1002,"&lt;&gt;"&amp;"", deployment!$C$4:$C$1002, "&lt;&gt;* )")+SUMIFS(namespace!$H$4:$H$1002, namespace!$B$4:$B$1002,"="&amp;A59, namespace!$B$4:$B$1002,"&lt;&gt;"&amp;""),"")</f>
        <v/>
      </c>
      <c r="M59" s="115" t="str">
        <f>IF(A59&lt;&gt;"",SUMIFS(deployment!$L$4:$L$1002, deployment!$D$4:$D$1002,"="&amp;A59, deployment!$D$4:$D$1002,"&lt;&gt;"&amp;"", deployment!$C$4:$C$1002, "&lt;&gt;* )")+SUMIFS(namespace!$I$4:$I$1002, namespace!$B$4:$B$1002,"="&amp;A59, namespace!$B$4:$B$1002,"&lt;&gt;"&amp;""),"")</f>
        <v/>
      </c>
      <c r="N59" s="115" t="str">
        <f>IF(A59&lt;&gt;"",SUMIFS(deployment!$M$4:$M$1002, deployment!$D$4:$D$1002,"="&amp;A59, deployment!$D$4:$D$1002,"&lt;&gt;"&amp;"", deployment!$C$4:$C$1002, "&lt;&gt;* )")+SUMIFS(namespace!$J$4:$J$1002, namespace!$B$4:$B$1002,"="&amp;A59, namespace!$B$4:$B$1002,"&lt;&gt;"&amp;""),"")</f>
        <v/>
      </c>
      <c r="O59" s="116" t="str">
        <f t="shared" si="7"/>
        <v/>
      </c>
      <c r="P59" s="63"/>
      <c r="Q59" s="164" t="str">
        <f t="shared" si="0"/>
        <v/>
      </c>
      <c r="R59" s="60" t="str">
        <f t="shared" si="1"/>
        <v/>
      </c>
      <c r="S59" s="60" t="str">
        <f t="shared" si="2"/>
        <v/>
      </c>
      <c r="T59" s="61" t="str">
        <f t="shared" si="3"/>
        <v/>
      </c>
      <c r="U59" s="61" t="str">
        <f t="shared" si="4"/>
        <v/>
      </c>
      <c r="V59" s="183" t="str">
        <f t="shared" si="8"/>
        <v/>
      </c>
      <c r="W59" s="183" t="str">
        <f t="shared" si="9"/>
        <v/>
      </c>
      <c r="X59" s="61" t="str">
        <f t="shared" si="10"/>
        <v/>
      </c>
      <c r="Y59" s="61" t="str">
        <f t="shared" si="11"/>
        <v/>
      </c>
      <c r="Z59" s="118" t="str">
        <f t="shared" si="12"/>
        <v/>
      </c>
      <c r="AA59" s="62" t="str">
        <f t="shared" si="13"/>
        <v/>
      </c>
      <c r="AB59" s="119" t="str">
        <f>IF(A59&lt;&gt;"", IF(P59&lt;&gt;0,SUMIFS(node!$J$2:$J$1000, node!$C$2:$C$1000,"="&amp;A59)/P59,0), "")</f>
        <v/>
      </c>
      <c r="AC59" s="81" t="str">
        <f>IF(A59&lt;&gt;"", IF(P59&lt;&gt;0,SUMIFS(node!$K$2:$K$1000, node!$C$2:$C$1000,"="&amp;A59)/P59,0), "")</f>
        <v/>
      </c>
      <c r="AD59" s="82" t="str">
        <f>IF(A59&lt;&gt;"", SUMIFS(node!$L$2:$L$1000, node!$C$2:$C$1000,"="&amp;A59), "")</f>
        <v/>
      </c>
      <c r="AE59" s="87" t="str">
        <f>IF(A59&lt;&gt;"", SUMIFS(node!$M$2:$M$1000, node!$C$2:$C$1000,"="&amp;A59), "")</f>
        <v/>
      </c>
    </row>
    <row r="60" spans="1:31" ht="15.75" customHeight="1" x14ac:dyDescent="0.25">
      <c r="A60" s="71" t="str">
        <f>IF(ISNONTEXT(node_raw[[#This Row],[Column2]]), "", node_raw[[#This Row],[Column2]])</f>
        <v/>
      </c>
      <c r="B60" s="108" t="str">
        <f>IF(A60&lt;&gt;"", VLOOKUP(A60, node!$C$2:$D$1000, 2, FALSE), "")</f>
        <v/>
      </c>
      <c r="C60" s="109" t="str">
        <f>IF(A60&lt;&gt;"", VLOOKUP(A60, node!$C$2:$E$1000, 3, FALSE), "")</f>
        <v/>
      </c>
      <c r="D60" s="110" t="str">
        <f>IF(A60&lt;&gt;"",COUNTIFS(node!$C$2:$C$1000,"="&amp;A60, node!$C$2:$C$1000,"&lt;&gt;"&amp;""),"")</f>
        <v/>
      </c>
      <c r="E60" s="111" t="str">
        <f>IF(A60&lt;&gt;"",SUMIFS(node!$F$2:$F$500, node!$C$2:$C$500,"="&amp;A60, node!$C$2:$C$500,"&lt;&gt;"&amp;"")/(B60*D60),"")</f>
        <v/>
      </c>
      <c r="F60" s="112" t="str">
        <f>IF(A60&lt;&gt;"",SUMIFS(node!$H$2:$H$500, node!$C$2:$C$500,"="&amp;A60, node!$C$2:$C$500,"&lt;&gt;"&amp;"")/(C60*D60),"")</f>
        <v/>
      </c>
      <c r="G60" s="179" t="str">
        <f>IF(A60&lt;&gt;"",SUMIFS(deployment!$F$4:$F$502, deployment!$D$4:$D$502,"="&amp;A60, deployment!$D$4:$D$502,"&lt;&gt;"&amp;""),"")</f>
        <v/>
      </c>
      <c r="H60" s="181" t="str">
        <f>IF(A60&lt;&gt;"",SUMIFS(deployment!$G$4:$G$502, deployment!$D$4:$D$502,"="&amp;A60, deployment!$D$4:$D$502,"&lt;&gt;"&amp;""),"")</f>
        <v/>
      </c>
      <c r="I60" s="113" t="str">
        <f>IF(A60&lt;&gt;"",SUMIFS(deployment!$H$4:$H$502, deployment!$D$4:$D$502,"="&amp;A60, deployment!$D$4:$D$502,"&lt;&gt;"&amp;""),"")</f>
        <v/>
      </c>
      <c r="J60" s="114" t="str">
        <f>IF(A60&lt;&gt;"",SUMIFS(deployment!$I$4:$I$502, deployment!$D$4:$D$502,"="&amp;A60, deployment!$D$4:$D$502,"&lt;&gt;"&amp;""),"")</f>
        <v/>
      </c>
      <c r="K60" s="182" t="str">
        <f>IF(A60&lt;&gt;"",SUMIFS(deployment!$J$4:$J$1002, deployment!$D$4:$D$1002,"="&amp;A60, deployment!$D$4:$D$1002,"&lt;&gt;"&amp;"", deployment!$C$4:$C$1002, "&lt;&gt;* )")+SUMIFS(namespace!$G$4:$G$1002, namespace!$B$4:$B$1002,"="&amp;A60, namespace!$B$4:$B$1002,"&lt;&gt;"&amp;""),"")</f>
        <v/>
      </c>
      <c r="L60" s="182" t="str">
        <f>IF(A60&lt;&gt;"",SUMIFS(deployment!$K$4:$K$1002, deployment!$D$4:$D$1002,"="&amp;A60, deployment!$D$4:$D$1002,"&lt;&gt;"&amp;"", deployment!$C$4:$C$1002, "&lt;&gt;* )")+SUMIFS(namespace!$H$4:$H$1002, namespace!$B$4:$B$1002,"="&amp;A60, namespace!$B$4:$B$1002,"&lt;&gt;"&amp;""),"")</f>
        <v/>
      </c>
      <c r="M60" s="115" t="str">
        <f>IF(A60&lt;&gt;"",SUMIFS(deployment!$L$4:$L$1002, deployment!$D$4:$D$1002,"="&amp;A60, deployment!$D$4:$D$1002,"&lt;&gt;"&amp;"", deployment!$C$4:$C$1002, "&lt;&gt;* )")+SUMIFS(namespace!$I$4:$I$1002, namespace!$B$4:$B$1002,"="&amp;A60, namespace!$B$4:$B$1002,"&lt;&gt;"&amp;""),"")</f>
        <v/>
      </c>
      <c r="N60" s="115" t="str">
        <f>IF(A60&lt;&gt;"",SUMIFS(deployment!$M$4:$M$1002, deployment!$D$4:$D$1002,"="&amp;A60, deployment!$D$4:$D$1002,"&lt;&gt;"&amp;"", deployment!$C$4:$C$1002, "&lt;&gt;* )")+SUMIFS(namespace!$J$4:$J$1002, namespace!$B$4:$B$1002,"="&amp;A60, namespace!$B$4:$B$1002,"&lt;&gt;"&amp;""),"")</f>
        <v/>
      </c>
      <c r="O60" s="116" t="str">
        <f t="shared" si="7"/>
        <v/>
      </c>
      <c r="P60" s="63"/>
      <c r="Q60" s="164" t="str">
        <f t="shared" si="0"/>
        <v/>
      </c>
      <c r="R60" s="60" t="str">
        <f t="shared" si="1"/>
        <v/>
      </c>
      <c r="S60" s="60" t="str">
        <f t="shared" si="2"/>
        <v/>
      </c>
      <c r="T60" s="61" t="str">
        <f t="shared" si="3"/>
        <v/>
      </c>
      <c r="U60" s="61" t="str">
        <f t="shared" si="4"/>
        <v/>
      </c>
      <c r="V60" s="183" t="str">
        <f t="shared" si="8"/>
        <v/>
      </c>
      <c r="W60" s="183" t="str">
        <f t="shared" si="9"/>
        <v/>
      </c>
      <c r="X60" s="61" t="str">
        <f t="shared" si="10"/>
        <v/>
      </c>
      <c r="Y60" s="61" t="str">
        <f t="shared" si="11"/>
        <v/>
      </c>
      <c r="Z60" s="118" t="str">
        <f t="shared" si="12"/>
        <v/>
      </c>
      <c r="AA60" s="62" t="str">
        <f t="shared" si="13"/>
        <v/>
      </c>
      <c r="AB60" s="119" t="str">
        <f>IF(A60&lt;&gt;"", IF(P60&lt;&gt;0,SUMIFS(node!$J$2:$J$1000, node!$C$2:$C$1000,"="&amp;A60)/P60,0), "")</f>
        <v/>
      </c>
      <c r="AC60" s="81" t="str">
        <f>IF(A60&lt;&gt;"", IF(P60&lt;&gt;0,SUMIFS(node!$K$2:$K$1000, node!$C$2:$C$1000,"="&amp;A60)/P60,0), "")</f>
        <v/>
      </c>
      <c r="AD60" s="82" t="str">
        <f>IF(A60&lt;&gt;"", SUMIFS(node!$L$2:$L$1000, node!$C$2:$C$1000,"="&amp;A60), "")</f>
        <v/>
      </c>
      <c r="AE60" s="87" t="str">
        <f>IF(A60&lt;&gt;"", SUMIFS(node!$M$2:$M$1000, node!$C$2:$C$1000,"="&amp;A60), "")</f>
        <v/>
      </c>
    </row>
    <row r="61" spans="1:31" ht="15.75" customHeight="1" x14ac:dyDescent="0.25">
      <c r="A61" s="71" t="str">
        <f>IF(ISNONTEXT(node_raw[[#This Row],[Column2]]), "", node_raw[[#This Row],[Column2]])</f>
        <v/>
      </c>
      <c r="B61" s="108" t="str">
        <f>IF(A61&lt;&gt;"", VLOOKUP(A61, node!$C$2:$D$1000, 2, FALSE), "")</f>
        <v/>
      </c>
      <c r="C61" s="109" t="str">
        <f>IF(A61&lt;&gt;"", VLOOKUP(A61, node!$C$2:$E$1000, 3, FALSE), "")</f>
        <v/>
      </c>
      <c r="D61" s="110" t="str">
        <f>IF(A61&lt;&gt;"",COUNTIFS(node!$C$2:$C$1000,"="&amp;A61, node!$C$2:$C$1000,"&lt;&gt;"&amp;""),"")</f>
        <v/>
      </c>
      <c r="E61" s="111" t="str">
        <f>IF(A61&lt;&gt;"",SUMIFS(node!$F$2:$F$500, node!$C$2:$C$500,"="&amp;A61, node!$C$2:$C$500,"&lt;&gt;"&amp;"")/(B61*D61),"")</f>
        <v/>
      </c>
      <c r="F61" s="112" t="str">
        <f>IF(A61&lt;&gt;"",SUMIFS(node!$H$2:$H$500, node!$C$2:$C$500,"="&amp;A61, node!$C$2:$C$500,"&lt;&gt;"&amp;"")/(C61*D61),"")</f>
        <v/>
      </c>
      <c r="G61" s="179" t="str">
        <f>IF(A61&lt;&gt;"",SUMIFS(deployment!$F$4:$F$502, deployment!$D$4:$D$502,"="&amp;A61, deployment!$D$4:$D$502,"&lt;&gt;"&amp;""),"")</f>
        <v/>
      </c>
      <c r="H61" s="181" t="str">
        <f>IF(A61&lt;&gt;"",SUMIFS(deployment!$G$4:$G$502, deployment!$D$4:$D$502,"="&amp;A61, deployment!$D$4:$D$502,"&lt;&gt;"&amp;""),"")</f>
        <v/>
      </c>
      <c r="I61" s="113" t="str">
        <f>IF(A61&lt;&gt;"",SUMIFS(deployment!$H$4:$H$502, deployment!$D$4:$D$502,"="&amp;A61, deployment!$D$4:$D$502,"&lt;&gt;"&amp;""),"")</f>
        <v/>
      </c>
      <c r="J61" s="114" t="str">
        <f>IF(A61&lt;&gt;"",SUMIFS(deployment!$I$4:$I$502, deployment!$D$4:$D$502,"="&amp;A61, deployment!$D$4:$D$502,"&lt;&gt;"&amp;""),"")</f>
        <v/>
      </c>
      <c r="K61" s="182" t="str">
        <f>IF(A61&lt;&gt;"",SUMIFS(deployment!$J$4:$J$1002, deployment!$D$4:$D$1002,"="&amp;A61, deployment!$D$4:$D$1002,"&lt;&gt;"&amp;"", deployment!$C$4:$C$1002, "&lt;&gt;* )")+SUMIFS(namespace!$G$4:$G$1002, namespace!$B$4:$B$1002,"="&amp;A61, namespace!$B$4:$B$1002,"&lt;&gt;"&amp;""),"")</f>
        <v/>
      </c>
      <c r="L61" s="182" t="str">
        <f>IF(A61&lt;&gt;"",SUMIFS(deployment!$K$4:$K$1002, deployment!$D$4:$D$1002,"="&amp;A61, deployment!$D$4:$D$1002,"&lt;&gt;"&amp;"", deployment!$C$4:$C$1002, "&lt;&gt;* )")+SUMIFS(namespace!$H$4:$H$1002, namespace!$B$4:$B$1002,"="&amp;A61, namespace!$B$4:$B$1002,"&lt;&gt;"&amp;""),"")</f>
        <v/>
      </c>
      <c r="M61" s="115" t="str">
        <f>IF(A61&lt;&gt;"",SUMIFS(deployment!$L$4:$L$1002, deployment!$D$4:$D$1002,"="&amp;A61, deployment!$D$4:$D$1002,"&lt;&gt;"&amp;"", deployment!$C$4:$C$1002, "&lt;&gt;* )")+SUMIFS(namespace!$I$4:$I$1002, namespace!$B$4:$B$1002,"="&amp;A61, namespace!$B$4:$B$1002,"&lt;&gt;"&amp;""),"")</f>
        <v/>
      </c>
      <c r="N61" s="115" t="str">
        <f>IF(A61&lt;&gt;"",SUMIFS(deployment!$M$4:$M$1002, deployment!$D$4:$D$1002,"="&amp;A61, deployment!$D$4:$D$1002,"&lt;&gt;"&amp;"", deployment!$C$4:$C$1002, "&lt;&gt;* )")+SUMIFS(namespace!$J$4:$J$1002, namespace!$B$4:$B$1002,"="&amp;A61, namespace!$B$4:$B$1002,"&lt;&gt;"&amp;""),"")</f>
        <v/>
      </c>
      <c r="O61" s="116" t="str">
        <f t="shared" si="7"/>
        <v/>
      </c>
      <c r="P61" s="63"/>
      <c r="Q61" s="164" t="str">
        <f t="shared" si="0"/>
        <v/>
      </c>
      <c r="R61" s="60" t="str">
        <f t="shared" si="1"/>
        <v/>
      </c>
      <c r="S61" s="60" t="str">
        <f t="shared" si="2"/>
        <v/>
      </c>
      <c r="T61" s="61" t="str">
        <f t="shared" si="3"/>
        <v/>
      </c>
      <c r="U61" s="61" t="str">
        <f t="shared" si="4"/>
        <v/>
      </c>
      <c r="V61" s="183" t="str">
        <f t="shared" si="8"/>
        <v/>
      </c>
      <c r="W61" s="183" t="str">
        <f t="shared" si="9"/>
        <v/>
      </c>
      <c r="X61" s="61" t="str">
        <f t="shared" si="10"/>
        <v/>
      </c>
      <c r="Y61" s="61" t="str">
        <f t="shared" si="11"/>
        <v/>
      </c>
      <c r="Z61" s="118" t="str">
        <f t="shared" si="12"/>
        <v/>
      </c>
      <c r="AA61" s="62" t="str">
        <f t="shared" si="13"/>
        <v/>
      </c>
      <c r="AB61" s="119" t="str">
        <f>IF(A61&lt;&gt;"", IF(P61&lt;&gt;0,SUMIFS(node!$J$2:$J$1000, node!$C$2:$C$1000,"="&amp;A61)/P61,0), "")</f>
        <v/>
      </c>
      <c r="AC61" s="81" t="str">
        <f>IF(A61&lt;&gt;"", IF(P61&lt;&gt;0,SUMIFS(node!$K$2:$K$1000, node!$C$2:$C$1000,"="&amp;A61)/P61,0), "")</f>
        <v/>
      </c>
      <c r="AD61" s="82" t="str">
        <f>IF(A61&lt;&gt;"", SUMIFS(node!$L$2:$L$1000, node!$C$2:$C$1000,"="&amp;A61), "")</f>
        <v/>
      </c>
      <c r="AE61" s="87" t="str">
        <f>IF(A61&lt;&gt;"", SUMIFS(node!$M$2:$M$1000, node!$C$2:$C$1000,"="&amp;A61), "")</f>
        <v/>
      </c>
    </row>
    <row r="62" spans="1:31" ht="15.75" customHeight="1" x14ac:dyDescent="0.25">
      <c r="A62" s="71" t="str">
        <f>IF(ISNONTEXT(node_raw[[#This Row],[Column2]]), "", node_raw[[#This Row],[Column2]])</f>
        <v/>
      </c>
      <c r="B62" s="108" t="str">
        <f>IF(A62&lt;&gt;"", VLOOKUP(A62, node!$C$2:$D$1000, 2, FALSE), "")</f>
        <v/>
      </c>
      <c r="C62" s="109" t="str">
        <f>IF(A62&lt;&gt;"", VLOOKUP(A62, node!$C$2:$E$1000, 3, FALSE), "")</f>
        <v/>
      </c>
      <c r="D62" s="110" t="str">
        <f>IF(A62&lt;&gt;"",COUNTIFS(node!$C$2:$C$1000,"="&amp;A62, node!$C$2:$C$1000,"&lt;&gt;"&amp;""),"")</f>
        <v/>
      </c>
      <c r="E62" s="111" t="str">
        <f>IF(A62&lt;&gt;"",SUMIFS(node!$F$2:$F$500, node!$C$2:$C$500,"="&amp;A62, node!$C$2:$C$500,"&lt;&gt;"&amp;"")/(B62*D62),"")</f>
        <v/>
      </c>
      <c r="F62" s="112" t="str">
        <f>IF(A62&lt;&gt;"",SUMIFS(node!$H$2:$H$500, node!$C$2:$C$500,"="&amp;A62, node!$C$2:$C$500,"&lt;&gt;"&amp;"")/(C62*D62),"")</f>
        <v/>
      </c>
      <c r="G62" s="179" t="str">
        <f>IF(A62&lt;&gt;"",SUMIFS(deployment!$F$4:$F$502, deployment!$D$4:$D$502,"="&amp;A62, deployment!$D$4:$D$502,"&lt;&gt;"&amp;""),"")</f>
        <v/>
      </c>
      <c r="H62" s="181" t="str">
        <f>IF(A62&lt;&gt;"",SUMIFS(deployment!$G$4:$G$502, deployment!$D$4:$D$502,"="&amp;A62, deployment!$D$4:$D$502,"&lt;&gt;"&amp;""),"")</f>
        <v/>
      </c>
      <c r="I62" s="113" t="str">
        <f>IF(A62&lt;&gt;"",SUMIFS(deployment!$H$4:$H$502, deployment!$D$4:$D$502,"="&amp;A62, deployment!$D$4:$D$502,"&lt;&gt;"&amp;""),"")</f>
        <v/>
      </c>
      <c r="J62" s="114" t="str">
        <f>IF(A62&lt;&gt;"",SUMIFS(deployment!$I$4:$I$502, deployment!$D$4:$D$502,"="&amp;A62, deployment!$D$4:$D$502,"&lt;&gt;"&amp;""),"")</f>
        <v/>
      </c>
      <c r="K62" s="182" t="str">
        <f>IF(A62&lt;&gt;"",SUMIFS(deployment!$J$4:$J$1002, deployment!$D$4:$D$1002,"="&amp;A62, deployment!$D$4:$D$1002,"&lt;&gt;"&amp;"", deployment!$C$4:$C$1002, "&lt;&gt;* )")+SUMIFS(namespace!$G$4:$G$1002, namespace!$B$4:$B$1002,"="&amp;A62, namespace!$B$4:$B$1002,"&lt;&gt;"&amp;""),"")</f>
        <v/>
      </c>
      <c r="L62" s="182" t="str">
        <f>IF(A62&lt;&gt;"",SUMIFS(deployment!$K$4:$K$1002, deployment!$D$4:$D$1002,"="&amp;A62, deployment!$D$4:$D$1002,"&lt;&gt;"&amp;"", deployment!$C$4:$C$1002, "&lt;&gt;* )")+SUMIFS(namespace!$H$4:$H$1002, namespace!$B$4:$B$1002,"="&amp;A62, namespace!$B$4:$B$1002,"&lt;&gt;"&amp;""),"")</f>
        <v/>
      </c>
      <c r="M62" s="115" t="str">
        <f>IF(A62&lt;&gt;"",SUMIFS(deployment!$L$4:$L$1002, deployment!$D$4:$D$1002,"="&amp;A62, deployment!$D$4:$D$1002,"&lt;&gt;"&amp;"", deployment!$C$4:$C$1002, "&lt;&gt;* )")+SUMIFS(namespace!$I$4:$I$1002, namespace!$B$4:$B$1002,"="&amp;A62, namespace!$B$4:$B$1002,"&lt;&gt;"&amp;""),"")</f>
        <v/>
      </c>
      <c r="N62" s="115" t="str">
        <f>IF(A62&lt;&gt;"",SUMIFS(deployment!$M$4:$M$1002, deployment!$D$4:$D$1002,"="&amp;A62, deployment!$D$4:$D$1002,"&lt;&gt;"&amp;"", deployment!$C$4:$C$1002, "&lt;&gt;* )")+SUMIFS(namespace!$J$4:$J$1002, namespace!$B$4:$B$1002,"="&amp;A62, namespace!$B$4:$B$1002,"&lt;&gt;"&amp;""),"")</f>
        <v/>
      </c>
      <c r="O62" s="116" t="str">
        <f t="shared" si="7"/>
        <v/>
      </c>
      <c r="P62" s="63"/>
      <c r="Q62" s="164" t="str">
        <f t="shared" si="0"/>
        <v/>
      </c>
      <c r="R62" s="60" t="str">
        <f t="shared" si="1"/>
        <v/>
      </c>
      <c r="S62" s="60" t="str">
        <f t="shared" si="2"/>
        <v/>
      </c>
      <c r="T62" s="61" t="str">
        <f t="shared" si="3"/>
        <v/>
      </c>
      <c r="U62" s="61" t="str">
        <f t="shared" si="4"/>
        <v/>
      </c>
      <c r="V62" s="183" t="str">
        <f t="shared" si="8"/>
        <v/>
      </c>
      <c r="W62" s="183" t="str">
        <f t="shared" si="9"/>
        <v/>
      </c>
      <c r="X62" s="61" t="str">
        <f t="shared" si="10"/>
        <v/>
      </c>
      <c r="Y62" s="61" t="str">
        <f t="shared" si="11"/>
        <v/>
      </c>
      <c r="Z62" s="118" t="str">
        <f t="shared" si="12"/>
        <v/>
      </c>
      <c r="AA62" s="62" t="str">
        <f t="shared" si="13"/>
        <v/>
      </c>
      <c r="AB62" s="119" t="str">
        <f>IF(A62&lt;&gt;"", IF(P62&lt;&gt;0,SUMIFS(node!$J$2:$J$1000, node!$C$2:$C$1000,"="&amp;A62)/P62,0), "")</f>
        <v/>
      </c>
      <c r="AC62" s="81" t="str">
        <f>IF(A62&lt;&gt;"", IF(P62&lt;&gt;0,SUMIFS(node!$K$2:$K$1000, node!$C$2:$C$1000,"="&amp;A62)/P62,0), "")</f>
        <v/>
      </c>
      <c r="AD62" s="82" t="str">
        <f>IF(A62&lt;&gt;"", SUMIFS(node!$L$2:$L$1000, node!$C$2:$C$1000,"="&amp;A62), "")</f>
        <v/>
      </c>
      <c r="AE62" s="87" t="str">
        <f>IF(A62&lt;&gt;"", SUMIFS(node!$M$2:$M$1000, node!$C$2:$C$1000,"="&amp;A62), "")</f>
        <v/>
      </c>
    </row>
    <row r="63" spans="1:31" ht="15.75" customHeight="1" x14ac:dyDescent="0.25">
      <c r="A63" s="71" t="str">
        <f>IF(ISNONTEXT(node_raw[[#This Row],[Column2]]), "", node_raw[[#This Row],[Column2]])</f>
        <v/>
      </c>
      <c r="B63" s="108" t="str">
        <f>IF(A63&lt;&gt;"", VLOOKUP(A63, node!$C$2:$D$1000, 2, FALSE), "")</f>
        <v/>
      </c>
      <c r="C63" s="109" t="str">
        <f>IF(A63&lt;&gt;"", VLOOKUP(A63, node!$C$2:$E$1000, 3, FALSE), "")</f>
        <v/>
      </c>
      <c r="D63" s="110" t="str">
        <f>IF(A63&lt;&gt;"",COUNTIFS(node!$C$2:$C$1000,"="&amp;A63, node!$C$2:$C$1000,"&lt;&gt;"&amp;""),"")</f>
        <v/>
      </c>
      <c r="E63" s="111" t="str">
        <f>IF(A63&lt;&gt;"",SUMIFS(node!$F$2:$F$500, node!$C$2:$C$500,"="&amp;A63, node!$C$2:$C$500,"&lt;&gt;"&amp;"")/(B63*D63),"")</f>
        <v/>
      </c>
      <c r="F63" s="112" t="str">
        <f>IF(A63&lt;&gt;"",SUMIFS(node!$H$2:$H$500, node!$C$2:$C$500,"="&amp;A63, node!$C$2:$C$500,"&lt;&gt;"&amp;"")/(C63*D63),"")</f>
        <v/>
      </c>
      <c r="G63" s="179" t="str">
        <f>IF(A63&lt;&gt;"",SUMIFS(deployment!$F$4:$F$502, deployment!$D$4:$D$502,"="&amp;A63, deployment!$D$4:$D$502,"&lt;&gt;"&amp;""),"")</f>
        <v/>
      </c>
      <c r="H63" s="181" t="str">
        <f>IF(A63&lt;&gt;"",SUMIFS(deployment!$G$4:$G$502, deployment!$D$4:$D$502,"="&amp;A63, deployment!$D$4:$D$502,"&lt;&gt;"&amp;""),"")</f>
        <v/>
      </c>
      <c r="I63" s="113" t="str">
        <f>IF(A63&lt;&gt;"",SUMIFS(deployment!$H$4:$H$502, deployment!$D$4:$D$502,"="&amp;A63, deployment!$D$4:$D$502,"&lt;&gt;"&amp;""),"")</f>
        <v/>
      </c>
      <c r="J63" s="114" t="str">
        <f>IF(A63&lt;&gt;"",SUMIFS(deployment!$I$4:$I$502, deployment!$D$4:$D$502,"="&amp;A63, deployment!$D$4:$D$502,"&lt;&gt;"&amp;""),"")</f>
        <v/>
      </c>
      <c r="K63" s="182" t="str">
        <f>IF(A63&lt;&gt;"",SUMIFS(deployment!$J$4:$J$1002, deployment!$D$4:$D$1002,"="&amp;A63, deployment!$D$4:$D$1002,"&lt;&gt;"&amp;"", deployment!$C$4:$C$1002, "&lt;&gt;* )")+SUMIFS(namespace!$G$4:$G$1002, namespace!$B$4:$B$1002,"="&amp;A63, namespace!$B$4:$B$1002,"&lt;&gt;"&amp;""),"")</f>
        <v/>
      </c>
      <c r="L63" s="182" t="str">
        <f>IF(A63&lt;&gt;"",SUMIFS(deployment!$K$4:$K$1002, deployment!$D$4:$D$1002,"="&amp;A63, deployment!$D$4:$D$1002,"&lt;&gt;"&amp;"", deployment!$C$4:$C$1002, "&lt;&gt;* )")+SUMIFS(namespace!$H$4:$H$1002, namespace!$B$4:$B$1002,"="&amp;A63, namespace!$B$4:$B$1002,"&lt;&gt;"&amp;""),"")</f>
        <v/>
      </c>
      <c r="M63" s="115" t="str">
        <f>IF(A63&lt;&gt;"",SUMIFS(deployment!$L$4:$L$1002, deployment!$D$4:$D$1002,"="&amp;A63, deployment!$D$4:$D$1002,"&lt;&gt;"&amp;"", deployment!$C$4:$C$1002, "&lt;&gt;* )")+SUMIFS(namespace!$I$4:$I$1002, namespace!$B$4:$B$1002,"="&amp;A63, namespace!$B$4:$B$1002,"&lt;&gt;"&amp;""),"")</f>
        <v/>
      </c>
      <c r="N63" s="115" t="str">
        <f>IF(A63&lt;&gt;"",SUMIFS(deployment!$M$4:$M$1002, deployment!$D$4:$D$1002,"="&amp;A63, deployment!$D$4:$D$1002,"&lt;&gt;"&amp;"", deployment!$C$4:$C$1002, "&lt;&gt;* )")+SUMIFS(namespace!$J$4:$J$1002, namespace!$B$4:$B$1002,"="&amp;A63, namespace!$B$4:$B$1002,"&lt;&gt;"&amp;""),"")</f>
        <v/>
      </c>
      <c r="O63" s="116" t="str">
        <f t="shared" si="7"/>
        <v/>
      </c>
      <c r="P63" s="63"/>
      <c r="Q63" s="164" t="str">
        <f t="shared" si="0"/>
        <v/>
      </c>
      <c r="R63" s="60" t="str">
        <f t="shared" si="1"/>
        <v/>
      </c>
      <c r="S63" s="60" t="str">
        <f t="shared" si="2"/>
        <v/>
      </c>
      <c r="T63" s="61" t="str">
        <f t="shared" si="3"/>
        <v/>
      </c>
      <c r="U63" s="61" t="str">
        <f t="shared" si="4"/>
        <v/>
      </c>
      <c r="V63" s="183" t="str">
        <f t="shared" si="8"/>
        <v/>
      </c>
      <c r="W63" s="183" t="str">
        <f t="shared" si="9"/>
        <v/>
      </c>
      <c r="X63" s="61" t="str">
        <f t="shared" si="10"/>
        <v/>
      </c>
      <c r="Y63" s="61" t="str">
        <f t="shared" si="11"/>
        <v/>
      </c>
      <c r="Z63" s="118" t="str">
        <f t="shared" si="12"/>
        <v/>
      </c>
      <c r="AA63" s="62" t="str">
        <f t="shared" si="13"/>
        <v/>
      </c>
      <c r="AB63" s="119" t="str">
        <f>IF(A63&lt;&gt;"", IF(P63&lt;&gt;0,SUMIFS(node!$J$2:$J$1000, node!$C$2:$C$1000,"="&amp;A63)/P63,0), "")</f>
        <v/>
      </c>
      <c r="AC63" s="81" t="str">
        <f>IF(A63&lt;&gt;"", IF(P63&lt;&gt;0,SUMIFS(node!$K$2:$K$1000, node!$C$2:$C$1000,"="&amp;A63)/P63,0), "")</f>
        <v/>
      </c>
      <c r="AD63" s="82" t="str">
        <f>IF(A63&lt;&gt;"", SUMIFS(node!$L$2:$L$1000, node!$C$2:$C$1000,"="&amp;A63), "")</f>
        <v/>
      </c>
      <c r="AE63" s="87" t="str">
        <f>IF(A63&lt;&gt;"", SUMIFS(node!$M$2:$M$1000, node!$C$2:$C$1000,"="&amp;A63), "")</f>
        <v/>
      </c>
    </row>
    <row r="64" spans="1:31" ht="15.75" customHeight="1" x14ac:dyDescent="0.25">
      <c r="A64" s="71" t="str">
        <f>IF(ISNONTEXT(node_raw[[#This Row],[Column2]]), "", node_raw[[#This Row],[Column2]])</f>
        <v/>
      </c>
      <c r="B64" s="108" t="str">
        <f>IF(A64&lt;&gt;"", VLOOKUP(A64, node!$C$2:$D$1000, 2, FALSE), "")</f>
        <v/>
      </c>
      <c r="C64" s="109" t="str">
        <f>IF(A64&lt;&gt;"", VLOOKUP(A64, node!$C$2:$E$1000, 3, FALSE), "")</f>
        <v/>
      </c>
      <c r="D64" s="110" t="str">
        <f>IF(A64&lt;&gt;"",COUNTIFS(node!$C$2:$C$1000,"="&amp;A64, node!$C$2:$C$1000,"&lt;&gt;"&amp;""),"")</f>
        <v/>
      </c>
      <c r="E64" s="111" t="str">
        <f>IF(A64&lt;&gt;"",SUMIFS(node!$F$2:$F$500, node!$C$2:$C$500,"="&amp;A64, node!$C$2:$C$500,"&lt;&gt;"&amp;"")/(B64*D64),"")</f>
        <v/>
      </c>
      <c r="F64" s="112" t="str">
        <f>IF(A64&lt;&gt;"",SUMIFS(node!$H$2:$H$500, node!$C$2:$C$500,"="&amp;A64, node!$C$2:$C$500,"&lt;&gt;"&amp;"")/(C64*D64),"")</f>
        <v/>
      </c>
      <c r="G64" s="179" t="str">
        <f>IF(A64&lt;&gt;"",SUMIFS(deployment!$F$4:$F$502, deployment!$D$4:$D$502,"="&amp;A64, deployment!$D$4:$D$502,"&lt;&gt;"&amp;""),"")</f>
        <v/>
      </c>
      <c r="H64" s="181" t="str">
        <f>IF(A64&lt;&gt;"",SUMIFS(deployment!$G$4:$G$502, deployment!$D$4:$D$502,"="&amp;A64, deployment!$D$4:$D$502,"&lt;&gt;"&amp;""),"")</f>
        <v/>
      </c>
      <c r="I64" s="113" t="str">
        <f>IF(A64&lt;&gt;"",SUMIFS(deployment!$H$4:$H$502, deployment!$D$4:$D$502,"="&amp;A64, deployment!$D$4:$D$502,"&lt;&gt;"&amp;""),"")</f>
        <v/>
      </c>
      <c r="J64" s="114" t="str">
        <f>IF(A64&lt;&gt;"",SUMIFS(deployment!$I$4:$I$502, deployment!$D$4:$D$502,"="&amp;A64, deployment!$D$4:$D$502,"&lt;&gt;"&amp;""),"")</f>
        <v/>
      </c>
      <c r="K64" s="182" t="str">
        <f>IF(A64&lt;&gt;"",SUMIFS(deployment!$J$4:$J$1002, deployment!$D$4:$D$1002,"="&amp;A64, deployment!$D$4:$D$1002,"&lt;&gt;"&amp;"", deployment!$C$4:$C$1002, "&lt;&gt;* )")+SUMIFS(namespace!$G$4:$G$1002, namespace!$B$4:$B$1002,"="&amp;A64, namespace!$B$4:$B$1002,"&lt;&gt;"&amp;""),"")</f>
        <v/>
      </c>
      <c r="L64" s="182" t="str">
        <f>IF(A64&lt;&gt;"",SUMIFS(deployment!$K$4:$K$1002, deployment!$D$4:$D$1002,"="&amp;A64, deployment!$D$4:$D$1002,"&lt;&gt;"&amp;"", deployment!$C$4:$C$1002, "&lt;&gt;* )")+SUMIFS(namespace!$H$4:$H$1002, namespace!$B$4:$B$1002,"="&amp;A64, namespace!$B$4:$B$1002,"&lt;&gt;"&amp;""),"")</f>
        <v/>
      </c>
      <c r="M64" s="115" t="str">
        <f>IF(A64&lt;&gt;"",SUMIFS(deployment!$L$4:$L$1002, deployment!$D$4:$D$1002,"="&amp;A64, deployment!$D$4:$D$1002,"&lt;&gt;"&amp;"", deployment!$C$4:$C$1002, "&lt;&gt;* )")+SUMIFS(namespace!$I$4:$I$1002, namespace!$B$4:$B$1002,"="&amp;A64, namespace!$B$4:$B$1002,"&lt;&gt;"&amp;""),"")</f>
        <v/>
      </c>
      <c r="N64" s="115" t="str">
        <f>IF(A64&lt;&gt;"",SUMIFS(deployment!$M$4:$M$1002, deployment!$D$4:$D$1002,"="&amp;A64, deployment!$D$4:$D$1002,"&lt;&gt;"&amp;"", deployment!$C$4:$C$1002, "&lt;&gt;* )")+SUMIFS(namespace!$J$4:$J$1002, namespace!$B$4:$B$1002,"="&amp;A64, namespace!$B$4:$B$1002,"&lt;&gt;"&amp;""),"")</f>
        <v/>
      </c>
      <c r="O64" s="116" t="str">
        <f t="shared" si="7"/>
        <v/>
      </c>
      <c r="P64" s="63"/>
      <c r="Q64" s="164" t="str">
        <f t="shared" si="0"/>
        <v/>
      </c>
      <c r="R64" s="60" t="str">
        <f t="shared" si="1"/>
        <v/>
      </c>
      <c r="S64" s="60" t="str">
        <f t="shared" si="2"/>
        <v/>
      </c>
      <c r="T64" s="61" t="str">
        <f t="shared" si="3"/>
        <v/>
      </c>
      <c r="U64" s="61" t="str">
        <f t="shared" si="4"/>
        <v/>
      </c>
      <c r="V64" s="183" t="str">
        <f t="shared" si="8"/>
        <v/>
      </c>
      <c r="W64" s="183" t="str">
        <f t="shared" si="9"/>
        <v/>
      </c>
      <c r="X64" s="61" t="str">
        <f t="shared" si="10"/>
        <v/>
      </c>
      <c r="Y64" s="61" t="str">
        <f t="shared" si="11"/>
        <v/>
      </c>
      <c r="Z64" s="118" t="str">
        <f t="shared" si="12"/>
        <v/>
      </c>
      <c r="AA64" s="62" t="str">
        <f t="shared" si="13"/>
        <v/>
      </c>
      <c r="AB64" s="119" t="str">
        <f>IF(A64&lt;&gt;"", IF(P64&lt;&gt;0,SUMIFS(node!$J$2:$J$1000, node!$C$2:$C$1000,"="&amp;A64)/P64,0), "")</f>
        <v/>
      </c>
      <c r="AC64" s="81" t="str">
        <f>IF(A64&lt;&gt;"", IF(P64&lt;&gt;0,SUMIFS(node!$K$2:$K$1000, node!$C$2:$C$1000,"="&amp;A64)/P64,0), "")</f>
        <v/>
      </c>
      <c r="AD64" s="82" t="str">
        <f>IF(A64&lt;&gt;"", SUMIFS(node!$L$2:$L$1000, node!$C$2:$C$1000,"="&amp;A64), "")</f>
        <v/>
      </c>
      <c r="AE64" s="87" t="str">
        <f>IF(A64&lt;&gt;"", SUMIFS(node!$M$2:$M$1000, node!$C$2:$C$1000,"="&amp;A64), "")</f>
        <v/>
      </c>
    </row>
    <row r="65" spans="1:31" ht="15.75" customHeight="1" x14ac:dyDescent="0.25">
      <c r="A65" s="71" t="str">
        <f>IF(ISNONTEXT(node_raw[[#This Row],[Column2]]), "", node_raw[[#This Row],[Column2]])</f>
        <v/>
      </c>
      <c r="B65" s="108" t="str">
        <f>IF(A65&lt;&gt;"", VLOOKUP(A65, node!$C$2:$D$1000, 2, FALSE), "")</f>
        <v/>
      </c>
      <c r="C65" s="109" t="str">
        <f>IF(A65&lt;&gt;"", VLOOKUP(A65, node!$C$2:$E$1000, 3, FALSE), "")</f>
        <v/>
      </c>
      <c r="D65" s="110" t="str">
        <f>IF(A65&lt;&gt;"",COUNTIFS(node!$C$2:$C$1000,"="&amp;A65, node!$C$2:$C$1000,"&lt;&gt;"&amp;""),"")</f>
        <v/>
      </c>
      <c r="E65" s="111" t="str">
        <f>IF(A65&lt;&gt;"",SUMIFS(node!$F$2:$F$500, node!$C$2:$C$500,"="&amp;A65, node!$C$2:$C$500,"&lt;&gt;"&amp;"")/(B65*D65),"")</f>
        <v/>
      </c>
      <c r="F65" s="112" t="str">
        <f>IF(A65&lt;&gt;"",SUMIFS(node!$H$2:$H$500, node!$C$2:$C$500,"="&amp;A65, node!$C$2:$C$500,"&lt;&gt;"&amp;"")/(C65*D65),"")</f>
        <v/>
      </c>
      <c r="G65" s="179" t="str">
        <f>IF(A65&lt;&gt;"",SUMIFS(deployment!$F$4:$F$502, deployment!$D$4:$D$502,"="&amp;A65, deployment!$D$4:$D$502,"&lt;&gt;"&amp;""),"")</f>
        <v/>
      </c>
      <c r="H65" s="181" t="str">
        <f>IF(A65&lt;&gt;"",SUMIFS(deployment!$G$4:$G$502, deployment!$D$4:$D$502,"="&amp;A65, deployment!$D$4:$D$502,"&lt;&gt;"&amp;""),"")</f>
        <v/>
      </c>
      <c r="I65" s="113" t="str">
        <f>IF(A65&lt;&gt;"",SUMIFS(deployment!$H$4:$H$502, deployment!$D$4:$D$502,"="&amp;A65, deployment!$D$4:$D$502,"&lt;&gt;"&amp;""),"")</f>
        <v/>
      </c>
      <c r="J65" s="114" t="str">
        <f>IF(A65&lt;&gt;"",SUMIFS(deployment!$I$4:$I$502, deployment!$D$4:$D$502,"="&amp;A65, deployment!$D$4:$D$502,"&lt;&gt;"&amp;""),"")</f>
        <v/>
      </c>
      <c r="K65" s="182" t="str">
        <f>IF(A65&lt;&gt;"",SUMIFS(deployment!$J$4:$J$1002, deployment!$D$4:$D$1002,"="&amp;A65, deployment!$D$4:$D$1002,"&lt;&gt;"&amp;"", deployment!$C$4:$C$1002, "&lt;&gt;* )")+SUMIFS(namespace!$G$4:$G$1002, namespace!$B$4:$B$1002,"="&amp;A65, namespace!$B$4:$B$1002,"&lt;&gt;"&amp;""),"")</f>
        <v/>
      </c>
      <c r="L65" s="182" t="str">
        <f>IF(A65&lt;&gt;"",SUMIFS(deployment!$K$4:$K$1002, deployment!$D$4:$D$1002,"="&amp;A65, deployment!$D$4:$D$1002,"&lt;&gt;"&amp;"", deployment!$C$4:$C$1002, "&lt;&gt;* )")+SUMIFS(namespace!$H$4:$H$1002, namespace!$B$4:$B$1002,"="&amp;A65, namespace!$B$4:$B$1002,"&lt;&gt;"&amp;""),"")</f>
        <v/>
      </c>
      <c r="M65" s="115" t="str">
        <f>IF(A65&lt;&gt;"",SUMIFS(deployment!$L$4:$L$1002, deployment!$D$4:$D$1002,"="&amp;A65, deployment!$D$4:$D$1002,"&lt;&gt;"&amp;"", deployment!$C$4:$C$1002, "&lt;&gt;* )")+SUMIFS(namespace!$I$4:$I$1002, namespace!$B$4:$B$1002,"="&amp;A65, namespace!$B$4:$B$1002,"&lt;&gt;"&amp;""),"")</f>
        <v/>
      </c>
      <c r="N65" s="115" t="str">
        <f>IF(A65&lt;&gt;"",SUMIFS(deployment!$M$4:$M$1002, deployment!$D$4:$D$1002,"="&amp;A65, deployment!$D$4:$D$1002,"&lt;&gt;"&amp;"", deployment!$C$4:$C$1002, "&lt;&gt;* )")+SUMIFS(namespace!$J$4:$J$1002, namespace!$B$4:$B$1002,"="&amp;A65, namespace!$B$4:$B$1002,"&lt;&gt;"&amp;""),"")</f>
        <v/>
      </c>
      <c r="O65" s="116" t="str">
        <f t="shared" si="7"/>
        <v/>
      </c>
      <c r="P65" s="63"/>
      <c r="Q65" s="164" t="str">
        <f t="shared" si="0"/>
        <v/>
      </c>
      <c r="R65" s="60" t="str">
        <f t="shared" si="1"/>
        <v/>
      </c>
      <c r="S65" s="60" t="str">
        <f t="shared" si="2"/>
        <v/>
      </c>
      <c r="T65" s="61" t="str">
        <f t="shared" si="3"/>
        <v/>
      </c>
      <c r="U65" s="61" t="str">
        <f t="shared" si="4"/>
        <v/>
      </c>
      <c r="V65" s="183" t="str">
        <f t="shared" si="8"/>
        <v/>
      </c>
      <c r="W65" s="183" t="str">
        <f t="shared" si="9"/>
        <v/>
      </c>
      <c r="X65" s="61" t="str">
        <f t="shared" si="10"/>
        <v/>
      </c>
      <c r="Y65" s="61" t="str">
        <f t="shared" si="11"/>
        <v/>
      </c>
      <c r="Z65" s="118" t="str">
        <f t="shared" si="12"/>
        <v/>
      </c>
      <c r="AA65" s="62" t="str">
        <f t="shared" si="13"/>
        <v/>
      </c>
      <c r="AB65" s="119" t="str">
        <f>IF(A65&lt;&gt;"", IF(P65&lt;&gt;0,SUMIFS(node!$J$2:$J$1000, node!$C$2:$C$1000,"="&amp;A65)/P65,0), "")</f>
        <v/>
      </c>
      <c r="AC65" s="81" t="str">
        <f>IF(A65&lt;&gt;"", IF(P65&lt;&gt;0,SUMIFS(node!$K$2:$K$1000, node!$C$2:$C$1000,"="&amp;A65)/P65,0), "")</f>
        <v/>
      </c>
      <c r="AD65" s="82" t="str">
        <f>IF(A65&lt;&gt;"", SUMIFS(node!$L$2:$L$1000, node!$C$2:$C$1000,"="&amp;A65), "")</f>
        <v/>
      </c>
      <c r="AE65" s="87" t="str">
        <f>IF(A65&lt;&gt;"", SUMIFS(node!$M$2:$M$1000, node!$C$2:$C$1000,"="&amp;A65), "")</f>
        <v/>
      </c>
    </row>
    <row r="66" spans="1:31" ht="15.75" customHeight="1" x14ac:dyDescent="0.25">
      <c r="A66" s="71" t="str">
        <f>IF(ISNONTEXT(node_raw[[#This Row],[Column2]]), "", node_raw[[#This Row],[Column2]])</f>
        <v/>
      </c>
      <c r="B66" s="108" t="str">
        <f>IF(A66&lt;&gt;"", VLOOKUP(A66, node!$C$2:$D$1000, 2, FALSE), "")</f>
        <v/>
      </c>
      <c r="C66" s="109" t="str">
        <f>IF(A66&lt;&gt;"", VLOOKUP(A66, node!$C$2:$E$1000, 3, FALSE), "")</f>
        <v/>
      </c>
      <c r="D66" s="110" t="str">
        <f>IF(A66&lt;&gt;"",COUNTIFS(node!$C$2:$C$1000,"="&amp;A66, node!$C$2:$C$1000,"&lt;&gt;"&amp;""),"")</f>
        <v/>
      </c>
      <c r="E66" s="111" t="str">
        <f>IF(A66&lt;&gt;"",SUMIFS(node!$F$2:$F$500, node!$C$2:$C$500,"="&amp;A66, node!$C$2:$C$500,"&lt;&gt;"&amp;"")/(B66*D66),"")</f>
        <v/>
      </c>
      <c r="F66" s="112" t="str">
        <f>IF(A66&lt;&gt;"",SUMIFS(node!$H$2:$H$500, node!$C$2:$C$500,"="&amp;A66, node!$C$2:$C$500,"&lt;&gt;"&amp;"")/(C66*D66),"")</f>
        <v/>
      </c>
      <c r="G66" s="179" t="str">
        <f>IF(A66&lt;&gt;"",SUMIFS(deployment!$F$4:$F$502, deployment!$D$4:$D$502,"="&amp;A66, deployment!$D$4:$D$502,"&lt;&gt;"&amp;""),"")</f>
        <v/>
      </c>
      <c r="H66" s="181" t="str">
        <f>IF(A66&lt;&gt;"",SUMIFS(deployment!$G$4:$G$502, deployment!$D$4:$D$502,"="&amp;A66, deployment!$D$4:$D$502,"&lt;&gt;"&amp;""),"")</f>
        <v/>
      </c>
      <c r="I66" s="113" t="str">
        <f>IF(A66&lt;&gt;"",SUMIFS(deployment!$H$4:$H$502, deployment!$D$4:$D$502,"="&amp;A66, deployment!$D$4:$D$502,"&lt;&gt;"&amp;""),"")</f>
        <v/>
      </c>
      <c r="J66" s="114" t="str">
        <f>IF(A66&lt;&gt;"",SUMIFS(deployment!$I$4:$I$502, deployment!$D$4:$D$502,"="&amp;A66, deployment!$D$4:$D$502,"&lt;&gt;"&amp;""),"")</f>
        <v/>
      </c>
      <c r="K66" s="182" t="str">
        <f>IF(A66&lt;&gt;"",SUMIFS(deployment!$J$4:$J$1002, deployment!$D$4:$D$1002,"="&amp;A66, deployment!$D$4:$D$1002,"&lt;&gt;"&amp;"", deployment!$C$4:$C$1002, "&lt;&gt;* )")+SUMIFS(namespace!$G$4:$G$1002, namespace!$B$4:$B$1002,"="&amp;A66, namespace!$B$4:$B$1002,"&lt;&gt;"&amp;""),"")</f>
        <v/>
      </c>
      <c r="L66" s="182" t="str">
        <f>IF(A66&lt;&gt;"",SUMIFS(deployment!$K$4:$K$1002, deployment!$D$4:$D$1002,"="&amp;A66, deployment!$D$4:$D$1002,"&lt;&gt;"&amp;"", deployment!$C$4:$C$1002, "&lt;&gt;* )")+SUMIFS(namespace!$H$4:$H$1002, namespace!$B$4:$B$1002,"="&amp;A66, namespace!$B$4:$B$1002,"&lt;&gt;"&amp;""),"")</f>
        <v/>
      </c>
      <c r="M66" s="115" t="str">
        <f>IF(A66&lt;&gt;"",SUMIFS(deployment!$L$4:$L$1002, deployment!$D$4:$D$1002,"="&amp;A66, deployment!$D$4:$D$1002,"&lt;&gt;"&amp;"", deployment!$C$4:$C$1002, "&lt;&gt;* )")+SUMIFS(namespace!$I$4:$I$1002, namespace!$B$4:$B$1002,"="&amp;A66, namespace!$B$4:$B$1002,"&lt;&gt;"&amp;""),"")</f>
        <v/>
      </c>
      <c r="N66" s="115" t="str">
        <f>IF(A66&lt;&gt;"",SUMIFS(deployment!$M$4:$M$1002, deployment!$D$4:$D$1002,"="&amp;A66, deployment!$D$4:$D$1002,"&lt;&gt;"&amp;"", deployment!$C$4:$C$1002, "&lt;&gt;* )")+SUMIFS(namespace!$J$4:$J$1002, namespace!$B$4:$B$1002,"="&amp;A66, namespace!$B$4:$B$1002,"&lt;&gt;"&amp;""),"")</f>
        <v/>
      </c>
      <c r="O66" s="116" t="str">
        <f t="shared" si="7"/>
        <v/>
      </c>
      <c r="P66" s="63"/>
      <c r="Q66" s="164" t="str">
        <f t="shared" si="0"/>
        <v/>
      </c>
      <c r="R66" s="60" t="str">
        <f t="shared" si="1"/>
        <v/>
      </c>
      <c r="S66" s="60" t="str">
        <f t="shared" si="2"/>
        <v/>
      </c>
      <c r="T66" s="61" t="str">
        <f t="shared" si="3"/>
        <v/>
      </c>
      <c r="U66" s="61" t="str">
        <f t="shared" si="4"/>
        <v/>
      </c>
      <c r="V66" s="183" t="str">
        <f t="shared" si="8"/>
        <v/>
      </c>
      <c r="W66" s="183" t="str">
        <f t="shared" si="9"/>
        <v/>
      </c>
      <c r="X66" s="61" t="str">
        <f t="shared" si="10"/>
        <v/>
      </c>
      <c r="Y66" s="61" t="str">
        <f t="shared" si="11"/>
        <v/>
      </c>
      <c r="Z66" s="118" t="str">
        <f t="shared" si="12"/>
        <v/>
      </c>
      <c r="AA66" s="62" t="str">
        <f t="shared" si="13"/>
        <v/>
      </c>
      <c r="AB66" s="119" t="str">
        <f>IF(A66&lt;&gt;"", IF(P66&lt;&gt;0,SUMIFS(node!$J$2:$J$1000, node!$C$2:$C$1000,"="&amp;A66)/P66,0), "")</f>
        <v/>
      </c>
      <c r="AC66" s="81" t="str">
        <f>IF(A66&lt;&gt;"", IF(P66&lt;&gt;0,SUMIFS(node!$K$2:$K$1000, node!$C$2:$C$1000,"="&amp;A66)/P66,0), "")</f>
        <v/>
      </c>
      <c r="AD66" s="82" t="str">
        <f>IF(A66&lt;&gt;"", SUMIFS(node!$L$2:$L$1000, node!$C$2:$C$1000,"="&amp;A66), "")</f>
        <v/>
      </c>
      <c r="AE66" s="87" t="str">
        <f>IF(A66&lt;&gt;"", SUMIFS(node!$M$2:$M$1000, node!$C$2:$C$1000,"="&amp;A66), "")</f>
        <v/>
      </c>
    </row>
    <row r="67" spans="1:31" ht="15.75" customHeight="1" x14ac:dyDescent="0.25">
      <c r="A67" s="71" t="str">
        <f>IF(ISNONTEXT(node_raw[[#This Row],[Column2]]), "", node_raw[[#This Row],[Column2]])</f>
        <v/>
      </c>
      <c r="B67" s="108" t="str">
        <f>IF(A67&lt;&gt;"", VLOOKUP(A67, node!$C$2:$D$1000, 2, FALSE), "")</f>
        <v/>
      </c>
      <c r="C67" s="109" t="str">
        <f>IF(A67&lt;&gt;"", VLOOKUP(A67, node!$C$2:$E$1000, 3, FALSE), "")</f>
        <v/>
      </c>
      <c r="D67" s="110" t="str">
        <f>IF(A67&lt;&gt;"",COUNTIFS(node!$C$2:$C$1000,"="&amp;A67, node!$C$2:$C$1000,"&lt;&gt;"&amp;""),"")</f>
        <v/>
      </c>
      <c r="E67" s="111" t="str">
        <f>IF(A67&lt;&gt;"",SUMIFS(node!$F$2:$F$500, node!$C$2:$C$500,"="&amp;A67, node!$C$2:$C$500,"&lt;&gt;"&amp;"")/(B67*D67),"")</f>
        <v/>
      </c>
      <c r="F67" s="112" t="str">
        <f>IF(A67&lt;&gt;"",SUMIFS(node!$H$2:$H$500, node!$C$2:$C$500,"="&amp;A67, node!$C$2:$C$500,"&lt;&gt;"&amp;"")/(C67*D67),"")</f>
        <v/>
      </c>
      <c r="G67" s="179" t="str">
        <f>IF(A67&lt;&gt;"",SUMIFS(deployment!$F$4:$F$502, deployment!$D$4:$D$502,"="&amp;A67, deployment!$D$4:$D$502,"&lt;&gt;"&amp;""),"")</f>
        <v/>
      </c>
      <c r="H67" s="181" t="str">
        <f>IF(A67&lt;&gt;"",SUMIFS(deployment!$G$4:$G$502, deployment!$D$4:$D$502,"="&amp;A67, deployment!$D$4:$D$502,"&lt;&gt;"&amp;""),"")</f>
        <v/>
      </c>
      <c r="I67" s="113" t="str">
        <f>IF(A67&lt;&gt;"",SUMIFS(deployment!$H$4:$H$502, deployment!$D$4:$D$502,"="&amp;A67, deployment!$D$4:$D$502,"&lt;&gt;"&amp;""),"")</f>
        <v/>
      </c>
      <c r="J67" s="114" t="str">
        <f>IF(A67&lt;&gt;"",SUMIFS(deployment!$I$4:$I$502, deployment!$D$4:$D$502,"="&amp;A67, deployment!$D$4:$D$502,"&lt;&gt;"&amp;""),"")</f>
        <v/>
      </c>
      <c r="K67" s="182" t="str">
        <f>IF(A67&lt;&gt;"",SUMIFS(deployment!$J$4:$J$1002, deployment!$D$4:$D$1002,"="&amp;A67, deployment!$D$4:$D$1002,"&lt;&gt;"&amp;"", deployment!$C$4:$C$1002, "&lt;&gt;* )")+SUMIFS(namespace!$G$4:$G$1002, namespace!$B$4:$B$1002,"="&amp;A67, namespace!$B$4:$B$1002,"&lt;&gt;"&amp;""),"")</f>
        <v/>
      </c>
      <c r="L67" s="182" t="str">
        <f>IF(A67&lt;&gt;"",SUMIFS(deployment!$K$4:$K$1002, deployment!$D$4:$D$1002,"="&amp;A67, deployment!$D$4:$D$1002,"&lt;&gt;"&amp;"", deployment!$C$4:$C$1002, "&lt;&gt;* )")+SUMIFS(namespace!$H$4:$H$1002, namespace!$B$4:$B$1002,"="&amp;A67, namespace!$B$4:$B$1002,"&lt;&gt;"&amp;""),"")</f>
        <v/>
      </c>
      <c r="M67" s="115" t="str">
        <f>IF(A67&lt;&gt;"",SUMIFS(deployment!$L$4:$L$1002, deployment!$D$4:$D$1002,"="&amp;A67, deployment!$D$4:$D$1002,"&lt;&gt;"&amp;"", deployment!$C$4:$C$1002, "&lt;&gt;* )")+SUMIFS(namespace!$I$4:$I$1002, namespace!$B$4:$B$1002,"="&amp;A67, namespace!$B$4:$B$1002,"&lt;&gt;"&amp;""),"")</f>
        <v/>
      </c>
      <c r="N67" s="115" t="str">
        <f>IF(A67&lt;&gt;"",SUMIFS(deployment!$M$4:$M$1002, deployment!$D$4:$D$1002,"="&amp;A67, deployment!$D$4:$D$1002,"&lt;&gt;"&amp;"", deployment!$C$4:$C$1002, "&lt;&gt;* )")+SUMIFS(namespace!$J$4:$J$1002, namespace!$B$4:$B$1002,"="&amp;A67, namespace!$B$4:$B$1002,"&lt;&gt;"&amp;""),"")</f>
        <v/>
      </c>
      <c r="O67" s="116" t="str">
        <f t="shared" si="7"/>
        <v/>
      </c>
      <c r="P67" s="63"/>
      <c r="Q67" s="164" t="str">
        <f t="shared" si="0"/>
        <v/>
      </c>
      <c r="R67" s="60" t="str">
        <f t="shared" si="1"/>
        <v/>
      </c>
      <c r="S67" s="60" t="str">
        <f t="shared" si="2"/>
        <v/>
      </c>
      <c r="T67" s="61" t="str">
        <f t="shared" si="3"/>
        <v/>
      </c>
      <c r="U67" s="61" t="str">
        <f t="shared" si="4"/>
        <v/>
      </c>
      <c r="V67" s="183" t="str">
        <f t="shared" si="8"/>
        <v/>
      </c>
      <c r="W67" s="183" t="str">
        <f t="shared" si="9"/>
        <v/>
      </c>
      <c r="X67" s="61" t="str">
        <f t="shared" si="10"/>
        <v/>
      </c>
      <c r="Y67" s="61" t="str">
        <f t="shared" si="11"/>
        <v/>
      </c>
      <c r="Z67" s="118" t="str">
        <f t="shared" si="12"/>
        <v/>
      </c>
      <c r="AA67" s="62" t="str">
        <f t="shared" si="13"/>
        <v/>
      </c>
      <c r="AB67" s="119" t="str">
        <f>IF(A67&lt;&gt;"", IF(P67&lt;&gt;0,SUMIFS(node!$J$2:$J$1000, node!$C$2:$C$1000,"="&amp;A67)/P67,0), "")</f>
        <v/>
      </c>
      <c r="AC67" s="81" t="str">
        <f>IF(A67&lt;&gt;"", IF(P67&lt;&gt;0,SUMIFS(node!$K$2:$K$1000, node!$C$2:$C$1000,"="&amp;A67)/P67,0), "")</f>
        <v/>
      </c>
      <c r="AD67" s="82" t="str">
        <f>IF(A67&lt;&gt;"", SUMIFS(node!$L$2:$L$1000, node!$C$2:$C$1000,"="&amp;A67), "")</f>
        <v/>
      </c>
      <c r="AE67" s="87" t="str">
        <f>IF(A67&lt;&gt;"", SUMIFS(node!$M$2:$M$1000, node!$C$2:$C$1000,"="&amp;A67), "")</f>
        <v/>
      </c>
    </row>
    <row r="68" spans="1:31" ht="15.75" customHeight="1" x14ac:dyDescent="0.25">
      <c r="A68" s="71" t="str">
        <f>IF(ISNONTEXT(node_raw[[#This Row],[Column2]]), "", node_raw[[#This Row],[Column2]])</f>
        <v/>
      </c>
      <c r="B68" s="108" t="str">
        <f>IF(A68&lt;&gt;"", VLOOKUP(A68, node!$C$2:$D$1000, 2, FALSE), "")</f>
        <v/>
      </c>
      <c r="C68" s="109" t="str">
        <f>IF(A68&lt;&gt;"", VLOOKUP(A68, node!$C$2:$E$1000, 3, FALSE), "")</f>
        <v/>
      </c>
      <c r="D68" s="110" t="str">
        <f>IF(A68&lt;&gt;"",COUNTIFS(node!$C$2:$C$1000,"="&amp;A68, node!$C$2:$C$1000,"&lt;&gt;"&amp;""),"")</f>
        <v/>
      </c>
      <c r="E68" s="111" t="str">
        <f>IF(A68&lt;&gt;"",SUMIFS(node!$F$2:$F$500, node!$C$2:$C$500,"="&amp;A68, node!$C$2:$C$500,"&lt;&gt;"&amp;"")/(B68*D68),"")</f>
        <v/>
      </c>
      <c r="F68" s="112" t="str">
        <f>IF(A68&lt;&gt;"",SUMIFS(node!$H$2:$H$500, node!$C$2:$C$500,"="&amp;A68, node!$C$2:$C$500,"&lt;&gt;"&amp;"")/(C68*D68),"")</f>
        <v/>
      </c>
      <c r="G68" s="179" t="str">
        <f>IF(A68&lt;&gt;"",SUMIFS(deployment!$F$4:$F$502, deployment!$D$4:$D$502,"="&amp;A68, deployment!$D$4:$D$502,"&lt;&gt;"&amp;""),"")</f>
        <v/>
      </c>
      <c r="H68" s="181" t="str">
        <f>IF(A68&lt;&gt;"",SUMIFS(deployment!$G$4:$G$502, deployment!$D$4:$D$502,"="&amp;A68, deployment!$D$4:$D$502,"&lt;&gt;"&amp;""),"")</f>
        <v/>
      </c>
      <c r="I68" s="113" t="str">
        <f>IF(A68&lt;&gt;"",SUMIFS(deployment!$H$4:$H$502, deployment!$D$4:$D$502,"="&amp;A68, deployment!$D$4:$D$502,"&lt;&gt;"&amp;""),"")</f>
        <v/>
      </c>
      <c r="J68" s="114" t="str">
        <f>IF(A68&lt;&gt;"",SUMIFS(deployment!$I$4:$I$502, deployment!$D$4:$D$502,"="&amp;A68, deployment!$D$4:$D$502,"&lt;&gt;"&amp;""),"")</f>
        <v/>
      </c>
      <c r="K68" s="182" t="str">
        <f>IF(A68&lt;&gt;"",SUMIFS(deployment!$J$4:$J$1002, deployment!$D$4:$D$1002,"="&amp;A68, deployment!$D$4:$D$1002,"&lt;&gt;"&amp;"", deployment!$C$4:$C$1002, "&lt;&gt;* )")+SUMIFS(namespace!$G$4:$G$1002, namespace!$B$4:$B$1002,"="&amp;A68, namespace!$B$4:$B$1002,"&lt;&gt;"&amp;""),"")</f>
        <v/>
      </c>
      <c r="L68" s="182" t="str">
        <f>IF(A68&lt;&gt;"",SUMIFS(deployment!$K$4:$K$1002, deployment!$D$4:$D$1002,"="&amp;A68, deployment!$D$4:$D$1002,"&lt;&gt;"&amp;"", deployment!$C$4:$C$1002, "&lt;&gt;* )")+SUMIFS(namespace!$H$4:$H$1002, namespace!$B$4:$B$1002,"="&amp;A68, namespace!$B$4:$B$1002,"&lt;&gt;"&amp;""),"")</f>
        <v/>
      </c>
      <c r="M68" s="115" t="str">
        <f>IF(A68&lt;&gt;"",SUMIFS(deployment!$L$4:$L$1002, deployment!$D$4:$D$1002,"="&amp;A68, deployment!$D$4:$D$1002,"&lt;&gt;"&amp;"", deployment!$C$4:$C$1002, "&lt;&gt;* )")+SUMIFS(namespace!$I$4:$I$1002, namespace!$B$4:$B$1002,"="&amp;A68, namespace!$B$4:$B$1002,"&lt;&gt;"&amp;""),"")</f>
        <v/>
      </c>
      <c r="N68" s="115" t="str">
        <f>IF(A68&lt;&gt;"",SUMIFS(deployment!$M$4:$M$1002, deployment!$D$4:$D$1002,"="&amp;A68, deployment!$D$4:$D$1002,"&lt;&gt;"&amp;"", deployment!$C$4:$C$1002, "&lt;&gt;* )")+SUMIFS(namespace!$J$4:$J$1002, namespace!$B$4:$B$1002,"="&amp;A68, namespace!$B$4:$B$1002,"&lt;&gt;"&amp;""),"")</f>
        <v/>
      </c>
      <c r="O68" s="116" t="str">
        <f t="shared" si="7"/>
        <v/>
      </c>
      <c r="P68" s="63"/>
      <c r="Q68" s="164" t="str">
        <f t="shared" ref="Q68:Q131" si="14">IF(A68&lt;&gt;"",(D68-P68)/D68,"")</f>
        <v/>
      </c>
      <c r="R68" s="60" t="str">
        <f t="shared" ref="R68:R131" si="15">IF(A68&lt;&gt;"",G68/(P68*B68),"")</f>
        <v/>
      </c>
      <c r="S68" s="60" t="str">
        <f t="shared" ref="S68:S131" si="16">IF(A68&lt;&gt;"",H68/(P68*C68),"")</f>
        <v/>
      </c>
      <c r="T68" s="61" t="str">
        <f t="shared" ref="T68:T131" si="17">IF(A68&lt;&gt;"",I68/(P68*B68),"")</f>
        <v/>
      </c>
      <c r="U68" s="61" t="str">
        <f t="shared" ref="U68:U131" si="18">IF(A68&lt;&gt;"",J68/(P68*C68),"")</f>
        <v/>
      </c>
      <c r="V68" s="183" t="str">
        <f t="shared" si="8"/>
        <v/>
      </c>
      <c r="W68" s="183" t="str">
        <f t="shared" si="9"/>
        <v/>
      </c>
      <c r="X68" s="61" t="str">
        <f t="shared" si="10"/>
        <v/>
      </c>
      <c r="Y68" s="61" t="str">
        <f t="shared" si="11"/>
        <v/>
      </c>
      <c r="Z68" s="118" t="str">
        <f t="shared" si="12"/>
        <v/>
      </c>
      <c r="AA68" s="62" t="str">
        <f t="shared" si="13"/>
        <v/>
      </c>
      <c r="AB68" s="119" t="str">
        <f>IF(A68&lt;&gt;"", IF(P68&lt;&gt;0,SUMIFS(node!$J$2:$J$1000, node!$C$2:$C$1000,"="&amp;A68)/P68,0), "")</f>
        <v/>
      </c>
      <c r="AC68" s="81" t="str">
        <f>IF(A68&lt;&gt;"", IF(P68&lt;&gt;0,SUMIFS(node!$K$2:$K$1000, node!$C$2:$C$1000,"="&amp;A68)/P68,0), "")</f>
        <v/>
      </c>
      <c r="AD68" s="82" t="str">
        <f>IF(A68&lt;&gt;"", SUMIFS(node!$L$2:$L$1000, node!$C$2:$C$1000,"="&amp;A68), "")</f>
        <v/>
      </c>
      <c r="AE68" s="87" t="str">
        <f>IF(A68&lt;&gt;"", SUMIFS(node!$M$2:$M$1000, node!$C$2:$C$1000,"="&amp;A68), "")</f>
        <v/>
      </c>
    </row>
    <row r="69" spans="1:31" ht="15.75" customHeight="1" x14ac:dyDescent="0.25">
      <c r="A69" s="71" t="str">
        <f>IF(ISNONTEXT(node_raw[[#This Row],[Column2]]), "", node_raw[[#This Row],[Column2]])</f>
        <v/>
      </c>
      <c r="B69" s="108" t="str">
        <f>IF(A69&lt;&gt;"", VLOOKUP(A69, node!$C$2:$D$1000, 2, FALSE), "")</f>
        <v/>
      </c>
      <c r="C69" s="109" t="str">
        <f>IF(A69&lt;&gt;"", VLOOKUP(A69, node!$C$2:$E$1000, 3, FALSE), "")</f>
        <v/>
      </c>
      <c r="D69" s="110" t="str">
        <f>IF(A69&lt;&gt;"",COUNTIFS(node!$C$2:$C$1000,"="&amp;A69, node!$C$2:$C$1000,"&lt;&gt;"&amp;""),"")</f>
        <v/>
      </c>
      <c r="E69" s="111" t="str">
        <f>IF(A69&lt;&gt;"",SUMIFS(node!$F$2:$F$500, node!$C$2:$C$500,"="&amp;A69, node!$C$2:$C$500,"&lt;&gt;"&amp;"")/(B69*D69),"")</f>
        <v/>
      </c>
      <c r="F69" s="112" t="str">
        <f>IF(A69&lt;&gt;"",SUMIFS(node!$H$2:$H$500, node!$C$2:$C$500,"="&amp;A69, node!$C$2:$C$500,"&lt;&gt;"&amp;"")/(C69*D69),"")</f>
        <v/>
      </c>
      <c r="G69" s="179" t="str">
        <f>IF(A69&lt;&gt;"",SUMIFS(deployment!$F$4:$F$502, deployment!$D$4:$D$502,"="&amp;A69, deployment!$D$4:$D$502,"&lt;&gt;"&amp;""),"")</f>
        <v/>
      </c>
      <c r="H69" s="181" t="str">
        <f>IF(A69&lt;&gt;"",SUMIFS(deployment!$G$4:$G$502, deployment!$D$4:$D$502,"="&amp;A69, deployment!$D$4:$D$502,"&lt;&gt;"&amp;""),"")</f>
        <v/>
      </c>
      <c r="I69" s="113" t="str">
        <f>IF(A69&lt;&gt;"",SUMIFS(deployment!$H$4:$H$502, deployment!$D$4:$D$502,"="&amp;A69, deployment!$D$4:$D$502,"&lt;&gt;"&amp;""),"")</f>
        <v/>
      </c>
      <c r="J69" s="114" t="str">
        <f>IF(A69&lt;&gt;"",SUMIFS(deployment!$I$4:$I$502, deployment!$D$4:$D$502,"="&amp;A69, deployment!$D$4:$D$502,"&lt;&gt;"&amp;""),"")</f>
        <v/>
      </c>
      <c r="K69" s="182" t="str">
        <f>IF(A69&lt;&gt;"",SUMIFS(deployment!$J$4:$J$1002, deployment!$D$4:$D$1002,"="&amp;A69, deployment!$D$4:$D$1002,"&lt;&gt;"&amp;"", deployment!$C$4:$C$1002, "&lt;&gt;* )")+SUMIFS(namespace!$G$4:$G$1002, namespace!$B$4:$B$1002,"="&amp;A69, namespace!$B$4:$B$1002,"&lt;&gt;"&amp;""),"")</f>
        <v/>
      </c>
      <c r="L69" s="182" t="str">
        <f>IF(A69&lt;&gt;"",SUMIFS(deployment!$K$4:$K$1002, deployment!$D$4:$D$1002,"="&amp;A69, deployment!$D$4:$D$1002,"&lt;&gt;"&amp;"", deployment!$C$4:$C$1002, "&lt;&gt;* )")+SUMIFS(namespace!$H$4:$H$1002, namespace!$B$4:$B$1002,"="&amp;A69, namespace!$B$4:$B$1002,"&lt;&gt;"&amp;""),"")</f>
        <v/>
      </c>
      <c r="M69" s="115" t="str">
        <f>IF(A69&lt;&gt;"",SUMIFS(deployment!$L$4:$L$1002, deployment!$D$4:$D$1002,"="&amp;A69, deployment!$D$4:$D$1002,"&lt;&gt;"&amp;"", deployment!$C$4:$C$1002, "&lt;&gt;* )")+SUMIFS(namespace!$I$4:$I$1002, namespace!$B$4:$B$1002,"="&amp;A69, namespace!$B$4:$B$1002,"&lt;&gt;"&amp;""),"")</f>
        <v/>
      </c>
      <c r="N69" s="115" t="str">
        <f>IF(A69&lt;&gt;"",SUMIFS(deployment!$M$4:$M$1002, deployment!$D$4:$D$1002,"="&amp;A69, deployment!$D$4:$D$1002,"&lt;&gt;"&amp;"", deployment!$C$4:$C$1002, "&lt;&gt;* )")+SUMIFS(namespace!$J$4:$J$1002, namespace!$B$4:$B$1002,"="&amp;A69, namespace!$B$4:$B$1002,"&lt;&gt;"&amp;""),"")</f>
        <v/>
      </c>
      <c r="O69" s="116" t="str">
        <f t="shared" ref="O69:O132" si="19">IF(A69&lt;&gt;"",MAX(ROUNDUP(K69/(B69*$B$2), 0), ROUNDUP(L69/(C69*$C$2), 0), ROUNDUP(M69/(B69*$B$2), 0), ROUNDUP(N69/(C69*$C$2), 0), 1),"")</f>
        <v/>
      </c>
      <c r="P69" s="63"/>
      <c r="Q69" s="164" t="str">
        <f t="shared" si="14"/>
        <v/>
      </c>
      <c r="R69" s="60" t="str">
        <f t="shared" si="15"/>
        <v/>
      </c>
      <c r="S69" s="60" t="str">
        <f t="shared" si="16"/>
        <v/>
      </c>
      <c r="T69" s="61" t="str">
        <f t="shared" si="17"/>
        <v/>
      </c>
      <c r="U69" s="61" t="str">
        <f t="shared" si="18"/>
        <v/>
      </c>
      <c r="V69" s="183" t="str">
        <f t="shared" ref="V69:V132" si="20">IF(A69&lt;&gt;"",IF(P69&lt;&gt;0,K69/(P69*B69),0),"")</f>
        <v/>
      </c>
      <c r="W69" s="183" t="str">
        <f t="shared" ref="W69:W132" si="21">IF(A69&lt;&gt;"",IF(P69&lt;&gt;0,L69/(P69*C69),0),"")</f>
        <v/>
      </c>
      <c r="X69" s="61" t="str">
        <f t="shared" ref="X69:X132" si="22">IF(A69&lt;&gt;"",IF(P69&lt;&gt;0,M69/(P69*B69),0),"")</f>
        <v/>
      </c>
      <c r="Y69" s="61" t="str">
        <f t="shared" ref="Y69:Y132" si="23">IF(A69&lt;&gt;"",IF(P69&lt;&gt;0,N69/(P69*C69),0),"")</f>
        <v/>
      </c>
      <c r="Z69" s="118" t="str">
        <f t="shared" ref="Z69:Z132" si="24">IF(A69&lt;&gt;"",(D69*E69)/P69,"")</f>
        <v/>
      </c>
      <c r="AA69" s="62" t="str">
        <f t="shared" ref="AA69:AA132" si="25">IF(A69&lt;&gt;"",(D69*F69)/P69,"")</f>
        <v/>
      </c>
      <c r="AB69" s="119" t="str">
        <f>IF(A69&lt;&gt;"", IF(P69&lt;&gt;0,SUMIFS(node!$J$2:$J$1000, node!$C$2:$C$1000,"="&amp;A69)/P69,0), "")</f>
        <v/>
      </c>
      <c r="AC69" s="81" t="str">
        <f>IF(A69&lt;&gt;"", IF(P69&lt;&gt;0,SUMIFS(node!$K$2:$K$1000, node!$C$2:$C$1000,"="&amp;A69)/P69,0), "")</f>
        <v/>
      </c>
      <c r="AD69" s="82" t="str">
        <f>IF(A69&lt;&gt;"", SUMIFS(node!$L$2:$L$1000, node!$C$2:$C$1000,"="&amp;A69), "")</f>
        <v/>
      </c>
      <c r="AE69" s="87" t="str">
        <f>IF(A69&lt;&gt;"", SUMIFS(node!$M$2:$M$1000, node!$C$2:$C$1000,"="&amp;A69), "")</f>
        <v/>
      </c>
    </row>
    <row r="70" spans="1:31" ht="15.75" customHeight="1" x14ac:dyDescent="0.25">
      <c r="A70" s="71" t="str">
        <f>IF(ISNONTEXT(node_raw[[#This Row],[Column2]]), "", node_raw[[#This Row],[Column2]])</f>
        <v/>
      </c>
      <c r="B70" s="108" t="str">
        <f>IF(A70&lt;&gt;"", VLOOKUP(A70, node!$C$2:$D$1000, 2, FALSE), "")</f>
        <v/>
      </c>
      <c r="C70" s="109" t="str">
        <f>IF(A70&lt;&gt;"", VLOOKUP(A70, node!$C$2:$E$1000, 3, FALSE), "")</f>
        <v/>
      </c>
      <c r="D70" s="110" t="str">
        <f>IF(A70&lt;&gt;"",COUNTIFS(node!$C$2:$C$1000,"="&amp;A70, node!$C$2:$C$1000,"&lt;&gt;"&amp;""),"")</f>
        <v/>
      </c>
      <c r="E70" s="111" t="str">
        <f>IF(A70&lt;&gt;"",SUMIFS(node!$F$2:$F$500, node!$C$2:$C$500,"="&amp;A70, node!$C$2:$C$500,"&lt;&gt;"&amp;"")/(B70*D70),"")</f>
        <v/>
      </c>
      <c r="F70" s="112" t="str">
        <f>IF(A70&lt;&gt;"",SUMIFS(node!$H$2:$H$500, node!$C$2:$C$500,"="&amp;A70, node!$C$2:$C$500,"&lt;&gt;"&amp;"")/(C70*D70),"")</f>
        <v/>
      </c>
      <c r="G70" s="179" t="str">
        <f>IF(A70&lt;&gt;"",SUMIFS(deployment!$F$4:$F$502, deployment!$D$4:$D$502,"="&amp;A70, deployment!$D$4:$D$502,"&lt;&gt;"&amp;""),"")</f>
        <v/>
      </c>
      <c r="H70" s="181" t="str">
        <f>IF(A70&lt;&gt;"",SUMIFS(deployment!$G$4:$G$502, deployment!$D$4:$D$502,"="&amp;A70, deployment!$D$4:$D$502,"&lt;&gt;"&amp;""),"")</f>
        <v/>
      </c>
      <c r="I70" s="113" t="str">
        <f>IF(A70&lt;&gt;"",SUMIFS(deployment!$H$4:$H$502, deployment!$D$4:$D$502,"="&amp;A70, deployment!$D$4:$D$502,"&lt;&gt;"&amp;""),"")</f>
        <v/>
      </c>
      <c r="J70" s="114" t="str">
        <f>IF(A70&lt;&gt;"",SUMIFS(deployment!$I$4:$I$502, deployment!$D$4:$D$502,"="&amp;A70, deployment!$D$4:$D$502,"&lt;&gt;"&amp;""),"")</f>
        <v/>
      </c>
      <c r="K70" s="182" t="str">
        <f>IF(A70&lt;&gt;"",SUMIFS(deployment!$J$4:$J$1002, deployment!$D$4:$D$1002,"="&amp;A70, deployment!$D$4:$D$1002,"&lt;&gt;"&amp;"", deployment!$C$4:$C$1002, "&lt;&gt;* )")+SUMIFS(namespace!$G$4:$G$1002, namespace!$B$4:$B$1002,"="&amp;A70, namespace!$B$4:$B$1002,"&lt;&gt;"&amp;""),"")</f>
        <v/>
      </c>
      <c r="L70" s="182" t="str">
        <f>IF(A70&lt;&gt;"",SUMIFS(deployment!$K$4:$K$1002, deployment!$D$4:$D$1002,"="&amp;A70, deployment!$D$4:$D$1002,"&lt;&gt;"&amp;"", deployment!$C$4:$C$1002, "&lt;&gt;* )")+SUMIFS(namespace!$H$4:$H$1002, namespace!$B$4:$B$1002,"="&amp;A70, namespace!$B$4:$B$1002,"&lt;&gt;"&amp;""),"")</f>
        <v/>
      </c>
      <c r="M70" s="115" t="str">
        <f>IF(A70&lt;&gt;"",SUMIFS(deployment!$L$4:$L$1002, deployment!$D$4:$D$1002,"="&amp;A70, deployment!$D$4:$D$1002,"&lt;&gt;"&amp;"", deployment!$C$4:$C$1002, "&lt;&gt;* )")+SUMIFS(namespace!$I$4:$I$1002, namespace!$B$4:$B$1002,"="&amp;A70, namespace!$B$4:$B$1002,"&lt;&gt;"&amp;""),"")</f>
        <v/>
      </c>
      <c r="N70" s="115" t="str">
        <f>IF(A70&lt;&gt;"",SUMIFS(deployment!$M$4:$M$1002, deployment!$D$4:$D$1002,"="&amp;A70, deployment!$D$4:$D$1002,"&lt;&gt;"&amp;"", deployment!$C$4:$C$1002, "&lt;&gt;* )")+SUMIFS(namespace!$J$4:$J$1002, namespace!$B$4:$B$1002,"="&amp;A70, namespace!$B$4:$B$1002,"&lt;&gt;"&amp;""),"")</f>
        <v/>
      </c>
      <c r="O70" s="116" t="str">
        <f t="shared" si="19"/>
        <v/>
      </c>
      <c r="P70" s="63"/>
      <c r="Q70" s="164" t="str">
        <f t="shared" si="14"/>
        <v/>
      </c>
      <c r="R70" s="60" t="str">
        <f t="shared" si="15"/>
        <v/>
      </c>
      <c r="S70" s="60" t="str">
        <f t="shared" si="16"/>
        <v/>
      </c>
      <c r="T70" s="61" t="str">
        <f t="shared" si="17"/>
        <v/>
      </c>
      <c r="U70" s="61" t="str">
        <f t="shared" si="18"/>
        <v/>
      </c>
      <c r="V70" s="183" t="str">
        <f t="shared" si="20"/>
        <v/>
      </c>
      <c r="W70" s="183" t="str">
        <f t="shared" si="21"/>
        <v/>
      </c>
      <c r="X70" s="61" t="str">
        <f t="shared" si="22"/>
        <v/>
      </c>
      <c r="Y70" s="61" t="str">
        <f t="shared" si="23"/>
        <v/>
      </c>
      <c r="Z70" s="118" t="str">
        <f t="shared" si="24"/>
        <v/>
      </c>
      <c r="AA70" s="62" t="str">
        <f t="shared" si="25"/>
        <v/>
      </c>
      <c r="AB70" s="119" t="str">
        <f>IF(A70&lt;&gt;"", IF(P70&lt;&gt;0,SUMIFS(node!$J$2:$J$1000, node!$C$2:$C$1000,"="&amp;A70)/P70,0), "")</f>
        <v/>
      </c>
      <c r="AC70" s="81" t="str">
        <f>IF(A70&lt;&gt;"", IF(P70&lt;&gt;0,SUMIFS(node!$K$2:$K$1000, node!$C$2:$C$1000,"="&amp;A70)/P70,0), "")</f>
        <v/>
      </c>
      <c r="AD70" s="82" t="str">
        <f>IF(A70&lt;&gt;"", SUMIFS(node!$L$2:$L$1000, node!$C$2:$C$1000,"="&amp;A70), "")</f>
        <v/>
      </c>
      <c r="AE70" s="87" t="str">
        <f>IF(A70&lt;&gt;"", SUMIFS(node!$M$2:$M$1000, node!$C$2:$C$1000,"="&amp;A70), "")</f>
        <v/>
      </c>
    </row>
    <row r="71" spans="1:31" ht="15.75" customHeight="1" x14ac:dyDescent="0.25">
      <c r="A71" s="71" t="str">
        <f>IF(ISNONTEXT(node_raw[[#This Row],[Column2]]), "", node_raw[[#This Row],[Column2]])</f>
        <v/>
      </c>
      <c r="B71" s="108" t="str">
        <f>IF(A71&lt;&gt;"", VLOOKUP(A71, node!$C$2:$D$1000, 2, FALSE), "")</f>
        <v/>
      </c>
      <c r="C71" s="109" t="str">
        <f>IF(A71&lt;&gt;"", VLOOKUP(A71, node!$C$2:$E$1000, 3, FALSE), "")</f>
        <v/>
      </c>
      <c r="D71" s="110" t="str">
        <f>IF(A71&lt;&gt;"",COUNTIFS(node!$C$2:$C$1000,"="&amp;A71, node!$C$2:$C$1000,"&lt;&gt;"&amp;""),"")</f>
        <v/>
      </c>
      <c r="E71" s="111" t="str">
        <f>IF(A71&lt;&gt;"",SUMIFS(node!$F$2:$F$500, node!$C$2:$C$500,"="&amp;A71, node!$C$2:$C$500,"&lt;&gt;"&amp;"")/(B71*D71),"")</f>
        <v/>
      </c>
      <c r="F71" s="112" t="str">
        <f>IF(A71&lt;&gt;"",SUMIFS(node!$H$2:$H$500, node!$C$2:$C$500,"="&amp;A71, node!$C$2:$C$500,"&lt;&gt;"&amp;"")/(C71*D71),"")</f>
        <v/>
      </c>
      <c r="G71" s="179" t="str">
        <f>IF(A71&lt;&gt;"",SUMIFS(deployment!$F$4:$F$502, deployment!$D$4:$D$502,"="&amp;A71, deployment!$D$4:$D$502,"&lt;&gt;"&amp;""),"")</f>
        <v/>
      </c>
      <c r="H71" s="181" t="str">
        <f>IF(A71&lt;&gt;"",SUMIFS(deployment!$G$4:$G$502, deployment!$D$4:$D$502,"="&amp;A71, deployment!$D$4:$D$502,"&lt;&gt;"&amp;""),"")</f>
        <v/>
      </c>
      <c r="I71" s="113" t="str">
        <f>IF(A71&lt;&gt;"",SUMIFS(deployment!$H$4:$H$502, deployment!$D$4:$D$502,"="&amp;A71, deployment!$D$4:$D$502,"&lt;&gt;"&amp;""),"")</f>
        <v/>
      </c>
      <c r="J71" s="114" t="str">
        <f>IF(A71&lt;&gt;"",SUMIFS(deployment!$I$4:$I$502, deployment!$D$4:$D$502,"="&amp;A71, deployment!$D$4:$D$502,"&lt;&gt;"&amp;""),"")</f>
        <v/>
      </c>
      <c r="K71" s="182" t="str">
        <f>IF(A71&lt;&gt;"",SUMIFS(deployment!$J$4:$J$1002, deployment!$D$4:$D$1002,"="&amp;A71, deployment!$D$4:$D$1002,"&lt;&gt;"&amp;"", deployment!$C$4:$C$1002, "&lt;&gt;* )")+SUMIFS(namespace!$G$4:$G$1002, namespace!$B$4:$B$1002,"="&amp;A71, namespace!$B$4:$B$1002,"&lt;&gt;"&amp;""),"")</f>
        <v/>
      </c>
      <c r="L71" s="182" t="str">
        <f>IF(A71&lt;&gt;"",SUMIFS(deployment!$K$4:$K$1002, deployment!$D$4:$D$1002,"="&amp;A71, deployment!$D$4:$D$1002,"&lt;&gt;"&amp;"", deployment!$C$4:$C$1002, "&lt;&gt;* )")+SUMIFS(namespace!$H$4:$H$1002, namespace!$B$4:$B$1002,"="&amp;A71, namespace!$B$4:$B$1002,"&lt;&gt;"&amp;""),"")</f>
        <v/>
      </c>
      <c r="M71" s="115" t="str">
        <f>IF(A71&lt;&gt;"",SUMIFS(deployment!$L$4:$L$1002, deployment!$D$4:$D$1002,"="&amp;A71, deployment!$D$4:$D$1002,"&lt;&gt;"&amp;"", deployment!$C$4:$C$1002, "&lt;&gt;* )")+SUMIFS(namespace!$I$4:$I$1002, namespace!$B$4:$B$1002,"="&amp;A71, namespace!$B$4:$B$1002,"&lt;&gt;"&amp;""),"")</f>
        <v/>
      </c>
      <c r="N71" s="115" t="str">
        <f>IF(A71&lt;&gt;"",SUMIFS(deployment!$M$4:$M$1002, deployment!$D$4:$D$1002,"="&amp;A71, deployment!$D$4:$D$1002,"&lt;&gt;"&amp;"", deployment!$C$4:$C$1002, "&lt;&gt;* )")+SUMIFS(namespace!$J$4:$J$1002, namespace!$B$4:$B$1002,"="&amp;A71, namespace!$B$4:$B$1002,"&lt;&gt;"&amp;""),"")</f>
        <v/>
      </c>
      <c r="O71" s="116" t="str">
        <f t="shared" si="19"/>
        <v/>
      </c>
      <c r="P71" s="63"/>
      <c r="Q71" s="164" t="str">
        <f t="shared" si="14"/>
        <v/>
      </c>
      <c r="R71" s="60" t="str">
        <f t="shared" si="15"/>
        <v/>
      </c>
      <c r="S71" s="60" t="str">
        <f t="shared" si="16"/>
        <v/>
      </c>
      <c r="T71" s="61" t="str">
        <f t="shared" si="17"/>
        <v/>
      </c>
      <c r="U71" s="61" t="str">
        <f t="shared" si="18"/>
        <v/>
      </c>
      <c r="V71" s="183" t="str">
        <f t="shared" si="20"/>
        <v/>
      </c>
      <c r="W71" s="183" t="str">
        <f t="shared" si="21"/>
        <v/>
      </c>
      <c r="X71" s="61" t="str">
        <f t="shared" si="22"/>
        <v/>
      </c>
      <c r="Y71" s="61" t="str">
        <f t="shared" si="23"/>
        <v/>
      </c>
      <c r="Z71" s="118" t="str">
        <f t="shared" si="24"/>
        <v/>
      </c>
      <c r="AA71" s="62" t="str">
        <f t="shared" si="25"/>
        <v/>
      </c>
      <c r="AB71" s="119" t="str">
        <f>IF(A71&lt;&gt;"", IF(P71&lt;&gt;0,SUMIFS(node!$J$2:$J$1000, node!$C$2:$C$1000,"="&amp;A71)/P71,0), "")</f>
        <v/>
      </c>
      <c r="AC71" s="81" t="str">
        <f>IF(A71&lt;&gt;"", IF(P71&lt;&gt;0,SUMIFS(node!$K$2:$K$1000, node!$C$2:$C$1000,"="&amp;A71)/P71,0), "")</f>
        <v/>
      </c>
      <c r="AD71" s="82" t="str">
        <f>IF(A71&lt;&gt;"", SUMIFS(node!$L$2:$L$1000, node!$C$2:$C$1000,"="&amp;A71), "")</f>
        <v/>
      </c>
      <c r="AE71" s="87" t="str">
        <f>IF(A71&lt;&gt;"", SUMIFS(node!$M$2:$M$1000, node!$C$2:$C$1000,"="&amp;A71), "")</f>
        <v/>
      </c>
    </row>
    <row r="72" spans="1:31" ht="15.75" customHeight="1" x14ac:dyDescent="0.25">
      <c r="A72" s="71" t="str">
        <f>IF(ISNONTEXT(node_raw[[#This Row],[Column2]]), "", node_raw[[#This Row],[Column2]])</f>
        <v/>
      </c>
      <c r="B72" s="108" t="str">
        <f>IF(A72&lt;&gt;"", VLOOKUP(A72, node!$C$2:$D$1000, 2, FALSE), "")</f>
        <v/>
      </c>
      <c r="C72" s="109" t="str">
        <f>IF(A72&lt;&gt;"", VLOOKUP(A72, node!$C$2:$E$1000, 3, FALSE), "")</f>
        <v/>
      </c>
      <c r="D72" s="110" t="str">
        <f>IF(A72&lt;&gt;"",COUNTIFS(node!$C$2:$C$1000,"="&amp;A72, node!$C$2:$C$1000,"&lt;&gt;"&amp;""),"")</f>
        <v/>
      </c>
      <c r="E72" s="111" t="str">
        <f>IF(A72&lt;&gt;"",SUMIFS(node!$F$2:$F$500, node!$C$2:$C$500,"="&amp;A72, node!$C$2:$C$500,"&lt;&gt;"&amp;"")/(B72*D72),"")</f>
        <v/>
      </c>
      <c r="F72" s="112" t="str">
        <f>IF(A72&lt;&gt;"",SUMIFS(node!$H$2:$H$500, node!$C$2:$C$500,"="&amp;A72, node!$C$2:$C$500,"&lt;&gt;"&amp;"")/(C72*D72),"")</f>
        <v/>
      </c>
      <c r="G72" s="179" t="str">
        <f>IF(A72&lt;&gt;"",SUMIFS(deployment!$F$4:$F$502, deployment!$D$4:$D$502,"="&amp;A72, deployment!$D$4:$D$502,"&lt;&gt;"&amp;""),"")</f>
        <v/>
      </c>
      <c r="H72" s="181" t="str">
        <f>IF(A72&lt;&gt;"",SUMIFS(deployment!$G$4:$G$502, deployment!$D$4:$D$502,"="&amp;A72, deployment!$D$4:$D$502,"&lt;&gt;"&amp;""),"")</f>
        <v/>
      </c>
      <c r="I72" s="113" t="str">
        <f>IF(A72&lt;&gt;"",SUMIFS(deployment!$H$4:$H$502, deployment!$D$4:$D$502,"="&amp;A72, deployment!$D$4:$D$502,"&lt;&gt;"&amp;""),"")</f>
        <v/>
      </c>
      <c r="J72" s="114" t="str">
        <f>IF(A72&lt;&gt;"",SUMIFS(deployment!$I$4:$I$502, deployment!$D$4:$D$502,"="&amp;A72, deployment!$D$4:$D$502,"&lt;&gt;"&amp;""),"")</f>
        <v/>
      </c>
      <c r="K72" s="182" t="str">
        <f>IF(A72&lt;&gt;"",SUMIFS(deployment!$J$4:$J$1002, deployment!$D$4:$D$1002,"="&amp;A72, deployment!$D$4:$D$1002,"&lt;&gt;"&amp;"", deployment!$C$4:$C$1002, "&lt;&gt;* )")+SUMIFS(namespace!$G$4:$G$1002, namespace!$B$4:$B$1002,"="&amp;A72, namespace!$B$4:$B$1002,"&lt;&gt;"&amp;""),"")</f>
        <v/>
      </c>
      <c r="L72" s="182" t="str">
        <f>IF(A72&lt;&gt;"",SUMIFS(deployment!$K$4:$K$1002, deployment!$D$4:$D$1002,"="&amp;A72, deployment!$D$4:$D$1002,"&lt;&gt;"&amp;"", deployment!$C$4:$C$1002, "&lt;&gt;* )")+SUMIFS(namespace!$H$4:$H$1002, namespace!$B$4:$B$1002,"="&amp;A72, namespace!$B$4:$B$1002,"&lt;&gt;"&amp;""),"")</f>
        <v/>
      </c>
      <c r="M72" s="115" t="str">
        <f>IF(A72&lt;&gt;"",SUMIFS(deployment!$L$4:$L$1002, deployment!$D$4:$D$1002,"="&amp;A72, deployment!$D$4:$D$1002,"&lt;&gt;"&amp;"", deployment!$C$4:$C$1002, "&lt;&gt;* )")+SUMIFS(namespace!$I$4:$I$1002, namespace!$B$4:$B$1002,"="&amp;A72, namespace!$B$4:$B$1002,"&lt;&gt;"&amp;""),"")</f>
        <v/>
      </c>
      <c r="N72" s="115" t="str">
        <f>IF(A72&lt;&gt;"",SUMIFS(deployment!$M$4:$M$1002, deployment!$D$4:$D$1002,"="&amp;A72, deployment!$D$4:$D$1002,"&lt;&gt;"&amp;"", deployment!$C$4:$C$1002, "&lt;&gt;* )")+SUMIFS(namespace!$J$4:$J$1002, namespace!$B$4:$B$1002,"="&amp;A72, namespace!$B$4:$B$1002,"&lt;&gt;"&amp;""),"")</f>
        <v/>
      </c>
      <c r="O72" s="116" t="str">
        <f t="shared" si="19"/>
        <v/>
      </c>
      <c r="P72" s="63"/>
      <c r="Q72" s="164" t="str">
        <f t="shared" si="14"/>
        <v/>
      </c>
      <c r="R72" s="60" t="str">
        <f t="shared" si="15"/>
        <v/>
      </c>
      <c r="S72" s="60" t="str">
        <f t="shared" si="16"/>
        <v/>
      </c>
      <c r="T72" s="61" t="str">
        <f t="shared" si="17"/>
        <v/>
      </c>
      <c r="U72" s="61" t="str">
        <f t="shared" si="18"/>
        <v/>
      </c>
      <c r="V72" s="183" t="str">
        <f t="shared" si="20"/>
        <v/>
      </c>
      <c r="W72" s="183" t="str">
        <f t="shared" si="21"/>
        <v/>
      </c>
      <c r="X72" s="61" t="str">
        <f t="shared" si="22"/>
        <v/>
      </c>
      <c r="Y72" s="61" t="str">
        <f t="shared" si="23"/>
        <v/>
      </c>
      <c r="Z72" s="118" t="str">
        <f t="shared" si="24"/>
        <v/>
      </c>
      <c r="AA72" s="62" t="str">
        <f t="shared" si="25"/>
        <v/>
      </c>
      <c r="AB72" s="119" t="str">
        <f>IF(A72&lt;&gt;"", IF(P72&lt;&gt;0,SUMIFS(node!$J$2:$J$1000, node!$C$2:$C$1000,"="&amp;A72)/P72,0), "")</f>
        <v/>
      </c>
      <c r="AC72" s="81" t="str">
        <f>IF(A72&lt;&gt;"", IF(P72&lt;&gt;0,SUMIFS(node!$K$2:$K$1000, node!$C$2:$C$1000,"="&amp;A72)/P72,0), "")</f>
        <v/>
      </c>
      <c r="AD72" s="82" t="str">
        <f>IF(A72&lt;&gt;"", SUMIFS(node!$L$2:$L$1000, node!$C$2:$C$1000,"="&amp;A72), "")</f>
        <v/>
      </c>
      <c r="AE72" s="87" t="str">
        <f>IF(A72&lt;&gt;"", SUMIFS(node!$M$2:$M$1000, node!$C$2:$C$1000,"="&amp;A72), "")</f>
        <v/>
      </c>
    </row>
    <row r="73" spans="1:31" ht="15.75" customHeight="1" x14ac:dyDescent="0.25">
      <c r="A73" s="71" t="str">
        <f>IF(ISNONTEXT(node_raw[[#This Row],[Column2]]), "", node_raw[[#This Row],[Column2]])</f>
        <v/>
      </c>
      <c r="B73" s="108" t="str">
        <f>IF(A73&lt;&gt;"", VLOOKUP(A73, node!$C$2:$D$1000, 2, FALSE), "")</f>
        <v/>
      </c>
      <c r="C73" s="109" t="str">
        <f>IF(A73&lt;&gt;"", VLOOKUP(A73, node!$C$2:$E$1000, 3, FALSE), "")</f>
        <v/>
      </c>
      <c r="D73" s="110" t="str">
        <f>IF(A73&lt;&gt;"",COUNTIFS(node!$C$2:$C$1000,"="&amp;A73, node!$C$2:$C$1000,"&lt;&gt;"&amp;""),"")</f>
        <v/>
      </c>
      <c r="E73" s="111" t="str">
        <f>IF(A73&lt;&gt;"",SUMIFS(node!$F$2:$F$500, node!$C$2:$C$500,"="&amp;A73, node!$C$2:$C$500,"&lt;&gt;"&amp;"")/(B73*D73),"")</f>
        <v/>
      </c>
      <c r="F73" s="112" t="str">
        <f>IF(A73&lt;&gt;"",SUMIFS(node!$H$2:$H$500, node!$C$2:$C$500,"="&amp;A73, node!$C$2:$C$500,"&lt;&gt;"&amp;"")/(C73*D73),"")</f>
        <v/>
      </c>
      <c r="G73" s="179" t="str">
        <f>IF(A73&lt;&gt;"",SUMIFS(deployment!$F$4:$F$502, deployment!$D$4:$D$502,"="&amp;A73, deployment!$D$4:$D$502,"&lt;&gt;"&amp;""),"")</f>
        <v/>
      </c>
      <c r="H73" s="181" t="str">
        <f>IF(A73&lt;&gt;"",SUMIFS(deployment!$G$4:$G$502, deployment!$D$4:$D$502,"="&amp;A73, deployment!$D$4:$D$502,"&lt;&gt;"&amp;""),"")</f>
        <v/>
      </c>
      <c r="I73" s="113" t="str">
        <f>IF(A73&lt;&gt;"",SUMIFS(deployment!$H$4:$H$502, deployment!$D$4:$D$502,"="&amp;A73, deployment!$D$4:$D$502,"&lt;&gt;"&amp;""),"")</f>
        <v/>
      </c>
      <c r="J73" s="114" t="str">
        <f>IF(A73&lt;&gt;"",SUMIFS(deployment!$I$4:$I$502, deployment!$D$4:$D$502,"="&amp;A73, deployment!$D$4:$D$502,"&lt;&gt;"&amp;""),"")</f>
        <v/>
      </c>
      <c r="K73" s="182" t="str">
        <f>IF(A73&lt;&gt;"",SUMIFS(deployment!$J$4:$J$1002, deployment!$D$4:$D$1002,"="&amp;A73, deployment!$D$4:$D$1002,"&lt;&gt;"&amp;"", deployment!$C$4:$C$1002, "&lt;&gt;* )")+SUMIFS(namespace!$G$4:$G$1002, namespace!$B$4:$B$1002,"="&amp;A73, namespace!$B$4:$B$1002,"&lt;&gt;"&amp;""),"")</f>
        <v/>
      </c>
      <c r="L73" s="182" t="str">
        <f>IF(A73&lt;&gt;"",SUMIFS(deployment!$K$4:$K$1002, deployment!$D$4:$D$1002,"="&amp;A73, deployment!$D$4:$D$1002,"&lt;&gt;"&amp;"", deployment!$C$4:$C$1002, "&lt;&gt;* )")+SUMIFS(namespace!$H$4:$H$1002, namespace!$B$4:$B$1002,"="&amp;A73, namespace!$B$4:$B$1002,"&lt;&gt;"&amp;""),"")</f>
        <v/>
      </c>
      <c r="M73" s="115" t="str">
        <f>IF(A73&lt;&gt;"",SUMIFS(deployment!$L$4:$L$1002, deployment!$D$4:$D$1002,"="&amp;A73, deployment!$D$4:$D$1002,"&lt;&gt;"&amp;"", deployment!$C$4:$C$1002, "&lt;&gt;* )")+SUMIFS(namespace!$I$4:$I$1002, namespace!$B$4:$B$1002,"="&amp;A73, namespace!$B$4:$B$1002,"&lt;&gt;"&amp;""),"")</f>
        <v/>
      </c>
      <c r="N73" s="115" t="str">
        <f>IF(A73&lt;&gt;"",SUMIFS(deployment!$M$4:$M$1002, deployment!$D$4:$D$1002,"="&amp;A73, deployment!$D$4:$D$1002,"&lt;&gt;"&amp;"", deployment!$C$4:$C$1002, "&lt;&gt;* )")+SUMIFS(namespace!$J$4:$J$1002, namespace!$B$4:$B$1002,"="&amp;A73, namespace!$B$4:$B$1002,"&lt;&gt;"&amp;""),"")</f>
        <v/>
      </c>
      <c r="O73" s="116" t="str">
        <f t="shared" si="19"/>
        <v/>
      </c>
      <c r="P73" s="63"/>
      <c r="Q73" s="164" t="str">
        <f t="shared" si="14"/>
        <v/>
      </c>
      <c r="R73" s="60" t="str">
        <f t="shared" si="15"/>
        <v/>
      </c>
      <c r="S73" s="60" t="str">
        <f t="shared" si="16"/>
        <v/>
      </c>
      <c r="T73" s="61" t="str">
        <f t="shared" si="17"/>
        <v/>
      </c>
      <c r="U73" s="61" t="str">
        <f t="shared" si="18"/>
        <v/>
      </c>
      <c r="V73" s="183" t="str">
        <f t="shared" si="20"/>
        <v/>
      </c>
      <c r="W73" s="183" t="str">
        <f t="shared" si="21"/>
        <v/>
      </c>
      <c r="X73" s="61" t="str">
        <f t="shared" si="22"/>
        <v/>
      </c>
      <c r="Y73" s="61" t="str">
        <f t="shared" si="23"/>
        <v/>
      </c>
      <c r="Z73" s="118" t="str">
        <f t="shared" si="24"/>
        <v/>
      </c>
      <c r="AA73" s="62" t="str">
        <f t="shared" si="25"/>
        <v/>
      </c>
      <c r="AB73" s="119" t="str">
        <f>IF(A73&lt;&gt;"", IF(P73&lt;&gt;0,SUMIFS(node!$J$2:$J$1000, node!$C$2:$C$1000,"="&amp;A73)/P73,0), "")</f>
        <v/>
      </c>
      <c r="AC73" s="81" t="str">
        <f>IF(A73&lt;&gt;"", IF(P73&lt;&gt;0,SUMIFS(node!$K$2:$K$1000, node!$C$2:$C$1000,"="&amp;A73)/P73,0), "")</f>
        <v/>
      </c>
      <c r="AD73" s="82" t="str">
        <f>IF(A73&lt;&gt;"", SUMIFS(node!$L$2:$L$1000, node!$C$2:$C$1000,"="&amp;A73), "")</f>
        <v/>
      </c>
      <c r="AE73" s="87" t="str">
        <f>IF(A73&lt;&gt;"", SUMIFS(node!$M$2:$M$1000, node!$C$2:$C$1000,"="&amp;A73), "")</f>
        <v/>
      </c>
    </row>
    <row r="74" spans="1:31" ht="15.75" customHeight="1" x14ac:dyDescent="0.25">
      <c r="A74" s="71" t="str">
        <f>IF(ISNONTEXT(node_raw[[#This Row],[Column2]]), "", node_raw[[#This Row],[Column2]])</f>
        <v/>
      </c>
      <c r="B74" s="108" t="str">
        <f>IF(A74&lt;&gt;"", VLOOKUP(A74, node!$C$2:$D$1000, 2, FALSE), "")</f>
        <v/>
      </c>
      <c r="C74" s="109" t="str">
        <f>IF(A74&lt;&gt;"", VLOOKUP(A74, node!$C$2:$E$1000, 3, FALSE), "")</f>
        <v/>
      </c>
      <c r="D74" s="110" t="str">
        <f>IF(A74&lt;&gt;"",COUNTIFS(node!$C$2:$C$1000,"="&amp;A74, node!$C$2:$C$1000,"&lt;&gt;"&amp;""),"")</f>
        <v/>
      </c>
      <c r="E74" s="111" t="str">
        <f>IF(A74&lt;&gt;"",SUMIFS(node!$F$2:$F$500, node!$C$2:$C$500,"="&amp;A74, node!$C$2:$C$500,"&lt;&gt;"&amp;"")/(B74*D74),"")</f>
        <v/>
      </c>
      <c r="F74" s="112" t="str">
        <f>IF(A74&lt;&gt;"",SUMIFS(node!$H$2:$H$500, node!$C$2:$C$500,"="&amp;A74, node!$C$2:$C$500,"&lt;&gt;"&amp;"")/(C74*D74),"")</f>
        <v/>
      </c>
      <c r="G74" s="179" t="str">
        <f>IF(A74&lt;&gt;"",SUMIFS(deployment!$F$4:$F$502, deployment!$D$4:$D$502,"="&amp;A74, deployment!$D$4:$D$502,"&lt;&gt;"&amp;""),"")</f>
        <v/>
      </c>
      <c r="H74" s="181" t="str">
        <f>IF(A74&lt;&gt;"",SUMIFS(deployment!$G$4:$G$502, deployment!$D$4:$D$502,"="&amp;A74, deployment!$D$4:$D$502,"&lt;&gt;"&amp;""),"")</f>
        <v/>
      </c>
      <c r="I74" s="113" t="str">
        <f>IF(A74&lt;&gt;"",SUMIFS(deployment!$H$4:$H$502, deployment!$D$4:$D$502,"="&amp;A74, deployment!$D$4:$D$502,"&lt;&gt;"&amp;""),"")</f>
        <v/>
      </c>
      <c r="J74" s="114" t="str">
        <f>IF(A74&lt;&gt;"",SUMIFS(deployment!$I$4:$I$502, deployment!$D$4:$D$502,"="&amp;A74, deployment!$D$4:$D$502,"&lt;&gt;"&amp;""),"")</f>
        <v/>
      </c>
      <c r="K74" s="182" t="str">
        <f>IF(A74&lt;&gt;"",SUMIFS(deployment!$J$4:$J$1002, deployment!$D$4:$D$1002,"="&amp;A74, deployment!$D$4:$D$1002,"&lt;&gt;"&amp;"", deployment!$C$4:$C$1002, "&lt;&gt;* )")+SUMIFS(namespace!$G$4:$G$1002, namespace!$B$4:$B$1002,"="&amp;A74, namespace!$B$4:$B$1002,"&lt;&gt;"&amp;""),"")</f>
        <v/>
      </c>
      <c r="L74" s="182" t="str">
        <f>IF(A74&lt;&gt;"",SUMIFS(deployment!$K$4:$K$1002, deployment!$D$4:$D$1002,"="&amp;A74, deployment!$D$4:$D$1002,"&lt;&gt;"&amp;"", deployment!$C$4:$C$1002, "&lt;&gt;* )")+SUMIFS(namespace!$H$4:$H$1002, namespace!$B$4:$B$1002,"="&amp;A74, namespace!$B$4:$B$1002,"&lt;&gt;"&amp;""),"")</f>
        <v/>
      </c>
      <c r="M74" s="115" t="str">
        <f>IF(A74&lt;&gt;"",SUMIFS(deployment!$L$4:$L$1002, deployment!$D$4:$D$1002,"="&amp;A74, deployment!$D$4:$D$1002,"&lt;&gt;"&amp;"", deployment!$C$4:$C$1002, "&lt;&gt;* )")+SUMIFS(namespace!$I$4:$I$1002, namespace!$B$4:$B$1002,"="&amp;A74, namespace!$B$4:$B$1002,"&lt;&gt;"&amp;""),"")</f>
        <v/>
      </c>
      <c r="N74" s="115" t="str">
        <f>IF(A74&lt;&gt;"",SUMIFS(deployment!$M$4:$M$1002, deployment!$D$4:$D$1002,"="&amp;A74, deployment!$D$4:$D$1002,"&lt;&gt;"&amp;"", deployment!$C$4:$C$1002, "&lt;&gt;* )")+SUMIFS(namespace!$J$4:$J$1002, namespace!$B$4:$B$1002,"="&amp;A74, namespace!$B$4:$B$1002,"&lt;&gt;"&amp;""),"")</f>
        <v/>
      </c>
      <c r="O74" s="116" t="str">
        <f t="shared" si="19"/>
        <v/>
      </c>
      <c r="P74" s="63"/>
      <c r="Q74" s="164" t="str">
        <f t="shared" si="14"/>
        <v/>
      </c>
      <c r="R74" s="60" t="str">
        <f t="shared" si="15"/>
        <v/>
      </c>
      <c r="S74" s="60" t="str">
        <f t="shared" si="16"/>
        <v/>
      </c>
      <c r="T74" s="61" t="str">
        <f t="shared" si="17"/>
        <v/>
      </c>
      <c r="U74" s="61" t="str">
        <f t="shared" si="18"/>
        <v/>
      </c>
      <c r="V74" s="183" t="str">
        <f t="shared" si="20"/>
        <v/>
      </c>
      <c r="W74" s="183" t="str">
        <f t="shared" si="21"/>
        <v/>
      </c>
      <c r="X74" s="61" t="str">
        <f t="shared" si="22"/>
        <v/>
      </c>
      <c r="Y74" s="61" t="str">
        <f t="shared" si="23"/>
        <v/>
      </c>
      <c r="Z74" s="118" t="str">
        <f t="shared" si="24"/>
        <v/>
      </c>
      <c r="AA74" s="62" t="str">
        <f t="shared" si="25"/>
        <v/>
      </c>
      <c r="AB74" s="119" t="str">
        <f>IF(A74&lt;&gt;"", IF(P74&lt;&gt;0,SUMIFS(node!$J$2:$J$1000, node!$C$2:$C$1000,"="&amp;A74)/P74,0), "")</f>
        <v/>
      </c>
      <c r="AC74" s="81" t="str">
        <f>IF(A74&lt;&gt;"", IF(P74&lt;&gt;0,SUMIFS(node!$K$2:$K$1000, node!$C$2:$C$1000,"="&amp;A74)/P74,0), "")</f>
        <v/>
      </c>
      <c r="AD74" s="82" t="str">
        <f>IF(A74&lt;&gt;"", SUMIFS(node!$L$2:$L$1000, node!$C$2:$C$1000,"="&amp;A74), "")</f>
        <v/>
      </c>
      <c r="AE74" s="87" t="str">
        <f>IF(A74&lt;&gt;"", SUMIFS(node!$M$2:$M$1000, node!$C$2:$C$1000,"="&amp;A74), "")</f>
        <v/>
      </c>
    </row>
    <row r="75" spans="1:31" ht="15.75" customHeight="1" x14ac:dyDescent="0.25">
      <c r="A75" s="71" t="str">
        <f>IF(ISNONTEXT(node_raw[[#This Row],[Column2]]), "", node_raw[[#This Row],[Column2]])</f>
        <v/>
      </c>
      <c r="B75" s="108" t="str">
        <f>IF(A75&lt;&gt;"", VLOOKUP(A75, node!$C$2:$D$1000, 2, FALSE), "")</f>
        <v/>
      </c>
      <c r="C75" s="109" t="str">
        <f>IF(A75&lt;&gt;"", VLOOKUP(A75, node!$C$2:$E$1000, 3, FALSE), "")</f>
        <v/>
      </c>
      <c r="D75" s="110" t="str">
        <f>IF(A75&lt;&gt;"",COUNTIFS(node!$C$2:$C$1000,"="&amp;A75, node!$C$2:$C$1000,"&lt;&gt;"&amp;""),"")</f>
        <v/>
      </c>
      <c r="E75" s="111" t="str">
        <f>IF(A75&lt;&gt;"",SUMIFS(node!$F$2:$F$500, node!$C$2:$C$500,"="&amp;A75, node!$C$2:$C$500,"&lt;&gt;"&amp;"")/(B75*D75),"")</f>
        <v/>
      </c>
      <c r="F75" s="112" t="str">
        <f>IF(A75&lt;&gt;"",SUMIFS(node!$H$2:$H$500, node!$C$2:$C$500,"="&amp;A75, node!$C$2:$C$500,"&lt;&gt;"&amp;"")/(C75*D75),"")</f>
        <v/>
      </c>
      <c r="G75" s="179" t="str">
        <f>IF(A75&lt;&gt;"",SUMIFS(deployment!$F$4:$F$502, deployment!$D$4:$D$502,"="&amp;A75, deployment!$D$4:$D$502,"&lt;&gt;"&amp;""),"")</f>
        <v/>
      </c>
      <c r="H75" s="181" t="str">
        <f>IF(A75&lt;&gt;"",SUMIFS(deployment!$G$4:$G$502, deployment!$D$4:$D$502,"="&amp;A75, deployment!$D$4:$D$502,"&lt;&gt;"&amp;""),"")</f>
        <v/>
      </c>
      <c r="I75" s="113" t="str">
        <f>IF(A75&lt;&gt;"",SUMIFS(deployment!$H$4:$H$502, deployment!$D$4:$D$502,"="&amp;A75, deployment!$D$4:$D$502,"&lt;&gt;"&amp;""),"")</f>
        <v/>
      </c>
      <c r="J75" s="114" t="str">
        <f>IF(A75&lt;&gt;"",SUMIFS(deployment!$I$4:$I$502, deployment!$D$4:$D$502,"="&amp;A75, deployment!$D$4:$D$502,"&lt;&gt;"&amp;""),"")</f>
        <v/>
      </c>
      <c r="K75" s="182" t="str">
        <f>IF(A75&lt;&gt;"",SUMIFS(deployment!$J$4:$J$1002, deployment!$D$4:$D$1002,"="&amp;A75, deployment!$D$4:$D$1002,"&lt;&gt;"&amp;"", deployment!$C$4:$C$1002, "&lt;&gt;* )")+SUMIFS(namespace!$G$4:$G$1002, namespace!$B$4:$B$1002,"="&amp;A75, namespace!$B$4:$B$1002,"&lt;&gt;"&amp;""),"")</f>
        <v/>
      </c>
      <c r="L75" s="182" t="str">
        <f>IF(A75&lt;&gt;"",SUMIFS(deployment!$K$4:$K$1002, deployment!$D$4:$D$1002,"="&amp;A75, deployment!$D$4:$D$1002,"&lt;&gt;"&amp;"", deployment!$C$4:$C$1002, "&lt;&gt;* )")+SUMIFS(namespace!$H$4:$H$1002, namespace!$B$4:$B$1002,"="&amp;A75, namespace!$B$4:$B$1002,"&lt;&gt;"&amp;""),"")</f>
        <v/>
      </c>
      <c r="M75" s="115" t="str">
        <f>IF(A75&lt;&gt;"",SUMIFS(deployment!$L$4:$L$1002, deployment!$D$4:$D$1002,"="&amp;A75, deployment!$D$4:$D$1002,"&lt;&gt;"&amp;"", deployment!$C$4:$C$1002, "&lt;&gt;* )")+SUMIFS(namespace!$I$4:$I$1002, namespace!$B$4:$B$1002,"="&amp;A75, namespace!$B$4:$B$1002,"&lt;&gt;"&amp;""),"")</f>
        <v/>
      </c>
      <c r="N75" s="115" t="str">
        <f>IF(A75&lt;&gt;"",SUMIFS(deployment!$M$4:$M$1002, deployment!$D$4:$D$1002,"="&amp;A75, deployment!$D$4:$D$1002,"&lt;&gt;"&amp;"", deployment!$C$4:$C$1002, "&lt;&gt;* )")+SUMIFS(namespace!$J$4:$J$1002, namespace!$B$4:$B$1002,"="&amp;A75, namespace!$B$4:$B$1002,"&lt;&gt;"&amp;""),"")</f>
        <v/>
      </c>
      <c r="O75" s="116" t="str">
        <f t="shared" si="19"/>
        <v/>
      </c>
      <c r="P75" s="63"/>
      <c r="Q75" s="164" t="str">
        <f t="shared" si="14"/>
        <v/>
      </c>
      <c r="R75" s="60" t="str">
        <f t="shared" si="15"/>
        <v/>
      </c>
      <c r="S75" s="60" t="str">
        <f t="shared" si="16"/>
        <v/>
      </c>
      <c r="T75" s="61" t="str">
        <f t="shared" si="17"/>
        <v/>
      </c>
      <c r="U75" s="61" t="str">
        <f t="shared" si="18"/>
        <v/>
      </c>
      <c r="V75" s="183" t="str">
        <f t="shared" si="20"/>
        <v/>
      </c>
      <c r="W75" s="183" t="str">
        <f t="shared" si="21"/>
        <v/>
      </c>
      <c r="X75" s="61" t="str">
        <f t="shared" si="22"/>
        <v/>
      </c>
      <c r="Y75" s="61" t="str">
        <f t="shared" si="23"/>
        <v/>
      </c>
      <c r="Z75" s="118" t="str">
        <f t="shared" si="24"/>
        <v/>
      </c>
      <c r="AA75" s="62" t="str">
        <f t="shared" si="25"/>
        <v/>
      </c>
      <c r="AB75" s="119" t="str">
        <f>IF(A75&lt;&gt;"", IF(P75&lt;&gt;0,SUMIFS(node!$J$2:$J$1000, node!$C$2:$C$1000,"="&amp;A75)/P75,0), "")</f>
        <v/>
      </c>
      <c r="AC75" s="81" t="str">
        <f>IF(A75&lt;&gt;"", IF(P75&lt;&gt;0,SUMIFS(node!$K$2:$K$1000, node!$C$2:$C$1000,"="&amp;A75)/P75,0), "")</f>
        <v/>
      </c>
      <c r="AD75" s="82" t="str">
        <f>IF(A75&lt;&gt;"", SUMIFS(node!$L$2:$L$1000, node!$C$2:$C$1000,"="&amp;A75), "")</f>
        <v/>
      </c>
      <c r="AE75" s="87" t="str">
        <f>IF(A75&lt;&gt;"", SUMIFS(node!$M$2:$M$1000, node!$C$2:$C$1000,"="&amp;A75), "")</f>
        <v/>
      </c>
    </row>
    <row r="76" spans="1:31" ht="15.75" customHeight="1" x14ac:dyDescent="0.25">
      <c r="A76" s="71" t="str">
        <f>IF(ISNONTEXT(node_raw[[#This Row],[Column2]]), "", node_raw[[#This Row],[Column2]])</f>
        <v/>
      </c>
      <c r="B76" s="108" t="str">
        <f>IF(A76&lt;&gt;"", VLOOKUP(A76, node!$C$2:$D$1000, 2, FALSE), "")</f>
        <v/>
      </c>
      <c r="C76" s="109" t="str">
        <f>IF(A76&lt;&gt;"", VLOOKUP(A76, node!$C$2:$E$1000, 3, FALSE), "")</f>
        <v/>
      </c>
      <c r="D76" s="110" t="str">
        <f>IF(A76&lt;&gt;"",COUNTIFS(node!$C$2:$C$1000,"="&amp;A76, node!$C$2:$C$1000,"&lt;&gt;"&amp;""),"")</f>
        <v/>
      </c>
      <c r="E76" s="111" t="str">
        <f>IF(A76&lt;&gt;"",SUMIFS(node!$F$2:$F$500, node!$C$2:$C$500,"="&amp;A76, node!$C$2:$C$500,"&lt;&gt;"&amp;"")/(B76*D76),"")</f>
        <v/>
      </c>
      <c r="F76" s="112" t="str">
        <f>IF(A76&lt;&gt;"",SUMIFS(node!$H$2:$H$500, node!$C$2:$C$500,"="&amp;A76, node!$C$2:$C$500,"&lt;&gt;"&amp;"")/(C76*D76),"")</f>
        <v/>
      </c>
      <c r="G76" s="179" t="str">
        <f>IF(A76&lt;&gt;"",SUMIFS(deployment!$F$4:$F$502, deployment!$D$4:$D$502,"="&amp;A76, deployment!$D$4:$D$502,"&lt;&gt;"&amp;""),"")</f>
        <v/>
      </c>
      <c r="H76" s="181" t="str">
        <f>IF(A76&lt;&gt;"",SUMIFS(deployment!$G$4:$G$502, deployment!$D$4:$D$502,"="&amp;A76, deployment!$D$4:$D$502,"&lt;&gt;"&amp;""),"")</f>
        <v/>
      </c>
      <c r="I76" s="113" t="str">
        <f>IF(A76&lt;&gt;"",SUMIFS(deployment!$H$4:$H$502, deployment!$D$4:$D$502,"="&amp;A76, deployment!$D$4:$D$502,"&lt;&gt;"&amp;""),"")</f>
        <v/>
      </c>
      <c r="J76" s="114" t="str">
        <f>IF(A76&lt;&gt;"",SUMIFS(deployment!$I$4:$I$502, deployment!$D$4:$D$502,"="&amp;A76, deployment!$D$4:$D$502,"&lt;&gt;"&amp;""),"")</f>
        <v/>
      </c>
      <c r="K76" s="182" t="str">
        <f>IF(A76&lt;&gt;"",SUMIFS(deployment!$J$4:$J$1002, deployment!$D$4:$D$1002,"="&amp;A76, deployment!$D$4:$D$1002,"&lt;&gt;"&amp;"", deployment!$C$4:$C$1002, "&lt;&gt;* )")+SUMIFS(namespace!$G$4:$G$1002, namespace!$B$4:$B$1002,"="&amp;A76, namespace!$B$4:$B$1002,"&lt;&gt;"&amp;""),"")</f>
        <v/>
      </c>
      <c r="L76" s="182" t="str">
        <f>IF(A76&lt;&gt;"",SUMIFS(deployment!$K$4:$K$1002, deployment!$D$4:$D$1002,"="&amp;A76, deployment!$D$4:$D$1002,"&lt;&gt;"&amp;"", deployment!$C$4:$C$1002, "&lt;&gt;* )")+SUMIFS(namespace!$H$4:$H$1002, namespace!$B$4:$B$1002,"="&amp;A76, namespace!$B$4:$B$1002,"&lt;&gt;"&amp;""),"")</f>
        <v/>
      </c>
      <c r="M76" s="115" t="str">
        <f>IF(A76&lt;&gt;"",SUMIFS(deployment!$L$4:$L$1002, deployment!$D$4:$D$1002,"="&amp;A76, deployment!$D$4:$D$1002,"&lt;&gt;"&amp;"", deployment!$C$4:$C$1002, "&lt;&gt;* )")+SUMIFS(namespace!$I$4:$I$1002, namespace!$B$4:$B$1002,"="&amp;A76, namespace!$B$4:$B$1002,"&lt;&gt;"&amp;""),"")</f>
        <v/>
      </c>
      <c r="N76" s="115" t="str">
        <f>IF(A76&lt;&gt;"",SUMIFS(deployment!$M$4:$M$1002, deployment!$D$4:$D$1002,"="&amp;A76, deployment!$D$4:$D$1002,"&lt;&gt;"&amp;"", deployment!$C$4:$C$1002, "&lt;&gt;* )")+SUMIFS(namespace!$J$4:$J$1002, namespace!$B$4:$B$1002,"="&amp;A76, namespace!$B$4:$B$1002,"&lt;&gt;"&amp;""),"")</f>
        <v/>
      </c>
      <c r="O76" s="116" t="str">
        <f t="shared" si="19"/>
        <v/>
      </c>
      <c r="P76" s="63"/>
      <c r="Q76" s="164" t="str">
        <f t="shared" si="14"/>
        <v/>
      </c>
      <c r="R76" s="60" t="str">
        <f t="shared" si="15"/>
        <v/>
      </c>
      <c r="S76" s="60" t="str">
        <f t="shared" si="16"/>
        <v/>
      </c>
      <c r="T76" s="61" t="str">
        <f t="shared" si="17"/>
        <v/>
      </c>
      <c r="U76" s="61" t="str">
        <f t="shared" si="18"/>
        <v/>
      </c>
      <c r="V76" s="183" t="str">
        <f t="shared" si="20"/>
        <v/>
      </c>
      <c r="W76" s="183" t="str">
        <f t="shared" si="21"/>
        <v/>
      </c>
      <c r="X76" s="61" t="str">
        <f t="shared" si="22"/>
        <v/>
      </c>
      <c r="Y76" s="61" t="str">
        <f t="shared" si="23"/>
        <v/>
      </c>
      <c r="Z76" s="118" t="str">
        <f t="shared" si="24"/>
        <v/>
      </c>
      <c r="AA76" s="62" t="str">
        <f t="shared" si="25"/>
        <v/>
      </c>
      <c r="AB76" s="119" t="str">
        <f>IF(A76&lt;&gt;"", IF(P76&lt;&gt;0,SUMIFS(node!$J$2:$J$1000, node!$C$2:$C$1000,"="&amp;A76)/P76,0), "")</f>
        <v/>
      </c>
      <c r="AC76" s="81" t="str">
        <f>IF(A76&lt;&gt;"", IF(P76&lt;&gt;0,SUMIFS(node!$K$2:$K$1000, node!$C$2:$C$1000,"="&amp;A76)/P76,0), "")</f>
        <v/>
      </c>
      <c r="AD76" s="82" t="str">
        <f>IF(A76&lt;&gt;"", SUMIFS(node!$L$2:$L$1000, node!$C$2:$C$1000,"="&amp;A76), "")</f>
        <v/>
      </c>
      <c r="AE76" s="87" t="str">
        <f>IF(A76&lt;&gt;"", SUMIFS(node!$M$2:$M$1000, node!$C$2:$C$1000,"="&amp;A76), "")</f>
        <v/>
      </c>
    </row>
    <row r="77" spans="1:31" ht="15.75" customHeight="1" x14ac:dyDescent="0.25">
      <c r="A77" s="71" t="str">
        <f>IF(ISNONTEXT(node_raw[[#This Row],[Column2]]), "", node_raw[[#This Row],[Column2]])</f>
        <v/>
      </c>
      <c r="B77" s="108" t="str">
        <f>IF(A77&lt;&gt;"", VLOOKUP(A77, node!$C$2:$D$1000, 2, FALSE), "")</f>
        <v/>
      </c>
      <c r="C77" s="109" t="str">
        <f>IF(A77&lt;&gt;"", VLOOKUP(A77, node!$C$2:$E$1000, 3, FALSE), "")</f>
        <v/>
      </c>
      <c r="D77" s="110" t="str">
        <f>IF(A77&lt;&gt;"",COUNTIFS(node!$C$2:$C$1000,"="&amp;A77, node!$C$2:$C$1000,"&lt;&gt;"&amp;""),"")</f>
        <v/>
      </c>
      <c r="E77" s="111" t="str">
        <f>IF(A77&lt;&gt;"",SUMIFS(node!$F$2:$F$500, node!$C$2:$C$500,"="&amp;A77, node!$C$2:$C$500,"&lt;&gt;"&amp;"")/(B77*D77),"")</f>
        <v/>
      </c>
      <c r="F77" s="112" t="str">
        <f>IF(A77&lt;&gt;"",SUMIFS(node!$H$2:$H$500, node!$C$2:$C$500,"="&amp;A77, node!$C$2:$C$500,"&lt;&gt;"&amp;"")/(C77*D77),"")</f>
        <v/>
      </c>
      <c r="G77" s="179" t="str">
        <f>IF(A77&lt;&gt;"",SUMIFS(deployment!$F$4:$F$502, deployment!$D$4:$D$502,"="&amp;A77, deployment!$D$4:$D$502,"&lt;&gt;"&amp;""),"")</f>
        <v/>
      </c>
      <c r="H77" s="181" t="str">
        <f>IF(A77&lt;&gt;"",SUMIFS(deployment!$G$4:$G$502, deployment!$D$4:$D$502,"="&amp;A77, deployment!$D$4:$D$502,"&lt;&gt;"&amp;""),"")</f>
        <v/>
      </c>
      <c r="I77" s="113" t="str">
        <f>IF(A77&lt;&gt;"",SUMIFS(deployment!$H$4:$H$502, deployment!$D$4:$D$502,"="&amp;A77, deployment!$D$4:$D$502,"&lt;&gt;"&amp;""),"")</f>
        <v/>
      </c>
      <c r="J77" s="114" t="str">
        <f>IF(A77&lt;&gt;"",SUMIFS(deployment!$I$4:$I$502, deployment!$D$4:$D$502,"="&amp;A77, deployment!$D$4:$D$502,"&lt;&gt;"&amp;""),"")</f>
        <v/>
      </c>
      <c r="K77" s="182" t="str">
        <f>IF(A77&lt;&gt;"",SUMIFS(deployment!$J$4:$J$1002, deployment!$D$4:$D$1002,"="&amp;A77, deployment!$D$4:$D$1002,"&lt;&gt;"&amp;"", deployment!$C$4:$C$1002, "&lt;&gt;* )")+SUMIFS(namespace!$G$4:$G$1002, namespace!$B$4:$B$1002,"="&amp;A77, namespace!$B$4:$B$1002,"&lt;&gt;"&amp;""),"")</f>
        <v/>
      </c>
      <c r="L77" s="182" t="str">
        <f>IF(A77&lt;&gt;"",SUMIFS(deployment!$K$4:$K$1002, deployment!$D$4:$D$1002,"="&amp;A77, deployment!$D$4:$D$1002,"&lt;&gt;"&amp;"", deployment!$C$4:$C$1002, "&lt;&gt;* )")+SUMIFS(namespace!$H$4:$H$1002, namespace!$B$4:$B$1002,"="&amp;A77, namespace!$B$4:$B$1002,"&lt;&gt;"&amp;""),"")</f>
        <v/>
      </c>
      <c r="M77" s="115" t="str">
        <f>IF(A77&lt;&gt;"",SUMIFS(deployment!$L$4:$L$1002, deployment!$D$4:$D$1002,"="&amp;A77, deployment!$D$4:$D$1002,"&lt;&gt;"&amp;"", deployment!$C$4:$C$1002, "&lt;&gt;* )")+SUMIFS(namespace!$I$4:$I$1002, namespace!$B$4:$B$1002,"="&amp;A77, namespace!$B$4:$B$1002,"&lt;&gt;"&amp;""),"")</f>
        <v/>
      </c>
      <c r="N77" s="115" t="str">
        <f>IF(A77&lt;&gt;"",SUMIFS(deployment!$M$4:$M$1002, deployment!$D$4:$D$1002,"="&amp;A77, deployment!$D$4:$D$1002,"&lt;&gt;"&amp;"", deployment!$C$4:$C$1002, "&lt;&gt;* )")+SUMIFS(namespace!$J$4:$J$1002, namespace!$B$4:$B$1002,"="&amp;A77, namespace!$B$4:$B$1002,"&lt;&gt;"&amp;""),"")</f>
        <v/>
      </c>
      <c r="O77" s="116" t="str">
        <f t="shared" si="19"/>
        <v/>
      </c>
      <c r="P77" s="63"/>
      <c r="Q77" s="164" t="str">
        <f t="shared" si="14"/>
        <v/>
      </c>
      <c r="R77" s="60" t="str">
        <f t="shared" si="15"/>
        <v/>
      </c>
      <c r="S77" s="60" t="str">
        <f t="shared" si="16"/>
        <v/>
      </c>
      <c r="T77" s="61" t="str">
        <f t="shared" si="17"/>
        <v/>
      </c>
      <c r="U77" s="61" t="str">
        <f t="shared" si="18"/>
        <v/>
      </c>
      <c r="V77" s="183" t="str">
        <f t="shared" si="20"/>
        <v/>
      </c>
      <c r="W77" s="183" t="str">
        <f t="shared" si="21"/>
        <v/>
      </c>
      <c r="X77" s="61" t="str">
        <f t="shared" si="22"/>
        <v/>
      </c>
      <c r="Y77" s="61" t="str">
        <f t="shared" si="23"/>
        <v/>
      </c>
      <c r="Z77" s="118" t="str">
        <f t="shared" si="24"/>
        <v/>
      </c>
      <c r="AA77" s="62" t="str">
        <f t="shared" si="25"/>
        <v/>
      </c>
      <c r="AB77" s="119" t="str">
        <f>IF(A77&lt;&gt;"", IF(P77&lt;&gt;0,SUMIFS(node!$J$2:$J$1000, node!$C$2:$C$1000,"="&amp;A77)/P77,0), "")</f>
        <v/>
      </c>
      <c r="AC77" s="81" t="str">
        <f>IF(A77&lt;&gt;"", IF(P77&lt;&gt;0,SUMIFS(node!$K$2:$K$1000, node!$C$2:$C$1000,"="&amp;A77)/P77,0), "")</f>
        <v/>
      </c>
      <c r="AD77" s="82" t="str">
        <f>IF(A77&lt;&gt;"", SUMIFS(node!$L$2:$L$1000, node!$C$2:$C$1000,"="&amp;A77), "")</f>
        <v/>
      </c>
      <c r="AE77" s="87" t="str">
        <f>IF(A77&lt;&gt;"", SUMIFS(node!$M$2:$M$1000, node!$C$2:$C$1000,"="&amp;A77), "")</f>
        <v/>
      </c>
    </row>
    <row r="78" spans="1:31" ht="15.75" customHeight="1" x14ac:dyDescent="0.25">
      <c r="A78" s="71" t="str">
        <f>IF(ISNONTEXT(node_raw[[#This Row],[Column2]]), "", node_raw[[#This Row],[Column2]])</f>
        <v/>
      </c>
      <c r="B78" s="108" t="str">
        <f>IF(A78&lt;&gt;"", VLOOKUP(A78, node!$C$2:$D$1000, 2, FALSE), "")</f>
        <v/>
      </c>
      <c r="C78" s="109" t="str">
        <f>IF(A78&lt;&gt;"", VLOOKUP(A78, node!$C$2:$E$1000, 3, FALSE), "")</f>
        <v/>
      </c>
      <c r="D78" s="110" t="str">
        <f>IF(A78&lt;&gt;"",COUNTIFS(node!$C$2:$C$1000,"="&amp;A78, node!$C$2:$C$1000,"&lt;&gt;"&amp;""),"")</f>
        <v/>
      </c>
      <c r="E78" s="111" t="str">
        <f>IF(A78&lt;&gt;"",SUMIFS(node!$F$2:$F$500, node!$C$2:$C$500,"="&amp;A78, node!$C$2:$C$500,"&lt;&gt;"&amp;"")/(B78*D78),"")</f>
        <v/>
      </c>
      <c r="F78" s="112" t="str">
        <f>IF(A78&lt;&gt;"",SUMIFS(node!$H$2:$H$500, node!$C$2:$C$500,"="&amp;A78, node!$C$2:$C$500,"&lt;&gt;"&amp;"")/(C78*D78),"")</f>
        <v/>
      </c>
      <c r="G78" s="179" t="str">
        <f>IF(A78&lt;&gt;"",SUMIFS(deployment!$F$4:$F$502, deployment!$D$4:$D$502,"="&amp;A78, deployment!$D$4:$D$502,"&lt;&gt;"&amp;""),"")</f>
        <v/>
      </c>
      <c r="H78" s="181" t="str">
        <f>IF(A78&lt;&gt;"",SUMIFS(deployment!$G$4:$G$502, deployment!$D$4:$D$502,"="&amp;A78, deployment!$D$4:$D$502,"&lt;&gt;"&amp;""),"")</f>
        <v/>
      </c>
      <c r="I78" s="113" t="str">
        <f>IF(A78&lt;&gt;"",SUMIFS(deployment!$H$4:$H$502, deployment!$D$4:$D$502,"="&amp;A78, deployment!$D$4:$D$502,"&lt;&gt;"&amp;""),"")</f>
        <v/>
      </c>
      <c r="J78" s="114" t="str">
        <f>IF(A78&lt;&gt;"",SUMIFS(deployment!$I$4:$I$502, deployment!$D$4:$D$502,"="&amp;A78, deployment!$D$4:$D$502,"&lt;&gt;"&amp;""),"")</f>
        <v/>
      </c>
      <c r="K78" s="182" t="str">
        <f>IF(A78&lt;&gt;"",SUMIFS(deployment!$J$4:$J$1002, deployment!$D$4:$D$1002,"="&amp;A78, deployment!$D$4:$D$1002,"&lt;&gt;"&amp;"", deployment!$C$4:$C$1002, "&lt;&gt;* )")+SUMIFS(namespace!$G$4:$G$1002, namespace!$B$4:$B$1002,"="&amp;A78, namespace!$B$4:$B$1002,"&lt;&gt;"&amp;""),"")</f>
        <v/>
      </c>
      <c r="L78" s="182" t="str">
        <f>IF(A78&lt;&gt;"",SUMIFS(deployment!$K$4:$K$1002, deployment!$D$4:$D$1002,"="&amp;A78, deployment!$D$4:$D$1002,"&lt;&gt;"&amp;"", deployment!$C$4:$C$1002, "&lt;&gt;* )")+SUMIFS(namespace!$H$4:$H$1002, namespace!$B$4:$B$1002,"="&amp;A78, namespace!$B$4:$B$1002,"&lt;&gt;"&amp;""),"")</f>
        <v/>
      </c>
      <c r="M78" s="115" t="str">
        <f>IF(A78&lt;&gt;"",SUMIFS(deployment!$L$4:$L$1002, deployment!$D$4:$D$1002,"="&amp;A78, deployment!$D$4:$D$1002,"&lt;&gt;"&amp;"", deployment!$C$4:$C$1002, "&lt;&gt;* )")+SUMIFS(namespace!$I$4:$I$1002, namespace!$B$4:$B$1002,"="&amp;A78, namespace!$B$4:$B$1002,"&lt;&gt;"&amp;""),"")</f>
        <v/>
      </c>
      <c r="N78" s="115" t="str">
        <f>IF(A78&lt;&gt;"",SUMIFS(deployment!$M$4:$M$1002, deployment!$D$4:$D$1002,"="&amp;A78, deployment!$D$4:$D$1002,"&lt;&gt;"&amp;"", deployment!$C$4:$C$1002, "&lt;&gt;* )")+SUMIFS(namespace!$J$4:$J$1002, namespace!$B$4:$B$1002,"="&amp;A78, namespace!$B$4:$B$1002,"&lt;&gt;"&amp;""),"")</f>
        <v/>
      </c>
      <c r="O78" s="116" t="str">
        <f t="shared" si="19"/>
        <v/>
      </c>
      <c r="P78" s="63"/>
      <c r="Q78" s="164" t="str">
        <f t="shared" si="14"/>
        <v/>
      </c>
      <c r="R78" s="60" t="str">
        <f t="shared" si="15"/>
        <v/>
      </c>
      <c r="S78" s="60" t="str">
        <f t="shared" si="16"/>
        <v/>
      </c>
      <c r="T78" s="61" t="str">
        <f t="shared" si="17"/>
        <v/>
      </c>
      <c r="U78" s="61" t="str">
        <f t="shared" si="18"/>
        <v/>
      </c>
      <c r="V78" s="183" t="str">
        <f t="shared" si="20"/>
        <v/>
      </c>
      <c r="W78" s="183" t="str">
        <f t="shared" si="21"/>
        <v/>
      </c>
      <c r="X78" s="61" t="str">
        <f t="shared" si="22"/>
        <v/>
      </c>
      <c r="Y78" s="61" t="str">
        <f t="shared" si="23"/>
        <v/>
      </c>
      <c r="Z78" s="118" t="str">
        <f t="shared" si="24"/>
        <v/>
      </c>
      <c r="AA78" s="62" t="str">
        <f t="shared" si="25"/>
        <v/>
      </c>
      <c r="AB78" s="119" t="str">
        <f>IF(A78&lt;&gt;"", IF(P78&lt;&gt;0,SUMIFS(node!$J$2:$J$1000, node!$C$2:$C$1000,"="&amp;A78)/P78,0), "")</f>
        <v/>
      </c>
      <c r="AC78" s="81" t="str">
        <f>IF(A78&lt;&gt;"", IF(P78&lt;&gt;0,SUMIFS(node!$K$2:$K$1000, node!$C$2:$C$1000,"="&amp;A78)/P78,0), "")</f>
        <v/>
      </c>
      <c r="AD78" s="82" t="str">
        <f>IF(A78&lt;&gt;"", SUMIFS(node!$L$2:$L$1000, node!$C$2:$C$1000,"="&amp;A78), "")</f>
        <v/>
      </c>
      <c r="AE78" s="87" t="str">
        <f>IF(A78&lt;&gt;"", SUMIFS(node!$M$2:$M$1000, node!$C$2:$C$1000,"="&amp;A78), "")</f>
        <v/>
      </c>
    </row>
    <row r="79" spans="1:31" ht="15.75" customHeight="1" x14ac:dyDescent="0.25">
      <c r="A79" s="71" t="str">
        <f>IF(ISNONTEXT(node_raw[[#This Row],[Column2]]), "", node_raw[[#This Row],[Column2]])</f>
        <v/>
      </c>
      <c r="B79" s="108" t="str">
        <f>IF(A79&lt;&gt;"", VLOOKUP(A79, node!$C$2:$D$1000, 2, FALSE), "")</f>
        <v/>
      </c>
      <c r="C79" s="109" t="str">
        <f>IF(A79&lt;&gt;"", VLOOKUP(A79, node!$C$2:$E$1000, 3, FALSE), "")</f>
        <v/>
      </c>
      <c r="D79" s="110" t="str">
        <f>IF(A79&lt;&gt;"",COUNTIFS(node!$C$2:$C$1000,"="&amp;A79, node!$C$2:$C$1000,"&lt;&gt;"&amp;""),"")</f>
        <v/>
      </c>
      <c r="E79" s="111" t="str">
        <f>IF(A79&lt;&gt;"",SUMIFS(node!$F$2:$F$500, node!$C$2:$C$500,"="&amp;A79, node!$C$2:$C$500,"&lt;&gt;"&amp;"")/(B79*D79),"")</f>
        <v/>
      </c>
      <c r="F79" s="112" t="str">
        <f>IF(A79&lt;&gt;"",SUMIFS(node!$H$2:$H$500, node!$C$2:$C$500,"="&amp;A79, node!$C$2:$C$500,"&lt;&gt;"&amp;"")/(C79*D79),"")</f>
        <v/>
      </c>
      <c r="G79" s="179" t="str">
        <f>IF(A79&lt;&gt;"",SUMIFS(deployment!$F$4:$F$502, deployment!$D$4:$D$502,"="&amp;A79, deployment!$D$4:$D$502,"&lt;&gt;"&amp;""),"")</f>
        <v/>
      </c>
      <c r="H79" s="181" t="str">
        <f>IF(A79&lt;&gt;"",SUMIFS(deployment!$G$4:$G$502, deployment!$D$4:$D$502,"="&amp;A79, deployment!$D$4:$D$502,"&lt;&gt;"&amp;""),"")</f>
        <v/>
      </c>
      <c r="I79" s="113" t="str">
        <f>IF(A79&lt;&gt;"",SUMIFS(deployment!$H$4:$H$502, deployment!$D$4:$D$502,"="&amp;A79, deployment!$D$4:$D$502,"&lt;&gt;"&amp;""),"")</f>
        <v/>
      </c>
      <c r="J79" s="114" t="str">
        <f>IF(A79&lt;&gt;"",SUMIFS(deployment!$I$4:$I$502, deployment!$D$4:$D$502,"="&amp;A79, deployment!$D$4:$D$502,"&lt;&gt;"&amp;""),"")</f>
        <v/>
      </c>
      <c r="K79" s="182" t="str">
        <f>IF(A79&lt;&gt;"",SUMIFS(deployment!$J$4:$J$1002, deployment!$D$4:$D$1002,"="&amp;A79, deployment!$D$4:$D$1002,"&lt;&gt;"&amp;"", deployment!$C$4:$C$1002, "&lt;&gt;* )")+SUMIFS(namespace!$G$4:$G$1002, namespace!$B$4:$B$1002,"="&amp;A79, namespace!$B$4:$B$1002,"&lt;&gt;"&amp;""),"")</f>
        <v/>
      </c>
      <c r="L79" s="182" t="str">
        <f>IF(A79&lt;&gt;"",SUMIFS(deployment!$K$4:$K$1002, deployment!$D$4:$D$1002,"="&amp;A79, deployment!$D$4:$D$1002,"&lt;&gt;"&amp;"", deployment!$C$4:$C$1002, "&lt;&gt;* )")+SUMIFS(namespace!$H$4:$H$1002, namespace!$B$4:$B$1002,"="&amp;A79, namespace!$B$4:$B$1002,"&lt;&gt;"&amp;""),"")</f>
        <v/>
      </c>
      <c r="M79" s="115" t="str">
        <f>IF(A79&lt;&gt;"",SUMIFS(deployment!$L$4:$L$1002, deployment!$D$4:$D$1002,"="&amp;A79, deployment!$D$4:$D$1002,"&lt;&gt;"&amp;"", deployment!$C$4:$C$1002, "&lt;&gt;* )")+SUMIFS(namespace!$I$4:$I$1002, namespace!$B$4:$B$1002,"="&amp;A79, namespace!$B$4:$B$1002,"&lt;&gt;"&amp;""),"")</f>
        <v/>
      </c>
      <c r="N79" s="115" t="str">
        <f>IF(A79&lt;&gt;"",SUMIFS(deployment!$M$4:$M$1002, deployment!$D$4:$D$1002,"="&amp;A79, deployment!$D$4:$D$1002,"&lt;&gt;"&amp;"", deployment!$C$4:$C$1002, "&lt;&gt;* )")+SUMIFS(namespace!$J$4:$J$1002, namespace!$B$4:$B$1002,"="&amp;A79, namespace!$B$4:$B$1002,"&lt;&gt;"&amp;""),"")</f>
        <v/>
      </c>
      <c r="O79" s="116" t="str">
        <f t="shared" si="19"/>
        <v/>
      </c>
      <c r="P79" s="63"/>
      <c r="Q79" s="164" t="str">
        <f t="shared" si="14"/>
        <v/>
      </c>
      <c r="R79" s="60" t="str">
        <f t="shared" si="15"/>
        <v/>
      </c>
      <c r="S79" s="60" t="str">
        <f t="shared" si="16"/>
        <v/>
      </c>
      <c r="T79" s="61" t="str">
        <f t="shared" si="17"/>
        <v/>
      </c>
      <c r="U79" s="61" t="str">
        <f t="shared" si="18"/>
        <v/>
      </c>
      <c r="V79" s="183" t="str">
        <f t="shared" si="20"/>
        <v/>
      </c>
      <c r="W79" s="183" t="str">
        <f t="shared" si="21"/>
        <v/>
      </c>
      <c r="X79" s="61" t="str">
        <f t="shared" si="22"/>
        <v/>
      </c>
      <c r="Y79" s="61" t="str">
        <f t="shared" si="23"/>
        <v/>
      </c>
      <c r="Z79" s="118" t="str">
        <f t="shared" si="24"/>
        <v/>
      </c>
      <c r="AA79" s="62" t="str">
        <f t="shared" si="25"/>
        <v/>
      </c>
      <c r="AB79" s="119" t="str">
        <f>IF(A79&lt;&gt;"", IF(P79&lt;&gt;0,SUMIFS(node!$J$2:$J$1000, node!$C$2:$C$1000,"="&amp;A79)/P79,0), "")</f>
        <v/>
      </c>
      <c r="AC79" s="81" t="str">
        <f>IF(A79&lt;&gt;"", IF(P79&lt;&gt;0,SUMIFS(node!$K$2:$K$1000, node!$C$2:$C$1000,"="&amp;A79)/P79,0), "")</f>
        <v/>
      </c>
      <c r="AD79" s="82" t="str">
        <f>IF(A79&lt;&gt;"", SUMIFS(node!$L$2:$L$1000, node!$C$2:$C$1000,"="&amp;A79), "")</f>
        <v/>
      </c>
      <c r="AE79" s="87" t="str">
        <f>IF(A79&lt;&gt;"", SUMIFS(node!$M$2:$M$1000, node!$C$2:$C$1000,"="&amp;A79), "")</f>
        <v/>
      </c>
    </row>
    <row r="80" spans="1:31" ht="15.75" customHeight="1" x14ac:dyDescent="0.25">
      <c r="A80" s="71" t="str">
        <f>IF(ISNONTEXT(node_raw[[#This Row],[Column2]]), "", node_raw[[#This Row],[Column2]])</f>
        <v/>
      </c>
      <c r="B80" s="108" t="str">
        <f>IF(A80&lt;&gt;"", VLOOKUP(A80, node!$C$2:$D$1000, 2, FALSE), "")</f>
        <v/>
      </c>
      <c r="C80" s="109" t="str">
        <f>IF(A80&lt;&gt;"", VLOOKUP(A80, node!$C$2:$E$1000, 3, FALSE), "")</f>
        <v/>
      </c>
      <c r="D80" s="110" t="str">
        <f>IF(A80&lt;&gt;"",COUNTIFS(node!$C$2:$C$1000,"="&amp;A80, node!$C$2:$C$1000,"&lt;&gt;"&amp;""),"")</f>
        <v/>
      </c>
      <c r="E80" s="111" t="str">
        <f>IF(A80&lt;&gt;"",SUMIFS(node!$F$2:$F$500, node!$C$2:$C$500,"="&amp;A80, node!$C$2:$C$500,"&lt;&gt;"&amp;"")/(B80*D80),"")</f>
        <v/>
      </c>
      <c r="F80" s="112" t="str">
        <f>IF(A80&lt;&gt;"",SUMIFS(node!$H$2:$H$500, node!$C$2:$C$500,"="&amp;A80, node!$C$2:$C$500,"&lt;&gt;"&amp;"")/(C80*D80),"")</f>
        <v/>
      </c>
      <c r="G80" s="179" t="str">
        <f>IF(A80&lt;&gt;"",SUMIFS(deployment!$F$4:$F$502, deployment!$D$4:$D$502,"="&amp;A80, deployment!$D$4:$D$502,"&lt;&gt;"&amp;""),"")</f>
        <v/>
      </c>
      <c r="H80" s="181" t="str">
        <f>IF(A80&lt;&gt;"",SUMIFS(deployment!$G$4:$G$502, deployment!$D$4:$D$502,"="&amp;A80, deployment!$D$4:$D$502,"&lt;&gt;"&amp;""),"")</f>
        <v/>
      </c>
      <c r="I80" s="113" t="str">
        <f>IF(A80&lt;&gt;"",SUMIFS(deployment!$H$4:$H$502, deployment!$D$4:$D$502,"="&amp;A80, deployment!$D$4:$D$502,"&lt;&gt;"&amp;""),"")</f>
        <v/>
      </c>
      <c r="J80" s="114" t="str">
        <f>IF(A80&lt;&gt;"",SUMIFS(deployment!$I$4:$I$502, deployment!$D$4:$D$502,"="&amp;A80, deployment!$D$4:$D$502,"&lt;&gt;"&amp;""),"")</f>
        <v/>
      </c>
      <c r="K80" s="182" t="str">
        <f>IF(A80&lt;&gt;"",SUMIFS(deployment!$J$4:$J$1002, deployment!$D$4:$D$1002,"="&amp;A80, deployment!$D$4:$D$1002,"&lt;&gt;"&amp;"", deployment!$C$4:$C$1002, "&lt;&gt;* )")+SUMIFS(namespace!$G$4:$G$1002, namespace!$B$4:$B$1002,"="&amp;A80, namespace!$B$4:$B$1002,"&lt;&gt;"&amp;""),"")</f>
        <v/>
      </c>
      <c r="L80" s="182" t="str">
        <f>IF(A80&lt;&gt;"",SUMIFS(deployment!$K$4:$K$1002, deployment!$D$4:$D$1002,"="&amp;A80, deployment!$D$4:$D$1002,"&lt;&gt;"&amp;"", deployment!$C$4:$C$1002, "&lt;&gt;* )")+SUMIFS(namespace!$H$4:$H$1002, namespace!$B$4:$B$1002,"="&amp;A80, namespace!$B$4:$B$1002,"&lt;&gt;"&amp;""),"")</f>
        <v/>
      </c>
      <c r="M80" s="115" t="str">
        <f>IF(A80&lt;&gt;"",SUMIFS(deployment!$L$4:$L$1002, deployment!$D$4:$D$1002,"="&amp;A80, deployment!$D$4:$D$1002,"&lt;&gt;"&amp;"", deployment!$C$4:$C$1002, "&lt;&gt;* )")+SUMIFS(namespace!$I$4:$I$1002, namespace!$B$4:$B$1002,"="&amp;A80, namespace!$B$4:$B$1002,"&lt;&gt;"&amp;""),"")</f>
        <v/>
      </c>
      <c r="N80" s="115" t="str">
        <f>IF(A80&lt;&gt;"",SUMIFS(deployment!$M$4:$M$1002, deployment!$D$4:$D$1002,"="&amp;A80, deployment!$D$4:$D$1002,"&lt;&gt;"&amp;"", deployment!$C$4:$C$1002, "&lt;&gt;* )")+SUMIFS(namespace!$J$4:$J$1002, namespace!$B$4:$B$1002,"="&amp;A80, namespace!$B$4:$B$1002,"&lt;&gt;"&amp;""),"")</f>
        <v/>
      </c>
      <c r="O80" s="116" t="str">
        <f t="shared" si="19"/>
        <v/>
      </c>
      <c r="P80" s="63"/>
      <c r="Q80" s="164" t="str">
        <f t="shared" si="14"/>
        <v/>
      </c>
      <c r="R80" s="60" t="str">
        <f t="shared" si="15"/>
        <v/>
      </c>
      <c r="S80" s="60" t="str">
        <f t="shared" si="16"/>
        <v/>
      </c>
      <c r="T80" s="61" t="str">
        <f t="shared" si="17"/>
        <v/>
      </c>
      <c r="U80" s="61" t="str">
        <f t="shared" si="18"/>
        <v/>
      </c>
      <c r="V80" s="183" t="str">
        <f t="shared" si="20"/>
        <v/>
      </c>
      <c r="W80" s="183" t="str">
        <f t="shared" si="21"/>
        <v/>
      </c>
      <c r="X80" s="61" t="str">
        <f t="shared" si="22"/>
        <v/>
      </c>
      <c r="Y80" s="61" t="str">
        <f t="shared" si="23"/>
        <v/>
      </c>
      <c r="Z80" s="118" t="str">
        <f t="shared" si="24"/>
        <v/>
      </c>
      <c r="AA80" s="62" t="str">
        <f t="shared" si="25"/>
        <v/>
      </c>
      <c r="AB80" s="119" t="str">
        <f>IF(A80&lt;&gt;"", IF(P80&lt;&gt;0,SUMIFS(node!$J$2:$J$1000, node!$C$2:$C$1000,"="&amp;A80)/P80,0), "")</f>
        <v/>
      </c>
      <c r="AC80" s="81" t="str">
        <f>IF(A80&lt;&gt;"", IF(P80&lt;&gt;0,SUMIFS(node!$K$2:$K$1000, node!$C$2:$C$1000,"="&amp;A80)/P80,0), "")</f>
        <v/>
      </c>
      <c r="AD80" s="82" t="str">
        <f>IF(A80&lt;&gt;"", SUMIFS(node!$L$2:$L$1000, node!$C$2:$C$1000,"="&amp;A80), "")</f>
        <v/>
      </c>
      <c r="AE80" s="87" t="str">
        <f>IF(A80&lt;&gt;"", SUMIFS(node!$M$2:$M$1000, node!$C$2:$C$1000,"="&amp;A80), "")</f>
        <v/>
      </c>
    </row>
    <row r="81" spans="1:31" ht="15.75" customHeight="1" x14ac:dyDescent="0.25">
      <c r="A81" s="71" t="str">
        <f>IF(ISNONTEXT(node_raw[[#This Row],[Column2]]), "", node_raw[[#This Row],[Column2]])</f>
        <v/>
      </c>
      <c r="B81" s="108" t="str">
        <f>IF(A81&lt;&gt;"", VLOOKUP(A81, node!$C$2:$D$1000, 2, FALSE), "")</f>
        <v/>
      </c>
      <c r="C81" s="109" t="str">
        <f>IF(A81&lt;&gt;"", VLOOKUP(A81, node!$C$2:$E$1000, 3, FALSE), "")</f>
        <v/>
      </c>
      <c r="D81" s="110" t="str">
        <f>IF(A81&lt;&gt;"",COUNTIFS(node!$C$2:$C$1000,"="&amp;A81, node!$C$2:$C$1000,"&lt;&gt;"&amp;""),"")</f>
        <v/>
      </c>
      <c r="E81" s="111" t="str">
        <f>IF(A81&lt;&gt;"",SUMIFS(node!$F$2:$F$500, node!$C$2:$C$500,"="&amp;A81, node!$C$2:$C$500,"&lt;&gt;"&amp;"")/(B81*D81),"")</f>
        <v/>
      </c>
      <c r="F81" s="112" t="str">
        <f>IF(A81&lt;&gt;"",SUMIFS(node!$H$2:$H$500, node!$C$2:$C$500,"="&amp;A81, node!$C$2:$C$500,"&lt;&gt;"&amp;"")/(C81*D81),"")</f>
        <v/>
      </c>
      <c r="G81" s="179" t="str">
        <f>IF(A81&lt;&gt;"",SUMIFS(deployment!$F$4:$F$502, deployment!$D$4:$D$502,"="&amp;A81, deployment!$D$4:$D$502,"&lt;&gt;"&amp;""),"")</f>
        <v/>
      </c>
      <c r="H81" s="181" t="str">
        <f>IF(A81&lt;&gt;"",SUMIFS(deployment!$G$4:$G$502, deployment!$D$4:$D$502,"="&amp;A81, deployment!$D$4:$D$502,"&lt;&gt;"&amp;""),"")</f>
        <v/>
      </c>
      <c r="I81" s="113" t="str">
        <f>IF(A81&lt;&gt;"",SUMIFS(deployment!$H$4:$H$502, deployment!$D$4:$D$502,"="&amp;A81, deployment!$D$4:$D$502,"&lt;&gt;"&amp;""),"")</f>
        <v/>
      </c>
      <c r="J81" s="114" t="str">
        <f>IF(A81&lt;&gt;"",SUMIFS(deployment!$I$4:$I$502, deployment!$D$4:$D$502,"="&amp;A81, deployment!$D$4:$D$502,"&lt;&gt;"&amp;""),"")</f>
        <v/>
      </c>
      <c r="K81" s="182" t="str">
        <f>IF(A81&lt;&gt;"",SUMIFS(deployment!$J$4:$J$1002, deployment!$D$4:$D$1002,"="&amp;A81, deployment!$D$4:$D$1002,"&lt;&gt;"&amp;"", deployment!$C$4:$C$1002, "&lt;&gt;* )")+SUMIFS(namespace!$G$4:$G$1002, namespace!$B$4:$B$1002,"="&amp;A81, namespace!$B$4:$B$1002,"&lt;&gt;"&amp;""),"")</f>
        <v/>
      </c>
      <c r="L81" s="182" t="str">
        <f>IF(A81&lt;&gt;"",SUMIFS(deployment!$K$4:$K$1002, deployment!$D$4:$D$1002,"="&amp;A81, deployment!$D$4:$D$1002,"&lt;&gt;"&amp;"", deployment!$C$4:$C$1002, "&lt;&gt;* )")+SUMIFS(namespace!$H$4:$H$1002, namespace!$B$4:$B$1002,"="&amp;A81, namespace!$B$4:$B$1002,"&lt;&gt;"&amp;""),"")</f>
        <v/>
      </c>
      <c r="M81" s="115" t="str">
        <f>IF(A81&lt;&gt;"",SUMIFS(deployment!$L$4:$L$1002, deployment!$D$4:$D$1002,"="&amp;A81, deployment!$D$4:$D$1002,"&lt;&gt;"&amp;"", deployment!$C$4:$C$1002, "&lt;&gt;* )")+SUMIFS(namespace!$I$4:$I$1002, namespace!$B$4:$B$1002,"="&amp;A81, namespace!$B$4:$B$1002,"&lt;&gt;"&amp;""),"")</f>
        <v/>
      </c>
      <c r="N81" s="115" t="str">
        <f>IF(A81&lt;&gt;"",SUMIFS(deployment!$M$4:$M$1002, deployment!$D$4:$D$1002,"="&amp;A81, deployment!$D$4:$D$1002,"&lt;&gt;"&amp;"", deployment!$C$4:$C$1002, "&lt;&gt;* )")+SUMIFS(namespace!$J$4:$J$1002, namespace!$B$4:$B$1002,"="&amp;A81, namespace!$B$4:$B$1002,"&lt;&gt;"&amp;""),"")</f>
        <v/>
      </c>
      <c r="O81" s="116" t="str">
        <f t="shared" si="19"/>
        <v/>
      </c>
      <c r="P81" s="63"/>
      <c r="Q81" s="164" t="str">
        <f t="shared" si="14"/>
        <v/>
      </c>
      <c r="R81" s="60" t="str">
        <f t="shared" si="15"/>
        <v/>
      </c>
      <c r="S81" s="60" t="str">
        <f t="shared" si="16"/>
        <v/>
      </c>
      <c r="T81" s="61" t="str">
        <f t="shared" si="17"/>
        <v/>
      </c>
      <c r="U81" s="61" t="str">
        <f t="shared" si="18"/>
        <v/>
      </c>
      <c r="V81" s="183" t="str">
        <f t="shared" si="20"/>
        <v/>
      </c>
      <c r="W81" s="183" t="str">
        <f t="shared" si="21"/>
        <v/>
      </c>
      <c r="X81" s="61" t="str">
        <f t="shared" si="22"/>
        <v/>
      </c>
      <c r="Y81" s="61" t="str">
        <f t="shared" si="23"/>
        <v/>
      </c>
      <c r="Z81" s="118" t="str">
        <f t="shared" si="24"/>
        <v/>
      </c>
      <c r="AA81" s="62" t="str">
        <f t="shared" si="25"/>
        <v/>
      </c>
      <c r="AB81" s="119" t="str">
        <f>IF(A81&lt;&gt;"", IF(P81&lt;&gt;0,SUMIFS(node!$J$2:$J$1000, node!$C$2:$C$1000,"="&amp;A81)/P81,0), "")</f>
        <v/>
      </c>
      <c r="AC81" s="81" t="str">
        <f>IF(A81&lt;&gt;"", IF(P81&lt;&gt;0,SUMIFS(node!$K$2:$K$1000, node!$C$2:$C$1000,"="&amp;A81)/P81,0), "")</f>
        <v/>
      </c>
      <c r="AD81" s="82" t="str">
        <f>IF(A81&lt;&gt;"", SUMIFS(node!$L$2:$L$1000, node!$C$2:$C$1000,"="&amp;A81), "")</f>
        <v/>
      </c>
      <c r="AE81" s="87" t="str">
        <f>IF(A81&lt;&gt;"", SUMIFS(node!$M$2:$M$1000, node!$C$2:$C$1000,"="&amp;A81), "")</f>
        <v/>
      </c>
    </row>
    <row r="82" spans="1:31" ht="15.75" customHeight="1" x14ac:dyDescent="0.25">
      <c r="A82" s="71" t="str">
        <f>IF(ISNONTEXT(node_raw[[#This Row],[Column2]]), "", node_raw[[#This Row],[Column2]])</f>
        <v/>
      </c>
      <c r="B82" s="108" t="str">
        <f>IF(A82&lt;&gt;"", VLOOKUP(A82, node!$C$2:$D$1000, 2, FALSE), "")</f>
        <v/>
      </c>
      <c r="C82" s="109" t="str">
        <f>IF(A82&lt;&gt;"", VLOOKUP(A82, node!$C$2:$E$1000, 3, FALSE), "")</f>
        <v/>
      </c>
      <c r="D82" s="110" t="str">
        <f>IF(A82&lt;&gt;"",COUNTIFS(node!$C$2:$C$1000,"="&amp;A82, node!$C$2:$C$1000,"&lt;&gt;"&amp;""),"")</f>
        <v/>
      </c>
      <c r="E82" s="111" t="str">
        <f>IF(A82&lt;&gt;"",SUMIFS(node!$F$2:$F$500, node!$C$2:$C$500,"="&amp;A82, node!$C$2:$C$500,"&lt;&gt;"&amp;"")/(B82*D82),"")</f>
        <v/>
      </c>
      <c r="F82" s="112" t="str">
        <f>IF(A82&lt;&gt;"",SUMIFS(node!$H$2:$H$500, node!$C$2:$C$500,"="&amp;A82, node!$C$2:$C$500,"&lt;&gt;"&amp;"")/(C82*D82),"")</f>
        <v/>
      </c>
      <c r="G82" s="179" t="str">
        <f>IF(A82&lt;&gt;"",SUMIFS(deployment!$F$4:$F$502, deployment!$D$4:$D$502,"="&amp;A82, deployment!$D$4:$D$502,"&lt;&gt;"&amp;""),"")</f>
        <v/>
      </c>
      <c r="H82" s="181" t="str">
        <f>IF(A82&lt;&gt;"",SUMIFS(deployment!$G$4:$G$502, deployment!$D$4:$D$502,"="&amp;A82, deployment!$D$4:$D$502,"&lt;&gt;"&amp;""),"")</f>
        <v/>
      </c>
      <c r="I82" s="113" t="str">
        <f>IF(A82&lt;&gt;"",SUMIFS(deployment!$H$4:$H$502, deployment!$D$4:$D$502,"="&amp;A82, deployment!$D$4:$D$502,"&lt;&gt;"&amp;""),"")</f>
        <v/>
      </c>
      <c r="J82" s="114" t="str">
        <f>IF(A82&lt;&gt;"",SUMIFS(deployment!$I$4:$I$502, deployment!$D$4:$D$502,"="&amp;A82, deployment!$D$4:$D$502,"&lt;&gt;"&amp;""),"")</f>
        <v/>
      </c>
      <c r="K82" s="182" t="str">
        <f>IF(A82&lt;&gt;"",SUMIFS(deployment!$J$4:$J$1002, deployment!$D$4:$D$1002,"="&amp;A82, deployment!$D$4:$D$1002,"&lt;&gt;"&amp;"", deployment!$C$4:$C$1002, "&lt;&gt;* )")+SUMIFS(namespace!$G$4:$G$1002, namespace!$B$4:$B$1002,"="&amp;A82, namespace!$B$4:$B$1002,"&lt;&gt;"&amp;""),"")</f>
        <v/>
      </c>
      <c r="L82" s="182" t="str">
        <f>IF(A82&lt;&gt;"",SUMIFS(deployment!$K$4:$K$1002, deployment!$D$4:$D$1002,"="&amp;A82, deployment!$D$4:$D$1002,"&lt;&gt;"&amp;"", deployment!$C$4:$C$1002, "&lt;&gt;* )")+SUMIFS(namespace!$H$4:$H$1002, namespace!$B$4:$B$1002,"="&amp;A82, namespace!$B$4:$B$1002,"&lt;&gt;"&amp;""),"")</f>
        <v/>
      </c>
      <c r="M82" s="115" t="str">
        <f>IF(A82&lt;&gt;"",SUMIFS(deployment!$L$4:$L$1002, deployment!$D$4:$D$1002,"="&amp;A82, deployment!$D$4:$D$1002,"&lt;&gt;"&amp;"", deployment!$C$4:$C$1002, "&lt;&gt;* )")+SUMIFS(namespace!$I$4:$I$1002, namespace!$B$4:$B$1002,"="&amp;A82, namespace!$B$4:$B$1002,"&lt;&gt;"&amp;""),"")</f>
        <v/>
      </c>
      <c r="N82" s="115" t="str">
        <f>IF(A82&lt;&gt;"",SUMIFS(deployment!$M$4:$M$1002, deployment!$D$4:$D$1002,"="&amp;A82, deployment!$D$4:$D$1002,"&lt;&gt;"&amp;"", deployment!$C$4:$C$1002, "&lt;&gt;* )")+SUMIFS(namespace!$J$4:$J$1002, namespace!$B$4:$B$1002,"="&amp;A82, namespace!$B$4:$B$1002,"&lt;&gt;"&amp;""),"")</f>
        <v/>
      </c>
      <c r="O82" s="116" t="str">
        <f t="shared" si="19"/>
        <v/>
      </c>
      <c r="P82" s="63"/>
      <c r="Q82" s="164" t="str">
        <f t="shared" si="14"/>
        <v/>
      </c>
      <c r="R82" s="60" t="str">
        <f t="shared" si="15"/>
        <v/>
      </c>
      <c r="S82" s="60" t="str">
        <f t="shared" si="16"/>
        <v/>
      </c>
      <c r="T82" s="61" t="str">
        <f t="shared" si="17"/>
        <v/>
      </c>
      <c r="U82" s="61" t="str">
        <f t="shared" si="18"/>
        <v/>
      </c>
      <c r="V82" s="183" t="str">
        <f t="shared" si="20"/>
        <v/>
      </c>
      <c r="W82" s="183" t="str">
        <f t="shared" si="21"/>
        <v/>
      </c>
      <c r="X82" s="61" t="str">
        <f t="shared" si="22"/>
        <v/>
      </c>
      <c r="Y82" s="61" t="str">
        <f t="shared" si="23"/>
        <v/>
      </c>
      <c r="Z82" s="118" t="str">
        <f t="shared" si="24"/>
        <v/>
      </c>
      <c r="AA82" s="62" t="str">
        <f t="shared" si="25"/>
        <v/>
      </c>
      <c r="AB82" s="119" t="str">
        <f>IF(A82&lt;&gt;"", IF(P82&lt;&gt;0,SUMIFS(node!$J$2:$J$1000, node!$C$2:$C$1000,"="&amp;A82)/P82,0), "")</f>
        <v/>
      </c>
      <c r="AC82" s="81" t="str">
        <f>IF(A82&lt;&gt;"", IF(P82&lt;&gt;0,SUMIFS(node!$K$2:$K$1000, node!$C$2:$C$1000,"="&amp;A82)/P82,0), "")</f>
        <v/>
      </c>
      <c r="AD82" s="82" t="str">
        <f>IF(A82&lt;&gt;"", SUMIFS(node!$L$2:$L$1000, node!$C$2:$C$1000,"="&amp;A82), "")</f>
        <v/>
      </c>
      <c r="AE82" s="87" t="str">
        <f>IF(A82&lt;&gt;"", SUMIFS(node!$M$2:$M$1000, node!$C$2:$C$1000,"="&amp;A82), "")</f>
        <v/>
      </c>
    </row>
    <row r="83" spans="1:31" ht="15.75" customHeight="1" x14ac:dyDescent="0.25">
      <c r="A83" s="71" t="str">
        <f>IF(ISNONTEXT(node_raw[[#This Row],[Column2]]), "", node_raw[[#This Row],[Column2]])</f>
        <v/>
      </c>
      <c r="B83" s="108" t="str">
        <f>IF(A83&lt;&gt;"", VLOOKUP(A83, node!$C$2:$D$1000, 2, FALSE), "")</f>
        <v/>
      </c>
      <c r="C83" s="109" t="str">
        <f>IF(A83&lt;&gt;"", VLOOKUP(A83, node!$C$2:$E$1000, 3, FALSE), "")</f>
        <v/>
      </c>
      <c r="D83" s="110" t="str">
        <f>IF(A83&lt;&gt;"",COUNTIFS(node!$C$2:$C$1000,"="&amp;A83, node!$C$2:$C$1000,"&lt;&gt;"&amp;""),"")</f>
        <v/>
      </c>
      <c r="E83" s="111" t="str">
        <f>IF(A83&lt;&gt;"",SUMIFS(node!$F$2:$F$500, node!$C$2:$C$500,"="&amp;A83, node!$C$2:$C$500,"&lt;&gt;"&amp;"")/(B83*D83),"")</f>
        <v/>
      </c>
      <c r="F83" s="112" t="str">
        <f>IF(A83&lt;&gt;"",SUMIFS(node!$H$2:$H$500, node!$C$2:$C$500,"="&amp;A83, node!$C$2:$C$500,"&lt;&gt;"&amp;"")/(C83*D83),"")</f>
        <v/>
      </c>
      <c r="G83" s="179" t="str">
        <f>IF(A83&lt;&gt;"",SUMIFS(deployment!$F$4:$F$502, deployment!$D$4:$D$502,"="&amp;A83, deployment!$D$4:$D$502,"&lt;&gt;"&amp;""),"")</f>
        <v/>
      </c>
      <c r="H83" s="181" t="str">
        <f>IF(A83&lt;&gt;"",SUMIFS(deployment!$G$4:$G$502, deployment!$D$4:$D$502,"="&amp;A83, deployment!$D$4:$D$502,"&lt;&gt;"&amp;""),"")</f>
        <v/>
      </c>
      <c r="I83" s="113" t="str">
        <f>IF(A83&lt;&gt;"",SUMIFS(deployment!$H$4:$H$502, deployment!$D$4:$D$502,"="&amp;A83, deployment!$D$4:$D$502,"&lt;&gt;"&amp;""),"")</f>
        <v/>
      </c>
      <c r="J83" s="114" t="str">
        <f>IF(A83&lt;&gt;"",SUMIFS(deployment!$I$4:$I$502, deployment!$D$4:$D$502,"="&amp;A83, deployment!$D$4:$D$502,"&lt;&gt;"&amp;""),"")</f>
        <v/>
      </c>
      <c r="K83" s="182" t="str">
        <f>IF(A83&lt;&gt;"",SUMIFS(deployment!$J$4:$J$1002, deployment!$D$4:$D$1002,"="&amp;A83, deployment!$D$4:$D$1002,"&lt;&gt;"&amp;"", deployment!$C$4:$C$1002, "&lt;&gt;* )")+SUMIFS(namespace!$G$4:$G$1002, namespace!$B$4:$B$1002,"="&amp;A83, namespace!$B$4:$B$1002,"&lt;&gt;"&amp;""),"")</f>
        <v/>
      </c>
      <c r="L83" s="182" t="str">
        <f>IF(A83&lt;&gt;"",SUMIFS(deployment!$K$4:$K$1002, deployment!$D$4:$D$1002,"="&amp;A83, deployment!$D$4:$D$1002,"&lt;&gt;"&amp;"", deployment!$C$4:$C$1002, "&lt;&gt;* )")+SUMIFS(namespace!$H$4:$H$1002, namespace!$B$4:$B$1002,"="&amp;A83, namespace!$B$4:$B$1002,"&lt;&gt;"&amp;""),"")</f>
        <v/>
      </c>
      <c r="M83" s="115" t="str">
        <f>IF(A83&lt;&gt;"",SUMIFS(deployment!$L$4:$L$1002, deployment!$D$4:$D$1002,"="&amp;A83, deployment!$D$4:$D$1002,"&lt;&gt;"&amp;"", deployment!$C$4:$C$1002, "&lt;&gt;* )")+SUMIFS(namespace!$I$4:$I$1002, namespace!$B$4:$B$1002,"="&amp;A83, namespace!$B$4:$B$1002,"&lt;&gt;"&amp;""),"")</f>
        <v/>
      </c>
      <c r="N83" s="115" t="str">
        <f>IF(A83&lt;&gt;"",SUMIFS(deployment!$M$4:$M$1002, deployment!$D$4:$D$1002,"="&amp;A83, deployment!$D$4:$D$1002,"&lt;&gt;"&amp;"", deployment!$C$4:$C$1002, "&lt;&gt;* )")+SUMIFS(namespace!$J$4:$J$1002, namespace!$B$4:$B$1002,"="&amp;A83, namespace!$B$4:$B$1002,"&lt;&gt;"&amp;""),"")</f>
        <v/>
      </c>
      <c r="O83" s="116" t="str">
        <f t="shared" si="19"/>
        <v/>
      </c>
      <c r="P83" s="63"/>
      <c r="Q83" s="164" t="str">
        <f t="shared" si="14"/>
        <v/>
      </c>
      <c r="R83" s="60" t="str">
        <f t="shared" si="15"/>
        <v/>
      </c>
      <c r="S83" s="60" t="str">
        <f t="shared" si="16"/>
        <v/>
      </c>
      <c r="T83" s="61" t="str">
        <f t="shared" si="17"/>
        <v/>
      </c>
      <c r="U83" s="61" t="str">
        <f t="shared" si="18"/>
        <v/>
      </c>
      <c r="V83" s="183" t="str">
        <f t="shared" si="20"/>
        <v/>
      </c>
      <c r="W83" s="183" t="str">
        <f t="shared" si="21"/>
        <v/>
      </c>
      <c r="X83" s="61" t="str">
        <f t="shared" si="22"/>
        <v/>
      </c>
      <c r="Y83" s="61" t="str">
        <f t="shared" si="23"/>
        <v/>
      </c>
      <c r="Z83" s="118" t="str">
        <f t="shared" si="24"/>
        <v/>
      </c>
      <c r="AA83" s="62" t="str">
        <f t="shared" si="25"/>
        <v/>
      </c>
      <c r="AB83" s="119" t="str">
        <f>IF(A83&lt;&gt;"", IF(P83&lt;&gt;0,SUMIFS(node!$J$2:$J$1000, node!$C$2:$C$1000,"="&amp;A83)/P83,0), "")</f>
        <v/>
      </c>
      <c r="AC83" s="81" t="str">
        <f>IF(A83&lt;&gt;"", IF(P83&lt;&gt;0,SUMIFS(node!$K$2:$K$1000, node!$C$2:$C$1000,"="&amp;A83)/P83,0), "")</f>
        <v/>
      </c>
      <c r="AD83" s="82" t="str">
        <f>IF(A83&lt;&gt;"", SUMIFS(node!$L$2:$L$1000, node!$C$2:$C$1000,"="&amp;A83), "")</f>
        <v/>
      </c>
      <c r="AE83" s="87" t="str">
        <f>IF(A83&lt;&gt;"", SUMIFS(node!$M$2:$M$1000, node!$C$2:$C$1000,"="&amp;A83), "")</f>
        <v/>
      </c>
    </row>
    <row r="84" spans="1:31" ht="15.75" customHeight="1" x14ac:dyDescent="0.25">
      <c r="A84" s="71" t="str">
        <f>IF(ISNONTEXT(node_raw[[#This Row],[Column2]]), "", node_raw[[#This Row],[Column2]])</f>
        <v/>
      </c>
      <c r="B84" s="108" t="str">
        <f>IF(A84&lt;&gt;"", VLOOKUP(A84, node!$C$2:$D$1000, 2, FALSE), "")</f>
        <v/>
      </c>
      <c r="C84" s="109" t="str">
        <f>IF(A84&lt;&gt;"", VLOOKUP(A84, node!$C$2:$E$1000, 3, FALSE), "")</f>
        <v/>
      </c>
      <c r="D84" s="110" t="str">
        <f>IF(A84&lt;&gt;"",COUNTIFS(node!$C$2:$C$1000,"="&amp;A84, node!$C$2:$C$1000,"&lt;&gt;"&amp;""),"")</f>
        <v/>
      </c>
      <c r="E84" s="111" t="str">
        <f>IF(A84&lt;&gt;"",SUMIFS(node!$F$2:$F$500, node!$C$2:$C$500,"="&amp;A84, node!$C$2:$C$500,"&lt;&gt;"&amp;"")/(B84*D84),"")</f>
        <v/>
      </c>
      <c r="F84" s="112" t="str">
        <f>IF(A84&lt;&gt;"",SUMIFS(node!$H$2:$H$500, node!$C$2:$C$500,"="&amp;A84, node!$C$2:$C$500,"&lt;&gt;"&amp;"")/(C84*D84),"")</f>
        <v/>
      </c>
      <c r="G84" s="179" t="str">
        <f>IF(A84&lt;&gt;"",SUMIFS(deployment!$F$4:$F$502, deployment!$D$4:$D$502,"="&amp;A84, deployment!$D$4:$D$502,"&lt;&gt;"&amp;""),"")</f>
        <v/>
      </c>
      <c r="H84" s="181" t="str">
        <f>IF(A84&lt;&gt;"",SUMIFS(deployment!$G$4:$G$502, deployment!$D$4:$D$502,"="&amp;A84, deployment!$D$4:$D$502,"&lt;&gt;"&amp;""),"")</f>
        <v/>
      </c>
      <c r="I84" s="113" t="str">
        <f>IF(A84&lt;&gt;"",SUMIFS(deployment!$H$4:$H$502, deployment!$D$4:$D$502,"="&amp;A84, deployment!$D$4:$D$502,"&lt;&gt;"&amp;""),"")</f>
        <v/>
      </c>
      <c r="J84" s="114" t="str">
        <f>IF(A84&lt;&gt;"",SUMIFS(deployment!$I$4:$I$502, deployment!$D$4:$D$502,"="&amp;A84, deployment!$D$4:$D$502,"&lt;&gt;"&amp;""),"")</f>
        <v/>
      </c>
      <c r="K84" s="182" t="str">
        <f>IF(A84&lt;&gt;"",SUMIFS(deployment!$J$4:$J$1002, deployment!$D$4:$D$1002,"="&amp;A84, deployment!$D$4:$D$1002,"&lt;&gt;"&amp;"", deployment!$C$4:$C$1002, "&lt;&gt;* )")+SUMIFS(namespace!$G$4:$G$1002, namespace!$B$4:$B$1002,"="&amp;A84, namespace!$B$4:$B$1002,"&lt;&gt;"&amp;""),"")</f>
        <v/>
      </c>
      <c r="L84" s="182" t="str">
        <f>IF(A84&lt;&gt;"",SUMIFS(deployment!$K$4:$K$1002, deployment!$D$4:$D$1002,"="&amp;A84, deployment!$D$4:$D$1002,"&lt;&gt;"&amp;"", deployment!$C$4:$C$1002, "&lt;&gt;* )")+SUMIFS(namespace!$H$4:$H$1002, namespace!$B$4:$B$1002,"="&amp;A84, namespace!$B$4:$B$1002,"&lt;&gt;"&amp;""),"")</f>
        <v/>
      </c>
      <c r="M84" s="115" t="str">
        <f>IF(A84&lt;&gt;"",SUMIFS(deployment!$L$4:$L$1002, deployment!$D$4:$D$1002,"="&amp;A84, deployment!$D$4:$D$1002,"&lt;&gt;"&amp;"", deployment!$C$4:$C$1002, "&lt;&gt;* )")+SUMIFS(namespace!$I$4:$I$1002, namespace!$B$4:$B$1002,"="&amp;A84, namespace!$B$4:$B$1002,"&lt;&gt;"&amp;""),"")</f>
        <v/>
      </c>
      <c r="N84" s="115" t="str">
        <f>IF(A84&lt;&gt;"",SUMIFS(deployment!$M$4:$M$1002, deployment!$D$4:$D$1002,"="&amp;A84, deployment!$D$4:$D$1002,"&lt;&gt;"&amp;"", deployment!$C$4:$C$1002, "&lt;&gt;* )")+SUMIFS(namespace!$J$4:$J$1002, namespace!$B$4:$B$1002,"="&amp;A84, namespace!$B$4:$B$1002,"&lt;&gt;"&amp;""),"")</f>
        <v/>
      </c>
      <c r="O84" s="116" t="str">
        <f t="shared" si="19"/>
        <v/>
      </c>
      <c r="P84" s="63"/>
      <c r="Q84" s="164" t="str">
        <f t="shared" si="14"/>
        <v/>
      </c>
      <c r="R84" s="60" t="str">
        <f t="shared" si="15"/>
        <v/>
      </c>
      <c r="S84" s="60" t="str">
        <f t="shared" si="16"/>
        <v/>
      </c>
      <c r="T84" s="61" t="str">
        <f t="shared" si="17"/>
        <v/>
      </c>
      <c r="U84" s="61" t="str">
        <f t="shared" si="18"/>
        <v/>
      </c>
      <c r="V84" s="183" t="str">
        <f t="shared" si="20"/>
        <v/>
      </c>
      <c r="W84" s="183" t="str">
        <f t="shared" si="21"/>
        <v/>
      </c>
      <c r="X84" s="61" t="str">
        <f t="shared" si="22"/>
        <v/>
      </c>
      <c r="Y84" s="61" t="str">
        <f t="shared" si="23"/>
        <v/>
      </c>
      <c r="Z84" s="118" t="str">
        <f t="shared" si="24"/>
        <v/>
      </c>
      <c r="AA84" s="62" t="str">
        <f t="shared" si="25"/>
        <v/>
      </c>
      <c r="AB84" s="119" t="str">
        <f>IF(A84&lt;&gt;"", IF(P84&lt;&gt;0,SUMIFS(node!$J$2:$J$1000, node!$C$2:$C$1000,"="&amp;A84)/P84,0), "")</f>
        <v/>
      </c>
      <c r="AC84" s="81" t="str">
        <f>IF(A84&lt;&gt;"", IF(P84&lt;&gt;0,SUMIFS(node!$K$2:$K$1000, node!$C$2:$C$1000,"="&amp;A84)/P84,0), "")</f>
        <v/>
      </c>
      <c r="AD84" s="82" t="str">
        <f>IF(A84&lt;&gt;"", SUMIFS(node!$L$2:$L$1000, node!$C$2:$C$1000,"="&amp;A84), "")</f>
        <v/>
      </c>
      <c r="AE84" s="87" t="str">
        <f>IF(A84&lt;&gt;"", SUMIFS(node!$M$2:$M$1000, node!$C$2:$C$1000,"="&amp;A84), "")</f>
        <v/>
      </c>
    </row>
    <row r="85" spans="1:31" ht="15.75" customHeight="1" x14ac:dyDescent="0.25">
      <c r="A85" s="71" t="str">
        <f>IF(ISNONTEXT(node_raw[[#This Row],[Column2]]), "", node_raw[[#This Row],[Column2]])</f>
        <v/>
      </c>
      <c r="B85" s="108" t="str">
        <f>IF(A85&lt;&gt;"", VLOOKUP(A85, node!$C$2:$D$1000, 2, FALSE), "")</f>
        <v/>
      </c>
      <c r="C85" s="109" t="str">
        <f>IF(A85&lt;&gt;"", VLOOKUP(A85, node!$C$2:$E$1000, 3, FALSE), "")</f>
        <v/>
      </c>
      <c r="D85" s="110" t="str">
        <f>IF(A85&lt;&gt;"",COUNTIFS(node!$C$2:$C$1000,"="&amp;A85, node!$C$2:$C$1000,"&lt;&gt;"&amp;""),"")</f>
        <v/>
      </c>
      <c r="E85" s="111" t="str">
        <f>IF(A85&lt;&gt;"",SUMIFS(node!$F$2:$F$500, node!$C$2:$C$500,"="&amp;A85, node!$C$2:$C$500,"&lt;&gt;"&amp;"")/(B85*D85),"")</f>
        <v/>
      </c>
      <c r="F85" s="112" t="str">
        <f>IF(A85&lt;&gt;"",SUMIFS(node!$H$2:$H$500, node!$C$2:$C$500,"="&amp;A85, node!$C$2:$C$500,"&lt;&gt;"&amp;"")/(C85*D85),"")</f>
        <v/>
      </c>
      <c r="G85" s="179" t="str">
        <f>IF(A85&lt;&gt;"",SUMIFS(deployment!$F$4:$F$502, deployment!$D$4:$D$502,"="&amp;A85, deployment!$D$4:$D$502,"&lt;&gt;"&amp;""),"")</f>
        <v/>
      </c>
      <c r="H85" s="181" t="str">
        <f>IF(A85&lt;&gt;"",SUMIFS(deployment!$G$4:$G$502, deployment!$D$4:$D$502,"="&amp;A85, deployment!$D$4:$D$502,"&lt;&gt;"&amp;""),"")</f>
        <v/>
      </c>
      <c r="I85" s="113" t="str">
        <f>IF(A85&lt;&gt;"",SUMIFS(deployment!$H$4:$H$502, deployment!$D$4:$D$502,"="&amp;A85, deployment!$D$4:$D$502,"&lt;&gt;"&amp;""),"")</f>
        <v/>
      </c>
      <c r="J85" s="114" t="str">
        <f>IF(A85&lt;&gt;"",SUMIFS(deployment!$I$4:$I$502, deployment!$D$4:$D$502,"="&amp;A85, deployment!$D$4:$D$502,"&lt;&gt;"&amp;""),"")</f>
        <v/>
      </c>
      <c r="K85" s="182" t="str">
        <f>IF(A85&lt;&gt;"",SUMIFS(deployment!$J$4:$J$1002, deployment!$D$4:$D$1002,"="&amp;A85, deployment!$D$4:$D$1002,"&lt;&gt;"&amp;"", deployment!$C$4:$C$1002, "&lt;&gt;* )")+SUMIFS(namespace!$G$4:$G$1002, namespace!$B$4:$B$1002,"="&amp;A85, namespace!$B$4:$B$1002,"&lt;&gt;"&amp;""),"")</f>
        <v/>
      </c>
      <c r="L85" s="182" t="str">
        <f>IF(A85&lt;&gt;"",SUMIFS(deployment!$K$4:$K$1002, deployment!$D$4:$D$1002,"="&amp;A85, deployment!$D$4:$D$1002,"&lt;&gt;"&amp;"", deployment!$C$4:$C$1002, "&lt;&gt;* )")+SUMIFS(namespace!$H$4:$H$1002, namespace!$B$4:$B$1002,"="&amp;A85, namespace!$B$4:$B$1002,"&lt;&gt;"&amp;""),"")</f>
        <v/>
      </c>
      <c r="M85" s="115" t="str">
        <f>IF(A85&lt;&gt;"",SUMIFS(deployment!$L$4:$L$1002, deployment!$D$4:$D$1002,"="&amp;A85, deployment!$D$4:$D$1002,"&lt;&gt;"&amp;"", deployment!$C$4:$C$1002, "&lt;&gt;* )")+SUMIFS(namespace!$I$4:$I$1002, namespace!$B$4:$B$1002,"="&amp;A85, namespace!$B$4:$B$1002,"&lt;&gt;"&amp;""),"")</f>
        <v/>
      </c>
      <c r="N85" s="115" t="str">
        <f>IF(A85&lt;&gt;"",SUMIFS(deployment!$M$4:$M$1002, deployment!$D$4:$D$1002,"="&amp;A85, deployment!$D$4:$D$1002,"&lt;&gt;"&amp;"", deployment!$C$4:$C$1002, "&lt;&gt;* )")+SUMIFS(namespace!$J$4:$J$1002, namespace!$B$4:$B$1002,"="&amp;A85, namespace!$B$4:$B$1002,"&lt;&gt;"&amp;""),"")</f>
        <v/>
      </c>
      <c r="O85" s="116" t="str">
        <f t="shared" si="19"/>
        <v/>
      </c>
      <c r="P85" s="63"/>
      <c r="Q85" s="164" t="str">
        <f t="shared" si="14"/>
        <v/>
      </c>
      <c r="R85" s="60" t="str">
        <f t="shared" si="15"/>
        <v/>
      </c>
      <c r="S85" s="60" t="str">
        <f t="shared" si="16"/>
        <v/>
      </c>
      <c r="T85" s="61" t="str">
        <f t="shared" si="17"/>
        <v/>
      </c>
      <c r="U85" s="61" t="str">
        <f t="shared" si="18"/>
        <v/>
      </c>
      <c r="V85" s="183" t="str">
        <f t="shared" si="20"/>
        <v/>
      </c>
      <c r="W85" s="183" t="str">
        <f t="shared" si="21"/>
        <v/>
      </c>
      <c r="X85" s="61" t="str">
        <f t="shared" si="22"/>
        <v/>
      </c>
      <c r="Y85" s="61" t="str">
        <f t="shared" si="23"/>
        <v/>
      </c>
      <c r="Z85" s="118" t="str">
        <f t="shared" si="24"/>
        <v/>
      </c>
      <c r="AA85" s="62" t="str">
        <f t="shared" si="25"/>
        <v/>
      </c>
      <c r="AB85" s="119" t="str">
        <f>IF(A85&lt;&gt;"", IF(P85&lt;&gt;0,SUMIFS(node!$J$2:$J$1000, node!$C$2:$C$1000,"="&amp;A85)/P85,0), "")</f>
        <v/>
      </c>
      <c r="AC85" s="81" t="str">
        <f>IF(A85&lt;&gt;"", IF(P85&lt;&gt;0,SUMIFS(node!$K$2:$K$1000, node!$C$2:$C$1000,"="&amp;A85)/P85,0), "")</f>
        <v/>
      </c>
      <c r="AD85" s="82" t="str">
        <f>IF(A85&lt;&gt;"", SUMIFS(node!$L$2:$L$1000, node!$C$2:$C$1000,"="&amp;A85), "")</f>
        <v/>
      </c>
      <c r="AE85" s="87" t="str">
        <f>IF(A85&lt;&gt;"", SUMIFS(node!$M$2:$M$1000, node!$C$2:$C$1000,"="&amp;A85), "")</f>
        <v/>
      </c>
    </row>
    <row r="86" spans="1:31" ht="15.75" customHeight="1" x14ac:dyDescent="0.25">
      <c r="A86" s="71" t="str">
        <f>IF(ISNONTEXT(node_raw[[#This Row],[Column2]]), "", node_raw[[#This Row],[Column2]])</f>
        <v/>
      </c>
      <c r="B86" s="108" t="str">
        <f>IF(A86&lt;&gt;"", VLOOKUP(A86, node!$C$2:$D$1000, 2, FALSE), "")</f>
        <v/>
      </c>
      <c r="C86" s="109" t="str">
        <f>IF(A86&lt;&gt;"", VLOOKUP(A86, node!$C$2:$E$1000, 3, FALSE), "")</f>
        <v/>
      </c>
      <c r="D86" s="110" t="str">
        <f>IF(A86&lt;&gt;"",COUNTIFS(node!$C$2:$C$1000,"="&amp;A86, node!$C$2:$C$1000,"&lt;&gt;"&amp;""),"")</f>
        <v/>
      </c>
      <c r="E86" s="111" t="str">
        <f>IF(A86&lt;&gt;"",SUMIFS(node!$F$2:$F$500, node!$C$2:$C$500,"="&amp;A86, node!$C$2:$C$500,"&lt;&gt;"&amp;"")/(B86*D86),"")</f>
        <v/>
      </c>
      <c r="F86" s="112" t="str">
        <f>IF(A86&lt;&gt;"",SUMIFS(node!$H$2:$H$500, node!$C$2:$C$500,"="&amp;A86, node!$C$2:$C$500,"&lt;&gt;"&amp;"")/(C86*D86),"")</f>
        <v/>
      </c>
      <c r="G86" s="179" t="str">
        <f>IF(A86&lt;&gt;"",SUMIFS(deployment!$F$4:$F$502, deployment!$D$4:$D$502,"="&amp;A86, deployment!$D$4:$D$502,"&lt;&gt;"&amp;""),"")</f>
        <v/>
      </c>
      <c r="H86" s="181" t="str">
        <f>IF(A86&lt;&gt;"",SUMIFS(deployment!$G$4:$G$502, deployment!$D$4:$D$502,"="&amp;A86, deployment!$D$4:$D$502,"&lt;&gt;"&amp;""),"")</f>
        <v/>
      </c>
      <c r="I86" s="113" t="str">
        <f>IF(A86&lt;&gt;"",SUMIFS(deployment!$H$4:$H$502, deployment!$D$4:$D$502,"="&amp;A86, deployment!$D$4:$D$502,"&lt;&gt;"&amp;""),"")</f>
        <v/>
      </c>
      <c r="J86" s="114" t="str">
        <f>IF(A86&lt;&gt;"",SUMIFS(deployment!$I$4:$I$502, deployment!$D$4:$D$502,"="&amp;A86, deployment!$D$4:$D$502,"&lt;&gt;"&amp;""),"")</f>
        <v/>
      </c>
      <c r="K86" s="182" t="str">
        <f>IF(A86&lt;&gt;"",SUMIFS(deployment!$J$4:$J$1002, deployment!$D$4:$D$1002,"="&amp;A86, deployment!$D$4:$D$1002,"&lt;&gt;"&amp;"", deployment!$C$4:$C$1002, "&lt;&gt;* )")+SUMIFS(namespace!$G$4:$G$1002, namespace!$B$4:$B$1002,"="&amp;A86, namespace!$B$4:$B$1002,"&lt;&gt;"&amp;""),"")</f>
        <v/>
      </c>
      <c r="L86" s="182" t="str">
        <f>IF(A86&lt;&gt;"",SUMIFS(deployment!$K$4:$K$1002, deployment!$D$4:$D$1002,"="&amp;A86, deployment!$D$4:$D$1002,"&lt;&gt;"&amp;"", deployment!$C$4:$C$1002, "&lt;&gt;* )")+SUMIFS(namespace!$H$4:$H$1002, namespace!$B$4:$B$1002,"="&amp;A86, namespace!$B$4:$B$1002,"&lt;&gt;"&amp;""),"")</f>
        <v/>
      </c>
      <c r="M86" s="115" t="str">
        <f>IF(A86&lt;&gt;"",SUMIFS(deployment!$L$4:$L$1002, deployment!$D$4:$D$1002,"="&amp;A86, deployment!$D$4:$D$1002,"&lt;&gt;"&amp;"", deployment!$C$4:$C$1002, "&lt;&gt;* )")+SUMIFS(namespace!$I$4:$I$1002, namespace!$B$4:$B$1002,"="&amp;A86, namespace!$B$4:$B$1002,"&lt;&gt;"&amp;""),"")</f>
        <v/>
      </c>
      <c r="N86" s="115" t="str">
        <f>IF(A86&lt;&gt;"",SUMIFS(deployment!$M$4:$M$1002, deployment!$D$4:$D$1002,"="&amp;A86, deployment!$D$4:$D$1002,"&lt;&gt;"&amp;"", deployment!$C$4:$C$1002, "&lt;&gt;* )")+SUMIFS(namespace!$J$4:$J$1002, namespace!$B$4:$B$1002,"="&amp;A86, namespace!$B$4:$B$1002,"&lt;&gt;"&amp;""),"")</f>
        <v/>
      </c>
      <c r="O86" s="116" t="str">
        <f t="shared" si="19"/>
        <v/>
      </c>
      <c r="P86" s="63"/>
      <c r="Q86" s="164" t="str">
        <f t="shared" si="14"/>
        <v/>
      </c>
      <c r="R86" s="60" t="str">
        <f t="shared" si="15"/>
        <v/>
      </c>
      <c r="S86" s="60" t="str">
        <f t="shared" si="16"/>
        <v/>
      </c>
      <c r="T86" s="61" t="str">
        <f t="shared" si="17"/>
        <v/>
      </c>
      <c r="U86" s="61" t="str">
        <f t="shared" si="18"/>
        <v/>
      </c>
      <c r="V86" s="183" t="str">
        <f t="shared" si="20"/>
        <v/>
      </c>
      <c r="W86" s="183" t="str">
        <f t="shared" si="21"/>
        <v/>
      </c>
      <c r="X86" s="61" t="str">
        <f t="shared" si="22"/>
        <v/>
      </c>
      <c r="Y86" s="61" t="str">
        <f t="shared" si="23"/>
        <v/>
      </c>
      <c r="Z86" s="118" t="str">
        <f t="shared" si="24"/>
        <v/>
      </c>
      <c r="AA86" s="62" t="str">
        <f t="shared" si="25"/>
        <v/>
      </c>
      <c r="AB86" s="119" t="str">
        <f>IF(A86&lt;&gt;"", IF(P86&lt;&gt;0,SUMIFS(node!$J$2:$J$1000, node!$C$2:$C$1000,"="&amp;A86)/P86,0), "")</f>
        <v/>
      </c>
      <c r="AC86" s="81" t="str">
        <f>IF(A86&lt;&gt;"", IF(P86&lt;&gt;0,SUMIFS(node!$K$2:$K$1000, node!$C$2:$C$1000,"="&amp;A86)/P86,0), "")</f>
        <v/>
      </c>
      <c r="AD86" s="82" t="str">
        <f>IF(A86&lt;&gt;"", SUMIFS(node!$L$2:$L$1000, node!$C$2:$C$1000,"="&amp;A86), "")</f>
        <v/>
      </c>
      <c r="AE86" s="87" t="str">
        <f>IF(A86&lt;&gt;"", SUMIFS(node!$M$2:$M$1000, node!$C$2:$C$1000,"="&amp;A86), "")</f>
        <v/>
      </c>
    </row>
    <row r="87" spans="1:31" ht="15.75" customHeight="1" x14ac:dyDescent="0.25">
      <c r="A87" s="71" t="str">
        <f>IF(ISNONTEXT(node_raw[[#This Row],[Column2]]), "", node_raw[[#This Row],[Column2]])</f>
        <v/>
      </c>
      <c r="B87" s="108" t="str">
        <f>IF(A87&lt;&gt;"", VLOOKUP(A87, node!$C$2:$D$1000, 2, FALSE), "")</f>
        <v/>
      </c>
      <c r="C87" s="109" t="str">
        <f>IF(A87&lt;&gt;"", VLOOKUP(A87, node!$C$2:$E$1000, 3, FALSE), "")</f>
        <v/>
      </c>
      <c r="D87" s="110" t="str">
        <f>IF(A87&lt;&gt;"",COUNTIFS(node!$C$2:$C$1000,"="&amp;A87, node!$C$2:$C$1000,"&lt;&gt;"&amp;""),"")</f>
        <v/>
      </c>
      <c r="E87" s="111" t="str">
        <f>IF(A87&lt;&gt;"",SUMIFS(node!$F$2:$F$500, node!$C$2:$C$500,"="&amp;A87, node!$C$2:$C$500,"&lt;&gt;"&amp;"")/(B87*D87),"")</f>
        <v/>
      </c>
      <c r="F87" s="112" t="str">
        <f>IF(A87&lt;&gt;"",SUMIFS(node!$H$2:$H$500, node!$C$2:$C$500,"="&amp;A87, node!$C$2:$C$500,"&lt;&gt;"&amp;"")/(C87*D87),"")</f>
        <v/>
      </c>
      <c r="G87" s="179" t="str">
        <f>IF(A87&lt;&gt;"",SUMIFS(deployment!$F$4:$F$502, deployment!$D$4:$D$502,"="&amp;A87, deployment!$D$4:$D$502,"&lt;&gt;"&amp;""),"")</f>
        <v/>
      </c>
      <c r="H87" s="181" t="str">
        <f>IF(A87&lt;&gt;"",SUMIFS(deployment!$G$4:$G$502, deployment!$D$4:$D$502,"="&amp;A87, deployment!$D$4:$D$502,"&lt;&gt;"&amp;""),"")</f>
        <v/>
      </c>
      <c r="I87" s="113" t="str">
        <f>IF(A87&lt;&gt;"",SUMIFS(deployment!$H$4:$H$502, deployment!$D$4:$D$502,"="&amp;A87, deployment!$D$4:$D$502,"&lt;&gt;"&amp;""),"")</f>
        <v/>
      </c>
      <c r="J87" s="114" t="str">
        <f>IF(A87&lt;&gt;"",SUMIFS(deployment!$I$4:$I$502, deployment!$D$4:$D$502,"="&amp;A87, deployment!$D$4:$D$502,"&lt;&gt;"&amp;""),"")</f>
        <v/>
      </c>
      <c r="K87" s="182" t="str">
        <f>IF(A87&lt;&gt;"",SUMIFS(deployment!$J$4:$J$1002, deployment!$D$4:$D$1002,"="&amp;A87, deployment!$D$4:$D$1002,"&lt;&gt;"&amp;"", deployment!$C$4:$C$1002, "&lt;&gt;* )")+SUMIFS(namespace!$G$4:$G$1002, namespace!$B$4:$B$1002,"="&amp;A87, namespace!$B$4:$B$1002,"&lt;&gt;"&amp;""),"")</f>
        <v/>
      </c>
      <c r="L87" s="182" t="str">
        <f>IF(A87&lt;&gt;"",SUMIFS(deployment!$K$4:$K$1002, deployment!$D$4:$D$1002,"="&amp;A87, deployment!$D$4:$D$1002,"&lt;&gt;"&amp;"", deployment!$C$4:$C$1002, "&lt;&gt;* )")+SUMIFS(namespace!$H$4:$H$1002, namespace!$B$4:$B$1002,"="&amp;A87, namespace!$B$4:$B$1002,"&lt;&gt;"&amp;""),"")</f>
        <v/>
      </c>
      <c r="M87" s="115" t="str">
        <f>IF(A87&lt;&gt;"",SUMIFS(deployment!$L$4:$L$1002, deployment!$D$4:$D$1002,"="&amp;A87, deployment!$D$4:$D$1002,"&lt;&gt;"&amp;"", deployment!$C$4:$C$1002, "&lt;&gt;* )")+SUMIFS(namespace!$I$4:$I$1002, namespace!$B$4:$B$1002,"="&amp;A87, namespace!$B$4:$B$1002,"&lt;&gt;"&amp;""),"")</f>
        <v/>
      </c>
      <c r="N87" s="115" t="str">
        <f>IF(A87&lt;&gt;"",SUMIFS(deployment!$M$4:$M$1002, deployment!$D$4:$D$1002,"="&amp;A87, deployment!$D$4:$D$1002,"&lt;&gt;"&amp;"", deployment!$C$4:$C$1002, "&lt;&gt;* )")+SUMIFS(namespace!$J$4:$J$1002, namespace!$B$4:$B$1002,"="&amp;A87, namespace!$B$4:$B$1002,"&lt;&gt;"&amp;""),"")</f>
        <v/>
      </c>
      <c r="O87" s="116" t="str">
        <f t="shared" si="19"/>
        <v/>
      </c>
      <c r="P87" s="63"/>
      <c r="Q87" s="164" t="str">
        <f t="shared" si="14"/>
        <v/>
      </c>
      <c r="R87" s="60" t="str">
        <f t="shared" si="15"/>
        <v/>
      </c>
      <c r="S87" s="60" t="str">
        <f t="shared" si="16"/>
        <v/>
      </c>
      <c r="T87" s="61" t="str">
        <f t="shared" si="17"/>
        <v/>
      </c>
      <c r="U87" s="61" t="str">
        <f t="shared" si="18"/>
        <v/>
      </c>
      <c r="V87" s="183" t="str">
        <f t="shared" si="20"/>
        <v/>
      </c>
      <c r="W87" s="183" t="str">
        <f t="shared" si="21"/>
        <v/>
      </c>
      <c r="X87" s="61" t="str">
        <f t="shared" si="22"/>
        <v/>
      </c>
      <c r="Y87" s="61" t="str">
        <f t="shared" si="23"/>
        <v/>
      </c>
      <c r="Z87" s="118" t="str">
        <f t="shared" si="24"/>
        <v/>
      </c>
      <c r="AA87" s="62" t="str">
        <f t="shared" si="25"/>
        <v/>
      </c>
      <c r="AB87" s="119" t="str">
        <f>IF(A87&lt;&gt;"", IF(P87&lt;&gt;0,SUMIFS(node!$J$2:$J$1000, node!$C$2:$C$1000,"="&amp;A87)/P87,0), "")</f>
        <v/>
      </c>
      <c r="AC87" s="81" t="str">
        <f>IF(A87&lt;&gt;"", IF(P87&lt;&gt;0,SUMIFS(node!$K$2:$K$1000, node!$C$2:$C$1000,"="&amp;A87)/P87,0), "")</f>
        <v/>
      </c>
      <c r="AD87" s="82" t="str">
        <f>IF(A87&lt;&gt;"", SUMIFS(node!$L$2:$L$1000, node!$C$2:$C$1000,"="&amp;A87), "")</f>
        <v/>
      </c>
      <c r="AE87" s="87" t="str">
        <f>IF(A87&lt;&gt;"", SUMIFS(node!$M$2:$M$1000, node!$C$2:$C$1000,"="&amp;A87), "")</f>
        <v/>
      </c>
    </row>
    <row r="88" spans="1:31" ht="15.75" customHeight="1" x14ac:dyDescent="0.25">
      <c r="A88" s="71" t="str">
        <f>IF(ISNONTEXT(node_raw[[#This Row],[Column2]]), "", node_raw[[#This Row],[Column2]])</f>
        <v/>
      </c>
      <c r="B88" s="108" t="str">
        <f>IF(A88&lt;&gt;"", VLOOKUP(A88, node!$C$2:$D$1000, 2, FALSE), "")</f>
        <v/>
      </c>
      <c r="C88" s="109" t="str">
        <f>IF(A88&lt;&gt;"", VLOOKUP(A88, node!$C$2:$E$1000, 3, FALSE), "")</f>
        <v/>
      </c>
      <c r="D88" s="110" t="str">
        <f>IF(A88&lt;&gt;"",COUNTIFS(node!$C$2:$C$1000,"="&amp;A88, node!$C$2:$C$1000,"&lt;&gt;"&amp;""),"")</f>
        <v/>
      </c>
      <c r="E88" s="111" t="str">
        <f>IF(A88&lt;&gt;"",SUMIFS(node!$F$2:$F$500, node!$C$2:$C$500,"="&amp;A88, node!$C$2:$C$500,"&lt;&gt;"&amp;"")/(B88*D88),"")</f>
        <v/>
      </c>
      <c r="F88" s="112" t="str">
        <f>IF(A88&lt;&gt;"",SUMIFS(node!$H$2:$H$500, node!$C$2:$C$500,"="&amp;A88, node!$C$2:$C$500,"&lt;&gt;"&amp;"")/(C88*D88),"")</f>
        <v/>
      </c>
      <c r="G88" s="179" t="str">
        <f>IF(A88&lt;&gt;"",SUMIFS(deployment!$F$4:$F$502, deployment!$D$4:$D$502,"="&amp;A88, deployment!$D$4:$D$502,"&lt;&gt;"&amp;""),"")</f>
        <v/>
      </c>
      <c r="H88" s="181" t="str">
        <f>IF(A88&lt;&gt;"",SUMIFS(deployment!$G$4:$G$502, deployment!$D$4:$D$502,"="&amp;A88, deployment!$D$4:$D$502,"&lt;&gt;"&amp;""),"")</f>
        <v/>
      </c>
      <c r="I88" s="113" t="str">
        <f>IF(A88&lt;&gt;"",SUMIFS(deployment!$H$4:$H$502, deployment!$D$4:$D$502,"="&amp;A88, deployment!$D$4:$D$502,"&lt;&gt;"&amp;""),"")</f>
        <v/>
      </c>
      <c r="J88" s="114" t="str">
        <f>IF(A88&lt;&gt;"",SUMIFS(deployment!$I$4:$I$502, deployment!$D$4:$D$502,"="&amp;A88, deployment!$D$4:$D$502,"&lt;&gt;"&amp;""),"")</f>
        <v/>
      </c>
      <c r="K88" s="182" t="str">
        <f>IF(A88&lt;&gt;"",SUMIFS(deployment!$J$4:$J$1002, deployment!$D$4:$D$1002,"="&amp;A88, deployment!$D$4:$D$1002,"&lt;&gt;"&amp;"", deployment!$C$4:$C$1002, "&lt;&gt;* )")+SUMIFS(namespace!$G$4:$G$1002, namespace!$B$4:$B$1002,"="&amp;A88, namespace!$B$4:$B$1002,"&lt;&gt;"&amp;""),"")</f>
        <v/>
      </c>
      <c r="L88" s="182" t="str">
        <f>IF(A88&lt;&gt;"",SUMIFS(deployment!$K$4:$K$1002, deployment!$D$4:$D$1002,"="&amp;A88, deployment!$D$4:$D$1002,"&lt;&gt;"&amp;"", deployment!$C$4:$C$1002, "&lt;&gt;* )")+SUMIFS(namespace!$H$4:$H$1002, namespace!$B$4:$B$1002,"="&amp;A88, namespace!$B$4:$B$1002,"&lt;&gt;"&amp;""),"")</f>
        <v/>
      </c>
      <c r="M88" s="115" t="str">
        <f>IF(A88&lt;&gt;"",SUMIFS(deployment!$L$4:$L$1002, deployment!$D$4:$D$1002,"="&amp;A88, deployment!$D$4:$D$1002,"&lt;&gt;"&amp;"", deployment!$C$4:$C$1002, "&lt;&gt;* )")+SUMIFS(namespace!$I$4:$I$1002, namespace!$B$4:$B$1002,"="&amp;A88, namespace!$B$4:$B$1002,"&lt;&gt;"&amp;""),"")</f>
        <v/>
      </c>
      <c r="N88" s="115" t="str">
        <f>IF(A88&lt;&gt;"",SUMIFS(deployment!$M$4:$M$1002, deployment!$D$4:$D$1002,"="&amp;A88, deployment!$D$4:$D$1002,"&lt;&gt;"&amp;"", deployment!$C$4:$C$1002, "&lt;&gt;* )")+SUMIFS(namespace!$J$4:$J$1002, namespace!$B$4:$B$1002,"="&amp;A88, namespace!$B$4:$B$1002,"&lt;&gt;"&amp;""),"")</f>
        <v/>
      </c>
      <c r="O88" s="116" t="str">
        <f t="shared" si="19"/>
        <v/>
      </c>
      <c r="P88" s="63"/>
      <c r="Q88" s="164" t="str">
        <f t="shared" si="14"/>
        <v/>
      </c>
      <c r="R88" s="60" t="str">
        <f t="shared" si="15"/>
        <v/>
      </c>
      <c r="S88" s="60" t="str">
        <f t="shared" si="16"/>
        <v/>
      </c>
      <c r="T88" s="61" t="str">
        <f t="shared" si="17"/>
        <v/>
      </c>
      <c r="U88" s="61" t="str">
        <f t="shared" si="18"/>
        <v/>
      </c>
      <c r="V88" s="183" t="str">
        <f t="shared" si="20"/>
        <v/>
      </c>
      <c r="W88" s="183" t="str">
        <f t="shared" si="21"/>
        <v/>
      </c>
      <c r="X88" s="61" t="str">
        <f t="shared" si="22"/>
        <v/>
      </c>
      <c r="Y88" s="61" t="str">
        <f t="shared" si="23"/>
        <v/>
      </c>
      <c r="Z88" s="118" t="str">
        <f t="shared" si="24"/>
        <v/>
      </c>
      <c r="AA88" s="62" t="str">
        <f t="shared" si="25"/>
        <v/>
      </c>
      <c r="AB88" s="119" t="str">
        <f>IF(A88&lt;&gt;"", IF(P88&lt;&gt;0,SUMIFS(node!$J$2:$J$1000, node!$C$2:$C$1000,"="&amp;A88)/P88,0), "")</f>
        <v/>
      </c>
      <c r="AC88" s="81" t="str">
        <f>IF(A88&lt;&gt;"", IF(P88&lt;&gt;0,SUMIFS(node!$K$2:$K$1000, node!$C$2:$C$1000,"="&amp;A88)/P88,0), "")</f>
        <v/>
      </c>
      <c r="AD88" s="82" t="str">
        <f>IF(A88&lt;&gt;"", SUMIFS(node!$L$2:$L$1000, node!$C$2:$C$1000,"="&amp;A88), "")</f>
        <v/>
      </c>
      <c r="AE88" s="87" t="str">
        <f>IF(A88&lt;&gt;"", SUMIFS(node!$M$2:$M$1000, node!$C$2:$C$1000,"="&amp;A88), "")</f>
        <v/>
      </c>
    </row>
    <row r="89" spans="1:31" ht="15.75" customHeight="1" x14ac:dyDescent="0.25">
      <c r="A89" s="71" t="str">
        <f>IF(ISNONTEXT(node_raw[[#This Row],[Column2]]), "", node_raw[[#This Row],[Column2]])</f>
        <v/>
      </c>
      <c r="B89" s="108" t="str">
        <f>IF(A89&lt;&gt;"", VLOOKUP(A89, node!$C$2:$D$1000, 2, FALSE), "")</f>
        <v/>
      </c>
      <c r="C89" s="109" t="str">
        <f>IF(A89&lt;&gt;"", VLOOKUP(A89, node!$C$2:$E$1000, 3, FALSE), "")</f>
        <v/>
      </c>
      <c r="D89" s="110" t="str">
        <f>IF(A89&lt;&gt;"",COUNTIFS(node!$C$2:$C$1000,"="&amp;A89, node!$C$2:$C$1000,"&lt;&gt;"&amp;""),"")</f>
        <v/>
      </c>
      <c r="E89" s="111" t="str">
        <f>IF(A89&lt;&gt;"",SUMIFS(node!$F$2:$F$500, node!$C$2:$C$500,"="&amp;A89, node!$C$2:$C$500,"&lt;&gt;"&amp;"")/(B89*D89),"")</f>
        <v/>
      </c>
      <c r="F89" s="112" t="str">
        <f>IF(A89&lt;&gt;"",SUMIFS(node!$H$2:$H$500, node!$C$2:$C$500,"="&amp;A89, node!$C$2:$C$500,"&lt;&gt;"&amp;"")/(C89*D89),"")</f>
        <v/>
      </c>
      <c r="G89" s="179" t="str">
        <f>IF(A89&lt;&gt;"",SUMIFS(deployment!$F$4:$F$502, deployment!$D$4:$D$502,"="&amp;A89, deployment!$D$4:$D$502,"&lt;&gt;"&amp;""),"")</f>
        <v/>
      </c>
      <c r="H89" s="181" t="str">
        <f>IF(A89&lt;&gt;"",SUMIFS(deployment!$G$4:$G$502, deployment!$D$4:$D$502,"="&amp;A89, deployment!$D$4:$D$502,"&lt;&gt;"&amp;""),"")</f>
        <v/>
      </c>
      <c r="I89" s="113" t="str">
        <f>IF(A89&lt;&gt;"",SUMIFS(deployment!$H$4:$H$502, deployment!$D$4:$D$502,"="&amp;A89, deployment!$D$4:$D$502,"&lt;&gt;"&amp;""),"")</f>
        <v/>
      </c>
      <c r="J89" s="114" t="str">
        <f>IF(A89&lt;&gt;"",SUMIFS(deployment!$I$4:$I$502, deployment!$D$4:$D$502,"="&amp;A89, deployment!$D$4:$D$502,"&lt;&gt;"&amp;""),"")</f>
        <v/>
      </c>
      <c r="K89" s="182" t="str">
        <f>IF(A89&lt;&gt;"",SUMIFS(deployment!$J$4:$J$1002, deployment!$D$4:$D$1002,"="&amp;A89, deployment!$D$4:$D$1002,"&lt;&gt;"&amp;"", deployment!$C$4:$C$1002, "&lt;&gt;* )")+SUMIFS(namespace!$G$4:$G$1002, namespace!$B$4:$B$1002,"="&amp;A89, namespace!$B$4:$B$1002,"&lt;&gt;"&amp;""),"")</f>
        <v/>
      </c>
      <c r="L89" s="182" t="str">
        <f>IF(A89&lt;&gt;"",SUMIFS(deployment!$K$4:$K$1002, deployment!$D$4:$D$1002,"="&amp;A89, deployment!$D$4:$D$1002,"&lt;&gt;"&amp;"", deployment!$C$4:$C$1002, "&lt;&gt;* )")+SUMIFS(namespace!$H$4:$H$1002, namespace!$B$4:$B$1002,"="&amp;A89, namespace!$B$4:$B$1002,"&lt;&gt;"&amp;""),"")</f>
        <v/>
      </c>
      <c r="M89" s="115" t="str">
        <f>IF(A89&lt;&gt;"",SUMIFS(deployment!$L$4:$L$1002, deployment!$D$4:$D$1002,"="&amp;A89, deployment!$D$4:$D$1002,"&lt;&gt;"&amp;"", deployment!$C$4:$C$1002, "&lt;&gt;* )")+SUMIFS(namespace!$I$4:$I$1002, namespace!$B$4:$B$1002,"="&amp;A89, namespace!$B$4:$B$1002,"&lt;&gt;"&amp;""),"")</f>
        <v/>
      </c>
      <c r="N89" s="115" t="str">
        <f>IF(A89&lt;&gt;"",SUMIFS(deployment!$M$4:$M$1002, deployment!$D$4:$D$1002,"="&amp;A89, deployment!$D$4:$D$1002,"&lt;&gt;"&amp;"", deployment!$C$4:$C$1002, "&lt;&gt;* )")+SUMIFS(namespace!$J$4:$J$1002, namespace!$B$4:$B$1002,"="&amp;A89, namespace!$B$4:$B$1002,"&lt;&gt;"&amp;""),"")</f>
        <v/>
      </c>
      <c r="O89" s="116" t="str">
        <f t="shared" si="19"/>
        <v/>
      </c>
      <c r="P89" s="63"/>
      <c r="Q89" s="164" t="str">
        <f t="shared" si="14"/>
        <v/>
      </c>
      <c r="R89" s="60" t="str">
        <f t="shared" si="15"/>
        <v/>
      </c>
      <c r="S89" s="60" t="str">
        <f t="shared" si="16"/>
        <v/>
      </c>
      <c r="T89" s="61" t="str">
        <f t="shared" si="17"/>
        <v/>
      </c>
      <c r="U89" s="61" t="str">
        <f t="shared" si="18"/>
        <v/>
      </c>
      <c r="V89" s="183" t="str">
        <f t="shared" si="20"/>
        <v/>
      </c>
      <c r="W89" s="183" t="str">
        <f t="shared" si="21"/>
        <v/>
      </c>
      <c r="X89" s="61" t="str">
        <f t="shared" si="22"/>
        <v/>
      </c>
      <c r="Y89" s="61" t="str">
        <f t="shared" si="23"/>
        <v/>
      </c>
      <c r="Z89" s="118" t="str">
        <f t="shared" si="24"/>
        <v/>
      </c>
      <c r="AA89" s="62" t="str">
        <f t="shared" si="25"/>
        <v/>
      </c>
      <c r="AB89" s="119" t="str">
        <f>IF(A89&lt;&gt;"", IF(P89&lt;&gt;0,SUMIFS(node!$J$2:$J$1000, node!$C$2:$C$1000,"="&amp;A89)/P89,0), "")</f>
        <v/>
      </c>
      <c r="AC89" s="81" t="str">
        <f>IF(A89&lt;&gt;"", IF(P89&lt;&gt;0,SUMIFS(node!$K$2:$K$1000, node!$C$2:$C$1000,"="&amp;A89)/P89,0), "")</f>
        <v/>
      </c>
      <c r="AD89" s="82" t="str">
        <f>IF(A89&lt;&gt;"", SUMIFS(node!$L$2:$L$1000, node!$C$2:$C$1000,"="&amp;A89), "")</f>
        <v/>
      </c>
      <c r="AE89" s="87" t="str">
        <f>IF(A89&lt;&gt;"", SUMIFS(node!$M$2:$M$1000, node!$C$2:$C$1000,"="&amp;A89), "")</f>
        <v/>
      </c>
    </row>
    <row r="90" spans="1:31" ht="15.75" customHeight="1" x14ac:dyDescent="0.25">
      <c r="A90" s="71" t="str">
        <f>IF(ISNONTEXT(node_raw[[#This Row],[Column2]]), "", node_raw[[#This Row],[Column2]])</f>
        <v/>
      </c>
      <c r="B90" s="108" t="str">
        <f>IF(A90&lt;&gt;"", VLOOKUP(A90, node!$C$2:$D$1000, 2, FALSE), "")</f>
        <v/>
      </c>
      <c r="C90" s="109" t="str">
        <f>IF(A90&lt;&gt;"", VLOOKUP(A90, node!$C$2:$E$1000, 3, FALSE), "")</f>
        <v/>
      </c>
      <c r="D90" s="110" t="str">
        <f>IF(A90&lt;&gt;"",COUNTIFS(node!$C$2:$C$1000,"="&amp;A90, node!$C$2:$C$1000,"&lt;&gt;"&amp;""),"")</f>
        <v/>
      </c>
      <c r="E90" s="111" t="str">
        <f>IF(A90&lt;&gt;"",SUMIFS(node!$F$2:$F$500, node!$C$2:$C$500,"="&amp;A90, node!$C$2:$C$500,"&lt;&gt;"&amp;"")/(B90*D90),"")</f>
        <v/>
      </c>
      <c r="F90" s="112" t="str">
        <f>IF(A90&lt;&gt;"",SUMIFS(node!$H$2:$H$500, node!$C$2:$C$500,"="&amp;A90, node!$C$2:$C$500,"&lt;&gt;"&amp;"")/(C90*D90),"")</f>
        <v/>
      </c>
      <c r="G90" s="179" t="str">
        <f>IF(A90&lt;&gt;"",SUMIFS(deployment!$F$4:$F$502, deployment!$D$4:$D$502,"="&amp;A90, deployment!$D$4:$D$502,"&lt;&gt;"&amp;""),"")</f>
        <v/>
      </c>
      <c r="H90" s="181" t="str">
        <f>IF(A90&lt;&gt;"",SUMIFS(deployment!$G$4:$G$502, deployment!$D$4:$D$502,"="&amp;A90, deployment!$D$4:$D$502,"&lt;&gt;"&amp;""),"")</f>
        <v/>
      </c>
      <c r="I90" s="113" t="str">
        <f>IF(A90&lt;&gt;"",SUMIFS(deployment!$H$4:$H$502, deployment!$D$4:$D$502,"="&amp;A90, deployment!$D$4:$D$502,"&lt;&gt;"&amp;""),"")</f>
        <v/>
      </c>
      <c r="J90" s="114" t="str">
        <f>IF(A90&lt;&gt;"",SUMIFS(deployment!$I$4:$I$502, deployment!$D$4:$D$502,"="&amp;A90, deployment!$D$4:$D$502,"&lt;&gt;"&amp;""),"")</f>
        <v/>
      </c>
      <c r="K90" s="182" t="str">
        <f>IF(A90&lt;&gt;"",SUMIFS(deployment!$J$4:$J$1002, deployment!$D$4:$D$1002,"="&amp;A90, deployment!$D$4:$D$1002,"&lt;&gt;"&amp;"", deployment!$C$4:$C$1002, "&lt;&gt;* )")+SUMIFS(namespace!$G$4:$G$1002, namespace!$B$4:$B$1002,"="&amp;A90, namespace!$B$4:$B$1002,"&lt;&gt;"&amp;""),"")</f>
        <v/>
      </c>
      <c r="L90" s="182" t="str">
        <f>IF(A90&lt;&gt;"",SUMIFS(deployment!$K$4:$K$1002, deployment!$D$4:$D$1002,"="&amp;A90, deployment!$D$4:$D$1002,"&lt;&gt;"&amp;"", deployment!$C$4:$C$1002, "&lt;&gt;* )")+SUMIFS(namespace!$H$4:$H$1002, namespace!$B$4:$B$1002,"="&amp;A90, namespace!$B$4:$B$1002,"&lt;&gt;"&amp;""),"")</f>
        <v/>
      </c>
      <c r="M90" s="115" t="str">
        <f>IF(A90&lt;&gt;"",SUMIFS(deployment!$L$4:$L$1002, deployment!$D$4:$D$1002,"="&amp;A90, deployment!$D$4:$D$1002,"&lt;&gt;"&amp;"", deployment!$C$4:$C$1002, "&lt;&gt;* )")+SUMIFS(namespace!$I$4:$I$1002, namespace!$B$4:$B$1002,"="&amp;A90, namespace!$B$4:$B$1002,"&lt;&gt;"&amp;""),"")</f>
        <v/>
      </c>
      <c r="N90" s="115" t="str">
        <f>IF(A90&lt;&gt;"",SUMIFS(deployment!$M$4:$M$1002, deployment!$D$4:$D$1002,"="&amp;A90, deployment!$D$4:$D$1002,"&lt;&gt;"&amp;"", deployment!$C$4:$C$1002, "&lt;&gt;* )")+SUMIFS(namespace!$J$4:$J$1002, namespace!$B$4:$B$1002,"="&amp;A90, namespace!$B$4:$B$1002,"&lt;&gt;"&amp;""),"")</f>
        <v/>
      </c>
      <c r="O90" s="116" t="str">
        <f t="shared" si="19"/>
        <v/>
      </c>
      <c r="P90" s="63"/>
      <c r="Q90" s="164" t="str">
        <f t="shared" si="14"/>
        <v/>
      </c>
      <c r="R90" s="60" t="str">
        <f t="shared" si="15"/>
        <v/>
      </c>
      <c r="S90" s="60" t="str">
        <f t="shared" si="16"/>
        <v/>
      </c>
      <c r="T90" s="61" t="str">
        <f t="shared" si="17"/>
        <v/>
      </c>
      <c r="U90" s="61" t="str">
        <f t="shared" si="18"/>
        <v/>
      </c>
      <c r="V90" s="183" t="str">
        <f t="shared" si="20"/>
        <v/>
      </c>
      <c r="W90" s="183" t="str">
        <f t="shared" si="21"/>
        <v/>
      </c>
      <c r="X90" s="61" t="str">
        <f t="shared" si="22"/>
        <v/>
      </c>
      <c r="Y90" s="61" t="str">
        <f t="shared" si="23"/>
        <v/>
      </c>
      <c r="Z90" s="118" t="str">
        <f t="shared" si="24"/>
        <v/>
      </c>
      <c r="AA90" s="62" t="str">
        <f t="shared" si="25"/>
        <v/>
      </c>
      <c r="AB90" s="119" t="str">
        <f>IF(A90&lt;&gt;"", IF(P90&lt;&gt;0,SUMIFS(node!$J$2:$J$1000, node!$C$2:$C$1000,"="&amp;A90)/P90,0), "")</f>
        <v/>
      </c>
      <c r="AC90" s="81" t="str">
        <f>IF(A90&lt;&gt;"", IF(P90&lt;&gt;0,SUMIFS(node!$K$2:$K$1000, node!$C$2:$C$1000,"="&amp;A90)/P90,0), "")</f>
        <v/>
      </c>
      <c r="AD90" s="82" t="str">
        <f>IF(A90&lt;&gt;"", SUMIFS(node!$L$2:$L$1000, node!$C$2:$C$1000,"="&amp;A90), "")</f>
        <v/>
      </c>
      <c r="AE90" s="87" t="str">
        <f>IF(A90&lt;&gt;"", SUMIFS(node!$M$2:$M$1000, node!$C$2:$C$1000,"="&amp;A90), "")</f>
        <v/>
      </c>
    </row>
    <row r="91" spans="1:31" ht="15.75" customHeight="1" x14ac:dyDescent="0.25">
      <c r="A91" s="71" t="str">
        <f>IF(ISNONTEXT(node_raw[[#This Row],[Column2]]), "", node_raw[[#This Row],[Column2]])</f>
        <v/>
      </c>
      <c r="B91" s="108" t="str">
        <f>IF(A91&lt;&gt;"", VLOOKUP(A91, node!$C$2:$D$1000, 2, FALSE), "")</f>
        <v/>
      </c>
      <c r="C91" s="109" t="str">
        <f>IF(A91&lt;&gt;"", VLOOKUP(A91, node!$C$2:$E$1000, 3, FALSE), "")</f>
        <v/>
      </c>
      <c r="D91" s="110" t="str">
        <f>IF(A91&lt;&gt;"",COUNTIFS(node!$C$2:$C$1000,"="&amp;A91, node!$C$2:$C$1000,"&lt;&gt;"&amp;""),"")</f>
        <v/>
      </c>
      <c r="E91" s="111" t="str">
        <f>IF(A91&lt;&gt;"",SUMIFS(node!$F$2:$F$500, node!$C$2:$C$500,"="&amp;A91, node!$C$2:$C$500,"&lt;&gt;"&amp;"")/(B91*D91),"")</f>
        <v/>
      </c>
      <c r="F91" s="112" t="str">
        <f>IF(A91&lt;&gt;"",SUMIFS(node!$H$2:$H$500, node!$C$2:$C$500,"="&amp;A91, node!$C$2:$C$500,"&lt;&gt;"&amp;"")/(C91*D91),"")</f>
        <v/>
      </c>
      <c r="G91" s="179" t="str">
        <f>IF(A91&lt;&gt;"",SUMIFS(deployment!$F$4:$F$502, deployment!$D$4:$D$502,"="&amp;A91, deployment!$D$4:$D$502,"&lt;&gt;"&amp;""),"")</f>
        <v/>
      </c>
      <c r="H91" s="181" t="str">
        <f>IF(A91&lt;&gt;"",SUMIFS(deployment!$G$4:$G$502, deployment!$D$4:$D$502,"="&amp;A91, deployment!$D$4:$D$502,"&lt;&gt;"&amp;""),"")</f>
        <v/>
      </c>
      <c r="I91" s="113" t="str">
        <f>IF(A91&lt;&gt;"",SUMIFS(deployment!$H$4:$H$502, deployment!$D$4:$D$502,"="&amp;A91, deployment!$D$4:$D$502,"&lt;&gt;"&amp;""),"")</f>
        <v/>
      </c>
      <c r="J91" s="114" t="str">
        <f>IF(A91&lt;&gt;"",SUMIFS(deployment!$I$4:$I$502, deployment!$D$4:$D$502,"="&amp;A91, deployment!$D$4:$D$502,"&lt;&gt;"&amp;""),"")</f>
        <v/>
      </c>
      <c r="K91" s="182" t="str">
        <f>IF(A91&lt;&gt;"",SUMIFS(deployment!$J$4:$J$1002, deployment!$D$4:$D$1002,"="&amp;A91, deployment!$D$4:$D$1002,"&lt;&gt;"&amp;"", deployment!$C$4:$C$1002, "&lt;&gt;* )")+SUMIFS(namespace!$G$4:$G$1002, namespace!$B$4:$B$1002,"="&amp;A91, namespace!$B$4:$B$1002,"&lt;&gt;"&amp;""),"")</f>
        <v/>
      </c>
      <c r="L91" s="182" t="str">
        <f>IF(A91&lt;&gt;"",SUMIFS(deployment!$K$4:$K$1002, deployment!$D$4:$D$1002,"="&amp;A91, deployment!$D$4:$D$1002,"&lt;&gt;"&amp;"", deployment!$C$4:$C$1002, "&lt;&gt;* )")+SUMIFS(namespace!$H$4:$H$1002, namespace!$B$4:$B$1002,"="&amp;A91, namespace!$B$4:$B$1002,"&lt;&gt;"&amp;""),"")</f>
        <v/>
      </c>
      <c r="M91" s="115" t="str">
        <f>IF(A91&lt;&gt;"",SUMIFS(deployment!$L$4:$L$1002, deployment!$D$4:$D$1002,"="&amp;A91, deployment!$D$4:$D$1002,"&lt;&gt;"&amp;"", deployment!$C$4:$C$1002, "&lt;&gt;* )")+SUMIFS(namespace!$I$4:$I$1002, namespace!$B$4:$B$1002,"="&amp;A91, namespace!$B$4:$B$1002,"&lt;&gt;"&amp;""),"")</f>
        <v/>
      </c>
      <c r="N91" s="115" t="str">
        <f>IF(A91&lt;&gt;"",SUMIFS(deployment!$M$4:$M$1002, deployment!$D$4:$D$1002,"="&amp;A91, deployment!$D$4:$D$1002,"&lt;&gt;"&amp;"", deployment!$C$4:$C$1002, "&lt;&gt;* )")+SUMIFS(namespace!$J$4:$J$1002, namespace!$B$4:$B$1002,"="&amp;A91, namespace!$B$4:$B$1002,"&lt;&gt;"&amp;""),"")</f>
        <v/>
      </c>
      <c r="O91" s="116" t="str">
        <f t="shared" si="19"/>
        <v/>
      </c>
      <c r="P91" s="63"/>
      <c r="Q91" s="164" t="str">
        <f t="shared" si="14"/>
        <v/>
      </c>
      <c r="R91" s="60" t="str">
        <f t="shared" si="15"/>
        <v/>
      </c>
      <c r="S91" s="60" t="str">
        <f t="shared" si="16"/>
        <v/>
      </c>
      <c r="T91" s="61" t="str">
        <f t="shared" si="17"/>
        <v/>
      </c>
      <c r="U91" s="61" t="str">
        <f t="shared" si="18"/>
        <v/>
      </c>
      <c r="V91" s="183" t="str">
        <f t="shared" si="20"/>
        <v/>
      </c>
      <c r="W91" s="183" t="str">
        <f t="shared" si="21"/>
        <v/>
      </c>
      <c r="X91" s="61" t="str">
        <f t="shared" si="22"/>
        <v/>
      </c>
      <c r="Y91" s="61" t="str">
        <f t="shared" si="23"/>
        <v/>
      </c>
      <c r="Z91" s="118" t="str">
        <f t="shared" si="24"/>
        <v/>
      </c>
      <c r="AA91" s="62" t="str">
        <f t="shared" si="25"/>
        <v/>
      </c>
      <c r="AB91" s="119" t="str">
        <f>IF(A91&lt;&gt;"", IF(P91&lt;&gt;0,SUMIFS(node!$J$2:$J$1000, node!$C$2:$C$1000,"="&amp;A91)/P91,0), "")</f>
        <v/>
      </c>
      <c r="AC91" s="81" t="str">
        <f>IF(A91&lt;&gt;"", IF(P91&lt;&gt;0,SUMIFS(node!$K$2:$K$1000, node!$C$2:$C$1000,"="&amp;A91)/P91,0), "")</f>
        <v/>
      </c>
      <c r="AD91" s="82" t="str">
        <f>IF(A91&lt;&gt;"", SUMIFS(node!$L$2:$L$1000, node!$C$2:$C$1000,"="&amp;A91), "")</f>
        <v/>
      </c>
      <c r="AE91" s="87" t="str">
        <f>IF(A91&lt;&gt;"", SUMIFS(node!$M$2:$M$1000, node!$C$2:$C$1000,"="&amp;A91), "")</f>
        <v/>
      </c>
    </row>
    <row r="92" spans="1:31" ht="15.75" customHeight="1" x14ac:dyDescent="0.25">
      <c r="A92" s="71" t="str">
        <f>IF(ISNONTEXT(node_raw[[#This Row],[Column2]]), "", node_raw[[#This Row],[Column2]])</f>
        <v/>
      </c>
      <c r="B92" s="108" t="str">
        <f>IF(A92&lt;&gt;"", VLOOKUP(A92, node!$C$2:$D$1000, 2, FALSE), "")</f>
        <v/>
      </c>
      <c r="C92" s="109" t="str">
        <f>IF(A92&lt;&gt;"", VLOOKUP(A92, node!$C$2:$E$1000, 3, FALSE), "")</f>
        <v/>
      </c>
      <c r="D92" s="110" t="str">
        <f>IF(A92&lt;&gt;"",COUNTIFS(node!$C$2:$C$1000,"="&amp;A92, node!$C$2:$C$1000,"&lt;&gt;"&amp;""),"")</f>
        <v/>
      </c>
      <c r="E92" s="111" t="str">
        <f>IF(A92&lt;&gt;"",SUMIFS(node!$F$2:$F$500, node!$C$2:$C$500,"="&amp;A92, node!$C$2:$C$500,"&lt;&gt;"&amp;"")/(B92*D92),"")</f>
        <v/>
      </c>
      <c r="F92" s="112" t="str">
        <f>IF(A92&lt;&gt;"",SUMIFS(node!$H$2:$H$500, node!$C$2:$C$500,"="&amp;A92, node!$C$2:$C$500,"&lt;&gt;"&amp;"")/(C92*D92),"")</f>
        <v/>
      </c>
      <c r="G92" s="179" t="str">
        <f>IF(A92&lt;&gt;"",SUMIFS(deployment!$F$4:$F$502, deployment!$D$4:$D$502,"="&amp;A92, deployment!$D$4:$D$502,"&lt;&gt;"&amp;""),"")</f>
        <v/>
      </c>
      <c r="H92" s="181" t="str">
        <f>IF(A92&lt;&gt;"",SUMIFS(deployment!$G$4:$G$502, deployment!$D$4:$D$502,"="&amp;A92, deployment!$D$4:$D$502,"&lt;&gt;"&amp;""),"")</f>
        <v/>
      </c>
      <c r="I92" s="113" t="str">
        <f>IF(A92&lt;&gt;"",SUMIFS(deployment!$H$4:$H$502, deployment!$D$4:$D$502,"="&amp;A92, deployment!$D$4:$D$502,"&lt;&gt;"&amp;""),"")</f>
        <v/>
      </c>
      <c r="J92" s="114" t="str">
        <f>IF(A92&lt;&gt;"",SUMIFS(deployment!$I$4:$I$502, deployment!$D$4:$D$502,"="&amp;A92, deployment!$D$4:$D$502,"&lt;&gt;"&amp;""),"")</f>
        <v/>
      </c>
      <c r="K92" s="182" t="str">
        <f>IF(A92&lt;&gt;"",SUMIFS(deployment!$J$4:$J$1002, deployment!$D$4:$D$1002,"="&amp;A92, deployment!$D$4:$D$1002,"&lt;&gt;"&amp;"", deployment!$C$4:$C$1002, "&lt;&gt;* )")+SUMIFS(namespace!$G$4:$G$1002, namespace!$B$4:$B$1002,"="&amp;A92, namespace!$B$4:$B$1002,"&lt;&gt;"&amp;""),"")</f>
        <v/>
      </c>
      <c r="L92" s="182" t="str">
        <f>IF(A92&lt;&gt;"",SUMIFS(deployment!$K$4:$K$1002, deployment!$D$4:$D$1002,"="&amp;A92, deployment!$D$4:$D$1002,"&lt;&gt;"&amp;"", deployment!$C$4:$C$1002, "&lt;&gt;* )")+SUMIFS(namespace!$H$4:$H$1002, namespace!$B$4:$B$1002,"="&amp;A92, namespace!$B$4:$B$1002,"&lt;&gt;"&amp;""),"")</f>
        <v/>
      </c>
      <c r="M92" s="115" t="str">
        <f>IF(A92&lt;&gt;"",SUMIFS(deployment!$L$4:$L$1002, deployment!$D$4:$D$1002,"="&amp;A92, deployment!$D$4:$D$1002,"&lt;&gt;"&amp;"", deployment!$C$4:$C$1002, "&lt;&gt;* )")+SUMIFS(namespace!$I$4:$I$1002, namespace!$B$4:$B$1002,"="&amp;A92, namespace!$B$4:$B$1002,"&lt;&gt;"&amp;""),"")</f>
        <v/>
      </c>
      <c r="N92" s="115" t="str">
        <f>IF(A92&lt;&gt;"",SUMIFS(deployment!$M$4:$M$1002, deployment!$D$4:$D$1002,"="&amp;A92, deployment!$D$4:$D$1002,"&lt;&gt;"&amp;"", deployment!$C$4:$C$1002, "&lt;&gt;* )")+SUMIFS(namespace!$J$4:$J$1002, namespace!$B$4:$B$1002,"="&amp;A92, namespace!$B$4:$B$1002,"&lt;&gt;"&amp;""),"")</f>
        <v/>
      </c>
      <c r="O92" s="116" t="str">
        <f t="shared" si="19"/>
        <v/>
      </c>
      <c r="P92" s="63"/>
      <c r="Q92" s="164" t="str">
        <f t="shared" si="14"/>
        <v/>
      </c>
      <c r="R92" s="60" t="str">
        <f t="shared" si="15"/>
        <v/>
      </c>
      <c r="S92" s="60" t="str">
        <f t="shared" si="16"/>
        <v/>
      </c>
      <c r="T92" s="61" t="str">
        <f t="shared" si="17"/>
        <v/>
      </c>
      <c r="U92" s="61" t="str">
        <f t="shared" si="18"/>
        <v/>
      </c>
      <c r="V92" s="183" t="str">
        <f t="shared" si="20"/>
        <v/>
      </c>
      <c r="W92" s="183" t="str">
        <f t="shared" si="21"/>
        <v/>
      </c>
      <c r="X92" s="61" t="str">
        <f t="shared" si="22"/>
        <v/>
      </c>
      <c r="Y92" s="61" t="str">
        <f t="shared" si="23"/>
        <v/>
      </c>
      <c r="Z92" s="118" t="str">
        <f t="shared" si="24"/>
        <v/>
      </c>
      <c r="AA92" s="62" t="str">
        <f t="shared" si="25"/>
        <v/>
      </c>
      <c r="AB92" s="119" t="str">
        <f>IF(A92&lt;&gt;"", IF(P92&lt;&gt;0,SUMIFS(node!$J$2:$J$1000, node!$C$2:$C$1000,"="&amp;A92)/P92,0), "")</f>
        <v/>
      </c>
      <c r="AC92" s="81" t="str">
        <f>IF(A92&lt;&gt;"", IF(P92&lt;&gt;0,SUMIFS(node!$K$2:$K$1000, node!$C$2:$C$1000,"="&amp;A92)/P92,0), "")</f>
        <v/>
      </c>
      <c r="AD92" s="82" t="str">
        <f>IF(A92&lt;&gt;"", SUMIFS(node!$L$2:$L$1000, node!$C$2:$C$1000,"="&amp;A92), "")</f>
        <v/>
      </c>
      <c r="AE92" s="87" t="str">
        <f>IF(A92&lt;&gt;"", SUMIFS(node!$M$2:$M$1000, node!$C$2:$C$1000,"="&amp;A92), "")</f>
        <v/>
      </c>
    </row>
    <row r="93" spans="1:31" ht="15.75" customHeight="1" x14ac:dyDescent="0.25">
      <c r="A93" s="71" t="str">
        <f>IF(ISNONTEXT(node_raw[[#This Row],[Column2]]), "", node_raw[[#This Row],[Column2]])</f>
        <v/>
      </c>
      <c r="B93" s="108" t="str">
        <f>IF(A93&lt;&gt;"", VLOOKUP(A93, node!$C$2:$D$1000, 2, FALSE), "")</f>
        <v/>
      </c>
      <c r="C93" s="109" t="str">
        <f>IF(A93&lt;&gt;"", VLOOKUP(A93, node!$C$2:$E$1000, 3, FALSE), "")</f>
        <v/>
      </c>
      <c r="D93" s="110" t="str">
        <f>IF(A93&lt;&gt;"",COUNTIFS(node!$C$2:$C$1000,"="&amp;A93, node!$C$2:$C$1000,"&lt;&gt;"&amp;""),"")</f>
        <v/>
      </c>
      <c r="E93" s="111" t="str">
        <f>IF(A93&lt;&gt;"",SUMIFS(node!$F$2:$F$500, node!$C$2:$C$500,"="&amp;A93, node!$C$2:$C$500,"&lt;&gt;"&amp;"")/(B93*D93),"")</f>
        <v/>
      </c>
      <c r="F93" s="112" t="str">
        <f>IF(A93&lt;&gt;"",SUMIFS(node!$H$2:$H$500, node!$C$2:$C$500,"="&amp;A93, node!$C$2:$C$500,"&lt;&gt;"&amp;"")/(C93*D93),"")</f>
        <v/>
      </c>
      <c r="G93" s="179" t="str">
        <f>IF(A93&lt;&gt;"",SUMIFS(deployment!$F$4:$F$502, deployment!$D$4:$D$502,"="&amp;A93, deployment!$D$4:$D$502,"&lt;&gt;"&amp;""),"")</f>
        <v/>
      </c>
      <c r="H93" s="181" t="str">
        <f>IF(A93&lt;&gt;"",SUMIFS(deployment!$G$4:$G$502, deployment!$D$4:$D$502,"="&amp;A93, deployment!$D$4:$D$502,"&lt;&gt;"&amp;""),"")</f>
        <v/>
      </c>
      <c r="I93" s="113" t="str">
        <f>IF(A93&lt;&gt;"",SUMIFS(deployment!$H$4:$H$502, deployment!$D$4:$D$502,"="&amp;A93, deployment!$D$4:$D$502,"&lt;&gt;"&amp;""),"")</f>
        <v/>
      </c>
      <c r="J93" s="114" t="str">
        <f>IF(A93&lt;&gt;"",SUMIFS(deployment!$I$4:$I$502, deployment!$D$4:$D$502,"="&amp;A93, deployment!$D$4:$D$502,"&lt;&gt;"&amp;""),"")</f>
        <v/>
      </c>
      <c r="K93" s="182" t="str">
        <f>IF(A93&lt;&gt;"",SUMIFS(deployment!$J$4:$J$1002, deployment!$D$4:$D$1002,"="&amp;A93, deployment!$D$4:$D$1002,"&lt;&gt;"&amp;"", deployment!$C$4:$C$1002, "&lt;&gt;* )")+SUMIFS(namespace!$G$4:$G$1002, namespace!$B$4:$B$1002,"="&amp;A93, namespace!$B$4:$B$1002,"&lt;&gt;"&amp;""),"")</f>
        <v/>
      </c>
      <c r="L93" s="182" t="str">
        <f>IF(A93&lt;&gt;"",SUMIFS(deployment!$K$4:$K$1002, deployment!$D$4:$D$1002,"="&amp;A93, deployment!$D$4:$D$1002,"&lt;&gt;"&amp;"", deployment!$C$4:$C$1002, "&lt;&gt;* )")+SUMIFS(namespace!$H$4:$H$1002, namespace!$B$4:$B$1002,"="&amp;A93, namespace!$B$4:$B$1002,"&lt;&gt;"&amp;""),"")</f>
        <v/>
      </c>
      <c r="M93" s="115" t="str">
        <f>IF(A93&lt;&gt;"",SUMIFS(deployment!$L$4:$L$1002, deployment!$D$4:$D$1002,"="&amp;A93, deployment!$D$4:$D$1002,"&lt;&gt;"&amp;"", deployment!$C$4:$C$1002, "&lt;&gt;* )")+SUMIFS(namespace!$I$4:$I$1002, namespace!$B$4:$B$1002,"="&amp;A93, namespace!$B$4:$B$1002,"&lt;&gt;"&amp;""),"")</f>
        <v/>
      </c>
      <c r="N93" s="115" t="str">
        <f>IF(A93&lt;&gt;"",SUMIFS(deployment!$M$4:$M$1002, deployment!$D$4:$D$1002,"="&amp;A93, deployment!$D$4:$D$1002,"&lt;&gt;"&amp;"", deployment!$C$4:$C$1002, "&lt;&gt;* )")+SUMIFS(namespace!$J$4:$J$1002, namespace!$B$4:$B$1002,"="&amp;A93, namespace!$B$4:$B$1002,"&lt;&gt;"&amp;""),"")</f>
        <v/>
      </c>
      <c r="O93" s="116" t="str">
        <f t="shared" si="19"/>
        <v/>
      </c>
      <c r="P93" s="63"/>
      <c r="Q93" s="164" t="str">
        <f t="shared" si="14"/>
        <v/>
      </c>
      <c r="R93" s="60" t="str">
        <f t="shared" si="15"/>
        <v/>
      </c>
      <c r="S93" s="60" t="str">
        <f t="shared" si="16"/>
        <v/>
      </c>
      <c r="T93" s="61" t="str">
        <f t="shared" si="17"/>
        <v/>
      </c>
      <c r="U93" s="61" t="str">
        <f t="shared" si="18"/>
        <v/>
      </c>
      <c r="V93" s="183" t="str">
        <f t="shared" si="20"/>
        <v/>
      </c>
      <c r="W93" s="183" t="str">
        <f t="shared" si="21"/>
        <v/>
      </c>
      <c r="X93" s="61" t="str">
        <f t="shared" si="22"/>
        <v/>
      </c>
      <c r="Y93" s="61" t="str">
        <f t="shared" si="23"/>
        <v/>
      </c>
      <c r="Z93" s="118" t="str">
        <f t="shared" si="24"/>
        <v/>
      </c>
      <c r="AA93" s="62" t="str">
        <f t="shared" si="25"/>
        <v/>
      </c>
      <c r="AB93" s="119" t="str">
        <f>IF(A93&lt;&gt;"", IF(P93&lt;&gt;0,SUMIFS(node!$J$2:$J$1000, node!$C$2:$C$1000,"="&amp;A93)/P93,0), "")</f>
        <v/>
      </c>
      <c r="AC93" s="81" t="str">
        <f>IF(A93&lt;&gt;"", IF(P93&lt;&gt;0,SUMIFS(node!$K$2:$K$1000, node!$C$2:$C$1000,"="&amp;A93)/P93,0), "")</f>
        <v/>
      </c>
      <c r="AD93" s="82" t="str">
        <f>IF(A93&lt;&gt;"", SUMIFS(node!$L$2:$L$1000, node!$C$2:$C$1000,"="&amp;A93), "")</f>
        <v/>
      </c>
      <c r="AE93" s="87" t="str">
        <f>IF(A93&lt;&gt;"", SUMIFS(node!$M$2:$M$1000, node!$C$2:$C$1000,"="&amp;A93), "")</f>
        <v/>
      </c>
    </row>
    <row r="94" spans="1:31" ht="15.75" customHeight="1" x14ac:dyDescent="0.25">
      <c r="A94" s="71" t="str">
        <f>IF(ISNONTEXT(node_raw[[#This Row],[Column2]]), "", node_raw[[#This Row],[Column2]])</f>
        <v/>
      </c>
      <c r="B94" s="108" t="str">
        <f>IF(A94&lt;&gt;"", VLOOKUP(A94, node!$C$2:$D$1000, 2, FALSE), "")</f>
        <v/>
      </c>
      <c r="C94" s="109" t="str">
        <f>IF(A94&lt;&gt;"", VLOOKUP(A94, node!$C$2:$E$1000, 3, FALSE), "")</f>
        <v/>
      </c>
      <c r="D94" s="110" t="str">
        <f>IF(A94&lt;&gt;"",COUNTIFS(node!$C$2:$C$1000,"="&amp;A94, node!$C$2:$C$1000,"&lt;&gt;"&amp;""),"")</f>
        <v/>
      </c>
      <c r="E94" s="111" t="str">
        <f>IF(A94&lt;&gt;"",SUMIFS(node!$F$2:$F$500, node!$C$2:$C$500,"="&amp;A94, node!$C$2:$C$500,"&lt;&gt;"&amp;"")/(B94*D94),"")</f>
        <v/>
      </c>
      <c r="F94" s="112" t="str">
        <f>IF(A94&lt;&gt;"",SUMIFS(node!$H$2:$H$500, node!$C$2:$C$500,"="&amp;A94, node!$C$2:$C$500,"&lt;&gt;"&amp;"")/(C94*D94),"")</f>
        <v/>
      </c>
      <c r="G94" s="179" t="str">
        <f>IF(A94&lt;&gt;"",SUMIFS(deployment!$F$4:$F$502, deployment!$D$4:$D$502,"="&amp;A94, deployment!$D$4:$D$502,"&lt;&gt;"&amp;""),"")</f>
        <v/>
      </c>
      <c r="H94" s="181" t="str">
        <f>IF(A94&lt;&gt;"",SUMIFS(deployment!$G$4:$G$502, deployment!$D$4:$D$502,"="&amp;A94, deployment!$D$4:$D$502,"&lt;&gt;"&amp;""),"")</f>
        <v/>
      </c>
      <c r="I94" s="113" t="str">
        <f>IF(A94&lt;&gt;"",SUMIFS(deployment!$H$4:$H$502, deployment!$D$4:$D$502,"="&amp;A94, deployment!$D$4:$D$502,"&lt;&gt;"&amp;""),"")</f>
        <v/>
      </c>
      <c r="J94" s="114" t="str">
        <f>IF(A94&lt;&gt;"",SUMIFS(deployment!$I$4:$I$502, deployment!$D$4:$D$502,"="&amp;A94, deployment!$D$4:$D$502,"&lt;&gt;"&amp;""),"")</f>
        <v/>
      </c>
      <c r="K94" s="182" t="str">
        <f>IF(A94&lt;&gt;"",SUMIFS(deployment!$J$4:$J$1002, deployment!$D$4:$D$1002,"="&amp;A94, deployment!$D$4:$D$1002,"&lt;&gt;"&amp;"", deployment!$C$4:$C$1002, "&lt;&gt;* )")+SUMIFS(namespace!$G$4:$G$1002, namespace!$B$4:$B$1002,"="&amp;A94, namespace!$B$4:$B$1002,"&lt;&gt;"&amp;""),"")</f>
        <v/>
      </c>
      <c r="L94" s="182" t="str">
        <f>IF(A94&lt;&gt;"",SUMIFS(deployment!$K$4:$K$1002, deployment!$D$4:$D$1002,"="&amp;A94, deployment!$D$4:$D$1002,"&lt;&gt;"&amp;"", deployment!$C$4:$C$1002, "&lt;&gt;* )")+SUMIFS(namespace!$H$4:$H$1002, namespace!$B$4:$B$1002,"="&amp;A94, namespace!$B$4:$B$1002,"&lt;&gt;"&amp;""),"")</f>
        <v/>
      </c>
      <c r="M94" s="115" t="str">
        <f>IF(A94&lt;&gt;"",SUMIFS(deployment!$L$4:$L$1002, deployment!$D$4:$D$1002,"="&amp;A94, deployment!$D$4:$D$1002,"&lt;&gt;"&amp;"", deployment!$C$4:$C$1002, "&lt;&gt;* )")+SUMIFS(namespace!$I$4:$I$1002, namespace!$B$4:$B$1002,"="&amp;A94, namespace!$B$4:$B$1002,"&lt;&gt;"&amp;""),"")</f>
        <v/>
      </c>
      <c r="N94" s="115" t="str">
        <f>IF(A94&lt;&gt;"",SUMIFS(deployment!$M$4:$M$1002, deployment!$D$4:$D$1002,"="&amp;A94, deployment!$D$4:$D$1002,"&lt;&gt;"&amp;"", deployment!$C$4:$C$1002, "&lt;&gt;* )")+SUMIFS(namespace!$J$4:$J$1002, namespace!$B$4:$B$1002,"="&amp;A94, namespace!$B$4:$B$1002,"&lt;&gt;"&amp;""),"")</f>
        <v/>
      </c>
      <c r="O94" s="116" t="str">
        <f t="shared" si="19"/>
        <v/>
      </c>
      <c r="P94" s="63"/>
      <c r="Q94" s="164" t="str">
        <f t="shared" si="14"/>
        <v/>
      </c>
      <c r="R94" s="60" t="str">
        <f t="shared" si="15"/>
        <v/>
      </c>
      <c r="S94" s="60" t="str">
        <f t="shared" si="16"/>
        <v/>
      </c>
      <c r="T94" s="61" t="str">
        <f t="shared" si="17"/>
        <v/>
      </c>
      <c r="U94" s="61" t="str">
        <f t="shared" si="18"/>
        <v/>
      </c>
      <c r="V94" s="183" t="str">
        <f t="shared" si="20"/>
        <v/>
      </c>
      <c r="W94" s="183" t="str">
        <f t="shared" si="21"/>
        <v/>
      </c>
      <c r="X94" s="61" t="str">
        <f t="shared" si="22"/>
        <v/>
      </c>
      <c r="Y94" s="61" t="str">
        <f t="shared" si="23"/>
        <v/>
      </c>
      <c r="Z94" s="118" t="str">
        <f t="shared" si="24"/>
        <v/>
      </c>
      <c r="AA94" s="62" t="str">
        <f t="shared" si="25"/>
        <v/>
      </c>
      <c r="AB94" s="119" t="str">
        <f>IF(A94&lt;&gt;"", IF(P94&lt;&gt;0,SUMIFS(node!$J$2:$J$1000, node!$C$2:$C$1000,"="&amp;A94)/P94,0), "")</f>
        <v/>
      </c>
      <c r="AC94" s="81" t="str">
        <f>IF(A94&lt;&gt;"", IF(P94&lt;&gt;0,SUMIFS(node!$K$2:$K$1000, node!$C$2:$C$1000,"="&amp;A94)/P94,0), "")</f>
        <v/>
      </c>
      <c r="AD94" s="82" t="str">
        <f>IF(A94&lt;&gt;"", SUMIFS(node!$L$2:$L$1000, node!$C$2:$C$1000,"="&amp;A94), "")</f>
        <v/>
      </c>
      <c r="AE94" s="87" t="str">
        <f>IF(A94&lt;&gt;"", SUMIFS(node!$M$2:$M$1000, node!$C$2:$C$1000,"="&amp;A94), "")</f>
        <v/>
      </c>
    </row>
    <row r="95" spans="1:31" ht="15.75" customHeight="1" x14ac:dyDescent="0.25">
      <c r="A95" s="71" t="str">
        <f>IF(ISNONTEXT(node_raw[[#This Row],[Column2]]), "", node_raw[[#This Row],[Column2]])</f>
        <v/>
      </c>
      <c r="B95" s="108" t="str">
        <f>IF(A95&lt;&gt;"", VLOOKUP(A95, node!$C$2:$D$1000, 2, FALSE), "")</f>
        <v/>
      </c>
      <c r="C95" s="109" t="str">
        <f>IF(A95&lt;&gt;"", VLOOKUP(A95, node!$C$2:$E$1000, 3, FALSE), "")</f>
        <v/>
      </c>
      <c r="D95" s="110" t="str">
        <f>IF(A95&lt;&gt;"",COUNTIFS(node!$C$2:$C$1000,"="&amp;A95, node!$C$2:$C$1000,"&lt;&gt;"&amp;""),"")</f>
        <v/>
      </c>
      <c r="E95" s="111" t="str">
        <f>IF(A95&lt;&gt;"",SUMIFS(node!$F$2:$F$500, node!$C$2:$C$500,"="&amp;A95, node!$C$2:$C$500,"&lt;&gt;"&amp;"")/(B95*D95),"")</f>
        <v/>
      </c>
      <c r="F95" s="112" t="str">
        <f>IF(A95&lt;&gt;"",SUMIFS(node!$H$2:$H$500, node!$C$2:$C$500,"="&amp;A95, node!$C$2:$C$500,"&lt;&gt;"&amp;"")/(C95*D95),"")</f>
        <v/>
      </c>
      <c r="G95" s="179" t="str">
        <f>IF(A95&lt;&gt;"",SUMIFS(deployment!$F$4:$F$502, deployment!$D$4:$D$502,"="&amp;A95, deployment!$D$4:$D$502,"&lt;&gt;"&amp;""),"")</f>
        <v/>
      </c>
      <c r="H95" s="181" t="str">
        <f>IF(A95&lt;&gt;"",SUMIFS(deployment!$G$4:$G$502, deployment!$D$4:$D$502,"="&amp;A95, deployment!$D$4:$D$502,"&lt;&gt;"&amp;""),"")</f>
        <v/>
      </c>
      <c r="I95" s="113" t="str">
        <f>IF(A95&lt;&gt;"",SUMIFS(deployment!$H$4:$H$502, deployment!$D$4:$D$502,"="&amp;A95, deployment!$D$4:$D$502,"&lt;&gt;"&amp;""),"")</f>
        <v/>
      </c>
      <c r="J95" s="114" t="str">
        <f>IF(A95&lt;&gt;"",SUMIFS(deployment!$I$4:$I$502, deployment!$D$4:$D$502,"="&amp;A95, deployment!$D$4:$D$502,"&lt;&gt;"&amp;""),"")</f>
        <v/>
      </c>
      <c r="K95" s="182" t="str">
        <f>IF(A95&lt;&gt;"",SUMIFS(deployment!$J$4:$J$1002, deployment!$D$4:$D$1002,"="&amp;A95, deployment!$D$4:$D$1002,"&lt;&gt;"&amp;"", deployment!$C$4:$C$1002, "&lt;&gt;* )")+SUMIFS(namespace!$G$4:$G$1002, namespace!$B$4:$B$1002,"="&amp;A95, namespace!$B$4:$B$1002,"&lt;&gt;"&amp;""),"")</f>
        <v/>
      </c>
      <c r="L95" s="182" t="str">
        <f>IF(A95&lt;&gt;"",SUMIFS(deployment!$K$4:$K$1002, deployment!$D$4:$D$1002,"="&amp;A95, deployment!$D$4:$D$1002,"&lt;&gt;"&amp;"", deployment!$C$4:$C$1002, "&lt;&gt;* )")+SUMIFS(namespace!$H$4:$H$1002, namespace!$B$4:$B$1002,"="&amp;A95, namespace!$B$4:$B$1002,"&lt;&gt;"&amp;""),"")</f>
        <v/>
      </c>
      <c r="M95" s="115" t="str">
        <f>IF(A95&lt;&gt;"",SUMIFS(deployment!$L$4:$L$1002, deployment!$D$4:$D$1002,"="&amp;A95, deployment!$D$4:$D$1002,"&lt;&gt;"&amp;"", deployment!$C$4:$C$1002, "&lt;&gt;* )")+SUMIFS(namespace!$I$4:$I$1002, namespace!$B$4:$B$1002,"="&amp;A95, namespace!$B$4:$B$1002,"&lt;&gt;"&amp;""),"")</f>
        <v/>
      </c>
      <c r="N95" s="115" t="str">
        <f>IF(A95&lt;&gt;"",SUMIFS(deployment!$M$4:$M$1002, deployment!$D$4:$D$1002,"="&amp;A95, deployment!$D$4:$D$1002,"&lt;&gt;"&amp;"", deployment!$C$4:$C$1002, "&lt;&gt;* )")+SUMIFS(namespace!$J$4:$J$1002, namespace!$B$4:$B$1002,"="&amp;A95, namespace!$B$4:$B$1002,"&lt;&gt;"&amp;""),"")</f>
        <v/>
      </c>
      <c r="O95" s="116" t="str">
        <f t="shared" si="19"/>
        <v/>
      </c>
      <c r="P95" s="63"/>
      <c r="Q95" s="164" t="str">
        <f t="shared" si="14"/>
        <v/>
      </c>
      <c r="R95" s="60" t="str">
        <f t="shared" si="15"/>
        <v/>
      </c>
      <c r="S95" s="60" t="str">
        <f t="shared" si="16"/>
        <v/>
      </c>
      <c r="T95" s="61" t="str">
        <f t="shared" si="17"/>
        <v/>
      </c>
      <c r="U95" s="61" t="str">
        <f t="shared" si="18"/>
        <v/>
      </c>
      <c r="V95" s="183" t="str">
        <f t="shared" si="20"/>
        <v/>
      </c>
      <c r="W95" s="183" t="str">
        <f t="shared" si="21"/>
        <v/>
      </c>
      <c r="X95" s="61" t="str">
        <f t="shared" si="22"/>
        <v/>
      </c>
      <c r="Y95" s="61" t="str">
        <f t="shared" si="23"/>
        <v/>
      </c>
      <c r="Z95" s="118" t="str">
        <f t="shared" si="24"/>
        <v/>
      </c>
      <c r="AA95" s="62" t="str">
        <f t="shared" si="25"/>
        <v/>
      </c>
      <c r="AB95" s="119" t="str">
        <f>IF(A95&lt;&gt;"", IF(P95&lt;&gt;0,SUMIFS(node!$J$2:$J$1000, node!$C$2:$C$1000,"="&amp;A95)/P95,0), "")</f>
        <v/>
      </c>
      <c r="AC95" s="81" t="str">
        <f>IF(A95&lt;&gt;"", IF(P95&lt;&gt;0,SUMIFS(node!$K$2:$K$1000, node!$C$2:$C$1000,"="&amp;A95)/P95,0), "")</f>
        <v/>
      </c>
      <c r="AD95" s="82" t="str">
        <f>IF(A95&lt;&gt;"", SUMIFS(node!$L$2:$L$1000, node!$C$2:$C$1000,"="&amp;A95), "")</f>
        <v/>
      </c>
      <c r="AE95" s="87" t="str">
        <f>IF(A95&lt;&gt;"", SUMIFS(node!$M$2:$M$1000, node!$C$2:$C$1000,"="&amp;A95), "")</f>
        <v/>
      </c>
    </row>
    <row r="96" spans="1:31" ht="15.75" customHeight="1" x14ac:dyDescent="0.25">
      <c r="A96" s="71" t="str">
        <f>IF(ISNONTEXT(node_raw[[#This Row],[Column2]]), "", node_raw[[#This Row],[Column2]])</f>
        <v/>
      </c>
      <c r="B96" s="108" t="str">
        <f>IF(A96&lt;&gt;"", VLOOKUP(A96, node!$C$2:$D$1000, 2, FALSE), "")</f>
        <v/>
      </c>
      <c r="C96" s="109" t="str">
        <f>IF(A96&lt;&gt;"", VLOOKUP(A96, node!$C$2:$E$1000, 3, FALSE), "")</f>
        <v/>
      </c>
      <c r="D96" s="110" t="str">
        <f>IF(A96&lt;&gt;"",COUNTIFS(node!$C$2:$C$1000,"="&amp;A96, node!$C$2:$C$1000,"&lt;&gt;"&amp;""),"")</f>
        <v/>
      </c>
      <c r="E96" s="111" t="str">
        <f>IF(A96&lt;&gt;"",SUMIFS(node!$F$2:$F$500, node!$C$2:$C$500,"="&amp;A96, node!$C$2:$C$500,"&lt;&gt;"&amp;"")/(B96*D96),"")</f>
        <v/>
      </c>
      <c r="F96" s="112" t="str">
        <f>IF(A96&lt;&gt;"",SUMIFS(node!$H$2:$H$500, node!$C$2:$C$500,"="&amp;A96, node!$C$2:$C$500,"&lt;&gt;"&amp;"")/(C96*D96),"")</f>
        <v/>
      </c>
      <c r="G96" s="179" t="str">
        <f>IF(A96&lt;&gt;"",SUMIFS(deployment!$F$4:$F$502, deployment!$D$4:$D$502,"="&amp;A96, deployment!$D$4:$D$502,"&lt;&gt;"&amp;""),"")</f>
        <v/>
      </c>
      <c r="H96" s="181" t="str">
        <f>IF(A96&lt;&gt;"",SUMIFS(deployment!$G$4:$G$502, deployment!$D$4:$D$502,"="&amp;A96, deployment!$D$4:$D$502,"&lt;&gt;"&amp;""),"")</f>
        <v/>
      </c>
      <c r="I96" s="113" t="str">
        <f>IF(A96&lt;&gt;"",SUMIFS(deployment!$H$4:$H$502, deployment!$D$4:$D$502,"="&amp;A96, deployment!$D$4:$D$502,"&lt;&gt;"&amp;""),"")</f>
        <v/>
      </c>
      <c r="J96" s="114" t="str">
        <f>IF(A96&lt;&gt;"",SUMIFS(deployment!$I$4:$I$502, deployment!$D$4:$D$502,"="&amp;A96, deployment!$D$4:$D$502,"&lt;&gt;"&amp;""),"")</f>
        <v/>
      </c>
      <c r="K96" s="182" t="str">
        <f>IF(A96&lt;&gt;"",SUMIFS(deployment!$J$4:$J$1002, deployment!$D$4:$D$1002,"="&amp;A96, deployment!$D$4:$D$1002,"&lt;&gt;"&amp;"", deployment!$C$4:$C$1002, "&lt;&gt;* )")+SUMIFS(namespace!$G$4:$G$1002, namespace!$B$4:$B$1002,"="&amp;A96, namespace!$B$4:$B$1002,"&lt;&gt;"&amp;""),"")</f>
        <v/>
      </c>
      <c r="L96" s="182" t="str">
        <f>IF(A96&lt;&gt;"",SUMIFS(deployment!$K$4:$K$1002, deployment!$D$4:$D$1002,"="&amp;A96, deployment!$D$4:$D$1002,"&lt;&gt;"&amp;"", deployment!$C$4:$C$1002, "&lt;&gt;* )")+SUMIFS(namespace!$H$4:$H$1002, namespace!$B$4:$B$1002,"="&amp;A96, namespace!$B$4:$B$1002,"&lt;&gt;"&amp;""),"")</f>
        <v/>
      </c>
      <c r="M96" s="115" t="str">
        <f>IF(A96&lt;&gt;"",SUMIFS(deployment!$L$4:$L$1002, deployment!$D$4:$D$1002,"="&amp;A96, deployment!$D$4:$D$1002,"&lt;&gt;"&amp;"", deployment!$C$4:$C$1002, "&lt;&gt;* )")+SUMIFS(namespace!$I$4:$I$1002, namespace!$B$4:$B$1002,"="&amp;A96, namespace!$B$4:$B$1002,"&lt;&gt;"&amp;""),"")</f>
        <v/>
      </c>
      <c r="N96" s="115" t="str">
        <f>IF(A96&lt;&gt;"",SUMIFS(deployment!$M$4:$M$1002, deployment!$D$4:$D$1002,"="&amp;A96, deployment!$D$4:$D$1002,"&lt;&gt;"&amp;"", deployment!$C$4:$C$1002, "&lt;&gt;* )")+SUMIFS(namespace!$J$4:$J$1002, namespace!$B$4:$B$1002,"="&amp;A96, namespace!$B$4:$B$1002,"&lt;&gt;"&amp;""),"")</f>
        <v/>
      </c>
      <c r="O96" s="116" t="str">
        <f t="shared" si="19"/>
        <v/>
      </c>
      <c r="P96" s="63"/>
      <c r="Q96" s="164" t="str">
        <f t="shared" si="14"/>
        <v/>
      </c>
      <c r="R96" s="60" t="str">
        <f t="shared" si="15"/>
        <v/>
      </c>
      <c r="S96" s="60" t="str">
        <f t="shared" si="16"/>
        <v/>
      </c>
      <c r="T96" s="61" t="str">
        <f t="shared" si="17"/>
        <v/>
      </c>
      <c r="U96" s="61" t="str">
        <f t="shared" si="18"/>
        <v/>
      </c>
      <c r="V96" s="183" t="str">
        <f t="shared" si="20"/>
        <v/>
      </c>
      <c r="W96" s="183" t="str">
        <f t="shared" si="21"/>
        <v/>
      </c>
      <c r="X96" s="61" t="str">
        <f t="shared" si="22"/>
        <v/>
      </c>
      <c r="Y96" s="61" t="str">
        <f t="shared" si="23"/>
        <v/>
      </c>
      <c r="Z96" s="118" t="str">
        <f t="shared" si="24"/>
        <v/>
      </c>
      <c r="AA96" s="62" t="str">
        <f t="shared" si="25"/>
        <v/>
      </c>
      <c r="AB96" s="119" t="str">
        <f>IF(A96&lt;&gt;"", IF(P96&lt;&gt;0,SUMIFS(node!$J$2:$J$1000, node!$C$2:$C$1000,"="&amp;A96)/P96,0), "")</f>
        <v/>
      </c>
      <c r="AC96" s="81" t="str">
        <f>IF(A96&lt;&gt;"", IF(P96&lt;&gt;0,SUMIFS(node!$K$2:$K$1000, node!$C$2:$C$1000,"="&amp;A96)/P96,0), "")</f>
        <v/>
      </c>
      <c r="AD96" s="82" t="str">
        <f>IF(A96&lt;&gt;"", SUMIFS(node!$L$2:$L$1000, node!$C$2:$C$1000,"="&amp;A96), "")</f>
        <v/>
      </c>
      <c r="AE96" s="87" t="str">
        <f>IF(A96&lt;&gt;"", SUMIFS(node!$M$2:$M$1000, node!$C$2:$C$1000,"="&amp;A96), "")</f>
        <v/>
      </c>
    </row>
    <row r="97" spans="1:31" ht="15.75" customHeight="1" x14ac:dyDescent="0.25">
      <c r="A97" s="71" t="str">
        <f>IF(ISNONTEXT(node_raw[[#This Row],[Column2]]), "", node_raw[[#This Row],[Column2]])</f>
        <v/>
      </c>
      <c r="B97" s="108" t="str">
        <f>IF(A97&lt;&gt;"", VLOOKUP(A97, node!$C$2:$D$1000, 2, FALSE), "")</f>
        <v/>
      </c>
      <c r="C97" s="109" t="str">
        <f>IF(A97&lt;&gt;"", VLOOKUP(A97, node!$C$2:$E$1000, 3, FALSE), "")</f>
        <v/>
      </c>
      <c r="D97" s="110" t="str">
        <f>IF(A97&lt;&gt;"",COUNTIFS(node!$C$2:$C$1000,"="&amp;A97, node!$C$2:$C$1000,"&lt;&gt;"&amp;""),"")</f>
        <v/>
      </c>
      <c r="E97" s="111" t="str">
        <f>IF(A97&lt;&gt;"",SUMIFS(node!$F$2:$F$500, node!$C$2:$C$500,"="&amp;A97, node!$C$2:$C$500,"&lt;&gt;"&amp;"")/(B97*D97),"")</f>
        <v/>
      </c>
      <c r="F97" s="112" t="str">
        <f>IF(A97&lt;&gt;"",SUMIFS(node!$H$2:$H$500, node!$C$2:$C$500,"="&amp;A97, node!$C$2:$C$500,"&lt;&gt;"&amp;"")/(C97*D97),"")</f>
        <v/>
      </c>
      <c r="G97" s="179" t="str">
        <f>IF(A97&lt;&gt;"",SUMIFS(deployment!$F$4:$F$502, deployment!$D$4:$D$502,"="&amp;A97, deployment!$D$4:$D$502,"&lt;&gt;"&amp;""),"")</f>
        <v/>
      </c>
      <c r="H97" s="181" t="str">
        <f>IF(A97&lt;&gt;"",SUMIFS(deployment!$G$4:$G$502, deployment!$D$4:$D$502,"="&amp;A97, deployment!$D$4:$D$502,"&lt;&gt;"&amp;""),"")</f>
        <v/>
      </c>
      <c r="I97" s="113" t="str">
        <f>IF(A97&lt;&gt;"",SUMIFS(deployment!$H$4:$H$502, deployment!$D$4:$D$502,"="&amp;A97, deployment!$D$4:$D$502,"&lt;&gt;"&amp;""),"")</f>
        <v/>
      </c>
      <c r="J97" s="114" t="str">
        <f>IF(A97&lt;&gt;"",SUMIFS(deployment!$I$4:$I$502, deployment!$D$4:$D$502,"="&amp;A97, deployment!$D$4:$D$502,"&lt;&gt;"&amp;""),"")</f>
        <v/>
      </c>
      <c r="K97" s="182" t="str">
        <f>IF(A97&lt;&gt;"",SUMIFS(deployment!$J$4:$J$1002, deployment!$D$4:$D$1002,"="&amp;A97, deployment!$D$4:$D$1002,"&lt;&gt;"&amp;"", deployment!$C$4:$C$1002, "&lt;&gt;* )")+SUMIFS(namespace!$G$4:$G$1002, namespace!$B$4:$B$1002,"="&amp;A97, namespace!$B$4:$B$1002,"&lt;&gt;"&amp;""),"")</f>
        <v/>
      </c>
      <c r="L97" s="182" t="str">
        <f>IF(A97&lt;&gt;"",SUMIFS(deployment!$K$4:$K$1002, deployment!$D$4:$D$1002,"="&amp;A97, deployment!$D$4:$D$1002,"&lt;&gt;"&amp;"", deployment!$C$4:$C$1002, "&lt;&gt;* )")+SUMIFS(namespace!$H$4:$H$1002, namespace!$B$4:$B$1002,"="&amp;A97, namespace!$B$4:$B$1002,"&lt;&gt;"&amp;""),"")</f>
        <v/>
      </c>
      <c r="M97" s="115" t="str">
        <f>IF(A97&lt;&gt;"",SUMIFS(deployment!$L$4:$L$1002, deployment!$D$4:$D$1002,"="&amp;A97, deployment!$D$4:$D$1002,"&lt;&gt;"&amp;"", deployment!$C$4:$C$1002, "&lt;&gt;* )")+SUMIFS(namespace!$I$4:$I$1002, namespace!$B$4:$B$1002,"="&amp;A97, namespace!$B$4:$B$1002,"&lt;&gt;"&amp;""),"")</f>
        <v/>
      </c>
      <c r="N97" s="115" t="str">
        <f>IF(A97&lt;&gt;"",SUMIFS(deployment!$M$4:$M$1002, deployment!$D$4:$D$1002,"="&amp;A97, deployment!$D$4:$D$1002,"&lt;&gt;"&amp;"", deployment!$C$4:$C$1002, "&lt;&gt;* )")+SUMIFS(namespace!$J$4:$J$1002, namespace!$B$4:$B$1002,"="&amp;A97, namespace!$B$4:$B$1002,"&lt;&gt;"&amp;""),"")</f>
        <v/>
      </c>
      <c r="O97" s="116" t="str">
        <f t="shared" si="19"/>
        <v/>
      </c>
      <c r="P97" s="63"/>
      <c r="Q97" s="164" t="str">
        <f t="shared" si="14"/>
        <v/>
      </c>
      <c r="R97" s="60" t="str">
        <f t="shared" si="15"/>
        <v/>
      </c>
      <c r="S97" s="60" t="str">
        <f t="shared" si="16"/>
        <v/>
      </c>
      <c r="T97" s="61" t="str">
        <f t="shared" si="17"/>
        <v/>
      </c>
      <c r="U97" s="61" t="str">
        <f t="shared" si="18"/>
        <v/>
      </c>
      <c r="V97" s="183" t="str">
        <f t="shared" si="20"/>
        <v/>
      </c>
      <c r="W97" s="183" t="str">
        <f t="shared" si="21"/>
        <v/>
      </c>
      <c r="X97" s="61" t="str">
        <f t="shared" si="22"/>
        <v/>
      </c>
      <c r="Y97" s="61" t="str">
        <f t="shared" si="23"/>
        <v/>
      </c>
      <c r="Z97" s="118" t="str">
        <f t="shared" si="24"/>
        <v/>
      </c>
      <c r="AA97" s="62" t="str">
        <f t="shared" si="25"/>
        <v/>
      </c>
      <c r="AB97" s="119" t="str">
        <f>IF(A97&lt;&gt;"", IF(P97&lt;&gt;0,SUMIFS(node!$J$2:$J$1000, node!$C$2:$C$1000,"="&amp;A97)/P97,0), "")</f>
        <v/>
      </c>
      <c r="AC97" s="81" t="str">
        <f>IF(A97&lt;&gt;"", IF(P97&lt;&gt;0,SUMIFS(node!$K$2:$K$1000, node!$C$2:$C$1000,"="&amp;A97)/P97,0), "")</f>
        <v/>
      </c>
      <c r="AD97" s="82" t="str">
        <f>IF(A97&lt;&gt;"", SUMIFS(node!$L$2:$L$1000, node!$C$2:$C$1000,"="&amp;A97), "")</f>
        <v/>
      </c>
      <c r="AE97" s="87" t="str">
        <f>IF(A97&lt;&gt;"", SUMIFS(node!$M$2:$M$1000, node!$C$2:$C$1000,"="&amp;A97), "")</f>
        <v/>
      </c>
    </row>
    <row r="98" spans="1:31" ht="15.75" customHeight="1" x14ac:dyDescent="0.25">
      <c r="A98" s="71" t="str">
        <f>IF(ISNONTEXT(node_raw[[#This Row],[Column2]]), "", node_raw[[#This Row],[Column2]])</f>
        <v/>
      </c>
      <c r="B98" s="108" t="str">
        <f>IF(A98&lt;&gt;"", VLOOKUP(A98, node!$C$2:$D$1000, 2, FALSE), "")</f>
        <v/>
      </c>
      <c r="C98" s="109" t="str">
        <f>IF(A98&lt;&gt;"", VLOOKUP(A98, node!$C$2:$E$1000, 3, FALSE), "")</f>
        <v/>
      </c>
      <c r="D98" s="110" t="str">
        <f>IF(A98&lt;&gt;"",COUNTIFS(node!$C$2:$C$1000,"="&amp;A98, node!$C$2:$C$1000,"&lt;&gt;"&amp;""),"")</f>
        <v/>
      </c>
      <c r="E98" s="111" t="str">
        <f>IF(A98&lt;&gt;"",SUMIFS(node!$F$2:$F$500, node!$C$2:$C$500,"="&amp;A98, node!$C$2:$C$500,"&lt;&gt;"&amp;"")/(B98*D98),"")</f>
        <v/>
      </c>
      <c r="F98" s="112" t="str">
        <f>IF(A98&lt;&gt;"",SUMIFS(node!$H$2:$H$500, node!$C$2:$C$500,"="&amp;A98, node!$C$2:$C$500,"&lt;&gt;"&amp;"")/(C98*D98),"")</f>
        <v/>
      </c>
      <c r="G98" s="179" t="str">
        <f>IF(A98&lt;&gt;"",SUMIFS(deployment!$F$4:$F$502, deployment!$D$4:$D$502,"="&amp;A98, deployment!$D$4:$D$502,"&lt;&gt;"&amp;""),"")</f>
        <v/>
      </c>
      <c r="H98" s="181" t="str">
        <f>IF(A98&lt;&gt;"",SUMIFS(deployment!$G$4:$G$502, deployment!$D$4:$D$502,"="&amp;A98, deployment!$D$4:$D$502,"&lt;&gt;"&amp;""),"")</f>
        <v/>
      </c>
      <c r="I98" s="113" t="str">
        <f>IF(A98&lt;&gt;"",SUMIFS(deployment!$H$4:$H$502, deployment!$D$4:$D$502,"="&amp;A98, deployment!$D$4:$D$502,"&lt;&gt;"&amp;""),"")</f>
        <v/>
      </c>
      <c r="J98" s="114" t="str">
        <f>IF(A98&lt;&gt;"",SUMIFS(deployment!$I$4:$I$502, deployment!$D$4:$D$502,"="&amp;A98, deployment!$D$4:$D$502,"&lt;&gt;"&amp;""),"")</f>
        <v/>
      </c>
      <c r="K98" s="182" t="str">
        <f>IF(A98&lt;&gt;"",SUMIFS(deployment!$J$4:$J$1002, deployment!$D$4:$D$1002,"="&amp;A98, deployment!$D$4:$D$1002,"&lt;&gt;"&amp;"", deployment!$C$4:$C$1002, "&lt;&gt;* )")+SUMIFS(namespace!$G$4:$G$1002, namespace!$B$4:$B$1002,"="&amp;A98, namespace!$B$4:$B$1002,"&lt;&gt;"&amp;""),"")</f>
        <v/>
      </c>
      <c r="L98" s="182" t="str">
        <f>IF(A98&lt;&gt;"",SUMIFS(deployment!$K$4:$K$1002, deployment!$D$4:$D$1002,"="&amp;A98, deployment!$D$4:$D$1002,"&lt;&gt;"&amp;"", deployment!$C$4:$C$1002, "&lt;&gt;* )")+SUMIFS(namespace!$H$4:$H$1002, namespace!$B$4:$B$1002,"="&amp;A98, namespace!$B$4:$B$1002,"&lt;&gt;"&amp;""),"")</f>
        <v/>
      </c>
      <c r="M98" s="115" t="str">
        <f>IF(A98&lt;&gt;"",SUMIFS(deployment!$L$4:$L$1002, deployment!$D$4:$D$1002,"="&amp;A98, deployment!$D$4:$D$1002,"&lt;&gt;"&amp;"", deployment!$C$4:$C$1002, "&lt;&gt;* )")+SUMIFS(namespace!$I$4:$I$1002, namespace!$B$4:$B$1002,"="&amp;A98, namespace!$B$4:$B$1002,"&lt;&gt;"&amp;""),"")</f>
        <v/>
      </c>
      <c r="N98" s="115" t="str">
        <f>IF(A98&lt;&gt;"",SUMIFS(deployment!$M$4:$M$1002, deployment!$D$4:$D$1002,"="&amp;A98, deployment!$D$4:$D$1002,"&lt;&gt;"&amp;"", deployment!$C$4:$C$1002, "&lt;&gt;* )")+SUMIFS(namespace!$J$4:$J$1002, namespace!$B$4:$B$1002,"="&amp;A98, namespace!$B$4:$B$1002,"&lt;&gt;"&amp;""),"")</f>
        <v/>
      </c>
      <c r="O98" s="116" t="str">
        <f t="shared" si="19"/>
        <v/>
      </c>
      <c r="P98" s="63"/>
      <c r="Q98" s="164" t="str">
        <f t="shared" si="14"/>
        <v/>
      </c>
      <c r="R98" s="60" t="str">
        <f t="shared" si="15"/>
        <v/>
      </c>
      <c r="S98" s="60" t="str">
        <f t="shared" si="16"/>
        <v/>
      </c>
      <c r="T98" s="61" t="str">
        <f t="shared" si="17"/>
        <v/>
      </c>
      <c r="U98" s="61" t="str">
        <f t="shared" si="18"/>
        <v/>
      </c>
      <c r="V98" s="183" t="str">
        <f t="shared" si="20"/>
        <v/>
      </c>
      <c r="W98" s="183" t="str">
        <f t="shared" si="21"/>
        <v/>
      </c>
      <c r="X98" s="61" t="str">
        <f t="shared" si="22"/>
        <v/>
      </c>
      <c r="Y98" s="61" t="str">
        <f t="shared" si="23"/>
        <v/>
      </c>
      <c r="Z98" s="118" t="str">
        <f t="shared" si="24"/>
        <v/>
      </c>
      <c r="AA98" s="62" t="str">
        <f t="shared" si="25"/>
        <v/>
      </c>
      <c r="AB98" s="119" t="str">
        <f>IF(A98&lt;&gt;"", IF(P98&lt;&gt;0,SUMIFS(node!$J$2:$J$1000, node!$C$2:$C$1000,"="&amp;A98)/P98,0), "")</f>
        <v/>
      </c>
      <c r="AC98" s="81" t="str">
        <f>IF(A98&lt;&gt;"", IF(P98&lt;&gt;0,SUMIFS(node!$K$2:$K$1000, node!$C$2:$C$1000,"="&amp;A98)/P98,0), "")</f>
        <v/>
      </c>
      <c r="AD98" s="82" t="str">
        <f>IF(A98&lt;&gt;"", SUMIFS(node!$L$2:$L$1000, node!$C$2:$C$1000,"="&amp;A98), "")</f>
        <v/>
      </c>
      <c r="AE98" s="87" t="str">
        <f>IF(A98&lt;&gt;"", SUMIFS(node!$M$2:$M$1000, node!$C$2:$C$1000,"="&amp;A98), "")</f>
        <v/>
      </c>
    </row>
    <row r="99" spans="1:31" ht="15.75" customHeight="1" x14ac:dyDescent="0.25">
      <c r="A99" s="71" t="str">
        <f>IF(ISNONTEXT(node_raw[[#This Row],[Column2]]), "", node_raw[[#This Row],[Column2]])</f>
        <v/>
      </c>
      <c r="B99" s="108" t="str">
        <f>IF(A99&lt;&gt;"", VLOOKUP(A99, node!$C$2:$D$1000, 2, FALSE), "")</f>
        <v/>
      </c>
      <c r="C99" s="109" t="str">
        <f>IF(A99&lt;&gt;"", VLOOKUP(A99, node!$C$2:$E$1000, 3, FALSE), "")</f>
        <v/>
      </c>
      <c r="D99" s="110" t="str">
        <f>IF(A99&lt;&gt;"",COUNTIFS(node!$C$2:$C$1000,"="&amp;A99, node!$C$2:$C$1000,"&lt;&gt;"&amp;""),"")</f>
        <v/>
      </c>
      <c r="E99" s="111" t="str">
        <f>IF(A99&lt;&gt;"",SUMIFS(node!$F$2:$F$500, node!$C$2:$C$500,"="&amp;A99, node!$C$2:$C$500,"&lt;&gt;"&amp;"")/(B99*D99),"")</f>
        <v/>
      </c>
      <c r="F99" s="112" t="str">
        <f>IF(A99&lt;&gt;"",SUMIFS(node!$H$2:$H$500, node!$C$2:$C$500,"="&amp;A99, node!$C$2:$C$500,"&lt;&gt;"&amp;"")/(C99*D99),"")</f>
        <v/>
      </c>
      <c r="G99" s="179" t="str">
        <f>IF(A99&lt;&gt;"",SUMIFS(deployment!$F$4:$F$502, deployment!$D$4:$D$502,"="&amp;A99, deployment!$D$4:$D$502,"&lt;&gt;"&amp;""),"")</f>
        <v/>
      </c>
      <c r="H99" s="181" t="str">
        <f>IF(A99&lt;&gt;"",SUMIFS(deployment!$G$4:$G$502, deployment!$D$4:$D$502,"="&amp;A99, deployment!$D$4:$D$502,"&lt;&gt;"&amp;""),"")</f>
        <v/>
      </c>
      <c r="I99" s="113" t="str">
        <f>IF(A99&lt;&gt;"",SUMIFS(deployment!$H$4:$H$502, deployment!$D$4:$D$502,"="&amp;A99, deployment!$D$4:$D$502,"&lt;&gt;"&amp;""),"")</f>
        <v/>
      </c>
      <c r="J99" s="114" t="str">
        <f>IF(A99&lt;&gt;"",SUMIFS(deployment!$I$4:$I$502, deployment!$D$4:$D$502,"="&amp;A99, deployment!$D$4:$D$502,"&lt;&gt;"&amp;""),"")</f>
        <v/>
      </c>
      <c r="K99" s="182" t="str">
        <f>IF(A99&lt;&gt;"",SUMIFS(deployment!$J$4:$J$1002, deployment!$D$4:$D$1002,"="&amp;A99, deployment!$D$4:$D$1002,"&lt;&gt;"&amp;"", deployment!$C$4:$C$1002, "&lt;&gt;* )")+SUMIFS(namespace!$G$4:$G$1002, namespace!$B$4:$B$1002,"="&amp;A99, namespace!$B$4:$B$1002,"&lt;&gt;"&amp;""),"")</f>
        <v/>
      </c>
      <c r="L99" s="182" t="str">
        <f>IF(A99&lt;&gt;"",SUMIFS(deployment!$K$4:$K$1002, deployment!$D$4:$D$1002,"="&amp;A99, deployment!$D$4:$D$1002,"&lt;&gt;"&amp;"", deployment!$C$4:$C$1002, "&lt;&gt;* )")+SUMIFS(namespace!$H$4:$H$1002, namespace!$B$4:$B$1002,"="&amp;A99, namespace!$B$4:$B$1002,"&lt;&gt;"&amp;""),"")</f>
        <v/>
      </c>
      <c r="M99" s="115" t="str">
        <f>IF(A99&lt;&gt;"",SUMIFS(deployment!$L$4:$L$1002, deployment!$D$4:$D$1002,"="&amp;A99, deployment!$D$4:$D$1002,"&lt;&gt;"&amp;"", deployment!$C$4:$C$1002, "&lt;&gt;* )")+SUMIFS(namespace!$I$4:$I$1002, namespace!$B$4:$B$1002,"="&amp;A99, namespace!$B$4:$B$1002,"&lt;&gt;"&amp;""),"")</f>
        <v/>
      </c>
      <c r="N99" s="115" t="str">
        <f>IF(A99&lt;&gt;"",SUMIFS(deployment!$M$4:$M$1002, deployment!$D$4:$D$1002,"="&amp;A99, deployment!$D$4:$D$1002,"&lt;&gt;"&amp;"", deployment!$C$4:$C$1002, "&lt;&gt;* )")+SUMIFS(namespace!$J$4:$J$1002, namespace!$B$4:$B$1002,"="&amp;A99, namespace!$B$4:$B$1002,"&lt;&gt;"&amp;""),"")</f>
        <v/>
      </c>
      <c r="O99" s="116" t="str">
        <f t="shared" si="19"/>
        <v/>
      </c>
      <c r="P99" s="63"/>
      <c r="Q99" s="164" t="str">
        <f t="shared" si="14"/>
        <v/>
      </c>
      <c r="R99" s="60" t="str">
        <f t="shared" si="15"/>
        <v/>
      </c>
      <c r="S99" s="60" t="str">
        <f t="shared" si="16"/>
        <v/>
      </c>
      <c r="T99" s="61" t="str">
        <f t="shared" si="17"/>
        <v/>
      </c>
      <c r="U99" s="61" t="str">
        <f t="shared" si="18"/>
        <v/>
      </c>
      <c r="V99" s="183" t="str">
        <f t="shared" si="20"/>
        <v/>
      </c>
      <c r="W99" s="183" t="str">
        <f t="shared" si="21"/>
        <v/>
      </c>
      <c r="X99" s="61" t="str">
        <f t="shared" si="22"/>
        <v/>
      </c>
      <c r="Y99" s="61" t="str">
        <f t="shared" si="23"/>
        <v/>
      </c>
      <c r="Z99" s="118" t="str">
        <f t="shared" si="24"/>
        <v/>
      </c>
      <c r="AA99" s="62" t="str">
        <f t="shared" si="25"/>
        <v/>
      </c>
      <c r="AB99" s="119" t="str">
        <f>IF(A99&lt;&gt;"", IF(P99&lt;&gt;0,SUMIFS(node!$J$2:$J$1000, node!$C$2:$C$1000,"="&amp;A99)/P99,0), "")</f>
        <v/>
      </c>
      <c r="AC99" s="81" t="str">
        <f>IF(A99&lt;&gt;"", IF(P99&lt;&gt;0,SUMIFS(node!$K$2:$K$1000, node!$C$2:$C$1000,"="&amp;A99)/P99,0), "")</f>
        <v/>
      </c>
      <c r="AD99" s="82" t="str">
        <f>IF(A99&lt;&gt;"", SUMIFS(node!$L$2:$L$1000, node!$C$2:$C$1000,"="&amp;A99), "")</f>
        <v/>
      </c>
      <c r="AE99" s="87" t="str">
        <f>IF(A99&lt;&gt;"", SUMIFS(node!$M$2:$M$1000, node!$C$2:$C$1000,"="&amp;A99), "")</f>
        <v/>
      </c>
    </row>
    <row r="100" spans="1:31" ht="15.75" customHeight="1" x14ac:dyDescent="0.25">
      <c r="A100" s="71" t="str">
        <f>IF(ISNONTEXT(node_raw[[#This Row],[Column2]]), "", node_raw[[#This Row],[Column2]])</f>
        <v/>
      </c>
      <c r="B100" s="108" t="str">
        <f>IF(A100&lt;&gt;"", VLOOKUP(A100, node!$C$2:$D$1000, 2, FALSE), "")</f>
        <v/>
      </c>
      <c r="C100" s="109" t="str">
        <f>IF(A100&lt;&gt;"", VLOOKUP(A100, node!$C$2:$E$1000, 3, FALSE), "")</f>
        <v/>
      </c>
      <c r="D100" s="110" t="str">
        <f>IF(A100&lt;&gt;"",COUNTIFS(node!$C$2:$C$1000,"="&amp;A100, node!$C$2:$C$1000,"&lt;&gt;"&amp;""),"")</f>
        <v/>
      </c>
      <c r="E100" s="111" t="str">
        <f>IF(A100&lt;&gt;"",SUMIFS(node!$F$2:$F$500, node!$C$2:$C$500,"="&amp;A100, node!$C$2:$C$500,"&lt;&gt;"&amp;"")/(B100*D100),"")</f>
        <v/>
      </c>
      <c r="F100" s="112" t="str">
        <f>IF(A100&lt;&gt;"",SUMIFS(node!$H$2:$H$500, node!$C$2:$C$500,"="&amp;A100, node!$C$2:$C$500,"&lt;&gt;"&amp;"")/(C100*D100),"")</f>
        <v/>
      </c>
      <c r="G100" s="179" t="str">
        <f>IF(A100&lt;&gt;"",SUMIFS(deployment!$F$4:$F$502, deployment!$D$4:$D$502,"="&amp;A100, deployment!$D$4:$D$502,"&lt;&gt;"&amp;""),"")</f>
        <v/>
      </c>
      <c r="H100" s="181" t="str">
        <f>IF(A100&lt;&gt;"",SUMIFS(deployment!$G$4:$G$502, deployment!$D$4:$D$502,"="&amp;A100, deployment!$D$4:$D$502,"&lt;&gt;"&amp;""),"")</f>
        <v/>
      </c>
      <c r="I100" s="113" t="str">
        <f>IF(A100&lt;&gt;"",SUMIFS(deployment!$H$4:$H$502, deployment!$D$4:$D$502,"="&amp;A100, deployment!$D$4:$D$502,"&lt;&gt;"&amp;""),"")</f>
        <v/>
      </c>
      <c r="J100" s="114" t="str">
        <f>IF(A100&lt;&gt;"",SUMIFS(deployment!$I$4:$I$502, deployment!$D$4:$D$502,"="&amp;A100, deployment!$D$4:$D$502,"&lt;&gt;"&amp;""),"")</f>
        <v/>
      </c>
      <c r="K100" s="182" t="str">
        <f>IF(A100&lt;&gt;"",SUMIFS(deployment!$J$4:$J$1002, deployment!$D$4:$D$1002,"="&amp;A100, deployment!$D$4:$D$1002,"&lt;&gt;"&amp;"", deployment!$C$4:$C$1002, "&lt;&gt;* )")+SUMIFS(namespace!$G$4:$G$1002, namespace!$B$4:$B$1002,"="&amp;A100, namespace!$B$4:$B$1002,"&lt;&gt;"&amp;""),"")</f>
        <v/>
      </c>
      <c r="L100" s="182" t="str">
        <f>IF(A100&lt;&gt;"",SUMIFS(deployment!$K$4:$K$1002, deployment!$D$4:$D$1002,"="&amp;A100, deployment!$D$4:$D$1002,"&lt;&gt;"&amp;"", deployment!$C$4:$C$1002, "&lt;&gt;* )")+SUMIFS(namespace!$H$4:$H$1002, namespace!$B$4:$B$1002,"="&amp;A100, namespace!$B$4:$B$1002,"&lt;&gt;"&amp;""),"")</f>
        <v/>
      </c>
      <c r="M100" s="115" t="str">
        <f>IF(A100&lt;&gt;"",SUMIFS(deployment!$L$4:$L$1002, deployment!$D$4:$D$1002,"="&amp;A100, deployment!$D$4:$D$1002,"&lt;&gt;"&amp;"", deployment!$C$4:$C$1002, "&lt;&gt;* )")+SUMIFS(namespace!$I$4:$I$1002, namespace!$B$4:$B$1002,"="&amp;A100, namespace!$B$4:$B$1002,"&lt;&gt;"&amp;""),"")</f>
        <v/>
      </c>
      <c r="N100" s="115" t="str">
        <f>IF(A100&lt;&gt;"",SUMIFS(deployment!$M$4:$M$1002, deployment!$D$4:$D$1002,"="&amp;A100, deployment!$D$4:$D$1002,"&lt;&gt;"&amp;"", deployment!$C$4:$C$1002, "&lt;&gt;* )")+SUMIFS(namespace!$J$4:$J$1002, namespace!$B$4:$B$1002,"="&amp;A100, namespace!$B$4:$B$1002,"&lt;&gt;"&amp;""),"")</f>
        <v/>
      </c>
      <c r="O100" s="116" t="str">
        <f t="shared" si="19"/>
        <v/>
      </c>
      <c r="P100" s="63"/>
      <c r="Q100" s="164" t="str">
        <f t="shared" si="14"/>
        <v/>
      </c>
      <c r="R100" s="60" t="str">
        <f t="shared" si="15"/>
        <v/>
      </c>
      <c r="S100" s="60" t="str">
        <f t="shared" si="16"/>
        <v/>
      </c>
      <c r="T100" s="61" t="str">
        <f t="shared" si="17"/>
        <v/>
      </c>
      <c r="U100" s="61" t="str">
        <f t="shared" si="18"/>
        <v/>
      </c>
      <c r="V100" s="183" t="str">
        <f t="shared" si="20"/>
        <v/>
      </c>
      <c r="W100" s="183" t="str">
        <f t="shared" si="21"/>
        <v/>
      </c>
      <c r="X100" s="61" t="str">
        <f t="shared" si="22"/>
        <v/>
      </c>
      <c r="Y100" s="61" t="str">
        <f t="shared" si="23"/>
        <v/>
      </c>
      <c r="Z100" s="118" t="str">
        <f t="shared" si="24"/>
        <v/>
      </c>
      <c r="AA100" s="62" t="str">
        <f t="shared" si="25"/>
        <v/>
      </c>
      <c r="AB100" s="119" t="str">
        <f>IF(A100&lt;&gt;"", IF(P100&lt;&gt;0,SUMIFS(node!$J$2:$J$1000, node!$C$2:$C$1000,"="&amp;A100)/P100,0), "")</f>
        <v/>
      </c>
      <c r="AC100" s="81" t="str">
        <f>IF(A100&lt;&gt;"", IF(P100&lt;&gt;0,SUMIFS(node!$K$2:$K$1000, node!$C$2:$C$1000,"="&amp;A100)/P100,0), "")</f>
        <v/>
      </c>
      <c r="AD100" s="82" t="str">
        <f>IF(A100&lt;&gt;"", SUMIFS(node!$L$2:$L$1000, node!$C$2:$C$1000,"="&amp;A100), "")</f>
        <v/>
      </c>
      <c r="AE100" s="87" t="str">
        <f>IF(A100&lt;&gt;"", SUMIFS(node!$M$2:$M$1000, node!$C$2:$C$1000,"="&amp;A100), "")</f>
        <v/>
      </c>
    </row>
    <row r="101" spans="1:31" ht="15.75" customHeight="1" x14ac:dyDescent="0.25">
      <c r="A101" s="71" t="str">
        <f>IF(ISNONTEXT(node_raw[[#This Row],[Column2]]), "", node_raw[[#This Row],[Column2]])</f>
        <v/>
      </c>
      <c r="B101" s="108" t="str">
        <f>IF(A101&lt;&gt;"", VLOOKUP(A101, node!$C$2:$D$1000, 2, FALSE), "")</f>
        <v/>
      </c>
      <c r="C101" s="109" t="str">
        <f>IF(A101&lt;&gt;"", VLOOKUP(A101, node!$C$2:$E$1000, 3, FALSE), "")</f>
        <v/>
      </c>
      <c r="D101" s="110" t="str">
        <f>IF(A101&lt;&gt;"",COUNTIFS(node!$C$2:$C$1000,"="&amp;A101, node!$C$2:$C$1000,"&lt;&gt;"&amp;""),"")</f>
        <v/>
      </c>
      <c r="E101" s="111" t="str">
        <f>IF(A101&lt;&gt;"",SUMIFS(node!$F$2:$F$500, node!$C$2:$C$500,"="&amp;A101, node!$C$2:$C$500,"&lt;&gt;"&amp;"")/(B101*D101),"")</f>
        <v/>
      </c>
      <c r="F101" s="112" t="str">
        <f>IF(A101&lt;&gt;"",SUMIFS(node!$H$2:$H$500, node!$C$2:$C$500,"="&amp;A101, node!$C$2:$C$500,"&lt;&gt;"&amp;"")/(C101*D101),"")</f>
        <v/>
      </c>
      <c r="G101" s="179" t="str">
        <f>IF(A101&lt;&gt;"",SUMIFS(deployment!$F$4:$F$502, deployment!$D$4:$D$502,"="&amp;A101, deployment!$D$4:$D$502,"&lt;&gt;"&amp;""),"")</f>
        <v/>
      </c>
      <c r="H101" s="181" t="str">
        <f>IF(A101&lt;&gt;"",SUMIFS(deployment!$G$4:$G$502, deployment!$D$4:$D$502,"="&amp;A101, deployment!$D$4:$D$502,"&lt;&gt;"&amp;""),"")</f>
        <v/>
      </c>
      <c r="I101" s="113" t="str">
        <f>IF(A101&lt;&gt;"",SUMIFS(deployment!$H$4:$H$502, deployment!$D$4:$D$502,"="&amp;A101, deployment!$D$4:$D$502,"&lt;&gt;"&amp;""),"")</f>
        <v/>
      </c>
      <c r="J101" s="114" t="str">
        <f>IF(A101&lt;&gt;"",SUMIFS(deployment!$I$4:$I$502, deployment!$D$4:$D$502,"="&amp;A101, deployment!$D$4:$D$502,"&lt;&gt;"&amp;""),"")</f>
        <v/>
      </c>
      <c r="K101" s="182" t="str">
        <f>IF(A101&lt;&gt;"",SUMIFS(deployment!$J$4:$J$1002, deployment!$D$4:$D$1002,"="&amp;A101, deployment!$D$4:$D$1002,"&lt;&gt;"&amp;"", deployment!$C$4:$C$1002, "&lt;&gt;* )")+SUMIFS(namespace!$G$4:$G$1002, namespace!$B$4:$B$1002,"="&amp;A101, namespace!$B$4:$B$1002,"&lt;&gt;"&amp;""),"")</f>
        <v/>
      </c>
      <c r="L101" s="182" t="str">
        <f>IF(A101&lt;&gt;"",SUMIFS(deployment!$K$4:$K$1002, deployment!$D$4:$D$1002,"="&amp;A101, deployment!$D$4:$D$1002,"&lt;&gt;"&amp;"", deployment!$C$4:$C$1002, "&lt;&gt;* )")+SUMIFS(namespace!$H$4:$H$1002, namespace!$B$4:$B$1002,"="&amp;A101, namespace!$B$4:$B$1002,"&lt;&gt;"&amp;""),"")</f>
        <v/>
      </c>
      <c r="M101" s="115" t="str">
        <f>IF(A101&lt;&gt;"",SUMIFS(deployment!$L$4:$L$1002, deployment!$D$4:$D$1002,"="&amp;A101, deployment!$D$4:$D$1002,"&lt;&gt;"&amp;"", deployment!$C$4:$C$1002, "&lt;&gt;* )")+SUMIFS(namespace!$I$4:$I$1002, namespace!$B$4:$B$1002,"="&amp;A101, namespace!$B$4:$B$1002,"&lt;&gt;"&amp;""),"")</f>
        <v/>
      </c>
      <c r="N101" s="115" t="str">
        <f>IF(A101&lt;&gt;"",SUMIFS(deployment!$M$4:$M$1002, deployment!$D$4:$D$1002,"="&amp;A101, deployment!$D$4:$D$1002,"&lt;&gt;"&amp;"", deployment!$C$4:$C$1002, "&lt;&gt;* )")+SUMIFS(namespace!$J$4:$J$1002, namespace!$B$4:$B$1002,"="&amp;A101, namespace!$B$4:$B$1002,"&lt;&gt;"&amp;""),"")</f>
        <v/>
      </c>
      <c r="O101" s="116" t="str">
        <f t="shared" si="19"/>
        <v/>
      </c>
      <c r="P101" s="63"/>
      <c r="Q101" s="164" t="str">
        <f t="shared" si="14"/>
        <v/>
      </c>
      <c r="R101" s="60" t="str">
        <f t="shared" si="15"/>
        <v/>
      </c>
      <c r="S101" s="60" t="str">
        <f t="shared" si="16"/>
        <v/>
      </c>
      <c r="T101" s="61" t="str">
        <f t="shared" si="17"/>
        <v/>
      </c>
      <c r="U101" s="61" t="str">
        <f t="shared" si="18"/>
        <v/>
      </c>
      <c r="V101" s="183" t="str">
        <f t="shared" si="20"/>
        <v/>
      </c>
      <c r="W101" s="183" t="str">
        <f t="shared" si="21"/>
        <v/>
      </c>
      <c r="X101" s="61" t="str">
        <f t="shared" si="22"/>
        <v/>
      </c>
      <c r="Y101" s="61" t="str">
        <f t="shared" si="23"/>
        <v/>
      </c>
      <c r="Z101" s="118" t="str">
        <f t="shared" si="24"/>
        <v/>
      </c>
      <c r="AA101" s="62" t="str">
        <f t="shared" si="25"/>
        <v/>
      </c>
      <c r="AB101" s="119" t="str">
        <f>IF(A101&lt;&gt;"", IF(P101&lt;&gt;0,SUMIFS(node!$J$2:$J$1000, node!$C$2:$C$1000,"="&amp;A101)/P101,0), "")</f>
        <v/>
      </c>
      <c r="AC101" s="81" t="str">
        <f>IF(A101&lt;&gt;"", IF(P101&lt;&gt;0,SUMIFS(node!$K$2:$K$1000, node!$C$2:$C$1000,"="&amp;A101)/P101,0), "")</f>
        <v/>
      </c>
      <c r="AD101" s="82" t="str">
        <f>IF(A101&lt;&gt;"", SUMIFS(node!$L$2:$L$1000, node!$C$2:$C$1000,"="&amp;A101), "")</f>
        <v/>
      </c>
      <c r="AE101" s="87" t="str">
        <f>IF(A101&lt;&gt;"", SUMIFS(node!$M$2:$M$1000, node!$C$2:$C$1000,"="&amp;A101), "")</f>
        <v/>
      </c>
    </row>
    <row r="102" spans="1:31" ht="15.75" customHeight="1" x14ac:dyDescent="0.25">
      <c r="A102" s="71" t="str">
        <f>IF(ISNONTEXT(node_raw[[#This Row],[Column2]]), "", node_raw[[#This Row],[Column2]])</f>
        <v/>
      </c>
      <c r="B102" s="108" t="str">
        <f>IF(A102&lt;&gt;"", VLOOKUP(A102, node!$C$2:$D$1000, 2, FALSE), "")</f>
        <v/>
      </c>
      <c r="C102" s="109" t="str">
        <f>IF(A102&lt;&gt;"", VLOOKUP(A102, node!$C$2:$E$1000, 3, FALSE), "")</f>
        <v/>
      </c>
      <c r="D102" s="110" t="str">
        <f>IF(A102&lt;&gt;"",COUNTIFS(node!$C$2:$C$1000,"="&amp;A102, node!$C$2:$C$1000,"&lt;&gt;"&amp;""),"")</f>
        <v/>
      </c>
      <c r="E102" s="111" t="str">
        <f>IF(A102&lt;&gt;"",SUMIFS(node!$F$2:$F$500, node!$C$2:$C$500,"="&amp;A102, node!$C$2:$C$500,"&lt;&gt;"&amp;"")/(B102*D102),"")</f>
        <v/>
      </c>
      <c r="F102" s="112" t="str">
        <f>IF(A102&lt;&gt;"",SUMIFS(node!$H$2:$H$500, node!$C$2:$C$500,"="&amp;A102, node!$C$2:$C$500,"&lt;&gt;"&amp;"")/(C102*D102),"")</f>
        <v/>
      </c>
      <c r="G102" s="179" t="str">
        <f>IF(A102&lt;&gt;"",SUMIFS(deployment!$F$4:$F$502, deployment!$D$4:$D$502,"="&amp;A102, deployment!$D$4:$D$502,"&lt;&gt;"&amp;""),"")</f>
        <v/>
      </c>
      <c r="H102" s="181" t="str">
        <f>IF(A102&lt;&gt;"",SUMIFS(deployment!$G$4:$G$502, deployment!$D$4:$D$502,"="&amp;A102, deployment!$D$4:$D$502,"&lt;&gt;"&amp;""),"")</f>
        <v/>
      </c>
      <c r="I102" s="113" t="str">
        <f>IF(A102&lt;&gt;"",SUMIFS(deployment!$H$4:$H$502, deployment!$D$4:$D$502,"="&amp;A102, deployment!$D$4:$D$502,"&lt;&gt;"&amp;""),"")</f>
        <v/>
      </c>
      <c r="J102" s="114" t="str">
        <f>IF(A102&lt;&gt;"",SUMIFS(deployment!$I$4:$I$502, deployment!$D$4:$D$502,"="&amp;A102, deployment!$D$4:$D$502,"&lt;&gt;"&amp;""),"")</f>
        <v/>
      </c>
      <c r="K102" s="182" t="str">
        <f>IF(A102&lt;&gt;"",SUMIFS(deployment!$J$4:$J$1002, deployment!$D$4:$D$1002,"="&amp;A102, deployment!$D$4:$D$1002,"&lt;&gt;"&amp;"", deployment!$C$4:$C$1002, "&lt;&gt;* )")+SUMIFS(namespace!$G$4:$G$1002, namespace!$B$4:$B$1002,"="&amp;A102, namespace!$B$4:$B$1002,"&lt;&gt;"&amp;""),"")</f>
        <v/>
      </c>
      <c r="L102" s="182" t="str">
        <f>IF(A102&lt;&gt;"",SUMIFS(deployment!$K$4:$K$1002, deployment!$D$4:$D$1002,"="&amp;A102, deployment!$D$4:$D$1002,"&lt;&gt;"&amp;"", deployment!$C$4:$C$1002, "&lt;&gt;* )")+SUMIFS(namespace!$H$4:$H$1002, namespace!$B$4:$B$1002,"="&amp;A102, namespace!$B$4:$B$1002,"&lt;&gt;"&amp;""),"")</f>
        <v/>
      </c>
      <c r="M102" s="115" t="str">
        <f>IF(A102&lt;&gt;"",SUMIFS(deployment!$L$4:$L$1002, deployment!$D$4:$D$1002,"="&amp;A102, deployment!$D$4:$D$1002,"&lt;&gt;"&amp;"", deployment!$C$4:$C$1002, "&lt;&gt;* )")+SUMIFS(namespace!$I$4:$I$1002, namespace!$B$4:$B$1002,"="&amp;A102, namespace!$B$4:$B$1002,"&lt;&gt;"&amp;""),"")</f>
        <v/>
      </c>
      <c r="N102" s="115" t="str">
        <f>IF(A102&lt;&gt;"",SUMIFS(deployment!$M$4:$M$1002, deployment!$D$4:$D$1002,"="&amp;A102, deployment!$D$4:$D$1002,"&lt;&gt;"&amp;"", deployment!$C$4:$C$1002, "&lt;&gt;* )")+SUMIFS(namespace!$J$4:$J$1002, namespace!$B$4:$B$1002,"="&amp;A102, namespace!$B$4:$B$1002,"&lt;&gt;"&amp;""),"")</f>
        <v/>
      </c>
      <c r="O102" s="116" t="str">
        <f t="shared" si="19"/>
        <v/>
      </c>
      <c r="P102" s="63"/>
      <c r="Q102" s="164" t="str">
        <f t="shared" si="14"/>
        <v/>
      </c>
      <c r="R102" s="60" t="str">
        <f t="shared" si="15"/>
        <v/>
      </c>
      <c r="S102" s="60" t="str">
        <f t="shared" si="16"/>
        <v/>
      </c>
      <c r="T102" s="61" t="str">
        <f t="shared" si="17"/>
        <v/>
      </c>
      <c r="U102" s="61" t="str">
        <f t="shared" si="18"/>
        <v/>
      </c>
      <c r="V102" s="183" t="str">
        <f t="shared" si="20"/>
        <v/>
      </c>
      <c r="W102" s="183" t="str">
        <f t="shared" si="21"/>
        <v/>
      </c>
      <c r="X102" s="61" t="str">
        <f t="shared" si="22"/>
        <v/>
      </c>
      <c r="Y102" s="61" t="str">
        <f t="shared" si="23"/>
        <v/>
      </c>
      <c r="Z102" s="118" t="str">
        <f t="shared" si="24"/>
        <v/>
      </c>
      <c r="AA102" s="62" t="str">
        <f t="shared" si="25"/>
        <v/>
      </c>
      <c r="AB102" s="119" t="str">
        <f>IF(A102&lt;&gt;"", IF(P102&lt;&gt;0,SUMIFS(node!$J$2:$J$1000, node!$C$2:$C$1000,"="&amp;A102)/P102,0), "")</f>
        <v/>
      </c>
      <c r="AC102" s="81" t="str">
        <f>IF(A102&lt;&gt;"", IF(P102&lt;&gt;0,SUMIFS(node!$K$2:$K$1000, node!$C$2:$C$1000,"="&amp;A102)/P102,0), "")</f>
        <v/>
      </c>
      <c r="AD102" s="82" t="str">
        <f>IF(A102&lt;&gt;"", SUMIFS(node!$L$2:$L$1000, node!$C$2:$C$1000,"="&amp;A102), "")</f>
        <v/>
      </c>
      <c r="AE102" s="87" t="str">
        <f>IF(A102&lt;&gt;"", SUMIFS(node!$M$2:$M$1000, node!$C$2:$C$1000,"="&amp;A102), "")</f>
        <v/>
      </c>
    </row>
    <row r="103" spans="1:31" ht="15.75" customHeight="1" x14ac:dyDescent="0.25">
      <c r="A103" s="71" t="str">
        <f>IF(ISNONTEXT(node_raw[[#This Row],[Column2]]), "", node_raw[[#This Row],[Column2]])</f>
        <v/>
      </c>
      <c r="B103" s="108" t="str">
        <f>IF(A103&lt;&gt;"", VLOOKUP(A103, node!$C$2:$D$1000, 2, FALSE), "")</f>
        <v/>
      </c>
      <c r="C103" s="109" t="str">
        <f>IF(A103&lt;&gt;"", VLOOKUP(A103, node!$C$2:$E$1000, 3, FALSE), "")</f>
        <v/>
      </c>
      <c r="D103" s="110" t="str">
        <f>IF(A103&lt;&gt;"",COUNTIFS(node!$C$2:$C$1000,"="&amp;A103, node!$C$2:$C$1000,"&lt;&gt;"&amp;""),"")</f>
        <v/>
      </c>
      <c r="E103" s="111" t="str">
        <f>IF(A103&lt;&gt;"",SUMIFS(node!$F$2:$F$500, node!$C$2:$C$500,"="&amp;A103, node!$C$2:$C$500,"&lt;&gt;"&amp;"")/(B103*D103),"")</f>
        <v/>
      </c>
      <c r="F103" s="112" t="str">
        <f>IF(A103&lt;&gt;"",SUMIFS(node!$H$2:$H$500, node!$C$2:$C$500,"="&amp;A103, node!$C$2:$C$500,"&lt;&gt;"&amp;"")/(C103*D103),"")</f>
        <v/>
      </c>
      <c r="G103" s="179" t="str">
        <f>IF(A103&lt;&gt;"",SUMIFS(deployment!$F$4:$F$502, deployment!$D$4:$D$502,"="&amp;A103, deployment!$D$4:$D$502,"&lt;&gt;"&amp;""),"")</f>
        <v/>
      </c>
      <c r="H103" s="181" t="str">
        <f>IF(A103&lt;&gt;"",SUMIFS(deployment!$G$4:$G$502, deployment!$D$4:$D$502,"="&amp;A103, deployment!$D$4:$D$502,"&lt;&gt;"&amp;""),"")</f>
        <v/>
      </c>
      <c r="I103" s="113" t="str">
        <f>IF(A103&lt;&gt;"",SUMIFS(deployment!$H$4:$H$502, deployment!$D$4:$D$502,"="&amp;A103, deployment!$D$4:$D$502,"&lt;&gt;"&amp;""),"")</f>
        <v/>
      </c>
      <c r="J103" s="114" t="str">
        <f>IF(A103&lt;&gt;"",SUMIFS(deployment!$I$4:$I$502, deployment!$D$4:$D$502,"="&amp;A103, deployment!$D$4:$D$502,"&lt;&gt;"&amp;""),"")</f>
        <v/>
      </c>
      <c r="K103" s="182" t="str">
        <f>IF(A103&lt;&gt;"",SUMIFS(deployment!$J$4:$J$1002, deployment!$D$4:$D$1002,"="&amp;A103, deployment!$D$4:$D$1002,"&lt;&gt;"&amp;"", deployment!$C$4:$C$1002, "&lt;&gt;* )")+SUMIFS(namespace!$G$4:$G$1002, namespace!$B$4:$B$1002,"="&amp;A103, namespace!$B$4:$B$1002,"&lt;&gt;"&amp;""),"")</f>
        <v/>
      </c>
      <c r="L103" s="182" t="str">
        <f>IF(A103&lt;&gt;"",SUMIFS(deployment!$K$4:$K$1002, deployment!$D$4:$D$1002,"="&amp;A103, deployment!$D$4:$D$1002,"&lt;&gt;"&amp;"", deployment!$C$4:$C$1002, "&lt;&gt;* )")+SUMIFS(namespace!$H$4:$H$1002, namespace!$B$4:$B$1002,"="&amp;A103, namespace!$B$4:$B$1002,"&lt;&gt;"&amp;""),"")</f>
        <v/>
      </c>
      <c r="M103" s="115" t="str">
        <f>IF(A103&lt;&gt;"",SUMIFS(deployment!$L$4:$L$1002, deployment!$D$4:$D$1002,"="&amp;A103, deployment!$D$4:$D$1002,"&lt;&gt;"&amp;"", deployment!$C$4:$C$1002, "&lt;&gt;* )")+SUMIFS(namespace!$I$4:$I$1002, namespace!$B$4:$B$1002,"="&amp;A103, namespace!$B$4:$B$1002,"&lt;&gt;"&amp;""),"")</f>
        <v/>
      </c>
      <c r="N103" s="115" t="str">
        <f>IF(A103&lt;&gt;"",SUMIFS(deployment!$M$4:$M$1002, deployment!$D$4:$D$1002,"="&amp;A103, deployment!$D$4:$D$1002,"&lt;&gt;"&amp;"", deployment!$C$4:$C$1002, "&lt;&gt;* )")+SUMIFS(namespace!$J$4:$J$1002, namespace!$B$4:$B$1002,"="&amp;A103, namespace!$B$4:$B$1002,"&lt;&gt;"&amp;""),"")</f>
        <v/>
      </c>
      <c r="O103" s="116" t="str">
        <f t="shared" si="19"/>
        <v/>
      </c>
      <c r="P103" s="63"/>
      <c r="Q103" s="164" t="str">
        <f t="shared" si="14"/>
        <v/>
      </c>
      <c r="R103" s="60" t="str">
        <f t="shared" si="15"/>
        <v/>
      </c>
      <c r="S103" s="60" t="str">
        <f t="shared" si="16"/>
        <v/>
      </c>
      <c r="T103" s="61" t="str">
        <f t="shared" si="17"/>
        <v/>
      </c>
      <c r="U103" s="61" t="str">
        <f t="shared" si="18"/>
        <v/>
      </c>
      <c r="V103" s="183" t="str">
        <f t="shared" si="20"/>
        <v/>
      </c>
      <c r="W103" s="183" t="str">
        <f t="shared" si="21"/>
        <v/>
      </c>
      <c r="X103" s="61" t="str">
        <f t="shared" si="22"/>
        <v/>
      </c>
      <c r="Y103" s="61" t="str">
        <f t="shared" si="23"/>
        <v/>
      </c>
      <c r="Z103" s="118" t="str">
        <f t="shared" si="24"/>
        <v/>
      </c>
      <c r="AA103" s="62" t="str">
        <f t="shared" si="25"/>
        <v/>
      </c>
      <c r="AB103" s="119" t="str">
        <f>IF(A103&lt;&gt;"", IF(P103&lt;&gt;0,SUMIFS(node!$J$2:$J$1000, node!$C$2:$C$1000,"="&amp;A103)/P103,0), "")</f>
        <v/>
      </c>
      <c r="AC103" s="81" t="str">
        <f>IF(A103&lt;&gt;"", IF(P103&lt;&gt;0,SUMIFS(node!$K$2:$K$1000, node!$C$2:$C$1000,"="&amp;A103)/P103,0), "")</f>
        <v/>
      </c>
      <c r="AD103" s="82" t="str">
        <f>IF(A103&lt;&gt;"", SUMIFS(node!$L$2:$L$1000, node!$C$2:$C$1000,"="&amp;A103), "")</f>
        <v/>
      </c>
      <c r="AE103" s="87" t="str">
        <f>IF(A103&lt;&gt;"", SUMIFS(node!$M$2:$M$1000, node!$C$2:$C$1000,"="&amp;A103), "")</f>
        <v/>
      </c>
    </row>
    <row r="104" spans="1:31" ht="15.75" customHeight="1" x14ac:dyDescent="0.25">
      <c r="A104" s="71" t="str">
        <f>IF(ISNONTEXT(node_raw[[#This Row],[Column2]]), "", node_raw[[#This Row],[Column2]])</f>
        <v/>
      </c>
      <c r="B104" s="108" t="str">
        <f>IF(A104&lt;&gt;"", VLOOKUP(A104, node!$C$2:$D$1000, 2, FALSE), "")</f>
        <v/>
      </c>
      <c r="C104" s="109" t="str">
        <f>IF(A104&lt;&gt;"", VLOOKUP(A104, node!$C$2:$E$1000, 3, FALSE), "")</f>
        <v/>
      </c>
      <c r="D104" s="110" t="str">
        <f>IF(A104&lt;&gt;"",COUNTIFS(node!$C$2:$C$1000,"="&amp;A104, node!$C$2:$C$1000,"&lt;&gt;"&amp;""),"")</f>
        <v/>
      </c>
      <c r="E104" s="111" t="str">
        <f>IF(A104&lt;&gt;"",SUMIFS(node!$F$2:$F$500, node!$C$2:$C$500,"="&amp;A104, node!$C$2:$C$500,"&lt;&gt;"&amp;"")/(B104*D104),"")</f>
        <v/>
      </c>
      <c r="F104" s="112" t="str">
        <f>IF(A104&lt;&gt;"",SUMIFS(node!$H$2:$H$500, node!$C$2:$C$500,"="&amp;A104, node!$C$2:$C$500,"&lt;&gt;"&amp;"")/(C104*D104),"")</f>
        <v/>
      </c>
      <c r="G104" s="179" t="str">
        <f>IF(A104&lt;&gt;"",SUMIFS(deployment!$F$4:$F$502, deployment!$D$4:$D$502,"="&amp;A104, deployment!$D$4:$D$502,"&lt;&gt;"&amp;""),"")</f>
        <v/>
      </c>
      <c r="H104" s="181" t="str">
        <f>IF(A104&lt;&gt;"",SUMIFS(deployment!$G$4:$G$502, deployment!$D$4:$D$502,"="&amp;A104, deployment!$D$4:$D$502,"&lt;&gt;"&amp;""),"")</f>
        <v/>
      </c>
      <c r="I104" s="113" t="str">
        <f>IF(A104&lt;&gt;"",SUMIFS(deployment!$H$4:$H$502, deployment!$D$4:$D$502,"="&amp;A104, deployment!$D$4:$D$502,"&lt;&gt;"&amp;""),"")</f>
        <v/>
      </c>
      <c r="J104" s="114" t="str">
        <f>IF(A104&lt;&gt;"",SUMIFS(deployment!$I$4:$I$502, deployment!$D$4:$D$502,"="&amp;A104, deployment!$D$4:$D$502,"&lt;&gt;"&amp;""),"")</f>
        <v/>
      </c>
      <c r="K104" s="182" t="str">
        <f>IF(A104&lt;&gt;"",SUMIFS(deployment!$J$4:$J$1002, deployment!$D$4:$D$1002,"="&amp;A104, deployment!$D$4:$D$1002,"&lt;&gt;"&amp;"", deployment!$C$4:$C$1002, "&lt;&gt;* )")+SUMIFS(namespace!$G$4:$G$1002, namespace!$B$4:$B$1002,"="&amp;A104, namespace!$B$4:$B$1002,"&lt;&gt;"&amp;""),"")</f>
        <v/>
      </c>
      <c r="L104" s="182" t="str">
        <f>IF(A104&lt;&gt;"",SUMIFS(deployment!$K$4:$K$1002, deployment!$D$4:$D$1002,"="&amp;A104, deployment!$D$4:$D$1002,"&lt;&gt;"&amp;"", deployment!$C$4:$C$1002, "&lt;&gt;* )")+SUMIFS(namespace!$H$4:$H$1002, namespace!$B$4:$B$1002,"="&amp;A104, namespace!$B$4:$B$1002,"&lt;&gt;"&amp;""),"")</f>
        <v/>
      </c>
      <c r="M104" s="115" t="str">
        <f>IF(A104&lt;&gt;"",SUMIFS(deployment!$L$4:$L$1002, deployment!$D$4:$D$1002,"="&amp;A104, deployment!$D$4:$D$1002,"&lt;&gt;"&amp;"", deployment!$C$4:$C$1002, "&lt;&gt;* )")+SUMIFS(namespace!$I$4:$I$1002, namespace!$B$4:$B$1002,"="&amp;A104, namespace!$B$4:$B$1002,"&lt;&gt;"&amp;""),"")</f>
        <v/>
      </c>
      <c r="N104" s="115" t="str">
        <f>IF(A104&lt;&gt;"",SUMIFS(deployment!$M$4:$M$1002, deployment!$D$4:$D$1002,"="&amp;A104, deployment!$D$4:$D$1002,"&lt;&gt;"&amp;"", deployment!$C$4:$C$1002, "&lt;&gt;* )")+SUMIFS(namespace!$J$4:$J$1002, namespace!$B$4:$B$1002,"="&amp;A104, namespace!$B$4:$B$1002,"&lt;&gt;"&amp;""),"")</f>
        <v/>
      </c>
      <c r="O104" s="116" t="str">
        <f t="shared" si="19"/>
        <v/>
      </c>
      <c r="P104" s="63"/>
      <c r="Q104" s="164" t="str">
        <f t="shared" si="14"/>
        <v/>
      </c>
      <c r="R104" s="60" t="str">
        <f t="shared" si="15"/>
        <v/>
      </c>
      <c r="S104" s="60" t="str">
        <f t="shared" si="16"/>
        <v/>
      </c>
      <c r="T104" s="61" t="str">
        <f t="shared" si="17"/>
        <v/>
      </c>
      <c r="U104" s="61" t="str">
        <f t="shared" si="18"/>
        <v/>
      </c>
      <c r="V104" s="183" t="str">
        <f t="shared" si="20"/>
        <v/>
      </c>
      <c r="W104" s="183" t="str">
        <f t="shared" si="21"/>
        <v/>
      </c>
      <c r="X104" s="61" t="str">
        <f t="shared" si="22"/>
        <v/>
      </c>
      <c r="Y104" s="61" t="str">
        <f t="shared" si="23"/>
        <v/>
      </c>
      <c r="Z104" s="118" t="str">
        <f t="shared" si="24"/>
        <v/>
      </c>
      <c r="AA104" s="62" t="str">
        <f t="shared" si="25"/>
        <v/>
      </c>
      <c r="AB104" s="119" t="str">
        <f>IF(A104&lt;&gt;"", IF(P104&lt;&gt;0,SUMIFS(node!$J$2:$J$1000, node!$C$2:$C$1000,"="&amp;A104)/P104,0), "")</f>
        <v/>
      </c>
      <c r="AC104" s="81" t="str">
        <f>IF(A104&lt;&gt;"", IF(P104&lt;&gt;0,SUMIFS(node!$K$2:$K$1000, node!$C$2:$C$1000,"="&amp;A104)/P104,0), "")</f>
        <v/>
      </c>
      <c r="AD104" s="82" t="str">
        <f>IF(A104&lt;&gt;"", SUMIFS(node!$L$2:$L$1000, node!$C$2:$C$1000,"="&amp;A104), "")</f>
        <v/>
      </c>
      <c r="AE104" s="87" t="str">
        <f>IF(A104&lt;&gt;"", SUMIFS(node!$M$2:$M$1000, node!$C$2:$C$1000,"="&amp;A104), "")</f>
        <v/>
      </c>
    </row>
    <row r="105" spans="1:31" ht="15.75" customHeight="1" x14ac:dyDescent="0.25">
      <c r="A105" s="71" t="str">
        <f>IF(ISNONTEXT(node_raw[[#This Row],[Column2]]), "", node_raw[[#This Row],[Column2]])</f>
        <v/>
      </c>
      <c r="B105" s="108" t="str">
        <f>IF(A105&lt;&gt;"", VLOOKUP(A105, node!$C$2:$D$1000, 2, FALSE), "")</f>
        <v/>
      </c>
      <c r="C105" s="109" t="str">
        <f>IF(A105&lt;&gt;"", VLOOKUP(A105, node!$C$2:$E$1000, 3, FALSE), "")</f>
        <v/>
      </c>
      <c r="D105" s="110" t="str">
        <f>IF(A105&lt;&gt;"",COUNTIFS(node!$C$2:$C$1000,"="&amp;A105, node!$C$2:$C$1000,"&lt;&gt;"&amp;""),"")</f>
        <v/>
      </c>
      <c r="E105" s="111" t="str">
        <f>IF(A105&lt;&gt;"",SUMIFS(node!$F$2:$F$500, node!$C$2:$C$500,"="&amp;A105, node!$C$2:$C$500,"&lt;&gt;"&amp;"")/(B105*D105),"")</f>
        <v/>
      </c>
      <c r="F105" s="112" t="str">
        <f>IF(A105&lt;&gt;"",SUMIFS(node!$H$2:$H$500, node!$C$2:$C$500,"="&amp;A105, node!$C$2:$C$500,"&lt;&gt;"&amp;"")/(C105*D105),"")</f>
        <v/>
      </c>
      <c r="G105" s="179" t="str">
        <f>IF(A105&lt;&gt;"",SUMIFS(deployment!$F$4:$F$502, deployment!$D$4:$D$502,"="&amp;A105, deployment!$D$4:$D$502,"&lt;&gt;"&amp;""),"")</f>
        <v/>
      </c>
      <c r="H105" s="181" t="str">
        <f>IF(A105&lt;&gt;"",SUMIFS(deployment!$G$4:$G$502, deployment!$D$4:$D$502,"="&amp;A105, deployment!$D$4:$D$502,"&lt;&gt;"&amp;""),"")</f>
        <v/>
      </c>
      <c r="I105" s="113" t="str">
        <f>IF(A105&lt;&gt;"",SUMIFS(deployment!$H$4:$H$502, deployment!$D$4:$D$502,"="&amp;A105, deployment!$D$4:$D$502,"&lt;&gt;"&amp;""),"")</f>
        <v/>
      </c>
      <c r="J105" s="114" t="str">
        <f>IF(A105&lt;&gt;"",SUMIFS(deployment!$I$4:$I$502, deployment!$D$4:$D$502,"="&amp;A105, deployment!$D$4:$D$502,"&lt;&gt;"&amp;""),"")</f>
        <v/>
      </c>
      <c r="K105" s="182" t="str">
        <f>IF(A105&lt;&gt;"",SUMIFS(deployment!$J$4:$J$1002, deployment!$D$4:$D$1002,"="&amp;A105, deployment!$D$4:$D$1002,"&lt;&gt;"&amp;"", deployment!$C$4:$C$1002, "&lt;&gt;* )")+SUMIFS(namespace!$G$4:$G$1002, namespace!$B$4:$B$1002,"="&amp;A105, namespace!$B$4:$B$1002,"&lt;&gt;"&amp;""),"")</f>
        <v/>
      </c>
      <c r="L105" s="182" t="str">
        <f>IF(A105&lt;&gt;"",SUMIFS(deployment!$K$4:$K$1002, deployment!$D$4:$D$1002,"="&amp;A105, deployment!$D$4:$D$1002,"&lt;&gt;"&amp;"", deployment!$C$4:$C$1002, "&lt;&gt;* )")+SUMIFS(namespace!$H$4:$H$1002, namespace!$B$4:$B$1002,"="&amp;A105, namespace!$B$4:$B$1002,"&lt;&gt;"&amp;""),"")</f>
        <v/>
      </c>
      <c r="M105" s="115" t="str">
        <f>IF(A105&lt;&gt;"",SUMIFS(deployment!$L$4:$L$1002, deployment!$D$4:$D$1002,"="&amp;A105, deployment!$D$4:$D$1002,"&lt;&gt;"&amp;"", deployment!$C$4:$C$1002, "&lt;&gt;* )")+SUMIFS(namespace!$I$4:$I$1002, namespace!$B$4:$B$1002,"="&amp;A105, namespace!$B$4:$B$1002,"&lt;&gt;"&amp;""),"")</f>
        <v/>
      </c>
      <c r="N105" s="115" t="str">
        <f>IF(A105&lt;&gt;"",SUMIFS(deployment!$M$4:$M$1002, deployment!$D$4:$D$1002,"="&amp;A105, deployment!$D$4:$D$1002,"&lt;&gt;"&amp;"", deployment!$C$4:$C$1002, "&lt;&gt;* )")+SUMIFS(namespace!$J$4:$J$1002, namespace!$B$4:$B$1002,"="&amp;A105, namespace!$B$4:$B$1002,"&lt;&gt;"&amp;""),"")</f>
        <v/>
      </c>
      <c r="O105" s="116" t="str">
        <f t="shared" si="19"/>
        <v/>
      </c>
      <c r="P105" s="63"/>
      <c r="Q105" s="164" t="str">
        <f t="shared" si="14"/>
        <v/>
      </c>
      <c r="R105" s="60" t="str">
        <f t="shared" si="15"/>
        <v/>
      </c>
      <c r="S105" s="60" t="str">
        <f t="shared" si="16"/>
        <v/>
      </c>
      <c r="T105" s="61" t="str">
        <f t="shared" si="17"/>
        <v/>
      </c>
      <c r="U105" s="61" t="str">
        <f t="shared" si="18"/>
        <v/>
      </c>
      <c r="V105" s="183" t="str">
        <f t="shared" si="20"/>
        <v/>
      </c>
      <c r="W105" s="183" t="str">
        <f t="shared" si="21"/>
        <v/>
      </c>
      <c r="X105" s="61" t="str">
        <f t="shared" si="22"/>
        <v/>
      </c>
      <c r="Y105" s="61" t="str">
        <f t="shared" si="23"/>
        <v/>
      </c>
      <c r="Z105" s="118" t="str">
        <f t="shared" si="24"/>
        <v/>
      </c>
      <c r="AA105" s="62" t="str">
        <f t="shared" si="25"/>
        <v/>
      </c>
      <c r="AB105" s="119" t="str">
        <f>IF(A105&lt;&gt;"", IF(P105&lt;&gt;0,SUMIFS(node!$J$2:$J$1000, node!$C$2:$C$1000,"="&amp;A105)/P105,0), "")</f>
        <v/>
      </c>
      <c r="AC105" s="81" t="str">
        <f>IF(A105&lt;&gt;"", IF(P105&lt;&gt;0,SUMIFS(node!$K$2:$K$1000, node!$C$2:$C$1000,"="&amp;A105)/P105,0), "")</f>
        <v/>
      </c>
      <c r="AD105" s="82" t="str">
        <f>IF(A105&lt;&gt;"", SUMIFS(node!$L$2:$L$1000, node!$C$2:$C$1000,"="&amp;A105), "")</f>
        <v/>
      </c>
      <c r="AE105" s="87" t="str">
        <f>IF(A105&lt;&gt;"", SUMIFS(node!$M$2:$M$1000, node!$C$2:$C$1000,"="&amp;A105), "")</f>
        <v/>
      </c>
    </row>
    <row r="106" spans="1:31" ht="15.75" customHeight="1" x14ac:dyDescent="0.25">
      <c r="A106" s="71" t="str">
        <f>IF(ISNONTEXT(node_raw[[#This Row],[Column2]]), "", node_raw[[#This Row],[Column2]])</f>
        <v/>
      </c>
      <c r="B106" s="108" t="str">
        <f>IF(A106&lt;&gt;"", VLOOKUP(A106, node!$C$2:$D$1000, 2, FALSE), "")</f>
        <v/>
      </c>
      <c r="C106" s="109" t="str">
        <f>IF(A106&lt;&gt;"", VLOOKUP(A106, node!$C$2:$E$1000, 3, FALSE), "")</f>
        <v/>
      </c>
      <c r="D106" s="110" t="str">
        <f>IF(A106&lt;&gt;"",COUNTIFS(node!$C$2:$C$1000,"="&amp;A106, node!$C$2:$C$1000,"&lt;&gt;"&amp;""),"")</f>
        <v/>
      </c>
      <c r="E106" s="111" t="str">
        <f>IF(A106&lt;&gt;"",SUMIFS(node!$F$2:$F$500, node!$C$2:$C$500,"="&amp;A106, node!$C$2:$C$500,"&lt;&gt;"&amp;"")/(B106*D106),"")</f>
        <v/>
      </c>
      <c r="F106" s="112" t="str">
        <f>IF(A106&lt;&gt;"",SUMIFS(node!$H$2:$H$500, node!$C$2:$C$500,"="&amp;A106, node!$C$2:$C$500,"&lt;&gt;"&amp;"")/(C106*D106),"")</f>
        <v/>
      </c>
      <c r="G106" s="179" t="str">
        <f>IF(A106&lt;&gt;"",SUMIFS(deployment!$F$4:$F$502, deployment!$D$4:$D$502,"="&amp;A106, deployment!$D$4:$D$502,"&lt;&gt;"&amp;""),"")</f>
        <v/>
      </c>
      <c r="H106" s="181" t="str">
        <f>IF(A106&lt;&gt;"",SUMIFS(deployment!$G$4:$G$502, deployment!$D$4:$D$502,"="&amp;A106, deployment!$D$4:$D$502,"&lt;&gt;"&amp;""),"")</f>
        <v/>
      </c>
      <c r="I106" s="113" t="str">
        <f>IF(A106&lt;&gt;"",SUMIFS(deployment!$H$4:$H$502, deployment!$D$4:$D$502,"="&amp;A106, deployment!$D$4:$D$502,"&lt;&gt;"&amp;""),"")</f>
        <v/>
      </c>
      <c r="J106" s="114" t="str">
        <f>IF(A106&lt;&gt;"",SUMIFS(deployment!$I$4:$I$502, deployment!$D$4:$D$502,"="&amp;A106, deployment!$D$4:$D$502,"&lt;&gt;"&amp;""),"")</f>
        <v/>
      </c>
      <c r="K106" s="182" t="str">
        <f>IF(A106&lt;&gt;"",SUMIFS(deployment!$J$4:$J$1002, deployment!$D$4:$D$1002,"="&amp;A106, deployment!$D$4:$D$1002,"&lt;&gt;"&amp;"", deployment!$C$4:$C$1002, "&lt;&gt;* )")+SUMIFS(namespace!$G$4:$G$1002, namespace!$B$4:$B$1002,"="&amp;A106, namespace!$B$4:$B$1002,"&lt;&gt;"&amp;""),"")</f>
        <v/>
      </c>
      <c r="L106" s="182" t="str">
        <f>IF(A106&lt;&gt;"",SUMIFS(deployment!$K$4:$K$1002, deployment!$D$4:$D$1002,"="&amp;A106, deployment!$D$4:$D$1002,"&lt;&gt;"&amp;"", deployment!$C$4:$C$1002, "&lt;&gt;* )")+SUMIFS(namespace!$H$4:$H$1002, namespace!$B$4:$B$1002,"="&amp;A106, namespace!$B$4:$B$1002,"&lt;&gt;"&amp;""),"")</f>
        <v/>
      </c>
      <c r="M106" s="115" t="str">
        <f>IF(A106&lt;&gt;"",SUMIFS(deployment!$L$4:$L$1002, deployment!$D$4:$D$1002,"="&amp;A106, deployment!$D$4:$D$1002,"&lt;&gt;"&amp;"", deployment!$C$4:$C$1002, "&lt;&gt;* )")+SUMIFS(namespace!$I$4:$I$1002, namespace!$B$4:$B$1002,"="&amp;A106, namespace!$B$4:$B$1002,"&lt;&gt;"&amp;""),"")</f>
        <v/>
      </c>
      <c r="N106" s="115" t="str">
        <f>IF(A106&lt;&gt;"",SUMIFS(deployment!$M$4:$M$1002, deployment!$D$4:$D$1002,"="&amp;A106, deployment!$D$4:$D$1002,"&lt;&gt;"&amp;"", deployment!$C$4:$C$1002, "&lt;&gt;* )")+SUMIFS(namespace!$J$4:$J$1002, namespace!$B$4:$B$1002,"="&amp;A106, namespace!$B$4:$B$1002,"&lt;&gt;"&amp;""),"")</f>
        <v/>
      </c>
      <c r="O106" s="116" t="str">
        <f t="shared" si="19"/>
        <v/>
      </c>
      <c r="P106" s="63"/>
      <c r="Q106" s="164" t="str">
        <f t="shared" si="14"/>
        <v/>
      </c>
      <c r="R106" s="60" t="str">
        <f t="shared" si="15"/>
        <v/>
      </c>
      <c r="S106" s="60" t="str">
        <f t="shared" si="16"/>
        <v/>
      </c>
      <c r="T106" s="61" t="str">
        <f t="shared" si="17"/>
        <v/>
      </c>
      <c r="U106" s="61" t="str">
        <f t="shared" si="18"/>
        <v/>
      </c>
      <c r="V106" s="183" t="str">
        <f t="shared" si="20"/>
        <v/>
      </c>
      <c r="W106" s="183" t="str">
        <f t="shared" si="21"/>
        <v/>
      </c>
      <c r="X106" s="61" t="str">
        <f t="shared" si="22"/>
        <v/>
      </c>
      <c r="Y106" s="61" t="str">
        <f t="shared" si="23"/>
        <v/>
      </c>
      <c r="Z106" s="118" t="str">
        <f t="shared" si="24"/>
        <v/>
      </c>
      <c r="AA106" s="62" t="str">
        <f t="shared" si="25"/>
        <v/>
      </c>
      <c r="AB106" s="119" t="str">
        <f>IF(A106&lt;&gt;"", IF(P106&lt;&gt;0,SUMIFS(node!$J$2:$J$1000, node!$C$2:$C$1000,"="&amp;A106)/P106,0), "")</f>
        <v/>
      </c>
      <c r="AC106" s="81" t="str">
        <f>IF(A106&lt;&gt;"", IF(P106&lt;&gt;0,SUMIFS(node!$K$2:$K$1000, node!$C$2:$C$1000,"="&amp;A106)/P106,0), "")</f>
        <v/>
      </c>
      <c r="AD106" s="82" t="str">
        <f>IF(A106&lt;&gt;"", SUMIFS(node!$L$2:$L$1000, node!$C$2:$C$1000,"="&amp;A106), "")</f>
        <v/>
      </c>
      <c r="AE106" s="87" t="str">
        <f>IF(A106&lt;&gt;"", SUMIFS(node!$M$2:$M$1000, node!$C$2:$C$1000,"="&amp;A106), "")</f>
        <v/>
      </c>
    </row>
    <row r="107" spans="1:31" ht="15.75" customHeight="1" x14ac:dyDescent="0.25">
      <c r="A107" s="71" t="str">
        <f>IF(ISNONTEXT(node_raw[[#This Row],[Column2]]), "", node_raw[[#This Row],[Column2]])</f>
        <v/>
      </c>
      <c r="B107" s="108" t="str">
        <f>IF(A107&lt;&gt;"", VLOOKUP(A107, node!$C$2:$D$1000, 2, FALSE), "")</f>
        <v/>
      </c>
      <c r="C107" s="109" t="str">
        <f>IF(A107&lt;&gt;"", VLOOKUP(A107, node!$C$2:$E$1000, 3, FALSE), "")</f>
        <v/>
      </c>
      <c r="D107" s="110" t="str">
        <f>IF(A107&lt;&gt;"",COUNTIFS(node!$C$2:$C$1000,"="&amp;A107, node!$C$2:$C$1000,"&lt;&gt;"&amp;""),"")</f>
        <v/>
      </c>
      <c r="E107" s="111" t="str">
        <f>IF(A107&lt;&gt;"",SUMIFS(node!$F$2:$F$500, node!$C$2:$C$500,"="&amp;A107, node!$C$2:$C$500,"&lt;&gt;"&amp;"")/(B107*D107),"")</f>
        <v/>
      </c>
      <c r="F107" s="112" t="str">
        <f>IF(A107&lt;&gt;"",SUMIFS(node!$H$2:$H$500, node!$C$2:$C$500,"="&amp;A107, node!$C$2:$C$500,"&lt;&gt;"&amp;"")/(C107*D107),"")</f>
        <v/>
      </c>
      <c r="G107" s="179" t="str">
        <f>IF(A107&lt;&gt;"",SUMIFS(deployment!$F$4:$F$502, deployment!$D$4:$D$502,"="&amp;A107, deployment!$D$4:$D$502,"&lt;&gt;"&amp;""),"")</f>
        <v/>
      </c>
      <c r="H107" s="181" t="str">
        <f>IF(A107&lt;&gt;"",SUMIFS(deployment!$G$4:$G$502, deployment!$D$4:$D$502,"="&amp;A107, deployment!$D$4:$D$502,"&lt;&gt;"&amp;""),"")</f>
        <v/>
      </c>
      <c r="I107" s="113" t="str">
        <f>IF(A107&lt;&gt;"",SUMIFS(deployment!$H$4:$H$502, deployment!$D$4:$D$502,"="&amp;A107, deployment!$D$4:$D$502,"&lt;&gt;"&amp;""),"")</f>
        <v/>
      </c>
      <c r="J107" s="114" t="str">
        <f>IF(A107&lt;&gt;"",SUMIFS(deployment!$I$4:$I$502, deployment!$D$4:$D$502,"="&amp;A107, deployment!$D$4:$D$502,"&lt;&gt;"&amp;""),"")</f>
        <v/>
      </c>
      <c r="K107" s="182" t="str">
        <f>IF(A107&lt;&gt;"",SUMIFS(deployment!$J$4:$J$1002, deployment!$D$4:$D$1002,"="&amp;A107, deployment!$D$4:$D$1002,"&lt;&gt;"&amp;"", deployment!$C$4:$C$1002, "&lt;&gt;* )")+SUMIFS(namespace!$G$4:$G$1002, namespace!$B$4:$B$1002,"="&amp;A107, namespace!$B$4:$B$1002,"&lt;&gt;"&amp;""),"")</f>
        <v/>
      </c>
      <c r="L107" s="182" t="str">
        <f>IF(A107&lt;&gt;"",SUMIFS(deployment!$K$4:$K$1002, deployment!$D$4:$D$1002,"="&amp;A107, deployment!$D$4:$D$1002,"&lt;&gt;"&amp;"", deployment!$C$4:$C$1002, "&lt;&gt;* )")+SUMIFS(namespace!$H$4:$H$1002, namespace!$B$4:$B$1002,"="&amp;A107, namespace!$B$4:$B$1002,"&lt;&gt;"&amp;""),"")</f>
        <v/>
      </c>
      <c r="M107" s="115" t="str">
        <f>IF(A107&lt;&gt;"",SUMIFS(deployment!$L$4:$L$1002, deployment!$D$4:$D$1002,"="&amp;A107, deployment!$D$4:$D$1002,"&lt;&gt;"&amp;"", deployment!$C$4:$C$1002, "&lt;&gt;* )")+SUMIFS(namespace!$I$4:$I$1002, namespace!$B$4:$B$1002,"="&amp;A107, namespace!$B$4:$B$1002,"&lt;&gt;"&amp;""),"")</f>
        <v/>
      </c>
      <c r="N107" s="115" t="str">
        <f>IF(A107&lt;&gt;"",SUMIFS(deployment!$M$4:$M$1002, deployment!$D$4:$D$1002,"="&amp;A107, deployment!$D$4:$D$1002,"&lt;&gt;"&amp;"", deployment!$C$4:$C$1002, "&lt;&gt;* )")+SUMIFS(namespace!$J$4:$J$1002, namespace!$B$4:$B$1002,"="&amp;A107, namespace!$B$4:$B$1002,"&lt;&gt;"&amp;""),"")</f>
        <v/>
      </c>
      <c r="O107" s="116" t="str">
        <f t="shared" si="19"/>
        <v/>
      </c>
      <c r="P107" s="63"/>
      <c r="Q107" s="164" t="str">
        <f t="shared" si="14"/>
        <v/>
      </c>
      <c r="R107" s="60" t="str">
        <f t="shared" si="15"/>
        <v/>
      </c>
      <c r="S107" s="60" t="str">
        <f t="shared" si="16"/>
        <v/>
      </c>
      <c r="T107" s="61" t="str">
        <f t="shared" si="17"/>
        <v/>
      </c>
      <c r="U107" s="61" t="str">
        <f t="shared" si="18"/>
        <v/>
      </c>
      <c r="V107" s="183" t="str">
        <f t="shared" si="20"/>
        <v/>
      </c>
      <c r="W107" s="183" t="str">
        <f t="shared" si="21"/>
        <v/>
      </c>
      <c r="X107" s="61" t="str">
        <f t="shared" si="22"/>
        <v/>
      </c>
      <c r="Y107" s="61" t="str">
        <f t="shared" si="23"/>
        <v/>
      </c>
      <c r="Z107" s="118" t="str">
        <f t="shared" si="24"/>
        <v/>
      </c>
      <c r="AA107" s="62" t="str">
        <f t="shared" si="25"/>
        <v/>
      </c>
      <c r="AB107" s="119" t="str">
        <f>IF(A107&lt;&gt;"", IF(P107&lt;&gt;0,SUMIFS(node!$J$2:$J$1000, node!$C$2:$C$1000,"="&amp;A107)/P107,0), "")</f>
        <v/>
      </c>
      <c r="AC107" s="81" t="str">
        <f>IF(A107&lt;&gt;"", IF(P107&lt;&gt;0,SUMIFS(node!$K$2:$K$1000, node!$C$2:$C$1000,"="&amp;A107)/P107,0), "")</f>
        <v/>
      </c>
      <c r="AD107" s="82" t="str">
        <f>IF(A107&lt;&gt;"", SUMIFS(node!$L$2:$L$1000, node!$C$2:$C$1000,"="&amp;A107), "")</f>
        <v/>
      </c>
      <c r="AE107" s="87" t="str">
        <f>IF(A107&lt;&gt;"", SUMIFS(node!$M$2:$M$1000, node!$C$2:$C$1000,"="&amp;A107), "")</f>
        <v/>
      </c>
    </row>
    <row r="108" spans="1:31" ht="15.75" customHeight="1" x14ac:dyDescent="0.25">
      <c r="A108" s="71" t="str">
        <f>IF(ISNONTEXT(node_raw[[#This Row],[Column2]]), "", node_raw[[#This Row],[Column2]])</f>
        <v/>
      </c>
      <c r="B108" s="108" t="str">
        <f>IF(A108&lt;&gt;"", VLOOKUP(A108, node!$C$2:$D$1000, 2, FALSE), "")</f>
        <v/>
      </c>
      <c r="C108" s="109" t="str">
        <f>IF(A108&lt;&gt;"", VLOOKUP(A108, node!$C$2:$E$1000, 3, FALSE), "")</f>
        <v/>
      </c>
      <c r="D108" s="110" t="str">
        <f>IF(A108&lt;&gt;"",COUNTIFS(node!$C$2:$C$1000,"="&amp;A108, node!$C$2:$C$1000,"&lt;&gt;"&amp;""),"")</f>
        <v/>
      </c>
      <c r="E108" s="111" t="str">
        <f>IF(A108&lt;&gt;"",SUMIFS(node!$F$2:$F$500, node!$C$2:$C$500,"="&amp;A108, node!$C$2:$C$500,"&lt;&gt;"&amp;"")/(B108*D108),"")</f>
        <v/>
      </c>
      <c r="F108" s="112" t="str">
        <f>IF(A108&lt;&gt;"",SUMIFS(node!$H$2:$H$500, node!$C$2:$C$500,"="&amp;A108, node!$C$2:$C$500,"&lt;&gt;"&amp;"")/(C108*D108),"")</f>
        <v/>
      </c>
      <c r="G108" s="179" t="str">
        <f>IF(A108&lt;&gt;"",SUMIFS(deployment!$F$4:$F$502, deployment!$D$4:$D$502,"="&amp;A108, deployment!$D$4:$D$502,"&lt;&gt;"&amp;""),"")</f>
        <v/>
      </c>
      <c r="H108" s="181" t="str">
        <f>IF(A108&lt;&gt;"",SUMIFS(deployment!$G$4:$G$502, deployment!$D$4:$D$502,"="&amp;A108, deployment!$D$4:$D$502,"&lt;&gt;"&amp;""),"")</f>
        <v/>
      </c>
      <c r="I108" s="113" t="str">
        <f>IF(A108&lt;&gt;"",SUMIFS(deployment!$H$4:$H$502, deployment!$D$4:$D$502,"="&amp;A108, deployment!$D$4:$D$502,"&lt;&gt;"&amp;""),"")</f>
        <v/>
      </c>
      <c r="J108" s="114" t="str">
        <f>IF(A108&lt;&gt;"",SUMIFS(deployment!$I$4:$I$502, deployment!$D$4:$D$502,"="&amp;A108, deployment!$D$4:$D$502,"&lt;&gt;"&amp;""),"")</f>
        <v/>
      </c>
      <c r="K108" s="182" t="str">
        <f>IF(A108&lt;&gt;"",SUMIFS(deployment!$J$4:$J$1002, deployment!$D$4:$D$1002,"="&amp;A108, deployment!$D$4:$D$1002,"&lt;&gt;"&amp;"", deployment!$C$4:$C$1002, "&lt;&gt;* )")+SUMIFS(namespace!$G$4:$G$1002, namespace!$B$4:$B$1002,"="&amp;A108, namespace!$B$4:$B$1002,"&lt;&gt;"&amp;""),"")</f>
        <v/>
      </c>
      <c r="L108" s="182" t="str">
        <f>IF(A108&lt;&gt;"",SUMIFS(deployment!$K$4:$K$1002, deployment!$D$4:$D$1002,"="&amp;A108, deployment!$D$4:$D$1002,"&lt;&gt;"&amp;"", deployment!$C$4:$C$1002, "&lt;&gt;* )")+SUMIFS(namespace!$H$4:$H$1002, namespace!$B$4:$B$1002,"="&amp;A108, namespace!$B$4:$B$1002,"&lt;&gt;"&amp;""),"")</f>
        <v/>
      </c>
      <c r="M108" s="115" t="str">
        <f>IF(A108&lt;&gt;"",SUMIFS(deployment!$L$4:$L$1002, deployment!$D$4:$D$1002,"="&amp;A108, deployment!$D$4:$D$1002,"&lt;&gt;"&amp;"", deployment!$C$4:$C$1002, "&lt;&gt;* )")+SUMIFS(namespace!$I$4:$I$1002, namespace!$B$4:$B$1002,"="&amp;A108, namespace!$B$4:$B$1002,"&lt;&gt;"&amp;""),"")</f>
        <v/>
      </c>
      <c r="N108" s="115" t="str">
        <f>IF(A108&lt;&gt;"",SUMIFS(deployment!$M$4:$M$1002, deployment!$D$4:$D$1002,"="&amp;A108, deployment!$D$4:$D$1002,"&lt;&gt;"&amp;"", deployment!$C$4:$C$1002, "&lt;&gt;* )")+SUMIFS(namespace!$J$4:$J$1002, namespace!$B$4:$B$1002,"="&amp;A108, namespace!$B$4:$B$1002,"&lt;&gt;"&amp;""),"")</f>
        <v/>
      </c>
      <c r="O108" s="116" t="str">
        <f t="shared" si="19"/>
        <v/>
      </c>
      <c r="P108" s="63"/>
      <c r="Q108" s="164" t="str">
        <f t="shared" si="14"/>
        <v/>
      </c>
      <c r="R108" s="60" t="str">
        <f t="shared" si="15"/>
        <v/>
      </c>
      <c r="S108" s="60" t="str">
        <f t="shared" si="16"/>
        <v/>
      </c>
      <c r="T108" s="61" t="str">
        <f t="shared" si="17"/>
        <v/>
      </c>
      <c r="U108" s="61" t="str">
        <f t="shared" si="18"/>
        <v/>
      </c>
      <c r="V108" s="183" t="str">
        <f t="shared" si="20"/>
        <v/>
      </c>
      <c r="W108" s="183" t="str">
        <f t="shared" si="21"/>
        <v/>
      </c>
      <c r="X108" s="61" t="str">
        <f t="shared" si="22"/>
        <v/>
      </c>
      <c r="Y108" s="61" t="str">
        <f t="shared" si="23"/>
        <v/>
      </c>
      <c r="Z108" s="118" t="str">
        <f t="shared" si="24"/>
        <v/>
      </c>
      <c r="AA108" s="62" t="str">
        <f t="shared" si="25"/>
        <v/>
      </c>
      <c r="AB108" s="119" t="str">
        <f>IF(A108&lt;&gt;"", IF(P108&lt;&gt;0,SUMIFS(node!$J$2:$J$1000, node!$C$2:$C$1000,"="&amp;A108)/P108,0), "")</f>
        <v/>
      </c>
      <c r="AC108" s="81" t="str">
        <f>IF(A108&lt;&gt;"", IF(P108&lt;&gt;0,SUMIFS(node!$K$2:$K$1000, node!$C$2:$C$1000,"="&amp;A108)/P108,0), "")</f>
        <v/>
      </c>
      <c r="AD108" s="82" t="str">
        <f>IF(A108&lt;&gt;"", SUMIFS(node!$L$2:$L$1000, node!$C$2:$C$1000,"="&amp;A108), "")</f>
        <v/>
      </c>
      <c r="AE108" s="87" t="str">
        <f>IF(A108&lt;&gt;"", SUMIFS(node!$M$2:$M$1000, node!$C$2:$C$1000,"="&amp;A108), "")</f>
        <v/>
      </c>
    </row>
    <row r="109" spans="1:31" ht="15.75" customHeight="1" x14ac:dyDescent="0.25">
      <c r="A109" s="71" t="str">
        <f>IF(ISNONTEXT(node_raw[[#This Row],[Column2]]), "", node_raw[[#This Row],[Column2]])</f>
        <v/>
      </c>
      <c r="B109" s="108" t="str">
        <f>IF(A109&lt;&gt;"", VLOOKUP(A109, node!$C$2:$D$1000, 2, FALSE), "")</f>
        <v/>
      </c>
      <c r="C109" s="109" t="str">
        <f>IF(A109&lt;&gt;"", VLOOKUP(A109, node!$C$2:$E$1000, 3, FALSE), "")</f>
        <v/>
      </c>
      <c r="D109" s="110" t="str">
        <f>IF(A109&lt;&gt;"",COUNTIFS(node!$C$2:$C$1000,"="&amp;A109, node!$C$2:$C$1000,"&lt;&gt;"&amp;""),"")</f>
        <v/>
      </c>
      <c r="E109" s="111" t="str">
        <f>IF(A109&lt;&gt;"",SUMIFS(node!$F$2:$F$500, node!$C$2:$C$500,"="&amp;A109, node!$C$2:$C$500,"&lt;&gt;"&amp;"")/(B109*D109),"")</f>
        <v/>
      </c>
      <c r="F109" s="112" t="str">
        <f>IF(A109&lt;&gt;"",SUMIFS(node!$H$2:$H$500, node!$C$2:$C$500,"="&amp;A109, node!$C$2:$C$500,"&lt;&gt;"&amp;"")/(C109*D109),"")</f>
        <v/>
      </c>
      <c r="G109" s="179" t="str">
        <f>IF(A109&lt;&gt;"",SUMIFS(deployment!$F$4:$F$502, deployment!$D$4:$D$502,"="&amp;A109, deployment!$D$4:$D$502,"&lt;&gt;"&amp;""),"")</f>
        <v/>
      </c>
      <c r="H109" s="181" t="str">
        <f>IF(A109&lt;&gt;"",SUMIFS(deployment!$G$4:$G$502, deployment!$D$4:$D$502,"="&amp;A109, deployment!$D$4:$D$502,"&lt;&gt;"&amp;""),"")</f>
        <v/>
      </c>
      <c r="I109" s="113" t="str">
        <f>IF(A109&lt;&gt;"",SUMIFS(deployment!$H$4:$H$502, deployment!$D$4:$D$502,"="&amp;A109, deployment!$D$4:$D$502,"&lt;&gt;"&amp;""),"")</f>
        <v/>
      </c>
      <c r="J109" s="114" t="str">
        <f>IF(A109&lt;&gt;"",SUMIFS(deployment!$I$4:$I$502, deployment!$D$4:$D$502,"="&amp;A109, deployment!$D$4:$D$502,"&lt;&gt;"&amp;""),"")</f>
        <v/>
      </c>
      <c r="K109" s="182" t="str">
        <f>IF(A109&lt;&gt;"",SUMIFS(deployment!$J$4:$J$1002, deployment!$D$4:$D$1002,"="&amp;A109, deployment!$D$4:$D$1002,"&lt;&gt;"&amp;"", deployment!$C$4:$C$1002, "&lt;&gt;* )")+SUMIFS(namespace!$G$4:$G$1002, namespace!$B$4:$B$1002,"="&amp;A109, namespace!$B$4:$B$1002,"&lt;&gt;"&amp;""),"")</f>
        <v/>
      </c>
      <c r="L109" s="182" t="str">
        <f>IF(A109&lt;&gt;"",SUMIFS(deployment!$K$4:$K$1002, deployment!$D$4:$D$1002,"="&amp;A109, deployment!$D$4:$D$1002,"&lt;&gt;"&amp;"", deployment!$C$4:$C$1002, "&lt;&gt;* )")+SUMIFS(namespace!$H$4:$H$1002, namespace!$B$4:$B$1002,"="&amp;A109, namespace!$B$4:$B$1002,"&lt;&gt;"&amp;""),"")</f>
        <v/>
      </c>
      <c r="M109" s="115" t="str">
        <f>IF(A109&lt;&gt;"",SUMIFS(deployment!$L$4:$L$1002, deployment!$D$4:$D$1002,"="&amp;A109, deployment!$D$4:$D$1002,"&lt;&gt;"&amp;"", deployment!$C$4:$C$1002, "&lt;&gt;* )")+SUMIFS(namespace!$I$4:$I$1002, namespace!$B$4:$B$1002,"="&amp;A109, namespace!$B$4:$B$1002,"&lt;&gt;"&amp;""),"")</f>
        <v/>
      </c>
      <c r="N109" s="115" t="str">
        <f>IF(A109&lt;&gt;"",SUMIFS(deployment!$M$4:$M$1002, deployment!$D$4:$D$1002,"="&amp;A109, deployment!$D$4:$D$1002,"&lt;&gt;"&amp;"", deployment!$C$4:$C$1002, "&lt;&gt;* )")+SUMIFS(namespace!$J$4:$J$1002, namespace!$B$4:$B$1002,"="&amp;A109, namespace!$B$4:$B$1002,"&lt;&gt;"&amp;""),"")</f>
        <v/>
      </c>
      <c r="O109" s="116" t="str">
        <f t="shared" si="19"/>
        <v/>
      </c>
      <c r="P109" s="63"/>
      <c r="Q109" s="164" t="str">
        <f t="shared" si="14"/>
        <v/>
      </c>
      <c r="R109" s="60" t="str">
        <f t="shared" si="15"/>
        <v/>
      </c>
      <c r="S109" s="60" t="str">
        <f t="shared" si="16"/>
        <v/>
      </c>
      <c r="T109" s="61" t="str">
        <f t="shared" si="17"/>
        <v/>
      </c>
      <c r="U109" s="61" t="str">
        <f t="shared" si="18"/>
        <v/>
      </c>
      <c r="V109" s="183" t="str">
        <f t="shared" si="20"/>
        <v/>
      </c>
      <c r="W109" s="183" t="str">
        <f t="shared" si="21"/>
        <v/>
      </c>
      <c r="X109" s="61" t="str">
        <f t="shared" si="22"/>
        <v/>
      </c>
      <c r="Y109" s="61" t="str">
        <f t="shared" si="23"/>
        <v/>
      </c>
      <c r="Z109" s="118" t="str">
        <f t="shared" si="24"/>
        <v/>
      </c>
      <c r="AA109" s="62" t="str">
        <f t="shared" si="25"/>
        <v/>
      </c>
      <c r="AB109" s="119" t="str">
        <f>IF(A109&lt;&gt;"", IF(P109&lt;&gt;0,SUMIFS(node!$J$2:$J$1000, node!$C$2:$C$1000,"="&amp;A109)/P109,0), "")</f>
        <v/>
      </c>
      <c r="AC109" s="81" t="str">
        <f>IF(A109&lt;&gt;"", IF(P109&lt;&gt;0,SUMIFS(node!$K$2:$K$1000, node!$C$2:$C$1000,"="&amp;A109)/P109,0), "")</f>
        <v/>
      </c>
      <c r="AD109" s="82" t="str">
        <f>IF(A109&lt;&gt;"", SUMIFS(node!$L$2:$L$1000, node!$C$2:$C$1000,"="&amp;A109), "")</f>
        <v/>
      </c>
      <c r="AE109" s="87" t="str">
        <f>IF(A109&lt;&gt;"", SUMIFS(node!$M$2:$M$1000, node!$C$2:$C$1000,"="&amp;A109), "")</f>
        <v/>
      </c>
    </row>
    <row r="110" spans="1:31" ht="15.75" customHeight="1" x14ac:dyDescent="0.25">
      <c r="A110" s="71" t="str">
        <f>IF(ISNONTEXT(node_raw[[#This Row],[Column2]]), "", node_raw[[#This Row],[Column2]])</f>
        <v/>
      </c>
      <c r="B110" s="108" t="str">
        <f>IF(A110&lt;&gt;"", VLOOKUP(A110, node!$C$2:$D$1000, 2, FALSE), "")</f>
        <v/>
      </c>
      <c r="C110" s="109" t="str">
        <f>IF(A110&lt;&gt;"", VLOOKUP(A110, node!$C$2:$E$1000, 3, FALSE), "")</f>
        <v/>
      </c>
      <c r="D110" s="110" t="str">
        <f>IF(A110&lt;&gt;"",COUNTIFS(node!$C$2:$C$1000,"="&amp;A110, node!$C$2:$C$1000,"&lt;&gt;"&amp;""),"")</f>
        <v/>
      </c>
      <c r="E110" s="111" t="str">
        <f>IF(A110&lt;&gt;"",SUMIFS(node!$F$2:$F$500, node!$C$2:$C$500,"="&amp;A110, node!$C$2:$C$500,"&lt;&gt;"&amp;"")/(B110*D110),"")</f>
        <v/>
      </c>
      <c r="F110" s="112" t="str">
        <f>IF(A110&lt;&gt;"",SUMIFS(node!$H$2:$H$500, node!$C$2:$C$500,"="&amp;A110, node!$C$2:$C$500,"&lt;&gt;"&amp;"")/(C110*D110),"")</f>
        <v/>
      </c>
      <c r="G110" s="179" t="str">
        <f>IF(A110&lt;&gt;"",SUMIFS(deployment!$F$4:$F$502, deployment!$D$4:$D$502,"="&amp;A110, deployment!$D$4:$D$502,"&lt;&gt;"&amp;""),"")</f>
        <v/>
      </c>
      <c r="H110" s="181" t="str">
        <f>IF(A110&lt;&gt;"",SUMIFS(deployment!$G$4:$G$502, deployment!$D$4:$D$502,"="&amp;A110, deployment!$D$4:$D$502,"&lt;&gt;"&amp;""),"")</f>
        <v/>
      </c>
      <c r="I110" s="113" t="str">
        <f>IF(A110&lt;&gt;"",SUMIFS(deployment!$H$4:$H$502, deployment!$D$4:$D$502,"="&amp;A110, deployment!$D$4:$D$502,"&lt;&gt;"&amp;""),"")</f>
        <v/>
      </c>
      <c r="J110" s="114" t="str">
        <f>IF(A110&lt;&gt;"",SUMIFS(deployment!$I$4:$I$502, deployment!$D$4:$D$502,"="&amp;A110, deployment!$D$4:$D$502,"&lt;&gt;"&amp;""),"")</f>
        <v/>
      </c>
      <c r="K110" s="182" t="str">
        <f>IF(A110&lt;&gt;"",SUMIFS(deployment!$J$4:$J$1002, deployment!$D$4:$D$1002,"="&amp;A110, deployment!$D$4:$D$1002,"&lt;&gt;"&amp;"", deployment!$C$4:$C$1002, "&lt;&gt;* )")+SUMIFS(namespace!$G$4:$G$1002, namespace!$B$4:$B$1002,"="&amp;A110, namespace!$B$4:$B$1002,"&lt;&gt;"&amp;""),"")</f>
        <v/>
      </c>
      <c r="L110" s="182" t="str">
        <f>IF(A110&lt;&gt;"",SUMIFS(deployment!$K$4:$K$1002, deployment!$D$4:$D$1002,"="&amp;A110, deployment!$D$4:$D$1002,"&lt;&gt;"&amp;"", deployment!$C$4:$C$1002, "&lt;&gt;* )")+SUMIFS(namespace!$H$4:$H$1002, namespace!$B$4:$B$1002,"="&amp;A110, namespace!$B$4:$B$1002,"&lt;&gt;"&amp;""),"")</f>
        <v/>
      </c>
      <c r="M110" s="115" t="str">
        <f>IF(A110&lt;&gt;"",SUMIFS(deployment!$L$4:$L$1002, deployment!$D$4:$D$1002,"="&amp;A110, deployment!$D$4:$D$1002,"&lt;&gt;"&amp;"", deployment!$C$4:$C$1002, "&lt;&gt;* )")+SUMIFS(namespace!$I$4:$I$1002, namespace!$B$4:$B$1002,"="&amp;A110, namespace!$B$4:$B$1002,"&lt;&gt;"&amp;""),"")</f>
        <v/>
      </c>
      <c r="N110" s="115" t="str">
        <f>IF(A110&lt;&gt;"",SUMIFS(deployment!$M$4:$M$1002, deployment!$D$4:$D$1002,"="&amp;A110, deployment!$D$4:$D$1002,"&lt;&gt;"&amp;"", deployment!$C$4:$C$1002, "&lt;&gt;* )")+SUMIFS(namespace!$J$4:$J$1002, namespace!$B$4:$B$1002,"="&amp;A110, namespace!$B$4:$B$1002,"&lt;&gt;"&amp;""),"")</f>
        <v/>
      </c>
      <c r="O110" s="116" t="str">
        <f t="shared" si="19"/>
        <v/>
      </c>
      <c r="P110" s="63"/>
      <c r="Q110" s="164" t="str">
        <f t="shared" si="14"/>
        <v/>
      </c>
      <c r="R110" s="60" t="str">
        <f t="shared" si="15"/>
        <v/>
      </c>
      <c r="S110" s="60" t="str">
        <f t="shared" si="16"/>
        <v/>
      </c>
      <c r="T110" s="61" t="str">
        <f t="shared" si="17"/>
        <v/>
      </c>
      <c r="U110" s="61" t="str">
        <f t="shared" si="18"/>
        <v/>
      </c>
      <c r="V110" s="183" t="str">
        <f t="shared" si="20"/>
        <v/>
      </c>
      <c r="W110" s="183" t="str">
        <f t="shared" si="21"/>
        <v/>
      </c>
      <c r="X110" s="61" t="str">
        <f t="shared" si="22"/>
        <v/>
      </c>
      <c r="Y110" s="61" t="str">
        <f t="shared" si="23"/>
        <v/>
      </c>
      <c r="Z110" s="118" t="str">
        <f t="shared" si="24"/>
        <v/>
      </c>
      <c r="AA110" s="62" t="str">
        <f t="shared" si="25"/>
        <v/>
      </c>
      <c r="AB110" s="119" t="str">
        <f>IF(A110&lt;&gt;"", IF(P110&lt;&gt;0,SUMIFS(node!$J$2:$J$1000, node!$C$2:$C$1000,"="&amp;A110)/P110,0), "")</f>
        <v/>
      </c>
      <c r="AC110" s="81" t="str">
        <f>IF(A110&lt;&gt;"", IF(P110&lt;&gt;0,SUMIFS(node!$K$2:$K$1000, node!$C$2:$C$1000,"="&amp;A110)/P110,0), "")</f>
        <v/>
      </c>
      <c r="AD110" s="82" t="str">
        <f>IF(A110&lt;&gt;"", SUMIFS(node!$L$2:$L$1000, node!$C$2:$C$1000,"="&amp;A110), "")</f>
        <v/>
      </c>
      <c r="AE110" s="87" t="str">
        <f>IF(A110&lt;&gt;"", SUMIFS(node!$M$2:$M$1000, node!$C$2:$C$1000,"="&amp;A110), "")</f>
        <v/>
      </c>
    </row>
    <row r="111" spans="1:31" ht="15.75" customHeight="1" x14ac:dyDescent="0.25">
      <c r="A111" s="71" t="str">
        <f>IF(ISNONTEXT(node_raw[[#This Row],[Column2]]), "", node_raw[[#This Row],[Column2]])</f>
        <v/>
      </c>
      <c r="B111" s="108" t="str">
        <f>IF(A111&lt;&gt;"", VLOOKUP(A111, node!$C$2:$D$1000, 2, FALSE), "")</f>
        <v/>
      </c>
      <c r="C111" s="109" t="str">
        <f>IF(A111&lt;&gt;"", VLOOKUP(A111, node!$C$2:$E$1000, 3, FALSE), "")</f>
        <v/>
      </c>
      <c r="D111" s="110" t="str">
        <f>IF(A111&lt;&gt;"",COUNTIFS(node!$C$2:$C$1000,"="&amp;A111, node!$C$2:$C$1000,"&lt;&gt;"&amp;""),"")</f>
        <v/>
      </c>
      <c r="E111" s="111" t="str">
        <f>IF(A111&lt;&gt;"",SUMIFS(node!$F$2:$F$500, node!$C$2:$C$500,"="&amp;A111, node!$C$2:$C$500,"&lt;&gt;"&amp;"")/(B111*D111),"")</f>
        <v/>
      </c>
      <c r="F111" s="112" t="str">
        <f>IF(A111&lt;&gt;"",SUMIFS(node!$H$2:$H$500, node!$C$2:$C$500,"="&amp;A111, node!$C$2:$C$500,"&lt;&gt;"&amp;"")/(C111*D111),"")</f>
        <v/>
      </c>
      <c r="G111" s="179" t="str">
        <f>IF(A111&lt;&gt;"",SUMIFS(deployment!$F$4:$F$502, deployment!$D$4:$D$502,"="&amp;A111, deployment!$D$4:$D$502,"&lt;&gt;"&amp;""),"")</f>
        <v/>
      </c>
      <c r="H111" s="181" t="str">
        <f>IF(A111&lt;&gt;"",SUMIFS(deployment!$G$4:$G$502, deployment!$D$4:$D$502,"="&amp;A111, deployment!$D$4:$D$502,"&lt;&gt;"&amp;""),"")</f>
        <v/>
      </c>
      <c r="I111" s="113" t="str">
        <f>IF(A111&lt;&gt;"",SUMIFS(deployment!$H$4:$H$502, deployment!$D$4:$D$502,"="&amp;A111, deployment!$D$4:$D$502,"&lt;&gt;"&amp;""),"")</f>
        <v/>
      </c>
      <c r="J111" s="114" t="str">
        <f>IF(A111&lt;&gt;"",SUMIFS(deployment!$I$4:$I$502, deployment!$D$4:$D$502,"="&amp;A111, deployment!$D$4:$D$502,"&lt;&gt;"&amp;""),"")</f>
        <v/>
      </c>
      <c r="K111" s="182" t="str">
        <f>IF(A111&lt;&gt;"",SUMIFS(deployment!$J$4:$J$1002, deployment!$D$4:$D$1002,"="&amp;A111, deployment!$D$4:$D$1002,"&lt;&gt;"&amp;"", deployment!$C$4:$C$1002, "&lt;&gt;* )")+SUMIFS(namespace!$G$4:$G$1002, namespace!$B$4:$B$1002,"="&amp;A111, namespace!$B$4:$B$1002,"&lt;&gt;"&amp;""),"")</f>
        <v/>
      </c>
      <c r="L111" s="182" t="str">
        <f>IF(A111&lt;&gt;"",SUMIFS(deployment!$K$4:$K$1002, deployment!$D$4:$D$1002,"="&amp;A111, deployment!$D$4:$D$1002,"&lt;&gt;"&amp;"", deployment!$C$4:$C$1002, "&lt;&gt;* )")+SUMIFS(namespace!$H$4:$H$1002, namespace!$B$4:$B$1002,"="&amp;A111, namespace!$B$4:$B$1002,"&lt;&gt;"&amp;""),"")</f>
        <v/>
      </c>
      <c r="M111" s="115" t="str">
        <f>IF(A111&lt;&gt;"",SUMIFS(deployment!$L$4:$L$1002, deployment!$D$4:$D$1002,"="&amp;A111, deployment!$D$4:$D$1002,"&lt;&gt;"&amp;"", deployment!$C$4:$C$1002, "&lt;&gt;* )")+SUMIFS(namespace!$I$4:$I$1002, namespace!$B$4:$B$1002,"="&amp;A111, namespace!$B$4:$B$1002,"&lt;&gt;"&amp;""),"")</f>
        <v/>
      </c>
      <c r="N111" s="115" t="str">
        <f>IF(A111&lt;&gt;"",SUMIFS(deployment!$M$4:$M$1002, deployment!$D$4:$D$1002,"="&amp;A111, deployment!$D$4:$D$1002,"&lt;&gt;"&amp;"", deployment!$C$4:$C$1002, "&lt;&gt;* )")+SUMIFS(namespace!$J$4:$J$1002, namespace!$B$4:$B$1002,"="&amp;A111, namespace!$B$4:$B$1002,"&lt;&gt;"&amp;""),"")</f>
        <v/>
      </c>
      <c r="O111" s="116" t="str">
        <f t="shared" si="19"/>
        <v/>
      </c>
      <c r="P111" s="63"/>
      <c r="Q111" s="164" t="str">
        <f t="shared" si="14"/>
        <v/>
      </c>
      <c r="R111" s="60" t="str">
        <f t="shared" si="15"/>
        <v/>
      </c>
      <c r="S111" s="60" t="str">
        <f t="shared" si="16"/>
        <v/>
      </c>
      <c r="T111" s="61" t="str">
        <f t="shared" si="17"/>
        <v/>
      </c>
      <c r="U111" s="61" t="str">
        <f t="shared" si="18"/>
        <v/>
      </c>
      <c r="V111" s="183" t="str">
        <f t="shared" si="20"/>
        <v/>
      </c>
      <c r="W111" s="183" t="str">
        <f t="shared" si="21"/>
        <v/>
      </c>
      <c r="X111" s="61" t="str">
        <f t="shared" si="22"/>
        <v/>
      </c>
      <c r="Y111" s="61" t="str">
        <f t="shared" si="23"/>
        <v/>
      </c>
      <c r="Z111" s="118" t="str">
        <f t="shared" si="24"/>
        <v/>
      </c>
      <c r="AA111" s="62" t="str">
        <f t="shared" si="25"/>
        <v/>
      </c>
      <c r="AB111" s="119" t="str">
        <f>IF(A111&lt;&gt;"", IF(P111&lt;&gt;0,SUMIFS(node!$J$2:$J$1000, node!$C$2:$C$1000,"="&amp;A111)/P111,0), "")</f>
        <v/>
      </c>
      <c r="AC111" s="81" t="str">
        <f>IF(A111&lt;&gt;"", IF(P111&lt;&gt;0,SUMIFS(node!$K$2:$K$1000, node!$C$2:$C$1000,"="&amp;A111)/P111,0), "")</f>
        <v/>
      </c>
      <c r="AD111" s="82" t="str">
        <f>IF(A111&lt;&gt;"", SUMIFS(node!$L$2:$L$1000, node!$C$2:$C$1000,"="&amp;A111), "")</f>
        <v/>
      </c>
      <c r="AE111" s="87" t="str">
        <f>IF(A111&lt;&gt;"", SUMIFS(node!$M$2:$M$1000, node!$C$2:$C$1000,"="&amp;A111), "")</f>
        <v/>
      </c>
    </row>
    <row r="112" spans="1:31" ht="15.75" customHeight="1" x14ac:dyDescent="0.25">
      <c r="A112" s="71" t="str">
        <f>IF(ISNONTEXT(node_raw[[#This Row],[Column2]]), "", node_raw[[#This Row],[Column2]])</f>
        <v/>
      </c>
      <c r="B112" s="108" t="str">
        <f>IF(A112&lt;&gt;"", VLOOKUP(A112, node!$C$2:$D$1000, 2, FALSE), "")</f>
        <v/>
      </c>
      <c r="C112" s="109" t="str">
        <f>IF(A112&lt;&gt;"", VLOOKUP(A112, node!$C$2:$E$1000, 3, FALSE), "")</f>
        <v/>
      </c>
      <c r="D112" s="110" t="str">
        <f>IF(A112&lt;&gt;"",COUNTIFS(node!$C$2:$C$1000,"="&amp;A112, node!$C$2:$C$1000,"&lt;&gt;"&amp;""),"")</f>
        <v/>
      </c>
      <c r="E112" s="111" t="str">
        <f>IF(A112&lt;&gt;"",SUMIFS(node!$F$2:$F$500, node!$C$2:$C$500,"="&amp;A112, node!$C$2:$C$500,"&lt;&gt;"&amp;"")/(B112*D112),"")</f>
        <v/>
      </c>
      <c r="F112" s="112" t="str">
        <f>IF(A112&lt;&gt;"",SUMIFS(node!$H$2:$H$500, node!$C$2:$C$500,"="&amp;A112, node!$C$2:$C$500,"&lt;&gt;"&amp;"")/(C112*D112),"")</f>
        <v/>
      </c>
      <c r="G112" s="179" t="str">
        <f>IF(A112&lt;&gt;"",SUMIFS(deployment!$F$4:$F$502, deployment!$D$4:$D$502,"="&amp;A112, deployment!$D$4:$D$502,"&lt;&gt;"&amp;""),"")</f>
        <v/>
      </c>
      <c r="H112" s="181" t="str">
        <f>IF(A112&lt;&gt;"",SUMIFS(deployment!$G$4:$G$502, deployment!$D$4:$D$502,"="&amp;A112, deployment!$D$4:$D$502,"&lt;&gt;"&amp;""),"")</f>
        <v/>
      </c>
      <c r="I112" s="113" t="str">
        <f>IF(A112&lt;&gt;"",SUMIFS(deployment!$H$4:$H$502, deployment!$D$4:$D$502,"="&amp;A112, deployment!$D$4:$D$502,"&lt;&gt;"&amp;""),"")</f>
        <v/>
      </c>
      <c r="J112" s="114" t="str">
        <f>IF(A112&lt;&gt;"",SUMIFS(deployment!$I$4:$I$502, deployment!$D$4:$D$502,"="&amp;A112, deployment!$D$4:$D$502,"&lt;&gt;"&amp;""),"")</f>
        <v/>
      </c>
      <c r="K112" s="182" t="str">
        <f>IF(A112&lt;&gt;"",SUMIFS(deployment!$J$4:$J$1002, deployment!$D$4:$D$1002,"="&amp;A112, deployment!$D$4:$D$1002,"&lt;&gt;"&amp;"", deployment!$C$4:$C$1002, "&lt;&gt;* )")+SUMIFS(namespace!$G$4:$G$1002, namespace!$B$4:$B$1002,"="&amp;A112, namespace!$B$4:$B$1002,"&lt;&gt;"&amp;""),"")</f>
        <v/>
      </c>
      <c r="L112" s="182" t="str">
        <f>IF(A112&lt;&gt;"",SUMIFS(deployment!$K$4:$K$1002, deployment!$D$4:$D$1002,"="&amp;A112, deployment!$D$4:$D$1002,"&lt;&gt;"&amp;"", deployment!$C$4:$C$1002, "&lt;&gt;* )")+SUMIFS(namespace!$H$4:$H$1002, namespace!$B$4:$B$1002,"="&amp;A112, namespace!$B$4:$B$1002,"&lt;&gt;"&amp;""),"")</f>
        <v/>
      </c>
      <c r="M112" s="115" t="str">
        <f>IF(A112&lt;&gt;"",SUMIFS(deployment!$L$4:$L$1002, deployment!$D$4:$D$1002,"="&amp;A112, deployment!$D$4:$D$1002,"&lt;&gt;"&amp;"", deployment!$C$4:$C$1002, "&lt;&gt;* )")+SUMIFS(namespace!$I$4:$I$1002, namespace!$B$4:$B$1002,"="&amp;A112, namespace!$B$4:$B$1002,"&lt;&gt;"&amp;""),"")</f>
        <v/>
      </c>
      <c r="N112" s="115" t="str">
        <f>IF(A112&lt;&gt;"",SUMIFS(deployment!$M$4:$M$1002, deployment!$D$4:$D$1002,"="&amp;A112, deployment!$D$4:$D$1002,"&lt;&gt;"&amp;"", deployment!$C$4:$C$1002, "&lt;&gt;* )")+SUMIFS(namespace!$J$4:$J$1002, namespace!$B$4:$B$1002,"="&amp;A112, namespace!$B$4:$B$1002,"&lt;&gt;"&amp;""),"")</f>
        <v/>
      </c>
      <c r="O112" s="116" t="str">
        <f t="shared" si="19"/>
        <v/>
      </c>
      <c r="P112" s="63"/>
      <c r="Q112" s="164" t="str">
        <f t="shared" si="14"/>
        <v/>
      </c>
      <c r="R112" s="60" t="str">
        <f t="shared" si="15"/>
        <v/>
      </c>
      <c r="S112" s="60" t="str">
        <f t="shared" si="16"/>
        <v/>
      </c>
      <c r="T112" s="61" t="str">
        <f t="shared" si="17"/>
        <v/>
      </c>
      <c r="U112" s="61" t="str">
        <f t="shared" si="18"/>
        <v/>
      </c>
      <c r="V112" s="183" t="str">
        <f t="shared" si="20"/>
        <v/>
      </c>
      <c r="W112" s="183" t="str">
        <f t="shared" si="21"/>
        <v/>
      </c>
      <c r="X112" s="61" t="str">
        <f t="shared" si="22"/>
        <v/>
      </c>
      <c r="Y112" s="61" t="str">
        <f t="shared" si="23"/>
        <v/>
      </c>
      <c r="Z112" s="118" t="str">
        <f t="shared" si="24"/>
        <v/>
      </c>
      <c r="AA112" s="62" t="str">
        <f t="shared" si="25"/>
        <v/>
      </c>
      <c r="AB112" s="119" t="str">
        <f>IF(A112&lt;&gt;"", IF(P112&lt;&gt;0,SUMIFS(node!$J$2:$J$1000, node!$C$2:$C$1000,"="&amp;A112)/P112,0), "")</f>
        <v/>
      </c>
      <c r="AC112" s="81" t="str">
        <f>IF(A112&lt;&gt;"", IF(P112&lt;&gt;0,SUMIFS(node!$K$2:$K$1000, node!$C$2:$C$1000,"="&amp;A112)/P112,0), "")</f>
        <v/>
      </c>
      <c r="AD112" s="82" t="str">
        <f>IF(A112&lt;&gt;"", SUMIFS(node!$L$2:$L$1000, node!$C$2:$C$1000,"="&amp;A112), "")</f>
        <v/>
      </c>
      <c r="AE112" s="87" t="str">
        <f>IF(A112&lt;&gt;"", SUMIFS(node!$M$2:$M$1000, node!$C$2:$C$1000,"="&amp;A112), "")</f>
        <v/>
      </c>
    </row>
    <row r="113" spans="1:31" ht="15.75" customHeight="1" x14ac:dyDescent="0.25">
      <c r="A113" s="71" t="str">
        <f>IF(ISNONTEXT(node_raw[[#This Row],[Column2]]), "", node_raw[[#This Row],[Column2]])</f>
        <v/>
      </c>
      <c r="B113" s="108" t="str">
        <f>IF(A113&lt;&gt;"", VLOOKUP(A113, node!$C$2:$D$1000, 2, FALSE), "")</f>
        <v/>
      </c>
      <c r="C113" s="109" t="str">
        <f>IF(A113&lt;&gt;"", VLOOKUP(A113, node!$C$2:$E$1000, 3, FALSE), "")</f>
        <v/>
      </c>
      <c r="D113" s="110" t="str">
        <f>IF(A113&lt;&gt;"",COUNTIFS(node!$C$2:$C$1000,"="&amp;A113, node!$C$2:$C$1000,"&lt;&gt;"&amp;""),"")</f>
        <v/>
      </c>
      <c r="E113" s="111" t="str">
        <f>IF(A113&lt;&gt;"",SUMIFS(node!$F$2:$F$500, node!$C$2:$C$500,"="&amp;A113, node!$C$2:$C$500,"&lt;&gt;"&amp;"")/(B113*D113),"")</f>
        <v/>
      </c>
      <c r="F113" s="112" t="str">
        <f>IF(A113&lt;&gt;"",SUMIFS(node!$H$2:$H$500, node!$C$2:$C$500,"="&amp;A113, node!$C$2:$C$500,"&lt;&gt;"&amp;"")/(C113*D113),"")</f>
        <v/>
      </c>
      <c r="G113" s="179" t="str">
        <f>IF(A113&lt;&gt;"",SUMIFS(deployment!$F$4:$F$502, deployment!$D$4:$D$502,"="&amp;A113, deployment!$D$4:$D$502,"&lt;&gt;"&amp;""),"")</f>
        <v/>
      </c>
      <c r="H113" s="181" t="str">
        <f>IF(A113&lt;&gt;"",SUMIFS(deployment!$G$4:$G$502, deployment!$D$4:$D$502,"="&amp;A113, deployment!$D$4:$D$502,"&lt;&gt;"&amp;""),"")</f>
        <v/>
      </c>
      <c r="I113" s="113" t="str">
        <f>IF(A113&lt;&gt;"",SUMIFS(deployment!$H$4:$H$502, deployment!$D$4:$D$502,"="&amp;A113, deployment!$D$4:$D$502,"&lt;&gt;"&amp;""),"")</f>
        <v/>
      </c>
      <c r="J113" s="114" t="str">
        <f>IF(A113&lt;&gt;"",SUMIFS(deployment!$I$4:$I$502, deployment!$D$4:$D$502,"="&amp;A113, deployment!$D$4:$D$502,"&lt;&gt;"&amp;""),"")</f>
        <v/>
      </c>
      <c r="K113" s="182" t="str">
        <f>IF(A113&lt;&gt;"",SUMIFS(deployment!$J$4:$J$1002, deployment!$D$4:$D$1002,"="&amp;A113, deployment!$D$4:$D$1002,"&lt;&gt;"&amp;"", deployment!$C$4:$C$1002, "&lt;&gt;* )")+SUMIFS(namespace!$G$4:$G$1002, namespace!$B$4:$B$1002,"="&amp;A113, namespace!$B$4:$B$1002,"&lt;&gt;"&amp;""),"")</f>
        <v/>
      </c>
      <c r="L113" s="182" t="str">
        <f>IF(A113&lt;&gt;"",SUMIFS(deployment!$K$4:$K$1002, deployment!$D$4:$D$1002,"="&amp;A113, deployment!$D$4:$D$1002,"&lt;&gt;"&amp;"", deployment!$C$4:$C$1002, "&lt;&gt;* )")+SUMIFS(namespace!$H$4:$H$1002, namespace!$B$4:$B$1002,"="&amp;A113, namespace!$B$4:$B$1002,"&lt;&gt;"&amp;""),"")</f>
        <v/>
      </c>
      <c r="M113" s="115" t="str">
        <f>IF(A113&lt;&gt;"",SUMIFS(deployment!$L$4:$L$1002, deployment!$D$4:$D$1002,"="&amp;A113, deployment!$D$4:$D$1002,"&lt;&gt;"&amp;"", deployment!$C$4:$C$1002, "&lt;&gt;* )")+SUMIFS(namespace!$I$4:$I$1002, namespace!$B$4:$B$1002,"="&amp;A113, namespace!$B$4:$B$1002,"&lt;&gt;"&amp;""),"")</f>
        <v/>
      </c>
      <c r="N113" s="115" t="str">
        <f>IF(A113&lt;&gt;"",SUMIFS(deployment!$M$4:$M$1002, deployment!$D$4:$D$1002,"="&amp;A113, deployment!$D$4:$D$1002,"&lt;&gt;"&amp;"", deployment!$C$4:$C$1002, "&lt;&gt;* )")+SUMIFS(namespace!$J$4:$J$1002, namespace!$B$4:$B$1002,"="&amp;A113, namespace!$B$4:$B$1002,"&lt;&gt;"&amp;""),"")</f>
        <v/>
      </c>
      <c r="O113" s="116" t="str">
        <f t="shared" si="19"/>
        <v/>
      </c>
      <c r="P113" s="63"/>
      <c r="Q113" s="164" t="str">
        <f t="shared" si="14"/>
        <v/>
      </c>
      <c r="R113" s="60" t="str">
        <f t="shared" si="15"/>
        <v/>
      </c>
      <c r="S113" s="60" t="str">
        <f t="shared" si="16"/>
        <v/>
      </c>
      <c r="T113" s="61" t="str">
        <f t="shared" si="17"/>
        <v/>
      </c>
      <c r="U113" s="61" t="str">
        <f t="shared" si="18"/>
        <v/>
      </c>
      <c r="V113" s="183" t="str">
        <f t="shared" si="20"/>
        <v/>
      </c>
      <c r="W113" s="183" t="str">
        <f t="shared" si="21"/>
        <v/>
      </c>
      <c r="X113" s="61" t="str">
        <f t="shared" si="22"/>
        <v/>
      </c>
      <c r="Y113" s="61" t="str">
        <f t="shared" si="23"/>
        <v/>
      </c>
      <c r="Z113" s="118" t="str">
        <f t="shared" si="24"/>
        <v/>
      </c>
      <c r="AA113" s="62" t="str">
        <f t="shared" si="25"/>
        <v/>
      </c>
      <c r="AB113" s="119" t="str">
        <f>IF(A113&lt;&gt;"", IF(P113&lt;&gt;0,SUMIFS(node!$J$2:$J$1000, node!$C$2:$C$1000,"="&amp;A113)/P113,0), "")</f>
        <v/>
      </c>
      <c r="AC113" s="81" t="str">
        <f>IF(A113&lt;&gt;"", IF(P113&lt;&gt;0,SUMIFS(node!$K$2:$K$1000, node!$C$2:$C$1000,"="&amp;A113)/P113,0), "")</f>
        <v/>
      </c>
      <c r="AD113" s="82" t="str">
        <f>IF(A113&lt;&gt;"", SUMIFS(node!$L$2:$L$1000, node!$C$2:$C$1000,"="&amp;A113), "")</f>
        <v/>
      </c>
      <c r="AE113" s="87" t="str">
        <f>IF(A113&lt;&gt;"", SUMIFS(node!$M$2:$M$1000, node!$C$2:$C$1000,"="&amp;A113), "")</f>
        <v/>
      </c>
    </row>
    <row r="114" spans="1:31" ht="15.75" customHeight="1" x14ac:dyDescent="0.25">
      <c r="A114" s="71" t="str">
        <f>IF(ISNONTEXT(node_raw[[#This Row],[Column2]]), "", node_raw[[#This Row],[Column2]])</f>
        <v/>
      </c>
      <c r="B114" s="108" t="str">
        <f>IF(A114&lt;&gt;"", VLOOKUP(A114, node!$C$2:$D$1000, 2, FALSE), "")</f>
        <v/>
      </c>
      <c r="C114" s="109" t="str">
        <f>IF(A114&lt;&gt;"", VLOOKUP(A114, node!$C$2:$E$1000, 3, FALSE), "")</f>
        <v/>
      </c>
      <c r="D114" s="110" t="str">
        <f>IF(A114&lt;&gt;"",COUNTIFS(node!$C$2:$C$1000,"="&amp;A114, node!$C$2:$C$1000,"&lt;&gt;"&amp;""),"")</f>
        <v/>
      </c>
      <c r="E114" s="111" t="str">
        <f>IF(A114&lt;&gt;"",SUMIFS(node!$F$2:$F$500, node!$C$2:$C$500,"="&amp;A114, node!$C$2:$C$500,"&lt;&gt;"&amp;"")/(B114*D114),"")</f>
        <v/>
      </c>
      <c r="F114" s="112" t="str">
        <f>IF(A114&lt;&gt;"",SUMIFS(node!$H$2:$H$500, node!$C$2:$C$500,"="&amp;A114, node!$C$2:$C$500,"&lt;&gt;"&amp;"")/(C114*D114),"")</f>
        <v/>
      </c>
      <c r="G114" s="179" t="str">
        <f>IF(A114&lt;&gt;"",SUMIFS(deployment!$F$4:$F$502, deployment!$D$4:$D$502,"="&amp;A114, deployment!$D$4:$D$502,"&lt;&gt;"&amp;""),"")</f>
        <v/>
      </c>
      <c r="H114" s="181" t="str">
        <f>IF(A114&lt;&gt;"",SUMIFS(deployment!$G$4:$G$502, deployment!$D$4:$D$502,"="&amp;A114, deployment!$D$4:$D$502,"&lt;&gt;"&amp;""),"")</f>
        <v/>
      </c>
      <c r="I114" s="113" t="str">
        <f>IF(A114&lt;&gt;"",SUMIFS(deployment!$H$4:$H$502, deployment!$D$4:$D$502,"="&amp;A114, deployment!$D$4:$D$502,"&lt;&gt;"&amp;""),"")</f>
        <v/>
      </c>
      <c r="J114" s="114" t="str">
        <f>IF(A114&lt;&gt;"",SUMIFS(deployment!$I$4:$I$502, deployment!$D$4:$D$502,"="&amp;A114, deployment!$D$4:$D$502,"&lt;&gt;"&amp;""),"")</f>
        <v/>
      </c>
      <c r="K114" s="182" t="str">
        <f>IF(A114&lt;&gt;"",SUMIFS(deployment!$J$4:$J$1002, deployment!$D$4:$D$1002,"="&amp;A114, deployment!$D$4:$D$1002,"&lt;&gt;"&amp;"", deployment!$C$4:$C$1002, "&lt;&gt;* )")+SUMIFS(namespace!$G$4:$G$1002, namespace!$B$4:$B$1002,"="&amp;A114, namespace!$B$4:$B$1002,"&lt;&gt;"&amp;""),"")</f>
        <v/>
      </c>
      <c r="L114" s="182" t="str">
        <f>IF(A114&lt;&gt;"",SUMIFS(deployment!$K$4:$K$1002, deployment!$D$4:$D$1002,"="&amp;A114, deployment!$D$4:$D$1002,"&lt;&gt;"&amp;"", deployment!$C$4:$C$1002, "&lt;&gt;* )")+SUMIFS(namespace!$H$4:$H$1002, namespace!$B$4:$B$1002,"="&amp;A114, namespace!$B$4:$B$1002,"&lt;&gt;"&amp;""),"")</f>
        <v/>
      </c>
      <c r="M114" s="115" t="str">
        <f>IF(A114&lt;&gt;"",SUMIFS(deployment!$L$4:$L$1002, deployment!$D$4:$D$1002,"="&amp;A114, deployment!$D$4:$D$1002,"&lt;&gt;"&amp;"", deployment!$C$4:$C$1002, "&lt;&gt;* )")+SUMIFS(namespace!$I$4:$I$1002, namespace!$B$4:$B$1002,"="&amp;A114, namespace!$B$4:$B$1002,"&lt;&gt;"&amp;""),"")</f>
        <v/>
      </c>
      <c r="N114" s="115" t="str">
        <f>IF(A114&lt;&gt;"",SUMIFS(deployment!$M$4:$M$1002, deployment!$D$4:$D$1002,"="&amp;A114, deployment!$D$4:$D$1002,"&lt;&gt;"&amp;"", deployment!$C$4:$C$1002, "&lt;&gt;* )")+SUMIFS(namespace!$J$4:$J$1002, namespace!$B$4:$B$1002,"="&amp;A114, namespace!$B$4:$B$1002,"&lt;&gt;"&amp;""),"")</f>
        <v/>
      </c>
      <c r="O114" s="116" t="str">
        <f t="shared" si="19"/>
        <v/>
      </c>
      <c r="P114" s="63"/>
      <c r="Q114" s="164" t="str">
        <f t="shared" si="14"/>
        <v/>
      </c>
      <c r="R114" s="60" t="str">
        <f t="shared" si="15"/>
        <v/>
      </c>
      <c r="S114" s="60" t="str">
        <f t="shared" si="16"/>
        <v/>
      </c>
      <c r="T114" s="61" t="str">
        <f t="shared" si="17"/>
        <v/>
      </c>
      <c r="U114" s="61" t="str">
        <f t="shared" si="18"/>
        <v/>
      </c>
      <c r="V114" s="183" t="str">
        <f t="shared" si="20"/>
        <v/>
      </c>
      <c r="W114" s="183" t="str">
        <f t="shared" si="21"/>
        <v/>
      </c>
      <c r="X114" s="61" t="str">
        <f t="shared" si="22"/>
        <v/>
      </c>
      <c r="Y114" s="61" t="str">
        <f t="shared" si="23"/>
        <v/>
      </c>
      <c r="Z114" s="118" t="str">
        <f t="shared" si="24"/>
        <v/>
      </c>
      <c r="AA114" s="62" t="str">
        <f t="shared" si="25"/>
        <v/>
      </c>
      <c r="AB114" s="119" t="str">
        <f>IF(A114&lt;&gt;"", IF(P114&lt;&gt;0,SUMIFS(node!$J$2:$J$1000, node!$C$2:$C$1000,"="&amp;A114)/P114,0), "")</f>
        <v/>
      </c>
      <c r="AC114" s="81" t="str">
        <f>IF(A114&lt;&gt;"", IF(P114&lt;&gt;0,SUMIFS(node!$K$2:$K$1000, node!$C$2:$C$1000,"="&amp;A114)/P114,0), "")</f>
        <v/>
      </c>
      <c r="AD114" s="82" t="str">
        <f>IF(A114&lt;&gt;"", SUMIFS(node!$L$2:$L$1000, node!$C$2:$C$1000,"="&amp;A114), "")</f>
        <v/>
      </c>
      <c r="AE114" s="87" t="str">
        <f>IF(A114&lt;&gt;"", SUMIFS(node!$M$2:$M$1000, node!$C$2:$C$1000,"="&amp;A114), "")</f>
        <v/>
      </c>
    </row>
    <row r="115" spans="1:31" ht="15.75" customHeight="1" x14ac:dyDescent="0.25">
      <c r="A115" s="71" t="str">
        <f>IF(ISNONTEXT(node_raw[[#This Row],[Column2]]), "", node_raw[[#This Row],[Column2]])</f>
        <v/>
      </c>
      <c r="B115" s="108" t="str">
        <f>IF(A115&lt;&gt;"", VLOOKUP(A115, node!$C$2:$D$1000, 2, FALSE), "")</f>
        <v/>
      </c>
      <c r="C115" s="109" t="str">
        <f>IF(A115&lt;&gt;"", VLOOKUP(A115, node!$C$2:$E$1000, 3, FALSE), "")</f>
        <v/>
      </c>
      <c r="D115" s="110" t="str">
        <f>IF(A115&lt;&gt;"",COUNTIFS(node!$C$2:$C$1000,"="&amp;A115, node!$C$2:$C$1000,"&lt;&gt;"&amp;""),"")</f>
        <v/>
      </c>
      <c r="E115" s="111" t="str">
        <f>IF(A115&lt;&gt;"",SUMIFS(node!$F$2:$F$500, node!$C$2:$C$500,"="&amp;A115, node!$C$2:$C$500,"&lt;&gt;"&amp;"")/(B115*D115),"")</f>
        <v/>
      </c>
      <c r="F115" s="112" t="str">
        <f>IF(A115&lt;&gt;"",SUMIFS(node!$H$2:$H$500, node!$C$2:$C$500,"="&amp;A115, node!$C$2:$C$500,"&lt;&gt;"&amp;"")/(C115*D115),"")</f>
        <v/>
      </c>
      <c r="G115" s="179" t="str">
        <f>IF(A115&lt;&gt;"",SUMIFS(deployment!$F$4:$F$502, deployment!$D$4:$D$502,"="&amp;A115, deployment!$D$4:$D$502,"&lt;&gt;"&amp;""),"")</f>
        <v/>
      </c>
      <c r="H115" s="181" t="str">
        <f>IF(A115&lt;&gt;"",SUMIFS(deployment!$G$4:$G$502, deployment!$D$4:$D$502,"="&amp;A115, deployment!$D$4:$D$502,"&lt;&gt;"&amp;""),"")</f>
        <v/>
      </c>
      <c r="I115" s="113" t="str">
        <f>IF(A115&lt;&gt;"",SUMIFS(deployment!$H$4:$H$502, deployment!$D$4:$D$502,"="&amp;A115, deployment!$D$4:$D$502,"&lt;&gt;"&amp;""),"")</f>
        <v/>
      </c>
      <c r="J115" s="114" t="str">
        <f>IF(A115&lt;&gt;"",SUMIFS(deployment!$I$4:$I$502, deployment!$D$4:$D$502,"="&amp;A115, deployment!$D$4:$D$502,"&lt;&gt;"&amp;""),"")</f>
        <v/>
      </c>
      <c r="K115" s="182" t="str">
        <f>IF(A115&lt;&gt;"",SUMIFS(deployment!$J$4:$J$1002, deployment!$D$4:$D$1002,"="&amp;A115, deployment!$D$4:$D$1002,"&lt;&gt;"&amp;"", deployment!$C$4:$C$1002, "&lt;&gt;* )")+SUMIFS(namespace!$G$4:$G$1002, namespace!$B$4:$B$1002,"="&amp;A115, namespace!$B$4:$B$1002,"&lt;&gt;"&amp;""),"")</f>
        <v/>
      </c>
      <c r="L115" s="182" t="str">
        <f>IF(A115&lt;&gt;"",SUMIFS(deployment!$K$4:$K$1002, deployment!$D$4:$D$1002,"="&amp;A115, deployment!$D$4:$D$1002,"&lt;&gt;"&amp;"", deployment!$C$4:$C$1002, "&lt;&gt;* )")+SUMIFS(namespace!$H$4:$H$1002, namespace!$B$4:$B$1002,"="&amp;A115, namespace!$B$4:$B$1002,"&lt;&gt;"&amp;""),"")</f>
        <v/>
      </c>
      <c r="M115" s="115" t="str">
        <f>IF(A115&lt;&gt;"",SUMIFS(deployment!$L$4:$L$1002, deployment!$D$4:$D$1002,"="&amp;A115, deployment!$D$4:$D$1002,"&lt;&gt;"&amp;"", deployment!$C$4:$C$1002, "&lt;&gt;* )")+SUMIFS(namespace!$I$4:$I$1002, namespace!$B$4:$B$1002,"="&amp;A115, namespace!$B$4:$B$1002,"&lt;&gt;"&amp;""),"")</f>
        <v/>
      </c>
      <c r="N115" s="115" t="str">
        <f>IF(A115&lt;&gt;"",SUMIFS(deployment!$M$4:$M$1002, deployment!$D$4:$D$1002,"="&amp;A115, deployment!$D$4:$D$1002,"&lt;&gt;"&amp;"", deployment!$C$4:$C$1002, "&lt;&gt;* )")+SUMIFS(namespace!$J$4:$J$1002, namespace!$B$4:$B$1002,"="&amp;A115, namespace!$B$4:$B$1002,"&lt;&gt;"&amp;""),"")</f>
        <v/>
      </c>
      <c r="O115" s="116" t="str">
        <f t="shared" si="19"/>
        <v/>
      </c>
      <c r="P115" s="63"/>
      <c r="Q115" s="164" t="str">
        <f t="shared" si="14"/>
        <v/>
      </c>
      <c r="R115" s="60" t="str">
        <f t="shared" si="15"/>
        <v/>
      </c>
      <c r="S115" s="60" t="str">
        <f t="shared" si="16"/>
        <v/>
      </c>
      <c r="T115" s="61" t="str">
        <f t="shared" si="17"/>
        <v/>
      </c>
      <c r="U115" s="61" t="str">
        <f t="shared" si="18"/>
        <v/>
      </c>
      <c r="V115" s="183" t="str">
        <f t="shared" si="20"/>
        <v/>
      </c>
      <c r="W115" s="183" t="str">
        <f t="shared" si="21"/>
        <v/>
      </c>
      <c r="X115" s="61" t="str">
        <f t="shared" si="22"/>
        <v/>
      </c>
      <c r="Y115" s="61" t="str">
        <f t="shared" si="23"/>
        <v/>
      </c>
      <c r="Z115" s="118" t="str">
        <f t="shared" si="24"/>
        <v/>
      </c>
      <c r="AA115" s="62" t="str">
        <f t="shared" si="25"/>
        <v/>
      </c>
      <c r="AB115" s="119" t="str">
        <f>IF(A115&lt;&gt;"", IF(P115&lt;&gt;0,SUMIFS(node!$J$2:$J$1000, node!$C$2:$C$1000,"="&amp;A115)/P115,0), "")</f>
        <v/>
      </c>
      <c r="AC115" s="81" t="str">
        <f>IF(A115&lt;&gt;"", IF(P115&lt;&gt;0,SUMIFS(node!$K$2:$K$1000, node!$C$2:$C$1000,"="&amp;A115)/P115,0), "")</f>
        <v/>
      </c>
      <c r="AD115" s="82" t="str">
        <f>IF(A115&lt;&gt;"", SUMIFS(node!$L$2:$L$1000, node!$C$2:$C$1000,"="&amp;A115), "")</f>
        <v/>
      </c>
      <c r="AE115" s="87" t="str">
        <f>IF(A115&lt;&gt;"", SUMIFS(node!$M$2:$M$1000, node!$C$2:$C$1000,"="&amp;A115), "")</f>
        <v/>
      </c>
    </row>
    <row r="116" spans="1:31" ht="15.75" customHeight="1" x14ac:dyDescent="0.25">
      <c r="A116" s="71" t="str">
        <f>IF(ISNONTEXT(node_raw[[#This Row],[Column2]]), "", node_raw[[#This Row],[Column2]])</f>
        <v/>
      </c>
      <c r="B116" s="108" t="str">
        <f>IF(A116&lt;&gt;"", VLOOKUP(A116, node!$C$2:$D$1000, 2, FALSE), "")</f>
        <v/>
      </c>
      <c r="C116" s="109" t="str">
        <f>IF(A116&lt;&gt;"", VLOOKUP(A116, node!$C$2:$E$1000, 3, FALSE), "")</f>
        <v/>
      </c>
      <c r="D116" s="110" t="str">
        <f>IF(A116&lt;&gt;"",COUNTIFS(node!$C$2:$C$1000,"="&amp;A116, node!$C$2:$C$1000,"&lt;&gt;"&amp;""),"")</f>
        <v/>
      </c>
      <c r="E116" s="111" t="str">
        <f>IF(A116&lt;&gt;"",SUMIFS(node!$F$2:$F$500, node!$C$2:$C$500,"="&amp;A116, node!$C$2:$C$500,"&lt;&gt;"&amp;"")/(B116*D116),"")</f>
        <v/>
      </c>
      <c r="F116" s="112" t="str">
        <f>IF(A116&lt;&gt;"",SUMIFS(node!$H$2:$H$500, node!$C$2:$C$500,"="&amp;A116, node!$C$2:$C$500,"&lt;&gt;"&amp;"")/(C116*D116),"")</f>
        <v/>
      </c>
      <c r="G116" s="179" t="str">
        <f>IF(A116&lt;&gt;"",SUMIFS(deployment!$F$4:$F$502, deployment!$D$4:$D$502,"="&amp;A116, deployment!$D$4:$D$502,"&lt;&gt;"&amp;""),"")</f>
        <v/>
      </c>
      <c r="H116" s="181" t="str">
        <f>IF(A116&lt;&gt;"",SUMIFS(deployment!$G$4:$G$502, deployment!$D$4:$D$502,"="&amp;A116, deployment!$D$4:$D$502,"&lt;&gt;"&amp;""),"")</f>
        <v/>
      </c>
      <c r="I116" s="113" t="str">
        <f>IF(A116&lt;&gt;"",SUMIFS(deployment!$H$4:$H$502, deployment!$D$4:$D$502,"="&amp;A116, deployment!$D$4:$D$502,"&lt;&gt;"&amp;""),"")</f>
        <v/>
      </c>
      <c r="J116" s="114" t="str">
        <f>IF(A116&lt;&gt;"",SUMIFS(deployment!$I$4:$I$502, deployment!$D$4:$D$502,"="&amp;A116, deployment!$D$4:$D$502,"&lt;&gt;"&amp;""),"")</f>
        <v/>
      </c>
      <c r="K116" s="182" t="str">
        <f>IF(A116&lt;&gt;"",SUMIFS(deployment!$J$4:$J$1002, deployment!$D$4:$D$1002,"="&amp;A116, deployment!$D$4:$D$1002,"&lt;&gt;"&amp;"", deployment!$C$4:$C$1002, "&lt;&gt;* )")+SUMIFS(namespace!$G$4:$G$1002, namespace!$B$4:$B$1002,"="&amp;A116, namespace!$B$4:$B$1002,"&lt;&gt;"&amp;""),"")</f>
        <v/>
      </c>
      <c r="L116" s="182" t="str">
        <f>IF(A116&lt;&gt;"",SUMIFS(deployment!$K$4:$K$1002, deployment!$D$4:$D$1002,"="&amp;A116, deployment!$D$4:$D$1002,"&lt;&gt;"&amp;"", deployment!$C$4:$C$1002, "&lt;&gt;* )")+SUMIFS(namespace!$H$4:$H$1002, namespace!$B$4:$B$1002,"="&amp;A116, namespace!$B$4:$B$1002,"&lt;&gt;"&amp;""),"")</f>
        <v/>
      </c>
      <c r="M116" s="115" t="str">
        <f>IF(A116&lt;&gt;"",SUMIFS(deployment!$L$4:$L$1002, deployment!$D$4:$D$1002,"="&amp;A116, deployment!$D$4:$D$1002,"&lt;&gt;"&amp;"", deployment!$C$4:$C$1002, "&lt;&gt;* )")+SUMIFS(namespace!$I$4:$I$1002, namespace!$B$4:$B$1002,"="&amp;A116, namespace!$B$4:$B$1002,"&lt;&gt;"&amp;""),"")</f>
        <v/>
      </c>
      <c r="N116" s="115" t="str">
        <f>IF(A116&lt;&gt;"",SUMIFS(deployment!$M$4:$M$1002, deployment!$D$4:$D$1002,"="&amp;A116, deployment!$D$4:$D$1002,"&lt;&gt;"&amp;"", deployment!$C$4:$C$1002, "&lt;&gt;* )")+SUMIFS(namespace!$J$4:$J$1002, namespace!$B$4:$B$1002,"="&amp;A116, namespace!$B$4:$B$1002,"&lt;&gt;"&amp;""),"")</f>
        <v/>
      </c>
      <c r="O116" s="116" t="str">
        <f t="shared" si="19"/>
        <v/>
      </c>
      <c r="P116" s="63"/>
      <c r="Q116" s="164" t="str">
        <f t="shared" si="14"/>
        <v/>
      </c>
      <c r="R116" s="60" t="str">
        <f t="shared" si="15"/>
        <v/>
      </c>
      <c r="S116" s="60" t="str">
        <f t="shared" si="16"/>
        <v/>
      </c>
      <c r="T116" s="61" t="str">
        <f t="shared" si="17"/>
        <v/>
      </c>
      <c r="U116" s="61" t="str">
        <f t="shared" si="18"/>
        <v/>
      </c>
      <c r="V116" s="183" t="str">
        <f t="shared" si="20"/>
        <v/>
      </c>
      <c r="W116" s="183" t="str">
        <f t="shared" si="21"/>
        <v/>
      </c>
      <c r="X116" s="61" t="str">
        <f t="shared" si="22"/>
        <v/>
      </c>
      <c r="Y116" s="61" t="str">
        <f t="shared" si="23"/>
        <v/>
      </c>
      <c r="Z116" s="118" t="str">
        <f t="shared" si="24"/>
        <v/>
      </c>
      <c r="AA116" s="62" t="str">
        <f t="shared" si="25"/>
        <v/>
      </c>
      <c r="AB116" s="119" t="str">
        <f>IF(A116&lt;&gt;"", IF(P116&lt;&gt;0,SUMIFS(node!$J$2:$J$1000, node!$C$2:$C$1000,"="&amp;A116)/P116,0), "")</f>
        <v/>
      </c>
      <c r="AC116" s="81" t="str">
        <f>IF(A116&lt;&gt;"", IF(P116&lt;&gt;0,SUMIFS(node!$K$2:$K$1000, node!$C$2:$C$1000,"="&amp;A116)/P116,0), "")</f>
        <v/>
      </c>
      <c r="AD116" s="82" t="str">
        <f>IF(A116&lt;&gt;"", SUMIFS(node!$L$2:$L$1000, node!$C$2:$C$1000,"="&amp;A116), "")</f>
        <v/>
      </c>
      <c r="AE116" s="87" t="str">
        <f>IF(A116&lt;&gt;"", SUMIFS(node!$M$2:$M$1000, node!$C$2:$C$1000,"="&amp;A116), "")</f>
        <v/>
      </c>
    </row>
    <row r="117" spans="1:31" ht="15.75" customHeight="1" x14ac:dyDescent="0.25">
      <c r="A117" s="71" t="str">
        <f>IF(ISNONTEXT(node_raw[[#This Row],[Column2]]), "", node_raw[[#This Row],[Column2]])</f>
        <v/>
      </c>
      <c r="B117" s="108" t="str">
        <f>IF(A117&lt;&gt;"", VLOOKUP(A117, node!$C$2:$D$1000, 2, FALSE), "")</f>
        <v/>
      </c>
      <c r="C117" s="109" t="str">
        <f>IF(A117&lt;&gt;"", VLOOKUP(A117, node!$C$2:$E$1000, 3, FALSE), "")</f>
        <v/>
      </c>
      <c r="D117" s="110" t="str">
        <f>IF(A117&lt;&gt;"",COUNTIFS(node!$C$2:$C$1000,"="&amp;A117, node!$C$2:$C$1000,"&lt;&gt;"&amp;""),"")</f>
        <v/>
      </c>
      <c r="E117" s="111" t="str">
        <f>IF(A117&lt;&gt;"",SUMIFS(node!$F$2:$F$500, node!$C$2:$C$500,"="&amp;A117, node!$C$2:$C$500,"&lt;&gt;"&amp;"")/(B117*D117),"")</f>
        <v/>
      </c>
      <c r="F117" s="112" t="str">
        <f>IF(A117&lt;&gt;"",SUMIFS(node!$H$2:$H$500, node!$C$2:$C$500,"="&amp;A117, node!$C$2:$C$500,"&lt;&gt;"&amp;"")/(C117*D117),"")</f>
        <v/>
      </c>
      <c r="G117" s="179" t="str">
        <f>IF(A117&lt;&gt;"",SUMIFS(deployment!$F$4:$F$502, deployment!$D$4:$D$502,"="&amp;A117, deployment!$D$4:$D$502,"&lt;&gt;"&amp;""),"")</f>
        <v/>
      </c>
      <c r="H117" s="181" t="str">
        <f>IF(A117&lt;&gt;"",SUMIFS(deployment!$G$4:$G$502, deployment!$D$4:$D$502,"="&amp;A117, deployment!$D$4:$D$502,"&lt;&gt;"&amp;""),"")</f>
        <v/>
      </c>
      <c r="I117" s="113" t="str">
        <f>IF(A117&lt;&gt;"",SUMIFS(deployment!$H$4:$H$502, deployment!$D$4:$D$502,"="&amp;A117, deployment!$D$4:$D$502,"&lt;&gt;"&amp;""),"")</f>
        <v/>
      </c>
      <c r="J117" s="114" t="str">
        <f>IF(A117&lt;&gt;"",SUMIFS(deployment!$I$4:$I$502, deployment!$D$4:$D$502,"="&amp;A117, deployment!$D$4:$D$502,"&lt;&gt;"&amp;""),"")</f>
        <v/>
      </c>
      <c r="K117" s="182" t="str">
        <f>IF(A117&lt;&gt;"",SUMIFS(deployment!$J$4:$J$1002, deployment!$D$4:$D$1002,"="&amp;A117, deployment!$D$4:$D$1002,"&lt;&gt;"&amp;"", deployment!$C$4:$C$1002, "&lt;&gt;* )")+SUMIFS(namespace!$G$4:$G$1002, namespace!$B$4:$B$1002,"="&amp;A117, namespace!$B$4:$B$1002,"&lt;&gt;"&amp;""),"")</f>
        <v/>
      </c>
      <c r="L117" s="182" t="str">
        <f>IF(A117&lt;&gt;"",SUMIFS(deployment!$K$4:$K$1002, deployment!$D$4:$D$1002,"="&amp;A117, deployment!$D$4:$D$1002,"&lt;&gt;"&amp;"", deployment!$C$4:$C$1002, "&lt;&gt;* )")+SUMIFS(namespace!$H$4:$H$1002, namespace!$B$4:$B$1002,"="&amp;A117, namespace!$B$4:$B$1002,"&lt;&gt;"&amp;""),"")</f>
        <v/>
      </c>
      <c r="M117" s="115" t="str">
        <f>IF(A117&lt;&gt;"",SUMIFS(deployment!$L$4:$L$1002, deployment!$D$4:$D$1002,"="&amp;A117, deployment!$D$4:$D$1002,"&lt;&gt;"&amp;"", deployment!$C$4:$C$1002, "&lt;&gt;* )")+SUMIFS(namespace!$I$4:$I$1002, namespace!$B$4:$B$1002,"="&amp;A117, namespace!$B$4:$B$1002,"&lt;&gt;"&amp;""),"")</f>
        <v/>
      </c>
      <c r="N117" s="115" t="str">
        <f>IF(A117&lt;&gt;"",SUMIFS(deployment!$M$4:$M$1002, deployment!$D$4:$D$1002,"="&amp;A117, deployment!$D$4:$D$1002,"&lt;&gt;"&amp;"", deployment!$C$4:$C$1002, "&lt;&gt;* )")+SUMIFS(namespace!$J$4:$J$1002, namespace!$B$4:$B$1002,"="&amp;A117, namespace!$B$4:$B$1002,"&lt;&gt;"&amp;""),"")</f>
        <v/>
      </c>
      <c r="O117" s="116" t="str">
        <f t="shared" si="19"/>
        <v/>
      </c>
      <c r="P117" s="63"/>
      <c r="Q117" s="164" t="str">
        <f t="shared" si="14"/>
        <v/>
      </c>
      <c r="R117" s="60" t="str">
        <f t="shared" si="15"/>
        <v/>
      </c>
      <c r="S117" s="60" t="str">
        <f t="shared" si="16"/>
        <v/>
      </c>
      <c r="T117" s="61" t="str">
        <f t="shared" si="17"/>
        <v/>
      </c>
      <c r="U117" s="61" t="str">
        <f t="shared" si="18"/>
        <v/>
      </c>
      <c r="V117" s="183" t="str">
        <f t="shared" si="20"/>
        <v/>
      </c>
      <c r="W117" s="183" t="str">
        <f t="shared" si="21"/>
        <v/>
      </c>
      <c r="X117" s="61" t="str">
        <f t="shared" si="22"/>
        <v/>
      </c>
      <c r="Y117" s="61" t="str">
        <f t="shared" si="23"/>
        <v/>
      </c>
      <c r="Z117" s="118" t="str">
        <f t="shared" si="24"/>
        <v/>
      </c>
      <c r="AA117" s="62" t="str">
        <f t="shared" si="25"/>
        <v/>
      </c>
      <c r="AB117" s="119" t="str">
        <f>IF(A117&lt;&gt;"", IF(P117&lt;&gt;0,SUMIFS(node!$J$2:$J$1000, node!$C$2:$C$1000,"="&amp;A117)/P117,0), "")</f>
        <v/>
      </c>
      <c r="AC117" s="81" t="str">
        <f>IF(A117&lt;&gt;"", IF(P117&lt;&gt;0,SUMIFS(node!$K$2:$K$1000, node!$C$2:$C$1000,"="&amp;A117)/P117,0), "")</f>
        <v/>
      </c>
      <c r="AD117" s="82" t="str">
        <f>IF(A117&lt;&gt;"", SUMIFS(node!$L$2:$L$1000, node!$C$2:$C$1000,"="&amp;A117), "")</f>
        <v/>
      </c>
      <c r="AE117" s="87" t="str">
        <f>IF(A117&lt;&gt;"", SUMIFS(node!$M$2:$M$1000, node!$C$2:$C$1000,"="&amp;A117), "")</f>
        <v/>
      </c>
    </row>
    <row r="118" spans="1:31" ht="15.75" customHeight="1" x14ac:dyDescent="0.25">
      <c r="A118" s="71" t="str">
        <f>IF(ISNONTEXT(node_raw[[#This Row],[Column2]]), "", node_raw[[#This Row],[Column2]])</f>
        <v/>
      </c>
      <c r="B118" s="108" t="str">
        <f>IF(A118&lt;&gt;"", VLOOKUP(A118, node!$C$2:$D$1000, 2, FALSE), "")</f>
        <v/>
      </c>
      <c r="C118" s="109" t="str">
        <f>IF(A118&lt;&gt;"", VLOOKUP(A118, node!$C$2:$E$1000, 3, FALSE), "")</f>
        <v/>
      </c>
      <c r="D118" s="110" t="str">
        <f>IF(A118&lt;&gt;"",COUNTIFS(node!$C$2:$C$1000,"="&amp;A118, node!$C$2:$C$1000,"&lt;&gt;"&amp;""),"")</f>
        <v/>
      </c>
      <c r="E118" s="111" t="str">
        <f>IF(A118&lt;&gt;"",SUMIFS(node!$F$2:$F$500, node!$C$2:$C$500,"="&amp;A118, node!$C$2:$C$500,"&lt;&gt;"&amp;"")/(B118*D118),"")</f>
        <v/>
      </c>
      <c r="F118" s="112" t="str">
        <f>IF(A118&lt;&gt;"",SUMIFS(node!$H$2:$H$500, node!$C$2:$C$500,"="&amp;A118, node!$C$2:$C$500,"&lt;&gt;"&amp;"")/(C118*D118),"")</f>
        <v/>
      </c>
      <c r="G118" s="179" t="str">
        <f>IF(A118&lt;&gt;"",SUMIFS(deployment!$F$4:$F$502, deployment!$D$4:$D$502,"="&amp;A118, deployment!$D$4:$D$502,"&lt;&gt;"&amp;""),"")</f>
        <v/>
      </c>
      <c r="H118" s="181" t="str">
        <f>IF(A118&lt;&gt;"",SUMIFS(deployment!$G$4:$G$502, deployment!$D$4:$D$502,"="&amp;A118, deployment!$D$4:$D$502,"&lt;&gt;"&amp;""),"")</f>
        <v/>
      </c>
      <c r="I118" s="113" t="str">
        <f>IF(A118&lt;&gt;"",SUMIFS(deployment!$H$4:$H$502, deployment!$D$4:$D$502,"="&amp;A118, deployment!$D$4:$D$502,"&lt;&gt;"&amp;""),"")</f>
        <v/>
      </c>
      <c r="J118" s="114" t="str">
        <f>IF(A118&lt;&gt;"",SUMIFS(deployment!$I$4:$I$502, deployment!$D$4:$D$502,"="&amp;A118, deployment!$D$4:$D$502,"&lt;&gt;"&amp;""),"")</f>
        <v/>
      </c>
      <c r="K118" s="182" t="str">
        <f>IF(A118&lt;&gt;"",SUMIFS(deployment!$J$4:$J$1002, deployment!$D$4:$D$1002,"="&amp;A118, deployment!$D$4:$D$1002,"&lt;&gt;"&amp;"", deployment!$C$4:$C$1002, "&lt;&gt;* )")+SUMIFS(namespace!$G$4:$G$1002, namespace!$B$4:$B$1002,"="&amp;A118, namespace!$B$4:$B$1002,"&lt;&gt;"&amp;""),"")</f>
        <v/>
      </c>
      <c r="L118" s="182" t="str">
        <f>IF(A118&lt;&gt;"",SUMIFS(deployment!$K$4:$K$1002, deployment!$D$4:$D$1002,"="&amp;A118, deployment!$D$4:$D$1002,"&lt;&gt;"&amp;"", deployment!$C$4:$C$1002, "&lt;&gt;* )")+SUMIFS(namespace!$H$4:$H$1002, namespace!$B$4:$B$1002,"="&amp;A118, namespace!$B$4:$B$1002,"&lt;&gt;"&amp;""),"")</f>
        <v/>
      </c>
      <c r="M118" s="115" t="str">
        <f>IF(A118&lt;&gt;"",SUMIFS(deployment!$L$4:$L$1002, deployment!$D$4:$D$1002,"="&amp;A118, deployment!$D$4:$D$1002,"&lt;&gt;"&amp;"", deployment!$C$4:$C$1002, "&lt;&gt;* )")+SUMIFS(namespace!$I$4:$I$1002, namespace!$B$4:$B$1002,"="&amp;A118, namespace!$B$4:$B$1002,"&lt;&gt;"&amp;""),"")</f>
        <v/>
      </c>
      <c r="N118" s="115" t="str">
        <f>IF(A118&lt;&gt;"",SUMIFS(deployment!$M$4:$M$1002, deployment!$D$4:$D$1002,"="&amp;A118, deployment!$D$4:$D$1002,"&lt;&gt;"&amp;"", deployment!$C$4:$C$1002, "&lt;&gt;* )")+SUMIFS(namespace!$J$4:$J$1002, namespace!$B$4:$B$1002,"="&amp;A118, namespace!$B$4:$B$1002,"&lt;&gt;"&amp;""),"")</f>
        <v/>
      </c>
      <c r="O118" s="116" t="str">
        <f t="shared" si="19"/>
        <v/>
      </c>
      <c r="P118" s="63"/>
      <c r="Q118" s="164" t="str">
        <f t="shared" si="14"/>
        <v/>
      </c>
      <c r="R118" s="60" t="str">
        <f t="shared" si="15"/>
        <v/>
      </c>
      <c r="S118" s="60" t="str">
        <f t="shared" si="16"/>
        <v/>
      </c>
      <c r="T118" s="61" t="str">
        <f t="shared" si="17"/>
        <v/>
      </c>
      <c r="U118" s="61" t="str">
        <f t="shared" si="18"/>
        <v/>
      </c>
      <c r="V118" s="183" t="str">
        <f t="shared" si="20"/>
        <v/>
      </c>
      <c r="W118" s="183" t="str">
        <f t="shared" si="21"/>
        <v/>
      </c>
      <c r="X118" s="61" t="str">
        <f t="shared" si="22"/>
        <v/>
      </c>
      <c r="Y118" s="61" t="str">
        <f t="shared" si="23"/>
        <v/>
      </c>
      <c r="Z118" s="118" t="str">
        <f t="shared" si="24"/>
        <v/>
      </c>
      <c r="AA118" s="62" t="str">
        <f t="shared" si="25"/>
        <v/>
      </c>
      <c r="AB118" s="119" t="str">
        <f>IF(A118&lt;&gt;"", IF(P118&lt;&gt;0,SUMIFS(node!$J$2:$J$1000, node!$C$2:$C$1000,"="&amp;A118)/P118,0), "")</f>
        <v/>
      </c>
      <c r="AC118" s="81" t="str">
        <f>IF(A118&lt;&gt;"", IF(P118&lt;&gt;0,SUMIFS(node!$K$2:$K$1000, node!$C$2:$C$1000,"="&amp;A118)/P118,0), "")</f>
        <v/>
      </c>
      <c r="AD118" s="82" t="str">
        <f>IF(A118&lt;&gt;"", SUMIFS(node!$L$2:$L$1000, node!$C$2:$C$1000,"="&amp;A118), "")</f>
        <v/>
      </c>
      <c r="AE118" s="87" t="str">
        <f>IF(A118&lt;&gt;"", SUMIFS(node!$M$2:$M$1000, node!$C$2:$C$1000,"="&amp;A118), "")</f>
        <v/>
      </c>
    </row>
    <row r="119" spans="1:31" ht="15.75" customHeight="1" x14ac:dyDescent="0.25">
      <c r="A119" s="71" t="str">
        <f>IF(ISNONTEXT(node_raw[[#This Row],[Column2]]), "", node_raw[[#This Row],[Column2]])</f>
        <v/>
      </c>
      <c r="B119" s="108" t="str">
        <f>IF(A119&lt;&gt;"", VLOOKUP(A119, node!$C$2:$D$1000, 2, FALSE), "")</f>
        <v/>
      </c>
      <c r="C119" s="109" t="str">
        <f>IF(A119&lt;&gt;"", VLOOKUP(A119, node!$C$2:$E$1000, 3, FALSE), "")</f>
        <v/>
      </c>
      <c r="D119" s="110" t="str">
        <f>IF(A119&lt;&gt;"",COUNTIFS(node!$C$2:$C$1000,"="&amp;A119, node!$C$2:$C$1000,"&lt;&gt;"&amp;""),"")</f>
        <v/>
      </c>
      <c r="E119" s="111" t="str">
        <f>IF(A119&lt;&gt;"",SUMIFS(node!$F$2:$F$500, node!$C$2:$C$500,"="&amp;A119, node!$C$2:$C$500,"&lt;&gt;"&amp;"")/(B119*D119),"")</f>
        <v/>
      </c>
      <c r="F119" s="112" t="str">
        <f>IF(A119&lt;&gt;"",SUMIFS(node!$H$2:$H$500, node!$C$2:$C$500,"="&amp;A119, node!$C$2:$C$500,"&lt;&gt;"&amp;"")/(C119*D119),"")</f>
        <v/>
      </c>
      <c r="G119" s="179" t="str">
        <f>IF(A119&lt;&gt;"",SUMIFS(deployment!$F$4:$F$502, deployment!$D$4:$D$502,"="&amp;A119, deployment!$D$4:$D$502,"&lt;&gt;"&amp;""),"")</f>
        <v/>
      </c>
      <c r="H119" s="181" t="str">
        <f>IF(A119&lt;&gt;"",SUMIFS(deployment!$G$4:$G$502, deployment!$D$4:$D$502,"="&amp;A119, deployment!$D$4:$D$502,"&lt;&gt;"&amp;""),"")</f>
        <v/>
      </c>
      <c r="I119" s="113" t="str">
        <f>IF(A119&lt;&gt;"",SUMIFS(deployment!$H$4:$H$502, deployment!$D$4:$D$502,"="&amp;A119, deployment!$D$4:$D$502,"&lt;&gt;"&amp;""),"")</f>
        <v/>
      </c>
      <c r="J119" s="114" t="str">
        <f>IF(A119&lt;&gt;"",SUMIFS(deployment!$I$4:$I$502, deployment!$D$4:$D$502,"="&amp;A119, deployment!$D$4:$D$502,"&lt;&gt;"&amp;""),"")</f>
        <v/>
      </c>
      <c r="K119" s="182" t="str">
        <f>IF(A119&lt;&gt;"",SUMIFS(deployment!$J$4:$J$1002, deployment!$D$4:$D$1002,"="&amp;A119, deployment!$D$4:$D$1002,"&lt;&gt;"&amp;"", deployment!$C$4:$C$1002, "&lt;&gt;* )")+SUMIFS(namespace!$G$4:$G$1002, namespace!$B$4:$B$1002,"="&amp;A119, namespace!$B$4:$B$1002,"&lt;&gt;"&amp;""),"")</f>
        <v/>
      </c>
      <c r="L119" s="182" t="str">
        <f>IF(A119&lt;&gt;"",SUMIFS(deployment!$K$4:$K$1002, deployment!$D$4:$D$1002,"="&amp;A119, deployment!$D$4:$D$1002,"&lt;&gt;"&amp;"", deployment!$C$4:$C$1002, "&lt;&gt;* )")+SUMIFS(namespace!$H$4:$H$1002, namespace!$B$4:$B$1002,"="&amp;A119, namespace!$B$4:$B$1002,"&lt;&gt;"&amp;""),"")</f>
        <v/>
      </c>
      <c r="M119" s="115" t="str">
        <f>IF(A119&lt;&gt;"",SUMIFS(deployment!$L$4:$L$1002, deployment!$D$4:$D$1002,"="&amp;A119, deployment!$D$4:$D$1002,"&lt;&gt;"&amp;"", deployment!$C$4:$C$1002, "&lt;&gt;* )")+SUMIFS(namespace!$I$4:$I$1002, namespace!$B$4:$B$1002,"="&amp;A119, namespace!$B$4:$B$1002,"&lt;&gt;"&amp;""),"")</f>
        <v/>
      </c>
      <c r="N119" s="115" t="str">
        <f>IF(A119&lt;&gt;"",SUMIFS(deployment!$M$4:$M$1002, deployment!$D$4:$D$1002,"="&amp;A119, deployment!$D$4:$D$1002,"&lt;&gt;"&amp;"", deployment!$C$4:$C$1002, "&lt;&gt;* )")+SUMIFS(namespace!$J$4:$J$1002, namespace!$B$4:$B$1002,"="&amp;A119, namespace!$B$4:$B$1002,"&lt;&gt;"&amp;""),"")</f>
        <v/>
      </c>
      <c r="O119" s="116" t="str">
        <f t="shared" si="19"/>
        <v/>
      </c>
      <c r="P119" s="63"/>
      <c r="Q119" s="164" t="str">
        <f t="shared" si="14"/>
        <v/>
      </c>
      <c r="R119" s="60" t="str">
        <f t="shared" si="15"/>
        <v/>
      </c>
      <c r="S119" s="60" t="str">
        <f t="shared" si="16"/>
        <v/>
      </c>
      <c r="T119" s="61" t="str">
        <f t="shared" si="17"/>
        <v/>
      </c>
      <c r="U119" s="61" t="str">
        <f t="shared" si="18"/>
        <v/>
      </c>
      <c r="V119" s="183" t="str">
        <f t="shared" si="20"/>
        <v/>
      </c>
      <c r="W119" s="183" t="str">
        <f t="shared" si="21"/>
        <v/>
      </c>
      <c r="X119" s="61" t="str">
        <f t="shared" si="22"/>
        <v/>
      </c>
      <c r="Y119" s="61" t="str">
        <f t="shared" si="23"/>
        <v/>
      </c>
      <c r="Z119" s="118" t="str">
        <f t="shared" si="24"/>
        <v/>
      </c>
      <c r="AA119" s="62" t="str">
        <f t="shared" si="25"/>
        <v/>
      </c>
      <c r="AB119" s="119" t="str">
        <f>IF(A119&lt;&gt;"", IF(P119&lt;&gt;0,SUMIFS(node!$J$2:$J$1000, node!$C$2:$C$1000,"="&amp;A119)/P119,0), "")</f>
        <v/>
      </c>
      <c r="AC119" s="81" t="str">
        <f>IF(A119&lt;&gt;"", IF(P119&lt;&gt;0,SUMIFS(node!$K$2:$K$1000, node!$C$2:$C$1000,"="&amp;A119)/P119,0), "")</f>
        <v/>
      </c>
      <c r="AD119" s="82" t="str">
        <f>IF(A119&lt;&gt;"", SUMIFS(node!$L$2:$L$1000, node!$C$2:$C$1000,"="&amp;A119), "")</f>
        <v/>
      </c>
      <c r="AE119" s="87" t="str">
        <f>IF(A119&lt;&gt;"", SUMIFS(node!$M$2:$M$1000, node!$C$2:$C$1000,"="&amp;A119), "")</f>
        <v/>
      </c>
    </row>
    <row r="120" spans="1:31" ht="15.75" customHeight="1" x14ac:dyDescent="0.25">
      <c r="A120" s="71" t="str">
        <f>IF(ISNONTEXT(node_raw[[#This Row],[Column2]]), "", node_raw[[#This Row],[Column2]])</f>
        <v/>
      </c>
      <c r="B120" s="108" t="str">
        <f>IF(A120&lt;&gt;"", VLOOKUP(A120, node!$C$2:$D$1000, 2, FALSE), "")</f>
        <v/>
      </c>
      <c r="C120" s="109" t="str">
        <f>IF(A120&lt;&gt;"", VLOOKUP(A120, node!$C$2:$E$1000, 3, FALSE), "")</f>
        <v/>
      </c>
      <c r="D120" s="110" t="str">
        <f>IF(A120&lt;&gt;"",COUNTIFS(node!$C$2:$C$1000,"="&amp;A120, node!$C$2:$C$1000,"&lt;&gt;"&amp;""),"")</f>
        <v/>
      </c>
      <c r="E120" s="111" t="str">
        <f>IF(A120&lt;&gt;"",SUMIFS(node!$F$2:$F$500, node!$C$2:$C$500,"="&amp;A120, node!$C$2:$C$500,"&lt;&gt;"&amp;"")/(B120*D120),"")</f>
        <v/>
      </c>
      <c r="F120" s="112" t="str">
        <f>IF(A120&lt;&gt;"",SUMIFS(node!$H$2:$H$500, node!$C$2:$C$500,"="&amp;A120, node!$C$2:$C$500,"&lt;&gt;"&amp;"")/(C120*D120),"")</f>
        <v/>
      </c>
      <c r="G120" s="179" t="str">
        <f>IF(A120&lt;&gt;"",SUMIFS(deployment!$F$4:$F$502, deployment!$D$4:$D$502,"="&amp;A120, deployment!$D$4:$D$502,"&lt;&gt;"&amp;""),"")</f>
        <v/>
      </c>
      <c r="H120" s="181" t="str">
        <f>IF(A120&lt;&gt;"",SUMIFS(deployment!$G$4:$G$502, deployment!$D$4:$D$502,"="&amp;A120, deployment!$D$4:$D$502,"&lt;&gt;"&amp;""),"")</f>
        <v/>
      </c>
      <c r="I120" s="113" t="str">
        <f>IF(A120&lt;&gt;"",SUMIFS(deployment!$H$4:$H$502, deployment!$D$4:$D$502,"="&amp;A120, deployment!$D$4:$D$502,"&lt;&gt;"&amp;""),"")</f>
        <v/>
      </c>
      <c r="J120" s="114" t="str">
        <f>IF(A120&lt;&gt;"",SUMIFS(deployment!$I$4:$I$502, deployment!$D$4:$D$502,"="&amp;A120, deployment!$D$4:$D$502,"&lt;&gt;"&amp;""),"")</f>
        <v/>
      </c>
      <c r="K120" s="182" t="str">
        <f>IF(A120&lt;&gt;"",SUMIFS(deployment!$J$4:$J$1002, deployment!$D$4:$D$1002,"="&amp;A120, deployment!$D$4:$D$1002,"&lt;&gt;"&amp;"", deployment!$C$4:$C$1002, "&lt;&gt;* )")+SUMIFS(namespace!$G$4:$G$1002, namespace!$B$4:$B$1002,"="&amp;A120, namespace!$B$4:$B$1002,"&lt;&gt;"&amp;""),"")</f>
        <v/>
      </c>
      <c r="L120" s="182" t="str">
        <f>IF(A120&lt;&gt;"",SUMIFS(deployment!$K$4:$K$1002, deployment!$D$4:$D$1002,"="&amp;A120, deployment!$D$4:$D$1002,"&lt;&gt;"&amp;"", deployment!$C$4:$C$1002, "&lt;&gt;* )")+SUMIFS(namespace!$H$4:$H$1002, namespace!$B$4:$B$1002,"="&amp;A120, namespace!$B$4:$B$1002,"&lt;&gt;"&amp;""),"")</f>
        <v/>
      </c>
      <c r="M120" s="115" t="str">
        <f>IF(A120&lt;&gt;"",SUMIFS(deployment!$L$4:$L$1002, deployment!$D$4:$D$1002,"="&amp;A120, deployment!$D$4:$D$1002,"&lt;&gt;"&amp;"", deployment!$C$4:$C$1002, "&lt;&gt;* )")+SUMIFS(namespace!$I$4:$I$1002, namespace!$B$4:$B$1002,"="&amp;A120, namespace!$B$4:$B$1002,"&lt;&gt;"&amp;""),"")</f>
        <v/>
      </c>
      <c r="N120" s="115" t="str">
        <f>IF(A120&lt;&gt;"",SUMIFS(deployment!$M$4:$M$1002, deployment!$D$4:$D$1002,"="&amp;A120, deployment!$D$4:$D$1002,"&lt;&gt;"&amp;"", deployment!$C$4:$C$1002, "&lt;&gt;* )")+SUMIFS(namespace!$J$4:$J$1002, namespace!$B$4:$B$1002,"="&amp;A120, namespace!$B$4:$B$1002,"&lt;&gt;"&amp;""),"")</f>
        <v/>
      </c>
      <c r="O120" s="116" t="str">
        <f t="shared" si="19"/>
        <v/>
      </c>
      <c r="P120" s="63"/>
      <c r="Q120" s="164" t="str">
        <f t="shared" si="14"/>
        <v/>
      </c>
      <c r="R120" s="60" t="str">
        <f t="shared" si="15"/>
        <v/>
      </c>
      <c r="S120" s="60" t="str">
        <f t="shared" si="16"/>
        <v/>
      </c>
      <c r="T120" s="61" t="str">
        <f t="shared" si="17"/>
        <v/>
      </c>
      <c r="U120" s="61" t="str">
        <f t="shared" si="18"/>
        <v/>
      </c>
      <c r="V120" s="183" t="str">
        <f t="shared" si="20"/>
        <v/>
      </c>
      <c r="W120" s="183" t="str">
        <f t="shared" si="21"/>
        <v/>
      </c>
      <c r="X120" s="61" t="str">
        <f t="shared" si="22"/>
        <v/>
      </c>
      <c r="Y120" s="61" t="str">
        <f t="shared" si="23"/>
        <v/>
      </c>
      <c r="Z120" s="118" t="str">
        <f t="shared" si="24"/>
        <v/>
      </c>
      <c r="AA120" s="62" t="str">
        <f t="shared" si="25"/>
        <v/>
      </c>
      <c r="AB120" s="119" t="str">
        <f>IF(A120&lt;&gt;"", IF(P120&lt;&gt;0,SUMIFS(node!$J$2:$J$1000, node!$C$2:$C$1000,"="&amp;A120)/P120,0), "")</f>
        <v/>
      </c>
      <c r="AC120" s="81" t="str">
        <f>IF(A120&lt;&gt;"", IF(P120&lt;&gt;0,SUMIFS(node!$K$2:$K$1000, node!$C$2:$C$1000,"="&amp;A120)/P120,0), "")</f>
        <v/>
      </c>
      <c r="AD120" s="82" t="str">
        <f>IF(A120&lt;&gt;"", SUMIFS(node!$L$2:$L$1000, node!$C$2:$C$1000,"="&amp;A120), "")</f>
        <v/>
      </c>
      <c r="AE120" s="87" t="str">
        <f>IF(A120&lt;&gt;"", SUMIFS(node!$M$2:$M$1000, node!$C$2:$C$1000,"="&amp;A120), "")</f>
        <v/>
      </c>
    </row>
    <row r="121" spans="1:31" ht="15.75" customHeight="1" x14ac:dyDescent="0.25">
      <c r="A121" s="71" t="str">
        <f>IF(ISNONTEXT(node_raw[[#This Row],[Column2]]), "", node_raw[[#This Row],[Column2]])</f>
        <v/>
      </c>
      <c r="B121" s="108" t="str">
        <f>IF(A121&lt;&gt;"", VLOOKUP(A121, node!$C$2:$D$1000, 2, FALSE), "")</f>
        <v/>
      </c>
      <c r="C121" s="109" t="str">
        <f>IF(A121&lt;&gt;"", VLOOKUP(A121, node!$C$2:$E$1000, 3, FALSE), "")</f>
        <v/>
      </c>
      <c r="D121" s="110" t="str">
        <f>IF(A121&lt;&gt;"",COUNTIFS(node!$C$2:$C$1000,"="&amp;A121, node!$C$2:$C$1000,"&lt;&gt;"&amp;""),"")</f>
        <v/>
      </c>
      <c r="E121" s="111" t="str">
        <f>IF(A121&lt;&gt;"",SUMIFS(node!$F$2:$F$500, node!$C$2:$C$500,"="&amp;A121, node!$C$2:$C$500,"&lt;&gt;"&amp;"")/(B121*D121),"")</f>
        <v/>
      </c>
      <c r="F121" s="112" t="str">
        <f>IF(A121&lt;&gt;"",SUMIFS(node!$H$2:$H$500, node!$C$2:$C$500,"="&amp;A121, node!$C$2:$C$500,"&lt;&gt;"&amp;"")/(C121*D121),"")</f>
        <v/>
      </c>
      <c r="G121" s="179" t="str">
        <f>IF(A121&lt;&gt;"",SUMIFS(deployment!$F$4:$F$502, deployment!$D$4:$D$502,"="&amp;A121, deployment!$D$4:$D$502,"&lt;&gt;"&amp;""),"")</f>
        <v/>
      </c>
      <c r="H121" s="181" t="str">
        <f>IF(A121&lt;&gt;"",SUMIFS(deployment!$G$4:$G$502, deployment!$D$4:$D$502,"="&amp;A121, deployment!$D$4:$D$502,"&lt;&gt;"&amp;""),"")</f>
        <v/>
      </c>
      <c r="I121" s="113" t="str">
        <f>IF(A121&lt;&gt;"",SUMIFS(deployment!$H$4:$H$502, deployment!$D$4:$D$502,"="&amp;A121, deployment!$D$4:$D$502,"&lt;&gt;"&amp;""),"")</f>
        <v/>
      </c>
      <c r="J121" s="114" t="str">
        <f>IF(A121&lt;&gt;"",SUMIFS(deployment!$I$4:$I$502, deployment!$D$4:$D$502,"="&amp;A121, deployment!$D$4:$D$502,"&lt;&gt;"&amp;""),"")</f>
        <v/>
      </c>
      <c r="K121" s="182" t="str">
        <f>IF(A121&lt;&gt;"",SUMIFS(deployment!$J$4:$J$1002, deployment!$D$4:$D$1002,"="&amp;A121, deployment!$D$4:$D$1002,"&lt;&gt;"&amp;"", deployment!$C$4:$C$1002, "&lt;&gt;* )")+SUMIFS(namespace!$G$4:$G$1002, namespace!$B$4:$B$1002,"="&amp;A121, namespace!$B$4:$B$1002,"&lt;&gt;"&amp;""),"")</f>
        <v/>
      </c>
      <c r="L121" s="182" t="str">
        <f>IF(A121&lt;&gt;"",SUMIFS(deployment!$K$4:$K$1002, deployment!$D$4:$D$1002,"="&amp;A121, deployment!$D$4:$D$1002,"&lt;&gt;"&amp;"", deployment!$C$4:$C$1002, "&lt;&gt;* )")+SUMIFS(namespace!$H$4:$H$1002, namespace!$B$4:$B$1002,"="&amp;A121, namespace!$B$4:$B$1002,"&lt;&gt;"&amp;""),"")</f>
        <v/>
      </c>
      <c r="M121" s="115" t="str">
        <f>IF(A121&lt;&gt;"",SUMIFS(deployment!$L$4:$L$1002, deployment!$D$4:$D$1002,"="&amp;A121, deployment!$D$4:$D$1002,"&lt;&gt;"&amp;"", deployment!$C$4:$C$1002, "&lt;&gt;* )")+SUMIFS(namespace!$I$4:$I$1002, namespace!$B$4:$B$1002,"="&amp;A121, namespace!$B$4:$B$1002,"&lt;&gt;"&amp;""),"")</f>
        <v/>
      </c>
      <c r="N121" s="115" t="str">
        <f>IF(A121&lt;&gt;"",SUMIFS(deployment!$M$4:$M$1002, deployment!$D$4:$D$1002,"="&amp;A121, deployment!$D$4:$D$1002,"&lt;&gt;"&amp;"", deployment!$C$4:$C$1002, "&lt;&gt;* )")+SUMIFS(namespace!$J$4:$J$1002, namespace!$B$4:$B$1002,"="&amp;A121, namespace!$B$4:$B$1002,"&lt;&gt;"&amp;""),"")</f>
        <v/>
      </c>
      <c r="O121" s="116" t="str">
        <f t="shared" si="19"/>
        <v/>
      </c>
      <c r="P121" s="63"/>
      <c r="Q121" s="164" t="str">
        <f t="shared" si="14"/>
        <v/>
      </c>
      <c r="R121" s="60" t="str">
        <f t="shared" si="15"/>
        <v/>
      </c>
      <c r="S121" s="60" t="str">
        <f t="shared" si="16"/>
        <v/>
      </c>
      <c r="T121" s="61" t="str">
        <f t="shared" si="17"/>
        <v/>
      </c>
      <c r="U121" s="61" t="str">
        <f t="shared" si="18"/>
        <v/>
      </c>
      <c r="V121" s="183" t="str">
        <f t="shared" si="20"/>
        <v/>
      </c>
      <c r="W121" s="183" t="str">
        <f t="shared" si="21"/>
        <v/>
      </c>
      <c r="X121" s="61" t="str">
        <f t="shared" si="22"/>
        <v/>
      </c>
      <c r="Y121" s="61" t="str">
        <f t="shared" si="23"/>
        <v/>
      </c>
      <c r="Z121" s="118" t="str">
        <f t="shared" si="24"/>
        <v/>
      </c>
      <c r="AA121" s="62" t="str">
        <f t="shared" si="25"/>
        <v/>
      </c>
      <c r="AB121" s="119" t="str">
        <f>IF(A121&lt;&gt;"", IF(P121&lt;&gt;0,SUMIFS(node!$J$2:$J$1000, node!$C$2:$C$1000,"="&amp;A121)/P121,0), "")</f>
        <v/>
      </c>
      <c r="AC121" s="81" t="str">
        <f>IF(A121&lt;&gt;"", IF(P121&lt;&gt;0,SUMIFS(node!$K$2:$K$1000, node!$C$2:$C$1000,"="&amp;A121)/P121,0), "")</f>
        <v/>
      </c>
      <c r="AD121" s="82" t="str">
        <f>IF(A121&lt;&gt;"", SUMIFS(node!$L$2:$L$1000, node!$C$2:$C$1000,"="&amp;A121), "")</f>
        <v/>
      </c>
      <c r="AE121" s="87" t="str">
        <f>IF(A121&lt;&gt;"", SUMIFS(node!$M$2:$M$1000, node!$C$2:$C$1000,"="&amp;A121), "")</f>
        <v/>
      </c>
    </row>
    <row r="122" spans="1:31" ht="15.75" customHeight="1" x14ac:dyDescent="0.25">
      <c r="A122" s="71" t="str">
        <f>IF(ISNONTEXT(node_raw[[#This Row],[Column2]]), "", node_raw[[#This Row],[Column2]])</f>
        <v/>
      </c>
      <c r="B122" s="108" t="str">
        <f>IF(A122&lt;&gt;"", VLOOKUP(A122, node!$C$2:$D$1000, 2, FALSE), "")</f>
        <v/>
      </c>
      <c r="C122" s="109" t="str">
        <f>IF(A122&lt;&gt;"", VLOOKUP(A122, node!$C$2:$E$1000, 3, FALSE), "")</f>
        <v/>
      </c>
      <c r="D122" s="110" t="str">
        <f>IF(A122&lt;&gt;"",COUNTIFS(node!$C$2:$C$1000,"="&amp;A122, node!$C$2:$C$1000,"&lt;&gt;"&amp;""),"")</f>
        <v/>
      </c>
      <c r="E122" s="111" t="str">
        <f>IF(A122&lt;&gt;"",SUMIFS(node!$F$2:$F$500, node!$C$2:$C$500,"="&amp;A122, node!$C$2:$C$500,"&lt;&gt;"&amp;"")/(B122*D122),"")</f>
        <v/>
      </c>
      <c r="F122" s="112" t="str">
        <f>IF(A122&lt;&gt;"",SUMIFS(node!$H$2:$H$500, node!$C$2:$C$500,"="&amp;A122, node!$C$2:$C$500,"&lt;&gt;"&amp;"")/(C122*D122),"")</f>
        <v/>
      </c>
      <c r="G122" s="179" t="str">
        <f>IF(A122&lt;&gt;"",SUMIFS(deployment!$F$4:$F$502, deployment!$D$4:$D$502,"="&amp;A122, deployment!$D$4:$D$502,"&lt;&gt;"&amp;""),"")</f>
        <v/>
      </c>
      <c r="H122" s="181" t="str">
        <f>IF(A122&lt;&gt;"",SUMIFS(deployment!$G$4:$G$502, deployment!$D$4:$D$502,"="&amp;A122, deployment!$D$4:$D$502,"&lt;&gt;"&amp;""),"")</f>
        <v/>
      </c>
      <c r="I122" s="113" t="str">
        <f>IF(A122&lt;&gt;"",SUMIFS(deployment!$H$4:$H$502, deployment!$D$4:$D$502,"="&amp;A122, deployment!$D$4:$D$502,"&lt;&gt;"&amp;""),"")</f>
        <v/>
      </c>
      <c r="J122" s="114" t="str">
        <f>IF(A122&lt;&gt;"",SUMIFS(deployment!$I$4:$I$502, deployment!$D$4:$D$502,"="&amp;A122, deployment!$D$4:$D$502,"&lt;&gt;"&amp;""),"")</f>
        <v/>
      </c>
      <c r="K122" s="182" t="str">
        <f>IF(A122&lt;&gt;"",SUMIFS(deployment!$J$4:$J$1002, deployment!$D$4:$D$1002,"="&amp;A122, deployment!$D$4:$D$1002,"&lt;&gt;"&amp;"", deployment!$C$4:$C$1002, "&lt;&gt;* )")+SUMIFS(namespace!$G$4:$G$1002, namespace!$B$4:$B$1002,"="&amp;A122, namespace!$B$4:$B$1002,"&lt;&gt;"&amp;""),"")</f>
        <v/>
      </c>
      <c r="L122" s="182" t="str">
        <f>IF(A122&lt;&gt;"",SUMIFS(deployment!$K$4:$K$1002, deployment!$D$4:$D$1002,"="&amp;A122, deployment!$D$4:$D$1002,"&lt;&gt;"&amp;"", deployment!$C$4:$C$1002, "&lt;&gt;* )")+SUMIFS(namespace!$H$4:$H$1002, namespace!$B$4:$B$1002,"="&amp;A122, namespace!$B$4:$B$1002,"&lt;&gt;"&amp;""),"")</f>
        <v/>
      </c>
      <c r="M122" s="115" t="str">
        <f>IF(A122&lt;&gt;"",SUMIFS(deployment!$L$4:$L$1002, deployment!$D$4:$D$1002,"="&amp;A122, deployment!$D$4:$D$1002,"&lt;&gt;"&amp;"", deployment!$C$4:$C$1002, "&lt;&gt;* )")+SUMIFS(namespace!$I$4:$I$1002, namespace!$B$4:$B$1002,"="&amp;A122, namespace!$B$4:$B$1002,"&lt;&gt;"&amp;""),"")</f>
        <v/>
      </c>
      <c r="N122" s="115" t="str">
        <f>IF(A122&lt;&gt;"",SUMIFS(deployment!$M$4:$M$1002, deployment!$D$4:$D$1002,"="&amp;A122, deployment!$D$4:$D$1002,"&lt;&gt;"&amp;"", deployment!$C$4:$C$1002, "&lt;&gt;* )")+SUMIFS(namespace!$J$4:$J$1002, namespace!$B$4:$B$1002,"="&amp;A122, namespace!$B$4:$B$1002,"&lt;&gt;"&amp;""),"")</f>
        <v/>
      </c>
      <c r="O122" s="116" t="str">
        <f t="shared" si="19"/>
        <v/>
      </c>
      <c r="P122" s="63"/>
      <c r="Q122" s="164" t="str">
        <f t="shared" si="14"/>
        <v/>
      </c>
      <c r="R122" s="60" t="str">
        <f t="shared" si="15"/>
        <v/>
      </c>
      <c r="S122" s="60" t="str">
        <f t="shared" si="16"/>
        <v/>
      </c>
      <c r="T122" s="61" t="str">
        <f t="shared" si="17"/>
        <v/>
      </c>
      <c r="U122" s="61" t="str">
        <f t="shared" si="18"/>
        <v/>
      </c>
      <c r="V122" s="183" t="str">
        <f t="shared" si="20"/>
        <v/>
      </c>
      <c r="W122" s="183" t="str">
        <f t="shared" si="21"/>
        <v/>
      </c>
      <c r="X122" s="61" t="str">
        <f t="shared" si="22"/>
        <v/>
      </c>
      <c r="Y122" s="61" t="str">
        <f t="shared" si="23"/>
        <v/>
      </c>
      <c r="Z122" s="118" t="str">
        <f t="shared" si="24"/>
        <v/>
      </c>
      <c r="AA122" s="62" t="str">
        <f t="shared" si="25"/>
        <v/>
      </c>
      <c r="AB122" s="119" t="str">
        <f>IF(A122&lt;&gt;"", IF(P122&lt;&gt;0,SUMIFS(node!$J$2:$J$1000, node!$C$2:$C$1000,"="&amp;A122)/P122,0), "")</f>
        <v/>
      </c>
      <c r="AC122" s="81" t="str">
        <f>IF(A122&lt;&gt;"", IF(P122&lt;&gt;0,SUMIFS(node!$K$2:$K$1000, node!$C$2:$C$1000,"="&amp;A122)/P122,0), "")</f>
        <v/>
      </c>
      <c r="AD122" s="82" t="str">
        <f>IF(A122&lt;&gt;"", SUMIFS(node!$L$2:$L$1000, node!$C$2:$C$1000,"="&amp;A122), "")</f>
        <v/>
      </c>
      <c r="AE122" s="87" t="str">
        <f>IF(A122&lt;&gt;"", SUMIFS(node!$M$2:$M$1000, node!$C$2:$C$1000,"="&amp;A122), "")</f>
        <v/>
      </c>
    </row>
    <row r="123" spans="1:31" ht="15.75" customHeight="1" x14ac:dyDescent="0.25">
      <c r="A123" s="71" t="str">
        <f>IF(ISNONTEXT(node_raw[[#This Row],[Column2]]), "", node_raw[[#This Row],[Column2]])</f>
        <v/>
      </c>
      <c r="B123" s="108" t="str">
        <f>IF(A123&lt;&gt;"", VLOOKUP(A123, node!$C$2:$D$1000, 2, FALSE), "")</f>
        <v/>
      </c>
      <c r="C123" s="109" t="str">
        <f>IF(A123&lt;&gt;"", VLOOKUP(A123, node!$C$2:$E$1000, 3, FALSE), "")</f>
        <v/>
      </c>
      <c r="D123" s="110" t="str">
        <f>IF(A123&lt;&gt;"",COUNTIFS(node!$C$2:$C$1000,"="&amp;A123, node!$C$2:$C$1000,"&lt;&gt;"&amp;""),"")</f>
        <v/>
      </c>
      <c r="E123" s="111" t="str">
        <f>IF(A123&lt;&gt;"",SUMIFS(node!$F$2:$F$500, node!$C$2:$C$500,"="&amp;A123, node!$C$2:$C$500,"&lt;&gt;"&amp;"")/(B123*D123),"")</f>
        <v/>
      </c>
      <c r="F123" s="112" t="str">
        <f>IF(A123&lt;&gt;"",SUMIFS(node!$H$2:$H$500, node!$C$2:$C$500,"="&amp;A123, node!$C$2:$C$500,"&lt;&gt;"&amp;"")/(C123*D123),"")</f>
        <v/>
      </c>
      <c r="G123" s="179" t="str">
        <f>IF(A123&lt;&gt;"",SUMIFS(deployment!$F$4:$F$502, deployment!$D$4:$D$502,"="&amp;A123, deployment!$D$4:$D$502,"&lt;&gt;"&amp;""),"")</f>
        <v/>
      </c>
      <c r="H123" s="181" t="str">
        <f>IF(A123&lt;&gt;"",SUMIFS(deployment!$G$4:$G$502, deployment!$D$4:$D$502,"="&amp;A123, deployment!$D$4:$D$502,"&lt;&gt;"&amp;""),"")</f>
        <v/>
      </c>
      <c r="I123" s="113" t="str">
        <f>IF(A123&lt;&gt;"",SUMIFS(deployment!$H$4:$H$502, deployment!$D$4:$D$502,"="&amp;A123, deployment!$D$4:$D$502,"&lt;&gt;"&amp;""),"")</f>
        <v/>
      </c>
      <c r="J123" s="114" t="str">
        <f>IF(A123&lt;&gt;"",SUMIFS(deployment!$I$4:$I$502, deployment!$D$4:$D$502,"="&amp;A123, deployment!$D$4:$D$502,"&lt;&gt;"&amp;""),"")</f>
        <v/>
      </c>
      <c r="K123" s="182" t="str">
        <f>IF(A123&lt;&gt;"",SUMIFS(deployment!$J$4:$J$1002, deployment!$D$4:$D$1002,"="&amp;A123, deployment!$D$4:$D$1002,"&lt;&gt;"&amp;"", deployment!$C$4:$C$1002, "&lt;&gt;* )")+SUMIFS(namespace!$G$4:$G$1002, namespace!$B$4:$B$1002,"="&amp;A123, namespace!$B$4:$B$1002,"&lt;&gt;"&amp;""),"")</f>
        <v/>
      </c>
      <c r="L123" s="182" t="str">
        <f>IF(A123&lt;&gt;"",SUMIFS(deployment!$K$4:$K$1002, deployment!$D$4:$D$1002,"="&amp;A123, deployment!$D$4:$D$1002,"&lt;&gt;"&amp;"", deployment!$C$4:$C$1002, "&lt;&gt;* )")+SUMIFS(namespace!$H$4:$H$1002, namespace!$B$4:$B$1002,"="&amp;A123, namespace!$B$4:$B$1002,"&lt;&gt;"&amp;""),"")</f>
        <v/>
      </c>
      <c r="M123" s="115" t="str">
        <f>IF(A123&lt;&gt;"",SUMIFS(deployment!$L$4:$L$1002, deployment!$D$4:$D$1002,"="&amp;A123, deployment!$D$4:$D$1002,"&lt;&gt;"&amp;"", deployment!$C$4:$C$1002, "&lt;&gt;* )")+SUMIFS(namespace!$I$4:$I$1002, namespace!$B$4:$B$1002,"="&amp;A123, namespace!$B$4:$B$1002,"&lt;&gt;"&amp;""),"")</f>
        <v/>
      </c>
      <c r="N123" s="115" t="str">
        <f>IF(A123&lt;&gt;"",SUMIFS(deployment!$M$4:$M$1002, deployment!$D$4:$D$1002,"="&amp;A123, deployment!$D$4:$D$1002,"&lt;&gt;"&amp;"", deployment!$C$4:$C$1002, "&lt;&gt;* )")+SUMIFS(namespace!$J$4:$J$1002, namespace!$B$4:$B$1002,"="&amp;A123, namespace!$B$4:$B$1002,"&lt;&gt;"&amp;""),"")</f>
        <v/>
      </c>
      <c r="O123" s="116" t="str">
        <f t="shared" si="19"/>
        <v/>
      </c>
      <c r="P123" s="63"/>
      <c r="Q123" s="164" t="str">
        <f t="shared" si="14"/>
        <v/>
      </c>
      <c r="R123" s="60" t="str">
        <f t="shared" si="15"/>
        <v/>
      </c>
      <c r="S123" s="60" t="str">
        <f t="shared" si="16"/>
        <v/>
      </c>
      <c r="T123" s="61" t="str">
        <f t="shared" si="17"/>
        <v/>
      </c>
      <c r="U123" s="61" t="str">
        <f t="shared" si="18"/>
        <v/>
      </c>
      <c r="V123" s="183" t="str">
        <f t="shared" si="20"/>
        <v/>
      </c>
      <c r="W123" s="183" t="str">
        <f t="shared" si="21"/>
        <v/>
      </c>
      <c r="X123" s="61" t="str">
        <f t="shared" si="22"/>
        <v/>
      </c>
      <c r="Y123" s="61" t="str">
        <f t="shared" si="23"/>
        <v/>
      </c>
      <c r="Z123" s="118" t="str">
        <f t="shared" si="24"/>
        <v/>
      </c>
      <c r="AA123" s="62" t="str">
        <f t="shared" si="25"/>
        <v/>
      </c>
      <c r="AB123" s="119" t="str">
        <f>IF(A123&lt;&gt;"", IF(P123&lt;&gt;0,SUMIFS(node!$J$2:$J$1000, node!$C$2:$C$1000,"="&amp;A123)/P123,0), "")</f>
        <v/>
      </c>
      <c r="AC123" s="81" t="str">
        <f>IF(A123&lt;&gt;"", IF(P123&lt;&gt;0,SUMIFS(node!$K$2:$K$1000, node!$C$2:$C$1000,"="&amp;A123)/P123,0), "")</f>
        <v/>
      </c>
      <c r="AD123" s="82" t="str">
        <f>IF(A123&lt;&gt;"", SUMIFS(node!$L$2:$L$1000, node!$C$2:$C$1000,"="&amp;A123), "")</f>
        <v/>
      </c>
      <c r="AE123" s="87" t="str">
        <f>IF(A123&lt;&gt;"", SUMIFS(node!$M$2:$M$1000, node!$C$2:$C$1000,"="&amp;A123), "")</f>
        <v/>
      </c>
    </row>
    <row r="124" spans="1:31" ht="15.75" customHeight="1" x14ac:dyDescent="0.25">
      <c r="A124" s="71" t="str">
        <f>IF(ISNONTEXT(node_raw[[#This Row],[Column2]]), "", node_raw[[#This Row],[Column2]])</f>
        <v/>
      </c>
      <c r="B124" s="108" t="str">
        <f>IF(A124&lt;&gt;"", VLOOKUP(A124, node!$C$2:$D$1000, 2, FALSE), "")</f>
        <v/>
      </c>
      <c r="C124" s="109" t="str">
        <f>IF(A124&lt;&gt;"", VLOOKUP(A124, node!$C$2:$E$1000, 3, FALSE), "")</f>
        <v/>
      </c>
      <c r="D124" s="110" t="str">
        <f>IF(A124&lt;&gt;"",COUNTIFS(node!$C$2:$C$1000,"="&amp;A124, node!$C$2:$C$1000,"&lt;&gt;"&amp;""),"")</f>
        <v/>
      </c>
      <c r="E124" s="111" t="str">
        <f>IF(A124&lt;&gt;"",SUMIFS(node!$F$2:$F$500, node!$C$2:$C$500,"="&amp;A124, node!$C$2:$C$500,"&lt;&gt;"&amp;"")/(B124*D124),"")</f>
        <v/>
      </c>
      <c r="F124" s="112" t="str">
        <f>IF(A124&lt;&gt;"",SUMIFS(node!$H$2:$H$500, node!$C$2:$C$500,"="&amp;A124, node!$C$2:$C$500,"&lt;&gt;"&amp;"")/(C124*D124),"")</f>
        <v/>
      </c>
      <c r="G124" s="179" t="str">
        <f>IF(A124&lt;&gt;"",SUMIFS(deployment!$F$4:$F$502, deployment!$D$4:$D$502,"="&amp;A124, deployment!$D$4:$D$502,"&lt;&gt;"&amp;""),"")</f>
        <v/>
      </c>
      <c r="H124" s="181" t="str">
        <f>IF(A124&lt;&gt;"",SUMIFS(deployment!$G$4:$G$502, deployment!$D$4:$D$502,"="&amp;A124, deployment!$D$4:$D$502,"&lt;&gt;"&amp;""),"")</f>
        <v/>
      </c>
      <c r="I124" s="113" t="str">
        <f>IF(A124&lt;&gt;"",SUMIFS(deployment!$H$4:$H$502, deployment!$D$4:$D$502,"="&amp;A124, deployment!$D$4:$D$502,"&lt;&gt;"&amp;""),"")</f>
        <v/>
      </c>
      <c r="J124" s="114" t="str">
        <f>IF(A124&lt;&gt;"",SUMIFS(deployment!$I$4:$I$502, deployment!$D$4:$D$502,"="&amp;A124, deployment!$D$4:$D$502,"&lt;&gt;"&amp;""),"")</f>
        <v/>
      </c>
      <c r="K124" s="182" t="str">
        <f>IF(A124&lt;&gt;"",SUMIFS(deployment!$J$4:$J$1002, deployment!$D$4:$D$1002,"="&amp;A124, deployment!$D$4:$D$1002,"&lt;&gt;"&amp;"", deployment!$C$4:$C$1002, "&lt;&gt;* )")+SUMIFS(namespace!$G$4:$G$1002, namespace!$B$4:$B$1002,"="&amp;A124, namespace!$B$4:$B$1002,"&lt;&gt;"&amp;""),"")</f>
        <v/>
      </c>
      <c r="L124" s="182" t="str">
        <f>IF(A124&lt;&gt;"",SUMIFS(deployment!$K$4:$K$1002, deployment!$D$4:$D$1002,"="&amp;A124, deployment!$D$4:$D$1002,"&lt;&gt;"&amp;"", deployment!$C$4:$C$1002, "&lt;&gt;* )")+SUMIFS(namespace!$H$4:$H$1002, namespace!$B$4:$B$1002,"="&amp;A124, namespace!$B$4:$B$1002,"&lt;&gt;"&amp;""),"")</f>
        <v/>
      </c>
      <c r="M124" s="115" t="str">
        <f>IF(A124&lt;&gt;"",SUMIFS(deployment!$L$4:$L$1002, deployment!$D$4:$D$1002,"="&amp;A124, deployment!$D$4:$D$1002,"&lt;&gt;"&amp;"", deployment!$C$4:$C$1002, "&lt;&gt;* )")+SUMIFS(namespace!$I$4:$I$1002, namespace!$B$4:$B$1002,"="&amp;A124, namespace!$B$4:$B$1002,"&lt;&gt;"&amp;""),"")</f>
        <v/>
      </c>
      <c r="N124" s="115" t="str">
        <f>IF(A124&lt;&gt;"",SUMIFS(deployment!$M$4:$M$1002, deployment!$D$4:$D$1002,"="&amp;A124, deployment!$D$4:$D$1002,"&lt;&gt;"&amp;"", deployment!$C$4:$C$1002, "&lt;&gt;* )")+SUMIFS(namespace!$J$4:$J$1002, namespace!$B$4:$B$1002,"="&amp;A124, namespace!$B$4:$B$1002,"&lt;&gt;"&amp;""),"")</f>
        <v/>
      </c>
      <c r="O124" s="116" t="str">
        <f t="shared" si="19"/>
        <v/>
      </c>
      <c r="P124" s="63"/>
      <c r="Q124" s="164" t="str">
        <f t="shared" si="14"/>
        <v/>
      </c>
      <c r="R124" s="60" t="str">
        <f t="shared" si="15"/>
        <v/>
      </c>
      <c r="S124" s="60" t="str">
        <f t="shared" si="16"/>
        <v/>
      </c>
      <c r="T124" s="61" t="str">
        <f t="shared" si="17"/>
        <v/>
      </c>
      <c r="U124" s="61" t="str">
        <f t="shared" si="18"/>
        <v/>
      </c>
      <c r="V124" s="183" t="str">
        <f t="shared" si="20"/>
        <v/>
      </c>
      <c r="W124" s="183" t="str">
        <f t="shared" si="21"/>
        <v/>
      </c>
      <c r="X124" s="61" t="str">
        <f t="shared" si="22"/>
        <v/>
      </c>
      <c r="Y124" s="61" t="str">
        <f t="shared" si="23"/>
        <v/>
      </c>
      <c r="Z124" s="118" t="str">
        <f t="shared" si="24"/>
        <v/>
      </c>
      <c r="AA124" s="62" t="str">
        <f t="shared" si="25"/>
        <v/>
      </c>
      <c r="AB124" s="119" t="str">
        <f>IF(A124&lt;&gt;"", IF(P124&lt;&gt;0,SUMIFS(node!$J$2:$J$1000, node!$C$2:$C$1000,"="&amp;A124)/P124,0), "")</f>
        <v/>
      </c>
      <c r="AC124" s="81" t="str">
        <f>IF(A124&lt;&gt;"", IF(P124&lt;&gt;0,SUMIFS(node!$K$2:$K$1000, node!$C$2:$C$1000,"="&amp;A124)/P124,0), "")</f>
        <v/>
      </c>
      <c r="AD124" s="82" t="str">
        <f>IF(A124&lt;&gt;"", SUMIFS(node!$L$2:$L$1000, node!$C$2:$C$1000,"="&amp;A124), "")</f>
        <v/>
      </c>
      <c r="AE124" s="87" t="str">
        <f>IF(A124&lt;&gt;"", SUMIFS(node!$M$2:$M$1000, node!$C$2:$C$1000,"="&amp;A124), "")</f>
        <v/>
      </c>
    </row>
    <row r="125" spans="1:31" ht="15.75" customHeight="1" x14ac:dyDescent="0.25">
      <c r="A125" s="71" t="str">
        <f>IF(ISNONTEXT(node_raw[[#This Row],[Column2]]), "", node_raw[[#This Row],[Column2]])</f>
        <v/>
      </c>
      <c r="B125" s="108" t="str">
        <f>IF(A125&lt;&gt;"", VLOOKUP(A125, node!$C$2:$D$1000, 2, FALSE), "")</f>
        <v/>
      </c>
      <c r="C125" s="109" t="str">
        <f>IF(A125&lt;&gt;"", VLOOKUP(A125, node!$C$2:$E$1000, 3, FALSE), "")</f>
        <v/>
      </c>
      <c r="D125" s="110" t="str">
        <f>IF(A125&lt;&gt;"",COUNTIFS(node!$C$2:$C$1000,"="&amp;A125, node!$C$2:$C$1000,"&lt;&gt;"&amp;""),"")</f>
        <v/>
      </c>
      <c r="E125" s="111" t="str">
        <f>IF(A125&lt;&gt;"",SUMIFS(node!$F$2:$F$500, node!$C$2:$C$500,"="&amp;A125, node!$C$2:$C$500,"&lt;&gt;"&amp;"")/(B125*D125),"")</f>
        <v/>
      </c>
      <c r="F125" s="112" t="str">
        <f>IF(A125&lt;&gt;"",SUMIFS(node!$H$2:$H$500, node!$C$2:$C$500,"="&amp;A125, node!$C$2:$C$500,"&lt;&gt;"&amp;"")/(C125*D125),"")</f>
        <v/>
      </c>
      <c r="G125" s="179" t="str">
        <f>IF(A125&lt;&gt;"",SUMIFS(deployment!$F$4:$F$502, deployment!$D$4:$D$502,"="&amp;A125, deployment!$D$4:$D$502,"&lt;&gt;"&amp;""),"")</f>
        <v/>
      </c>
      <c r="H125" s="181" t="str">
        <f>IF(A125&lt;&gt;"",SUMIFS(deployment!$G$4:$G$502, deployment!$D$4:$D$502,"="&amp;A125, deployment!$D$4:$D$502,"&lt;&gt;"&amp;""),"")</f>
        <v/>
      </c>
      <c r="I125" s="113" t="str">
        <f>IF(A125&lt;&gt;"",SUMIFS(deployment!$H$4:$H$502, deployment!$D$4:$D$502,"="&amp;A125, deployment!$D$4:$D$502,"&lt;&gt;"&amp;""),"")</f>
        <v/>
      </c>
      <c r="J125" s="114" t="str">
        <f>IF(A125&lt;&gt;"",SUMIFS(deployment!$I$4:$I$502, deployment!$D$4:$D$502,"="&amp;A125, deployment!$D$4:$D$502,"&lt;&gt;"&amp;""),"")</f>
        <v/>
      </c>
      <c r="K125" s="182" t="str">
        <f>IF(A125&lt;&gt;"",SUMIFS(deployment!$J$4:$J$1002, deployment!$D$4:$D$1002,"="&amp;A125, deployment!$D$4:$D$1002,"&lt;&gt;"&amp;"", deployment!$C$4:$C$1002, "&lt;&gt;* )")+SUMIFS(namespace!$G$4:$G$1002, namespace!$B$4:$B$1002,"="&amp;A125, namespace!$B$4:$B$1002,"&lt;&gt;"&amp;""),"")</f>
        <v/>
      </c>
      <c r="L125" s="182" t="str">
        <f>IF(A125&lt;&gt;"",SUMIFS(deployment!$K$4:$K$1002, deployment!$D$4:$D$1002,"="&amp;A125, deployment!$D$4:$D$1002,"&lt;&gt;"&amp;"", deployment!$C$4:$C$1002, "&lt;&gt;* )")+SUMIFS(namespace!$H$4:$H$1002, namespace!$B$4:$B$1002,"="&amp;A125, namespace!$B$4:$B$1002,"&lt;&gt;"&amp;""),"")</f>
        <v/>
      </c>
      <c r="M125" s="115" t="str">
        <f>IF(A125&lt;&gt;"",SUMIFS(deployment!$L$4:$L$1002, deployment!$D$4:$D$1002,"="&amp;A125, deployment!$D$4:$D$1002,"&lt;&gt;"&amp;"", deployment!$C$4:$C$1002, "&lt;&gt;* )")+SUMIFS(namespace!$I$4:$I$1002, namespace!$B$4:$B$1002,"="&amp;A125, namespace!$B$4:$B$1002,"&lt;&gt;"&amp;""),"")</f>
        <v/>
      </c>
      <c r="N125" s="115" t="str">
        <f>IF(A125&lt;&gt;"",SUMIFS(deployment!$M$4:$M$1002, deployment!$D$4:$D$1002,"="&amp;A125, deployment!$D$4:$D$1002,"&lt;&gt;"&amp;"", deployment!$C$4:$C$1002, "&lt;&gt;* )")+SUMIFS(namespace!$J$4:$J$1002, namespace!$B$4:$B$1002,"="&amp;A125, namespace!$B$4:$B$1002,"&lt;&gt;"&amp;""),"")</f>
        <v/>
      </c>
      <c r="O125" s="116" t="str">
        <f t="shared" si="19"/>
        <v/>
      </c>
      <c r="P125" s="63"/>
      <c r="Q125" s="164" t="str">
        <f t="shared" si="14"/>
        <v/>
      </c>
      <c r="R125" s="60" t="str">
        <f t="shared" si="15"/>
        <v/>
      </c>
      <c r="S125" s="60" t="str">
        <f t="shared" si="16"/>
        <v/>
      </c>
      <c r="T125" s="61" t="str">
        <f t="shared" si="17"/>
        <v/>
      </c>
      <c r="U125" s="61" t="str">
        <f t="shared" si="18"/>
        <v/>
      </c>
      <c r="V125" s="183" t="str">
        <f t="shared" si="20"/>
        <v/>
      </c>
      <c r="W125" s="183" t="str">
        <f t="shared" si="21"/>
        <v/>
      </c>
      <c r="X125" s="61" t="str">
        <f t="shared" si="22"/>
        <v/>
      </c>
      <c r="Y125" s="61" t="str">
        <f t="shared" si="23"/>
        <v/>
      </c>
      <c r="Z125" s="118" t="str">
        <f t="shared" si="24"/>
        <v/>
      </c>
      <c r="AA125" s="62" t="str">
        <f t="shared" si="25"/>
        <v/>
      </c>
      <c r="AB125" s="119" t="str">
        <f>IF(A125&lt;&gt;"", IF(P125&lt;&gt;0,SUMIFS(node!$J$2:$J$1000, node!$C$2:$C$1000,"="&amp;A125)/P125,0), "")</f>
        <v/>
      </c>
      <c r="AC125" s="81" t="str">
        <f>IF(A125&lt;&gt;"", IF(P125&lt;&gt;0,SUMIFS(node!$K$2:$K$1000, node!$C$2:$C$1000,"="&amp;A125)/P125,0), "")</f>
        <v/>
      </c>
      <c r="AD125" s="82" t="str">
        <f>IF(A125&lt;&gt;"", SUMIFS(node!$L$2:$L$1000, node!$C$2:$C$1000,"="&amp;A125), "")</f>
        <v/>
      </c>
      <c r="AE125" s="87" t="str">
        <f>IF(A125&lt;&gt;"", SUMIFS(node!$M$2:$M$1000, node!$C$2:$C$1000,"="&amp;A125), "")</f>
        <v/>
      </c>
    </row>
    <row r="126" spans="1:31" ht="15.75" customHeight="1" x14ac:dyDescent="0.25">
      <c r="A126" s="71" t="str">
        <f>IF(ISNONTEXT(node_raw[[#This Row],[Column2]]), "", node_raw[[#This Row],[Column2]])</f>
        <v/>
      </c>
      <c r="B126" s="108" t="str">
        <f>IF(A126&lt;&gt;"", VLOOKUP(A126, node!$C$2:$D$1000, 2, FALSE), "")</f>
        <v/>
      </c>
      <c r="C126" s="109" t="str">
        <f>IF(A126&lt;&gt;"", VLOOKUP(A126, node!$C$2:$E$1000, 3, FALSE), "")</f>
        <v/>
      </c>
      <c r="D126" s="110" t="str">
        <f>IF(A126&lt;&gt;"",COUNTIFS(node!$C$2:$C$1000,"="&amp;A126, node!$C$2:$C$1000,"&lt;&gt;"&amp;""),"")</f>
        <v/>
      </c>
      <c r="E126" s="111" t="str">
        <f>IF(A126&lt;&gt;"",SUMIFS(node!$F$2:$F$500, node!$C$2:$C$500,"="&amp;A126, node!$C$2:$C$500,"&lt;&gt;"&amp;"")/(B126*D126),"")</f>
        <v/>
      </c>
      <c r="F126" s="112" t="str">
        <f>IF(A126&lt;&gt;"",SUMIFS(node!$H$2:$H$500, node!$C$2:$C$500,"="&amp;A126, node!$C$2:$C$500,"&lt;&gt;"&amp;"")/(C126*D126),"")</f>
        <v/>
      </c>
      <c r="G126" s="179" t="str">
        <f>IF(A126&lt;&gt;"",SUMIFS(deployment!$F$4:$F$502, deployment!$D$4:$D$502,"="&amp;A126, deployment!$D$4:$D$502,"&lt;&gt;"&amp;""),"")</f>
        <v/>
      </c>
      <c r="H126" s="181" t="str">
        <f>IF(A126&lt;&gt;"",SUMIFS(deployment!$G$4:$G$502, deployment!$D$4:$D$502,"="&amp;A126, deployment!$D$4:$D$502,"&lt;&gt;"&amp;""),"")</f>
        <v/>
      </c>
      <c r="I126" s="113" t="str">
        <f>IF(A126&lt;&gt;"",SUMIFS(deployment!$H$4:$H$502, deployment!$D$4:$D$502,"="&amp;A126, deployment!$D$4:$D$502,"&lt;&gt;"&amp;""),"")</f>
        <v/>
      </c>
      <c r="J126" s="114" t="str">
        <f>IF(A126&lt;&gt;"",SUMIFS(deployment!$I$4:$I$502, deployment!$D$4:$D$502,"="&amp;A126, deployment!$D$4:$D$502,"&lt;&gt;"&amp;""),"")</f>
        <v/>
      </c>
      <c r="K126" s="182" t="str">
        <f>IF(A126&lt;&gt;"",SUMIFS(deployment!$J$4:$J$1002, deployment!$D$4:$D$1002,"="&amp;A126, deployment!$D$4:$D$1002,"&lt;&gt;"&amp;"", deployment!$C$4:$C$1002, "&lt;&gt;* )")+SUMIFS(namespace!$G$4:$G$1002, namespace!$B$4:$B$1002,"="&amp;A126, namespace!$B$4:$B$1002,"&lt;&gt;"&amp;""),"")</f>
        <v/>
      </c>
      <c r="L126" s="182" t="str">
        <f>IF(A126&lt;&gt;"",SUMIFS(deployment!$K$4:$K$1002, deployment!$D$4:$D$1002,"="&amp;A126, deployment!$D$4:$D$1002,"&lt;&gt;"&amp;"", deployment!$C$4:$C$1002, "&lt;&gt;* )")+SUMIFS(namespace!$H$4:$H$1002, namespace!$B$4:$B$1002,"="&amp;A126, namespace!$B$4:$B$1002,"&lt;&gt;"&amp;""),"")</f>
        <v/>
      </c>
      <c r="M126" s="115" t="str">
        <f>IF(A126&lt;&gt;"",SUMIFS(deployment!$L$4:$L$1002, deployment!$D$4:$D$1002,"="&amp;A126, deployment!$D$4:$D$1002,"&lt;&gt;"&amp;"", deployment!$C$4:$C$1002, "&lt;&gt;* )")+SUMIFS(namespace!$I$4:$I$1002, namespace!$B$4:$B$1002,"="&amp;A126, namespace!$B$4:$B$1002,"&lt;&gt;"&amp;""),"")</f>
        <v/>
      </c>
      <c r="N126" s="115" t="str">
        <f>IF(A126&lt;&gt;"",SUMIFS(deployment!$M$4:$M$1002, deployment!$D$4:$D$1002,"="&amp;A126, deployment!$D$4:$D$1002,"&lt;&gt;"&amp;"", deployment!$C$4:$C$1002, "&lt;&gt;* )")+SUMIFS(namespace!$J$4:$J$1002, namespace!$B$4:$B$1002,"="&amp;A126, namespace!$B$4:$B$1002,"&lt;&gt;"&amp;""),"")</f>
        <v/>
      </c>
      <c r="O126" s="116" t="str">
        <f t="shared" si="19"/>
        <v/>
      </c>
      <c r="P126" s="63"/>
      <c r="Q126" s="164" t="str">
        <f t="shared" si="14"/>
        <v/>
      </c>
      <c r="R126" s="60" t="str">
        <f t="shared" si="15"/>
        <v/>
      </c>
      <c r="S126" s="60" t="str">
        <f t="shared" si="16"/>
        <v/>
      </c>
      <c r="T126" s="61" t="str">
        <f t="shared" si="17"/>
        <v/>
      </c>
      <c r="U126" s="61" t="str">
        <f t="shared" si="18"/>
        <v/>
      </c>
      <c r="V126" s="183" t="str">
        <f t="shared" si="20"/>
        <v/>
      </c>
      <c r="W126" s="183" t="str">
        <f t="shared" si="21"/>
        <v/>
      </c>
      <c r="X126" s="61" t="str">
        <f t="shared" si="22"/>
        <v/>
      </c>
      <c r="Y126" s="61" t="str">
        <f t="shared" si="23"/>
        <v/>
      </c>
      <c r="Z126" s="118" t="str">
        <f t="shared" si="24"/>
        <v/>
      </c>
      <c r="AA126" s="62" t="str">
        <f t="shared" si="25"/>
        <v/>
      </c>
      <c r="AB126" s="119" t="str">
        <f>IF(A126&lt;&gt;"", IF(P126&lt;&gt;0,SUMIFS(node!$J$2:$J$1000, node!$C$2:$C$1000,"="&amp;A126)/P126,0), "")</f>
        <v/>
      </c>
      <c r="AC126" s="81" t="str">
        <f>IF(A126&lt;&gt;"", IF(P126&lt;&gt;0,SUMIFS(node!$K$2:$K$1000, node!$C$2:$C$1000,"="&amp;A126)/P126,0), "")</f>
        <v/>
      </c>
      <c r="AD126" s="82" t="str">
        <f>IF(A126&lt;&gt;"", SUMIFS(node!$L$2:$L$1000, node!$C$2:$C$1000,"="&amp;A126), "")</f>
        <v/>
      </c>
      <c r="AE126" s="87" t="str">
        <f>IF(A126&lt;&gt;"", SUMIFS(node!$M$2:$M$1000, node!$C$2:$C$1000,"="&amp;A126), "")</f>
        <v/>
      </c>
    </row>
    <row r="127" spans="1:31" ht="15.75" customHeight="1" x14ac:dyDescent="0.25">
      <c r="A127" s="71" t="str">
        <f>IF(ISNONTEXT(node_raw[[#This Row],[Column2]]), "", node_raw[[#This Row],[Column2]])</f>
        <v/>
      </c>
      <c r="B127" s="108" t="str">
        <f>IF(A127&lt;&gt;"", VLOOKUP(A127, node!$C$2:$D$1000, 2, FALSE), "")</f>
        <v/>
      </c>
      <c r="C127" s="109" t="str">
        <f>IF(A127&lt;&gt;"", VLOOKUP(A127, node!$C$2:$E$1000, 3, FALSE), "")</f>
        <v/>
      </c>
      <c r="D127" s="110" t="str">
        <f>IF(A127&lt;&gt;"",COUNTIFS(node!$C$2:$C$1000,"="&amp;A127, node!$C$2:$C$1000,"&lt;&gt;"&amp;""),"")</f>
        <v/>
      </c>
      <c r="E127" s="111" t="str">
        <f>IF(A127&lt;&gt;"",SUMIFS(node!$F$2:$F$500, node!$C$2:$C$500,"="&amp;A127, node!$C$2:$C$500,"&lt;&gt;"&amp;"")/(B127*D127),"")</f>
        <v/>
      </c>
      <c r="F127" s="112" t="str">
        <f>IF(A127&lt;&gt;"",SUMIFS(node!$H$2:$H$500, node!$C$2:$C$500,"="&amp;A127, node!$C$2:$C$500,"&lt;&gt;"&amp;"")/(C127*D127),"")</f>
        <v/>
      </c>
      <c r="G127" s="179" t="str">
        <f>IF(A127&lt;&gt;"",SUMIFS(deployment!$F$4:$F$502, deployment!$D$4:$D$502,"="&amp;A127, deployment!$D$4:$D$502,"&lt;&gt;"&amp;""),"")</f>
        <v/>
      </c>
      <c r="H127" s="181" t="str">
        <f>IF(A127&lt;&gt;"",SUMIFS(deployment!$G$4:$G$502, deployment!$D$4:$D$502,"="&amp;A127, deployment!$D$4:$D$502,"&lt;&gt;"&amp;""),"")</f>
        <v/>
      </c>
      <c r="I127" s="113" t="str">
        <f>IF(A127&lt;&gt;"",SUMIFS(deployment!$H$4:$H$502, deployment!$D$4:$D$502,"="&amp;A127, deployment!$D$4:$D$502,"&lt;&gt;"&amp;""),"")</f>
        <v/>
      </c>
      <c r="J127" s="114" t="str">
        <f>IF(A127&lt;&gt;"",SUMIFS(deployment!$I$4:$I$502, deployment!$D$4:$D$502,"="&amp;A127, deployment!$D$4:$D$502,"&lt;&gt;"&amp;""),"")</f>
        <v/>
      </c>
      <c r="K127" s="182" t="str">
        <f>IF(A127&lt;&gt;"",SUMIFS(deployment!$J$4:$J$1002, deployment!$D$4:$D$1002,"="&amp;A127, deployment!$D$4:$D$1002,"&lt;&gt;"&amp;"", deployment!$C$4:$C$1002, "&lt;&gt;* )")+SUMIFS(namespace!$G$4:$G$1002, namespace!$B$4:$B$1002,"="&amp;A127, namespace!$B$4:$B$1002,"&lt;&gt;"&amp;""),"")</f>
        <v/>
      </c>
      <c r="L127" s="182" t="str">
        <f>IF(A127&lt;&gt;"",SUMIFS(deployment!$K$4:$K$1002, deployment!$D$4:$D$1002,"="&amp;A127, deployment!$D$4:$D$1002,"&lt;&gt;"&amp;"", deployment!$C$4:$C$1002, "&lt;&gt;* )")+SUMIFS(namespace!$H$4:$H$1002, namespace!$B$4:$B$1002,"="&amp;A127, namespace!$B$4:$B$1002,"&lt;&gt;"&amp;""),"")</f>
        <v/>
      </c>
      <c r="M127" s="115" t="str">
        <f>IF(A127&lt;&gt;"",SUMIFS(deployment!$L$4:$L$1002, deployment!$D$4:$D$1002,"="&amp;A127, deployment!$D$4:$D$1002,"&lt;&gt;"&amp;"", deployment!$C$4:$C$1002, "&lt;&gt;* )")+SUMIFS(namespace!$I$4:$I$1002, namespace!$B$4:$B$1002,"="&amp;A127, namespace!$B$4:$B$1002,"&lt;&gt;"&amp;""),"")</f>
        <v/>
      </c>
      <c r="N127" s="115" t="str">
        <f>IF(A127&lt;&gt;"",SUMIFS(deployment!$M$4:$M$1002, deployment!$D$4:$D$1002,"="&amp;A127, deployment!$D$4:$D$1002,"&lt;&gt;"&amp;"", deployment!$C$4:$C$1002, "&lt;&gt;* )")+SUMIFS(namespace!$J$4:$J$1002, namespace!$B$4:$B$1002,"="&amp;A127, namespace!$B$4:$B$1002,"&lt;&gt;"&amp;""),"")</f>
        <v/>
      </c>
      <c r="O127" s="116" t="str">
        <f t="shared" si="19"/>
        <v/>
      </c>
      <c r="P127" s="63"/>
      <c r="Q127" s="164" t="str">
        <f t="shared" si="14"/>
        <v/>
      </c>
      <c r="R127" s="60" t="str">
        <f t="shared" si="15"/>
        <v/>
      </c>
      <c r="S127" s="60" t="str">
        <f t="shared" si="16"/>
        <v/>
      </c>
      <c r="T127" s="61" t="str">
        <f t="shared" si="17"/>
        <v/>
      </c>
      <c r="U127" s="61" t="str">
        <f t="shared" si="18"/>
        <v/>
      </c>
      <c r="V127" s="183" t="str">
        <f t="shared" si="20"/>
        <v/>
      </c>
      <c r="W127" s="183" t="str">
        <f t="shared" si="21"/>
        <v/>
      </c>
      <c r="X127" s="61" t="str">
        <f t="shared" si="22"/>
        <v/>
      </c>
      <c r="Y127" s="61" t="str">
        <f t="shared" si="23"/>
        <v/>
      </c>
      <c r="Z127" s="118" t="str">
        <f t="shared" si="24"/>
        <v/>
      </c>
      <c r="AA127" s="62" t="str">
        <f t="shared" si="25"/>
        <v/>
      </c>
      <c r="AB127" s="119" t="str">
        <f>IF(A127&lt;&gt;"", IF(P127&lt;&gt;0,SUMIFS(node!$J$2:$J$1000, node!$C$2:$C$1000,"="&amp;A127)/P127,0), "")</f>
        <v/>
      </c>
      <c r="AC127" s="81" t="str">
        <f>IF(A127&lt;&gt;"", IF(P127&lt;&gt;0,SUMIFS(node!$K$2:$K$1000, node!$C$2:$C$1000,"="&amp;A127)/P127,0), "")</f>
        <v/>
      </c>
      <c r="AD127" s="82" t="str">
        <f>IF(A127&lt;&gt;"", SUMIFS(node!$L$2:$L$1000, node!$C$2:$C$1000,"="&amp;A127), "")</f>
        <v/>
      </c>
      <c r="AE127" s="87" t="str">
        <f>IF(A127&lt;&gt;"", SUMIFS(node!$M$2:$M$1000, node!$C$2:$C$1000,"="&amp;A127), "")</f>
        <v/>
      </c>
    </row>
    <row r="128" spans="1:31" ht="15.75" customHeight="1" x14ac:dyDescent="0.25">
      <c r="A128" s="71" t="str">
        <f>IF(ISNONTEXT(node_raw[[#This Row],[Column2]]), "", node_raw[[#This Row],[Column2]])</f>
        <v/>
      </c>
      <c r="B128" s="108" t="str">
        <f>IF(A128&lt;&gt;"", VLOOKUP(A128, node!$C$2:$D$1000, 2, FALSE), "")</f>
        <v/>
      </c>
      <c r="C128" s="109" t="str">
        <f>IF(A128&lt;&gt;"", VLOOKUP(A128, node!$C$2:$E$1000, 3, FALSE), "")</f>
        <v/>
      </c>
      <c r="D128" s="110" t="str">
        <f>IF(A128&lt;&gt;"",COUNTIFS(node!$C$2:$C$1000,"="&amp;A128, node!$C$2:$C$1000,"&lt;&gt;"&amp;""),"")</f>
        <v/>
      </c>
      <c r="E128" s="111" t="str">
        <f>IF(A128&lt;&gt;"",SUMIFS(node!$F$2:$F$500, node!$C$2:$C$500,"="&amp;A128, node!$C$2:$C$500,"&lt;&gt;"&amp;"")/(B128*D128),"")</f>
        <v/>
      </c>
      <c r="F128" s="112" t="str">
        <f>IF(A128&lt;&gt;"",SUMIFS(node!$H$2:$H$500, node!$C$2:$C$500,"="&amp;A128, node!$C$2:$C$500,"&lt;&gt;"&amp;"")/(C128*D128),"")</f>
        <v/>
      </c>
      <c r="G128" s="179" t="str">
        <f>IF(A128&lt;&gt;"",SUMIFS(deployment!$F$4:$F$502, deployment!$D$4:$D$502,"="&amp;A128, deployment!$D$4:$D$502,"&lt;&gt;"&amp;""),"")</f>
        <v/>
      </c>
      <c r="H128" s="181" t="str">
        <f>IF(A128&lt;&gt;"",SUMIFS(deployment!$G$4:$G$502, deployment!$D$4:$D$502,"="&amp;A128, deployment!$D$4:$D$502,"&lt;&gt;"&amp;""),"")</f>
        <v/>
      </c>
      <c r="I128" s="113" t="str">
        <f>IF(A128&lt;&gt;"",SUMIFS(deployment!$H$4:$H$502, deployment!$D$4:$D$502,"="&amp;A128, deployment!$D$4:$D$502,"&lt;&gt;"&amp;""),"")</f>
        <v/>
      </c>
      <c r="J128" s="114" t="str">
        <f>IF(A128&lt;&gt;"",SUMIFS(deployment!$I$4:$I$502, deployment!$D$4:$D$502,"="&amp;A128, deployment!$D$4:$D$502,"&lt;&gt;"&amp;""),"")</f>
        <v/>
      </c>
      <c r="K128" s="182" t="str">
        <f>IF(A128&lt;&gt;"",SUMIFS(deployment!$J$4:$J$1002, deployment!$D$4:$D$1002,"="&amp;A128, deployment!$D$4:$D$1002,"&lt;&gt;"&amp;"", deployment!$C$4:$C$1002, "&lt;&gt;* )")+SUMIFS(namespace!$G$4:$G$1002, namespace!$B$4:$B$1002,"="&amp;A128, namespace!$B$4:$B$1002,"&lt;&gt;"&amp;""),"")</f>
        <v/>
      </c>
      <c r="L128" s="182" t="str">
        <f>IF(A128&lt;&gt;"",SUMIFS(deployment!$K$4:$K$1002, deployment!$D$4:$D$1002,"="&amp;A128, deployment!$D$4:$D$1002,"&lt;&gt;"&amp;"", deployment!$C$4:$C$1002, "&lt;&gt;* )")+SUMIFS(namespace!$H$4:$H$1002, namespace!$B$4:$B$1002,"="&amp;A128, namespace!$B$4:$B$1002,"&lt;&gt;"&amp;""),"")</f>
        <v/>
      </c>
      <c r="M128" s="115" t="str">
        <f>IF(A128&lt;&gt;"",SUMIFS(deployment!$L$4:$L$1002, deployment!$D$4:$D$1002,"="&amp;A128, deployment!$D$4:$D$1002,"&lt;&gt;"&amp;"", deployment!$C$4:$C$1002, "&lt;&gt;* )")+SUMIFS(namespace!$I$4:$I$1002, namespace!$B$4:$B$1002,"="&amp;A128, namespace!$B$4:$B$1002,"&lt;&gt;"&amp;""),"")</f>
        <v/>
      </c>
      <c r="N128" s="115" t="str">
        <f>IF(A128&lt;&gt;"",SUMIFS(deployment!$M$4:$M$1002, deployment!$D$4:$D$1002,"="&amp;A128, deployment!$D$4:$D$1002,"&lt;&gt;"&amp;"", deployment!$C$4:$C$1002, "&lt;&gt;* )")+SUMIFS(namespace!$J$4:$J$1002, namespace!$B$4:$B$1002,"="&amp;A128, namespace!$B$4:$B$1002,"&lt;&gt;"&amp;""),"")</f>
        <v/>
      </c>
      <c r="O128" s="116" t="str">
        <f t="shared" si="19"/>
        <v/>
      </c>
      <c r="P128" s="63"/>
      <c r="Q128" s="164" t="str">
        <f t="shared" si="14"/>
        <v/>
      </c>
      <c r="R128" s="60" t="str">
        <f t="shared" si="15"/>
        <v/>
      </c>
      <c r="S128" s="60" t="str">
        <f t="shared" si="16"/>
        <v/>
      </c>
      <c r="T128" s="61" t="str">
        <f t="shared" si="17"/>
        <v/>
      </c>
      <c r="U128" s="61" t="str">
        <f t="shared" si="18"/>
        <v/>
      </c>
      <c r="V128" s="183" t="str">
        <f t="shared" si="20"/>
        <v/>
      </c>
      <c r="W128" s="183" t="str">
        <f t="shared" si="21"/>
        <v/>
      </c>
      <c r="X128" s="61" t="str">
        <f t="shared" si="22"/>
        <v/>
      </c>
      <c r="Y128" s="61" t="str">
        <f t="shared" si="23"/>
        <v/>
      </c>
      <c r="Z128" s="118" t="str">
        <f t="shared" si="24"/>
        <v/>
      </c>
      <c r="AA128" s="62" t="str">
        <f t="shared" si="25"/>
        <v/>
      </c>
      <c r="AB128" s="119" t="str">
        <f>IF(A128&lt;&gt;"", IF(P128&lt;&gt;0,SUMIFS(node!$J$2:$J$1000, node!$C$2:$C$1000,"="&amp;A128)/P128,0), "")</f>
        <v/>
      </c>
      <c r="AC128" s="81" t="str">
        <f>IF(A128&lt;&gt;"", IF(P128&lt;&gt;0,SUMIFS(node!$K$2:$K$1000, node!$C$2:$C$1000,"="&amp;A128)/P128,0), "")</f>
        <v/>
      </c>
      <c r="AD128" s="82" t="str">
        <f>IF(A128&lt;&gt;"", SUMIFS(node!$L$2:$L$1000, node!$C$2:$C$1000,"="&amp;A128), "")</f>
        <v/>
      </c>
      <c r="AE128" s="87" t="str">
        <f>IF(A128&lt;&gt;"", SUMIFS(node!$M$2:$M$1000, node!$C$2:$C$1000,"="&amp;A128), "")</f>
        <v/>
      </c>
    </row>
    <row r="129" spans="1:31" ht="15.75" customHeight="1" x14ac:dyDescent="0.25">
      <c r="A129" s="71" t="str">
        <f>IF(ISNONTEXT(node_raw[[#This Row],[Column2]]), "", node_raw[[#This Row],[Column2]])</f>
        <v/>
      </c>
      <c r="B129" s="108" t="str">
        <f>IF(A129&lt;&gt;"", VLOOKUP(A129, node!$C$2:$D$1000, 2, FALSE), "")</f>
        <v/>
      </c>
      <c r="C129" s="109" t="str">
        <f>IF(A129&lt;&gt;"", VLOOKUP(A129, node!$C$2:$E$1000, 3, FALSE), "")</f>
        <v/>
      </c>
      <c r="D129" s="110" t="str">
        <f>IF(A129&lt;&gt;"",COUNTIFS(node!$C$2:$C$1000,"="&amp;A129, node!$C$2:$C$1000,"&lt;&gt;"&amp;""),"")</f>
        <v/>
      </c>
      <c r="E129" s="111" t="str">
        <f>IF(A129&lt;&gt;"",SUMIFS(node!$F$2:$F$500, node!$C$2:$C$500,"="&amp;A129, node!$C$2:$C$500,"&lt;&gt;"&amp;"")/(B129*D129),"")</f>
        <v/>
      </c>
      <c r="F129" s="112" t="str">
        <f>IF(A129&lt;&gt;"",SUMIFS(node!$H$2:$H$500, node!$C$2:$C$500,"="&amp;A129, node!$C$2:$C$500,"&lt;&gt;"&amp;"")/(C129*D129),"")</f>
        <v/>
      </c>
      <c r="G129" s="179" t="str">
        <f>IF(A129&lt;&gt;"",SUMIFS(deployment!$F$4:$F$502, deployment!$D$4:$D$502,"="&amp;A129, deployment!$D$4:$D$502,"&lt;&gt;"&amp;""),"")</f>
        <v/>
      </c>
      <c r="H129" s="181" t="str">
        <f>IF(A129&lt;&gt;"",SUMIFS(deployment!$G$4:$G$502, deployment!$D$4:$D$502,"="&amp;A129, deployment!$D$4:$D$502,"&lt;&gt;"&amp;""),"")</f>
        <v/>
      </c>
      <c r="I129" s="113" t="str">
        <f>IF(A129&lt;&gt;"",SUMIFS(deployment!$H$4:$H$502, deployment!$D$4:$D$502,"="&amp;A129, deployment!$D$4:$D$502,"&lt;&gt;"&amp;""),"")</f>
        <v/>
      </c>
      <c r="J129" s="114" t="str">
        <f>IF(A129&lt;&gt;"",SUMIFS(deployment!$I$4:$I$502, deployment!$D$4:$D$502,"="&amp;A129, deployment!$D$4:$D$502,"&lt;&gt;"&amp;""),"")</f>
        <v/>
      </c>
      <c r="K129" s="182" t="str">
        <f>IF(A129&lt;&gt;"",SUMIFS(deployment!$J$4:$J$1002, deployment!$D$4:$D$1002,"="&amp;A129, deployment!$D$4:$D$1002,"&lt;&gt;"&amp;"", deployment!$C$4:$C$1002, "&lt;&gt;* )")+SUMIFS(namespace!$G$4:$G$1002, namespace!$B$4:$B$1002,"="&amp;A129, namespace!$B$4:$B$1002,"&lt;&gt;"&amp;""),"")</f>
        <v/>
      </c>
      <c r="L129" s="182" t="str">
        <f>IF(A129&lt;&gt;"",SUMIFS(deployment!$K$4:$K$1002, deployment!$D$4:$D$1002,"="&amp;A129, deployment!$D$4:$D$1002,"&lt;&gt;"&amp;"", deployment!$C$4:$C$1002, "&lt;&gt;* )")+SUMIFS(namespace!$H$4:$H$1002, namespace!$B$4:$B$1002,"="&amp;A129, namespace!$B$4:$B$1002,"&lt;&gt;"&amp;""),"")</f>
        <v/>
      </c>
      <c r="M129" s="115" t="str">
        <f>IF(A129&lt;&gt;"",SUMIFS(deployment!$L$4:$L$1002, deployment!$D$4:$D$1002,"="&amp;A129, deployment!$D$4:$D$1002,"&lt;&gt;"&amp;"", deployment!$C$4:$C$1002, "&lt;&gt;* )")+SUMIFS(namespace!$I$4:$I$1002, namespace!$B$4:$B$1002,"="&amp;A129, namespace!$B$4:$B$1002,"&lt;&gt;"&amp;""),"")</f>
        <v/>
      </c>
      <c r="N129" s="115" t="str">
        <f>IF(A129&lt;&gt;"",SUMIFS(deployment!$M$4:$M$1002, deployment!$D$4:$D$1002,"="&amp;A129, deployment!$D$4:$D$1002,"&lt;&gt;"&amp;"", deployment!$C$4:$C$1002, "&lt;&gt;* )")+SUMIFS(namespace!$J$4:$J$1002, namespace!$B$4:$B$1002,"="&amp;A129, namespace!$B$4:$B$1002,"&lt;&gt;"&amp;""),"")</f>
        <v/>
      </c>
      <c r="O129" s="116" t="str">
        <f t="shared" si="19"/>
        <v/>
      </c>
      <c r="P129" s="63"/>
      <c r="Q129" s="164" t="str">
        <f t="shared" si="14"/>
        <v/>
      </c>
      <c r="R129" s="60" t="str">
        <f t="shared" si="15"/>
        <v/>
      </c>
      <c r="S129" s="60" t="str">
        <f t="shared" si="16"/>
        <v/>
      </c>
      <c r="T129" s="61" t="str">
        <f t="shared" si="17"/>
        <v/>
      </c>
      <c r="U129" s="61" t="str">
        <f t="shared" si="18"/>
        <v/>
      </c>
      <c r="V129" s="183" t="str">
        <f t="shared" si="20"/>
        <v/>
      </c>
      <c r="W129" s="183" t="str">
        <f t="shared" si="21"/>
        <v/>
      </c>
      <c r="X129" s="61" t="str">
        <f t="shared" si="22"/>
        <v/>
      </c>
      <c r="Y129" s="61" t="str">
        <f t="shared" si="23"/>
        <v/>
      </c>
      <c r="Z129" s="118" t="str">
        <f t="shared" si="24"/>
        <v/>
      </c>
      <c r="AA129" s="62" t="str">
        <f t="shared" si="25"/>
        <v/>
      </c>
      <c r="AB129" s="119" t="str">
        <f>IF(A129&lt;&gt;"", IF(P129&lt;&gt;0,SUMIFS(node!$J$2:$J$1000, node!$C$2:$C$1000,"="&amp;A129)/P129,0), "")</f>
        <v/>
      </c>
      <c r="AC129" s="81" t="str">
        <f>IF(A129&lt;&gt;"", IF(P129&lt;&gt;0,SUMIFS(node!$K$2:$K$1000, node!$C$2:$C$1000,"="&amp;A129)/P129,0), "")</f>
        <v/>
      </c>
      <c r="AD129" s="82" t="str">
        <f>IF(A129&lt;&gt;"", SUMIFS(node!$L$2:$L$1000, node!$C$2:$C$1000,"="&amp;A129), "")</f>
        <v/>
      </c>
      <c r="AE129" s="87" t="str">
        <f>IF(A129&lt;&gt;"", SUMIFS(node!$M$2:$M$1000, node!$C$2:$C$1000,"="&amp;A129), "")</f>
        <v/>
      </c>
    </row>
    <row r="130" spans="1:31" ht="15.75" customHeight="1" x14ac:dyDescent="0.25">
      <c r="A130" s="71" t="str">
        <f>IF(ISNONTEXT(node_raw[[#This Row],[Column2]]), "", node_raw[[#This Row],[Column2]])</f>
        <v/>
      </c>
      <c r="B130" s="108" t="str">
        <f>IF(A130&lt;&gt;"", VLOOKUP(A130, node!$C$2:$D$1000, 2, FALSE), "")</f>
        <v/>
      </c>
      <c r="C130" s="109" t="str">
        <f>IF(A130&lt;&gt;"", VLOOKUP(A130, node!$C$2:$E$1000, 3, FALSE), "")</f>
        <v/>
      </c>
      <c r="D130" s="110" t="str">
        <f>IF(A130&lt;&gt;"",COUNTIFS(node!$C$2:$C$1000,"="&amp;A130, node!$C$2:$C$1000,"&lt;&gt;"&amp;""),"")</f>
        <v/>
      </c>
      <c r="E130" s="111" t="str">
        <f>IF(A130&lt;&gt;"",SUMIFS(node!$F$2:$F$500, node!$C$2:$C$500,"="&amp;A130, node!$C$2:$C$500,"&lt;&gt;"&amp;"")/(B130*D130),"")</f>
        <v/>
      </c>
      <c r="F130" s="112" t="str">
        <f>IF(A130&lt;&gt;"",SUMIFS(node!$H$2:$H$500, node!$C$2:$C$500,"="&amp;A130, node!$C$2:$C$500,"&lt;&gt;"&amp;"")/(C130*D130),"")</f>
        <v/>
      </c>
      <c r="G130" s="179" t="str">
        <f>IF(A130&lt;&gt;"",SUMIFS(deployment!$F$4:$F$502, deployment!$D$4:$D$502,"="&amp;A130, deployment!$D$4:$D$502,"&lt;&gt;"&amp;""),"")</f>
        <v/>
      </c>
      <c r="H130" s="181" t="str">
        <f>IF(A130&lt;&gt;"",SUMIFS(deployment!$G$4:$G$502, deployment!$D$4:$D$502,"="&amp;A130, deployment!$D$4:$D$502,"&lt;&gt;"&amp;""),"")</f>
        <v/>
      </c>
      <c r="I130" s="113" t="str">
        <f>IF(A130&lt;&gt;"",SUMIFS(deployment!$H$4:$H$502, deployment!$D$4:$D$502,"="&amp;A130, deployment!$D$4:$D$502,"&lt;&gt;"&amp;""),"")</f>
        <v/>
      </c>
      <c r="J130" s="114" t="str">
        <f>IF(A130&lt;&gt;"",SUMIFS(deployment!$I$4:$I$502, deployment!$D$4:$D$502,"="&amp;A130, deployment!$D$4:$D$502,"&lt;&gt;"&amp;""),"")</f>
        <v/>
      </c>
      <c r="K130" s="182" t="str">
        <f>IF(A130&lt;&gt;"",SUMIFS(deployment!$J$4:$J$1002, deployment!$D$4:$D$1002,"="&amp;A130, deployment!$D$4:$D$1002,"&lt;&gt;"&amp;"", deployment!$C$4:$C$1002, "&lt;&gt;* )")+SUMIFS(namespace!$G$4:$G$1002, namespace!$B$4:$B$1002,"="&amp;A130, namespace!$B$4:$B$1002,"&lt;&gt;"&amp;""),"")</f>
        <v/>
      </c>
      <c r="L130" s="182" t="str">
        <f>IF(A130&lt;&gt;"",SUMIFS(deployment!$K$4:$K$1002, deployment!$D$4:$D$1002,"="&amp;A130, deployment!$D$4:$D$1002,"&lt;&gt;"&amp;"", deployment!$C$4:$C$1002, "&lt;&gt;* )")+SUMIFS(namespace!$H$4:$H$1002, namespace!$B$4:$B$1002,"="&amp;A130, namespace!$B$4:$B$1002,"&lt;&gt;"&amp;""),"")</f>
        <v/>
      </c>
      <c r="M130" s="115" t="str">
        <f>IF(A130&lt;&gt;"",SUMIFS(deployment!$L$4:$L$1002, deployment!$D$4:$D$1002,"="&amp;A130, deployment!$D$4:$D$1002,"&lt;&gt;"&amp;"", deployment!$C$4:$C$1002, "&lt;&gt;* )")+SUMIFS(namespace!$I$4:$I$1002, namespace!$B$4:$B$1002,"="&amp;A130, namespace!$B$4:$B$1002,"&lt;&gt;"&amp;""),"")</f>
        <v/>
      </c>
      <c r="N130" s="115" t="str">
        <f>IF(A130&lt;&gt;"",SUMIFS(deployment!$M$4:$M$1002, deployment!$D$4:$D$1002,"="&amp;A130, deployment!$D$4:$D$1002,"&lt;&gt;"&amp;"", deployment!$C$4:$C$1002, "&lt;&gt;* )")+SUMIFS(namespace!$J$4:$J$1002, namespace!$B$4:$B$1002,"="&amp;A130, namespace!$B$4:$B$1002,"&lt;&gt;"&amp;""),"")</f>
        <v/>
      </c>
      <c r="O130" s="116" t="str">
        <f t="shared" si="19"/>
        <v/>
      </c>
      <c r="P130" s="63"/>
      <c r="Q130" s="164" t="str">
        <f t="shared" si="14"/>
        <v/>
      </c>
      <c r="R130" s="60" t="str">
        <f t="shared" si="15"/>
        <v/>
      </c>
      <c r="S130" s="60" t="str">
        <f t="shared" si="16"/>
        <v/>
      </c>
      <c r="T130" s="61" t="str">
        <f t="shared" si="17"/>
        <v/>
      </c>
      <c r="U130" s="61" t="str">
        <f t="shared" si="18"/>
        <v/>
      </c>
      <c r="V130" s="183" t="str">
        <f t="shared" si="20"/>
        <v/>
      </c>
      <c r="W130" s="183" t="str">
        <f t="shared" si="21"/>
        <v/>
      </c>
      <c r="X130" s="61" t="str">
        <f t="shared" si="22"/>
        <v/>
      </c>
      <c r="Y130" s="61" t="str">
        <f t="shared" si="23"/>
        <v/>
      </c>
      <c r="Z130" s="118" t="str">
        <f t="shared" si="24"/>
        <v/>
      </c>
      <c r="AA130" s="62" t="str">
        <f t="shared" si="25"/>
        <v/>
      </c>
      <c r="AB130" s="119" t="str">
        <f>IF(A130&lt;&gt;"", IF(P130&lt;&gt;0,SUMIFS(node!$J$2:$J$1000, node!$C$2:$C$1000,"="&amp;A130)/P130,0), "")</f>
        <v/>
      </c>
      <c r="AC130" s="81" t="str">
        <f>IF(A130&lt;&gt;"", IF(P130&lt;&gt;0,SUMIFS(node!$K$2:$K$1000, node!$C$2:$C$1000,"="&amp;A130)/P130,0), "")</f>
        <v/>
      </c>
      <c r="AD130" s="82" t="str">
        <f>IF(A130&lt;&gt;"", SUMIFS(node!$L$2:$L$1000, node!$C$2:$C$1000,"="&amp;A130), "")</f>
        <v/>
      </c>
      <c r="AE130" s="87" t="str">
        <f>IF(A130&lt;&gt;"", SUMIFS(node!$M$2:$M$1000, node!$C$2:$C$1000,"="&amp;A130), "")</f>
        <v/>
      </c>
    </row>
    <row r="131" spans="1:31" ht="15.75" customHeight="1" x14ac:dyDescent="0.25">
      <c r="A131" s="71" t="str">
        <f>IF(ISNONTEXT(node_raw[[#This Row],[Column2]]), "", node_raw[[#This Row],[Column2]])</f>
        <v/>
      </c>
      <c r="B131" s="108" t="str">
        <f>IF(A131&lt;&gt;"", VLOOKUP(A131, node!$C$2:$D$1000, 2, FALSE), "")</f>
        <v/>
      </c>
      <c r="C131" s="109" t="str">
        <f>IF(A131&lt;&gt;"", VLOOKUP(A131, node!$C$2:$E$1000, 3, FALSE), "")</f>
        <v/>
      </c>
      <c r="D131" s="110" t="str">
        <f>IF(A131&lt;&gt;"",COUNTIFS(node!$C$2:$C$1000,"="&amp;A131, node!$C$2:$C$1000,"&lt;&gt;"&amp;""),"")</f>
        <v/>
      </c>
      <c r="E131" s="111" t="str">
        <f>IF(A131&lt;&gt;"",SUMIFS(node!$F$2:$F$500, node!$C$2:$C$500,"="&amp;A131, node!$C$2:$C$500,"&lt;&gt;"&amp;"")/(B131*D131),"")</f>
        <v/>
      </c>
      <c r="F131" s="112" t="str">
        <f>IF(A131&lt;&gt;"",SUMIFS(node!$H$2:$H$500, node!$C$2:$C$500,"="&amp;A131, node!$C$2:$C$500,"&lt;&gt;"&amp;"")/(C131*D131),"")</f>
        <v/>
      </c>
      <c r="G131" s="179" t="str">
        <f>IF(A131&lt;&gt;"",SUMIFS(deployment!$F$4:$F$502, deployment!$D$4:$D$502,"="&amp;A131, deployment!$D$4:$D$502,"&lt;&gt;"&amp;""),"")</f>
        <v/>
      </c>
      <c r="H131" s="181" t="str">
        <f>IF(A131&lt;&gt;"",SUMIFS(deployment!$G$4:$G$502, deployment!$D$4:$D$502,"="&amp;A131, deployment!$D$4:$D$502,"&lt;&gt;"&amp;""),"")</f>
        <v/>
      </c>
      <c r="I131" s="113" t="str">
        <f>IF(A131&lt;&gt;"",SUMIFS(deployment!$H$4:$H$502, deployment!$D$4:$D$502,"="&amp;A131, deployment!$D$4:$D$502,"&lt;&gt;"&amp;""),"")</f>
        <v/>
      </c>
      <c r="J131" s="114" t="str">
        <f>IF(A131&lt;&gt;"",SUMIFS(deployment!$I$4:$I$502, deployment!$D$4:$D$502,"="&amp;A131, deployment!$D$4:$D$502,"&lt;&gt;"&amp;""),"")</f>
        <v/>
      </c>
      <c r="K131" s="182" t="str">
        <f>IF(A131&lt;&gt;"",SUMIFS(deployment!$J$4:$J$1002, deployment!$D$4:$D$1002,"="&amp;A131, deployment!$D$4:$D$1002,"&lt;&gt;"&amp;"", deployment!$C$4:$C$1002, "&lt;&gt;* )")+SUMIFS(namespace!$G$4:$G$1002, namespace!$B$4:$B$1002,"="&amp;A131, namespace!$B$4:$B$1002,"&lt;&gt;"&amp;""),"")</f>
        <v/>
      </c>
      <c r="L131" s="182" t="str">
        <f>IF(A131&lt;&gt;"",SUMIFS(deployment!$K$4:$K$1002, deployment!$D$4:$D$1002,"="&amp;A131, deployment!$D$4:$D$1002,"&lt;&gt;"&amp;"", deployment!$C$4:$C$1002, "&lt;&gt;* )")+SUMIFS(namespace!$H$4:$H$1002, namespace!$B$4:$B$1002,"="&amp;A131, namespace!$B$4:$B$1002,"&lt;&gt;"&amp;""),"")</f>
        <v/>
      </c>
      <c r="M131" s="115" t="str">
        <f>IF(A131&lt;&gt;"",SUMIFS(deployment!$L$4:$L$1002, deployment!$D$4:$D$1002,"="&amp;A131, deployment!$D$4:$D$1002,"&lt;&gt;"&amp;"", deployment!$C$4:$C$1002, "&lt;&gt;* )")+SUMIFS(namespace!$I$4:$I$1002, namespace!$B$4:$B$1002,"="&amp;A131, namespace!$B$4:$B$1002,"&lt;&gt;"&amp;""),"")</f>
        <v/>
      </c>
      <c r="N131" s="115" t="str">
        <f>IF(A131&lt;&gt;"",SUMIFS(deployment!$M$4:$M$1002, deployment!$D$4:$D$1002,"="&amp;A131, deployment!$D$4:$D$1002,"&lt;&gt;"&amp;"", deployment!$C$4:$C$1002, "&lt;&gt;* )")+SUMIFS(namespace!$J$4:$J$1002, namespace!$B$4:$B$1002,"="&amp;A131, namespace!$B$4:$B$1002,"&lt;&gt;"&amp;""),"")</f>
        <v/>
      </c>
      <c r="O131" s="116" t="str">
        <f t="shared" si="19"/>
        <v/>
      </c>
      <c r="P131" s="63"/>
      <c r="Q131" s="164" t="str">
        <f t="shared" si="14"/>
        <v/>
      </c>
      <c r="R131" s="60" t="str">
        <f t="shared" si="15"/>
        <v/>
      </c>
      <c r="S131" s="60" t="str">
        <f t="shared" si="16"/>
        <v/>
      </c>
      <c r="T131" s="61" t="str">
        <f t="shared" si="17"/>
        <v/>
      </c>
      <c r="U131" s="61" t="str">
        <f t="shared" si="18"/>
        <v/>
      </c>
      <c r="V131" s="183" t="str">
        <f t="shared" si="20"/>
        <v/>
      </c>
      <c r="W131" s="183" t="str">
        <f t="shared" si="21"/>
        <v/>
      </c>
      <c r="X131" s="61" t="str">
        <f t="shared" si="22"/>
        <v/>
      </c>
      <c r="Y131" s="61" t="str">
        <f t="shared" si="23"/>
        <v/>
      </c>
      <c r="Z131" s="118" t="str">
        <f t="shared" si="24"/>
        <v/>
      </c>
      <c r="AA131" s="62" t="str">
        <f t="shared" si="25"/>
        <v/>
      </c>
      <c r="AB131" s="119" t="str">
        <f>IF(A131&lt;&gt;"", IF(P131&lt;&gt;0,SUMIFS(node!$J$2:$J$1000, node!$C$2:$C$1000,"="&amp;A131)/P131,0), "")</f>
        <v/>
      </c>
      <c r="AC131" s="81" t="str">
        <f>IF(A131&lt;&gt;"", IF(P131&lt;&gt;0,SUMIFS(node!$K$2:$K$1000, node!$C$2:$C$1000,"="&amp;A131)/P131,0), "")</f>
        <v/>
      </c>
      <c r="AD131" s="82" t="str">
        <f>IF(A131&lt;&gt;"", SUMIFS(node!$L$2:$L$1000, node!$C$2:$C$1000,"="&amp;A131), "")</f>
        <v/>
      </c>
      <c r="AE131" s="87" t="str">
        <f>IF(A131&lt;&gt;"", SUMIFS(node!$M$2:$M$1000, node!$C$2:$C$1000,"="&amp;A131), "")</f>
        <v/>
      </c>
    </row>
    <row r="132" spans="1:31" ht="15.75" customHeight="1" x14ac:dyDescent="0.25">
      <c r="A132" s="71" t="str">
        <f>IF(ISNONTEXT(node_raw[[#This Row],[Column2]]), "", node_raw[[#This Row],[Column2]])</f>
        <v/>
      </c>
      <c r="B132" s="108" t="str">
        <f>IF(A132&lt;&gt;"", VLOOKUP(A132, node!$C$2:$D$1000, 2, FALSE), "")</f>
        <v/>
      </c>
      <c r="C132" s="109" t="str">
        <f>IF(A132&lt;&gt;"", VLOOKUP(A132, node!$C$2:$E$1000, 3, FALSE), "")</f>
        <v/>
      </c>
      <c r="D132" s="110" t="str">
        <f>IF(A132&lt;&gt;"",COUNTIFS(node!$C$2:$C$1000,"="&amp;A132, node!$C$2:$C$1000,"&lt;&gt;"&amp;""),"")</f>
        <v/>
      </c>
      <c r="E132" s="111" t="str">
        <f>IF(A132&lt;&gt;"",SUMIFS(node!$F$2:$F$500, node!$C$2:$C$500,"="&amp;A132, node!$C$2:$C$500,"&lt;&gt;"&amp;"")/(B132*D132),"")</f>
        <v/>
      </c>
      <c r="F132" s="112" t="str">
        <f>IF(A132&lt;&gt;"",SUMIFS(node!$H$2:$H$500, node!$C$2:$C$500,"="&amp;A132, node!$C$2:$C$500,"&lt;&gt;"&amp;"")/(C132*D132),"")</f>
        <v/>
      </c>
      <c r="G132" s="179" t="str">
        <f>IF(A132&lt;&gt;"",SUMIFS(deployment!$F$4:$F$502, deployment!$D$4:$D$502,"="&amp;A132, deployment!$D$4:$D$502,"&lt;&gt;"&amp;""),"")</f>
        <v/>
      </c>
      <c r="H132" s="181" t="str">
        <f>IF(A132&lt;&gt;"",SUMIFS(deployment!$G$4:$G$502, deployment!$D$4:$D$502,"="&amp;A132, deployment!$D$4:$D$502,"&lt;&gt;"&amp;""),"")</f>
        <v/>
      </c>
      <c r="I132" s="113" t="str">
        <f>IF(A132&lt;&gt;"",SUMIFS(deployment!$H$4:$H$502, deployment!$D$4:$D$502,"="&amp;A132, deployment!$D$4:$D$502,"&lt;&gt;"&amp;""),"")</f>
        <v/>
      </c>
      <c r="J132" s="114" t="str">
        <f>IF(A132&lt;&gt;"",SUMIFS(deployment!$I$4:$I$502, deployment!$D$4:$D$502,"="&amp;A132, deployment!$D$4:$D$502,"&lt;&gt;"&amp;""),"")</f>
        <v/>
      </c>
      <c r="K132" s="182" t="str">
        <f>IF(A132&lt;&gt;"",SUMIFS(deployment!$J$4:$J$1002, deployment!$D$4:$D$1002,"="&amp;A132, deployment!$D$4:$D$1002,"&lt;&gt;"&amp;"", deployment!$C$4:$C$1002, "&lt;&gt;* )")+SUMIFS(namespace!$G$4:$G$1002, namespace!$B$4:$B$1002,"="&amp;A132, namespace!$B$4:$B$1002,"&lt;&gt;"&amp;""),"")</f>
        <v/>
      </c>
      <c r="L132" s="182" t="str">
        <f>IF(A132&lt;&gt;"",SUMIFS(deployment!$K$4:$K$1002, deployment!$D$4:$D$1002,"="&amp;A132, deployment!$D$4:$D$1002,"&lt;&gt;"&amp;"", deployment!$C$4:$C$1002, "&lt;&gt;* )")+SUMIFS(namespace!$H$4:$H$1002, namespace!$B$4:$B$1002,"="&amp;A132, namespace!$B$4:$B$1002,"&lt;&gt;"&amp;""),"")</f>
        <v/>
      </c>
      <c r="M132" s="115" t="str">
        <f>IF(A132&lt;&gt;"",SUMIFS(deployment!$L$4:$L$1002, deployment!$D$4:$D$1002,"="&amp;A132, deployment!$D$4:$D$1002,"&lt;&gt;"&amp;"", deployment!$C$4:$C$1002, "&lt;&gt;* )")+SUMIFS(namespace!$I$4:$I$1002, namespace!$B$4:$B$1002,"="&amp;A132, namespace!$B$4:$B$1002,"&lt;&gt;"&amp;""),"")</f>
        <v/>
      </c>
      <c r="N132" s="115" t="str">
        <f>IF(A132&lt;&gt;"",SUMIFS(deployment!$M$4:$M$1002, deployment!$D$4:$D$1002,"="&amp;A132, deployment!$D$4:$D$1002,"&lt;&gt;"&amp;"", deployment!$C$4:$C$1002, "&lt;&gt;* )")+SUMIFS(namespace!$J$4:$J$1002, namespace!$B$4:$B$1002,"="&amp;A132, namespace!$B$4:$B$1002,"&lt;&gt;"&amp;""),"")</f>
        <v/>
      </c>
      <c r="O132" s="116" t="str">
        <f t="shared" si="19"/>
        <v/>
      </c>
      <c r="P132" s="63"/>
      <c r="Q132" s="164" t="str">
        <f t="shared" ref="Q132:Q195" si="26">IF(A132&lt;&gt;"",(D132-P132)/D132,"")</f>
        <v/>
      </c>
      <c r="R132" s="60" t="str">
        <f t="shared" ref="R132:R195" si="27">IF(A132&lt;&gt;"",G132/(P132*B132),"")</f>
        <v/>
      </c>
      <c r="S132" s="60" t="str">
        <f t="shared" ref="S132:S195" si="28">IF(A132&lt;&gt;"",H132/(P132*C132),"")</f>
        <v/>
      </c>
      <c r="T132" s="61" t="str">
        <f t="shared" ref="T132:T195" si="29">IF(A132&lt;&gt;"",I132/(P132*B132),"")</f>
        <v/>
      </c>
      <c r="U132" s="61" t="str">
        <f t="shared" ref="U132:U195" si="30">IF(A132&lt;&gt;"",J132/(P132*C132),"")</f>
        <v/>
      </c>
      <c r="V132" s="183" t="str">
        <f t="shared" si="20"/>
        <v/>
      </c>
      <c r="W132" s="183" t="str">
        <f t="shared" si="21"/>
        <v/>
      </c>
      <c r="X132" s="61" t="str">
        <f t="shared" si="22"/>
        <v/>
      </c>
      <c r="Y132" s="61" t="str">
        <f t="shared" si="23"/>
        <v/>
      </c>
      <c r="Z132" s="118" t="str">
        <f t="shared" si="24"/>
        <v/>
      </c>
      <c r="AA132" s="62" t="str">
        <f t="shared" si="25"/>
        <v/>
      </c>
      <c r="AB132" s="119" t="str">
        <f>IF(A132&lt;&gt;"", IF(P132&lt;&gt;0,SUMIFS(node!$J$2:$J$1000, node!$C$2:$C$1000,"="&amp;A132)/P132,0), "")</f>
        <v/>
      </c>
      <c r="AC132" s="81" t="str">
        <f>IF(A132&lt;&gt;"", IF(P132&lt;&gt;0,SUMIFS(node!$K$2:$K$1000, node!$C$2:$C$1000,"="&amp;A132)/P132,0), "")</f>
        <v/>
      </c>
      <c r="AD132" s="82" t="str">
        <f>IF(A132&lt;&gt;"", SUMIFS(node!$L$2:$L$1000, node!$C$2:$C$1000,"="&amp;A132), "")</f>
        <v/>
      </c>
      <c r="AE132" s="87" t="str">
        <f>IF(A132&lt;&gt;"", SUMIFS(node!$M$2:$M$1000, node!$C$2:$C$1000,"="&amp;A132), "")</f>
        <v/>
      </c>
    </row>
    <row r="133" spans="1:31" ht="15.75" customHeight="1" x14ac:dyDescent="0.25">
      <c r="A133" s="71" t="str">
        <f>IF(ISNONTEXT(node_raw[[#This Row],[Column2]]), "", node_raw[[#This Row],[Column2]])</f>
        <v/>
      </c>
      <c r="B133" s="108" t="str">
        <f>IF(A133&lt;&gt;"", VLOOKUP(A133, node!$C$2:$D$1000, 2, FALSE), "")</f>
        <v/>
      </c>
      <c r="C133" s="109" t="str">
        <f>IF(A133&lt;&gt;"", VLOOKUP(A133, node!$C$2:$E$1000, 3, FALSE), "")</f>
        <v/>
      </c>
      <c r="D133" s="110" t="str">
        <f>IF(A133&lt;&gt;"",COUNTIFS(node!$C$2:$C$1000,"="&amp;A133, node!$C$2:$C$1000,"&lt;&gt;"&amp;""),"")</f>
        <v/>
      </c>
      <c r="E133" s="111" t="str">
        <f>IF(A133&lt;&gt;"",SUMIFS(node!$F$2:$F$500, node!$C$2:$C$500,"="&amp;A133, node!$C$2:$C$500,"&lt;&gt;"&amp;"")/(B133*D133),"")</f>
        <v/>
      </c>
      <c r="F133" s="112" t="str">
        <f>IF(A133&lt;&gt;"",SUMIFS(node!$H$2:$H$500, node!$C$2:$C$500,"="&amp;A133, node!$C$2:$C$500,"&lt;&gt;"&amp;"")/(C133*D133),"")</f>
        <v/>
      </c>
      <c r="G133" s="179" t="str">
        <f>IF(A133&lt;&gt;"",SUMIFS(deployment!$F$4:$F$502, deployment!$D$4:$D$502,"="&amp;A133, deployment!$D$4:$D$502,"&lt;&gt;"&amp;""),"")</f>
        <v/>
      </c>
      <c r="H133" s="181" t="str">
        <f>IF(A133&lt;&gt;"",SUMIFS(deployment!$G$4:$G$502, deployment!$D$4:$D$502,"="&amp;A133, deployment!$D$4:$D$502,"&lt;&gt;"&amp;""),"")</f>
        <v/>
      </c>
      <c r="I133" s="113" t="str">
        <f>IF(A133&lt;&gt;"",SUMIFS(deployment!$H$4:$H$502, deployment!$D$4:$D$502,"="&amp;A133, deployment!$D$4:$D$502,"&lt;&gt;"&amp;""),"")</f>
        <v/>
      </c>
      <c r="J133" s="114" t="str">
        <f>IF(A133&lt;&gt;"",SUMIFS(deployment!$I$4:$I$502, deployment!$D$4:$D$502,"="&amp;A133, deployment!$D$4:$D$502,"&lt;&gt;"&amp;""),"")</f>
        <v/>
      </c>
      <c r="K133" s="182" t="str">
        <f>IF(A133&lt;&gt;"",SUMIFS(deployment!$J$4:$J$1002, deployment!$D$4:$D$1002,"="&amp;A133, deployment!$D$4:$D$1002,"&lt;&gt;"&amp;"", deployment!$C$4:$C$1002, "&lt;&gt;* )")+SUMIFS(namespace!$G$4:$G$1002, namespace!$B$4:$B$1002,"="&amp;A133, namespace!$B$4:$B$1002,"&lt;&gt;"&amp;""),"")</f>
        <v/>
      </c>
      <c r="L133" s="182" t="str">
        <f>IF(A133&lt;&gt;"",SUMIFS(deployment!$K$4:$K$1002, deployment!$D$4:$D$1002,"="&amp;A133, deployment!$D$4:$D$1002,"&lt;&gt;"&amp;"", deployment!$C$4:$C$1002, "&lt;&gt;* )")+SUMIFS(namespace!$H$4:$H$1002, namespace!$B$4:$B$1002,"="&amp;A133, namespace!$B$4:$B$1002,"&lt;&gt;"&amp;""),"")</f>
        <v/>
      </c>
      <c r="M133" s="115" t="str">
        <f>IF(A133&lt;&gt;"",SUMIFS(deployment!$L$4:$L$1002, deployment!$D$4:$D$1002,"="&amp;A133, deployment!$D$4:$D$1002,"&lt;&gt;"&amp;"", deployment!$C$4:$C$1002, "&lt;&gt;* )")+SUMIFS(namespace!$I$4:$I$1002, namespace!$B$4:$B$1002,"="&amp;A133, namespace!$B$4:$B$1002,"&lt;&gt;"&amp;""),"")</f>
        <v/>
      </c>
      <c r="N133" s="115" t="str">
        <f>IF(A133&lt;&gt;"",SUMIFS(deployment!$M$4:$M$1002, deployment!$D$4:$D$1002,"="&amp;A133, deployment!$D$4:$D$1002,"&lt;&gt;"&amp;"", deployment!$C$4:$C$1002, "&lt;&gt;* )")+SUMIFS(namespace!$J$4:$J$1002, namespace!$B$4:$B$1002,"="&amp;A133, namespace!$B$4:$B$1002,"&lt;&gt;"&amp;""),"")</f>
        <v/>
      </c>
      <c r="O133" s="116" t="str">
        <f t="shared" ref="O133:O196" si="31">IF(A133&lt;&gt;"",MAX(ROUNDUP(K133/(B133*$B$2), 0), ROUNDUP(L133/(C133*$C$2), 0), ROUNDUP(M133/(B133*$B$2), 0), ROUNDUP(N133/(C133*$C$2), 0), 1),"")</f>
        <v/>
      </c>
      <c r="P133" s="63"/>
      <c r="Q133" s="164" t="str">
        <f t="shared" si="26"/>
        <v/>
      </c>
      <c r="R133" s="60" t="str">
        <f t="shared" si="27"/>
        <v/>
      </c>
      <c r="S133" s="60" t="str">
        <f t="shared" si="28"/>
        <v/>
      </c>
      <c r="T133" s="61" t="str">
        <f t="shared" si="29"/>
        <v/>
      </c>
      <c r="U133" s="61" t="str">
        <f t="shared" si="30"/>
        <v/>
      </c>
      <c r="V133" s="183" t="str">
        <f t="shared" ref="V133:V196" si="32">IF(A133&lt;&gt;"",IF(P133&lt;&gt;0,K133/(P133*B133),0),"")</f>
        <v/>
      </c>
      <c r="W133" s="183" t="str">
        <f t="shared" ref="W133:W196" si="33">IF(A133&lt;&gt;"",IF(P133&lt;&gt;0,L133/(P133*C133),0),"")</f>
        <v/>
      </c>
      <c r="X133" s="61" t="str">
        <f t="shared" ref="X133:X196" si="34">IF(A133&lt;&gt;"",IF(P133&lt;&gt;0,M133/(P133*B133),0),"")</f>
        <v/>
      </c>
      <c r="Y133" s="61" t="str">
        <f t="shared" ref="Y133:Y196" si="35">IF(A133&lt;&gt;"",IF(P133&lt;&gt;0,N133/(P133*C133),0),"")</f>
        <v/>
      </c>
      <c r="Z133" s="118" t="str">
        <f t="shared" ref="Z133:Z196" si="36">IF(A133&lt;&gt;"",(D133*E133)/P133,"")</f>
        <v/>
      </c>
      <c r="AA133" s="62" t="str">
        <f t="shared" ref="AA133:AA196" si="37">IF(A133&lt;&gt;"",(D133*F133)/P133,"")</f>
        <v/>
      </c>
      <c r="AB133" s="119" t="str">
        <f>IF(A133&lt;&gt;"", IF(P133&lt;&gt;0,SUMIFS(node!$J$2:$J$1000, node!$C$2:$C$1000,"="&amp;A133)/P133,0), "")</f>
        <v/>
      </c>
      <c r="AC133" s="81" t="str">
        <f>IF(A133&lt;&gt;"", IF(P133&lt;&gt;0,SUMIFS(node!$K$2:$K$1000, node!$C$2:$C$1000,"="&amp;A133)/P133,0), "")</f>
        <v/>
      </c>
      <c r="AD133" s="82" t="str">
        <f>IF(A133&lt;&gt;"", SUMIFS(node!$L$2:$L$1000, node!$C$2:$C$1000,"="&amp;A133), "")</f>
        <v/>
      </c>
      <c r="AE133" s="87" t="str">
        <f>IF(A133&lt;&gt;"", SUMIFS(node!$M$2:$M$1000, node!$C$2:$C$1000,"="&amp;A133), "")</f>
        <v/>
      </c>
    </row>
    <row r="134" spans="1:31" ht="15.75" customHeight="1" x14ac:dyDescent="0.25">
      <c r="A134" s="71" t="str">
        <f>IF(ISNONTEXT(node_raw[[#This Row],[Column2]]), "", node_raw[[#This Row],[Column2]])</f>
        <v/>
      </c>
      <c r="B134" s="108" t="str">
        <f>IF(A134&lt;&gt;"", VLOOKUP(A134, node!$C$2:$D$1000, 2, FALSE), "")</f>
        <v/>
      </c>
      <c r="C134" s="109" t="str">
        <f>IF(A134&lt;&gt;"", VLOOKUP(A134, node!$C$2:$E$1000, 3, FALSE), "")</f>
        <v/>
      </c>
      <c r="D134" s="110" t="str">
        <f>IF(A134&lt;&gt;"",COUNTIFS(node!$C$2:$C$1000,"="&amp;A134, node!$C$2:$C$1000,"&lt;&gt;"&amp;""),"")</f>
        <v/>
      </c>
      <c r="E134" s="111" t="str">
        <f>IF(A134&lt;&gt;"",SUMIFS(node!$F$2:$F$500, node!$C$2:$C$500,"="&amp;A134, node!$C$2:$C$500,"&lt;&gt;"&amp;"")/(B134*D134),"")</f>
        <v/>
      </c>
      <c r="F134" s="112" t="str">
        <f>IF(A134&lt;&gt;"",SUMIFS(node!$H$2:$H$500, node!$C$2:$C$500,"="&amp;A134, node!$C$2:$C$500,"&lt;&gt;"&amp;"")/(C134*D134),"")</f>
        <v/>
      </c>
      <c r="G134" s="179" t="str">
        <f>IF(A134&lt;&gt;"",SUMIFS(deployment!$F$4:$F$502, deployment!$D$4:$D$502,"="&amp;A134, deployment!$D$4:$D$502,"&lt;&gt;"&amp;""),"")</f>
        <v/>
      </c>
      <c r="H134" s="181" t="str">
        <f>IF(A134&lt;&gt;"",SUMIFS(deployment!$G$4:$G$502, deployment!$D$4:$D$502,"="&amp;A134, deployment!$D$4:$D$502,"&lt;&gt;"&amp;""),"")</f>
        <v/>
      </c>
      <c r="I134" s="113" t="str">
        <f>IF(A134&lt;&gt;"",SUMIFS(deployment!$H$4:$H$502, deployment!$D$4:$D$502,"="&amp;A134, deployment!$D$4:$D$502,"&lt;&gt;"&amp;""),"")</f>
        <v/>
      </c>
      <c r="J134" s="114" t="str">
        <f>IF(A134&lt;&gt;"",SUMIFS(deployment!$I$4:$I$502, deployment!$D$4:$D$502,"="&amp;A134, deployment!$D$4:$D$502,"&lt;&gt;"&amp;""),"")</f>
        <v/>
      </c>
      <c r="K134" s="182" t="str">
        <f>IF(A134&lt;&gt;"",SUMIFS(deployment!$J$4:$J$1002, deployment!$D$4:$D$1002,"="&amp;A134, deployment!$D$4:$D$1002,"&lt;&gt;"&amp;"", deployment!$C$4:$C$1002, "&lt;&gt;* )")+SUMIFS(namespace!$G$4:$G$1002, namespace!$B$4:$B$1002,"="&amp;A134, namespace!$B$4:$B$1002,"&lt;&gt;"&amp;""),"")</f>
        <v/>
      </c>
      <c r="L134" s="182" t="str">
        <f>IF(A134&lt;&gt;"",SUMIFS(deployment!$K$4:$K$1002, deployment!$D$4:$D$1002,"="&amp;A134, deployment!$D$4:$D$1002,"&lt;&gt;"&amp;"", deployment!$C$4:$C$1002, "&lt;&gt;* )")+SUMIFS(namespace!$H$4:$H$1002, namespace!$B$4:$B$1002,"="&amp;A134, namespace!$B$4:$B$1002,"&lt;&gt;"&amp;""),"")</f>
        <v/>
      </c>
      <c r="M134" s="115" t="str">
        <f>IF(A134&lt;&gt;"",SUMIFS(deployment!$L$4:$L$1002, deployment!$D$4:$D$1002,"="&amp;A134, deployment!$D$4:$D$1002,"&lt;&gt;"&amp;"", deployment!$C$4:$C$1002, "&lt;&gt;* )")+SUMIFS(namespace!$I$4:$I$1002, namespace!$B$4:$B$1002,"="&amp;A134, namespace!$B$4:$B$1002,"&lt;&gt;"&amp;""),"")</f>
        <v/>
      </c>
      <c r="N134" s="115" t="str">
        <f>IF(A134&lt;&gt;"",SUMIFS(deployment!$M$4:$M$1002, deployment!$D$4:$D$1002,"="&amp;A134, deployment!$D$4:$D$1002,"&lt;&gt;"&amp;"", deployment!$C$4:$C$1002, "&lt;&gt;* )")+SUMIFS(namespace!$J$4:$J$1002, namespace!$B$4:$B$1002,"="&amp;A134, namespace!$B$4:$B$1002,"&lt;&gt;"&amp;""),"")</f>
        <v/>
      </c>
      <c r="O134" s="116" t="str">
        <f t="shared" si="31"/>
        <v/>
      </c>
      <c r="P134" s="63"/>
      <c r="Q134" s="164" t="str">
        <f t="shared" si="26"/>
        <v/>
      </c>
      <c r="R134" s="60" t="str">
        <f t="shared" si="27"/>
        <v/>
      </c>
      <c r="S134" s="60" t="str">
        <f t="shared" si="28"/>
        <v/>
      </c>
      <c r="T134" s="61" t="str">
        <f t="shared" si="29"/>
        <v/>
      </c>
      <c r="U134" s="61" t="str">
        <f t="shared" si="30"/>
        <v/>
      </c>
      <c r="V134" s="183" t="str">
        <f t="shared" si="32"/>
        <v/>
      </c>
      <c r="W134" s="183" t="str">
        <f t="shared" si="33"/>
        <v/>
      </c>
      <c r="X134" s="61" t="str">
        <f t="shared" si="34"/>
        <v/>
      </c>
      <c r="Y134" s="61" t="str">
        <f t="shared" si="35"/>
        <v/>
      </c>
      <c r="Z134" s="118" t="str">
        <f t="shared" si="36"/>
        <v/>
      </c>
      <c r="AA134" s="62" t="str">
        <f t="shared" si="37"/>
        <v/>
      </c>
      <c r="AB134" s="119" t="str">
        <f>IF(A134&lt;&gt;"", IF(P134&lt;&gt;0,SUMIFS(node!$J$2:$J$1000, node!$C$2:$C$1000,"="&amp;A134)/P134,0), "")</f>
        <v/>
      </c>
      <c r="AC134" s="81" t="str">
        <f>IF(A134&lt;&gt;"", IF(P134&lt;&gt;0,SUMIFS(node!$K$2:$K$1000, node!$C$2:$C$1000,"="&amp;A134)/P134,0), "")</f>
        <v/>
      </c>
      <c r="AD134" s="82" t="str">
        <f>IF(A134&lt;&gt;"", SUMIFS(node!$L$2:$L$1000, node!$C$2:$C$1000,"="&amp;A134), "")</f>
        <v/>
      </c>
      <c r="AE134" s="87" t="str">
        <f>IF(A134&lt;&gt;"", SUMIFS(node!$M$2:$M$1000, node!$C$2:$C$1000,"="&amp;A134), "")</f>
        <v/>
      </c>
    </row>
    <row r="135" spans="1:31" ht="15.75" customHeight="1" x14ac:dyDescent="0.25">
      <c r="A135" s="71" t="str">
        <f>IF(ISNONTEXT(node_raw[[#This Row],[Column2]]), "", node_raw[[#This Row],[Column2]])</f>
        <v/>
      </c>
      <c r="B135" s="108" t="str">
        <f>IF(A135&lt;&gt;"", VLOOKUP(A135, node!$C$2:$D$1000, 2, FALSE), "")</f>
        <v/>
      </c>
      <c r="C135" s="109" t="str">
        <f>IF(A135&lt;&gt;"", VLOOKUP(A135, node!$C$2:$E$1000, 3, FALSE), "")</f>
        <v/>
      </c>
      <c r="D135" s="110" t="str">
        <f>IF(A135&lt;&gt;"",COUNTIFS(node!$C$2:$C$1000,"="&amp;A135, node!$C$2:$C$1000,"&lt;&gt;"&amp;""),"")</f>
        <v/>
      </c>
      <c r="E135" s="111" t="str">
        <f>IF(A135&lt;&gt;"",SUMIFS(node!$F$2:$F$500, node!$C$2:$C$500,"="&amp;A135, node!$C$2:$C$500,"&lt;&gt;"&amp;"")/(B135*D135),"")</f>
        <v/>
      </c>
      <c r="F135" s="112" t="str">
        <f>IF(A135&lt;&gt;"",SUMIFS(node!$H$2:$H$500, node!$C$2:$C$500,"="&amp;A135, node!$C$2:$C$500,"&lt;&gt;"&amp;"")/(C135*D135),"")</f>
        <v/>
      </c>
      <c r="G135" s="179" t="str">
        <f>IF(A135&lt;&gt;"",SUMIFS(deployment!$F$4:$F$502, deployment!$D$4:$D$502,"="&amp;A135, deployment!$D$4:$D$502,"&lt;&gt;"&amp;""),"")</f>
        <v/>
      </c>
      <c r="H135" s="181" t="str">
        <f>IF(A135&lt;&gt;"",SUMIFS(deployment!$G$4:$G$502, deployment!$D$4:$D$502,"="&amp;A135, deployment!$D$4:$D$502,"&lt;&gt;"&amp;""),"")</f>
        <v/>
      </c>
      <c r="I135" s="113" t="str">
        <f>IF(A135&lt;&gt;"",SUMIFS(deployment!$H$4:$H$502, deployment!$D$4:$D$502,"="&amp;A135, deployment!$D$4:$D$502,"&lt;&gt;"&amp;""),"")</f>
        <v/>
      </c>
      <c r="J135" s="114" t="str">
        <f>IF(A135&lt;&gt;"",SUMIFS(deployment!$I$4:$I$502, deployment!$D$4:$D$502,"="&amp;A135, deployment!$D$4:$D$502,"&lt;&gt;"&amp;""),"")</f>
        <v/>
      </c>
      <c r="K135" s="182" t="str">
        <f>IF(A135&lt;&gt;"",SUMIFS(deployment!$J$4:$J$1002, deployment!$D$4:$D$1002,"="&amp;A135, deployment!$D$4:$D$1002,"&lt;&gt;"&amp;"", deployment!$C$4:$C$1002, "&lt;&gt;* )")+SUMIFS(namespace!$G$4:$G$1002, namespace!$B$4:$B$1002,"="&amp;A135, namespace!$B$4:$B$1002,"&lt;&gt;"&amp;""),"")</f>
        <v/>
      </c>
      <c r="L135" s="182" t="str">
        <f>IF(A135&lt;&gt;"",SUMIFS(deployment!$K$4:$K$1002, deployment!$D$4:$D$1002,"="&amp;A135, deployment!$D$4:$D$1002,"&lt;&gt;"&amp;"", deployment!$C$4:$C$1002, "&lt;&gt;* )")+SUMIFS(namespace!$H$4:$H$1002, namespace!$B$4:$B$1002,"="&amp;A135, namespace!$B$4:$B$1002,"&lt;&gt;"&amp;""),"")</f>
        <v/>
      </c>
      <c r="M135" s="115" t="str">
        <f>IF(A135&lt;&gt;"",SUMIFS(deployment!$L$4:$L$1002, deployment!$D$4:$D$1002,"="&amp;A135, deployment!$D$4:$D$1002,"&lt;&gt;"&amp;"", deployment!$C$4:$C$1002, "&lt;&gt;* )")+SUMIFS(namespace!$I$4:$I$1002, namespace!$B$4:$B$1002,"="&amp;A135, namespace!$B$4:$B$1002,"&lt;&gt;"&amp;""),"")</f>
        <v/>
      </c>
      <c r="N135" s="115" t="str">
        <f>IF(A135&lt;&gt;"",SUMIFS(deployment!$M$4:$M$1002, deployment!$D$4:$D$1002,"="&amp;A135, deployment!$D$4:$D$1002,"&lt;&gt;"&amp;"", deployment!$C$4:$C$1002, "&lt;&gt;* )")+SUMIFS(namespace!$J$4:$J$1002, namespace!$B$4:$B$1002,"="&amp;A135, namespace!$B$4:$B$1002,"&lt;&gt;"&amp;""),"")</f>
        <v/>
      </c>
      <c r="O135" s="116" t="str">
        <f t="shared" si="31"/>
        <v/>
      </c>
      <c r="P135" s="63"/>
      <c r="Q135" s="164" t="str">
        <f t="shared" si="26"/>
        <v/>
      </c>
      <c r="R135" s="60" t="str">
        <f t="shared" si="27"/>
        <v/>
      </c>
      <c r="S135" s="60" t="str">
        <f t="shared" si="28"/>
        <v/>
      </c>
      <c r="T135" s="61" t="str">
        <f t="shared" si="29"/>
        <v/>
      </c>
      <c r="U135" s="61" t="str">
        <f t="shared" si="30"/>
        <v/>
      </c>
      <c r="V135" s="183" t="str">
        <f t="shared" si="32"/>
        <v/>
      </c>
      <c r="W135" s="183" t="str">
        <f t="shared" si="33"/>
        <v/>
      </c>
      <c r="X135" s="61" t="str">
        <f t="shared" si="34"/>
        <v/>
      </c>
      <c r="Y135" s="61" t="str">
        <f t="shared" si="35"/>
        <v/>
      </c>
      <c r="Z135" s="118" t="str">
        <f t="shared" si="36"/>
        <v/>
      </c>
      <c r="AA135" s="62" t="str">
        <f t="shared" si="37"/>
        <v/>
      </c>
      <c r="AB135" s="119" t="str">
        <f>IF(A135&lt;&gt;"", IF(P135&lt;&gt;0,SUMIFS(node!$J$2:$J$1000, node!$C$2:$C$1000,"="&amp;A135)/P135,0), "")</f>
        <v/>
      </c>
      <c r="AC135" s="81" t="str">
        <f>IF(A135&lt;&gt;"", IF(P135&lt;&gt;0,SUMIFS(node!$K$2:$K$1000, node!$C$2:$C$1000,"="&amp;A135)/P135,0), "")</f>
        <v/>
      </c>
      <c r="AD135" s="82" t="str">
        <f>IF(A135&lt;&gt;"", SUMIFS(node!$L$2:$L$1000, node!$C$2:$C$1000,"="&amp;A135), "")</f>
        <v/>
      </c>
      <c r="AE135" s="87" t="str">
        <f>IF(A135&lt;&gt;"", SUMIFS(node!$M$2:$M$1000, node!$C$2:$C$1000,"="&amp;A135), "")</f>
        <v/>
      </c>
    </row>
    <row r="136" spans="1:31" ht="15.75" customHeight="1" x14ac:dyDescent="0.25">
      <c r="A136" s="71" t="str">
        <f>IF(ISNONTEXT(node_raw[[#This Row],[Column2]]), "", node_raw[[#This Row],[Column2]])</f>
        <v/>
      </c>
      <c r="B136" s="108" t="str">
        <f>IF(A136&lt;&gt;"", VLOOKUP(A136, node!$C$2:$D$1000, 2, FALSE), "")</f>
        <v/>
      </c>
      <c r="C136" s="109" t="str">
        <f>IF(A136&lt;&gt;"", VLOOKUP(A136, node!$C$2:$E$1000, 3, FALSE), "")</f>
        <v/>
      </c>
      <c r="D136" s="110" t="str">
        <f>IF(A136&lt;&gt;"",COUNTIFS(node!$C$2:$C$1000,"="&amp;A136, node!$C$2:$C$1000,"&lt;&gt;"&amp;""),"")</f>
        <v/>
      </c>
      <c r="E136" s="111" t="str">
        <f>IF(A136&lt;&gt;"",SUMIFS(node!$F$2:$F$500, node!$C$2:$C$500,"="&amp;A136, node!$C$2:$C$500,"&lt;&gt;"&amp;"")/(B136*D136),"")</f>
        <v/>
      </c>
      <c r="F136" s="112" t="str">
        <f>IF(A136&lt;&gt;"",SUMIFS(node!$H$2:$H$500, node!$C$2:$C$500,"="&amp;A136, node!$C$2:$C$500,"&lt;&gt;"&amp;"")/(C136*D136),"")</f>
        <v/>
      </c>
      <c r="G136" s="179" t="str">
        <f>IF(A136&lt;&gt;"",SUMIFS(deployment!$F$4:$F$502, deployment!$D$4:$D$502,"="&amp;A136, deployment!$D$4:$D$502,"&lt;&gt;"&amp;""),"")</f>
        <v/>
      </c>
      <c r="H136" s="181" t="str">
        <f>IF(A136&lt;&gt;"",SUMIFS(deployment!$G$4:$G$502, deployment!$D$4:$D$502,"="&amp;A136, deployment!$D$4:$D$502,"&lt;&gt;"&amp;""),"")</f>
        <v/>
      </c>
      <c r="I136" s="113" t="str">
        <f>IF(A136&lt;&gt;"",SUMIFS(deployment!$H$4:$H$502, deployment!$D$4:$D$502,"="&amp;A136, deployment!$D$4:$D$502,"&lt;&gt;"&amp;""),"")</f>
        <v/>
      </c>
      <c r="J136" s="114" t="str">
        <f>IF(A136&lt;&gt;"",SUMIFS(deployment!$I$4:$I$502, deployment!$D$4:$D$502,"="&amp;A136, deployment!$D$4:$D$502,"&lt;&gt;"&amp;""),"")</f>
        <v/>
      </c>
      <c r="K136" s="182" t="str">
        <f>IF(A136&lt;&gt;"",SUMIFS(deployment!$J$4:$J$1002, deployment!$D$4:$D$1002,"="&amp;A136, deployment!$D$4:$D$1002,"&lt;&gt;"&amp;"", deployment!$C$4:$C$1002, "&lt;&gt;* )")+SUMIFS(namespace!$G$4:$G$1002, namespace!$B$4:$B$1002,"="&amp;A136, namespace!$B$4:$B$1002,"&lt;&gt;"&amp;""),"")</f>
        <v/>
      </c>
      <c r="L136" s="182" t="str">
        <f>IF(A136&lt;&gt;"",SUMIFS(deployment!$K$4:$K$1002, deployment!$D$4:$D$1002,"="&amp;A136, deployment!$D$4:$D$1002,"&lt;&gt;"&amp;"", deployment!$C$4:$C$1002, "&lt;&gt;* )")+SUMIFS(namespace!$H$4:$H$1002, namespace!$B$4:$B$1002,"="&amp;A136, namespace!$B$4:$B$1002,"&lt;&gt;"&amp;""),"")</f>
        <v/>
      </c>
      <c r="M136" s="115" t="str">
        <f>IF(A136&lt;&gt;"",SUMIFS(deployment!$L$4:$L$1002, deployment!$D$4:$D$1002,"="&amp;A136, deployment!$D$4:$D$1002,"&lt;&gt;"&amp;"", deployment!$C$4:$C$1002, "&lt;&gt;* )")+SUMIFS(namespace!$I$4:$I$1002, namespace!$B$4:$B$1002,"="&amp;A136, namespace!$B$4:$B$1002,"&lt;&gt;"&amp;""),"")</f>
        <v/>
      </c>
      <c r="N136" s="115" t="str">
        <f>IF(A136&lt;&gt;"",SUMIFS(deployment!$M$4:$M$1002, deployment!$D$4:$D$1002,"="&amp;A136, deployment!$D$4:$D$1002,"&lt;&gt;"&amp;"", deployment!$C$4:$C$1002, "&lt;&gt;* )")+SUMIFS(namespace!$J$4:$J$1002, namespace!$B$4:$B$1002,"="&amp;A136, namespace!$B$4:$B$1002,"&lt;&gt;"&amp;""),"")</f>
        <v/>
      </c>
      <c r="O136" s="116" t="str">
        <f t="shared" si="31"/>
        <v/>
      </c>
      <c r="P136" s="63"/>
      <c r="Q136" s="164" t="str">
        <f t="shared" si="26"/>
        <v/>
      </c>
      <c r="R136" s="60" t="str">
        <f t="shared" si="27"/>
        <v/>
      </c>
      <c r="S136" s="60" t="str">
        <f t="shared" si="28"/>
        <v/>
      </c>
      <c r="T136" s="61" t="str">
        <f t="shared" si="29"/>
        <v/>
      </c>
      <c r="U136" s="61" t="str">
        <f t="shared" si="30"/>
        <v/>
      </c>
      <c r="V136" s="183" t="str">
        <f t="shared" si="32"/>
        <v/>
      </c>
      <c r="W136" s="183" t="str">
        <f t="shared" si="33"/>
        <v/>
      </c>
      <c r="X136" s="61" t="str">
        <f t="shared" si="34"/>
        <v/>
      </c>
      <c r="Y136" s="61" t="str">
        <f t="shared" si="35"/>
        <v/>
      </c>
      <c r="Z136" s="118" t="str">
        <f t="shared" si="36"/>
        <v/>
      </c>
      <c r="AA136" s="62" t="str">
        <f t="shared" si="37"/>
        <v/>
      </c>
      <c r="AB136" s="119" t="str">
        <f>IF(A136&lt;&gt;"", IF(P136&lt;&gt;0,SUMIFS(node!$J$2:$J$1000, node!$C$2:$C$1000,"="&amp;A136)/P136,0), "")</f>
        <v/>
      </c>
      <c r="AC136" s="81" t="str">
        <f>IF(A136&lt;&gt;"", IF(P136&lt;&gt;0,SUMIFS(node!$K$2:$K$1000, node!$C$2:$C$1000,"="&amp;A136)/P136,0), "")</f>
        <v/>
      </c>
      <c r="AD136" s="82" t="str">
        <f>IF(A136&lt;&gt;"", SUMIFS(node!$L$2:$L$1000, node!$C$2:$C$1000,"="&amp;A136), "")</f>
        <v/>
      </c>
      <c r="AE136" s="87" t="str">
        <f>IF(A136&lt;&gt;"", SUMIFS(node!$M$2:$M$1000, node!$C$2:$C$1000,"="&amp;A136), "")</f>
        <v/>
      </c>
    </row>
    <row r="137" spans="1:31" ht="15.75" customHeight="1" x14ac:dyDescent="0.25">
      <c r="A137" s="71" t="str">
        <f>IF(ISNONTEXT(node_raw[[#This Row],[Column2]]), "", node_raw[[#This Row],[Column2]])</f>
        <v/>
      </c>
      <c r="B137" s="108" t="str">
        <f>IF(A137&lt;&gt;"", VLOOKUP(A137, node!$C$2:$D$1000, 2, FALSE), "")</f>
        <v/>
      </c>
      <c r="C137" s="109" t="str">
        <f>IF(A137&lt;&gt;"", VLOOKUP(A137, node!$C$2:$E$1000, 3, FALSE), "")</f>
        <v/>
      </c>
      <c r="D137" s="110" t="str">
        <f>IF(A137&lt;&gt;"",COUNTIFS(node!$C$2:$C$1000,"="&amp;A137, node!$C$2:$C$1000,"&lt;&gt;"&amp;""),"")</f>
        <v/>
      </c>
      <c r="E137" s="111" t="str">
        <f>IF(A137&lt;&gt;"",SUMIFS(node!$F$2:$F$500, node!$C$2:$C$500,"="&amp;A137, node!$C$2:$C$500,"&lt;&gt;"&amp;"")/(B137*D137),"")</f>
        <v/>
      </c>
      <c r="F137" s="112" t="str">
        <f>IF(A137&lt;&gt;"",SUMIFS(node!$H$2:$H$500, node!$C$2:$C$500,"="&amp;A137, node!$C$2:$C$500,"&lt;&gt;"&amp;"")/(C137*D137),"")</f>
        <v/>
      </c>
      <c r="G137" s="179" t="str">
        <f>IF(A137&lt;&gt;"",SUMIFS(deployment!$F$4:$F$502, deployment!$D$4:$D$502,"="&amp;A137, deployment!$D$4:$D$502,"&lt;&gt;"&amp;""),"")</f>
        <v/>
      </c>
      <c r="H137" s="181" t="str">
        <f>IF(A137&lt;&gt;"",SUMIFS(deployment!$G$4:$G$502, deployment!$D$4:$D$502,"="&amp;A137, deployment!$D$4:$D$502,"&lt;&gt;"&amp;""),"")</f>
        <v/>
      </c>
      <c r="I137" s="113" t="str">
        <f>IF(A137&lt;&gt;"",SUMIFS(deployment!$H$4:$H$502, deployment!$D$4:$D$502,"="&amp;A137, deployment!$D$4:$D$502,"&lt;&gt;"&amp;""),"")</f>
        <v/>
      </c>
      <c r="J137" s="114" t="str">
        <f>IF(A137&lt;&gt;"",SUMIFS(deployment!$I$4:$I$502, deployment!$D$4:$D$502,"="&amp;A137, deployment!$D$4:$D$502,"&lt;&gt;"&amp;""),"")</f>
        <v/>
      </c>
      <c r="K137" s="182" t="str">
        <f>IF(A137&lt;&gt;"",SUMIFS(deployment!$J$4:$J$1002, deployment!$D$4:$D$1002,"="&amp;A137, deployment!$D$4:$D$1002,"&lt;&gt;"&amp;"", deployment!$C$4:$C$1002, "&lt;&gt;* )")+SUMIFS(namespace!$G$4:$G$1002, namespace!$B$4:$B$1002,"="&amp;A137, namespace!$B$4:$B$1002,"&lt;&gt;"&amp;""),"")</f>
        <v/>
      </c>
      <c r="L137" s="182" t="str">
        <f>IF(A137&lt;&gt;"",SUMIFS(deployment!$K$4:$K$1002, deployment!$D$4:$D$1002,"="&amp;A137, deployment!$D$4:$D$1002,"&lt;&gt;"&amp;"", deployment!$C$4:$C$1002, "&lt;&gt;* )")+SUMIFS(namespace!$H$4:$H$1002, namespace!$B$4:$B$1002,"="&amp;A137, namespace!$B$4:$B$1002,"&lt;&gt;"&amp;""),"")</f>
        <v/>
      </c>
      <c r="M137" s="115" t="str">
        <f>IF(A137&lt;&gt;"",SUMIFS(deployment!$L$4:$L$1002, deployment!$D$4:$D$1002,"="&amp;A137, deployment!$D$4:$D$1002,"&lt;&gt;"&amp;"", deployment!$C$4:$C$1002, "&lt;&gt;* )")+SUMIFS(namespace!$I$4:$I$1002, namespace!$B$4:$B$1002,"="&amp;A137, namespace!$B$4:$B$1002,"&lt;&gt;"&amp;""),"")</f>
        <v/>
      </c>
      <c r="N137" s="115" t="str">
        <f>IF(A137&lt;&gt;"",SUMIFS(deployment!$M$4:$M$1002, deployment!$D$4:$D$1002,"="&amp;A137, deployment!$D$4:$D$1002,"&lt;&gt;"&amp;"", deployment!$C$4:$C$1002, "&lt;&gt;* )")+SUMIFS(namespace!$J$4:$J$1002, namespace!$B$4:$B$1002,"="&amp;A137, namespace!$B$4:$B$1002,"&lt;&gt;"&amp;""),"")</f>
        <v/>
      </c>
      <c r="O137" s="116" t="str">
        <f t="shared" si="31"/>
        <v/>
      </c>
      <c r="P137" s="63"/>
      <c r="Q137" s="164" t="str">
        <f t="shared" si="26"/>
        <v/>
      </c>
      <c r="R137" s="60" t="str">
        <f t="shared" si="27"/>
        <v/>
      </c>
      <c r="S137" s="60" t="str">
        <f t="shared" si="28"/>
        <v/>
      </c>
      <c r="T137" s="61" t="str">
        <f t="shared" si="29"/>
        <v/>
      </c>
      <c r="U137" s="61" t="str">
        <f t="shared" si="30"/>
        <v/>
      </c>
      <c r="V137" s="183" t="str">
        <f t="shared" si="32"/>
        <v/>
      </c>
      <c r="W137" s="183" t="str">
        <f t="shared" si="33"/>
        <v/>
      </c>
      <c r="X137" s="61" t="str">
        <f t="shared" si="34"/>
        <v/>
      </c>
      <c r="Y137" s="61" t="str">
        <f t="shared" si="35"/>
        <v/>
      </c>
      <c r="Z137" s="118" t="str">
        <f t="shared" si="36"/>
        <v/>
      </c>
      <c r="AA137" s="62" t="str">
        <f t="shared" si="37"/>
        <v/>
      </c>
      <c r="AB137" s="119" t="str">
        <f>IF(A137&lt;&gt;"", IF(P137&lt;&gt;0,SUMIFS(node!$J$2:$J$1000, node!$C$2:$C$1000,"="&amp;A137)/P137,0), "")</f>
        <v/>
      </c>
      <c r="AC137" s="81" t="str">
        <f>IF(A137&lt;&gt;"", IF(P137&lt;&gt;0,SUMIFS(node!$K$2:$K$1000, node!$C$2:$C$1000,"="&amp;A137)/P137,0), "")</f>
        <v/>
      </c>
      <c r="AD137" s="82" t="str">
        <f>IF(A137&lt;&gt;"", SUMIFS(node!$L$2:$L$1000, node!$C$2:$C$1000,"="&amp;A137), "")</f>
        <v/>
      </c>
      <c r="AE137" s="87" t="str">
        <f>IF(A137&lt;&gt;"", SUMIFS(node!$M$2:$M$1000, node!$C$2:$C$1000,"="&amp;A137), "")</f>
        <v/>
      </c>
    </row>
    <row r="138" spans="1:31" ht="15.75" customHeight="1" x14ac:dyDescent="0.25">
      <c r="A138" s="71" t="str">
        <f>IF(ISNONTEXT(node_raw[[#This Row],[Column2]]), "", node_raw[[#This Row],[Column2]])</f>
        <v/>
      </c>
      <c r="B138" s="108" t="str">
        <f>IF(A138&lt;&gt;"", VLOOKUP(A138, node!$C$2:$D$1000, 2, FALSE), "")</f>
        <v/>
      </c>
      <c r="C138" s="109" t="str">
        <f>IF(A138&lt;&gt;"", VLOOKUP(A138, node!$C$2:$E$1000, 3, FALSE), "")</f>
        <v/>
      </c>
      <c r="D138" s="110" t="str">
        <f>IF(A138&lt;&gt;"",COUNTIFS(node!$C$2:$C$1000,"="&amp;A138, node!$C$2:$C$1000,"&lt;&gt;"&amp;""),"")</f>
        <v/>
      </c>
      <c r="E138" s="111" t="str">
        <f>IF(A138&lt;&gt;"",SUMIFS(node!$F$2:$F$500, node!$C$2:$C$500,"="&amp;A138, node!$C$2:$C$500,"&lt;&gt;"&amp;"")/(B138*D138),"")</f>
        <v/>
      </c>
      <c r="F138" s="112" t="str">
        <f>IF(A138&lt;&gt;"",SUMIFS(node!$H$2:$H$500, node!$C$2:$C$500,"="&amp;A138, node!$C$2:$C$500,"&lt;&gt;"&amp;"")/(C138*D138),"")</f>
        <v/>
      </c>
      <c r="G138" s="179" t="str">
        <f>IF(A138&lt;&gt;"",SUMIFS(deployment!$F$4:$F$502, deployment!$D$4:$D$502,"="&amp;A138, deployment!$D$4:$D$502,"&lt;&gt;"&amp;""),"")</f>
        <v/>
      </c>
      <c r="H138" s="181" t="str">
        <f>IF(A138&lt;&gt;"",SUMIFS(deployment!$G$4:$G$502, deployment!$D$4:$D$502,"="&amp;A138, deployment!$D$4:$D$502,"&lt;&gt;"&amp;""),"")</f>
        <v/>
      </c>
      <c r="I138" s="113" t="str">
        <f>IF(A138&lt;&gt;"",SUMIFS(deployment!$H$4:$H$502, deployment!$D$4:$D$502,"="&amp;A138, deployment!$D$4:$D$502,"&lt;&gt;"&amp;""),"")</f>
        <v/>
      </c>
      <c r="J138" s="114" t="str">
        <f>IF(A138&lt;&gt;"",SUMIFS(deployment!$I$4:$I$502, deployment!$D$4:$D$502,"="&amp;A138, deployment!$D$4:$D$502,"&lt;&gt;"&amp;""),"")</f>
        <v/>
      </c>
      <c r="K138" s="182" t="str">
        <f>IF(A138&lt;&gt;"",SUMIFS(deployment!$J$4:$J$1002, deployment!$D$4:$D$1002,"="&amp;A138, deployment!$D$4:$D$1002,"&lt;&gt;"&amp;"", deployment!$C$4:$C$1002, "&lt;&gt;* )")+SUMIFS(namespace!$G$4:$G$1002, namespace!$B$4:$B$1002,"="&amp;A138, namespace!$B$4:$B$1002,"&lt;&gt;"&amp;""),"")</f>
        <v/>
      </c>
      <c r="L138" s="182" t="str">
        <f>IF(A138&lt;&gt;"",SUMIFS(deployment!$K$4:$K$1002, deployment!$D$4:$D$1002,"="&amp;A138, deployment!$D$4:$D$1002,"&lt;&gt;"&amp;"", deployment!$C$4:$C$1002, "&lt;&gt;* )")+SUMIFS(namespace!$H$4:$H$1002, namespace!$B$4:$B$1002,"="&amp;A138, namespace!$B$4:$B$1002,"&lt;&gt;"&amp;""),"")</f>
        <v/>
      </c>
      <c r="M138" s="115" t="str">
        <f>IF(A138&lt;&gt;"",SUMIFS(deployment!$L$4:$L$1002, deployment!$D$4:$D$1002,"="&amp;A138, deployment!$D$4:$D$1002,"&lt;&gt;"&amp;"", deployment!$C$4:$C$1002, "&lt;&gt;* )")+SUMIFS(namespace!$I$4:$I$1002, namespace!$B$4:$B$1002,"="&amp;A138, namespace!$B$4:$B$1002,"&lt;&gt;"&amp;""),"")</f>
        <v/>
      </c>
      <c r="N138" s="115" t="str">
        <f>IF(A138&lt;&gt;"",SUMIFS(deployment!$M$4:$M$1002, deployment!$D$4:$D$1002,"="&amp;A138, deployment!$D$4:$D$1002,"&lt;&gt;"&amp;"", deployment!$C$4:$C$1002, "&lt;&gt;* )")+SUMIFS(namespace!$J$4:$J$1002, namespace!$B$4:$B$1002,"="&amp;A138, namespace!$B$4:$B$1002,"&lt;&gt;"&amp;""),"")</f>
        <v/>
      </c>
      <c r="O138" s="116" t="str">
        <f t="shared" si="31"/>
        <v/>
      </c>
      <c r="P138" s="63"/>
      <c r="Q138" s="164" t="str">
        <f t="shared" si="26"/>
        <v/>
      </c>
      <c r="R138" s="60" t="str">
        <f t="shared" si="27"/>
        <v/>
      </c>
      <c r="S138" s="60" t="str">
        <f t="shared" si="28"/>
        <v/>
      </c>
      <c r="T138" s="61" t="str">
        <f t="shared" si="29"/>
        <v/>
      </c>
      <c r="U138" s="61" t="str">
        <f t="shared" si="30"/>
        <v/>
      </c>
      <c r="V138" s="183" t="str">
        <f t="shared" si="32"/>
        <v/>
      </c>
      <c r="W138" s="183" t="str">
        <f t="shared" si="33"/>
        <v/>
      </c>
      <c r="X138" s="61" t="str">
        <f t="shared" si="34"/>
        <v/>
      </c>
      <c r="Y138" s="61" t="str">
        <f t="shared" si="35"/>
        <v/>
      </c>
      <c r="Z138" s="118" t="str">
        <f t="shared" si="36"/>
        <v/>
      </c>
      <c r="AA138" s="62" t="str">
        <f t="shared" si="37"/>
        <v/>
      </c>
      <c r="AB138" s="119" t="str">
        <f>IF(A138&lt;&gt;"", IF(P138&lt;&gt;0,SUMIFS(node!$J$2:$J$1000, node!$C$2:$C$1000,"="&amp;A138)/P138,0), "")</f>
        <v/>
      </c>
      <c r="AC138" s="81" t="str">
        <f>IF(A138&lt;&gt;"", IF(P138&lt;&gt;0,SUMIFS(node!$K$2:$K$1000, node!$C$2:$C$1000,"="&amp;A138)/P138,0), "")</f>
        <v/>
      </c>
      <c r="AD138" s="82" t="str">
        <f>IF(A138&lt;&gt;"", SUMIFS(node!$L$2:$L$1000, node!$C$2:$C$1000,"="&amp;A138), "")</f>
        <v/>
      </c>
      <c r="AE138" s="87" t="str">
        <f>IF(A138&lt;&gt;"", SUMIFS(node!$M$2:$M$1000, node!$C$2:$C$1000,"="&amp;A138), "")</f>
        <v/>
      </c>
    </row>
    <row r="139" spans="1:31" ht="15.75" customHeight="1" x14ac:dyDescent="0.25">
      <c r="A139" s="71" t="str">
        <f>IF(ISNONTEXT(node_raw[[#This Row],[Column2]]), "", node_raw[[#This Row],[Column2]])</f>
        <v/>
      </c>
      <c r="B139" s="108" t="str">
        <f>IF(A139&lt;&gt;"", VLOOKUP(A139, node!$C$2:$D$1000, 2, FALSE), "")</f>
        <v/>
      </c>
      <c r="C139" s="109" t="str">
        <f>IF(A139&lt;&gt;"", VLOOKUP(A139, node!$C$2:$E$1000, 3, FALSE), "")</f>
        <v/>
      </c>
      <c r="D139" s="110" t="str">
        <f>IF(A139&lt;&gt;"",COUNTIFS(node!$C$2:$C$1000,"="&amp;A139, node!$C$2:$C$1000,"&lt;&gt;"&amp;""),"")</f>
        <v/>
      </c>
      <c r="E139" s="111" t="str">
        <f>IF(A139&lt;&gt;"",SUMIFS(node!$F$2:$F$500, node!$C$2:$C$500,"="&amp;A139, node!$C$2:$C$500,"&lt;&gt;"&amp;"")/(B139*D139),"")</f>
        <v/>
      </c>
      <c r="F139" s="112" t="str">
        <f>IF(A139&lt;&gt;"",SUMIFS(node!$H$2:$H$500, node!$C$2:$C$500,"="&amp;A139, node!$C$2:$C$500,"&lt;&gt;"&amp;"")/(C139*D139),"")</f>
        <v/>
      </c>
      <c r="G139" s="179" t="str">
        <f>IF(A139&lt;&gt;"",SUMIFS(deployment!$F$4:$F$502, deployment!$D$4:$D$502,"="&amp;A139, deployment!$D$4:$D$502,"&lt;&gt;"&amp;""),"")</f>
        <v/>
      </c>
      <c r="H139" s="181" t="str">
        <f>IF(A139&lt;&gt;"",SUMIFS(deployment!$G$4:$G$502, deployment!$D$4:$D$502,"="&amp;A139, deployment!$D$4:$D$502,"&lt;&gt;"&amp;""),"")</f>
        <v/>
      </c>
      <c r="I139" s="113" t="str">
        <f>IF(A139&lt;&gt;"",SUMIFS(deployment!$H$4:$H$502, deployment!$D$4:$D$502,"="&amp;A139, deployment!$D$4:$D$502,"&lt;&gt;"&amp;""),"")</f>
        <v/>
      </c>
      <c r="J139" s="114" t="str">
        <f>IF(A139&lt;&gt;"",SUMIFS(deployment!$I$4:$I$502, deployment!$D$4:$D$502,"="&amp;A139, deployment!$D$4:$D$502,"&lt;&gt;"&amp;""),"")</f>
        <v/>
      </c>
      <c r="K139" s="182" t="str">
        <f>IF(A139&lt;&gt;"",SUMIFS(deployment!$J$4:$J$1002, deployment!$D$4:$D$1002,"="&amp;A139, deployment!$D$4:$D$1002,"&lt;&gt;"&amp;"", deployment!$C$4:$C$1002, "&lt;&gt;* )")+SUMIFS(namespace!$G$4:$G$1002, namespace!$B$4:$B$1002,"="&amp;A139, namespace!$B$4:$B$1002,"&lt;&gt;"&amp;""),"")</f>
        <v/>
      </c>
      <c r="L139" s="182" t="str">
        <f>IF(A139&lt;&gt;"",SUMIFS(deployment!$K$4:$K$1002, deployment!$D$4:$D$1002,"="&amp;A139, deployment!$D$4:$D$1002,"&lt;&gt;"&amp;"", deployment!$C$4:$C$1002, "&lt;&gt;* )")+SUMIFS(namespace!$H$4:$H$1002, namespace!$B$4:$B$1002,"="&amp;A139, namespace!$B$4:$B$1002,"&lt;&gt;"&amp;""),"")</f>
        <v/>
      </c>
      <c r="M139" s="115" t="str">
        <f>IF(A139&lt;&gt;"",SUMIFS(deployment!$L$4:$L$1002, deployment!$D$4:$D$1002,"="&amp;A139, deployment!$D$4:$D$1002,"&lt;&gt;"&amp;"", deployment!$C$4:$C$1002, "&lt;&gt;* )")+SUMIFS(namespace!$I$4:$I$1002, namespace!$B$4:$B$1002,"="&amp;A139, namespace!$B$4:$B$1002,"&lt;&gt;"&amp;""),"")</f>
        <v/>
      </c>
      <c r="N139" s="115" t="str">
        <f>IF(A139&lt;&gt;"",SUMIFS(deployment!$M$4:$M$1002, deployment!$D$4:$D$1002,"="&amp;A139, deployment!$D$4:$D$1002,"&lt;&gt;"&amp;"", deployment!$C$4:$C$1002, "&lt;&gt;* )")+SUMIFS(namespace!$J$4:$J$1002, namespace!$B$4:$B$1002,"="&amp;A139, namespace!$B$4:$B$1002,"&lt;&gt;"&amp;""),"")</f>
        <v/>
      </c>
      <c r="O139" s="116" t="str">
        <f t="shared" si="31"/>
        <v/>
      </c>
      <c r="P139" s="63"/>
      <c r="Q139" s="164" t="str">
        <f t="shared" si="26"/>
        <v/>
      </c>
      <c r="R139" s="60" t="str">
        <f t="shared" si="27"/>
        <v/>
      </c>
      <c r="S139" s="60" t="str">
        <f t="shared" si="28"/>
        <v/>
      </c>
      <c r="T139" s="61" t="str">
        <f t="shared" si="29"/>
        <v/>
      </c>
      <c r="U139" s="61" t="str">
        <f t="shared" si="30"/>
        <v/>
      </c>
      <c r="V139" s="183" t="str">
        <f t="shared" si="32"/>
        <v/>
      </c>
      <c r="W139" s="183" t="str">
        <f t="shared" si="33"/>
        <v/>
      </c>
      <c r="X139" s="61" t="str">
        <f t="shared" si="34"/>
        <v/>
      </c>
      <c r="Y139" s="61" t="str">
        <f t="shared" si="35"/>
        <v/>
      </c>
      <c r="Z139" s="118" t="str">
        <f t="shared" si="36"/>
        <v/>
      </c>
      <c r="AA139" s="62" t="str">
        <f t="shared" si="37"/>
        <v/>
      </c>
      <c r="AB139" s="119" t="str">
        <f>IF(A139&lt;&gt;"", IF(P139&lt;&gt;0,SUMIFS(node!$J$2:$J$1000, node!$C$2:$C$1000,"="&amp;A139)/P139,0), "")</f>
        <v/>
      </c>
      <c r="AC139" s="81" t="str">
        <f>IF(A139&lt;&gt;"", IF(P139&lt;&gt;0,SUMIFS(node!$K$2:$K$1000, node!$C$2:$C$1000,"="&amp;A139)/P139,0), "")</f>
        <v/>
      </c>
      <c r="AD139" s="82" t="str">
        <f>IF(A139&lt;&gt;"", SUMIFS(node!$L$2:$L$1000, node!$C$2:$C$1000,"="&amp;A139), "")</f>
        <v/>
      </c>
      <c r="AE139" s="87" t="str">
        <f>IF(A139&lt;&gt;"", SUMIFS(node!$M$2:$M$1000, node!$C$2:$C$1000,"="&amp;A139), "")</f>
        <v/>
      </c>
    </row>
    <row r="140" spans="1:31" ht="15.75" customHeight="1" x14ac:dyDescent="0.25">
      <c r="A140" s="71" t="str">
        <f>IF(ISNONTEXT(node_raw[[#This Row],[Column2]]), "", node_raw[[#This Row],[Column2]])</f>
        <v/>
      </c>
      <c r="B140" s="108" t="str">
        <f>IF(A140&lt;&gt;"", VLOOKUP(A140, node!$C$2:$D$1000, 2, FALSE), "")</f>
        <v/>
      </c>
      <c r="C140" s="109" t="str">
        <f>IF(A140&lt;&gt;"", VLOOKUP(A140, node!$C$2:$E$1000, 3, FALSE), "")</f>
        <v/>
      </c>
      <c r="D140" s="110" t="str">
        <f>IF(A140&lt;&gt;"",COUNTIFS(node!$C$2:$C$1000,"="&amp;A140, node!$C$2:$C$1000,"&lt;&gt;"&amp;""),"")</f>
        <v/>
      </c>
      <c r="E140" s="111" t="str">
        <f>IF(A140&lt;&gt;"",SUMIFS(node!$F$2:$F$500, node!$C$2:$C$500,"="&amp;A140, node!$C$2:$C$500,"&lt;&gt;"&amp;"")/(B140*D140),"")</f>
        <v/>
      </c>
      <c r="F140" s="112" t="str">
        <f>IF(A140&lt;&gt;"",SUMIFS(node!$H$2:$H$500, node!$C$2:$C$500,"="&amp;A140, node!$C$2:$C$500,"&lt;&gt;"&amp;"")/(C140*D140),"")</f>
        <v/>
      </c>
      <c r="G140" s="179" t="str">
        <f>IF(A140&lt;&gt;"",SUMIFS(deployment!$F$4:$F$502, deployment!$D$4:$D$502,"="&amp;A140, deployment!$D$4:$D$502,"&lt;&gt;"&amp;""),"")</f>
        <v/>
      </c>
      <c r="H140" s="181" t="str">
        <f>IF(A140&lt;&gt;"",SUMIFS(deployment!$G$4:$G$502, deployment!$D$4:$D$502,"="&amp;A140, deployment!$D$4:$D$502,"&lt;&gt;"&amp;""),"")</f>
        <v/>
      </c>
      <c r="I140" s="113" t="str">
        <f>IF(A140&lt;&gt;"",SUMIFS(deployment!$H$4:$H$502, deployment!$D$4:$D$502,"="&amp;A140, deployment!$D$4:$D$502,"&lt;&gt;"&amp;""),"")</f>
        <v/>
      </c>
      <c r="J140" s="114" t="str">
        <f>IF(A140&lt;&gt;"",SUMIFS(deployment!$I$4:$I$502, deployment!$D$4:$D$502,"="&amp;A140, deployment!$D$4:$D$502,"&lt;&gt;"&amp;""),"")</f>
        <v/>
      </c>
      <c r="K140" s="182" t="str">
        <f>IF(A140&lt;&gt;"",SUMIFS(deployment!$J$4:$J$1002, deployment!$D$4:$D$1002,"="&amp;A140, deployment!$D$4:$D$1002,"&lt;&gt;"&amp;"", deployment!$C$4:$C$1002, "&lt;&gt;* )")+SUMIFS(namespace!$G$4:$G$1002, namespace!$B$4:$B$1002,"="&amp;A140, namespace!$B$4:$B$1002,"&lt;&gt;"&amp;""),"")</f>
        <v/>
      </c>
      <c r="L140" s="182" t="str">
        <f>IF(A140&lt;&gt;"",SUMIFS(deployment!$K$4:$K$1002, deployment!$D$4:$D$1002,"="&amp;A140, deployment!$D$4:$D$1002,"&lt;&gt;"&amp;"", deployment!$C$4:$C$1002, "&lt;&gt;* )")+SUMIFS(namespace!$H$4:$H$1002, namespace!$B$4:$B$1002,"="&amp;A140, namespace!$B$4:$B$1002,"&lt;&gt;"&amp;""),"")</f>
        <v/>
      </c>
      <c r="M140" s="115" t="str">
        <f>IF(A140&lt;&gt;"",SUMIFS(deployment!$L$4:$L$1002, deployment!$D$4:$D$1002,"="&amp;A140, deployment!$D$4:$D$1002,"&lt;&gt;"&amp;"", deployment!$C$4:$C$1002, "&lt;&gt;* )")+SUMIFS(namespace!$I$4:$I$1002, namespace!$B$4:$B$1002,"="&amp;A140, namespace!$B$4:$B$1002,"&lt;&gt;"&amp;""),"")</f>
        <v/>
      </c>
      <c r="N140" s="115" t="str">
        <f>IF(A140&lt;&gt;"",SUMIFS(deployment!$M$4:$M$1002, deployment!$D$4:$D$1002,"="&amp;A140, deployment!$D$4:$D$1002,"&lt;&gt;"&amp;"", deployment!$C$4:$C$1002, "&lt;&gt;* )")+SUMIFS(namespace!$J$4:$J$1002, namespace!$B$4:$B$1002,"="&amp;A140, namespace!$B$4:$B$1002,"&lt;&gt;"&amp;""),"")</f>
        <v/>
      </c>
      <c r="O140" s="116" t="str">
        <f t="shared" si="31"/>
        <v/>
      </c>
      <c r="P140" s="63"/>
      <c r="Q140" s="164" t="str">
        <f t="shared" si="26"/>
        <v/>
      </c>
      <c r="R140" s="60" t="str">
        <f t="shared" si="27"/>
        <v/>
      </c>
      <c r="S140" s="60" t="str">
        <f t="shared" si="28"/>
        <v/>
      </c>
      <c r="T140" s="61" t="str">
        <f t="shared" si="29"/>
        <v/>
      </c>
      <c r="U140" s="61" t="str">
        <f t="shared" si="30"/>
        <v/>
      </c>
      <c r="V140" s="183" t="str">
        <f t="shared" si="32"/>
        <v/>
      </c>
      <c r="W140" s="183" t="str">
        <f t="shared" si="33"/>
        <v/>
      </c>
      <c r="X140" s="61" t="str">
        <f t="shared" si="34"/>
        <v/>
      </c>
      <c r="Y140" s="61" t="str">
        <f t="shared" si="35"/>
        <v/>
      </c>
      <c r="Z140" s="118" t="str">
        <f t="shared" si="36"/>
        <v/>
      </c>
      <c r="AA140" s="62" t="str">
        <f t="shared" si="37"/>
        <v/>
      </c>
      <c r="AB140" s="119" t="str">
        <f>IF(A140&lt;&gt;"", IF(P140&lt;&gt;0,SUMIFS(node!$J$2:$J$1000, node!$C$2:$C$1000,"="&amp;A140)/P140,0), "")</f>
        <v/>
      </c>
      <c r="AC140" s="81" t="str">
        <f>IF(A140&lt;&gt;"", IF(P140&lt;&gt;0,SUMIFS(node!$K$2:$K$1000, node!$C$2:$C$1000,"="&amp;A140)/P140,0), "")</f>
        <v/>
      </c>
      <c r="AD140" s="82" t="str">
        <f>IF(A140&lt;&gt;"", SUMIFS(node!$L$2:$L$1000, node!$C$2:$C$1000,"="&amp;A140), "")</f>
        <v/>
      </c>
      <c r="AE140" s="87" t="str">
        <f>IF(A140&lt;&gt;"", SUMIFS(node!$M$2:$M$1000, node!$C$2:$C$1000,"="&amp;A140), "")</f>
        <v/>
      </c>
    </row>
    <row r="141" spans="1:31" ht="15.75" customHeight="1" x14ac:dyDescent="0.25">
      <c r="A141" s="71" t="str">
        <f>IF(ISNONTEXT(node_raw[[#This Row],[Column2]]), "", node_raw[[#This Row],[Column2]])</f>
        <v/>
      </c>
      <c r="B141" s="108" t="str">
        <f>IF(A141&lt;&gt;"", VLOOKUP(A141, node!$C$2:$D$1000, 2, FALSE), "")</f>
        <v/>
      </c>
      <c r="C141" s="109" t="str">
        <f>IF(A141&lt;&gt;"", VLOOKUP(A141, node!$C$2:$E$1000, 3, FALSE), "")</f>
        <v/>
      </c>
      <c r="D141" s="110" t="str">
        <f>IF(A141&lt;&gt;"",COUNTIFS(node!$C$2:$C$1000,"="&amp;A141, node!$C$2:$C$1000,"&lt;&gt;"&amp;""),"")</f>
        <v/>
      </c>
      <c r="E141" s="111" t="str">
        <f>IF(A141&lt;&gt;"",SUMIFS(node!$F$2:$F$500, node!$C$2:$C$500,"="&amp;A141, node!$C$2:$C$500,"&lt;&gt;"&amp;"")/(B141*D141),"")</f>
        <v/>
      </c>
      <c r="F141" s="112" t="str">
        <f>IF(A141&lt;&gt;"",SUMIFS(node!$H$2:$H$500, node!$C$2:$C$500,"="&amp;A141, node!$C$2:$C$500,"&lt;&gt;"&amp;"")/(C141*D141),"")</f>
        <v/>
      </c>
      <c r="G141" s="179" t="str">
        <f>IF(A141&lt;&gt;"",SUMIFS(deployment!$F$4:$F$502, deployment!$D$4:$D$502,"="&amp;A141, deployment!$D$4:$D$502,"&lt;&gt;"&amp;""),"")</f>
        <v/>
      </c>
      <c r="H141" s="181" t="str">
        <f>IF(A141&lt;&gt;"",SUMIFS(deployment!$G$4:$G$502, deployment!$D$4:$D$502,"="&amp;A141, deployment!$D$4:$D$502,"&lt;&gt;"&amp;""),"")</f>
        <v/>
      </c>
      <c r="I141" s="113" t="str">
        <f>IF(A141&lt;&gt;"",SUMIFS(deployment!$H$4:$H$502, deployment!$D$4:$D$502,"="&amp;A141, deployment!$D$4:$D$502,"&lt;&gt;"&amp;""),"")</f>
        <v/>
      </c>
      <c r="J141" s="114" t="str">
        <f>IF(A141&lt;&gt;"",SUMIFS(deployment!$I$4:$I$502, deployment!$D$4:$D$502,"="&amp;A141, deployment!$D$4:$D$502,"&lt;&gt;"&amp;""),"")</f>
        <v/>
      </c>
      <c r="K141" s="182" t="str">
        <f>IF(A141&lt;&gt;"",SUMIFS(deployment!$J$4:$J$1002, deployment!$D$4:$D$1002,"="&amp;A141, deployment!$D$4:$D$1002,"&lt;&gt;"&amp;"", deployment!$C$4:$C$1002, "&lt;&gt;* )")+SUMIFS(namespace!$G$4:$G$1002, namespace!$B$4:$B$1002,"="&amp;A141, namespace!$B$4:$B$1002,"&lt;&gt;"&amp;""),"")</f>
        <v/>
      </c>
      <c r="L141" s="182" t="str">
        <f>IF(A141&lt;&gt;"",SUMIFS(deployment!$K$4:$K$1002, deployment!$D$4:$D$1002,"="&amp;A141, deployment!$D$4:$D$1002,"&lt;&gt;"&amp;"", deployment!$C$4:$C$1002, "&lt;&gt;* )")+SUMIFS(namespace!$H$4:$H$1002, namespace!$B$4:$B$1002,"="&amp;A141, namespace!$B$4:$B$1002,"&lt;&gt;"&amp;""),"")</f>
        <v/>
      </c>
      <c r="M141" s="115" t="str">
        <f>IF(A141&lt;&gt;"",SUMIFS(deployment!$L$4:$L$1002, deployment!$D$4:$D$1002,"="&amp;A141, deployment!$D$4:$D$1002,"&lt;&gt;"&amp;"", deployment!$C$4:$C$1002, "&lt;&gt;* )")+SUMIFS(namespace!$I$4:$I$1002, namespace!$B$4:$B$1002,"="&amp;A141, namespace!$B$4:$B$1002,"&lt;&gt;"&amp;""),"")</f>
        <v/>
      </c>
      <c r="N141" s="115" t="str">
        <f>IF(A141&lt;&gt;"",SUMIFS(deployment!$M$4:$M$1002, deployment!$D$4:$D$1002,"="&amp;A141, deployment!$D$4:$D$1002,"&lt;&gt;"&amp;"", deployment!$C$4:$C$1002, "&lt;&gt;* )")+SUMIFS(namespace!$J$4:$J$1002, namespace!$B$4:$B$1002,"="&amp;A141, namespace!$B$4:$B$1002,"&lt;&gt;"&amp;""),"")</f>
        <v/>
      </c>
      <c r="O141" s="116" t="str">
        <f t="shared" si="31"/>
        <v/>
      </c>
      <c r="P141" s="63"/>
      <c r="Q141" s="164" t="str">
        <f t="shared" si="26"/>
        <v/>
      </c>
      <c r="R141" s="60" t="str">
        <f t="shared" si="27"/>
        <v/>
      </c>
      <c r="S141" s="60" t="str">
        <f t="shared" si="28"/>
        <v/>
      </c>
      <c r="T141" s="61" t="str">
        <f t="shared" si="29"/>
        <v/>
      </c>
      <c r="U141" s="61" t="str">
        <f t="shared" si="30"/>
        <v/>
      </c>
      <c r="V141" s="183" t="str">
        <f t="shared" si="32"/>
        <v/>
      </c>
      <c r="W141" s="183" t="str">
        <f t="shared" si="33"/>
        <v/>
      </c>
      <c r="X141" s="61" t="str">
        <f t="shared" si="34"/>
        <v/>
      </c>
      <c r="Y141" s="61" t="str">
        <f t="shared" si="35"/>
        <v/>
      </c>
      <c r="Z141" s="118" t="str">
        <f t="shared" si="36"/>
        <v/>
      </c>
      <c r="AA141" s="62" t="str">
        <f t="shared" si="37"/>
        <v/>
      </c>
      <c r="AB141" s="119" t="str">
        <f>IF(A141&lt;&gt;"", IF(P141&lt;&gt;0,SUMIFS(node!$J$2:$J$1000, node!$C$2:$C$1000,"="&amp;A141)/P141,0), "")</f>
        <v/>
      </c>
      <c r="AC141" s="81" t="str">
        <f>IF(A141&lt;&gt;"", IF(P141&lt;&gt;0,SUMIFS(node!$K$2:$K$1000, node!$C$2:$C$1000,"="&amp;A141)/P141,0), "")</f>
        <v/>
      </c>
      <c r="AD141" s="82" t="str">
        <f>IF(A141&lt;&gt;"", SUMIFS(node!$L$2:$L$1000, node!$C$2:$C$1000,"="&amp;A141), "")</f>
        <v/>
      </c>
      <c r="AE141" s="87" t="str">
        <f>IF(A141&lt;&gt;"", SUMIFS(node!$M$2:$M$1000, node!$C$2:$C$1000,"="&amp;A141), "")</f>
        <v/>
      </c>
    </row>
    <row r="142" spans="1:31" ht="15.75" customHeight="1" x14ac:dyDescent="0.25">
      <c r="A142" s="71" t="str">
        <f>IF(ISNONTEXT(node_raw[[#This Row],[Column2]]), "", node_raw[[#This Row],[Column2]])</f>
        <v/>
      </c>
      <c r="B142" s="108" t="str">
        <f>IF(A142&lt;&gt;"", VLOOKUP(A142, node!$C$2:$D$1000, 2, FALSE), "")</f>
        <v/>
      </c>
      <c r="C142" s="109" t="str">
        <f>IF(A142&lt;&gt;"", VLOOKUP(A142, node!$C$2:$E$1000, 3, FALSE), "")</f>
        <v/>
      </c>
      <c r="D142" s="110" t="str">
        <f>IF(A142&lt;&gt;"",COUNTIFS(node!$C$2:$C$1000,"="&amp;A142, node!$C$2:$C$1000,"&lt;&gt;"&amp;""),"")</f>
        <v/>
      </c>
      <c r="E142" s="111" t="str">
        <f>IF(A142&lt;&gt;"",SUMIFS(node!$F$2:$F$500, node!$C$2:$C$500,"="&amp;A142, node!$C$2:$C$500,"&lt;&gt;"&amp;"")/(B142*D142),"")</f>
        <v/>
      </c>
      <c r="F142" s="112" t="str">
        <f>IF(A142&lt;&gt;"",SUMIFS(node!$H$2:$H$500, node!$C$2:$C$500,"="&amp;A142, node!$C$2:$C$500,"&lt;&gt;"&amp;"")/(C142*D142),"")</f>
        <v/>
      </c>
      <c r="G142" s="179" t="str">
        <f>IF(A142&lt;&gt;"",SUMIFS(deployment!$F$4:$F$502, deployment!$D$4:$D$502,"="&amp;A142, deployment!$D$4:$D$502,"&lt;&gt;"&amp;""),"")</f>
        <v/>
      </c>
      <c r="H142" s="181" t="str">
        <f>IF(A142&lt;&gt;"",SUMIFS(deployment!$G$4:$G$502, deployment!$D$4:$D$502,"="&amp;A142, deployment!$D$4:$D$502,"&lt;&gt;"&amp;""),"")</f>
        <v/>
      </c>
      <c r="I142" s="113" t="str">
        <f>IF(A142&lt;&gt;"",SUMIFS(deployment!$H$4:$H$502, deployment!$D$4:$D$502,"="&amp;A142, deployment!$D$4:$D$502,"&lt;&gt;"&amp;""),"")</f>
        <v/>
      </c>
      <c r="J142" s="114" t="str">
        <f>IF(A142&lt;&gt;"",SUMIFS(deployment!$I$4:$I$502, deployment!$D$4:$D$502,"="&amp;A142, deployment!$D$4:$D$502,"&lt;&gt;"&amp;""),"")</f>
        <v/>
      </c>
      <c r="K142" s="182" t="str">
        <f>IF(A142&lt;&gt;"",SUMIFS(deployment!$J$4:$J$1002, deployment!$D$4:$D$1002,"="&amp;A142, deployment!$D$4:$D$1002,"&lt;&gt;"&amp;"", deployment!$C$4:$C$1002, "&lt;&gt;* )")+SUMIFS(namespace!$G$4:$G$1002, namespace!$B$4:$B$1002,"="&amp;A142, namespace!$B$4:$B$1002,"&lt;&gt;"&amp;""),"")</f>
        <v/>
      </c>
      <c r="L142" s="182" t="str">
        <f>IF(A142&lt;&gt;"",SUMIFS(deployment!$K$4:$K$1002, deployment!$D$4:$D$1002,"="&amp;A142, deployment!$D$4:$D$1002,"&lt;&gt;"&amp;"", deployment!$C$4:$C$1002, "&lt;&gt;* )")+SUMIFS(namespace!$H$4:$H$1002, namespace!$B$4:$B$1002,"="&amp;A142, namespace!$B$4:$B$1002,"&lt;&gt;"&amp;""),"")</f>
        <v/>
      </c>
      <c r="M142" s="115" t="str">
        <f>IF(A142&lt;&gt;"",SUMIFS(deployment!$L$4:$L$1002, deployment!$D$4:$D$1002,"="&amp;A142, deployment!$D$4:$D$1002,"&lt;&gt;"&amp;"", deployment!$C$4:$C$1002, "&lt;&gt;* )")+SUMIFS(namespace!$I$4:$I$1002, namespace!$B$4:$B$1002,"="&amp;A142, namespace!$B$4:$B$1002,"&lt;&gt;"&amp;""),"")</f>
        <v/>
      </c>
      <c r="N142" s="115" t="str">
        <f>IF(A142&lt;&gt;"",SUMIFS(deployment!$M$4:$M$1002, deployment!$D$4:$D$1002,"="&amp;A142, deployment!$D$4:$D$1002,"&lt;&gt;"&amp;"", deployment!$C$4:$C$1002, "&lt;&gt;* )")+SUMIFS(namespace!$J$4:$J$1002, namespace!$B$4:$B$1002,"="&amp;A142, namespace!$B$4:$B$1002,"&lt;&gt;"&amp;""),"")</f>
        <v/>
      </c>
      <c r="O142" s="116" t="str">
        <f t="shared" si="31"/>
        <v/>
      </c>
      <c r="P142" s="63"/>
      <c r="Q142" s="164" t="str">
        <f t="shared" si="26"/>
        <v/>
      </c>
      <c r="R142" s="60" t="str">
        <f t="shared" si="27"/>
        <v/>
      </c>
      <c r="S142" s="60" t="str">
        <f t="shared" si="28"/>
        <v/>
      </c>
      <c r="T142" s="61" t="str">
        <f t="shared" si="29"/>
        <v/>
      </c>
      <c r="U142" s="61" t="str">
        <f t="shared" si="30"/>
        <v/>
      </c>
      <c r="V142" s="183" t="str">
        <f t="shared" si="32"/>
        <v/>
      </c>
      <c r="W142" s="183" t="str">
        <f t="shared" si="33"/>
        <v/>
      </c>
      <c r="X142" s="61" t="str">
        <f t="shared" si="34"/>
        <v/>
      </c>
      <c r="Y142" s="61" t="str">
        <f t="shared" si="35"/>
        <v/>
      </c>
      <c r="Z142" s="118" t="str">
        <f t="shared" si="36"/>
        <v/>
      </c>
      <c r="AA142" s="62" t="str">
        <f t="shared" si="37"/>
        <v/>
      </c>
      <c r="AB142" s="119" t="str">
        <f>IF(A142&lt;&gt;"", IF(P142&lt;&gt;0,SUMIFS(node!$J$2:$J$1000, node!$C$2:$C$1000,"="&amp;A142)/P142,0), "")</f>
        <v/>
      </c>
      <c r="AC142" s="81" t="str">
        <f>IF(A142&lt;&gt;"", IF(P142&lt;&gt;0,SUMIFS(node!$K$2:$K$1000, node!$C$2:$C$1000,"="&amp;A142)/P142,0), "")</f>
        <v/>
      </c>
      <c r="AD142" s="82" t="str">
        <f>IF(A142&lt;&gt;"", SUMIFS(node!$L$2:$L$1000, node!$C$2:$C$1000,"="&amp;A142), "")</f>
        <v/>
      </c>
      <c r="AE142" s="87" t="str">
        <f>IF(A142&lt;&gt;"", SUMIFS(node!$M$2:$M$1000, node!$C$2:$C$1000,"="&amp;A142), "")</f>
        <v/>
      </c>
    </row>
    <row r="143" spans="1:31" ht="15.75" customHeight="1" x14ac:dyDescent="0.25">
      <c r="A143" s="71" t="str">
        <f>IF(ISNONTEXT(node_raw[[#This Row],[Column2]]), "", node_raw[[#This Row],[Column2]])</f>
        <v/>
      </c>
      <c r="B143" s="108" t="str">
        <f>IF(A143&lt;&gt;"", VLOOKUP(A143, node!$C$2:$D$1000, 2, FALSE), "")</f>
        <v/>
      </c>
      <c r="C143" s="109" t="str">
        <f>IF(A143&lt;&gt;"", VLOOKUP(A143, node!$C$2:$E$1000, 3, FALSE), "")</f>
        <v/>
      </c>
      <c r="D143" s="110" t="str">
        <f>IF(A143&lt;&gt;"",COUNTIFS(node!$C$2:$C$1000,"="&amp;A143, node!$C$2:$C$1000,"&lt;&gt;"&amp;""),"")</f>
        <v/>
      </c>
      <c r="E143" s="111" t="str">
        <f>IF(A143&lt;&gt;"",SUMIFS(node!$F$2:$F$500, node!$C$2:$C$500,"="&amp;A143, node!$C$2:$C$500,"&lt;&gt;"&amp;"")/(B143*D143),"")</f>
        <v/>
      </c>
      <c r="F143" s="112" t="str">
        <f>IF(A143&lt;&gt;"",SUMIFS(node!$H$2:$H$500, node!$C$2:$C$500,"="&amp;A143, node!$C$2:$C$500,"&lt;&gt;"&amp;"")/(C143*D143),"")</f>
        <v/>
      </c>
      <c r="G143" s="179" t="str">
        <f>IF(A143&lt;&gt;"",SUMIFS(deployment!$F$4:$F$502, deployment!$D$4:$D$502,"="&amp;A143, deployment!$D$4:$D$502,"&lt;&gt;"&amp;""),"")</f>
        <v/>
      </c>
      <c r="H143" s="181" t="str">
        <f>IF(A143&lt;&gt;"",SUMIFS(deployment!$G$4:$G$502, deployment!$D$4:$D$502,"="&amp;A143, deployment!$D$4:$D$502,"&lt;&gt;"&amp;""),"")</f>
        <v/>
      </c>
      <c r="I143" s="113" t="str">
        <f>IF(A143&lt;&gt;"",SUMIFS(deployment!$H$4:$H$502, deployment!$D$4:$D$502,"="&amp;A143, deployment!$D$4:$D$502,"&lt;&gt;"&amp;""),"")</f>
        <v/>
      </c>
      <c r="J143" s="114" t="str">
        <f>IF(A143&lt;&gt;"",SUMIFS(deployment!$I$4:$I$502, deployment!$D$4:$D$502,"="&amp;A143, deployment!$D$4:$D$502,"&lt;&gt;"&amp;""),"")</f>
        <v/>
      </c>
      <c r="K143" s="182" t="str">
        <f>IF(A143&lt;&gt;"",SUMIFS(deployment!$J$4:$J$1002, deployment!$D$4:$D$1002,"="&amp;A143, deployment!$D$4:$D$1002,"&lt;&gt;"&amp;"", deployment!$C$4:$C$1002, "&lt;&gt;* )")+SUMIFS(namespace!$G$4:$G$1002, namespace!$B$4:$B$1002,"="&amp;A143, namespace!$B$4:$B$1002,"&lt;&gt;"&amp;""),"")</f>
        <v/>
      </c>
      <c r="L143" s="182" t="str">
        <f>IF(A143&lt;&gt;"",SUMIFS(deployment!$K$4:$K$1002, deployment!$D$4:$D$1002,"="&amp;A143, deployment!$D$4:$D$1002,"&lt;&gt;"&amp;"", deployment!$C$4:$C$1002, "&lt;&gt;* )")+SUMIFS(namespace!$H$4:$H$1002, namespace!$B$4:$B$1002,"="&amp;A143, namespace!$B$4:$B$1002,"&lt;&gt;"&amp;""),"")</f>
        <v/>
      </c>
      <c r="M143" s="115" t="str">
        <f>IF(A143&lt;&gt;"",SUMIFS(deployment!$L$4:$L$1002, deployment!$D$4:$D$1002,"="&amp;A143, deployment!$D$4:$D$1002,"&lt;&gt;"&amp;"", deployment!$C$4:$C$1002, "&lt;&gt;* )")+SUMIFS(namespace!$I$4:$I$1002, namespace!$B$4:$B$1002,"="&amp;A143, namespace!$B$4:$B$1002,"&lt;&gt;"&amp;""),"")</f>
        <v/>
      </c>
      <c r="N143" s="115" t="str">
        <f>IF(A143&lt;&gt;"",SUMIFS(deployment!$M$4:$M$1002, deployment!$D$4:$D$1002,"="&amp;A143, deployment!$D$4:$D$1002,"&lt;&gt;"&amp;"", deployment!$C$4:$C$1002, "&lt;&gt;* )")+SUMIFS(namespace!$J$4:$J$1002, namespace!$B$4:$B$1002,"="&amp;A143, namespace!$B$4:$B$1002,"&lt;&gt;"&amp;""),"")</f>
        <v/>
      </c>
      <c r="O143" s="116" t="str">
        <f t="shared" si="31"/>
        <v/>
      </c>
      <c r="P143" s="63"/>
      <c r="Q143" s="164" t="str">
        <f t="shared" si="26"/>
        <v/>
      </c>
      <c r="R143" s="60" t="str">
        <f t="shared" si="27"/>
        <v/>
      </c>
      <c r="S143" s="60" t="str">
        <f t="shared" si="28"/>
        <v/>
      </c>
      <c r="T143" s="61" t="str">
        <f t="shared" si="29"/>
        <v/>
      </c>
      <c r="U143" s="61" t="str">
        <f t="shared" si="30"/>
        <v/>
      </c>
      <c r="V143" s="183" t="str">
        <f t="shared" si="32"/>
        <v/>
      </c>
      <c r="W143" s="183" t="str">
        <f t="shared" si="33"/>
        <v/>
      </c>
      <c r="X143" s="61" t="str">
        <f t="shared" si="34"/>
        <v/>
      </c>
      <c r="Y143" s="61" t="str">
        <f t="shared" si="35"/>
        <v/>
      </c>
      <c r="Z143" s="118" t="str">
        <f t="shared" si="36"/>
        <v/>
      </c>
      <c r="AA143" s="62" t="str">
        <f t="shared" si="37"/>
        <v/>
      </c>
      <c r="AB143" s="119" t="str">
        <f>IF(A143&lt;&gt;"", IF(P143&lt;&gt;0,SUMIFS(node!$J$2:$J$1000, node!$C$2:$C$1000,"="&amp;A143)/P143,0), "")</f>
        <v/>
      </c>
      <c r="AC143" s="81" t="str">
        <f>IF(A143&lt;&gt;"", IF(P143&lt;&gt;0,SUMIFS(node!$K$2:$K$1000, node!$C$2:$C$1000,"="&amp;A143)/P143,0), "")</f>
        <v/>
      </c>
      <c r="AD143" s="82" t="str">
        <f>IF(A143&lt;&gt;"", SUMIFS(node!$L$2:$L$1000, node!$C$2:$C$1000,"="&amp;A143), "")</f>
        <v/>
      </c>
      <c r="AE143" s="87" t="str">
        <f>IF(A143&lt;&gt;"", SUMIFS(node!$M$2:$M$1000, node!$C$2:$C$1000,"="&amp;A143), "")</f>
        <v/>
      </c>
    </row>
    <row r="144" spans="1:31" ht="15.75" customHeight="1" x14ac:dyDescent="0.25">
      <c r="A144" s="71" t="str">
        <f>IF(ISNONTEXT(node_raw[[#This Row],[Column2]]), "", node_raw[[#This Row],[Column2]])</f>
        <v/>
      </c>
      <c r="B144" s="108" t="str">
        <f>IF(A144&lt;&gt;"", VLOOKUP(A144, node!$C$2:$D$1000, 2, FALSE), "")</f>
        <v/>
      </c>
      <c r="C144" s="109" t="str">
        <f>IF(A144&lt;&gt;"", VLOOKUP(A144, node!$C$2:$E$1000, 3, FALSE), "")</f>
        <v/>
      </c>
      <c r="D144" s="110" t="str">
        <f>IF(A144&lt;&gt;"",COUNTIFS(node!$C$2:$C$1000,"="&amp;A144, node!$C$2:$C$1000,"&lt;&gt;"&amp;""),"")</f>
        <v/>
      </c>
      <c r="E144" s="111" t="str">
        <f>IF(A144&lt;&gt;"",SUMIFS(node!$F$2:$F$500, node!$C$2:$C$500,"="&amp;A144, node!$C$2:$C$500,"&lt;&gt;"&amp;"")/(B144*D144),"")</f>
        <v/>
      </c>
      <c r="F144" s="112" t="str">
        <f>IF(A144&lt;&gt;"",SUMIFS(node!$H$2:$H$500, node!$C$2:$C$500,"="&amp;A144, node!$C$2:$C$500,"&lt;&gt;"&amp;"")/(C144*D144),"")</f>
        <v/>
      </c>
      <c r="G144" s="179" t="str">
        <f>IF(A144&lt;&gt;"",SUMIFS(deployment!$F$4:$F$502, deployment!$D$4:$D$502,"="&amp;A144, deployment!$D$4:$D$502,"&lt;&gt;"&amp;""),"")</f>
        <v/>
      </c>
      <c r="H144" s="181" t="str">
        <f>IF(A144&lt;&gt;"",SUMIFS(deployment!$G$4:$G$502, deployment!$D$4:$D$502,"="&amp;A144, deployment!$D$4:$D$502,"&lt;&gt;"&amp;""),"")</f>
        <v/>
      </c>
      <c r="I144" s="113" t="str">
        <f>IF(A144&lt;&gt;"",SUMIFS(deployment!$H$4:$H$502, deployment!$D$4:$D$502,"="&amp;A144, deployment!$D$4:$D$502,"&lt;&gt;"&amp;""),"")</f>
        <v/>
      </c>
      <c r="J144" s="114" t="str">
        <f>IF(A144&lt;&gt;"",SUMIFS(deployment!$I$4:$I$502, deployment!$D$4:$D$502,"="&amp;A144, deployment!$D$4:$D$502,"&lt;&gt;"&amp;""),"")</f>
        <v/>
      </c>
      <c r="K144" s="182" t="str">
        <f>IF(A144&lt;&gt;"",SUMIFS(deployment!$J$4:$J$1002, deployment!$D$4:$D$1002,"="&amp;A144, deployment!$D$4:$D$1002,"&lt;&gt;"&amp;"", deployment!$C$4:$C$1002, "&lt;&gt;* )")+SUMIFS(namespace!$G$4:$G$1002, namespace!$B$4:$B$1002,"="&amp;A144, namespace!$B$4:$B$1002,"&lt;&gt;"&amp;""),"")</f>
        <v/>
      </c>
      <c r="L144" s="182" t="str">
        <f>IF(A144&lt;&gt;"",SUMIFS(deployment!$K$4:$K$1002, deployment!$D$4:$D$1002,"="&amp;A144, deployment!$D$4:$D$1002,"&lt;&gt;"&amp;"", deployment!$C$4:$C$1002, "&lt;&gt;* )")+SUMIFS(namespace!$H$4:$H$1002, namespace!$B$4:$B$1002,"="&amp;A144, namespace!$B$4:$B$1002,"&lt;&gt;"&amp;""),"")</f>
        <v/>
      </c>
      <c r="M144" s="115" t="str">
        <f>IF(A144&lt;&gt;"",SUMIFS(deployment!$L$4:$L$1002, deployment!$D$4:$D$1002,"="&amp;A144, deployment!$D$4:$D$1002,"&lt;&gt;"&amp;"", deployment!$C$4:$C$1002, "&lt;&gt;* )")+SUMIFS(namespace!$I$4:$I$1002, namespace!$B$4:$B$1002,"="&amp;A144, namespace!$B$4:$B$1002,"&lt;&gt;"&amp;""),"")</f>
        <v/>
      </c>
      <c r="N144" s="115" t="str">
        <f>IF(A144&lt;&gt;"",SUMIFS(deployment!$M$4:$M$1002, deployment!$D$4:$D$1002,"="&amp;A144, deployment!$D$4:$D$1002,"&lt;&gt;"&amp;"", deployment!$C$4:$C$1002, "&lt;&gt;* )")+SUMIFS(namespace!$J$4:$J$1002, namespace!$B$4:$B$1002,"="&amp;A144, namespace!$B$4:$B$1002,"&lt;&gt;"&amp;""),"")</f>
        <v/>
      </c>
      <c r="O144" s="116" t="str">
        <f t="shared" si="31"/>
        <v/>
      </c>
      <c r="P144" s="63"/>
      <c r="Q144" s="164" t="str">
        <f t="shared" si="26"/>
        <v/>
      </c>
      <c r="R144" s="60" t="str">
        <f t="shared" si="27"/>
        <v/>
      </c>
      <c r="S144" s="60" t="str">
        <f t="shared" si="28"/>
        <v/>
      </c>
      <c r="T144" s="61" t="str">
        <f t="shared" si="29"/>
        <v/>
      </c>
      <c r="U144" s="61" t="str">
        <f t="shared" si="30"/>
        <v/>
      </c>
      <c r="V144" s="183" t="str">
        <f t="shared" si="32"/>
        <v/>
      </c>
      <c r="W144" s="183" t="str">
        <f t="shared" si="33"/>
        <v/>
      </c>
      <c r="X144" s="61" t="str">
        <f t="shared" si="34"/>
        <v/>
      </c>
      <c r="Y144" s="61" t="str">
        <f t="shared" si="35"/>
        <v/>
      </c>
      <c r="Z144" s="118" t="str">
        <f t="shared" si="36"/>
        <v/>
      </c>
      <c r="AA144" s="62" t="str">
        <f t="shared" si="37"/>
        <v/>
      </c>
      <c r="AB144" s="119" t="str">
        <f>IF(A144&lt;&gt;"", IF(P144&lt;&gt;0,SUMIFS(node!$J$2:$J$1000, node!$C$2:$C$1000,"="&amp;A144)/P144,0), "")</f>
        <v/>
      </c>
      <c r="AC144" s="81" t="str">
        <f>IF(A144&lt;&gt;"", IF(P144&lt;&gt;0,SUMIFS(node!$K$2:$K$1000, node!$C$2:$C$1000,"="&amp;A144)/P144,0), "")</f>
        <v/>
      </c>
      <c r="AD144" s="82" t="str">
        <f>IF(A144&lt;&gt;"", SUMIFS(node!$L$2:$L$1000, node!$C$2:$C$1000,"="&amp;A144), "")</f>
        <v/>
      </c>
      <c r="AE144" s="87" t="str">
        <f>IF(A144&lt;&gt;"", SUMIFS(node!$M$2:$M$1000, node!$C$2:$C$1000,"="&amp;A144), "")</f>
        <v/>
      </c>
    </row>
    <row r="145" spans="1:31" ht="15.75" customHeight="1" x14ac:dyDescent="0.25">
      <c r="A145" s="71" t="str">
        <f>IF(ISNONTEXT(node_raw[[#This Row],[Column2]]), "", node_raw[[#This Row],[Column2]])</f>
        <v/>
      </c>
      <c r="B145" s="108" t="str">
        <f>IF(A145&lt;&gt;"", VLOOKUP(A145, node!$C$2:$D$1000, 2, FALSE), "")</f>
        <v/>
      </c>
      <c r="C145" s="109" t="str">
        <f>IF(A145&lt;&gt;"", VLOOKUP(A145, node!$C$2:$E$1000, 3, FALSE), "")</f>
        <v/>
      </c>
      <c r="D145" s="110" t="str">
        <f>IF(A145&lt;&gt;"",COUNTIFS(node!$C$2:$C$1000,"="&amp;A145, node!$C$2:$C$1000,"&lt;&gt;"&amp;""),"")</f>
        <v/>
      </c>
      <c r="E145" s="111" t="str">
        <f>IF(A145&lt;&gt;"",SUMIFS(node!$F$2:$F$500, node!$C$2:$C$500,"="&amp;A145, node!$C$2:$C$500,"&lt;&gt;"&amp;"")/(B145*D145),"")</f>
        <v/>
      </c>
      <c r="F145" s="112" t="str">
        <f>IF(A145&lt;&gt;"",SUMIFS(node!$H$2:$H$500, node!$C$2:$C$500,"="&amp;A145, node!$C$2:$C$500,"&lt;&gt;"&amp;"")/(C145*D145),"")</f>
        <v/>
      </c>
      <c r="G145" s="179" t="str">
        <f>IF(A145&lt;&gt;"",SUMIFS(deployment!$F$4:$F$502, deployment!$D$4:$D$502,"="&amp;A145, deployment!$D$4:$D$502,"&lt;&gt;"&amp;""),"")</f>
        <v/>
      </c>
      <c r="H145" s="181" t="str">
        <f>IF(A145&lt;&gt;"",SUMIFS(deployment!$G$4:$G$502, deployment!$D$4:$D$502,"="&amp;A145, deployment!$D$4:$D$502,"&lt;&gt;"&amp;""),"")</f>
        <v/>
      </c>
      <c r="I145" s="113" t="str">
        <f>IF(A145&lt;&gt;"",SUMIFS(deployment!$H$4:$H$502, deployment!$D$4:$D$502,"="&amp;A145, deployment!$D$4:$D$502,"&lt;&gt;"&amp;""),"")</f>
        <v/>
      </c>
      <c r="J145" s="114" t="str">
        <f>IF(A145&lt;&gt;"",SUMIFS(deployment!$I$4:$I$502, deployment!$D$4:$D$502,"="&amp;A145, deployment!$D$4:$D$502,"&lt;&gt;"&amp;""),"")</f>
        <v/>
      </c>
      <c r="K145" s="182" t="str">
        <f>IF(A145&lt;&gt;"",SUMIFS(deployment!$J$4:$J$1002, deployment!$D$4:$D$1002,"="&amp;A145, deployment!$D$4:$D$1002,"&lt;&gt;"&amp;"", deployment!$C$4:$C$1002, "&lt;&gt;* )")+SUMIFS(namespace!$G$4:$G$1002, namespace!$B$4:$B$1002,"="&amp;A145, namespace!$B$4:$B$1002,"&lt;&gt;"&amp;""),"")</f>
        <v/>
      </c>
      <c r="L145" s="182" t="str">
        <f>IF(A145&lt;&gt;"",SUMIFS(deployment!$K$4:$K$1002, deployment!$D$4:$D$1002,"="&amp;A145, deployment!$D$4:$D$1002,"&lt;&gt;"&amp;"", deployment!$C$4:$C$1002, "&lt;&gt;* )")+SUMIFS(namespace!$H$4:$H$1002, namespace!$B$4:$B$1002,"="&amp;A145, namespace!$B$4:$B$1002,"&lt;&gt;"&amp;""),"")</f>
        <v/>
      </c>
      <c r="M145" s="115" t="str">
        <f>IF(A145&lt;&gt;"",SUMIFS(deployment!$L$4:$L$1002, deployment!$D$4:$D$1002,"="&amp;A145, deployment!$D$4:$D$1002,"&lt;&gt;"&amp;"", deployment!$C$4:$C$1002, "&lt;&gt;* )")+SUMIFS(namespace!$I$4:$I$1002, namespace!$B$4:$B$1002,"="&amp;A145, namespace!$B$4:$B$1002,"&lt;&gt;"&amp;""),"")</f>
        <v/>
      </c>
      <c r="N145" s="115" t="str">
        <f>IF(A145&lt;&gt;"",SUMIFS(deployment!$M$4:$M$1002, deployment!$D$4:$D$1002,"="&amp;A145, deployment!$D$4:$D$1002,"&lt;&gt;"&amp;"", deployment!$C$4:$C$1002, "&lt;&gt;* )")+SUMIFS(namespace!$J$4:$J$1002, namespace!$B$4:$B$1002,"="&amp;A145, namespace!$B$4:$B$1002,"&lt;&gt;"&amp;""),"")</f>
        <v/>
      </c>
      <c r="O145" s="116" t="str">
        <f t="shared" si="31"/>
        <v/>
      </c>
      <c r="P145" s="63"/>
      <c r="Q145" s="164" t="str">
        <f t="shared" si="26"/>
        <v/>
      </c>
      <c r="R145" s="60" t="str">
        <f t="shared" si="27"/>
        <v/>
      </c>
      <c r="S145" s="60" t="str">
        <f t="shared" si="28"/>
        <v/>
      </c>
      <c r="T145" s="61" t="str">
        <f t="shared" si="29"/>
        <v/>
      </c>
      <c r="U145" s="61" t="str">
        <f t="shared" si="30"/>
        <v/>
      </c>
      <c r="V145" s="183" t="str">
        <f t="shared" si="32"/>
        <v/>
      </c>
      <c r="W145" s="183" t="str">
        <f t="shared" si="33"/>
        <v/>
      </c>
      <c r="X145" s="61" t="str">
        <f t="shared" si="34"/>
        <v/>
      </c>
      <c r="Y145" s="61" t="str">
        <f t="shared" si="35"/>
        <v/>
      </c>
      <c r="Z145" s="118" t="str">
        <f t="shared" si="36"/>
        <v/>
      </c>
      <c r="AA145" s="62" t="str">
        <f t="shared" si="37"/>
        <v/>
      </c>
      <c r="AB145" s="119" t="str">
        <f>IF(A145&lt;&gt;"", IF(P145&lt;&gt;0,SUMIFS(node!$J$2:$J$1000, node!$C$2:$C$1000,"="&amp;A145)/P145,0), "")</f>
        <v/>
      </c>
      <c r="AC145" s="81" t="str">
        <f>IF(A145&lt;&gt;"", IF(P145&lt;&gt;0,SUMIFS(node!$K$2:$K$1000, node!$C$2:$C$1000,"="&amp;A145)/P145,0), "")</f>
        <v/>
      </c>
      <c r="AD145" s="82" t="str">
        <f>IF(A145&lt;&gt;"", SUMIFS(node!$L$2:$L$1000, node!$C$2:$C$1000,"="&amp;A145), "")</f>
        <v/>
      </c>
      <c r="AE145" s="87" t="str">
        <f>IF(A145&lt;&gt;"", SUMIFS(node!$M$2:$M$1000, node!$C$2:$C$1000,"="&amp;A145), "")</f>
        <v/>
      </c>
    </row>
    <row r="146" spans="1:31" ht="15.75" customHeight="1" x14ac:dyDescent="0.25">
      <c r="A146" s="71" t="str">
        <f>IF(ISNONTEXT(node_raw[[#This Row],[Column2]]), "", node_raw[[#This Row],[Column2]])</f>
        <v/>
      </c>
      <c r="B146" s="108" t="str">
        <f>IF(A146&lt;&gt;"", VLOOKUP(A146, node!$C$2:$D$1000, 2, FALSE), "")</f>
        <v/>
      </c>
      <c r="C146" s="109" t="str">
        <f>IF(A146&lt;&gt;"", VLOOKUP(A146, node!$C$2:$E$1000, 3, FALSE), "")</f>
        <v/>
      </c>
      <c r="D146" s="110" t="str">
        <f>IF(A146&lt;&gt;"",COUNTIFS(node!$C$2:$C$1000,"="&amp;A146, node!$C$2:$C$1000,"&lt;&gt;"&amp;""),"")</f>
        <v/>
      </c>
      <c r="E146" s="111" t="str">
        <f>IF(A146&lt;&gt;"",SUMIFS(node!$F$2:$F$500, node!$C$2:$C$500,"="&amp;A146, node!$C$2:$C$500,"&lt;&gt;"&amp;"")/(B146*D146),"")</f>
        <v/>
      </c>
      <c r="F146" s="112" t="str">
        <f>IF(A146&lt;&gt;"",SUMIFS(node!$H$2:$H$500, node!$C$2:$C$500,"="&amp;A146, node!$C$2:$C$500,"&lt;&gt;"&amp;"")/(C146*D146),"")</f>
        <v/>
      </c>
      <c r="G146" s="179" t="str">
        <f>IF(A146&lt;&gt;"",SUMIFS(deployment!$F$4:$F$502, deployment!$D$4:$D$502,"="&amp;A146, deployment!$D$4:$D$502,"&lt;&gt;"&amp;""),"")</f>
        <v/>
      </c>
      <c r="H146" s="181" t="str">
        <f>IF(A146&lt;&gt;"",SUMIFS(deployment!$G$4:$G$502, deployment!$D$4:$D$502,"="&amp;A146, deployment!$D$4:$D$502,"&lt;&gt;"&amp;""),"")</f>
        <v/>
      </c>
      <c r="I146" s="113" t="str">
        <f>IF(A146&lt;&gt;"",SUMIFS(deployment!$H$4:$H$502, deployment!$D$4:$D$502,"="&amp;A146, deployment!$D$4:$D$502,"&lt;&gt;"&amp;""),"")</f>
        <v/>
      </c>
      <c r="J146" s="114" t="str">
        <f>IF(A146&lt;&gt;"",SUMIFS(deployment!$I$4:$I$502, deployment!$D$4:$D$502,"="&amp;A146, deployment!$D$4:$D$502,"&lt;&gt;"&amp;""),"")</f>
        <v/>
      </c>
      <c r="K146" s="182" t="str">
        <f>IF(A146&lt;&gt;"",SUMIFS(deployment!$J$4:$J$1002, deployment!$D$4:$D$1002,"="&amp;A146, deployment!$D$4:$D$1002,"&lt;&gt;"&amp;"", deployment!$C$4:$C$1002, "&lt;&gt;* )")+SUMIFS(namespace!$G$4:$G$1002, namespace!$B$4:$B$1002,"="&amp;A146, namespace!$B$4:$B$1002,"&lt;&gt;"&amp;""),"")</f>
        <v/>
      </c>
      <c r="L146" s="182" t="str">
        <f>IF(A146&lt;&gt;"",SUMIFS(deployment!$K$4:$K$1002, deployment!$D$4:$D$1002,"="&amp;A146, deployment!$D$4:$D$1002,"&lt;&gt;"&amp;"", deployment!$C$4:$C$1002, "&lt;&gt;* )")+SUMIFS(namespace!$H$4:$H$1002, namespace!$B$4:$B$1002,"="&amp;A146, namespace!$B$4:$B$1002,"&lt;&gt;"&amp;""),"")</f>
        <v/>
      </c>
      <c r="M146" s="115" t="str">
        <f>IF(A146&lt;&gt;"",SUMIFS(deployment!$L$4:$L$1002, deployment!$D$4:$D$1002,"="&amp;A146, deployment!$D$4:$D$1002,"&lt;&gt;"&amp;"", deployment!$C$4:$C$1002, "&lt;&gt;* )")+SUMIFS(namespace!$I$4:$I$1002, namespace!$B$4:$B$1002,"="&amp;A146, namespace!$B$4:$B$1002,"&lt;&gt;"&amp;""),"")</f>
        <v/>
      </c>
      <c r="N146" s="115" t="str">
        <f>IF(A146&lt;&gt;"",SUMIFS(deployment!$M$4:$M$1002, deployment!$D$4:$D$1002,"="&amp;A146, deployment!$D$4:$D$1002,"&lt;&gt;"&amp;"", deployment!$C$4:$C$1002, "&lt;&gt;* )")+SUMIFS(namespace!$J$4:$J$1002, namespace!$B$4:$B$1002,"="&amp;A146, namespace!$B$4:$B$1002,"&lt;&gt;"&amp;""),"")</f>
        <v/>
      </c>
      <c r="O146" s="116" t="str">
        <f t="shared" si="31"/>
        <v/>
      </c>
      <c r="P146" s="63"/>
      <c r="Q146" s="164" t="str">
        <f t="shared" si="26"/>
        <v/>
      </c>
      <c r="R146" s="60" t="str">
        <f t="shared" si="27"/>
        <v/>
      </c>
      <c r="S146" s="60" t="str">
        <f t="shared" si="28"/>
        <v/>
      </c>
      <c r="T146" s="61" t="str">
        <f t="shared" si="29"/>
        <v/>
      </c>
      <c r="U146" s="61" t="str">
        <f t="shared" si="30"/>
        <v/>
      </c>
      <c r="V146" s="183" t="str">
        <f t="shared" si="32"/>
        <v/>
      </c>
      <c r="W146" s="183" t="str">
        <f t="shared" si="33"/>
        <v/>
      </c>
      <c r="X146" s="61" t="str">
        <f t="shared" si="34"/>
        <v/>
      </c>
      <c r="Y146" s="61" t="str">
        <f t="shared" si="35"/>
        <v/>
      </c>
      <c r="Z146" s="118" t="str">
        <f t="shared" si="36"/>
        <v/>
      </c>
      <c r="AA146" s="62" t="str">
        <f t="shared" si="37"/>
        <v/>
      </c>
      <c r="AB146" s="119" t="str">
        <f>IF(A146&lt;&gt;"", IF(P146&lt;&gt;0,SUMIFS(node!$J$2:$J$1000, node!$C$2:$C$1000,"="&amp;A146)/P146,0), "")</f>
        <v/>
      </c>
      <c r="AC146" s="81" t="str">
        <f>IF(A146&lt;&gt;"", IF(P146&lt;&gt;0,SUMIFS(node!$K$2:$K$1000, node!$C$2:$C$1000,"="&amp;A146)/P146,0), "")</f>
        <v/>
      </c>
      <c r="AD146" s="82" t="str">
        <f>IF(A146&lt;&gt;"", SUMIFS(node!$L$2:$L$1000, node!$C$2:$C$1000,"="&amp;A146), "")</f>
        <v/>
      </c>
      <c r="AE146" s="87" t="str">
        <f>IF(A146&lt;&gt;"", SUMIFS(node!$M$2:$M$1000, node!$C$2:$C$1000,"="&amp;A146), "")</f>
        <v/>
      </c>
    </row>
    <row r="147" spans="1:31" ht="15.75" customHeight="1" x14ac:dyDescent="0.25">
      <c r="A147" s="71" t="str">
        <f>IF(ISNONTEXT(node_raw[[#This Row],[Column2]]), "", node_raw[[#This Row],[Column2]])</f>
        <v/>
      </c>
      <c r="B147" s="108" t="str">
        <f>IF(A147&lt;&gt;"", VLOOKUP(A147, node!$C$2:$D$1000, 2, FALSE), "")</f>
        <v/>
      </c>
      <c r="C147" s="109" t="str">
        <f>IF(A147&lt;&gt;"", VLOOKUP(A147, node!$C$2:$E$1000, 3, FALSE), "")</f>
        <v/>
      </c>
      <c r="D147" s="110" t="str">
        <f>IF(A147&lt;&gt;"",COUNTIFS(node!$C$2:$C$1000,"="&amp;A147, node!$C$2:$C$1000,"&lt;&gt;"&amp;""),"")</f>
        <v/>
      </c>
      <c r="E147" s="111" t="str">
        <f>IF(A147&lt;&gt;"",SUMIFS(node!$F$2:$F$500, node!$C$2:$C$500,"="&amp;A147, node!$C$2:$C$500,"&lt;&gt;"&amp;"")/(B147*D147),"")</f>
        <v/>
      </c>
      <c r="F147" s="112" t="str">
        <f>IF(A147&lt;&gt;"",SUMIFS(node!$H$2:$H$500, node!$C$2:$C$500,"="&amp;A147, node!$C$2:$C$500,"&lt;&gt;"&amp;"")/(C147*D147),"")</f>
        <v/>
      </c>
      <c r="G147" s="179" t="str">
        <f>IF(A147&lt;&gt;"",SUMIFS(deployment!$F$4:$F$502, deployment!$D$4:$D$502,"="&amp;A147, deployment!$D$4:$D$502,"&lt;&gt;"&amp;""),"")</f>
        <v/>
      </c>
      <c r="H147" s="181" t="str">
        <f>IF(A147&lt;&gt;"",SUMIFS(deployment!$G$4:$G$502, deployment!$D$4:$D$502,"="&amp;A147, deployment!$D$4:$D$502,"&lt;&gt;"&amp;""),"")</f>
        <v/>
      </c>
      <c r="I147" s="113" t="str">
        <f>IF(A147&lt;&gt;"",SUMIFS(deployment!$H$4:$H$502, deployment!$D$4:$D$502,"="&amp;A147, deployment!$D$4:$D$502,"&lt;&gt;"&amp;""),"")</f>
        <v/>
      </c>
      <c r="J147" s="114" t="str">
        <f>IF(A147&lt;&gt;"",SUMIFS(deployment!$I$4:$I$502, deployment!$D$4:$D$502,"="&amp;A147, deployment!$D$4:$D$502,"&lt;&gt;"&amp;""),"")</f>
        <v/>
      </c>
      <c r="K147" s="182" t="str">
        <f>IF(A147&lt;&gt;"",SUMIFS(deployment!$J$4:$J$1002, deployment!$D$4:$D$1002,"="&amp;A147, deployment!$D$4:$D$1002,"&lt;&gt;"&amp;"", deployment!$C$4:$C$1002, "&lt;&gt;* )")+SUMIFS(namespace!$G$4:$G$1002, namespace!$B$4:$B$1002,"="&amp;A147, namespace!$B$4:$B$1002,"&lt;&gt;"&amp;""),"")</f>
        <v/>
      </c>
      <c r="L147" s="182" t="str">
        <f>IF(A147&lt;&gt;"",SUMIFS(deployment!$K$4:$K$1002, deployment!$D$4:$D$1002,"="&amp;A147, deployment!$D$4:$D$1002,"&lt;&gt;"&amp;"", deployment!$C$4:$C$1002, "&lt;&gt;* )")+SUMIFS(namespace!$H$4:$H$1002, namespace!$B$4:$B$1002,"="&amp;A147, namespace!$B$4:$B$1002,"&lt;&gt;"&amp;""),"")</f>
        <v/>
      </c>
      <c r="M147" s="115" t="str">
        <f>IF(A147&lt;&gt;"",SUMIFS(deployment!$L$4:$L$1002, deployment!$D$4:$D$1002,"="&amp;A147, deployment!$D$4:$D$1002,"&lt;&gt;"&amp;"", deployment!$C$4:$C$1002, "&lt;&gt;* )")+SUMIFS(namespace!$I$4:$I$1002, namespace!$B$4:$B$1002,"="&amp;A147, namespace!$B$4:$B$1002,"&lt;&gt;"&amp;""),"")</f>
        <v/>
      </c>
      <c r="N147" s="115" t="str">
        <f>IF(A147&lt;&gt;"",SUMIFS(deployment!$M$4:$M$1002, deployment!$D$4:$D$1002,"="&amp;A147, deployment!$D$4:$D$1002,"&lt;&gt;"&amp;"", deployment!$C$4:$C$1002, "&lt;&gt;* )")+SUMIFS(namespace!$J$4:$J$1002, namespace!$B$4:$B$1002,"="&amp;A147, namespace!$B$4:$B$1002,"&lt;&gt;"&amp;""),"")</f>
        <v/>
      </c>
      <c r="O147" s="116" t="str">
        <f t="shared" si="31"/>
        <v/>
      </c>
      <c r="P147" s="63"/>
      <c r="Q147" s="164" t="str">
        <f t="shared" si="26"/>
        <v/>
      </c>
      <c r="R147" s="60" t="str">
        <f t="shared" si="27"/>
        <v/>
      </c>
      <c r="S147" s="60" t="str">
        <f t="shared" si="28"/>
        <v/>
      </c>
      <c r="T147" s="61" t="str">
        <f t="shared" si="29"/>
        <v/>
      </c>
      <c r="U147" s="61" t="str">
        <f t="shared" si="30"/>
        <v/>
      </c>
      <c r="V147" s="183" t="str">
        <f t="shared" si="32"/>
        <v/>
      </c>
      <c r="W147" s="183" t="str">
        <f t="shared" si="33"/>
        <v/>
      </c>
      <c r="X147" s="61" t="str">
        <f t="shared" si="34"/>
        <v/>
      </c>
      <c r="Y147" s="61" t="str">
        <f t="shared" si="35"/>
        <v/>
      </c>
      <c r="Z147" s="118" t="str">
        <f t="shared" si="36"/>
        <v/>
      </c>
      <c r="AA147" s="62" t="str">
        <f t="shared" si="37"/>
        <v/>
      </c>
      <c r="AB147" s="119" t="str">
        <f>IF(A147&lt;&gt;"", IF(P147&lt;&gt;0,SUMIFS(node!$J$2:$J$1000, node!$C$2:$C$1000,"="&amp;A147)/P147,0), "")</f>
        <v/>
      </c>
      <c r="AC147" s="81" t="str">
        <f>IF(A147&lt;&gt;"", IF(P147&lt;&gt;0,SUMIFS(node!$K$2:$K$1000, node!$C$2:$C$1000,"="&amp;A147)/P147,0), "")</f>
        <v/>
      </c>
      <c r="AD147" s="82" t="str">
        <f>IF(A147&lt;&gt;"", SUMIFS(node!$L$2:$L$1000, node!$C$2:$C$1000,"="&amp;A147), "")</f>
        <v/>
      </c>
      <c r="AE147" s="87" t="str">
        <f>IF(A147&lt;&gt;"", SUMIFS(node!$M$2:$M$1000, node!$C$2:$C$1000,"="&amp;A147), "")</f>
        <v/>
      </c>
    </row>
    <row r="148" spans="1:31" ht="15.75" customHeight="1" x14ac:dyDescent="0.25">
      <c r="A148" s="71" t="str">
        <f>IF(ISNONTEXT(node_raw[[#This Row],[Column2]]), "", node_raw[[#This Row],[Column2]])</f>
        <v/>
      </c>
      <c r="B148" s="108" t="str">
        <f>IF(A148&lt;&gt;"", VLOOKUP(A148, node!$C$2:$D$1000, 2, FALSE), "")</f>
        <v/>
      </c>
      <c r="C148" s="109" t="str">
        <f>IF(A148&lt;&gt;"", VLOOKUP(A148, node!$C$2:$E$1000, 3, FALSE), "")</f>
        <v/>
      </c>
      <c r="D148" s="110" t="str">
        <f>IF(A148&lt;&gt;"",COUNTIFS(node!$C$2:$C$1000,"="&amp;A148, node!$C$2:$C$1000,"&lt;&gt;"&amp;""),"")</f>
        <v/>
      </c>
      <c r="E148" s="111" t="str">
        <f>IF(A148&lt;&gt;"",SUMIFS(node!$F$2:$F$500, node!$C$2:$C$500,"="&amp;A148, node!$C$2:$C$500,"&lt;&gt;"&amp;"")/(B148*D148),"")</f>
        <v/>
      </c>
      <c r="F148" s="112" t="str">
        <f>IF(A148&lt;&gt;"",SUMIFS(node!$H$2:$H$500, node!$C$2:$C$500,"="&amp;A148, node!$C$2:$C$500,"&lt;&gt;"&amp;"")/(C148*D148),"")</f>
        <v/>
      </c>
      <c r="G148" s="179" t="str">
        <f>IF(A148&lt;&gt;"",SUMIFS(deployment!$F$4:$F$502, deployment!$D$4:$D$502,"="&amp;A148, deployment!$D$4:$D$502,"&lt;&gt;"&amp;""),"")</f>
        <v/>
      </c>
      <c r="H148" s="181" t="str">
        <f>IF(A148&lt;&gt;"",SUMIFS(deployment!$G$4:$G$502, deployment!$D$4:$D$502,"="&amp;A148, deployment!$D$4:$D$502,"&lt;&gt;"&amp;""),"")</f>
        <v/>
      </c>
      <c r="I148" s="113" t="str">
        <f>IF(A148&lt;&gt;"",SUMIFS(deployment!$H$4:$H$502, deployment!$D$4:$D$502,"="&amp;A148, deployment!$D$4:$D$502,"&lt;&gt;"&amp;""),"")</f>
        <v/>
      </c>
      <c r="J148" s="114" t="str">
        <f>IF(A148&lt;&gt;"",SUMIFS(deployment!$I$4:$I$502, deployment!$D$4:$D$502,"="&amp;A148, deployment!$D$4:$D$502,"&lt;&gt;"&amp;""),"")</f>
        <v/>
      </c>
      <c r="K148" s="182" t="str">
        <f>IF(A148&lt;&gt;"",SUMIFS(deployment!$J$4:$J$1002, deployment!$D$4:$D$1002,"="&amp;A148, deployment!$D$4:$D$1002,"&lt;&gt;"&amp;"", deployment!$C$4:$C$1002, "&lt;&gt;* )")+SUMIFS(namespace!$G$4:$G$1002, namespace!$B$4:$B$1002,"="&amp;A148, namespace!$B$4:$B$1002,"&lt;&gt;"&amp;""),"")</f>
        <v/>
      </c>
      <c r="L148" s="182" t="str">
        <f>IF(A148&lt;&gt;"",SUMIFS(deployment!$K$4:$K$1002, deployment!$D$4:$D$1002,"="&amp;A148, deployment!$D$4:$D$1002,"&lt;&gt;"&amp;"", deployment!$C$4:$C$1002, "&lt;&gt;* )")+SUMIFS(namespace!$H$4:$H$1002, namespace!$B$4:$B$1002,"="&amp;A148, namespace!$B$4:$B$1002,"&lt;&gt;"&amp;""),"")</f>
        <v/>
      </c>
      <c r="M148" s="115" t="str">
        <f>IF(A148&lt;&gt;"",SUMIFS(deployment!$L$4:$L$1002, deployment!$D$4:$D$1002,"="&amp;A148, deployment!$D$4:$D$1002,"&lt;&gt;"&amp;"", deployment!$C$4:$C$1002, "&lt;&gt;* )")+SUMIFS(namespace!$I$4:$I$1002, namespace!$B$4:$B$1002,"="&amp;A148, namespace!$B$4:$B$1002,"&lt;&gt;"&amp;""),"")</f>
        <v/>
      </c>
      <c r="N148" s="115" t="str">
        <f>IF(A148&lt;&gt;"",SUMIFS(deployment!$M$4:$M$1002, deployment!$D$4:$D$1002,"="&amp;A148, deployment!$D$4:$D$1002,"&lt;&gt;"&amp;"", deployment!$C$4:$C$1002, "&lt;&gt;* )")+SUMIFS(namespace!$J$4:$J$1002, namespace!$B$4:$B$1002,"="&amp;A148, namespace!$B$4:$B$1002,"&lt;&gt;"&amp;""),"")</f>
        <v/>
      </c>
      <c r="O148" s="116" t="str">
        <f t="shared" si="31"/>
        <v/>
      </c>
      <c r="P148" s="63"/>
      <c r="Q148" s="164" t="str">
        <f t="shared" si="26"/>
        <v/>
      </c>
      <c r="R148" s="60" t="str">
        <f t="shared" si="27"/>
        <v/>
      </c>
      <c r="S148" s="60" t="str">
        <f t="shared" si="28"/>
        <v/>
      </c>
      <c r="T148" s="61" t="str">
        <f t="shared" si="29"/>
        <v/>
      </c>
      <c r="U148" s="61" t="str">
        <f t="shared" si="30"/>
        <v/>
      </c>
      <c r="V148" s="183" t="str">
        <f t="shared" si="32"/>
        <v/>
      </c>
      <c r="W148" s="183" t="str">
        <f t="shared" si="33"/>
        <v/>
      </c>
      <c r="X148" s="61" t="str">
        <f t="shared" si="34"/>
        <v/>
      </c>
      <c r="Y148" s="61" t="str">
        <f t="shared" si="35"/>
        <v/>
      </c>
      <c r="Z148" s="118" t="str">
        <f t="shared" si="36"/>
        <v/>
      </c>
      <c r="AA148" s="62" t="str">
        <f t="shared" si="37"/>
        <v/>
      </c>
      <c r="AB148" s="119" t="str">
        <f>IF(A148&lt;&gt;"", IF(P148&lt;&gt;0,SUMIFS(node!$J$2:$J$1000, node!$C$2:$C$1000,"="&amp;A148)/P148,0), "")</f>
        <v/>
      </c>
      <c r="AC148" s="81" t="str">
        <f>IF(A148&lt;&gt;"", IF(P148&lt;&gt;0,SUMIFS(node!$K$2:$K$1000, node!$C$2:$C$1000,"="&amp;A148)/P148,0), "")</f>
        <v/>
      </c>
      <c r="AD148" s="82" t="str">
        <f>IF(A148&lt;&gt;"", SUMIFS(node!$L$2:$L$1000, node!$C$2:$C$1000,"="&amp;A148), "")</f>
        <v/>
      </c>
      <c r="AE148" s="87" t="str">
        <f>IF(A148&lt;&gt;"", SUMIFS(node!$M$2:$M$1000, node!$C$2:$C$1000,"="&amp;A148), "")</f>
        <v/>
      </c>
    </row>
    <row r="149" spans="1:31" ht="15.75" customHeight="1" x14ac:dyDescent="0.25">
      <c r="A149" s="71" t="str">
        <f>IF(ISNONTEXT(node_raw[[#This Row],[Column2]]), "", node_raw[[#This Row],[Column2]])</f>
        <v/>
      </c>
      <c r="B149" s="108" t="str">
        <f>IF(A149&lt;&gt;"", VLOOKUP(A149, node!$C$2:$D$1000, 2, FALSE), "")</f>
        <v/>
      </c>
      <c r="C149" s="109" t="str">
        <f>IF(A149&lt;&gt;"", VLOOKUP(A149, node!$C$2:$E$1000, 3, FALSE), "")</f>
        <v/>
      </c>
      <c r="D149" s="110" t="str">
        <f>IF(A149&lt;&gt;"",COUNTIFS(node!$C$2:$C$1000,"="&amp;A149, node!$C$2:$C$1000,"&lt;&gt;"&amp;""),"")</f>
        <v/>
      </c>
      <c r="E149" s="111" t="str">
        <f>IF(A149&lt;&gt;"",SUMIFS(node!$F$2:$F$500, node!$C$2:$C$500,"="&amp;A149, node!$C$2:$C$500,"&lt;&gt;"&amp;"")/(B149*D149),"")</f>
        <v/>
      </c>
      <c r="F149" s="112" t="str">
        <f>IF(A149&lt;&gt;"",SUMIFS(node!$H$2:$H$500, node!$C$2:$C$500,"="&amp;A149, node!$C$2:$C$500,"&lt;&gt;"&amp;"")/(C149*D149),"")</f>
        <v/>
      </c>
      <c r="G149" s="179" t="str">
        <f>IF(A149&lt;&gt;"",SUMIFS(deployment!$F$4:$F$502, deployment!$D$4:$D$502,"="&amp;A149, deployment!$D$4:$D$502,"&lt;&gt;"&amp;""),"")</f>
        <v/>
      </c>
      <c r="H149" s="181" t="str">
        <f>IF(A149&lt;&gt;"",SUMIFS(deployment!$G$4:$G$502, deployment!$D$4:$D$502,"="&amp;A149, deployment!$D$4:$D$502,"&lt;&gt;"&amp;""),"")</f>
        <v/>
      </c>
      <c r="I149" s="113" t="str">
        <f>IF(A149&lt;&gt;"",SUMIFS(deployment!$H$4:$H$502, deployment!$D$4:$D$502,"="&amp;A149, deployment!$D$4:$D$502,"&lt;&gt;"&amp;""),"")</f>
        <v/>
      </c>
      <c r="J149" s="114" t="str">
        <f>IF(A149&lt;&gt;"",SUMIFS(deployment!$I$4:$I$502, deployment!$D$4:$D$502,"="&amp;A149, deployment!$D$4:$D$502,"&lt;&gt;"&amp;""),"")</f>
        <v/>
      </c>
      <c r="K149" s="182" t="str">
        <f>IF(A149&lt;&gt;"",SUMIFS(deployment!$J$4:$J$1002, deployment!$D$4:$D$1002,"="&amp;A149, deployment!$D$4:$D$1002,"&lt;&gt;"&amp;"", deployment!$C$4:$C$1002, "&lt;&gt;* )")+SUMIFS(namespace!$G$4:$G$1002, namespace!$B$4:$B$1002,"="&amp;A149, namespace!$B$4:$B$1002,"&lt;&gt;"&amp;""),"")</f>
        <v/>
      </c>
      <c r="L149" s="182" t="str">
        <f>IF(A149&lt;&gt;"",SUMIFS(deployment!$K$4:$K$1002, deployment!$D$4:$D$1002,"="&amp;A149, deployment!$D$4:$D$1002,"&lt;&gt;"&amp;"", deployment!$C$4:$C$1002, "&lt;&gt;* )")+SUMIFS(namespace!$H$4:$H$1002, namespace!$B$4:$B$1002,"="&amp;A149, namespace!$B$4:$B$1002,"&lt;&gt;"&amp;""),"")</f>
        <v/>
      </c>
      <c r="M149" s="115" t="str">
        <f>IF(A149&lt;&gt;"",SUMIFS(deployment!$L$4:$L$1002, deployment!$D$4:$D$1002,"="&amp;A149, deployment!$D$4:$D$1002,"&lt;&gt;"&amp;"", deployment!$C$4:$C$1002, "&lt;&gt;* )")+SUMIFS(namespace!$I$4:$I$1002, namespace!$B$4:$B$1002,"="&amp;A149, namespace!$B$4:$B$1002,"&lt;&gt;"&amp;""),"")</f>
        <v/>
      </c>
      <c r="N149" s="115" t="str">
        <f>IF(A149&lt;&gt;"",SUMIFS(deployment!$M$4:$M$1002, deployment!$D$4:$D$1002,"="&amp;A149, deployment!$D$4:$D$1002,"&lt;&gt;"&amp;"", deployment!$C$4:$C$1002, "&lt;&gt;* )")+SUMIFS(namespace!$J$4:$J$1002, namespace!$B$4:$B$1002,"="&amp;A149, namespace!$B$4:$B$1002,"&lt;&gt;"&amp;""),"")</f>
        <v/>
      </c>
      <c r="O149" s="116" t="str">
        <f t="shared" si="31"/>
        <v/>
      </c>
      <c r="P149" s="63"/>
      <c r="Q149" s="164" t="str">
        <f t="shared" si="26"/>
        <v/>
      </c>
      <c r="R149" s="60" t="str">
        <f t="shared" si="27"/>
        <v/>
      </c>
      <c r="S149" s="60" t="str">
        <f t="shared" si="28"/>
        <v/>
      </c>
      <c r="T149" s="61" t="str">
        <f t="shared" si="29"/>
        <v/>
      </c>
      <c r="U149" s="61" t="str">
        <f t="shared" si="30"/>
        <v/>
      </c>
      <c r="V149" s="183" t="str">
        <f t="shared" si="32"/>
        <v/>
      </c>
      <c r="W149" s="183" t="str">
        <f t="shared" si="33"/>
        <v/>
      </c>
      <c r="X149" s="61" t="str">
        <f t="shared" si="34"/>
        <v/>
      </c>
      <c r="Y149" s="61" t="str">
        <f t="shared" si="35"/>
        <v/>
      </c>
      <c r="Z149" s="118" t="str">
        <f t="shared" si="36"/>
        <v/>
      </c>
      <c r="AA149" s="62" t="str">
        <f t="shared" si="37"/>
        <v/>
      </c>
      <c r="AB149" s="119" t="str">
        <f>IF(A149&lt;&gt;"", IF(P149&lt;&gt;0,SUMIFS(node!$J$2:$J$1000, node!$C$2:$C$1000,"="&amp;A149)/P149,0), "")</f>
        <v/>
      </c>
      <c r="AC149" s="81" t="str">
        <f>IF(A149&lt;&gt;"", IF(P149&lt;&gt;0,SUMIFS(node!$K$2:$K$1000, node!$C$2:$C$1000,"="&amp;A149)/P149,0), "")</f>
        <v/>
      </c>
      <c r="AD149" s="82" t="str">
        <f>IF(A149&lt;&gt;"", SUMIFS(node!$L$2:$L$1000, node!$C$2:$C$1000,"="&amp;A149), "")</f>
        <v/>
      </c>
      <c r="AE149" s="87" t="str">
        <f>IF(A149&lt;&gt;"", SUMIFS(node!$M$2:$M$1000, node!$C$2:$C$1000,"="&amp;A149), "")</f>
        <v/>
      </c>
    </row>
    <row r="150" spans="1:31" ht="15.75" customHeight="1" x14ac:dyDescent="0.25">
      <c r="A150" s="71" t="str">
        <f>IF(ISNONTEXT(node_raw[[#This Row],[Column2]]), "", node_raw[[#This Row],[Column2]])</f>
        <v/>
      </c>
      <c r="B150" s="108" t="str">
        <f>IF(A150&lt;&gt;"", VLOOKUP(A150, node!$C$2:$D$1000, 2, FALSE), "")</f>
        <v/>
      </c>
      <c r="C150" s="109" t="str">
        <f>IF(A150&lt;&gt;"", VLOOKUP(A150, node!$C$2:$E$1000, 3, FALSE), "")</f>
        <v/>
      </c>
      <c r="D150" s="110" t="str">
        <f>IF(A150&lt;&gt;"",COUNTIFS(node!$C$2:$C$1000,"="&amp;A150, node!$C$2:$C$1000,"&lt;&gt;"&amp;""),"")</f>
        <v/>
      </c>
      <c r="E150" s="111" t="str">
        <f>IF(A150&lt;&gt;"",SUMIFS(node!$F$2:$F$500, node!$C$2:$C$500,"="&amp;A150, node!$C$2:$C$500,"&lt;&gt;"&amp;"")/(B150*D150),"")</f>
        <v/>
      </c>
      <c r="F150" s="112" t="str">
        <f>IF(A150&lt;&gt;"",SUMIFS(node!$H$2:$H$500, node!$C$2:$C$500,"="&amp;A150, node!$C$2:$C$500,"&lt;&gt;"&amp;"")/(C150*D150),"")</f>
        <v/>
      </c>
      <c r="G150" s="179" t="str">
        <f>IF(A150&lt;&gt;"",SUMIFS(deployment!$F$4:$F$502, deployment!$D$4:$D$502,"="&amp;A150, deployment!$D$4:$D$502,"&lt;&gt;"&amp;""),"")</f>
        <v/>
      </c>
      <c r="H150" s="181" t="str">
        <f>IF(A150&lt;&gt;"",SUMIFS(deployment!$G$4:$G$502, deployment!$D$4:$D$502,"="&amp;A150, deployment!$D$4:$D$502,"&lt;&gt;"&amp;""),"")</f>
        <v/>
      </c>
      <c r="I150" s="113" t="str">
        <f>IF(A150&lt;&gt;"",SUMIFS(deployment!$H$4:$H$502, deployment!$D$4:$D$502,"="&amp;A150, deployment!$D$4:$D$502,"&lt;&gt;"&amp;""),"")</f>
        <v/>
      </c>
      <c r="J150" s="114" t="str">
        <f>IF(A150&lt;&gt;"",SUMIFS(deployment!$I$4:$I$502, deployment!$D$4:$D$502,"="&amp;A150, deployment!$D$4:$D$502,"&lt;&gt;"&amp;""),"")</f>
        <v/>
      </c>
      <c r="K150" s="182" t="str">
        <f>IF(A150&lt;&gt;"",SUMIFS(deployment!$J$4:$J$1002, deployment!$D$4:$D$1002,"="&amp;A150, deployment!$D$4:$D$1002,"&lt;&gt;"&amp;"", deployment!$C$4:$C$1002, "&lt;&gt;* )")+SUMIFS(namespace!$G$4:$G$1002, namespace!$B$4:$B$1002,"="&amp;A150, namespace!$B$4:$B$1002,"&lt;&gt;"&amp;""),"")</f>
        <v/>
      </c>
      <c r="L150" s="182" t="str">
        <f>IF(A150&lt;&gt;"",SUMIFS(deployment!$K$4:$K$1002, deployment!$D$4:$D$1002,"="&amp;A150, deployment!$D$4:$D$1002,"&lt;&gt;"&amp;"", deployment!$C$4:$C$1002, "&lt;&gt;* )")+SUMIFS(namespace!$H$4:$H$1002, namespace!$B$4:$B$1002,"="&amp;A150, namespace!$B$4:$B$1002,"&lt;&gt;"&amp;""),"")</f>
        <v/>
      </c>
      <c r="M150" s="115" t="str">
        <f>IF(A150&lt;&gt;"",SUMIFS(deployment!$L$4:$L$1002, deployment!$D$4:$D$1002,"="&amp;A150, deployment!$D$4:$D$1002,"&lt;&gt;"&amp;"", deployment!$C$4:$C$1002, "&lt;&gt;* )")+SUMIFS(namespace!$I$4:$I$1002, namespace!$B$4:$B$1002,"="&amp;A150, namespace!$B$4:$B$1002,"&lt;&gt;"&amp;""),"")</f>
        <v/>
      </c>
      <c r="N150" s="115" t="str">
        <f>IF(A150&lt;&gt;"",SUMIFS(deployment!$M$4:$M$1002, deployment!$D$4:$D$1002,"="&amp;A150, deployment!$D$4:$D$1002,"&lt;&gt;"&amp;"", deployment!$C$4:$C$1002, "&lt;&gt;* )")+SUMIFS(namespace!$J$4:$J$1002, namespace!$B$4:$B$1002,"="&amp;A150, namespace!$B$4:$B$1002,"&lt;&gt;"&amp;""),"")</f>
        <v/>
      </c>
      <c r="O150" s="116" t="str">
        <f t="shared" si="31"/>
        <v/>
      </c>
      <c r="P150" s="63"/>
      <c r="Q150" s="164" t="str">
        <f t="shared" si="26"/>
        <v/>
      </c>
      <c r="R150" s="60" t="str">
        <f t="shared" si="27"/>
        <v/>
      </c>
      <c r="S150" s="60" t="str">
        <f t="shared" si="28"/>
        <v/>
      </c>
      <c r="T150" s="61" t="str">
        <f t="shared" si="29"/>
        <v/>
      </c>
      <c r="U150" s="61" t="str">
        <f t="shared" si="30"/>
        <v/>
      </c>
      <c r="V150" s="183" t="str">
        <f t="shared" si="32"/>
        <v/>
      </c>
      <c r="W150" s="183" t="str">
        <f t="shared" si="33"/>
        <v/>
      </c>
      <c r="X150" s="61" t="str">
        <f t="shared" si="34"/>
        <v/>
      </c>
      <c r="Y150" s="61" t="str">
        <f t="shared" si="35"/>
        <v/>
      </c>
      <c r="Z150" s="118" t="str">
        <f t="shared" si="36"/>
        <v/>
      </c>
      <c r="AA150" s="62" t="str">
        <f t="shared" si="37"/>
        <v/>
      </c>
      <c r="AB150" s="119" t="str">
        <f>IF(A150&lt;&gt;"", IF(P150&lt;&gt;0,SUMIFS(node!$J$2:$J$1000, node!$C$2:$C$1000,"="&amp;A150)/P150,0), "")</f>
        <v/>
      </c>
      <c r="AC150" s="81" t="str">
        <f>IF(A150&lt;&gt;"", IF(P150&lt;&gt;0,SUMIFS(node!$K$2:$K$1000, node!$C$2:$C$1000,"="&amp;A150)/P150,0), "")</f>
        <v/>
      </c>
      <c r="AD150" s="82" t="str">
        <f>IF(A150&lt;&gt;"", SUMIFS(node!$L$2:$L$1000, node!$C$2:$C$1000,"="&amp;A150), "")</f>
        <v/>
      </c>
      <c r="AE150" s="87" t="str">
        <f>IF(A150&lt;&gt;"", SUMIFS(node!$M$2:$M$1000, node!$C$2:$C$1000,"="&amp;A150), "")</f>
        <v/>
      </c>
    </row>
    <row r="151" spans="1:31" ht="15.75" customHeight="1" x14ac:dyDescent="0.25">
      <c r="A151" s="71" t="str">
        <f>IF(ISNONTEXT(node_raw[[#This Row],[Column2]]), "", node_raw[[#This Row],[Column2]])</f>
        <v/>
      </c>
      <c r="B151" s="108" t="str">
        <f>IF(A151&lt;&gt;"", VLOOKUP(A151, node!$C$2:$D$1000, 2, FALSE), "")</f>
        <v/>
      </c>
      <c r="C151" s="109" t="str">
        <f>IF(A151&lt;&gt;"", VLOOKUP(A151, node!$C$2:$E$1000, 3, FALSE), "")</f>
        <v/>
      </c>
      <c r="D151" s="110" t="str">
        <f>IF(A151&lt;&gt;"",COUNTIFS(node!$C$2:$C$1000,"="&amp;A151, node!$C$2:$C$1000,"&lt;&gt;"&amp;""),"")</f>
        <v/>
      </c>
      <c r="E151" s="111" t="str">
        <f>IF(A151&lt;&gt;"",SUMIFS(node!$F$2:$F$500, node!$C$2:$C$500,"="&amp;A151, node!$C$2:$C$500,"&lt;&gt;"&amp;"")/(B151*D151),"")</f>
        <v/>
      </c>
      <c r="F151" s="112" t="str">
        <f>IF(A151&lt;&gt;"",SUMIFS(node!$H$2:$H$500, node!$C$2:$C$500,"="&amp;A151, node!$C$2:$C$500,"&lt;&gt;"&amp;"")/(C151*D151),"")</f>
        <v/>
      </c>
      <c r="G151" s="179" t="str">
        <f>IF(A151&lt;&gt;"",SUMIFS(deployment!$F$4:$F$502, deployment!$D$4:$D$502,"="&amp;A151, deployment!$D$4:$D$502,"&lt;&gt;"&amp;""),"")</f>
        <v/>
      </c>
      <c r="H151" s="181" t="str">
        <f>IF(A151&lt;&gt;"",SUMIFS(deployment!$G$4:$G$502, deployment!$D$4:$D$502,"="&amp;A151, deployment!$D$4:$D$502,"&lt;&gt;"&amp;""),"")</f>
        <v/>
      </c>
      <c r="I151" s="113" t="str">
        <f>IF(A151&lt;&gt;"",SUMIFS(deployment!$H$4:$H$502, deployment!$D$4:$D$502,"="&amp;A151, deployment!$D$4:$D$502,"&lt;&gt;"&amp;""),"")</f>
        <v/>
      </c>
      <c r="J151" s="114" t="str">
        <f>IF(A151&lt;&gt;"",SUMIFS(deployment!$I$4:$I$502, deployment!$D$4:$D$502,"="&amp;A151, deployment!$D$4:$D$502,"&lt;&gt;"&amp;""),"")</f>
        <v/>
      </c>
      <c r="K151" s="182" t="str">
        <f>IF(A151&lt;&gt;"",SUMIFS(deployment!$J$4:$J$1002, deployment!$D$4:$D$1002,"="&amp;A151, deployment!$D$4:$D$1002,"&lt;&gt;"&amp;"", deployment!$C$4:$C$1002, "&lt;&gt;* )")+SUMIFS(namespace!$G$4:$G$1002, namespace!$B$4:$B$1002,"="&amp;A151, namespace!$B$4:$B$1002,"&lt;&gt;"&amp;""),"")</f>
        <v/>
      </c>
      <c r="L151" s="182" t="str">
        <f>IF(A151&lt;&gt;"",SUMIFS(deployment!$K$4:$K$1002, deployment!$D$4:$D$1002,"="&amp;A151, deployment!$D$4:$D$1002,"&lt;&gt;"&amp;"", deployment!$C$4:$C$1002, "&lt;&gt;* )")+SUMIFS(namespace!$H$4:$H$1002, namespace!$B$4:$B$1002,"="&amp;A151, namespace!$B$4:$B$1002,"&lt;&gt;"&amp;""),"")</f>
        <v/>
      </c>
      <c r="M151" s="115" t="str">
        <f>IF(A151&lt;&gt;"",SUMIFS(deployment!$L$4:$L$1002, deployment!$D$4:$D$1002,"="&amp;A151, deployment!$D$4:$D$1002,"&lt;&gt;"&amp;"", deployment!$C$4:$C$1002, "&lt;&gt;* )")+SUMIFS(namespace!$I$4:$I$1002, namespace!$B$4:$B$1002,"="&amp;A151, namespace!$B$4:$B$1002,"&lt;&gt;"&amp;""),"")</f>
        <v/>
      </c>
      <c r="N151" s="115" t="str">
        <f>IF(A151&lt;&gt;"",SUMIFS(deployment!$M$4:$M$1002, deployment!$D$4:$D$1002,"="&amp;A151, deployment!$D$4:$D$1002,"&lt;&gt;"&amp;"", deployment!$C$4:$C$1002, "&lt;&gt;* )")+SUMIFS(namespace!$J$4:$J$1002, namespace!$B$4:$B$1002,"="&amp;A151, namespace!$B$4:$B$1002,"&lt;&gt;"&amp;""),"")</f>
        <v/>
      </c>
      <c r="O151" s="116" t="str">
        <f t="shared" si="31"/>
        <v/>
      </c>
      <c r="P151" s="63"/>
      <c r="Q151" s="164" t="str">
        <f t="shared" si="26"/>
        <v/>
      </c>
      <c r="R151" s="60" t="str">
        <f t="shared" si="27"/>
        <v/>
      </c>
      <c r="S151" s="60" t="str">
        <f t="shared" si="28"/>
        <v/>
      </c>
      <c r="T151" s="61" t="str">
        <f t="shared" si="29"/>
        <v/>
      </c>
      <c r="U151" s="61" t="str">
        <f t="shared" si="30"/>
        <v/>
      </c>
      <c r="V151" s="183" t="str">
        <f t="shared" si="32"/>
        <v/>
      </c>
      <c r="W151" s="183" t="str">
        <f t="shared" si="33"/>
        <v/>
      </c>
      <c r="X151" s="61" t="str">
        <f t="shared" si="34"/>
        <v/>
      </c>
      <c r="Y151" s="61" t="str">
        <f t="shared" si="35"/>
        <v/>
      </c>
      <c r="Z151" s="118" t="str">
        <f t="shared" si="36"/>
        <v/>
      </c>
      <c r="AA151" s="62" t="str">
        <f t="shared" si="37"/>
        <v/>
      </c>
      <c r="AB151" s="119" t="str">
        <f>IF(A151&lt;&gt;"", IF(P151&lt;&gt;0,SUMIFS(node!$J$2:$J$1000, node!$C$2:$C$1000,"="&amp;A151)/P151,0), "")</f>
        <v/>
      </c>
      <c r="AC151" s="81" t="str">
        <f>IF(A151&lt;&gt;"", IF(P151&lt;&gt;0,SUMIFS(node!$K$2:$K$1000, node!$C$2:$C$1000,"="&amp;A151)/P151,0), "")</f>
        <v/>
      </c>
      <c r="AD151" s="82" t="str">
        <f>IF(A151&lt;&gt;"", SUMIFS(node!$L$2:$L$1000, node!$C$2:$C$1000,"="&amp;A151), "")</f>
        <v/>
      </c>
      <c r="AE151" s="87" t="str">
        <f>IF(A151&lt;&gt;"", SUMIFS(node!$M$2:$M$1000, node!$C$2:$C$1000,"="&amp;A151), "")</f>
        <v/>
      </c>
    </row>
    <row r="152" spans="1:31" ht="15.75" customHeight="1" x14ac:dyDescent="0.25">
      <c r="A152" s="71" t="str">
        <f>IF(ISNONTEXT(node_raw[[#This Row],[Column2]]), "", node_raw[[#This Row],[Column2]])</f>
        <v/>
      </c>
      <c r="B152" s="108" t="str">
        <f>IF(A152&lt;&gt;"", VLOOKUP(A152, node!$C$2:$D$1000, 2, FALSE), "")</f>
        <v/>
      </c>
      <c r="C152" s="109" t="str">
        <f>IF(A152&lt;&gt;"", VLOOKUP(A152, node!$C$2:$E$1000, 3, FALSE), "")</f>
        <v/>
      </c>
      <c r="D152" s="110" t="str">
        <f>IF(A152&lt;&gt;"",COUNTIFS(node!$C$2:$C$1000,"="&amp;A152, node!$C$2:$C$1000,"&lt;&gt;"&amp;""),"")</f>
        <v/>
      </c>
      <c r="E152" s="111" t="str">
        <f>IF(A152&lt;&gt;"",SUMIFS(node!$F$2:$F$500, node!$C$2:$C$500,"="&amp;A152, node!$C$2:$C$500,"&lt;&gt;"&amp;"")/(B152*D152),"")</f>
        <v/>
      </c>
      <c r="F152" s="112" t="str">
        <f>IF(A152&lt;&gt;"",SUMIFS(node!$H$2:$H$500, node!$C$2:$C$500,"="&amp;A152, node!$C$2:$C$500,"&lt;&gt;"&amp;"")/(C152*D152),"")</f>
        <v/>
      </c>
      <c r="G152" s="179" t="str">
        <f>IF(A152&lt;&gt;"",SUMIFS(deployment!$F$4:$F$502, deployment!$D$4:$D$502,"="&amp;A152, deployment!$D$4:$D$502,"&lt;&gt;"&amp;""),"")</f>
        <v/>
      </c>
      <c r="H152" s="181" t="str">
        <f>IF(A152&lt;&gt;"",SUMIFS(deployment!$G$4:$G$502, deployment!$D$4:$D$502,"="&amp;A152, deployment!$D$4:$D$502,"&lt;&gt;"&amp;""),"")</f>
        <v/>
      </c>
      <c r="I152" s="113" t="str">
        <f>IF(A152&lt;&gt;"",SUMIFS(deployment!$H$4:$H$502, deployment!$D$4:$D$502,"="&amp;A152, deployment!$D$4:$D$502,"&lt;&gt;"&amp;""),"")</f>
        <v/>
      </c>
      <c r="J152" s="114" t="str">
        <f>IF(A152&lt;&gt;"",SUMIFS(deployment!$I$4:$I$502, deployment!$D$4:$D$502,"="&amp;A152, deployment!$D$4:$D$502,"&lt;&gt;"&amp;""),"")</f>
        <v/>
      </c>
      <c r="K152" s="182" t="str">
        <f>IF(A152&lt;&gt;"",SUMIFS(deployment!$J$4:$J$1002, deployment!$D$4:$D$1002,"="&amp;A152, deployment!$D$4:$D$1002,"&lt;&gt;"&amp;"", deployment!$C$4:$C$1002, "&lt;&gt;* )")+SUMIFS(namespace!$G$4:$G$1002, namespace!$B$4:$B$1002,"="&amp;A152, namespace!$B$4:$B$1002,"&lt;&gt;"&amp;""),"")</f>
        <v/>
      </c>
      <c r="L152" s="182" t="str">
        <f>IF(A152&lt;&gt;"",SUMIFS(deployment!$K$4:$K$1002, deployment!$D$4:$D$1002,"="&amp;A152, deployment!$D$4:$D$1002,"&lt;&gt;"&amp;"", deployment!$C$4:$C$1002, "&lt;&gt;* )")+SUMIFS(namespace!$H$4:$H$1002, namespace!$B$4:$B$1002,"="&amp;A152, namespace!$B$4:$B$1002,"&lt;&gt;"&amp;""),"")</f>
        <v/>
      </c>
      <c r="M152" s="115" t="str">
        <f>IF(A152&lt;&gt;"",SUMIFS(deployment!$L$4:$L$1002, deployment!$D$4:$D$1002,"="&amp;A152, deployment!$D$4:$D$1002,"&lt;&gt;"&amp;"", deployment!$C$4:$C$1002, "&lt;&gt;* )")+SUMIFS(namespace!$I$4:$I$1002, namespace!$B$4:$B$1002,"="&amp;A152, namespace!$B$4:$B$1002,"&lt;&gt;"&amp;""),"")</f>
        <v/>
      </c>
      <c r="N152" s="115" t="str">
        <f>IF(A152&lt;&gt;"",SUMIFS(deployment!$M$4:$M$1002, deployment!$D$4:$D$1002,"="&amp;A152, deployment!$D$4:$D$1002,"&lt;&gt;"&amp;"", deployment!$C$4:$C$1002, "&lt;&gt;* )")+SUMIFS(namespace!$J$4:$J$1002, namespace!$B$4:$B$1002,"="&amp;A152, namespace!$B$4:$B$1002,"&lt;&gt;"&amp;""),"")</f>
        <v/>
      </c>
      <c r="O152" s="116" t="str">
        <f t="shared" si="31"/>
        <v/>
      </c>
      <c r="P152" s="63"/>
      <c r="Q152" s="164" t="str">
        <f t="shared" si="26"/>
        <v/>
      </c>
      <c r="R152" s="60" t="str">
        <f t="shared" si="27"/>
        <v/>
      </c>
      <c r="S152" s="60" t="str">
        <f t="shared" si="28"/>
        <v/>
      </c>
      <c r="T152" s="61" t="str">
        <f t="shared" si="29"/>
        <v/>
      </c>
      <c r="U152" s="61" t="str">
        <f t="shared" si="30"/>
        <v/>
      </c>
      <c r="V152" s="183" t="str">
        <f t="shared" si="32"/>
        <v/>
      </c>
      <c r="W152" s="183" t="str">
        <f t="shared" si="33"/>
        <v/>
      </c>
      <c r="X152" s="61" t="str">
        <f t="shared" si="34"/>
        <v/>
      </c>
      <c r="Y152" s="61" t="str">
        <f t="shared" si="35"/>
        <v/>
      </c>
      <c r="Z152" s="118" t="str">
        <f t="shared" si="36"/>
        <v/>
      </c>
      <c r="AA152" s="62" t="str">
        <f t="shared" si="37"/>
        <v/>
      </c>
      <c r="AB152" s="119" t="str">
        <f>IF(A152&lt;&gt;"", IF(P152&lt;&gt;0,SUMIFS(node!$J$2:$J$1000, node!$C$2:$C$1000,"="&amp;A152)/P152,0), "")</f>
        <v/>
      </c>
      <c r="AC152" s="81" t="str">
        <f>IF(A152&lt;&gt;"", IF(P152&lt;&gt;0,SUMIFS(node!$K$2:$K$1000, node!$C$2:$C$1000,"="&amp;A152)/P152,0), "")</f>
        <v/>
      </c>
      <c r="AD152" s="82" t="str">
        <f>IF(A152&lt;&gt;"", SUMIFS(node!$L$2:$L$1000, node!$C$2:$C$1000,"="&amp;A152), "")</f>
        <v/>
      </c>
      <c r="AE152" s="87" t="str">
        <f>IF(A152&lt;&gt;"", SUMIFS(node!$M$2:$M$1000, node!$C$2:$C$1000,"="&amp;A152), "")</f>
        <v/>
      </c>
    </row>
    <row r="153" spans="1:31" ht="15.75" customHeight="1" x14ac:dyDescent="0.25">
      <c r="A153" s="71" t="str">
        <f>IF(ISNONTEXT(node_raw[[#This Row],[Column2]]), "", node_raw[[#This Row],[Column2]])</f>
        <v/>
      </c>
      <c r="B153" s="108" t="str">
        <f>IF(A153&lt;&gt;"", VLOOKUP(A153, node!$C$2:$D$1000, 2, FALSE), "")</f>
        <v/>
      </c>
      <c r="C153" s="109" t="str">
        <f>IF(A153&lt;&gt;"", VLOOKUP(A153, node!$C$2:$E$1000, 3, FALSE), "")</f>
        <v/>
      </c>
      <c r="D153" s="110" t="str">
        <f>IF(A153&lt;&gt;"",COUNTIFS(node!$C$2:$C$1000,"="&amp;A153, node!$C$2:$C$1000,"&lt;&gt;"&amp;""),"")</f>
        <v/>
      </c>
      <c r="E153" s="111" t="str">
        <f>IF(A153&lt;&gt;"",SUMIFS(node!$F$2:$F$500, node!$C$2:$C$500,"="&amp;A153, node!$C$2:$C$500,"&lt;&gt;"&amp;"")/(B153*D153),"")</f>
        <v/>
      </c>
      <c r="F153" s="112" t="str">
        <f>IF(A153&lt;&gt;"",SUMIFS(node!$H$2:$H$500, node!$C$2:$C$500,"="&amp;A153, node!$C$2:$C$500,"&lt;&gt;"&amp;"")/(C153*D153),"")</f>
        <v/>
      </c>
      <c r="G153" s="179" t="str">
        <f>IF(A153&lt;&gt;"",SUMIFS(deployment!$F$4:$F$502, deployment!$D$4:$D$502,"="&amp;A153, deployment!$D$4:$D$502,"&lt;&gt;"&amp;""),"")</f>
        <v/>
      </c>
      <c r="H153" s="181" t="str">
        <f>IF(A153&lt;&gt;"",SUMIFS(deployment!$G$4:$G$502, deployment!$D$4:$D$502,"="&amp;A153, deployment!$D$4:$D$502,"&lt;&gt;"&amp;""),"")</f>
        <v/>
      </c>
      <c r="I153" s="113" t="str">
        <f>IF(A153&lt;&gt;"",SUMIFS(deployment!$H$4:$H$502, deployment!$D$4:$D$502,"="&amp;A153, deployment!$D$4:$D$502,"&lt;&gt;"&amp;""),"")</f>
        <v/>
      </c>
      <c r="J153" s="114" t="str">
        <f>IF(A153&lt;&gt;"",SUMIFS(deployment!$I$4:$I$502, deployment!$D$4:$D$502,"="&amp;A153, deployment!$D$4:$D$502,"&lt;&gt;"&amp;""),"")</f>
        <v/>
      </c>
      <c r="K153" s="182" t="str">
        <f>IF(A153&lt;&gt;"",SUMIFS(deployment!$J$4:$J$1002, deployment!$D$4:$D$1002,"="&amp;A153, deployment!$D$4:$D$1002,"&lt;&gt;"&amp;"", deployment!$C$4:$C$1002, "&lt;&gt;* )")+SUMIFS(namespace!$G$4:$G$1002, namespace!$B$4:$B$1002,"="&amp;A153, namespace!$B$4:$B$1002,"&lt;&gt;"&amp;""),"")</f>
        <v/>
      </c>
      <c r="L153" s="182" t="str">
        <f>IF(A153&lt;&gt;"",SUMIFS(deployment!$K$4:$K$1002, deployment!$D$4:$D$1002,"="&amp;A153, deployment!$D$4:$D$1002,"&lt;&gt;"&amp;"", deployment!$C$4:$C$1002, "&lt;&gt;* )")+SUMIFS(namespace!$H$4:$H$1002, namespace!$B$4:$B$1002,"="&amp;A153, namespace!$B$4:$B$1002,"&lt;&gt;"&amp;""),"")</f>
        <v/>
      </c>
      <c r="M153" s="115" t="str">
        <f>IF(A153&lt;&gt;"",SUMIFS(deployment!$L$4:$L$1002, deployment!$D$4:$D$1002,"="&amp;A153, deployment!$D$4:$D$1002,"&lt;&gt;"&amp;"", deployment!$C$4:$C$1002, "&lt;&gt;* )")+SUMIFS(namespace!$I$4:$I$1002, namespace!$B$4:$B$1002,"="&amp;A153, namespace!$B$4:$B$1002,"&lt;&gt;"&amp;""),"")</f>
        <v/>
      </c>
      <c r="N153" s="115" t="str">
        <f>IF(A153&lt;&gt;"",SUMIFS(deployment!$M$4:$M$1002, deployment!$D$4:$D$1002,"="&amp;A153, deployment!$D$4:$D$1002,"&lt;&gt;"&amp;"", deployment!$C$4:$C$1002, "&lt;&gt;* )")+SUMIFS(namespace!$J$4:$J$1002, namespace!$B$4:$B$1002,"="&amp;A153, namespace!$B$4:$B$1002,"&lt;&gt;"&amp;""),"")</f>
        <v/>
      </c>
      <c r="O153" s="116" t="str">
        <f t="shared" si="31"/>
        <v/>
      </c>
      <c r="P153" s="63"/>
      <c r="Q153" s="164" t="str">
        <f t="shared" si="26"/>
        <v/>
      </c>
      <c r="R153" s="60" t="str">
        <f t="shared" si="27"/>
        <v/>
      </c>
      <c r="S153" s="60" t="str">
        <f t="shared" si="28"/>
        <v/>
      </c>
      <c r="T153" s="61" t="str">
        <f t="shared" si="29"/>
        <v/>
      </c>
      <c r="U153" s="61" t="str">
        <f t="shared" si="30"/>
        <v/>
      </c>
      <c r="V153" s="183" t="str">
        <f t="shared" si="32"/>
        <v/>
      </c>
      <c r="W153" s="183" t="str">
        <f t="shared" si="33"/>
        <v/>
      </c>
      <c r="X153" s="61" t="str">
        <f t="shared" si="34"/>
        <v/>
      </c>
      <c r="Y153" s="61" t="str">
        <f t="shared" si="35"/>
        <v/>
      </c>
      <c r="Z153" s="118" t="str">
        <f t="shared" si="36"/>
        <v/>
      </c>
      <c r="AA153" s="62" t="str">
        <f t="shared" si="37"/>
        <v/>
      </c>
      <c r="AB153" s="119" t="str">
        <f>IF(A153&lt;&gt;"", IF(P153&lt;&gt;0,SUMIFS(node!$J$2:$J$1000, node!$C$2:$C$1000,"="&amp;A153)/P153,0), "")</f>
        <v/>
      </c>
      <c r="AC153" s="81" t="str">
        <f>IF(A153&lt;&gt;"", IF(P153&lt;&gt;0,SUMIFS(node!$K$2:$K$1000, node!$C$2:$C$1000,"="&amp;A153)/P153,0), "")</f>
        <v/>
      </c>
      <c r="AD153" s="82" t="str">
        <f>IF(A153&lt;&gt;"", SUMIFS(node!$L$2:$L$1000, node!$C$2:$C$1000,"="&amp;A153), "")</f>
        <v/>
      </c>
      <c r="AE153" s="87" t="str">
        <f>IF(A153&lt;&gt;"", SUMIFS(node!$M$2:$M$1000, node!$C$2:$C$1000,"="&amp;A153), "")</f>
        <v/>
      </c>
    </row>
    <row r="154" spans="1:31" ht="15.75" customHeight="1" x14ac:dyDescent="0.25">
      <c r="A154" s="71" t="str">
        <f>IF(ISNONTEXT(node_raw[[#This Row],[Column2]]), "", node_raw[[#This Row],[Column2]])</f>
        <v/>
      </c>
      <c r="B154" s="108" t="str">
        <f>IF(A154&lt;&gt;"", VLOOKUP(A154, node!$C$2:$D$1000, 2, FALSE), "")</f>
        <v/>
      </c>
      <c r="C154" s="109" t="str">
        <f>IF(A154&lt;&gt;"", VLOOKUP(A154, node!$C$2:$E$1000, 3, FALSE), "")</f>
        <v/>
      </c>
      <c r="D154" s="110" t="str">
        <f>IF(A154&lt;&gt;"",COUNTIFS(node!$C$2:$C$1000,"="&amp;A154, node!$C$2:$C$1000,"&lt;&gt;"&amp;""),"")</f>
        <v/>
      </c>
      <c r="E154" s="111" t="str">
        <f>IF(A154&lt;&gt;"",SUMIFS(node!$F$2:$F$500, node!$C$2:$C$500,"="&amp;A154, node!$C$2:$C$500,"&lt;&gt;"&amp;"")/(B154*D154),"")</f>
        <v/>
      </c>
      <c r="F154" s="112" t="str">
        <f>IF(A154&lt;&gt;"",SUMIFS(node!$H$2:$H$500, node!$C$2:$C$500,"="&amp;A154, node!$C$2:$C$500,"&lt;&gt;"&amp;"")/(C154*D154),"")</f>
        <v/>
      </c>
      <c r="G154" s="179" t="str">
        <f>IF(A154&lt;&gt;"",SUMIFS(deployment!$F$4:$F$502, deployment!$D$4:$D$502,"="&amp;A154, deployment!$D$4:$D$502,"&lt;&gt;"&amp;""),"")</f>
        <v/>
      </c>
      <c r="H154" s="181" t="str">
        <f>IF(A154&lt;&gt;"",SUMIFS(deployment!$G$4:$G$502, deployment!$D$4:$D$502,"="&amp;A154, deployment!$D$4:$D$502,"&lt;&gt;"&amp;""),"")</f>
        <v/>
      </c>
      <c r="I154" s="113" t="str">
        <f>IF(A154&lt;&gt;"",SUMIFS(deployment!$H$4:$H$502, deployment!$D$4:$D$502,"="&amp;A154, deployment!$D$4:$D$502,"&lt;&gt;"&amp;""),"")</f>
        <v/>
      </c>
      <c r="J154" s="114" t="str">
        <f>IF(A154&lt;&gt;"",SUMIFS(deployment!$I$4:$I$502, deployment!$D$4:$D$502,"="&amp;A154, deployment!$D$4:$D$502,"&lt;&gt;"&amp;""),"")</f>
        <v/>
      </c>
      <c r="K154" s="182" t="str">
        <f>IF(A154&lt;&gt;"",SUMIFS(deployment!$J$4:$J$1002, deployment!$D$4:$D$1002,"="&amp;A154, deployment!$D$4:$D$1002,"&lt;&gt;"&amp;"", deployment!$C$4:$C$1002, "&lt;&gt;* )")+SUMIFS(namespace!$G$4:$G$1002, namespace!$B$4:$B$1002,"="&amp;A154, namespace!$B$4:$B$1002,"&lt;&gt;"&amp;""),"")</f>
        <v/>
      </c>
      <c r="L154" s="182" t="str">
        <f>IF(A154&lt;&gt;"",SUMIFS(deployment!$K$4:$K$1002, deployment!$D$4:$D$1002,"="&amp;A154, deployment!$D$4:$D$1002,"&lt;&gt;"&amp;"", deployment!$C$4:$C$1002, "&lt;&gt;* )")+SUMIFS(namespace!$H$4:$H$1002, namespace!$B$4:$B$1002,"="&amp;A154, namespace!$B$4:$B$1002,"&lt;&gt;"&amp;""),"")</f>
        <v/>
      </c>
      <c r="M154" s="115" t="str">
        <f>IF(A154&lt;&gt;"",SUMIFS(deployment!$L$4:$L$1002, deployment!$D$4:$D$1002,"="&amp;A154, deployment!$D$4:$D$1002,"&lt;&gt;"&amp;"", deployment!$C$4:$C$1002, "&lt;&gt;* )")+SUMIFS(namespace!$I$4:$I$1002, namespace!$B$4:$B$1002,"="&amp;A154, namespace!$B$4:$B$1002,"&lt;&gt;"&amp;""),"")</f>
        <v/>
      </c>
      <c r="N154" s="115" t="str">
        <f>IF(A154&lt;&gt;"",SUMIFS(deployment!$M$4:$M$1002, deployment!$D$4:$D$1002,"="&amp;A154, deployment!$D$4:$D$1002,"&lt;&gt;"&amp;"", deployment!$C$4:$C$1002, "&lt;&gt;* )")+SUMIFS(namespace!$J$4:$J$1002, namespace!$B$4:$B$1002,"="&amp;A154, namespace!$B$4:$B$1002,"&lt;&gt;"&amp;""),"")</f>
        <v/>
      </c>
      <c r="O154" s="116" t="str">
        <f t="shared" si="31"/>
        <v/>
      </c>
      <c r="P154" s="63"/>
      <c r="Q154" s="164" t="str">
        <f t="shared" si="26"/>
        <v/>
      </c>
      <c r="R154" s="60" t="str">
        <f t="shared" si="27"/>
        <v/>
      </c>
      <c r="S154" s="60" t="str">
        <f t="shared" si="28"/>
        <v/>
      </c>
      <c r="T154" s="61" t="str">
        <f t="shared" si="29"/>
        <v/>
      </c>
      <c r="U154" s="61" t="str">
        <f t="shared" si="30"/>
        <v/>
      </c>
      <c r="V154" s="183" t="str">
        <f t="shared" si="32"/>
        <v/>
      </c>
      <c r="W154" s="183" t="str">
        <f t="shared" si="33"/>
        <v/>
      </c>
      <c r="X154" s="61" t="str">
        <f t="shared" si="34"/>
        <v/>
      </c>
      <c r="Y154" s="61" t="str">
        <f t="shared" si="35"/>
        <v/>
      </c>
      <c r="Z154" s="118" t="str">
        <f t="shared" si="36"/>
        <v/>
      </c>
      <c r="AA154" s="62" t="str">
        <f t="shared" si="37"/>
        <v/>
      </c>
      <c r="AB154" s="119" t="str">
        <f>IF(A154&lt;&gt;"", IF(P154&lt;&gt;0,SUMIFS(node!$J$2:$J$1000, node!$C$2:$C$1000,"="&amp;A154)/P154,0), "")</f>
        <v/>
      </c>
      <c r="AC154" s="81" t="str">
        <f>IF(A154&lt;&gt;"", IF(P154&lt;&gt;0,SUMIFS(node!$K$2:$K$1000, node!$C$2:$C$1000,"="&amp;A154)/P154,0), "")</f>
        <v/>
      </c>
      <c r="AD154" s="82" t="str">
        <f>IF(A154&lt;&gt;"", SUMIFS(node!$L$2:$L$1000, node!$C$2:$C$1000,"="&amp;A154), "")</f>
        <v/>
      </c>
      <c r="AE154" s="87" t="str">
        <f>IF(A154&lt;&gt;"", SUMIFS(node!$M$2:$M$1000, node!$C$2:$C$1000,"="&amp;A154), "")</f>
        <v/>
      </c>
    </row>
    <row r="155" spans="1:31" ht="15.75" customHeight="1" x14ac:dyDescent="0.25">
      <c r="A155" s="71" t="str">
        <f>IF(ISNONTEXT(node_raw[[#This Row],[Column2]]), "", node_raw[[#This Row],[Column2]])</f>
        <v/>
      </c>
      <c r="B155" s="108" t="str">
        <f>IF(A155&lt;&gt;"", VLOOKUP(A155, node!$C$2:$D$1000, 2, FALSE), "")</f>
        <v/>
      </c>
      <c r="C155" s="109" t="str">
        <f>IF(A155&lt;&gt;"", VLOOKUP(A155, node!$C$2:$E$1000, 3, FALSE), "")</f>
        <v/>
      </c>
      <c r="D155" s="110" t="str">
        <f>IF(A155&lt;&gt;"",COUNTIFS(node!$C$2:$C$1000,"="&amp;A155, node!$C$2:$C$1000,"&lt;&gt;"&amp;""),"")</f>
        <v/>
      </c>
      <c r="E155" s="111" t="str">
        <f>IF(A155&lt;&gt;"",SUMIFS(node!$F$2:$F$500, node!$C$2:$C$500,"="&amp;A155, node!$C$2:$C$500,"&lt;&gt;"&amp;"")/(B155*D155),"")</f>
        <v/>
      </c>
      <c r="F155" s="112" t="str">
        <f>IF(A155&lt;&gt;"",SUMIFS(node!$H$2:$H$500, node!$C$2:$C$500,"="&amp;A155, node!$C$2:$C$500,"&lt;&gt;"&amp;"")/(C155*D155),"")</f>
        <v/>
      </c>
      <c r="G155" s="179" t="str">
        <f>IF(A155&lt;&gt;"",SUMIFS(deployment!$F$4:$F$502, deployment!$D$4:$D$502,"="&amp;A155, deployment!$D$4:$D$502,"&lt;&gt;"&amp;""),"")</f>
        <v/>
      </c>
      <c r="H155" s="181" t="str">
        <f>IF(A155&lt;&gt;"",SUMIFS(deployment!$G$4:$G$502, deployment!$D$4:$D$502,"="&amp;A155, deployment!$D$4:$D$502,"&lt;&gt;"&amp;""),"")</f>
        <v/>
      </c>
      <c r="I155" s="113" t="str">
        <f>IF(A155&lt;&gt;"",SUMIFS(deployment!$H$4:$H$502, deployment!$D$4:$D$502,"="&amp;A155, deployment!$D$4:$D$502,"&lt;&gt;"&amp;""),"")</f>
        <v/>
      </c>
      <c r="J155" s="114" t="str">
        <f>IF(A155&lt;&gt;"",SUMIFS(deployment!$I$4:$I$502, deployment!$D$4:$D$502,"="&amp;A155, deployment!$D$4:$D$502,"&lt;&gt;"&amp;""),"")</f>
        <v/>
      </c>
      <c r="K155" s="182" t="str">
        <f>IF(A155&lt;&gt;"",SUMIFS(deployment!$J$4:$J$1002, deployment!$D$4:$D$1002,"="&amp;A155, deployment!$D$4:$D$1002,"&lt;&gt;"&amp;"", deployment!$C$4:$C$1002, "&lt;&gt;* )")+SUMIFS(namespace!$G$4:$G$1002, namespace!$B$4:$B$1002,"="&amp;A155, namespace!$B$4:$B$1002,"&lt;&gt;"&amp;""),"")</f>
        <v/>
      </c>
      <c r="L155" s="182" t="str">
        <f>IF(A155&lt;&gt;"",SUMIFS(deployment!$K$4:$K$1002, deployment!$D$4:$D$1002,"="&amp;A155, deployment!$D$4:$D$1002,"&lt;&gt;"&amp;"", deployment!$C$4:$C$1002, "&lt;&gt;* )")+SUMIFS(namespace!$H$4:$H$1002, namespace!$B$4:$B$1002,"="&amp;A155, namespace!$B$4:$B$1002,"&lt;&gt;"&amp;""),"")</f>
        <v/>
      </c>
      <c r="M155" s="115" t="str">
        <f>IF(A155&lt;&gt;"",SUMIFS(deployment!$L$4:$L$1002, deployment!$D$4:$D$1002,"="&amp;A155, deployment!$D$4:$D$1002,"&lt;&gt;"&amp;"", deployment!$C$4:$C$1002, "&lt;&gt;* )")+SUMIFS(namespace!$I$4:$I$1002, namespace!$B$4:$B$1002,"="&amp;A155, namespace!$B$4:$B$1002,"&lt;&gt;"&amp;""),"")</f>
        <v/>
      </c>
      <c r="N155" s="115" t="str">
        <f>IF(A155&lt;&gt;"",SUMIFS(deployment!$M$4:$M$1002, deployment!$D$4:$D$1002,"="&amp;A155, deployment!$D$4:$D$1002,"&lt;&gt;"&amp;"", deployment!$C$4:$C$1002, "&lt;&gt;* )")+SUMIFS(namespace!$J$4:$J$1002, namespace!$B$4:$B$1002,"="&amp;A155, namespace!$B$4:$B$1002,"&lt;&gt;"&amp;""),"")</f>
        <v/>
      </c>
      <c r="O155" s="116" t="str">
        <f t="shared" si="31"/>
        <v/>
      </c>
      <c r="P155" s="63"/>
      <c r="Q155" s="164" t="str">
        <f t="shared" si="26"/>
        <v/>
      </c>
      <c r="R155" s="60" t="str">
        <f t="shared" si="27"/>
        <v/>
      </c>
      <c r="S155" s="60" t="str">
        <f t="shared" si="28"/>
        <v/>
      </c>
      <c r="T155" s="61" t="str">
        <f t="shared" si="29"/>
        <v/>
      </c>
      <c r="U155" s="61" t="str">
        <f t="shared" si="30"/>
        <v/>
      </c>
      <c r="V155" s="183" t="str">
        <f t="shared" si="32"/>
        <v/>
      </c>
      <c r="W155" s="183" t="str">
        <f t="shared" si="33"/>
        <v/>
      </c>
      <c r="X155" s="61" t="str">
        <f t="shared" si="34"/>
        <v/>
      </c>
      <c r="Y155" s="61" t="str">
        <f t="shared" si="35"/>
        <v/>
      </c>
      <c r="Z155" s="118" t="str">
        <f t="shared" si="36"/>
        <v/>
      </c>
      <c r="AA155" s="62" t="str">
        <f t="shared" si="37"/>
        <v/>
      </c>
      <c r="AB155" s="119" t="str">
        <f>IF(A155&lt;&gt;"", IF(P155&lt;&gt;0,SUMIFS(node!$J$2:$J$1000, node!$C$2:$C$1000,"="&amp;A155)/P155,0), "")</f>
        <v/>
      </c>
      <c r="AC155" s="81" t="str">
        <f>IF(A155&lt;&gt;"", IF(P155&lt;&gt;0,SUMIFS(node!$K$2:$K$1000, node!$C$2:$C$1000,"="&amp;A155)/P155,0), "")</f>
        <v/>
      </c>
      <c r="AD155" s="82" t="str">
        <f>IF(A155&lt;&gt;"", SUMIFS(node!$L$2:$L$1000, node!$C$2:$C$1000,"="&amp;A155), "")</f>
        <v/>
      </c>
      <c r="AE155" s="87" t="str">
        <f>IF(A155&lt;&gt;"", SUMIFS(node!$M$2:$M$1000, node!$C$2:$C$1000,"="&amp;A155), "")</f>
        <v/>
      </c>
    </row>
    <row r="156" spans="1:31" ht="15.75" customHeight="1" x14ac:dyDescent="0.25">
      <c r="A156" s="71" t="str">
        <f>IF(ISNONTEXT(node_raw[[#This Row],[Column2]]), "", node_raw[[#This Row],[Column2]])</f>
        <v/>
      </c>
      <c r="B156" s="108" t="str">
        <f>IF(A156&lt;&gt;"", VLOOKUP(A156, node!$C$2:$D$1000, 2, FALSE), "")</f>
        <v/>
      </c>
      <c r="C156" s="109" t="str">
        <f>IF(A156&lt;&gt;"", VLOOKUP(A156, node!$C$2:$E$1000, 3, FALSE), "")</f>
        <v/>
      </c>
      <c r="D156" s="110" t="str">
        <f>IF(A156&lt;&gt;"",COUNTIFS(node!$C$2:$C$1000,"="&amp;A156, node!$C$2:$C$1000,"&lt;&gt;"&amp;""),"")</f>
        <v/>
      </c>
      <c r="E156" s="111" t="str">
        <f>IF(A156&lt;&gt;"",SUMIFS(node!$F$2:$F$500, node!$C$2:$C$500,"="&amp;A156, node!$C$2:$C$500,"&lt;&gt;"&amp;"")/(B156*D156),"")</f>
        <v/>
      </c>
      <c r="F156" s="112" t="str">
        <f>IF(A156&lt;&gt;"",SUMIFS(node!$H$2:$H$500, node!$C$2:$C$500,"="&amp;A156, node!$C$2:$C$500,"&lt;&gt;"&amp;"")/(C156*D156),"")</f>
        <v/>
      </c>
      <c r="G156" s="179" t="str">
        <f>IF(A156&lt;&gt;"",SUMIFS(deployment!$F$4:$F$502, deployment!$D$4:$D$502,"="&amp;A156, deployment!$D$4:$D$502,"&lt;&gt;"&amp;""),"")</f>
        <v/>
      </c>
      <c r="H156" s="181" t="str">
        <f>IF(A156&lt;&gt;"",SUMIFS(deployment!$G$4:$G$502, deployment!$D$4:$D$502,"="&amp;A156, deployment!$D$4:$D$502,"&lt;&gt;"&amp;""),"")</f>
        <v/>
      </c>
      <c r="I156" s="113" t="str">
        <f>IF(A156&lt;&gt;"",SUMIFS(deployment!$H$4:$H$502, deployment!$D$4:$D$502,"="&amp;A156, deployment!$D$4:$D$502,"&lt;&gt;"&amp;""),"")</f>
        <v/>
      </c>
      <c r="J156" s="114" t="str">
        <f>IF(A156&lt;&gt;"",SUMIFS(deployment!$I$4:$I$502, deployment!$D$4:$D$502,"="&amp;A156, deployment!$D$4:$D$502,"&lt;&gt;"&amp;""),"")</f>
        <v/>
      </c>
      <c r="K156" s="182" t="str">
        <f>IF(A156&lt;&gt;"",SUMIFS(deployment!$J$4:$J$1002, deployment!$D$4:$D$1002,"="&amp;A156, deployment!$D$4:$D$1002,"&lt;&gt;"&amp;"", deployment!$C$4:$C$1002, "&lt;&gt;* )")+SUMIFS(namespace!$G$4:$G$1002, namespace!$B$4:$B$1002,"="&amp;A156, namespace!$B$4:$B$1002,"&lt;&gt;"&amp;""),"")</f>
        <v/>
      </c>
      <c r="L156" s="182" t="str">
        <f>IF(A156&lt;&gt;"",SUMIFS(deployment!$K$4:$K$1002, deployment!$D$4:$D$1002,"="&amp;A156, deployment!$D$4:$D$1002,"&lt;&gt;"&amp;"", deployment!$C$4:$C$1002, "&lt;&gt;* )")+SUMIFS(namespace!$H$4:$H$1002, namespace!$B$4:$B$1002,"="&amp;A156, namespace!$B$4:$B$1002,"&lt;&gt;"&amp;""),"")</f>
        <v/>
      </c>
      <c r="M156" s="115" t="str">
        <f>IF(A156&lt;&gt;"",SUMIFS(deployment!$L$4:$L$1002, deployment!$D$4:$D$1002,"="&amp;A156, deployment!$D$4:$D$1002,"&lt;&gt;"&amp;"", deployment!$C$4:$C$1002, "&lt;&gt;* )")+SUMIFS(namespace!$I$4:$I$1002, namespace!$B$4:$B$1002,"="&amp;A156, namespace!$B$4:$B$1002,"&lt;&gt;"&amp;""),"")</f>
        <v/>
      </c>
      <c r="N156" s="115" t="str">
        <f>IF(A156&lt;&gt;"",SUMIFS(deployment!$M$4:$M$1002, deployment!$D$4:$D$1002,"="&amp;A156, deployment!$D$4:$D$1002,"&lt;&gt;"&amp;"", deployment!$C$4:$C$1002, "&lt;&gt;* )")+SUMIFS(namespace!$J$4:$J$1002, namespace!$B$4:$B$1002,"="&amp;A156, namespace!$B$4:$B$1002,"&lt;&gt;"&amp;""),"")</f>
        <v/>
      </c>
      <c r="O156" s="116" t="str">
        <f t="shared" si="31"/>
        <v/>
      </c>
      <c r="P156" s="63"/>
      <c r="Q156" s="164" t="str">
        <f t="shared" si="26"/>
        <v/>
      </c>
      <c r="R156" s="60" t="str">
        <f t="shared" si="27"/>
        <v/>
      </c>
      <c r="S156" s="60" t="str">
        <f t="shared" si="28"/>
        <v/>
      </c>
      <c r="T156" s="61" t="str">
        <f t="shared" si="29"/>
        <v/>
      </c>
      <c r="U156" s="61" t="str">
        <f t="shared" si="30"/>
        <v/>
      </c>
      <c r="V156" s="183" t="str">
        <f t="shared" si="32"/>
        <v/>
      </c>
      <c r="W156" s="183" t="str">
        <f t="shared" si="33"/>
        <v/>
      </c>
      <c r="X156" s="61" t="str">
        <f t="shared" si="34"/>
        <v/>
      </c>
      <c r="Y156" s="61" t="str">
        <f t="shared" si="35"/>
        <v/>
      </c>
      <c r="Z156" s="118" t="str">
        <f t="shared" si="36"/>
        <v/>
      </c>
      <c r="AA156" s="62" t="str">
        <f t="shared" si="37"/>
        <v/>
      </c>
      <c r="AB156" s="119" t="str">
        <f>IF(A156&lt;&gt;"", IF(P156&lt;&gt;0,SUMIFS(node!$J$2:$J$1000, node!$C$2:$C$1000,"="&amp;A156)/P156,0), "")</f>
        <v/>
      </c>
      <c r="AC156" s="81" t="str">
        <f>IF(A156&lt;&gt;"", IF(P156&lt;&gt;0,SUMIFS(node!$K$2:$K$1000, node!$C$2:$C$1000,"="&amp;A156)/P156,0), "")</f>
        <v/>
      </c>
      <c r="AD156" s="82" t="str">
        <f>IF(A156&lt;&gt;"", SUMIFS(node!$L$2:$L$1000, node!$C$2:$C$1000,"="&amp;A156), "")</f>
        <v/>
      </c>
      <c r="AE156" s="87" t="str">
        <f>IF(A156&lt;&gt;"", SUMIFS(node!$M$2:$M$1000, node!$C$2:$C$1000,"="&amp;A156), "")</f>
        <v/>
      </c>
    </row>
    <row r="157" spans="1:31" ht="15.75" customHeight="1" x14ac:dyDescent="0.25">
      <c r="A157" s="71" t="str">
        <f>IF(ISNONTEXT(node_raw[[#This Row],[Column2]]), "", node_raw[[#This Row],[Column2]])</f>
        <v/>
      </c>
      <c r="B157" s="108" t="str">
        <f>IF(A157&lt;&gt;"", VLOOKUP(A157, node!$C$2:$D$1000, 2, FALSE), "")</f>
        <v/>
      </c>
      <c r="C157" s="109" t="str">
        <f>IF(A157&lt;&gt;"", VLOOKUP(A157, node!$C$2:$E$1000, 3, FALSE), "")</f>
        <v/>
      </c>
      <c r="D157" s="110" t="str">
        <f>IF(A157&lt;&gt;"",COUNTIFS(node!$C$2:$C$1000,"="&amp;A157, node!$C$2:$C$1000,"&lt;&gt;"&amp;""),"")</f>
        <v/>
      </c>
      <c r="E157" s="111" t="str">
        <f>IF(A157&lt;&gt;"",SUMIFS(node!$F$2:$F$500, node!$C$2:$C$500,"="&amp;A157, node!$C$2:$C$500,"&lt;&gt;"&amp;"")/(B157*D157),"")</f>
        <v/>
      </c>
      <c r="F157" s="112" t="str">
        <f>IF(A157&lt;&gt;"",SUMIFS(node!$H$2:$H$500, node!$C$2:$C$500,"="&amp;A157, node!$C$2:$C$500,"&lt;&gt;"&amp;"")/(C157*D157),"")</f>
        <v/>
      </c>
      <c r="G157" s="179" t="str">
        <f>IF(A157&lt;&gt;"",SUMIFS(deployment!$F$4:$F$502, deployment!$D$4:$D$502,"="&amp;A157, deployment!$D$4:$D$502,"&lt;&gt;"&amp;""),"")</f>
        <v/>
      </c>
      <c r="H157" s="181" t="str">
        <f>IF(A157&lt;&gt;"",SUMIFS(deployment!$G$4:$G$502, deployment!$D$4:$D$502,"="&amp;A157, deployment!$D$4:$D$502,"&lt;&gt;"&amp;""),"")</f>
        <v/>
      </c>
      <c r="I157" s="113" t="str">
        <f>IF(A157&lt;&gt;"",SUMIFS(deployment!$H$4:$H$502, deployment!$D$4:$D$502,"="&amp;A157, deployment!$D$4:$D$502,"&lt;&gt;"&amp;""),"")</f>
        <v/>
      </c>
      <c r="J157" s="114" t="str">
        <f>IF(A157&lt;&gt;"",SUMIFS(deployment!$I$4:$I$502, deployment!$D$4:$D$502,"="&amp;A157, deployment!$D$4:$D$502,"&lt;&gt;"&amp;""),"")</f>
        <v/>
      </c>
      <c r="K157" s="182" t="str">
        <f>IF(A157&lt;&gt;"",SUMIFS(deployment!$J$4:$J$1002, deployment!$D$4:$D$1002,"="&amp;A157, deployment!$D$4:$D$1002,"&lt;&gt;"&amp;"", deployment!$C$4:$C$1002, "&lt;&gt;* )")+SUMIFS(namespace!$G$4:$G$1002, namespace!$B$4:$B$1002,"="&amp;A157, namespace!$B$4:$B$1002,"&lt;&gt;"&amp;""),"")</f>
        <v/>
      </c>
      <c r="L157" s="182" t="str">
        <f>IF(A157&lt;&gt;"",SUMIFS(deployment!$K$4:$K$1002, deployment!$D$4:$D$1002,"="&amp;A157, deployment!$D$4:$D$1002,"&lt;&gt;"&amp;"", deployment!$C$4:$C$1002, "&lt;&gt;* )")+SUMIFS(namespace!$H$4:$H$1002, namespace!$B$4:$B$1002,"="&amp;A157, namespace!$B$4:$B$1002,"&lt;&gt;"&amp;""),"")</f>
        <v/>
      </c>
      <c r="M157" s="115" t="str">
        <f>IF(A157&lt;&gt;"",SUMIFS(deployment!$L$4:$L$1002, deployment!$D$4:$D$1002,"="&amp;A157, deployment!$D$4:$D$1002,"&lt;&gt;"&amp;"", deployment!$C$4:$C$1002, "&lt;&gt;* )")+SUMIFS(namespace!$I$4:$I$1002, namespace!$B$4:$B$1002,"="&amp;A157, namespace!$B$4:$B$1002,"&lt;&gt;"&amp;""),"")</f>
        <v/>
      </c>
      <c r="N157" s="115" t="str">
        <f>IF(A157&lt;&gt;"",SUMIFS(deployment!$M$4:$M$1002, deployment!$D$4:$D$1002,"="&amp;A157, deployment!$D$4:$D$1002,"&lt;&gt;"&amp;"", deployment!$C$4:$C$1002, "&lt;&gt;* )")+SUMIFS(namespace!$J$4:$J$1002, namespace!$B$4:$B$1002,"="&amp;A157, namespace!$B$4:$B$1002,"&lt;&gt;"&amp;""),"")</f>
        <v/>
      </c>
      <c r="O157" s="116" t="str">
        <f t="shared" si="31"/>
        <v/>
      </c>
      <c r="P157" s="63"/>
      <c r="Q157" s="164" t="str">
        <f t="shared" si="26"/>
        <v/>
      </c>
      <c r="R157" s="60" t="str">
        <f t="shared" si="27"/>
        <v/>
      </c>
      <c r="S157" s="60" t="str">
        <f t="shared" si="28"/>
        <v/>
      </c>
      <c r="T157" s="61" t="str">
        <f t="shared" si="29"/>
        <v/>
      </c>
      <c r="U157" s="61" t="str">
        <f t="shared" si="30"/>
        <v/>
      </c>
      <c r="V157" s="183" t="str">
        <f t="shared" si="32"/>
        <v/>
      </c>
      <c r="W157" s="183" t="str">
        <f t="shared" si="33"/>
        <v/>
      </c>
      <c r="X157" s="61" t="str">
        <f t="shared" si="34"/>
        <v/>
      </c>
      <c r="Y157" s="61" t="str">
        <f t="shared" si="35"/>
        <v/>
      </c>
      <c r="Z157" s="118" t="str">
        <f t="shared" si="36"/>
        <v/>
      </c>
      <c r="AA157" s="62" t="str">
        <f t="shared" si="37"/>
        <v/>
      </c>
      <c r="AB157" s="119" t="str">
        <f>IF(A157&lt;&gt;"", IF(P157&lt;&gt;0,SUMIFS(node!$J$2:$J$1000, node!$C$2:$C$1000,"="&amp;A157)/P157,0), "")</f>
        <v/>
      </c>
      <c r="AC157" s="81" t="str">
        <f>IF(A157&lt;&gt;"", IF(P157&lt;&gt;0,SUMIFS(node!$K$2:$K$1000, node!$C$2:$C$1000,"="&amp;A157)/P157,0), "")</f>
        <v/>
      </c>
      <c r="AD157" s="82" t="str">
        <f>IF(A157&lt;&gt;"", SUMIFS(node!$L$2:$L$1000, node!$C$2:$C$1000,"="&amp;A157), "")</f>
        <v/>
      </c>
      <c r="AE157" s="87" t="str">
        <f>IF(A157&lt;&gt;"", SUMIFS(node!$M$2:$M$1000, node!$C$2:$C$1000,"="&amp;A157), "")</f>
        <v/>
      </c>
    </row>
    <row r="158" spans="1:31" ht="15.75" customHeight="1" x14ac:dyDescent="0.25">
      <c r="A158" s="71" t="str">
        <f>IF(ISNONTEXT(node_raw[[#This Row],[Column2]]), "", node_raw[[#This Row],[Column2]])</f>
        <v/>
      </c>
      <c r="B158" s="108" t="str">
        <f>IF(A158&lt;&gt;"", VLOOKUP(A158, node!$C$2:$D$1000, 2, FALSE), "")</f>
        <v/>
      </c>
      <c r="C158" s="109" t="str">
        <f>IF(A158&lt;&gt;"", VLOOKUP(A158, node!$C$2:$E$1000, 3, FALSE), "")</f>
        <v/>
      </c>
      <c r="D158" s="110" t="str">
        <f>IF(A158&lt;&gt;"",COUNTIFS(node!$C$2:$C$1000,"="&amp;A158, node!$C$2:$C$1000,"&lt;&gt;"&amp;""),"")</f>
        <v/>
      </c>
      <c r="E158" s="111" t="str">
        <f>IF(A158&lt;&gt;"",SUMIFS(node!$F$2:$F$500, node!$C$2:$C$500,"="&amp;A158, node!$C$2:$C$500,"&lt;&gt;"&amp;"")/(B158*D158),"")</f>
        <v/>
      </c>
      <c r="F158" s="112" t="str">
        <f>IF(A158&lt;&gt;"",SUMIFS(node!$H$2:$H$500, node!$C$2:$C$500,"="&amp;A158, node!$C$2:$C$500,"&lt;&gt;"&amp;"")/(C158*D158),"")</f>
        <v/>
      </c>
      <c r="G158" s="179" t="str">
        <f>IF(A158&lt;&gt;"",SUMIFS(deployment!$F$4:$F$502, deployment!$D$4:$D$502,"="&amp;A158, deployment!$D$4:$D$502,"&lt;&gt;"&amp;""),"")</f>
        <v/>
      </c>
      <c r="H158" s="181" t="str">
        <f>IF(A158&lt;&gt;"",SUMIFS(deployment!$G$4:$G$502, deployment!$D$4:$D$502,"="&amp;A158, deployment!$D$4:$D$502,"&lt;&gt;"&amp;""),"")</f>
        <v/>
      </c>
      <c r="I158" s="113" t="str">
        <f>IF(A158&lt;&gt;"",SUMIFS(deployment!$H$4:$H$502, deployment!$D$4:$D$502,"="&amp;A158, deployment!$D$4:$D$502,"&lt;&gt;"&amp;""),"")</f>
        <v/>
      </c>
      <c r="J158" s="114" t="str">
        <f>IF(A158&lt;&gt;"",SUMIFS(deployment!$I$4:$I$502, deployment!$D$4:$D$502,"="&amp;A158, deployment!$D$4:$D$502,"&lt;&gt;"&amp;""),"")</f>
        <v/>
      </c>
      <c r="K158" s="182" t="str">
        <f>IF(A158&lt;&gt;"",SUMIFS(deployment!$J$4:$J$1002, deployment!$D$4:$D$1002,"="&amp;A158, deployment!$D$4:$D$1002,"&lt;&gt;"&amp;"", deployment!$C$4:$C$1002, "&lt;&gt;* )")+SUMIFS(namespace!$G$4:$G$1002, namespace!$B$4:$B$1002,"="&amp;A158, namespace!$B$4:$B$1002,"&lt;&gt;"&amp;""),"")</f>
        <v/>
      </c>
      <c r="L158" s="182" t="str">
        <f>IF(A158&lt;&gt;"",SUMIFS(deployment!$K$4:$K$1002, deployment!$D$4:$D$1002,"="&amp;A158, deployment!$D$4:$D$1002,"&lt;&gt;"&amp;"", deployment!$C$4:$C$1002, "&lt;&gt;* )")+SUMIFS(namespace!$H$4:$H$1002, namespace!$B$4:$B$1002,"="&amp;A158, namespace!$B$4:$B$1002,"&lt;&gt;"&amp;""),"")</f>
        <v/>
      </c>
      <c r="M158" s="115" t="str">
        <f>IF(A158&lt;&gt;"",SUMIFS(deployment!$L$4:$L$1002, deployment!$D$4:$D$1002,"="&amp;A158, deployment!$D$4:$D$1002,"&lt;&gt;"&amp;"", deployment!$C$4:$C$1002, "&lt;&gt;* )")+SUMIFS(namespace!$I$4:$I$1002, namespace!$B$4:$B$1002,"="&amp;A158, namespace!$B$4:$B$1002,"&lt;&gt;"&amp;""),"")</f>
        <v/>
      </c>
      <c r="N158" s="115" t="str">
        <f>IF(A158&lt;&gt;"",SUMIFS(deployment!$M$4:$M$1002, deployment!$D$4:$D$1002,"="&amp;A158, deployment!$D$4:$D$1002,"&lt;&gt;"&amp;"", deployment!$C$4:$C$1002, "&lt;&gt;* )")+SUMIFS(namespace!$J$4:$J$1002, namespace!$B$4:$B$1002,"="&amp;A158, namespace!$B$4:$B$1002,"&lt;&gt;"&amp;""),"")</f>
        <v/>
      </c>
      <c r="O158" s="116" t="str">
        <f t="shared" si="31"/>
        <v/>
      </c>
      <c r="P158" s="63"/>
      <c r="Q158" s="164" t="str">
        <f t="shared" si="26"/>
        <v/>
      </c>
      <c r="R158" s="60" t="str">
        <f t="shared" si="27"/>
        <v/>
      </c>
      <c r="S158" s="60" t="str">
        <f t="shared" si="28"/>
        <v/>
      </c>
      <c r="T158" s="61" t="str">
        <f t="shared" si="29"/>
        <v/>
      </c>
      <c r="U158" s="61" t="str">
        <f t="shared" si="30"/>
        <v/>
      </c>
      <c r="V158" s="183" t="str">
        <f t="shared" si="32"/>
        <v/>
      </c>
      <c r="W158" s="183" t="str">
        <f t="shared" si="33"/>
        <v/>
      </c>
      <c r="X158" s="61" t="str">
        <f t="shared" si="34"/>
        <v/>
      </c>
      <c r="Y158" s="61" t="str">
        <f t="shared" si="35"/>
        <v/>
      </c>
      <c r="Z158" s="118" t="str">
        <f t="shared" si="36"/>
        <v/>
      </c>
      <c r="AA158" s="62" t="str">
        <f t="shared" si="37"/>
        <v/>
      </c>
      <c r="AB158" s="119" t="str">
        <f>IF(A158&lt;&gt;"", IF(P158&lt;&gt;0,SUMIFS(node!$J$2:$J$1000, node!$C$2:$C$1000,"="&amp;A158)/P158,0), "")</f>
        <v/>
      </c>
      <c r="AC158" s="81" t="str">
        <f>IF(A158&lt;&gt;"", IF(P158&lt;&gt;0,SUMIFS(node!$K$2:$K$1000, node!$C$2:$C$1000,"="&amp;A158)/P158,0), "")</f>
        <v/>
      </c>
      <c r="AD158" s="82" t="str">
        <f>IF(A158&lt;&gt;"", SUMIFS(node!$L$2:$L$1000, node!$C$2:$C$1000,"="&amp;A158), "")</f>
        <v/>
      </c>
      <c r="AE158" s="87" t="str">
        <f>IF(A158&lt;&gt;"", SUMIFS(node!$M$2:$M$1000, node!$C$2:$C$1000,"="&amp;A158), "")</f>
        <v/>
      </c>
    </row>
    <row r="159" spans="1:31" ht="15.75" customHeight="1" x14ac:dyDescent="0.25">
      <c r="A159" s="71" t="str">
        <f>IF(ISNONTEXT(node_raw[[#This Row],[Column2]]), "", node_raw[[#This Row],[Column2]])</f>
        <v/>
      </c>
      <c r="B159" s="108" t="str">
        <f>IF(A159&lt;&gt;"", VLOOKUP(A159, node!$C$2:$D$1000, 2, FALSE), "")</f>
        <v/>
      </c>
      <c r="C159" s="109" t="str">
        <f>IF(A159&lt;&gt;"", VLOOKUP(A159, node!$C$2:$E$1000, 3, FALSE), "")</f>
        <v/>
      </c>
      <c r="D159" s="110" t="str">
        <f>IF(A159&lt;&gt;"",COUNTIFS(node!$C$2:$C$1000,"="&amp;A159, node!$C$2:$C$1000,"&lt;&gt;"&amp;""),"")</f>
        <v/>
      </c>
      <c r="E159" s="111" t="str">
        <f>IF(A159&lt;&gt;"",SUMIFS(node!$F$2:$F$500, node!$C$2:$C$500,"="&amp;A159, node!$C$2:$C$500,"&lt;&gt;"&amp;"")/(B159*D159),"")</f>
        <v/>
      </c>
      <c r="F159" s="112" t="str">
        <f>IF(A159&lt;&gt;"",SUMIFS(node!$H$2:$H$500, node!$C$2:$C$500,"="&amp;A159, node!$C$2:$C$500,"&lt;&gt;"&amp;"")/(C159*D159),"")</f>
        <v/>
      </c>
      <c r="G159" s="179" t="str">
        <f>IF(A159&lt;&gt;"",SUMIFS(deployment!$F$4:$F$502, deployment!$D$4:$D$502,"="&amp;A159, deployment!$D$4:$D$502,"&lt;&gt;"&amp;""),"")</f>
        <v/>
      </c>
      <c r="H159" s="181" t="str">
        <f>IF(A159&lt;&gt;"",SUMIFS(deployment!$G$4:$G$502, deployment!$D$4:$D$502,"="&amp;A159, deployment!$D$4:$D$502,"&lt;&gt;"&amp;""),"")</f>
        <v/>
      </c>
      <c r="I159" s="113" t="str">
        <f>IF(A159&lt;&gt;"",SUMIFS(deployment!$H$4:$H$502, deployment!$D$4:$D$502,"="&amp;A159, deployment!$D$4:$D$502,"&lt;&gt;"&amp;""),"")</f>
        <v/>
      </c>
      <c r="J159" s="114" t="str">
        <f>IF(A159&lt;&gt;"",SUMIFS(deployment!$I$4:$I$502, deployment!$D$4:$D$502,"="&amp;A159, deployment!$D$4:$D$502,"&lt;&gt;"&amp;""),"")</f>
        <v/>
      </c>
      <c r="K159" s="182" t="str">
        <f>IF(A159&lt;&gt;"",SUMIFS(deployment!$J$4:$J$1002, deployment!$D$4:$D$1002,"="&amp;A159, deployment!$D$4:$D$1002,"&lt;&gt;"&amp;"", deployment!$C$4:$C$1002, "&lt;&gt;* )")+SUMIFS(namespace!$G$4:$G$1002, namespace!$B$4:$B$1002,"="&amp;A159, namespace!$B$4:$B$1002,"&lt;&gt;"&amp;""),"")</f>
        <v/>
      </c>
      <c r="L159" s="182" t="str">
        <f>IF(A159&lt;&gt;"",SUMIFS(deployment!$K$4:$K$1002, deployment!$D$4:$D$1002,"="&amp;A159, deployment!$D$4:$D$1002,"&lt;&gt;"&amp;"", deployment!$C$4:$C$1002, "&lt;&gt;* )")+SUMIFS(namespace!$H$4:$H$1002, namespace!$B$4:$B$1002,"="&amp;A159, namespace!$B$4:$B$1002,"&lt;&gt;"&amp;""),"")</f>
        <v/>
      </c>
      <c r="M159" s="115" t="str">
        <f>IF(A159&lt;&gt;"",SUMIFS(deployment!$L$4:$L$1002, deployment!$D$4:$D$1002,"="&amp;A159, deployment!$D$4:$D$1002,"&lt;&gt;"&amp;"", deployment!$C$4:$C$1002, "&lt;&gt;* )")+SUMIFS(namespace!$I$4:$I$1002, namespace!$B$4:$B$1002,"="&amp;A159, namespace!$B$4:$B$1002,"&lt;&gt;"&amp;""),"")</f>
        <v/>
      </c>
      <c r="N159" s="115" t="str">
        <f>IF(A159&lt;&gt;"",SUMIFS(deployment!$M$4:$M$1002, deployment!$D$4:$D$1002,"="&amp;A159, deployment!$D$4:$D$1002,"&lt;&gt;"&amp;"", deployment!$C$4:$C$1002, "&lt;&gt;* )")+SUMIFS(namespace!$J$4:$J$1002, namespace!$B$4:$B$1002,"="&amp;A159, namespace!$B$4:$B$1002,"&lt;&gt;"&amp;""),"")</f>
        <v/>
      </c>
      <c r="O159" s="116" t="str">
        <f t="shared" si="31"/>
        <v/>
      </c>
      <c r="P159" s="63"/>
      <c r="Q159" s="164" t="str">
        <f t="shared" si="26"/>
        <v/>
      </c>
      <c r="R159" s="60" t="str">
        <f t="shared" si="27"/>
        <v/>
      </c>
      <c r="S159" s="60" t="str">
        <f t="shared" si="28"/>
        <v/>
      </c>
      <c r="T159" s="61" t="str">
        <f t="shared" si="29"/>
        <v/>
      </c>
      <c r="U159" s="61" t="str">
        <f t="shared" si="30"/>
        <v/>
      </c>
      <c r="V159" s="183" t="str">
        <f t="shared" si="32"/>
        <v/>
      </c>
      <c r="W159" s="183" t="str">
        <f t="shared" si="33"/>
        <v/>
      </c>
      <c r="X159" s="61" t="str">
        <f t="shared" si="34"/>
        <v/>
      </c>
      <c r="Y159" s="61" t="str">
        <f t="shared" si="35"/>
        <v/>
      </c>
      <c r="Z159" s="118" t="str">
        <f t="shared" si="36"/>
        <v/>
      </c>
      <c r="AA159" s="62" t="str">
        <f t="shared" si="37"/>
        <v/>
      </c>
      <c r="AB159" s="119" t="str">
        <f>IF(A159&lt;&gt;"", IF(P159&lt;&gt;0,SUMIFS(node!$J$2:$J$1000, node!$C$2:$C$1000,"="&amp;A159)/P159,0), "")</f>
        <v/>
      </c>
      <c r="AC159" s="81" t="str">
        <f>IF(A159&lt;&gt;"", IF(P159&lt;&gt;0,SUMIFS(node!$K$2:$K$1000, node!$C$2:$C$1000,"="&amp;A159)/P159,0), "")</f>
        <v/>
      </c>
      <c r="AD159" s="82" t="str">
        <f>IF(A159&lt;&gt;"", SUMIFS(node!$L$2:$L$1000, node!$C$2:$C$1000,"="&amp;A159), "")</f>
        <v/>
      </c>
      <c r="AE159" s="87" t="str">
        <f>IF(A159&lt;&gt;"", SUMIFS(node!$M$2:$M$1000, node!$C$2:$C$1000,"="&amp;A159), "")</f>
        <v/>
      </c>
    </row>
    <row r="160" spans="1:31" ht="15.75" customHeight="1" x14ac:dyDescent="0.25">
      <c r="A160" s="71" t="str">
        <f>IF(ISNONTEXT(node_raw[[#This Row],[Column2]]), "", node_raw[[#This Row],[Column2]])</f>
        <v/>
      </c>
      <c r="B160" s="108" t="str">
        <f>IF(A160&lt;&gt;"", VLOOKUP(A160, node!$C$2:$D$1000, 2, FALSE), "")</f>
        <v/>
      </c>
      <c r="C160" s="109" t="str">
        <f>IF(A160&lt;&gt;"", VLOOKUP(A160, node!$C$2:$E$1000, 3, FALSE), "")</f>
        <v/>
      </c>
      <c r="D160" s="110" t="str">
        <f>IF(A160&lt;&gt;"",COUNTIFS(node!$C$2:$C$1000,"="&amp;A160, node!$C$2:$C$1000,"&lt;&gt;"&amp;""),"")</f>
        <v/>
      </c>
      <c r="E160" s="111" t="str">
        <f>IF(A160&lt;&gt;"",SUMIFS(node!$F$2:$F$500, node!$C$2:$C$500,"="&amp;A160, node!$C$2:$C$500,"&lt;&gt;"&amp;"")/(B160*D160),"")</f>
        <v/>
      </c>
      <c r="F160" s="112" t="str">
        <f>IF(A160&lt;&gt;"",SUMIFS(node!$H$2:$H$500, node!$C$2:$C$500,"="&amp;A160, node!$C$2:$C$500,"&lt;&gt;"&amp;"")/(C160*D160),"")</f>
        <v/>
      </c>
      <c r="G160" s="179" t="str">
        <f>IF(A160&lt;&gt;"",SUMIFS(deployment!$F$4:$F$502, deployment!$D$4:$D$502,"="&amp;A160, deployment!$D$4:$D$502,"&lt;&gt;"&amp;""),"")</f>
        <v/>
      </c>
      <c r="H160" s="181" t="str">
        <f>IF(A160&lt;&gt;"",SUMIFS(deployment!$G$4:$G$502, deployment!$D$4:$D$502,"="&amp;A160, deployment!$D$4:$D$502,"&lt;&gt;"&amp;""),"")</f>
        <v/>
      </c>
      <c r="I160" s="113" t="str">
        <f>IF(A160&lt;&gt;"",SUMIFS(deployment!$H$4:$H$502, deployment!$D$4:$D$502,"="&amp;A160, deployment!$D$4:$D$502,"&lt;&gt;"&amp;""),"")</f>
        <v/>
      </c>
      <c r="J160" s="114" t="str">
        <f>IF(A160&lt;&gt;"",SUMIFS(deployment!$I$4:$I$502, deployment!$D$4:$D$502,"="&amp;A160, deployment!$D$4:$D$502,"&lt;&gt;"&amp;""),"")</f>
        <v/>
      </c>
      <c r="K160" s="182" t="str">
        <f>IF(A160&lt;&gt;"",SUMIFS(deployment!$J$4:$J$1002, deployment!$D$4:$D$1002,"="&amp;A160, deployment!$D$4:$D$1002,"&lt;&gt;"&amp;"", deployment!$C$4:$C$1002, "&lt;&gt;* )")+SUMIFS(namespace!$G$4:$G$1002, namespace!$B$4:$B$1002,"="&amp;A160, namespace!$B$4:$B$1002,"&lt;&gt;"&amp;""),"")</f>
        <v/>
      </c>
      <c r="L160" s="182" t="str">
        <f>IF(A160&lt;&gt;"",SUMIFS(deployment!$K$4:$K$1002, deployment!$D$4:$D$1002,"="&amp;A160, deployment!$D$4:$D$1002,"&lt;&gt;"&amp;"", deployment!$C$4:$C$1002, "&lt;&gt;* )")+SUMIFS(namespace!$H$4:$H$1002, namespace!$B$4:$B$1002,"="&amp;A160, namespace!$B$4:$B$1002,"&lt;&gt;"&amp;""),"")</f>
        <v/>
      </c>
      <c r="M160" s="115" t="str">
        <f>IF(A160&lt;&gt;"",SUMIFS(deployment!$L$4:$L$1002, deployment!$D$4:$D$1002,"="&amp;A160, deployment!$D$4:$D$1002,"&lt;&gt;"&amp;"", deployment!$C$4:$C$1002, "&lt;&gt;* )")+SUMIFS(namespace!$I$4:$I$1002, namespace!$B$4:$B$1002,"="&amp;A160, namespace!$B$4:$B$1002,"&lt;&gt;"&amp;""),"")</f>
        <v/>
      </c>
      <c r="N160" s="115" t="str">
        <f>IF(A160&lt;&gt;"",SUMIFS(deployment!$M$4:$M$1002, deployment!$D$4:$D$1002,"="&amp;A160, deployment!$D$4:$D$1002,"&lt;&gt;"&amp;"", deployment!$C$4:$C$1002, "&lt;&gt;* )")+SUMIFS(namespace!$J$4:$J$1002, namespace!$B$4:$B$1002,"="&amp;A160, namespace!$B$4:$B$1002,"&lt;&gt;"&amp;""),"")</f>
        <v/>
      </c>
      <c r="O160" s="116" t="str">
        <f t="shared" si="31"/>
        <v/>
      </c>
      <c r="P160" s="63"/>
      <c r="Q160" s="164" t="str">
        <f t="shared" si="26"/>
        <v/>
      </c>
      <c r="R160" s="60" t="str">
        <f t="shared" si="27"/>
        <v/>
      </c>
      <c r="S160" s="60" t="str">
        <f t="shared" si="28"/>
        <v/>
      </c>
      <c r="T160" s="61" t="str">
        <f t="shared" si="29"/>
        <v/>
      </c>
      <c r="U160" s="61" t="str">
        <f t="shared" si="30"/>
        <v/>
      </c>
      <c r="V160" s="183" t="str">
        <f t="shared" si="32"/>
        <v/>
      </c>
      <c r="W160" s="183" t="str">
        <f t="shared" si="33"/>
        <v/>
      </c>
      <c r="X160" s="61" t="str">
        <f t="shared" si="34"/>
        <v/>
      </c>
      <c r="Y160" s="61" t="str">
        <f t="shared" si="35"/>
        <v/>
      </c>
      <c r="Z160" s="118" t="str">
        <f t="shared" si="36"/>
        <v/>
      </c>
      <c r="AA160" s="62" t="str">
        <f t="shared" si="37"/>
        <v/>
      </c>
      <c r="AB160" s="119" t="str">
        <f>IF(A160&lt;&gt;"", IF(P160&lt;&gt;0,SUMIFS(node!$J$2:$J$1000, node!$C$2:$C$1000,"="&amp;A160)/P160,0), "")</f>
        <v/>
      </c>
      <c r="AC160" s="81" t="str">
        <f>IF(A160&lt;&gt;"", IF(P160&lt;&gt;0,SUMIFS(node!$K$2:$K$1000, node!$C$2:$C$1000,"="&amp;A160)/P160,0), "")</f>
        <v/>
      </c>
      <c r="AD160" s="82" t="str">
        <f>IF(A160&lt;&gt;"", SUMIFS(node!$L$2:$L$1000, node!$C$2:$C$1000,"="&amp;A160), "")</f>
        <v/>
      </c>
      <c r="AE160" s="87" t="str">
        <f>IF(A160&lt;&gt;"", SUMIFS(node!$M$2:$M$1000, node!$C$2:$C$1000,"="&amp;A160), "")</f>
        <v/>
      </c>
    </row>
    <row r="161" spans="1:31" ht="15.75" customHeight="1" x14ac:dyDescent="0.25">
      <c r="A161" s="71" t="str">
        <f>IF(ISNONTEXT(node_raw[[#This Row],[Column2]]), "", node_raw[[#This Row],[Column2]])</f>
        <v/>
      </c>
      <c r="B161" s="108" t="str">
        <f>IF(A161&lt;&gt;"", VLOOKUP(A161, node!$C$2:$D$1000, 2, FALSE), "")</f>
        <v/>
      </c>
      <c r="C161" s="109" t="str">
        <f>IF(A161&lt;&gt;"", VLOOKUP(A161, node!$C$2:$E$1000, 3, FALSE), "")</f>
        <v/>
      </c>
      <c r="D161" s="110" t="str">
        <f>IF(A161&lt;&gt;"",COUNTIFS(node!$C$2:$C$1000,"="&amp;A161, node!$C$2:$C$1000,"&lt;&gt;"&amp;""),"")</f>
        <v/>
      </c>
      <c r="E161" s="111" t="str">
        <f>IF(A161&lt;&gt;"",SUMIFS(node!$F$2:$F$500, node!$C$2:$C$500,"="&amp;A161, node!$C$2:$C$500,"&lt;&gt;"&amp;"")/(B161*D161),"")</f>
        <v/>
      </c>
      <c r="F161" s="112" t="str">
        <f>IF(A161&lt;&gt;"",SUMIFS(node!$H$2:$H$500, node!$C$2:$C$500,"="&amp;A161, node!$C$2:$C$500,"&lt;&gt;"&amp;"")/(C161*D161),"")</f>
        <v/>
      </c>
      <c r="G161" s="179" t="str">
        <f>IF(A161&lt;&gt;"",SUMIFS(deployment!$F$4:$F$502, deployment!$D$4:$D$502,"="&amp;A161, deployment!$D$4:$D$502,"&lt;&gt;"&amp;""),"")</f>
        <v/>
      </c>
      <c r="H161" s="181" t="str">
        <f>IF(A161&lt;&gt;"",SUMIFS(deployment!$G$4:$G$502, deployment!$D$4:$D$502,"="&amp;A161, deployment!$D$4:$D$502,"&lt;&gt;"&amp;""),"")</f>
        <v/>
      </c>
      <c r="I161" s="113" t="str">
        <f>IF(A161&lt;&gt;"",SUMIFS(deployment!$H$4:$H$502, deployment!$D$4:$D$502,"="&amp;A161, deployment!$D$4:$D$502,"&lt;&gt;"&amp;""),"")</f>
        <v/>
      </c>
      <c r="J161" s="114" t="str">
        <f>IF(A161&lt;&gt;"",SUMIFS(deployment!$I$4:$I$502, deployment!$D$4:$D$502,"="&amp;A161, deployment!$D$4:$D$502,"&lt;&gt;"&amp;""),"")</f>
        <v/>
      </c>
      <c r="K161" s="182" t="str">
        <f>IF(A161&lt;&gt;"",SUMIFS(deployment!$J$4:$J$1002, deployment!$D$4:$D$1002,"="&amp;A161, deployment!$D$4:$D$1002,"&lt;&gt;"&amp;"", deployment!$C$4:$C$1002, "&lt;&gt;* )")+SUMIFS(namespace!$G$4:$G$1002, namespace!$B$4:$B$1002,"="&amp;A161, namespace!$B$4:$B$1002,"&lt;&gt;"&amp;""),"")</f>
        <v/>
      </c>
      <c r="L161" s="182" t="str">
        <f>IF(A161&lt;&gt;"",SUMIFS(deployment!$K$4:$K$1002, deployment!$D$4:$D$1002,"="&amp;A161, deployment!$D$4:$D$1002,"&lt;&gt;"&amp;"", deployment!$C$4:$C$1002, "&lt;&gt;* )")+SUMIFS(namespace!$H$4:$H$1002, namespace!$B$4:$B$1002,"="&amp;A161, namespace!$B$4:$B$1002,"&lt;&gt;"&amp;""),"")</f>
        <v/>
      </c>
      <c r="M161" s="115" t="str">
        <f>IF(A161&lt;&gt;"",SUMIFS(deployment!$L$4:$L$1002, deployment!$D$4:$D$1002,"="&amp;A161, deployment!$D$4:$D$1002,"&lt;&gt;"&amp;"", deployment!$C$4:$C$1002, "&lt;&gt;* )")+SUMIFS(namespace!$I$4:$I$1002, namespace!$B$4:$B$1002,"="&amp;A161, namespace!$B$4:$B$1002,"&lt;&gt;"&amp;""),"")</f>
        <v/>
      </c>
      <c r="N161" s="115" t="str">
        <f>IF(A161&lt;&gt;"",SUMIFS(deployment!$M$4:$M$1002, deployment!$D$4:$D$1002,"="&amp;A161, deployment!$D$4:$D$1002,"&lt;&gt;"&amp;"", deployment!$C$4:$C$1002, "&lt;&gt;* )")+SUMIFS(namespace!$J$4:$J$1002, namespace!$B$4:$B$1002,"="&amp;A161, namespace!$B$4:$B$1002,"&lt;&gt;"&amp;""),"")</f>
        <v/>
      </c>
      <c r="O161" s="116" t="str">
        <f t="shared" si="31"/>
        <v/>
      </c>
      <c r="P161" s="63"/>
      <c r="Q161" s="164" t="str">
        <f t="shared" si="26"/>
        <v/>
      </c>
      <c r="R161" s="60" t="str">
        <f t="shared" si="27"/>
        <v/>
      </c>
      <c r="S161" s="60" t="str">
        <f t="shared" si="28"/>
        <v/>
      </c>
      <c r="T161" s="61" t="str">
        <f t="shared" si="29"/>
        <v/>
      </c>
      <c r="U161" s="61" t="str">
        <f t="shared" si="30"/>
        <v/>
      </c>
      <c r="V161" s="183" t="str">
        <f t="shared" si="32"/>
        <v/>
      </c>
      <c r="W161" s="183" t="str">
        <f t="shared" si="33"/>
        <v/>
      </c>
      <c r="X161" s="61" t="str">
        <f t="shared" si="34"/>
        <v/>
      </c>
      <c r="Y161" s="61" t="str">
        <f t="shared" si="35"/>
        <v/>
      </c>
      <c r="Z161" s="118" t="str">
        <f t="shared" si="36"/>
        <v/>
      </c>
      <c r="AA161" s="62" t="str">
        <f t="shared" si="37"/>
        <v/>
      </c>
      <c r="AB161" s="119" t="str">
        <f>IF(A161&lt;&gt;"", IF(P161&lt;&gt;0,SUMIFS(node!$J$2:$J$1000, node!$C$2:$C$1000,"="&amp;A161)/P161,0), "")</f>
        <v/>
      </c>
      <c r="AC161" s="81" t="str">
        <f>IF(A161&lt;&gt;"", IF(P161&lt;&gt;0,SUMIFS(node!$K$2:$K$1000, node!$C$2:$C$1000,"="&amp;A161)/P161,0), "")</f>
        <v/>
      </c>
      <c r="AD161" s="82" t="str">
        <f>IF(A161&lt;&gt;"", SUMIFS(node!$L$2:$L$1000, node!$C$2:$C$1000,"="&amp;A161), "")</f>
        <v/>
      </c>
      <c r="AE161" s="87" t="str">
        <f>IF(A161&lt;&gt;"", SUMIFS(node!$M$2:$M$1000, node!$C$2:$C$1000,"="&amp;A161), "")</f>
        <v/>
      </c>
    </row>
    <row r="162" spans="1:31" ht="15.75" customHeight="1" x14ac:dyDescent="0.25">
      <c r="A162" s="71" t="str">
        <f>IF(ISNONTEXT(node_raw[[#This Row],[Column2]]), "", node_raw[[#This Row],[Column2]])</f>
        <v/>
      </c>
      <c r="B162" s="108" t="str">
        <f>IF(A162&lt;&gt;"", VLOOKUP(A162, node!$C$2:$D$1000, 2, FALSE), "")</f>
        <v/>
      </c>
      <c r="C162" s="109" t="str">
        <f>IF(A162&lt;&gt;"", VLOOKUP(A162, node!$C$2:$E$1000, 3, FALSE), "")</f>
        <v/>
      </c>
      <c r="D162" s="110" t="str">
        <f>IF(A162&lt;&gt;"",COUNTIFS(node!$C$2:$C$1000,"="&amp;A162, node!$C$2:$C$1000,"&lt;&gt;"&amp;""),"")</f>
        <v/>
      </c>
      <c r="E162" s="111" t="str">
        <f>IF(A162&lt;&gt;"",SUMIFS(node!$F$2:$F$500, node!$C$2:$C$500,"="&amp;A162, node!$C$2:$C$500,"&lt;&gt;"&amp;"")/(B162*D162),"")</f>
        <v/>
      </c>
      <c r="F162" s="112" t="str">
        <f>IF(A162&lt;&gt;"",SUMIFS(node!$H$2:$H$500, node!$C$2:$C$500,"="&amp;A162, node!$C$2:$C$500,"&lt;&gt;"&amp;"")/(C162*D162),"")</f>
        <v/>
      </c>
      <c r="G162" s="179" t="str">
        <f>IF(A162&lt;&gt;"",SUMIFS(deployment!$F$4:$F$502, deployment!$D$4:$D$502,"="&amp;A162, deployment!$D$4:$D$502,"&lt;&gt;"&amp;""),"")</f>
        <v/>
      </c>
      <c r="H162" s="181" t="str">
        <f>IF(A162&lt;&gt;"",SUMIFS(deployment!$G$4:$G$502, deployment!$D$4:$D$502,"="&amp;A162, deployment!$D$4:$D$502,"&lt;&gt;"&amp;""),"")</f>
        <v/>
      </c>
      <c r="I162" s="113" t="str">
        <f>IF(A162&lt;&gt;"",SUMIFS(deployment!$H$4:$H$502, deployment!$D$4:$D$502,"="&amp;A162, deployment!$D$4:$D$502,"&lt;&gt;"&amp;""),"")</f>
        <v/>
      </c>
      <c r="J162" s="114" t="str">
        <f>IF(A162&lt;&gt;"",SUMIFS(deployment!$I$4:$I$502, deployment!$D$4:$D$502,"="&amp;A162, deployment!$D$4:$D$502,"&lt;&gt;"&amp;""),"")</f>
        <v/>
      </c>
      <c r="K162" s="182" t="str">
        <f>IF(A162&lt;&gt;"",SUMIFS(deployment!$J$4:$J$1002, deployment!$D$4:$D$1002,"="&amp;A162, deployment!$D$4:$D$1002,"&lt;&gt;"&amp;"", deployment!$C$4:$C$1002, "&lt;&gt;* )")+SUMIFS(namespace!$G$4:$G$1002, namespace!$B$4:$B$1002,"="&amp;A162, namespace!$B$4:$B$1002,"&lt;&gt;"&amp;""),"")</f>
        <v/>
      </c>
      <c r="L162" s="182" t="str">
        <f>IF(A162&lt;&gt;"",SUMIFS(deployment!$K$4:$K$1002, deployment!$D$4:$D$1002,"="&amp;A162, deployment!$D$4:$D$1002,"&lt;&gt;"&amp;"", deployment!$C$4:$C$1002, "&lt;&gt;* )")+SUMIFS(namespace!$H$4:$H$1002, namespace!$B$4:$B$1002,"="&amp;A162, namespace!$B$4:$B$1002,"&lt;&gt;"&amp;""),"")</f>
        <v/>
      </c>
      <c r="M162" s="115" t="str">
        <f>IF(A162&lt;&gt;"",SUMIFS(deployment!$L$4:$L$1002, deployment!$D$4:$D$1002,"="&amp;A162, deployment!$D$4:$D$1002,"&lt;&gt;"&amp;"", deployment!$C$4:$C$1002, "&lt;&gt;* )")+SUMIFS(namespace!$I$4:$I$1002, namespace!$B$4:$B$1002,"="&amp;A162, namespace!$B$4:$B$1002,"&lt;&gt;"&amp;""),"")</f>
        <v/>
      </c>
      <c r="N162" s="115" t="str">
        <f>IF(A162&lt;&gt;"",SUMIFS(deployment!$M$4:$M$1002, deployment!$D$4:$D$1002,"="&amp;A162, deployment!$D$4:$D$1002,"&lt;&gt;"&amp;"", deployment!$C$4:$C$1002, "&lt;&gt;* )")+SUMIFS(namespace!$J$4:$J$1002, namespace!$B$4:$B$1002,"="&amp;A162, namespace!$B$4:$B$1002,"&lt;&gt;"&amp;""),"")</f>
        <v/>
      </c>
      <c r="O162" s="116" t="str">
        <f t="shared" si="31"/>
        <v/>
      </c>
      <c r="P162" s="63"/>
      <c r="Q162" s="164" t="str">
        <f t="shared" si="26"/>
        <v/>
      </c>
      <c r="R162" s="60" t="str">
        <f t="shared" si="27"/>
        <v/>
      </c>
      <c r="S162" s="60" t="str">
        <f t="shared" si="28"/>
        <v/>
      </c>
      <c r="T162" s="61" t="str">
        <f t="shared" si="29"/>
        <v/>
      </c>
      <c r="U162" s="61" t="str">
        <f t="shared" si="30"/>
        <v/>
      </c>
      <c r="V162" s="183" t="str">
        <f t="shared" si="32"/>
        <v/>
      </c>
      <c r="W162" s="183" t="str">
        <f t="shared" si="33"/>
        <v/>
      </c>
      <c r="X162" s="61" t="str">
        <f t="shared" si="34"/>
        <v/>
      </c>
      <c r="Y162" s="61" t="str">
        <f t="shared" si="35"/>
        <v/>
      </c>
      <c r="Z162" s="118" t="str">
        <f t="shared" si="36"/>
        <v/>
      </c>
      <c r="AA162" s="62" t="str">
        <f t="shared" si="37"/>
        <v/>
      </c>
      <c r="AB162" s="119" t="str">
        <f>IF(A162&lt;&gt;"", IF(P162&lt;&gt;0,SUMIFS(node!$J$2:$J$1000, node!$C$2:$C$1000,"="&amp;A162)/P162,0), "")</f>
        <v/>
      </c>
      <c r="AC162" s="81" t="str">
        <f>IF(A162&lt;&gt;"", IF(P162&lt;&gt;0,SUMIFS(node!$K$2:$K$1000, node!$C$2:$C$1000,"="&amp;A162)/P162,0), "")</f>
        <v/>
      </c>
      <c r="AD162" s="82" t="str">
        <f>IF(A162&lt;&gt;"", SUMIFS(node!$L$2:$L$1000, node!$C$2:$C$1000,"="&amp;A162), "")</f>
        <v/>
      </c>
      <c r="AE162" s="87" t="str">
        <f>IF(A162&lt;&gt;"", SUMIFS(node!$M$2:$M$1000, node!$C$2:$C$1000,"="&amp;A162), "")</f>
        <v/>
      </c>
    </row>
    <row r="163" spans="1:31" ht="15.75" customHeight="1" x14ac:dyDescent="0.25">
      <c r="A163" s="71" t="str">
        <f>IF(ISNONTEXT(node_raw[[#This Row],[Column2]]), "", node_raw[[#This Row],[Column2]])</f>
        <v/>
      </c>
      <c r="B163" s="108" t="str">
        <f>IF(A163&lt;&gt;"", VLOOKUP(A163, node!$C$2:$D$1000, 2, FALSE), "")</f>
        <v/>
      </c>
      <c r="C163" s="109" t="str">
        <f>IF(A163&lt;&gt;"", VLOOKUP(A163, node!$C$2:$E$1000, 3, FALSE), "")</f>
        <v/>
      </c>
      <c r="D163" s="110" t="str">
        <f>IF(A163&lt;&gt;"",COUNTIFS(node!$C$2:$C$1000,"="&amp;A163, node!$C$2:$C$1000,"&lt;&gt;"&amp;""),"")</f>
        <v/>
      </c>
      <c r="E163" s="111" t="str">
        <f>IF(A163&lt;&gt;"",SUMIFS(node!$F$2:$F$500, node!$C$2:$C$500,"="&amp;A163, node!$C$2:$C$500,"&lt;&gt;"&amp;"")/(B163*D163),"")</f>
        <v/>
      </c>
      <c r="F163" s="112" t="str">
        <f>IF(A163&lt;&gt;"",SUMIFS(node!$H$2:$H$500, node!$C$2:$C$500,"="&amp;A163, node!$C$2:$C$500,"&lt;&gt;"&amp;"")/(C163*D163),"")</f>
        <v/>
      </c>
      <c r="G163" s="179" t="str">
        <f>IF(A163&lt;&gt;"",SUMIFS(deployment!$F$4:$F$502, deployment!$D$4:$D$502,"="&amp;A163, deployment!$D$4:$D$502,"&lt;&gt;"&amp;""),"")</f>
        <v/>
      </c>
      <c r="H163" s="181" t="str">
        <f>IF(A163&lt;&gt;"",SUMIFS(deployment!$G$4:$G$502, deployment!$D$4:$D$502,"="&amp;A163, deployment!$D$4:$D$502,"&lt;&gt;"&amp;""),"")</f>
        <v/>
      </c>
      <c r="I163" s="113" t="str">
        <f>IF(A163&lt;&gt;"",SUMIFS(deployment!$H$4:$H$502, deployment!$D$4:$D$502,"="&amp;A163, deployment!$D$4:$D$502,"&lt;&gt;"&amp;""),"")</f>
        <v/>
      </c>
      <c r="J163" s="114" t="str">
        <f>IF(A163&lt;&gt;"",SUMIFS(deployment!$I$4:$I$502, deployment!$D$4:$D$502,"="&amp;A163, deployment!$D$4:$D$502,"&lt;&gt;"&amp;""),"")</f>
        <v/>
      </c>
      <c r="K163" s="182" t="str">
        <f>IF(A163&lt;&gt;"",SUMIFS(deployment!$J$4:$J$1002, deployment!$D$4:$D$1002,"="&amp;A163, deployment!$D$4:$D$1002,"&lt;&gt;"&amp;"", deployment!$C$4:$C$1002, "&lt;&gt;* )")+SUMIFS(namespace!$G$4:$G$1002, namespace!$B$4:$B$1002,"="&amp;A163, namespace!$B$4:$B$1002,"&lt;&gt;"&amp;""),"")</f>
        <v/>
      </c>
      <c r="L163" s="182" t="str">
        <f>IF(A163&lt;&gt;"",SUMIFS(deployment!$K$4:$K$1002, deployment!$D$4:$D$1002,"="&amp;A163, deployment!$D$4:$D$1002,"&lt;&gt;"&amp;"", deployment!$C$4:$C$1002, "&lt;&gt;* )")+SUMIFS(namespace!$H$4:$H$1002, namespace!$B$4:$B$1002,"="&amp;A163, namespace!$B$4:$B$1002,"&lt;&gt;"&amp;""),"")</f>
        <v/>
      </c>
      <c r="M163" s="115" t="str">
        <f>IF(A163&lt;&gt;"",SUMIFS(deployment!$L$4:$L$1002, deployment!$D$4:$D$1002,"="&amp;A163, deployment!$D$4:$D$1002,"&lt;&gt;"&amp;"", deployment!$C$4:$C$1002, "&lt;&gt;* )")+SUMIFS(namespace!$I$4:$I$1002, namespace!$B$4:$B$1002,"="&amp;A163, namespace!$B$4:$B$1002,"&lt;&gt;"&amp;""),"")</f>
        <v/>
      </c>
      <c r="N163" s="115" t="str">
        <f>IF(A163&lt;&gt;"",SUMIFS(deployment!$M$4:$M$1002, deployment!$D$4:$D$1002,"="&amp;A163, deployment!$D$4:$D$1002,"&lt;&gt;"&amp;"", deployment!$C$4:$C$1002, "&lt;&gt;* )")+SUMIFS(namespace!$J$4:$J$1002, namespace!$B$4:$B$1002,"="&amp;A163, namespace!$B$4:$B$1002,"&lt;&gt;"&amp;""),"")</f>
        <v/>
      </c>
      <c r="O163" s="116" t="str">
        <f t="shared" si="31"/>
        <v/>
      </c>
      <c r="P163" s="63"/>
      <c r="Q163" s="164" t="str">
        <f t="shared" si="26"/>
        <v/>
      </c>
      <c r="R163" s="60" t="str">
        <f t="shared" si="27"/>
        <v/>
      </c>
      <c r="S163" s="60" t="str">
        <f t="shared" si="28"/>
        <v/>
      </c>
      <c r="T163" s="61" t="str">
        <f t="shared" si="29"/>
        <v/>
      </c>
      <c r="U163" s="61" t="str">
        <f t="shared" si="30"/>
        <v/>
      </c>
      <c r="V163" s="183" t="str">
        <f t="shared" si="32"/>
        <v/>
      </c>
      <c r="W163" s="183" t="str">
        <f t="shared" si="33"/>
        <v/>
      </c>
      <c r="X163" s="61" t="str">
        <f t="shared" si="34"/>
        <v/>
      </c>
      <c r="Y163" s="61" t="str">
        <f t="shared" si="35"/>
        <v/>
      </c>
      <c r="Z163" s="118" t="str">
        <f t="shared" si="36"/>
        <v/>
      </c>
      <c r="AA163" s="62" t="str">
        <f t="shared" si="37"/>
        <v/>
      </c>
      <c r="AB163" s="119" t="str">
        <f>IF(A163&lt;&gt;"", IF(P163&lt;&gt;0,SUMIFS(node!$J$2:$J$1000, node!$C$2:$C$1000,"="&amp;A163)/P163,0), "")</f>
        <v/>
      </c>
      <c r="AC163" s="81" t="str">
        <f>IF(A163&lt;&gt;"", IF(P163&lt;&gt;0,SUMIFS(node!$K$2:$K$1000, node!$C$2:$C$1000,"="&amp;A163)/P163,0), "")</f>
        <v/>
      </c>
      <c r="AD163" s="82" t="str">
        <f>IF(A163&lt;&gt;"", SUMIFS(node!$L$2:$L$1000, node!$C$2:$C$1000,"="&amp;A163), "")</f>
        <v/>
      </c>
      <c r="AE163" s="87" t="str">
        <f>IF(A163&lt;&gt;"", SUMIFS(node!$M$2:$M$1000, node!$C$2:$C$1000,"="&amp;A163), "")</f>
        <v/>
      </c>
    </row>
    <row r="164" spans="1:31" ht="15.75" customHeight="1" x14ac:dyDescent="0.25">
      <c r="A164" s="71" t="str">
        <f>IF(ISNONTEXT(node_raw[[#This Row],[Column2]]), "", node_raw[[#This Row],[Column2]])</f>
        <v/>
      </c>
      <c r="B164" s="108" t="str">
        <f>IF(A164&lt;&gt;"", VLOOKUP(A164, node!$C$2:$D$1000, 2, FALSE), "")</f>
        <v/>
      </c>
      <c r="C164" s="109" t="str">
        <f>IF(A164&lt;&gt;"", VLOOKUP(A164, node!$C$2:$E$1000, 3, FALSE), "")</f>
        <v/>
      </c>
      <c r="D164" s="110" t="str">
        <f>IF(A164&lt;&gt;"",COUNTIFS(node!$C$2:$C$1000,"="&amp;A164, node!$C$2:$C$1000,"&lt;&gt;"&amp;""),"")</f>
        <v/>
      </c>
      <c r="E164" s="111" t="str">
        <f>IF(A164&lt;&gt;"",SUMIFS(node!$F$2:$F$500, node!$C$2:$C$500,"="&amp;A164, node!$C$2:$C$500,"&lt;&gt;"&amp;"")/(B164*D164),"")</f>
        <v/>
      </c>
      <c r="F164" s="112" t="str">
        <f>IF(A164&lt;&gt;"",SUMIFS(node!$H$2:$H$500, node!$C$2:$C$500,"="&amp;A164, node!$C$2:$C$500,"&lt;&gt;"&amp;"")/(C164*D164),"")</f>
        <v/>
      </c>
      <c r="G164" s="179" t="str">
        <f>IF(A164&lt;&gt;"",SUMIFS(deployment!$F$4:$F$502, deployment!$D$4:$D$502,"="&amp;A164, deployment!$D$4:$D$502,"&lt;&gt;"&amp;""),"")</f>
        <v/>
      </c>
      <c r="H164" s="181" t="str">
        <f>IF(A164&lt;&gt;"",SUMIFS(deployment!$G$4:$G$502, deployment!$D$4:$D$502,"="&amp;A164, deployment!$D$4:$D$502,"&lt;&gt;"&amp;""),"")</f>
        <v/>
      </c>
      <c r="I164" s="113" t="str">
        <f>IF(A164&lt;&gt;"",SUMIFS(deployment!$H$4:$H$502, deployment!$D$4:$D$502,"="&amp;A164, deployment!$D$4:$D$502,"&lt;&gt;"&amp;""),"")</f>
        <v/>
      </c>
      <c r="J164" s="114" t="str">
        <f>IF(A164&lt;&gt;"",SUMIFS(deployment!$I$4:$I$502, deployment!$D$4:$D$502,"="&amp;A164, deployment!$D$4:$D$502,"&lt;&gt;"&amp;""),"")</f>
        <v/>
      </c>
      <c r="K164" s="182" t="str">
        <f>IF(A164&lt;&gt;"",SUMIFS(deployment!$J$4:$J$1002, deployment!$D$4:$D$1002,"="&amp;A164, deployment!$D$4:$D$1002,"&lt;&gt;"&amp;"", deployment!$C$4:$C$1002, "&lt;&gt;* )")+SUMIFS(namespace!$G$4:$G$1002, namespace!$B$4:$B$1002,"="&amp;A164, namespace!$B$4:$B$1002,"&lt;&gt;"&amp;""),"")</f>
        <v/>
      </c>
      <c r="L164" s="182" t="str">
        <f>IF(A164&lt;&gt;"",SUMIFS(deployment!$K$4:$K$1002, deployment!$D$4:$D$1002,"="&amp;A164, deployment!$D$4:$D$1002,"&lt;&gt;"&amp;"", deployment!$C$4:$C$1002, "&lt;&gt;* )")+SUMIFS(namespace!$H$4:$H$1002, namespace!$B$4:$B$1002,"="&amp;A164, namespace!$B$4:$B$1002,"&lt;&gt;"&amp;""),"")</f>
        <v/>
      </c>
      <c r="M164" s="115" t="str">
        <f>IF(A164&lt;&gt;"",SUMIFS(deployment!$L$4:$L$1002, deployment!$D$4:$D$1002,"="&amp;A164, deployment!$D$4:$D$1002,"&lt;&gt;"&amp;"", deployment!$C$4:$C$1002, "&lt;&gt;* )")+SUMIFS(namespace!$I$4:$I$1002, namespace!$B$4:$B$1002,"="&amp;A164, namespace!$B$4:$B$1002,"&lt;&gt;"&amp;""),"")</f>
        <v/>
      </c>
      <c r="N164" s="115" t="str">
        <f>IF(A164&lt;&gt;"",SUMIFS(deployment!$M$4:$M$1002, deployment!$D$4:$D$1002,"="&amp;A164, deployment!$D$4:$D$1002,"&lt;&gt;"&amp;"", deployment!$C$4:$C$1002, "&lt;&gt;* )")+SUMIFS(namespace!$J$4:$J$1002, namespace!$B$4:$B$1002,"="&amp;A164, namespace!$B$4:$B$1002,"&lt;&gt;"&amp;""),"")</f>
        <v/>
      </c>
      <c r="O164" s="116" t="str">
        <f t="shared" si="31"/>
        <v/>
      </c>
      <c r="P164" s="63"/>
      <c r="Q164" s="164" t="str">
        <f t="shared" si="26"/>
        <v/>
      </c>
      <c r="R164" s="60" t="str">
        <f t="shared" si="27"/>
        <v/>
      </c>
      <c r="S164" s="60" t="str">
        <f t="shared" si="28"/>
        <v/>
      </c>
      <c r="T164" s="61" t="str">
        <f t="shared" si="29"/>
        <v/>
      </c>
      <c r="U164" s="61" t="str">
        <f t="shared" si="30"/>
        <v/>
      </c>
      <c r="V164" s="183" t="str">
        <f t="shared" si="32"/>
        <v/>
      </c>
      <c r="W164" s="183" t="str">
        <f t="shared" si="33"/>
        <v/>
      </c>
      <c r="X164" s="61" t="str">
        <f t="shared" si="34"/>
        <v/>
      </c>
      <c r="Y164" s="61" t="str">
        <f t="shared" si="35"/>
        <v/>
      </c>
      <c r="Z164" s="118" t="str">
        <f t="shared" si="36"/>
        <v/>
      </c>
      <c r="AA164" s="62" t="str">
        <f t="shared" si="37"/>
        <v/>
      </c>
      <c r="AB164" s="119" t="str">
        <f>IF(A164&lt;&gt;"", IF(P164&lt;&gt;0,SUMIFS(node!$J$2:$J$1000, node!$C$2:$C$1000,"="&amp;A164)/P164,0), "")</f>
        <v/>
      </c>
      <c r="AC164" s="81" t="str">
        <f>IF(A164&lt;&gt;"", IF(P164&lt;&gt;0,SUMIFS(node!$K$2:$K$1000, node!$C$2:$C$1000,"="&amp;A164)/P164,0), "")</f>
        <v/>
      </c>
      <c r="AD164" s="82" t="str">
        <f>IF(A164&lt;&gt;"", SUMIFS(node!$L$2:$L$1000, node!$C$2:$C$1000,"="&amp;A164), "")</f>
        <v/>
      </c>
      <c r="AE164" s="87" t="str">
        <f>IF(A164&lt;&gt;"", SUMIFS(node!$M$2:$M$1000, node!$C$2:$C$1000,"="&amp;A164), "")</f>
        <v/>
      </c>
    </row>
    <row r="165" spans="1:31" ht="15.75" customHeight="1" x14ac:dyDescent="0.25">
      <c r="A165" s="71" t="str">
        <f>IF(ISNONTEXT(node_raw[[#This Row],[Column2]]), "", node_raw[[#This Row],[Column2]])</f>
        <v/>
      </c>
      <c r="B165" s="108" t="str">
        <f>IF(A165&lt;&gt;"", VLOOKUP(A165, node!$C$2:$D$1000, 2, FALSE), "")</f>
        <v/>
      </c>
      <c r="C165" s="109" t="str">
        <f>IF(A165&lt;&gt;"", VLOOKUP(A165, node!$C$2:$E$1000, 3, FALSE), "")</f>
        <v/>
      </c>
      <c r="D165" s="110" t="str">
        <f>IF(A165&lt;&gt;"",COUNTIFS(node!$C$2:$C$1000,"="&amp;A165, node!$C$2:$C$1000,"&lt;&gt;"&amp;""),"")</f>
        <v/>
      </c>
      <c r="E165" s="111" t="str">
        <f>IF(A165&lt;&gt;"",SUMIFS(node!$F$2:$F$500, node!$C$2:$C$500,"="&amp;A165, node!$C$2:$C$500,"&lt;&gt;"&amp;"")/(B165*D165),"")</f>
        <v/>
      </c>
      <c r="F165" s="112" t="str">
        <f>IF(A165&lt;&gt;"",SUMIFS(node!$H$2:$H$500, node!$C$2:$C$500,"="&amp;A165, node!$C$2:$C$500,"&lt;&gt;"&amp;"")/(C165*D165),"")</f>
        <v/>
      </c>
      <c r="G165" s="179" t="str">
        <f>IF(A165&lt;&gt;"",SUMIFS(deployment!$F$4:$F$502, deployment!$D$4:$D$502,"="&amp;A165, deployment!$D$4:$D$502,"&lt;&gt;"&amp;""),"")</f>
        <v/>
      </c>
      <c r="H165" s="181" t="str">
        <f>IF(A165&lt;&gt;"",SUMIFS(deployment!$G$4:$G$502, deployment!$D$4:$D$502,"="&amp;A165, deployment!$D$4:$D$502,"&lt;&gt;"&amp;""),"")</f>
        <v/>
      </c>
      <c r="I165" s="113" t="str">
        <f>IF(A165&lt;&gt;"",SUMIFS(deployment!$H$4:$H$502, deployment!$D$4:$D$502,"="&amp;A165, deployment!$D$4:$D$502,"&lt;&gt;"&amp;""),"")</f>
        <v/>
      </c>
      <c r="J165" s="114" t="str">
        <f>IF(A165&lt;&gt;"",SUMIFS(deployment!$I$4:$I$502, deployment!$D$4:$D$502,"="&amp;A165, deployment!$D$4:$D$502,"&lt;&gt;"&amp;""),"")</f>
        <v/>
      </c>
      <c r="K165" s="182" t="str">
        <f>IF(A165&lt;&gt;"",SUMIFS(deployment!$J$4:$J$1002, deployment!$D$4:$D$1002,"="&amp;A165, deployment!$D$4:$D$1002,"&lt;&gt;"&amp;"", deployment!$C$4:$C$1002, "&lt;&gt;* )")+SUMIFS(namespace!$G$4:$G$1002, namespace!$B$4:$B$1002,"="&amp;A165, namespace!$B$4:$B$1002,"&lt;&gt;"&amp;""),"")</f>
        <v/>
      </c>
      <c r="L165" s="182" t="str">
        <f>IF(A165&lt;&gt;"",SUMIFS(deployment!$K$4:$K$1002, deployment!$D$4:$D$1002,"="&amp;A165, deployment!$D$4:$D$1002,"&lt;&gt;"&amp;"", deployment!$C$4:$C$1002, "&lt;&gt;* )")+SUMIFS(namespace!$H$4:$H$1002, namespace!$B$4:$B$1002,"="&amp;A165, namespace!$B$4:$B$1002,"&lt;&gt;"&amp;""),"")</f>
        <v/>
      </c>
      <c r="M165" s="115" t="str">
        <f>IF(A165&lt;&gt;"",SUMIFS(deployment!$L$4:$L$1002, deployment!$D$4:$D$1002,"="&amp;A165, deployment!$D$4:$D$1002,"&lt;&gt;"&amp;"", deployment!$C$4:$C$1002, "&lt;&gt;* )")+SUMIFS(namespace!$I$4:$I$1002, namespace!$B$4:$B$1002,"="&amp;A165, namespace!$B$4:$B$1002,"&lt;&gt;"&amp;""),"")</f>
        <v/>
      </c>
      <c r="N165" s="115" t="str">
        <f>IF(A165&lt;&gt;"",SUMIFS(deployment!$M$4:$M$1002, deployment!$D$4:$D$1002,"="&amp;A165, deployment!$D$4:$D$1002,"&lt;&gt;"&amp;"", deployment!$C$4:$C$1002, "&lt;&gt;* )")+SUMIFS(namespace!$J$4:$J$1002, namespace!$B$4:$B$1002,"="&amp;A165, namespace!$B$4:$B$1002,"&lt;&gt;"&amp;""),"")</f>
        <v/>
      </c>
      <c r="O165" s="116" t="str">
        <f t="shared" si="31"/>
        <v/>
      </c>
      <c r="P165" s="63"/>
      <c r="Q165" s="164" t="str">
        <f t="shared" si="26"/>
        <v/>
      </c>
      <c r="R165" s="60" t="str">
        <f t="shared" si="27"/>
        <v/>
      </c>
      <c r="S165" s="60" t="str">
        <f t="shared" si="28"/>
        <v/>
      </c>
      <c r="T165" s="61" t="str">
        <f t="shared" si="29"/>
        <v/>
      </c>
      <c r="U165" s="61" t="str">
        <f t="shared" si="30"/>
        <v/>
      </c>
      <c r="V165" s="183" t="str">
        <f t="shared" si="32"/>
        <v/>
      </c>
      <c r="W165" s="183" t="str">
        <f t="shared" si="33"/>
        <v/>
      </c>
      <c r="X165" s="61" t="str">
        <f t="shared" si="34"/>
        <v/>
      </c>
      <c r="Y165" s="61" t="str">
        <f t="shared" si="35"/>
        <v/>
      </c>
      <c r="Z165" s="118" t="str">
        <f t="shared" si="36"/>
        <v/>
      </c>
      <c r="AA165" s="62" t="str">
        <f t="shared" si="37"/>
        <v/>
      </c>
      <c r="AB165" s="119" t="str">
        <f>IF(A165&lt;&gt;"", IF(P165&lt;&gt;0,SUMIFS(node!$J$2:$J$1000, node!$C$2:$C$1000,"="&amp;A165)/P165,0), "")</f>
        <v/>
      </c>
      <c r="AC165" s="81" t="str">
        <f>IF(A165&lt;&gt;"", IF(P165&lt;&gt;0,SUMIFS(node!$K$2:$K$1000, node!$C$2:$C$1000,"="&amp;A165)/P165,0), "")</f>
        <v/>
      </c>
      <c r="AD165" s="82" t="str">
        <f>IF(A165&lt;&gt;"", SUMIFS(node!$L$2:$L$1000, node!$C$2:$C$1000,"="&amp;A165), "")</f>
        <v/>
      </c>
      <c r="AE165" s="87" t="str">
        <f>IF(A165&lt;&gt;"", SUMIFS(node!$M$2:$M$1000, node!$C$2:$C$1000,"="&amp;A165), "")</f>
        <v/>
      </c>
    </row>
    <row r="166" spans="1:31" ht="15.75" customHeight="1" x14ac:dyDescent="0.25">
      <c r="A166" s="71" t="str">
        <f>IF(ISNONTEXT(node_raw[[#This Row],[Column2]]), "", node_raw[[#This Row],[Column2]])</f>
        <v/>
      </c>
      <c r="B166" s="108" t="str">
        <f>IF(A166&lt;&gt;"", VLOOKUP(A166, node!$C$2:$D$1000, 2, FALSE), "")</f>
        <v/>
      </c>
      <c r="C166" s="109" t="str">
        <f>IF(A166&lt;&gt;"", VLOOKUP(A166, node!$C$2:$E$1000, 3, FALSE), "")</f>
        <v/>
      </c>
      <c r="D166" s="110" t="str">
        <f>IF(A166&lt;&gt;"",COUNTIFS(node!$C$2:$C$1000,"="&amp;A166, node!$C$2:$C$1000,"&lt;&gt;"&amp;""),"")</f>
        <v/>
      </c>
      <c r="E166" s="111" t="str">
        <f>IF(A166&lt;&gt;"",SUMIFS(node!$F$2:$F$500, node!$C$2:$C$500,"="&amp;A166, node!$C$2:$C$500,"&lt;&gt;"&amp;"")/(B166*D166),"")</f>
        <v/>
      </c>
      <c r="F166" s="112" t="str">
        <f>IF(A166&lt;&gt;"",SUMIFS(node!$H$2:$H$500, node!$C$2:$C$500,"="&amp;A166, node!$C$2:$C$500,"&lt;&gt;"&amp;"")/(C166*D166),"")</f>
        <v/>
      </c>
      <c r="G166" s="179" t="str">
        <f>IF(A166&lt;&gt;"",SUMIFS(deployment!$F$4:$F$502, deployment!$D$4:$D$502,"="&amp;A166, deployment!$D$4:$D$502,"&lt;&gt;"&amp;""),"")</f>
        <v/>
      </c>
      <c r="H166" s="181" t="str">
        <f>IF(A166&lt;&gt;"",SUMIFS(deployment!$G$4:$G$502, deployment!$D$4:$D$502,"="&amp;A166, deployment!$D$4:$D$502,"&lt;&gt;"&amp;""),"")</f>
        <v/>
      </c>
      <c r="I166" s="113" t="str">
        <f>IF(A166&lt;&gt;"",SUMIFS(deployment!$H$4:$H$502, deployment!$D$4:$D$502,"="&amp;A166, deployment!$D$4:$D$502,"&lt;&gt;"&amp;""),"")</f>
        <v/>
      </c>
      <c r="J166" s="114" t="str">
        <f>IF(A166&lt;&gt;"",SUMIFS(deployment!$I$4:$I$502, deployment!$D$4:$D$502,"="&amp;A166, deployment!$D$4:$D$502,"&lt;&gt;"&amp;""),"")</f>
        <v/>
      </c>
      <c r="K166" s="182" t="str">
        <f>IF(A166&lt;&gt;"",SUMIFS(deployment!$J$4:$J$1002, deployment!$D$4:$D$1002,"="&amp;A166, deployment!$D$4:$D$1002,"&lt;&gt;"&amp;"", deployment!$C$4:$C$1002, "&lt;&gt;* )")+SUMIFS(namespace!$G$4:$G$1002, namespace!$B$4:$B$1002,"="&amp;A166, namespace!$B$4:$B$1002,"&lt;&gt;"&amp;""),"")</f>
        <v/>
      </c>
      <c r="L166" s="182" t="str">
        <f>IF(A166&lt;&gt;"",SUMIFS(deployment!$K$4:$K$1002, deployment!$D$4:$D$1002,"="&amp;A166, deployment!$D$4:$D$1002,"&lt;&gt;"&amp;"", deployment!$C$4:$C$1002, "&lt;&gt;* )")+SUMIFS(namespace!$H$4:$H$1002, namespace!$B$4:$B$1002,"="&amp;A166, namespace!$B$4:$B$1002,"&lt;&gt;"&amp;""),"")</f>
        <v/>
      </c>
      <c r="M166" s="115" t="str">
        <f>IF(A166&lt;&gt;"",SUMIFS(deployment!$L$4:$L$1002, deployment!$D$4:$D$1002,"="&amp;A166, deployment!$D$4:$D$1002,"&lt;&gt;"&amp;"", deployment!$C$4:$C$1002, "&lt;&gt;* )")+SUMIFS(namespace!$I$4:$I$1002, namespace!$B$4:$B$1002,"="&amp;A166, namespace!$B$4:$B$1002,"&lt;&gt;"&amp;""),"")</f>
        <v/>
      </c>
      <c r="N166" s="115" t="str">
        <f>IF(A166&lt;&gt;"",SUMIFS(deployment!$M$4:$M$1002, deployment!$D$4:$D$1002,"="&amp;A166, deployment!$D$4:$D$1002,"&lt;&gt;"&amp;"", deployment!$C$4:$C$1002, "&lt;&gt;* )")+SUMIFS(namespace!$J$4:$J$1002, namespace!$B$4:$B$1002,"="&amp;A166, namespace!$B$4:$B$1002,"&lt;&gt;"&amp;""),"")</f>
        <v/>
      </c>
      <c r="O166" s="116" t="str">
        <f t="shared" si="31"/>
        <v/>
      </c>
      <c r="P166" s="63"/>
      <c r="Q166" s="164" t="str">
        <f t="shared" si="26"/>
        <v/>
      </c>
      <c r="R166" s="60" t="str">
        <f t="shared" si="27"/>
        <v/>
      </c>
      <c r="S166" s="60" t="str">
        <f t="shared" si="28"/>
        <v/>
      </c>
      <c r="T166" s="61" t="str">
        <f t="shared" si="29"/>
        <v/>
      </c>
      <c r="U166" s="61" t="str">
        <f t="shared" si="30"/>
        <v/>
      </c>
      <c r="V166" s="183" t="str">
        <f t="shared" si="32"/>
        <v/>
      </c>
      <c r="W166" s="183" t="str">
        <f t="shared" si="33"/>
        <v/>
      </c>
      <c r="X166" s="61" t="str">
        <f t="shared" si="34"/>
        <v/>
      </c>
      <c r="Y166" s="61" t="str">
        <f t="shared" si="35"/>
        <v/>
      </c>
      <c r="Z166" s="118" t="str">
        <f t="shared" si="36"/>
        <v/>
      </c>
      <c r="AA166" s="62" t="str">
        <f t="shared" si="37"/>
        <v/>
      </c>
      <c r="AB166" s="119" t="str">
        <f>IF(A166&lt;&gt;"", IF(P166&lt;&gt;0,SUMIFS(node!$J$2:$J$1000, node!$C$2:$C$1000,"="&amp;A166)/P166,0), "")</f>
        <v/>
      </c>
      <c r="AC166" s="81" t="str">
        <f>IF(A166&lt;&gt;"", IF(P166&lt;&gt;0,SUMIFS(node!$K$2:$K$1000, node!$C$2:$C$1000,"="&amp;A166)/P166,0), "")</f>
        <v/>
      </c>
      <c r="AD166" s="82" t="str">
        <f>IF(A166&lt;&gt;"", SUMIFS(node!$L$2:$L$1000, node!$C$2:$C$1000,"="&amp;A166), "")</f>
        <v/>
      </c>
      <c r="AE166" s="87" t="str">
        <f>IF(A166&lt;&gt;"", SUMIFS(node!$M$2:$M$1000, node!$C$2:$C$1000,"="&amp;A166), "")</f>
        <v/>
      </c>
    </row>
    <row r="167" spans="1:31" ht="15.75" customHeight="1" x14ac:dyDescent="0.25">
      <c r="A167" s="71" t="str">
        <f>IF(ISNONTEXT(node_raw[[#This Row],[Column2]]), "", node_raw[[#This Row],[Column2]])</f>
        <v/>
      </c>
      <c r="B167" s="108" t="str">
        <f>IF(A167&lt;&gt;"", VLOOKUP(A167, node!$C$2:$D$1000, 2, FALSE), "")</f>
        <v/>
      </c>
      <c r="C167" s="109" t="str">
        <f>IF(A167&lt;&gt;"", VLOOKUP(A167, node!$C$2:$E$1000, 3, FALSE), "")</f>
        <v/>
      </c>
      <c r="D167" s="110" t="str">
        <f>IF(A167&lt;&gt;"",COUNTIFS(node!$C$2:$C$1000,"="&amp;A167, node!$C$2:$C$1000,"&lt;&gt;"&amp;""),"")</f>
        <v/>
      </c>
      <c r="E167" s="111" t="str">
        <f>IF(A167&lt;&gt;"",SUMIFS(node!$F$2:$F$500, node!$C$2:$C$500,"="&amp;A167, node!$C$2:$C$500,"&lt;&gt;"&amp;"")/(B167*D167),"")</f>
        <v/>
      </c>
      <c r="F167" s="112" t="str">
        <f>IF(A167&lt;&gt;"",SUMIFS(node!$H$2:$H$500, node!$C$2:$C$500,"="&amp;A167, node!$C$2:$C$500,"&lt;&gt;"&amp;"")/(C167*D167),"")</f>
        <v/>
      </c>
      <c r="G167" s="179" t="str">
        <f>IF(A167&lt;&gt;"",SUMIFS(deployment!$F$4:$F$502, deployment!$D$4:$D$502,"="&amp;A167, deployment!$D$4:$D$502,"&lt;&gt;"&amp;""),"")</f>
        <v/>
      </c>
      <c r="H167" s="181" t="str">
        <f>IF(A167&lt;&gt;"",SUMIFS(deployment!$G$4:$G$502, deployment!$D$4:$D$502,"="&amp;A167, deployment!$D$4:$D$502,"&lt;&gt;"&amp;""),"")</f>
        <v/>
      </c>
      <c r="I167" s="113" t="str">
        <f>IF(A167&lt;&gt;"",SUMIFS(deployment!$H$4:$H$502, deployment!$D$4:$D$502,"="&amp;A167, deployment!$D$4:$D$502,"&lt;&gt;"&amp;""),"")</f>
        <v/>
      </c>
      <c r="J167" s="114" t="str">
        <f>IF(A167&lt;&gt;"",SUMIFS(deployment!$I$4:$I$502, deployment!$D$4:$D$502,"="&amp;A167, deployment!$D$4:$D$502,"&lt;&gt;"&amp;""),"")</f>
        <v/>
      </c>
      <c r="K167" s="182" t="str">
        <f>IF(A167&lt;&gt;"",SUMIFS(deployment!$J$4:$J$1002, deployment!$D$4:$D$1002,"="&amp;A167, deployment!$D$4:$D$1002,"&lt;&gt;"&amp;"", deployment!$C$4:$C$1002, "&lt;&gt;* )")+SUMIFS(namespace!$G$4:$G$1002, namespace!$B$4:$B$1002,"="&amp;A167, namespace!$B$4:$B$1002,"&lt;&gt;"&amp;""),"")</f>
        <v/>
      </c>
      <c r="L167" s="182" t="str">
        <f>IF(A167&lt;&gt;"",SUMIFS(deployment!$K$4:$K$1002, deployment!$D$4:$D$1002,"="&amp;A167, deployment!$D$4:$D$1002,"&lt;&gt;"&amp;"", deployment!$C$4:$C$1002, "&lt;&gt;* )")+SUMIFS(namespace!$H$4:$H$1002, namespace!$B$4:$B$1002,"="&amp;A167, namespace!$B$4:$B$1002,"&lt;&gt;"&amp;""),"")</f>
        <v/>
      </c>
      <c r="M167" s="115" t="str">
        <f>IF(A167&lt;&gt;"",SUMIFS(deployment!$L$4:$L$1002, deployment!$D$4:$D$1002,"="&amp;A167, deployment!$D$4:$D$1002,"&lt;&gt;"&amp;"", deployment!$C$4:$C$1002, "&lt;&gt;* )")+SUMIFS(namespace!$I$4:$I$1002, namespace!$B$4:$B$1002,"="&amp;A167, namespace!$B$4:$B$1002,"&lt;&gt;"&amp;""),"")</f>
        <v/>
      </c>
      <c r="N167" s="115" t="str">
        <f>IF(A167&lt;&gt;"",SUMIFS(deployment!$M$4:$M$1002, deployment!$D$4:$D$1002,"="&amp;A167, deployment!$D$4:$D$1002,"&lt;&gt;"&amp;"", deployment!$C$4:$C$1002, "&lt;&gt;* )")+SUMIFS(namespace!$J$4:$J$1002, namespace!$B$4:$B$1002,"="&amp;A167, namespace!$B$4:$B$1002,"&lt;&gt;"&amp;""),"")</f>
        <v/>
      </c>
      <c r="O167" s="116" t="str">
        <f t="shared" si="31"/>
        <v/>
      </c>
      <c r="P167" s="63"/>
      <c r="Q167" s="164" t="str">
        <f t="shared" si="26"/>
        <v/>
      </c>
      <c r="R167" s="60" t="str">
        <f t="shared" si="27"/>
        <v/>
      </c>
      <c r="S167" s="60" t="str">
        <f t="shared" si="28"/>
        <v/>
      </c>
      <c r="T167" s="61" t="str">
        <f t="shared" si="29"/>
        <v/>
      </c>
      <c r="U167" s="61" t="str">
        <f t="shared" si="30"/>
        <v/>
      </c>
      <c r="V167" s="183" t="str">
        <f t="shared" si="32"/>
        <v/>
      </c>
      <c r="W167" s="183" t="str">
        <f t="shared" si="33"/>
        <v/>
      </c>
      <c r="X167" s="61" t="str">
        <f t="shared" si="34"/>
        <v/>
      </c>
      <c r="Y167" s="61" t="str">
        <f t="shared" si="35"/>
        <v/>
      </c>
      <c r="Z167" s="118" t="str">
        <f t="shared" si="36"/>
        <v/>
      </c>
      <c r="AA167" s="62" t="str">
        <f t="shared" si="37"/>
        <v/>
      </c>
      <c r="AB167" s="119" t="str">
        <f>IF(A167&lt;&gt;"", IF(P167&lt;&gt;0,SUMIFS(node!$J$2:$J$1000, node!$C$2:$C$1000,"="&amp;A167)/P167,0), "")</f>
        <v/>
      </c>
      <c r="AC167" s="81" t="str">
        <f>IF(A167&lt;&gt;"", IF(P167&lt;&gt;0,SUMIFS(node!$K$2:$K$1000, node!$C$2:$C$1000,"="&amp;A167)/P167,0), "")</f>
        <v/>
      </c>
      <c r="AD167" s="82" t="str">
        <f>IF(A167&lt;&gt;"", SUMIFS(node!$L$2:$L$1000, node!$C$2:$C$1000,"="&amp;A167), "")</f>
        <v/>
      </c>
      <c r="AE167" s="87" t="str">
        <f>IF(A167&lt;&gt;"", SUMIFS(node!$M$2:$M$1000, node!$C$2:$C$1000,"="&amp;A167), "")</f>
        <v/>
      </c>
    </row>
    <row r="168" spans="1:31" ht="15.75" customHeight="1" x14ac:dyDescent="0.25">
      <c r="A168" s="71" t="str">
        <f>IF(ISNONTEXT(node_raw[[#This Row],[Column2]]), "", node_raw[[#This Row],[Column2]])</f>
        <v/>
      </c>
      <c r="B168" s="108" t="str">
        <f>IF(A168&lt;&gt;"", VLOOKUP(A168, node!$C$2:$D$1000, 2, FALSE), "")</f>
        <v/>
      </c>
      <c r="C168" s="109" t="str">
        <f>IF(A168&lt;&gt;"", VLOOKUP(A168, node!$C$2:$E$1000, 3, FALSE), "")</f>
        <v/>
      </c>
      <c r="D168" s="110" t="str">
        <f>IF(A168&lt;&gt;"",COUNTIFS(node!$C$2:$C$1000,"="&amp;A168, node!$C$2:$C$1000,"&lt;&gt;"&amp;""),"")</f>
        <v/>
      </c>
      <c r="E168" s="111" t="str">
        <f>IF(A168&lt;&gt;"",SUMIFS(node!$F$2:$F$500, node!$C$2:$C$500,"="&amp;A168, node!$C$2:$C$500,"&lt;&gt;"&amp;"")/(B168*D168),"")</f>
        <v/>
      </c>
      <c r="F168" s="112" t="str">
        <f>IF(A168&lt;&gt;"",SUMIFS(node!$H$2:$H$500, node!$C$2:$C$500,"="&amp;A168, node!$C$2:$C$500,"&lt;&gt;"&amp;"")/(C168*D168),"")</f>
        <v/>
      </c>
      <c r="G168" s="179" t="str">
        <f>IF(A168&lt;&gt;"",SUMIFS(deployment!$F$4:$F$502, deployment!$D$4:$D$502,"="&amp;A168, deployment!$D$4:$D$502,"&lt;&gt;"&amp;""),"")</f>
        <v/>
      </c>
      <c r="H168" s="181" t="str">
        <f>IF(A168&lt;&gt;"",SUMIFS(deployment!$G$4:$G$502, deployment!$D$4:$D$502,"="&amp;A168, deployment!$D$4:$D$502,"&lt;&gt;"&amp;""),"")</f>
        <v/>
      </c>
      <c r="I168" s="113" t="str">
        <f>IF(A168&lt;&gt;"",SUMIFS(deployment!$H$4:$H$502, deployment!$D$4:$D$502,"="&amp;A168, deployment!$D$4:$D$502,"&lt;&gt;"&amp;""),"")</f>
        <v/>
      </c>
      <c r="J168" s="114" t="str">
        <f>IF(A168&lt;&gt;"",SUMIFS(deployment!$I$4:$I$502, deployment!$D$4:$D$502,"="&amp;A168, deployment!$D$4:$D$502,"&lt;&gt;"&amp;""),"")</f>
        <v/>
      </c>
      <c r="K168" s="182" t="str">
        <f>IF(A168&lt;&gt;"",SUMIFS(deployment!$J$4:$J$1002, deployment!$D$4:$D$1002,"="&amp;A168, deployment!$D$4:$D$1002,"&lt;&gt;"&amp;"", deployment!$C$4:$C$1002, "&lt;&gt;* )")+SUMIFS(namespace!$G$4:$G$1002, namespace!$B$4:$B$1002,"="&amp;A168, namespace!$B$4:$B$1002,"&lt;&gt;"&amp;""),"")</f>
        <v/>
      </c>
      <c r="L168" s="182" t="str">
        <f>IF(A168&lt;&gt;"",SUMIFS(deployment!$K$4:$K$1002, deployment!$D$4:$D$1002,"="&amp;A168, deployment!$D$4:$D$1002,"&lt;&gt;"&amp;"", deployment!$C$4:$C$1002, "&lt;&gt;* )")+SUMIFS(namespace!$H$4:$H$1002, namespace!$B$4:$B$1002,"="&amp;A168, namespace!$B$4:$B$1002,"&lt;&gt;"&amp;""),"")</f>
        <v/>
      </c>
      <c r="M168" s="115" t="str">
        <f>IF(A168&lt;&gt;"",SUMIFS(deployment!$L$4:$L$1002, deployment!$D$4:$D$1002,"="&amp;A168, deployment!$D$4:$D$1002,"&lt;&gt;"&amp;"", deployment!$C$4:$C$1002, "&lt;&gt;* )")+SUMIFS(namespace!$I$4:$I$1002, namespace!$B$4:$B$1002,"="&amp;A168, namespace!$B$4:$B$1002,"&lt;&gt;"&amp;""),"")</f>
        <v/>
      </c>
      <c r="N168" s="115" t="str">
        <f>IF(A168&lt;&gt;"",SUMIFS(deployment!$M$4:$M$1002, deployment!$D$4:$D$1002,"="&amp;A168, deployment!$D$4:$D$1002,"&lt;&gt;"&amp;"", deployment!$C$4:$C$1002, "&lt;&gt;* )")+SUMIFS(namespace!$J$4:$J$1002, namespace!$B$4:$B$1002,"="&amp;A168, namespace!$B$4:$B$1002,"&lt;&gt;"&amp;""),"")</f>
        <v/>
      </c>
      <c r="O168" s="116" t="str">
        <f t="shared" si="31"/>
        <v/>
      </c>
      <c r="P168" s="63"/>
      <c r="Q168" s="164" t="str">
        <f t="shared" si="26"/>
        <v/>
      </c>
      <c r="R168" s="60" t="str">
        <f t="shared" si="27"/>
        <v/>
      </c>
      <c r="S168" s="60" t="str">
        <f t="shared" si="28"/>
        <v/>
      </c>
      <c r="T168" s="61" t="str">
        <f t="shared" si="29"/>
        <v/>
      </c>
      <c r="U168" s="61" t="str">
        <f t="shared" si="30"/>
        <v/>
      </c>
      <c r="V168" s="183" t="str">
        <f t="shared" si="32"/>
        <v/>
      </c>
      <c r="W168" s="183" t="str">
        <f t="shared" si="33"/>
        <v/>
      </c>
      <c r="X168" s="61" t="str">
        <f t="shared" si="34"/>
        <v/>
      </c>
      <c r="Y168" s="61" t="str">
        <f t="shared" si="35"/>
        <v/>
      </c>
      <c r="Z168" s="118" t="str">
        <f t="shared" si="36"/>
        <v/>
      </c>
      <c r="AA168" s="62" t="str">
        <f t="shared" si="37"/>
        <v/>
      </c>
      <c r="AB168" s="119" t="str">
        <f>IF(A168&lt;&gt;"", IF(P168&lt;&gt;0,SUMIFS(node!$J$2:$J$1000, node!$C$2:$C$1000,"="&amp;A168)/P168,0), "")</f>
        <v/>
      </c>
      <c r="AC168" s="81" t="str">
        <f>IF(A168&lt;&gt;"", IF(P168&lt;&gt;0,SUMIFS(node!$K$2:$K$1000, node!$C$2:$C$1000,"="&amp;A168)/P168,0), "")</f>
        <v/>
      </c>
      <c r="AD168" s="82" t="str">
        <f>IF(A168&lt;&gt;"", SUMIFS(node!$L$2:$L$1000, node!$C$2:$C$1000,"="&amp;A168), "")</f>
        <v/>
      </c>
      <c r="AE168" s="87" t="str">
        <f>IF(A168&lt;&gt;"", SUMIFS(node!$M$2:$M$1000, node!$C$2:$C$1000,"="&amp;A168), "")</f>
        <v/>
      </c>
    </row>
    <row r="169" spans="1:31" ht="15.75" customHeight="1" x14ac:dyDescent="0.25">
      <c r="A169" s="71" t="str">
        <f>IF(ISNONTEXT(node_raw[[#This Row],[Column2]]), "", node_raw[[#This Row],[Column2]])</f>
        <v/>
      </c>
      <c r="B169" s="108" t="str">
        <f>IF(A169&lt;&gt;"", VLOOKUP(A169, node!$C$2:$D$1000, 2, FALSE), "")</f>
        <v/>
      </c>
      <c r="C169" s="109" t="str">
        <f>IF(A169&lt;&gt;"", VLOOKUP(A169, node!$C$2:$E$1000, 3, FALSE), "")</f>
        <v/>
      </c>
      <c r="D169" s="110" t="str">
        <f>IF(A169&lt;&gt;"",COUNTIFS(node!$C$2:$C$1000,"="&amp;A169, node!$C$2:$C$1000,"&lt;&gt;"&amp;""),"")</f>
        <v/>
      </c>
      <c r="E169" s="111" t="str">
        <f>IF(A169&lt;&gt;"",SUMIFS(node!$F$2:$F$500, node!$C$2:$C$500,"="&amp;A169, node!$C$2:$C$500,"&lt;&gt;"&amp;"")/(B169*D169),"")</f>
        <v/>
      </c>
      <c r="F169" s="112" t="str">
        <f>IF(A169&lt;&gt;"",SUMIFS(node!$H$2:$H$500, node!$C$2:$C$500,"="&amp;A169, node!$C$2:$C$500,"&lt;&gt;"&amp;"")/(C169*D169),"")</f>
        <v/>
      </c>
      <c r="G169" s="179" t="str">
        <f>IF(A169&lt;&gt;"",SUMIFS(deployment!$F$4:$F$502, deployment!$D$4:$D$502,"="&amp;A169, deployment!$D$4:$D$502,"&lt;&gt;"&amp;""),"")</f>
        <v/>
      </c>
      <c r="H169" s="181" t="str">
        <f>IF(A169&lt;&gt;"",SUMIFS(deployment!$G$4:$G$502, deployment!$D$4:$D$502,"="&amp;A169, deployment!$D$4:$D$502,"&lt;&gt;"&amp;""),"")</f>
        <v/>
      </c>
      <c r="I169" s="113" t="str">
        <f>IF(A169&lt;&gt;"",SUMIFS(deployment!$H$4:$H$502, deployment!$D$4:$D$502,"="&amp;A169, deployment!$D$4:$D$502,"&lt;&gt;"&amp;""),"")</f>
        <v/>
      </c>
      <c r="J169" s="114" t="str">
        <f>IF(A169&lt;&gt;"",SUMIFS(deployment!$I$4:$I$502, deployment!$D$4:$D$502,"="&amp;A169, deployment!$D$4:$D$502,"&lt;&gt;"&amp;""),"")</f>
        <v/>
      </c>
      <c r="K169" s="182" t="str">
        <f>IF(A169&lt;&gt;"",SUMIFS(deployment!$J$4:$J$1002, deployment!$D$4:$D$1002,"="&amp;A169, deployment!$D$4:$D$1002,"&lt;&gt;"&amp;"", deployment!$C$4:$C$1002, "&lt;&gt;* )")+SUMIFS(namespace!$G$4:$G$1002, namespace!$B$4:$B$1002,"="&amp;A169, namespace!$B$4:$B$1002,"&lt;&gt;"&amp;""),"")</f>
        <v/>
      </c>
      <c r="L169" s="182" t="str">
        <f>IF(A169&lt;&gt;"",SUMIFS(deployment!$K$4:$K$1002, deployment!$D$4:$D$1002,"="&amp;A169, deployment!$D$4:$D$1002,"&lt;&gt;"&amp;"", deployment!$C$4:$C$1002, "&lt;&gt;* )")+SUMIFS(namespace!$H$4:$H$1002, namespace!$B$4:$B$1002,"="&amp;A169, namespace!$B$4:$B$1002,"&lt;&gt;"&amp;""),"")</f>
        <v/>
      </c>
      <c r="M169" s="115" t="str">
        <f>IF(A169&lt;&gt;"",SUMIFS(deployment!$L$4:$L$1002, deployment!$D$4:$D$1002,"="&amp;A169, deployment!$D$4:$D$1002,"&lt;&gt;"&amp;"", deployment!$C$4:$C$1002, "&lt;&gt;* )")+SUMIFS(namespace!$I$4:$I$1002, namespace!$B$4:$B$1002,"="&amp;A169, namespace!$B$4:$B$1002,"&lt;&gt;"&amp;""),"")</f>
        <v/>
      </c>
      <c r="N169" s="115" t="str">
        <f>IF(A169&lt;&gt;"",SUMIFS(deployment!$M$4:$M$1002, deployment!$D$4:$D$1002,"="&amp;A169, deployment!$D$4:$D$1002,"&lt;&gt;"&amp;"", deployment!$C$4:$C$1002, "&lt;&gt;* )")+SUMIFS(namespace!$J$4:$J$1002, namespace!$B$4:$B$1002,"="&amp;A169, namespace!$B$4:$B$1002,"&lt;&gt;"&amp;""),"")</f>
        <v/>
      </c>
      <c r="O169" s="116" t="str">
        <f t="shared" si="31"/>
        <v/>
      </c>
      <c r="P169" s="63"/>
      <c r="Q169" s="164" t="str">
        <f t="shared" si="26"/>
        <v/>
      </c>
      <c r="R169" s="60" t="str">
        <f t="shared" si="27"/>
        <v/>
      </c>
      <c r="S169" s="60" t="str">
        <f t="shared" si="28"/>
        <v/>
      </c>
      <c r="T169" s="61" t="str">
        <f t="shared" si="29"/>
        <v/>
      </c>
      <c r="U169" s="61" t="str">
        <f t="shared" si="30"/>
        <v/>
      </c>
      <c r="V169" s="183" t="str">
        <f t="shared" si="32"/>
        <v/>
      </c>
      <c r="W169" s="183" t="str">
        <f t="shared" si="33"/>
        <v/>
      </c>
      <c r="X169" s="61" t="str">
        <f t="shared" si="34"/>
        <v/>
      </c>
      <c r="Y169" s="61" t="str">
        <f t="shared" si="35"/>
        <v/>
      </c>
      <c r="Z169" s="118" t="str">
        <f t="shared" si="36"/>
        <v/>
      </c>
      <c r="AA169" s="62" t="str">
        <f t="shared" si="37"/>
        <v/>
      </c>
      <c r="AB169" s="119" t="str">
        <f>IF(A169&lt;&gt;"", IF(P169&lt;&gt;0,SUMIFS(node!$J$2:$J$1000, node!$C$2:$C$1000,"="&amp;A169)/P169,0), "")</f>
        <v/>
      </c>
      <c r="AC169" s="81" t="str">
        <f>IF(A169&lt;&gt;"", IF(P169&lt;&gt;0,SUMIFS(node!$K$2:$K$1000, node!$C$2:$C$1000,"="&amp;A169)/P169,0), "")</f>
        <v/>
      </c>
      <c r="AD169" s="82" t="str">
        <f>IF(A169&lt;&gt;"", SUMIFS(node!$L$2:$L$1000, node!$C$2:$C$1000,"="&amp;A169), "")</f>
        <v/>
      </c>
      <c r="AE169" s="87" t="str">
        <f>IF(A169&lt;&gt;"", SUMIFS(node!$M$2:$M$1000, node!$C$2:$C$1000,"="&amp;A169), "")</f>
        <v/>
      </c>
    </row>
    <row r="170" spans="1:31" ht="15.75" customHeight="1" x14ac:dyDescent="0.25">
      <c r="A170" s="71" t="str">
        <f>IF(ISNONTEXT(node_raw[[#This Row],[Column2]]), "", node_raw[[#This Row],[Column2]])</f>
        <v/>
      </c>
      <c r="B170" s="108" t="str">
        <f>IF(A170&lt;&gt;"", VLOOKUP(A170, node!$C$2:$D$1000, 2, FALSE), "")</f>
        <v/>
      </c>
      <c r="C170" s="109" t="str">
        <f>IF(A170&lt;&gt;"", VLOOKUP(A170, node!$C$2:$E$1000, 3, FALSE), "")</f>
        <v/>
      </c>
      <c r="D170" s="110" t="str">
        <f>IF(A170&lt;&gt;"",COUNTIFS(node!$C$2:$C$1000,"="&amp;A170, node!$C$2:$C$1000,"&lt;&gt;"&amp;""),"")</f>
        <v/>
      </c>
      <c r="E170" s="111" t="str">
        <f>IF(A170&lt;&gt;"",SUMIFS(node!$F$2:$F$500, node!$C$2:$C$500,"="&amp;A170, node!$C$2:$C$500,"&lt;&gt;"&amp;"")/(B170*D170),"")</f>
        <v/>
      </c>
      <c r="F170" s="112" t="str">
        <f>IF(A170&lt;&gt;"",SUMIFS(node!$H$2:$H$500, node!$C$2:$C$500,"="&amp;A170, node!$C$2:$C$500,"&lt;&gt;"&amp;"")/(C170*D170),"")</f>
        <v/>
      </c>
      <c r="G170" s="179" t="str">
        <f>IF(A170&lt;&gt;"",SUMIFS(deployment!$F$4:$F$502, deployment!$D$4:$D$502,"="&amp;A170, deployment!$D$4:$D$502,"&lt;&gt;"&amp;""),"")</f>
        <v/>
      </c>
      <c r="H170" s="181" t="str">
        <f>IF(A170&lt;&gt;"",SUMIFS(deployment!$G$4:$G$502, deployment!$D$4:$D$502,"="&amp;A170, deployment!$D$4:$D$502,"&lt;&gt;"&amp;""),"")</f>
        <v/>
      </c>
      <c r="I170" s="113" t="str">
        <f>IF(A170&lt;&gt;"",SUMIFS(deployment!$H$4:$H$502, deployment!$D$4:$D$502,"="&amp;A170, deployment!$D$4:$D$502,"&lt;&gt;"&amp;""),"")</f>
        <v/>
      </c>
      <c r="J170" s="114" t="str">
        <f>IF(A170&lt;&gt;"",SUMIFS(deployment!$I$4:$I$502, deployment!$D$4:$D$502,"="&amp;A170, deployment!$D$4:$D$502,"&lt;&gt;"&amp;""),"")</f>
        <v/>
      </c>
      <c r="K170" s="182" t="str">
        <f>IF(A170&lt;&gt;"",SUMIFS(deployment!$J$4:$J$1002, deployment!$D$4:$D$1002,"="&amp;A170, deployment!$D$4:$D$1002,"&lt;&gt;"&amp;"", deployment!$C$4:$C$1002, "&lt;&gt;* )")+SUMIFS(namespace!$G$4:$G$1002, namespace!$B$4:$B$1002,"="&amp;A170, namespace!$B$4:$B$1002,"&lt;&gt;"&amp;""),"")</f>
        <v/>
      </c>
      <c r="L170" s="182" t="str">
        <f>IF(A170&lt;&gt;"",SUMIFS(deployment!$K$4:$K$1002, deployment!$D$4:$D$1002,"="&amp;A170, deployment!$D$4:$D$1002,"&lt;&gt;"&amp;"", deployment!$C$4:$C$1002, "&lt;&gt;* )")+SUMIFS(namespace!$H$4:$H$1002, namespace!$B$4:$B$1002,"="&amp;A170, namespace!$B$4:$B$1002,"&lt;&gt;"&amp;""),"")</f>
        <v/>
      </c>
      <c r="M170" s="115" t="str">
        <f>IF(A170&lt;&gt;"",SUMIFS(deployment!$L$4:$L$1002, deployment!$D$4:$D$1002,"="&amp;A170, deployment!$D$4:$D$1002,"&lt;&gt;"&amp;"", deployment!$C$4:$C$1002, "&lt;&gt;* )")+SUMIFS(namespace!$I$4:$I$1002, namespace!$B$4:$B$1002,"="&amp;A170, namespace!$B$4:$B$1002,"&lt;&gt;"&amp;""),"")</f>
        <v/>
      </c>
      <c r="N170" s="115" t="str">
        <f>IF(A170&lt;&gt;"",SUMIFS(deployment!$M$4:$M$1002, deployment!$D$4:$D$1002,"="&amp;A170, deployment!$D$4:$D$1002,"&lt;&gt;"&amp;"", deployment!$C$4:$C$1002, "&lt;&gt;* )")+SUMIFS(namespace!$J$4:$J$1002, namespace!$B$4:$B$1002,"="&amp;A170, namespace!$B$4:$B$1002,"&lt;&gt;"&amp;""),"")</f>
        <v/>
      </c>
      <c r="O170" s="116" t="str">
        <f t="shared" si="31"/>
        <v/>
      </c>
      <c r="P170" s="63"/>
      <c r="Q170" s="164" t="str">
        <f t="shared" si="26"/>
        <v/>
      </c>
      <c r="R170" s="60" t="str">
        <f t="shared" si="27"/>
        <v/>
      </c>
      <c r="S170" s="60" t="str">
        <f t="shared" si="28"/>
        <v/>
      </c>
      <c r="T170" s="61" t="str">
        <f t="shared" si="29"/>
        <v/>
      </c>
      <c r="U170" s="61" t="str">
        <f t="shared" si="30"/>
        <v/>
      </c>
      <c r="V170" s="183" t="str">
        <f t="shared" si="32"/>
        <v/>
      </c>
      <c r="W170" s="183" t="str">
        <f t="shared" si="33"/>
        <v/>
      </c>
      <c r="X170" s="61" t="str">
        <f t="shared" si="34"/>
        <v/>
      </c>
      <c r="Y170" s="61" t="str">
        <f t="shared" si="35"/>
        <v/>
      </c>
      <c r="Z170" s="118" t="str">
        <f t="shared" si="36"/>
        <v/>
      </c>
      <c r="AA170" s="62" t="str">
        <f t="shared" si="37"/>
        <v/>
      </c>
      <c r="AB170" s="119" t="str">
        <f>IF(A170&lt;&gt;"", IF(P170&lt;&gt;0,SUMIFS(node!$J$2:$J$1000, node!$C$2:$C$1000,"="&amp;A170)/P170,0), "")</f>
        <v/>
      </c>
      <c r="AC170" s="81" t="str">
        <f>IF(A170&lt;&gt;"", IF(P170&lt;&gt;0,SUMIFS(node!$K$2:$K$1000, node!$C$2:$C$1000,"="&amp;A170)/P170,0), "")</f>
        <v/>
      </c>
      <c r="AD170" s="82" t="str">
        <f>IF(A170&lt;&gt;"", SUMIFS(node!$L$2:$L$1000, node!$C$2:$C$1000,"="&amp;A170), "")</f>
        <v/>
      </c>
      <c r="AE170" s="87" t="str">
        <f>IF(A170&lt;&gt;"", SUMIFS(node!$M$2:$M$1000, node!$C$2:$C$1000,"="&amp;A170), "")</f>
        <v/>
      </c>
    </row>
    <row r="171" spans="1:31" ht="15.75" customHeight="1" x14ac:dyDescent="0.25">
      <c r="A171" s="71" t="str">
        <f>IF(ISNONTEXT(node_raw[[#This Row],[Column2]]), "", node_raw[[#This Row],[Column2]])</f>
        <v/>
      </c>
      <c r="B171" s="108" t="str">
        <f>IF(A171&lt;&gt;"", VLOOKUP(A171, node!$C$2:$D$1000, 2, FALSE), "")</f>
        <v/>
      </c>
      <c r="C171" s="109" t="str">
        <f>IF(A171&lt;&gt;"", VLOOKUP(A171, node!$C$2:$E$1000, 3, FALSE), "")</f>
        <v/>
      </c>
      <c r="D171" s="110" t="str">
        <f>IF(A171&lt;&gt;"",COUNTIFS(node!$C$2:$C$1000,"="&amp;A171, node!$C$2:$C$1000,"&lt;&gt;"&amp;""),"")</f>
        <v/>
      </c>
      <c r="E171" s="111" t="str">
        <f>IF(A171&lt;&gt;"",SUMIFS(node!$F$2:$F$500, node!$C$2:$C$500,"="&amp;A171, node!$C$2:$C$500,"&lt;&gt;"&amp;"")/(B171*D171),"")</f>
        <v/>
      </c>
      <c r="F171" s="112" t="str">
        <f>IF(A171&lt;&gt;"",SUMIFS(node!$H$2:$H$500, node!$C$2:$C$500,"="&amp;A171, node!$C$2:$C$500,"&lt;&gt;"&amp;"")/(C171*D171),"")</f>
        <v/>
      </c>
      <c r="G171" s="179" t="str">
        <f>IF(A171&lt;&gt;"",SUMIFS(deployment!$F$4:$F$502, deployment!$D$4:$D$502,"="&amp;A171, deployment!$D$4:$D$502,"&lt;&gt;"&amp;""),"")</f>
        <v/>
      </c>
      <c r="H171" s="181" t="str">
        <f>IF(A171&lt;&gt;"",SUMIFS(deployment!$G$4:$G$502, deployment!$D$4:$D$502,"="&amp;A171, deployment!$D$4:$D$502,"&lt;&gt;"&amp;""),"")</f>
        <v/>
      </c>
      <c r="I171" s="113" t="str">
        <f>IF(A171&lt;&gt;"",SUMIFS(deployment!$H$4:$H$502, deployment!$D$4:$D$502,"="&amp;A171, deployment!$D$4:$D$502,"&lt;&gt;"&amp;""),"")</f>
        <v/>
      </c>
      <c r="J171" s="114" t="str">
        <f>IF(A171&lt;&gt;"",SUMIFS(deployment!$I$4:$I$502, deployment!$D$4:$D$502,"="&amp;A171, deployment!$D$4:$D$502,"&lt;&gt;"&amp;""),"")</f>
        <v/>
      </c>
      <c r="K171" s="182" t="str">
        <f>IF(A171&lt;&gt;"",SUMIFS(deployment!$J$4:$J$1002, deployment!$D$4:$D$1002,"="&amp;A171, deployment!$D$4:$D$1002,"&lt;&gt;"&amp;"", deployment!$C$4:$C$1002, "&lt;&gt;* )")+SUMIFS(namespace!$G$4:$G$1002, namespace!$B$4:$B$1002,"="&amp;A171, namespace!$B$4:$B$1002,"&lt;&gt;"&amp;""),"")</f>
        <v/>
      </c>
      <c r="L171" s="182" t="str">
        <f>IF(A171&lt;&gt;"",SUMIFS(deployment!$K$4:$K$1002, deployment!$D$4:$D$1002,"="&amp;A171, deployment!$D$4:$D$1002,"&lt;&gt;"&amp;"", deployment!$C$4:$C$1002, "&lt;&gt;* )")+SUMIFS(namespace!$H$4:$H$1002, namespace!$B$4:$B$1002,"="&amp;A171, namespace!$B$4:$B$1002,"&lt;&gt;"&amp;""),"")</f>
        <v/>
      </c>
      <c r="M171" s="115" t="str">
        <f>IF(A171&lt;&gt;"",SUMIFS(deployment!$L$4:$L$1002, deployment!$D$4:$D$1002,"="&amp;A171, deployment!$D$4:$D$1002,"&lt;&gt;"&amp;"", deployment!$C$4:$C$1002, "&lt;&gt;* )")+SUMIFS(namespace!$I$4:$I$1002, namespace!$B$4:$B$1002,"="&amp;A171, namespace!$B$4:$B$1002,"&lt;&gt;"&amp;""),"")</f>
        <v/>
      </c>
      <c r="N171" s="115" t="str">
        <f>IF(A171&lt;&gt;"",SUMIFS(deployment!$M$4:$M$1002, deployment!$D$4:$D$1002,"="&amp;A171, deployment!$D$4:$D$1002,"&lt;&gt;"&amp;"", deployment!$C$4:$C$1002, "&lt;&gt;* )")+SUMIFS(namespace!$J$4:$J$1002, namespace!$B$4:$B$1002,"="&amp;A171, namespace!$B$4:$B$1002,"&lt;&gt;"&amp;""),"")</f>
        <v/>
      </c>
      <c r="O171" s="116" t="str">
        <f t="shared" si="31"/>
        <v/>
      </c>
      <c r="P171" s="63"/>
      <c r="Q171" s="164" t="str">
        <f t="shared" si="26"/>
        <v/>
      </c>
      <c r="R171" s="60" t="str">
        <f t="shared" si="27"/>
        <v/>
      </c>
      <c r="S171" s="60" t="str">
        <f t="shared" si="28"/>
        <v/>
      </c>
      <c r="T171" s="61" t="str">
        <f t="shared" si="29"/>
        <v/>
      </c>
      <c r="U171" s="61" t="str">
        <f t="shared" si="30"/>
        <v/>
      </c>
      <c r="V171" s="183" t="str">
        <f t="shared" si="32"/>
        <v/>
      </c>
      <c r="W171" s="183" t="str">
        <f t="shared" si="33"/>
        <v/>
      </c>
      <c r="X171" s="61" t="str">
        <f t="shared" si="34"/>
        <v/>
      </c>
      <c r="Y171" s="61" t="str">
        <f t="shared" si="35"/>
        <v/>
      </c>
      <c r="Z171" s="118" t="str">
        <f t="shared" si="36"/>
        <v/>
      </c>
      <c r="AA171" s="62" t="str">
        <f t="shared" si="37"/>
        <v/>
      </c>
      <c r="AB171" s="119" t="str">
        <f>IF(A171&lt;&gt;"", IF(P171&lt;&gt;0,SUMIFS(node!$J$2:$J$1000, node!$C$2:$C$1000,"="&amp;A171)/P171,0), "")</f>
        <v/>
      </c>
      <c r="AC171" s="81" t="str">
        <f>IF(A171&lt;&gt;"", IF(P171&lt;&gt;0,SUMIFS(node!$K$2:$K$1000, node!$C$2:$C$1000,"="&amp;A171)/P171,0), "")</f>
        <v/>
      </c>
      <c r="AD171" s="82" t="str">
        <f>IF(A171&lt;&gt;"", SUMIFS(node!$L$2:$L$1000, node!$C$2:$C$1000,"="&amp;A171), "")</f>
        <v/>
      </c>
      <c r="AE171" s="87" t="str">
        <f>IF(A171&lt;&gt;"", SUMIFS(node!$M$2:$M$1000, node!$C$2:$C$1000,"="&amp;A171), "")</f>
        <v/>
      </c>
    </row>
    <row r="172" spans="1:31" ht="15.75" customHeight="1" x14ac:dyDescent="0.25">
      <c r="A172" s="71" t="str">
        <f>IF(ISNONTEXT(node_raw[[#This Row],[Column2]]), "", node_raw[[#This Row],[Column2]])</f>
        <v/>
      </c>
      <c r="B172" s="108" t="str">
        <f>IF(A172&lt;&gt;"", VLOOKUP(A172, node!$C$2:$D$1000, 2, FALSE), "")</f>
        <v/>
      </c>
      <c r="C172" s="109" t="str">
        <f>IF(A172&lt;&gt;"", VLOOKUP(A172, node!$C$2:$E$1000, 3, FALSE), "")</f>
        <v/>
      </c>
      <c r="D172" s="110" t="str">
        <f>IF(A172&lt;&gt;"",COUNTIFS(node!$C$2:$C$1000,"="&amp;A172, node!$C$2:$C$1000,"&lt;&gt;"&amp;""),"")</f>
        <v/>
      </c>
      <c r="E172" s="111" t="str">
        <f>IF(A172&lt;&gt;"",SUMIFS(node!$F$2:$F$500, node!$C$2:$C$500,"="&amp;A172, node!$C$2:$C$500,"&lt;&gt;"&amp;"")/(B172*D172),"")</f>
        <v/>
      </c>
      <c r="F172" s="112" t="str">
        <f>IF(A172&lt;&gt;"",SUMIFS(node!$H$2:$H$500, node!$C$2:$C$500,"="&amp;A172, node!$C$2:$C$500,"&lt;&gt;"&amp;"")/(C172*D172),"")</f>
        <v/>
      </c>
      <c r="G172" s="179" t="str">
        <f>IF(A172&lt;&gt;"",SUMIFS(deployment!$F$4:$F$502, deployment!$D$4:$D$502,"="&amp;A172, deployment!$D$4:$D$502,"&lt;&gt;"&amp;""),"")</f>
        <v/>
      </c>
      <c r="H172" s="181" t="str">
        <f>IF(A172&lt;&gt;"",SUMIFS(deployment!$G$4:$G$502, deployment!$D$4:$D$502,"="&amp;A172, deployment!$D$4:$D$502,"&lt;&gt;"&amp;""),"")</f>
        <v/>
      </c>
      <c r="I172" s="113" t="str">
        <f>IF(A172&lt;&gt;"",SUMIFS(deployment!$H$4:$H$502, deployment!$D$4:$D$502,"="&amp;A172, deployment!$D$4:$D$502,"&lt;&gt;"&amp;""),"")</f>
        <v/>
      </c>
      <c r="J172" s="114" t="str">
        <f>IF(A172&lt;&gt;"",SUMIFS(deployment!$I$4:$I$502, deployment!$D$4:$D$502,"="&amp;A172, deployment!$D$4:$D$502,"&lt;&gt;"&amp;""),"")</f>
        <v/>
      </c>
      <c r="K172" s="182" t="str">
        <f>IF(A172&lt;&gt;"",SUMIFS(deployment!$J$4:$J$1002, deployment!$D$4:$D$1002,"="&amp;A172, deployment!$D$4:$D$1002,"&lt;&gt;"&amp;"", deployment!$C$4:$C$1002, "&lt;&gt;* )")+SUMIFS(namespace!$G$4:$G$1002, namespace!$B$4:$B$1002,"="&amp;A172, namespace!$B$4:$B$1002,"&lt;&gt;"&amp;""),"")</f>
        <v/>
      </c>
      <c r="L172" s="182" t="str">
        <f>IF(A172&lt;&gt;"",SUMIFS(deployment!$K$4:$K$1002, deployment!$D$4:$D$1002,"="&amp;A172, deployment!$D$4:$D$1002,"&lt;&gt;"&amp;"", deployment!$C$4:$C$1002, "&lt;&gt;* )")+SUMIFS(namespace!$H$4:$H$1002, namespace!$B$4:$B$1002,"="&amp;A172, namespace!$B$4:$B$1002,"&lt;&gt;"&amp;""),"")</f>
        <v/>
      </c>
      <c r="M172" s="115" t="str">
        <f>IF(A172&lt;&gt;"",SUMIFS(deployment!$L$4:$L$1002, deployment!$D$4:$D$1002,"="&amp;A172, deployment!$D$4:$D$1002,"&lt;&gt;"&amp;"", deployment!$C$4:$C$1002, "&lt;&gt;* )")+SUMIFS(namespace!$I$4:$I$1002, namespace!$B$4:$B$1002,"="&amp;A172, namespace!$B$4:$B$1002,"&lt;&gt;"&amp;""),"")</f>
        <v/>
      </c>
      <c r="N172" s="115" t="str">
        <f>IF(A172&lt;&gt;"",SUMIFS(deployment!$M$4:$M$1002, deployment!$D$4:$D$1002,"="&amp;A172, deployment!$D$4:$D$1002,"&lt;&gt;"&amp;"", deployment!$C$4:$C$1002, "&lt;&gt;* )")+SUMIFS(namespace!$J$4:$J$1002, namespace!$B$4:$B$1002,"="&amp;A172, namespace!$B$4:$B$1002,"&lt;&gt;"&amp;""),"")</f>
        <v/>
      </c>
      <c r="O172" s="116" t="str">
        <f t="shared" si="31"/>
        <v/>
      </c>
      <c r="P172" s="63"/>
      <c r="Q172" s="164" t="str">
        <f t="shared" si="26"/>
        <v/>
      </c>
      <c r="R172" s="60" t="str">
        <f t="shared" si="27"/>
        <v/>
      </c>
      <c r="S172" s="60" t="str">
        <f t="shared" si="28"/>
        <v/>
      </c>
      <c r="T172" s="61" t="str">
        <f t="shared" si="29"/>
        <v/>
      </c>
      <c r="U172" s="61" t="str">
        <f t="shared" si="30"/>
        <v/>
      </c>
      <c r="V172" s="183" t="str">
        <f t="shared" si="32"/>
        <v/>
      </c>
      <c r="W172" s="183" t="str">
        <f t="shared" si="33"/>
        <v/>
      </c>
      <c r="X172" s="61" t="str">
        <f t="shared" si="34"/>
        <v/>
      </c>
      <c r="Y172" s="61" t="str">
        <f t="shared" si="35"/>
        <v/>
      </c>
      <c r="Z172" s="118" t="str">
        <f t="shared" si="36"/>
        <v/>
      </c>
      <c r="AA172" s="62" t="str">
        <f t="shared" si="37"/>
        <v/>
      </c>
      <c r="AB172" s="119" t="str">
        <f>IF(A172&lt;&gt;"", IF(P172&lt;&gt;0,SUMIFS(node!$J$2:$J$1000, node!$C$2:$C$1000,"="&amp;A172)/P172,0), "")</f>
        <v/>
      </c>
      <c r="AC172" s="81" t="str">
        <f>IF(A172&lt;&gt;"", IF(P172&lt;&gt;0,SUMIFS(node!$K$2:$K$1000, node!$C$2:$C$1000,"="&amp;A172)/P172,0), "")</f>
        <v/>
      </c>
      <c r="AD172" s="82" t="str">
        <f>IF(A172&lt;&gt;"", SUMIFS(node!$L$2:$L$1000, node!$C$2:$C$1000,"="&amp;A172), "")</f>
        <v/>
      </c>
      <c r="AE172" s="87" t="str">
        <f>IF(A172&lt;&gt;"", SUMIFS(node!$M$2:$M$1000, node!$C$2:$C$1000,"="&amp;A172), "")</f>
        <v/>
      </c>
    </row>
    <row r="173" spans="1:31" ht="15.75" customHeight="1" x14ac:dyDescent="0.25">
      <c r="A173" s="71" t="str">
        <f>IF(ISNONTEXT(node_raw[[#This Row],[Column2]]), "", node_raw[[#This Row],[Column2]])</f>
        <v/>
      </c>
      <c r="B173" s="108" t="str">
        <f>IF(A173&lt;&gt;"", VLOOKUP(A173, node!$C$2:$D$1000, 2, FALSE), "")</f>
        <v/>
      </c>
      <c r="C173" s="109" t="str">
        <f>IF(A173&lt;&gt;"", VLOOKUP(A173, node!$C$2:$E$1000, 3, FALSE), "")</f>
        <v/>
      </c>
      <c r="D173" s="110" t="str">
        <f>IF(A173&lt;&gt;"",COUNTIFS(node!$C$2:$C$1000,"="&amp;A173, node!$C$2:$C$1000,"&lt;&gt;"&amp;""),"")</f>
        <v/>
      </c>
      <c r="E173" s="111" t="str">
        <f>IF(A173&lt;&gt;"",SUMIFS(node!$F$2:$F$500, node!$C$2:$C$500,"="&amp;A173, node!$C$2:$C$500,"&lt;&gt;"&amp;"")/(B173*D173),"")</f>
        <v/>
      </c>
      <c r="F173" s="112" t="str">
        <f>IF(A173&lt;&gt;"",SUMIFS(node!$H$2:$H$500, node!$C$2:$C$500,"="&amp;A173, node!$C$2:$C$500,"&lt;&gt;"&amp;"")/(C173*D173),"")</f>
        <v/>
      </c>
      <c r="G173" s="179" t="str">
        <f>IF(A173&lt;&gt;"",SUMIFS(deployment!$F$4:$F$502, deployment!$D$4:$D$502,"="&amp;A173, deployment!$D$4:$D$502,"&lt;&gt;"&amp;""),"")</f>
        <v/>
      </c>
      <c r="H173" s="181" t="str">
        <f>IF(A173&lt;&gt;"",SUMIFS(deployment!$G$4:$G$502, deployment!$D$4:$D$502,"="&amp;A173, deployment!$D$4:$D$502,"&lt;&gt;"&amp;""),"")</f>
        <v/>
      </c>
      <c r="I173" s="113" t="str">
        <f>IF(A173&lt;&gt;"",SUMIFS(deployment!$H$4:$H$502, deployment!$D$4:$D$502,"="&amp;A173, deployment!$D$4:$D$502,"&lt;&gt;"&amp;""),"")</f>
        <v/>
      </c>
      <c r="J173" s="114" t="str">
        <f>IF(A173&lt;&gt;"",SUMIFS(deployment!$I$4:$I$502, deployment!$D$4:$D$502,"="&amp;A173, deployment!$D$4:$D$502,"&lt;&gt;"&amp;""),"")</f>
        <v/>
      </c>
      <c r="K173" s="182" t="str">
        <f>IF(A173&lt;&gt;"",SUMIFS(deployment!$J$4:$J$1002, deployment!$D$4:$D$1002,"="&amp;A173, deployment!$D$4:$D$1002,"&lt;&gt;"&amp;"", deployment!$C$4:$C$1002, "&lt;&gt;* )")+SUMIFS(namespace!$G$4:$G$1002, namespace!$B$4:$B$1002,"="&amp;A173, namespace!$B$4:$B$1002,"&lt;&gt;"&amp;""),"")</f>
        <v/>
      </c>
      <c r="L173" s="182" t="str">
        <f>IF(A173&lt;&gt;"",SUMIFS(deployment!$K$4:$K$1002, deployment!$D$4:$D$1002,"="&amp;A173, deployment!$D$4:$D$1002,"&lt;&gt;"&amp;"", deployment!$C$4:$C$1002, "&lt;&gt;* )")+SUMIFS(namespace!$H$4:$H$1002, namespace!$B$4:$B$1002,"="&amp;A173, namespace!$B$4:$B$1002,"&lt;&gt;"&amp;""),"")</f>
        <v/>
      </c>
      <c r="M173" s="115" t="str">
        <f>IF(A173&lt;&gt;"",SUMIFS(deployment!$L$4:$L$1002, deployment!$D$4:$D$1002,"="&amp;A173, deployment!$D$4:$D$1002,"&lt;&gt;"&amp;"", deployment!$C$4:$C$1002, "&lt;&gt;* )")+SUMIFS(namespace!$I$4:$I$1002, namespace!$B$4:$B$1002,"="&amp;A173, namespace!$B$4:$B$1002,"&lt;&gt;"&amp;""),"")</f>
        <v/>
      </c>
      <c r="N173" s="115" t="str">
        <f>IF(A173&lt;&gt;"",SUMIFS(deployment!$M$4:$M$1002, deployment!$D$4:$D$1002,"="&amp;A173, deployment!$D$4:$D$1002,"&lt;&gt;"&amp;"", deployment!$C$4:$C$1002, "&lt;&gt;* )")+SUMIFS(namespace!$J$4:$J$1002, namespace!$B$4:$B$1002,"="&amp;A173, namespace!$B$4:$B$1002,"&lt;&gt;"&amp;""),"")</f>
        <v/>
      </c>
      <c r="O173" s="116" t="str">
        <f t="shared" si="31"/>
        <v/>
      </c>
      <c r="P173" s="63"/>
      <c r="Q173" s="164" t="str">
        <f t="shared" si="26"/>
        <v/>
      </c>
      <c r="R173" s="60" t="str">
        <f t="shared" si="27"/>
        <v/>
      </c>
      <c r="S173" s="60" t="str">
        <f t="shared" si="28"/>
        <v/>
      </c>
      <c r="T173" s="61" t="str">
        <f t="shared" si="29"/>
        <v/>
      </c>
      <c r="U173" s="61" t="str">
        <f t="shared" si="30"/>
        <v/>
      </c>
      <c r="V173" s="183" t="str">
        <f t="shared" si="32"/>
        <v/>
      </c>
      <c r="W173" s="183" t="str">
        <f t="shared" si="33"/>
        <v/>
      </c>
      <c r="X173" s="61" t="str">
        <f t="shared" si="34"/>
        <v/>
      </c>
      <c r="Y173" s="61" t="str">
        <f t="shared" si="35"/>
        <v/>
      </c>
      <c r="Z173" s="118" t="str">
        <f t="shared" si="36"/>
        <v/>
      </c>
      <c r="AA173" s="62" t="str">
        <f t="shared" si="37"/>
        <v/>
      </c>
      <c r="AB173" s="119" t="str">
        <f>IF(A173&lt;&gt;"", IF(P173&lt;&gt;0,SUMIFS(node!$J$2:$J$1000, node!$C$2:$C$1000,"="&amp;A173)/P173,0), "")</f>
        <v/>
      </c>
      <c r="AC173" s="81" t="str">
        <f>IF(A173&lt;&gt;"", IF(P173&lt;&gt;0,SUMIFS(node!$K$2:$K$1000, node!$C$2:$C$1000,"="&amp;A173)/P173,0), "")</f>
        <v/>
      </c>
      <c r="AD173" s="82" t="str">
        <f>IF(A173&lt;&gt;"", SUMIFS(node!$L$2:$L$1000, node!$C$2:$C$1000,"="&amp;A173), "")</f>
        <v/>
      </c>
      <c r="AE173" s="87" t="str">
        <f>IF(A173&lt;&gt;"", SUMIFS(node!$M$2:$M$1000, node!$C$2:$C$1000,"="&amp;A173), "")</f>
        <v/>
      </c>
    </row>
    <row r="174" spans="1:31" ht="15.75" customHeight="1" x14ac:dyDescent="0.25">
      <c r="A174" s="71" t="str">
        <f>IF(ISNONTEXT(node_raw[[#This Row],[Column2]]), "", node_raw[[#This Row],[Column2]])</f>
        <v/>
      </c>
      <c r="B174" s="108" t="str">
        <f>IF(A174&lt;&gt;"", VLOOKUP(A174, node!$C$2:$D$1000, 2, FALSE), "")</f>
        <v/>
      </c>
      <c r="C174" s="109" t="str">
        <f>IF(A174&lt;&gt;"", VLOOKUP(A174, node!$C$2:$E$1000, 3, FALSE), "")</f>
        <v/>
      </c>
      <c r="D174" s="110" t="str">
        <f>IF(A174&lt;&gt;"",COUNTIFS(node!$C$2:$C$1000,"="&amp;A174, node!$C$2:$C$1000,"&lt;&gt;"&amp;""),"")</f>
        <v/>
      </c>
      <c r="E174" s="111" t="str">
        <f>IF(A174&lt;&gt;"",SUMIFS(node!$F$2:$F$500, node!$C$2:$C$500,"="&amp;A174, node!$C$2:$C$500,"&lt;&gt;"&amp;"")/(B174*D174),"")</f>
        <v/>
      </c>
      <c r="F174" s="112" t="str">
        <f>IF(A174&lt;&gt;"",SUMIFS(node!$H$2:$H$500, node!$C$2:$C$500,"="&amp;A174, node!$C$2:$C$500,"&lt;&gt;"&amp;"")/(C174*D174),"")</f>
        <v/>
      </c>
      <c r="G174" s="179" t="str">
        <f>IF(A174&lt;&gt;"",SUMIFS(deployment!$F$4:$F$502, deployment!$D$4:$D$502,"="&amp;A174, deployment!$D$4:$D$502,"&lt;&gt;"&amp;""),"")</f>
        <v/>
      </c>
      <c r="H174" s="181" t="str">
        <f>IF(A174&lt;&gt;"",SUMIFS(deployment!$G$4:$G$502, deployment!$D$4:$D$502,"="&amp;A174, deployment!$D$4:$D$502,"&lt;&gt;"&amp;""),"")</f>
        <v/>
      </c>
      <c r="I174" s="113" t="str">
        <f>IF(A174&lt;&gt;"",SUMIFS(deployment!$H$4:$H$502, deployment!$D$4:$D$502,"="&amp;A174, deployment!$D$4:$D$502,"&lt;&gt;"&amp;""),"")</f>
        <v/>
      </c>
      <c r="J174" s="114" t="str">
        <f>IF(A174&lt;&gt;"",SUMIFS(deployment!$I$4:$I$502, deployment!$D$4:$D$502,"="&amp;A174, deployment!$D$4:$D$502,"&lt;&gt;"&amp;""),"")</f>
        <v/>
      </c>
      <c r="K174" s="182" t="str">
        <f>IF(A174&lt;&gt;"",SUMIFS(deployment!$J$4:$J$1002, deployment!$D$4:$D$1002,"="&amp;A174, deployment!$D$4:$D$1002,"&lt;&gt;"&amp;"", deployment!$C$4:$C$1002, "&lt;&gt;* )")+SUMIFS(namespace!$G$4:$G$1002, namespace!$B$4:$B$1002,"="&amp;A174, namespace!$B$4:$B$1002,"&lt;&gt;"&amp;""),"")</f>
        <v/>
      </c>
      <c r="L174" s="182" t="str">
        <f>IF(A174&lt;&gt;"",SUMIFS(deployment!$K$4:$K$1002, deployment!$D$4:$D$1002,"="&amp;A174, deployment!$D$4:$D$1002,"&lt;&gt;"&amp;"", deployment!$C$4:$C$1002, "&lt;&gt;* )")+SUMIFS(namespace!$H$4:$H$1002, namespace!$B$4:$B$1002,"="&amp;A174, namespace!$B$4:$B$1002,"&lt;&gt;"&amp;""),"")</f>
        <v/>
      </c>
      <c r="M174" s="115" t="str">
        <f>IF(A174&lt;&gt;"",SUMIFS(deployment!$L$4:$L$1002, deployment!$D$4:$D$1002,"="&amp;A174, deployment!$D$4:$D$1002,"&lt;&gt;"&amp;"", deployment!$C$4:$C$1002, "&lt;&gt;* )")+SUMIFS(namespace!$I$4:$I$1002, namespace!$B$4:$B$1002,"="&amp;A174, namespace!$B$4:$B$1002,"&lt;&gt;"&amp;""),"")</f>
        <v/>
      </c>
      <c r="N174" s="115" t="str">
        <f>IF(A174&lt;&gt;"",SUMIFS(deployment!$M$4:$M$1002, deployment!$D$4:$D$1002,"="&amp;A174, deployment!$D$4:$D$1002,"&lt;&gt;"&amp;"", deployment!$C$4:$C$1002, "&lt;&gt;* )")+SUMIFS(namespace!$J$4:$J$1002, namespace!$B$4:$B$1002,"="&amp;A174, namespace!$B$4:$B$1002,"&lt;&gt;"&amp;""),"")</f>
        <v/>
      </c>
      <c r="O174" s="116" t="str">
        <f t="shared" si="31"/>
        <v/>
      </c>
      <c r="P174" s="63"/>
      <c r="Q174" s="164" t="str">
        <f t="shared" si="26"/>
        <v/>
      </c>
      <c r="R174" s="60" t="str">
        <f t="shared" si="27"/>
        <v/>
      </c>
      <c r="S174" s="60" t="str">
        <f t="shared" si="28"/>
        <v/>
      </c>
      <c r="T174" s="61" t="str">
        <f t="shared" si="29"/>
        <v/>
      </c>
      <c r="U174" s="61" t="str">
        <f t="shared" si="30"/>
        <v/>
      </c>
      <c r="V174" s="183" t="str">
        <f t="shared" si="32"/>
        <v/>
      </c>
      <c r="W174" s="183" t="str">
        <f t="shared" si="33"/>
        <v/>
      </c>
      <c r="X174" s="61" t="str">
        <f t="shared" si="34"/>
        <v/>
      </c>
      <c r="Y174" s="61" t="str">
        <f t="shared" si="35"/>
        <v/>
      </c>
      <c r="Z174" s="118" t="str">
        <f t="shared" si="36"/>
        <v/>
      </c>
      <c r="AA174" s="62" t="str">
        <f t="shared" si="37"/>
        <v/>
      </c>
      <c r="AB174" s="119" t="str">
        <f>IF(A174&lt;&gt;"", IF(P174&lt;&gt;0,SUMIFS(node!$J$2:$J$1000, node!$C$2:$C$1000,"="&amp;A174)/P174,0), "")</f>
        <v/>
      </c>
      <c r="AC174" s="81" t="str">
        <f>IF(A174&lt;&gt;"", IF(P174&lt;&gt;0,SUMIFS(node!$K$2:$K$1000, node!$C$2:$C$1000,"="&amp;A174)/P174,0), "")</f>
        <v/>
      </c>
      <c r="AD174" s="82" t="str">
        <f>IF(A174&lt;&gt;"", SUMIFS(node!$L$2:$L$1000, node!$C$2:$C$1000,"="&amp;A174), "")</f>
        <v/>
      </c>
      <c r="AE174" s="87" t="str">
        <f>IF(A174&lt;&gt;"", SUMIFS(node!$M$2:$M$1000, node!$C$2:$C$1000,"="&amp;A174), "")</f>
        <v/>
      </c>
    </row>
    <row r="175" spans="1:31" ht="15.75" customHeight="1" x14ac:dyDescent="0.25">
      <c r="A175" s="71" t="str">
        <f>IF(ISNONTEXT(node_raw[[#This Row],[Column2]]), "", node_raw[[#This Row],[Column2]])</f>
        <v/>
      </c>
      <c r="B175" s="108" t="str">
        <f>IF(A175&lt;&gt;"", VLOOKUP(A175, node!$C$2:$D$1000, 2, FALSE), "")</f>
        <v/>
      </c>
      <c r="C175" s="109" t="str">
        <f>IF(A175&lt;&gt;"", VLOOKUP(A175, node!$C$2:$E$1000, 3, FALSE), "")</f>
        <v/>
      </c>
      <c r="D175" s="110" t="str">
        <f>IF(A175&lt;&gt;"",COUNTIFS(node!$C$2:$C$1000,"="&amp;A175, node!$C$2:$C$1000,"&lt;&gt;"&amp;""),"")</f>
        <v/>
      </c>
      <c r="E175" s="111" t="str">
        <f>IF(A175&lt;&gt;"",SUMIFS(node!$F$2:$F$500, node!$C$2:$C$500,"="&amp;A175, node!$C$2:$C$500,"&lt;&gt;"&amp;"")/(B175*D175),"")</f>
        <v/>
      </c>
      <c r="F175" s="112" t="str">
        <f>IF(A175&lt;&gt;"",SUMIFS(node!$H$2:$H$500, node!$C$2:$C$500,"="&amp;A175, node!$C$2:$C$500,"&lt;&gt;"&amp;"")/(C175*D175),"")</f>
        <v/>
      </c>
      <c r="G175" s="179" t="str">
        <f>IF(A175&lt;&gt;"",SUMIFS(deployment!$F$4:$F$502, deployment!$D$4:$D$502,"="&amp;A175, deployment!$D$4:$D$502,"&lt;&gt;"&amp;""),"")</f>
        <v/>
      </c>
      <c r="H175" s="181" t="str">
        <f>IF(A175&lt;&gt;"",SUMIFS(deployment!$G$4:$G$502, deployment!$D$4:$D$502,"="&amp;A175, deployment!$D$4:$D$502,"&lt;&gt;"&amp;""),"")</f>
        <v/>
      </c>
      <c r="I175" s="113" t="str">
        <f>IF(A175&lt;&gt;"",SUMIFS(deployment!$H$4:$H$502, deployment!$D$4:$D$502,"="&amp;A175, deployment!$D$4:$D$502,"&lt;&gt;"&amp;""),"")</f>
        <v/>
      </c>
      <c r="J175" s="114" t="str">
        <f>IF(A175&lt;&gt;"",SUMIFS(deployment!$I$4:$I$502, deployment!$D$4:$D$502,"="&amp;A175, deployment!$D$4:$D$502,"&lt;&gt;"&amp;""),"")</f>
        <v/>
      </c>
      <c r="K175" s="182" t="str">
        <f>IF(A175&lt;&gt;"",SUMIFS(deployment!$J$4:$J$1002, deployment!$D$4:$D$1002,"="&amp;A175, deployment!$D$4:$D$1002,"&lt;&gt;"&amp;"", deployment!$C$4:$C$1002, "&lt;&gt;* )")+SUMIFS(namespace!$G$4:$G$1002, namespace!$B$4:$B$1002,"="&amp;A175, namespace!$B$4:$B$1002,"&lt;&gt;"&amp;""),"")</f>
        <v/>
      </c>
      <c r="L175" s="182" t="str">
        <f>IF(A175&lt;&gt;"",SUMIFS(deployment!$K$4:$K$1002, deployment!$D$4:$D$1002,"="&amp;A175, deployment!$D$4:$D$1002,"&lt;&gt;"&amp;"", deployment!$C$4:$C$1002, "&lt;&gt;* )")+SUMIFS(namespace!$H$4:$H$1002, namespace!$B$4:$B$1002,"="&amp;A175, namespace!$B$4:$B$1002,"&lt;&gt;"&amp;""),"")</f>
        <v/>
      </c>
      <c r="M175" s="115" t="str">
        <f>IF(A175&lt;&gt;"",SUMIFS(deployment!$L$4:$L$1002, deployment!$D$4:$D$1002,"="&amp;A175, deployment!$D$4:$D$1002,"&lt;&gt;"&amp;"", deployment!$C$4:$C$1002, "&lt;&gt;* )")+SUMIFS(namespace!$I$4:$I$1002, namespace!$B$4:$B$1002,"="&amp;A175, namespace!$B$4:$B$1002,"&lt;&gt;"&amp;""),"")</f>
        <v/>
      </c>
      <c r="N175" s="115" t="str">
        <f>IF(A175&lt;&gt;"",SUMIFS(deployment!$M$4:$M$1002, deployment!$D$4:$D$1002,"="&amp;A175, deployment!$D$4:$D$1002,"&lt;&gt;"&amp;"", deployment!$C$4:$C$1002, "&lt;&gt;* )")+SUMIFS(namespace!$J$4:$J$1002, namespace!$B$4:$B$1002,"="&amp;A175, namespace!$B$4:$B$1002,"&lt;&gt;"&amp;""),"")</f>
        <v/>
      </c>
      <c r="O175" s="116" t="str">
        <f t="shared" si="31"/>
        <v/>
      </c>
      <c r="P175" s="63"/>
      <c r="Q175" s="164" t="str">
        <f t="shared" si="26"/>
        <v/>
      </c>
      <c r="R175" s="60" t="str">
        <f t="shared" si="27"/>
        <v/>
      </c>
      <c r="S175" s="60" t="str">
        <f t="shared" si="28"/>
        <v/>
      </c>
      <c r="T175" s="61" t="str">
        <f t="shared" si="29"/>
        <v/>
      </c>
      <c r="U175" s="61" t="str">
        <f t="shared" si="30"/>
        <v/>
      </c>
      <c r="V175" s="183" t="str">
        <f t="shared" si="32"/>
        <v/>
      </c>
      <c r="W175" s="183" t="str">
        <f t="shared" si="33"/>
        <v/>
      </c>
      <c r="X175" s="61" t="str">
        <f t="shared" si="34"/>
        <v/>
      </c>
      <c r="Y175" s="61" t="str">
        <f t="shared" si="35"/>
        <v/>
      </c>
      <c r="Z175" s="118" t="str">
        <f t="shared" si="36"/>
        <v/>
      </c>
      <c r="AA175" s="62" t="str">
        <f t="shared" si="37"/>
        <v/>
      </c>
      <c r="AB175" s="119" t="str">
        <f>IF(A175&lt;&gt;"", IF(P175&lt;&gt;0,SUMIFS(node!$J$2:$J$1000, node!$C$2:$C$1000,"="&amp;A175)/P175,0), "")</f>
        <v/>
      </c>
      <c r="AC175" s="81" t="str">
        <f>IF(A175&lt;&gt;"", IF(P175&lt;&gt;0,SUMIFS(node!$K$2:$K$1000, node!$C$2:$C$1000,"="&amp;A175)/P175,0), "")</f>
        <v/>
      </c>
      <c r="AD175" s="82" t="str">
        <f>IF(A175&lt;&gt;"", SUMIFS(node!$L$2:$L$1000, node!$C$2:$C$1000,"="&amp;A175), "")</f>
        <v/>
      </c>
      <c r="AE175" s="87" t="str">
        <f>IF(A175&lt;&gt;"", SUMIFS(node!$M$2:$M$1000, node!$C$2:$C$1000,"="&amp;A175), "")</f>
        <v/>
      </c>
    </row>
    <row r="176" spans="1:31" ht="15.75" customHeight="1" x14ac:dyDescent="0.25">
      <c r="A176" s="71" t="str">
        <f>IF(ISNONTEXT(node_raw[[#This Row],[Column2]]), "", node_raw[[#This Row],[Column2]])</f>
        <v/>
      </c>
      <c r="B176" s="108" t="str">
        <f>IF(A176&lt;&gt;"", VLOOKUP(A176, node!$C$2:$D$1000, 2, FALSE), "")</f>
        <v/>
      </c>
      <c r="C176" s="109" t="str">
        <f>IF(A176&lt;&gt;"", VLOOKUP(A176, node!$C$2:$E$1000, 3, FALSE), "")</f>
        <v/>
      </c>
      <c r="D176" s="110" t="str">
        <f>IF(A176&lt;&gt;"",COUNTIFS(node!$C$2:$C$1000,"="&amp;A176, node!$C$2:$C$1000,"&lt;&gt;"&amp;""),"")</f>
        <v/>
      </c>
      <c r="E176" s="111" t="str">
        <f>IF(A176&lt;&gt;"",SUMIFS(node!$F$2:$F$500, node!$C$2:$C$500,"="&amp;A176, node!$C$2:$C$500,"&lt;&gt;"&amp;"")/(B176*D176),"")</f>
        <v/>
      </c>
      <c r="F176" s="112" t="str">
        <f>IF(A176&lt;&gt;"",SUMIFS(node!$H$2:$H$500, node!$C$2:$C$500,"="&amp;A176, node!$C$2:$C$500,"&lt;&gt;"&amp;"")/(C176*D176),"")</f>
        <v/>
      </c>
      <c r="G176" s="179" t="str">
        <f>IF(A176&lt;&gt;"",SUMIFS(deployment!$F$4:$F$502, deployment!$D$4:$D$502,"="&amp;A176, deployment!$D$4:$D$502,"&lt;&gt;"&amp;""),"")</f>
        <v/>
      </c>
      <c r="H176" s="181" t="str">
        <f>IF(A176&lt;&gt;"",SUMIFS(deployment!$G$4:$G$502, deployment!$D$4:$D$502,"="&amp;A176, deployment!$D$4:$D$502,"&lt;&gt;"&amp;""),"")</f>
        <v/>
      </c>
      <c r="I176" s="113" t="str">
        <f>IF(A176&lt;&gt;"",SUMIFS(deployment!$H$4:$H$502, deployment!$D$4:$D$502,"="&amp;A176, deployment!$D$4:$D$502,"&lt;&gt;"&amp;""),"")</f>
        <v/>
      </c>
      <c r="J176" s="114" t="str">
        <f>IF(A176&lt;&gt;"",SUMIFS(deployment!$I$4:$I$502, deployment!$D$4:$D$502,"="&amp;A176, deployment!$D$4:$D$502,"&lt;&gt;"&amp;""),"")</f>
        <v/>
      </c>
      <c r="K176" s="182" t="str">
        <f>IF(A176&lt;&gt;"",SUMIFS(deployment!$J$4:$J$1002, deployment!$D$4:$D$1002,"="&amp;A176, deployment!$D$4:$D$1002,"&lt;&gt;"&amp;"", deployment!$C$4:$C$1002, "&lt;&gt;* )")+SUMIFS(namespace!$G$4:$G$1002, namespace!$B$4:$B$1002,"="&amp;A176, namespace!$B$4:$B$1002,"&lt;&gt;"&amp;""),"")</f>
        <v/>
      </c>
      <c r="L176" s="182" t="str">
        <f>IF(A176&lt;&gt;"",SUMIFS(deployment!$K$4:$K$1002, deployment!$D$4:$D$1002,"="&amp;A176, deployment!$D$4:$D$1002,"&lt;&gt;"&amp;"", deployment!$C$4:$C$1002, "&lt;&gt;* )")+SUMIFS(namespace!$H$4:$H$1002, namespace!$B$4:$B$1002,"="&amp;A176, namespace!$B$4:$B$1002,"&lt;&gt;"&amp;""),"")</f>
        <v/>
      </c>
      <c r="M176" s="115" t="str">
        <f>IF(A176&lt;&gt;"",SUMIFS(deployment!$L$4:$L$1002, deployment!$D$4:$D$1002,"="&amp;A176, deployment!$D$4:$D$1002,"&lt;&gt;"&amp;"", deployment!$C$4:$C$1002, "&lt;&gt;* )")+SUMIFS(namespace!$I$4:$I$1002, namespace!$B$4:$B$1002,"="&amp;A176, namespace!$B$4:$B$1002,"&lt;&gt;"&amp;""),"")</f>
        <v/>
      </c>
      <c r="N176" s="115" t="str">
        <f>IF(A176&lt;&gt;"",SUMIFS(deployment!$M$4:$M$1002, deployment!$D$4:$D$1002,"="&amp;A176, deployment!$D$4:$D$1002,"&lt;&gt;"&amp;"", deployment!$C$4:$C$1002, "&lt;&gt;* )")+SUMIFS(namespace!$J$4:$J$1002, namespace!$B$4:$B$1002,"="&amp;A176, namespace!$B$4:$B$1002,"&lt;&gt;"&amp;""),"")</f>
        <v/>
      </c>
      <c r="O176" s="116" t="str">
        <f t="shared" si="31"/>
        <v/>
      </c>
      <c r="P176" s="63"/>
      <c r="Q176" s="164" t="str">
        <f t="shared" si="26"/>
        <v/>
      </c>
      <c r="R176" s="60" t="str">
        <f t="shared" si="27"/>
        <v/>
      </c>
      <c r="S176" s="60" t="str">
        <f t="shared" si="28"/>
        <v/>
      </c>
      <c r="T176" s="61" t="str">
        <f t="shared" si="29"/>
        <v/>
      </c>
      <c r="U176" s="61" t="str">
        <f t="shared" si="30"/>
        <v/>
      </c>
      <c r="V176" s="183" t="str">
        <f t="shared" si="32"/>
        <v/>
      </c>
      <c r="W176" s="183" t="str">
        <f t="shared" si="33"/>
        <v/>
      </c>
      <c r="X176" s="61" t="str">
        <f t="shared" si="34"/>
        <v/>
      </c>
      <c r="Y176" s="61" t="str">
        <f t="shared" si="35"/>
        <v/>
      </c>
      <c r="Z176" s="118" t="str">
        <f t="shared" si="36"/>
        <v/>
      </c>
      <c r="AA176" s="62" t="str">
        <f t="shared" si="37"/>
        <v/>
      </c>
      <c r="AB176" s="119" t="str">
        <f>IF(A176&lt;&gt;"", IF(P176&lt;&gt;0,SUMIFS(node!$J$2:$J$1000, node!$C$2:$C$1000,"="&amp;A176)/P176,0), "")</f>
        <v/>
      </c>
      <c r="AC176" s="81" t="str">
        <f>IF(A176&lt;&gt;"", IF(P176&lt;&gt;0,SUMIFS(node!$K$2:$K$1000, node!$C$2:$C$1000,"="&amp;A176)/P176,0), "")</f>
        <v/>
      </c>
      <c r="AD176" s="82" t="str">
        <f>IF(A176&lt;&gt;"", SUMIFS(node!$L$2:$L$1000, node!$C$2:$C$1000,"="&amp;A176), "")</f>
        <v/>
      </c>
      <c r="AE176" s="87" t="str">
        <f>IF(A176&lt;&gt;"", SUMIFS(node!$M$2:$M$1000, node!$C$2:$C$1000,"="&amp;A176), "")</f>
        <v/>
      </c>
    </row>
    <row r="177" spans="1:31" ht="15.75" customHeight="1" x14ac:dyDescent="0.25">
      <c r="A177" s="71" t="str">
        <f>IF(ISNONTEXT(node_raw[[#This Row],[Column2]]), "", node_raw[[#This Row],[Column2]])</f>
        <v/>
      </c>
      <c r="B177" s="108" t="str">
        <f>IF(A177&lt;&gt;"", VLOOKUP(A177, node!$C$2:$D$1000, 2, FALSE), "")</f>
        <v/>
      </c>
      <c r="C177" s="109" t="str">
        <f>IF(A177&lt;&gt;"", VLOOKUP(A177, node!$C$2:$E$1000, 3, FALSE), "")</f>
        <v/>
      </c>
      <c r="D177" s="110" t="str">
        <f>IF(A177&lt;&gt;"",COUNTIFS(node!$C$2:$C$1000,"="&amp;A177, node!$C$2:$C$1000,"&lt;&gt;"&amp;""),"")</f>
        <v/>
      </c>
      <c r="E177" s="111" t="str">
        <f>IF(A177&lt;&gt;"",SUMIFS(node!$F$2:$F$500, node!$C$2:$C$500,"="&amp;A177, node!$C$2:$C$500,"&lt;&gt;"&amp;"")/(B177*D177),"")</f>
        <v/>
      </c>
      <c r="F177" s="112" t="str">
        <f>IF(A177&lt;&gt;"",SUMIFS(node!$H$2:$H$500, node!$C$2:$C$500,"="&amp;A177, node!$C$2:$C$500,"&lt;&gt;"&amp;"")/(C177*D177),"")</f>
        <v/>
      </c>
      <c r="G177" s="179" t="str">
        <f>IF(A177&lt;&gt;"",SUMIFS(deployment!$F$4:$F$502, deployment!$D$4:$D$502,"="&amp;A177, deployment!$D$4:$D$502,"&lt;&gt;"&amp;""),"")</f>
        <v/>
      </c>
      <c r="H177" s="181" t="str">
        <f>IF(A177&lt;&gt;"",SUMIFS(deployment!$G$4:$G$502, deployment!$D$4:$D$502,"="&amp;A177, deployment!$D$4:$D$502,"&lt;&gt;"&amp;""),"")</f>
        <v/>
      </c>
      <c r="I177" s="113" t="str">
        <f>IF(A177&lt;&gt;"",SUMIFS(deployment!$H$4:$H$502, deployment!$D$4:$D$502,"="&amp;A177, deployment!$D$4:$D$502,"&lt;&gt;"&amp;""),"")</f>
        <v/>
      </c>
      <c r="J177" s="114" t="str">
        <f>IF(A177&lt;&gt;"",SUMIFS(deployment!$I$4:$I$502, deployment!$D$4:$D$502,"="&amp;A177, deployment!$D$4:$D$502,"&lt;&gt;"&amp;""),"")</f>
        <v/>
      </c>
      <c r="K177" s="182" t="str">
        <f>IF(A177&lt;&gt;"",SUMIFS(deployment!$J$4:$J$1002, deployment!$D$4:$D$1002,"="&amp;A177, deployment!$D$4:$D$1002,"&lt;&gt;"&amp;"", deployment!$C$4:$C$1002, "&lt;&gt;* )")+SUMIFS(namespace!$G$4:$G$1002, namespace!$B$4:$B$1002,"="&amp;A177, namespace!$B$4:$B$1002,"&lt;&gt;"&amp;""),"")</f>
        <v/>
      </c>
      <c r="L177" s="182" t="str">
        <f>IF(A177&lt;&gt;"",SUMIFS(deployment!$K$4:$K$1002, deployment!$D$4:$D$1002,"="&amp;A177, deployment!$D$4:$D$1002,"&lt;&gt;"&amp;"", deployment!$C$4:$C$1002, "&lt;&gt;* )")+SUMIFS(namespace!$H$4:$H$1002, namespace!$B$4:$B$1002,"="&amp;A177, namespace!$B$4:$B$1002,"&lt;&gt;"&amp;""),"")</f>
        <v/>
      </c>
      <c r="M177" s="115" t="str">
        <f>IF(A177&lt;&gt;"",SUMIFS(deployment!$L$4:$L$1002, deployment!$D$4:$D$1002,"="&amp;A177, deployment!$D$4:$D$1002,"&lt;&gt;"&amp;"", deployment!$C$4:$C$1002, "&lt;&gt;* )")+SUMIFS(namespace!$I$4:$I$1002, namespace!$B$4:$B$1002,"="&amp;A177, namespace!$B$4:$B$1002,"&lt;&gt;"&amp;""),"")</f>
        <v/>
      </c>
      <c r="N177" s="115" t="str">
        <f>IF(A177&lt;&gt;"",SUMIFS(deployment!$M$4:$M$1002, deployment!$D$4:$D$1002,"="&amp;A177, deployment!$D$4:$D$1002,"&lt;&gt;"&amp;"", deployment!$C$4:$C$1002, "&lt;&gt;* )")+SUMIFS(namespace!$J$4:$J$1002, namespace!$B$4:$B$1002,"="&amp;A177, namespace!$B$4:$B$1002,"&lt;&gt;"&amp;""),"")</f>
        <v/>
      </c>
      <c r="O177" s="116" t="str">
        <f t="shared" si="31"/>
        <v/>
      </c>
      <c r="P177" s="63"/>
      <c r="Q177" s="164" t="str">
        <f t="shared" si="26"/>
        <v/>
      </c>
      <c r="R177" s="60" t="str">
        <f t="shared" si="27"/>
        <v/>
      </c>
      <c r="S177" s="60" t="str">
        <f t="shared" si="28"/>
        <v/>
      </c>
      <c r="T177" s="61" t="str">
        <f t="shared" si="29"/>
        <v/>
      </c>
      <c r="U177" s="61" t="str">
        <f t="shared" si="30"/>
        <v/>
      </c>
      <c r="V177" s="183" t="str">
        <f t="shared" si="32"/>
        <v/>
      </c>
      <c r="W177" s="183" t="str">
        <f t="shared" si="33"/>
        <v/>
      </c>
      <c r="X177" s="61" t="str">
        <f t="shared" si="34"/>
        <v/>
      </c>
      <c r="Y177" s="61" t="str">
        <f t="shared" si="35"/>
        <v/>
      </c>
      <c r="Z177" s="118" t="str">
        <f t="shared" si="36"/>
        <v/>
      </c>
      <c r="AA177" s="62" t="str">
        <f t="shared" si="37"/>
        <v/>
      </c>
      <c r="AB177" s="119" t="str">
        <f>IF(A177&lt;&gt;"", IF(P177&lt;&gt;0,SUMIFS(node!$J$2:$J$1000, node!$C$2:$C$1000,"="&amp;A177)/P177,0), "")</f>
        <v/>
      </c>
      <c r="AC177" s="81" t="str">
        <f>IF(A177&lt;&gt;"", IF(P177&lt;&gt;0,SUMIFS(node!$K$2:$K$1000, node!$C$2:$C$1000,"="&amp;A177)/P177,0), "")</f>
        <v/>
      </c>
      <c r="AD177" s="82" t="str">
        <f>IF(A177&lt;&gt;"", SUMIFS(node!$L$2:$L$1000, node!$C$2:$C$1000,"="&amp;A177), "")</f>
        <v/>
      </c>
      <c r="AE177" s="87" t="str">
        <f>IF(A177&lt;&gt;"", SUMIFS(node!$M$2:$M$1000, node!$C$2:$C$1000,"="&amp;A177), "")</f>
        <v/>
      </c>
    </row>
    <row r="178" spans="1:31" ht="15.75" customHeight="1" x14ac:dyDescent="0.25">
      <c r="A178" s="71" t="str">
        <f>IF(ISNONTEXT(node_raw[[#This Row],[Column2]]), "", node_raw[[#This Row],[Column2]])</f>
        <v/>
      </c>
      <c r="B178" s="108" t="str">
        <f>IF(A178&lt;&gt;"", VLOOKUP(A178, node!$C$2:$D$1000, 2, FALSE), "")</f>
        <v/>
      </c>
      <c r="C178" s="109" t="str">
        <f>IF(A178&lt;&gt;"", VLOOKUP(A178, node!$C$2:$E$1000, 3, FALSE), "")</f>
        <v/>
      </c>
      <c r="D178" s="110" t="str">
        <f>IF(A178&lt;&gt;"",COUNTIFS(node!$C$2:$C$1000,"="&amp;A178, node!$C$2:$C$1000,"&lt;&gt;"&amp;""),"")</f>
        <v/>
      </c>
      <c r="E178" s="111" t="str">
        <f>IF(A178&lt;&gt;"",SUMIFS(node!$F$2:$F$500, node!$C$2:$C$500,"="&amp;A178, node!$C$2:$C$500,"&lt;&gt;"&amp;"")/(B178*D178),"")</f>
        <v/>
      </c>
      <c r="F178" s="112" t="str">
        <f>IF(A178&lt;&gt;"",SUMIFS(node!$H$2:$H$500, node!$C$2:$C$500,"="&amp;A178, node!$C$2:$C$500,"&lt;&gt;"&amp;"")/(C178*D178),"")</f>
        <v/>
      </c>
      <c r="G178" s="179" t="str">
        <f>IF(A178&lt;&gt;"",SUMIFS(deployment!$F$4:$F$502, deployment!$D$4:$D$502,"="&amp;A178, deployment!$D$4:$D$502,"&lt;&gt;"&amp;""),"")</f>
        <v/>
      </c>
      <c r="H178" s="181" t="str">
        <f>IF(A178&lt;&gt;"",SUMIFS(deployment!$G$4:$G$502, deployment!$D$4:$D$502,"="&amp;A178, deployment!$D$4:$D$502,"&lt;&gt;"&amp;""),"")</f>
        <v/>
      </c>
      <c r="I178" s="113" t="str">
        <f>IF(A178&lt;&gt;"",SUMIFS(deployment!$H$4:$H$502, deployment!$D$4:$D$502,"="&amp;A178, deployment!$D$4:$D$502,"&lt;&gt;"&amp;""),"")</f>
        <v/>
      </c>
      <c r="J178" s="114" t="str">
        <f>IF(A178&lt;&gt;"",SUMIFS(deployment!$I$4:$I$502, deployment!$D$4:$D$502,"="&amp;A178, deployment!$D$4:$D$502,"&lt;&gt;"&amp;""),"")</f>
        <v/>
      </c>
      <c r="K178" s="182" t="str">
        <f>IF(A178&lt;&gt;"",SUMIFS(deployment!$J$4:$J$1002, deployment!$D$4:$D$1002,"="&amp;A178, deployment!$D$4:$D$1002,"&lt;&gt;"&amp;"", deployment!$C$4:$C$1002, "&lt;&gt;* )")+SUMIFS(namespace!$G$4:$G$1002, namespace!$B$4:$B$1002,"="&amp;A178, namespace!$B$4:$B$1002,"&lt;&gt;"&amp;""),"")</f>
        <v/>
      </c>
      <c r="L178" s="182" t="str">
        <f>IF(A178&lt;&gt;"",SUMIFS(deployment!$K$4:$K$1002, deployment!$D$4:$D$1002,"="&amp;A178, deployment!$D$4:$D$1002,"&lt;&gt;"&amp;"", deployment!$C$4:$C$1002, "&lt;&gt;* )")+SUMIFS(namespace!$H$4:$H$1002, namespace!$B$4:$B$1002,"="&amp;A178, namespace!$B$4:$B$1002,"&lt;&gt;"&amp;""),"")</f>
        <v/>
      </c>
      <c r="M178" s="115" t="str">
        <f>IF(A178&lt;&gt;"",SUMIFS(deployment!$L$4:$L$1002, deployment!$D$4:$D$1002,"="&amp;A178, deployment!$D$4:$D$1002,"&lt;&gt;"&amp;"", deployment!$C$4:$C$1002, "&lt;&gt;* )")+SUMIFS(namespace!$I$4:$I$1002, namespace!$B$4:$B$1002,"="&amp;A178, namespace!$B$4:$B$1002,"&lt;&gt;"&amp;""),"")</f>
        <v/>
      </c>
      <c r="N178" s="115" t="str">
        <f>IF(A178&lt;&gt;"",SUMIFS(deployment!$M$4:$M$1002, deployment!$D$4:$D$1002,"="&amp;A178, deployment!$D$4:$D$1002,"&lt;&gt;"&amp;"", deployment!$C$4:$C$1002, "&lt;&gt;* )")+SUMIFS(namespace!$J$4:$J$1002, namespace!$B$4:$B$1002,"="&amp;A178, namespace!$B$4:$B$1002,"&lt;&gt;"&amp;""),"")</f>
        <v/>
      </c>
      <c r="O178" s="116" t="str">
        <f t="shared" si="31"/>
        <v/>
      </c>
      <c r="P178" s="63"/>
      <c r="Q178" s="164" t="str">
        <f t="shared" si="26"/>
        <v/>
      </c>
      <c r="R178" s="60" t="str">
        <f t="shared" si="27"/>
        <v/>
      </c>
      <c r="S178" s="60" t="str">
        <f t="shared" si="28"/>
        <v/>
      </c>
      <c r="T178" s="61" t="str">
        <f t="shared" si="29"/>
        <v/>
      </c>
      <c r="U178" s="61" t="str">
        <f t="shared" si="30"/>
        <v/>
      </c>
      <c r="V178" s="183" t="str">
        <f t="shared" si="32"/>
        <v/>
      </c>
      <c r="W178" s="183" t="str">
        <f t="shared" si="33"/>
        <v/>
      </c>
      <c r="X178" s="61" t="str">
        <f t="shared" si="34"/>
        <v/>
      </c>
      <c r="Y178" s="61" t="str">
        <f t="shared" si="35"/>
        <v/>
      </c>
      <c r="Z178" s="118" t="str">
        <f t="shared" si="36"/>
        <v/>
      </c>
      <c r="AA178" s="62" t="str">
        <f t="shared" si="37"/>
        <v/>
      </c>
      <c r="AB178" s="119" t="str">
        <f>IF(A178&lt;&gt;"", IF(P178&lt;&gt;0,SUMIFS(node!$J$2:$J$1000, node!$C$2:$C$1000,"="&amp;A178)/P178,0), "")</f>
        <v/>
      </c>
      <c r="AC178" s="81" t="str">
        <f>IF(A178&lt;&gt;"", IF(P178&lt;&gt;0,SUMIFS(node!$K$2:$K$1000, node!$C$2:$C$1000,"="&amp;A178)/P178,0), "")</f>
        <v/>
      </c>
      <c r="AD178" s="82" t="str">
        <f>IF(A178&lt;&gt;"", SUMIFS(node!$L$2:$L$1000, node!$C$2:$C$1000,"="&amp;A178), "")</f>
        <v/>
      </c>
      <c r="AE178" s="87" t="str">
        <f>IF(A178&lt;&gt;"", SUMIFS(node!$M$2:$M$1000, node!$C$2:$C$1000,"="&amp;A178), "")</f>
        <v/>
      </c>
    </row>
    <row r="179" spans="1:31" ht="15.75" customHeight="1" x14ac:dyDescent="0.25">
      <c r="A179" s="71" t="str">
        <f>IF(ISNONTEXT(node_raw[[#This Row],[Column2]]), "", node_raw[[#This Row],[Column2]])</f>
        <v/>
      </c>
      <c r="B179" s="108" t="str">
        <f>IF(A179&lt;&gt;"", VLOOKUP(A179, node!$C$2:$D$1000, 2, FALSE), "")</f>
        <v/>
      </c>
      <c r="C179" s="109" t="str">
        <f>IF(A179&lt;&gt;"", VLOOKUP(A179, node!$C$2:$E$1000, 3, FALSE), "")</f>
        <v/>
      </c>
      <c r="D179" s="110" t="str">
        <f>IF(A179&lt;&gt;"",COUNTIFS(node!$C$2:$C$1000,"="&amp;A179, node!$C$2:$C$1000,"&lt;&gt;"&amp;""),"")</f>
        <v/>
      </c>
      <c r="E179" s="111" t="str">
        <f>IF(A179&lt;&gt;"",SUMIFS(node!$F$2:$F$500, node!$C$2:$C$500,"="&amp;A179, node!$C$2:$C$500,"&lt;&gt;"&amp;"")/(B179*D179),"")</f>
        <v/>
      </c>
      <c r="F179" s="112" t="str">
        <f>IF(A179&lt;&gt;"",SUMIFS(node!$H$2:$H$500, node!$C$2:$C$500,"="&amp;A179, node!$C$2:$C$500,"&lt;&gt;"&amp;"")/(C179*D179),"")</f>
        <v/>
      </c>
      <c r="G179" s="179" t="str">
        <f>IF(A179&lt;&gt;"",SUMIFS(deployment!$F$4:$F$502, deployment!$D$4:$D$502,"="&amp;A179, deployment!$D$4:$D$502,"&lt;&gt;"&amp;""),"")</f>
        <v/>
      </c>
      <c r="H179" s="181" t="str">
        <f>IF(A179&lt;&gt;"",SUMIFS(deployment!$G$4:$G$502, deployment!$D$4:$D$502,"="&amp;A179, deployment!$D$4:$D$502,"&lt;&gt;"&amp;""),"")</f>
        <v/>
      </c>
      <c r="I179" s="113" t="str">
        <f>IF(A179&lt;&gt;"",SUMIFS(deployment!$H$4:$H$502, deployment!$D$4:$D$502,"="&amp;A179, deployment!$D$4:$D$502,"&lt;&gt;"&amp;""),"")</f>
        <v/>
      </c>
      <c r="J179" s="114" t="str">
        <f>IF(A179&lt;&gt;"",SUMIFS(deployment!$I$4:$I$502, deployment!$D$4:$D$502,"="&amp;A179, deployment!$D$4:$D$502,"&lt;&gt;"&amp;""),"")</f>
        <v/>
      </c>
      <c r="K179" s="182" t="str">
        <f>IF(A179&lt;&gt;"",SUMIFS(deployment!$J$4:$J$1002, deployment!$D$4:$D$1002,"="&amp;A179, deployment!$D$4:$D$1002,"&lt;&gt;"&amp;"", deployment!$C$4:$C$1002, "&lt;&gt;* )")+SUMIFS(namespace!$G$4:$G$1002, namespace!$B$4:$B$1002,"="&amp;A179, namespace!$B$4:$B$1002,"&lt;&gt;"&amp;""),"")</f>
        <v/>
      </c>
      <c r="L179" s="182" t="str">
        <f>IF(A179&lt;&gt;"",SUMIFS(deployment!$K$4:$K$1002, deployment!$D$4:$D$1002,"="&amp;A179, deployment!$D$4:$D$1002,"&lt;&gt;"&amp;"", deployment!$C$4:$C$1002, "&lt;&gt;* )")+SUMIFS(namespace!$H$4:$H$1002, namespace!$B$4:$B$1002,"="&amp;A179, namespace!$B$4:$B$1002,"&lt;&gt;"&amp;""),"")</f>
        <v/>
      </c>
      <c r="M179" s="115" t="str">
        <f>IF(A179&lt;&gt;"",SUMIFS(deployment!$L$4:$L$1002, deployment!$D$4:$D$1002,"="&amp;A179, deployment!$D$4:$D$1002,"&lt;&gt;"&amp;"", deployment!$C$4:$C$1002, "&lt;&gt;* )")+SUMIFS(namespace!$I$4:$I$1002, namespace!$B$4:$B$1002,"="&amp;A179, namespace!$B$4:$B$1002,"&lt;&gt;"&amp;""),"")</f>
        <v/>
      </c>
      <c r="N179" s="115" t="str">
        <f>IF(A179&lt;&gt;"",SUMIFS(deployment!$M$4:$M$1002, deployment!$D$4:$D$1002,"="&amp;A179, deployment!$D$4:$D$1002,"&lt;&gt;"&amp;"", deployment!$C$4:$C$1002, "&lt;&gt;* )")+SUMIFS(namespace!$J$4:$J$1002, namespace!$B$4:$B$1002,"="&amp;A179, namespace!$B$4:$B$1002,"&lt;&gt;"&amp;""),"")</f>
        <v/>
      </c>
      <c r="O179" s="116" t="str">
        <f t="shared" si="31"/>
        <v/>
      </c>
      <c r="P179" s="63"/>
      <c r="Q179" s="164" t="str">
        <f t="shared" si="26"/>
        <v/>
      </c>
      <c r="R179" s="60" t="str">
        <f t="shared" si="27"/>
        <v/>
      </c>
      <c r="S179" s="60" t="str">
        <f t="shared" si="28"/>
        <v/>
      </c>
      <c r="T179" s="61" t="str">
        <f t="shared" si="29"/>
        <v/>
      </c>
      <c r="U179" s="61" t="str">
        <f t="shared" si="30"/>
        <v/>
      </c>
      <c r="V179" s="183" t="str">
        <f t="shared" si="32"/>
        <v/>
      </c>
      <c r="W179" s="183" t="str">
        <f t="shared" si="33"/>
        <v/>
      </c>
      <c r="X179" s="61" t="str">
        <f t="shared" si="34"/>
        <v/>
      </c>
      <c r="Y179" s="61" t="str">
        <f t="shared" si="35"/>
        <v/>
      </c>
      <c r="Z179" s="118" t="str">
        <f t="shared" si="36"/>
        <v/>
      </c>
      <c r="AA179" s="62" t="str">
        <f t="shared" si="37"/>
        <v/>
      </c>
      <c r="AB179" s="119" t="str">
        <f>IF(A179&lt;&gt;"", IF(P179&lt;&gt;0,SUMIFS(node!$J$2:$J$1000, node!$C$2:$C$1000,"="&amp;A179)/P179,0), "")</f>
        <v/>
      </c>
      <c r="AC179" s="81" t="str">
        <f>IF(A179&lt;&gt;"", IF(P179&lt;&gt;0,SUMIFS(node!$K$2:$K$1000, node!$C$2:$C$1000,"="&amp;A179)/P179,0), "")</f>
        <v/>
      </c>
      <c r="AD179" s="82" t="str">
        <f>IF(A179&lt;&gt;"", SUMIFS(node!$L$2:$L$1000, node!$C$2:$C$1000,"="&amp;A179), "")</f>
        <v/>
      </c>
      <c r="AE179" s="87" t="str">
        <f>IF(A179&lt;&gt;"", SUMIFS(node!$M$2:$M$1000, node!$C$2:$C$1000,"="&amp;A179), "")</f>
        <v/>
      </c>
    </row>
    <row r="180" spans="1:31" ht="15.75" customHeight="1" x14ac:dyDescent="0.25">
      <c r="A180" s="71" t="str">
        <f>IF(ISNONTEXT(node_raw[[#This Row],[Column2]]), "", node_raw[[#This Row],[Column2]])</f>
        <v/>
      </c>
      <c r="B180" s="108" t="str">
        <f>IF(A180&lt;&gt;"", VLOOKUP(A180, node!$C$2:$D$1000, 2, FALSE), "")</f>
        <v/>
      </c>
      <c r="C180" s="109" t="str">
        <f>IF(A180&lt;&gt;"", VLOOKUP(A180, node!$C$2:$E$1000, 3, FALSE), "")</f>
        <v/>
      </c>
      <c r="D180" s="110" t="str">
        <f>IF(A180&lt;&gt;"",COUNTIFS(node!$C$2:$C$1000,"="&amp;A180, node!$C$2:$C$1000,"&lt;&gt;"&amp;""),"")</f>
        <v/>
      </c>
      <c r="E180" s="111" t="str">
        <f>IF(A180&lt;&gt;"",SUMIFS(node!$F$2:$F$500, node!$C$2:$C$500,"="&amp;A180, node!$C$2:$C$500,"&lt;&gt;"&amp;"")/(B180*D180),"")</f>
        <v/>
      </c>
      <c r="F180" s="112" t="str">
        <f>IF(A180&lt;&gt;"",SUMIFS(node!$H$2:$H$500, node!$C$2:$C$500,"="&amp;A180, node!$C$2:$C$500,"&lt;&gt;"&amp;"")/(C180*D180),"")</f>
        <v/>
      </c>
      <c r="G180" s="179" t="str">
        <f>IF(A180&lt;&gt;"",SUMIFS(deployment!$F$4:$F$502, deployment!$D$4:$D$502,"="&amp;A180, deployment!$D$4:$D$502,"&lt;&gt;"&amp;""),"")</f>
        <v/>
      </c>
      <c r="H180" s="181" t="str">
        <f>IF(A180&lt;&gt;"",SUMIFS(deployment!$G$4:$G$502, deployment!$D$4:$D$502,"="&amp;A180, deployment!$D$4:$D$502,"&lt;&gt;"&amp;""),"")</f>
        <v/>
      </c>
      <c r="I180" s="113" t="str">
        <f>IF(A180&lt;&gt;"",SUMIFS(deployment!$H$4:$H$502, deployment!$D$4:$D$502,"="&amp;A180, deployment!$D$4:$D$502,"&lt;&gt;"&amp;""),"")</f>
        <v/>
      </c>
      <c r="J180" s="114" t="str">
        <f>IF(A180&lt;&gt;"",SUMIFS(deployment!$I$4:$I$502, deployment!$D$4:$D$502,"="&amp;A180, deployment!$D$4:$D$502,"&lt;&gt;"&amp;""),"")</f>
        <v/>
      </c>
      <c r="K180" s="182" t="str">
        <f>IF(A180&lt;&gt;"",SUMIFS(deployment!$J$4:$J$1002, deployment!$D$4:$D$1002,"="&amp;A180, deployment!$D$4:$D$1002,"&lt;&gt;"&amp;"", deployment!$C$4:$C$1002, "&lt;&gt;* )")+SUMIFS(namespace!$G$4:$G$1002, namespace!$B$4:$B$1002,"="&amp;A180, namespace!$B$4:$B$1002,"&lt;&gt;"&amp;""),"")</f>
        <v/>
      </c>
      <c r="L180" s="182" t="str">
        <f>IF(A180&lt;&gt;"",SUMIFS(deployment!$K$4:$K$1002, deployment!$D$4:$D$1002,"="&amp;A180, deployment!$D$4:$D$1002,"&lt;&gt;"&amp;"", deployment!$C$4:$C$1002, "&lt;&gt;* )")+SUMIFS(namespace!$H$4:$H$1002, namespace!$B$4:$B$1002,"="&amp;A180, namespace!$B$4:$B$1002,"&lt;&gt;"&amp;""),"")</f>
        <v/>
      </c>
      <c r="M180" s="115" t="str">
        <f>IF(A180&lt;&gt;"",SUMIFS(deployment!$L$4:$L$1002, deployment!$D$4:$D$1002,"="&amp;A180, deployment!$D$4:$D$1002,"&lt;&gt;"&amp;"", deployment!$C$4:$C$1002, "&lt;&gt;* )")+SUMIFS(namespace!$I$4:$I$1002, namespace!$B$4:$B$1002,"="&amp;A180, namespace!$B$4:$B$1002,"&lt;&gt;"&amp;""),"")</f>
        <v/>
      </c>
      <c r="N180" s="115" t="str">
        <f>IF(A180&lt;&gt;"",SUMIFS(deployment!$M$4:$M$1002, deployment!$D$4:$D$1002,"="&amp;A180, deployment!$D$4:$D$1002,"&lt;&gt;"&amp;"", deployment!$C$4:$C$1002, "&lt;&gt;* )")+SUMIFS(namespace!$J$4:$J$1002, namespace!$B$4:$B$1002,"="&amp;A180, namespace!$B$4:$B$1002,"&lt;&gt;"&amp;""),"")</f>
        <v/>
      </c>
      <c r="O180" s="116" t="str">
        <f t="shared" si="31"/>
        <v/>
      </c>
      <c r="P180" s="63"/>
      <c r="Q180" s="164" t="str">
        <f t="shared" si="26"/>
        <v/>
      </c>
      <c r="R180" s="60" t="str">
        <f t="shared" si="27"/>
        <v/>
      </c>
      <c r="S180" s="60" t="str">
        <f t="shared" si="28"/>
        <v/>
      </c>
      <c r="T180" s="61" t="str">
        <f t="shared" si="29"/>
        <v/>
      </c>
      <c r="U180" s="61" t="str">
        <f t="shared" si="30"/>
        <v/>
      </c>
      <c r="V180" s="183" t="str">
        <f t="shared" si="32"/>
        <v/>
      </c>
      <c r="W180" s="183" t="str">
        <f t="shared" si="33"/>
        <v/>
      </c>
      <c r="X180" s="61" t="str">
        <f t="shared" si="34"/>
        <v/>
      </c>
      <c r="Y180" s="61" t="str">
        <f t="shared" si="35"/>
        <v/>
      </c>
      <c r="Z180" s="118" t="str">
        <f t="shared" si="36"/>
        <v/>
      </c>
      <c r="AA180" s="62" t="str">
        <f t="shared" si="37"/>
        <v/>
      </c>
      <c r="AB180" s="119" t="str">
        <f>IF(A180&lt;&gt;"", IF(P180&lt;&gt;0,SUMIFS(node!$J$2:$J$1000, node!$C$2:$C$1000,"="&amp;A180)/P180,0), "")</f>
        <v/>
      </c>
      <c r="AC180" s="81" t="str">
        <f>IF(A180&lt;&gt;"", IF(P180&lt;&gt;0,SUMIFS(node!$K$2:$K$1000, node!$C$2:$C$1000,"="&amp;A180)/P180,0), "")</f>
        <v/>
      </c>
      <c r="AD180" s="82" t="str">
        <f>IF(A180&lt;&gt;"", SUMIFS(node!$L$2:$L$1000, node!$C$2:$C$1000,"="&amp;A180), "")</f>
        <v/>
      </c>
      <c r="AE180" s="87" t="str">
        <f>IF(A180&lt;&gt;"", SUMIFS(node!$M$2:$M$1000, node!$C$2:$C$1000,"="&amp;A180), "")</f>
        <v/>
      </c>
    </row>
    <row r="181" spans="1:31" ht="15.75" customHeight="1" x14ac:dyDescent="0.25">
      <c r="A181" s="71" t="str">
        <f>IF(ISNONTEXT(node_raw[[#This Row],[Column2]]), "", node_raw[[#This Row],[Column2]])</f>
        <v/>
      </c>
      <c r="B181" s="108" t="str">
        <f>IF(A181&lt;&gt;"", VLOOKUP(A181, node!$C$2:$D$1000, 2, FALSE), "")</f>
        <v/>
      </c>
      <c r="C181" s="109" t="str">
        <f>IF(A181&lt;&gt;"", VLOOKUP(A181, node!$C$2:$E$1000, 3, FALSE), "")</f>
        <v/>
      </c>
      <c r="D181" s="110" t="str">
        <f>IF(A181&lt;&gt;"",COUNTIFS(node!$C$2:$C$1000,"="&amp;A181, node!$C$2:$C$1000,"&lt;&gt;"&amp;""),"")</f>
        <v/>
      </c>
      <c r="E181" s="111" t="str">
        <f>IF(A181&lt;&gt;"",SUMIFS(node!$F$2:$F$500, node!$C$2:$C$500,"="&amp;A181, node!$C$2:$C$500,"&lt;&gt;"&amp;"")/(B181*D181),"")</f>
        <v/>
      </c>
      <c r="F181" s="112" t="str">
        <f>IF(A181&lt;&gt;"",SUMIFS(node!$H$2:$H$500, node!$C$2:$C$500,"="&amp;A181, node!$C$2:$C$500,"&lt;&gt;"&amp;"")/(C181*D181),"")</f>
        <v/>
      </c>
      <c r="G181" s="179" t="str">
        <f>IF(A181&lt;&gt;"",SUMIFS(deployment!$F$4:$F$502, deployment!$D$4:$D$502,"="&amp;A181, deployment!$D$4:$D$502,"&lt;&gt;"&amp;""),"")</f>
        <v/>
      </c>
      <c r="H181" s="181" t="str">
        <f>IF(A181&lt;&gt;"",SUMIFS(deployment!$G$4:$G$502, deployment!$D$4:$D$502,"="&amp;A181, deployment!$D$4:$D$502,"&lt;&gt;"&amp;""),"")</f>
        <v/>
      </c>
      <c r="I181" s="113" t="str">
        <f>IF(A181&lt;&gt;"",SUMIFS(deployment!$H$4:$H$502, deployment!$D$4:$D$502,"="&amp;A181, deployment!$D$4:$D$502,"&lt;&gt;"&amp;""),"")</f>
        <v/>
      </c>
      <c r="J181" s="114" t="str">
        <f>IF(A181&lt;&gt;"",SUMIFS(deployment!$I$4:$I$502, deployment!$D$4:$D$502,"="&amp;A181, deployment!$D$4:$D$502,"&lt;&gt;"&amp;""),"")</f>
        <v/>
      </c>
      <c r="K181" s="182" t="str">
        <f>IF(A181&lt;&gt;"",SUMIFS(deployment!$J$4:$J$1002, deployment!$D$4:$D$1002,"="&amp;A181, deployment!$D$4:$D$1002,"&lt;&gt;"&amp;"", deployment!$C$4:$C$1002, "&lt;&gt;* )")+SUMIFS(namespace!$G$4:$G$1002, namespace!$B$4:$B$1002,"="&amp;A181, namespace!$B$4:$B$1002,"&lt;&gt;"&amp;""),"")</f>
        <v/>
      </c>
      <c r="L181" s="182" t="str">
        <f>IF(A181&lt;&gt;"",SUMIFS(deployment!$K$4:$K$1002, deployment!$D$4:$D$1002,"="&amp;A181, deployment!$D$4:$D$1002,"&lt;&gt;"&amp;"", deployment!$C$4:$C$1002, "&lt;&gt;* )")+SUMIFS(namespace!$H$4:$H$1002, namespace!$B$4:$B$1002,"="&amp;A181, namespace!$B$4:$B$1002,"&lt;&gt;"&amp;""),"")</f>
        <v/>
      </c>
      <c r="M181" s="115" t="str">
        <f>IF(A181&lt;&gt;"",SUMIFS(deployment!$L$4:$L$1002, deployment!$D$4:$D$1002,"="&amp;A181, deployment!$D$4:$D$1002,"&lt;&gt;"&amp;"", deployment!$C$4:$C$1002, "&lt;&gt;* )")+SUMIFS(namespace!$I$4:$I$1002, namespace!$B$4:$B$1002,"="&amp;A181, namespace!$B$4:$B$1002,"&lt;&gt;"&amp;""),"")</f>
        <v/>
      </c>
      <c r="N181" s="115" t="str">
        <f>IF(A181&lt;&gt;"",SUMIFS(deployment!$M$4:$M$1002, deployment!$D$4:$D$1002,"="&amp;A181, deployment!$D$4:$D$1002,"&lt;&gt;"&amp;"", deployment!$C$4:$C$1002, "&lt;&gt;* )")+SUMIFS(namespace!$J$4:$J$1002, namespace!$B$4:$B$1002,"="&amp;A181, namespace!$B$4:$B$1002,"&lt;&gt;"&amp;""),"")</f>
        <v/>
      </c>
      <c r="O181" s="116" t="str">
        <f t="shared" si="31"/>
        <v/>
      </c>
      <c r="P181" s="63"/>
      <c r="Q181" s="164" t="str">
        <f t="shared" si="26"/>
        <v/>
      </c>
      <c r="R181" s="60" t="str">
        <f t="shared" si="27"/>
        <v/>
      </c>
      <c r="S181" s="60" t="str">
        <f t="shared" si="28"/>
        <v/>
      </c>
      <c r="T181" s="61" t="str">
        <f t="shared" si="29"/>
        <v/>
      </c>
      <c r="U181" s="61" t="str">
        <f t="shared" si="30"/>
        <v/>
      </c>
      <c r="V181" s="183" t="str">
        <f t="shared" si="32"/>
        <v/>
      </c>
      <c r="W181" s="183" t="str">
        <f t="shared" si="33"/>
        <v/>
      </c>
      <c r="X181" s="61" t="str">
        <f t="shared" si="34"/>
        <v/>
      </c>
      <c r="Y181" s="61" t="str">
        <f t="shared" si="35"/>
        <v/>
      </c>
      <c r="Z181" s="118" t="str">
        <f t="shared" si="36"/>
        <v/>
      </c>
      <c r="AA181" s="62" t="str">
        <f t="shared" si="37"/>
        <v/>
      </c>
      <c r="AB181" s="119" t="str">
        <f>IF(A181&lt;&gt;"", IF(P181&lt;&gt;0,SUMIFS(node!$J$2:$J$1000, node!$C$2:$C$1000,"="&amp;A181)/P181,0), "")</f>
        <v/>
      </c>
      <c r="AC181" s="81" t="str">
        <f>IF(A181&lt;&gt;"", IF(P181&lt;&gt;0,SUMIFS(node!$K$2:$K$1000, node!$C$2:$C$1000,"="&amp;A181)/P181,0), "")</f>
        <v/>
      </c>
      <c r="AD181" s="82" t="str">
        <f>IF(A181&lt;&gt;"", SUMIFS(node!$L$2:$L$1000, node!$C$2:$C$1000,"="&amp;A181), "")</f>
        <v/>
      </c>
      <c r="AE181" s="87" t="str">
        <f>IF(A181&lt;&gt;"", SUMIFS(node!$M$2:$M$1000, node!$C$2:$C$1000,"="&amp;A181), "")</f>
        <v/>
      </c>
    </row>
    <row r="182" spans="1:31" ht="15.75" customHeight="1" x14ac:dyDescent="0.25">
      <c r="A182" s="71" t="str">
        <f>IF(ISNONTEXT(node_raw[[#This Row],[Column2]]), "", node_raw[[#This Row],[Column2]])</f>
        <v/>
      </c>
      <c r="B182" s="108" t="str">
        <f>IF(A182&lt;&gt;"", VLOOKUP(A182, node!$C$2:$D$1000, 2, FALSE), "")</f>
        <v/>
      </c>
      <c r="C182" s="109" t="str">
        <f>IF(A182&lt;&gt;"", VLOOKUP(A182, node!$C$2:$E$1000, 3, FALSE), "")</f>
        <v/>
      </c>
      <c r="D182" s="110" t="str">
        <f>IF(A182&lt;&gt;"",COUNTIFS(node!$C$2:$C$1000,"="&amp;A182, node!$C$2:$C$1000,"&lt;&gt;"&amp;""),"")</f>
        <v/>
      </c>
      <c r="E182" s="111" t="str">
        <f>IF(A182&lt;&gt;"",SUMIFS(node!$F$2:$F$500, node!$C$2:$C$500,"="&amp;A182, node!$C$2:$C$500,"&lt;&gt;"&amp;"")/(B182*D182),"")</f>
        <v/>
      </c>
      <c r="F182" s="112" t="str">
        <f>IF(A182&lt;&gt;"",SUMIFS(node!$H$2:$H$500, node!$C$2:$C$500,"="&amp;A182, node!$C$2:$C$500,"&lt;&gt;"&amp;"")/(C182*D182),"")</f>
        <v/>
      </c>
      <c r="G182" s="179" t="str">
        <f>IF(A182&lt;&gt;"",SUMIFS(deployment!$F$4:$F$502, deployment!$D$4:$D$502,"="&amp;A182, deployment!$D$4:$D$502,"&lt;&gt;"&amp;""),"")</f>
        <v/>
      </c>
      <c r="H182" s="181" t="str">
        <f>IF(A182&lt;&gt;"",SUMIFS(deployment!$G$4:$G$502, deployment!$D$4:$D$502,"="&amp;A182, deployment!$D$4:$D$502,"&lt;&gt;"&amp;""),"")</f>
        <v/>
      </c>
      <c r="I182" s="113" t="str">
        <f>IF(A182&lt;&gt;"",SUMIFS(deployment!$H$4:$H$502, deployment!$D$4:$D$502,"="&amp;A182, deployment!$D$4:$D$502,"&lt;&gt;"&amp;""),"")</f>
        <v/>
      </c>
      <c r="J182" s="114" t="str">
        <f>IF(A182&lt;&gt;"",SUMIFS(deployment!$I$4:$I$502, deployment!$D$4:$D$502,"="&amp;A182, deployment!$D$4:$D$502,"&lt;&gt;"&amp;""),"")</f>
        <v/>
      </c>
      <c r="K182" s="182" t="str">
        <f>IF(A182&lt;&gt;"",SUMIFS(deployment!$J$4:$J$1002, deployment!$D$4:$D$1002,"="&amp;A182, deployment!$D$4:$D$1002,"&lt;&gt;"&amp;"", deployment!$C$4:$C$1002, "&lt;&gt;* )")+SUMIFS(namespace!$G$4:$G$1002, namespace!$B$4:$B$1002,"="&amp;A182, namespace!$B$4:$B$1002,"&lt;&gt;"&amp;""),"")</f>
        <v/>
      </c>
      <c r="L182" s="182" t="str">
        <f>IF(A182&lt;&gt;"",SUMIFS(deployment!$K$4:$K$1002, deployment!$D$4:$D$1002,"="&amp;A182, deployment!$D$4:$D$1002,"&lt;&gt;"&amp;"", deployment!$C$4:$C$1002, "&lt;&gt;* )")+SUMIFS(namespace!$H$4:$H$1002, namespace!$B$4:$B$1002,"="&amp;A182, namespace!$B$4:$B$1002,"&lt;&gt;"&amp;""),"")</f>
        <v/>
      </c>
      <c r="M182" s="115" t="str">
        <f>IF(A182&lt;&gt;"",SUMIFS(deployment!$L$4:$L$1002, deployment!$D$4:$D$1002,"="&amp;A182, deployment!$D$4:$D$1002,"&lt;&gt;"&amp;"", deployment!$C$4:$C$1002, "&lt;&gt;* )")+SUMIFS(namespace!$I$4:$I$1002, namespace!$B$4:$B$1002,"="&amp;A182, namespace!$B$4:$B$1002,"&lt;&gt;"&amp;""),"")</f>
        <v/>
      </c>
      <c r="N182" s="115" t="str">
        <f>IF(A182&lt;&gt;"",SUMIFS(deployment!$M$4:$M$1002, deployment!$D$4:$D$1002,"="&amp;A182, deployment!$D$4:$D$1002,"&lt;&gt;"&amp;"", deployment!$C$4:$C$1002, "&lt;&gt;* )")+SUMIFS(namespace!$J$4:$J$1002, namespace!$B$4:$B$1002,"="&amp;A182, namespace!$B$4:$B$1002,"&lt;&gt;"&amp;""),"")</f>
        <v/>
      </c>
      <c r="O182" s="116" t="str">
        <f t="shared" si="31"/>
        <v/>
      </c>
      <c r="P182" s="63"/>
      <c r="Q182" s="164" t="str">
        <f t="shared" si="26"/>
        <v/>
      </c>
      <c r="R182" s="60" t="str">
        <f t="shared" si="27"/>
        <v/>
      </c>
      <c r="S182" s="60" t="str">
        <f t="shared" si="28"/>
        <v/>
      </c>
      <c r="T182" s="61" t="str">
        <f t="shared" si="29"/>
        <v/>
      </c>
      <c r="U182" s="61" t="str">
        <f t="shared" si="30"/>
        <v/>
      </c>
      <c r="V182" s="183" t="str">
        <f t="shared" si="32"/>
        <v/>
      </c>
      <c r="W182" s="183" t="str">
        <f t="shared" si="33"/>
        <v/>
      </c>
      <c r="X182" s="61" t="str">
        <f t="shared" si="34"/>
        <v/>
      </c>
      <c r="Y182" s="61" t="str">
        <f t="shared" si="35"/>
        <v/>
      </c>
      <c r="Z182" s="118" t="str">
        <f t="shared" si="36"/>
        <v/>
      </c>
      <c r="AA182" s="62" t="str">
        <f t="shared" si="37"/>
        <v/>
      </c>
      <c r="AB182" s="119" t="str">
        <f>IF(A182&lt;&gt;"", IF(P182&lt;&gt;0,SUMIFS(node!$J$2:$J$1000, node!$C$2:$C$1000,"="&amp;A182)/P182,0), "")</f>
        <v/>
      </c>
      <c r="AC182" s="81" t="str">
        <f>IF(A182&lt;&gt;"", IF(P182&lt;&gt;0,SUMIFS(node!$K$2:$K$1000, node!$C$2:$C$1000,"="&amp;A182)/P182,0), "")</f>
        <v/>
      </c>
      <c r="AD182" s="82" t="str">
        <f>IF(A182&lt;&gt;"", SUMIFS(node!$L$2:$L$1000, node!$C$2:$C$1000,"="&amp;A182), "")</f>
        <v/>
      </c>
      <c r="AE182" s="87" t="str">
        <f>IF(A182&lt;&gt;"", SUMIFS(node!$M$2:$M$1000, node!$C$2:$C$1000,"="&amp;A182), "")</f>
        <v/>
      </c>
    </row>
    <row r="183" spans="1:31" ht="15.75" customHeight="1" x14ac:dyDescent="0.25">
      <c r="A183" s="71" t="str">
        <f>IF(ISNONTEXT(node_raw[[#This Row],[Column2]]), "", node_raw[[#This Row],[Column2]])</f>
        <v/>
      </c>
      <c r="B183" s="108" t="str">
        <f>IF(A183&lt;&gt;"", VLOOKUP(A183, node!$C$2:$D$1000, 2, FALSE), "")</f>
        <v/>
      </c>
      <c r="C183" s="109" t="str">
        <f>IF(A183&lt;&gt;"", VLOOKUP(A183, node!$C$2:$E$1000, 3, FALSE), "")</f>
        <v/>
      </c>
      <c r="D183" s="110" t="str">
        <f>IF(A183&lt;&gt;"",COUNTIFS(node!$C$2:$C$1000,"="&amp;A183, node!$C$2:$C$1000,"&lt;&gt;"&amp;""),"")</f>
        <v/>
      </c>
      <c r="E183" s="111" t="str">
        <f>IF(A183&lt;&gt;"",SUMIFS(node!$F$2:$F$500, node!$C$2:$C$500,"="&amp;A183, node!$C$2:$C$500,"&lt;&gt;"&amp;"")/(B183*D183),"")</f>
        <v/>
      </c>
      <c r="F183" s="112" t="str">
        <f>IF(A183&lt;&gt;"",SUMIFS(node!$H$2:$H$500, node!$C$2:$C$500,"="&amp;A183, node!$C$2:$C$500,"&lt;&gt;"&amp;"")/(C183*D183),"")</f>
        <v/>
      </c>
      <c r="G183" s="179" t="str">
        <f>IF(A183&lt;&gt;"",SUMIFS(deployment!$F$4:$F$502, deployment!$D$4:$D$502,"="&amp;A183, deployment!$D$4:$D$502,"&lt;&gt;"&amp;""),"")</f>
        <v/>
      </c>
      <c r="H183" s="181" t="str">
        <f>IF(A183&lt;&gt;"",SUMIFS(deployment!$G$4:$G$502, deployment!$D$4:$D$502,"="&amp;A183, deployment!$D$4:$D$502,"&lt;&gt;"&amp;""),"")</f>
        <v/>
      </c>
      <c r="I183" s="113" t="str">
        <f>IF(A183&lt;&gt;"",SUMIFS(deployment!$H$4:$H$502, deployment!$D$4:$D$502,"="&amp;A183, deployment!$D$4:$D$502,"&lt;&gt;"&amp;""),"")</f>
        <v/>
      </c>
      <c r="J183" s="114" t="str">
        <f>IF(A183&lt;&gt;"",SUMIFS(deployment!$I$4:$I$502, deployment!$D$4:$D$502,"="&amp;A183, deployment!$D$4:$D$502,"&lt;&gt;"&amp;""),"")</f>
        <v/>
      </c>
      <c r="K183" s="182" t="str">
        <f>IF(A183&lt;&gt;"",SUMIFS(deployment!$J$4:$J$1002, deployment!$D$4:$D$1002,"="&amp;A183, deployment!$D$4:$D$1002,"&lt;&gt;"&amp;"", deployment!$C$4:$C$1002, "&lt;&gt;* )")+SUMIFS(namespace!$G$4:$G$1002, namespace!$B$4:$B$1002,"="&amp;A183, namespace!$B$4:$B$1002,"&lt;&gt;"&amp;""),"")</f>
        <v/>
      </c>
      <c r="L183" s="182" t="str">
        <f>IF(A183&lt;&gt;"",SUMIFS(deployment!$K$4:$K$1002, deployment!$D$4:$D$1002,"="&amp;A183, deployment!$D$4:$D$1002,"&lt;&gt;"&amp;"", deployment!$C$4:$C$1002, "&lt;&gt;* )")+SUMIFS(namespace!$H$4:$H$1002, namespace!$B$4:$B$1002,"="&amp;A183, namespace!$B$4:$B$1002,"&lt;&gt;"&amp;""),"")</f>
        <v/>
      </c>
      <c r="M183" s="115" t="str">
        <f>IF(A183&lt;&gt;"",SUMIFS(deployment!$L$4:$L$1002, deployment!$D$4:$D$1002,"="&amp;A183, deployment!$D$4:$D$1002,"&lt;&gt;"&amp;"", deployment!$C$4:$C$1002, "&lt;&gt;* )")+SUMIFS(namespace!$I$4:$I$1002, namespace!$B$4:$B$1002,"="&amp;A183, namespace!$B$4:$B$1002,"&lt;&gt;"&amp;""),"")</f>
        <v/>
      </c>
      <c r="N183" s="115" t="str">
        <f>IF(A183&lt;&gt;"",SUMIFS(deployment!$M$4:$M$1002, deployment!$D$4:$D$1002,"="&amp;A183, deployment!$D$4:$D$1002,"&lt;&gt;"&amp;"", deployment!$C$4:$C$1002, "&lt;&gt;* )")+SUMIFS(namespace!$J$4:$J$1002, namespace!$B$4:$B$1002,"="&amp;A183, namespace!$B$4:$B$1002,"&lt;&gt;"&amp;""),"")</f>
        <v/>
      </c>
      <c r="O183" s="116" t="str">
        <f t="shared" si="31"/>
        <v/>
      </c>
      <c r="P183" s="63"/>
      <c r="Q183" s="164" t="str">
        <f t="shared" si="26"/>
        <v/>
      </c>
      <c r="R183" s="60" t="str">
        <f t="shared" si="27"/>
        <v/>
      </c>
      <c r="S183" s="60" t="str">
        <f t="shared" si="28"/>
        <v/>
      </c>
      <c r="T183" s="61" t="str">
        <f t="shared" si="29"/>
        <v/>
      </c>
      <c r="U183" s="61" t="str">
        <f t="shared" si="30"/>
        <v/>
      </c>
      <c r="V183" s="183" t="str">
        <f t="shared" si="32"/>
        <v/>
      </c>
      <c r="W183" s="183" t="str">
        <f t="shared" si="33"/>
        <v/>
      </c>
      <c r="X183" s="61" t="str">
        <f t="shared" si="34"/>
        <v/>
      </c>
      <c r="Y183" s="61" t="str">
        <f t="shared" si="35"/>
        <v/>
      </c>
      <c r="Z183" s="118" t="str">
        <f t="shared" si="36"/>
        <v/>
      </c>
      <c r="AA183" s="62" t="str">
        <f t="shared" si="37"/>
        <v/>
      </c>
      <c r="AB183" s="119" t="str">
        <f>IF(A183&lt;&gt;"", IF(P183&lt;&gt;0,SUMIFS(node!$J$2:$J$1000, node!$C$2:$C$1000,"="&amp;A183)/P183,0), "")</f>
        <v/>
      </c>
      <c r="AC183" s="81" t="str">
        <f>IF(A183&lt;&gt;"", IF(P183&lt;&gt;0,SUMIFS(node!$K$2:$K$1000, node!$C$2:$C$1000,"="&amp;A183)/P183,0), "")</f>
        <v/>
      </c>
      <c r="AD183" s="82" t="str">
        <f>IF(A183&lt;&gt;"", SUMIFS(node!$L$2:$L$1000, node!$C$2:$C$1000,"="&amp;A183), "")</f>
        <v/>
      </c>
      <c r="AE183" s="87" t="str">
        <f>IF(A183&lt;&gt;"", SUMIFS(node!$M$2:$M$1000, node!$C$2:$C$1000,"="&amp;A183), "")</f>
        <v/>
      </c>
    </row>
    <row r="184" spans="1:31" ht="15.75" customHeight="1" x14ac:dyDescent="0.25">
      <c r="A184" s="71" t="str">
        <f>IF(ISNONTEXT(node_raw[[#This Row],[Column2]]), "", node_raw[[#This Row],[Column2]])</f>
        <v/>
      </c>
      <c r="B184" s="108" t="str">
        <f>IF(A184&lt;&gt;"", VLOOKUP(A184, node!$C$2:$D$1000, 2, FALSE), "")</f>
        <v/>
      </c>
      <c r="C184" s="109" t="str">
        <f>IF(A184&lt;&gt;"", VLOOKUP(A184, node!$C$2:$E$1000, 3, FALSE), "")</f>
        <v/>
      </c>
      <c r="D184" s="110" t="str">
        <f>IF(A184&lt;&gt;"",COUNTIFS(node!$C$2:$C$1000,"="&amp;A184, node!$C$2:$C$1000,"&lt;&gt;"&amp;""),"")</f>
        <v/>
      </c>
      <c r="E184" s="111" t="str">
        <f>IF(A184&lt;&gt;"",SUMIFS(node!$F$2:$F$500, node!$C$2:$C$500,"="&amp;A184, node!$C$2:$C$500,"&lt;&gt;"&amp;"")/(B184*D184),"")</f>
        <v/>
      </c>
      <c r="F184" s="112" t="str">
        <f>IF(A184&lt;&gt;"",SUMIFS(node!$H$2:$H$500, node!$C$2:$C$500,"="&amp;A184, node!$C$2:$C$500,"&lt;&gt;"&amp;"")/(C184*D184),"")</f>
        <v/>
      </c>
      <c r="G184" s="179" t="str">
        <f>IF(A184&lt;&gt;"",SUMIFS(deployment!$F$4:$F$502, deployment!$D$4:$D$502,"="&amp;A184, deployment!$D$4:$D$502,"&lt;&gt;"&amp;""),"")</f>
        <v/>
      </c>
      <c r="H184" s="181" t="str">
        <f>IF(A184&lt;&gt;"",SUMIFS(deployment!$G$4:$G$502, deployment!$D$4:$D$502,"="&amp;A184, deployment!$D$4:$D$502,"&lt;&gt;"&amp;""),"")</f>
        <v/>
      </c>
      <c r="I184" s="113" t="str">
        <f>IF(A184&lt;&gt;"",SUMIFS(deployment!$H$4:$H$502, deployment!$D$4:$D$502,"="&amp;A184, deployment!$D$4:$D$502,"&lt;&gt;"&amp;""),"")</f>
        <v/>
      </c>
      <c r="J184" s="114" t="str">
        <f>IF(A184&lt;&gt;"",SUMIFS(deployment!$I$4:$I$502, deployment!$D$4:$D$502,"="&amp;A184, deployment!$D$4:$D$502,"&lt;&gt;"&amp;""),"")</f>
        <v/>
      </c>
      <c r="K184" s="182" t="str">
        <f>IF(A184&lt;&gt;"",SUMIFS(deployment!$J$4:$J$1002, deployment!$D$4:$D$1002,"="&amp;A184, deployment!$D$4:$D$1002,"&lt;&gt;"&amp;"", deployment!$C$4:$C$1002, "&lt;&gt;* )")+SUMIFS(namespace!$G$4:$G$1002, namespace!$B$4:$B$1002,"="&amp;A184, namespace!$B$4:$B$1002,"&lt;&gt;"&amp;""),"")</f>
        <v/>
      </c>
      <c r="L184" s="182" t="str">
        <f>IF(A184&lt;&gt;"",SUMIFS(deployment!$K$4:$K$1002, deployment!$D$4:$D$1002,"="&amp;A184, deployment!$D$4:$D$1002,"&lt;&gt;"&amp;"", deployment!$C$4:$C$1002, "&lt;&gt;* )")+SUMIFS(namespace!$H$4:$H$1002, namespace!$B$4:$B$1002,"="&amp;A184, namespace!$B$4:$B$1002,"&lt;&gt;"&amp;""),"")</f>
        <v/>
      </c>
      <c r="M184" s="115" t="str">
        <f>IF(A184&lt;&gt;"",SUMIFS(deployment!$L$4:$L$1002, deployment!$D$4:$D$1002,"="&amp;A184, deployment!$D$4:$D$1002,"&lt;&gt;"&amp;"", deployment!$C$4:$C$1002, "&lt;&gt;* )")+SUMIFS(namespace!$I$4:$I$1002, namespace!$B$4:$B$1002,"="&amp;A184, namespace!$B$4:$B$1002,"&lt;&gt;"&amp;""),"")</f>
        <v/>
      </c>
      <c r="N184" s="115" t="str">
        <f>IF(A184&lt;&gt;"",SUMIFS(deployment!$M$4:$M$1002, deployment!$D$4:$D$1002,"="&amp;A184, deployment!$D$4:$D$1002,"&lt;&gt;"&amp;"", deployment!$C$4:$C$1002, "&lt;&gt;* )")+SUMIFS(namespace!$J$4:$J$1002, namespace!$B$4:$B$1002,"="&amp;A184, namespace!$B$4:$B$1002,"&lt;&gt;"&amp;""),"")</f>
        <v/>
      </c>
      <c r="O184" s="116" t="str">
        <f t="shared" si="31"/>
        <v/>
      </c>
      <c r="P184" s="63"/>
      <c r="Q184" s="164" t="str">
        <f t="shared" si="26"/>
        <v/>
      </c>
      <c r="R184" s="60" t="str">
        <f t="shared" si="27"/>
        <v/>
      </c>
      <c r="S184" s="60" t="str">
        <f t="shared" si="28"/>
        <v/>
      </c>
      <c r="T184" s="61" t="str">
        <f t="shared" si="29"/>
        <v/>
      </c>
      <c r="U184" s="61" t="str">
        <f t="shared" si="30"/>
        <v/>
      </c>
      <c r="V184" s="183" t="str">
        <f t="shared" si="32"/>
        <v/>
      </c>
      <c r="W184" s="183" t="str">
        <f t="shared" si="33"/>
        <v/>
      </c>
      <c r="X184" s="61" t="str">
        <f t="shared" si="34"/>
        <v/>
      </c>
      <c r="Y184" s="61" t="str">
        <f t="shared" si="35"/>
        <v/>
      </c>
      <c r="Z184" s="118" t="str">
        <f t="shared" si="36"/>
        <v/>
      </c>
      <c r="AA184" s="62" t="str">
        <f t="shared" si="37"/>
        <v/>
      </c>
      <c r="AB184" s="119" t="str">
        <f>IF(A184&lt;&gt;"", IF(P184&lt;&gt;0,SUMIFS(node!$J$2:$J$1000, node!$C$2:$C$1000,"="&amp;A184)/P184,0), "")</f>
        <v/>
      </c>
      <c r="AC184" s="81" t="str">
        <f>IF(A184&lt;&gt;"", IF(P184&lt;&gt;0,SUMIFS(node!$K$2:$K$1000, node!$C$2:$C$1000,"="&amp;A184)/P184,0), "")</f>
        <v/>
      </c>
      <c r="AD184" s="82" t="str">
        <f>IF(A184&lt;&gt;"", SUMIFS(node!$L$2:$L$1000, node!$C$2:$C$1000,"="&amp;A184), "")</f>
        <v/>
      </c>
      <c r="AE184" s="87" t="str">
        <f>IF(A184&lt;&gt;"", SUMIFS(node!$M$2:$M$1000, node!$C$2:$C$1000,"="&amp;A184), "")</f>
        <v/>
      </c>
    </row>
    <row r="185" spans="1:31" ht="15.75" customHeight="1" x14ac:dyDescent="0.25">
      <c r="A185" s="71" t="str">
        <f>IF(ISNONTEXT(node_raw[[#This Row],[Column2]]), "", node_raw[[#This Row],[Column2]])</f>
        <v/>
      </c>
      <c r="B185" s="108" t="str">
        <f>IF(A185&lt;&gt;"", VLOOKUP(A185, node!$C$2:$D$1000, 2, FALSE), "")</f>
        <v/>
      </c>
      <c r="C185" s="109" t="str">
        <f>IF(A185&lt;&gt;"", VLOOKUP(A185, node!$C$2:$E$1000, 3, FALSE), "")</f>
        <v/>
      </c>
      <c r="D185" s="110" t="str">
        <f>IF(A185&lt;&gt;"",COUNTIFS(node!$C$2:$C$1000,"="&amp;A185, node!$C$2:$C$1000,"&lt;&gt;"&amp;""),"")</f>
        <v/>
      </c>
      <c r="E185" s="111" t="str">
        <f>IF(A185&lt;&gt;"",SUMIFS(node!$F$2:$F$500, node!$C$2:$C$500,"="&amp;A185, node!$C$2:$C$500,"&lt;&gt;"&amp;"")/(B185*D185),"")</f>
        <v/>
      </c>
      <c r="F185" s="112" t="str">
        <f>IF(A185&lt;&gt;"",SUMIFS(node!$H$2:$H$500, node!$C$2:$C$500,"="&amp;A185, node!$C$2:$C$500,"&lt;&gt;"&amp;"")/(C185*D185),"")</f>
        <v/>
      </c>
      <c r="G185" s="179" t="str">
        <f>IF(A185&lt;&gt;"",SUMIFS(deployment!$F$4:$F$502, deployment!$D$4:$D$502,"="&amp;A185, deployment!$D$4:$D$502,"&lt;&gt;"&amp;""),"")</f>
        <v/>
      </c>
      <c r="H185" s="181" t="str">
        <f>IF(A185&lt;&gt;"",SUMIFS(deployment!$G$4:$G$502, deployment!$D$4:$D$502,"="&amp;A185, deployment!$D$4:$D$502,"&lt;&gt;"&amp;""),"")</f>
        <v/>
      </c>
      <c r="I185" s="113" t="str">
        <f>IF(A185&lt;&gt;"",SUMIFS(deployment!$H$4:$H$502, deployment!$D$4:$D$502,"="&amp;A185, deployment!$D$4:$D$502,"&lt;&gt;"&amp;""),"")</f>
        <v/>
      </c>
      <c r="J185" s="114" t="str">
        <f>IF(A185&lt;&gt;"",SUMIFS(deployment!$I$4:$I$502, deployment!$D$4:$D$502,"="&amp;A185, deployment!$D$4:$D$502,"&lt;&gt;"&amp;""),"")</f>
        <v/>
      </c>
      <c r="K185" s="182" t="str">
        <f>IF(A185&lt;&gt;"",SUMIFS(deployment!$J$4:$J$1002, deployment!$D$4:$D$1002,"="&amp;A185, deployment!$D$4:$D$1002,"&lt;&gt;"&amp;"", deployment!$C$4:$C$1002, "&lt;&gt;* )")+SUMIFS(namespace!$G$4:$G$1002, namespace!$B$4:$B$1002,"="&amp;A185, namespace!$B$4:$B$1002,"&lt;&gt;"&amp;""),"")</f>
        <v/>
      </c>
      <c r="L185" s="182" t="str">
        <f>IF(A185&lt;&gt;"",SUMIFS(deployment!$K$4:$K$1002, deployment!$D$4:$D$1002,"="&amp;A185, deployment!$D$4:$D$1002,"&lt;&gt;"&amp;"", deployment!$C$4:$C$1002, "&lt;&gt;* )")+SUMIFS(namespace!$H$4:$H$1002, namespace!$B$4:$B$1002,"="&amp;A185, namespace!$B$4:$B$1002,"&lt;&gt;"&amp;""),"")</f>
        <v/>
      </c>
      <c r="M185" s="115" t="str">
        <f>IF(A185&lt;&gt;"",SUMIFS(deployment!$L$4:$L$1002, deployment!$D$4:$D$1002,"="&amp;A185, deployment!$D$4:$D$1002,"&lt;&gt;"&amp;"", deployment!$C$4:$C$1002, "&lt;&gt;* )")+SUMIFS(namespace!$I$4:$I$1002, namespace!$B$4:$B$1002,"="&amp;A185, namespace!$B$4:$B$1002,"&lt;&gt;"&amp;""),"")</f>
        <v/>
      </c>
      <c r="N185" s="115" t="str">
        <f>IF(A185&lt;&gt;"",SUMIFS(deployment!$M$4:$M$1002, deployment!$D$4:$D$1002,"="&amp;A185, deployment!$D$4:$D$1002,"&lt;&gt;"&amp;"", deployment!$C$4:$C$1002, "&lt;&gt;* )")+SUMIFS(namespace!$J$4:$J$1002, namespace!$B$4:$B$1002,"="&amp;A185, namespace!$B$4:$B$1002,"&lt;&gt;"&amp;""),"")</f>
        <v/>
      </c>
      <c r="O185" s="116" t="str">
        <f t="shared" si="31"/>
        <v/>
      </c>
      <c r="P185" s="63"/>
      <c r="Q185" s="164" t="str">
        <f t="shared" si="26"/>
        <v/>
      </c>
      <c r="R185" s="60" t="str">
        <f t="shared" si="27"/>
        <v/>
      </c>
      <c r="S185" s="60" t="str">
        <f t="shared" si="28"/>
        <v/>
      </c>
      <c r="T185" s="61" t="str">
        <f t="shared" si="29"/>
        <v/>
      </c>
      <c r="U185" s="61" t="str">
        <f t="shared" si="30"/>
        <v/>
      </c>
      <c r="V185" s="183" t="str">
        <f t="shared" si="32"/>
        <v/>
      </c>
      <c r="W185" s="183" t="str">
        <f t="shared" si="33"/>
        <v/>
      </c>
      <c r="X185" s="61" t="str">
        <f t="shared" si="34"/>
        <v/>
      </c>
      <c r="Y185" s="61" t="str">
        <f t="shared" si="35"/>
        <v/>
      </c>
      <c r="Z185" s="118" t="str">
        <f t="shared" si="36"/>
        <v/>
      </c>
      <c r="AA185" s="62" t="str">
        <f t="shared" si="37"/>
        <v/>
      </c>
      <c r="AB185" s="119" t="str">
        <f>IF(A185&lt;&gt;"", IF(P185&lt;&gt;0,SUMIFS(node!$J$2:$J$1000, node!$C$2:$C$1000,"="&amp;A185)/P185,0), "")</f>
        <v/>
      </c>
      <c r="AC185" s="81" t="str">
        <f>IF(A185&lt;&gt;"", IF(P185&lt;&gt;0,SUMIFS(node!$K$2:$K$1000, node!$C$2:$C$1000,"="&amp;A185)/P185,0), "")</f>
        <v/>
      </c>
      <c r="AD185" s="82" t="str">
        <f>IF(A185&lt;&gt;"", SUMIFS(node!$L$2:$L$1000, node!$C$2:$C$1000,"="&amp;A185), "")</f>
        <v/>
      </c>
      <c r="AE185" s="87" t="str">
        <f>IF(A185&lt;&gt;"", SUMIFS(node!$M$2:$M$1000, node!$C$2:$C$1000,"="&amp;A185), "")</f>
        <v/>
      </c>
    </row>
    <row r="186" spans="1:31" ht="15.75" customHeight="1" x14ac:dyDescent="0.25">
      <c r="A186" s="71" t="str">
        <f>IF(ISNONTEXT(node_raw[[#This Row],[Column2]]), "", node_raw[[#This Row],[Column2]])</f>
        <v/>
      </c>
      <c r="B186" s="108" t="str">
        <f>IF(A186&lt;&gt;"", VLOOKUP(A186, node!$C$2:$D$1000, 2, FALSE), "")</f>
        <v/>
      </c>
      <c r="C186" s="109" t="str">
        <f>IF(A186&lt;&gt;"", VLOOKUP(A186, node!$C$2:$E$1000, 3, FALSE), "")</f>
        <v/>
      </c>
      <c r="D186" s="110" t="str">
        <f>IF(A186&lt;&gt;"",COUNTIFS(node!$C$2:$C$1000,"="&amp;A186, node!$C$2:$C$1000,"&lt;&gt;"&amp;""),"")</f>
        <v/>
      </c>
      <c r="E186" s="111" t="str">
        <f>IF(A186&lt;&gt;"",SUMIFS(node!$F$2:$F$500, node!$C$2:$C$500,"="&amp;A186, node!$C$2:$C$500,"&lt;&gt;"&amp;"")/(B186*D186),"")</f>
        <v/>
      </c>
      <c r="F186" s="112" t="str">
        <f>IF(A186&lt;&gt;"",SUMIFS(node!$H$2:$H$500, node!$C$2:$C$500,"="&amp;A186, node!$C$2:$C$500,"&lt;&gt;"&amp;"")/(C186*D186),"")</f>
        <v/>
      </c>
      <c r="G186" s="179" t="str">
        <f>IF(A186&lt;&gt;"",SUMIFS(deployment!$F$4:$F$502, deployment!$D$4:$D$502,"="&amp;A186, deployment!$D$4:$D$502,"&lt;&gt;"&amp;""),"")</f>
        <v/>
      </c>
      <c r="H186" s="181" t="str">
        <f>IF(A186&lt;&gt;"",SUMIFS(deployment!$G$4:$G$502, deployment!$D$4:$D$502,"="&amp;A186, deployment!$D$4:$D$502,"&lt;&gt;"&amp;""),"")</f>
        <v/>
      </c>
      <c r="I186" s="113" t="str">
        <f>IF(A186&lt;&gt;"",SUMIFS(deployment!$H$4:$H$502, deployment!$D$4:$D$502,"="&amp;A186, deployment!$D$4:$D$502,"&lt;&gt;"&amp;""),"")</f>
        <v/>
      </c>
      <c r="J186" s="114" t="str">
        <f>IF(A186&lt;&gt;"",SUMIFS(deployment!$I$4:$I$502, deployment!$D$4:$D$502,"="&amp;A186, deployment!$D$4:$D$502,"&lt;&gt;"&amp;""),"")</f>
        <v/>
      </c>
      <c r="K186" s="182" t="str">
        <f>IF(A186&lt;&gt;"",SUMIFS(deployment!$J$4:$J$1002, deployment!$D$4:$D$1002,"="&amp;A186, deployment!$D$4:$D$1002,"&lt;&gt;"&amp;"", deployment!$C$4:$C$1002, "&lt;&gt;* )")+SUMIFS(namespace!$G$4:$G$1002, namespace!$B$4:$B$1002,"="&amp;A186, namespace!$B$4:$B$1002,"&lt;&gt;"&amp;""),"")</f>
        <v/>
      </c>
      <c r="L186" s="182" t="str">
        <f>IF(A186&lt;&gt;"",SUMIFS(deployment!$K$4:$K$1002, deployment!$D$4:$D$1002,"="&amp;A186, deployment!$D$4:$D$1002,"&lt;&gt;"&amp;"", deployment!$C$4:$C$1002, "&lt;&gt;* )")+SUMIFS(namespace!$H$4:$H$1002, namespace!$B$4:$B$1002,"="&amp;A186, namespace!$B$4:$B$1002,"&lt;&gt;"&amp;""),"")</f>
        <v/>
      </c>
      <c r="M186" s="115" t="str">
        <f>IF(A186&lt;&gt;"",SUMIFS(deployment!$L$4:$L$1002, deployment!$D$4:$D$1002,"="&amp;A186, deployment!$D$4:$D$1002,"&lt;&gt;"&amp;"", deployment!$C$4:$C$1002, "&lt;&gt;* )")+SUMIFS(namespace!$I$4:$I$1002, namespace!$B$4:$B$1002,"="&amp;A186, namespace!$B$4:$B$1002,"&lt;&gt;"&amp;""),"")</f>
        <v/>
      </c>
      <c r="N186" s="115" t="str">
        <f>IF(A186&lt;&gt;"",SUMIFS(deployment!$M$4:$M$1002, deployment!$D$4:$D$1002,"="&amp;A186, deployment!$D$4:$D$1002,"&lt;&gt;"&amp;"", deployment!$C$4:$C$1002, "&lt;&gt;* )")+SUMIFS(namespace!$J$4:$J$1002, namespace!$B$4:$B$1002,"="&amp;A186, namespace!$B$4:$B$1002,"&lt;&gt;"&amp;""),"")</f>
        <v/>
      </c>
      <c r="O186" s="116" t="str">
        <f t="shared" si="31"/>
        <v/>
      </c>
      <c r="P186" s="63"/>
      <c r="Q186" s="164" t="str">
        <f t="shared" si="26"/>
        <v/>
      </c>
      <c r="R186" s="60" t="str">
        <f t="shared" si="27"/>
        <v/>
      </c>
      <c r="S186" s="60" t="str">
        <f t="shared" si="28"/>
        <v/>
      </c>
      <c r="T186" s="61" t="str">
        <f t="shared" si="29"/>
        <v/>
      </c>
      <c r="U186" s="61" t="str">
        <f t="shared" si="30"/>
        <v/>
      </c>
      <c r="V186" s="183" t="str">
        <f t="shared" si="32"/>
        <v/>
      </c>
      <c r="W186" s="183" t="str">
        <f t="shared" si="33"/>
        <v/>
      </c>
      <c r="X186" s="61" t="str">
        <f t="shared" si="34"/>
        <v/>
      </c>
      <c r="Y186" s="61" t="str">
        <f t="shared" si="35"/>
        <v/>
      </c>
      <c r="Z186" s="118" t="str">
        <f t="shared" si="36"/>
        <v/>
      </c>
      <c r="AA186" s="62" t="str">
        <f t="shared" si="37"/>
        <v/>
      </c>
      <c r="AB186" s="119" t="str">
        <f>IF(A186&lt;&gt;"", IF(P186&lt;&gt;0,SUMIFS(node!$J$2:$J$1000, node!$C$2:$C$1000,"="&amp;A186)/P186,0), "")</f>
        <v/>
      </c>
      <c r="AC186" s="81" t="str">
        <f>IF(A186&lt;&gt;"", IF(P186&lt;&gt;0,SUMIFS(node!$K$2:$K$1000, node!$C$2:$C$1000,"="&amp;A186)/P186,0), "")</f>
        <v/>
      </c>
      <c r="AD186" s="82" t="str">
        <f>IF(A186&lt;&gt;"", SUMIFS(node!$L$2:$L$1000, node!$C$2:$C$1000,"="&amp;A186), "")</f>
        <v/>
      </c>
      <c r="AE186" s="87" t="str">
        <f>IF(A186&lt;&gt;"", SUMIFS(node!$M$2:$M$1000, node!$C$2:$C$1000,"="&amp;A186), "")</f>
        <v/>
      </c>
    </row>
    <row r="187" spans="1:31" ht="15.75" customHeight="1" x14ac:dyDescent="0.25">
      <c r="A187" s="71" t="str">
        <f>IF(ISNONTEXT(node_raw[[#This Row],[Column2]]), "", node_raw[[#This Row],[Column2]])</f>
        <v/>
      </c>
      <c r="B187" s="108" t="str">
        <f>IF(A187&lt;&gt;"", VLOOKUP(A187, node!$C$2:$D$1000, 2, FALSE), "")</f>
        <v/>
      </c>
      <c r="C187" s="109" t="str">
        <f>IF(A187&lt;&gt;"", VLOOKUP(A187, node!$C$2:$E$1000, 3, FALSE), "")</f>
        <v/>
      </c>
      <c r="D187" s="110" t="str">
        <f>IF(A187&lt;&gt;"",COUNTIFS(node!$C$2:$C$1000,"="&amp;A187, node!$C$2:$C$1000,"&lt;&gt;"&amp;""),"")</f>
        <v/>
      </c>
      <c r="E187" s="111" t="str">
        <f>IF(A187&lt;&gt;"",SUMIFS(node!$F$2:$F$500, node!$C$2:$C$500,"="&amp;A187, node!$C$2:$C$500,"&lt;&gt;"&amp;"")/(B187*D187),"")</f>
        <v/>
      </c>
      <c r="F187" s="112" t="str">
        <f>IF(A187&lt;&gt;"",SUMIFS(node!$H$2:$H$500, node!$C$2:$C$500,"="&amp;A187, node!$C$2:$C$500,"&lt;&gt;"&amp;"")/(C187*D187),"")</f>
        <v/>
      </c>
      <c r="G187" s="179" t="str">
        <f>IF(A187&lt;&gt;"",SUMIFS(deployment!$F$4:$F$502, deployment!$D$4:$D$502,"="&amp;A187, deployment!$D$4:$D$502,"&lt;&gt;"&amp;""),"")</f>
        <v/>
      </c>
      <c r="H187" s="181" t="str">
        <f>IF(A187&lt;&gt;"",SUMIFS(deployment!$G$4:$G$502, deployment!$D$4:$D$502,"="&amp;A187, deployment!$D$4:$D$502,"&lt;&gt;"&amp;""),"")</f>
        <v/>
      </c>
      <c r="I187" s="113" t="str">
        <f>IF(A187&lt;&gt;"",SUMIFS(deployment!$H$4:$H$502, deployment!$D$4:$D$502,"="&amp;A187, deployment!$D$4:$D$502,"&lt;&gt;"&amp;""),"")</f>
        <v/>
      </c>
      <c r="J187" s="114" t="str">
        <f>IF(A187&lt;&gt;"",SUMIFS(deployment!$I$4:$I$502, deployment!$D$4:$D$502,"="&amp;A187, deployment!$D$4:$D$502,"&lt;&gt;"&amp;""),"")</f>
        <v/>
      </c>
      <c r="K187" s="182" t="str">
        <f>IF(A187&lt;&gt;"",SUMIFS(deployment!$J$4:$J$1002, deployment!$D$4:$D$1002,"="&amp;A187, deployment!$D$4:$D$1002,"&lt;&gt;"&amp;"", deployment!$C$4:$C$1002, "&lt;&gt;* )")+SUMIFS(namespace!$G$4:$G$1002, namespace!$B$4:$B$1002,"="&amp;A187, namespace!$B$4:$B$1002,"&lt;&gt;"&amp;""),"")</f>
        <v/>
      </c>
      <c r="L187" s="182" t="str">
        <f>IF(A187&lt;&gt;"",SUMIFS(deployment!$K$4:$K$1002, deployment!$D$4:$D$1002,"="&amp;A187, deployment!$D$4:$D$1002,"&lt;&gt;"&amp;"", deployment!$C$4:$C$1002, "&lt;&gt;* )")+SUMIFS(namespace!$H$4:$H$1002, namespace!$B$4:$B$1002,"="&amp;A187, namespace!$B$4:$B$1002,"&lt;&gt;"&amp;""),"")</f>
        <v/>
      </c>
      <c r="M187" s="115" t="str">
        <f>IF(A187&lt;&gt;"",SUMIFS(deployment!$L$4:$L$1002, deployment!$D$4:$D$1002,"="&amp;A187, deployment!$D$4:$D$1002,"&lt;&gt;"&amp;"", deployment!$C$4:$C$1002, "&lt;&gt;* )")+SUMIFS(namespace!$I$4:$I$1002, namespace!$B$4:$B$1002,"="&amp;A187, namespace!$B$4:$B$1002,"&lt;&gt;"&amp;""),"")</f>
        <v/>
      </c>
      <c r="N187" s="115" t="str">
        <f>IF(A187&lt;&gt;"",SUMIFS(deployment!$M$4:$M$1002, deployment!$D$4:$D$1002,"="&amp;A187, deployment!$D$4:$D$1002,"&lt;&gt;"&amp;"", deployment!$C$4:$C$1002, "&lt;&gt;* )")+SUMIFS(namespace!$J$4:$J$1002, namespace!$B$4:$B$1002,"="&amp;A187, namespace!$B$4:$B$1002,"&lt;&gt;"&amp;""),"")</f>
        <v/>
      </c>
      <c r="O187" s="116" t="str">
        <f t="shared" si="31"/>
        <v/>
      </c>
      <c r="P187" s="63"/>
      <c r="Q187" s="164" t="str">
        <f t="shared" si="26"/>
        <v/>
      </c>
      <c r="R187" s="60" t="str">
        <f t="shared" si="27"/>
        <v/>
      </c>
      <c r="S187" s="60" t="str">
        <f t="shared" si="28"/>
        <v/>
      </c>
      <c r="T187" s="61" t="str">
        <f t="shared" si="29"/>
        <v/>
      </c>
      <c r="U187" s="61" t="str">
        <f t="shared" si="30"/>
        <v/>
      </c>
      <c r="V187" s="183" t="str">
        <f t="shared" si="32"/>
        <v/>
      </c>
      <c r="W187" s="183" t="str">
        <f t="shared" si="33"/>
        <v/>
      </c>
      <c r="X187" s="61" t="str">
        <f t="shared" si="34"/>
        <v/>
      </c>
      <c r="Y187" s="61" t="str">
        <f t="shared" si="35"/>
        <v/>
      </c>
      <c r="Z187" s="118" t="str">
        <f t="shared" si="36"/>
        <v/>
      </c>
      <c r="AA187" s="62" t="str">
        <f t="shared" si="37"/>
        <v/>
      </c>
      <c r="AB187" s="119" t="str">
        <f>IF(A187&lt;&gt;"", IF(P187&lt;&gt;0,SUMIFS(node!$J$2:$J$1000, node!$C$2:$C$1000,"="&amp;A187)/P187,0), "")</f>
        <v/>
      </c>
      <c r="AC187" s="81" t="str">
        <f>IF(A187&lt;&gt;"", IF(P187&lt;&gt;0,SUMIFS(node!$K$2:$K$1000, node!$C$2:$C$1000,"="&amp;A187)/P187,0), "")</f>
        <v/>
      </c>
      <c r="AD187" s="82" t="str">
        <f>IF(A187&lt;&gt;"", SUMIFS(node!$L$2:$L$1000, node!$C$2:$C$1000,"="&amp;A187), "")</f>
        <v/>
      </c>
      <c r="AE187" s="87" t="str">
        <f>IF(A187&lt;&gt;"", SUMIFS(node!$M$2:$M$1000, node!$C$2:$C$1000,"="&amp;A187), "")</f>
        <v/>
      </c>
    </row>
    <row r="188" spans="1:31" ht="15.75" customHeight="1" x14ac:dyDescent="0.25">
      <c r="A188" s="71" t="str">
        <f>IF(ISNONTEXT(node_raw[[#This Row],[Column2]]), "", node_raw[[#This Row],[Column2]])</f>
        <v/>
      </c>
      <c r="B188" s="108" t="str">
        <f>IF(A188&lt;&gt;"", VLOOKUP(A188, node!$C$2:$D$1000, 2, FALSE), "")</f>
        <v/>
      </c>
      <c r="C188" s="109" t="str">
        <f>IF(A188&lt;&gt;"", VLOOKUP(A188, node!$C$2:$E$1000, 3, FALSE), "")</f>
        <v/>
      </c>
      <c r="D188" s="110" t="str">
        <f>IF(A188&lt;&gt;"",COUNTIFS(node!$C$2:$C$1000,"="&amp;A188, node!$C$2:$C$1000,"&lt;&gt;"&amp;""),"")</f>
        <v/>
      </c>
      <c r="E188" s="111" t="str">
        <f>IF(A188&lt;&gt;"",SUMIFS(node!$F$2:$F$500, node!$C$2:$C$500,"="&amp;A188, node!$C$2:$C$500,"&lt;&gt;"&amp;"")/(B188*D188),"")</f>
        <v/>
      </c>
      <c r="F188" s="112" t="str">
        <f>IF(A188&lt;&gt;"",SUMIFS(node!$H$2:$H$500, node!$C$2:$C$500,"="&amp;A188, node!$C$2:$C$500,"&lt;&gt;"&amp;"")/(C188*D188),"")</f>
        <v/>
      </c>
      <c r="G188" s="179" t="str">
        <f>IF(A188&lt;&gt;"",SUMIFS(deployment!$F$4:$F$502, deployment!$D$4:$D$502,"="&amp;A188, deployment!$D$4:$D$502,"&lt;&gt;"&amp;""),"")</f>
        <v/>
      </c>
      <c r="H188" s="181" t="str">
        <f>IF(A188&lt;&gt;"",SUMIFS(deployment!$G$4:$G$502, deployment!$D$4:$D$502,"="&amp;A188, deployment!$D$4:$D$502,"&lt;&gt;"&amp;""),"")</f>
        <v/>
      </c>
      <c r="I188" s="113" t="str">
        <f>IF(A188&lt;&gt;"",SUMIFS(deployment!$H$4:$H$502, deployment!$D$4:$D$502,"="&amp;A188, deployment!$D$4:$D$502,"&lt;&gt;"&amp;""),"")</f>
        <v/>
      </c>
      <c r="J188" s="114" t="str">
        <f>IF(A188&lt;&gt;"",SUMIFS(deployment!$I$4:$I$502, deployment!$D$4:$D$502,"="&amp;A188, deployment!$D$4:$D$502,"&lt;&gt;"&amp;""),"")</f>
        <v/>
      </c>
      <c r="K188" s="182" t="str">
        <f>IF(A188&lt;&gt;"",SUMIFS(deployment!$J$4:$J$1002, deployment!$D$4:$D$1002,"="&amp;A188, deployment!$D$4:$D$1002,"&lt;&gt;"&amp;"", deployment!$C$4:$C$1002, "&lt;&gt;* )")+SUMIFS(namespace!$G$4:$G$1002, namespace!$B$4:$B$1002,"="&amp;A188, namespace!$B$4:$B$1002,"&lt;&gt;"&amp;""),"")</f>
        <v/>
      </c>
      <c r="L188" s="182" t="str">
        <f>IF(A188&lt;&gt;"",SUMIFS(deployment!$K$4:$K$1002, deployment!$D$4:$D$1002,"="&amp;A188, deployment!$D$4:$D$1002,"&lt;&gt;"&amp;"", deployment!$C$4:$C$1002, "&lt;&gt;* )")+SUMIFS(namespace!$H$4:$H$1002, namespace!$B$4:$B$1002,"="&amp;A188, namespace!$B$4:$B$1002,"&lt;&gt;"&amp;""),"")</f>
        <v/>
      </c>
      <c r="M188" s="115" t="str">
        <f>IF(A188&lt;&gt;"",SUMIFS(deployment!$L$4:$L$1002, deployment!$D$4:$D$1002,"="&amp;A188, deployment!$D$4:$D$1002,"&lt;&gt;"&amp;"", deployment!$C$4:$C$1002, "&lt;&gt;* )")+SUMIFS(namespace!$I$4:$I$1002, namespace!$B$4:$B$1002,"="&amp;A188, namespace!$B$4:$B$1002,"&lt;&gt;"&amp;""),"")</f>
        <v/>
      </c>
      <c r="N188" s="115" t="str">
        <f>IF(A188&lt;&gt;"",SUMIFS(deployment!$M$4:$M$1002, deployment!$D$4:$D$1002,"="&amp;A188, deployment!$D$4:$D$1002,"&lt;&gt;"&amp;"", deployment!$C$4:$C$1002, "&lt;&gt;* )")+SUMIFS(namespace!$J$4:$J$1002, namespace!$B$4:$B$1002,"="&amp;A188, namespace!$B$4:$B$1002,"&lt;&gt;"&amp;""),"")</f>
        <v/>
      </c>
      <c r="O188" s="116" t="str">
        <f t="shared" si="31"/>
        <v/>
      </c>
      <c r="P188" s="63"/>
      <c r="Q188" s="164" t="str">
        <f t="shared" si="26"/>
        <v/>
      </c>
      <c r="R188" s="60" t="str">
        <f t="shared" si="27"/>
        <v/>
      </c>
      <c r="S188" s="60" t="str">
        <f t="shared" si="28"/>
        <v/>
      </c>
      <c r="T188" s="61" t="str">
        <f t="shared" si="29"/>
        <v/>
      </c>
      <c r="U188" s="61" t="str">
        <f t="shared" si="30"/>
        <v/>
      </c>
      <c r="V188" s="183" t="str">
        <f t="shared" si="32"/>
        <v/>
      </c>
      <c r="W188" s="183" t="str">
        <f t="shared" si="33"/>
        <v/>
      </c>
      <c r="X188" s="61" t="str">
        <f t="shared" si="34"/>
        <v/>
      </c>
      <c r="Y188" s="61" t="str">
        <f t="shared" si="35"/>
        <v/>
      </c>
      <c r="Z188" s="118" t="str">
        <f t="shared" si="36"/>
        <v/>
      </c>
      <c r="AA188" s="62" t="str">
        <f t="shared" si="37"/>
        <v/>
      </c>
      <c r="AB188" s="119" t="str">
        <f>IF(A188&lt;&gt;"", IF(P188&lt;&gt;0,SUMIFS(node!$J$2:$J$1000, node!$C$2:$C$1000,"="&amp;A188)/P188,0), "")</f>
        <v/>
      </c>
      <c r="AC188" s="81" t="str">
        <f>IF(A188&lt;&gt;"", IF(P188&lt;&gt;0,SUMIFS(node!$K$2:$K$1000, node!$C$2:$C$1000,"="&amp;A188)/P188,0), "")</f>
        <v/>
      </c>
      <c r="AD188" s="82" t="str">
        <f>IF(A188&lt;&gt;"", SUMIFS(node!$L$2:$L$1000, node!$C$2:$C$1000,"="&amp;A188), "")</f>
        <v/>
      </c>
      <c r="AE188" s="87" t="str">
        <f>IF(A188&lt;&gt;"", SUMIFS(node!$M$2:$M$1000, node!$C$2:$C$1000,"="&amp;A188), "")</f>
        <v/>
      </c>
    </row>
    <row r="189" spans="1:31" ht="15.75" customHeight="1" x14ac:dyDescent="0.25">
      <c r="A189" s="71" t="str">
        <f>IF(ISNONTEXT(node_raw[[#This Row],[Column2]]), "", node_raw[[#This Row],[Column2]])</f>
        <v/>
      </c>
      <c r="B189" s="108" t="str">
        <f>IF(A189&lt;&gt;"", VLOOKUP(A189, node!$C$2:$D$1000, 2, FALSE), "")</f>
        <v/>
      </c>
      <c r="C189" s="109" t="str">
        <f>IF(A189&lt;&gt;"", VLOOKUP(A189, node!$C$2:$E$1000, 3, FALSE), "")</f>
        <v/>
      </c>
      <c r="D189" s="110" t="str">
        <f>IF(A189&lt;&gt;"",COUNTIFS(node!$C$2:$C$1000,"="&amp;A189, node!$C$2:$C$1000,"&lt;&gt;"&amp;""),"")</f>
        <v/>
      </c>
      <c r="E189" s="111" t="str">
        <f>IF(A189&lt;&gt;"",SUMIFS(node!$F$2:$F$500, node!$C$2:$C$500,"="&amp;A189, node!$C$2:$C$500,"&lt;&gt;"&amp;"")/(B189*D189),"")</f>
        <v/>
      </c>
      <c r="F189" s="112" t="str">
        <f>IF(A189&lt;&gt;"",SUMIFS(node!$H$2:$H$500, node!$C$2:$C$500,"="&amp;A189, node!$C$2:$C$500,"&lt;&gt;"&amp;"")/(C189*D189),"")</f>
        <v/>
      </c>
      <c r="G189" s="179" t="str">
        <f>IF(A189&lt;&gt;"",SUMIFS(deployment!$F$4:$F$502, deployment!$D$4:$D$502,"="&amp;A189, deployment!$D$4:$D$502,"&lt;&gt;"&amp;""),"")</f>
        <v/>
      </c>
      <c r="H189" s="181" t="str">
        <f>IF(A189&lt;&gt;"",SUMIFS(deployment!$G$4:$G$502, deployment!$D$4:$D$502,"="&amp;A189, deployment!$D$4:$D$502,"&lt;&gt;"&amp;""),"")</f>
        <v/>
      </c>
      <c r="I189" s="113" t="str">
        <f>IF(A189&lt;&gt;"",SUMIFS(deployment!$H$4:$H$502, deployment!$D$4:$D$502,"="&amp;A189, deployment!$D$4:$D$502,"&lt;&gt;"&amp;""),"")</f>
        <v/>
      </c>
      <c r="J189" s="114" t="str">
        <f>IF(A189&lt;&gt;"",SUMIFS(deployment!$I$4:$I$502, deployment!$D$4:$D$502,"="&amp;A189, deployment!$D$4:$D$502,"&lt;&gt;"&amp;""),"")</f>
        <v/>
      </c>
      <c r="K189" s="182" t="str">
        <f>IF(A189&lt;&gt;"",SUMIFS(deployment!$J$4:$J$1002, deployment!$D$4:$D$1002,"="&amp;A189, deployment!$D$4:$D$1002,"&lt;&gt;"&amp;"", deployment!$C$4:$C$1002, "&lt;&gt;* )")+SUMIFS(namespace!$G$4:$G$1002, namespace!$B$4:$B$1002,"="&amp;A189, namespace!$B$4:$B$1002,"&lt;&gt;"&amp;""),"")</f>
        <v/>
      </c>
      <c r="L189" s="182" t="str">
        <f>IF(A189&lt;&gt;"",SUMIFS(deployment!$K$4:$K$1002, deployment!$D$4:$D$1002,"="&amp;A189, deployment!$D$4:$D$1002,"&lt;&gt;"&amp;"", deployment!$C$4:$C$1002, "&lt;&gt;* )")+SUMIFS(namespace!$H$4:$H$1002, namespace!$B$4:$B$1002,"="&amp;A189, namespace!$B$4:$B$1002,"&lt;&gt;"&amp;""),"")</f>
        <v/>
      </c>
      <c r="M189" s="115" t="str">
        <f>IF(A189&lt;&gt;"",SUMIFS(deployment!$L$4:$L$1002, deployment!$D$4:$D$1002,"="&amp;A189, deployment!$D$4:$D$1002,"&lt;&gt;"&amp;"", deployment!$C$4:$C$1002, "&lt;&gt;* )")+SUMIFS(namespace!$I$4:$I$1002, namespace!$B$4:$B$1002,"="&amp;A189, namespace!$B$4:$B$1002,"&lt;&gt;"&amp;""),"")</f>
        <v/>
      </c>
      <c r="N189" s="115" t="str">
        <f>IF(A189&lt;&gt;"",SUMIFS(deployment!$M$4:$M$1002, deployment!$D$4:$D$1002,"="&amp;A189, deployment!$D$4:$D$1002,"&lt;&gt;"&amp;"", deployment!$C$4:$C$1002, "&lt;&gt;* )")+SUMIFS(namespace!$J$4:$J$1002, namespace!$B$4:$B$1002,"="&amp;A189, namespace!$B$4:$B$1002,"&lt;&gt;"&amp;""),"")</f>
        <v/>
      </c>
      <c r="O189" s="116" t="str">
        <f t="shared" si="31"/>
        <v/>
      </c>
      <c r="P189" s="63"/>
      <c r="Q189" s="164" t="str">
        <f t="shared" si="26"/>
        <v/>
      </c>
      <c r="R189" s="60" t="str">
        <f t="shared" si="27"/>
        <v/>
      </c>
      <c r="S189" s="60" t="str">
        <f t="shared" si="28"/>
        <v/>
      </c>
      <c r="T189" s="61" t="str">
        <f t="shared" si="29"/>
        <v/>
      </c>
      <c r="U189" s="61" t="str">
        <f t="shared" si="30"/>
        <v/>
      </c>
      <c r="V189" s="183" t="str">
        <f t="shared" si="32"/>
        <v/>
      </c>
      <c r="W189" s="183" t="str">
        <f t="shared" si="33"/>
        <v/>
      </c>
      <c r="X189" s="61" t="str">
        <f t="shared" si="34"/>
        <v/>
      </c>
      <c r="Y189" s="61" t="str">
        <f t="shared" si="35"/>
        <v/>
      </c>
      <c r="Z189" s="118" t="str">
        <f t="shared" si="36"/>
        <v/>
      </c>
      <c r="AA189" s="62" t="str">
        <f t="shared" si="37"/>
        <v/>
      </c>
      <c r="AB189" s="119" t="str">
        <f>IF(A189&lt;&gt;"", IF(P189&lt;&gt;0,SUMIFS(node!$J$2:$J$1000, node!$C$2:$C$1000,"="&amp;A189)/P189,0), "")</f>
        <v/>
      </c>
      <c r="AC189" s="81" t="str">
        <f>IF(A189&lt;&gt;"", IF(P189&lt;&gt;0,SUMIFS(node!$K$2:$K$1000, node!$C$2:$C$1000,"="&amp;A189)/P189,0), "")</f>
        <v/>
      </c>
      <c r="AD189" s="82" t="str">
        <f>IF(A189&lt;&gt;"", SUMIFS(node!$L$2:$L$1000, node!$C$2:$C$1000,"="&amp;A189), "")</f>
        <v/>
      </c>
      <c r="AE189" s="87" t="str">
        <f>IF(A189&lt;&gt;"", SUMIFS(node!$M$2:$M$1000, node!$C$2:$C$1000,"="&amp;A189), "")</f>
        <v/>
      </c>
    </row>
    <row r="190" spans="1:31" ht="15.75" customHeight="1" x14ac:dyDescent="0.25">
      <c r="A190" s="71" t="str">
        <f>IF(ISNONTEXT(node_raw[[#This Row],[Column2]]), "", node_raw[[#This Row],[Column2]])</f>
        <v/>
      </c>
      <c r="B190" s="108" t="str">
        <f>IF(A190&lt;&gt;"", VLOOKUP(A190, node!$C$2:$D$1000, 2, FALSE), "")</f>
        <v/>
      </c>
      <c r="C190" s="109" t="str">
        <f>IF(A190&lt;&gt;"", VLOOKUP(A190, node!$C$2:$E$1000, 3, FALSE), "")</f>
        <v/>
      </c>
      <c r="D190" s="110" t="str">
        <f>IF(A190&lt;&gt;"",COUNTIFS(node!$C$2:$C$1000,"="&amp;A190, node!$C$2:$C$1000,"&lt;&gt;"&amp;""),"")</f>
        <v/>
      </c>
      <c r="E190" s="111" t="str">
        <f>IF(A190&lt;&gt;"",SUMIFS(node!$F$2:$F$500, node!$C$2:$C$500,"="&amp;A190, node!$C$2:$C$500,"&lt;&gt;"&amp;"")/(B190*D190),"")</f>
        <v/>
      </c>
      <c r="F190" s="112" t="str">
        <f>IF(A190&lt;&gt;"",SUMIFS(node!$H$2:$H$500, node!$C$2:$C$500,"="&amp;A190, node!$C$2:$C$500,"&lt;&gt;"&amp;"")/(C190*D190),"")</f>
        <v/>
      </c>
      <c r="G190" s="179" t="str">
        <f>IF(A190&lt;&gt;"",SUMIFS(deployment!$F$4:$F$502, deployment!$D$4:$D$502,"="&amp;A190, deployment!$D$4:$D$502,"&lt;&gt;"&amp;""),"")</f>
        <v/>
      </c>
      <c r="H190" s="181" t="str">
        <f>IF(A190&lt;&gt;"",SUMIFS(deployment!$G$4:$G$502, deployment!$D$4:$D$502,"="&amp;A190, deployment!$D$4:$D$502,"&lt;&gt;"&amp;""),"")</f>
        <v/>
      </c>
      <c r="I190" s="113" t="str">
        <f>IF(A190&lt;&gt;"",SUMIFS(deployment!$H$4:$H$502, deployment!$D$4:$D$502,"="&amp;A190, deployment!$D$4:$D$502,"&lt;&gt;"&amp;""),"")</f>
        <v/>
      </c>
      <c r="J190" s="114" t="str">
        <f>IF(A190&lt;&gt;"",SUMIFS(deployment!$I$4:$I$502, deployment!$D$4:$D$502,"="&amp;A190, deployment!$D$4:$D$502,"&lt;&gt;"&amp;""),"")</f>
        <v/>
      </c>
      <c r="K190" s="182" t="str">
        <f>IF(A190&lt;&gt;"",SUMIFS(deployment!$J$4:$J$1002, deployment!$D$4:$D$1002,"="&amp;A190, deployment!$D$4:$D$1002,"&lt;&gt;"&amp;"", deployment!$C$4:$C$1002, "&lt;&gt;* )")+SUMIFS(namespace!$G$4:$G$1002, namespace!$B$4:$B$1002,"="&amp;A190, namespace!$B$4:$B$1002,"&lt;&gt;"&amp;""),"")</f>
        <v/>
      </c>
      <c r="L190" s="182" t="str">
        <f>IF(A190&lt;&gt;"",SUMIFS(deployment!$K$4:$K$1002, deployment!$D$4:$D$1002,"="&amp;A190, deployment!$D$4:$D$1002,"&lt;&gt;"&amp;"", deployment!$C$4:$C$1002, "&lt;&gt;* )")+SUMIFS(namespace!$H$4:$H$1002, namespace!$B$4:$B$1002,"="&amp;A190, namespace!$B$4:$B$1002,"&lt;&gt;"&amp;""),"")</f>
        <v/>
      </c>
      <c r="M190" s="115" t="str">
        <f>IF(A190&lt;&gt;"",SUMIFS(deployment!$L$4:$L$1002, deployment!$D$4:$D$1002,"="&amp;A190, deployment!$D$4:$D$1002,"&lt;&gt;"&amp;"", deployment!$C$4:$C$1002, "&lt;&gt;* )")+SUMIFS(namespace!$I$4:$I$1002, namespace!$B$4:$B$1002,"="&amp;A190, namespace!$B$4:$B$1002,"&lt;&gt;"&amp;""),"")</f>
        <v/>
      </c>
      <c r="N190" s="115" t="str">
        <f>IF(A190&lt;&gt;"",SUMIFS(deployment!$M$4:$M$1002, deployment!$D$4:$D$1002,"="&amp;A190, deployment!$D$4:$D$1002,"&lt;&gt;"&amp;"", deployment!$C$4:$C$1002, "&lt;&gt;* )")+SUMIFS(namespace!$J$4:$J$1002, namespace!$B$4:$B$1002,"="&amp;A190, namespace!$B$4:$B$1002,"&lt;&gt;"&amp;""),"")</f>
        <v/>
      </c>
      <c r="O190" s="116" t="str">
        <f t="shared" si="31"/>
        <v/>
      </c>
      <c r="P190" s="63"/>
      <c r="Q190" s="164" t="str">
        <f t="shared" si="26"/>
        <v/>
      </c>
      <c r="R190" s="60" t="str">
        <f t="shared" si="27"/>
        <v/>
      </c>
      <c r="S190" s="60" t="str">
        <f t="shared" si="28"/>
        <v/>
      </c>
      <c r="T190" s="61" t="str">
        <f t="shared" si="29"/>
        <v/>
      </c>
      <c r="U190" s="61" t="str">
        <f t="shared" si="30"/>
        <v/>
      </c>
      <c r="V190" s="183" t="str">
        <f t="shared" si="32"/>
        <v/>
      </c>
      <c r="W190" s="183" t="str">
        <f t="shared" si="33"/>
        <v/>
      </c>
      <c r="X190" s="61" t="str">
        <f t="shared" si="34"/>
        <v/>
      </c>
      <c r="Y190" s="61" t="str">
        <f t="shared" si="35"/>
        <v/>
      </c>
      <c r="Z190" s="118" t="str">
        <f t="shared" si="36"/>
        <v/>
      </c>
      <c r="AA190" s="62" t="str">
        <f t="shared" si="37"/>
        <v/>
      </c>
      <c r="AB190" s="119" t="str">
        <f>IF(A190&lt;&gt;"", IF(P190&lt;&gt;0,SUMIFS(node!$J$2:$J$1000, node!$C$2:$C$1000,"="&amp;A190)/P190,0), "")</f>
        <v/>
      </c>
      <c r="AC190" s="81" t="str">
        <f>IF(A190&lt;&gt;"", IF(P190&lt;&gt;0,SUMIFS(node!$K$2:$K$1000, node!$C$2:$C$1000,"="&amp;A190)/P190,0), "")</f>
        <v/>
      </c>
      <c r="AD190" s="82" t="str">
        <f>IF(A190&lt;&gt;"", SUMIFS(node!$L$2:$L$1000, node!$C$2:$C$1000,"="&amp;A190), "")</f>
        <v/>
      </c>
      <c r="AE190" s="87" t="str">
        <f>IF(A190&lt;&gt;"", SUMIFS(node!$M$2:$M$1000, node!$C$2:$C$1000,"="&amp;A190), "")</f>
        <v/>
      </c>
    </row>
    <row r="191" spans="1:31" ht="15.75" customHeight="1" x14ac:dyDescent="0.25">
      <c r="A191" s="71" t="str">
        <f>IF(ISNONTEXT(node_raw[[#This Row],[Column2]]), "", node_raw[[#This Row],[Column2]])</f>
        <v/>
      </c>
      <c r="B191" s="108" t="str">
        <f>IF(A191&lt;&gt;"", VLOOKUP(A191, node!$C$2:$D$1000, 2, FALSE), "")</f>
        <v/>
      </c>
      <c r="C191" s="109" t="str">
        <f>IF(A191&lt;&gt;"", VLOOKUP(A191, node!$C$2:$E$1000, 3, FALSE), "")</f>
        <v/>
      </c>
      <c r="D191" s="110" t="str">
        <f>IF(A191&lt;&gt;"",COUNTIFS(node!$C$2:$C$1000,"="&amp;A191, node!$C$2:$C$1000,"&lt;&gt;"&amp;""),"")</f>
        <v/>
      </c>
      <c r="E191" s="111" t="str">
        <f>IF(A191&lt;&gt;"",SUMIFS(node!$F$2:$F$500, node!$C$2:$C$500,"="&amp;A191, node!$C$2:$C$500,"&lt;&gt;"&amp;"")/(B191*D191),"")</f>
        <v/>
      </c>
      <c r="F191" s="112" t="str">
        <f>IF(A191&lt;&gt;"",SUMIFS(node!$H$2:$H$500, node!$C$2:$C$500,"="&amp;A191, node!$C$2:$C$500,"&lt;&gt;"&amp;"")/(C191*D191),"")</f>
        <v/>
      </c>
      <c r="G191" s="179" t="str">
        <f>IF(A191&lt;&gt;"",SUMIFS(deployment!$F$4:$F$502, deployment!$D$4:$D$502,"="&amp;A191, deployment!$D$4:$D$502,"&lt;&gt;"&amp;""),"")</f>
        <v/>
      </c>
      <c r="H191" s="181" t="str">
        <f>IF(A191&lt;&gt;"",SUMIFS(deployment!$G$4:$G$502, deployment!$D$4:$D$502,"="&amp;A191, deployment!$D$4:$D$502,"&lt;&gt;"&amp;""),"")</f>
        <v/>
      </c>
      <c r="I191" s="113" t="str">
        <f>IF(A191&lt;&gt;"",SUMIFS(deployment!$H$4:$H$502, deployment!$D$4:$D$502,"="&amp;A191, deployment!$D$4:$D$502,"&lt;&gt;"&amp;""),"")</f>
        <v/>
      </c>
      <c r="J191" s="114" t="str">
        <f>IF(A191&lt;&gt;"",SUMIFS(deployment!$I$4:$I$502, deployment!$D$4:$D$502,"="&amp;A191, deployment!$D$4:$D$502,"&lt;&gt;"&amp;""),"")</f>
        <v/>
      </c>
      <c r="K191" s="182" t="str">
        <f>IF(A191&lt;&gt;"",SUMIFS(deployment!$J$4:$J$1002, deployment!$D$4:$D$1002,"="&amp;A191, deployment!$D$4:$D$1002,"&lt;&gt;"&amp;"", deployment!$C$4:$C$1002, "&lt;&gt;* )")+SUMIFS(namespace!$G$4:$G$1002, namespace!$B$4:$B$1002,"="&amp;A191, namespace!$B$4:$B$1002,"&lt;&gt;"&amp;""),"")</f>
        <v/>
      </c>
      <c r="L191" s="182" t="str">
        <f>IF(A191&lt;&gt;"",SUMIFS(deployment!$K$4:$K$1002, deployment!$D$4:$D$1002,"="&amp;A191, deployment!$D$4:$D$1002,"&lt;&gt;"&amp;"", deployment!$C$4:$C$1002, "&lt;&gt;* )")+SUMIFS(namespace!$H$4:$H$1002, namespace!$B$4:$B$1002,"="&amp;A191, namespace!$B$4:$B$1002,"&lt;&gt;"&amp;""),"")</f>
        <v/>
      </c>
      <c r="M191" s="115" t="str">
        <f>IF(A191&lt;&gt;"",SUMIFS(deployment!$L$4:$L$1002, deployment!$D$4:$D$1002,"="&amp;A191, deployment!$D$4:$D$1002,"&lt;&gt;"&amp;"", deployment!$C$4:$C$1002, "&lt;&gt;* )")+SUMIFS(namespace!$I$4:$I$1002, namespace!$B$4:$B$1002,"="&amp;A191, namespace!$B$4:$B$1002,"&lt;&gt;"&amp;""),"")</f>
        <v/>
      </c>
      <c r="N191" s="115" t="str">
        <f>IF(A191&lt;&gt;"",SUMIFS(deployment!$M$4:$M$1002, deployment!$D$4:$D$1002,"="&amp;A191, deployment!$D$4:$D$1002,"&lt;&gt;"&amp;"", deployment!$C$4:$C$1002, "&lt;&gt;* )")+SUMIFS(namespace!$J$4:$J$1002, namespace!$B$4:$B$1002,"="&amp;A191, namespace!$B$4:$B$1002,"&lt;&gt;"&amp;""),"")</f>
        <v/>
      </c>
      <c r="O191" s="116" t="str">
        <f t="shared" si="31"/>
        <v/>
      </c>
      <c r="P191" s="63"/>
      <c r="Q191" s="164" t="str">
        <f t="shared" si="26"/>
        <v/>
      </c>
      <c r="R191" s="60" t="str">
        <f t="shared" si="27"/>
        <v/>
      </c>
      <c r="S191" s="60" t="str">
        <f t="shared" si="28"/>
        <v/>
      </c>
      <c r="T191" s="61" t="str">
        <f t="shared" si="29"/>
        <v/>
      </c>
      <c r="U191" s="61" t="str">
        <f t="shared" si="30"/>
        <v/>
      </c>
      <c r="V191" s="183" t="str">
        <f t="shared" si="32"/>
        <v/>
      </c>
      <c r="W191" s="183" t="str">
        <f t="shared" si="33"/>
        <v/>
      </c>
      <c r="X191" s="61" t="str">
        <f t="shared" si="34"/>
        <v/>
      </c>
      <c r="Y191" s="61" t="str">
        <f t="shared" si="35"/>
        <v/>
      </c>
      <c r="Z191" s="118" t="str">
        <f t="shared" si="36"/>
        <v/>
      </c>
      <c r="AA191" s="62" t="str">
        <f t="shared" si="37"/>
        <v/>
      </c>
      <c r="AB191" s="119" t="str">
        <f>IF(A191&lt;&gt;"", IF(P191&lt;&gt;0,SUMIFS(node!$J$2:$J$1000, node!$C$2:$C$1000,"="&amp;A191)/P191,0), "")</f>
        <v/>
      </c>
      <c r="AC191" s="81" t="str">
        <f>IF(A191&lt;&gt;"", IF(P191&lt;&gt;0,SUMIFS(node!$K$2:$K$1000, node!$C$2:$C$1000,"="&amp;A191)/P191,0), "")</f>
        <v/>
      </c>
      <c r="AD191" s="82" t="str">
        <f>IF(A191&lt;&gt;"", SUMIFS(node!$L$2:$L$1000, node!$C$2:$C$1000,"="&amp;A191), "")</f>
        <v/>
      </c>
      <c r="AE191" s="87" t="str">
        <f>IF(A191&lt;&gt;"", SUMIFS(node!$M$2:$M$1000, node!$C$2:$C$1000,"="&amp;A191), "")</f>
        <v/>
      </c>
    </row>
    <row r="192" spans="1:31" ht="15.75" customHeight="1" x14ac:dyDescent="0.25">
      <c r="A192" s="71" t="str">
        <f>IF(ISNONTEXT(node_raw[[#This Row],[Column2]]), "", node_raw[[#This Row],[Column2]])</f>
        <v/>
      </c>
      <c r="B192" s="108" t="str">
        <f>IF(A192&lt;&gt;"", VLOOKUP(A192, node!$C$2:$D$1000, 2, FALSE), "")</f>
        <v/>
      </c>
      <c r="C192" s="109" t="str">
        <f>IF(A192&lt;&gt;"", VLOOKUP(A192, node!$C$2:$E$1000, 3, FALSE), "")</f>
        <v/>
      </c>
      <c r="D192" s="110" t="str">
        <f>IF(A192&lt;&gt;"",COUNTIFS(node!$C$2:$C$1000,"="&amp;A192, node!$C$2:$C$1000,"&lt;&gt;"&amp;""),"")</f>
        <v/>
      </c>
      <c r="E192" s="111" t="str">
        <f>IF(A192&lt;&gt;"",SUMIFS(node!$F$2:$F$500, node!$C$2:$C$500,"="&amp;A192, node!$C$2:$C$500,"&lt;&gt;"&amp;"")/(B192*D192),"")</f>
        <v/>
      </c>
      <c r="F192" s="112" t="str">
        <f>IF(A192&lt;&gt;"",SUMIFS(node!$H$2:$H$500, node!$C$2:$C$500,"="&amp;A192, node!$C$2:$C$500,"&lt;&gt;"&amp;"")/(C192*D192),"")</f>
        <v/>
      </c>
      <c r="G192" s="179" t="str">
        <f>IF(A192&lt;&gt;"",SUMIFS(deployment!$F$4:$F$502, deployment!$D$4:$D$502,"="&amp;A192, deployment!$D$4:$D$502,"&lt;&gt;"&amp;""),"")</f>
        <v/>
      </c>
      <c r="H192" s="181" t="str">
        <f>IF(A192&lt;&gt;"",SUMIFS(deployment!$G$4:$G$502, deployment!$D$4:$D$502,"="&amp;A192, deployment!$D$4:$D$502,"&lt;&gt;"&amp;""),"")</f>
        <v/>
      </c>
      <c r="I192" s="113" t="str">
        <f>IF(A192&lt;&gt;"",SUMIFS(deployment!$H$4:$H$502, deployment!$D$4:$D$502,"="&amp;A192, deployment!$D$4:$D$502,"&lt;&gt;"&amp;""),"")</f>
        <v/>
      </c>
      <c r="J192" s="114" t="str">
        <f>IF(A192&lt;&gt;"",SUMIFS(deployment!$I$4:$I$502, deployment!$D$4:$D$502,"="&amp;A192, deployment!$D$4:$D$502,"&lt;&gt;"&amp;""),"")</f>
        <v/>
      </c>
      <c r="K192" s="182" t="str">
        <f>IF(A192&lt;&gt;"",SUMIFS(deployment!$J$4:$J$1002, deployment!$D$4:$D$1002,"="&amp;A192, deployment!$D$4:$D$1002,"&lt;&gt;"&amp;"", deployment!$C$4:$C$1002, "&lt;&gt;* )")+SUMIFS(namespace!$G$4:$G$1002, namespace!$B$4:$B$1002,"="&amp;A192, namespace!$B$4:$B$1002,"&lt;&gt;"&amp;""),"")</f>
        <v/>
      </c>
      <c r="L192" s="182" t="str">
        <f>IF(A192&lt;&gt;"",SUMIFS(deployment!$K$4:$K$1002, deployment!$D$4:$D$1002,"="&amp;A192, deployment!$D$4:$D$1002,"&lt;&gt;"&amp;"", deployment!$C$4:$C$1002, "&lt;&gt;* )")+SUMIFS(namespace!$H$4:$H$1002, namespace!$B$4:$B$1002,"="&amp;A192, namespace!$B$4:$B$1002,"&lt;&gt;"&amp;""),"")</f>
        <v/>
      </c>
      <c r="M192" s="115" t="str">
        <f>IF(A192&lt;&gt;"",SUMIFS(deployment!$L$4:$L$1002, deployment!$D$4:$D$1002,"="&amp;A192, deployment!$D$4:$D$1002,"&lt;&gt;"&amp;"", deployment!$C$4:$C$1002, "&lt;&gt;* )")+SUMIFS(namespace!$I$4:$I$1002, namespace!$B$4:$B$1002,"="&amp;A192, namespace!$B$4:$B$1002,"&lt;&gt;"&amp;""),"")</f>
        <v/>
      </c>
      <c r="N192" s="115" t="str">
        <f>IF(A192&lt;&gt;"",SUMIFS(deployment!$M$4:$M$1002, deployment!$D$4:$D$1002,"="&amp;A192, deployment!$D$4:$D$1002,"&lt;&gt;"&amp;"", deployment!$C$4:$C$1002, "&lt;&gt;* )")+SUMIFS(namespace!$J$4:$J$1002, namespace!$B$4:$B$1002,"="&amp;A192, namespace!$B$4:$B$1002,"&lt;&gt;"&amp;""),"")</f>
        <v/>
      </c>
      <c r="O192" s="116" t="str">
        <f t="shared" si="31"/>
        <v/>
      </c>
      <c r="P192" s="63"/>
      <c r="Q192" s="164" t="str">
        <f t="shared" si="26"/>
        <v/>
      </c>
      <c r="R192" s="60" t="str">
        <f t="shared" si="27"/>
        <v/>
      </c>
      <c r="S192" s="60" t="str">
        <f t="shared" si="28"/>
        <v/>
      </c>
      <c r="T192" s="61" t="str">
        <f t="shared" si="29"/>
        <v/>
      </c>
      <c r="U192" s="61" t="str">
        <f t="shared" si="30"/>
        <v/>
      </c>
      <c r="V192" s="183" t="str">
        <f t="shared" si="32"/>
        <v/>
      </c>
      <c r="W192" s="183" t="str">
        <f t="shared" si="33"/>
        <v/>
      </c>
      <c r="X192" s="61" t="str">
        <f t="shared" si="34"/>
        <v/>
      </c>
      <c r="Y192" s="61" t="str">
        <f t="shared" si="35"/>
        <v/>
      </c>
      <c r="Z192" s="118" t="str">
        <f t="shared" si="36"/>
        <v/>
      </c>
      <c r="AA192" s="62" t="str">
        <f t="shared" si="37"/>
        <v/>
      </c>
      <c r="AB192" s="119" t="str">
        <f>IF(A192&lt;&gt;"", IF(P192&lt;&gt;0,SUMIFS(node!$J$2:$J$1000, node!$C$2:$C$1000,"="&amp;A192)/P192,0), "")</f>
        <v/>
      </c>
      <c r="AC192" s="81" t="str">
        <f>IF(A192&lt;&gt;"", IF(P192&lt;&gt;0,SUMIFS(node!$K$2:$K$1000, node!$C$2:$C$1000,"="&amp;A192)/P192,0), "")</f>
        <v/>
      </c>
      <c r="AD192" s="82" t="str">
        <f>IF(A192&lt;&gt;"", SUMIFS(node!$L$2:$L$1000, node!$C$2:$C$1000,"="&amp;A192), "")</f>
        <v/>
      </c>
      <c r="AE192" s="87" t="str">
        <f>IF(A192&lt;&gt;"", SUMIFS(node!$M$2:$M$1000, node!$C$2:$C$1000,"="&amp;A192), "")</f>
        <v/>
      </c>
    </row>
    <row r="193" spans="1:31" ht="15.75" customHeight="1" x14ac:dyDescent="0.25">
      <c r="A193" s="71" t="str">
        <f>IF(ISNONTEXT(node_raw[[#This Row],[Column2]]), "", node_raw[[#This Row],[Column2]])</f>
        <v/>
      </c>
      <c r="B193" s="108" t="str">
        <f>IF(A193&lt;&gt;"", VLOOKUP(A193, node!$C$2:$D$1000, 2, FALSE), "")</f>
        <v/>
      </c>
      <c r="C193" s="109" t="str">
        <f>IF(A193&lt;&gt;"", VLOOKUP(A193, node!$C$2:$E$1000, 3, FALSE), "")</f>
        <v/>
      </c>
      <c r="D193" s="110" t="str">
        <f>IF(A193&lt;&gt;"",COUNTIFS(node!$C$2:$C$1000,"="&amp;A193, node!$C$2:$C$1000,"&lt;&gt;"&amp;""),"")</f>
        <v/>
      </c>
      <c r="E193" s="111" t="str">
        <f>IF(A193&lt;&gt;"",SUMIFS(node!$F$2:$F$500, node!$C$2:$C$500,"="&amp;A193, node!$C$2:$C$500,"&lt;&gt;"&amp;"")/(B193*D193),"")</f>
        <v/>
      </c>
      <c r="F193" s="112" t="str">
        <f>IF(A193&lt;&gt;"",SUMIFS(node!$H$2:$H$500, node!$C$2:$C$500,"="&amp;A193, node!$C$2:$C$500,"&lt;&gt;"&amp;"")/(C193*D193),"")</f>
        <v/>
      </c>
      <c r="G193" s="179" t="str">
        <f>IF(A193&lt;&gt;"",SUMIFS(deployment!$F$4:$F$502, deployment!$D$4:$D$502,"="&amp;A193, deployment!$D$4:$D$502,"&lt;&gt;"&amp;""),"")</f>
        <v/>
      </c>
      <c r="H193" s="181" t="str">
        <f>IF(A193&lt;&gt;"",SUMIFS(deployment!$G$4:$G$502, deployment!$D$4:$D$502,"="&amp;A193, deployment!$D$4:$D$502,"&lt;&gt;"&amp;""),"")</f>
        <v/>
      </c>
      <c r="I193" s="113" t="str">
        <f>IF(A193&lt;&gt;"",SUMIFS(deployment!$H$4:$H$502, deployment!$D$4:$D$502,"="&amp;A193, deployment!$D$4:$D$502,"&lt;&gt;"&amp;""),"")</f>
        <v/>
      </c>
      <c r="J193" s="114" t="str">
        <f>IF(A193&lt;&gt;"",SUMIFS(deployment!$I$4:$I$502, deployment!$D$4:$D$502,"="&amp;A193, deployment!$D$4:$D$502,"&lt;&gt;"&amp;""),"")</f>
        <v/>
      </c>
      <c r="K193" s="182" t="str">
        <f>IF(A193&lt;&gt;"",SUMIFS(deployment!$J$4:$J$1002, deployment!$D$4:$D$1002,"="&amp;A193, deployment!$D$4:$D$1002,"&lt;&gt;"&amp;"", deployment!$C$4:$C$1002, "&lt;&gt;* )")+SUMIFS(namespace!$G$4:$G$1002, namespace!$B$4:$B$1002,"="&amp;A193, namespace!$B$4:$B$1002,"&lt;&gt;"&amp;""),"")</f>
        <v/>
      </c>
      <c r="L193" s="182" t="str">
        <f>IF(A193&lt;&gt;"",SUMIFS(deployment!$K$4:$K$1002, deployment!$D$4:$D$1002,"="&amp;A193, deployment!$D$4:$D$1002,"&lt;&gt;"&amp;"", deployment!$C$4:$C$1002, "&lt;&gt;* )")+SUMIFS(namespace!$H$4:$H$1002, namespace!$B$4:$B$1002,"="&amp;A193, namespace!$B$4:$B$1002,"&lt;&gt;"&amp;""),"")</f>
        <v/>
      </c>
      <c r="M193" s="115" t="str">
        <f>IF(A193&lt;&gt;"",SUMIFS(deployment!$L$4:$L$1002, deployment!$D$4:$D$1002,"="&amp;A193, deployment!$D$4:$D$1002,"&lt;&gt;"&amp;"", deployment!$C$4:$C$1002, "&lt;&gt;* )")+SUMIFS(namespace!$I$4:$I$1002, namespace!$B$4:$B$1002,"="&amp;A193, namespace!$B$4:$B$1002,"&lt;&gt;"&amp;""),"")</f>
        <v/>
      </c>
      <c r="N193" s="115" t="str">
        <f>IF(A193&lt;&gt;"",SUMIFS(deployment!$M$4:$M$1002, deployment!$D$4:$D$1002,"="&amp;A193, deployment!$D$4:$D$1002,"&lt;&gt;"&amp;"", deployment!$C$4:$C$1002, "&lt;&gt;* )")+SUMIFS(namespace!$J$4:$J$1002, namespace!$B$4:$B$1002,"="&amp;A193, namespace!$B$4:$B$1002,"&lt;&gt;"&amp;""),"")</f>
        <v/>
      </c>
      <c r="O193" s="116" t="str">
        <f t="shared" si="31"/>
        <v/>
      </c>
      <c r="P193" s="63"/>
      <c r="Q193" s="164" t="str">
        <f t="shared" si="26"/>
        <v/>
      </c>
      <c r="R193" s="60" t="str">
        <f t="shared" si="27"/>
        <v/>
      </c>
      <c r="S193" s="60" t="str">
        <f t="shared" si="28"/>
        <v/>
      </c>
      <c r="T193" s="61" t="str">
        <f t="shared" si="29"/>
        <v/>
      </c>
      <c r="U193" s="61" t="str">
        <f t="shared" si="30"/>
        <v/>
      </c>
      <c r="V193" s="183" t="str">
        <f t="shared" si="32"/>
        <v/>
      </c>
      <c r="W193" s="183" t="str">
        <f t="shared" si="33"/>
        <v/>
      </c>
      <c r="X193" s="61" t="str">
        <f t="shared" si="34"/>
        <v/>
      </c>
      <c r="Y193" s="61" t="str">
        <f t="shared" si="35"/>
        <v/>
      </c>
      <c r="Z193" s="118" t="str">
        <f t="shared" si="36"/>
        <v/>
      </c>
      <c r="AA193" s="62" t="str">
        <f t="shared" si="37"/>
        <v/>
      </c>
      <c r="AB193" s="119" t="str">
        <f>IF(A193&lt;&gt;"", IF(P193&lt;&gt;0,SUMIFS(node!$J$2:$J$1000, node!$C$2:$C$1000,"="&amp;A193)/P193,0), "")</f>
        <v/>
      </c>
      <c r="AC193" s="81" t="str">
        <f>IF(A193&lt;&gt;"", IF(P193&lt;&gt;0,SUMIFS(node!$K$2:$K$1000, node!$C$2:$C$1000,"="&amp;A193)/P193,0), "")</f>
        <v/>
      </c>
      <c r="AD193" s="82" t="str">
        <f>IF(A193&lt;&gt;"", SUMIFS(node!$L$2:$L$1000, node!$C$2:$C$1000,"="&amp;A193), "")</f>
        <v/>
      </c>
      <c r="AE193" s="87" t="str">
        <f>IF(A193&lt;&gt;"", SUMIFS(node!$M$2:$M$1000, node!$C$2:$C$1000,"="&amp;A193), "")</f>
        <v/>
      </c>
    </row>
    <row r="194" spans="1:31" ht="15.75" customHeight="1" x14ac:dyDescent="0.25">
      <c r="A194" s="71" t="str">
        <f>IF(ISNONTEXT(node_raw[[#This Row],[Column2]]), "", node_raw[[#This Row],[Column2]])</f>
        <v/>
      </c>
      <c r="B194" s="108" t="str">
        <f>IF(A194&lt;&gt;"", VLOOKUP(A194, node!$C$2:$D$1000, 2, FALSE), "")</f>
        <v/>
      </c>
      <c r="C194" s="109" t="str">
        <f>IF(A194&lt;&gt;"", VLOOKUP(A194, node!$C$2:$E$1000, 3, FALSE), "")</f>
        <v/>
      </c>
      <c r="D194" s="110" t="str">
        <f>IF(A194&lt;&gt;"",COUNTIFS(node!$C$2:$C$1000,"="&amp;A194, node!$C$2:$C$1000,"&lt;&gt;"&amp;""),"")</f>
        <v/>
      </c>
      <c r="E194" s="111" t="str">
        <f>IF(A194&lt;&gt;"",SUMIFS(node!$F$2:$F$500, node!$C$2:$C$500,"="&amp;A194, node!$C$2:$C$500,"&lt;&gt;"&amp;"")/(B194*D194),"")</f>
        <v/>
      </c>
      <c r="F194" s="112" t="str">
        <f>IF(A194&lt;&gt;"",SUMIFS(node!$H$2:$H$500, node!$C$2:$C$500,"="&amp;A194, node!$C$2:$C$500,"&lt;&gt;"&amp;"")/(C194*D194),"")</f>
        <v/>
      </c>
      <c r="G194" s="179" t="str">
        <f>IF(A194&lt;&gt;"",SUMIFS(deployment!$F$4:$F$502, deployment!$D$4:$D$502,"="&amp;A194, deployment!$D$4:$D$502,"&lt;&gt;"&amp;""),"")</f>
        <v/>
      </c>
      <c r="H194" s="181" t="str">
        <f>IF(A194&lt;&gt;"",SUMIFS(deployment!$G$4:$G$502, deployment!$D$4:$D$502,"="&amp;A194, deployment!$D$4:$D$502,"&lt;&gt;"&amp;""),"")</f>
        <v/>
      </c>
      <c r="I194" s="113" t="str">
        <f>IF(A194&lt;&gt;"",SUMIFS(deployment!$H$4:$H$502, deployment!$D$4:$D$502,"="&amp;A194, deployment!$D$4:$D$502,"&lt;&gt;"&amp;""),"")</f>
        <v/>
      </c>
      <c r="J194" s="114" t="str">
        <f>IF(A194&lt;&gt;"",SUMIFS(deployment!$I$4:$I$502, deployment!$D$4:$D$502,"="&amp;A194, deployment!$D$4:$D$502,"&lt;&gt;"&amp;""),"")</f>
        <v/>
      </c>
      <c r="K194" s="182" t="str">
        <f>IF(A194&lt;&gt;"",SUMIFS(deployment!$J$4:$J$1002, deployment!$D$4:$D$1002,"="&amp;A194, deployment!$D$4:$D$1002,"&lt;&gt;"&amp;"", deployment!$C$4:$C$1002, "&lt;&gt;* )")+SUMIFS(namespace!$G$4:$G$1002, namespace!$B$4:$B$1002,"="&amp;A194, namespace!$B$4:$B$1002,"&lt;&gt;"&amp;""),"")</f>
        <v/>
      </c>
      <c r="L194" s="182" t="str">
        <f>IF(A194&lt;&gt;"",SUMIFS(deployment!$K$4:$K$1002, deployment!$D$4:$D$1002,"="&amp;A194, deployment!$D$4:$D$1002,"&lt;&gt;"&amp;"", deployment!$C$4:$C$1002, "&lt;&gt;* )")+SUMIFS(namespace!$H$4:$H$1002, namespace!$B$4:$B$1002,"="&amp;A194, namespace!$B$4:$B$1002,"&lt;&gt;"&amp;""),"")</f>
        <v/>
      </c>
      <c r="M194" s="115" t="str">
        <f>IF(A194&lt;&gt;"",SUMIFS(deployment!$L$4:$L$1002, deployment!$D$4:$D$1002,"="&amp;A194, deployment!$D$4:$D$1002,"&lt;&gt;"&amp;"", deployment!$C$4:$C$1002, "&lt;&gt;* )")+SUMIFS(namespace!$I$4:$I$1002, namespace!$B$4:$B$1002,"="&amp;A194, namespace!$B$4:$B$1002,"&lt;&gt;"&amp;""),"")</f>
        <v/>
      </c>
      <c r="N194" s="115" t="str">
        <f>IF(A194&lt;&gt;"",SUMIFS(deployment!$M$4:$M$1002, deployment!$D$4:$D$1002,"="&amp;A194, deployment!$D$4:$D$1002,"&lt;&gt;"&amp;"", deployment!$C$4:$C$1002, "&lt;&gt;* )")+SUMIFS(namespace!$J$4:$J$1002, namespace!$B$4:$B$1002,"="&amp;A194, namespace!$B$4:$B$1002,"&lt;&gt;"&amp;""),"")</f>
        <v/>
      </c>
      <c r="O194" s="116" t="str">
        <f t="shared" si="31"/>
        <v/>
      </c>
      <c r="P194" s="63"/>
      <c r="Q194" s="164" t="str">
        <f t="shared" si="26"/>
        <v/>
      </c>
      <c r="R194" s="60" t="str">
        <f t="shared" si="27"/>
        <v/>
      </c>
      <c r="S194" s="60" t="str">
        <f t="shared" si="28"/>
        <v/>
      </c>
      <c r="T194" s="61" t="str">
        <f t="shared" si="29"/>
        <v/>
      </c>
      <c r="U194" s="61" t="str">
        <f t="shared" si="30"/>
        <v/>
      </c>
      <c r="V194" s="183" t="str">
        <f t="shared" si="32"/>
        <v/>
      </c>
      <c r="W194" s="183" t="str">
        <f t="shared" si="33"/>
        <v/>
      </c>
      <c r="X194" s="61" t="str">
        <f t="shared" si="34"/>
        <v/>
      </c>
      <c r="Y194" s="61" t="str">
        <f t="shared" si="35"/>
        <v/>
      </c>
      <c r="Z194" s="118" t="str">
        <f t="shared" si="36"/>
        <v/>
      </c>
      <c r="AA194" s="62" t="str">
        <f t="shared" si="37"/>
        <v/>
      </c>
      <c r="AB194" s="119" t="str">
        <f>IF(A194&lt;&gt;"", IF(P194&lt;&gt;0,SUMIFS(node!$J$2:$J$1000, node!$C$2:$C$1000,"="&amp;A194)/P194,0), "")</f>
        <v/>
      </c>
      <c r="AC194" s="81" t="str">
        <f>IF(A194&lt;&gt;"", IF(P194&lt;&gt;0,SUMIFS(node!$K$2:$K$1000, node!$C$2:$C$1000,"="&amp;A194)/P194,0), "")</f>
        <v/>
      </c>
      <c r="AD194" s="82" t="str">
        <f>IF(A194&lt;&gt;"", SUMIFS(node!$L$2:$L$1000, node!$C$2:$C$1000,"="&amp;A194), "")</f>
        <v/>
      </c>
      <c r="AE194" s="87" t="str">
        <f>IF(A194&lt;&gt;"", SUMIFS(node!$M$2:$M$1000, node!$C$2:$C$1000,"="&amp;A194), "")</f>
        <v/>
      </c>
    </row>
    <row r="195" spans="1:31" ht="15.75" customHeight="1" x14ac:dyDescent="0.25">
      <c r="A195" s="71" t="str">
        <f>IF(ISNONTEXT(node_raw[[#This Row],[Column2]]), "", node_raw[[#This Row],[Column2]])</f>
        <v/>
      </c>
      <c r="B195" s="108" t="str">
        <f>IF(A195&lt;&gt;"", VLOOKUP(A195, node!$C$2:$D$1000, 2, FALSE), "")</f>
        <v/>
      </c>
      <c r="C195" s="109" t="str">
        <f>IF(A195&lt;&gt;"", VLOOKUP(A195, node!$C$2:$E$1000, 3, FALSE), "")</f>
        <v/>
      </c>
      <c r="D195" s="110" t="str">
        <f>IF(A195&lt;&gt;"",COUNTIFS(node!$C$2:$C$1000,"="&amp;A195, node!$C$2:$C$1000,"&lt;&gt;"&amp;""),"")</f>
        <v/>
      </c>
      <c r="E195" s="111" t="str">
        <f>IF(A195&lt;&gt;"",SUMIFS(node!$F$2:$F$500, node!$C$2:$C$500,"="&amp;A195, node!$C$2:$C$500,"&lt;&gt;"&amp;"")/(B195*D195),"")</f>
        <v/>
      </c>
      <c r="F195" s="112" t="str">
        <f>IF(A195&lt;&gt;"",SUMIFS(node!$H$2:$H$500, node!$C$2:$C$500,"="&amp;A195, node!$C$2:$C$500,"&lt;&gt;"&amp;"")/(C195*D195),"")</f>
        <v/>
      </c>
      <c r="G195" s="179" t="str">
        <f>IF(A195&lt;&gt;"",SUMIFS(deployment!$F$4:$F$502, deployment!$D$4:$D$502,"="&amp;A195, deployment!$D$4:$D$502,"&lt;&gt;"&amp;""),"")</f>
        <v/>
      </c>
      <c r="H195" s="181" t="str">
        <f>IF(A195&lt;&gt;"",SUMIFS(deployment!$G$4:$G$502, deployment!$D$4:$D$502,"="&amp;A195, deployment!$D$4:$D$502,"&lt;&gt;"&amp;""),"")</f>
        <v/>
      </c>
      <c r="I195" s="113" t="str">
        <f>IF(A195&lt;&gt;"",SUMIFS(deployment!$H$4:$H$502, deployment!$D$4:$D$502,"="&amp;A195, deployment!$D$4:$D$502,"&lt;&gt;"&amp;""),"")</f>
        <v/>
      </c>
      <c r="J195" s="114" t="str">
        <f>IF(A195&lt;&gt;"",SUMIFS(deployment!$I$4:$I$502, deployment!$D$4:$D$502,"="&amp;A195, deployment!$D$4:$D$502,"&lt;&gt;"&amp;""),"")</f>
        <v/>
      </c>
      <c r="K195" s="182" t="str">
        <f>IF(A195&lt;&gt;"",SUMIFS(deployment!$J$4:$J$1002, deployment!$D$4:$D$1002,"="&amp;A195, deployment!$D$4:$D$1002,"&lt;&gt;"&amp;"", deployment!$C$4:$C$1002, "&lt;&gt;* )")+SUMIFS(namespace!$G$4:$G$1002, namespace!$B$4:$B$1002,"="&amp;A195, namespace!$B$4:$B$1002,"&lt;&gt;"&amp;""),"")</f>
        <v/>
      </c>
      <c r="L195" s="182" t="str">
        <f>IF(A195&lt;&gt;"",SUMIFS(deployment!$K$4:$K$1002, deployment!$D$4:$D$1002,"="&amp;A195, deployment!$D$4:$D$1002,"&lt;&gt;"&amp;"", deployment!$C$4:$C$1002, "&lt;&gt;* )")+SUMIFS(namespace!$H$4:$H$1002, namespace!$B$4:$B$1002,"="&amp;A195, namespace!$B$4:$B$1002,"&lt;&gt;"&amp;""),"")</f>
        <v/>
      </c>
      <c r="M195" s="115" t="str">
        <f>IF(A195&lt;&gt;"",SUMIFS(deployment!$L$4:$L$1002, deployment!$D$4:$D$1002,"="&amp;A195, deployment!$D$4:$D$1002,"&lt;&gt;"&amp;"", deployment!$C$4:$C$1002, "&lt;&gt;* )")+SUMIFS(namespace!$I$4:$I$1002, namespace!$B$4:$B$1002,"="&amp;A195, namespace!$B$4:$B$1002,"&lt;&gt;"&amp;""),"")</f>
        <v/>
      </c>
      <c r="N195" s="115" t="str">
        <f>IF(A195&lt;&gt;"",SUMIFS(deployment!$M$4:$M$1002, deployment!$D$4:$D$1002,"="&amp;A195, deployment!$D$4:$D$1002,"&lt;&gt;"&amp;"", deployment!$C$4:$C$1002, "&lt;&gt;* )")+SUMIFS(namespace!$J$4:$J$1002, namespace!$B$4:$B$1002,"="&amp;A195, namespace!$B$4:$B$1002,"&lt;&gt;"&amp;""),"")</f>
        <v/>
      </c>
      <c r="O195" s="116" t="str">
        <f t="shared" si="31"/>
        <v/>
      </c>
      <c r="P195" s="63"/>
      <c r="Q195" s="164" t="str">
        <f t="shared" si="26"/>
        <v/>
      </c>
      <c r="R195" s="60" t="str">
        <f t="shared" si="27"/>
        <v/>
      </c>
      <c r="S195" s="60" t="str">
        <f t="shared" si="28"/>
        <v/>
      </c>
      <c r="T195" s="61" t="str">
        <f t="shared" si="29"/>
        <v/>
      </c>
      <c r="U195" s="61" t="str">
        <f t="shared" si="30"/>
        <v/>
      </c>
      <c r="V195" s="183" t="str">
        <f t="shared" si="32"/>
        <v/>
      </c>
      <c r="W195" s="183" t="str">
        <f t="shared" si="33"/>
        <v/>
      </c>
      <c r="X195" s="61" t="str">
        <f t="shared" si="34"/>
        <v/>
      </c>
      <c r="Y195" s="61" t="str">
        <f t="shared" si="35"/>
        <v/>
      </c>
      <c r="Z195" s="118" t="str">
        <f t="shared" si="36"/>
        <v/>
      </c>
      <c r="AA195" s="62" t="str">
        <f t="shared" si="37"/>
        <v/>
      </c>
      <c r="AB195" s="119" t="str">
        <f>IF(A195&lt;&gt;"", IF(P195&lt;&gt;0,SUMIFS(node!$J$2:$J$1000, node!$C$2:$C$1000,"="&amp;A195)/P195,0), "")</f>
        <v/>
      </c>
      <c r="AC195" s="81" t="str">
        <f>IF(A195&lt;&gt;"", IF(P195&lt;&gt;0,SUMIFS(node!$K$2:$K$1000, node!$C$2:$C$1000,"="&amp;A195)/P195,0), "")</f>
        <v/>
      </c>
      <c r="AD195" s="82" t="str">
        <f>IF(A195&lt;&gt;"", SUMIFS(node!$L$2:$L$1000, node!$C$2:$C$1000,"="&amp;A195), "")</f>
        <v/>
      </c>
      <c r="AE195" s="87" t="str">
        <f>IF(A195&lt;&gt;"", SUMIFS(node!$M$2:$M$1000, node!$C$2:$C$1000,"="&amp;A195), "")</f>
        <v/>
      </c>
    </row>
    <row r="196" spans="1:31" ht="15.75" customHeight="1" x14ac:dyDescent="0.25">
      <c r="A196" s="71" t="str">
        <f>IF(ISNONTEXT(node_raw[[#This Row],[Column2]]), "", node_raw[[#This Row],[Column2]])</f>
        <v/>
      </c>
      <c r="B196" s="108" t="str">
        <f>IF(A196&lt;&gt;"", VLOOKUP(A196, node!$C$2:$D$1000, 2, FALSE), "")</f>
        <v/>
      </c>
      <c r="C196" s="109" t="str">
        <f>IF(A196&lt;&gt;"", VLOOKUP(A196, node!$C$2:$E$1000, 3, FALSE), "")</f>
        <v/>
      </c>
      <c r="D196" s="110" t="str">
        <f>IF(A196&lt;&gt;"",COUNTIFS(node!$C$2:$C$1000,"="&amp;A196, node!$C$2:$C$1000,"&lt;&gt;"&amp;""),"")</f>
        <v/>
      </c>
      <c r="E196" s="111" t="str">
        <f>IF(A196&lt;&gt;"",SUMIFS(node!$F$2:$F$500, node!$C$2:$C$500,"="&amp;A196, node!$C$2:$C$500,"&lt;&gt;"&amp;"")/(B196*D196),"")</f>
        <v/>
      </c>
      <c r="F196" s="112" t="str">
        <f>IF(A196&lt;&gt;"",SUMIFS(node!$H$2:$H$500, node!$C$2:$C$500,"="&amp;A196, node!$C$2:$C$500,"&lt;&gt;"&amp;"")/(C196*D196),"")</f>
        <v/>
      </c>
      <c r="G196" s="179" t="str">
        <f>IF(A196&lt;&gt;"",SUMIFS(deployment!$F$4:$F$502, deployment!$D$4:$D$502,"="&amp;A196, deployment!$D$4:$D$502,"&lt;&gt;"&amp;""),"")</f>
        <v/>
      </c>
      <c r="H196" s="181" t="str">
        <f>IF(A196&lt;&gt;"",SUMIFS(deployment!$G$4:$G$502, deployment!$D$4:$D$502,"="&amp;A196, deployment!$D$4:$D$502,"&lt;&gt;"&amp;""),"")</f>
        <v/>
      </c>
      <c r="I196" s="113" t="str">
        <f>IF(A196&lt;&gt;"",SUMIFS(deployment!$H$4:$H$502, deployment!$D$4:$D$502,"="&amp;A196, deployment!$D$4:$D$502,"&lt;&gt;"&amp;""),"")</f>
        <v/>
      </c>
      <c r="J196" s="114" t="str">
        <f>IF(A196&lt;&gt;"",SUMIFS(deployment!$I$4:$I$502, deployment!$D$4:$D$502,"="&amp;A196, deployment!$D$4:$D$502,"&lt;&gt;"&amp;""),"")</f>
        <v/>
      </c>
      <c r="K196" s="182" t="str">
        <f>IF(A196&lt;&gt;"",SUMIFS(deployment!$J$4:$J$1002, deployment!$D$4:$D$1002,"="&amp;A196, deployment!$D$4:$D$1002,"&lt;&gt;"&amp;"", deployment!$C$4:$C$1002, "&lt;&gt;* )")+SUMIFS(namespace!$G$4:$G$1002, namespace!$B$4:$B$1002,"="&amp;A196, namespace!$B$4:$B$1002,"&lt;&gt;"&amp;""),"")</f>
        <v/>
      </c>
      <c r="L196" s="182" t="str">
        <f>IF(A196&lt;&gt;"",SUMIFS(deployment!$K$4:$K$1002, deployment!$D$4:$D$1002,"="&amp;A196, deployment!$D$4:$D$1002,"&lt;&gt;"&amp;"", deployment!$C$4:$C$1002, "&lt;&gt;* )")+SUMIFS(namespace!$H$4:$H$1002, namespace!$B$4:$B$1002,"="&amp;A196, namespace!$B$4:$B$1002,"&lt;&gt;"&amp;""),"")</f>
        <v/>
      </c>
      <c r="M196" s="115" t="str">
        <f>IF(A196&lt;&gt;"",SUMIFS(deployment!$L$4:$L$1002, deployment!$D$4:$D$1002,"="&amp;A196, deployment!$D$4:$D$1002,"&lt;&gt;"&amp;"", deployment!$C$4:$C$1002, "&lt;&gt;* )")+SUMIFS(namespace!$I$4:$I$1002, namespace!$B$4:$B$1002,"="&amp;A196, namespace!$B$4:$B$1002,"&lt;&gt;"&amp;""),"")</f>
        <v/>
      </c>
      <c r="N196" s="115" t="str">
        <f>IF(A196&lt;&gt;"",SUMIFS(deployment!$M$4:$M$1002, deployment!$D$4:$D$1002,"="&amp;A196, deployment!$D$4:$D$1002,"&lt;&gt;"&amp;"", deployment!$C$4:$C$1002, "&lt;&gt;* )")+SUMIFS(namespace!$J$4:$J$1002, namespace!$B$4:$B$1002,"="&amp;A196, namespace!$B$4:$B$1002,"&lt;&gt;"&amp;""),"")</f>
        <v/>
      </c>
      <c r="O196" s="116" t="str">
        <f t="shared" si="31"/>
        <v/>
      </c>
      <c r="P196" s="63"/>
      <c r="Q196" s="164" t="str">
        <f t="shared" ref="Q196:Q259" si="38">IF(A196&lt;&gt;"",(D196-P196)/D196,"")</f>
        <v/>
      </c>
      <c r="R196" s="60" t="str">
        <f t="shared" ref="R196:R259" si="39">IF(A196&lt;&gt;"",G196/(P196*B196),"")</f>
        <v/>
      </c>
      <c r="S196" s="60" t="str">
        <f t="shared" ref="S196:S259" si="40">IF(A196&lt;&gt;"",H196/(P196*C196),"")</f>
        <v/>
      </c>
      <c r="T196" s="61" t="str">
        <f t="shared" ref="T196:T259" si="41">IF(A196&lt;&gt;"",I196/(P196*B196),"")</f>
        <v/>
      </c>
      <c r="U196" s="61" t="str">
        <f t="shared" ref="U196:U259" si="42">IF(A196&lt;&gt;"",J196/(P196*C196),"")</f>
        <v/>
      </c>
      <c r="V196" s="183" t="str">
        <f t="shared" si="32"/>
        <v/>
      </c>
      <c r="W196" s="183" t="str">
        <f t="shared" si="33"/>
        <v/>
      </c>
      <c r="X196" s="61" t="str">
        <f t="shared" si="34"/>
        <v/>
      </c>
      <c r="Y196" s="61" t="str">
        <f t="shared" si="35"/>
        <v/>
      </c>
      <c r="Z196" s="118" t="str">
        <f t="shared" si="36"/>
        <v/>
      </c>
      <c r="AA196" s="62" t="str">
        <f t="shared" si="37"/>
        <v/>
      </c>
      <c r="AB196" s="119" t="str">
        <f>IF(A196&lt;&gt;"", IF(P196&lt;&gt;0,SUMIFS(node!$J$2:$J$1000, node!$C$2:$C$1000,"="&amp;A196)/P196,0), "")</f>
        <v/>
      </c>
      <c r="AC196" s="81" t="str">
        <f>IF(A196&lt;&gt;"", IF(P196&lt;&gt;0,SUMIFS(node!$K$2:$K$1000, node!$C$2:$C$1000,"="&amp;A196)/P196,0), "")</f>
        <v/>
      </c>
      <c r="AD196" s="82" t="str">
        <f>IF(A196&lt;&gt;"", SUMIFS(node!$L$2:$L$1000, node!$C$2:$C$1000,"="&amp;A196), "")</f>
        <v/>
      </c>
      <c r="AE196" s="87" t="str">
        <f>IF(A196&lt;&gt;"", SUMIFS(node!$M$2:$M$1000, node!$C$2:$C$1000,"="&amp;A196), "")</f>
        <v/>
      </c>
    </row>
    <row r="197" spans="1:31" ht="15.75" customHeight="1" x14ac:dyDescent="0.25">
      <c r="A197" s="71" t="str">
        <f>IF(ISNONTEXT(node_raw[[#This Row],[Column2]]), "", node_raw[[#This Row],[Column2]])</f>
        <v/>
      </c>
      <c r="B197" s="108" t="str">
        <f>IF(A197&lt;&gt;"", VLOOKUP(A197, node!$C$2:$D$1000, 2, FALSE), "")</f>
        <v/>
      </c>
      <c r="C197" s="109" t="str">
        <f>IF(A197&lt;&gt;"", VLOOKUP(A197, node!$C$2:$E$1000, 3, FALSE), "")</f>
        <v/>
      </c>
      <c r="D197" s="110" t="str">
        <f>IF(A197&lt;&gt;"",COUNTIFS(node!$C$2:$C$1000,"="&amp;A197, node!$C$2:$C$1000,"&lt;&gt;"&amp;""),"")</f>
        <v/>
      </c>
      <c r="E197" s="111" t="str">
        <f>IF(A197&lt;&gt;"",SUMIFS(node!$F$2:$F$500, node!$C$2:$C$500,"="&amp;A197, node!$C$2:$C$500,"&lt;&gt;"&amp;"")/(B197*D197),"")</f>
        <v/>
      </c>
      <c r="F197" s="112" t="str">
        <f>IF(A197&lt;&gt;"",SUMIFS(node!$H$2:$H$500, node!$C$2:$C$500,"="&amp;A197, node!$C$2:$C$500,"&lt;&gt;"&amp;"")/(C197*D197),"")</f>
        <v/>
      </c>
      <c r="G197" s="179" t="str">
        <f>IF(A197&lt;&gt;"",SUMIFS(deployment!$F$4:$F$502, deployment!$D$4:$D$502,"="&amp;A197, deployment!$D$4:$D$502,"&lt;&gt;"&amp;""),"")</f>
        <v/>
      </c>
      <c r="H197" s="181" t="str">
        <f>IF(A197&lt;&gt;"",SUMIFS(deployment!$G$4:$G$502, deployment!$D$4:$D$502,"="&amp;A197, deployment!$D$4:$D$502,"&lt;&gt;"&amp;""),"")</f>
        <v/>
      </c>
      <c r="I197" s="113" t="str">
        <f>IF(A197&lt;&gt;"",SUMIFS(deployment!$H$4:$H$502, deployment!$D$4:$D$502,"="&amp;A197, deployment!$D$4:$D$502,"&lt;&gt;"&amp;""),"")</f>
        <v/>
      </c>
      <c r="J197" s="114" t="str">
        <f>IF(A197&lt;&gt;"",SUMIFS(deployment!$I$4:$I$502, deployment!$D$4:$D$502,"="&amp;A197, deployment!$D$4:$D$502,"&lt;&gt;"&amp;""),"")</f>
        <v/>
      </c>
      <c r="K197" s="182" t="str">
        <f>IF(A197&lt;&gt;"",SUMIFS(deployment!$J$4:$J$1002, deployment!$D$4:$D$1002,"="&amp;A197, deployment!$D$4:$D$1002,"&lt;&gt;"&amp;"", deployment!$C$4:$C$1002, "&lt;&gt;* )")+SUMIFS(namespace!$G$4:$G$1002, namespace!$B$4:$B$1002,"="&amp;A197, namespace!$B$4:$B$1002,"&lt;&gt;"&amp;""),"")</f>
        <v/>
      </c>
      <c r="L197" s="182" t="str">
        <f>IF(A197&lt;&gt;"",SUMIFS(deployment!$K$4:$K$1002, deployment!$D$4:$D$1002,"="&amp;A197, deployment!$D$4:$D$1002,"&lt;&gt;"&amp;"", deployment!$C$4:$C$1002, "&lt;&gt;* )")+SUMIFS(namespace!$H$4:$H$1002, namespace!$B$4:$B$1002,"="&amp;A197, namespace!$B$4:$B$1002,"&lt;&gt;"&amp;""),"")</f>
        <v/>
      </c>
      <c r="M197" s="115" t="str">
        <f>IF(A197&lt;&gt;"",SUMIFS(deployment!$L$4:$L$1002, deployment!$D$4:$D$1002,"="&amp;A197, deployment!$D$4:$D$1002,"&lt;&gt;"&amp;"", deployment!$C$4:$C$1002, "&lt;&gt;* )")+SUMIFS(namespace!$I$4:$I$1002, namespace!$B$4:$B$1002,"="&amp;A197, namespace!$B$4:$B$1002,"&lt;&gt;"&amp;""),"")</f>
        <v/>
      </c>
      <c r="N197" s="115" t="str">
        <f>IF(A197&lt;&gt;"",SUMIFS(deployment!$M$4:$M$1002, deployment!$D$4:$D$1002,"="&amp;A197, deployment!$D$4:$D$1002,"&lt;&gt;"&amp;"", deployment!$C$4:$C$1002, "&lt;&gt;* )")+SUMIFS(namespace!$J$4:$J$1002, namespace!$B$4:$B$1002,"="&amp;A197, namespace!$B$4:$B$1002,"&lt;&gt;"&amp;""),"")</f>
        <v/>
      </c>
      <c r="O197" s="116" t="str">
        <f t="shared" ref="O197:O260" si="43">IF(A197&lt;&gt;"",MAX(ROUNDUP(K197/(B197*$B$2), 0), ROUNDUP(L197/(C197*$C$2), 0), ROUNDUP(M197/(B197*$B$2), 0), ROUNDUP(N197/(C197*$C$2), 0), 1),"")</f>
        <v/>
      </c>
      <c r="P197" s="63"/>
      <c r="Q197" s="164" t="str">
        <f t="shared" si="38"/>
        <v/>
      </c>
      <c r="R197" s="60" t="str">
        <f t="shared" si="39"/>
        <v/>
      </c>
      <c r="S197" s="60" t="str">
        <f t="shared" si="40"/>
        <v/>
      </c>
      <c r="T197" s="61" t="str">
        <f t="shared" si="41"/>
        <v/>
      </c>
      <c r="U197" s="61" t="str">
        <f t="shared" si="42"/>
        <v/>
      </c>
      <c r="V197" s="183" t="str">
        <f t="shared" ref="V197:V260" si="44">IF(A197&lt;&gt;"",IF(P197&lt;&gt;0,K197/(P197*B197),0),"")</f>
        <v/>
      </c>
      <c r="W197" s="183" t="str">
        <f t="shared" ref="W197:W260" si="45">IF(A197&lt;&gt;"",IF(P197&lt;&gt;0,L197/(P197*C197),0),"")</f>
        <v/>
      </c>
      <c r="X197" s="61" t="str">
        <f t="shared" ref="X197:X260" si="46">IF(A197&lt;&gt;"",IF(P197&lt;&gt;0,M197/(P197*B197),0),"")</f>
        <v/>
      </c>
      <c r="Y197" s="61" t="str">
        <f t="shared" ref="Y197:Y260" si="47">IF(A197&lt;&gt;"",IF(P197&lt;&gt;0,N197/(P197*C197),0),"")</f>
        <v/>
      </c>
      <c r="Z197" s="118" t="str">
        <f t="shared" ref="Z197:Z260" si="48">IF(A197&lt;&gt;"",(D197*E197)/P197,"")</f>
        <v/>
      </c>
      <c r="AA197" s="62" t="str">
        <f t="shared" ref="AA197:AA260" si="49">IF(A197&lt;&gt;"",(D197*F197)/P197,"")</f>
        <v/>
      </c>
      <c r="AB197" s="119" t="str">
        <f>IF(A197&lt;&gt;"", IF(P197&lt;&gt;0,SUMIFS(node!$J$2:$J$1000, node!$C$2:$C$1000,"="&amp;A197)/P197,0), "")</f>
        <v/>
      </c>
      <c r="AC197" s="81" t="str">
        <f>IF(A197&lt;&gt;"", IF(P197&lt;&gt;0,SUMIFS(node!$K$2:$K$1000, node!$C$2:$C$1000,"="&amp;A197)/P197,0), "")</f>
        <v/>
      </c>
      <c r="AD197" s="82" t="str">
        <f>IF(A197&lt;&gt;"", SUMIFS(node!$L$2:$L$1000, node!$C$2:$C$1000,"="&amp;A197), "")</f>
        <v/>
      </c>
      <c r="AE197" s="87" t="str">
        <f>IF(A197&lt;&gt;"", SUMIFS(node!$M$2:$M$1000, node!$C$2:$C$1000,"="&amp;A197), "")</f>
        <v/>
      </c>
    </row>
    <row r="198" spans="1:31" ht="15.75" customHeight="1" x14ac:dyDescent="0.25">
      <c r="A198" s="71" t="str">
        <f>IF(ISNONTEXT(node_raw[[#This Row],[Column2]]), "", node_raw[[#This Row],[Column2]])</f>
        <v/>
      </c>
      <c r="B198" s="108" t="str">
        <f>IF(A198&lt;&gt;"", VLOOKUP(A198, node!$C$2:$D$1000, 2, FALSE), "")</f>
        <v/>
      </c>
      <c r="C198" s="109" t="str">
        <f>IF(A198&lt;&gt;"", VLOOKUP(A198, node!$C$2:$E$1000, 3, FALSE), "")</f>
        <v/>
      </c>
      <c r="D198" s="110" t="str">
        <f>IF(A198&lt;&gt;"",COUNTIFS(node!$C$2:$C$1000,"="&amp;A198, node!$C$2:$C$1000,"&lt;&gt;"&amp;""),"")</f>
        <v/>
      </c>
      <c r="E198" s="111" t="str">
        <f>IF(A198&lt;&gt;"",SUMIFS(node!$F$2:$F$500, node!$C$2:$C$500,"="&amp;A198, node!$C$2:$C$500,"&lt;&gt;"&amp;"")/(B198*D198),"")</f>
        <v/>
      </c>
      <c r="F198" s="112" t="str">
        <f>IF(A198&lt;&gt;"",SUMIFS(node!$H$2:$H$500, node!$C$2:$C$500,"="&amp;A198, node!$C$2:$C$500,"&lt;&gt;"&amp;"")/(C198*D198),"")</f>
        <v/>
      </c>
      <c r="G198" s="179" t="str">
        <f>IF(A198&lt;&gt;"",SUMIFS(deployment!$F$4:$F$502, deployment!$D$4:$D$502,"="&amp;A198, deployment!$D$4:$D$502,"&lt;&gt;"&amp;""),"")</f>
        <v/>
      </c>
      <c r="H198" s="181" t="str">
        <f>IF(A198&lt;&gt;"",SUMIFS(deployment!$G$4:$G$502, deployment!$D$4:$D$502,"="&amp;A198, deployment!$D$4:$D$502,"&lt;&gt;"&amp;""),"")</f>
        <v/>
      </c>
      <c r="I198" s="113" t="str">
        <f>IF(A198&lt;&gt;"",SUMIFS(deployment!$H$4:$H$502, deployment!$D$4:$D$502,"="&amp;A198, deployment!$D$4:$D$502,"&lt;&gt;"&amp;""),"")</f>
        <v/>
      </c>
      <c r="J198" s="114" t="str">
        <f>IF(A198&lt;&gt;"",SUMIFS(deployment!$I$4:$I$502, deployment!$D$4:$D$502,"="&amp;A198, deployment!$D$4:$D$502,"&lt;&gt;"&amp;""),"")</f>
        <v/>
      </c>
      <c r="K198" s="182" t="str">
        <f>IF(A198&lt;&gt;"",SUMIFS(deployment!$J$4:$J$1002, deployment!$D$4:$D$1002,"="&amp;A198, deployment!$D$4:$D$1002,"&lt;&gt;"&amp;"", deployment!$C$4:$C$1002, "&lt;&gt;* )")+SUMIFS(namespace!$G$4:$G$1002, namespace!$B$4:$B$1002,"="&amp;A198, namespace!$B$4:$B$1002,"&lt;&gt;"&amp;""),"")</f>
        <v/>
      </c>
      <c r="L198" s="182" t="str">
        <f>IF(A198&lt;&gt;"",SUMIFS(deployment!$K$4:$K$1002, deployment!$D$4:$D$1002,"="&amp;A198, deployment!$D$4:$D$1002,"&lt;&gt;"&amp;"", deployment!$C$4:$C$1002, "&lt;&gt;* )")+SUMIFS(namespace!$H$4:$H$1002, namespace!$B$4:$B$1002,"="&amp;A198, namespace!$B$4:$B$1002,"&lt;&gt;"&amp;""),"")</f>
        <v/>
      </c>
      <c r="M198" s="115" t="str">
        <f>IF(A198&lt;&gt;"",SUMIFS(deployment!$L$4:$L$1002, deployment!$D$4:$D$1002,"="&amp;A198, deployment!$D$4:$D$1002,"&lt;&gt;"&amp;"", deployment!$C$4:$C$1002, "&lt;&gt;* )")+SUMIFS(namespace!$I$4:$I$1002, namespace!$B$4:$B$1002,"="&amp;A198, namespace!$B$4:$B$1002,"&lt;&gt;"&amp;""),"")</f>
        <v/>
      </c>
      <c r="N198" s="115" t="str">
        <f>IF(A198&lt;&gt;"",SUMIFS(deployment!$M$4:$M$1002, deployment!$D$4:$D$1002,"="&amp;A198, deployment!$D$4:$D$1002,"&lt;&gt;"&amp;"", deployment!$C$4:$C$1002, "&lt;&gt;* )")+SUMIFS(namespace!$J$4:$J$1002, namespace!$B$4:$B$1002,"="&amp;A198, namespace!$B$4:$B$1002,"&lt;&gt;"&amp;""),"")</f>
        <v/>
      </c>
      <c r="O198" s="116" t="str">
        <f t="shared" si="43"/>
        <v/>
      </c>
      <c r="P198" s="63"/>
      <c r="Q198" s="164" t="str">
        <f t="shared" si="38"/>
        <v/>
      </c>
      <c r="R198" s="60" t="str">
        <f t="shared" si="39"/>
        <v/>
      </c>
      <c r="S198" s="60" t="str">
        <f t="shared" si="40"/>
        <v/>
      </c>
      <c r="T198" s="61" t="str">
        <f t="shared" si="41"/>
        <v/>
      </c>
      <c r="U198" s="61" t="str">
        <f t="shared" si="42"/>
        <v/>
      </c>
      <c r="V198" s="183" t="str">
        <f t="shared" si="44"/>
        <v/>
      </c>
      <c r="W198" s="183" t="str">
        <f t="shared" si="45"/>
        <v/>
      </c>
      <c r="X198" s="61" t="str">
        <f t="shared" si="46"/>
        <v/>
      </c>
      <c r="Y198" s="61" t="str">
        <f t="shared" si="47"/>
        <v/>
      </c>
      <c r="Z198" s="118" t="str">
        <f t="shared" si="48"/>
        <v/>
      </c>
      <c r="AA198" s="62" t="str">
        <f t="shared" si="49"/>
        <v/>
      </c>
      <c r="AB198" s="119" t="str">
        <f>IF(A198&lt;&gt;"", IF(P198&lt;&gt;0,SUMIFS(node!$J$2:$J$1000, node!$C$2:$C$1000,"="&amp;A198)/P198,0), "")</f>
        <v/>
      </c>
      <c r="AC198" s="81" t="str">
        <f>IF(A198&lt;&gt;"", IF(P198&lt;&gt;0,SUMIFS(node!$K$2:$K$1000, node!$C$2:$C$1000,"="&amp;A198)/P198,0), "")</f>
        <v/>
      </c>
      <c r="AD198" s="82" t="str">
        <f>IF(A198&lt;&gt;"", SUMIFS(node!$L$2:$L$1000, node!$C$2:$C$1000,"="&amp;A198), "")</f>
        <v/>
      </c>
      <c r="AE198" s="87" t="str">
        <f>IF(A198&lt;&gt;"", SUMIFS(node!$M$2:$M$1000, node!$C$2:$C$1000,"="&amp;A198), "")</f>
        <v/>
      </c>
    </row>
    <row r="199" spans="1:31" ht="15.75" customHeight="1" x14ac:dyDescent="0.25">
      <c r="A199" s="71" t="str">
        <f>IF(ISNONTEXT(node_raw[[#This Row],[Column2]]), "", node_raw[[#This Row],[Column2]])</f>
        <v/>
      </c>
      <c r="B199" s="108" t="str">
        <f>IF(A199&lt;&gt;"", VLOOKUP(A199, node!$C$2:$D$1000, 2, FALSE), "")</f>
        <v/>
      </c>
      <c r="C199" s="109" t="str">
        <f>IF(A199&lt;&gt;"", VLOOKUP(A199, node!$C$2:$E$1000, 3, FALSE), "")</f>
        <v/>
      </c>
      <c r="D199" s="110" t="str">
        <f>IF(A199&lt;&gt;"",COUNTIFS(node!$C$2:$C$1000,"="&amp;A199, node!$C$2:$C$1000,"&lt;&gt;"&amp;""),"")</f>
        <v/>
      </c>
      <c r="E199" s="111" t="str">
        <f>IF(A199&lt;&gt;"",SUMIFS(node!$F$2:$F$500, node!$C$2:$C$500,"="&amp;A199, node!$C$2:$C$500,"&lt;&gt;"&amp;"")/(B199*D199),"")</f>
        <v/>
      </c>
      <c r="F199" s="112" t="str">
        <f>IF(A199&lt;&gt;"",SUMIFS(node!$H$2:$H$500, node!$C$2:$C$500,"="&amp;A199, node!$C$2:$C$500,"&lt;&gt;"&amp;"")/(C199*D199),"")</f>
        <v/>
      </c>
      <c r="G199" s="179" t="str">
        <f>IF(A199&lt;&gt;"",SUMIFS(deployment!$F$4:$F$502, deployment!$D$4:$D$502,"="&amp;A199, deployment!$D$4:$D$502,"&lt;&gt;"&amp;""),"")</f>
        <v/>
      </c>
      <c r="H199" s="181" t="str">
        <f>IF(A199&lt;&gt;"",SUMIFS(deployment!$G$4:$G$502, deployment!$D$4:$D$502,"="&amp;A199, deployment!$D$4:$D$502,"&lt;&gt;"&amp;""),"")</f>
        <v/>
      </c>
      <c r="I199" s="113" t="str">
        <f>IF(A199&lt;&gt;"",SUMIFS(deployment!$H$4:$H$502, deployment!$D$4:$D$502,"="&amp;A199, deployment!$D$4:$D$502,"&lt;&gt;"&amp;""),"")</f>
        <v/>
      </c>
      <c r="J199" s="114" t="str">
        <f>IF(A199&lt;&gt;"",SUMIFS(deployment!$I$4:$I$502, deployment!$D$4:$D$502,"="&amp;A199, deployment!$D$4:$D$502,"&lt;&gt;"&amp;""),"")</f>
        <v/>
      </c>
      <c r="K199" s="182" t="str">
        <f>IF(A199&lt;&gt;"",SUMIFS(deployment!$J$4:$J$1002, deployment!$D$4:$D$1002,"="&amp;A199, deployment!$D$4:$D$1002,"&lt;&gt;"&amp;"", deployment!$C$4:$C$1002, "&lt;&gt;* )")+SUMIFS(namespace!$G$4:$G$1002, namespace!$B$4:$B$1002,"="&amp;A199, namespace!$B$4:$B$1002,"&lt;&gt;"&amp;""),"")</f>
        <v/>
      </c>
      <c r="L199" s="182" t="str">
        <f>IF(A199&lt;&gt;"",SUMIFS(deployment!$K$4:$K$1002, deployment!$D$4:$D$1002,"="&amp;A199, deployment!$D$4:$D$1002,"&lt;&gt;"&amp;"", deployment!$C$4:$C$1002, "&lt;&gt;* )")+SUMIFS(namespace!$H$4:$H$1002, namespace!$B$4:$B$1002,"="&amp;A199, namespace!$B$4:$B$1002,"&lt;&gt;"&amp;""),"")</f>
        <v/>
      </c>
      <c r="M199" s="115" t="str">
        <f>IF(A199&lt;&gt;"",SUMIFS(deployment!$L$4:$L$1002, deployment!$D$4:$D$1002,"="&amp;A199, deployment!$D$4:$D$1002,"&lt;&gt;"&amp;"", deployment!$C$4:$C$1002, "&lt;&gt;* )")+SUMIFS(namespace!$I$4:$I$1002, namespace!$B$4:$B$1002,"="&amp;A199, namespace!$B$4:$B$1002,"&lt;&gt;"&amp;""),"")</f>
        <v/>
      </c>
      <c r="N199" s="115" t="str">
        <f>IF(A199&lt;&gt;"",SUMIFS(deployment!$M$4:$M$1002, deployment!$D$4:$D$1002,"="&amp;A199, deployment!$D$4:$D$1002,"&lt;&gt;"&amp;"", deployment!$C$4:$C$1002, "&lt;&gt;* )")+SUMIFS(namespace!$J$4:$J$1002, namespace!$B$4:$B$1002,"="&amp;A199, namespace!$B$4:$B$1002,"&lt;&gt;"&amp;""),"")</f>
        <v/>
      </c>
      <c r="O199" s="116" t="str">
        <f t="shared" si="43"/>
        <v/>
      </c>
      <c r="P199" s="63"/>
      <c r="Q199" s="164" t="str">
        <f t="shared" si="38"/>
        <v/>
      </c>
      <c r="R199" s="60" t="str">
        <f t="shared" si="39"/>
        <v/>
      </c>
      <c r="S199" s="60" t="str">
        <f t="shared" si="40"/>
        <v/>
      </c>
      <c r="T199" s="61" t="str">
        <f t="shared" si="41"/>
        <v/>
      </c>
      <c r="U199" s="61" t="str">
        <f t="shared" si="42"/>
        <v/>
      </c>
      <c r="V199" s="183" t="str">
        <f t="shared" si="44"/>
        <v/>
      </c>
      <c r="W199" s="183" t="str">
        <f t="shared" si="45"/>
        <v/>
      </c>
      <c r="X199" s="61" t="str">
        <f t="shared" si="46"/>
        <v/>
      </c>
      <c r="Y199" s="61" t="str">
        <f t="shared" si="47"/>
        <v/>
      </c>
      <c r="Z199" s="118" t="str">
        <f t="shared" si="48"/>
        <v/>
      </c>
      <c r="AA199" s="62" t="str">
        <f t="shared" si="49"/>
        <v/>
      </c>
      <c r="AB199" s="119" t="str">
        <f>IF(A199&lt;&gt;"", IF(P199&lt;&gt;0,SUMIFS(node!$J$2:$J$1000, node!$C$2:$C$1000,"="&amp;A199)/P199,0), "")</f>
        <v/>
      </c>
      <c r="AC199" s="81" t="str">
        <f>IF(A199&lt;&gt;"", IF(P199&lt;&gt;0,SUMIFS(node!$K$2:$K$1000, node!$C$2:$C$1000,"="&amp;A199)/P199,0), "")</f>
        <v/>
      </c>
      <c r="AD199" s="82" t="str">
        <f>IF(A199&lt;&gt;"", SUMIFS(node!$L$2:$L$1000, node!$C$2:$C$1000,"="&amp;A199), "")</f>
        <v/>
      </c>
      <c r="AE199" s="87" t="str">
        <f>IF(A199&lt;&gt;"", SUMIFS(node!$M$2:$M$1000, node!$C$2:$C$1000,"="&amp;A199), "")</f>
        <v/>
      </c>
    </row>
    <row r="200" spans="1:31" ht="15.75" customHeight="1" x14ac:dyDescent="0.25">
      <c r="A200" s="71" t="str">
        <f>IF(ISNONTEXT(node_raw[[#This Row],[Column2]]), "", node_raw[[#This Row],[Column2]])</f>
        <v/>
      </c>
      <c r="B200" s="108" t="str">
        <f>IF(A200&lt;&gt;"", VLOOKUP(A200, node!$C$2:$D$1000, 2, FALSE), "")</f>
        <v/>
      </c>
      <c r="C200" s="109" t="str">
        <f>IF(A200&lt;&gt;"", VLOOKUP(A200, node!$C$2:$E$1000, 3, FALSE), "")</f>
        <v/>
      </c>
      <c r="D200" s="110" t="str">
        <f>IF(A200&lt;&gt;"",COUNTIFS(node!$C$2:$C$1000,"="&amp;A200, node!$C$2:$C$1000,"&lt;&gt;"&amp;""),"")</f>
        <v/>
      </c>
      <c r="E200" s="111" t="str">
        <f>IF(A200&lt;&gt;"",SUMIFS(node!$F$2:$F$500, node!$C$2:$C$500,"="&amp;A200, node!$C$2:$C$500,"&lt;&gt;"&amp;"")/(B200*D200),"")</f>
        <v/>
      </c>
      <c r="F200" s="112" t="str">
        <f>IF(A200&lt;&gt;"",SUMIFS(node!$H$2:$H$500, node!$C$2:$C$500,"="&amp;A200, node!$C$2:$C$500,"&lt;&gt;"&amp;"")/(C200*D200),"")</f>
        <v/>
      </c>
      <c r="G200" s="179" t="str">
        <f>IF(A200&lt;&gt;"",SUMIFS(deployment!$F$4:$F$502, deployment!$D$4:$D$502,"="&amp;A200, deployment!$D$4:$D$502,"&lt;&gt;"&amp;""),"")</f>
        <v/>
      </c>
      <c r="H200" s="181" t="str">
        <f>IF(A200&lt;&gt;"",SUMIFS(deployment!$G$4:$G$502, deployment!$D$4:$D$502,"="&amp;A200, deployment!$D$4:$D$502,"&lt;&gt;"&amp;""),"")</f>
        <v/>
      </c>
      <c r="I200" s="113" t="str">
        <f>IF(A200&lt;&gt;"",SUMIFS(deployment!$H$4:$H$502, deployment!$D$4:$D$502,"="&amp;A200, deployment!$D$4:$D$502,"&lt;&gt;"&amp;""),"")</f>
        <v/>
      </c>
      <c r="J200" s="114" t="str">
        <f>IF(A200&lt;&gt;"",SUMIFS(deployment!$I$4:$I$502, deployment!$D$4:$D$502,"="&amp;A200, deployment!$D$4:$D$502,"&lt;&gt;"&amp;""),"")</f>
        <v/>
      </c>
      <c r="K200" s="182" t="str">
        <f>IF(A200&lt;&gt;"",SUMIFS(deployment!$J$4:$J$1002, deployment!$D$4:$D$1002,"="&amp;A200, deployment!$D$4:$D$1002,"&lt;&gt;"&amp;"", deployment!$C$4:$C$1002, "&lt;&gt;* )")+SUMIFS(namespace!$G$4:$G$1002, namespace!$B$4:$B$1002,"="&amp;A200, namespace!$B$4:$B$1002,"&lt;&gt;"&amp;""),"")</f>
        <v/>
      </c>
      <c r="L200" s="182" t="str">
        <f>IF(A200&lt;&gt;"",SUMIFS(deployment!$K$4:$K$1002, deployment!$D$4:$D$1002,"="&amp;A200, deployment!$D$4:$D$1002,"&lt;&gt;"&amp;"", deployment!$C$4:$C$1002, "&lt;&gt;* )")+SUMIFS(namespace!$H$4:$H$1002, namespace!$B$4:$B$1002,"="&amp;A200, namespace!$B$4:$B$1002,"&lt;&gt;"&amp;""),"")</f>
        <v/>
      </c>
      <c r="M200" s="115" t="str">
        <f>IF(A200&lt;&gt;"",SUMIFS(deployment!$L$4:$L$1002, deployment!$D$4:$D$1002,"="&amp;A200, deployment!$D$4:$D$1002,"&lt;&gt;"&amp;"", deployment!$C$4:$C$1002, "&lt;&gt;* )")+SUMIFS(namespace!$I$4:$I$1002, namespace!$B$4:$B$1002,"="&amp;A200, namespace!$B$4:$B$1002,"&lt;&gt;"&amp;""),"")</f>
        <v/>
      </c>
      <c r="N200" s="115" t="str">
        <f>IF(A200&lt;&gt;"",SUMIFS(deployment!$M$4:$M$1002, deployment!$D$4:$D$1002,"="&amp;A200, deployment!$D$4:$D$1002,"&lt;&gt;"&amp;"", deployment!$C$4:$C$1002, "&lt;&gt;* )")+SUMIFS(namespace!$J$4:$J$1002, namespace!$B$4:$B$1002,"="&amp;A200, namespace!$B$4:$B$1002,"&lt;&gt;"&amp;""),"")</f>
        <v/>
      </c>
      <c r="O200" s="116" t="str">
        <f t="shared" si="43"/>
        <v/>
      </c>
      <c r="P200" s="63"/>
      <c r="Q200" s="164" t="str">
        <f t="shared" si="38"/>
        <v/>
      </c>
      <c r="R200" s="60" t="str">
        <f t="shared" si="39"/>
        <v/>
      </c>
      <c r="S200" s="60" t="str">
        <f t="shared" si="40"/>
        <v/>
      </c>
      <c r="T200" s="61" t="str">
        <f t="shared" si="41"/>
        <v/>
      </c>
      <c r="U200" s="61" t="str">
        <f t="shared" si="42"/>
        <v/>
      </c>
      <c r="V200" s="183" t="str">
        <f t="shared" si="44"/>
        <v/>
      </c>
      <c r="W200" s="183" t="str">
        <f t="shared" si="45"/>
        <v/>
      </c>
      <c r="X200" s="61" t="str">
        <f t="shared" si="46"/>
        <v/>
      </c>
      <c r="Y200" s="61" t="str">
        <f t="shared" si="47"/>
        <v/>
      </c>
      <c r="Z200" s="118" t="str">
        <f t="shared" si="48"/>
        <v/>
      </c>
      <c r="AA200" s="62" t="str">
        <f t="shared" si="49"/>
        <v/>
      </c>
      <c r="AB200" s="119" t="str">
        <f>IF(A200&lt;&gt;"", IF(P200&lt;&gt;0,SUMIFS(node!$J$2:$J$1000, node!$C$2:$C$1000,"="&amp;A200)/P200,0), "")</f>
        <v/>
      </c>
      <c r="AC200" s="81" t="str">
        <f>IF(A200&lt;&gt;"", IF(P200&lt;&gt;0,SUMIFS(node!$K$2:$K$1000, node!$C$2:$C$1000,"="&amp;A200)/P200,0), "")</f>
        <v/>
      </c>
      <c r="AD200" s="82" t="str">
        <f>IF(A200&lt;&gt;"", SUMIFS(node!$L$2:$L$1000, node!$C$2:$C$1000,"="&amp;A200), "")</f>
        <v/>
      </c>
      <c r="AE200" s="87" t="str">
        <f>IF(A200&lt;&gt;"", SUMIFS(node!$M$2:$M$1000, node!$C$2:$C$1000,"="&amp;A200), "")</f>
        <v/>
      </c>
    </row>
    <row r="201" spans="1:31" ht="15.75" customHeight="1" x14ac:dyDescent="0.25">
      <c r="A201" s="71" t="str">
        <f>IF(ISNONTEXT(node_raw[[#This Row],[Column2]]), "", node_raw[[#This Row],[Column2]])</f>
        <v/>
      </c>
      <c r="B201" s="108" t="str">
        <f>IF(A201&lt;&gt;"", VLOOKUP(A201, node!$C$2:$D$1000, 2, FALSE), "")</f>
        <v/>
      </c>
      <c r="C201" s="109" t="str">
        <f>IF(A201&lt;&gt;"", VLOOKUP(A201, node!$C$2:$E$1000, 3, FALSE), "")</f>
        <v/>
      </c>
      <c r="D201" s="110" t="str">
        <f>IF(A201&lt;&gt;"",COUNTIFS(node!$C$2:$C$1000,"="&amp;A201, node!$C$2:$C$1000,"&lt;&gt;"&amp;""),"")</f>
        <v/>
      </c>
      <c r="E201" s="111" t="str">
        <f>IF(A201&lt;&gt;"",SUMIFS(node!$F$2:$F$500, node!$C$2:$C$500,"="&amp;A201, node!$C$2:$C$500,"&lt;&gt;"&amp;"")/(B201*D201),"")</f>
        <v/>
      </c>
      <c r="F201" s="112" t="str">
        <f>IF(A201&lt;&gt;"",SUMIFS(node!$H$2:$H$500, node!$C$2:$C$500,"="&amp;A201, node!$C$2:$C$500,"&lt;&gt;"&amp;"")/(C201*D201),"")</f>
        <v/>
      </c>
      <c r="G201" s="179" t="str">
        <f>IF(A201&lt;&gt;"",SUMIFS(deployment!$F$4:$F$502, deployment!$D$4:$D$502,"="&amp;A201, deployment!$D$4:$D$502,"&lt;&gt;"&amp;""),"")</f>
        <v/>
      </c>
      <c r="H201" s="181" t="str">
        <f>IF(A201&lt;&gt;"",SUMIFS(deployment!$G$4:$G$502, deployment!$D$4:$D$502,"="&amp;A201, deployment!$D$4:$D$502,"&lt;&gt;"&amp;""),"")</f>
        <v/>
      </c>
      <c r="I201" s="113" t="str">
        <f>IF(A201&lt;&gt;"",SUMIFS(deployment!$H$4:$H$502, deployment!$D$4:$D$502,"="&amp;A201, deployment!$D$4:$D$502,"&lt;&gt;"&amp;""),"")</f>
        <v/>
      </c>
      <c r="J201" s="114" t="str">
        <f>IF(A201&lt;&gt;"",SUMIFS(deployment!$I$4:$I$502, deployment!$D$4:$D$502,"="&amp;A201, deployment!$D$4:$D$502,"&lt;&gt;"&amp;""),"")</f>
        <v/>
      </c>
      <c r="K201" s="182" t="str">
        <f>IF(A201&lt;&gt;"",SUMIFS(deployment!$J$4:$J$1002, deployment!$D$4:$D$1002,"="&amp;A201, deployment!$D$4:$D$1002,"&lt;&gt;"&amp;"", deployment!$C$4:$C$1002, "&lt;&gt;* )")+SUMIFS(namespace!$G$4:$G$1002, namespace!$B$4:$B$1002,"="&amp;A201, namespace!$B$4:$B$1002,"&lt;&gt;"&amp;""),"")</f>
        <v/>
      </c>
      <c r="L201" s="182" t="str">
        <f>IF(A201&lt;&gt;"",SUMIFS(deployment!$K$4:$K$1002, deployment!$D$4:$D$1002,"="&amp;A201, deployment!$D$4:$D$1002,"&lt;&gt;"&amp;"", deployment!$C$4:$C$1002, "&lt;&gt;* )")+SUMIFS(namespace!$H$4:$H$1002, namespace!$B$4:$B$1002,"="&amp;A201, namespace!$B$4:$B$1002,"&lt;&gt;"&amp;""),"")</f>
        <v/>
      </c>
      <c r="M201" s="115" t="str">
        <f>IF(A201&lt;&gt;"",SUMIFS(deployment!$L$4:$L$1002, deployment!$D$4:$D$1002,"="&amp;A201, deployment!$D$4:$D$1002,"&lt;&gt;"&amp;"", deployment!$C$4:$C$1002, "&lt;&gt;* )")+SUMIFS(namespace!$I$4:$I$1002, namespace!$B$4:$B$1002,"="&amp;A201, namespace!$B$4:$B$1002,"&lt;&gt;"&amp;""),"")</f>
        <v/>
      </c>
      <c r="N201" s="115" t="str">
        <f>IF(A201&lt;&gt;"",SUMIFS(deployment!$M$4:$M$1002, deployment!$D$4:$D$1002,"="&amp;A201, deployment!$D$4:$D$1002,"&lt;&gt;"&amp;"", deployment!$C$4:$C$1002, "&lt;&gt;* )")+SUMIFS(namespace!$J$4:$J$1002, namespace!$B$4:$B$1002,"="&amp;A201, namespace!$B$4:$B$1002,"&lt;&gt;"&amp;""),"")</f>
        <v/>
      </c>
      <c r="O201" s="116" t="str">
        <f t="shared" si="43"/>
        <v/>
      </c>
      <c r="P201" s="63"/>
      <c r="Q201" s="164" t="str">
        <f t="shared" si="38"/>
        <v/>
      </c>
      <c r="R201" s="60" t="str">
        <f t="shared" si="39"/>
        <v/>
      </c>
      <c r="S201" s="60" t="str">
        <f t="shared" si="40"/>
        <v/>
      </c>
      <c r="T201" s="61" t="str">
        <f t="shared" si="41"/>
        <v/>
      </c>
      <c r="U201" s="61" t="str">
        <f t="shared" si="42"/>
        <v/>
      </c>
      <c r="V201" s="183" t="str">
        <f t="shared" si="44"/>
        <v/>
      </c>
      <c r="W201" s="183" t="str">
        <f t="shared" si="45"/>
        <v/>
      </c>
      <c r="X201" s="61" t="str">
        <f t="shared" si="46"/>
        <v/>
      </c>
      <c r="Y201" s="61" t="str">
        <f t="shared" si="47"/>
        <v/>
      </c>
      <c r="Z201" s="118" t="str">
        <f t="shared" si="48"/>
        <v/>
      </c>
      <c r="AA201" s="62" t="str">
        <f t="shared" si="49"/>
        <v/>
      </c>
      <c r="AB201" s="119" t="str">
        <f>IF(A201&lt;&gt;"", IF(P201&lt;&gt;0,SUMIFS(node!$J$2:$J$1000, node!$C$2:$C$1000,"="&amp;A201)/P201,0), "")</f>
        <v/>
      </c>
      <c r="AC201" s="81" t="str">
        <f>IF(A201&lt;&gt;"", IF(P201&lt;&gt;0,SUMIFS(node!$K$2:$K$1000, node!$C$2:$C$1000,"="&amp;A201)/P201,0), "")</f>
        <v/>
      </c>
      <c r="AD201" s="82" t="str">
        <f>IF(A201&lt;&gt;"", SUMIFS(node!$L$2:$L$1000, node!$C$2:$C$1000,"="&amp;A201), "")</f>
        <v/>
      </c>
      <c r="AE201" s="87" t="str">
        <f>IF(A201&lt;&gt;"", SUMIFS(node!$M$2:$M$1000, node!$C$2:$C$1000,"="&amp;A201), "")</f>
        <v/>
      </c>
    </row>
    <row r="202" spans="1:31" ht="15.75" customHeight="1" x14ac:dyDescent="0.25">
      <c r="A202" s="71" t="str">
        <f>IF(ISNONTEXT(node_raw[[#This Row],[Column2]]), "", node_raw[[#This Row],[Column2]])</f>
        <v/>
      </c>
      <c r="B202" s="108" t="str">
        <f>IF(A202&lt;&gt;"", VLOOKUP(A202, node!$C$2:$D$1000, 2, FALSE), "")</f>
        <v/>
      </c>
      <c r="C202" s="109" t="str">
        <f>IF(A202&lt;&gt;"", VLOOKUP(A202, node!$C$2:$E$1000, 3, FALSE), "")</f>
        <v/>
      </c>
      <c r="D202" s="110" t="str">
        <f>IF(A202&lt;&gt;"",COUNTIFS(node!$C$2:$C$1000,"="&amp;A202, node!$C$2:$C$1000,"&lt;&gt;"&amp;""),"")</f>
        <v/>
      </c>
      <c r="E202" s="111" t="str">
        <f>IF(A202&lt;&gt;"",SUMIFS(node!$F$2:$F$500, node!$C$2:$C$500,"="&amp;A202, node!$C$2:$C$500,"&lt;&gt;"&amp;"")/(B202*D202),"")</f>
        <v/>
      </c>
      <c r="F202" s="112" t="str">
        <f>IF(A202&lt;&gt;"",SUMIFS(node!$H$2:$H$500, node!$C$2:$C$500,"="&amp;A202, node!$C$2:$C$500,"&lt;&gt;"&amp;"")/(C202*D202),"")</f>
        <v/>
      </c>
      <c r="G202" s="179" t="str">
        <f>IF(A202&lt;&gt;"",SUMIFS(deployment!$F$4:$F$502, deployment!$D$4:$D$502,"="&amp;A202, deployment!$D$4:$D$502,"&lt;&gt;"&amp;""),"")</f>
        <v/>
      </c>
      <c r="H202" s="181" t="str">
        <f>IF(A202&lt;&gt;"",SUMIFS(deployment!$G$4:$G$502, deployment!$D$4:$D$502,"="&amp;A202, deployment!$D$4:$D$502,"&lt;&gt;"&amp;""),"")</f>
        <v/>
      </c>
      <c r="I202" s="113" t="str">
        <f>IF(A202&lt;&gt;"",SUMIFS(deployment!$H$4:$H$502, deployment!$D$4:$D$502,"="&amp;A202, deployment!$D$4:$D$502,"&lt;&gt;"&amp;""),"")</f>
        <v/>
      </c>
      <c r="J202" s="114" t="str">
        <f>IF(A202&lt;&gt;"",SUMIFS(deployment!$I$4:$I$502, deployment!$D$4:$D$502,"="&amp;A202, deployment!$D$4:$D$502,"&lt;&gt;"&amp;""),"")</f>
        <v/>
      </c>
      <c r="K202" s="182" t="str">
        <f>IF(A202&lt;&gt;"",SUMIFS(deployment!$J$4:$J$1002, deployment!$D$4:$D$1002,"="&amp;A202, deployment!$D$4:$D$1002,"&lt;&gt;"&amp;"", deployment!$C$4:$C$1002, "&lt;&gt;* )")+SUMIFS(namespace!$G$4:$G$1002, namespace!$B$4:$B$1002,"="&amp;A202, namespace!$B$4:$B$1002,"&lt;&gt;"&amp;""),"")</f>
        <v/>
      </c>
      <c r="L202" s="182" t="str">
        <f>IF(A202&lt;&gt;"",SUMIFS(deployment!$K$4:$K$1002, deployment!$D$4:$D$1002,"="&amp;A202, deployment!$D$4:$D$1002,"&lt;&gt;"&amp;"", deployment!$C$4:$C$1002, "&lt;&gt;* )")+SUMIFS(namespace!$H$4:$H$1002, namespace!$B$4:$B$1002,"="&amp;A202, namespace!$B$4:$B$1002,"&lt;&gt;"&amp;""),"")</f>
        <v/>
      </c>
      <c r="M202" s="115" t="str">
        <f>IF(A202&lt;&gt;"",SUMIFS(deployment!$L$4:$L$1002, deployment!$D$4:$D$1002,"="&amp;A202, deployment!$D$4:$D$1002,"&lt;&gt;"&amp;"", deployment!$C$4:$C$1002, "&lt;&gt;* )")+SUMIFS(namespace!$I$4:$I$1002, namespace!$B$4:$B$1002,"="&amp;A202, namespace!$B$4:$B$1002,"&lt;&gt;"&amp;""),"")</f>
        <v/>
      </c>
      <c r="N202" s="115" t="str">
        <f>IF(A202&lt;&gt;"",SUMIFS(deployment!$M$4:$M$1002, deployment!$D$4:$D$1002,"="&amp;A202, deployment!$D$4:$D$1002,"&lt;&gt;"&amp;"", deployment!$C$4:$C$1002, "&lt;&gt;* )")+SUMIFS(namespace!$J$4:$J$1002, namespace!$B$4:$B$1002,"="&amp;A202, namespace!$B$4:$B$1002,"&lt;&gt;"&amp;""),"")</f>
        <v/>
      </c>
      <c r="O202" s="116" t="str">
        <f t="shared" si="43"/>
        <v/>
      </c>
      <c r="P202" s="63"/>
      <c r="Q202" s="164" t="str">
        <f t="shared" si="38"/>
        <v/>
      </c>
      <c r="R202" s="60" t="str">
        <f t="shared" si="39"/>
        <v/>
      </c>
      <c r="S202" s="60" t="str">
        <f t="shared" si="40"/>
        <v/>
      </c>
      <c r="T202" s="61" t="str">
        <f t="shared" si="41"/>
        <v/>
      </c>
      <c r="U202" s="61" t="str">
        <f t="shared" si="42"/>
        <v/>
      </c>
      <c r="V202" s="183" t="str">
        <f t="shared" si="44"/>
        <v/>
      </c>
      <c r="W202" s="183" t="str">
        <f t="shared" si="45"/>
        <v/>
      </c>
      <c r="X202" s="61" t="str">
        <f t="shared" si="46"/>
        <v/>
      </c>
      <c r="Y202" s="61" t="str">
        <f t="shared" si="47"/>
        <v/>
      </c>
      <c r="Z202" s="118" t="str">
        <f t="shared" si="48"/>
        <v/>
      </c>
      <c r="AA202" s="62" t="str">
        <f t="shared" si="49"/>
        <v/>
      </c>
      <c r="AB202" s="119" t="str">
        <f>IF(A202&lt;&gt;"", IF(P202&lt;&gt;0,SUMIFS(node!$J$2:$J$1000, node!$C$2:$C$1000,"="&amp;A202)/P202,0), "")</f>
        <v/>
      </c>
      <c r="AC202" s="81" t="str">
        <f>IF(A202&lt;&gt;"", IF(P202&lt;&gt;0,SUMIFS(node!$K$2:$K$1000, node!$C$2:$C$1000,"="&amp;A202)/P202,0), "")</f>
        <v/>
      </c>
      <c r="AD202" s="82" t="str">
        <f>IF(A202&lt;&gt;"", SUMIFS(node!$L$2:$L$1000, node!$C$2:$C$1000,"="&amp;A202), "")</f>
        <v/>
      </c>
      <c r="AE202" s="87" t="str">
        <f>IF(A202&lt;&gt;"", SUMIFS(node!$M$2:$M$1000, node!$C$2:$C$1000,"="&amp;A202), "")</f>
        <v/>
      </c>
    </row>
    <row r="203" spans="1:31" ht="15.75" customHeight="1" x14ac:dyDescent="0.25">
      <c r="A203" s="71" t="str">
        <f>IF(ISNONTEXT(node_raw[[#This Row],[Column2]]), "", node_raw[[#This Row],[Column2]])</f>
        <v/>
      </c>
      <c r="B203" s="108" t="str">
        <f>IF(A203&lt;&gt;"", VLOOKUP(A203, node!$C$2:$D$1000, 2, FALSE), "")</f>
        <v/>
      </c>
      <c r="C203" s="109" t="str">
        <f>IF(A203&lt;&gt;"", VLOOKUP(A203, node!$C$2:$E$1000, 3, FALSE), "")</f>
        <v/>
      </c>
      <c r="D203" s="110" t="str">
        <f>IF(A203&lt;&gt;"",COUNTIFS(node!$C$2:$C$1000,"="&amp;A203, node!$C$2:$C$1000,"&lt;&gt;"&amp;""),"")</f>
        <v/>
      </c>
      <c r="E203" s="111" t="str">
        <f>IF(A203&lt;&gt;"",SUMIFS(node!$F$2:$F$500, node!$C$2:$C$500,"="&amp;A203, node!$C$2:$C$500,"&lt;&gt;"&amp;"")/(B203*D203),"")</f>
        <v/>
      </c>
      <c r="F203" s="112" t="str">
        <f>IF(A203&lt;&gt;"",SUMIFS(node!$H$2:$H$500, node!$C$2:$C$500,"="&amp;A203, node!$C$2:$C$500,"&lt;&gt;"&amp;"")/(C203*D203),"")</f>
        <v/>
      </c>
      <c r="G203" s="179" t="str">
        <f>IF(A203&lt;&gt;"",SUMIFS(deployment!$F$4:$F$502, deployment!$D$4:$D$502,"="&amp;A203, deployment!$D$4:$D$502,"&lt;&gt;"&amp;""),"")</f>
        <v/>
      </c>
      <c r="H203" s="181" t="str">
        <f>IF(A203&lt;&gt;"",SUMIFS(deployment!$G$4:$G$502, deployment!$D$4:$D$502,"="&amp;A203, deployment!$D$4:$D$502,"&lt;&gt;"&amp;""),"")</f>
        <v/>
      </c>
      <c r="I203" s="113" t="str">
        <f>IF(A203&lt;&gt;"",SUMIFS(deployment!$H$4:$H$502, deployment!$D$4:$D$502,"="&amp;A203, deployment!$D$4:$D$502,"&lt;&gt;"&amp;""),"")</f>
        <v/>
      </c>
      <c r="J203" s="114" t="str">
        <f>IF(A203&lt;&gt;"",SUMIFS(deployment!$I$4:$I$502, deployment!$D$4:$D$502,"="&amp;A203, deployment!$D$4:$D$502,"&lt;&gt;"&amp;""),"")</f>
        <v/>
      </c>
      <c r="K203" s="182" t="str">
        <f>IF(A203&lt;&gt;"",SUMIFS(deployment!$J$4:$J$1002, deployment!$D$4:$D$1002,"="&amp;A203, deployment!$D$4:$D$1002,"&lt;&gt;"&amp;"", deployment!$C$4:$C$1002, "&lt;&gt;* )")+SUMIFS(namespace!$G$4:$G$1002, namespace!$B$4:$B$1002,"="&amp;A203, namespace!$B$4:$B$1002,"&lt;&gt;"&amp;""),"")</f>
        <v/>
      </c>
      <c r="L203" s="182" t="str">
        <f>IF(A203&lt;&gt;"",SUMIFS(deployment!$K$4:$K$1002, deployment!$D$4:$D$1002,"="&amp;A203, deployment!$D$4:$D$1002,"&lt;&gt;"&amp;"", deployment!$C$4:$C$1002, "&lt;&gt;* )")+SUMIFS(namespace!$H$4:$H$1002, namespace!$B$4:$B$1002,"="&amp;A203, namespace!$B$4:$B$1002,"&lt;&gt;"&amp;""),"")</f>
        <v/>
      </c>
      <c r="M203" s="115" t="str">
        <f>IF(A203&lt;&gt;"",SUMIFS(deployment!$L$4:$L$1002, deployment!$D$4:$D$1002,"="&amp;A203, deployment!$D$4:$D$1002,"&lt;&gt;"&amp;"", deployment!$C$4:$C$1002, "&lt;&gt;* )")+SUMIFS(namespace!$I$4:$I$1002, namespace!$B$4:$B$1002,"="&amp;A203, namespace!$B$4:$B$1002,"&lt;&gt;"&amp;""),"")</f>
        <v/>
      </c>
      <c r="N203" s="115" t="str">
        <f>IF(A203&lt;&gt;"",SUMIFS(deployment!$M$4:$M$1002, deployment!$D$4:$D$1002,"="&amp;A203, deployment!$D$4:$D$1002,"&lt;&gt;"&amp;"", deployment!$C$4:$C$1002, "&lt;&gt;* )")+SUMIFS(namespace!$J$4:$J$1002, namespace!$B$4:$B$1002,"="&amp;A203, namespace!$B$4:$B$1002,"&lt;&gt;"&amp;""),"")</f>
        <v/>
      </c>
      <c r="O203" s="116" t="str">
        <f t="shared" si="43"/>
        <v/>
      </c>
      <c r="P203" s="63"/>
      <c r="Q203" s="164" t="str">
        <f t="shared" si="38"/>
        <v/>
      </c>
      <c r="R203" s="60" t="str">
        <f t="shared" si="39"/>
        <v/>
      </c>
      <c r="S203" s="60" t="str">
        <f t="shared" si="40"/>
        <v/>
      </c>
      <c r="T203" s="61" t="str">
        <f t="shared" si="41"/>
        <v/>
      </c>
      <c r="U203" s="61" t="str">
        <f t="shared" si="42"/>
        <v/>
      </c>
      <c r="V203" s="183" t="str">
        <f t="shared" si="44"/>
        <v/>
      </c>
      <c r="W203" s="183" t="str">
        <f t="shared" si="45"/>
        <v/>
      </c>
      <c r="X203" s="61" t="str">
        <f t="shared" si="46"/>
        <v/>
      </c>
      <c r="Y203" s="61" t="str">
        <f t="shared" si="47"/>
        <v/>
      </c>
      <c r="Z203" s="118" t="str">
        <f t="shared" si="48"/>
        <v/>
      </c>
      <c r="AA203" s="62" t="str">
        <f t="shared" si="49"/>
        <v/>
      </c>
      <c r="AB203" s="119" t="str">
        <f>IF(A203&lt;&gt;"", IF(P203&lt;&gt;0,SUMIFS(node!$J$2:$J$1000, node!$C$2:$C$1000,"="&amp;A203)/P203,0), "")</f>
        <v/>
      </c>
      <c r="AC203" s="81" t="str">
        <f>IF(A203&lt;&gt;"", IF(P203&lt;&gt;0,SUMIFS(node!$K$2:$K$1000, node!$C$2:$C$1000,"="&amp;A203)/P203,0), "")</f>
        <v/>
      </c>
      <c r="AD203" s="82" t="str">
        <f>IF(A203&lt;&gt;"", SUMIFS(node!$L$2:$L$1000, node!$C$2:$C$1000,"="&amp;A203), "")</f>
        <v/>
      </c>
      <c r="AE203" s="87" t="str">
        <f>IF(A203&lt;&gt;"", SUMIFS(node!$M$2:$M$1000, node!$C$2:$C$1000,"="&amp;A203), "")</f>
        <v/>
      </c>
    </row>
    <row r="204" spans="1:31" ht="15.75" customHeight="1" x14ac:dyDescent="0.25">
      <c r="A204" s="71" t="str">
        <f>IF(ISNONTEXT(node_raw[[#This Row],[Column2]]), "", node_raw[[#This Row],[Column2]])</f>
        <v/>
      </c>
      <c r="B204" s="108" t="str">
        <f>IF(A204&lt;&gt;"", VLOOKUP(A204, node!$C$2:$D$1000, 2, FALSE), "")</f>
        <v/>
      </c>
      <c r="C204" s="109" t="str">
        <f>IF(A204&lt;&gt;"", VLOOKUP(A204, node!$C$2:$E$1000, 3, FALSE), "")</f>
        <v/>
      </c>
      <c r="D204" s="110" t="str">
        <f>IF(A204&lt;&gt;"",COUNTIFS(node!$C$2:$C$1000,"="&amp;A204, node!$C$2:$C$1000,"&lt;&gt;"&amp;""),"")</f>
        <v/>
      </c>
      <c r="E204" s="111" t="str">
        <f>IF(A204&lt;&gt;"",SUMIFS(node!$F$2:$F$500, node!$C$2:$C$500,"="&amp;A204, node!$C$2:$C$500,"&lt;&gt;"&amp;"")/(B204*D204),"")</f>
        <v/>
      </c>
      <c r="F204" s="112" t="str">
        <f>IF(A204&lt;&gt;"",SUMIFS(node!$H$2:$H$500, node!$C$2:$C$500,"="&amp;A204, node!$C$2:$C$500,"&lt;&gt;"&amp;"")/(C204*D204),"")</f>
        <v/>
      </c>
      <c r="G204" s="179" t="str">
        <f>IF(A204&lt;&gt;"",SUMIFS(deployment!$F$4:$F$502, deployment!$D$4:$D$502,"="&amp;A204, deployment!$D$4:$D$502,"&lt;&gt;"&amp;""),"")</f>
        <v/>
      </c>
      <c r="H204" s="181" t="str">
        <f>IF(A204&lt;&gt;"",SUMIFS(deployment!$G$4:$G$502, deployment!$D$4:$D$502,"="&amp;A204, deployment!$D$4:$D$502,"&lt;&gt;"&amp;""),"")</f>
        <v/>
      </c>
      <c r="I204" s="113" t="str">
        <f>IF(A204&lt;&gt;"",SUMIFS(deployment!$H$4:$H$502, deployment!$D$4:$D$502,"="&amp;A204, deployment!$D$4:$D$502,"&lt;&gt;"&amp;""),"")</f>
        <v/>
      </c>
      <c r="J204" s="114" t="str">
        <f>IF(A204&lt;&gt;"",SUMIFS(deployment!$I$4:$I$502, deployment!$D$4:$D$502,"="&amp;A204, deployment!$D$4:$D$502,"&lt;&gt;"&amp;""),"")</f>
        <v/>
      </c>
      <c r="K204" s="182" t="str">
        <f>IF(A204&lt;&gt;"",SUMIFS(deployment!$J$4:$J$1002, deployment!$D$4:$D$1002,"="&amp;A204, deployment!$D$4:$D$1002,"&lt;&gt;"&amp;"", deployment!$C$4:$C$1002, "&lt;&gt;* )")+SUMIFS(namespace!$G$4:$G$1002, namespace!$B$4:$B$1002,"="&amp;A204, namespace!$B$4:$B$1002,"&lt;&gt;"&amp;""),"")</f>
        <v/>
      </c>
      <c r="L204" s="182" t="str">
        <f>IF(A204&lt;&gt;"",SUMIFS(deployment!$K$4:$K$1002, deployment!$D$4:$D$1002,"="&amp;A204, deployment!$D$4:$D$1002,"&lt;&gt;"&amp;"", deployment!$C$4:$C$1002, "&lt;&gt;* )")+SUMIFS(namespace!$H$4:$H$1002, namespace!$B$4:$B$1002,"="&amp;A204, namespace!$B$4:$B$1002,"&lt;&gt;"&amp;""),"")</f>
        <v/>
      </c>
      <c r="M204" s="115" t="str">
        <f>IF(A204&lt;&gt;"",SUMIFS(deployment!$L$4:$L$1002, deployment!$D$4:$D$1002,"="&amp;A204, deployment!$D$4:$D$1002,"&lt;&gt;"&amp;"", deployment!$C$4:$C$1002, "&lt;&gt;* )")+SUMIFS(namespace!$I$4:$I$1002, namespace!$B$4:$B$1002,"="&amp;A204, namespace!$B$4:$B$1002,"&lt;&gt;"&amp;""),"")</f>
        <v/>
      </c>
      <c r="N204" s="115" t="str">
        <f>IF(A204&lt;&gt;"",SUMIFS(deployment!$M$4:$M$1002, deployment!$D$4:$D$1002,"="&amp;A204, deployment!$D$4:$D$1002,"&lt;&gt;"&amp;"", deployment!$C$4:$C$1002, "&lt;&gt;* )")+SUMIFS(namespace!$J$4:$J$1002, namespace!$B$4:$B$1002,"="&amp;A204, namespace!$B$4:$B$1002,"&lt;&gt;"&amp;""),"")</f>
        <v/>
      </c>
      <c r="O204" s="116" t="str">
        <f t="shared" si="43"/>
        <v/>
      </c>
      <c r="P204" s="63"/>
      <c r="Q204" s="164" t="str">
        <f t="shared" si="38"/>
        <v/>
      </c>
      <c r="R204" s="60" t="str">
        <f t="shared" si="39"/>
        <v/>
      </c>
      <c r="S204" s="60" t="str">
        <f t="shared" si="40"/>
        <v/>
      </c>
      <c r="T204" s="61" t="str">
        <f t="shared" si="41"/>
        <v/>
      </c>
      <c r="U204" s="61" t="str">
        <f t="shared" si="42"/>
        <v/>
      </c>
      <c r="V204" s="183" t="str">
        <f t="shared" si="44"/>
        <v/>
      </c>
      <c r="W204" s="183" t="str">
        <f t="shared" si="45"/>
        <v/>
      </c>
      <c r="X204" s="61" t="str">
        <f t="shared" si="46"/>
        <v/>
      </c>
      <c r="Y204" s="61" t="str">
        <f t="shared" si="47"/>
        <v/>
      </c>
      <c r="Z204" s="118" t="str">
        <f t="shared" si="48"/>
        <v/>
      </c>
      <c r="AA204" s="62" t="str">
        <f t="shared" si="49"/>
        <v/>
      </c>
      <c r="AB204" s="119" t="str">
        <f>IF(A204&lt;&gt;"", IF(P204&lt;&gt;0,SUMIFS(node!$J$2:$J$1000, node!$C$2:$C$1000,"="&amp;A204)/P204,0), "")</f>
        <v/>
      </c>
      <c r="AC204" s="81" t="str">
        <f>IF(A204&lt;&gt;"", IF(P204&lt;&gt;0,SUMIFS(node!$K$2:$K$1000, node!$C$2:$C$1000,"="&amp;A204)/P204,0), "")</f>
        <v/>
      </c>
      <c r="AD204" s="82" t="str">
        <f>IF(A204&lt;&gt;"", SUMIFS(node!$L$2:$L$1000, node!$C$2:$C$1000,"="&amp;A204), "")</f>
        <v/>
      </c>
      <c r="AE204" s="87" t="str">
        <f>IF(A204&lt;&gt;"", SUMIFS(node!$M$2:$M$1000, node!$C$2:$C$1000,"="&amp;A204), "")</f>
        <v/>
      </c>
    </row>
    <row r="205" spans="1:31" ht="15.75" customHeight="1" x14ac:dyDescent="0.25">
      <c r="A205" s="71" t="str">
        <f>IF(ISNONTEXT(node_raw[[#This Row],[Column2]]), "", node_raw[[#This Row],[Column2]])</f>
        <v/>
      </c>
      <c r="B205" s="108" t="str">
        <f>IF(A205&lt;&gt;"", VLOOKUP(A205, node!$C$2:$D$1000, 2, FALSE), "")</f>
        <v/>
      </c>
      <c r="C205" s="109" t="str">
        <f>IF(A205&lt;&gt;"", VLOOKUP(A205, node!$C$2:$E$1000, 3, FALSE), "")</f>
        <v/>
      </c>
      <c r="D205" s="110" t="str">
        <f>IF(A205&lt;&gt;"",COUNTIFS(node!$C$2:$C$1000,"="&amp;A205, node!$C$2:$C$1000,"&lt;&gt;"&amp;""),"")</f>
        <v/>
      </c>
      <c r="E205" s="111" t="str">
        <f>IF(A205&lt;&gt;"",SUMIFS(node!$F$2:$F$500, node!$C$2:$C$500,"="&amp;A205, node!$C$2:$C$500,"&lt;&gt;"&amp;"")/(B205*D205),"")</f>
        <v/>
      </c>
      <c r="F205" s="112" t="str">
        <f>IF(A205&lt;&gt;"",SUMIFS(node!$H$2:$H$500, node!$C$2:$C$500,"="&amp;A205, node!$C$2:$C$500,"&lt;&gt;"&amp;"")/(C205*D205),"")</f>
        <v/>
      </c>
      <c r="G205" s="179" t="str">
        <f>IF(A205&lt;&gt;"",SUMIFS(deployment!$F$4:$F$502, deployment!$D$4:$D$502,"="&amp;A205, deployment!$D$4:$D$502,"&lt;&gt;"&amp;""),"")</f>
        <v/>
      </c>
      <c r="H205" s="181" t="str">
        <f>IF(A205&lt;&gt;"",SUMIFS(deployment!$G$4:$G$502, deployment!$D$4:$D$502,"="&amp;A205, deployment!$D$4:$D$502,"&lt;&gt;"&amp;""),"")</f>
        <v/>
      </c>
      <c r="I205" s="113" t="str">
        <f>IF(A205&lt;&gt;"",SUMIFS(deployment!$H$4:$H$502, deployment!$D$4:$D$502,"="&amp;A205, deployment!$D$4:$D$502,"&lt;&gt;"&amp;""),"")</f>
        <v/>
      </c>
      <c r="J205" s="114" t="str">
        <f>IF(A205&lt;&gt;"",SUMIFS(deployment!$I$4:$I$502, deployment!$D$4:$D$502,"="&amp;A205, deployment!$D$4:$D$502,"&lt;&gt;"&amp;""),"")</f>
        <v/>
      </c>
      <c r="K205" s="182" t="str">
        <f>IF(A205&lt;&gt;"",SUMIFS(deployment!$J$4:$J$1002, deployment!$D$4:$D$1002,"="&amp;A205, deployment!$D$4:$D$1002,"&lt;&gt;"&amp;"", deployment!$C$4:$C$1002, "&lt;&gt;* )")+SUMIFS(namespace!$G$4:$G$1002, namespace!$B$4:$B$1002,"="&amp;A205, namespace!$B$4:$B$1002,"&lt;&gt;"&amp;""),"")</f>
        <v/>
      </c>
      <c r="L205" s="182" t="str">
        <f>IF(A205&lt;&gt;"",SUMIFS(deployment!$K$4:$K$1002, deployment!$D$4:$D$1002,"="&amp;A205, deployment!$D$4:$D$1002,"&lt;&gt;"&amp;"", deployment!$C$4:$C$1002, "&lt;&gt;* )")+SUMIFS(namespace!$H$4:$H$1002, namespace!$B$4:$B$1002,"="&amp;A205, namespace!$B$4:$B$1002,"&lt;&gt;"&amp;""),"")</f>
        <v/>
      </c>
      <c r="M205" s="115" t="str">
        <f>IF(A205&lt;&gt;"",SUMIFS(deployment!$L$4:$L$1002, deployment!$D$4:$D$1002,"="&amp;A205, deployment!$D$4:$D$1002,"&lt;&gt;"&amp;"", deployment!$C$4:$C$1002, "&lt;&gt;* )")+SUMIFS(namespace!$I$4:$I$1002, namespace!$B$4:$B$1002,"="&amp;A205, namespace!$B$4:$B$1002,"&lt;&gt;"&amp;""),"")</f>
        <v/>
      </c>
      <c r="N205" s="115" t="str">
        <f>IF(A205&lt;&gt;"",SUMIFS(deployment!$M$4:$M$1002, deployment!$D$4:$D$1002,"="&amp;A205, deployment!$D$4:$D$1002,"&lt;&gt;"&amp;"", deployment!$C$4:$C$1002, "&lt;&gt;* )")+SUMIFS(namespace!$J$4:$J$1002, namespace!$B$4:$B$1002,"="&amp;A205, namespace!$B$4:$B$1002,"&lt;&gt;"&amp;""),"")</f>
        <v/>
      </c>
      <c r="O205" s="116" t="str">
        <f t="shared" si="43"/>
        <v/>
      </c>
      <c r="P205" s="63"/>
      <c r="Q205" s="164" t="str">
        <f t="shared" si="38"/>
        <v/>
      </c>
      <c r="R205" s="60" t="str">
        <f t="shared" si="39"/>
        <v/>
      </c>
      <c r="S205" s="60" t="str">
        <f t="shared" si="40"/>
        <v/>
      </c>
      <c r="T205" s="61" t="str">
        <f t="shared" si="41"/>
        <v/>
      </c>
      <c r="U205" s="61" t="str">
        <f t="shared" si="42"/>
        <v/>
      </c>
      <c r="V205" s="183" t="str">
        <f t="shared" si="44"/>
        <v/>
      </c>
      <c r="W205" s="183" t="str">
        <f t="shared" si="45"/>
        <v/>
      </c>
      <c r="X205" s="61" t="str">
        <f t="shared" si="46"/>
        <v/>
      </c>
      <c r="Y205" s="61" t="str">
        <f t="shared" si="47"/>
        <v/>
      </c>
      <c r="Z205" s="118" t="str">
        <f t="shared" si="48"/>
        <v/>
      </c>
      <c r="AA205" s="62" t="str">
        <f t="shared" si="49"/>
        <v/>
      </c>
      <c r="AB205" s="119" t="str">
        <f>IF(A205&lt;&gt;"", IF(P205&lt;&gt;0,SUMIFS(node!$J$2:$J$1000, node!$C$2:$C$1000,"="&amp;A205)/P205,0), "")</f>
        <v/>
      </c>
      <c r="AC205" s="81" t="str">
        <f>IF(A205&lt;&gt;"", IF(P205&lt;&gt;0,SUMIFS(node!$K$2:$K$1000, node!$C$2:$C$1000,"="&amp;A205)/P205,0), "")</f>
        <v/>
      </c>
      <c r="AD205" s="82" t="str">
        <f>IF(A205&lt;&gt;"", SUMIFS(node!$L$2:$L$1000, node!$C$2:$C$1000,"="&amp;A205), "")</f>
        <v/>
      </c>
      <c r="AE205" s="87" t="str">
        <f>IF(A205&lt;&gt;"", SUMIFS(node!$M$2:$M$1000, node!$C$2:$C$1000,"="&amp;A205), "")</f>
        <v/>
      </c>
    </row>
    <row r="206" spans="1:31" ht="15.75" customHeight="1" x14ac:dyDescent="0.25">
      <c r="A206" s="71" t="str">
        <f>IF(ISNONTEXT(node_raw[[#This Row],[Column2]]), "", node_raw[[#This Row],[Column2]])</f>
        <v/>
      </c>
      <c r="B206" s="108" t="str">
        <f>IF(A206&lt;&gt;"", VLOOKUP(A206, node!$C$2:$D$1000, 2, FALSE), "")</f>
        <v/>
      </c>
      <c r="C206" s="109" t="str">
        <f>IF(A206&lt;&gt;"", VLOOKUP(A206, node!$C$2:$E$1000, 3, FALSE), "")</f>
        <v/>
      </c>
      <c r="D206" s="110" t="str">
        <f>IF(A206&lt;&gt;"",COUNTIFS(node!$C$2:$C$1000,"="&amp;A206, node!$C$2:$C$1000,"&lt;&gt;"&amp;""),"")</f>
        <v/>
      </c>
      <c r="E206" s="111" t="str">
        <f>IF(A206&lt;&gt;"",SUMIFS(node!$F$2:$F$500, node!$C$2:$C$500,"="&amp;A206, node!$C$2:$C$500,"&lt;&gt;"&amp;"")/(B206*D206),"")</f>
        <v/>
      </c>
      <c r="F206" s="112" t="str">
        <f>IF(A206&lt;&gt;"",SUMIFS(node!$H$2:$H$500, node!$C$2:$C$500,"="&amp;A206, node!$C$2:$C$500,"&lt;&gt;"&amp;"")/(C206*D206),"")</f>
        <v/>
      </c>
      <c r="G206" s="179" t="str">
        <f>IF(A206&lt;&gt;"",SUMIFS(deployment!$F$4:$F$502, deployment!$D$4:$D$502,"="&amp;A206, deployment!$D$4:$D$502,"&lt;&gt;"&amp;""),"")</f>
        <v/>
      </c>
      <c r="H206" s="181" t="str">
        <f>IF(A206&lt;&gt;"",SUMIFS(deployment!$G$4:$G$502, deployment!$D$4:$D$502,"="&amp;A206, deployment!$D$4:$D$502,"&lt;&gt;"&amp;""),"")</f>
        <v/>
      </c>
      <c r="I206" s="113" t="str">
        <f>IF(A206&lt;&gt;"",SUMIFS(deployment!$H$4:$H$502, deployment!$D$4:$D$502,"="&amp;A206, deployment!$D$4:$D$502,"&lt;&gt;"&amp;""),"")</f>
        <v/>
      </c>
      <c r="J206" s="114" t="str">
        <f>IF(A206&lt;&gt;"",SUMIFS(deployment!$I$4:$I$502, deployment!$D$4:$D$502,"="&amp;A206, deployment!$D$4:$D$502,"&lt;&gt;"&amp;""),"")</f>
        <v/>
      </c>
      <c r="K206" s="182" t="str">
        <f>IF(A206&lt;&gt;"",SUMIFS(deployment!$J$4:$J$1002, deployment!$D$4:$D$1002,"="&amp;A206, deployment!$D$4:$D$1002,"&lt;&gt;"&amp;"", deployment!$C$4:$C$1002, "&lt;&gt;* )")+SUMIFS(namespace!$G$4:$G$1002, namespace!$B$4:$B$1002,"="&amp;A206, namespace!$B$4:$B$1002,"&lt;&gt;"&amp;""),"")</f>
        <v/>
      </c>
      <c r="L206" s="182" t="str">
        <f>IF(A206&lt;&gt;"",SUMIFS(deployment!$K$4:$K$1002, deployment!$D$4:$D$1002,"="&amp;A206, deployment!$D$4:$D$1002,"&lt;&gt;"&amp;"", deployment!$C$4:$C$1002, "&lt;&gt;* )")+SUMIFS(namespace!$H$4:$H$1002, namespace!$B$4:$B$1002,"="&amp;A206, namespace!$B$4:$B$1002,"&lt;&gt;"&amp;""),"")</f>
        <v/>
      </c>
      <c r="M206" s="115" t="str">
        <f>IF(A206&lt;&gt;"",SUMIFS(deployment!$L$4:$L$1002, deployment!$D$4:$D$1002,"="&amp;A206, deployment!$D$4:$D$1002,"&lt;&gt;"&amp;"", deployment!$C$4:$C$1002, "&lt;&gt;* )")+SUMIFS(namespace!$I$4:$I$1002, namespace!$B$4:$B$1002,"="&amp;A206, namespace!$B$4:$B$1002,"&lt;&gt;"&amp;""),"")</f>
        <v/>
      </c>
      <c r="N206" s="115" t="str">
        <f>IF(A206&lt;&gt;"",SUMIFS(deployment!$M$4:$M$1002, deployment!$D$4:$D$1002,"="&amp;A206, deployment!$D$4:$D$1002,"&lt;&gt;"&amp;"", deployment!$C$4:$C$1002, "&lt;&gt;* )")+SUMIFS(namespace!$J$4:$J$1002, namespace!$B$4:$B$1002,"="&amp;A206, namespace!$B$4:$B$1002,"&lt;&gt;"&amp;""),"")</f>
        <v/>
      </c>
      <c r="O206" s="116" t="str">
        <f t="shared" si="43"/>
        <v/>
      </c>
      <c r="P206" s="63"/>
      <c r="Q206" s="164" t="str">
        <f t="shared" si="38"/>
        <v/>
      </c>
      <c r="R206" s="60" t="str">
        <f t="shared" si="39"/>
        <v/>
      </c>
      <c r="S206" s="60" t="str">
        <f t="shared" si="40"/>
        <v/>
      </c>
      <c r="T206" s="61" t="str">
        <f t="shared" si="41"/>
        <v/>
      </c>
      <c r="U206" s="61" t="str">
        <f t="shared" si="42"/>
        <v/>
      </c>
      <c r="V206" s="183" t="str">
        <f t="shared" si="44"/>
        <v/>
      </c>
      <c r="W206" s="183" t="str">
        <f t="shared" si="45"/>
        <v/>
      </c>
      <c r="X206" s="61" t="str">
        <f t="shared" si="46"/>
        <v/>
      </c>
      <c r="Y206" s="61" t="str">
        <f t="shared" si="47"/>
        <v/>
      </c>
      <c r="Z206" s="118" t="str">
        <f t="shared" si="48"/>
        <v/>
      </c>
      <c r="AA206" s="62" t="str">
        <f t="shared" si="49"/>
        <v/>
      </c>
      <c r="AB206" s="119" t="str">
        <f>IF(A206&lt;&gt;"", IF(P206&lt;&gt;0,SUMIFS(node!$J$2:$J$1000, node!$C$2:$C$1000,"="&amp;A206)/P206,0), "")</f>
        <v/>
      </c>
      <c r="AC206" s="81" t="str">
        <f>IF(A206&lt;&gt;"", IF(P206&lt;&gt;0,SUMIFS(node!$K$2:$K$1000, node!$C$2:$C$1000,"="&amp;A206)/P206,0), "")</f>
        <v/>
      </c>
      <c r="AD206" s="82" t="str">
        <f>IF(A206&lt;&gt;"", SUMIFS(node!$L$2:$L$1000, node!$C$2:$C$1000,"="&amp;A206), "")</f>
        <v/>
      </c>
      <c r="AE206" s="87" t="str">
        <f>IF(A206&lt;&gt;"", SUMIFS(node!$M$2:$M$1000, node!$C$2:$C$1000,"="&amp;A206), "")</f>
        <v/>
      </c>
    </row>
    <row r="207" spans="1:31" ht="15.75" customHeight="1" x14ac:dyDescent="0.25">
      <c r="A207" s="71" t="str">
        <f>IF(ISNONTEXT(node_raw[[#This Row],[Column2]]), "", node_raw[[#This Row],[Column2]])</f>
        <v/>
      </c>
      <c r="B207" s="108" t="str">
        <f>IF(A207&lt;&gt;"", VLOOKUP(A207, node!$C$2:$D$1000, 2, FALSE), "")</f>
        <v/>
      </c>
      <c r="C207" s="109" t="str">
        <f>IF(A207&lt;&gt;"", VLOOKUP(A207, node!$C$2:$E$1000, 3, FALSE), "")</f>
        <v/>
      </c>
      <c r="D207" s="110" t="str">
        <f>IF(A207&lt;&gt;"",COUNTIFS(node!$C$2:$C$1000,"="&amp;A207, node!$C$2:$C$1000,"&lt;&gt;"&amp;""),"")</f>
        <v/>
      </c>
      <c r="E207" s="111" t="str">
        <f>IF(A207&lt;&gt;"",SUMIFS(node!$F$2:$F$500, node!$C$2:$C$500,"="&amp;A207, node!$C$2:$C$500,"&lt;&gt;"&amp;"")/(B207*D207),"")</f>
        <v/>
      </c>
      <c r="F207" s="112" t="str">
        <f>IF(A207&lt;&gt;"",SUMIFS(node!$H$2:$H$500, node!$C$2:$C$500,"="&amp;A207, node!$C$2:$C$500,"&lt;&gt;"&amp;"")/(C207*D207),"")</f>
        <v/>
      </c>
      <c r="G207" s="179" t="str">
        <f>IF(A207&lt;&gt;"",SUMIFS(deployment!$F$4:$F$502, deployment!$D$4:$D$502,"="&amp;A207, deployment!$D$4:$D$502,"&lt;&gt;"&amp;""),"")</f>
        <v/>
      </c>
      <c r="H207" s="181" t="str">
        <f>IF(A207&lt;&gt;"",SUMIFS(deployment!$G$4:$G$502, deployment!$D$4:$D$502,"="&amp;A207, deployment!$D$4:$D$502,"&lt;&gt;"&amp;""),"")</f>
        <v/>
      </c>
      <c r="I207" s="113" t="str">
        <f>IF(A207&lt;&gt;"",SUMIFS(deployment!$H$4:$H$502, deployment!$D$4:$D$502,"="&amp;A207, deployment!$D$4:$D$502,"&lt;&gt;"&amp;""),"")</f>
        <v/>
      </c>
      <c r="J207" s="114" t="str">
        <f>IF(A207&lt;&gt;"",SUMIFS(deployment!$I$4:$I$502, deployment!$D$4:$D$502,"="&amp;A207, deployment!$D$4:$D$502,"&lt;&gt;"&amp;""),"")</f>
        <v/>
      </c>
      <c r="K207" s="182" t="str">
        <f>IF(A207&lt;&gt;"",SUMIFS(deployment!$J$4:$J$1002, deployment!$D$4:$D$1002,"="&amp;A207, deployment!$D$4:$D$1002,"&lt;&gt;"&amp;"", deployment!$C$4:$C$1002, "&lt;&gt;* )")+SUMIFS(namespace!$G$4:$G$1002, namespace!$B$4:$B$1002,"="&amp;A207, namespace!$B$4:$B$1002,"&lt;&gt;"&amp;""),"")</f>
        <v/>
      </c>
      <c r="L207" s="182" t="str">
        <f>IF(A207&lt;&gt;"",SUMIFS(deployment!$K$4:$K$1002, deployment!$D$4:$D$1002,"="&amp;A207, deployment!$D$4:$D$1002,"&lt;&gt;"&amp;"", deployment!$C$4:$C$1002, "&lt;&gt;* )")+SUMIFS(namespace!$H$4:$H$1002, namespace!$B$4:$B$1002,"="&amp;A207, namespace!$B$4:$B$1002,"&lt;&gt;"&amp;""),"")</f>
        <v/>
      </c>
      <c r="M207" s="115" t="str">
        <f>IF(A207&lt;&gt;"",SUMIFS(deployment!$L$4:$L$1002, deployment!$D$4:$D$1002,"="&amp;A207, deployment!$D$4:$D$1002,"&lt;&gt;"&amp;"", deployment!$C$4:$C$1002, "&lt;&gt;* )")+SUMIFS(namespace!$I$4:$I$1002, namespace!$B$4:$B$1002,"="&amp;A207, namespace!$B$4:$B$1002,"&lt;&gt;"&amp;""),"")</f>
        <v/>
      </c>
      <c r="N207" s="115" t="str">
        <f>IF(A207&lt;&gt;"",SUMIFS(deployment!$M$4:$M$1002, deployment!$D$4:$D$1002,"="&amp;A207, deployment!$D$4:$D$1002,"&lt;&gt;"&amp;"", deployment!$C$4:$C$1002, "&lt;&gt;* )")+SUMIFS(namespace!$J$4:$J$1002, namespace!$B$4:$B$1002,"="&amp;A207, namespace!$B$4:$B$1002,"&lt;&gt;"&amp;""),"")</f>
        <v/>
      </c>
      <c r="O207" s="116" t="str">
        <f t="shared" si="43"/>
        <v/>
      </c>
      <c r="P207" s="63"/>
      <c r="Q207" s="164" t="str">
        <f t="shared" si="38"/>
        <v/>
      </c>
      <c r="R207" s="60" t="str">
        <f t="shared" si="39"/>
        <v/>
      </c>
      <c r="S207" s="60" t="str">
        <f t="shared" si="40"/>
        <v/>
      </c>
      <c r="T207" s="61" t="str">
        <f t="shared" si="41"/>
        <v/>
      </c>
      <c r="U207" s="61" t="str">
        <f t="shared" si="42"/>
        <v/>
      </c>
      <c r="V207" s="183" t="str">
        <f t="shared" si="44"/>
        <v/>
      </c>
      <c r="W207" s="183" t="str">
        <f t="shared" si="45"/>
        <v/>
      </c>
      <c r="X207" s="61" t="str">
        <f t="shared" si="46"/>
        <v/>
      </c>
      <c r="Y207" s="61" t="str">
        <f t="shared" si="47"/>
        <v/>
      </c>
      <c r="Z207" s="118" t="str">
        <f t="shared" si="48"/>
        <v/>
      </c>
      <c r="AA207" s="62" t="str">
        <f t="shared" si="49"/>
        <v/>
      </c>
      <c r="AB207" s="119" t="str">
        <f>IF(A207&lt;&gt;"", IF(P207&lt;&gt;0,SUMIFS(node!$J$2:$J$1000, node!$C$2:$C$1000,"="&amp;A207)/P207,0), "")</f>
        <v/>
      </c>
      <c r="AC207" s="81" t="str">
        <f>IF(A207&lt;&gt;"", IF(P207&lt;&gt;0,SUMIFS(node!$K$2:$K$1000, node!$C$2:$C$1000,"="&amp;A207)/P207,0), "")</f>
        <v/>
      </c>
      <c r="AD207" s="82" t="str">
        <f>IF(A207&lt;&gt;"", SUMIFS(node!$L$2:$L$1000, node!$C$2:$C$1000,"="&amp;A207), "")</f>
        <v/>
      </c>
      <c r="AE207" s="87" t="str">
        <f>IF(A207&lt;&gt;"", SUMIFS(node!$M$2:$M$1000, node!$C$2:$C$1000,"="&amp;A207), "")</f>
        <v/>
      </c>
    </row>
    <row r="208" spans="1:31" ht="15.75" customHeight="1" x14ac:dyDescent="0.25">
      <c r="A208" s="71" t="str">
        <f>IF(ISNONTEXT(node_raw[[#This Row],[Column2]]), "", node_raw[[#This Row],[Column2]])</f>
        <v/>
      </c>
      <c r="B208" s="108" t="str">
        <f>IF(A208&lt;&gt;"", VLOOKUP(A208, node!$C$2:$D$1000, 2, FALSE), "")</f>
        <v/>
      </c>
      <c r="C208" s="109" t="str">
        <f>IF(A208&lt;&gt;"", VLOOKUP(A208, node!$C$2:$E$1000, 3, FALSE), "")</f>
        <v/>
      </c>
      <c r="D208" s="110" t="str">
        <f>IF(A208&lt;&gt;"",COUNTIFS(node!$C$2:$C$1000,"="&amp;A208, node!$C$2:$C$1000,"&lt;&gt;"&amp;""),"")</f>
        <v/>
      </c>
      <c r="E208" s="111" t="str">
        <f>IF(A208&lt;&gt;"",SUMIFS(node!$F$2:$F$500, node!$C$2:$C$500,"="&amp;A208, node!$C$2:$C$500,"&lt;&gt;"&amp;"")/(B208*D208),"")</f>
        <v/>
      </c>
      <c r="F208" s="112" t="str">
        <f>IF(A208&lt;&gt;"",SUMIFS(node!$H$2:$H$500, node!$C$2:$C$500,"="&amp;A208, node!$C$2:$C$500,"&lt;&gt;"&amp;"")/(C208*D208),"")</f>
        <v/>
      </c>
      <c r="G208" s="179" t="str">
        <f>IF(A208&lt;&gt;"",SUMIFS(deployment!$F$4:$F$502, deployment!$D$4:$D$502,"="&amp;A208, deployment!$D$4:$D$502,"&lt;&gt;"&amp;""),"")</f>
        <v/>
      </c>
      <c r="H208" s="181" t="str">
        <f>IF(A208&lt;&gt;"",SUMIFS(deployment!$G$4:$G$502, deployment!$D$4:$D$502,"="&amp;A208, deployment!$D$4:$D$502,"&lt;&gt;"&amp;""),"")</f>
        <v/>
      </c>
      <c r="I208" s="113" t="str">
        <f>IF(A208&lt;&gt;"",SUMIFS(deployment!$H$4:$H$502, deployment!$D$4:$D$502,"="&amp;A208, deployment!$D$4:$D$502,"&lt;&gt;"&amp;""),"")</f>
        <v/>
      </c>
      <c r="J208" s="114" t="str">
        <f>IF(A208&lt;&gt;"",SUMIFS(deployment!$I$4:$I$502, deployment!$D$4:$D$502,"="&amp;A208, deployment!$D$4:$D$502,"&lt;&gt;"&amp;""),"")</f>
        <v/>
      </c>
      <c r="K208" s="182" t="str">
        <f>IF(A208&lt;&gt;"",SUMIFS(deployment!$J$4:$J$1002, deployment!$D$4:$D$1002,"="&amp;A208, deployment!$D$4:$D$1002,"&lt;&gt;"&amp;"", deployment!$C$4:$C$1002, "&lt;&gt;* )")+SUMIFS(namespace!$G$4:$G$1002, namespace!$B$4:$B$1002,"="&amp;A208, namespace!$B$4:$B$1002,"&lt;&gt;"&amp;""),"")</f>
        <v/>
      </c>
      <c r="L208" s="182" t="str">
        <f>IF(A208&lt;&gt;"",SUMIFS(deployment!$K$4:$K$1002, deployment!$D$4:$D$1002,"="&amp;A208, deployment!$D$4:$D$1002,"&lt;&gt;"&amp;"", deployment!$C$4:$C$1002, "&lt;&gt;* )")+SUMIFS(namespace!$H$4:$H$1002, namespace!$B$4:$B$1002,"="&amp;A208, namespace!$B$4:$B$1002,"&lt;&gt;"&amp;""),"")</f>
        <v/>
      </c>
      <c r="M208" s="115" t="str">
        <f>IF(A208&lt;&gt;"",SUMIFS(deployment!$L$4:$L$1002, deployment!$D$4:$D$1002,"="&amp;A208, deployment!$D$4:$D$1002,"&lt;&gt;"&amp;"", deployment!$C$4:$C$1002, "&lt;&gt;* )")+SUMIFS(namespace!$I$4:$I$1002, namespace!$B$4:$B$1002,"="&amp;A208, namespace!$B$4:$B$1002,"&lt;&gt;"&amp;""),"")</f>
        <v/>
      </c>
      <c r="N208" s="115" t="str">
        <f>IF(A208&lt;&gt;"",SUMIFS(deployment!$M$4:$M$1002, deployment!$D$4:$D$1002,"="&amp;A208, deployment!$D$4:$D$1002,"&lt;&gt;"&amp;"", deployment!$C$4:$C$1002, "&lt;&gt;* )")+SUMIFS(namespace!$J$4:$J$1002, namespace!$B$4:$B$1002,"="&amp;A208, namespace!$B$4:$B$1002,"&lt;&gt;"&amp;""),"")</f>
        <v/>
      </c>
      <c r="O208" s="116" t="str">
        <f t="shared" si="43"/>
        <v/>
      </c>
      <c r="P208" s="63"/>
      <c r="Q208" s="164" t="str">
        <f t="shared" si="38"/>
        <v/>
      </c>
      <c r="R208" s="60" t="str">
        <f t="shared" si="39"/>
        <v/>
      </c>
      <c r="S208" s="60" t="str">
        <f t="shared" si="40"/>
        <v/>
      </c>
      <c r="T208" s="61" t="str">
        <f t="shared" si="41"/>
        <v/>
      </c>
      <c r="U208" s="61" t="str">
        <f t="shared" si="42"/>
        <v/>
      </c>
      <c r="V208" s="183" t="str">
        <f t="shared" si="44"/>
        <v/>
      </c>
      <c r="W208" s="183" t="str">
        <f t="shared" si="45"/>
        <v/>
      </c>
      <c r="X208" s="61" t="str">
        <f t="shared" si="46"/>
        <v/>
      </c>
      <c r="Y208" s="61" t="str">
        <f t="shared" si="47"/>
        <v/>
      </c>
      <c r="Z208" s="118" t="str">
        <f t="shared" si="48"/>
        <v/>
      </c>
      <c r="AA208" s="62" t="str">
        <f t="shared" si="49"/>
        <v/>
      </c>
      <c r="AB208" s="119" t="str">
        <f>IF(A208&lt;&gt;"", IF(P208&lt;&gt;0,SUMIFS(node!$J$2:$J$1000, node!$C$2:$C$1000,"="&amp;A208)/P208,0), "")</f>
        <v/>
      </c>
      <c r="AC208" s="81" t="str">
        <f>IF(A208&lt;&gt;"", IF(P208&lt;&gt;0,SUMIFS(node!$K$2:$K$1000, node!$C$2:$C$1000,"="&amp;A208)/P208,0), "")</f>
        <v/>
      </c>
      <c r="AD208" s="82" t="str">
        <f>IF(A208&lt;&gt;"", SUMIFS(node!$L$2:$L$1000, node!$C$2:$C$1000,"="&amp;A208), "")</f>
        <v/>
      </c>
      <c r="AE208" s="87" t="str">
        <f>IF(A208&lt;&gt;"", SUMIFS(node!$M$2:$M$1000, node!$C$2:$C$1000,"="&amp;A208), "")</f>
        <v/>
      </c>
    </row>
    <row r="209" spans="1:31" ht="15.75" customHeight="1" x14ac:dyDescent="0.25">
      <c r="A209" s="71" t="str">
        <f>IF(ISNONTEXT(node_raw[[#This Row],[Column2]]), "", node_raw[[#This Row],[Column2]])</f>
        <v/>
      </c>
      <c r="B209" s="108" t="str">
        <f>IF(A209&lt;&gt;"", VLOOKUP(A209, node!$C$2:$D$1000, 2, FALSE), "")</f>
        <v/>
      </c>
      <c r="C209" s="109" t="str">
        <f>IF(A209&lt;&gt;"", VLOOKUP(A209, node!$C$2:$E$1000, 3, FALSE), "")</f>
        <v/>
      </c>
      <c r="D209" s="110" t="str">
        <f>IF(A209&lt;&gt;"",COUNTIFS(node!$C$2:$C$1000,"="&amp;A209, node!$C$2:$C$1000,"&lt;&gt;"&amp;""),"")</f>
        <v/>
      </c>
      <c r="E209" s="111" t="str">
        <f>IF(A209&lt;&gt;"",SUMIFS(node!$F$2:$F$500, node!$C$2:$C$500,"="&amp;A209, node!$C$2:$C$500,"&lt;&gt;"&amp;"")/(B209*D209),"")</f>
        <v/>
      </c>
      <c r="F209" s="112" t="str">
        <f>IF(A209&lt;&gt;"",SUMIFS(node!$H$2:$H$500, node!$C$2:$C$500,"="&amp;A209, node!$C$2:$C$500,"&lt;&gt;"&amp;"")/(C209*D209),"")</f>
        <v/>
      </c>
      <c r="G209" s="179" t="str">
        <f>IF(A209&lt;&gt;"",SUMIFS(deployment!$F$4:$F$502, deployment!$D$4:$D$502,"="&amp;A209, deployment!$D$4:$D$502,"&lt;&gt;"&amp;""),"")</f>
        <v/>
      </c>
      <c r="H209" s="181" t="str">
        <f>IF(A209&lt;&gt;"",SUMIFS(deployment!$G$4:$G$502, deployment!$D$4:$D$502,"="&amp;A209, deployment!$D$4:$D$502,"&lt;&gt;"&amp;""),"")</f>
        <v/>
      </c>
      <c r="I209" s="113" t="str">
        <f>IF(A209&lt;&gt;"",SUMIFS(deployment!$H$4:$H$502, deployment!$D$4:$D$502,"="&amp;A209, deployment!$D$4:$D$502,"&lt;&gt;"&amp;""),"")</f>
        <v/>
      </c>
      <c r="J209" s="114" t="str">
        <f>IF(A209&lt;&gt;"",SUMIFS(deployment!$I$4:$I$502, deployment!$D$4:$D$502,"="&amp;A209, deployment!$D$4:$D$502,"&lt;&gt;"&amp;""),"")</f>
        <v/>
      </c>
      <c r="K209" s="182" t="str">
        <f>IF(A209&lt;&gt;"",SUMIFS(deployment!$J$4:$J$1002, deployment!$D$4:$D$1002,"="&amp;A209, deployment!$D$4:$D$1002,"&lt;&gt;"&amp;"", deployment!$C$4:$C$1002, "&lt;&gt;* )")+SUMIFS(namespace!$G$4:$G$1002, namespace!$B$4:$B$1002,"="&amp;A209, namespace!$B$4:$B$1002,"&lt;&gt;"&amp;""),"")</f>
        <v/>
      </c>
      <c r="L209" s="182" t="str">
        <f>IF(A209&lt;&gt;"",SUMIFS(deployment!$K$4:$K$1002, deployment!$D$4:$D$1002,"="&amp;A209, deployment!$D$4:$D$1002,"&lt;&gt;"&amp;"", deployment!$C$4:$C$1002, "&lt;&gt;* )")+SUMIFS(namespace!$H$4:$H$1002, namespace!$B$4:$B$1002,"="&amp;A209, namespace!$B$4:$B$1002,"&lt;&gt;"&amp;""),"")</f>
        <v/>
      </c>
      <c r="M209" s="115" t="str">
        <f>IF(A209&lt;&gt;"",SUMIFS(deployment!$L$4:$L$1002, deployment!$D$4:$D$1002,"="&amp;A209, deployment!$D$4:$D$1002,"&lt;&gt;"&amp;"", deployment!$C$4:$C$1002, "&lt;&gt;* )")+SUMIFS(namespace!$I$4:$I$1002, namespace!$B$4:$B$1002,"="&amp;A209, namespace!$B$4:$B$1002,"&lt;&gt;"&amp;""),"")</f>
        <v/>
      </c>
      <c r="N209" s="115" t="str">
        <f>IF(A209&lt;&gt;"",SUMIFS(deployment!$M$4:$M$1002, deployment!$D$4:$D$1002,"="&amp;A209, deployment!$D$4:$D$1002,"&lt;&gt;"&amp;"", deployment!$C$4:$C$1002, "&lt;&gt;* )")+SUMIFS(namespace!$J$4:$J$1002, namespace!$B$4:$B$1002,"="&amp;A209, namespace!$B$4:$B$1002,"&lt;&gt;"&amp;""),"")</f>
        <v/>
      </c>
      <c r="O209" s="116" t="str">
        <f t="shared" si="43"/>
        <v/>
      </c>
      <c r="P209" s="63"/>
      <c r="Q209" s="164" t="str">
        <f t="shared" si="38"/>
        <v/>
      </c>
      <c r="R209" s="60" t="str">
        <f t="shared" si="39"/>
        <v/>
      </c>
      <c r="S209" s="60" t="str">
        <f t="shared" si="40"/>
        <v/>
      </c>
      <c r="T209" s="61" t="str">
        <f t="shared" si="41"/>
        <v/>
      </c>
      <c r="U209" s="61" t="str">
        <f t="shared" si="42"/>
        <v/>
      </c>
      <c r="V209" s="183" t="str">
        <f t="shared" si="44"/>
        <v/>
      </c>
      <c r="W209" s="183" t="str">
        <f t="shared" si="45"/>
        <v/>
      </c>
      <c r="X209" s="61" t="str">
        <f t="shared" si="46"/>
        <v/>
      </c>
      <c r="Y209" s="61" t="str">
        <f t="shared" si="47"/>
        <v/>
      </c>
      <c r="Z209" s="118" t="str">
        <f t="shared" si="48"/>
        <v/>
      </c>
      <c r="AA209" s="62" t="str">
        <f t="shared" si="49"/>
        <v/>
      </c>
      <c r="AB209" s="119" t="str">
        <f>IF(A209&lt;&gt;"", IF(P209&lt;&gt;0,SUMIFS(node!$J$2:$J$1000, node!$C$2:$C$1000,"="&amp;A209)/P209,0), "")</f>
        <v/>
      </c>
      <c r="AC209" s="81" t="str">
        <f>IF(A209&lt;&gt;"", IF(P209&lt;&gt;0,SUMIFS(node!$K$2:$K$1000, node!$C$2:$C$1000,"="&amp;A209)/P209,0), "")</f>
        <v/>
      </c>
      <c r="AD209" s="82" t="str">
        <f>IF(A209&lt;&gt;"", SUMIFS(node!$L$2:$L$1000, node!$C$2:$C$1000,"="&amp;A209), "")</f>
        <v/>
      </c>
      <c r="AE209" s="87" t="str">
        <f>IF(A209&lt;&gt;"", SUMIFS(node!$M$2:$M$1000, node!$C$2:$C$1000,"="&amp;A209), "")</f>
        <v/>
      </c>
    </row>
    <row r="210" spans="1:31" ht="15.75" customHeight="1" x14ac:dyDescent="0.25">
      <c r="A210" s="71" t="str">
        <f>IF(ISNONTEXT(node_raw[[#This Row],[Column2]]), "", node_raw[[#This Row],[Column2]])</f>
        <v/>
      </c>
      <c r="B210" s="108" t="str">
        <f>IF(A210&lt;&gt;"", VLOOKUP(A210, node!$C$2:$D$1000, 2, FALSE), "")</f>
        <v/>
      </c>
      <c r="C210" s="109" t="str">
        <f>IF(A210&lt;&gt;"", VLOOKUP(A210, node!$C$2:$E$1000, 3, FALSE), "")</f>
        <v/>
      </c>
      <c r="D210" s="110" t="str">
        <f>IF(A210&lt;&gt;"",COUNTIFS(node!$C$2:$C$1000,"="&amp;A210, node!$C$2:$C$1000,"&lt;&gt;"&amp;""),"")</f>
        <v/>
      </c>
      <c r="E210" s="111" t="str">
        <f>IF(A210&lt;&gt;"",SUMIFS(node!$F$2:$F$500, node!$C$2:$C$500,"="&amp;A210, node!$C$2:$C$500,"&lt;&gt;"&amp;"")/(B210*D210),"")</f>
        <v/>
      </c>
      <c r="F210" s="112" t="str">
        <f>IF(A210&lt;&gt;"",SUMIFS(node!$H$2:$H$500, node!$C$2:$C$500,"="&amp;A210, node!$C$2:$C$500,"&lt;&gt;"&amp;"")/(C210*D210),"")</f>
        <v/>
      </c>
      <c r="G210" s="179" t="str">
        <f>IF(A210&lt;&gt;"",SUMIFS(deployment!$F$4:$F$502, deployment!$D$4:$D$502,"="&amp;A210, deployment!$D$4:$D$502,"&lt;&gt;"&amp;""),"")</f>
        <v/>
      </c>
      <c r="H210" s="181" t="str">
        <f>IF(A210&lt;&gt;"",SUMIFS(deployment!$G$4:$G$502, deployment!$D$4:$D$502,"="&amp;A210, deployment!$D$4:$D$502,"&lt;&gt;"&amp;""),"")</f>
        <v/>
      </c>
      <c r="I210" s="113" t="str">
        <f>IF(A210&lt;&gt;"",SUMIFS(deployment!$H$4:$H$502, deployment!$D$4:$D$502,"="&amp;A210, deployment!$D$4:$D$502,"&lt;&gt;"&amp;""),"")</f>
        <v/>
      </c>
      <c r="J210" s="114" t="str">
        <f>IF(A210&lt;&gt;"",SUMIFS(deployment!$I$4:$I$502, deployment!$D$4:$D$502,"="&amp;A210, deployment!$D$4:$D$502,"&lt;&gt;"&amp;""),"")</f>
        <v/>
      </c>
      <c r="K210" s="182" t="str">
        <f>IF(A210&lt;&gt;"",SUMIFS(deployment!$J$4:$J$1002, deployment!$D$4:$D$1002,"="&amp;A210, deployment!$D$4:$D$1002,"&lt;&gt;"&amp;"", deployment!$C$4:$C$1002, "&lt;&gt;* )")+SUMIFS(namespace!$G$4:$G$1002, namespace!$B$4:$B$1002,"="&amp;A210, namespace!$B$4:$B$1002,"&lt;&gt;"&amp;""),"")</f>
        <v/>
      </c>
      <c r="L210" s="182" t="str">
        <f>IF(A210&lt;&gt;"",SUMIFS(deployment!$K$4:$K$1002, deployment!$D$4:$D$1002,"="&amp;A210, deployment!$D$4:$D$1002,"&lt;&gt;"&amp;"", deployment!$C$4:$C$1002, "&lt;&gt;* )")+SUMIFS(namespace!$H$4:$H$1002, namespace!$B$4:$B$1002,"="&amp;A210, namespace!$B$4:$B$1002,"&lt;&gt;"&amp;""),"")</f>
        <v/>
      </c>
      <c r="M210" s="115" t="str">
        <f>IF(A210&lt;&gt;"",SUMIFS(deployment!$L$4:$L$1002, deployment!$D$4:$D$1002,"="&amp;A210, deployment!$D$4:$D$1002,"&lt;&gt;"&amp;"", deployment!$C$4:$C$1002, "&lt;&gt;* )")+SUMIFS(namespace!$I$4:$I$1002, namespace!$B$4:$B$1002,"="&amp;A210, namespace!$B$4:$B$1002,"&lt;&gt;"&amp;""),"")</f>
        <v/>
      </c>
      <c r="N210" s="115" t="str">
        <f>IF(A210&lt;&gt;"",SUMIFS(deployment!$M$4:$M$1002, deployment!$D$4:$D$1002,"="&amp;A210, deployment!$D$4:$D$1002,"&lt;&gt;"&amp;"", deployment!$C$4:$C$1002, "&lt;&gt;* )")+SUMIFS(namespace!$J$4:$J$1002, namespace!$B$4:$B$1002,"="&amp;A210, namespace!$B$4:$B$1002,"&lt;&gt;"&amp;""),"")</f>
        <v/>
      </c>
      <c r="O210" s="116" t="str">
        <f t="shared" si="43"/>
        <v/>
      </c>
      <c r="P210" s="63"/>
      <c r="Q210" s="164" t="str">
        <f t="shared" si="38"/>
        <v/>
      </c>
      <c r="R210" s="60" t="str">
        <f t="shared" si="39"/>
        <v/>
      </c>
      <c r="S210" s="60" t="str">
        <f t="shared" si="40"/>
        <v/>
      </c>
      <c r="T210" s="61" t="str">
        <f t="shared" si="41"/>
        <v/>
      </c>
      <c r="U210" s="61" t="str">
        <f t="shared" si="42"/>
        <v/>
      </c>
      <c r="V210" s="183" t="str">
        <f t="shared" si="44"/>
        <v/>
      </c>
      <c r="W210" s="183" t="str">
        <f t="shared" si="45"/>
        <v/>
      </c>
      <c r="X210" s="61" t="str">
        <f t="shared" si="46"/>
        <v/>
      </c>
      <c r="Y210" s="61" t="str">
        <f t="shared" si="47"/>
        <v/>
      </c>
      <c r="Z210" s="118" t="str">
        <f t="shared" si="48"/>
        <v/>
      </c>
      <c r="AA210" s="62" t="str">
        <f t="shared" si="49"/>
        <v/>
      </c>
      <c r="AB210" s="119" t="str">
        <f>IF(A210&lt;&gt;"", IF(P210&lt;&gt;0,SUMIFS(node!$J$2:$J$1000, node!$C$2:$C$1000,"="&amp;A210)/P210,0), "")</f>
        <v/>
      </c>
      <c r="AC210" s="81" t="str">
        <f>IF(A210&lt;&gt;"", IF(P210&lt;&gt;0,SUMIFS(node!$K$2:$K$1000, node!$C$2:$C$1000,"="&amp;A210)/P210,0), "")</f>
        <v/>
      </c>
      <c r="AD210" s="82" t="str">
        <f>IF(A210&lt;&gt;"", SUMIFS(node!$L$2:$L$1000, node!$C$2:$C$1000,"="&amp;A210), "")</f>
        <v/>
      </c>
      <c r="AE210" s="87" t="str">
        <f>IF(A210&lt;&gt;"", SUMIFS(node!$M$2:$M$1000, node!$C$2:$C$1000,"="&amp;A210), "")</f>
        <v/>
      </c>
    </row>
    <row r="211" spans="1:31" ht="15.75" customHeight="1" x14ac:dyDescent="0.25">
      <c r="A211" s="71" t="str">
        <f>IF(ISNONTEXT(node_raw[[#This Row],[Column2]]), "", node_raw[[#This Row],[Column2]])</f>
        <v/>
      </c>
      <c r="B211" s="108" t="str">
        <f>IF(A211&lt;&gt;"", VLOOKUP(A211, node!$C$2:$D$1000, 2, FALSE), "")</f>
        <v/>
      </c>
      <c r="C211" s="109" t="str">
        <f>IF(A211&lt;&gt;"", VLOOKUP(A211, node!$C$2:$E$1000, 3, FALSE), "")</f>
        <v/>
      </c>
      <c r="D211" s="110" t="str">
        <f>IF(A211&lt;&gt;"",COUNTIFS(node!$C$2:$C$1000,"="&amp;A211, node!$C$2:$C$1000,"&lt;&gt;"&amp;""),"")</f>
        <v/>
      </c>
      <c r="E211" s="111" t="str">
        <f>IF(A211&lt;&gt;"",SUMIFS(node!$F$2:$F$500, node!$C$2:$C$500,"="&amp;A211, node!$C$2:$C$500,"&lt;&gt;"&amp;"")/(B211*D211),"")</f>
        <v/>
      </c>
      <c r="F211" s="112" t="str">
        <f>IF(A211&lt;&gt;"",SUMIFS(node!$H$2:$H$500, node!$C$2:$C$500,"="&amp;A211, node!$C$2:$C$500,"&lt;&gt;"&amp;"")/(C211*D211),"")</f>
        <v/>
      </c>
      <c r="G211" s="179" t="str">
        <f>IF(A211&lt;&gt;"",SUMIFS(deployment!$F$4:$F$502, deployment!$D$4:$D$502,"="&amp;A211, deployment!$D$4:$D$502,"&lt;&gt;"&amp;""),"")</f>
        <v/>
      </c>
      <c r="H211" s="181" t="str">
        <f>IF(A211&lt;&gt;"",SUMIFS(deployment!$G$4:$G$502, deployment!$D$4:$D$502,"="&amp;A211, deployment!$D$4:$D$502,"&lt;&gt;"&amp;""),"")</f>
        <v/>
      </c>
      <c r="I211" s="113" t="str">
        <f>IF(A211&lt;&gt;"",SUMIFS(deployment!$H$4:$H$502, deployment!$D$4:$D$502,"="&amp;A211, deployment!$D$4:$D$502,"&lt;&gt;"&amp;""),"")</f>
        <v/>
      </c>
      <c r="J211" s="114" t="str">
        <f>IF(A211&lt;&gt;"",SUMIFS(deployment!$I$4:$I$502, deployment!$D$4:$D$502,"="&amp;A211, deployment!$D$4:$D$502,"&lt;&gt;"&amp;""),"")</f>
        <v/>
      </c>
      <c r="K211" s="182" t="str">
        <f>IF(A211&lt;&gt;"",SUMIFS(deployment!$J$4:$J$1002, deployment!$D$4:$D$1002,"="&amp;A211, deployment!$D$4:$D$1002,"&lt;&gt;"&amp;"", deployment!$C$4:$C$1002, "&lt;&gt;* )")+SUMIFS(namespace!$G$4:$G$1002, namespace!$B$4:$B$1002,"="&amp;A211, namespace!$B$4:$B$1002,"&lt;&gt;"&amp;""),"")</f>
        <v/>
      </c>
      <c r="L211" s="182" t="str">
        <f>IF(A211&lt;&gt;"",SUMIFS(deployment!$K$4:$K$1002, deployment!$D$4:$D$1002,"="&amp;A211, deployment!$D$4:$D$1002,"&lt;&gt;"&amp;"", deployment!$C$4:$C$1002, "&lt;&gt;* )")+SUMIFS(namespace!$H$4:$H$1002, namespace!$B$4:$B$1002,"="&amp;A211, namespace!$B$4:$B$1002,"&lt;&gt;"&amp;""),"")</f>
        <v/>
      </c>
      <c r="M211" s="115" t="str">
        <f>IF(A211&lt;&gt;"",SUMIFS(deployment!$L$4:$L$1002, deployment!$D$4:$D$1002,"="&amp;A211, deployment!$D$4:$D$1002,"&lt;&gt;"&amp;"", deployment!$C$4:$C$1002, "&lt;&gt;* )")+SUMIFS(namespace!$I$4:$I$1002, namespace!$B$4:$B$1002,"="&amp;A211, namespace!$B$4:$B$1002,"&lt;&gt;"&amp;""),"")</f>
        <v/>
      </c>
      <c r="N211" s="115" t="str">
        <f>IF(A211&lt;&gt;"",SUMIFS(deployment!$M$4:$M$1002, deployment!$D$4:$D$1002,"="&amp;A211, deployment!$D$4:$D$1002,"&lt;&gt;"&amp;"", deployment!$C$4:$C$1002, "&lt;&gt;* )")+SUMIFS(namespace!$J$4:$J$1002, namespace!$B$4:$B$1002,"="&amp;A211, namespace!$B$4:$B$1002,"&lt;&gt;"&amp;""),"")</f>
        <v/>
      </c>
      <c r="O211" s="116" t="str">
        <f t="shared" si="43"/>
        <v/>
      </c>
      <c r="P211" s="63"/>
      <c r="Q211" s="164" t="str">
        <f t="shared" si="38"/>
        <v/>
      </c>
      <c r="R211" s="60" t="str">
        <f t="shared" si="39"/>
        <v/>
      </c>
      <c r="S211" s="60" t="str">
        <f t="shared" si="40"/>
        <v/>
      </c>
      <c r="T211" s="61" t="str">
        <f t="shared" si="41"/>
        <v/>
      </c>
      <c r="U211" s="61" t="str">
        <f t="shared" si="42"/>
        <v/>
      </c>
      <c r="V211" s="183" t="str">
        <f t="shared" si="44"/>
        <v/>
      </c>
      <c r="W211" s="183" t="str">
        <f t="shared" si="45"/>
        <v/>
      </c>
      <c r="X211" s="61" t="str">
        <f t="shared" si="46"/>
        <v/>
      </c>
      <c r="Y211" s="61" t="str">
        <f t="shared" si="47"/>
        <v/>
      </c>
      <c r="Z211" s="118" t="str">
        <f t="shared" si="48"/>
        <v/>
      </c>
      <c r="AA211" s="62" t="str">
        <f t="shared" si="49"/>
        <v/>
      </c>
      <c r="AB211" s="119" t="str">
        <f>IF(A211&lt;&gt;"", IF(P211&lt;&gt;0,SUMIFS(node!$J$2:$J$1000, node!$C$2:$C$1000,"="&amp;A211)/P211,0), "")</f>
        <v/>
      </c>
      <c r="AC211" s="81" t="str">
        <f>IF(A211&lt;&gt;"", IF(P211&lt;&gt;0,SUMIFS(node!$K$2:$K$1000, node!$C$2:$C$1000,"="&amp;A211)/P211,0), "")</f>
        <v/>
      </c>
      <c r="AD211" s="82" t="str">
        <f>IF(A211&lt;&gt;"", SUMIFS(node!$L$2:$L$1000, node!$C$2:$C$1000,"="&amp;A211), "")</f>
        <v/>
      </c>
      <c r="AE211" s="87" t="str">
        <f>IF(A211&lt;&gt;"", SUMIFS(node!$M$2:$M$1000, node!$C$2:$C$1000,"="&amp;A211), "")</f>
        <v/>
      </c>
    </row>
    <row r="212" spans="1:31" ht="15.75" customHeight="1" x14ac:dyDescent="0.25">
      <c r="A212" s="71" t="str">
        <f>IF(ISNONTEXT(node_raw[[#This Row],[Column2]]), "", node_raw[[#This Row],[Column2]])</f>
        <v/>
      </c>
      <c r="B212" s="108" t="str">
        <f>IF(A212&lt;&gt;"", VLOOKUP(A212, node!$C$2:$D$1000, 2, FALSE), "")</f>
        <v/>
      </c>
      <c r="C212" s="109" t="str">
        <f>IF(A212&lt;&gt;"", VLOOKUP(A212, node!$C$2:$E$1000, 3, FALSE), "")</f>
        <v/>
      </c>
      <c r="D212" s="110" t="str">
        <f>IF(A212&lt;&gt;"",COUNTIFS(node!$C$2:$C$1000,"="&amp;A212, node!$C$2:$C$1000,"&lt;&gt;"&amp;""),"")</f>
        <v/>
      </c>
      <c r="E212" s="111" t="str">
        <f>IF(A212&lt;&gt;"",SUMIFS(node!$F$2:$F$500, node!$C$2:$C$500,"="&amp;A212, node!$C$2:$C$500,"&lt;&gt;"&amp;"")/(B212*D212),"")</f>
        <v/>
      </c>
      <c r="F212" s="112" t="str">
        <f>IF(A212&lt;&gt;"",SUMIFS(node!$H$2:$H$500, node!$C$2:$C$500,"="&amp;A212, node!$C$2:$C$500,"&lt;&gt;"&amp;"")/(C212*D212),"")</f>
        <v/>
      </c>
      <c r="G212" s="179" t="str">
        <f>IF(A212&lt;&gt;"",SUMIFS(deployment!$F$4:$F$502, deployment!$D$4:$D$502,"="&amp;A212, deployment!$D$4:$D$502,"&lt;&gt;"&amp;""),"")</f>
        <v/>
      </c>
      <c r="H212" s="181" t="str">
        <f>IF(A212&lt;&gt;"",SUMIFS(deployment!$G$4:$G$502, deployment!$D$4:$D$502,"="&amp;A212, deployment!$D$4:$D$502,"&lt;&gt;"&amp;""),"")</f>
        <v/>
      </c>
      <c r="I212" s="113" t="str">
        <f>IF(A212&lt;&gt;"",SUMIFS(deployment!$H$4:$H$502, deployment!$D$4:$D$502,"="&amp;A212, deployment!$D$4:$D$502,"&lt;&gt;"&amp;""),"")</f>
        <v/>
      </c>
      <c r="J212" s="114" t="str">
        <f>IF(A212&lt;&gt;"",SUMIFS(deployment!$I$4:$I$502, deployment!$D$4:$D$502,"="&amp;A212, deployment!$D$4:$D$502,"&lt;&gt;"&amp;""),"")</f>
        <v/>
      </c>
      <c r="K212" s="182" t="str">
        <f>IF(A212&lt;&gt;"",SUMIFS(deployment!$J$4:$J$1002, deployment!$D$4:$D$1002,"="&amp;A212, deployment!$D$4:$D$1002,"&lt;&gt;"&amp;"", deployment!$C$4:$C$1002, "&lt;&gt;* )")+SUMIFS(namespace!$G$4:$G$1002, namespace!$B$4:$B$1002,"="&amp;A212, namespace!$B$4:$B$1002,"&lt;&gt;"&amp;""),"")</f>
        <v/>
      </c>
      <c r="L212" s="182" t="str">
        <f>IF(A212&lt;&gt;"",SUMIFS(deployment!$K$4:$K$1002, deployment!$D$4:$D$1002,"="&amp;A212, deployment!$D$4:$D$1002,"&lt;&gt;"&amp;"", deployment!$C$4:$C$1002, "&lt;&gt;* )")+SUMIFS(namespace!$H$4:$H$1002, namespace!$B$4:$B$1002,"="&amp;A212, namespace!$B$4:$B$1002,"&lt;&gt;"&amp;""),"")</f>
        <v/>
      </c>
      <c r="M212" s="115" t="str">
        <f>IF(A212&lt;&gt;"",SUMIFS(deployment!$L$4:$L$1002, deployment!$D$4:$D$1002,"="&amp;A212, deployment!$D$4:$D$1002,"&lt;&gt;"&amp;"", deployment!$C$4:$C$1002, "&lt;&gt;* )")+SUMIFS(namespace!$I$4:$I$1002, namespace!$B$4:$B$1002,"="&amp;A212, namespace!$B$4:$B$1002,"&lt;&gt;"&amp;""),"")</f>
        <v/>
      </c>
      <c r="N212" s="115" t="str">
        <f>IF(A212&lt;&gt;"",SUMIFS(deployment!$M$4:$M$1002, deployment!$D$4:$D$1002,"="&amp;A212, deployment!$D$4:$D$1002,"&lt;&gt;"&amp;"", deployment!$C$4:$C$1002, "&lt;&gt;* )")+SUMIFS(namespace!$J$4:$J$1002, namespace!$B$4:$B$1002,"="&amp;A212, namespace!$B$4:$B$1002,"&lt;&gt;"&amp;""),"")</f>
        <v/>
      </c>
      <c r="O212" s="116" t="str">
        <f t="shared" si="43"/>
        <v/>
      </c>
      <c r="P212" s="63"/>
      <c r="Q212" s="164" t="str">
        <f t="shared" si="38"/>
        <v/>
      </c>
      <c r="R212" s="60" t="str">
        <f t="shared" si="39"/>
        <v/>
      </c>
      <c r="S212" s="60" t="str">
        <f t="shared" si="40"/>
        <v/>
      </c>
      <c r="T212" s="61" t="str">
        <f t="shared" si="41"/>
        <v/>
      </c>
      <c r="U212" s="61" t="str">
        <f t="shared" si="42"/>
        <v/>
      </c>
      <c r="V212" s="183" t="str">
        <f t="shared" si="44"/>
        <v/>
      </c>
      <c r="W212" s="183" t="str">
        <f t="shared" si="45"/>
        <v/>
      </c>
      <c r="X212" s="61" t="str">
        <f t="shared" si="46"/>
        <v/>
      </c>
      <c r="Y212" s="61" t="str">
        <f t="shared" si="47"/>
        <v/>
      </c>
      <c r="Z212" s="118" t="str">
        <f t="shared" si="48"/>
        <v/>
      </c>
      <c r="AA212" s="62" t="str">
        <f t="shared" si="49"/>
        <v/>
      </c>
      <c r="AB212" s="119" t="str">
        <f>IF(A212&lt;&gt;"", IF(P212&lt;&gt;0,SUMIFS(node!$J$2:$J$1000, node!$C$2:$C$1000,"="&amp;A212)/P212,0), "")</f>
        <v/>
      </c>
      <c r="AC212" s="81" t="str">
        <f>IF(A212&lt;&gt;"", IF(P212&lt;&gt;0,SUMIFS(node!$K$2:$K$1000, node!$C$2:$C$1000,"="&amp;A212)/P212,0), "")</f>
        <v/>
      </c>
      <c r="AD212" s="82" t="str">
        <f>IF(A212&lt;&gt;"", SUMIFS(node!$L$2:$L$1000, node!$C$2:$C$1000,"="&amp;A212), "")</f>
        <v/>
      </c>
      <c r="AE212" s="87" t="str">
        <f>IF(A212&lt;&gt;"", SUMIFS(node!$M$2:$M$1000, node!$C$2:$C$1000,"="&amp;A212), "")</f>
        <v/>
      </c>
    </row>
    <row r="213" spans="1:31" ht="15.75" customHeight="1" x14ac:dyDescent="0.25">
      <c r="A213" s="71" t="str">
        <f>IF(ISNONTEXT(node_raw[[#This Row],[Column2]]), "", node_raw[[#This Row],[Column2]])</f>
        <v/>
      </c>
      <c r="B213" s="108" t="str">
        <f>IF(A213&lt;&gt;"", VLOOKUP(A213, node!$C$2:$D$1000, 2, FALSE), "")</f>
        <v/>
      </c>
      <c r="C213" s="109" t="str">
        <f>IF(A213&lt;&gt;"", VLOOKUP(A213, node!$C$2:$E$1000, 3, FALSE), "")</f>
        <v/>
      </c>
      <c r="D213" s="110" t="str">
        <f>IF(A213&lt;&gt;"",COUNTIFS(node!$C$2:$C$1000,"="&amp;A213, node!$C$2:$C$1000,"&lt;&gt;"&amp;""),"")</f>
        <v/>
      </c>
      <c r="E213" s="111" t="str">
        <f>IF(A213&lt;&gt;"",SUMIFS(node!$F$2:$F$500, node!$C$2:$C$500,"="&amp;A213, node!$C$2:$C$500,"&lt;&gt;"&amp;"")/(B213*D213),"")</f>
        <v/>
      </c>
      <c r="F213" s="112" t="str">
        <f>IF(A213&lt;&gt;"",SUMIFS(node!$H$2:$H$500, node!$C$2:$C$500,"="&amp;A213, node!$C$2:$C$500,"&lt;&gt;"&amp;"")/(C213*D213),"")</f>
        <v/>
      </c>
      <c r="G213" s="179" t="str">
        <f>IF(A213&lt;&gt;"",SUMIFS(deployment!$F$4:$F$502, deployment!$D$4:$D$502,"="&amp;A213, deployment!$D$4:$D$502,"&lt;&gt;"&amp;""),"")</f>
        <v/>
      </c>
      <c r="H213" s="181" t="str">
        <f>IF(A213&lt;&gt;"",SUMIFS(deployment!$G$4:$G$502, deployment!$D$4:$D$502,"="&amp;A213, deployment!$D$4:$D$502,"&lt;&gt;"&amp;""),"")</f>
        <v/>
      </c>
      <c r="I213" s="113" t="str">
        <f>IF(A213&lt;&gt;"",SUMIFS(deployment!$H$4:$H$502, deployment!$D$4:$D$502,"="&amp;A213, deployment!$D$4:$D$502,"&lt;&gt;"&amp;""),"")</f>
        <v/>
      </c>
      <c r="J213" s="114" t="str">
        <f>IF(A213&lt;&gt;"",SUMIFS(deployment!$I$4:$I$502, deployment!$D$4:$D$502,"="&amp;A213, deployment!$D$4:$D$502,"&lt;&gt;"&amp;""),"")</f>
        <v/>
      </c>
      <c r="K213" s="182" t="str">
        <f>IF(A213&lt;&gt;"",SUMIFS(deployment!$J$4:$J$1002, deployment!$D$4:$D$1002,"="&amp;A213, deployment!$D$4:$D$1002,"&lt;&gt;"&amp;"", deployment!$C$4:$C$1002, "&lt;&gt;* )")+SUMIFS(namespace!$G$4:$G$1002, namespace!$B$4:$B$1002,"="&amp;A213, namespace!$B$4:$B$1002,"&lt;&gt;"&amp;""),"")</f>
        <v/>
      </c>
      <c r="L213" s="182" t="str">
        <f>IF(A213&lt;&gt;"",SUMIFS(deployment!$K$4:$K$1002, deployment!$D$4:$D$1002,"="&amp;A213, deployment!$D$4:$D$1002,"&lt;&gt;"&amp;"", deployment!$C$4:$C$1002, "&lt;&gt;* )")+SUMIFS(namespace!$H$4:$H$1002, namespace!$B$4:$B$1002,"="&amp;A213, namespace!$B$4:$B$1002,"&lt;&gt;"&amp;""),"")</f>
        <v/>
      </c>
      <c r="M213" s="115" t="str">
        <f>IF(A213&lt;&gt;"",SUMIFS(deployment!$L$4:$L$1002, deployment!$D$4:$D$1002,"="&amp;A213, deployment!$D$4:$D$1002,"&lt;&gt;"&amp;"", deployment!$C$4:$C$1002, "&lt;&gt;* )")+SUMIFS(namespace!$I$4:$I$1002, namespace!$B$4:$B$1002,"="&amp;A213, namespace!$B$4:$B$1002,"&lt;&gt;"&amp;""),"")</f>
        <v/>
      </c>
      <c r="N213" s="115" t="str">
        <f>IF(A213&lt;&gt;"",SUMIFS(deployment!$M$4:$M$1002, deployment!$D$4:$D$1002,"="&amp;A213, deployment!$D$4:$D$1002,"&lt;&gt;"&amp;"", deployment!$C$4:$C$1002, "&lt;&gt;* )")+SUMIFS(namespace!$J$4:$J$1002, namespace!$B$4:$B$1002,"="&amp;A213, namespace!$B$4:$B$1002,"&lt;&gt;"&amp;""),"")</f>
        <v/>
      </c>
      <c r="O213" s="116" t="str">
        <f t="shared" si="43"/>
        <v/>
      </c>
      <c r="P213" s="63"/>
      <c r="Q213" s="164" t="str">
        <f t="shared" si="38"/>
        <v/>
      </c>
      <c r="R213" s="60" t="str">
        <f t="shared" si="39"/>
        <v/>
      </c>
      <c r="S213" s="60" t="str">
        <f t="shared" si="40"/>
        <v/>
      </c>
      <c r="T213" s="61" t="str">
        <f t="shared" si="41"/>
        <v/>
      </c>
      <c r="U213" s="61" t="str">
        <f t="shared" si="42"/>
        <v/>
      </c>
      <c r="V213" s="183" t="str">
        <f t="shared" si="44"/>
        <v/>
      </c>
      <c r="W213" s="183" t="str">
        <f t="shared" si="45"/>
        <v/>
      </c>
      <c r="X213" s="61" t="str">
        <f t="shared" si="46"/>
        <v/>
      </c>
      <c r="Y213" s="61" t="str">
        <f t="shared" si="47"/>
        <v/>
      </c>
      <c r="Z213" s="118" t="str">
        <f t="shared" si="48"/>
        <v/>
      </c>
      <c r="AA213" s="62" t="str">
        <f t="shared" si="49"/>
        <v/>
      </c>
      <c r="AB213" s="119" t="str">
        <f>IF(A213&lt;&gt;"", IF(P213&lt;&gt;0,SUMIFS(node!$J$2:$J$1000, node!$C$2:$C$1000,"="&amp;A213)/P213,0), "")</f>
        <v/>
      </c>
      <c r="AC213" s="81" t="str">
        <f>IF(A213&lt;&gt;"", IF(P213&lt;&gt;0,SUMIFS(node!$K$2:$K$1000, node!$C$2:$C$1000,"="&amp;A213)/P213,0), "")</f>
        <v/>
      </c>
      <c r="AD213" s="82" t="str">
        <f>IF(A213&lt;&gt;"", SUMIFS(node!$L$2:$L$1000, node!$C$2:$C$1000,"="&amp;A213), "")</f>
        <v/>
      </c>
      <c r="AE213" s="87" t="str">
        <f>IF(A213&lt;&gt;"", SUMIFS(node!$M$2:$M$1000, node!$C$2:$C$1000,"="&amp;A213), "")</f>
        <v/>
      </c>
    </row>
    <row r="214" spans="1:31" ht="15.75" customHeight="1" x14ac:dyDescent="0.25">
      <c r="A214" s="71" t="str">
        <f>IF(ISNONTEXT(node_raw[[#This Row],[Column2]]), "", node_raw[[#This Row],[Column2]])</f>
        <v/>
      </c>
      <c r="B214" s="108" t="str">
        <f>IF(A214&lt;&gt;"", VLOOKUP(A214, node!$C$2:$D$1000, 2, FALSE), "")</f>
        <v/>
      </c>
      <c r="C214" s="109" t="str">
        <f>IF(A214&lt;&gt;"", VLOOKUP(A214, node!$C$2:$E$1000, 3, FALSE), "")</f>
        <v/>
      </c>
      <c r="D214" s="110" t="str">
        <f>IF(A214&lt;&gt;"",COUNTIFS(node!$C$2:$C$1000,"="&amp;A214, node!$C$2:$C$1000,"&lt;&gt;"&amp;""),"")</f>
        <v/>
      </c>
      <c r="E214" s="111" t="str">
        <f>IF(A214&lt;&gt;"",SUMIFS(node!$F$2:$F$500, node!$C$2:$C$500,"="&amp;A214, node!$C$2:$C$500,"&lt;&gt;"&amp;"")/(B214*D214),"")</f>
        <v/>
      </c>
      <c r="F214" s="112" t="str">
        <f>IF(A214&lt;&gt;"",SUMIFS(node!$H$2:$H$500, node!$C$2:$C$500,"="&amp;A214, node!$C$2:$C$500,"&lt;&gt;"&amp;"")/(C214*D214),"")</f>
        <v/>
      </c>
      <c r="G214" s="179" t="str">
        <f>IF(A214&lt;&gt;"",SUMIFS(deployment!$F$4:$F$502, deployment!$D$4:$D$502,"="&amp;A214, deployment!$D$4:$D$502,"&lt;&gt;"&amp;""),"")</f>
        <v/>
      </c>
      <c r="H214" s="181" t="str">
        <f>IF(A214&lt;&gt;"",SUMIFS(deployment!$G$4:$G$502, deployment!$D$4:$D$502,"="&amp;A214, deployment!$D$4:$D$502,"&lt;&gt;"&amp;""),"")</f>
        <v/>
      </c>
      <c r="I214" s="113" t="str">
        <f>IF(A214&lt;&gt;"",SUMIFS(deployment!$H$4:$H$502, deployment!$D$4:$D$502,"="&amp;A214, deployment!$D$4:$D$502,"&lt;&gt;"&amp;""),"")</f>
        <v/>
      </c>
      <c r="J214" s="114" t="str">
        <f>IF(A214&lt;&gt;"",SUMIFS(deployment!$I$4:$I$502, deployment!$D$4:$D$502,"="&amp;A214, deployment!$D$4:$D$502,"&lt;&gt;"&amp;""),"")</f>
        <v/>
      </c>
      <c r="K214" s="182" t="str">
        <f>IF(A214&lt;&gt;"",SUMIFS(deployment!$J$4:$J$1002, deployment!$D$4:$D$1002,"="&amp;A214, deployment!$D$4:$D$1002,"&lt;&gt;"&amp;"", deployment!$C$4:$C$1002, "&lt;&gt;* )")+SUMIFS(namespace!$G$4:$G$1002, namespace!$B$4:$B$1002,"="&amp;A214, namespace!$B$4:$B$1002,"&lt;&gt;"&amp;""),"")</f>
        <v/>
      </c>
      <c r="L214" s="182" t="str">
        <f>IF(A214&lt;&gt;"",SUMIFS(deployment!$K$4:$K$1002, deployment!$D$4:$D$1002,"="&amp;A214, deployment!$D$4:$D$1002,"&lt;&gt;"&amp;"", deployment!$C$4:$C$1002, "&lt;&gt;* )")+SUMIFS(namespace!$H$4:$H$1002, namespace!$B$4:$B$1002,"="&amp;A214, namespace!$B$4:$B$1002,"&lt;&gt;"&amp;""),"")</f>
        <v/>
      </c>
      <c r="M214" s="115" t="str">
        <f>IF(A214&lt;&gt;"",SUMIFS(deployment!$L$4:$L$1002, deployment!$D$4:$D$1002,"="&amp;A214, deployment!$D$4:$D$1002,"&lt;&gt;"&amp;"", deployment!$C$4:$C$1002, "&lt;&gt;* )")+SUMIFS(namespace!$I$4:$I$1002, namespace!$B$4:$B$1002,"="&amp;A214, namespace!$B$4:$B$1002,"&lt;&gt;"&amp;""),"")</f>
        <v/>
      </c>
      <c r="N214" s="115" t="str">
        <f>IF(A214&lt;&gt;"",SUMIFS(deployment!$M$4:$M$1002, deployment!$D$4:$D$1002,"="&amp;A214, deployment!$D$4:$D$1002,"&lt;&gt;"&amp;"", deployment!$C$4:$C$1002, "&lt;&gt;* )")+SUMIFS(namespace!$J$4:$J$1002, namespace!$B$4:$B$1002,"="&amp;A214, namespace!$B$4:$B$1002,"&lt;&gt;"&amp;""),"")</f>
        <v/>
      </c>
      <c r="O214" s="116" t="str">
        <f t="shared" si="43"/>
        <v/>
      </c>
      <c r="P214" s="63"/>
      <c r="Q214" s="164" t="str">
        <f t="shared" si="38"/>
        <v/>
      </c>
      <c r="R214" s="60" t="str">
        <f t="shared" si="39"/>
        <v/>
      </c>
      <c r="S214" s="60" t="str">
        <f t="shared" si="40"/>
        <v/>
      </c>
      <c r="T214" s="61" t="str">
        <f t="shared" si="41"/>
        <v/>
      </c>
      <c r="U214" s="61" t="str">
        <f t="shared" si="42"/>
        <v/>
      </c>
      <c r="V214" s="183" t="str">
        <f t="shared" si="44"/>
        <v/>
      </c>
      <c r="W214" s="183" t="str">
        <f t="shared" si="45"/>
        <v/>
      </c>
      <c r="X214" s="61" t="str">
        <f t="shared" si="46"/>
        <v/>
      </c>
      <c r="Y214" s="61" t="str">
        <f t="shared" si="47"/>
        <v/>
      </c>
      <c r="Z214" s="118" t="str">
        <f t="shared" si="48"/>
        <v/>
      </c>
      <c r="AA214" s="62" t="str">
        <f t="shared" si="49"/>
        <v/>
      </c>
      <c r="AB214" s="119" t="str">
        <f>IF(A214&lt;&gt;"", IF(P214&lt;&gt;0,SUMIFS(node!$J$2:$J$1000, node!$C$2:$C$1000,"="&amp;A214)/P214,0), "")</f>
        <v/>
      </c>
      <c r="AC214" s="81" t="str">
        <f>IF(A214&lt;&gt;"", IF(P214&lt;&gt;0,SUMIFS(node!$K$2:$K$1000, node!$C$2:$C$1000,"="&amp;A214)/P214,0), "")</f>
        <v/>
      </c>
      <c r="AD214" s="82" t="str">
        <f>IF(A214&lt;&gt;"", SUMIFS(node!$L$2:$L$1000, node!$C$2:$C$1000,"="&amp;A214), "")</f>
        <v/>
      </c>
      <c r="AE214" s="87" t="str">
        <f>IF(A214&lt;&gt;"", SUMIFS(node!$M$2:$M$1000, node!$C$2:$C$1000,"="&amp;A214), "")</f>
        <v/>
      </c>
    </row>
    <row r="215" spans="1:31" ht="15.75" customHeight="1" x14ac:dyDescent="0.25">
      <c r="A215" s="71" t="str">
        <f>IF(ISNONTEXT(node_raw[[#This Row],[Column2]]), "", node_raw[[#This Row],[Column2]])</f>
        <v/>
      </c>
      <c r="B215" s="108" t="str">
        <f>IF(A215&lt;&gt;"", VLOOKUP(A215, node!$C$2:$D$1000, 2, FALSE), "")</f>
        <v/>
      </c>
      <c r="C215" s="109" t="str">
        <f>IF(A215&lt;&gt;"", VLOOKUP(A215, node!$C$2:$E$1000, 3, FALSE), "")</f>
        <v/>
      </c>
      <c r="D215" s="110" t="str">
        <f>IF(A215&lt;&gt;"",COUNTIFS(node!$C$2:$C$1000,"="&amp;A215, node!$C$2:$C$1000,"&lt;&gt;"&amp;""),"")</f>
        <v/>
      </c>
      <c r="E215" s="111" t="str">
        <f>IF(A215&lt;&gt;"",SUMIFS(node!$F$2:$F$500, node!$C$2:$C$500,"="&amp;A215, node!$C$2:$C$500,"&lt;&gt;"&amp;"")/(B215*D215),"")</f>
        <v/>
      </c>
      <c r="F215" s="112" t="str">
        <f>IF(A215&lt;&gt;"",SUMIFS(node!$H$2:$H$500, node!$C$2:$C$500,"="&amp;A215, node!$C$2:$C$500,"&lt;&gt;"&amp;"")/(C215*D215),"")</f>
        <v/>
      </c>
      <c r="G215" s="179" t="str">
        <f>IF(A215&lt;&gt;"",SUMIFS(deployment!$F$4:$F$502, deployment!$D$4:$D$502,"="&amp;A215, deployment!$D$4:$D$502,"&lt;&gt;"&amp;""),"")</f>
        <v/>
      </c>
      <c r="H215" s="181" t="str">
        <f>IF(A215&lt;&gt;"",SUMIFS(deployment!$G$4:$G$502, deployment!$D$4:$D$502,"="&amp;A215, deployment!$D$4:$D$502,"&lt;&gt;"&amp;""),"")</f>
        <v/>
      </c>
      <c r="I215" s="113" t="str">
        <f>IF(A215&lt;&gt;"",SUMIFS(deployment!$H$4:$H$502, deployment!$D$4:$D$502,"="&amp;A215, deployment!$D$4:$D$502,"&lt;&gt;"&amp;""),"")</f>
        <v/>
      </c>
      <c r="J215" s="114" t="str">
        <f>IF(A215&lt;&gt;"",SUMIFS(deployment!$I$4:$I$502, deployment!$D$4:$D$502,"="&amp;A215, deployment!$D$4:$D$502,"&lt;&gt;"&amp;""),"")</f>
        <v/>
      </c>
      <c r="K215" s="182" t="str">
        <f>IF(A215&lt;&gt;"",SUMIFS(deployment!$J$4:$J$1002, deployment!$D$4:$D$1002,"="&amp;A215, deployment!$D$4:$D$1002,"&lt;&gt;"&amp;"", deployment!$C$4:$C$1002, "&lt;&gt;* )")+SUMIFS(namespace!$G$4:$G$1002, namespace!$B$4:$B$1002,"="&amp;A215, namespace!$B$4:$B$1002,"&lt;&gt;"&amp;""),"")</f>
        <v/>
      </c>
      <c r="L215" s="182" t="str">
        <f>IF(A215&lt;&gt;"",SUMIFS(deployment!$K$4:$K$1002, deployment!$D$4:$D$1002,"="&amp;A215, deployment!$D$4:$D$1002,"&lt;&gt;"&amp;"", deployment!$C$4:$C$1002, "&lt;&gt;* )")+SUMIFS(namespace!$H$4:$H$1002, namespace!$B$4:$B$1002,"="&amp;A215, namespace!$B$4:$B$1002,"&lt;&gt;"&amp;""),"")</f>
        <v/>
      </c>
      <c r="M215" s="115" t="str">
        <f>IF(A215&lt;&gt;"",SUMIFS(deployment!$L$4:$L$1002, deployment!$D$4:$D$1002,"="&amp;A215, deployment!$D$4:$D$1002,"&lt;&gt;"&amp;"", deployment!$C$4:$C$1002, "&lt;&gt;* )")+SUMIFS(namespace!$I$4:$I$1002, namespace!$B$4:$B$1002,"="&amp;A215, namespace!$B$4:$B$1002,"&lt;&gt;"&amp;""),"")</f>
        <v/>
      </c>
      <c r="N215" s="115" t="str">
        <f>IF(A215&lt;&gt;"",SUMIFS(deployment!$M$4:$M$1002, deployment!$D$4:$D$1002,"="&amp;A215, deployment!$D$4:$D$1002,"&lt;&gt;"&amp;"", deployment!$C$4:$C$1002, "&lt;&gt;* )")+SUMIFS(namespace!$J$4:$J$1002, namespace!$B$4:$B$1002,"="&amp;A215, namespace!$B$4:$B$1002,"&lt;&gt;"&amp;""),"")</f>
        <v/>
      </c>
      <c r="O215" s="116" t="str">
        <f t="shared" si="43"/>
        <v/>
      </c>
      <c r="P215" s="63"/>
      <c r="Q215" s="164" t="str">
        <f t="shared" si="38"/>
        <v/>
      </c>
      <c r="R215" s="60" t="str">
        <f t="shared" si="39"/>
        <v/>
      </c>
      <c r="S215" s="60" t="str">
        <f t="shared" si="40"/>
        <v/>
      </c>
      <c r="T215" s="61" t="str">
        <f t="shared" si="41"/>
        <v/>
      </c>
      <c r="U215" s="61" t="str">
        <f t="shared" si="42"/>
        <v/>
      </c>
      <c r="V215" s="183" t="str">
        <f t="shared" si="44"/>
        <v/>
      </c>
      <c r="W215" s="183" t="str">
        <f t="shared" si="45"/>
        <v/>
      </c>
      <c r="X215" s="61" t="str">
        <f t="shared" si="46"/>
        <v/>
      </c>
      <c r="Y215" s="61" t="str">
        <f t="shared" si="47"/>
        <v/>
      </c>
      <c r="Z215" s="118" t="str">
        <f t="shared" si="48"/>
        <v/>
      </c>
      <c r="AA215" s="62" t="str">
        <f t="shared" si="49"/>
        <v/>
      </c>
      <c r="AB215" s="119" t="str">
        <f>IF(A215&lt;&gt;"", IF(P215&lt;&gt;0,SUMIFS(node!$J$2:$J$1000, node!$C$2:$C$1000,"="&amp;A215)/P215,0), "")</f>
        <v/>
      </c>
      <c r="AC215" s="81" t="str">
        <f>IF(A215&lt;&gt;"", IF(P215&lt;&gt;0,SUMIFS(node!$K$2:$K$1000, node!$C$2:$C$1000,"="&amp;A215)/P215,0), "")</f>
        <v/>
      </c>
      <c r="AD215" s="82" t="str">
        <f>IF(A215&lt;&gt;"", SUMIFS(node!$L$2:$L$1000, node!$C$2:$C$1000,"="&amp;A215), "")</f>
        <v/>
      </c>
      <c r="AE215" s="87" t="str">
        <f>IF(A215&lt;&gt;"", SUMIFS(node!$M$2:$M$1000, node!$C$2:$C$1000,"="&amp;A215), "")</f>
        <v/>
      </c>
    </row>
    <row r="216" spans="1:31" ht="15.75" customHeight="1" x14ac:dyDescent="0.25">
      <c r="A216" s="71" t="str">
        <f>IF(ISNONTEXT(node_raw[[#This Row],[Column2]]), "", node_raw[[#This Row],[Column2]])</f>
        <v/>
      </c>
      <c r="B216" s="108" t="str">
        <f>IF(A216&lt;&gt;"", VLOOKUP(A216, node!$C$2:$D$1000, 2, FALSE), "")</f>
        <v/>
      </c>
      <c r="C216" s="109" t="str">
        <f>IF(A216&lt;&gt;"", VLOOKUP(A216, node!$C$2:$E$1000, 3, FALSE), "")</f>
        <v/>
      </c>
      <c r="D216" s="110" t="str">
        <f>IF(A216&lt;&gt;"",COUNTIFS(node!$C$2:$C$1000,"="&amp;A216, node!$C$2:$C$1000,"&lt;&gt;"&amp;""),"")</f>
        <v/>
      </c>
      <c r="E216" s="111" t="str">
        <f>IF(A216&lt;&gt;"",SUMIFS(node!$F$2:$F$500, node!$C$2:$C$500,"="&amp;A216, node!$C$2:$C$500,"&lt;&gt;"&amp;"")/(B216*D216),"")</f>
        <v/>
      </c>
      <c r="F216" s="112" t="str">
        <f>IF(A216&lt;&gt;"",SUMIFS(node!$H$2:$H$500, node!$C$2:$C$500,"="&amp;A216, node!$C$2:$C$500,"&lt;&gt;"&amp;"")/(C216*D216),"")</f>
        <v/>
      </c>
      <c r="G216" s="179" t="str">
        <f>IF(A216&lt;&gt;"",SUMIFS(deployment!$F$4:$F$502, deployment!$D$4:$D$502,"="&amp;A216, deployment!$D$4:$D$502,"&lt;&gt;"&amp;""),"")</f>
        <v/>
      </c>
      <c r="H216" s="181" t="str">
        <f>IF(A216&lt;&gt;"",SUMIFS(deployment!$G$4:$G$502, deployment!$D$4:$D$502,"="&amp;A216, deployment!$D$4:$D$502,"&lt;&gt;"&amp;""),"")</f>
        <v/>
      </c>
      <c r="I216" s="113" t="str">
        <f>IF(A216&lt;&gt;"",SUMIFS(deployment!$H$4:$H$502, deployment!$D$4:$D$502,"="&amp;A216, deployment!$D$4:$D$502,"&lt;&gt;"&amp;""),"")</f>
        <v/>
      </c>
      <c r="J216" s="114" t="str">
        <f>IF(A216&lt;&gt;"",SUMIFS(deployment!$I$4:$I$502, deployment!$D$4:$D$502,"="&amp;A216, deployment!$D$4:$D$502,"&lt;&gt;"&amp;""),"")</f>
        <v/>
      </c>
      <c r="K216" s="182" t="str">
        <f>IF(A216&lt;&gt;"",SUMIFS(deployment!$J$4:$J$1002, deployment!$D$4:$D$1002,"="&amp;A216, deployment!$D$4:$D$1002,"&lt;&gt;"&amp;"", deployment!$C$4:$C$1002, "&lt;&gt;* )")+SUMIFS(namespace!$G$4:$G$1002, namespace!$B$4:$B$1002,"="&amp;A216, namespace!$B$4:$B$1002,"&lt;&gt;"&amp;""),"")</f>
        <v/>
      </c>
      <c r="L216" s="182" t="str">
        <f>IF(A216&lt;&gt;"",SUMIFS(deployment!$K$4:$K$1002, deployment!$D$4:$D$1002,"="&amp;A216, deployment!$D$4:$D$1002,"&lt;&gt;"&amp;"", deployment!$C$4:$C$1002, "&lt;&gt;* )")+SUMIFS(namespace!$H$4:$H$1002, namespace!$B$4:$B$1002,"="&amp;A216, namespace!$B$4:$B$1002,"&lt;&gt;"&amp;""),"")</f>
        <v/>
      </c>
      <c r="M216" s="115" t="str">
        <f>IF(A216&lt;&gt;"",SUMIFS(deployment!$L$4:$L$1002, deployment!$D$4:$D$1002,"="&amp;A216, deployment!$D$4:$D$1002,"&lt;&gt;"&amp;"", deployment!$C$4:$C$1002, "&lt;&gt;* )")+SUMIFS(namespace!$I$4:$I$1002, namespace!$B$4:$B$1002,"="&amp;A216, namespace!$B$4:$B$1002,"&lt;&gt;"&amp;""),"")</f>
        <v/>
      </c>
      <c r="N216" s="115" t="str">
        <f>IF(A216&lt;&gt;"",SUMIFS(deployment!$M$4:$M$1002, deployment!$D$4:$D$1002,"="&amp;A216, deployment!$D$4:$D$1002,"&lt;&gt;"&amp;"", deployment!$C$4:$C$1002, "&lt;&gt;* )")+SUMIFS(namespace!$J$4:$J$1002, namespace!$B$4:$B$1002,"="&amp;A216, namespace!$B$4:$B$1002,"&lt;&gt;"&amp;""),"")</f>
        <v/>
      </c>
      <c r="O216" s="116" t="str">
        <f t="shared" si="43"/>
        <v/>
      </c>
      <c r="P216" s="63"/>
      <c r="Q216" s="164" t="str">
        <f t="shared" si="38"/>
        <v/>
      </c>
      <c r="R216" s="60" t="str">
        <f t="shared" si="39"/>
        <v/>
      </c>
      <c r="S216" s="60" t="str">
        <f t="shared" si="40"/>
        <v/>
      </c>
      <c r="T216" s="61" t="str">
        <f t="shared" si="41"/>
        <v/>
      </c>
      <c r="U216" s="61" t="str">
        <f t="shared" si="42"/>
        <v/>
      </c>
      <c r="V216" s="183" t="str">
        <f t="shared" si="44"/>
        <v/>
      </c>
      <c r="W216" s="183" t="str">
        <f t="shared" si="45"/>
        <v/>
      </c>
      <c r="X216" s="61" t="str">
        <f t="shared" si="46"/>
        <v/>
      </c>
      <c r="Y216" s="61" t="str">
        <f t="shared" si="47"/>
        <v/>
      </c>
      <c r="Z216" s="118" t="str">
        <f t="shared" si="48"/>
        <v/>
      </c>
      <c r="AA216" s="62" t="str">
        <f t="shared" si="49"/>
        <v/>
      </c>
      <c r="AB216" s="119" t="str">
        <f>IF(A216&lt;&gt;"", IF(P216&lt;&gt;0,SUMIFS(node!$J$2:$J$1000, node!$C$2:$C$1000,"="&amp;A216)/P216,0), "")</f>
        <v/>
      </c>
      <c r="AC216" s="81" t="str">
        <f>IF(A216&lt;&gt;"", IF(P216&lt;&gt;0,SUMIFS(node!$K$2:$K$1000, node!$C$2:$C$1000,"="&amp;A216)/P216,0), "")</f>
        <v/>
      </c>
      <c r="AD216" s="82" t="str">
        <f>IF(A216&lt;&gt;"", SUMIFS(node!$L$2:$L$1000, node!$C$2:$C$1000,"="&amp;A216), "")</f>
        <v/>
      </c>
      <c r="AE216" s="87" t="str">
        <f>IF(A216&lt;&gt;"", SUMIFS(node!$M$2:$M$1000, node!$C$2:$C$1000,"="&amp;A216), "")</f>
        <v/>
      </c>
    </row>
    <row r="217" spans="1:31" ht="15.75" customHeight="1" x14ac:dyDescent="0.25">
      <c r="A217" s="71" t="str">
        <f>IF(ISNONTEXT(node_raw[[#This Row],[Column2]]), "", node_raw[[#This Row],[Column2]])</f>
        <v/>
      </c>
      <c r="B217" s="108" t="str">
        <f>IF(A217&lt;&gt;"", VLOOKUP(A217, node!$C$2:$D$1000, 2, FALSE), "")</f>
        <v/>
      </c>
      <c r="C217" s="109" t="str">
        <f>IF(A217&lt;&gt;"", VLOOKUP(A217, node!$C$2:$E$1000, 3, FALSE), "")</f>
        <v/>
      </c>
      <c r="D217" s="110" t="str">
        <f>IF(A217&lt;&gt;"",COUNTIFS(node!$C$2:$C$1000,"="&amp;A217, node!$C$2:$C$1000,"&lt;&gt;"&amp;""),"")</f>
        <v/>
      </c>
      <c r="E217" s="111" t="str">
        <f>IF(A217&lt;&gt;"",SUMIFS(node!$F$2:$F$500, node!$C$2:$C$500,"="&amp;A217, node!$C$2:$C$500,"&lt;&gt;"&amp;"")/(B217*D217),"")</f>
        <v/>
      </c>
      <c r="F217" s="112" t="str">
        <f>IF(A217&lt;&gt;"",SUMIFS(node!$H$2:$H$500, node!$C$2:$C$500,"="&amp;A217, node!$C$2:$C$500,"&lt;&gt;"&amp;"")/(C217*D217),"")</f>
        <v/>
      </c>
      <c r="G217" s="179" t="str">
        <f>IF(A217&lt;&gt;"",SUMIFS(deployment!$F$4:$F$502, deployment!$D$4:$D$502,"="&amp;A217, deployment!$D$4:$D$502,"&lt;&gt;"&amp;""),"")</f>
        <v/>
      </c>
      <c r="H217" s="181" t="str">
        <f>IF(A217&lt;&gt;"",SUMIFS(deployment!$G$4:$G$502, deployment!$D$4:$D$502,"="&amp;A217, deployment!$D$4:$D$502,"&lt;&gt;"&amp;""),"")</f>
        <v/>
      </c>
      <c r="I217" s="113" t="str">
        <f>IF(A217&lt;&gt;"",SUMIFS(deployment!$H$4:$H$502, deployment!$D$4:$D$502,"="&amp;A217, deployment!$D$4:$D$502,"&lt;&gt;"&amp;""),"")</f>
        <v/>
      </c>
      <c r="J217" s="114" t="str">
        <f>IF(A217&lt;&gt;"",SUMIFS(deployment!$I$4:$I$502, deployment!$D$4:$D$502,"="&amp;A217, deployment!$D$4:$D$502,"&lt;&gt;"&amp;""),"")</f>
        <v/>
      </c>
      <c r="K217" s="182" t="str">
        <f>IF(A217&lt;&gt;"",SUMIFS(deployment!$J$4:$J$1002, deployment!$D$4:$D$1002,"="&amp;A217, deployment!$D$4:$D$1002,"&lt;&gt;"&amp;"", deployment!$C$4:$C$1002, "&lt;&gt;* )")+SUMIFS(namespace!$G$4:$G$1002, namespace!$B$4:$B$1002,"="&amp;A217, namespace!$B$4:$B$1002,"&lt;&gt;"&amp;""),"")</f>
        <v/>
      </c>
      <c r="L217" s="182" t="str">
        <f>IF(A217&lt;&gt;"",SUMIFS(deployment!$K$4:$K$1002, deployment!$D$4:$D$1002,"="&amp;A217, deployment!$D$4:$D$1002,"&lt;&gt;"&amp;"", deployment!$C$4:$C$1002, "&lt;&gt;* )")+SUMIFS(namespace!$H$4:$H$1002, namespace!$B$4:$B$1002,"="&amp;A217, namespace!$B$4:$B$1002,"&lt;&gt;"&amp;""),"")</f>
        <v/>
      </c>
      <c r="M217" s="115" t="str">
        <f>IF(A217&lt;&gt;"",SUMIFS(deployment!$L$4:$L$1002, deployment!$D$4:$D$1002,"="&amp;A217, deployment!$D$4:$D$1002,"&lt;&gt;"&amp;"", deployment!$C$4:$C$1002, "&lt;&gt;* )")+SUMIFS(namespace!$I$4:$I$1002, namespace!$B$4:$B$1002,"="&amp;A217, namespace!$B$4:$B$1002,"&lt;&gt;"&amp;""),"")</f>
        <v/>
      </c>
      <c r="N217" s="115" t="str">
        <f>IF(A217&lt;&gt;"",SUMIFS(deployment!$M$4:$M$1002, deployment!$D$4:$D$1002,"="&amp;A217, deployment!$D$4:$D$1002,"&lt;&gt;"&amp;"", deployment!$C$4:$C$1002, "&lt;&gt;* )")+SUMIFS(namespace!$J$4:$J$1002, namespace!$B$4:$B$1002,"="&amp;A217, namespace!$B$4:$B$1002,"&lt;&gt;"&amp;""),"")</f>
        <v/>
      </c>
      <c r="O217" s="116" t="str">
        <f t="shared" si="43"/>
        <v/>
      </c>
      <c r="P217" s="63"/>
      <c r="Q217" s="164" t="str">
        <f t="shared" si="38"/>
        <v/>
      </c>
      <c r="R217" s="60" t="str">
        <f t="shared" si="39"/>
        <v/>
      </c>
      <c r="S217" s="60" t="str">
        <f t="shared" si="40"/>
        <v/>
      </c>
      <c r="T217" s="61" t="str">
        <f t="shared" si="41"/>
        <v/>
      </c>
      <c r="U217" s="61" t="str">
        <f t="shared" si="42"/>
        <v/>
      </c>
      <c r="V217" s="183" t="str">
        <f t="shared" si="44"/>
        <v/>
      </c>
      <c r="W217" s="183" t="str">
        <f t="shared" si="45"/>
        <v/>
      </c>
      <c r="X217" s="61" t="str">
        <f t="shared" si="46"/>
        <v/>
      </c>
      <c r="Y217" s="61" t="str">
        <f t="shared" si="47"/>
        <v/>
      </c>
      <c r="Z217" s="118" t="str">
        <f t="shared" si="48"/>
        <v/>
      </c>
      <c r="AA217" s="62" t="str">
        <f t="shared" si="49"/>
        <v/>
      </c>
      <c r="AB217" s="119" t="str">
        <f>IF(A217&lt;&gt;"", IF(P217&lt;&gt;0,SUMIFS(node!$J$2:$J$1000, node!$C$2:$C$1000,"="&amp;A217)/P217,0), "")</f>
        <v/>
      </c>
      <c r="AC217" s="81" t="str">
        <f>IF(A217&lt;&gt;"", IF(P217&lt;&gt;0,SUMIFS(node!$K$2:$K$1000, node!$C$2:$C$1000,"="&amp;A217)/P217,0), "")</f>
        <v/>
      </c>
      <c r="AD217" s="82" t="str">
        <f>IF(A217&lt;&gt;"", SUMIFS(node!$L$2:$L$1000, node!$C$2:$C$1000,"="&amp;A217), "")</f>
        <v/>
      </c>
      <c r="AE217" s="87" t="str">
        <f>IF(A217&lt;&gt;"", SUMIFS(node!$M$2:$M$1000, node!$C$2:$C$1000,"="&amp;A217), "")</f>
        <v/>
      </c>
    </row>
    <row r="218" spans="1:31" ht="15.75" customHeight="1" x14ac:dyDescent="0.25">
      <c r="A218" s="71" t="str">
        <f>IF(ISNONTEXT(node_raw[[#This Row],[Column2]]), "", node_raw[[#This Row],[Column2]])</f>
        <v/>
      </c>
      <c r="B218" s="108" t="str">
        <f>IF(A218&lt;&gt;"", VLOOKUP(A218, node!$C$2:$D$1000, 2, FALSE), "")</f>
        <v/>
      </c>
      <c r="C218" s="109" t="str">
        <f>IF(A218&lt;&gt;"", VLOOKUP(A218, node!$C$2:$E$1000, 3, FALSE), "")</f>
        <v/>
      </c>
      <c r="D218" s="110" t="str">
        <f>IF(A218&lt;&gt;"",COUNTIFS(node!$C$2:$C$1000,"="&amp;A218, node!$C$2:$C$1000,"&lt;&gt;"&amp;""),"")</f>
        <v/>
      </c>
      <c r="E218" s="111" t="str">
        <f>IF(A218&lt;&gt;"",SUMIFS(node!$F$2:$F$500, node!$C$2:$C$500,"="&amp;A218, node!$C$2:$C$500,"&lt;&gt;"&amp;"")/(B218*D218),"")</f>
        <v/>
      </c>
      <c r="F218" s="112" t="str">
        <f>IF(A218&lt;&gt;"",SUMIFS(node!$H$2:$H$500, node!$C$2:$C$500,"="&amp;A218, node!$C$2:$C$500,"&lt;&gt;"&amp;"")/(C218*D218),"")</f>
        <v/>
      </c>
      <c r="G218" s="179" t="str">
        <f>IF(A218&lt;&gt;"",SUMIFS(deployment!$F$4:$F$502, deployment!$D$4:$D$502,"="&amp;A218, deployment!$D$4:$D$502,"&lt;&gt;"&amp;""),"")</f>
        <v/>
      </c>
      <c r="H218" s="181" t="str">
        <f>IF(A218&lt;&gt;"",SUMIFS(deployment!$G$4:$G$502, deployment!$D$4:$D$502,"="&amp;A218, deployment!$D$4:$D$502,"&lt;&gt;"&amp;""),"")</f>
        <v/>
      </c>
      <c r="I218" s="113" t="str">
        <f>IF(A218&lt;&gt;"",SUMIFS(deployment!$H$4:$H$502, deployment!$D$4:$D$502,"="&amp;A218, deployment!$D$4:$D$502,"&lt;&gt;"&amp;""),"")</f>
        <v/>
      </c>
      <c r="J218" s="114" t="str">
        <f>IF(A218&lt;&gt;"",SUMIFS(deployment!$I$4:$I$502, deployment!$D$4:$D$502,"="&amp;A218, deployment!$D$4:$D$502,"&lt;&gt;"&amp;""),"")</f>
        <v/>
      </c>
      <c r="K218" s="182" t="str">
        <f>IF(A218&lt;&gt;"",SUMIFS(deployment!$J$4:$J$1002, deployment!$D$4:$D$1002,"="&amp;A218, deployment!$D$4:$D$1002,"&lt;&gt;"&amp;"", deployment!$C$4:$C$1002, "&lt;&gt;* )")+SUMIFS(namespace!$G$4:$G$1002, namespace!$B$4:$B$1002,"="&amp;A218, namespace!$B$4:$B$1002,"&lt;&gt;"&amp;""),"")</f>
        <v/>
      </c>
      <c r="L218" s="182" t="str">
        <f>IF(A218&lt;&gt;"",SUMIFS(deployment!$K$4:$K$1002, deployment!$D$4:$D$1002,"="&amp;A218, deployment!$D$4:$D$1002,"&lt;&gt;"&amp;"", deployment!$C$4:$C$1002, "&lt;&gt;* )")+SUMIFS(namespace!$H$4:$H$1002, namespace!$B$4:$B$1002,"="&amp;A218, namespace!$B$4:$B$1002,"&lt;&gt;"&amp;""),"")</f>
        <v/>
      </c>
      <c r="M218" s="115" t="str">
        <f>IF(A218&lt;&gt;"",SUMIFS(deployment!$L$4:$L$1002, deployment!$D$4:$D$1002,"="&amp;A218, deployment!$D$4:$D$1002,"&lt;&gt;"&amp;"", deployment!$C$4:$C$1002, "&lt;&gt;* )")+SUMIFS(namespace!$I$4:$I$1002, namespace!$B$4:$B$1002,"="&amp;A218, namespace!$B$4:$B$1002,"&lt;&gt;"&amp;""),"")</f>
        <v/>
      </c>
      <c r="N218" s="115" t="str">
        <f>IF(A218&lt;&gt;"",SUMIFS(deployment!$M$4:$M$1002, deployment!$D$4:$D$1002,"="&amp;A218, deployment!$D$4:$D$1002,"&lt;&gt;"&amp;"", deployment!$C$4:$C$1002, "&lt;&gt;* )")+SUMIFS(namespace!$J$4:$J$1002, namespace!$B$4:$B$1002,"="&amp;A218, namespace!$B$4:$B$1002,"&lt;&gt;"&amp;""),"")</f>
        <v/>
      </c>
      <c r="O218" s="116" t="str">
        <f t="shared" si="43"/>
        <v/>
      </c>
      <c r="P218" s="63"/>
      <c r="Q218" s="164" t="str">
        <f t="shared" si="38"/>
        <v/>
      </c>
      <c r="R218" s="60" t="str">
        <f t="shared" si="39"/>
        <v/>
      </c>
      <c r="S218" s="60" t="str">
        <f t="shared" si="40"/>
        <v/>
      </c>
      <c r="T218" s="61" t="str">
        <f t="shared" si="41"/>
        <v/>
      </c>
      <c r="U218" s="61" t="str">
        <f t="shared" si="42"/>
        <v/>
      </c>
      <c r="V218" s="183" t="str">
        <f t="shared" si="44"/>
        <v/>
      </c>
      <c r="W218" s="183" t="str">
        <f t="shared" si="45"/>
        <v/>
      </c>
      <c r="X218" s="61" t="str">
        <f t="shared" si="46"/>
        <v/>
      </c>
      <c r="Y218" s="61" t="str">
        <f t="shared" si="47"/>
        <v/>
      </c>
      <c r="Z218" s="118" t="str">
        <f t="shared" si="48"/>
        <v/>
      </c>
      <c r="AA218" s="62" t="str">
        <f t="shared" si="49"/>
        <v/>
      </c>
      <c r="AB218" s="119" t="str">
        <f>IF(A218&lt;&gt;"", IF(P218&lt;&gt;0,SUMIFS(node!$J$2:$J$1000, node!$C$2:$C$1000,"="&amp;A218)/P218,0), "")</f>
        <v/>
      </c>
      <c r="AC218" s="81" t="str">
        <f>IF(A218&lt;&gt;"", IF(P218&lt;&gt;0,SUMIFS(node!$K$2:$K$1000, node!$C$2:$C$1000,"="&amp;A218)/P218,0), "")</f>
        <v/>
      </c>
      <c r="AD218" s="82" t="str">
        <f>IF(A218&lt;&gt;"", SUMIFS(node!$L$2:$L$1000, node!$C$2:$C$1000,"="&amp;A218), "")</f>
        <v/>
      </c>
      <c r="AE218" s="87" t="str">
        <f>IF(A218&lt;&gt;"", SUMIFS(node!$M$2:$M$1000, node!$C$2:$C$1000,"="&amp;A218), "")</f>
        <v/>
      </c>
    </row>
    <row r="219" spans="1:31" ht="15.75" customHeight="1" x14ac:dyDescent="0.25">
      <c r="A219" s="71" t="str">
        <f>IF(ISNONTEXT(node_raw[[#This Row],[Column2]]), "", node_raw[[#This Row],[Column2]])</f>
        <v/>
      </c>
      <c r="B219" s="108" t="str">
        <f>IF(A219&lt;&gt;"", VLOOKUP(A219, node!$C$2:$D$1000, 2, FALSE), "")</f>
        <v/>
      </c>
      <c r="C219" s="109" t="str">
        <f>IF(A219&lt;&gt;"", VLOOKUP(A219, node!$C$2:$E$1000, 3, FALSE), "")</f>
        <v/>
      </c>
      <c r="D219" s="110" t="str">
        <f>IF(A219&lt;&gt;"",COUNTIFS(node!$C$2:$C$1000,"="&amp;A219, node!$C$2:$C$1000,"&lt;&gt;"&amp;""),"")</f>
        <v/>
      </c>
      <c r="E219" s="111" t="str">
        <f>IF(A219&lt;&gt;"",SUMIFS(node!$F$2:$F$500, node!$C$2:$C$500,"="&amp;A219, node!$C$2:$C$500,"&lt;&gt;"&amp;"")/(B219*D219),"")</f>
        <v/>
      </c>
      <c r="F219" s="112" t="str">
        <f>IF(A219&lt;&gt;"",SUMIFS(node!$H$2:$H$500, node!$C$2:$C$500,"="&amp;A219, node!$C$2:$C$500,"&lt;&gt;"&amp;"")/(C219*D219),"")</f>
        <v/>
      </c>
      <c r="G219" s="179" t="str">
        <f>IF(A219&lt;&gt;"",SUMIFS(deployment!$F$4:$F$502, deployment!$D$4:$D$502,"="&amp;A219, deployment!$D$4:$D$502,"&lt;&gt;"&amp;""),"")</f>
        <v/>
      </c>
      <c r="H219" s="181" t="str">
        <f>IF(A219&lt;&gt;"",SUMIFS(deployment!$G$4:$G$502, deployment!$D$4:$D$502,"="&amp;A219, deployment!$D$4:$D$502,"&lt;&gt;"&amp;""),"")</f>
        <v/>
      </c>
      <c r="I219" s="113" t="str">
        <f>IF(A219&lt;&gt;"",SUMIFS(deployment!$H$4:$H$502, deployment!$D$4:$D$502,"="&amp;A219, deployment!$D$4:$D$502,"&lt;&gt;"&amp;""),"")</f>
        <v/>
      </c>
      <c r="J219" s="114" t="str">
        <f>IF(A219&lt;&gt;"",SUMIFS(deployment!$I$4:$I$502, deployment!$D$4:$D$502,"="&amp;A219, deployment!$D$4:$D$502,"&lt;&gt;"&amp;""),"")</f>
        <v/>
      </c>
      <c r="K219" s="182" t="str">
        <f>IF(A219&lt;&gt;"",SUMIFS(deployment!$J$4:$J$1002, deployment!$D$4:$D$1002,"="&amp;A219, deployment!$D$4:$D$1002,"&lt;&gt;"&amp;"", deployment!$C$4:$C$1002, "&lt;&gt;* )")+SUMIFS(namespace!$G$4:$G$1002, namespace!$B$4:$B$1002,"="&amp;A219, namespace!$B$4:$B$1002,"&lt;&gt;"&amp;""),"")</f>
        <v/>
      </c>
      <c r="L219" s="182" t="str">
        <f>IF(A219&lt;&gt;"",SUMIFS(deployment!$K$4:$K$1002, deployment!$D$4:$D$1002,"="&amp;A219, deployment!$D$4:$D$1002,"&lt;&gt;"&amp;"", deployment!$C$4:$C$1002, "&lt;&gt;* )")+SUMIFS(namespace!$H$4:$H$1002, namespace!$B$4:$B$1002,"="&amp;A219, namespace!$B$4:$B$1002,"&lt;&gt;"&amp;""),"")</f>
        <v/>
      </c>
      <c r="M219" s="115" t="str">
        <f>IF(A219&lt;&gt;"",SUMIFS(deployment!$L$4:$L$1002, deployment!$D$4:$D$1002,"="&amp;A219, deployment!$D$4:$D$1002,"&lt;&gt;"&amp;"", deployment!$C$4:$C$1002, "&lt;&gt;* )")+SUMIFS(namespace!$I$4:$I$1002, namespace!$B$4:$B$1002,"="&amp;A219, namespace!$B$4:$B$1002,"&lt;&gt;"&amp;""),"")</f>
        <v/>
      </c>
      <c r="N219" s="115" t="str">
        <f>IF(A219&lt;&gt;"",SUMIFS(deployment!$M$4:$M$1002, deployment!$D$4:$D$1002,"="&amp;A219, deployment!$D$4:$D$1002,"&lt;&gt;"&amp;"", deployment!$C$4:$C$1002, "&lt;&gt;* )")+SUMIFS(namespace!$J$4:$J$1002, namespace!$B$4:$B$1002,"="&amp;A219, namespace!$B$4:$B$1002,"&lt;&gt;"&amp;""),"")</f>
        <v/>
      </c>
      <c r="O219" s="116" t="str">
        <f t="shared" si="43"/>
        <v/>
      </c>
      <c r="P219" s="63"/>
      <c r="Q219" s="164" t="str">
        <f t="shared" si="38"/>
        <v/>
      </c>
      <c r="R219" s="60" t="str">
        <f t="shared" si="39"/>
        <v/>
      </c>
      <c r="S219" s="60" t="str">
        <f t="shared" si="40"/>
        <v/>
      </c>
      <c r="T219" s="61" t="str">
        <f t="shared" si="41"/>
        <v/>
      </c>
      <c r="U219" s="61" t="str">
        <f t="shared" si="42"/>
        <v/>
      </c>
      <c r="V219" s="183" t="str">
        <f t="shared" si="44"/>
        <v/>
      </c>
      <c r="W219" s="183" t="str">
        <f t="shared" si="45"/>
        <v/>
      </c>
      <c r="X219" s="61" t="str">
        <f t="shared" si="46"/>
        <v/>
      </c>
      <c r="Y219" s="61" t="str">
        <f t="shared" si="47"/>
        <v/>
      </c>
      <c r="Z219" s="118" t="str">
        <f t="shared" si="48"/>
        <v/>
      </c>
      <c r="AA219" s="62" t="str">
        <f t="shared" si="49"/>
        <v/>
      </c>
      <c r="AB219" s="119" t="str">
        <f>IF(A219&lt;&gt;"", IF(P219&lt;&gt;0,SUMIFS(node!$J$2:$J$1000, node!$C$2:$C$1000,"="&amp;A219)/P219,0), "")</f>
        <v/>
      </c>
      <c r="AC219" s="81" t="str">
        <f>IF(A219&lt;&gt;"", IF(P219&lt;&gt;0,SUMIFS(node!$K$2:$K$1000, node!$C$2:$C$1000,"="&amp;A219)/P219,0), "")</f>
        <v/>
      </c>
      <c r="AD219" s="82" t="str">
        <f>IF(A219&lt;&gt;"", SUMIFS(node!$L$2:$L$1000, node!$C$2:$C$1000,"="&amp;A219), "")</f>
        <v/>
      </c>
      <c r="AE219" s="87" t="str">
        <f>IF(A219&lt;&gt;"", SUMIFS(node!$M$2:$M$1000, node!$C$2:$C$1000,"="&amp;A219), "")</f>
        <v/>
      </c>
    </row>
    <row r="220" spans="1:31" ht="15.75" customHeight="1" x14ac:dyDescent="0.25">
      <c r="A220" s="71" t="str">
        <f>IF(ISNONTEXT(node_raw[[#This Row],[Column2]]), "", node_raw[[#This Row],[Column2]])</f>
        <v/>
      </c>
      <c r="B220" s="108" t="str">
        <f>IF(A220&lt;&gt;"", VLOOKUP(A220, node!$C$2:$D$1000, 2, FALSE), "")</f>
        <v/>
      </c>
      <c r="C220" s="109" t="str">
        <f>IF(A220&lt;&gt;"", VLOOKUP(A220, node!$C$2:$E$1000, 3, FALSE), "")</f>
        <v/>
      </c>
      <c r="D220" s="110" t="str">
        <f>IF(A220&lt;&gt;"",COUNTIFS(node!$C$2:$C$1000,"="&amp;A220, node!$C$2:$C$1000,"&lt;&gt;"&amp;""),"")</f>
        <v/>
      </c>
      <c r="E220" s="111" t="str">
        <f>IF(A220&lt;&gt;"",SUMIFS(node!$F$2:$F$500, node!$C$2:$C$500,"="&amp;A220, node!$C$2:$C$500,"&lt;&gt;"&amp;"")/(B220*D220),"")</f>
        <v/>
      </c>
      <c r="F220" s="112" t="str">
        <f>IF(A220&lt;&gt;"",SUMIFS(node!$H$2:$H$500, node!$C$2:$C$500,"="&amp;A220, node!$C$2:$C$500,"&lt;&gt;"&amp;"")/(C220*D220),"")</f>
        <v/>
      </c>
      <c r="G220" s="179" t="str">
        <f>IF(A220&lt;&gt;"",SUMIFS(deployment!$F$4:$F$502, deployment!$D$4:$D$502,"="&amp;A220, deployment!$D$4:$D$502,"&lt;&gt;"&amp;""),"")</f>
        <v/>
      </c>
      <c r="H220" s="181" t="str">
        <f>IF(A220&lt;&gt;"",SUMIFS(deployment!$G$4:$G$502, deployment!$D$4:$D$502,"="&amp;A220, deployment!$D$4:$D$502,"&lt;&gt;"&amp;""),"")</f>
        <v/>
      </c>
      <c r="I220" s="113" t="str">
        <f>IF(A220&lt;&gt;"",SUMIFS(deployment!$H$4:$H$502, deployment!$D$4:$D$502,"="&amp;A220, deployment!$D$4:$D$502,"&lt;&gt;"&amp;""),"")</f>
        <v/>
      </c>
      <c r="J220" s="114" t="str">
        <f>IF(A220&lt;&gt;"",SUMIFS(deployment!$I$4:$I$502, deployment!$D$4:$D$502,"="&amp;A220, deployment!$D$4:$D$502,"&lt;&gt;"&amp;""),"")</f>
        <v/>
      </c>
      <c r="K220" s="182" t="str">
        <f>IF(A220&lt;&gt;"",SUMIFS(deployment!$J$4:$J$1002, deployment!$D$4:$D$1002,"="&amp;A220, deployment!$D$4:$D$1002,"&lt;&gt;"&amp;"", deployment!$C$4:$C$1002, "&lt;&gt;* )")+SUMIFS(namespace!$G$4:$G$1002, namespace!$B$4:$B$1002,"="&amp;A220, namespace!$B$4:$B$1002,"&lt;&gt;"&amp;""),"")</f>
        <v/>
      </c>
      <c r="L220" s="182" t="str">
        <f>IF(A220&lt;&gt;"",SUMIFS(deployment!$K$4:$K$1002, deployment!$D$4:$D$1002,"="&amp;A220, deployment!$D$4:$D$1002,"&lt;&gt;"&amp;"", deployment!$C$4:$C$1002, "&lt;&gt;* )")+SUMIFS(namespace!$H$4:$H$1002, namespace!$B$4:$B$1002,"="&amp;A220, namespace!$B$4:$B$1002,"&lt;&gt;"&amp;""),"")</f>
        <v/>
      </c>
      <c r="M220" s="115" t="str">
        <f>IF(A220&lt;&gt;"",SUMIFS(deployment!$L$4:$L$1002, deployment!$D$4:$D$1002,"="&amp;A220, deployment!$D$4:$D$1002,"&lt;&gt;"&amp;"", deployment!$C$4:$C$1002, "&lt;&gt;* )")+SUMIFS(namespace!$I$4:$I$1002, namespace!$B$4:$B$1002,"="&amp;A220, namespace!$B$4:$B$1002,"&lt;&gt;"&amp;""),"")</f>
        <v/>
      </c>
      <c r="N220" s="115" t="str">
        <f>IF(A220&lt;&gt;"",SUMIFS(deployment!$M$4:$M$1002, deployment!$D$4:$D$1002,"="&amp;A220, deployment!$D$4:$D$1002,"&lt;&gt;"&amp;"", deployment!$C$4:$C$1002, "&lt;&gt;* )")+SUMIFS(namespace!$J$4:$J$1002, namespace!$B$4:$B$1002,"="&amp;A220, namespace!$B$4:$B$1002,"&lt;&gt;"&amp;""),"")</f>
        <v/>
      </c>
      <c r="O220" s="116" t="str">
        <f t="shared" si="43"/>
        <v/>
      </c>
      <c r="P220" s="63"/>
      <c r="Q220" s="164" t="str">
        <f t="shared" si="38"/>
        <v/>
      </c>
      <c r="R220" s="60" t="str">
        <f t="shared" si="39"/>
        <v/>
      </c>
      <c r="S220" s="60" t="str">
        <f t="shared" si="40"/>
        <v/>
      </c>
      <c r="T220" s="61" t="str">
        <f t="shared" si="41"/>
        <v/>
      </c>
      <c r="U220" s="61" t="str">
        <f t="shared" si="42"/>
        <v/>
      </c>
      <c r="V220" s="183" t="str">
        <f t="shared" si="44"/>
        <v/>
      </c>
      <c r="W220" s="183" t="str">
        <f t="shared" si="45"/>
        <v/>
      </c>
      <c r="X220" s="61" t="str">
        <f t="shared" si="46"/>
        <v/>
      </c>
      <c r="Y220" s="61" t="str">
        <f t="shared" si="47"/>
        <v/>
      </c>
      <c r="Z220" s="118" t="str">
        <f t="shared" si="48"/>
        <v/>
      </c>
      <c r="AA220" s="62" t="str">
        <f t="shared" si="49"/>
        <v/>
      </c>
      <c r="AB220" s="119" t="str">
        <f>IF(A220&lt;&gt;"", IF(P220&lt;&gt;0,SUMIFS(node!$J$2:$J$1000, node!$C$2:$C$1000,"="&amp;A220)/P220,0), "")</f>
        <v/>
      </c>
      <c r="AC220" s="81" t="str">
        <f>IF(A220&lt;&gt;"", IF(P220&lt;&gt;0,SUMIFS(node!$K$2:$K$1000, node!$C$2:$C$1000,"="&amp;A220)/P220,0), "")</f>
        <v/>
      </c>
      <c r="AD220" s="82" t="str">
        <f>IF(A220&lt;&gt;"", SUMIFS(node!$L$2:$L$1000, node!$C$2:$C$1000,"="&amp;A220), "")</f>
        <v/>
      </c>
      <c r="AE220" s="87" t="str">
        <f>IF(A220&lt;&gt;"", SUMIFS(node!$M$2:$M$1000, node!$C$2:$C$1000,"="&amp;A220), "")</f>
        <v/>
      </c>
    </row>
    <row r="221" spans="1:31" ht="15.75" customHeight="1" x14ac:dyDescent="0.25">
      <c r="A221" s="71" t="str">
        <f>IF(ISNONTEXT(node_raw[[#This Row],[Column2]]), "", node_raw[[#This Row],[Column2]])</f>
        <v/>
      </c>
      <c r="B221" s="108" t="str">
        <f>IF(A221&lt;&gt;"", VLOOKUP(A221, node!$C$2:$D$1000, 2, FALSE), "")</f>
        <v/>
      </c>
      <c r="C221" s="109" t="str">
        <f>IF(A221&lt;&gt;"", VLOOKUP(A221, node!$C$2:$E$1000, 3, FALSE), "")</f>
        <v/>
      </c>
      <c r="D221" s="110" t="str">
        <f>IF(A221&lt;&gt;"",COUNTIFS(node!$C$2:$C$1000,"="&amp;A221, node!$C$2:$C$1000,"&lt;&gt;"&amp;""),"")</f>
        <v/>
      </c>
      <c r="E221" s="111" t="str">
        <f>IF(A221&lt;&gt;"",SUMIFS(node!$F$2:$F$500, node!$C$2:$C$500,"="&amp;A221, node!$C$2:$C$500,"&lt;&gt;"&amp;"")/(B221*D221),"")</f>
        <v/>
      </c>
      <c r="F221" s="112" t="str">
        <f>IF(A221&lt;&gt;"",SUMIFS(node!$H$2:$H$500, node!$C$2:$C$500,"="&amp;A221, node!$C$2:$C$500,"&lt;&gt;"&amp;"")/(C221*D221),"")</f>
        <v/>
      </c>
      <c r="G221" s="179" t="str">
        <f>IF(A221&lt;&gt;"",SUMIFS(deployment!$F$4:$F$502, deployment!$D$4:$D$502,"="&amp;A221, deployment!$D$4:$D$502,"&lt;&gt;"&amp;""),"")</f>
        <v/>
      </c>
      <c r="H221" s="181" t="str">
        <f>IF(A221&lt;&gt;"",SUMIFS(deployment!$G$4:$G$502, deployment!$D$4:$D$502,"="&amp;A221, deployment!$D$4:$D$502,"&lt;&gt;"&amp;""),"")</f>
        <v/>
      </c>
      <c r="I221" s="113" t="str">
        <f>IF(A221&lt;&gt;"",SUMIFS(deployment!$H$4:$H$502, deployment!$D$4:$D$502,"="&amp;A221, deployment!$D$4:$D$502,"&lt;&gt;"&amp;""),"")</f>
        <v/>
      </c>
      <c r="J221" s="114" t="str">
        <f>IF(A221&lt;&gt;"",SUMIFS(deployment!$I$4:$I$502, deployment!$D$4:$D$502,"="&amp;A221, deployment!$D$4:$D$502,"&lt;&gt;"&amp;""),"")</f>
        <v/>
      </c>
      <c r="K221" s="182" t="str">
        <f>IF(A221&lt;&gt;"",SUMIFS(deployment!$J$4:$J$1002, deployment!$D$4:$D$1002,"="&amp;A221, deployment!$D$4:$D$1002,"&lt;&gt;"&amp;"", deployment!$C$4:$C$1002, "&lt;&gt;* )")+SUMIFS(namespace!$G$4:$G$1002, namespace!$B$4:$B$1002,"="&amp;A221, namespace!$B$4:$B$1002,"&lt;&gt;"&amp;""),"")</f>
        <v/>
      </c>
      <c r="L221" s="182" t="str">
        <f>IF(A221&lt;&gt;"",SUMIFS(deployment!$K$4:$K$1002, deployment!$D$4:$D$1002,"="&amp;A221, deployment!$D$4:$D$1002,"&lt;&gt;"&amp;"", deployment!$C$4:$C$1002, "&lt;&gt;* )")+SUMIFS(namespace!$H$4:$H$1002, namespace!$B$4:$B$1002,"="&amp;A221, namespace!$B$4:$B$1002,"&lt;&gt;"&amp;""),"")</f>
        <v/>
      </c>
      <c r="M221" s="115" t="str">
        <f>IF(A221&lt;&gt;"",SUMIFS(deployment!$L$4:$L$1002, deployment!$D$4:$D$1002,"="&amp;A221, deployment!$D$4:$D$1002,"&lt;&gt;"&amp;"", deployment!$C$4:$C$1002, "&lt;&gt;* )")+SUMIFS(namespace!$I$4:$I$1002, namespace!$B$4:$B$1002,"="&amp;A221, namespace!$B$4:$B$1002,"&lt;&gt;"&amp;""),"")</f>
        <v/>
      </c>
      <c r="N221" s="115" t="str">
        <f>IF(A221&lt;&gt;"",SUMIFS(deployment!$M$4:$M$1002, deployment!$D$4:$D$1002,"="&amp;A221, deployment!$D$4:$D$1002,"&lt;&gt;"&amp;"", deployment!$C$4:$C$1002, "&lt;&gt;* )")+SUMIFS(namespace!$J$4:$J$1002, namespace!$B$4:$B$1002,"="&amp;A221, namespace!$B$4:$B$1002,"&lt;&gt;"&amp;""),"")</f>
        <v/>
      </c>
      <c r="O221" s="116" t="str">
        <f t="shared" si="43"/>
        <v/>
      </c>
      <c r="P221" s="63"/>
      <c r="Q221" s="164" t="str">
        <f t="shared" si="38"/>
        <v/>
      </c>
      <c r="R221" s="60" t="str">
        <f t="shared" si="39"/>
        <v/>
      </c>
      <c r="S221" s="60" t="str">
        <f t="shared" si="40"/>
        <v/>
      </c>
      <c r="T221" s="61" t="str">
        <f t="shared" si="41"/>
        <v/>
      </c>
      <c r="U221" s="61" t="str">
        <f t="shared" si="42"/>
        <v/>
      </c>
      <c r="V221" s="183" t="str">
        <f t="shared" si="44"/>
        <v/>
      </c>
      <c r="W221" s="183" t="str">
        <f t="shared" si="45"/>
        <v/>
      </c>
      <c r="X221" s="61" t="str">
        <f t="shared" si="46"/>
        <v/>
      </c>
      <c r="Y221" s="61" t="str">
        <f t="shared" si="47"/>
        <v/>
      </c>
      <c r="Z221" s="118" t="str">
        <f t="shared" si="48"/>
        <v/>
      </c>
      <c r="AA221" s="62" t="str">
        <f t="shared" si="49"/>
        <v/>
      </c>
      <c r="AB221" s="119" t="str">
        <f>IF(A221&lt;&gt;"", IF(P221&lt;&gt;0,SUMIFS(node!$J$2:$J$1000, node!$C$2:$C$1000,"="&amp;A221)/P221,0), "")</f>
        <v/>
      </c>
      <c r="AC221" s="81" t="str">
        <f>IF(A221&lt;&gt;"", IF(P221&lt;&gt;0,SUMIFS(node!$K$2:$K$1000, node!$C$2:$C$1000,"="&amp;A221)/P221,0), "")</f>
        <v/>
      </c>
      <c r="AD221" s="82" t="str">
        <f>IF(A221&lt;&gt;"", SUMIFS(node!$L$2:$L$1000, node!$C$2:$C$1000,"="&amp;A221), "")</f>
        <v/>
      </c>
      <c r="AE221" s="87" t="str">
        <f>IF(A221&lt;&gt;"", SUMIFS(node!$M$2:$M$1000, node!$C$2:$C$1000,"="&amp;A221), "")</f>
        <v/>
      </c>
    </row>
    <row r="222" spans="1:31" ht="15.75" customHeight="1" x14ac:dyDescent="0.25">
      <c r="A222" s="71" t="str">
        <f>IF(ISNONTEXT(node_raw[[#This Row],[Column2]]), "", node_raw[[#This Row],[Column2]])</f>
        <v/>
      </c>
      <c r="B222" s="108" t="str">
        <f>IF(A222&lt;&gt;"", VLOOKUP(A222, node!$C$2:$D$1000, 2, FALSE), "")</f>
        <v/>
      </c>
      <c r="C222" s="109" t="str">
        <f>IF(A222&lt;&gt;"", VLOOKUP(A222, node!$C$2:$E$1000, 3, FALSE), "")</f>
        <v/>
      </c>
      <c r="D222" s="110" t="str">
        <f>IF(A222&lt;&gt;"",COUNTIFS(node!$C$2:$C$1000,"="&amp;A222, node!$C$2:$C$1000,"&lt;&gt;"&amp;""),"")</f>
        <v/>
      </c>
      <c r="E222" s="111" t="str">
        <f>IF(A222&lt;&gt;"",SUMIFS(node!$F$2:$F$500, node!$C$2:$C$500,"="&amp;A222, node!$C$2:$C$500,"&lt;&gt;"&amp;"")/(B222*D222),"")</f>
        <v/>
      </c>
      <c r="F222" s="112" t="str">
        <f>IF(A222&lt;&gt;"",SUMIFS(node!$H$2:$H$500, node!$C$2:$C$500,"="&amp;A222, node!$C$2:$C$500,"&lt;&gt;"&amp;"")/(C222*D222),"")</f>
        <v/>
      </c>
      <c r="G222" s="179" t="str">
        <f>IF(A222&lt;&gt;"",SUMIFS(deployment!$F$4:$F$502, deployment!$D$4:$D$502,"="&amp;A222, deployment!$D$4:$D$502,"&lt;&gt;"&amp;""),"")</f>
        <v/>
      </c>
      <c r="H222" s="181" t="str">
        <f>IF(A222&lt;&gt;"",SUMIFS(deployment!$G$4:$G$502, deployment!$D$4:$D$502,"="&amp;A222, deployment!$D$4:$D$502,"&lt;&gt;"&amp;""),"")</f>
        <v/>
      </c>
      <c r="I222" s="113" t="str">
        <f>IF(A222&lt;&gt;"",SUMIFS(deployment!$H$4:$H$502, deployment!$D$4:$D$502,"="&amp;A222, deployment!$D$4:$D$502,"&lt;&gt;"&amp;""),"")</f>
        <v/>
      </c>
      <c r="J222" s="114" t="str">
        <f>IF(A222&lt;&gt;"",SUMIFS(deployment!$I$4:$I$502, deployment!$D$4:$D$502,"="&amp;A222, deployment!$D$4:$D$502,"&lt;&gt;"&amp;""),"")</f>
        <v/>
      </c>
      <c r="K222" s="182" t="str">
        <f>IF(A222&lt;&gt;"",SUMIFS(deployment!$J$4:$J$1002, deployment!$D$4:$D$1002,"="&amp;A222, deployment!$D$4:$D$1002,"&lt;&gt;"&amp;"", deployment!$C$4:$C$1002, "&lt;&gt;* )")+SUMIFS(namespace!$G$4:$G$1002, namespace!$B$4:$B$1002,"="&amp;A222, namespace!$B$4:$B$1002,"&lt;&gt;"&amp;""),"")</f>
        <v/>
      </c>
      <c r="L222" s="182" t="str">
        <f>IF(A222&lt;&gt;"",SUMIFS(deployment!$K$4:$K$1002, deployment!$D$4:$D$1002,"="&amp;A222, deployment!$D$4:$D$1002,"&lt;&gt;"&amp;"", deployment!$C$4:$C$1002, "&lt;&gt;* )")+SUMIFS(namespace!$H$4:$H$1002, namespace!$B$4:$B$1002,"="&amp;A222, namespace!$B$4:$B$1002,"&lt;&gt;"&amp;""),"")</f>
        <v/>
      </c>
      <c r="M222" s="115" t="str">
        <f>IF(A222&lt;&gt;"",SUMIFS(deployment!$L$4:$L$1002, deployment!$D$4:$D$1002,"="&amp;A222, deployment!$D$4:$D$1002,"&lt;&gt;"&amp;"", deployment!$C$4:$C$1002, "&lt;&gt;* )")+SUMIFS(namespace!$I$4:$I$1002, namespace!$B$4:$B$1002,"="&amp;A222, namespace!$B$4:$B$1002,"&lt;&gt;"&amp;""),"")</f>
        <v/>
      </c>
      <c r="N222" s="115" t="str">
        <f>IF(A222&lt;&gt;"",SUMIFS(deployment!$M$4:$M$1002, deployment!$D$4:$D$1002,"="&amp;A222, deployment!$D$4:$D$1002,"&lt;&gt;"&amp;"", deployment!$C$4:$C$1002, "&lt;&gt;* )")+SUMIFS(namespace!$J$4:$J$1002, namespace!$B$4:$B$1002,"="&amp;A222, namespace!$B$4:$B$1002,"&lt;&gt;"&amp;""),"")</f>
        <v/>
      </c>
      <c r="O222" s="116" t="str">
        <f t="shared" si="43"/>
        <v/>
      </c>
      <c r="P222" s="63"/>
      <c r="Q222" s="164" t="str">
        <f t="shared" si="38"/>
        <v/>
      </c>
      <c r="R222" s="60" t="str">
        <f t="shared" si="39"/>
        <v/>
      </c>
      <c r="S222" s="60" t="str">
        <f t="shared" si="40"/>
        <v/>
      </c>
      <c r="T222" s="61" t="str">
        <f t="shared" si="41"/>
        <v/>
      </c>
      <c r="U222" s="61" t="str">
        <f t="shared" si="42"/>
        <v/>
      </c>
      <c r="V222" s="183" t="str">
        <f t="shared" si="44"/>
        <v/>
      </c>
      <c r="W222" s="183" t="str">
        <f t="shared" si="45"/>
        <v/>
      </c>
      <c r="X222" s="61" t="str">
        <f t="shared" si="46"/>
        <v/>
      </c>
      <c r="Y222" s="61" t="str">
        <f t="shared" si="47"/>
        <v/>
      </c>
      <c r="Z222" s="118" t="str">
        <f t="shared" si="48"/>
        <v/>
      </c>
      <c r="AA222" s="62" t="str">
        <f t="shared" si="49"/>
        <v/>
      </c>
      <c r="AB222" s="119" t="str">
        <f>IF(A222&lt;&gt;"", IF(P222&lt;&gt;0,SUMIFS(node!$J$2:$J$1000, node!$C$2:$C$1000,"="&amp;A222)/P222,0), "")</f>
        <v/>
      </c>
      <c r="AC222" s="81" t="str">
        <f>IF(A222&lt;&gt;"", IF(P222&lt;&gt;0,SUMIFS(node!$K$2:$K$1000, node!$C$2:$C$1000,"="&amp;A222)/P222,0), "")</f>
        <v/>
      </c>
      <c r="AD222" s="82" t="str">
        <f>IF(A222&lt;&gt;"", SUMIFS(node!$L$2:$L$1000, node!$C$2:$C$1000,"="&amp;A222), "")</f>
        <v/>
      </c>
      <c r="AE222" s="87" t="str">
        <f>IF(A222&lt;&gt;"", SUMIFS(node!$M$2:$M$1000, node!$C$2:$C$1000,"="&amp;A222), "")</f>
        <v/>
      </c>
    </row>
    <row r="223" spans="1:31" ht="15.75" customHeight="1" x14ac:dyDescent="0.25">
      <c r="A223" s="71" t="str">
        <f>IF(ISNONTEXT(node_raw[[#This Row],[Column2]]), "", node_raw[[#This Row],[Column2]])</f>
        <v/>
      </c>
      <c r="B223" s="108" t="str">
        <f>IF(A223&lt;&gt;"", VLOOKUP(A223, node!$C$2:$D$1000, 2, FALSE), "")</f>
        <v/>
      </c>
      <c r="C223" s="109" t="str">
        <f>IF(A223&lt;&gt;"", VLOOKUP(A223, node!$C$2:$E$1000, 3, FALSE), "")</f>
        <v/>
      </c>
      <c r="D223" s="110" t="str">
        <f>IF(A223&lt;&gt;"",COUNTIFS(node!$C$2:$C$1000,"="&amp;A223, node!$C$2:$C$1000,"&lt;&gt;"&amp;""),"")</f>
        <v/>
      </c>
      <c r="E223" s="111" t="str">
        <f>IF(A223&lt;&gt;"",SUMIFS(node!$F$2:$F$500, node!$C$2:$C$500,"="&amp;A223, node!$C$2:$C$500,"&lt;&gt;"&amp;"")/(B223*D223),"")</f>
        <v/>
      </c>
      <c r="F223" s="112" t="str">
        <f>IF(A223&lt;&gt;"",SUMIFS(node!$H$2:$H$500, node!$C$2:$C$500,"="&amp;A223, node!$C$2:$C$500,"&lt;&gt;"&amp;"")/(C223*D223),"")</f>
        <v/>
      </c>
      <c r="G223" s="179" t="str">
        <f>IF(A223&lt;&gt;"",SUMIFS(deployment!$F$4:$F$502, deployment!$D$4:$D$502,"="&amp;A223, deployment!$D$4:$D$502,"&lt;&gt;"&amp;""),"")</f>
        <v/>
      </c>
      <c r="H223" s="181" t="str">
        <f>IF(A223&lt;&gt;"",SUMIFS(deployment!$G$4:$G$502, deployment!$D$4:$D$502,"="&amp;A223, deployment!$D$4:$D$502,"&lt;&gt;"&amp;""),"")</f>
        <v/>
      </c>
      <c r="I223" s="113" t="str">
        <f>IF(A223&lt;&gt;"",SUMIFS(deployment!$H$4:$H$502, deployment!$D$4:$D$502,"="&amp;A223, deployment!$D$4:$D$502,"&lt;&gt;"&amp;""),"")</f>
        <v/>
      </c>
      <c r="J223" s="114" t="str">
        <f>IF(A223&lt;&gt;"",SUMIFS(deployment!$I$4:$I$502, deployment!$D$4:$D$502,"="&amp;A223, deployment!$D$4:$D$502,"&lt;&gt;"&amp;""),"")</f>
        <v/>
      </c>
      <c r="K223" s="182" t="str">
        <f>IF(A223&lt;&gt;"",SUMIFS(deployment!$J$4:$J$1002, deployment!$D$4:$D$1002,"="&amp;A223, deployment!$D$4:$D$1002,"&lt;&gt;"&amp;"", deployment!$C$4:$C$1002, "&lt;&gt;* )")+SUMIFS(namespace!$G$4:$G$1002, namespace!$B$4:$B$1002,"="&amp;A223, namespace!$B$4:$B$1002,"&lt;&gt;"&amp;""),"")</f>
        <v/>
      </c>
      <c r="L223" s="182" t="str">
        <f>IF(A223&lt;&gt;"",SUMIFS(deployment!$K$4:$K$1002, deployment!$D$4:$D$1002,"="&amp;A223, deployment!$D$4:$D$1002,"&lt;&gt;"&amp;"", deployment!$C$4:$C$1002, "&lt;&gt;* )")+SUMIFS(namespace!$H$4:$H$1002, namespace!$B$4:$B$1002,"="&amp;A223, namespace!$B$4:$B$1002,"&lt;&gt;"&amp;""),"")</f>
        <v/>
      </c>
      <c r="M223" s="115" t="str">
        <f>IF(A223&lt;&gt;"",SUMIFS(deployment!$L$4:$L$1002, deployment!$D$4:$D$1002,"="&amp;A223, deployment!$D$4:$D$1002,"&lt;&gt;"&amp;"", deployment!$C$4:$C$1002, "&lt;&gt;* )")+SUMIFS(namespace!$I$4:$I$1002, namespace!$B$4:$B$1002,"="&amp;A223, namespace!$B$4:$B$1002,"&lt;&gt;"&amp;""),"")</f>
        <v/>
      </c>
      <c r="N223" s="115" t="str">
        <f>IF(A223&lt;&gt;"",SUMIFS(deployment!$M$4:$M$1002, deployment!$D$4:$D$1002,"="&amp;A223, deployment!$D$4:$D$1002,"&lt;&gt;"&amp;"", deployment!$C$4:$C$1002, "&lt;&gt;* )")+SUMIFS(namespace!$J$4:$J$1002, namespace!$B$4:$B$1002,"="&amp;A223, namespace!$B$4:$B$1002,"&lt;&gt;"&amp;""),"")</f>
        <v/>
      </c>
      <c r="O223" s="116" t="str">
        <f t="shared" si="43"/>
        <v/>
      </c>
      <c r="P223" s="63"/>
      <c r="Q223" s="164" t="str">
        <f t="shared" si="38"/>
        <v/>
      </c>
      <c r="R223" s="60" t="str">
        <f t="shared" si="39"/>
        <v/>
      </c>
      <c r="S223" s="60" t="str">
        <f t="shared" si="40"/>
        <v/>
      </c>
      <c r="T223" s="61" t="str">
        <f t="shared" si="41"/>
        <v/>
      </c>
      <c r="U223" s="61" t="str">
        <f t="shared" si="42"/>
        <v/>
      </c>
      <c r="V223" s="183" t="str">
        <f t="shared" si="44"/>
        <v/>
      </c>
      <c r="W223" s="183" t="str">
        <f t="shared" si="45"/>
        <v/>
      </c>
      <c r="X223" s="61" t="str">
        <f t="shared" si="46"/>
        <v/>
      </c>
      <c r="Y223" s="61" t="str">
        <f t="shared" si="47"/>
        <v/>
      </c>
      <c r="Z223" s="118" t="str">
        <f t="shared" si="48"/>
        <v/>
      </c>
      <c r="AA223" s="62" t="str">
        <f t="shared" si="49"/>
        <v/>
      </c>
      <c r="AB223" s="119" t="str">
        <f>IF(A223&lt;&gt;"", IF(P223&lt;&gt;0,SUMIFS(node!$J$2:$J$1000, node!$C$2:$C$1000,"="&amp;A223)/P223,0), "")</f>
        <v/>
      </c>
      <c r="AC223" s="81" t="str">
        <f>IF(A223&lt;&gt;"", IF(P223&lt;&gt;0,SUMIFS(node!$K$2:$K$1000, node!$C$2:$C$1000,"="&amp;A223)/P223,0), "")</f>
        <v/>
      </c>
      <c r="AD223" s="82" t="str">
        <f>IF(A223&lt;&gt;"", SUMIFS(node!$L$2:$L$1000, node!$C$2:$C$1000,"="&amp;A223), "")</f>
        <v/>
      </c>
      <c r="AE223" s="87" t="str">
        <f>IF(A223&lt;&gt;"", SUMIFS(node!$M$2:$M$1000, node!$C$2:$C$1000,"="&amp;A223), "")</f>
        <v/>
      </c>
    </row>
    <row r="224" spans="1:31" ht="15.75" customHeight="1" x14ac:dyDescent="0.25">
      <c r="A224" s="71" t="str">
        <f>IF(ISNONTEXT(node_raw[[#This Row],[Column2]]), "", node_raw[[#This Row],[Column2]])</f>
        <v/>
      </c>
      <c r="B224" s="108" t="str">
        <f>IF(A224&lt;&gt;"", VLOOKUP(A224, node!$C$2:$D$1000, 2, FALSE), "")</f>
        <v/>
      </c>
      <c r="C224" s="109" t="str">
        <f>IF(A224&lt;&gt;"", VLOOKUP(A224, node!$C$2:$E$1000, 3, FALSE), "")</f>
        <v/>
      </c>
      <c r="D224" s="110" t="str">
        <f>IF(A224&lt;&gt;"",COUNTIFS(node!$C$2:$C$1000,"="&amp;A224, node!$C$2:$C$1000,"&lt;&gt;"&amp;""),"")</f>
        <v/>
      </c>
      <c r="E224" s="111" t="str">
        <f>IF(A224&lt;&gt;"",SUMIFS(node!$F$2:$F$500, node!$C$2:$C$500,"="&amp;A224, node!$C$2:$C$500,"&lt;&gt;"&amp;"")/(B224*D224),"")</f>
        <v/>
      </c>
      <c r="F224" s="112" t="str">
        <f>IF(A224&lt;&gt;"",SUMIFS(node!$H$2:$H$500, node!$C$2:$C$500,"="&amp;A224, node!$C$2:$C$500,"&lt;&gt;"&amp;"")/(C224*D224),"")</f>
        <v/>
      </c>
      <c r="G224" s="179" t="str">
        <f>IF(A224&lt;&gt;"",SUMIFS(deployment!$F$4:$F$502, deployment!$D$4:$D$502,"="&amp;A224, deployment!$D$4:$D$502,"&lt;&gt;"&amp;""),"")</f>
        <v/>
      </c>
      <c r="H224" s="181" t="str">
        <f>IF(A224&lt;&gt;"",SUMIFS(deployment!$G$4:$G$502, deployment!$D$4:$D$502,"="&amp;A224, deployment!$D$4:$D$502,"&lt;&gt;"&amp;""),"")</f>
        <v/>
      </c>
      <c r="I224" s="113" t="str">
        <f>IF(A224&lt;&gt;"",SUMIFS(deployment!$H$4:$H$502, deployment!$D$4:$D$502,"="&amp;A224, deployment!$D$4:$D$502,"&lt;&gt;"&amp;""),"")</f>
        <v/>
      </c>
      <c r="J224" s="114" t="str">
        <f>IF(A224&lt;&gt;"",SUMIFS(deployment!$I$4:$I$502, deployment!$D$4:$D$502,"="&amp;A224, deployment!$D$4:$D$502,"&lt;&gt;"&amp;""),"")</f>
        <v/>
      </c>
      <c r="K224" s="182" t="str">
        <f>IF(A224&lt;&gt;"",SUMIFS(deployment!$J$4:$J$1002, deployment!$D$4:$D$1002,"="&amp;A224, deployment!$D$4:$D$1002,"&lt;&gt;"&amp;"", deployment!$C$4:$C$1002, "&lt;&gt;* )")+SUMIFS(namespace!$G$4:$G$1002, namespace!$B$4:$B$1002,"="&amp;A224, namespace!$B$4:$B$1002,"&lt;&gt;"&amp;""),"")</f>
        <v/>
      </c>
      <c r="L224" s="182" t="str">
        <f>IF(A224&lt;&gt;"",SUMIFS(deployment!$K$4:$K$1002, deployment!$D$4:$D$1002,"="&amp;A224, deployment!$D$4:$D$1002,"&lt;&gt;"&amp;"", deployment!$C$4:$C$1002, "&lt;&gt;* )")+SUMIFS(namespace!$H$4:$H$1002, namespace!$B$4:$B$1002,"="&amp;A224, namespace!$B$4:$B$1002,"&lt;&gt;"&amp;""),"")</f>
        <v/>
      </c>
      <c r="M224" s="115" t="str">
        <f>IF(A224&lt;&gt;"",SUMIFS(deployment!$L$4:$L$1002, deployment!$D$4:$D$1002,"="&amp;A224, deployment!$D$4:$D$1002,"&lt;&gt;"&amp;"", deployment!$C$4:$C$1002, "&lt;&gt;* )")+SUMIFS(namespace!$I$4:$I$1002, namespace!$B$4:$B$1002,"="&amp;A224, namespace!$B$4:$B$1002,"&lt;&gt;"&amp;""),"")</f>
        <v/>
      </c>
      <c r="N224" s="115" t="str">
        <f>IF(A224&lt;&gt;"",SUMIFS(deployment!$M$4:$M$1002, deployment!$D$4:$D$1002,"="&amp;A224, deployment!$D$4:$D$1002,"&lt;&gt;"&amp;"", deployment!$C$4:$C$1002, "&lt;&gt;* )")+SUMIFS(namespace!$J$4:$J$1002, namespace!$B$4:$B$1002,"="&amp;A224, namespace!$B$4:$B$1002,"&lt;&gt;"&amp;""),"")</f>
        <v/>
      </c>
      <c r="O224" s="116" t="str">
        <f t="shared" si="43"/>
        <v/>
      </c>
      <c r="P224" s="63"/>
      <c r="Q224" s="164" t="str">
        <f t="shared" si="38"/>
        <v/>
      </c>
      <c r="R224" s="60" t="str">
        <f t="shared" si="39"/>
        <v/>
      </c>
      <c r="S224" s="60" t="str">
        <f t="shared" si="40"/>
        <v/>
      </c>
      <c r="T224" s="61" t="str">
        <f t="shared" si="41"/>
        <v/>
      </c>
      <c r="U224" s="61" t="str">
        <f t="shared" si="42"/>
        <v/>
      </c>
      <c r="V224" s="183" t="str">
        <f t="shared" si="44"/>
        <v/>
      </c>
      <c r="W224" s="183" t="str">
        <f t="shared" si="45"/>
        <v/>
      </c>
      <c r="X224" s="61" t="str">
        <f t="shared" si="46"/>
        <v/>
      </c>
      <c r="Y224" s="61" t="str">
        <f t="shared" si="47"/>
        <v/>
      </c>
      <c r="Z224" s="118" t="str">
        <f t="shared" si="48"/>
        <v/>
      </c>
      <c r="AA224" s="62" t="str">
        <f t="shared" si="49"/>
        <v/>
      </c>
      <c r="AB224" s="119" t="str">
        <f>IF(A224&lt;&gt;"", IF(P224&lt;&gt;0,SUMIFS(node!$J$2:$J$1000, node!$C$2:$C$1000,"="&amp;A224)/P224,0), "")</f>
        <v/>
      </c>
      <c r="AC224" s="81" t="str">
        <f>IF(A224&lt;&gt;"", IF(P224&lt;&gt;0,SUMIFS(node!$K$2:$K$1000, node!$C$2:$C$1000,"="&amp;A224)/P224,0), "")</f>
        <v/>
      </c>
      <c r="AD224" s="82" t="str">
        <f>IF(A224&lt;&gt;"", SUMIFS(node!$L$2:$L$1000, node!$C$2:$C$1000,"="&amp;A224), "")</f>
        <v/>
      </c>
      <c r="AE224" s="87" t="str">
        <f>IF(A224&lt;&gt;"", SUMIFS(node!$M$2:$M$1000, node!$C$2:$C$1000,"="&amp;A224), "")</f>
        <v/>
      </c>
    </row>
    <row r="225" spans="1:31" ht="15.75" customHeight="1" x14ac:dyDescent="0.25">
      <c r="A225" s="71" t="str">
        <f>IF(ISNONTEXT(node_raw[[#This Row],[Column2]]), "", node_raw[[#This Row],[Column2]])</f>
        <v/>
      </c>
      <c r="B225" s="108" t="str">
        <f>IF(A225&lt;&gt;"", VLOOKUP(A225, node!$C$2:$D$1000, 2, FALSE), "")</f>
        <v/>
      </c>
      <c r="C225" s="109" t="str">
        <f>IF(A225&lt;&gt;"", VLOOKUP(A225, node!$C$2:$E$1000, 3, FALSE), "")</f>
        <v/>
      </c>
      <c r="D225" s="110" t="str">
        <f>IF(A225&lt;&gt;"",COUNTIFS(node!$C$2:$C$1000,"="&amp;A225, node!$C$2:$C$1000,"&lt;&gt;"&amp;""),"")</f>
        <v/>
      </c>
      <c r="E225" s="111" t="str">
        <f>IF(A225&lt;&gt;"",SUMIFS(node!$F$2:$F$500, node!$C$2:$C$500,"="&amp;A225, node!$C$2:$C$500,"&lt;&gt;"&amp;"")/(B225*D225),"")</f>
        <v/>
      </c>
      <c r="F225" s="112" t="str">
        <f>IF(A225&lt;&gt;"",SUMIFS(node!$H$2:$H$500, node!$C$2:$C$500,"="&amp;A225, node!$C$2:$C$500,"&lt;&gt;"&amp;"")/(C225*D225),"")</f>
        <v/>
      </c>
      <c r="G225" s="179" t="str">
        <f>IF(A225&lt;&gt;"",SUMIFS(deployment!$F$4:$F$502, deployment!$D$4:$D$502,"="&amp;A225, deployment!$D$4:$D$502,"&lt;&gt;"&amp;""),"")</f>
        <v/>
      </c>
      <c r="H225" s="181" t="str">
        <f>IF(A225&lt;&gt;"",SUMIFS(deployment!$G$4:$G$502, deployment!$D$4:$D$502,"="&amp;A225, deployment!$D$4:$D$502,"&lt;&gt;"&amp;""),"")</f>
        <v/>
      </c>
      <c r="I225" s="113" t="str">
        <f>IF(A225&lt;&gt;"",SUMIFS(deployment!$H$4:$H$502, deployment!$D$4:$D$502,"="&amp;A225, deployment!$D$4:$D$502,"&lt;&gt;"&amp;""),"")</f>
        <v/>
      </c>
      <c r="J225" s="114" t="str">
        <f>IF(A225&lt;&gt;"",SUMIFS(deployment!$I$4:$I$502, deployment!$D$4:$D$502,"="&amp;A225, deployment!$D$4:$D$502,"&lt;&gt;"&amp;""),"")</f>
        <v/>
      </c>
      <c r="K225" s="182" t="str">
        <f>IF(A225&lt;&gt;"",SUMIFS(deployment!$J$4:$J$1002, deployment!$D$4:$D$1002,"="&amp;A225, deployment!$D$4:$D$1002,"&lt;&gt;"&amp;"", deployment!$C$4:$C$1002, "&lt;&gt;* )")+SUMIFS(namespace!$G$4:$G$1002, namespace!$B$4:$B$1002,"="&amp;A225, namespace!$B$4:$B$1002,"&lt;&gt;"&amp;""),"")</f>
        <v/>
      </c>
      <c r="L225" s="182" t="str">
        <f>IF(A225&lt;&gt;"",SUMIFS(deployment!$K$4:$K$1002, deployment!$D$4:$D$1002,"="&amp;A225, deployment!$D$4:$D$1002,"&lt;&gt;"&amp;"", deployment!$C$4:$C$1002, "&lt;&gt;* )")+SUMIFS(namespace!$H$4:$H$1002, namespace!$B$4:$B$1002,"="&amp;A225, namespace!$B$4:$B$1002,"&lt;&gt;"&amp;""),"")</f>
        <v/>
      </c>
      <c r="M225" s="115" t="str">
        <f>IF(A225&lt;&gt;"",SUMIFS(deployment!$L$4:$L$1002, deployment!$D$4:$D$1002,"="&amp;A225, deployment!$D$4:$D$1002,"&lt;&gt;"&amp;"", deployment!$C$4:$C$1002, "&lt;&gt;* )")+SUMIFS(namespace!$I$4:$I$1002, namespace!$B$4:$B$1002,"="&amp;A225, namespace!$B$4:$B$1002,"&lt;&gt;"&amp;""),"")</f>
        <v/>
      </c>
      <c r="N225" s="115" t="str">
        <f>IF(A225&lt;&gt;"",SUMIFS(deployment!$M$4:$M$1002, deployment!$D$4:$D$1002,"="&amp;A225, deployment!$D$4:$D$1002,"&lt;&gt;"&amp;"", deployment!$C$4:$C$1002, "&lt;&gt;* )")+SUMIFS(namespace!$J$4:$J$1002, namespace!$B$4:$B$1002,"="&amp;A225, namespace!$B$4:$B$1002,"&lt;&gt;"&amp;""),"")</f>
        <v/>
      </c>
      <c r="O225" s="116" t="str">
        <f t="shared" si="43"/>
        <v/>
      </c>
      <c r="P225" s="63"/>
      <c r="Q225" s="164" t="str">
        <f t="shared" si="38"/>
        <v/>
      </c>
      <c r="R225" s="60" t="str">
        <f t="shared" si="39"/>
        <v/>
      </c>
      <c r="S225" s="60" t="str">
        <f t="shared" si="40"/>
        <v/>
      </c>
      <c r="T225" s="61" t="str">
        <f t="shared" si="41"/>
        <v/>
      </c>
      <c r="U225" s="61" t="str">
        <f t="shared" si="42"/>
        <v/>
      </c>
      <c r="V225" s="183" t="str">
        <f t="shared" si="44"/>
        <v/>
      </c>
      <c r="W225" s="183" t="str">
        <f t="shared" si="45"/>
        <v/>
      </c>
      <c r="X225" s="61" t="str">
        <f t="shared" si="46"/>
        <v/>
      </c>
      <c r="Y225" s="61" t="str">
        <f t="shared" si="47"/>
        <v/>
      </c>
      <c r="Z225" s="118" t="str">
        <f t="shared" si="48"/>
        <v/>
      </c>
      <c r="AA225" s="62" t="str">
        <f t="shared" si="49"/>
        <v/>
      </c>
      <c r="AB225" s="119" t="str">
        <f>IF(A225&lt;&gt;"", IF(P225&lt;&gt;0,SUMIFS(node!$J$2:$J$1000, node!$C$2:$C$1000,"="&amp;A225)/P225,0), "")</f>
        <v/>
      </c>
      <c r="AC225" s="81" t="str">
        <f>IF(A225&lt;&gt;"", IF(P225&lt;&gt;0,SUMIFS(node!$K$2:$K$1000, node!$C$2:$C$1000,"="&amp;A225)/P225,0), "")</f>
        <v/>
      </c>
      <c r="AD225" s="82" t="str">
        <f>IF(A225&lt;&gt;"", SUMIFS(node!$L$2:$L$1000, node!$C$2:$C$1000,"="&amp;A225), "")</f>
        <v/>
      </c>
      <c r="AE225" s="87" t="str">
        <f>IF(A225&lt;&gt;"", SUMIFS(node!$M$2:$M$1000, node!$C$2:$C$1000,"="&amp;A225), "")</f>
        <v/>
      </c>
    </row>
    <row r="226" spans="1:31" ht="15.75" customHeight="1" x14ac:dyDescent="0.25">
      <c r="A226" s="71" t="str">
        <f>IF(ISNONTEXT(node_raw[[#This Row],[Column2]]), "", node_raw[[#This Row],[Column2]])</f>
        <v/>
      </c>
      <c r="B226" s="108" t="str">
        <f>IF(A226&lt;&gt;"", VLOOKUP(A226, node!$C$2:$D$1000, 2, FALSE), "")</f>
        <v/>
      </c>
      <c r="C226" s="109" t="str">
        <f>IF(A226&lt;&gt;"", VLOOKUP(A226, node!$C$2:$E$1000, 3, FALSE), "")</f>
        <v/>
      </c>
      <c r="D226" s="110" t="str">
        <f>IF(A226&lt;&gt;"",COUNTIFS(node!$C$2:$C$1000,"="&amp;A226, node!$C$2:$C$1000,"&lt;&gt;"&amp;""),"")</f>
        <v/>
      </c>
      <c r="E226" s="111" t="str">
        <f>IF(A226&lt;&gt;"",SUMIFS(node!$F$2:$F$500, node!$C$2:$C$500,"="&amp;A226, node!$C$2:$C$500,"&lt;&gt;"&amp;"")/(B226*D226),"")</f>
        <v/>
      </c>
      <c r="F226" s="112" t="str">
        <f>IF(A226&lt;&gt;"",SUMIFS(node!$H$2:$H$500, node!$C$2:$C$500,"="&amp;A226, node!$C$2:$C$500,"&lt;&gt;"&amp;"")/(C226*D226),"")</f>
        <v/>
      </c>
      <c r="G226" s="179" t="str">
        <f>IF(A226&lt;&gt;"",SUMIFS(deployment!$F$4:$F$502, deployment!$D$4:$D$502,"="&amp;A226, deployment!$D$4:$D$502,"&lt;&gt;"&amp;""),"")</f>
        <v/>
      </c>
      <c r="H226" s="181" t="str">
        <f>IF(A226&lt;&gt;"",SUMIFS(deployment!$G$4:$G$502, deployment!$D$4:$D$502,"="&amp;A226, deployment!$D$4:$D$502,"&lt;&gt;"&amp;""),"")</f>
        <v/>
      </c>
      <c r="I226" s="113" t="str">
        <f>IF(A226&lt;&gt;"",SUMIFS(deployment!$H$4:$H$502, deployment!$D$4:$D$502,"="&amp;A226, deployment!$D$4:$D$502,"&lt;&gt;"&amp;""),"")</f>
        <v/>
      </c>
      <c r="J226" s="114" t="str">
        <f>IF(A226&lt;&gt;"",SUMIFS(deployment!$I$4:$I$502, deployment!$D$4:$D$502,"="&amp;A226, deployment!$D$4:$D$502,"&lt;&gt;"&amp;""),"")</f>
        <v/>
      </c>
      <c r="K226" s="182" t="str">
        <f>IF(A226&lt;&gt;"",SUMIFS(deployment!$J$4:$J$1002, deployment!$D$4:$D$1002,"="&amp;A226, deployment!$D$4:$D$1002,"&lt;&gt;"&amp;"", deployment!$C$4:$C$1002, "&lt;&gt;* )")+SUMIFS(namespace!$G$4:$G$1002, namespace!$B$4:$B$1002,"="&amp;A226, namespace!$B$4:$B$1002,"&lt;&gt;"&amp;""),"")</f>
        <v/>
      </c>
      <c r="L226" s="182" t="str">
        <f>IF(A226&lt;&gt;"",SUMIFS(deployment!$K$4:$K$1002, deployment!$D$4:$D$1002,"="&amp;A226, deployment!$D$4:$D$1002,"&lt;&gt;"&amp;"", deployment!$C$4:$C$1002, "&lt;&gt;* )")+SUMIFS(namespace!$H$4:$H$1002, namespace!$B$4:$B$1002,"="&amp;A226, namespace!$B$4:$B$1002,"&lt;&gt;"&amp;""),"")</f>
        <v/>
      </c>
      <c r="M226" s="115" t="str">
        <f>IF(A226&lt;&gt;"",SUMIFS(deployment!$L$4:$L$1002, deployment!$D$4:$D$1002,"="&amp;A226, deployment!$D$4:$D$1002,"&lt;&gt;"&amp;"", deployment!$C$4:$C$1002, "&lt;&gt;* )")+SUMIFS(namespace!$I$4:$I$1002, namespace!$B$4:$B$1002,"="&amp;A226, namespace!$B$4:$B$1002,"&lt;&gt;"&amp;""),"")</f>
        <v/>
      </c>
      <c r="N226" s="115" t="str">
        <f>IF(A226&lt;&gt;"",SUMIFS(deployment!$M$4:$M$1002, deployment!$D$4:$D$1002,"="&amp;A226, deployment!$D$4:$D$1002,"&lt;&gt;"&amp;"", deployment!$C$4:$C$1002, "&lt;&gt;* )")+SUMIFS(namespace!$J$4:$J$1002, namespace!$B$4:$B$1002,"="&amp;A226, namespace!$B$4:$B$1002,"&lt;&gt;"&amp;""),"")</f>
        <v/>
      </c>
      <c r="O226" s="116" t="str">
        <f t="shared" si="43"/>
        <v/>
      </c>
      <c r="P226" s="63"/>
      <c r="Q226" s="164" t="str">
        <f t="shared" si="38"/>
        <v/>
      </c>
      <c r="R226" s="60" t="str">
        <f t="shared" si="39"/>
        <v/>
      </c>
      <c r="S226" s="60" t="str">
        <f t="shared" si="40"/>
        <v/>
      </c>
      <c r="T226" s="61" t="str">
        <f t="shared" si="41"/>
        <v/>
      </c>
      <c r="U226" s="61" t="str">
        <f t="shared" si="42"/>
        <v/>
      </c>
      <c r="V226" s="183" t="str">
        <f t="shared" si="44"/>
        <v/>
      </c>
      <c r="W226" s="183" t="str">
        <f t="shared" si="45"/>
        <v/>
      </c>
      <c r="X226" s="61" t="str">
        <f t="shared" si="46"/>
        <v/>
      </c>
      <c r="Y226" s="61" t="str">
        <f t="shared" si="47"/>
        <v/>
      </c>
      <c r="Z226" s="118" t="str">
        <f t="shared" si="48"/>
        <v/>
      </c>
      <c r="AA226" s="62" t="str">
        <f t="shared" si="49"/>
        <v/>
      </c>
      <c r="AB226" s="119" t="str">
        <f>IF(A226&lt;&gt;"", IF(P226&lt;&gt;0,SUMIFS(node!$J$2:$J$1000, node!$C$2:$C$1000,"="&amp;A226)/P226,0), "")</f>
        <v/>
      </c>
      <c r="AC226" s="81" t="str">
        <f>IF(A226&lt;&gt;"", IF(P226&lt;&gt;0,SUMIFS(node!$K$2:$K$1000, node!$C$2:$C$1000,"="&amp;A226)/P226,0), "")</f>
        <v/>
      </c>
      <c r="AD226" s="82" t="str">
        <f>IF(A226&lt;&gt;"", SUMIFS(node!$L$2:$L$1000, node!$C$2:$C$1000,"="&amp;A226), "")</f>
        <v/>
      </c>
      <c r="AE226" s="87" t="str">
        <f>IF(A226&lt;&gt;"", SUMIFS(node!$M$2:$M$1000, node!$C$2:$C$1000,"="&amp;A226), "")</f>
        <v/>
      </c>
    </row>
    <row r="227" spans="1:31" ht="15.75" customHeight="1" x14ac:dyDescent="0.25">
      <c r="A227" s="71" t="str">
        <f>IF(ISNONTEXT(node_raw[[#This Row],[Column2]]), "", node_raw[[#This Row],[Column2]])</f>
        <v/>
      </c>
      <c r="B227" s="108" t="str">
        <f>IF(A227&lt;&gt;"", VLOOKUP(A227, node!$C$2:$D$1000, 2, FALSE), "")</f>
        <v/>
      </c>
      <c r="C227" s="109" t="str">
        <f>IF(A227&lt;&gt;"", VLOOKUP(A227, node!$C$2:$E$1000, 3, FALSE), "")</f>
        <v/>
      </c>
      <c r="D227" s="110" t="str">
        <f>IF(A227&lt;&gt;"",COUNTIFS(node!$C$2:$C$1000,"="&amp;A227, node!$C$2:$C$1000,"&lt;&gt;"&amp;""),"")</f>
        <v/>
      </c>
      <c r="E227" s="111" t="str">
        <f>IF(A227&lt;&gt;"",SUMIFS(node!$F$2:$F$500, node!$C$2:$C$500,"="&amp;A227, node!$C$2:$C$500,"&lt;&gt;"&amp;"")/(B227*D227),"")</f>
        <v/>
      </c>
      <c r="F227" s="112" t="str">
        <f>IF(A227&lt;&gt;"",SUMIFS(node!$H$2:$H$500, node!$C$2:$C$500,"="&amp;A227, node!$C$2:$C$500,"&lt;&gt;"&amp;"")/(C227*D227),"")</f>
        <v/>
      </c>
      <c r="G227" s="179" t="str">
        <f>IF(A227&lt;&gt;"",SUMIFS(deployment!$F$4:$F$502, deployment!$D$4:$D$502,"="&amp;A227, deployment!$D$4:$D$502,"&lt;&gt;"&amp;""),"")</f>
        <v/>
      </c>
      <c r="H227" s="181" t="str">
        <f>IF(A227&lt;&gt;"",SUMIFS(deployment!$G$4:$G$502, deployment!$D$4:$D$502,"="&amp;A227, deployment!$D$4:$D$502,"&lt;&gt;"&amp;""),"")</f>
        <v/>
      </c>
      <c r="I227" s="113" t="str">
        <f>IF(A227&lt;&gt;"",SUMIFS(deployment!$H$4:$H$502, deployment!$D$4:$D$502,"="&amp;A227, deployment!$D$4:$D$502,"&lt;&gt;"&amp;""),"")</f>
        <v/>
      </c>
      <c r="J227" s="114" t="str">
        <f>IF(A227&lt;&gt;"",SUMIFS(deployment!$I$4:$I$502, deployment!$D$4:$D$502,"="&amp;A227, deployment!$D$4:$D$502,"&lt;&gt;"&amp;""),"")</f>
        <v/>
      </c>
      <c r="K227" s="182" t="str">
        <f>IF(A227&lt;&gt;"",SUMIFS(deployment!$J$4:$J$1002, deployment!$D$4:$D$1002,"="&amp;A227, deployment!$D$4:$D$1002,"&lt;&gt;"&amp;"", deployment!$C$4:$C$1002, "&lt;&gt;* )")+SUMIFS(namespace!$G$4:$G$1002, namespace!$B$4:$B$1002,"="&amp;A227, namespace!$B$4:$B$1002,"&lt;&gt;"&amp;""),"")</f>
        <v/>
      </c>
      <c r="L227" s="182" t="str">
        <f>IF(A227&lt;&gt;"",SUMIFS(deployment!$K$4:$K$1002, deployment!$D$4:$D$1002,"="&amp;A227, deployment!$D$4:$D$1002,"&lt;&gt;"&amp;"", deployment!$C$4:$C$1002, "&lt;&gt;* )")+SUMIFS(namespace!$H$4:$H$1002, namespace!$B$4:$B$1002,"="&amp;A227, namespace!$B$4:$B$1002,"&lt;&gt;"&amp;""),"")</f>
        <v/>
      </c>
      <c r="M227" s="115" t="str">
        <f>IF(A227&lt;&gt;"",SUMIFS(deployment!$L$4:$L$1002, deployment!$D$4:$D$1002,"="&amp;A227, deployment!$D$4:$D$1002,"&lt;&gt;"&amp;"", deployment!$C$4:$C$1002, "&lt;&gt;* )")+SUMIFS(namespace!$I$4:$I$1002, namespace!$B$4:$B$1002,"="&amp;A227, namespace!$B$4:$B$1002,"&lt;&gt;"&amp;""),"")</f>
        <v/>
      </c>
      <c r="N227" s="115" t="str">
        <f>IF(A227&lt;&gt;"",SUMIFS(deployment!$M$4:$M$1002, deployment!$D$4:$D$1002,"="&amp;A227, deployment!$D$4:$D$1002,"&lt;&gt;"&amp;"", deployment!$C$4:$C$1002, "&lt;&gt;* )")+SUMIFS(namespace!$J$4:$J$1002, namespace!$B$4:$B$1002,"="&amp;A227, namespace!$B$4:$B$1002,"&lt;&gt;"&amp;""),"")</f>
        <v/>
      </c>
      <c r="O227" s="116" t="str">
        <f t="shared" si="43"/>
        <v/>
      </c>
      <c r="P227" s="63"/>
      <c r="Q227" s="164" t="str">
        <f t="shared" si="38"/>
        <v/>
      </c>
      <c r="R227" s="60" t="str">
        <f t="shared" si="39"/>
        <v/>
      </c>
      <c r="S227" s="60" t="str">
        <f t="shared" si="40"/>
        <v/>
      </c>
      <c r="T227" s="61" t="str">
        <f t="shared" si="41"/>
        <v/>
      </c>
      <c r="U227" s="61" t="str">
        <f t="shared" si="42"/>
        <v/>
      </c>
      <c r="V227" s="183" t="str">
        <f t="shared" si="44"/>
        <v/>
      </c>
      <c r="W227" s="183" t="str">
        <f t="shared" si="45"/>
        <v/>
      </c>
      <c r="X227" s="61" t="str">
        <f t="shared" si="46"/>
        <v/>
      </c>
      <c r="Y227" s="61" t="str">
        <f t="shared" si="47"/>
        <v/>
      </c>
      <c r="Z227" s="118" t="str">
        <f t="shared" si="48"/>
        <v/>
      </c>
      <c r="AA227" s="62" t="str">
        <f t="shared" si="49"/>
        <v/>
      </c>
      <c r="AB227" s="119" t="str">
        <f>IF(A227&lt;&gt;"", IF(P227&lt;&gt;0,SUMIFS(node!$J$2:$J$1000, node!$C$2:$C$1000,"="&amp;A227)/P227,0), "")</f>
        <v/>
      </c>
      <c r="AC227" s="81" t="str">
        <f>IF(A227&lt;&gt;"", IF(P227&lt;&gt;0,SUMIFS(node!$K$2:$K$1000, node!$C$2:$C$1000,"="&amp;A227)/P227,0), "")</f>
        <v/>
      </c>
      <c r="AD227" s="82" t="str">
        <f>IF(A227&lt;&gt;"", SUMIFS(node!$L$2:$L$1000, node!$C$2:$C$1000,"="&amp;A227), "")</f>
        <v/>
      </c>
      <c r="AE227" s="87" t="str">
        <f>IF(A227&lt;&gt;"", SUMIFS(node!$M$2:$M$1000, node!$C$2:$C$1000,"="&amp;A227), "")</f>
        <v/>
      </c>
    </row>
    <row r="228" spans="1:31" ht="15.75" customHeight="1" x14ac:dyDescent="0.25">
      <c r="A228" s="71" t="str">
        <f>IF(ISNONTEXT(node_raw[[#This Row],[Column2]]), "", node_raw[[#This Row],[Column2]])</f>
        <v/>
      </c>
      <c r="B228" s="108" t="str">
        <f>IF(A228&lt;&gt;"", VLOOKUP(A228, node!$C$2:$D$1000, 2, FALSE), "")</f>
        <v/>
      </c>
      <c r="C228" s="109" t="str">
        <f>IF(A228&lt;&gt;"", VLOOKUP(A228, node!$C$2:$E$1000, 3, FALSE), "")</f>
        <v/>
      </c>
      <c r="D228" s="110" t="str">
        <f>IF(A228&lt;&gt;"",COUNTIFS(node!$C$2:$C$1000,"="&amp;A228, node!$C$2:$C$1000,"&lt;&gt;"&amp;""),"")</f>
        <v/>
      </c>
      <c r="E228" s="111" t="str">
        <f>IF(A228&lt;&gt;"",SUMIFS(node!$F$2:$F$500, node!$C$2:$C$500,"="&amp;A228, node!$C$2:$C$500,"&lt;&gt;"&amp;"")/(B228*D228),"")</f>
        <v/>
      </c>
      <c r="F228" s="112" t="str">
        <f>IF(A228&lt;&gt;"",SUMIFS(node!$H$2:$H$500, node!$C$2:$C$500,"="&amp;A228, node!$C$2:$C$500,"&lt;&gt;"&amp;"")/(C228*D228),"")</f>
        <v/>
      </c>
      <c r="G228" s="179" t="str">
        <f>IF(A228&lt;&gt;"",SUMIFS(deployment!$F$4:$F$502, deployment!$D$4:$D$502,"="&amp;A228, deployment!$D$4:$D$502,"&lt;&gt;"&amp;""),"")</f>
        <v/>
      </c>
      <c r="H228" s="181" t="str">
        <f>IF(A228&lt;&gt;"",SUMIFS(deployment!$G$4:$G$502, deployment!$D$4:$D$502,"="&amp;A228, deployment!$D$4:$D$502,"&lt;&gt;"&amp;""),"")</f>
        <v/>
      </c>
      <c r="I228" s="113" t="str">
        <f>IF(A228&lt;&gt;"",SUMIFS(deployment!$H$4:$H$502, deployment!$D$4:$D$502,"="&amp;A228, deployment!$D$4:$D$502,"&lt;&gt;"&amp;""),"")</f>
        <v/>
      </c>
      <c r="J228" s="114" t="str">
        <f>IF(A228&lt;&gt;"",SUMIFS(deployment!$I$4:$I$502, deployment!$D$4:$D$502,"="&amp;A228, deployment!$D$4:$D$502,"&lt;&gt;"&amp;""),"")</f>
        <v/>
      </c>
      <c r="K228" s="182" t="str">
        <f>IF(A228&lt;&gt;"",SUMIFS(deployment!$J$4:$J$1002, deployment!$D$4:$D$1002,"="&amp;A228, deployment!$D$4:$D$1002,"&lt;&gt;"&amp;"", deployment!$C$4:$C$1002, "&lt;&gt;* )")+SUMIFS(namespace!$G$4:$G$1002, namespace!$B$4:$B$1002,"="&amp;A228, namespace!$B$4:$B$1002,"&lt;&gt;"&amp;""),"")</f>
        <v/>
      </c>
      <c r="L228" s="182" t="str">
        <f>IF(A228&lt;&gt;"",SUMIFS(deployment!$K$4:$K$1002, deployment!$D$4:$D$1002,"="&amp;A228, deployment!$D$4:$D$1002,"&lt;&gt;"&amp;"", deployment!$C$4:$C$1002, "&lt;&gt;* )")+SUMIFS(namespace!$H$4:$H$1002, namespace!$B$4:$B$1002,"="&amp;A228, namespace!$B$4:$B$1002,"&lt;&gt;"&amp;""),"")</f>
        <v/>
      </c>
      <c r="M228" s="115" t="str">
        <f>IF(A228&lt;&gt;"",SUMIFS(deployment!$L$4:$L$1002, deployment!$D$4:$D$1002,"="&amp;A228, deployment!$D$4:$D$1002,"&lt;&gt;"&amp;"", deployment!$C$4:$C$1002, "&lt;&gt;* )")+SUMIFS(namespace!$I$4:$I$1002, namespace!$B$4:$B$1002,"="&amp;A228, namespace!$B$4:$B$1002,"&lt;&gt;"&amp;""),"")</f>
        <v/>
      </c>
      <c r="N228" s="115" t="str">
        <f>IF(A228&lt;&gt;"",SUMIFS(deployment!$M$4:$M$1002, deployment!$D$4:$D$1002,"="&amp;A228, deployment!$D$4:$D$1002,"&lt;&gt;"&amp;"", deployment!$C$4:$C$1002, "&lt;&gt;* )")+SUMIFS(namespace!$J$4:$J$1002, namespace!$B$4:$B$1002,"="&amp;A228, namespace!$B$4:$B$1002,"&lt;&gt;"&amp;""),"")</f>
        <v/>
      </c>
      <c r="O228" s="116" t="str">
        <f t="shared" si="43"/>
        <v/>
      </c>
      <c r="P228" s="63"/>
      <c r="Q228" s="164" t="str">
        <f t="shared" si="38"/>
        <v/>
      </c>
      <c r="R228" s="60" t="str">
        <f t="shared" si="39"/>
        <v/>
      </c>
      <c r="S228" s="60" t="str">
        <f t="shared" si="40"/>
        <v/>
      </c>
      <c r="T228" s="61" t="str">
        <f t="shared" si="41"/>
        <v/>
      </c>
      <c r="U228" s="61" t="str">
        <f t="shared" si="42"/>
        <v/>
      </c>
      <c r="V228" s="183" t="str">
        <f t="shared" si="44"/>
        <v/>
      </c>
      <c r="W228" s="183" t="str">
        <f t="shared" si="45"/>
        <v/>
      </c>
      <c r="X228" s="61" t="str">
        <f t="shared" si="46"/>
        <v/>
      </c>
      <c r="Y228" s="61" t="str">
        <f t="shared" si="47"/>
        <v/>
      </c>
      <c r="Z228" s="118" t="str">
        <f t="shared" si="48"/>
        <v/>
      </c>
      <c r="AA228" s="62" t="str">
        <f t="shared" si="49"/>
        <v/>
      </c>
      <c r="AB228" s="119" t="str">
        <f>IF(A228&lt;&gt;"", IF(P228&lt;&gt;0,SUMIFS(node!$J$2:$J$1000, node!$C$2:$C$1000,"="&amp;A228)/P228,0), "")</f>
        <v/>
      </c>
      <c r="AC228" s="81" t="str">
        <f>IF(A228&lt;&gt;"", IF(P228&lt;&gt;0,SUMIFS(node!$K$2:$K$1000, node!$C$2:$C$1000,"="&amp;A228)/P228,0), "")</f>
        <v/>
      </c>
      <c r="AD228" s="82" t="str">
        <f>IF(A228&lt;&gt;"", SUMIFS(node!$L$2:$L$1000, node!$C$2:$C$1000,"="&amp;A228), "")</f>
        <v/>
      </c>
      <c r="AE228" s="87" t="str">
        <f>IF(A228&lt;&gt;"", SUMIFS(node!$M$2:$M$1000, node!$C$2:$C$1000,"="&amp;A228), "")</f>
        <v/>
      </c>
    </row>
    <row r="229" spans="1:31" ht="15.75" customHeight="1" x14ac:dyDescent="0.25">
      <c r="A229" s="71" t="str">
        <f>IF(ISNONTEXT(node_raw[[#This Row],[Column2]]), "", node_raw[[#This Row],[Column2]])</f>
        <v/>
      </c>
      <c r="B229" s="108" t="str">
        <f>IF(A229&lt;&gt;"", VLOOKUP(A229, node!$C$2:$D$1000, 2, FALSE), "")</f>
        <v/>
      </c>
      <c r="C229" s="109" t="str">
        <f>IF(A229&lt;&gt;"", VLOOKUP(A229, node!$C$2:$E$1000, 3, FALSE), "")</f>
        <v/>
      </c>
      <c r="D229" s="110" t="str">
        <f>IF(A229&lt;&gt;"",COUNTIFS(node!$C$2:$C$1000,"="&amp;A229, node!$C$2:$C$1000,"&lt;&gt;"&amp;""),"")</f>
        <v/>
      </c>
      <c r="E229" s="111" t="str">
        <f>IF(A229&lt;&gt;"",SUMIFS(node!$F$2:$F$500, node!$C$2:$C$500,"="&amp;A229, node!$C$2:$C$500,"&lt;&gt;"&amp;"")/(B229*D229),"")</f>
        <v/>
      </c>
      <c r="F229" s="112" t="str">
        <f>IF(A229&lt;&gt;"",SUMIFS(node!$H$2:$H$500, node!$C$2:$C$500,"="&amp;A229, node!$C$2:$C$500,"&lt;&gt;"&amp;"")/(C229*D229),"")</f>
        <v/>
      </c>
      <c r="G229" s="179" t="str">
        <f>IF(A229&lt;&gt;"",SUMIFS(deployment!$F$4:$F$502, deployment!$D$4:$D$502,"="&amp;A229, deployment!$D$4:$D$502,"&lt;&gt;"&amp;""),"")</f>
        <v/>
      </c>
      <c r="H229" s="181" t="str">
        <f>IF(A229&lt;&gt;"",SUMIFS(deployment!$G$4:$G$502, deployment!$D$4:$D$502,"="&amp;A229, deployment!$D$4:$D$502,"&lt;&gt;"&amp;""),"")</f>
        <v/>
      </c>
      <c r="I229" s="113" t="str">
        <f>IF(A229&lt;&gt;"",SUMIFS(deployment!$H$4:$H$502, deployment!$D$4:$D$502,"="&amp;A229, deployment!$D$4:$D$502,"&lt;&gt;"&amp;""),"")</f>
        <v/>
      </c>
      <c r="J229" s="114" t="str">
        <f>IF(A229&lt;&gt;"",SUMIFS(deployment!$I$4:$I$502, deployment!$D$4:$D$502,"="&amp;A229, deployment!$D$4:$D$502,"&lt;&gt;"&amp;""),"")</f>
        <v/>
      </c>
      <c r="K229" s="182" t="str">
        <f>IF(A229&lt;&gt;"",SUMIFS(deployment!$J$4:$J$1002, deployment!$D$4:$D$1002,"="&amp;A229, deployment!$D$4:$D$1002,"&lt;&gt;"&amp;"", deployment!$C$4:$C$1002, "&lt;&gt;* )")+SUMIFS(namespace!$G$4:$G$1002, namespace!$B$4:$B$1002,"="&amp;A229, namespace!$B$4:$B$1002,"&lt;&gt;"&amp;""),"")</f>
        <v/>
      </c>
      <c r="L229" s="182" t="str">
        <f>IF(A229&lt;&gt;"",SUMIFS(deployment!$K$4:$K$1002, deployment!$D$4:$D$1002,"="&amp;A229, deployment!$D$4:$D$1002,"&lt;&gt;"&amp;"", deployment!$C$4:$C$1002, "&lt;&gt;* )")+SUMIFS(namespace!$H$4:$H$1002, namespace!$B$4:$B$1002,"="&amp;A229, namespace!$B$4:$B$1002,"&lt;&gt;"&amp;""),"")</f>
        <v/>
      </c>
      <c r="M229" s="115" t="str">
        <f>IF(A229&lt;&gt;"",SUMIFS(deployment!$L$4:$L$1002, deployment!$D$4:$D$1002,"="&amp;A229, deployment!$D$4:$D$1002,"&lt;&gt;"&amp;"", deployment!$C$4:$C$1002, "&lt;&gt;* )")+SUMIFS(namespace!$I$4:$I$1002, namespace!$B$4:$B$1002,"="&amp;A229, namespace!$B$4:$B$1002,"&lt;&gt;"&amp;""),"")</f>
        <v/>
      </c>
      <c r="N229" s="115" t="str">
        <f>IF(A229&lt;&gt;"",SUMIFS(deployment!$M$4:$M$1002, deployment!$D$4:$D$1002,"="&amp;A229, deployment!$D$4:$D$1002,"&lt;&gt;"&amp;"", deployment!$C$4:$C$1002, "&lt;&gt;* )")+SUMIFS(namespace!$J$4:$J$1002, namespace!$B$4:$B$1002,"="&amp;A229, namespace!$B$4:$B$1002,"&lt;&gt;"&amp;""),"")</f>
        <v/>
      </c>
      <c r="O229" s="116" t="str">
        <f t="shared" si="43"/>
        <v/>
      </c>
      <c r="P229" s="63"/>
      <c r="Q229" s="164" t="str">
        <f t="shared" si="38"/>
        <v/>
      </c>
      <c r="R229" s="60" t="str">
        <f t="shared" si="39"/>
        <v/>
      </c>
      <c r="S229" s="60" t="str">
        <f t="shared" si="40"/>
        <v/>
      </c>
      <c r="T229" s="61" t="str">
        <f t="shared" si="41"/>
        <v/>
      </c>
      <c r="U229" s="61" t="str">
        <f t="shared" si="42"/>
        <v/>
      </c>
      <c r="V229" s="183" t="str">
        <f t="shared" si="44"/>
        <v/>
      </c>
      <c r="W229" s="183" t="str">
        <f t="shared" si="45"/>
        <v/>
      </c>
      <c r="X229" s="61" t="str">
        <f t="shared" si="46"/>
        <v/>
      </c>
      <c r="Y229" s="61" t="str">
        <f t="shared" si="47"/>
        <v/>
      </c>
      <c r="Z229" s="118" t="str">
        <f t="shared" si="48"/>
        <v/>
      </c>
      <c r="AA229" s="62" t="str">
        <f t="shared" si="49"/>
        <v/>
      </c>
      <c r="AB229" s="119" t="str">
        <f>IF(A229&lt;&gt;"", IF(P229&lt;&gt;0,SUMIFS(node!$J$2:$J$1000, node!$C$2:$C$1000,"="&amp;A229)/P229,0), "")</f>
        <v/>
      </c>
      <c r="AC229" s="81" t="str">
        <f>IF(A229&lt;&gt;"", IF(P229&lt;&gt;0,SUMIFS(node!$K$2:$K$1000, node!$C$2:$C$1000,"="&amp;A229)/P229,0), "")</f>
        <v/>
      </c>
      <c r="AD229" s="82" t="str">
        <f>IF(A229&lt;&gt;"", SUMIFS(node!$L$2:$L$1000, node!$C$2:$C$1000,"="&amp;A229), "")</f>
        <v/>
      </c>
      <c r="AE229" s="87" t="str">
        <f>IF(A229&lt;&gt;"", SUMIFS(node!$M$2:$M$1000, node!$C$2:$C$1000,"="&amp;A229), "")</f>
        <v/>
      </c>
    </row>
    <row r="230" spans="1:31" ht="15.75" customHeight="1" x14ac:dyDescent="0.25">
      <c r="A230" s="71" t="str">
        <f>IF(ISNONTEXT(node_raw[[#This Row],[Column2]]), "", node_raw[[#This Row],[Column2]])</f>
        <v/>
      </c>
      <c r="B230" s="108" t="str">
        <f>IF(A230&lt;&gt;"", VLOOKUP(A230, node!$C$2:$D$1000, 2, FALSE), "")</f>
        <v/>
      </c>
      <c r="C230" s="109" t="str">
        <f>IF(A230&lt;&gt;"", VLOOKUP(A230, node!$C$2:$E$1000, 3, FALSE), "")</f>
        <v/>
      </c>
      <c r="D230" s="110" t="str">
        <f>IF(A230&lt;&gt;"",COUNTIFS(node!$C$2:$C$1000,"="&amp;A230, node!$C$2:$C$1000,"&lt;&gt;"&amp;""),"")</f>
        <v/>
      </c>
      <c r="E230" s="111" t="str">
        <f>IF(A230&lt;&gt;"",SUMIFS(node!$F$2:$F$500, node!$C$2:$C$500,"="&amp;A230, node!$C$2:$C$500,"&lt;&gt;"&amp;"")/(B230*D230),"")</f>
        <v/>
      </c>
      <c r="F230" s="112" t="str">
        <f>IF(A230&lt;&gt;"",SUMIFS(node!$H$2:$H$500, node!$C$2:$C$500,"="&amp;A230, node!$C$2:$C$500,"&lt;&gt;"&amp;"")/(C230*D230),"")</f>
        <v/>
      </c>
      <c r="G230" s="179" t="str">
        <f>IF(A230&lt;&gt;"",SUMIFS(deployment!$F$4:$F$502, deployment!$D$4:$D$502,"="&amp;A230, deployment!$D$4:$D$502,"&lt;&gt;"&amp;""),"")</f>
        <v/>
      </c>
      <c r="H230" s="181" t="str">
        <f>IF(A230&lt;&gt;"",SUMIFS(deployment!$G$4:$G$502, deployment!$D$4:$D$502,"="&amp;A230, deployment!$D$4:$D$502,"&lt;&gt;"&amp;""),"")</f>
        <v/>
      </c>
      <c r="I230" s="113" t="str">
        <f>IF(A230&lt;&gt;"",SUMIFS(deployment!$H$4:$H$502, deployment!$D$4:$D$502,"="&amp;A230, deployment!$D$4:$D$502,"&lt;&gt;"&amp;""),"")</f>
        <v/>
      </c>
      <c r="J230" s="114" t="str">
        <f>IF(A230&lt;&gt;"",SUMIFS(deployment!$I$4:$I$502, deployment!$D$4:$D$502,"="&amp;A230, deployment!$D$4:$D$502,"&lt;&gt;"&amp;""),"")</f>
        <v/>
      </c>
      <c r="K230" s="182" t="str">
        <f>IF(A230&lt;&gt;"",SUMIFS(deployment!$J$4:$J$1002, deployment!$D$4:$D$1002,"="&amp;A230, deployment!$D$4:$D$1002,"&lt;&gt;"&amp;"", deployment!$C$4:$C$1002, "&lt;&gt;* )")+SUMIFS(namespace!$G$4:$G$1002, namespace!$B$4:$B$1002,"="&amp;A230, namespace!$B$4:$B$1002,"&lt;&gt;"&amp;""),"")</f>
        <v/>
      </c>
      <c r="L230" s="182" t="str">
        <f>IF(A230&lt;&gt;"",SUMIFS(deployment!$K$4:$K$1002, deployment!$D$4:$D$1002,"="&amp;A230, deployment!$D$4:$D$1002,"&lt;&gt;"&amp;"", deployment!$C$4:$C$1002, "&lt;&gt;* )")+SUMIFS(namespace!$H$4:$H$1002, namespace!$B$4:$B$1002,"="&amp;A230, namespace!$B$4:$B$1002,"&lt;&gt;"&amp;""),"")</f>
        <v/>
      </c>
      <c r="M230" s="115" t="str">
        <f>IF(A230&lt;&gt;"",SUMIFS(deployment!$L$4:$L$1002, deployment!$D$4:$D$1002,"="&amp;A230, deployment!$D$4:$D$1002,"&lt;&gt;"&amp;"", deployment!$C$4:$C$1002, "&lt;&gt;* )")+SUMIFS(namespace!$I$4:$I$1002, namespace!$B$4:$B$1002,"="&amp;A230, namespace!$B$4:$B$1002,"&lt;&gt;"&amp;""),"")</f>
        <v/>
      </c>
      <c r="N230" s="115" t="str">
        <f>IF(A230&lt;&gt;"",SUMIFS(deployment!$M$4:$M$1002, deployment!$D$4:$D$1002,"="&amp;A230, deployment!$D$4:$D$1002,"&lt;&gt;"&amp;"", deployment!$C$4:$C$1002, "&lt;&gt;* )")+SUMIFS(namespace!$J$4:$J$1002, namespace!$B$4:$B$1002,"="&amp;A230, namespace!$B$4:$B$1002,"&lt;&gt;"&amp;""),"")</f>
        <v/>
      </c>
      <c r="O230" s="116" t="str">
        <f t="shared" si="43"/>
        <v/>
      </c>
      <c r="P230" s="63"/>
      <c r="Q230" s="164" t="str">
        <f t="shared" si="38"/>
        <v/>
      </c>
      <c r="R230" s="60" t="str">
        <f t="shared" si="39"/>
        <v/>
      </c>
      <c r="S230" s="60" t="str">
        <f t="shared" si="40"/>
        <v/>
      </c>
      <c r="T230" s="61" t="str">
        <f t="shared" si="41"/>
        <v/>
      </c>
      <c r="U230" s="61" t="str">
        <f t="shared" si="42"/>
        <v/>
      </c>
      <c r="V230" s="183" t="str">
        <f t="shared" si="44"/>
        <v/>
      </c>
      <c r="W230" s="183" t="str">
        <f t="shared" si="45"/>
        <v/>
      </c>
      <c r="X230" s="61" t="str">
        <f t="shared" si="46"/>
        <v/>
      </c>
      <c r="Y230" s="61" t="str">
        <f t="shared" si="47"/>
        <v/>
      </c>
      <c r="Z230" s="118" t="str">
        <f t="shared" si="48"/>
        <v/>
      </c>
      <c r="AA230" s="62" t="str">
        <f t="shared" si="49"/>
        <v/>
      </c>
      <c r="AB230" s="119" t="str">
        <f>IF(A230&lt;&gt;"", IF(P230&lt;&gt;0,SUMIFS(node!$J$2:$J$1000, node!$C$2:$C$1000,"="&amp;A230)/P230,0), "")</f>
        <v/>
      </c>
      <c r="AC230" s="81" t="str">
        <f>IF(A230&lt;&gt;"", IF(P230&lt;&gt;0,SUMIFS(node!$K$2:$K$1000, node!$C$2:$C$1000,"="&amp;A230)/P230,0), "")</f>
        <v/>
      </c>
      <c r="AD230" s="82" t="str">
        <f>IF(A230&lt;&gt;"", SUMIFS(node!$L$2:$L$1000, node!$C$2:$C$1000,"="&amp;A230), "")</f>
        <v/>
      </c>
      <c r="AE230" s="87" t="str">
        <f>IF(A230&lt;&gt;"", SUMIFS(node!$M$2:$M$1000, node!$C$2:$C$1000,"="&amp;A230), "")</f>
        <v/>
      </c>
    </row>
    <row r="231" spans="1:31" ht="15.75" customHeight="1" x14ac:dyDescent="0.25">
      <c r="A231" s="71" t="str">
        <f>IF(ISNONTEXT(node_raw[[#This Row],[Column2]]), "", node_raw[[#This Row],[Column2]])</f>
        <v/>
      </c>
      <c r="B231" s="108" t="str">
        <f>IF(A231&lt;&gt;"", VLOOKUP(A231, node!$C$2:$D$1000, 2, FALSE), "")</f>
        <v/>
      </c>
      <c r="C231" s="109" t="str">
        <f>IF(A231&lt;&gt;"", VLOOKUP(A231, node!$C$2:$E$1000, 3, FALSE), "")</f>
        <v/>
      </c>
      <c r="D231" s="110" t="str">
        <f>IF(A231&lt;&gt;"",COUNTIFS(node!$C$2:$C$1000,"="&amp;A231, node!$C$2:$C$1000,"&lt;&gt;"&amp;""),"")</f>
        <v/>
      </c>
      <c r="E231" s="111" t="str">
        <f>IF(A231&lt;&gt;"",SUMIFS(node!$F$2:$F$500, node!$C$2:$C$500,"="&amp;A231, node!$C$2:$C$500,"&lt;&gt;"&amp;"")/(B231*D231),"")</f>
        <v/>
      </c>
      <c r="F231" s="112" t="str">
        <f>IF(A231&lt;&gt;"",SUMIFS(node!$H$2:$H$500, node!$C$2:$C$500,"="&amp;A231, node!$C$2:$C$500,"&lt;&gt;"&amp;"")/(C231*D231),"")</f>
        <v/>
      </c>
      <c r="G231" s="179" t="str">
        <f>IF(A231&lt;&gt;"",SUMIFS(deployment!$F$4:$F$502, deployment!$D$4:$D$502,"="&amp;A231, deployment!$D$4:$D$502,"&lt;&gt;"&amp;""),"")</f>
        <v/>
      </c>
      <c r="H231" s="181" t="str">
        <f>IF(A231&lt;&gt;"",SUMIFS(deployment!$G$4:$G$502, deployment!$D$4:$D$502,"="&amp;A231, deployment!$D$4:$D$502,"&lt;&gt;"&amp;""),"")</f>
        <v/>
      </c>
      <c r="I231" s="113" t="str">
        <f>IF(A231&lt;&gt;"",SUMIFS(deployment!$H$4:$H$502, deployment!$D$4:$D$502,"="&amp;A231, deployment!$D$4:$D$502,"&lt;&gt;"&amp;""),"")</f>
        <v/>
      </c>
      <c r="J231" s="114" t="str">
        <f>IF(A231&lt;&gt;"",SUMIFS(deployment!$I$4:$I$502, deployment!$D$4:$D$502,"="&amp;A231, deployment!$D$4:$D$502,"&lt;&gt;"&amp;""),"")</f>
        <v/>
      </c>
      <c r="K231" s="182" t="str">
        <f>IF(A231&lt;&gt;"",SUMIFS(deployment!$J$4:$J$1002, deployment!$D$4:$D$1002,"="&amp;A231, deployment!$D$4:$D$1002,"&lt;&gt;"&amp;"", deployment!$C$4:$C$1002, "&lt;&gt;* )")+SUMIFS(namespace!$G$4:$G$1002, namespace!$B$4:$B$1002,"="&amp;A231, namespace!$B$4:$B$1002,"&lt;&gt;"&amp;""),"")</f>
        <v/>
      </c>
      <c r="L231" s="182" t="str">
        <f>IF(A231&lt;&gt;"",SUMIFS(deployment!$K$4:$K$1002, deployment!$D$4:$D$1002,"="&amp;A231, deployment!$D$4:$D$1002,"&lt;&gt;"&amp;"", deployment!$C$4:$C$1002, "&lt;&gt;* )")+SUMIFS(namespace!$H$4:$H$1002, namespace!$B$4:$B$1002,"="&amp;A231, namespace!$B$4:$B$1002,"&lt;&gt;"&amp;""),"")</f>
        <v/>
      </c>
      <c r="M231" s="115" t="str">
        <f>IF(A231&lt;&gt;"",SUMIFS(deployment!$L$4:$L$1002, deployment!$D$4:$D$1002,"="&amp;A231, deployment!$D$4:$D$1002,"&lt;&gt;"&amp;"", deployment!$C$4:$C$1002, "&lt;&gt;* )")+SUMIFS(namespace!$I$4:$I$1002, namespace!$B$4:$B$1002,"="&amp;A231, namespace!$B$4:$B$1002,"&lt;&gt;"&amp;""),"")</f>
        <v/>
      </c>
      <c r="N231" s="115" t="str">
        <f>IF(A231&lt;&gt;"",SUMIFS(deployment!$M$4:$M$1002, deployment!$D$4:$D$1002,"="&amp;A231, deployment!$D$4:$D$1002,"&lt;&gt;"&amp;"", deployment!$C$4:$C$1002, "&lt;&gt;* )")+SUMIFS(namespace!$J$4:$J$1002, namespace!$B$4:$B$1002,"="&amp;A231, namespace!$B$4:$B$1002,"&lt;&gt;"&amp;""),"")</f>
        <v/>
      </c>
      <c r="O231" s="116" t="str">
        <f t="shared" si="43"/>
        <v/>
      </c>
      <c r="P231" s="63"/>
      <c r="Q231" s="164" t="str">
        <f t="shared" si="38"/>
        <v/>
      </c>
      <c r="R231" s="60" t="str">
        <f t="shared" si="39"/>
        <v/>
      </c>
      <c r="S231" s="60" t="str">
        <f t="shared" si="40"/>
        <v/>
      </c>
      <c r="T231" s="61" t="str">
        <f t="shared" si="41"/>
        <v/>
      </c>
      <c r="U231" s="61" t="str">
        <f t="shared" si="42"/>
        <v/>
      </c>
      <c r="V231" s="183" t="str">
        <f t="shared" si="44"/>
        <v/>
      </c>
      <c r="W231" s="183" t="str">
        <f t="shared" si="45"/>
        <v/>
      </c>
      <c r="X231" s="61" t="str">
        <f t="shared" si="46"/>
        <v/>
      </c>
      <c r="Y231" s="61" t="str">
        <f t="shared" si="47"/>
        <v/>
      </c>
      <c r="Z231" s="118" t="str">
        <f t="shared" si="48"/>
        <v/>
      </c>
      <c r="AA231" s="62" t="str">
        <f t="shared" si="49"/>
        <v/>
      </c>
      <c r="AB231" s="119" t="str">
        <f>IF(A231&lt;&gt;"", IF(P231&lt;&gt;0,SUMIFS(node!$J$2:$J$1000, node!$C$2:$C$1000,"="&amp;A231)/P231,0), "")</f>
        <v/>
      </c>
      <c r="AC231" s="81" t="str">
        <f>IF(A231&lt;&gt;"", IF(P231&lt;&gt;0,SUMIFS(node!$K$2:$K$1000, node!$C$2:$C$1000,"="&amp;A231)/P231,0), "")</f>
        <v/>
      </c>
      <c r="AD231" s="82" t="str">
        <f>IF(A231&lt;&gt;"", SUMIFS(node!$L$2:$L$1000, node!$C$2:$C$1000,"="&amp;A231), "")</f>
        <v/>
      </c>
      <c r="AE231" s="87" t="str">
        <f>IF(A231&lt;&gt;"", SUMIFS(node!$M$2:$M$1000, node!$C$2:$C$1000,"="&amp;A231), "")</f>
        <v/>
      </c>
    </row>
    <row r="232" spans="1:31" ht="15.75" customHeight="1" x14ac:dyDescent="0.25">
      <c r="A232" s="71" t="str">
        <f>IF(ISNONTEXT(node_raw[[#This Row],[Column2]]), "", node_raw[[#This Row],[Column2]])</f>
        <v/>
      </c>
      <c r="B232" s="108" t="str">
        <f>IF(A232&lt;&gt;"", VLOOKUP(A232, node!$C$2:$D$1000, 2, FALSE), "")</f>
        <v/>
      </c>
      <c r="C232" s="109" t="str">
        <f>IF(A232&lt;&gt;"", VLOOKUP(A232, node!$C$2:$E$1000, 3, FALSE), "")</f>
        <v/>
      </c>
      <c r="D232" s="110" t="str">
        <f>IF(A232&lt;&gt;"",COUNTIFS(node!$C$2:$C$1000,"="&amp;A232, node!$C$2:$C$1000,"&lt;&gt;"&amp;""),"")</f>
        <v/>
      </c>
      <c r="E232" s="111" t="str">
        <f>IF(A232&lt;&gt;"",SUMIFS(node!$F$2:$F$500, node!$C$2:$C$500,"="&amp;A232, node!$C$2:$C$500,"&lt;&gt;"&amp;"")/(B232*D232),"")</f>
        <v/>
      </c>
      <c r="F232" s="112" t="str">
        <f>IF(A232&lt;&gt;"",SUMIFS(node!$H$2:$H$500, node!$C$2:$C$500,"="&amp;A232, node!$C$2:$C$500,"&lt;&gt;"&amp;"")/(C232*D232),"")</f>
        <v/>
      </c>
      <c r="G232" s="179" t="str">
        <f>IF(A232&lt;&gt;"",SUMIFS(deployment!$F$4:$F$502, deployment!$D$4:$D$502,"="&amp;A232, deployment!$D$4:$D$502,"&lt;&gt;"&amp;""),"")</f>
        <v/>
      </c>
      <c r="H232" s="181" t="str">
        <f>IF(A232&lt;&gt;"",SUMIFS(deployment!$G$4:$G$502, deployment!$D$4:$D$502,"="&amp;A232, deployment!$D$4:$D$502,"&lt;&gt;"&amp;""),"")</f>
        <v/>
      </c>
      <c r="I232" s="113" t="str">
        <f>IF(A232&lt;&gt;"",SUMIFS(deployment!$H$4:$H$502, deployment!$D$4:$D$502,"="&amp;A232, deployment!$D$4:$D$502,"&lt;&gt;"&amp;""),"")</f>
        <v/>
      </c>
      <c r="J232" s="114" t="str">
        <f>IF(A232&lt;&gt;"",SUMIFS(deployment!$I$4:$I$502, deployment!$D$4:$D$502,"="&amp;A232, deployment!$D$4:$D$502,"&lt;&gt;"&amp;""),"")</f>
        <v/>
      </c>
      <c r="K232" s="182" t="str">
        <f>IF(A232&lt;&gt;"",SUMIFS(deployment!$J$4:$J$1002, deployment!$D$4:$D$1002,"="&amp;A232, deployment!$D$4:$D$1002,"&lt;&gt;"&amp;"", deployment!$C$4:$C$1002, "&lt;&gt;* )")+SUMIFS(namespace!$G$4:$G$1002, namespace!$B$4:$B$1002,"="&amp;A232, namespace!$B$4:$B$1002,"&lt;&gt;"&amp;""),"")</f>
        <v/>
      </c>
      <c r="L232" s="182" t="str">
        <f>IF(A232&lt;&gt;"",SUMIFS(deployment!$K$4:$K$1002, deployment!$D$4:$D$1002,"="&amp;A232, deployment!$D$4:$D$1002,"&lt;&gt;"&amp;"", deployment!$C$4:$C$1002, "&lt;&gt;* )")+SUMIFS(namespace!$H$4:$H$1002, namespace!$B$4:$B$1002,"="&amp;A232, namespace!$B$4:$B$1002,"&lt;&gt;"&amp;""),"")</f>
        <v/>
      </c>
      <c r="M232" s="115" t="str">
        <f>IF(A232&lt;&gt;"",SUMIFS(deployment!$L$4:$L$1002, deployment!$D$4:$D$1002,"="&amp;A232, deployment!$D$4:$D$1002,"&lt;&gt;"&amp;"", deployment!$C$4:$C$1002, "&lt;&gt;* )")+SUMIFS(namespace!$I$4:$I$1002, namespace!$B$4:$B$1002,"="&amp;A232, namespace!$B$4:$B$1002,"&lt;&gt;"&amp;""),"")</f>
        <v/>
      </c>
      <c r="N232" s="115" t="str">
        <f>IF(A232&lt;&gt;"",SUMIFS(deployment!$M$4:$M$1002, deployment!$D$4:$D$1002,"="&amp;A232, deployment!$D$4:$D$1002,"&lt;&gt;"&amp;"", deployment!$C$4:$C$1002, "&lt;&gt;* )")+SUMIFS(namespace!$J$4:$J$1002, namespace!$B$4:$B$1002,"="&amp;A232, namespace!$B$4:$B$1002,"&lt;&gt;"&amp;""),"")</f>
        <v/>
      </c>
      <c r="O232" s="116" t="str">
        <f t="shared" si="43"/>
        <v/>
      </c>
      <c r="P232" s="63"/>
      <c r="Q232" s="164" t="str">
        <f t="shared" si="38"/>
        <v/>
      </c>
      <c r="R232" s="60" t="str">
        <f t="shared" si="39"/>
        <v/>
      </c>
      <c r="S232" s="60" t="str">
        <f t="shared" si="40"/>
        <v/>
      </c>
      <c r="T232" s="61" t="str">
        <f t="shared" si="41"/>
        <v/>
      </c>
      <c r="U232" s="61" t="str">
        <f t="shared" si="42"/>
        <v/>
      </c>
      <c r="V232" s="183" t="str">
        <f t="shared" si="44"/>
        <v/>
      </c>
      <c r="W232" s="183" t="str">
        <f t="shared" si="45"/>
        <v/>
      </c>
      <c r="X232" s="61" t="str">
        <f t="shared" si="46"/>
        <v/>
      </c>
      <c r="Y232" s="61" t="str">
        <f t="shared" si="47"/>
        <v/>
      </c>
      <c r="Z232" s="118" t="str">
        <f t="shared" si="48"/>
        <v/>
      </c>
      <c r="AA232" s="62" t="str">
        <f t="shared" si="49"/>
        <v/>
      </c>
      <c r="AB232" s="119" t="str">
        <f>IF(A232&lt;&gt;"", IF(P232&lt;&gt;0,SUMIFS(node!$J$2:$J$1000, node!$C$2:$C$1000,"="&amp;A232)/P232,0), "")</f>
        <v/>
      </c>
      <c r="AC232" s="81" t="str">
        <f>IF(A232&lt;&gt;"", IF(P232&lt;&gt;0,SUMIFS(node!$K$2:$K$1000, node!$C$2:$C$1000,"="&amp;A232)/P232,0), "")</f>
        <v/>
      </c>
      <c r="AD232" s="82" t="str">
        <f>IF(A232&lt;&gt;"", SUMIFS(node!$L$2:$L$1000, node!$C$2:$C$1000,"="&amp;A232), "")</f>
        <v/>
      </c>
      <c r="AE232" s="87" t="str">
        <f>IF(A232&lt;&gt;"", SUMIFS(node!$M$2:$M$1000, node!$C$2:$C$1000,"="&amp;A232), "")</f>
        <v/>
      </c>
    </row>
    <row r="233" spans="1:31" ht="15.75" customHeight="1" x14ac:dyDescent="0.25">
      <c r="A233" s="71" t="str">
        <f>IF(ISNONTEXT(node_raw[[#This Row],[Column2]]), "", node_raw[[#This Row],[Column2]])</f>
        <v/>
      </c>
      <c r="B233" s="108" t="str">
        <f>IF(A233&lt;&gt;"", VLOOKUP(A233, node!$C$2:$D$1000, 2, FALSE), "")</f>
        <v/>
      </c>
      <c r="C233" s="109" t="str">
        <f>IF(A233&lt;&gt;"", VLOOKUP(A233, node!$C$2:$E$1000, 3, FALSE), "")</f>
        <v/>
      </c>
      <c r="D233" s="110" t="str">
        <f>IF(A233&lt;&gt;"",COUNTIFS(node!$C$2:$C$1000,"="&amp;A233, node!$C$2:$C$1000,"&lt;&gt;"&amp;""),"")</f>
        <v/>
      </c>
      <c r="E233" s="111" t="str">
        <f>IF(A233&lt;&gt;"",SUMIFS(node!$F$2:$F$500, node!$C$2:$C$500,"="&amp;A233, node!$C$2:$C$500,"&lt;&gt;"&amp;"")/(B233*D233),"")</f>
        <v/>
      </c>
      <c r="F233" s="112" t="str">
        <f>IF(A233&lt;&gt;"",SUMIFS(node!$H$2:$H$500, node!$C$2:$C$500,"="&amp;A233, node!$C$2:$C$500,"&lt;&gt;"&amp;"")/(C233*D233),"")</f>
        <v/>
      </c>
      <c r="G233" s="179" t="str">
        <f>IF(A233&lt;&gt;"",SUMIFS(deployment!$F$4:$F$502, deployment!$D$4:$D$502,"="&amp;A233, deployment!$D$4:$D$502,"&lt;&gt;"&amp;""),"")</f>
        <v/>
      </c>
      <c r="H233" s="181" t="str">
        <f>IF(A233&lt;&gt;"",SUMIFS(deployment!$G$4:$G$502, deployment!$D$4:$D$502,"="&amp;A233, deployment!$D$4:$D$502,"&lt;&gt;"&amp;""),"")</f>
        <v/>
      </c>
      <c r="I233" s="113" t="str">
        <f>IF(A233&lt;&gt;"",SUMIFS(deployment!$H$4:$H$502, deployment!$D$4:$D$502,"="&amp;A233, deployment!$D$4:$D$502,"&lt;&gt;"&amp;""),"")</f>
        <v/>
      </c>
      <c r="J233" s="114" t="str">
        <f>IF(A233&lt;&gt;"",SUMIFS(deployment!$I$4:$I$502, deployment!$D$4:$D$502,"="&amp;A233, deployment!$D$4:$D$502,"&lt;&gt;"&amp;""),"")</f>
        <v/>
      </c>
      <c r="K233" s="182" t="str">
        <f>IF(A233&lt;&gt;"",SUMIFS(deployment!$J$4:$J$1002, deployment!$D$4:$D$1002,"="&amp;A233, deployment!$D$4:$D$1002,"&lt;&gt;"&amp;"", deployment!$C$4:$C$1002, "&lt;&gt;* )")+SUMIFS(namespace!$G$4:$G$1002, namespace!$B$4:$B$1002,"="&amp;A233, namespace!$B$4:$B$1002,"&lt;&gt;"&amp;""),"")</f>
        <v/>
      </c>
      <c r="L233" s="182" t="str">
        <f>IF(A233&lt;&gt;"",SUMIFS(deployment!$K$4:$K$1002, deployment!$D$4:$D$1002,"="&amp;A233, deployment!$D$4:$D$1002,"&lt;&gt;"&amp;"", deployment!$C$4:$C$1002, "&lt;&gt;* )")+SUMIFS(namespace!$H$4:$H$1002, namespace!$B$4:$B$1002,"="&amp;A233, namespace!$B$4:$B$1002,"&lt;&gt;"&amp;""),"")</f>
        <v/>
      </c>
      <c r="M233" s="115" t="str">
        <f>IF(A233&lt;&gt;"",SUMIFS(deployment!$L$4:$L$1002, deployment!$D$4:$D$1002,"="&amp;A233, deployment!$D$4:$D$1002,"&lt;&gt;"&amp;"", deployment!$C$4:$C$1002, "&lt;&gt;* )")+SUMIFS(namespace!$I$4:$I$1002, namespace!$B$4:$B$1002,"="&amp;A233, namespace!$B$4:$B$1002,"&lt;&gt;"&amp;""),"")</f>
        <v/>
      </c>
      <c r="N233" s="115" t="str">
        <f>IF(A233&lt;&gt;"",SUMIFS(deployment!$M$4:$M$1002, deployment!$D$4:$D$1002,"="&amp;A233, deployment!$D$4:$D$1002,"&lt;&gt;"&amp;"", deployment!$C$4:$C$1002, "&lt;&gt;* )")+SUMIFS(namespace!$J$4:$J$1002, namespace!$B$4:$B$1002,"="&amp;A233, namespace!$B$4:$B$1002,"&lt;&gt;"&amp;""),"")</f>
        <v/>
      </c>
      <c r="O233" s="116" t="str">
        <f t="shared" si="43"/>
        <v/>
      </c>
      <c r="P233" s="63"/>
      <c r="Q233" s="164" t="str">
        <f t="shared" si="38"/>
        <v/>
      </c>
      <c r="R233" s="60" t="str">
        <f t="shared" si="39"/>
        <v/>
      </c>
      <c r="S233" s="60" t="str">
        <f t="shared" si="40"/>
        <v/>
      </c>
      <c r="T233" s="61" t="str">
        <f t="shared" si="41"/>
        <v/>
      </c>
      <c r="U233" s="61" t="str">
        <f t="shared" si="42"/>
        <v/>
      </c>
      <c r="V233" s="183" t="str">
        <f t="shared" si="44"/>
        <v/>
      </c>
      <c r="W233" s="183" t="str">
        <f t="shared" si="45"/>
        <v/>
      </c>
      <c r="X233" s="61" t="str">
        <f t="shared" si="46"/>
        <v/>
      </c>
      <c r="Y233" s="61" t="str">
        <f t="shared" si="47"/>
        <v/>
      </c>
      <c r="Z233" s="118" t="str">
        <f t="shared" si="48"/>
        <v/>
      </c>
      <c r="AA233" s="62" t="str">
        <f t="shared" si="49"/>
        <v/>
      </c>
      <c r="AB233" s="119" t="str">
        <f>IF(A233&lt;&gt;"", IF(P233&lt;&gt;0,SUMIFS(node!$J$2:$J$1000, node!$C$2:$C$1000,"="&amp;A233)/P233,0), "")</f>
        <v/>
      </c>
      <c r="AC233" s="81" t="str">
        <f>IF(A233&lt;&gt;"", IF(P233&lt;&gt;0,SUMIFS(node!$K$2:$K$1000, node!$C$2:$C$1000,"="&amp;A233)/P233,0), "")</f>
        <v/>
      </c>
      <c r="AD233" s="82" t="str">
        <f>IF(A233&lt;&gt;"", SUMIFS(node!$L$2:$L$1000, node!$C$2:$C$1000,"="&amp;A233), "")</f>
        <v/>
      </c>
      <c r="AE233" s="87" t="str">
        <f>IF(A233&lt;&gt;"", SUMIFS(node!$M$2:$M$1000, node!$C$2:$C$1000,"="&amp;A233), "")</f>
        <v/>
      </c>
    </row>
    <row r="234" spans="1:31" ht="15.75" customHeight="1" x14ac:dyDescent="0.25">
      <c r="A234" s="71" t="str">
        <f>IF(ISNONTEXT(node_raw[[#This Row],[Column2]]), "", node_raw[[#This Row],[Column2]])</f>
        <v/>
      </c>
      <c r="B234" s="108" t="str">
        <f>IF(A234&lt;&gt;"", VLOOKUP(A234, node!$C$2:$D$1000, 2, FALSE), "")</f>
        <v/>
      </c>
      <c r="C234" s="109" t="str">
        <f>IF(A234&lt;&gt;"", VLOOKUP(A234, node!$C$2:$E$1000, 3, FALSE), "")</f>
        <v/>
      </c>
      <c r="D234" s="110" t="str">
        <f>IF(A234&lt;&gt;"",COUNTIFS(node!$C$2:$C$1000,"="&amp;A234, node!$C$2:$C$1000,"&lt;&gt;"&amp;""),"")</f>
        <v/>
      </c>
      <c r="E234" s="111" t="str">
        <f>IF(A234&lt;&gt;"",SUMIFS(node!$F$2:$F$500, node!$C$2:$C$500,"="&amp;A234, node!$C$2:$C$500,"&lt;&gt;"&amp;"")/(B234*D234),"")</f>
        <v/>
      </c>
      <c r="F234" s="112" t="str">
        <f>IF(A234&lt;&gt;"",SUMIFS(node!$H$2:$H$500, node!$C$2:$C$500,"="&amp;A234, node!$C$2:$C$500,"&lt;&gt;"&amp;"")/(C234*D234),"")</f>
        <v/>
      </c>
      <c r="G234" s="179" t="str">
        <f>IF(A234&lt;&gt;"",SUMIFS(deployment!$F$4:$F$502, deployment!$D$4:$D$502,"="&amp;A234, deployment!$D$4:$D$502,"&lt;&gt;"&amp;""),"")</f>
        <v/>
      </c>
      <c r="H234" s="181" t="str">
        <f>IF(A234&lt;&gt;"",SUMIFS(deployment!$G$4:$G$502, deployment!$D$4:$D$502,"="&amp;A234, deployment!$D$4:$D$502,"&lt;&gt;"&amp;""),"")</f>
        <v/>
      </c>
      <c r="I234" s="113" t="str">
        <f>IF(A234&lt;&gt;"",SUMIFS(deployment!$H$4:$H$502, deployment!$D$4:$D$502,"="&amp;A234, deployment!$D$4:$D$502,"&lt;&gt;"&amp;""),"")</f>
        <v/>
      </c>
      <c r="J234" s="114" t="str">
        <f>IF(A234&lt;&gt;"",SUMIFS(deployment!$I$4:$I$502, deployment!$D$4:$D$502,"="&amp;A234, deployment!$D$4:$D$502,"&lt;&gt;"&amp;""),"")</f>
        <v/>
      </c>
      <c r="K234" s="182" t="str">
        <f>IF(A234&lt;&gt;"",SUMIFS(deployment!$J$4:$J$1002, deployment!$D$4:$D$1002,"="&amp;A234, deployment!$D$4:$D$1002,"&lt;&gt;"&amp;"", deployment!$C$4:$C$1002, "&lt;&gt;* )")+SUMIFS(namespace!$G$4:$G$1002, namespace!$B$4:$B$1002,"="&amp;A234, namespace!$B$4:$B$1002,"&lt;&gt;"&amp;""),"")</f>
        <v/>
      </c>
      <c r="L234" s="182" t="str">
        <f>IF(A234&lt;&gt;"",SUMIFS(deployment!$K$4:$K$1002, deployment!$D$4:$D$1002,"="&amp;A234, deployment!$D$4:$D$1002,"&lt;&gt;"&amp;"", deployment!$C$4:$C$1002, "&lt;&gt;* )")+SUMIFS(namespace!$H$4:$H$1002, namespace!$B$4:$B$1002,"="&amp;A234, namespace!$B$4:$B$1002,"&lt;&gt;"&amp;""),"")</f>
        <v/>
      </c>
      <c r="M234" s="115" t="str">
        <f>IF(A234&lt;&gt;"",SUMIFS(deployment!$L$4:$L$1002, deployment!$D$4:$D$1002,"="&amp;A234, deployment!$D$4:$D$1002,"&lt;&gt;"&amp;"", deployment!$C$4:$C$1002, "&lt;&gt;* )")+SUMIFS(namespace!$I$4:$I$1002, namespace!$B$4:$B$1002,"="&amp;A234, namespace!$B$4:$B$1002,"&lt;&gt;"&amp;""),"")</f>
        <v/>
      </c>
      <c r="N234" s="115" t="str">
        <f>IF(A234&lt;&gt;"",SUMIFS(deployment!$M$4:$M$1002, deployment!$D$4:$D$1002,"="&amp;A234, deployment!$D$4:$D$1002,"&lt;&gt;"&amp;"", deployment!$C$4:$C$1002, "&lt;&gt;* )")+SUMIFS(namespace!$J$4:$J$1002, namespace!$B$4:$B$1002,"="&amp;A234, namespace!$B$4:$B$1002,"&lt;&gt;"&amp;""),"")</f>
        <v/>
      </c>
      <c r="O234" s="116" t="str">
        <f t="shared" si="43"/>
        <v/>
      </c>
      <c r="P234" s="63"/>
      <c r="Q234" s="164" t="str">
        <f t="shared" si="38"/>
        <v/>
      </c>
      <c r="R234" s="60" t="str">
        <f t="shared" si="39"/>
        <v/>
      </c>
      <c r="S234" s="60" t="str">
        <f t="shared" si="40"/>
        <v/>
      </c>
      <c r="T234" s="61" t="str">
        <f t="shared" si="41"/>
        <v/>
      </c>
      <c r="U234" s="61" t="str">
        <f t="shared" si="42"/>
        <v/>
      </c>
      <c r="V234" s="183" t="str">
        <f t="shared" si="44"/>
        <v/>
      </c>
      <c r="W234" s="183" t="str">
        <f t="shared" si="45"/>
        <v/>
      </c>
      <c r="X234" s="61" t="str">
        <f t="shared" si="46"/>
        <v/>
      </c>
      <c r="Y234" s="61" t="str">
        <f t="shared" si="47"/>
        <v/>
      </c>
      <c r="Z234" s="118" t="str">
        <f t="shared" si="48"/>
        <v/>
      </c>
      <c r="AA234" s="62" t="str">
        <f t="shared" si="49"/>
        <v/>
      </c>
      <c r="AB234" s="119" t="str">
        <f>IF(A234&lt;&gt;"", IF(P234&lt;&gt;0,SUMIFS(node!$J$2:$J$1000, node!$C$2:$C$1000,"="&amp;A234)/P234,0), "")</f>
        <v/>
      </c>
      <c r="AC234" s="81" t="str">
        <f>IF(A234&lt;&gt;"", IF(P234&lt;&gt;0,SUMIFS(node!$K$2:$K$1000, node!$C$2:$C$1000,"="&amp;A234)/P234,0), "")</f>
        <v/>
      </c>
      <c r="AD234" s="82" t="str">
        <f>IF(A234&lt;&gt;"", SUMIFS(node!$L$2:$L$1000, node!$C$2:$C$1000,"="&amp;A234), "")</f>
        <v/>
      </c>
      <c r="AE234" s="87" t="str">
        <f>IF(A234&lt;&gt;"", SUMIFS(node!$M$2:$M$1000, node!$C$2:$C$1000,"="&amp;A234), "")</f>
        <v/>
      </c>
    </row>
    <row r="235" spans="1:31" ht="15.75" customHeight="1" x14ac:dyDescent="0.25">
      <c r="A235" s="71" t="str">
        <f>IF(ISNONTEXT(node_raw[[#This Row],[Column2]]), "", node_raw[[#This Row],[Column2]])</f>
        <v/>
      </c>
      <c r="B235" s="108" t="str">
        <f>IF(A235&lt;&gt;"", VLOOKUP(A235, node!$C$2:$D$1000, 2, FALSE), "")</f>
        <v/>
      </c>
      <c r="C235" s="109" t="str">
        <f>IF(A235&lt;&gt;"", VLOOKUP(A235, node!$C$2:$E$1000, 3, FALSE), "")</f>
        <v/>
      </c>
      <c r="D235" s="110" t="str">
        <f>IF(A235&lt;&gt;"",COUNTIFS(node!$C$2:$C$1000,"="&amp;A235, node!$C$2:$C$1000,"&lt;&gt;"&amp;""),"")</f>
        <v/>
      </c>
      <c r="E235" s="111" t="str">
        <f>IF(A235&lt;&gt;"",SUMIFS(node!$F$2:$F$500, node!$C$2:$C$500,"="&amp;A235, node!$C$2:$C$500,"&lt;&gt;"&amp;"")/(B235*D235),"")</f>
        <v/>
      </c>
      <c r="F235" s="112" t="str">
        <f>IF(A235&lt;&gt;"",SUMIFS(node!$H$2:$H$500, node!$C$2:$C$500,"="&amp;A235, node!$C$2:$C$500,"&lt;&gt;"&amp;"")/(C235*D235),"")</f>
        <v/>
      </c>
      <c r="G235" s="179" t="str">
        <f>IF(A235&lt;&gt;"",SUMIFS(deployment!$F$4:$F$502, deployment!$D$4:$D$502,"="&amp;A235, deployment!$D$4:$D$502,"&lt;&gt;"&amp;""),"")</f>
        <v/>
      </c>
      <c r="H235" s="181" t="str">
        <f>IF(A235&lt;&gt;"",SUMIFS(deployment!$G$4:$G$502, deployment!$D$4:$D$502,"="&amp;A235, deployment!$D$4:$D$502,"&lt;&gt;"&amp;""),"")</f>
        <v/>
      </c>
      <c r="I235" s="113" t="str">
        <f>IF(A235&lt;&gt;"",SUMIFS(deployment!$H$4:$H$502, deployment!$D$4:$D$502,"="&amp;A235, deployment!$D$4:$D$502,"&lt;&gt;"&amp;""),"")</f>
        <v/>
      </c>
      <c r="J235" s="114" t="str">
        <f>IF(A235&lt;&gt;"",SUMIFS(deployment!$I$4:$I$502, deployment!$D$4:$D$502,"="&amp;A235, deployment!$D$4:$D$502,"&lt;&gt;"&amp;""),"")</f>
        <v/>
      </c>
      <c r="K235" s="182" t="str">
        <f>IF(A235&lt;&gt;"",SUMIFS(deployment!$J$4:$J$1002, deployment!$D$4:$D$1002,"="&amp;A235, deployment!$D$4:$D$1002,"&lt;&gt;"&amp;"", deployment!$C$4:$C$1002, "&lt;&gt;* )")+SUMIFS(namespace!$G$4:$G$1002, namespace!$B$4:$B$1002,"="&amp;A235, namespace!$B$4:$B$1002,"&lt;&gt;"&amp;""),"")</f>
        <v/>
      </c>
      <c r="L235" s="182" t="str">
        <f>IF(A235&lt;&gt;"",SUMIFS(deployment!$K$4:$K$1002, deployment!$D$4:$D$1002,"="&amp;A235, deployment!$D$4:$D$1002,"&lt;&gt;"&amp;"", deployment!$C$4:$C$1002, "&lt;&gt;* )")+SUMIFS(namespace!$H$4:$H$1002, namespace!$B$4:$B$1002,"="&amp;A235, namespace!$B$4:$B$1002,"&lt;&gt;"&amp;""),"")</f>
        <v/>
      </c>
      <c r="M235" s="115" t="str">
        <f>IF(A235&lt;&gt;"",SUMIFS(deployment!$L$4:$L$1002, deployment!$D$4:$D$1002,"="&amp;A235, deployment!$D$4:$D$1002,"&lt;&gt;"&amp;"", deployment!$C$4:$C$1002, "&lt;&gt;* )")+SUMIFS(namespace!$I$4:$I$1002, namespace!$B$4:$B$1002,"="&amp;A235, namespace!$B$4:$B$1002,"&lt;&gt;"&amp;""),"")</f>
        <v/>
      </c>
      <c r="N235" s="115" t="str">
        <f>IF(A235&lt;&gt;"",SUMIFS(deployment!$M$4:$M$1002, deployment!$D$4:$D$1002,"="&amp;A235, deployment!$D$4:$D$1002,"&lt;&gt;"&amp;"", deployment!$C$4:$C$1002, "&lt;&gt;* )")+SUMIFS(namespace!$J$4:$J$1002, namespace!$B$4:$B$1002,"="&amp;A235, namespace!$B$4:$B$1002,"&lt;&gt;"&amp;""),"")</f>
        <v/>
      </c>
      <c r="O235" s="116" t="str">
        <f t="shared" si="43"/>
        <v/>
      </c>
      <c r="P235" s="63"/>
      <c r="Q235" s="164" t="str">
        <f t="shared" si="38"/>
        <v/>
      </c>
      <c r="R235" s="60" t="str">
        <f t="shared" si="39"/>
        <v/>
      </c>
      <c r="S235" s="60" t="str">
        <f t="shared" si="40"/>
        <v/>
      </c>
      <c r="T235" s="61" t="str">
        <f t="shared" si="41"/>
        <v/>
      </c>
      <c r="U235" s="61" t="str">
        <f t="shared" si="42"/>
        <v/>
      </c>
      <c r="V235" s="183" t="str">
        <f t="shared" si="44"/>
        <v/>
      </c>
      <c r="W235" s="183" t="str">
        <f t="shared" si="45"/>
        <v/>
      </c>
      <c r="X235" s="61" t="str">
        <f t="shared" si="46"/>
        <v/>
      </c>
      <c r="Y235" s="61" t="str">
        <f t="shared" si="47"/>
        <v/>
      </c>
      <c r="Z235" s="118" t="str">
        <f t="shared" si="48"/>
        <v/>
      </c>
      <c r="AA235" s="62" t="str">
        <f t="shared" si="49"/>
        <v/>
      </c>
      <c r="AB235" s="119" t="str">
        <f>IF(A235&lt;&gt;"", IF(P235&lt;&gt;0,SUMIFS(node!$J$2:$J$1000, node!$C$2:$C$1000,"="&amp;A235)/P235,0), "")</f>
        <v/>
      </c>
      <c r="AC235" s="81" t="str">
        <f>IF(A235&lt;&gt;"", IF(P235&lt;&gt;0,SUMIFS(node!$K$2:$K$1000, node!$C$2:$C$1000,"="&amp;A235)/P235,0), "")</f>
        <v/>
      </c>
      <c r="AD235" s="82" t="str">
        <f>IF(A235&lt;&gt;"", SUMIFS(node!$L$2:$L$1000, node!$C$2:$C$1000,"="&amp;A235), "")</f>
        <v/>
      </c>
      <c r="AE235" s="87" t="str">
        <f>IF(A235&lt;&gt;"", SUMIFS(node!$M$2:$M$1000, node!$C$2:$C$1000,"="&amp;A235), "")</f>
        <v/>
      </c>
    </row>
    <row r="236" spans="1:31" ht="15.75" customHeight="1" x14ac:dyDescent="0.25">
      <c r="A236" s="71" t="str">
        <f>IF(ISNONTEXT(node_raw[[#This Row],[Column2]]), "", node_raw[[#This Row],[Column2]])</f>
        <v/>
      </c>
      <c r="B236" s="108" t="str">
        <f>IF(A236&lt;&gt;"", VLOOKUP(A236, node!$C$2:$D$1000, 2, FALSE), "")</f>
        <v/>
      </c>
      <c r="C236" s="109" t="str">
        <f>IF(A236&lt;&gt;"", VLOOKUP(A236, node!$C$2:$E$1000, 3, FALSE), "")</f>
        <v/>
      </c>
      <c r="D236" s="110" t="str">
        <f>IF(A236&lt;&gt;"",COUNTIFS(node!$C$2:$C$1000,"="&amp;A236, node!$C$2:$C$1000,"&lt;&gt;"&amp;""),"")</f>
        <v/>
      </c>
      <c r="E236" s="111" t="str">
        <f>IF(A236&lt;&gt;"",SUMIFS(node!$F$2:$F$500, node!$C$2:$C$500,"="&amp;A236, node!$C$2:$C$500,"&lt;&gt;"&amp;"")/(B236*D236),"")</f>
        <v/>
      </c>
      <c r="F236" s="112" t="str">
        <f>IF(A236&lt;&gt;"",SUMIFS(node!$H$2:$H$500, node!$C$2:$C$500,"="&amp;A236, node!$C$2:$C$500,"&lt;&gt;"&amp;"")/(C236*D236),"")</f>
        <v/>
      </c>
      <c r="G236" s="179" t="str">
        <f>IF(A236&lt;&gt;"",SUMIFS(deployment!$F$4:$F$502, deployment!$D$4:$D$502,"="&amp;A236, deployment!$D$4:$D$502,"&lt;&gt;"&amp;""),"")</f>
        <v/>
      </c>
      <c r="H236" s="181" t="str">
        <f>IF(A236&lt;&gt;"",SUMIFS(deployment!$G$4:$G$502, deployment!$D$4:$D$502,"="&amp;A236, deployment!$D$4:$D$502,"&lt;&gt;"&amp;""),"")</f>
        <v/>
      </c>
      <c r="I236" s="113" t="str">
        <f>IF(A236&lt;&gt;"",SUMIFS(deployment!$H$4:$H$502, deployment!$D$4:$D$502,"="&amp;A236, deployment!$D$4:$D$502,"&lt;&gt;"&amp;""),"")</f>
        <v/>
      </c>
      <c r="J236" s="114" t="str">
        <f>IF(A236&lt;&gt;"",SUMIFS(deployment!$I$4:$I$502, deployment!$D$4:$D$502,"="&amp;A236, deployment!$D$4:$D$502,"&lt;&gt;"&amp;""),"")</f>
        <v/>
      </c>
      <c r="K236" s="182" t="str">
        <f>IF(A236&lt;&gt;"",SUMIFS(deployment!$J$4:$J$1002, deployment!$D$4:$D$1002,"="&amp;A236, deployment!$D$4:$D$1002,"&lt;&gt;"&amp;"", deployment!$C$4:$C$1002, "&lt;&gt;* )")+SUMIFS(namespace!$G$4:$G$1002, namespace!$B$4:$B$1002,"="&amp;A236, namespace!$B$4:$B$1002,"&lt;&gt;"&amp;""),"")</f>
        <v/>
      </c>
      <c r="L236" s="182" t="str">
        <f>IF(A236&lt;&gt;"",SUMIFS(deployment!$K$4:$K$1002, deployment!$D$4:$D$1002,"="&amp;A236, deployment!$D$4:$D$1002,"&lt;&gt;"&amp;"", deployment!$C$4:$C$1002, "&lt;&gt;* )")+SUMIFS(namespace!$H$4:$H$1002, namespace!$B$4:$B$1002,"="&amp;A236, namespace!$B$4:$B$1002,"&lt;&gt;"&amp;""),"")</f>
        <v/>
      </c>
      <c r="M236" s="115" t="str">
        <f>IF(A236&lt;&gt;"",SUMIFS(deployment!$L$4:$L$1002, deployment!$D$4:$D$1002,"="&amp;A236, deployment!$D$4:$D$1002,"&lt;&gt;"&amp;"", deployment!$C$4:$C$1002, "&lt;&gt;* )")+SUMIFS(namespace!$I$4:$I$1002, namespace!$B$4:$B$1002,"="&amp;A236, namespace!$B$4:$B$1002,"&lt;&gt;"&amp;""),"")</f>
        <v/>
      </c>
      <c r="N236" s="115" t="str">
        <f>IF(A236&lt;&gt;"",SUMIFS(deployment!$M$4:$M$1002, deployment!$D$4:$D$1002,"="&amp;A236, deployment!$D$4:$D$1002,"&lt;&gt;"&amp;"", deployment!$C$4:$C$1002, "&lt;&gt;* )")+SUMIFS(namespace!$J$4:$J$1002, namespace!$B$4:$B$1002,"="&amp;A236, namespace!$B$4:$B$1002,"&lt;&gt;"&amp;""),"")</f>
        <v/>
      </c>
      <c r="O236" s="116" t="str">
        <f t="shared" si="43"/>
        <v/>
      </c>
      <c r="P236" s="63"/>
      <c r="Q236" s="164" t="str">
        <f t="shared" si="38"/>
        <v/>
      </c>
      <c r="R236" s="60" t="str">
        <f t="shared" si="39"/>
        <v/>
      </c>
      <c r="S236" s="60" t="str">
        <f t="shared" si="40"/>
        <v/>
      </c>
      <c r="T236" s="61" t="str">
        <f t="shared" si="41"/>
        <v/>
      </c>
      <c r="U236" s="61" t="str">
        <f t="shared" si="42"/>
        <v/>
      </c>
      <c r="V236" s="183" t="str">
        <f t="shared" si="44"/>
        <v/>
      </c>
      <c r="W236" s="183" t="str">
        <f t="shared" si="45"/>
        <v/>
      </c>
      <c r="X236" s="61" t="str">
        <f t="shared" si="46"/>
        <v/>
      </c>
      <c r="Y236" s="61" t="str">
        <f t="shared" si="47"/>
        <v/>
      </c>
      <c r="Z236" s="118" t="str">
        <f t="shared" si="48"/>
        <v/>
      </c>
      <c r="AA236" s="62" t="str">
        <f t="shared" si="49"/>
        <v/>
      </c>
      <c r="AB236" s="119" t="str">
        <f>IF(A236&lt;&gt;"", IF(P236&lt;&gt;0,SUMIFS(node!$J$2:$J$1000, node!$C$2:$C$1000,"="&amp;A236)/P236,0), "")</f>
        <v/>
      </c>
      <c r="AC236" s="81" t="str">
        <f>IF(A236&lt;&gt;"", IF(P236&lt;&gt;0,SUMIFS(node!$K$2:$K$1000, node!$C$2:$C$1000,"="&amp;A236)/P236,0), "")</f>
        <v/>
      </c>
      <c r="AD236" s="82" t="str">
        <f>IF(A236&lt;&gt;"", SUMIFS(node!$L$2:$L$1000, node!$C$2:$C$1000,"="&amp;A236), "")</f>
        <v/>
      </c>
      <c r="AE236" s="87" t="str">
        <f>IF(A236&lt;&gt;"", SUMIFS(node!$M$2:$M$1000, node!$C$2:$C$1000,"="&amp;A236), "")</f>
        <v/>
      </c>
    </row>
    <row r="237" spans="1:31" ht="15.75" customHeight="1" x14ac:dyDescent="0.25">
      <c r="A237" s="71" t="str">
        <f>IF(ISNONTEXT(node_raw[[#This Row],[Column2]]), "", node_raw[[#This Row],[Column2]])</f>
        <v/>
      </c>
      <c r="B237" s="108" t="str">
        <f>IF(A237&lt;&gt;"", VLOOKUP(A237, node!$C$2:$D$1000, 2, FALSE), "")</f>
        <v/>
      </c>
      <c r="C237" s="109" t="str">
        <f>IF(A237&lt;&gt;"", VLOOKUP(A237, node!$C$2:$E$1000, 3, FALSE), "")</f>
        <v/>
      </c>
      <c r="D237" s="110" t="str">
        <f>IF(A237&lt;&gt;"",COUNTIFS(node!$C$2:$C$1000,"="&amp;A237, node!$C$2:$C$1000,"&lt;&gt;"&amp;""),"")</f>
        <v/>
      </c>
      <c r="E237" s="111" t="str">
        <f>IF(A237&lt;&gt;"",SUMIFS(node!$F$2:$F$500, node!$C$2:$C$500,"="&amp;A237, node!$C$2:$C$500,"&lt;&gt;"&amp;"")/(B237*D237),"")</f>
        <v/>
      </c>
      <c r="F237" s="112" t="str">
        <f>IF(A237&lt;&gt;"",SUMIFS(node!$H$2:$H$500, node!$C$2:$C$500,"="&amp;A237, node!$C$2:$C$500,"&lt;&gt;"&amp;"")/(C237*D237),"")</f>
        <v/>
      </c>
      <c r="G237" s="179" t="str">
        <f>IF(A237&lt;&gt;"",SUMIFS(deployment!$F$4:$F$502, deployment!$D$4:$D$502,"="&amp;A237, deployment!$D$4:$D$502,"&lt;&gt;"&amp;""),"")</f>
        <v/>
      </c>
      <c r="H237" s="181" t="str">
        <f>IF(A237&lt;&gt;"",SUMIFS(deployment!$G$4:$G$502, deployment!$D$4:$D$502,"="&amp;A237, deployment!$D$4:$D$502,"&lt;&gt;"&amp;""),"")</f>
        <v/>
      </c>
      <c r="I237" s="113" t="str">
        <f>IF(A237&lt;&gt;"",SUMIFS(deployment!$H$4:$H$502, deployment!$D$4:$D$502,"="&amp;A237, deployment!$D$4:$D$502,"&lt;&gt;"&amp;""),"")</f>
        <v/>
      </c>
      <c r="J237" s="114" t="str">
        <f>IF(A237&lt;&gt;"",SUMIFS(deployment!$I$4:$I$502, deployment!$D$4:$D$502,"="&amp;A237, deployment!$D$4:$D$502,"&lt;&gt;"&amp;""),"")</f>
        <v/>
      </c>
      <c r="K237" s="182" t="str">
        <f>IF(A237&lt;&gt;"",SUMIFS(deployment!$J$4:$J$1002, deployment!$D$4:$D$1002,"="&amp;A237, deployment!$D$4:$D$1002,"&lt;&gt;"&amp;"", deployment!$C$4:$C$1002, "&lt;&gt;* )")+SUMIFS(namespace!$G$4:$G$1002, namespace!$B$4:$B$1002,"="&amp;A237, namespace!$B$4:$B$1002,"&lt;&gt;"&amp;""),"")</f>
        <v/>
      </c>
      <c r="L237" s="182" t="str">
        <f>IF(A237&lt;&gt;"",SUMIFS(deployment!$K$4:$K$1002, deployment!$D$4:$D$1002,"="&amp;A237, deployment!$D$4:$D$1002,"&lt;&gt;"&amp;"", deployment!$C$4:$C$1002, "&lt;&gt;* )")+SUMIFS(namespace!$H$4:$H$1002, namespace!$B$4:$B$1002,"="&amp;A237, namespace!$B$4:$B$1002,"&lt;&gt;"&amp;""),"")</f>
        <v/>
      </c>
      <c r="M237" s="115" t="str">
        <f>IF(A237&lt;&gt;"",SUMIFS(deployment!$L$4:$L$1002, deployment!$D$4:$D$1002,"="&amp;A237, deployment!$D$4:$D$1002,"&lt;&gt;"&amp;"", deployment!$C$4:$C$1002, "&lt;&gt;* )")+SUMIFS(namespace!$I$4:$I$1002, namespace!$B$4:$B$1002,"="&amp;A237, namespace!$B$4:$B$1002,"&lt;&gt;"&amp;""),"")</f>
        <v/>
      </c>
      <c r="N237" s="115" t="str">
        <f>IF(A237&lt;&gt;"",SUMIFS(deployment!$M$4:$M$1002, deployment!$D$4:$D$1002,"="&amp;A237, deployment!$D$4:$D$1002,"&lt;&gt;"&amp;"", deployment!$C$4:$C$1002, "&lt;&gt;* )")+SUMIFS(namespace!$J$4:$J$1002, namespace!$B$4:$B$1002,"="&amp;A237, namespace!$B$4:$B$1002,"&lt;&gt;"&amp;""),"")</f>
        <v/>
      </c>
      <c r="O237" s="116" t="str">
        <f t="shared" si="43"/>
        <v/>
      </c>
      <c r="P237" s="63"/>
      <c r="Q237" s="164" t="str">
        <f t="shared" si="38"/>
        <v/>
      </c>
      <c r="R237" s="60" t="str">
        <f t="shared" si="39"/>
        <v/>
      </c>
      <c r="S237" s="60" t="str">
        <f t="shared" si="40"/>
        <v/>
      </c>
      <c r="T237" s="61" t="str">
        <f t="shared" si="41"/>
        <v/>
      </c>
      <c r="U237" s="61" t="str">
        <f t="shared" si="42"/>
        <v/>
      </c>
      <c r="V237" s="183" t="str">
        <f t="shared" si="44"/>
        <v/>
      </c>
      <c r="W237" s="183" t="str">
        <f t="shared" si="45"/>
        <v/>
      </c>
      <c r="X237" s="61" t="str">
        <f t="shared" si="46"/>
        <v/>
      </c>
      <c r="Y237" s="61" t="str">
        <f t="shared" si="47"/>
        <v/>
      </c>
      <c r="Z237" s="118" t="str">
        <f t="shared" si="48"/>
        <v/>
      </c>
      <c r="AA237" s="62" t="str">
        <f t="shared" si="49"/>
        <v/>
      </c>
      <c r="AB237" s="119" t="str">
        <f>IF(A237&lt;&gt;"", IF(P237&lt;&gt;0,SUMIFS(node!$J$2:$J$1000, node!$C$2:$C$1000,"="&amp;A237)/P237,0), "")</f>
        <v/>
      </c>
      <c r="AC237" s="81" t="str">
        <f>IF(A237&lt;&gt;"", IF(P237&lt;&gt;0,SUMIFS(node!$K$2:$K$1000, node!$C$2:$C$1000,"="&amp;A237)/P237,0), "")</f>
        <v/>
      </c>
      <c r="AD237" s="82" t="str">
        <f>IF(A237&lt;&gt;"", SUMIFS(node!$L$2:$L$1000, node!$C$2:$C$1000,"="&amp;A237), "")</f>
        <v/>
      </c>
      <c r="AE237" s="87" t="str">
        <f>IF(A237&lt;&gt;"", SUMIFS(node!$M$2:$M$1000, node!$C$2:$C$1000,"="&amp;A237), "")</f>
        <v/>
      </c>
    </row>
    <row r="238" spans="1:31" ht="15.75" customHeight="1" x14ac:dyDescent="0.25">
      <c r="A238" s="71" t="str">
        <f>IF(ISNONTEXT(node_raw[[#This Row],[Column2]]), "", node_raw[[#This Row],[Column2]])</f>
        <v/>
      </c>
      <c r="B238" s="108" t="str">
        <f>IF(A238&lt;&gt;"", VLOOKUP(A238, node!$C$2:$D$1000, 2, FALSE), "")</f>
        <v/>
      </c>
      <c r="C238" s="109" t="str">
        <f>IF(A238&lt;&gt;"", VLOOKUP(A238, node!$C$2:$E$1000, 3, FALSE), "")</f>
        <v/>
      </c>
      <c r="D238" s="110" t="str">
        <f>IF(A238&lt;&gt;"",COUNTIFS(node!$C$2:$C$1000,"="&amp;A238, node!$C$2:$C$1000,"&lt;&gt;"&amp;""),"")</f>
        <v/>
      </c>
      <c r="E238" s="111" t="str">
        <f>IF(A238&lt;&gt;"",SUMIFS(node!$F$2:$F$500, node!$C$2:$C$500,"="&amp;A238, node!$C$2:$C$500,"&lt;&gt;"&amp;"")/(B238*D238),"")</f>
        <v/>
      </c>
      <c r="F238" s="112" t="str">
        <f>IF(A238&lt;&gt;"",SUMIFS(node!$H$2:$H$500, node!$C$2:$C$500,"="&amp;A238, node!$C$2:$C$500,"&lt;&gt;"&amp;"")/(C238*D238),"")</f>
        <v/>
      </c>
      <c r="G238" s="179" t="str">
        <f>IF(A238&lt;&gt;"",SUMIFS(deployment!$F$4:$F$502, deployment!$D$4:$D$502,"="&amp;A238, deployment!$D$4:$D$502,"&lt;&gt;"&amp;""),"")</f>
        <v/>
      </c>
      <c r="H238" s="181" t="str">
        <f>IF(A238&lt;&gt;"",SUMIFS(deployment!$G$4:$G$502, deployment!$D$4:$D$502,"="&amp;A238, deployment!$D$4:$D$502,"&lt;&gt;"&amp;""),"")</f>
        <v/>
      </c>
      <c r="I238" s="113" t="str">
        <f>IF(A238&lt;&gt;"",SUMIFS(deployment!$H$4:$H$502, deployment!$D$4:$D$502,"="&amp;A238, deployment!$D$4:$D$502,"&lt;&gt;"&amp;""),"")</f>
        <v/>
      </c>
      <c r="J238" s="114" t="str">
        <f>IF(A238&lt;&gt;"",SUMIFS(deployment!$I$4:$I$502, deployment!$D$4:$D$502,"="&amp;A238, deployment!$D$4:$D$502,"&lt;&gt;"&amp;""),"")</f>
        <v/>
      </c>
      <c r="K238" s="182" t="str">
        <f>IF(A238&lt;&gt;"",SUMIFS(deployment!$J$4:$J$1002, deployment!$D$4:$D$1002,"="&amp;A238, deployment!$D$4:$D$1002,"&lt;&gt;"&amp;"", deployment!$C$4:$C$1002, "&lt;&gt;* )")+SUMIFS(namespace!$G$4:$G$1002, namespace!$B$4:$B$1002,"="&amp;A238, namespace!$B$4:$B$1002,"&lt;&gt;"&amp;""),"")</f>
        <v/>
      </c>
      <c r="L238" s="182" t="str">
        <f>IF(A238&lt;&gt;"",SUMIFS(deployment!$K$4:$K$1002, deployment!$D$4:$D$1002,"="&amp;A238, deployment!$D$4:$D$1002,"&lt;&gt;"&amp;"", deployment!$C$4:$C$1002, "&lt;&gt;* )")+SUMIFS(namespace!$H$4:$H$1002, namespace!$B$4:$B$1002,"="&amp;A238, namespace!$B$4:$B$1002,"&lt;&gt;"&amp;""),"")</f>
        <v/>
      </c>
      <c r="M238" s="115" t="str">
        <f>IF(A238&lt;&gt;"",SUMIFS(deployment!$L$4:$L$1002, deployment!$D$4:$D$1002,"="&amp;A238, deployment!$D$4:$D$1002,"&lt;&gt;"&amp;"", deployment!$C$4:$C$1002, "&lt;&gt;* )")+SUMIFS(namespace!$I$4:$I$1002, namespace!$B$4:$B$1002,"="&amp;A238, namespace!$B$4:$B$1002,"&lt;&gt;"&amp;""),"")</f>
        <v/>
      </c>
      <c r="N238" s="115" t="str">
        <f>IF(A238&lt;&gt;"",SUMIFS(deployment!$M$4:$M$1002, deployment!$D$4:$D$1002,"="&amp;A238, deployment!$D$4:$D$1002,"&lt;&gt;"&amp;"", deployment!$C$4:$C$1002, "&lt;&gt;* )")+SUMIFS(namespace!$J$4:$J$1002, namespace!$B$4:$B$1002,"="&amp;A238, namespace!$B$4:$B$1002,"&lt;&gt;"&amp;""),"")</f>
        <v/>
      </c>
      <c r="O238" s="116" t="str">
        <f t="shared" si="43"/>
        <v/>
      </c>
      <c r="P238" s="63"/>
      <c r="Q238" s="164" t="str">
        <f t="shared" si="38"/>
        <v/>
      </c>
      <c r="R238" s="60" t="str">
        <f t="shared" si="39"/>
        <v/>
      </c>
      <c r="S238" s="60" t="str">
        <f t="shared" si="40"/>
        <v/>
      </c>
      <c r="T238" s="61" t="str">
        <f t="shared" si="41"/>
        <v/>
      </c>
      <c r="U238" s="61" t="str">
        <f t="shared" si="42"/>
        <v/>
      </c>
      <c r="V238" s="183" t="str">
        <f t="shared" si="44"/>
        <v/>
      </c>
      <c r="W238" s="183" t="str">
        <f t="shared" si="45"/>
        <v/>
      </c>
      <c r="X238" s="61" t="str">
        <f t="shared" si="46"/>
        <v/>
      </c>
      <c r="Y238" s="61" t="str">
        <f t="shared" si="47"/>
        <v/>
      </c>
      <c r="Z238" s="118" t="str">
        <f t="shared" si="48"/>
        <v/>
      </c>
      <c r="AA238" s="62" t="str">
        <f t="shared" si="49"/>
        <v/>
      </c>
      <c r="AB238" s="119" t="str">
        <f>IF(A238&lt;&gt;"", IF(P238&lt;&gt;0,SUMIFS(node!$J$2:$J$1000, node!$C$2:$C$1000,"="&amp;A238)/P238,0), "")</f>
        <v/>
      </c>
      <c r="AC238" s="81" t="str">
        <f>IF(A238&lt;&gt;"", IF(P238&lt;&gt;0,SUMIFS(node!$K$2:$K$1000, node!$C$2:$C$1000,"="&amp;A238)/P238,0), "")</f>
        <v/>
      </c>
      <c r="AD238" s="82" t="str">
        <f>IF(A238&lt;&gt;"", SUMIFS(node!$L$2:$L$1000, node!$C$2:$C$1000,"="&amp;A238), "")</f>
        <v/>
      </c>
      <c r="AE238" s="87" t="str">
        <f>IF(A238&lt;&gt;"", SUMIFS(node!$M$2:$M$1000, node!$C$2:$C$1000,"="&amp;A238), "")</f>
        <v/>
      </c>
    </row>
    <row r="239" spans="1:31" ht="15.75" customHeight="1" x14ac:dyDescent="0.25">
      <c r="A239" s="71" t="str">
        <f>IF(ISNONTEXT(node_raw[[#This Row],[Column2]]), "", node_raw[[#This Row],[Column2]])</f>
        <v/>
      </c>
      <c r="B239" s="108" t="str">
        <f>IF(A239&lt;&gt;"", VLOOKUP(A239, node!$C$2:$D$1000, 2, FALSE), "")</f>
        <v/>
      </c>
      <c r="C239" s="109" t="str">
        <f>IF(A239&lt;&gt;"", VLOOKUP(A239, node!$C$2:$E$1000, 3, FALSE), "")</f>
        <v/>
      </c>
      <c r="D239" s="110" t="str">
        <f>IF(A239&lt;&gt;"",COUNTIFS(node!$C$2:$C$1000,"="&amp;A239, node!$C$2:$C$1000,"&lt;&gt;"&amp;""),"")</f>
        <v/>
      </c>
      <c r="E239" s="111" t="str">
        <f>IF(A239&lt;&gt;"",SUMIFS(node!$F$2:$F$500, node!$C$2:$C$500,"="&amp;A239, node!$C$2:$C$500,"&lt;&gt;"&amp;"")/(B239*D239),"")</f>
        <v/>
      </c>
      <c r="F239" s="112" t="str">
        <f>IF(A239&lt;&gt;"",SUMIFS(node!$H$2:$H$500, node!$C$2:$C$500,"="&amp;A239, node!$C$2:$C$500,"&lt;&gt;"&amp;"")/(C239*D239),"")</f>
        <v/>
      </c>
      <c r="G239" s="179" t="str">
        <f>IF(A239&lt;&gt;"",SUMIFS(deployment!$F$4:$F$502, deployment!$D$4:$D$502,"="&amp;A239, deployment!$D$4:$D$502,"&lt;&gt;"&amp;""),"")</f>
        <v/>
      </c>
      <c r="H239" s="181" t="str">
        <f>IF(A239&lt;&gt;"",SUMIFS(deployment!$G$4:$G$502, deployment!$D$4:$D$502,"="&amp;A239, deployment!$D$4:$D$502,"&lt;&gt;"&amp;""),"")</f>
        <v/>
      </c>
      <c r="I239" s="113" t="str">
        <f>IF(A239&lt;&gt;"",SUMIFS(deployment!$H$4:$H$502, deployment!$D$4:$D$502,"="&amp;A239, deployment!$D$4:$D$502,"&lt;&gt;"&amp;""),"")</f>
        <v/>
      </c>
      <c r="J239" s="114" t="str">
        <f>IF(A239&lt;&gt;"",SUMIFS(deployment!$I$4:$I$502, deployment!$D$4:$D$502,"="&amp;A239, deployment!$D$4:$D$502,"&lt;&gt;"&amp;""),"")</f>
        <v/>
      </c>
      <c r="K239" s="182" t="str">
        <f>IF(A239&lt;&gt;"",SUMIFS(deployment!$J$4:$J$1002, deployment!$D$4:$D$1002,"="&amp;A239, deployment!$D$4:$D$1002,"&lt;&gt;"&amp;"", deployment!$C$4:$C$1002, "&lt;&gt;* )")+SUMIFS(namespace!$G$4:$G$1002, namespace!$B$4:$B$1002,"="&amp;A239, namespace!$B$4:$B$1002,"&lt;&gt;"&amp;""),"")</f>
        <v/>
      </c>
      <c r="L239" s="182" t="str">
        <f>IF(A239&lt;&gt;"",SUMIFS(deployment!$K$4:$K$1002, deployment!$D$4:$D$1002,"="&amp;A239, deployment!$D$4:$D$1002,"&lt;&gt;"&amp;"", deployment!$C$4:$C$1002, "&lt;&gt;* )")+SUMIFS(namespace!$H$4:$H$1002, namespace!$B$4:$B$1002,"="&amp;A239, namespace!$B$4:$B$1002,"&lt;&gt;"&amp;""),"")</f>
        <v/>
      </c>
      <c r="M239" s="115" t="str">
        <f>IF(A239&lt;&gt;"",SUMIFS(deployment!$L$4:$L$1002, deployment!$D$4:$D$1002,"="&amp;A239, deployment!$D$4:$D$1002,"&lt;&gt;"&amp;"", deployment!$C$4:$C$1002, "&lt;&gt;* )")+SUMIFS(namespace!$I$4:$I$1002, namespace!$B$4:$B$1002,"="&amp;A239, namespace!$B$4:$B$1002,"&lt;&gt;"&amp;""),"")</f>
        <v/>
      </c>
      <c r="N239" s="115" t="str">
        <f>IF(A239&lt;&gt;"",SUMIFS(deployment!$M$4:$M$1002, deployment!$D$4:$D$1002,"="&amp;A239, deployment!$D$4:$D$1002,"&lt;&gt;"&amp;"", deployment!$C$4:$C$1002, "&lt;&gt;* )")+SUMIFS(namespace!$J$4:$J$1002, namespace!$B$4:$B$1002,"="&amp;A239, namespace!$B$4:$B$1002,"&lt;&gt;"&amp;""),"")</f>
        <v/>
      </c>
      <c r="O239" s="116" t="str">
        <f t="shared" si="43"/>
        <v/>
      </c>
      <c r="P239" s="63"/>
      <c r="Q239" s="164" t="str">
        <f t="shared" si="38"/>
        <v/>
      </c>
      <c r="R239" s="60" t="str">
        <f t="shared" si="39"/>
        <v/>
      </c>
      <c r="S239" s="60" t="str">
        <f t="shared" si="40"/>
        <v/>
      </c>
      <c r="T239" s="61" t="str">
        <f t="shared" si="41"/>
        <v/>
      </c>
      <c r="U239" s="61" t="str">
        <f t="shared" si="42"/>
        <v/>
      </c>
      <c r="V239" s="183" t="str">
        <f t="shared" si="44"/>
        <v/>
      </c>
      <c r="W239" s="183" t="str">
        <f t="shared" si="45"/>
        <v/>
      </c>
      <c r="X239" s="61" t="str">
        <f t="shared" si="46"/>
        <v/>
      </c>
      <c r="Y239" s="61" t="str">
        <f t="shared" si="47"/>
        <v/>
      </c>
      <c r="Z239" s="118" t="str">
        <f t="shared" si="48"/>
        <v/>
      </c>
      <c r="AA239" s="62" t="str">
        <f t="shared" si="49"/>
        <v/>
      </c>
      <c r="AB239" s="119" t="str">
        <f>IF(A239&lt;&gt;"", IF(P239&lt;&gt;0,SUMIFS(node!$J$2:$J$1000, node!$C$2:$C$1000,"="&amp;A239)/P239,0), "")</f>
        <v/>
      </c>
      <c r="AC239" s="81" t="str">
        <f>IF(A239&lt;&gt;"", IF(P239&lt;&gt;0,SUMIFS(node!$K$2:$K$1000, node!$C$2:$C$1000,"="&amp;A239)/P239,0), "")</f>
        <v/>
      </c>
      <c r="AD239" s="82" t="str">
        <f>IF(A239&lt;&gt;"", SUMIFS(node!$L$2:$L$1000, node!$C$2:$C$1000,"="&amp;A239), "")</f>
        <v/>
      </c>
      <c r="AE239" s="87" t="str">
        <f>IF(A239&lt;&gt;"", SUMIFS(node!$M$2:$M$1000, node!$C$2:$C$1000,"="&amp;A239), "")</f>
        <v/>
      </c>
    </row>
    <row r="240" spans="1:31" ht="15.75" customHeight="1" x14ac:dyDescent="0.25">
      <c r="A240" s="71" t="str">
        <f>IF(ISNONTEXT(node_raw[[#This Row],[Column2]]), "", node_raw[[#This Row],[Column2]])</f>
        <v/>
      </c>
      <c r="B240" s="108" t="str">
        <f>IF(A240&lt;&gt;"", VLOOKUP(A240, node!$C$2:$D$1000, 2, FALSE), "")</f>
        <v/>
      </c>
      <c r="C240" s="109" t="str">
        <f>IF(A240&lt;&gt;"", VLOOKUP(A240, node!$C$2:$E$1000, 3, FALSE), "")</f>
        <v/>
      </c>
      <c r="D240" s="110" t="str">
        <f>IF(A240&lt;&gt;"",COUNTIFS(node!$C$2:$C$1000,"="&amp;A240, node!$C$2:$C$1000,"&lt;&gt;"&amp;""),"")</f>
        <v/>
      </c>
      <c r="E240" s="111" t="str">
        <f>IF(A240&lt;&gt;"",SUMIFS(node!$F$2:$F$500, node!$C$2:$C$500,"="&amp;A240, node!$C$2:$C$500,"&lt;&gt;"&amp;"")/(B240*D240),"")</f>
        <v/>
      </c>
      <c r="F240" s="112" t="str">
        <f>IF(A240&lt;&gt;"",SUMIFS(node!$H$2:$H$500, node!$C$2:$C$500,"="&amp;A240, node!$C$2:$C$500,"&lt;&gt;"&amp;"")/(C240*D240),"")</f>
        <v/>
      </c>
      <c r="G240" s="179" t="str">
        <f>IF(A240&lt;&gt;"",SUMIFS(deployment!$F$4:$F$502, deployment!$D$4:$D$502,"="&amp;A240, deployment!$D$4:$D$502,"&lt;&gt;"&amp;""),"")</f>
        <v/>
      </c>
      <c r="H240" s="181" t="str">
        <f>IF(A240&lt;&gt;"",SUMIFS(deployment!$G$4:$G$502, deployment!$D$4:$D$502,"="&amp;A240, deployment!$D$4:$D$502,"&lt;&gt;"&amp;""),"")</f>
        <v/>
      </c>
      <c r="I240" s="113" t="str">
        <f>IF(A240&lt;&gt;"",SUMIFS(deployment!$H$4:$H$502, deployment!$D$4:$D$502,"="&amp;A240, deployment!$D$4:$D$502,"&lt;&gt;"&amp;""),"")</f>
        <v/>
      </c>
      <c r="J240" s="114" t="str">
        <f>IF(A240&lt;&gt;"",SUMIFS(deployment!$I$4:$I$502, deployment!$D$4:$D$502,"="&amp;A240, deployment!$D$4:$D$502,"&lt;&gt;"&amp;""),"")</f>
        <v/>
      </c>
      <c r="K240" s="182" t="str">
        <f>IF(A240&lt;&gt;"",SUMIFS(deployment!$J$4:$J$1002, deployment!$D$4:$D$1002,"="&amp;A240, deployment!$D$4:$D$1002,"&lt;&gt;"&amp;"", deployment!$C$4:$C$1002, "&lt;&gt;* )")+SUMIFS(namespace!$G$4:$G$1002, namespace!$B$4:$B$1002,"="&amp;A240, namespace!$B$4:$B$1002,"&lt;&gt;"&amp;""),"")</f>
        <v/>
      </c>
      <c r="L240" s="182" t="str">
        <f>IF(A240&lt;&gt;"",SUMIFS(deployment!$K$4:$K$1002, deployment!$D$4:$D$1002,"="&amp;A240, deployment!$D$4:$D$1002,"&lt;&gt;"&amp;"", deployment!$C$4:$C$1002, "&lt;&gt;* )")+SUMIFS(namespace!$H$4:$H$1002, namespace!$B$4:$B$1002,"="&amp;A240, namespace!$B$4:$B$1002,"&lt;&gt;"&amp;""),"")</f>
        <v/>
      </c>
      <c r="M240" s="115" t="str">
        <f>IF(A240&lt;&gt;"",SUMIFS(deployment!$L$4:$L$1002, deployment!$D$4:$D$1002,"="&amp;A240, deployment!$D$4:$D$1002,"&lt;&gt;"&amp;"", deployment!$C$4:$C$1002, "&lt;&gt;* )")+SUMIFS(namespace!$I$4:$I$1002, namespace!$B$4:$B$1002,"="&amp;A240, namespace!$B$4:$B$1002,"&lt;&gt;"&amp;""),"")</f>
        <v/>
      </c>
      <c r="N240" s="115" t="str">
        <f>IF(A240&lt;&gt;"",SUMIFS(deployment!$M$4:$M$1002, deployment!$D$4:$D$1002,"="&amp;A240, deployment!$D$4:$D$1002,"&lt;&gt;"&amp;"", deployment!$C$4:$C$1002, "&lt;&gt;* )")+SUMIFS(namespace!$J$4:$J$1002, namespace!$B$4:$B$1002,"="&amp;A240, namespace!$B$4:$B$1002,"&lt;&gt;"&amp;""),"")</f>
        <v/>
      </c>
      <c r="O240" s="116" t="str">
        <f t="shared" si="43"/>
        <v/>
      </c>
      <c r="P240" s="63"/>
      <c r="Q240" s="164" t="str">
        <f t="shared" si="38"/>
        <v/>
      </c>
      <c r="R240" s="60" t="str">
        <f t="shared" si="39"/>
        <v/>
      </c>
      <c r="S240" s="60" t="str">
        <f t="shared" si="40"/>
        <v/>
      </c>
      <c r="T240" s="61" t="str">
        <f t="shared" si="41"/>
        <v/>
      </c>
      <c r="U240" s="61" t="str">
        <f t="shared" si="42"/>
        <v/>
      </c>
      <c r="V240" s="183" t="str">
        <f t="shared" si="44"/>
        <v/>
      </c>
      <c r="W240" s="183" t="str">
        <f t="shared" si="45"/>
        <v/>
      </c>
      <c r="X240" s="61" t="str">
        <f t="shared" si="46"/>
        <v/>
      </c>
      <c r="Y240" s="61" t="str">
        <f t="shared" si="47"/>
        <v/>
      </c>
      <c r="Z240" s="118" t="str">
        <f t="shared" si="48"/>
        <v/>
      </c>
      <c r="AA240" s="62" t="str">
        <f t="shared" si="49"/>
        <v/>
      </c>
      <c r="AB240" s="119" t="str">
        <f>IF(A240&lt;&gt;"", IF(P240&lt;&gt;0,SUMIFS(node!$J$2:$J$1000, node!$C$2:$C$1000,"="&amp;A240)/P240,0), "")</f>
        <v/>
      </c>
      <c r="AC240" s="81" t="str">
        <f>IF(A240&lt;&gt;"", IF(P240&lt;&gt;0,SUMIFS(node!$K$2:$K$1000, node!$C$2:$C$1000,"="&amp;A240)/P240,0), "")</f>
        <v/>
      </c>
      <c r="AD240" s="82" t="str">
        <f>IF(A240&lt;&gt;"", SUMIFS(node!$L$2:$L$1000, node!$C$2:$C$1000,"="&amp;A240), "")</f>
        <v/>
      </c>
      <c r="AE240" s="87" t="str">
        <f>IF(A240&lt;&gt;"", SUMIFS(node!$M$2:$M$1000, node!$C$2:$C$1000,"="&amp;A240), "")</f>
        <v/>
      </c>
    </row>
    <row r="241" spans="1:31" ht="15.75" customHeight="1" x14ac:dyDescent="0.25">
      <c r="A241" s="71" t="str">
        <f>IF(ISNONTEXT(node_raw[[#This Row],[Column2]]), "", node_raw[[#This Row],[Column2]])</f>
        <v/>
      </c>
      <c r="B241" s="108" t="str">
        <f>IF(A241&lt;&gt;"", VLOOKUP(A241, node!$C$2:$D$1000, 2, FALSE), "")</f>
        <v/>
      </c>
      <c r="C241" s="109" t="str">
        <f>IF(A241&lt;&gt;"", VLOOKUP(A241, node!$C$2:$E$1000, 3, FALSE), "")</f>
        <v/>
      </c>
      <c r="D241" s="110" t="str">
        <f>IF(A241&lt;&gt;"",COUNTIFS(node!$C$2:$C$1000,"="&amp;A241, node!$C$2:$C$1000,"&lt;&gt;"&amp;""),"")</f>
        <v/>
      </c>
      <c r="E241" s="111" t="str">
        <f>IF(A241&lt;&gt;"",SUMIFS(node!$F$2:$F$500, node!$C$2:$C$500,"="&amp;A241, node!$C$2:$C$500,"&lt;&gt;"&amp;"")/(B241*D241),"")</f>
        <v/>
      </c>
      <c r="F241" s="112" t="str">
        <f>IF(A241&lt;&gt;"",SUMIFS(node!$H$2:$H$500, node!$C$2:$C$500,"="&amp;A241, node!$C$2:$C$500,"&lt;&gt;"&amp;"")/(C241*D241),"")</f>
        <v/>
      </c>
      <c r="G241" s="179" t="str">
        <f>IF(A241&lt;&gt;"",SUMIFS(deployment!$F$4:$F$502, deployment!$D$4:$D$502,"="&amp;A241, deployment!$D$4:$D$502,"&lt;&gt;"&amp;""),"")</f>
        <v/>
      </c>
      <c r="H241" s="181" t="str">
        <f>IF(A241&lt;&gt;"",SUMIFS(deployment!$G$4:$G$502, deployment!$D$4:$D$502,"="&amp;A241, deployment!$D$4:$D$502,"&lt;&gt;"&amp;""),"")</f>
        <v/>
      </c>
      <c r="I241" s="113" t="str">
        <f>IF(A241&lt;&gt;"",SUMIFS(deployment!$H$4:$H$502, deployment!$D$4:$D$502,"="&amp;A241, deployment!$D$4:$D$502,"&lt;&gt;"&amp;""),"")</f>
        <v/>
      </c>
      <c r="J241" s="114" t="str">
        <f>IF(A241&lt;&gt;"",SUMIFS(deployment!$I$4:$I$502, deployment!$D$4:$D$502,"="&amp;A241, deployment!$D$4:$D$502,"&lt;&gt;"&amp;""),"")</f>
        <v/>
      </c>
      <c r="K241" s="182" t="str">
        <f>IF(A241&lt;&gt;"",SUMIFS(deployment!$J$4:$J$1002, deployment!$D$4:$D$1002,"="&amp;A241, deployment!$D$4:$D$1002,"&lt;&gt;"&amp;"", deployment!$C$4:$C$1002, "&lt;&gt;* )")+SUMIFS(namespace!$G$4:$G$1002, namespace!$B$4:$B$1002,"="&amp;A241, namespace!$B$4:$B$1002,"&lt;&gt;"&amp;""),"")</f>
        <v/>
      </c>
      <c r="L241" s="182" t="str">
        <f>IF(A241&lt;&gt;"",SUMIFS(deployment!$K$4:$K$1002, deployment!$D$4:$D$1002,"="&amp;A241, deployment!$D$4:$D$1002,"&lt;&gt;"&amp;"", deployment!$C$4:$C$1002, "&lt;&gt;* )")+SUMIFS(namespace!$H$4:$H$1002, namespace!$B$4:$B$1002,"="&amp;A241, namespace!$B$4:$B$1002,"&lt;&gt;"&amp;""),"")</f>
        <v/>
      </c>
      <c r="M241" s="115" t="str">
        <f>IF(A241&lt;&gt;"",SUMIFS(deployment!$L$4:$L$1002, deployment!$D$4:$D$1002,"="&amp;A241, deployment!$D$4:$D$1002,"&lt;&gt;"&amp;"", deployment!$C$4:$C$1002, "&lt;&gt;* )")+SUMIFS(namespace!$I$4:$I$1002, namespace!$B$4:$B$1002,"="&amp;A241, namespace!$B$4:$B$1002,"&lt;&gt;"&amp;""),"")</f>
        <v/>
      </c>
      <c r="N241" s="115" t="str">
        <f>IF(A241&lt;&gt;"",SUMIFS(deployment!$M$4:$M$1002, deployment!$D$4:$D$1002,"="&amp;A241, deployment!$D$4:$D$1002,"&lt;&gt;"&amp;"", deployment!$C$4:$C$1002, "&lt;&gt;* )")+SUMIFS(namespace!$J$4:$J$1002, namespace!$B$4:$B$1002,"="&amp;A241, namespace!$B$4:$B$1002,"&lt;&gt;"&amp;""),"")</f>
        <v/>
      </c>
      <c r="O241" s="116" t="str">
        <f t="shared" si="43"/>
        <v/>
      </c>
      <c r="P241" s="63"/>
      <c r="Q241" s="164" t="str">
        <f t="shared" si="38"/>
        <v/>
      </c>
      <c r="R241" s="60" t="str">
        <f t="shared" si="39"/>
        <v/>
      </c>
      <c r="S241" s="60" t="str">
        <f t="shared" si="40"/>
        <v/>
      </c>
      <c r="T241" s="61" t="str">
        <f t="shared" si="41"/>
        <v/>
      </c>
      <c r="U241" s="61" t="str">
        <f t="shared" si="42"/>
        <v/>
      </c>
      <c r="V241" s="183" t="str">
        <f t="shared" si="44"/>
        <v/>
      </c>
      <c r="W241" s="183" t="str">
        <f t="shared" si="45"/>
        <v/>
      </c>
      <c r="X241" s="61" t="str">
        <f t="shared" si="46"/>
        <v/>
      </c>
      <c r="Y241" s="61" t="str">
        <f t="shared" si="47"/>
        <v/>
      </c>
      <c r="Z241" s="118" t="str">
        <f t="shared" si="48"/>
        <v/>
      </c>
      <c r="AA241" s="62" t="str">
        <f t="shared" si="49"/>
        <v/>
      </c>
      <c r="AB241" s="119" t="str">
        <f>IF(A241&lt;&gt;"", IF(P241&lt;&gt;0,SUMIFS(node!$J$2:$J$1000, node!$C$2:$C$1000,"="&amp;A241)/P241,0), "")</f>
        <v/>
      </c>
      <c r="AC241" s="81" t="str">
        <f>IF(A241&lt;&gt;"", IF(P241&lt;&gt;0,SUMIFS(node!$K$2:$K$1000, node!$C$2:$C$1000,"="&amp;A241)/P241,0), "")</f>
        <v/>
      </c>
      <c r="AD241" s="82" t="str">
        <f>IF(A241&lt;&gt;"", SUMIFS(node!$L$2:$L$1000, node!$C$2:$C$1000,"="&amp;A241), "")</f>
        <v/>
      </c>
      <c r="AE241" s="87" t="str">
        <f>IF(A241&lt;&gt;"", SUMIFS(node!$M$2:$M$1000, node!$C$2:$C$1000,"="&amp;A241), "")</f>
        <v/>
      </c>
    </row>
    <row r="242" spans="1:31" ht="15.75" customHeight="1" x14ac:dyDescent="0.25">
      <c r="A242" s="71" t="str">
        <f>IF(ISNONTEXT(node_raw[[#This Row],[Column2]]), "", node_raw[[#This Row],[Column2]])</f>
        <v/>
      </c>
      <c r="B242" s="108" t="str">
        <f>IF(A242&lt;&gt;"", VLOOKUP(A242, node!$C$2:$D$1000, 2, FALSE), "")</f>
        <v/>
      </c>
      <c r="C242" s="109" t="str">
        <f>IF(A242&lt;&gt;"", VLOOKUP(A242, node!$C$2:$E$1000, 3, FALSE), "")</f>
        <v/>
      </c>
      <c r="D242" s="110" t="str">
        <f>IF(A242&lt;&gt;"",COUNTIFS(node!$C$2:$C$1000,"="&amp;A242, node!$C$2:$C$1000,"&lt;&gt;"&amp;""),"")</f>
        <v/>
      </c>
      <c r="E242" s="111" t="str">
        <f>IF(A242&lt;&gt;"",SUMIFS(node!$F$2:$F$500, node!$C$2:$C$500,"="&amp;A242, node!$C$2:$C$500,"&lt;&gt;"&amp;"")/(B242*D242),"")</f>
        <v/>
      </c>
      <c r="F242" s="112" t="str">
        <f>IF(A242&lt;&gt;"",SUMIFS(node!$H$2:$H$500, node!$C$2:$C$500,"="&amp;A242, node!$C$2:$C$500,"&lt;&gt;"&amp;"")/(C242*D242),"")</f>
        <v/>
      </c>
      <c r="G242" s="179" t="str">
        <f>IF(A242&lt;&gt;"",SUMIFS(deployment!$F$4:$F$502, deployment!$D$4:$D$502,"="&amp;A242, deployment!$D$4:$D$502,"&lt;&gt;"&amp;""),"")</f>
        <v/>
      </c>
      <c r="H242" s="181" t="str">
        <f>IF(A242&lt;&gt;"",SUMIFS(deployment!$G$4:$G$502, deployment!$D$4:$D$502,"="&amp;A242, deployment!$D$4:$D$502,"&lt;&gt;"&amp;""),"")</f>
        <v/>
      </c>
      <c r="I242" s="113" t="str">
        <f>IF(A242&lt;&gt;"",SUMIFS(deployment!$H$4:$H$502, deployment!$D$4:$D$502,"="&amp;A242, deployment!$D$4:$D$502,"&lt;&gt;"&amp;""),"")</f>
        <v/>
      </c>
      <c r="J242" s="114" t="str">
        <f>IF(A242&lt;&gt;"",SUMIFS(deployment!$I$4:$I$502, deployment!$D$4:$D$502,"="&amp;A242, deployment!$D$4:$D$502,"&lt;&gt;"&amp;""),"")</f>
        <v/>
      </c>
      <c r="K242" s="182" t="str">
        <f>IF(A242&lt;&gt;"",SUMIFS(deployment!$J$4:$J$1002, deployment!$D$4:$D$1002,"="&amp;A242, deployment!$D$4:$D$1002,"&lt;&gt;"&amp;"", deployment!$C$4:$C$1002, "&lt;&gt;* )")+SUMIFS(namespace!$G$4:$G$1002, namespace!$B$4:$B$1002,"="&amp;A242, namespace!$B$4:$B$1002,"&lt;&gt;"&amp;""),"")</f>
        <v/>
      </c>
      <c r="L242" s="182" t="str">
        <f>IF(A242&lt;&gt;"",SUMIFS(deployment!$K$4:$K$1002, deployment!$D$4:$D$1002,"="&amp;A242, deployment!$D$4:$D$1002,"&lt;&gt;"&amp;"", deployment!$C$4:$C$1002, "&lt;&gt;* )")+SUMIFS(namespace!$H$4:$H$1002, namespace!$B$4:$B$1002,"="&amp;A242, namespace!$B$4:$B$1002,"&lt;&gt;"&amp;""),"")</f>
        <v/>
      </c>
      <c r="M242" s="115" t="str">
        <f>IF(A242&lt;&gt;"",SUMIFS(deployment!$L$4:$L$1002, deployment!$D$4:$D$1002,"="&amp;A242, deployment!$D$4:$D$1002,"&lt;&gt;"&amp;"", deployment!$C$4:$C$1002, "&lt;&gt;* )")+SUMIFS(namespace!$I$4:$I$1002, namespace!$B$4:$B$1002,"="&amp;A242, namespace!$B$4:$B$1002,"&lt;&gt;"&amp;""),"")</f>
        <v/>
      </c>
      <c r="N242" s="115" t="str">
        <f>IF(A242&lt;&gt;"",SUMIFS(deployment!$M$4:$M$1002, deployment!$D$4:$D$1002,"="&amp;A242, deployment!$D$4:$D$1002,"&lt;&gt;"&amp;"", deployment!$C$4:$C$1002, "&lt;&gt;* )")+SUMIFS(namespace!$J$4:$J$1002, namespace!$B$4:$B$1002,"="&amp;A242, namespace!$B$4:$B$1002,"&lt;&gt;"&amp;""),"")</f>
        <v/>
      </c>
      <c r="O242" s="116" t="str">
        <f t="shared" si="43"/>
        <v/>
      </c>
      <c r="P242" s="63"/>
      <c r="Q242" s="164" t="str">
        <f t="shared" si="38"/>
        <v/>
      </c>
      <c r="R242" s="60" t="str">
        <f t="shared" si="39"/>
        <v/>
      </c>
      <c r="S242" s="60" t="str">
        <f t="shared" si="40"/>
        <v/>
      </c>
      <c r="T242" s="61" t="str">
        <f t="shared" si="41"/>
        <v/>
      </c>
      <c r="U242" s="61" t="str">
        <f t="shared" si="42"/>
        <v/>
      </c>
      <c r="V242" s="183" t="str">
        <f t="shared" si="44"/>
        <v/>
      </c>
      <c r="W242" s="183" t="str">
        <f t="shared" si="45"/>
        <v/>
      </c>
      <c r="X242" s="61" t="str">
        <f t="shared" si="46"/>
        <v/>
      </c>
      <c r="Y242" s="61" t="str">
        <f t="shared" si="47"/>
        <v/>
      </c>
      <c r="Z242" s="118" t="str">
        <f t="shared" si="48"/>
        <v/>
      </c>
      <c r="AA242" s="62" t="str">
        <f t="shared" si="49"/>
        <v/>
      </c>
      <c r="AB242" s="119" t="str">
        <f>IF(A242&lt;&gt;"", IF(P242&lt;&gt;0,SUMIFS(node!$J$2:$J$1000, node!$C$2:$C$1000,"="&amp;A242)/P242,0), "")</f>
        <v/>
      </c>
      <c r="AC242" s="81" t="str">
        <f>IF(A242&lt;&gt;"", IF(P242&lt;&gt;0,SUMIFS(node!$K$2:$K$1000, node!$C$2:$C$1000,"="&amp;A242)/P242,0), "")</f>
        <v/>
      </c>
      <c r="AD242" s="82" t="str">
        <f>IF(A242&lt;&gt;"", SUMIFS(node!$L$2:$L$1000, node!$C$2:$C$1000,"="&amp;A242), "")</f>
        <v/>
      </c>
      <c r="AE242" s="87" t="str">
        <f>IF(A242&lt;&gt;"", SUMIFS(node!$M$2:$M$1000, node!$C$2:$C$1000,"="&amp;A242), "")</f>
        <v/>
      </c>
    </row>
    <row r="243" spans="1:31" ht="15.75" customHeight="1" x14ac:dyDescent="0.25">
      <c r="A243" s="71" t="str">
        <f>IF(ISNONTEXT(node_raw[[#This Row],[Column2]]), "", node_raw[[#This Row],[Column2]])</f>
        <v/>
      </c>
      <c r="B243" s="108" t="str">
        <f>IF(A243&lt;&gt;"", VLOOKUP(A243, node!$C$2:$D$1000, 2, FALSE), "")</f>
        <v/>
      </c>
      <c r="C243" s="109" t="str">
        <f>IF(A243&lt;&gt;"", VLOOKUP(A243, node!$C$2:$E$1000, 3, FALSE), "")</f>
        <v/>
      </c>
      <c r="D243" s="110" t="str">
        <f>IF(A243&lt;&gt;"",COUNTIFS(node!$C$2:$C$1000,"="&amp;A243, node!$C$2:$C$1000,"&lt;&gt;"&amp;""),"")</f>
        <v/>
      </c>
      <c r="E243" s="111" t="str">
        <f>IF(A243&lt;&gt;"",SUMIFS(node!$F$2:$F$500, node!$C$2:$C$500,"="&amp;A243, node!$C$2:$C$500,"&lt;&gt;"&amp;"")/(B243*D243),"")</f>
        <v/>
      </c>
      <c r="F243" s="112" t="str">
        <f>IF(A243&lt;&gt;"",SUMIFS(node!$H$2:$H$500, node!$C$2:$C$500,"="&amp;A243, node!$C$2:$C$500,"&lt;&gt;"&amp;"")/(C243*D243),"")</f>
        <v/>
      </c>
      <c r="G243" s="179" t="str">
        <f>IF(A243&lt;&gt;"",SUMIFS(deployment!$F$4:$F$502, deployment!$D$4:$D$502,"="&amp;A243, deployment!$D$4:$D$502,"&lt;&gt;"&amp;""),"")</f>
        <v/>
      </c>
      <c r="H243" s="181" t="str">
        <f>IF(A243&lt;&gt;"",SUMIFS(deployment!$G$4:$G$502, deployment!$D$4:$D$502,"="&amp;A243, deployment!$D$4:$D$502,"&lt;&gt;"&amp;""),"")</f>
        <v/>
      </c>
      <c r="I243" s="113" t="str">
        <f>IF(A243&lt;&gt;"",SUMIFS(deployment!$H$4:$H$502, deployment!$D$4:$D$502,"="&amp;A243, deployment!$D$4:$D$502,"&lt;&gt;"&amp;""),"")</f>
        <v/>
      </c>
      <c r="J243" s="114" t="str">
        <f>IF(A243&lt;&gt;"",SUMIFS(deployment!$I$4:$I$502, deployment!$D$4:$D$502,"="&amp;A243, deployment!$D$4:$D$502,"&lt;&gt;"&amp;""),"")</f>
        <v/>
      </c>
      <c r="K243" s="182" t="str">
        <f>IF(A243&lt;&gt;"",SUMIFS(deployment!$J$4:$J$1002, deployment!$D$4:$D$1002,"="&amp;A243, deployment!$D$4:$D$1002,"&lt;&gt;"&amp;"", deployment!$C$4:$C$1002, "&lt;&gt;* )")+SUMIFS(namespace!$G$4:$G$1002, namespace!$B$4:$B$1002,"="&amp;A243, namespace!$B$4:$B$1002,"&lt;&gt;"&amp;""),"")</f>
        <v/>
      </c>
      <c r="L243" s="182" t="str">
        <f>IF(A243&lt;&gt;"",SUMIFS(deployment!$K$4:$K$1002, deployment!$D$4:$D$1002,"="&amp;A243, deployment!$D$4:$D$1002,"&lt;&gt;"&amp;"", deployment!$C$4:$C$1002, "&lt;&gt;* )")+SUMIFS(namespace!$H$4:$H$1002, namespace!$B$4:$B$1002,"="&amp;A243, namespace!$B$4:$B$1002,"&lt;&gt;"&amp;""),"")</f>
        <v/>
      </c>
      <c r="M243" s="115" t="str">
        <f>IF(A243&lt;&gt;"",SUMIFS(deployment!$L$4:$L$1002, deployment!$D$4:$D$1002,"="&amp;A243, deployment!$D$4:$D$1002,"&lt;&gt;"&amp;"", deployment!$C$4:$C$1002, "&lt;&gt;* )")+SUMIFS(namespace!$I$4:$I$1002, namespace!$B$4:$B$1002,"="&amp;A243, namespace!$B$4:$B$1002,"&lt;&gt;"&amp;""),"")</f>
        <v/>
      </c>
      <c r="N243" s="115" t="str">
        <f>IF(A243&lt;&gt;"",SUMIFS(deployment!$M$4:$M$1002, deployment!$D$4:$D$1002,"="&amp;A243, deployment!$D$4:$D$1002,"&lt;&gt;"&amp;"", deployment!$C$4:$C$1002, "&lt;&gt;* )")+SUMIFS(namespace!$J$4:$J$1002, namespace!$B$4:$B$1002,"="&amp;A243, namespace!$B$4:$B$1002,"&lt;&gt;"&amp;""),"")</f>
        <v/>
      </c>
      <c r="O243" s="116" t="str">
        <f t="shared" si="43"/>
        <v/>
      </c>
      <c r="P243" s="63"/>
      <c r="Q243" s="164" t="str">
        <f t="shared" si="38"/>
        <v/>
      </c>
      <c r="R243" s="60" t="str">
        <f t="shared" si="39"/>
        <v/>
      </c>
      <c r="S243" s="60" t="str">
        <f t="shared" si="40"/>
        <v/>
      </c>
      <c r="T243" s="61" t="str">
        <f t="shared" si="41"/>
        <v/>
      </c>
      <c r="U243" s="61" t="str">
        <f t="shared" si="42"/>
        <v/>
      </c>
      <c r="V243" s="183" t="str">
        <f t="shared" si="44"/>
        <v/>
      </c>
      <c r="W243" s="183" t="str">
        <f t="shared" si="45"/>
        <v/>
      </c>
      <c r="X243" s="61" t="str">
        <f t="shared" si="46"/>
        <v/>
      </c>
      <c r="Y243" s="61" t="str">
        <f t="shared" si="47"/>
        <v/>
      </c>
      <c r="Z243" s="118" t="str">
        <f t="shared" si="48"/>
        <v/>
      </c>
      <c r="AA243" s="62" t="str">
        <f t="shared" si="49"/>
        <v/>
      </c>
      <c r="AB243" s="119" t="str">
        <f>IF(A243&lt;&gt;"", IF(P243&lt;&gt;0,SUMIFS(node!$J$2:$J$1000, node!$C$2:$C$1000,"="&amp;A243)/P243,0), "")</f>
        <v/>
      </c>
      <c r="AC243" s="81" t="str">
        <f>IF(A243&lt;&gt;"", IF(P243&lt;&gt;0,SUMIFS(node!$K$2:$K$1000, node!$C$2:$C$1000,"="&amp;A243)/P243,0), "")</f>
        <v/>
      </c>
      <c r="AD243" s="82" t="str">
        <f>IF(A243&lt;&gt;"", SUMIFS(node!$L$2:$L$1000, node!$C$2:$C$1000,"="&amp;A243), "")</f>
        <v/>
      </c>
      <c r="AE243" s="87" t="str">
        <f>IF(A243&lt;&gt;"", SUMIFS(node!$M$2:$M$1000, node!$C$2:$C$1000,"="&amp;A243), "")</f>
        <v/>
      </c>
    </row>
    <row r="244" spans="1:31" ht="15.75" customHeight="1" x14ac:dyDescent="0.25">
      <c r="A244" s="71" t="str">
        <f>IF(ISNONTEXT(node_raw[[#This Row],[Column2]]), "", node_raw[[#This Row],[Column2]])</f>
        <v/>
      </c>
      <c r="B244" s="108" t="str">
        <f>IF(A244&lt;&gt;"", VLOOKUP(A244, node!$C$2:$D$1000, 2, FALSE), "")</f>
        <v/>
      </c>
      <c r="C244" s="109" t="str">
        <f>IF(A244&lt;&gt;"", VLOOKUP(A244, node!$C$2:$E$1000, 3, FALSE), "")</f>
        <v/>
      </c>
      <c r="D244" s="110" t="str">
        <f>IF(A244&lt;&gt;"",COUNTIFS(node!$C$2:$C$1000,"="&amp;A244, node!$C$2:$C$1000,"&lt;&gt;"&amp;""),"")</f>
        <v/>
      </c>
      <c r="E244" s="111" t="str">
        <f>IF(A244&lt;&gt;"",SUMIFS(node!$F$2:$F$500, node!$C$2:$C$500,"="&amp;A244, node!$C$2:$C$500,"&lt;&gt;"&amp;"")/(B244*D244),"")</f>
        <v/>
      </c>
      <c r="F244" s="112" t="str">
        <f>IF(A244&lt;&gt;"",SUMIFS(node!$H$2:$H$500, node!$C$2:$C$500,"="&amp;A244, node!$C$2:$C$500,"&lt;&gt;"&amp;"")/(C244*D244),"")</f>
        <v/>
      </c>
      <c r="G244" s="179" t="str">
        <f>IF(A244&lt;&gt;"",SUMIFS(deployment!$F$4:$F$502, deployment!$D$4:$D$502,"="&amp;A244, deployment!$D$4:$D$502,"&lt;&gt;"&amp;""),"")</f>
        <v/>
      </c>
      <c r="H244" s="181" t="str">
        <f>IF(A244&lt;&gt;"",SUMIFS(deployment!$G$4:$G$502, deployment!$D$4:$D$502,"="&amp;A244, deployment!$D$4:$D$502,"&lt;&gt;"&amp;""),"")</f>
        <v/>
      </c>
      <c r="I244" s="113" t="str">
        <f>IF(A244&lt;&gt;"",SUMIFS(deployment!$H$4:$H$502, deployment!$D$4:$D$502,"="&amp;A244, deployment!$D$4:$D$502,"&lt;&gt;"&amp;""),"")</f>
        <v/>
      </c>
      <c r="J244" s="114" t="str">
        <f>IF(A244&lt;&gt;"",SUMIFS(deployment!$I$4:$I$502, deployment!$D$4:$D$502,"="&amp;A244, deployment!$D$4:$D$502,"&lt;&gt;"&amp;""),"")</f>
        <v/>
      </c>
      <c r="K244" s="182" t="str">
        <f>IF(A244&lt;&gt;"",SUMIFS(deployment!$J$4:$J$1002, deployment!$D$4:$D$1002,"="&amp;A244, deployment!$D$4:$D$1002,"&lt;&gt;"&amp;"", deployment!$C$4:$C$1002, "&lt;&gt;* )")+SUMIFS(namespace!$G$4:$G$1002, namespace!$B$4:$B$1002,"="&amp;A244, namespace!$B$4:$B$1002,"&lt;&gt;"&amp;""),"")</f>
        <v/>
      </c>
      <c r="L244" s="182" t="str">
        <f>IF(A244&lt;&gt;"",SUMIFS(deployment!$K$4:$K$1002, deployment!$D$4:$D$1002,"="&amp;A244, deployment!$D$4:$D$1002,"&lt;&gt;"&amp;"", deployment!$C$4:$C$1002, "&lt;&gt;* )")+SUMIFS(namespace!$H$4:$H$1002, namespace!$B$4:$B$1002,"="&amp;A244, namespace!$B$4:$B$1002,"&lt;&gt;"&amp;""),"")</f>
        <v/>
      </c>
      <c r="M244" s="115" t="str">
        <f>IF(A244&lt;&gt;"",SUMIFS(deployment!$L$4:$L$1002, deployment!$D$4:$D$1002,"="&amp;A244, deployment!$D$4:$D$1002,"&lt;&gt;"&amp;"", deployment!$C$4:$C$1002, "&lt;&gt;* )")+SUMIFS(namespace!$I$4:$I$1002, namespace!$B$4:$B$1002,"="&amp;A244, namespace!$B$4:$B$1002,"&lt;&gt;"&amp;""),"")</f>
        <v/>
      </c>
      <c r="N244" s="115" t="str">
        <f>IF(A244&lt;&gt;"",SUMIFS(deployment!$M$4:$M$1002, deployment!$D$4:$D$1002,"="&amp;A244, deployment!$D$4:$D$1002,"&lt;&gt;"&amp;"", deployment!$C$4:$C$1002, "&lt;&gt;* )")+SUMIFS(namespace!$J$4:$J$1002, namespace!$B$4:$B$1002,"="&amp;A244, namespace!$B$4:$B$1002,"&lt;&gt;"&amp;""),"")</f>
        <v/>
      </c>
      <c r="O244" s="116" t="str">
        <f t="shared" si="43"/>
        <v/>
      </c>
      <c r="P244" s="63"/>
      <c r="Q244" s="164" t="str">
        <f t="shared" si="38"/>
        <v/>
      </c>
      <c r="R244" s="60" t="str">
        <f t="shared" si="39"/>
        <v/>
      </c>
      <c r="S244" s="60" t="str">
        <f t="shared" si="40"/>
        <v/>
      </c>
      <c r="T244" s="61" t="str">
        <f t="shared" si="41"/>
        <v/>
      </c>
      <c r="U244" s="61" t="str">
        <f t="shared" si="42"/>
        <v/>
      </c>
      <c r="V244" s="183" t="str">
        <f t="shared" si="44"/>
        <v/>
      </c>
      <c r="W244" s="183" t="str">
        <f t="shared" si="45"/>
        <v/>
      </c>
      <c r="X244" s="61" t="str">
        <f t="shared" si="46"/>
        <v/>
      </c>
      <c r="Y244" s="61" t="str">
        <f t="shared" si="47"/>
        <v/>
      </c>
      <c r="Z244" s="118" t="str">
        <f t="shared" si="48"/>
        <v/>
      </c>
      <c r="AA244" s="62" t="str">
        <f t="shared" si="49"/>
        <v/>
      </c>
      <c r="AB244" s="119" t="str">
        <f>IF(A244&lt;&gt;"", IF(P244&lt;&gt;0,SUMIFS(node!$J$2:$J$1000, node!$C$2:$C$1000,"="&amp;A244)/P244,0), "")</f>
        <v/>
      </c>
      <c r="AC244" s="81" t="str">
        <f>IF(A244&lt;&gt;"", IF(P244&lt;&gt;0,SUMIFS(node!$K$2:$K$1000, node!$C$2:$C$1000,"="&amp;A244)/P244,0), "")</f>
        <v/>
      </c>
      <c r="AD244" s="82" t="str">
        <f>IF(A244&lt;&gt;"", SUMIFS(node!$L$2:$L$1000, node!$C$2:$C$1000,"="&amp;A244), "")</f>
        <v/>
      </c>
      <c r="AE244" s="87" t="str">
        <f>IF(A244&lt;&gt;"", SUMIFS(node!$M$2:$M$1000, node!$C$2:$C$1000,"="&amp;A244), "")</f>
        <v/>
      </c>
    </row>
    <row r="245" spans="1:31" ht="15.75" customHeight="1" x14ac:dyDescent="0.25">
      <c r="A245" s="71" t="str">
        <f>IF(ISNONTEXT(node_raw[[#This Row],[Column2]]), "", node_raw[[#This Row],[Column2]])</f>
        <v/>
      </c>
      <c r="B245" s="108" t="str">
        <f>IF(A245&lt;&gt;"", VLOOKUP(A245, node!$C$2:$D$1000, 2, FALSE), "")</f>
        <v/>
      </c>
      <c r="C245" s="109" t="str">
        <f>IF(A245&lt;&gt;"", VLOOKUP(A245, node!$C$2:$E$1000, 3, FALSE), "")</f>
        <v/>
      </c>
      <c r="D245" s="110" t="str">
        <f>IF(A245&lt;&gt;"",COUNTIFS(node!$C$2:$C$1000,"="&amp;A245, node!$C$2:$C$1000,"&lt;&gt;"&amp;""),"")</f>
        <v/>
      </c>
      <c r="E245" s="111" t="str">
        <f>IF(A245&lt;&gt;"",SUMIFS(node!$F$2:$F$500, node!$C$2:$C$500,"="&amp;A245, node!$C$2:$C$500,"&lt;&gt;"&amp;"")/(B245*D245),"")</f>
        <v/>
      </c>
      <c r="F245" s="112" t="str">
        <f>IF(A245&lt;&gt;"",SUMIFS(node!$H$2:$H$500, node!$C$2:$C$500,"="&amp;A245, node!$C$2:$C$500,"&lt;&gt;"&amp;"")/(C245*D245),"")</f>
        <v/>
      </c>
      <c r="G245" s="179" t="str">
        <f>IF(A245&lt;&gt;"",SUMIFS(deployment!$F$4:$F$502, deployment!$D$4:$D$502,"="&amp;A245, deployment!$D$4:$D$502,"&lt;&gt;"&amp;""),"")</f>
        <v/>
      </c>
      <c r="H245" s="181" t="str">
        <f>IF(A245&lt;&gt;"",SUMIFS(deployment!$G$4:$G$502, deployment!$D$4:$D$502,"="&amp;A245, deployment!$D$4:$D$502,"&lt;&gt;"&amp;""),"")</f>
        <v/>
      </c>
      <c r="I245" s="113" t="str">
        <f>IF(A245&lt;&gt;"",SUMIFS(deployment!$H$4:$H$502, deployment!$D$4:$D$502,"="&amp;A245, deployment!$D$4:$D$502,"&lt;&gt;"&amp;""),"")</f>
        <v/>
      </c>
      <c r="J245" s="114" t="str">
        <f>IF(A245&lt;&gt;"",SUMIFS(deployment!$I$4:$I$502, deployment!$D$4:$D$502,"="&amp;A245, deployment!$D$4:$D$502,"&lt;&gt;"&amp;""),"")</f>
        <v/>
      </c>
      <c r="K245" s="182" t="str">
        <f>IF(A245&lt;&gt;"",SUMIFS(deployment!$J$4:$J$1002, deployment!$D$4:$D$1002,"="&amp;A245, deployment!$D$4:$D$1002,"&lt;&gt;"&amp;"", deployment!$C$4:$C$1002, "&lt;&gt;* )")+SUMIFS(namespace!$G$4:$G$1002, namespace!$B$4:$B$1002,"="&amp;A245, namespace!$B$4:$B$1002,"&lt;&gt;"&amp;""),"")</f>
        <v/>
      </c>
      <c r="L245" s="182" t="str">
        <f>IF(A245&lt;&gt;"",SUMIFS(deployment!$K$4:$K$1002, deployment!$D$4:$D$1002,"="&amp;A245, deployment!$D$4:$D$1002,"&lt;&gt;"&amp;"", deployment!$C$4:$C$1002, "&lt;&gt;* )")+SUMIFS(namespace!$H$4:$H$1002, namespace!$B$4:$B$1002,"="&amp;A245, namespace!$B$4:$B$1002,"&lt;&gt;"&amp;""),"")</f>
        <v/>
      </c>
      <c r="M245" s="115" t="str">
        <f>IF(A245&lt;&gt;"",SUMIFS(deployment!$L$4:$L$1002, deployment!$D$4:$D$1002,"="&amp;A245, deployment!$D$4:$D$1002,"&lt;&gt;"&amp;"", deployment!$C$4:$C$1002, "&lt;&gt;* )")+SUMIFS(namespace!$I$4:$I$1002, namespace!$B$4:$B$1002,"="&amp;A245, namespace!$B$4:$B$1002,"&lt;&gt;"&amp;""),"")</f>
        <v/>
      </c>
      <c r="N245" s="115" t="str">
        <f>IF(A245&lt;&gt;"",SUMIFS(deployment!$M$4:$M$1002, deployment!$D$4:$D$1002,"="&amp;A245, deployment!$D$4:$D$1002,"&lt;&gt;"&amp;"", deployment!$C$4:$C$1002, "&lt;&gt;* )")+SUMIFS(namespace!$J$4:$J$1002, namespace!$B$4:$B$1002,"="&amp;A245, namespace!$B$4:$B$1002,"&lt;&gt;"&amp;""),"")</f>
        <v/>
      </c>
      <c r="O245" s="116" t="str">
        <f t="shared" si="43"/>
        <v/>
      </c>
      <c r="P245" s="63"/>
      <c r="Q245" s="164" t="str">
        <f t="shared" si="38"/>
        <v/>
      </c>
      <c r="R245" s="60" t="str">
        <f t="shared" si="39"/>
        <v/>
      </c>
      <c r="S245" s="60" t="str">
        <f t="shared" si="40"/>
        <v/>
      </c>
      <c r="T245" s="61" t="str">
        <f t="shared" si="41"/>
        <v/>
      </c>
      <c r="U245" s="61" t="str">
        <f t="shared" si="42"/>
        <v/>
      </c>
      <c r="V245" s="183" t="str">
        <f t="shared" si="44"/>
        <v/>
      </c>
      <c r="W245" s="183" t="str">
        <f t="shared" si="45"/>
        <v/>
      </c>
      <c r="X245" s="61" t="str">
        <f t="shared" si="46"/>
        <v/>
      </c>
      <c r="Y245" s="61" t="str">
        <f t="shared" si="47"/>
        <v/>
      </c>
      <c r="Z245" s="118" t="str">
        <f t="shared" si="48"/>
        <v/>
      </c>
      <c r="AA245" s="62" t="str">
        <f t="shared" si="49"/>
        <v/>
      </c>
      <c r="AB245" s="119" t="str">
        <f>IF(A245&lt;&gt;"", IF(P245&lt;&gt;0,SUMIFS(node!$J$2:$J$1000, node!$C$2:$C$1000,"="&amp;A245)/P245,0), "")</f>
        <v/>
      </c>
      <c r="AC245" s="81" t="str">
        <f>IF(A245&lt;&gt;"", IF(P245&lt;&gt;0,SUMIFS(node!$K$2:$K$1000, node!$C$2:$C$1000,"="&amp;A245)/P245,0), "")</f>
        <v/>
      </c>
      <c r="AD245" s="82" t="str">
        <f>IF(A245&lt;&gt;"", SUMIFS(node!$L$2:$L$1000, node!$C$2:$C$1000,"="&amp;A245), "")</f>
        <v/>
      </c>
      <c r="AE245" s="87" t="str">
        <f>IF(A245&lt;&gt;"", SUMIFS(node!$M$2:$M$1000, node!$C$2:$C$1000,"="&amp;A245), "")</f>
        <v/>
      </c>
    </row>
    <row r="246" spans="1:31" ht="15.75" customHeight="1" x14ac:dyDescent="0.25">
      <c r="A246" s="71" t="str">
        <f>IF(ISNONTEXT(node_raw[[#This Row],[Column2]]), "", node_raw[[#This Row],[Column2]])</f>
        <v/>
      </c>
      <c r="B246" s="108" t="str">
        <f>IF(A246&lt;&gt;"", VLOOKUP(A246, node!$C$2:$D$1000, 2, FALSE), "")</f>
        <v/>
      </c>
      <c r="C246" s="109" t="str">
        <f>IF(A246&lt;&gt;"", VLOOKUP(A246, node!$C$2:$E$1000, 3, FALSE), "")</f>
        <v/>
      </c>
      <c r="D246" s="110" t="str">
        <f>IF(A246&lt;&gt;"",COUNTIFS(node!$C$2:$C$1000,"="&amp;A246, node!$C$2:$C$1000,"&lt;&gt;"&amp;""),"")</f>
        <v/>
      </c>
      <c r="E246" s="111" t="str">
        <f>IF(A246&lt;&gt;"",SUMIFS(node!$F$2:$F$500, node!$C$2:$C$500,"="&amp;A246, node!$C$2:$C$500,"&lt;&gt;"&amp;"")/(B246*D246),"")</f>
        <v/>
      </c>
      <c r="F246" s="112" t="str">
        <f>IF(A246&lt;&gt;"",SUMIFS(node!$H$2:$H$500, node!$C$2:$C$500,"="&amp;A246, node!$C$2:$C$500,"&lt;&gt;"&amp;"")/(C246*D246),"")</f>
        <v/>
      </c>
      <c r="G246" s="179" t="str">
        <f>IF(A246&lt;&gt;"",SUMIFS(deployment!$F$4:$F$502, deployment!$D$4:$D$502,"="&amp;A246, deployment!$D$4:$D$502,"&lt;&gt;"&amp;""),"")</f>
        <v/>
      </c>
      <c r="H246" s="181" t="str">
        <f>IF(A246&lt;&gt;"",SUMIFS(deployment!$G$4:$G$502, deployment!$D$4:$D$502,"="&amp;A246, deployment!$D$4:$D$502,"&lt;&gt;"&amp;""),"")</f>
        <v/>
      </c>
      <c r="I246" s="113" t="str">
        <f>IF(A246&lt;&gt;"",SUMIFS(deployment!$H$4:$H$502, deployment!$D$4:$D$502,"="&amp;A246, deployment!$D$4:$D$502,"&lt;&gt;"&amp;""),"")</f>
        <v/>
      </c>
      <c r="J246" s="114" t="str">
        <f>IF(A246&lt;&gt;"",SUMIFS(deployment!$I$4:$I$502, deployment!$D$4:$D$502,"="&amp;A246, deployment!$D$4:$D$502,"&lt;&gt;"&amp;""),"")</f>
        <v/>
      </c>
      <c r="K246" s="182" t="str">
        <f>IF(A246&lt;&gt;"",SUMIFS(deployment!$J$4:$J$1002, deployment!$D$4:$D$1002,"="&amp;A246, deployment!$D$4:$D$1002,"&lt;&gt;"&amp;"", deployment!$C$4:$C$1002, "&lt;&gt;* )")+SUMIFS(namespace!$G$4:$G$1002, namespace!$B$4:$B$1002,"="&amp;A246, namespace!$B$4:$B$1002,"&lt;&gt;"&amp;""),"")</f>
        <v/>
      </c>
      <c r="L246" s="182" t="str">
        <f>IF(A246&lt;&gt;"",SUMIFS(deployment!$K$4:$K$1002, deployment!$D$4:$D$1002,"="&amp;A246, deployment!$D$4:$D$1002,"&lt;&gt;"&amp;"", deployment!$C$4:$C$1002, "&lt;&gt;* )")+SUMIFS(namespace!$H$4:$H$1002, namespace!$B$4:$B$1002,"="&amp;A246, namespace!$B$4:$B$1002,"&lt;&gt;"&amp;""),"")</f>
        <v/>
      </c>
      <c r="M246" s="115" t="str">
        <f>IF(A246&lt;&gt;"",SUMIFS(deployment!$L$4:$L$1002, deployment!$D$4:$D$1002,"="&amp;A246, deployment!$D$4:$D$1002,"&lt;&gt;"&amp;"", deployment!$C$4:$C$1002, "&lt;&gt;* )")+SUMIFS(namespace!$I$4:$I$1002, namespace!$B$4:$B$1002,"="&amp;A246, namespace!$B$4:$B$1002,"&lt;&gt;"&amp;""),"")</f>
        <v/>
      </c>
      <c r="N246" s="115" t="str">
        <f>IF(A246&lt;&gt;"",SUMIFS(deployment!$M$4:$M$1002, deployment!$D$4:$D$1002,"="&amp;A246, deployment!$D$4:$D$1002,"&lt;&gt;"&amp;"", deployment!$C$4:$C$1002, "&lt;&gt;* )")+SUMIFS(namespace!$J$4:$J$1002, namespace!$B$4:$B$1002,"="&amp;A246, namespace!$B$4:$B$1002,"&lt;&gt;"&amp;""),"")</f>
        <v/>
      </c>
      <c r="O246" s="116" t="str">
        <f t="shared" si="43"/>
        <v/>
      </c>
      <c r="P246" s="63"/>
      <c r="Q246" s="164" t="str">
        <f t="shared" si="38"/>
        <v/>
      </c>
      <c r="R246" s="60" t="str">
        <f t="shared" si="39"/>
        <v/>
      </c>
      <c r="S246" s="60" t="str">
        <f t="shared" si="40"/>
        <v/>
      </c>
      <c r="T246" s="61" t="str">
        <f t="shared" si="41"/>
        <v/>
      </c>
      <c r="U246" s="61" t="str">
        <f t="shared" si="42"/>
        <v/>
      </c>
      <c r="V246" s="183" t="str">
        <f t="shared" si="44"/>
        <v/>
      </c>
      <c r="W246" s="183" t="str">
        <f t="shared" si="45"/>
        <v/>
      </c>
      <c r="X246" s="61" t="str">
        <f t="shared" si="46"/>
        <v/>
      </c>
      <c r="Y246" s="61" t="str">
        <f t="shared" si="47"/>
        <v/>
      </c>
      <c r="Z246" s="118" t="str">
        <f t="shared" si="48"/>
        <v/>
      </c>
      <c r="AA246" s="62" t="str">
        <f t="shared" si="49"/>
        <v/>
      </c>
      <c r="AB246" s="119" t="str">
        <f>IF(A246&lt;&gt;"", IF(P246&lt;&gt;0,SUMIFS(node!$J$2:$J$1000, node!$C$2:$C$1000,"="&amp;A246)/P246,0), "")</f>
        <v/>
      </c>
      <c r="AC246" s="81" t="str">
        <f>IF(A246&lt;&gt;"", IF(P246&lt;&gt;0,SUMIFS(node!$K$2:$K$1000, node!$C$2:$C$1000,"="&amp;A246)/P246,0), "")</f>
        <v/>
      </c>
      <c r="AD246" s="82" t="str">
        <f>IF(A246&lt;&gt;"", SUMIFS(node!$L$2:$L$1000, node!$C$2:$C$1000,"="&amp;A246), "")</f>
        <v/>
      </c>
      <c r="AE246" s="87" t="str">
        <f>IF(A246&lt;&gt;"", SUMIFS(node!$M$2:$M$1000, node!$C$2:$C$1000,"="&amp;A246), "")</f>
        <v/>
      </c>
    </row>
    <row r="247" spans="1:31" ht="15.75" customHeight="1" x14ac:dyDescent="0.25">
      <c r="A247" s="71" t="str">
        <f>IF(ISNONTEXT(node_raw[[#This Row],[Column2]]), "", node_raw[[#This Row],[Column2]])</f>
        <v/>
      </c>
      <c r="B247" s="108" t="str">
        <f>IF(A247&lt;&gt;"", VLOOKUP(A247, node!$C$2:$D$1000, 2, FALSE), "")</f>
        <v/>
      </c>
      <c r="C247" s="109" t="str">
        <f>IF(A247&lt;&gt;"", VLOOKUP(A247, node!$C$2:$E$1000, 3, FALSE), "")</f>
        <v/>
      </c>
      <c r="D247" s="110" t="str">
        <f>IF(A247&lt;&gt;"",COUNTIFS(node!$C$2:$C$1000,"="&amp;A247, node!$C$2:$C$1000,"&lt;&gt;"&amp;""),"")</f>
        <v/>
      </c>
      <c r="E247" s="111" t="str">
        <f>IF(A247&lt;&gt;"",SUMIFS(node!$F$2:$F$500, node!$C$2:$C$500,"="&amp;A247, node!$C$2:$C$500,"&lt;&gt;"&amp;"")/(B247*D247),"")</f>
        <v/>
      </c>
      <c r="F247" s="112" t="str">
        <f>IF(A247&lt;&gt;"",SUMIFS(node!$H$2:$H$500, node!$C$2:$C$500,"="&amp;A247, node!$C$2:$C$500,"&lt;&gt;"&amp;"")/(C247*D247),"")</f>
        <v/>
      </c>
      <c r="G247" s="179" t="str">
        <f>IF(A247&lt;&gt;"",SUMIFS(deployment!$F$4:$F$502, deployment!$D$4:$D$502,"="&amp;A247, deployment!$D$4:$D$502,"&lt;&gt;"&amp;""),"")</f>
        <v/>
      </c>
      <c r="H247" s="181" t="str">
        <f>IF(A247&lt;&gt;"",SUMIFS(deployment!$G$4:$G$502, deployment!$D$4:$D$502,"="&amp;A247, deployment!$D$4:$D$502,"&lt;&gt;"&amp;""),"")</f>
        <v/>
      </c>
      <c r="I247" s="113" t="str">
        <f>IF(A247&lt;&gt;"",SUMIFS(deployment!$H$4:$H$502, deployment!$D$4:$D$502,"="&amp;A247, deployment!$D$4:$D$502,"&lt;&gt;"&amp;""),"")</f>
        <v/>
      </c>
      <c r="J247" s="114" t="str">
        <f>IF(A247&lt;&gt;"",SUMIFS(deployment!$I$4:$I$502, deployment!$D$4:$D$502,"="&amp;A247, deployment!$D$4:$D$502,"&lt;&gt;"&amp;""),"")</f>
        <v/>
      </c>
      <c r="K247" s="182" t="str">
        <f>IF(A247&lt;&gt;"",SUMIFS(deployment!$J$4:$J$1002, deployment!$D$4:$D$1002,"="&amp;A247, deployment!$D$4:$D$1002,"&lt;&gt;"&amp;"", deployment!$C$4:$C$1002, "&lt;&gt;* )")+SUMIFS(namespace!$G$4:$G$1002, namespace!$B$4:$B$1002,"="&amp;A247, namespace!$B$4:$B$1002,"&lt;&gt;"&amp;""),"")</f>
        <v/>
      </c>
      <c r="L247" s="182" t="str">
        <f>IF(A247&lt;&gt;"",SUMIFS(deployment!$K$4:$K$1002, deployment!$D$4:$D$1002,"="&amp;A247, deployment!$D$4:$D$1002,"&lt;&gt;"&amp;"", deployment!$C$4:$C$1002, "&lt;&gt;* )")+SUMIFS(namespace!$H$4:$H$1002, namespace!$B$4:$B$1002,"="&amp;A247, namespace!$B$4:$B$1002,"&lt;&gt;"&amp;""),"")</f>
        <v/>
      </c>
      <c r="M247" s="115" t="str">
        <f>IF(A247&lt;&gt;"",SUMIFS(deployment!$L$4:$L$1002, deployment!$D$4:$D$1002,"="&amp;A247, deployment!$D$4:$D$1002,"&lt;&gt;"&amp;"", deployment!$C$4:$C$1002, "&lt;&gt;* )")+SUMIFS(namespace!$I$4:$I$1002, namespace!$B$4:$B$1002,"="&amp;A247, namespace!$B$4:$B$1002,"&lt;&gt;"&amp;""),"")</f>
        <v/>
      </c>
      <c r="N247" s="115" t="str">
        <f>IF(A247&lt;&gt;"",SUMIFS(deployment!$M$4:$M$1002, deployment!$D$4:$D$1002,"="&amp;A247, deployment!$D$4:$D$1002,"&lt;&gt;"&amp;"", deployment!$C$4:$C$1002, "&lt;&gt;* )")+SUMIFS(namespace!$J$4:$J$1002, namespace!$B$4:$B$1002,"="&amp;A247, namespace!$B$4:$B$1002,"&lt;&gt;"&amp;""),"")</f>
        <v/>
      </c>
      <c r="O247" s="116" t="str">
        <f t="shared" si="43"/>
        <v/>
      </c>
      <c r="P247" s="63"/>
      <c r="Q247" s="164" t="str">
        <f t="shared" si="38"/>
        <v/>
      </c>
      <c r="R247" s="60" t="str">
        <f t="shared" si="39"/>
        <v/>
      </c>
      <c r="S247" s="60" t="str">
        <f t="shared" si="40"/>
        <v/>
      </c>
      <c r="T247" s="61" t="str">
        <f t="shared" si="41"/>
        <v/>
      </c>
      <c r="U247" s="61" t="str">
        <f t="shared" si="42"/>
        <v/>
      </c>
      <c r="V247" s="183" t="str">
        <f t="shared" si="44"/>
        <v/>
      </c>
      <c r="W247" s="183" t="str">
        <f t="shared" si="45"/>
        <v/>
      </c>
      <c r="X247" s="61" t="str">
        <f t="shared" si="46"/>
        <v/>
      </c>
      <c r="Y247" s="61" t="str">
        <f t="shared" si="47"/>
        <v/>
      </c>
      <c r="Z247" s="118" t="str">
        <f t="shared" si="48"/>
        <v/>
      </c>
      <c r="AA247" s="62" t="str">
        <f t="shared" si="49"/>
        <v/>
      </c>
      <c r="AB247" s="119" t="str">
        <f>IF(A247&lt;&gt;"", IF(P247&lt;&gt;0,SUMIFS(node!$J$2:$J$1000, node!$C$2:$C$1000,"="&amp;A247)/P247,0), "")</f>
        <v/>
      </c>
      <c r="AC247" s="81" t="str">
        <f>IF(A247&lt;&gt;"", IF(P247&lt;&gt;0,SUMIFS(node!$K$2:$K$1000, node!$C$2:$C$1000,"="&amp;A247)/P247,0), "")</f>
        <v/>
      </c>
      <c r="AD247" s="82" t="str">
        <f>IF(A247&lt;&gt;"", SUMIFS(node!$L$2:$L$1000, node!$C$2:$C$1000,"="&amp;A247), "")</f>
        <v/>
      </c>
      <c r="AE247" s="87" t="str">
        <f>IF(A247&lt;&gt;"", SUMIFS(node!$M$2:$M$1000, node!$C$2:$C$1000,"="&amp;A247), "")</f>
        <v/>
      </c>
    </row>
    <row r="248" spans="1:31" ht="15.75" customHeight="1" x14ac:dyDescent="0.25">
      <c r="A248" s="71" t="str">
        <f>IF(ISNONTEXT(node_raw[[#This Row],[Column2]]), "", node_raw[[#This Row],[Column2]])</f>
        <v/>
      </c>
      <c r="B248" s="108" t="str">
        <f>IF(A248&lt;&gt;"", VLOOKUP(A248, node!$C$2:$D$1000, 2, FALSE), "")</f>
        <v/>
      </c>
      <c r="C248" s="109" t="str">
        <f>IF(A248&lt;&gt;"", VLOOKUP(A248, node!$C$2:$E$1000, 3, FALSE), "")</f>
        <v/>
      </c>
      <c r="D248" s="110" t="str">
        <f>IF(A248&lt;&gt;"",COUNTIFS(node!$C$2:$C$1000,"="&amp;A248, node!$C$2:$C$1000,"&lt;&gt;"&amp;""),"")</f>
        <v/>
      </c>
      <c r="E248" s="111" t="str">
        <f>IF(A248&lt;&gt;"",SUMIFS(node!$F$2:$F$500, node!$C$2:$C$500,"="&amp;A248, node!$C$2:$C$500,"&lt;&gt;"&amp;"")/(B248*D248),"")</f>
        <v/>
      </c>
      <c r="F248" s="112" t="str">
        <f>IF(A248&lt;&gt;"",SUMIFS(node!$H$2:$H$500, node!$C$2:$C$500,"="&amp;A248, node!$C$2:$C$500,"&lt;&gt;"&amp;"")/(C248*D248),"")</f>
        <v/>
      </c>
      <c r="G248" s="179" t="str">
        <f>IF(A248&lt;&gt;"",SUMIFS(deployment!$F$4:$F$502, deployment!$D$4:$D$502,"="&amp;A248, deployment!$D$4:$D$502,"&lt;&gt;"&amp;""),"")</f>
        <v/>
      </c>
      <c r="H248" s="181" t="str">
        <f>IF(A248&lt;&gt;"",SUMIFS(deployment!$G$4:$G$502, deployment!$D$4:$D$502,"="&amp;A248, deployment!$D$4:$D$502,"&lt;&gt;"&amp;""),"")</f>
        <v/>
      </c>
      <c r="I248" s="113" t="str">
        <f>IF(A248&lt;&gt;"",SUMIFS(deployment!$H$4:$H$502, deployment!$D$4:$D$502,"="&amp;A248, deployment!$D$4:$D$502,"&lt;&gt;"&amp;""),"")</f>
        <v/>
      </c>
      <c r="J248" s="114" t="str">
        <f>IF(A248&lt;&gt;"",SUMIFS(deployment!$I$4:$I$502, deployment!$D$4:$D$502,"="&amp;A248, deployment!$D$4:$D$502,"&lt;&gt;"&amp;""),"")</f>
        <v/>
      </c>
      <c r="K248" s="182" t="str">
        <f>IF(A248&lt;&gt;"",SUMIFS(deployment!$J$4:$J$1002, deployment!$D$4:$D$1002,"="&amp;A248, deployment!$D$4:$D$1002,"&lt;&gt;"&amp;"", deployment!$C$4:$C$1002, "&lt;&gt;* )")+SUMIFS(namespace!$G$4:$G$1002, namespace!$B$4:$B$1002,"="&amp;A248, namespace!$B$4:$B$1002,"&lt;&gt;"&amp;""),"")</f>
        <v/>
      </c>
      <c r="L248" s="182" t="str">
        <f>IF(A248&lt;&gt;"",SUMIFS(deployment!$K$4:$K$1002, deployment!$D$4:$D$1002,"="&amp;A248, deployment!$D$4:$D$1002,"&lt;&gt;"&amp;"", deployment!$C$4:$C$1002, "&lt;&gt;* )")+SUMIFS(namespace!$H$4:$H$1002, namespace!$B$4:$B$1002,"="&amp;A248, namespace!$B$4:$B$1002,"&lt;&gt;"&amp;""),"")</f>
        <v/>
      </c>
      <c r="M248" s="115" t="str">
        <f>IF(A248&lt;&gt;"",SUMIFS(deployment!$L$4:$L$1002, deployment!$D$4:$D$1002,"="&amp;A248, deployment!$D$4:$D$1002,"&lt;&gt;"&amp;"", deployment!$C$4:$C$1002, "&lt;&gt;* )")+SUMIFS(namespace!$I$4:$I$1002, namespace!$B$4:$B$1002,"="&amp;A248, namespace!$B$4:$B$1002,"&lt;&gt;"&amp;""),"")</f>
        <v/>
      </c>
      <c r="N248" s="115" t="str">
        <f>IF(A248&lt;&gt;"",SUMIFS(deployment!$M$4:$M$1002, deployment!$D$4:$D$1002,"="&amp;A248, deployment!$D$4:$D$1002,"&lt;&gt;"&amp;"", deployment!$C$4:$C$1002, "&lt;&gt;* )")+SUMIFS(namespace!$J$4:$J$1002, namespace!$B$4:$B$1002,"="&amp;A248, namespace!$B$4:$B$1002,"&lt;&gt;"&amp;""),"")</f>
        <v/>
      </c>
      <c r="O248" s="116" t="str">
        <f t="shared" si="43"/>
        <v/>
      </c>
      <c r="P248" s="63"/>
      <c r="Q248" s="164" t="str">
        <f t="shared" si="38"/>
        <v/>
      </c>
      <c r="R248" s="60" t="str">
        <f t="shared" si="39"/>
        <v/>
      </c>
      <c r="S248" s="60" t="str">
        <f t="shared" si="40"/>
        <v/>
      </c>
      <c r="T248" s="61" t="str">
        <f t="shared" si="41"/>
        <v/>
      </c>
      <c r="U248" s="61" t="str">
        <f t="shared" si="42"/>
        <v/>
      </c>
      <c r="V248" s="183" t="str">
        <f t="shared" si="44"/>
        <v/>
      </c>
      <c r="W248" s="183" t="str">
        <f t="shared" si="45"/>
        <v/>
      </c>
      <c r="X248" s="61" t="str">
        <f t="shared" si="46"/>
        <v/>
      </c>
      <c r="Y248" s="61" t="str">
        <f t="shared" si="47"/>
        <v/>
      </c>
      <c r="Z248" s="118" t="str">
        <f t="shared" si="48"/>
        <v/>
      </c>
      <c r="AA248" s="62" t="str">
        <f t="shared" si="49"/>
        <v/>
      </c>
      <c r="AB248" s="119" t="str">
        <f>IF(A248&lt;&gt;"", IF(P248&lt;&gt;0,SUMIFS(node!$J$2:$J$1000, node!$C$2:$C$1000,"="&amp;A248)/P248,0), "")</f>
        <v/>
      </c>
      <c r="AC248" s="81" t="str">
        <f>IF(A248&lt;&gt;"", IF(P248&lt;&gt;0,SUMIFS(node!$K$2:$K$1000, node!$C$2:$C$1000,"="&amp;A248)/P248,0), "")</f>
        <v/>
      </c>
      <c r="AD248" s="82" t="str">
        <f>IF(A248&lt;&gt;"", SUMIFS(node!$L$2:$L$1000, node!$C$2:$C$1000,"="&amp;A248), "")</f>
        <v/>
      </c>
      <c r="AE248" s="87" t="str">
        <f>IF(A248&lt;&gt;"", SUMIFS(node!$M$2:$M$1000, node!$C$2:$C$1000,"="&amp;A248), "")</f>
        <v/>
      </c>
    </row>
    <row r="249" spans="1:31" ht="15.75" customHeight="1" x14ac:dyDescent="0.25">
      <c r="A249" s="71" t="str">
        <f>IF(ISNONTEXT(node_raw[[#This Row],[Column2]]), "", node_raw[[#This Row],[Column2]])</f>
        <v/>
      </c>
      <c r="B249" s="108" t="str">
        <f>IF(A249&lt;&gt;"", VLOOKUP(A249, node!$C$2:$D$1000, 2, FALSE), "")</f>
        <v/>
      </c>
      <c r="C249" s="109" t="str">
        <f>IF(A249&lt;&gt;"", VLOOKUP(A249, node!$C$2:$E$1000, 3, FALSE), "")</f>
        <v/>
      </c>
      <c r="D249" s="110" t="str">
        <f>IF(A249&lt;&gt;"",COUNTIFS(node!$C$2:$C$1000,"="&amp;A249, node!$C$2:$C$1000,"&lt;&gt;"&amp;""),"")</f>
        <v/>
      </c>
      <c r="E249" s="111" t="str">
        <f>IF(A249&lt;&gt;"",SUMIFS(node!$F$2:$F$500, node!$C$2:$C$500,"="&amp;A249, node!$C$2:$C$500,"&lt;&gt;"&amp;"")/(B249*D249),"")</f>
        <v/>
      </c>
      <c r="F249" s="112" t="str">
        <f>IF(A249&lt;&gt;"",SUMIFS(node!$H$2:$H$500, node!$C$2:$C$500,"="&amp;A249, node!$C$2:$C$500,"&lt;&gt;"&amp;"")/(C249*D249),"")</f>
        <v/>
      </c>
      <c r="G249" s="179" t="str">
        <f>IF(A249&lt;&gt;"",SUMIFS(deployment!$F$4:$F$502, deployment!$D$4:$D$502,"="&amp;A249, deployment!$D$4:$D$502,"&lt;&gt;"&amp;""),"")</f>
        <v/>
      </c>
      <c r="H249" s="181" t="str">
        <f>IF(A249&lt;&gt;"",SUMIFS(deployment!$G$4:$G$502, deployment!$D$4:$D$502,"="&amp;A249, deployment!$D$4:$D$502,"&lt;&gt;"&amp;""),"")</f>
        <v/>
      </c>
      <c r="I249" s="113" t="str">
        <f>IF(A249&lt;&gt;"",SUMIFS(deployment!$H$4:$H$502, deployment!$D$4:$D$502,"="&amp;A249, deployment!$D$4:$D$502,"&lt;&gt;"&amp;""),"")</f>
        <v/>
      </c>
      <c r="J249" s="114" t="str">
        <f>IF(A249&lt;&gt;"",SUMIFS(deployment!$I$4:$I$502, deployment!$D$4:$D$502,"="&amp;A249, deployment!$D$4:$D$502,"&lt;&gt;"&amp;""),"")</f>
        <v/>
      </c>
      <c r="K249" s="182" t="str">
        <f>IF(A249&lt;&gt;"",SUMIFS(deployment!$J$4:$J$1002, deployment!$D$4:$D$1002,"="&amp;A249, deployment!$D$4:$D$1002,"&lt;&gt;"&amp;"", deployment!$C$4:$C$1002, "&lt;&gt;* )")+SUMIFS(namespace!$G$4:$G$1002, namespace!$B$4:$B$1002,"="&amp;A249, namespace!$B$4:$B$1002,"&lt;&gt;"&amp;""),"")</f>
        <v/>
      </c>
      <c r="L249" s="182" t="str">
        <f>IF(A249&lt;&gt;"",SUMIFS(deployment!$K$4:$K$1002, deployment!$D$4:$D$1002,"="&amp;A249, deployment!$D$4:$D$1002,"&lt;&gt;"&amp;"", deployment!$C$4:$C$1002, "&lt;&gt;* )")+SUMIFS(namespace!$H$4:$H$1002, namespace!$B$4:$B$1002,"="&amp;A249, namespace!$B$4:$B$1002,"&lt;&gt;"&amp;""),"")</f>
        <v/>
      </c>
      <c r="M249" s="115" t="str">
        <f>IF(A249&lt;&gt;"",SUMIFS(deployment!$L$4:$L$1002, deployment!$D$4:$D$1002,"="&amp;A249, deployment!$D$4:$D$1002,"&lt;&gt;"&amp;"", deployment!$C$4:$C$1002, "&lt;&gt;* )")+SUMIFS(namespace!$I$4:$I$1002, namespace!$B$4:$B$1002,"="&amp;A249, namespace!$B$4:$B$1002,"&lt;&gt;"&amp;""),"")</f>
        <v/>
      </c>
      <c r="N249" s="115" t="str">
        <f>IF(A249&lt;&gt;"",SUMIFS(deployment!$M$4:$M$1002, deployment!$D$4:$D$1002,"="&amp;A249, deployment!$D$4:$D$1002,"&lt;&gt;"&amp;"", deployment!$C$4:$C$1002, "&lt;&gt;* )")+SUMIFS(namespace!$J$4:$J$1002, namespace!$B$4:$B$1002,"="&amp;A249, namespace!$B$4:$B$1002,"&lt;&gt;"&amp;""),"")</f>
        <v/>
      </c>
      <c r="O249" s="116" t="str">
        <f t="shared" si="43"/>
        <v/>
      </c>
      <c r="P249" s="63"/>
      <c r="Q249" s="164" t="str">
        <f t="shared" si="38"/>
        <v/>
      </c>
      <c r="R249" s="60" t="str">
        <f t="shared" si="39"/>
        <v/>
      </c>
      <c r="S249" s="60" t="str">
        <f t="shared" si="40"/>
        <v/>
      </c>
      <c r="T249" s="61" t="str">
        <f t="shared" si="41"/>
        <v/>
      </c>
      <c r="U249" s="61" t="str">
        <f t="shared" si="42"/>
        <v/>
      </c>
      <c r="V249" s="183" t="str">
        <f t="shared" si="44"/>
        <v/>
      </c>
      <c r="W249" s="183" t="str">
        <f t="shared" si="45"/>
        <v/>
      </c>
      <c r="X249" s="61" t="str">
        <f t="shared" si="46"/>
        <v/>
      </c>
      <c r="Y249" s="61" t="str">
        <f t="shared" si="47"/>
        <v/>
      </c>
      <c r="Z249" s="118" t="str">
        <f t="shared" si="48"/>
        <v/>
      </c>
      <c r="AA249" s="62" t="str">
        <f t="shared" si="49"/>
        <v/>
      </c>
      <c r="AB249" s="119" t="str">
        <f>IF(A249&lt;&gt;"", IF(P249&lt;&gt;0,SUMIFS(node!$J$2:$J$1000, node!$C$2:$C$1000,"="&amp;A249)/P249,0), "")</f>
        <v/>
      </c>
      <c r="AC249" s="81" t="str">
        <f>IF(A249&lt;&gt;"", IF(P249&lt;&gt;0,SUMIFS(node!$K$2:$K$1000, node!$C$2:$C$1000,"="&amp;A249)/P249,0), "")</f>
        <v/>
      </c>
      <c r="AD249" s="82" t="str">
        <f>IF(A249&lt;&gt;"", SUMIFS(node!$L$2:$L$1000, node!$C$2:$C$1000,"="&amp;A249), "")</f>
        <v/>
      </c>
      <c r="AE249" s="87" t="str">
        <f>IF(A249&lt;&gt;"", SUMIFS(node!$M$2:$M$1000, node!$C$2:$C$1000,"="&amp;A249), "")</f>
        <v/>
      </c>
    </row>
    <row r="250" spans="1:31" ht="15.75" customHeight="1" x14ac:dyDescent="0.25">
      <c r="A250" s="71" t="str">
        <f>IF(ISNONTEXT(node_raw[[#This Row],[Column2]]), "", node_raw[[#This Row],[Column2]])</f>
        <v/>
      </c>
      <c r="B250" s="108" t="str">
        <f>IF(A250&lt;&gt;"", VLOOKUP(A250, node!$C$2:$D$1000, 2, FALSE), "")</f>
        <v/>
      </c>
      <c r="C250" s="109" t="str">
        <f>IF(A250&lt;&gt;"", VLOOKUP(A250, node!$C$2:$E$1000, 3, FALSE), "")</f>
        <v/>
      </c>
      <c r="D250" s="110" t="str">
        <f>IF(A250&lt;&gt;"",COUNTIFS(node!$C$2:$C$1000,"="&amp;A250, node!$C$2:$C$1000,"&lt;&gt;"&amp;""),"")</f>
        <v/>
      </c>
      <c r="E250" s="111" t="str">
        <f>IF(A250&lt;&gt;"",SUMIFS(node!$F$2:$F$500, node!$C$2:$C$500,"="&amp;A250, node!$C$2:$C$500,"&lt;&gt;"&amp;"")/(B250*D250),"")</f>
        <v/>
      </c>
      <c r="F250" s="112" t="str">
        <f>IF(A250&lt;&gt;"",SUMIFS(node!$H$2:$H$500, node!$C$2:$C$500,"="&amp;A250, node!$C$2:$C$500,"&lt;&gt;"&amp;"")/(C250*D250),"")</f>
        <v/>
      </c>
      <c r="G250" s="179" t="str">
        <f>IF(A250&lt;&gt;"",SUMIFS(deployment!$F$4:$F$502, deployment!$D$4:$D$502,"="&amp;A250, deployment!$D$4:$D$502,"&lt;&gt;"&amp;""),"")</f>
        <v/>
      </c>
      <c r="H250" s="181" t="str">
        <f>IF(A250&lt;&gt;"",SUMIFS(deployment!$G$4:$G$502, deployment!$D$4:$D$502,"="&amp;A250, deployment!$D$4:$D$502,"&lt;&gt;"&amp;""),"")</f>
        <v/>
      </c>
      <c r="I250" s="113" t="str">
        <f>IF(A250&lt;&gt;"",SUMIFS(deployment!$H$4:$H$502, deployment!$D$4:$D$502,"="&amp;A250, deployment!$D$4:$D$502,"&lt;&gt;"&amp;""),"")</f>
        <v/>
      </c>
      <c r="J250" s="114" t="str">
        <f>IF(A250&lt;&gt;"",SUMIFS(deployment!$I$4:$I$502, deployment!$D$4:$D$502,"="&amp;A250, deployment!$D$4:$D$502,"&lt;&gt;"&amp;""),"")</f>
        <v/>
      </c>
      <c r="K250" s="182" t="str">
        <f>IF(A250&lt;&gt;"",SUMIFS(deployment!$J$4:$J$1002, deployment!$D$4:$D$1002,"="&amp;A250, deployment!$D$4:$D$1002,"&lt;&gt;"&amp;"", deployment!$C$4:$C$1002, "&lt;&gt;* )")+SUMIFS(namespace!$G$4:$G$1002, namespace!$B$4:$B$1002,"="&amp;A250, namespace!$B$4:$B$1002,"&lt;&gt;"&amp;""),"")</f>
        <v/>
      </c>
      <c r="L250" s="182" t="str">
        <f>IF(A250&lt;&gt;"",SUMIFS(deployment!$K$4:$K$1002, deployment!$D$4:$D$1002,"="&amp;A250, deployment!$D$4:$D$1002,"&lt;&gt;"&amp;"", deployment!$C$4:$C$1002, "&lt;&gt;* )")+SUMIFS(namespace!$H$4:$H$1002, namespace!$B$4:$B$1002,"="&amp;A250, namespace!$B$4:$B$1002,"&lt;&gt;"&amp;""),"")</f>
        <v/>
      </c>
      <c r="M250" s="115" t="str">
        <f>IF(A250&lt;&gt;"",SUMIFS(deployment!$L$4:$L$1002, deployment!$D$4:$D$1002,"="&amp;A250, deployment!$D$4:$D$1002,"&lt;&gt;"&amp;"", deployment!$C$4:$C$1002, "&lt;&gt;* )")+SUMIFS(namespace!$I$4:$I$1002, namespace!$B$4:$B$1002,"="&amp;A250, namespace!$B$4:$B$1002,"&lt;&gt;"&amp;""),"")</f>
        <v/>
      </c>
      <c r="N250" s="115" t="str">
        <f>IF(A250&lt;&gt;"",SUMIFS(deployment!$M$4:$M$1002, deployment!$D$4:$D$1002,"="&amp;A250, deployment!$D$4:$D$1002,"&lt;&gt;"&amp;"", deployment!$C$4:$C$1002, "&lt;&gt;* )")+SUMIFS(namespace!$J$4:$J$1002, namespace!$B$4:$B$1002,"="&amp;A250, namespace!$B$4:$B$1002,"&lt;&gt;"&amp;""),"")</f>
        <v/>
      </c>
      <c r="O250" s="116" t="str">
        <f t="shared" si="43"/>
        <v/>
      </c>
      <c r="P250" s="63"/>
      <c r="Q250" s="164" t="str">
        <f t="shared" si="38"/>
        <v/>
      </c>
      <c r="R250" s="60" t="str">
        <f t="shared" si="39"/>
        <v/>
      </c>
      <c r="S250" s="60" t="str">
        <f t="shared" si="40"/>
        <v/>
      </c>
      <c r="T250" s="61" t="str">
        <f t="shared" si="41"/>
        <v/>
      </c>
      <c r="U250" s="61" t="str">
        <f t="shared" si="42"/>
        <v/>
      </c>
      <c r="V250" s="183" t="str">
        <f t="shared" si="44"/>
        <v/>
      </c>
      <c r="W250" s="183" t="str">
        <f t="shared" si="45"/>
        <v/>
      </c>
      <c r="X250" s="61" t="str">
        <f t="shared" si="46"/>
        <v/>
      </c>
      <c r="Y250" s="61" t="str">
        <f t="shared" si="47"/>
        <v/>
      </c>
      <c r="Z250" s="118" t="str">
        <f t="shared" si="48"/>
        <v/>
      </c>
      <c r="AA250" s="62" t="str">
        <f t="shared" si="49"/>
        <v/>
      </c>
      <c r="AB250" s="119" t="str">
        <f>IF(A250&lt;&gt;"", IF(P250&lt;&gt;0,SUMIFS(node!$J$2:$J$1000, node!$C$2:$C$1000,"="&amp;A250)/P250,0), "")</f>
        <v/>
      </c>
      <c r="AC250" s="81" t="str">
        <f>IF(A250&lt;&gt;"", IF(P250&lt;&gt;0,SUMIFS(node!$K$2:$K$1000, node!$C$2:$C$1000,"="&amp;A250)/P250,0), "")</f>
        <v/>
      </c>
      <c r="AD250" s="82" t="str">
        <f>IF(A250&lt;&gt;"", SUMIFS(node!$L$2:$L$1000, node!$C$2:$C$1000,"="&amp;A250), "")</f>
        <v/>
      </c>
      <c r="AE250" s="87" t="str">
        <f>IF(A250&lt;&gt;"", SUMIFS(node!$M$2:$M$1000, node!$C$2:$C$1000,"="&amp;A250), "")</f>
        <v/>
      </c>
    </row>
    <row r="251" spans="1:31" ht="15.75" customHeight="1" x14ac:dyDescent="0.25">
      <c r="A251" s="71" t="str">
        <f>IF(ISNONTEXT(node_raw[[#This Row],[Column2]]), "", node_raw[[#This Row],[Column2]])</f>
        <v/>
      </c>
      <c r="B251" s="108" t="str">
        <f>IF(A251&lt;&gt;"", VLOOKUP(A251, node!$C$2:$D$1000, 2, FALSE), "")</f>
        <v/>
      </c>
      <c r="C251" s="109" t="str">
        <f>IF(A251&lt;&gt;"", VLOOKUP(A251, node!$C$2:$E$1000, 3, FALSE), "")</f>
        <v/>
      </c>
      <c r="D251" s="110" t="str">
        <f>IF(A251&lt;&gt;"",COUNTIFS(node!$C$2:$C$1000,"="&amp;A251, node!$C$2:$C$1000,"&lt;&gt;"&amp;""),"")</f>
        <v/>
      </c>
      <c r="E251" s="111" t="str">
        <f>IF(A251&lt;&gt;"",SUMIFS(node!$F$2:$F$500, node!$C$2:$C$500,"="&amp;A251, node!$C$2:$C$500,"&lt;&gt;"&amp;"")/(B251*D251),"")</f>
        <v/>
      </c>
      <c r="F251" s="112" t="str">
        <f>IF(A251&lt;&gt;"",SUMIFS(node!$H$2:$H$500, node!$C$2:$C$500,"="&amp;A251, node!$C$2:$C$500,"&lt;&gt;"&amp;"")/(C251*D251),"")</f>
        <v/>
      </c>
      <c r="G251" s="179" t="str">
        <f>IF(A251&lt;&gt;"",SUMIFS(deployment!$F$4:$F$502, deployment!$D$4:$D$502,"="&amp;A251, deployment!$D$4:$D$502,"&lt;&gt;"&amp;""),"")</f>
        <v/>
      </c>
      <c r="H251" s="181" t="str">
        <f>IF(A251&lt;&gt;"",SUMIFS(deployment!$G$4:$G$502, deployment!$D$4:$D$502,"="&amp;A251, deployment!$D$4:$D$502,"&lt;&gt;"&amp;""),"")</f>
        <v/>
      </c>
      <c r="I251" s="113" t="str">
        <f>IF(A251&lt;&gt;"",SUMIFS(deployment!$H$4:$H$502, deployment!$D$4:$D$502,"="&amp;A251, deployment!$D$4:$D$502,"&lt;&gt;"&amp;""),"")</f>
        <v/>
      </c>
      <c r="J251" s="114" t="str">
        <f>IF(A251&lt;&gt;"",SUMIFS(deployment!$I$4:$I$502, deployment!$D$4:$D$502,"="&amp;A251, deployment!$D$4:$D$502,"&lt;&gt;"&amp;""),"")</f>
        <v/>
      </c>
      <c r="K251" s="182" t="str">
        <f>IF(A251&lt;&gt;"",SUMIFS(deployment!$J$4:$J$1002, deployment!$D$4:$D$1002,"="&amp;A251, deployment!$D$4:$D$1002,"&lt;&gt;"&amp;"", deployment!$C$4:$C$1002, "&lt;&gt;* )")+SUMIFS(namespace!$G$4:$G$1002, namespace!$B$4:$B$1002,"="&amp;A251, namespace!$B$4:$B$1002,"&lt;&gt;"&amp;""),"")</f>
        <v/>
      </c>
      <c r="L251" s="182" t="str">
        <f>IF(A251&lt;&gt;"",SUMIFS(deployment!$K$4:$K$1002, deployment!$D$4:$D$1002,"="&amp;A251, deployment!$D$4:$D$1002,"&lt;&gt;"&amp;"", deployment!$C$4:$C$1002, "&lt;&gt;* )")+SUMIFS(namespace!$H$4:$H$1002, namespace!$B$4:$B$1002,"="&amp;A251, namespace!$B$4:$B$1002,"&lt;&gt;"&amp;""),"")</f>
        <v/>
      </c>
      <c r="M251" s="115" t="str">
        <f>IF(A251&lt;&gt;"",SUMIFS(deployment!$L$4:$L$1002, deployment!$D$4:$D$1002,"="&amp;A251, deployment!$D$4:$D$1002,"&lt;&gt;"&amp;"", deployment!$C$4:$C$1002, "&lt;&gt;* )")+SUMIFS(namespace!$I$4:$I$1002, namespace!$B$4:$B$1002,"="&amp;A251, namespace!$B$4:$B$1002,"&lt;&gt;"&amp;""),"")</f>
        <v/>
      </c>
      <c r="N251" s="115" t="str">
        <f>IF(A251&lt;&gt;"",SUMIFS(deployment!$M$4:$M$1002, deployment!$D$4:$D$1002,"="&amp;A251, deployment!$D$4:$D$1002,"&lt;&gt;"&amp;"", deployment!$C$4:$C$1002, "&lt;&gt;* )")+SUMIFS(namespace!$J$4:$J$1002, namespace!$B$4:$B$1002,"="&amp;A251, namespace!$B$4:$B$1002,"&lt;&gt;"&amp;""),"")</f>
        <v/>
      </c>
      <c r="O251" s="116" t="str">
        <f t="shared" si="43"/>
        <v/>
      </c>
      <c r="P251" s="63"/>
      <c r="Q251" s="164" t="str">
        <f t="shared" si="38"/>
        <v/>
      </c>
      <c r="R251" s="60" t="str">
        <f t="shared" si="39"/>
        <v/>
      </c>
      <c r="S251" s="60" t="str">
        <f t="shared" si="40"/>
        <v/>
      </c>
      <c r="T251" s="61" t="str">
        <f t="shared" si="41"/>
        <v/>
      </c>
      <c r="U251" s="61" t="str">
        <f t="shared" si="42"/>
        <v/>
      </c>
      <c r="V251" s="183" t="str">
        <f t="shared" si="44"/>
        <v/>
      </c>
      <c r="W251" s="183" t="str">
        <f t="shared" si="45"/>
        <v/>
      </c>
      <c r="X251" s="61" t="str">
        <f t="shared" si="46"/>
        <v/>
      </c>
      <c r="Y251" s="61" t="str">
        <f t="shared" si="47"/>
        <v/>
      </c>
      <c r="Z251" s="118" t="str">
        <f t="shared" si="48"/>
        <v/>
      </c>
      <c r="AA251" s="62" t="str">
        <f t="shared" si="49"/>
        <v/>
      </c>
      <c r="AB251" s="119" t="str">
        <f>IF(A251&lt;&gt;"", IF(P251&lt;&gt;0,SUMIFS(node!$J$2:$J$1000, node!$C$2:$C$1000,"="&amp;A251)/P251,0), "")</f>
        <v/>
      </c>
      <c r="AC251" s="81" t="str">
        <f>IF(A251&lt;&gt;"", IF(P251&lt;&gt;0,SUMIFS(node!$K$2:$K$1000, node!$C$2:$C$1000,"="&amp;A251)/P251,0), "")</f>
        <v/>
      </c>
      <c r="AD251" s="82" t="str">
        <f>IF(A251&lt;&gt;"", SUMIFS(node!$L$2:$L$1000, node!$C$2:$C$1000,"="&amp;A251), "")</f>
        <v/>
      </c>
      <c r="AE251" s="87" t="str">
        <f>IF(A251&lt;&gt;"", SUMIFS(node!$M$2:$M$1000, node!$C$2:$C$1000,"="&amp;A251), "")</f>
        <v/>
      </c>
    </row>
    <row r="252" spans="1:31" ht="15.75" customHeight="1" x14ac:dyDescent="0.25">
      <c r="A252" s="71" t="str">
        <f>IF(ISNONTEXT(node_raw[[#This Row],[Column2]]), "", node_raw[[#This Row],[Column2]])</f>
        <v/>
      </c>
      <c r="B252" s="108" t="str">
        <f>IF(A252&lt;&gt;"", VLOOKUP(A252, node!$C$2:$D$1000, 2, FALSE), "")</f>
        <v/>
      </c>
      <c r="C252" s="109" t="str">
        <f>IF(A252&lt;&gt;"", VLOOKUP(A252, node!$C$2:$E$1000, 3, FALSE), "")</f>
        <v/>
      </c>
      <c r="D252" s="110" t="str">
        <f>IF(A252&lt;&gt;"",COUNTIFS(node!$C$2:$C$1000,"="&amp;A252, node!$C$2:$C$1000,"&lt;&gt;"&amp;""),"")</f>
        <v/>
      </c>
      <c r="E252" s="111" t="str">
        <f>IF(A252&lt;&gt;"",SUMIFS(node!$F$2:$F$500, node!$C$2:$C$500,"="&amp;A252, node!$C$2:$C$500,"&lt;&gt;"&amp;"")/(B252*D252),"")</f>
        <v/>
      </c>
      <c r="F252" s="112" t="str">
        <f>IF(A252&lt;&gt;"",SUMIFS(node!$H$2:$H$500, node!$C$2:$C$500,"="&amp;A252, node!$C$2:$C$500,"&lt;&gt;"&amp;"")/(C252*D252),"")</f>
        <v/>
      </c>
      <c r="G252" s="179" t="str">
        <f>IF(A252&lt;&gt;"",SUMIFS(deployment!$F$4:$F$502, deployment!$D$4:$D$502,"="&amp;A252, deployment!$D$4:$D$502,"&lt;&gt;"&amp;""),"")</f>
        <v/>
      </c>
      <c r="H252" s="181" t="str">
        <f>IF(A252&lt;&gt;"",SUMIFS(deployment!$G$4:$G$502, deployment!$D$4:$D$502,"="&amp;A252, deployment!$D$4:$D$502,"&lt;&gt;"&amp;""),"")</f>
        <v/>
      </c>
      <c r="I252" s="113" t="str">
        <f>IF(A252&lt;&gt;"",SUMIFS(deployment!$H$4:$H$502, deployment!$D$4:$D$502,"="&amp;A252, deployment!$D$4:$D$502,"&lt;&gt;"&amp;""),"")</f>
        <v/>
      </c>
      <c r="J252" s="114" t="str">
        <f>IF(A252&lt;&gt;"",SUMIFS(deployment!$I$4:$I$502, deployment!$D$4:$D$502,"="&amp;A252, deployment!$D$4:$D$502,"&lt;&gt;"&amp;""),"")</f>
        <v/>
      </c>
      <c r="K252" s="182" t="str">
        <f>IF(A252&lt;&gt;"",SUMIFS(deployment!$J$4:$J$1002, deployment!$D$4:$D$1002,"="&amp;A252, deployment!$D$4:$D$1002,"&lt;&gt;"&amp;"", deployment!$C$4:$C$1002, "&lt;&gt;* )")+SUMIFS(namespace!$G$4:$G$1002, namespace!$B$4:$B$1002,"="&amp;A252, namespace!$B$4:$B$1002,"&lt;&gt;"&amp;""),"")</f>
        <v/>
      </c>
      <c r="L252" s="182" t="str">
        <f>IF(A252&lt;&gt;"",SUMIFS(deployment!$K$4:$K$1002, deployment!$D$4:$D$1002,"="&amp;A252, deployment!$D$4:$D$1002,"&lt;&gt;"&amp;"", deployment!$C$4:$C$1002, "&lt;&gt;* )")+SUMIFS(namespace!$H$4:$H$1002, namespace!$B$4:$B$1002,"="&amp;A252, namespace!$B$4:$B$1002,"&lt;&gt;"&amp;""),"")</f>
        <v/>
      </c>
      <c r="M252" s="115" t="str">
        <f>IF(A252&lt;&gt;"",SUMIFS(deployment!$L$4:$L$1002, deployment!$D$4:$D$1002,"="&amp;A252, deployment!$D$4:$D$1002,"&lt;&gt;"&amp;"", deployment!$C$4:$C$1002, "&lt;&gt;* )")+SUMIFS(namespace!$I$4:$I$1002, namespace!$B$4:$B$1002,"="&amp;A252, namespace!$B$4:$B$1002,"&lt;&gt;"&amp;""),"")</f>
        <v/>
      </c>
      <c r="N252" s="115" t="str">
        <f>IF(A252&lt;&gt;"",SUMIFS(deployment!$M$4:$M$1002, deployment!$D$4:$D$1002,"="&amp;A252, deployment!$D$4:$D$1002,"&lt;&gt;"&amp;"", deployment!$C$4:$C$1002, "&lt;&gt;* )")+SUMIFS(namespace!$J$4:$J$1002, namespace!$B$4:$B$1002,"="&amp;A252, namespace!$B$4:$B$1002,"&lt;&gt;"&amp;""),"")</f>
        <v/>
      </c>
      <c r="O252" s="116" t="str">
        <f t="shared" si="43"/>
        <v/>
      </c>
      <c r="P252" s="63"/>
      <c r="Q252" s="164" t="str">
        <f t="shared" si="38"/>
        <v/>
      </c>
      <c r="R252" s="60" t="str">
        <f t="shared" si="39"/>
        <v/>
      </c>
      <c r="S252" s="60" t="str">
        <f t="shared" si="40"/>
        <v/>
      </c>
      <c r="T252" s="61" t="str">
        <f t="shared" si="41"/>
        <v/>
      </c>
      <c r="U252" s="61" t="str">
        <f t="shared" si="42"/>
        <v/>
      </c>
      <c r="V252" s="183" t="str">
        <f t="shared" si="44"/>
        <v/>
      </c>
      <c r="W252" s="183" t="str">
        <f t="shared" si="45"/>
        <v/>
      </c>
      <c r="X252" s="61" t="str">
        <f t="shared" si="46"/>
        <v/>
      </c>
      <c r="Y252" s="61" t="str">
        <f t="shared" si="47"/>
        <v/>
      </c>
      <c r="Z252" s="118" t="str">
        <f t="shared" si="48"/>
        <v/>
      </c>
      <c r="AA252" s="62" t="str">
        <f t="shared" si="49"/>
        <v/>
      </c>
      <c r="AB252" s="119" t="str">
        <f>IF(A252&lt;&gt;"", IF(P252&lt;&gt;0,SUMIFS(node!$J$2:$J$1000, node!$C$2:$C$1000,"="&amp;A252)/P252,0), "")</f>
        <v/>
      </c>
      <c r="AC252" s="81" t="str">
        <f>IF(A252&lt;&gt;"", IF(P252&lt;&gt;0,SUMIFS(node!$K$2:$K$1000, node!$C$2:$C$1000,"="&amp;A252)/P252,0), "")</f>
        <v/>
      </c>
      <c r="AD252" s="82" t="str">
        <f>IF(A252&lt;&gt;"", SUMIFS(node!$L$2:$L$1000, node!$C$2:$C$1000,"="&amp;A252), "")</f>
        <v/>
      </c>
      <c r="AE252" s="87" t="str">
        <f>IF(A252&lt;&gt;"", SUMIFS(node!$M$2:$M$1000, node!$C$2:$C$1000,"="&amp;A252), "")</f>
        <v/>
      </c>
    </row>
    <row r="253" spans="1:31" ht="15.75" customHeight="1" x14ac:dyDescent="0.25">
      <c r="A253" s="71" t="str">
        <f>IF(ISNONTEXT(node_raw[[#This Row],[Column2]]), "", node_raw[[#This Row],[Column2]])</f>
        <v/>
      </c>
      <c r="B253" s="108" t="str">
        <f>IF(A253&lt;&gt;"", VLOOKUP(A253, node!$C$2:$D$1000, 2, FALSE), "")</f>
        <v/>
      </c>
      <c r="C253" s="109" t="str">
        <f>IF(A253&lt;&gt;"", VLOOKUP(A253, node!$C$2:$E$1000, 3, FALSE), "")</f>
        <v/>
      </c>
      <c r="D253" s="110" t="str">
        <f>IF(A253&lt;&gt;"",COUNTIFS(node!$C$2:$C$1000,"="&amp;A253, node!$C$2:$C$1000,"&lt;&gt;"&amp;""),"")</f>
        <v/>
      </c>
      <c r="E253" s="111" t="str">
        <f>IF(A253&lt;&gt;"",SUMIFS(node!$F$2:$F$500, node!$C$2:$C$500,"="&amp;A253, node!$C$2:$C$500,"&lt;&gt;"&amp;"")/(B253*D253),"")</f>
        <v/>
      </c>
      <c r="F253" s="112" t="str">
        <f>IF(A253&lt;&gt;"",SUMIFS(node!$H$2:$H$500, node!$C$2:$C$500,"="&amp;A253, node!$C$2:$C$500,"&lt;&gt;"&amp;"")/(C253*D253),"")</f>
        <v/>
      </c>
      <c r="G253" s="179" t="str">
        <f>IF(A253&lt;&gt;"",SUMIFS(deployment!$F$4:$F$502, deployment!$D$4:$D$502,"="&amp;A253, deployment!$D$4:$D$502,"&lt;&gt;"&amp;""),"")</f>
        <v/>
      </c>
      <c r="H253" s="181" t="str">
        <f>IF(A253&lt;&gt;"",SUMIFS(deployment!$G$4:$G$502, deployment!$D$4:$D$502,"="&amp;A253, deployment!$D$4:$D$502,"&lt;&gt;"&amp;""),"")</f>
        <v/>
      </c>
      <c r="I253" s="113" t="str">
        <f>IF(A253&lt;&gt;"",SUMIFS(deployment!$H$4:$H$502, deployment!$D$4:$D$502,"="&amp;A253, deployment!$D$4:$D$502,"&lt;&gt;"&amp;""),"")</f>
        <v/>
      </c>
      <c r="J253" s="114" t="str">
        <f>IF(A253&lt;&gt;"",SUMIFS(deployment!$I$4:$I$502, deployment!$D$4:$D$502,"="&amp;A253, deployment!$D$4:$D$502,"&lt;&gt;"&amp;""),"")</f>
        <v/>
      </c>
      <c r="K253" s="182" t="str">
        <f>IF(A253&lt;&gt;"",SUMIFS(deployment!$J$4:$J$1002, deployment!$D$4:$D$1002,"="&amp;A253, deployment!$D$4:$D$1002,"&lt;&gt;"&amp;"", deployment!$C$4:$C$1002, "&lt;&gt;* )")+SUMIFS(namespace!$G$4:$G$1002, namespace!$B$4:$B$1002,"="&amp;A253, namespace!$B$4:$B$1002,"&lt;&gt;"&amp;""),"")</f>
        <v/>
      </c>
      <c r="L253" s="182" t="str">
        <f>IF(A253&lt;&gt;"",SUMIFS(deployment!$K$4:$K$1002, deployment!$D$4:$D$1002,"="&amp;A253, deployment!$D$4:$D$1002,"&lt;&gt;"&amp;"", deployment!$C$4:$C$1002, "&lt;&gt;* )")+SUMIFS(namespace!$H$4:$H$1002, namespace!$B$4:$B$1002,"="&amp;A253, namespace!$B$4:$B$1002,"&lt;&gt;"&amp;""),"")</f>
        <v/>
      </c>
      <c r="M253" s="115" t="str">
        <f>IF(A253&lt;&gt;"",SUMIFS(deployment!$L$4:$L$1002, deployment!$D$4:$D$1002,"="&amp;A253, deployment!$D$4:$D$1002,"&lt;&gt;"&amp;"", deployment!$C$4:$C$1002, "&lt;&gt;* )")+SUMIFS(namespace!$I$4:$I$1002, namespace!$B$4:$B$1002,"="&amp;A253, namespace!$B$4:$B$1002,"&lt;&gt;"&amp;""),"")</f>
        <v/>
      </c>
      <c r="N253" s="115" t="str">
        <f>IF(A253&lt;&gt;"",SUMIFS(deployment!$M$4:$M$1002, deployment!$D$4:$D$1002,"="&amp;A253, deployment!$D$4:$D$1002,"&lt;&gt;"&amp;"", deployment!$C$4:$C$1002, "&lt;&gt;* )")+SUMIFS(namespace!$J$4:$J$1002, namespace!$B$4:$B$1002,"="&amp;A253, namespace!$B$4:$B$1002,"&lt;&gt;"&amp;""),"")</f>
        <v/>
      </c>
      <c r="O253" s="116" t="str">
        <f t="shared" si="43"/>
        <v/>
      </c>
      <c r="P253" s="63"/>
      <c r="Q253" s="164" t="str">
        <f t="shared" si="38"/>
        <v/>
      </c>
      <c r="R253" s="60" t="str">
        <f t="shared" si="39"/>
        <v/>
      </c>
      <c r="S253" s="60" t="str">
        <f t="shared" si="40"/>
        <v/>
      </c>
      <c r="T253" s="61" t="str">
        <f t="shared" si="41"/>
        <v/>
      </c>
      <c r="U253" s="61" t="str">
        <f t="shared" si="42"/>
        <v/>
      </c>
      <c r="V253" s="183" t="str">
        <f t="shared" si="44"/>
        <v/>
      </c>
      <c r="W253" s="183" t="str">
        <f t="shared" si="45"/>
        <v/>
      </c>
      <c r="X253" s="61" t="str">
        <f t="shared" si="46"/>
        <v/>
      </c>
      <c r="Y253" s="61" t="str">
        <f t="shared" si="47"/>
        <v/>
      </c>
      <c r="Z253" s="118" t="str">
        <f t="shared" si="48"/>
        <v/>
      </c>
      <c r="AA253" s="62" t="str">
        <f t="shared" si="49"/>
        <v/>
      </c>
      <c r="AB253" s="119" t="str">
        <f>IF(A253&lt;&gt;"", IF(P253&lt;&gt;0,SUMIFS(node!$J$2:$J$1000, node!$C$2:$C$1000,"="&amp;A253)/P253,0), "")</f>
        <v/>
      </c>
      <c r="AC253" s="81" t="str">
        <f>IF(A253&lt;&gt;"", IF(P253&lt;&gt;0,SUMIFS(node!$K$2:$K$1000, node!$C$2:$C$1000,"="&amp;A253)/P253,0), "")</f>
        <v/>
      </c>
      <c r="AD253" s="82" t="str">
        <f>IF(A253&lt;&gt;"", SUMIFS(node!$L$2:$L$1000, node!$C$2:$C$1000,"="&amp;A253), "")</f>
        <v/>
      </c>
      <c r="AE253" s="87" t="str">
        <f>IF(A253&lt;&gt;"", SUMIFS(node!$M$2:$M$1000, node!$C$2:$C$1000,"="&amp;A253), "")</f>
        <v/>
      </c>
    </row>
    <row r="254" spans="1:31" ht="15.75" customHeight="1" x14ac:dyDescent="0.25">
      <c r="A254" s="71" t="str">
        <f>IF(ISNONTEXT(node_raw[[#This Row],[Column2]]), "", node_raw[[#This Row],[Column2]])</f>
        <v/>
      </c>
      <c r="B254" s="108" t="str">
        <f>IF(A254&lt;&gt;"", VLOOKUP(A254, node!$C$2:$D$1000, 2, FALSE), "")</f>
        <v/>
      </c>
      <c r="C254" s="109" t="str">
        <f>IF(A254&lt;&gt;"", VLOOKUP(A254, node!$C$2:$E$1000, 3, FALSE), "")</f>
        <v/>
      </c>
      <c r="D254" s="110" t="str">
        <f>IF(A254&lt;&gt;"",COUNTIFS(node!$C$2:$C$1000,"="&amp;A254, node!$C$2:$C$1000,"&lt;&gt;"&amp;""),"")</f>
        <v/>
      </c>
      <c r="E254" s="111" t="str">
        <f>IF(A254&lt;&gt;"",SUMIFS(node!$F$2:$F$500, node!$C$2:$C$500,"="&amp;A254, node!$C$2:$C$500,"&lt;&gt;"&amp;"")/(B254*D254),"")</f>
        <v/>
      </c>
      <c r="F254" s="112" t="str">
        <f>IF(A254&lt;&gt;"",SUMIFS(node!$H$2:$H$500, node!$C$2:$C$500,"="&amp;A254, node!$C$2:$C$500,"&lt;&gt;"&amp;"")/(C254*D254),"")</f>
        <v/>
      </c>
      <c r="G254" s="179" t="str">
        <f>IF(A254&lt;&gt;"",SUMIFS(deployment!$F$4:$F$502, deployment!$D$4:$D$502,"="&amp;A254, deployment!$D$4:$D$502,"&lt;&gt;"&amp;""),"")</f>
        <v/>
      </c>
      <c r="H254" s="181" t="str">
        <f>IF(A254&lt;&gt;"",SUMIFS(deployment!$G$4:$G$502, deployment!$D$4:$D$502,"="&amp;A254, deployment!$D$4:$D$502,"&lt;&gt;"&amp;""),"")</f>
        <v/>
      </c>
      <c r="I254" s="113" t="str">
        <f>IF(A254&lt;&gt;"",SUMIFS(deployment!$H$4:$H$502, deployment!$D$4:$D$502,"="&amp;A254, deployment!$D$4:$D$502,"&lt;&gt;"&amp;""),"")</f>
        <v/>
      </c>
      <c r="J254" s="114" t="str">
        <f>IF(A254&lt;&gt;"",SUMIFS(deployment!$I$4:$I$502, deployment!$D$4:$D$502,"="&amp;A254, deployment!$D$4:$D$502,"&lt;&gt;"&amp;""),"")</f>
        <v/>
      </c>
      <c r="K254" s="182" t="str">
        <f>IF(A254&lt;&gt;"",SUMIFS(deployment!$J$4:$J$1002, deployment!$D$4:$D$1002,"="&amp;A254, deployment!$D$4:$D$1002,"&lt;&gt;"&amp;"", deployment!$C$4:$C$1002, "&lt;&gt;* )")+SUMIFS(namespace!$G$4:$G$1002, namespace!$B$4:$B$1002,"="&amp;A254, namespace!$B$4:$B$1002,"&lt;&gt;"&amp;""),"")</f>
        <v/>
      </c>
      <c r="L254" s="182" t="str">
        <f>IF(A254&lt;&gt;"",SUMIFS(deployment!$K$4:$K$1002, deployment!$D$4:$D$1002,"="&amp;A254, deployment!$D$4:$D$1002,"&lt;&gt;"&amp;"", deployment!$C$4:$C$1002, "&lt;&gt;* )")+SUMIFS(namespace!$H$4:$H$1002, namespace!$B$4:$B$1002,"="&amp;A254, namespace!$B$4:$B$1002,"&lt;&gt;"&amp;""),"")</f>
        <v/>
      </c>
      <c r="M254" s="115" t="str">
        <f>IF(A254&lt;&gt;"",SUMIFS(deployment!$L$4:$L$1002, deployment!$D$4:$D$1002,"="&amp;A254, deployment!$D$4:$D$1002,"&lt;&gt;"&amp;"", deployment!$C$4:$C$1002, "&lt;&gt;* )")+SUMIFS(namespace!$I$4:$I$1002, namespace!$B$4:$B$1002,"="&amp;A254, namespace!$B$4:$B$1002,"&lt;&gt;"&amp;""),"")</f>
        <v/>
      </c>
      <c r="N254" s="115" t="str">
        <f>IF(A254&lt;&gt;"",SUMIFS(deployment!$M$4:$M$1002, deployment!$D$4:$D$1002,"="&amp;A254, deployment!$D$4:$D$1002,"&lt;&gt;"&amp;"", deployment!$C$4:$C$1002, "&lt;&gt;* )")+SUMIFS(namespace!$J$4:$J$1002, namespace!$B$4:$B$1002,"="&amp;A254, namespace!$B$4:$B$1002,"&lt;&gt;"&amp;""),"")</f>
        <v/>
      </c>
      <c r="O254" s="116" t="str">
        <f t="shared" si="43"/>
        <v/>
      </c>
      <c r="P254" s="63"/>
      <c r="Q254" s="164" t="str">
        <f t="shared" si="38"/>
        <v/>
      </c>
      <c r="R254" s="60" t="str">
        <f t="shared" si="39"/>
        <v/>
      </c>
      <c r="S254" s="60" t="str">
        <f t="shared" si="40"/>
        <v/>
      </c>
      <c r="T254" s="61" t="str">
        <f t="shared" si="41"/>
        <v/>
      </c>
      <c r="U254" s="61" t="str">
        <f t="shared" si="42"/>
        <v/>
      </c>
      <c r="V254" s="183" t="str">
        <f t="shared" si="44"/>
        <v/>
      </c>
      <c r="W254" s="183" t="str">
        <f t="shared" si="45"/>
        <v/>
      </c>
      <c r="X254" s="61" t="str">
        <f t="shared" si="46"/>
        <v/>
      </c>
      <c r="Y254" s="61" t="str">
        <f t="shared" si="47"/>
        <v/>
      </c>
      <c r="Z254" s="118" t="str">
        <f t="shared" si="48"/>
        <v/>
      </c>
      <c r="AA254" s="62" t="str">
        <f t="shared" si="49"/>
        <v/>
      </c>
      <c r="AB254" s="119" t="str">
        <f>IF(A254&lt;&gt;"", IF(P254&lt;&gt;0,SUMIFS(node!$J$2:$J$1000, node!$C$2:$C$1000,"="&amp;A254)/P254,0), "")</f>
        <v/>
      </c>
      <c r="AC254" s="81" t="str">
        <f>IF(A254&lt;&gt;"", IF(P254&lt;&gt;0,SUMIFS(node!$K$2:$K$1000, node!$C$2:$C$1000,"="&amp;A254)/P254,0), "")</f>
        <v/>
      </c>
      <c r="AD254" s="82" t="str">
        <f>IF(A254&lt;&gt;"", SUMIFS(node!$L$2:$L$1000, node!$C$2:$C$1000,"="&amp;A254), "")</f>
        <v/>
      </c>
      <c r="AE254" s="87" t="str">
        <f>IF(A254&lt;&gt;"", SUMIFS(node!$M$2:$M$1000, node!$C$2:$C$1000,"="&amp;A254), "")</f>
        <v/>
      </c>
    </row>
    <row r="255" spans="1:31" ht="15.75" customHeight="1" x14ac:dyDescent="0.25">
      <c r="A255" s="71" t="str">
        <f>IF(ISNONTEXT(node_raw[[#This Row],[Column2]]), "", node_raw[[#This Row],[Column2]])</f>
        <v/>
      </c>
      <c r="B255" s="108" t="str">
        <f>IF(A255&lt;&gt;"", VLOOKUP(A255, node!$C$2:$D$1000, 2, FALSE), "")</f>
        <v/>
      </c>
      <c r="C255" s="109" t="str">
        <f>IF(A255&lt;&gt;"", VLOOKUP(A255, node!$C$2:$E$1000, 3, FALSE), "")</f>
        <v/>
      </c>
      <c r="D255" s="110" t="str">
        <f>IF(A255&lt;&gt;"",COUNTIFS(node!$C$2:$C$1000,"="&amp;A255, node!$C$2:$C$1000,"&lt;&gt;"&amp;""),"")</f>
        <v/>
      </c>
      <c r="E255" s="111" t="str">
        <f>IF(A255&lt;&gt;"",SUMIFS(node!$F$2:$F$500, node!$C$2:$C$500,"="&amp;A255, node!$C$2:$C$500,"&lt;&gt;"&amp;"")/(B255*D255),"")</f>
        <v/>
      </c>
      <c r="F255" s="112" t="str">
        <f>IF(A255&lt;&gt;"",SUMIFS(node!$H$2:$H$500, node!$C$2:$C$500,"="&amp;A255, node!$C$2:$C$500,"&lt;&gt;"&amp;"")/(C255*D255),"")</f>
        <v/>
      </c>
      <c r="G255" s="179" t="str">
        <f>IF(A255&lt;&gt;"",SUMIFS(deployment!$F$4:$F$502, deployment!$D$4:$D$502,"="&amp;A255, deployment!$D$4:$D$502,"&lt;&gt;"&amp;""),"")</f>
        <v/>
      </c>
      <c r="H255" s="181" t="str">
        <f>IF(A255&lt;&gt;"",SUMIFS(deployment!$G$4:$G$502, deployment!$D$4:$D$502,"="&amp;A255, deployment!$D$4:$D$502,"&lt;&gt;"&amp;""),"")</f>
        <v/>
      </c>
      <c r="I255" s="113" t="str">
        <f>IF(A255&lt;&gt;"",SUMIFS(deployment!$H$4:$H$502, deployment!$D$4:$D$502,"="&amp;A255, deployment!$D$4:$D$502,"&lt;&gt;"&amp;""),"")</f>
        <v/>
      </c>
      <c r="J255" s="114" t="str">
        <f>IF(A255&lt;&gt;"",SUMIFS(deployment!$I$4:$I$502, deployment!$D$4:$D$502,"="&amp;A255, deployment!$D$4:$D$502,"&lt;&gt;"&amp;""),"")</f>
        <v/>
      </c>
      <c r="K255" s="182" t="str">
        <f>IF(A255&lt;&gt;"",SUMIFS(deployment!$J$4:$J$1002, deployment!$D$4:$D$1002,"="&amp;A255, deployment!$D$4:$D$1002,"&lt;&gt;"&amp;"", deployment!$C$4:$C$1002, "&lt;&gt;* )")+SUMIFS(namespace!$G$4:$G$1002, namespace!$B$4:$B$1002,"="&amp;A255, namespace!$B$4:$B$1002,"&lt;&gt;"&amp;""),"")</f>
        <v/>
      </c>
      <c r="L255" s="182" t="str">
        <f>IF(A255&lt;&gt;"",SUMIFS(deployment!$K$4:$K$1002, deployment!$D$4:$D$1002,"="&amp;A255, deployment!$D$4:$D$1002,"&lt;&gt;"&amp;"", deployment!$C$4:$C$1002, "&lt;&gt;* )")+SUMIFS(namespace!$H$4:$H$1002, namespace!$B$4:$B$1002,"="&amp;A255, namespace!$B$4:$B$1002,"&lt;&gt;"&amp;""),"")</f>
        <v/>
      </c>
      <c r="M255" s="115" t="str">
        <f>IF(A255&lt;&gt;"",SUMIFS(deployment!$L$4:$L$1002, deployment!$D$4:$D$1002,"="&amp;A255, deployment!$D$4:$D$1002,"&lt;&gt;"&amp;"", deployment!$C$4:$C$1002, "&lt;&gt;* )")+SUMIFS(namespace!$I$4:$I$1002, namespace!$B$4:$B$1002,"="&amp;A255, namespace!$B$4:$B$1002,"&lt;&gt;"&amp;""),"")</f>
        <v/>
      </c>
      <c r="N255" s="115" t="str">
        <f>IF(A255&lt;&gt;"",SUMIFS(deployment!$M$4:$M$1002, deployment!$D$4:$D$1002,"="&amp;A255, deployment!$D$4:$D$1002,"&lt;&gt;"&amp;"", deployment!$C$4:$C$1002, "&lt;&gt;* )")+SUMIFS(namespace!$J$4:$J$1002, namespace!$B$4:$B$1002,"="&amp;A255, namespace!$B$4:$B$1002,"&lt;&gt;"&amp;""),"")</f>
        <v/>
      </c>
      <c r="O255" s="116" t="str">
        <f t="shared" si="43"/>
        <v/>
      </c>
      <c r="P255" s="63"/>
      <c r="Q255" s="164" t="str">
        <f t="shared" si="38"/>
        <v/>
      </c>
      <c r="R255" s="60" t="str">
        <f t="shared" si="39"/>
        <v/>
      </c>
      <c r="S255" s="60" t="str">
        <f t="shared" si="40"/>
        <v/>
      </c>
      <c r="T255" s="61" t="str">
        <f t="shared" si="41"/>
        <v/>
      </c>
      <c r="U255" s="61" t="str">
        <f t="shared" si="42"/>
        <v/>
      </c>
      <c r="V255" s="183" t="str">
        <f t="shared" si="44"/>
        <v/>
      </c>
      <c r="W255" s="183" t="str">
        <f t="shared" si="45"/>
        <v/>
      </c>
      <c r="X255" s="61" t="str">
        <f t="shared" si="46"/>
        <v/>
      </c>
      <c r="Y255" s="61" t="str">
        <f t="shared" si="47"/>
        <v/>
      </c>
      <c r="Z255" s="118" t="str">
        <f t="shared" si="48"/>
        <v/>
      </c>
      <c r="AA255" s="62" t="str">
        <f t="shared" si="49"/>
        <v/>
      </c>
      <c r="AB255" s="119" t="str">
        <f>IF(A255&lt;&gt;"", IF(P255&lt;&gt;0,SUMIFS(node!$J$2:$J$1000, node!$C$2:$C$1000,"="&amp;A255)/P255,0), "")</f>
        <v/>
      </c>
      <c r="AC255" s="81" t="str">
        <f>IF(A255&lt;&gt;"", IF(P255&lt;&gt;0,SUMIFS(node!$K$2:$K$1000, node!$C$2:$C$1000,"="&amp;A255)/P255,0), "")</f>
        <v/>
      </c>
      <c r="AD255" s="82" t="str">
        <f>IF(A255&lt;&gt;"", SUMIFS(node!$L$2:$L$1000, node!$C$2:$C$1000,"="&amp;A255), "")</f>
        <v/>
      </c>
      <c r="AE255" s="87" t="str">
        <f>IF(A255&lt;&gt;"", SUMIFS(node!$M$2:$M$1000, node!$C$2:$C$1000,"="&amp;A255), "")</f>
        <v/>
      </c>
    </row>
    <row r="256" spans="1:31" ht="15.75" customHeight="1" x14ac:dyDescent="0.25">
      <c r="A256" s="71" t="str">
        <f>IF(ISNONTEXT(node_raw[[#This Row],[Column2]]), "", node_raw[[#This Row],[Column2]])</f>
        <v/>
      </c>
      <c r="B256" s="108" t="str">
        <f>IF(A256&lt;&gt;"", VLOOKUP(A256, node!$C$2:$D$1000, 2, FALSE), "")</f>
        <v/>
      </c>
      <c r="C256" s="109" t="str">
        <f>IF(A256&lt;&gt;"", VLOOKUP(A256, node!$C$2:$E$1000, 3, FALSE), "")</f>
        <v/>
      </c>
      <c r="D256" s="110" t="str">
        <f>IF(A256&lt;&gt;"",COUNTIFS(node!$C$2:$C$1000,"="&amp;A256, node!$C$2:$C$1000,"&lt;&gt;"&amp;""),"")</f>
        <v/>
      </c>
      <c r="E256" s="111" t="str">
        <f>IF(A256&lt;&gt;"",SUMIFS(node!$F$2:$F$500, node!$C$2:$C$500,"="&amp;A256, node!$C$2:$C$500,"&lt;&gt;"&amp;"")/(B256*D256),"")</f>
        <v/>
      </c>
      <c r="F256" s="112" t="str">
        <f>IF(A256&lt;&gt;"",SUMIFS(node!$H$2:$H$500, node!$C$2:$C$500,"="&amp;A256, node!$C$2:$C$500,"&lt;&gt;"&amp;"")/(C256*D256),"")</f>
        <v/>
      </c>
      <c r="G256" s="179" t="str">
        <f>IF(A256&lt;&gt;"",SUMIFS(deployment!$F$4:$F$502, deployment!$D$4:$D$502,"="&amp;A256, deployment!$D$4:$D$502,"&lt;&gt;"&amp;""),"")</f>
        <v/>
      </c>
      <c r="H256" s="181" t="str">
        <f>IF(A256&lt;&gt;"",SUMIFS(deployment!$G$4:$G$502, deployment!$D$4:$D$502,"="&amp;A256, deployment!$D$4:$D$502,"&lt;&gt;"&amp;""),"")</f>
        <v/>
      </c>
      <c r="I256" s="113" t="str">
        <f>IF(A256&lt;&gt;"",SUMIFS(deployment!$H$4:$H$502, deployment!$D$4:$D$502,"="&amp;A256, deployment!$D$4:$D$502,"&lt;&gt;"&amp;""),"")</f>
        <v/>
      </c>
      <c r="J256" s="114" t="str">
        <f>IF(A256&lt;&gt;"",SUMIFS(deployment!$I$4:$I$502, deployment!$D$4:$D$502,"="&amp;A256, deployment!$D$4:$D$502,"&lt;&gt;"&amp;""),"")</f>
        <v/>
      </c>
      <c r="K256" s="182" t="str">
        <f>IF(A256&lt;&gt;"",SUMIFS(deployment!$J$4:$J$1002, deployment!$D$4:$D$1002,"="&amp;A256, deployment!$D$4:$D$1002,"&lt;&gt;"&amp;"", deployment!$C$4:$C$1002, "&lt;&gt;* )")+SUMIFS(namespace!$G$4:$G$1002, namespace!$B$4:$B$1002,"="&amp;A256, namespace!$B$4:$B$1002,"&lt;&gt;"&amp;""),"")</f>
        <v/>
      </c>
      <c r="L256" s="182" t="str">
        <f>IF(A256&lt;&gt;"",SUMIFS(deployment!$K$4:$K$1002, deployment!$D$4:$D$1002,"="&amp;A256, deployment!$D$4:$D$1002,"&lt;&gt;"&amp;"", deployment!$C$4:$C$1002, "&lt;&gt;* )")+SUMIFS(namespace!$H$4:$H$1002, namespace!$B$4:$B$1002,"="&amp;A256, namespace!$B$4:$B$1002,"&lt;&gt;"&amp;""),"")</f>
        <v/>
      </c>
      <c r="M256" s="115" t="str">
        <f>IF(A256&lt;&gt;"",SUMIFS(deployment!$L$4:$L$1002, deployment!$D$4:$D$1002,"="&amp;A256, deployment!$D$4:$D$1002,"&lt;&gt;"&amp;"", deployment!$C$4:$C$1002, "&lt;&gt;* )")+SUMIFS(namespace!$I$4:$I$1002, namespace!$B$4:$B$1002,"="&amp;A256, namespace!$B$4:$B$1002,"&lt;&gt;"&amp;""),"")</f>
        <v/>
      </c>
      <c r="N256" s="115" t="str">
        <f>IF(A256&lt;&gt;"",SUMIFS(deployment!$M$4:$M$1002, deployment!$D$4:$D$1002,"="&amp;A256, deployment!$D$4:$D$1002,"&lt;&gt;"&amp;"", deployment!$C$4:$C$1002, "&lt;&gt;* )")+SUMIFS(namespace!$J$4:$J$1002, namespace!$B$4:$B$1002,"="&amp;A256, namespace!$B$4:$B$1002,"&lt;&gt;"&amp;""),"")</f>
        <v/>
      </c>
      <c r="O256" s="116" t="str">
        <f t="shared" si="43"/>
        <v/>
      </c>
      <c r="P256" s="63"/>
      <c r="Q256" s="164" t="str">
        <f t="shared" si="38"/>
        <v/>
      </c>
      <c r="R256" s="60" t="str">
        <f t="shared" si="39"/>
        <v/>
      </c>
      <c r="S256" s="60" t="str">
        <f t="shared" si="40"/>
        <v/>
      </c>
      <c r="T256" s="61" t="str">
        <f t="shared" si="41"/>
        <v/>
      </c>
      <c r="U256" s="61" t="str">
        <f t="shared" si="42"/>
        <v/>
      </c>
      <c r="V256" s="183" t="str">
        <f t="shared" si="44"/>
        <v/>
      </c>
      <c r="W256" s="183" t="str">
        <f t="shared" si="45"/>
        <v/>
      </c>
      <c r="X256" s="61" t="str">
        <f t="shared" si="46"/>
        <v/>
      </c>
      <c r="Y256" s="61" t="str">
        <f t="shared" si="47"/>
        <v/>
      </c>
      <c r="Z256" s="118" t="str">
        <f t="shared" si="48"/>
        <v/>
      </c>
      <c r="AA256" s="62" t="str">
        <f t="shared" si="49"/>
        <v/>
      </c>
      <c r="AB256" s="119" t="str">
        <f>IF(A256&lt;&gt;"", IF(P256&lt;&gt;0,SUMIFS(node!$J$2:$J$1000, node!$C$2:$C$1000,"="&amp;A256)/P256,0), "")</f>
        <v/>
      </c>
      <c r="AC256" s="81" t="str">
        <f>IF(A256&lt;&gt;"", IF(P256&lt;&gt;0,SUMIFS(node!$K$2:$K$1000, node!$C$2:$C$1000,"="&amp;A256)/P256,0), "")</f>
        <v/>
      </c>
      <c r="AD256" s="82" t="str">
        <f>IF(A256&lt;&gt;"", SUMIFS(node!$L$2:$L$1000, node!$C$2:$C$1000,"="&amp;A256), "")</f>
        <v/>
      </c>
      <c r="AE256" s="87" t="str">
        <f>IF(A256&lt;&gt;"", SUMIFS(node!$M$2:$M$1000, node!$C$2:$C$1000,"="&amp;A256), "")</f>
        <v/>
      </c>
    </row>
    <row r="257" spans="1:31" ht="15.75" customHeight="1" x14ac:dyDescent="0.25">
      <c r="A257" s="71" t="str">
        <f>IF(ISNONTEXT(node_raw[[#This Row],[Column2]]), "", node_raw[[#This Row],[Column2]])</f>
        <v/>
      </c>
      <c r="B257" s="108" t="str">
        <f>IF(A257&lt;&gt;"", VLOOKUP(A257, node!$C$2:$D$1000, 2, FALSE), "")</f>
        <v/>
      </c>
      <c r="C257" s="109" t="str">
        <f>IF(A257&lt;&gt;"", VLOOKUP(A257, node!$C$2:$E$1000, 3, FALSE), "")</f>
        <v/>
      </c>
      <c r="D257" s="110" t="str">
        <f>IF(A257&lt;&gt;"",COUNTIFS(node!$C$2:$C$1000,"="&amp;A257, node!$C$2:$C$1000,"&lt;&gt;"&amp;""),"")</f>
        <v/>
      </c>
      <c r="E257" s="111" t="str">
        <f>IF(A257&lt;&gt;"",SUMIFS(node!$F$2:$F$500, node!$C$2:$C$500,"="&amp;A257, node!$C$2:$C$500,"&lt;&gt;"&amp;"")/(B257*D257),"")</f>
        <v/>
      </c>
      <c r="F257" s="112" t="str">
        <f>IF(A257&lt;&gt;"",SUMIFS(node!$H$2:$H$500, node!$C$2:$C$500,"="&amp;A257, node!$C$2:$C$500,"&lt;&gt;"&amp;"")/(C257*D257),"")</f>
        <v/>
      </c>
      <c r="G257" s="179" t="str">
        <f>IF(A257&lt;&gt;"",SUMIFS(deployment!$F$4:$F$502, deployment!$D$4:$D$502,"="&amp;A257, deployment!$D$4:$D$502,"&lt;&gt;"&amp;""),"")</f>
        <v/>
      </c>
      <c r="H257" s="181" t="str">
        <f>IF(A257&lt;&gt;"",SUMIFS(deployment!$G$4:$G$502, deployment!$D$4:$D$502,"="&amp;A257, deployment!$D$4:$D$502,"&lt;&gt;"&amp;""),"")</f>
        <v/>
      </c>
      <c r="I257" s="113" t="str">
        <f>IF(A257&lt;&gt;"",SUMIFS(deployment!$H$4:$H$502, deployment!$D$4:$D$502,"="&amp;A257, deployment!$D$4:$D$502,"&lt;&gt;"&amp;""),"")</f>
        <v/>
      </c>
      <c r="J257" s="114" t="str">
        <f>IF(A257&lt;&gt;"",SUMIFS(deployment!$I$4:$I$502, deployment!$D$4:$D$502,"="&amp;A257, deployment!$D$4:$D$502,"&lt;&gt;"&amp;""),"")</f>
        <v/>
      </c>
      <c r="K257" s="182" t="str">
        <f>IF(A257&lt;&gt;"",SUMIFS(deployment!$J$4:$J$1002, deployment!$D$4:$D$1002,"="&amp;A257, deployment!$D$4:$D$1002,"&lt;&gt;"&amp;"", deployment!$C$4:$C$1002, "&lt;&gt;* )")+SUMIFS(namespace!$G$4:$G$1002, namespace!$B$4:$B$1002,"="&amp;A257, namespace!$B$4:$B$1002,"&lt;&gt;"&amp;""),"")</f>
        <v/>
      </c>
      <c r="L257" s="182" t="str">
        <f>IF(A257&lt;&gt;"",SUMIFS(deployment!$K$4:$K$1002, deployment!$D$4:$D$1002,"="&amp;A257, deployment!$D$4:$D$1002,"&lt;&gt;"&amp;"", deployment!$C$4:$C$1002, "&lt;&gt;* )")+SUMIFS(namespace!$H$4:$H$1002, namespace!$B$4:$B$1002,"="&amp;A257, namespace!$B$4:$B$1002,"&lt;&gt;"&amp;""),"")</f>
        <v/>
      </c>
      <c r="M257" s="115" t="str">
        <f>IF(A257&lt;&gt;"",SUMIFS(deployment!$L$4:$L$1002, deployment!$D$4:$D$1002,"="&amp;A257, deployment!$D$4:$D$1002,"&lt;&gt;"&amp;"", deployment!$C$4:$C$1002, "&lt;&gt;* )")+SUMIFS(namespace!$I$4:$I$1002, namespace!$B$4:$B$1002,"="&amp;A257, namespace!$B$4:$B$1002,"&lt;&gt;"&amp;""),"")</f>
        <v/>
      </c>
      <c r="N257" s="115" t="str">
        <f>IF(A257&lt;&gt;"",SUMIFS(deployment!$M$4:$M$1002, deployment!$D$4:$D$1002,"="&amp;A257, deployment!$D$4:$D$1002,"&lt;&gt;"&amp;"", deployment!$C$4:$C$1002, "&lt;&gt;* )")+SUMIFS(namespace!$J$4:$J$1002, namespace!$B$4:$B$1002,"="&amp;A257, namespace!$B$4:$B$1002,"&lt;&gt;"&amp;""),"")</f>
        <v/>
      </c>
      <c r="O257" s="116" t="str">
        <f t="shared" si="43"/>
        <v/>
      </c>
      <c r="P257" s="63"/>
      <c r="Q257" s="164" t="str">
        <f t="shared" si="38"/>
        <v/>
      </c>
      <c r="R257" s="60" t="str">
        <f t="shared" si="39"/>
        <v/>
      </c>
      <c r="S257" s="60" t="str">
        <f t="shared" si="40"/>
        <v/>
      </c>
      <c r="T257" s="61" t="str">
        <f t="shared" si="41"/>
        <v/>
      </c>
      <c r="U257" s="61" t="str">
        <f t="shared" si="42"/>
        <v/>
      </c>
      <c r="V257" s="183" t="str">
        <f t="shared" si="44"/>
        <v/>
      </c>
      <c r="W257" s="183" t="str">
        <f t="shared" si="45"/>
        <v/>
      </c>
      <c r="X257" s="61" t="str">
        <f t="shared" si="46"/>
        <v/>
      </c>
      <c r="Y257" s="61" t="str">
        <f t="shared" si="47"/>
        <v/>
      </c>
      <c r="Z257" s="118" t="str">
        <f t="shared" si="48"/>
        <v/>
      </c>
      <c r="AA257" s="62" t="str">
        <f t="shared" si="49"/>
        <v/>
      </c>
      <c r="AB257" s="119" t="str">
        <f>IF(A257&lt;&gt;"", IF(P257&lt;&gt;0,SUMIFS(node!$J$2:$J$1000, node!$C$2:$C$1000,"="&amp;A257)/P257,0), "")</f>
        <v/>
      </c>
      <c r="AC257" s="81" t="str">
        <f>IF(A257&lt;&gt;"", IF(P257&lt;&gt;0,SUMIFS(node!$K$2:$K$1000, node!$C$2:$C$1000,"="&amp;A257)/P257,0), "")</f>
        <v/>
      </c>
      <c r="AD257" s="82" t="str">
        <f>IF(A257&lt;&gt;"", SUMIFS(node!$L$2:$L$1000, node!$C$2:$C$1000,"="&amp;A257), "")</f>
        <v/>
      </c>
      <c r="AE257" s="87" t="str">
        <f>IF(A257&lt;&gt;"", SUMIFS(node!$M$2:$M$1000, node!$C$2:$C$1000,"="&amp;A257), "")</f>
        <v/>
      </c>
    </row>
    <row r="258" spans="1:31" ht="15.75" customHeight="1" x14ac:dyDescent="0.25">
      <c r="A258" s="71" t="str">
        <f>IF(ISNONTEXT(node_raw[[#This Row],[Column2]]), "", node_raw[[#This Row],[Column2]])</f>
        <v/>
      </c>
      <c r="B258" s="108" t="str">
        <f>IF(A258&lt;&gt;"", VLOOKUP(A258, node!$C$2:$D$1000, 2, FALSE), "")</f>
        <v/>
      </c>
      <c r="C258" s="109" t="str">
        <f>IF(A258&lt;&gt;"", VLOOKUP(A258, node!$C$2:$E$1000, 3, FALSE), "")</f>
        <v/>
      </c>
      <c r="D258" s="110" t="str">
        <f>IF(A258&lt;&gt;"",COUNTIFS(node!$C$2:$C$1000,"="&amp;A258, node!$C$2:$C$1000,"&lt;&gt;"&amp;""),"")</f>
        <v/>
      </c>
      <c r="E258" s="111" t="str">
        <f>IF(A258&lt;&gt;"",SUMIFS(node!$F$2:$F$500, node!$C$2:$C$500,"="&amp;A258, node!$C$2:$C$500,"&lt;&gt;"&amp;"")/(B258*D258),"")</f>
        <v/>
      </c>
      <c r="F258" s="112" t="str">
        <f>IF(A258&lt;&gt;"",SUMIFS(node!$H$2:$H$500, node!$C$2:$C$500,"="&amp;A258, node!$C$2:$C$500,"&lt;&gt;"&amp;"")/(C258*D258),"")</f>
        <v/>
      </c>
      <c r="G258" s="179" t="str">
        <f>IF(A258&lt;&gt;"",SUMIFS(deployment!$F$4:$F$502, deployment!$D$4:$D$502,"="&amp;A258, deployment!$D$4:$D$502,"&lt;&gt;"&amp;""),"")</f>
        <v/>
      </c>
      <c r="H258" s="181" t="str">
        <f>IF(A258&lt;&gt;"",SUMIFS(deployment!$G$4:$G$502, deployment!$D$4:$D$502,"="&amp;A258, deployment!$D$4:$D$502,"&lt;&gt;"&amp;""),"")</f>
        <v/>
      </c>
      <c r="I258" s="113" t="str">
        <f>IF(A258&lt;&gt;"",SUMIFS(deployment!$H$4:$H$502, deployment!$D$4:$D$502,"="&amp;A258, deployment!$D$4:$D$502,"&lt;&gt;"&amp;""),"")</f>
        <v/>
      </c>
      <c r="J258" s="114" t="str">
        <f>IF(A258&lt;&gt;"",SUMIFS(deployment!$I$4:$I$502, deployment!$D$4:$D$502,"="&amp;A258, deployment!$D$4:$D$502,"&lt;&gt;"&amp;""),"")</f>
        <v/>
      </c>
      <c r="K258" s="182" t="str">
        <f>IF(A258&lt;&gt;"",SUMIFS(deployment!$J$4:$J$1002, deployment!$D$4:$D$1002,"="&amp;A258, deployment!$D$4:$D$1002,"&lt;&gt;"&amp;"", deployment!$C$4:$C$1002, "&lt;&gt;* )")+SUMIFS(namespace!$G$4:$G$1002, namespace!$B$4:$B$1002,"="&amp;A258, namespace!$B$4:$B$1002,"&lt;&gt;"&amp;""),"")</f>
        <v/>
      </c>
      <c r="L258" s="182" t="str">
        <f>IF(A258&lt;&gt;"",SUMIFS(deployment!$K$4:$K$1002, deployment!$D$4:$D$1002,"="&amp;A258, deployment!$D$4:$D$1002,"&lt;&gt;"&amp;"", deployment!$C$4:$C$1002, "&lt;&gt;* )")+SUMIFS(namespace!$H$4:$H$1002, namespace!$B$4:$B$1002,"="&amp;A258, namespace!$B$4:$B$1002,"&lt;&gt;"&amp;""),"")</f>
        <v/>
      </c>
      <c r="M258" s="115" t="str">
        <f>IF(A258&lt;&gt;"",SUMIFS(deployment!$L$4:$L$1002, deployment!$D$4:$D$1002,"="&amp;A258, deployment!$D$4:$D$1002,"&lt;&gt;"&amp;"", deployment!$C$4:$C$1002, "&lt;&gt;* )")+SUMIFS(namespace!$I$4:$I$1002, namespace!$B$4:$B$1002,"="&amp;A258, namespace!$B$4:$B$1002,"&lt;&gt;"&amp;""),"")</f>
        <v/>
      </c>
      <c r="N258" s="115" t="str">
        <f>IF(A258&lt;&gt;"",SUMIFS(deployment!$M$4:$M$1002, deployment!$D$4:$D$1002,"="&amp;A258, deployment!$D$4:$D$1002,"&lt;&gt;"&amp;"", deployment!$C$4:$C$1002, "&lt;&gt;* )")+SUMIFS(namespace!$J$4:$J$1002, namespace!$B$4:$B$1002,"="&amp;A258, namespace!$B$4:$B$1002,"&lt;&gt;"&amp;""),"")</f>
        <v/>
      </c>
      <c r="O258" s="116" t="str">
        <f t="shared" si="43"/>
        <v/>
      </c>
      <c r="P258" s="63"/>
      <c r="Q258" s="164" t="str">
        <f t="shared" si="38"/>
        <v/>
      </c>
      <c r="R258" s="60" t="str">
        <f t="shared" si="39"/>
        <v/>
      </c>
      <c r="S258" s="60" t="str">
        <f t="shared" si="40"/>
        <v/>
      </c>
      <c r="T258" s="61" t="str">
        <f t="shared" si="41"/>
        <v/>
      </c>
      <c r="U258" s="61" t="str">
        <f t="shared" si="42"/>
        <v/>
      </c>
      <c r="V258" s="183" t="str">
        <f t="shared" si="44"/>
        <v/>
      </c>
      <c r="W258" s="183" t="str">
        <f t="shared" si="45"/>
        <v/>
      </c>
      <c r="X258" s="61" t="str">
        <f t="shared" si="46"/>
        <v/>
      </c>
      <c r="Y258" s="61" t="str">
        <f t="shared" si="47"/>
        <v/>
      </c>
      <c r="Z258" s="118" t="str">
        <f t="shared" si="48"/>
        <v/>
      </c>
      <c r="AA258" s="62" t="str">
        <f t="shared" si="49"/>
        <v/>
      </c>
      <c r="AB258" s="119" t="str">
        <f>IF(A258&lt;&gt;"", IF(P258&lt;&gt;0,SUMIFS(node!$J$2:$J$1000, node!$C$2:$C$1000,"="&amp;A258)/P258,0), "")</f>
        <v/>
      </c>
      <c r="AC258" s="81" t="str">
        <f>IF(A258&lt;&gt;"", IF(P258&lt;&gt;0,SUMIFS(node!$K$2:$K$1000, node!$C$2:$C$1000,"="&amp;A258)/P258,0), "")</f>
        <v/>
      </c>
      <c r="AD258" s="82" t="str">
        <f>IF(A258&lt;&gt;"", SUMIFS(node!$L$2:$L$1000, node!$C$2:$C$1000,"="&amp;A258), "")</f>
        <v/>
      </c>
      <c r="AE258" s="87" t="str">
        <f>IF(A258&lt;&gt;"", SUMIFS(node!$M$2:$M$1000, node!$C$2:$C$1000,"="&amp;A258), "")</f>
        <v/>
      </c>
    </row>
    <row r="259" spans="1:31" ht="15.75" customHeight="1" x14ac:dyDescent="0.25">
      <c r="A259" s="71" t="str">
        <f>IF(ISNONTEXT(node_raw[[#This Row],[Column2]]), "", node_raw[[#This Row],[Column2]])</f>
        <v/>
      </c>
      <c r="B259" s="108" t="str">
        <f>IF(A259&lt;&gt;"", VLOOKUP(A259, node!$C$2:$D$1000, 2, FALSE), "")</f>
        <v/>
      </c>
      <c r="C259" s="109" t="str">
        <f>IF(A259&lt;&gt;"", VLOOKUP(A259, node!$C$2:$E$1000, 3, FALSE), "")</f>
        <v/>
      </c>
      <c r="D259" s="110" t="str">
        <f>IF(A259&lt;&gt;"",COUNTIFS(node!$C$2:$C$1000,"="&amp;A259, node!$C$2:$C$1000,"&lt;&gt;"&amp;""),"")</f>
        <v/>
      </c>
      <c r="E259" s="111" t="str">
        <f>IF(A259&lt;&gt;"",SUMIFS(node!$F$2:$F$500, node!$C$2:$C$500,"="&amp;A259, node!$C$2:$C$500,"&lt;&gt;"&amp;"")/(B259*D259),"")</f>
        <v/>
      </c>
      <c r="F259" s="112" t="str">
        <f>IF(A259&lt;&gt;"",SUMIFS(node!$H$2:$H$500, node!$C$2:$C$500,"="&amp;A259, node!$C$2:$C$500,"&lt;&gt;"&amp;"")/(C259*D259),"")</f>
        <v/>
      </c>
      <c r="G259" s="179" t="str">
        <f>IF(A259&lt;&gt;"",SUMIFS(deployment!$F$4:$F$502, deployment!$D$4:$D$502,"="&amp;A259, deployment!$D$4:$D$502,"&lt;&gt;"&amp;""),"")</f>
        <v/>
      </c>
      <c r="H259" s="181" t="str">
        <f>IF(A259&lt;&gt;"",SUMIFS(deployment!$G$4:$G$502, deployment!$D$4:$D$502,"="&amp;A259, deployment!$D$4:$D$502,"&lt;&gt;"&amp;""),"")</f>
        <v/>
      </c>
      <c r="I259" s="113" t="str">
        <f>IF(A259&lt;&gt;"",SUMIFS(deployment!$H$4:$H$502, deployment!$D$4:$D$502,"="&amp;A259, deployment!$D$4:$D$502,"&lt;&gt;"&amp;""),"")</f>
        <v/>
      </c>
      <c r="J259" s="114" t="str">
        <f>IF(A259&lt;&gt;"",SUMIFS(deployment!$I$4:$I$502, deployment!$D$4:$D$502,"="&amp;A259, deployment!$D$4:$D$502,"&lt;&gt;"&amp;""),"")</f>
        <v/>
      </c>
      <c r="K259" s="182" t="str">
        <f>IF(A259&lt;&gt;"",SUMIFS(deployment!$J$4:$J$1002, deployment!$D$4:$D$1002,"="&amp;A259, deployment!$D$4:$D$1002,"&lt;&gt;"&amp;"", deployment!$C$4:$C$1002, "&lt;&gt;* )")+SUMIFS(namespace!$G$4:$G$1002, namespace!$B$4:$B$1002,"="&amp;A259, namespace!$B$4:$B$1002,"&lt;&gt;"&amp;""),"")</f>
        <v/>
      </c>
      <c r="L259" s="182" t="str">
        <f>IF(A259&lt;&gt;"",SUMIFS(deployment!$K$4:$K$1002, deployment!$D$4:$D$1002,"="&amp;A259, deployment!$D$4:$D$1002,"&lt;&gt;"&amp;"", deployment!$C$4:$C$1002, "&lt;&gt;* )")+SUMIFS(namespace!$H$4:$H$1002, namespace!$B$4:$B$1002,"="&amp;A259, namespace!$B$4:$B$1002,"&lt;&gt;"&amp;""),"")</f>
        <v/>
      </c>
      <c r="M259" s="115" t="str">
        <f>IF(A259&lt;&gt;"",SUMIFS(deployment!$L$4:$L$1002, deployment!$D$4:$D$1002,"="&amp;A259, deployment!$D$4:$D$1002,"&lt;&gt;"&amp;"", deployment!$C$4:$C$1002, "&lt;&gt;* )")+SUMIFS(namespace!$I$4:$I$1002, namespace!$B$4:$B$1002,"="&amp;A259, namespace!$B$4:$B$1002,"&lt;&gt;"&amp;""),"")</f>
        <v/>
      </c>
      <c r="N259" s="115" t="str">
        <f>IF(A259&lt;&gt;"",SUMIFS(deployment!$M$4:$M$1002, deployment!$D$4:$D$1002,"="&amp;A259, deployment!$D$4:$D$1002,"&lt;&gt;"&amp;"", deployment!$C$4:$C$1002, "&lt;&gt;* )")+SUMIFS(namespace!$J$4:$J$1002, namespace!$B$4:$B$1002,"="&amp;A259, namespace!$B$4:$B$1002,"&lt;&gt;"&amp;""),"")</f>
        <v/>
      </c>
      <c r="O259" s="116" t="str">
        <f t="shared" si="43"/>
        <v/>
      </c>
      <c r="P259" s="63"/>
      <c r="Q259" s="164" t="str">
        <f t="shared" si="38"/>
        <v/>
      </c>
      <c r="R259" s="60" t="str">
        <f t="shared" si="39"/>
        <v/>
      </c>
      <c r="S259" s="60" t="str">
        <f t="shared" si="40"/>
        <v/>
      </c>
      <c r="T259" s="61" t="str">
        <f t="shared" si="41"/>
        <v/>
      </c>
      <c r="U259" s="61" t="str">
        <f t="shared" si="42"/>
        <v/>
      </c>
      <c r="V259" s="183" t="str">
        <f t="shared" si="44"/>
        <v/>
      </c>
      <c r="W259" s="183" t="str">
        <f t="shared" si="45"/>
        <v/>
      </c>
      <c r="X259" s="61" t="str">
        <f t="shared" si="46"/>
        <v/>
      </c>
      <c r="Y259" s="61" t="str">
        <f t="shared" si="47"/>
        <v/>
      </c>
      <c r="Z259" s="118" t="str">
        <f t="shared" si="48"/>
        <v/>
      </c>
      <c r="AA259" s="62" t="str">
        <f t="shared" si="49"/>
        <v/>
      </c>
      <c r="AB259" s="119" t="str">
        <f>IF(A259&lt;&gt;"", IF(P259&lt;&gt;0,SUMIFS(node!$J$2:$J$1000, node!$C$2:$C$1000,"="&amp;A259)/P259,0), "")</f>
        <v/>
      </c>
      <c r="AC259" s="81" t="str">
        <f>IF(A259&lt;&gt;"", IF(P259&lt;&gt;0,SUMIFS(node!$K$2:$K$1000, node!$C$2:$C$1000,"="&amp;A259)/P259,0), "")</f>
        <v/>
      </c>
      <c r="AD259" s="82" t="str">
        <f>IF(A259&lt;&gt;"", SUMIFS(node!$L$2:$L$1000, node!$C$2:$C$1000,"="&amp;A259), "")</f>
        <v/>
      </c>
      <c r="AE259" s="87" t="str">
        <f>IF(A259&lt;&gt;"", SUMIFS(node!$M$2:$M$1000, node!$C$2:$C$1000,"="&amp;A259), "")</f>
        <v/>
      </c>
    </row>
    <row r="260" spans="1:31" ht="15.75" customHeight="1" x14ac:dyDescent="0.25">
      <c r="A260" s="71" t="str">
        <f>IF(ISNONTEXT(node_raw[[#This Row],[Column2]]), "", node_raw[[#This Row],[Column2]])</f>
        <v/>
      </c>
      <c r="B260" s="108" t="str">
        <f>IF(A260&lt;&gt;"", VLOOKUP(A260, node!$C$2:$D$1000, 2, FALSE), "")</f>
        <v/>
      </c>
      <c r="C260" s="109" t="str">
        <f>IF(A260&lt;&gt;"", VLOOKUP(A260, node!$C$2:$E$1000, 3, FALSE), "")</f>
        <v/>
      </c>
      <c r="D260" s="110" t="str">
        <f>IF(A260&lt;&gt;"",COUNTIFS(node!$C$2:$C$1000,"="&amp;A260, node!$C$2:$C$1000,"&lt;&gt;"&amp;""),"")</f>
        <v/>
      </c>
      <c r="E260" s="111" t="str">
        <f>IF(A260&lt;&gt;"",SUMIFS(node!$F$2:$F$500, node!$C$2:$C$500,"="&amp;A260, node!$C$2:$C$500,"&lt;&gt;"&amp;"")/(B260*D260),"")</f>
        <v/>
      </c>
      <c r="F260" s="112" t="str">
        <f>IF(A260&lt;&gt;"",SUMIFS(node!$H$2:$H$500, node!$C$2:$C$500,"="&amp;A260, node!$C$2:$C$500,"&lt;&gt;"&amp;"")/(C260*D260),"")</f>
        <v/>
      </c>
      <c r="G260" s="179" t="str">
        <f>IF(A260&lt;&gt;"",SUMIFS(deployment!$F$4:$F$502, deployment!$D$4:$D$502,"="&amp;A260, deployment!$D$4:$D$502,"&lt;&gt;"&amp;""),"")</f>
        <v/>
      </c>
      <c r="H260" s="181" t="str">
        <f>IF(A260&lt;&gt;"",SUMIFS(deployment!$G$4:$G$502, deployment!$D$4:$D$502,"="&amp;A260, deployment!$D$4:$D$502,"&lt;&gt;"&amp;""),"")</f>
        <v/>
      </c>
      <c r="I260" s="113" t="str">
        <f>IF(A260&lt;&gt;"",SUMIFS(deployment!$H$4:$H$502, deployment!$D$4:$D$502,"="&amp;A260, deployment!$D$4:$D$502,"&lt;&gt;"&amp;""),"")</f>
        <v/>
      </c>
      <c r="J260" s="114" t="str">
        <f>IF(A260&lt;&gt;"",SUMIFS(deployment!$I$4:$I$502, deployment!$D$4:$D$502,"="&amp;A260, deployment!$D$4:$D$502,"&lt;&gt;"&amp;""),"")</f>
        <v/>
      </c>
      <c r="K260" s="182" t="str">
        <f>IF(A260&lt;&gt;"",SUMIFS(deployment!$J$4:$J$1002, deployment!$D$4:$D$1002,"="&amp;A260, deployment!$D$4:$D$1002,"&lt;&gt;"&amp;"", deployment!$C$4:$C$1002, "&lt;&gt;* )")+SUMIFS(namespace!$G$4:$G$1002, namespace!$B$4:$B$1002,"="&amp;A260, namespace!$B$4:$B$1002,"&lt;&gt;"&amp;""),"")</f>
        <v/>
      </c>
      <c r="L260" s="182" t="str">
        <f>IF(A260&lt;&gt;"",SUMIFS(deployment!$K$4:$K$1002, deployment!$D$4:$D$1002,"="&amp;A260, deployment!$D$4:$D$1002,"&lt;&gt;"&amp;"", deployment!$C$4:$C$1002, "&lt;&gt;* )")+SUMIFS(namespace!$H$4:$H$1002, namespace!$B$4:$B$1002,"="&amp;A260, namespace!$B$4:$B$1002,"&lt;&gt;"&amp;""),"")</f>
        <v/>
      </c>
      <c r="M260" s="115" t="str">
        <f>IF(A260&lt;&gt;"",SUMIFS(deployment!$L$4:$L$1002, deployment!$D$4:$D$1002,"="&amp;A260, deployment!$D$4:$D$1002,"&lt;&gt;"&amp;"", deployment!$C$4:$C$1002, "&lt;&gt;* )")+SUMIFS(namespace!$I$4:$I$1002, namespace!$B$4:$B$1002,"="&amp;A260, namespace!$B$4:$B$1002,"&lt;&gt;"&amp;""),"")</f>
        <v/>
      </c>
      <c r="N260" s="115" t="str">
        <f>IF(A260&lt;&gt;"",SUMIFS(deployment!$M$4:$M$1002, deployment!$D$4:$D$1002,"="&amp;A260, deployment!$D$4:$D$1002,"&lt;&gt;"&amp;"", deployment!$C$4:$C$1002, "&lt;&gt;* )")+SUMIFS(namespace!$J$4:$J$1002, namespace!$B$4:$B$1002,"="&amp;A260, namespace!$B$4:$B$1002,"&lt;&gt;"&amp;""),"")</f>
        <v/>
      </c>
      <c r="O260" s="116" t="str">
        <f t="shared" si="43"/>
        <v/>
      </c>
      <c r="P260" s="63"/>
      <c r="Q260" s="164" t="str">
        <f t="shared" ref="Q260:Q323" si="50">IF(A260&lt;&gt;"",(D260-P260)/D260,"")</f>
        <v/>
      </c>
      <c r="R260" s="60" t="str">
        <f t="shared" ref="R260:R323" si="51">IF(A260&lt;&gt;"",G260/(P260*B260),"")</f>
        <v/>
      </c>
      <c r="S260" s="60" t="str">
        <f t="shared" ref="S260:S323" si="52">IF(A260&lt;&gt;"",H260/(P260*C260),"")</f>
        <v/>
      </c>
      <c r="T260" s="61" t="str">
        <f t="shared" ref="T260:T323" si="53">IF(A260&lt;&gt;"",I260/(P260*B260),"")</f>
        <v/>
      </c>
      <c r="U260" s="61" t="str">
        <f t="shared" ref="U260:U323" si="54">IF(A260&lt;&gt;"",J260/(P260*C260),"")</f>
        <v/>
      </c>
      <c r="V260" s="183" t="str">
        <f t="shared" si="44"/>
        <v/>
      </c>
      <c r="W260" s="183" t="str">
        <f t="shared" si="45"/>
        <v/>
      </c>
      <c r="X260" s="61" t="str">
        <f t="shared" si="46"/>
        <v/>
      </c>
      <c r="Y260" s="61" t="str">
        <f t="shared" si="47"/>
        <v/>
      </c>
      <c r="Z260" s="118" t="str">
        <f t="shared" si="48"/>
        <v/>
      </c>
      <c r="AA260" s="62" t="str">
        <f t="shared" si="49"/>
        <v/>
      </c>
      <c r="AB260" s="119" t="str">
        <f>IF(A260&lt;&gt;"", IF(P260&lt;&gt;0,SUMIFS(node!$J$2:$J$1000, node!$C$2:$C$1000,"="&amp;A260)/P260,0), "")</f>
        <v/>
      </c>
      <c r="AC260" s="81" t="str">
        <f>IF(A260&lt;&gt;"", IF(P260&lt;&gt;0,SUMIFS(node!$K$2:$K$1000, node!$C$2:$C$1000,"="&amp;A260)/P260,0), "")</f>
        <v/>
      </c>
      <c r="AD260" s="82" t="str">
        <f>IF(A260&lt;&gt;"", SUMIFS(node!$L$2:$L$1000, node!$C$2:$C$1000,"="&amp;A260), "")</f>
        <v/>
      </c>
      <c r="AE260" s="87" t="str">
        <f>IF(A260&lt;&gt;"", SUMIFS(node!$M$2:$M$1000, node!$C$2:$C$1000,"="&amp;A260), "")</f>
        <v/>
      </c>
    </row>
    <row r="261" spans="1:31" ht="15.75" customHeight="1" x14ac:dyDescent="0.25">
      <c r="A261" s="71" t="str">
        <f>IF(ISNONTEXT(node_raw[[#This Row],[Column2]]), "", node_raw[[#This Row],[Column2]])</f>
        <v/>
      </c>
      <c r="B261" s="108" t="str">
        <f>IF(A261&lt;&gt;"", VLOOKUP(A261, node!$C$2:$D$1000, 2, FALSE), "")</f>
        <v/>
      </c>
      <c r="C261" s="109" t="str">
        <f>IF(A261&lt;&gt;"", VLOOKUP(A261, node!$C$2:$E$1000, 3, FALSE), "")</f>
        <v/>
      </c>
      <c r="D261" s="110" t="str">
        <f>IF(A261&lt;&gt;"",COUNTIFS(node!$C$2:$C$1000,"="&amp;A261, node!$C$2:$C$1000,"&lt;&gt;"&amp;""),"")</f>
        <v/>
      </c>
      <c r="E261" s="111" t="str">
        <f>IF(A261&lt;&gt;"",SUMIFS(node!$F$2:$F$500, node!$C$2:$C$500,"="&amp;A261, node!$C$2:$C$500,"&lt;&gt;"&amp;"")/(B261*D261),"")</f>
        <v/>
      </c>
      <c r="F261" s="112" t="str">
        <f>IF(A261&lt;&gt;"",SUMIFS(node!$H$2:$H$500, node!$C$2:$C$500,"="&amp;A261, node!$C$2:$C$500,"&lt;&gt;"&amp;"")/(C261*D261),"")</f>
        <v/>
      </c>
      <c r="G261" s="179" t="str">
        <f>IF(A261&lt;&gt;"",SUMIFS(deployment!$F$4:$F$502, deployment!$D$4:$D$502,"="&amp;A261, deployment!$D$4:$D$502,"&lt;&gt;"&amp;""),"")</f>
        <v/>
      </c>
      <c r="H261" s="181" t="str">
        <f>IF(A261&lt;&gt;"",SUMIFS(deployment!$G$4:$G$502, deployment!$D$4:$D$502,"="&amp;A261, deployment!$D$4:$D$502,"&lt;&gt;"&amp;""),"")</f>
        <v/>
      </c>
      <c r="I261" s="113" t="str">
        <f>IF(A261&lt;&gt;"",SUMIFS(deployment!$H$4:$H$502, deployment!$D$4:$D$502,"="&amp;A261, deployment!$D$4:$D$502,"&lt;&gt;"&amp;""),"")</f>
        <v/>
      </c>
      <c r="J261" s="114" t="str">
        <f>IF(A261&lt;&gt;"",SUMIFS(deployment!$I$4:$I$502, deployment!$D$4:$D$502,"="&amp;A261, deployment!$D$4:$D$502,"&lt;&gt;"&amp;""),"")</f>
        <v/>
      </c>
      <c r="K261" s="182" t="str">
        <f>IF(A261&lt;&gt;"",SUMIFS(deployment!$J$4:$J$1002, deployment!$D$4:$D$1002,"="&amp;A261, deployment!$D$4:$D$1002,"&lt;&gt;"&amp;"", deployment!$C$4:$C$1002, "&lt;&gt;* )")+SUMIFS(namespace!$G$4:$G$1002, namespace!$B$4:$B$1002,"="&amp;A261, namespace!$B$4:$B$1002,"&lt;&gt;"&amp;""),"")</f>
        <v/>
      </c>
      <c r="L261" s="182" t="str">
        <f>IF(A261&lt;&gt;"",SUMIFS(deployment!$K$4:$K$1002, deployment!$D$4:$D$1002,"="&amp;A261, deployment!$D$4:$D$1002,"&lt;&gt;"&amp;"", deployment!$C$4:$C$1002, "&lt;&gt;* )")+SUMIFS(namespace!$H$4:$H$1002, namespace!$B$4:$B$1002,"="&amp;A261, namespace!$B$4:$B$1002,"&lt;&gt;"&amp;""),"")</f>
        <v/>
      </c>
      <c r="M261" s="115" t="str">
        <f>IF(A261&lt;&gt;"",SUMIFS(deployment!$L$4:$L$1002, deployment!$D$4:$D$1002,"="&amp;A261, deployment!$D$4:$D$1002,"&lt;&gt;"&amp;"", deployment!$C$4:$C$1002, "&lt;&gt;* )")+SUMIFS(namespace!$I$4:$I$1002, namespace!$B$4:$B$1002,"="&amp;A261, namespace!$B$4:$B$1002,"&lt;&gt;"&amp;""),"")</f>
        <v/>
      </c>
      <c r="N261" s="115" t="str">
        <f>IF(A261&lt;&gt;"",SUMIFS(deployment!$M$4:$M$1002, deployment!$D$4:$D$1002,"="&amp;A261, deployment!$D$4:$D$1002,"&lt;&gt;"&amp;"", deployment!$C$4:$C$1002, "&lt;&gt;* )")+SUMIFS(namespace!$J$4:$J$1002, namespace!$B$4:$B$1002,"="&amp;A261, namespace!$B$4:$B$1002,"&lt;&gt;"&amp;""),"")</f>
        <v/>
      </c>
      <c r="O261" s="116" t="str">
        <f t="shared" ref="O261:O324" si="55">IF(A261&lt;&gt;"",MAX(ROUNDUP(K261/(B261*$B$2), 0), ROUNDUP(L261/(C261*$C$2), 0), ROUNDUP(M261/(B261*$B$2), 0), ROUNDUP(N261/(C261*$C$2), 0), 1),"")</f>
        <v/>
      </c>
      <c r="P261" s="63"/>
      <c r="Q261" s="164" t="str">
        <f t="shared" si="50"/>
        <v/>
      </c>
      <c r="R261" s="60" t="str">
        <f t="shared" si="51"/>
        <v/>
      </c>
      <c r="S261" s="60" t="str">
        <f t="shared" si="52"/>
        <v/>
      </c>
      <c r="T261" s="61" t="str">
        <f t="shared" si="53"/>
        <v/>
      </c>
      <c r="U261" s="61" t="str">
        <f t="shared" si="54"/>
        <v/>
      </c>
      <c r="V261" s="183" t="str">
        <f t="shared" ref="V261:V324" si="56">IF(A261&lt;&gt;"",IF(P261&lt;&gt;0,K261/(P261*B261),0),"")</f>
        <v/>
      </c>
      <c r="W261" s="183" t="str">
        <f t="shared" ref="W261:W324" si="57">IF(A261&lt;&gt;"",IF(P261&lt;&gt;0,L261/(P261*C261),0),"")</f>
        <v/>
      </c>
      <c r="X261" s="61" t="str">
        <f t="shared" ref="X261:X324" si="58">IF(A261&lt;&gt;"",IF(P261&lt;&gt;0,M261/(P261*B261),0),"")</f>
        <v/>
      </c>
      <c r="Y261" s="61" t="str">
        <f t="shared" ref="Y261:Y324" si="59">IF(A261&lt;&gt;"",IF(P261&lt;&gt;0,N261/(P261*C261),0),"")</f>
        <v/>
      </c>
      <c r="Z261" s="118" t="str">
        <f t="shared" ref="Z261:Z324" si="60">IF(A261&lt;&gt;"",(D261*E261)/P261,"")</f>
        <v/>
      </c>
      <c r="AA261" s="62" t="str">
        <f t="shared" ref="AA261:AA324" si="61">IF(A261&lt;&gt;"",(D261*F261)/P261,"")</f>
        <v/>
      </c>
      <c r="AB261" s="119" t="str">
        <f>IF(A261&lt;&gt;"", IF(P261&lt;&gt;0,SUMIFS(node!$J$2:$J$1000, node!$C$2:$C$1000,"="&amp;A261)/P261,0), "")</f>
        <v/>
      </c>
      <c r="AC261" s="81" t="str">
        <f>IF(A261&lt;&gt;"", IF(P261&lt;&gt;0,SUMIFS(node!$K$2:$K$1000, node!$C$2:$C$1000,"="&amp;A261)/P261,0), "")</f>
        <v/>
      </c>
      <c r="AD261" s="82" t="str">
        <f>IF(A261&lt;&gt;"", SUMIFS(node!$L$2:$L$1000, node!$C$2:$C$1000,"="&amp;A261), "")</f>
        <v/>
      </c>
      <c r="AE261" s="87" t="str">
        <f>IF(A261&lt;&gt;"", SUMIFS(node!$M$2:$M$1000, node!$C$2:$C$1000,"="&amp;A261), "")</f>
        <v/>
      </c>
    </row>
    <row r="262" spans="1:31" ht="15.75" customHeight="1" x14ac:dyDescent="0.25">
      <c r="A262" s="71" t="str">
        <f>IF(ISNONTEXT(node_raw[[#This Row],[Column2]]), "", node_raw[[#This Row],[Column2]])</f>
        <v/>
      </c>
      <c r="B262" s="108" t="str">
        <f>IF(A262&lt;&gt;"", VLOOKUP(A262, node!$C$2:$D$1000, 2, FALSE), "")</f>
        <v/>
      </c>
      <c r="C262" s="109" t="str">
        <f>IF(A262&lt;&gt;"", VLOOKUP(A262, node!$C$2:$E$1000, 3, FALSE), "")</f>
        <v/>
      </c>
      <c r="D262" s="110" t="str">
        <f>IF(A262&lt;&gt;"",COUNTIFS(node!$C$2:$C$1000,"="&amp;A262, node!$C$2:$C$1000,"&lt;&gt;"&amp;""),"")</f>
        <v/>
      </c>
      <c r="E262" s="111" t="str">
        <f>IF(A262&lt;&gt;"",SUMIFS(node!$F$2:$F$500, node!$C$2:$C$500,"="&amp;A262, node!$C$2:$C$500,"&lt;&gt;"&amp;"")/(B262*D262),"")</f>
        <v/>
      </c>
      <c r="F262" s="112" t="str">
        <f>IF(A262&lt;&gt;"",SUMIFS(node!$H$2:$H$500, node!$C$2:$C$500,"="&amp;A262, node!$C$2:$C$500,"&lt;&gt;"&amp;"")/(C262*D262),"")</f>
        <v/>
      </c>
      <c r="G262" s="179" t="str">
        <f>IF(A262&lt;&gt;"",SUMIFS(deployment!$F$4:$F$502, deployment!$D$4:$D$502,"="&amp;A262, deployment!$D$4:$D$502,"&lt;&gt;"&amp;""),"")</f>
        <v/>
      </c>
      <c r="H262" s="181" t="str">
        <f>IF(A262&lt;&gt;"",SUMIFS(deployment!$G$4:$G$502, deployment!$D$4:$D$502,"="&amp;A262, deployment!$D$4:$D$502,"&lt;&gt;"&amp;""),"")</f>
        <v/>
      </c>
      <c r="I262" s="113" t="str">
        <f>IF(A262&lt;&gt;"",SUMIFS(deployment!$H$4:$H$502, deployment!$D$4:$D$502,"="&amp;A262, deployment!$D$4:$D$502,"&lt;&gt;"&amp;""),"")</f>
        <v/>
      </c>
      <c r="J262" s="114" t="str">
        <f>IF(A262&lt;&gt;"",SUMIFS(deployment!$I$4:$I$502, deployment!$D$4:$D$502,"="&amp;A262, deployment!$D$4:$D$502,"&lt;&gt;"&amp;""),"")</f>
        <v/>
      </c>
      <c r="K262" s="182" t="str">
        <f>IF(A262&lt;&gt;"",SUMIFS(deployment!$J$4:$J$1002, deployment!$D$4:$D$1002,"="&amp;A262, deployment!$D$4:$D$1002,"&lt;&gt;"&amp;"", deployment!$C$4:$C$1002, "&lt;&gt;* )")+SUMIFS(namespace!$G$4:$G$1002, namespace!$B$4:$B$1002,"="&amp;A262, namespace!$B$4:$B$1002,"&lt;&gt;"&amp;""),"")</f>
        <v/>
      </c>
      <c r="L262" s="182" t="str">
        <f>IF(A262&lt;&gt;"",SUMIFS(deployment!$K$4:$K$1002, deployment!$D$4:$D$1002,"="&amp;A262, deployment!$D$4:$D$1002,"&lt;&gt;"&amp;"", deployment!$C$4:$C$1002, "&lt;&gt;* )")+SUMIFS(namespace!$H$4:$H$1002, namespace!$B$4:$B$1002,"="&amp;A262, namespace!$B$4:$B$1002,"&lt;&gt;"&amp;""),"")</f>
        <v/>
      </c>
      <c r="M262" s="115" t="str">
        <f>IF(A262&lt;&gt;"",SUMIFS(deployment!$L$4:$L$1002, deployment!$D$4:$D$1002,"="&amp;A262, deployment!$D$4:$D$1002,"&lt;&gt;"&amp;"", deployment!$C$4:$C$1002, "&lt;&gt;* )")+SUMIFS(namespace!$I$4:$I$1002, namespace!$B$4:$B$1002,"="&amp;A262, namespace!$B$4:$B$1002,"&lt;&gt;"&amp;""),"")</f>
        <v/>
      </c>
      <c r="N262" s="115" t="str">
        <f>IF(A262&lt;&gt;"",SUMIFS(deployment!$M$4:$M$1002, deployment!$D$4:$D$1002,"="&amp;A262, deployment!$D$4:$D$1002,"&lt;&gt;"&amp;"", deployment!$C$4:$C$1002, "&lt;&gt;* )")+SUMIFS(namespace!$J$4:$J$1002, namespace!$B$4:$B$1002,"="&amp;A262, namespace!$B$4:$B$1002,"&lt;&gt;"&amp;""),"")</f>
        <v/>
      </c>
      <c r="O262" s="116" t="str">
        <f t="shared" si="55"/>
        <v/>
      </c>
      <c r="P262" s="63"/>
      <c r="Q262" s="164" t="str">
        <f t="shared" si="50"/>
        <v/>
      </c>
      <c r="R262" s="60" t="str">
        <f t="shared" si="51"/>
        <v/>
      </c>
      <c r="S262" s="60" t="str">
        <f t="shared" si="52"/>
        <v/>
      </c>
      <c r="T262" s="61" t="str">
        <f t="shared" si="53"/>
        <v/>
      </c>
      <c r="U262" s="61" t="str">
        <f t="shared" si="54"/>
        <v/>
      </c>
      <c r="V262" s="183" t="str">
        <f t="shared" si="56"/>
        <v/>
      </c>
      <c r="W262" s="183" t="str">
        <f t="shared" si="57"/>
        <v/>
      </c>
      <c r="X262" s="61" t="str">
        <f t="shared" si="58"/>
        <v/>
      </c>
      <c r="Y262" s="61" t="str">
        <f t="shared" si="59"/>
        <v/>
      </c>
      <c r="Z262" s="118" t="str">
        <f t="shared" si="60"/>
        <v/>
      </c>
      <c r="AA262" s="62" t="str">
        <f t="shared" si="61"/>
        <v/>
      </c>
      <c r="AB262" s="119" t="str">
        <f>IF(A262&lt;&gt;"", IF(P262&lt;&gt;0,SUMIFS(node!$J$2:$J$1000, node!$C$2:$C$1000,"="&amp;A262)/P262,0), "")</f>
        <v/>
      </c>
      <c r="AC262" s="81" t="str">
        <f>IF(A262&lt;&gt;"", IF(P262&lt;&gt;0,SUMIFS(node!$K$2:$K$1000, node!$C$2:$C$1000,"="&amp;A262)/P262,0), "")</f>
        <v/>
      </c>
      <c r="AD262" s="82" t="str">
        <f>IF(A262&lt;&gt;"", SUMIFS(node!$L$2:$L$1000, node!$C$2:$C$1000,"="&amp;A262), "")</f>
        <v/>
      </c>
      <c r="AE262" s="87" t="str">
        <f>IF(A262&lt;&gt;"", SUMIFS(node!$M$2:$M$1000, node!$C$2:$C$1000,"="&amp;A262), "")</f>
        <v/>
      </c>
    </row>
    <row r="263" spans="1:31" ht="15.75" customHeight="1" x14ac:dyDescent="0.25">
      <c r="A263" s="71" t="str">
        <f>IF(ISNONTEXT(node_raw[[#This Row],[Column2]]), "", node_raw[[#This Row],[Column2]])</f>
        <v/>
      </c>
      <c r="B263" s="108" t="str">
        <f>IF(A263&lt;&gt;"", VLOOKUP(A263, node!$C$2:$D$1000, 2, FALSE), "")</f>
        <v/>
      </c>
      <c r="C263" s="109" t="str">
        <f>IF(A263&lt;&gt;"", VLOOKUP(A263, node!$C$2:$E$1000, 3, FALSE), "")</f>
        <v/>
      </c>
      <c r="D263" s="110" t="str">
        <f>IF(A263&lt;&gt;"",COUNTIFS(node!$C$2:$C$1000,"="&amp;A263, node!$C$2:$C$1000,"&lt;&gt;"&amp;""),"")</f>
        <v/>
      </c>
      <c r="E263" s="111" t="str">
        <f>IF(A263&lt;&gt;"",SUMIFS(node!$F$2:$F$500, node!$C$2:$C$500,"="&amp;A263, node!$C$2:$C$500,"&lt;&gt;"&amp;"")/(B263*D263),"")</f>
        <v/>
      </c>
      <c r="F263" s="112" t="str">
        <f>IF(A263&lt;&gt;"",SUMIFS(node!$H$2:$H$500, node!$C$2:$C$500,"="&amp;A263, node!$C$2:$C$500,"&lt;&gt;"&amp;"")/(C263*D263),"")</f>
        <v/>
      </c>
      <c r="G263" s="179" t="str">
        <f>IF(A263&lt;&gt;"",SUMIFS(deployment!$F$4:$F$502, deployment!$D$4:$D$502,"="&amp;A263, deployment!$D$4:$D$502,"&lt;&gt;"&amp;""),"")</f>
        <v/>
      </c>
      <c r="H263" s="181" t="str">
        <f>IF(A263&lt;&gt;"",SUMIFS(deployment!$G$4:$G$502, deployment!$D$4:$D$502,"="&amp;A263, deployment!$D$4:$D$502,"&lt;&gt;"&amp;""),"")</f>
        <v/>
      </c>
      <c r="I263" s="113" t="str">
        <f>IF(A263&lt;&gt;"",SUMIFS(deployment!$H$4:$H$502, deployment!$D$4:$D$502,"="&amp;A263, deployment!$D$4:$D$502,"&lt;&gt;"&amp;""),"")</f>
        <v/>
      </c>
      <c r="J263" s="114" t="str">
        <f>IF(A263&lt;&gt;"",SUMIFS(deployment!$I$4:$I$502, deployment!$D$4:$D$502,"="&amp;A263, deployment!$D$4:$D$502,"&lt;&gt;"&amp;""),"")</f>
        <v/>
      </c>
      <c r="K263" s="182" t="str">
        <f>IF(A263&lt;&gt;"",SUMIFS(deployment!$J$4:$J$1002, deployment!$D$4:$D$1002,"="&amp;A263, deployment!$D$4:$D$1002,"&lt;&gt;"&amp;"", deployment!$C$4:$C$1002, "&lt;&gt;* )")+SUMIFS(namespace!$G$4:$G$1002, namespace!$B$4:$B$1002,"="&amp;A263, namespace!$B$4:$B$1002,"&lt;&gt;"&amp;""),"")</f>
        <v/>
      </c>
      <c r="L263" s="182" t="str">
        <f>IF(A263&lt;&gt;"",SUMIFS(deployment!$K$4:$K$1002, deployment!$D$4:$D$1002,"="&amp;A263, deployment!$D$4:$D$1002,"&lt;&gt;"&amp;"", deployment!$C$4:$C$1002, "&lt;&gt;* )")+SUMIFS(namespace!$H$4:$H$1002, namespace!$B$4:$B$1002,"="&amp;A263, namespace!$B$4:$B$1002,"&lt;&gt;"&amp;""),"")</f>
        <v/>
      </c>
      <c r="M263" s="115" t="str">
        <f>IF(A263&lt;&gt;"",SUMIFS(deployment!$L$4:$L$1002, deployment!$D$4:$D$1002,"="&amp;A263, deployment!$D$4:$D$1002,"&lt;&gt;"&amp;"", deployment!$C$4:$C$1002, "&lt;&gt;* )")+SUMIFS(namespace!$I$4:$I$1002, namespace!$B$4:$B$1002,"="&amp;A263, namespace!$B$4:$B$1002,"&lt;&gt;"&amp;""),"")</f>
        <v/>
      </c>
      <c r="N263" s="115" t="str">
        <f>IF(A263&lt;&gt;"",SUMIFS(deployment!$M$4:$M$1002, deployment!$D$4:$D$1002,"="&amp;A263, deployment!$D$4:$D$1002,"&lt;&gt;"&amp;"", deployment!$C$4:$C$1002, "&lt;&gt;* )")+SUMIFS(namespace!$J$4:$J$1002, namespace!$B$4:$B$1002,"="&amp;A263, namespace!$B$4:$B$1002,"&lt;&gt;"&amp;""),"")</f>
        <v/>
      </c>
      <c r="O263" s="116" t="str">
        <f t="shared" si="55"/>
        <v/>
      </c>
      <c r="P263" s="63"/>
      <c r="Q263" s="164" t="str">
        <f t="shared" si="50"/>
        <v/>
      </c>
      <c r="R263" s="60" t="str">
        <f t="shared" si="51"/>
        <v/>
      </c>
      <c r="S263" s="60" t="str">
        <f t="shared" si="52"/>
        <v/>
      </c>
      <c r="T263" s="61" t="str">
        <f t="shared" si="53"/>
        <v/>
      </c>
      <c r="U263" s="61" t="str">
        <f t="shared" si="54"/>
        <v/>
      </c>
      <c r="V263" s="183" t="str">
        <f t="shared" si="56"/>
        <v/>
      </c>
      <c r="W263" s="183" t="str">
        <f t="shared" si="57"/>
        <v/>
      </c>
      <c r="X263" s="61" t="str">
        <f t="shared" si="58"/>
        <v/>
      </c>
      <c r="Y263" s="61" t="str">
        <f t="shared" si="59"/>
        <v/>
      </c>
      <c r="Z263" s="118" t="str">
        <f t="shared" si="60"/>
        <v/>
      </c>
      <c r="AA263" s="62" t="str">
        <f t="shared" si="61"/>
        <v/>
      </c>
      <c r="AB263" s="119" t="str">
        <f>IF(A263&lt;&gt;"", IF(P263&lt;&gt;0,SUMIFS(node!$J$2:$J$1000, node!$C$2:$C$1000,"="&amp;A263)/P263,0), "")</f>
        <v/>
      </c>
      <c r="AC263" s="81" t="str">
        <f>IF(A263&lt;&gt;"", IF(P263&lt;&gt;0,SUMIFS(node!$K$2:$K$1000, node!$C$2:$C$1000,"="&amp;A263)/P263,0), "")</f>
        <v/>
      </c>
      <c r="AD263" s="82" t="str">
        <f>IF(A263&lt;&gt;"", SUMIFS(node!$L$2:$L$1000, node!$C$2:$C$1000,"="&amp;A263), "")</f>
        <v/>
      </c>
      <c r="AE263" s="87" t="str">
        <f>IF(A263&lt;&gt;"", SUMIFS(node!$M$2:$M$1000, node!$C$2:$C$1000,"="&amp;A263), "")</f>
        <v/>
      </c>
    </row>
    <row r="264" spans="1:31" ht="15.75" customHeight="1" x14ac:dyDescent="0.25">
      <c r="A264" s="71" t="str">
        <f>IF(ISNONTEXT(node_raw[[#This Row],[Column2]]), "", node_raw[[#This Row],[Column2]])</f>
        <v/>
      </c>
      <c r="B264" s="108" t="str">
        <f>IF(A264&lt;&gt;"", VLOOKUP(A264, node!$C$2:$D$1000, 2, FALSE), "")</f>
        <v/>
      </c>
      <c r="C264" s="109" t="str">
        <f>IF(A264&lt;&gt;"", VLOOKUP(A264, node!$C$2:$E$1000, 3, FALSE), "")</f>
        <v/>
      </c>
      <c r="D264" s="110" t="str">
        <f>IF(A264&lt;&gt;"",COUNTIFS(node!$C$2:$C$1000,"="&amp;A264, node!$C$2:$C$1000,"&lt;&gt;"&amp;""),"")</f>
        <v/>
      </c>
      <c r="E264" s="111" t="str">
        <f>IF(A264&lt;&gt;"",SUMIFS(node!$F$2:$F$500, node!$C$2:$C$500,"="&amp;A264, node!$C$2:$C$500,"&lt;&gt;"&amp;"")/(B264*D264),"")</f>
        <v/>
      </c>
      <c r="F264" s="112" t="str">
        <f>IF(A264&lt;&gt;"",SUMIFS(node!$H$2:$H$500, node!$C$2:$C$500,"="&amp;A264, node!$C$2:$C$500,"&lt;&gt;"&amp;"")/(C264*D264),"")</f>
        <v/>
      </c>
      <c r="G264" s="179" t="str">
        <f>IF(A264&lt;&gt;"",SUMIFS(deployment!$F$4:$F$502, deployment!$D$4:$D$502,"="&amp;A264, deployment!$D$4:$D$502,"&lt;&gt;"&amp;""),"")</f>
        <v/>
      </c>
      <c r="H264" s="181" t="str">
        <f>IF(A264&lt;&gt;"",SUMIFS(deployment!$G$4:$G$502, deployment!$D$4:$D$502,"="&amp;A264, deployment!$D$4:$D$502,"&lt;&gt;"&amp;""),"")</f>
        <v/>
      </c>
      <c r="I264" s="113" t="str">
        <f>IF(A264&lt;&gt;"",SUMIFS(deployment!$H$4:$H$502, deployment!$D$4:$D$502,"="&amp;A264, deployment!$D$4:$D$502,"&lt;&gt;"&amp;""),"")</f>
        <v/>
      </c>
      <c r="J264" s="114" t="str">
        <f>IF(A264&lt;&gt;"",SUMIFS(deployment!$I$4:$I$502, deployment!$D$4:$D$502,"="&amp;A264, deployment!$D$4:$D$502,"&lt;&gt;"&amp;""),"")</f>
        <v/>
      </c>
      <c r="K264" s="182" t="str">
        <f>IF(A264&lt;&gt;"",SUMIFS(deployment!$J$4:$J$1002, deployment!$D$4:$D$1002,"="&amp;A264, deployment!$D$4:$D$1002,"&lt;&gt;"&amp;"", deployment!$C$4:$C$1002, "&lt;&gt;* )")+SUMIFS(namespace!$G$4:$G$1002, namespace!$B$4:$B$1002,"="&amp;A264, namespace!$B$4:$B$1002,"&lt;&gt;"&amp;""),"")</f>
        <v/>
      </c>
      <c r="L264" s="182" t="str">
        <f>IF(A264&lt;&gt;"",SUMIFS(deployment!$K$4:$K$1002, deployment!$D$4:$D$1002,"="&amp;A264, deployment!$D$4:$D$1002,"&lt;&gt;"&amp;"", deployment!$C$4:$C$1002, "&lt;&gt;* )")+SUMIFS(namespace!$H$4:$H$1002, namespace!$B$4:$B$1002,"="&amp;A264, namespace!$B$4:$B$1002,"&lt;&gt;"&amp;""),"")</f>
        <v/>
      </c>
      <c r="M264" s="115" t="str">
        <f>IF(A264&lt;&gt;"",SUMIFS(deployment!$L$4:$L$1002, deployment!$D$4:$D$1002,"="&amp;A264, deployment!$D$4:$D$1002,"&lt;&gt;"&amp;"", deployment!$C$4:$C$1002, "&lt;&gt;* )")+SUMIFS(namespace!$I$4:$I$1002, namespace!$B$4:$B$1002,"="&amp;A264, namespace!$B$4:$B$1002,"&lt;&gt;"&amp;""),"")</f>
        <v/>
      </c>
      <c r="N264" s="115" t="str">
        <f>IF(A264&lt;&gt;"",SUMIFS(deployment!$M$4:$M$1002, deployment!$D$4:$D$1002,"="&amp;A264, deployment!$D$4:$D$1002,"&lt;&gt;"&amp;"", deployment!$C$4:$C$1002, "&lt;&gt;* )")+SUMIFS(namespace!$J$4:$J$1002, namespace!$B$4:$B$1002,"="&amp;A264, namespace!$B$4:$B$1002,"&lt;&gt;"&amp;""),"")</f>
        <v/>
      </c>
      <c r="O264" s="116" t="str">
        <f t="shared" si="55"/>
        <v/>
      </c>
      <c r="P264" s="63"/>
      <c r="Q264" s="164" t="str">
        <f t="shared" si="50"/>
        <v/>
      </c>
      <c r="R264" s="60" t="str">
        <f t="shared" si="51"/>
        <v/>
      </c>
      <c r="S264" s="60" t="str">
        <f t="shared" si="52"/>
        <v/>
      </c>
      <c r="T264" s="61" t="str">
        <f t="shared" si="53"/>
        <v/>
      </c>
      <c r="U264" s="61" t="str">
        <f t="shared" si="54"/>
        <v/>
      </c>
      <c r="V264" s="183" t="str">
        <f t="shared" si="56"/>
        <v/>
      </c>
      <c r="W264" s="183" t="str">
        <f t="shared" si="57"/>
        <v/>
      </c>
      <c r="X264" s="61" t="str">
        <f t="shared" si="58"/>
        <v/>
      </c>
      <c r="Y264" s="61" t="str">
        <f t="shared" si="59"/>
        <v/>
      </c>
      <c r="Z264" s="118" t="str">
        <f t="shared" si="60"/>
        <v/>
      </c>
      <c r="AA264" s="62" t="str">
        <f t="shared" si="61"/>
        <v/>
      </c>
      <c r="AB264" s="119" t="str">
        <f>IF(A264&lt;&gt;"", IF(P264&lt;&gt;0,SUMIFS(node!$J$2:$J$1000, node!$C$2:$C$1000,"="&amp;A264)/P264,0), "")</f>
        <v/>
      </c>
      <c r="AC264" s="81" t="str">
        <f>IF(A264&lt;&gt;"", IF(P264&lt;&gt;0,SUMIFS(node!$K$2:$K$1000, node!$C$2:$C$1000,"="&amp;A264)/P264,0), "")</f>
        <v/>
      </c>
      <c r="AD264" s="82" t="str">
        <f>IF(A264&lt;&gt;"", SUMIFS(node!$L$2:$L$1000, node!$C$2:$C$1000,"="&amp;A264), "")</f>
        <v/>
      </c>
      <c r="AE264" s="87" t="str">
        <f>IF(A264&lt;&gt;"", SUMIFS(node!$M$2:$M$1000, node!$C$2:$C$1000,"="&amp;A264), "")</f>
        <v/>
      </c>
    </row>
    <row r="265" spans="1:31" ht="15.75" customHeight="1" x14ac:dyDescent="0.25">
      <c r="A265" s="71" t="str">
        <f>IF(ISNONTEXT(node_raw[[#This Row],[Column2]]), "", node_raw[[#This Row],[Column2]])</f>
        <v/>
      </c>
      <c r="B265" s="108" t="str">
        <f>IF(A265&lt;&gt;"", VLOOKUP(A265, node!$C$2:$D$1000, 2, FALSE), "")</f>
        <v/>
      </c>
      <c r="C265" s="109" t="str">
        <f>IF(A265&lt;&gt;"", VLOOKUP(A265, node!$C$2:$E$1000, 3, FALSE), "")</f>
        <v/>
      </c>
      <c r="D265" s="110" t="str">
        <f>IF(A265&lt;&gt;"",COUNTIFS(node!$C$2:$C$1000,"="&amp;A265, node!$C$2:$C$1000,"&lt;&gt;"&amp;""),"")</f>
        <v/>
      </c>
      <c r="E265" s="111" t="str">
        <f>IF(A265&lt;&gt;"",SUMIFS(node!$F$2:$F$500, node!$C$2:$C$500,"="&amp;A265, node!$C$2:$C$500,"&lt;&gt;"&amp;"")/(B265*D265),"")</f>
        <v/>
      </c>
      <c r="F265" s="112" t="str">
        <f>IF(A265&lt;&gt;"",SUMIFS(node!$H$2:$H$500, node!$C$2:$C$500,"="&amp;A265, node!$C$2:$C$500,"&lt;&gt;"&amp;"")/(C265*D265),"")</f>
        <v/>
      </c>
      <c r="G265" s="179" t="str">
        <f>IF(A265&lt;&gt;"",SUMIFS(deployment!$F$4:$F$502, deployment!$D$4:$D$502,"="&amp;A265, deployment!$D$4:$D$502,"&lt;&gt;"&amp;""),"")</f>
        <v/>
      </c>
      <c r="H265" s="181" t="str">
        <f>IF(A265&lt;&gt;"",SUMIFS(deployment!$G$4:$G$502, deployment!$D$4:$D$502,"="&amp;A265, deployment!$D$4:$D$502,"&lt;&gt;"&amp;""),"")</f>
        <v/>
      </c>
      <c r="I265" s="113" t="str">
        <f>IF(A265&lt;&gt;"",SUMIFS(deployment!$H$4:$H$502, deployment!$D$4:$D$502,"="&amp;A265, deployment!$D$4:$D$502,"&lt;&gt;"&amp;""),"")</f>
        <v/>
      </c>
      <c r="J265" s="114" t="str">
        <f>IF(A265&lt;&gt;"",SUMIFS(deployment!$I$4:$I$502, deployment!$D$4:$D$502,"="&amp;A265, deployment!$D$4:$D$502,"&lt;&gt;"&amp;""),"")</f>
        <v/>
      </c>
      <c r="K265" s="182" t="str">
        <f>IF(A265&lt;&gt;"",SUMIFS(deployment!$J$4:$J$1002, deployment!$D$4:$D$1002,"="&amp;A265, deployment!$D$4:$D$1002,"&lt;&gt;"&amp;"", deployment!$C$4:$C$1002, "&lt;&gt;* )")+SUMIFS(namespace!$G$4:$G$1002, namespace!$B$4:$B$1002,"="&amp;A265, namespace!$B$4:$B$1002,"&lt;&gt;"&amp;""),"")</f>
        <v/>
      </c>
      <c r="L265" s="182" t="str">
        <f>IF(A265&lt;&gt;"",SUMIFS(deployment!$K$4:$K$1002, deployment!$D$4:$D$1002,"="&amp;A265, deployment!$D$4:$D$1002,"&lt;&gt;"&amp;"", deployment!$C$4:$C$1002, "&lt;&gt;* )")+SUMIFS(namespace!$H$4:$H$1002, namespace!$B$4:$B$1002,"="&amp;A265, namespace!$B$4:$B$1002,"&lt;&gt;"&amp;""),"")</f>
        <v/>
      </c>
      <c r="M265" s="115" t="str">
        <f>IF(A265&lt;&gt;"",SUMIFS(deployment!$L$4:$L$1002, deployment!$D$4:$D$1002,"="&amp;A265, deployment!$D$4:$D$1002,"&lt;&gt;"&amp;"", deployment!$C$4:$C$1002, "&lt;&gt;* )")+SUMIFS(namespace!$I$4:$I$1002, namespace!$B$4:$B$1002,"="&amp;A265, namespace!$B$4:$B$1002,"&lt;&gt;"&amp;""),"")</f>
        <v/>
      </c>
      <c r="N265" s="115" t="str">
        <f>IF(A265&lt;&gt;"",SUMIFS(deployment!$M$4:$M$1002, deployment!$D$4:$D$1002,"="&amp;A265, deployment!$D$4:$D$1002,"&lt;&gt;"&amp;"", deployment!$C$4:$C$1002, "&lt;&gt;* )")+SUMIFS(namespace!$J$4:$J$1002, namespace!$B$4:$B$1002,"="&amp;A265, namespace!$B$4:$B$1002,"&lt;&gt;"&amp;""),"")</f>
        <v/>
      </c>
      <c r="O265" s="116" t="str">
        <f t="shared" si="55"/>
        <v/>
      </c>
      <c r="P265" s="63"/>
      <c r="Q265" s="164" t="str">
        <f t="shared" si="50"/>
        <v/>
      </c>
      <c r="R265" s="60" t="str">
        <f t="shared" si="51"/>
        <v/>
      </c>
      <c r="S265" s="60" t="str">
        <f t="shared" si="52"/>
        <v/>
      </c>
      <c r="T265" s="61" t="str">
        <f t="shared" si="53"/>
        <v/>
      </c>
      <c r="U265" s="61" t="str">
        <f t="shared" si="54"/>
        <v/>
      </c>
      <c r="V265" s="183" t="str">
        <f t="shared" si="56"/>
        <v/>
      </c>
      <c r="W265" s="183" t="str">
        <f t="shared" si="57"/>
        <v/>
      </c>
      <c r="X265" s="61" t="str">
        <f t="shared" si="58"/>
        <v/>
      </c>
      <c r="Y265" s="61" t="str">
        <f t="shared" si="59"/>
        <v/>
      </c>
      <c r="Z265" s="118" t="str">
        <f t="shared" si="60"/>
        <v/>
      </c>
      <c r="AA265" s="62" t="str">
        <f t="shared" si="61"/>
        <v/>
      </c>
      <c r="AB265" s="119" t="str">
        <f>IF(A265&lt;&gt;"", IF(P265&lt;&gt;0,SUMIFS(node!$J$2:$J$1000, node!$C$2:$C$1000,"="&amp;A265)/P265,0), "")</f>
        <v/>
      </c>
      <c r="AC265" s="81" t="str">
        <f>IF(A265&lt;&gt;"", IF(P265&lt;&gt;0,SUMIFS(node!$K$2:$K$1000, node!$C$2:$C$1000,"="&amp;A265)/P265,0), "")</f>
        <v/>
      </c>
      <c r="AD265" s="82" t="str">
        <f>IF(A265&lt;&gt;"", SUMIFS(node!$L$2:$L$1000, node!$C$2:$C$1000,"="&amp;A265), "")</f>
        <v/>
      </c>
      <c r="AE265" s="87" t="str">
        <f>IF(A265&lt;&gt;"", SUMIFS(node!$M$2:$M$1000, node!$C$2:$C$1000,"="&amp;A265), "")</f>
        <v/>
      </c>
    </row>
    <row r="266" spans="1:31" ht="15.75" customHeight="1" x14ac:dyDescent="0.25">
      <c r="A266" s="71" t="str">
        <f>IF(ISNONTEXT(node_raw[[#This Row],[Column2]]), "", node_raw[[#This Row],[Column2]])</f>
        <v/>
      </c>
      <c r="B266" s="108" t="str">
        <f>IF(A266&lt;&gt;"", VLOOKUP(A266, node!$C$2:$D$1000, 2, FALSE), "")</f>
        <v/>
      </c>
      <c r="C266" s="109" t="str">
        <f>IF(A266&lt;&gt;"", VLOOKUP(A266, node!$C$2:$E$1000, 3, FALSE), "")</f>
        <v/>
      </c>
      <c r="D266" s="110" t="str">
        <f>IF(A266&lt;&gt;"",COUNTIFS(node!$C$2:$C$1000,"="&amp;A266, node!$C$2:$C$1000,"&lt;&gt;"&amp;""),"")</f>
        <v/>
      </c>
      <c r="E266" s="111" t="str">
        <f>IF(A266&lt;&gt;"",SUMIFS(node!$F$2:$F$500, node!$C$2:$C$500,"="&amp;A266, node!$C$2:$C$500,"&lt;&gt;"&amp;"")/(B266*D266),"")</f>
        <v/>
      </c>
      <c r="F266" s="112" t="str">
        <f>IF(A266&lt;&gt;"",SUMIFS(node!$H$2:$H$500, node!$C$2:$C$500,"="&amp;A266, node!$C$2:$C$500,"&lt;&gt;"&amp;"")/(C266*D266),"")</f>
        <v/>
      </c>
      <c r="G266" s="179" t="str">
        <f>IF(A266&lt;&gt;"",SUMIFS(deployment!$F$4:$F$502, deployment!$D$4:$D$502,"="&amp;A266, deployment!$D$4:$D$502,"&lt;&gt;"&amp;""),"")</f>
        <v/>
      </c>
      <c r="H266" s="181" t="str">
        <f>IF(A266&lt;&gt;"",SUMIFS(deployment!$G$4:$G$502, deployment!$D$4:$D$502,"="&amp;A266, deployment!$D$4:$D$502,"&lt;&gt;"&amp;""),"")</f>
        <v/>
      </c>
      <c r="I266" s="113" t="str">
        <f>IF(A266&lt;&gt;"",SUMIFS(deployment!$H$4:$H$502, deployment!$D$4:$D$502,"="&amp;A266, deployment!$D$4:$D$502,"&lt;&gt;"&amp;""),"")</f>
        <v/>
      </c>
      <c r="J266" s="114" t="str">
        <f>IF(A266&lt;&gt;"",SUMIFS(deployment!$I$4:$I$502, deployment!$D$4:$D$502,"="&amp;A266, deployment!$D$4:$D$502,"&lt;&gt;"&amp;""),"")</f>
        <v/>
      </c>
      <c r="K266" s="182" t="str">
        <f>IF(A266&lt;&gt;"",SUMIFS(deployment!$J$4:$J$1002, deployment!$D$4:$D$1002,"="&amp;A266, deployment!$D$4:$D$1002,"&lt;&gt;"&amp;"", deployment!$C$4:$C$1002, "&lt;&gt;* )")+SUMIFS(namespace!$G$4:$G$1002, namespace!$B$4:$B$1002,"="&amp;A266, namespace!$B$4:$B$1002,"&lt;&gt;"&amp;""),"")</f>
        <v/>
      </c>
      <c r="L266" s="182" t="str">
        <f>IF(A266&lt;&gt;"",SUMIFS(deployment!$K$4:$K$1002, deployment!$D$4:$D$1002,"="&amp;A266, deployment!$D$4:$D$1002,"&lt;&gt;"&amp;"", deployment!$C$4:$C$1002, "&lt;&gt;* )")+SUMIFS(namespace!$H$4:$H$1002, namespace!$B$4:$B$1002,"="&amp;A266, namespace!$B$4:$B$1002,"&lt;&gt;"&amp;""),"")</f>
        <v/>
      </c>
      <c r="M266" s="115" t="str">
        <f>IF(A266&lt;&gt;"",SUMIFS(deployment!$L$4:$L$1002, deployment!$D$4:$D$1002,"="&amp;A266, deployment!$D$4:$D$1002,"&lt;&gt;"&amp;"", deployment!$C$4:$C$1002, "&lt;&gt;* )")+SUMIFS(namespace!$I$4:$I$1002, namespace!$B$4:$B$1002,"="&amp;A266, namespace!$B$4:$B$1002,"&lt;&gt;"&amp;""),"")</f>
        <v/>
      </c>
      <c r="N266" s="115" t="str">
        <f>IF(A266&lt;&gt;"",SUMIFS(deployment!$M$4:$M$1002, deployment!$D$4:$D$1002,"="&amp;A266, deployment!$D$4:$D$1002,"&lt;&gt;"&amp;"", deployment!$C$4:$C$1002, "&lt;&gt;* )")+SUMIFS(namespace!$J$4:$J$1002, namespace!$B$4:$B$1002,"="&amp;A266, namespace!$B$4:$B$1002,"&lt;&gt;"&amp;""),"")</f>
        <v/>
      </c>
      <c r="O266" s="116" t="str">
        <f t="shared" si="55"/>
        <v/>
      </c>
      <c r="P266" s="63"/>
      <c r="Q266" s="164" t="str">
        <f t="shared" si="50"/>
        <v/>
      </c>
      <c r="R266" s="60" t="str">
        <f t="shared" si="51"/>
        <v/>
      </c>
      <c r="S266" s="60" t="str">
        <f t="shared" si="52"/>
        <v/>
      </c>
      <c r="T266" s="61" t="str">
        <f t="shared" si="53"/>
        <v/>
      </c>
      <c r="U266" s="61" t="str">
        <f t="shared" si="54"/>
        <v/>
      </c>
      <c r="V266" s="183" t="str">
        <f t="shared" si="56"/>
        <v/>
      </c>
      <c r="W266" s="183" t="str">
        <f t="shared" si="57"/>
        <v/>
      </c>
      <c r="X266" s="61" t="str">
        <f t="shared" si="58"/>
        <v/>
      </c>
      <c r="Y266" s="61" t="str">
        <f t="shared" si="59"/>
        <v/>
      </c>
      <c r="Z266" s="118" t="str">
        <f t="shared" si="60"/>
        <v/>
      </c>
      <c r="AA266" s="62" t="str">
        <f t="shared" si="61"/>
        <v/>
      </c>
      <c r="AB266" s="119" t="str">
        <f>IF(A266&lt;&gt;"", IF(P266&lt;&gt;0,SUMIFS(node!$J$2:$J$1000, node!$C$2:$C$1000,"="&amp;A266)/P266,0), "")</f>
        <v/>
      </c>
      <c r="AC266" s="81" t="str">
        <f>IF(A266&lt;&gt;"", IF(P266&lt;&gt;0,SUMIFS(node!$K$2:$K$1000, node!$C$2:$C$1000,"="&amp;A266)/P266,0), "")</f>
        <v/>
      </c>
      <c r="AD266" s="82" t="str">
        <f>IF(A266&lt;&gt;"", SUMIFS(node!$L$2:$L$1000, node!$C$2:$C$1000,"="&amp;A266), "")</f>
        <v/>
      </c>
      <c r="AE266" s="87" t="str">
        <f>IF(A266&lt;&gt;"", SUMIFS(node!$M$2:$M$1000, node!$C$2:$C$1000,"="&amp;A266), "")</f>
        <v/>
      </c>
    </row>
    <row r="267" spans="1:31" ht="15.75" customHeight="1" x14ac:dyDescent="0.25">
      <c r="A267" s="71" t="str">
        <f>IF(ISNONTEXT(node_raw[[#This Row],[Column2]]), "", node_raw[[#This Row],[Column2]])</f>
        <v/>
      </c>
      <c r="B267" s="108" t="str">
        <f>IF(A267&lt;&gt;"", VLOOKUP(A267, node!$C$2:$D$1000, 2, FALSE), "")</f>
        <v/>
      </c>
      <c r="C267" s="109" t="str">
        <f>IF(A267&lt;&gt;"", VLOOKUP(A267, node!$C$2:$E$1000, 3, FALSE), "")</f>
        <v/>
      </c>
      <c r="D267" s="110" t="str">
        <f>IF(A267&lt;&gt;"",COUNTIFS(node!$C$2:$C$1000,"="&amp;A267, node!$C$2:$C$1000,"&lt;&gt;"&amp;""),"")</f>
        <v/>
      </c>
      <c r="E267" s="111" t="str">
        <f>IF(A267&lt;&gt;"",SUMIFS(node!$F$2:$F$500, node!$C$2:$C$500,"="&amp;A267, node!$C$2:$C$500,"&lt;&gt;"&amp;"")/(B267*D267),"")</f>
        <v/>
      </c>
      <c r="F267" s="112" t="str">
        <f>IF(A267&lt;&gt;"",SUMIFS(node!$H$2:$H$500, node!$C$2:$C$500,"="&amp;A267, node!$C$2:$C$500,"&lt;&gt;"&amp;"")/(C267*D267),"")</f>
        <v/>
      </c>
      <c r="G267" s="179" t="str">
        <f>IF(A267&lt;&gt;"",SUMIFS(deployment!$F$4:$F$502, deployment!$D$4:$D$502,"="&amp;A267, deployment!$D$4:$D$502,"&lt;&gt;"&amp;""),"")</f>
        <v/>
      </c>
      <c r="H267" s="181" t="str">
        <f>IF(A267&lt;&gt;"",SUMIFS(deployment!$G$4:$G$502, deployment!$D$4:$D$502,"="&amp;A267, deployment!$D$4:$D$502,"&lt;&gt;"&amp;""),"")</f>
        <v/>
      </c>
      <c r="I267" s="113" t="str">
        <f>IF(A267&lt;&gt;"",SUMIFS(deployment!$H$4:$H$502, deployment!$D$4:$D$502,"="&amp;A267, deployment!$D$4:$D$502,"&lt;&gt;"&amp;""),"")</f>
        <v/>
      </c>
      <c r="J267" s="114" t="str">
        <f>IF(A267&lt;&gt;"",SUMIFS(deployment!$I$4:$I$502, deployment!$D$4:$D$502,"="&amp;A267, deployment!$D$4:$D$502,"&lt;&gt;"&amp;""),"")</f>
        <v/>
      </c>
      <c r="K267" s="182" t="str">
        <f>IF(A267&lt;&gt;"",SUMIFS(deployment!$J$4:$J$1002, deployment!$D$4:$D$1002,"="&amp;A267, deployment!$D$4:$D$1002,"&lt;&gt;"&amp;"", deployment!$C$4:$C$1002, "&lt;&gt;* )")+SUMIFS(namespace!$G$4:$G$1002, namespace!$B$4:$B$1002,"="&amp;A267, namespace!$B$4:$B$1002,"&lt;&gt;"&amp;""),"")</f>
        <v/>
      </c>
      <c r="L267" s="182" t="str">
        <f>IF(A267&lt;&gt;"",SUMIFS(deployment!$K$4:$K$1002, deployment!$D$4:$D$1002,"="&amp;A267, deployment!$D$4:$D$1002,"&lt;&gt;"&amp;"", deployment!$C$4:$C$1002, "&lt;&gt;* )")+SUMIFS(namespace!$H$4:$H$1002, namespace!$B$4:$B$1002,"="&amp;A267, namespace!$B$4:$B$1002,"&lt;&gt;"&amp;""),"")</f>
        <v/>
      </c>
      <c r="M267" s="115" t="str">
        <f>IF(A267&lt;&gt;"",SUMIFS(deployment!$L$4:$L$1002, deployment!$D$4:$D$1002,"="&amp;A267, deployment!$D$4:$D$1002,"&lt;&gt;"&amp;"", deployment!$C$4:$C$1002, "&lt;&gt;* )")+SUMIFS(namespace!$I$4:$I$1002, namespace!$B$4:$B$1002,"="&amp;A267, namespace!$B$4:$B$1002,"&lt;&gt;"&amp;""),"")</f>
        <v/>
      </c>
      <c r="N267" s="115" t="str">
        <f>IF(A267&lt;&gt;"",SUMIFS(deployment!$M$4:$M$1002, deployment!$D$4:$D$1002,"="&amp;A267, deployment!$D$4:$D$1002,"&lt;&gt;"&amp;"", deployment!$C$4:$C$1002, "&lt;&gt;* )")+SUMIFS(namespace!$J$4:$J$1002, namespace!$B$4:$B$1002,"="&amp;A267, namespace!$B$4:$B$1002,"&lt;&gt;"&amp;""),"")</f>
        <v/>
      </c>
      <c r="O267" s="116" t="str">
        <f t="shared" si="55"/>
        <v/>
      </c>
      <c r="P267" s="63"/>
      <c r="Q267" s="164" t="str">
        <f t="shared" si="50"/>
        <v/>
      </c>
      <c r="R267" s="60" t="str">
        <f t="shared" si="51"/>
        <v/>
      </c>
      <c r="S267" s="60" t="str">
        <f t="shared" si="52"/>
        <v/>
      </c>
      <c r="T267" s="61" t="str">
        <f t="shared" si="53"/>
        <v/>
      </c>
      <c r="U267" s="61" t="str">
        <f t="shared" si="54"/>
        <v/>
      </c>
      <c r="V267" s="183" t="str">
        <f t="shared" si="56"/>
        <v/>
      </c>
      <c r="W267" s="183" t="str">
        <f t="shared" si="57"/>
        <v/>
      </c>
      <c r="X267" s="61" t="str">
        <f t="shared" si="58"/>
        <v/>
      </c>
      <c r="Y267" s="61" t="str">
        <f t="shared" si="59"/>
        <v/>
      </c>
      <c r="Z267" s="118" t="str">
        <f t="shared" si="60"/>
        <v/>
      </c>
      <c r="AA267" s="62" t="str">
        <f t="shared" si="61"/>
        <v/>
      </c>
      <c r="AB267" s="119" t="str">
        <f>IF(A267&lt;&gt;"", IF(P267&lt;&gt;0,SUMIFS(node!$J$2:$J$1000, node!$C$2:$C$1000,"="&amp;A267)/P267,0), "")</f>
        <v/>
      </c>
      <c r="AC267" s="81" t="str">
        <f>IF(A267&lt;&gt;"", IF(P267&lt;&gt;0,SUMIFS(node!$K$2:$K$1000, node!$C$2:$C$1000,"="&amp;A267)/P267,0), "")</f>
        <v/>
      </c>
      <c r="AD267" s="82" t="str">
        <f>IF(A267&lt;&gt;"", SUMIFS(node!$L$2:$L$1000, node!$C$2:$C$1000,"="&amp;A267), "")</f>
        <v/>
      </c>
      <c r="AE267" s="87" t="str">
        <f>IF(A267&lt;&gt;"", SUMIFS(node!$M$2:$M$1000, node!$C$2:$C$1000,"="&amp;A267), "")</f>
        <v/>
      </c>
    </row>
    <row r="268" spans="1:31" ht="15.75" customHeight="1" x14ac:dyDescent="0.25">
      <c r="A268" s="71" t="str">
        <f>IF(ISNONTEXT(node_raw[[#This Row],[Column2]]), "", node_raw[[#This Row],[Column2]])</f>
        <v/>
      </c>
      <c r="B268" s="108" t="str">
        <f>IF(A268&lt;&gt;"", VLOOKUP(A268, node!$C$2:$D$1000, 2, FALSE), "")</f>
        <v/>
      </c>
      <c r="C268" s="109" t="str">
        <f>IF(A268&lt;&gt;"", VLOOKUP(A268, node!$C$2:$E$1000, 3, FALSE), "")</f>
        <v/>
      </c>
      <c r="D268" s="110" t="str">
        <f>IF(A268&lt;&gt;"",COUNTIFS(node!$C$2:$C$1000,"="&amp;A268, node!$C$2:$C$1000,"&lt;&gt;"&amp;""),"")</f>
        <v/>
      </c>
      <c r="E268" s="111" t="str">
        <f>IF(A268&lt;&gt;"",SUMIFS(node!$F$2:$F$500, node!$C$2:$C$500,"="&amp;A268, node!$C$2:$C$500,"&lt;&gt;"&amp;"")/(B268*D268),"")</f>
        <v/>
      </c>
      <c r="F268" s="112" t="str">
        <f>IF(A268&lt;&gt;"",SUMIFS(node!$H$2:$H$500, node!$C$2:$C$500,"="&amp;A268, node!$C$2:$C$500,"&lt;&gt;"&amp;"")/(C268*D268),"")</f>
        <v/>
      </c>
      <c r="G268" s="179" t="str">
        <f>IF(A268&lt;&gt;"",SUMIFS(deployment!$F$4:$F$502, deployment!$D$4:$D$502,"="&amp;A268, deployment!$D$4:$D$502,"&lt;&gt;"&amp;""),"")</f>
        <v/>
      </c>
      <c r="H268" s="181" t="str">
        <f>IF(A268&lt;&gt;"",SUMIFS(deployment!$G$4:$G$502, deployment!$D$4:$D$502,"="&amp;A268, deployment!$D$4:$D$502,"&lt;&gt;"&amp;""),"")</f>
        <v/>
      </c>
      <c r="I268" s="113" t="str">
        <f>IF(A268&lt;&gt;"",SUMIFS(deployment!$H$4:$H$502, deployment!$D$4:$D$502,"="&amp;A268, deployment!$D$4:$D$502,"&lt;&gt;"&amp;""),"")</f>
        <v/>
      </c>
      <c r="J268" s="114" t="str">
        <f>IF(A268&lt;&gt;"",SUMIFS(deployment!$I$4:$I$502, deployment!$D$4:$D$502,"="&amp;A268, deployment!$D$4:$D$502,"&lt;&gt;"&amp;""),"")</f>
        <v/>
      </c>
      <c r="K268" s="182" t="str">
        <f>IF(A268&lt;&gt;"",SUMIFS(deployment!$J$4:$J$1002, deployment!$D$4:$D$1002,"="&amp;A268, deployment!$D$4:$D$1002,"&lt;&gt;"&amp;"", deployment!$C$4:$C$1002, "&lt;&gt;* )")+SUMIFS(namespace!$G$4:$G$1002, namespace!$B$4:$B$1002,"="&amp;A268, namespace!$B$4:$B$1002,"&lt;&gt;"&amp;""),"")</f>
        <v/>
      </c>
      <c r="L268" s="182" t="str">
        <f>IF(A268&lt;&gt;"",SUMIFS(deployment!$K$4:$K$1002, deployment!$D$4:$D$1002,"="&amp;A268, deployment!$D$4:$D$1002,"&lt;&gt;"&amp;"", deployment!$C$4:$C$1002, "&lt;&gt;* )")+SUMIFS(namespace!$H$4:$H$1002, namespace!$B$4:$B$1002,"="&amp;A268, namespace!$B$4:$B$1002,"&lt;&gt;"&amp;""),"")</f>
        <v/>
      </c>
      <c r="M268" s="115" t="str">
        <f>IF(A268&lt;&gt;"",SUMIFS(deployment!$L$4:$L$1002, deployment!$D$4:$D$1002,"="&amp;A268, deployment!$D$4:$D$1002,"&lt;&gt;"&amp;"", deployment!$C$4:$C$1002, "&lt;&gt;* )")+SUMIFS(namespace!$I$4:$I$1002, namespace!$B$4:$B$1002,"="&amp;A268, namespace!$B$4:$B$1002,"&lt;&gt;"&amp;""),"")</f>
        <v/>
      </c>
      <c r="N268" s="115" t="str">
        <f>IF(A268&lt;&gt;"",SUMIFS(deployment!$M$4:$M$1002, deployment!$D$4:$D$1002,"="&amp;A268, deployment!$D$4:$D$1002,"&lt;&gt;"&amp;"", deployment!$C$4:$C$1002, "&lt;&gt;* )")+SUMIFS(namespace!$J$4:$J$1002, namespace!$B$4:$B$1002,"="&amp;A268, namespace!$B$4:$B$1002,"&lt;&gt;"&amp;""),"")</f>
        <v/>
      </c>
      <c r="O268" s="116" t="str">
        <f t="shared" si="55"/>
        <v/>
      </c>
      <c r="P268" s="63"/>
      <c r="Q268" s="164" t="str">
        <f t="shared" si="50"/>
        <v/>
      </c>
      <c r="R268" s="60" t="str">
        <f t="shared" si="51"/>
        <v/>
      </c>
      <c r="S268" s="60" t="str">
        <f t="shared" si="52"/>
        <v/>
      </c>
      <c r="T268" s="61" t="str">
        <f t="shared" si="53"/>
        <v/>
      </c>
      <c r="U268" s="61" t="str">
        <f t="shared" si="54"/>
        <v/>
      </c>
      <c r="V268" s="183" t="str">
        <f t="shared" si="56"/>
        <v/>
      </c>
      <c r="W268" s="183" t="str">
        <f t="shared" si="57"/>
        <v/>
      </c>
      <c r="X268" s="61" t="str">
        <f t="shared" si="58"/>
        <v/>
      </c>
      <c r="Y268" s="61" t="str">
        <f t="shared" si="59"/>
        <v/>
      </c>
      <c r="Z268" s="118" t="str">
        <f t="shared" si="60"/>
        <v/>
      </c>
      <c r="AA268" s="62" t="str">
        <f t="shared" si="61"/>
        <v/>
      </c>
      <c r="AB268" s="119" t="str">
        <f>IF(A268&lt;&gt;"", IF(P268&lt;&gt;0,SUMIFS(node!$J$2:$J$1000, node!$C$2:$C$1000,"="&amp;A268)/P268,0), "")</f>
        <v/>
      </c>
      <c r="AC268" s="81" t="str">
        <f>IF(A268&lt;&gt;"", IF(P268&lt;&gt;0,SUMIFS(node!$K$2:$K$1000, node!$C$2:$C$1000,"="&amp;A268)/P268,0), "")</f>
        <v/>
      </c>
      <c r="AD268" s="82" t="str">
        <f>IF(A268&lt;&gt;"", SUMIFS(node!$L$2:$L$1000, node!$C$2:$C$1000,"="&amp;A268), "")</f>
        <v/>
      </c>
      <c r="AE268" s="87" t="str">
        <f>IF(A268&lt;&gt;"", SUMIFS(node!$M$2:$M$1000, node!$C$2:$C$1000,"="&amp;A268), "")</f>
        <v/>
      </c>
    </row>
    <row r="269" spans="1:31" ht="15.75" customHeight="1" x14ac:dyDescent="0.25">
      <c r="A269" s="71" t="str">
        <f>IF(ISNONTEXT(node_raw[[#This Row],[Column2]]), "", node_raw[[#This Row],[Column2]])</f>
        <v/>
      </c>
      <c r="B269" s="108" t="str">
        <f>IF(A269&lt;&gt;"", VLOOKUP(A269, node!$C$2:$D$1000, 2, FALSE), "")</f>
        <v/>
      </c>
      <c r="C269" s="109" t="str">
        <f>IF(A269&lt;&gt;"", VLOOKUP(A269, node!$C$2:$E$1000, 3, FALSE), "")</f>
        <v/>
      </c>
      <c r="D269" s="110" t="str">
        <f>IF(A269&lt;&gt;"",COUNTIFS(node!$C$2:$C$1000,"="&amp;A269, node!$C$2:$C$1000,"&lt;&gt;"&amp;""),"")</f>
        <v/>
      </c>
      <c r="E269" s="111" t="str">
        <f>IF(A269&lt;&gt;"",SUMIFS(node!$F$2:$F$500, node!$C$2:$C$500,"="&amp;A269, node!$C$2:$C$500,"&lt;&gt;"&amp;"")/(B269*D269),"")</f>
        <v/>
      </c>
      <c r="F269" s="112" t="str">
        <f>IF(A269&lt;&gt;"",SUMIFS(node!$H$2:$H$500, node!$C$2:$C$500,"="&amp;A269, node!$C$2:$C$500,"&lt;&gt;"&amp;"")/(C269*D269),"")</f>
        <v/>
      </c>
      <c r="G269" s="179" t="str">
        <f>IF(A269&lt;&gt;"",SUMIFS(deployment!$F$4:$F$502, deployment!$D$4:$D$502,"="&amp;A269, deployment!$D$4:$D$502,"&lt;&gt;"&amp;""),"")</f>
        <v/>
      </c>
      <c r="H269" s="181" t="str">
        <f>IF(A269&lt;&gt;"",SUMIFS(deployment!$G$4:$G$502, deployment!$D$4:$D$502,"="&amp;A269, deployment!$D$4:$D$502,"&lt;&gt;"&amp;""),"")</f>
        <v/>
      </c>
      <c r="I269" s="113" t="str">
        <f>IF(A269&lt;&gt;"",SUMIFS(deployment!$H$4:$H$502, deployment!$D$4:$D$502,"="&amp;A269, deployment!$D$4:$D$502,"&lt;&gt;"&amp;""),"")</f>
        <v/>
      </c>
      <c r="J269" s="114" t="str">
        <f>IF(A269&lt;&gt;"",SUMIFS(deployment!$I$4:$I$502, deployment!$D$4:$D$502,"="&amp;A269, deployment!$D$4:$D$502,"&lt;&gt;"&amp;""),"")</f>
        <v/>
      </c>
      <c r="K269" s="182" t="str">
        <f>IF(A269&lt;&gt;"",SUMIFS(deployment!$J$4:$J$1002, deployment!$D$4:$D$1002,"="&amp;A269, deployment!$D$4:$D$1002,"&lt;&gt;"&amp;"", deployment!$C$4:$C$1002, "&lt;&gt;* )")+SUMIFS(namespace!$G$4:$G$1002, namespace!$B$4:$B$1002,"="&amp;A269, namespace!$B$4:$B$1002,"&lt;&gt;"&amp;""),"")</f>
        <v/>
      </c>
      <c r="L269" s="182" t="str">
        <f>IF(A269&lt;&gt;"",SUMIFS(deployment!$K$4:$K$1002, deployment!$D$4:$D$1002,"="&amp;A269, deployment!$D$4:$D$1002,"&lt;&gt;"&amp;"", deployment!$C$4:$C$1002, "&lt;&gt;* )")+SUMIFS(namespace!$H$4:$H$1002, namespace!$B$4:$B$1002,"="&amp;A269, namespace!$B$4:$B$1002,"&lt;&gt;"&amp;""),"")</f>
        <v/>
      </c>
      <c r="M269" s="115" t="str">
        <f>IF(A269&lt;&gt;"",SUMIFS(deployment!$L$4:$L$1002, deployment!$D$4:$D$1002,"="&amp;A269, deployment!$D$4:$D$1002,"&lt;&gt;"&amp;"", deployment!$C$4:$C$1002, "&lt;&gt;* )")+SUMIFS(namespace!$I$4:$I$1002, namespace!$B$4:$B$1002,"="&amp;A269, namespace!$B$4:$B$1002,"&lt;&gt;"&amp;""),"")</f>
        <v/>
      </c>
      <c r="N269" s="115" t="str">
        <f>IF(A269&lt;&gt;"",SUMIFS(deployment!$M$4:$M$1002, deployment!$D$4:$D$1002,"="&amp;A269, deployment!$D$4:$D$1002,"&lt;&gt;"&amp;"", deployment!$C$4:$C$1002, "&lt;&gt;* )")+SUMIFS(namespace!$J$4:$J$1002, namespace!$B$4:$B$1002,"="&amp;A269, namespace!$B$4:$B$1002,"&lt;&gt;"&amp;""),"")</f>
        <v/>
      </c>
      <c r="O269" s="116" t="str">
        <f t="shared" si="55"/>
        <v/>
      </c>
      <c r="P269" s="63"/>
      <c r="Q269" s="164" t="str">
        <f t="shared" si="50"/>
        <v/>
      </c>
      <c r="R269" s="60" t="str">
        <f t="shared" si="51"/>
        <v/>
      </c>
      <c r="S269" s="60" t="str">
        <f t="shared" si="52"/>
        <v/>
      </c>
      <c r="T269" s="61" t="str">
        <f t="shared" si="53"/>
        <v/>
      </c>
      <c r="U269" s="61" t="str">
        <f t="shared" si="54"/>
        <v/>
      </c>
      <c r="V269" s="183" t="str">
        <f t="shared" si="56"/>
        <v/>
      </c>
      <c r="W269" s="183" t="str">
        <f t="shared" si="57"/>
        <v/>
      </c>
      <c r="X269" s="61" t="str">
        <f t="shared" si="58"/>
        <v/>
      </c>
      <c r="Y269" s="61" t="str">
        <f t="shared" si="59"/>
        <v/>
      </c>
      <c r="Z269" s="118" t="str">
        <f t="shared" si="60"/>
        <v/>
      </c>
      <c r="AA269" s="62" t="str">
        <f t="shared" si="61"/>
        <v/>
      </c>
      <c r="AB269" s="119" t="str">
        <f>IF(A269&lt;&gt;"", IF(P269&lt;&gt;0,SUMIFS(node!$J$2:$J$1000, node!$C$2:$C$1000,"="&amp;A269)/P269,0), "")</f>
        <v/>
      </c>
      <c r="AC269" s="81" t="str">
        <f>IF(A269&lt;&gt;"", IF(P269&lt;&gt;0,SUMIFS(node!$K$2:$K$1000, node!$C$2:$C$1000,"="&amp;A269)/P269,0), "")</f>
        <v/>
      </c>
      <c r="AD269" s="82" t="str">
        <f>IF(A269&lt;&gt;"", SUMIFS(node!$L$2:$L$1000, node!$C$2:$C$1000,"="&amp;A269), "")</f>
        <v/>
      </c>
      <c r="AE269" s="87" t="str">
        <f>IF(A269&lt;&gt;"", SUMIFS(node!$M$2:$M$1000, node!$C$2:$C$1000,"="&amp;A269), "")</f>
        <v/>
      </c>
    </row>
    <row r="270" spans="1:31" ht="15.75" customHeight="1" x14ac:dyDescent="0.25">
      <c r="A270" s="71" t="str">
        <f>IF(ISNONTEXT(node_raw[[#This Row],[Column2]]), "", node_raw[[#This Row],[Column2]])</f>
        <v/>
      </c>
      <c r="B270" s="108" t="str">
        <f>IF(A270&lt;&gt;"", VLOOKUP(A270, node!$C$2:$D$1000, 2, FALSE), "")</f>
        <v/>
      </c>
      <c r="C270" s="109" t="str">
        <f>IF(A270&lt;&gt;"", VLOOKUP(A270, node!$C$2:$E$1000, 3, FALSE), "")</f>
        <v/>
      </c>
      <c r="D270" s="110" t="str">
        <f>IF(A270&lt;&gt;"",COUNTIFS(node!$C$2:$C$1000,"="&amp;A270, node!$C$2:$C$1000,"&lt;&gt;"&amp;""),"")</f>
        <v/>
      </c>
      <c r="E270" s="111" t="str">
        <f>IF(A270&lt;&gt;"",SUMIFS(node!$F$2:$F$500, node!$C$2:$C$500,"="&amp;A270, node!$C$2:$C$500,"&lt;&gt;"&amp;"")/(B270*D270),"")</f>
        <v/>
      </c>
      <c r="F270" s="112" t="str">
        <f>IF(A270&lt;&gt;"",SUMIFS(node!$H$2:$H$500, node!$C$2:$C$500,"="&amp;A270, node!$C$2:$C$500,"&lt;&gt;"&amp;"")/(C270*D270),"")</f>
        <v/>
      </c>
      <c r="G270" s="179" t="str">
        <f>IF(A270&lt;&gt;"",SUMIFS(deployment!$F$4:$F$502, deployment!$D$4:$D$502,"="&amp;A270, deployment!$D$4:$D$502,"&lt;&gt;"&amp;""),"")</f>
        <v/>
      </c>
      <c r="H270" s="181" t="str">
        <f>IF(A270&lt;&gt;"",SUMIFS(deployment!$G$4:$G$502, deployment!$D$4:$D$502,"="&amp;A270, deployment!$D$4:$D$502,"&lt;&gt;"&amp;""),"")</f>
        <v/>
      </c>
      <c r="I270" s="113" t="str">
        <f>IF(A270&lt;&gt;"",SUMIFS(deployment!$H$4:$H$502, deployment!$D$4:$D$502,"="&amp;A270, deployment!$D$4:$D$502,"&lt;&gt;"&amp;""),"")</f>
        <v/>
      </c>
      <c r="J270" s="114" t="str">
        <f>IF(A270&lt;&gt;"",SUMIFS(deployment!$I$4:$I$502, deployment!$D$4:$D$502,"="&amp;A270, deployment!$D$4:$D$502,"&lt;&gt;"&amp;""),"")</f>
        <v/>
      </c>
      <c r="K270" s="182" t="str">
        <f>IF(A270&lt;&gt;"",SUMIFS(deployment!$J$4:$J$1002, deployment!$D$4:$D$1002,"="&amp;A270, deployment!$D$4:$D$1002,"&lt;&gt;"&amp;"", deployment!$C$4:$C$1002, "&lt;&gt;* )")+SUMIFS(namespace!$G$4:$G$1002, namespace!$B$4:$B$1002,"="&amp;A270, namespace!$B$4:$B$1002,"&lt;&gt;"&amp;""),"")</f>
        <v/>
      </c>
      <c r="L270" s="182" t="str">
        <f>IF(A270&lt;&gt;"",SUMIFS(deployment!$K$4:$K$1002, deployment!$D$4:$D$1002,"="&amp;A270, deployment!$D$4:$D$1002,"&lt;&gt;"&amp;"", deployment!$C$4:$C$1002, "&lt;&gt;* )")+SUMIFS(namespace!$H$4:$H$1002, namespace!$B$4:$B$1002,"="&amp;A270, namespace!$B$4:$B$1002,"&lt;&gt;"&amp;""),"")</f>
        <v/>
      </c>
      <c r="M270" s="115" t="str">
        <f>IF(A270&lt;&gt;"",SUMIFS(deployment!$L$4:$L$1002, deployment!$D$4:$D$1002,"="&amp;A270, deployment!$D$4:$D$1002,"&lt;&gt;"&amp;"", deployment!$C$4:$C$1002, "&lt;&gt;* )")+SUMIFS(namespace!$I$4:$I$1002, namespace!$B$4:$B$1002,"="&amp;A270, namespace!$B$4:$B$1002,"&lt;&gt;"&amp;""),"")</f>
        <v/>
      </c>
      <c r="N270" s="115" t="str">
        <f>IF(A270&lt;&gt;"",SUMIFS(deployment!$M$4:$M$1002, deployment!$D$4:$D$1002,"="&amp;A270, deployment!$D$4:$D$1002,"&lt;&gt;"&amp;"", deployment!$C$4:$C$1002, "&lt;&gt;* )")+SUMIFS(namespace!$J$4:$J$1002, namespace!$B$4:$B$1002,"="&amp;A270, namespace!$B$4:$B$1002,"&lt;&gt;"&amp;""),"")</f>
        <v/>
      </c>
      <c r="O270" s="116" t="str">
        <f t="shared" si="55"/>
        <v/>
      </c>
      <c r="P270" s="63"/>
      <c r="Q270" s="164" t="str">
        <f t="shared" si="50"/>
        <v/>
      </c>
      <c r="R270" s="60" t="str">
        <f t="shared" si="51"/>
        <v/>
      </c>
      <c r="S270" s="60" t="str">
        <f t="shared" si="52"/>
        <v/>
      </c>
      <c r="T270" s="61" t="str">
        <f t="shared" si="53"/>
        <v/>
      </c>
      <c r="U270" s="61" t="str">
        <f t="shared" si="54"/>
        <v/>
      </c>
      <c r="V270" s="183" t="str">
        <f t="shared" si="56"/>
        <v/>
      </c>
      <c r="W270" s="183" t="str">
        <f t="shared" si="57"/>
        <v/>
      </c>
      <c r="X270" s="61" t="str">
        <f t="shared" si="58"/>
        <v/>
      </c>
      <c r="Y270" s="61" t="str">
        <f t="shared" si="59"/>
        <v/>
      </c>
      <c r="Z270" s="118" t="str">
        <f t="shared" si="60"/>
        <v/>
      </c>
      <c r="AA270" s="62" t="str">
        <f t="shared" si="61"/>
        <v/>
      </c>
      <c r="AB270" s="119" t="str">
        <f>IF(A270&lt;&gt;"", IF(P270&lt;&gt;0,SUMIFS(node!$J$2:$J$1000, node!$C$2:$C$1000,"="&amp;A270)/P270,0), "")</f>
        <v/>
      </c>
      <c r="AC270" s="81" t="str">
        <f>IF(A270&lt;&gt;"", IF(P270&lt;&gt;0,SUMIFS(node!$K$2:$K$1000, node!$C$2:$C$1000,"="&amp;A270)/P270,0), "")</f>
        <v/>
      </c>
      <c r="AD270" s="82" t="str">
        <f>IF(A270&lt;&gt;"", SUMIFS(node!$L$2:$L$1000, node!$C$2:$C$1000,"="&amp;A270), "")</f>
        <v/>
      </c>
      <c r="AE270" s="87" t="str">
        <f>IF(A270&lt;&gt;"", SUMIFS(node!$M$2:$M$1000, node!$C$2:$C$1000,"="&amp;A270), "")</f>
        <v/>
      </c>
    </row>
    <row r="271" spans="1:31" ht="15.75" customHeight="1" x14ac:dyDescent="0.25">
      <c r="A271" s="71" t="str">
        <f>IF(ISNONTEXT(node_raw[[#This Row],[Column2]]), "", node_raw[[#This Row],[Column2]])</f>
        <v/>
      </c>
      <c r="B271" s="108" t="str">
        <f>IF(A271&lt;&gt;"", VLOOKUP(A271, node!$C$2:$D$1000, 2, FALSE), "")</f>
        <v/>
      </c>
      <c r="C271" s="109" t="str">
        <f>IF(A271&lt;&gt;"", VLOOKUP(A271, node!$C$2:$E$1000, 3, FALSE), "")</f>
        <v/>
      </c>
      <c r="D271" s="110" t="str">
        <f>IF(A271&lt;&gt;"",COUNTIFS(node!$C$2:$C$1000,"="&amp;A271, node!$C$2:$C$1000,"&lt;&gt;"&amp;""),"")</f>
        <v/>
      </c>
      <c r="E271" s="111" t="str">
        <f>IF(A271&lt;&gt;"",SUMIFS(node!$F$2:$F$500, node!$C$2:$C$500,"="&amp;A271, node!$C$2:$C$500,"&lt;&gt;"&amp;"")/(B271*D271),"")</f>
        <v/>
      </c>
      <c r="F271" s="112" t="str">
        <f>IF(A271&lt;&gt;"",SUMIFS(node!$H$2:$H$500, node!$C$2:$C$500,"="&amp;A271, node!$C$2:$C$500,"&lt;&gt;"&amp;"")/(C271*D271),"")</f>
        <v/>
      </c>
      <c r="G271" s="179" t="str">
        <f>IF(A271&lt;&gt;"",SUMIFS(deployment!$F$4:$F$502, deployment!$D$4:$D$502,"="&amp;A271, deployment!$D$4:$D$502,"&lt;&gt;"&amp;""),"")</f>
        <v/>
      </c>
      <c r="H271" s="181" t="str">
        <f>IF(A271&lt;&gt;"",SUMIFS(deployment!$G$4:$G$502, deployment!$D$4:$D$502,"="&amp;A271, deployment!$D$4:$D$502,"&lt;&gt;"&amp;""),"")</f>
        <v/>
      </c>
      <c r="I271" s="113" t="str">
        <f>IF(A271&lt;&gt;"",SUMIFS(deployment!$H$4:$H$502, deployment!$D$4:$D$502,"="&amp;A271, deployment!$D$4:$D$502,"&lt;&gt;"&amp;""),"")</f>
        <v/>
      </c>
      <c r="J271" s="114" t="str">
        <f>IF(A271&lt;&gt;"",SUMIFS(deployment!$I$4:$I$502, deployment!$D$4:$D$502,"="&amp;A271, deployment!$D$4:$D$502,"&lt;&gt;"&amp;""),"")</f>
        <v/>
      </c>
      <c r="K271" s="182" t="str">
        <f>IF(A271&lt;&gt;"",SUMIFS(deployment!$J$4:$J$1002, deployment!$D$4:$D$1002,"="&amp;A271, deployment!$D$4:$D$1002,"&lt;&gt;"&amp;"", deployment!$C$4:$C$1002, "&lt;&gt;* )")+SUMIFS(namespace!$G$4:$G$1002, namespace!$B$4:$B$1002,"="&amp;A271, namespace!$B$4:$B$1002,"&lt;&gt;"&amp;""),"")</f>
        <v/>
      </c>
      <c r="L271" s="182" t="str">
        <f>IF(A271&lt;&gt;"",SUMIFS(deployment!$K$4:$K$1002, deployment!$D$4:$D$1002,"="&amp;A271, deployment!$D$4:$D$1002,"&lt;&gt;"&amp;"", deployment!$C$4:$C$1002, "&lt;&gt;* )")+SUMIFS(namespace!$H$4:$H$1002, namespace!$B$4:$B$1002,"="&amp;A271, namespace!$B$4:$B$1002,"&lt;&gt;"&amp;""),"")</f>
        <v/>
      </c>
      <c r="M271" s="115" t="str">
        <f>IF(A271&lt;&gt;"",SUMIFS(deployment!$L$4:$L$1002, deployment!$D$4:$D$1002,"="&amp;A271, deployment!$D$4:$D$1002,"&lt;&gt;"&amp;"", deployment!$C$4:$C$1002, "&lt;&gt;* )")+SUMIFS(namespace!$I$4:$I$1002, namespace!$B$4:$B$1002,"="&amp;A271, namespace!$B$4:$B$1002,"&lt;&gt;"&amp;""),"")</f>
        <v/>
      </c>
      <c r="N271" s="115" t="str">
        <f>IF(A271&lt;&gt;"",SUMIFS(deployment!$M$4:$M$1002, deployment!$D$4:$D$1002,"="&amp;A271, deployment!$D$4:$D$1002,"&lt;&gt;"&amp;"", deployment!$C$4:$C$1002, "&lt;&gt;* )")+SUMIFS(namespace!$J$4:$J$1002, namespace!$B$4:$B$1002,"="&amp;A271, namespace!$B$4:$B$1002,"&lt;&gt;"&amp;""),"")</f>
        <v/>
      </c>
      <c r="O271" s="116" t="str">
        <f t="shared" si="55"/>
        <v/>
      </c>
      <c r="P271" s="63"/>
      <c r="Q271" s="164" t="str">
        <f t="shared" si="50"/>
        <v/>
      </c>
      <c r="R271" s="60" t="str">
        <f t="shared" si="51"/>
        <v/>
      </c>
      <c r="S271" s="60" t="str">
        <f t="shared" si="52"/>
        <v/>
      </c>
      <c r="T271" s="61" t="str">
        <f t="shared" si="53"/>
        <v/>
      </c>
      <c r="U271" s="61" t="str">
        <f t="shared" si="54"/>
        <v/>
      </c>
      <c r="V271" s="183" t="str">
        <f t="shared" si="56"/>
        <v/>
      </c>
      <c r="W271" s="183" t="str">
        <f t="shared" si="57"/>
        <v/>
      </c>
      <c r="X271" s="61" t="str">
        <f t="shared" si="58"/>
        <v/>
      </c>
      <c r="Y271" s="61" t="str">
        <f t="shared" si="59"/>
        <v/>
      </c>
      <c r="Z271" s="118" t="str">
        <f t="shared" si="60"/>
        <v/>
      </c>
      <c r="AA271" s="62" t="str">
        <f t="shared" si="61"/>
        <v/>
      </c>
      <c r="AB271" s="119" t="str">
        <f>IF(A271&lt;&gt;"", IF(P271&lt;&gt;0,SUMIFS(node!$J$2:$J$1000, node!$C$2:$C$1000,"="&amp;A271)/P271,0), "")</f>
        <v/>
      </c>
      <c r="AC271" s="81" t="str">
        <f>IF(A271&lt;&gt;"", IF(P271&lt;&gt;0,SUMIFS(node!$K$2:$K$1000, node!$C$2:$C$1000,"="&amp;A271)/P271,0), "")</f>
        <v/>
      </c>
      <c r="AD271" s="82" t="str">
        <f>IF(A271&lt;&gt;"", SUMIFS(node!$L$2:$L$1000, node!$C$2:$C$1000,"="&amp;A271), "")</f>
        <v/>
      </c>
      <c r="AE271" s="87" t="str">
        <f>IF(A271&lt;&gt;"", SUMIFS(node!$M$2:$M$1000, node!$C$2:$C$1000,"="&amp;A271), "")</f>
        <v/>
      </c>
    </row>
    <row r="272" spans="1:31" ht="15.75" customHeight="1" x14ac:dyDescent="0.25">
      <c r="A272" s="71" t="str">
        <f>IF(ISNONTEXT(node_raw[[#This Row],[Column2]]), "", node_raw[[#This Row],[Column2]])</f>
        <v/>
      </c>
      <c r="B272" s="108" t="str">
        <f>IF(A272&lt;&gt;"", VLOOKUP(A272, node!$C$2:$D$1000, 2, FALSE), "")</f>
        <v/>
      </c>
      <c r="C272" s="109" t="str">
        <f>IF(A272&lt;&gt;"", VLOOKUP(A272, node!$C$2:$E$1000, 3, FALSE), "")</f>
        <v/>
      </c>
      <c r="D272" s="110" t="str">
        <f>IF(A272&lt;&gt;"",COUNTIFS(node!$C$2:$C$1000,"="&amp;A272, node!$C$2:$C$1000,"&lt;&gt;"&amp;""),"")</f>
        <v/>
      </c>
      <c r="E272" s="111" t="str">
        <f>IF(A272&lt;&gt;"",SUMIFS(node!$F$2:$F$500, node!$C$2:$C$500,"="&amp;A272, node!$C$2:$C$500,"&lt;&gt;"&amp;"")/(B272*D272),"")</f>
        <v/>
      </c>
      <c r="F272" s="112" t="str">
        <f>IF(A272&lt;&gt;"",SUMIFS(node!$H$2:$H$500, node!$C$2:$C$500,"="&amp;A272, node!$C$2:$C$500,"&lt;&gt;"&amp;"")/(C272*D272),"")</f>
        <v/>
      </c>
      <c r="G272" s="179" t="str">
        <f>IF(A272&lt;&gt;"",SUMIFS(deployment!$F$4:$F$502, deployment!$D$4:$D$502,"="&amp;A272, deployment!$D$4:$D$502,"&lt;&gt;"&amp;""),"")</f>
        <v/>
      </c>
      <c r="H272" s="181" t="str">
        <f>IF(A272&lt;&gt;"",SUMIFS(deployment!$G$4:$G$502, deployment!$D$4:$D$502,"="&amp;A272, deployment!$D$4:$D$502,"&lt;&gt;"&amp;""),"")</f>
        <v/>
      </c>
      <c r="I272" s="113" t="str">
        <f>IF(A272&lt;&gt;"",SUMIFS(deployment!$H$4:$H$502, deployment!$D$4:$D$502,"="&amp;A272, deployment!$D$4:$D$502,"&lt;&gt;"&amp;""),"")</f>
        <v/>
      </c>
      <c r="J272" s="114" t="str">
        <f>IF(A272&lt;&gt;"",SUMIFS(deployment!$I$4:$I$502, deployment!$D$4:$D$502,"="&amp;A272, deployment!$D$4:$D$502,"&lt;&gt;"&amp;""),"")</f>
        <v/>
      </c>
      <c r="K272" s="182" t="str">
        <f>IF(A272&lt;&gt;"",SUMIFS(deployment!$J$4:$J$1002, deployment!$D$4:$D$1002,"="&amp;A272, deployment!$D$4:$D$1002,"&lt;&gt;"&amp;"", deployment!$C$4:$C$1002, "&lt;&gt;* )")+SUMIFS(namespace!$G$4:$G$1002, namespace!$B$4:$B$1002,"="&amp;A272, namespace!$B$4:$B$1002,"&lt;&gt;"&amp;""),"")</f>
        <v/>
      </c>
      <c r="L272" s="182" t="str">
        <f>IF(A272&lt;&gt;"",SUMIFS(deployment!$K$4:$K$1002, deployment!$D$4:$D$1002,"="&amp;A272, deployment!$D$4:$D$1002,"&lt;&gt;"&amp;"", deployment!$C$4:$C$1002, "&lt;&gt;* )")+SUMIFS(namespace!$H$4:$H$1002, namespace!$B$4:$B$1002,"="&amp;A272, namespace!$B$4:$B$1002,"&lt;&gt;"&amp;""),"")</f>
        <v/>
      </c>
      <c r="M272" s="115" t="str">
        <f>IF(A272&lt;&gt;"",SUMIFS(deployment!$L$4:$L$1002, deployment!$D$4:$D$1002,"="&amp;A272, deployment!$D$4:$D$1002,"&lt;&gt;"&amp;"", deployment!$C$4:$C$1002, "&lt;&gt;* )")+SUMIFS(namespace!$I$4:$I$1002, namespace!$B$4:$B$1002,"="&amp;A272, namespace!$B$4:$B$1002,"&lt;&gt;"&amp;""),"")</f>
        <v/>
      </c>
      <c r="N272" s="115" t="str">
        <f>IF(A272&lt;&gt;"",SUMIFS(deployment!$M$4:$M$1002, deployment!$D$4:$D$1002,"="&amp;A272, deployment!$D$4:$D$1002,"&lt;&gt;"&amp;"", deployment!$C$4:$C$1002, "&lt;&gt;* )")+SUMIFS(namespace!$J$4:$J$1002, namespace!$B$4:$B$1002,"="&amp;A272, namespace!$B$4:$B$1002,"&lt;&gt;"&amp;""),"")</f>
        <v/>
      </c>
      <c r="O272" s="116" t="str">
        <f t="shared" si="55"/>
        <v/>
      </c>
      <c r="P272" s="63"/>
      <c r="Q272" s="164" t="str">
        <f t="shared" si="50"/>
        <v/>
      </c>
      <c r="R272" s="60" t="str">
        <f t="shared" si="51"/>
        <v/>
      </c>
      <c r="S272" s="60" t="str">
        <f t="shared" si="52"/>
        <v/>
      </c>
      <c r="T272" s="61" t="str">
        <f t="shared" si="53"/>
        <v/>
      </c>
      <c r="U272" s="61" t="str">
        <f t="shared" si="54"/>
        <v/>
      </c>
      <c r="V272" s="183" t="str">
        <f t="shared" si="56"/>
        <v/>
      </c>
      <c r="W272" s="183" t="str">
        <f t="shared" si="57"/>
        <v/>
      </c>
      <c r="X272" s="61" t="str">
        <f t="shared" si="58"/>
        <v/>
      </c>
      <c r="Y272" s="61" t="str">
        <f t="shared" si="59"/>
        <v/>
      </c>
      <c r="Z272" s="118" t="str">
        <f t="shared" si="60"/>
        <v/>
      </c>
      <c r="AA272" s="62" t="str">
        <f t="shared" si="61"/>
        <v/>
      </c>
      <c r="AB272" s="119" t="str">
        <f>IF(A272&lt;&gt;"", IF(P272&lt;&gt;0,SUMIFS(node!$J$2:$J$1000, node!$C$2:$C$1000,"="&amp;A272)/P272,0), "")</f>
        <v/>
      </c>
      <c r="AC272" s="81" t="str">
        <f>IF(A272&lt;&gt;"", IF(P272&lt;&gt;0,SUMIFS(node!$K$2:$K$1000, node!$C$2:$C$1000,"="&amp;A272)/P272,0), "")</f>
        <v/>
      </c>
      <c r="AD272" s="82" t="str">
        <f>IF(A272&lt;&gt;"", SUMIFS(node!$L$2:$L$1000, node!$C$2:$C$1000,"="&amp;A272), "")</f>
        <v/>
      </c>
      <c r="AE272" s="87" t="str">
        <f>IF(A272&lt;&gt;"", SUMIFS(node!$M$2:$M$1000, node!$C$2:$C$1000,"="&amp;A272), "")</f>
        <v/>
      </c>
    </row>
    <row r="273" spans="1:31" ht="15.75" customHeight="1" x14ac:dyDescent="0.25">
      <c r="A273" s="71" t="str">
        <f>IF(ISNONTEXT(node_raw[[#This Row],[Column2]]), "", node_raw[[#This Row],[Column2]])</f>
        <v/>
      </c>
      <c r="B273" s="108" t="str">
        <f>IF(A273&lt;&gt;"", VLOOKUP(A273, node!$C$2:$D$1000, 2, FALSE), "")</f>
        <v/>
      </c>
      <c r="C273" s="109" t="str">
        <f>IF(A273&lt;&gt;"", VLOOKUP(A273, node!$C$2:$E$1000, 3, FALSE), "")</f>
        <v/>
      </c>
      <c r="D273" s="110" t="str">
        <f>IF(A273&lt;&gt;"",COUNTIFS(node!$C$2:$C$1000,"="&amp;A273, node!$C$2:$C$1000,"&lt;&gt;"&amp;""),"")</f>
        <v/>
      </c>
      <c r="E273" s="111" t="str">
        <f>IF(A273&lt;&gt;"",SUMIFS(node!$F$2:$F$500, node!$C$2:$C$500,"="&amp;A273, node!$C$2:$C$500,"&lt;&gt;"&amp;"")/(B273*D273),"")</f>
        <v/>
      </c>
      <c r="F273" s="112" t="str">
        <f>IF(A273&lt;&gt;"",SUMIFS(node!$H$2:$H$500, node!$C$2:$C$500,"="&amp;A273, node!$C$2:$C$500,"&lt;&gt;"&amp;"")/(C273*D273),"")</f>
        <v/>
      </c>
      <c r="G273" s="179" t="str">
        <f>IF(A273&lt;&gt;"",SUMIFS(deployment!$F$4:$F$502, deployment!$D$4:$D$502,"="&amp;A273, deployment!$D$4:$D$502,"&lt;&gt;"&amp;""),"")</f>
        <v/>
      </c>
      <c r="H273" s="181" t="str">
        <f>IF(A273&lt;&gt;"",SUMIFS(deployment!$G$4:$G$502, deployment!$D$4:$D$502,"="&amp;A273, deployment!$D$4:$D$502,"&lt;&gt;"&amp;""),"")</f>
        <v/>
      </c>
      <c r="I273" s="113" t="str">
        <f>IF(A273&lt;&gt;"",SUMIFS(deployment!$H$4:$H$502, deployment!$D$4:$D$502,"="&amp;A273, deployment!$D$4:$D$502,"&lt;&gt;"&amp;""),"")</f>
        <v/>
      </c>
      <c r="J273" s="114" t="str">
        <f>IF(A273&lt;&gt;"",SUMIFS(deployment!$I$4:$I$502, deployment!$D$4:$D$502,"="&amp;A273, deployment!$D$4:$D$502,"&lt;&gt;"&amp;""),"")</f>
        <v/>
      </c>
      <c r="K273" s="182" t="str">
        <f>IF(A273&lt;&gt;"",SUMIFS(deployment!$J$4:$J$1002, deployment!$D$4:$D$1002,"="&amp;A273, deployment!$D$4:$D$1002,"&lt;&gt;"&amp;"", deployment!$C$4:$C$1002, "&lt;&gt;* )")+SUMIFS(namespace!$G$4:$G$1002, namespace!$B$4:$B$1002,"="&amp;A273, namespace!$B$4:$B$1002,"&lt;&gt;"&amp;""),"")</f>
        <v/>
      </c>
      <c r="L273" s="182" t="str">
        <f>IF(A273&lt;&gt;"",SUMIFS(deployment!$K$4:$K$1002, deployment!$D$4:$D$1002,"="&amp;A273, deployment!$D$4:$D$1002,"&lt;&gt;"&amp;"", deployment!$C$4:$C$1002, "&lt;&gt;* )")+SUMIFS(namespace!$H$4:$H$1002, namespace!$B$4:$B$1002,"="&amp;A273, namespace!$B$4:$B$1002,"&lt;&gt;"&amp;""),"")</f>
        <v/>
      </c>
      <c r="M273" s="115" t="str">
        <f>IF(A273&lt;&gt;"",SUMIFS(deployment!$L$4:$L$1002, deployment!$D$4:$D$1002,"="&amp;A273, deployment!$D$4:$D$1002,"&lt;&gt;"&amp;"", deployment!$C$4:$C$1002, "&lt;&gt;* )")+SUMIFS(namespace!$I$4:$I$1002, namespace!$B$4:$B$1002,"="&amp;A273, namespace!$B$4:$B$1002,"&lt;&gt;"&amp;""),"")</f>
        <v/>
      </c>
      <c r="N273" s="115" t="str">
        <f>IF(A273&lt;&gt;"",SUMIFS(deployment!$M$4:$M$1002, deployment!$D$4:$D$1002,"="&amp;A273, deployment!$D$4:$D$1002,"&lt;&gt;"&amp;"", deployment!$C$4:$C$1002, "&lt;&gt;* )")+SUMIFS(namespace!$J$4:$J$1002, namespace!$B$4:$B$1002,"="&amp;A273, namespace!$B$4:$B$1002,"&lt;&gt;"&amp;""),"")</f>
        <v/>
      </c>
      <c r="O273" s="116" t="str">
        <f t="shared" si="55"/>
        <v/>
      </c>
      <c r="P273" s="63"/>
      <c r="Q273" s="164" t="str">
        <f t="shared" si="50"/>
        <v/>
      </c>
      <c r="R273" s="60" t="str">
        <f t="shared" si="51"/>
        <v/>
      </c>
      <c r="S273" s="60" t="str">
        <f t="shared" si="52"/>
        <v/>
      </c>
      <c r="T273" s="61" t="str">
        <f t="shared" si="53"/>
        <v/>
      </c>
      <c r="U273" s="61" t="str">
        <f t="shared" si="54"/>
        <v/>
      </c>
      <c r="V273" s="183" t="str">
        <f t="shared" si="56"/>
        <v/>
      </c>
      <c r="W273" s="183" t="str">
        <f t="shared" si="57"/>
        <v/>
      </c>
      <c r="X273" s="61" t="str">
        <f t="shared" si="58"/>
        <v/>
      </c>
      <c r="Y273" s="61" t="str">
        <f t="shared" si="59"/>
        <v/>
      </c>
      <c r="Z273" s="118" t="str">
        <f t="shared" si="60"/>
        <v/>
      </c>
      <c r="AA273" s="62" t="str">
        <f t="shared" si="61"/>
        <v/>
      </c>
      <c r="AB273" s="119" t="str">
        <f>IF(A273&lt;&gt;"", IF(P273&lt;&gt;0,SUMIFS(node!$J$2:$J$1000, node!$C$2:$C$1000,"="&amp;A273)/P273,0), "")</f>
        <v/>
      </c>
      <c r="AC273" s="81" t="str">
        <f>IF(A273&lt;&gt;"", IF(P273&lt;&gt;0,SUMIFS(node!$K$2:$K$1000, node!$C$2:$C$1000,"="&amp;A273)/P273,0), "")</f>
        <v/>
      </c>
      <c r="AD273" s="82" t="str">
        <f>IF(A273&lt;&gt;"", SUMIFS(node!$L$2:$L$1000, node!$C$2:$C$1000,"="&amp;A273), "")</f>
        <v/>
      </c>
      <c r="AE273" s="87" t="str">
        <f>IF(A273&lt;&gt;"", SUMIFS(node!$M$2:$M$1000, node!$C$2:$C$1000,"="&amp;A273), "")</f>
        <v/>
      </c>
    </row>
    <row r="274" spans="1:31" ht="15.75" customHeight="1" x14ac:dyDescent="0.25">
      <c r="A274" s="71" t="str">
        <f>IF(ISNONTEXT(node_raw[[#This Row],[Column2]]), "", node_raw[[#This Row],[Column2]])</f>
        <v/>
      </c>
      <c r="B274" s="108" t="str">
        <f>IF(A274&lt;&gt;"", VLOOKUP(A274, node!$C$2:$D$1000, 2, FALSE), "")</f>
        <v/>
      </c>
      <c r="C274" s="109" t="str">
        <f>IF(A274&lt;&gt;"", VLOOKUP(A274, node!$C$2:$E$1000, 3, FALSE), "")</f>
        <v/>
      </c>
      <c r="D274" s="110" t="str">
        <f>IF(A274&lt;&gt;"",COUNTIFS(node!$C$2:$C$1000,"="&amp;A274, node!$C$2:$C$1000,"&lt;&gt;"&amp;""),"")</f>
        <v/>
      </c>
      <c r="E274" s="111" t="str">
        <f>IF(A274&lt;&gt;"",SUMIFS(node!$F$2:$F$500, node!$C$2:$C$500,"="&amp;A274, node!$C$2:$C$500,"&lt;&gt;"&amp;"")/(B274*D274),"")</f>
        <v/>
      </c>
      <c r="F274" s="112" t="str">
        <f>IF(A274&lt;&gt;"",SUMIFS(node!$H$2:$H$500, node!$C$2:$C$500,"="&amp;A274, node!$C$2:$C$500,"&lt;&gt;"&amp;"")/(C274*D274),"")</f>
        <v/>
      </c>
      <c r="G274" s="179" t="str">
        <f>IF(A274&lt;&gt;"",SUMIFS(deployment!$F$4:$F$502, deployment!$D$4:$D$502,"="&amp;A274, deployment!$D$4:$D$502,"&lt;&gt;"&amp;""),"")</f>
        <v/>
      </c>
      <c r="H274" s="181" t="str">
        <f>IF(A274&lt;&gt;"",SUMIFS(deployment!$G$4:$G$502, deployment!$D$4:$D$502,"="&amp;A274, deployment!$D$4:$D$502,"&lt;&gt;"&amp;""),"")</f>
        <v/>
      </c>
      <c r="I274" s="113" t="str">
        <f>IF(A274&lt;&gt;"",SUMIFS(deployment!$H$4:$H$502, deployment!$D$4:$D$502,"="&amp;A274, deployment!$D$4:$D$502,"&lt;&gt;"&amp;""),"")</f>
        <v/>
      </c>
      <c r="J274" s="114" t="str">
        <f>IF(A274&lt;&gt;"",SUMIFS(deployment!$I$4:$I$502, deployment!$D$4:$D$502,"="&amp;A274, deployment!$D$4:$D$502,"&lt;&gt;"&amp;""),"")</f>
        <v/>
      </c>
      <c r="K274" s="182" t="str">
        <f>IF(A274&lt;&gt;"",SUMIFS(deployment!$J$4:$J$1002, deployment!$D$4:$D$1002,"="&amp;A274, deployment!$D$4:$D$1002,"&lt;&gt;"&amp;"", deployment!$C$4:$C$1002, "&lt;&gt;* )")+SUMIFS(namespace!$G$4:$G$1002, namespace!$B$4:$B$1002,"="&amp;A274, namespace!$B$4:$B$1002,"&lt;&gt;"&amp;""),"")</f>
        <v/>
      </c>
      <c r="L274" s="182" t="str">
        <f>IF(A274&lt;&gt;"",SUMIFS(deployment!$K$4:$K$1002, deployment!$D$4:$D$1002,"="&amp;A274, deployment!$D$4:$D$1002,"&lt;&gt;"&amp;"", deployment!$C$4:$C$1002, "&lt;&gt;* )")+SUMIFS(namespace!$H$4:$H$1002, namespace!$B$4:$B$1002,"="&amp;A274, namespace!$B$4:$B$1002,"&lt;&gt;"&amp;""),"")</f>
        <v/>
      </c>
      <c r="M274" s="115" t="str">
        <f>IF(A274&lt;&gt;"",SUMIFS(deployment!$L$4:$L$1002, deployment!$D$4:$D$1002,"="&amp;A274, deployment!$D$4:$D$1002,"&lt;&gt;"&amp;"", deployment!$C$4:$C$1002, "&lt;&gt;* )")+SUMIFS(namespace!$I$4:$I$1002, namespace!$B$4:$B$1002,"="&amp;A274, namespace!$B$4:$B$1002,"&lt;&gt;"&amp;""),"")</f>
        <v/>
      </c>
      <c r="N274" s="115" t="str">
        <f>IF(A274&lt;&gt;"",SUMIFS(deployment!$M$4:$M$1002, deployment!$D$4:$D$1002,"="&amp;A274, deployment!$D$4:$D$1002,"&lt;&gt;"&amp;"", deployment!$C$4:$C$1002, "&lt;&gt;* )")+SUMIFS(namespace!$J$4:$J$1002, namespace!$B$4:$B$1002,"="&amp;A274, namespace!$B$4:$B$1002,"&lt;&gt;"&amp;""),"")</f>
        <v/>
      </c>
      <c r="O274" s="116" t="str">
        <f t="shared" si="55"/>
        <v/>
      </c>
      <c r="P274" s="63"/>
      <c r="Q274" s="164" t="str">
        <f t="shared" si="50"/>
        <v/>
      </c>
      <c r="R274" s="60" t="str">
        <f t="shared" si="51"/>
        <v/>
      </c>
      <c r="S274" s="60" t="str">
        <f t="shared" si="52"/>
        <v/>
      </c>
      <c r="T274" s="61" t="str">
        <f t="shared" si="53"/>
        <v/>
      </c>
      <c r="U274" s="61" t="str">
        <f t="shared" si="54"/>
        <v/>
      </c>
      <c r="V274" s="183" t="str">
        <f t="shared" si="56"/>
        <v/>
      </c>
      <c r="W274" s="183" t="str">
        <f t="shared" si="57"/>
        <v/>
      </c>
      <c r="X274" s="61" t="str">
        <f t="shared" si="58"/>
        <v/>
      </c>
      <c r="Y274" s="61" t="str">
        <f t="shared" si="59"/>
        <v/>
      </c>
      <c r="Z274" s="118" t="str">
        <f t="shared" si="60"/>
        <v/>
      </c>
      <c r="AA274" s="62" t="str">
        <f t="shared" si="61"/>
        <v/>
      </c>
      <c r="AB274" s="119" t="str">
        <f>IF(A274&lt;&gt;"", IF(P274&lt;&gt;0,SUMIFS(node!$J$2:$J$1000, node!$C$2:$C$1000,"="&amp;A274)/P274,0), "")</f>
        <v/>
      </c>
      <c r="AC274" s="81" t="str">
        <f>IF(A274&lt;&gt;"", IF(P274&lt;&gt;0,SUMIFS(node!$K$2:$K$1000, node!$C$2:$C$1000,"="&amp;A274)/P274,0), "")</f>
        <v/>
      </c>
      <c r="AD274" s="82" t="str">
        <f>IF(A274&lt;&gt;"", SUMIFS(node!$L$2:$L$1000, node!$C$2:$C$1000,"="&amp;A274), "")</f>
        <v/>
      </c>
      <c r="AE274" s="87" t="str">
        <f>IF(A274&lt;&gt;"", SUMIFS(node!$M$2:$M$1000, node!$C$2:$C$1000,"="&amp;A274), "")</f>
        <v/>
      </c>
    </row>
    <row r="275" spans="1:31" ht="15.75" customHeight="1" x14ac:dyDescent="0.25">
      <c r="A275" s="71" t="str">
        <f>IF(ISNONTEXT(node_raw[[#This Row],[Column2]]), "", node_raw[[#This Row],[Column2]])</f>
        <v/>
      </c>
      <c r="B275" s="108" t="str">
        <f>IF(A275&lt;&gt;"", VLOOKUP(A275, node!$C$2:$D$1000, 2, FALSE), "")</f>
        <v/>
      </c>
      <c r="C275" s="109" t="str">
        <f>IF(A275&lt;&gt;"", VLOOKUP(A275, node!$C$2:$E$1000, 3, FALSE), "")</f>
        <v/>
      </c>
      <c r="D275" s="110" t="str">
        <f>IF(A275&lt;&gt;"",COUNTIFS(node!$C$2:$C$1000,"="&amp;A275, node!$C$2:$C$1000,"&lt;&gt;"&amp;""),"")</f>
        <v/>
      </c>
      <c r="E275" s="111" t="str">
        <f>IF(A275&lt;&gt;"",SUMIFS(node!$F$2:$F$500, node!$C$2:$C$500,"="&amp;A275, node!$C$2:$C$500,"&lt;&gt;"&amp;"")/(B275*D275),"")</f>
        <v/>
      </c>
      <c r="F275" s="112" t="str">
        <f>IF(A275&lt;&gt;"",SUMIFS(node!$H$2:$H$500, node!$C$2:$C$500,"="&amp;A275, node!$C$2:$C$500,"&lt;&gt;"&amp;"")/(C275*D275),"")</f>
        <v/>
      </c>
      <c r="G275" s="179" t="str">
        <f>IF(A275&lt;&gt;"",SUMIFS(deployment!$F$4:$F$502, deployment!$D$4:$D$502,"="&amp;A275, deployment!$D$4:$D$502,"&lt;&gt;"&amp;""),"")</f>
        <v/>
      </c>
      <c r="H275" s="181" t="str">
        <f>IF(A275&lt;&gt;"",SUMIFS(deployment!$G$4:$G$502, deployment!$D$4:$D$502,"="&amp;A275, deployment!$D$4:$D$502,"&lt;&gt;"&amp;""),"")</f>
        <v/>
      </c>
      <c r="I275" s="113" t="str">
        <f>IF(A275&lt;&gt;"",SUMIFS(deployment!$H$4:$H$502, deployment!$D$4:$D$502,"="&amp;A275, deployment!$D$4:$D$502,"&lt;&gt;"&amp;""),"")</f>
        <v/>
      </c>
      <c r="J275" s="114" t="str">
        <f>IF(A275&lt;&gt;"",SUMIFS(deployment!$I$4:$I$502, deployment!$D$4:$D$502,"="&amp;A275, deployment!$D$4:$D$502,"&lt;&gt;"&amp;""),"")</f>
        <v/>
      </c>
      <c r="K275" s="182" t="str">
        <f>IF(A275&lt;&gt;"",SUMIFS(deployment!$J$4:$J$1002, deployment!$D$4:$D$1002,"="&amp;A275, deployment!$D$4:$D$1002,"&lt;&gt;"&amp;"", deployment!$C$4:$C$1002, "&lt;&gt;* )")+SUMIFS(namespace!$G$4:$G$1002, namespace!$B$4:$B$1002,"="&amp;A275, namespace!$B$4:$B$1002,"&lt;&gt;"&amp;""),"")</f>
        <v/>
      </c>
      <c r="L275" s="182" t="str">
        <f>IF(A275&lt;&gt;"",SUMIFS(deployment!$K$4:$K$1002, deployment!$D$4:$D$1002,"="&amp;A275, deployment!$D$4:$D$1002,"&lt;&gt;"&amp;"", deployment!$C$4:$C$1002, "&lt;&gt;* )")+SUMIFS(namespace!$H$4:$H$1002, namespace!$B$4:$B$1002,"="&amp;A275, namespace!$B$4:$B$1002,"&lt;&gt;"&amp;""),"")</f>
        <v/>
      </c>
      <c r="M275" s="115" t="str">
        <f>IF(A275&lt;&gt;"",SUMIFS(deployment!$L$4:$L$1002, deployment!$D$4:$D$1002,"="&amp;A275, deployment!$D$4:$D$1002,"&lt;&gt;"&amp;"", deployment!$C$4:$C$1002, "&lt;&gt;* )")+SUMIFS(namespace!$I$4:$I$1002, namespace!$B$4:$B$1002,"="&amp;A275, namespace!$B$4:$B$1002,"&lt;&gt;"&amp;""),"")</f>
        <v/>
      </c>
      <c r="N275" s="115" t="str">
        <f>IF(A275&lt;&gt;"",SUMIFS(deployment!$M$4:$M$1002, deployment!$D$4:$D$1002,"="&amp;A275, deployment!$D$4:$D$1002,"&lt;&gt;"&amp;"", deployment!$C$4:$C$1002, "&lt;&gt;* )")+SUMIFS(namespace!$J$4:$J$1002, namespace!$B$4:$B$1002,"="&amp;A275, namespace!$B$4:$B$1002,"&lt;&gt;"&amp;""),"")</f>
        <v/>
      </c>
      <c r="O275" s="116" t="str">
        <f t="shared" si="55"/>
        <v/>
      </c>
      <c r="P275" s="63"/>
      <c r="Q275" s="164" t="str">
        <f t="shared" si="50"/>
        <v/>
      </c>
      <c r="R275" s="60" t="str">
        <f t="shared" si="51"/>
        <v/>
      </c>
      <c r="S275" s="60" t="str">
        <f t="shared" si="52"/>
        <v/>
      </c>
      <c r="T275" s="61" t="str">
        <f t="shared" si="53"/>
        <v/>
      </c>
      <c r="U275" s="61" t="str">
        <f t="shared" si="54"/>
        <v/>
      </c>
      <c r="V275" s="183" t="str">
        <f t="shared" si="56"/>
        <v/>
      </c>
      <c r="W275" s="183" t="str">
        <f t="shared" si="57"/>
        <v/>
      </c>
      <c r="X275" s="61" t="str">
        <f t="shared" si="58"/>
        <v/>
      </c>
      <c r="Y275" s="61" t="str">
        <f t="shared" si="59"/>
        <v/>
      </c>
      <c r="Z275" s="118" t="str">
        <f t="shared" si="60"/>
        <v/>
      </c>
      <c r="AA275" s="62" t="str">
        <f t="shared" si="61"/>
        <v/>
      </c>
      <c r="AB275" s="119" t="str">
        <f>IF(A275&lt;&gt;"", IF(P275&lt;&gt;0,SUMIFS(node!$J$2:$J$1000, node!$C$2:$C$1000,"="&amp;A275)/P275,0), "")</f>
        <v/>
      </c>
      <c r="AC275" s="81" t="str">
        <f>IF(A275&lt;&gt;"", IF(P275&lt;&gt;0,SUMIFS(node!$K$2:$K$1000, node!$C$2:$C$1000,"="&amp;A275)/P275,0), "")</f>
        <v/>
      </c>
      <c r="AD275" s="82" t="str">
        <f>IF(A275&lt;&gt;"", SUMIFS(node!$L$2:$L$1000, node!$C$2:$C$1000,"="&amp;A275), "")</f>
        <v/>
      </c>
      <c r="AE275" s="87" t="str">
        <f>IF(A275&lt;&gt;"", SUMIFS(node!$M$2:$M$1000, node!$C$2:$C$1000,"="&amp;A275), "")</f>
        <v/>
      </c>
    </row>
    <row r="276" spans="1:31" ht="15.75" customHeight="1" x14ac:dyDescent="0.25">
      <c r="A276" s="71" t="str">
        <f>IF(ISNONTEXT(node_raw[[#This Row],[Column2]]), "", node_raw[[#This Row],[Column2]])</f>
        <v/>
      </c>
      <c r="B276" s="108" t="str">
        <f>IF(A276&lt;&gt;"", VLOOKUP(A276, node!$C$2:$D$1000, 2, FALSE), "")</f>
        <v/>
      </c>
      <c r="C276" s="109" t="str">
        <f>IF(A276&lt;&gt;"", VLOOKUP(A276, node!$C$2:$E$1000, 3, FALSE), "")</f>
        <v/>
      </c>
      <c r="D276" s="110" t="str">
        <f>IF(A276&lt;&gt;"",COUNTIFS(node!$C$2:$C$1000,"="&amp;A276, node!$C$2:$C$1000,"&lt;&gt;"&amp;""),"")</f>
        <v/>
      </c>
      <c r="E276" s="111" t="str">
        <f>IF(A276&lt;&gt;"",SUMIFS(node!$F$2:$F$500, node!$C$2:$C$500,"="&amp;A276, node!$C$2:$C$500,"&lt;&gt;"&amp;"")/(B276*D276),"")</f>
        <v/>
      </c>
      <c r="F276" s="112" t="str">
        <f>IF(A276&lt;&gt;"",SUMIFS(node!$H$2:$H$500, node!$C$2:$C$500,"="&amp;A276, node!$C$2:$C$500,"&lt;&gt;"&amp;"")/(C276*D276),"")</f>
        <v/>
      </c>
      <c r="G276" s="179" t="str">
        <f>IF(A276&lt;&gt;"",SUMIFS(deployment!$F$4:$F$502, deployment!$D$4:$D$502,"="&amp;A276, deployment!$D$4:$D$502,"&lt;&gt;"&amp;""),"")</f>
        <v/>
      </c>
      <c r="H276" s="181" t="str">
        <f>IF(A276&lt;&gt;"",SUMIFS(deployment!$G$4:$G$502, deployment!$D$4:$D$502,"="&amp;A276, deployment!$D$4:$D$502,"&lt;&gt;"&amp;""),"")</f>
        <v/>
      </c>
      <c r="I276" s="113" t="str">
        <f>IF(A276&lt;&gt;"",SUMIFS(deployment!$H$4:$H$502, deployment!$D$4:$D$502,"="&amp;A276, deployment!$D$4:$D$502,"&lt;&gt;"&amp;""),"")</f>
        <v/>
      </c>
      <c r="J276" s="114" t="str">
        <f>IF(A276&lt;&gt;"",SUMIFS(deployment!$I$4:$I$502, deployment!$D$4:$D$502,"="&amp;A276, deployment!$D$4:$D$502,"&lt;&gt;"&amp;""),"")</f>
        <v/>
      </c>
      <c r="K276" s="182" t="str">
        <f>IF(A276&lt;&gt;"",SUMIFS(deployment!$J$4:$J$1002, deployment!$D$4:$D$1002,"="&amp;A276, deployment!$D$4:$D$1002,"&lt;&gt;"&amp;"", deployment!$C$4:$C$1002, "&lt;&gt;* )")+SUMIFS(namespace!$G$4:$G$1002, namespace!$B$4:$B$1002,"="&amp;A276, namespace!$B$4:$B$1002,"&lt;&gt;"&amp;""),"")</f>
        <v/>
      </c>
      <c r="L276" s="182" t="str">
        <f>IF(A276&lt;&gt;"",SUMIFS(deployment!$K$4:$K$1002, deployment!$D$4:$D$1002,"="&amp;A276, deployment!$D$4:$D$1002,"&lt;&gt;"&amp;"", deployment!$C$4:$C$1002, "&lt;&gt;* )")+SUMIFS(namespace!$H$4:$H$1002, namespace!$B$4:$B$1002,"="&amp;A276, namespace!$B$4:$B$1002,"&lt;&gt;"&amp;""),"")</f>
        <v/>
      </c>
      <c r="M276" s="115" t="str">
        <f>IF(A276&lt;&gt;"",SUMIFS(deployment!$L$4:$L$1002, deployment!$D$4:$D$1002,"="&amp;A276, deployment!$D$4:$D$1002,"&lt;&gt;"&amp;"", deployment!$C$4:$C$1002, "&lt;&gt;* )")+SUMIFS(namespace!$I$4:$I$1002, namespace!$B$4:$B$1002,"="&amp;A276, namespace!$B$4:$B$1002,"&lt;&gt;"&amp;""),"")</f>
        <v/>
      </c>
      <c r="N276" s="115" t="str">
        <f>IF(A276&lt;&gt;"",SUMIFS(deployment!$M$4:$M$1002, deployment!$D$4:$D$1002,"="&amp;A276, deployment!$D$4:$D$1002,"&lt;&gt;"&amp;"", deployment!$C$4:$C$1002, "&lt;&gt;* )")+SUMIFS(namespace!$J$4:$J$1002, namespace!$B$4:$B$1002,"="&amp;A276, namespace!$B$4:$B$1002,"&lt;&gt;"&amp;""),"")</f>
        <v/>
      </c>
      <c r="O276" s="116" t="str">
        <f t="shared" si="55"/>
        <v/>
      </c>
      <c r="P276" s="63"/>
      <c r="Q276" s="164" t="str">
        <f t="shared" si="50"/>
        <v/>
      </c>
      <c r="R276" s="60" t="str">
        <f t="shared" si="51"/>
        <v/>
      </c>
      <c r="S276" s="60" t="str">
        <f t="shared" si="52"/>
        <v/>
      </c>
      <c r="T276" s="61" t="str">
        <f t="shared" si="53"/>
        <v/>
      </c>
      <c r="U276" s="61" t="str">
        <f t="shared" si="54"/>
        <v/>
      </c>
      <c r="V276" s="183" t="str">
        <f t="shared" si="56"/>
        <v/>
      </c>
      <c r="W276" s="183" t="str">
        <f t="shared" si="57"/>
        <v/>
      </c>
      <c r="X276" s="61" t="str">
        <f t="shared" si="58"/>
        <v/>
      </c>
      <c r="Y276" s="61" t="str">
        <f t="shared" si="59"/>
        <v/>
      </c>
      <c r="Z276" s="118" t="str">
        <f t="shared" si="60"/>
        <v/>
      </c>
      <c r="AA276" s="62" t="str">
        <f t="shared" si="61"/>
        <v/>
      </c>
      <c r="AB276" s="119" t="str">
        <f>IF(A276&lt;&gt;"", IF(P276&lt;&gt;0,SUMIFS(node!$J$2:$J$1000, node!$C$2:$C$1000,"="&amp;A276)/P276,0), "")</f>
        <v/>
      </c>
      <c r="AC276" s="81" t="str">
        <f>IF(A276&lt;&gt;"", IF(P276&lt;&gt;0,SUMIFS(node!$K$2:$K$1000, node!$C$2:$C$1000,"="&amp;A276)/P276,0), "")</f>
        <v/>
      </c>
      <c r="AD276" s="82" t="str">
        <f>IF(A276&lt;&gt;"", SUMIFS(node!$L$2:$L$1000, node!$C$2:$C$1000,"="&amp;A276), "")</f>
        <v/>
      </c>
      <c r="AE276" s="87" t="str">
        <f>IF(A276&lt;&gt;"", SUMIFS(node!$M$2:$M$1000, node!$C$2:$C$1000,"="&amp;A276), "")</f>
        <v/>
      </c>
    </row>
    <row r="277" spans="1:31" ht="15.75" customHeight="1" x14ac:dyDescent="0.25">
      <c r="A277" s="71" t="str">
        <f>IF(ISNONTEXT(node_raw[[#This Row],[Column2]]), "", node_raw[[#This Row],[Column2]])</f>
        <v/>
      </c>
      <c r="B277" s="108" t="str">
        <f>IF(A277&lt;&gt;"", VLOOKUP(A277, node!$C$2:$D$1000, 2, FALSE), "")</f>
        <v/>
      </c>
      <c r="C277" s="109" t="str">
        <f>IF(A277&lt;&gt;"", VLOOKUP(A277, node!$C$2:$E$1000, 3, FALSE), "")</f>
        <v/>
      </c>
      <c r="D277" s="110" t="str">
        <f>IF(A277&lt;&gt;"",COUNTIFS(node!$C$2:$C$1000,"="&amp;A277, node!$C$2:$C$1000,"&lt;&gt;"&amp;""),"")</f>
        <v/>
      </c>
      <c r="E277" s="111" t="str">
        <f>IF(A277&lt;&gt;"",SUMIFS(node!$F$2:$F$500, node!$C$2:$C$500,"="&amp;A277, node!$C$2:$C$500,"&lt;&gt;"&amp;"")/(B277*D277),"")</f>
        <v/>
      </c>
      <c r="F277" s="112" t="str">
        <f>IF(A277&lt;&gt;"",SUMIFS(node!$H$2:$H$500, node!$C$2:$C$500,"="&amp;A277, node!$C$2:$C$500,"&lt;&gt;"&amp;"")/(C277*D277),"")</f>
        <v/>
      </c>
      <c r="G277" s="179" t="str">
        <f>IF(A277&lt;&gt;"",SUMIFS(deployment!$F$4:$F$502, deployment!$D$4:$D$502,"="&amp;A277, deployment!$D$4:$D$502,"&lt;&gt;"&amp;""),"")</f>
        <v/>
      </c>
      <c r="H277" s="181" t="str">
        <f>IF(A277&lt;&gt;"",SUMIFS(deployment!$G$4:$G$502, deployment!$D$4:$D$502,"="&amp;A277, deployment!$D$4:$D$502,"&lt;&gt;"&amp;""),"")</f>
        <v/>
      </c>
      <c r="I277" s="113" t="str">
        <f>IF(A277&lt;&gt;"",SUMIFS(deployment!$H$4:$H$502, deployment!$D$4:$D$502,"="&amp;A277, deployment!$D$4:$D$502,"&lt;&gt;"&amp;""),"")</f>
        <v/>
      </c>
      <c r="J277" s="114" t="str">
        <f>IF(A277&lt;&gt;"",SUMIFS(deployment!$I$4:$I$502, deployment!$D$4:$D$502,"="&amp;A277, deployment!$D$4:$D$502,"&lt;&gt;"&amp;""),"")</f>
        <v/>
      </c>
      <c r="K277" s="182" t="str">
        <f>IF(A277&lt;&gt;"",SUMIFS(deployment!$J$4:$J$1002, deployment!$D$4:$D$1002,"="&amp;A277, deployment!$D$4:$D$1002,"&lt;&gt;"&amp;"", deployment!$C$4:$C$1002, "&lt;&gt;* )")+SUMIFS(namespace!$G$4:$G$1002, namespace!$B$4:$B$1002,"="&amp;A277, namespace!$B$4:$B$1002,"&lt;&gt;"&amp;""),"")</f>
        <v/>
      </c>
      <c r="L277" s="182" t="str">
        <f>IF(A277&lt;&gt;"",SUMIFS(deployment!$K$4:$K$1002, deployment!$D$4:$D$1002,"="&amp;A277, deployment!$D$4:$D$1002,"&lt;&gt;"&amp;"", deployment!$C$4:$C$1002, "&lt;&gt;* )")+SUMIFS(namespace!$H$4:$H$1002, namespace!$B$4:$B$1002,"="&amp;A277, namespace!$B$4:$B$1002,"&lt;&gt;"&amp;""),"")</f>
        <v/>
      </c>
      <c r="M277" s="115" t="str">
        <f>IF(A277&lt;&gt;"",SUMIFS(deployment!$L$4:$L$1002, deployment!$D$4:$D$1002,"="&amp;A277, deployment!$D$4:$D$1002,"&lt;&gt;"&amp;"", deployment!$C$4:$C$1002, "&lt;&gt;* )")+SUMIFS(namespace!$I$4:$I$1002, namespace!$B$4:$B$1002,"="&amp;A277, namespace!$B$4:$B$1002,"&lt;&gt;"&amp;""),"")</f>
        <v/>
      </c>
      <c r="N277" s="115" t="str">
        <f>IF(A277&lt;&gt;"",SUMIFS(deployment!$M$4:$M$1002, deployment!$D$4:$D$1002,"="&amp;A277, deployment!$D$4:$D$1002,"&lt;&gt;"&amp;"", deployment!$C$4:$C$1002, "&lt;&gt;* )")+SUMIFS(namespace!$J$4:$J$1002, namespace!$B$4:$B$1002,"="&amp;A277, namespace!$B$4:$B$1002,"&lt;&gt;"&amp;""),"")</f>
        <v/>
      </c>
      <c r="O277" s="116" t="str">
        <f t="shared" si="55"/>
        <v/>
      </c>
      <c r="P277" s="63"/>
      <c r="Q277" s="164" t="str">
        <f t="shared" si="50"/>
        <v/>
      </c>
      <c r="R277" s="60" t="str">
        <f t="shared" si="51"/>
        <v/>
      </c>
      <c r="S277" s="60" t="str">
        <f t="shared" si="52"/>
        <v/>
      </c>
      <c r="T277" s="61" t="str">
        <f t="shared" si="53"/>
        <v/>
      </c>
      <c r="U277" s="61" t="str">
        <f t="shared" si="54"/>
        <v/>
      </c>
      <c r="V277" s="183" t="str">
        <f t="shared" si="56"/>
        <v/>
      </c>
      <c r="W277" s="183" t="str">
        <f t="shared" si="57"/>
        <v/>
      </c>
      <c r="X277" s="61" t="str">
        <f t="shared" si="58"/>
        <v/>
      </c>
      <c r="Y277" s="61" t="str">
        <f t="shared" si="59"/>
        <v/>
      </c>
      <c r="Z277" s="118" t="str">
        <f t="shared" si="60"/>
        <v/>
      </c>
      <c r="AA277" s="62" t="str">
        <f t="shared" si="61"/>
        <v/>
      </c>
      <c r="AB277" s="119" t="str">
        <f>IF(A277&lt;&gt;"", IF(P277&lt;&gt;0,SUMIFS(node!$J$2:$J$1000, node!$C$2:$C$1000,"="&amp;A277)/P277,0), "")</f>
        <v/>
      </c>
      <c r="AC277" s="81" t="str">
        <f>IF(A277&lt;&gt;"", IF(P277&lt;&gt;0,SUMIFS(node!$K$2:$K$1000, node!$C$2:$C$1000,"="&amp;A277)/P277,0), "")</f>
        <v/>
      </c>
      <c r="AD277" s="82" t="str">
        <f>IF(A277&lt;&gt;"", SUMIFS(node!$L$2:$L$1000, node!$C$2:$C$1000,"="&amp;A277), "")</f>
        <v/>
      </c>
      <c r="AE277" s="87" t="str">
        <f>IF(A277&lt;&gt;"", SUMIFS(node!$M$2:$M$1000, node!$C$2:$C$1000,"="&amp;A277), "")</f>
        <v/>
      </c>
    </row>
    <row r="278" spans="1:31" ht="15.75" customHeight="1" x14ac:dyDescent="0.25">
      <c r="A278" s="71" t="str">
        <f>IF(ISNONTEXT(node_raw[[#This Row],[Column2]]), "", node_raw[[#This Row],[Column2]])</f>
        <v/>
      </c>
      <c r="B278" s="108" t="str">
        <f>IF(A278&lt;&gt;"", VLOOKUP(A278, node!$C$2:$D$1000, 2, FALSE), "")</f>
        <v/>
      </c>
      <c r="C278" s="109" t="str">
        <f>IF(A278&lt;&gt;"", VLOOKUP(A278, node!$C$2:$E$1000, 3, FALSE), "")</f>
        <v/>
      </c>
      <c r="D278" s="110" t="str">
        <f>IF(A278&lt;&gt;"",COUNTIFS(node!$C$2:$C$1000,"="&amp;A278, node!$C$2:$C$1000,"&lt;&gt;"&amp;""),"")</f>
        <v/>
      </c>
      <c r="E278" s="111" t="str">
        <f>IF(A278&lt;&gt;"",SUMIFS(node!$F$2:$F$500, node!$C$2:$C$500,"="&amp;A278, node!$C$2:$C$500,"&lt;&gt;"&amp;"")/(B278*D278),"")</f>
        <v/>
      </c>
      <c r="F278" s="112" t="str">
        <f>IF(A278&lt;&gt;"",SUMIFS(node!$H$2:$H$500, node!$C$2:$C$500,"="&amp;A278, node!$C$2:$C$500,"&lt;&gt;"&amp;"")/(C278*D278),"")</f>
        <v/>
      </c>
      <c r="G278" s="179" t="str">
        <f>IF(A278&lt;&gt;"",SUMIFS(deployment!$F$4:$F$502, deployment!$D$4:$D$502,"="&amp;A278, deployment!$D$4:$D$502,"&lt;&gt;"&amp;""),"")</f>
        <v/>
      </c>
      <c r="H278" s="181" t="str">
        <f>IF(A278&lt;&gt;"",SUMIFS(deployment!$G$4:$G$502, deployment!$D$4:$D$502,"="&amp;A278, deployment!$D$4:$D$502,"&lt;&gt;"&amp;""),"")</f>
        <v/>
      </c>
      <c r="I278" s="113" t="str">
        <f>IF(A278&lt;&gt;"",SUMIFS(deployment!$H$4:$H$502, deployment!$D$4:$D$502,"="&amp;A278, deployment!$D$4:$D$502,"&lt;&gt;"&amp;""),"")</f>
        <v/>
      </c>
      <c r="J278" s="114" t="str">
        <f>IF(A278&lt;&gt;"",SUMIFS(deployment!$I$4:$I$502, deployment!$D$4:$D$502,"="&amp;A278, deployment!$D$4:$D$502,"&lt;&gt;"&amp;""),"")</f>
        <v/>
      </c>
      <c r="K278" s="182" t="str">
        <f>IF(A278&lt;&gt;"",SUMIFS(deployment!$J$4:$J$1002, deployment!$D$4:$D$1002,"="&amp;A278, deployment!$D$4:$D$1002,"&lt;&gt;"&amp;"", deployment!$C$4:$C$1002, "&lt;&gt;* )")+SUMIFS(namespace!$G$4:$G$1002, namespace!$B$4:$B$1002,"="&amp;A278, namespace!$B$4:$B$1002,"&lt;&gt;"&amp;""),"")</f>
        <v/>
      </c>
      <c r="L278" s="182" t="str">
        <f>IF(A278&lt;&gt;"",SUMIFS(deployment!$K$4:$K$1002, deployment!$D$4:$D$1002,"="&amp;A278, deployment!$D$4:$D$1002,"&lt;&gt;"&amp;"", deployment!$C$4:$C$1002, "&lt;&gt;* )")+SUMIFS(namespace!$H$4:$H$1002, namespace!$B$4:$B$1002,"="&amp;A278, namespace!$B$4:$B$1002,"&lt;&gt;"&amp;""),"")</f>
        <v/>
      </c>
      <c r="M278" s="115" t="str">
        <f>IF(A278&lt;&gt;"",SUMIFS(deployment!$L$4:$L$1002, deployment!$D$4:$D$1002,"="&amp;A278, deployment!$D$4:$D$1002,"&lt;&gt;"&amp;"", deployment!$C$4:$C$1002, "&lt;&gt;* )")+SUMIFS(namespace!$I$4:$I$1002, namespace!$B$4:$B$1002,"="&amp;A278, namespace!$B$4:$B$1002,"&lt;&gt;"&amp;""),"")</f>
        <v/>
      </c>
      <c r="N278" s="115" t="str">
        <f>IF(A278&lt;&gt;"",SUMIFS(deployment!$M$4:$M$1002, deployment!$D$4:$D$1002,"="&amp;A278, deployment!$D$4:$D$1002,"&lt;&gt;"&amp;"", deployment!$C$4:$C$1002, "&lt;&gt;* )")+SUMIFS(namespace!$J$4:$J$1002, namespace!$B$4:$B$1002,"="&amp;A278, namespace!$B$4:$B$1002,"&lt;&gt;"&amp;""),"")</f>
        <v/>
      </c>
      <c r="O278" s="116" t="str">
        <f t="shared" si="55"/>
        <v/>
      </c>
      <c r="P278" s="63"/>
      <c r="Q278" s="164" t="str">
        <f t="shared" si="50"/>
        <v/>
      </c>
      <c r="R278" s="60" t="str">
        <f t="shared" si="51"/>
        <v/>
      </c>
      <c r="S278" s="60" t="str">
        <f t="shared" si="52"/>
        <v/>
      </c>
      <c r="T278" s="61" t="str">
        <f t="shared" si="53"/>
        <v/>
      </c>
      <c r="U278" s="61" t="str">
        <f t="shared" si="54"/>
        <v/>
      </c>
      <c r="V278" s="183" t="str">
        <f t="shared" si="56"/>
        <v/>
      </c>
      <c r="W278" s="183" t="str">
        <f t="shared" si="57"/>
        <v/>
      </c>
      <c r="X278" s="61" t="str">
        <f t="shared" si="58"/>
        <v/>
      </c>
      <c r="Y278" s="61" t="str">
        <f t="shared" si="59"/>
        <v/>
      </c>
      <c r="Z278" s="118" t="str">
        <f t="shared" si="60"/>
        <v/>
      </c>
      <c r="AA278" s="62" t="str">
        <f t="shared" si="61"/>
        <v/>
      </c>
      <c r="AB278" s="119" t="str">
        <f>IF(A278&lt;&gt;"", IF(P278&lt;&gt;0,SUMIFS(node!$J$2:$J$1000, node!$C$2:$C$1000,"="&amp;A278)/P278,0), "")</f>
        <v/>
      </c>
      <c r="AC278" s="81" t="str">
        <f>IF(A278&lt;&gt;"", IF(P278&lt;&gt;0,SUMIFS(node!$K$2:$K$1000, node!$C$2:$C$1000,"="&amp;A278)/P278,0), "")</f>
        <v/>
      </c>
      <c r="AD278" s="82" t="str">
        <f>IF(A278&lt;&gt;"", SUMIFS(node!$L$2:$L$1000, node!$C$2:$C$1000,"="&amp;A278), "")</f>
        <v/>
      </c>
      <c r="AE278" s="87" t="str">
        <f>IF(A278&lt;&gt;"", SUMIFS(node!$M$2:$M$1000, node!$C$2:$C$1000,"="&amp;A278), "")</f>
        <v/>
      </c>
    </row>
    <row r="279" spans="1:31" ht="15.75" customHeight="1" x14ac:dyDescent="0.25">
      <c r="A279" s="71" t="str">
        <f>IF(ISNONTEXT(node_raw[[#This Row],[Column2]]), "", node_raw[[#This Row],[Column2]])</f>
        <v/>
      </c>
      <c r="B279" s="108" t="str">
        <f>IF(A279&lt;&gt;"", VLOOKUP(A279, node!$C$2:$D$1000, 2, FALSE), "")</f>
        <v/>
      </c>
      <c r="C279" s="109" t="str">
        <f>IF(A279&lt;&gt;"", VLOOKUP(A279, node!$C$2:$E$1000, 3, FALSE), "")</f>
        <v/>
      </c>
      <c r="D279" s="110" t="str">
        <f>IF(A279&lt;&gt;"",COUNTIFS(node!$C$2:$C$1000,"="&amp;A279, node!$C$2:$C$1000,"&lt;&gt;"&amp;""),"")</f>
        <v/>
      </c>
      <c r="E279" s="111" t="str">
        <f>IF(A279&lt;&gt;"",SUMIFS(node!$F$2:$F$500, node!$C$2:$C$500,"="&amp;A279, node!$C$2:$C$500,"&lt;&gt;"&amp;"")/(B279*D279),"")</f>
        <v/>
      </c>
      <c r="F279" s="112" t="str">
        <f>IF(A279&lt;&gt;"",SUMIFS(node!$H$2:$H$500, node!$C$2:$C$500,"="&amp;A279, node!$C$2:$C$500,"&lt;&gt;"&amp;"")/(C279*D279),"")</f>
        <v/>
      </c>
      <c r="G279" s="179" t="str">
        <f>IF(A279&lt;&gt;"",SUMIFS(deployment!$F$4:$F$502, deployment!$D$4:$D$502,"="&amp;A279, deployment!$D$4:$D$502,"&lt;&gt;"&amp;""),"")</f>
        <v/>
      </c>
      <c r="H279" s="181" t="str">
        <f>IF(A279&lt;&gt;"",SUMIFS(deployment!$G$4:$G$502, deployment!$D$4:$D$502,"="&amp;A279, deployment!$D$4:$D$502,"&lt;&gt;"&amp;""),"")</f>
        <v/>
      </c>
      <c r="I279" s="113" t="str">
        <f>IF(A279&lt;&gt;"",SUMIFS(deployment!$H$4:$H$502, deployment!$D$4:$D$502,"="&amp;A279, deployment!$D$4:$D$502,"&lt;&gt;"&amp;""),"")</f>
        <v/>
      </c>
      <c r="J279" s="114" t="str">
        <f>IF(A279&lt;&gt;"",SUMIFS(deployment!$I$4:$I$502, deployment!$D$4:$D$502,"="&amp;A279, deployment!$D$4:$D$502,"&lt;&gt;"&amp;""),"")</f>
        <v/>
      </c>
      <c r="K279" s="182" t="str">
        <f>IF(A279&lt;&gt;"",SUMIFS(deployment!$J$4:$J$1002, deployment!$D$4:$D$1002,"="&amp;A279, deployment!$D$4:$D$1002,"&lt;&gt;"&amp;"", deployment!$C$4:$C$1002, "&lt;&gt;* )")+SUMIFS(namespace!$G$4:$G$1002, namespace!$B$4:$B$1002,"="&amp;A279, namespace!$B$4:$B$1002,"&lt;&gt;"&amp;""),"")</f>
        <v/>
      </c>
      <c r="L279" s="182" t="str">
        <f>IF(A279&lt;&gt;"",SUMIFS(deployment!$K$4:$K$1002, deployment!$D$4:$D$1002,"="&amp;A279, deployment!$D$4:$D$1002,"&lt;&gt;"&amp;"", deployment!$C$4:$C$1002, "&lt;&gt;* )")+SUMIFS(namespace!$H$4:$H$1002, namespace!$B$4:$B$1002,"="&amp;A279, namespace!$B$4:$B$1002,"&lt;&gt;"&amp;""),"")</f>
        <v/>
      </c>
      <c r="M279" s="115" t="str">
        <f>IF(A279&lt;&gt;"",SUMIFS(deployment!$L$4:$L$1002, deployment!$D$4:$D$1002,"="&amp;A279, deployment!$D$4:$D$1002,"&lt;&gt;"&amp;"", deployment!$C$4:$C$1002, "&lt;&gt;* )")+SUMIFS(namespace!$I$4:$I$1002, namespace!$B$4:$B$1002,"="&amp;A279, namespace!$B$4:$B$1002,"&lt;&gt;"&amp;""),"")</f>
        <v/>
      </c>
      <c r="N279" s="115" t="str">
        <f>IF(A279&lt;&gt;"",SUMIFS(deployment!$M$4:$M$1002, deployment!$D$4:$D$1002,"="&amp;A279, deployment!$D$4:$D$1002,"&lt;&gt;"&amp;"", deployment!$C$4:$C$1002, "&lt;&gt;* )")+SUMIFS(namespace!$J$4:$J$1002, namespace!$B$4:$B$1002,"="&amp;A279, namespace!$B$4:$B$1002,"&lt;&gt;"&amp;""),"")</f>
        <v/>
      </c>
      <c r="O279" s="116" t="str">
        <f t="shared" si="55"/>
        <v/>
      </c>
      <c r="P279" s="63"/>
      <c r="Q279" s="164" t="str">
        <f t="shared" si="50"/>
        <v/>
      </c>
      <c r="R279" s="60" t="str">
        <f t="shared" si="51"/>
        <v/>
      </c>
      <c r="S279" s="60" t="str">
        <f t="shared" si="52"/>
        <v/>
      </c>
      <c r="T279" s="61" t="str">
        <f t="shared" si="53"/>
        <v/>
      </c>
      <c r="U279" s="61" t="str">
        <f t="shared" si="54"/>
        <v/>
      </c>
      <c r="V279" s="183" t="str">
        <f t="shared" si="56"/>
        <v/>
      </c>
      <c r="W279" s="183" t="str">
        <f t="shared" si="57"/>
        <v/>
      </c>
      <c r="X279" s="61" t="str">
        <f t="shared" si="58"/>
        <v/>
      </c>
      <c r="Y279" s="61" t="str">
        <f t="shared" si="59"/>
        <v/>
      </c>
      <c r="Z279" s="118" t="str">
        <f t="shared" si="60"/>
        <v/>
      </c>
      <c r="AA279" s="62" t="str">
        <f t="shared" si="61"/>
        <v/>
      </c>
      <c r="AB279" s="119" t="str">
        <f>IF(A279&lt;&gt;"", IF(P279&lt;&gt;0,SUMIFS(node!$J$2:$J$1000, node!$C$2:$C$1000,"="&amp;A279)/P279,0), "")</f>
        <v/>
      </c>
      <c r="AC279" s="81" t="str">
        <f>IF(A279&lt;&gt;"", IF(P279&lt;&gt;0,SUMIFS(node!$K$2:$K$1000, node!$C$2:$C$1000,"="&amp;A279)/P279,0), "")</f>
        <v/>
      </c>
      <c r="AD279" s="82" t="str">
        <f>IF(A279&lt;&gt;"", SUMIFS(node!$L$2:$L$1000, node!$C$2:$C$1000,"="&amp;A279), "")</f>
        <v/>
      </c>
      <c r="AE279" s="87" t="str">
        <f>IF(A279&lt;&gt;"", SUMIFS(node!$M$2:$M$1000, node!$C$2:$C$1000,"="&amp;A279), "")</f>
        <v/>
      </c>
    </row>
    <row r="280" spans="1:31" ht="15.75" customHeight="1" x14ac:dyDescent="0.25">
      <c r="A280" s="71" t="str">
        <f>IF(ISNONTEXT(node_raw[[#This Row],[Column2]]), "", node_raw[[#This Row],[Column2]])</f>
        <v/>
      </c>
      <c r="B280" s="108" t="str">
        <f>IF(A280&lt;&gt;"", VLOOKUP(A280, node!$C$2:$D$1000, 2, FALSE), "")</f>
        <v/>
      </c>
      <c r="C280" s="109" t="str">
        <f>IF(A280&lt;&gt;"", VLOOKUP(A280, node!$C$2:$E$1000, 3, FALSE), "")</f>
        <v/>
      </c>
      <c r="D280" s="110" t="str">
        <f>IF(A280&lt;&gt;"",COUNTIFS(node!$C$2:$C$1000,"="&amp;A280, node!$C$2:$C$1000,"&lt;&gt;"&amp;""),"")</f>
        <v/>
      </c>
      <c r="E280" s="111" t="str">
        <f>IF(A280&lt;&gt;"",SUMIFS(node!$F$2:$F$500, node!$C$2:$C$500,"="&amp;A280, node!$C$2:$C$500,"&lt;&gt;"&amp;"")/(B280*D280),"")</f>
        <v/>
      </c>
      <c r="F280" s="112" t="str">
        <f>IF(A280&lt;&gt;"",SUMIFS(node!$H$2:$H$500, node!$C$2:$C$500,"="&amp;A280, node!$C$2:$C$500,"&lt;&gt;"&amp;"")/(C280*D280),"")</f>
        <v/>
      </c>
      <c r="G280" s="179" t="str">
        <f>IF(A280&lt;&gt;"",SUMIFS(deployment!$F$4:$F$502, deployment!$D$4:$D$502,"="&amp;A280, deployment!$D$4:$D$502,"&lt;&gt;"&amp;""),"")</f>
        <v/>
      </c>
      <c r="H280" s="181" t="str">
        <f>IF(A280&lt;&gt;"",SUMIFS(deployment!$G$4:$G$502, deployment!$D$4:$D$502,"="&amp;A280, deployment!$D$4:$D$502,"&lt;&gt;"&amp;""),"")</f>
        <v/>
      </c>
      <c r="I280" s="113" t="str">
        <f>IF(A280&lt;&gt;"",SUMIFS(deployment!$H$4:$H$502, deployment!$D$4:$D$502,"="&amp;A280, deployment!$D$4:$D$502,"&lt;&gt;"&amp;""),"")</f>
        <v/>
      </c>
      <c r="J280" s="114" t="str">
        <f>IF(A280&lt;&gt;"",SUMIFS(deployment!$I$4:$I$502, deployment!$D$4:$D$502,"="&amp;A280, deployment!$D$4:$D$502,"&lt;&gt;"&amp;""),"")</f>
        <v/>
      </c>
      <c r="K280" s="182" t="str">
        <f>IF(A280&lt;&gt;"",SUMIFS(deployment!$J$4:$J$1002, deployment!$D$4:$D$1002,"="&amp;A280, deployment!$D$4:$D$1002,"&lt;&gt;"&amp;"", deployment!$C$4:$C$1002, "&lt;&gt;* )")+SUMIFS(namespace!$G$4:$G$1002, namespace!$B$4:$B$1002,"="&amp;A280, namespace!$B$4:$B$1002,"&lt;&gt;"&amp;""),"")</f>
        <v/>
      </c>
      <c r="L280" s="182" t="str">
        <f>IF(A280&lt;&gt;"",SUMIFS(deployment!$K$4:$K$1002, deployment!$D$4:$D$1002,"="&amp;A280, deployment!$D$4:$D$1002,"&lt;&gt;"&amp;"", deployment!$C$4:$C$1002, "&lt;&gt;* )")+SUMIFS(namespace!$H$4:$H$1002, namespace!$B$4:$B$1002,"="&amp;A280, namespace!$B$4:$B$1002,"&lt;&gt;"&amp;""),"")</f>
        <v/>
      </c>
      <c r="M280" s="115" t="str">
        <f>IF(A280&lt;&gt;"",SUMIFS(deployment!$L$4:$L$1002, deployment!$D$4:$D$1002,"="&amp;A280, deployment!$D$4:$D$1002,"&lt;&gt;"&amp;"", deployment!$C$4:$C$1002, "&lt;&gt;* )")+SUMIFS(namespace!$I$4:$I$1002, namespace!$B$4:$B$1002,"="&amp;A280, namespace!$B$4:$B$1002,"&lt;&gt;"&amp;""),"")</f>
        <v/>
      </c>
      <c r="N280" s="115" t="str">
        <f>IF(A280&lt;&gt;"",SUMIFS(deployment!$M$4:$M$1002, deployment!$D$4:$D$1002,"="&amp;A280, deployment!$D$4:$D$1002,"&lt;&gt;"&amp;"", deployment!$C$4:$C$1002, "&lt;&gt;* )")+SUMIFS(namespace!$J$4:$J$1002, namespace!$B$4:$B$1002,"="&amp;A280, namespace!$B$4:$B$1002,"&lt;&gt;"&amp;""),"")</f>
        <v/>
      </c>
      <c r="O280" s="116" t="str">
        <f t="shared" si="55"/>
        <v/>
      </c>
      <c r="P280" s="63"/>
      <c r="Q280" s="164" t="str">
        <f t="shared" si="50"/>
        <v/>
      </c>
      <c r="R280" s="60" t="str">
        <f t="shared" si="51"/>
        <v/>
      </c>
      <c r="S280" s="60" t="str">
        <f t="shared" si="52"/>
        <v/>
      </c>
      <c r="T280" s="61" t="str">
        <f t="shared" si="53"/>
        <v/>
      </c>
      <c r="U280" s="61" t="str">
        <f t="shared" si="54"/>
        <v/>
      </c>
      <c r="V280" s="183" t="str">
        <f t="shared" si="56"/>
        <v/>
      </c>
      <c r="W280" s="183" t="str">
        <f t="shared" si="57"/>
        <v/>
      </c>
      <c r="X280" s="61" t="str">
        <f t="shared" si="58"/>
        <v/>
      </c>
      <c r="Y280" s="61" t="str">
        <f t="shared" si="59"/>
        <v/>
      </c>
      <c r="Z280" s="118" t="str">
        <f t="shared" si="60"/>
        <v/>
      </c>
      <c r="AA280" s="62" t="str">
        <f t="shared" si="61"/>
        <v/>
      </c>
      <c r="AB280" s="119" t="str">
        <f>IF(A280&lt;&gt;"", IF(P280&lt;&gt;0,SUMIFS(node!$J$2:$J$1000, node!$C$2:$C$1000,"="&amp;A280)/P280,0), "")</f>
        <v/>
      </c>
      <c r="AC280" s="81" t="str">
        <f>IF(A280&lt;&gt;"", IF(P280&lt;&gt;0,SUMIFS(node!$K$2:$K$1000, node!$C$2:$C$1000,"="&amp;A280)/P280,0), "")</f>
        <v/>
      </c>
      <c r="AD280" s="82" t="str">
        <f>IF(A280&lt;&gt;"", SUMIFS(node!$L$2:$L$1000, node!$C$2:$C$1000,"="&amp;A280), "")</f>
        <v/>
      </c>
      <c r="AE280" s="87" t="str">
        <f>IF(A280&lt;&gt;"", SUMIFS(node!$M$2:$M$1000, node!$C$2:$C$1000,"="&amp;A280), "")</f>
        <v/>
      </c>
    </row>
    <row r="281" spans="1:31" ht="15.75" customHeight="1" x14ac:dyDescent="0.25">
      <c r="A281" s="71" t="str">
        <f>IF(ISNONTEXT(node_raw[[#This Row],[Column2]]), "", node_raw[[#This Row],[Column2]])</f>
        <v/>
      </c>
      <c r="B281" s="108" t="str">
        <f>IF(A281&lt;&gt;"", VLOOKUP(A281, node!$C$2:$D$1000, 2, FALSE), "")</f>
        <v/>
      </c>
      <c r="C281" s="109" t="str">
        <f>IF(A281&lt;&gt;"", VLOOKUP(A281, node!$C$2:$E$1000, 3, FALSE), "")</f>
        <v/>
      </c>
      <c r="D281" s="110" t="str">
        <f>IF(A281&lt;&gt;"",COUNTIFS(node!$C$2:$C$1000,"="&amp;A281, node!$C$2:$C$1000,"&lt;&gt;"&amp;""),"")</f>
        <v/>
      </c>
      <c r="E281" s="111" t="str">
        <f>IF(A281&lt;&gt;"",SUMIFS(node!$F$2:$F$500, node!$C$2:$C$500,"="&amp;A281, node!$C$2:$C$500,"&lt;&gt;"&amp;"")/(B281*D281),"")</f>
        <v/>
      </c>
      <c r="F281" s="112" t="str">
        <f>IF(A281&lt;&gt;"",SUMIFS(node!$H$2:$H$500, node!$C$2:$C$500,"="&amp;A281, node!$C$2:$C$500,"&lt;&gt;"&amp;"")/(C281*D281),"")</f>
        <v/>
      </c>
      <c r="G281" s="179" t="str">
        <f>IF(A281&lt;&gt;"",SUMIFS(deployment!$F$4:$F$502, deployment!$D$4:$D$502,"="&amp;A281, deployment!$D$4:$D$502,"&lt;&gt;"&amp;""),"")</f>
        <v/>
      </c>
      <c r="H281" s="181" t="str">
        <f>IF(A281&lt;&gt;"",SUMIFS(deployment!$G$4:$G$502, deployment!$D$4:$D$502,"="&amp;A281, deployment!$D$4:$D$502,"&lt;&gt;"&amp;""),"")</f>
        <v/>
      </c>
      <c r="I281" s="113" t="str">
        <f>IF(A281&lt;&gt;"",SUMIFS(deployment!$H$4:$H$502, deployment!$D$4:$D$502,"="&amp;A281, deployment!$D$4:$D$502,"&lt;&gt;"&amp;""),"")</f>
        <v/>
      </c>
      <c r="J281" s="114" t="str">
        <f>IF(A281&lt;&gt;"",SUMIFS(deployment!$I$4:$I$502, deployment!$D$4:$D$502,"="&amp;A281, deployment!$D$4:$D$502,"&lt;&gt;"&amp;""),"")</f>
        <v/>
      </c>
      <c r="K281" s="182" t="str">
        <f>IF(A281&lt;&gt;"",SUMIFS(deployment!$J$4:$J$1002, deployment!$D$4:$D$1002,"="&amp;A281, deployment!$D$4:$D$1002,"&lt;&gt;"&amp;"", deployment!$C$4:$C$1002, "&lt;&gt;* )")+SUMIFS(namespace!$G$4:$G$1002, namespace!$B$4:$B$1002,"="&amp;A281, namespace!$B$4:$B$1002,"&lt;&gt;"&amp;""),"")</f>
        <v/>
      </c>
      <c r="L281" s="182" t="str">
        <f>IF(A281&lt;&gt;"",SUMIFS(deployment!$K$4:$K$1002, deployment!$D$4:$D$1002,"="&amp;A281, deployment!$D$4:$D$1002,"&lt;&gt;"&amp;"", deployment!$C$4:$C$1002, "&lt;&gt;* )")+SUMIFS(namespace!$H$4:$H$1002, namespace!$B$4:$B$1002,"="&amp;A281, namespace!$B$4:$B$1002,"&lt;&gt;"&amp;""),"")</f>
        <v/>
      </c>
      <c r="M281" s="115" t="str">
        <f>IF(A281&lt;&gt;"",SUMIFS(deployment!$L$4:$L$1002, deployment!$D$4:$D$1002,"="&amp;A281, deployment!$D$4:$D$1002,"&lt;&gt;"&amp;"", deployment!$C$4:$C$1002, "&lt;&gt;* )")+SUMIFS(namespace!$I$4:$I$1002, namespace!$B$4:$B$1002,"="&amp;A281, namespace!$B$4:$B$1002,"&lt;&gt;"&amp;""),"")</f>
        <v/>
      </c>
      <c r="N281" s="115" t="str">
        <f>IF(A281&lt;&gt;"",SUMIFS(deployment!$M$4:$M$1002, deployment!$D$4:$D$1002,"="&amp;A281, deployment!$D$4:$D$1002,"&lt;&gt;"&amp;"", deployment!$C$4:$C$1002, "&lt;&gt;* )")+SUMIFS(namespace!$J$4:$J$1002, namespace!$B$4:$B$1002,"="&amp;A281, namespace!$B$4:$B$1002,"&lt;&gt;"&amp;""),"")</f>
        <v/>
      </c>
      <c r="O281" s="116" t="str">
        <f t="shared" si="55"/>
        <v/>
      </c>
      <c r="P281" s="63"/>
      <c r="Q281" s="164" t="str">
        <f t="shared" si="50"/>
        <v/>
      </c>
      <c r="R281" s="60" t="str">
        <f t="shared" si="51"/>
        <v/>
      </c>
      <c r="S281" s="60" t="str">
        <f t="shared" si="52"/>
        <v/>
      </c>
      <c r="T281" s="61" t="str">
        <f t="shared" si="53"/>
        <v/>
      </c>
      <c r="U281" s="61" t="str">
        <f t="shared" si="54"/>
        <v/>
      </c>
      <c r="V281" s="183" t="str">
        <f t="shared" si="56"/>
        <v/>
      </c>
      <c r="W281" s="183" t="str">
        <f t="shared" si="57"/>
        <v/>
      </c>
      <c r="X281" s="61" t="str">
        <f t="shared" si="58"/>
        <v/>
      </c>
      <c r="Y281" s="61" t="str">
        <f t="shared" si="59"/>
        <v/>
      </c>
      <c r="Z281" s="118" t="str">
        <f t="shared" si="60"/>
        <v/>
      </c>
      <c r="AA281" s="62" t="str">
        <f t="shared" si="61"/>
        <v/>
      </c>
      <c r="AB281" s="119" t="str">
        <f>IF(A281&lt;&gt;"", IF(P281&lt;&gt;0,SUMIFS(node!$J$2:$J$1000, node!$C$2:$C$1000,"="&amp;A281)/P281,0), "")</f>
        <v/>
      </c>
      <c r="AC281" s="81" t="str">
        <f>IF(A281&lt;&gt;"", IF(P281&lt;&gt;0,SUMIFS(node!$K$2:$K$1000, node!$C$2:$C$1000,"="&amp;A281)/P281,0), "")</f>
        <v/>
      </c>
      <c r="AD281" s="82" t="str">
        <f>IF(A281&lt;&gt;"", SUMIFS(node!$L$2:$L$1000, node!$C$2:$C$1000,"="&amp;A281), "")</f>
        <v/>
      </c>
      <c r="AE281" s="87" t="str">
        <f>IF(A281&lt;&gt;"", SUMIFS(node!$M$2:$M$1000, node!$C$2:$C$1000,"="&amp;A281), "")</f>
        <v/>
      </c>
    </row>
    <row r="282" spans="1:31" ht="15.75" customHeight="1" x14ac:dyDescent="0.25">
      <c r="A282" s="71" t="str">
        <f>IF(ISNONTEXT(node_raw[[#This Row],[Column2]]), "", node_raw[[#This Row],[Column2]])</f>
        <v/>
      </c>
      <c r="B282" s="108" t="str">
        <f>IF(A282&lt;&gt;"", VLOOKUP(A282, node!$C$2:$D$1000, 2, FALSE), "")</f>
        <v/>
      </c>
      <c r="C282" s="109" t="str">
        <f>IF(A282&lt;&gt;"", VLOOKUP(A282, node!$C$2:$E$1000, 3, FALSE), "")</f>
        <v/>
      </c>
      <c r="D282" s="110" t="str">
        <f>IF(A282&lt;&gt;"",COUNTIFS(node!$C$2:$C$1000,"="&amp;A282, node!$C$2:$C$1000,"&lt;&gt;"&amp;""),"")</f>
        <v/>
      </c>
      <c r="E282" s="111" t="str">
        <f>IF(A282&lt;&gt;"",SUMIFS(node!$F$2:$F$500, node!$C$2:$C$500,"="&amp;A282, node!$C$2:$C$500,"&lt;&gt;"&amp;"")/(B282*D282),"")</f>
        <v/>
      </c>
      <c r="F282" s="112" t="str">
        <f>IF(A282&lt;&gt;"",SUMIFS(node!$H$2:$H$500, node!$C$2:$C$500,"="&amp;A282, node!$C$2:$C$500,"&lt;&gt;"&amp;"")/(C282*D282),"")</f>
        <v/>
      </c>
      <c r="G282" s="179" t="str">
        <f>IF(A282&lt;&gt;"",SUMIFS(deployment!$F$4:$F$502, deployment!$D$4:$D$502,"="&amp;A282, deployment!$D$4:$D$502,"&lt;&gt;"&amp;""),"")</f>
        <v/>
      </c>
      <c r="H282" s="181" t="str">
        <f>IF(A282&lt;&gt;"",SUMIFS(deployment!$G$4:$G$502, deployment!$D$4:$D$502,"="&amp;A282, deployment!$D$4:$D$502,"&lt;&gt;"&amp;""),"")</f>
        <v/>
      </c>
      <c r="I282" s="113" t="str">
        <f>IF(A282&lt;&gt;"",SUMIFS(deployment!$H$4:$H$502, deployment!$D$4:$D$502,"="&amp;A282, deployment!$D$4:$D$502,"&lt;&gt;"&amp;""),"")</f>
        <v/>
      </c>
      <c r="J282" s="114" t="str">
        <f>IF(A282&lt;&gt;"",SUMIFS(deployment!$I$4:$I$502, deployment!$D$4:$D$502,"="&amp;A282, deployment!$D$4:$D$502,"&lt;&gt;"&amp;""),"")</f>
        <v/>
      </c>
      <c r="K282" s="182" t="str">
        <f>IF(A282&lt;&gt;"",SUMIFS(deployment!$J$4:$J$1002, deployment!$D$4:$D$1002,"="&amp;A282, deployment!$D$4:$D$1002,"&lt;&gt;"&amp;"", deployment!$C$4:$C$1002, "&lt;&gt;* )")+SUMIFS(namespace!$G$4:$G$1002, namespace!$B$4:$B$1002,"="&amp;A282, namespace!$B$4:$B$1002,"&lt;&gt;"&amp;""),"")</f>
        <v/>
      </c>
      <c r="L282" s="182" t="str">
        <f>IF(A282&lt;&gt;"",SUMIFS(deployment!$K$4:$K$1002, deployment!$D$4:$D$1002,"="&amp;A282, deployment!$D$4:$D$1002,"&lt;&gt;"&amp;"", deployment!$C$4:$C$1002, "&lt;&gt;* )")+SUMIFS(namespace!$H$4:$H$1002, namespace!$B$4:$B$1002,"="&amp;A282, namespace!$B$4:$B$1002,"&lt;&gt;"&amp;""),"")</f>
        <v/>
      </c>
      <c r="M282" s="115" t="str">
        <f>IF(A282&lt;&gt;"",SUMIFS(deployment!$L$4:$L$1002, deployment!$D$4:$D$1002,"="&amp;A282, deployment!$D$4:$D$1002,"&lt;&gt;"&amp;"", deployment!$C$4:$C$1002, "&lt;&gt;* )")+SUMIFS(namespace!$I$4:$I$1002, namespace!$B$4:$B$1002,"="&amp;A282, namespace!$B$4:$B$1002,"&lt;&gt;"&amp;""),"")</f>
        <v/>
      </c>
      <c r="N282" s="115" t="str">
        <f>IF(A282&lt;&gt;"",SUMIFS(deployment!$M$4:$M$1002, deployment!$D$4:$D$1002,"="&amp;A282, deployment!$D$4:$D$1002,"&lt;&gt;"&amp;"", deployment!$C$4:$C$1002, "&lt;&gt;* )")+SUMIFS(namespace!$J$4:$J$1002, namespace!$B$4:$B$1002,"="&amp;A282, namespace!$B$4:$B$1002,"&lt;&gt;"&amp;""),"")</f>
        <v/>
      </c>
      <c r="O282" s="116" t="str">
        <f t="shared" si="55"/>
        <v/>
      </c>
      <c r="P282" s="63"/>
      <c r="Q282" s="164" t="str">
        <f t="shared" si="50"/>
        <v/>
      </c>
      <c r="R282" s="60" t="str">
        <f t="shared" si="51"/>
        <v/>
      </c>
      <c r="S282" s="60" t="str">
        <f t="shared" si="52"/>
        <v/>
      </c>
      <c r="T282" s="61" t="str">
        <f t="shared" si="53"/>
        <v/>
      </c>
      <c r="U282" s="61" t="str">
        <f t="shared" si="54"/>
        <v/>
      </c>
      <c r="V282" s="183" t="str">
        <f t="shared" si="56"/>
        <v/>
      </c>
      <c r="W282" s="183" t="str">
        <f t="shared" si="57"/>
        <v/>
      </c>
      <c r="X282" s="61" t="str">
        <f t="shared" si="58"/>
        <v/>
      </c>
      <c r="Y282" s="61" t="str">
        <f t="shared" si="59"/>
        <v/>
      </c>
      <c r="Z282" s="118" t="str">
        <f t="shared" si="60"/>
        <v/>
      </c>
      <c r="AA282" s="62" t="str">
        <f t="shared" si="61"/>
        <v/>
      </c>
      <c r="AB282" s="119" t="str">
        <f>IF(A282&lt;&gt;"", IF(P282&lt;&gt;0,SUMIFS(node!$J$2:$J$1000, node!$C$2:$C$1000,"="&amp;A282)/P282,0), "")</f>
        <v/>
      </c>
      <c r="AC282" s="81" t="str">
        <f>IF(A282&lt;&gt;"", IF(P282&lt;&gt;0,SUMIFS(node!$K$2:$K$1000, node!$C$2:$C$1000,"="&amp;A282)/P282,0), "")</f>
        <v/>
      </c>
      <c r="AD282" s="82" t="str">
        <f>IF(A282&lt;&gt;"", SUMIFS(node!$L$2:$L$1000, node!$C$2:$C$1000,"="&amp;A282), "")</f>
        <v/>
      </c>
      <c r="AE282" s="87" t="str">
        <f>IF(A282&lt;&gt;"", SUMIFS(node!$M$2:$M$1000, node!$C$2:$C$1000,"="&amp;A282), "")</f>
        <v/>
      </c>
    </row>
    <row r="283" spans="1:31" ht="15.75" customHeight="1" x14ac:dyDescent="0.25">
      <c r="A283" s="71" t="str">
        <f>IF(ISNONTEXT(node_raw[[#This Row],[Column2]]), "", node_raw[[#This Row],[Column2]])</f>
        <v/>
      </c>
      <c r="B283" s="108" t="str">
        <f>IF(A283&lt;&gt;"", VLOOKUP(A283, node!$C$2:$D$1000, 2, FALSE), "")</f>
        <v/>
      </c>
      <c r="C283" s="109" t="str">
        <f>IF(A283&lt;&gt;"", VLOOKUP(A283, node!$C$2:$E$1000, 3, FALSE), "")</f>
        <v/>
      </c>
      <c r="D283" s="110" t="str">
        <f>IF(A283&lt;&gt;"",COUNTIFS(node!$C$2:$C$1000,"="&amp;A283, node!$C$2:$C$1000,"&lt;&gt;"&amp;""),"")</f>
        <v/>
      </c>
      <c r="E283" s="111" t="str">
        <f>IF(A283&lt;&gt;"",SUMIFS(node!$F$2:$F$500, node!$C$2:$C$500,"="&amp;A283, node!$C$2:$C$500,"&lt;&gt;"&amp;"")/(B283*D283),"")</f>
        <v/>
      </c>
      <c r="F283" s="112" t="str">
        <f>IF(A283&lt;&gt;"",SUMIFS(node!$H$2:$H$500, node!$C$2:$C$500,"="&amp;A283, node!$C$2:$C$500,"&lt;&gt;"&amp;"")/(C283*D283),"")</f>
        <v/>
      </c>
      <c r="G283" s="179" t="str">
        <f>IF(A283&lt;&gt;"",SUMIFS(deployment!$F$4:$F$502, deployment!$D$4:$D$502,"="&amp;A283, deployment!$D$4:$D$502,"&lt;&gt;"&amp;""),"")</f>
        <v/>
      </c>
      <c r="H283" s="181" t="str">
        <f>IF(A283&lt;&gt;"",SUMIFS(deployment!$G$4:$G$502, deployment!$D$4:$D$502,"="&amp;A283, deployment!$D$4:$D$502,"&lt;&gt;"&amp;""),"")</f>
        <v/>
      </c>
      <c r="I283" s="113" t="str">
        <f>IF(A283&lt;&gt;"",SUMIFS(deployment!$H$4:$H$502, deployment!$D$4:$D$502,"="&amp;A283, deployment!$D$4:$D$502,"&lt;&gt;"&amp;""),"")</f>
        <v/>
      </c>
      <c r="J283" s="114" t="str">
        <f>IF(A283&lt;&gt;"",SUMIFS(deployment!$I$4:$I$502, deployment!$D$4:$D$502,"="&amp;A283, deployment!$D$4:$D$502,"&lt;&gt;"&amp;""),"")</f>
        <v/>
      </c>
      <c r="K283" s="182" t="str">
        <f>IF(A283&lt;&gt;"",SUMIFS(deployment!$J$4:$J$1002, deployment!$D$4:$D$1002,"="&amp;A283, deployment!$D$4:$D$1002,"&lt;&gt;"&amp;"", deployment!$C$4:$C$1002, "&lt;&gt;* )")+SUMIFS(namespace!$G$4:$G$1002, namespace!$B$4:$B$1002,"="&amp;A283, namespace!$B$4:$B$1002,"&lt;&gt;"&amp;""),"")</f>
        <v/>
      </c>
      <c r="L283" s="182" t="str">
        <f>IF(A283&lt;&gt;"",SUMIFS(deployment!$K$4:$K$1002, deployment!$D$4:$D$1002,"="&amp;A283, deployment!$D$4:$D$1002,"&lt;&gt;"&amp;"", deployment!$C$4:$C$1002, "&lt;&gt;* )")+SUMIFS(namespace!$H$4:$H$1002, namespace!$B$4:$B$1002,"="&amp;A283, namespace!$B$4:$B$1002,"&lt;&gt;"&amp;""),"")</f>
        <v/>
      </c>
      <c r="M283" s="115" t="str">
        <f>IF(A283&lt;&gt;"",SUMIFS(deployment!$L$4:$L$1002, deployment!$D$4:$D$1002,"="&amp;A283, deployment!$D$4:$D$1002,"&lt;&gt;"&amp;"", deployment!$C$4:$C$1002, "&lt;&gt;* )")+SUMIFS(namespace!$I$4:$I$1002, namespace!$B$4:$B$1002,"="&amp;A283, namespace!$B$4:$B$1002,"&lt;&gt;"&amp;""),"")</f>
        <v/>
      </c>
      <c r="N283" s="115" t="str">
        <f>IF(A283&lt;&gt;"",SUMIFS(deployment!$M$4:$M$1002, deployment!$D$4:$D$1002,"="&amp;A283, deployment!$D$4:$D$1002,"&lt;&gt;"&amp;"", deployment!$C$4:$C$1002, "&lt;&gt;* )")+SUMIFS(namespace!$J$4:$J$1002, namespace!$B$4:$B$1002,"="&amp;A283, namespace!$B$4:$B$1002,"&lt;&gt;"&amp;""),"")</f>
        <v/>
      </c>
      <c r="O283" s="116" t="str">
        <f t="shared" si="55"/>
        <v/>
      </c>
      <c r="P283" s="63"/>
      <c r="Q283" s="164" t="str">
        <f t="shared" si="50"/>
        <v/>
      </c>
      <c r="R283" s="60" t="str">
        <f t="shared" si="51"/>
        <v/>
      </c>
      <c r="S283" s="60" t="str">
        <f t="shared" si="52"/>
        <v/>
      </c>
      <c r="T283" s="61" t="str">
        <f t="shared" si="53"/>
        <v/>
      </c>
      <c r="U283" s="61" t="str">
        <f t="shared" si="54"/>
        <v/>
      </c>
      <c r="V283" s="183" t="str">
        <f t="shared" si="56"/>
        <v/>
      </c>
      <c r="W283" s="183" t="str">
        <f t="shared" si="57"/>
        <v/>
      </c>
      <c r="X283" s="61" t="str">
        <f t="shared" si="58"/>
        <v/>
      </c>
      <c r="Y283" s="61" t="str">
        <f t="shared" si="59"/>
        <v/>
      </c>
      <c r="Z283" s="118" t="str">
        <f t="shared" si="60"/>
        <v/>
      </c>
      <c r="AA283" s="62" t="str">
        <f t="shared" si="61"/>
        <v/>
      </c>
      <c r="AB283" s="119" t="str">
        <f>IF(A283&lt;&gt;"", IF(P283&lt;&gt;0,SUMIFS(node!$J$2:$J$1000, node!$C$2:$C$1000,"="&amp;A283)/P283,0), "")</f>
        <v/>
      </c>
      <c r="AC283" s="81" t="str">
        <f>IF(A283&lt;&gt;"", IF(P283&lt;&gt;0,SUMIFS(node!$K$2:$K$1000, node!$C$2:$C$1000,"="&amp;A283)/P283,0), "")</f>
        <v/>
      </c>
      <c r="AD283" s="82" t="str">
        <f>IF(A283&lt;&gt;"", SUMIFS(node!$L$2:$L$1000, node!$C$2:$C$1000,"="&amp;A283), "")</f>
        <v/>
      </c>
      <c r="AE283" s="87" t="str">
        <f>IF(A283&lt;&gt;"", SUMIFS(node!$M$2:$M$1000, node!$C$2:$C$1000,"="&amp;A283), "")</f>
        <v/>
      </c>
    </row>
    <row r="284" spans="1:31" ht="15.75" customHeight="1" x14ac:dyDescent="0.25">
      <c r="A284" s="71" t="str">
        <f>IF(ISNONTEXT(node_raw[[#This Row],[Column2]]), "", node_raw[[#This Row],[Column2]])</f>
        <v/>
      </c>
      <c r="B284" s="108" t="str">
        <f>IF(A284&lt;&gt;"", VLOOKUP(A284, node!$C$2:$D$1000, 2, FALSE), "")</f>
        <v/>
      </c>
      <c r="C284" s="109" t="str">
        <f>IF(A284&lt;&gt;"", VLOOKUP(A284, node!$C$2:$E$1000, 3, FALSE), "")</f>
        <v/>
      </c>
      <c r="D284" s="110" t="str">
        <f>IF(A284&lt;&gt;"",COUNTIFS(node!$C$2:$C$1000,"="&amp;A284, node!$C$2:$C$1000,"&lt;&gt;"&amp;""),"")</f>
        <v/>
      </c>
      <c r="E284" s="111" t="str">
        <f>IF(A284&lt;&gt;"",SUMIFS(node!$F$2:$F$500, node!$C$2:$C$500,"="&amp;A284, node!$C$2:$C$500,"&lt;&gt;"&amp;"")/(B284*D284),"")</f>
        <v/>
      </c>
      <c r="F284" s="112" t="str">
        <f>IF(A284&lt;&gt;"",SUMIFS(node!$H$2:$H$500, node!$C$2:$C$500,"="&amp;A284, node!$C$2:$C$500,"&lt;&gt;"&amp;"")/(C284*D284),"")</f>
        <v/>
      </c>
      <c r="G284" s="179" t="str">
        <f>IF(A284&lt;&gt;"",SUMIFS(deployment!$F$4:$F$502, deployment!$D$4:$D$502,"="&amp;A284, deployment!$D$4:$D$502,"&lt;&gt;"&amp;""),"")</f>
        <v/>
      </c>
      <c r="H284" s="181" t="str">
        <f>IF(A284&lt;&gt;"",SUMIFS(deployment!$G$4:$G$502, deployment!$D$4:$D$502,"="&amp;A284, deployment!$D$4:$D$502,"&lt;&gt;"&amp;""),"")</f>
        <v/>
      </c>
      <c r="I284" s="113" t="str">
        <f>IF(A284&lt;&gt;"",SUMIFS(deployment!$H$4:$H$502, deployment!$D$4:$D$502,"="&amp;A284, deployment!$D$4:$D$502,"&lt;&gt;"&amp;""),"")</f>
        <v/>
      </c>
      <c r="J284" s="114" t="str">
        <f>IF(A284&lt;&gt;"",SUMIFS(deployment!$I$4:$I$502, deployment!$D$4:$D$502,"="&amp;A284, deployment!$D$4:$D$502,"&lt;&gt;"&amp;""),"")</f>
        <v/>
      </c>
      <c r="K284" s="182" t="str">
        <f>IF(A284&lt;&gt;"",SUMIFS(deployment!$J$4:$J$1002, deployment!$D$4:$D$1002,"="&amp;A284, deployment!$D$4:$D$1002,"&lt;&gt;"&amp;"", deployment!$C$4:$C$1002, "&lt;&gt;* )")+SUMIFS(namespace!$G$4:$G$1002, namespace!$B$4:$B$1002,"="&amp;A284, namespace!$B$4:$B$1002,"&lt;&gt;"&amp;""),"")</f>
        <v/>
      </c>
      <c r="L284" s="182" t="str">
        <f>IF(A284&lt;&gt;"",SUMIFS(deployment!$K$4:$K$1002, deployment!$D$4:$D$1002,"="&amp;A284, deployment!$D$4:$D$1002,"&lt;&gt;"&amp;"", deployment!$C$4:$C$1002, "&lt;&gt;* )")+SUMIFS(namespace!$H$4:$H$1002, namespace!$B$4:$B$1002,"="&amp;A284, namespace!$B$4:$B$1002,"&lt;&gt;"&amp;""),"")</f>
        <v/>
      </c>
      <c r="M284" s="115" t="str">
        <f>IF(A284&lt;&gt;"",SUMIFS(deployment!$L$4:$L$1002, deployment!$D$4:$D$1002,"="&amp;A284, deployment!$D$4:$D$1002,"&lt;&gt;"&amp;"", deployment!$C$4:$C$1002, "&lt;&gt;* )")+SUMIFS(namespace!$I$4:$I$1002, namespace!$B$4:$B$1002,"="&amp;A284, namespace!$B$4:$B$1002,"&lt;&gt;"&amp;""),"")</f>
        <v/>
      </c>
      <c r="N284" s="115" t="str">
        <f>IF(A284&lt;&gt;"",SUMIFS(deployment!$M$4:$M$1002, deployment!$D$4:$D$1002,"="&amp;A284, deployment!$D$4:$D$1002,"&lt;&gt;"&amp;"", deployment!$C$4:$C$1002, "&lt;&gt;* )")+SUMIFS(namespace!$J$4:$J$1002, namespace!$B$4:$B$1002,"="&amp;A284, namespace!$B$4:$B$1002,"&lt;&gt;"&amp;""),"")</f>
        <v/>
      </c>
      <c r="O284" s="116" t="str">
        <f t="shared" si="55"/>
        <v/>
      </c>
      <c r="P284" s="63"/>
      <c r="Q284" s="164" t="str">
        <f t="shared" si="50"/>
        <v/>
      </c>
      <c r="R284" s="60" t="str">
        <f t="shared" si="51"/>
        <v/>
      </c>
      <c r="S284" s="60" t="str">
        <f t="shared" si="52"/>
        <v/>
      </c>
      <c r="T284" s="61" t="str">
        <f t="shared" si="53"/>
        <v/>
      </c>
      <c r="U284" s="61" t="str">
        <f t="shared" si="54"/>
        <v/>
      </c>
      <c r="V284" s="183" t="str">
        <f t="shared" si="56"/>
        <v/>
      </c>
      <c r="W284" s="183" t="str">
        <f t="shared" si="57"/>
        <v/>
      </c>
      <c r="X284" s="61" t="str">
        <f t="shared" si="58"/>
        <v/>
      </c>
      <c r="Y284" s="61" t="str">
        <f t="shared" si="59"/>
        <v/>
      </c>
      <c r="Z284" s="118" t="str">
        <f t="shared" si="60"/>
        <v/>
      </c>
      <c r="AA284" s="62" t="str">
        <f t="shared" si="61"/>
        <v/>
      </c>
      <c r="AB284" s="119" t="str">
        <f>IF(A284&lt;&gt;"", IF(P284&lt;&gt;0,SUMIFS(node!$J$2:$J$1000, node!$C$2:$C$1000,"="&amp;A284)/P284,0), "")</f>
        <v/>
      </c>
      <c r="AC284" s="81" t="str">
        <f>IF(A284&lt;&gt;"", IF(P284&lt;&gt;0,SUMIFS(node!$K$2:$K$1000, node!$C$2:$C$1000,"="&amp;A284)/P284,0), "")</f>
        <v/>
      </c>
      <c r="AD284" s="82" t="str">
        <f>IF(A284&lt;&gt;"", SUMIFS(node!$L$2:$L$1000, node!$C$2:$C$1000,"="&amp;A284), "")</f>
        <v/>
      </c>
      <c r="AE284" s="87" t="str">
        <f>IF(A284&lt;&gt;"", SUMIFS(node!$M$2:$M$1000, node!$C$2:$C$1000,"="&amp;A284), "")</f>
        <v/>
      </c>
    </row>
    <row r="285" spans="1:31" ht="15.75" customHeight="1" x14ac:dyDescent="0.25">
      <c r="A285" s="71" t="str">
        <f>IF(ISNONTEXT(node_raw[[#This Row],[Column2]]), "", node_raw[[#This Row],[Column2]])</f>
        <v/>
      </c>
      <c r="B285" s="108" t="str">
        <f>IF(A285&lt;&gt;"", VLOOKUP(A285, node!$C$2:$D$1000, 2, FALSE), "")</f>
        <v/>
      </c>
      <c r="C285" s="109" t="str">
        <f>IF(A285&lt;&gt;"", VLOOKUP(A285, node!$C$2:$E$1000, 3, FALSE), "")</f>
        <v/>
      </c>
      <c r="D285" s="110" t="str">
        <f>IF(A285&lt;&gt;"",COUNTIFS(node!$C$2:$C$1000,"="&amp;A285, node!$C$2:$C$1000,"&lt;&gt;"&amp;""),"")</f>
        <v/>
      </c>
      <c r="E285" s="111" t="str">
        <f>IF(A285&lt;&gt;"",SUMIFS(node!$F$2:$F$500, node!$C$2:$C$500,"="&amp;A285, node!$C$2:$C$500,"&lt;&gt;"&amp;"")/(B285*D285),"")</f>
        <v/>
      </c>
      <c r="F285" s="112" t="str">
        <f>IF(A285&lt;&gt;"",SUMIFS(node!$H$2:$H$500, node!$C$2:$C$500,"="&amp;A285, node!$C$2:$C$500,"&lt;&gt;"&amp;"")/(C285*D285),"")</f>
        <v/>
      </c>
      <c r="G285" s="179" t="str">
        <f>IF(A285&lt;&gt;"",SUMIFS(deployment!$F$4:$F$502, deployment!$D$4:$D$502,"="&amp;A285, deployment!$D$4:$D$502,"&lt;&gt;"&amp;""),"")</f>
        <v/>
      </c>
      <c r="H285" s="181" t="str">
        <f>IF(A285&lt;&gt;"",SUMIFS(deployment!$G$4:$G$502, deployment!$D$4:$D$502,"="&amp;A285, deployment!$D$4:$D$502,"&lt;&gt;"&amp;""),"")</f>
        <v/>
      </c>
      <c r="I285" s="113" t="str">
        <f>IF(A285&lt;&gt;"",SUMIFS(deployment!$H$4:$H$502, deployment!$D$4:$D$502,"="&amp;A285, deployment!$D$4:$D$502,"&lt;&gt;"&amp;""),"")</f>
        <v/>
      </c>
      <c r="J285" s="114" t="str">
        <f>IF(A285&lt;&gt;"",SUMIFS(deployment!$I$4:$I$502, deployment!$D$4:$D$502,"="&amp;A285, deployment!$D$4:$D$502,"&lt;&gt;"&amp;""),"")</f>
        <v/>
      </c>
      <c r="K285" s="182" t="str">
        <f>IF(A285&lt;&gt;"",SUMIFS(deployment!$J$4:$J$1002, deployment!$D$4:$D$1002,"="&amp;A285, deployment!$D$4:$D$1002,"&lt;&gt;"&amp;"", deployment!$C$4:$C$1002, "&lt;&gt;* )")+SUMIFS(namespace!$G$4:$G$1002, namespace!$B$4:$B$1002,"="&amp;A285, namespace!$B$4:$B$1002,"&lt;&gt;"&amp;""),"")</f>
        <v/>
      </c>
      <c r="L285" s="182" t="str">
        <f>IF(A285&lt;&gt;"",SUMIFS(deployment!$K$4:$K$1002, deployment!$D$4:$D$1002,"="&amp;A285, deployment!$D$4:$D$1002,"&lt;&gt;"&amp;"", deployment!$C$4:$C$1002, "&lt;&gt;* )")+SUMIFS(namespace!$H$4:$H$1002, namespace!$B$4:$B$1002,"="&amp;A285, namespace!$B$4:$B$1002,"&lt;&gt;"&amp;""),"")</f>
        <v/>
      </c>
      <c r="M285" s="115" t="str">
        <f>IF(A285&lt;&gt;"",SUMIFS(deployment!$L$4:$L$1002, deployment!$D$4:$D$1002,"="&amp;A285, deployment!$D$4:$D$1002,"&lt;&gt;"&amp;"", deployment!$C$4:$C$1002, "&lt;&gt;* )")+SUMIFS(namespace!$I$4:$I$1002, namespace!$B$4:$B$1002,"="&amp;A285, namespace!$B$4:$B$1002,"&lt;&gt;"&amp;""),"")</f>
        <v/>
      </c>
      <c r="N285" s="115" t="str">
        <f>IF(A285&lt;&gt;"",SUMIFS(deployment!$M$4:$M$1002, deployment!$D$4:$D$1002,"="&amp;A285, deployment!$D$4:$D$1002,"&lt;&gt;"&amp;"", deployment!$C$4:$C$1002, "&lt;&gt;* )")+SUMIFS(namespace!$J$4:$J$1002, namespace!$B$4:$B$1002,"="&amp;A285, namespace!$B$4:$B$1002,"&lt;&gt;"&amp;""),"")</f>
        <v/>
      </c>
      <c r="O285" s="116" t="str">
        <f t="shared" si="55"/>
        <v/>
      </c>
      <c r="P285" s="63"/>
      <c r="Q285" s="164" t="str">
        <f t="shared" si="50"/>
        <v/>
      </c>
      <c r="R285" s="60" t="str">
        <f t="shared" si="51"/>
        <v/>
      </c>
      <c r="S285" s="60" t="str">
        <f t="shared" si="52"/>
        <v/>
      </c>
      <c r="T285" s="61" t="str">
        <f t="shared" si="53"/>
        <v/>
      </c>
      <c r="U285" s="61" t="str">
        <f t="shared" si="54"/>
        <v/>
      </c>
      <c r="V285" s="183" t="str">
        <f t="shared" si="56"/>
        <v/>
      </c>
      <c r="W285" s="183" t="str">
        <f t="shared" si="57"/>
        <v/>
      </c>
      <c r="X285" s="61" t="str">
        <f t="shared" si="58"/>
        <v/>
      </c>
      <c r="Y285" s="61" t="str">
        <f t="shared" si="59"/>
        <v/>
      </c>
      <c r="Z285" s="118" t="str">
        <f t="shared" si="60"/>
        <v/>
      </c>
      <c r="AA285" s="62" t="str">
        <f t="shared" si="61"/>
        <v/>
      </c>
      <c r="AB285" s="119" t="str">
        <f>IF(A285&lt;&gt;"", IF(P285&lt;&gt;0,SUMIFS(node!$J$2:$J$1000, node!$C$2:$C$1000,"="&amp;A285)/P285,0), "")</f>
        <v/>
      </c>
      <c r="AC285" s="81" t="str">
        <f>IF(A285&lt;&gt;"", IF(P285&lt;&gt;0,SUMIFS(node!$K$2:$K$1000, node!$C$2:$C$1000,"="&amp;A285)/P285,0), "")</f>
        <v/>
      </c>
      <c r="AD285" s="82" t="str">
        <f>IF(A285&lt;&gt;"", SUMIFS(node!$L$2:$L$1000, node!$C$2:$C$1000,"="&amp;A285), "")</f>
        <v/>
      </c>
      <c r="AE285" s="87" t="str">
        <f>IF(A285&lt;&gt;"", SUMIFS(node!$M$2:$M$1000, node!$C$2:$C$1000,"="&amp;A285), "")</f>
        <v/>
      </c>
    </row>
    <row r="286" spans="1:31" ht="15.75" customHeight="1" x14ac:dyDescent="0.25">
      <c r="A286" s="71" t="str">
        <f>IF(ISNONTEXT(node_raw[[#This Row],[Column2]]), "", node_raw[[#This Row],[Column2]])</f>
        <v/>
      </c>
      <c r="B286" s="108" t="str">
        <f>IF(A286&lt;&gt;"", VLOOKUP(A286, node!$C$2:$D$1000, 2, FALSE), "")</f>
        <v/>
      </c>
      <c r="C286" s="109" t="str">
        <f>IF(A286&lt;&gt;"", VLOOKUP(A286, node!$C$2:$E$1000, 3, FALSE), "")</f>
        <v/>
      </c>
      <c r="D286" s="110" t="str">
        <f>IF(A286&lt;&gt;"",COUNTIFS(node!$C$2:$C$1000,"="&amp;A286, node!$C$2:$C$1000,"&lt;&gt;"&amp;""),"")</f>
        <v/>
      </c>
      <c r="E286" s="111" t="str">
        <f>IF(A286&lt;&gt;"",SUMIFS(node!$F$2:$F$500, node!$C$2:$C$500,"="&amp;A286, node!$C$2:$C$500,"&lt;&gt;"&amp;"")/(B286*D286),"")</f>
        <v/>
      </c>
      <c r="F286" s="112" t="str">
        <f>IF(A286&lt;&gt;"",SUMIFS(node!$H$2:$H$500, node!$C$2:$C$500,"="&amp;A286, node!$C$2:$C$500,"&lt;&gt;"&amp;"")/(C286*D286),"")</f>
        <v/>
      </c>
      <c r="G286" s="179" t="str">
        <f>IF(A286&lt;&gt;"",SUMIFS(deployment!$F$4:$F$502, deployment!$D$4:$D$502,"="&amp;A286, deployment!$D$4:$D$502,"&lt;&gt;"&amp;""),"")</f>
        <v/>
      </c>
      <c r="H286" s="181" t="str">
        <f>IF(A286&lt;&gt;"",SUMIFS(deployment!$G$4:$G$502, deployment!$D$4:$D$502,"="&amp;A286, deployment!$D$4:$D$502,"&lt;&gt;"&amp;""),"")</f>
        <v/>
      </c>
      <c r="I286" s="113" t="str">
        <f>IF(A286&lt;&gt;"",SUMIFS(deployment!$H$4:$H$502, deployment!$D$4:$D$502,"="&amp;A286, deployment!$D$4:$D$502,"&lt;&gt;"&amp;""),"")</f>
        <v/>
      </c>
      <c r="J286" s="114" t="str">
        <f>IF(A286&lt;&gt;"",SUMIFS(deployment!$I$4:$I$502, deployment!$D$4:$D$502,"="&amp;A286, deployment!$D$4:$D$502,"&lt;&gt;"&amp;""),"")</f>
        <v/>
      </c>
      <c r="K286" s="182" t="str">
        <f>IF(A286&lt;&gt;"",SUMIFS(deployment!$J$4:$J$1002, deployment!$D$4:$D$1002,"="&amp;A286, deployment!$D$4:$D$1002,"&lt;&gt;"&amp;"", deployment!$C$4:$C$1002, "&lt;&gt;* )")+SUMIFS(namespace!$G$4:$G$1002, namespace!$B$4:$B$1002,"="&amp;A286, namespace!$B$4:$B$1002,"&lt;&gt;"&amp;""),"")</f>
        <v/>
      </c>
      <c r="L286" s="182" t="str">
        <f>IF(A286&lt;&gt;"",SUMIFS(deployment!$K$4:$K$1002, deployment!$D$4:$D$1002,"="&amp;A286, deployment!$D$4:$D$1002,"&lt;&gt;"&amp;"", deployment!$C$4:$C$1002, "&lt;&gt;* )")+SUMIFS(namespace!$H$4:$H$1002, namespace!$B$4:$B$1002,"="&amp;A286, namespace!$B$4:$B$1002,"&lt;&gt;"&amp;""),"")</f>
        <v/>
      </c>
      <c r="M286" s="115" t="str">
        <f>IF(A286&lt;&gt;"",SUMIFS(deployment!$L$4:$L$1002, deployment!$D$4:$D$1002,"="&amp;A286, deployment!$D$4:$D$1002,"&lt;&gt;"&amp;"", deployment!$C$4:$C$1002, "&lt;&gt;* )")+SUMIFS(namespace!$I$4:$I$1002, namespace!$B$4:$B$1002,"="&amp;A286, namespace!$B$4:$B$1002,"&lt;&gt;"&amp;""),"")</f>
        <v/>
      </c>
      <c r="N286" s="115" t="str">
        <f>IF(A286&lt;&gt;"",SUMIFS(deployment!$M$4:$M$1002, deployment!$D$4:$D$1002,"="&amp;A286, deployment!$D$4:$D$1002,"&lt;&gt;"&amp;"", deployment!$C$4:$C$1002, "&lt;&gt;* )")+SUMIFS(namespace!$J$4:$J$1002, namespace!$B$4:$B$1002,"="&amp;A286, namespace!$B$4:$B$1002,"&lt;&gt;"&amp;""),"")</f>
        <v/>
      </c>
      <c r="O286" s="116" t="str">
        <f t="shared" si="55"/>
        <v/>
      </c>
      <c r="P286" s="63"/>
      <c r="Q286" s="164" t="str">
        <f t="shared" si="50"/>
        <v/>
      </c>
      <c r="R286" s="60" t="str">
        <f t="shared" si="51"/>
        <v/>
      </c>
      <c r="S286" s="60" t="str">
        <f t="shared" si="52"/>
        <v/>
      </c>
      <c r="T286" s="61" t="str">
        <f t="shared" si="53"/>
        <v/>
      </c>
      <c r="U286" s="61" t="str">
        <f t="shared" si="54"/>
        <v/>
      </c>
      <c r="V286" s="183" t="str">
        <f t="shared" si="56"/>
        <v/>
      </c>
      <c r="W286" s="183" t="str">
        <f t="shared" si="57"/>
        <v/>
      </c>
      <c r="X286" s="61" t="str">
        <f t="shared" si="58"/>
        <v/>
      </c>
      <c r="Y286" s="61" t="str">
        <f t="shared" si="59"/>
        <v/>
      </c>
      <c r="Z286" s="118" t="str">
        <f t="shared" si="60"/>
        <v/>
      </c>
      <c r="AA286" s="62" t="str">
        <f t="shared" si="61"/>
        <v/>
      </c>
      <c r="AB286" s="119" t="str">
        <f>IF(A286&lt;&gt;"", IF(P286&lt;&gt;0,SUMIFS(node!$J$2:$J$1000, node!$C$2:$C$1000,"="&amp;A286)/P286,0), "")</f>
        <v/>
      </c>
      <c r="AC286" s="81" t="str">
        <f>IF(A286&lt;&gt;"", IF(P286&lt;&gt;0,SUMIFS(node!$K$2:$K$1000, node!$C$2:$C$1000,"="&amp;A286)/P286,0), "")</f>
        <v/>
      </c>
      <c r="AD286" s="82" t="str">
        <f>IF(A286&lt;&gt;"", SUMIFS(node!$L$2:$L$1000, node!$C$2:$C$1000,"="&amp;A286), "")</f>
        <v/>
      </c>
      <c r="AE286" s="87" t="str">
        <f>IF(A286&lt;&gt;"", SUMIFS(node!$M$2:$M$1000, node!$C$2:$C$1000,"="&amp;A286), "")</f>
        <v/>
      </c>
    </row>
    <row r="287" spans="1:31" ht="15.75" customHeight="1" x14ac:dyDescent="0.25">
      <c r="A287" s="71" t="str">
        <f>IF(ISNONTEXT(node_raw[[#This Row],[Column2]]), "", node_raw[[#This Row],[Column2]])</f>
        <v/>
      </c>
      <c r="B287" s="108" t="str">
        <f>IF(A287&lt;&gt;"", VLOOKUP(A287, node!$C$2:$D$1000, 2, FALSE), "")</f>
        <v/>
      </c>
      <c r="C287" s="109" t="str">
        <f>IF(A287&lt;&gt;"", VLOOKUP(A287, node!$C$2:$E$1000, 3, FALSE), "")</f>
        <v/>
      </c>
      <c r="D287" s="110" t="str">
        <f>IF(A287&lt;&gt;"",COUNTIFS(node!$C$2:$C$1000,"="&amp;A287, node!$C$2:$C$1000,"&lt;&gt;"&amp;""),"")</f>
        <v/>
      </c>
      <c r="E287" s="111" t="str">
        <f>IF(A287&lt;&gt;"",SUMIFS(node!$F$2:$F$500, node!$C$2:$C$500,"="&amp;A287, node!$C$2:$C$500,"&lt;&gt;"&amp;"")/(B287*D287),"")</f>
        <v/>
      </c>
      <c r="F287" s="112" t="str">
        <f>IF(A287&lt;&gt;"",SUMIFS(node!$H$2:$H$500, node!$C$2:$C$500,"="&amp;A287, node!$C$2:$C$500,"&lt;&gt;"&amp;"")/(C287*D287),"")</f>
        <v/>
      </c>
      <c r="G287" s="179" t="str">
        <f>IF(A287&lt;&gt;"",SUMIFS(deployment!$F$4:$F$502, deployment!$D$4:$D$502,"="&amp;A287, deployment!$D$4:$D$502,"&lt;&gt;"&amp;""),"")</f>
        <v/>
      </c>
      <c r="H287" s="181" t="str">
        <f>IF(A287&lt;&gt;"",SUMIFS(deployment!$G$4:$G$502, deployment!$D$4:$D$502,"="&amp;A287, deployment!$D$4:$D$502,"&lt;&gt;"&amp;""),"")</f>
        <v/>
      </c>
      <c r="I287" s="113" t="str">
        <f>IF(A287&lt;&gt;"",SUMIFS(deployment!$H$4:$H$502, deployment!$D$4:$D$502,"="&amp;A287, deployment!$D$4:$D$502,"&lt;&gt;"&amp;""),"")</f>
        <v/>
      </c>
      <c r="J287" s="114" t="str">
        <f>IF(A287&lt;&gt;"",SUMIFS(deployment!$I$4:$I$502, deployment!$D$4:$D$502,"="&amp;A287, deployment!$D$4:$D$502,"&lt;&gt;"&amp;""),"")</f>
        <v/>
      </c>
      <c r="K287" s="182" t="str">
        <f>IF(A287&lt;&gt;"",SUMIFS(deployment!$J$4:$J$1002, deployment!$D$4:$D$1002,"="&amp;A287, deployment!$D$4:$D$1002,"&lt;&gt;"&amp;"", deployment!$C$4:$C$1002, "&lt;&gt;* )")+SUMIFS(namespace!$G$4:$G$1002, namespace!$B$4:$B$1002,"="&amp;A287, namespace!$B$4:$B$1002,"&lt;&gt;"&amp;""),"")</f>
        <v/>
      </c>
      <c r="L287" s="182" t="str">
        <f>IF(A287&lt;&gt;"",SUMIFS(deployment!$K$4:$K$1002, deployment!$D$4:$D$1002,"="&amp;A287, deployment!$D$4:$D$1002,"&lt;&gt;"&amp;"", deployment!$C$4:$C$1002, "&lt;&gt;* )")+SUMIFS(namespace!$H$4:$H$1002, namespace!$B$4:$B$1002,"="&amp;A287, namespace!$B$4:$B$1002,"&lt;&gt;"&amp;""),"")</f>
        <v/>
      </c>
      <c r="M287" s="115" t="str">
        <f>IF(A287&lt;&gt;"",SUMIFS(deployment!$L$4:$L$1002, deployment!$D$4:$D$1002,"="&amp;A287, deployment!$D$4:$D$1002,"&lt;&gt;"&amp;"", deployment!$C$4:$C$1002, "&lt;&gt;* )")+SUMIFS(namespace!$I$4:$I$1002, namespace!$B$4:$B$1002,"="&amp;A287, namespace!$B$4:$B$1002,"&lt;&gt;"&amp;""),"")</f>
        <v/>
      </c>
      <c r="N287" s="115" t="str">
        <f>IF(A287&lt;&gt;"",SUMIFS(deployment!$M$4:$M$1002, deployment!$D$4:$D$1002,"="&amp;A287, deployment!$D$4:$D$1002,"&lt;&gt;"&amp;"", deployment!$C$4:$C$1002, "&lt;&gt;* )")+SUMIFS(namespace!$J$4:$J$1002, namespace!$B$4:$B$1002,"="&amp;A287, namespace!$B$4:$B$1002,"&lt;&gt;"&amp;""),"")</f>
        <v/>
      </c>
      <c r="O287" s="116" t="str">
        <f t="shared" si="55"/>
        <v/>
      </c>
      <c r="P287" s="63"/>
      <c r="Q287" s="164" t="str">
        <f t="shared" si="50"/>
        <v/>
      </c>
      <c r="R287" s="60" t="str">
        <f t="shared" si="51"/>
        <v/>
      </c>
      <c r="S287" s="60" t="str">
        <f t="shared" si="52"/>
        <v/>
      </c>
      <c r="T287" s="61" t="str">
        <f t="shared" si="53"/>
        <v/>
      </c>
      <c r="U287" s="61" t="str">
        <f t="shared" si="54"/>
        <v/>
      </c>
      <c r="V287" s="183" t="str">
        <f t="shared" si="56"/>
        <v/>
      </c>
      <c r="W287" s="183" t="str">
        <f t="shared" si="57"/>
        <v/>
      </c>
      <c r="X287" s="61" t="str">
        <f t="shared" si="58"/>
        <v/>
      </c>
      <c r="Y287" s="61" t="str">
        <f t="shared" si="59"/>
        <v/>
      </c>
      <c r="Z287" s="118" t="str">
        <f t="shared" si="60"/>
        <v/>
      </c>
      <c r="AA287" s="62" t="str">
        <f t="shared" si="61"/>
        <v/>
      </c>
      <c r="AB287" s="119" t="str">
        <f>IF(A287&lt;&gt;"", IF(P287&lt;&gt;0,SUMIFS(node!$J$2:$J$1000, node!$C$2:$C$1000,"="&amp;A287)/P287,0), "")</f>
        <v/>
      </c>
      <c r="AC287" s="81" t="str">
        <f>IF(A287&lt;&gt;"", IF(P287&lt;&gt;0,SUMIFS(node!$K$2:$K$1000, node!$C$2:$C$1000,"="&amp;A287)/P287,0), "")</f>
        <v/>
      </c>
      <c r="AD287" s="82" t="str">
        <f>IF(A287&lt;&gt;"", SUMIFS(node!$L$2:$L$1000, node!$C$2:$C$1000,"="&amp;A287), "")</f>
        <v/>
      </c>
      <c r="AE287" s="87" t="str">
        <f>IF(A287&lt;&gt;"", SUMIFS(node!$M$2:$M$1000, node!$C$2:$C$1000,"="&amp;A287), "")</f>
        <v/>
      </c>
    </row>
    <row r="288" spans="1:31" ht="15.75" customHeight="1" x14ac:dyDescent="0.25">
      <c r="A288" s="71" t="str">
        <f>IF(ISNONTEXT(node_raw[[#This Row],[Column2]]), "", node_raw[[#This Row],[Column2]])</f>
        <v/>
      </c>
      <c r="B288" s="108" t="str">
        <f>IF(A288&lt;&gt;"", VLOOKUP(A288, node!$C$2:$D$1000, 2, FALSE), "")</f>
        <v/>
      </c>
      <c r="C288" s="109" t="str">
        <f>IF(A288&lt;&gt;"", VLOOKUP(A288, node!$C$2:$E$1000, 3, FALSE), "")</f>
        <v/>
      </c>
      <c r="D288" s="110" t="str">
        <f>IF(A288&lt;&gt;"",COUNTIFS(node!$C$2:$C$1000,"="&amp;A288, node!$C$2:$C$1000,"&lt;&gt;"&amp;""),"")</f>
        <v/>
      </c>
      <c r="E288" s="111" t="str">
        <f>IF(A288&lt;&gt;"",SUMIFS(node!$F$2:$F$500, node!$C$2:$C$500,"="&amp;A288, node!$C$2:$C$500,"&lt;&gt;"&amp;"")/(B288*D288),"")</f>
        <v/>
      </c>
      <c r="F288" s="112" t="str">
        <f>IF(A288&lt;&gt;"",SUMIFS(node!$H$2:$H$500, node!$C$2:$C$500,"="&amp;A288, node!$C$2:$C$500,"&lt;&gt;"&amp;"")/(C288*D288),"")</f>
        <v/>
      </c>
      <c r="G288" s="179" t="str">
        <f>IF(A288&lt;&gt;"",SUMIFS(deployment!$F$4:$F$502, deployment!$D$4:$D$502,"="&amp;A288, deployment!$D$4:$D$502,"&lt;&gt;"&amp;""),"")</f>
        <v/>
      </c>
      <c r="H288" s="181" t="str">
        <f>IF(A288&lt;&gt;"",SUMIFS(deployment!$G$4:$G$502, deployment!$D$4:$D$502,"="&amp;A288, deployment!$D$4:$D$502,"&lt;&gt;"&amp;""),"")</f>
        <v/>
      </c>
      <c r="I288" s="113" t="str">
        <f>IF(A288&lt;&gt;"",SUMIFS(deployment!$H$4:$H$502, deployment!$D$4:$D$502,"="&amp;A288, deployment!$D$4:$D$502,"&lt;&gt;"&amp;""),"")</f>
        <v/>
      </c>
      <c r="J288" s="114" t="str">
        <f>IF(A288&lt;&gt;"",SUMIFS(deployment!$I$4:$I$502, deployment!$D$4:$D$502,"="&amp;A288, deployment!$D$4:$D$502,"&lt;&gt;"&amp;""),"")</f>
        <v/>
      </c>
      <c r="K288" s="182" t="str">
        <f>IF(A288&lt;&gt;"",SUMIFS(deployment!$J$4:$J$1002, deployment!$D$4:$D$1002,"="&amp;A288, deployment!$D$4:$D$1002,"&lt;&gt;"&amp;"", deployment!$C$4:$C$1002, "&lt;&gt;* )")+SUMIFS(namespace!$G$4:$G$1002, namespace!$B$4:$B$1002,"="&amp;A288, namespace!$B$4:$B$1002,"&lt;&gt;"&amp;""),"")</f>
        <v/>
      </c>
      <c r="L288" s="182" t="str">
        <f>IF(A288&lt;&gt;"",SUMIFS(deployment!$K$4:$K$1002, deployment!$D$4:$D$1002,"="&amp;A288, deployment!$D$4:$D$1002,"&lt;&gt;"&amp;"", deployment!$C$4:$C$1002, "&lt;&gt;* )")+SUMIFS(namespace!$H$4:$H$1002, namespace!$B$4:$B$1002,"="&amp;A288, namespace!$B$4:$B$1002,"&lt;&gt;"&amp;""),"")</f>
        <v/>
      </c>
      <c r="M288" s="115" t="str">
        <f>IF(A288&lt;&gt;"",SUMIFS(deployment!$L$4:$L$1002, deployment!$D$4:$D$1002,"="&amp;A288, deployment!$D$4:$D$1002,"&lt;&gt;"&amp;"", deployment!$C$4:$C$1002, "&lt;&gt;* )")+SUMIFS(namespace!$I$4:$I$1002, namespace!$B$4:$B$1002,"="&amp;A288, namespace!$B$4:$B$1002,"&lt;&gt;"&amp;""),"")</f>
        <v/>
      </c>
      <c r="N288" s="115" t="str">
        <f>IF(A288&lt;&gt;"",SUMIFS(deployment!$M$4:$M$1002, deployment!$D$4:$D$1002,"="&amp;A288, deployment!$D$4:$D$1002,"&lt;&gt;"&amp;"", deployment!$C$4:$C$1002, "&lt;&gt;* )")+SUMIFS(namespace!$J$4:$J$1002, namespace!$B$4:$B$1002,"="&amp;A288, namespace!$B$4:$B$1002,"&lt;&gt;"&amp;""),"")</f>
        <v/>
      </c>
      <c r="O288" s="116" t="str">
        <f t="shared" si="55"/>
        <v/>
      </c>
      <c r="P288" s="63"/>
      <c r="Q288" s="164" t="str">
        <f t="shared" si="50"/>
        <v/>
      </c>
      <c r="R288" s="60" t="str">
        <f t="shared" si="51"/>
        <v/>
      </c>
      <c r="S288" s="60" t="str">
        <f t="shared" si="52"/>
        <v/>
      </c>
      <c r="T288" s="61" t="str">
        <f t="shared" si="53"/>
        <v/>
      </c>
      <c r="U288" s="61" t="str">
        <f t="shared" si="54"/>
        <v/>
      </c>
      <c r="V288" s="183" t="str">
        <f t="shared" si="56"/>
        <v/>
      </c>
      <c r="W288" s="183" t="str">
        <f t="shared" si="57"/>
        <v/>
      </c>
      <c r="X288" s="61" t="str">
        <f t="shared" si="58"/>
        <v/>
      </c>
      <c r="Y288" s="61" t="str">
        <f t="shared" si="59"/>
        <v/>
      </c>
      <c r="Z288" s="118" t="str">
        <f t="shared" si="60"/>
        <v/>
      </c>
      <c r="AA288" s="62" t="str">
        <f t="shared" si="61"/>
        <v/>
      </c>
      <c r="AB288" s="119" t="str">
        <f>IF(A288&lt;&gt;"", IF(P288&lt;&gt;0,SUMIFS(node!$J$2:$J$1000, node!$C$2:$C$1000,"="&amp;A288)/P288,0), "")</f>
        <v/>
      </c>
      <c r="AC288" s="81" t="str">
        <f>IF(A288&lt;&gt;"", IF(P288&lt;&gt;0,SUMIFS(node!$K$2:$K$1000, node!$C$2:$C$1000,"="&amp;A288)/P288,0), "")</f>
        <v/>
      </c>
      <c r="AD288" s="82" t="str">
        <f>IF(A288&lt;&gt;"", SUMIFS(node!$L$2:$L$1000, node!$C$2:$C$1000,"="&amp;A288), "")</f>
        <v/>
      </c>
      <c r="AE288" s="87" t="str">
        <f>IF(A288&lt;&gt;"", SUMIFS(node!$M$2:$M$1000, node!$C$2:$C$1000,"="&amp;A288), "")</f>
        <v/>
      </c>
    </row>
    <row r="289" spans="1:31" ht="15.75" customHeight="1" x14ac:dyDescent="0.25">
      <c r="A289" s="71" t="str">
        <f>IF(ISNONTEXT(node_raw[[#This Row],[Column2]]), "", node_raw[[#This Row],[Column2]])</f>
        <v/>
      </c>
      <c r="B289" s="108" t="str">
        <f>IF(A289&lt;&gt;"", VLOOKUP(A289, node!$C$2:$D$1000, 2, FALSE), "")</f>
        <v/>
      </c>
      <c r="C289" s="109" t="str">
        <f>IF(A289&lt;&gt;"", VLOOKUP(A289, node!$C$2:$E$1000, 3, FALSE), "")</f>
        <v/>
      </c>
      <c r="D289" s="110" t="str">
        <f>IF(A289&lt;&gt;"",COUNTIFS(node!$C$2:$C$1000,"="&amp;A289, node!$C$2:$C$1000,"&lt;&gt;"&amp;""),"")</f>
        <v/>
      </c>
      <c r="E289" s="111" t="str">
        <f>IF(A289&lt;&gt;"",SUMIFS(node!$F$2:$F$500, node!$C$2:$C$500,"="&amp;A289, node!$C$2:$C$500,"&lt;&gt;"&amp;"")/(B289*D289),"")</f>
        <v/>
      </c>
      <c r="F289" s="112" t="str">
        <f>IF(A289&lt;&gt;"",SUMIFS(node!$H$2:$H$500, node!$C$2:$C$500,"="&amp;A289, node!$C$2:$C$500,"&lt;&gt;"&amp;"")/(C289*D289),"")</f>
        <v/>
      </c>
      <c r="G289" s="179" t="str">
        <f>IF(A289&lt;&gt;"",SUMIFS(deployment!$F$4:$F$502, deployment!$D$4:$D$502,"="&amp;A289, deployment!$D$4:$D$502,"&lt;&gt;"&amp;""),"")</f>
        <v/>
      </c>
      <c r="H289" s="181" t="str">
        <f>IF(A289&lt;&gt;"",SUMIFS(deployment!$G$4:$G$502, deployment!$D$4:$D$502,"="&amp;A289, deployment!$D$4:$D$502,"&lt;&gt;"&amp;""),"")</f>
        <v/>
      </c>
      <c r="I289" s="113" t="str">
        <f>IF(A289&lt;&gt;"",SUMIFS(deployment!$H$4:$H$502, deployment!$D$4:$D$502,"="&amp;A289, deployment!$D$4:$D$502,"&lt;&gt;"&amp;""),"")</f>
        <v/>
      </c>
      <c r="J289" s="114" t="str">
        <f>IF(A289&lt;&gt;"",SUMIFS(deployment!$I$4:$I$502, deployment!$D$4:$D$502,"="&amp;A289, deployment!$D$4:$D$502,"&lt;&gt;"&amp;""),"")</f>
        <v/>
      </c>
      <c r="K289" s="182" t="str">
        <f>IF(A289&lt;&gt;"",SUMIFS(deployment!$J$4:$J$1002, deployment!$D$4:$D$1002,"="&amp;A289, deployment!$D$4:$D$1002,"&lt;&gt;"&amp;"", deployment!$C$4:$C$1002, "&lt;&gt;* )")+SUMIFS(namespace!$G$4:$G$1002, namespace!$B$4:$B$1002,"="&amp;A289, namespace!$B$4:$B$1002,"&lt;&gt;"&amp;""),"")</f>
        <v/>
      </c>
      <c r="L289" s="182" t="str">
        <f>IF(A289&lt;&gt;"",SUMIFS(deployment!$K$4:$K$1002, deployment!$D$4:$D$1002,"="&amp;A289, deployment!$D$4:$D$1002,"&lt;&gt;"&amp;"", deployment!$C$4:$C$1002, "&lt;&gt;* )")+SUMIFS(namespace!$H$4:$H$1002, namespace!$B$4:$B$1002,"="&amp;A289, namespace!$B$4:$B$1002,"&lt;&gt;"&amp;""),"")</f>
        <v/>
      </c>
      <c r="M289" s="115" t="str">
        <f>IF(A289&lt;&gt;"",SUMIFS(deployment!$L$4:$L$1002, deployment!$D$4:$D$1002,"="&amp;A289, deployment!$D$4:$D$1002,"&lt;&gt;"&amp;"", deployment!$C$4:$C$1002, "&lt;&gt;* )")+SUMIFS(namespace!$I$4:$I$1002, namespace!$B$4:$B$1002,"="&amp;A289, namespace!$B$4:$B$1002,"&lt;&gt;"&amp;""),"")</f>
        <v/>
      </c>
      <c r="N289" s="115" t="str">
        <f>IF(A289&lt;&gt;"",SUMIFS(deployment!$M$4:$M$1002, deployment!$D$4:$D$1002,"="&amp;A289, deployment!$D$4:$D$1002,"&lt;&gt;"&amp;"", deployment!$C$4:$C$1002, "&lt;&gt;* )")+SUMIFS(namespace!$J$4:$J$1002, namespace!$B$4:$B$1002,"="&amp;A289, namespace!$B$4:$B$1002,"&lt;&gt;"&amp;""),"")</f>
        <v/>
      </c>
      <c r="O289" s="116" t="str">
        <f t="shared" si="55"/>
        <v/>
      </c>
      <c r="P289" s="63"/>
      <c r="Q289" s="164" t="str">
        <f t="shared" si="50"/>
        <v/>
      </c>
      <c r="R289" s="60" t="str">
        <f t="shared" si="51"/>
        <v/>
      </c>
      <c r="S289" s="60" t="str">
        <f t="shared" si="52"/>
        <v/>
      </c>
      <c r="T289" s="61" t="str">
        <f t="shared" si="53"/>
        <v/>
      </c>
      <c r="U289" s="61" t="str">
        <f t="shared" si="54"/>
        <v/>
      </c>
      <c r="V289" s="183" t="str">
        <f t="shared" si="56"/>
        <v/>
      </c>
      <c r="W289" s="183" t="str">
        <f t="shared" si="57"/>
        <v/>
      </c>
      <c r="X289" s="61" t="str">
        <f t="shared" si="58"/>
        <v/>
      </c>
      <c r="Y289" s="61" t="str">
        <f t="shared" si="59"/>
        <v/>
      </c>
      <c r="Z289" s="118" t="str">
        <f t="shared" si="60"/>
        <v/>
      </c>
      <c r="AA289" s="62" t="str">
        <f t="shared" si="61"/>
        <v/>
      </c>
      <c r="AB289" s="119" t="str">
        <f>IF(A289&lt;&gt;"", IF(P289&lt;&gt;0,SUMIFS(node!$J$2:$J$1000, node!$C$2:$C$1000,"="&amp;A289)/P289,0), "")</f>
        <v/>
      </c>
      <c r="AC289" s="81" t="str">
        <f>IF(A289&lt;&gt;"", IF(P289&lt;&gt;0,SUMIFS(node!$K$2:$K$1000, node!$C$2:$C$1000,"="&amp;A289)/P289,0), "")</f>
        <v/>
      </c>
      <c r="AD289" s="82" t="str">
        <f>IF(A289&lt;&gt;"", SUMIFS(node!$L$2:$L$1000, node!$C$2:$C$1000,"="&amp;A289), "")</f>
        <v/>
      </c>
      <c r="AE289" s="87" t="str">
        <f>IF(A289&lt;&gt;"", SUMIFS(node!$M$2:$M$1000, node!$C$2:$C$1000,"="&amp;A289), "")</f>
        <v/>
      </c>
    </row>
    <row r="290" spans="1:31" ht="15.75" customHeight="1" x14ac:dyDescent="0.25">
      <c r="A290" s="71" t="str">
        <f>IF(ISNONTEXT(node_raw[[#This Row],[Column2]]), "", node_raw[[#This Row],[Column2]])</f>
        <v/>
      </c>
      <c r="B290" s="108" t="str">
        <f>IF(A290&lt;&gt;"", VLOOKUP(A290, node!$C$2:$D$1000, 2, FALSE), "")</f>
        <v/>
      </c>
      <c r="C290" s="109" t="str">
        <f>IF(A290&lt;&gt;"", VLOOKUP(A290, node!$C$2:$E$1000, 3, FALSE), "")</f>
        <v/>
      </c>
      <c r="D290" s="110" t="str">
        <f>IF(A290&lt;&gt;"",COUNTIFS(node!$C$2:$C$1000,"="&amp;A290, node!$C$2:$C$1000,"&lt;&gt;"&amp;""),"")</f>
        <v/>
      </c>
      <c r="E290" s="111" t="str">
        <f>IF(A290&lt;&gt;"",SUMIFS(node!$F$2:$F$500, node!$C$2:$C$500,"="&amp;A290, node!$C$2:$C$500,"&lt;&gt;"&amp;"")/(B290*D290),"")</f>
        <v/>
      </c>
      <c r="F290" s="112" t="str">
        <f>IF(A290&lt;&gt;"",SUMIFS(node!$H$2:$H$500, node!$C$2:$C$500,"="&amp;A290, node!$C$2:$C$500,"&lt;&gt;"&amp;"")/(C290*D290),"")</f>
        <v/>
      </c>
      <c r="G290" s="179" t="str">
        <f>IF(A290&lt;&gt;"",SUMIFS(deployment!$F$4:$F$502, deployment!$D$4:$D$502,"="&amp;A290, deployment!$D$4:$D$502,"&lt;&gt;"&amp;""),"")</f>
        <v/>
      </c>
      <c r="H290" s="181" t="str">
        <f>IF(A290&lt;&gt;"",SUMIFS(deployment!$G$4:$G$502, deployment!$D$4:$D$502,"="&amp;A290, deployment!$D$4:$D$502,"&lt;&gt;"&amp;""),"")</f>
        <v/>
      </c>
      <c r="I290" s="113" t="str">
        <f>IF(A290&lt;&gt;"",SUMIFS(deployment!$H$4:$H$502, deployment!$D$4:$D$502,"="&amp;A290, deployment!$D$4:$D$502,"&lt;&gt;"&amp;""),"")</f>
        <v/>
      </c>
      <c r="J290" s="114" t="str">
        <f>IF(A290&lt;&gt;"",SUMIFS(deployment!$I$4:$I$502, deployment!$D$4:$D$502,"="&amp;A290, deployment!$D$4:$D$502,"&lt;&gt;"&amp;""),"")</f>
        <v/>
      </c>
      <c r="K290" s="182" t="str">
        <f>IF(A290&lt;&gt;"",SUMIFS(deployment!$J$4:$J$1002, deployment!$D$4:$D$1002,"="&amp;A290, deployment!$D$4:$D$1002,"&lt;&gt;"&amp;"", deployment!$C$4:$C$1002, "&lt;&gt;* )")+SUMIFS(namespace!$G$4:$G$1002, namespace!$B$4:$B$1002,"="&amp;A290, namespace!$B$4:$B$1002,"&lt;&gt;"&amp;""),"")</f>
        <v/>
      </c>
      <c r="L290" s="182" t="str">
        <f>IF(A290&lt;&gt;"",SUMIFS(deployment!$K$4:$K$1002, deployment!$D$4:$D$1002,"="&amp;A290, deployment!$D$4:$D$1002,"&lt;&gt;"&amp;"", deployment!$C$4:$C$1002, "&lt;&gt;* )")+SUMIFS(namespace!$H$4:$H$1002, namespace!$B$4:$B$1002,"="&amp;A290, namespace!$B$4:$B$1002,"&lt;&gt;"&amp;""),"")</f>
        <v/>
      </c>
      <c r="M290" s="115" t="str">
        <f>IF(A290&lt;&gt;"",SUMIFS(deployment!$L$4:$L$1002, deployment!$D$4:$D$1002,"="&amp;A290, deployment!$D$4:$D$1002,"&lt;&gt;"&amp;"", deployment!$C$4:$C$1002, "&lt;&gt;* )")+SUMIFS(namespace!$I$4:$I$1002, namespace!$B$4:$B$1002,"="&amp;A290, namespace!$B$4:$B$1002,"&lt;&gt;"&amp;""),"")</f>
        <v/>
      </c>
      <c r="N290" s="115" t="str">
        <f>IF(A290&lt;&gt;"",SUMIFS(deployment!$M$4:$M$1002, deployment!$D$4:$D$1002,"="&amp;A290, deployment!$D$4:$D$1002,"&lt;&gt;"&amp;"", deployment!$C$4:$C$1002, "&lt;&gt;* )")+SUMIFS(namespace!$J$4:$J$1002, namespace!$B$4:$B$1002,"="&amp;A290, namespace!$B$4:$B$1002,"&lt;&gt;"&amp;""),"")</f>
        <v/>
      </c>
      <c r="O290" s="116" t="str">
        <f t="shared" si="55"/>
        <v/>
      </c>
      <c r="P290" s="63"/>
      <c r="Q290" s="164" t="str">
        <f t="shared" si="50"/>
        <v/>
      </c>
      <c r="R290" s="60" t="str">
        <f t="shared" si="51"/>
        <v/>
      </c>
      <c r="S290" s="60" t="str">
        <f t="shared" si="52"/>
        <v/>
      </c>
      <c r="T290" s="61" t="str">
        <f t="shared" si="53"/>
        <v/>
      </c>
      <c r="U290" s="61" t="str">
        <f t="shared" si="54"/>
        <v/>
      </c>
      <c r="V290" s="183" t="str">
        <f t="shared" si="56"/>
        <v/>
      </c>
      <c r="W290" s="183" t="str">
        <f t="shared" si="57"/>
        <v/>
      </c>
      <c r="X290" s="61" t="str">
        <f t="shared" si="58"/>
        <v/>
      </c>
      <c r="Y290" s="61" t="str">
        <f t="shared" si="59"/>
        <v/>
      </c>
      <c r="Z290" s="118" t="str">
        <f t="shared" si="60"/>
        <v/>
      </c>
      <c r="AA290" s="62" t="str">
        <f t="shared" si="61"/>
        <v/>
      </c>
      <c r="AB290" s="119" t="str">
        <f>IF(A290&lt;&gt;"", IF(P290&lt;&gt;0,SUMIFS(node!$J$2:$J$1000, node!$C$2:$C$1000,"="&amp;A290)/P290,0), "")</f>
        <v/>
      </c>
      <c r="AC290" s="81" t="str">
        <f>IF(A290&lt;&gt;"", IF(P290&lt;&gt;0,SUMIFS(node!$K$2:$K$1000, node!$C$2:$C$1000,"="&amp;A290)/P290,0), "")</f>
        <v/>
      </c>
      <c r="AD290" s="82" t="str">
        <f>IF(A290&lt;&gt;"", SUMIFS(node!$L$2:$L$1000, node!$C$2:$C$1000,"="&amp;A290), "")</f>
        <v/>
      </c>
      <c r="AE290" s="87" t="str">
        <f>IF(A290&lt;&gt;"", SUMIFS(node!$M$2:$M$1000, node!$C$2:$C$1000,"="&amp;A290), "")</f>
        <v/>
      </c>
    </row>
    <row r="291" spans="1:31" ht="15.75" customHeight="1" x14ac:dyDescent="0.25">
      <c r="A291" s="71" t="str">
        <f>IF(ISNONTEXT(node_raw[[#This Row],[Column2]]), "", node_raw[[#This Row],[Column2]])</f>
        <v/>
      </c>
      <c r="B291" s="108" t="str">
        <f>IF(A291&lt;&gt;"", VLOOKUP(A291, node!$C$2:$D$1000, 2, FALSE), "")</f>
        <v/>
      </c>
      <c r="C291" s="109" t="str">
        <f>IF(A291&lt;&gt;"", VLOOKUP(A291, node!$C$2:$E$1000, 3, FALSE), "")</f>
        <v/>
      </c>
      <c r="D291" s="110" t="str">
        <f>IF(A291&lt;&gt;"",COUNTIFS(node!$C$2:$C$1000,"="&amp;A291, node!$C$2:$C$1000,"&lt;&gt;"&amp;""),"")</f>
        <v/>
      </c>
      <c r="E291" s="111" t="str">
        <f>IF(A291&lt;&gt;"",SUMIFS(node!$F$2:$F$500, node!$C$2:$C$500,"="&amp;A291, node!$C$2:$C$500,"&lt;&gt;"&amp;"")/(B291*D291),"")</f>
        <v/>
      </c>
      <c r="F291" s="112" t="str">
        <f>IF(A291&lt;&gt;"",SUMIFS(node!$H$2:$H$500, node!$C$2:$C$500,"="&amp;A291, node!$C$2:$C$500,"&lt;&gt;"&amp;"")/(C291*D291),"")</f>
        <v/>
      </c>
      <c r="G291" s="179" t="str">
        <f>IF(A291&lt;&gt;"",SUMIFS(deployment!$F$4:$F$502, deployment!$D$4:$D$502,"="&amp;A291, deployment!$D$4:$D$502,"&lt;&gt;"&amp;""),"")</f>
        <v/>
      </c>
      <c r="H291" s="181" t="str">
        <f>IF(A291&lt;&gt;"",SUMIFS(deployment!$G$4:$G$502, deployment!$D$4:$D$502,"="&amp;A291, deployment!$D$4:$D$502,"&lt;&gt;"&amp;""),"")</f>
        <v/>
      </c>
      <c r="I291" s="113" t="str">
        <f>IF(A291&lt;&gt;"",SUMIFS(deployment!$H$4:$H$502, deployment!$D$4:$D$502,"="&amp;A291, deployment!$D$4:$D$502,"&lt;&gt;"&amp;""),"")</f>
        <v/>
      </c>
      <c r="J291" s="114" t="str">
        <f>IF(A291&lt;&gt;"",SUMIFS(deployment!$I$4:$I$502, deployment!$D$4:$D$502,"="&amp;A291, deployment!$D$4:$D$502,"&lt;&gt;"&amp;""),"")</f>
        <v/>
      </c>
      <c r="K291" s="182" t="str">
        <f>IF(A291&lt;&gt;"",SUMIFS(deployment!$J$4:$J$1002, deployment!$D$4:$D$1002,"="&amp;A291, deployment!$D$4:$D$1002,"&lt;&gt;"&amp;"", deployment!$C$4:$C$1002, "&lt;&gt;* )")+SUMIFS(namespace!$G$4:$G$1002, namespace!$B$4:$B$1002,"="&amp;A291, namespace!$B$4:$B$1002,"&lt;&gt;"&amp;""),"")</f>
        <v/>
      </c>
      <c r="L291" s="182" t="str">
        <f>IF(A291&lt;&gt;"",SUMIFS(deployment!$K$4:$K$1002, deployment!$D$4:$D$1002,"="&amp;A291, deployment!$D$4:$D$1002,"&lt;&gt;"&amp;"", deployment!$C$4:$C$1002, "&lt;&gt;* )")+SUMIFS(namespace!$H$4:$H$1002, namespace!$B$4:$B$1002,"="&amp;A291, namespace!$B$4:$B$1002,"&lt;&gt;"&amp;""),"")</f>
        <v/>
      </c>
      <c r="M291" s="115" t="str">
        <f>IF(A291&lt;&gt;"",SUMIFS(deployment!$L$4:$L$1002, deployment!$D$4:$D$1002,"="&amp;A291, deployment!$D$4:$D$1002,"&lt;&gt;"&amp;"", deployment!$C$4:$C$1002, "&lt;&gt;* )")+SUMIFS(namespace!$I$4:$I$1002, namespace!$B$4:$B$1002,"="&amp;A291, namespace!$B$4:$B$1002,"&lt;&gt;"&amp;""),"")</f>
        <v/>
      </c>
      <c r="N291" s="115" t="str">
        <f>IF(A291&lt;&gt;"",SUMIFS(deployment!$M$4:$M$1002, deployment!$D$4:$D$1002,"="&amp;A291, deployment!$D$4:$D$1002,"&lt;&gt;"&amp;"", deployment!$C$4:$C$1002, "&lt;&gt;* )")+SUMIFS(namespace!$J$4:$J$1002, namespace!$B$4:$B$1002,"="&amp;A291, namespace!$B$4:$B$1002,"&lt;&gt;"&amp;""),"")</f>
        <v/>
      </c>
      <c r="O291" s="116" t="str">
        <f t="shared" si="55"/>
        <v/>
      </c>
      <c r="P291" s="63"/>
      <c r="Q291" s="164" t="str">
        <f t="shared" si="50"/>
        <v/>
      </c>
      <c r="R291" s="60" t="str">
        <f t="shared" si="51"/>
        <v/>
      </c>
      <c r="S291" s="60" t="str">
        <f t="shared" si="52"/>
        <v/>
      </c>
      <c r="T291" s="61" t="str">
        <f t="shared" si="53"/>
        <v/>
      </c>
      <c r="U291" s="61" t="str">
        <f t="shared" si="54"/>
        <v/>
      </c>
      <c r="V291" s="183" t="str">
        <f t="shared" si="56"/>
        <v/>
      </c>
      <c r="W291" s="183" t="str">
        <f t="shared" si="57"/>
        <v/>
      </c>
      <c r="X291" s="61" t="str">
        <f t="shared" si="58"/>
        <v/>
      </c>
      <c r="Y291" s="61" t="str">
        <f t="shared" si="59"/>
        <v/>
      </c>
      <c r="Z291" s="118" t="str">
        <f t="shared" si="60"/>
        <v/>
      </c>
      <c r="AA291" s="62" t="str">
        <f t="shared" si="61"/>
        <v/>
      </c>
      <c r="AB291" s="119" t="str">
        <f>IF(A291&lt;&gt;"", IF(P291&lt;&gt;0,SUMIFS(node!$J$2:$J$1000, node!$C$2:$C$1000,"="&amp;A291)/P291,0), "")</f>
        <v/>
      </c>
      <c r="AC291" s="81" t="str">
        <f>IF(A291&lt;&gt;"", IF(P291&lt;&gt;0,SUMIFS(node!$K$2:$K$1000, node!$C$2:$C$1000,"="&amp;A291)/P291,0), "")</f>
        <v/>
      </c>
      <c r="AD291" s="82" t="str">
        <f>IF(A291&lt;&gt;"", SUMIFS(node!$L$2:$L$1000, node!$C$2:$C$1000,"="&amp;A291), "")</f>
        <v/>
      </c>
      <c r="AE291" s="87" t="str">
        <f>IF(A291&lt;&gt;"", SUMIFS(node!$M$2:$M$1000, node!$C$2:$C$1000,"="&amp;A291), "")</f>
        <v/>
      </c>
    </row>
    <row r="292" spans="1:31" ht="15.75" customHeight="1" x14ac:dyDescent="0.25">
      <c r="A292" s="71" t="str">
        <f>IF(ISNONTEXT(node_raw[[#This Row],[Column2]]), "", node_raw[[#This Row],[Column2]])</f>
        <v/>
      </c>
      <c r="B292" s="108" t="str">
        <f>IF(A292&lt;&gt;"", VLOOKUP(A292, node!$C$2:$D$1000, 2, FALSE), "")</f>
        <v/>
      </c>
      <c r="C292" s="109" t="str">
        <f>IF(A292&lt;&gt;"", VLOOKUP(A292, node!$C$2:$E$1000, 3, FALSE), "")</f>
        <v/>
      </c>
      <c r="D292" s="110" t="str">
        <f>IF(A292&lt;&gt;"",COUNTIFS(node!$C$2:$C$1000,"="&amp;A292, node!$C$2:$C$1000,"&lt;&gt;"&amp;""),"")</f>
        <v/>
      </c>
      <c r="E292" s="111" t="str">
        <f>IF(A292&lt;&gt;"",SUMIFS(node!$F$2:$F$500, node!$C$2:$C$500,"="&amp;A292, node!$C$2:$C$500,"&lt;&gt;"&amp;"")/(B292*D292),"")</f>
        <v/>
      </c>
      <c r="F292" s="112" t="str">
        <f>IF(A292&lt;&gt;"",SUMIFS(node!$H$2:$H$500, node!$C$2:$C$500,"="&amp;A292, node!$C$2:$C$500,"&lt;&gt;"&amp;"")/(C292*D292),"")</f>
        <v/>
      </c>
      <c r="G292" s="179" t="str">
        <f>IF(A292&lt;&gt;"",SUMIFS(deployment!$F$4:$F$502, deployment!$D$4:$D$502,"="&amp;A292, deployment!$D$4:$D$502,"&lt;&gt;"&amp;""),"")</f>
        <v/>
      </c>
      <c r="H292" s="181" t="str">
        <f>IF(A292&lt;&gt;"",SUMIFS(deployment!$G$4:$G$502, deployment!$D$4:$D$502,"="&amp;A292, deployment!$D$4:$D$502,"&lt;&gt;"&amp;""),"")</f>
        <v/>
      </c>
      <c r="I292" s="113" t="str">
        <f>IF(A292&lt;&gt;"",SUMIFS(deployment!$H$4:$H$502, deployment!$D$4:$D$502,"="&amp;A292, deployment!$D$4:$D$502,"&lt;&gt;"&amp;""),"")</f>
        <v/>
      </c>
      <c r="J292" s="114" t="str">
        <f>IF(A292&lt;&gt;"",SUMIFS(deployment!$I$4:$I$502, deployment!$D$4:$D$502,"="&amp;A292, deployment!$D$4:$D$502,"&lt;&gt;"&amp;""),"")</f>
        <v/>
      </c>
      <c r="K292" s="182" t="str">
        <f>IF(A292&lt;&gt;"",SUMIFS(deployment!$J$4:$J$1002, deployment!$D$4:$D$1002,"="&amp;A292, deployment!$D$4:$D$1002,"&lt;&gt;"&amp;"", deployment!$C$4:$C$1002, "&lt;&gt;* )")+SUMIFS(namespace!$G$4:$G$1002, namespace!$B$4:$B$1002,"="&amp;A292, namespace!$B$4:$B$1002,"&lt;&gt;"&amp;""),"")</f>
        <v/>
      </c>
      <c r="L292" s="182" t="str">
        <f>IF(A292&lt;&gt;"",SUMIFS(deployment!$K$4:$K$1002, deployment!$D$4:$D$1002,"="&amp;A292, deployment!$D$4:$D$1002,"&lt;&gt;"&amp;"", deployment!$C$4:$C$1002, "&lt;&gt;* )")+SUMIFS(namespace!$H$4:$H$1002, namespace!$B$4:$B$1002,"="&amp;A292, namespace!$B$4:$B$1002,"&lt;&gt;"&amp;""),"")</f>
        <v/>
      </c>
      <c r="M292" s="115" t="str">
        <f>IF(A292&lt;&gt;"",SUMIFS(deployment!$L$4:$L$1002, deployment!$D$4:$D$1002,"="&amp;A292, deployment!$D$4:$D$1002,"&lt;&gt;"&amp;"", deployment!$C$4:$C$1002, "&lt;&gt;* )")+SUMIFS(namespace!$I$4:$I$1002, namespace!$B$4:$B$1002,"="&amp;A292, namespace!$B$4:$B$1002,"&lt;&gt;"&amp;""),"")</f>
        <v/>
      </c>
      <c r="N292" s="115" t="str">
        <f>IF(A292&lt;&gt;"",SUMIFS(deployment!$M$4:$M$1002, deployment!$D$4:$D$1002,"="&amp;A292, deployment!$D$4:$D$1002,"&lt;&gt;"&amp;"", deployment!$C$4:$C$1002, "&lt;&gt;* )")+SUMIFS(namespace!$J$4:$J$1002, namespace!$B$4:$B$1002,"="&amp;A292, namespace!$B$4:$B$1002,"&lt;&gt;"&amp;""),"")</f>
        <v/>
      </c>
      <c r="O292" s="116" t="str">
        <f t="shared" si="55"/>
        <v/>
      </c>
      <c r="P292" s="63"/>
      <c r="Q292" s="164" t="str">
        <f t="shared" si="50"/>
        <v/>
      </c>
      <c r="R292" s="60" t="str">
        <f t="shared" si="51"/>
        <v/>
      </c>
      <c r="S292" s="60" t="str">
        <f t="shared" si="52"/>
        <v/>
      </c>
      <c r="T292" s="61" t="str">
        <f t="shared" si="53"/>
        <v/>
      </c>
      <c r="U292" s="61" t="str">
        <f t="shared" si="54"/>
        <v/>
      </c>
      <c r="V292" s="183" t="str">
        <f t="shared" si="56"/>
        <v/>
      </c>
      <c r="W292" s="183" t="str">
        <f t="shared" si="57"/>
        <v/>
      </c>
      <c r="X292" s="61" t="str">
        <f t="shared" si="58"/>
        <v/>
      </c>
      <c r="Y292" s="61" t="str">
        <f t="shared" si="59"/>
        <v/>
      </c>
      <c r="Z292" s="118" t="str">
        <f t="shared" si="60"/>
        <v/>
      </c>
      <c r="AA292" s="62" t="str">
        <f t="shared" si="61"/>
        <v/>
      </c>
      <c r="AB292" s="119" t="str">
        <f>IF(A292&lt;&gt;"", IF(P292&lt;&gt;0,SUMIFS(node!$J$2:$J$1000, node!$C$2:$C$1000,"="&amp;A292)/P292,0), "")</f>
        <v/>
      </c>
      <c r="AC292" s="81" t="str">
        <f>IF(A292&lt;&gt;"", IF(P292&lt;&gt;0,SUMIFS(node!$K$2:$K$1000, node!$C$2:$C$1000,"="&amp;A292)/P292,0), "")</f>
        <v/>
      </c>
      <c r="AD292" s="82" t="str">
        <f>IF(A292&lt;&gt;"", SUMIFS(node!$L$2:$L$1000, node!$C$2:$C$1000,"="&amp;A292), "")</f>
        <v/>
      </c>
      <c r="AE292" s="87" t="str">
        <f>IF(A292&lt;&gt;"", SUMIFS(node!$M$2:$M$1000, node!$C$2:$C$1000,"="&amp;A292), "")</f>
        <v/>
      </c>
    </row>
    <row r="293" spans="1:31" ht="15.75" customHeight="1" x14ac:dyDescent="0.25">
      <c r="A293" s="71" t="str">
        <f>IF(ISNONTEXT(node_raw[[#This Row],[Column2]]), "", node_raw[[#This Row],[Column2]])</f>
        <v/>
      </c>
      <c r="B293" s="108" t="str">
        <f>IF(A293&lt;&gt;"", VLOOKUP(A293, node!$C$2:$D$1000, 2, FALSE), "")</f>
        <v/>
      </c>
      <c r="C293" s="109" t="str">
        <f>IF(A293&lt;&gt;"", VLOOKUP(A293, node!$C$2:$E$1000, 3, FALSE), "")</f>
        <v/>
      </c>
      <c r="D293" s="110" t="str">
        <f>IF(A293&lt;&gt;"",COUNTIFS(node!$C$2:$C$1000,"="&amp;A293, node!$C$2:$C$1000,"&lt;&gt;"&amp;""),"")</f>
        <v/>
      </c>
      <c r="E293" s="111" t="str">
        <f>IF(A293&lt;&gt;"",SUMIFS(node!$F$2:$F$500, node!$C$2:$C$500,"="&amp;A293, node!$C$2:$C$500,"&lt;&gt;"&amp;"")/(B293*D293),"")</f>
        <v/>
      </c>
      <c r="F293" s="112" t="str">
        <f>IF(A293&lt;&gt;"",SUMIFS(node!$H$2:$H$500, node!$C$2:$C$500,"="&amp;A293, node!$C$2:$C$500,"&lt;&gt;"&amp;"")/(C293*D293),"")</f>
        <v/>
      </c>
      <c r="G293" s="179" t="str">
        <f>IF(A293&lt;&gt;"",SUMIFS(deployment!$F$4:$F$502, deployment!$D$4:$D$502,"="&amp;A293, deployment!$D$4:$D$502,"&lt;&gt;"&amp;""),"")</f>
        <v/>
      </c>
      <c r="H293" s="181" t="str">
        <f>IF(A293&lt;&gt;"",SUMIFS(deployment!$G$4:$G$502, deployment!$D$4:$D$502,"="&amp;A293, deployment!$D$4:$D$502,"&lt;&gt;"&amp;""),"")</f>
        <v/>
      </c>
      <c r="I293" s="113" t="str">
        <f>IF(A293&lt;&gt;"",SUMIFS(deployment!$H$4:$H$502, deployment!$D$4:$D$502,"="&amp;A293, deployment!$D$4:$D$502,"&lt;&gt;"&amp;""),"")</f>
        <v/>
      </c>
      <c r="J293" s="114" t="str">
        <f>IF(A293&lt;&gt;"",SUMIFS(deployment!$I$4:$I$502, deployment!$D$4:$D$502,"="&amp;A293, deployment!$D$4:$D$502,"&lt;&gt;"&amp;""),"")</f>
        <v/>
      </c>
      <c r="K293" s="182" t="str">
        <f>IF(A293&lt;&gt;"",SUMIFS(deployment!$J$4:$J$1002, deployment!$D$4:$D$1002,"="&amp;A293, deployment!$D$4:$D$1002,"&lt;&gt;"&amp;"", deployment!$C$4:$C$1002, "&lt;&gt;* )")+SUMIFS(namespace!$G$4:$G$1002, namespace!$B$4:$B$1002,"="&amp;A293, namespace!$B$4:$B$1002,"&lt;&gt;"&amp;""),"")</f>
        <v/>
      </c>
      <c r="L293" s="182" t="str">
        <f>IF(A293&lt;&gt;"",SUMIFS(deployment!$K$4:$K$1002, deployment!$D$4:$D$1002,"="&amp;A293, deployment!$D$4:$D$1002,"&lt;&gt;"&amp;"", deployment!$C$4:$C$1002, "&lt;&gt;* )")+SUMIFS(namespace!$H$4:$H$1002, namespace!$B$4:$B$1002,"="&amp;A293, namespace!$B$4:$B$1002,"&lt;&gt;"&amp;""),"")</f>
        <v/>
      </c>
      <c r="M293" s="115" t="str">
        <f>IF(A293&lt;&gt;"",SUMIFS(deployment!$L$4:$L$1002, deployment!$D$4:$D$1002,"="&amp;A293, deployment!$D$4:$D$1002,"&lt;&gt;"&amp;"", deployment!$C$4:$C$1002, "&lt;&gt;* )")+SUMIFS(namespace!$I$4:$I$1002, namespace!$B$4:$B$1002,"="&amp;A293, namespace!$B$4:$B$1002,"&lt;&gt;"&amp;""),"")</f>
        <v/>
      </c>
      <c r="N293" s="115" t="str">
        <f>IF(A293&lt;&gt;"",SUMIFS(deployment!$M$4:$M$1002, deployment!$D$4:$D$1002,"="&amp;A293, deployment!$D$4:$D$1002,"&lt;&gt;"&amp;"", deployment!$C$4:$C$1002, "&lt;&gt;* )")+SUMIFS(namespace!$J$4:$J$1002, namespace!$B$4:$B$1002,"="&amp;A293, namespace!$B$4:$B$1002,"&lt;&gt;"&amp;""),"")</f>
        <v/>
      </c>
      <c r="O293" s="116" t="str">
        <f t="shared" si="55"/>
        <v/>
      </c>
      <c r="P293" s="63"/>
      <c r="Q293" s="164" t="str">
        <f t="shared" si="50"/>
        <v/>
      </c>
      <c r="R293" s="60" t="str">
        <f t="shared" si="51"/>
        <v/>
      </c>
      <c r="S293" s="60" t="str">
        <f t="shared" si="52"/>
        <v/>
      </c>
      <c r="T293" s="61" t="str">
        <f t="shared" si="53"/>
        <v/>
      </c>
      <c r="U293" s="61" t="str">
        <f t="shared" si="54"/>
        <v/>
      </c>
      <c r="V293" s="183" t="str">
        <f t="shared" si="56"/>
        <v/>
      </c>
      <c r="W293" s="183" t="str">
        <f t="shared" si="57"/>
        <v/>
      </c>
      <c r="X293" s="61" t="str">
        <f t="shared" si="58"/>
        <v/>
      </c>
      <c r="Y293" s="61" t="str">
        <f t="shared" si="59"/>
        <v/>
      </c>
      <c r="Z293" s="118" t="str">
        <f t="shared" si="60"/>
        <v/>
      </c>
      <c r="AA293" s="62" t="str">
        <f t="shared" si="61"/>
        <v/>
      </c>
      <c r="AB293" s="119" t="str">
        <f>IF(A293&lt;&gt;"", IF(P293&lt;&gt;0,SUMIFS(node!$J$2:$J$1000, node!$C$2:$C$1000,"="&amp;A293)/P293,0), "")</f>
        <v/>
      </c>
      <c r="AC293" s="81" t="str">
        <f>IF(A293&lt;&gt;"", IF(P293&lt;&gt;0,SUMIFS(node!$K$2:$K$1000, node!$C$2:$C$1000,"="&amp;A293)/P293,0), "")</f>
        <v/>
      </c>
      <c r="AD293" s="82" t="str">
        <f>IF(A293&lt;&gt;"", SUMIFS(node!$L$2:$L$1000, node!$C$2:$C$1000,"="&amp;A293), "")</f>
        <v/>
      </c>
      <c r="AE293" s="87" t="str">
        <f>IF(A293&lt;&gt;"", SUMIFS(node!$M$2:$M$1000, node!$C$2:$C$1000,"="&amp;A293), "")</f>
        <v/>
      </c>
    </row>
    <row r="294" spans="1:31" ht="15.75" customHeight="1" x14ac:dyDescent="0.25">
      <c r="A294" s="71" t="str">
        <f>IF(ISNONTEXT(node_raw[[#This Row],[Column2]]), "", node_raw[[#This Row],[Column2]])</f>
        <v/>
      </c>
      <c r="B294" s="108" t="str">
        <f>IF(A294&lt;&gt;"", VLOOKUP(A294, node!$C$2:$D$1000, 2, FALSE), "")</f>
        <v/>
      </c>
      <c r="C294" s="109" t="str">
        <f>IF(A294&lt;&gt;"", VLOOKUP(A294, node!$C$2:$E$1000, 3, FALSE), "")</f>
        <v/>
      </c>
      <c r="D294" s="110" t="str">
        <f>IF(A294&lt;&gt;"",COUNTIFS(node!$C$2:$C$1000,"="&amp;A294, node!$C$2:$C$1000,"&lt;&gt;"&amp;""),"")</f>
        <v/>
      </c>
      <c r="E294" s="111" t="str">
        <f>IF(A294&lt;&gt;"",SUMIFS(node!$F$2:$F$500, node!$C$2:$C$500,"="&amp;A294, node!$C$2:$C$500,"&lt;&gt;"&amp;"")/(B294*D294),"")</f>
        <v/>
      </c>
      <c r="F294" s="112" t="str">
        <f>IF(A294&lt;&gt;"",SUMIFS(node!$H$2:$H$500, node!$C$2:$C$500,"="&amp;A294, node!$C$2:$C$500,"&lt;&gt;"&amp;"")/(C294*D294),"")</f>
        <v/>
      </c>
      <c r="G294" s="179" t="str">
        <f>IF(A294&lt;&gt;"",SUMIFS(deployment!$F$4:$F$502, deployment!$D$4:$D$502,"="&amp;A294, deployment!$D$4:$D$502,"&lt;&gt;"&amp;""),"")</f>
        <v/>
      </c>
      <c r="H294" s="181" t="str">
        <f>IF(A294&lt;&gt;"",SUMIFS(deployment!$G$4:$G$502, deployment!$D$4:$D$502,"="&amp;A294, deployment!$D$4:$D$502,"&lt;&gt;"&amp;""),"")</f>
        <v/>
      </c>
      <c r="I294" s="113" t="str">
        <f>IF(A294&lt;&gt;"",SUMIFS(deployment!$H$4:$H$502, deployment!$D$4:$D$502,"="&amp;A294, deployment!$D$4:$D$502,"&lt;&gt;"&amp;""),"")</f>
        <v/>
      </c>
      <c r="J294" s="114" t="str">
        <f>IF(A294&lt;&gt;"",SUMIFS(deployment!$I$4:$I$502, deployment!$D$4:$D$502,"="&amp;A294, deployment!$D$4:$D$502,"&lt;&gt;"&amp;""),"")</f>
        <v/>
      </c>
      <c r="K294" s="182" t="str">
        <f>IF(A294&lt;&gt;"",SUMIFS(deployment!$J$4:$J$1002, deployment!$D$4:$D$1002,"="&amp;A294, deployment!$D$4:$D$1002,"&lt;&gt;"&amp;"", deployment!$C$4:$C$1002, "&lt;&gt;* )")+SUMIFS(namespace!$G$4:$G$1002, namespace!$B$4:$B$1002,"="&amp;A294, namespace!$B$4:$B$1002,"&lt;&gt;"&amp;""),"")</f>
        <v/>
      </c>
      <c r="L294" s="182" t="str">
        <f>IF(A294&lt;&gt;"",SUMIFS(deployment!$K$4:$K$1002, deployment!$D$4:$D$1002,"="&amp;A294, deployment!$D$4:$D$1002,"&lt;&gt;"&amp;"", deployment!$C$4:$C$1002, "&lt;&gt;* )")+SUMIFS(namespace!$H$4:$H$1002, namespace!$B$4:$B$1002,"="&amp;A294, namespace!$B$4:$B$1002,"&lt;&gt;"&amp;""),"")</f>
        <v/>
      </c>
      <c r="M294" s="115" t="str">
        <f>IF(A294&lt;&gt;"",SUMIFS(deployment!$L$4:$L$1002, deployment!$D$4:$D$1002,"="&amp;A294, deployment!$D$4:$D$1002,"&lt;&gt;"&amp;"", deployment!$C$4:$C$1002, "&lt;&gt;* )")+SUMIFS(namespace!$I$4:$I$1002, namespace!$B$4:$B$1002,"="&amp;A294, namespace!$B$4:$B$1002,"&lt;&gt;"&amp;""),"")</f>
        <v/>
      </c>
      <c r="N294" s="115" t="str">
        <f>IF(A294&lt;&gt;"",SUMIFS(deployment!$M$4:$M$1002, deployment!$D$4:$D$1002,"="&amp;A294, deployment!$D$4:$D$1002,"&lt;&gt;"&amp;"", deployment!$C$4:$C$1002, "&lt;&gt;* )")+SUMIFS(namespace!$J$4:$J$1002, namespace!$B$4:$B$1002,"="&amp;A294, namespace!$B$4:$B$1002,"&lt;&gt;"&amp;""),"")</f>
        <v/>
      </c>
      <c r="O294" s="116" t="str">
        <f t="shared" si="55"/>
        <v/>
      </c>
      <c r="P294" s="63"/>
      <c r="Q294" s="164" t="str">
        <f t="shared" si="50"/>
        <v/>
      </c>
      <c r="R294" s="60" t="str">
        <f t="shared" si="51"/>
        <v/>
      </c>
      <c r="S294" s="60" t="str">
        <f t="shared" si="52"/>
        <v/>
      </c>
      <c r="T294" s="61" t="str">
        <f t="shared" si="53"/>
        <v/>
      </c>
      <c r="U294" s="61" t="str">
        <f t="shared" si="54"/>
        <v/>
      </c>
      <c r="V294" s="183" t="str">
        <f t="shared" si="56"/>
        <v/>
      </c>
      <c r="W294" s="183" t="str">
        <f t="shared" si="57"/>
        <v/>
      </c>
      <c r="X294" s="61" t="str">
        <f t="shared" si="58"/>
        <v/>
      </c>
      <c r="Y294" s="61" t="str">
        <f t="shared" si="59"/>
        <v/>
      </c>
      <c r="Z294" s="118" t="str">
        <f t="shared" si="60"/>
        <v/>
      </c>
      <c r="AA294" s="62" t="str">
        <f t="shared" si="61"/>
        <v/>
      </c>
      <c r="AB294" s="119" t="str">
        <f>IF(A294&lt;&gt;"", IF(P294&lt;&gt;0,SUMIFS(node!$J$2:$J$1000, node!$C$2:$C$1000,"="&amp;A294)/P294,0), "")</f>
        <v/>
      </c>
      <c r="AC294" s="81" t="str">
        <f>IF(A294&lt;&gt;"", IF(P294&lt;&gt;0,SUMIFS(node!$K$2:$K$1000, node!$C$2:$C$1000,"="&amp;A294)/P294,0), "")</f>
        <v/>
      </c>
      <c r="AD294" s="82" t="str">
        <f>IF(A294&lt;&gt;"", SUMIFS(node!$L$2:$L$1000, node!$C$2:$C$1000,"="&amp;A294), "")</f>
        <v/>
      </c>
      <c r="AE294" s="87" t="str">
        <f>IF(A294&lt;&gt;"", SUMIFS(node!$M$2:$M$1000, node!$C$2:$C$1000,"="&amp;A294), "")</f>
        <v/>
      </c>
    </row>
    <row r="295" spans="1:31" ht="15.75" customHeight="1" x14ac:dyDescent="0.25">
      <c r="A295" s="71" t="str">
        <f>IF(ISNONTEXT(node_raw[[#This Row],[Column2]]), "", node_raw[[#This Row],[Column2]])</f>
        <v/>
      </c>
      <c r="B295" s="108" t="str">
        <f>IF(A295&lt;&gt;"", VLOOKUP(A295, node!$C$2:$D$1000, 2, FALSE), "")</f>
        <v/>
      </c>
      <c r="C295" s="109" t="str">
        <f>IF(A295&lt;&gt;"", VLOOKUP(A295, node!$C$2:$E$1000, 3, FALSE), "")</f>
        <v/>
      </c>
      <c r="D295" s="110" t="str">
        <f>IF(A295&lt;&gt;"",COUNTIFS(node!$C$2:$C$1000,"="&amp;A295, node!$C$2:$C$1000,"&lt;&gt;"&amp;""),"")</f>
        <v/>
      </c>
      <c r="E295" s="111" t="str">
        <f>IF(A295&lt;&gt;"",SUMIFS(node!$F$2:$F$500, node!$C$2:$C$500,"="&amp;A295, node!$C$2:$C$500,"&lt;&gt;"&amp;"")/(B295*D295),"")</f>
        <v/>
      </c>
      <c r="F295" s="112" t="str">
        <f>IF(A295&lt;&gt;"",SUMIFS(node!$H$2:$H$500, node!$C$2:$C$500,"="&amp;A295, node!$C$2:$C$500,"&lt;&gt;"&amp;"")/(C295*D295),"")</f>
        <v/>
      </c>
      <c r="G295" s="179" t="str">
        <f>IF(A295&lt;&gt;"",SUMIFS(deployment!$F$4:$F$502, deployment!$D$4:$D$502,"="&amp;A295, deployment!$D$4:$D$502,"&lt;&gt;"&amp;""),"")</f>
        <v/>
      </c>
      <c r="H295" s="181" t="str">
        <f>IF(A295&lt;&gt;"",SUMIFS(deployment!$G$4:$G$502, deployment!$D$4:$D$502,"="&amp;A295, deployment!$D$4:$D$502,"&lt;&gt;"&amp;""),"")</f>
        <v/>
      </c>
      <c r="I295" s="113" t="str">
        <f>IF(A295&lt;&gt;"",SUMIFS(deployment!$H$4:$H$502, deployment!$D$4:$D$502,"="&amp;A295, deployment!$D$4:$D$502,"&lt;&gt;"&amp;""),"")</f>
        <v/>
      </c>
      <c r="J295" s="114" t="str">
        <f>IF(A295&lt;&gt;"",SUMIFS(deployment!$I$4:$I$502, deployment!$D$4:$D$502,"="&amp;A295, deployment!$D$4:$D$502,"&lt;&gt;"&amp;""),"")</f>
        <v/>
      </c>
      <c r="K295" s="182" t="str">
        <f>IF(A295&lt;&gt;"",SUMIFS(deployment!$J$4:$J$1002, deployment!$D$4:$D$1002,"="&amp;A295, deployment!$D$4:$D$1002,"&lt;&gt;"&amp;"", deployment!$C$4:$C$1002, "&lt;&gt;* )")+SUMIFS(namespace!$G$4:$G$1002, namespace!$B$4:$B$1002,"="&amp;A295, namespace!$B$4:$B$1002,"&lt;&gt;"&amp;""),"")</f>
        <v/>
      </c>
      <c r="L295" s="182" t="str">
        <f>IF(A295&lt;&gt;"",SUMIFS(deployment!$K$4:$K$1002, deployment!$D$4:$D$1002,"="&amp;A295, deployment!$D$4:$D$1002,"&lt;&gt;"&amp;"", deployment!$C$4:$C$1002, "&lt;&gt;* )")+SUMIFS(namespace!$H$4:$H$1002, namespace!$B$4:$B$1002,"="&amp;A295, namespace!$B$4:$B$1002,"&lt;&gt;"&amp;""),"")</f>
        <v/>
      </c>
      <c r="M295" s="115" t="str">
        <f>IF(A295&lt;&gt;"",SUMIFS(deployment!$L$4:$L$1002, deployment!$D$4:$D$1002,"="&amp;A295, deployment!$D$4:$D$1002,"&lt;&gt;"&amp;"", deployment!$C$4:$C$1002, "&lt;&gt;* )")+SUMIFS(namespace!$I$4:$I$1002, namespace!$B$4:$B$1002,"="&amp;A295, namespace!$B$4:$B$1002,"&lt;&gt;"&amp;""),"")</f>
        <v/>
      </c>
      <c r="N295" s="115" t="str">
        <f>IF(A295&lt;&gt;"",SUMIFS(deployment!$M$4:$M$1002, deployment!$D$4:$D$1002,"="&amp;A295, deployment!$D$4:$D$1002,"&lt;&gt;"&amp;"", deployment!$C$4:$C$1002, "&lt;&gt;* )")+SUMIFS(namespace!$J$4:$J$1002, namespace!$B$4:$B$1002,"="&amp;A295, namespace!$B$4:$B$1002,"&lt;&gt;"&amp;""),"")</f>
        <v/>
      </c>
      <c r="O295" s="116" t="str">
        <f t="shared" si="55"/>
        <v/>
      </c>
      <c r="P295" s="63"/>
      <c r="Q295" s="164" t="str">
        <f t="shared" si="50"/>
        <v/>
      </c>
      <c r="R295" s="60" t="str">
        <f t="shared" si="51"/>
        <v/>
      </c>
      <c r="S295" s="60" t="str">
        <f t="shared" si="52"/>
        <v/>
      </c>
      <c r="T295" s="61" t="str">
        <f t="shared" si="53"/>
        <v/>
      </c>
      <c r="U295" s="61" t="str">
        <f t="shared" si="54"/>
        <v/>
      </c>
      <c r="V295" s="183" t="str">
        <f t="shared" si="56"/>
        <v/>
      </c>
      <c r="W295" s="183" t="str">
        <f t="shared" si="57"/>
        <v/>
      </c>
      <c r="X295" s="61" t="str">
        <f t="shared" si="58"/>
        <v/>
      </c>
      <c r="Y295" s="61" t="str">
        <f t="shared" si="59"/>
        <v/>
      </c>
      <c r="Z295" s="118" t="str">
        <f t="shared" si="60"/>
        <v/>
      </c>
      <c r="AA295" s="62" t="str">
        <f t="shared" si="61"/>
        <v/>
      </c>
      <c r="AB295" s="119" t="str">
        <f>IF(A295&lt;&gt;"", IF(P295&lt;&gt;0,SUMIFS(node!$J$2:$J$1000, node!$C$2:$C$1000,"="&amp;A295)/P295,0), "")</f>
        <v/>
      </c>
      <c r="AC295" s="81" t="str">
        <f>IF(A295&lt;&gt;"", IF(P295&lt;&gt;0,SUMIFS(node!$K$2:$K$1000, node!$C$2:$C$1000,"="&amp;A295)/P295,0), "")</f>
        <v/>
      </c>
      <c r="AD295" s="82" t="str">
        <f>IF(A295&lt;&gt;"", SUMIFS(node!$L$2:$L$1000, node!$C$2:$C$1000,"="&amp;A295), "")</f>
        <v/>
      </c>
      <c r="AE295" s="87" t="str">
        <f>IF(A295&lt;&gt;"", SUMIFS(node!$M$2:$M$1000, node!$C$2:$C$1000,"="&amp;A295), "")</f>
        <v/>
      </c>
    </row>
    <row r="296" spans="1:31" ht="15.75" customHeight="1" x14ac:dyDescent="0.25">
      <c r="A296" s="71" t="str">
        <f>IF(ISNONTEXT(node_raw[[#This Row],[Column2]]), "", node_raw[[#This Row],[Column2]])</f>
        <v/>
      </c>
      <c r="B296" s="108" t="str">
        <f>IF(A296&lt;&gt;"", VLOOKUP(A296, node!$C$2:$D$1000, 2, FALSE), "")</f>
        <v/>
      </c>
      <c r="C296" s="109" t="str">
        <f>IF(A296&lt;&gt;"", VLOOKUP(A296, node!$C$2:$E$1000, 3, FALSE), "")</f>
        <v/>
      </c>
      <c r="D296" s="110" t="str">
        <f>IF(A296&lt;&gt;"",COUNTIFS(node!$C$2:$C$1000,"="&amp;A296, node!$C$2:$C$1000,"&lt;&gt;"&amp;""),"")</f>
        <v/>
      </c>
      <c r="E296" s="111" t="str">
        <f>IF(A296&lt;&gt;"",SUMIFS(node!$F$2:$F$500, node!$C$2:$C$500,"="&amp;A296, node!$C$2:$C$500,"&lt;&gt;"&amp;"")/(B296*D296),"")</f>
        <v/>
      </c>
      <c r="F296" s="112" t="str">
        <f>IF(A296&lt;&gt;"",SUMIFS(node!$H$2:$H$500, node!$C$2:$C$500,"="&amp;A296, node!$C$2:$C$500,"&lt;&gt;"&amp;"")/(C296*D296),"")</f>
        <v/>
      </c>
      <c r="G296" s="179" t="str">
        <f>IF(A296&lt;&gt;"",SUMIFS(deployment!$F$4:$F$502, deployment!$D$4:$D$502,"="&amp;A296, deployment!$D$4:$D$502,"&lt;&gt;"&amp;""),"")</f>
        <v/>
      </c>
      <c r="H296" s="181" t="str">
        <f>IF(A296&lt;&gt;"",SUMIFS(deployment!$G$4:$G$502, deployment!$D$4:$D$502,"="&amp;A296, deployment!$D$4:$D$502,"&lt;&gt;"&amp;""),"")</f>
        <v/>
      </c>
      <c r="I296" s="113" t="str">
        <f>IF(A296&lt;&gt;"",SUMIFS(deployment!$H$4:$H$502, deployment!$D$4:$D$502,"="&amp;A296, deployment!$D$4:$D$502,"&lt;&gt;"&amp;""),"")</f>
        <v/>
      </c>
      <c r="J296" s="114" t="str">
        <f>IF(A296&lt;&gt;"",SUMIFS(deployment!$I$4:$I$502, deployment!$D$4:$D$502,"="&amp;A296, deployment!$D$4:$D$502,"&lt;&gt;"&amp;""),"")</f>
        <v/>
      </c>
      <c r="K296" s="182" t="str">
        <f>IF(A296&lt;&gt;"",SUMIFS(deployment!$J$4:$J$1002, deployment!$D$4:$D$1002,"="&amp;A296, deployment!$D$4:$D$1002,"&lt;&gt;"&amp;"", deployment!$C$4:$C$1002, "&lt;&gt;* )")+SUMIFS(namespace!$G$4:$G$1002, namespace!$B$4:$B$1002,"="&amp;A296, namespace!$B$4:$B$1002,"&lt;&gt;"&amp;""),"")</f>
        <v/>
      </c>
      <c r="L296" s="182" t="str">
        <f>IF(A296&lt;&gt;"",SUMIFS(deployment!$K$4:$K$1002, deployment!$D$4:$D$1002,"="&amp;A296, deployment!$D$4:$D$1002,"&lt;&gt;"&amp;"", deployment!$C$4:$C$1002, "&lt;&gt;* )")+SUMIFS(namespace!$H$4:$H$1002, namespace!$B$4:$B$1002,"="&amp;A296, namespace!$B$4:$B$1002,"&lt;&gt;"&amp;""),"")</f>
        <v/>
      </c>
      <c r="M296" s="115" t="str">
        <f>IF(A296&lt;&gt;"",SUMIFS(deployment!$L$4:$L$1002, deployment!$D$4:$D$1002,"="&amp;A296, deployment!$D$4:$D$1002,"&lt;&gt;"&amp;"", deployment!$C$4:$C$1002, "&lt;&gt;* )")+SUMIFS(namespace!$I$4:$I$1002, namespace!$B$4:$B$1002,"="&amp;A296, namespace!$B$4:$B$1002,"&lt;&gt;"&amp;""),"")</f>
        <v/>
      </c>
      <c r="N296" s="115" t="str">
        <f>IF(A296&lt;&gt;"",SUMIFS(deployment!$M$4:$M$1002, deployment!$D$4:$D$1002,"="&amp;A296, deployment!$D$4:$D$1002,"&lt;&gt;"&amp;"", deployment!$C$4:$C$1002, "&lt;&gt;* )")+SUMIFS(namespace!$J$4:$J$1002, namespace!$B$4:$B$1002,"="&amp;A296, namespace!$B$4:$B$1002,"&lt;&gt;"&amp;""),"")</f>
        <v/>
      </c>
      <c r="O296" s="116" t="str">
        <f t="shared" si="55"/>
        <v/>
      </c>
      <c r="P296" s="63"/>
      <c r="Q296" s="164" t="str">
        <f t="shared" si="50"/>
        <v/>
      </c>
      <c r="R296" s="60" t="str">
        <f t="shared" si="51"/>
        <v/>
      </c>
      <c r="S296" s="60" t="str">
        <f t="shared" si="52"/>
        <v/>
      </c>
      <c r="T296" s="61" t="str">
        <f t="shared" si="53"/>
        <v/>
      </c>
      <c r="U296" s="61" t="str">
        <f t="shared" si="54"/>
        <v/>
      </c>
      <c r="V296" s="183" t="str">
        <f t="shared" si="56"/>
        <v/>
      </c>
      <c r="W296" s="183" t="str">
        <f t="shared" si="57"/>
        <v/>
      </c>
      <c r="X296" s="61" t="str">
        <f t="shared" si="58"/>
        <v/>
      </c>
      <c r="Y296" s="61" t="str">
        <f t="shared" si="59"/>
        <v/>
      </c>
      <c r="Z296" s="118" t="str">
        <f t="shared" si="60"/>
        <v/>
      </c>
      <c r="AA296" s="62" t="str">
        <f t="shared" si="61"/>
        <v/>
      </c>
      <c r="AB296" s="119" t="str">
        <f>IF(A296&lt;&gt;"", IF(P296&lt;&gt;0,SUMIFS(node!$J$2:$J$1000, node!$C$2:$C$1000,"="&amp;A296)/P296,0), "")</f>
        <v/>
      </c>
      <c r="AC296" s="81" t="str">
        <f>IF(A296&lt;&gt;"", IF(P296&lt;&gt;0,SUMIFS(node!$K$2:$K$1000, node!$C$2:$C$1000,"="&amp;A296)/P296,0), "")</f>
        <v/>
      </c>
      <c r="AD296" s="82" t="str">
        <f>IF(A296&lt;&gt;"", SUMIFS(node!$L$2:$L$1000, node!$C$2:$C$1000,"="&amp;A296), "")</f>
        <v/>
      </c>
      <c r="AE296" s="87" t="str">
        <f>IF(A296&lt;&gt;"", SUMIFS(node!$M$2:$M$1000, node!$C$2:$C$1000,"="&amp;A296), "")</f>
        <v/>
      </c>
    </row>
    <row r="297" spans="1:31" ht="15.75" customHeight="1" x14ac:dyDescent="0.25">
      <c r="A297" s="71" t="str">
        <f>IF(ISNONTEXT(node_raw[[#This Row],[Column2]]), "", node_raw[[#This Row],[Column2]])</f>
        <v/>
      </c>
      <c r="B297" s="108" t="str">
        <f>IF(A297&lt;&gt;"", VLOOKUP(A297, node!$C$2:$D$1000, 2, FALSE), "")</f>
        <v/>
      </c>
      <c r="C297" s="109" t="str">
        <f>IF(A297&lt;&gt;"", VLOOKUP(A297, node!$C$2:$E$1000, 3, FALSE), "")</f>
        <v/>
      </c>
      <c r="D297" s="110" t="str">
        <f>IF(A297&lt;&gt;"",COUNTIFS(node!$C$2:$C$1000,"="&amp;A297, node!$C$2:$C$1000,"&lt;&gt;"&amp;""),"")</f>
        <v/>
      </c>
      <c r="E297" s="111" t="str">
        <f>IF(A297&lt;&gt;"",SUMIFS(node!$F$2:$F$500, node!$C$2:$C$500,"="&amp;A297, node!$C$2:$C$500,"&lt;&gt;"&amp;"")/(B297*D297),"")</f>
        <v/>
      </c>
      <c r="F297" s="112" t="str">
        <f>IF(A297&lt;&gt;"",SUMIFS(node!$H$2:$H$500, node!$C$2:$C$500,"="&amp;A297, node!$C$2:$C$500,"&lt;&gt;"&amp;"")/(C297*D297),"")</f>
        <v/>
      </c>
      <c r="G297" s="179" t="str">
        <f>IF(A297&lt;&gt;"",SUMIFS(deployment!$F$4:$F$502, deployment!$D$4:$D$502,"="&amp;A297, deployment!$D$4:$D$502,"&lt;&gt;"&amp;""),"")</f>
        <v/>
      </c>
      <c r="H297" s="181" t="str">
        <f>IF(A297&lt;&gt;"",SUMIFS(deployment!$G$4:$G$502, deployment!$D$4:$D$502,"="&amp;A297, deployment!$D$4:$D$502,"&lt;&gt;"&amp;""),"")</f>
        <v/>
      </c>
      <c r="I297" s="113" t="str">
        <f>IF(A297&lt;&gt;"",SUMIFS(deployment!$H$4:$H$502, deployment!$D$4:$D$502,"="&amp;A297, deployment!$D$4:$D$502,"&lt;&gt;"&amp;""),"")</f>
        <v/>
      </c>
      <c r="J297" s="114" t="str">
        <f>IF(A297&lt;&gt;"",SUMIFS(deployment!$I$4:$I$502, deployment!$D$4:$D$502,"="&amp;A297, deployment!$D$4:$D$502,"&lt;&gt;"&amp;""),"")</f>
        <v/>
      </c>
      <c r="K297" s="182" t="str">
        <f>IF(A297&lt;&gt;"",SUMIFS(deployment!$J$4:$J$1002, deployment!$D$4:$D$1002,"="&amp;A297, deployment!$D$4:$D$1002,"&lt;&gt;"&amp;"", deployment!$C$4:$C$1002, "&lt;&gt;* )")+SUMIFS(namespace!$G$4:$G$1002, namespace!$B$4:$B$1002,"="&amp;A297, namespace!$B$4:$B$1002,"&lt;&gt;"&amp;""),"")</f>
        <v/>
      </c>
      <c r="L297" s="182" t="str">
        <f>IF(A297&lt;&gt;"",SUMIFS(deployment!$K$4:$K$1002, deployment!$D$4:$D$1002,"="&amp;A297, deployment!$D$4:$D$1002,"&lt;&gt;"&amp;"", deployment!$C$4:$C$1002, "&lt;&gt;* )")+SUMIFS(namespace!$H$4:$H$1002, namespace!$B$4:$B$1002,"="&amp;A297, namespace!$B$4:$B$1002,"&lt;&gt;"&amp;""),"")</f>
        <v/>
      </c>
      <c r="M297" s="115" t="str">
        <f>IF(A297&lt;&gt;"",SUMIFS(deployment!$L$4:$L$1002, deployment!$D$4:$D$1002,"="&amp;A297, deployment!$D$4:$D$1002,"&lt;&gt;"&amp;"", deployment!$C$4:$C$1002, "&lt;&gt;* )")+SUMIFS(namespace!$I$4:$I$1002, namespace!$B$4:$B$1002,"="&amp;A297, namespace!$B$4:$B$1002,"&lt;&gt;"&amp;""),"")</f>
        <v/>
      </c>
      <c r="N297" s="115" t="str">
        <f>IF(A297&lt;&gt;"",SUMIFS(deployment!$M$4:$M$1002, deployment!$D$4:$D$1002,"="&amp;A297, deployment!$D$4:$D$1002,"&lt;&gt;"&amp;"", deployment!$C$4:$C$1002, "&lt;&gt;* )")+SUMIFS(namespace!$J$4:$J$1002, namespace!$B$4:$B$1002,"="&amp;A297, namespace!$B$4:$B$1002,"&lt;&gt;"&amp;""),"")</f>
        <v/>
      </c>
      <c r="O297" s="116" t="str">
        <f t="shared" si="55"/>
        <v/>
      </c>
      <c r="P297" s="63"/>
      <c r="Q297" s="164" t="str">
        <f t="shared" si="50"/>
        <v/>
      </c>
      <c r="R297" s="60" t="str">
        <f t="shared" si="51"/>
        <v/>
      </c>
      <c r="S297" s="60" t="str">
        <f t="shared" si="52"/>
        <v/>
      </c>
      <c r="T297" s="61" t="str">
        <f t="shared" si="53"/>
        <v/>
      </c>
      <c r="U297" s="61" t="str">
        <f t="shared" si="54"/>
        <v/>
      </c>
      <c r="V297" s="183" t="str">
        <f t="shared" si="56"/>
        <v/>
      </c>
      <c r="W297" s="183" t="str">
        <f t="shared" si="57"/>
        <v/>
      </c>
      <c r="X297" s="61" t="str">
        <f t="shared" si="58"/>
        <v/>
      </c>
      <c r="Y297" s="61" t="str">
        <f t="shared" si="59"/>
        <v/>
      </c>
      <c r="Z297" s="118" t="str">
        <f t="shared" si="60"/>
        <v/>
      </c>
      <c r="AA297" s="62" t="str">
        <f t="shared" si="61"/>
        <v/>
      </c>
      <c r="AB297" s="119" t="str">
        <f>IF(A297&lt;&gt;"", IF(P297&lt;&gt;0,SUMIFS(node!$J$2:$J$1000, node!$C$2:$C$1000,"="&amp;A297)/P297,0), "")</f>
        <v/>
      </c>
      <c r="AC297" s="81" t="str">
        <f>IF(A297&lt;&gt;"", IF(P297&lt;&gt;0,SUMIFS(node!$K$2:$K$1000, node!$C$2:$C$1000,"="&amp;A297)/P297,0), "")</f>
        <v/>
      </c>
      <c r="AD297" s="82" t="str">
        <f>IF(A297&lt;&gt;"", SUMIFS(node!$L$2:$L$1000, node!$C$2:$C$1000,"="&amp;A297), "")</f>
        <v/>
      </c>
      <c r="AE297" s="87" t="str">
        <f>IF(A297&lt;&gt;"", SUMIFS(node!$M$2:$M$1000, node!$C$2:$C$1000,"="&amp;A297), "")</f>
        <v/>
      </c>
    </row>
    <row r="298" spans="1:31" ht="15.75" customHeight="1" x14ac:dyDescent="0.25">
      <c r="A298" s="71" t="str">
        <f>IF(ISNONTEXT(node_raw[[#This Row],[Column2]]), "", node_raw[[#This Row],[Column2]])</f>
        <v/>
      </c>
      <c r="B298" s="108" t="str">
        <f>IF(A298&lt;&gt;"", VLOOKUP(A298, node!$C$2:$D$1000, 2, FALSE), "")</f>
        <v/>
      </c>
      <c r="C298" s="109" t="str">
        <f>IF(A298&lt;&gt;"", VLOOKUP(A298, node!$C$2:$E$1000, 3, FALSE), "")</f>
        <v/>
      </c>
      <c r="D298" s="110" t="str">
        <f>IF(A298&lt;&gt;"",COUNTIFS(node!$C$2:$C$1000,"="&amp;A298, node!$C$2:$C$1000,"&lt;&gt;"&amp;""),"")</f>
        <v/>
      </c>
      <c r="E298" s="111" t="str">
        <f>IF(A298&lt;&gt;"",SUMIFS(node!$F$2:$F$500, node!$C$2:$C$500,"="&amp;A298, node!$C$2:$C$500,"&lt;&gt;"&amp;"")/(B298*D298),"")</f>
        <v/>
      </c>
      <c r="F298" s="112" t="str">
        <f>IF(A298&lt;&gt;"",SUMIFS(node!$H$2:$H$500, node!$C$2:$C$500,"="&amp;A298, node!$C$2:$C$500,"&lt;&gt;"&amp;"")/(C298*D298),"")</f>
        <v/>
      </c>
      <c r="G298" s="179" t="str">
        <f>IF(A298&lt;&gt;"",SUMIFS(deployment!$F$4:$F$502, deployment!$D$4:$D$502,"="&amp;A298, deployment!$D$4:$D$502,"&lt;&gt;"&amp;""),"")</f>
        <v/>
      </c>
      <c r="H298" s="181" t="str">
        <f>IF(A298&lt;&gt;"",SUMIFS(deployment!$G$4:$G$502, deployment!$D$4:$D$502,"="&amp;A298, deployment!$D$4:$D$502,"&lt;&gt;"&amp;""),"")</f>
        <v/>
      </c>
      <c r="I298" s="113" t="str">
        <f>IF(A298&lt;&gt;"",SUMIFS(deployment!$H$4:$H$502, deployment!$D$4:$D$502,"="&amp;A298, deployment!$D$4:$D$502,"&lt;&gt;"&amp;""),"")</f>
        <v/>
      </c>
      <c r="J298" s="114" t="str">
        <f>IF(A298&lt;&gt;"",SUMIFS(deployment!$I$4:$I$502, deployment!$D$4:$D$502,"="&amp;A298, deployment!$D$4:$D$502,"&lt;&gt;"&amp;""),"")</f>
        <v/>
      </c>
      <c r="K298" s="182" t="str">
        <f>IF(A298&lt;&gt;"",SUMIFS(deployment!$J$4:$J$1002, deployment!$D$4:$D$1002,"="&amp;A298, deployment!$D$4:$D$1002,"&lt;&gt;"&amp;"", deployment!$C$4:$C$1002, "&lt;&gt;* )")+SUMIFS(namespace!$G$4:$G$1002, namespace!$B$4:$B$1002,"="&amp;A298, namespace!$B$4:$B$1002,"&lt;&gt;"&amp;""),"")</f>
        <v/>
      </c>
      <c r="L298" s="182" t="str">
        <f>IF(A298&lt;&gt;"",SUMIFS(deployment!$K$4:$K$1002, deployment!$D$4:$D$1002,"="&amp;A298, deployment!$D$4:$D$1002,"&lt;&gt;"&amp;"", deployment!$C$4:$C$1002, "&lt;&gt;* )")+SUMIFS(namespace!$H$4:$H$1002, namespace!$B$4:$B$1002,"="&amp;A298, namespace!$B$4:$B$1002,"&lt;&gt;"&amp;""),"")</f>
        <v/>
      </c>
      <c r="M298" s="115" t="str">
        <f>IF(A298&lt;&gt;"",SUMIFS(deployment!$L$4:$L$1002, deployment!$D$4:$D$1002,"="&amp;A298, deployment!$D$4:$D$1002,"&lt;&gt;"&amp;"", deployment!$C$4:$C$1002, "&lt;&gt;* )")+SUMIFS(namespace!$I$4:$I$1002, namespace!$B$4:$B$1002,"="&amp;A298, namespace!$B$4:$B$1002,"&lt;&gt;"&amp;""),"")</f>
        <v/>
      </c>
      <c r="N298" s="115" t="str">
        <f>IF(A298&lt;&gt;"",SUMIFS(deployment!$M$4:$M$1002, deployment!$D$4:$D$1002,"="&amp;A298, deployment!$D$4:$D$1002,"&lt;&gt;"&amp;"", deployment!$C$4:$C$1002, "&lt;&gt;* )")+SUMIFS(namespace!$J$4:$J$1002, namespace!$B$4:$B$1002,"="&amp;A298, namespace!$B$4:$B$1002,"&lt;&gt;"&amp;""),"")</f>
        <v/>
      </c>
      <c r="O298" s="116" t="str">
        <f t="shared" si="55"/>
        <v/>
      </c>
      <c r="P298" s="63"/>
      <c r="Q298" s="164" t="str">
        <f t="shared" si="50"/>
        <v/>
      </c>
      <c r="R298" s="60" t="str">
        <f t="shared" si="51"/>
        <v/>
      </c>
      <c r="S298" s="60" t="str">
        <f t="shared" si="52"/>
        <v/>
      </c>
      <c r="T298" s="61" t="str">
        <f t="shared" si="53"/>
        <v/>
      </c>
      <c r="U298" s="61" t="str">
        <f t="shared" si="54"/>
        <v/>
      </c>
      <c r="V298" s="183" t="str">
        <f t="shared" si="56"/>
        <v/>
      </c>
      <c r="W298" s="183" t="str">
        <f t="shared" si="57"/>
        <v/>
      </c>
      <c r="X298" s="61" t="str">
        <f t="shared" si="58"/>
        <v/>
      </c>
      <c r="Y298" s="61" t="str">
        <f t="shared" si="59"/>
        <v/>
      </c>
      <c r="Z298" s="118" t="str">
        <f t="shared" si="60"/>
        <v/>
      </c>
      <c r="AA298" s="62" t="str">
        <f t="shared" si="61"/>
        <v/>
      </c>
      <c r="AB298" s="119" t="str">
        <f>IF(A298&lt;&gt;"", IF(P298&lt;&gt;0,SUMIFS(node!$J$2:$J$1000, node!$C$2:$C$1000,"="&amp;A298)/P298,0), "")</f>
        <v/>
      </c>
      <c r="AC298" s="81" t="str">
        <f>IF(A298&lt;&gt;"", IF(P298&lt;&gt;0,SUMIFS(node!$K$2:$K$1000, node!$C$2:$C$1000,"="&amp;A298)/P298,0), "")</f>
        <v/>
      </c>
      <c r="AD298" s="82" t="str">
        <f>IF(A298&lt;&gt;"", SUMIFS(node!$L$2:$L$1000, node!$C$2:$C$1000,"="&amp;A298), "")</f>
        <v/>
      </c>
      <c r="AE298" s="87" t="str">
        <f>IF(A298&lt;&gt;"", SUMIFS(node!$M$2:$M$1000, node!$C$2:$C$1000,"="&amp;A298), "")</f>
        <v/>
      </c>
    </row>
    <row r="299" spans="1:31" ht="15.75" customHeight="1" x14ac:dyDescent="0.25">
      <c r="A299" s="71" t="str">
        <f>IF(ISNONTEXT(node_raw[[#This Row],[Column2]]), "", node_raw[[#This Row],[Column2]])</f>
        <v/>
      </c>
      <c r="B299" s="108" t="str">
        <f>IF(A299&lt;&gt;"", VLOOKUP(A299, node!$C$2:$D$1000, 2, FALSE), "")</f>
        <v/>
      </c>
      <c r="C299" s="109" t="str">
        <f>IF(A299&lt;&gt;"", VLOOKUP(A299, node!$C$2:$E$1000, 3, FALSE), "")</f>
        <v/>
      </c>
      <c r="D299" s="110" t="str">
        <f>IF(A299&lt;&gt;"",COUNTIFS(node!$C$2:$C$1000,"="&amp;A299, node!$C$2:$C$1000,"&lt;&gt;"&amp;""),"")</f>
        <v/>
      </c>
      <c r="E299" s="111" t="str">
        <f>IF(A299&lt;&gt;"",SUMIFS(node!$F$2:$F$500, node!$C$2:$C$500,"="&amp;A299, node!$C$2:$C$500,"&lt;&gt;"&amp;"")/(B299*D299),"")</f>
        <v/>
      </c>
      <c r="F299" s="112" t="str">
        <f>IF(A299&lt;&gt;"",SUMIFS(node!$H$2:$H$500, node!$C$2:$C$500,"="&amp;A299, node!$C$2:$C$500,"&lt;&gt;"&amp;"")/(C299*D299),"")</f>
        <v/>
      </c>
      <c r="G299" s="179" t="str">
        <f>IF(A299&lt;&gt;"",SUMIFS(deployment!$F$4:$F$502, deployment!$D$4:$D$502,"="&amp;A299, deployment!$D$4:$D$502,"&lt;&gt;"&amp;""),"")</f>
        <v/>
      </c>
      <c r="H299" s="181" t="str">
        <f>IF(A299&lt;&gt;"",SUMIFS(deployment!$G$4:$G$502, deployment!$D$4:$D$502,"="&amp;A299, deployment!$D$4:$D$502,"&lt;&gt;"&amp;""),"")</f>
        <v/>
      </c>
      <c r="I299" s="113" t="str">
        <f>IF(A299&lt;&gt;"",SUMIFS(deployment!$H$4:$H$502, deployment!$D$4:$D$502,"="&amp;A299, deployment!$D$4:$D$502,"&lt;&gt;"&amp;""),"")</f>
        <v/>
      </c>
      <c r="J299" s="114" t="str">
        <f>IF(A299&lt;&gt;"",SUMIFS(deployment!$I$4:$I$502, deployment!$D$4:$D$502,"="&amp;A299, deployment!$D$4:$D$502,"&lt;&gt;"&amp;""),"")</f>
        <v/>
      </c>
      <c r="K299" s="182" t="str">
        <f>IF(A299&lt;&gt;"",SUMIFS(deployment!$J$4:$J$1002, deployment!$D$4:$D$1002,"="&amp;A299, deployment!$D$4:$D$1002,"&lt;&gt;"&amp;"", deployment!$C$4:$C$1002, "&lt;&gt;* )")+SUMIFS(namespace!$G$4:$G$1002, namespace!$B$4:$B$1002,"="&amp;A299, namespace!$B$4:$B$1002,"&lt;&gt;"&amp;""),"")</f>
        <v/>
      </c>
      <c r="L299" s="182" t="str">
        <f>IF(A299&lt;&gt;"",SUMIFS(deployment!$K$4:$K$1002, deployment!$D$4:$D$1002,"="&amp;A299, deployment!$D$4:$D$1002,"&lt;&gt;"&amp;"", deployment!$C$4:$C$1002, "&lt;&gt;* )")+SUMIFS(namespace!$H$4:$H$1002, namespace!$B$4:$B$1002,"="&amp;A299, namespace!$B$4:$B$1002,"&lt;&gt;"&amp;""),"")</f>
        <v/>
      </c>
      <c r="M299" s="115" t="str">
        <f>IF(A299&lt;&gt;"",SUMIFS(deployment!$L$4:$L$1002, deployment!$D$4:$D$1002,"="&amp;A299, deployment!$D$4:$D$1002,"&lt;&gt;"&amp;"", deployment!$C$4:$C$1002, "&lt;&gt;* )")+SUMIFS(namespace!$I$4:$I$1002, namespace!$B$4:$B$1002,"="&amp;A299, namespace!$B$4:$B$1002,"&lt;&gt;"&amp;""),"")</f>
        <v/>
      </c>
      <c r="N299" s="115" t="str">
        <f>IF(A299&lt;&gt;"",SUMIFS(deployment!$M$4:$M$1002, deployment!$D$4:$D$1002,"="&amp;A299, deployment!$D$4:$D$1002,"&lt;&gt;"&amp;"", deployment!$C$4:$C$1002, "&lt;&gt;* )")+SUMIFS(namespace!$J$4:$J$1002, namespace!$B$4:$B$1002,"="&amp;A299, namespace!$B$4:$B$1002,"&lt;&gt;"&amp;""),"")</f>
        <v/>
      </c>
      <c r="O299" s="116" t="str">
        <f t="shared" si="55"/>
        <v/>
      </c>
      <c r="P299" s="63"/>
      <c r="Q299" s="164" t="str">
        <f t="shared" si="50"/>
        <v/>
      </c>
      <c r="R299" s="60" t="str">
        <f t="shared" si="51"/>
        <v/>
      </c>
      <c r="S299" s="60" t="str">
        <f t="shared" si="52"/>
        <v/>
      </c>
      <c r="T299" s="61" t="str">
        <f t="shared" si="53"/>
        <v/>
      </c>
      <c r="U299" s="61" t="str">
        <f t="shared" si="54"/>
        <v/>
      </c>
      <c r="V299" s="183" t="str">
        <f t="shared" si="56"/>
        <v/>
      </c>
      <c r="W299" s="183" t="str">
        <f t="shared" si="57"/>
        <v/>
      </c>
      <c r="X299" s="61" t="str">
        <f t="shared" si="58"/>
        <v/>
      </c>
      <c r="Y299" s="61" t="str">
        <f t="shared" si="59"/>
        <v/>
      </c>
      <c r="Z299" s="118" t="str">
        <f t="shared" si="60"/>
        <v/>
      </c>
      <c r="AA299" s="62" t="str">
        <f t="shared" si="61"/>
        <v/>
      </c>
      <c r="AB299" s="119" t="str">
        <f>IF(A299&lt;&gt;"", IF(P299&lt;&gt;0,SUMIFS(node!$J$2:$J$1000, node!$C$2:$C$1000,"="&amp;A299)/P299,0), "")</f>
        <v/>
      </c>
      <c r="AC299" s="81" t="str">
        <f>IF(A299&lt;&gt;"", IF(P299&lt;&gt;0,SUMIFS(node!$K$2:$K$1000, node!$C$2:$C$1000,"="&amp;A299)/P299,0), "")</f>
        <v/>
      </c>
      <c r="AD299" s="82" t="str">
        <f>IF(A299&lt;&gt;"", SUMIFS(node!$L$2:$L$1000, node!$C$2:$C$1000,"="&amp;A299), "")</f>
        <v/>
      </c>
      <c r="AE299" s="87" t="str">
        <f>IF(A299&lt;&gt;"", SUMIFS(node!$M$2:$M$1000, node!$C$2:$C$1000,"="&amp;A299), "")</f>
        <v/>
      </c>
    </row>
    <row r="300" spans="1:31" ht="15.75" customHeight="1" x14ac:dyDescent="0.25">
      <c r="A300" s="71" t="str">
        <f>IF(ISNONTEXT(node_raw[[#This Row],[Column2]]), "", node_raw[[#This Row],[Column2]])</f>
        <v/>
      </c>
      <c r="B300" s="108" t="str">
        <f>IF(A300&lt;&gt;"", VLOOKUP(A300, node!$C$2:$D$1000, 2, FALSE), "")</f>
        <v/>
      </c>
      <c r="C300" s="109" t="str">
        <f>IF(A300&lt;&gt;"", VLOOKUP(A300, node!$C$2:$E$1000, 3, FALSE), "")</f>
        <v/>
      </c>
      <c r="D300" s="110" t="str">
        <f>IF(A300&lt;&gt;"",COUNTIFS(node!$C$2:$C$1000,"="&amp;A300, node!$C$2:$C$1000,"&lt;&gt;"&amp;""),"")</f>
        <v/>
      </c>
      <c r="E300" s="111" t="str">
        <f>IF(A300&lt;&gt;"",SUMIFS(node!$F$2:$F$500, node!$C$2:$C$500,"="&amp;A300, node!$C$2:$C$500,"&lt;&gt;"&amp;"")/(B300*D300),"")</f>
        <v/>
      </c>
      <c r="F300" s="112" t="str">
        <f>IF(A300&lt;&gt;"",SUMIFS(node!$H$2:$H$500, node!$C$2:$C$500,"="&amp;A300, node!$C$2:$C$500,"&lt;&gt;"&amp;"")/(C300*D300),"")</f>
        <v/>
      </c>
      <c r="G300" s="179" t="str">
        <f>IF(A300&lt;&gt;"",SUMIFS(deployment!$F$4:$F$502, deployment!$D$4:$D$502,"="&amp;A300, deployment!$D$4:$D$502,"&lt;&gt;"&amp;""),"")</f>
        <v/>
      </c>
      <c r="H300" s="181" t="str">
        <f>IF(A300&lt;&gt;"",SUMIFS(deployment!$G$4:$G$502, deployment!$D$4:$D$502,"="&amp;A300, deployment!$D$4:$D$502,"&lt;&gt;"&amp;""),"")</f>
        <v/>
      </c>
      <c r="I300" s="113" t="str">
        <f>IF(A300&lt;&gt;"",SUMIFS(deployment!$H$4:$H$502, deployment!$D$4:$D$502,"="&amp;A300, deployment!$D$4:$D$502,"&lt;&gt;"&amp;""),"")</f>
        <v/>
      </c>
      <c r="J300" s="114" t="str">
        <f>IF(A300&lt;&gt;"",SUMIFS(deployment!$I$4:$I$502, deployment!$D$4:$D$502,"="&amp;A300, deployment!$D$4:$D$502,"&lt;&gt;"&amp;""),"")</f>
        <v/>
      </c>
      <c r="K300" s="182" t="str">
        <f>IF(A300&lt;&gt;"",SUMIFS(deployment!$J$4:$J$1002, deployment!$D$4:$D$1002,"="&amp;A300, deployment!$D$4:$D$1002,"&lt;&gt;"&amp;"", deployment!$C$4:$C$1002, "&lt;&gt;* )")+SUMIFS(namespace!$G$4:$G$1002, namespace!$B$4:$B$1002,"="&amp;A300, namespace!$B$4:$B$1002,"&lt;&gt;"&amp;""),"")</f>
        <v/>
      </c>
      <c r="L300" s="182" t="str">
        <f>IF(A300&lt;&gt;"",SUMIFS(deployment!$K$4:$K$1002, deployment!$D$4:$D$1002,"="&amp;A300, deployment!$D$4:$D$1002,"&lt;&gt;"&amp;"", deployment!$C$4:$C$1002, "&lt;&gt;* )")+SUMIFS(namespace!$H$4:$H$1002, namespace!$B$4:$B$1002,"="&amp;A300, namespace!$B$4:$B$1002,"&lt;&gt;"&amp;""),"")</f>
        <v/>
      </c>
      <c r="M300" s="115" t="str">
        <f>IF(A300&lt;&gt;"",SUMIFS(deployment!$L$4:$L$1002, deployment!$D$4:$D$1002,"="&amp;A300, deployment!$D$4:$D$1002,"&lt;&gt;"&amp;"", deployment!$C$4:$C$1002, "&lt;&gt;* )")+SUMIFS(namespace!$I$4:$I$1002, namespace!$B$4:$B$1002,"="&amp;A300, namespace!$B$4:$B$1002,"&lt;&gt;"&amp;""),"")</f>
        <v/>
      </c>
      <c r="N300" s="115" t="str">
        <f>IF(A300&lt;&gt;"",SUMIFS(deployment!$M$4:$M$1002, deployment!$D$4:$D$1002,"="&amp;A300, deployment!$D$4:$D$1002,"&lt;&gt;"&amp;"", deployment!$C$4:$C$1002, "&lt;&gt;* )")+SUMIFS(namespace!$J$4:$J$1002, namespace!$B$4:$B$1002,"="&amp;A300, namespace!$B$4:$B$1002,"&lt;&gt;"&amp;""),"")</f>
        <v/>
      </c>
      <c r="O300" s="116" t="str">
        <f t="shared" si="55"/>
        <v/>
      </c>
      <c r="P300" s="63"/>
      <c r="Q300" s="164" t="str">
        <f t="shared" si="50"/>
        <v/>
      </c>
      <c r="R300" s="60" t="str">
        <f t="shared" si="51"/>
        <v/>
      </c>
      <c r="S300" s="60" t="str">
        <f t="shared" si="52"/>
        <v/>
      </c>
      <c r="T300" s="61" t="str">
        <f t="shared" si="53"/>
        <v/>
      </c>
      <c r="U300" s="61" t="str">
        <f t="shared" si="54"/>
        <v/>
      </c>
      <c r="V300" s="183" t="str">
        <f t="shared" si="56"/>
        <v/>
      </c>
      <c r="W300" s="183" t="str">
        <f t="shared" si="57"/>
        <v/>
      </c>
      <c r="X300" s="61" t="str">
        <f t="shared" si="58"/>
        <v/>
      </c>
      <c r="Y300" s="61" t="str">
        <f t="shared" si="59"/>
        <v/>
      </c>
      <c r="Z300" s="118" t="str">
        <f t="shared" si="60"/>
        <v/>
      </c>
      <c r="AA300" s="62" t="str">
        <f t="shared" si="61"/>
        <v/>
      </c>
      <c r="AB300" s="119" t="str">
        <f>IF(A300&lt;&gt;"", IF(P300&lt;&gt;0,SUMIFS(node!$J$2:$J$1000, node!$C$2:$C$1000,"="&amp;A300)/P300,0), "")</f>
        <v/>
      </c>
      <c r="AC300" s="81" t="str">
        <f>IF(A300&lt;&gt;"", IF(P300&lt;&gt;0,SUMIFS(node!$K$2:$K$1000, node!$C$2:$C$1000,"="&amp;A300)/P300,0), "")</f>
        <v/>
      </c>
      <c r="AD300" s="82" t="str">
        <f>IF(A300&lt;&gt;"", SUMIFS(node!$L$2:$L$1000, node!$C$2:$C$1000,"="&amp;A300), "")</f>
        <v/>
      </c>
      <c r="AE300" s="87" t="str">
        <f>IF(A300&lt;&gt;"", SUMIFS(node!$M$2:$M$1000, node!$C$2:$C$1000,"="&amp;A300), "")</f>
        <v/>
      </c>
    </row>
    <row r="301" spans="1:31" ht="15.75" customHeight="1" x14ac:dyDescent="0.25">
      <c r="A301" s="71" t="str">
        <f>IF(ISNONTEXT(node_raw[[#This Row],[Column2]]), "", node_raw[[#This Row],[Column2]])</f>
        <v/>
      </c>
      <c r="B301" s="108" t="str">
        <f>IF(A301&lt;&gt;"", VLOOKUP(A301, node!$C$2:$D$1000, 2, FALSE), "")</f>
        <v/>
      </c>
      <c r="C301" s="109" t="str">
        <f>IF(A301&lt;&gt;"", VLOOKUP(A301, node!$C$2:$E$1000, 3, FALSE), "")</f>
        <v/>
      </c>
      <c r="D301" s="110" t="str">
        <f>IF(A301&lt;&gt;"",COUNTIFS(node!$C$2:$C$1000,"="&amp;A301, node!$C$2:$C$1000,"&lt;&gt;"&amp;""),"")</f>
        <v/>
      </c>
      <c r="E301" s="111" t="str">
        <f>IF(A301&lt;&gt;"",SUMIFS(node!$F$2:$F$500, node!$C$2:$C$500,"="&amp;A301, node!$C$2:$C$500,"&lt;&gt;"&amp;"")/(B301*D301),"")</f>
        <v/>
      </c>
      <c r="F301" s="112" t="str">
        <f>IF(A301&lt;&gt;"",SUMIFS(node!$H$2:$H$500, node!$C$2:$C$500,"="&amp;A301, node!$C$2:$C$500,"&lt;&gt;"&amp;"")/(C301*D301),"")</f>
        <v/>
      </c>
      <c r="G301" s="179" t="str">
        <f>IF(A301&lt;&gt;"",SUMIFS(deployment!$F$4:$F$502, deployment!$D$4:$D$502,"="&amp;A301, deployment!$D$4:$D$502,"&lt;&gt;"&amp;""),"")</f>
        <v/>
      </c>
      <c r="H301" s="181" t="str">
        <f>IF(A301&lt;&gt;"",SUMIFS(deployment!$G$4:$G$502, deployment!$D$4:$D$502,"="&amp;A301, deployment!$D$4:$D$502,"&lt;&gt;"&amp;""),"")</f>
        <v/>
      </c>
      <c r="I301" s="113" t="str">
        <f>IF(A301&lt;&gt;"",SUMIFS(deployment!$H$4:$H$502, deployment!$D$4:$D$502,"="&amp;A301, deployment!$D$4:$D$502,"&lt;&gt;"&amp;""),"")</f>
        <v/>
      </c>
      <c r="J301" s="114" t="str">
        <f>IF(A301&lt;&gt;"",SUMIFS(deployment!$I$4:$I$502, deployment!$D$4:$D$502,"="&amp;A301, deployment!$D$4:$D$502,"&lt;&gt;"&amp;""),"")</f>
        <v/>
      </c>
      <c r="K301" s="182" t="str">
        <f>IF(A301&lt;&gt;"",SUMIFS(deployment!$J$4:$J$1002, deployment!$D$4:$D$1002,"="&amp;A301, deployment!$D$4:$D$1002,"&lt;&gt;"&amp;"", deployment!$C$4:$C$1002, "&lt;&gt;* )")+SUMIFS(namespace!$G$4:$G$1002, namespace!$B$4:$B$1002,"="&amp;A301, namespace!$B$4:$B$1002,"&lt;&gt;"&amp;""),"")</f>
        <v/>
      </c>
      <c r="L301" s="182" t="str">
        <f>IF(A301&lt;&gt;"",SUMIFS(deployment!$K$4:$K$1002, deployment!$D$4:$D$1002,"="&amp;A301, deployment!$D$4:$D$1002,"&lt;&gt;"&amp;"", deployment!$C$4:$C$1002, "&lt;&gt;* )")+SUMIFS(namespace!$H$4:$H$1002, namespace!$B$4:$B$1002,"="&amp;A301, namespace!$B$4:$B$1002,"&lt;&gt;"&amp;""),"")</f>
        <v/>
      </c>
      <c r="M301" s="115" t="str">
        <f>IF(A301&lt;&gt;"",SUMIFS(deployment!$L$4:$L$1002, deployment!$D$4:$D$1002,"="&amp;A301, deployment!$D$4:$D$1002,"&lt;&gt;"&amp;"", deployment!$C$4:$C$1002, "&lt;&gt;* )")+SUMIFS(namespace!$I$4:$I$1002, namespace!$B$4:$B$1002,"="&amp;A301, namespace!$B$4:$B$1002,"&lt;&gt;"&amp;""),"")</f>
        <v/>
      </c>
      <c r="N301" s="115" t="str">
        <f>IF(A301&lt;&gt;"",SUMIFS(deployment!$M$4:$M$1002, deployment!$D$4:$D$1002,"="&amp;A301, deployment!$D$4:$D$1002,"&lt;&gt;"&amp;"", deployment!$C$4:$C$1002, "&lt;&gt;* )")+SUMIFS(namespace!$J$4:$J$1002, namespace!$B$4:$B$1002,"="&amp;A301, namespace!$B$4:$B$1002,"&lt;&gt;"&amp;""),"")</f>
        <v/>
      </c>
      <c r="O301" s="116" t="str">
        <f t="shared" si="55"/>
        <v/>
      </c>
      <c r="P301" s="63"/>
      <c r="Q301" s="164" t="str">
        <f t="shared" si="50"/>
        <v/>
      </c>
      <c r="R301" s="60" t="str">
        <f t="shared" si="51"/>
        <v/>
      </c>
      <c r="S301" s="60" t="str">
        <f t="shared" si="52"/>
        <v/>
      </c>
      <c r="T301" s="61" t="str">
        <f t="shared" si="53"/>
        <v/>
      </c>
      <c r="U301" s="61" t="str">
        <f t="shared" si="54"/>
        <v/>
      </c>
      <c r="V301" s="183" t="str">
        <f t="shared" si="56"/>
        <v/>
      </c>
      <c r="W301" s="183" t="str">
        <f t="shared" si="57"/>
        <v/>
      </c>
      <c r="X301" s="61" t="str">
        <f t="shared" si="58"/>
        <v/>
      </c>
      <c r="Y301" s="61" t="str">
        <f t="shared" si="59"/>
        <v/>
      </c>
      <c r="Z301" s="118" t="str">
        <f t="shared" si="60"/>
        <v/>
      </c>
      <c r="AA301" s="62" t="str">
        <f t="shared" si="61"/>
        <v/>
      </c>
      <c r="AB301" s="119" t="str">
        <f>IF(A301&lt;&gt;"", IF(P301&lt;&gt;0,SUMIFS(node!$J$2:$J$1000, node!$C$2:$C$1000,"="&amp;A301)/P301,0), "")</f>
        <v/>
      </c>
      <c r="AC301" s="81" t="str">
        <f>IF(A301&lt;&gt;"", IF(P301&lt;&gt;0,SUMIFS(node!$K$2:$K$1000, node!$C$2:$C$1000,"="&amp;A301)/P301,0), "")</f>
        <v/>
      </c>
      <c r="AD301" s="82" t="str">
        <f>IF(A301&lt;&gt;"", SUMIFS(node!$L$2:$L$1000, node!$C$2:$C$1000,"="&amp;A301), "")</f>
        <v/>
      </c>
      <c r="AE301" s="87" t="str">
        <f>IF(A301&lt;&gt;"", SUMIFS(node!$M$2:$M$1000, node!$C$2:$C$1000,"="&amp;A301), "")</f>
        <v/>
      </c>
    </row>
    <row r="302" spans="1:31" ht="15.75" customHeight="1" x14ac:dyDescent="0.25">
      <c r="A302" s="71" t="str">
        <f>IF(ISNONTEXT(node_raw[[#This Row],[Column2]]), "", node_raw[[#This Row],[Column2]])</f>
        <v/>
      </c>
      <c r="B302" s="108" t="str">
        <f>IF(A302&lt;&gt;"", VLOOKUP(A302, node!$C$2:$D$1000, 2, FALSE), "")</f>
        <v/>
      </c>
      <c r="C302" s="109" t="str">
        <f>IF(A302&lt;&gt;"", VLOOKUP(A302, node!$C$2:$E$1000, 3, FALSE), "")</f>
        <v/>
      </c>
      <c r="D302" s="110" t="str">
        <f>IF(A302&lt;&gt;"",COUNTIFS(node!$C$2:$C$1000,"="&amp;A302, node!$C$2:$C$1000,"&lt;&gt;"&amp;""),"")</f>
        <v/>
      </c>
      <c r="E302" s="111" t="str">
        <f>IF(A302&lt;&gt;"",SUMIFS(node!$F$2:$F$500, node!$C$2:$C$500,"="&amp;A302, node!$C$2:$C$500,"&lt;&gt;"&amp;"")/(B302*D302),"")</f>
        <v/>
      </c>
      <c r="F302" s="112" t="str">
        <f>IF(A302&lt;&gt;"",SUMIFS(node!$H$2:$H$500, node!$C$2:$C$500,"="&amp;A302, node!$C$2:$C$500,"&lt;&gt;"&amp;"")/(C302*D302),"")</f>
        <v/>
      </c>
      <c r="G302" s="179" t="str">
        <f>IF(A302&lt;&gt;"",SUMIFS(deployment!$F$4:$F$502, deployment!$D$4:$D$502,"="&amp;A302, deployment!$D$4:$D$502,"&lt;&gt;"&amp;""),"")</f>
        <v/>
      </c>
      <c r="H302" s="181" t="str">
        <f>IF(A302&lt;&gt;"",SUMIFS(deployment!$G$4:$G$502, deployment!$D$4:$D$502,"="&amp;A302, deployment!$D$4:$D$502,"&lt;&gt;"&amp;""),"")</f>
        <v/>
      </c>
      <c r="I302" s="113" t="str">
        <f>IF(A302&lt;&gt;"",SUMIFS(deployment!$H$4:$H$502, deployment!$D$4:$D$502,"="&amp;A302, deployment!$D$4:$D$502,"&lt;&gt;"&amp;""),"")</f>
        <v/>
      </c>
      <c r="J302" s="114" t="str">
        <f>IF(A302&lt;&gt;"",SUMIFS(deployment!$I$4:$I$502, deployment!$D$4:$D$502,"="&amp;A302, deployment!$D$4:$D$502,"&lt;&gt;"&amp;""),"")</f>
        <v/>
      </c>
      <c r="K302" s="182" t="str">
        <f>IF(A302&lt;&gt;"",SUMIFS(deployment!$J$4:$J$1002, deployment!$D$4:$D$1002,"="&amp;A302, deployment!$D$4:$D$1002,"&lt;&gt;"&amp;"", deployment!$C$4:$C$1002, "&lt;&gt;* )")+SUMIFS(namespace!$G$4:$G$1002, namespace!$B$4:$B$1002,"="&amp;A302, namespace!$B$4:$B$1002,"&lt;&gt;"&amp;""),"")</f>
        <v/>
      </c>
      <c r="L302" s="182" t="str">
        <f>IF(A302&lt;&gt;"",SUMIFS(deployment!$K$4:$K$1002, deployment!$D$4:$D$1002,"="&amp;A302, deployment!$D$4:$D$1002,"&lt;&gt;"&amp;"", deployment!$C$4:$C$1002, "&lt;&gt;* )")+SUMIFS(namespace!$H$4:$H$1002, namespace!$B$4:$B$1002,"="&amp;A302, namespace!$B$4:$B$1002,"&lt;&gt;"&amp;""),"")</f>
        <v/>
      </c>
      <c r="M302" s="115" t="str">
        <f>IF(A302&lt;&gt;"",SUMIFS(deployment!$L$4:$L$1002, deployment!$D$4:$D$1002,"="&amp;A302, deployment!$D$4:$D$1002,"&lt;&gt;"&amp;"", deployment!$C$4:$C$1002, "&lt;&gt;* )")+SUMIFS(namespace!$I$4:$I$1002, namespace!$B$4:$B$1002,"="&amp;A302, namespace!$B$4:$B$1002,"&lt;&gt;"&amp;""),"")</f>
        <v/>
      </c>
      <c r="N302" s="115" t="str">
        <f>IF(A302&lt;&gt;"",SUMIFS(deployment!$M$4:$M$1002, deployment!$D$4:$D$1002,"="&amp;A302, deployment!$D$4:$D$1002,"&lt;&gt;"&amp;"", deployment!$C$4:$C$1002, "&lt;&gt;* )")+SUMIFS(namespace!$J$4:$J$1002, namespace!$B$4:$B$1002,"="&amp;A302, namespace!$B$4:$B$1002,"&lt;&gt;"&amp;""),"")</f>
        <v/>
      </c>
      <c r="O302" s="116" t="str">
        <f t="shared" si="55"/>
        <v/>
      </c>
      <c r="P302" s="63"/>
      <c r="Q302" s="164" t="str">
        <f t="shared" si="50"/>
        <v/>
      </c>
      <c r="R302" s="60" t="str">
        <f t="shared" si="51"/>
        <v/>
      </c>
      <c r="S302" s="60" t="str">
        <f t="shared" si="52"/>
        <v/>
      </c>
      <c r="T302" s="61" t="str">
        <f t="shared" si="53"/>
        <v/>
      </c>
      <c r="U302" s="61" t="str">
        <f t="shared" si="54"/>
        <v/>
      </c>
      <c r="V302" s="183" t="str">
        <f t="shared" si="56"/>
        <v/>
      </c>
      <c r="W302" s="183" t="str">
        <f t="shared" si="57"/>
        <v/>
      </c>
      <c r="X302" s="61" t="str">
        <f t="shared" si="58"/>
        <v/>
      </c>
      <c r="Y302" s="61" t="str">
        <f t="shared" si="59"/>
        <v/>
      </c>
      <c r="Z302" s="118" t="str">
        <f t="shared" si="60"/>
        <v/>
      </c>
      <c r="AA302" s="62" t="str">
        <f t="shared" si="61"/>
        <v/>
      </c>
      <c r="AB302" s="119" t="str">
        <f>IF(A302&lt;&gt;"", IF(P302&lt;&gt;0,SUMIFS(node!$J$2:$J$1000, node!$C$2:$C$1000,"="&amp;A302)/P302,0), "")</f>
        <v/>
      </c>
      <c r="AC302" s="81" t="str">
        <f>IF(A302&lt;&gt;"", IF(P302&lt;&gt;0,SUMIFS(node!$K$2:$K$1000, node!$C$2:$C$1000,"="&amp;A302)/P302,0), "")</f>
        <v/>
      </c>
      <c r="AD302" s="82" t="str">
        <f>IF(A302&lt;&gt;"", SUMIFS(node!$L$2:$L$1000, node!$C$2:$C$1000,"="&amp;A302), "")</f>
        <v/>
      </c>
      <c r="AE302" s="87" t="str">
        <f>IF(A302&lt;&gt;"", SUMIFS(node!$M$2:$M$1000, node!$C$2:$C$1000,"="&amp;A302), "")</f>
        <v/>
      </c>
    </row>
    <row r="303" spans="1:31" ht="15.75" customHeight="1" x14ac:dyDescent="0.25">
      <c r="A303" s="71" t="str">
        <f>IF(ISNONTEXT(node_raw[[#This Row],[Column2]]), "", node_raw[[#This Row],[Column2]])</f>
        <v/>
      </c>
      <c r="B303" s="108" t="str">
        <f>IF(A303&lt;&gt;"", VLOOKUP(A303, node!$C$2:$D$1000, 2, FALSE), "")</f>
        <v/>
      </c>
      <c r="C303" s="109" t="str">
        <f>IF(A303&lt;&gt;"", VLOOKUP(A303, node!$C$2:$E$1000, 3, FALSE), "")</f>
        <v/>
      </c>
      <c r="D303" s="110" t="str">
        <f>IF(A303&lt;&gt;"",COUNTIFS(node!$C$2:$C$1000,"="&amp;A303, node!$C$2:$C$1000,"&lt;&gt;"&amp;""),"")</f>
        <v/>
      </c>
      <c r="E303" s="111" t="str">
        <f>IF(A303&lt;&gt;"",SUMIFS(node!$F$2:$F$500, node!$C$2:$C$500,"="&amp;A303, node!$C$2:$C$500,"&lt;&gt;"&amp;"")/(B303*D303),"")</f>
        <v/>
      </c>
      <c r="F303" s="112" t="str">
        <f>IF(A303&lt;&gt;"",SUMIFS(node!$H$2:$H$500, node!$C$2:$C$500,"="&amp;A303, node!$C$2:$C$500,"&lt;&gt;"&amp;"")/(C303*D303),"")</f>
        <v/>
      </c>
      <c r="G303" s="179" t="str">
        <f>IF(A303&lt;&gt;"",SUMIFS(deployment!$F$4:$F$502, deployment!$D$4:$D$502,"="&amp;A303, deployment!$D$4:$D$502,"&lt;&gt;"&amp;""),"")</f>
        <v/>
      </c>
      <c r="H303" s="181" t="str">
        <f>IF(A303&lt;&gt;"",SUMIFS(deployment!$G$4:$G$502, deployment!$D$4:$D$502,"="&amp;A303, deployment!$D$4:$D$502,"&lt;&gt;"&amp;""),"")</f>
        <v/>
      </c>
      <c r="I303" s="113" t="str">
        <f>IF(A303&lt;&gt;"",SUMIFS(deployment!$H$4:$H$502, deployment!$D$4:$D$502,"="&amp;A303, deployment!$D$4:$D$502,"&lt;&gt;"&amp;""),"")</f>
        <v/>
      </c>
      <c r="J303" s="114" t="str">
        <f>IF(A303&lt;&gt;"",SUMIFS(deployment!$I$4:$I$502, deployment!$D$4:$D$502,"="&amp;A303, deployment!$D$4:$D$502,"&lt;&gt;"&amp;""),"")</f>
        <v/>
      </c>
      <c r="K303" s="182" t="str">
        <f>IF(A303&lt;&gt;"",SUMIFS(deployment!$J$4:$J$1002, deployment!$D$4:$D$1002,"="&amp;A303, deployment!$D$4:$D$1002,"&lt;&gt;"&amp;"", deployment!$C$4:$C$1002, "&lt;&gt;* )")+SUMIFS(namespace!$G$4:$G$1002, namespace!$B$4:$B$1002,"="&amp;A303, namespace!$B$4:$B$1002,"&lt;&gt;"&amp;""),"")</f>
        <v/>
      </c>
      <c r="L303" s="182" t="str">
        <f>IF(A303&lt;&gt;"",SUMIFS(deployment!$K$4:$K$1002, deployment!$D$4:$D$1002,"="&amp;A303, deployment!$D$4:$D$1002,"&lt;&gt;"&amp;"", deployment!$C$4:$C$1002, "&lt;&gt;* )")+SUMIFS(namespace!$H$4:$H$1002, namespace!$B$4:$B$1002,"="&amp;A303, namespace!$B$4:$B$1002,"&lt;&gt;"&amp;""),"")</f>
        <v/>
      </c>
      <c r="M303" s="115" t="str">
        <f>IF(A303&lt;&gt;"",SUMIFS(deployment!$L$4:$L$1002, deployment!$D$4:$D$1002,"="&amp;A303, deployment!$D$4:$D$1002,"&lt;&gt;"&amp;"", deployment!$C$4:$C$1002, "&lt;&gt;* )")+SUMIFS(namespace!$I$4:$I$1002, namespace!$B$4:$B$1002,"="&amp;A303, namespace!$B$4:$B$1002,"&lt;&gt;"&amp;""),"")</f>
        <v/>
      </c>
      <c r="N303" s="115" t="str">
        <f>IF(A303&lt;&gt;"",SUMIFS(deployment!$M$4:$M$1002, deployment!$D$4:$D$1002,"="&amp;A303, deployment!$D$4:$D$1002,"&lt;&gt;"&amp;"", deployment!$C$4:$C$1002, "&lt;&gt;* )")+SUMIFS(namespace!$J$4:$J$1002, namespace!$B$4:$B$1002,"="&amp;A303, namespace!$B$4:$B$1002,"&lt;&gt;"&amp;""),"")</f>
        <v/>
      </c>
      <c r="O303" s="116" t="str">
        <f t="shared" si="55"/>
        <v/>
      </c>
      <c r="P303" s="63"/>
      <c r="Q303" s="164" t="str">
        <f t="shared" si="50"/>
        <v/>
      </c>
      <c r="R303" s="60" t="str">
        <f t="shared" si="51"/>
        <v/>
      </c>
      <c r="S303" s="60" t="str">
        <f t="shared" si="52"/>
        <v/>
      </c>
      <c r="T303" s="61" t="str">
        <f t="shared" si="53"/>
        <v/>
      </c>
      <c r="U303" s="61" t="str">
        <f t="shared" si="54"/>
        <v/>
      </c>
      <c r="V303" s="183" t="str">
        <f t="shared" si="56"/>
        <v/>
      </c>
      <c r="W303" s="183" t="str">
        <f t="shared" si="57"/>
        <v/>
      </c>
      <c r="X303" s="61" t="str">
        <f t="shared" si="58"/>
        <v/>
      </c>
      <c r="Y303" s="61" t="str">
        <f t="shared" si="59"/>
        <v/>
      </c>
      <c r="Z303" s="118" t="str">
        <f t="shared" si="60"/>
        <v/>
      </c>
      <c r="AA303" s="62" t="str">
        <f t="shared" si="61"/>
        <v/>
      </c>
      <c r="AB303" s="119" t="str">
        <f>IF(A303&lt;&gt;"", IF(P303&lt;&gt;0,SUMIFS(node!$J$2:$J$1000, node!$C$2:$C$1000,"="&amp;A303)/P303,0), "")</f>
        <v/>
      </c>
      <c r="AC303" s="81" t="str">
        <f>IF(A303&lt;&gt;"", IF(P303&lt;&gt;0,SUMIFS(node!$K$2:$K$1000, node!$C$2:$C$1000,"="&amp;A303)/P303,0), "")</f>
        <v/>
      </c>
      <c r="AD303" s="82" t="str">
        <f>IF(A303&lt;&gt;"", SUMIFS(node!$L$2:$L$1000, node!$C$2:$C$1000,"="&amp;A303), "")</f>
        <v/>
      </c>
      <c r="AE303" s="87" t="str">
        <f>IF(A303&lt;&gt;"", SUMIFS(node!$M$2:$M$1000, node!$C$2:$C$1000,"="&amp;A303), "")</f>
        <v/>
      </c>
    </row>
    <row r="304" spans="1:31" ht="15.75" customHeight="1" x14ac:dyDescent="0.25">
      <c r="A304" s="71" t="str">
        <f>IF(ISNONTEXT(node_raw[[#This Row],[Column2]]), "", node_raw[[#This Row],[Column2]])</f>
        <v/>
      </c>
      <c r="B304" s="108" t="str">
        <f>IF(A304&lt;&gt;"", VLOOKUP(A304, node!$C$2:$D$1000, 2, FALSE), "")</f>
        <v/>
      </c>
      <c r="C304" s="109" t="str">
        <f>IF(A304&lt;&gt;"", VLOOKUP(A304, node!$C$2:$E$1000, 3, FALSE), "")</f>
        <v/>
      </c>
      <c r="D304" s="110" t="str">
        <f>IF(A304&lt;&gt;"",COUNTIFS(node!$C$2:$C$1000,"="&amp;A304, node!$C$2:$C$1000,"&lt;&gt;"&amp;""),"")</f>
        <v/>
      </c>
      <c r="E304" s="111" t="str">
        <f>IF(A304&lt;&gt;"",SUMIFS(node!$F$2:$F$500, node!$C$2:$C$500,"="&amp;A304, node!$C$2:$C$500,"&lt;&gt;"&amp;"")/(B304*D304),"")</f>
        <v/>
      </c>
      <c r="F304" s="112" t="str">
        <f>IF(A304&lt;&gt;"",SUMIFS(node!$H$2:$H$500, node!$C$2:$C$500,"="&amp;A304, node!$C$2:$C$500,"&lt;&gt;"&amp;"")/(C304*D304),"")</f>
        <v/>
      </c>
      <c r="G304" s="179" t="str">
        <f>IF(A304&lt;&gt;"",SUMIFS(deployment!$F$4:$F$502, deployment!$D$4:$D$502,"="&amp;A304, deployment!$D$4:$D$502,"&lt;&gt;"&amp;""),"")</f>
        <v/>
      </c>
      <c r="H304" s="181" t="str">
        <f>IF(A304&lt;&gt;"",SUMIFS(deployment!$G$4:$G$502, deployment!$D$4:$D$502,"="&amp;A304, deployment!$D$4:$D$502,"&lt;&gt;"&amp;""),"")</f>
        <v/>
      </c>
      <c r="I304" s="113" t="str">
        <f>IF(A304&lt;&gt;"",SUMIFS(deployment!$H$4:$H$502, deployment!$D$4:$D$502,"="&amp;A304, deployment!$D$4:$D$502,"&lt;&gt;"&amp;""),"")</f>
        <v/>
      </c>
      <c r="J304" s="114" t="str">
        <f>IF(A304&lt;&gt;"",SUMIFS(deployment!$I$4:$I$502, deployment!$D$4:$D$502,"="&amp;A304, deployment!$D$4:$D$502,"&lt;&gt;"&amp;""),"")</f>
        <v/>
      </c>
      <c r="K304" s="182" t="str">
        <f>IF(A304&lt;&gt;"",SUMIFS(deployment!$J$4:$J$1002, deployment!$D$4:$D$1002,"="&amp;A304, deployment!$D$4:$D$1002,"&lt;&gt;"&amp;"", deployment!$C$4:$C$1002, "&lt;&gt;* )")+SUMIFS(namespace!$G$4:$G$1002, namespace!$B$4:$B$1002,"="&amp;A304, namespace!$B$4:$B$1002,"&lt;&gt;"&amp;""),"")</f>
        <v/>
      </c>
      <c r="L304" s="182" t="str">
        <f>IF(A304&lt;&gt;"",SUMIFS(deployment!$K$4:$K$1002, deployment!$D$4:$D$1002,"="&amp;A304, deployment!$D$4:$D$1002,"&lt;&gt;"&amp;"", deployment!$C$4:$C$1002, "&lt;&gt;* )")+SUMIFS(namespace!$H$4:$H$1002, namespace!$B$4:$B$1002,"="&amp;A304, namespace!$B$4:$B$1002,"&lt;&gt;"&amp;""),"")</f>
        <v/>
      </c>
      <c r="M304" s="115" t="str">
        <f>IF(A304&lt;&gt;"",SUMIFS(deployment!$L$4:$L$1002, deployment!$D$4:$D$1002,"="&amp;A304, deployment!$D$4:$D$1002,"&lt;&gt;"&amp;"", deployment!$C$4:$C$1002, "&lt;&gt;* )")+SUMIFS(namespace!$I$4:$I$1002, namespace!$B$4:$B$1002,"="&amp;A304, namespace!$B$4:$B$1002,"&lt;&gt;"&amp;""),"")</f>
        <v/>
      </c>
      <c r="N304" s="115" t="str">
        <f>IF(A304&lt;&gt;"",SUMIFS(deployment!$M$4:$M$1002, deployment!$D$4:$D$1002,"="&amp;A304, deployment!$D$4:$D$1002,"&lt;&gt;"&amp;"", deployment!$C$4:$C$1002, "&lt;&gt;* )")+SUMIFS(namespace!$J$4:$J$1002, namespace!$B$4:$B$1002,"="&amp;A304, namespace!$B$4:$B$1002,"&lt;&gt;"&amp;""),"")</f>
        <v/>
      </c>
      <c r="O304" s="116" t="str">
        <f t="shared" si="55"/>
        <v/>
      </c>
      <c r="P304" s="63"/>
      <c r="Q304" s="164" t="str">
        <f t="shared" si="50"/>
        <v/>
      </c>
      <c r="R304" s="60" t="str">
        <f t="shared" si="51"/>
        <v/>
      </c>
      <c r="S304" s="60" t="str">
        <f t="shared" si="52"/>
        <v/>
      </c>
      <c r="T304" s="61" t="str">
        <f t="shared" si="53"/>
        <v/>
      </c>
      <c r="U304" s="61" t="str">
        <f t="shared" si="54"/>
        <v/>
      </c>
      <c r="V304" s="183" t="str">
        <f t="shared" si="56"/>
        <v/>
      </c>
      <c r="W304" s="183" t="str">
        <f t="shared" si="57"/>
        <v/>
      </c>
      <c r="X304" s="61" t="str">
        <f t="shared" si="58"/>
        <v/>
      </c>
      <c r="Y304" s="61" t="str">
        <f t="shared" si="59"/>
        <v/>
      </c>
      <c r="Z304" s="118" t="str">
        <f t="shared" si="60"/>
        <v/>
      </c>
      <c r="AA304" s="62" t="str">
        <f t="shared" si="61"/>
        <v/>
      </c>
      <c r="AB304" s="119" t="str">
        <f>IF(A304&lt;&gt;"", IF(P304&lt;&gt;0,SUMIFS(node!$J$2:$J$1000, node!$C$2:$C$1000,"="&amp;A304)/P304,0), "")</f>
        <v/>
      </c>
      <c r="AC304" s="81" t="str">
        <f>IF(A304&lt;&gt;"", IF(P304&lt;&gt;0,SUMIFS(node!$K$2:$K$1000, node!$C$2:$C$1000,"="&amp;A304)/P304,0), "")</f>
        <v/>
      </c>
      <c r="AD304" s="82" t="str">
        <f>IF(A304&lt;&gt;"", SUMIFS(node!$L$2:$L$1000, node!$C$2:$C$1000,"="&amp;A304), "")</f>
        <v/>
      </c>
      <c r="AE304" s="87" t="str">
        <f>IF(A304&lt;&gt;"", SUMIFS(node!$M$2:$M$1000, node!$C$2:$C$1000,"="&amp;A304), "")</f>
        <v/>
      </c>
    </row>
    <row r="305" spans="1:31" ht="15.75" customHeight="1" x14ac:dyDescent="0.25">
      <c r="A305" s="71" t="str">
        <f>IF(ISNONTEXT(node_raw[[#This Row],[Column2]]), "", node_raw[[#This Row],[Column2]])</f>
        <v/>
      </c>
      <c r="B305" s="108" t="str">
        <f>IF(A305&lt;&gt;"", VLOOKUP(A305, node!$C$2:$D$1000, 2, FALSE), "")</f>
        <v/>
      </c>
      <c r="C305" s="109" t="str">
        <f>IF(A305&lt;&gt;"", VLOOKUP(A305, node!$C$2:$E$1000, 3, FALSE), "")</f>
        <v/>
      </c>
      <c r="D305" s="110" t="str">
        <f>IF(A305&lt;&gt;"",COUNTIFS(node!$C$2:$C$1000,"="&amp;A305, node!$C$2:$C$1000,"&lt;&gt;"&amp;""),"")</f>
        <v/>
      </c>
      <c r="E305" s="111" t="str">
        <f>IF(A305&lt;&gt;"",SUMIFS(node!$F$2:$F$500, node!$C$2:$C$500,"="&amp;A305, node!$C$2:$C$500,"&lt;&gt;"&amp;"")/(B305*D305),"")</f>
        <v/>
      </c>
      <c r="F305" s="112" t="str">
        <f>IF(A305&lt;&gt;"",SUMIFS(node!$H$2:$H$500, node!$C$2:$C$500,"="&amp;A305, node!$C$2:$C$500,"&lt;&gt;"&amp;"")/(C305*D305),"")</f>
        <v/>
      </c>
      <c r="G305" s="179" t="str">
        <f>IF(A305&lt;&gt;"",SUMIFS(deployment!$F$4:$F$502, deployment!$D$4:$D$502,"="&amp;A305, deployment!$D$4:$D$502,"&lt;&gt;"&amp;""),"")</f>
        <v/>
      </c>
      <c r="H305" s="181" t="str">
        <f>IF(A305&lt;&gt;"",SUMIFS(deployment!$G$4:$G$502, deployment!$D$4:$D$502,"="&amp;A305, deployment!$D$4:$D$502,"&lt;&gt;"&amp;""),"")</f>
        <v/>
      </c>
      <c r="I305" s="113" t="str">
        <f>IF(A305&lt;&gt;"",SUMIFS(deployment!$H$4:$H$502, deployment!$D$4:$D$502,"="&amp;A305, deployment!$D$4:$D$502,"&lt;&gt;"&amp;""),"")</f>
        <v/>
      </c>
      <c r="J305" s="114" t="str">
        <f>IF(A305&lt;&gt;"",SUMIFS(deployment!$I$4:$I$502, deployment!$D$4:$D$502,"="&amp;A305, deployment!$D$4:$D$502,"&lt;&gt;"&amp;""),"")</f>
        <v/>
      </c>
      <c r="K305" s="182" t="str">
        <f>IF(A305&lt;&gt;"",SUMIFS(deployment!$J$4:$J$1002, deployment!$D$4:$D$1002,"="&amp;A305, deployment!$D$4:$D$1002,"&lt;&gt;"&amp;"", deployment!$C$4:$C$1002, "&lt;&gt;* )")+SUMIFS(namespace!$G$4:$G$1002, namespace!$B$4:$B$1002,"="&amp;A305, namespace!$B$4:$B$1002,"&lt;&gt;"&amp;""),"")</f>
        <v/>
      </c>
      <c r="L305" s="182" t="str">
        <f>IF(A305&lt;&gt;"",SUMIFS(deployment!$K$4:$K$1002, deployment!$D$4:$D$1002,"="&amp;A305, deployment!$D$4:$D$1002,"&lt;&gt;"&amp;"", deployment!$C$4:$C$1002, "&lt;&gt;* )")+SUMIFS(namespace!$H$4:$H$1002, namespace!$B$4:$B$1002,"="&amp;A305, namespace!$B$4:$B$1002,"&lt;&gt;"&amp;""),"")</f>
        <v/>
      </c>
      <c r="M305" s="115" t="str">
        <f>IF(A305&lt;&gt;"",SUMIFS(deployment!$L$4:$L$1002, deployment!$D$4:$D$1002,"="&amp;A305, deployment!$D$4:$D$1002,"&lt;&gt;"&amp;"", deployment!$C$4:$C$1002, "&lt;&gt;* )")+SUMIFS(namespace!$I$4:$I$1002, namespace!$B$4:$B$1002,"="&amp;A305, namespace!$B$4:$B$1002,"&lt;&gt;"&amp;""),"")</f>
        <v/>
      </c>
      <c r="N305" s="115" t="str">
        <f>IF(A305&lt;&gt;"",SUMIFS(deployment!$M$4:$M$1002, deployment!$D$4:$D$1002,"="&amp;A305, deployment!$D$4:$D$1002,"&lt;&gt;"&amp;"", deployment!$C$4:$C$1002, "&lt;&gt;* )")+SUMIFS(namespace!$J$4:$J$1002, namespace!$B$4:$B$1002,"="&amp;A305, namespace!$B$4:$B$1002,"&lt;&gt;"&amp;""),"")</f>
        <v/>
      </c>
      <c r="O305" s="116" t="str">
        <f t="shared" si="55"/>
        <v/>
      </c>
      <c r="P305" s="63"/>
      <c r="Q305" s="164" t="str">
        <f t="shared" si="50"/>
        <v/>
      </c>
      <c r="R305" s="60" t="str">
        <f t="shared" si="51"/>
        <v/>
      </c>
      <c r="S305" s="60" t="str">
        <f t="shared" si="52"/>
        <v/>
      </c>
      <c r="T305" s="61" t="str">
        <f t="shared" si="53"/>
        <v/>
      </c>
      <c r="U305" s="61" t="str">
        <f t="shared" si="54"/>
        <v/>
      </c>
      <c r="V305" s="183" t="str">
        <f t="shared" si="56"/>
        <v/>
      </c>
      <c r="W305" s="183" t="str">
        <f t="shared" si="57"/>
        <v/>
      </c>
      <c r="X305" s="61" t="str">
        <f t="shared" si="58"/>
        <v/>
      </c>
      <c r="Y305" s="61" t="str">
        <f t="shared" si="59"/>
        <v/>
      </c>
      <c r="Z305" s="118" t="str">
        <f t="shared" si="60"/>
        <v/>
      </c>
      <c r="AA305" s="62" t="str">
        <f t="shared" si="61"/>
        <v/>
      </c>
      <c r="AB305" s="119" t="str">
        <f>IF(A305&lt;&gt;"", IF(P305&lt;&gt;0,SUMIFS(node!$J$2:$J$1000, node!$C$2:$C$1000,"="&amp;A305)/P305,0), "")</f>
        <v/>
      </c>
      <c r="AC305" s="81" t="str">
        <f>IF(A305&lt;&gt;"", IF(P305&lt;&gt;0,SUMIFS(node!$K$2:$K$1000, node!$C$2:$C$1000,"="&amp;A305)/P305,0), "")</f>
        <v/>
      </c>
      <c r="AD305" s="82" t="str">
        <f>IF(A305&lt;&gt;"", SUMIFS(node!$L$2:$L$1000, node!$C$2:$C$1000,"="&amp;A305), "")</f>
        <v/>
      </c>
      <c r="AE305" s="87" t="str">
        <f>IF(A305&lt;&gt;"", SUMIFS(node!$M$2:$M$1000, node!$C$2:$C$1000,"="&amp;A305), "")</f>
        <v/>
      </c>
    </row>
    <row r="306" spans="1:31" ht="15.75" customHeight="1" x14ac:dyDescent="0.25">
      <c r="A306" s="71" t="str">
        <f>IF(ISNONTEXT(node_raw[[#This Row],[Column2]]), "", node_raw[[#This Row],[Column2]])</f>
        <v/>
      </c>
      <c r="B306" s="108" t="str">
        <f>IF(A306&lt;&gt;"", VLOOKUP(A306, node!$C$2:$D$1000, 2, FALSE), "")</f>
        <v/>
      </c>
      <c r="C306" s="109" t="str">
        <f>IF(A306&lt;&gt;"", VLOOKUP(A306, node!$C$2:$E$1000, 3, FALSE), "")</f>
        <v/>
      </c>
      <c r="D306" s="110" t="str">
        <f>IF(A306&lt;&gt;"",COUNTIFS(node!$C$2:$C$1000,"="&amp;A306, node!$C$2:$C$1000,"&lt;&gt;"&amp;""),"")</f>
        <v/>
      </c>
      <c r="E306" s="111" t="str">
        <f>IF(A306&lt;&gt;"",SUMIFS(node!$F$2:$F$500, node!$C$2:$C$500,"="&amp;A306, node!$C$2:$C$500,"&lt;&gt;"&amp;"")/(B306*D306),"")</f>
        <v/>
      </c>
      <c r="F306" s="112" t="str">
        <f>IF(A306&lt;&gt;"",SUMIFS(node!$H$2:$H$500, node!$C$2:$C$500,"="&amp;A306, node!$C$2:$C$500,"&lt;&gt;"&amp;"")/(C306*D306),"")</f>
        <v/>
      </c>
      <c r="G306" s="179" t="str">
        <f>IF(A306&lt;&gt;"",SUMIFS(deployment!$F$4:$F$502, deployment!$D$4:$D$502,"="&amp;A306, deployment!$D$4:$D$502,"&lt;&gt;"&amp;""),"")</f>
        <v/>
      </c>
      <c r="H306" s="181" t="str">
        <f>IF(A306&lt;&gt;"",SUMIFS(deployment!$G$4:$G$502, deployment!$D$4:$D$502,"="&amp;A306, deployment!$D$4:$D$502,"&lt;&gt;"&amp;""),"")</f>
        <v/>
      </c>
      <c r="I306" s="113" t="str">
        <f>IF(A306&lt;&gt;"",SUMIFS(deployment!$H$4:$H$502, deployment!$D$4:$D$502,"="&amp;A306, deployment!$D$4:$D$502,"&lt;&gt;"&amp;""),"")</f>
        <v/>
      </c>
      <c r="J306" s="114" t="str">
        <f>IF(A306&lt;&gt;"",SUMIFS(deployment!$I$4:$I$502, deployment!$D$4:$D$502,"="&amp;A306, deployment!$D$4:$D$502,"&lt;&gt;"&amp;""),"")</f>
        <v/>
      </c>
      <c r="K306" s="182" t="str">
        <f>IF(A306&lt;&gt;"",SUMIFS(deployment!$J$4:$J$1002, deployment!$D$4:$D$1002,"="&amp;A306, deployment!$D$4:$D$1002,"&lt;&gt;"&amp;"", deployment!$C$4:$C$1002, "&lt;&gt;* )")+SUMIFS(namespace!$G$4:$G$1002, namespace!$B$4:$B$1002,"="&amp;A306, namespace!$B$4:$B$1002,"&lt;&gt;"&amp;""),"")</f>
        <v/>
      </c>
      <c r="L306" s="182" t="str">
        <f>IF(A306&lt;&gt;"",SUMIFS(deployment!$K$4:$K$1002, deployment!$D$4:$D$1002,"="&amp;A306, deployment!$D$4:$D$1002,"&lt;&gt;"&amp;"", deployment!$C$4:$C$1002, "&lt;&gt;* )")+SUMIFS(namespace!$H$4:$H$1002, namespace!$B$4:$B$1002,"="&amp;A306, namespace!$B$4:$B$1002,"&lt;&gt;"&amp;""),"")</f>
        <v/>
      </c>
      <c r="M306" s="115" t="str">
        <f>IF(A306&lt;&gt;"",SUMIFS(deployment!$L$4:$L$1002, deployment!$D$4:$D$1002,"="&amp;A306, deployment!$D$4:$D$1002,"&lt;&gt;"&amp;"", deployment!$C$4:$C$1002, "&lt;&gt;* )")+SUMIFS(namespace!$I$4:$I$1002, namespace!$B$4:$B$1002,"="&amp;A306, namespace!$B$4:$B$1002,"&lt;&gt;"&amp;""),"")</f>
        <v/>
      </c>
      <c r="N306" s="115" t="str">
        <f>IF(A306&lt;&gt;"",SUMIFS(deployment!$M$4:$M$1002, deployment!$D$4:$D$1002,"="&amp;A306, deployment!$D$4:$D$1002,"&lt;&gt;"&amp;"", deployment!$C$4:$C$1002, "&lt;&gt;* )")+SUMIFS(namespace!$J$4:$J$1002, namespace!$B$4:$B$1002,"="&amp;A306, namespace!$B$4:$B$1002,"&lt;&gt;"&amp;""),"")</f>
        <v/>
      </c>
      <c r="O306" s="116" t="str">
        <f t="shared" si="55"/>
        <v/>
      </c>
      <c r="P306" s="63"/>
      <c r="Q306" s="164" t="str">
        <f t="shared" si="50"/>
        <v/>
      </c>
      <c r="R306" s="60" t="str">
        <f t="shared" si="51"/>
        <v/>
      </c>
      <c r="S306" s="60" t="str">
        <f t="shared" si="52"/>
        <v/>
      </c>
      <c r="T306" s="61" t="str">
        <f t="shared" si="53"/>
        <v/>
      </c>
      <c r="U306" s="61" t="str">
        <f t="shared" si="54"/>
        <v/>
      </c>
      <c r="V306" s="183" t="str">
        <f t="shared" si="56"/>
        <v/>
      </c>
      <c r="W306" s="183" t="str">
        <f t="shared" si="57"/>
        <v/>
      </c>
      <c r="X306" s="61" t="str">
        <f t="shared" si="58"/>
        <v/>
      </c>
      <c r="Y306" s="61" t="str">
        <f t="shared" si="59"/>
        <v/>
      </c>
      <c r="Z306" s="118" t="str">
        <f t="shared" si="60"/>
        <v/>
      </c>
      <c r="AA306" s="62" t="str">
        <f t="shared" si="61"/>
        <v/>
      </c>
      <c r="AB306" s="119" t="str">
        <f>IF(A306&lt;&gt;"", IF(P306&lt;&gt;0,SUMIFS(node!$J$2:$J$1000, node!$C$2:$C$1000,"="&amp;A306)/P306,0), "")</f>
        <v/>
      </c>
      <c r="AC306" s="81" t="str">
        <f>IF(A306&lt;&gt;"", IF(P306&lt;&gt;0,SUMIFS(node!$K$2:$K$1000, node!$C$2:$C$1000,"="&amp;A306)/P306,0), "")</f>
        <v/>
      </c>
      <c r="AD306" s="82" t="str">
        <f>IF(A306&lt;&gt;"", SUMIFS(node!$L$2:$L$1000, node!$C$2:$C$1000,"="&amp;A306), "")</f>
        <v/>
      </c>
      <c r="AE306" s="87" t="str">
        <f>IF(A306&lt;&gt;"", SUMIFS(node!$M$2:$M$1000, node!$C$2:$C$1000,"="&amp;A306), "")</f>
        <v/>
      </c>
    </row>
    <row r="307" spans="1:31" ht="15.75" customHeight="1" x14ac:dyDescent="0.25">
      <c r="A307" s="71" t="str">
        <f>IF(ISNONTEXT(node_raw[[#This Row],[Column2]]), "", node_raw[[#This Row],[Column2]])</f>
        <v/>
      </c>
      <c r="B307" s="108" t="str">
        <f>IF(A307&lt;&gt;"", VLOOKUP(A307, node!$C$2:$D$1000, 2, FALSE), "")</f>
        <v/>
      </c>
      <c r="C307" s="109" t="str">
        <f>IF(A307&lt;&gt;"", VLOOKUP(A307, node!$C$2:$E$1000, 3, FALSE), "")</f>
        <v/>
      </c>
      <c r="D307" s="110" t="str">
        <f>IF(A307&lt;&gt;"",COUNTIFS(node!$C$2:$C$1000,"="&amp;A307, node!$C$2:$C$1000,"&lt;&gt;"&amp;""),"")</f>
        <v/>
      </c>
      <c r="E307" s="111" t="str">
        <f>IF(A307&lt;&gt;"",SUMIFS(node!$F$2:$F$500, node!$C$2:$C$500,"="&amp;A307, node!$C$2:$C$500,"&lt;&gt;"&amp;"")/(B307*D307),"")</f>
        <v/>
      </c>
      <c r="F307" s="112" t="str">
        <f>IF(A307&lt;&gt;"",SUMIFS(node!$H$2:$H$500, node!$C$2:$C$500,"="&amp;A307, node!$C$2:$C$500,"&lt;&gt;"&amp;"")/(C307*D307),"")</f>
        <v/>
      </c>
      <c r="G307" s="179" t="str">
        <f>IF(A307&lt;&gt;"",SUMIFS(deployment!$F$4:$F$502, deployment!$D$4:$D$502,"="&amp;A307, deployment!$D$4:$D$502,"&lt;&gt;"&amp;""),"")</f>
        <v/>
      </c>
      <c r="H307" s="181" t="str">
        <f>IF(A307&lt;&gt;"",SUMIFS(deployment!$G$4:$G$502, deployment!$D$4:$D$502,"="&amp;A307, deployment!$D$4:$D$502,"&lt;&gt;"&amp;""),"")</f>
        <v/>
      </c>
      <c r="I307" s="113" t="str">
        <f>IF(A307&lt;&gt;"",SUMIFS(deployment!$H$4:$H$502, deployment!$D$4:$D$502,"="&amp;A307, deployment!$D$4:$D$502,"&lt;&gt;"&amp;""),"")</f>
        <v/>
      </c>
      <c r="J307" s="114" t="str">
        <f>IF(A307&lt;&gt;"",SUMIFS(deployment!$I$4:$I$502, deployment!$D$4:$D$502,"="&amp;A307, deployment!$D$4:$D$502,"&lt;&gt;"&amp;""),"")</f>
        <v/>
      </c>
      <c r="K307" s="182" t="str">
        <f>IF(A307&lt;&gt;"",SUMIFS(deployment!$J$4:$J$1002, deployment!$D$4:$D$1002,"="&amp;A307, deployment!$D$4:$D$1002,"&lt;&gt;"&amp;"", deployment!$C$4:$C$1002, "&lt;&gt;* )")+SUMIFS(namespace!$G$4:$G$1002, namespace!$B$4:$B$1002,"="&amp;A307, namespace!$B$4:$B$1002,"&lt;&gt;"&amp;""),"")</f>
        <v/>
      </c>
      <c r="L307" s="182" t="str">
        <f>IF(A307&lt;&gt;"",SUMIFS(deployment!$K$4:$K$1002, deployment!$D$4:$D$1002,"="&amp;A307, deployment!$D$4:$D$1002,"&lt;&gt;"&amp;"", deployment!$C$4:$C$1002, "&lt;&gt;* )")+SUMIFS(namespace!$H$4:$H$1002, namespace!$B$4:$B$1002,"="&amp;A307, namespace!$B$4:$B$1002,"&lt;&gt;"&amp;""),"")</f>
        <v/>
      </c>
      <c r="M307" s="115" t="str">
        <f>IF(A307&lt;&gt;"",SUMIFS(deployment!$L$4:$L$1002, deployment!$D$4:$D$1002,"="&amp;A307, deployment!$D$4:$D$1002,"&lt;&gt;"&amp;"", deployment!$C$4:$C$1002, "&lt;&gt;* )")+SUMIFS(namespace!$I$4:$I$1002, namespace!$B$4:$B$1002,"="&amp;A307, namespace!$B$4:$B$1002,"&lt;&gt;"&amp;""),"")</f>
        <v/>
      </c>
      <c r="N307" s="115" t="str">
        <f>IF(A307&lt;&gt;"",SUMIFS(deployment!$M$4:$M$1002, deployment!$D$4:$D$1002,"="&amp;A307, deployment!$D$4:$D$1002,"&lt;&gt;"&amp;"", deployment!$C$4:$C$1002, "&lt;&gt;* )")+SUMIFS(namespace!$J$4:$J$1002, namespace!$B$4:$B$1002,"="&amp;A307, namespace!$B$4:$B$1002,"&lt;&gt;"&amp;""),"")</f>
        <v/>
      </c>
      <c r="O307" s="116" t="str">
        <f t="shared" si="55"/>
        <v/>
      </c>
      <c r="P307" s="63"/>
      <c r="Q307" s="164" t="str">
        <f t="shared" si="50"/>
        <v/>
      </c>
      <c r="R307" s="60" t="str">
        <f t="shared" si="51"/>
        <v/>
      </c>
      <c r="S307" s="60" t="str">
        <f t="shared" si="52"/>
        <v/>
      </c>
      <c r="T307" s="61" t="str">
        <f t="shared" si="53"/>
        <v/>
      </c>
      <c r="U307" s="61" t="str">
        <f t="shared" si="54"/>
        <v/>
      </c>
      <c r="V307" s="183" t="str">
        <f t="shared" si="56"/>
        <v/>
      </c>
      <c r="W307" s="183" t="str">
        <f t="shared" si="57"/>
        <v/>
      </c>
      <c r="X307" s="61" t="str">
        <f t="shared" si="58"/>
        <v/>
      </c>
      <c r="Y307" s="61" t="str">
        <f t="shared" si="59"/>
        <v/>
      </c>
      <c r="Z307" s="118" t="str">
        <f t="shared" si="60"/>
        <v/>
      </c>
      <c r="AA307" s="62" t="str">
        <f t="shared" si="61"/>
        <v/>
      </c>
      <c r="AB307" s="119" t="str">
        <f>IF(A307&lt;&gt;"", IF(P307&lt;&gt;0,SUMIFS(node!$J$2:$J$1000, node!$C$2:$C$1000,"="&amp;A307)/P307,0), "")</f>
        <v/>
      </c>
      <c r="AC307" s="81" t="str">
        <f>IF(A307&lt;&gt;"", IF(P307&lt;&gt;0,SUMIFS(node!$K$2:$K$1000, node!$C$2:$C$1000,"="&amp;A307)/P307,0), "")</f>
        <v/>
      </c>
      <c r="AD307" s="82" t="str">
        <f>IF(A307&lt;&gt;"", SUMIFS(node!$L$2:$L$1000, node!$C$2:$C$1000,"="&amp;A307), "")</f>
        <v/>
      </c>
      <c r="AE307" s="87" t="str">
        <f>IF(A307&lt;&gt;"", SUMIFS(node!$M$2:$M$1000, node!$C$2:$C$1000,"="&amp;A307), "")</f>
        <v/>
      </c>
    </row>
    <row r="308" spans="1:31" ht="15.75" customHeight="1" x14ac:dyDescent="0.25">
      <c r="A308" s="71" t="str">
        <f>IF(ISNONTEXT(node_raw[[#This Row],[Column2]]), "", node_raw[[#This Row],[Column2]])</f>
        <v/>
      </c>
      <c r="B308" s="108" t="str">
        <f>IF(A308&lt;&gt;"", VLOOKUP(A308, node!$C$2:$D$1000, 2, FALSE), "")</f>
        <v/>
      </c>
      <c r="C308" s="109" t="str">
        <f>IF(A308&lt;&gt;"", VLOOKUP(A308, node!$C$2:$E$1000, 3, FALSE), "")</f>
        <v/>
      </c>
      <c r="D308" s="110" t="str">
        <f>IF(A308&lt;&gt;"",COUNTIFS(node!$C$2:$C$1000,"="&amp;A308, node!$C$2:$C$1000,"&lt;&gt;"&amp;""),"")</f>
        <v/>
      </c>
      <c r="E308" s="111" t="str">
        <f>IF(A308&lt;&gt;"",SUMIFS(node!$F$2:$F$500, node!$C$2:$C$500,"="&amp;A308, node!$C$2:$C$500,"&lt;&gt;"&amp;"")/(B308*D308),"")</f>
        <v/>
      </c>
      <c r="F308" s="112" t="str">
        <f>IF(A308&lt;&gt;"",SUMIFS(node!$H$2:$H$500, node!$C$2:$C$500,"="&amp;A308, node!$C$2:$C$500,"&lt;&gt;"&amp;"")/(C308*D308),"")</f>
        <v/>
      </c>
      <c r="G308" s="179" t="str">
        <f>IF(A308&lt;&gt;"",SUMIFS(deployment!$F$4:$F$502, deployment!$D$4:$D$502,"="&amp;A308, deployment!$D$4:$D$502,"&lt;&gt;"&amp;""),"")</f>
        <v/>
      </c>
      <c r="H308" s="181" t="str">
        <f>IF(A308&lt;&gt;"",SUMIFS(deployment!$G$4:$G$502, deployment!$D$4:$D$502,"="&amp;A308, deployment!$D$4:$D$502,"&lt;&gt;"&amp;""),"")</f>
        <v/>
      </c>
      <c r="I308" s="113" t="str">
        <f>IF(A308&lt;&gt;"",SUMIFS(deployment!$H$4:$H$502, deployment!$D$4:$D$502,"="&amp;A308, deployment!$D$4:$D$502,"&lt;&gt;"&amp;""),"")</f>
        <v/>
      </c>
      <c r="J308" s="114" t="str">
        <f>IF(A308&lt;&gt;"",SUMIFS(deployment!$I$4:$I$502, deployment!$D$4:$D$502,"="&amp;A308, deployment!$D$4:$D$502,"&lt;&gt;"&amp;""),"")</f>
        <v/>
      </c>
      <c r="K308" s="182" t="str">
        <f>IF(A308&lt;&gt;"",SUMIFS(deployment!$J$4:$J$1002, deployment!$D$4:$D$1002,"="&amp;A308, deployment!$D$4:$D$1002,"&lt;&gt;"&amp;"", deployment!$C$4:$C$1002, "&lt;&gt;* )")+SUMIFS(namespace!$G$4:$G$1002, namespace!$B$4:$B$1002,"="&amp;A308, namespace!$B$4:$B$1002,"&lt;&gt;"&amp;""),"")</f>
        <v/>
      </c>
      <c r="L308" s="182" t="str">
        <f>IF(A308&lt;&gt;"",SUMIFS(deployment!$K$4:$K$1002, deployment!$D$4:$D$1002,"="&amp;A308, deployment!$D$4:$D$1002,"&lt;&gt;"&amp;"", deployment!$C$4:$C$1002, "&lt;&gt;* )")+SUMIFS(namespace!$H$4:$H$1002, namespace!$B$4:$B$1002,"="&amp;A308, namespace!$B$4:$B$1002,"&lt;&gt;"&amp;""),"")</f>
        <v/>
      </c>
      <c r="M308" s="115" t="str">
        <f>IF(A308&lt;&gt;"",SUMIFS(deployment!$L$4:$L$1002, deployment!$D$4:$D$1002,"="&amp;A308, deployment!$D$4:$D$1002,"&lt;&gt;"&amp;"", deployment!$C$4:$C$1002, "&lt;&gt;* )")+SUMIFS(namespace!$I$4:$I$1002, namespace!$B$4:$B$1002,"="&amp;A308, namespace!$B$4:$B$1002,"&lt;&gt;"&amp;""),"")</f>
        <v/>
      </c>
      <c r="N308" s="115" t="str">
        <f>IF(A308&lt;&gt;"",SUMIFS(deployment!$M$4:$M$1002, deployment!$D$4:$D$1002,"="&amp;A308, deployment!$D$4:$D$1002,"&lt;&gt;"&amp;"", deployment!$C$4:$C$1002, "&lt;&gt;* )")+SUMIFS(namespace!$J$4:$J$1002, namespace!$B$4:$B$1002,"="&amp;A308, namespace!$B$4:$B$1002,"&lt;&gt;"&amp;""),"")</f>
        <v/>
      </c>
      <c r="O308" s="116" t="str">
        <f t="shared" si="55"/>
        <v/>
      </c>
      <c r="P308" s="63"/>
      <c r="Q308" s="164" t="str">
        <f t="shared" si="50"/>
        <v/>
      </c>
      <c r="R308" s="60" t="str">
        <f t="shared" si="51"/>
        <v/>
      </c>
      <c r="S308" s="60" t="str">
        <f t="shared" si="52"/>
        <v/>
      </c>
      <c r="T308" s="61" t="str">
        <f t="shared" si="53"/>
        <v/>
      </c>
      <c r="U308" s="61" t="str">
        <f t="shared" si="54"/>
        <v/>
      </c>
      <c r="V308" s="183" t="str">
        <f t="shared" si="56"/>
        <v/>
      </c>
      <c r="W308" s="183" t="str">
        <f t="shared" si="57"/>
        <v/>
      </c>
      <c r="X308" s="61" t="str">
        <f t="shared" si="58"/>
        <v/>
      </c>
      <c r="Y308" s="61" t="str">
        <f t="shared" si="59"/>
        <v/>
      </c>
      <c r="Z308" s="118" t="str">
        <f t="shared" si="60"/>
        <v/>
      </c>
      <c r="AA308" s="62" t="str">
        <f t="shared" si="61"/>
        <v/>
      </c>
      <c r="AB308" s="119" t="str">
        <f>IF(A308&lt;&gt;"", IF(P308&lt;&gt;0,SUMIFS(node!$J$2:$J$1000, node!$C$2:$C$1000,"="&amp;A308)/P308,0), "")</f>
        <v/>
      </c>
      <c r="AC308" s="81" t="str">
        <f>IF(A308&lt;&gt;"", IF(P308&lt;&gt;0,SUMIFS(node!$K$2:$K$1000, node!$C$2:$C$1000,"="&amp;A308)/P308,0), "")</f>
        <v/>
      </c>
      <c r="AD308" s="82" t="str">
        <f>IF(A308&lt;&gt;"", SUMIFS(node!$L$2:$L$1000, node!$C$2:$C$1000,"="&amp;A308), "")</f>
        <v/>
      </c>
      <c r="AE308" s="87" t="str">
        <f>IF(A308&lt;&gt;"", SUMIFS(node!$M$2:$M$1000, node!$C$2:$C$1000,"="&amp;A308), "")</f>
        <v/>
      </c>
    </row>
    <row r="309" spans="1:31" ht="15.75" customHeight="1" x14ac:dyDescent="0.25">
      <c r="A309" s="71" t="str">
        <f>IF(ISNONTEXT(node_raw[[#This Row],[Column2]]), "", node_raw[[#This Row],[Column2]])</f>
        <v/>
      </c>
      <c r="B309" s="108" t="str">
        <f>IF(A309&lt;&gt;"", VLOOKUP(A309, node!$C$2:$D$1000, 2, FALSE), "")</f>
        <v/>
      </c>
      <c r="C309" s="109" t="str">
        <f>IF(A309&lt;&gt;"", VLOOKUP(A309, node!$C$2:$E$1000, 3, FALSE), "")</f>
        <v/>
      </c>
      <c r="D309" s="110" t="str">
        <f>IF(A309&lt;&gt;"",COUNTIFS(node!$C$2:$C$1000,"="&amp;A309, node!$C$2:$C$1000,"&lt;&gt;"&amp;""),"")</f>
        <v/>
      </c>
      <c r="E309" s="111" t="str">
        <f>IF(A309&lt;&gt;"",SUMIFS(node!$F$2:$F$500, node!$C$2:$C$500,"="&amp;A309, node!$C$2:$C$500,"&lt;&gt;"&amp;"")/(B309*D309),"")</f>
        <v/>
      </c>
      <c r="F309" s="112" t="str">
        <f>IF(A309&lt;&gt;"",SUMIFS(node!$H$2:$H$500, node!$C$2:$C$500,"="&amp;A309, node!$C$2:$C$500,"&lt;&gt;"&amp;"")/(C309*D309),"")</f>
        <v/>
      </c>
      <c r="G309" s="179" t="str">
        <f>IF(A309&lt;&gt;"",SUMIFS(deployment!$F$4:$F$502, deployment!$D$4:$D$502,"="&amp;A309, deployment!$D$4:$D$502,"&lt;&gt;"&amp;""),"")</f>
        <v/>
      </c>
      <c r="H309" s="181" t="str">
        <f>IF(A309&lt;&gt;"",SUMIFS(deployment!$G$4:$G$502, deployment!$D$4:$D$502,"="&amp;A309, deployment!$D$4:$D$502,"&lt;&gt;"&amp;""),"")</f>
        <v/>
      </c>
      <c r="I309" s="113" t="str">
        <f>IF(A309&lt;&gt;"",SUMIFS(deployment!$H$4:$H$502, deployment!$D$4:$D$502,"="&amp;A309, deployment!$D$4:$D$502,"&lt;&gt;"&amp;""),"")</f>
        <v/>
      </c>
      <c r="J309" s="114" t="str">
        <f>IF(A309&lt;&gt;"",SUMIFS(deployment!$I$4:$I$502, deployment!$D$4:$D$502,"="&amp;A309, deployment!$D$4:$D$502,"&lt;&gt;"&amp;""),"")</f>
        <v/>
      </c>
      <c r="K309" s="182" t="str">
        <f>IF(A309&lt;&gt;"",SUMIFS(deployment!$J$4:$J$1002, deployment!$D$4:$D$1002,"="&amp;A309, deployment!$D$4:$D$1002,"&lt;&gt;"&amp;"", deployment!$C$4:$C$1002, "&lt;&gt;* )")+SUMIFS(namespace!$G$4:$G$1002, namespace!$B$4:$B$1002,"="&amp;A309, namespace!$B$4:$B$1002,"&lt;&gt;"&amp;""),"")</f>
        <v/>
      </c>
      <c r="L309" s="182" t="str">
        <f>IF(A309&lt;&gt;"",SUMIFS(deployment!$K$4:$K$1002, deployment!$D$4:$D$1002,"="&amp;A309, deployment!$D$4:$D$1002,"&lt;&gt;"&amp;"", deployment!$C$4:$C$1002, "&lt;&gt;* )")+SUMIFS(namespace!$H$4:$H$1002, namespace!$B$4:$B$1002,"="&amp;A309, namespace!$B$4:$B$1002,"&lt;&gt;"&amp;""),"")</f>
        <v/>
      </c>
      <c r="M309" s="115" t="str">
        <f>IF(A309&lt;&gt;"",SUMIFS(deployment!$L$4:$L$1002, deployment!$D$4:$D$1002,"="&amp;A309, deployment!$D$4:$D$1002,"&lt;&gt;"&amp;"", deployment!$C$4:$C$1002, "&lt;&gt;* )")+SUMIFS(namespace!$I$4:$I$1002, namespace!$B$4:$B$1002,"="&amp;A309, namespace!$B$4:$B$1002,"&lt;&gt;"&amp;""),"")</f>
        <v/>
      </c>
      <c r="N309" s="115" t="str">
        <f>IF(A309&lt;&gt;"",SUMIFS(deployment!$M$4:$M$1002, deployment!$D$4:$D$1002,"="&amp;A309, deployment!$D$4:$D$1002,"&lt;&gt;"&amp;"", deployment!$C$4:$C$1002, "&lt;&gt;* )")+SUMIFS(namespace!$J$4:$J$1002, namespace!$B$4:$B$1002,"="&amp;A309, namespace!$B$4:$B$1002,"&lt;&gt;"&amp;""),"")</f>
        <v/>
      </c>
      <c r="O309" s="116" t="str">
        <f t="shared" si="55"/>
        <v/>
      </c>
      <c r="P309" s="63"/>
      <c r="Q309" s="164" t="str">
        <f t="shared" si="50"/>
        <v/>
      </c>
      <c r="R309" s="60" t="str">
        <f t="shared" si="51"/>
        <v/>
      </c>
      <c r="S309" s="60" t="str">
        <f t="shared" si="52"/>
        <v/>
      </c>
      <c r="T309" s="61" t="str">
        <f t="shared" si="53"/>
        <v/>
      </c>
      <c r="U309" s="61" t="str">
        <f t="shared" si="54"/>
        <v/>
      </c>
      <c r="V309" s="183" t="str">
        <f t="shared" si="56"/>
        <v/>
      </c>
      <c r="W309" s="183" t="str">
        <f t="shared" si="57"/>
        <v/>
      </c>
      <c r="X309" s="61" t="str">
        <f t="shared" si="58"/>
        <v/>
      </c>
      <c r="Y309" s="61" t="str">
        <f t="shared" si="59"/>
        <v/>
      </c>
      <c r="Z309" s="118" t="str">
        <f t="shared" si="60"/>
        <v/>
      </c>
      <c r="AA309" s="62" t="str">
        <f t="shared" si="61"/>
        <v/>
      </c>
      <c r="AB309" s="119" t="str">
        <f>IF(A309&lt;&gt;"", IF(P309&lt;&gt;0,SUMIFS(node!$J$2:$J$1000, node!$C$2:$C$1000,"="&amp;A309)/P309,0), "")</f>
        <v/>
      </c>
      <c r="AC309" s="81" t="str">
        <f>IF(A309&lt;&gt;"", IF(P309&lt;&gt;0,SUMIFS(node!$K$2:$K$1000, node!$C$2:$C$1000,"="&amp;A309)/P309,0), "")</f>
        <v/>
      </c>
      <c r="AD309" s="82" t="str">
        <f>IF(A309&lt;&gt;"", SUMIFS(node!$L$2:$L$1000, node!$C$2:$C$1000,"="&amp;A309), "")</f>
        <v/>
      </c>
      <c r="AE309" s="87" t="str">
        <f>IF(A309&lt;&gt;"", SUMIFS(node!$M$2:$M$1000, node!$C$2:$C$1000,"="&amp;A309), "")</f>
        <v/>
      </c>
    </row>
    <row r="310" spans="1:31" ht="15.75" customHeight="1" x14ac:dyDescent="0.25">
      <c r="A310" s="71" t="str">
        <f>IF(ISNONTEXT(node_raw[[#This Row],[Column2]]), "", node_raw[[#This Row],[Column2]])</f>
        <v/>
      </c>
      <c r="B310" s="108" t="str">
        <f>IF(A310&lt;&gt;"", VLOOKUP(A310, node!$C$2:$D$1000, 2, FALSE), "")</f>
        <v/>
      </c>
      <c r="C310" s="109" t="str">
        <f>IF(A310&lt;&gt;"", VLOOKUP(A310, node!$C$2:$E$1000, 3, FALSE), "")</f>
        <v/>
      </c>
      <c r="D310" s="110" t="str">
        <f>IF(A310&lt;&gt;"",COUNTIFS(node!$C$2:$C$1000,"="&amp;A310, node!$C$2:$C$1000,"&lt;&gt;"&amp;""),"")</f>
        <v/>
      </c>
      <c r="E310" s="111" t="str">
        <f>IF(A310&lt;&gt;"",SUMIFS(node!$F$2:$F$500, node!$C$2:$C$500,"="&amp;A310, node!$C$2:$C$500,"&lt;&gt;"&amp;"")/(B310*D310),"")</f>
        <v/>
      </c>
      <c r="F310" s="112" t="str">
        <f>IF(A310&lt;&gt;"",SUMIFS(node!$H$2:$H$500, node!$C$2:$C$500,"="&amp;A310, node!$C$2:$C$500,"&lt;&gt;"&amp;"")/(C310*D310),"")</f>
        <v/>
      </c>
      <c r="G310" s="179" t="str">
        <f>IF(A310&lt;&gt;"",SUMIFS(deployment!$F$4:$F$502, deployment!$D$4:$D$502,"="&amp;A310, deployment!$D$4:$D$502,"&lt;&gt;"&amp;""),"")</f>
        <v/>
      </c>
      <c r="H310" s="181" t="str">
        <f>IF(A310&lt;&gt;"",SUMIFS(deployment!$G$4:$G$502, deployment!$D$4:$D$502,"="&amp;A310, deployment!$D$4:$D$502,"&lt;&gt;"&amp;""),"")</f>
        <v/>
      </c>
      <c r="I310" s="113" t="str">
        <f>IF(A310&lt;&gt;"",SUMIFS(deployment!$H$4:$H$502, deployment!$D$4:$D$502,"="&amp;A310, deployment!$D$4:$D$502,"&lt;&gt;"&amp;""),"")</f>
        <v/>
      </c>
      <c r="J310" s="114" t="str">
        <f>IF(A310&lt;&gt;"",SUMIFS(deployment!$I$4:$I$502, deployment!$D$4:$D$502,"="&amp;A310, deployment!$D$4:$D$502,"&lt;&gt;"&amp;""),"")</f>
        <v/>
      </c>
      <c r="K310" s="182" t="str">
        <f>IF(A310&lt;&gt;"",SUMIFS(deployment!$J$4:$J$1002, deployment!$D$4:$D$1002,"="&amp;A310, deployment!$D$4:$D$1002,"&lt;&gt;"&amp;"", deployment!$C$4:$C$1002, "&lt;&gt;* )")+SUMIFS(namespace!$G$4:$G$1002, namespace!$B$4:$B$1002,"="&amp;A310, namespace!$B$4:$B$1002,"&lt;&gt;"&amp;""),"")</f>
        <v/>
      </c>
      <c r="L310" s="182" t="str">
        <f>IF(A310&lt;&gt;"",SUMIFS(deployment!$K$4:$K$1002, deployment!$D$4:$D$1002,"="&amp;A310, deployment!$D$4:$D$1002,"&lt;&gt;"&amp;"", deployment!$C$4:$C$1002, "&lt;&gt;* )")+SUMIFS(namespace!$H$4:$H$1002, namespace!$B$4:$B$1002,"="&amp;A310, namespace!$B$4:$B$1002,"&lt;&gt;"&amp;""),"")</f>
        <v/>
      </c>
      <c r="M310" s="115" t="str">
        <f>IF(A310&lt;&gt;"",SUMIFS(deployment!$L$4:$L$1002, deployment!$D$4:$D$1002,"="&amp;A310, deployment!$D$4:$D$1002,"&lt;&gt;"&amp;"", deployment!$C$4:$C$1002, "&lt;&gt;* )")+SUMIFS(namespace!$I$4:$I$1002, namespace!$B$4:$B$1002,"="&amp;A310, namespace!$B$4:$B$1002,"&lt;&gt;"&amp;""),"")</f>
        <v/>
      </c>
      <c r="N310" s="115" t="str">
        <f>IF(A310&lt;&gt;"",SUMIFS(deployment!$M$4:$M$1002, deployment!$D$4:$D$1002,"="&amp;A310, deployment!$D$4:$D$1002,"&lt;&gt;"&amp;"", deployment!$C$4:$C$1002, "&lt;&gt;* )")+SUMIFS(namespace!$J$4:$J$1002, namespace!$B$4:$B$1002,"="&amp;A310, namespace!$B$4:$B$1002,"&lt;&gt;"&amp;""),"")</f>
        <v/>
      </c>
      <c r="O310" s="116" t="str">
        <f t="shared" si="55"/>
        <v/>
      </c>
      <c r="P310" s="63"/>
      <c r="Q310" s="164" t="str">
        <f t="shared" si="50"/>
        <v/>
      </c>
      <c r="R310" s="60" t="str">
        <f t="shared" si="51"/>
        <v/>
      </c>
      <c r="S310" s="60" t="str">
        <f t="shared" si="52"/>
        <v/>
      </c>
      <c r="T310" s="61" t="str">
        <f t="shared" si="53"/>
        <v/>
      </c>
      <c r="U310" s="61" t="str">
        <f t="shared" si="54"/>
        <v/>
      </c>
      <c r="V310" s="183" t="str">
        <f t="shared" si="56"/>
        <v/>
      </c>
      <c r="W310" s="183" t="str">
        <f t="shared" si="57"/>
        <v/>
      </c>
      <c r="X310" s="61" t="str">
        <f t="shared" si="58"/>
        <v/>
      </c>
      <c r="Y310" s="61" t="str">
        <f t="shared" si="59"/>
        <v/>
      </c>
      <c r="Z310" s="118" t="str">
        <f t="shared" si="60"/>
        <v/>
      </c>
      <c r="AA310" s="62" t="str">
        <f t="shared" si="61"/>
        <v/>
      </c>
      <c r="AB310" s="119" t="str">
        <f>IF(A310&lt;&gt;"", IF(P310&lt;&gt;0,SUMIFS(node!$J$2:$J$1000, node!$C$2:$C$1000,"="&amp;A310)/P310,0), "")</f>
        <v/>
      </c>
      <c r="AC310" s="81" t="str">
        <f>IF(A310&lt;&gt;"", IF(P310&lt;&gt;0,SUMIFS(node!$K$2:$K$1000, node!$C$2:$C$1000,"="&amp;A310)/P310,0), "")</f>
        <v/>
      </c>
      <c r="AD310" s="82" t="str">
        <f>IF(A310&lt;&gt;"", SUMIFS(node!$L$2:$L$1000, node!$C$2:$C$1000,"="&amp;A310), "")</f>
        <v/>
      </c>
      <c r="AE310" s="87" t="str">
        <f>IF(A310&lt;&gt;"", SUMIFS(node!$M$2:$M$1000, node!$C$2:$C$1000,"="&amp;A310), "")</f>
        <v/>
      </c>
    </row>
    <row r="311" spans="1:31" ht="15.75" customHeight="1" x14ac:dyDescent="0.25">
      <c r="A311" s="71" t="str">
        <f>IF(ISNONTEXT(node_raw[[#This Row],[Column2]]), "", node_raw[[#This Row],[Column2]])</f>
        <v/>
      </c>
      <c r="B311" s="108" t="str">
        <f>IF(A311&lt;&gt;"", VLOOKUP(A311, node!$C$2:$D$1000, 2, FALSE), "")</f>
        <v/>
      </c>
      <c r="C311" s="109" t="str">
        <f>IF(A311&lt;&gt;"", VLOOKUP(A311, node!$C$2:$E$1000, 3, FALSE), "")</f>
        <v/>
      </c>
      <c r="D311" s="110" t="str">
        <f>IF(A311&lt;&gt;"",COUNTIFS(node!$C$2:$C$1000,"="&amp;A311, node!$C$2:$C$1000,"&lt;&gt;"&amp;""),"")</f>
        <v/>
      </c>
      <c r="E311" s="111" t="str">
        <f>IF(A311&lt;&gt;"",SUMIFS(node!$F$2:$F$500, node!$C$2:$C$500,"="&amp;A311, node!$C$2:$C$500,"&lt;&gt;"&amp;"")/(B311*D311),"")</f>
        <v/>
      </c>
      <c r="F311" s="112" t="str">
        <f>IF(A311&lt;&gt;"",SUMIFS(node!$H$2:$H$500, node!$C$2:$C$500,"="&amp;A311, node!$C$2:$C$500,"&lt;&gt;"&amp;"")/(C311*D311),"")</f>
        <v/>
      </c>
      <c r="G311" s="179" t="str">
        <f>IF(A311&lt;&gt;"",SUMIFS(deployment!$F$4:$F$502, deployment!$D$4:$D$502,"="&amp;A311, deployment!$D$4:$D$502,"&lt;&gt;"&amp;""),"")</f>
        <v/>
      </c>
      <c r="H311" s="181" t="str">
        <f>IF(A311&lt;&gt;"",SUMIFS(deployment!$G$4:$G$502, deployment!$D$4:$D$502,"="&amp;A311, deployment!$D$4:$D$502,"&lt;&gt;"&amp;""),"")</f>
        <v/>
      </c>
      <c r="I311" s="113" t="str">
        <f>IF(A311&lt;&gt;"",SUMIFS(deployment!$H$4:$H$502, deployment!$D$4:$D$502,"="&amp;A311, deployment!$D$4:$D$502,"&lt;&gt;"&amp;""),"")</f>
        <v/>
      </c>
      <c r="J311" s="114" t="str">
        <f>IF(A311&lt;&gt;"",SUMIFS(deployment!$I$4:$I$502, deployment!$D$4:$D$502,"="&amp;A311, deployment!$D$4:$D$502,"&lt;&gt;"&amp;""),"")</f>
        <v/>
      </c>
      <c r="K311" s="182" t="str">
        <f>IF(A311&lt;&gt;"",SUMIFS(deployment!$J$4:$J$1002, deployment!$D$4:$D$1002,"="&amp;A311, deployment!$D$4:$D$1002,"&lt;&gt;"&amp;"", deployment!$C$4:$C$1002, "&lt;&gt;* )")+SUMIFS(namespace!$G$4:$G$1002, namespace!$B$4:$B$1002,"="&amp;A311, namespace!$B$4:$B$1002,"&lt;&gt;"&amp;""),"")</f>
        <v/>
      </c>
      <c r="L311" s="182" t="str">
        <f>IF(A311&lt;&gt;"",SUMIFS(deployment!$K$4:$K$1002, deployment!$D$4:$D$1002,"="&amp;A311, deployment!$D$4:$D$1002,"&lt;&gt;"&amp;"", deployment!$C$4:$C$1002, "&lt;&gt;* )")+SUMIFS(namespace!$H$4:$H$1002, namespace!$B$4:$B$1002,"="&amp;A311, namespace!$B$4:$B$1002,"&lt;&gt;"&amp;""),"")</f>
        <v/>
      </c>
      <c r="M311" s="115" t="str">
        <f>IF(A311&lt;&gt;"",SUMIFS(deployment!$L$4:$L$1002, deployment!$D$4:$D$1002,"="&amp;A311, deployment!$D$4:$D$1002,"&lt;&gt;"&amp;"", deployment!$C$4:$C$1002, "&lt;&gt;* )")+SUMIFS(namespace!$I$4:$I$1002, namespace!$B$4:$B$1002,"="&amp;A311, namespace!$B$4:$B$1002,"&lt;&gt;"&amp;""),"")</f>
        <v/>
      </c>
      <c r="N311" s="115" t="str">
        <f>IF(A311&lt;&gt;"",SUMIFS(deployment!$M$4:$M$1002, deployment!$D$4:$D$1002,"="&amp;A311, deployment!$D$4:$D$1002,"&lt;&gt;"&amp;"", deployment!$C$4:$C$1002, "&lt;&gt;* )")+SUMIFS(namespace!$J$4:$J$1002, namespace!$B$4:$B$1002,"="&amp;A311, namespace!$B$4:$B$1002,"&lt;&gt;"&amp;""),"")</f>
        <v/>
      </c>
      <c r="O311" s="116" t="str">
        <f t="shared" si="55"/>
        <v/>
      </c>
      <c r="P311" s="63"/>
      <c r="Q311" s="164" t="str">
        <f t="shared" si="50"/>
        <v/>
      </c>
      <c r="R311" s="60" t="str">
        <f t="shared" si="51"/>
        <v/>
      </c>
      <c r="S311" s="60" t="str">
        <f t="shared" si="52"/>
        <v/>
      </c>
      <c r="T311" s="61" t="str">
        <f t="shared" si="53"/>
        <v/>
      </c>
      <c r="U311" s="61" t="str">
        <f t="shared" si="54"/>
        <v/>
      </c>
      <c r="V311" s="183" t="str">
        <f t="shared" si="56"/>
        <v/>
      </c>
      <c r="W311" s="183" t="str">
        <f t="shared" si="57"/>
        <v/>
      </c>
      <c r="X311" s="61" t="str">
        <f t="shared" si="58"/>
        <v/>
      </c>
      <c r="Y311" s="61" t="str">
        <f t="shared" si="59"/>
        <v/>
      </c>
      <c r="Z311" s="118" t="str">
        <f t="shared" si="60"/>
        <v/>
      </c>
      <c r="AA311" s="62" t="str">
        <f t="shared" si="61"/>
        <v/>
      </c>
      <c r="AB311" s="119" t="str">
        <f>IF(A311&lt;&gt;"", IF(P311&lt;&gt;0,SUMIFS(node!$J$2:$J$1000, node!$C$2:$C$1000,"="&amp;A311)/P311,0), "")</f>
        <v/>
      </c>
      <c r="AC311" s="81" t="str">
        <f>IF(A311&lt;&gt;"", IF(P311&lt;&gt;0,SUMIFS(node!$K$2:$K$1000, node!$C$2:$C$1000,"="&amp;A311)/P311,0), "")</f>
        <v/>
      </c>
      <c r="AD311" s="82" t="str">
        <f>IF(A311&lt;&gt;"", SUMIFS(node!$L$2:$L$1000, node!$C$2:$C$1000,"="&amp;A311), "")</f>
        <v/>
      </c>
      <c r="AE311" s="87" t="str">
        <f>IF(A311&lt;&gt;"", SUMIFS(node!$M$2:$M$1000, node!$C$2:$C$1000,"="&amp;A311), "")</f>
        <v/>
      </c>
    </row>
    <row r="312" spans="1:31" ht="15.75" customHeight="1" x14ac:dyDescent="0.25">
      <c r="A312" s="71" t="str">
        <f>IF(ISNONTEXT(node_raw[[#This Row],[Column2]]), "", node_raw[[#This Row],[Column2]])</f>
        <v/>
      </c>
      <c r="B312" s="108" t="str">
        <f>IF(A312&lt;&gt;"", VLOOKUP(A312, node!$C$2:$D$1000, 2, FALSE), "")</f>
        <v/>
      </c>
      <c r="C312" s="109" t="str">
        <f>IF(A312&lt;&gt;"", VLOOKUP(A312, node!$C$2:$E$1000, 3, FALSE), "")</f>
        <v/>
      </c>
      <c r="D312" s="110" t="str">
        <f>IF(A312&lt;&gt;"",COUNTIFS(node!$C$2:$C$1000,"="&amp;A312, node!$C$2:$C$1000,"&lt;&gt;"&amp;""),"")</f>
        <v/>
      </c>
      <c r="E312" s="111" t="str">
        <f>IF(A312&lt;&gt;"",SUMIFS(node!$F$2:$F$500, node!$C$2:$C$500,"="&amp;A312, node!$C$2:$C$500,"&lt;&gt;"&amp;"")/(B312*D312),"")</f>
        <v/>
      </c>
      <c r="F312" s="112" t="str">
        <f>IF(A312&lt;&gt;"",SUMIFS(node!$H$2:$H$500, node!$C$2:$C$500,"="&amp;A312, node!$C$2:$C$500,"&lt;&gt;"&amp;"")/(C312*D312),"")</f>
        <v/>
      </c>
      <c r="G312" s="179" t="str">
        <f>IF(A312&lt;&gt;"",SUMIFS(deployment!$F$4:$F$502, deployment!$D$4:$D$502,"="&amp;A312, deployment!$D$4:$D$502,"&lt;&gt;"&amp;""),"")</f>
        <v/>
      </c>
      <c r="H312" s="181" t="str">
        <f>IF(A312&lt;&gt;"",SUMIFS(deployment!$G$4:$G$502, deployment!$D$4:$D$502,"="&amp;A312, deployment!$D$4:$D$502,"&lt;&gt;"&amp;""),"")</f>
        <v/>
      </c>
      <c r="I312" s="113" t="str">
        <f>IF(A312&lt;&gt;"",SUMIFS(deployment!$H$4:$H$502, deployment!$D$4:$D$502,"="&amp;A312, deployment!$D$4:$D$502,"&lt;&gt;"&amp;""),"")</f>
        <v/>
      </c>
      <c r="J312" s="114" t="str">
        <f>IF(A312&lt;&gt;"",SUMIFS(deployment!$I$4:$I$502, deployment!$D$4:$D$502,"="&amp;A312, deployment!$D$4:$D$502,"&lt;&gt;"&amp;""),"")</f>
        <v/>
      </c>
      <c r="K312" s="182" t="str">
        <f>IF(A312&lt;&gt;"",SUMIFS(deployment!$J$4:$J$1002, deployment!$D$4:$D$1002,"="&amp;A312, deployment!$D$4:$D$1002,"&lt;&gt;"&amp;"", deployment!$C$4:$C$1002, "&lt;&gt;* )")+SUMIFS(namespace!$G$4:$G$1002, namespace!$B$4:$B$1002,"="&amp;A312, namespace!$B$4:$B$1002,"&lt;&gt;"&amp;""),"")</f>
        <v/>
      </c>
      <c r="L312" s="182" t="str">
        <f>IF(A312&lt;&gt;"",SUMIFS(deployment!$K$4:$K$1002, deployment!$D$4:$D$1002,"="&amp;A312, deployment!$D$4:$D$1002,"&lt;&gt;"&amp;"", deployment!$C$4:$C$1002, "&lt;&gt;* )")+SUMIFS(namespace!$H$4:$H$1002, namespace!$B$4:$B$1002,"="&amp;A312, namespace!$B$4:$B$1002,"&lt;&gt;"&amp;""),"")</f>
        <v/>
      </c>
      <c r="M312" s="115" t="str">
        <f>IF(A312&lt;&gt;"",SUMIFS(deployment!$L$4:$L$1002, deployment!$D$4:$D$1002,"="&amp;A312, deployment!$D$4:$D$1002,"&lt;&gt;"&amp;"", deployment!$C$4:$C$1002, "&lt;&gt;* )")+SUMIFS(namespace!$I$4:$I$1002, namespace!$B$4:$B$1002,"="&amp;A312, namespace!$B$4:$B$1002,"&lt;&gt;"&amp;""),"")</f>
        <v/>
      </c>
      <c r="N312" s="115" t="str">
        <f>IF(A312&lt;&gt;"",SUMIFS(deployment!$M$4:$M$1002, deployment!$D$4:$D$1002,"="&amp;A312, deployment!$D$4:$D$1002,"&lt;&gt;"&amp;"", deployment!$C$4:$C$1002, "&lt;&gt;* )")+SUMIFS(namespace!$J$4:$J$1002, namespace!$B$4:$B$1002,"="&amp;A312, namespace!$B$4:$B$1002,"&lt;&gt;"&amp;""),"")</f>
        <v/>
      </c>
      <c r="O312" s="116" t="str">
        <f t="shared" si="55"/>
        <v/>
      </c>
      <c r="P312" s="63"/>
      <c r="Q312" s="164" t="str">
        <f t="shared" si="50"/>
        <v/>
      </c>
      <c r="R312" s="60" t="str">
        <f t="shared" si="51"/>
        <v/>
      </c>
      <c r="S312" s="60" t="str">
        <f t="shared" si="52"/>
        <v/>
      </c>
      <c r="T312" s="61" t="str">
        <f t="shared" si="53"/>
        <v/>
      </c>
      <c r="U312" s="61" t="str">
        <f t="shared" si="54"/>
        <v/>
      </c>
      <c r="V312" s="183" t="str">
        <f t="shared" si="56"/>
        <v/>
      </c>
      <c r="W312" s="183" t="str">
        <f t="shared" si="57"/>
        <v/>
      </c>
      <c r="X312" s="61" t="str">
        <f t="shared" si="58"/>
        <v/>
      </c>
      <c r="Y312" s="61" t="str">
        <f t="shared" si="59"/>
        <v/>
      </c>
      <c r="Z312" s="118" t="str">
        <f t="shared" si="60"/>
        <v/>
      </c>
      <c r="AA312" s="62" t="str">
        <f t="shared" si="61"/>
        <v/>
      </c>
      <c r="AB312" s="119" t="str">
        <f>IF(A312&lt;&gt;"", IF(P312&lt;&gt;0,SUMIFS(node!$J$2:$J$1000, node!$C$2:$C$1000,"="&amp;A312)/P312,0), "")</f>
        <v/>
      </c>
      <c r="AC312" s="81" t="str">
        <f>IF(A312&lt;&gt;"", IF(P312&lt;&gt;0,SUMIFS(node!$K$2:$K$1000, node!$C$2:$C$1000,"="&amp;A312)/P312,0), "")</f>
        <v/>
      </c>
      <c r="AD312" s="82" t="str">
        <f>IF(A312&lt;&gt;"", SUMIFS(node!$L$2:$L$1000, node!$C$2:$C$1000,"="&amp;A312), "")</f>
        <v/>
      </c>
      <c r="AE312" s="87" t="str">
        <f>IF(A312&lt;&gt;"", SUMIFS(node!$M$2:$M$1000, node!$C$2:$C$1000,"="&amp;A312), "")</f>
        <v/>
      </c>
    </row>
    <row r="313" spans="1:31" ht="15.75" customHeight="1" x14ac:dyDescent="0.25">
      <c r="A313" s="71" t="str">
        <f>IF(ISNONTEXT(node_raw[[#This Row],[Column2]]), "", node_raw[[#This Row],[Column2]])</f>
        <v/>
      </c>
      <c r="B313" s="108" t="str">
        <f>IF(A313&lt;&gt;"", VLOOKUP(A313, node!$C$2:$D$1000, 2, FALSE), "")</f>
        <v/>
      </c>
      <c r="C313" s="109" t="str">
        <f>IF(A313&lt;&gt;"", VLOOKUP(A313, node!$C$2:$E$1000, 3, FALSE), "")</f>
        <v/>
      </c>
      <c r="D313" s="110" t="str">
        <f>IF(A313&lt;&gt;"",COUNTIFS(node!$C$2:$C$1000,"="&amp;A313, node!$C$2:$C$1000,"&lt;&gt;"&amp;""),"")</f>
        <v/>
      </c>
      <c r="E313" s="111" t="str">
        <f>IF(A313&lt;&gt;"",SUMIFS(node!$F$2:$F$500, node!$C$2:$C$500,"="&amp;A313, node!$C$2:$C$500,"&lt;&gt;"&amp;"")/(B313*D313),"")</f>
        <v/>
      </c>
      <c r="F313" s="112" t="str">
        <f>IF(A313&lt;&gt;"",SUMIFS(node!$H$2:$H$500, node!$C$2:$C$500,"="&amp;A313, node!$C$2:$C$500,"&lt;&gt;"&amp;"")/(C313*D313),"")</f>
        <v/>
      </c>
      <c r="G313" s="179" t="str">
        <f>IF(A313&lt;&gt;"",SUMIFS(deployment!$F$4:$F$502, deployment!$D$4:$D$502,"="&amp;A313, deployment!$D$4:$D$502,"&lt;&gt;"&amp;""),"")</f>
        <v/>
      </c>
      <c r="H313" s="181" t="str">
        <f>IF(A313&lt;&gt;"",SUMIFS(deployment!$G$4:$G$502, deployment!$D$4:$D$502,"="&amp;A313, deployment!$D$4:$D$502,"&lt;&gt;"&amp;""),"")</f>
        <v/>
      </c>
      <c r="I313" s="113" t="str">
        <f>IF(A313&lt;&gt;"",SUMIFS(deployment!$H$4:$H$502, deployment!$D$4:$D$502,"="&amp;A313, deployment!$D$4:$D$502,"&lt;&gt;"&amp;""),"")</f>
        <v/>
      </c>
      <c r="J313" s="114" t="str">
        <f>IF(A313&lt;&gt;"",SUMIFS(deployment!$I$4:$I$502, deployment!$D$4:$D$502,"="&amp;A313, deployment!$D$4:$D$502,"&lt;&gt;"&amp;""),"")</f>
        <v/>
      </c>
      <c r="K313" s="182" t="str">
        <f>IF(A313&lt;&gt;"",SUMIFS(deployment!$J$4:$J$1002, deployment!$D$4:$D$1002,"="&amp;A313, deployment!$D$4:$D$1002,"&lt;&gt;"&amp;"", deployment!$C$4:$C$1002, "&lt;&gt;* )")+SUMIFS(namespace!$G$4:$G$1002, namespace!$B$4:$B$1002,"="&amp;A313, namespace!$B$4:$B$1002,"&lt;&gt;"&amp;""),"")</f>
        <v/>
      </c>
      <c r="L313" s="182" t="str">
        <f>IF(A313&lt;&gt;"",SUMIFS(deployment!$K$4:$K$1002, deployment!$D$4:$D$1002,"="&amp;A313, deployment!$D$4:$D$1002,"&lt;&gt;"&amp;"", deployment!$C$4:$C$1002, "&lt;&gt;* )")+SUMIFS(namespace!$H$4:$H$1002, namespace!$B$4:$B$1002,"="&amp;A313, namespace!$B$4:$B$1002,"&lt;&gt;"&amp;""),"")</f>
        <v/>
      </c>
      <c r="M313" s="115" t="str">
        <f>IF(A313&lt;&gt;"",SUMIFS(deployment!$L$4:$L$1002, deployment!$D$4:$D$1002,"="&amp;A313, deployment!$D$4:$D$1002,"&lt;&gt;"&amp;"", deployment!$C$4:$C$1002, "&lt;&gt;* )")+SUMIFS(namespace!$I$4:$I$1002, namespace!$B$4:$B$1002,"="&amp;A313, namespace!$B$4:$B$1002,"&lt;&gt;"&amp;""),"")</f>
        <v/>
      </c>
      <c r="N313" s="115" t="str">
        <f>IF(A313&lt;&gt;"",SUMIFS(deployment!$M$4:$M$1002, deployment!$D$4:$D$1002,"="&amp;A313, deployment!$D$4:$D$1002,"&lt;&gt;"&amp;"", deployment!$C$4:$C$1002, "&lt;&gt;* )")+SUMIFS(namespace!$J$4:$J$1002, namespace!$B$4:$B$1002,"="&amp;A313, namespace!$B$4:$B$1002,"&lt;&gt;"&amp;""),"")</f>
        <v/>
      </c>
      <c r="O313" s="116" t="str">
        <f t="shared" si="55"/>
        <v/>
      </c>
      <c r="P313" s="63"/>
      <c r="Q313" s="164" t="str">
        <f t="shared" si="50"/>
        <v/>
      </c>
      <c r="R313" s="60" t="str">
        <f t="shared" si="51"/>
        <v/>
      </c>
      <c r="S313" s="60" t="str">
        <f t="shared" si="52"/>
        <v/>
      </c>
      <c r="T313" s="61" t="str">
        <f t="shared" si="53"/>
        <v/>
      </c>
      <c r="U313" s="61" t="str">
        <f t="shared" si="54"/>
        <v/>
      </c>
      <c r="V313" s="183" t="str">
        <f t="shared" si="56"/>
        <v/>
      </c>
      <c r="W313" s="183" t="str">
        <f t="shared" si="57"/>
        <v/>
      </c>
      <c r="X313" s="61" t="str">
        <f t="shared" si="58"/>
        <v/>
      </c>
      <c r="Y313" s="61" t="str">
        <f t="shared" si="59"/>
        <v/>
      </c>
      <c r="Z313" s="118" t="str">
        <f t="shared" si="60"/>
        <v/>
      </c>
      <c r="AA313" s="62" t="str">
        <f t="shared" si="61"/>
        <v/>
      </c>
      <c r="AB313" s="119" t="str">
        <f>IF(A313&lt;&gt;"", IF(P313&lt;&gt;0,SUMIFS(node!$J$2:$J$1000, node!$C$2:$C$1000,"="&amp;A313)/P313,0), "")</f>
        <v/>
      </c>
      <c r="AC313" s="81" t="str">
        <f>IF(A313&lt;&gt;"", IF(P313&lt;&gt;0,SUMIFS(node!$K$2:$K$1000, node!$C$2:$C$1000,"="&amp;A313)/P313,0), "")</f>
        <v/>
      </c>
      <c r="AD313" s="82" t="str">
        <f>IF(A313&lt;&gt;"", SUMIFS(node!$L$2:$L$1000, node!$C$2:$C$1000,"="&amp;A313), "")</f>
        <v/>
      </c>
      <c r="AE313" s="87" t="str">
        <f>IF(A313&lt;&gt;"", SUMIFS(node!$M$2:$M$1000, node!$C$2:$C$1000,"="&amp;A313), "")</f>
        <v/>
      </c>
    </row>
    <row r="314" spans="1:31" ht="15.75" customHeight="1" x14ac:dyDescent="0.25">
      <c r="A314" s="71" t="str">
        <f>IF(ISNONTEXT(node_raw[[#This Row],[Column2]]), "", node_raw[[#This Row],[Column2]])</f>
        <v/>
      </c>
      <c r="B314" s="108" t="str">
        <f>IF(A314&lt;&gt;"", VLOOKUP(A314, node!$C$2:$D$1000, 2, FALSE), "")</f>
        <v/>
      </c>
      <c r="C314" s="109" t="str">
        <f>IF(A314&lt;&gt;"", VLOOKUP(A314, node!$C$2:$E$1000, 3, FALSE), "")</f>
        <v/>
      </c>
      <c r="D314" s="110" t="str">
        <f>IF(A314&lt;&gt;"",COUNTIFS(node!$C$2:$C$1000,"="&amp;A314, node!$C$2:$C$1000,"&lt;&gt;"&amp;""),"")</f>
        <v/>
      </c>
      <c r="E314" s="111" t="str">
        <f>IF(A314&lt;&gt;"",SUMIFS(node!$F$2:$F$500, node!$C$2:$C$500,"="&amp;A314, node!$C$2:$C$500,"&lt;&gt;"&amp;"")/(B314*D314),"")</f>
        <v/>
      </c>
      <c r="F314" s="112" t="str">
        <f>IF(A314&lt;&gt;"",SUMIFS(node!$H$2:$H$500, node!$C$2:$C$500,"="&amp;A314, node!$C$2:$C$500,"&lt;&gt;"&amp;"")/(C314*D314),"")</f>
        <v/>
      </c>
      <c r="G314" s="179" t="str">
        <f>IF(A314&lt;&gt;"",SUMIFS(deployment!$F$4:$F$502, deployment!$D$4:$D$502,"="&amp;A314, deployment!$D$4:$D$502,"&lt;&gt;"&amp;""),"")</f>
        <v/>
      </c>
      <c r="H314" s="181" t="str">
        <f>IF(A314&lt;&gt;"",SUMIFS(deployment!$G$4:$G$502, deployment!$D$4:$D$502,"="&amp;A314, deployment!$D$4:$D$502,"&lt;&gt;"&amp;""),"")</f>
        <v/>
      </c>
      <c r="I314" s="113" t="str">
        <f>IF(A314&lt;&gt;"",SUMIFS(deployment!$H$4:$H$502, deployment!$D$4:$D$502,"="&amp;A314, deployment!$D$4:$D$502,"&lt;&gt;"&amp;""),"")</f>
        <v/>
      </c>
      <c r="J314" s="114" t="str">
        <f>IF(A314&lt;&gt;"",SUMIFS(deployment!$I$4:$I$502, deployment!$D$4:$D$502,"="&amp;A314, deployment!$D$4:$D$502,"&lt;&gt;"&amp;""),"")</f>
        <v/>
      </c>
      <c r="K314" s="182" t="str">
        <f>IF(A314&lt;&gt;"",SUMIFS(deployment!$J$4:$J$1002, deployment!$D$4:$D$1002,"="&amp;A314, deployment!$D$4:$D$1002,"&lt;&gt;"&amp;"", deployment!$C$4:$C$1002, "&lt;&gt;* )")+SUMIFS(namespace!$G$4:$G$1002, namespace!$B$4:$B$1002,"="&amp;A314, namespace!$B$4:$B$1002,"&lt;&gt;"&amp;""),"")</f>
        <v/>
      </c>
      <c r="L314" s="182" t="str">
        <f>IF(A314&lt;&gt;"",SUMIFS(deployment!$K$4:$K$1002, deployment!$D$4:$D$1002,"="&amp;A314, deployment!$D$4:$D$1002,"&lt;&gt;"&amp;"", deployment!$C$4:$C$1002, "&lt;&gt;* )")+SUMIFS(namespace!$H$4:$H$1002, namespace!$B$4:$B$1002,"="&amp;A314, namespace!$B$4:$B$1002,"&lt;&gt;"&amp;""),"")</f>
        <v/>
      </c>
      <c r="M314" s="115" t="str">
        <f>IF(A314&lt;&gt;"",SUMIFS(deployment!$L$4:$L$1002, deployment!$D$4:$D$1002,"="&amp;A314, deployment!$D$4:$D$1002,"&lt;&gt;"&amp;"", deployment!$C$4:$C$1002, "&lt;&gt;* )")+SUMIFS(namespace!$I$4:$I$1002, namespace!$B$4:$B$1002,"="&amp;A314, namespace!$B$4:$B$1002,"&lt;&gt;"&amp;""),"")</f>
        <v/>
      </c>
      <c r="N314" s="115" t="str">
        <f>IF(A314&lt;&gt;"",SUMIFS(deployment!$M$4:$M$1002, deployment!$D$4:$D$1002,"="&amp;A314, deployment!$D$4:$D$1002,"&lt;&gt;"&amp;"", deployment!$C$4:$C$1002, "&lt;&gt;* )")+SUMIFS(namespace!$J$4:$J$1002, namespace!$B$4:$B$1002,"="&amp;A314, namespace!$B$4:$B$1002,"&lt;&gt;"&amp;""),"")</f>
        <v/>
      </c>
      <c r="O314" s="116" t="str">
        <f t="shared" si="55"/>
        <v/>
      </c>
      <c r="P314" s="63"/>
      <c r="Q314" s="164" t="str">
        <f t="shared" si="50"/>
        <v/>
      </c>
      <c r="R314" s="60" t="str">
        <f t="shared" si="51"/>
        <v/>
      </c>
      <c r="S314" s="60" t="str">
        <f t="shared" si="52"/>
        <v/>
      </c>
      <c r="T314" s="61" t="str">
        <f t="shared" si="53"/>
        <v/>
      </c>
      <c r="U314" s="61" t="str">
        <f t="shared" si="54"/>
        <v/>
      </c>
      <c r="V314" s="183" t="str">
        <f t="shared" si="56"/>
        <v/>
      </c>
      <c r="W314" s="183" t="str">
        <f t="shared" si="57"/>
        <v/>
      </c>
      <c r="X314" s="61" t="str">
        <f t="shared" si="58"/>
        <v/>
      </c>
      <c r="Y314" s="61" t="str">
        <f t="shared" si="59"/>
        <v/>
      </c>
      <c r="Z314" s="118" t="str">
        <f t="shared" si="60"/>
        <v/>
      </c>
      <c r="AA314" s="62" t="str">
        <f t="shared" si="61"/>
        <v/>
      </c>
      <c r="AB314" s="119" t="str">
        <f>IF(A314&lt;&gt;"", IF(P314&lt;&gt;0,SUMIFS(node!$J$2:$J$1000, node!$C$2:$C$1000,"="&amp;A314)/P314,0), "")</f>
        <v/>
      </c>
      <c r="AC314" s="81" t="str">
        <f>IF(A314&lt;&gt;"", IF(P314&lt;&gt;0,SUMIFS(node!$K$2:$K$1000, node!$C$2:$C$1000,"="&amp;A314)/P314,0), "")</f>
        <v/>
      </c>
      <c r="AD314" s="82" t="str">
        <f>IF(A314&lt;&gt;"", SUMIFS(node!$L$2:$L$1000, node!$C$2:$C$1000,"="&amp;A314), "")</f>
        <v/>
      </c>
      <c r="AE314" s="87" t="str">
        <f>IF(A314&lt;&gt;"", SUMIFS(node!$M$2:$M$1000, node!$C$2:$C$1000,"="&amp;A314), "")</f>
        <v/>
      </c>
    </row>
    <row r="315" spans="1:31" ht="15.75" customHeight="1" x14ac:dyDescent="0.25">
      <c r="A315" s="71" t="str">
        <f>IF(ISNONTEXT(node_raw[[#This Row],[Column2]]), "", node_raw[[#This Row],[Column2]])</f>
        <v/>
      </c>
      <c r="B315" s="108" t="str">
        <f>IF(A315&lt;&gt;"", VLOOKUP(A315, node!$C$2:$D$1000, 2, FALSE), "")</f>
        <v/>
      </c>
      <c r="C315" s="109" t="str">
        <f>IF(A315&lt;&gt;"", VLOOKUP(A315, node!$C$2:$E$1000, 3, FALSE), "")</f>
        <v/>
      </c>
      <c r="D315" s="110" t="str">
        <f>IF(A315&lt;&gt;"",COUNTIFS(node!$C$2:$C$1000,"="&amp;A315, node!$C$2:$C$1000,"&lt;&gt;"&amp;""),"")</f>
        <v/>
      </c>
      <c r="E315" s="111" t="str">
        <f>IF(A315&lt;&gt;"",SUMIFS(node!$F$2:$F$500, node!$C$2:$C$500,"="&amp;A315, node!$C$2:$C$500,"&lt;&gt;"&amp;"")/(B315*D315),"")</f>
        <v/>
      </c>
      <c r="F315" s="112" t="str">
        <f>IF(A315&lt;&gt;"",SUMIFS(node!$H$2:$H$500, node!$C$2:$C$500,"="&amp;A315, node!$C$2:$C$500,"&lt;&gt;"&amp;"")/(C315*D315),"")</f>
        <v/>
      </c>
      <c r="G315" s="179" t="str">
        <f>IF(A315&lt;&gt;"",SUMIFS(deployment!$F$4:$F$502, deployment!$D$4:$D$502,"="&amp;A315, deployment!$D$4:$D$502,"&lt;&gt;"&amp;""),"")</f>
        <v/>
      </c>
      <c r="H315" s="181" t="str">
        <f>IF(A315&lt;&gt;"",SUMIFS(deployment!$G$4:$G$502, deployment!$D$4:$D$502,"="&amp;A315, deployment!$D$4:$D$502,"&lt;&gt;"&amp;""),"")</f>
        <v/>
      </c>
      <c r="I315" s="113" t="str">
        <f>IF(A315&lt;&gt;"",SUMIFS(deployment!$H$4:$H$502, deployment!$D$4:$D$502,"="&amp;A315, deployment!$D$4:$D$502,"&lt;&gt;"&amp;""),"")</f>
        <v/>
      </c>
      <c r="J315" s="114" t="str">
        <f>IF(A315&lt;&gt;"",SUMIFS(deployment!$I$4:$I$502, deployment!$D$4:$D$502,"="&amp;A315, deployment!$D$4:$D$502,"&lt;&gt;"&amp;""),"")</f>
        <v/>
      </c>
      <c r="K315" s="182" t="str">
        <f>IF(A315&lt;&gt;"",SUMIFS(deployment!$J$4:$J$1002, deployment!$D$4:$D$1002,"="&amp;A315, deployment!$D$4:$D$1002,"&lt;&gt;"&amp;"", deployment!$C$4:$C$1002, "&lt;&gt;* )")+SUMIFS(namespace!$G$4:$G$1002, namespace!$B$4:$B$1002,"="&amp;A315, namespace!$B$4:$B$1002,"&lt;&gt;"&amp;""),"")</f>
        <v/>
      </c>
      <c r="L315" s="182" t="str">
        <f>IF(A315&lt;&gt;"",SUMIFS(deployment!$K$4:$K$1002, deployment!$D$4:$D$1002,"="&amp;A315, deployment!$D$4:$D$1002,"&lt;&gt;"&amp;"", deployment!$C$4:$C$1002, "&lt;&gt;* )")+SUMIFS(namespace!$H$4:$H$1002, namespace!$B$4:$B$1002,"="&amp;A315, namespace!$B$4:$B$1002,"&lt;&gt;"&amp;""),"")</f>
        <v/>
      </c>
      <c r="M315" s="115" t="str">
        <f>IF(A315&lt;&gt;"",SUMIFS(deployment!$L$4:$L$1002, deployment!$D$4:$D$1002,"="&amp;A315, deployment!$D$4:$D$1002,"&lt;&gt;"&amp;"", deployment!$C$4:$C$1002, "&lt;&gt;* )")+SUMIFS(namespace!$I$4:$I$1002, namespace!$B$4:$B$1002,"="&amp;A315, namespace!$B$4:$B$1002,"&lt;&gt;"&amp;""),"")</f>
        <v/>
      </c>
      <c r="N315" s="115" t="str">
        <f>IF(A315&lt;&gt;"",SUMIFS(deployment!$M$4:$M$1002, deployment!$D$4:$D$1002,"="&amp;A315, deployment!$D$4:$D$1002,"&lt;&gt;"&amp;"", deployment!$C$4:$C$1002, "&lt;&gt;* )")+SUMIFS(namespace!$J$4:$J$1002, namespace!$B$4:$B$1002,"="&amp;A315, namespace!$B$4:$B$1002,"&lt;&gt;"&amp;""),"")</f>
        <v/>
      </c>
      <c r="O315" s="116" t="str">
        <f t="shared" si="55"/>
        <v/>
      </c>
      <c r="P315" s="63"/>
      <c r="Q315" s="164" t="str">
        <f t="shared" si="50"/>
        <v/>
      </c>
      <c r="R315" s="60" t="str">
        <f t="shared" si="51"/>
        <v/>
      </c>
      <c r="S315" s="60" t="str">
        <f t="shared" si="52"/>
        <v/>
      </c>
      <c r="T315" s="61" t="str">
        <f t="shared" si="53"/>
        <v/>
      </c>
      <c r="U315" s="61" t="str">
        <f t="shared" si="54"/>
        <v/>
      </c>
      <c r="V315" s="183" t="str">
        <f t="shared" si="56"/>
        <v/>
      </c>
      <c r="W315" s="183" t="str">
        <f t="shared" si="57"/>
        <v/>
      </c>
      <c r="X315" s="61" t="str">
        <f t="shared" si="58"/>
        <v/>
      </c>
      <c r="Y315" s="61" t="str">
        <f t="shared" si="59"/>
        <v/>
      </c>
      <c r="Z315" s="118" t="str">
        <f t="shared" si="60"/>
        <v/>
      </c>
      <c r="AA315" s="62" t="str">
        <f t="shared" si="61"/>
        <v/>
      </c>
      <c r="AB315" s="119" t="str">
        <f>IF(A315&lt;&gt;"", IF(P315&lt;&gt;0,SUMIFS(node!$J$2:$J$1000, node!$C$2:$C$1000,"="&amp;A315)/P315,0), "")</f>
        <v/>
      </c>
      <c r="AC315" s="81" t="str">
        <f>IF(A315&lt;&gt;"", IF(P315&lt;&gt;0,SUMIFS(node!$K$2:$K$1000, node!$C$2:$C$1000,"="&amp;A315)/P315,0), "")</f>
        <v/>
      </c>
      <c r="AD315" s="82" t="str">
        <f>IF(A315&lt;&gt;"", SUMIFS(node!$L$2:$L$1000, node!$C$2:$C$1000,"="&amp;A315), "")</f>
        <v/>
      </c>
      <c r="AE315" s="87" t="str">
        <f>IF(A315&lt;&gt;"", SUMIFS(node!$M$2:$M$1000, node!$C$2:$C$1000,"="&amp;A315), "")</f>
        <v/>
      </c>
    </row>
    <row r="316" spans="1:31" ht="15.75" customHeight="1" x14ac:dyDescent="0.25">
      <c r="A316" s="71" t="str">
        <f>IF(ISNONTEXT(node_raw[[#This Row],[Column2]]), "", node_raw[[#This Row],[Column2]])</f>
        <v/>
      </c>
      <c r="B316" s="108" t="str">
        <f>IF(A316&lt;&gt;"", VLOOKUP(A316, node!$C$2:$D$1000, 2, FALSE), "")</f>
        <v/>
      </c>
      <c r="C316" s="109" t="str">
        <f>IF(A316&lt;&gt;"", VLOOKUP(A316, node!$C$2:$E$1000, 3, FALSE), "")</f>
        <v/>
      </c>
      <c r="D316" s="110" t="str">
        <f>IF(A316&lt;&gt;"",COUNTIFS(node!$C$2:$C$1000,"="&amp;A316, node!$C$2:$C$1000,"&lt;&gt;"&amp;""),"")</f>
        <v/>
      </c>
      <c r="E316" s="111" t="str">
        <f>IF(A316&lt;&gt;"",SUMIFS(node!$F$2:$F$500, node!$C$2:$C$500,"="&amp;A316, node!$C$2:$C$500,"&lt;&gt;"&amp;"")/(B316*D316),"")</f>
        <v/>
      </c>
      <c r="F316" s="112" t="str">
        <f>IF(A316&lt;&gt;"",SUMIFS(node!$H$2:$H$500, node!$C$2:$C$500,"="&amp;A316, node!$C$2:$C$500,"&lt;&gt;"&amp;"")/(C316*D316),"")</f>
        <v/>
      </c>
      <c r="G316" s="179" t="str">
        <f>IF(A316&lt;&gt;"",SUMIFS(deployment!$F$4:$F$502, deployment!$D$4:$D$502,"="&amp;A316, deployment!$D$4:$D$502,"&lt;&gt;"&amp;""),"")</f>
        <v/>
      </c>
      <c r="H316" s="181" t="str">
        <f>IF(A316&lt;&gt;"",SUMIFS(deployment!$G$4:$G$502, deployment!$D$4:$D$502,"="&amp;A316, deployment!$D$4:$D$502,"&lt;&gt;"&amp;""),"")</f>
        <v/>
      </c>
      <c r="I316" s="113" t="str">
        <f>IF(A316&lt;&gt;"",SUMIFS(deployment!$H$4:$H$502, deployment!$D$4:$D$502,"="&amp;A316, deployment!$D$4:$D$502,"&lt;&gt;"&amp;""),"")</f>
        <v/>
      </c>
      <c r="J316" s="114" t="str">
        <f>IF(A316&lt;&gt;"",SUMIFS(deployment!$I$4:$I$502, deployment!$D$4:$D$502,"="&amp;A316, deployment!$D$4:$D$502,"&lt;&gt;"&amp;""),"")</f>
        <v/>
      </c>
      <c r="K316" s="182" t="str">
        <f>IF(A316&lt;&gt;"",SUMIFS(deployment!$J$4:$J$1002, deployment!$D$4:$D$1002,"="&amp;A316, deployment!$D$4:$D$1002,"&lt;&gt;"&amp;"", deployment!$C$4:$C$1002, "&lt;&gt;* )")+SUMIFS(namespace!$G$4:$G$1002, namespace!$B$4:$B$1002,"="&amp;A316, namespace!$B$4:$B$1002,"&lt;&gt;"&amp;""),"")</f>
        <v/>
      </c>
      <c r="L316" s="182" t="str">
        <f>IF(A316&lt;&gt;"",SUMIFS(deployment!$K$4:$K$1002, deployment!$D$4:$D$1002,"="&amp;A316, deployment!$D$4:$D$1002,"&lt;&gt;"&amp;"", deployment!$C$4:$C$1002, "&lt;&gt;* )")+SUMIFS(namespace!$H$4:$H$1002, namespace!$B$4:$B$1002,"="&amp;A316, namespace!$B$4:$B$1002,"&lt;&gt;"&amp;""),"")</f>
        <v/>
      </c>
      <c r="M316" s="115" t="str">
        <f>IF(A316&lt;&gt;"",SUMIFS(deployment!$L$4:$L$1002, deployment!$D$4:$D$1002,"="&amp;A316, deployment!$D$4:$D$1002,"&lt;&gt;"&amp;"", deployment!$C$4:$C$1002, "&lt;&gt;* )")+SUMIFS(namespace!$I$4:$I$1002, namespace!$B$4:$B$1002,"="&amp;A316, namespace!$B$4:$B$1002,"&lt;&gt;"&amp;""),"")</f>
        <v/>
      </c>
      <c r="N316" s="115" t="str">
        <f>IF(A316&lt;&gt;"",SUMIFS(deployment!$M$4:$M$1002, deployment!$D$4:$D$1002,"="&amp;A316, deployment!$D$4:$D$1002,"&lt;&gt;"&amp;"", deployment!$C$4:$C$1002, "&lt;&gt;* )")+SUMIFS(namespace!$J$4:$J$1002, namespace!$B$4:$B$1002,"="&amp;A316, namespace!$B$4:$B$1002,"&lt;&gt;"&amp;""),"")</f>
        <v/>
      </c>
      <c r="O316" s="116" t="str">
        <f t="shared" si="55"/>
        <v/>
      </c>
      <c r="P316" s="63"/>
      <c r="Q316" s="164" t="str">
        <f t="shared" si="50"/>
        <v/>
      </c>
      <c r="R316" s="60" t="str">
        <f t="shared" si="51"/>
        <v/>
      </c>
      <c r="S316" s="60" t="str">
        <f t="shared" si="52"/>
        <v/>
      </c>
      <c r="T316" s="61" t="str">
        <f t="shared" si="53"/>
        <v/>
      </c>
      <c r="U316" s="61" t="str">
        <f t="shared" si="54"/>
        <v/>
      </c>
      <c r="V316" s="183" t="str">
        <f t="shared" si="56"/>
        <v/>
      </c>
      <c r="W316" s="183" t="str">
        <f t="shared" si="57"/>
        <v/>
      </c>
      <c r="X316" s="61" t="str">
        <f t="shared" si="58"/>
        <v/>
      </c>
      <c r="Y316" s="61" t="str">
        <f t="shared" si="59"/>
        <v/>
      </c>
      <c r="Z316" s="118" t="str">
        <f t="shared" si="60"/>
        <v/>
      </c>
      <c r="AA316" s="62" t="str">
        <f t="shared" si="61"/>
        <v/>
      </c>
      <c r="AB316" s="119" t="str">
        <f>IF(A316&lt;&gt;"", IF(P316&lt;&gt;0,SUMIFS(node!$J$2:$J$1000, node!$C$2:$C$1000,"="&amp;A316)/P316,0), "")</f>
        <v/>
      </c>
      <c r="AC316" s="81" t="str">
        <f>IF(A316&lt;&gt;"", IF(P316&lt;&gt;0,SUMIFS(node!$K$2:$K$1000, node!$C$2:$C$1000,"="&amp;A316)/P316,0), "")</f>
        <v/>
      </c>
      <c r="AD316" s="82" t="str">
        <f>IF(A316&lt;&gt;"", SUMIFS(node!$L$2:$L$1000, node!$C$2:$C$1000,"="&amp;A316), "")</f>
        <v/>
      </c>
      <c r="AE316" s="87" t="str">
        <f>IF(A316&lt;&gt;"", SUMIFS(node!$M$2:$M$1000, node!$C$2:$C$1000,"="&amp;A316), "")</f>
        <v/>
      </c>
    </row>
    <row r="317" spans="1:31" ht="15.75" customHeight="1" x14ac:dyDescent="0.25">
      <c r="A317" s="71" t="str">
        <f>IF(ISNONTEXT(node_raw[[#This Row],[Column2]]), "", node_raw[[#This Row],[Column2]])</f>
        <v/>
      </c>
      <c r="B317" s="108" t="str">
        <f>IF(A317&lt;&gt;"", VLOOKUP(A317, node!$C$2:$D$1000, 2, FALSE), "")</f>
        <v/>
      </c>
      <c r="C317" s="109" t="str">
        <f>IF(A317&lt;&gt;"", VLOOKUP(A317, node!$C$2:$E$1000, 3, FALSE), "")</f>
        <v/>
      </c>
      <c r="D317" s="110" t="str">
        <f>IF(A317&lt;&gt;"",COUNTIFS(node!$C$2:$C$1000,"="&amp;A317, node!$C$2:$C$1000,"&lt;&gt;"&amp;""),"")</f>
        <v/>
      </c>
      <c r="E317" s="111" t="str">
        <f>IF(A317&lt;&gt;"",SUMIFS(node!$F$2:$F$500, node!$C$2:$C$500,"="&amp;A317, node!$C$2:$C$500,"&lt;&gt;"&amp;"")/(B317*D317),"")</f>
        <v/>
      </c>
      <c r="F317" s="112" t="str">
        <f>IF(A317&lt;&gt;"",SUMIFS(node!$H$2:$H$500, node!$C$2:$C$500,"="&amp;A317, node!$C$2:$C$500,"&lt;&gt;"&amp;"")/(C317*D317),"")</f>
        <v/>
      </c>
      <c r="G317" s="179" t="str">
        <f>IF(A317&lt;&gt;"",SUMIFS(deployment!$F$4:$F$502, deployment!$D$4:$D$502,"="&amp;A317, deployment!$D$4:$D$502,"&lt;&gt;"&amp;""),"")</f>
        <v/>
      </c>
      <c r="H317" s="181" t="str">
        <f>IF(A317&lt;&gt;"",SUMIFS(deployment!$G$4:$G$502, deployment!$D$4:$D$502,"="&amp;A317, deployment!$D$4:$D$502,"&lt;&gt;"&amp;""),"")</f>
        <v/>
      </c>
      <c r="I317" s="113" t="str">
        <f>IF(A317&lt;&gt;"",SUMIFS(deployment!$H$4:$H$502, deployment!$D$4:$D$502,"="&amp;A317, deployment!$D$4:$D$502,"&lt;&gt;"&amp;""),"")</f>
        <v/>
      </c>
      <c r="J317" s="114" t="str">
        <f>IF(A317&lt;&gt;"",SUMIFS(deployment!$I$4:$I$502, deployment!$D$4:$D$502,"="&amp;A317, deployment!$D$4:$D$502,"&lt;&gt;"&amp;""),"")</f>
        <v/>
      </c>
      <c r="K317" s="182" t="str">
        <f>IF(A317&lt;&gt;"",SUMIFS(deployment!$J$4:$J$1002, deployment!$D$4:$D$1002,"="&amp;A317, deployment!$D$4:$D$1002,"&lt;&gt;"&amp;"", deployment!$C$4:$C$1002, "&lt;&gt;* )")+SUMIFS(namespace!$G$4:$G$1002, namespace!$B$4:$B$1002,"="&amp;A317, namespace!$B$4:$B$1002,"&lt;&gt;"&amp;""),"")</f>
        <v/>
      </c>
      <c r="L317" s="182" t="str">
        <f>IF(A317&lt;&gt;"",SUMIFS(deployment!$K$4:$K$1002, deployment!$D$4:$D$1002,"="&amp;A317, deployment!$D$4:$D$1002,"&lt;&gt;"&amp;"", deployment!$C$4:$C$1002, "&lt;&gt;* )")+SUMIFS(namespace!$H$4:$H$1002, namespace!$B$4:$B$1002,"="&amp;A317, namespace!$B$4:$B$1002,"&lt;&gt;"&amp;""),"")</f>
        <v/>
      </c>
      <c r="M317" s="115" t="str">
        <f>IF(A317&lt;&gt;"",SUMIFS(deployment!$L$4:$L$1002, deployment!$D$4:$D$1002,"="&amp;A317, deployment!$D$4:$D$1002,"&lt;&gt;"&amp;"", deployment!$C$4:$C$1002, "&lt;&gt;* )")+SUMIFS(namespace!$I$4:$I$1002, namespace!$B$4:$B$1002,"="&amp;A317, namespace!$B$4:$B$1002,"&lt;&gt;"&amp;""),"")</f>
        <v/>
      </c>
      <c r="N317" s="115" t="str">
        <f>IF(A317&lt;&gt;"",SUMIFS(deployment!$M$4:$M$1002, deployment!$D$4:$D$1002,"="&amp;A317, deployment!$D$4:$D$1002,"&lt;&gt;"&amp;"", deployment!$C$4:$C$1002, "&lt;&gt;* )")+SUMIFS(namespace!$J$4:$J$1002, namespace!$B$4:$B$1002,"="&amp;A317, namespace!$B$4:$B$1002,"&lt;&gt;"&amp;""),"")</f>
        <v/>
      </c>
      <c r="O317" s="116" t="str">
        <f t="shared" si="55"/>
        <v/>
      </c>
      <c r="P317" s="63"/>
      <c r="Q317" s="164" t="str">
        <f t="shared" si="50"/>
        <v/>
      </c>
      <c r="R317" s="60" t="str">
        <f t="shared" si="51"/>
        <v/>
      </c>
      <c r="S317" s="60" t="str">
        <f t="shared" si="52"/>
        <v/>
      </c>
      <c r="T317" s="61" t="str">
        <f t="shared" si="53"/>
        <v/>
      </c>
      <c r="U317" s="61" t="str">
        <f t="shared" si="54"/>
        <v/>
      </c>
      <c r="V317" s="183" t="str">
        <f t="shared" si="56"/>
        <v/>
      </c>
      <c r="W317" s="183" t="str">
        <f t="shared" si="57"/>
        <v/>
      </c>
      <c r="X317" s="61" t="str">
        <f t="shared" si="58"/>
        <v/>
      </c>
      <c r="Y317" s="61" t="str">
        <f t="shared" si="59"/>
        <v/>
      </c>
      <c r="Z317" s="118" t="str">
        <f t="shared" si="60"/>
        <v/>
      </c>
      <c r="AA317" s="62" t="str">
        <f t="shared" si="61"/>
        <v/>
      </c>
      <c r="AB317" s="119" t="str">
        <f>IF(A317&lt;&gt;"", IF(P317&lt;&gt;0,SUMIFS(node!$J$2:$J$1000, node!$C$2:$C$1000,"="&amp;A317)/P317,0), "")</f>
        <v/>
      </c>
      <c r="AC317" s="81" t="str">
        <f>IF(A317&lt;&gt;"", IF(P317&lt;&gt;0,SUMIFS(node!$K$2:$K$1000, node!$C$2:$C$1000,"="&amp;A317)/P317,0), "")</f>
        <v/>
      </c>
      <c r="AD317" s="82" t="str">
        <f>IF(A317&lt;&gt;"", SUMIFS(node!$L$2:$L$1000, node!$C$2:$C$1000,"="&amp;A317), "")</f>
        <v/>
      </c>
      <c r="AE317" s="87" t="str">
        <f>IF(A317&lt;&gt;"", SUMIFS(node!$M$2:$M$1000, node!$C$2:$C$1000,"="&amp;A317), "")</f>
        <v/>
      </c>
    </row>
    <row r="318" spans="1:31" ht="15.75" customHeight="1" x14ac:dyDescent="0.25">
      <c r="A318" s="71" t="str">
        <f>IF(ISNONTEXT(node_raw[[#This Row],[Column2]]), "", node_raw[[#This Row],[Column2]])</f>
        <v/>
      </c>
      <c r="B318" s="108" t="str">
        <f>IF(A318&lt;&gt;"", VLOOKUP(A318, node!$C$2:$D$1000, 2, FALSE), "")</f>
        <v/>
      </c>
      <c r="C318" s="109" t="str">
        <f>IF(A318&lt;&gt;"", VLOOKUP(A318, node!$C$2:$E$1000, 3, FALSE), "")</f>
        <v/>
      </c>
      <c r="D318" s="110" t="str">
        <f>IF(A318&lt;&gt;"",COUNTIFS(node!$C$2:$C$1000,"="&amp;A318, node!$C$2:$C$1000,"&lt;&gt;"&amp;""),"")</f>
        <v/>
      </c>
      <c r="E318" s="111" t="str">
        <f>IF(A318&lt;&gt;"",SUMIFS(node!$F$2:$F$500, node!$C$2:$C$500,"="&amp;A318, node!$C$2:$C$500,"&lt;&gt;"&amp;"")/(B318*D318),"")</f>
        <v/>
      </c>
      <c r="F318" s="112" t="str">
        <f>IF(A318&lt;&gt;"",SUMIFS(node!$H$2:$H$500, node!$C$2:$C$500,"="&amp;A318, node!$C$2:$C$500,"&lt;&gt;"&amp;"")/(C318*D318),"")</f>
        <v/>
      </c>
      <c r="G318" s="179" t="str">
        <f>IF(A318&lt;&gt;"",SUMIFS(deployment!$F$4:$F$502, deployment!$D$4:$D$502,"="&amp;A318, deployment!$D$4:$D$502,"&lt;&gt;"&amp;""),"")</f>
        <v/>
      </c>
      <c r="H318" s="181" t="str">
        <f>IF(A318&lt;&gt;"",SUMIFS(deployment!$G$4:$G$502, deployment!$D$4:$D$502,"="&amp;A318, deployment!$D$4:$D$502,"&lt;&gt;"&amp;""),"")</f>
        <v/>
      </c>
      <c r="I318" s="113" t="str">
        <f>IF(A318&lt;&gt;"",SUMIFS(deployment!$H$4:$H$502, deployment!$D$4:$D$502,"="&amp;A318, deployment!$D$4:$D$502,"&lt;&gt;"&amp;""),"")</f>
        <v/>
      </c>
      <c r="J318" s="114" t="str">
        <f>IF(A318&lt;&gt;"",SUMIFS(deployment!$I$4:$I$502, deployment!$D$4:$D$502,"="&amp;A318, deployment!$D$4:$D$502,"&lt;&gt;"&amp;""),"")</f>
        <v/>
      </c>
      <c r="K318" s="182" t="str">
        <f>IF(A318&lt;&gt;"",SUMIFS(deployment!$J$4:$J$1002, deployment!$D$4:$D$1002,"="&amp;A318, deployment!$D$4:$D$1002,"&lt;&gt;"&amp;"", deployment!$C$4:$C$1002, "&lt;&gt;* )")+SUMIFS(namespace!$G$4:$G$1002, namespace!$B$4:$B$1002,"="&amp;A318, namespace!$B$4:$B$1002,"&lt;&gt;"&amp;""),"")</f>
        <v/>
      </c>
      <c r="L318" s="182" t="str">
        <f>IF(A318&lt;&gt;"",SUMIFS(deployment!$K$4:$K$1002, deployment!$D$4:$D$1002,"="&amp;A318, deployment!$D$4:$D$1002,"&lt;&gt;"&amp;"", deployment!$C$4:$C$1002, "&lt;&gt;* )")+SUMIFS(namespace!$H$4:$H$1002, namespace!$B$4:$B$1002,"="&amp;A318, namespace!$B$4:$B$1002,"&lt;&gt;"&amp;""),"")</f>
        <v/>
      </c>
      <c r="M318" s="115" t="str">
        <f>IF(A318&lt;&gt;"",SUMIFS(deployment!$L$4:$L$1002, deployment!$D$4:$D$1002,"="&amp;A318, deployment!$D$4:$D$1002,"&lt;&gt;"&amp;"", deployment!$C$4:$C$1002, "&lt;&gt;* )")+SUMIFS(namespace!$I$4:$I$1002, namespace!$B$4:$B$1002,"="&amp;A318, namespace!$B$4:$B$1002,"&lt;&gt;"&amp;""),"")</f>
        <v/>
      </c>
      <c r="N318" s="115" t="str">
        <f>IF(A318&lt;&gt;"",SUMIFS(deployment!$M$4:$M$1002, deployment!$D$4:$D$1002,"="&amp;A318, deployment!$D$4:$D$1002,"&lt;&gt;"&amp;"", deployment!$C$4:$C$1002, "&lt;&gt;* )")+SUMIFS(namespace!$J$4:$J$1002, namespace!$B$4:$B$1002,"="&amp;A318, namespace!$B$4:$B$1002,"&lt;&gt;"&amp;""),"")</f>
        <v/>
      </c>
      <c r="O318" s="116" t="str">
        <f t="shared" si="55"/>
        <v/>
      </c>
      <c r="P318" s="63"/>
      <c r="Q318" s="164" t="str">
        <f t="shared" si="50"/>
        <v/>
      </c>
      <c r="R318" s="60" t="str">
        <f t="shared" si="51"/>
        <v/>
      </c>
      <c r="S318" s="60" t="str">
        <f t="shared" si="52"/>
        <v/>
      </c>
      <c r="T318" s="61" t="str">
        <f t="shared" si="53"/>
        <v/>
      </c>
      <c r="U318" s="61" t="str">
        <f t="shared" si="54"/>
        <v/>
      </c>
      <c r="V318" s="183" t="str">
        <f t="shared" si="56"/>
        <v/>
      </c>
      <c r="W318" s="183" t="str">
        <f t="shared" si="57"/>
        <v/>
      </c>
      <c r="X318" s="61" t="str">
        <f t="shared" si="58"/>
        <v/>
      </c>
      <c r="Y318" s="61" t="str">
        <f t="shared" si="59"/>
        <v/>
      </c>
      <c r="Z318" s="118" t="str">
        <f t="shared" si="60"/>
        <v/>
      </c>
      <c r="AA318" s="62" t="str">
        <f t="shared" si="61"/>
        <v/>
      </c>
      <c r="AB318" s="119" t="str">
        <f>IF(A318&lt;&gt;"", IF(P318&lt;&gt;0,SUMIFS(node!$J$2:$J$1000, node!$C$2:$C$1000,"="&amp;A318)/P318,0), "")</f>
        <v/>
      </c>
      <c r="AC318" s="81" t="str">
        <f>IF(A318&lt;&gt;"", IF(P318&lt;&gt;0,SUMIFS(node!$K$2:$K$1000, node!$C$2:$C$1000,"="&amp;A318)/P318,0), "")</f>
        <v/>
      </c>
      <c r="AD318" s="82" t="str">
        <f>IF(A318&lt;&gt;"", SUMIFS(node!$L$2:$L$1000, node!$C$2:$C$1000,"="&amp;A318), "")</f>
        <v/>
      </c>
      <c r="AE318" s="87" t="str">
        <f>IF(A318&lt;&gt;"", SUMIFS(node!$M$2:$M$1000, node!$C$2:$C$1000,"="&amp;A318), "")</f>
        <v/>
      </c>
    </row>
    <row r="319" spans="1:31" ht="15.75" customHeight="1" x14ac:dyDescent="0.25">
      <c r="A319" s="71" t="str">
        <f>IF(ISNONTEXT(node_raw[[#This Row],[Column2]]), "", node_raw[[#This Row],[Column2]])</f>
        <v/>
      </c>
      <c r="B319" s="108" t="str">
        <f>IF(A319&lt;&gt;"", VLOOKUP(A319, node!$C$2:$D$1000, 2, FALSE), "")</f>
        <v/>
      </c>
      <c r="C319" s="109" t="str">
        <f>IF(A319&lt;&gt;"", VLOOKUP(A319, node!$C$2:$E$1000, 3, FALSE), "")</f>
        <v/>
      </c>
      <c r="D319" s="110" t="str">
        <f>IF(A319&lt;&gt;"",COUNTIFS(node!$C$2:$C$1000,"="&amp;A319, node!$C$2:$C$1000,"&lt;&gt;"&amp;""),"")</f>
        <v/>
      </c>
      <c r="E319" s="111" t="str">
        <f>IF(A319&lt;&gt;"",SUMIFS(node!$F$2:$F$500, node!$C$2:$C$500,"="&amp;A319, node!$C$2:$C$500,"&lt;&gt;"&amp;"")/(B319*D319),"")</f>
        <v/>
      </c>
      <c r="F319" s="112" t="str">
        <f>IF(A319&lt;&gt;"",SUMIFS(node!$H$2:$H$500, node!$C$2:$C$500,"="&amp;A319, node!$C$2:$C$500,"&lt;&gt;"&amp;"")/(C319*D319),"")</f>
        <v/>
      </c>
      <c r="G319" s="179" t="str">
        <f>IF(A319&lt;&gt;"",SUMIFS(deployment!$F$4:$F$502, deployment!$D$4:$D$502,"="&amp;A319, deployment!$D$4:$D$502,"&lt;&gt;"&amp;""),"")</f>
        <v/>
      </c>
      <c r="H319" s="181" t="str">
        <f>IF(A319&lt;&gt;"",SUMIFS(deployment!$G$4:$G$502, deployment!$D$4:$D$502,"="&amp;A319, deployment!$D$4:$D$502,"&lt;&gt;"&amp;""),"")</f>
        <v/>
      </c>
      <c r="I319" s="113" t="str">
        <f>IF(A319&lt;&gt;"",SUMIFS(deployment!$H$4:$H$502, deployment!$D$4:$D$502,"="&amp;A319, deployment!$D$4:$D$502,"&lt;&gt;"&amp;""),"")</f>
        <v/>
      </c>
      <c r="J319" s="114" t="str">
        <f>IF(A319&lt;&gt;"",SUMIFS(deployment!$I$4:$I$502, deployment!$D$4:$D$502,"="&amp;A319, deployment!$D$4:$D$502,"&lt;&gt;"&amp;""),"")</f>
        <v/>
      </c>
      <c r="K319" s="182" t="str">
        <f>IF(A319&lt;&gt;"",SUMIFS(deployment!$J$4:$J$1002, deployment!$D$4:$D$1002,"="&amp;A319, deployment!$D$4:$D$1002,"&lt;&gt;"&amp;"", deployment!$C$4:$C$1002, "&lt;&gt;* )")+SUMIFS(namespace!$G$4:$G$1002, namespace!$B$4:$B$1002,"="&amp;A319, namespace!$B$4:$B$1002,"&lt;&gt;"&amp;""),"")</f>
        <v/>
      </c>
      <c r="L319" s="182" t="str">
        <f>IF(A319&lt;&gt;"",SUMIFS(deployment!$K$4:$K$1002, deployment!$D$4:$D$1002,"="&amp;A319, deployment!$D$4:$D$1002,"&lt;&gt;"&amp;"", deployment!$C$4:$C$1002, "&lt;&gt;* )")+SUMIFS(namespace!$H$4:$H$1002, namespace!$B$4:$B$1002,"="&amp;A319, namespace!$B$4:$B$1002,"&lt;&gt;"&amp;""),"")</f>
        <v/>
      </c>
      <c r="M319" s="115" t="str">
        <f>IF(A319&lt;&gt;"",SUMIFS(deployment!$L$4:$L$1002, deployment!$D$4:$D$1002,"="&amp;A319, deployment!$D$4:$D$1002,"&lt;&gt;"&amp;"", deployment!$C$4:$C$1002, "&lt;&gt;* )")+SUMIFS(namespace!$I$4:$I$1002, namespace!$B$4:$B$1002,"="&amp;A319, namespace!$B$4:$B$1002,"&lt;&gt;"&amp;""),"")</f>
        <v/>
      </c>
      <c r="N319" s="115" t="str">
        <f>IF(A319&lt;&gt;"",SUMIFS(deployment!$M$4:$M$1002, deployment!$D$4:$D$1002,"="&amp;A319, deployment!$D$4:$D$1002,"&lt;&gt;"&amp;"", deployment!$C$4:$C$1002, "&lt;&gt;* )")+SUMIFS(namespace!$J$4:$J$1002, namespace!$B$4:$B$1002,"="&amp;A319, namespace!$B$4:$B$1002,"&lt;&gt;"&amp;""),"")</f>
        <v/>
      </c>
      <c r="O319" s="116" t="str">
        <f t="shared" si="55"/>
        <v/>
      </c>
      <c r="P319" s="63"/>
      <c r="Q319" s="164" t="str">
        <f t="shared" si="50"/>
        <v/>
      </c>
      <c r="R319" s="60" t="str">
        <f t="shared" si="51"/>
        <v/>
      </c>
      <c r="S319" s="60" t="str">
        <f t="shared" si="52"/>
        <v/>
      </c>
      <c r="T319" s="61" t="str">
        <f t="shared" si="53"/>
        <v/>
      </c>
      <c r="U319" s="61" t="str">
        <f t="shared" si="54"/>
        <v/>
      </c>
      <c r="V319" s="183" t="str">
        <f t="shared" si="56"/>
        <v/>
      </c>
      <c r="W319" s="183" t="str">
        <f t="shared" si="57"/>
        <v/>
      </c>
      <c r="X319" s="61" t="str">
        <f t="shared" si="58"/>
        <v/>
      </c>
      <c r="Y319" s="61" t="str">
        <f t="shared" si="59"/>
        <v/>
      </c>
      <c r="Z319" s="118" t="str">
        <f t="shared" si="60"/>
        <v/>
      </c>
      <c r="AA319" s="62" t="str">
        <f t="shared" si="61"/>
        <v/>
      </c>
      <c r="AB319" s="119" t="str">
        <f>IF(A319&lt;&gt;"", IF(P319&lt;&gt;0,SUMIFS(node!$J$2:$J$1000, node!$C$2:$C$1000,"="&amp;A319)/P319,0), "")</f>
        <v/>
      </c>
      <c r="AC319" s="81" t="str">
        <f>IF(A319&lt;&gt;"", IF(P319&lt;&gt;0,SUMIFS(node!$K$2:$K$1000, node!$C$2:$C$1000,"="&amp;A319)/P319,0), "")</f>
        <v/>
      </c>
      <c r="AD319" s="82" t="str">
        <f>IF(A319&lt;&gt;"", SUMIFS(node!$L$2:$L$1000, node!$C$2:$C$1000,"="&amp;A319), "")</f>
        <v/>
      </c>
      <c r="AE319" s="87" t="str">
        <f>IF(A319&lt;&gt;"", SUMIFS(node!$M$2:$M$1000, node!$C$2:$C$1000,"="&amp;A319), "")</f>
        <v/>
      </c>
    </row>
    <row r="320" spans="1:31" ht="15.75" customHeight="1" x14ac:dyDescent="0.25">
      <c r="A320" s="71" t="str">
        <f>IF(ISNONTEXT(node_raw[[#This Row],[Column2]]), "", node_raw[[#This Row],[Column2]])</f>
        <v/>
      </c>
      <c r="B320" s="108" t="str">
        <f>IF(A320&lt;&gt;"", VLOOKUP(A320, node!$C$2:$D$1000, 2, FALSE), "")</f>
        <v/>
      </c>
      <c r="C320" s="109" t="str">
        <f>IF(A320&lt;&gt;"", VLOOKUP(A320, node!$C$2:$E$1000, 3, FALSE), "")</f>
        <v/>
      </c>
      <c r="D320" s="110" t="str">
        <f>IF(A320&lt;&gt;"",COUNTIFS(node!$C$2:$C$1000,"="&amp;A320, node!$C$2:$C$1000,"&lt;&gt;"&amp;""),"")</f>
        <v/>
      </c>
      <c r="E320" s="111" t="str">
        <f>IF(A320&lt;&gt;"",SUMIFS(node!$F$2:$F$500, node!$C$2:$C$500,"="&amp;A320, node!$C$2:$C$500,"&lt;&gt;"&amp;"")/(B320*D320),"")</f>
        <v/>
      </c>
      <c r="F320" s="112" t="str">
        <f>IF(A320&lt;&gt;"",SUMIFS(node!$H$2:$H$500, node!$C$2:$C$500,"="&amp;A320, node!$C$2:$C$500,"&lt;&gt;"&amp;"")/(C320*D320),"")</f>
        <v/>
      </c>
      <c r="G320" s="179" t="str">
        <f>IF(A320&lt;&gt;"",SUMIFS(deployment!$F$4:$F$502, deployment!$D$4:$D$502,"="&amp;A320, deployment!$D$4:$D$502,"&lt;&gt;"&amp;""),"")</f>
        <v/>
      </c>
      <c r="H320" s="181" t="str">
        <f>IF(A320&lt;&gt;"",SUMIFS(deployment!$G$4:$G$502, deployment!$D$4:$D$502,"="&amp;A320, deployment!$D$4:$D$502,"&lt;&gt;"&amp;""),"")</f>
        <v/>
      </c>
      <c r="I320" s="113" t="str">
        <f>IF(A320&lt;&gt;"",SUMIFS(deployment!$H$4:$H$502, deployment!$D$4:$D$502,"="&amp;A320, deployment!$D$4:$D$502,"&lt;&gt;"&amp;""),"")</f>
        <v/>
      </c>
      <c r="J320" s="114" t="str">
        <f>IF(A320&lt;&gt;"",SUMIFS(deployment!$I$4:$I$502, deployment!$D$4:$D$502,"="&amp;A320, deployment!$D$4:$D$502,"&lt;&gt;"&amp;""),"")</f>
        <v/>
      </c>
      <c r="K320" s="182" t="str">
        <f>IF(A320&lt;&gt;"",SUMIFS(deployment!$J$4:$J$1002, deployment!$D$4:$D$1002,"="&amp;A320, deployment!$D$4:$D$1002,"&lt;&gt;"&amp;"", deployment!$C$4:$C$1002, "&lt;&gt;* )")+SUMIFS(namespace!$G$4:$G$1002, namespace!$B$4:$B$1002,"="&amp;A320, namespace!$B$4:$B$1002,"&lt;&gt;"&amp;""),"")</f>
        <v/>
      </c>
      <c r="L320" s="182" t="str">
        <f>IF(A320&lt;&gt;"",SUMIFS(deployment!$K$4:$K$1002, deployment!$D$4:$D$1002,"="&amp;A320, deployment!$D$4:$D$1002,"&lt;&gt;"&amp;"", deployment!$C$4:$C$1002, "&lt;&gt;* )")+SUMIFS(namespace!$H$4:$H$1002, namespace!$B$4:$B$1002,"="&amp;A320, namespace!$B$4:$B$1002,"&lt;&gt;"&amp;""),"")</f>
        <v/>
      </c>
      <c r="M320" s="115" t="str">
        <f>IF(A320&lt;&gt;"",SUMIFS(deployment!$L$4:$L$1002, deployment!$D$4:$D$1002,"="&amp;A320, deployment!$D$4:$D$1002,"&lt;&gt;"&amp;"", deployment!$C$4:$C$1002, "&lt;&gt;* )")+SUMIFS(namespace!$I$4:$I$1002, namespace!$B$4:$B$1002,"="&amp;A320, namespace!$B$4:$B$1002,"&lt;&gt;"&amp;""),"")</f>
        <v/>
      </c>
      <c r="N320" s="115" t="str">
        <f>IF(A320&lt;&gt;"",SUMIFS(deployment!$M$4:$M$1002, deployment!$D$4:$D$1002,"="&amp;A320, deployment!$D$4:$D$1002,"&lt;&gt;"&amp;"", deployment!$C$4:$C$1002, "&lt;&gt;* )")+SUMIFS(namespace!$J$4:$J$1002, namespace!$B$4:$B$1002,"="&amp;A320, namespace!$B$4:$B$1002,"&lt;&gt;"&amp;""),"")</f>
        <v/>
      </c>
      <c r="O320" s="116" t="str">
        <f t="shared" si="55"/>
        <v/>
      </c>
      <c r="P320" s="63"/>
      <c r="Q320" s="164" t="str">
        <f t="shared" si="50"/>
        <v/>
      </c>
      <c r="R320" s="60" t="str">
        <f t="shared" si="51"/>
        <v/>
      </c>
      <c r="S320" s="60" t="str">
        <f t="shared" si="52"/>
        <v/>
      </c>
      <c r="T320" s="61" t="str">
        <f t="shared" si="53"/>
        <v/>
      </c>
      <c r="U320" s="61" t="str">
        <f t="shared" si="54"/>
        <v/>
      </c>
      <c r="V320" s="183" t="str">
        <f t="shared" si="56"/>
        <v/>
      </c>
      <c r="W320" s="183" t="str">
        <f t="shared" si="57"/>
        <v/>
      </c>
      <c r="X320" s="61" t="str">
        <f t="shared" si="58"/>
        <v/>
      </c>
      <c r="Y320" s="61" t="str">
        <f t="shared" si="59"/>
        <v/>
      </c>
      <c r="Z320" s="118" t="str">
        <f t="shared" si="60"/>
        <v/>
      </c>
      <c r="AA320" s="62" t="str">
        <f t="shared" si="61"/>
        <v/>
      </c>
      <c r="AB320" s="119" t="str">
        <f>IF(A320&lt;&gt;"", IF(P320&lt;&gt;0,SUMIFS(node!$J$2:$J$1000, node!$C$2:$C$1000,"="&amp;A320)/P320,0), "")</f>
        <v/>
      </c>
      <c r="AC320" s="81" t="str">
        <f>IF(A320&lt;&gt;"", IF(P320&lt;&gt;0,SUMIFS(node!$K$2:$K$1000, node!$C$2:$C$1000,"="&amp;A320)/P320,0), "")</f>
        <v/>
      </c>
      <c r="AD320" s="82" t="str">
        <f>IF(A320&lt;&gt;"", SUMIFS(node!$L$2:$L$1000, node!$C$2:$C$1000,"="&amp;A320), "")</f>
        <v/>
      </c>
      <c r="AE320" s="87" t="str">
        <f>IF(A320&lt;&gt;"", SUMIFS(node!$M$2:$M$1000, node!$C$2:$C$1000,"="&amp;A320), "")</f>
        <v/>
      </c>
    </row>
    <row r="321" spans="1:31" ht="15.75" customHeight="1" x14ac:dyDescent="0.25">
      <c r="A321" s="71" t="str">
        <f>IF(ISNONTEXT(node_raw[[#This Row],[Column2]]), "", node_raw[[#This Row],[Column2]])</f>
        <v/>
      </c>
      <c r="B321" s="108" t="str">
        <f>IF(A321&lt;&gt;"", VLOOKUP(A321, node!$C$2:$D$1000, 2, FALSE), "")</f>
        <v/>
      </c>
      <c r="C321" s="109" t="str">
        <f>IF(A321&lt;&gt;"", VLOOKUP(A321, node!$C$2:$E$1000, 3, FALSE), "")</f>
        <v/>
      </c>
      <c r="D321" s="110" t="str">
        <f>IF(A321&lt;&gt;"",COUNTIFS(node!$C$2:$C$1000,"="&amp;A321, node!$C$2:$C$1000,"&lt;&gt;"&amp;""),"")</f>
        <v/>
      </c>
      <c r="E321" s="111" t="str">
        <f>IF(A321&lt;&gt;"",SUMIFS(node!$F$2:$F$500, node!$C$2:$C$500,"="&amp;A321, node!$C$2:$C$500,"&lt;&gt;"&amp;"")/(B321*D321),"")</f>
        <v/>
      </c>
      <c r="F321" s="112" t="str">
        <f>IF(A321&lt;&gt;"",SUMIFS(node!$H$2:$H$500, node!$C$2:$C$500,"="&amp;A321, node!$C$2:$C$500,"&lt;&gt;"&amp;"")/(C321*D321),"")</f>
        <v/>
      </c>
      <c r="G321" s="179" t="str">
        <f>IF(A321&lt;&gt;"",SUMIFS(deployment!$F$4:$F$502, deployment!$D$4:$D$502,"="&amp;A321, deployment!$D$4:$D$502,"&lt;&gt;"&amp;""),"")</f>
        <v/>
      </c>
      <c r="H321" s="181" t="str">
        <f>IF(A321&lt;&gt;"",SUMIFS(deployment!$G$4:$G$502, deployment!$D$4:$D$502,"="&amp;A321, deployment!$D$4:$D$502,"&lt;&gt;"&amp;""),"")</f>
        <v/>
      </c>
      <c r="I321" s="113" t="str">
        <f>IF(A321&lt;&gt;"",SUMIFS(deployment!$H$4:$H$502, deployment!$D$4:$D$502,"="&amp;A321, deployment!$D$4:$D$502,"&lt;&gt;"&amp;""),"")</f>
        <v/>
      </c>
      <c r="J321" s="114" t="str">
        <f>IF(A321&lt;&gt;"",SUMIFS(deployment!$I$4:$I$502, deployment!$D$4:$D$502,"="&amp;A321, deployment!$D$4:$D$502,"&lt;&gt;"&amp;""),"")</f>
        <v/>
      </c>
      <c r="K321" s="182" t="str">
        <f>IF(A321&lt;&gt;"",SUMIFS(deployment!$J$4:$J$1002, deployment!$D$4:$D$1002,"="&amp;A321, deployment!$D$4:$D$1002,"&lt;&gt;"&amp;"", deployment!$C$4:$C$1002, "&lt;&gt;* )")+SUMIFS(namespace!$G$4:$G$1002, namespace!$B$4:$B$1002,"="&amp;A321, namespace!$B$4:$B$1002,"&lt;&gt;"&amp;""),"")</f>
        <v/>
      </c>
      <c r="L321" s="182" t="str">
        <f>IF(A321&lt;&gt;"",SUMIFS(deployment!$K$4:$K$1002, deployment!$D$4:$D$1002,"="&amp;A321, deployment!$D$4:$D$1002,"&lt;&gt;"&amp;"", deployment!$C$4:$C$1002, "&lt;&gt;* )")+SUMIFS(namespace!$H$4:$H$1002, namespace!$B$4:$B$1002,"="&amp;A321, namespace!$B$4:$B$1002,"&lt;&gt;"&amp;""),"")</f>
        <v/>
      </c>
      <c r="M321" s="115" t="str">
        <f>IF(A321&lt;&gt;"",SUMIFS(deployment!$L$4:$L$1002, deployment!$D$4:$D$1002,"="&amp;A321, deployment!$D$4:$D$1002,"&lt;&gt;"&amp;"", deployment!$C$4:$C$1002, "&lt;&gt;* )")+SUMIFS(namespace!$I$4:$I$1002, namespace!$B$4:$B$1002,"="&amp;A321, namespace!$B$4:$B$1002,"&lt;&gt;"&amp;""),"")</f>
        <v/>
      </c>
      <c r="N321" s="115" t="str">
        <f>IF(A321&lt;&gt;"",SUMIFS(deployment!$M$4:$M$1002, deployment!$D$4:$D$1002,"="&amp;A321, deployment!$D$4:$D$1002,"&lt;&gt;"&amp;"", deployment!$C$4:$C$1002, "&lt;&gt;* )")+SUMIFS(namespace!$J$4:$J$1002, namespace!$B$4:$B$1002,"="&amp;A321, namespace!$B$4:$B$1002,"&lt;&gt;"&amp;""),"")</f>
        <v/>
      </c>
      <c r="O321" s="116" t="str">
        <f t="shared" si="55"/>
        <v/>
      </c>
      <c r="P321" s="63"/>
      <c r="Q321" s="164" t="str">
        <f t="shared" si="50"/>
        <v/>
      </c>
      <c r="R321" s="60" t="str">
        <f t="shared" si="51"/>
        <v/>
      </c>
      <c r="S321" s="60" t="str">
        <f t="shared" si="52"/>
        <v/>
      </c>
      <c r="T321" s="61" t="str">
        <f t="shared" si="53"/>
        <v/>
      </c>
      <c r="U321" s="61" t="str">
        <f t="shared" si="54"/>
        <v/>
      </c>
      <c r="V321" s="183" t="str">
        <f t="shared" si="56"/>
        <v/>
      </c>
      <c r="W321" s="183" t="str">
        <f t="shared" si="57"/>
        <v/>
      </c>
      <c r="X321" s="61" t="str">
        <f t="shared" si="58"/>
        <v/>
      </c>
      <c r="Y321" s="61" t="str">
        <f t="shared" si="59"/>
        <v/>
      </c>
      <c r="Z321" s="118" t="str">
        <f t="shared" si="60"/>
        <v/>
      </c>
      <c r="AA321" s="62" t="str">
        <f t="shared" si="61"/>
        <v/>
      </c>
      <c r="AB321" s="119" t="str">
        <f>IF(A321&lt;&gt;"", IF(P321&lt;&gt;0,SUMIFS(node!$J$2:$J$1000, node!$C$2:$C$1000,"="&amp;A321)/P321,0), "")</f>
        <v/>
      </c>
      <c r="AC321" s="81" t="str">
        <f>IF(A321&lt;&gt;"", IF(P321&lt;&gt;0,SUMIFS(node!$K$2:$K$1000, node!$C$2:$C$1000,"="&amp;A321)/P321,0), "")</f>
        <v/>
      </c>
      <c r="AD321" s="82" t="str">
        <f>IF(A321&lt;&gt;"", SUMIFS(node!$L$2:$L$1000, node!$C$2:$C$1000,"="&amp;A321), "")</f>
        <v/>
      </c>
      <c r="AE321" s="87" t="str">
        <f>IF(A321&lt;&gt;"", SUMIFS(node!$M$2:$M$1000, node!$C$2:$C$1000,"="&amp;A321), "")</f>
        <v/>
      </c>
    </row>
    <row r="322" spans="1:31" ht="15.75" customHeight="1" x14ac:dyDescent="0.25">
      <c r="A322" s="71" t="str">
        <f>IF(ISNONTEXT(node_raw[[#This Row],[Column2]]), "", node_raw[[#This Row],[Column2]])</f>
        <v/>
      </c>
      <c r="B322" s="108" t="str">
        <f>IF(A322&lt;&gt;"", VLOOKUP(A322, node!$C$2:$D$1000, 2, FALSE), "")</f>
        <v/>
      </c>
      <c r="C322" s="109" t="str">
        <f>IF(A322&lt;&gt;"", VLOOKUP(A322, node!$C$2:$E$1000, 3, FALSE), "")</f>
        <v/>
      </c>
      <c r="D322" s="110" t="str">
        <f>IF(A322&lt;&gt;"",COUNTIFS(node!$C$2:$C$1000,"="&amp;A322, node!$C$2:$C$1000,"&lt;&gt;"&amp;""),"")</f>
        <v/>
      </c>
      <c r="E322" s="111" t="str">
        <f>IF(A322&lt;&gt;"",SUMIFS(node!$F$2:$F$500, node!$C$2:$C$500,"="&amp;A322, node!$C$2:$C$500,"&lt;&gt;"&amp;"")/(B322*D322),"")</f>
        <v/>
      </c>
      <c r="F322" s="112" t="str">
        <f>IF(A322&lt;&gt;"",SUMIFS(node!$H$2:$H$500, node!$C$2:$C$500,"="&amp;A322, node!$C$2:$C$500,"&lt;&gt;"&amp;"")/(C322*D322),"")</f>
        <v/>
      </c>
      <c r="G322" s="179" t="str">
        <f>IF(A322&lt;&gt;"",SUMIFS(deployment!$F$4:$F$502, deployment!$D$4:$D$502,"="&amp;A322, deployment!$D$4:$D$502,"&lt;&gt;"&amp;""),"")</f>
        <v/>
      </c>
      <c r="H322" s="181" t="str">
        <f>IF(A322&lt;&gt;"",SUMIFS(deployment!$G$4:$G$502, deployment!$D$4:$D$502,"="&amp;A322, deployment!$D$4:$D$502,"&lt;&gt;"&amp;""),"")</f>
        <v/>
      </c>
      <c r="I322" s="113" t="str">
        <f>IF(A322&lt;&gt;"",SUMIFS(deployment!$H$4:$H$502, deployment!$D$4:$D$502,"="&amp;A322, deployment!$D$4:$D$502,"&lt;&gt;"&amp;""),"")</f>
        <v/>
      </c>
      <c r="J322" s="114" t="str">
        <f>IF(A322&lt;&gt;"",SUMIFS(deployment!$I$4:$I$502, deployment!$D$4:$D$502,"="&amp;A322, deployment!$D$4:$D$502,"&lt;&gt;"&amp;""),"")</f>
        <v/>
      </c>
      <c r="K322" s="182" t="str">
        <f>IF(A322&lt;&gt;"",SUMIFS(deployment!$J$4:$J$1002, deployment!$D$4:$D$1002,"="&amp;A322, deployment!$D$4:$D$1002,"&lt;&gt;"&amp;"", deployment!$C$4:$C$1002, "&lt;&gt;* )")+SUMIFS(namespace!$G$4:$G$1002, namespace!$B$4:$B$1002,"="&amp;A322, namespace!$B$4:$B$1002,"&lt;&gt;"&amp;""),"")</f>
        <v/>
      </c>
      <c r="L322" s="182" t="str">
        <f>IF(A322&lt;&gt;"",SUMIFS(deployment!$K$4:$K$1002, deployment!$D$4:$D$1002,"="&amp;A322, deployment!$D$4:$D$1002,"&lt;&gt;"&amp;"", deployment!$C$4:$C$1002, "&lt;&gt;* )")+SUMIFS(namespace!$H$4:$H$1002, namespace!$B$4:$B$1002,"="&amp;A322, namespace!$B$4:$B$1002,"&lt;&gt;"&amp;""),"")</f>
        <v/>
      </c>
      <c r="M322" s="115" t="str">
        <f>IF(A322&lt;&gt;"",SUMIFS(deployment!$L$4:$L$1002, deployment!$D$4:$D$1002,"="&amp;A322, deployment!$D$4:$D$1002,"&lt;&gt;"&amp;"", deployment!$C$4:$C$1002, "&lt;&gt;* )")+SUMIFS(namespace!$I$4:$I$1002, namespace!$B$4:$B$1002,"="&amp;A322, namespace!$B$4:$B$1002,"&lt;&gt;"&amp;""),"")</f>
        <v/>
      </c>
      <c r="N322" s="115" t="str">
        <f>IF(A322&lt;&gt;"",SUMIFS(deployment!$M$4:$M$1002, deployment!$D$4:$D$1002,"="&amp;A322, deployment!$D$4:$D$1002,"&lt;&gt;"&amp;"", deployment!$C$4:$C$1002, "&lt;&gt;* )")+SUMIFS(namespace!$J$4:$J$1002, namespace!$B$4:$B$1002,"="&amp;A322, namespace!$B$4:$B$1002,"&lt;&gt;"&amp;""),"")</f>
        <v/>
      </c>
      <c r="O322" s="116" t="str">
        <f t="shared" si="55"/>
        <v/>
      </c>
      <c r="P322" s="63"/>
      <c r="Q322" s="164" t="str">
        <f t="shared" si="50"/>
        <v/>
      </c>
      <c r="R322" s="60" t="str">
        <f t="shared" si="51"/>
        <v/>
      </c>
      <c r="S322" s="60" t="str">
        <f t="shared" si="52"/>
        <v/>
      </c>
      <c r="T322" s="61" t="str">
        <f t="shared" si="53"/>
        <v/>
      </c>
      <c r="U322" s="61" t="str">
        <f t="shared" si="54"/>
        <v/>
      </c>
      <c r="V322" s="183" t="str">
        <f t="shared" si="56"/>
        <v/>
      </c>
      <c r="W322" s="183" t="str">
        <f t="shared" si="57"/>
        <v/>
      </c>
      <c r="X322" s="61" t="str">
        <f t="shared" si="58"/>
        <v/>
      </c>
      <c r="Y322" s="61" t="str">
        <f t="shared" si="59"/>
        <v/>
      </c>
      <c r="Z322" s="118" t="str">
        <f t="shared" si="60"/>
        <v/>
      </c>
      <c r="AA322" s="62" t="str">
        <f t="shared" si="61"/>
        <v/>
      </c>
      <c r="AB322" s="119" t="str">
        <f>IF(A322&lt;&gt;"", IF(P322&lt;&gt;0,SUMIFS(node!$J$2:$J$1000, node!$C$2:$C$1000,"="&amp;A322)/P322,0), "")</f>
        <v/>
      </c>
      <c r="AC322" s="81" t="str">
        <f>IF(A322&lt;&gt;"", IF(P322&lt;&gt;0,SUMIFS(node!$K$2:$K$1000, node!$C$2:$C$1000,"="&amp;A322)/P322,0), "")</f>
        <v/>
      </c>
      <c r="AD322" s="82" t="str">
        <f>IF(A322&lt;&gt;"", SUMIFS(node!$L$2:$L$1000, node!$C$2:$C$1000,"="&amp;A322), "")</f>
        <v/>
      </c>
      <c r="AE322" s="87" t="str">
        <f>IF(A322&lt;&gt;"", SUMIFS(node!$M$2:$M$1000, node!$C$2:$C$1000,"="&amp;A322), "")</f>
        <v/>
      </c>
    </row>
    <row r="323" spans="1:31" ht="15.75" customHeight="1" x14ac:dyDescent="0.25">
      <c r="A323" s="71" t="str">
        <f>IF(ISNONTEXT(node_raw[[#This Row],[Column2]]), "", node_raw[[#This Row],[Column2]])</f>
        <v/>
      </c>
      <c r="B323" s="108" t="str">
        <f>IF(A323&lt;&gt;"", VLOOKUP(A323, node!$C$2:$D$1000, 2, FALSE), "")</f>
        <v/>
      </c>
      <c r="C323" s="109" t="str">
        <f>IF(A323&lt;&gt;"", VLOOKUP(A323, node!$C$2:$E$1000, 3, FALSE), "")</f>
        <v/>
      </c>
      <c r="D323" s="110" t="str">
        <f>IF(A323&lt;&gt;"",COUNTIFS(node!$C$2:$C$1000,"="&amp;A323, node!$C$2:$C$1000,"&lt;&gt;"&amp;""),"")</f>
        <v/>
      </c>
      <c r="E323" s="111" t="str">
        <f>IF(A323&lt;&gt;"",SUMIFS(node!$F$2:$F$500, node!$C$2:$C$500,"="&amp;A323, node!$C$2:$C$500,"&lt;&gt;"&amp;"")/(B323*D323),"")</f>
        <v/>
      </c>
      <c r="F323" s="112" t="str">
        <f>IF(A323&lt;&gt;"",SUMIFS(node!$H$2:$H$500, node!$C$2:$C$500,"="&amp;A323, node!$C$2:$C$500,"&lt;&gt;"&amp;"")/(C323*D323),"")</f>
        <v/>
      </c>
      <c r="G323" s="179" t="str">
        <f>IF(A323&lt;&gt;"",SUMIFS(deployment!$F$4:$F$502, deployment!$D$4:$D$502,"="&amp;A323, deployment!$D$4:$D$502,"&lt;&gt;"&amp;""),"")</f>
        <v/>
      </c>
      <c r="H323" s="181" t="str">
        <f>IF(A323&lt;&gt;"",SUMIFS(deployment!$G$4:$G$502, deployment!$D$4:$D$502,"="&amp;A323, deployment!$D$4:$D$502,"&lt;&gt;"&amp;""),"")</f>
        <v/>
      </c>
      <c r="I323" s="113" t="str">
        <f>IF(A323&lt;&gt;"",SUMIFS(deployment!$H$4:$H$502, deployment!$D$4:$D$502,"="&amp;A323, deployment!$D$4:$D$502,"&lt;&gt;"&amp;""),"")</f>
        <v/>
      </c>
      <c r="J323" s="114" t="str">
        <f>IF(A323&lt;&gt;"",SUMIFS(deployment!$I$4:$I$502, deployment!$D$4:$D$502,"="&amp;A323, deployment!$D$4:$D$502,"&lt;&gt;"&amp;""),"")</f>
        <v/>
      </c>
      <c r="K323" s="182" t="str">
        <f>IF(A323&lt;&gt;"",SUMIFS(deployment!$J$4:$J$1002, deployment!$D$4:$D$1002,"="&amp;A323, deployment!$D$4:$D$1002,"&lt;&gt;"&amp;"", deployment!$C$4:$C$1002, "&lt;&gt;* )")+SUMIFS(namespace!$G$4:$G$1002, namespace!$B$4:$B$1002,"="&amp;A323, namespace!$B$4:$B$1002,"&lt;&gt;"&amp;""),"")</f>
        <v/>
      </c>
      <c r="L323" s="182" t="str">
        <f>IF(A323&lt;&gt;"",SUMIFS(deployment!$K$4:$K$1002, deployment!$D$4:$D$1002,"="&amp;A323, deployment!$D$4:$D$1002,"&lt;&gt;"&amp;"", deployment!$C$4:$C$1002, "&lt;&gt;* )")+SUMIFS(namespace!$H$4:$H$1002, namespace!$B$4:$B$1002,"="&amp;A323, namespace!$B$4:$B$1002,"&lt;&gt;"&amp;""),"")</f>
        <v/>
      </c>
      <c r="M323" s="115" t="str">
        <f>IF(A323&lt;&gt;"",SUMIFS(deployment!$L$4:$L$1002, deployment!$D$4:$D$1002,"="&amp;A323, deployment!$D$4:$D$1002,"&lt;&gt;"&amp;"", deployment!$C$4:$C$1002, "&lt;&gt;* )")+SUMIFS(namespace!$I$4:$I$1002, namespace!$B$4:$B$1002,"="&amp;A323, namespace!$B$4:$B$1002,"&lt;&gt;"&amp;""),"")</f>
        <v/>
      </c>
      <c r="N323" s="115" t="str">
        <f>IF(A323&lt;&gt;"",SUMIFS(deployment!$M$4:$M$1002, deployment!$D$4:$D$1002,"="&amp;A323, deployment!$D$4:$D$1002,"&lt;&gt;"&amp;"", deployment!$C$4:$C$1002, "&lt;&gt;* )")+SUMIFS(namespace!$J$4:$J$1002, namespace!$B$4:$B$1002,"="&amp;A323, namespace!$B$4:$B$1002,"&lt;&gt;"&amp;""),"")</f>
        <v/>
      </c>
      <c r="O323" s="116" t="str">
        <f t="shared" si="55"/>
        <v/>
      </c>
      <c r="P323" s="63"/>
      <c r="Q323" s="164" t="str">
        <f t="shared" si="50"/>
        <v/>
      </c>
      <c r="R323" s="60" t="str">
        <f t="shared" si="51"/>
        <v/>
      </c>
      <c r="S323" s="60" t="str">
        <f t="shared" si="52"/>
        <v/>
      </c>
      <c r="T323" s="61" t="str">
        <f t="shared" si="53"/>
        <v/>
      </c>
      <c r="U323" s="61" t="str">
        <f t="shared" si="54"/>
        <v/>
      </c>
      <c r="V323" s="183" t="str">
        <f t="shared" si="56"/>
        <v/>
      </c>
      <c r="W323" s="183" t="str">
        <f t="shared" si="57"/>
        <v/>
      </c>
      <c r="X323" s="61" t="str">
        <f t="shared" si="58"/>
        <v/>
      </c>
      <c r="Y323" s="61" t="str">
        <f t="shared" si="59"/>
        <v/>
      </c>
      <c r="Z323" s="118" t="str">
        <f t="shared" si="60"/>
        <v/>
      </c>
      <c r="AA323" s="62" t="str">
        <f t="shared" si="61"/>
        <v/>
      </c>
      <c r="AB323" s="119" t="str">
        <f>IF(A323&lt;&gt;"", IF(P323&lt;&gt;0,SUMIFS(node!$J$2:$J$1000, node!$C$2:$C$1000,"="&amp;A323)/P323,0), "")</f>
        <v/>
      </c>
      <c r="AC323" s="81" t="str">
        <f>IF(A323&lt;&gt;"", IF(P323&lt;&gt;0,SUMIFS(node!$K$2:$K$1000, node!$C$2:$C$1000,"="&amp;A323)/P323,0), "")</f>
        <v/>
      </c>
      <c r="AD323" s="82" t="str">
        <f>IF(A323&lt;&gt;"", SUMIFS(node!$L$2:$L$1000, node!$C$2:$C$1000,"="&amp;A323), "")</f>
        <v/>
      </c>
      <c r="AE323" s="87" t="str">
        <f>IF(A323&lt;&gt;"", SUMIFS(node!$M$2:$M$1000, node!$C$2:$C$1000,"="&amp;A323), "")</f>
        <v/>
      </c>
    </row>
    <row r="324" spans="1:31" ht="15.75" customHeight="1" x14ac:dyDescent="0.25">
      <c r="A324" s="71" t="str">
        <f>IF(ISNONTEXT(node_raw[[#This Row],[Column2]]), "", node_raw[[#This Row],[Column2]])</f>
        <v/>
      </c>
      <c r="B324" s="108" t="str">
        <f>IF(A324&lt;&gt;"", VLOOKUP(A324, node!$C$2:$D$1000, 2, FALSE), "")</f>
        <v/>
      </c>
      <c r="C324" s="109" t="str">
        <f>IF(A324&lt;&gt;"", VLOOKUP(A324, node!$C$2:$E$1000, 3, FALSE), "")</f>
        <v/>
      </c>
      <c r="D324" s="110" t="str">
        <f>IF(A324&lt;&gt;"",COUNTIFS(node!$C$2:$C$1000,"="&amp;A324, node!$C$2:$C$1000,"&lt;&gt;"&amp;""),"")</f>
        <v/>
      </c>
      <c r="E324" s="111" t="str">
        <f>IF(A324&lt;&gt;"",SUMIFS(node!$F$2:$F$500, node!$C$2:$C$500,"="&amp;A324, node!$C$2:$C$500,"&lt;&gt;"&amp;"")/(B324*D324),"")</f>
        <v/>
      </c>
      <c r="F324" s="112" t="str">
        <f>IF(A324&lt;&gt;"",SUMIFS(node!$H$2:$H$500, node!$C$2:$C$500,"="&amp;A324, node!$C$2:$C$500,"&lt;&gt;"&amp;"")/(C324*D324),"")</f>
        <v/>
      </c>
      <c r="G324" s="179" t="str">
        <f>IF(A324&lt;&gt;"",SUMIFS(deployment!$F$4:$F$502, deployment!$D$4:$D$502,"="&amp;A324, deployment!$D$4:$D$502,"&lt;&gt;"&amp;""),"")</f>
        <v/>
      </c>
      <c r="H324" s="181" t="str">
        <f>IF(A324&lt;&gt;"",SUMIFS(deployment!$G$4:$G$502, deployment!$D$4:$D$502,"="&amp;A324, deployment!$D$4:$D$502,"&lt;&gt;"&amp;""),"")</f>
        <v/>
      </c>
      <c r="I324" s="113" t="str">
        <f>IF(A324&lt;&gt;"",SUMIFS(deployment!$H$4:$H$502, deployment!$D$4:$D$502,"="&amp;A324, deployment!$D$4:$D$502,"&lt;&gt;"&amp;""),"")</f>
        <v/>
      </c>
      <c r="J324" s="114" t="str">
        <f>IF(A324&lt;&gt;"",SUMIFS(deployment!$I$4:$I$502, deployment!$D$4:$D$502,"="&amp;A324, deployment!$D$4:$D$502,"&lt;&gt;"&amp;""),"")</f>
        <v/>
      </c>
      <c r="K324" s="182" t="str">
        <f>IF(A324&lt;&gt;"",SUMIFS(deployment!$J$4:$J$1002, deployment!$D$4:$D$1002,"="&amp;A324, deployment!$D$4:$D$1002,"&lt;&gt;"&amp;"", deployment!$C$4:$C$1002, "&lt;&gt;* )")+SUMIFS(namespace!$G$4:$G$1002, namespace!$B$4:$B$1002,"="&amp;A324, namespace!$B$4:$B$1002,"&lt;&gt;"&amp;""),"")</f>
        <v/>
      </c>
      <c r="L324" s="182" t="str">
        <f>IF(A324&lt;&gt;"",SUMIFS(deployment!$K$4:$K$1002, deployment!$D$4:$D$1002,"="&amp;A324, deployment!$D$4:$D$1002,"&lt;&gt;"&amp;"", deployment!$C$4:$C$1002, "&lt;&gt;* )")+SUMIFS(namespace!$H$4:$H$1002, namespace!$B$4:$B$1002,"="&amp;A324, namespace!$B$4:$B$1002,"&lt;&gt;"&amp;""),"")</f>
        <v/>
      </c>
      <c r="M324" s="115" t="str">
        <f>IF(A324&lt;&gt;"",SUMIFS(deployment!$L$4:$L$1002, deployment!$D$4:$D$1002,"="&amp;A324, deployment!$D$4:$D$1002,"&lt;&gt;"&amp;"", deployment!$C$4:$C$1002, "&lt;&gt;* )")+SUMIFS(namespace!$I$4:$I$1002, namespace!$B$4:$B$1002,"="&amp;A324, namespace!$B$4:$B$1002,"&lt;&gt;"&amp;""),"")</f>
        <v/>
      </c>
      <c r="N324" s="115" t="str">
        <f>IF(A324&lt;&gt;"",SUMIFS(deployment!$M$4:$M$1002, deployment!$D$4:$D$1002,"="&amp;A324, deployment!$D$4:$D$1002,"&lt;&gt;"&amp;"", deployment!$C$4:$C$1002, "&lt;&gt;* )")+SUMIFS(namespace!$J$4:$J$1002, namespace!$B$4:$B$1002,"="&amp;A324, namespace!$B$4:$B$1002,"&lt;&gt;"&amp;""),"")</f>
        <v/>
      </c>
      <c r="O324" s="116" t="str">
        <f t="shared" si="55"/>
        <v/>
      </c>
      <c r="P324" s="63"/>
      <c r="Q324" s="164" t="str">
        <f t="shared" ref="Q324:Q387" si="62">IF(A324&lt;&gt;"",(D324-P324)/D324,"")</f>
        <v/>
      </c>
      <c r="R324" s="60" t="str">
        <f t="shared" ref="R324:R387" si="63">IF(A324&lt;&gt;"",G324/(P324*B324),"")</f>
        <v/>
      </c>
      <c r="S324" s="60" t="str">
        <f t="shared" ref="S324:S387" si="64">IF(A324&lt;&gt;"",H324/(P324*C324),"")</f>
        <v/>
      </c>
      <c r="T324" s="61" t="str">
        <f t="shared" ref="T324:T387" si="65">IF(A324&lt;&gt;"",I324/(P324*B324),"")</f>
        <v/>
      </c>
      <c r="U324" s="61" t="str">
        <f t="shared" ref="U324:U387" si="66">IF(A324&lt;&gt;"",J324/(P324*C324),"")</f>
        <v/>
      </c>
      <c r="V324" s="183" t="str">
        <f t="shared" si="56"/>
        <v/>
      </c>
      <c r="W324" s="183" t="str">
        <f t="shared" si="57"/>
        <v/>
      </c>
      <c r="X324" s="61" t="str">
        <f t="shared" si="58"/>
        <v/>
      </c>
      <c r="Y324" s="61" t="str">
        <f t="shared" si="59"/>
        <v/>
      </c>
      <c r="Z324" s="118" t="str">
        <f t="shared" si="60"/>
        <v/>
      </c>
      <c r="AA324" s="62" t="str">
        <f t="shared" si="61"/>
        <v/>
      </c>
      <c r="AB324" s="119" t="str">
        <f>IF(A324&lt;&gt;"", IF(P324&lt;&gt;0,SUMIFS(node!$J$2:$J$1000, node!$C$2:$C$1000,"="&amp;A324)/P324,0), "")</f>
        <v/>
      </c>
      <c r="AC324" s="81" t="str">
        <f>IF(A324&lt;&gt;"", IF(P324&lt;&gt;0,SUMIFS(node!$K$2:$K$1000, node!$C$2:$C$1000,"="&amp;A324)/P324,0), "")</f>
        <v/>
      </c>
      <c r="AD324" s="82" t="str">
        <f>IF(A324&lt;&gt;"", SUMIFS(node!$L$2:$L$1000, node!$C$2:$C$1000,"="&amp;A324), "")</f>
        <v/>
      </c>
      <c r="AE324" s="87" t="str">
        <f>IF(A324&lt;&gt;"", SUMIFS(node!$M$2:$M$1000, node!$C$2:$C$1000,"="&amp;A324), "")</f>
        <v/>
      </c>
    </row>
    <row r="325" spans="1:31" ht="15.75" customHeight="1" x14ac:dyDescent="0.25">
      <c r="A325" s="71" t="str">
        <f>IF(ISNONTEXT(node_raw[[#This Row],[Column2]]), "", node_raw[[#This Row],[Column2]])</f>
        <v/>
      </c>
      <c r="B325" s="108" t="str">
        <f>IF(A325&lt;&gt;"", VLOOKUP(A325, node!$C$2:$D$1000, 2, FALSE), "")</f>
        <v/>
      </c>
      <c r="C325" s="109" t="str">
        <f>IF(A325&lt;&gt;"", VLOOKUP(A325, node!$C$2:$E$1000, 3, FALSE), "")</f>
        <v/>
      </c>
      <c r="D325" s="110" t="str">
        <f>IF(A325&lt;&gt;"",COUNTIFS(node!$C$2:$C$1000,"="&amp;A325, node!$C$2:$C$1000,"&lt;&gt;"&amp;""),"")</f>
        <v/>
      </c>
      <c r="E325" s="111" t="str">
        <f>IF(A325&lt;&gt;"",SUMIFS(node!$F$2:$F$500, node!$C$2:$C$500,"="&amp;A325, node!$C$2:$C$500,"&lt;&gt;"&amp;"")/(B325*D325),"")</f>
        <v/>
      </c>
      <c r="F325" s="112" t="str">
        <f>IF(A325&lt;&gt;"",SUMIFS(node!$H$2:$H$500, node!$C$2:$C$500,"="&amp;A325, node!$C$2:$C$500,"&lt;&gt;"&amp;"")/(C325*D325),"")</f>
        <v/>
      </c>
      <c r="G325" s="179" t="str">
        <f>IF(A325&lt;&gt;"",SUMIFS(deployment!$F$4:$F$502, deployment!$D$4:$D$502,"="&amp;A325, deployment!$D$4:$D$502,"&lt;&gt;"&amp;""),"")</f>
        <v/>
      </c>
      <c r="H325" s="181" t="str">
        <f>IF(A325&lt;&gt;"",SUMIFS(deployment!$G$4:$G$502, deployment!$D$4:$D$502,"="&amp;A325, deployment!$D$4:$D$502,"&lt;&gt;"&amp;""),"")</f>
        <v/>
      </c>
      <c r="I325" s="113" t="str">
        <f>IF(A325&lt;&gt;"",SUMIFS(deployment!$H$4:$H$502, deployment!$D$4:$D$502,"="&amp;A325, deployment!$D$4:$D$502,"&lt;&gt;"&amp;""),"")</f>
        <v/>
      </c>
      <c r="J325" s="114" t="str">
        <f>IF(A325&lt;&gt;"",SUMIFS(deployment!$I$4:$I$502, deployment!$D$4:$D$502,"="&amp;A325, deployment!$D$4:$D$502,"&lt;&gt;"&amp;""),"")</f>
        <v/>
      </c>
      <c r="K325" s="182" t="str">
        <f>IF(A325&lt;&gt;"",SUMIFS(deployment!$J$4:$J$1002, deployment!$D$4:$D$1002,"="&amp;A325, deployment!$D$4:$D$1002,"&lt;&gt;"&amp;"", deployment!$C$4:$C$1002, "&lt;&gt;* )")+SUMIFS(namespace!$G$4:$G$1002, namespace!$B$4:$B$1002,"="&amp;A325, namespace!$B$4:$B$1002,"&lt;&gt;"&amp;""),"")</f>
        <v/>
      </c>
      <c r="L325" s="182" t="str">
        <f>IF(A325&lt;&gt;"",SUMIFS(deployment!$K$4:$K$1002, deployment!$D$4:$D$1002,"="&amp;A325, deployment!$D$4:$D$1002,"&lt;&gt;"&amp;"", deployment!$C$4:$C$1002, "&lt;&gt;* )")+SUMIFS(namespace!$H$4:$H$1002, namespace!$B$4:$B$1002,"="&amp;A325, namespace!$B$4:$B$1002,"&lt;&gt;"&amp;""),"")</f>
        <v/>
      </c>
      <c r="M325" s="115" t="str">
        <f>IF(A325&lt;&gt;"",SUMIFS(deployment!$L$4:$L$1002, deployment!$D$4:$D$1002,"="&amp;A325, deployment!$D$4:$D$1002,"&lt;&gt;"&amp;"", deployment!$C$4:$C$1002, "&lt;&gt;* )")+SUMIFS(namespace!$I$4:$I$1002, namespace!$B$4:$B$1002,"="&amp;A325, namespace!$B$4:$B$1002,"&lt;&gt;"&amp;""),"")</f>
        <v/>
      </c>
      <c r="N325" s="115" t="str">
        <f>IF(A325&lt;&gt;"",SUMIFS(deployment!$M$4:$M$1002, deployment!$D$4:$D$1002,"="&amp;A325, deployment!$D$4:$D$1002,"&lt;&gt;"&amp;"", deployment!$C$4:$C$1002, "&lt;&gt;* )")+SUMIFS(namespace!$J$4:$J$1002, namespace!$B$4:$B$1002,"="&amp;A325, namespace!$B$4:$B$1002,"&lt;&gt;"&amp;""),"")</f>
        <v/>
      </c>
      <c r="O325" s="116" t="str">
        <f t="shared" ref="O325:O388" si="67">IF(A325&lt;&gt;"",MAX(ROUNDUP(K325/(B325*$B$2), 0), ROUNDUP(L325/(C325*$C$2), 0), ROUNDUP(M325/(B325*$B$2), 0), ROUNDUP(N325/(C325*$C$2), 0), 1),"")</f>
        <v/>
      </c>
      <c r="P325" s="63"/>
      <c r="Q325" s="164" t="str">
        <f t="shared" si="62"/>
        <v/>
      </c>
      <c r="R325" s="60" t="str">
        <f t="shared" si="63"/>
        <v/>
      </c>
      <c r="S325" s="60" t="str">
        <f t="shared" si="64"/>
        <v/>
      </c>
      <c r="T325" s="61" t="str">
        <f t="shared" si="65"/>
        <v/>
      </c>
      <c r="U325" s="61" t="str">
        <f t="shared" si="66"/>
        <v/>
      </c>
      <c r="V325" s="183" t="str">
        <f t="shared" ref="V325:V388" si="68">IF(A325&lt;&gt;"",IF(P325&lt;&gt;0,K325/(P325*B325),0),"")</f>
        <v/>
      </c>
      <c r="W325" s="183" t="str">
        <f t="shared" ref="W325:W388" si="69">IF(A325&lt;&gt;"",IF(P325&lt;&gt;0,L325/(P325*C325),0),"")</f>
        <v/>
      </c>
      <c r="X325" s="61" t="str">
        <f t="shared" ref="X325:X388" si="70">IF(A325&lt;&gt;"",IF(P325&lt;&gt;0,M325/(P325*B325),0),"")</f>
        <v/>
      </c>
      <c r="Y325" s="61" t="str">
        <f t="shared" ref="Y325:Y388" si="71">IF(A325&lt;&gt;"",IF(P325&lt;&gt;0,N325/(P325*C325),0),"")</f>
        <v/>
      </c>
      <c r="Z325" s="118" t="str">
        <f t="shared" ref="Z325:Z388" si="72">IF(A325&lt;&gt;"",(D325*E325)/P325,"")</f>
        <v/>
      </c>
      <c r="AA325" s="62" t="str">
        <f t="shared" ref="AA325:AA388" si="73">IF(A325&lt;&gt;"",(D325*F325)/P325,"")</f>
        <v/>
      </c>
      <c r="AB325" s="119" t="str">
        <f>IF(A325&lt;&gt;"", IF(P325&lt;&gt;0,SUMIFS(node!$J$2:$J$1000, node!$C$2:$C$1000,"="&amp;A325)/P325,0), "")</f>
        <v/>
      </c>
      <c r="AC325" s="81" t="str">
        <f>IF(A325&lt;&gt;"", IF(P325&lt;&gt;0,SUMIFS(node!$K$2:$K$1000, node!$C$2:$C$1000,"="&amp;A325)/P325,0), "")</f>
        <v/>
      </c>
      <c r="AD325" s="82" t="str">
        <f>IF(A325&lt;&gt;"", SUMIFS(node!$L$2:$L$1000, node!$C$2:$C$1000,"="&amp;A325), "")</f>
        <v/>
      </c>
      <c r="AE325" s="87" t="str">
        <f>IF(A325&lt;&gt;"", SUMIFS(node!$M$2:$M$1000, node!$C$2:$C$1000,"="&amp;A325), "")</f>
        <v/>
      </c>
    </row>
    <row r="326" spans="1:31" ht="15.75" customHeight="1" x14ac:dyDescent="0.25">
      <c r="A326" s="71" t="str">
        <f>IF(ISNONTEXT(node_raw[[#This Row],[Column2]]), "", node_raw[[#This Row],[Column2]])</f>
        <v/>
      </c>
      <c r="B326" s="108" t="str">
        <f>IF(A326&lt;&gt;"", VLOOKUP(A326, node!$C$2:$D$1000, 2, FALSE), "")</f>
        <v/>
      </c>
      <c r="C326" s="109" t="str">
        <f>IF(A326&lt;&gt;"", VLOOKUP(A326, node!$C$2:$E$1000, 3, FALSE), "")</f>
        <v/>
      </c>
      <c r="D326" s="110" t="str">
        <f>IF(A326&lt;&gt;"",COUNTIFS(node!$C$2:$C$1000,"="&amp;A326, node!$C$2:$C$1000,"&lt;&gt;"&amp;""),"")</f>
        <v/>
      </c>
      <c r="E326" s="111" t="str">
        <f>IF(A326&lt;&gt;"",SUMIFS(node!$F$2:$F$500, node!$C$2:$C$500,"="&amp;A326, node!$C$2:$C$500,"&lt;&gt;"&amp;"")/(B326*D326),"")</f>
        <v/>
      </c>
      <c r="F326" s="112" t="str">
        <f>IF(A326&lt;&gt;"",SUMIFS(node!$H$2:$H$500, node!$C$2:$C$500,"="&amp;A326, node!$C$2:$C$500,"&lt;&gt;"&amp;"")/(C326*D326),"")</f>
        <v/>
      </c>
      <c r="G326" s="179" t="str">
        <f>IF(A326&lt;&gt;"",SUMIFS(deployment!$F$4:$F$502, deployment!$D$4:$D$502,"="&amp;A326, deployment!$D$4:$D$502,"&lt;&gt;"&amp;""),"")</f>
        <v/>
      </c>
      <c r="H326" s="181" t="str">
        <f>IF(A326&lt;&gt;"",SUMIFS(deployment!$G$4:$G$502, deployment!$D$4:$D$502,"="&amp;A326, deployment!$D$4:$D$502,"&lt;&gt;"&amp;""),"")</f>
        <v/>
      </c>
      <c r="I326" s="113" t="str">
        <f>IF(A326&lt;&gt;"",SUMIFS(deployment!$H$4:$H$502, deployment!$D$4:$D$502,"="&amp;A326, deployment!$D$4:$D$502,"&lt;&gt;"&amp;""),"")</f>
        <v/>
      </c>
      <c r="J326" s="114" t="str">
        <f>IF(A326&lt;&gt;"",SUMIFS(deployment!$I$4:$I$502, deployment!$D$4:$D$502,"="&amp;A326, deployment!$D$4:$D$502,"&lt;&gt;"&amp;""),"")</f>
        <v/>
      </c>
      <c r="K326" s="182" t="str">
        <f>IF(A326&lt;&gt;"",SUMIFS(deployment!$J$4:$J$1002, deployment!$D$4:$D$1002,"="&amp;A326, deployment!$D$4:$D$1002,"&lt;&gt;"&amp;"", deployment!$C$4:$C$1002, "&lt;&gt;* )")+SUMIFS(namespace!$G$4:$G$1002, namespace!$B$4:$B$1002,"="&amp;A326, namespace!$B$4:$B$1002,"&lt;&gt;"&amp;""),"")</f>
        <v/>
      </c>
      <c r="L326" s="182" t="str">
        <f>IF(A326&lt;&gt;"",SUMIFS(deployment!$K$4:$K$1002, deployment!$D$4:$D$1002,"="&amp;A326, deployment!$D$4:$D$1002,"&lt;&gt;"&amp;"", deployment!$C$4:$C$1002, "&lt;&gt;* )")+SUMIFS(namespace!$H$4:$H$1002, namespace!$B$4:$B$1002,"="&amp;A326, namespace!$B$4:$B$1002,"&lt;&gt;"&amp;""),"")</f>
        <v/>
      </c>
      <c r="M326" s="115" t="str">
        <f>IF(A326&lt;&gt;"",SUMIFS(deployment!$L$4:$L$1002, deployment!$D$4:$D$1002,"="&amp;A326, deployment!$D$4:$D$1002,"&lt;&gt;"&amp;"", deployment!$C$4:$C$1002, "&lt;&gt;* )")+SUMIFS(namespace!$I$4:$I$1002, namespace!$B$4:$B$1002,"="&amp;A326, namespace!$B$4:$B$1002,"&lt;&gt;"&amp;""),"")</f>
        <v/>
      </c>
      <c r="N326" s="115" t="str">
        <f>IF(A326&lt;&gt;"",SUMIFS(deployment!$M$4:$M$1002, deployment!$D$4:$D$1002,"="&amp;A326, deployment!$D$4:$D$1002,"&lt;&gt;"&amp;"", deployment!$C$4:$C$1002, "&lt;&gt;* )")+SUMIFS(namespace!$J$4:$J$1002, namespace!$B$4:$B$1002,"="&amp;A326, namespace!$B$4:$B$1002,"&lt;&gt;"&amp;""),"")</f>
        <v/>
      </c>
      <c r="O326" s="116" t="str">
        <f t="shared" si="67"/>
        <v/>
      </c>
      <c r="P326" s="63"/>
      <c r="Q326" s="164" t="str">
        <f t="shared" si="62"/>
        <v/>
      </c>
      <c r="R326" s="60" t="str">
        <f t="shared" si="63"/>
        <v/>
      </c>
      <c r="S326" s="60" t="str">
        <f t="shared" si="64"/>
        <v/>
      </c>
      <c r="T326" s="61" t="str">
        <f t="shared" si="65"/>
        <v/>
      </c>
      <c r="U326" s="61" t="str">
        <f t="shared" si="66"/>
        <v/>
      </c>
      <c r="V326" s="183" t="str">
        <f t="shared" si="68"/>
        <v/>
      </c>
      <c r="W326" s="183" t="str">
        <f t="shared" si="69"/>
        <v/>
      </c>
      <c r="X326" s="61" t="str">
        <f t="shared" si="70"/>
        <v/>
      </c>
      <c r="Y326" s="61" t="str">
        <f t="shared" si="71"/>
        <v/>
      </c>
      <c r="Z326" s="118" t="str">
        <f t="shared" si="72"/>
        <v/>
      </c>
      <c r="AA326" s="62" t="str">
        <f t="shared" si="73"/>
        <v/>
      </c>
      <c r="AB326" s="119" t="str">
        <f>IF(A326&lt;&gt;"", IF(P326&lt;&gt;0,SUMIFS(node!$J$2:$J$1000, node!$C$2:$C$1000,"="&amp;A326)/P326,0), "")</f>
        <v/>
      </c>
      <c r="AC326" s="81" t="str">
        <f>IF(A326&lt;&gt;"", IF(P326&lt;&gt;0,SUMIFS(node!$K$2:$K$1000, node!$C$2:$C$1000,"="&amp;A326)/P326,0), "")</f>
        <v/>
      </c>
      <c r="AD326" s="82" t="str">
        <f>IF(A326&lt;&gt;"", SUMIFS(node!$L$2:$L$1000, node!$C$2:$C$1000,"="&amp;A326), "")</f>
        <v/>
      </c>
      <c r="AE326" s="87" t="str">
        <f>IF(A326&lt;&gt;"", SUMIFS(node!$M$2:$M$1000, node!$C$2:$C$1000,"="&amp;A326), "")</f>
        <v/>
      </c>
    </row>
    <row r="327" spans="1:31" ht="15.75" customHeight="1" x14ac:dyDescent="0.25">
      <c r="A327" s="71" t="str">
        <f>IF(ISNONTEXT(node_raw[[#This Row],[Column2]]), "", node_raw[[#This Row],[Column2]])</f>
        <v/>
      </c>
      <c r="B327" s="108" t="str">
        <f>IF(A327&lt;&gt;"", VLOOKUP(A327, node!$C$2:$D$1000, 2, FALSE), "")</f>
        <v/>
      </c>
      <c r="C327" s="109" t="str">
        <f>IF(A327&lt;&gt;"", VLOOKUP(A327, node!$C$2:$E$1000, 3, FALSE), "")</f>
        <v/>
      </c>
      <c r="D327" s="110" t="str">
        <f>IF(A327&lt;&gt;"",COUNTIFS(node!$C$2:$C$1000,"="&amp;A327, node!$C$2:$C$1000,"&lt;&gt;"&amp;""),"")</f>
        <v/>
      </c>
      <c r="E327" s="111" t="str">
        <f>IF(A327&lt;&gt;"",SUMIFS(node!$F$2:$F$500, node!$C$2:$C$500,"="&amp;A327, node!$C$2:$C$500,"&lt;&gt;"&amp;"")/(B327*D327),"")</f>
        <v/>
      </c>
      <c r="F327" s="112" t="str">
        <f>IF(A327&lt;&gt;"",SUMIFS(node!$H$2:$H$500, node!$C$2:$C$500,"="&amp;A327, node!$C$2:$C$500,"&lt;&gt;"&amp;"")/(C327*D327),"")</f>
        <v/>
      </c>
      <c r="G327" s="179" t="str">
        <f>IF(A327&lt;&gt;"",SUMIFS(deployment!$F$4:$F$502, deployment!$D$4:$D$502,"="&amp;A327, deployment!$D$4:$D$502,"&lt;&gt;"&amp;""),"")</f>
        <v/>
      </c>
      <c r="H327" s="181" t="str">
        <f>IF(A327&lt;&gt;"",SUMIFS(deployment!$G$4:$G$502, deployment!$D$4:$D$502,"="&amp;A327, deployment!$D$4:$D$502,"&lt;&gt;"&amp;""),"")</f>
        <v/>
      </c>
      <c r="I327" s="113" t="str">
        <f>IF(A327&lt;&gt;"",SUMIFS(deployment!$H$4:$H$502, deployment!$D$4:$D$502,"="&amp;A327, deployment!$D$4:$D$502,"&lt;&gt;"&amp;""),"")</f>
        <v/>
      </c>
      <c r="J327" s="114" t="str">
        <f>IF(A327&lt;&gt;"",SUMIFS(deployment!$I$4:$I$502, deployment!$D$4:$D$502,"="&amp;A327, deployment!$D$4:$D$502,"&lt;&gt;"&amp;""),"")</f>
        <v/>
      </c>
      <c r="K327" s="182" t="str">
        <f>IF(A327&lt;&gt;"",SUMIFS(deployment!$J$4:$J$1002, deployment!$D$4:$D$1002,"="&amp;A327, deployment!$D$4:$D$1002,"&lt;&gt;"&amp;"", deployment!$C$4:$C$1002, "&lt;&gt;* )")+SUMIFS(namespace!$G$4:$G$1002, namespace!$B$4:$B$1002,"="&amp;A327, namespace!$B$4:$B$1002,"&lt;&gt;"&amp;""),"")</f>
        <v/>
      </c>
      <c r="L327" s="182" t="str">
        <f>IF(A327&lt;&gt;"",SUMIFS(deployment!$K$4:$K$1002, deployment!$D$4:$D$1002,"="&amp;A327, deployment!$D$4:$D$1002,"&lt;&gt;"&amp;"", deployment!$C$4:$C$1002, "&lt;&gt;* )")+SUMIFS(namespace!$H$4:$H$1002, namespace!$B$4:$B$1002,"="&amp;A327, namespace!$B$4:$B$1002,"&lt;&gt;"&amp;""),"")</f>
        <v/>
      </c>
      <c r="M327" s="115" t="str">
        <f>IF(A327&lt;&gt;"",SUMIFS(deployment!$L$4:$L$1002, deployment!$D$4:$D$1002,"="&amp;A327, deployment!$D$4:$D$1002,"&lt;&gt;"&amp;"", deployment!$C$4:$C$1002, "&lt;&gt;* )")+SUMIFS(namespace!$I$4:$I$1002, namespace!$B$4:$B$1002,"="&amp;A327, namespace!$B$4:$B$1002,"&lt;&gt;"&amp;""),"")</f>
        <v/>
      </c>
      <c r="N327" s="115" t="str">
        <f>IF(A327&lt;&gt;"",SUMIFS(deployment!$M$4:$M$1002, deployment!$D$4:$D$1002,"="&amp;A327, deployment!$D$4:$D$1002,"&lt;&gt;"&amp;"", deployment!$C$4:$C$1002, "&lt;&gt;* )")+SUMIFS(namespace!$J$4:$J$1002, namespace!$B$4:$B$1002,"="&amp;A327, namespace!$B$4:$B$1002,"&lt;&gt;"&amp;""),"")</f>
        <v/>
      </c>
      <c r="O327" s="116" t="str">
        <f t="shared" si="67"/>
        <v/>
      </c>
      <c r="P327" s="63"/>
      <c r="Q327" s="164" t="str">
        <f t="shared" si="62"/>
        <v/>
      </c>
      <c r="R327" s="60" t="str">
        <f t="shared" si="63"/>
        <v/>
      </c>
      <c r="S327" s="60" t="str">
        <f t="shared" si="64"/>
        <v/>
      </c>
      <c r="T327" s="61" t="str">
        <f t="shared" si="65"/>
        <v/>
      </c>
      <c r="U327" s="61" t="str">
        <f t="shared" si="66"/>
        <v/>
      </c>
      <c r="V327" s="183" t="str">
        <f t="shared" si="68"/>
        <v/>
      </c>
      <c r="W327" s="183" t="str">
        <f t="shared" si="69"/>
        <v/>
      </c>
      <c r="X327" s="61" t="str">
        <f t="shared" si="70"/>
        <v/>
      </c>
      <c r="Y327" s="61" t="str">
        <f t="shared" si="71"/>
        <v/>
      </c>
      <c r="Z327" s="118" t="str">
        <f t="shared" si="72"/>
        <v/>
      </c>
      <c r="AA327" s="62" t="str">
        <f t="shared" si="73"/>
        <v/>
      </c>
      <c r="AB327" s="119" t="str">
        <f>IF(A327&lt;&gt;"", IF(P327&lt;&gt;0,SUMIFS(node!$J$2:$J$1000, node!$C$2:$C$1000,"="&amp;A327)/P327,0), "")</f>
        <v/>
      </c>
      <c r="AC327" s="81" t="str">
        <f>IF(A327&lt;&gt;"", IF(P327&lt;&gt;0,SUMIFS(node!$K$2:$K$1000, node!$C$2:$C$1000,"="&amp;A327)/P327,0), "")</f>
        <v/>
      </c>
      <c r="AD327" s="82" t="str">
        <f>IF(A327&lt;&gt;"", SUMIFS(node!$L$2:$L$1000, node!$C$2:$C$1000,"="&amp;A327), "")</f>
        <v/>
      </c>
      <c r="AE327" s="87" t="str">
        <f>IF(A327&lt;&gt;"", SUMIFS(node!$M$2:$M$1000, node!$C$2:$C$1000,"="&amp;A327), "")</f>
        <v/>
      </c>
    </row>
    <row r="328" spans="1:31" ht="15.75" customHeight="1" x14ac:dyDescent="0.25">
      <c r="A328" s="71" t="str">
        <f>IF(ISNONTEXT(node_raw[[#This Row],[Column2]]), "", node_raw[[#This Row],[Column2]])</f>
        <v/>
      </c>
      <c r="B328" s="108" t="str">
        <f>IF(A328&lt;&gt;"", VLOOKUP(A328, node!$C$2:$D$1000, 2, FALSE), "")</f>
        <v/>
      </c>
      <c r="C328" s="109" t="str">
        <f>IF(A328&lt;&gt;"", VLOOKUP(A328, node!$C$2:$E$1000, 3, FALSE), "")</f>
        <v/>
      </c>
      <c r="D328" s="110" t="str">
        <f>IF(A328&lt;&gt;"",COUNTIFS(node!$C$2:$C$1000,"="&amp;A328, node!$C$2:$C$1000,"&lt;&gt;"&amp;""),"")</f>
        <v/>
      </c>
      <c r="E328" s="111" t="str">
        <f>IF(A328&lt;&gt;"",SUMIFS(node!$F$2:$F$500, node!$C$2:$C$500,"="&amp;A328, node!$C$2:$C$500,"&lt;&gt;"&amp;"")/(B328*D328),"")</f>
        <v/>
      </c>
      <c r="F328" s="112" t="str">
        <f>IF(A328&lt;&gt;"",SUMIFS(node!$H$2:$H$500, node!$C$2:$C$500,"="&amp;A328, node!$C$2:$C$500,"&lt;&gt;"&amp;"")/(C328*D328),"")</f>
        <v/>
      </c>
      <c r="G328" s="179" t="str">
        <f>IF(A328&lt;&gt;"",SUMIFS(deployment!$F$4:$F$502, deployment!$D$4:$D$502,"="&amp;A328, deployment!$D$4:$D$502,"&lt;&gt;"&amp;""),"")</f>
        <v/>
      </c>
      <c r="H328" s="181" t="str">
        <f>IF(A328&lt;&gt;"",SUMIFS(deployment!$G$4:$G$502, deployment!$D$4:$D$502,"="&amp;A328, deployment!$D$4:$D$502,"&lt;&gt;"&amp;""),"")</f>
        <v/>
      </c>
      <c r="I328" s="113" t="str">
        <f>IF(A328&lt;&gt;"",SUMIFS(deployment!$H$4:$H$502, deployment!$D$4:$D$502,"="&amp;A328, deployment!$D$4:$D$502,"&lt;&gt;"&amp;""),"")</f>
        <v/>
      </c>
      <c r="J328" s="114" t="str">
        <f>IF(A328&lt;&gt;"",SUMIFS(deployment!$I$4:$I$502, deployment!$D$4:$D$502,"="&amp;A328, deployment!$D$4:$D$502,"&lt;&gt;"&amp;""),"")</f>
        <v/>
      </c>
      <c r="K328" s="182" t="str">
        <f>IF(A328&lt;&gt;"",SUMIFS(deployment!$J$4:$J$1002, deployment!$D$4:$D$1002,"="&amp;A328, deployment!$D$4:$D$1002,"&lt;&gt;"&amp;"", deployment!$C$4:$C$1002, "&lt;&gt;* )")+SUMIFS(namespace!$G$4:$G$1002, namespace!$B$4:$B$1002,"="&amp;A328, namespace!$B$4:$B$1002,"&lt;&gt;"&amp;""),"")</f>
        <v/>
      </c>
      <c r="L328" s="182" t="str">
        <f>IF(A328&lt;&gt;"",SUMIFS(deployment!$K$4:$K$1002, deployment!$D$4:$D$1002,"="&amp;A328, deployment!$D$4:$D$1002,"&lt;&gt;"&amp;"", deployment!$C$4:$C$1002, "&lt;&gt;* )")+SUMIFS(namespace!$H$4:$H$1002, namespace!$B$4:$B$1002,"="&amp;A328, namespace!$B$4:$B$1002,"&lt;&gt;"&amp;""),"")</f>
        <v/>
      </c>
      <c r="M328" s="115" t="str">
        <f>IF(A328&lt;&gt;"",SUMIFS(deployment!$L$4:$L$1002, deployment!$D$4:$D$1002,"="&amp;A328, deployment!$D$4:$D$1002,"&lt;&gt;"&amp;"", deployment!$C$4:$C$1002, "&lt;&gt;* )")+SUMIFS(namespace!$I$4:$I$1002, namespace!$B$4:$B$1002,"="&amp;A328, namespace!$B$4:$B$1002,"&lt;&gt;"&amp;""),"")</f>
        <v/>
      </c>
      <c r="N328" s="115" t="str">
        <f>IF(A328&lt;&gt;"",SUMIFS(deployment!$M$4:$M$1002, deployment!$D$4:$D$1002,"="&amp;A328, deployment!$D$4:$D$1002,"&lt;&gt;"&amp;"", deployment!$C$4:$C$1002, "&lt;&gt;* )")+SUMIFS(namespace!$J$4:$J$1002, namespace!$B$4:$B$1002,"="&amp;A328, namespace!$B$4:$B$1002,"&lt;&gt;"&amp;""),"")</f>
        <v/>
      </c>
      <c r="O328" s="116" t="str">
        <f t="shared" si="67"/>
        <v/>
      </c>
      <c r="P328" s="63"/>
      <c r="Q328" s="164" t="str">
        <f t="shared" si="62"/>
        <v/>
      </c>
      <c r="R328" s="60" t="str">
        <f t="shared" si="63"/>
        <v/>
      </c>
      <c r="S328" s="60" t="str">
        <f t="shared" si="64"/>
        <v/>
      </c>
      <c r="T328" s="61" t="str">
        <f t="shared" si="65"/>
        <v/>
      </c>
      <c r="U328" s="61" t="str">
        <f t="shared" si="66"/>
        <v/>
      </c>
      <c r="V328" s="183" t="str">
        <f t="shared" si="68"/>
        <v/>
      </c>
      <c r="W328" s="183" t="str">
        <f t="shared" si="69"/>
        <v/>
      </c>
      <c r="X328" s="61" t="str">
        <f t="shared" si="70"/>
        <v/>
      </c>
      <c r="Y328" s="61" t="str">
        <f t="shared" si="71"/>
        <v/>
      </c>
      <c r="Z328" s="118" t="str">
        <f t="shared" si="72"/>
        <v/>
      </c>
      <c r="AA328" s="62" t="str">
        <f t="shared" si="73"/>
        <v/>
      </c>
      <c r="AB328" s="119" t="str">
        <f>IF(A328&lt;&gt;"", IF(P328&lt;&gt;0,SUMIFS(node!$J$2:$J$1000, node!$C$2:$C$1000,"="&amp;A328)/P328,0), "")</f>
        <v/>
      </c>
      <c r="AC328" s="81" t="str">
        <f>IF(A328&lt;&gt;"", IF(P328&lt;&gt;0,SUMIFS(node!$K$2:$K$1000, node!$C$2:$C$1000,"="&amp;A328)/P328,0), "")</f>
        <v/>
      </c>
      <c r="AD328" s="82" t="str">
        <f>IF(A328&lt;&gt;"", SUMIFS(node!$L$2:$L$1000, node!$C$2:$C$1000,"="&amp;A328), "")</f>
        <v/>
      </c>
      <c r="AE328" s="87" t="str">
        <f>IF(A328&lt;&gt;"", SUMIFS(node!$M$2:$M$1000, node!$C$2:$C$1000,"="&amp;A328), "")</f>
        <v/>
      </c>
    </row>
    <row r="329" spans="1:31" ht="15.75" customHeight="1" x14ac:dyDescent="0.25">
      <c r="A329" s="71" t="str">
        <f>IF(ISNONTEXT(node_raw[[#This Row],[Column2]]), "", node_raw[[#This Row],[Column2]])</f>
        <v/>
      </c>
      <c r="B329" s="108" t="str">
        <f>IF(A329&lt;&gt;"", VLOOKUP(A329, node!$C$2:$D$1000, 2, FALSE), "")</f>
        <v/>
      </c>
      <c r="C329" s="109" t="str">
        <f>IF(A329&lt;&gt;"", VLOOKUP(A329, node!$C$2:$E$1000, 3, FALSE), "")</f>
        <v/>
      </c>
      <c r="D329" s="110" t="str">
        <f>IF(A329&lt;&gt;"",COUNTIFS(node!$C$2:$C$1000,"="&amp;A329, node!$C$2:$C$1000,"&lt;&gt;"&amp;""),"")</f>
        <v/>
      </c>
      <c r="E329" s="111" t="str">
        <f>IF(A329&lt;&gt;"",SUMIFS(node!$F$2:$F$500, node!$C$2:$C$500,"="&amp;A329, node!$C$2:$C$500,"&lt;&gt;"&amp;"")/(B329*D329),"")</f>
        <v/>
      </c>
      <c r="F329" s="112" t="str">
        <f>IF(A329&lt;&gt;"",SUMIFS(node!$H$2:$H$500, node!$C$2:$C$500,"="&amp;A329, node!$C$2:$C$500,"&lt;&gt;"&amp;"")/(C329*D329),"")</f>
        <v/>
      </c>
      <c r="G329" s="179" t="str">
        <f>IF(A329&lt;&gt;"",SUMIFS(deployment!$F$4:$F$502, deployment!$D$4:$D$502,"="&amp;A329, deployment!$D$4:$D$502,"&lt;&gt;"&amp;""),"")</f>
        <v/>
      </c>
      <c r="H329" s="181" t="str">
        <f>IF(A329&lt;&gt;"",SUMIFS(deployment!$G$4:$G$502, deployment!$D$4:$D$502,"="&amp;A329, deployment!$D$4:$D$502,"&lt;&gt;"&amp;""),"")</f>
        <v/>
      </c>
      <c r="I329" s="113" t="str">
        <f>IF(A329&lt;&gt;"",SUMIFS(deployment!$H$4:$H$502, deployment!$D$4:$D$502,"="&amp;A329, deployment!$D$4:$D$502,"&lt;&gt;"&amp;""),"")</f>
        <v/>
      </c>
      <c r="J329" s="114" t="str">
        <f>IF(A329&lt;&gt;"",SUMIFS(deployment!$I$4:$I$502, deployment!$D$4:$D$502,"="&amp;A329, deployment!$D$4:$D$502,"&lt;&gt;"&amp;""),"")</f>
        <v/>
      </c>
      <c r="K329" s="182" t="str">
        <f>IF(A329&lt;&gt;"",SUMIFS(deployment!$J$4:$J$1002, deployment!$D$4:$D$1002,"="&amp;A329, deployment!$D$4:$D$1002,"&lt;&gt;"&amp;"", deployment!$C$4:$C$1002, "&lt;&gt;* )")+SUMIFS(namespace!$G$4:$G$1002, namespace!$B$4:$B$1002,"="&amp;A329, namespace!$B$4:$B$1002,"&lt;&gt;"&amp;""),"")</f>
        <v/>
      </c>
      <c r="L329" s="182" t="str">
        <f>IF(A329&lt;&gt;"",SUMIFS(deployment!$K$4:$K$1002, deployment!$D$4:$D$1002,"="&amp;A329, deployment!$D$4:$D$1002,"&lt;&gt;"&amp;"", deployment!$C$4:$C$1002, "&lt;&gt;* )")+SUMIFS(namespace!$H$4:$H$1002, namespace!$B$4:$B$1002,"="&amp;A329, namespace!$B$4:$B$1002,"&lt;&gt;"&amp;""),"")</f>
        <v/>
      </c>
      <c r="M329" s="115" t="str">
        <f>IF(A329&lt;&gt;"",SUMIFS(deployment!$L$4:$L$1002, deployment!$D$4:$D$1002,"="&amp;A329, deployment!$D$4:$D$1002,"&lt;&gt;"&amp;"", deployment!$C$4:$C$1002, "&lt;&gt;* )")+SUMIFS(namespace!$I$4:$I$1002, namespace!$B$4:$B$1002,"="&amp;A329, namespace!$B$4:$B$1002,"&lt;&gt;"&amp;""),"")</f>
        <v/>
      </c>
      <c r="N329" s="115" t="str">
        <f>IF(A329&lt;&gt;"",SUMIFS(deployment!$M$4:$M$1002, deployment!$D$4:$D$1002,"="&amp;A329, deployment!$D$4:$D$1002,"&lt;&gt;"&amp;"", deployment!$C$4:$C$1002, "&lt;&gt;* )")+SUMIFS(namespace!$J$4:$J$1002, namespace!$B$4:$B$1002,"="&amp;A329, namespace!$B$4:$B$1002,"&lt;&gt;"&amp;""),"")</f>
        <v/>
      </c>
      <c r="O329" s="116" t="str">
        <f t="shared" si="67"/>
        <v/>
      </c>
      <c r="P329" s="63"/>
      <c r="Q329" s="164" t="str">
        <f t="shared" si="62"/>
        <v/>
      </c>
      <c r="R329" s="60" t="str">
        <f t="shared" si="63"/>
        <v/>
      </c>
      <c r="S329" s="60" t="str">
        <f t="shared" si="64"/>
        <v/>
      </c>
      <c r="T329" s="61" t="str">
        <f t="shared" si="65"/>
        <v/>
      </c>
      <c r="U329" s="61" t="str">
        <f t="shared" si="66"/>
        <v/>
      </c>
      <c r="V329" s="183" t="str">
        <f t="shared" si="68"/>
        <v/>
      </c>
      <c r="W329" s="183" t="str">
        <f t="shared" si="69"/>
        <v/>
      </c>
      <c r="X329" s="61" t="str">
        <f t="shared" si="70"/>
        <v/>
      </c>
      <c r="Y329" s="61" t="str">
        <f t="shared" si="71"/>
        <v/>
      </c>
      <c r="Z329" s="118" t="str">
        <f t="shared" si="72"/>
        <v/>
      </c>
      <c r="AA329" s="62" t="str">
        <f t="shared" si="73"/>
        <v/>
      </c>
      <c r="AB329" s="119" t="str">
        <f>IF(A329&lt;&gt;"", IF(P329&lt;&gt;0,SUMIFS(node!$J$2:$J$1000, node!$C$2:$C$1000,"="&amp;A329)/P329,0), "")</f>
        <v/>
      </c>
      <c r="AC329" s="81" t="str">
        <f>IF(A329&lt;&gt;"", IF(P329&lt;&gt;0,SUMIFS(node!$K$2:$K$1000, node!$C$2:$C$1000,"="&amp;A329)/P329,0), "")</f>
        <v/>
      </c>
      <c r="AD329" s="82" t="str">
        <f>IF(A329&lt;&gt;"", SUMIFS(node!$L$2:$L$1000, node!$C$2:$C$1000,"="&amp;A329), "")</f>
        <v/>
      </c>
      <c r="AE329" s="87" t="str">
        <f>IF(A329&lt;&gt;"", SUMIFS(node!$M$2:$M$1000, node!$C$2:$C$1000,"="&amp;A329), "")</f>
        <v/>
      </c>
    </row>
    <row r="330" spans="1:31" ht="15.75" customHeight="1" x14ac:dyDescent="0.25">
      <c r="A330" s="71" t="str">
        <f>IF(ISNONTEXT(node_raw[[#This Row],[Column2]]), "", node_raw[[#This Row],[Column2]])</f>
        <v/>
      </c>
      <c r="B330" s="108" t="str">
        <f>IF(A330&lt;&gt;"", VLOOKUP(A330, node!$C$2:$D$1000, 2, FALSE), "")</f>
        <v/>
      </c>
      <c r="C330" s="109" t="str">
        <f>IF(A330&lt;&gt;"", VLOOKUP(A330, node!$C$2:$E$1000, 3, FALSE), "")</f>
        <v/>
      </c>
      <c r="D330" s="110" t="str">
        <f>IF(A330&lt;&gt;"",COUNTIFS(node!$C$2:$C$1000,"="&amp;A330, node!$C$2:$C$1000,"&lt;&gt;"&amp;""),"")</f>
        <v/>
      </c>
      <c r="E330" s="111" t="str">
        <f>IF(A330&lt;&gt;"",SUMIFS(node!$F$2:$F$500, node!$C$2:$C$500,"="&amp;A330, node!$C$2:$C$500,"&lt;&gt;"&amp;"")/(B330*D330),"")</f>
        <v/>
      </c>
      <c r="F330" s="112" t="str">
        <f>IF(A330&lt;&gt;"",SUMIFS(node!$H$2:$H$500, node!$C$2:$C$500,"="&amp;A330, node!$C$2:$C$500,"&lt;&gt;"&amp;"")/(C330*D330),"")</f>
        <v/>
      </c>
      <c r="G330" s="179" t="str">
        <f>IF(A330&lt;&gt;"",SUMIFS(deployment!$F$4:$F$502, deployment!$D$4:$D$502,"="&amp;A330, deployment!$D$4:$D$502,"&lt;&gt;"&amp;""),"")</f>
        <v/>
      </c>
      <c r="H330" s="181" t="str">
        <f>IF(A330&lt;&gt;"",SUMIFS(deployment!$G$4:$G$502, deployment!$D$4:$D$502,"="&amp;A330, deployment!$D$4:$D$502,"&lt;&gt;"&amp;""),"")</f>
        <v/>
      </c>
      <c r="I330" s="113" t="str">
        <f>IF(A330&lt;&gt;"",SUMIFS(deployment!$H$4:$H$502, deployment!$D$4:$D$502,"="&amp;A330, deployment!$D$4:$D$502,"&lt;&gt;"&amp;""),"")</f>
        <v/>
      </c>
      <c r="J330" s="114" t="str">
        <f>IF(A330&lt;&gt;"",SUMIFS(deployment!$I$4:$I$502, deployment!$D$4:$D$502,"="&amp;A330, deployment!$D$4:$D$502,"&lt;&gt;"&amp;""),"")</f>
        <v/>
      </c>
      <c r="K330" s="182" t="str">
        <f>IF(A330&lt;&gt;"",SUMIFS(deployment!$J$4:$J$1002, deployment!$D$4:$D$1002,"="&amp;A330, deployment!$D$4:$D$1002,"&lt;&gt;"&amp;"", deployment!$C$4:$C$1002, "&lt;&gt;* )")+SUMIFS(namespace!$G$4:$G$1002, namespace!$B$4:$B$1002,"="&amp;A330, namespace!$B$4:$B$1002,"&lt;&gt;"&amp;""),"")</f>
        <v/>
      </c>
      <c r="L330" s="182" t="str">
        <f>IF(A330&lt;&gt;"",SUMIFS(deployment!$K$4:$K$1002, deployment!$D$4:$D$1002,"="&amp;A330, deployment!$D$4:$D$1002,"&lt;&gt;"&amp;"", deployment!$C$4:$C$1002, "&lt;&gt;* )")+SUMIFS(namespace!$H$4:$H$1002, namespace!$B$4:$B$1002,"="&amp;A330, namespace!$B$4:$B$1002,"&lt;&gt;"&amp;""),"")</f>
        <v/>
      </c>
      <c r="M330" s="115" t="str">
        <f>IF(A330&lt;&gt;"",SUMIFS(deployment!$L$4:$L$1002, deployment!$D$4:$D$1002,"="&amp;A330, deployment!$D$4:$D$1002,"&lt;&gt;"&amp;"", deployment!$C$4:$C$1002, "&lt;&gt;* )")+SUMIFS(namespace!$I$4:$I$1002, namespace!$B$4:$B$1002,"="&amp;A330, namespace!$B$4:$B$1002,"&lt;&gt;"&amp;""),"")</f>
        <v/>
      </c>
      <c r="N330" s="115" t="str">
        <f>IF(A330&lt;&gt;"",SUMIFS(deployment!$M$4:$M$1002, deployment!$D$4:$D$1002,"="&amp;A330, deployment!$D$4:$D$1002,"&lt;&gt;"&amp;"", deployment!$C$4:$C$1002, "&lt;&gt;* )")+SUMIFS(namespace!$J$4:$J$1002, namespace!$B$4:$B$1002,"="&amp;A330, namespace!$B$4:$B$1002,"&lt;&gt;"&amp;""),"")</f>
        <v/>
      </c>
      <c r="O330" s="116" t="str">
        <f t="shared" si="67"/>
        <v/>
      </c>
      <c r="P330" s="63"/>
      <c r="Q330" s="164" t="str">
        <f t="shared" si="62"/>
        <v/>
      </c>
      <c r="R330" s="60" t="str">
        <f t="shared" si="63"/>
        <v/>
      </c>
      <c r="S330" s="60" t="str">
        <f t="shared" si="64"/>
        <v/>
      </c>
      <c r="T330" s="61" t="str">
        <f t="shared" si="65"/>
        <v/>
      </c>
      <c r="U330" s="61" t="str">
        <f t="shared" si="66"/>
        <v/>
      </c>
      <c r="V330" s="183" t="str">
        <f t="shared" si="68"/>
        <v/>
      </c>
      <c r="W330" s="183" t="str">
        <f t="shared" si="69"/>
        <v/>
      </c>
      <c r="X330" s="61" t="str">
        <f t="shared" si="70"/>
        <v/>
      </c>
      <c r="Y330" s="61" t="str">
        <f t="shared" si="71"/>
        <v/>
      </c>
      <c r="Z330" s="118" t="str">
        <f t="shared" si="72"/>
        <v/>
      </c>
      <c r="AA330" s="62" t="str">
        <f t="shared" si="73"/>
        <v/>
      </c>
      <c r="AB330" s="119" t="str">
        <f>IF(A330&lt;&gt;"", IF(P330&lt;&gt;0,SUMIFS(node!$J$2:$J$1000, node!$C$2:$C$1000,"="&amp;A330)/P330,0), "")</f>
        <v/>
      </c>
      <c r="AC330" s="81" t="str">
        <f>IF(A330&lt;&gt;"", IF(P330&lt;&gt;0,SUMIFS(node!$K$2:$K$1000, node!$C$2:$C$1000,"="&amp;A330)/P330,0), "")</f>
        <v/>
      </c>
      <c r="AD330" s="82" t="str">
        <f>IF(A330&lt;&gt;"", SUMIFS(node!$L$2:$L$1000, node!$C$2:$C$1000,"="&amp;A330), "")</f>
        <v/>
      </c>
      <c r="AE330" s="87" t="str">
        <f>IF(A330&lt;&gt;"", SUMIFS(node!$M$2:$M$1000, node!$C$2:$C$1000,"="&amp;A330), "")</f>
        <v/>
      </c>
    </row>
    <row r="331" spans="1:31" ht="15.75" customHeight="1" x14ac:dyDescent="0.25">
      <c r="A331" s="71" t="str">
        <f>IF(ISNONTEXT(node_raw[[#This Row],[Column2]]), "", node_raw[[#This Row],[Column2]])</f>
        <v/>
      </c>
      <c r="B331" s="108" t="str">
        <f>IF(A331&lt;&gt;"", VLOOKUP(A331, node!$C$2:$D$1000, 2, FALSE), "")</f>
        <v/>
      </c>
      <c r="C331" s="109" t="str">
        <f>IF(A331&lt;&gt;"", VLOOKUP(A331, node!$C$2:$E$1000, 3, FALSE), "")</f>
        <v/>
      </c>
      <c r="D331" s="110" t="str">
        <f>IF(A331&lt;&gt;"",COUNTIFS(node!$C$2:$C$1000,"="&amp;A331, node!$C$2:$C$1000,"&lt;&gt;"&amp;""),"")</f>
        <v/>
      </c>
      <c r="E331" s="111" t="str">
        <f>IF(A331&lt;&gt;"",SUMIFS(node!$F$2:$F$500, node!$C$2:$C$500,"="&amp;A331, node!$C$2:$C$500,"&lt;&gt;"&amp;"")/(B331*D331),"")</f>
        <v/>
      </c>
      <c r="F331" s="112" t="str">
        <f>IF(A331&lt;&gt;"",SUMIFS(node!$H$2:$H$500, node!$C$2:$C$500,"="&amp;A331, node!$C$2:$C$500,"&lt;&gt;"&amp;"")/(C331*D331),"")</f>
        <v/>
      </c>
      <c r="G331" s="179" t="str">
        <f>IF(A331&lt;&gt;"",SUMIFS(deployment!$F$4:$F$502, deployment!$D$4:$D$502,"="&amp;A331, deployment!$D$4:$D$502,"&lt;&gt;"&amp;""),"")</f>
        <v/>
      </c>
      <c r="H331" s="181" t="str">
        <f>IF(A331&lt;&gt;"",SUMIFS(deployment!$G$4:$G$502, deployment!$D$4:$D$502,"="&amp;A331, deployment!$D$4:$D$502,"&lt;&gt;"&amp;""),"")</f>
        <v/>
      </c>
      <c r="I331" s="113" t="str">
        <f>IF(A331&lt;&gt;"",SUMIFS(deployment!$H$4:$H$502, deployment!$D$4:$D$502,"="&amp;A331, deployment!$D$4:$D$502,"&lt;&gt;"&amp;""),"")</f>
        <v/>
      </c>
      <c r="J331" s="114" t="str">
        <f>IF(A331&lt;&gt;"",SUMIFS(deployment!$I$4:$I$502, deployment!$D$4:$D$502,"="&amp;A331, deployment!$D$4:$D$502,"&lt;&gt;"&amp;""),"")</f>
        <v/>
      </c>
      <c r="K331" s="182" t="str">
        <f>IF(A331&lt;&gt;"",SUMIFS(deployment!$J$4:$J$1002, deployment!$D$4:$D$1002,"="&amp;A331, deployment!$D$4:$D$1002,"&lt;&gt;"&amp;"", deployment!$C$4:$C$1002, "&lt;&gt;* )")+SUMIFS(namespace!$G$4:$G$1002, namespace!$B$4:$B$1002,"="&amp;A331, namespace!$B$4:$B$1002,"&lt;&gt;"&amp;""),"")</f>
        <v/>
      </c>
      <c r="L331" s="182" t="str">
        <f>IF(A331&lt;&gt;"",SUMIFS(deployment!$K$4:$K$1002, deployment!$D$4:$D$1002,"="&amp;A331, deployment!$D$4:$D$1002,"&lt;&gt;"&amp;"", deployment!$C$4:$C$1002, "&lt;&gt;* )")+SUMIFS(namespace!$H$4:$H$1002, namespace!$B$4:$B$1002,"="&amp;A331, namespace!$B$4:$B$1002,"&lt;&gt;"&amp;""),"")</f>
        <v/>
      </c>
      <c r="M331" s="115" t="str">
        <f>IF(A331&lt;&gt;"",SUMIFS(deployment!$L$4:$L$1002, deployment!$D$4:$D$1002,"="&amp;A331, deployment!$D$4:$D$1002,"&lt;&gt;"&amp;"", deployment!$C$4:$C$1002, "&lt;&gt;* )")+SUMIFS(namespace!$I$4:$I$1002, namespace!$B$4:$B$1002,"="&amp;A331, namespace!$B$4:$B$1002,"&lt;&gt;"&amp;""),"")</f>
        <v/>
      </c>
      <c r="N331" s="115" t="str">
        <f>IF(A331&lt;&gt;"",SUMIFS(deployment!$M$4:$M$1002, deployment!$D$4:$D$1002,"="&amp;A331, deployment!$D$4:$D$1002,"&lt;&gt;"&amp;"", deployment!$C$4:$C$1002, "&lt;&gt;* )")+SUMIFS(namespace!$J$4:$J$1002, namespace!$B$4:$B$1002,"="&amp;A331, namespace!$B$4:$B$1002,"&lt;&gt;"&amp;""),"")</f>
        <v/>
      </c>
      <c r="O331" s="116" t="str">
        <f t="shared" si="67"/>
        <v/>
      </c>
      <c r="P331" s="63"/>
      <c r="Q331" s="164" t="str">
        <f t="shared" si="62"/>
        <v/>
      </c>
      <c r="R331" s="60" t="str">
        <f t="shared" si="63"/>
        <v/>
      </c>
      <c r="S331" s="60" t="str">
        <f t="shared" si="64"/>
        <v/>
      </c>
      <c r="T331" s="61" t="str">
        <f t="shared" si="65"/>
        <v/>
      </c>
      <c r="U331" s="61" t="str">
        <f t="shared" si="66"/>
        <v/>
      </c>
      <c r="V331" s="183" t="str">
        <f t="shared" si="68"/>
        <v/>
      </c>
      <c r="W331" s="183" t="str">
        <f t="shared" si="69"/>
        <v/>
      </c>
      <c r="X331" s="61" t="str">
        <f t="shared" si="70"/>
        <v/>
      </c>
      <c r="Y331" s="61" t="str">
        <f t="shared" si="71"/>
        <v/>
      </c>
      <c r="Z331" s="118" t="str">
        <f t="shared" si="72"/>
        <v/>
      </c>
      <c r="AA331" s="62" t="str">
        <f t="shared" si="73"/>
        <v/>
      </c>
      <c r="AB331" s="119" t="str">
        <f>IF(A331&lt;&gt;"", IF(P331&lt;&gt;0,SUMIFS(node!$J$2:$J$1000, node!$C$2:$C$1000,"="&amp;A331)/P331,0), "")</f>
        <v/>
      </c>
      <c r="AC331" s="81" t="str">
        <f>IF(A331&lt;&gt;"", IF(P331&lt;&gt;0,SUMIFS(node!$K$2:$K$1000, node!$C$2:$C$1000,"="&amp;A331)/P331,0), "")</f>
        <v/>
      </c>
      <c r="AD331" s="82" t="str">
        <f>IF(A331&lt;&gt;"", SUMIFS(node!$L$2:$L$1000, node!$C$2:$C$1000,"="&amp;A331), "")</f>
        <v/>
      </c>
      <c r="AE331" s="87" t="str">
        <f>IF(A331&lt;&gt;"", SUMIFS(node!$M$2:$M$1000, node!$C$2:$C$1000,"="&amp;A331), "")</f>
        <v/>
      </c>
    </row>
    <row r="332" spans="1:31" ht="15.75" customHeight="1" x14ac:dyDescent="0.25">
      <c r="A332" s="71" t="str">
        <f>IF(ISNONTEXT(node_raw[[#This Row],[Column2]]), "", node_raw[[#This Row],[Column2]])</f>
        <v/>
      </c>
      <c r="B332" s="108" t="str">
        <f>IF(A332&lt;&gt;"", VLOOKUP(A332, node!$C$2:$D$1000, 2, FALSE), "")</f>
        <v/>
      </c>
      <c r="C332" s="109" t="str">
        <f>IF(A332&lt;&gt;"", VLOOKUP(A332, node!$C$2:$E$1000, 3, FALSE), "")</f>
        <v/>
      </c>
      <c r="D332" s="110" t="str">
        <f>IF(A332&lt;&gt;"",COUNTIFS(node!$C$2:$C$1000,"="&amp;A332, node!$C$2:$C$1000,"&lt;&gt;"&amp;""),"")</f>
        <v/>
      </c>
      <c r="E332" s="111" t="str">
        <f>IF(A332&lt;&gt;"",SUMIFS(node!$F$2:$F$500, node!$C$2:$C$500,"="&amp;A332, node!$C$2:$C$500,"&lt;&gt;"&amp;"")/(B332*D332),"")</f>
        <v/>
      </c>
      <c r="F332" s="112" t="str">
        <f>IF(A332&lt;&gt;"",SUMIFS(node!$H$2:$H$500, node!$C$2:$C$500,"="&amp;A332, node!$C$2:$C$500,"&lt;&gt;"&amp;"")/(C332*D332),"")</f>
        <v/>
      </c>
      <c r="G332" s="179" t="str">
        <f>IF(A332&lt;&gt;"",SUMIFS(deployment!$F$4:$F$502, deployment!$D$4:$D$502,"="&amp;A332, deployment!$D$4:$D$502,"&lt;&gt;"&amp;""),"")</f>
        <v/>
      </c>
      <c r="H332" s="181" t="str">
        <f>IF(A332&lt;&gt;"",SUMIFS(deployment!$G$4:$G$502, deployment!$D$4:$D$502,"="&amp;A332, deployment!$D$4:$D$502,"&lt;&gt;"&amp;""),"")</f>
        <v/>
      </c>
      <c r="I332" s="113" t="str">
        <f>IF(A332&lt;&gt;"",SUMIFS(deployment!$H$4:$H$502, deployment!$D$4:$D$502,"="&amp;A332, deployment!$D$4:$D$502,"&lt;&gt;"&amp;""),"")</f>
        <v/>
      </c>
      <c r="J332" s="114" t="str">
        <f>IF(A332&lt;&gt;"",SUMIFS(deployment!$I$4:$I$502, deployment!$D$4:$D$502,"="&amp;A332, deployment!$D$4:$D$502,"&lt;&gt;"&amp;""),"")</f>
        <v/>
      </c>
      <c r="K332" s="182" t="str">
        <f>IF(A332&lt;&gt;"",SUMIFS(deployment!$J$4:$J$1002, deployment!$D$4:$D$1002,"="&amp;A332, deployment!$D$4:$D$1002,"&lt;&gt;"&amp;"", deployment!$C$4:$C$1002, "&lt;&gt;* )")+SUMIFS(namespace!$G$4:$G$1002, namespace!$B$4:$B$1002,"="&amp;A332, namespace!$B$4:$B$1002,"&lt;&gt;"&amp;""),"")</f>
        <v/>
      </c>
      <c r="L332" s="182" t="str">
        <f>IF(A332&lt;&gt;"",SUMIFS(deployment!$K$4:$K$1002, deployment!$D$4:$D$1002,"="&amp;A332, deployment!$D$4:$D$1002,"&lt;&gt;"&amp;"", deployment!$C$4:$C$1002, "&lt;&gt;* )")+SUMIFS(namespace!$H$4:$H$1002, namespace!$B$4:$B$1002,"="&amp;A332, namespace!$B$4:$B$1002,"&lt;&gt;"&amp;""),"")</f>
        <v/>
      </c>
      <c r="M332" s="115" t="str">
        <f>IF(A332&lt;&gt;"",SUMIFS(deployment!$L$4:$L$1002, deployment!$D$4:$D$1002,"="&amp;A332, deployment!$D$4:$D$1002,"&lt;&gt;"&amp;"", deployment!$C$4:$C$1002, "&lt;&gt;* )")+SUMIFS(namespace!$I$4:$I$1002, namespace!$B$4:$B$1002,"="&amp;A332, namespace!$B$4:$B$1002,"&lt;&gt;"&amp;""),"")</f>
        <v/>
      </c>
      <c r="N332" s="115" t="str">
        <f>IF(A332&lt;&gt;"",SUMIFS(deployment!$M$4:$M$1002, deployment!$D$4:$D$1002,"="&amp;A332, deployment!$D$4:$D$1002,"&lt;&gt;"&amp;"", deployment!$C$4:$C$1002, "&lt;&gt;* )")+SUMIFS(namespace!$J$4:$J$1002, namespace!$B$4:$B$1002,"="&amp;A332, namespace!$B$4:$B$1002,"&lt;&gt;"&amp;""),"")</f>
        <v/>
      </c>
      <c r="O332" s="116" t="str">
        <f t="shared" si="67"/>
        <v/>
      </c>
      <c r="P332" s="63"/>
      <c r="Q332" s="164" t="str">
        <f t="shared" si="62"/>
        <v/>
      </c>
      <c r="R332" s="60" t="str">
        <f t="shared" si="63"/>
        <v/>
      </c>
      <c r="S332" s="60" t="str">
        <f t="shared" si="64"/>
        <v/>
      </c>
      <c r="T332" s="61" t="str">
        <f t="shared" si="65"/>
        <v/>
      </c>
      <c r="U332" s="61" t="str">
        <f t="shared" si="66"/>
        <v/>
      </c>
      <c r="V332" s="183" t="str">
        <f t="shared" si="68"/>
        <v/>
      </c>
      <c r="W332" s="183" t="str">
        <f t="shared" si="69"/>
        <v/>
      </c>
      <c r="X332" s="61" t="str">
        <f t="shared" si="70"/>
        <v/>
      </c>
      <c r="Y332" s="61" t="str">
        <f t="shared" si="71"/>
        <v/>
      </c>
      <c r="Z332" s="118" t="str">
        <f t="shared" si="72"/>
        <v/>
      </c>
      <c r="AA332" s="62" t="str">
        <f t="shared" si="73"/>
        <v/>
      </c>
      <c r="AB332" s="119" t="str">
        <f>IF(A332&lt;&gt;"", IF(P332&lt;&gt;0,SUMIFS(node!$J$2:$J$1000, node!$C$2:$C$1000,"="&amp;A332)/P332,0), "")</f>
        <v/>
      </c>
      <c r="AC332" s="81" t="str">
        <f>IF(A332&lt;&gt;"", IF(P332&lt;&gt;0,SUMIFS(node!$K$2:$K$1000, node!$C$2:$C$1000,"="&amp;A332)/P332,0), "")</f>
        <v/>
      </c>
      <c r="AD332" s="82" t="str">
        <f>IF(A332&lt;&gt;"", SUMIFS(node!$L$2:$L$1000, node!$C$2:$C$1000,"="&amp;A332), "")</f>
        <v/>
      </c>
      <c r="AE332" s="87" t="str">
        <f>IF(A332&lt;&gt;"", SUMIFS(node!$M$2:$M$1000, node!$C$2:$C$1000,"="&amp;A332), "")</f>
        <v/>
      </c>
    </row>
    <row r="333" spans="1:31" ht="15.75" customHeight="1" x14ac:dyDescent="0.25">
      <c r="A333" s="71" t="str">
        <f>IF(ISNONTEXT(node_raw[[#This Row],[Column2]]), "", node_raw[[#This Row],[Column2]])</f>
        <v/>
      </c>
      <c r="B333" s="108" t="str">
        <f>IF(A333&lt;&gt;"", VLOOKUP(A333, node!$C$2:$D$1000, 2, FALSE), "")</f>
        <v/>
      </c>
      <c r="C333" s="109" t="str">
        <f>IF(A333&lt;&gt;"", VLOOKUP(A333, node!$C$2:$E$1000, 3, FALSE), "")</f>
        <v/>
      </c>
      <c r="D333" s="110" t="str">
        <f>IF(A333&lt;&gt;"",COUNTIFS(node!$C$2:$C$1000,"="&amp;A333, node!$C$2:$C$1000,"&lt;&gt;"&amp;""),"")</f>
        <v/>
      </c>
      <c r="E333" s="111" t="str">
        <f>IF(A333&lt;&gt;"",SUMIFS(node!$F$2:$F$500, node!$C$2:$C$500,"="&amp;A333, node!$C$2:$C$500,"&lt;&gt;"&amp;"")/(B333*D333),"")</f>
        <v/>
      </c>
      <c r="F333" s="112" t="str">
        <f>IF(A333&lt;&gt;"",SUMIFS(node!$H$2:$H$500, node!$C$2:$C$500,"="&amp;A333, node!$C$2:$C$500,"&lt;&gt;"&amp;"")/(C333*D333),"")</f>
        <v/>
      </c>
      <c r="G333" s="179" t="str">
        <f>IF(A333&lt;&gt;"",SUMIFS(deployment!$F$4:$F$502, deployment!$D$4:$D$502,"="&amp;A333, deployment!$D$4:$D$502,"&lt;&gt;"&amp;""),"")</f>
        <v/>
      </c>
      <c r="H333" s="181" t="str">
        <f>IF(A333&lt;&gt;"",SUMIFS(deployment!$G$4:$G$502, deployment!$D$4:$D$502,"="&amp;A333, deployment!$D$4:$D$502,"&lt;&gt;"&amp;""),"")</f>
        <v/>
      </c>
      <c r="I333" s="113" t="str">
        <f>IF(A333&lt;&gt;"",SUMIFS(deployment!$H$4:$H$502, deployment!$D$4:$D$502,"="&amp;A333, deployment!$D$4:$D$502,"&lt;&gt;"&amp;""),"")</f>
        <v/>
      </c>
      <c r="J333" s="114" t="str">
        <f>IF(A333&lt;&gt;"",SUMIFS(deployment!$I$4:$I$502, deployment!$D$4:$D$502,"="&amp;A333, deployment!$D$4:$D$502,"&lt;&gt;"&amp;""),"")</f>
        <v/>
      </c>
      <c r="K333" s="182" t="str">
        <f>IF(A333&lt;&gt;"",SUMIFS(deployment!$J$4:$J$1002, deployment!$D$4:$D$1002,"="&amp;A333, deployment!$D$4:$D$1002,"&lt;&gt;"&amp;"", deployment!$C$4:$C$1002, "&lt;&gt;* )")+SUMIFS(namespace!$G$4:$G$1002, namespace!$B$4:$B$1002,"="&amp;A333, namespace!$B$4:$B$1002,"&lt;&gt;"&amp;""),"")</f>
        <v/>
      </c>
      <c r="L333" s="182" t="str">
        <f>IF(A333&lt;&gt;"",SUMIFS(deployment!$K$4:$K$1002, deployment!$D$4:$D$1002,"="&amp;A333, deployment!$D$4:$D$1002,"&lt;&gt;"&amp;"", deployment!$C$4:$C$1002, "&lt;&gt;* )")+SUMIFS(namespace!$H$4:$H$1002, namespace!$B$4:$B$1002,"="&amp;A333, namespace!$B$4:$B$1002,"&lt;&gt;"&amp;""),"")</f>
        <v/>
      </c>
      <c r="M333" s="115" t="str">
        <f>IF(A333&lt;&gt;"",SUMIFS(deployment!$L$4:$L$1002, deployment!$D$4:$D$1002,"="&amp;A333, deployment!$D$4:$D$1002,"&lt;&gt;"&amp;"", deployment!$C$4:$C$1002, "&lt;&gt;* )")+SUMIFS(namespace!$I$4:$I$1002, namespace!$B$4:$B$1002,"="&amp;A333, namespace!$B$4:$B$1002,"&lt;&gt;"&amp;""),"")</f>
        <v/>
      </c>
      <c r="N333" s="115" t="str">
        <f>IF(A333&lt;&gt;"",SUMIFS(deployment!$M$4:$M$1002, deployment!$D$4:$D$1002,"="&amp;A333, deployment!$D$4:$D$1002,"&lt;&gt;"&amp;"", deployment!$C$4:$C$1002, "&lt;&gt;* )")+SUMIFS(namespace!$J$4:$J$1002, namespace!$B$4:$B$1002,"="&amp;A333, namespace!$B$4:$B$1002,"&lt;&gt;"&amp;""),"")</f>
        <v/>
      </c>
      <c r="O333" s="116" t="str">
        <f t="shared" si="67"/>
        <v/>
      </c>
      <c r="P333" s="63"/>
      <c r="Q333" s="164" t="str">
        <f t="shared" si="62"/>
        <v/>
      </c>
      <c r="R333" s="60" t="str">
        <f t="shared" si="63"/>
        <v/>
      </c>
      <c r="S333" s="60" t="str">
        <f t="shared" si="64"/>
        <v/>
      </c>
      <c r="T333" s="61" t="str">
        <f t="shared" si="65"/>
        <v/>
      </c>
      <c r="U333" s="61" t="str">
        <f t="shared" si="66"/>
        <v/>
      </c>
      <c r="V333" s="183" t="str">
        <f t="shared" si="68"/>
        <v/>
      </c>
      <c r="W333" s="183" t="str">
        <f t="shared" si="69"/>
        <v/>
      </c>
      <c r="X333" s="61" t="str">
        <f t="shared" si="70"/>
        <v/>
      </c>
      <c r="Y333" s="61" t="str">
        <f t="shared" si="71"/>
        <v/>
      </c>
      <c r="Z333" s="118" t="str">
        <f t="shared" si="72"/>
        <v/>
      </c>
      <c r="AA333" s="62" t="str">
        <f t="shared" si="73"/>
        <v/>
      </c>
      <c r="AB333" s="119" t="str">
        <f>IF(A333&lt;&gt;"", IF(P333&lt;&gt;0,SUMIFS(node!$J$2:$J$1000, node!$C$2:$C$1000,"="&amp;A333)/P333,0), "")</f>
        <v/>
      </c>
      <c r="AC333" s="81" t="str">
        <f>IF(A333&lt;&gt;"", IF(P333&lt;&gt;0,SUMIFS(node!$K$2:$K$1000, node!$C$2:$C$1000,"="&amp;A333)/P333,0), "")</f>
        <v/>
      </c>
      <c r="AD333" s="82" t="str">
        <f>IF(A333&lt;&gt;"", SUMIFS(node!$L$2:$L$1000, node!$C$2:$C$1000,"="&amp;A333), "")</f>
        <v/>
      </c>
      <c r="AE333" s="87" t="str">
        <f>IF(A333&lt;&gt;"", SUMIFS(node!$M$2:$M$1000, node!$C$2:$C$1000,"="&amp;A333), "")</f>
        <v/>
      </c>
    </row>
    <row r="334" spans="1:31" ht="15.75" customHeight="1" x14ac:dyDescent="0.25">
      <c r="A334" s="71" t="str">
        <f>IF(ISNONTEXT(node_raw[[#This Row],[Column2]]), "", node_raw[[#This Row],[Column2]])</f>
        <v/>
      </c>
      <c r="B334" s="108" t="str">
        <f>IF(A334&lt;&gt;"", VLOOKUP(A334, node!$C$2:$D$1000, 2, FALSE), "")</f>
        <v/>
      </c>
      <c r="C334" s="109" t="str">
        <f>IF(A334&lt;&gt;"", VLOOKUP(A334, node!$C$2:$E$1000, 3, FALSE), "")</f>
        <v/>
      </c>
      <c r="D334" s="110" t="str">
        <f>IF(A334&lt;&gt;"",COUNTIFS(node!$C$2:$C$1000,"="&amp;A334, node!$C$2:$C$1000,"&lt;&gt;"&amp;""),"")</f>
        <v/>
      </c>
      <c r="E334" s="111" t="str">
        <f>IF(A334&lt;&gt;"",SUMIFS(node!$F$2:$F$500, node!$C$2:$C$500,"="&amp;A334, node!$C$2:$C$500,"&lt;&gt;"&amp;"")/(B334*D334),"")</f>
        <v/>
      </c>
      <c r="F334" s="112" t="str">
        <f>IF(A334&lt;&gt;"",SUMIFS(node!$H$2:$H$500, node!$C$2:$C$500,"="&amp;A334, node!$C$2:$C$500,"&lt;&gt;"&amp;"")/(C334*D334),"")</f>
        <v/>
      </c>
      <c r="G334" s="179" t="str">
        <f>IF(A334&lt;&gt;"",SUMIFS(deployment!$F$4:$F$502, deployment!$D$4:$D$502,"="&amp;A334, deployment!$D$4:$D$502,"&lt;&gt;"&amp;""),"")</f>
        <v/>
      </c>
      <c r="H334" s="181" t="str">
        <f>IF(A334&lt;&gt;"",SUMIFS(deployment!$G$4:$G$502, deployment!$D$4:$D$502,"="&amp;A334, deployment!$D$4:$D$502,"&lt;&gt;"&amp;""),"")</f>
        <v/>
      </c>
      <c r="I334" s="113" t="str">
        <f>IF(A334&lt;&gt;"",SUMIFS(deployment!$H$4:$H$502, deployment!$D$4:$D$502,"="&amp;A334, deployment!$D$4:$D$502,"&lt;&gt;"&amp;""),"")</f>
        <v/>
      </c>
      <c r="J334" s="114" t="str">
        <f>IF(A334&lt;&gt;"",SUMIFS(deployment!$I$4:$I$502, deployment!$D$4:$D$502,"="&amp;A334, deployment!$D$4:$D$502,"&lt;&gt;"&amp;""),"")</f>
        <v/>
      </c>
      <c r="K334" s="182" t="str">
        <f>IF(A334&lt;&gt;"",SUMIFS(deployment!$J$4:$J$1002, deployment!$D$4:$D$1002,"="&amp;A334, deployment!$D$4:$D$1002,"&lt;&gt;"&amp;"", deployment!$C$4:$C$1002, "&lt;&gt;* )")+SUMIFS(namespace!$G$4:$G$1002, namespace!$B$4:$B$1002,"="&amp;A334, namespace!$B$4:$B$1002,"&lt;&gt;"&amp;""),"")</f>
        <v/>
      </c>
      <c r="L334" s="182" t="str">
        <f>IF(A334&lt;&gt;"",SUMIFS(deployment!$K$4:$K$1002, deployment!$D$4:$D$1002,"="&amp;A334, deployment!$D$4:$D$1002,"&lt;&gt;"&amp;"", deployment!$C$4:$C$1002, "&lt;&gt;* )")+SUMIFS(namespace!$H$4:$H$1002, namespace!$B$4:$B$1002,"="&amp;A334, namespace!$B$4:$B$1002,"&lt;&gt;"&amp;""),"")</f>
        <v/>
      </c>
      <c r="M334" s="115" t="str">
        <f>IF(A334&lt;&gt;"",SUMIFS(deployment!$L$4:$L$1002, deployment!$D$4:$D$1002,"="&amp;A334, deployment!$D$4:$D$1002,"&lt;&gt;"&amp;"", deployment!$C$4:$C$1002, "&lt;&gt;* )")+SUMIFS(namespace!$I$4:$I$1002, namespace!$B$4:$B$1002,"="&amp;A334, namespace!$B$4:$B$1002,"&lt;&gt;"&amp;""),"")</f>
        <v/>
      </c>
      <c r="N334" s="115" t="str">
        <f>IF(A334&lt;&gt;"",SUMIFS(deployment!$M$4:$M$1002, deployment!$D$4:$D$1002,"="&amp;A334, deployment!$D$4:$D$1002,"&lt;&gt;"&amp;"", deployment!$C$4:$C$1002, "&lt;&gt;* )")+SUMIFS(namespace!$J$4:$J$1002, namespace!$B$4:$B$1002,"="&amp;A334, namespace!$B$4:$B$1002,"&lt;&gt;"&amp;""),"")</f>
        <v/>
      </c>
      <c r="O334" s="116" t="str">
        <f t="shared" si="67"/>
        <v/>
      </c>
      <c r="P334" s="63"/>
      <c r="Q334" s="164" t="str">
        <f t="shared" si="62"/>
        <v/>
      </c>
      <c r="R334" s="60" t="str">
        <f t="shared" si="63"/>
        <v/>
      </c>
      <c r="S334" s="60" t="str">
        <f t="shared" si="64"/>
        <v/>
      </c>
      <c r="T334" s="61" t="str">
        <f t="shared" si="65"/>
        <v/>
      </c>
      <c r="U334" s="61" t="str">
        <f t="shared" si="66"/>
        <v/>
      </c>
      <c r="V334" s="183" t="str">
        <f t="shared" si="68"/>
        <v/>
      </c>
      <c r="W334" s="183" t="str">
        <f t="shared" si="69"/>
        <v/>
      </c>
      <c r="X334" s="61" t="str">
        <f t="shared" si="70"/>
        <v/>
      </c>
      <c r="Y334" s="61" t="str">
        <f t="shared" si="71"/>
        <v/>
      </c>
      <c r="Z334" s="118" t="str">
        <f t="shared" si="72"/>
        <v/>
      </c>
      <c r="AA334" s="62" t="str">
        <f t="shared" si="73"/>
        <v/>
      </c>
      <c r="AB334" s="119" t="str">
        <f>IF(A334&lt;&gt;"", IF(P334&lt;&gt;0,SUMIFS(node!$J$2:$J$1000, node!$C$2:$C$1000,"="&amp;A334)/P334,0), "")</f>
        <v/>
      </c>
      <c r="AC334" s="81" t="str">
        <f>IF(A334&lt;&gt;"", IF(P334&lt;&gt;0,SUMIFS(node!$K$2:$K$1000, node!$C$2:$C$1000,"="&amp;A334)/P334,0), "")</f>
        <v/>
      </c>
      <c r="AD334" s="82" t="str">
        <f>IF(A334&lt;&gt;"", SUMIFS(node!$L$2:$L$1000, node!$C$2:$C$1000,"="&amp;A334), "")</f>
        <v/>
      </c>
      <c r="AE334" s="87" t="str">
        <f>IF(A334&lt;&gt;"", SUMIFS(node!$M$2:$M$1000, node!$C$2:$C$1000,"="&amp;A334), "")</f>
        <v/>
      </c>
    </row>
    <row r="335" spans="1:31" ht="15.75" customHeight="1" x14ac:dyDescent="0.25">
      <c r="A335" s="71" t="str">
        <f>IF(ISNONTEXT(node_raw[[#This Row],[Column2]]), "", node_raw[[#This Row],[Column2]])</f>
        <v/>
      </c>
      <c r="B335" s="108" t="str">
        <f>IF(A335&lt;&gt;"", VLOOKUP(A335, node!$C$2:$D$1000, 2, FALSE), "")</f>
        <v/>
      </c>
      <c r="C335" s="109" t="str">
        <f>IF(A335&lt;&gt;"", VLOOKUP(A335, node!$C$2:$E$1000, 3, FALSE), "")</f>
        <v/>
      </c>
      <c r="D335" s="110" t="str">
        <f>IF(A335&lt;&gt;"",COUNTIFS(node!$C$2:$C$1000,"="&amp;A335, node!$C$2:$C$1000,"&lt;&gt;"&amp;""),"")</f>
        <v/>
      </c>
      <c r="E335" s="111" t="str">
        <f>IF(A335&lt;&gt;"",SUMIFS(node!$F$2:$F$500, node!$C$2:$C$500,"="&amp;A335, node!$C$2:$C$500,"&lt;&gt;"&amp;"")/(B335*D335),"")</f>
        <v/>
      </c>
      <c r="F335" s="112" t="str">
        <f>IF(A335&lt;&gt;"",SUMIFS(node!$H$2:$H$500, node!$C$2:$C$500,"="&amp;A335, node!$C$2:$C$500,"&lt;&gt;"&amp;"")/(C335*D335),"")</f>
        <v/>
      </c>
      <c r="G335" s="179" t="str">
        <f>IF(A335&lt;&gt;"",SUMIFS(deployment!$F$4:$F$502, deployment!$D$4:$D$502,"="&amp;A335, deployment!$D$4:$D$502,"&lt;&gt;"&amp;""),"")</f>
        <v/>
      </c>
      <c r="H335" s="181" t="str">
        <f>IF(A335&lt;&gt;"",SUMIFS(deployment!$G$4:$G$502, deployment!$D$4:$D$502,"="&amp;A335, deployment!$D$4:$D$502,"&lt;&gt;"&amp;""),"")</f>
        <v/>
      </c>
      <c r="I335" s="113" t="str">
        <f>IF(A335&lt;&gt;"",SUMIFS(deployment!$H$4:$H$502, deployment!$D$4:$D$502,"="&amp;A335, deployment!$D$4:$D$502,"&lt;&gt;"&amp;""),"")</f>
        <v/>
      </c>
      <c r="J335" s="114" t="str">
        <f>IF(A335&lt;&gt;"",SUMIFS(deployment!$I$4:$I$502, deployment!$D$4:$D$502,"="&amp;A335, deployment!$D$4:$D$502,"&lt;&gt;"&amp;""),"")</f>
        <v/>
      </c>
      <c r="K335" s="182" t="str">
        <f>IF(A335&lt;&gt;"",SUMIFS(deployment!$J$4:$J$1002, deployment!$D$4:$D$1002,"="&amp;A335, deployment!$D$4:$D$1002,"&lt;&gt;"&amp;"", deployment!$C$4:$C$1002, "&lt;&gt;* )")+SUMIFS(namespace!$G$4:$G$1002, namespace!$B$4:$B$1002,"="&amp;A335, namespace!$B$4:$B$1002,"&lt;&gt;"&amp;""),"")</f>
        <v/>
      </c>
      <c r="L335" s="182" t="str">
        <f>IF(A335&lt;&gt;"",SUMIFS(deployment!$K$4:$K$1002, deployment!$D$4:$D$1002,"="&amp;A335, deployment!$D$4:$D$1002,"&lt;&gt;"&amp;"", deployment!$C$4:$C$1002, "&lt;&gt;* )")+SUMIFS(namespace!$H$4:$H$1002, namespace!$B$4:$B$1002,"="&amp;A335, namespace!$B$4:$B$1002,"&lt;&gt;"&amp;""),"")</f>
        <v/>
      </c>
      <c r="M335" s="115" t="str">
        <f>IF(A335&lt;&gt;"",SUMIFS(deployment!$L$4:$L$1002, deployment!$D$4:$D$1002,"="&amp;A335, deployment!$D$4:$D$1002,"&lt;&gt;"&amp;"", deployment!$C$4:$C$1002, "&lt;&gt;* )")+SUMIFS(namespace!$I$4:$I$1002, namespace!$B$4:$B$1002,"="&amp;A335, namespace!$B$4:$B$1002,"&lt;&gt;"&amp;""),"")</f>
        <v/>
      </c>
      <c r="N335" s="115" t="str">
        <f>IF(A335&lt;&gt;"",SUMIFS(deployment!$M$4:$M$1002, deployment!$D$4:$D$1002,"="&amp;A335, deployment!$D$4:$D$1002,"&lt;&gt;"&amp;"", deployment!$C$4:$C$1002, "&lt;&gt;* )")+SUMIFS(namespace!$J$4:$J$1002, namespace!$B$4:$B$1002,"="&amp;A335, namespace!$B$4:$B$1002,"&lt;&gt;"&amp;""),"")</f>
        <v/>
      </c>
      <c r="O335" s="116" t="str">
        <f t="shared" si="67"/>
        <v/>
      </c>
      <c r="P335" s="63"/>
      <c r="Q335" s="164" t="str">
        <f t="shared" si="62"/>
        <v/>
      </c>
      <c r="R335" s="60" t="str">
        <f t="shared" si="63"/>
        <v/>
      </c>
      <c r="S335" s="60" t="str">
        <f t="shared" si="64"/>
        <v/>
      </c>
      <c r="T335" s="61" t="str">
        <f t="shared" si="65"/>
        <v/>
      </c>
      <c r="U335" s="61" t="str">
        <f t="shared" si="66"/>
        <v/>
      </c>
      <c r="V335" s="183" t="str">
        <f t="shared" si="68"/>
        <v/>
      </c>
      <c r="W335" s="183" t="str">
        <f t="shared" si="69"/>
        <v/>
      </c>
      <c r="X335" s="61" t="str">
        <f t="shared" si="70"/>
        <v/>
      </c>
      <c r="Y335" s="61" t="str">
        <f t="shared" si="71"/>
        <v/>
      </c>
      <c r="Z335" s="118" t="str">
        <f t="shared" si="72"/>
        <v/>
      </c>
      <c r="AA335" s="62" t="str">
        <f t="shared" si="73"/>
        <v/>
      </c>
      <c r="AB335" s="119" t="str">
        <f>IF(A335&lt;&gt;"", IF(P335&lt;&gt;0,SUMIFS(node!$J$2:$J$1000, node!$C$2:$C$1000,"="&amp;A335)/P335,0), "")</f>
        <v/>
      </c>
      <c r="AC335" s="81" t="str">
        <f>IF(A335&lt;&gt;"", IF(P335&lt;&gt;0,SUMIFS(node!$K$2:$K$1000, node!$C$2:$C$1000,"="&amp;A335)/P335,0), "")</f>
        <v/>
      </c>
      <c r="AD335" s="82" t="str">
        <f>IF(A335&lt;&gt;"", SUMIFS(node!$L$2:$L$1000, node!$C$2:$C$1000,"="&amp;A335), "")</f>
        <v/>
      </c>
      <c r="AE335" s="87" t="str">
        <f>IF(A335&lt;&gt;"", SUMIFS(node!$M$2:$M$1000, node!$C$2:$C$1000,"="&amp;A335), "")</f>
        <v/>
      </c>
    </row>
    <row r="336" spans="1:31" ht="15.75" customHeight="1" x14ac:dyDescent="0.25">
      <c r="A336" s="71" t="str">
        <f>IF(ISNONTEXT(node_raw[[#This Row],[Column2]]), "", node_raw[[#This Row],[Column2]])</f>
        <v/>
      </c>
      <c r="B336" s="108" t="str">
        <f>IF(A336&lt;&gt;"", VLOOKUP(A336, node!$C$2:$D$1000, 2, FALSE), "")</f>
        <v/>
      </c>
      <c r="C336" s="109" t="str">
        <f>IF(A336&lt;&gt;"", VLOOKUP(A336, node!$C$2:$E$1000, 3, FALSE), "")</f>
        <v/>
      </c>
      <c r="D336" s="110" t="str">
        <f>IF(A336&lt;&gt;"",COUNTIFS(node!$C$2:$C$1000,"="&amp;A336, node!$C$2:$C$1000,"&lt;&gt;"&amp;""),"")</f>
        <v/>
      </c>
      <c r="E336" s="111" t="str">
        <f>IF(A336&lt;&gt;"",SUMIFS(node!$F$2:$F$500, node!$C$2:$C$500,"="&amp;A336, node!$C$2:$C$500,"&lt;&gt;"&amp;"")/(B336*D336),"")</f>
        <v/>
      </c>
      <c r="F336" s="112" t="str">
        <f>IF(A336&lt;&gt;"",SUMIFS(node!$H$2:$H$500, node!$C$2:$C$500,"="&amp;A336, node!$C$2:$C$500,"&lt;&gt;"&amp;"")/(C336*D336),"")</f>
        <v/>
      </c>
      <c r="G336" s="179" t="str">
        <f>IF(A336&lt;&gt;"",SUMIFS(deployment!$F$4:$F$502, deployment!$D$4:$D$502,"="&amp;A336, deployment!$D$4:$D$502,"&lt;&gt;"&amp;""),"")</f>
        <v/>
      </c>
      <c r="H336" s="181" t="str">
        <f>IF(A336&lt;&gt;"",SUMIFS(deployment!$G$4:$G$502, deployment!$D$4:$D$502,"="&amp;A336, deployment!$D$4:$D$502,"&lt;&gt;"&amp;""),"")</f>
        <v/>
      </c>
      <c r="I336" s="113" t="str">
        <f>IF(A336&lt;&gt;"",SUMIFS(deployment!$H$4:$H$502, deployment!$D$4:$D$502,"="&amp;A336, deployment!$D$4:$D$502,"&lt;&gt;"&amp;""),"")</f>
        <v/>
      </c>
      <c r="J336" s="114" t="str">
        <f>IF(A336&lt;&gt;"",SUMIFS(deployment!$I$4:$I$502, deployment!$D$4:$D$502,"="&amp;A336, deployment!$D$4:$D$502,"&lt;&gt;"&amp;""),"")</f>
        <v/>
      </c>
      <c r="K336" s="182" t="str">
        <f>IF(A336&lt;&gt;"",SUMIFS(deployment!$J$4:$J$1002, deployment!$D$4:$D$1002,"="&amp;A336, deployment!$D$4:$D$1002,"&lt;&gt;"&amp;"", deployment!$C$4:$C$1002, "&lt;&gt;* )")+SUMIFS(namespace!$G$4:$G$1002, namespace!$B$4:$B$1002,"="&amp;A336, namespace!$B$4:$B$1002,"&lt;&gt;"&amp;""),"")</f>
        <v/>
      </c>
      <c r="L336" s="182" t="str">
        <f>IF(A336&lt;&gt;"",SUMIFS(deployment!$K$4:$K$1002, deployment!$D$4:$D$1002,"="&amp;A336, deployment!$D$4:$D$1002,"&lt;&gt;"&amp;"", deployment!$C$4:$C$1002, "&lt;&gt;* )")+SUMIFS(namespace!$H$4:$H$1002, namespace!$B$4:$B$1002,"="&amp;A336, namespace!$B$4:$B$1002,"&lt;&gt;"&amp;""),"")</f>
        <v/>
      </c>
      <c r="M336" s="115" t="str">
        <f>IF(A336&lt;&gt;"",SUMIFS(deployment!$L$4:$L$1002, deployment!$D$4:$D$1002,"="&amp;A336, deployment!$D$4:$D$1002,"&lt;&gt;"&amp;"", deployment!$C$4:$C$1002, "&lt;&gt;* )")+SUMIFS(namespace!$I$4:$I$1002, namespace!$B$4:$B$1002,"="&amp;A336, namespace!$B$4:$B$1002,"&lt;&gt;"&amp;""),"")</f>
        <v/>
      </c>
      <c r="N336" s="115" t="str">
        <f>IF(A336&lt;&gt;"",SUMIFS(deployment!$M$4:$M$1002, deployment!$D$4:$D$1002,"="&amp;A336, deployment!$D$4:$D$1002,"&lt;&gt;"&amp;"", deployment!$C$4:$C$1002, "&lt;&gt;* )")+SUMIFS(namespace!$J$4:$J$1002, namespace!$B$4:$B$1002,"="&amp;A336, namespace!$B$4:$B$1002,"&lt;&gt;"&amp;""),"")</f>
        <v/>
      </c>
      <c r="O336" s="116" t="str">
        <f t="shared" si="67"/>
        <v/>
      </c>
      <c r="P336" s="63"/>
      <c r="Q336" s="164" t="str">
        <f t="shared" si="62"/>
        <v/>
      </c>
      <c r="R336" s="60" t="str">
        <f t="shared" si="63"/>
        <v/>
      </c>
      <c r="S336" s="60" t="str">
        <f t="shared" si="64"/>
        <v/>
      </c>
      <c r="T336" s="61" t="str">
        <f t="shared" si="65"/>
        <v/>
      </c>
      <c r="U336" s="61" t="str">
        <f t="shared" si="66"/>
        <v/>
      </c>
      <c r="V336" s="183" t="str">
        <f t="shared" si="68"/>
        <v/>
      </c>
      <c r="W336" s="183" t="str">
        <f t="shared" si="69"/>
        <v/>
      </c>
      <c r="X336" s="61" t="str">
        <f t="shared" si="70"/>
        <v/>
      </c>
      <c r="Y336" s="61" t="str">
        <f t="shared" si="71"/>
        <v/>
      </c>
      <c r="Z336" s="118" t="str">
        <f t="shared" si="72"/>
        <v/>
      </c>
      <c r="AA336" s="62" t="str">
        <f t="shared" si="73"/>
        <v/>
      </c>
      <c r="AB336" s="119" t="str">
        <f>IF(A336&lt;&gt;"", IF(P336&lt;&gt;0,SUMIFS(node!$J$2:$J$1000, node!$C$2:$C$1000,"="&amp;A336)/P336,0), "")</f>
        <v/>
      </c>
      <c r="AC336" s="81" t="str">
        <f>IF(A336&lt;&gt;"", IF(P336&lt;&gt;0,SUMIFS(node!$K$2:$K$1000, node!$C$2:$C$1000,"="&amp;A336)/P336,0), "")</f>
        <v/>
      </c>
      <c r="AD336" s="82" t="str">
        <f>IF(A336&lt;&gt;"", SUMIFS(node!$L$2:$L$1000, node!$C$2:$C$1000,"="&amp;A336), "")</f>
        <v/>
      </c>
      <c r="AE336" s="87" t="str">
        <f>IF(A336&lt;&gt;"", SUMIFS(node!$M$2:$M$1000, node!$C$2:$C$1000,"="&amp;A336), "")</f>
        <v/>
      </c>
    </row>
    <row r="337" spans="1:31" ht="15.75" customHeight="1" x14ac:dyDescent="0.25">
      <c r="A337" s="71" t="str">
        <f>IF(ISNONTEXT(node_raw[[#This Row],[Column2]]), "", node_raw[[#This Row],[Column2]])</f>
        <v/>
      </c>
      <c r="B337" s="108" t="str">
        <f>IF(A337&lt;&gt;"", VLOOKUP(A337, node!$C$2:$D$1000, 2, FALSE), "")</f>
        <v/>
      </c>
      <c r="C337" s="109" t="str">
        <f>IF(A337&lt;&gt;"", VLOOKUP(A337, node!$C$2:$E$1000, 3, FALSE), "")</f>
        <v/>
      </c>
      <c r="D337" s="110" t="str">
        <f>IF(A337&lt;&gt;"",COUNTIFS(node!$C$2:$C$1000,"="&amp;A337, node!$C$2:$C$1000,"&lt;&gt;"&amp;""),"")</f>
        <v/>
      </c>
      <c r="E337" s="111" t="str">
        <f>IF(A337&lt;&gt;"",SUMIFS(node!$F$2:$F$500, node!$C$2:$C$500,"="&amp;A337, node!$C$2:$C$500,"&lt;&gt;"&amp;"")/(B337*D337),"")</f>
        <v/>
      </c>
      <c r="F337" s="112" t="str">
        <f>IF(A337&lt;&gt;"",SUMIFS(node!$H$2:$H$500, node!$C$2:$C$500,"="&amp;A337, node!$C$2:$C$500,"&lt;&gt;"&amp;"")/(C337*D337),"")</f>
        <v/>
      </c>
      <c r="G337" s="179" t="str">
        <f>IF(A337&lt;&gt;"",SUMIFS(deployment!$F$4:$F$502, deployment!$D$4:$D$502,"="&amp;A337, deployment!$D$4:$D$502,"&lt;&gt;"&amp;""),"")</f>
        <v/>
      </c>
      <c r="H337" s="181" t="str">
        <f>IF(A337&lt;&gt;"",SUMIFS(deployment!$G$4:$G$502, deployment!$D$4:$D$502,"="&amp;A337, deployment!$D$4:$D$502,"&lt;&gt;"&amp;""),"")</f>
        <v/>
      </c>
      <c r="I337" s="113" t="str">
        <f>IF(A337&lt;&gt;"",SUMIFS(deployment!$H$4:$H$502, deployment!$D$4:$D$502,"="&amp;A337, deployment!$D$4:$D$502,"&lt;&gt;"&amp;""),"")</f>
        <v/>
      </c>
      <c r="J337" s="114" t="str">
        <f>IF(A337&lt;&gt;"",SUMIFS(deployment!$I$4:$I$502, deployment!$D$4:$D$502,"="&amp;A337, deployment!$D$4:$D$502,"&lt;&gt;"&amp;""),"")</f>
        <v/>
      </c>
      <c r="K337" s="182" t="str">
        <f>IF(A337&lt;&gt;"",SUMIFS(deployment!$J$4:$J$1002, deployment!$D$4:$D$1002,"="&amp;A337, deployment!$D$4:$D$1002,"&lt;&gt;"&amp;"", deployment!$C$4:$C$1002, "&lt;&gt;* )")+SUMIFS(namespace!$G$4:$G$1002, namespace!$B$4:$B$1002,"="&amp;A337, namespace!$B$4:$B$1002,"&lt;&gt;"&amp;""),"")</f>
        <v/>
      </c>
      <c r="L337" s="182" t="str">
        <f>IF(A337&lt;&gt;"",SUMIFS(deployment!$K$4:$K$1002, deployment!$D$4:$D$1002,"="&amp;A337, deployment!$D$4:$D$1002,"&lt;&gt;"&amp;"", deployment!$C$4:$C$1002, "&lt;&gt;* )")+SUMIFS(namespace!$H$4:$H$1002, namespace!$B$4:$B$1002,"="&amp;A337, namespace!$B$4:$B$1002,"&lt;&gt;"&amp;""),"")</f>
        <v/>
      </c>
      <c r="M337" s="115" t="str">
        <f>IF(A337&lt;&gt;"",SUMIFS(deployment!$L$4:$L$1002, deployment!$D$4:$D$1002,"="&amp;A337, deployment!$D$4:$D$1002,"&lt;&gt;"&amp;"", deployment!$C$4:$C$1002, "&lt;&gt;* )")+SUMIFS(namespace!$I$4:$I$1002, namespace!$B$4:$B$1002,"="&amp;A337, namespace!$B$4:$B$1002,"&lt;&gt;"&amp;""),"")</f>
        <v/>
      </c>
      <c r="N337" s="115" t="str">
        <f>IF(A337&lt;&gt;"",SUMIFS(deployment!$M$4:$M$1002, deployment!$D$4:$D$1002,"="&amp;A337, deployment!$D$4:$D$1002,"&lt;&gt;"&amp;"", deployment!$C$4:$C$1002, "&lt;&gt;* )")+SUMIFS(namespace!$J$4:$J$1002, namespace!$B$4:$B$1002,"="&amp;A337, namespace!$B$4:$B$1002,"&lt;&gt;"&amp;""),"")</f>
        <v/>
      </c>
      <c r="O337" s="116" t="str">
        <f t="shared" si="67"/>
        <v/>
      </c>
      <c r="P337" s="63"/>
      <c r="Q337" s="164" t="str">
        <f t="shared" si="62"/>
        <v/>
      </c>
      <c r="R337" s="60" t="str">
        <f t="shared" si="63"/>
        <v/>
      </c>
      <c r="S337" s="60" t="str">
        <f t="shared" si="64"/>
        <v/>
      </c>
      <c r="T337" s="61" t="str">
        <f t="shared" si="65"/>
        <v/>
      </c>
      <c r="U337" s="61" t="str">
        <f t="shared" si="66"/>
        <v/>
      </c>
      <c r="V337" s="183" t="str">
        <f t="shared" si="68"/>
        <v/>
      </c>
      <c r="W337" s="183" t="str">
        <f t="shared" si="69"/>
        <v/>
      </c>
      <c r="X337" s="61" t="str">
        <f t="shared" si="70"/>
        <v/>
      </c>
      <c r="Y337" s="61" t="str">
        <f t="shared" si="71"/>
        <v/>
      </c>
      <c r="Z337" s="118" t="str">
        <f t="shared" si="72"/>
        <v/>
      </c>
      <c r="AA337" s="62" t="str">
        <f t="shared" si="73"/>
        <v/>
      </c>
      <c r="AB337" s="119" t="str">
        <f>IF(A337&lt;&gt;"", IF(P337&lt;&gt;0,SUMIFS(node!$J$2:$J$1000, node!$C$2:$C$1000,"="&amp;A337)/P337,0), "")</f>
        <v/>
      </c>
      <c r="AC337" s="81" t="str">
        <f>IF(A337&lt;&gt;"", IF(P337&lt;&gt;0,SUMIFS(node!$K$2:$K$1000, node!$C$2:$C$1000,"="&amp;A337)/P337,0), "")</f>
        <v/>
      </c>
      <c r="AD337" s="82" t="str">
        <f>IF(A337&lt;&gt;"", SUMIFS(node!$L$2:$L$1000, node!$C$2:$C$1000,"="&amp;A337), "")</f>
        <v/>
      </c>
      <c r="AE337" s="87" t="str">
        <f>IF(A337&lt;&gt;"", SUMIFS(node!$M$2:$M$1000, node!$C$2:$C$1000,"="&amp;A337), "")</f>
        <v/>
      </c>
    </row>
    <row r="338" spans="1:31" ht="15.75" customHeight="1" x14ac:dyDescent="0.25">
      <c r="A338" s="71" t="str">
        <f>IF(ISNONTEXT(node_raw[[#This Row],[Column2]]), "", node_raw[[#This Row],[Column2]])</f>
        <v/>
      </c>
      <c r="B338" s="108" t="str">
        <f>IF(A338&lt;&gt;"", VLOOKUP(A338, node!$C$2:$D$1000, 2, FALSE), "")</f>
        <v/>
      </c>
      <c r="C338" s="109" t="str">
        <f>IF(A338&lt;&gt;"", VLOOKUP(A338, node!$C$2:$E$1000, 3, FALSE), "")</f>
        <v/>
      </c>
      <c r="D338" s="110" t="str">
        <f>IF(A338&lt;&gt;"",COUNTIFS(node!$C$2:$C$1000,"="&amp;A338, node!$C$2:$C$1000,"&lt;&gt;"&amp;""),"")</f>
        <v/>
      </c>
      <c r="E338" s="111" t="str">
        <f>IF(A338&lt;&gt;"",SUMIFS(node!$F$2:$F$500, node!$C$2:$C$500,"="&amp;A338, node!$C$2:$C$500,"&lt;&gt;"&amp;"")/(B338*D338),"")</f>
        <v/>
      </c>
      <c r="F338" s="112" t="str">
        <f>IF(A338&lt;&gt;"",SUMIFS(node!$H$2:$H$500, node!$C$2:$C$500,"="&amp;A338, node!$C$2:$C$500,"&lt;&gt;"&amp;"")/(C338*D338),"")</f>
        <v/>
      </c>
      <c r="G338" s="179" t="str">
        <f>IF(A338&lt;&gt;"",SUMIFS(deployment!$F$4:$F$502, deployment!$D$4:$D$502,"="&amp;A338, deployment!$D$4:$D$502,"&lt;&gt;"&amp;""),"")</f>
        <v/>
      </c>
      <c r="H338" s="181" t="str">
        <f>IF(A338&lt;&gt;"",SUMIFS(deployment!$G$4:$G$502, deployment!$D$4:$D$502,"="&amp;A338, deployment!$D$4:$D$502,"&lt;&gt;"&amp;""),"")</f>
        <v/>
      </c>
      <c r="I338" s="113" t="str">
        <f>IF(A338&lt;&gt;"",SUMIFS(deployment!$H$4:$H$502, deployment!$D$4:$D$502,"="&amp;A338, deployment!$D$4:$D$502,"&lt;&gt;"&amp;""),"")</f>
        <v/>
      </c>
      <c r="J338" s="114" t="str">
        <f>IF(A338&lt;&gt;"",SUMIFS(deployment!$I$4:$I$502, deployment!$D$4:$D$502,"="&amp;A338, deployment!$D$4:$D$502,"&lt;&gt;"&amp;""),"")</f>
        <v/>
      </c>
      <c r="K338" s="182" t="str">
        <f>IF(A338&lt;&gt;"",SUMIFS(deployment!$J$4:$J$1002, deployment!$D$4:$D$1002,"="&amp;A338, deployment!$D$4:$D$1002,"&lt;&gt;"&amp;"", deployment!$C$4:$C$1002, "&lt;&gt;* )")+SUMIFS(namespace!$G$4:$G$1002, namespace!$B$4:$B$1002,"="&amp;A338, namespace!$B$4:$B$1002,"&lt;&gt;"&amp;""),"")</f>
        <v/>
      </c>
      <c r="L338" s="182" t="str">
        <f>IF(A338&lt;&gt;"",SUMIFS(deployment!$K$4:$K$1002, deployment!$D$4:$D$1002,"="&amp;A338, deployment!$D$4:$D$1002,"&lt;&gt;"&amp;"", deployment!$C$4:$C$1002, "&lt;&gt;* )")+SUMIFS(namespace!$H$4:$H$1002, namespace!$B$4:$B$1002,"="&amp;A338, namespace!$B$4:$B$1002,"&lt;&gt;"&amp;""),"")</f>
        <v/>
      </c>
      <c r="M338" s="115" t="str">
        <f>IF(A338&lt;&gt;"",SUMIFS(deployment!$L$4:$L$1002, deployment!$D$4:$D$1002,"="&amp;A338, deployment!$D$4:$D$1002,"&lt;&gt;"&amp;"", deployment!$C$4:$C$1002, "&lt;&gt;* )")+SUMIFS(namespace!$I$4:$I$1002, namespace!$B$4:$B$1002,"="&amp;A338, namespace!$B$4:$B$1002,"&lt;&gt;"&amp;""),"")</f>
        <v/>
      </c>
      <c r="N338" s="115" t="str">
        <f>IF(A338&lt;&gt;"",SUMIFS(deployment!$M$4:$M$1002, deployment!$D$4:$D$1002,"="&amp;A338, deployment!$D$4:$D$1002,"&lt;&gt;"&amp;"", deployment!$C$4:$C$1002, "&lt;&gt;* )")+SUMIFS(namespace!$J$4:$J$1002, namespace!$B$4:$B$1002,"="&amp;A338, namespace!$B$4:$B$1002,"&lt;&gt;"&amp;""),"")</f>
        <v/>
      </c>
      <c r="O338" s="116" t="str">
        <f t="shared" si="67"/>
        <v/>
      </c>
      <c r="P338" s="63"/>
      <c r="Q338" s="164" t="str">
        <f t="shared" si="62"/>
        <v/>
      </c>
      <c r="R338" s="60" t="str">
        <f t="shared" si="63"/>
        <v/>
      </c>
      <c r="S338" s="60" t="str">
        <f t="shared" si="64"/>
        <v/>
      </c>
      <c r="T338" s="61" t="str">
        <f t="shared" si="65"/>
        <v/>
      </c>
      <c r="U338" s="61" t="str">
        <f t="shared" si="66"/>
        <v/>
      </c>
      <c r="V338" s="183" t="str">
        <f t="shared" si="68"/>
        <v/>
      </c>
      <c r="W338" s="183" t="str">
        <f t="shared" si="69"/>
        <v/>
      </c>
      <c r="X338" s="61" t="str">
        <f t="shared" si="70"/>
        <v/>
      </c>
      <c r="Y338" s="61" t="str">
        <f t="shared" si="71"/>
        <v/>
      </c>
      <c r="Z338" s="118" t="str">
        <f t="shared" si="72"/>
        <v/>
      </c>
      <c r="AA338" s="62" t="str">
        <f t="shared" si="73"/>
        <v/>
      </c>
      <c r="AB338" s="119" t="str">
        <f>IF(A338&lt;&gt;"", IF(P338&lt;&gt;0,SUMIFS(node!$J$2:$J$1000, node!$C$2:$C$1000,"="&amp;A338)/P338,0), "")</f>
        <v/>
      </c>
      <c r="AC338" s="81" t="str">
        <f>IF(A338&lt;&gt;"", IF(P338&lt;&gt;0,SUMIFS(node!$K$2:$K$1000, node!$C$2:$C$1000,"="&amp;A338)/P338,0), "")</f>
        <v/>
      </c>
      <c r="AD338" s="82" t="str">
        <f>IF(A338&lt;&gt;"", SUMIFS(node!$L$2:$L$1000, node!$C$2:$C$1000,"="&amp;A338), "")</f>
        <v/>
      </c>
      <c r="AE338" s="87" t="str">
        <f>IF(A338&lt;&gt;"", SUMIFS(node!$M$2:$M$1000, node!$C$2:$C$1000,"="&amp;A338), "")</f>
        <v/>
      </c>
    </row>
    <row r="339" spans="1:31" ht="15.75" customHeight="1" x14ac:dyDescent="0.25">
      <c r="A339" s="71" t="str">
        <f>IF(ISNONTEXT(node_raw[[#This Row],[Column2]]), "", node_raw[[#This Row],[Column2]])</f>
        <v/>
      </c>
      <c r="B339" s="108" t="str">
        <f>IF(A339&lt;&gt;"", VLOOKUP(A339, node!$C$2:$D$1000, 2, FALSE), "")</f>
        <v/>
      </c>
      <c r="C339" s="109" t="str">
        <f>IF(A339&lt;&gt;"", VLOOKUP(A339, node!$C$2:$E$1000, 3, FALSE), "")</f>
        <v/>
      </c>
      <c r="D339" s="110" t="str">
        <f>IF(A339&lt;&gt;"",COUNTIFS(node!$C$2:$C$1000,"="&amp;A339, node!$C$2:$C$1000,"&lt;&gt;"&amp;""),"")</f>
        <v/>
      </c>
      <c r="E339" s="111" t="str">
        <f>IF(A339&lt;&gt;"",SUMIFS(node!$F$2:$F$500, node!$C$2:$C$500,"="&amp;A339, node!$C$2:$C$500,"&lt;&gt;"&amp;"")/(B339*D339),"")</f>
        <v/>
      </c>
      <c r="F339" s="112" t="str">
        <f>IF(A339&lt;&gt;"",SUMIFS(node!$H$2:$H$500, node!$C$2:$C$500,"="&amp;A339, node!$C$2:$C$500,"&lt;&gt;"&amp;"")/(C339*D339),"")</f>
        <v/>
      </c>
      <c r="G339" s="179" t="str">
        <f>IF(A339&lt;&gt;"",SUMIFS(deployment!$F$4:$F$502, deployment!$D$4:$D$502,"="&amp;A339, deployment!$D$4:$D$502,"&lt;&gt;"&amp;""),"")</f>
        <v/>
      </c>
      <c r="H339" s="181" t="str">
        <f>IF(A339&lt;&gt;"",SUMIFS(deployment!$G$4:$G$502, deployment!$D$4:$D$502,"="&amp;A339, deployment!$D$4:$D$502,"&lt;&gt;"&amp;""),"")</f>
        <v/>
      </c>
      <c r="I339" s="113" t="str">
        <f>IF(A339&lt;&gt;"",SUMIFS(deployment!$H$4:$H$502, deployment!$D$4:$D$502,"="&amp;A339, deployment!$D$4:$D$502,"&lt;&gt;"&amp;""),"")</f>
        <v/>
      </c>
      <c r="J339" s="114" t="str">
        <f>IF(A339&lt;&gt;"",SUMIFS(deployment!$I$4:$I$502, deployment!$D$4:$D$502,"="&amp;A339, deployment!$D$4:$D$502,"&lt;&gt;"&amp;""),"")</f>
        <v/>
      </c>
      <c r="K339" s="182" t="str">
        <f>IF(A339&lt;&gt;"",SUMIFS(deployment!$J$4:$J$1002, deployment!$D$4:$D$1002,"="&amp;A339, deployment!$D$4:$D$1002,"&lt;&gt;"&amp;"", deployment!$C$4:$C$1002, "&lt;&gt;* )")+SUMIFS(namespace!$G$4:$G$1002, namespace!$B$4:$B$1002,"="&amp;A339, namespace!$B$4:$B$1002,"&lt;&gt;"&amp;""),"")</f>
        <v/>
      </c>
      <c r="L339" s="182" t="str">
        <f>IF(A339&lt;&gt;"",SUMIFS(deployment!$K$4:$K$1002, deployment!$D$4:$D$1002,"="&amp;A339, deployment!$D$4:$D$1002,"&lt;&gt;"&amp;"", deployment!$C$4:$C$1002, "&lt;&gt;* )")+SUMIFS(namespace!$H$4:$H$1002, namespace!$B$4:$B$1002,"="&amp;A339, namespace!$B$4:$B$1002,"&lt;&gt;"&amp;""),"")</f>
        <v/>
      </c>
      <c r="M339" s="115" t="str">
        <f>IF(A339&lt;&gt;"",SUMIFS(deployment!$L$4:$L$1002, deployment!$D$4:$D$1002,"="&amp;A339, deployment!$D$4:$D$1002,"&lt;&gt;"&amp;"", deployment!$C$4:$C$1002, "&lt;&gt;* )")+SUMIFS(namespace!$I$4:$I$1002, namespace!$B$4:$B$1002,"="&amp;A339, namespace!$B$4:$B$1002,"&lt;&gt;"&amp;""),"")</f>
        <v/>
      </c>
      <c r="N339" s="115" t="str">
        <f>IF(A339&lt;&gt;"",SUMIFS(deployment!$M$4:$M$1002, deployment!$D$4:$D$1002,"="&amp;A339, deployment!$D$4:$D$1002,"&lt;&gt;"&amp;"", deployment!$C$4:$C$1002, "&lt;&gt;* )")+SUMIFS(namespace!$J$4:$J$1002, namespace!$B$4:$B$1002,"="&amp;A339, namespace!$B$4:$B$1002,"&lt;&gt;"&amp;""),"")</f>
        <v/>
      </c>
      <c r="O339" s="116" t="str">
        <f t="shared" si="67"/>
        <v/>
      </c>
      <c r="P339" s="63"/>
      <c r="Q339" s="164" t="str">
        <f t="shared" si="62"/>
        <v/>
      </c>
      <c r="R339" s="60" t="str">
        <f t="shared" si="63"/>
        <v/>
      </c>
      <c r="S339" s="60" t="str">
        <f t="shared" si="64"/>
        <v/>
      </c>
      <c r="T339" s="61" t="str">
        <f t="shared" si="65"/>
        <v/>
      </c>
      <c r="U339" s="61" t="str">
        <f t="shared" si="66"/>
        <v/>
      </c>
      <c r="V339" s="183" t="str">
        <f t="shared" si="68"/>
        <v/>
      </c>
      <c r="W339" s="183" t="str">
        <f t="shared" si="69"/>
        <v/>
      </c>
      <c r="X339" s="61" t="str">
        <f t="shared" si="70"/>
        <v/>
      </c>
      <c r="Y339" s="61" t="str">
        <f t="shared" si="71"/>
        <v/>
      </c>
      <c r="Z339" s="118" t="str">
        <f t="shared" si="72"/>
        <v/>
      </c>
      <c r="AA339" s="62" t="str">
        <f t="shared" si="73"/>
        <v/>
      </c>
      <c r="AB339" s="119" t="str">
        <f>IF(A339&lt;&gt;"", IF(P339&lt;&gt;0,SUMIFS(node!$J$2:$J$1000, node!$C$2:$C$1000,"="&amp;A339)/P339,0), "")</f>
        <v/>
      </c>
      <c r="AC339" s="81" t="str">
        <f>IF(A339&lt;&gt;"", IF(P339&lt;&gt;0,SUMIFS(node!$K$2:$K$1000, node!$C$2:$C$1000,"="&amp;A339)/P339,0), "")</f>
        <v/>
      </c>
      <c r="AD339" s="82" t="str">
        <f>IF(A339&lt;&gt;"", SUMIFS(node!$L$2:$L$1000, node!$C$2:$C$1000,"="&amp;A339), "")</f>
        <v/>
      </c>
      <c r="AE339" s="87" t="str">
        <f>IF(A339&lt;&gt;"", SUMIFS(node!$M$2:$M$1000, node!$C$2:$C$1000,"="&amp;A339), "")</f>
        <v/>
      </c>
    </row>
    <row r="340" spans="1:31" ht="15.75" customHeight="1" x14ac:dyDescent="0.25">
      <c r="A340" s="71" t="str">
        <f>IF(ISNONTEXT(node_raw[[#This Row],[Column2]]), "", node_raw[[#This Row],[Column2]])</f>
        <v/>
      </c>
      <c r="B340" s="108" t="str">
        <f>IF(A340&lt;&gt;"", VLOOKUP(A340, node!$C$2:$D$1000, 2, FALSE), "")</f>
        <v/>
      </c>
      <c r="C340" s="109" t="str">
        <f>IF(A340&lt;&gt;"", VLOOKUP(A340, node!$C$2:$E$1000, 3, FALSE), "")</f>
        <v/>
      </c>
      <c r="D340" s="110" t="str">
        <f>IF(A340&lt;&gt;"",COUNTIFS(node!$C$2:$C$1000,"="&amp;A340, node!$C$2:$C$1000,"&lt;&gt;"&amp;""),"")</f>
        <v/>
      </c>
      <c r="E340" s="111" t="str">
        <f>IF(A340&lt;&gt;"",SUMIFS(node!$F$2:$F$500, node!$C$2:$C$500,"="&amp;A340, node!$C$2:$C$500,"&lt;&gt;"&amp;"")/(B340*D340),"")</f>
        <v/>
      </c>
      <c r="F340" s="112" t="str">
        <f>IF(A340&lt;&gt;"",SUMIFS(node!$H$2:$H$500, node!$C$2:$C$500,"="&amp;A340, node!$C$2:$C$500,"&lt;&gt;"&amp;"")/(C340*D340),"")</f>
        <v/>
      </c>
      <c r="G340" s="179" t="str">
        <f>IF(A340&lt;&gt;"",SUMIFS(deployment!$F$4:$F$502, deployment!$D$4:$D$502,"="&amp;A340, deployment!$D$4:$D$502,"&lt;&gt;"&amp;""),"")</f>
        <v/>
      </c>
      <c r="H340" s="181" t="str">
        <f>IF(A340&lt;&gt;"",SUMIFS(deployment!$G$4:$G$502, deployment!$D$4:$D$502,"="&amp;A340, deployment!$D$4:$D$502,"&lt;&gt;"&amp;""),"")</f>
        <v/>
      </c>
      <c r="I340" s="113" t="str">
        <f>IF(A340&lt;&gt;"",SUMIFS(deployment!$H$4:$H$502, deployment!$D$4:$D$502,"="&amp;A340, deployment!$D$4:$D$502,"&lt;&gt;"&amp;""),"")</f>
        <v/>
      </c>
      <c r="J340" s="114" t="str">
        <f>IF(A340&lt;&gt;"",SUMIFS(deployment!$I$4:$I$502, deployment!$D$4:$D$502,"="&amp;A340, deployment!$D$4:$D$502,"&lt;&gt;"&amp;""),"")</f>
        <v/>
      </c>
      <c r="K340" s="182" t="str">
        <f>IF(A340&lt;&gt;"",SUMIFS(deployment!$J$4:$J$1002, deployment!$D$4:$D$1002,"="&amp;A340, deployment!$D$4:$D$1002,"&lt;&gt;"&amp;"", deployment!$C$4:$C$1002, "&lt;&gt;* )")+SUMIFS(namespace!$G$4:$G$1002, namespace!$B$4:$B$1002,"="&amp;A340, namespace!$B$4:$B$1002,"&lt;&gt;"&amp;""),"")</f>
        <v/>
      </c>
      <c r="L340" s="182" t="str">
        <f>IF(A340&lt;&gt;"",SUMIFS(deployment!$K$4:$K$1002, deployment!$D$4:$D$1002,"="&amp;A340, deployment!$D$4:$D$1002,"&lt;&gt;"&amp;"", deployment!$C$4:$C$1002, "&lt;&gt;* )")+SUMIFS(namespace!$H$4:$H$1002, namespace!$B$4:$B$1002,"="&amp;A340, namespace!$B$4:$B$1002,"&lt;&gt;"&amp;""),"")</f>
        <v/>
      </c>
      <c r="M340" s="115" t="str">
        <f>IF(A340&lt;&gt;"",SUMIFS(deployment!$L$4:$L$1002, deployment!$D$4:$D$1002,"="&amp;A340, deployment!$D$4:$D$1002,"&lt;&gt;"&amp;"", deployment!$C$4:$C$1002, "&lt;&gt;* )")+SUMIFS(namespace!$I$4:$I$1002, namespace!$B$4:$B$1002,"="&amp;A340, namespace!$B$4:$B$1002,"&lt;&gt;"&amp;""),"")</f>
        <v/>
      </c>
      <c r="N340" s="115" t="str">
        <f>IF(A340&lt;&gt;"",SUMIFS(deployment!$M$4:$M$1002, deployment!$D$4:$D$1002,"="&amp;A340, deployment!$D$4:$D$1002,"&lt;&gt;"&amp;"", deployment!$C$4:$C$1002, "&lt;&gt;* )")+SUMIFS(namespace!$J$4:$J$1002, namespace!$B$4:$B$1002,"="&amp;A340, namespace!$B$4:$B$1002,"&lt;&gt;"&amp;""),"")</f>
        <v/>
      </c>
      <c r="O340" s="116" t="str">
        <f t="shared" si="67"/>
        <v/>
      </c>
      <c r="P340" s="63"/>
      <c r="Q340" s="164" t="str">
        <f t="shared" si="62"/>
        <v/>
      </c>
      <c r="R340" s="60" t="str">
        <f t="shared" si="63"/>
        <v/>
      </c>
      <c r="S340" s="60" t="str">
        <f t="shared" si="64"/>
        <v/>
      </c>
      <c r="T340" s="61" t="str">
        <f t="shared" si="65"/>
        <v/>
      </c>
      <c r="U340" s="61" t="str">
        <f t="shared" si="66"/>
        <v/>
      </c>
      <c r="V340" s="183" t="str">
        <f t="shared" si="68"/>
        <v/>
      </c>
      <c r="W340" s="183" t="str">
        <f t="shared" si="69"/>
        <v/>
      </c>
      <c r="X340" s="61" t="str">
        <f t="shared" si="70"/>
        <v/>
      </c>
      <c r="Y340" s="61" t="str">
        <f t="shared" si="71"/>
        <v/>
      </c>
      <c r="Z340" s="118" t="str">
        <f t="shared" si="72"/>
        <v/>
      </c>
      <c r="AA340" s="62" t="str">
        <f t="shared" si="73"/>
        <v/>
      </c>
      <c r="AB340" s="119" t="str">
        <f>IF(A340&lt;&gt;"", IF(P340&lt;&gt;0,SUMIFS(node!$J$2:$J$1000, node!$C$2:$C$1000,"="&amp;A340)/P340,0), "")</f>
        <v/>
      </c>
      <c r="AC340" s="81" t="str">
        <f>IF(A340&lt;&gt;"", IF(P340&lt;&gt;0,SUMIFS(node!$K$2:$K$1000, node!$C$2:$C$1000,"="&amp;A340)/P340,0), "")</f>
        <v/>
      </c>
      <c r="AD340" s="82" t="str">
        <f>IF(A340&lt;&gt;"", SUMIFS(node!$L$2:$L$1000, node!$C$2:$C$1000,"="&amp;A340), "")</f>
        <v/>
      </c>
      <c r="AE340" s="87" t="str">
        <f>IF(A340&lt;&gt;"", SUMIFS(node!$M$2:$M$1000, node!$C$2:$C$1000,"="&amp;A340), "")</f>
        <v/>
      </c>
    </row>
    <row r="341" spans="1:31" ht="15.75" customHeight="1" x14ac:dyDescent="0.25">
      <c r="A341" s="71" t="str">
        <f>IF(ISNONTEXT(node_raw[[#This Row],[Column2]]), "", node_raw[[#This Row],[Column2]])</f>
        <v/>
      </c>
      <c r="B341" s="108" t="str">
        <f>IF(A341&lt;&gt;"", VLOOKUP(A341, node!$C$2:$D$1000, 2, FALSE), "")</f>
        <v/>
      </c>
      <c r="C341" s="109" t="str">
        <f>IF(A341&lt;&gt;"", VLOOKUP(A341, node!$C$2:$E$1000, 3, FALSE), "")</f>
        <v/>
      </c>
      <c r="D341" s="110" t="str">
        <f>IF(A341&lt;&gt;"",COUNTIFS(node!$C$2:$C$1000,"="&amp;A341, node!$C$2:$C$1000,"&lt;&gt;"&amp;""),"")</f>
        <v/>
      </c>
      <c r="E341" s="111" t="str">
        <f>IF(A341&lt;&gt;"",SUMIFS(node!$F$2:$F$500, node!$C$2:$C$500,"="&amp;A341, node!$C$2:$C$500,"&lt;&gt;"&amp;"")/(B341*D341),"")</f>
        <v/>
      </c>
      <c r="F341" s="112" t="str">
        <f>IF(A341&lt;&gt;"",SUMIFS(node!$H$2:$H$500, node!$C$2:$C$500,"="&amp;A341, node!$C$2:$C$500,"&lt;&gt;"&amp;"")/(C341*D341),"")</f>
        <v/>
      </c>
      <c r="G341" s="179" t="str">
        <f>IF(A341&lt;&gt;"",SUMIFS(deployment!$F$4:$F$502, deployment!$D$4:$D$502,"="&amp;A341, deployment!$D$4:$D$502,"&lt;&gt;"&amp;""),"")</f>
        <v/>
      </c>
      <c r="H341" s="181" t="str">
        <f>IF(A341&lt;&gt;"",SUMIFS(deployment!$G$4:$G$502, deployment!$D$4:$D$502,"="&amp;A341, deployment!$D$4:$D$502,"&lt;&gt;"&amp;""),"")</f>
        <v/>
      </c>
      <c r="I341" s="113" t="str">
        <f>IF(A341&lt;&gt;"",SUMIFS(deployment!$H$4:$H$502, deployment!$D$4:$D$502,"="&amp;A341, deployment!$D$4:$D$502,"&lt;&gt;"&amp;""),"")</f>
        <v/>
      </c>
      <c r="J341" s="114" t="str">
        <f>IF(A341&lt;&gt;"",SUMIFS(deployment!$I$4:$I$502, deployment!$D$4:$D$502,"="&amp;A341, deployment!$D$4:$D$502,"&lt;&gt;"&amp;""),"")</f>
        <v/>
      </c>
      <c r="K341" s="182" t="str">
        <f>IF(A341&lt;&gt;"",SUMIFS(deployment!$J$4:$J$1002, deployment!$D$4:$D$1002,"="&amp;A341, deployment!$D$4:$D$1002,"&lt;&gt;"&amp;"", deployment!$C$4:$C$1002, "&lt;&gt;* )")+SUMIFS(namespace!$G$4:$G$1002, namespace!$B$4:$B$1002,"="&amp;A341, namespace!$B$4:$B$1002,"&lt;&gt;"&amp;""),"")</f>
        <v/>
      </c>
      <c r="L341" s="182" t="str">
        <f>IF(A341&lt;&gt;"",SUMIFS(deployment!$K$4:$K$1002, deployment!$D$4:$D$1002,"="&amp;A341, deployment!$D$4:$D$1002,"&lt;&gt;"&amp;"", deployment!$C$4:$C$1002, "&lt;&gt;* )")+SUMIFS(namespace!$H$4:$H$1002, namespace!$B$4:$B$1002,"="&amp;A341, namespace!$B$4:$B$1002,"&lt;&gt;"&amp;""),"")</f>
        <v/>
      </c>
      <c r="M341" s="115" t="str">
        <f>IF(A341&lt;&gt;"",SUMIFS(deployment!$L$4:$L$1002, deployment!$D$4:$D$1002,"="&amp;A341, deployment!$D$4:$D$1002,"&lt;&gt;"&amp;"", deployment!$C$4:$C$1002, "&lt;&gt;* )")+SUMIFS(namespace!$I$4:$I$1002, namespace!$B$4:$B$1002,"="&amp;A341, namespace!$B$4:$B$1002,"&lt;&gt;"&amp;""),"")</f>
        <v/>
      </c>
      <c r="N341" s="115" t="str">
        <f>IF(A341&lt;&gt;"",SUMIFS(deployment!$M$4:$M$1002, deployment!$D$4:$D$1002,"="&amp;A341, deployment!$D$4:$D$1002,"&lt;&gt;"&amp;"", deployment!$C$4:$C$1002, "&lt;&gt;* )")+SUMIFS(namespace!$J$4:$J$1002, namespace!$B$4:$B$1002,"="&amp;A341, namespace!$B$4:$B$1002,"&lt;&gt;"&amp;""),"")</f>
        <v/>
      </c>
      <c r="O341" s="116" t="str">
        <f t="shared" si="67"/>
        <v/>
      </c>
      <c r="P341" s="63"/>
      <c r="Q341" s="164" t="str">
        <f t="shared" si="62"/>
        <v/>
      </c>
      <c r="R341" s="60" t="str">
        <f t="shared" si="63"/>
        <v/>
      </c>
      <c r="S341" s="60" t="str">
        <f t="shared" si="64"/>
        <v/>
      </c>
      <c r="T341" s="61" t="str">
        <f t="shared" si="65"/>
        <v/>
      </c>
      <c r="U341" s="61" t="str">
        <f t="shared" si="66"/>
        <v/>
      </c>
      <c r="V341" s="183" t="str">
        <f t="shared" si="68"/>
        <v/>
      </c>
      <c r="W341" s="183" t="str">
        <f t="shared" si="69"/>
        <v/>
      </c>
      <c r="X341" s="61" t="str">
        <f t="shared" si="70"/>
        <v/>
      </c>
      <c r="Y341" s="61" t="str">
        <f t="shared" si="71"/>
        <v/>
      </c>
      <c r="Z341" s="118" t="str">
        <f t="shared" si="72"/>
        <v/>
      </c>
      <c r="AA341" s="62" t="str">
        <f t="shared" si="73"/>
        <v/>
      </c>
      <c r="AB341" s="119" t="str">
        <f>IF(A341&lt;&gt;"", IF(P341&lt;&gt;0,SUMIFS(node!$J$2:$J$1000, node!$C$2:$C$1000,"="&amp;A341)/P341,0), "")</f>
        <v/>
      </c>
      <c r="AC341" s="81" t="str">
        <f>IF(A341&lt;&gt;"", IF(P341&lt;&gt;0,SUMIFS(node!$K$2:$K$1000, node!$C$2:$C$1000,"="&amp;A341)/P341,0), "")</f>
        <v/>
      </c>
      <c r="AD341" s="82" t="str">
        <f>IF(A341&lt;&gt;"", SUMIFS(node!$L$2:$L$1000, node!$C$2:$C$1000,"="&amp;A341), "")</f>
        <v/>
      </c>
      <c r="AE341" s="87" t="str">
        <f>IF(A341&lt;&gt;"", SUMIFS(node!$M$2:$M$1000, node!$C$2:$C$1000,"="&amp;A341), "")</f>
        <v/>
      </c>
    </row>
    <row r="342" spans="1:31" ht="15.75" customHeight="1" x14ac:dyDescent="0.25">
      <c r="A342" s="71" t="str">
        <f>IF(ISNONTEXT(node_raw[[#This Row],[Column2]]), "", node_raw[[#This Row],[Column2]])</f>
        <v/>
      </c>
      <c r="B342" s="108" t="str">
        <f>IF(A342&lt;&gt;"", VLOOKUP(A342, node!$C$2:$D$1000, 2, FALSE), "")</f>
        <v/>
      </c>
      <c r="C342" s="109" t="str">
        <f>IF(A342&lt;&gt;"", VLOOKUP(A342, node!$C$2:$E$1000, 3, FALSE), "")</f>
        <v/>
      </c>
      <c r="D342" s="110" t="str">
        <f>IF(A342&lt;&gt;"",COUNTIFS(node!$C$2:$C$1000,"="&amp;A342, node!$C$2:$C$1000,"&lt;&gt;"&amp;""),"")</f>
        <v/>
      </c>
      <c r="E342" s="111" t="str">
        <f>IF(A342&lt;&gt;"",SUMIFS(node!$F$2:$F$500, node!$C$2:$C$500,"="&amp;A342, node!$C$2:$C$500,"&lt;&gt;"&amp;"")/(B342*D342),"")</f>
        <v/>
      </c>
      <c r="F342" s="112" t="str">
        <f>IF(A342&lt;&gt;"",SUMIFS(node!$H$2:$H$500, node!$C$2:$C$500,"="&amp;A342, node!$C$2:$C$500,"&lt;&gt;"&amp;"")/(C342*D342),"")</f>
        <v/>
      </c>
      <c r="G342" s="179" t="str">
        <f>IF(A342&lt;&gt;"",SUMIFS(deployment!$F$4:$F$502, deployment!$D$4:$D$502,"="&amp;A342, deployment!$D$4:$D$502,"&lt;&gt;"&amp;""),"")</f>
        <v/>
      </c>
      <c r="H342" s="181" t="str">
        <f>IF(A342&lt;&gt;"",SUMIFS(deployment!$G$4:$G$502, deployment!$D$4:$D$502,"="&amp;A342, deployment!$D$4:$D$502,"&lt;&gt;"&amp;""),"")</f>
        <v/>
      </c>
      <c r="I342" s="113" t="str">
        <f>IF(A342&lt;&gt;"",SUMIFS(deployment!$H$4:$H$502, deployment!$D$4:$D$502,"="&amp;A342, deployment!$D$4:$D$502,"&lt;&gt;"&amp;""),"")</f>
        <v/>
      </c>
      <c r="J342" s="114" t="str">
        <f>IF(A342&lt;&gt;"",SUMIFS(deployment!$I$4:$I$502, deployment!$D$4:$D$502,"="&amp;A342, deployment!$D$4:$D$502,"&lt;&gt;"&amp;""),"")</f>
        <v/>
      </c>
      <c r="K342" s="182" t="str">
        <f>IF(A342&lt;&gt;"",SUMIFS(deployment!$J$4:$J$1002, deployment!$D$4:$D$1002,"="&amp;A342, deployment!$D$4:$D$1002,"&lt;&gt;"&amp;"", deployment!$C$4:$C$1002, "&lt;&gt;* )")+SUMIFS(namespace!$G$4:$G$1002, namespace!$B$4:$B$1002,"="&amp;A342, namespace!$B$4:$B$1002,"&lt;&gt;"&amp;""),"")</f>
        <v/>
      </c>
      <c r="L342" s="182" t="str">
        <f>IF(A342&lt;&gt;"",SUMIFS(deployment!$K$4:$K$1002, deployment!$D$4:$D$1002,"="&amp;A342, deployment!$D$4:$D$1002,"&lt;&gt;"&amp;"", deployment!$C$4:$C$1002, "&lt;&gt;* )")+SUMIFS(namespace!$H$4:$H$1002, namespace!$B$4:$B$1002,"="&amp;A342, namespace!$B$4:$B$1002,"&lt;&gt;"&amp;""),"")</f>
        <v/>
      </c>
      <c r="M342" s="115" t="str">
        <f>IF(A342&lt;&gt;"",SUMIFS(deployment!$L$4:$L$1002, deployment!$D$4:$D$1002,"="&amp;A342, deployment!$D$4:$D$1002,"&lt;&gt;"&amp;"", deployment!$C$4:$C$1002, "&lt;&gt;* )")+SUMIFS(namespace!$I$4:$I$1002, namespace!$B$4:$B$1002,"="&amp;A342, namespace!$B$4:$B$1002,"&lt;&gt;"&amp;""),"")</f>
        <v/>
      </c>
      <c r="N342" s="115" t="str">
        <f>IF(A342&lt;&gt;"",SUMIFS(deployment!$M$4:$M$1002, deployment!$D$4:$D$1002,"="&amp;A342, deployment!$D$4:$D$1002,"&lt;&gt;"&amp;"", deployment!$C$4:$C$1002, "&lt;&gt;* )")+SUMIFS(namespace!$J$4:$J$1002, namespace!$B$4:$B$1002,"="&amp;A342, namespace!$B$4:$B$1002,"&lt;&gt;"&amp;""),"")</f>
        <v/>
      </c>
      <c r="O342" s="116" t="str">
        <f t="shared" si="67"/>
        <v/>
      </c>
      <c r="P342" s="63"/>
      <c r="Q342" s="164" t="str">
        <f t="shared" si="62"/>
        <v/>
      </c>
      <c r="R342" s="60" t="str">
        <f t="shared" si="63"/>
        <v/>
      </c>
      <c r="S342" s="60" t="str">
        <f t="shared" si="64"/>
        <v/>
      </c>
      <c r="T342" s="61" t="str">
        <f t="shared" si="65"/>
        <v/>
      </c>
      <c r="U342" s="61" t="str">
        <f t="shared" si="66"/>
        <v/>
      </c>
      <c r="V342" s="183" t="str">
        <f t="shared" si="68"/>
        <v/>
      </c>
      <c r="W342" s="183" t="str">
        <f t="shared" si="69"/>
        <v/>
      </c>
      <c r="X342" s="61" t="str">
        <f t="shared" si="70"/>
        <v/>
      </c>
      <c r="Y342" s="61" t="str">
        <f t="shared" si="71"/>
        <v/>
      </c>
      <c r="Z342" s="118" t="str">
        <f t="shared" si="72"/>
        <v/>
      </c>
      <c r="AA342" s="62" t="str">
        <f t="shared" si="73"/>
        <v/>
      </c>
      <c r="AB342" s="119" t="str">
        <f>IF(A342&lt;&gt;"", IF(P342&lt;&gt;0,SUMIFS(node!$J$2:$J$1000, node!$C$2:$C$1000,"="&amp;A342)/P342,0), "")</f>
        <v/>
      </c>
      <c r="AC342" s="81" t="str">
        <f>IF(A342&lt;&gt;"", IF(P342&lt;&gt;0,SUMIFS(node!$K$2:$K$1000, node!$C$2:$C$1000,"="&amp;A342)/P342,0), "")</f>
        <v/>
      </c>
      <c r="AD342" s="82" t="str">
        <f>IF(A342&lt;&gt;"", SUMIFS(node!$L$2:$L$1000, node!$C$2:$C$1000,"="&amp;A342), "")</f>
        <v/>
      </c>
      <c r="AE342" s="87" t="str">
        <f>IF(A342&lt;&gt;"", SUMIFS(node!$M$2:$M$1000, node!$C$2:$C$1000,"="&amp;A342), "")</f>
        <v/>
      </c>
    </row>
    <row r="343" spans="1:31" ht="15.75" customHeight="1" x14ac:dyDescent="0.25">
      <c r="A343" s="71" t="str">
        <f>IF(ISNONTEXT(node_raw[[#This Row],[Column2]]), "", node_raw[[#This Row],[Column2]])</f>
        <v/>
      </c>
      <c r="B343" s="108" t="str">
        <f>IF(A343&lt;&gt;"", VLOOKUP(A343, node!$C$2:$D$1000, 2, FALSE), "")</f>
        <v/>
      </c>
      <c r="C343" s="109" t="str">
        <f>IF(A343&lt;&gt;"", VLOOKUP(A343, node!$C$2:$E$1000, 3, FALSE), "")</f>
        <v/>
      </c>
      <c r="D343" s="110" t="str">
        <f>IF(A343&lt;&gt;"",COUNTIFS(node!$C$2:$C$1000,"="&amp;A343, node!$C$2:$C$1000,"&lt;&gt;"&amp;""),"")</f>
        <v/>
      </c>
      <c r="E343" s="111" t="str">
        <f>IF(A343&lt;&gt;"",SUMIFS(node!$F$2:$F$500, node!$C$2:$C$500,"="&amp;A343, node!$C$2:$C$500,"&lt;&gt;"&amp;"")/(B343*D343),"")</f>
        <v/>
      </c>
      <c r="F343" s="112" t="str">
        <f>IF(A343&lt;&gt;"",SUMIFS(node!$H$2:$H$500, node!$C$2:$C$500,"="&amp;A343, node!$C$2:$C$500,"&lt;&gt;"&amp;"")/(C343*D343),"")</f>
        <v/>
      </c>
      <c r="G343" s="179" t="str">
        <f>IF(A343&lt;&gt;"",SUMIFS(deployment!$F$4:$F$502, deployment!$D$4:$D$502,"="&amp;A343, deployment!$D$4:$D$502,"&lt;&gt;"&amp;""),"")</f>
        <v/>
      </c>
      <c r="H343" s="181" t="str">
        <f>IF(A343&lt;&gt;"",SUMIFS(deployment!$G$4:$G$502, deployment!$D$4:$D$502,"="&amp;A343, deployment!$D$4:$D$502,"&lt;&gt;"&amp;""),"")</f>
        <v/>
      </c>
      <c r="I343" s="113" t="str">
        <f>IF(A343&lt;&gt;"",SUMIFS(deployment!$H$4:$H$502, deployment!$D$4:$D$502,"="&amp;A343, deployment!$D$4:$D$502,"&lt;&gt;"&amp;""),"")</f>
        <v/>
      </c>
      <c r="J343" s="114" t="str">
        <f>IF(A343&lt;&gt;"",SUMIFS(deployment!$I$4:$I$502, deployment!$D$4:$D$502,"="&amp;A343, deployment!$D$4:$D$502,"&lt;&gt;"&amp;""),"")</f>
        <v/>
      </c>
      <c r="K343" s="182" t="str">
        <f>IF(A343&lt;&gt;"",SUMIFS(deployment!$J$4:$J$1002, deployment!$D$4:$D$1002,"="&amp;A343, deployment!$D$4:$D$1002,"&lt;&gt;"&amp;"", deployment!$C$4:$C$1002, "&lt;&gt;* )")+SUMIFS(namespace!$G$4:$G$1002, namespace!$B$4:$B$1002,"="&amp;A343, namespace!$B$4:$B$1002,"&lt;&gt;"&amp;""),"")</f>
        <v/>
      </c>
      <c r="L343" s="182" t="str">
        <f>IF(A343&lt;&gt;"",SUMIFS(deployment!$K$4:$K$1002, deployment!$D$4:$D$1002,"="&amp;A343, deployment!$D$4:$D$1002,"&lt;&gt;"&amp;"", deployment!$C$4:$C$1002, "&lt;&gt;* )")+SUMIFS(namespace!$H$4:$H$1002, namespace!$B$4:$B$1002,"="&amp;A343, namespace!$B$4:$B$1002,"&lt;&gt;"&amp;""),"")</f>
        <v/>
      </c>
      <c r="M343" s="115" t="str">
        <f>IF(A343&lt;&gt;"",SUMIFS(deployment!$L$4:$L$1002, deployment!$D$4:$D$1002,"="&amp;A343, deployment!$D$4:$D$1002,"&lt;&gt;"&amp;"", deployment!$C$4:$C$1002, "&lt;&gt;* )")+SUMIFS(namespace!$I$4:$I$1002, namespace!$B$4:$B$1002,"="&amp;A343, namespace!$B$4:$B$1002,"&lt;&gt;"&amp;""),"")</f>
        <v/>
      </c>
      <c r="N343" s="115" t="str">
        <f>IF(A343&lt;&gt;"",SUMIFS(deployment!$M$4:$M$1002, deployment!$D$4:$D$1002,"="&amp;A343, deployment!$D$4:$D$1002,"&lt;&gt;"&amp;"", deployment!$C$4:$C$1002, "&lt;&gt;* )")+SUMIFS(namespace!$J$4:$J$1002, namespace!$B$4:$B$1002,"="&amp;A343, namespace!$B$4:$B$1002,"&lt;&gt;"&amp;""),"")</f>
        <v/>
      </c>
      <c r="O343" s="116" t="str">
        <f t="shared" si="67"/>
        <v/>
      </c>
      <c r="P343" s="63"/>
      <c r="Q343" s="164" t="str">
        <f t="shared" si="62"/>
        <v/>
      </c>
      <c r="R343" s="60" t="str">
        <f t="shared" si="63"/>
        <v/>
      </c>
      <c r="S343" s="60" t="str">
        <f t="shared" si="64"/>
        <v/>
      </c>
      <c r="T343" s="61" t="str">
        <f t="shared" si="65"/>
        <v/>
      </c>
      <c r="U343" s="61" t="str">
        <f t="shared" si="66"/>
        <v/>
      </c>
      <c r="V343" s="183" t="str">
        <f t="shared" si="68"/>
        <v/>
      </c>
      <c r="W343" s="183" t="str">
        <f t="shared" si="69"/>
        <v/>
      </c>
      <c r="X343" s="61" t="str">
        <f t="shared" si="70"/>
        <v/>
      </c>
      <c r="Y343" s="61" t="str">
        <f t="shared" si="71"/>
        <v/>
      </c>
      <c r="Z343" s="118" t="str">
        <f t="shared" si="72"/>
        <v/>
      </c>
      <c r="AA343" s="62" t="str">
        <f t="shared" si="73"/>
        <v/>
      </c>
      <c r="AB343" s="119" t="str">
        <f>IF(A343&lt;&gt;"", IF(P343&lt;&gt;0,SUMIFS(node!$J$2:$J$1000, node!$C$2:$C$1000,"="&amp;A343)/P343,0), "")</f>
        <v/>
      </c>
      <c r="AC343" s="81" t="str">
        <f>IF(A343&lt;&gt;"", IF(P343&lt;&gt;0,SUMIFS(node!$K$2:$K$1000, node!$C$2:$C$1000,"="&amp;A343)/P343,0), "")</f>
        <v/>
      </c>
      <c r="AD343" s="82" t="str">
        <f>IF(A343&lt;&gt;"", SUMIFS(node!$L$2:$L$1000, node!$C$2:$C$1000,"="&amp;A343), "")</f>
        <v/>
      </c>
      <c r="AE343" s="87" t="str">
        <f>IF(A343&lt;&gt;"", SUMIFS(node!$M$2:$M$1000, node!$C$2:$C$1000,"="&amp;A343), "")</f>
        <v/>
      </c>
    </row>
    <row r="344" spans="1:31" ht="15.75" customHeight="1" x14ac:dyDescent="0.25">
      <c r="A344" s="71" t="str">
        <f>IF(ISNONTEXT(node_raw[[#This Row],[Column2]]), "", node_raw[[#This Row],[Column2]])</f>
        <v/>
      </c>
      <c r="B344" s="108" t="str">
        <f>IF(A344&lt;&gt;"", VLOOKUP(A344, node!$C$2:$D$1000, 2, FALSE), "")</f>
        <v/>
      </c>
      <c r="C344" s="109" t="str">
        <f>IF(A344&lt;&gt;"", VLOOKUP(A344, node!$C$2:$E$1000, 3, FALSE), "")</f>
        <v/>
      </c>
      <c r="D344" s="110" t="str">
        <f>IF(A344&lt;&gt;"",COUNTIFS(node!$C$2:$C$1000,"="&amp;A344, node!$C$2:$C$1000,"&lt;&gt;"&amp;""),"")</f>
        <v/>
      </c>
      <c r="E344" s="111" t="str">
        <f>IF(A344&lt;&gt;"",SUMIFS(node!$F$2:$F$500, node!$C$2:$C$500,"="&amp;A344, node!$C$2:$C$500,"&lt;&gt;"&amp;"")/(B344*D344),"")</f>
        <v/>
      </c>
      <c r="F344" s="112" t="str">
        <f>IF(A344&lt;&gt;"",SUMIFS(node!$H$2:$H$500, node!$C$2:$C$500,"="&amp;A344, node!$C$2:$C$500,"&lt;&gt;"&amp;"")/(C344*D344),"")</f>
        <v/>
      </c>
      <c r="G344" s="179" t="str">
        <f>IF(A344&lt;&gt;"",SUMIFS(deployment!$F$4:$F$502, deployment!$D$4:$D$502,"="&amp;A344, deployment!$D$4:$D$502,"&lt;&gt;"&amp;""),"")</f>
        <v/>
      </c>
      <c r="H344" s="181" t="str">
        <f>IF(A344&lt;&gt;"",SUMIFS(deployment!$G$4:$G$502, deployment!$D$4:$D$502,"="&amp;A344, deployment!$D$4:$D$502,"&lt;&gt;"&amp;""),"")</f>
        <v/>
      </c>
      <c r="I344" s="113" t="str">
        <f>IF(A344&lt;&gt;"",SUMIFS(deployment!$H$4:$H$502, deployment!$D$4:$D$502,"="&amp;A344, deployment!$D$4:$D$502,"&lt;&gt;"&amp;""),"")</f>
        <v/>
      </c>
      <c r="J344" s="114" t="str">
        <f>IF(A344&lt;&gt;"",SUMIFS(deployment!$I$4:$I$502, deployment!$D$4:$D$502,"="&amp;A344, deployment!$D$4:$D$502,"&lt;&gt;"&amp;""),"")</f>
        <v/>
      </c>
      <c r="K344" s="182" t="str">
        <f>IF(A344&lt;&gt;"",SUMIFS(deployment!$J$4:$J$1002, deployment!$D$4:$D$1002,"="&amp;A344, deployment!$D$4:$D$1002,"&lt;&gt;"&amp;"", deployment!$C$4:$C$1002, "&lt;&gt;* )")+SUMIFS(namespace!$G$4:$G$1002, namespace!$B$4:$B$1002,"="&amp;A344, namespace!$B$4:$B$1002,"&lt;&gt;"&amp;""),"")</f>
        <v/>
      </c>
      <c r="L344" s="182" t="str">
        <f>IF(A344&lt;&gt;"",SUMIFS(deployment!$K$4:$K$1002, deployment!$D$4:$D$1002,"="&amp;A344, deployment!$D$4:$D$1002,"&lt;&gt;"&amp;"", deployment!$C$4:$C$1002, "&lt;&gt;* )")+SUMIFS(namespace!$H$4:$H$1002, namespace!$B$4:$B$1002,"="&amp;A344, namespace!$B$4:$B$1002,"&lt;&gt;"&amp;""),"")</f>
        <v/>
      </c>
      <c r="M344" s="115" t="str">
        <f>IF(A344&lt;&gt;"",SUMIFS(deployment!$L$4:$L$1002, deployment!$D$4:$D$1002,"="&amp;A344, deployment!$D$4:$D$1002,"&lt;&gt;"&amp;"", deployment!$C$4:$C$1002, "&lt;&gt;* )")+SUMIFS(namespace!$I$4:$I$1002, namespace!$B$4:$B$1002,"="&amp;A344, namespace!$B$4:$B$1002,"&lt;&gt;"&amp;""),"")</f>
        <v/>
      </c>
      <c r="N344" s="115" t="str">
        <f>IF(A344&lt;&gt;"",SUMIFS(deployment!$M$4:$M$1002, deployment!$D$4:$D$1002,"="&amp;A344, deployment!$D$4:$D$1002,"&lt;&gt;"&amp;"", deployment!$C$4:$C$1002, "&lt;&gt;* )")+SUMIFS(namespace!$J$4:$J$1002, namespace!$B$4:$B$1002,"="&amp;A344, namespace!$B$4:$B$1002,"&lt;&gt;"&amp;""),"")</f>
        <v/>
      </c>
      <c r="O344" s="116" t="str">
        <f t="shared" si="67"/>
        <v/>
      </c>
      <c r="P344" s="63"/>
      <c r="Q344" s="164" t="str">
        <f t="shared" si="62"/>
        <v/>
      </c>
      <c r="R344" s="60" t="str">
        <f t="shared" si="63"/>
        <v/>
      </c>
      <c r="S344" s="60" t="str">
        <f t="shared" si="64"/>
        <v/>
      </c>
      <c r="T344" s="61" t="str">
        <f t="shared" si="65"/>
        <v/>
      </c>
      <c r="U344" s="61" t="str">
        <f t="shared" si="66"/>
        <v/>
      </c>
      <c r="V344" s="183" t="str">
        <f t="shared" si="68"/>
        <v/>
      </c>
      <c r="W344" s="183" t="str">
        <f t="shared" si="69"/>
        <v/>
      </c>
      <c r="X344" s="61" t="str">
        <f t="shared" si="70"/>
        <v/>
      </c>
      <c r="Y344" s="61" t="str">
        <f t="shared" si="71"/>
        <v/>
      </c>
      <c r="Z344" s="118" t="str">
        <f t="shared" si="72"/>
        <v/>
      </c>
      <c r="AA344" s="62" t="str">
        <f t="shared" si="73"/>
        <v/>
      </c>
      <c r="AB344" s="119" t="str">
        <f>IF(A344&lt;&gt;"", IF(P344&lt;&gt;0,SUMIFS(node!$J$2:$J$1000, node!$C$2:$C$1000,"="&amp;A344)/P344,0), "")</f>
        <v/>
      </c>
      <c r="AC344" s="81" t="str">
        <f>IF(A344&lt;&gt;"", IF(P344&lt;&gt;0,SUMIFS(node!$K$2:$K$1000, node!$C$2:$C$1000,"="&amp;A344)/P344,0), "")</f>
        <v/>
      </c>
      <c r="AD344" s="82" t="str">
        <f>IF(A344&lt;&gt;"", SUMIFS(node!$L$2:$L$1000, node!$C$2:$C$1000,"="&amp;A344), "")</f>
        <v/>
      </c>
      <c r="AE344" s="87" t="str">
        <f>IF(A344&lt;&gt;"", SUMIFS(node!$M$2:$M$1000, node!$C$2:$C$1000,"="&amp;A344), "")</f>
        <v/>
      </c>
    </row>
    <row r="345" spans="1:31" ht="15.75" customHeight="1" x14ac:dyDescent="0.25">
      <c r="A345" s="71" t="str">
        <f>IF(ISNONTEXT(node_raw[[#This Row],[Column2]]), "", node_raw[[#This Row],[Column2]])</f>
        <v/>
      </c>
      <c r="B345" s="108" t="str">
        <f>IF(A345&lt;&gt;"", VLOOKUP(A345, node!$C$2:$D$1000, 2, FALSE), "")</f>
        <v/>
      </c>
      <c r="C345" s="109" t="str">
        <f>IF(A345&lt;&gt;"", VLOOKUP(A345, node!$C$2:$E$1000, 3, FALSE), "")</f>
        <v/>
      </c>
      <c r="D345" s="110" t="str">
        <f>IF(A345&lt;&gt;"",COUNTIFS(node!$C$2:$C$1000,"="&amp;A345, node!$C$2:$C$1000,"&lt;&gt;"&amp;""),"")</f>
        <v/>
      </c>
      <c r="E345" s="111" t="str">
        <f>IF(A345&lt;&gt;"",SUMIFS(node!$F$2:$F$500, node!$C$2:$C$500,"="&amp;A345, node!$C$2:$C$500,"&lt;&gt;"&amp;"")/(B345*D345),"")</f>
        <v/>
      </c>
      <c r="F345" s="112" t="str">
        <f>IF(A345&lt;&gt;"",SUMIFS(node!$H$2:$H$500, node!$C$2:$C$500,"="&amp;A345, node!$C$2:$C$500,"&lt;&gt;"&amp;"")/(C345*D345),"")</f>
        <v/>
      </c>
      <c r="G345" s="179" t="str">
        <f>IF(A345&lt;&gt;"",SUMIFS(deployment!$F$4:$F$502, deployment!$D$4:$D$502,"="&amp;A345, deployment!$D$4:$D$502,"&lt;&gt;"&amp;""),"")</f>
        <v/>
      </c>
      <c r="H345" s="181" t="str">
        <f>IF(A345&lt;&gt;"",SUMIFS(deployment!$G$4:$G$502, deployment!$D$4:$D$502,"="&amp;A345, deployment!$D$4:$D$502,"&lt;&gt;"&amp;""),"")</f>
        <v/>
      </c>
      <c r="I345" s="113" t="str">
        <f>IF(A345&lt;&gt;"",SUMIFS(deployment!$H$4:$H$502, deployment!$D$4:$D$502,"="&amp;A345, deployment!$D$4:$D$502,"&lt;&gt;"&amp;""),"")</f>
        <v/>
      </c>
      <c r="J345" s="114" t="str">
        <f>IF(A345&lt;&gt;"",SUMIFS(deployment!$I$4:$I$502, deployment!$D$4:$D$502,"="&amp;A345, deployment!$D$4:$D$502,"&lt;&gt;"&amp;""),"")</f>
        <v/>
      </c>
      <c r="K345" s="182" t="str">
        <f>IF(A345&lt;&gt;"",SUMIFS(deployment!$J$4:$J$1002, deployment!$D$4:$D$1002,"="&amp;A345, deployment!$D$4:$D$1002,"&lt;&gt;"&amp;"", deployment!$C$4:$C$1002, "&lt;&gt;* )")+SUMIFS(namespace!$G$4:$G$1002, namespace!$B$4:$B$1002,"="&amp;A345, namespace!$B$4:$B$1002,"&lt;&gt;"&amp;""),"")</f>
        <v/>
      </c>
      <c r="L345" s="182" t="str">
        <f>IF(A345&lt;&gt;"",SUMIFS(deployment!$K$4:$K$1002, deployment!$D$4:$D$1002,"="&amp;A345, deployment!$D$4:$D$1002,"&lt;&gt;"&amp;"", deployment!$C$4:$C$1002, "&lt;&gt;* )")+SUMIFS(namespace!$H$4:$H$1002, namespace!$B$4:$B$1002,"="&amp;A345, namespace!$B$4:$B$1002,"&lt;&gt;"&amp;""),"")</f>
        <v/>
      </c>
      <c r="M345" s="115" t="str">
        <f>IF(A345&lt;&gt;"",SUMIFS(deployment!$L$4:$L$1002, deployment!$D$4:$D$1002,"="&amp;A345, deployment!$D$4:$D$1002,"&lt;&gt;"&amp;"", deployment!$C$4:$C$1002, "&lt;&gt;* )")+SUMIFS(namespace!$I$4:$I$1002, namespace!$B$4:$B$1002,"="&amp;A345, namespace!$B$4:$B$1002,"&lt;&gt;"&amp;""),"")</f>
        <v/>
      </c>
      <c r="N345" s="115" t="str">
        <f>IF(A345&lt;&gt;"",SUMIFS(deployment!$M$4:$M$1002, deployment!$D$4:$D$1002,"="&amp;A345, deployment!$D$4:$D$1002,"&lt;&gt;"&amp;"", deployment!$C$4:$C$1002, "&lt;&gt;* )")+SUMIFS(namespace!$J$4:$J$1002, namespace!$B$4:$B$1002,"="&amp;A345, namespace!$B$4:$B$1002,"&lt;&gt;"&amp;""),"")</f>
        <v/>
      </c>
      <c r="O345" s="116" t="str">
        <f t="shared" si="67"/>
        <v/>
      </c>
      <c r="P345" s="63"/>
      <c r="Q345" s="164" t="str">
        <f t="shared" si="62"/>
        <v/>
      </c>
      <c r="R345" s="60" t="str">
        <f t="shared" si="63"/>
        <v/>
      </c>
      <c r="S345" s="60" t="str">
        <f t="shared" si="64"/>
        <v/>
      </c>
      <c r="T345" s="61" t="str">
        <f t="shared" si="65"/>
        <v/>
      </c>
      <c r="U345" s="61" t="str">
        <f t="shared" si="66"/>
        <v/>
      </c>
      <c r="V345" s="183" t="str">
        <f t="shared" si="68"/>
        <v/>
      </c>
      <c r="W345" s="183" t="str">
        <f t="shared" si="69"/>
        <v/>
      </c>
      <c r="X345" s="61" t="str">
        <f t="shared" si="70"/>
        <v/>
      </c>
      <c r="Y345" s="61" t="str">
        <f t="shared" si="71"/>
        <v/>
      </c>
      <c r="Z345" s="118" t="str">
        <f t="shared" si="72"/>
        <v/>
      </c>
      <c r="AA345" s="62" t="str">
        <f t="shared" si="73"/>
        <v/>
      </c>
      <c r="AB345" s="119" t="str">
        <f>IF(A345&lt;&gt;"", IF(P345&lt;&gt;0,SUMIFS(node!$J$2:$J$1000, node!$C$2:$C$1000,"="&amp;A345)/P345,0), "")</f>
        <v/>
      </c>
      <c r="AC345" s="81" t="str">
        <f>IF(A345&lt;&gt;"", IF(P345&lt;&gt;0,SUMIFS(node!$K$2:$K$1000, node!$C$2:$C$1000,"="&amp;A345)/P345,0), "")</f>
        <v/>
      </c>
      <c r="AD345" s="82" t="str">
        <f>IF(A345&lt;&gt;"", SUMIFS(node!$L$2:$L$1000, node!$C$2:$C$1000,"="&amp;A345), "")</f>
        <v/>
      </c>
      <c r="AE345" s="87" t="str">
        <f>IF(A345&lt;&gt;"", SUMIFS(node!$M$2:$M$1000, node!$C$2:$C$1000,"="&amp;A345), "")</f>
        <v/>
      </c>
    </row>
    <row r="346" spans="1:31" ht="15.75" customHeight="1" x14ac:dyDescent="0.25">
      <c r="A346" s="71" t="str">
        <f>IF(ISNONTEXT(node_raw[[#This Row],[Column2]]), "", node_raw[[#This Row],[Column2]])</f>
        <v/>
      </c>
      <c r="B346" s="108" t="str">
        <f>IF(A346&lt;&gt;"", VLOOKUP(A346, node!$C$2:$D$1000, 2, FALSE), "")</f>
        <v/>
      </c>
      <c r="C346" s="109" t="str">
        <f>IF(A346&lt;&gt;"", VLOOKUP(A346, node!$C$2:$E$1000, 3, FALSE), "")</f>
        <v/>
      </c>
      <c r="D346" s="110" t="str">
        <f>IF(A346&lt;&gt;"",COUNTIFS(node!$C$2:$C$1000,"="&amp;A346, node!$C$2:$C$1000,"&lt;&gt;"&amp;""),"")</f>
        <v/>
      </c>
      <c r="E346" s="111" t="str">
        <f>IF(A346&lt;&gt;"",SUMIFS(node!$F$2:$F$500, node!$C$2:$C$500,"="&amp;A346, node!$C$2:$C$500,"&lt;&gt;"&amp;"")/(B346*D346),"")</f>
        <v/>
      </c>
      <c r="F346" s="112" t="str">
        <f>IF(A346&lt;&gt;"",SUMIFS(node!$H$2:$H$500, node!$C$2:$C$500,"="&amp;A346, node!$C$2:$C$500,"&lt;&gt;"&amp;"")/(C346*D346),"")</f>
        <v/>
      </c>
      <c r="G346" s="179" t="str">
        <f>IF(A346&lt;&gt;"",SUMIFS(deployment!$F$4:$F$502, deployment!$D$4:$D$502,"="&amp;A346, deployment!$D$4:$D$502,"&lt;&gt;"&amp;""),"")</f>
        <v/>
      </c>
      <c r="H346" s="181" t="str">
        <f>IF(A346&lt;&gt;"",SUMIFS(deployment!$G$4:$G$502, deployment!$D$4:$D$502,"="&amp;A346, deployment!$D$4:$D$502,"&lt;&gt;"&amp;""),"")</f>
        <v/>
      </c>
      <c r="I346" s="113" t="str">
        <f>IF(A346&lt;&gt;"",SUMIFS(deployment!$H$4:$H$502, deployment!$D$4:$D$502,"="&amp;A346, deployment!$D$4:$D$502,"&lt;&gt;"&amp;""),"")</f>
        <v/>
      </c>
      <c r="J346" s="114" t="str">
        <f>IF(A346&lt;&gt;"",SUMIFS(deployment!$I$4:$I$502, deployment!$D$4:$D$502,"="&amp;A346, deployment!$D$4:$D$502,"&lt;&gt;"&amp;""),"")</f>
        <v/>
      </c>
      <c r="K346" s="182" t="str">
        <f>IF(A346&lt;&gt;"",SUMIFS(deployment!$J$4:$J$1002, deployment!$D$4:$D$1002,"="&amp;A346, deployment!$D$4:$D$1002,"&lt;&gt;"&amp;"", deployment!$C$4:$C$1002, "&lt;&gt;* )")+SUMIFS(namespace!$G$4:$G$1002, namespace!$B$4:$B$1002,"="&amp;A346, namespace!$B$4:$B$1002,"&lt;&gt;"&amp;""),"")</f>
        <v/>
      </c>
      <c r="L346" s="182" t="str">
        <f>IF(A346&lt;&gt;"",SUMIFS(deployment!$K$4:$K$1002, deployment!$D$4:$D$1002,"="&amp;A346, deployment!$D$4:$D$1002,"&lt;&gt;"&amp;"", deployment!$C$4:$C$1002, "&lt;&gt;* )")+SUMIFS(namespace!$H$4:$H$1002, namespace!$B$4:$B$1002,"="&amp;A346, namespace!$B$4:$B$1002,"&lt;&gt;"&amp;""),"")</f>
        <v/>
      </c>
      <c r="M346" s="115" t="str">
        <f>IF(A346&lt;&gt;"",SUMIFS(deployment!$L$4:$L$1002, deployment!$D$4:$D$1002,"="&amp;A346, deployment!$D$4:$D$1002,"&lt;&gt;"&amp;"", deployment!$C$4:$C$1002, "&lt;&gt;* )")+SUMIFS(namespace!$I$4:$I$1002, namespace!$B$4:$B$1002,"="&amp;A346, namespace!$B$4:$B$1002,"&lt;&gt;"&amp;""),"")</f>
        <v/>
      </c>
      <c r="N346" s="115" t="str">
        <f>IF(A346&lt;&gt;"",SUMIFS(deployment!$M$4:$M$1002, deployment!$D$4:$D$1002,"="&amp;A346, deployment!$D$4:$D$1002,"&lt;&gt;"&amp;"", deployment!$C$4:$C$1002, "&lt;&gt;* )")+SUMIFS(namespace!$J$4:$J$1002, namespace!$B$4:$B$1002,"="&amp;A346, namespace!$B$4:$B$1002,"&lt;&gt;"&amp;""),"")</f>
        <v/>
      </c>
      <c r="O346" s="116" t="str">
        <f t="shared" si="67"/>
        <v/>
      </c>
      <c r="P346" s="63"/>
      <c r="Q346" s="164" t="str">
        <f t="shared" si="62"/>
        <v/>
      </c>
      <c r="R346" s="60" t="str">
        <f t="shared" si="63"/>
        <v/>
      </c>
      <c r="S346" s="60" t="str">
        <f t="shared" si="64"/>
        <v/>
      </c>
      <c r="T346" s="61" t="str">
        <f t="shared" si="65"/>
        <v/>
      </c>
      <c r="U346" s="61" t="str">
        <f t="shared" si="66"/>
        <v/>
      </c>
      <c r="V346" s="183" t="str">
        <f t="shared" si="68"/>
        <v/>
      </c>
      <c r="W346" s="183" t="str">
        <f t="shared" si="69"/>
        <v/>
      </c>
      <c r="X346" s="61" t="str">
        <f t="shared" si="70"/>
        <v/>
      </c>
      <c r="Y346" s="61" t="str">
        <f t="shared" si="71"/>
        <v/>
      </c>
      <c r="Z346" s="118" t="str">
        <f t="shared" si="72"/>
        <v/>
      </c>
      <c r="AA346" s="62" t="str">
        <f t="shared" si="73"/>
        <v/>
      </c>
      <c r="AB346" s="119" t="str">
        <f>IF(A346&lt;&gt;"", IF(P346&lt;&gt;0,SUMIFS(node!$J$2:$J$1000, node!$C$2:$C$1000,"="&amp;A346)/P346,0), "")</f>
        <v/>
      </c>
      <c r="AC346" s="81" t="str">
        <f>IF(A346&lt;&gt;"", IF(P346&lt;&gt;0,SUMIFS(node!$K$2:$K$1000, node!$C$2:$C$1000,"="&amp;A346)/P346,0), "")</f>
        <v/>
      </c>
      <c r="AD346" s="82" t="str">
        <f>IF(A346&lt;&gt;"", SUMIFS(node!$L$2:$L$1000, node!$C$2:$C$1000,"="&amp;A346), "")</f>
        <v/>
      </c>
      <c r="AE346" s="87" t="str">
        <f>IF(A346&lt;&gt;"", SUMIFS(node!$M$2:$M$1000, node!$C$2:$C$1000,"="&amp;A346), "")</f>
        <v/>
      </c>
    </row>
    <row r="347" spans="1:31" ht="15.75" customHeight="1" x14ac:dyDescent="0.25">
      <c r="A347" s="71" t="str">
        <f>IF(ISNONTEXT(node_raw[[#This Row],[Column2]]), "", node_raw[[#This Row],[Column2]])</f>
        <v/>
      </c>
      <c r="B347" s="108" t="str">
        <f>IF(A347&lt;&gt;"", VLOOKUP(A347, node!$C$2:$D$1000, 2, FALSE), "")</f>
        <v/>
      </c>
      <c r="C347" s="109" t="str">
        <f>IF(A347&lt;&gt;"", VLOOKUP(A347, node!$C$2:$E$1000, 3, FALSE), "")</f>
        <v/>
      </c>
      <c r="D347" s="110" t="str">
        <f>IF(A347&lt;&gt;"",COUNTIFS(node!$C$2:$C$1000,"="&amp;A347, node!$C$2:$C$1000,"&lt;&gt;"&amp;""),"")</f>
        <v/>
      </c>
      <c r="E347" s="111" t="str">
        <f>IF(A347&lt;&gt;"",SUMIFS(node!$F$2:$F$500, node!$C$2:$C$500,"="&amp;A347, node!$C$2:$C$500,"&lt;&gt;"&amp;"")/(B347*D347),"")</f>
        <v/>
      </c>
      <c r="F347" s="112" t="str">
        <f>IF(A347&lt;&gt;"",SUMIFS(node!$H$2:$H$500, node!$C$2:$C$500,"="&amp;A347, node!$C$2:$C$500,"&lt;&gt;"&amp;"")/(C347*D347),"")</f>
        <v/>
      </c>
      <c r="G347" s="179" t="str">
        <f>IF(A347&lt;&gt;"",SUMIFS(deployment!$F$4:$F$502, deployment!$D$4:$D$502,"="&amp;A347, deployment!$D$4:$D$502,"&lt;&gt;"&amp;""),"")</f>
        <v/>
      </c>
      <c r="H347" s="181" t="str">
        <f>IF(A347&lt;&gt;"",SUMIFS(deployment!$G$4:$G$502, deployment!$D$4:$D$502,"="&amp;A347, deployment!$D$4:$D$502,"&lt;&gt;"&amp;""),"")</f>
        <v/>
      </c>
      <c r="I347" s="113" t="str">
        <f>IF(A347&lt;&gt;"",SUMIFS(deployment!$H$4:$H$502, deployment!$D$4:$D$502,"="&amp;A347, deployment!$D$4:$D$502,"&lt;&gt;"&amp;""),"")</f>
        <v/>
      </c>
      <c r="J347" s="114" t="str">
        <f>IF(A347&lt;&gt;"",SUMIFS(deployment!$I$4:$I$502, deployment!$D$4:$D$502,"="&amp;A347, deployment!$D$4:$D$502,"&lt;&gt;"&amp;""),"")</f>
        <v/>
      </c>
      <c r="K347" s="182" t="str">
        <f>IF(A347&lt;&gt;"",SUMIFS(deployment!$J$4:$J$1002, deployment!$D$4:$D$1002,"="&amp;A347, deployment!$D$4:$D$1002,"&lt;&gt;"&amp;"", deployment!$C$4:$C$1002, "&lt;&gt;* )")+SUMIFS(namespace!$G$4:$G$1002, namespace!$B$4:$B$1002,"="&amp;A347, namespace!$B$4:$B$1002,"&lt;&gt;"&amp;""),"")</f>
        <v/>
      </c>
      <c r="L347" s="182" t="str">
        <f>IF(A347&lt;&gt;"",SUMIFS(deployment!$K$4:$K$1002, deployment!$D$4:$D$1002,"="&amp;A347, deployment!$D$4:$D$1002,"&lt;&gt;"&amp;"", deployment!$C$4:$C$1002, "&lt;&gt;* )")+SUMIFS(namespace!$H$4:$H$1002, namespace!$B$4:$B$1002,"="&amp;A347, namespace!$B$4:$B$1002,"&lt;&gt;"&amp;""),"")</f>
        <v/>
      </c>
      <c r="M347" s="115" t="str">
        <f>IF(A347&lt;&gt;"",SUMIFS(deployment!$L$4:$L$1002, deployment!$D$4:$D$1002,"="&amp;A347, deployment!$D$4:$D$1002,"&lt;&gt;"&amp;"", deployment!$C$4:$C$1002, "&lt;&gt;* )")+SUMIFS(namespace!$I$4:$I$1002, namespace!$B$4:$B$1002,"="&amp;A347, namespace!$B$4:$B$1002,"&lt;&gt;"&amp;""),"")</f>
        <v/>
      </c>
      <c r="N347" s="115" t="str">
        <f>IF(A347&lt;&gt;"",SUMIFS(deployment!$M$4:$M$1002, deployment!$D$4:$D$1002,"="&amp;A347, deployment!$D$4:$D$1002,"&lt;&gt;"&amp;"", deployment!$C$4:$C$1002, "&lt;&gt;* )")+SUMIFS(namespace!$J$4:$J$1002, namespace!$B$4:$B$1002,"="&amp;A347, namespace!$B$4:$B$1002,"&lt;&gt;"&amp;""),"")</f>
        <v/>
      </c>
      <c r="O347" s="116" t="str">
        <f t="shared" si="67"/>
        <v/>
      </c>
      <c r="P347" s="63"/>
      <c r="Q347" s="164" t="str">
        <f t="shared" si="62"/>
        <v/>
      </c>
      <c r="R347" s="60" t="str">
        <f t="shared" si="63"/>
        <v/>
      </c>
      <c r="S347" s="60" t="str">
        <f t="shared" si="64"/>
        <v/>
      </c>
      <c r="T347" s="61" t="str">
        <f t="shared" si="65"/>
        <v/>
      </c>
      <c r="U347" s="61" t="str">
        <f t="shared" si="66"/>
        <v/>
      </c>
      <c r="V347" s="183" t="str">
        <f t="shared" si="68"/>
        <v/>
      </c>
      <c r="W347" s="183" t="str">
        <f t="shared" si="69"/>
        <v/>
      </c>
      <c r="X347" s="61" t="str">
        <f t="shared" si="70"/>
        <v/>
      </c>
      <c r="Y347" s="61" t="str">
        <f t="shared" si="71"/>
        <v/>
      </c>
      <c r="Z347" s="118" t="str">
        <f t="shared" si="72"/>
        <v/>
      </c>
      <c r="AA347" s="62" t="str">
        <f t="shared" si="73"/>
        <v/>
      </c>
      <c r="AB347" s="119" t="str">
        <f>IF(A347&lt;&gt;"", IF(P347&lt;&gt;0,SUMIFS(node!$J$2:$J$1000, node!$C$2:$C$1000,"="&amp;A347)/P347,0), "")</f>
        <v/>
      </c>
      <c r="AC347" s="81" t="str">
        <f>IF(A347&lt;&gt;"", IF(P347&lt;&gt;0,SUMIFS(node!$K$2:$K$1000, node!$C$2:$C$1000,"="&amp;A347)/P347,0), "")</f>
        <v/>
      </c>
      <c r="AD347" s="82" t="str">
        <f>IF(A347&lt;&gt;"", SUMIFS(node!$L$2:$L$1000, node!$C$2:$C$1000,"="&amp;A347), "")</f>
        <v/>
      </c>
      <c r="AE347" s="87" t="str">
        <f>IF(A347&lt;&gt;"", SUMIFS(node!$M$2:$M$1000, node!$C$2:$C$1000,"="&amp;A347), "")</f>
        <v/>
      </c>
    </row>
    <row r="348" spans="1:31" ht="15.75" customHeight="1" x14ac:dyDescent="0.25">
      <c r="A348" s="71" t="str">
        <f>IF(ISNONTEXT(node_raw[[#This Row],[Column2]]), "", node_raw[[#This Row],[Column2]])</f>
        <v/>
      </c>
      <c r="B348" s="108" t="str">
        <f>IF(A348&lt;&gt;"", VLOOKUP(A348, node!$C$2:$D$1000, 2, FALSE), "")</f>
        <v/>
      </c>
      <c r="C348" s="109" t="str">
        <f>IF(A348&lt;&gt;"", VLOOKUP(A348, node!$C$2:$E$1000, 3, FALSE), "")</f>
        <v/>
      </c>
      <c r="D348" s="110" t="str">
        <f>IF(A348&lt;&gt;"",COUNTIFS(node!$C$2:$C$1000,"="&amp;A348, node!$C$2:$C$1000,"&lt;&gt;"&amp;""),"")</f>
        <v/>
      </c>
      <c r="E348" s="111" t="str">
        <f>IF(A348&lt;&gt;"",SUMIFS(node!$F$2:$F$500, node!$C$2:$C$500,"="&amp;A348, node!$C$2:$C$500,"&lt;&gt;"&amp;"")/(B348*D348),"")</f>
        <v/>
      </c>
      <c r="F348" s="112" t="str">
        <f>IF(A348&lt;&gt;"",SUMIFS(node!$H$2:$H$500, node!$C$2:$C$500,"="&amp;A348, node!$C$2:$C$500,"&lt;&gt;"&amp;"")/(C348*D348),"")</f>
        <v/>
      </c>
      <c r="G348" s="179" t="str">
        <f>IF(A348&lt;&gt;"",SUMIFS(deployment!$F$4:$F$502, deployment!$D$4:$D$502,"="&amp;A348, deployment!$D$4:$D$502,"&lt;&gt;"&amp;""),"")</f>
        <v/>
      </c>
      <c r="H348" s="181" t="str">
        <f>IF(A348&lt;&gt;"",SUMIFS(deployment!$G$4:$G$502, deployment!$D$4:$D$502,"="&amp;A348, deployment!$D$4:$D$502,"&lt;&gt;"&amp;""),"")</f>
        <v/>
      </c>
      <c r="I348" s="113" t="str">
        <f>IF(A348&lt;&gt;"",SUMIFS(deployment!$H$4:$H$502, deployment!$D$4:$D$502,"="&amp;A348, deployment!$D$4:$D$502,"&lt;&gt;"&amp;""),"")</f>
        <v/>
      </c>
      <c r="J348" s="114" t="str">
        <f>IF(A348&lt;&gt;"",SUMIFS(deployment!$I$4:$I$502, deployment!$D$4:$D$502,"="&amp;A348, deployment!$D$4:$D$502,"&lt;&gt;"&amp;""),"")</f>
        <v/>
      </c>
      <c r="K348" s="182" t="str">
        <f>IF(A348&lt;&gt;"",SUMIFS(deployment!$J$4:$J$1002, deployment!$D$4:$D$1002,"="&amp;A348, deployment!$D$4:$D$1002,"&lt;&gt;"&amp;"", deployment!$C$4:$C$1002, "&lt;&gt;* )")+SUMIFS(namespace!$G$4:$G$1002, namespace!$B$4:$B$1002,"="&amp;A348, namespace!$B$4:$B$1002,"&lt;&gt;"&amp;""),"")</f>
        <v/>
      </c>
      <c r="L348" s="182" t="str">
        <f>IF(A348&lt;&gt;"",SUMIFS(deployment!$K$4:$K$1002, deployment!$D$4:$D$1002,"="&amp;A348, deployment!$D$4:$D$1002,"&lt;&gt;"&amp;"", deployment!$C$4:$C$1002, "&lt;&gt;* )")+SUMIFS(namespace!$H$4:$H$1002, namespace!$B$4:$B$1002,"="&amp;A348, namespace!$B$4:$B$1002,"&lt;&gt;"&amp;""),"")</f>
        <v/>
      </c>
      <c r="M348" s="115" t="str">
        <f>IF(A348&lt;&gt;"",SUMIFS(deployment!$L$4:$L$1002, deployment!$D$4:$D$1002,"="&amp;A348, deployment!$D$4:$D$1002,"&lt;&gt;"&amp;"", deployment!$C$4:$C$1002, "&lt;&gt;* )")+SUMIFS(namespace!$I$4:$I$1002, namespace!$B$4:$B$1002,"="&amp;A348, namespace!$B$4:$B$1002,"&lt;&gt;"&amp;""),"")</f>
        <v/>
      </c>
      <c r="N348" s="115" t="str">
        <f>IF(A348&lt;&gt;"",SUMIFS(deployment!$M$4:$M$1002, deployment!$D$4:$D$1002,"="&amp;A348, deployment!$D$4:$D$1002,"&lt;&gt;"&amp;"", deployment!$C$4:$C$1002, "&lt;&gt;* )")+SUMIFS(namespace!$J$4:$J$1002, namespace!$B$4:$B$1002,"="&amp;A348, namespace!$B$4:$B$1002,"&lt;&gt;"&amp;""),"")</f>
        <v/>
      </c>
      <c r="O348" s="116" t="str">
        <f t="shared" si="67"/>
        <v/>
      </c>
      <c r="P348" s="63"/>
      <c r="Q348" s="164" t="str">
        <f t="shared" si="62"/>
        <v/>
      </c>
      <c r="R348" s="60" t="str">
        <f t="shared" si="63"/>
        <v/>
      </c>
      <c r="S348" s="60" t="str">
        <f t="shared" si="64"/>
        <v/>
      </c>
      <c r="T348" s="61" t="str">
        <f t="shared" si="65"/>
        <v/>
      </c>
      <c r="U348" s="61" t="str">
        <f t="shared" si="66"/>
        <v/>
      </c>
      <c r="V348" s="183" t="str">
        <f t="shared" si="68"/>
        <v/>
      </c>
      <c r="W348" s="183" t="str">
        <f t="shared" si="69"/>
        <v/>
      </c>
      <c r="X348" s="61" t="str">
        <f t="shared" si="70"/>
        <v/>
      </c>
      <c r="Y348" s="61" t="str">
        <f t="shared" si="71"/>
        <v/>
      </c>
      <c r="Z348" s="118" t="str">
        <f t="shared" si="72"/>
        <v/>
      </c>
      <c r="AA348" s="62" t="str">
        <f t="shared" si="73"/>
        <v/>
      </c>
      <c r="AB348" s="119" t="str">
        <f>IF(A348&lt;&gt;"", IF(P348&lt;&gt;0,SUMIFS(node!$J$2:$J$1000, node!$C$2:$C$1000,"="&amp;A348)/P348,0), "")</f>
        <v/>
      </c>
      <c r="AC348" s="81" t="str">
        <f>IF(A348&lt;&gt;"", IF(P348&lt;&gt;0,SUMIFS(node!$K$2:$K$1000, node!$C$2:$C$1000,"="&amp;A348)/P348,0), "")</f>
        <v/>
      </c>
      <c r="AD348" s="82" t="str">
        <f>IF(A348&lt;&gt;"", SUMIFS(node!$L$2:$L$1000, node!$C$2:$C$1000,"="&amp;A348), "")</f>
        <v/>
      </c>
      <c r="AE348" s="87" t="str">
        <f>IF(A348&lt;&gt;"", SUMIFS(node!$M$2:$M$1000, node!$C$2:$C$1000,"="&amp;A348), "")</f>
        <v/>
      </c>
    </row>
    <row r="349" spans="1:31" ht="15.75" customHeight="1" x14ac:dyDescent="0.25">
      <c r="A349" s="71" t="str">
        <f>IF(ISNONTEXT(node_raw[[#This Row],[Column2]]), "", node_raw[[#This Row],[Column2]])</f>
        <v/>
      </c>
      <c r="B349" s="108" t="str">
        <f>IF(A349&lt;&gt;"", VLOOKUP(A349, node!$C$2:$D$1000, 2, FALSE), "")</f>
        <v/>
      </c>
      <c r="C349" s="109" t="str">
        <f>IF(A349&lt;&gt;"", VLOOKUP(A349, node!$C$2:$E$1000, 3, FALSE), "")</f>
        <v/>
      </c>
      <c r="D349" s="110" t="str">
        <f>IF(A349&lt;&gt;"",COUNTIFS(node!$C$2:$C$1000,"="&amp;A349, node!$C$2:$C$1000,"&lt;&gt;"&amp;""),"")</f>
        <v/>
      </c>
      <c r="E349" s="111" t="str">
        <f>IF(A349&lt;&gt;"",SUMIFS(node!$F$2:$F$500, node!$C$2:$C$500,"="&amp;A349, node!$C$2:$C$500,"&lt;&gt;"&amp;"")/(B349*D349),"")</f>
        <v/>
      </c>
      <c r="F349" s="112" t="str">
        <f>IF(A349&lt;&gt;"",SUMIFS(node!$H$2:$H$500, node!$C$2:$C$500,"="&amp;A349, node!$C$2:$C$500,"&lt;&gt;"&amp;"")/(C349*D349),"")</f>
        <v/>
      </c>
      <c r="G349" s="179" t="str">
        <f>IF(A349&lt;&gt;"",SUMIFS(deployment!$F$4:$F$502, deployment!$D$4:$D$502,"="&amp;A349, deployment!$D$4:$D$502,"&lt;&gt;"&amp;""),"")</f>
        <v/>
      </c>
      <c r="H349" s="181" t="str">
        <f>IF(A349&lt;&gt;"",SUMIFS(deployment!$G$4:$G$502, deployment!$D$4:$D$502,"="&amp;A349, deployment!$D$4:$D$502,"&lt;&gt;"&amp;""),"")</f>
        <v/>
      </c>
      <c r="I349" s="113" t="str">
        <f>IF(A349&lt;&gt;"",SUMIFS(deployment!$H$4:$H$502, deployment!$D$4:$D$502,"="&amp;A349, deployment!$D$4:$D$502,"&lt;&gt;"&amp;""),"")</f>
        <v/>
      </c>
      <c r="J349" s="114" t="str">
        <f>IF(A349&lt;&gt;"",SUMIFS(deployment!$I$4:$I$502, deployment!$D$4:$D$502,"="&amp;A349, deployment!$D$4:$D$502,"&lt;&gt;"&amp;""),"")</f>
        <v/>
      </c>
      <c r="K349" s="182" t="str">
        <f>IF(A349&lt;&gt;"",SUMIFS(deployment!$J$4:$J$1002, deployment!$D$4:$D$1002,"="&amp;A349, deployment!$D$4:$D$1002,"&lt;&gt;"&amp;"", deployment!$C$4:$C$1002, "&lt;&gt;* )")+SUMIFS(namespace!$G$4:$G$1002, namespace!$B$4:$B$1002,"="&amp;A349, namespace!$B$4:$B$1002,"&lt;&gt;"&amp;""),"")</f>
        <v/>
      </c>
      <c r="L349" s="182" t="str">
        <f>IF(A349&lt;&gt;"",SUMIFS(deployment!$K$4:$K$1002, deployment!$D$4:$D$1002,"="&amp;A349, deployment!$D$4:$D$1002,"&lt;&gt;"&amp;"", deployment!$C$4:$C$1002, "&lt;&gt;* )")+SUMIFS(namespace!$H$4:$H$1002, namespace!$B$4:$B$1002,"="&amp;A349, namespace!$B$4:$B$1002,"&lt;&gt;"&amp;""),"")</f>
        <v/>
      </c>
      <c r="M349" s="115" t="str">
        <f>IF(A349&lt;&gt;"",SUMIFS(deployment!$L$4:$L$1002, deployment!$D$4:$D$1002,"="&amp;A349, deployment!$D$4:$D$1002,"&lt;&gt;"&amp;"", deployment!$C$4:$C$1002, "&lt;&gt;* )")+SUMIFS(namespace!$I$4:$I$1002, namespace!$B$4:$B$1002,"="&amp;A349, namespace!$B$4:$B$1002,"&lt;&gt;"&amp;""),"")</f>
        <v/>
      </c>
      <c r="N349" s="115" t="str">
        <f>IF(A349&lt;&gt;"",SUMIFS(deployment!$M$4:$M$1002, deployment!$D$4:$D$1002,"="&amp;A349, deployment!$D$4:$D$1002,"&lt;&gt;"&amp;"", deployment!$C$4:$C$1002, "&lt;&gt;* )")+SUMIFS(namespace!$J$4:$J$1002, namespace!$B$4:$B$1002,"="&amp;A349, namespace!$B$4:$B$1002,"&lt;&gt;"&amp;""),"")</f>
        <v/>
      </c>
      <c r="O349" s="116" t="str">
        <f t="shared" si="67"/>
        <v/>
      </c>
      <c r="P349" s="63"/>
      <c r="Q349" s="164" t="str">
        <f t="shared" si="62"/>
        <v/>
      </c>
      <c r="R349" s="60" t="str">
        <f t="shared" si="63"/>
        <v/>
      </c>
      <c r="S349" s="60" t="str">
        <f t="shared" si="64"/>
        <v/>
      </c>
      <c r="T349" s="61" t="str">
        <f t="shared" si="65"/>
        <v/>
      </c>
      <c r="U349" s="61" t="str">
        <f t="shared" si="66"/>
        <v/>
      </c>
      <c r="V349" s="183" t="str">
        <f t="shared" si="68"/>
        <v/>
      </c>
      <c r="W349" s="183" t="str">
        <f t="shared" si="69"/>
        <v/>
      </c>
      <c r="X349" s="61" t="str">
        <f t="shared" si="70"/>
        <v/>
      </c>
      <c r="Y349" s="61" t="str">
        <f t="shared" si="71"/>
        <v/>
      </c>
      <c r="Z349" s="118" t="str">
        <f t="shared" si="72"/>
        <v/>
      </c>
      <c r="AA349" s="62" t="str">
        <f t="shared" si="73"/>
        <v/>
      </c>
      <c r="AB349" s="119" t="str">
        <f>IF(A349&lt;&gt;"", IF(P349&lt;&gt;0,SUMIFS(node!$J$2:$J$1000, node!$C$2:$C$1000,"="&amp;A349)/P349,0), "")</f>
        <v/>
      </c>
      <c r="AC349" s="81" t="str">
        <f>IF(A349&lt;&gt;"", IF(P349&lt;&gt;0,SUMIFS(node!$K$2:$K$1000, node!$C$2:$C$1000,"="&amp;A349)/P349,0), "")</f>
        <v/>
      </c>
      <c r="AD349" s="82" t="str">
        <f>IF(A349&lt;&gt;"", SUMIFS(node!$L$2:$L$1000, node!$C$2:$C$1000,"="&amp;A349), "")</f>
        <v/>
      </c>
      <c r="AE349" s="87" t="str">
        <f>IF(A349&lt;&gt;"", SUMIFS(node!$M$2:$M$1000, node!$C$2:$C$1000,"="&amp;A349), "")</f>
        <v/>
      </c>
    </row>
    <row r="350" spans="1:31" ht="15.75" customHeight="1" x14ac:dyDescent="0.25">
      <c r="A350" s="71" t="str">
        <f>IF(ISNONTEXT(node_raw[[#This Row],[Column2]]), "", node_raw[[#This Row],[Column2]])</f>
        <v/>
      </c>
      <c r="B350" s="108" t="str">
        <f>IF(A350&lt;&gt;"", VLOOKUP(A350, node!$C$2:$D$1000, 2, FALSE), "")</f>
        <v/>
      </c>
      <c r="C350" s="109" t="str">
        <f>IF(A350&lt;&gt;"", VLOOKUP(A350, node!$C$2:$E$1000, 3, FALSE), "")</f>
        <v/>
      </c>
      <c r="D350" s="110" t="str">
        <f>IF(A350&lt;&gt;"",COUNTIFS(node!$C$2:$C$1000,"="&amp;A350, node!$C$2:$C$1000,"&lt;&gt;"&amp;""),"")</f>
        <v/>
      </c>
      <c r="E350" s="111" t="str">
        <f>IF(A350&lt;&gt;"",SUMIFS(node!$F$2:$F$500, node!$C$2:$C$500,"="&amp;A350, node!$C$2:$C$500,"&lt;&gt;"&amp;"")/(B350*D350),"")</f>
        <v/>
      </c>
      <c r="F350" s="112" t="str">
        <f>IF(A350&lt;&gt;"",SUMIFS(node!$H$2:$H$500, node!$C$2:$C$500,"="&amp;A350, node!$C$2:$C$500,"&lt;&gt;"&amp;"")/(C350*D350),"")</f>
        <v/>
      </c>
      <c r="G350" s="179" t="str">
        <f>IF(A350&lt;&gt;"",SUMIFS(deployment!$F$4:$F$502, deployment!$D$4:$D$502,"="&amp;A350, deployment!$D$4:$D$502,"&lt;&gt;"&amp;""),"")</f>
        <v/>
      </c>
      <c r="H350" s="181" t="str">
        <f>IF(A350&lt;&gt;"",SUMIFS(deployment!$G$4:$G$502, deployment!$D$4:$D$502,"="&amp;A350, deployment!$D$4:$D$502,"&lt;&gt;"&amp;""),"")</f>
        <v/>
      </c>
      <c r="I350" s="113" t="str">
        <f>IF(A350&lt;&gt;"",SUMIFS(deployment!$H$4:$H$502, deployment!$D$4:$D$502,"="&amp;A350, deployment!$D$4:$D$502,"&lt;&gt;"&amp;""),"")</f>
        <v/>
      </c>
      <c r="J350" s="114" t="str">
        <f>IF(A350&lt;&gt;"",SUMIFS(deployment!$I$4:$I$502, deployment!$D$4:$D$502,"="&amp;A350, deployment!$D$4:$D$502,"&lt;&gt;"&amp;""),"")</f>
        <v/>
      </c>
      <c r="K350" s="182" t="str">
        <f>IF(A350&lt;&gt;"",SUMIFS(deployment!$J$4:$J$1002, deployment!$D$4:$D$1002,"="&amp;A350, deployment!$D$4:$D$1002,"&lt;&gt;"&amp;"", deployment!$C$4:$C$1002, "&lt;&gt;* )")+SUMIFS(namespace!$G$4:$G$1002, namespace!$B$4:$B$1002,"="&amp;A350, namespace!$B$4:$B$1002,"&lt;&gt;"&amp;""),"")</f>
        <v/>
      </c>
      <c r="L350" s="182" t="str">
        <f>IF(A350&lt;&gt;"",SUMIFS(deployment!$K$4:$K$1002, deployment!$D$4:$D$1002,"="&amp;A350, deployment!$D$4:$D$1002,"&lt;&gt;"&amp;"", deployment!$C$4:$C$1002, "&lt;&gt;* )")+SUMIFS(namespace!$H$4:$H$1002, namespace!$B$4:$B$1002,"="&amp;A350, namespace!$B$4:$B$1002,"&lt;&gt;"&amp;""),"")</f>
        <v/>
      </c>
      <c r="M350" s="115" t="str">
        <f>IF(A350&lt;&gt;"",SUMIFS(deployment!$L$4:$L$1002, deployment!$D$4:$D$1002,"="&amp;A350, deployment!$D$4:$D$1002,"&lt;&gt;"&amp;"", deployment!$C$4:$C$1002, "&lt;&gt;* )")+SUMIFS(namespace!$I$4:$I$1002, namespace!$B$4:$B$1002,"="&amp;A350, namespace!$B$4:$B$1002,"&lt;&gt;"&amp;""),"")</f>
        <v/>
      </c>
      <c r="N350" s="115" t="str">
        <f>IF(A350&lt;&gt;"",SUMIFS(deployment!$M$4:$M$1002, deployment!$D$4:$D$1002,"="&amp;A350, deployment!$D$4:$D$1002,"&lt;&gt;"&amp;"", deployment!$C$4:$C$1002, "&lt;&gt;* )")+SUMIFS(namespace!$J$4:$J$1002, namespace!$B$4:$B$1002,"="&amp;A350, namespace!$B$4:$B$1002,"&lt;&gt;"&amp;""),"")</f>
        <v/>
      </c>
      <c r="O350" s="116" t="str">
        <f t="shared" si="67"/>
        <v/>
      </c>
      <c r="P350" s="63"/>
      <c r="Q350" s="164" t="str">
        <f t="shared" si="62"/>
        <v/>
      </c>
      <c r="R350" s="60" t="str">
        <f t="shared" si="63"/>
        <v/>
      </c>
      <c r="S350" s="60" t="str">
        <f t="shared" si="64"/>
        <v/>
      </c>
      <c r="T350" s="61" t="str">
        <f t="shared" si="65"/>
        <v/>
      </c>
      <c r="U350" s="61" t="str">
        <f t="shared" si="66"/>
        <v/>
      </c>
      <c r="V350" s="183" t="str">
        <f t="shared" si="68"/>
        <v/>
      </c>
      <c r="W350" s="183" t="str">
        <f t="shared" si="69"/>
        <v/>
      </c>
      <c r="X350" s="61" t="str">
        <f t="shared" si="70"/>
        <v/>
      </c>
      <c r="Y350" s="61" t="str">
        <f t="shared" si="71"/>
        <v/>
      </c>
      <c r="Z350" s="118" t="str">
        <f t="shared" si="72"/>
        <v/>
      </c>
      <c r="AA350" s="62" t="str">
        <f t="shared" si="73"/>
        <v/>
      </c>
      <c r="AB350" s="119" t="str">
        <f>IF(A350&lt;&gt;"", IF(P350&lt;&gt;0,SUMIFS(node!$J$2:$J$1000, node!$C$2:$C$1000,"="&amp;A350)/P350,0), "")</f>
        <v/>
      </c>
      <c r="AC350" s="81" t="str">
        <f>IF(A350&lt;&gt;"", IF(P350&lt;&gt;0,SUMIFS(node!$K$2:$K$1000, node!$C$2:$C$1000,"="&amp;A350)/P350,0), "")</f>
        <v/>
      </c>
      <c r="AD350" s="82" t="str">
        <f>IF(A350&lt;&gt;"", SUMIFS(node!$L$2:$L$1000, node!$C$2:$C$1000,"="&amp;A350), "")</f>
        <v/>
      </c>
      <c r="AE350" s="87" t="str">
        <f>IF(A350&lt;&gt;"", SUMIFS(node!$M$2:$M$1000, node!$C$2:$C$1000,"="&amp;A350), "")</f>
        <v/>
      </c>
    </row>
    <row r="351" spans="1:31" ht="15.75" customHeight="1" x14ac:dyDescent="0.25">
      <c r="A351" s="71" t="str">
        <f>IF(ISNONTEXT(node_raw[[#This Row],[Column2]]), "", node_raw[[#This Row],[Column2]])</f>
        <v/>
      </c>
      <c r="B351" s="108" t="str">
        <f>IF(A351&lt;&gt;"", VLOOKUP(A351, node!$C$2:$D$1000, 2, FALSE), "")</f>
        <v/>
      </c>
      <c r="C351" s="109" t="str">
        <f>IF(A351&lt;&gt;"", VLOOKUP(A351, node!$C$2:$E$1000, 3, FALSE), "")</f>
        <v/>
      </c>
      <c r="D351" s="110" t="str">
        <f>IF(A351&lt;&gt;"",COUNTIFS(node!$C$2:$C$1000,"="&amp;A351, node!$C$2:$C$1000,"&lt;&gt;"&amp;""),"")</f>
        <v/>
      </c>
      <c r="E351" s="111" t="str">
        <f>IF(A351&lt;&gt;"",SUMIFS(node!$F$2:$F$500, node!$C$2:$C$500,"="&amp;A351, node!$C$2:$C$500,"&lt;&gt;"&amp;"")/(B351*D351),"")</f>
        <v/>
      </c>
      <c r="F351" s="112" t="str">
        <f>IF(A351&lt;&gt;"",SUMIFS(node!$H$2:$H$500, node!$C$2:$C$500,"="&amp;A351, node!$C$2:$C$500,"&lt;&gt;"&amp;"")/(C351*D351),"")</f>
        <v/>
      </c>
      <c r="G351" s="179" t="str">
        <f>IF(A351&lt;&gt;"",SUMIFS(deployment!$F$4:$F$502, deployment!$D$4:$D$502,"="&amp;A351, deployment!$D$4:$D$502,"&lt;&gt;"&amp;""),"")</f>
        <v/>
      </c>
      <c r="H351" s="181" t="str">
        <f>IF(A351&lt;&gt;"",SUMIFS(deployment!$G$4:$G$502, deployment!$D$4:$D$502,"="&amp;A351, deployment!$D$4:$D$502,"&lt;&gt;"&amp;""),"")</f>
        <v/>
      </c>
      <c r="I351" s="113" t="str">
        <f>IF(A351&lt;&gt;"",SUMIFS(deployment!$H$4:$H$502, deployment!$D$4:$D$502,"="&amp;A351, deployment!$D$4:$D$502,"&lt;&gt;"&amp;""),"")</f>
        <v/>
      </c>
      <c r="J351" s="114" t="str">
        <f>IF(A351&lt;&gt;"",SUMIFS(deployment!$I$4:$I$502, deployment!$D$4:$D$502,"="&amp;A351, deployment!$D$4:$D$502,"&lt;&gt;"&amp;""),"")</f>
        <v/>
      </c>
      <c r="K351" s="182" t="str">
        <f>IF(A351&lt;&gt;"",SUMIFS(deployment!$J$4:$J$1002, deployment!$D$4:$D$1002,"="&amp;A351, deployment!$D$4:$D$1002,"&lt;&gt;"&amp;"", deployment!$C$4:$C$1002, "&lt;&gt;* )")+SUMIFS(namespace!$G$4:$G$1002, namespace!$B$4:$B$1002,"="&amp;A351, namespace!$B$4:$B$1002,"&lt;&gt;"&amp;""),"")</f>
        <v/>
      </c>
      <c r="L351" s="182" t="str">
        <f>IF(A351&lt;&gt;"",SUMIFS(deployment!$K$4:$K$1002, deployment!$D$4:$D$1002,"="&amp;A351, deployment!$D$4:$D$1002,"&lt;&gt;"&amp;"", deployment!$C$4:$C$1002, "&lt;&gt;* )")+SUMIFS(namespace!$H$4:$H$1002, namespace!$B$4:$B$1002,"="&amp;A351, namespace!$B$4:$B$1002,"&lt;&gt;"&amp;""),"")</f>
        <v/>
      </c>
      <c r="M351" s="115" t="str">
        <f>IF(A351&lt;&gt;"",SUMIFS(deployment!$L$4:$L$1002, deployment!$D$4:$D$1002,"="&amp;A351, deployment!$D$4:$D$1002,"&lt;&gt;"&amp;"", deployment!$C$4:$C$1002, "&lt;&gt;* )")+SUMIFS(namespace!$I$4:$I$1002, namespace!$B$4:$B$1002,"="&amp;A351, namespace!$B$4:$B$1002,"&lt;&gt;"&amp;""),"")</f>
        <v/>
      </c>
      <c r="N351" s="115" t="str">
        <f>IF(A351&lt;&gt;"",SUMIFS(deployment!$M$4:$M$1002, deployment!$D$4:$D$1002,"="&amp;A351, deployment!$D$4:$D$1002,"&lt;&gt;"&amp;"", deployment!$C$4:$C$1002, "&lt;&gt;* )")+SUMIFS(namespace!$J$4:$J$1002, namespace!$B$4:$B$1002,"="&amp;A351, namespace!$B$4:$B$1002,"&lt;&gt;"&amp;""),"")</f>
        <v/>
      </c>
      <c r="O351" s="116" t="str">
        <f t="shared" si="67"/>
        <v/>
      </c>
      <c r="P351" s="63"/>
      <c r="Q351" s="164" t="str">
        <f t="shared" si="62"/>
        <v/>
      </c>
      <c r="R351" s="60" t="str">
        <f t="shared" si="63"/>
        <v/>
      </c>
      <c r="S351" s="60" t="str">
        <f t="shared" si="64"/>
        <v/>
      </c>
      <c r="T351" s="61" t="str">
        <f t="shared" si="65"/>
        <v/>
      </c>
      <c r="U351" s="61" t="str">
        <f t="shared" si="66"/>
        <v/>
      </c>
      <c r="V351" s="183" t="str">
        <f t="shared" si="68"/>
        <v/>
      </c>
      <c r="W351" s="183" t="str">
        <f t="shared" si="69"/>
        <v/>
      </c>
      <c r="X351" s="61" t="str">
        <f t="shared" si="70"/>
        <v/>
      </c>
      <c r="Y351" s="61" t="str">
        <f t="shared" si="71"/>
        <v/>
      </c>
      <c r="Z351" s="118" t="str">
        <f t="shared" si="72"/>
        <v/>
      </c>
      <c r="AA351" s="62" t="str">
        <f t="shared" si="73"/>
        <v/>
      </c>
      <c r="AB351" s="119" t="str">
        <f>IF(A351&lt;&gt;"", IF(P351&lt;&gt;0,SUMIFS(node!$J$2:$J$1000, node!$C$2:$C$1000,"="&amp;A351)/P351,0), "")</f>
        <v/>
      </c>
      <c r="AC351" s="81" t="str">
        <f>IF(A351&lt;&gt;"", IF(P351&lt;&gt;0,SUMIFS(node!$K$2:$K$1000, node!$C$2:$C$1000,"="&amp;A351)/P351,0), "")</f>
        <v/>
      </c>
      <c r="AD351" s="82" t="str">
        <f>IF(A351&lt;&gt;"", SUMIFS(node!$L$2:$L$1000, node!$C$2:$C$1000,"="&amp;A351), "")</f>
        <v/>
      </c>
      <c r="AE351" s="87" t="str">
        <f>IF(A351&lt;&gt;"", SUMIFS(node!$M$2:$M$1000, node!$C$2:$C$1000,"="&amp;A351), "")</f>
        <v/>
      </c>
    </row>
    <row r="352" spans="1:31" ht="15.75" customHeight="1" x14ac:dyDescent="0.25">
      <c r="A352" s="71" t="str">
        <f>IF(ISNONTEXT(node_raw[[#This Row],[Column2]]), "", node_raw[[#This Row],[Column2]])</f>
        <v/>
      </c>
      <c r="B352" s="108" t="str">
        <f>IF(A352&lt;&gt;"", VLOOKUP(A352, node!$C$2:$D$1000, 2, FALSE), "")</f>
        <v/>
      </c>
      <c r="C352" s="109" t="str">
        <f>IF(A352&lt;&gt;"", VLOOKUP(A352, node!$C$2:$E$1000, 3, FALSE), "")</f>
        <v/>
      </c>
      <c r="D352" s="110" t="str">
        <f>IF(A352&lt;&gt;"",COUNTIFS(node!$C$2:$C$1000,"="&amp;A352, node!$C$2:$C$1000,"&lt;&gt;"&amp;""),"")</f>
        <v/>
      </c>
      <c r="E352" s="111" t="str">
        <f>IF(A352&lt;&gt;"",SUMIFS(node!$F$2:$F$500, node!$C$2:$C$500,"="&amp;A352, node!$C$2:$C$500,"&lt;&gt;"&amp;"")/(B352*D352),"")</f>
        <v/>
      </c>
      <c r="F352" s="112" t="str">
        <f>IF(A352&lt;&gt;"",SUMIFS(node!$H$2:$H$500, node!$C$2:$C$500,"="&amp;A352, node!$C$2:$C$500,"&lt;&gt;"&amp;"")/(C352*D352),"")</f>
        <v/>
      </c>
      <c r="G352" s="179" t="str">
        <f>IF(A352&lt;&gt;"",SUMIFS(deployment!$F$4:$F$502, deployment!$D$4:$D$502,"="&amp;A352, deployment!$D$4:$D$502,"&lt;&gt;"&amp;""),"")</f>
        <v/>
      </c>
      <c r="H352" s="181" t="str">
        <f>IF(A352&lt;&gt;"",SUMIFS(deployment!$G$4:$G$502, deployment!$D$4:$D$502,"="&amp;A352, deployment!$D$4:$D$502,"&lt;&gt;"&amp;""),"")</f>
        <v/>
      </c>
      <c r="I352" s="113" t="str">
        <f>IF(A352&lt;&gt;"",SUMIFS(deployment!$H$4:$H$502, deployment!$D$4:$D$502,"="&amp;A352, deployment!$D$4:$D$502,"&lt;&gt;"&amp;""),"")</f>
        <v/>
      </c>
      <c r="J352" s="114" t="str">
        <f>IF(A352&lt;&gt;"",SUMIFS(deployment!$I$4:$I$502, deployment!$D$4:$D$502,"="&amp;A352, deployment!$D$4:$D$502,"&lt;&gt;"&amp;""),"")</f>
        <v/>
      </c>
      <c r="K352" s="182" t="str">
        <f>IF(A352&lt;&gt;"",SUMIFS(deployment!$J$4:$J$1002, deployment!$D$4:$D$1002,"="&amp;A352, deployment!$D$4:$D$1002,"&lt;&gt;"&amp;"", deployment!$C$4:$C$1002, "&lt;&gt;* )")+SUMIFS(namespace!$G$4:$G$1002, namespace!$B$4:$B$1002,"="&amp;A352, namespace!$B$4:$B$1002,"&lt;&gt;"&amp;""),"")</f>
        <v/>
      </c>
      <c r="L352" s="182" t="str">
        <f>IF(A352&lt;&gt;"",SUMIFS(deployment!$K$4:$K$1002, deployment!$D$4:$D$1002,"="&amp;A352, deployment!$D$4:$D$1002,"&lt;&gt;"&amp;"", deployment!$C$4:$C$1002, "&lt;&gt;* )")+SUMIFS(namespace!$H$4:$H$1002, namespace!$B$4:$B$1002,"="&amp;A352, namespace!$B$4:$B$1002,"&lt;&gt;"&amp;""),"")</f>
        <v/>
      </c>
      <c r="M352" s="115" t="str">
        <f>IF(A352&lt;&gt;"",SUMIFS(deployment!$L$4:$L$1002, deployment!$D$4:$D$1002,"="&amp;A352, deployment!$D$4:$D$1002,"&lt;&gt;"&amp;"", deployment!$C$4:$C$1002, "&lt;&gt;* )")+SUMIFS(namespace!$I$4:$I$1002, namespace!$B$4:$B$1002,"="&amp;A352, namespace!$B$4:$B$1002,"&lt;&gt;"&amp;""),"")</f>
        <v/>
      </c>
      <c r="N352" s="115" t="str">
        <f>IF(A352&lt;&gt;"",SUMIFS(deployment!$M$4:$M$1002, deployment!$D$4:$D$1002,"="&amp;A352, deployment!$D$4:$D$1002,"&lt;&gt;"&amp;"", deployment!$C$4:$C$1002, "&lt;&gt;* )")+SUMIFS(namespace!$J$4:$J$1002, namespace!$B$4:$B$1002,"="&amp;A352, namespace!$B$4:$B$1002,"&lt;&gt;"&amp;""),"")</f>
        <v/>
      </c>
      <c r="O352" s="116" t="str">
        <f t="shared" si="67"/>
        <v/>
      </c>
      <c r="P352" s="63"/>
      <c r="Q352" s="164" t="str">
        <f t="shared" si="62"/>
        <v/>
      </c>
      <c r="R352" s="60" t="str">
        <f t="shared" si="63"/>
        <v/>
      </c>
      <c r="S352" s="60" t="str">
        <f t="shared" si="64"/>
        <v/>
      </c>
      <c r="T352" s="61" t="str">
        <f t="shared" si="65"/>
        <v/>
      </c>
      <c r="U352" s="61" t="str">
        <f t="shared" si="66"/>
        <v/>
      </c>
      <c r="V352" s="183" t="str">
        <f t="shared" si="68"/>
        <v/>
      </c>
      <c r="W352" s="183" t="str">
        <f t="shared" si="69"/>
        <v/>
      </c>
      <c r="X352" s="61" t="str">
        <f t="shared" si="70"/>
        <v/>
      </c>
      <c r="Y352" s="61" t="str">
        <f t="shared" si="71"/>
        <v/>
      </c>
      <c r="Z352" s="118" t="str">
        <f t="shared" si="72"/>
        <v/>
      </c>
      <c r="AA352" s="62" t="str">
        <f t="shared" si="73"/>
        <v/>
      </c>
      <c r="AB352" s="119" t="str">
        <f>IF(A352&lt;&gt;"", IF(P352&lt;&gt;0,SUMIFS(node!$J$2:$J$1000, node!$C$2:$C$1000,"="&amp;A352)/P352,0), "")</f>
        <v/>
      </c>
      <c r="AC352" s="81" t="str">
        <f>IF(A352&lt;&gt;"", IF(P352&lt;&gt;0,SUMIFS(node!$K$2:$K$1000, node!$C$2:$C$1000,"="&amp;A352)/P352,0), "")</f>
        <v/>
      </c>
      <c r="AD352" s="82" t="str">
        <f>IF(A352&lt;&gt;"", SUMIFS(node!$L$2:$L$1000, node!$C$2:$C$1000,"="&amp;A352), "")</f>
        <v/>
      </c>
      <c r="AE352" s="87" t="str">
        <f>IF(A352&lt;&gt;"", SUMIFS(node!$M$2:$M$1000, node!$C$2:$C$1000,"="&amp;A352), "")</f>
        <v/>
      </c>
    </row>
    <row r="353" spans="1:31" ht="15.75" customHeight="1" x14ac:dyDescent="0.25">
      <c r="A353" s="71" t="str">
        <f>IF(ISNONTEXT(node_raw[[#This Row],[Column2]]), "", node_raw[[#This Row],[Column2]])</f>
        <v/>
      </c>
      <c r="B353" s="108" t="str">
        <f>IF(A353&lt;&gt;"", VLOOKUP(A353, node!$C$2:$D$1000, 2, FALSE), "")</f>
        <v/>
      </c>
      <c r="C353" s="109" t="str">
        <f>IF(A353&lt;&gt;"", VLOOKUP(A353, node!$C$2:$E$1000, 3, FALSE), "")</f>
        <v/>
      </c>
      <c r="D353" s="110" t="str">
        <f>IF(A353&lt;&gt;"",COUNTIFS(node!$C$2:$C$1000,"="&amp;A353, node!$C$2:$C$1000,"&lt;&gt;"&amp;""),"")</f>
        <v/>
      </c>
      <c r="E353" s="111" t="str">
        <f>IF(A353&lt;&gt;"",SUMIFS(node!$F$2:$F$500, node!$C$2:$C$500,"="&amp;A353, node!$C$2:$C$500,"&lt;&gt;"&amp;"")/(B353*D353),"")</f>
        <v/>
      </c>
      <c r="F353" s="112" t="str">
        <f>IF(A353&lt;&gt;"",SUMIFS(node!$H$2:$H$500, node!$C$2:$C$500,"="&amp;A353, node!$C$2:$C$500,"&lt;&gt;"&amp;"")/(C353*D353),"")</f>
        <v/>
      </c>
      <c r="G353" s="179" t="str">
        <f>IF(A353&lt;&gt;"",SUMIFS(deployment!$F$4:$F$502, deployment!$D$4:$D$502,"="&amp;A353, deployment!$D$4:$D$502,"&lt;&gt;"&amp;""),"")</f>
        <v/>
      </c>
      <c r="H353" s="181" t="str">
        <f>IF(A353&lt;&gt;"",SUMIFS(deployment!$G$4:$G$502, deployment!$D$4:$D$502,"="&amp;A353, deployment!$D$4:$D$502,"&lt;&gt;"&amp;""),"")</f>
        <v/>
      </c>
      <c r="I353" s="113" t="str">
        <f>IF(A353&lt;&gt;"",SUMIFS(deployment!$H$4:$H$502, deployment!$D$4:$D$502,"="&amp;A353, deployment!$D$4:$D$502,"&lt;&gt;"&amp;""),"")</f>
        <v/>
      </c>
      <c r="J353" s="114" t="str">
        <f>IF(A353&lt;&gt;"",SUMIFS(deployment!$I$4:$I$502, deployment!$D$4:$D$502,"="&amp;A353, deployment!$D$4:$D$502,"&lt;&gt;"&amp;""),"")</f>
        <v/>
      </c>
      <c r="K353" s="182" t="str">
        <f>IF(A353&lt;&gt;"",SUMIFS(deployment!$J$4:$J$1002, deployment!$D$4:$D$1002,"="&amp;A353, deployment!$D$4:$D$1002,"&lt;&gt;"&amp;"", deployment!$C$4:$C$1002, "&lt;&gt;* )")+SUMIFS(namespace!$G$4:$G$1002, namespace!$B$4:$B$1002,"="&amp;A353, namespace!$B$4:$B$1002,"&lt;&gt;"&amp;""),"")</f>
        <v/>
      </c>
      <c r="L353" s="182" t="str">
        <f>IF(A353&lt;&gt;"",SUMIFS(deployment!$K$4:$K$1002, deployment!$D$4:$D$1002,"="&amp;A353, deployment!$D$4:$D$1002,"&lt;&gt;"&amp;"", deployment!$C$4:$C$1002, "&lt;&gt;* )")+SUMIFS(namespace!$H$4:$H$1002, namespace!$B$4:$B$1002,"="&amp;A353, namespace!$B$4:$B$1002,"&lt;&gt;"&amp;""),"")</f>
        <v/>
      </c>
      <c r="M353" s="115" t="str">
        <f>IF(A353&lt;&gt;"",SUMIFS(deployment!$L$4:$L$1002, deployment!$D$4:$D$1002,"="&amp;A353, deployment!$D$4:$D$1002,"&lt;&gt;"&amp;"", deployment!$C$4:$C$1002, "&lt;&gt;* )")+SUMIFS(namespace!$I$4:$I$1002, namespace!$B$4:$B$1002,"="&amp;A353, namespace!$B$4:$B$1002,"&lt;&gt;"&amp;""),"")</f>
        <v/>
      </c>
      <c r="N353" s="115" t="str">
        <f>IF(A353&lt;&gt;"",SUMIFS(deployment!$M$4:$M$1002, deployment!$D$4:$D$1002,"="&amp;A353, deployment!$D$4:$D$1002,"&lt;&gt;"&amp;"", deployment!$C$4:$C$1002, "&lt;&gt;* )")+SUMIFS(namespace!$J$4:$J$1002, namespace!$B$4:$B$1002,"="&amp;A353, namespace!$B$4:$B$1002,"&lt;&gt;"&amp;""),"")</f>
        <v/>
      </c>
      <c r="O353" s="116" t="str">
        <f t="shared" si="67"/>
        <v/>
      </c>
      <c r="P353" s="63"/>
      <c r="Q353" s="164" t="str">
        <f t="shared" si="62"/>
        <v/>
      </c>
      <c r="R353" s="60" t="str">
        <f t="shared" si="63"/>
        <v/>
      </c>
      <c r="S353" s="60" t="str">
        <f t="shared" si="64"/>
        <v/>
      </c>
      <c r="T353" s="61" t="str">
        <f t="shared" si="65"/>
        <v/>
      </c>
      <c r="U353" s="61" t="str">
        <f t="shared" si="66"/>
        <v/>
      </c>
      <c r="V353" s="183" t="str">
        <f t="shared" si="68"/>
        <v/>
      </c>
      <c r="W353" s="183" t="str">
        <f t="shared" si="69"/>
        <v/>
      </c>
      <c r="X353" s="61" t="str">
        <f t="shared" si="70"/>
        <v/>
      </c>
      <c r="Y353" s="61" t="str">
        <f t="shared" si="71"/>
        <v/>
      </c>
      <c r="Z353" s="118" t="str">
        <f t="shared" si="72"/>
        <v/>
      </c>
      <c r="AA353" s="62" t="str">
        <f t="shared" si="73"/>
        <v/>
      </c>
      <c r="AB353" s="119" t="str">
        <f>IF(A353&lt;&gt;"", IF(P353&lt;&gt;0,SUMIFS(node!$J$2:$J$1000, node!$C$2:$C$1000,"="&amp;A353)/P353,0), "")</f>
        <v/>
      </c>
      <c r="AC353" s="81" t="str">
        <f>IF(A353&lt;&gt;"", IF(P353&lt;&gt;0,SUMIFS(node!$K$2:$K$1000, node!$C$2:$C$1000,"="&amp;A353)/P353,0), "")</f>
        <v/>
      </c>
      <c r="AD353" s="82" t="str">
        <f>IF(A353&lt;&gt;"", SUMIFS(node!$L$2:$L$1000, node!$C$2:$C$1000,"="&amp;A353), "")</f>
        <v/>
      </c>
      <c r="AE353" s="87" t="str">
        <f>IF(A353&lt;&gt;"", SUMIFS(node!$M$2:$M$1000, node!$C$2:$C$1000,"="&amp;A353), "")</f>
        <v/>
      </c>
    </row>
    <row r="354" spans="1:31" ht="15.75" customHeight="1" x14ac:dyDescent="0.25">
      <c r="A354" s="71" t="str">
        <f>IF(ISNONTEXT(node_raw[[#This Row],[Column2]]), "", node_raw[[#This Row],[Column2]])</f>
        <v/>
      </c>
      <c r="B354" s="108" t="str">
        <f>IF(A354&lt;&gt;"", VLOOKUP(A354, node!$C$2:$D$1000, 2, FALSE), "")</f>
        <v/>
      </c>
      <c r="C354" s="109" t="str">
        <f>IF(A354&lt;&gt;"", VLOOKUP(A354, node!$C$2:$E$1000, 3, FALSE), "")</f>
        <v/>
      </c>
      <c r="D354" s="110" t="str">
        <f>IF(A354&lt;&gt;"",COUNTIFS(node!$C$2:$C$1000,"="&amp;A354, node!$C$2:$C$1000,"&lt;&gt;"&amp;""),"")</f>
        <v/>
      </c>
      <c r="E354" s="111" t="str">
        <f>IF(A354&lt;&gt;"",SUMIFS(node!$F$2:$F$500, node!$C$2:$C$500,"="&amp;A354, node!$C$2:$C$500,"&lt;&gt;"&amp;"")/(B354*D354),"")</f>
        <v/>
      </c>
      <c r="F354" s="112" t="str">
        <f>IF(A354&lt;&gt;"",SUMIFS(node!$H$2:$H$500, node!$C$2:$C$500,"="&amp;A354, node!$C$2:$C$500,"&lt;&gt;"&amp;"")/(C354*D354),"")</f>
        <v/>
      </c>
      <c r="G354" s="179" t="str">
        <f>IF(A354&lt;&gt;"",SUMIFS(deployment!$F$4:$F$502, deployment!$D$4:$D$502,"="&amp;A354, deployment!$D$4:$D$502,"&lt;&gt;"&amp;""),"")</f>
        <v/>
      </c>
      <c r="H354" s="181" t="str">
        <f>IF(A354&lt;&gt;"",SUMIFS(deployment!$G$4:$G$502, deployment!$D$4:$D$502,"="&amp;A354, deployment!$D$4:$D$502,"&lt;&gt;"&amp;""),"")</f>
        <v/>
      </c>
      <c r="I354" s="113" t="str">
        <f>IF(A354&lt;&gt;"",SUMIFS(deployment!$H$4:$H$502, deployment!$D$4:$D$502,"="&amp;A354, deployment!$D$4:$D$502,"&lt;&gt;"&amp;""),"")</f>
        <v/>
      </c>
      <c r="J354" s="114" t="str">
        <f>IF(A354&lt;&gt;"",SUMIFS(deployment!$I$4:$I$502, deployment!$D$4:$D$502,"="&amp;A354, deployment!$D$4:$D$502,"&lt;&gt;"&amp;""),"")</f>
        <v/>
      </c>
      <c r="K354" s="182" t="str">
        <f>IF(A354&lt;&gt;"",SUMIFS(deployment!$J$4:$J$1002, deployment!$D$4:$D$1002,"="&amp;A354, deployment!$D$4:$D$1002,"&lt;&gt;"&amp;"", deployment!$C$4:$C$1002, "&lt;&gt;* )")+SUMIFS(namespace!$G$4:$G$1002, namespace!$B$4:$B$1002,"="&amp;A354, namespace!$B$4:$B$1002,"&lt;&gt;"&amp;""),"")</f>
        <v/>
      </c>
      <c r="L354" s="182" t="str">
        <f>IF(A354&lt;&gt;"",SUMIFS(deployment!$K$4:$K$1002, deployment!$D$4:$D$1002,"="&amp;A354, deployment!$D$4:$D$1002,"&lt;&gt;"&amp;"", deployment!$C$4:$C$1002, "&lt;&gt;* )")+SUMIFS(namespace!$H$4:$H$1002, namespace!$B$4:$B$1002,"="&amp;A354, namespace!$B$4:$B$1002,"&lt;&gt;"&amp;""),"")</f>
        <v/>
      </c>
      <c r="M354" s="115" t="str">
        <f>IF(A354&lt;&gt;"",SUMIFS(deployment!$L$4:$L$1002, deployment!$D$4:$D$1002,"="&amp;A354, deployment!$D$4:$D$1002,"&lt;&gt;"&amp;"", deployment!$C$4:$C$1002, "&lt;&gt;* )")+SUMIFS(namespace!$I$4:$I$1002, namespace!$B$4:$B$1002,"="&amp;A354, namespace!$B$4:$B$1002,"&lt;&gt;"&amp;""),"")</f>
        <v/>
      </c>
      <c r="N354" s="115" t="str">
        <f>IF(A354&lt;&gt;"",SUMIFS(deployment!$M$4:$M$1002, deployment!$D$4:$D$1002,"="&amp;A354, deployment!$D$4:$D$1002,"&lt;&gt;"&amp;"", deployment!$C$4:$C$1002, "&lt;&gt;* )")+SUMIFS(namespace!$J$4:$J$1002, namespace!$B$4:$B$1002,"="&amp;A354, namespace!$B$4:$B$1002,"&lt;&gt;"&amp;""),"")</f>
        <v/>
      </c>
      <c r="O354" s="116" t="str">
        <f t="shared" si="67"/>
        <v/>
      </c>
      <c r="P354" s="63"/>
      <c r="Q354" s="164" t="str">
        <f t="shared" si="62"/>
        <v/>
      </c>
      <c r="R354" s="60" t="str">
        <f t="shared" si="63"/>
        <v/>
      </c>
      <c r="S354" s="60" t="str">
        <f t="shared" si="64"/>
        <v/>
      </c>
      <c r="T354" s="61" t="str">
        <f t="shared" si="65"/>
        <v/>
      </c>
      <c r="U354" s="61" t="str">
        <f t="shared" si="66"/>
        <v/>
      </c>
      <c r="V354" s="183" t="str">
        <f t="shared" si="68"/>
        <v/>
      </c>
      <c r="W354" s="183" t="str">
        <f t="shared" si="69"/>
        <v/>
      </c>
      <c r="X354" s="61" t="str">
        <f t="shared" si="70"/>
        <v/>
      </c>
      <c r="Y354" s="61" t="str">
        <f t="shared" si="71"/>
        <v/>
      </c>
      <c r="Z354" s="118" t="str">
        <f t="shared" si="72"/>
        <v/>
      </c>
      <c r="AA354" s="62" t="str">
        <f t="shared" si="73"/>
        <v/>
      </c>
      <c r="AB354" s="119" t="str">
        <f>IF(A354&lt;&gt;"", IF(P354&lt;&gt;0,SUMIFS(node!$J$2:$J$1000, node!$C$2:$C$1000,"="&amp;A354)/P354,0), "")</f>
        <v/>
      </c>
      <c r="AC354" s="81" t="str">
        <f>IF(A354&lt;&gt;"", IF(P354&lt;&gt;0,SUMIFS(node!$K$2:$K$1000, node!$C$2:$C$1000,"="&amp;A354)/P354,0), "")</f>
        <v/>
      </c>
      <c r="AD354" s="82" t="str">
        <f>IF(A354&lt;&gt;"", SUMIFS(node!$L$2:$L$1000, node!$C$2:$C$1000,"="&amp;A354), "")</f>
        <v/>
      </c>
      <c r="AE354" s="87" t="str">
        <f>IF(A354&lt;&gt;"", SUMIFS(node!$M$2:$M$1000, node!$C$2:$C$1000,"="&amp;A354), "")</f>
        <v/>
      </c>
    </row>
    <row r="355" spans="1:31" ht="15.75" customHeight="1" x14ac:dyDescent="0.25">
      <c r="A355" s="71" t="str">
        <f>IF(ISNONTEXT(node_raw[[#This Row],[Column2]]), "", node_raw[[#This Row],[Column2]])</f>
        <v/>
      </c>
      <c r="B355" s="108" t="str">
        <f>IF(A355&lt;&gt;"", VLOOKUP(A355, node!$C$2:$D$1000, 2, FALSE), "")</f>
        <v/>
      </c>
      <c r="C355" s="109" t="str">
        <f>IF(A355&lt;&gt;"", VLOOKUP(A355, node!$C$2:$E$1000, 3, FALSE), "")</f>
        <v/>
      </c>
      <c r="D355" s="110" t="str">
        <f>IF(A355&lt;&gt;"",COUNTIFS(node!$C$2:$C$1000,"="&amp;A355, node!$C$2:$C$1000,"&lt;&gt;"&amp;""),"")</f>
        <v/>
      </c>
      <c r="E355" s="111" t="str">
        <f>IF(A355&lt;&gt;"",SUMIFS(node!$F$2:$F$500, node!$C$2:$C$500,"="&amp;A355, node!$C$2:$C$500,"&lt;&gt;"&amp;"")/(B355*D355),"")</f>
        <v/>
      </c>
      <c r="F355" s="112" t="str">
        <f>IF(A355&lt;&gt;"",SUMIFS(node!$H$2:$H$500, node!$C$2:$C$500,"="&amp;A355, node!$C$2:$C$500,"&lt;&gt;"&amp;"")/(C355*D355),"")</f>
        <v/>
      </c>
      <c r="G355" s="179" t="str">
        <f>IF(A355&lt;&gt;"",SUMIFS(deployment!$F$4:$F$502, deployment!$D$4:$D$502,"="&amp;A355, deployment!$D$4:$D$502,"&lt;&gt;"&amp;""),"")</f>
        <v/>
      </c>
      <c r="H355" s="181" t="str">
        <f>IF(A355&lt;&gt;"",SUMIFS(deployment!$G$4:$G$502, deployment!$D$4:$D$502,"="&amp;A355, deployment!$D$4:$D$502,"&lt;&gt;"&amp;""),"")</f>
        <v/>
      </c>
      <c r="I355" s="113" t="str">
        <f>IF(A355&lt;&gt;"",SUMIFS(deployment!$H$4:$H$502, deployment!$D$4:$D$502,"="&amp;A355, deployment!$D$4:$D$502,"&lt;&gt;"&amp;""),"")</f>
        <v/>
      </c>
      <c r="J355" s="114" t="str">
        <f>IF(A355&lt;&gt;"",SUMIFS(deployment!$I$4:$I$502, deployment!$D$4:$D$502,"="&amp;A355, deployment!$D$4:$D$502,"&lt;&gt;"&amp;""),"")</f>
        <v/>
      </c>
      <c r="K355" s="182" t="str">
        <f>IF(A355&lt;&gt;"",SUMIFS(deployment!$J$4:$J$1002, deployment!$D$4:$D$1002,"="&amp;A355, deployment!$D$4:$D$1002,"&lt;&gt;"&amp;"", deployment!$C$4:$C$1002, "&lt;&gt;* )")+SUMIFS(namespace!$G$4:$G$1002, namespace!$B$4:$B$1002,"="&amp;A355, namespace!$B$4:$B$1002,"&lt;&gt;"&amp;""),"")</f>
        <v/>
      </c>
      <c r="L355" s="182" t="str">
        <f>IF(A355&lt;&gt;"",SUMIFS(deployment!$K$4:$K$1002, deployment!$D$4:$D$1002,"="&amp;A355, deployment!$D$4:$D$1002,"&lt;&gt;"&amp;"", deployment!$C$4:$C$1002, "&lt;&gt;* )")+SUMIFS(namespace!$H$4:$H$1002, namespace!$B$4:$B$1002,"="&amp;A355, namespace!$B$4:$B$1002,"&lt;&gt;"&amp;""),"")</f>
        <v/>
      </c>
      <c r="M355" s="115" t="str">
        <f>IF(A355&lt;&gt;"",SUMIFS(deployment!$L$4:$L$1002, deployment!$D$4:$D$1002,"="&amp;A355, deployment!$D$4:$D$1002,"&lt;&gt;"&amp;"", deployment!$C$4:$C$1002, "&lt;&gt;* )")+SUMIFS(namespace!$I$4:$I$1002, namespace!$B$4:$B$1002,"="&amp;A355, namespace!$B$4:$B$1002,"&lt;&gt;"&amp;""),"")</f>
        <v/>
      </c>
      <c r="N355" s="115" t="str">
        <f>IF(A355&lt;&gt;"",SUMIFS(deployment!$M$4:$M$1002, deployment!$D$4:$D$1002,"="&amp;A355, deployment!$D$4:$D$1002,"&lt;&gt;"&amp;"", deployment!$C$4:$C$1002, "&lt;&gt;* )")+SUMIFS(namespace!$J$4:$J$1002, namespace!$B$4:$B$1002,"="&amp;A355, namespace!$B$4:$B$1002,"&lt;&gt;"&amp;""),"")</f>
        <v/>
      </c>
      <c r="O355" s="116" t="str">
        <f t="shared" si="67"/>
        <v/>
      </c>
      <c r="P355" s="63"/>
      <c r="Q355" s="164" t="str">
        <f t="shared" si="62"/>
        <v/>
      </c>
      <c r="R355" s="60" t="str">
        <f t="shared" si="63"/>
        <v/>
      </c>
      <c r="S355" s="60" t="str">
        <f t="shared" si="64"/>
        <v/>
      </c>
      <c r="T355" s="61" t="str">
        <f t="shared" si="65"/>
        <v/>
      </c>
      <c r="U355" s="61" t="str">
        <f t="shared" si="66"/>
        <v/>
      </c>
      <c r="V355" s="183" t="str">
        <f t="shared" si="68"/>
        <v/>
      </c>
      <c r="W355" s="183" t="str">
        <f t="shared" si="69"/>
        <v/>
      </c>
      <c r="X355" s="61" t="str">
        <f t="shared" si="70"/>
        <v/>
      </c>
      <c r="Y355" s="61" t="str">
        <f t="shared" si="71"/>
        <v/>
      </c>
      <c r="Z355" s="118" t="str">
        <f t="shared" si="72"/>
        <v/>
      </c>
      <c r="AA355" s="62" t="str">
        <f t="shared" si="73"/>
        <v/>
      </c>
      <c r="AB355" s="119" t="str">
        <f>IF(A355&lt;&gt;"", IF(P355&lt;&gt;0,SUMIFS(node!$J$2:$J$1000, node!$C$2:$C$1000,"="&amp;A355)/P355,0), "")</f>
        <v/>
      </c>
      <c r="AC355" s="81" t="str">
        <f>IF(A355&lt;&gt;"", IF(P355&lt;&gt;0,SUMIFS(node!$K$2:$K$1000, node!$C$2:$C$1000,"="&amp;A355)/P355,0), "")</f>
        <v/>
      </c>
      <c r="AD355" s="82" t="str">
        <f>IF(A355&lt;&gt;"", SUMIFS(node!$L$2:$L$1000, node!$C$2:$C$1000,"="&amp;A355), "")</f>
        <v/>
      </c>
      <c r="AE355" s="87" t="str">
        <f>IF(A355&lt;&gt;"", SUMIFS(node!$M$2:$M$1000, node!$C$2:$C$1000,"="&amp;A355), "")</f>
        <v/>
      </c>
    </row>
    <row r="356" spans="1:31" ht="15.75" customHeight="1" x14ac:dyDescent="0.25">
      <c r="A356" s="71" t="str">
        <f>IF(ISNONTEXT(node_raw[[#This Row],[Column2]]), "", node_raw[[#This Row],[Column2]])</f>
        <v/>
      </c>
      <c r="B356" s="108" t="str">
        <f>IF(A356&lt;&gt;"", VLOOKUP(A356, node!$C$2:$D$1000, 2, FALSE), "")</f>
        <v/>
      </c>
      <c r="C356" s="109" t="str">
        <f>IF(A356&lt;&gt;"", VLOOKUP(A356, node!$C$2:$E$1000, 3, FALSE), "")</f>
        <v/>
      </c>
      <c r="D356" s="110" t="str">
        <f>IF(A356&lt;&gt;"",COUNTIFS(node!$C$2:$C$1000,"="&amp;A356, node!$C$2:$C$1000,"&lt;&gt;"&amp;""),"")</f>
        <v/>
      </c>
      <c r="E356" s="111" t="str">
        <f>IF(A356&lt;&gt;"",SUMIFS(node!$F$2:$F$500, node!$C$2:$C$500,"="&amp;A356, node!$C$2:$C$500,"&lt;&gt;"&amp;"")/(B356*D356),"")</f>
        <v/>
      </c>
      <c r="F356" s="112" t="str">
        <f>IF(A356&lt;&gt;"",SUMIFS(node!$H$2:$H$500, node!$C$2:$C$500,"="&amp;A356, node!$C$2:$C$500,"&lt;&gt;"&amp;"")/(C356*D356),"")</f>
        <v/>
      </c>
      <c r="G356" s="179" t="str">
        <f>IF(A356&lt;&gt;"",SUMIFS(deployment!$F$4:$F$502, deployment!$D$4:$D$502,"="&amp;A356, deployment!$D$4:$D$502,"&lt;&gt;"&amp;""),"")</f>
        <v/>
      </c>
      <c r="H356" s="181" t="str">
        <f>IF(A356&lt;&gt;"",SUMIFS(deployment!$G$4:$G$502, deployment!$D$4:$D$502,"="&amp;A356, deployment!$D$4:$D$502,"&lt;&gt;"&amp;""),"")</f>
        <v/>
      </c>
      <c r="I356" s="113" t="str">
        <f>IF(A356&lt;&gt;"",SUMIFS(deployment!$H$4:$H$502, deployment!$D$4:$D$502,"="&amp;A356, deployment!$D$4:$D$502,"&lt;&gt;"&amp;""),"")</f>
        <v/>
      </c>
      <c r="J356" s="114" t="str">
        <f>IF(A356&lt;&gt;"",SUMIFS(deployment!$I$4:$I$502, deployment!$D$4:$D$502,"="&amp;A356, deployment!$D$4:$D$502,"&lt;&gt;"&amp;""),"")</f>
        <v/>
      </c>
      <c r="K356" s="182" t="str">
        <f>IF(A356&lt;&gt;"",SUMIFS(deployment!$J$4:$J$1002, deployment!$D$4:$D$1002,"="&amp;A356, deployment!$D$4:$D$1002,"&lt;&gt;"&amp;"", deployment!$C$4:$C$1002, "&lt;&gt;* )")+SUMIFS(namespace!$G$4:$G$1002, namespace!$B$4:$B$1002,"="&amp;A356, namespace!$B$4:$B$1002,"&lt;&gt;"&amp;""),"")</f>
        <v/>
      </c>
      <c r="L356" s="182" t="str">
        <f>IF(A356&lt;&gt;"",SUMIFS(deployment!$K$4:$K$1002, deployment!$D$4:$D$1002,"="&amp;A356, deployment!$D$4:$D$1002,"&lt;&gt;"&amp;"", deployment!$C$4:$C$1002, "&lt;&gt;* )")+SUMIFS(namespace!$H$4:$H$1002, namespace!$B$4:$B$1002,"="&amp;A356, namespace!$B$4:$B$1002,"&lt;&gt;"&amp;""),"")</f>
        <v/>
      </c>
      <c r="M356" s="115" t="str">
        <f>IF(A356&lt;&gt;"",SUMIFS(deployment!$L$4:$L$1002, deployment!$D$4:$D$1002,"="&amp;A356, deployment!$D$4:$D$1002,"&lt;&gt;"&amp;"", deployment!$C$4:$C$1002, "&lt;&gt;* )")+SUMIFS(namespace!$I$4:$I$1002, namespace!$B$4:$B$1002,"="&amp;A356, namespace!$B$4:$B$1002,"&lt;&gt;"&amp;""),"")</f>
        <v/>
      </c>
      <c r="N356" s="115" t="str">
        <f>IF(A356&lt;&gt;"",SUMIFS(deployment!$M$4:$M$1002, deployment!$D$4:$D$1002,"="&amp;A356, deployment!$D$4:$D$1002,"&lt;&gt;"&amp;"", deployment!$C$4:$C$1002, "&lt;&gt;* )")+SUMIFS(namespace!$J$4:$J$1002, namespace!$B$4:$B$1002,"="&amp;A356, namespace!$B$4:$B$1002,"&lt;&gt;"&amp;""),"")</f>
        <v/>
      </c>
      <c r="O356" s="116" t="str">
        <f t="shared" si="67"/>
        <v/>
      </c>
      <c r="P356" s="63"/>
      <c r="Q356" s="164" t="str">
        <f t="shared" si="62"/>
        <v/>
      </c>
      <c r="R356" s="60" t="str">
        <f t="shared" si="63"/>
        <v/>
      </c>
      <c r="S356" s="60" t="str">
        <f t="shared" si="64"/>
        <v/>
      </c>
      <c r="T356" s="61" t="str">
        <f t="shared" si="65"/>
        <v/>
      </c>
      <c r="U356" s="61" t="str">
        <f t="shared" si="66"/>
        <v/>
      </c>
      <c r="V356" s="183" t="str">
        <f t="shared" si="68"/>
        <v/>
      </c>
      <c r="W356" s="183" t="str">
        <f t="shared" si="69"/>
        <v/>
      </c>
      <c r="X356" s="61" t="str">
        <f t="shared" si="70"/>
        <v/>
      </c>
      <c r="Y356" s="61" t="str">
        <f t="shared" si="71"/>
        <v/>
      </c>
      <c r="Z356" s="118" t="str">
        <f t="shared" si="72"/>
        <v/>
      </c>
      <c r="AA356" s="62" t="str">
        <f t="shared" si="73"/>
        <v/>
      </c>
      <c r="AB356" s="119" t="str">
        <f>IF(A356&lt;&gt;"", IF(P356&lt;&gt;0,SUMIFS(node!$J$2:$J$1000, node!$C$2:$C$1000,"="&amp;A356)/P356,0), "")</f>
        <v/>
      </c>
      <c r="AC356" s="81" t="str">
        <f>IF(A356&lt;&gt;"", IF(P356&lt;&gt;0,SUMIFS(node!$K$2:$K$1000, node!$C$2:$C$1000,"="&amp;A356)/P356,0), "")</f>
        <v/>
      </c>
      <c r="AD356" s="82" t="str">
        <f>IF(A356&lt;&gt;"", SUMIFS(node!$L$2:$L$1000, node!$C$2:$C$1000,"="&amp;A356), "")</f>
        <v/>
      </c>
      <c r="AE356" s="87" t="str">
        <f>IF(A356&lt;&gt;"", SUMIFS(node!$M$2:$M$1000, node!$C$2:$C$1000,"="&amp;A356), "")</f>
        <v/>
      </c>
    </row>
    <row r="357" spans="1:31" ht="15.75" customHeight="1" x14ac:dyDescent="0.25">
      <c r="A357" s="71" t="str">
        <f>IF(ISNONTEXT(node_raw[[#This Row],[Column2]]), "", node_raw[[#This Row],[Column2]])</f>
        <v/>
      </c>
      <c r="B357" s="108" t="str">
        <f>IF(A357&lt;&gt;"", VLOOKUP(A357, node!$C$2:$D$1000, 2, FALSE), "")</f>
        <v/>
      </c>
      <c r="C357" s="109" t="str">
        <f>IF(A357&lt;&gt;"", VLOOKUP(A357, node!$C$2:$E$1000, 3, FALSE), "")</f>
        <v/>
      </c>
      <c r="D357" s="110" t="str">
        <f>IF(A357&lt;&gt;"",COUNTIFS(node!$C$2:$C$1000,"="&amp;A357, node!$C$2:$C$1000,"&lt;&gt;"&amp;""),"")</f>
        <v/>
      </c>
      <c r="E357" s="111" t="str">
        <f>IF(A357&lt;&gt;"",SUMIFS(node!$F$2:$F$500, node!$C$2:$C$500,"="&amp;A357, node!$C$2:$C$500,"&lt;&gt;"&amp;"")/(B357*D357),"")</f>
        <v/>
      </c>
      <c r="F357" s="112" t="str">
        <f>IF(A357&lt;&gt;"",SUMIFS(node!$H$2:$H$500, node!$C$2:$C$500,"="&amp;A357, node!$C$2:$C$500,"&lt;&gt;"&amp;"")/(C357*D357),"")</f>
        <v/>
      </c>
      <c r="G357" s="179" t="str">
        <f>IF(A357&lt;&gt;"",SUMIFS(deployment!$F$4:$F$502, deployment!$D$4:$D$502,"="&amp;A357, deployment!$D$4:$D$502,"&lt;&gt;"&amp;""),"")</f>
        <v/>
      </c>
      <c r="H357" s="181" t="str">
        <f>IF(A357&lt;&gt;"",SUMIFS(deployment!$G$4:$G$502, deployment!$D$4:$D$502,"="&amp;A357, deployment!$D$4:$D$502,"&lt;&gt;"&amp;""),"")</f>
        <v/>
      </c>
      <c r="I357" s="113" t="str">
        <f>IF(A357&lt;&gt;"",SUMIFS(deployment!$H$4:$H$502, deployment!$D$4:$D$502,"="&amp;A357, deployment!$D$4:$D$502,"&lt;&gt;"&amp;""),"")</f>
        <v/>
      </c>
      <c r="J357" s="114" t="str">
        <f>IF(A357&lt;&gt;"",SUMIFS(deployment!$I$4:$I$502, deployment!$D$4:$D$502,"="&amp;A357, deployment!$D$4:$D$502,"&lt;&gt;"&amp;""),"")</f>
        <v/>
      </c>
      <c r="K357" s="182" t="str">
        <f>IF(A357&lt;&gt;"",SUMIFS(deployment!$J$4:$J$1002, deployment!$D$4:$D$1002,"="&amp;A357, deployment!$D$4:$D$1002,"&lt;&gt;"&amp;"", deployment!$C$4:$C$1002, "&lt;&gt;* )")+SUMIFS(namespace!$G$4:$G$1002, namespace!$B$4:$B$1002,"="&amp;A357, namespace!$B$4:$B$1002,"&lt;&gt;"&amp;""),"")</f>
        <v/>
      </c>
      <c r="L357" s="182" t="str">
        <f>IF(A357&lt;&gt;"",SUMIFS(deployment!$K$4:$K$1002, deployment!$D$4:$D$1002,"="&amp;A357, deployment!$D$4:$D$1002,"&lt;&gt;"&amp;"", deployment!$C$4:$C$1002, "&lt;&gt;* )")+SUMIFS(namespace!$H$4:$H$1002, namespace!$B$4:$B$1002,"="&amp;A357, namespace!$B$4:$B$1002,"&lt;&gt;"&amp;""),"")</f>
        <v/>
      </c>
      <c r="M357" s="115" t="str">
        <f>IF(A357&lt;&gt;"",SUMIFS(deployment!$L$4:$L$1002, deployment!$D$4:$D$1002,"="&amp;A357, deployment!$D$4:$D$1002,"&lt;&gt;"&amp;"", deployment!$C$4:$C$1002, "&lt;&gt;* )")+SUMIFS(namespace!$I$4:$I$1002, namespace!$B$4:$B$1002,"="&amp;A357, namespace!$B$4:$B$1002,"&lt;&gt;"&amp;""),"")</f>
        <v/>
      </c>
      <c r="N357" s="115" t="str">
        <f>IF(A357&lt;&gt;"",SUMIFS(deployment!$M$4:$M$1002, deployment!$D$4:$D$1002,"="&amp;A357, deployment!$D$4:$D$1002,"&lt;&gt;"&amp;"", deployment!$C$4:$C$1002, "&lt;&gt;* )")+SUMIFS(namespace!$J$4:$J$1002, namespace!$B$4:$B$1002,"="&amp;A357, namespace!$B$4:$B$1002,"&lt;&gt;"&amp;""),"")</f>
        <v/>
      </c>
      <c r="O357" s="116" t="str">
        <f t="shared" si="67"/>
        <v/>
      </c>
      <c r="P357" s="63"/>
      <c r="Q357" s="164" t="str">
        <f t="shared" si="62"/>
        <v/>
      </c>
      <c r="R357" s="60" t="str">
        <f t="shared" si="63"/>
        <v/>
      </c>
      <c r="S357" s="60" t="str">
        <f t="shared" si="64"/>
        <v/>
      </c>
      <c r="T357" s="61" t="str">
        <f t="shared" si="65"/>
        <v/>
      </c>
      <c r="U357" s="61" t="str">
        <f t="shared" si="66"/>
        <v/>
      </c>
      <c r="V357" s="183" t="str">
        <f t="shared" si="68"/>
        <v/>
      </c>
      <c r="W357" s="183" t="str">
        <f t="shared" si="69"/>
        <v/>
      </c>
      <c r="X357" s="61" t="str">
        <f t="shared" si="70"/>
        <v/>
      </c>
      <c r="Y357" s="61" t="str">
        <f t="shared" si="71"/>
        <v/>
      </c>
      <c r="Z357" s="118" t="str">
        <f t="shared" si="72"/>
        <v/>
      </c>
      <c r="AA357" s="62" t="str">
        <f t="shared" si="73"/>
        <v/>
      </c>
      <c r="AB357" s="119" t="str">
        <f>IF(A357&lt;&gt;"", IF(P357&lt;&gt;0,SUMIFS(node!$J$2:$J$1000, node!$C$2:$C$1000,"="&amp;A357)/P357,0), "")</f>
        <v/>
      </c>
      <c r="AC357" s="81" t="str">
        <f>IF(A357&lt;&gt;"", IF(P357&lt;&gt;0,SUMIFS(node!$K$2:$K$1000, node!$C$2:$C$1000,"="&amp;A357)/P357,0), "")</f>
        <v/>
      </c>
      <c r="AD357" s="82" t="str">
        <f>IF(A357&lt;&gt;"", SUMIFS(node!$L$2:$L$1000, node!$C$2:$C$1000,"="&amp;A357), "")</f>
        <v/>
      </c>
      <c r="AE357" s="87" t="str">
        <f>IF(A357&lt;&gt;"", SUMIFS(node!$M$2:$M$1000, node!$C$2:$C$1000,"="&amp;A357), "")</f>
        <v/>
      </c>
    </row>
    <row r="358" spans="1:31" ht="15.75" customHeight="1" x14ac:dyDescent="0.25">
      <c r="A358" s="71" t="str">
        <f>IF(ISNONTEXT(node_raw[[#This Row],[Column2]]), "", node_raw[[#This Row],[Column2]])</f>
        <v/>
      </c>
      <c r="B358" s="108" t="str">
        <f>IF(A358&lt;&gt;"", VLOOKUP(A358, node!$C$2:$D$1000, 2, FALSE), "")</f>
        <v/>
      </c>
      <c r="C358" s="109" t="str">
        <f>IF(A358&lt;&gt;"", VLOOKUP(A358, node!$C$2:$E$1000, 3, FALSE), "")</f>
        <v/>
      </c>
      <c r="D358" s="110" t="str">
        <f>IF(A358&lt;&gt;"",COUNTIFS(node!$C$2:$C$1000,"="&amp;A358, node!$C$2:$C$1000,"&lt;&gt;"&amp;""),"")</f>
        <v/>
      </c>
      <c r="E358" s="111" t="str">
        <f>IF(A358&lt;&gt;"",SUMIFS(node!$F$2:$F$500, node!$C$2:$C$500,"="&amp;A358, node!$C$2:$C$500,"&lt;&gt;"&amp;"")/(B358*D358),"")</f>
        <v/>
      </c>
      <c r="F358" s="112" t="str">
        <f>IF(A358&lt;&gt;"",SUMIFS(node!$H$2:$H$500, node!$C$2:$C$500,"="&amp;A358, node!$C$2:$C$500,"&lt;&gt;"&amp;"")/(C358*D358),"")</f>
        <v/>
      </c>
      <c r="G358" s="179" t="str">
        <f>IF(A358&lt;&gt;"",SUMIFS(deployment!$F$4:$F$502, deployment!$D$4:$D$502,"="&amp;A358, deployment!$D$4:$D$502,"&lt;&gt;"&amp;""),"")</f>
        <v/>
      </c>
      <c r="H358" s="181" t="str">
        <f>IF(A358&lt;&gt;"",SUMIFS(deployment!$G$4:$G$502, deployment!$D$4:$D$502,"="&amp;A358, deployment!$D$4:$D$502,"&lt;&gt;"&amp;""),"")</f>
        <v/>
      </c>
      <c r="I358" s="113" t="str">
        <f>IF(A358&lt;&gt;"",SUMIFS(deployment!$H$4:$H$502, deployment!$D$4:$D$502,"="&amp;A358, deployment!$D$4:$D$502,"&lt;&gt;"&amp;""),"")</f>
        <v/>
      </c>
      <c r="J358" s="114" t="str">
        <f>IF(A358&lt;&gt;"",SUMIFS(deployment!$I$4:$I$502, deployment!$D$4:$D$502,"="&amp;A358, deployment!$D$4:$D$502,"&lt;&gt;"&amp;""),"")</f>
        <v/>
      </c>
      <c r="K358" s="182" t="str">
        <f>IF(A358&lt;&gt;"",SUMIFS(deployment!$J$4:$J$1002, deployment!$D$4:$D$1002,"="&amp;A358, deployment!$D$4:$D$1002,"&lt;&gt;"&amp;"", deployment!$C$4:$C$1002, "&lt;&gt;* )")+SUMIFS(namespace!$G$4:$G$1002, namespace!$B$4:$B$1002,"="&amp;A358, namespace!$B$4:$B$1002,"&lt;&gt;"&amp;""),"")</f>
        <v/>
      </c>
      <c r="L358" s="182" t="str">
        <f>IF(A358&lt;&gt;"",SUMIFS(deployment!$K$4:$K$1002, deployment!$D$4:$D$1002,"="&amp;A358, deployment!$D$4:$D$1002,"&lt;&gt;"&amp;"", deployment!$C$4:$C$1002, "&lt;&gt;* )")+SUMIFS(namespace!$H$4:$H$1002, namespace!$B$4:$B$1002,"="&amp;A358, namespace!$B$4:$B$1002,"&lt;&gt;"&amp;""),"")</f>
        <v/>
      </c>
      <c r="M358" s="115" t="str">
        <f>IF(A358&lt;&gt;"",SUMIFS(deployment!$L$4:$L$1002, deployment!$D$4:$D$1002,"="&amp;A358, deployment!$D$4:$D$1002,"&lt;&gt;"&amp;"", deployment!$C$4:$C$1002, "&lt;&gt;* )")+SUMIFS(namespace!$I$4:$I$1002, namespace!$B$4:$B$1002,"="&amp;A358, namespace!$B$4:$B$1002,"&lt;&gt;"&amp;""),"")</f>
        <v/>
      </c>
      <c r="N358" s="115" t="str">
        <f>IF(A358&lt;&gt;"",SUMIFS(deployment!$M$4:$M$1002, deployment!$D$4:$D$1002,"="&amp;A358, deployment!$D$4:$D$1002,"&lt;&gt;"&amp;"", deployment!$C$4:$C$1002, "&lt;&gt;* )")+SUMIFS(namespace!$J$4:$J$1002, namespace!$B$4:$B$1002,"="&amp;A358, namespace!$B$4:$B$1002,"&lt;&gt;"&amp;""),"")</f>
        <v/>
      </c>
      <c r="O358" s="116" t="str">
        <f t="shared" si="67"/>
        <v/>
      </c>
      <c r="P358" s="63"/>
      <c r="Q358" s="164" t="str">
        <f t="shared" si="62"/>
        <v/>
      </c>
      <c r="R358" s="60" t="str">
        <f t="shared" si="63"/>
        <v/>
      </c>
      <c r="S358" s="60" t="str">
        <f t="shared" si="64"/>
        <v/>
      </c>
      <c r="T358" s="61" t="str">
        <f t="shared" si="65"/>
        <v/>
      </c>
      <c r="U358" s="61" t="str">
        <f t="shared" si="66"/>
        <v/>
      </c>
      <c r="V358" s="183" t="str">
        <f t="shared" si="68"/>
        <v/>
      </c>
      <c r="W358" s="183" t="str">
        <f t="shared" si="69"/>
        <v/>
      </c>
      <c r="X358" s="61" t="str">
        <f t="shared" si="70"/>
        <v/>
      </c>
      <c r="Y358" s="61" t="str">
        <f t="shared" si="71"/>
        <v/>
      </c>
      <c r="Z358" s="118" t="str">
        <f t="shared" si="72"/>
        <v/>
      </c>
      <c r="AA358" s="62" t="str">
        <f t="shared" si="73"/>
        <v/>
      </c>
      <c r="AB358" s="119" t="str">
        <f>IF(A358&lt;&gt;"", IF(P358&lt;&gt;0,SUMIFS(node!$J$2:$J$1000, node!$C$2:$C$1000,"="&amp;A358)/P358,0), "")</f>
        <v/>
      </c>
      <c r="AC358" s="81" t="str">
        <f>IF(A358&lt;&gt;"", IF(P358&lt;&gt;0,SUMIFS(node!$K$2:$K$1000, node!$C$2:$C$1000,"="&amp;A358)/P358,0), "")</f>
        <v/>
      </c>
      <c r="AD358" s="82" t="str">
        <f>IF(A358&lt;&gt;"", SUMIFS(node!$L$2:$L$1000, node!$C$2:$C$1000,"="&amp;A358), "")</f>
        <v/>
      </c>
      <c r="AE358" s="87" t="str">
        <f>IF(A358&lt;&gt;"", SUMIFS(node!$M$2:$M$1000, node!$C$2:$C$1000,"="&amp;A358), "")</f>
        <v/>
      </c>
    </row>
    <row r="359" spans="1:31" ht="15.75" customHeight="1" x14ac:dyDescent="0.25">
      <c r="A359" s="71" t="str">
        <f>IF(ISNONTEXT(node_raw[[#This Row],[Column2]]), "", node_raw[[#This Row],[Column2]])</f>
        <v/>
      </c>
      <c r="B359" s="108" t="str">
        <f>IF(A359&lt;&gt;"", VLOOKUP(A359, node!$C$2:$D$1000, 2, FALSE), "")</f>
        <v/>
      </c>
      <c r="C359" s="109" t="str">
        <f>IF(A359&lt;&gt;"", VLOOKUP(A359, node!$C$2:$E$1000, 3, FALSE), "")</f>
        <v/>
      </c>
      <c r="D359" s="110" t="str">
        <f>IF(A359&lt;&gt;"",COUNTIFS(node!$C$2:$C$1000,"="&amp;A359, node!$C$2:$C$1000,"&lt;&gt;"&amp;""),"")</f>
        <v/>
      </c>
      <c r="E359" s="111" t="str">
        <f>IF(A359&lt;&gt;"",SUMIFS(node!$F$2:$F$500, node!$C$2:$C$500,"="&amp;A359, node!$C$2:$C$500,"&lt;&gt;"&amp;"")/(B359*D359),"")</f>
        <v/>
      </c>
      <c r="F359" s="112" t="str">
        <f>IF(A359&lt;&gt;"",SUMIFS(node!$H$2:$H$500, node!$C$2:$C$500,"="&amp;A359, node!$C$2:$C$500,"&lt;&gt;"&amp;"")/(C359*D359),"")</f>
        <v/>
      </c>
      <c r="G359" s="179" t="str">
        <f>IF(A359&lt;&gt;"",SUMIFS(deployment!$F$4:$F$502, deployment!$D$4:$D$502,"="&amp;A359, deployment!$D$4:$D$502,"&lt;&gt;"&amp;""),"")</f>
        <v/>
      </c>
      <c r="H359" s="181" t="str">
        <f>IF(A359&lt;&gt;"",SUMIFS(deployment!$G$4:$G$502, deployment!$D$4:$D$502,"="&amp;A359, deployment!$D$4:$D$502,"&lt;&gt;"&amp;""),"")</f>
        <v/>
      </c>
      <c r="I359" s="113" t="str">
        <f>IF(A359&lt;&gt;"",SUMIFS(deployment!$H$4:$H$502, deployment!$D$4:$D$502,"="&amp;A359, deployment!$D$4:$D$502,"&lt;&gt;"&amp;""),"")</f>
        <v/>
      </c>
      <c r="J359" s="114" t="str">
        <f>IF(A359&lt;&gt;"",SUMIFS(deployment!$I$4:$I$502, deployment!$D$4:$D$502,"="&amp;A359, deployment!$D$4:$D$502,"&lt;&gt;"&amp;""),"")</f>
        <v/>
      </c>
      <c r="K359" s="182" t="str">
        <f>IF(A359&lt;&gt;"",SUMIFS(deployment!$J$4:$J$1002, deployment!$D$4:$D$1002,"="&amp;A359, deployment!$D$4:$D$1002,"&lt;&gt;"&amp;"", deployment!$C$4:$C$1002, "&lt;&gt;* )")+SUMIFS(namespace!$G$4:$G$1002, namespace!$B$4:$B$1002,"="&amp;A359, namespace!$B$4:$B$1002,"&lt;&gt;"&amp;""),"")</f>
        <v/>
      </c>
      <c r="L359" s="182" t="str">
        <f>IF(A359&lt;&gt;"",SUMIFS(deployment!$K$4:$K$1002, deployment!$D$4:$D$1002,"="&amp;A359, deployment!$D$4:$D$1002,"&lt;&gt;"&amp;"", deployment!$C$4:$C$1002, "&lt;&gt;* )")+SUMIFS(namespace!$H$4:$H$1002, namespace!$B$4:$B$1002,"="&amp;A359, namespace!$B$4:$B$1002,"&lt;&gt;"&amp;""),"")</f>
        <v/>
      </c>
      <c r="M359" s="115" t="str">
        <f>IF(A359&lt;&gt;"",SUMIFS(deployment!$L$4:$L$1002, deployment!$D$4:$D$1002,"="&amp;A359, deployment!$D$4:$D$1002,"&lt;&gt;"&amp;"", deployment!$C$4:$C$1002, "&lt;&gt;* )")+SUMIFS(namespace!$I$4:$I$1002, namespace!$B$4:$B$1002,"="&amp;A359, namespace!$B$4:$B$1002,"&lt;&gt;"&amp;""),"")</f>
        <v/>
      </c>
      <c r="N359" s="115" t="str">
        <f>IF(A359&lt;&gt;"",SUMIFS(deployment!$M$4:$M$1002, deployment!$D$4:$D$1002,"="&amp;A359, deployment!$D$4:$D$1002,"&lt;&gt;"&amp;"", deployment!$C$4:$C$1002, "&lt;&gt;* )")+SUMIFS(namespace!$J$4:$J$1002, namespace!$B$4:$B$1002,"="&amp;A359, namespace!$B$4:$B$1002,"&lt;&gt;"&amp;""),"")</f>
        <v/>
      </c>
      <c r="O359" s="116" t="str">
        <f t="shared" si="67"/>
        <v/>
      </c>
      <c r="P359" s="63"/>
      <c r="Q359" s="164" t="str">
        <f t="shared" si="62"/>
        <v/>
      </c>
      <c r="R359" s="60" t="str">
        <f t="shared" si="63"/>
        <v/>
      </c>
      <c r="S359" s="60" t="str">
        <f t="shared" si="64"/>
        <v/>
      </c>
      <c r="T359" s="61" t="str">
        <f t="shared" si="65"/>
        <v/>
      </c>
      <c r="U359" s="61" t="str">
        <f t="shared" si="66"/>
        <v/>
      </c>
      <c r="V359" s="183" t="str">
        <f t="shared" si="68"/>
        <v/>
      </c>
      <c r="W359" s="183" t="str">
        <f t="shared" si="69"/>
        <v/>
      </c>
      <c r="X359" s="61" t="str">
        <f t="shared" si="70"/>
        <v/>
      </c>
      <c r="Y359" s="61" t="str">
        <f t="shared" si="71"/>
        <v/>
      </c>
      <c r="Z359" s="118" t="str">
        <f t="shared" si="72"/>
        <v/>
      </c>
      <c r="AA359" s="62" t="str">
        <f t="shared" si="73"/>
        <v/>
      </c>
      <c r="AB359" s="119" t="str">
        <f>IF(A359&lt;&gt;"", IF(P359&lt;&gt;0,SUMIFS(node!$J$2:$J$1000, node!$C$2:$C$1000,"="&amp;A359)/P359,0), "")</f>
        <v/>
      </c>
      <c r="AC359" s="81" t="str">
        <f>IF(A359&lt;&gt;"", IF(P359&lt;&gt;0,SUMIFS(node!$K$2:$K$1000, node!$C$2:$C$1000,"="&amp;A359)/P359,0), "")</f>
        <v/>
      </c>
      <c r="AD359" s="82" t="str">
        <f>IF(A359&lt;&gt;"", SUMIFS(node!$L$2:$L$1000, node!$C$2:$C$1000,"="&amp;A359), "")</f>
        <v/>
      </c>
      <c r="AE359" s="87" t="str">
        <f>IF(A359&lt;&gt;"", SUMIFS(node!$M$2:$M$1000, node!$C$2:$C$1000,"="&amp;A359), "")</f>
        <v/>
      </c>
    </row>
    <row r="360" spans="1:31" ht="15.75" customHeight="1" x14ac:dyDescent="0.25">
      <c r="A360" s="71" t="str">
        <f>IF(ISNONTEXT(node_raw[[#This Row],[Column2]]), "", node_raw[[#This Row],[Column2]])</f>
        <v/>
      </c>
      <c r="B360" s="108" t="str">
        <f>IF(A360&lt;&gt;"", VLOOKUP(A360, node!$C$2:$D$1000, 2, FALSE), "")</f>
        <v/>
      </c>
      <c r="C360" s="109" t="str">
        <f>IF(A360&lt;&gt;"", VLOOKUP(A360, node!$C$2:$E$1000, 3, FALSE), "")</f>
        <v/>
      </c>
      <c r="D360" s="110" t="str">
        <f>IF(A360&lt;&gt;"",COUNTIFS(node!$C$2:$C$1000,"="&amp;A360, node!$C$2:$C$1000,"&lt;&gt;"&amp;""),"")</f>
        <v/>
      </c>
      <c r="E360" s="111" t="str">
        <f>IF(A360&lt;&gt;"",SUMIFS(node!$F$2:$F$500, node!$C$2:$C$500,"="&amp;A360, node!$C$2:$C$500,"&lt;&gt;"&amp;"")/(B360*D360),"")</f>
        <v/>
      </c>
      <c r="F360" s="112" t="str">
        <f>IF(A360&lt;&gt;"",SUMIFS(node!$H$2:$H$500, node!$C$2:$C$500,"="&amp;A360, node!$C$2:$C$500,"&lt;&gt;"&amp;"")/(C360*D360),"")</f>
        <v/>
      </c>
      <c r="G360" s="179" t="str">
        <f>IF(A360&lt;&gt;"",SUMIFS(deployment!$F$4:$F$502, deployment!$D$4:$D$502,"="&amp;A360, deployment!$D$4:$D$502,"&lt;&gt;"&amp;""),"")</f>
        <v/>
      </c>
      <c r="H360" s="181" t="str">
        <f>IF(A360&lt;&gt;"",SUMIFS(deployment!$G$4:$G$502, deployment!$D$4:$D$502,"="&amp;A360, deployment!$D$4:$D$502,"&lt;&gt;"&amp;""),"")</f>
        <v/>
      </c>
      <c r="I360" s="113" t="str">
        <f>IF(A360&lt;&gt;"",SUMIFS(deployment!$H$4:$H$502, deployment!$D$4:$D$502,"="&amp;A360, deployment!$D$4:$D$502,"&lt;&gt;"&amp;""),"")</f>
        <v/>
      </c>
      <c r="J360" s="114" t="str">
        <f>IF(A360&lt;&gt;"",SUMIFS(deployment!$I$4:$I$502, deployment!$D$4:$D$502,"="&amp;A360, deployment!$D$4:$D$502,"&lt;&gt;"&amp;""),"")</f>
        <v/>
      </c>
      <c r="K360" s="182" t="str">
        <f>IF(A360&lt;&gt;"",SUMIFS(deployment!$J$4:$J$1002, deployment!$D$4:$D$1002,"="&amp;A360, deployment!$D$4:$D$1002,"&lt;&gt;"&amp;"", deployment!$C$4:$C$1002, "&lt;&gt;* )")+SUMIFS(namespace!$G$4:$G$1002, namespace!$B$4:$B$1002,"="&amp;A360, namespace!$B$4:$B$1002,"&lt;&gt;"&amp;""),"")</f>
        <v/>
      </c>
      <c r="L360" s="182" t="str">
        <f>IF(A360&lt;&gt;"",SUMIFS(deployment!$K$4:$K$1002, deployment!$D$4:$D$1002,"="&amp;A360, deployment!$D$4:$D$1002,"&lt;&gt;"&amp;"", deployment!$C$4:$C$1002, "&lt;&gt;* )")+SUMIFS(namespace!$H$4:$H$1002, namespace!$B$4:$B$1002,"="&amp;A360, namespace!$B$4:$B$1002,"&lt;&gt;"&amp;""),"")</f>
        <v/>
      </c>
      <c r="M360" s="115" t="str">
        <f>IF(A360&lt;&gt;"",SUMIFS(deployment!$L$4:$L$1002, deployment!$D$4:$D$1002,"="&amp;A360, deployment!$D$4:$D$1002,"&lt;&gt;"&amp;"", deployment!$C$4:$C$1002, "&lt;&gt;* )")+SUMIFS(namespace!$I$4:$I$1002, namespace!$B$4:$B$1002,"="&amp;A360, namespace!$B$4:$B$1002,"&lt;&gt;"&amp;""),"")</f>
        <v/>
      </c>
      <c r="N360" s="115" t="str">
        <f>IF(A360&lt;&gt;"",SUMIFS(deployment!$M$4:$M$1002, deployment!$D$4:$D$1002,"="&amp;A360, deployment!$D$4:$D$1002,"&lt;&gt;"&amp;"", deployment!$C$4:$C$1002, "&lt;&gt;* )")+SUMIFS(namespace!$J$4:$J$1002, namespace!$B$4:$B$1002,"="&amp;A360, namespace!$B$4:$B$1002,"&lt;&gt;"&amp;""),"")</f>
        <v/>
      </c>
      <c r="O360" s="116" t="str">
        <f t="shared" si="67"/>
        <v/>
      </c>
      <c r="P360" s="63"/>
      <c r="Q360" s="164" t="str">
        <f t="shared" si="62"/>
        <v/>
      </c>
      <c r="R360" s="60" t="str">
        <f t="shared" si="63"/>
        <v/>
      </c>
      <c r="S360" s="60" t="str">
        <f t="shared" si="64"/>
        <v/>
      </c>
      <c r="T360" s="61" t="str">
        <f t="shared" si="65"/>
        <v/>
      </c>
      <c r="U360" s="61" t="str">
        <f t="shared" si="66"/>
        <v/>
      </c>
      <c r="V360" s="183" t="str">
        <f t="shared" si="68"/>
        <v/>
      </c>
      <c r="W360" s="183" t="str">
        <f t="shared" si="69"/>
        <v/>
      </c>
      <c r="X360" s="61" t="str">
        <f t="shared" si="70"/>
        <v/>
      </c>
      <c r="Y360" s="61" t="str">
        <f t="shared" si="71"/>
        <v/>
      </c>
      <c r="Z360" s="118" t="str">
        <f t="shared" si="72"/>
        <v/>
      </c>
      <c r="AA360" s="62" t="str">
        <f t="shared" si="73"/>
        <v/>
      </c>
      <c r="AB360" s="119" t="str">
        <f>IF(A360&lt;&gt;"", IF(P360&lt;&gt;0,SUMIFS(node!$J$2:$J$1000, node!$C$2:$C$1000,"="&amp;A360)/P360,0), "")</f>
        <v/>
      </c>
      <c r="AC360" s="81" t="str">
        <f>IF(A360&lt;&gt;"", IF(P360&lt;&gt;0,SUMIFS(node!$K$2:$K$1000, node!$C$2:$C$1000,"="&amp;A360)/P360,0), "")</f>
        <v/>
      </c>
      <c r="AD360" s="82" t="str">
        <f>IF(A360&lt;&gt;"", SUMIFS(node!$L$2:$L$1000, node!$C$2:$C$1000,"="&amp;A360), "")</f>
        <v/>
      </c>
      <c r="AE360" s="87" t="str">
        <f>IF(A360&lt;&gt;"", SUMIFS(node!$M$2:$M$1000, node!$C$2:$C$1000,"="&amp;A360), "")</f>
        <v/>
      </c>
    </row>
    <row r="361" spans="1:31" ht="15.75" customHeight="1" x14ac:dyDescent="0.25">
      <c r="A361" s="71" t="str">
        <f>IF(ISNONTEXT(node_raw[[#This Row],[Column2]]), "", node_raw[[#This Row],[Column2]])</f>
        <v/>
      </c>
      <c r="B361" s="108" t="str">
        <f>IF(A361&lt;&gt;"", VLOOKUP(A361, node!$C$2:$D$1000, 2, FALSE), "")</f>
        <v/>
      </c>
      <c r="C361" s="109" t="str">
        <f>IF(A361&lt;&gt;"", VLOOKUP(A361, node!$C$2:$E$1000, 3, FALSE), "")</f>
        <v/>
      </c>
      <c r="D361" s="110" t="str">
        <f>IF(A361&lt;&gt;"",COUNTIFS(node!$C$2:$C$1000,"="&amp;A361, node!$C$2:$C$1000,"&lt;&gt;"&amp;""),"")</f>
        <v/>
      </c>
      <c r="E361" s="111" t="str">
        <f>IF(A361&lt;&gt;"",SUMIFS(node!$F$2:$F$500, node!$C$2:$C$500,"="&amp;A361, node!$C$2:$C$500,"&lt;&gt;"&amp;"")/(B361*D361),"")</f>
        <v/>
      </c>
      <c r="F361" s="112" t="str">
        <f>IF(A361&lt;&gt;"",SUMIFS(node!$H$2:$H$500, node!$C$2:$C$500,"="&amp;A361, node!$C$2:$C$500,"&lt;&gt;"&amp;"")/(C361*D361),"")</f>
        <v/>
      </c>
      <c r="G361" s="179" t="str">
        <f>IF(A361&lt;&gt;"",SUMIFS(deployment!$F$4:$F$502, deployment!$D$4:$D$502,"="&amp;A361, deployment!$D$4:$D$502,"&lt;&gt;"&amp;""),"")</f>
        <v/>
      </c>
      <c r="H361" s="181" t="str">
        <f>IF(A361&lt;&gt;"",SUMIFS(deployment!$G$4:$G$502, deployment!$D$4:$D$502,"="&amp;A361, deployment!$D$4:$D$502,"&lt;&gt;"&amp;""),"")</f>
        <v/>
      </c>
      <c r="I361" s="113" t="str">
        <f>IF(A361&lt;&gt;"",SUMIFS(deployment!$H$4:$H$502, deployment!$D$4:$D$502,"="&amp;A361, deployment!$D$4:$D$502,"&lt;&gt;"&amp;""),"")</f>
        <v/>
      </c>
      <c r="J361" s="114" t="str">
        <f>IF(A361&lt;&gt;"",SUMIFS(deployment!$I$4:$I$502, deployment!$D$4:$D$502,"="&amp;A361, deployment!$D$4:$D$502,"&lt;&gt;"&amp;""),"")</f>
        <v/>
      </c>
      <c r="K361" s="182" t="str">
        <f>IF(A361&lt;&gt;"",SUMIFS(deployment!$J$4:$J$1002, deployment!$D$4:$D$1002,"="&amp;A361, deployment!$D$4:$D$1002,"&lt;&gt;"&amp;"", deployment!$C$4:$C$1002, "&lt;&gt;* )")+SUMIFS(namespace!$G$4:$G$1002, namespace!$B$4:$B$1002,"="&amp;A361, namespace!$B$4:$B$1002,"&lt;&gt;"&amp;""),"")</f>
        <v/>
      </c>
      <c r="L361" s="182" t="str">
        <f>IF(A361&lt;&gt;"",SUMIFS(deployment!$K$4:$K$1002, deployment!$D$4:$D$1002,"="&amp;A361, deployment!$D$4:$D$1002,"&lt;&gt;"&amp;"", deployment!$C$4:$C$1002, "&lt;&gt;* )")+SUMIFS(namespace!$H$4:$H$1002, namespace!$B$4:$B$1002,"="&amp;A361, namespace!$B$4:$B$1002,"&lt;&gt;"&amp;""),"")</f>
        <v/>
      </c>
      <c r="M361" s="115" t="str">
        <f>IF(A361&lt;&gt;"",SUMIFS(deployment!$L$4:$L$1002, deployment!$D$4:$D$1002,"="&amp;A361, deployment!$D$4:$D$1002,"&lt;&gt;"&amp;"", deployment!$C$4:$C$1002, "&lt;&gt;* )")+SUMIFS(namespace!$I$4:$I$1002, namespace!$B$4:$B$1002,"="&amp;A361, namespace!$B$4:$B$1002,"&lt;&gt;"&amp;""),"")</f>
        <v/>
      </c>
      <c r="N361" s="115" t="str">
        <f>IF(A361&lt;&gt;"",SUMIFS(deployment!$M$4:$M$1002, deployment!$D$4:$D$1002,"="&amp;A361, deployment!$D$4:$D$1002,"&lt;&gt;"&amp;"", deployment!$C$4:$C$1002, "&lt;&gt;* )")+SUMIFS(namespace!$J$4:$J$1002, namespace!$B$4:$B$1002,"="&amp;A361, namespace!$B$4:$B$1002,"&lt;&gt;"&amp;""),"")</f>
        <v/>
      </c>
      <c r="O361" s="116" t="str">
        <f t="shared" si="67"/>
        <v/>
      </c>
      <c r="P361" s="63"/>
      <c r="Q361" s="164" t="str">
        <f t="shared" si="62"/>
        <v/>
      </c>
      <c r="R361" s="60" t="str">
        <f t="shared" si="63"/>
        <v/>
      </c>
      <c r="S361" s="60" t="str">
        <f t="shared" si="64"/>
        <v/>
      </c>
      <c r="T361" s="61" t="str">
        <f t="shared" si="65"/>
        <v/>
      </c>
      <c r="U361" s="61" t="str">
        <f t="shared" si="66"/>
        <v/>
      </c>
      <c r="V361" s="183" t="str">
        <f t="shared" si="68"/>
        <v/>
      </c>
      <c r="W361" s="183" t="str">
        <f t="shared" si="69"/>
        <v/>
      </c>
      <c r="X361" s="61" t="str">
        <f t="shared" si="70"/>
        <v/>
      </c>
      <c r="Y361" s="61" t="str">
        <f t="shared" si="71"/>
        <v/>
      </c>
      <c r="Z361" s="118" t="str">
        <f t="shared" si="72"/>
        <v/>
      </c>
      <c r="AA361" s="62" t="str">
        <f t="shared" si="73"/>
        <v/>
      </c>
      <c r="AB361" s="119" t="str">
        <f>IF(A361&lt;&gt;"", IF(P361&lt;&gt;0,SUMIFS(node!$J$2:$J$1000, node!$C$2:$C$1000,"="&amp;A361)/P361,0), "")</f>
        <v/>
      </c>
      <c r="AC361" s="81" t="str">
        <f>IF(A361&lt;&gt;"", IF(P361&lt;&gt;0,SUMIFS(node!$K$2:$K$1000, node!$C$2:$C$1000,"="&amp;A361)/P361,0), "")</f>
        <v/>
      </c>
      <c r="AD361" s="82" t="str">
        <f>IF(A361&lt;&gt;"", SUMIFS(node!$L$2:$L$1000, node!$C$2:$C$1000,"="&amp;A361), "")</f>
        <v/>
      </c>
      <c r="AE361" s="87" t="str">
        <f>IF(A361&lt;&gt;"", SUMIFS(node!$M$2:$M$1000, node!$C$2:$C$1000,"="&amp;A361), "")</f>
        <v/>
      </c>
    </row>
    <row r="362" spans="1:31" ht="15.75" customHeight="1" x14ac:dyDescent="0.25">
      <c r="A362" s="71" t="str">
        <f>IF(ISNONTEXT(node_raw[[#This Row],[Column2]]), "", node_raw[[#This Row],[Column2]])</f>
        <v/>
      </c>
      <c r="B362" s="108" t="str">
        <f>IF(A362&lt;&gt;"", VLOOKUP(A362, node!$C$2:$D$1000, 2, FALSE), "")</f>
        <v/>
      </c>
      <c r="C362" s="109" t="str">
        <f>IF(A362&lt;&gt;"", VLOOKUP(A362, node!$C$2:$E$1000, 3, FALSE), "")</f>
        <v/>
      </c>
      <c r="D362" s="110" t="str">
        <f>IF(A362&lt;&gt;"",COUNTIFS(node!$C$2:$C$1000,"="&amp;A362, node!$C$2:$C$1000,"&lt;&gt;"&amp;""),"")</f>
        <v/>
      </c>
      <c r="E362" s="111" t="str">
        <f>IF(A362&lt;&gt;"",SUMIFS(node!$F$2:$F$500, node!$C$2:$C$500,"="&amp;A362, node!$C$2:$C$500,"&lt;&gt;"&amp;"")/(B362*D362),"")</f>
        <v/>
      </c>
      <c r="F362" s="112" t="str">
        <f>IF(A362&lt;&gt;"",SUMIFS(node!$H$2:$H$500, node!$C$2:$C$500,"="&amp;A362, node!$C$2:$C$500,"&lt;&gt;"&amp;"")/(C362*D362),"")</f>
        <v/>
      </c>
      <c r="G362" s="179" t="str">
        <f>IF(A362&lt;&gt;"",SUMIFS(deployment!$F$4:$F$502, deployment!$D$4:$D$502,"="&amp;A362, deployment!$D$4:$D$502,"&lt;&gt;"&amp;""),"")</f>
        <v/>
      </c>
      <c r="H362" s="181" t="str">
        <f>IF(A362&lt;&gt;"",SUMIFS(deployment!$G$4:$G$502, deployment!$D$4:$D$502,"="&amp;A362, deployment!$D$4:$D$502,"&lt;&gt;"&amp;""),"")</f>
        <v/>
      </c>
      <c r="I362" s="113" t="str">
        <f>IF(A362&lt;&gt;"",SUMIFS(deployment!$H$4:$H$502, deployment!$D$4:$D$502,"="&amp;A362, deployment!$D$4:$D$502,"&lt;&gt;"&amp;""),"")</f>
        <v/>
      </c>
      <c r="J362" s="114" t="str">
        <f>IF(A362&lt;&gt;"",SUMIFS(deployment!$I$4:$I$502, deployment!$D$4:$D$502,"="&amp;A362, deployment!$D$4:$D$502,"&lt;&gt;"&amp;""),"")</f>
        <v/>
      </c>
      <c r="K362" s="182" t="str">
        <f>IF(A362&lt;&gt;"",SUMIFS(deployment!$J$4:$J$1002, deployment!$D$4:$D$1002,"="&amp;A362, deployment!$D$4:$D$1002,"&lt;&gt;"&amp;"", deployment!$C$4:$C$1002, "&lt;&gt;* )")+SUMIFS(namespace!$G$4:$G$1002, namespace!$B$4:$B$1002,"="&amp;A362, namespace!$B$4:$B$1002,"&lt;&gt;"&amp;""),"")</f>
        <v/>
      </c>
      <c r="L362" s="182" t="str">
        <f>IF(A362&lt;&gt;"",SUMIFS(deployment!$K$4:$K$1002, deployment!$D$4:$D$1002,"="&amp;A362, deployment!$D$4:$D$1002,"&lt;&gt;"&amp;"", deployment!$C$4:$C$1002, "&lt;&gt;* )")+SUMIFS(namespace!$H$4:$H$1002, namespace!$B$4:$B$1002,"="&amp;A362, namespace!$B$4:$B$1002,"&lt;&gt;"&amp;""),"")</f>
        <v/>
      </c>
      <c r="M362" s="115" t="str">
        <f>IF(A362&lt;&gt;"",SUMIFS(deployment!$L$4:$L$1002, deployment!$D$4:$D$1002,"="&amp;A362, deployment!$D$4:$D$1002,"&lt;&gt;"&amp;"", deployment!$C$4:$C$1002, "&lt;&gt;* )")+SUMIFS(namespace!$I$4:$I$1002, namespace!$B$4:$B$1002,"="&amp;A362, namespace!$B$4:$B$1002,"&lt;&gt;"&amp;""),"")</f>
        <v/>
      </c>
      <c r="N362" s="115" t="str">
        <f>IF(A362&lt;&gt;"",SUMIFS(deployment!$M$4:$M$1002, deployment!$D$4:$D$1002,"="&amp;A362, deployment!$D$4:$D$1002,"&lt;&gt;"&amp;"", deployment!$C$4:$C$1002, "&lt;&gt;* )")+SUMIFS(namespace!$J$4:$J$1002, namespace!$B$4:$B$1002,"="&amp;A362, namespace!$B$4:$B$1002,"&lt;&gt;"&amp;""),"")</f>
        <v/>
      </c>
      <c r="O362" s="116" t="str">
        <f t="shared" si="67"/>
        <v/>
      </c>
      <c r="P362" s="63"/>
      <c r="Q362" s="164" t="str">
        <f t="shared" si="62"/>
        <v/>
      </c>
      <c r="R362" s="60" t="str">
        <f t="shared" si="63"/>
        <v/>
      </c>
      <c r="S362" s="60" t="str">
        <f t="shared" si="64"/>
        <v/>
      </c>
      <c r="T362" s="61" t="str">
        <f t="shared" si="65"/>
        <v/>
      </c>
      <c r="U362" s="61" t="str">
        <f t="shared" si="66"/>
        <v/>
      </c>
      <c r="V362" s="183" t="str">
        <f t="shared" si="68"/>
        <v/>
      </c>
      <c r="W362" s="183" t="str">
        <f t="shared" si="69"/>
        <v/>
      </c>
      <c r="X362" s="61" t="str">
        <f t="shared" si="70"/>
        <v/>
      </c>
      <c r="Y362" s="61" t="str">
        <f t="shared" si="71"/>
        <v/>
      </c>
      <c r="Z362" s="118" t="str">
        <f t="shared" si="72"/>
        <v/>
      </c>
      <c r="AA362" s="62" t="str">
        <f t="shared" si="73"/>
        <v/>
      </c>
      <c r="AB362" s="119" t="str">
        <f>IF(A362&lt;&gt;"", IF(P362&lt;&gt;0,SUMIFS(node!$J$2:$J$1000, node!$C$2:$C$1000,"="&amp;A362)/P362,0), "")</f>
        <v/>
      </c>
      <c r="AC362" s="81" t="str">
        <f>IF(A362&lt;&gt;"", IF(P362&lt;&gt;0,SUMIFS(node!$K$2:$K$1000, node!$C$2:$C$1000,"="&amp;A362)/P362,0), "")</f>
        <v/>
      </c>
      <c r="AD362" s="82" t="str">
        <f>IF(A362&lt;&gt;"", SUMIFS(node!$L$2:$L$1000, node!$C$2:$C$1000,"="&amp;A362), "")</f>
        <v/>
      </c>
      <c r="AE362" s="87" t="str">
        <f>IF(A362&lt;&gt;"", SUMIFS(node!$M$2:$M$1000, node!$C$2:$C$1000,"="&amp;A362), "")</f>
        <v/>
      </c>
    </row>
    <row r="363" spans="1:31" ht="15.75" customHeight="1" x14ac:dyDescent="0.25">
      <c r="A363" s="71" t="str">
        <f>IF(ISNONTEXT(node_raw[[#This Row],[Column2]]), "", node_raw[[#This Row],[Column2]])</f>
        <v/>
      </c>
      <c r="B363" s="108" t="str">
        <f>IF(A363&lt;&gt;"", VLOOKUP(A363, node!$C$2:$D$1000, 2, FALSE), "")</f>
        <v/>
      </c>
      <c r="C363" s="109" t="str">
        <f>IF(A363&lt;&gt;"", VLOOKUP(A363, node!$C$2:$E$1000, 3, FALSE), "")</f>
        <v/>
      </c>
      <c r="D363" s="110" t="str">
        <f>IF(A363&lt;&gt;"",COUNTIFS(node!$C$2:$C$1000,"="&amp;A363, node!$C$2:$C$1000,"&lt;&gt;"&amp;""),"")</f>
        <v/>
      </c>
      <c r="E363" s="111" t="str">
        <f>IF(A363&lt;&gt;"",SUMIFS(node!$F$2:$F$500, node!$C$2:$C$500,"="&amp;A363, node!$C$2:$C$500,"&lt;&gt;"&amp;"")/(B363*D363),"")</f>
        <v/>
      </c>
      <c r="F363" s="112" t="str">
        <f>IF(A363&lt;&gt;"",SUMIFS(node!$H$2:$H$500, node!$C$2:$C$500,"="&amp;A363, node!$C$2:$C$500,"&lt;&gt;"&amp;"")/(C363*D363),"")</f>
        <v/>
      </c>
      <c r="G363" s="179" t="str">
        <f>IF(A363&lt;&gt;"",SUMIFS(deployment!$F$4:$F$502, deployment!$D$4:$D$502,"="&amp;A363, deployment!$D$4:$D$502,"&lt;&gt;"&amp;""),"")</f>
        <v/>
      </c>
      <c r="H363" s="181" t="str">
        <f>IF(A363&lt;&gt;"",SUMIFS(deployment!$G$4:$G$502, deployment!$D$4:$D$502,"="&amp;A363, deployment!$D$4:$D$502,"&lt;&gt;"&amp;""),"")</f>
        <v/>
      </c>
      <c r="I363" s="113" t="str">
        <f>IF(A363&lt;&gt;"",SUMIFS(deployment!$H$4:$H$502, deployment!$D$4:$D$502,"="&amp;A363, deployment!$D$4:$D$502,"&lt;&gt;"&amp;""),"")</f>
        <v/>
      </c>
      <c r="J363" s="114" t="str">
        <f>IF(A363&lt;&gt;"",SUMIFS(deployment!$I$4:$I$502, deployment!$D$4:$D$502,"="&amp;A363, deployment!$D$4:$D$502,"&lt;&gt;"&amp;""),"")</f>
        <v/>
      </c>
      <c r="K363" s="182" t="str">
        <f>IF(A363&lt;&gt;"",SUMIFS(deployment!$J$4:$J$1002, deployment!$D$4:$D$1002,"="&amp;A363, deployment!$D$4:$D$1002,"&lt;&gt;"&amp;"", deployment!$C$4:$C$1002, "&lt;&gt;* )")+SUMIFS(namespace!$G$4:$G$1002, namespace!$B$4:$B$1002,"="&amp;A363, namespace!$B$4:$B$1002,"&lt;&gt;"&amp;""),"")</f>
        <v/>
      </c>
      <c r="L363" s="182" t="str">
        <f>IF(A363&lt;&gt;"",SUMIFS(deployment!$K$4:$K$1002, deployment!$D$4:$D$1002,"="&amp;A363, deployment!$D$4:$D$1002,"&lt;&gt;"&amp;"", deployment!$C$4:$C$1002, "&lt;&gt;* )")+SUMIFS(namespace!$H$4:$H$1002, namespace!$B$4:$B$1002,"="&amp;A363, namespace!$B$4:$B$1002,"&lt;&gt;"&amp;""),"")</f>
        <v/>
      </c>
      <c r="M363" s="115" t="str">
        <f>IF(A363&lt;&gt;"",SUMIFS(deployment!$L$4:$L$1002, deployment!$D$4:$D$1002,"="&amp;A363, deployment!$D$4:$D$1002,"&lt;&gt;"&amp;"", deployment!$C$4:$C$1002, "&lt;&gt;* )")+SUMIFS(namespace!$I$4:$I$1002, namespace!$B$4:$B$1002,"="&amp;A363, namespace!$B$4:$B$1002,"&lt;&gt;"&amp;""),"")</f>
        <v/>
      </c>
      <c r="N363" s="115" t="str">
        <f>IF(A363&lt;&gt;"",SUMIFS(deployment!$M$4:$M$1002, deployment!$D$4:$D$1002,"="&amp;A363, deployment!$D$4:$D$1002,"&lt;&gt;"&amp;"", deployment!$C$4:$C$1002, "&lt;&gt;* )")+SUMIFS(namespace!$J$4:$J$1002, namespace!$B$4:$B$1002,"="&amp;A363, namespace!$B$4:$B$1002,"&lt;&gt;"&amp;""),"")</f>
        <v/>
      </c>
      <c r="O363" s="116" t="str">
        <f t="shared" si="67"/>
        <v/>
      </c>
      <c r="P363" s="63"/>
      <c r="Q363" s="164" t="str">
        <f t="shared" si="62"/>
        <v/>
      </c>
      <c r="R363" s="60" t="str">
        <f t="shared" si="63"/>
        <v/>
      </c>
      <c r="S363" s="60" t="str">
        <f t="shared" si="64"/>
        <v/>
      </c>
      <c r="T363" s="61" t="str">
        <f t="shared" si="65"/>
        <v/>
      </c>
      <c r="U363" s="61" t="str">
        <f t="shared" si="66"/>
        <v/>
      </c>
      <c r="V363" s="183" t="str">
        <f t="shared" si="68"/>
        <v/>
      </c>
      <c r="W363" s="183" t="str">
        <f t="shared" si="69"/>
        <v/>
      </c>
      <c r="X363" s="61" t="str">
        <f t="shared" si="70"/>
        <v/>
      </c>
      <c r="Y363" s="61" t="str">
        <f t="shared" si="71"/>
        <v/>
      </c>
      <c r="Z363" s="118" t="str">
        <f t="shared" si="72"/>
        <v/>
      </c>
      <c r="AA363" s="62" t="str">
        <f t="shared" si="73"/>
        <v/>
      </c>
      <c r="AB363" s="119" t="str">
        <f>IF(A363&lt;&gt;"", IF(P363&lt;&gt;0,SUMIFS(node!$J$2:$J$1000, node!$C$2:$C$1000,"="&amp;A363)/P363,0), "")</f>
        <v/>
      </c>
      <c r="AC363" s="81" t="str">
        <f>IF(A363&lt;&gt;"", IF(P363&lt;&gt;0,SUMIFS(node!$K$2:$K$1000, node!$C$2:$C$1000,"="&amp;A363)/P363,0), "")</f>
        <v/>
      </c>
      <c r="AD363" s="82" t="str">
        <f>IF(A363&lt;&gt;"", SUMIFS(node!$L$2:$L$1000, node!$C$2:$C$1000,"="&amp;A363), "")</f>
        <v/>
      </c>
      <c r="AE363" s="87" t="str">
        <f>IF(A363&lt;&gt;"", SUMIFS(node!$M$2:$M$1000, node!$C$2:$C$1000,"="&amp;A363), "")</f>
        <v/>
      </c>
    </row>
    <row r="364" spans="1:31" ht="15.75" customHeight="1" x14ac:dyDescent="0.25">
      <c r="A364" s="71" t="str">
        <f>IF(ISNONTEXT(node_raw[[#This Row],[Column2]]), "", node_raw[[#This Row],[Column2]])</f>
        <v/>
      </c>
      <c r="B364" s="108" t="str">
        <f>IF(A364&lt;&gt;"", VLOOKUP(A364, node!$C$2:$D$1000, 2, FALSE), "")</f>
        <v/>
      </c>
      <c r="C364" s="109" t="str">
        <f>IF(A364&lt;&gt;"", VLOOKUP(A364, node!$C$2:$E$1000, 3, FALSE), "")</f>
        <v/>
      </c>
      <c r="D364" s="110" t="str">
        <f>IF(A364&lt;&gt;"",COUNTIFS(node!$C$2:$C$1000,"="&amp;A364, node!$C$2:$C$1000,"&lt;&gt;"&amp;""),"")</f>
        <v/>
      </c>
      <c r="E364" s="111" t="str">
        <f>IF(A364&lt;&gt;"",SUMIFS(node!$F$2:$F$500, node!$C$2:$C$500,"="&amp;A364, node!$C$2:$C$500,"&lt;&gt;"&amp;"")/(B364*D364),"")</f>
        <v/>
      </c>
      <c r="F364" s="112" t="str">
        <f>IF(A364&lt;&gt;"",SUMIFS(node!$H$2:$H$500, node!$C$2:$C$500,"="&amp;A364, node!$C$2:$C$500,"&lt;&gt;"&amp;"")/(C364*D364),"")</f>
        <v/>
      </c>
      <c r="G364" s="179" t="str">
        <f>IF(A364&lt;&gt;"",SUMIFS(deployment!$F$4:$F$502, deployment!$D$4:$D$502,"="&amp;A364, deployment!$D$4:$D$502,"&lt;&gt;"&amp;""),"")</f>
        <v/>
      </c>
      <c r="H364" s="181" t="str">
        <f>IF(A364&lt;&gt;"",SUMIFS(deployment!$G$4:$G$502, deployment!$D$4:$D$502,"="&amp;A364, deployment!$D$4:$D$502,"&lt;&gt;"&amp;""),"")</f>
        <v/>
      </c>
      <c r="I364" s="113" t="str">
        <f>IF(A364&lt;&gt;"",SUMIFS(deployment!$H$4:$H$502, deployment!$D$4:$D$502,"="&amp;A364, deployment!$D$4:$D$502,"&lt;&gt;"&amp;""),"")</f>
        <v/>
      </c>
      <c r="J364" s="114" t="str">
        <f>IF(A364&lt;&gt;"",SUMIFS(deployment!$I$4:$I$502, deployment!$D$4:$D$502,"="&amp;A364, deployment!$D$4:$D$502,"&lt;&gt;"&amp;""),"")</f>
        <v/>
      </c>
      <c r="K364" s="182" t="str">
        <f>IF(A364&lt;&gt;"",SUMIFS(deployment!$J$4:$J$1002, deployment!$D$4:$D$1002,"="&amp;A364, deployment!$D$4:$D$1002,"&lt;&gt;"&amp;"", deployment!$C$4:$C$1002, "&lt;&gt;* )")+SUMIFS(namespace!$G$4:$G$1002, namespace!$B$4:$B$1002,"="&amp;A364, namespace!$B$4:$B$1002,"&lt;&gt;"&amp;""),"")</f>
        <v/>
      </c>
      <c r="L364" s="182" t="str">
        <f>IF(A364&lt;&gt;"",SUMIFS(deployment!$K$4:$K$1002, deployment!$D$4:$D$1002,"="&amp;A364, deployment!$D$4:$D$1002,"&lt;&gt;"&amp;"", deployment!$C$4:$C$1002, "&lt;&gt;* )")+SUMIFS(namespace!$H$4:$H$1002, namespace!$B$4:$B$1002,"="&amp;A364, namespace!$B$4:$B$1002,"&lt;&gt;"&amp;""),"")</f>
        <v/>
      </c>
      <c r="M364" s="115" t="str">
        <f>IF(A364&lt;&gt;"",SUMIFS(deployment!$L$4:$L$1002, deployment!$D$4:$D$1002,"="&amp;A364, deployment!$D$4:$D$1002,"&lt;&gt;"&amp;"", deployment!$C$4:$C$1002, "&lt;&gt;* )")+SUMIFS(namespace!$I$4:$I$1002, namespace!$B$4:$B$1002,"="&amp;A364, namespace!$B$4:$B$1002,"&lt;&gt;"&amp;""),"")</f>
        <v/>
      </c>
      <c r="N364" s="115" t="str">
        <f>IF(A364&lt;&gt;"",SUMIFS(deployment!$M$4:$M$1002, deployment!$D$4:$D$1002,"="&amp;A364, deployment!$D$4:$D$1002,"&lt;&gt;"&amp;"", deployment!$C$4:$C$1002, "&lt;&gt;* )")+SUMIFS(namespace!$J$4:$J$1002, namespace!$B$4:$B$1002,"="&amp;A364, namespace!$B$4:$B$1002,"&lt;&gt;"&amp;""),"")</f>
        <v/>
      </c>
      <c r="O364" s="116" t="str">
        <f t="shared" si="67"/>
        <v/>
      </c>
      <c r="P364" s="63"/>
      <c r="Q364" s="164" t="str">
        <f t="shared" si="62"/>
        <v/>
      </c>
      <c r="R364" s="60" t="str">
        <f t="shared" si="63"/>
        <v/>
      </c>
      <c r="S364" s="60" t="str">
        <f t="shared" si="64"/>
        <v/>
      </c>
      <c r="T364" s="61" t="str">
        <f t="shared" si="65"/>
        <v/>
      </c>
      <c r="U364" s="61" t="str">
        <f t="shared" si="66"/>
        <v/>
      </c>
      <c r="V364" s="183" t="str">
        <f t="shared" si="68"/>
        <v/>
      </c>
      <c r="W364" s="183" t="str">
        <f t="shared" si="69"/>
        <v/>
      </c>
      <c r="X364" s="61" t="str">
        <f t="shared" si="70"/>
        <v/>
      </c>
      <c r="Y364" s="61" t="str">
        <f t="shared" si="71"/>
        <v/>
      </c>
      <c r="Z364" s="118" t="str">
        <f t="shared" si="72"/>
        <v/>
      </c>
      <c r="AA364" s="62" t="str">
        <f t="shared" si="73"/>
        <v/>
      </c>
      <c r="AB364" s="119" t="str">
        <f>IF(A364&lt;&gt;"", IF(P364&lt;&gt;0,SUMIFS(node!$J$2:$J$1000, node!$C$2:$C$1000,"="&amp;A364)/P364,0), "")</f>
        <v/>
      </c>
      <c r="AC364" s="81" t="str">
        <f>IF(A364&lt;&gt;"", IF(P364&lt;&gt;0,SUMIFS(node!$K$2:$K$1000, node!$C$2:$C$1000,"="&amp;A364)/P364,0), "")</f>
        <v/>
      </c>
      <c r="AD364" s="82" t="str">
        <f>IF(A364&lt;&gt;"", SUMIFS(node!$L$2:$L$1000, node!$C$2:$C$1000,"="&amp;A364), "")</f>
        <v/>
      </c>
      <c r="AE364" s="87" t="str">
        <f>IF(A364&lt;&gt;"", SUMIFS(node!$M$2:$M$1000, node!$C$2:$C$1000,"="&amp;A364), "")</f>
        <v/>
      </c>
    </row>
    <row r="365" spans="1:31" ht="15.75" customHeight="1" x14ac:dyDescent="0.25">
      <c r="A365" s="71" t="str">
        <f>IF(ISNONTEXT(node_raw[[#This Row],[Column2]]), "", node_raw[[#This Row],[Column2]])</f>
        <v/>
      </c>
      <c r="B365" s="108" t="str">
        <f>IF(A365&lt;&gt;"", VLOOKUP(A365, node!$C$2:$D$1000, 2, FALSE), "")</f>
        <v/>
      </c>
      <c r="C365" s="109" t="str">
        <f>IF(A365&lt;&gt;"", VLOOKUP(A365, node!$C$2:$E$1000, 3, FALSE), "")</f>
        <v/>
      </c>
      <c r="D365" s="110" t="str">
        <f>IF(A365&lt;&gt;"",COUNTIFS(node!$C$2:$C$1000,"="&amp;A365, node!$C$2:$C$1000,"&lt;&gt;"&amp;""),"")</f>
        <v/>
      </c>
      <c r="E365" s="111" t="str">
        <f>IF(A365&lt;&gt;"",SUMIFS(node!$F$2:$F$500, node!$C$2:$C$500,"="&amp;A365, node!$C$2:$C$500,"&lt;&gt;"&amp;"")/(B365*D365),"")</f>
        <v/>
      </c>
      <c r="F365" s="112" t="str">
        <f>IF(A365&lt;&gt;"",SUMIFS(node!$H$2:$H$500, node!$C$2:$C$500,"="&amp;A365, node!$C$2:$C$500,"&lt;&gt;"&amp;"")/(C365*D365),"")</f>
        <v/>
      </c>
      <c r="G365" s="179" t="str">
        <f>IF(A365&lt;&gt;"",SUMIFS(deployment!$F$4:$F$502, deployment!$D$4:$D$502,"="&amp;A365, deployment!$D$4:$D$502,"&lt;&gt;"&amp;""),"")</f>
        <v/>
      </c>
      <c r="H365" s="181" t="str">
        <f>IF(A365&lt;&gt;"",SUMIFS(deployment!$G$4:$G$502, deployment!$D$4:$D$502,"="&amp;A365, deployment!$D$4:$D$502,"&lt;&gt;"&amp;""),"")</f>
        <v/>
      </c>
      <c r="I365" s="113" t="str">
        <f>IF(A365&lt;&gt;"",SUMIFS(deployment!$H$4:$H$502, deployment!$D$4:$D$502,"="&amp;A365, deployment!$D$4:$D$502,"&lt;&gt;"&amp;""),"")</f>
        <v/>
      </c>
      <c r="J365" s="114" t="str">
        <f>IF(A365&lt;&gt;"",SUMIFS(deployment!$I$4:$I$502, deployment!$D$4:$D$502,"="&amp;A365, deployment!$D$4:$D$502,"&lt;&gt;"&amp;""),"")</f>
        <v/>
      </c>
      <c r="K365" s="182" t="str">
        <f>IF(A365&lt;&gt;"",SUMIFS(deployment!$J$4:$J$1002, deployment!$D$4:$D$1002,"="&amp;A365, deployment!$D$4:$D$1002,"&lt;&gt;"&amp;"", deployment!$C$4:$C$1002, "&lt;&gt;* )")+SUMIFS(namespace!$G$4:$G$1002, namespace!$B$4:$B$1002,"="&amp;A365, namespace!$B$4:$B$1002,"&lt;&gt;"&amp;""),"")</f>
        <v/>
      </c>
      <c r="L365" s="182" t="str">
        <f>IF(A365&lt;&gt;"",SUMIFS(deployment!$K$4:$K$1002, deployment!$D$4:$D$1002,"="&amp;A365, deployment!$D$4:$D$1002,"&lt;&gt;"&amp;"", deployment!$C$4:$C$1002, "&lt;&gt;* )")+SUMIFS(namespace!$H$4:$H$1002, namespace!$B$4:$B$1002,"="&amp;A365, namespace!$B$4:$B$1002,"&lt;&gt;"&amp;""),"")</f>
        <v/>
      </c>
      <c r="M365" s="115" t="str">
        <f>IF(A365&lt;&gt;"",SUMIFS(deployment!$L$4:$L$1002, deployment!$D$4:$D$1002,"="&amp;A365, deployment!$D$4:$D$1002,"&lt;&gt;"&amp;"", deployment!$C$4:$C$1002, "&lt;&gt;* )")+SUMIFS(namespace!$I$4:$I$1002, namespace!$B$4:$B$1002,"="&amp;A365, namespace!$B$4:$B$1002,"&lt;&gt;"&amp;""),"")</f>
        <v/>
      </c>
      <c r="N365" s="115" t="str">
        <f>IF(A365&lt;&gt;"",SUMIFS(deployment!$M$4:$M$1002, deployment!$D$4:$D$1002,"="&amp;A365, deployment!$D$4:$D$1002,"&lt;&gt;"&amp;"", deployment!$C$4:$C$1002, "&lt;&gt;* )")+SUMIFS(namespace!$J$4:$J$1002, namespace!$B$4:$B$1002,"="&amp;A365, namespace!$B$4:$B$1002,"&lt;&gt;"&amp;""),"")</f>
        <v/>
      </c>
      <c r="O365" s="116" t="str">
        <f t="shared" si="67"/>
        <v/>
      </c>
      <c r="P365" s="63"/>
      <c r="Q365" s="164" t="str">
        <f t="shared" si="62"/>
        <v/>
      </c>
      <c r="R365" s="60" t="str">
        <f t="shared" si="63"/>
        <v/>
      </c>
      <c r="S365" s="60" t="str">
        <f t="shared" si="64"/>
        <v/>
      </c>
      <c r="T365" s="61" t="str">
        <f t="shared" si="65"/>
        <v/>
      </c>
      <c r="U365" s="61" t="str">
        <f t="shared" si="66"/>
        <v/>
      </c>
      <c r="V365" s="183" t="str">
        <f t="shared" si="68"/>
        <v/>
      </c>
      <c r="W365" s="183" t="str">
        <f t="shared" si="69"/>
        <v/>
      </c>
      <c r="X365" s="61" t="str">
        <f t="shared" si="70"/>
        <v/>
      </c>
      <c r="Y365" s="61" t="str">
        <f t="shared" si="71"/>
        <v/>
      </c>
      <c r="Z365" s="118" t="str">
        <f t="shared" si="72"/>
        <v/>
      </c>
      <c r="AA365" s="62" t="str">
        <f t="shared" si="73"/>
        <v/>
      </c>
      <c r="AB365" s="119" t="str">
        <f>IF(A365&lt;&gt;"", IF(P365&lt;&gt;0,SUMIFS(node!$J$2:$J$1000, node!$C$2:$C$1000,"="&amp;A365)/P365,0), "")</f>
        <v/>
      </c>
      <c r="AC365" s="81" t="str">
        <f>IF(A365&lt;&gt;"", IF(P365&lt;&gt;0,SUMIFS(node!$K$2:$K$1000, node!$C$2:$C$1000,"="&amp;A365)/P365,0), "")</f>
        <v/>
      </c>
      <c r="AD365" s="82" t="str">
        <f>IF(A365&lt;&gt;"", SUMIFS(node!$L$2:$L$1000, node!$C$2:$C$1000,"="&amp;A365), "")</f>
        <v/>
      </c>
      <c r="AE365" s="87" t="str">
        <f>IF(A365&lt;&gt;"", SUMIFS(node!$M$2:$M$1000, node!$C$2:$C$1000,"="&amp;A365), "")</f>
        <v/>
      </c>
    </row>
    <row r="366" spans="1:31" ht="15.75" customHeight="1" x14ac:dyDescent="0.25">
      <c r="A366" s="71" t="str">
        <f>IF(ISNONTEXT(node_raw[[#This Row],[Column2]]), "", node_raw[[#This Row],[Column2]])</f>
        <v/>
      </c>
      <c r="B366" s="108" t="str">
        <f>IF(A366&lt;&gt;"", VLOOKUP(A366, node!$C$2:$D$1000, 2, FALSE), "")</f>
        <v/>
      </c>
      <c r="C366" s="109" t="str">
        <f>IF(A366&lt;&gt;"", VLOOKUP(A366, node!$C$2:$E$1000, 3, FALSE), "")</f>
        <v/>
      </c>
      <c r="D366" s="110" t="str">
        <f>IF(A366&lt;&gt;"",COUNTIFS(node!$C$2:$C$1000,"="&amp;A366, node!$C$2:$C$1000,"&lt;&gt;"&amp;""),"")</f>
        <v/>
      </c>
      <c r="E366" s="111" t="str">
        <f>IF(A366&lt;&gt;"",SUMIFS(node!$F$2:$F$500, node!$C$2:$C$500,"="&amp;A366, node!$C$2:$C$500,"&lt;&gt;"&amp;"")/(B366*D366),"")</f>
        <v/>
      </c>
      <c r="F366" s="112" t="str">
        <f>IF(A366&lt;&gt;"",SUMIFS(node!$H$2:$H$500, node!$C$2:$C$500,"="&amp;A366, node!$C$2:$C$500,"&lt;&gt;"&amp;"")/(C366*D366),"")</f>
        <v/>
      </c>
      <c r="G366" s="179" t="str">
        <f>IF(A366&lt;&gt;"",SUMIFS(deployment!$F$4:$F$502, deployment!$D$4:$D$502,"="&amp;A366, deployment!$D$4:$D$502,"&lt;&gt;"&amp;""),"")</f>
        <v/>
      </c>
      <c r="H366" s="181" t="str">
        <f>IF(A366&lt;&gt;"",SUMIFS(deployment!$G$4:$G$502, deployment!$D$4:$D$502,"="&amp;A366, deployment!$D$4:$D$502,"&lt;&gt;"&amp;""),"")</f>
        <v/>
      </c>
      <c r="I366" s="113" t="str">
        <f>IF(A366&lt;&gt;"",SUMIFS(deployment!$H$4:$H$502, deployment!$D$4:$D$502,"="&amp;A366, deployment!$D$4:$D$502,"&lt;&gt;"&amp;""),"")</f>
        <v/>
      </c>
      <c r="J366" s="114" t="str">
        <f>IF(A366&lt;&gt;"",SUMIFS(deployment!$I$4:$I$502, deployment!$D$4:$D$502,"="&amp;A366, deployment!$D$4:$D$502,"&lt;&gt;"&amp;""),"")</f>
        <v/>
      </c>
      <c r="K366" s="182" t="str">
        <f>IF(A366&lt;&gt;"",SUMIFS(deployment!$J$4:$J$1002, deployment!$D$4:$D$1002,"="&amp;A366, deployment!$D$4:$D$1002,"&lt;&gt;"&amp;"", deployment!$C$4:$C$1002, "&lt;&gt;* )")+SUMIFS(namespace!$G$4:$G$1002, namespace!$B$4:$B$1002,"="&amp;A366, namespace!$B$4:$B$1002,"&lt;&gt;"&amp;""),"")</f>
        <v/>
      </c>
      <c r="L366" s="182" t="str">
        <f>IF(A366&lt;&gt;"",SUMIFS(deployment!$K$4:$K$1002, deployment!$D$4:$D$1002,"="&amp;A366, deployment!$D$4:$D$1002,"&lt;&gt;"&amp;"", deployment!$C$4:$C$1002, "&lt;&gt;* )")+SUMIFS(namespace!$H$4:$H$1002, namespace!$B$4:$B$1002,"="&amp;A366, namespace!$B$4:$B$1002,"&lt;&gt;"&amp;""),"")</f>
        <v/>
      </c>
      <c r="M366" s="115" t="str">
        <f>IF(A366&lt;&gt;"",SUMIFS(deployment!$L$4:$L$1002, deployment!$D$4:$D$1002,"="&amp;A366, deployment!$D$4:$D$1002,"&lt;&gt;"&amp;"", deployment!$C$4:$C$1002, "&lt;&gt;* )")+SUMIFS(namespace!$I$4:$I$1002, namespace!$B$4:$B$1002,"="&amp;A366, namespace!$B$4:$B$1002,"&lt;&gt;"&amp;""),"")</f>
        <v/>
      </c>
      <c r="N366" s="115" t="str">
        <f>IF(A366&lt;&gt;"",SUMIFS(deployment!$M$4:$M$1002, deployment!$D$4:$D$1002,"="&amp;A366, deployment!$D$4:$D$1002,"&lt;&gt;"&amp;"", deployment!$C$4:$C$1002, "&lt;&gt;* )")+SUMIFS(namespace!$J$4:$J$1002, namespace!$B$4:$B$1002,"="&amp;A366, namespace!$B$4:$B$1002,"&lt;&gt;"&amp;""),"")</f>
        <v/>
      </c>
      <c r="O366" s="116" t="str">
        <f t="shared" si="67"/>
        <v/>
      </c>
      <c r="P366" s="63"/>
      <c r="Q366" s="164" t="str">
        <f t="shared" si="62"/>
        <v/>
      </c>
      <c r="R366" s="60" t="str">
        <f t="shared" si="63"/>
        <v/>
      </c>
      <c r="S366" s="60" t="str">
        <f t="shared" si="64"/>
        <v/>
      </c>
      <c r="T366" s="61" t="str">
        <f t="shared" si="65"/>
        <v/>
      </c>
      <c r="U366" s="61" t="str">
        <f t="shared" si="66"/>
        <v/>
      </c>
      <c r="V366" s="183" t="str">
        <f t="shared" si="68"/>
        <v/>
      </c>
      <c r="W366" s="183" t="str">
        <f t="shared" si="69"/>
        <v/>
      </c>
      <c r="X366" s="61" t="str">
        <f t="shared" si="70"/>
        <v/>
      </c>
      <c r="Y366" s="61" t="str">
        <f t="shared" si="71"/>
        <v/>
      </c>
      <c r="Z366" s="118" t="str">
        <f t="shared" si="72"/>
        <v/>
      </c>
      <c r="AA366" s="62" t="str">
        <f t="shared" si="73"/>
        <v/>
      </c>
      <c r="AB366" s="119" t="str">
        <f>IF(A366&lt;&gt;"", IF(P366&lt;&gt;0,SUMIFS(node!$J$2:$J$1000, node!$C$2:$C$1000,"="&amp;A366)/P366,0), "")</f>
        <v/>
      </c>
      <c r="AC366" s="81" t="str">
        <f>IF(A366&lt;&gt;"", IF(P366&lt;&gt;0,SUMIFS(node!$K$2:$K$1000, node!$C$2:$C$1000,"="&amp;A366)/P366,0), "")</f>
        <v/>
      </c>
      <c r="AD366" s="82" t="str">
        <f>IF(A366&lt;&gt;"", SUMIFS(node!$L$2:$L$1000, node!$C$2:$C$1000,"="&amp;A366), "")</f>
        <v/>
      </c>
      <c r="AE366" s="87" t="str">
        <f>IF(A366&lt;&gt;"", SUMIFS(node!$M$2:$M$1000, node!$C$2:$C$1000,"="&amp;A366), "")</f>
        <v/>
      </c>
    </row>
    <row r="367" spans="1:31" ht="15.75" customHeight="1" x14ac:dyDescent="0.25">
      <c r="A367" s="71" t="str">
        <f>IF(ISNONTEXT(node_raw[[#This Row],[Column2]]), "", node_raw[[#This Row],[Column2]])</f>
        <v/>
      </c>
      <c r="B367" s="108" t="str">
        <f>IF(A367&lt;&gt;"", VLOOKUP(A367, node!$C$2:$D$1000, 2, FALSE), "")</f>
        <v/>
      </c>
      <c r="C367" s="109" t="str">
        <f>IF(A367&lt;&gt;"", VLOOKUP(A367, node!$C$2:$E$1000, 3, FALSE), "")</f>
        <v/>
      </c>
      <c r="D367" s="110" t="str">
        <f>IF(A367&lt;&gt;"",COUNTIFS(node!$C$2:$C$1000,"="&amp;A367, node!$C$2:$C$1000,"&lt;&gt;"&amp;""),"")</f>
        <v/>
      </c>
      <c r="E367" s="111" t="str">
        <f>IF(A367&lt;&gt;"",SUMIFS(node!$F$2:$F$500, node!$C$2:$C$500,"="&amp;A367, node!$C$2:$C$500,"&lt;&gt;"&amp;"")/(B367*D367),"")</f>
        <v/>
      </c>
      <c r="F367" s="112" t="str">
        <f>IF(A367&lt;&gt;"",SUMIFS(node!$H$2:$H$500, node!$C$2:$C$500,"="&amp;A367, node!$C$2:$C$500,"&lt;&gt;"&amp;"")/(C367*D367),"")</f>
        <v/>
      </c>
      <c r="G367" s="179" t="str">
        <f>IF(A367&lt;&gt;"",SUMIFS(deployment!$F$4:$F$502, deployment!$D$4:$D$502,"="&amp;A367, deployment!$D$4:$D$502,"&lt;&gt;"&amp;""),"")</f>
        <v/>
      </c>
      <c r="H367" s="181" t="str">
        <f>IF(A367&lt;&gt;"",SUMIFS(deployment!$G$4:$G$502, deployment!$D$4:$D$502,"="&amp;A367, deployment!$D$4:$D$502,"&lt;&gt;"&amp;""),"")</f>
        <v/>
      </c>
      <c r="I367" s="113" t="str">
        <f>IF(A367&lt;&gt;"",SUMIFS(deployment!$H$4:$H$502, deployment!$D$4:$D$502,"="&amp;A367, deployment!$D$4:$D$502,"&lt;&gt;"&amp;""),"")</f>
        <v/>
      </c>
      <c r="J367" s="114" t="str">
        <f>IF(A367&lt;&gt;"",SUMIFS(deployment!$I$4:$I$502, deployment!$D$4:$D$502,"="&amp;A367, deployment!$D$4:$D$502,"&lt;&gt;"&amp;""),"")</f>
        <v/>
      </c>
      <c r="K367" s="182" t="str">
        <f>IF(A367&lt;&gt;"",SUMIFS(deployment!$J$4:$J$1002, deployment!$D$4:$D$1002,"="&amp;A367, deployment!$D$4:$D$1002,"&lt;&gt;"&amp;"", deployment!$C$4:$C$1002, "&lt;&gt;* )")+SUMIFS(namespace!$G$4:$G$1002, namespace!$B$4:$B$1002,"="&amp;A367, namespace!$B$4:$B$1002,"&lt;&gt;"&amp;""),"")</f>
        <v/>
      </c>
      <c r="L367" s="182" t="str">
        <f>IF(A367&lt;&gt;"",SUMIFS(deployment!$K$4:$K$1002, deployment!$D$4:$D$1002,"="&amp;A367, deployment!$D$4:$D$1002,"&lt;&gt;"&amp;"", deployment!$C$4:$C$1002, "&lt;&gt;* )")+SUMIFS(namespace!$H$4:$H$1002, namespace!$B$4:$B$1002,"="&amp;A367, namespace!$B$4:$B$1002,"&lt;&gt;"&amp;""),"")</f>
        <v/>
      </c>
      <c r="M367" s="115" t="str">
        <f>IF(A367&lt;&gt;"",SUMIFS(deployment!$L$4:$L$1002, deployment!$D$4:$D$1002,"="&amp;A367, deployment!$D$4:$D$1002,"&lt;&gt;"&amp;"", deployment!$C$4:$C$1002, "&lt;&gt;* )")+SUMIFS(namespace!$I$4:$I$1002, namespace!$B$4:$B$1002,"="&amp;A367, namespace!$B$4:$B$1002,"&lt;&gt;"&amp;""),"")</f>
        <v/>
      </c>
      <c r="N367" s="115" t="str">
        <f>IF(A367&lt;&gt;"",SUMIFS(deployment!$M$4:$M$1002, deployment!$D$4:$D$1002,"="&amp;A367, deployment!$D$4:$D$1002,"&lt;&gt;"&amp;"", deployment!$C$4:$C$1002, "&lt;&gt;* )")+SUMIFS(namespace!$J$4:$J$1002, namespace!$B$4:$B$1002,"="&amp;A367, namespace!$B$4:$B$1002,"&lt;&gt;"&amp;""),"")</f>
        <v/>
      </c>
      <c r="O367" s="116" t="str">
        <f t="shared" si="67"/>
        <v/>
      </c>
      <c r="P367" s="63"/>
      <c r="Q367" s="164" t="str">
        <f t="shared" si="62"/>
        <v/>
      </c>
      <c r="R367" s="60" t="str">
        <f t="shared" si="63"/>
        <v/>
      </c>
      <c r="S367" s="60" t="str">
        <f t="shared" si="64"/>
        <v/>
      </c>
      <c r="T367" s="61" t="str">
        <f t="shared" si="65"/>
        <v/>
      </c>
      <c r="U367" s="61" t="str">
        <f t="shared" si="66"/>
        <v/>
      </c>
      <c r="V367" s="183" t="str">
        <f t="shared" si="68"/>
        <v/>
      </c>
      <c r="W367" s="183" t="str">
        <f t="shared" si="69"/>
        <v/>
      </c>
      <c r="X367" s="61" t="str">
        <f t="shared" si="70"/>
        <v/>
      </c>
      <c r="Y367" s="61" t="str">
        <f t="shared" si="71"/>
        <v/>
      </c>
      <c r="Z367" s="118" t="str">
        <f t="shared" si="72"/>
        <v/>
      </c>
      <c r="AA367" s="62" t="str">
        <f t="shared" si="73"/>
        <v/>
      </c>
      <c r="AB367" s="119" t="str">
        <f>IF(A367&lt;&gt;"", IF(P367&lt;&gt;0,SUMIFS(node!$J$2:$J$1000, node!$C$2:$C$1000,"="&amp;A367)/P367,0), "")</f>
        <v/>
      </c>
      <c r="AC367" s="81" t="str">
        <f>IF(A367&lt;&gt;"", IF(P367&lt;&gt;0,SUMIFS(node!$K$2:$K$1000, node!$C$2:$C$1000,"="&amp;A367)/P367,0), "")</f>
        <v/>
      </c>
      <c r="AD367" s="82" t="str">
        <f>IF(A367&lt;&gt;"", SUMIFS(node!$L$2:$L$1000, node!$C$2:$C$1000,"="&amp;A367), "")</f>
        <v/>
      </c>
      <c r="AE367" s="87" t="str">
        <f>IF(A367&lt;&gt;"", SUMIFS(node!$M$2:$M$1000, node!$C$2:$C$1000,"="&amp;A367), "")</f>
        <v/>
      </c>
    </row>
    <row r="368" spans="1:31" ht="15.75" customHeight="1" x14ac:dyDescent="0.25">
      <c r="A368" s="71" t="str">
        <f>IF(ISNONTEXT(node_raw[[#This Row],[Column2]]), "", node_raw[[#This Row],[Column2]])</f>
        <v/>
      </c>
      <c r="B368" s="108" t="str">
        <f>IF(A368&lt;&gt;"", VLOOKUP(A368, node!$C$2:$D$1000, 2, FALSE), "")</f>
        <v/>
      </c>
      <c r="C368" s="109" t="str">
        <f>IF(A368&lt;&gt;"", VLOOKUP(A368, node!$C$2:$E$1000, 3, FALSE), "")</f>
        <v/>
      </c>
      <c r="D368" s="110" t="str">
        <f>IF(A368&lt;&gt;"",COUNTIFS(node!$C$2:$C$1000,"="&amp;A368, node!$C$2:$C$1000,"&lt;&gt;"&amp;""),"")</f>
        <v/>
      </c>
      <c r="E368" s="111" t="str">
        <f>IF(A368&lt;&gt;"",SUMIFS(node!$F$2:$F$500, node!$C$2:$C$500,"="&amp;A368, node!$C$2:$C$500,"&lt;&gt;"&amp;"")/(B368*D368),"")</f>
        <v/>
      </c>
      <c r="F368" s="112" t="str">
        <f>IF(A368&lt;&gt;"",SUMIFS(node!$H$2:$H$500, node!$C$2:$C$500,"="&amp;A368, node!$C$2:$C$500,"&lt;&gt;"&amp;"")/(C368*D368),"")</f>
        <v/>
      </c>
      <c r="G368" s="179" t="str">
        <f>IF(A368&lt;&gt;"",SUMIFS(deployment!$F$4:$F$502, deployment!$D$4:$D$502,"="&amp;A368, deployment!$D$4:$D$502,"&lt;&gt;"&amp;""),"")</f>
        <v/>
      </c>
      <c r="H368" s="181" t="str">
        <f>IF(A368&lt;&gt;"",SUMIFS(deployment!$G$4:$G$502, deployment!$D$4:$D$502,"="&amp;A368, deployment!$D$4:$D$502,"&lt;&gt;"&amp;""),"")</f>
        <v/>
      </c>
      <c r="I368" s="113" t="str">
        <f>IF(A368&lt;&gt;"",SUMIFS(deployment!$H$4:$H$502, deployment!$D$4:$D$502,"="&amp;A368, deployment!$D$4:$D$502,"&lt;&gt;"&amp;""),"")</f>
        <v/>
      </c>
      <c r="J368" s="114" t="str">
        <f>IF(A368&lt;&gt;"",SUMIFS(deployment!$I$4:$I$502, deployment!$D$4:$D$502,"="&amp;A368, deployment!$D$4:$D$502,"&lt;&gt;"&amp;""),"")</f>
        <v/>
      </c>
      <c r="K368" s="182" t="str">
        <f>IF(A368&lt;&gt;"",SUMIFS(deployment!$J$4:$J$1002, deployment!$D$4:$D$1002,"="&amp;A368, deployment!$D$4:$D$1002,"&lt;&gt;"&amp;"", deployment!$C$4:$C$1002, "&lt;&gt;* )")+SUMIFS(namespace!$G$4:$G$1002, namespace!$B$4:$B$1002,"="&amp;A368, namespace!$B$4:$B$1002,"&lt;&gt;"&amp;""),"")</f>
        <v/>
      </c>
      <c r="L368" s="182" t="str">
        <f>IF(A368&lt;&gt;"",SUMIFS(deployment!$K$4:$K$1002, deployment!$D$4:$D$1002,"="&amp;A368, deployment!$D$4:$D$1002,"&lt;&gt;"&amp;"", deployment!$C$4:$C$1002, "&lt;&gt;* )")+SUMIFS(namespace!$H$4:$H$1002, namespace!$B$4:$B$1002,"="&amp;A368, namespace!$B$4:$B$1002,"&lt;&gt;"&amp;""),"")</f>
        <v/>
      </c>
      <c r="M368" s="115" t="str">
        <f>IF(A368&lt;&gt;"",SUMIFS(deployment!$L$4:$L$1002, deployment!$D$4:$D$1002,"="&amp;A368, deployment!$D$4:$D$1002,"&lt;&gt;"&amp;"", deployment!$C$4:$C$1002, "&lt;&gt;* )")+SUMIFS(namespace!$I$4:$I$1002, namespace!$B$4:$B$1002,"="&amp;A368, namespace!$B$4:$B$1002,"&lt;&gt;"&amp;""),"")</f>
        <v/>
      </c>
      <c r="N368" s="115" t="str">
        <f>IF(A368&lt;&gt;"",SUMIFS(deployment!$M$4:$M$1002, deployment!$D$4:$D$1002,"="&amp;A368, deployment!$D$4:$D$1002,"&lt;&gt;"&amp;"", deployment!$C$4:$C$1002, "&lt;&gt;* )")+SUMIFS(namespace!$J$4:$J$1002, namespace!$B$4:$B$1002,"="&amp;A368, namespace!$B$4:$B$1002,"&lt;&gt;"&amp;""),"")</f>
        <v/>
      </c>
      <c r="O368" s="116" t="str">
        <f t="shared" si="67"/>
        <v/>
      </c>
      <c r="P368" s="63"/>
      <c r="Q368" s="164" t="str">
        <f t="shared" si="62"/>
        <v/>
      </c>
      <c r="R368" s="60" t="str">
        <f t="shared" si="63"/>
        <v/>
      </c>
      <c r="S368" s="60" t="str">
        <f t="shared" si="64"/>
        <v/>
      </c>
      <c r="T368" s="61" t="str">
        <f t="shared" si="65"/>
        <v/>
      </c>
      <c r="U368" s="61" t="str">
        <f t="shared" si="66"/>
        <v/>
      </c>
      <c r="V368" s="183" t="str">
        <f t="shared" si="68"/>
        <v/>
      </c>
      <c r="W368" s="183" t="str">
        <f t="shared" si="69"/>
        <v/>
      </c>
      <c r="X368" s="61" t="str">
        <f t="shared" si="70"/>
        <v/>
      </c>
      <c r="Y368" s="61" t="str">
        <f t="shared" si="71"/>
        <v/>
      </c>
      <c r="Z368" s="118" t="str">
        <f t="shared" si="72"/>
        <v/>
      </c>
      <c r="AA368" s="62" t="str">
        <f t="shared" si="73"/>
        <v/>
      </c>
      <c r="AB368" s="119" t="str">
        <f>IF(A368&lt;&gt;"", IF(P368&lt;&gt;0,SUMIFS(node!$J$2:$J$1000, node!$C$2:$C$1000,"="&amp;A368)/P368,0), "")</f>
        <v/>
      </c>
      <c r="AC368" s="81" t="str">
        <f>IF(A368&lt;&gt;"", IF(P368&lt;&gt;0,SUMIFS(node!$K$2:$K$1000, node!$C$2:$C$1000,"="&amp;A368)/P368,0), "")</f>
        <v/>
      </c>
      <c r="AD368" s="82" t="str">
        <f>IF(A368&lt;&gt;"", SUMIFS(node!$L$2:$L$1000, node!$C$2:$C$1000,"="&amp;A368), "")</f>
        <v/>
      </c>
      <c r="AE368" s="87" t="str">
        <f>IF(A368&lt;&gt;"", SUMIFS(node!$M$2:$M$1000, node!$C$2:$C$1000,"="&amp;A368), "")</f>
        <v/>
      </c>
    </row>
    <row r="369" spans="1:31" ht="15.75" customHeight="1" x14ac:dyDescent="0.25">
      <c r="A369" s="71" t="str">
        <f>IF(ISNONTEXT(node_raw[[#This Row],[Column2]]), "", node_raw[[#This Row],[Column2]])</f>
        <v/>
      </c>
      <c r="B369" s="108" t="str">
        <f>IF(A369&lt;&gt;"", VLOOKUP(A369, node!$C$2:$D$1000, 2, FALSE), "")</f>
        <v/>
      </c>
      <c r="C369" s="109" t="str">
        <f>IF(A369&lt;&gt;"", VLOOKUP(A369, node!$C$2:$E$1000, 3, FALSE), "")</f>
        <v/>
      </c>
      <c r="D369" s="110" t="str">
        <f>IF(A369&lt;&gt;"",COUNTIFS(node!$C$2:$C$1000,"="&amp;A369, node!$C$2:$C$1000,"&lt;&gt;"&amp;""),"")</f>
        <v/>
      </c>
      <c r="E369" s="111" t="str">
        <f>IF(A369&lt;&gt;"",SUMIFS(node!$F$2:$F$500, node!$C$2:$C$500,"="&amp;A369, node!$C$2:$C$500,"&lt;&gt;"&amp;"")/(B369*D369),"")</f>
        <v/>
      </c>
      <c r="F369" s="112" t="str">
        <f>IF(A369&lt;&gt;"",SUMIFS(node!$H$2:$H$500, node!$C$2:$C$500,"="&amp;A369, node!$C$2:$C$500,"&lt;&gt;"&amp;"")/(C369*D369),"")</f>
        <v/>
      </c>
      <c r="G369" s="179" t="str">
        <f>IF(A369&lt;&gt;"",SUMIFS(deployment!$F$4:$F$502, deployment!$D$4:$D$502,"="&amp;A369, deployment!$D$4:$D$502,"&lt;&gt;"&amp;""),"")</f>
        <v/>
      </c>
      <c r="H369" s="181" t="str">
        <f>IF(A369&lt;&gt;"",SUMIFS(deployment!$G$4:$G$502, deployment!$D$4:$D$502,"="&amp;A369, deployment!$D$4:$D$502,"&lt;&gt;"&amp;""),"")</f>
        <v/>
      </c>
      <c r="I369" s="113" t="str">
        <f>IF(A369&lt;&gt;"",SUMIFS(deployment!$H$4:$H$502, deployment!$D$4:$D$502,"="&amp;A369, deployment!$D$4:$D$502,"&lt;&gt;"&amp;""),"")</f>
        <v/>
      </c>
      <c r="J369" s="114" t="str">
        <f>IF(A369&lt;&gt;"",SUMIFS(deployment!$I$4:$I$502, deployment!$D$4:$D$502,"="&amp;A369, deployment!$D$4:$D$502,"&lt;&gt;"&amp;""),"")</f>
        <v/>
      </c>
      <c r="K369" s="182" t="str">
        <f>IF(A369&lt;&gt;"",SUMIFS(deployment!$J$4:$J$1002, deployment!$D$4:$D$1002,"="&amp;A369, deployment!$D$4:$D$1002,"&lt;&gt;"&amp;"", deployment!$C$4:$C$1002, "&lt;&gt;* )")+SUMIFS(namespace!$G$4:$G$1002, namespace!$B$4:$B$1002,"="&amp;A369, namespace!$B$4:$B$1002,"&lt;&gt;"&amp;""),"")</f>
        <v/>
      </c>
      <c r="L369" s="182" t="str">
        <f>IF(A369&lt;&gt;"",SUMIFS(deployment!$K$4:$K$1002, deployment!$D$4:$D$1002,"="&amp;A369, deployment!$D$4:$D$1002,"&lt;&gt;"&amp;"", deployment!$C$4:$C$1002, "&lt;&gt;* )")+SUMIFS(namespace!$H$4:$H$1002, namespace!$B$4:$B$1002,"="&amp;A369, namespace!$B$4:$B$1002,"&lt;&gt;"&amp;""),"")</f>
        <v/>
      </c>
      <c r="M369" s="115" t="str">
        <f>IF(A369&lt;&gt;"",SUMIFS(deployment!$L$4:$L$1002, deployment!$D$4:$D$1002,"="&amp;A369, deployment!$D$4:$D$1002,"&lt;&gt;"&amp;"", deployment!$C$4:$C$1002, "&lt;&gt;* )")+SUMIFS(namespace!$I$4:$I$1002, namespace!$B$4:$B$1002,"="&amp;A369, namespace!$B$4:$B$1002,"&lt;&gt;"&amp;""),"")</f>
        <v/>
      </c>
      <c r="N369" s="115" t="str">
        <f>IF(A369&lt;&gt;"",SUMIFS(deployment!$M$4:$M$1002, deployment!$D$4:$D$1002,"="&amp;A369, deployment!$D$4:$D$1002,"&lt;&gt;"&amp;"", deployment!$C$4:$C$1002, "&lt;&gt;* )")+SUMIFS(namespace!$J$4:$J$1002, namespace!$B$4:$B$1002,"="&amp;A369, namespace!$B$4:$B$1002,"&lt;&gt;"&amp;""),"")</f>
        <v/>
      </c>
      <c r="O369" s="116" t="str">
        <f t="shared" si="67"/>
        <v/>
      </c>
      <c r="P369" s="63"/>
      <c r="Q369" s="164" t="str">
        <f t="shared" si="62"/>
        <v/>
      </c>
      <c r="R369" s="60" t="str">
        <f t="shared" si="63"/>
        <v/>
      </c>
      <c r="S369" s="60" t="str">
        <f t="shared" si="64"/>
        <v/>
      </c>
      <c r="T369" s="61" t="str">
        <f t="shared" si="65"/>
        <v/>
      </c>
      <c r="U369" s="61" t="str">
        <f t="shared" si="66"/>
        <v/>
      </c>
      <c r="V369" s="183" t="str">
        <f t="shared" si="68"/>
        <v/>
      </c>
      <c r="W369" s="183" t="str">
        <f t="shared" si="69"/>
        <v/>
      </c>
      <c r="X369" s="61" t="str">
        <f t="shared" si="70"/>
        <v/>
      </c>
      <c r="Y369" s="61" t="str">
        <f t="shared" si="71"/>
        <v/>
      </c>
      <c r="Z369" s="118" t="str">
        <f t="shared" si="72"/>
        <v/>
      </c>
      <c r="AA369" s="62" t="str">
        <f t="shared" si="73"/>
        <v/>
      </c>
      <c r="AB369" s="119" t="str">
        <f>IF(A369&lt;&gt;"", IF(P369&lt;&gt;0,SUMIFS(node!$J$2:$J$1000, node!$C$2:$C$1000,"="&amp;A369)/P369,0), "")</f>
        <v/>
      </c>
      <c r="AC369" s="81" t="str">
        <f>IF(A369&lt;&gt;"", IF(P369&lt;&gt;0,SUMIFS(node!$K$2:$K$1000, node!$C$2:$C$1000,"="&amp;A369)/P369,0), "")</f>
        <v/>
      </c>
      <c r="AD369" s="82" t="str">
        <f>IF(A369&lt;&gt;"", SUMIFS(node!$L$2:$L$1000, node!$C$2:$C$1000,"="&amp;A369), "")</f>
        <v/>
      </c>
      <c r="AE369" s="87" t="str">
        <f>IF(A369&lt;&gt;"", SUMIFS(node!$M$2:$M$1000, node!$C$2:$C$1000,"="&amp;A369), "")</f>
        <v/>
      </c>
    </row>
    <row r="370" spans="1:31" ht="15.75" customHeight="1" x14ac:dyDescent="0.25">
      <c r="A370" s="71" t="str">
        <f>IF(ISNONTEXT(node_raw[[#This Row],[Column2]]), "", node_raw[[#This Row],[Column2]])</f>
        <v/>
      </c>
      <c r="B370" s="108" t="str">
        <f>IF(A370&lt;&gt;"", VLOOKUP(A370, node!$C$2:$D$1000, 2, FALSE), "")</f>
        <v/>
      </c>
      <c r="C370" s="109" t="str">
        <f>IF(A370&lt;&gt;"", VLOOKUP(A370, node!$C$2:$E$1000, 3, FALSE), "")</f>
        <v/>
      </c>
      <c r="D370" s="110" t="str">
        <f>IF(A370&lt;&gt;"",COUNTIFS(node!$C$2:$C$1000,"="&amp;A370, node!$C$2:$C$1000,"&lt;&gt;"&amp;""),"")</f>
        <v/>
      </c>
      <c r="E370" s="111" t="str">
        <f>IF(A370&lt;&gt;"",SUMIFS(node!$F$2:$F$500, node!$C$2:$C$500,"="&amp;A370, node!$C$2:$C$500,"&lt;&gt;"&amp;"")/(B370*D370),"")</f>
        <v/>
      </c>
      <c r="F370" s="112" t="str">
        <f>IF(A370&lt;&gt;"",SUMIFS(node!$H$2:$H$500, node!$C$2:$C$500,"="&amp;A370, node!$C$2:$C$500,"&lt;&gt;"&amp;"")/(C370*D370),"")</f>
        <v/>
      </c>
      <c r="G370" s="179" t="str">
        <f>IF(A370&lt;&gt;"",SUMIFS(deployment!$F$4:$F$502, deployment!$D$4:$D$502,"="&amp;A370, deployment!$D$4:$D$502,"&lt;&gt;"&amp;""),"")</f>
        <v/>
      </c>
      <c r="H370" s="181" t="str">
        <f>IF(A370&lt;&gt;"",SUMIFS(deployment!$G$4:$G$502, deployment!$D$4:$D$502,"="&amp;A370, deployment!$D$4:$D$502,"&lt;&gt;"&amp;""),"")</f>
        <v/>
      </c>
      <c r="I370" s="113" t="str">
        <f>IF(A370&lt;&gt;"",SUMIFS(deployment!$H$4:$H$502, deployment!$D$4:$D$502,"="&amp;A370, deployment!$D$4:$D$502,"&lt;&gt;"&amp;""),"")</f>
        <v/>
      </c>
      <c r="J370" s="114" t="str">
        <f>IF(A370&lt;&gt;"",SUMIFS(deployment!$I$4:$I$502, deployment!$D$4:$D$502,"="&amp;A370, deployment!$D$4:$D$502,"&lt;&gt;"&amp;""),"")</f>
        <v/>
      </c>
      <c r="K370" s="182" t="str">
        <f>IF(A370&lt;&gt;"",SUMIFS(deployment!$J$4:$J$1002, deployment!$D$4:$D$1002,"="&amp;A370, deployment!$D$4:$D$1002,"&lt;&gt;"&amp;"", deployment!$C$4:$C$1002, "&lt;&gt;* )")+SUMIFS(namespace!$G$4:$G$1002, namespace!$B$4:$B$1002,"="&amp;A370, namespace!$B$4:$B$1002,"&lt;&gt;"&amp;""),"")</f>
        <v/>
      </c>
      <c r="L370" s="182" t="str">
        <f>IF(A370&lt;&gt;"",SUMIFS(deployment!$K$4:$K$1002, deployment!$D$4:$D$1002,"="&amp;A370, deployment!$D$4:$D$1002,"&lt;&gt;"&amp;"", deployment!$C$4:$C$1002, "&lt;&gt;* )")+SUMIFS(namespace!$H$4:$H$1002, namespace!$B$4:$B$1002,"="&amp;A370, namespace!$B$4:$B$1002,"&lt;&gt;"&amp;""),"")</f>
        <v/>
      </c>
      <c r="M370" s="115" t="str">
        <f>IF(A370&lt;&gt;"",SUMIFS(deployment!$L$4:$L$1002, deployment!$D$4:$D$1002,"="&amp;A370, deployment!$D$4:$D$1002,"&lt;&gt;"&amp;"", deployment!$C$4:$C$1002, "&lt;&gt;* )")+SUMIFS(namespace!$I$4:$I$1002, namespace!$B$4:$B$1002,"="&amp;A370, namespace!$B$4:$B$1002,"&lt;&gt;"&amp;""),"")</f>
        <v/>
      </c>
      <c r="N370" s="115" t="str">
        <f>IF(A370&lt;&gt;"",SUMIFS(deployment!$M$4:$M$1002, deployment!$D$4:$D$1002,"="&amp;A370, deployment!$D$4:$D$1002,"&lt;&gt;"&amp;"", deployment!$C$4:$C$1002, "&lt;&gt;* )")+SUMIFS(namespace!$J$4:$J$1002, namespace!$B$4:$B$1002,"="&amp;A370, namespace!$B$4:$B$1002,"&lt;&gt;"&amp;""),"")</f>
        <v/>
      </c>
      <c r="O370" s="116" t="str">
        <f t="shared" si="67"/>
        <v/>
      </c>
      <c r="P370" s="63"/>
      <c r="Q370" s="164" t="str">
        <f t="shared" si="62"/>
        <v/>
      </c>
      <c r="R370" s="60" t="str">
        <f t="shared" si="63"/>
        <v/>
      </c>
      <c r="S370" s="60" t="str">
        <f t="shared" si="64"/>
        <v/>
      </c>
      <c r="T370" s="61" t="str">
        <f t="shared" si="65"/>
        <v/>
      </c>
      <c r="U370" s="61" t="str">
        <f t="shared" si="66"/>
        <v/>
      </c>
      <c r="V370" s="183" t="str">
        <f t="shared" si="68"/>
        <v/>
      </c>
      <c r="W370" s="183" t="str">
        <f t="shared" si="69"/>
        <v/>
      </c>
      <c r="X370" s="61" t="str">
        <f t="shared" si="70"/>
        <v/>
      </c>
      <c r="Y370" s="61" t="str">
        <f t="shared" si="71"/>
        <v/>
      </c>
      <c r="Z370" s="118" t="str">
        <f t="shared" si="72"/>
        <v/>
      </c>
      <c r="AA370" s="62" t="str">
        <f t="shared" si="73"/>
        <v/>
      </c>
      <c r="AB370" s="119" t="str">
        <f>IF(A370&lt;&gt;"", IF(P370&lt;&gt;0,SUMIFS(node!$J$2:$J$1000, node!$C$2:$C$1000,"="&amp;A370)/P370,0), "")</f>
        <v/>
      </c>
      <c r="AC370" s="81" t="str">
        <f>IF(A370&lt;&gt;"", IF(P370&lt;&gt;0,SUMIFS(node!$K$2:$K$1000, node!$C$2:$C$1000,"="&amp;A370)/P370,0), "")</f>
        <v/>
      </c>
      <c r="AD370" s="82" t="str">
        <f>IF(A370&lt;&gt;"", SUMIFS(node!$L$2:$L$1000, node!$C$2:$C$1000,"="&amp;A370), "")</f>
        <v/>
      </c>
      <c r="AE370" s="87" t="str">
        <f>IF(A370&lt;&gt;"", SUMIFS(node!$M$2:$M$1000, node!$C$2:$C$1000,"="&amp;A370), "")</f>
        <v/>
      </c>
    </row>
    <row r="371" spans="1:31" ht="15.75" customHeight="1" x14ac:dyDescent="0.25">
      <c r="A371" s="71" t="str">
        <f>IF(ISNONTEXT(node_raw[[#This Row],[Column2]]), "", node_raw[[#This Row],[Column2]])</f>
        <v/>
      </c>
      <c r="B371" s="108" t="str">
        <f>IF(A371&lt;&gt;"", VLOOKUP(A371, node!$C$2:$D$1000, 2, FALSE), "")</f>
        <v/>
      </c>
      <c r="C371" s="109" t="str">
        <f>IF(A371&lt;&gt;"", VLOOKUP(A371, node!$C$2:$E$1000, 3, FALSE), "")</f>
        <v/>
      </c>
      <c r="D371" s="110" t="str">
        <f>IF(A371&lt;&gt;"",COUNTIFS(node!$C$2:$C$1000,"="&amp;A371, node!$C$2:$C$1000,"&lt;&gt;"&amp;""),"")</f>
        <v/>
      </c>
      <c r="E371" s="111" t="str">
        <f>IF(A371&lt;&gt;"",SUMIFS(node!$F$2:$F$500, node!$C$2:$C$500,"="&amp;A371, node!$C$2:$C$500,"&lt;&gt;"&amp;"")/(B371*D371),"")</f>
        <v/>
      </c>
      <c r="F371" s="112" t="str">
        <f>IF(A371&lt;&gt;"",SUMIFS(node!$H$2:$H$500, node!$C$2:$C$500,"="&amp;A371, node!$C$2:$C$500,"&lt;&gt;"&amp;"")/(C371*D371),"")</f>
        <v/>
      </c>
      <c r="G371" s="179" t="str">
        <f>IF(A371&lt;&gt;"",SUMIFS(deployment!$F$4:$F$502, deployment!$D$4:$D$502,"="&amp;A371, deployment!$D$4:$D$502,"&lt;&gt;"&amp;""),"")</f>
        <v/>
      </c>
      <c r="H371" s="181" t="str">
        <f>IF(A371&lt;&gt;"",SUMIFS(deployment!$G$4:$G$502, deployment!$D$4:$D$502,"="&amp;A371, deployment!$D$4:$D$502,"&lt;&gt;"&amp;""),"")</f>
        <v/>
      </c>
      <c r="I371" s="113" t="str">
        <f>IF(A371&lt;&gt;"",SUMIFS(deployment!$H$4:$H$502, deployment!$D$4:$D$502,"="&amp;A371, deployment!$D$4:$D$502,"&lt;&gt;"&amp;""),"")</f>
        <v/>
      </c>
      <c r="J371" s="114" t="str">
        <f>IF(A371&lt;&gt;"",SUMIFS(deployment!$I$4:$I$502, deployment!$D$4:$D$502,"="&amp;A371, deployment!$D$4:$D$502,"&lt;&gt;"&amp;""),"")</f>
        <v/>
      </c>
      <c r="K371" s="182" t="str">
        <f>IF(A371&lt;&gt;"",SUMIFS(deployment!$J$4:$J$1002, deployment!$D$4:$D$1002,"="&amp;A371, deployment!$D$4:$D$1002,"&lt;&gt;"&amp;"", deployment!$C$4:$C$1002, "&lt;&gt;* )")+SUMIFS(namespace!$G$4:$G$1002, namespace!$B$4:$B$1002,"="&amp;A371, namespace!$B$4:$B$1002,"&lt;&gt;"&amp;""),"")</f>
        <v/>
      </c>
      <c r="L371" s="182" t="str">
        <f>IF(A371&lt;&gt;"",SUMIFS(deployment!$K$4:$K$1002, deployment!$D$4:$D$1002,"="&amp;A371, deployment!$D$4:$D$1002,"&lt;&gt;"&amp;"", deployment!$C$4:$C$1002, "&lt;&gt;* )")+SUMIFS(namespace!$H$4:$H$1002, namespace!$B$4:$B$1002,"="&amp;A371, namespace!$B$4:$B$1002,"&lt;&gt;"&amp;""),"")</f>
        <v/>
      </c>
      <c r="M371" s="115" t="str">
        <f>IF(A371&lt;&gt;"",SUMIFS(deployment!$L$4:$L$1002, deployment!$D$4:$D$1002,"="&amp;A371, deployment!$D$4:$D$1002,"&lt;&gt;"&amp;"", deployment!$C$4:$C$1002, "&lt;&gt;* )")+SUMIFS(namespace!$I$4:$I$1002, namespace!$B$4:$B$1002,"="&amp;A371, namespace!$B$4:$B$1002,"&lt;&gt;"&amp;""),"")</f>
        <v/>
      </c>
      <c r="N371" s="115" t="str">
        <f>IF(A371&lt;&gt;"",SUMIFS(deployment!$M$4:$M$1002, deployment!$D$4:$D$1002,"="&amp;A371, deployment!$D$4:$D$1002,"&lt;&gt;"&amp;"", deployment!$C$4:$C$1002, "&lt;&gt;* )")+SUMIFS(namespace!$J$4:$J$1002, namespace!$B$4:$B$1002,"="&amp;A371, namespace!$B$4:$B$1002,"&lt;&gt;"&amp;""),"")</f>
        <v/>
      </c>
      <c r="O371" s="116" t="str">
        <f t="shared" si="67"/>
        <v/>
      </c>
      <c r="P371" s="63"/>
      <c r="Q371" s="164" t="str">
        <f t="shared" si="62"/>
        <v/>
      </c>
      <c r="R371" s="60" t="str">
        <f t="shared" si="63"/>
        <v/>
      </c>
      <c r="S371" s="60" t="str">
        <f t="shared" si="64"/>
        <v/>
      </c>
      <c r="T371" s="61" t="str">
        <f t="shared" si="65"/>
        <v/>
      </c>
      <c r="U371" s="61" t="str">
        <f t="shared" si="66"/>
        <v/>
      </c>
      <c r="V371" s="183" t="str">
        <f t="shared" si="68"/>
        <v/>
      </c>
      <c r="W371" s="183" t="str">
        <f t="shared" si="69"/>
        <v/>
      </c>
      <c r="X371" s="61" t="str">
        <f t="shared" si="70"/>
        <v/>
      </c>
      <c r="Y371" s="61" t="str">
        <f t="shared" si="71"/>
        <v/>
      </c>
      <c r="Z371" s="118" t="str">
        <f t="shared" si="72"/>
        <v/>
      </c>
      <c r="AA371" s="62" t="str">
        <f t="shared" si="73"/>
        <v/>
      </c>
      <c r="AB371" s="119" t="str">
        <f>IF(A371&lt;&gt;"", IF(P371&lt;&gt;0,SUMIFS(node!$J$2:$J$1000, node!$C$2:$C$1000,"="&amp;A371)/P371,0), "")</f>
        <v/>
      </c>
      <c r="AC371" s="81" t="str">
        <f>IF(A371&lt;&gt;"", IF(P371&lt;&gt;0,SUMIFS(node!$K$2:$K$1000, node!$C$2:$C$1000,"="&amp;A371)/P371,0), "")</f>
        <v/>
      </c>
      <c r="AD371" s="82" t="str">
        <f>IF(A371&lt;&gt;"", SUMIFS(node!$L$2:$L$1000, node!$C$2:$C$1000,"="&amp;A371), "")</f>
        <v/>
      </c>
      <c r="AE371" s="87" t="str">
        <f>IF(A371&lt;&gt;"", SUMIFS(node!$M$2:$M$1000, node!$C$2:$C$1000,"="&amp;A371), "")</f>
        <v/>
      </c>
    </row>
    <row r="372" spans="1:31" ht="15.75" customHeight="1" x14ac:dyDescent="0.25">
      <c r="A372" s="71" t="str">
        <f>IF(ISNONTEXT(node_raw[[#This Row],[Column2]]), "", node_raw[[#This Row],[Column2]])</f>
        <v/>
      </c>
      <c r="B372" s="108" t="str">
        <f>IF(A372&lt;&gt;"", VLOOKUP(A372, node!$C$2:$D$1000, 2, FALSE), "")</f>
        <v/>
      </c>
      <c r="C372" s="109" t="str">
        <f>IF(A372&lt;&gt;"", VLOOKUP(A372, node!$C$2:$E$1000, 3, FALSE), "")</f>
        <v/>
      </c>
      <c r="D372" s="110" t="str">
        <f>IF(A372&lt;&gt;"",COUNTIFS(node!$C$2:$C$1000,"="&amp;A372, node!$C$2:$C$1000,"&lt;&gt;"&amp;""),"")</f>
        <v/>
      </c>
      <c r="E372" s="111" t="str">
        <f>IF(A372&lt;&gt;"",SUMIFS(node!$F$2:$F$500, node!$C$2:$C$500,"="&amp;A372, node!$C$2:$C$500,"&lt;&gt;"&amp;"")/(B372*D372),"")</f>
        <v/>
      </c>
      <c r="F372" s="112" t="str">
        <f>IF(A372&lt;&gt;"",SUMIFS(node!$H$2:$H$500, node!$C$2:$C$500,"="&amp;A372, node!$C$2:$C$500,"&lt;&gt;"&amp;"")/(C372*D372),"")</f>
        <v/>
      </c>
      <c r="G372" s="179" t="str">
        <f>IF(A372&lt;&gt;"",SUMIFS(deployment!$F$4:$F$502, deployment!$D$4:$D$502,"="&amp;A372, deployment!$D$4:$D$502,"&lt;&gt;"&amp;""),"")</f>
        <v/>
      </c>
      <c r="H372" s="181" t="str">
        <f>IF(A372&lt;&gt;"",SUMIFS(deployment!$G$4:$G$502, deployment!$D$4:$D$502,"="&amp;A372, deployment!$D$4:$D$502,"&lt;&gt;"&amp;""),"")</f>
        <v/>
      </c>
      <c r="I372" s="113" t="str">
        <f>IF(A372&lt;&gt;"",SUMIFS(deployment!$H$4:$H$502, deployment!$D$4:$D$502,"="&amp;A372, deployment!$D$4:$D$502,"&lt;&gt;"&amp;""),"")</f>
        <v/>
      </c>
      <c r="J372" s="114" t="str">
        <f>IF(A372&lt;&gt;"",SUMIFS(deployment!$I$4:$I$502, deployment!$D$4:$D$502,"="&amp;A372, deployment!$D$4:$D$502,"&lt;&gt;"&amp;""),"")</f>
        <v/>
      </c>
      <c r="K372" s="182" t="str">
        <f>IF(A372&lt;&gt;"",SUMIFS(deployment!$J$4:$J$1002, deployment!$D$4:$D$1002,"="&amp;A372, deployment!$D$4:$D$1002,"&lt;&gt;"&amp;"", deployment!$C$4:$C$1002, "&lt;&gt;* )")+SUMIFS(namespace!$G$4:$G$1002, namespace!$B$4:$B$1002,"="&amp;A372, namespace!$B$4:$B$1002,"&lt;&gt;"&amp;""),"")</f>
        <v/>
      </c>
      <c r="L372" s="182" t="str">
        <f>IF(A372&lt;&gt;"",SUMIFS(deployment!$K$4:$K$1002, deployment!$D$4:$D$1002,"="&amp;A372, deployment!$D$4:$D$1002,"&lt;&gt;"&amp;"", deployment!$C$4:$C$1002, "&lt;&gt;* )")+SUMIFS(namespace!$H$4:$H$1002, namespace!$B$4:$B$1002,"="&amp;A372, namespace!$B$4:$B$1002,"&lt;&gt;"&amp;""),"")</f>
        <v/>
      </c>
      <c r="M372" s="115" t="str">
        <f>IF(A372&lt;&gt;"",SUMIFS(deployment!$L$4:$L$1002, deployment!$D$4:$D$1002,"="&amp;A372, deployment!$D$4:$D$1002,"&lt;&gt;"&amp;"", deployment!$C$4:$C$1002, "&lt;&gt;* )")+SUMIFS(namespace!$I$4:$I$1002, namespace!$B$4:$B$1002,"="&amp;A372, namespace!$B$4:$B$1002,"&lt;&gt;"&amp;""),"")</f>
        <v/>
      </c>
      <c r="N372" s="115" t="str">
        <f>IF(A372&lt;&gt;"",SUMIFS(deployment!$M$4:$M$1002, deployment!$D$4:$D$1002,"="&amp;A372, deployment!$D$4:$D$1002,"&lt;&gt;"&amp;"", deployment!$C$4:$C$1002, "&lt;&gt;* )")+SUMIFS(namespace!$J$4:$J$1002, namespace!$B$4:$B$1002,"="&amp;A372, namespace!$B$4:$B$1002,"&lt;&gt;"&amp;""),"")</f>
        <v/>
      </c>
      <c r="O372" s="116" t="str">
        <f t="shared" si="67"/>
        <v/>
      </c>
      <c r="P372" s="63"/>
      <c r="Q372" s="164" t="str">
        <f t="shared" si="62"/>
        <v/>
      </c>
      <c r="R372" s="60" t="str">
        <f t="shared" si="63"/>
        <v/>
      </c>
      <c r="S372" s="60" t="str">
        <f t="shared" si="64"/>
        <v/>
      </c>
      <c r="T372" s="61" t="str">
        <f t="shared" si="65"/>
        <v/>
      </c>
      <c r="U372" s="61" t="str">
        <f t="shared" si="66"/>
        <v/>
      </c>
      <c r="V372" s="183" t="str">
        <f t="shared" si="68"/>
        <v/>
      </c>
      <c r="W372" s="183" t="str">
        <f t="shared" si="69"/>
        <v/>
      </c>
      <c r="X372" s="61" t="str">
        <f t="shared" si="70"/>
        <v/>
      </c>
      <c r="Y372" s="61" t="str">
        <f t="shared" si="71"/>
        <v/>
      </c>
      <c r="Z372" s="118" t="str">
        <f t="shared" si="72"/>
        <v/>
      </c>
      <c r="AA372" s="62" t="str">
        <f t="shared" si="73"/>
        <v/>
      </c>
      <c r="AB372" s="119" t="str">
        <f>IF(A372&lt;&gt;"", IF(P372&lt;&gt;0,SUMIFS(node!$J$2:$J$1000, node!$C$2:$C$1000,"="&amp;A372)/P372,0), "")</f>
        <v/>
      </c>
      <c r="AC372" s="81" t="str">
        <f>IF(A372&lt;&gt;"", IF(P372&lt;&gt;0,SUMIFS(node!$K$2:$K$1000, node!$C$2:$C$1000,"="&amp;A372)/P372,0), "")</f>
        <v/>
      </c>
      <c r="AD372" s="82" t="str">
        <f>IF(A372&lt;&gt;"", SUMIFS(node!$L$2:$L$1000, node!$C$2:$C$1000,"="&amp;A372), "")</f>
        <v/>
      </c>
      <c r="AE372" s="87" t="str">
        <f>IF(A372&lt;&gt;"", SUMIFS(node!$M$2:$M$1000, node!$C$2:$C$1000,"="&amp;A372), "")</f>
        <v/>
      </c>
    </row>
    <row r="373" spans="1:31" ht="15.75" customHeight="1" x14ac:dyDescent="0.25">
      <c r="A373" s="71" t="str">
        <f>IF(ISNONTEXT(node_raw[[#This Row],[Column2]]), "", node_raw[[#This Row],[Column2]])</f>
        <v/>
      </c>
      <c r="B373" s="108" t="str">
        <f>IF(A373&lt;&gt;"", VLOOKUP(A373, node!$C$2:$D$1000, 2, FALSE), "")</f>
        <v/>
      </c>
      <c r="C373" s="109" t="str">
        <f>IF(A373&lt;&gt;"", VLOOKUP(A373, node!$C$2:$E$1000, 3, FALSE), "")</f>
        <v/>
      </c>
      <c r="D373" s="110" t="str">
        <f>IF(A373&lt;&gt;"",COUNTIFS(node!$C$2:$C$1000,"="&amp;A373, node!$C$2:$C$1000,"&lt;&gt;"&amp;""),"")</f>
        <v/>
      </c>
      <c r="E373" s="111" t="str">
        <f>IF(A373&lt;&gt;"",SUMIFS(node!$F$2:$F$500, node!$C$2:$C$500,"="&amp;A373, node!$C$2:$C$500,"&lt;&gt;"&amp;"")/(B373*D373),"")</f>
        <v/>
      </c>
      <c r="F373" s="112" t="str">
        <f>IF(A373&lt;&gt;"",SUMIFS(node!$H$2:$H$500, node!$C$2:$C$500,"="&amp;A373, node!$C$2:$C$500,"&lt;&gt;"&amp;"")/(C373*D373),"")</f>
        <v/>
      </c>
      <c r="G373" s="179" t="str">
        <f>IF(A373&lt;&gt;"",SUMIFS(deployment!$F$4:$F$502, deployment!$D$4:$D$502,"="&amp;A373, deployment!$D$4:$D$502,"&lt;&gt;"&amp;""),"")</f>
        <v/>
      </c>
      <c r="H373" s="181" t="str">
        <f>IF(A373&lt;&gt;"",SUMIFS(deployment!$G$4:$G$502, deployment!$D$4:$D$502,"="&amp;A373, deployment!$D$4:$D$502,"&lt;&gt;"&amp;""),"")</f>
        <v/>
      </c>
      <c r="I373" s="113" t="str">
        <f>IF(A373&lt;&gt;"",SUMIFS(deployment!$H$4:$H$502, deployment!$D$4:$D$502,"="&amp;A373, deployment!$D$4:$D$502,"&lt;&gt;"&amp;""),"")</f>
        <v/>
      </c>
      <c r="J373" s="114" t="str">
        <f>IF(A373&lt;&gt;"",SUMIFS(deployment!$I$4:$I$502, deployment!$D$4:$D$502,"="&amp;A373, deployment!$D$4:$D$502,"&lt;&gt;"&amp;""),"")</f>
        <v/>
      </c>
      <c r="K373" s="182" t="str">
        <f>IF(A373&lt;&gt;"",SUMIFS(deployment!$J$4:$J$1002, deployment!$D$4:$D$1002,"="&amp;A373, deployment!$D$4:$D$1002,"&lt;&gt;"&amp;"", deployment!$C$4:$C$1002, "&lt;&gt;* )")+SUMIFS(namespace!$G$4:$G$1002, namespace!$B$4:$B$1002,"="&amp;A373, namespace!$B$4:$B$1002,"&lt;&gt;"&amp;""),"")</f>
        <v/>
      </c>
      <c r="L373" s="182" t="str">
        <f>IF(A373&lt;&gt;"",SUMIFS(deployment!$K$4:$K$1002, deployment!$D$4:$D$1002,"="&amp;A373, deployment!$D$4:$D$1002,"&lt;&gt;"&amp;"", deployment!$C$4:$C$1002, "&lt;&gt;* )")+SUMIFS(namespace!$H$4:$H$1002, namespace!$B$4:$B$1002,"="&amp;A373, namespace!$B$4:$B$1002,"&lt;&gt;"&amp;""),"")</f>
        <v/>
      </c>
      <c r="M373" s="115" t="str">
        <f>IF(A373&lt;&gt;"",SUMIFS(deployment!$L$4:$L$1002, deployment!$D$4:$D$1002,"="&amp;A373, deployment!$D$4:$D$1002,"&lt;&gt;"&amp;"", deployment!$C$4:$C$1002, "&lt;&gt;* )")+SUMIFS(namespace!$I$4:$I$1002, namespace!$B$4:$B$1002,"="&amp;A373, namespace!$B$4:$B$1002,"&lt;&gt;"&amp;""),"")</f>
        <v/>
      </c>
      <c r="N373" s="115" t="str">
        <f>IF(A373&lt;&gt;"",SUMIFS(deployment!$M$4:$M$1002, deployment!$D$4:$D$1002,"="&amp;A373, deployment!$D$4:$D$1002,"&lt;&gt;"&amp;"", deployment!$C$4:$C$1002, "&lt;&gt;* )")+SUMIFS(namespace!$J$4:$J$1002, namespace!$B$4:$B$1002,"="&amp;A373, namespace!$B$4:$B$1002,"&lt;&gt;"&amp;""),"")</f>
        <v/>
      </c>
      <c r="O373" s="116" t="str">
        <f t="shared" si="67"/>
        <v/>
      </c>
      <c r="P373" s="63"/>
      <c r="Q373" s="164" t="str">
        <f t="shared" si="62"/>
        <v/>
      </c>
      <c r="R373" s="60" t="str">
        <f t="shared" si="63"/>
        <v/>
      </c>
      <c r="S373" s="60" t="str">
        <f t="shared" si="64"/>
        <v/>
      </c>
      <c r="T373" s="61" t="str">
        <f t="shared" si="65"/>
        <v/>
      </c>
      <c r="U373" s="61" t="str">
        <f t="shared" si="66"/>
        <v/>
      </c>
      <c r="V373" s="183" t="str">
        <f t="shared" si="68"/>
        <v/>
      </c>
      <c r="W373" s="183" t="str">
        <f t="shared" si="69"/>
        <v/>
      </c>
      <c r="X373" s="61" t="str">
        <f t="shared" si="70"/>
        <v/>
      </c>
      <c r="Y373" s="61" t="str">
        <f t="shared" si="71"/>
        <v/>
      </c>
      <c r="Z373" s="118" t="str">
        <f t="shared" si="72"/>
        <v/>
      </c>
      <c r="AA373" s="62" t="str">
        <f t="shared" si="73"/>
        <v/>
      </c>
      <c r="AB373" s="119" t="str">
        <f>IF(A373&lt;&gt;"", IF(P373&lt;&gt;0,SUMIFS(node!$J$2:$J$1000, node!$C$2:$C$1000,"="&amp;A373)/P373,0), "")</f>
        <v/>
      </c>
      <c r="AC373" s="81" t="str">
        <f>IF(A373&lt;&gt;"", IF(P373&lt;&gt;0,SUMIFS(node!$K$2:$K$1000, node!$C$2:$C$1000,"="&amp;A373)/P373,0), "")</f>
        <v/>
      </c>
      <c r="AD373" s="82" t="str">
        <f>IF(A373&lt;&gt;"", SUMIFS(node!$L$2:$L$1000, node!$C$2:$C$1000,"="&amp;A373), "")</f>
        <v/>
      </c>
      <c r="AE373" s="87" t="str">
        <f>IF(A373&lt;&gt;"", SUMIFS(node!$M$2:$M$1000, node!$C$2:$C$1000,"="&amp;A373), "")</f>
        <v/>
      </c>
    </row>
    <row r="374" spans="1:31" ht="15.75" customHeight="1" x14ac:dyDescent="0.25">
      <c r="A374" s="71" t="str">
        <f>IF(ISNONTEXT(node_raw[[#This Row],[Column2]]), "", node_raw[[#This Row],[Column2]])</f>
        <v/>
      </c>
      <c r="B374" s="108" t="str">
        <f>IF(A374&lt;&gt;"", VLOOKUP(A374, node!$C$2:$D$1000, 2, FALSE), "")</f>
        <v/>
      </c>
      <c r="C374" s="109" t="str">
        <f>IF(A374&lt;&gt;"", VLOOKUP(A374, node!$C$2:$E$1000, 3, FALSE), "")</f>
        <v/>
      </c>
      <c r="D374" s="110" t="str">
        <f>IF(A374&lt;&gt;"",COUNTIFS(node!$C$2:$C$1000,"="&amp;A374, node!$C$2:$C$1000,"&lt;&gt;"&amp;""),"")</f>
        <v/>
      </c>
      <c r="E374" s="111" t="str">
        <f>IF(A374&lt;&gt;"",SUMIFS(node!$F$2:$F$500, node!$C$2:$C$500,"="&amp;A374, node!$C$2:$C$500,"&lt;&gt;"&amp;"")/(B374*D374),"")</f>
        <v/>
      </c>
      <c r="F374" s="112" t="str">
        <f>IF(A374&lt;&gt;"",SUMIFS(node!$H$2:$H$500, node!$C$2:$C$500,"="&amp;A374, node!$C$2:$C$500,"&lt;&gt;"&amp;"")/(C374*D374),"")</f>
        <v/>
      </c>
      <c r="G374" s="179" t="str">
        <f>IF(A374&lt;&gt;"",SUMIFS(deployment!$F$4:$F$502, deployment!$D$4:$D$502,"="&amp;A374, deployment!$D$4:$D$502,"&lt;&gt;"&amp;""),"")</f>
        <v/>
      </c>
      <c r="H374" s="181" t="str">
        <f>IF(A374&lt;&gt;"",SUMIFS(deployment!$G$4:$G$502, deployment!$D$4:$D$502,"="&amp;A374, deployment!$D$4:$D$502,"&lt;&gt;"&amp;""),"")</f>
        <v/>
      </c>
      <c r="I374" s="113" t="str">
        <f>IF(A374&lt;&gt;"",SUMIFS(deployment!$H$4:$H$502, deployment!$D$4:$D$502,"="&amp;A374, deployment!$D$4:$D$502,"&lt;&gt;"&amp;""),"")</f>
        <v/>
      </c>
      <c r="J374" s="114" t="str">
        <f>IF(A374&lt;&gt;"",SUMIFS(deployment!$I$4:$I$502, deployment!$D$4:$D$502,"="&amp;A374, deployment!$D$4:$D$502,"&lt;&gt;"&amp;""),"")</f>
        <v/>
      </c>
      <c r="K374" s="182" t="str">
        <f>IF(A374&lt;&gt;"",SUMIFS(deployment!$J$4:$J$1002, deployment!$D$4:$D$1002,"="&amp;A374, deployment!$D$4:$D$1002,"&lt;&gt;"&amp;"", deployment!$C$4:$C$1002, "&lt;&gt;* )")+SUMIFS(namespace!$G$4:$G$1002, namespace!$B$4:$B$1002,"="&amp;A374, namespace!$B$4:$B$1002,"&lt;&gt;"&amp;""),"")</f>
        <v/>
      </c>
      <c r="L374" s="182" t="str">
        <f>IF(A374&lt;&gt;"",SUMIFS(deployment!$K$4:$K$1002, deployment!$D$4:$D$1002,"="&amp;A374, deployment!$D$4:$D$1002,"&lt;&gt;"&amp;"", deployment!$C$4:$C$1002, "&lt;&gt;* )")+SUMIFS(namespace!$H$4:$H$1002, namespace!$B$4:$B$1002,"="&amp;A374, namespace!$B$4:$B$1002,"&lt;&gt;"&amp;""),"")</f>
        <v/>
      </c>
      <c r="M374" s="115" t="str">
        <f>IF(A374&lt;&gt;"",SUMIFS(deployment!$L$4:$L$1002, deployment!$D$4:$D$1002,"="&amp;A374, deployment!$D$4:$D$1002,"&lt;&gt;"&amp;"", deployment!$C$4:$C$1002, "&lt;&gt;* )")+SUMIFS(namespace!$I$4:$I$1002, namespace!$B$4:$B$1002,"="&amp;A374, namespace!$B$4:$B$1002,"&lt;&gt;"&amp;""),"")</f>
        <v/>
      </c>
      <c r="N374" s="115" t="str">
        <f>IF(A374&lt;&gt;"",SUMIFS(deployment!$M$4:$M$1002, deployment!$D$4:$D$1002,"="&amp;A374, deployment!$D$4:$D$1002,"&lt;&gt;"&amp;"", deployment!$C$4:$C$1002, "&lt;&gt;* )")+SUMIFS(namespace!$J$4:$J$1002, namespace!$B$4:$B$1002,"="&amp;A374, namespace!$B$4:$B$1002,"&lt;&gt;"&amp;""),"")</f>
        <v/>
      </c>
      <c r="O374" s="116" t="str">
        <f t="shared" si="67"/>
        <v/>
      </c>
      <c r="P374" s="63"/>
      <c r="Q374" s="164" t="str">
        <f t="shared" si="62"/>
        <v/>
      </c>
      <c r="R374" s="60" t="str">
        <f t="shared" si="63"/>
        <v/>
      </c>
      <c r="S374" s="60" t="str">
        <f t="shared" si="64"/>
        <v/>
      </c>
      <c r="T374" s="61" t="str">
        <f t="shared" si="65"/>
        <v/>
      </c>
      <c r="U374" s="61" t="str">
        <f t="shared" si="66"/>
        <v/>
      </c>
      <c r="V374" s="183" t="str">
        <f t="shared" si="68"/>
        <v/>
      </c>
      <c r="W374" s="183" t="str">
        <f t="shared" si="69"/>
        <v/>
      </c>
      <c r="X374" s="61" t="str">
        <f t="shared" si="70"/>
        <v/>
      </c>
      <c r="Y374" s="61" t="str">
        <f t="shared" si="71"/>
        <v/>
      </c>
      <c r="Z374" s="118" t="str">
        <f t="shared" si="72"/>
        <v/>
      </c>
      <c r="AA374" s="62" t="str">
        <f t="shared" si="73"/>
        <v/>
      </c>
      <c r="AB374" s="119" t="str">
        <f>IF(A374&lt;&gt;"", IF(P374&lt;&gt;0,SUMIFS(node!$J$2:$J$1000, node!$C$2:$C$1000,"="&amp;A374)/P374,0), "")</f>
        <v/>
      </c>
      <c r="AC374" s="81" t="str">
        <f>IF(A374&lt;&gt;"", IF(P374&lt;&gt;0,SUMIFS(node!$K$2:$K$1000, node!$C$2:$C$1000,"="&amp;A374)/P374,0), "")</f>
        <v/>
      </c>
      <c r="AD374" s="82" t="str">
        <f>IF(A374&lt;&gt;"", SUMIFS(node!$L$2:$L$1000, node!$C$2:$C$1000,"="&amp;A374), "")</f>
        <v/>
      </c>
      <c r="AE374" s="87" t="str">
        <f>IF(A374&lt;&gt;"", SUMIFS(node!$M$2:$M$1000, node!$C$2:$C$1000,"="&amp;A374), "")</f>
        <v/>
      </c>
    </row>
    <row r="375" spans="1:31" ht="15.75" customHeight="1" x14ac:dyDescent="0.25">
      <c r="A375" s="71" t="str">
        <f>IF(ISNONTEXT(node_raw[[#This Row],[Column2]]), "", node_raw[[#This Row],[Column2]])</f>
        <v/>
      </c>
      <c r="B375" s="108" t="str">
        <f>IF(A375&lt;&gt;"", VLOOKUP(A375, node!$C$2:$D$1000, 2, FALSE), "")</f>
        <v/>
      </c>
      <c r="C375" s="109" t="str">
        <f>IF(A375&lt;&gt;"", VLOOKUP(A375, node!$C$2:$E$1000, 3, FALSE), "")</f>
        <v/>
      </c>
      <c r="D375" s="110" t="str">
        <f>IF(A375&lt;&gt;"",COUNTIFS(node!$C$2:$C$1000,"="&amp;A375, node!$C$2:$C$1000,"&lt;&gt;"&amp;""),"")</f>
        <v/>
      </c>
      <c r="E375" s="111" t="str">
        <f>IF(A375&lt;&gt;"",SUMIFS(node!$F$2:$F$500, node!$C$2:$C$500,"="&amp;A375, node!$C$2:$C$500,"&lt;&gt;"&amp;"")/(B375*D375),"")</f>
        <v/>
      </c>
      <c r="F375" s="112" t="str">
        <f>IF(A375&lt;&gt;"",SUMIFS(node!$H$2:$H$500, node!$C$2:$C$500,"="&amp;A375, node!$C$2:$C$500,"&lt;&gt;"&amp;"")/(C375*D375),"")</f>
        <v/>
      </c>
      <c r="G375" s="179" t="str">
        <f>IF(A375&lt;&gt;"",SUMIFS(deployment!$F$4:$F$502, deployment!$D$4:$D$502,"="&amp;A375, deployment!$D$4:$D$502,"&lt;&gt;"&amp;""),"")</f>
        <v/>
      </c>
      <c r="H375" s="181" t="str">
        <f>IF(A375&lt;&gt;"",SUMIFS(deployment!$G$4:$G$502, deployment!$D$4:$D$502,"="&amp;A375, deployment!$D$4:$D$502,"&lt;&gt;"&amp;""),"")</f>
        <v/>
      </c>
      <c r="I375" s="113" t="str">
        <f>IF(A375&lt;&gt;"",SUMIFS(deployment!$H$4:$H$502, deployment!$D$4:$D$502,"="&amp;A375, deployment!$D$4:$D$502,"&lt;&gt;"&amp;""),"")</f>
        <v/>
      </c>
      <c r="J375" s="114" t="str">
        <f>IF(A375&lt;&gt;"",SUMIFS(deployment!$I$4:$I$502, deployment!$D$4:$D$502,"="&amp;A375, deployment!$D$4:$D$502,"&lt;&gt;"&amp;""),"")</f>
        <v/>
      </c>
      <c r="K375" s="182" t="str">
        <f>IF(A375&lt;&gt;"",SUMIFS(deployment!$J$4:$J$1002, deployment!$D$4:$D$1002,"="&amp;A375, deployment!$D$4:$D$1002,"&lt;&gt;"&amp;"", deployment!$C$4:$C$1002, "&lt;&gt;* )")+SUMIFS(namespace!$G$4:$G$1002, namespace!$B$4:$B$1002,"="&amp;A375, namespace!$B$4:$B$1002,"&lt;&gt;"&amp;""),"")</f>
        <v/>
      </c>
      <c r="L375" s="182" t="str">
        <f>IF(A375&lt;&gt;"",SUMIFS(deployment!$K$4:$K$1002, deployment!$D$4:$D$1002,"="&amp;A375, deployment!$D$4:$D$1002,"&lt;&gt;"&amp;"", deployment!$C$4:$C$1002, "&lt;&gt;* )")+SUMIFS(namespace!$H$4:$H$1002, namespace!$B$4:$B$1002,"="&amp;A375, namespace!$B$4:$B$1002,"&lt;&gt;"&amp;""),"")</f>
        <v/>
      </c>
      <c r="M375" s="115" t="str">
        <f>IF(A375&lt;&gt;"",SUMIFS(deployment!$L$4:$L$1002, deployment!$D$4:$D$1002,"="&amp;A375, deployment!$D$4:$D$1002,"&lt;&gt;"&amp;"", deployment!$C$4:$C$1002, "&lt;&gt;* )")+SUMIFS(namespace!$I$4:$I$1002, namespace!$B$4:$B$1002,"="&amp;A375, namespace!$B$4:$B$1002,"&lt;&gt;"&amp;""),"")</f>
        <v/>
      </c>
      <c r="N375" s="115" t="str">
        <f>IF(A375&lt;&gt;"",SUMIFS(deployment!$M$4:$M$1002, deployment!$D$4:$D$1002,"="&amp;A375, deployment!$D$4:$D$1002,"&lt;&gt;"&amp;"", deployment!$C$4:$C$1002, "&lt;&gt;* )")+SUMIFS(namespace!$J$4:$J$1002, namespace!$B$4:$B$1002,"="&amp;A375, namespace!$B$4:$B$1002,"&lt;&gt;"&amp;""),"")</f>
        <v/>
      </c>
      <c r="O375" s="116" t="str">
        <f t="shared" si="67"/>
        <v/>
      </c>
      <c r="P375" s="63"/>
      <c r="Q375" s="164" t="str">
        <f t="shared" si="62"/>
        <v/>
      </c>
      <c r="R375" s="60" t="str">
        <f t="shared" si="63"/>
        <v/>
      </c>
      <c r="S375" s="60" t="str">
        <f t="shared" si="64"/>
        <v/>
      </c>
      <c r="T375" s="61" t="str">
        <f t="shared" si="65"/>
        <v/>
      </c>
      <c r="U375" s="61" t="str">
        <f t="shared" si="66"/>
        <v/>
      </c>
      <c r="V375" s="183" t="str">
        <f t="shared" si="68"/>
        <v/>
      </c>
      <c r="W375" s="183" t="str">
        <f t="shared" si="69"/>
        <v/>
      </c>
      <c r="X375" s="61" t="str">
        <f t="shared" si="70"/>
        <v/>
      </c>
      <c r="Y375" s="61" t="str">
        <f t="shared" si="71"/>
        <v/>
      </c>
      <c r="Z375" s="118" t="str">
        <f t="shared" si="72"/>
        <v/>
      </c>
      <c r="AA375" s="62" t="str">
        <f t="shared" si="73"/>
        <v/>
      </c>
      <c r="AB375" s="119" t="str">
        <f>IF(A375&lt;&gt;"", IF(P375&lt;&gt;0,SUMIFS(node!$J$2:$J$1000, node!$C$2:$C$1000,"="&amp;A375)/P375,0), "")</f>
        <v/>
      </c>
      <c r="AC375" s="81" t="str">
        <f>IF(A375&lt;&gt;"", IF(P375&lt;&gt;0,SUMIFS(node!$K$2:$K$1000, node!$C$2:$C$1000,"="&amp;A375)/P375,0), "")</f>
        <v/>
      </c>
      <c r="AD375" s="82" t="str">
        <f>IF(A375&lt;&gt;"", SUMIFS(node!$L$2:$L$1000, node!$C$2:$C$1000,"="&amp;A375), "")</f>
        <v/>
      </c>
      <c r="AE375" s="87" t="str">
        <f>IF(A375&lt;&gt;"", SUMIFS(node!$M$2:$M$1000, node!$C$2:$C$1000,"="&amp;A375), "")</f>
        <v/>
      </c>
    </row>
    <row r="376" spans="1:31" ht="15.75" customHeight="1" x14ac:dyDescent="0.25">
      <c r="A376" s="71" t="str">
        <f>IF(ISNONTEXT(node_raw[[#This Row],[Column2]]), "", node_raw[[#This Row],[Column2]])</f>
        <v/>
      </c>
      <c r="B376" s="108" t="str">
        <f>IF(A376&lt;&gt;"", VLOOKUP(A376, node!$C$2:$D$1000, 2, FALSE), "")</f>
        <v/>
      </c>
      <c r="C376" s="109" t="str">
        <f>IF(A376&lt;&gt;"", VLOOKUP(A376, node!$C$2:$E$1000, 3, FALSE), "")</f>
        <v/>
      </c>
      <c r="D376" s="110" t="str">
        <f>IF(A376&lt;&gt;"",COUNTIFS(node!$C$2:$C$1000,"="&amp;A376, node!$C$2:$C$1000,"&lt;&gt;"&amp;""),"")</f>
        <v/>
      </c>
      <c r="E376" s="111" t="str">
        <f>IF(A376&lt;&gt;"",SUMIFS(node!$F$2:$F$500, node!$C$2:$C$500,"="&amp;A376, node!$C$2:$C$500,"&lt;&gt;"&amp;"")/(B376*D376),"")</f>
        <v/>
      </c>
      <c r="F376" s="112" t="str">
        <f>IF(A376&lt;&gt;"",SUMIFS(node!$H$2:$H$500, node!$C$2:$C$500,"="&amp;A376, node!$C$2:$C$500,"&lt;&gt;"&amp;"")/(C376*D376),"")</f>
        <v/>
      </c>
      <c r="G376" s="179" t="str">
        <f>IF(A376&lt;&gt;"",SUMIFS(deployment!$F$4:$F$502, deployment!$D$4:$D$502,"="&amp;A376, deployment!$D$4:$D$502,"&lt;&gt;"&amp;""),"")</f>
        <v/>
      </c>
      <c r="H376" s="181" t="str">
        <f>IF(A376&lt;&gt;"",SUMIFS(deployment!$G$4:$G$502, deployment!$D$4:$D$502,"="&amp;A376, deployment!$D$4:$D$502,"&lt;&gt;"&amp;""),"")</f>
        <v/>
      </c>
      <c r="I376" s="113" t="str">
        <f>IF(A376&lt;&gt;"",SUMIFS(deployment!$H$4:$H$502, deployment!$D$4:$D$502,"="&amp;A376, deployment!$D$4:$D$502,"&lt;&gt;"&amp;""),"")</f>
        <v/>
      </c>
      <c r="J376" s="114" t="str">
        <f>IF(A376&lt;&gt;"",SUMIFS(deployment!$I$4:$I$502, deployment!$D$4:$D$502,"="&amp;A376, deployment!$D$4:$D$502,"&lt;&gt;"&amp;""),"")</f>
        <v/>
      </c>
      <c r="K376" s="182" t="str">
        <f>IF(A376&lt;&gt;"",SUMIFS(deployment!$J$4:$J$1002, deployment!$D$4:$D$1002,"="&amp;A376, deployment!$D$4:$D$1002,"&lt;&gt;"&amp;"", deployment!$C$4:$C$1002, "&lt;&gt;* )")+SUMIFS(namespace!$G$4:$G$1002, namespace!$B$4:$B$1002,"="&amp;A376, namespace!$B$4:$B$1002,"&lt;&gt;"&amp;""),"")</f>
        <v/>
      </c>
      <c r="L376" s="182" t="str">
        <f>IF(A376&lt;&gt;"",SUMIFS(deployment!$K$4:$K$1002, deployment!$D$4:$D$1002,"="&amp;A376, deployment!$D$4:$D$1002,"&lt;&gt;"&amp;"", deployment!$C$4:$C$1002, "&lt;&gt;* )")+SUMIFS(namespace!$H$4:$H$1002, namespace!$B$4:$B$1002,"="&amp;A376, namespace!$B$4:$B$1002,"&lt;&gt;"&amp;""),"")</f>
        <v/>
      </c>
      <c r="M376" s="115" t="str">
        <f>IF(A376&lt;&gt;"",SUMIFS(deployment!$L$4:$L$1002, deployment!$D$4:$D$1002,"="&amp;A376, deployment!$D$4:$D$1002,"&lt;&gt;"&amp;"", deployment!$C$4:$C$1002, "&lt;&gt;* )")+SUMIFS(namespace!$I$4:$I$1002, namespace!$B$4:$B$1002,"="&amp;A376, namespace!$B$4:$B$1002,"&lt;&gt;"&amp;""),"")</f>
        <v/>
      </c>
      <c r="N376" s="115" t="str">
        <f>IF(A376&lt;&gt;"",SUMIFS(deployment!$M$4:$M$1002, deployment!$D$4:$D$1002,"="&amp;A376, deployment!$D$4:$D$1002,"&lt;&gt;"&amp;"", deployment!$C$4:$C$1002, "&lt;&gt;* )")+SUMIFS(namespace!$J$4:$J$1002, namespace!$B$4:$B$1002,"="&amp;A376, namespace!$B$4:$B$1002,"&lt;&gt;"&amp;""),"")</f>
        <v/>
      </c>
      <c r="O376" s="116" t="str">
        <f t="shared" si="67"/>
        <v/>
      </c>
      <c r="P376" s="63"/>
      <c r="Q376" s="164" t="str">
        <f t="shared" si="62"/>
        <v/>
      </c>
      <c r="R376" s="60" t="str">
        <f t="shared" si="63"/>
        <v/>
      </c>
      <c r="S376" s="60" t="str">
        <f t="shared" si="64"/>
        <v/>
      </c>
      <c r="T376" s="61" t="str">
        <f t="shared" si="65"/>
        <v/>
      </c>
      <c r="U376" s="61" t="str">
        <f t="shared" si="66"/>
        <v/>
      </c>
      <c r="V376" s="183" t="str">
        <f t="shared" si="68"/>
        <v/>
      </c>
      <c r="W376" s="183" t="str">
        <f t="shared" si="69"/>
        <v/>
      </c>
      <c r="X376" s="61" t="str">
        <f t="shared" si="70"/>
        <v/>
      </c>
      <c r="Y376" s="61" t="str">
        <f t="shared" si="71"/>
        <v/>
      </c>
      <c r="Z376" s="118" t="str">
        <f t="shared" si="72"/>
        <v/>
      </c>
      <c r="AA376" s="62" t="str">
        <f t="shared" si="73"/>
        <v/>
      </c>
      <c r="AB376" s="119" t="str">
        <f>IF(A376&lt;&gt;"", IF(P376&lt;&gt;0,SUMIFS(node!$J$2:$J$1000, node!$C$2:$C$1000,"="&amp;A376)/P376,0), "")</f>
        <v/>
      </c>
      <c r="AC376" s="81" t="str">
        <f>IF(A376&lt;&gt;"", IF(P376&lt;&gt;0,SUMIFS(node!$K$2:$K$1000, node!$C$2:$C$1000,"="&amp;A376)/P376,0), "")</f>
        <v/>
      </c>
      <c r="AD376" s="82" t="str">
        <f>IF(A376&lt;&gt;"", SUMIFS(node!$L$2:$L$1000, node!$C$2:$C$1000,"="&amp;A376), "")</f>
        <v/>
      </c>
      <c r="AE376" s="87" t="str">
        <f>IF(A376&lt;&gt;"", SUMIFS(node!$M$2:$M$1000, node!$C$2:$C$1000,"="&amp;A376), "")</f>
        <v/>
      </c>
    </row>
    <row r="377" spans="1:31" ht="15.75" customHeight="1" x14ac:dyDescent="0.25">
      <c r="A377" s="71" t="str">
        <f>IF(ISNONTEXT(node_raw[[#This Row],[Column2]]), "", node_raw[[#This Row],[Column2]])</f>
        <v/>
      </c>
      <c r="B377" s="108" t="str">
        <f>IF(A377&lt;&gt;"", VLOOKUP(A377, node!$C$2:$D$1000, 2, FALSE), "")</f>
        <v/>
      </c>
      <c r="C377" s="109" t="str">
        <f>IF(A377&lt;&gt;"", VLOOKUP(A377, node!$C$2:$E$1000, 3, FALSE), "")</f>
        <v/>
      </c>
      <c r="D377" s="110" t="str">
        <f>IF(A377&lt;&gt;"",COUNTIFS(node!$C$2:$C$1000,"="&amp;A377, node!$C$2:$C$1000,"&lt;&gt;"&amp;""),"")</f>
        <v/>
      </c>
      <c r="E377" s="111" t="str">
        <f>IF(A377&lt;&gt;"",SUMIFS(node!$F$2:$F$500, node!$C$2:$C$500,"="&amp;A377, node!$C$2:$C$500,"&lt;&gt;"&amp;"")/(B377*D377),"")</f>
        <v/>
      </c>
      <c r="F377" s="112" t="str">
        <f>IF(A377&lt;&gt;"",SUMIFS(node!$H$2:$H$500, node!$C$2:$C$500,"="&amp;A377, node!$C$2:$C$500,"&lt;&gt;"&amp;"")/(C377*D377),"")</f>
        <v/>
      </c>
      <c r="G377" s="179" t="str">
        <f>IF(A377&lt;&gt;"",SUMIFS(deployment!$F$4:$F$502, deployment!$D$4:$D$502,"="&amp;A377, deployment!$D$4:$D$502,"&lt;&gt;"&amp;""),"")</f>
        <v/>
      </c>
      <c r="H377" s="181" t="str">
        <f>IF(A377&lt;&gt;"",SUMIFS(deployment!$G$4:$G$502, deployment!$D$4:$D$502,"="&amp;A377, deployment!$D$4:$D$502,"&lt;&gt;"&amp;""),"")</f>
        <v/>
      </c>
      <c r="I377" s="113" t="str">
        <f>IF(A377&lt;&gt;"",SUMIFS(deployment!$H$4:$H$502, deployment!$D$4:$D$502,"="&amp;A377, deployment!$D$4:$D$502,"&lt;&gt;"&amp;""),"")</f>
        <v/>
      </c>
      <c r="J377" s="114" t="str">
        <f>IF(A377&lt;&gt;"",SUMIFS(deployment!$I$4:$I$502, deployment!$D$4:$D$502,"="&amp;A377, deployment!$D$4:$D$502,"&lt;&gt;"&amp;""),"")</f>
        <v/>
      </c>
      <c r="K377" s="182" t="str">
        <f>IF(A377&lt;&gt;"",SUMIFS(deployment!$J$4:$J$1002, deployment!$D$4:$D$1002,"="&amp;A377, deployment!$D$4:$D$1002,"&lt;&gt;"&amp;"", deployment!$C$4:$C$1002, "&lt;&gt;* )")+SUMIFS(namespace!$G$4:$G$1002, namespace!$B$4:$B$1002,"="&amp;A377, namespace!$B$4:$B$1002,"&lt;&gt;"&amp;""),"")</f>
        <v/>
      </c>
      <c r="L377" s="182" t="str">
        <f>IF(A377&lt;&gt;"",SUMIFS(deployment!$K$4:$K$1002, deployment!$D$4:$D$1002,"="&amp;A377, deployment!$D$4:$D$1002,"&lt;&gt;"&amp;"", deployment!$C$4:$C$1002, "&lt;&gt;* )")+SUMIFS(namespace!$H$4:$H$1002, namespace!$B$4:$B$1002,"="&amp;A377, namespace!$B$4:$B$1002,"&lt;&gt;"&amp;""),"")</f>
        <v/>
      </c>
      <c r="M377" s="115" t="str">
        <f>IF(A377&lt;&gt;"",SUMIFS(deployment!$L$4:$L$1002, deployment!$D$4:$D$1002,"="&amp;A377, deployment!$D$4:$D$1002,"&lt;&gt;"&amp;"", deployment!$C$4:$C$1002, "&lt;&gt;* )")+SUMIFS(namespace!$I$4:$I$1002, namespace!$B$4:$B$1002,"="&amp;A377, namespace!$B$4:$B$1002,"&lt;&gt;"&amp;""),"")</f>
        <v/>
      </c>
      <c r="N377" s="115" t="str">
        <f>IF(A377&lt;&gt;"",SUMIFS(deployment!$M$4:$M$1002, deployment!$D$4:$D$1002,"="&amp;A377, deployment!$D$4:$D$1002,"&lt;&gt;"&amp;"", deployment!$C$4:$C$1002, "&lt;&gt;* )")+SUMIFS(namespace!$J$4:$J$1002, namespace!$B$4:$B$1002,"="&amp;A377, namespace!$B$4:$B$1002,"&lt;&gt;"&amp;""),"")</f>
        <v/>
      </c>
      <c r="O377" s="116" t="str">
        <f t="shared" si="67"/>
        <v/>
      </c>
      <c r="P377" s="63"/>
      <c r="Q377" s="164" t="str">
        <f t="shared" si="62"/>
        <v/>
      </c>
      <c r="R377" s="60" t="str">
        <f t="shared" si="63"/>
        <v/>
      </c>
      <c r="S377" s="60" t="str">
        <f t="shared" si="64"/>
        <v/>
      </c>
      <c r="T377" s="61" t="str">
        <f t="shared" si="65"/>
        <v/>
      </c>
      <c r="U377" s="61" t="str">
        <f t="shared" si="66"/>
        <v/>
      </c>
      <c r="V377" s="183" t="str">
        <f t="shared" si="68"/>
        <v/>
      </c>
      <c r="W377" s="183" t="str">
        <f t="shared" si="69"/>
        <v/>
      </c>
      <c r="X377" s="61" t="str">
        <f t="shared" si="70"/>
        <v/>
      </c>
      <c r="Y377" s="61" t="str">
        <f t="shared" si="71"/>
        <v/>
      </c>
      <c r="Z377" s="118" t="str">
        <f t="shared" si="72"/>
        <v/>
      </c>
      <c r="AA377" s="62" t="str">
        <f t="shared" si="73"/>
        <v/>
      </c>
      <c r="AB377" s="119" t="str">
        <f>IF(A377&lt;&gt;"", IF(P377&lt;&gt;0,SUMIFS(node!$J$2:$J$1000, node!$C$2:$C$1000,"="&amp;A377)/P377,0), "")</f>
        <v/>
      </c>
      <c r="AC377" s="81" t="str">
        <f>IF(A377&lt;&gt;"", IF(P377&lt;&gt;0,SUMIFS(node!$K$2:$K$1000, node!$C$2:$C$1000,"="&amp;A377)/P377,0), "")</f>
        <v/>
      </c>
      <c r="AD377" s="82" t="str">
        <f>IF(A377&lt;&gt;"", SUMIFS(node!$L$2:$L$1000, node!$C$2:$C$1000,"="&amp;A377), "")</f>
        <v/>
      </c>
      <c r="AE377" s="87" t="str">
        <f>IF(A377&lt;&gt;"", SUMIFS(node!$M$2:$M$1000, node!$C$2:$C$1000,"="&amp;A377), "")</f>
        <v/>
      </c>
    </row>
    <row r="378" spans="1:31" ht="15.75" customHeight="1" x14ac:dyDescent="0.25">
      <c r="A378" s="71" t="str">
        <f>IF(ISNONTEXT(node_raw[[#This Row],[Column2]]), "", node_raw[[#This Row],[Column2]])</f>
        <v/>
      </c>
      <c r="B378" s="108" t="str">
        <f>IF(A378&lt;&gt;"", VLOOKUP(A378, node!$C$2:$D$1000, 2, FALSE), "")</f>
        <v/>
      </c>
      <c r="C378" s="109" t="str">
        <f>IF(A378&lt;&gt;"", VLOOKUP(A378, node!$C$2:$E$1000, 3, FALSE), "")</f>
        <v/>
      </c>
      <c r="D378" s="110" t="str">
        <f>IF(A378&lt;&gt;"",COUNTIFS(node!$C$2:$C$1000,"="&amp;A378, node!$C$2:$C$1000,"&lt;&gt;"&amp;""),"")</f>
        <v/>
      </c>
      <c r="E378" s="111" t="str">
        <f>IF(A378&lt;&gt;"",SUMIFS(node!$F$2:$F$500, node!$C$2:$C$500,"="&amp;A378, node!$C$2:$C$500,"&lt;&gt;"&amp;"")/(B378*D378),"")</f>
        <v/>
      </c>
      <c r="F378" s="112" t="str">
        <f>IF(A378&lt;&gt;"",SUMIFS(node!$H$2:$H$500, node!$C$2:$C$500,"="&amp;A378, node!$C$2:$C$500,"&lt;&gt;"&amp;"")/(C378*D378),"")</f>
        <v/>
      </c>
      <c r="G378" s="179" t="str">
        <f>IF(A378&lt;&gt;"",SUMIFS(deployment!$F$4:$F$502, deployment!$D$4:$D$502,"="&amp;A378, deployment!$D$4:$D$502,"&lt;&gt;"&amp;""),"")</f>
        <v/>
      </c>
      <c r="H378" s="181" t="str">
        <f>IF(A378&lt;&gt;"",SUMIFS(deployment!$G$4:$G$502, deployment!$D$4:$D$502,"="&amp;A378, deployment!$D$4:$D$502,"&lt;&gt;"&amp;""),"")</f>
        <v/>
      </c>
      <c r="I378" s="113" t="str">
        <f>IF(A378&lt;&gt;"",SUMIFS(deployment!$H$4:$H$502, deployment!$D$4:$D$502,"="&amp;A378, deployment!$D$4:$D$502,"&lt;&gt;"&amp;""),"")</f>
        <v/>
      </c>
      <c r="J378" s="114" t="str">
        <f>IF(A378&lt;&gt;"",SUMIFS(deployment!$I$4:$I$502, deployment!$D$4:$D$502,"="&amp;A378, deployment!$D$4:$D$502,"&lt;&gt;"&amp;""),"")</f>
        <v/>
      </c>
      <c r="K378" s="182" t="str">
        <f>IF(A378&lt;&gt;"",SUMIFS(deployment!$J$4:$J$1002, deployment!$D$4:$D$1002,"="&amp;A378, deployment!$D$4:$D$1002,"&lt;&gt;"&amp;"", deployment!$C$4:$C$1002, "&lt;&gt;* )")+SUMIFS(namespace!$G$4:$G$1002, namespace!$B$4:$B$1002,"="&amp;A378, namespace!$B$4:$B$1002,"&lt;&gt;"&amp;""),"")</f>
        <v/>
      </c>
      <c r="L378" s="182" t="str">
        <f>IF(A378&lt;&gt;"",SUMIFS(deployment!$K$4:$K$1002, deployment!$D$4:$D$1002,"="&amp;A378, deployment!$D$4:$D$1002,"&lt;&gt;"&amp;"", deployment!$C$4:$C$1002, "&lt;&gt;* )")+SUMIFS(namespace!$H$4:$H$1002, namespace!$B$4:$B$1002,"="&amp;A378, namespace!$B$4:$B$1002,"&lt;&gt;"&amp;""),"")</f>
        <v/>
      </c>
      <c r="M378" s="115" t="str">
        <f>IF(A378&lt;&gt;"",SUMIFS(deployment!$L$4:$L$1002, deployment!$D$4:$D$1002,"="&amp;A378, deployment!$D$4:$D$1002,"&lt;&gt;"&amp;"", deployment!$C$4:$C$1002, "&lt;&gt;* )")+SUMIFS(namespace!$I$4:$I$1002, namespace!$B$4:$B$1002,"="&amp;A378, namespace!$B$4:$B$1002,"&lt;&gt;"&amp;""),"")</f>
        <v/>
      </c>
      <c r="N378" s="115" t="str">
        <f>IF(A378&lt;&gt;"",SUMIFS(deployment!$M$4:$M$1002, deployment!$D$4:$D$1002,"="&amp;A378, deployment!$D$4:$D$1002,"&lt;&gt;"&amp;"", deployment!$C$4:$C$1002, "&lt;&gt;* )")+SUMIFS(namespace!$J$4:$J$1002, namespace!$B$4:$B$1002,"="&amp;A378, namespace!$B$4:$B$1002,"&lt;&gt;"&amp;""),"")</f>
        <v/>
      </c>
      <c r="O378" s="116" t="str">
        <f t="shared" si="67"/>
        <v/>
      </c>
      <c r="P378" s="63"/>
      <c r="Q378" s="164" t="str">
        <f t="shared" si="62"/>
        <v/>
      </c>
      <c r="R378" s="60" t="str">
        <f t="shared" si="63"/>
        <v/>
      </c>
      <c r="S378" s="60" t="str">
        <f t="shared" si="64"/>
        <v/>
      </c>
      <c r="T378" s="61" t="str">
        <f t="shared" si="65"/>
        <v/>
      </c>
      <c r="U378" s="61" t="str">
        <f t="shared" si="66"/>
        <v/>
      </c>
      <c r="V378" s="183" t="str">
        <f t="shared" si="68"/>
        <v/>
      </c>
      <c r="W378" s="183" t="str">
        <f t="shared" si="69"/>
        <v/>
      </c>
      <c r="X378" s="61" t="str">
        <f t="shared" si="70"/>
        <v/>
      </c>
      <c r="Y378" s="61" t="str">
        <f t="shared" si="71"/>
        <v/>
      </c>
      <c r="Z378" s="118" t="str">
        <f t="shared" si="72"/>
        <v/>
      </c>
      <c r="AA378" s="62" t="str">
        <f t="shared" si="73"/>
        <v/>
      </c>
      <c r="AB378" s="119" t="str">
        <f>IF(A378&lt;&gt;"", IF(P378&lt;&gt;0,SUMIFS(node!$J$2:$J$1000, node!$C$2:$C$1000,"="&amp;A378)/P378,0), "")</f>
        <v/>
      </c>
      <c r="AC378" s="81" t="str">
        <f>IF(A378&lt;&gt;"", IF(P378&lt;&gt;0,SUMIFS(node!$K$2:$K$1000, node!$C$2:$C$1000,"="&amp;A378)/P378,0), "")</f>
        <v/>
      </c>
      <c r="AD378" s="82" t="str">
        <f>IF(A378&lt;&gt;"", SUMIFS(node!$L$2:$L$1000, node!$C$2:$C$1000,"="&amp;A378), "")</f>
        <v/>
      </c>
      <c r="AE378" s="87" t="str">
        <f>IF(A378&lt;&gt;"", SUMIFS(node!$M$2:$M$1000, node!$C$2:$C$1000,"="&amp;A378), "")</f>
        <v/>
      </c>
    </row>
    <row r="379" spans="1:31" ht="15.75" customHeight="1" x14ac:dyDescent="0.25">
      <c r="A379" s="71" t="str">
        <f>IF(ISNONTEXT(node_raw[[#This Row],[Column2]]), "", node_raw[[#This Row],[Column2]])</f>
        <v/>
      </c>
      <c r="B379" s="108" t="str">
        <f>IF(A379&lt;&gt;"", VLOOKUP(A379, node!$C$2:$D$1000, 2, FALSE), "")</f>
        <v/>
      </c>
      <c r="C379" s="109" t="str">
        <f>IF(A379&lt;&gt;"", VLOOKUP(A379, node!$C$2:$E$1000, 3, FALSE), "")</f>
        <v/>
      </c>
      <c r="D379" s="110" t="str">
        <f>IF(A379&lt;&gt;"",COUNTIFS(node!$C$2:$C$1000,"="&amp;A379, node!$C$2:$C$1000,"&lt;&gt;"&amp;""),"")</f>
        <v/>
      </c>
      <c r="E379" s="111" t="str">
        <f>IF(A379&lt;&gt;"",SUMIFS(node!$F$2:$F$500, node!$C$2:$C$500,"="&amp;A379, node!$C$2:$C$500,"&lt;&gt;"&amp;"")/(B379*D379),"")</f>
        <v/>
      </c>
      <c r="F379" s="112" t="str">
        <f>IF(A379&lt;&gt;"",SUMIFS(node!$H$2:$H$500, node!$C$2:$C$500,"="&amp;A379, node!$C$2:$C$500,"&lt;&gt;"&amp;"")/(C379*D379),"")</f>
        <v/>
      </c>
      <c r="G379" s="179" t="str">
        <f>IF(A379&lt;&gt;"",SUMIFS(deployment!$F$4:$F$502, deployment!$D$4:$D$502,"="&amp;A379, deployment!$D$4:$D$502,"&lt;&gt;"&amp;""),"")</f>
        <v/>
      </c>
      <c r="H379" s="181" t="str">
        <f>IF(A379&lt;&gt;"",SUMIFS(deployment!$G$4:$G$502, deployment!$D$4:$D$502,"="&amp;A379, deployment!$D$4:$D$502,"&lt;&gt;"&amp;""),"")</f>
        <v/>
      </c>
      <c r="I379" s="113" t="str">
        <f>IF(A379&lt;&gt;"",SUMIFS(deployment!$H$4:$H$502, deployment!$D$4:$D$502,"="&amp;A379, deployment!$D$4:$D$502,"&lt;&gt;"&amp;""),"")</f>
        <v/>
      </c>
      <c r="J379" s="114" t="str">
        <f>IF(A379&lt;&gt;"",SUMIFS(deployment!$I$4:$I$502, deployment!$D$4:$D$502,"="&amp;A379, deployment!$D$4:$D$502,"&lt;&gt;"&amp;""),"")</f>
        <v/>
      </c>
      <c r="K379" s="182" t="str">
        <f>IF(A379&lt;&gt;"",SUMIFS(deployment!$J$4:$J$1002, deployment!$D$4:$D$1002,"="&amp;A379, deployment!$D$4:$D$1002,"&lt;&gt;"&amp;"", deployment!$C$4:$C$1002, "&lt;&gt;* )")+SUMIFS(namespace!$G$4:$G$1002, namespace!$B$4:$B$1002,"="&amp;A379, namespace!$B$4:$B$1002,"&lt;&gt;"&amp;""),"")</f>
        <v/>
      </c>
      <c r="L379" s="182" t="str">
        <f>IF(A379&lt;&gt;"",SUMIFS(deployment!$K$4:$K$1002, deployment!$D$4:$D$1002,"="&amp;A379, deployment!$D$4:$D$1002,"&lt;&gt;"&amp;"", deployment!$C$4:$C$1002, "&lt;&gt;* )")+SUMIFS(namespace!$H$4:$H$1002, namespace!$B$4:$B$1002,"="&amp;A379, namespace!$B$4:$B$1002,"&lt;&gt;"&amp;""),"")</f>
        <v/>
      </c>
      <c r="M379" s="115" t="str">
        <f>IF(A379&lt;&gt;"",SUMIFS(deployment!$L$4:$L$1002, deployment!$D$4:$D$1002,"="&amp;A379, deployment!$D$4:$D$1002,"&lt;&gt;"&amp;"", deployment!$C$4:$C$1002, "&lt;&gt;* )")+SUMIFS(namespace!$I$4:$I$1002, namespace!$B$4:$B$1002,"="&amp;A379, namespace!$B$4:$B$1002,"&lt;&gt;"&amp;""),"")</f>
        <v/>
      </c>
      <c r="N379" s="115" t="str">
        <f>IF(A379&lt;&gt;"",SUMIFS(deployment!$M$4:$M$1002, deployment!$D$4:$D$1002,"="&amp;A379, deployment!$D$4:$D$1002,"&lt;&gt;"&amp;"", deployment!$C$4:$C$1002, "&lt;&gt;* )")+SUMIFS(namespace!$J$4:$J$1002, namespace!$B$4:$B$1002,"="&amp;A379, namespace!$B$4:$B$1002,"&lt;&gt;"&amp;""),"")</f>
        <v/>
      </c>
      <c r="O379" s="116" t="str">
        <f t="shared" si="67"/>
        <v/>
      </c>
      <c r="P379" s="63"/>
      <c r="Q379" s="164" t="str">
        <f t="shared" si="62"/>
        <v/>
      </c>
      <c r="R379" s="60" t="str">
        <f t="shared" si="63"/>
        <v/>
      </c>
      <c r="S379" s="60" t="str">
        <f t="shared" si="64"/>
        <v/>
      </c>
      <c r="T379" s="61" t="str">
        <f t="shared" si="65"/>
        <v/>
      </c>
      <c r="U379" s="61" t="str">
        <f t="shared" si="66"/>
        <v/>
      </c>
      <c r="V379" s="183" t="str">
        <f t="shared" si="68"/>
        <v/>
      </c>
      <c r="W379" s="183" t="str">
        <f t="shared" si="69"/>
        <v/>
      </c>
      <c r="X379" s="61" t="str">
        <f t="shared" si="70"/>
        <v/>
      </c>
      <c r="Y379" s="61" t="str">
        <f t="shared" si="71"/>
        <v/>
      </c>
      <c r="Z379" s="118" t="str">
        <f t="shared" si="72"/>
        <v/>
      </c>
      <c r="AA379" s="62" t="str">
        <f t="shared" si="73"/>
        <v/>
      </c>
      <c r="AB379" s="119" t="str">
        <f>IF(A379&lt;&gt;"", IF(P379&lt;&gt;0,SUMIFS(node!$J$2:$J$1000, node!$C$2:$C$1000,"="&amp;A379)/P379,0), "")</f>
        <v/>
      </c>
      <c r="AC379" s="81" t="str">
        <f>IF(A379&lt;&gt;"", IF(P379&lt;&gt;0,SUMIFS(node!$K$2:$K$1000, node!$C$2:$C$1000,"="&amp;A379)/P379,0), "")</f>
        <v/>
      </c>
      <c r="AD379" s="82" t="str">
        <f>IF(A379&lt;&gt;"", SUMIFS(node!$L$2:$L$1000, node!$C$2:$C$1000,"="&amp;A379), "")</f>
        <v/>
      </c>
      <c r="AE379" s="87" t="str">
        <f>IF(A379&lt;&gt;"", SUMIFS(node!$M$2:$M$1000, node!$C$2:$C$1000,"="&amp;A379), "")</f>
        <v/>
      </c>
    </row>
    <row r="380" spans="1:31" ht="15.75" customHeight="1" x14ac:dyDescent="0.25">
      <c r="A380" s="71" t="str">
        <f>IF(ISNONTEXT(node_raw[[#This Row],[Column2]]), "", node_raw[[#This Row],[Column2]])</f>
        <v/>
      </c>
      <c r="B380" s="108" t="str">
        <f>IF(A380&lt;&gt;"", VLOOKUP(A380, node!$C$2:$D$1000, 2, FALSE), "")</f>
        <v/>
      </c>
      <c r="C380" s="109" t="str">
        <f>IF(A380&lt;&gt;"", VLOOKUP(A380, node!$C$2:$E$1000, 3, FALSE), "")</f>
        <v/>
      </c>
      <c r="D380" s="110" t="str">
        <f>IF(A380&lt;&gt;"",COUNTIFS(node!$C$2:$C$1000,"="&amp;A380, node!$C$2:$C$1000,"&lt;&gt;"&amp;""),"")</f>
        <v/>
      </c>
      <c r="E380" s="111" t="str">
        <f>IF(A380&lt;&gt;"",SUMIFS(node!$F$2:$F$500, node!$C$2:$C$500,"="&amp;A380, node!$C$2:$C$500,"&lt;&gt;"&amp;"")/(B380*D380),"")</f>
        <v/>
      </c>
      <c r="F380" s="112" t="str">
        <f>IF(A380&lt;&gt;"",SUMIFS(node!$H$2:$H$500, node!$C$2:$C$500,"="&amp;A380, node!$C$2:$C$500,"&lt;&gt;"&amp;"")/(C380*D380),"")</f>
        <v/>
      </c>
      <c r="G380" s="179" t="str">
        <f>IF(A380&lt;&gt;"",SUMIFS(deployment!$F$4:$F$502, deployment!$D$4:$D$502,"="&amp;A380, deployment!$D$4:$D$502,"&lt;&gt;"&amp;""),"")</f>
        <v/>
      </c>
      <c r="H380" s="181" t="str">
        <f>IF(A380&lt;&gt;"",SUMIFS(deployment!$G$4:$G$502, deployment!$D$4:$D$502,"="&amp;A380, deployment!$D$4:$D$502,"&lt;&gt;"&amp;""),"")</f>
        <v/>
      </c>
      <c r="I380" s="113" t="str">
        <f>IF(A380&lt;&gt;"",SUMIFS(deployment!$H$4:$H$502, deployment!$D$4:$D$502,"="&amp;A380, deployment!$D$4:$D$502,"&lt;&gt;"&amp;""),"")</f>
        <v/>
      </c>
      <c r="J380" s="114" t="str">
        <f>IF(A380&lt;&gt;"",SUMIFS(deployment!$I$4:$I$502, deployment!$D$4:$D$502,"="&amp;A380, deployment!$D$4:$D$502,"&lt;&gt;"&amp;""),"")</f>
        <v/>
      </c>
      <c r="K380" s="182" t="str">
        <f>IF(A380&lt;&gt;"",SUMIFS(deployment!$J$4:$J$1002, deployment!$D$4:$D$1002,"="&amp;A380, deployment!$D$4:$D$1002,"&lt;&gt;"&amp;"", deployment!$C$4:$C$1002, "&lt;&gt;* )")+SUMIFS(namespace!$G$4:$G$1002, namespace!$B$4:$B$1002,"="&amp;A380, namespace!$B$4:$B$1002,"&lt;&gt;"&amp;""),"")</f>
        <v/>
      </c>
      <c r="L380" s="182" t="str">
        <f>IF(A380&lt;&gt;"",SUMIFS(deployment!$K$4:$K$1002, deployment!$D$4:$D$1002,"="&amp;A380, deployment!$D$4:$D$1002,"&lt;&gt;"&amp;"", deployment!$C$4:$C$1002, "&lt;&gt;* )")+SUMIFS(namespace!$H$4:$H$1002, namespace!$B$4:$B$1002,"="&amp;A380, namespace!$B$4:$B$1002,"&lt;&gt;"&amp;""),"")</f>
        <v/>
      </c>
      <c r="M380" s="115" t="str">
        <f>IF(A380&lt;&gt;"",SUMIFS(deployment!$L$4:$L$1002, deployment!$D$4:$D$1002,"="&amp;A380, deployment!$D$4:$D$1002,"&lt;&gt;"&amp;"", deployment!$C$4:$C$1002, "&lt;&gt;* )")+SUMIFS(namespace!$I$4:$I$1002, namespace!$B$4:$B$1002,"="&amp;A380, namespace!$B$4:$B$1002,"&lt;&gt;"&amp;""),"")</f>
        <v/>
      </c>
      <c r="N380" s="115" t="str">
        <f>IF(A380&lt;&gt;"",SUMIFS(deployment!$M$4:$M$1002, deployment!$D$4:$D$1002,"="&amp;A380, deployment!$D$4:$D$1002,"&lt;&gt;"&amp;"", deployment!$C$4:$C$1002, "&lt;&gt;* )")+SUMIFS(namespace!$J$4:$J$1002, namespace!$B$4:$B$1002,"="&amp;A380, namespace!$B$4:$B$1002,"&lt;&gt;"&amp;""),"")</f>
        <v/>
      </c>
      <c r="O380" s="116" t="str">
        <f t="shared" si="67"/>
        <v/>
      </c>
      <c r="P380" s="63"/>
      <c r="Q380" s="164" t="str">
        <f t="shared" si="62"/>
        <v/>
      </c>
      <c r="R380" s="60" t="str">
        <f t="shared" si="63"/>
        <v/>
      </c>
      <c r="S380" s="60" t="str">
        <f t="shared" si="64"/>
        <v/>
      </c>
      <c r="T380" s="61" t="str">
        <f t="shared" si="65"/>
        <v/>
      </c>
      <c r="U380" s="61" t="str">
        <f t="shared" si="66"/>
        <v/>
      </c>
      <c r="V380" s="183" t="str">
        <f t="shared" si="68"/>
        <v/>
      </c>
      <c r="W380" s="183" t="str">
        <f t="shared" si="69"/>
        <v/>
      </c>
      <c r="X380" s="61" t="str">
        <f t="shared" si="70"/>
        <v/>
      </c>
      <c r="Y380" s="61" t="str">
        <f t="shared" si="71"/>
        <v/>
      </c>
      <c r="Z380" s="118" t="str">
        <f t="shared" si="72"/>
        <v/>
      </c>
      <c r="AA380" s="62" t="str">
        <f t="shared" si="73"/>
        <v/>
      </c>
      <c r="AB380" s="119" t="str">
        <f>IF(A380&lt;&gt;"", IF(P380&lt;&gt;0,SUMIFS(node!$J$2:$J$1000, node!$C$2:$C$1000,"="&amp;A380)/P380,0), "")</f>
        <v/>
      </c>
      <c r="AC380" s="81" t="str">
        <f>IF(A380&lt;&gt;"", IF(P380&lt;&gt;0,SUMIFS(node!$K$2:$K$1000, node!$C$2:$C$1000,"="&amp;A380)/P380,0), "")</f>
        <v/>
      </c>
      <c r="AD380" s="82" t="str">
        <f>IF(A380&lt;&gt;"", SUMIFS(node!$L$2:$L$1000, node!$C$2:$C$1000,"="&amp;A380), "")</f>
        <v/>
      </c>
      <c r="AE380" s="87" t="str">
        <f>IF(A380&lt;&gt;"", SUMIFS(node!$M$2:$M$1000, node!$C$2:$C$1000,"="&amp;A380), "")</f>
        <v/>
      </c>
    </row>
    <row r="381" spans="1:31" ht="15.75" customHeight="1" x14ac:dyDescent="0.25">
      <c r="A381" s="71" t="str">
        <f>IF(ISNONTEXT(node_raw[[#This Row],[Column2]]), "", node_raw[[#This Row],[Column2]])</f>
        <v/>
      </c>
      <c r="B381" s="108" t="str">
        <f>IF(A381&lt;&gt;"", VLOOKUP(A381, node!$C$2:$D$1000, 2, FALSE), "")</f>
        <v/>
      </c>
      <c r="C381" s="109" t="str">
        <f>IF(A381&lt;&gt;"", VLOOKUP(A381, node!$C$2:$E$1000, 3, FALSE), "")</f>
        <v/>
      </c>
      <c r="D381" s="110" t="str">
        <f>IF(A381&lt;&gt;"",COUNTIFS(node!$C$2:$C$1000,"="&amp;A381, node!$C$2:$C$1000,"&lt;&gt;"&amp;""),"")</f>
        <v/>
      </c>
      <c r="E381" s="111" t="str">
        <f>IF(A381&lt;&gt;"",SUMIFS(node!$F$2:$F$500, node!$C$2:$C$500,"="&amp;A381, node!$C$2:$C$500,"&lt;&gt;"&amp;"")/(B381*D381),"")</f>
        <v/>
      </c>
      <c r="F381" s="112" t="str">
        <f>IF(A381&lt;&gt;"",SUMIFS(node!$H$2:$H$500, node!$C$2:$C$500,"="&amp;A381, node!$C$2:$C$500,"&lt;&gt;"&amp;"")/(C381*D381),"")</f>
        <v/>
      </c>
      <c r="G381" s="179" t="str">
        <f>IF(A381&lt;&gt;"",SUMIFS(deployment!$F$4:$F$502, deployment!$D$4:$D$502,"="&amp;A381, deployment!$D$4:$D$502,"&lt;&gt;"&amp;""),"")</f>
        <v/>
      </c>
      <c r="H381" s="181" t="str">
        <f>IF(A381&lt;&gt;"",SUMIFS(deployment!$G$4:$G$502, deployment!$D$4:$D$502,"="&amp;A381, deployment!$D$4:$D$502,"&lt;&gt;"&amp;""),"")</f>
        <v/>
      </c>
      <c r="I381" s="113" t="str">
        <f>IF(A381&lt;&gt;"",SUMIFS(deployment!$H$4:$H$502, deployment!$D$4:$D$502,"="&amp;A381, deployment!$D$4:$D$502,"&lt;&gt;"&amp;""),"")</f>
        <v/>
      </c>
      <c r="J381" s="114" t="str">
        <f>IF(A381&lt;&gt;"",SUMIFS(deployment!$I$4:$I$502, deployment!$D$4:$D$502,"="&amp;A381, deployment!$D$4:$D$502,"&lt;&gt;"&amp;""),"")</f>
        <v/>
      </c>
      <c r="K381" s="182" t="str">
        <f>IF(A381&lt;&gt;"",SUMIFS(deployment!$J$4:$J$1002, deployment!$D$4:$D$1002,"="&amp;A381, deployment!$D$4:$D$1002,"&lt;&gt;"&amp;"", deployment!$C$4:$C$1002, "&lt;&gt;* )")+SUMIFS(namespace!$G$4:$G$1002, namespace!$B$4:$B$1002,"="&amp;A381, namespace!$B$4:$B$1002,"&lt;&gt;"&amp;""),"")</f>
        <v/>
      </c>
      <c r="L381" s="182" t="str">
        <f>IF(A381&lt;&gt;"",SUMIFS(deployment!$K$4:$K$1002, deployment!$D$4:$D$1002,"="&amp;A381, deployment!$D$4:$D$1002,"&lt;&gt;"&amp;"", deployment!$C$4:$C$1002, "&lt;&gt;* )")+SUMIFS(namespace!$H$4:$H$1002, namespace!$B$4:$B$1002,"="&amp;A381, namespace!$B$4:$B$1002,"&lt;&gt;"&amp;""),"")</f>
        <v/>
      </c>
      <c r="M381" s="115" t="str">
        <f>IF(A381&lt;&gt;"",SUMIFS(deployment!$L$4:$L$1002, deployment!$D$4:$D$1002,"="&amp;A381, deployment!$D$4:$D$1002,"&lt;&gt;"&amp;"", deployment!$C$4:$C$1002, "&lt;&gt;* )")+SUMIFS(namespace!$I$4:$I$1002, namespace!$B$4:$B$1002,"="&amp;A381, namespace!$B$4:$B$1002,"&lt;&gt;"&amp;""),"")</f>
        <v/>
      </c>
      <c r="N381" s="115" t="str">
        <f>IF(A381&lt;&gt;"",SUMIFS(deployment!$M$4:$M$1002, deployment!$D$4:$D$1002,"="&amp;A381, deployment!$D$4:$D$1002,"&lt;&gt;"&amp;"", deployment!$C$4:$C$1002, "&lt;&gt;* )")+SUMIFS(namespace!$J$4:$J$1002, namespace!$B$4:$B$1002,"="&amp;A381, namespace!$B$4:$B$1002,"&lt;&gt;"&amp;""),"")</f>
        <v/>
      </c>
      <c r="O381" s="116" t="str">
        <f t="shared" si="67"/>
        <v/>
      </c>
      <c r="P381" s="63"/>
      <c r="Q381" s="164" t="str">
        <f t="shared" si="62"/>
        <v/>
      </c>
      <c r="R381" s="60" t="str">
        <f t="shared" si="63"/>
        <v/>
      </c>
      <c r="S381" s="60" t="str">
        <f t="shared" si="64"/>
        <v/>
      </c>
      <c r="T381" s="61" t="str">
        <f t="shared" si="65"/>
        <v/>
      </c>
      <c r="U381" s="61" t="str">
        <f t="shared" si="66"/>
        <v/>
      </c>
      <c r="V381" s="183" t="str">
        <f t="shared" si="68"/>
        <v/>
      </c>
      <c r="W381" s="183" t="str">
        <f t="shared" si="69"/>
        <v/>
      </c>
      <c r="X381" s="61" t="str">
        <f t="shared" si="70"/>
        <v/>
      </c>
      <c r="Y381" s="61" t="str">
        <f t="shared" si="71"/>
        <v/>
      </c>
      <c r="Z381" s="118" t="str">
        <f t="shared" si="72"/>
        <v/>
      </c>
      <c r="AA381" s="62" t="str">
        <f t="shared" si="73"/>
        <v/>
      </c>
      <c r="AB381" s="119" t="str">
        <f>IF(A381&lt;&gt;"", IF(P381&lt;&gt;0,SUMIFS(node!$J$2:$J$1000, node!$C$2:$C$1000,"="&amp;A381)/P381,0), "")</f>
        <v/>
      </c>
      <c r="AC381" s="81" t="str">
        <f>IF(A381&lt;&gt;"", IF(P381&lt;&gt;0,SUMIFS(node!$K$2:$K$1000, node!$C$2:$C$1000,"="&amp;A381)/P381,0), "")</f>
        <v/>
      </c>
      <c r="AD381" s="82" t="str">
        <f>IF(A381&lt;&gt;"", SUMIFS(node!$L$2:$L$1000, node!$C$2:$C$1000,"="&amp;A381), "")</f>
        <v/>
      </c>
      <c r="AE381" s="87" t="str">
        <f>IF(A381&lt;&gt;"", SUMIFS(node!$M$2:$M$1000, node!$C$2:$C$1000,"="&amp;A381), "")</f>
        <v/>
      </c>
    </row>
    <row r="382" spans="1:31" ht="15.75" customHeight="1" x14ac:dyDescent="0.25">
      <c r="A382" s="71" t="str">
        <f>IF(ISNONTEXT(node_raw[[#This Row],[Column2]]), "", node_raw[[#This Row],[Column2]])</f>
        <v/>
      </c>
      <c r="B382" s="108" t="str">
        <f>IF(A382&lt;&gt;"", VLOOKUP(A382, node!$C$2:$D$1000, 2, FALSE), "")</f>
        <v/>
      </c>
      <c r="C382" s="109" t="str">
        <f>IF(A382&lt;&gt;"", VLOOKUP(A382, node!$C$2:$E$1000, 3, FALSE), "")</f>
        <v/>
      </c>
      <c r="D382" s="110" t="str">
        <f>IF(A382&lt;&gt;"",COUNTIFS(node!$C$2:$C$1000,"="&amp;A382, node!$C$2:$C$1000,"&lt;&gt;"&amp;""),"")</f>
        <v/>
      </c>
      <c r="E382" s="111" t="str">
        <f>IF(A382&lt;&gt;"",SUMIFS(node!$F$2:$F$500, node!$C$2:$C$500,"="&amp;A382, node!$C$2:$C$500,"&lt;&gt;"&amp;"")/(B382*D382),"")</f>
        <v/>
      </c>
      <c r="F382" s="112" t="str">
        <f>IF(A382&lt;&gt;"",SUMIFS(node!$H$2:$H$500, node!$C$2:$C$500,"="&amp;A382, node!$C$2:$C$500,"&lt;&gt;"&amp;"")/(C382*D382),"")</f>
        <v/>
      </c>
      <c r="G382" s="179" t="str">
        <f>IF(A382&lt;&gt;"",SUMIFS(deployment!$F$4:$F$502, deployment!$D$4:$D$502,"="&amp;A382, deployment!$D$4:$D$502,"&lt;&gt;"&amp;""),"")</f>
        <v/>
      </c>
      <c r="H382" s="181" t="str">
        <f>IF(A382&lt;&gt;"",SUMIFS(deployment!$G$4:$G$502, deployment!$D$4:$D$502,"="&amp;A382, deployment!$D$4:$D$502,"&lt;&gt;"&amp;""),"")</f>
        <v/>
      </c>
      <c r="I382" s="113" t="str">
        <f>IF(A382&lt;&gt;"",SUMIFS(deployment!$H$4:$H$502, deployment!$D$4:$D$502,"="&amp;A382, deployment!$D$4:$D$502,"&lt;&gt;"&amp;""),"")</f>
        <v/>
      </c>
      <c r="J382" s="114" t="str">
        <f>IF(A382&lt;&gt;"",SUMIFS(deployment!$I$4:$I$502, deployment!$D$4:$D$502,"="&amp;A382, deployment!$D$4:$D$502,"&lt;&gt;"&amp;""),"")</f>
        <v/>
      </c>
      <c r="K382" s="182" t="str">
        <f>IF(A382&lt;&gt;"",SUMIFS(deployment!$J$4:$J$1002, deployment!$D$4:$D$1002,"="&amp;A382, deployment!$D$4:$D$1002,"&lt;&gt;"&amp;"", deployment!$C$4:$C$1002, "&lt;&gt;* )")+SUMIFS(namespace!$G$4:$G$1002, namespace!$B$4:$B$1002,"="&amp;A382, namespace!$B$4:$B$1002,"&lt;&gt;"&amp;""),"")</f>
        <v/>
      </c>
      <c r="L382" s="182" t="str">
        <f>IF(A382&lt;&gt;"",SUMIFS(deployment!$K$4:$K$1002, deployment!$D$4:$D$1002,"="&amp;A382, deployment!$D$4:$D$1002,"&lt;&gt;"&amp;"", deployment!$C$4:$C$1002, "&lt;&gt;* )")+SUMIFS(namespace!$H$4:$H$1002, namespace!$B$4:$B$1002,"="&amp;A382, namespace!$B$4:$B$1002,"&lt;&gt;"&amp;""),"")</f>
        <v/>
      </c>
      <c r="M382" s="115" t="str">
        <f>IF(A382&lt;&gt;"",SUMIFS(deployment!$L$4:$L$1002, deployment!$D$4:$D$1002,"="&amp;A382, deployment!$D$4:$D$1002,"&lt;&gt;"&amp;"", deployment!$C$4:$C$1002, "&lt;&gt;* )")+SUMIFS(namespace!$I$4:$I$1002, namespace!$B$4:$B$1002,"="&amp;A382, namespace!$B$4:$B$1002,"&lt;&gt;"&amp;""),"")</f>
        <v/>
      </c>
      <c r="N382" s="115" t="str">
        <f>IF(A382&lt;&gt;"",SUMIFS(deployment!$M$4:$M$1002, deployment!$D$4:$D$1002,"="&amp;A382, deployment!$D$4:$D$1002,"&lt;&gt;"&amp;"", deployment!$C$4:$C$1002, "&lt;&gt;* )")+SUMIFS(namespace!$J$4:$J$1002, namespace!$B$4:$B$1002,"="&amp;A382, namespace!$B$4:$B$1002,"&lt;&gt;"&amp;""),"")</f>
        <v/>
      </c>
      <c r="O382" s="116" t="str">
        <f t="shared" si="67"/>
        <v/>
      </c>
      <c r="P382" s="63"/>
      <c r="Q382" s="164" t="str">
        <f t="shared" si="62"/>
        <v/>
      </c>
      <c r="R382" s="60" t="str">
        <f t="shared" si="63"/>
        <v/>
      </c>
      <c r="S382" s="60" t="str">
        <f t="shared" si="64"/>
        <v/>
      </c>
      <c r="T382" s="61" t="str">
        <f t="shared" si="65"/>
        <v/>
      </c>
      <c r="U382" s="61" t="str">
        <f t="shared" si="66"/>
        <v/>
      </c>
      <c r="V382" s="183" t="str">
        <f t="shared" si="68"/>
        <v/>
      </c>
      <c r="W382" s="183" t="str">
        <f t="shared" si="69"/>
        <v/>
      </c>
      <c r="X382" s="61" t="str">
        <f t="shared" si="70"/>
        <v/>
      </c>
      <c r="Y382" s="61" t="str">
        <f t="shared" si="71"/>
        <v/>
      </c>
      <c r="Z382" s="118" t="str">
        <f t="shared" si="72"/>
        <v/>
      </c>
      <c r="AA382" s="62" t="str">
        <f t="shared" si="73"/>
        <v/>
      </c>
      <c r="AB382" s="119" t="str">
        <f>IF(A382&lt;&gt;"", IF(P382&lt;&gt;0,SUMIFS(node!$J$2:$J$1000, node!$C$2:$C$1000,"="&amp;A382)/P382,0), "")</f>
        <v/>
      </c>
      <c r="AC382" s="81" t="str">
        <f>IF(A382&lt;&gt;"", IF(P382&lt;&gt;0,SUMIFS(node!$K$2:$K$1000, node!$C$2:$C$1000,"="&amp;A382)/P382,0), "")</f>
        <v/>
      </c>
      <c r="AD382" s="82" t="str">
        <f>IF(A382&lt;&gt;"", SUMIFS(node!$L$2:$L$1000, node!$C$2:$C$1000,"="&amp;A382), "")</f>
        <v/>
      </c>
      <c r="AE382" s="87" t="str">
        <f>IF(A382&lt;&gt;"", SUMIFS(node!$M$2:$M$1000, node!$C$2:$C$1000,"="&amp;A382), "")</f>
        <v/>
      </c>
    </row>
    <row r="383" spans="1:31" ht="15.75" customHeight="1" x14ac:dyDescent="0.25">
      <c r="A383" s="71" t="str">
        <f>IF(ISNONTEXT(node_raw[[#This Row],[Column2]]), "", node_raw[[#This Row],[Column2]])</f>
        <v/>
      </c>
      <c r="B383" s="108" t="str">
        <f>IF(A383&lt;&gt;"", VLOOKUP(A383, node!$C$2:$D$1000, 2, FALSE), "")</f>
        <v/>
      </c>
      <c r="C383" s="109" t="str">
        <f>IF(A383&lt;&gt;"", VLOOKUP(A383, node!$C$2:$E$1000, 3, FALSE), "")</f>
        <v/>
      </c>
      <c r="D383" s="110" t="str">
        <f>IF(A383&lt;&gt;"",COUNTIFS(node!$C$2:$C$1000,"="&amp;A383, node!$C$2:$C$1000,"&lt;&gt;"&amp;""),"")</f>
        <v/>
      </c>
      <c r="E383" s="111" t="str">
        <f>IF(A383&lt;&gt;"",SUMIFS(node!$F$2:$F$500, node!$C$2:$C$500,"="&amp;A383, node!$C$2:$C$500,"&lt;&gt;"&amp;"")/(B383*D383),"")</f>
        <v/>
      </c>
      <c r="F383" s="112" t="str">
        <f>IF(A383&lt;&gt;"",SUMIFS(node!$H$2:$H$500, node!$C$2:$C$500,"="&amp;A383, node!$C$2:$C$500,"&lt;&gt;"&amp;"")/(C383*D383),"")</f>
        <v/>
      </c>
      <c r="G383" s="179" t="str">
        <f>IF(A383&lt;&gt;"",SUMIFS(deployment!$F$4:$F$502, deployment!$D$4:$D$502,"="&amp;A383, deployment!$D$4:$D$502,"&lt;&gt;"&amp;""),"")</f>
        <v/>
      </c>
      <c r="H383" s="181" t="str">
        <f>IF(A383&lt;&gt;"",SUMIFS(deployment!$G$4:$G$502, deployment!$D$4:$D$502,"="&amp;A383, deployment!$D$4:$D$502,"&lt;&gt;"&amp;""),"")</f>
        <v/>
      </c>
      <c r="I383" s="113" t="str">
        <f>IF(A383&lt;&gt;"",SUMIFS(deployment!$H$4:$H$502, deployment!$D$4:$D$502,"="&amp;A383, deployment!$D$4:$D$502,"&lt;&gt;"&amp;""),"")</f>
        <v/>
      </c>
      <c r="J383" s="114" t="str">
        <f>IF(A383&lt;&gt;"",SUMIFS(deployment!$I$4:$I$502, deployment!$D$4:$D$502,"="&amp;A383, deployment!$D$4:$D$502,"&lt;&gt;"&amp;""),"")</f>
        <v/>
      </c>
      <c r="K383" s="182" t="str">
        <f>IF(A383&lt;&gt;"",SUMIFS(deployment!$J$4:$J$1002, deployment!$D$4:$D$1002,"="&amp;A383, deployment!$D$4:$D$1002,"&lt;&gt;"&amp;"", deployment!$C$4:$C$1002, "&lt;&gt;* )")+SUMIFS(namespace!$G$4:$G$1002, namespace!$B$4:$B$1002,"="&amp;A383, namespace!$B$4:$B$1002,"&lt;&gt;"&amp;""),"")</f>
        <v/>
      </c>
      <c r="L383" s="182" t="str">
        <f>IF(A383&lt;&gt;"",SUMIFS(deployment!$K$4:$K$1002, deployment!$D$4:$D$1002,"="&amp;A383, deployment!$D$4:$D$1002,"&lt;&gt;"&amp;"", deployment!$C$4:$C$1002, "&lt;&gt;* )")+SUMIFS(namespace!$H$4:$H$1002, namespace!$B$4:$B$1002,"="&amp;A383, namespace!$B$4:$B$1002,"&lt;&gt;"&amp;""),"")</f>
        <v/>
      </c>
      <c r="M383" s="115" t="str">
        <f>IF(A383&lt;&gt;"",SUMIFS(deployment!$L$4:$L$1002, deployment!$D$4:$D$1002,"="&amp;A383, deployment!$D$4:$D$1002,"&lt;&gt;"&amp;"", deployment!$C$4:$C$1002, "&lt;&gt;* )")+SUMIFS(namespace!$I$4:$I$1002, namespace!$B$4:$B$1002,"="&amp;A383, namespace!$B$4:$B$1002,"&lt;&gt;"&amp;""),"")</f>
        <v/>
      </c>
      <c r="N383" s="115" t="str">
        <f>IF(A383&lt;&gt;"",SUMIFS(deployment!$M$4:$M$1002, deployment!$D$4:$D$1002,"="&amp;A383, deployment!$D$4:$D$1002,"&lt;&gt;"&amp;"", deployment!$C$4:$C$1002, "&lt;&gt;* )")+SUMIFS(namespace!$J$4:$J$1002, namespace!$B$4:$B$1002,"="&amp;A383, namespace!$B$4:$B$1002,"&lt;&gt;"&amp;""),"")</f>
        <v/>
      </c>
      <c r="O383" s="116" t="str">
        <f t="shared" si="67"/>
        <v/>
      </c>
      <c r="P383" s="63"/>
      <c r="Q383" s="164" t="str">
        <f t="shared" si="62"/>
        <v/>
      </c>
      <c r="R383" s="60" t="str">
        <f t="shared" si="63"/>
        <v/>
      </c>
      <c r="S383" s="60" t="str">
        <f t="shared" si="64"/>
        <v/>
      </c>
      <c r="T383" s="61" t="str">
        <f t="shared" si="65"/>
        <v/>
      </c>
      <c r="U383" s="61" t="str">
        <f t="shared" si="66"/>
        <v/>
      </c>
      <c r="V383" s="183" t="str">
        <f t="shared" si="68"/>
        <v/>
      </c>
      <c r="W383" s="183" t="str">
        <f t="shared" si="69"/>
        <v/>
      </c>
      <c r="X383" s="61" t="str">
        <f t="shared" si="70"/>
        <v/>
      </c>
      <c r="Y383" s="61" t="str">
        <f t="shared" si="71"/>
        <v/>
      </c>
      <c r="Z383" s="118" t="str">
        <f t="shared" si="72"/>
        <v/>
      </c>
      <c r="AA383" s="62" t="str">
        <f t="shared" si="73"/>
        <v/>
      </c>
      <c r="AB383" s="119" t="str">
        <f>IF(A383&lt;&gt;"", IF(P383&lt;&gt;0,SUMIFS(node!$J$2:$J$1000, node!$C$2:$C$1000,"="&amp;A383)/P383,0), "")</f>
        <v/>
      </c>
      <c r="AC383" s="81" t="str">
        <f>IF(A383&lt;&gt;"", IF(P383&lt;&gt;0,SUMIFS(node!$K$2:$K$1000, node!$C$2:$C$1000,"="&amp;A383)/P383,0), "")</f>
        <v/>
      </c>
      <c r="AD383" s="82" t="str">
        <f>IF(A383&lt;&gt;"", SUMIFS(node!$L$2:$L$1000, node!$C$2:$C$1000,"="&amp;A383), "")</f>
        <v/>
      </c>
      <c r="AE383" s="87" t="str">
        <f>IF(A383&lt;&gt;"", SUMIFS(node!$M$2:$M$1000, node!$C$2:$C$1000,"="&amp;A383), "")</f>
        <v/>
      </c>
    </row>
    <row r="384" spans="1:31" ht="15.75" customHeight="1" x14ac:dyDescent="0.25">
      <c r="A384" s="71" t="str">
        <f>IF(ISNONTEXT(node_raw[[#This Row],[Column2]]), "", node_raw[[#This Row],[Column2]])</f>
        <v/>
      </c>
      <c r="B384" s="108" t="str">
        <f>IF(A384&lt;&gt;"", VLOOKUP(A384, node!$C$2:$D$1000, 2, FALSE), "")</f>
        <v/>
      </c>
      <c r="C384" s="109" t="str">
        <f>IF(A384&lt;&gt;"", VLOOKUP(A384, node!$C$2:$E$1000, 3, FALSE), "")</f>
        <v/>
      </c>
      <c r="D384" s="110" t="str">
        <f>IF(A384&lt;&gt;"",COUNTIFS(node!$C$2:$C$1000,"="&amp;A384, node!$C$2:$C$1000,"&lt;&gt;"&amp;""),"")</f>
        <v/>
      </c>
      <c r="E384" s="111" t="str">
        <f>IF(A384&lt;&gt;"",SUMIFS(node!$F$2:$F$500, node!$C$2:$C$500,"="&amp;A384, node!$C$2:$C$500,"&lt;&gt;"&amp;"")/(B384*D384),"")</f>
        <v/>
      </c>
      <c r="F384" s="112" t="str">
        <f>IF(A384&lt;&gt;"",SUMIFS(node!$H$2:$H$500, node!$C$2:$C$500,"="&amp;A384, node!$C$2:$C$500,"&lt;&gt;"&amp;"")/(C384*D384),"")</f>
        <v/>
      </c>
      <c r="G384" s="179" t="str">
        <f>IF(A384&lt;&gt;"",SUMIFS(deployment!$F$4:$F$502, deployment!$D$4:$D$502,"="&amp;A384, deployment!$D$4:$D$502,"&lt;&gt;"&amp;""),"")</f>
        <v/>
      </c>
      <c r="H384" s="181" t="str">
        <f>IF(A384&lt;&gt;"",SUMIFS(deployment!$G$4:$G$502, deployment!$D$4:$D$502,"="&amp;A384, deployment!$D$4:$D$502,"&lt;&gt;"&amp;""),"")</f>
        <v/>
      </c>
      <c r="I384" s="113" t="str">
        <f>IF(A384&lt;&gt;"",SUMIFS(deployment!$H$4:$H$502, deployment!$D$4:$D$502,"="&amp;A384, deployment!$D$4:$D$502,"&lt;&gt;"&amp;""),"")</f>
        <v/>
      </c>
      <c r="J384" s="114" t="str">
        <f>IF(A384&lt;&gt;"",SUMIFS(deployment!$I$4:$I$502, deployment!$D$4:$D$502,"="&amp;A384, deployment!$D$4:$D$502,"&lt;&gt;"&amp;""),"")</f>
        <v/>
      </c>
      <c r="K384" s="182" t="str">
        <f>IF(A384&lt;&gt;"",SUMIFS(deployment!$J$4:$J$1002, deployment!$D$4:$D$1002,"="&amp;A384, deployment!$D$4:$D$1002,"&lt;&gt;"&amp;"", deployment!$C$4:$C$1002, "&lt;&gt;* )")+SUMIFS(namespace!$G$4:$G$1002, namespace!$B$4:$B$1002,"="&amp;A384, namespace!$B$4:$B$1002,"&lt;&gt;"&amp;""),"")</f>
        <v/>
      </c>
      <c r="L384" s="182" t="str">
        <f>IF(A384&lt;&gt;"",SUMIFS(deployment!$K$4:$K$1002, deployment!$D$4:$D$1002,"="&amp;A384, deployment!$D$4:$D$1002,"&lt;&gt;"&amp;"", deployment!$C$4:$C$1002, "&lt;&gt;* )")+SUMIFS(namespace!$H$4:$H$1002, namespace!$B$4:$B$1002,"="&amp;A384, namespace!$B$4:$B$1002,"&lt;&gt;"&amp;""),"")</f>
        <v/>
      </c>
      <c r="M384" s="115" t="str">
        <f>IF(A384&lt;&gt;"",SUMIFS(deployment!$L$4:$L$1002, deployment!$D$4:$D$1002,"="&amp;A384, deployment!$D$4:$D$1002,"&lt;&gt;"&amp;"", deployment!$C$4:$C$1002, "&lt;&gt;* )")+SUMIFS(namespace!$I$4:$I$1002, namespace!$B$4:$B$1002,"="&amp;A384, namespace!$B$4:$B$1002,"&lt;&gt;"&amp;""),"")</f>
        <v/>
      </c>
      <c r="N384" s="115" t="str">
        <f>IF(A384&lt;&gt;"",SUMIFS(deployment!$M$4:$M$1002, deployment!$D$4:$D$1002,"="&amp;A384, deployment!$D$4:$D$1002,"&lt;&gt;"&amp;"", deployment!$C$4:$C$1002, "&lt;&gt;* )")+SUMIFS(namespace!$J$4:$J$1002, namespace!$B$4:$B$1002,"="&amp;A384, namespace!$B$4:$B$1002,"&lt;&gt;"&amp;""),"")</f>
        <v/>
      </c>
      <c r="O384" s="116" t="str">
        <f t="shared" si="67"/>
        <v/>
      </c>
      <c r="P384" s="63"/>
      <c r="Q384" s="164" t="str">
        <f t="shared" si="62"/>
        <v/>
      </c>
      <c r="R384" s="60" t="str">
        <f t="shared" si="63"/>
        <v/>
      </c>
      <c r="S384" s="60" t="str">
        <f t="shared" si="64"/>
        <v/>
      </c>
      <c r="T384" s="61" t="str">
        <f t="shared" si="65"/>
        <v/>
      </c>
      <c r="U384" s="61" t="str">
        <f t="shared" si="66"/>
        <v/>
      </c>
      <c r="V384" s="183" t="str">
        <f t="shared" si="68"/>
        <v/>
      </c>
      <c r="W384" s="183" t="str">
        <f t="shared" si="69"/>
        <v/>
      </c>
      <c r="X384" s="61" t="str">
        <f t="shared" si="70"/>
        <v/>
      </c>
      <c r="Y384" s="61" t="str">
        <f t="shared" si="71"/>
        <v/>
      </c>
      <c r="Z384" s="118" t="str">
        <f t="shared" si="72"/>
        <v/>
      </c>
      <c r="AA384" s="62" t="str">
        <f t="shared" si="73"/>
        <v/>
      </c>
      <c r="AB384" s="119" t="str">
        <f>IF(A384&lt;&gt;"", IF(P384&lt;&gt;0,SUMIFS(node!$J$2:$J$1000, node!$C$2:$C$1000,"="&amp;A384)/P384,0), "")</f>
        <v/>
      </c>
      <c r="AC384" s="81" t="str">
        <f>IF(A384&lt;&gt;"", IF(P384&lt;&gt;0,SUMIFS(node!$K$2:$K$1000, node!$C$2:$C$1000,"="&amp;A384)/P384,0), "")</f>
        <v/>
      </c>
      <c r="AD384" s="82" t="str">
        <f>IF(A384&lt;&gt;"", SUMIFS(node!$L$2:$L$1000, node!$C$2:$C$1000,"="&amp;A384), "")</f>
        <v/>
      </c>
      <c r="AE384" s="87" t="str">
        <f>IF(A384&lt;&gt;"", SUMIFS(node!$M$2:$M$1000, node!$C$2:$C$1000,"="&amp;A384), "")</f>
        <v/>
      </c>
    </row>
    <row r="385" spans="1:31" ht="15.75" customHeight="1" x14ac:dyDescent="0.25">
      <c r="A385" s="71" t="str">
        <f>IF(ISNONTEXT(node_raw[[#This Row],[Column2]]), "", node_raw[[#This Row],[Column2]])</f>
        <v/>
      </c>
      <c r="B385" s="108" t="str">
        <f>IF(A385&lt;&gt;"", VLOOKUP(A385, node!$C$2:$D$1000, 2, FALSE), "")</f>
        <v/>
      </c>
      <c r="C385" s="109" t="str">
        <f>IF(A385&lt;&gt;"", VLOOKUP(A385, node!$C$2:$E$1000, 3, FALSE), "")</f>
        <v/>
      </c>
      <c r="D385" s="110" t="str">
        <f>IF(A385&lt;&gt;"",COUNTIFS(node!$C$2:$C$1000,"="&amp;A385, node!$C$2:$C$1000,"&lt;&gt;"&amp;""),"")</f>
        <v/>
      </c>
      <c r="E385" s="111" t="str">
        <f>IF(A385&lt;&gt;"",SUMIFS(node!$F$2:$F$500, node!$C$2:$C$500,"="&amp;A385, node!$C$2:$C$500,"&lt;&gt;"&amp;"")/(B385*D385),"")</f>
        <v/>
      </c>
      <c r="F385" s="112" t="str">
        <f>IF(A385&lt;&gt;"",SUMIFS(node!$H$2:$H$500, node!$C$2:$C$500,"="&amp;A385, node!$C$2:$C$500,"&lt;&gt;"&amp;"")/(C385*D385),"")</f>
        <v/>
      </c>
      <c r="G385" s="179" t="str">
        <f>IF(A385&lt;&gt;"",SUMIFS(deployment!$F$4:$F$502, deployment!$D$4:$D$502,"="&amp;A385, deployment!$D$4:$D$502,"&lt;&gt;"&amp;""),"")</f>
        <v/>
      </c>
      <c r="H385" s="181" t="str">
        <f>IF(A385&lt;&gt;"",SUMIFS(deployment!$G$4:$G$502, deployment!$D$4:$D$502,"="&amp;A385, deployment!$D$4:$D$502,"&lt;&gt;"&amp;""),"")</f>
        <v/>
      </c>
      <c r="I385" s="113" t="str">
        <f>IF(A385&lt;&gt;"",SUMIFS(deployment!$H$4:$H$502, deployment!$D$4:$D$502,"="&amp;A385, deployment!$D$4:$D$502,"&lt;&gt;"&amp;""),"")</f>
        <v/>
      </c>
      <c r="J385" s="114" t="str">
        <f>IF(A385&lt;&gt;"",SUMIFS(deployment!$I$4:$I$502, deployment!$D$4:$D$502,"="&amp;A385, deployment!$D$4:$D$502,"&lt;&gt;"&amp;""),"")</f>
        <v/>
      </c>
      <c r="K385" s="182" t="str">
        <f>IF(A385&lt;&gt;"",SUMIFS(deployment!$J$4:$J$1002, deployment!$D$4:$D$1002,"="&amp;A385, deployment!$D$4:$D$1002,"&lt;&gt;"&amp;"", deployment!$C$4:$C$1002, "&lt;&gt;* )")+SUMIFS(namespace!$G$4:$G$1002, namespace!$B$4:$B$1002,"="&amp;A385, namespace!$B$4:$B$1002,"&lt;&gt;"&amp;""),"")</f>
        <v/>
      </c>
      <c r="L385" s="182" t="str">
        <f>IF(A385&lt;&gt;"",SUMIFS(deployment!$K$4:$K$1002, deployment!$D$4:$D$1002,"="&amp;A385, deployment!$D$4:$D$1002,"&lt;&gt;"&amp;"", deployment!$C$4:$C$1002, "&lt;&gt;* )")+SUMIFS(namespace!$H$4:$H$1002, namespace!$B$4:$B$1002,"="&amp;A385, namespace!$B$4:$B$1002,"&lt;&gt;"&amp;""),"")</f>
        <v/>
      </c>
      <c r="M385" s="115" t="str">
        <f>IF(A385&lt;&gt;"",SUMIFS(deployment!$L$4:$L$1002, deployment!$D$4:$D$1002,"="&amp;A385, deployment!$D$4:$D$1002,"&lt;&gt;"&amp;"", deployment!$C$4:$C$1002, "&lt;&gt;* )")+SUMIFS(namespace!$I$4:$I$1002, namespace!$B$4:$B$1002,"="&amp;A385, namespace!$B$4:$B$1002,"&lt;&gt;"&amp;""),"")</f>
        <v/>
      </c>
      <c r="N385" s="115" t="str">
        <f>IF(A385&lt;&gt;"",SUMIFS(deployment!$M$4:$M$1002, deployment!$D$4:$D$1002,"="&amp;A385, deployment!$D$4:$D$1002,"&lt;&gt;"&amp;"", deployment!$C$4:$C$1002, "&lt;&gt;* )")+SUMIFS(namespace!$J$4:$J$1002, namespace!$B$4:$B$1002,"="&amp;A385, namespace!$B$4:$B$1002,"&lt;&gt;"&amp;""),"")</f>
        <v/>
      </c>
      <c r="O385" s="116" t="str">
        <f t="shared" si="67"/>
        <v/>
      </c>
      <c r="P385" s="63"/>
      <c r="Q385" s="164" t="str">
        <f t="shared" si="62"/>
        <v/>
      </c>
      <c r="R385" s="60" t="str">
        <f t="shared" si="63"/>
        <v/>
      </c>
      <c r="S385" s="60" t="str">
        <f t="shared" si="64"/>
        <v/>
      </c>
      <c r="T385" s="61" t="str">
        <f t="shared" si="65"/>
        <v/>
      </c>
      <c r="U385" s="61" t="str">
        <f t="shared" si="66"/>
        <v/>
      </c>
      <c r="V385" s="183" t="str">
        <f t="shared" si="68"/>
        <v/>
      </c>
      <c r="W385" s="183" t="str">
        <f t="shared" si="69"/>
        <v/>
      </c>
      <c r="X385" s="61" t="str">
        <f t="shared" si="70"/>
        <v/>
      </c>
      <c r="Y385" s="61" t="str">
        <f t="shared" si="71"/>
        <v/>
      </c>
      <c r="Z385" s="118" t="str">
        <f t="shared" si="72"/>
        <v/>
      </c>
      <c r="AA385" s="62" t="str">
        <f t="shared" si="73"/>
        <v/>
      </c>
      <c r="AB385" s="119" t="str">
        <f>IF(A385&lt;&gt;"", IF(P385&lt;&gt;0,SUMIFS(node!$J$2:$J$1000, node!$C$2:$C$1000,"="&amp;A385)/P385,0), "")</f>
        <v/>
      </c>
      <c r="AC385" s="81" t="str">
        <f>IF(A385&lt;&gt;"", IF(P385&lt;&gt;0,SUMIFS(node!$K$2:$K$1000, node!$C$2:$C$1000,"="&amp;A385)/P385,0), "")</f>
        <v/>
      </c>
      <c r="AD385" s="82" t="str">
        <f>IF(A385&lt;&gt;"", SUMIFS(node!$L$2:$L$1000, node!$C$2:$C$1000,"="&amp;A385), "")</f>
        <v/>
      </c>
      <c r="AE385" s="87" t="str">
        <f>IF(A385&lt;&gt;"", SUMIFS(node!$M$2:$M$1000, node!$C$2:$C$1000,"="&amp;A385), "")</f>
        <v/>
      </c>
    </row>
    <row r="386" spans="1:31" ht="15.75" customHeight="1" x14ac:dyDescent="0.25">
      <c r="A386" s="71" t="str">
        <f>IF(ISNONTEXT(node_raw[[#This Row],[Column2]]), "", node_raw[[#This Row],[Column2]])</f>
        <v/>
      </c>
      <c r="B386" s="108" t="str">
        <f>IF(A386&lt;&gt;"", VLOOKUP(A386, node!$C$2:$D$1000, 2, FALSE), "")</f>
        <v/>
      </c>
      <c r="C386" s="109" t="str">
        <f>IF(A386&lt;&gt;"", VLOOKUP(A386, node!$C$2:$E$1000, 3, FALSE), "")</f>
        <v/>
      </c>
      <c r="D386" s="110" t="str">
        <f>IF(A386&lt;&gt;"",COUNTIFS(node!$C$2:$C$1000,"="&amp;A386, node!$C$2:$C$1000,"&lt;&gt;"&amp;""),"")</f>
        <v/>
      </c>
      <c r="E386" s="111" t="str">
        <f>IF(A386&lt;&gt;"",SUMIFS(node!$F$2:$F$500, node!$C$2:$C$500,"="&amp;A386, node!$C$2:$C$500,"&lt;&gt;"&amp;"")/(B386*D386),"")</f>
        <v/>
      </c>
      <c r="F386" s="112" t="str">
        <f>IF(A386&lt;&gt;"",SUMIFS(node!$H$2:$H$500, node!$C$2:$C$500,"="&amp;A386, node!$C$2:$C$500,"&lt;&gt;"&amp;"")/(C386*D386),"")</f>
        <v/>
      </c>
      <c r="G386" s="179" t="str">
        <f>IF(A386&lt;&gt;"",SUMIFS(deployment!$F$4:$F$502, deployment!$D$4:$D$502,"="&amp;A386, deployment!$D$4:$D$502,"&lt;&gt;"&amp;""),"")</f>
        <v/>
      </c>
      <c r="H386" s="181" t="str">
        <f>IF(A386&lt;&gt;"",SUMIFS(deployment!$G$4:$G$502, deployment!$D$4:$D$502,"="&amp;A386, deployment!$D$4:$D$502,"&lt;&gt;"&amp;""),"")</f>
        <v/>
      </c>
      <c r="I386" s="113" t="str">
        <f>IF(A386&lt;&gt;"",SUMIFS(deployment!$H$4:$H$502, deployment!$D$4:$D$502,"="&amp;A386, deployment!$D$4:$D$502,"&lt;&gt;"&amp;""),"")</f>
        <v/>
      </c>
      <c r="J386" s="114" t="str">
        <f>IF(A386&lt;&gt;"",SUMIFS(deployment!$I$4:$I$502, deployment!$D$4:$D$502,"="&amp;A386, deployment!$D$4:$D$502,"&lt;&gt;"&amp;""),"")</f>
        <v/>
      </c>
      <c r="K386" s="182" t="str">
        <f>IF(A386&lt;&gt;"",SUMIFS(deployment!$J$4:$J$1002, deployment!$D$4:$D$1002,"="&amp;A386, deployment!$D$4:$D$1002,"&lt;&gt;"&amp;"", deployment!$C$4:$C$1002, "&lt;&gt;* )")+SUMIFS(namespace!$G$4:$G$1002, namespace!$B$4:$B$1002,"="&amp;A386, namespace!$B$4:$B$1002,"&lt;&gt;"&amp;""),"")</f>
        <v/>
      </c>
      <c r="L386" s="182" t="str">
        <f>IF(A386&lt;&gt;"",SUMIFS(deployment!$K$4:$K$1002, deployment!$D$4:$D$1002,"="&amp;A386, deployment!$D$4:$D$1002,"&lt;&gt;"&amp;"", deployment!$C$4:$C$1002, "&lt;&gt;* )")+SUMIFS(namespace!$H$4:$H$1002, namespace!$B$4:$B$1002,"="&amp;A386, namespace!$B$4:$B$1002,"&lt;&gt;"&amp;""),"")</f>
        <v/>
      </c>
      <c r="M386" s="115" t="str">
        <f>IF(A386&lt;&gt;"",SUMIFS(deployment!$L$4:$L$1002, deployment!$D$4:$D$1002,"="&amp;A386, deployment!$D$4:$D$1002,"&lt;&gt;"&amp;"", deployment!$C$4:$C$1002, "&lt;&gt;* )")+SUMIFS(namespace!$I$4:$I$1002, namespace!$B$4:$B$1002,"="&amp;A386, namespace!$B$4:$B$1002,"&lt;&gt;"&amp;""),"")</f>
        <v/>
      </c>
      <c r="N386" s="115" t="str">
        <f>IF(A386&lt;&gt;"",SUMIFS(deployment!$M$4:$M$1002, deployment!$D$4:$D$1002,"="&amp;A386, deployment!$D$4:$D$1002,"&lt;&gt;"&amp;"", deployment!$C$4:$C$1002, "&lt;&gt;* )")+SUMIFS(namespace!$J$4:$J$1002, namespace!$B$4:$B$1002,"="&amp;A386, namespace!$B$4:$B$1002,"&lt;&gt;"&amp;""),"")</f>
        <v/>
      </c>
      <c r="O386" s="116" t="str">
        <f t="shared" si="67"/>
        <v/>
      </c>
      <c r="P386" s="63"/>
      <c r="Q386" s="164" t="str">
        <f t="shared" si="62"/>
        <v/>
      </c>
      <c r="R386" s="60" t="str">
        <f t="shared" si="63"/>
        <v/>
      </c>
      <c r="S386" s="60" t="str">
        <f t="shared" si="64"/>
        <v/>
      </c>
      <c r="T386" s="61" t="str">
        <f t="shared" si="65"/>
        <v/>
      </c>
      <c r="U386" s="61" t="str">
        <f t="shared" si="66"/>
        <v/>
      </c>
      <c r="V386" s="183" t="str">
        <f t="shared" si="68"/>
        <v/>
      </c>
      <c r="W386" s="183" t="str">
        <f t="shared" si="69"/>
        <v/>
      </c>
      <c r="X386" s="61" t="str">
        <f t="shared" si="70"/>
        <v/>
      </c>
      <c r="Y386" s="61" t="str">
        <f t="shared" si="71"/>
        <v/>
      </c>
      <c r="Z386" s="118" t="str">
        <f t="shared" si="72"/>
        <v/>
      </c>
      <c r="AA386" s="62" t="str">
        <f t="shared" si="73"/>
        <v/>
      </c>
      <c r="AB386" s="119" t="str">
        <f>IF(A386&lt;&gt;"", IF(P386&lt;&gt;0,SUMIFS(node!$J$2:$J$1000, node!$C$2:$C$1000,"="&amp;A386)/P386,0), "")</f>
        <v/>
      </c>
      <c r="AC386" s="81" t="str">
        <f>IF(A386&lt;&gt;"", IF(P386&lt;&gt;0,SUMIFS(node!$K$2:$K$1000, node!$C$2:$C$1000,"="&amp;A386)/P386,0), "")</f>
        <v/>
      </c>
      <c r="AD386" s="82" t="str">
        <f>IF(A386&lt;&gt;"", SUMIFS(node!$L$2:$L$1000, node!$C$2:$C$1000,"="&amp;A386), "")</f>
        <v/>
      </c>
      <c r="AE386" s="87" t="str">
        <f>IF(A386&lt;&gt;"", SUMIFS(node!$M$2:$M$1000, node!$C$2:$C$1000,"="&amp;A386), "")</f>
        <v/>
      </c>
    </row>
    <row r="387" spans="1:31" ht="15.75" customHeight="1" x14ac:dyDescent="0.25">
      <c r="A387" s="71" t="str">
        <f>IF(ISNONTEXT(node_raw[[#This Row],[Column2]]), "", node_raw[[#This Row],[Column2]])</f>
        <v/>
      </c>
      <c r="B387" s="108" t="str">
        <f>IF(A387&lt;&gt;"", VLOOKUP(A387, node!$C$2:$D$1000, 2, FALSE), "")</f>
        <v/>
      </c>
      <c r="C387" s="109" t="str">
        <f>IF(A387&lt;&gt;"", VLOOKUP(A387, node!$C$2:$E$1000, 3, FALSE), "")</f>
        <v/>
      </c>
      <c r="D387" s="110" t="str">
        <f>IF(A387&lt;&gt;"",COUNTIFS(node!$C$2:$C$1000,"="&amp;A387, node!$C$2:$C$1000,"&lt;&gt;"&amp;""),"")</f>
        <v/>
      </c>
      <c r="E387" s="111" t="str">
        <f>IF(A387&lt;&gt;"",SUMIFS(node!$F$2:$F$500, node!$C$2:$C$500,"="&amp;A387, node!$C$2:$C$500,"&lt;&gt;"&amp;"")/(B387*D387),"")</f>
        <v/>
      </c>
      <c r="F387" s="112" t="str">
        <f>IF(A387&lt;&gt;"",SUMIFS(node!$H$2:$H$500, node!$C$2:$C$500,"="&amp;A387, node!$C$2:$C$500,"&lt;&gt;"&amp;"")/(C387*D387),"")</f>
        <v/>
      </c>
      <c r="G387" s="179" t="str">
        <f>IF(A387&lt;&gt;"",SUMIFS(deployment!$F$4:$F$502, deployment!$D$4:$D$502,"="&amp;A387, deployment!$D$4:$D$502,"&lt;&gt;"&amp;""),"")</f>
        <v/>
      </c>
      <c r="H387" s="181" t="str">
        <f>IF(A387&lt;&gt;"",SUMIFS(deployment!$G$4:$G$502, deployment!$D$4:$D$502,"="&amp;A387, deployment!$D$4:$D$502,"&lt;&gt;"&amp;""),"")</f>
        <v/>
      </c>
      <c r="I387" s="113" t="str">
        <f>IF(A387&lt;&gt;"",SUMIFS(deployment!$H$4:$H$502, deployment!$D$4:$D$502,"="&amp;A387, deployment!$D$4:$D$502,"&lt;&gt;"&amp;""),"")</f>
        <v/>
      </c>
      <c r="J387" s="114" t="str">
        <f>IF(A387&lt;&gt;"",SUMIFS(deployment!$I$4:$I$502, deployment!$D$4:$D$502,"="&amp;A387, deployment!$D$4:$D$502,"&lt;&gt;"&amp;""),"")</f>
        <v/>
      </c>
      <c r="K387" s="182" t="str">
        <f>IF(A387&lt;&gt;"",SUMIFS(deployment!$J$4:$J$1002, deployment!$D$4:$D$1002,"="&amp;A387, deployment!$D$4:$D$1002,"&lt;&gt;"&amp;"", deployment!$C$4:$C$1002, "&lt;&gt;* )")+SUMIFS(namespace!$G$4:$G$1002, namespace!$B$4:$B$1002,"="&amp;A387, namespace!$B$4:$B$1002,"&lt;&gt;"&amp;""),"")</f>
        <v/>
      </c>
      <c r="L387" s="182" t="str">
        <f>IF(A387&lt;&gt;"",SUMIFS(deployment!$K$4:$K$1002, deployment!$D$4:$D$1002,"="&amp;A387, deployment!$D$4:$D$1002,"&lt;&gt;"&amp;"", deployment!$C$4:$C$1002, "&lt;&gt;* )")+SUMIFS(namespace!$H$4:$H$1002, namespace!$B$4:$B$1002,"="&amp;A387, namespace!$B$4:$B$1002,"&lt;&gt;"&amp;""),"")</f>
        <v/>
      </c>
      <c r="M387" s="115" t="str">
        <f>IF(A387&lt;&gt;"",SUMIFS(deployment!$L$4:$L$1002, deployment!$D$4:$D$1002,"="&amp;A387, deployment!$D$4:$D$1002,"&lt;&gt;"&amp;"", deployment!$C$4:$C$1002, "&lt;&gt;* )")+SUMIFS(namespace!$I$4:$I$1002, namespace!$B$4:$B$1002,"="&amp;A387, namespace!$B$4:$B$1002,"&lt;&gt;"&amp;""),"")</f>
        <v/>
      </c>
      <c r="N387" s="115" t="str">
        <f>IF(A387&lt;&gt;"",SUMIFS(deployment!$M$4:$M$1002, deployment!$D$4:$D$1002,"="&amp;A387, deployment!$D$4:$D$1002,"&lt;&gt;"&amp;"", deployment!$C$4:$C$1002, "&lt;&gt;* )")+SUMIFS(namespace!$J$4:$J$1002, namespace!$B$4:$B$1002,"="&amp;A387, namespace!$B$4:$B$1002,"&lt;&gt;"&amp;""),"")</f>
        <v/>
      </c>
      <c r="O387" s="116" t="str">
        <f t="shared" si="67"/>
        <v/>
      </c>
      <c r="P387" s="63"/>
      <c r="Q387" s="164" t="str">
        <f t="shared" si="62"/>
        <v/>
      </c>
      <c r="R387" s="60" t="str">
        <f t="shared" si="63"/>
        <v/>
      </c>
      <c r="S387" s="60" t="str">
        <f t="shared" si="64"/>
        <v/>
      </c>
      <c r="T387" s="61" t="str">
        <f t="shared" si="65"/>
        <v/>
      </c>
      <c r="U387" s="61" t="str">
        <f t="shared" si="66"/>
        <v/>
      </c>
      <c r="V387" s="183" t="str">
        <f t="shared" si="68"/>
        <v/>
      </c>
      <c r="W387" s="183" t="str">
        <f t="shared" si="69"/>
        <v/>
      </c>
      <c r="X387" s="61" t="str">
        <f t="shared" si="70"/>
        <v/>
      </c>
      <c r="Y387" s="61" t="str">
        <f t="shared" si="71"/>
        <v/>
      </c>
      <c r="Z387" s="118" t="str">
        <f t="shared" si="72"/>
        <v/>
      </c>
      <c r="AA387" s="62" t="str">
        <f t="shared" si="73"/>
        <v/>
      </c>
      <c r="AB387" s="119" t="str">
        <f>IF(A387&lt;&gt;"", IF(P387&lt;&gt;0,SUMIFS(node!$J$2:$J$1000, node!$C$2:$C$1000,"="&amp;A387)/P387,0), "")</f>
        <v/>
      </c>
      <c r="AC387" s="81" t="str">
        <f>IF(A387&lt;&gt;"", IF(P387&lt;&gt;0,SUMIFS(node!$K$2:$K$1000, node!$C$2:$C$1000,"="&amp;A387)/P387,0), "")</f>
        <v/>
      </c>
      <c r="AD387" s="82" t="str">
        <f>IF(A387&lt;&gt;"", SUMIFS(node!$L$2:$L$1000, node!$C$2:$C$1000,"="&amp;A387), "")</f>
        <v/>
      </c>
      <c r="AE387" s="87" t="str">
        <f>IF(A387&lt;&gt;"", SUMIFS(node!$M$2:$M$1000, node!$C$2:$C$1000,"="&amp;A387), "")</f>
        <v/>
      </c>
    </row>
    <row r="388" spans="1:31" ht="15.75" customHeight="1" x14ac:dyDescent="0.25">
      <c r="A388" s="71" t="str">
        <f>IF(ISNONTEXT(node_raw[[#This Row],[Column2]]), "", node_raw[[#This Row],[Column2]])</f>
        <v/>
      </c>
      <c r="B388" s="108" t="str">
        <f>IF(A388&lt;&gt;"", VLOOKUP(A388, node!$C$2:$D$1000, 2, FALSE), "")</f>
        <v/>
      </c>
      <c r="C388" s="109" t="str">
        <f>IF(A388&lt;&gt;"", VLOOKUP(A388, node!$C$2:$E$1000, 3, FALSE), "")</f>
        <v/>
      </c>
      <c r="D388" s="110" t="str">
        <f>IF(A388&lt;&gt;"",COUNTIFS(node!$C$2:$C$1000,"="&amp;A388, node!$C$2:$C$1000,"&lt;&gt;"&amp;""),"")</f>
        <v/>
      </c>
      <c r="E388" s="111" t="str">
        <f>IF(A388&lt;&gt;"",SUMIFS(node!$F$2:$F$500, node!$C$2:$C$500,"="&amp;A388, node!$C$2:$C$500,"&lt;&gt;"&amp;"")/(B388*D388),"")</f>
        <v/>
      </c>
      <c r="F388" s="112" t="str">
        <f>IF(A388&lt;&gt;"",SUMIFS(node!$H$2:$H$500, node!$C$2:$C$500,"="&amp;A388, node!$C$2:$C$500,"&lt;&gt;"&amp;"")/(C388*D388),"")</f>
        <v/>
      </c>
      <c r="G388" s="179" t="str">
        <f>IF(A388&lt;&gt;"",SUMIFS(deployment!$F$4:$F$502, deployment!$D$4:$D$502,"="&amp;A388, deployment!$D$4:$D$502,"&lt;&gt;"&amp;""),"")</f>
        <v/>
      </c>
      <c r="H388" s="181" t="str">
        <f>IF(A388&lt;&gt;"",SUMIFS(deployment!$G$4:$G$502, deployment!$D$4:$D$502,"="&amp;A388, deployment!$D$4:$D$502,"&lt;&gt;"&amp;""),"")</f>
        <v/>
      </c>
      <c r="I388" s="113" t="str">
        <f>IF(A388&lt;&gt;"",SUMIFS(deployment!$H$4:$H$502, deployment!$D$4:$D$502,"="&amp;A388, deployment!$D$4:$D$502,"&lt;&gt;"&amp;""),"")</f>
        <v/>
      </c>
      <c r="J388" s="114" t="str">
        <f>IF(A388&lt;&gt;"",SUMIFS(deployment!$I$4:$I$502, deployment!$D$4:$D$502,"="&amp;A388, deployment!$D$4:$D$502,"&lt;&gt;"&amp;""),"")</f>
        <v/>
      </c>
      <c r="K388" s="182" t="str">
        <f>IF(A388&lt;&gt;"",SUMIFS(deployment!$J$4:$J$1002, deployment!$D$4:$D$1002,"="&amp;A388, deployment!$D$4:$D$1002,"&lt;&gt;"&amp;"", deployment!$C$4:$C$1002, "&lt;&gt;* )")+SUMIFS(namespace!$G$4:$G$1002, namespace!$B$4:$B$1002,"="&amp;A388, namespace!$B$4:$B$1002,"&lt;&gt;"&amp;""),"")</f>
        <v/>
      </c>
      <c r="L388" s="182" t="str">
        <f>IF(A388&lt;&gt;"",SUMIFS(deployment!$K$4:$K$1002, deployment!$D$4:$D$1002,"="&amp;A388, deployment!$D$4:$D$1002,"&lt;&gt;"&amp;"", deployment!$C$4:$C$1002, "&lt;&gt;* )")+SUMIFS(namespace!$H$4:$H$1002, namespace!$B$4:$B$1002,"="&amp;A388, namespace!$B$4:$B$1002,"&lt;&gt;"&amp;""),"")</f>
        <v/>
      </c>
      <c r="M388" s="115" t="str">
        <f>IF(A388&lt;&gt;"",SUMIFS(deployment!$L$4:$L$1002, deployment!$D$4:$D$1002,"="&amp;A388, deployment!$D$4:$D$1002,"&lt;&gt;"&amp;"", deployment!$C$4:$C$1002, "&lt;&gt;* )")+SUMIFS(namespace!$I$4:$I$1002, namespace!$B$4:$B$1002,"="&amp;A388, namespace!$B$4:$B$1002,"&lt;&gt;"&amp;""),"")</f>
        <v/>
      </c>
      <c r="N388" s="115" t="str">
        <f>IF(A388&lt;&gt;"",SUMIFS(deployment!$M$4:$M$1002, deployment!$D$4:$D$1002,"="&amp;A388, deployment!$D$4:$D$1002,"&lt;&gt;"&amp;"", deployment!$C$4:$C$1002, "&lt;&gt;* )")+SUMIFS(namespace!$J$4:$J$1002, namespace!$B$4:$B$1002,"="&amp;A388, namespace!$B$4:$B$1002,"&lt;&gt;"&amp;""),"")</f>
        <v/>
      </c>
      <c r="O388" s="116" t="str">
        <f t="shared" si="67"/>
        <v/>
      </c>
      <c r="P388" s="63"/>
      <c r="Q388" s="164" t="str">
        <f t="shared" ref="Q388:Q451" si="74">IF(A388&lt;&gt;"",(D388-P388)/D388,"")</f>
        <v/>
      </c>
      <c r="R388" s="60" t="str">
        <f t="shared" ref="R388:R451" si="75">IF(A388&lt;&gt;"",G388/(P388*B388),"")</f>
        <v/>
      </c>
      <c r="S388" s="60" t="str">
        <f t="shared" ref="S388:S451" si="76">IF(A388&lt;&gt;"",H388/(P388*C388),"")</f>
        <v/>
      </c>
      <c r="T388" s="61" t="str">
        <f t="shared" ref="T388:T451" si="77">IF(A388&lt;&gt;"",I388/(P388*B388),"")</f>
        <v/>
      </c>
      <c r="U388" s="61" t="str">
        <f t="shared" ref="U388:U451" si="78">IF(A388&lt;&gt;"",J388/(P388*C388),"")</f>
        <v/>
      </c>
      <c r="V388" s="183" t="str">
        <f t="shared" si="68"/>
        <v/>
      </c>
      <c r="W388" s="183" t="str">
        <f t="shared" si="69"/>
        <v/>
      </c>
      <c r="X388" s="61" t="str">
        <f t="shared" si="70"/>
        <v/>
      </c>
      <c r="Y388" s="61" t="str">
        <f t="shared" si="71"/>
        <v/>
      </c>
      <c r="Z388" s="118" t="str">
        <f t="shared" si="72"/>
        <v/>
      </c>
      <c r="AA388" s="62" t="str">
        <f t="shared" si="73"/>
        <v/>
      </c>
      <c r="AB388" s="119" t="str">
        <f>IF(A388&lt;&gt;"", IF(P388&lt;&gt;0,SUMIFS(node!$J$2:$J$1000, node!$C$2:$C$1000,"="&amp;A388)/P388,0), "")</f>
        <v/>
      </c>
      <c r="AC388" s="81" t="str">
        <f>IF(A388&lt;&gt;"", IF(P388&lt;&gt;0,SUMIFS(node!$K$2:$K$1000, node!$C$2:$C$1000,"="&amp;A388)/P388,0), "")</f>
        <v/>
      </c>
      <c r="AD388" s="82" t="str">
        <f>IF(A388&lt;&gt;"", SUMIFS(node!$L$2:$L$1000, node!$C$2:$C$1000,"="&amp;A388), "")</f>
        <v/>
      </c>
      <c r="AE388" s="87" t="str">
        <f>IF(A388&lt;&gt;"", SUMIFS(node!$M$2:$M$1000, node!$C$2:$C$1000,"="&amp;A388), "")</f>
        <v/>
      </c>
    </row>
    <row r="389" spans="1:31" ht="15.75" customHeight="1" x14ac:dyDescent="0.25">
      <c r="A389" s="71" t="str">
        <f>IF(ISNONTEXT(node_raw[[#This Row],[Column2]]), "", node_raw[[#This Row],[Column2]])</f>
        <v/>
      </c>
      <c r="B389" s="108" t="str">
        <f>IF(A389&lt;&gt;"", VLOOKUP(A389, node!$C$2:$D$1000, 2, FALSE), "")</f>
        <v/>
      </c>
      <c r="C389" s="109" t="str">
        <f>IF(A389&lt;&gt;"", VLOOKUP(A389, node!$C$2:$E$1000, 3, FALSE), "")</f>
        <v/>
      </c>
      <c r="D389" s="110" t="str">
        <f>IF(A389&lt;&gt;"",COUNTIFS(node!$C$2:$C$1000,"="&amp;A389, node!$C$2:$C$1000,"&lt;&gt;"&amp;""),"")</f>
        <v/>
      </c>
      <c r="E389" s="111" t="str">
        <f>IF(A389&lt;&gt;"",SUMIFS(node!$F$2:$F$500, node!$C$2:$C$500,"="&amp;A389, node!$C$2:$C$500,"&lt;&gt;"&amp;"")/(B389*D389),"")</f>
        <v/>
      </c>
      <c r="F389" s="112" t="str">
        <f>IF(A389&lt;&gt;"",SUMIFS(node!$H$2:$H$500, node!$C$2:$C$500,"="&amp;A389, node!$C$2:$C$500,"&lt;&gt;"&amp;"")/(C389*D389),"")</f>
        <v/>
      </c>
      <c r="G389" s="179" t="str">
        <f>IF(A389&lt;&gt;"",SUMIFS(deployment!$F$4:$F$502, deployment!$D$4:$D$502,"="&amp;A389, deployment!$D$4:$D$502,"&lt;&gt;"&amp;""),"")</f>
        <v/>
      </c>
      <c r="H389" s="181" t="str">
        <f>IF(A389&lt;&gt;"",SUMIFS(deployment!$G$4:$G$502, deployment!$D$4:$D$502,"="&amp;A389, deployment!$D$4:$D$502,"&lt;&gt;"&amp;""),"")</f>
        <v/>
      </c>
      <c r="I389" s="113" t="str">
        <f>IF(A389&lt;&gt;"",SUMIFS(deployment!$H$4:$H$502, deployment!$D$4:$D$502,"="&amp;A389, deployment!$D$4:$D$502,"&lt;&gt;"&amp;""),"")</f>
        <v/>
      </c>
      <c r="J389" s="114" t="str">
        <f>IF(A389&lt;&gt;"",SUMIFS(deployment!$I$4:$I$502, deployment!$D$4:$D$502,"="&amp;A389, deployment!$D$4:$D$502,"&lt;&gt;"&amp;""),"")</f>
        <v/>
      </c>
      <c r="K389" s="182" t="str">
        <f>IF(A389&lt;&gt;"",SUMIFS(deployment!$J$4:$J$1002, deployment!$D$4:$D$1002,"="&amp;A389, deployment!$D$4:$D$1002,"&lt;&gt;"&amp;"", deployment!$C$4:$C$1002, "&lt;&gt;* )")+SUMIFS(namespace!$G$4:$G$1002, namespace!$B$4:$B$1002,"="&amp;A389, namespace!$B$4:$B$1002,"&lt;&gt;"&amp;""),"")</f>
        <v/>
      </c>
      <c r="L389" s="182" t="str">
        <f>IF(A389&lt;&gt;"",SUMIFS(deployment!$K$4:$K$1002, deployment!$D$4:$D$1002,"="&amp;A389, deployment!$D$4:$D$1002,"&lt;&gt;"&amp;"", deployment!$C$4:$C$1002, "&lt;&gt;* )")+SUMIFS(namespace!$H$4:$H$1002, namespace!$B$4:$B$1002,"="&amp;A389, namespace!$B$4:$B$1002,"&lt;&gt;"&amp;""),"")</f>
        <v/>
      </c>
      <c r="M389" s="115" t="str">
        <f>IF(A389&lt;&gt;"",SUMIFS(deployment!$L$4:$L$1002, deployment!$D$4:$D$1002,"="&amp;A389, deployment!$D$4:$D$1002,"&lt;&gt;"&amp;"", deployment!$C$4:$C$1002, "&lt;&gt;* )")+SUMIFS(namespace!$I$4:$I$1002, namespace!$B$4:$B$1002,"="&amp;A389, namespace!$B$4:$B$1002,"&lt;&gt;"&amp;""),"")</f>
        <v/>
      </c>
      <c r="N389" s="115" t="str">
        <f>IF(A389&lt;&gt;"",SUMIFS(deployment!$M$4:$M$1002, deployment!$D$4:$D$1002,"="&amp;A389, deployment!$D$4:$D$1002,"&lt;&gt;"&amp;"", deployment!$C$4:$C$1002, "&lt;&gt;* )")+SUMIFS(namespace!$J$4:$J$1002, namespace!$B$4:$B$1002,"="&amp;A389, namespace!$B$4:$B$1002,"&lt;&gt;"&amp;""),"")</f>
        <v/>
      </c>
      <c r="O389" s="116" t="str">
        <f t="shared" ref="O389:O452" si="79">IF(A389&lt;&gt;"",MAX(ROUNDUP(K389/(B389*$B$2), 0), ROUNDUP(L389/(C389*$C$2), 0), ROUNDUP(M389/(B389*$B$2), 0), ROUNDUP(N389/(C389*$C$2), 0), 1),"")</f>
        <v/>
      </c>
      <c r="P389" s="63"/>
      <c r="Q389" s="164" t="str">
        <f t="shared" si="74"/>
        <v/>
      </c>
      <c r="R389" s="60" t="str">
        <f t="shared" si="75"/>
        <v/>
      </c>
      <c r="S389" s="60" t="str">
        <f t="shared" si="76"/>
        <v/>
      </c>
      <c r="T389" s="61" t="str">
        <f t="shared" si="77"/>
        <v/>
      </c>
      <c r="U389" s="61" t="str">
        <f t="shared" si="78"/>
        <v/>
      </c>
      <c r="V389" s="183" t="str">
        <f t="shared" ref="V389:V452" si="80">IF(A389&lt;&gt;"",IF(P389&lt;&gt;0,K389/(P389*B389),0),"")</f>
        <v/>
      </c>
      <c r="W389" s="183" t="str">
        <f t="shared" ref="W389:W452" si="81">IF(A389&lt;&gt;"",IF(P389&lt;&gt;0,L389/(P389*C389),0),"")</f>
        <v/>
      </c>
      <c r="X389" s="61" t="str">
        <f t="shared" ref="X389:X452" si="82">IF(A389&lt;&gt;"",IF(P389&lt;&gt;0,M389/(P389*B389),0),"")</f>
        <v/>
      </c>
      <c r="Y389" s="61" t="str">
        <f t="shared" ref="Y389:Y452" si="83">IF(A389&lt;&gt;"",IF(P389&lt;&gt;0,N389/(P389*C389),0),"")</f>
        <v/>
      </c>
      <c r="Z389" s="118" t="str">
        <f t="shared" ref="Z389:Z452" si="84">IF(A389&lt;&gt;"",(D389*E389)/P389,"")</f>
        <v/>
      </c>
      <c r="AA389" s="62" t="str">
        <f t="shared" ref="AA389:AA452" si="85">IF(A389&lt;&gt;"",(D389*F389)/P389,"")</f>
        <v/>
      </c>
      <c r="AB389" s="119" t="str">
        <f>IF(A389&lt;&gt;"", IF(P389&lt;&gt;0,SUMIFS(node!$J$2:$J$1000, node!$C$2:$C$1000,"="&amp;A389)/P389,0), "")</f>
        <v/>
      </c>
      <c r="AC389" s="81" t="str">
        <f>IF(A389&lt;&gt;"", IF(P389&lt;&gt;0,SUMIFS(node!$K$2:$K$1000, node!$C$2:$C$1000,"="&amp;A389)/P389,0), "")</f>
        <v/>
      </c>
      <c r="AD389" s="82" t="str">
        <f>IF(A389&lt;&gt;"", SUMIFS(node!$L$2:$L$1000, node!$C$2:$C$1000,"="&amp;A389), "")</f>
        <v/>
      </c>
      <c r="AE389" s="87" t="str">
        <f>IF(A389&lt;&gt;"", SUMIFS(node!$M$2:$M$1000, node!$C$2:$C$1000,"="&amp;A389), "")</f>
        <v/>
      </c>
    </row>
    <row r="390" spans="1:31" ht="15.75" customHeight="1" x14ac:dyDescent="0.25">
      <c r="A390" s="71" t="str">
        <f>IF(ISNONTEXT(node_raw[[#This Row],[Column2]]), "", node_raw[[#This Row],[Column2]])</f>
        <v/>
      </c>
      <c r="B390" s="108" t="str">
        <f>IF(A390&lt;&gt;"", VLOOKUP(A390, node!$C$2:$D$1000, 2, FALSE), "")</f>
        <v/>
      </c>
      <c r="C390" s="109" t="str">
        <f>IF(A390&lt;&gt;"", VLOOKUP(A390, node!$C$2:$E$1000, 3, FALSE), "")</f>
        <v/>
      </c>
      <c r="D390" s="110" t="str">
        <f>IF(A390&lt;&gt;"",COUNTIFS(node!$C$2:$C$1000,"="&amp;A390, node!$C$2:$C$1000,"&lt;&gt;"&amp;""),"")</f>
        <v/>
      </c>
      <c r="E390" s="111" t="str">
        <f>IF(A390&lt;&gt;"",SUMIFS(node!$F$2:$F$500, node!$C$2:$C$500,"="&amp;A390, node!$C$2:$C$500,"&lt;&gt;"&amp;"")/(B390*D390),"")</f>
        <v/>
      </c>
      <c r="F390" s="112" t="str">
        <f>IF(A390&lt;&gt;"",SUMIFS(node!$H$2:$H$500, node!$C$2:$C$500,"="&amp;A390, node!$C$2:$C$500,"&lt;&gt;"&amp;"")/(C390*D390),"")</f>
        <v/>
      </c>
      <c r="G390" s="179" t="str">
        <f>IF(A390&lt;&gt;"",SUMIFS(deployment!$F$4:$F$502, deployment!$D$4:$D$502,"="&amp;A390, deployment!$D$4:$D$502,"&lt;&gt;"&amp;""),"")</f>
        <v/>
      </c>
      <c r="H390" s="181" t="str">
        <f>IF(A390&lt;&gt;"",SUMIFS(deployment!$G$4:$G$502, deployment!$D$4:$D$502,"="&amp;A390, deployment!$D$4:$D$502,"&lt;&gt;"&amp;""),"")</f>
        <v/>
      </c>
      <c r="I390" s="113" t="str">
        <f>IF(A390&lt;&gt;"",SUMIFS(deployment!$H$4:$H$502, deployment!$D$4:$D$502,"="&amp;A390, deployment!$D$4:$D$502,"&lt;&gt;"&amp;""),"")</f>
        <v/>
      </c>
      <c r="J390" s="114" t="str">
        <f>IF(A390&lt;&gt;"",SUMIFS(deployment!$I$4:$I$502, deployment!$D$4:$D$502,"="&amp;A390, deployment!$D$4:$D$502,"&lt;&gt;"&amp;""),"")</f>
        <v/>
      </c>
      <c r="K390" s="182" t="str">
        <f>IF(A390&lt;&gt;"",SUMIFS(deployment!$J$4:$J$1002, deployment!$D$4:$D$1002,"="&amp;A390, deployment!$D$4:$D$1002,"&lt;&gt;"&amp;"", deployment!$C$4:$C$1002, "&lt;&gt;* )")+SUMIFS(namespace!$G$4:$G$1002, namespace!$B$4:$B$1002,"="&amp;A390, namespace!$B$4:$B$1002,"&lt;&gt;"&amp;""),"")</f>
        <v/>
      </c>
      <c r="L390" s="182" t="str">
        <f>IF(A390&lt;&gt;"",SUMIFS(deployment!$K$4:$K$1002, deployment!$D$4:$D$1002,"="&amp;A390, deployment!$D$4:$D$1002,"&lt;&gt;"&amp;"", deployment!$C$4:$C$1002, "&lt;&gt;* )")+SUMIFS(namespace!$H$4:$H$1002, namespace!$B$4:$B$1002,"="&amp;A390, namespace!$B$4:$B$1002,"&lt;&gt;"&amp;""),"")</f>
        <v/>
      </c>
      <c r="M390" s="115" t="str">
        <f>IF(A390&lt;&gt;"",SUMIFS(deployment!$L$4:$L$1002, deployment!$D$4:$D$1002,"="&amp;A390, deployment!$D$4:$D$1002,"&lt;&gt;"&amp;"", deployment!$C$4:$C$1002, "&lt;&gt;* )")+SUMIFS(namespace!$I$4:$I$1002, namespace!$B$4:$B$1002,"="&amp;A390, namespace!$B$4:$B$1002,"&lt;&gt;"&amp;""),"")</f>
        <v/>
      </c>
      <c r="N390" s="115" t="str">
        <f>IF(A390&lt;&gt;"",SUMIFS(deployment!$M$4:$M$1002, deployment!$D$4:$D$1002,"="&amp;A390, deployment!$D$4:$D$1002,"&lt;&gt;"&amp;"", deployment!$C$4:$C$1002, "&lt;&gt;* )")+SUMIFS(namespace!$J$4:$J$1002, namespace!$B$4:$B$1002,"="&amp;A390, namespace!$B$4:$B$1002,"&lt;&gt;"&amp;""),"")</f>
        <v/>
      </c>
      <c r="O390" s="116" t="str">
        <f t="shared" si="79"/>
        <v/>
      </c>
      <c r="P390" s="63"/>
      <c r="Q390" s="164" t="str">
        <f t="shared" si="74"/>
        <v/>
      </c>
      <c r="R390" s="60" t="str">
        <f t="shared" si="75"/>
        <v/>
      </c>
      <c r="S390" s="60" t="str">
        <f t="shared" si="76"/>
        <v/>
      </c>
      <c r="T390" s="61" t="str">
        <f t="shared" si="77"/>
        <v/>
      </c>
      <c r="U390" s="61" t="str">
        <f t="shared" si="78"/>
        <v/>
      </c>
      <c r="V390" s="183" t="str">
        <f t="shared" si="80"/>
        <v/>
      </c>
      <c r="W390" s="183" t="str">
        <f t="shared" si="81"/>
        <v/>
      </c>
      <c r="X390" s="61" t="str">
        <f t="shared" si="82"/>
        <v/>
      </c>
      <c r="Y390" s="61" t="str">
        <f t="shared" si="83"/>
        <v/>
      </c>
      <c r="Z390" s="118" t="str">
        <f t="shared" si="84"/>
        <v/>
      </c>
      <c r="AA390" s="62" t="str">
        <f t="shared" si="85"/>
        <v/>
      </c>
      <c r="AB390" s="119" t="str">
        <f>IF(A390&lt;&gt;"", IF(P390&lt;&gt;0,SUMIFS(node!$J$2:$J$1000, node!$C$2:$C$1000,"="&amp;A390)/P390,0), "")</f>
        <v/>
      </c>
      <c r="AC390" s="81" t="str">
        <f>IF(A390&lt;&gt;"", IF(P390&lt;&gt;0,SUMIFS(node!$K$2:$K$1000, node!$C$2:$C$1000,"="&amp;A390)/P390,0), "")</f>
        <v/>
      </c>
      <c r="AD390" s="82" t="str">
        <f>IF(A390&lt;&gt;"", SUMIFS(node!$L$2:$L$1000, node!$C$2:$C$1000,"="&amp;A390), "")</f>
        <v/>
      </c>
      <c r="AE390" s="87" t="str">
        <f>IF(A390&lt;&gt;"", SUMIFS(node!$M$2:$M$1000, node!$C$2:$C$1000,"="&amp;A390), "")</f>
        <v/>
      </c>
    </row>
    <row r="391" spans="1:31" ht="15.75" customHeight="1" x14ac:dyDescent="0.25">
      <c r="A391" s="71" t="str">
        <f>IF(ISNONTEXT(node_raw[[#This Row],[Column2]]), "", node_raw[[#This Row],[Column2]])</f>
        <v/>
      </c>
      <c r="B391" s="108" t="str">
        <f>IF(A391&lt;&gt;"", VLOOKUP(A391, node!$C$2:$D$1000, 2, FALSE), "")</f>
        <v/>
      </c>
      <c r="C391" s="109" t="str">
        <f>IF(A391&lt;&gt;"", VLOOKUP(A391, node!$C$2:$E$1000, 3, FALSE), "")</f>
        <v/>
      </c>
      <c r="D391" s="110" t="str">
        <f>IF(A391&lt;&gt;"",COUNTIFS(node!$C$2:$C$1000,"="&amp;A391, node!$C$2:$C$1000,"&lt;&gt;"&amp;""),"")</f>
        <v/>
      </c>
      <c r="E391" s="111" t="str">
        <f>IF(A391&lt;&gt;"",SUMIFS(node!$F$2:$F$500, node!$C$2:$C$500,"="&amp;A391, node!$C$2:$C$500,"&lt;&gt;"&amp;"")/(B391*D391),"")</f>
        <v/>
      </c>
      <c r="F391" s="112" t="str">
        <f>IF(A391&lt;&gt;"",SUMIFS(node!$H$2:$H$500, node!$C$2:$C$500,"="&amp;A391, node!$C$2:$C$500,"&lt;&gt;"&amp;"")/(C391*D391),"")</f>
        <v/>
      </c>
      <c r="G391" s="179" t="str">
        <f>IF(A391&lt;&gt;"",SUMIFS(deployment!$F$4:$F$502, deployment!$D$4:$D$502,"="&amp;A391, deployment!$D$4:$D$502,"&lt;&gt;"&amp;""),"")</f>
        <v/>
      </c>
      <c r="H391" s="181" t="str">
        <f>IF(A391&lt;&gt;"",SUMIFS(deployment!$G$4:$G$502, deployment!$D$4:$D$502,"="&amp;A391, deployment!$D$4:$D$502,"&lt;&gt;"&amp;""),"")</f>
        <v/>
      </c>
      <c r="I391" s="113" t="str">
        <f>IF(A391&lt;&gt;"",SUMIFS(deployment!$H$4:$H$502, deployment!$D$4:$D$502,"="&amp;A391, deployment!$D$4:$D$502,"&lt;&gt;"&amp;""),"")</f>
        <v/>
      </c>
      <c r="J391" s="114" t="str">
        <f>IF(A391&lt;&gt;"",SUMIFS(deployment!$I$4:$I$502, deployment!$D$4:$D$502,"="&amp;A391, deployment!$D$4:$D$502,"&lt;&gt;"&amp;""),"")</f>
        <v/>
      </c>
      <c r="K391" s="182" t="str">
        <f>IF(A391&lt;&gt;"",SUMIFS(deployment!$J$4:$J$1002, deployment!$D$4:$D$1002,"="&amp;A391, deployment!$D$4:$D$1002,"&lt;&gt;"&amp;"", deployment!$C$4:$C$1002, "&lt;&gt;* )")+SUMIFS(namespace!$G$4:$G$1002, namespace!$B$4:$B$1002,"="&amp;A391, namespace!$B$4:$B$1002,"&lt;&gt;"&amp;""),"")</f>
        <v/>
      </c>
      <c r="L391" s="182" t="str">
        <f>IF(A391&lt;&gt;"",SUMIFS(deployment!$K$4:$K$1002, deployment!$D$4:$D$1002,"="&amp;A391, deployment!$D$4:$D$1002,"&lt;&gt;"&amp;"", deployment!$C$4:$C$1002, "&lt;&gt;* )")+SUMIFS(namespace!$H$4:$H$1002, namespace!$B$4:$B$1002,"="&amp;A391, namespace!$B$4:$B$1002,"&lt;&gt;"&amp;""),"")</f>
        <v/>
      </c>
      <c r="M391" s="115" t="str">
        <f>IF(A391&lt;&gt;"",SUMIFS(deployment!$L$4:$L$1002, deployment!$D$4:$D$1002,"="&amp;A391, deployment!$D$4:$D$1002,"&lt;&gt;"&amp;"", deployment!$C$4:$C$1002, "&lt;&gt;* )")+SUMIFS(namespace!$I$4:$I$1002, namespace!$B$4:$B$1002,"="&amp;A391, namespace!$B$4:$B$1002,"&lt;&gt;"&amp;""),"")</f>
        <v/>
      </c>
      <c r="N391" s="115" t="str">
        <f>IF(A391&lt;&gt;"",SUMIFS(deployment!$M$4:$M$1002, deployment!$D$4:$D$1002,"="&amp;A391, deployment!$D$4:$D$1002,"&lt;&gt;"&amp;"", deployment!$C$4:$C$1002, "&lt;&gt;* )")+SUMIFS(namespace!$J$4:$J$1002, namespace!$B$4:$B$1002,"="&amp;A391, namespace!$B$4:$B$1002,"&lt;&gt;"&amp;""),"")</f>
        <v/>
      </c>
      <c r="O391" s="116" t="str">
        <f t="shared" si="79"/>
        <v/>
      </c>
      <c r="P391" s="63"/>
      <c r="Q391" s="164" t="str">
        <f t="shared" si="74"/>
        <v/>
      </c>
      <c r="R391" s="60" t="str">
        <f t="shared" si="75"/>
        <v/>
      </c>
      <c r="S391" s="60" t="str">
        <f t="shared" si="76"/>
        <v/>
      </c>
      <c r="T391" s="61" t="str">
        <f t="shared" si="77"/>
        <v/>
      </c>
      <c r="U391" s="61" t="str">
        <f t="shared" si="78"/>
        <v/>
      </c>
      <c r="V391" s="183" t="str">
        <f t="shared" si="80"/>
        <v/>
      </c>
      <c r="W391" s="183" t="str">
        <f t="shared" si="81"/>
        <v/>
      </c>
      <c r="X391" s="61" t="str">
        <f t="shared" si="82"/>
        <v/>
      </c>
      <c r="Y391" s="61" t="str">
        <f t="shared" si="83"/>
        <v/>
      </c>
      <c r="Z391" s="118" t="str">
        <f t="shared" si="84"/>
        <v/>
      </c>
      <c r="AA391" s="62" t="str">
        <f t="shared" si="85"/>
        <v/>
      </c>
      <c r="AB391" s="119" t="str">
        <f>IF(A391&lt;&gt;"", IF(P391&lt;&gt;0,SUMIFS(node!$J$2:$J$1000, node!$C$2:$C$1000,"="&amp;A391)/P391,0), "")</f>
        <v/>
      </c>
      <c r="AC391" s="81" t="str">
        <f>IF(A391&lt;&gt;"", IF(P391&lt;&gt;0,SUMIFS(node!$K$2:$K$1000, node!$C$2:$C$1000,"="&amp;A391)/P391,0), "")</f>
        <v/>
      </c>
      <c r="AD391" s="82" t="str">
        <f>IF(A391&lt;&gt;"", SUMIFS(node!$L$2:$L$1000, node!$C$2:$C$1000,"="&amp;A391), "")</f>
        <v/>
      </c>
      <c r="AE391" s="87" t="str">
        <f>IF(A391&lt;&gt;"", SUMIFS(node!$M$2:$M$1000, node!$C$2:$C$1000,"="&amp;A391), "")</f>
        <v/>
      </c>
    </row>
    <row r="392" spans="1:31" ht="15.75" customHeight="1" x14ac:dyDescent="0.25">
      <c r="A392" s="71" t="str">
        <f>IF(ISNONTEXT(node_raw[[#This Row],[Column2]]), "", node_raw[[#This Row],[Column2]])</f>
        <v/>
      </c>
      <c r="B392" s="108" t="str">
        <f>IF(A392&lt;&gt;"", VLOOKUP(A392, node!$C$2:$D$1000, 2, FALSE), "")</f>
        <v/>
      </c>
      <c r="C392" s="109" t="str">
        <f>IF(A392&lt;&gt;"", VLOOKUP(A392, node!$C$2:$E$1000, 3, FALSE), "")</f>
        <v/>
      </c>
      <c r="D392" s="110" t="str">
        <f>IF(A392&lt;&gt;"",COUNTIFS(node!$C$2:$C$1000,"="&amp;A392, node!$C$2:$C$1000,"&lt;&gt;"&amp;""),"")</f>
        <v/>
      </c>
      <c r="E392" s="111" t="str">
        <f>IF(A392&lt;&gt;"",SUMIFS(node!$F$2:$F$500, node!$C$2:$C$500,"="&amp;A392, node!$C$2:$C$500,"&lt;&gt;"&amp;"")/(B392*D392),"")</f>
        <v/>
      </c>
      <c r="F392" s="112" t="str">
        <f>IF(A392&lt;&gt;"",SUMIFS(node!$H$2:$H$500, node!$C$2:$C$500,"="&amp;A392, node!$C$2:$C$500,"&lt;&gt;"&amp;"")/(C392*D392),"")</f>
        <v/>
      </c>
      <c r="G392" s="179" t="str">
        <f>IF(A392&lt;&gt;"",SUMIFS(deployment!$F$4:$F$502, deployment!$D$4:$D$502,"="&amp;A392, deployment!$D$4:$D$502,"&lt;&gt;"&amp;""),"")</f>
        <v/>
      </c>
      <c r="H392" s="181" t="str">
        <f>IF(A392&lt;&gt;"",SUMIFS(deployment!$G$4:$G$502, deployment!$D$4:$D$502,"="&amp;A392, deployment!$D$4:$D$502,"&lt;&gt;"&amp;""),"")</f>
        <v/>
      </c>
      <c r="I392" s="113" t="str">
        <f>IF(A392&lt;&gt;"",SUMIFS(deployment!$H$4:$H$502, deployment!$D$4:$D$502,"="&amp;A392, deployment!$D$4:$D$502,"&lt;&gt;"&amp;""),"")</f>
        <v/>
      </c>
      <c r="J392" s="114" t="str">
        <f>IF(A392&lt;&gt;"",SUMIFS(deployment!$I$4:$I$502, deployment!$D$4:$D$502,"="&amp;A392, deployment!$D$4:$D$502,"&lt;&gt;"&amp;""),"")</f>
        <v/>
      </c>
      <c r="K392" s="182" t="str">
        <f>IF(A392&lt;&gt;"",SUMIFS(deployment!$J$4:$J$1002, deployment!$D$4:$D$1002,"="&amp;A392, deployment!$D$4:$D$1002,"&lt;&gt;"&amp;"", deployment!$C$4:$C$1002, "&lt;&gt;* )")+SUMIFS(namespace!$G$4:$G$1002, namespace!$B$4:$B$1002,"="&amp;A392, namespace!$B$4:$B$1002,"&lt;&gt;"&amp;""),"")</f>
        <v/>
      </c>
      <c r="L392" s="182" t="str">
        <f>IF(A392&lt;&gt;"",SUMIFS(deployment!$K$4:$K$1002, deployment!$D$4:$D$1002,"="&amp;A392, deployment!$D$4:$D$1002,"&lt;&gt;"&amp;"", deployment!$C$4:$C$1002, "&lt;&gt;* )")+SUMIFS(namespace!$H$4:$H$1002, namespace!$B$4:$B$1002,"="&amp;A392, namespace!$B$4:$B$1002,"&lt;&gt;"&amp;""),"")</f>
        <v/>
      </c>
      <c r="M392" s="115" t="str">
        <f>IF(A392&lt;&gt;"",SUMIFS(deployment!$L$4:$L$1002, deployment!$D$4:$D$1002,"="&amp;A392, deployment!$D$4:$D$1002,"&lt;&gt;"&amp;"", deployment!$C$4:$C$1002, "&lt;&gt;* )")+SUMIFS(namespace!$I$4:$I$1002, namespace!$B$4:$B$1002,"="&amp;A392, namespace!$B$4:$B$1002,"&lt;&gt;"&amp;""),"")</f>
        <v/>
      </c>
      <c r="N392" s="115" t="str">
        <f>IF(A392&lt;&gt;"",SUMIFS(deployment!$M$4:$M$1002, deployment!$D$4:$D$1002,"="&amp;A392, deployment!$D$4:$D$1002,"&lt;&gt;"&amp;"", deployment!$C$4:$C$1002, "&lt;&gt;* )")+SUMIFS(namespace!$J$4:$J$1002, namespace!$B$4:$B$1002,"="&amp;A392, namespace!$B$4:$B$1002,"&lt;&gt;"&amp;""),"")</f>
        <v/>
      </c>
      <c r="O392" s="116" t="str">
        <f t="shared" si="79"/>
        <v/>
      </c>
      <c r="P392" s="63"/>
      <c r="Q392" s="164" t="str">
        <f t="shared" si="74"/>
        <v/>
      </c>
      <c r="R392" s="60" t="str">
        <f t="shared" si="75"/>
        <v/>
      </c>
      <c r="S392" s="60" t="str">
        <f t="shared" si="76"/>
        <v/>
      </c>
      <c r="T392" s="61" t="str">
        <f t="shared" si="77"/>
        <v/>
      </c>
      <c r="U392" s="61" t="str">
        <f t="shared" si="78"/>
        <v/>
      </c>
      <c r="V392" s="183" t="str">
        <f t="shared" si="80"/>
        <v/>
      </c>
      <c r="W392" s="183" t="str">
        <f t="shared" si="81"/>
        <v/>
      </c>
      <c r="X392" s="61" t="str">
        <f t="shared" si="82"/>
        <v/>
      </c>
      <c r="Y392" s="61" t="str">
        <f t="shared" si="83"/>
        <v/>
      </c>
      <c r="Z392" s="118" t="str">
        <f t="shared" si="84"/>
        <v/>
      </c>
      <c r="AA392" s="62" t="str">
        <f t="shared" si="85"/>
        <v/>
      </c>
      <c r="AB392" s="119" t="str">
        <f>IF(A392&lt;&gt;"", IF(P392&lt;&gt;0,SUMIFS(node!$J$2:$J$1000, node!$C$2:$C$1000,"="&amp;A392)/P392,0), "")</f>
        <v/>
      </c>
      <c r="AC392" s="81" t="str">
        <f>IF(A392&lt;&gt;"", IF(P392&lt;&gt;0,SUMIFS(node!$K$2:$K$1000, node!$C$2:$C$1000,"="&amp;A392)/P392,0), "")</f>
        <v/>
      </c>
      <c r="AD392" s="82" t="str">
        <f>IF(A392&lt;&gt;"", SUMIFS(node!$L$2:$L$1000, node!$C$2:$C$1000,"="&amp;A392), "")</f>
        <v/>
      </c>
      <c r="AE392" s="87" t="str">
        <f>IF(A392&lt;&gt;"", SUMIFS(node!$M$2:$M$1000, node!$C$2:$C$1000,"="&amp;A392), "")</f>
        <v/>
      </c>
    </row>
    <row r="393" spans="1:31" ht="15.75" customHeight="1" x14ac:dyDescent="0.25">
      <c r="A393" s="71" t="str">
        <f>IF(ISNONTEXT(node_raw[[#This Row],[Column2]]), "", node_raw[[#This Row],[Column2]])</f>
        <v/>
      </c>
      <c r="B393" s="108" t="str">
        <f>IF(A393&lt;&gt;"", VLOOKUP(A393, node!$C$2:$D$1000, 2, FALSE), "")</f>
        <v/>
      </c>
      <c r="C393" s="109" t="str">
        <f>IF(A393&lt;&gt;"", VLOOKUP(A393, node!$C$2:$E$1000, 3, FALSE), "")</f>
        <v/>
      </c>
      <c r="D393" s="110" t="str">
        <f>IF(A393&lt;&gt;"",COUNTIFS(node!$C$2:$C$1000,"="&amp;A393, node!$C$2:$C$1000,"&lt;&gt;"&amp;""),"")</f>
        <v/>
      </c>
      <c r="E393" s="111" t="str">
        <f>IF(A393&lt;&gt;"",SUMIFS(node!$F$2:$F$500, node!$C$2:$C$500,"="&amp;A393, node!$C$2:$C$500,"&lt;&gt;"&amp;"")/(B393*D393),"")</f>
        <v/>
      </c>
      <c r="F393" s="112" t="str">
        <f>IF(A393&lt;&gt;"",SUMIFS(node!$H$2:$H$500, node!$C$2:$C$500,"="&amp;A393, node!$C$2:$C$500,"&lt;&gt;"&amp;"")/(C393*D393),"")</f>
        <v/>
      </c>
      <c r="G393" s="179" t="str">
        <f>IF(A393&lt;&gt;"",SUMIFS(deployment!$F$4:$F$502, deployment!$D$4:$D$502,"="&amp;A393, deployment!$D$4:$D$502,"&lt;&gt;"&amp;""),"")</f>
        <v/>
      </c>
      <c r="H393" s="181" t="str">
        <f>IF(A393&lt;&gt;"",SUMIFS(deployment!$G$4:$G$502, deployment!$D$4:$D$502,"="&amp;A393, deployment!$D$4:$D$502,"&lt;&gt;"&amp;""),"")</f>
        <v/>
      </c>
      <c r="I393" s="113" t="str">
        <f>IF(A393&lt;&gt;"",SUMIFS(deployment!$H$4:$H$502, deployment!$D$4:$D$502,"="&amp;A393, deployment!$D$4:$D$502,"&lt;&gt;"&amp;""),"")</f>
        <v/>
      </c>
      <c r="J393" s="114" t="str">
        <f>IF(A393&lt;&gt;"",SUMIFS(deployment!$I$4:$I$502, deployment!$D$4:$D$502,"="&amp;A393, deployment!$D$4:$D$502,"&lt;&gt;"&amp;""),"")</f>
        <v/>
      </c>
      <c r="K393" s="182" t="str">
        <f>IF(A393&lt;&gt;"",SUMIFS(deployment!$J$4:$J$1002, deployment!$D$4:$D$1002,"="&amp;A393, deployment!$D$4:$D$1002,"&lt;&gt;"&amp;"", deployment!$C$4:$C$1002, "&lt;&gt;* )")+SUMIFS(namespace!$G$4:$G$1002, namespace!$B$4:$B$1002,"="&amp;A393, namespace!$B$4:$B$1002,"&lt;&gt;"&amp;""),"")</f>
        <v/>
      </c>
      <c r="L393" s="182" t="str">
        <f>IF(A393&lt;&gt;"",SUMIFS(deployment!$K$4:$K$1002, deployment!$D$4:$D$1002,"="&amp;A393, deployment!$D$4:$D$1002,"&lt;&gt;"&amp;"", deployment!$C$4:$C$1002, "&lt;&gt;* )")+SUMIFS(namespace!$H$4:$H$1002, namespace!$B$4:$B$1002,"="&amp;A393, namespace!$B$4:$B$1002,"&lt;&gt;"&amp;""),"")</f>
        <v/>
      </c>
      <c r="M393" s="115" t="str">
        <f>IF(A393&lt;&gt;"",SUMIFS(deployment!$L$4:$L$1002, deployment!$D$4:$D$1002,"="&amp;A393, deployment!$D$4:$D$1002,"&lt;&gt;"&amp;"", deployment!$C$4:$C$1002, "&lt;&gt;* )")+SUMIFS(namespace!$I$4:$I$1002, namespace!$B$4:$B$1002,"="&amp;A393, namespace!$B$4:$B$1002,"&lt;&gt;"&amp;""),"")</f>
        <v/>
      </c>
      <c r="N393" s="115" t="str">
        <f>IF(A393&lt;&gt;"",SUMIFS(deployment!$M$4:$M$1002, deployment!$D$4:$D$1002,"="&amp;A393, deployment!$D$4:$D$1002,"&lt;&gt;"&amp;"", deployment!$C$4:$C$1002, "&lt;&gt;* )")+SUMIFS(namespace!$J$4:$J$1002, namespace!$B$4:$B$1002,"="&amp;A393, namespace!$B$4:$B$1002,"&lt;&gt;"&amp;""),"")</f>
        <v/>
      </c>
      <c r="O393" s="116" t="str">
        <f t="shared" si="79"/>
        <v/>
      </c>
      <c r="P393" s="63"/>
      <c r="Q393" s="164" t="str">
        <f t="shared" si="74"/>
        <v/>
      </c>
      <c r="R393" s="60" t="str">
        <f t="shared" si="75"/>
        <v/>
      </c>
      <c r="S393" s="60" t="str">
        <f t="shared" si="76"/>
        <v/>
      </c>
      <c r="T393" s="61" t="str">
        <f t="shared" si="77"/>
        <v/>
      </c>
      <c r="U393" s="61" t="str">
        <f t="shared" si="78"/>
        <v/>
      </c>
      <c r="V393" s="183" t="str">
        <f t="shared" si="80"/>
        <v/>
      </c>
      <c r="W393" s="183" t="str">
        <f t="shared" si="81"/>
        <v/>
      </c>
      <c r="X393" s="61" t="str">
        <f t="shared" si="82"/>
        <v/>
      </c>
      <c r="Y393" s="61" t="str">
        <f t="shared" si="83"/>
        <v/>
      </c>
      <c r="Z393" s="118" t="str">
        <f t="shared" si="84"/>
        <v/>
      </c>
      <c r="AA393" s="62" t="str">
        <f t="shared" si="85"/>
        <v/>
      </c>
      <c r="AB393" s="119" t="str">
        <f>IF(A393&lt;&gt;"", IF(P393&lt;&gt;0,SUMIFS(node!$J$2:$J$1000, node!$C$2:$C$1000,"="&amp;A393)/P393,0), "")</f>
        <v/>
      </c>
      <c r="AC393" s="81" t="str">
        <f>IF(A393&lt;&gt;"", IF(P393&lt;&gt;0,SUMIFS(node!$K$2:$K$1000, node!$C$2:$C$1000,"="&amp;A393)/P393,0), "")</f>
        <v/>
      </c>
      <c r="AD393" s="82" t="str">
        <f>IF(A393&lt;&gt;"", SUMIFS(node!$L$2:$L$1000, node!$C$2:$C$1000,"="&amp;A393), "")</f>
        <v/>
      </c>
      <c r="AE393" s="87" t="str">
        <f>IF(A393&lt;&gt;"", SUMIFS(node!$M$2:$M$1000, node!$C$2:$C$1000,"="&amp;A393), "")</f>
        <v/>
      </c>
    </row>
    <row r="394" spans="1:31" ht="15.75" customHeight="1" x14ac:dyDescent="0.25">
      <c r="A394" s="71" t="str">
        <f>IF(ISNONTEXT(node_raw[[#This Row],[Column2]]), "", node_raw[[#This Row],[Column2]])</f>
        <v/>
      </c>
      <c r="B394" s="108" t="str">
        <f>IF(A394&lt;&gt;"", VLOOKUP(A394, node!$C$2:$D$1000, 2, FALSE), "")</f>
        <v/>
      </c>
      <c r="C394" s="109" t="str">
        <f>IF(A394&lt;&gt;"", VLOOKUP(A394, node!$C$2:$E$1000, 3, FALSE), "")</f>
        <v/>
      </c>
      <c r="D394" s="110" t="str">
        <f>IF(A394&lt;&gt;"",COUNTIFS(node!$C$2:$C$1000,"="&amp;A394, node!$C$2:$C$1000,"&lt;&gt;"&amp;""),"")</f>
        <v/>
      </c>
      <c r="E394" s="111" t="str">
        <f>IF(A394&lt;&gt;"",SUMIFS(node!$F$2:$F$500, node!$C$2:$C$500,"="&amp;A394, node!$C$2:$C$500,"&lt;&gt;"&amp;"")/(B394*D394),"")</f>
        <v/>
      </c>
      <c r="F394" s="112" t="str">
        <f>IF(A394&lt;&gt;"",SUMIFS(node!$H$2:$H$500, node!$C$2:$C$500,"="&amp;A394, node!$C$2:$C$500,"&lt;&gt;"&amp;"")/(C394*D394),"")</f>
        <v/>
      </c>
      <c r="G394" s="179" t="str">
        <f>IF(A394&lt;&gt;"",SUMIFS(deployment!$F$4:$F$502, deployment!$D$4:$D$502,"="&amp;A394, deployment!$D$4:$D$502,"&lt;&gt;"&amp;""),"")</f>
        <v/>
      </c>
      <c r="H394" s="181" t="str">
        <f>IF(A394&lt;&gt;"",SUMIFS(deployment!$G$4:$G$502, deployment!$D$4:$D$502,"="&amp;A394, deployment!$D$4:$D$502,"&lt;&gt;"&amp;""),"")</f>
        <v/>
      </c>
      <c r="I394" s="113" t="str">
        <f>IF(A394&lt;&gt;"",SUMIFS(deployment!$H$4:$H$502, deployment!$D$4:$D$502,"="&amp;A394, deployment!$D$4:$D$502,"&lt;&gt;"&amp;""),"")</f>
        <v/>
      </c>
      <c r="J394" s="114" t="str">
        <f>IF(A394&lt;&gt;"",SUMIFS(deployment!$I$4:$I$502, deployment!$D$4:$D$502,"="&amp;A394, deployment!$D$4:$D$502,"&lt;&gt;"&amp;""),"")</f>
        <v/>
      </c>
      <c r="K394" s="182" t="str">
        <f>IF(A394&lt;&gt;"",SUMIFS(deployment!$J$4:$J$1002, deployment!$D$4:$D$1002,"="&amp;A394, deployment!$D$4:$D$1002,"&lt;&gt;"&amp;"", deployment!$C$4:$C$1002, "&lt;&gt;* )")+SUMIFS(namespace!$G$4:$G$1002, namespace!$B$4:$B$1002,"="&amp;A394, namespace!$B$4:$B$1002,"&lt;&gt;"&amp;""),"")</f>
        <v/>
      </c>
      <c r="L394" s="182" t="str">
        <f>IF(A394&lt;&gt;"",SUMIFS(deployment!$K$4:$K$1002, deployment!$D$4:$D$1002,"="&amp;A394, deployment!$D$4:$D$1002,"&lt;&gt;"&amp;"", deployment!$C$4:$C$1002, "&lt;&gt;* )")+SUMIFS(namespace!$H$4:$H$1002, namespace!$B$4:$B$1002,"="&amp;A394, namespace!$B$4:$B$1002,"&lt;&gt;"&amp;""),"")</f>
        <v/>
      </c>
      <c r="M394" s="115" t="str">
        <f>IF(A394&lt;&gt;"",SUMIFS(deployment!$L$4:$L$1002, deployment!$D$4:$D$1002,"="&amp;A394, deployment!$D$4:$D$1002,"&lt;&gt;"&amp;"", deployment!$C$4:$C$1002, "&lt;&gt;* )")+SUMIFS(namespace!$I$4:$I$1002, namespace!$B$4:$B$1002,"="&amp;A394, namespace!$B$4:$B$1002,"&lt;&gt;"&amp;""),"")</f>
        <v/>
      </c>
      <c r="N394" s="115" t="str">
        <f>IF(A394&lt;&gt;"",SUMIFS(deployment!$M$4:$M$1002, deployment!$D$4:$D$1002,"="&amp;A394, deployment!$D$4:$D$1002,"&lt;&gt;"&amp;"", deployment!$C$4:$C$1002, "&lt;&gt;* )")+SUMIFS(namespace!$J$4:$J$1002, namespace!$B$4:$B$1002,"="&amp;A394, namespace!$B$4:$B$1002,"&lt;&gt;"&amp;""),"")</f>
        <v/>
      </c>
      <c r="O394" s="116" t="str">
        <f t="shared" si="79"/>
        <v/>
      </c>
      <c r="P394" s="63"/>
      <c r="Q394" s="164" t="str">
        <f t="shared" si="74"/>
        <v/>
      </c>
      <c r="R394" s="60" t="str">
        <f t="shared" si="75"/>
        <v/>
      </c>
      <c r="S394" s="60" t="str">
        <f t="shared" si="76"/>
        <v/>
      </c>
      <c r="T394" s="61" t="str">
        <f t="shared" si="77"/>
        <v/>
      </c>
      <c r="U394" s="61" t="str">
        <f t="shared" si="78"/>
        <v/>
      </c>
      <c r="V394" s="183" t="str">
        <f t="shared" si="80"/>
        <v/>
      </c>
      <c r="W394" s="183" t="str">
        <f t="shared" si="81"/>
        <v/>
      </c>
      <c r="X394" s="61" t="str">
        <f t="shared" si="82"/>
        <v/>
      </c>
      <c r="Y394" s="61" t="str">
        <f t="shared" si="83"/>
        <v/>
      </c>
      <c r="Z394" s="118" t="str">
        <f t="shared" si="84"/>
        <v/>
      </c>
      <c r="AA394" s="62" t="str">
        <f t="shared" si="85"/>
        <v/>
      </c>
      <c r="AB394" s="119" t="str">
        <f>IF(A394&lt;&gt;"", IF(P394&lt;&gt;0,SUMIFS(node!$J$2:$J$1000, node!$C$2:$C$1000,"="&amp;A394)/P394,0), "")</f>
        <v/>
      </c>
      <c r="AC394" s="81" t="str">
        <f>IF(A394&lt;&gt;"", IF(P394&lt;&gt;0,SUMIFS(node!$K$2:$K$1000, node!$C$2:$C$1000,"="&amp;A394)/P394,0), "")</f>
        <v/>
      </c>
      <c r="AD394" s="82" t="str">
        <f>IF(A394&lt;&gt;"", SUMIFS(node!$L$2:$L$1000, node!$C$2:$C$1000,"="&amp;A394), "")</f>
        <v/>
      </c>
      <c r="AE394" s="87" t="str">
        <f>IF(A394&lt;&gt;"", SUMIFS(node!$M$2:$M$1000, node!$C$2:$C$1000,"="&amp;A394), "")</f>
        <v/>
      </c>
    </row>
    <row r="395" spans="1:31" ht="15.75" customHeight="1" x14ac:dyDescent="0.25">
      <c r="A395" s="71" t="str">
        <f>IF(ISNONTEXT(node_raw[[#This Row],[Column2]]), "", node_raw[[#This Row],[Column2]])</f>
        <v/>
      </c>
      <c r="B395" s="108" t="str">
        <f>IF(A395&lt;&gt;"", VLOOKUP(A395, node!$C$2:$D$1000, 2, FALSE), "")</f>
        <v/>
      </c>
      <c r="C395" s="109" t="str">
        <f>IF(A395&lt;&gt;"", VLOOKUP(A395, node!$C$2:$E$1000, 3, FALSE), "")</f>
        <v/>
      </c>
      <c r="D395" s="110" t="str">
        <f>IF(A395&lt;&gt;"",COUNTIFS(node!$C$2:$C$1000,"="&amp;A395, node!$C$2:$C$1000,"&lt;&gt;"&amp;""),"")</f>
        <v/>
      </c>
      <c r="E395" s="111" t="str">
        <f>IF(A395&lt;&gt;"",SUMIFS(node!$F$2:$F$500, node!$C$2:$C$500,"="&amp;A395, node!$C$2:$C$500,"&lt;&gt;"&amp;"")/(B395*D395),"")</f>
        <v/>
      </c>
      <c r="F395" s="112" t="str">
        <f>IF(A395&lt;&gt;"",SUMIFS(node!$H$2:$H$500, node!$C$2:$C$500,"="&amp;A395, node!$C$2:$C$500,"&lt;&gt;"&amp;"")/(C395*D395),"")</f>
        <v/>
      </c>
      <c r="G395" s="179" t="str">
        <f>IF(A395&lt;&gt;"",SUMIFS(deployment!$F$4:$F$502, deployment!$D$4:$D$502,"="&amp;A395, deployment!$D$4:$D$502,"&lt;&gt;"&amp;""),"")</f>
        <v/>
      </c>
      <c r="H395" s="181" t="str">
        <f>IF(A395&lt;&gt;"",SUMIFS(deployment!$G$4:$G$502, deployment!$D$4:$D$502,"="&amp;A395, deployment!$D$4:$D$502,"&lt;&gt;"&amp;""),"")</f>
        <v/>
      </c>
      <c r="I395" s="113" t="str">
        <f>IF(A395&lt;&gt;"",SUMIFS(deployment!$H$4:$H$502, deployment!$D$4:$D$502,"="&amp;A395, deployment!$D$4:$D$502,"&lt;&gt;"&amp;""),"")</f>
        <v/>
      </c>
      <c r="J395" s="114" t="str">
        <f>IF(A395&lt;&gt;"",SUMIFS(deployment!$I$4:$I$502, deployment!$D$4:$D$502,"="&amp;A395, deployment!$D$4:$D$502,"&lt;&gt;"&amp;""),"")</f>
        <v/>
      </c>
      <c r="K395" s="182" t="str">
        <f>IF(A395&lt;&gt;"",SUMIFS(deployment!$J$4:$J$1002, deployment!$D$4:$D$1002,"="&amp;A395, deployment!$D$4:$D$1002,"&lt;&gt;"&amp;"", deployment!$C$4:$C$1002, "&lt;&gt;* )")+SUMIFS(namespace!$G$4:$G$1002, namespace!$B$4:$B$1002,"="&amp;A395, namespace!$B$4:$B$1002,"&lt;&gt;"&amp;""),"")</f>
        <v/>
      </c>
      <c r="L395" s="182" t="str">
        <f>IF(A395&lt;&gt;"",SUMIFS(deployment!$K$4:$K$1002, deployment!$D$4:$D$1002,"="&amp;A395, deployment!$D$4:$D$1002,"&lt;&gt;"&amp;"", deployment!$C$4:$C$1002, "&lt;&gt;* )")+SUMIFS(namespace!$H$4:$H$1002, namespace!$B$4:$B$1002,"="&amp;A395, namespace!$B$4:$B$1002,"&lt;&gt;"&amp;""),"")</f>
        <v/>
      </c>
      <c r="M395" s="115" t="str">
        <f>IF(A395&lt;&gt;"",SUMIFS(deployment!$L$4:$L$1002, deployment!$D$4:$D$1002,"="&amp;A395, deployment!$D$4:$D$1002,"&lt;&gt;"&amp;"", deployment!$C$4:$C$1002, "&lt;&gt;* )")+SUMIFS(namespace!$I$4:$I$1002, namespace!$B$4:$B$1002,"="&amp;A395, namespace!$B$4:$B$1002,"&lt;&gt;"&amp;""),"")</f>
        <v/>
      </c>
      <c r="N395" s="115" t="str">
        <f>IF(A395&lt;&gt;"",SUMIFS(deployment!$M$4:$M$1002, deployment!$D$4:$D$1002,"="&amp;A395, deployment!$D$4:$D$1002,"&lt;&gt;"&amp;"", deployment!$C$4:$C$1002, "&lt;&gt;* )")+SUMIFS(namespace!$J$4:$J$1002, namespace!$B$4:$B$1002,"="&amp;A395, namespace!$B$4:$B$1002,"&lt;&gt;"&amp;""),"")</f>
        <v/>
      </c>
      <c r="O395" s="116" t="str">
        <f t="shared" si="79"/>
        <v/>
      </c>
      <c r="P395" s="63"/>
      <c r="Q395" s="164" t="str">
        <f t="shared" si="74"/>
        <v/>
      </c>
      <c r="R395" s="60" t="str">
        <f t="shared" si="75"/>
        <v/>
      </c>
      <c r="S395" s="60" t="str">
        <f t="shared" si="76"/>
        <v/>
      </c>
      <c r="T395" s="61" t="str">
        <f t="shared" si="77"/>
        <v/>
      </c>
      <c r="U395" s="61" t="str">
        <f t="shared" si="78"/>
        <v/>
      </c>
      <c r="V395" s="183" t="str">
        <f t="shared" si="80"/>
        <v/>
      </c>
      <c r="W395" s="183" t="str">
        <f t="shared" si="81"/>
        <v/>
      </c>
      <c r="X395" s="61" t="str">
        <f t="shared" si="82"/>
        <v/>
      </c>
      <c r="Y395" s="61" t="str">
        <f t="shared" si="83"/>
        <v/>
      </c>
      <c r="Z395" s="118" t="str">
        <f t="shared" si="84"/>
        <v/>
      </c>
      <c r="AA395" s="62" t="str">
        <f t="shared" si="85"/>
        <v/>
      </c>
      <c r="AB395" s="119" t="str">
        <f>IF(A395&lt;&gt;"", IF(P395&lt;&gt;0,SUMIFS(node!$J$2:$J$1000, node!$C$2:$C$1000,"="&amp;A395)/P395,0), "")</f>
        <v/>
      </c>
      <c r="AC395" s="81" t="str">
        <f>IF(A395&lt;&gt;"", IF(P395&lt;&gt;0,SUMIFS(node!$K$2:$K$1000, node!$C$2:$C$1000,"="&amp;A395)/P395,0), "")</f>
        <v/>
      </c>
      <c r="AD395" s="82" t="str">
        <f>IF(A395&lt;&gt;"", SUMIFS(node!$L$2:$L$1000, node!$C$2:$C$1000,"="&amp;A395), "")</f>
        <v/>
      </c>
      <c r="AE395" s="87" t="str">
        <f>IF(A395&lt;&gt;"", SUMIFS(node!$M$2:$M$1000, node!$C$2:$C$1000,"="&amp;A395), "")</f>
        <v/>
      </c>
    </row>
    <row r="396" spans="1:31" ht="15.75" customHeight="1" x14ac:dyDescent="0.25">
      <c r="A396" s="71" t="str">
        <f>IF(ISNONTEXT(node_raw[[#This Row],[Column2]]), "", node_raw[[#This Row],[Column2]])</f>
        <v/>
      </c>
      <c r="B396" s="108" t="str">
        <f>IF(A396&lt;&gt;"", VLOOKUP(A396, node!$C$2:$D$1000, 2, FALSE), "")</f>
        <v/>
      </c>
      <c r="C396" s="109" t="str">
        <f>IF(A396&lt;&gt;"", VLOOKUP(A396, node!$C$2:$E$1000, 3, FALSE), "")</f>
        <v/>
      </c>
      <c r="D396" s="110" t="str">
        <f>IF(A396&lt;&gt;"",COUNTIFS(node!$C$2:$C$1000,"="&amp;A396, node!$C$2:$C$1000,"&lt;&gt;"&amp;""),"")</f>
        <v/>
      </c>
      <c r="E396" s="111" t="str">
        <f>IF(A396&lt;&gt;"",SUMIFS(node!$F$2:$F$500, node!$C$2:$C$500,"="&amp;A396, node!$C$2:$C$500,"&lt;&gt;"&amp;"")/(B396*D396),"")</f>
        <v/>
      </c>
      <c r="F396" s="112" t="str">
        <f>IF(A396&lt;&gt;"",SUMIFS(node!$H$2:$H$500, node!$C$2:$C$500,"="&amp;A396, node!$C$2:$C$500,"&lt;&gt;"&amp;"")/(C396*D396),"")</f>
        <v/>
      </c>
      <c r="G396" s="179" t="str">
        <f>IF(A396&lt;&gt;"",SUMIFS(deployment!$F$4:$F$502, deployment!$D$4:$D$502,"="&amp;A396, deployment!$D$4:$D$502,"&lt;&gt;"&amp;""),"")</f>
        <v/>
      </c>
      <c r="H396" s="181" t="str">
        <f>IF(A396&lt;&gt;"",SUMIFS(deployment!$G$4:$G$502, deployment!$D$4:$D$502,"="&amp;A396, deployment!$D$4:$D$502,"&lt;&gt;"&amp;""),"")</f>
        <v/>
      </c>
      <c r="I396" s="113" t="str">
        <f>IF(A396&lt;&gt;"",SUMIFS(deployment!$H$4:$H$502, deployment!$D$4:$D$502,"="&amp;A396, deployment!$D$4:$D$502,"&lt;&gt;"&amp;""),"")</f>
        <v/>
      </c>
      <c r="J396" s="114" t="str">
        <f>IF(A396&lt;&gt;"",SUMIFS(deployment!$I$4:$I$502, deployment!$D$4:$D$502,"="&amp;A396, deployment!$D$4:$D$502,"&lt;&gt;"&amp;""),"")</f>
        <v/>
      </c>
      <c r="K396" s="182" t="str">
        <f>IF(A396&lt;&gt;"",SUMIFS(deployment!$J$4:$J$1002, deployment!$D$4:$D$1002,"="&amp;A396, deployment!$D$4:$D$1002,"&lt;&gt;"&amp;"", deployment!$C$4:$C$1002, "&lt;&gt;* )")+SUMIFS(namespace!$G$4:$G$1002, namespace!$B$4:$B$1002,"="&amp;A396, namespace!$B$4:$B$1002,"&lt;&gt;"&amp;""),"")</f>
        <v/>
      </c>
      <c r="L396" s="182" t="str">
        <f>IF(A396&lt;&gt;"",SUMIFS(deployment!$K$4:$K$1002, deployment!$D$4:$D$1002,"="&amp;A396, deployment!$D$4:$D$1002,"&lt;&gt;"&amp;"", deployment!$C$4:$C$1002, "&lt;&gt;* )")+SUMIFS(namespace!$H$4:$H$1002, namespace!$B$4:$B$1002,"="&amp;A396, namespace!$B$4:$B$1002,"&lt;&gt;"&amp;""),"")</f>
        <v/>
      </c>
      <c r="M396" s="115" t="str">
        <f>IF(A396&lt;&gt;"",SUMIFS(deployment!$L$4:$L$1002, deployment!$D$4:$D$1002,"="&amp;A396, deployment!$D$4:$D$1002,"&lt;&gt;"&amp;"", deployment!$C$4:$C$1002, "&lt;&gt;* )")+SUMIFS(namespace!$I$4:$I$1002, namespace!$B$4:$B$1002,"="&amp;A396, namespace!$B$4:$B$1002,"&lt;&gt;"&amp;""),"")</f>
        <v/>
      </c>
      <c r="N396" s="115" t="str">
        <f>IF(A396&lt;&gt;"",SUMIFS(deployment!$M$4:$M$1002, deployment!$D$4:$D$1002,"="&amp;A396, deployment!$D$4:$D$1002,"&lt;&gt;"&amp;"", deployment!$C$4:$C$1002, "&lt;&gt;* )")+SUMIFS(namespace!$J$4:$J$1002, namespace!$B$4:$B$1002,"="&amp;A396, namespace!$B$4:$B$1002,"&lt;&gt;"&amp;""),"")</f>
        <v/>
      </c>
      <c r="O396" s="116" t="str">
        <f t="shared" si="79"/>
        <v/>
      </c>
      <c r="P396" s="63"/>
      <c r="Q396" s="164" t="str">
        <f t="shared" si="74"/>
        <v/>
      </c>
      <c r="R396" s="60" t="str">
        <f t="shared" si="75"/>
        <v/>
      </c>
      <c r="S396" s="60" t="str">
        <f t="shared" si="76"/>
        <v/>
      </c>
      <c r="T396" s="61" t="str">
        <f t="shared" si="77"/>
        <v/>
      </c>
      <c r="U396" s="61" t="str">
        <f t="shared" si="78"/>
        <v/>
      </c>
      <c r="V396" s="183" t="str">
        <f t="shared" si="80"/>
        <v/>
      </c>
      <c r="W396" s="183" t="str">
        <f t="shared" si="81"/>
        <v/>
      </c>
      <c r="X396" s="61" t="str">
        <f t="shared" si="82"/>
        <v/>
      </c>
      <c r="Y396" s="61" t="str">
        <f t="shared" si="83"/>
        <v/>
      </c>
      <c r="Z396" s="118" t="str">
        <f t="shared" si="84"/>
        <v/>
      </c>
      <c r="AA396" s="62" t="str">
        <f t="shared" si="85"/>
        <v/>
      </c>
      <c r="AB396" s="119" t="str">
        <f>IF(A396&lt;&gt;"", IF(P396&lt;&gt;0,SUMIFS(node!$J$2:$J$1000, node!$C$2:$C$1000,"="&amp;A396)/P396,0), "")</f>
        <v/>
      </c>
      <c r="AC396" s="81" t="str">
        <f>IF(A396&lt;&gt;"", IF(P396&lt;&gt;0,SUMIFS(node!$K$2:$K$1000, node!$C$2:$C$1000,"="&amp;A396)/P396,0), "")</f>
        <v/>
      </c>
      <c r="AD396" s="82" t="str">
        <f>IF(A396&lt;&gt;"", SUMIFS(node!$L$2:$L$1000, node!$C$2:$C$1000,"="&amp;A396), "")</f>
        <v/>
      </c>
      <c r="AE396" s="87" t="str">
        <f>IF(A396&lt;&gt;"", SUMIFS(node!$M$2:$M$1000, node!$C$2:$C$1000,"="&amp;A396), "")</f>
        <v/>
      </c>
    </row>
    <row r="397" spans="1:31" ht="15.75" customHeight="1" x14ac:dyDescent="0.25">
      <c r="A397" s="71" t="str">
        <f>IF(ISNONTEXT(node_raw[[#This Row],[Column2]]), "", node_raw[[#This Row],[Column2]])</f>
        <v/>
      </c>
      <c r="B397" s="108" t="str">
        <f>IF(A397&lt;&gt;"", VLOOKUP(A397, node!$C$2:$D$1000, 2, FALSE), "")</f>
        <v/>
      </c>
      <c r="C397" s="109" t="str">
        <f>IF(A397&lt;&gt;"", VLOOKUP(A397, node!$C$2:$E$1000, 3, FALSE), "")</f>
        <v/>
      </c>
      <c r="D397" s="110" t="str">
        <f>IF(A397&lt;&gt;"",COUNTIFS(node!$C$2:$C$1000,"="&amp;A397, node!$C$2:$C$1000,"&lt;&gt;"&amp;""),"")</f>
        <v/>
      </c>
      <c r="E397" s="111" t="str">
        <f>IF(A397&lt;&gt;"",SUMIFS(node!$F$2:$F$500, node!$C$2:$C$500,"="&amp;A397, node!$C$2:$C$500,"&lt;&gt;"&amp;"")/(B397*D397),"")</f>
        <v/>
      </c>
      <c r="F397" s="112" t="str">
        <f>IF(A397&lt;&gt;"",SUMIFS(node!$H$2:$H$500, node!$C$2:$C$500,"="&amp;A397, node!$C$2:$C$500,"&lt;&gt;"&amp;"")/(C397*D397),"")</f>
        <v/>
      </c>
      <c r="G397" s="179" t="str">
        <f>IF(A397&lt;&gt;"",SUMIFS(deployment!$F$4:$F$502, deployment!$D$4:$D$502,"="&amp;A397, deployment!$D$4:$D$502,"&lt;&gt;"&amp;""),"")</f>
        <v/>
      </c>
      <c r="H397" s="181" t="str">
        <f>IF(A397&lt;&gt;"",SUMIFS(deployment!$G$4:$G$502, deployment!$D$4:$D$502,"="&amp;A397, deployment!$D$4:$D$502,"&lt;&gt;"&amp;""),"")</f>
        <v/>
      </c>
      <c r="I397" s="113" t="str">
        <f>IF(A397&lt;&gt;"",SUMIFS(deployment!$H$4:$H$502, deployment!$D$4:$D$502,"="&amp;A397, deployment!$D$4:$D$502,"&lt;&gt;"&amp;""),"")</f>
        <v/>
      </c>
      <c r="J397" s="114" t="str">
        <f>IF(A397&lt;&gt;"",SUMIFS(deployment!$I$4:$I$502, deployment!$D$4:$D$502,"="&amp;A397, deployment!$D$4:$D$502,"&lt;&gt;"&amp;""),"")</f>
        <v/>
      </c>
      <c r="K397" s="182" t="str">
        <f>IF(A397&lt;&gt;"",SUMIFS(deployment!$J$4:$J$1002, deployment!$D$4:$D$1002,"="&amp;A397, deployment!$D$4:$D$1002,"&lt;&gt;"&amp;"", deployment!$C$4:$C$1002, "&lt;&gt;* )")+SUMIFS(namespace!$G$4:$G$1002, namespace!$B$4:$B$1002,"="&amp;A397, namespace!$B$4:$B$1002,"&lt;&gt;"&amp;""),"")</f>
        <v/>
      </c>
      <c r="L397" s="182" t="str">
        <f>IF(A397&lt;&gt;"",SUMIFS(deployment!$K$4:$K$1002, deployment!$D$4:$D$1002,"="&amp;A397, deployment!$D$4:$D$1002,"&lt;&gt;"&amp;"", deployment!$C$4:$C$1002, "&lt;&gt;* )")+SUMIFS(namespace!$H$4:$H$1002, namespace!$B$4:$B$1002,"="&amp;A397, namespace!$B$4:$B$1002,"&lt;&gt;"&amp;""),"")</f>
        <v/>
      </c>
      <c r="M397" s="115" t="str">
        <f>IF(A397&lt;&gt;"",SUMIFS(deployment!$L$4:$L$1002, deployment!$D$4:$D$1002,"="&amp;A397, deployment!$D$4:$D$1002,"&lt;&gt;"&amp;"", deployment!$C$4:$C$1002, "&lt;&gt;* )")+SUMIFS(namespace!$I$4:$I$1002, namespace!$B$4:$B$1002,"="&amp;A397, namespace!$B$4:$B$1002,"&lt;&gt;"&amp;""),"")</f>
        <v/>
      </c>
      <c r="N397" s="115" t="str">
        <f>IF(A397&lt;&gt;"",SUMIFS(deployment!$M$4:$M$1002, deployment!$D$4:$D$1002,"="&amp;A397, deployment!$D$4:$D$1002,"&lt;&gt;"&amp;"", deployment!$C$4:$C$1002, "&lt;&gt;* )")+SUMIFS(namespace!$J$4:$J$1002, namespace!$B$4:$B$1002,"="&amp;A397, namespace!$B$4:$B$1002,"&lt;&gt;"&amp;""),"")</f>
        <v/>
      </c>
      <c r="O397" s="116" t="str">
        <f t="shared" si="79"/>
        <v/>
      </c>
      <c r="P397" s="63"/>
      <c r="Q397" s="164" t="str">
        <f t="shared" si="74"/>
        <v/>
      </c>
      <c r="R397" s="60" t="str">
        <f t="shared" si="75"/>
        <v/>
      </c>
      <c r="S397" s="60" t="str">
        <f t="shared" si="76"/>
        <v/>
      </c>
      <c r="T397" s="61" t="str">
        <f t="shared" si="77"/>
        <v/>
      </c>
      <c r="U397" s="61" t="str">
        <f t="shared" si="78"/>
        <v/>
      </c>
      <c r="V397" s="183" t="str">
        <f t="shared" si="80"/>
        <v/>
      </c>
      <c r="W397" s="183" t="str">
        <f t="shared" si="81"/>
        <v/>
      </c>
      <c r="X397" s="61" t="str">
        <f t="shared" si="82"/>
        <v/>
      </c>
      <c r="Y397" s="61" t="str">
        <f t="shared" si="83"/>
        <v/>
      </c>
      <c r="Z397" s="118" t="str">
        <f t="shared" si="84"/>
        <v/>
      </c>
      <c r="AA397" s="62" t="str">
        <f t="shared" si="85"/>
        <v/>
      </c>
      <c r="AB397" s="119" t="str">
        <f>IF(A397&lt;&gt;"", IF(P397&lt;&gt;0,SUMIFS(node!$J$2:$J$1000, node!$C$2:$C$1000,"="&amp;A397)/P397,0), "")</f>
        <v/>
      </c>
      <c r="AC397" s="81" t="str">
        <f>IF(A397&lt;&gt;"", IF(P397&lt;&gt;0,SUMIFS(node!$K$2:$K$1000, node!$C$2:$C$1000,"="&amp;A397)/P397,0), "")</f>
        <v/>
      </c>
      <c r="AD397" s="82" t="str">
        <f>IF(A397&lt;&gt;"", SUMIFS(node!$L$2:$L$1000, node!$C$2:$C$1000,"="&amp;A397), "")</f>
        <v/>
      </c>
      <c r="AE397" s="87" t="str">
        <f>IF(A397&lt;&gt;"", SUMIFS(node!$M$2:$M$1000, node!$C$2:$C$1000,"="&amp;A397), "")</f>
        <v/>
      </c>
    </row>
    <row r="398" spans="1:31" ht="15.75" customHeight="1" x14ac:dyDescent="0.25">
      <c r="A398" s="71" t="str">
        <f>IF(ISNONTEXT(node_raw[[#This Row],[Column2]]), "", node_raw[[#This Row],[Column2]])</f>
        <v/>
      </c>
      <c r="B398" s="108" t="str">
        <f>IF(A398&lt;&gt;"", VLOOKUP(A398, node!$C$2:$D$1000, 2, FALSE), "")</f>
        <v/>
      </c>
      <c r="C398" s="109" t="str">
        <f>IF(A398&lt;&gt;"", VLOOKUP(A398, node!$C$2:$E$1000, 3, FALSE), "")</f>
        <v/>
      </c>
      <c r="D398" s="110" t="str">
        <f>IF(A398&lt;&gt;"",COUNTIFS(node!$C$2:$C$1000,"="&amp;A398, node!$C$2:$C$1000,"&lt;&gt;"&amp;""),"")</f>
        <v/>
      </c>
      <c r="E398" s="111" t="str">
        <f>IF(A398&lt;&gt;"",SUMIFS(node!$F$2:$F$500, node!$C$2:$C$500,"="&amp;A398, node!$C$2:$C$500,"&lt;&gt;"&amp;"")/(B398*D398),"")</f>
        <v/>
      </c>
      <c r="F398" s="112" t="str">
        <f>IF(A398&lt;&gt;"",SUMIFS(node!$H$2:$H$500, node!$C$2:$C$500,"="&amp;A398, node!$C$2:$C$500,"&lt;&gt;"&amp;"")/(C398*D398),"")</f>
        <v/>
      </c>
      <c r="G398" s="179" t="str">
        <f>IF(A398&lt;&gt;"",SUMIFS(deployment!$F$4:$F$502, deployment!$D$4:$D$502,"="&amp;A398, deployment!$D$4:$D$502,"&lt;&gt;"&amp;""),"")</f>
        <v/>
      </c>
      <c r="H398" s="181" t="str">
        <f>IF(A398&lt;&gt;"",SUMIFS(deployment!$G$4:$G$502, deployment!$D$4:$D$502,"="&amp;A398, deployment!$D$4:$D$502,"&lt;&gt;"&amp;""),"")</f>
        <v/>
      </c>
      <c r="I398" s="113" t="str">
        <f>IF(A398&lt;&gt;"",SUMIFS(deployment!$H$4:$H$502, deployment!$D$4:$D$502,"="&amp;A398, deployment!$D$4:$D$502,"&lt;&gt;"&amp;""),"")</f>
        <v/>
      </c>
      <c r="J398" s="114" t="str">
        <f>IF(A398&lt;&gt;"",SUMIFS(deployment!$I$4:$I$502, deployment!$D$4:$D$502,"="&amp;A398, deployment!$D$4:$D$502,"&lt;&gt;"&amp;""),"")</f>
        <v/>
      </c>
      <c r="K398" s="182" t="str">
        <f>IF(A398&lt;&gt;"",SUMIFS(deployment!$J$4:$J$1002, deployment!$D$4:$D$1002,"="&amp;A398, deployment!$D$4:$D$1002,"&lt;&gt;"&amp;"", deployment!$C$4:$C$1002, "&lt;&gt;* )")+SUMIFS(namespace!$G$4:$G$1002, namespace!$B$4:$B$1002,"="&amp;A398, namespace!$B$4:$B$1002,"&lt;&gt;"&amp;""),"")</f>
        <v/>
      </c>
      <c r="L398" s="182" t="str">
        <f>IF(A398&lt;&gt;"",SUMIFS(deployment!$K$4:$K$1002, deployment!$D$4:$D$1002,"="&amp;A398, deployment!$D$4:$D$1002,"&lt;&gt;"&amp;"", deployment!$C$4:$C$1002, "&lt;&gt;* )")+SUMIFS(namespace!$H$4:$H$1002, namespace!$B$4:$B$1002,"="&amp;A398, namespace!$B$4:$B$1002,"&lt;&gt;"&amp;""),"")</f>
        <v/>
      </c>
      <c r="M398" s="115" t="str">
        <f>IF(A398&lt;&gt;"",SUMIFS(deployment!$L$4:$L$1002, deployment!$D$4:$D$1002,"="&amp;A398, deployment!$D$4:$D$1002,"&lt;&gt;"&amp;"", deployment!$C$4:$C$1002, "&lt;&gt;* )")+SUMIFS(namespace!$I$4:$I$1002, namespace!$B$4:$B$1002,"="&amp;A398, namespace!$B$4:$B$1002,"&lt;&gt;"&amp;""),"")</f>
        <v/>
      </c>
      <c r="N398" s="115" t="str">
        <f>IF(A398&lt;&gt;"",SUMIFS(deployment!$M$4:$M$1002, deployment!$D$4:$D$1002,"="&amp;A398, deployment!$D$4:$D$1002,"&lt;&gt;"&amp;"", deployment!$C$4:$C$1002, "&lt;&gt;* )")+SUMIFS(namespace!$J$4:$J$1002, namespace!$B$4:$B$1002,"="&amp;A398, namespace!$B$4:$B$1002,"&lt;&gt;"&amp;""),"")</f>
        <v/>
      </c>
      <c r="O398" s="116" t="str">
        <f t="shared" si="79"/>
        <v/>
      </c>
      <c r="P398" s="63"/>
      <c r="Q398" s="164" t="str">
        <f t="shared" si="74"/>
        <v/>
      </c>
      <c r="R398" s="60" t="str">
        <f t="shared" si="75"/>
        <v/>
      </c>
      <c r="S398" s="60" t="str">
        <f t="shared" si="76"/>
        <v/>
      </c>
      <c r="T398" s="61" t="str">
        <f t="shared" si="77"/>
        <v/>
      </c>
      <c r="U398" s="61" t="str">
        <f t="shared" si="78"/>
        <v/>
      </c>
      <c r="V398" s="183" t="str">
        <f t="shared" si="80"/>
        <v/>
      </c>
      <c r="W398" s="183" t="str">
        <f t="shared" si="81"/>
        <v/>
      </c>
      <c r="X398" s="61" t="str">
        <f t="shared" si="82"/>
        <v/>
      </c>
      <c r="Y398" s="61" t="str">
        <f t="shared" si="83"/>
        <v/>
      </c>
      <c r="Z398" s="118" t="str">
        <f t="shared" si="84"/>
        <v/>
      </c>
      <c r="AA398" s="62" t="str">
        <f t="shared" si="85"/>
        <v/>
      </c>
      <c r="AB398" s="119" t="str">
        <f>IF(A398&lt;&gt;"", IF(P398&lt;&gt;0,SUMIFS(node!$J$2:$J$1000, node!$C$2:$C$1000,"="&amp;A398)/P398,0), "")</f>
        <v/>
      </c>
      <c r="AC398" s="81" t="str">
        <f>IF(A398&lt;&gt;"", IF(P398&lt;&gt;0,SUMIFS(node!$K$2:$K$1000, node!$C$2:$C$1000,"="&amp;A398)/P398,0), "")</f>
        <v/>
      </c>
      <c r="AD398" s="82" t="str">
        <f>IF(A398&lt;&gt;"", SUMIFS(node!$L$2:$L$1000, node!$C$2:$C$1000,"="&amp;A398), "")</f>
        <v/>
      </c>
      <c r="AE398" s="87" t="str">
        <f>IF(A398&lt;&gt;"", SUMIFS(node!$M$2:$M$1000, node!$C$2:$C$1000,"="&amp;A398), "")</f>
        <v/>
      </c>
    </row>
    <row r="399" spans="1:31" ht="15.75" customHeight="1" x14ac:dyDescent="0.25">
      <c r="A399" s="71" t="str">
        <f>IF(ISNONTEXT(node_raw[[#This Row],[Column2]]), "", node_raw[[#This Row],[Column2]])</f>
        <v/>
      </c>
      <c r="B399" s="108" t="str">
        <f>IF(A399&lt;&gt;"", VLOOKUP(A399, node!$C$2:$D$1000, 2, FALSE), "")</f>
        <v/>
      </c>
      <c r="C399" s="109" t="str">
        <f>IF(A399&lt;&gt;"", VLOOKUP(A399, node!$C$2:$E$1000, 3, FALSE), "")</f>
        <v/>
      </c>
      <c r="D399" s="110" t="str">
        <f>IF(A399&lt;&gt;"",COUNTIFS(node!$C$2:$C$1000,"="&amp;A399, node!$C$2:$C$1000,"&lt;&gt;"&amp;""),"")</f>
        <v/>
      </c>
      <c r="E399" s="111" t="str">
        <f>IF(A399&lt;&gt;"",SUMIFS(node!$F$2:$F$500, node!$C$2:$C$500,"="&amp;A399, node!$C$2:$C$500,"&lt;&gt;"&amp;"")/(B399*D399),"")</f>
        <v/>
      </c>
      <c r="F399" s="112" t="str">
        <f>IF(A399&lt;&gt;"",SUMIFS(node!$H$2:$H$500, node!$C$2:$C$500,"="&amp;A399, node!$C$2:$C$500,"&lt;&gt;"&amp;"")/(C399*D399),"")</f>
        <v/>
      </c>
      <c r="G399" s="179" t="str">
        <f>IF(A399&lt;&gt;"",SUMIFS(deployment!$F$4:$F$502, deployment!$D$4:$D$502,"="&amp;A399, deployment!$D$4:$D$502,"&lt;&gt;"&amp;""),"")</f>
        <v/>
      </c>
      <c r="H399" s="181" t="str">
        <f>IF(A399&lt;&gt;"",SUMIFS(deployment!$G$4:$G$502, deployment!$D$4:$D$502,"="&amp;A399, deployment!$D$4:$D$502,"&lt;&gt;"&amp;""),"")</f>
        <v/>
      </c>
      <c r="I399" s="113" t="str">
        <f>IF(A399&lt;&gt;"",SUMIFS(deployment!$H$4:$H$502, deployment!$D$4:$D$502,"="&amp;A399, deployment!$D$4:$D$502,"&lt;&gt;"&amp;""),"")</f>
        <v/>
      </c>
      <c r="J399" s="114" t="str">
        <f>IF(A399&lt;&gt;"",SUMIFS(deployment!$I$4:$I$502, deployment!$D$4:$D$502,"="&amp;A399, deployment!$D$4:$D$502,"&lt;&gt;"&amp;""),"")</f>
        <v/>
      </c>
      <c r="K399" s="182" t="str">
        <f>IF(A399&lt;&gt;"",SUMIFS(deployment!$J$4:$J$1002, deployment!$D$4:$D$1002,"="&amp;A399, deployment!$D$4:$D$1002,"&lt;&gt;"&amp;"", deployment!$C$4:$C$1002, "&lt;&gt;* )")+SUMIFS(namespace!$G$4:$G$1002, namespace!$B$4:$B$1002,"="&amp;A399, namespace!$B$4:$B$1002,"&lt;&gt;"&amp;""),"")</f>
        <v/>
      </c>
      <c r="L399" s="182" t="str">
        <f>IF(A399&lt;&gt;"",SUMIFS(deployment!$K$4:$K$1002, deployment!$D$4:$D$1002,"="&amp;A399, deployment!$D$4:$D$1002,"&lt;&gt;"&amp;"", deployment!$C$4:$C$1002, "&lt;&gt;* )")+SUMIFS(namespace!$H$4:$H$1002, namespace!$B$4:$B$1002,"="&amp;A399, namespace!$B$4:$B$1002,"&lt;&gt;"&amp;""),"")</f>
        <v/>
      </c>
      <c r="M399" s="115" t="str">
        <f>IF(A399&lt;&gt;"",SUMIFS(deployment!$L$4:$L$1002, deployment!$D$4:$D$1002,"="&amp;A399, deployment!$D$4:$D$1002,"&lt;&gt;"&amp;"", deployment!$C$4:$C$1002, "&lt;&gt;* )")+SUMIFS(namespace!$I$4:$I$1002, namespace!$B$4:$B$1002,"="&amp;A399, namespace!$B$4:$B$1002,"&lt;&gt;"&amp;""),"")</f>
        <v/>
      </c>
      <c r="N399" s="115" t="str">
        <f>IF(A399&lt;&gt;"",SUMIFS(deployment!$M$4:$M$1002, deployment!$D$4:$D$1002,"="&amp;A399, deployment!$D$4:$D$1002,"&lt;&gt;"&amp;"", deployment!$C$4:$C$1002, "&lt;&gt;* )")+SUMIFS(namespace!$J$4:$J$1002, namespace!$B$4:$B$1002,"="&amp;A399, namespace!$B$4:$B$1002,"&lt;&gt;"&amp;""),"")</f>
        <v/>
      </c>
      <c r="O399" s="116" t="str">
        <f t="shared" si="79"/>
        <v/>
      </c>
      <c r="P399" s="63"/>
      <c r="Q399" s="164" t="str">
        <f t="shared" si="74"/>
        <v/>
      </c>
      <c r="R399" s="60" t="str">
        <f t="shared" si="75"/>
        <v/>
      </c>
      <c r="S399" s="60" t="str">
        <f t="shared" si="76"/>
        <v/>
      </c>
      <c r="T399" s="61" t="str">
        <f t="shared" si="77"/>
        <v/>
      </c>
      <c r="U399" s="61" t="str">
        <f t="shared" si="78"/>
        <v/>
      </c>
      <c r="V399" s="183" t="str">
        <f t="shared" si="80"/>
        <v/>
      </c>
      <c r="W399" s="183" t="str">
        <f t="shared" si="81"/>
        <v/>
      </c>
      <c r="X399" s="61" t="str">
        <f t="shared" si="82"/>
        <v/>
      </c>
      <c r="Y399" s="61" t="str">
        <f t="shared" si="83"/>
        <v/>
      </c>
      <c r="Z399" s="118" t="str">
        <f t="shared" si="84"/>
        <v/>
      </c>
      <c r="AA399" s="62" t="str">
        <f t="shared" si="85"/>
        <v/>
      </c>
      <c r="AB399" s="119" t="str">
        <f>IF(A399&lt;&gt;"", IF(P399&lt;&gt;0,SUMIFS(node!$J$2:$J$1000, node!$C$2:$C$1000,"="&amp;A399)/P399,0), "")</f>
        <v/>
      </c>
      <c r="AC399" s="81" t="str">
        <f>IF(A399&lt;&gt;"", IF(P399&lt;&gt;0,SUMIFS(node!$K$2:$K$1000, node!$C$2:$C$1000,"="&amp;A399)/P399,0), "")</f>
        <v/>
      </c>
      <c r="AD399" s="82" t="str">
        <f>IF(A399&lt;&gt;"", SUMIFS(node!$L$2:$L$1000, node!$C$2:$C$1000,"="&amp;A399), "")</f>
        <v/>
      </c>
      <c r="AE399" s="87" t="str">
        <f>IF(A399&lt;&gt;"", SUMIFS(node!$M$2:$M$1000, node!$C$2:$C$1000,"="&amp;A399), "")</f>
        <v/>
      </c>
    </row>
    <row r="400" spans="1:31" ht="15.75" customHeight="1" x14ac:dyDescent="0.25">
      <c r="A400" s="71" t="str">
        <f>IF(ISNONTEXT(node_raw[[#This Row],[Column2]]), "", node_raw[[#This Row],[Column2]])</f>
        <v/>
      </c>
      <c r="B400" s="108" t="str">
        <f>IF(A400&lt;&gt;"", VLOOKUP(A400, node!$C$2:$D$1000, 2, FALSE), "")</f>
        <v/>
      </c>
      <c r="C400" s="109" t="str">
        <f>IF(A400&lt;&gt;"", VLOOKUP(A400, node!$C$2:$E$1000, 3, FALSE), "")</f>
        <v/>
      </c>
      <c r="D400" s="110" t="str">
        <f>IF(A400&lt;&gt;"",COUNTIFS(node!$C$2:$C$1000,"="&amp;A400, node!$C$2:$C$1000,"&lt;&gt;"&amp;""),"")</f>
        <v/>
      </c>
      <c r="E400" s="111" t="str">
        <f>IF(A400&lt;&gt;"",SUMIFS(node!$F$2:$F$500, node!$C$2:$C$500,"="&amp;A400, node!$C$2:$C$500,"&lt;&gt;"&amp;"")/(B400*D400),"")</f>
        <v/>
      </c>
      <c r="F400" s="112" t="str">
        <f>IF(A400&lt;&gt;"",SUMIFS(node!$H$2:$H$500, node!$C$2:$C$500,"="&amp;A400, node!$C$2:$C$500,"&lt;&gt;"&amp;"")/(C400*D400),"")</f>
        <v/>
      </c>
      <c r="G400" s="179" t="str">
        <f>IF(A400&lt;&gt;"",SUMIFS(deployment!$F$4:$F$502, deployment!$D$4:$D$502,"="&amp;A400, deployment!$D$4:$D$502,"&lt;&gt;"&amp;""),"")</f>
        <v/>
      </c>
      <c r="H400" s="181" t="str">
        <f>IF(A400&lt;&gt;"",SUMIFS(deployment!$G$4:$G$502, deployment!$D$4:$D$502,"="&amp;A400, deployment!$D$4:$D$502,"&lt;&gt;"&amp;""),"")</f>
        <v/>
      </c>
      <c r="I400" s="113" t="str">
        <f>IF(A400&lt;&gt;"",SUMIFS(deployment!$H$4:$H$502, deployment!$D$4:$D$502,"="&amp;A400, deployment!$D$4:$D$502,"&lt;&gt;"&amp;""),"")</f>
        <v/>
      </c>
      <c r="J400" s="114" t="str">
        <f>IF(A400&lt;&gt;"",SUMIFS(deployment!$I$4:$I$502, deployment!$D$4:$D$502,"="&amp;A400, deployment!$D$4:$D$502,"&lt;&gt;"&amp;""),"")</f>
        <v/>
      </c>
      <c r="K400" s="182" t="str">
        <f>IF(A400&lt;&gt;"",SUMIFS(deployment!$J$4:$J$1002, deployment!$D$4:$D$1002,"="&amp;A400, deployment!$D$4:$D$1002,"&lt;&gt;"&amp;"", deployment!$C$4:$C$1002, "&lt;&gt;* )")+SUMIFS(namespace!$G$4:$G$1002, namespace!$B$4:$B$1002,"="&amp;A400, namespace!$B$4:$B$1002,"&lt;&gt;"&amp;""),"")</f>
        <v/>
      </c>
      <c r="L400" s="182" t="str">
        <f>IF(A400&lt;&gt;"",SUMIFS(deployment!$K$4:$K$1002, deployment!$D$4:$D$1002,"="&amp;A400, deployment!$D$4:$D$1002,"&lt;&gt;"&amp;"", deployment!$C$4:$C$1002, "&lt;&gt;* )")+SUMIFS(namespace!$H$4:$H$1002, namespace!$B$4:$B$1002,"="&amp;A400, namespace!$B$4:$B$1002,"&lt;&gt;"&amp;""),"")</f>
        <v/>
      </c>
      <c r="M400" s="115" t="str">
        <f>IF(A400&lt;&gt;"",SUMIFS(deployment!$L$4:$L$1002, deployment!$D$4:$D$1002,"="&amp;A400, deployment!$D$4:$D$1002,"&lt;&gt;"&amp;"", deployment!$C$4:$C$1002, "&lt;&gt;* )")+SUMIFS(namespace!$I$4:$I$1002, namespace!$B$4:$B$1002,"="&amp;A400, namespace!$B$4:$B$1002,"&lt;&gt;"&amp;""),"")</f>
        <v/>
      </c>
      <c r="N400" s="115" t="str">
        <f>IF(A400&lt;&gt;"",SUMIFS(deployment!$M$4:$M$1002, deployment!$D$4:$D$1002,"="&amp;A400, deployment!$D$4:$D$1002,"&lt;&gt;"&amp;"", deployment!$C$4:$C$1002, "&lt;&gt;* )")+SUMIFS(namespace!$J$4:$J$1002, namespace!$B$4:$B$1002,"="&amp;A400, namespace!$B$4:$B$1002,"&lt;&gt;"&amp;""),"")</f>
        <v/>
      </c>
      <c r="O400" s="116" t="str">
        <f t="shared" si="79"/>
        <v/>
      </c>
      <c r="P400" s="63"/>
      <c r="Q400" s="164" t="str">
        <f t="shared" si="74"/>
        <v/>
      </c>
      <c r="R400" s="60" t="str">
        <f t="shared" si="75"/>
        <v/>
      </c>
      <c r="S400" s="60" t="str">
        <f t="shared" si="76"/>
        <v/>
      </c>
      <c r="T400" s="61" t="str">
        <f t="shared" si="77"/>
        <v/>
      </c>
      <c r="U400" s="61" t="str">
        <f t="shared" si="78"/>
        <v/>
      </c>
      <c r="V400" s="183" t="str">
        <f t="shared" si="80"/>
        <v/>
      </c>
      <c r="W400" s="183" t="str">
        <f t="shared" si="81"/>
        <v/>
      </c>
      <c r="X400" s="61" t="str">
        <f t="shared" si="82"/>
        <v/>
      </c>
      <c r="Y400" s="61" t="str">
        <f t="shared" si="83"/>
        <v/>
      </c>
      <c r="Z400" s="118" t="str">
        <f t="shared" si="84"/>
        <v/>
      </c>
      <c r="AA400" s="62" t="str">
        <f t="shared" si="85"/>
        <v/>
      </c>
      <c r="AB400" s="119" t="str">
        <f>IF(A400&lt;&gt;"", IF(P400&lt;&gt;0,SUMIFS(node!$J$2:$J$1000, node!$C$2:$C$1000,"="&amp;A400)/P400,0), "")</f>
        <v/>
      </c>
      <c r="AC400" s="81" t="str">
        <f>IF(A400&lt;&gt;"", IF(P400&lt;&gt;0,SUMIFS(node!$K$2:$K$1000, node!$C$2:$C$1000,"="&amp;A400)/P400,0), "")</f>
        <v/>
      </c>
      <c r="AD400" s="82" t="str">
        <f>IF(A400&lt;&gt;"", SUMIFS(node!$L$2:$L$1000, node!$C$2:$C$1000,"="&amp;A400), "")</f>
        <v/>
      </c>
      <c r="AE400" s="87" t="str">
        <f>IF(A400&lt;&gt;"", SUMIFS(node!$M$2:$M$1000, node!$C$2:$C$1000,"="&amp;A400), "")</f>
        <v/>
      </c>
    </row>
    <row r="401" spans="1:31" ht="15.75" customHeight="1" x14ac:dyDescent="0.25">
      <c r="A401" s="71" t="str">
        <f>IF(ISNONTEXT(node_raw[[#This Row],[Column2]]), "", node_raw[[#This Row],[Column2]])</f>
        <v/>
      </c>
      <c r="B401" s="108" t="str">
        <f>IF(A401&lt;&gt;"", VLOOKUP(A401, node!$C$2:$D$1000, 2, FALSE), "")</f>
        <v/>
      </c>
      <c r="C401" s="109" t="str">
        <f>IF(A401&lt;&gt;"", VLOOKUP(A401, node!$C$2:$E$1000, 3, FALSE), "")</f>
        <v/>
      </c>
      <c r="D401" s="110" t="str">
        <f>IF(A401&lt;&gt;"",COUNTIFS(node!$C$2:$C$1000,"="&amp;A401, node!$C$2:$C$1000,"&lt;&gt;"&amp;""),"")</f>
        <v/>
      </c>
      <c r="E401" s="111" t="str">
        <f>IF(A401&lt;&gt;"",SUMIFS(node!$F$2:$F$500, node!$C$2:$C$500,"="&amp;A401, node!$C$2:$C$500,"&lt;&gt;"&amp;"")/(B401*D401),"")</f>
        <v/>
      </c>
      <c r="F401" s="112" t="str">
        <f>IF(A401&lt;&gt;"",SUMIFS(node!$H$2:$H$500, node!$C$2:$C$500,"="&amp;A401, node!$C$2:$C$500,"&lt;&gt;"&amp;"")/(C401*D401),"")</f>
        <v/>
      </c>
      <c r="G401" s="179" t="str">
        <f>IF(A401&lt;&gt;"",SUMIFS(deployment!$F$4:$F$502, deployment!$D$4:$D$502,"="&amp;A401, deployment!$D$4:$D$502,"&lt;&gt;"&amp;""),"")</f>
        <v/>
      </c>
      <c r="H401" s="181" t="str">
        <f>IF(A401&lt;&gt;"",SUMIFS(deployment!$G$4:$G$502, deployment!$D$4:$D$502,"="&amp;A401, deployment!$D$4:$D$502,"&lt;&gt;"&amp;""),"")</f>
        <v/>
      </c>
      <c r="I401" s="113" t="str">
        <f>IF(A401&lt;&gt;"",SUMIFS(deployment!$H$4:$H$502, deployment!$D$4:$D$502,"="&amp;A401, deployment!$D$4:$D$502,"&lt;&gt;"&amp;""),"")</f>
        <v/>
      </c>
      <c r="J401" s="114" t="str">
        <f>IF(A401&lt;&gt;"",SUMIFS(deployment!$I$4:$I$502, deployment!$D$4:$D$502,"="&amp;A401, deployment!$D$4:$D$502,"&lt;&gt;"&amp;""),"")</f>
        <v/>
      </c>
      <c r="K401" s="182" t="str">
        <f>IF(A401&lt;&gt;"",SUMIFS(deployment!$J$4:$J$1002, deployment!$D$4:$D$1002,"="&amp;A401, deployment!$D$4:$D$1002,"&lt;&gt;"&amp;"", deployment!$C$4:$C$1002, "&lt;&gt;* )")+SUMIFS(namespace!$G$4:$G$1002, namespace!$B$4:$B$1002,"="&amp;A401, namespace!$B$4:$B$1002,"&lt;&gt;"&amp;""),"")</f>
        <v/>
      </c>
      <c r="L401" s="182" t="str">
        <f>IF(A401&lt;&gt;"",SUMIFS(deployment!$K$4:$K$1002, deployment!$D$4:$D$1002,"="&amp;A401, deployment!$D$4:$D$1002,"&lt;&gt;"&amp;"", deployment!$C$4:$C$1002, "&lt;&gt;* )")+SUMIFS(namespace!$H$4:$H$1002, namespace!$B$4:$B$1002,"="&amp;A401, namespace!$B$4:$B$1002,"&lt;&gt;"&amp;""),"")</f>
        <v/>
      </c>
      <c r="M401" s="115" t="str">
        <f>IF(A401&lt;&gt;"",SUMIFS(deployment!$L$4:$L$1002, deployment!$D$4:$D$1002,"="&amp;A401, deployment!$D$4:$D$1002,"&lt;&gt;"&amp;"", deployment!$C$4:$C$1002, "&lt;&gt;* )")+SUMIFS(namespace!$I$4:$I$1002, namespace!$B$4:$B$1002,"="&amp;A401, namespace!$B$4:$B$1002,"&lt;&gt;"&amp;""),"")</f>
        <v/>
      </c>
      <c r="N401" s="115" t="str">
        <f>IF(A401&lt;&gt;"",SUMIFS(deployment!$M$4:$M$1002, deployment!$D$4:$D$1002,"="&amp;A401, deployment!$D$4:$D$1002,"&lt;&gt;"&amp;"", deployment!$C$4:$C$1002, "&lt;&gt;* )")+SUMIFS(namespace!$J$4:$J$1002, namespace!$B$4:$B$1002,"="&amp;A401, namespace!$B$4:$B$1002,"&lt;&gt;"&amp;""),"")</f>
        <v/>
      </c>
      <c r="O401" s="116" t="str">
        <f t="shared" si="79"/>
        <v/>
      </c>
      <c r="P401" s="63"/>
      <c r="Q401" s="164" t="str">
        <f t="shared" si="74"/>
        <v/>
      </c>
      <c r="R401" s="60" t="str">
        <f t="shared" si="75"/>
        <v/>
      </c>
      <c r="S401" s="60" t="str">
        <f t="shared" si="76"/>
        <v/>
      </c>
      <c r="T401" s="61" t="str">
        <f t="shared" si="77"/>
        <v/>
      </c>
      <c r="U401" s="61" t="str">
        <f t="shared" si="78"/>
        <v/>
      </c>
      <c r="V401" s="183" t="str">
        <f t="shared" si="80"/>
        <v/>
      </c>
      <c r="W401" s="183" t="str">
        <f t="shared" si="81"/>
        <v/>
      </c>
      <c r="X401" s="61" t="str">
        <f t="shared" si="82"/>
        <v/>
      </c>
      <c r="Y401" s="61" t="str">
        <f t="shared" si="83"/>
        <v/>
      </c>
      <c r="Z401" s="118" t="str">
        <f t="shared" si="84"/>
        <v/>
      </c>
      <c r="AA401" s="62" t="str">
        <f t="shared" si="85"/>
        <v/>
      </c>
      <c r="AB401" s="119" t="str">
        <f>IF(A401&lt;&gt;"", IF(P401&lt;&gt;0,SUMIFS(node!$J$2:$J$1000, node!$C$2:$C$1000,"="&amp;A401)/P401,0), "")</f>
        <v/>
      </c>
      <c r="AC401" s="81" t="str">
        <f>IF(A401&lt;&gt;"", IF(P401&lt;&gt;0,SUMIFS(node!$K$2:$K$1000, node!$C$2:$C$1000,"="&amp;A401)/P401,0), "")</f>
        <v/>
      </c>
      <c r="AD401" s="82" t="str">
        <f>IF(A401&lt;&gt;"", SUMIFS(node!$L$2:$L$1000, node!$C$2:$C$1000,"="&amp;A401), "")</f>
        <v/>
      </c>
      <c r="AE401" s="87" t="str">
        <f>IF(A401&lt;&gt;"", SUMIFS(node!$M$2:$M$1000, node!$C$2:$C$1000,"="&amp;A401), "")</f>
        <v/>
      </c>
    </row>
    <row r="402" spans="1:31" ht="15.75" customHeight="1" x14ac:dyDescent="0.25">
      <c r="A402" s="71" t="str">
        <f>IF(ISNONTEXT(node_raw[[#This Row],[Column2]]), "", node_raw[[#This Row],[Column2]])</f>
        <v/>
      </c>
      <c r="B402" s="108" t="str">
        <f>IF(A402&lt;&gt;"", VLOOKUP(A402, node!$C$2:$D$1000, 2, FALSE), "")</f>
        <v/>
      </c>
      <c r="C402" s="109" t="str">
        <f>IF(A402&lt;&gt;"", VLOOKUP(A402, node!$C$2:$E$1000, 3, FALSE), "")</f>
        <v/>
      </c>
      <c r="D402" s="110" t="str">
        <f>IF(A402&lt;&gt;"",COUNTIFS(node!$C$2:$C$1000,"="&amp;A402, node!$C$2:$C$1000,"&lt;&gt;"&amp;""),"")</f>
        <v/>
      </c>
      <c r="E402" s="111" t="str">
        <f>IF(A402&lt;&gt;"",SUMIFS(node!$F$2:$F$500, node!$C$2:$C$500,"="&amp;A402, node!$C$2:$C$500,"&lt;&gt;"&amp;"")/(B402*D402),"")</f>
        <v/>
      </c>
      <c r="F402" s="112" t="str">
        <f>IF(A402&lt;&gt;"",SUMIFS(node!$H$2:$H$500, node!$C$2:$C$500,"="&amp;A402, node!$C$2:$C$500,"&lt;&gt;"&amp;"")/(C402*D402),"")</f>
        <v/>
      </c>
      <c r="G402" s="179" t="str">
        <f>IF(A402&lt;&gt;"",SUMIFS(deployment!$F$4:$F$502, deployment!$D$4:$D$502,"="&amp;A402, deployment!$D$4:$D$502,"&lt;&gt;"&amp;""),"")</f>
        <v/>
      </c>
      <c r="H402" s="181" t="str">
        <f>IF(A402&lt;&gt;"",SUMIFS(deployment!$G$4:$G$502, deployment!$D$4:$D$502,"="&amp;A402, deployment!$D$4:$D$502,"&lt;&gt;"&amp;""),"")</f>
        <v/>
      </c>
      <c r="I402" s="113" t="str">
        <f>IF(A402&lt;&gt;"",SUMIFS(deployment!$H$4:$H$502, deployment!$D$4:$D$502,"="&amp;A402, deployment!$D$4:$D$502,"&lt;&gt;"&amp;""),"")</f>
        <v/>
      </c>
      <c r="J402" s="114" t="str">
        <f>IF(A402&lt;&gt;"",SUMIFS(deployment!$I$4:$I$502, deployment!$D$4:$D$502,"="&amp;A402, deployment!$D$4:$D$502,"&lt;&gt;"&amp;""),"")</f>
        <v/>
      </c>
      <c r="K402" s="182" t="str">
        <f>IF(A402&lt;&gt;"",SUMIFS(deployment!$J$4:$J$1002, deployment!$D$4:$D$1002,"="&amp;A402, deployment!$D$4:$D$1002,"&lt;&gt;"&amp;"", deployment!$C$4:$C$1002, "&lt;&gt;* )")+SUMIFS(namespace!$G$4:$G$1002, namespace!$B$4:$B$1002,"="&amp;A402, namespace!$B$4:$B$1002,"&lt;&gt;"&amp;""),"")</f>
        <v/>
      </c>
      <c r="L402" s="182" t="str">
        <f>IF(A402&lt;&gt;"",SUMIFS(deployment!$K$4:$K$1002, deployment!$D$4:$D$1002,"="&amp;A402, deployment!$D$4:$D$1002,"&lt;&gt;"&amp;"", deployment!$C$4:$C$1002, "&lt;&gt;* )")+SUMIFS(namespace!$H$4:$H$1002, namespace!$B$4:$B$1002,"="&amp;A402, namespace!$B$4:$B$1002,"&lt;&gt;"&amp;""),"")</f>
        <v/>
      </c>
      <c r="M402" s="115" t="str">
        <f>IF(A402&lt;&gt;"",SUMIFS(deployment!$L$4:$L$1002, deployment!$D$4:$D$1002,"="&amp;A402, deployment!$D$4:$D$1002,"&lt;&gt;"&amp;"", deployment!$C$4:$C$1002, "&lt;&gt;* )")+SUMIFS(namespace!$I$4:$I$1002, namespace!$B$4:$B$1002,"="&amp;A402, namespace!$B$4:$B$1002,"&lt;&gt;"&amp;""),"")</f>
        <v/>
      </c>
      <c r="N402" s="115" t="str">
        <f>IF(A402&lt;&gt;"",SUMIFS(deployment!$M$4:$M$1002, deployment!$D$4:$D$1002,"="&amp;A402, deployment!$D$4:$D$1002,"&lt;&gt;"&amp;"", deployment!$C$4:$C$1002, "&lt;&gt;* )")+SUMIFS(namespace!$J$4:$J$1002, namespace!$B$4:$B$1002,"="&amp;A402, namespace!$B$4:$B$1002,"&lt;&gt;"&amp;""),"")</f>
        <v/>
      </c>
      <c r="O402" s="116" t="str">
        <f t="shared" si="79"/>
        <v/>
      </c>
      <c r="P402" s="63"/>
      <c r="Q402" s="164" t="str">
        <f t="shared" si="74"/>
        <v/>
      </c>
      <c r="R402" s="60" t="str">
        <f t="shared" si="75"/>
        <v/>
      </c>
      <c r="S402" s="60" t="str">
        <f t="shared" si="76"/>
        <v/>
      </c>
      <c r="T402" s="61" t="str">
        <f t="shared" si="77"/>
        <v/>
      </c>
      <c r="U402" s="61" t="str">
        <f t="shared" si="78"/>
        <v/>
      </c>
      <c r="V402" s="183" t="str">
        <f t="shared" si="80"/>
        <v/>
      </c>
      <c r="W402" s="183" t="str">
        <f t="shared" si="81"/>
        <v/>
      </c>
      <c r="X402" s="61" t="str">
        <f t="shared" si="82"/>
        <v/>
      </c>
      <c r="Y402" s="61" t="str">
        <f t="shared" si="83"/>
        <v/>
      </c>
      <c r="Z402" s="118" t="str">
        <f t="shared" si="84"/>
        <v/>
      </c>
      <c r="AA402" s="62" t="str">
        <f t="shared" si="85"/>
        <v/>
      </c>
      <c r="AB402" s="119" t="str">
        <f>IF(A402&lt;&gt;"", IF(P402&lt;&gt;0,SUMIFS(node!$J$2:$J$1000, node!$C$2:$C$1000,"="&amp;A402)/P402,0), "")</f>
        <v/>
      </c>
      <c r="AC402" s="81" t="str">
        <f>IF(A402&lt;&gt;"", IF(P402&lt;&gt;0,SUMIFS(node!$K$2:$K$1000, node!$C$2:$C$1000,"="&amp;A402)/P402,0), "")</f>
        <v/>
      </c>
      <c r="AD402" s="82" t="str">
        <f>IF(A402&lt;&gt;"", SUMIFS(node!$L$2:$L$1000, node!$C$2:$C$1000,"="&amp;A402), "")</f>
        <v/>
      </c>
      <c r="AE402" s="87" t="str">
        <f>IF(A402&lt;&gt;"", SUMIFS(node!$M$2:$M$1000, node!$C$2:$C$1000,"="&amp;A402), "")</f>
        <v/>
      </c>
    </row>
    <row r="403" spans="1:31" ht="15.75" customHeight="1" x14ac:dyDescent="0.25">
      <c r="A403" s="71" t="str">
        <f>IF(ISNONTEXT(node_raw[[#This Row],[Column2]]), "", node_raw[[#This Row],[Column2]])</f>
        <v/>
      </c>
      <c r="B403" s="108" t="str">
        <f>IF(A403&lt;&gt;"", VLOOKUP(A403, node!$C$2:$D$1000, 2, FALSE), "")</f>
        <v/>
      </c>
      <c r="C403" s="109" t="str">
        <f>IF(A403&lt;&gt;"", VLOOKUP(A403, node!$C$2:$E$1000, 3, FALSE), "")</f>
        <v/>
      </c>
      <c r="D403" s="110" t="str">
        <f>IF(A403&lt;&gt;"",COUNTIFS(node!$C$2:$C$1000,"="&amp;A403, node!$C$2:$C$1000,"&lt;&gt;"&amp;""),"")</f>
        <v/>
      </c>
      <c r="E403" s="111" t="str">
        <f>IF(A403&lt;&gt;"",SUMIFS(node!$F$2:$F$500, node!$C$2:$C$500,"="&amp;A403, node!$C$2:$C$500,"&lt;&gt;"&amp;"")/(B403*D403),"")</f>
        <v/>
      </c>
      <c r="F403" s="112" t="str">
        <f>IF(A403&lt;&gt;"",SUMIFS(node!$H$2:$H$500, node!$C$2:$C$500,"="&amp;A403, node!$C$2:$C$500,"&lt;&gt;"&amp;"")/(C403*D403),"")</f>
        <v/>
      </c>
      <c r="G403" s="179" t="str">
        <f>IF(A403&lt;&gt;"",SUMIFS(deployment!$F$4:$F$502, deployment!$D$4:$D$502,"="&amp;A403, deployment!$D$4:$D$502,"&lt;&gt;"&amp;""),"")</f>
        <v/>
      </c>
      <c r="H403" s="181" t="str">
        <f>IF(A403&lt;&gt;"",SUMIFS(deployment!$G$4:$G$502, deployment!$D$4:$D$502,"="&amp;A403, deployment!$D$4:$D$502,"&lt;&gt;"&amp;""),"")</f>
        <v/>
      </c>
      <c r="I403" s="113" t="str">
        <f>IF(A403&lt;&gt;"",SUMIFS(deployment!$H$4:$H$502, deployment!$D$4:$D$502,"="&amp;A403, deployment!$D$4:$D$502,"&lt;&gt;"&amp;""),"")</f>
        <v/>
      </c>
      <c r="J403" s="114" t="str">
        <f>IF(A403&lt;&gt;"",SUMIFS(deployment!$I$4:$I$502, deployment!$D$4:$D$502,"="&amp;A403, deployment!$D$4:$D$502,"&lt;&gt;"&amp;""),"")</f>
        <v/>
      </c>
      <c r="K403" s="182" t="str">
        <f>IF(A403&lt;&gt;"",SUMIFS(deployment!$J$4:$J$1002, deployment!$D$4:$D$1002,"="&amp;A403, deployment!$D$4:$D$1002,"&lt;&gt;"&amp;"", deployment!$C$4:$C$1002, "&lt;&gt;* )")+SUMIFS(namespace!$G$4:$G$1002, namespace!$B$4:$B$1002,"="&amp;A403, namespace!$B$4:$B$1002,"&lt;&gt;"&amp;""),"")</f>
        <v/>
      </c>
      <c r="L403" s="182" t="str">
        <f>IF(A403&lt;&gt;"",SUMIFS(deployment!$K$4:$K$1002, deployment!$D$4:$D$1002,"="&amp;A403, deployment!$D$4:$D$1002,"&lt;&gt;"&amp;"", deployment!$C$4:$C$1002, "&lt;&gt;* )")+SUMIFS(namespace!$H$4:$H$1002, namespace!$B$4:$B$1002,"="&amp;A403, namespace!$B$4:$B$1002,"&lt;&gt;"&amp;""),"")</f>
        <v/>
      </c>
      <c r="M403" s="115" t="str">
        <f>IF(A403&lt;&gt;"",SUMIFS(deployment!$L$4:$L$1002, deployment!$D$4:$D$1002,"="&amp;A403, deployment!$D$4:$D$1002,"&lt;&gt;"&amp;"", deployment!$C$4:$C$1002, "&lt;&gt;* )")+SUMIFS(namespace!$I$4:$I$1002, namespace!$B$4:$B$1002,"="&amp;A403, namespace!$B$4:$B$1002,"&lt;&gt;"&amp;""),"")</f>
        <v/>
      </c>
      <c r="N403" s="115" t="str">
        <f>IF(A403&lt;&gt;"",SUMIFS(deployment!$M$4:$M$1002, deployment!$D$4:$D$1002,"="&amp;A403, deployment!$D$4:$D$1002,"&lt;&gt;"&amp;"", deployment!$C$4:$C$1002, "&lt;&gt;* )")+SUMIFS(namespace!$J$4:$J$1002, namespace!$B$4:$B$1002,"="&amp;A403, namespace!$B$4:$B$1002,"&lt;&gt;"&amp;""),"")</f>
        <v/>
      </c>
      <c r="O403" s="116" t="str">
        <f t="shared" si="79"/>
        <v/>
      </c>
      <c r="P403" s="63"/>
      <c r="Q403" s="164" t="str">
        <f t="shared" si="74"/>
        <v/>
      </c>
      <c r="R403" s="60" t="str">
        <f t="shared" si="75"/>
        <v/>
      </c>
      <c r="S403" s="60" t="str">
        <f t="shared" si="76"/>
        <v/>
      </c>
      <c r="T403" s="61" t="str">
        <f t="shared" si="77"/>
        <v/>
      </c>
      <c r="U403" s="61" t="str">
        <f t="shared" si="78"/>
        <v/>
      </c>
      <c r="V403" s="183" t="str">
        <f t="shared" si="80"/>
        <v/>
      </c>
      <c r="W403" s="183" t="str">
        <f t="shared" si="81"/>
        <v/>
      </c>
      <c r="X403" s="61" t="str">
        <f t="shared" si="82"/>
        <v/>
      </c>
      <c r="Y403" s="61" t="str">
        <f t="shared" si="83"/>
        <v/>
      </c>
      <c r="Z403" s="118" t="str">
        <f t="shared" si="84"/>
        <v/>
      </c>
      <c r="AA403" s="62" t="str">
        <f t="shared" si="85"/>
        <v/>
      </c>
      <c r="AB403" s="119" t="str">
        <f>IF(A403&lt;&gt;"", IF(P403&lt;&gt;0,SUMIFS(node!$J$2:$J$1000, node!$C$2:$C$1000,"="&amp;A403)/P403,0), "")</f>
        <v/>
      </c>
      <c r="AC403" s="81" t="str">
        <f>IF(A403&lt;&gt;"", IF(P403&lt;&gt;0,SUMIFS(node!$K$2:$K$1000, node!$C$2:$C$1000,"="&amp;A403)/P403,0), "")</f>
        <v/>
      </c>
      <c r="AD403" s="82" t="str">
        <f>IF(A403&lt;&gt;"", SUMIFS(node!$L$2:$L$1000, node!$C$2:$C$1000,"="&amp;A403), "")</f>
        <v/>
      </c>
      <c r="AE403" s="87" t="str">
        <f>IF(A403&lt;&gt;"", SUMIFS(node!$M$2:$M$1000, node!$C$2:$C$1000,"="&amp;A403), "")</f>
        <v/>
      </c>
    </row>
    <row r="404" spans="1:31" ht="15.75" customHeight="1" x14ac:dyDescent="0.25">
      <c r="A404" s="71" t="str">
        <f>IF(ISNONTEXT(node_raw[[#This Row],[Column2]]), "", node_raw[[#This Row],[Column2]])</f>
        <v/>
      </c>
      <c r="B404" s="108" t="str">
        <f>IF(A404&lt;&gt;"", VLOOKUP(A404, node!$C$2:$D$1000, 2, FALSE), "")</f>
        <v/>
      </c>
      <c r="C404" s="109" t="str">
        <f>IF(A404&lt;&gt;"", VLOOKUP(A404, node!$C$2:$E$1000, 3, FALSE), "")</f>
        <v/>
      </c>
      <c r="D404" s="110" t="str">
        <f>IF(A404&lt;&gt;"",COUNTIFS(node!$C$2:$C$1000,"="&amp;A404, node!$C$2:$C$1000,"&lt;&gt;"&amp;""),"")</f>
        <v/>
      </c>
      <c r="E404" s="111" t="str">
        <f>IF(A404&lt;&gt;"",SUMIFS(node!$F$2:$F$500, node!$C$2:$C$500,"="&amp;A404, node!$C$2:$C$500,"&lt;&gt;"&amp;"")/(B404*D404),"")</f>
        <v/>
      </c>
      <c r="F404" s="112" t="str">
        <f>IF(A404&lt;&gt;"",SUMIFS(node!$H$2:$H$500, node!$C$2:$C$500,"="&amp;A404, node!$C$2:$C$500,"&lt;&gt;"&amp;"")/(C404*D404),"")</f>
        <v/>
      </c>
      <c r="G404" s="179" t="str">
        <f>IF(A404&lt;&gt;"",SUMIFS(deployment!$F$4:$F$502, deployment!$D$4:$D$502,"="&amp;A404, deployment!$D$4:$D$502,"&lt;&gt;"&amp;""),"")</f>
        <v/>
      </c>
      <c r="H404" s="181" t="str">
        <f>IF(A404&lt;&gt;"",SUMIFS(deployment!$G$4:$G$502, deployment!$D$4:$D$502,"="&amp;A404, deployment!$D$4:$D$502,"&lt;&gt;"&amp;""),"")</f>
        <v/>
      </c>
      <c r="I404" s="113" t="str">
        <f>IF(A404&lt;&gt;"",SUMIFS(deployment!$H$4:$H$502, deployment!$D$4:$D$502,"="&amp;A404, deployment!$D$4:$D$502,"&lt;&gt;"&amp;""),"")</f>
        <v/>
      </c>
      <c r="J404" s="114" t="str">
        <f>IF(A404&lt;&gt;"",SUMIFS(deployment!$I$4:$I$502, deployment!$D$4:$D$502,"="&amp;A404, deployment!$D$4:$D$502,"&lt;&gt;"&amp;""),"")</f>
        <v/>
      </c>
      <c r="K404" s="182" t="str">
        <f>IF(A404&lt;&gt;"",SUMIFS(deployment!$J$4:$J$1002, deployment!$D$4:$D$1002,"="&amp;A404, deployment!$D$4:$D$1002,"&lt;&gt;"&amp;"", deployment!$C$4:$C$1002, "&lt;&gt;* )")+SUMIFS(namespace!$G$4:$G$1002, namespace!$B$4:$B$1002,"="&amp;A404, namespace!$B$4:$B$1002,"&lt;&gt;"&amp;""),"")</f>
        <v/>
      </c>
      <c r="L404" s="182" t="str">
        <f>IF(A404&lt;&gt;"",SUMIFS(deployment!$K$4:$K$1002, deployment!$D$4:$D$1002,"="&amp;A404, deployment!$D$4:$D$1002,"&lt;&gt;"&amp;"", deployment!$C$4:$C$1002, "&lt;&gt;* )")+SUMIFS(namespace!$H$4:$H$1002, namespace!$B$4:$B$1002,"="&amp;A404, namespace!$B$4:$B$1002,"&lt;&gt;"&amp;""),"")</f>
        <v/>
      </c>
      <c r="M404" s="115" t="str">
        <f>IF(A404&lt;&gt;"",SUMIFS(deployment!$L$4:$L$1002, deployment!$D$4:$D$1002,"="&amp;A404, deployment!$D$4:$D$1002,"&lt;&gt;"&amp;"", deployment!$C$4:$C$1002, "&lt;&gt;* )")+SUMIFS(namespace!$I$4:$I$1002, namespace!$B$4:$B$1002,"="&amp;A404, namespace!$B$4:$B$1002,"&lt;&gt;"&amp;""),"")</f>
        <v/>
      </c>
      <c r="N404" s="115" t="str">
        <f>IF(A404&lt;&gt;"",SUMIFS(deployment!$M$4:$M$1002, deployment!$D$4:$D$1002,"="&amp;A404, deployment!$D$4:$D$1002,"&lt;&gt;"&amp;"", deployment!$C$4:$C$1002, "&lt;&gt;* )")+SUMIFS(namespace!$J$4:$J$1002, namespace!$B$4:$B$1002,"="&amp;A404, namespace!$B$4:$B$1002,"&lt;&gt;"&amp;""),"")</f>
        <v/>
      </c>
      <c r="O404" s="116" t="str">
        <f t="shared" si="79"/>
        <v/>
      </c>
      <c r="P404" s="63"/>
      <c r="Q404" s="164" t="str">
        <f t="shared" si="74"/>
        <v/>
      </c>
      <c r="R404" s="60" t="str">
        <f t="shared" si="75"/>
        <v/>
      </c>
      <c r="S404" s="60" t="str">
        <f t="shared" si="76"/>
        <v/>
      </c>
      <c r="T404" s="61" t="str">
        <f t="shared" si="77"/>
        <v/>
      </c>
      <c r="U404" s="61" t="str">
        <f t="shared" si="78"/>
        <v/>
      </c>
      <c r="V404" s="183" t="str">
        <f t="shared" si="80"/>
        <v/>
      </c>
      <c r="W404" s="183" t="str">
        <f t="shared" si="81"/>
        <v/>
      </c>
      <c r="X404" s="61" t="str">
        <f t="shared" si="82"/>
        <v/>
      </c>
      <c r="Y404" s="61" t="str">
        <f t="shared" si="83"/>
        <v/>
      </c>
      <c r="Z404" s="118" t="str">
        <f t="shared" si="84"/>
        <v/>
      </c>
      <c r="AA404" s="62" t="str">
        <f t="shared" si="85"/>
        <v/>
      </c>
      <c r="AB404" s="119" t="str">
        <f>IF(A404&lt;&gt;"", IF(P404&lt;&gt;0,SUMIFS(node!$J$2:$J$1000, node!$C$2:$C$1000,"="&amp;A404)/P404,0), "")</f>
        <v/>
      </c>
      <c r="AC404" s="81" t="str">
        <f>IF(A404&lt;&gt;"", IF(P404&lt;&gt;0,SUMIFS(node!$K$2:$K$1000, node!$C$2:$C$1000,"="&amp;A404)/P404,0), "")</f>
        <v/>
      </c>
      <c r="AD404" s="82" t="str">
        <f>IF(A404&lt;&gt;"", SUMIFS(node!$L$2:$L$1000, node!$C$2:$C$1000,"="&amp;A404), "")</f>
        <v/>
      </c>
      <c r="AE404" s="87" t="str">
        <f>IF(A404&lt;&gt;"", SUMIFS(node!$M$2:$M$1000, node!$C$2:$C$1000,"="&amp;A404), "")</f>
        <v/>
      </c>
    </row>
    <row r="405" spans="1:31" ht="15.75" customHeight="1" x14ac:dyDescent="0.25">
      <c r="A405" s="71" t="str">
        <f>IF(ISNONTEXT(node_raw[[#This Row],[Column2]]), "", node_raw[[#This Row],[Column2]])</f>
        <v/>
      </c>
      <c r="B405" s="108" t="str">
        <f>IF(A405&lt;&gt;"", VLOOKUP(A405, node!$C$2:$D$1000, 2, FALSE), "")</f>
        <v/>
      </c>
      <c r="C405" s="109" t="str">
        <f>IF(A405&lt;&gt;"", VLOOKUP(A405, node!$C$2:$E$1000, 3, FALSE), "")</f>
        <v/>
      </c>
      <c r="D405" s="110" t="str">
        <f>IF(A405&lt;&gt;"",COUNTIFS(node!$C$2:$C$1000,"="&amp;A405, node!$C$2:$C$1000,"&lt;&gt;"&amp;""),"")</f>
        <v/>
      </c>
      <c r="E405" s="111" t="str">
        <f>IF(A405&lt;&gt;"",SUMIFS(node!$F$2:$F$500, node!$C$2:$C$500,"="&amp;A405, node!$C$2:$C$500,"&lt;&gt;"&amp;"")/(B405*D405),"")</f>
        <v/>
      </c>
      <c r="F405" s="112" t="str">
        <f>IF(A405&lt;&gt;"",SUMIFS(node!$H$2:$H$500, node!$C$2:$C$500,"="&amp;A405, node!$C$2:$C$500,"&lt;&gt;"&amp;"")/(C405*D405),"")</f>
        <v/>
      </c>
      <c r="G405" s="179" t="str">
        <f>IF(A405&lt;&gt;"",SUMIFS(deployment!$F$4:$F$502, deployment!$D$4:$D$502,"="&amp;A405, deployment!$D$4:$D$502,"&lt;&gt;"&amp;""),"")</f>
        <v/>
      </c>
      <c r="H405" s="181" t="str">
        <f>IF(A405&lt;&gt;"",SUMIFS(deployment!$G$4:$G$502, deployment!$D$4:$D$502,"="&amp;A405, deployment!$D$4:$D$502,"&lt;&gt;"&amp;""),"")</f>
        <v/>
      </c>
      <c r="I405" s="113" t="str">
        <f>IF(A405&lt;&gt;"",SUMIFS(deployment!$H$4:$H$502, deployment!$D$4:$D$502,"="&amp;A405, deployment!$D$4:$D$502,"&lt;&gt;"&amp;""),"")</f>
        <v/>
      </c>
      <c r="J405" s="114" t="str">
        <f>IF(A405&lt;&gt;"",SUMIFS(deployment!$I$4:$I$502, deployment!$D$4:$D$502,"="&amp;A405, deployment!$D$4:$D$502,"&lt;&gt;"&amp;""),"")</f>
        <v/>
      </c>
      <c r="K405" s="182" t="str">
        <f>IF(A405&lt;&gt;"",SUMIFS(deployment!$J$4:$J$1002, deployment!$D$4:$D$1002,"="&amp;A405, deployment!$D$4:$D$1002,"&lt;&gt;"&amp;"", deployment!$C$4:$C$1002, "&lt;&gt;* )")+SUMIFS(namespace!$G$4:$G$1002, namespace!$B$4:$B$1002,"="&amp;A405, namespace!$B$4:$B$1002,"&lt;&gt;"&amp;""),"")</f>
        <v/>
      </c>
      <c r="L405" s="182" t="str">
        <f>IF(A405&lt;&gt;"",SUMIFS(deployment!$K$4:$K$1002, deployment!$D$4:$D$1002,"="&amp;A405, deployment!$D$4:$D$1002,"&lt;&gt;"&amp;"", deployment!$C$4:$C$1002, "&lt;&gt;* )")+SUMIFS(namespace!$H$4:$H$1002, namespace!$B$4:$B$1002,"="&amp;A405, namespace!$B$4:$B$1002,"&lt;&gt;"&amp;""),"")</f>
        <v/>
      </c>
      <c r="M405" s="115" t="str">
        <f>IF(A405&lt;&gt;"",SUMIFS(deployment!$L$4:$L$1002, deployment!$D$4:$D$1002,"="&amp;A405, deployment!$D$4:$D$1002,"&lt;&gt;"&amp;"", deployment!$C$4:$C$1002, "&lt;&gt;* )")+SUMIFS(namespace!$I$4:$I$1002, namespace!$B$4:$B$1002,"="&amp;A405, namespace!$B$4:$B$1002,"&lt;&gt;"&amp;""),"")</f>
        <v/>
      </c>
      <c r="N405" s="115" t="str">
        <f>IF(A405&lt;&gt;"",SUMIFS(deployment!$M$4:$M$1002, deployment!$D$4:$D$1002,"="&amp;A405, deployment!$D$4:$D$1002,"&lt;&gt;"&amp;"", deployment!$C$4:$C$1002, "&lt;&gt;* )")+SUMIFS(namespace!$J$4:$J$1002, namespace!$B$4:$B$1002,"="&amp;A405, namespace!$B$4:$B$1002,"&lt;&gt;"&amp;""),"")</f>
        <v/>
      </c>
      <c r="O405" s="116" t="str">
        <f t="shared" si="79"/>
        <v/>
      </c>
      <c r="P405" s="63"/>
      <c r="Q405" s="164" t="str">
        <f t="shared" si="74"/>
        <v/>
      </c>
      <c r="R405" s="60" t="str">
        <f t="shared" si="75"/>
        <v/>
      </c>
      <c r="S405" s="60" t="str">
        <f t="shared" si="76"/>
        <v/>
      </c>
      <c r="T405" s="61" t="str">
        <f t="shared" si="77"/>
        <v/>
      </c>
      <c r="U405" s="61" t="str">
        <f t="shared" si="78"/>
        <v/>
      </c>
      <c r="V405" s="183" t="str">
        <f t="shared" si="80"/>
        <v/>
      </c>
      <c r="W405" s="183" t="str">
        <f t="shared" si="81"/>
        <v/>
      </c>
      <c r="X405" s="61" t="str">
        <f t="shared" si="82"/>
        <v/>
      </c>
      <c r="Y405" s="61" t="str">
        <f t="shared" si="83"/>
        <v/>
      </c>
      <c r="Z405" s="118" t="str">
        <f t="shared" si="84"/>
        <v/>
      </c>
      <c r="AA405" s="62" t="str">
        <f t="shared" si="85"/>
        <v/>
      </c>
      <c r="AB405" s="119" t="str">
        <f>IF(A405&lt;&gt;"", IF(P405&lt;&gt;0,SUMIFS(node!$J$2:$J$1000, node!$C$2:$C$1000,"="&amp;A405)/P405,0), "")</f>
        <v/>
      </c>
      <c r="AC405" s="81" t="str">
        <f>IF(A405&lt;&gt;"", IF(P405&lt;&gt;0,SUMIFS(node!$K$2:$K$1000, node!$C$2:$C$1000,"="&amp;A405)/P405,0), "")</f>
        <v/>
      </c>
      <c r="AD405" s="82" t="str">
        <f>IF(A405&lt;&gt;"", SUMIFS(node!$L$2:$L$1000, node!$C$2:$C$1000,"="&amp;A405), "")</f>
        <v/>
      </c>
      <c r="AE405" s="87" t="str">
        <f>IF(A405&lt;&gt;"", SUMIFS(node!$M$2:$M$1000, node!$C$2:$C$1000,"="&amp;A405), "")</f>
        <v/>
      </c>
    </row>
    <row r="406" spans="1:31" ht="15.75" customHeight="1" x14ac:dyDescent="0.25">
      <c r="A406" s="71" t="str">
        <f>IF(ISNONTEXT(node_raw[[#This Row],[Column2]]), "", node_raw[[#This Row],[Column2]])</f>
        <v/>
      </c>
      <c r="B406" s="108" t="str">
        <f>IF(A406&lt;&gt;"", VLOOKUP(A406, node!$C$2:$D$1000, 2, FALSE), "")</f>
        <v/>
      </c>
      <c r="C406" s="109" t="str">
        <f>IF(A406&lt;&gt;"", VLOOKUP(A406, node!$C$2:$E$1000, 3, FALSE), "")</f>
        <v/>
      </c>
      <c r="D406" s="110" t="str">
        <f>IF(A406&lt;&gt;"",COUNTIFS(node!$C$2:$C$1000,"="&amp;A406, node!$C$2:$C$1000,"&lt;&gt;"&amp;""),"")</f>
        <v/>
      </c>
      <c r="E406" s="111" t="str">
        <f>IF(A406&lt;&gt;"",SUMIFS(node!$F$2:$F$500, node!$C$2:$C$500,"="&amp;A406, node!$C$2:$C$500,"&lt;&gt;"&amp;"")/(B406*D406),"")</f>
        <v/>
      </c>
      <c r="F406" s="112" t="str">
        <f>IF(A406&lt;&gt;"",SUMIFS(node!$H$2:$H$500, node!$C$2:$C$500,"="&amp;A406, node!$C$2:$C$500,"&lt;&gt;"&amp;"")/(C406*D406),"")</f>
        <v/>
      </c>
      <c r="G406" s="179" t="str">
        <f>IF(A406&lt;&gt;"",SUMIFS(deployment!$F$4:$F$502, deployment!$D$4:$D$502,"="&amp;A406, deployment!$D$4:$D$502,"&lt;&gt;"&amp;""),"")</f>
        <v/>
      </c>
      <c r="H406" s="181" t="str">
        <f>IF(A406&lt;&gt;"",SUMIFS(deployment!$G$4:$G$502, deployment!$D$4:$D$502,"="&amp;A406, deployment!$D$4:$D$502,"&lt;&gt;"&amp;""),"")</f>
        <v/>
      </c>
      <c r="I406" s="113" t="str">
        <f>IF(A406&lt;&gt;"",SUMIFS(deployment!$H$4:$H$502, deployment!$D$4:$D$502,"="&amp;A406, deployment!$D$4:$D$502,"&lt;&gt;"&amp;""),"")</f>
        <v/>
      </c>
      <c r="J406" s="114" t="str">
        <f>IF(A406&lt;&gt;"",SUMIFS(deployment!$I$4:$I$502, deployment!$D$4:$D$502,"="&amp;A406, deployment!$D$4:$D$502,"&lt;&gt;"&amp;""),"")</f>
        <v/>
      </c>
      <c r="K406" s="182" t="str">
        <f>IF(A406&lt;&gt;"",SUMIFS(deployment!$J$4:$J$1002, deployment!$D$4:$D$1002,"="&amp;A406, deployment!$D$4:$D$1002,"&lt;&gt;"&amp;"", deployment!$C$4:$C$1002, "&lt;&gt;* )")+SUMIFS(namespace!$G$4:$G$1002, namespace!$B$4:$B$1002,"="&amp;A406, namespace!$B$4:$B$1002,"&lt;&gt;"&amp;""),"")</f>
        <v/>
      </c>
      <c r="L406" s="182" t="str">
        <f>IF(A406&lt;&gt;"",SUMIFS(deployment!$K$4:$K$1002, deployment!$D$4:$D$1002,"="&amp;A406, deployment!$D$4:$D$1002,"&lt;&gt;"&amp;"", deployment!$C$4:$C$1002, "&lt;&gt;* )")+SUMIFS(namespace!$H$4:$H$1002, namespace!$B$4:$B$1002,"="&amp;A406, namespace!$B$4:$B$1002,"&lt;&gt;"&amp;""),"")</f>
        <v/>
      </c>
      <c r="M406" s="115" t="str">
        <f>IF(A406&lt;&gt;"",SUMIFS(deployment!$L$4:$L$1002, deployment!$D$4:$D$1002,"="&amp;A406, deployment!$D$4:$D$1002,"&lt;&gt;"&amp;"", deployment!$C$4:$C$1002, "&lt;&gt;* )")+SUMIFS(namespace!$I$4:$I$1002, namespace!$B$4:$B$1002,"="&amp;A406, namespace!$B$4:$B$1002,"&lt;&gt;"&amp;""),"")</f>
        <v/>
      </c>
      <c r="N406" s="115" t="str">
        <f>IF(A406&lt;&gt;"",SUMIFS(deployment!$M$4:$M$1002, deployment!$D$4:$D$1002,"="&amp;A406, deployment!$D$4:$D$1002,"&lt;&gt;"&amp;"", deployment!$C$4:$C$1002, "&lt;&gt;* )")+SUMIFS(namespace!$J$4:$J$1002, namespace!$B$4:$B$1002,"="&amp;A406, namespace!$B$4:$B$1002,"&lt;&gt;"&amp;""),"")</f>
        <v/>
      </c>
      <c r="O406" s="116" t="str">
        <f t="shared" si="79"/>
        <v/>
      </c>
      <c r="P406" s="63"/>
      <c r="Q406" s="164" t="str">
        <f t="shared" si="74"/>
        <v/>
      </c>
      <c r="R406" s="60" t="str">
        <f t="shared" si="75"/>
        <v/>
      </c>
      <c r="S406" s="60" t="str">
        <f t="shared" si="76"/>
        <v/>
      </c>
      <c r="T406" s="61" t="str">
        <f t="shared" si="77"/>
        <v/>
      </c>
      <c r="U406" s="61" t="str">
        <f t="shared" si="78"/>
        <v/>
      </c>
      <c r="V406" s="183" t="str">
        <f t="shared" si="80"/>
        <v/>
      </c>
      <c r="W406" s="183" t="str">
        <f t="shared" si="81"/>
        <v/>
      </c>
      <c r="X406" s="61" t="str">
        <f t="shared" si="82"/>
        <v/>
      </c>
      <c r="Y406" s="61" t="str">
        <f t="shared" si="83"/>
        <v/>
      </c>
      <c r="Z406" s="118" t="str">
        <f t="shared" si="84"/>
        <v/>
      </c>
      <c r="AA406" s="62" t="str">
        <f t="shared" si="85"/>
        <v/>
      </c>
      <c r="AB406" s="119" t="str">
        <f>IF(A406&lt;&gt;"", IF(P406&lt;&gt;0,SUMIFS(node!$J$2:$J$1000, node!$C$2:$C$1000,"="&amp;A406)/P406,0), "")</f>
        <v/>
      </c>
      <c r="AC406" s="81" t="str">
        <f>IF(A406&lt;&gt;"", IF(P406&lt;&gt;0,SUMIFS(node!$K$2:$K$1000, node!$C$2:$C$1000,"="&amp;A406)/P406,0), "")</f>
        <v/>
      </c>
      <c r="AD406" s="82" t="str">
        <f>IF(A406&lt;&gt;"", SUMIFS(node!$L$2:$L$1000, node!$C$2:$C$1000,"="&amp;A406), "")</f>
        <v/>
      </c>
      <c r="AE406" s="87" t="str">
        <f>IF(A406&lt;&gt;"", SUMIFS(node!$M$2:$M$1000, node!$C$2:$C$1000,"="&amp;A406), "")</f>
        <v/>
      </c>
    </row>
    <row r="407" spans="1:31" ht="15.75" customHeight="1" x14ac:dyDescent="0.25">
      <c r="A407" s="71" t="str">
        <f>IF(ISNONTEXT(node_raw[[#This Row],[Column2]]), "", node_raw[[#This Row],[Column2]])</f>
        <v/>
      </c>
      <c r="B407" s="108" t="str">
        <f>IF(A407&lt;&gt;"", VLOOKUP(A407, node!$C$2:$D$1000, 2, FALSE), "")</f>
        <v/>
      </c>
      <c r="C407" s="109" t="str">
        <f>IF(A407&lt;&gt;"", VLOOKUP(A407, node!$C$2:$E$1000, 3, FALSE), "")</f>
        <v/>
      </c>
      <c r="D407" s="110" t="str">
        <f>IF(A407&lt;&gt;"",COUNTIFS(node!$C$2:$C$1000,"="&amp;A407, node!$C$2:$C$1000,"&lt;&gt;"&amp;""),"")</f>
        <v/>
      </c>
      <c r="E407" s="111" t="str">
        <f>IF(A407&lt;&gt;"",SUMIFS(node!$F$2:$F$500, node!$C$2:$C$500,"="&amp;A407, node!$C$2:$C$500,"&lt;&gt;"&amp;"")/(B407*D407),"")</f>
        <v/>
      </c>
      <c r="F407" s="112" t="str">
        <f>IF(A407&lt;&gt;"",SUMIFS(node!$H$2:$H$500, node!$C$2:$C$500,"="&amp;A407, node!$C$2:$C$500,"&lt;&gt;"&amp;"")/(C407*D407),"")</f>
        <v/>
      </c>
      <c r="G407" s="179" t="str">
        <f>IF(A407&lt;&gt;"",SUMIFS(deployment!$F$4:$F$502, deployment!$D$4:$D$502,"="&amp;A407, deployment!$D$4:$D$502,"&lt;&gt;"&amp;""),"")</f>
        <v/>
      </c>
      <c r="H407" s="181" t="str">
        <f>IF(A407&lt;&gt;"",SUMIFS(deployment!$G$4:$G$502, deployment!$D$4:$D$502,"="&amp;A407, deployment!$D$4:$D$502,"&lt;&gt;"&amp;""),"")</f>
        <v/>
      </c>
      <c r="I407" s="113" t="str">
        <f>IF(A407&lt;&gt;"",SUMIFS(deployment!$H$4:$H$502, deployment!$D$4:$D$502,"="&amp;A407, deployment!$D$4:$D$502,"&lt;&gt;"&amp;""),"")</f>
        <v/>
      </c>
      <c r="J407" s="114" t="str">
        <f>IF(A407&lt;&gt;"",SUMIFS(deployment!$I$4:$I$502, deployment!$D$4:$D$502,"="&amp;A407, deployment!$D$4:$D$502,"&lt;&gt;"&amp;""),"")</f>
        <v/>
      </c>
      <c r="K407" s="182" t="str">
        <f>IF(A407&lt;&gt;"",SUMIFS(deployment!$J$4:$J$1002, deployment!$D$4:$D$1002,"="&amp;A407, deployment!$D$4:$D$1002,"&lt;&gt;"&amp;"", deployment!$C$4:$C$1002, "&lt;&gt;* )")+SUMIFS(namespace!$G$4:$G$1002, namespace!$B$4:$B$1002,"="&amp;A407, namespace!$B$4:$B$1002,"&lt;&gt;"&amp;""),"")</f>
        <v/>
      </c>
      <c r="L407" s="182" t="str">
        <f>IF(A407&lt;&gt;"",SUMIFS(deployment!$K$4:$K$1002, deployment!$D$4:$D$1002,"="&amp;A407, deployment!$D$4:$D$1002,"&lt;&gt;"&amp;"", deployment!$C$4:$C$1002, "&lt;&gt;* )")+SUMIFS(namespace!$H$4:$H$1002, namespace!$B$4:$B$1002,"="&amp;A407, namespace!$B$4:$B$1002,"&lt;&gt;"&amp;""),"")</f>
        <v/>
      </c>
      <c r="M407" s="115" t="str">
        <f>IF(A407&lt;&gt;"",SUMIFS(deployment!$L$4:$L$1002, deployment!$D$4:$D$1002,"="&amp;A407, deployment!$D$4:$D$1002,"&lt;&gt;"&amp;"", deployment!$C$4:$C$1002, "&lt;&gt;* )")+SUMIFS(namespace!$I$4:$I$1002, namespace!$B$4:$B$1002,"="&amp;A407, namespace!$B$4:$B$1002,"&lt;&gt;"&amp;""),"")</f>
        <v/>
      </c>
      <c r="N407" s="115" t="str">
        <f>IF(A407&lt;&gt;"",SUMIFS(deployment!$M$4:$M$1002, deployment!$D$4:$D$1002,"="&amp;A407, deployment!$D$4:$D$1002,"&lt;&gt;"&amp;"", deployment!$C$4:$C$1002, "&lt;&gt;* )")+SUMIFS(namespace!$J$4:$J$1002, namespace!$B$4:$B$1002,"="&amp;A407, namespace!$B$4:$B$1002,"&lt;&gt;"&amp;""),"")</f>
        <v/>
      </c>
      <c r="O407" s="116" t="str">
        <f t="shared" si="79"/>
        <v/>
      </c>
      <c r="P407" s="63"/>
      <c r="Q407" s="164" t="str">
        <f t="shared" si="74"/>
        <v/>
      </c>
      <c r="R407" s="60" t="str">
        <f t="shared" si="75"/>
        <v/>
      </c>
      <c r="S407" s="60" t="str">
        <f t="shared" si="76"/>
        <v/>
      </c>
      <c r="T407" s="61" t="str">
        <f t="shared" si="77"/>
        <v/>
      </c>
      <c r="U407" s="61" t="str">
        <f t="shared" si="78"/>
        <v/>
      </c>
      <c r="V407" s="183" t="str">
        <f t="shared" si="80"/>
        <v/>
      </c>
      <c r="W407" s="183" t="str">
        <f t="shared" si="81"/>
        <v/>
      </c>
      <c r="X407" s="61" t="str">
        <f t="shared" si="82"/>
        <v/>
      </c>
      <c r="Y407" s="61" t="str">
        <f t="shared" si="83"/>
        <v/>
      </c>
      <c r="Z407" s="118" t="str">
        <f t="shared" si="84"/>
        <v/>
      </c>
      <c r="AA407" s="62" t="str">
        <f t="shared" si="85"/>
        <v/>
      </c>
      <c r="AB407" s="119" t="str">
        <f>IF(A407&lt;&gt;"", IF(P407&lt;&gt;0,SUMIFS(node!$J$2:$J$1000, node!$C$2:$C$1000,"="&amp;A407)/P407,0), "")</f>
        <v/>
      </c>
      <c r="AC407" s="81" t="str">
        <f>IF(A407&lt;&gt;"", IF(P407&lt;&gt;0,SUMIFS(node!$K$2:$K$1000, node!$C$2:$C$1000,"="&amp;A407)/P407,0), "")</f>
        <v/>
      </c>
      <c r="AD407" s="82" t="str">
        <f>IF(A407&lt;&gt;"", SUMIFS(node!$L$2:$L$1000, node!$C$2:$C$1000,"="&amp;A407), "")</f>
        <v/>
      </c>
      <c r="AE407" s="87" t="str">
        <f>IF(A407&lt;&gt;"", SUMIFS(node!$M$2:$M$1000, node!$C$2:$C$1000,"="&amp;A407), "")</f>
        <v/>
      </c>
    </row>
    <row r="408" spans="1:31" ht="15.75" customHeight="1" x14ac:dyDescent="0.25">
      <c r="A408" s="71" t="str">
        <f>IF(ISNONTEXT(node_raw[[#This Row],[Column2]]), "", node_raw[[#This Row],[Column2]])</f>
        <v/>
      </c>
      <c r="B408" s="108" t="str">
        <f>IF(A408&lt;&gt;"", VLOOKUP(A408, node!$C$2:$D$1000, 2, FALSE), "")</f>
        <v/>
      </c>
      <c r="C408" s="109" t="str">
        <f>IF(A408&lt;&gt;"", VLOOKUP(A408, node!$C$2:$E$1000, 3, FALSE), "")</f>
        <v/>
      </c>
      <c r="D408" s="110" t="str">
        <f>IF(A408&lt;&gt;"",COUNTIFS(node!$C$2:$C$1000,"="&amp;A408, node!$C$2:$C$1000,"&lt;&gt;"&amp;""),"")</f>
        <v/>
      </c>
      <c r="E408" s="111" t="str">
        <f>IF(A408&lt;&gt;"",SUMIFS(node!$F$2:$F$500, node!$C$2:$C$500,"="&amp;A408, node!$C$2:$C$500,"&lt;&gt;"&amp;"")/(B408*D408),"")</f>
        <v/>
      </c>
      <c r="F408" s="112" t="str">
        <f>IF(A408&lt;&gt;"",SUMIFS(node!$H$2:$H$500, node!$C$2:$C$500,"="&amp;A408, node!$C$2:$C$500,"&lt;&gt;"&amp;"")/(C408*D408),"")</f>
        <v/>
      </c>
      <c r="G408" s="179" t="str">
        <f>IF(A408&lt;&gt;"",SUMIFS(deployment!$F$4:$F$502, deployment!$D$4:$D$502,"="&amp;A408, deployment!$D$4:$D$502,"&lt;&gt;"&amp;""),"")</f>
        <v/>
      </c>
      <c r="H408" s="181" t="str">
        <f>IF(A408&lt;&gt;"",SUMIFS(deployment!$G$4:$G$502, deployment!$D$4:$D$502,"="&amp;A408, deployment!$D$4:$D$502,"&lt;&gt;"&amp;""),"")</f>
        <v/>
      </c>
      <c r="I408" s="113" t="str">
        <f>IF(A408&lt;&gt;"",SUMIFS(deployment!$H$4:$H$502, deployment!$D$4:$D$502,"="&amp;A408, deployment!$D$4:$D$502,"&lt;&gt;"&amp;""),"")</f>
        <v/>
      </c>
      <c r="J408" s="114" t="str">
        <f>IF(A408&lt;&gt;"",SUMIFS(deployment!$I$4:$I$502, deployment!$D$4:$D$502,"="&amp;A408, deployment!$D$4:$D$502,"&lt;&gt;"&amp;""),"")</f>
        <v/>
      </c>
      <c r="K408" s="182" t="str">
        <f>IF(A408&lt;&gt;"",SUMIFS(deployment!$J$4:$J$1002, deployment!$D$4:$D$1002,"="&amp;A408, deployment!$D$4:$D$1002,"&lt;&gt;"&amp;"", deployment!$C$4:$C$1002, "&lt;&gt;* )")+SUMIFS(namespace!$G$4:$G$1002, namespace!$B$4:$B$1002,"="&amp;A408, namespace!$B$4:$B$1002,"&lt;&gt;"&amp;""),"")</f>
        <v/>
      </c>
      <c r="L408" s="182" t="str">
        <f>IF(A408&lt;&gt;"",SUMIFS(deployment!$K$4:$K$1002, deployment!$D$4:$D$1002,"="&amp;A408, deployment!$D$4:$D$1002,"&lt;&gt;"&amp;"", deployment!$C$4:$C$1002, "&lt;&gt;* )")+SUMIFS(namespace!$H$4:$H$1002, namespace!$B$4:$B$1002,"="&amp;A408, namespace!$B$4:$B$1002,"&lt;&gt;"&amp;""),"")</f>
        <v/>
      </c>
      <c r="M408" s="115" t="str">
        <f>IF(A408&lt;&gt;"",SUMIFS(deployment!$L$4:$L$1002, deployment!$D$4:$D$1002,"="&amp;A408, deployment!$D$4:$D$1002,"&lt;&gt;"&amp;"", deployment!$C$4:$C$1002, "&lt;&gt;* )")+SUMIFS(namespace!$I$4:$I$1002, namespace!$B$4:$B$1002,"="&amp;A408, namespace!$B$4:$B$1002,"&lt;&gt;"&amp;""),"")</f>
        <v/>
      </c>
      <c r="N408" s="115" t="str">
        <f>IF(A408&lt;&gt;"",SUMIFS(deployment!$M$4:$M$1002, deployment!$D$4:$D$1002,"="&amp;A408, deployment!$D$4:$D$1002,"&lt;&gt;"&amp;"", deployment!$C$4:$C$1002, "&lt;&gt;* )")+SUMIFS(namespace!$J$4:$J$1002, namespace!$B$4:$B$1002,"="&amp;A408, namespace!$B$4:$B$1002,"&lt;&gt;"&amp;""),"")</f>
        <v/>
      </c>
      <c r="O408" s="116" t="str">
        <f t="shared" si="79"/>
        <v/>
      </c>
      <c r="P408" s="63"/>
      <c r="Q408" s="164" t="str">
        <f t="shared" si="74"/>
        <v/>
      </c>
      <c r="R408" s="60" t="str">
        <f t="shared" si="75"/>
        <v/>
      </c>
      <c r="S408" s="60" t="str">
        <f t="shared" si="76"/>
        <v/>
      </c>
      <c r="T408" s="61" t="str">
        <f t="shared" si="77"/>
        <v/>
      </c>
      <c r="U408" s="61" t="str">
        <f t="shared" si="78"/>
        <v/>
      </c>
      <c r="V408" s="183" t="str">
        <f t="shared" si="80"/>
        <v/>
      </c>
      <c r="W408" s="183" t="str">
        <f t="shared" si="81"/>
        <v/>
      </c>
      <c r="X408" s="61" t="str">
        <f t="shared" si="82"/>
        <v/>
      </c>
      <c r="Y408" s="61" t="str">
        <f t="shared" si="83"/>
        <v/>
      </c>
      <c r="Z408" s="118" t="str">
        <f t="shared" si="84"/>
        <v/>
      </c>
      <c r="AA408" s="62" t="str">
        <f t="shared" si="85"/>
        <v/>
      </c>
      <c r="AB408" s="119" t="str">
        <f>IF(A408&lt;&gt;"", IF(P408&lt;&gt;0,SUMIFS(node!$J$2:$J$1000, node!$C$2:$C$1000,"="&amp;A408)/P408,0), "")</f>
        <v/>
      </c>
      <c r="AC408" s="81" t="str">
        <f>IF(A408&lt;&gt;"", IF(P408&lt;&gt;0,SUMIFS(node!$K$2:$K$1000, node!$C$2:$C$1000,"="&amp;A408)/P408,0), "")</f>
        <v/>
      </c>
      <c r="AD408" s="82" t="str">
        <f>IF(A408&lt;&gt;"", SUMIFS(node!$L$2:$L$1000, node!$C$2:$C$1000,"="&amp;A408), "")</f>
        <v/>
      </c>
      <c r="AE408" s="87" t="str">
        <f>IF(A408&lt;&gt;"", SUMIFS(node!$M$2:$M$1000, node!$C$2:$C$1000,"="&amp;A408), "")</f>
        <v/>
      </c>
    </row>
    <row r="409" spans="1:31" ht="15.75" customHeight="1" x14ac:dyDescent="0.25">
      <c r="A409" s="71" t="str">
        <f>IF(ISNONTEXT(node_raw[[#This Row],[Column2]]), "", node_raw[[#This Row],[Column2]])</f>
        <v/>
      </c>
      <c r="B409" s="108" t="str">
        <f>IF(A409&lt;&gt;"", VLOOKUP(A409, node!$C$2:$D$1000, 2, FALSE), "")</f>
        <v/>
      </c>
      <c r="C409" s="109" t="str">
        <f>IF(A409&lt;&gt;"", VLOOKUP(A409, node!$C$2:$E$1000, 3, FALSE), "")</f>
        <v/>
      </c>
      <c r="D409" s="110" t="str">
        <f>IF(A409&lt;&gt;"",COUNTIFS(node!$C$2:$C$1000,"="&amp;A409, node!$C$2:$C$1000,"&lt;&gt;"&amp;""),"")</f>
        <v/>
      </c>
      <c r="E409" s="111" t="str">
        <f>IF(A409&lt;&gt;"",SUMIFS(node!$F$2:$F$500, node!$C$2:$C$500,"="&amp;A409, node!$C$2:$C$500,"&lt;&gt;"&amp;"")/(B409*D409),"")</f>
        <v/>
      </c>
      <c r="F409" s="112" t="str">
        <f>IF(A409&lt;&gt;"",SUMIFS(node!$H$2:$H$500, node!$C$2:$C$500,"="&amp;A409, node!$C$2:$C$500,"&lt;&gt;"&amp;"")/(C409*D409),"")</f>
        <v/>
      </c>
      <c r="G409" s="179" t="str">
        <f>IF(A409&lt;&gt;"",SUMIFS(deployment!$F$4:$F$502, deployment!$D$4:$D$502,"="&amp;A409, deployment!$D$4:$D$502,"&lt;&gt;"&amp;""),"")</f>
        <v/>
      </c>
      <c r="H409" s="181" t="str">
        <f>IF(A409&lt;&gt;"",SUMIFS(deployment!$G$4:$G$502, deployment!$D$4:$D$502,"="&amp;A409, deployment!$D$4:$D$502,"&lt;&gt;"&amp;""),"")</f>
        <v/>
      </c>
      <c r="I409" s="113" t="str">
        <f>IF(A409&lt;&gt;"",SUMIFS(deployment!$H$4:$H$502, deployment!$D$4:$D$502,"="&amp;A409, deployment!$D$4:$D$502,"&lt;&gt;"&amp;""),"")</f>
        <v/>
      </c>
      <c r="J409" s="114" t="str">
        <f>IF(A409&lt;&gt;"",SUMIFS(deployment!$I$4:$I$502, deployment!$D$4:$D$502,"="&amp;A409, deployment!$D$4:$D$502,"&lt;&gt;"&amp;""),"")</f>
        <v/>
      </c>
      <c r="K409" s="182" t="str">
        <f>IF(A409&lt;&gt;"",SUMIFS(deployment!$J$4:$J$1002, deployment!$D$4:$D$1002,"="&amp;A409, deployment!$D$4:$D$1002,"&lt;&gt;"&amp;"", deployment!$C$4:$C$1002, "&lt;&gt;* )")+SUMIFS(namespace!$G$4:$G$1002, namespace!$B$4:$B$1002,"="&amp;A409, namespace!$B$4:$B$1002,"&lt;&gt;"&amp;""),"")</f>
        <v/>
      </c>
      <c r="L409" s="182" t="str">
        <f>IF(A409&lt;&gt;"",SUMIFS(deployment!$K$4:$K$1002, deployment!$D$4:$D$1002,"="&amp;A409, deployment!$D$4:$D$1002,"&lt;&gt;"&amp;"", deployment!$C$4:$C$1002, "&lt;&gt;* )")+SUMIFS(namespace!$H$4:$H$1002, namespace!$B$4:$B$1002,"="&amp;A409, namespace!$B$4:$B$1002,"&lt;&gt;"&amp;""),"")</f>
        <v/>
      </c>
      <c r="M409" s="115" t="str">
        <f>IF(A409&lt;&gt;"",SUMIFS(deployment!$L$4:$L$1002, deployment!$D$4:$D$1002,"="&amp;A409, deployment!$D$4:$D$1002,"&lt;&gt;"&amp;"", deployment!$C$4:$C$1002, "&lt;&gt;* )")+SUMIFS(namespace!$I$4:$I$1002, namespace!$B$4:$B$1002,"="&amp;A409, namespace!$B$4:$B$1002,"&lt;&gt;"&amp;""),"")</f>
        <v/>
      </c>
      <c r="N409" s="115" t="str">
        <f>IF(A409&lt;&gt;"",SUMIFS(deployment!$M$4:$M$1002, deployment!$D$4:$D$1002,"="&amp;A409, deployment!$D$4:$D$1002,"&lt;&gt;"&amp;"", deployment!$C$4:$C$1002, "&lt;&gt;* )")+SUMIFS(namespace!$J$4:$J$1002, namespace!$B$4:$B$1002,"="&amp;A409, namespace!$B$4:$B$1002,"&lt;&gt;"&amp;""),"")</f>
        <v/>
      </c>
      <c r="O409" s="116" t="str">
        <f t="shared" si="79"/>
        <v/>
      </c>
      <c r="P409" s="63"/>
      <c r="Q409" s="164" t="str">
        <f t="shared" si="74"/>
        <v/>
      </c>
      <c r="R409" s="60" t="str">
        <f t="shared" si="75"/>
        <v/>
      </c>
      <c r="S409" s="60" t="str">
        <f t="shared" si="76"/>
        <v/>
      </c>
      <c r="T409" s="61" t="str">
        <f t="shared" si="77"/>
        <v/>
      </c>
      <c r="U409" s="61" t="str">
        <f t="shared" si="78"/>
        <v/>
      </c>
      <c r="V409" s="183" t="str">
        <f t="shared" si="80"/>
        <v/>
      </c>
      <c r="W409" s="183" t="str">
        <f t="shared" si="81"/>
        <v/>
      </c>
      <c r="X409" s="61" t="str">
        <f t="shared" si="82"/>
        <v/>
      </c>
      <c r="Y409" s="61" t="str">
        <f t="shared" si="83"/>
        <v/>
      </c>
      <c r="Z409" s="118" t="str">
        <f t="shared" si="84"/>
        <v/>
      </c>
      <c r="AA409" s="62" t="str">
        <f t="shared" si="85"/>
        <v/>
      </c>
      <c r="AB409" s="119" t="str">
        <f>IF(A409&lt;&gt;"", IF(P409&lt;&gt;0,SUMIFS(node!$J$2:$J$1000, node!$C$2:$C$1000,"="&amp;A409)/P409,0), "")</f>
        <v/>
      </c>
      <c r="AC409" s="81" t="str">
        <f>IF(A409&lt;&gt;"", IF(P409&lt;&gt;0,SUMIFS(node!$K$2:$K$1000, node!$C$2:$C$1000,"="&amp;A409)/P409,0), "")</f>
        <v/>
      </c>
      <c r="AD409" s="82" t="str">
        <f>IF(A409&lt;&gt;"", SUMIFS(node!$L$2:$L$1000, node!$C$2:$C$1000,"="&amp;A409), "")</f>
        <v/>
      </c>
      <c r="AE409" s="87" t="str">
        <f>IF(A409&lt;&gt;"", SUMIFS(node!$M$2:$M$1000, node!$C$2:$C$1000,"="&amp;A409), "")</f>
        <v/>
      </c>
    </row>
    <row r="410" spans="1:31" ht="15.75" customHeight="1" x14ac:dyDescent="0.25">
      <c r="A410" s="71" t="str">
        <f>IF(ISNONTEXT(node_raw[[#This Row],[Column2]]), "", node_raw[[#This Row],[Column2]])</f>
        <v/>
      </c>
      <c r="B410" s="108" t="str">
        <f>IF(A410&lt;&gt;"", VLOOKUP(A410, node!$C$2:$D$1000, 2, FALSE), "")</f>
        <v/>
      </c>
      <c r="C410" s="109" t="str">
        <f>IF(A410&lt;&gt;"", VLOOKUP(A410, node!$C$2:$E$1000, 3, FALSE), "")</f>
        <v/>
      </c>
      <c r="D410" s="110" t="str">
        <f>IF(A410&lt;&gt;"",COUNTIFS(node!$C$2:$C$1000,"="&amp;A410, node!$C$2:$C$1000,"&lt;&gt;"&amp;""),"")</f>
        <v/>
      </c>
      <c r="E410" s="111" t="str">
        <f>IF(A410&lt;&gt;"",SUMIFS(node!$F$2:$F$500, node!$C$2:$C$500,"="&amp;A410, node!$C$2:$C$500,"&lt;&gt;"&amp;"")/(B410*D410),"")</f>
        <v/>
      </c>
      <c r="F410" s="112" t="str">
        <f>IF(A410&lt;&gt;"",SUMIFS(node!$H$2:$H$500, node!$C$2:$C$500,"="&amp;A410, node!$C$2:$C$500,"&lt;&gt;"&amp;"")/(C410*D410),"")</f>
        <v/>
      </c>
      <c r="G410" s="179" t="str">
        <f>IF(A410&lt;&gt;"",SUMIFS(deployment!$F$4:$F$502, deployment!$D$4:$D$502,"="&amp;A410, deployment!$D$4:$D$502,"&lt;&gt;"&amp;""),"")</f>
        <v/>
      </c>
      <c r="H410" s="181" t="str">
        <f>IF(A410&lt;&gt;"",SUMIFS(deployment!$G$4:$G$502, deployment!$D$4:$D$502,"="&amp;A410, deployment!$D$4:$D$502,"&lt;&gt;"&amp;""),"")</f>
        <v/>
      </c>
      <c r="I410" s="113" t="str">
        <f>IF(A410&lt;&gt;"",SUMIFS(deployment!$H$4:$H$502, deployment!$D$4:$D$502,"="&amp;A410, deployment!$D$4:$D$502,"&lt;&gt;"&amp;""),"")</f>
        <v/>
      </c>
      <c r="J410" s="114" t="str">
        <f>IF(A410&lt;&gt;"",SUMIFS(deployment!$I$4:$I$502, deployment!$D$4:$D$502,"="&amp;A410, deployment!$D$4:$D$502,"&lt;&gt;"&amp;""),"")</f>
        <v/>
      </c>
      <c r="K410" s="182" t="str">
        <f>IF(A410&lt;&gt;"",SUMIFS(deployment!$J$4:$J$1002, deployment!$D$4:$D$1002,"="&amp;A410, deployment!$D$4:$D$1002,"&lt;&gt;"&amp;"", deployment!$C$4:$C$1002, "&lt;&gt;* )")+SUMIFS(namespace!$G$4:$G$1002, namespace!$B$4:$B$1002,"="&amp;A410, namespace!$B$4:$B$1002,"&lt;&gt;"&amp;""),"")</f>
        <v/>
      </c>
      <c r="L410" s="182" t="str">
        <f>IF(A410&lt;&gt;"",SUMIFS(deployment!$K$4:$K$1002, deployment!$D$4:$D$1002,"="&amp;A410, deployment!$D$4:$D$1002,"&lt;&gt;"&amp;"", deployment!$C$4:$C$1002, "&lt;&gt;* )")+SUMIFS(namespace!$H$4:$H$1002, namespace!$B$4:$B$1002,"="&amp;A410, namespace!$B$4:$B$1002,"&lt;&gt;"&amp;""),"")</f>
        <v/>
      </c>
      <c r="M410" s="115" t="str">
        <f>IF(A410&lt;&gt;"",SUMIFS(deployment!$L$4:$L$1002, deployment!$D$4:$D$1002,"="&amp;A410, deployment!$D$4:$D$1002,"&lt;&gt;"&amp;"", deployment!$C$4:$C$1002, "&lt;&gt;* )")+SUMIFS(namespace!$I$4:$I$1002, namespace!$B$4:$B$1002,"="&amp;A410, namespace!$B$4:$B$1002,"&lt;&gt;"&amp;""),"")</f>
        <v/>
      </c>
      <c r="N410" s="115" t="str">
        <f>IF(A410&lt;&gt;"",SUMIFS(deployment!$M$4:$M$1002, deployment!$D$4:$D$1002,"="&amp;A410, deployment!$D$4:$D$1002,"&lt;&gt;"&amp;"", deployment!$C$4:$C$1002, "&lt;&gt;* )")+SUMIFS(namespace!$J$4:$J$1002, namespace!$B$4:$B$1002,"="&amp;A410, namespace!$B$4:$B$1002,"&lt;&gt;"&amp;""),"")</f>
        <v/>
      </c>
      <c r="O410" s="116" t="str">
        <f t="shared" si="79"/>
        <v/>
      </c>
      <c r="P410" s="63"/>
      <c r="Q410" s="164" t="str">
        <f t="shared" si="74"/>
        <v/>
      </c>
      <c r="R410" s="60" t="str">
        <f t="shared" si="75"/>
        <v/>
      </c>
      <c r="S410" s="60" t="str">
        <f t="shared" si="76"/>
        <v/>
      </c>
      <c r="T410" s="61" t="str">
        <f t="shared" si="77"/>
        <v/>
      </c>
      <c r="U410" s="61" t="str">
        <f t="shared" si="78"/>
        <v/>
      </c>
      <c r="V410" s="183" t="str">
        <f t="shared" si="80"/>
        <v/>
      </c>
      <c r="W410" s="183" t="str">
        <f t="shared" si="81"/>
        <v/>
      </c>
      <c r="X410" s="61" t="str">
        <f t="shared" si="82"/>
        <v/>
      </c>
      <c r="Y410" s="61" t="str">
        <f t="shared" si="83"/>
        <v/>
      </c>
      <c r="Z410" s="118" t="str">
        <f t="shared" si="84"/>
        <v/>
      </c>
      <c r="AA410" s="62" t="str">
        <f t="shared" si="85"/>
        <v/>
      </c>
      <c r="AB410" s="119" t="str">
        <f>IF(A410&lt;&gt;"", IF(P410&lt;&gt;0,SUMIFS(node!$J$2:$J$1000, node!$C$2:$C$1000,"="&amp;A410)/P410,0), "")</f>
        <v/>
      </c>
      <c r="AC410" s="81" t="str">
        <f>IF(A410&lt;&gt;"", IF(P410&lt;&gt;0,SUMIFS(node!$K$2:$K$1000, node!$C$2:$C$1000,"="&amp;A410)/P410,0), "")</f>
        <v/>
      </c>
      <c r="AD410" s="82" t="str">
        <f>IF(A410&lt;&gt;"", SUMIFS(node!$L$2:$L$1000, node!$C$2:$C$1000,"="&amp;A410), "")</f>
        <v/>
      </c>
      <c r="AE410" s="87" t="str">
        <f>IF(A410&lt;&gt;"", SUMIFS(node!$M$2:$M$1000, node!$C$2:$C$1000,"="&amp;A410), "")</f>
        <v/>
      </c>
    </row>
    <row r="411" spans="1:31" ht="15.75" customHeight="1" x14ac:dyDescent="0.25">
      <c r="A411" s="71" t="str">
        <f>IF(ISNONTEXT(node_raw[[#This Row],[Column2]]), "", node_raw[[#This Row],[Column2]])</f>
        <v/>
      </c>
      <c r="B411" s="108" t="str">
        <f>IF(A411&lt;&gt;"", VLOOKUP(A411, node!$C$2:$D$1000, 2, FALSE), "")</f>
        <v/>
      </c>
      <c r="C411" s="109" t="str">
        <f>IF(A411&lt;&gt;"", VLOOKUP(A411, node!$C$2:$E$1000, 3, FALSE), "")</f>
        <v/>
      </c>
      <c r="D411" s="110" t="str">
        <f>IF(A411&lt;&gt;"",COUNTIFS(node!$C$2:$C$1000,"="&amp;A411, node!$C$2:$C$1000,"&lt;&gt;"&amp;""),"")</f>
        <v/>
      </c>
      <c r="E411" s="111" t="str">
        <f>IF(A411&lt;&gt;"",SUMIFS(node!$F$2:$F$500, node!$C$2:$C$500,"="&amp;A411, node!$C$2:$C$500,"&lt;&gt;"&amp;"")/(B411*D411),"")</f>
        <v/>
      </c>
      <c r="F411" s="112" t="str">
        <f>IF(A411&lt;&gt;"",SUMIFS(node!$H$2:$H$500, node!$C$2:$C$500,"="&amp;A411, node!$C$2:$C$500,"&lt;&gt;"&amp;"")/(C411*D411),"")</f>
        <v/>
      </c>
      <c r="G411" s="179" t="str">
        <f>IF(A411&lt;&gt;"",SUMIFS(deployment!$F$4:$F$502, deployment!$D$4:$D$502,"="&amp;A411, deployment!$D$4:$D$502,"&lt;&gt;"&amp;""),"")</f>
        <v/>
      </c>
      <c r="H411" s="181" t="str">
        <f>IF(A411&lt;&gt;"",SUMIFS(deployment!$G$4:$G$502, deployment!$D$4:$D$502,"="&amp;A411, deployment!$D$4:$D$502,"&lt;&gt;"&amp;""),"")</f>
        <v/>
      </c>
      <c r="I411" s="113" t="str">
        <f>IF(A411&lt;&gt;"",SUMIFS(deployment!$H$4:$H$502, deployment!$D$4:$D$502,"="&amp;A411, deployment!$D$4:$D$502,"&lt;&gt;"&amp;""),"")</f>
        <v/>
      </c>
      <c r="J411" s="114" t="str">
        <f>IF(A411&lt;&gt;"",SUMIFS(deployment!$I$4:$I$502, deployment!$D$4:$D$502,"="&amp;A411, deployment!$D$4:$D$502,"&lt;&gt;"&amp;""),"")</f>
        <v/>
      </c>
      <c r="K411" s="182" t="str">
        <f>IF(A411&lt;&gt;"",SUMIFS(deployment!$J$4:$J$1002, deployment!$D$4:$D$1002,"="&amp;A411, deployment!$D$4:$D$1002,"&lt;&gt;"&amp;"", deployment!$C$4:$C$1002, "&lt;&gt;* )")+SUMIFS(namespace!$G$4:$G$1002, namespace!$B$4:$B$1002,"="&amp;A411, namespace!$B$4:$B$1002,"&lt;&gt;"&amp;""),"")</f>
        <v/>
      </c>
      <c r="L411" s="182" t="str">
        <f>IF(A411&lt;&gt;"",SUMIFS(deployment!$K$4:$K$1002, deployment!$D$4:$D$1002,"="&amp;A411, deployment!$D$4:$D$1002,"&lt;&gt;"&amp;"", deployment!$C$4:$C$1002, "&lt;&gt;* )")+SUMIFS(namespace!$H$4:$H$1002, namespace!$B$4:$B$1002,"="&amp;A411, namespace!$B$4:$B$1002,"&lt;&gt;"&amp;""),"")</f>
        <v/>
      </c>
      <c r="M411" s="115" t="str">
        <f>IF(A411&lt;&gt;"",SUMIFS(deployment!$L$4:$L$1002, deployment!$D$4:$D$1002,"="&amp;A411, deployment!$D$4:$D$1002,"&lt;&gt;"&amp;"", deployment!$C$4:$C$1002, "&lt;&gt;* )")+SUMIFS(namespace!$I$4:$I$1002, namespace!$B$4:$B$1002,"="&amp;A411, namespace!$B$4:$B$1002,"&lt;&gt;"&amp;""),"")</f>
        <v/>
      </c>
      <c r="N411" s="115" t="str">
        <f>IF(A411&lt;&gt;"",SUMIFS(deployment!$M$4:$M$1002, deployment!$D$4:$D$1002,"="&amp;A411, deployment!$D$4:$D$1002,"&lt;&gt;"&amp;"", deployment!$C$4:$C$1002, "&lt;&gt;* )")+SUMIFS(namespace!$J$4:$J$1002, namespace!$B$4:$B$1002,"="&amp;A411, namespace!$B$4:$B$1002,"&lt;&gt;"&amp;""),"")</f>
        <v/>
      </c>
      <c r="O411" s="116" t="str">
        <f t="shared" si="79"/>
        <v/>
      </c>
      <c r="P411" s="63"/>
      <c r="Q411" s="164" t="str">
        <f t="shared" si="74"/>
        <v/>
      </c>
      <c r="R411" s="60" t="str">
        <f t="shared" si="75"/>
        <v/>
      </c>
      <c r="S411" s="60" t="str">
        <f t="shared" si="76"/>
        <v/>
      </c>
      <c r="T411" s="61" t="str">
        <f t="shared" si="77"/>
        <v/>
      </c>
      <c r="U411" s="61" t="str">
        <f t="shared" si="78"/>
        <v/>
      </c>
      <c r="V411" s="183" t="str">
        <f t="shared" si="80"/>
        <v/>
      </c>
      <c r="W411" s="183" t="str">
        <f t="shared" si="81"/>
        <v/>
      </c>
      <c r="X411" s="61" t="str">
        <f t="shared" si="82"/>
        <v/>
      </c>
      <c r="Y411" s="61" t="str">
        <f t="shared" si="83"/>
        <v/>
      </c>
      <c r="Z411" s="118" t="str">
        <f t="shared" si="84"/>
        <v/>
      </c>
      <c r="AA411" s="62" t="str">
        <f t="shared" si="85"/>
        <v/>
      </c>
      <c r="AB411" s="119" t="str">
        <f>IF(A411&lt;&gt;"", IF(P411&lt;&gt;0,SUMIFS(node!$J$2:$J$1000, node!$C$2:$C$1000,"="&amp;A411)/P411,0), "")</f>
        <v/>
      </c>
      <c r="AC411" s="81" t="str">
        <f>IF(A411&lt;&gt;"", IF(P411&lt;&gt;0,SUMIFS(node!$K$2:$K$1000, node!$C$2:$C$1000,"="&amp;A411)/P411,0), "")</f>
        <v/>
      </c>
      <c r="AD411" s="82" t="str">
        <f>IF(A411&lt;&gt;"", SUMIFS(node!$L$2:$L$1000, node!$C$2:$C$1000,"="&amp;A411), "")</f>
        <v/>
      </c>
      <c r="AE411" s="87" t="str">
        <f>IF(A411&lt;&gt;"", SUMIFS(node!$M$2:$M$1000, node!$C$2:$C$1000,"="&amp;A411), "")</f>
        <v/>
      </c>
    </row>
    <row r="412" spans="1:31" ht="15.75" customHeight="1" x14ac:dyDescent="0.25">
      <c r="A412" s="71" t="str">
        <f>IF(ISNONTEXT(node_raw[[#This Row],[Column2]]), "", node_raw[[#This Row],[Column2]])</f>
        <v/>
      </c>
      <c r="B412" s="108" t="str">
        <f>IF(A412&lt;&gt;"", VLOOKUP(A412, node!$C$2:$D$1000, 2, FALSE), "")</f>
        <v/>
      </c>
      <c r="C412" s="109" t="str">
        <f>IF(A412&lt;&gt;"", VLOOKUP(A412, node!$C$2:$E$1000, 3, FALSE), "")</f>
        <v/>
      </c>
      <c r="D412" s="110" t="str">
        <f>IF(A412&lt;&gt;"",COUNTIFS(node!$C$2:$C$1000,"="&amp;A412, node!$C$2:$C$1000,"&lt;&gt;"&amp;""),"")</f>
        <v/>
      </c>
      <c r="E412" s="111" t="str">
        <f>IF(A412&lt;&gt;"",SUMIFS(node!$F$2:$F$500, node!$C$2:$C$500,"="&amp;A412, node!$C$2:$C$500,"&lt;&gt;"&amp;"")/(B412*D412),"")</f>
        <v/>
      </c>
      <c r="F412" s="112" t="str">
        <f>IF(A412&lt;&gt;"",SUMIFS(node!$H$2:$H$500, node!$C$2:$C$500,"="&amp;A412, node!$C$2:$C$500,"&lt;&gt;"&amp;"")/(C412*D412),"")</f>
        <v/>
      </c>
      <c r="G412" s="179" t="str">
        <f>IF(A412&lt;&gt;"",SUMIFS(deployment!$F$4:$F$502, deployment!$D$4:$D$502,"="&amp;A412, deployment!$D$4:$D$502,"&lt;&gt;"&amp;""),"")</f>
        <v/>
      </c>
      <c r="H412" s="181" t="str">
        <f>IF(A412&lt;&gt;"",SUMIFS(deployment!$G$4:$G$502, deployment!$D$4:$D$502,"="&amp;A412, deployment!$D$4:$D$502,"&lt;&gt;"&amp;""),"")</f>
        <v/>
      </c>
      <c r="I412" s="113" t="str">
        <f>IF(A412&lt;&gt;"",SUMIFS(deployment!$H$4:$H$502, deployment!$D$4:$D$502,"="&amp;A412, deployment!$D$4:$D$502,"&lt;&gt;"&amp;""),"")</f>
        <v/>
      </c>
      <c r="J412" s="114" t="str">
        <f>IF(A412&lt;&gt;"",SUMIFS(deployment!$I$4:$I$502, deployment!$D$4:$D$502,"="&amp;A412, deployment!$D$4:$D$502,"&lt;&gt;"&amp;""),"")</f>
        <v/>
      </c>
      <c r="K412" s="182" t="str">
        <f>IF(A412&lt;&gt;"",SUMIFS(deployment!$J$4:$J$1002, deployment!$D$4:$D$1002,"="&amp;A412, deployment!$D$4:$D$1002,"&lt;&gt;"&amp;"", deployment!$C$4:$C$1002, "&lt;&gt;* )")+SUMIFS(namespace!$G$4:$G$1002, namespace!$B$4:$B$1002,"="&amp;A412, namespace!$B$4:$B$1002,"&lt;&gt;"&amp;""),"")</f>
        <v/>
      </c>
      <c r="L412" s="182" t="str">
        <f>IF(A412&lt;&gt;"",SUMIFS(deployment!$K$4:$K$1002, deployment!$D$4:$D$1002,"="&amp;A412, deployment!$D$4:$D$1002,"&lt;&gt;"&amp;"", deployment!$C$4:$C$1002, "&lt;&gt;* )")+SUMIFS(namespace!$H$4:$H$1002, namespace!$B$4:$B$1002,"="&amp;A412, namespace!$B$4:$B$1002,"&lt;&gt;"&amp;""),"")</f>
        <v/>
      </c>
      <c r="M412" s="115" t="str">
        <f>IF(A412&lt;&gt;"",SUMIFS(deployment!$L$4:$L$1002, deployment!$D$4:$D$1002,"="&amp;A412, deployment!$D$4:$D$1002,"&lt;&gt;"&amp;"", deployment!$C$4:$C$1002, "&lt;&gt;* )")+SUMIFS(namespace!$I$4:$I$1002, namespace!$B$4:$B$1002,"="&amp;A412, namespace!$B$4:$B$1002,"&lt;&gt;"&amp;""),"")</f>
        <v/>
      </c>
      <c r="N412" s="115" t="str">
        <f>IF(A412&lt;&gt;"",SUMIFS(deployment!$M$4:$M$1002, deployment!$D$4:$D$1002,"="&amp;A412, deployment!$D$4:$D$1002,"&lt;&gt;"&amp;"", deployment!$C$4:$C$1002, "&lt;&gt;* )")+SUMIFS(namespace!$J$4:$J$1002, namespace!$B$4:$B$1002,"="&amp;A412, namespace!$B$4:$B$1002,"&lt;&gt;"&amp;""),"")</f>
        <v/>
      </c>
      <c r="O412" s="116" t="str">
        <f t="shared" si="79"/>
        <v/>
      </c>
      <c r="P412" s="63"/>
      <c r="Q412" s="164" t="str">
        <f t="shared" si="74"/>
        <v/>
      </c>
      <c r="R412" s="60" t="str">
        <f t="shared" si="75"/>
        <v/>
      </c>
      <c r="S412" s="60" t="str">
        <f t="shared" si="76"/>
        <v/>
      </c>
      <c r="T412" s="61" t="str">
        <f t="shared" si="77"/>
        <v/>
      </c>
      <c r="U412" s="61" t="str">
        <f t="shared" si="78"/>
        <v/>
      </c>
      <c r="V412" s="183" t="str">
        <f t="shared" si="80"/>
        <v/>
      </c>
      <c r="W412" s="183" t="str">
        <f t="shared" si="81"/>
        <v/>
      </c>
      <c r="X412" s="61" t="str">
        <f t="shared" si="82"/>
        <v/>
      </c>
      <c r="Y412" s="61" t="str">
        <f t="shared" si="83"/>
        <v/>
      </c>
      <c r="Z412" s="118" t="str">
        <f t="shared" si="84"/>
        <v/>
      </c>
      <c r="AA412" s="62" t="str">
        <f t="shared" si="85"/>
        <v/>
      </c>
      <c r="AB412" s="119" t="str">
        <f>IF(A412&lt;&gt;"", IF(P412&lt;&gt;0,SUMIFS(node!$J$2:$J$1000, node!$C$2:$C$1000,"="&amp;A412)/P412,0), "")</f>
        <v/>
      </c>
      <c r="AC412" s="81" t="str">
        <f>IF(A412&lt;&gt;"", IF(P412&lt;&gt;0,SUMIFS(node!$K$2:$K$1000, node!$C$2:$C$1000,"="&amp;A412)/P412,0), "")</f>
        <v/>
      </c>
      <c r="AD412" s="82" t="str">
        <f>IF(A412&lt;&gt;"", SUMIFS(node!$L$2:$L$1000, node!$C$2:$C$1000,"="&amp;A412), "")</f>
        <v/>
      </c>
      <c r="AE412" s="87" t="str">
        <f>IF(A412&lt;&gt;"", SUMIFS(node!$M$2:$M$1000, node!$C$2:$C$1000,"="&amp;A412), "")</f>
        <v/>
      </c>
    </row>
    <row r="413" spans="1:31" ht="15.75" customHeight="1" x14ac:dyDescent="0.25">
      <c r="A413" s="71" t="str">
        <f>IF(ISNONTEXT(node_raw[[#This Row],[Column2]]), "", node_raw[[#This Row],[Column2]])</f>
        <v/>
      </c>
      <c r="B413" s="108" t="str">
        <f>IF(A413&lt;&gt;"", VLOOKUP(A413, node!$C$2:$D$1000, 2, FALSE), "")</f>
        <v/>
      </c>
      <c r="C413" s="109" t="str">
        <f>IF(A413&lt;&gt;"", VLOOKUP(A413, node!$C$2:$E$1000, 3, FALSE), "")</f>
        <v/>
      </c>
      <c r="D413" s="110" t="str">
        <f>IF(A413&lt;&gt;"",COUNTIFS(node!$C$2:$C$1000,"="&amp;A413, node!$C$2:$C$1000,"&lt;&gt;"&amp;""),"")</f>
        <v/>
      </c>
      <c r="E413" s="111" t="str">
        <f>IF(A413&lt;&gt;"",SUMIFS(node!$F$2:$F$500, node!$C$2:$C$500,"="&amp;A413, node!$C$2:$C$500,"&lt;&gt;"&amp;"")/(B413*D413),"")</f>
        <v/>
      </c>
      <c r="F413" s="112" t="str">
        <f>IF(A413&lt;&gt;"",SUMIFS(node!$H$2:$H$500, node!$C$2:$C$500,"="&amp;A413, node!$C$2:$C$500,"&lt;&gt;"&amp;"")/(C413*D413),"")</f>
        <v/>
      </c>
      <c r="G413" s="179" t="str">
        <f>IF(A413&lt;&gt;"",SUMIFS(deployment!$F$4:$F$502, deployment!$D$4:$D$502,"="&amp;A413, deployment!$D$4:$D$502,"&lt;&gt;"&amp;""),"")</f>
        <v/>
      </c>
      <c r="H413" s="181" t="str">
        <f>IF(A413&lt;&gt;"",SUMIFS(deployment!$G$4:$G$502, deployment!$D$4:$D$502,"="&amp;A413, deployment!$D$4:$D$502,"&lt;&gt;"&amp;""),"")</f>
        <v/>
      </c>
      <c r="I413" s="113" t="str">
        <f>IF(A413&lt;&gt;"",SUMIFS(deployment!$H$4:$H$502, deployment!$D$4:$D$502,"="&amp;A413, deployment!$D$4:$D$502,"&lt;&gt;"&amp;""),"")</f>
        <v/>
      </c>
      <c r="J413" s="114" t="str">
        <f>IF(A413&lt;&gt;"",SUMIFS(deployment!$I$4:$I$502, deployment!$D$4:$D$502,"="&amp;A413, deployment!$D$4:$D$502,"&lt;&gt;"&amp;""),"")</f>
        <v/>
      </c>
      <c r="K413" s="182" t="str">
        <f>IF(A413&lt;&gt;"",SUMIFS(deployment!$J$4:$J$1002, deployment!$D$4:$D$1002,"="&amp;A413, deployment!$D$4:$D$1002,"&lt;&gt;"&amp;"", deployment!$C$4:$C$1002, "&lt;&gt;* )")+SUMIFS(namespace!$G$4:$G$1002, namespace!$B$4:$B$1002,"="&amp;A413, namespace!$B$4:$B$1002,"&lt;&gt;"&amp;""),"")</f>
        <v/>
      </c>
      <c r="L413" s="182" t="str">
        <f>IF(A413&lt;&gt;"",SUMIFS(deployment!$K$4:$K$1002, deployment!$D$4:$D$1002,"="&amp;A413, deployment!$D$4:$D$1002,"&lt;&gt;"&amp;"", deployment!$C$4:$C$1002, "&lt;&gt;* )")+SUMIFS(namespace!$H$4:$H$1002, namespace!$B$4:$B$1002,"="&amp;A413, namespace!$B$4:$B$1002,"&lt;&gt;"&amp;""),"")</f>
        <v/>
      </c>
      <c r="M413" s="115" t="str">
        <f>IF(A413&lt;&gt;"",SUMIFS(deployment!$L$4:$L$1002, deployment!$D$4:$D$1002,"="&amp;A413, deployment!$D$4:$D$1002,"&lt;&gt;"&amp;"", deployment!$C$4:$C$1002, "&lt;&gt;* )")+SUMIFS(namespace!$I$4:$I$1002, namespace!$B$4:$B$1002,"="&amp;A413, namespace!$B$4:$B$1002,"&lt;&gt;"&amp;""),"")</f>
        <v/>
      </c>
      <c r="N413" s="115" t="str">
        <f>IF(A413&lt;&gt;"",SUMIFS(deployment!$M$4:$M$1002, deployment!$D$4:$D$1002,"="&amp;A413, deployment!$D$4:$D$1002,"&lt;&gt;"&amp;"", deployment!$C$4:$C$1002, "&lt;&gt;* )")+SUMIFS(namespace!$J$4:$J$1002, namespace!$B$4:$B$1002,"="&amp;A413, namespace!$B$4:$B$1002,"&lt;&gt;"&amp;""),"")</f>
        <v/>
      </c>
      <c r="O413" s="116" t="str">
        <f t="shared" si="79"/>
        <v/>
      </c>
      <c r="P413" s="63"/>
      <c r="Q413" s="164" t="str">
        <f t="shared" si="74"/>
        <v/>
      </c>
      <c r="R413" s="60" t="str">
        <f t="shared" si="75"/>
        <v/>
      </c>
      <c r="S413" s="60" t="str">
        <f t="shared" si="76"/>
        <v/>
      </c>
      <c r="T413" s="61" t="str">
        <f t="shared" si="77"/>
        <v/>
      </c>
      <c r="U413" s="61" t="str">
        <f t="shared" si="78"/>
        <v/>
      </c>
      <c r="V413" s="183" t="str">
        <f t="shared" si="80"/>
        <v/>
      </c>
      <c r="W413" s="183" t="str">
        <f t="shared" si="81"/>
        <v/>
      </c>
      <c r="X413" s="61" t="str">
        <f t="shared" si="82"/>
        <v/>
      </c>
      <c r="Y413" s="61" t="str">
        <f t="shared" si="83"/>
        <v/>
      </c>
      <c r="Z413" s="118" t="str">
        <f t="shared" si="84"/>
        <v/>
      </c>
      <c r="AA413" s="62" t="str">
        <f t="shared" si="85"/>
        <v/>
      </c>
      <c r="AB413" s="119" t="str">
        <f>IF(A413&lt;&gt;"", IF(P413&lt;&gt;0,SUMIFS(node!$J$2:$J$1000, node!$C$2:$C$1000,"="&amp;A413)/P413,0), "")</f>
        <v/>
      </c>
      <c r="AC413" s="81" t="str">
        <f>IF(A413&lt;&gt;"", IF(P413&lt;&gt;0,SUMIFS(node!$K$2:$K$1000, node!$C$2:$C$1000,"="&amp;A413)/P413,0), "")</f>
        <v/>
      </c>
      <c r="AD413" s="82" t="str">
        <f>IF(A413&lt;&gt;"", SUMIFS(node!$L$2:$L$1000, node!$C$2:$C$1000,"="&amp;A413), "")</f>
        <v/>
      </c>
      <c r="AE413" s="87" t="str">
        <f>IF(A413&lt;&gt;"", SUMIFS(node!$M$2:$M$1000, node!$C$2:$C$1000,"="&amp;A413), "")</f>
        <v/>
      </c>
    </row>
    <row r="414" spans="1:31" ht="15.75" customHeight="1" x14ac:dyDescent="0.25">
      <c r="A414" s="71" t="str">
        <f>IF(ISNONTEXT(node_raw[[#This Row],[Column2]]), "", node_raw[[#This Row],[Column2]])</f>
        <v/>
      </c>
      <c r="B414" s="108" t="str">
        <f>IF(A414&lt;&gt;"", VLOOKUP(A414, node!$C$2:$D$1000, 2, FALSE), "")</f>
        <v/>
      </c>
      <c r="C414" s="109" t="str">
        <f>IF(A414&lt;&gt;"", VLOOKUP(A414, node!$C$2:$E$1000, 3, FALSE), "")</f>
        <v/>
      </c>
      <c r="D414" s="110" t="str">
        <f>IF(A414&lt;&gt;"",COUNTIFS(node!$C$2:$C$1000,"="&amp;A414, node!$C$2:$C$1000,"&lt;&gt;"&amp;""),"")</f>
        <v/>
      </c>
      <c r="E414" s="111" t="str">
        <f>IF(A414&lt;&gt;"",SUMIFS(node!$F$2:$F$500, node!$C$2:$C$500,"="&amp;A414, node!$C$2:$C$500,"&lt;&gt;"&amp;"")/(B414*D414),"")</f>
        <v/>
      </c>
      <c r="F414" s="112" t="str">
        <f>IF(A414&lt;&gt;"",SUMIFS(node!$H$2:$H$500, node!$C$2:$C$500,"="&amp;A414, node!$C$2:$C$500,"&lt;&gt;"&amp;"")/(C414*D414),"")</f>
        <v/>
      </c>
      <c r="G414" s="179" t="str">
        <f>IF(A414&lt;&gt;"",SUMIFS(deployment!$F$4:$F$502, deployment!$D$4:$D$502,"="&amp;A414, deployment!$D$4:$D$502,"&lt;&gt;"&amp;""),"")</f>
        <v/>
      </c>
      <c r="H414" s="181" t="str">
        <f>IF(A414&lt;&gt;"",SUMIFS(deployment!$G$4:$G$502, deployment!$D$4:$D$502,"="&amp;A414, deployment!$D$4:$D$502,"&lt;&gt;"&amp;""),"")</f>
        <v/>
      </c>
      <c r="I414" s="113" t="str">
        <f>IF(A414&lt;&gt;"",SUMIFS(deployment!$H$4:$H$502, deployment!$D$4:$D$502,"="&amp;A414, deployment!$D$4:$D$502,"&lt;&gt;"&amp;""),"")</f>
        <v/>
      </c>
      <c r="J414" s="114" t="str">
        <f>IF(A414&lt;&gt;"",SUMIFS(deployment!$I$4:$I$502, deployment!$D$4:$D$502,"="&amp;A414, deployment!$D$4:$D$502,"&lt;&gt;"&amp;""),"")</f>
        <v/>
      </c>
      <c r="K414" s="182" t="str">
        <f>IF(A414&lt;&gt;"",SUMIFS(deployment!$J$4:$J$1002, deployment!$D$4:$D$1002,"="&amp;A414, deployment!$D$4:$D$1002,"&lt;&gt;"&amp;"", deployment!$C$4:$C$1002, "&lt;&gt;* )")+SUMIFS(namespace!$G$4:$G$1002, namespace!$B$4:$B$1002,"="&amp;A414, namespace!$B$4:$B$1002,"&lt;&gt;"&amp;""),"")</f>
        <v/>
      </c>
      <c r="L414" s="182" t="str">
        <f>IF(A414&lt;&gt;"",SUMIFS(deployment!$K$4:$K$1002, deployment!$D$4:$D$1002,"="&amp;A414, deployment!$D$4:$D$1002,"&lt;&gt;"&amp;"", deployment!$C$4:$C$1002, "&lt;&gt;* )")+SUMIFS(namespace!$H$4:$H$1002, namespace!$B$4:$B$1002,"="&amp;A414, namespace!$B$4:$B$1002,"&lt;&gt;"&amp;""),"")</f>
        <v/>
      </c>
      <c r="M414" s="115" t="str">
        <f>IF(A414&lt;&gt;"",SUMIFS(deployment!$L$4:$L$1002, deployment!$D$4:$D$1002,"="&amp;A414, deployment!$D$4:$D$1002,"&lt;&gt;"&amp;"", deployment!$C$4:$C$1002, "&lt;&gt;* )")+SUMIFS(namespace!$I$4:$I$1002, namespace!$B$4:$B$1002,"="&amp;A414, namespace!$B$4:$B$1002,"&lt;&gt;"&amp;""),"")</f>
        <v/>
      </c>
      <c r="N414" s="115" t="str">
        <f>IF(A414&lt;&gt;"",SUMIFS(deployment!$M$4:$M$1002, deployment!$D$4:$D$1002,"="&amp;A414, deployment!$D$4:$D$1002,"&lt;&gt;"&amp;"", deployment!$C$4:$C$1002, "&lt;&gt;* )")+SUMIFS(namespace!$J$4:$J$1002, namespace!$B$4:$B$1002,"="&amp;A414, namespace!$B$4:$B$1002,"&lt;&gt;"&amp;""),"")</f>
        <v/>
      </c>
      <c r="O414" s="116" t="str">
        <f t="shared" si="79"/>
        <v/>
      </c>
      <c r="P414" s="63"/>
      <c r="Q414" s="164" t="str">
        <f t="shared" si="74"/>
        <v/>
      </c>
      <c r="R414" s="60" t="str">
        <f t="shared" si="75"/>
        <v/>
      </c>
      <c r="S414" s="60" t="str">
        <f t="shared" si="76"/>
        <v/>
      </c>
      <c r="T414" s="61" t="str">
        <f t="shared" si="77"/>
        <v/>
      </c>
      <c r="U414" s="61" t="str">
        <f t="shared" si="78"/>
        <v/>
      </c>
      <c r="V414" s="183" t="str">
        <f t="shared" si="80"/>
        <v/>
      </c>
      <c r="W414" s="183" t="str">
        <f t="shared" si="81"/>
        <v/>
      </c>
      <c r="X414" s="61" t="str">
        <f t="shared" si="82"/>
        <v/>
      </c>
      <c r="Y414" s="61" t="str">
        <f t="shared" si="83"/>
        <v/>
      </c>
      <c r="Z414" s="118" t="str">
        <f t="shared" si="84"/>
        <v/>
      </c>
      <c r="AA414" s="62" t="str">
        <f t="shared" si="85"/>
        <v/>
      </c>
      <c r="AB414" s="119" t="str">
        <f>IF(A414&lt;&gt;"", IF(P414&lt;&gt;0,SUMIFS(node!$J$2:$J$1000, node!$C$2:$C$1000,"="&amp;A414)/P414,0), "")</f>
        <v/>
      </c>
      <c r="AC414" s="81" t="str">
        <f>IF(A414&lt;&gt;"", IF(P414&lt;&gt;0,SUMIFS(node!$K$2:$K$1000, node!$C$2:$C$1000,"="&amp;A414)/P414,0), "")</f>
        <v/>
      </c>
      <c r="AD414" s="82" t="str">
        <f>IF(A414&lt;&gt;"", SUMIFS(node!$L$2:$L$1000, node!$C$2:$C$1000,"="&amp;A414), "")</f>
        <v/>
      </c>
      <c r="AE414" s="87" t="str">
        <f>IF(A414&lt;&gt;"", SUMIFS(node!$M$2:$M$1000, node!$C$2:$C$1000,"="&amp;A414), "")</f>
        <v/>
      </c>
    </row>
    <row r="415" spans="1:31" ht="15.75" customHeight="1" x14ac:dyDescent="0.25">
      <c r="A415" s="71" t="str">
        <f>IF(ISNONTEXT(node_raw[[#This Row],[Column2]]), "", node_raw[[#This Row],[Column2]])</f>
        <v/>
      </c>
      <c r="B415" s="108" t="str">
        <f>IF(A415&lt;&gt;"", VLOOKUP(A415, node!$C$2:$D$1000, 2, FALSE), "")</f>
        <v/>
      </c>
      <c r="C415" s="109" t="str">
        <f>IF(A415&lt;&gt;"", VLOOKUP(A415, node!$C$2:$E$1000, 3, FALSE), "")</f>
        <v/>
      </c>
      <c r="D415" s="110" t="str">
        <f>IF(A415&lt;&gt;"",COUNTIFS(node!$C$2:$C$1000,"="&amp;A415, node!$C$2:$C$1000,"&lt;&gt;"&amp;""),"")</f>
        <v/>
      </c>
      <c r="E415" s="111" t="str">
        <f>IF(A415&lt;&gt;"",SUMIFS(node!$F$2:$F$500, node!$C$2:$C$500,"="&amp;A415, node!$C$2:$C$500,"&lt;&gt;"&amp;"")/(B415*D415),"")</f>
        <v/>
      </c>
      <c r="F415" s="112" t="str">
        <f>IF(A415&lt;&gt;"",SUMIFS(node!$H$2:$H$500, node!$C$2:$C$500,"="&amp;A415, node!$C$2:$C$500,"&lt;&gt;"&amp;"")/(C415*D415),"")</f>
        <v/>
      </c>
      <c r="G415" s="179" t="str">
        <f>IF(A415&lt;&gt;"",SUMIFS(deployment!$F$4:$F$502, deployment!$D$4:$D$502,"="&amp;A415, deployment!$D$4:$D$502,"&lt;&gt;"&amp;""),"")</f>
        <v/>
      </c>
      <c r="H415" s="181" t="str">
        <f>IF(A415&lt;&gt;"",SUMIFS(deployment!$G$4:$G$502, deployment!$D$4:$D$502,"="&amp;A415, deployment!$D$4:$D$502,"&lt;&gt;"&amp;""),"")</f>
        <v/>
      </c>
      <c r="I415" s="113" t="str">
        <f>IF(A415&lt;&gt;"",SUMIFS(deployment!$H$4:$H$502, deployment!$D$4:$D$502,"="&amp;A415, deployment!$D$4:$D$502,"&lt;&gt;"&amp;""),"")</f>
        <v/>
      </c>
      <c r="J415" s="114" t="str">
        <f>IF(A415&lt;&gt;"",SUMIFS(deployment!$I$4:$I$502, deployment!$D$4:$D$502,"="&amp;A415, deployment!$D$4:$D$502,"&lt;&gt;"&amp;""),"")</f>
        <v/>
      </c>
      <c r="K415" s="182" t="str">
        <f>IF(A415&lt;&gt;"",SUMIFS(deployment!$J$4:$J$1002, deployment!$D$4:$D$1002,"="&amp;A415, deployment!$D$4:$D$1002,"&lt;&gt;"&amp;"", deployment!$C$4:$C$1002, "&lt;&gt;* )")+SUMIFS(namespace!$G$4:$G$1002, namespace!$B$4:$B$1002,"="&amp;A415, namespace!$B$4:$B$1002,"&lt;&gt;"&amp;""),"")</f>
        <v/>
      </c>
      <c r="L415" s="182" t="str">
        <f>IF(A415&lt;&gt;"",SUMIFS(deployment!$K$4:$K$1002, deployment!$D$4:$D$1002,"="&amp;A415, deployment!$D$4:$D$1002,"&lt;&gt;"&amp;"", deployment!$C$4:$C$1002, "&lt;&gt;* )")+SUMIFS(namespace!$H$4:$H$1002, namespace!$B$4:$B$1002,"="&amp;A415, namespace!$B$4:$B$1002,"&lt;&gt;"&amp;""),"")</f>
        <v/>
      </c>
      <c r="M415" s="115" t="str">
        <f>IF(A415&lt;&gt;"",SUMIFS(deployment!$L$4:$L$1002, deployment!$D$4:$D$1002,"="&amp;A415, deployment!$D$4:$D$1002,"&lt;&gt;"&amp;"", deployment!$C$4:$C$1002, "&lt;&gt;* )")+SUMIFS(namespace!$I$4:$I$1002, namespace!$B$4:$B$1002,"="&amp;A415, namespace!$B$4:$B$1002,"&lt;&gt;"&amp;""),"")</f>
        <v/>
      </c>
      <c r="N415" s="115" t="str">
        <f>IF(A415&lt;&gt;"",SUMIFS(deployment!$M$4:$M$1002, deployment!$D$4:$D$1002,"="&amp;A415, deployment!$D$4:$D$1002,"&lt;&gt;"&amp;"", deployment!$C$4:$C$1002, "&lt;&gt;* )")+SUMIFS(namespace!$J$4:$J$1002, namespace!$B$4:$B$1002,"="&amp;A415, namespace!$B$4:$B$1002,"&lt;&gt;"&amp;""),"")</f>
        <v/>
      </c>
      <c r="O415" s="116" t="str">
        <f t="shared" si="79"/>
        <v/>
      </c>
      <c r="P415" s="63"/>
      <c r="Q415" s="164" t="str">
        <f t="shared" si="74"/>
        <v/>
      </c>
      <c r="R415" s="60" t="str">
        <f t="shared" si="75"/>
        <v/>
      </c>
      <c r="S415" s="60" t="str">
        <f t="shared" si="76"/>
        <v/>
      </c>
      <c r="T415" s="61" t="str">
        <f t="shared" si="77"/>
        <v/>
      </c>
      <c r="U415" s="61" t="str">
        <f t="shared" si="78"/>
        <v/>
      </c>
      <c r="V415" s="183" t="str">
        <f t="shared" si="80"/>
        <v/>
      </c>
      <c r="W415" s="183" t="str">
        <f t="shared" si="81"/>
        <v/>
      </c>
      <c r="X415" s="61" t="str">
        <f t="shared" si="82"/>
        <v/>
      </c>
      <c r="Y415" s="61" t="str">
        <f t="shared" si="83"/>
        <v/>
      </c>
      <c r="Z415" s="118" t="str">
        <f t="shared" si="84"/>
        <v/>
      </c>
      <c r="AA415" s="62" t="str">
        <f t="shared" si="85"/>
        <v/>
      </c>
      <c r="AB415" s="119" t="str">
        <f>IF(A415&lt;&gt;"", IF(P415&lt;&gt;0,SUMIFS(node!$J$2:$J$1000, node!$C$2:$C$1000,"="&amp;A415)/P415,0), "")</f>
        <v/>
      </c>
      <c r="AC415" s="81" t="str">
        <f>IF(A415&lt;&gt;"", IF(P415&lt;&gt;0,SUMIFS(node!$K$2:$K$1000, node!$C$2:$C$1000,"="&amp;A415)/P415,0), "")</f>
        <v/>
      </c>
      <c r="AD415" s="82" t="str">
        <f>IF(A415&lt;&gt;"", SUMIFS(node!$L$2:$L$1000, node!$C$2:$C$1000,"="&amp;A415), "")</f>
        <v/>
      </c>
      <c r="AE415" s="87" t="str">
        <f>IF(A415&lt;&gt;"", SUMIFS(node!$M$2:$M$1000, node!$C$2:$C$1000,"="&amp;A415), "")</f>
        <v/>
      </c>
    </row>
    <row r="416" spans="1:31" ht="15.75" customHeight="1" x14ac:dyDescent="0.25">
      <c r="A416" s="71" t="str">
        <f>IF(ISNONTEXT(node_raw[[#This Row],[Column2]]), "", node_raw[[#This Row],[Column2]])</f>
        <v/>
      </c>
      <c r="B416" s="108" t="str">
        <f>IF(A416&lt;&gt;"", VLOOKUP(A416, node!$C$2:$D$1000, 2, FALSE), "")</f>
        <v/>
      </c>
      <c r="C416" s="109" t="str">
        <f>IF(A416&lt;&gt;"", VLOOKUP(A416, node!$C$2:$E$1000, 3, FALSE), "")</f>
        <v/>
      </c>
      <c r="D416" s="110" t="str">
        <f>IF(A416&lt;&gt;"",COUNTIFS(node!$C$2:$C$1000,"="&amp;A416, node!$C$2:$C$1000,"&lt;&gt;"&amp;""),"")</f>
        <v/>
      </c>
      <c r="E416" s="111" t="str">
        <f>IF(A416&lt;&gt;"",SUMIFS(node!$F$2:$F$500, node!$C$2:$C$500,"="&amp;A416, node!$C$2:$C$500,"&lt;&gt;"&amp;"")/(B416*D416),"")</f>
        <v/>
      </c>
      <c r="F416" s="112" t="str">
        <f>IF(A416&lt;&gt;"",SUMIFS(node!$H$2:$H$500, node!$C$2:$C$500,"="&amp;A416, node!$C$2:$C$500,"&lt;&gt;"&amp;"")/(C416*D416),"")</f>
        <v/>
      </c>
      <c r="G416" s="179" t="str">
        <f>IF(A416&lt;&gt;"",SUMIFS(deployment!$F$4:$F$502, deployment!$D$4:$D$502,"="&amp;A416, deployment!$D$4:$D$502,"&lt;&gt;"&amp;""),"")</f>
        <v/>
      </c>
      <c r="H416" s="181" t="str">
        <f>IF(A416&lt;&gt;"",SUMIFS(deployment!$G$4:$G$502, deployment!$D$4:$D$502,"="&amp;A416, deployment!$D$4:$D$502,"&lt;&gt;"&amp;""),"")</f>
        <v/>
      </c>
      <c r="I416" s="113" t="str">
        <f>IF(A416&lt;&gt;"",SUMIFS(deployment!$H$4:$H$502, deployment!$D$4:$D$502,"="&amp;A416, deployment!$D$4:$D$502,"&lt;&gt;"&amp;""),"")</f>
        <v/>
      </c>
      <c r="J416" s="114" t="str">
        <f>IF(A416&lt;&gt;"",SUMIFS(deployment!$I$4:$I$502, deployment!$D$4:$D$502,"="&amp;A416, deployment!$D$4:$D$502,"&lt;&gt;"&amp;""),"")</f>
        <v/>
      </c>
      <c r="K416" s="182" t="str">
        <f>IF(A416&lt;&gt;"",SUMIFS(deployment!$J$4:$J$1002, deployment!$D$4:$D$1002,"="&amp;A416, deployment!$D$4:$D$1002,"&lt;&gt;"&amp;"", deployment!$C$4:$C$1002, "&lt;&gt;* )")+SUMIFS(namespace!$G$4:$G$1002, namespace!$B$4:$B$1002,"="&amp;A416, namespace!$B$4:$B$1002,"&lt;&gt;"&amp;""),"")</f>
        <v/>
      </c>
      <c r="L416" s="182" t="str">
        <f>IF(A416&lt;&gt;"",SUMIFS(deployment!$K$4:$K$1002, deployment!$D$4:$D$1002,"="&amp;A416, deployment!$D$4:$D$1002,"&lt;&gt;"&amp;"", deployment!$C$4:$C$1002, "&lt;&gt;* )")+SUMIFS(namespace!$H$4:$H$1002, namespace!$B$4:$B$1002,"="&amp;A416, namespace!$B$4:$B$1002,"&lt;&gt;"&amp;""),"")</f>
        <v/>
      </c>
      <c r="M416" s="115" t="str">
        <f>IF(A416&lt;&gt;"",SUMIFS(deployment!$L$4:$L$1002, deployment!$D$4:$D$1002,"="&amp;A416, deployment!$D$4:$D$1002,"&lt;&gt;"&amp;"", deployment!$C$4:$C$1002, "&lt;&gt;* )")+SUMIFS(namespace!$I$4:$I$1002, namespace!$B$4:$B$1002,"="&amp;A416, namespace!$B$4:$B$1002,"&lt;&gt;"&amp;""),"")</f>
        <v/>
      </c>
      <c r="N416" s="115" t="str">
        <f>IF(A416&lt;&gt;"",SUMIFS(deployment!$M$4:$M$1002, deployment!$D$4:$D$1002,"="&amp;A416, deployment!$D$4:$D$1002,"&lt;&gt;"&amp;"", deployment!$C$4:$C$1002, "&lt;&gt;* )")+SUMIFS(namespace!$J$4:$J$1002, namespace!$B$4:$B$1002,"="&amp;A416, namespace!$B$4:$B$1002,"&lt;&gt;"&amp;""),"")</f>
        <v/>
      </c>
      <c r="O416" s="116" t="str">
        <f t="shared" si="79"/>
        <v/>
      </c>
      <c r="P416" s="63"/>
      <c r="Q416" s="164" t="str">
        <f t="shared" si="74"/>
        <v/>
      </c>
      <c r="R416" s="60" t="str">
        <f t="shared" si="75"/>
        <v/>
      </c>
      <c r="S416" s="60" t="str">
        <f t="shared" si="76"/>
        <v/>
      </c>
      <c r="T416" s="61" t="str">
        <f t="shared" si="77"/>
        <v/>
      </c>
      <c r="U416" s="61" t="str">
        <f t="shared" si="78"/>
        <v/>
      </c>
      <c r="V416" s="183" t="str">
        <f t="shared" si="80"/>
        <v/>
      </c>
      <c r="W416" s="183" t="str">
        <f t="shared" si="81"/>
        <v/>
      </c>
      <c r="X416" s="61" t="str">
        <f t="shared" si="82"/>
        <v/>
      </c>
      <c r="Y416" s="61" t="str">
        <f t="shared" si="83"/>
        <v/>
      </c>
      <c r="Z416" s="118" t="str">
        <f t="shared" si="84"/>
        <v/>
      </c>
      <c r="AA416" s="62" t="str">
        <f t="shared" si="85"/>
        <v/>
      </c>
      <c r="AB416" s="119" t="str">
        <f>IF(A416&lt;&gt;"", IF(P416&lt;&gt;0,SUMIFS(node!$J$2:$J$1000, node!$C$2:$C$1000,"="&amp;A416)/P416,0), "")</f>
        <v/>
      </c>
      <c r="AC416" s="81" t="str">
        <f>IF(A416&lt;&gt;"", IF(P416&lt;&gt;0,SUMIFS(node!$K$2:$K$1000, node!$C$2:$C$1000,"="&amp;A416)/P416,0), "")</f>
        <v/>
      </c>
      <c r="AD416" s="82" t="str">
        <f>IF(A416&lt;&gt;"", SUMIFS(node!$L$2:$L$1000, node!$C$2:$C$1000,"="&amp;A416), "")</f>
        <v/>
      </c>
      <c r="AE416" s="87" t="str">
        <f>IF(A416&lt;&gt;"", SUMIFS(node!$M$2:$M$1000, node!$C$2:$C$1000,"="&amp;A416), "")</f>
        <v/>
      </c>
    </row>
    <row r="417" spans="1:31" ht="15.75" customHeight="1" x14ac:dyDescent="0.25">
      <c r="A417" s="71" t="str">
        <f>IF(ISNONTEXT(node_raw[[#This Row],[Column2]]), "", node_raw[[#This Row],[Column2]])</f>
        <v/>
      </c>
      <c r="B417" s="108" t="str">
        <f>IF(A417&lt;&gt;"", VLOOKUP(A417, node!$C$2:$D$1000, 2, FALSE), "")</f>
        <v/>
      </c>
      <c r="C417" s="109" t="str">
        <f>IF(A417&lt;&gt;"", VLOOKUP(A417, node!$C$2:$E$1000, 3, FALSE), "")</f>
        <v/>
      </c>
      <c r="D417" s="110" t="str">
        <f>IF(A417&lt;&gt;"",COUNTIFS(node!$C$2:$C$1000,"="&amp;A417, node!$C$2:$C$1000,"&lt;&gt;"&amp;""),"")</f>
        <v/>
      </c>
      <c r="E417" s="111" t="str">
        <f>IF(A417&lt;&gt;"",SUMIFS(node!$F$2:$F$500, node!$C$2:$C$500,"="&amp;A417, node!$C$2:$C$500,"&lt;&gt;"&amp;"")/(B417*D417),"")</f>
        <v/>
      </c>
      <c r="F417" s="112" t="str">
        <f>IF(A417&lt;&gt;"",SUMIFS(node!$H$2:$H$500, node!$C$2:$C$500,"="&amp;A417, node!$C$2:$C$500,"&lt;&gt;"&amp;"")/(C417*D417),"")</f>
        <v/>
      </c>
      <c r="G417" s="179" t="str">
        <f>IF(A417&lt;&gt;"",SUMIFS(deployment!$F$4:$F$502, deployment!$D$4:$D$502,"="&amp;A417, deployment!$D$4:$D$502,"&lt;&gt;"&amp;""),"")</f>
        <v/>
      </c>
      <c r="H417" s="181" t="str">
        <f>IF(A417&lt;&gt;"",SUMIFS(deployment!$G$4:$G$502, deployment!$D$4:$D$502,"="&amp;A417, deployment!$D$4:$D$502,"&lt;&gt;"&amp;""),"")</f>
        <v/>
      </c>
      <c r="I417" s="113" t="str">
        <f>IF(A417&lt;&gt;"",SUMIFS(deployment!$H$4:$H$502, deployment!$D$4:$D$502,"="&amp;A417, deployment!$D$4:$D$502,"&lt;&gt;"&amp;""),"")</f>
        <v/>
      </c>
      <c r="J417" s="114" t="str">
        <f>IF(A417&lt;&gt;"",SUMIFS(deployment!$I$4:$I$502, deployment!$D$4:$D$502,"="&amp;A417, deployment!$D$4:$D$502,"&lt;&gt;"&amp;""),"")</f>
        <v/>
      </c>
      <c r="K417" s="182" t="str">
        <f>IF(A417&lt;&gt;"",SUMIFS(deployment!$J$4:$J$1002, deployment!$D$4:$D$1002,"="&amp;A417, deployment!$D$4:$D$1002,"&lt;&gt;"&amp;"", deployment!$C$4:$C$1002, "&lt;&gt;* )")+SUMIFS(namespace!$G$4:$G$1002, namespace!$B$4:$B$1002,"="&amp;A417, namespace!$B$4:$B$1002,"&lt;&gt;"&amp;""),"")</f>
        <v/>
      </c>
      <c r="L417" s="182" t="str">
        <f>IF(A417&lt;&gt;"",SUMIFS(deployment!$K$4:$K$1002, deployment!$D$4:$D$1002,"="&amp;A417, deployment!$D$4:$D$1002,"&lt;&gt;"&amp;"", deployment!$C$4:$C$1002, "&lt;&gt;* )")+SUMIFS(namespace!$H$4:$H$1002, namespace!$B$4:$B$1002,"="&amp;A417, namespace!$B$4:$B$1002,"&lt;&gt;"&amp;""),"")</f>
        <v/>
      </c>
      <c r="M417" s="115" t="str">
        <f>IF(A417&lt;&gt;"",SUMIFS(deployment!$L$4:$L$1002, deployment!$D$4:$D$1002,"="&amp;A417, deployment!$D$4:$D$1002,"&lt;&gt;"&amp;"", deployment!$C$4:$C$1002, "&lt;&gt;* )")+SUMIFS(namespace!$I$4:$I$1002, namespace!$B$4:$B$1002,"="&amp;A417, namespace!$B$4:$B$1002,"&lt;&gt;"&amp;""),"")</f>
        <v/>
      </c>
      <c r="N417" s="115" t="str">
        <f>IF(A417&lt;&gt;"",SUMIFS(deployment!$M$4:$M$1002, deployment!$D$4:$D$1002,"="&amp;A417, deployment!$D$4:$D$1002,"&lt;&gt;"&amp;"", deployment!$C$4:$C$1002, "&lt;&gt;* )")+SUMIFS(namespace!$J$4:$J$1002, namespace!$B$4:$B$1002,"="&amp;A417, namespace!$B$4:$B$1002,"&lt;&gt;"&amp;""),"")</f>
        <v/>
      </c>
      <c r="O417" s="116" t="str">
        <f t="shared" si="79"/>
        <v/>
      </c>
      <c r="P417" s="63"/>
      <c r="Q417" s="164" t="str">
        <f t="shared" si="74"/>
        <v/>
      </c>
      <c r="R417" s="60" t="str">
        <f t="shared" si="75"/>
        <v/>
      </c>
      <c r="S417" s="60" t="str">
        <f t="shared" si="76"/>
        <v/>
      </c>
      <c r="T417" s="61" t="str">
        <f t="shared" si="77"/>
        <v/>
      </c>
      <c r="U417" s="61" t="str">
        <f t="shared" si="78"/>
        <v/>
      </c>
      <c r="V417" s="183" t="str">
        <f t="shared" si="80"/>
        <v/>
      </c>
      <c r="W417" s="183" t="str">
        <f t="shared" si="81"/>
        <v/>
      </c>
      <c r="X417" s="61" t="str">
        <f t="shared" si="82"/>
        <v/>
      </c>
      <c r="Y417" s="61" t="str">
        <f t="shared" si="83"/>
        <v/>
      </c>
      <c r="Z417" s="118" t="str">
        <f t="shared" si="84"/>
        <v/>
      </c>
      <c r="AA417" s="62" t="str">
        <f t="shared" si="85"/>
        <v/>
      </c>
      <c r="AB417" s="119" t="str">
        <f>IF(A417&lt;&gt;"", IF(P417&lt;&gt;0,SUMIFS(node!$J$2:$J$1000, node!$C$2:$C$1000,"="&amp;A417)/P417,0), "")</f>
        <v/>
      </c>
      <c r="AC417" s="81" t="str">
        <f>IF(A417&lt;&gt;"", IF(P417&lt;&gt;0,SUMIFS(node!$K$2:$K$1000, node!$C$2:$C$1000,"="&amp;A417)/P417,0), "")</f>
        <v/>
      </c>
      <c r="AD417" s="82" t="str">
        <f>IF(A417&lt;&gt;"", SUMIFS(node!$L$2:$L$1000, node!$C$2:$C$1000,"="&amp;A417), "")</f>
        <v/>
      </c>
      <c r="AE417" s="87" t="str">
        <f>IF(A417&lt;&gt;"", SUMIFS(node!$M$2:$M$1000, node!$C$2:$C$1000,"="&amp;A417), "")</f>
        <v/>
      </c>
    </row>
    <row r="418" spans="1:31" ht="15.75" customHeight="1" x14ac:dyDescent="0.25">
      <c r="A418" s="71" t="str">
        <f>IF(ISNONTEXT(node_raw[[#This Row],[Column2]]), "", node_raw[[#This Row],[Column2]])</f>
        <v/>
      </c>
      <c r="B418" s="108" t="str">
        <f>IF(A418&lt;&gt;"", VLOOKUP(A418, node!$C$2:$D$1000, 2, FALSE), "")</f>
        <v/>
      </c>
      <c r="C418" s="109" t="str">
        <f>IF(A418&lt;&gt;"", VLOOKUP(A418, node!$C$2:$E$1000, 3, FALSE), "")</f>
        <v/>
      </c>
      <c r="D418" s="110" t="str">
        <f>IF(A418&lt;&gt;"",COUNTIFS(node!$C$2:$C$1000,"="&amp;A418, node!$C$2:$C$1000,"&lt;&gt;"&amp;""),"")</f>
        <v/>
      </c>
      <c r="E418" s="111" t="str">
        <f>IF(A418&lt;&gt;"",SUMIFS(node!$F$2:$F$500, node!$C$2:$C$500,"="&amp;A418, node!$C$2:$C$500,"&lt;&gt;"&amp;"")/(B418*D418),"")</f>
        <v/>
      </c>
      <c r="F418" s="112" t="str">
        <f>IF(A418&lt;&gt;"",SUMIFS(node!$H$2:$H$500, node!$C$2:$C$500,"="&amp;A418, node!$C$2:$C$500,"&lt;&gt;"&amp;"")/(C418*D418),"")</f>
        <v/>
      </c>
      <c r="G418" s="179" t="str">
        <f>IF(A418&lt;&gt;"",SUMIFS(deployment!$F$4:$F$502, deployment!$D$4:$D$502,"="&amp;A418, deployment!$D$4:$D$502,"&lt;&gt;"&amp;""),"")</f>
        <v/>
      </c>
      <c r="H418" s="181" t="str">
        <f>IF(A418&lt;&gt;"",SUMIFS(deployment!$G$4:$G$502, deployment!$D$4:$D$502,"="&amp;A418, deployment!$D$4:$D$502,"&lt;&gt;"&amp;""),"")</f>
        <v/>
      </c>
      <c r="I418" s="113" t="str">
        <f>IF(A418&lt;&gt;"",SUMIFS(deployment!$H$4:$H$502, deployment!$D$4:$D$502,"="&amp;A418, deployment!$D$4:$D$502,"&lt;&gt;"&amp;""),"")</f>
        <v/>
      </c>
      <c r="J418" s="114" t="str">
        <f>IF(A418&lt;&gt;"",SUMIFS(deployment!$I$4:$I$502, deployment!$D$4:$D$502,"="&amp;A418, deployment!$D$4:$D$502,"&lt;&gt;"&amp;""),"")</f>
        <v/>
      </c>
      <c r="K418" s="182" t="str">
        <f>IF(A418&lt;&gt;"",SUMIFS(deployment!$J$4:$J$1002, deployment!$D$4:$D$1002,"="&amp;A418, deployment!$D$4:$D$1002,"&lt;&gt;"&amp;"", deployment!$C$4:$C$1002, "&lt;&gt;* )")+SUMIFS(namespace!$G$4:$G$1002, namespace!$B$4:$B$1002,"="&amp;A418, namespace!$B$4:$B$1002,"&lt;&gt;"&amp;""),"")</f>
        <v/>
      </c>
      <c r="L418" s="182" t="str">
        <f>IF(A418&lt;&gt;"",SUMIFS(deployment!$K$4:$K$1002, deployment!$D$4:$D$1002,"="&amp;A418, deployment!$D$4:$D$1002,"&lt;&gt;"&amp;"", deployment!$C$4:$C$1002, "&lt;&gt;* )")+SUMIFS(namespace!$H$4:$H$1002, namespace!$B$4:$B$1002,"="&amp;A418, namespace!$B$4:$B$1002,"&lt;&gt;"&amp;""),"")</f>
        <v/>
      </c>
      <c r="M418" s="115" t="str">
        <f>IF(A418&lt;&gt;"",SUMIFS(deployment!$L$4:$L$1002, deployment!$D$4:$D$1002,"="&amp;A418, deployment!$D$4:$D$1002,"&lt;&gt;"&amp;"", deployment!$C$4:$C$1002, "&lt;&gt;* )")+SUMIFS(namespace!$I$4:$I$1002, namespace!$B$4:$B$1002,"="&amp;A418, namespace!$B$4:$B$1002,"&lt;&gt;"&amp;""),"")</f>
        <v/>
      </c>
      <c r="N418" s="115" t="str">
        <f>IF(A418&lt;&gt;"",SUMIFS(deployment!$M$4:$M$1002, deployment!$D$4:$D$1002,"="&amp;A418, deployment!$D$4:$D$1002,"&lt;&gt;"&amp;"", deployment!$C$4:$C$1002, "&lt;&gt;* )")+SUMIFS(namespace!$J$4:$J$1002, namespace!$B$4:$B$1002,"="&amp;A418, namespace!$B$4:$B$1002,"&lt;&gt;"&amp;""),"")</f>
        <v/>
      </c>
      <c r="O418" s="116" t="str">
        <f t="shared" si="79"/>
        <v/>
      </c>
      <c r="P418" s="63"/>
      <c r="Q418" s="164" t="str">
        <f t="shared" si="74"/>
        <v/>
      </c>
      <c r="R418" s="60" t="str">
        <f t="shared" si="75"/>
        <v/>
      </c>
      <c r="S418" s="60" t="str">
        <f t="shared" si="76"/>
        <v/>
      </c>
      <c r="T418" s="61" t="str">
        <f t="shared" si="77"/>
        <v/>
      </c>
      <c r="U418" s="61" t="str">
        <f t="shared" si="78"/>
        <v/>
      </c>
      <c r="V418" s="183" t="str">
        <f t="shared" si="80"/>
        <v/>
      </c>
      <c r="W418" s="183" t="str">
        <f t="shared" si="81"/>
        <v/>
      </c>
      <c r="X418" s="61" t="str">
        <f t="shared" si="82"/>
        <v/>
      </c>
      <c r="Y418" s="61" t="str">
        <f t="shared" si="83"/>
        <v/>
      </c>
      <c r="Z418" s="118" t="str">
        <f t="shared" si="84"/>
        <v/>
      </c>
      <c r="AA418" s="62" t="str">
        <f t="shared" si="85"/>
        <v/>
      </c>
      <c r="AB418" s="119" t="str">
        <f>IF(A418&lt;&gt;"", IF(P418&lt;&gt;0,SUMIFS(node!$J$2:$J$1000, node!$C$2:$C$1000,"="&amp;A418)/P418,0), "")</f>
        <v/>
      </c>
      <c r="AC418" s="81" t="str">
        <f>IF(A418&lt;&gt;"", IF(P418&lt;&gt;0,SUMIFS(node!$K$2:$K$1000, node!$C$2:$C$1000,"="&amp;A418)/P418,0), "")</f>
        <v/>
      </c>
      <c r="AD418" s="82" t="str">
        <f>IF(A418&lt;&gt;"", SUMIFS(node!$L$2:$L$1000, node!$C$2:$C$1000,"="&amp;A418), "")</f>
        <v/>
      </c>
      <c r="AE418" s="87" t="str">
        <f>IF(A418&lt;&gt;"", SUMIFS(node!$M$2:$M$1000, node!$C$2:$C$1000,"="&amp;A418), "")</f>
        <v/>
      </c>
    </row>
    <row r="419" spans="1:31" ht="15.75" customHeight="1" x14ac:dyDescent="0.25">
      <c r="A419" s="71" t="str">
        <f>IF(ISNONTEXT(node_raw[[#This Row],[Column2]]), "", node_raw[[#This Row],[Column2]])</f>
        <v/>
      </c>
      <c r="B419" s="108" t="str">
        <f>IF(A419&lt;&gt;"", VLOOKUP(A419, node!$C$2:$D$1000, 2, FALSE), "")</f>
        <v/>
      </c>
      <c r="C419" s="109" t="str">
        <f>IF(A419&lt;&gt;"", VLOOKUP(A419, node!$C$2:$E$1000, 3, FALSE), "")</f>
        <v/>
      </c>
      <c r="D419" s="110" t="str">
        <f>IF(A419&lt;&gt;"",COUNTIFS(node!$C$2:$C$1000,"="&amp;A419, node!$C$2:$C$1000,"&lt;&gt;"&amp;""),"")</f>
        <v/>
      </c>
      <c r="E419" s="111" t="str">
        <f>IF(A419&lt;&gt;"",SUMIFS(node!$F$2:$F$500, node!$C$2:$C$500,"="&amp;A419, node!$C$2:$C$500,"&lt;&gt;"&amp;"")/(B419*D419),"")</f>
        <v/>
      </c>
      <c r="F419" s="112" t="str">
        <f>IF(A419&lt;&gt;"",SUMIFS(node!$H$2:$H$500, node!$C$2:$C$500,"="&amp;A419, node!$C$2:$C$500,"&lt;&gt;"&amp;"")/(C419*D419),"")</f>
        <v/>
      </c>
      <c r="G419" s="179" t="str">
        <f>IF(A419&lt;&gt;"",SUMIFS(deployment!$F$4:$F$502, deployment!$D$4:$D$502,"="&amp;A419, deployment!$D$4:$D$502,"&lt;&gt;"&amp;""),"")</f>
        <v/>
      </c>
      <c r="H419" s="181" t="str">
        <f>IF(A419&lt;&gt;"",SUMIFS(deployment!$G$4:$G$502, deployment!$D$4:$D$502,"="&amp;A419, deployment!$D$4:$D$502,"&lt;&gt;"&amp;""),"")</f>
        <v/>
      </c>
      <c r="I419" s="113" t="str">
        <f>IF(A419&lt;&gt;"",SUMIFS(deployment!$H$4:$H$502, deployment!$D$4:$D$502,"="&amp;A419, deployment!$D$4:$D$502,"&lt;&gt;"&amp;""),"")</f>
        <v/>
      </c>
      <c r="J419" s="114" t="str">
        <f>IF(A419&lt;&gt;"",SUMIFS(deployment!$I$4:$I$502, deployment!$D$4:$D$502,"="&amp;A419, deployment!$D$4:$D$502,"&lt;&gt;"&amp;""),"")</f>
        <v/>
      </c>
      <c r="K419" s="182" t="str">
        <f>IF(A419&lt;&gt;"",SUMIFS(deployment!$J$4:$J$1002, deployment!$D$4:$D$1002,"="&amp;A419, deployment!$D$4:$D$1002,"&lt;&gt;"&amp;"", deployment!$C$4:$C$1002, "&lt;&gt;* )")+SUMIFS(namespace!$G$4:$G$1002, namespace!$B$4:$B$1002,"="&amp;A419, namespace!$B$4:$B$1002,"&lt;&gt;"&amp;""),"")</f>
        <v/>
      </c>
      <c r="L419" s="182" t="str">
        <f>IF(A419&lt;&gt;"",SUMIFS(deployment!$K$4:$K$1002, deployment!$D$4:$D$1002,"="&amp;A419, deployment!$D$4:$D$1002,"&lt;&gt;"&amp;"", deployment!$C$4:$C$1002, "&lt;&gt;* )")+SUMIFS(namespace!$H$4:$H$1002, namespace!$B$4:$B$1002,"="&amp;A419, namespace!$B$4:$B$1002,"&lt;&gt;"&amp;""),"")</f>
        <v/>
      </c>
      <c r="M419" s="115" t="str">
        <f>IF(A419&lt;&gt;"",SUMIFS(deployment!$L$4:$L$1002, deployment!$D$4:$D$1002,"="&amp;A419, deployment!$D$4:$D$1002,"&lt;&gt;"&amp;"", deployment!$C$4:$C$1002, "&lt;&gt;* )")+SUMIFS(namespace!$I$4:$I$1002, namespace!$B$4:$B$1002,"="&amp;A419, namespace!$B$4:$B$1002,"&lt;&gt;"&amp;""),"")</f>
        <v/>
      </c>
      <c r="N419" s="115" t="str">
        <f>IF(A419&lt;&gt;"",SUMIFS(deployment!$M$4:$M$1002, deployment!$D$4:$D$1002,"="&amp;A419, deployment!$D$4:$D$1002,"&lt;&gt;"&amp;"", deployment!$C$4:$C$1002, "&lt;&gt;* )")+SUMIFS(namespace!$J$4:$J$1002, namespace!$B$4:$B$1002,"="&amp;A419, namespace!$B$4:$B$1002,"&lt;&gt;"&amp;""),"")</f>
        <v/>
      </c>
      <c r="O419" s="116" t="str">
        <f t="shared" si="79"/>
        <v/>
      </c>
      <c r="P419" s="63"/>
      <c r="Q419" s="164" t="str">
        <f t="shared" si="74"/>
        <v/>
      </c>
      <c r="R419" s="60" t="str">
        <f t="shared" si="75"/>
        <v/>
      </c>
      <c r="S419" s="60" t="str">
        <f t="shared" si="76"/>
        <v/>
      </c>
      <c r="T419" s="61" t="str">
        <f t="shared" si="77"/>
        <v/>
      </c>
      <c r="U419" s="61" t="str">
        <f t="shared" si="78"/>
        <v/>
      </c>
      <c r="V419" s="183" t="str">
        <f t="shared" si="80"/>
        <v/>
      </c>
      <c r="W419" s="183" t="str">
        <f t="shared" si="81"/>
        <v/>
      </c>
      <c r="X419" s="61" t="str">
        <f t="shared" si="82"/>
        <v/>
      </c>
      <c r="Y419" s="61" t="str">
        <f t="shared" si="83"/>
        <v/>
      </c>
      <c r="Z419" s="118" t="str">
        <f t="shared" si="84"/>
        <v/>
      </c>
      <c r="AA419" s="62" t="str">
        <f t="shared" si="85"/>
        <v/>
      </c>
      <c r="AB419" s="119" t="str">
        <f>IF(A419&lt;&gt;"", IF(P419&lt;&gt;0,SUMIFS(node!$J$2:$J$1000, node!$C$2:$C$1000,"="&amp;A419)/P419,0), "")</f>
        <v/>
      </c>
      <c r="AC419" s="81" t="str">
        <f>IF(A419&lt;&gt;"", IF(P419&lt;&gt;0,SUMIFS(node!$K$2:$K$1000, node!$C$2:$C$1000,"="&amp;A419)/P419,0), "")</f>
        <v/>
      </c>
      <c r="AD419" s="82" t="str">
        <f>IF(A419&lt;&gt;"", SUMIFS(node!$L$2:$L$1000, node!$C$2:$C$1000,"="&amp;A419), "")</f>
        <v/>
      </c>
      <c r="AE419" s="87" t="str">
        <f>IF(A419&lt;&gt;"", SUMIFS(node!$M$2:$M$1000, node!$C$2:$C$1000,"="&amp;A419), "")</f>
        <v/>
      </c>
    </row>
    <row r="420" spans="1:31" ht="15.75" customHeight="1" x14ac:dyDescent="0.25">
      <c r="A420" s="71" t="str">
        <f>IF(ISNONTEXT(node_raw[[#This Row],[Column2]]), "", node_raw[[#This Row],[Column2]])</f>
        <v/>
      </c>
      <c r="B420" s="108" t="str">
        <f>IF(A420&lt;&gt;"", VLOOKUP(A420, node!$C$2:$D$1000, 2, FALSE), "")</f>
        <v/>
      </c>
      <c r="C420" s="109" t="str">
        <f>IF(A420&lt;&gt;"", VLOOKUP(A420, node!$C$2:$E$1000, 3, FALSE), "")</f>
        <v/>
      </c>
      <c r="D420" s="110" t="str">
        <f>IF(A420&lt;&gt;"",COUNTIFS(node!$C$2:$C$1000,"="&amp;A420, node!$C$2:$C$1000,"&lt;&gt;"&amp;""),"")</f>
        <v/>
      </c>
      <c r="E420" s="111" t="str">
        <f>IF(A420&lt;&gt;"",SUMIFS(node!$F$2:$F$500, node!$C$2:$C$500,"="&amp;A420, node!$C$2:$C$500,"&lt;&gt;"&amp;"")/(B420*D420),"")</f>
        <v/>
      </c>
      <c r="F420" s="112" t="str">
        <f>IF(A420&lt;&gt;"",SUMIFS(node!$H$2:$H$500, node!$C$2:$C$500,"="&amp;A420, node!$C$2:$C$500,"&lt;&gt;"&amp;"")/(C420*D420),"")</f>
        <v/>
      </c>
      <c r="G420" s="179" t="str">
        <f>IF(A420&lt;&gt;"",SUMIFS(deployment!$F$4:$F$502, deployment!$D$4:$D$502,"="&amp;A420, deployment!$D$4:$D$502,"&lt;&gt;"&amp;""),"")</f>
        <v/>
      </c>
      <c r="H420" s="181" t="str">
        <f>IF(A420&lt;&gt;"",SUMIFS(deployment!$G$4:$G$502, deployment!$D$4:$D$502,"="&amp;A420, deployment!$D$4:$D$502,"&lt;&gt;"&amp;""),"")</f>
        <v/>
      </c>
      <c r="I420" s="113" t="str">
        <f>IF(A420&lt;&gt;"",SUMIFS(deployment!$H$4:$H$502, deployment!$D$4:$D$502,"="&amp;A420, deployment!$D$4:$D$502,"&lt;&gt;"&amp;""),"")</f>
        <v/>
      </c>
      <c r="J420" s="114" t="str">
        <f>IF(A420&lt;&gt;"",SUMIFS(deployment!$I$4:$I$502, deployment!$D$4:$D$502,"="&amp;A420, deployment!$D$4:$D$502,"&lt;&gt;"&amp;""),"")</f>
        <v/>
      </c>
      <c r="K420" s="182" t="str">
        <f>IF(A420&lt;&gt;"",SUMIFS(deployment!$J$4:$J$1002, deployment!$D$4:$D$1002,"="&amp;A420, deployment!$D$4:$D$1002,"&lt;&gt;"&amp;"", deployment!$C$4:$C$1002, "&lt;&gt;* )")+SUMIFS(namespace!$G$4:$G$1002, namespace!$B$4:$B$1002,"="&amp;A420, namespace!$B$4:$B$1002,"&lt;&gt;"&amp;""),"")</f>
        <v/>
      </c>
      <c r="L420" s="182" t="str">
        <f>IF(A420&lt;&gt;"",SUMIFS(deployment!$K$4:$K$1002, deployment!$D$4:$D$1002,"="&amp;A420, deployment!$D$4:$D$1002,"&lt;&gt;"&amp;"", deployment!$C$4:$C$1002, "&lt;&gt;* )")+SUMIFS(namespace!$H$4:$H$1002, namespace!$B$4:$B$1002,"="&amp;A420, namespace!$B$4:$B$1002,"&lt;&gt;"&amp;""),"")</f>
        <v/>
      </c>
      <c r="M420" s="115" t="str">
        <f>IF(A420&lt;&gt;"",SUMIFS(deployment!$L$4:$L$1002, deployment!$D$4:$D$1002,"="&amp;A420, deployment!$D$4:$D$1002,"&lt;&gt;"&amp;"", deployment!$C$4:$C$1002, "&lt;&gt;* )")+SUMIFS(namespace!$I$4:$I$1002, namespace!$B$4:$B$1002,"="&amp;A420, namespace!$B$4:$B$1002,"&lt;&gt;"&amp;""),"")</f>
        <v/>
      </c>
      <c r="N420" s="115" t="str">
        <f>IF(A420&lt;&gt;"",SUMIFS(deployment!$M$4:$M$1002, deployment!$D$4:$D$1002,"="&amp;A420, deployment!$D$4:$D$1002,"&lt;&gt;"&amp;"", deployment!$C$4:$C$1002, "&lt;&gt;* )")+SUMIFS(namespace!$J$4:$J$1002, namespace!$B$4:$B$1002,"="&amp;A420, namespace!$B$4:$B$1002,"&lt;&gt;"&amp;""),"")</f>
        <v/>
      </c>
      <c r="O420" s="116" t="str">
        <f t="shared" si="79"/>
        <v/>
      </c>
      <c r="P420" s="63"/>
      <c r="Q420" s="164" t="str">
        <f t="shared" si="74"/>
        <v/>
      </c>
      <c r="R420" s="60" t="str">
        <f t="shared" si="75"/>
        <v/>
      </c>
      <c r="S420" s="60" t="str">
        <f t="shared" si="76"/>
        <v/>
      </c>
      <c r="T420" s="61" t="str">
        <f t="shared" si="77"/>
        <v/>
      </c>
      <c r="U420" s="61" t="str">
        <f t="shared" si="78"/>
        <v/>
      </c>
      <c r="V420" s="183" t="str">
        <f t="shared" si="80"/>
        <v/>
      </c>
      <c r="W420" s="183" t="str">
        <f t="shared" si="81"/>
        <v/>
      </c>
      <c r="X420" s="61" t="str">
        <f t="shared" si="82"/>
        <v/>
      </c>
      <c r="Y420" s="61" t="str">
        <f t="shared" si="83"/>
        <v/>
      </c>
      <c r="Z420" s="118" t="str">
        <f t="shared" si="84"/>
        <v/>
      </c>
      <c r="AA420" s="62" t="str">
        <f t="shared" si="85"/>
        <v/>
      </c>
      <c r="AB420" s="119" t="str">
        <f>IF(A420&lt;&gt;"", IF(P420&lt;&gt;0,SUMIFS(node!$J$2:$J$1000, node!$C$2:$C$1000,"="&amp;A420)/P420,0), "")</f>
        <v/>
      </c>
      <c r="AC420" s="81" t="str">
        <f>IF(A420&lt;&gt;"", IF(P420&lt;&gt;0,SUMIFS(node!$K$2:$K$1000, node!$C$2:$C$1000,"="&amp;A420)/P420,0), "")</f>
        <v/>
      </c>
      <c r="AD420" s="82" t="str">
        <f>IF(A420&lt;&gt;"", SUMIFS(node!$L$2:$L$1000, node!$C$2:$C$1000,"="&amp;A420), "")</f>
        <v/>
      </c>
      <c r="AE420" s="87" t="str">
        <f>IF(A420&lt;&gt;"", SUMIFS(node!$M$2:$M$1000, node!$C$2:$C$1000,"="&amp;A420), "")</f>
        <v/>
      </c>
    </row>
    <row r="421" spans="1:31" ht="15.75" customHeight="1" x14ac:dyDescent="0.25">
      <c r="A421" s="71" t="str">
        <f>IF(ISNONTEXT(node_raw[[#This Row],[Column2]]), "", node_raw[[#This Row],[Column2]])</f>
        <v/>
      </c>
      <c r="B421" s="108" t="str">
        <f>IF(A421&lt;&gt;"", VLOOKUP(A421, node!$C$2:$D$1000, 2, FALSE), "")</f>
        <v/>
      </c>
      <c r="C421" s="109" t="str">
        <f>IF(A421&lt;&gt;"", VLOOKUP(A421, node!$C$2:$E$1000, 3, FALSE), "")</f>
        <v/>
      </c>
      <c r="D421" s="110" t="str">
        <f>IF(A421&lt;&gt;"",COUNTIFS(node!$C$2:$C$1000,"="&amp;A421, node!$C$2:$C$1000,"&lt;&gt;"&amp;""),"")</f>
        <v/>
      </c>
      <c r="E421" s="111" t="str">
        <f>IF(A421&lt;&gt;"",SUMIFS(node!$F$2:$F$500, node!$C$2:$C$500,"="&amp;A421, node!$C$2:$C$500,"&lt;&gt;"&amp;"")/(B421*D421),"")</f>
        <v/>
      </c>
      <c r="F421" s="112" t="str">
        <f>IF(A421&lt;&gt;"",SUMIFS(node!$H$2:$H$500, node!$C$2:$C$500,"="&amp;A421, node!$C$2:$C$500,"&lt;&gt;"&amp;"")/(C421*D421),"")</f>
        <v/>
      </c>
      <c r="G421" s="179" t="str">
        <f>IF(A421&lt;&gt;"",SUMIFS(deployment!$F$4:$F$502, deployment!$D$4:$D$502,"="&amp;A421, deployment!$D$4:$D$502,"&lt;&gt;"&amp;""),"")</f>
        <v/>
      </c>
      <c r="H421" s="181" t="str">
        <f>IF(A421&lt;&gt;"",SUMIFS(deployment!$G$4:$G$502, deployment!$D$4:$D$502,"="&amp;A421, deployment!$D$4:$D$502,"&lt;&gt;"&amp;""),"")</f>
        <v/>
      </c>
      <c r="I421" s="113" t="str">
        <f>IF(A421&lt;&gt;"",SUMIFS(deployment!$H$4:$H$502, deployment!$D$4:$D$502,"="&amp;A421, deployment!$D$4:$D$502,"&lt;&gt;"&amp;""),"")</f>
        <v/>
      </c>
      <c r="J421" s="114" t="str">
        <f>IF(A421&lt;&gt;"",SUMIFS(deployment!$I$4:$I$502, deployment!$D$4:$D$502,"="&amp;A421, deployment!$D$4:$D$502,"&lt;&gt;"&amp;""),"")</f>
        <v/>
      </c>
      <c r="K421" s="182" t="str">
        <f>IF(A421&lt;&gt;"",SUMIFS(deployment!$J$4:$J$1002, deployment!$D$4:$D$1002,"="&amp;A421, deployment!$D$4:$D$1002,"&lt;&gt;"&amp;"", deployment!$C$4:$C$1002, "&lt;&gt;* )")+SUMIFS(namespace!$G$4:$G$1002, namespace!$B$4:$B$1002,"="&amp;A421, namespace!$B$4:$B$1002,"&lt;&gt;"&amp;""),"")</f>
        <v/>
      </c>
      <c r="L421" s="182" t="str">
        <f>IF(A421&lt;&gt;"",SUMIFS(deployment!$K$4:$K$1002, deployment!$D$4:$D$1002,"="&amp;A421, deployment!$D$4:$D$1002,"&lt;&gt;"&amp;"", deployment!$C$4:$C$1002, "&lt;&gt;* )")+SUMIFS(namespace!$H$4:$H$1002, namespace!$B$4:$B$1002,"="&amp;A421, namespace!$B$4:$B$1002,"&lt;&gt;"&amp;""),"")</f>
        <v/>
      </c>
      <c r="M421" s="115" t="str">
        <f>IF(A421&lt;&gt;"",SUMIFS(deployment!$L$4:$L$1002, deployment!$D$4:$D$1002,"="&amp;A421, deployment!$D$4:$D$1002,"&lt;&gt;"&amp;"", deployment!$C$4:$C$1002, "&lt;&gt;* )")+SUMIFS(namespace!$I$4:$I$1002, namespace!$B$4:$B$1002,"="&amp;A421, namespace!$B$4:$B$1002,"&lt;&gt;"&amp;""),"")</f>
        <v/>
      </c>
      <c r="N421" s="115" t="str">
        <f>IF(A421&lt;&gt;"",SUMIFS(deployment!$M$4:$M$1002, deployment!$D$4:$D$1002,"="&amp;A421, deployment!$D$4:$D$1002,"&lt;&gt;"&amp;"", deployment!$C$4:$C$1002, "&lt;&gt;* )")+SUMIFS(namespace!$J$4:$J$1002, namespace!$B$4:$B$1002,"="&amp;A421, namespace!$B$4:$B$1002,"&lt;&gt;"&amp;""),"")</f>
        <v/>
      </c>
      <c r="O421" s="116" t="str">
        <f t="shared" si="79"/>
        <v/>
      </c>
      <c r="P421" s="63"/>
      <c r="Q421" s="164" t="str">
        <f t="shared" si="74"/>
        <v/>
      </c>
      <c r="R421" s="60" t="str">
        <f t="shared" si="75"/>
        <v/>
      </c>
      <c r="S421" s="60" t="str">
        <f t="shared" si="76"/>
        <v/>
      </c>
      <c r="T421" s="61" t="str">
        <f t="shared" si="77"/>
        <v/>
      </c>
      <c r="U421" s="61" t="str">
        <f t="shared" si="78"/>
        <v/>
      </c>
      <c r="V421" s="183" t="str">
        <f t="shared" si="80"/>
        <v/>
      </c>
      <c r="W421" s="183" t="str">
        <f t="shared" si="81"/>
        <v/>
      </c>
      <c r="X421" s="61" t="str">
        <f t="shared" si="82"/>
        <v/>
      </c>
      <c r="Y421" s="61" t="str">
        <f t="shared" si="83"/>
        <v/>
      </c>
      <c r="Z421" s="118" t="str">
        <f t="shared" si="84"/>
        <v/>
      </c>
      <c r="AA421" s="62" t="str">
        <f t="shared" si="85"/>
        <v/>
      </c>
      <c r="AB421" s="119" t="str">
        <f>IF(A421&lt;&gt;"", IF(P421&lt;&gt;0,SUMIFS(node!$J$2:$J$1000, node!$C$2:$C$1000,"="&amp;A421)/P421,0), "")</f>
        <v/>
      </c>
      <c r="AC421" s="81" t="str">
        <f>IF(A421&lt;&gt;"", IF(P421&lt;&gt;0,SUMIFS(node!$K$2:$K$1000, node!$C$2:$C$1000,"="&amp;A421)/P421,0), "")</f>
        <v/>
      </c>
      <c r="AD421" s="82" t="str">
        <f>IF(A421&lt;&gt;"", SUMIFS(node!$L$2:$L$1000, node!$C$2:$C$1000,"="&amp;A421), "")</f>
        <v/>
      </c>
      <c r="AE421" s="87" t="str">
        <f>IF(A421&lt;&gt;"", SUMIFS(node!$M$2:$M$1000, node!$C$2:$C$1000,"="&amp;A421), "")</f>
        <v/>
      </c>
    </row>
    <row r="422" spans="1:31" ht="15.75" customHeight="1" x14ac:dyDescent="0.25">
      <c r="A422" s="71" t="str">
        <f>IF(ISNONTEXT(node_raw[[#This Row],[Column2]]), "", node_raw[[#This Row],[Column2]])</f>
        <v/>
      </c>
      <c r="B422" s="108" t="str">
        <f>IF(A422&lt;&gt;"", VLOOKUP(A422, node!$C$2:$D$1000, 2, FALSE), "")</f>
        <v/>
      </c>
      <c r="C422" s="109" t="str">
        <f>IF(A422&lt;&gt;"", VLOOKUP(A422, node!$C$2:$E$1000, 3, FALSE), "")</f>
        <v/>
      </c>
      <c r="D422" s="110" t="str">
        <f>IF(A422&lt;&gt;"",COUNTIFS(node!$C$2:$C$1000,"="&amp;A422, node!$C$2:$C$1000,"&lt;&gt;"&amp;""),"")</f>
        <v/>
      </c>
      <c r="E422" s="111" t="str">
        <f>IF(A422&lt;&gt;"",SUMIFS(node!$F$2:$F$500, node!$C$2:$C$500,"="&amp;A422, node!$C$2:$C$500,"&lt;&gt;"&amp;"")/(B422*D422),"")</f>
        <v/>
      </c>
      <c r="F422" s="112" t="str">
        <f>IF(A422&lt;&gt;"",SUMIFS(node!$H$2:$H$500, node!$C$2:$C$500,"="&amp;A422, node!$C$2:$C$500,"&lt;&gt;"&amp;"")/(C422*D422),"")</f>
        <v/>
      </c>
      <c r="G422" s="179" t="str">
        <f>IF(A422&lt;&gt;"",SUMIFS(deployment!$F$4:$F$502, deployment!$D$4:$D$502,"="&amp;A422, deployment!$D$4:$D$502,"&lt;&gt;"&amp;""),"")</f>
        <v/>
      </c>
      <c r="H422" s="181" t="str">
        <f>IF(A422&lt;&gt;"",SUMIFS(deployment!$G$4:$G$502, deployment!$D$4:$D$502,"="&amp;A422, deployment!$D$4:$D$502,"&lt;&gt;"&amp;""),"")</f>
        <v/>
      </c>
      <c r="I422" s="113" t="str">
        <f>IF(A422&lt;&gt;"",SUMIFS(deployment!$H$4:$H$502, deployment!$D$4:$D$502,"="&amp;A422, deployment!$D$4:$D$502,"&lt;&gt;"&amp;""),"")</f>
        <v/>
      </c>
      <c r="J422" s="114" t="str">
        <f>IF(A422&lt;&gt;"",SUMIFS(deployment!$I$4:$I$502, deployment!$D$4:$D$502,"="&amp;A422, deployment!$D$4:$D$502,"&lt;&gt;"&amp;""),"")</f>
        <v/>
      </c>
      <c r="K422" s="182" t="str">
        <f>IF(A422&lt;&gt;"",SUMIFS(deployment!$J$4:$J$1002, deployment!$D$4:$D$1002,"="&amp;A422, deployment!$D$4:$D$1002,"&lt;&gt;"&amp;"", deployment!$C$4:$C$1002, "&lt;&gt;* )")+SUMIFS(namespace!$G$4:$G$1002, namespace!$B$4:$B$1002,"="&amp;A422, namespace!$B$4:$B$1002,"&lt;&gt;"&amp;""),"")</f>
        <v/>
      </c>
      <c r="L422" s="182" t="str">
        <f>IF(A422&lt;&gt;"",SUMIFS(deployment!$K$4:$K$1002, deployment!$D$4:$D$1002,"="&amp;A422, deployment!$D$4:$D$1002,"&lt;&gt;"&amp;"", deployment!$C$4:$C$1002, "&lt;&gt;* )")+SUMIFS(namespace!$H$4:$H$1002, namespace!$B$4:$B$1002,"="&amp;A422, namespace!$B$4:$B$1002,"&lt;&gt;"&amp;""),"")</f>
        <v/>
      </c>
      <c r="M422" s="115" t="str">
        <f>IF(A422&lt;&gt;"",SUMIFS(deployment!$L$4:$L$1002, deployment!$D$4:$D$1002,"="&amp;A422, deployment!$D$4:$D$1002,"&lt;&gt;"&amp;"", deployment!$C$4:$C$1002, "&lt;&gt;* )")+SUMIFS(namespace!$I$4:$I$1002, namespace!$B$4:$B$1002,"="&amp;A422, namespace!$B$4:$B$1002,"&lt;&gt;"&amp;""),"")</f>
        <v/>
      </c>
      <c r="N422" s="115" t="str">
        <f>IF(A422&lt;&gt;"",SUMIFS(deployment!$M$4:$M$1002, deployment!$D$4:$D$1002,"="&amp;A422, deployment!$D$4:$D$1002,"&lt;&gt;"&amp;"", deployment!$C$4:$C$1002, "&lt;&gt;* )")+SUMIFS(namespace!$J$4:$J$1002, namespace!$B$4:$B$1002,"="&amp;A422, namespace!$B$4:$B$1002,"&lt;&gt;"&amp;""),"")</f>
        <v/>
      </c>
      <c r="O422" s="116" t="str">
        <f t="shared" si="79"/>
        <v/>
      </c>
      <c r="P422" s="63"/>
      <c r="Q422" s="164" t="str">
        <f t="shared" si="74"/>
        <v/>
      </c>
      <c r="R422" s="60" t="str">
        <f t="shared" si="75"/>
        <v/>
      </c>
      <c r="S422" s="60" t="str">
        <f t="shared" si="76"/>
        <v/>
      </c>
      <c r="T422" s="61" t="str">
        <f t="shared" si="77"/>
        <v/>
      </c>
      <c r="U422" s="61" t="str">
        <f t="shared" si="78"/>
        <v/>
      </c>
      <c r="V422" s="183" t="str">
        <f t="shared" si="80"/>
        <v/>
      </c>
      <c r="W422" s="183" t="str">
        <f t="shared" si="81"/>
        <v/>
      </c>
      <c r="X422" s="61" t="str">
        <f t="shared" si="82"/>
        <v/>
      </c>
      <c r="Y422" s="61" t="str">
        <f t="shared" si="83"/>
        <v/>
      </c>
      <c r="Z422" s="118" t="str">
        <f t="shared" si="84"/>
        <v/>
      </c>
      <c r="AA422" s="62" t="str">
        <f t="shared" si="85"/>
        <v/>
      </c>
      <c r="AB422" s="119" t="str">
        <f>IF(A422&lt;&gt;"", IF(P422&lt;&gt;0,SUMIFS(node!$J$2:$J$1000, node!$C$2:$C$1000,"="&amp;A422)/P422,0), "")</f>
        <v/>
      </c>
      <c r="AC422" s="81" t="str">
        <f>IF(A422&lt;&gt;"", IF(P422&lt;&gt;0,SUMIFS(node!$K$2:$K$1000, node!$C$2:$C$1000,"="&amp;A422)/P422,0), "")</f>
        <v/>
      </c>
      <c r="AD422" s="82" t="str">
        <f>IF(A422&lt;&gt;"", SUMIFS(node!$L$2:$L$1000, node!$C$2:$C$1000,"="&amp;A422), "")</f>
        <v/>
      </c>
      <c r="AE422" s="87" t="str">
        <f>IF(A422&lt;&gt;"", SUMIFS(node!$M$2:$M$1000, node!$C$2:$C$1000,"="&amp;A422), "")</f>
        <v/>
      </c>
    </row>
    <row r="423" spans="1:31" ht="15.75" customHeight="1" x14ac:dyDescent="0.25">
      <c r="A423" s="71" t="str">
        <f>IF(ISNONTEXT(node_raw[[#This Row],[Column2]]), "", node_raw[[#This Row],[Column2]])</f>
        <v/>
      </c>
      <c r="B423" s="108" t="str">
        <f>IF(A423&lt;&gt;"", VLOOKUP(A423, node!$C$2:$D$1000, 2, FALSE), "")</f>
        <v/>
      </c>
      <c r="C423" s="109" t="str">
        <f>IF(A423&lt;&gt;"", VLOOKUP(A423, node!$C$2:$E$1000, 3, FALSE), "")</f>
        <v/>
      </c>
      <c r="D423" s="110" t="str">
        <f>IF(A423&lt;&gt;"",COUNTIFS(node!$C$2:$C$1000,"="&amp;A423, node!$C$2:$C$1000,"&lt;&gt;"&amp;""),"")</f>
        <v/>
      </c>
      <c r="E423" s="111" t="str">
        <f>IF(A423&lt;&gt;"",SUMIFS(node!$F$2:$F$500, node!$C$2:$C$500,"="&amp;A423, node!$C$2:$C$500,"&lt;&gt;"&amp;"")/(B423*D423),"")</f>
        <v/>
      </c>
      <c r="F423" s="112" t="str">
        <f>IF(A423&lt;&gt;"",SUMIFS(node!$H$2:$H$500, node!$C$2:$C$500,"="&amp;A423, node!$C$2:$C$500,"&lt;&gt;"&amp;"")/(C423*D423),"")</f>
        <v/>
      </c>
      <c r="G423" s="179" t="str">
        <f>IF(A423&lt;&gt;"",SUMIFS(deployment!$F$4:$F$502, deployment!$D$4:$D$502,"="&amp;A423, deployment!$D$4:$D$502,"&lt;&gt;"&amp;""),"")</f>
        <v/>
      </c>
      <c r="H423" s="181" t="str">
        <f>IF(A423&lt;&gt;"",SUMIFS(deployment!$G$4:$G$502, deployment!$D$4:$D$502,"="&amp;A423, deployment!$D$4:$D$502,"&lt;&gt;"&amp;""),"")</f>
        <v/>
      </c>
      <c r="I423" s="113" t="str">
        <f>IF(A423&lt;&gt;"",SUMIFS(deployment!$H$4:$H$502, deployment!$D$4:$D$502,"="&amp;A423, deployment!$D$4:$D$502,"&lt;&gt;"&amp;""),"")</f>
        <v/>
      </c>
      <c r="J423" s="114" t="str">
        <f>IF(A423&lt;&gt;"",SUMIFS(deployment!$I$4:$I$502, deployment!$D$4:$D$502,"="&amp;A423, deployment!$D$4:$D$502,"&lt;&gt;"&amp;""),"")</f>
        <v/>
      </c>
      <c r="K423" s="182" t="str">
        <f>IF(A423&lt;&gt;"",SUMIFS(deployment!$J$4:$J$1002, deployment!$D$4:$D$1002,"="&amp;A423, deployment!$D$4:$D$1002,"&lt;&gt;"&amp;"", deployment!$C$4:$C$1002, "&lt;&gt;* )")+SUMIFS(namespace!$G$4:$G$1002, namespace!$B$4:$B$1002,"="&amp;A423, namespace!$B$4:$B$1002,"&lt;&gt;"&amp;""),"")</f>
        <v/>
      </c>
      <c r="L423" s="182" t="str">
        <f>IF(A423&lt;&gt;"",SUMIFS(deployment!$K$4:$K$1002, deployment!$D$4:$D$1002,"="&amp;A423, deployment!$D$4:$D$1002,"&lt;&gt;"&amp;"", deployment!$C$4:$C$1002, "&lt;&gt;* )")+SUMIFS(namespace!$H$4:$H$1002, namespace!$B$4:$B$1002,"="&amp;A423, namespace!$B$4:$B$1002,"&lt;&gt;"&amp;""),"")</f>
        <v/>
      </c>
      <c r="M423" s="115" t="str">
        <f>IF(A423&lt;&gt;"",SUMIFS(deployment!$L$4:$L$1002, deployment!$D$4:$D$1002,"="&amp;A423, deployment!$D$4:$D$1002,"&lt;&gt;"&amp;"", deployment!$C$4:$C$1002, "&lt;&gt;* )")+SUMIFS(namespace!$I$4:$I$1002, namespace!$B$4:$B$1002,"="&amp;A423, namespace!$B$4:$B$1002,"&lt;&gt;"&amp;""),"")</f>
        <v/>
      </c>
      <c r="N423" s="115" t="str">
        <f>IF(A423&lt;&gt;"",SUMIFS(deployment!$M$4:$M$1002, deployment!$D$4:$D$1002,"="&amp;A423, deployment!$D$4:$D$1002,"&lt;&gt;"&amp;"", deployment!$C$4:$C$1002, "&lt;&gt;* )")+SUMIFS(namespace!$J$4:$J$1002, namespace!$B$4:$B$1002,"="&amp;A423, namespace!$B$4:$B$1002,"&lt;&gt;"&amp;""),"")</f>
        <v/>
      </c>
      <c r="O423" s="116" t="str">
        <f t="shared" si="79"/>
        <v/>
      </c>
      <c r="P423" s="63"/>
      <c r="Q423" s="164" t="str">
        <f t="shared" si="74"/>
        <v/>
      </c>
      <c r="R423" s="60" t="str">
        <f t="shared" si="75"/>
        <v/>
      </c>
      <c r="S423" s="60" t="str">
        <f t="shared" si="76"/>
        <v/>
      </c>
      <c r="T423" s="61" t="str">
        <f t="shared" si="77"/>
        <v/>
      </c>
      <c r="U423" s="61" t="str">
        <f t="shared" si="78"/>
        <v/>
      </c>
      <c r="V423" s="183" t="str">
        <f t="shared" si="80"/>
        <v/>
      </c>
      <c r="W423" s="183" t="str">
        <f t="shared" si="81"/>
        <v/>
      </c>
      <c r="X423" s="61" t="str">
        <f t="shared" si="82"/>
        <v/>
      </c>
      <c r="Y423" s="61" t="str">
        <f t="shared" si="83"/>
        <v/>
      </c>
      <c r="Z423" s="118" t="str">
        <f t="shared" si="84"/>
        <v/>
      </c>
      <c r="AA423" s="62" t="str">
        <f t="shared" si="85"/>
        <v/>
      </c>
      <c r="AB423" s="119" t="str">
        <f>IF(A423&lt;&gt;"", IF(P423&lt;&gt;0,SUMIFS(node!$J$2:$J$1000, node!$C$2:$C$1000,"="&amp;A423)/P423,0), "")</f>
        <v/>
      </c>
      <c r="AC423" s="81" t="str">
        <f>IF(A423&lt;&gt;"", IF(P423&lt;&gt;0,SUMIFS(node!$K$2:$K$1000, node!$C$2:$C$1000,"="&amp;A423)/P423,0), "")</f>
        <v/>
      </c>
      <c r="AD423" s="82" t="str">
        <f>IF(A423&lt;&gt;"", SUMIFS(node!$L$2:$L$1000, node!$C$2:$C$1000,"="&amp;A423), "")</f>
        <v/>
      </c>
      <c r="AE423" s="87" t="str">
        <f>IF(A423&lt;&gt;"", SUMIFS(node!$M$2:$M$1000, node!$C$2:$C$1000,"="&amp;A423), "")</f>
        <v/>
      </c>
    </row>
    <row r="424" spans="1:31" ht="15.75" customHeight="1" x14ac:dyDescent="0.25">
      <c r="A424" s="71" t="str">
        <f>IF(ISNONTEXT(node_raw[[#This Row],[Column2]]), "", node_raw[[#This Row],[Column2]])</f>
        <v/>
      </c>
      <c r="B424" s="108" t="str">
        <f>IF(A424&lt;&gt;"", VLOOKUP(A424, node!$C$2:$D$1000, 2, FALSE), "")</f>
        <v/>
      </c>
      <c r="C424" s="109" t="str">
        <f>IF(A424&lt;&gt;"", VLOOKUP(A424, node!$C$2:$E$1000, 3, FALSE), "")</f>
        <v/>
      </c>
      <c r="D424" s="110" t="str">
        <f>IF(A424&lt;&gt;"",COUNTIFS(node!$C$2:$C$1000,"="&amp;A424, node!$C$2:$C$1000,"&lt;&gt;"&amp;""),"")</f>
        <v/>
      </c>
      <c r="E424" s="111" t="str">
        <f>IF(A424&lt;&gt;"",SUMIFS(node!$F$2:$F$500, node!$C$2:$C$500,"="&amp;A424, node!$C$2:$C$500,"&lt;&gt;"&amp;"")/(B424*D424),"")</f>
        <v/>
      </c>
      <c r="F424" s="112" t="str">
        <f>IF(A424&lt;&gt;"",SUMIFS(node!$H$2:$H$500, node!$C$2:$C$500,"="&amp;A424, node!$C$2:$C$500,"&lt;&gt;"&amp;"")/(C424*D424),"")</f>
        <v/>
      </c>
      <c r="G424" s="179" t="str">
        <f>IF(A424&lt;&gt;"",SUMIFS(deployment!$F$4:$F$502, deployment!$D$4:$D$502,"="&amp;A424, deployment!$D$4:$D$502,"&lt;&gt;"&amp;""),"")</f>
        <v/>
      </c>
      <c r="H424" s="181" t="str">
        <f>IF(A424&lt;&gt;"",SUMIFS(deployment!$G$4:$G$502, deployment!$D$4:$D$502,"="&amp;A424, deployment!$D$4:$D$502,"&lt;&gt;"&amp;""),"")</f>
        <v/>
      </c>
      <c r="I424" s="113" t="str">
        <f>IF(A424&lt;&gt;"",SUMIFS(deployment!$H$4:$H$502, deployment!$D$4:$D$502,"="&amp;A424, deployment!$D$4:$D$502,"&lt;&gt;"&amp;""),"")</f>
        <v/>
      </c>
      <c r="J424" s="114" t="str">
        <f>IF(A424&lt;&gt;"",SUMIFS(deployment!$I$4:$I$502, deployment!$D$4:$D$502,"="&amp;A424, deployment!$D$4:$D$502,"&lt;&gt;"&amp;""),"")</f>
        <v/>
      </c>
      <c r="K424" s="182" t="str">
        <f>IF(A424&lt;&gt;"",SUMIFS(deployment!$J$4:$J$1002, deployment!$D$4:$D$1002,"="&amp;A424, deployment!$D$4:$D$1002,"&lt;&gt;"&amp;"", deployment!$C$4:$C$1002, "&lt;&gt;* )")+SUMIFS(namespace!$G$4:$G$1002, namespace!$B$4:$B$1002,"="&amp;A424, namespace!$B$4:$B$1002,"&lt;&gt;"&amp;""),"")</f>
        <v/>
      </c>
      <c r="L424" s="182" t="str">
        <f>IF(A424&lt;&gt;"",SUMIFS(deployment!$K$4:$K$1002, deployment!$D$4:$D$1002,"="&amp;A424, deployment!$D$4:$D$1002,"&lt;&gt;"&amp;"", deployment!$C$4:$C$1002, "&lt;&gt;* )")+SUMIFS(namespace!$H$4:$H$1002, namespace!$B$4:$B$1002,"="&amp;A424, namespace!$B$4:$B$1002,"&lt;&gt;"&amp;""),"")</f>
        <v/>
      </c>
      <c r="M424" s="115" t="str">
        <f>IF(A424&lt;&gt;"",SUMIFS(deployment!$L$4:$L$1002, deployment!$D$4:$D$1002,"="&amp;A424, deployment!$D$4:$D$1002,"&lt;&gt;"&amp;"", deployment!$C$4:$C$1002, "&lt;&gt;* )")+SUMIFS(namespace!$I$4:$I$1002, namespace!$B$4:$B$1002,"="&amp;A424, namespace!$B$4:$B$1002,"&lt;&gt;"&amp;""),"")</f>
        <v/>
      </c>
      <c r="N424" s="115" t="str">
        <f>IF(A424&lt;&gt;"",SUMIFS(deployment!$M$4:$M$1002, deployment!$D$4:$D$1002,"="&amp;A424, deployment!$D$4:$D$1002,"&lt;&gt;"&amp;"", deployment!$C$4:$C$1002, "&lt;&gt;* )")+SUMIFS(namespace!$J$4:$J$1002, namespace!$B$4:$B$1002,"="&amp;A424, namespace!$B$4:$B$1002,"&lt;&gt;"&amp;""),"")</f>
        <v/>
      </c>
      <c r="O424" s="116" t="str">
        <f t="shared" si="79"/>
        <v/>
      </c>
      <c r="P424" s="63"/>
      <c r="Q424" s="164" t="str">
        <f t="shared" si="74"/>
        <v/>
      </c>
      <c r="R424" s="60" t="str">
        <f t="shared" si="75"/>
        <v/>
      </c>
      <c r="S424" s="60" t="str">
        <f t="shared" si="76"/>
        <v/>
      </c>
      <c r="T424" s="61" t="str">
        <f t="shared" si="77"/>
        <v/>
      </c>
      <c r="U424" s="61" t="str">
        <f t="shared" si="78"/>
        <v/>
      </c>
      <c r="V424" s="183" t="str">
        <f t="shared" si="80"/>
        <v/>
      </c>
      <c r="W424" s="183" t="str">
        <f t="shared" si="81"/>
        <v/>
      </c>
      <c r="X424" s="61" t="str">
        <f t="shared" si="82"/>
        <v/>
      </c>
      <c r="Y424" s="61" t="str">
        <f t="shared" si="83"/>
        <v/>
      </c>
      <c r="Z424" s="118" t="str">
        <f t="shared" si="84"/>
        <v/>
      </c>
      <c r="AA424" s="62" t="str">
        <f t="shared" si="85"/>
        <v/>
      </c>
      <c r="AB424" s="119" t="str">
        <f>IF(A424&lt;&gt;"", IF(P424&lt;&gt;0,SUMIFS(node!$J$2:$J$1000, node!$C$2:$C$1000,"="&amp;A424)/P424,0), "")</f>
        <v/>
      </c>
      <c r="AC424" s="81" t="str">
        <f>IF(A424&lt;&gt;"", IF(P424&lt;&gt;0,SUMIFS(node!$K$2:$K$1000, node!$C$2:$C$1000,"="&amp;A424)/P424,0), "")</f>
        <v/>
      </c>
      <c r="AD424" s="82" t="str">
        <f>IF(A424&lt;&gt;"", SUMIFS(node!$L$2:$L$1000, node!$C$2:$C$1000,"="&amp;A424), "")</f>
        <v/>
      </c>
      <c r="AE424" s="87" t="str">
        <f>IF(A424&lt;&gt;"", SUMIFS(node!$M$2:$M$1000, node!$C$2:$C$1000,"="&amp;A424), "")</f>
        <v/>
      </c>
    </row>
    <row r="425" spans="1:31" ht="15.75" customHeight="1" x14ac:dyDescent="0.25">
      <c r="A425" s="71" t="str">
        <f>IF(ISNONTEXT(node_raw[[#This Row],[Column2]]), "", node_raw[[#This Row],[Column2]])</f>
        <v/>
      </c>
      <c r="B425" s="108" t="str">
        <f>IF(A425&lt;&gt;"", VLOOKUP(A425, node!$C$2:$D$1000, 2, FALSE), "")</f>
        <v/>
      </c>
      <c r="C425" s="109" t="str">
        <f>IF(A425&lt;&gt;"", VLOOKUP(A425, node!$C$2:$E$1000, 3, FALSE), "")</f>
        <v/>
      </c>
      <c r="D425" s="110" t="str">
        <f>IF(A425&lt;&gt;"",COUNTIFS(node!$C$2:$C$1000,"="&amp;A425, node!$C$2:$C$1000,"&lt;&gt;"&amp;""),"")</f>
        <v/>
      </c>
      <c r="E425" s="111" t="str">
        <f>IF(A425&lt;&gt;"",SUMIFS(node!$F$2:$F$500, node!$C$2:$C$500,"="&amp;A425, node!$C$2:$C$500,"&lt;&gt;"&amp;"")/(B425*D425),"")</f>
        <v/>
      </c>
      <c r="F425" s="112" t="str">
        <f>IF(A425&lt;&gt;"",SUMIFS(node!$H$2:$H$500, node!$C$2:$C$500,"="&amp;A425, node!$C$2:$C$500,"&lt;&gt;"&amp;"")/(C425*D425),"")</f>
        <v/>
      </c>
      <c r="G425" s="179" t="str">
        <f>IF(A425&lt;&gt;"",SUMIFS(deployment!$F$4:$F$502, deployment!$D$4:$D$502,"="&amp;A425, deployment!$D$4:$D$502,"&lt;&gt;"&amp;""),"")</f>
        <v/>
      </c>
      <c r="H425" s="181" t="str">
        <f>IF(A425&lt;&gt;"",SUMIFS(deployment!$G$4:$G$502, deployment!$D$4:$D$502,"="&amp;A425, deployment!$D$4:$D$502,"&lt;&gt;"&amp;""),"")</f>
        <v/>
      </c>
      <c r="I425" s="113" t="str">
        <f>IF(A425&lt;&gt;"",SUMIFS(deployment!$H$4:$H$502, deployment!$D$4:$D$502,"="&amp;A425, deployment!$D$4:$D$502,"&lt;&gt;"&amp;""),"")</f>
        <v/>
      </c>
      <c r="J425" s="114" t="str">
        <f>IF(A425&lt;&gt;"",SUMIFS(deployment!$I$4:$I$502, deployment!$D$4:$D$502,"="&amp;A425, deployment!$D$4:$D$502,"&lt;&gt;"&amp;""),"")</f>
        <v/>
      </c>
      <c r="K425" s="182" t="str">
        <f>IF(A425&lt;&gt;"",SUMIFS(deployment!$J$4:$J$1002, deployment!$D$4:$D$1002,"="&amp;A425, deployment!$D$4:$D$1002,"&lt;&gt;"&amp;"", deployment!$C$4:$C$1002, "&lt;&gt;* )")+SUMIFS(namespace!$G$4:$G$1002, namespace!$B$4:$B$1002,"="&amp;A425, namespace!$B$4:$B$1002,"&lt;&gt;"&amp;""),"")</f>
        <v/>
      </c>
      <c r="L425" s="182" t="str">
        <f>IF(A425&lt;&gt;"",SUMIFS(deployment!$K$4:$K$1002, deployment!$D$4:$D$1002,"="&amp;A425, deployment!$D$4:$D$1002,"&lt;&gt;"&amp;"", deployment!$C$4:$C$1002, "&lt;&gt;* )")+SUMIFS(namespace!$H$4:$H$1002, namespace!$B$4:$B$1002,"="&amp;A425, namespace!$B$4:$B$1002,"&lt;&gt;"&amp;""),"")</f>
        <v/>
      </c>
      <c r="M425" s="115" t="str">
        <f>IF(A425&lt;&gt;"",SUMIFS(deployment!$L$4:$L$1002, deployment!$D$4:$D$1002,"="&amp;A425, deployment!$D$4:$D$1002,"&lt;&gt;"&amp;"", deployment!$C$4:$C$1002, "&lt;&gt;* )")+SUMIFS(namespace!$I$4:$I$1002, namespace!$B$4:$B$1002,"="&amp;A425, namespace!$B$4:$B$1002,"&lt;&gt;"&amp;""),"")</f>
        <v/>
      </c>
      <c r="N425" s="115" t="str">
        <f>IF(A425&lt;&gt;"",SUMIFS(deployment!$M$4:$M$1002, deployment!$D$4:$D$1002,"="&amp;A425, deployment!$D$4:$D$1002,"&lt;&gt;"&amp;"", deployment!$C$4:$C$1002, "&lt;&gt;* )")+SUMIFS(namespace!$J$4:$J$1002, namespace!$B$4:$B$1002,"="&amp;A425, namespace!$B$4:$B$1002,"&lt;&gt;"&amp;""),"")</f>
        <v/>
      </c>
      <c r="O425" s="116" t="str">
        <f t="shared" si="79"/>
        <v/>
      </c>
      <c r="P425" s="63"/>
      <c r="Q425" s="164" t="str">
        <f t="shared" si="74"/>
        <v/>
      </c>
      <c r="R425" s="60" t="str">
        <f t="shared" si="75"/>
        <v/>
      </c>
      <c r="S425" s="60" t="str">
        <f t="shared" si="76"/>
        <v/>
      </c>
      <c r="T425" s="61" t="str">
        <f t="shared" si="77"/>
        <v/>
      </c>
      <c r="U425" s="61" t="str">
        <f t="shared" si="78"/>
        <v/>
      </c>
      <c r="V425" s="183" t="str">
        <f t="shared" si="80"/>
        <v/>
      </c>
      <c r="W425" s="183" t="str">
        <f t="shared" si="81"/>
        <v/>
      </c>
      <c r="X425" s="61" t="str">
        <f t="shared" si="82"/>
        <v/>
      </c>
      <c r="Y425" s="61" t="str">
        <f t="shared" si="83"/>
        <v/>
      </c>
      <c r="Z425" s="118" t="str">
        <f t="shared" si="84"/>
        <v/>
      </c>
      <c r="AA425" s="62" t="str">
        <f t="shared" si="85"/>
        <v/>
      </c>
      <c r="AB425" s="119" t="str">
        <f>IF(A425&lt;&gt;"", IF(P425&lt;&gt;0,SUMIFS(node!$J$2:$J$1000, node!$C$2:$C$1000,"="&amp;A425)/P425,0), "")</f>
        <v/>
      </c>
      <c r="AC425" s="81" t="str">
        <f>IF(A425&lt;&gt;"", IF(P425&lt;&gt;0,SUMIFS(node!$K$2:$K$1000, node!$C$2:$C$1000,"="&amp;A425)/P425,0), "")</f>
        <v/>
      </c>
      <c r="AD425" s="82" t="str">
        <f>IF(A425&lt;&gt;"", SUMIFS(node!$L$2:$L$1000, node!$C$2:$C$1000,"="&amp;A425), "")</f>
        <v/>
      </c>
      <c r="AE425" s="87" t="str">
        <f>IF(A425&lt;&gt;"", SUMIFS(node!$M$2:$M$1000, node!$C$2:$C$1000,"="&amp;A425), "")</f>
        <v/>
      </c>
    </row>
    <row r="426" spans="1:31" ht="15.75" customHeight="1" x14ac:dyDescent="0.25">
      <c r="A426" s="71" t="str">
        <f>IF(ISNONTEXT(node_raw[[#This Row],[Column2]]), "", node_raw[[#This Row],[Column2]])</f>
        <v/>
      </c>
      <c r="B426" s="108" t="str">
        <f>IF(A426&lt;&gt;"", VLOOKUP(A426, node!$C$2:$D$1000, 2, FALSE), "")</f>
        <v/>
      </c>
      <c r="C426" s="109" t="str">
        <f>IF(A426&lt;&gt;"", VLOOKUP(A426, node!$C$2:$E$1000, 3, FALSE), "")</f>
        <v/>
      </c>
      <c r="D426" s="110" t="str">
        <f>IF(A426&lt;&gt;"",COUNTIFS(node!$C$2:$C$1000,"="&amp;A426, node!$C$2:$C$1000,"&lt;&gt;"&amp;""),"")</f>
        <v/>
      </c>
      <c r="E426" s="111" t="str">
        <f>IF(A426&lt;&gt;"",SUMIFS(node!$F$2:$F$500, node!$C$2:$C$500,"="&amp;A426, node!$C$2:$C$500,"&lt;&gt;"&amp;"")/(B426*D426),"")</f>
        <v/>
      </c>
      <c r="F426" s="112" t="str">
        <f>IF(A426&lt;&gt;"",SUMIFS(node!$H$2:$H$500, node!$C$2:$C$500,"="&amp;A426, node!$C$2:$C$500,"&lt;&gt;"&amp;"")/(C426*D426),"")</f>
        <v/>
      </c>
      <c r="G426" s="179" t="str">
        <f>IF(A426&lt;&gt;"",SUMIFS(deployment!$F$4:$F$502, deployment!$D$4:$D$502,"="&amp;A426, deployment!$D$4:$D$502,"&lt;&gt;"&amp;""),"")</f>
        <v/>
      </c>
      <c r="H426" s="181" t="str">
        <f>IF(A426&lt;&gt;"",SUMIFS(deployment!$G$4:$G$502, deployment!$D$4:$D$502,"="&amp;A426, deployment!$D$4:$D$502,"&lt;&gt;"&amp;""),"")</f>
        <v/>
      </c>
      <c r="I426" s="113" t="str">
        <f>IF(A426&lt;&gt;"",SUMIFS(deployment!$H$4:$H$502, deployment!$D$4:$D$502,"="&amp;A426, deployment!$D$4:$D$502,"&lt;&gt;"&amp;""),"")</f>
        <v/>
      </c>
      <c r="J426" s="114" t="str">
        <f>IF(A426&lt;&gt;"",SUMIFS(deployment!$I$4:$I$502, deployment!$D$4:$D$502,"="&amp;A426, deployment!$D$4:$D$502,"&lt;&gt;"&amp;""),"")</f>
        <v/>
      </c>
      <c r="K426" s="182" t="str">
        <f>IF(A426&lt;&gt;"",SUMIFS(deployment!$J$4:$J$1002, deployment!$D$4:$D$1002,"="&amp;A426, deployment!$D$4:$D$1002,"&lt;&gt;"&amp;"", deployment!$C$4:$C$1002, "&lt;&gt;* )")+SUMIFS(namespace!$G$4:$G$1002, namespace!$B$4:$B$1002,"="&amp;A426, namespace!$B$4:$B$1002,"&lt;&gt;"&amp;""),"")</f>
        <v/>
      </c>
      <c r="L426" s="182" t="str">
        <f>IF(A426&lt;&gt;"",SUMIFS(deployment!$K$4:$K$1002, deployment!$D$4:$D$1002,"="&amp;A426, deployment!$D$4:$D$1002,"&lt;&gt;"&amp;"", deployment!$C$4:$C$1002, "&lt;&gt;* )")+SUMIFS(namespace!$H$4:$H$1002, namespace!$B$4:$B$1002,"="&amp;A426, namespace!$B$4:$B$1002,"&lt;&gt;"&amp;""),"")</f>
        <v/>
      </c>
      <c r="M426" s="115" t="str">
        <f>IF(A426&lt;&gt;"",SUMIFS(deployment!$L$4:$L$1002, deployment!$D$4:$D$1002,"="&amp;A426, deployment!$D$4:$D$1002,"&lt;&gt;"&amp;"", deployment!$C$4:$C$1002, "&lt;&gt;* )")+SUMIFS(namespace!$I$4:$I$1002, namespace!$B$4:$B$1002,"="&amp;A426, namespace!$B$4:$B$1002,"&lt;&gt;"&amp;""),"")</f>
        <v/>
      </c>
      <c r="N426" s="115" t="str">
        <f>IF(A426&lt;&gt;"",SUMIFS(deployment!$M$4:$M$1002, deployment!$D$4:$D$1002,"="&amp;A426, deployment!$D$4:$D$1002,"&lt;&gt;"&amp;"", deployment!$C$4:$C$1002, "&lt;&gt;* )")+SUMIFS(namespace!$J$4:$J$1002, namespace!$B$4:$B$1002,"="&amp;A426, namespace!$B$4:$B$1002,"&lt;&gt;"&amp;""),"")</f>
        <v/>
      </c>
      <c r="O426" s="116" t="str">
        <f t="shared" si="79"/>
        <v/>
      </c>
      <c r="P426" s="63"/>
      <c r="Q426" s="164" t="str">
        <f t="shared" si="74"/>
        <v/>
      </c>
      <c r="R426" s="60" t="str">
        <f t="shared" si="75"/>
        <v/>
      </c>
      <c r="S426" s="60" t="str">
        <f t="shared" si="76"/>
        <v/>
      </c>
      <c r="T426" s="61" t="str">
        <f t="shared" si="77"/>
        <v/>
      </c>
      <c r="U426" s="61" t="str">
        <f t="shared" si="78"/>
        <v/>
      </c>
      <c r="V426" s="183" t="str">
        <f t="shared" si="80"/>
        <v/>
      </c>
      <c r="W426" s="183" t="str">
        <f t="shared" si="81"/>
        <v/>
      </c>
      <c r="X426" s="61" t="str">
        <f t="shared" si="82"/>
        <v/>
      </c>
      <c r="Y426" s="61" t="str">
        <f t="shared" si="83"/>
        <v/>
      </c>
      <c r="Z426" s="118" t="str">
        <f t="shared" si="84"/>
        <v/>
      </c>
      <c r="AA426" s="62" t="str">
        <f t="shared" si="85"/>
        <v/>
      </c>
      <c r="AB426" s="119" t="str">
        <f>IF(A426&lt;&gt;"", IF(P426&lt;&gt;0,SUMIFS(node!$J$2:$J$1000, node!$C$2:$C$1000,"="&amp;A426)/P426,0), "")</f>
        <v/>
      </c>
      <c r="AC426" s="81" t="str">
        <f>IF(A426&lt;&gt;"", IF(P426&lt;&gt;0,SUMIFS(node!$K$2:$K$1000, node!$C$2:$C$1000,"="&amp;A426)/P426,0), "")</f>
        <v/>
      </c>
      <c r="AD426" s="82" t="str">
        <f>IF(A426&lt;&gt;"", SUMIFS(node!$L$2:$L$1000, node!$C$2:$C$1000,"="&amp;A426), "")</f>
        <v/>
      </c>
      <c r="AE426" s="87" t="str">
        <f>IF(A426&lt;&gt;"", SUMIFS(node!$M$2:$M$1000, node!$C$2:$C$1000,"="&amp;A426), "")</f>
        <v/>
      </c>
    </row>
    <row r="427" spans="1:31" ht="15.75" customHeight="1" x14ac:dyDescent="0.25">
      <c r="A427" s="71" t="str">
        <f>IF(ISNONTEXT(node_raw[[#This Row],[Column2]]), "", node_raw[[#This Row],[Column2]])</f>
        <v/>
      </c>
      <c r="B427" s="108" t="str">
        <f>IF(A427&lt;&gt;"", VLOOKUP(A427, node!$C$2:$D$1000, 2, FALSE), "")</f>
        <v/>
      </c>
      <c r="C427" s="109" t="str">
        <f>IF(A427&lt;&gt;"", VLOOKUP(A427, node!$C$2:$E$1000, 3, FALSE), "")</f>
        <v/>
      </c>
      <c r="D427" s="110" t="str">
        <f>IF(A427&lt;&gt;"",COUNTIFS(node!$C$2:$C$1000,"="&amp;A427, node!$C$2:$C$1000,"&lt;&gt;"&amp;""),"")</f>
        <v/>
      </c>
      <c r="E427" s="111" t="str">
        <f>IF(A427&lt;&gt;"",SUMIFS(node!$F$2:$F$500, node!$C$2:$C$500,"="&amp;A427, node!$C$2:$C$500,"&lt;&gt;"&amp;"")/(B427*D427),"")</f>
        <v/>
      </c>
      <c r="F427" s="112" t="str">
        <f>IF(A427&lt;&gt;"",SUMIFS(node!$H$2:$H$500, node!$C$2:$C$500,"="&amp;A427, node!$C$2:$C$500,"&lt;&gt;"&amp;"")/(C427*D427),"")</f>
        <v/>
      </c>
      <c r="G427" s="179" t="str">
        <f>IF(A427&lt;&gt;"",SUMIFS(deployment!$F$4:$F$502, deployment!$D$4:$D$502,"="&amp;A427, deployment!$D$4:$D$502,"&lt;&gt;"&amp;""),"")</f>
        <v/>
      </c>
      <c r="H427" s="181" t="str">
        <f>IF(A427&lt;&gt;"",SUMIFS(deployment!$G$4:$G$502, deployment!$D$4:$D$502,"="&amp;A427, deployment!$D$4:$D$502,"&lt;&gt;"&amp;""),"")</f>
        <v/>
      </c>
      <c r="I427" s="113" t="str">
        <f>IF(A427&lt;&gt;"",SUMIFS(deployment!$H$4:$H$502, deployment!$D$4:$D$502,"="&amp;A427, deployment!$D$4:$D$502,"&lt;&gt;"&amp;""),"")</f>
        <v/>
      </c>
      <c r="J427" s="114" t="str">
        <f>IF(A427&lt;&gt;"",SUMIFS(deployment!$I$4:$I$502, deployment!$D$4:$D$502,"="&amp;A427, deployment!$D$4:$D$502,"&lt;&gt;"&amp;""),"")</f>
        <v/>
      </c>
      <c r="K427" s="182" t="str">
        <f>IF(A427&lt;&gt;"",SUMIFS(deployment!$J$4:$J$1002, deployment!$D$4:$D$1002,"="&amp;A427, deployment!$D$4:$D$1002,"&lt;&gt;"&amp;"", deployment!$C$4:$C$1002, "&lt;&gt;* )")+SUMIFS(namespace!$G$4:$G$1002, namespace!$B$4:$B$1002,"="&amp;A427, namespace!$B$4:$B$1002,"&lt;&gt;"&amp;""),"")</f>
        <v/>
      </c>
      <c r="L427" s="182" t="str">
        <f>IF(A427&lt;&gt;"",SUMIFS(deployment!$K$4:$K$1002, deployment!$D$4:$D$1002,"="&amp;A427, deployment!$D$4:$D$1002,"&lt;&gt;"&amp;"", deployment!$C$4:$C$1002, "&lt;&gt;* )")+SUMIFS(namespace!$H$4:$H$1002, namespace!$B$4:$B$1002,"="&amp;A427, namespace!$B$4:$B$1002,"&lt;&gt;"&amp;""),"")</f>
        <v/>
      </c>
      <c r="M427" s="115" t="str">
        <f>IF(A427&lt;&gt;"",SUMIFS(deployment!$L$4:$L$1002, deployment!$D$4:$D$1002,"="&amp;A427, deployment!$D$4:$D$1002,"&lt;&gt;"&amp;"", deployment!$C$4:$C$1002, "&lt;&gt;* )")+SUMIFS(namespace!$I$4:$I$1002, namespace!$B$4:$B$1002,"="&amp;A427, namespace!$B$4:$B$1002,"&lt;&gt;"&amp;""),"")</f>
        <v/>
      </c>
      <c r="N427" s="115" t="str">
        <f>IF(A427&lt;&gt;"",SUMIFS(deployment!$M$4:$M$1002, deployment!$D$4:$D$1002,"="&amp;A427, deployment!$D$4:$D$1002,"&lt;&gt;"&amp;"", deployment!$C$4:$C$1002, "&lt;&gt;* )")+SUMIFS(namespace!$J$4:$J$1002, namespace!$B$4:$B$1002,"="&amp;A427, namespace!$B$4:$B$1002,"&lt;&gt;"&amp;""),"")</f>
        <v/>
      </c>
      <c r="O427" s="116" t="str">
        <f t="shared" si="79"/>
        <v/>
      </c>
      <c r="P427" s="63"/>
      <c r="Q427" s="164" t="str">
        <f t="shared" si="74"/>
        <v/>
      </c>
      <c r="R427" s="60" t="str">
        <f t="shared" si="75"/>
        <v/>
      </c>
      <c r="S427" s="60" t="str">
        <f t="shared" si="76"/>
        <v/>
      </c>
      <c r="T427" s="61" t="str">
        <f t="shared" si="77"/>
        <v/>
      </c>
      <c r="U427" s="61" t="str">
        <f t="shared" si="78"/>
        <v/>
      </c>
      <c r="V427" s="183" t="str">
        <f t="shared" si="80"/>
        <v/>
      </c>
      <c r="W427" s="183" t="str">
        <f t="shared" si="81"/>
        <v/>
      </c>
      <c r="X427" s="61" t="str">
        <f t="shared" si="82"/>
        <v/>
      </c>
      <c r="Y427" s="61" t="str">
        <f t="shared" si="83"/>
        <v/>
      </c>
      <c r="Z427" s="118" t="str">
        <f t="shared" si="84"/>
        <v/>
      </c>
      <c r="AA427" s="62" t="str">
        <f t="shared" si="85"/>
        <v/>
      </c>
      <c r="AB427" s="119" t="str">
        <f>IF(A427&lt;&gt;"", IF(P427&lt;&gt;0,SUMIFS(node!$J$2:$J$1000, node!$C$2:$C$1000,"="&amp;A427)/P427,0), "")</f>
        <v/>
      </c>
      <c r="AC427" s="81" t="str">
        <f>IF(A427&lt;&gt;"", IF(P427&lt;&gt;0,SUMIFS(node!$K$2:$K$1000, node!$C$2:$C$1000,"="&amp;A427)/P427,0), "")</f>
        <v/>
      </c>
      <c r="AD427" s="82" t="str">
        <f>IF(A427&lt;&gt;"", SUMIFS(node!$L$2:$L$1000, node!$C$2:$C$1000,"="&amp;A427), "")</f>
        <v/>
      </c>
      <c r="AE427" s="87" t="str">
        <f>IF(A427&lt;&gt;"", SUMIFS(node!$M$2:$M$1000, node!$C$2:$C$1000,"="&amp;A427), "")</f>
        <v/>
      </c>
    </row>
    <row r="428" spans="1:31" ht="15.75" customHeight="1" x14ac:dyDescent="0.25">
      <c r="A428" s="71" t="str">
        <f>IF(ISNONTEXT(node_raw[[#This Row],[Column2]]), "", node_raw[[#This Row],[Column2]])</f>
        <v/>
      </c>
      <c r="B428" s="108" t="str">
        <f>IF(A428&lt;&gt;"", VLOOKUP(A428, node!$C$2:$D$1000, 2, FALSE), "")</f>
        <v/>
      </c>
      <c r="C428" s="109" t="str">
        <f>IF(A428&lt;&gt;"", VLOOKUP(A428, node!$C$2:$E$1000, 3, FALSE), "")</f>
        <v/>
      </c>
      <c r="D428" s="110" t="str">
        <f>IF(A428&lt;&gt;"",COUNTIFS(node!$C$2:$C$1000,"="&amp;A428, node!$C$2:$C$1000,"&lt;&gt;"&amp;""),"")</f>
        <v/>
      </c>
      <c r="E428" s="111" t="str">
        <f>IF(A428&lt;&gt;"",SUMIFS(node!$F$2:$F$500, node!$C$2:$C$500,"="&amp;A428, node!$C$2:$C$500,"&lt;&gt;"&amp;"")/(B428*D428),"")</f>
        <v/>
      </c>
      <c r="F428" s="112" t="str">
        <f>IF(A428&lt;&gt;"",SUMIFS(node!$H$2:$H$500, node!$C$2:$C$500,"="&amp;A428, node!$C$2:$C$500,"&lt;&gt;"&amp;"")/(C428*D428),"")</f>
        <v/>
      </c>
      <c r="G428" s="179" t="str">
        <f>IF(A428&lt;&gt;"",SUMIFS(deployment!$F$4:$F$502, deployment!$D$4:$D$502,"="&amp;A428, deployment!$D$4:$D$502,"&lt;&gt;"&amp;""),"")</f>
        <v/>
      </c>
      <c r="H428" s="181" t="str">
        <f>IF(A428&lt;&gt;"",SUMIFS(deployment!$G$4:$G$502, deployment!$D$4:$D$502,"="&amp;A428, deployment!$D$4:$D$502,"&lt;&gt;"&amp;""),"")</f>
        <v/>
      </c>
      <c r="I428" s="113" t="str">
        <f>IF(A428&lt;&gt;"",SUMIFS(deployment!$H$4:$H$502, deployment!$D$4:$D$502,"="&amp;A428, deployment!$D$4:$D$502,"&lt;&gt;"&amp;""),"")</f>
        <v/>
      </c>
      <c r="J428" s="114" t="str">
        <f>IF(A428&lt;&gt;"",SUMIFS(deployment!$I$4:$I$502, deployment!$D$4:$D$502,"="&amp;A428, deployment!$D$4:$D$502,"&lt;&gt;"&amp;""),"")</f>
        <v/>
      </c>
      <c r="K428" s="182" t="str">
        <f>IF(A428&lt;&gt;"",SUMIFS(deployment!$J$4:$J$1002, deployment!$D$4:$D$1002,"="&amp;A428, deployment!$D$4:$D$1002,"&lt;&gt;"&amp;"", deployment!$C$4:$C$1002, "&lt;&gt;* )")+SUMIFS(namespace!$G$4:$G$1002, namespace!$B$4:$B$1002,"="&amp;A428, namespace!$B$4:$B$1002,"&lt;&gt;"&amp;""),"")</f>
        <v/>
      </c>
      <c r="L428" s="182" t="str">
        <f>IF(A428&lt;&gt;"",SUMIFS(deployment!$K$4:$K$1002, deployment!$D$4:$D$1002,"="&amp;A428, deployment!$D$4:$D$1002,"&lt;&gt;"&amp;"", deployment!$C$4:$C$1002, "&lt;&gt;* )")+SUMIFS(namespace!$H$4:$H$1002, namespace!$B$4:$B$1002,"="&amp;A428, namespace!$B$4:$B$1002,"&lt;&gt;"&amp;""),"")</f>
        <v/>
      </c>
      <c r="M428" s="115" t="str">
        <f>IF(A428&lt;&gt;"",SUMIFS(deployment!$L$4:$L$1002, deployment!$D$4:$D$1002,"="&amp;A428, deployment!$D$4:$D$1002,"&lt;&gt;"&amp;"", deployment!$C$4:$C$1002, "&lt;&gt;* )")+SUMIFS(namespace!$I$4:$I$1002, namespace!$B$4:$B$1002,"="&amp;A428, namespace!$B$4:$B$1002,"&lt;&gt;"&amp;""),"")</f>
        <v/>
      </c>
      <c r="N428" s="115" t="str">
        <f>IF(A428&lt;&gt;"",SUMIFS(deployment!$M$4:$M$1002, deployment!$D$4:$D$1002,"="&amp;A428, deployment!$D$4:$D$1002,"&lt;&gt;"&amp;"", deployment!$C$4:$C$1002, "&lt;&gt;* )")+SUMIFS(namespace!$J$4:$J$1002, namespace!$B$4:$B$1002,"="&amp;A428, namespace!$B$4:$B$1002,"&lt;&gt;"&amp;""),"")</f>
        <v/>
      </c>
      <c r="O428" s="116" t="str">
        <f t="shared" si="79"/>
        <v/>
      </c>
      <c r="P428" s="63"/>
      <c r="Q428" s="164" t="str">
        <f t="shared" si="74"/>
        <v/>
      </c>
      <c r="R428" s="60" t="str">
        <f t="shared" si="75"/>
        <v/>
      </c>
      <c r="S428" s="60" t="str">
        <f t="shared" si="76"/>
        <v/>
      </c>
      <c r="T428" s="61" t="str">
        <f t="shared" si="77"/>
        <v/>
      </c>
      <c r="U428" s="61" t="str">
        <f t="shared" si="78"/>
        <v/>
      </c>
      <c r="V428" s="183" t="str">
        <f t="shared" si="80"/>
        <v/>
      </c>
      <c r="W428" s="183" t="str">
        <f t="shared" si="81"/>
        <v/>
      </c>
      <c r="X428" s="61" t="str">
        <f t="shared" si="82"/>
        <v/>
      </c>
      <c r="Y428" s="61" t="str">
        <f t="shared" si="83"/>
        <v/>
      </c>
      <c r="Z428" s="118" t="str">
        <f t="shared" si="84"/>
        <v/>
      </c>
      <c r="AA428" s="62" t="str">
        <f t="shared" si="85"/>
        <v/>
      </c>
      <c r="AB428" s="119" t="str">
        <f>IF(A428&lt;&gt;"", IF(P428&lt;&gt;0,SUMIFS(node!$J$2:$J$1000, node!$C$2:$C$1000,"="&amp;A428)/P428,0), "")</f>
        <v/>
      </c>
      <c r="AC428" s="81" t="str">
        <f>IF(A428&lt;&gt;"", IF(P428&lt;&gt;0,SUMIFS(node!$K$2:$K$1000, node!$C$2:$C$1000,"="&amp;A428)/P428,0), "")</f>
        <v/>
      </c>
      <c r="AD428" s="82" t="str">
        <f>IF(A428&lt;&gt;"", SUMIFS(node!$L$2:$L$1000, node!$C$2:$C$1000,"="&amp;A428), "")</f>
        <v/>
      </c>
      <c r="AE428" s="87" t="str">
        <f>IF(A428&lt;&gt;"", SUMIFS(node!$M$2:$M$1000, node!$C$2:$C$1000,"="&amp;A428), "")</f>
        <v/>
      </c>
    </row>
    <row r="429" spans="1:31" ht="15.75" customHeight="1" x14ac:dyDescent="0.25">
      <c r="A429" s="71" t="str">
        <f>IF(ISNONTEXT(node_raw[[#This Row],[Column2]]), "", node_raw[[#This Row],[Column2]])</f>
        <v/>
      </c>
      <c r="B429" s="108" t="str">
        <f>IF(A429&lt;&gt;"", VLOOKUP(A429, node!$C$2:$D$1000, 2, FALSE), "")</f>
        <v/>
      </c>
      <c r="C429" s="109" t="str">
        <f>IF(A429&lt;&gt;"", VLOOKUP(A429, node!$C$2:$E$1000, 3, FALSE), "")</f>
        <v/>
      </c>
      <c r="D429" s="110" t="str">
        <f>IF(A429&lt;&gt;"",COUNTIFS(node!$C$2:$C$1000,"="&amp;A429, node!$C$2:$C$1000,"&lt;&gt;"&amp;""),"")</f>
        <v/>
      </c>
      <c r="E429" s="111" t="str">
        <f>IF(A429&lt;&gt;"",SUMIFS(node!$F$2:$F$500, node!$C$2:$C$500,"="&amp;A429, node!$C$2:$C$500,"&lt;&gt;"&amp;"")/(B429*D429),"")</f>
        <v/>
      </c>
      <c r="F429" s="112" t="str">
        <f>IF(A429&lt;&gt;"",SUMIFS(node!$H$2:$H$500, node!$C$2:$C$500,"="&amp;A429, node!$C$2:$C$500,"&lt;&gt;"&amp;"")/(C429*D429),"")</f>
        <v/>
      </c>
      <c r="G429" s="179" t="str">
        <f>IF(A429&lt;&gt;"",SUMIFS(deployment!$F$4:$F$502, deployment!$D$4:$D$502,"="&amp;A429, deployment!$D$4:$D$502,"&lt;&gt;"&amp;""),"")</f>
        <v/>
      </c>
      <c r="H429" s="181" t="str">
        <f>IF(A429&lt;&gt;"",SUMIFS(deployment!$G$4:$G$502, deployment!$D$4:$D$502,"="&amp;A429, deployment!$D$4:$D$502,"&lt;&gt;"&amp;""),"")</f>
        <v/>
      </c>
      <c r="I429" s="113" t="str">
        <f>IF(A429&lt;&gt;"",SUMIFS(deployment!$H$4:$H$502, deployment!$D$4:$D$502,"="&amp;A429, deployment!$D$4:$D$502,"&lt;&gt;"&amp;""),"")</f>
        <v/>
      </c>
      <c r="J429" s="114" t="str">
        <f>IF(A429&lt;&gt;"",SUMIFS(deployment!$I$4:$I$502, deployment!$D$4:$D$502,"="&amp;A429, deployment!$D$4:$D$502,"&lt;&gt;"&amp;""),"")</f>
        <v/>
      </c>
      <c r="K429" s="182" t="str">
        <f>IF(A429&lt;&gt;"",SUMIFS(deployment!$J$4:$J$1002, deployment!$D$4:$D$1002,"="&amp;A429, deployment!$D$4:$D$1002,"&lt;&gt;"&amp;"", deployment!$C$4:$C$1002, "&lt;&gt;* )")+SUMIFS(namespace!$G$4:$G$1002, namespace!$B$4:$B$1002,"="&amp;A429, namespace!$B$4:$B$1002,"&lt;&gt;"&amp;""),"")</f>
        <v/>
      </c>
      <c r="L429" s="182" t="str">
        <f>IF(A429&lt;&gt;"",SUMIFS(deployment!$K$4:$K$1002, deployment!$D$4:$D$1002,"="&amp;A429, deployment!$D$4:$D$1002,"&lt;&gt;"&amp;"", deployment!$C$4:$C$1002, "&lt;&gt;* )")+SUMIFS(namespace!$H$4:$H$1002, namespace!$B$4:$B$1002,"="&amp;A429, namespace!$B$4:$B$1002,"&lt;&gt;"&amp;""),"")</f>
        <v/>
      </c>
      <c r="M429" s="115" t="str">
        <f>IF(A429&lt;&gt;"",SUMIFS(deployment!$L$4:$L$1002, deployment!$D$4:$D$1002,"="&amp;A429, deployment!$D$4:$D$1002,"&lt;&gt;"&amp;"", deployment!$C$4:$C$1002, "&lt;&gt;* )")+SUMIFS(namespace!$I$4:$I$1002, namespace!$B$4:$B$1002,"="&amp;A429, namespace!$B$4:$B$1002,"&lt;&gt;"&amp;""),"")</f>
        <v/>
      </c>
      <c r="N429" s="115" t="str">
        <f>IF(A429&lt;&gt;"",SUMIFS(deployment!$M$4:$M$1002, deployment!$D$4:$D$1002,"="&amp;A429, deployment!$D$4:$D$1002,"&lt;&gt;"&amp;"", deployment!$C$4:$C$1002, "&lt;&gt;* )")+SUMIFS(namespace!$J$4:$J$1002, namespace!$B$4:$B$1002,"="&amp;A429, namespace!$B$4:$B$1002,"&lt;&gt;"&amp;""),"")</f>
        <v/>
      </c>
      <c r="O429" s="116" t="str">
        <f t="shared" si="79"/>
        <v/>
      </c>
      <c r="P429" s="63"/>
      <c r="Q429" s="164" t="str">
        <f t="shared" si="74"/>
        <v/>
      </c>
      <c r="R429" s="60" t="str">
        <f t="shared" si="75"/>
        <v/>
      </c>
      <c r="S429" s="60" t="str">
        <f t="shared" si="76"/>
        <v/>
      </c>
      <c r="T429" s="61" t="str">
        <f t="shared" si="77"/>
        <v/>
      </c>
      <c r="U429" s="61" t="str">
        <f t="shared" si="78"/>
        <v/>
      </c>
      <c r="V429" s="183" t="str">
        <f t="shared" si="80"/>
        <v/>
      </c>
      <c r="W429" s="183" t="str">
        <f t="shared" si="81"/>
        <v/>
      </c>
      <c r="X429" s="61" t="str">
        <f t="shared" si="82"/>
        <v/>
      </c>
      <c r="Y429" s="61" t="str">
        <f t="shared" si="83"/>
        <v/>
      </c>
      <c r="Z429" s="118" t="str">
        <f t="shared" si="84"/>
        <v/>
      </c>
      <c r="AA429" s="62" t="str">
        <f t="shared" si="85"/>
        <v/>
      </c>
      <c r="AB429" s="119" t="str">
        <f>IF(A429&lt;&gt;"", IF(P429&lt;&gt;0,SUMIFS(node!$J$2:$J$1000, node!$C$2:$C$1000,"="&amp;A429)/P429,0), "")</f>
        <v/>
      </c>
      <c r="AC429" s="81" t="str">
        <f>IF(A429&lt;&gt;"", IF(P429&lt;&gt;0,SUMIFS(node!$K$2:$K$1000, node!$C$2:$C$1000,"="&amp;A429)/P429,0), "")</f>
        <v/>
      </c>
      <c r="AD429" s="82" t="str">
        <f>IF(A429&lt;&gt;"", SUMIFS(node!$L$2:$L$1000, node!$C$2:$C$1000,"="&amp;A429), "")</f>
        <v/>
      </c>
      <c r="AE429" s="87" t="str">
        <f>IF(A429&lt;&gt;"", SUMIFS(node!$M$2:$M$1000, node!$C$2:$C$1000,"="&amp;A429), "")</f>
        <v/>
      </c>
    </row>
    <row r="430" spans="1:31" ht="15.75" customHeight="1" x14ac:dyDescent="0.25">
      <c r="A430" s="71" t="str">
        <f>IF(ISNONTEXT(node_raw[[#This Row],[Column2]]), "", node_raw[[#This Row],[Column2]])</f>
        <v/>
      </c>
      <c r="B430" s="108" t="str">
        <f>IF(A430&lt;&gt;"", VLOOKUP(A430, node!$C$2:$D$1000, 2, FALSE), "")</f>
        <v/>
      </c>
      <c r="C430" s="109" t="str">
        <f>IF(A430&lt;&gt;"", VLOOKUP(A430, node!$C$2:$E$1000, 3, FALSE), "")</f>
        <v/>
      </c>
      <c r="D430" s="110" t="str">
        <f>IF(A430&lt;&gt;"",COUNTIFS(node!$C$2:$C$1000,"="&amp;A430, node!$C$2:$C$1000,"&lt;&gt;"&amp;""),"")</f>
        <v/>
      </c>
      <c r="E430" s="111" t="str">
        <f>IF(A430&lt;&gt;"",SUMIFS(node!$F$2:$F$500, node!$C$2:$C$500,"="&amp;A430, node!$C$2:$C$500,"&lt;&gt;"&amp;"")/(B430*D430),"")</f>
        <v/>
      </c>
      <c r="F430" s="112" t="str">
        <f>IF(A430&lt;&gt;"",SUMIFS(node!$H$2:$H$500, node!$C$2:$C$500,"="&amp;A430, node!$C$2:$C$500,"&lt;&gt;"&amp;"")/(C430*D430),"")</f>
        <v/>
      </c>
      <c r="G430" s="179" t="str">
        <f>IF(A430&lt;&gt;"",SUMIFS(deployment!$F$4:$F$502, deployment!$D$4:$D$502,"="&amp;A430, deployment!$D$4:$D$502,"&lt;&gt;"&amp;""),"")</f>
        <v/>
      </c>
      <c r="H430" s="181" t="str">
        <f>IF(A430&lt;&gt;"",SUMIFS(deployment!$G$4:$G$502, deployment!$D$4:$D$502,"="&amp;A430, deployment!$D$4:$D$502,"&lt;&gt;"&amp;""),"")</f>
        <v/>
      </c>
      <c r="I430" s="113" t="str">
        <f>IF(A430&lt;&gt;"",SUMIFS(deployment!$H$4:$H$502, deployment!$D$4:$D$502,"="&amp;A430, deployment!$D$4:$D$502,"&lt;&gt;"&amp;""),"")</f>
        <v/>
      </c>
      <c r="J430" s="114" t="str">
        <f>IF(A430&lt;&gt;"",SUMIFS(deployment!$I$4:$I$502, deployment!$D$4:$D$502,"="&amp;A430, deployment!$D$4:$D$502,"&lt;&gt;"&amp;""),"")</f>
        <v/>
      </c>
      <c r="K430" s="182" t="str">
        <f>IF(A430&lt;&gt;"",SUMIFS(deployment!$J$4:$J$1002, deployment!$D$4:$D$1002,"="&amp;A430, deployment!$D$4:$D$1002,"&lt;&gt;"&amp;"", deployment!$C$4:$C$1002, "&lt;&gt;* )")+SUMIFS(namespace!$G$4:$G$1002, namespace!$B$4:$B$1002,"="&amp;A430, namespace!$B$4:$B$1002,"&lt;&gt;"&amp;""),"")</f>
        <v/>
      </c>
      <c r="L430" s="182" t="str">
        <f>IF(A430&lt;&gt;"",SUMIFS(deployment!$K$4:$K$1002, deployment!$D$4:$D$1002,"="&amp;A430, deployment!$D$4:$D$1002,"&lt;&gt;"&amp;"", deployment!$C$4:$C$1002, "&lt;&gt;* )")+SUMIFS(namespace!$H$4:$H$1002, namespace!$B$4:$B$1002,"="&amp;A430, namespace!$B$4:$B$1002,"&lt;&gt;"&amp;""),"")</f>
        <v/>
      </c>
      <c r="M430" s="115" t="str">
        <f>IF(A430&lt;&gt;"",SUMIFS(deployment!$L$4:$L$1002, deployment!$D$4:$D$1002,"="&amp;A430, deployment!$D$4:$D$1002,"&lt;&gt;"&amp;"", deployment!$C$4:$C$1002, "&lt;&gt;* )")+SUMIFS(namespace!$I$4:$I$1002, namespace!$B$4:$B$1002,"="&amp;A430, namespace!$B$4:$B$1002,"&lt;&gt;"&amp;""),"")</f>
        <v/>
      </c>
      <c r="N430" s="115" t="str">
        <f>IF(A430&lt;&gt;"",SUMIFS(deployment!$M$4:$M$1002, deployment!$D$4:$D$1002,"="&amp;A430, deployment!$D$4:$D$1002,"&lt;&gt;"&amp;"", deployment!$C$4:$C$1002, "&lt;&gt;* )")+SUMIFS(namespace!$J$4:$J$1002, namespace!$B$4:$B$1002,"="&amp;A430, namespace!$B$4:$B$1002,"&lt;&gt;"&amp;""),"")</f>
        <v/>
      </c>
      <c r="O430" s="116" t="str">
        <f t="shared" si="79"/>
        <v/>
      </c>
      <c r="P430" s="63"/>
      <c r="Q430" s="164" t="str">
        <f t="shared" si="74"/>
        <v/>
      </c>
      <c r="R430" s="60" t="str">
        <f t="shared" si="75"/>
        <v/>
      </c>
      <c r="S430" s="60" t="str">
        <f t="shared" si="76"/>
        <v/>
      </c>
      <c r="T430" s="61" t="str">
        <f t="shared" si="77"/>
        <v/>
      </c>
      <c r="U430" s="61" t="str">
        <f t="shared" si="78"/>
        <v/>
      </c>
      <c r="V430" s="183" t="str">
        <f t="shared" si="80"/>
        <v/>
      </c>
      <c r="W430" s="183" t="str">
        <f t="shared" si="81"/>
        <v/>
      </c>
      <c r="X430" s="61" t="str">
        <f t="shared" si="82"/>
        <v/>
      </c>
      <c r="Y430" s="61" t="str">
        <f t="shared" si="83"/>
        <v/>
      </c>
      <c r="Z430" s="118" t="str">
        <f t="shared" si="84"/>
        <v/>
      </c>
      <c r="AA430" s="62" t="str">
        <f t="shared" si="85"/>
        <v/>
      </c>
      <c r="AB430" s="119" t="str">
        <f>IF(A430&lt;&gt;"", IF(P430&lt;&gt;0,SUMIFS(node!$J$2:$J$1000, node!$C$2:$C$1000,"="&amp;A430)/P430,0), "")</f>
        <v/>
      </c>
      <c r="AC430" s="81" t="str">
        <f>IF(A430&lt;&gt;"", IF(P430&lt;&gt;0,SUMIFS(node!$K$2:$K$1000, node!$C$2:$C$1000,"="&amp;A430)/P430,0), "")</f>
        <v/>
      </c>
      <c r="AD430" s="82" t="str">
        <f>IF(A430&lt;&gt;"", SUMIFS(node!$L$2:$L$1000, node!$C$2:$C$1000,"="&amp;A430), "")</f>
        <v/>
      </c>
      <c r="AE430" s="87" t="str">
        <f>IF(A430&lt;&gt;"", SUMIFS(node!$M$2:$M$1000, node!$C$2:$C$1000,"="&amp;A430), "")</f>
        <v/>
      </c>
    </row>
    <row r="431" spans="1:31" ht="15.75" customHeight="1" x14ac:dyDescent="0.25">
      <c r="A431" s="71" t="str">
        <f>IF(ISNONTEXT(node_raw[[#This Row],[Column2]]), "", node_raw[[#This Row],[Column2]])</f>
        <v/>
      </c>
      <c r="B431" s="108" t="str">
        <f>IF(A431&lt;&gt;"", VLOOKUP(A431, node!$C$2:$D$1000, 2, FALSE), "")</f>
        <v/>
      </c>
      <c r="C431" s="109" t="str">
        <f>IF(A431&lt;&gt;"", VLOOKUP(A431, node!$C$2:$E$1000, 3, FALSE), "")</f>
        <v/>
      </c>
      <c r="D431" s="110" t="str">
        <f>IF(A431&lt;&gt;"",COUNTIFS(node!$C$2:$C$1000,"="&amp;A431, node!$C$2:$C$1000,"&lt;&gt;"&amp;""),"")</f>
        <v/>
      </c>
      <c r="E431" s="111" t="str">
        <f>IF(A431&lt;&gt;"",SUMIFS(node!$F$2:$F$500, node!$C$2:$C$500,"="&amp;A431, node!$C$2:$C$500,"&lt;&gt;"&amp;"")/(B431*D431),"")</f>
        <v/>
      </c>
      <c r="F431" s="112" t="str">
        <f>IF(A431&lt;&gt;"",SUMIFS(node!$H$2:$H$500, node!$C$2:$C$500,"="&amp;A431, node!$C$2:$C$500,"&lt;&gt;"&amp;"")/(C431*D431),"")</f>
        <v/>
      </c>
      <c r="G431" s="179" t="str">
        <f>IF(A431&lt;&gt;"",SUMIFS(deployment!$F$4:$F$502, deployment!$D$4:$D$502,"="&amp;A431, deployment!$D$4:$D$502,"&lt;&gt;"&amp;""),"")</f>
        <v/>
      </c>
      <c r="H431" s="181" t="str">
        <f>IF(A431&lt;&gt;"",SUMIFS(deployment!$G$4:$G$502, deployment!$D$4:$D$502,"="&amp;A431, deployment!$D$4:$D$502,"&lt;&gt;"&amp;""),"")</f>
        <v/>
      </c>
      <c r="I431" s="113" t="str">
        <f>IF(A431&lt;&gt;"",SUMIFS(deployment!$H$4:$H$502, deployment!$D$4:$D$502,"="&amp;A431, deployment!$D$4:$D$502,"&lt;&gt;"&amp;""),"")</f>
        <v/>
      </c>
      <c r="J431" s="114" t="str">
        <f>IF(A431&lt;&gt;"",SUMIFS(deployment!$I$4:$I$502, deployment!$D$4:$D$502,"="&amp;A431, deployment!$D$4:$D$502,"&lt;&gt;"&amp;""),"")</f>
        <v/>
      </c>
      <c r="K431" s="182" t="str">
        <f>IF(A431&lt;&gt;"",SUMIFS(deployment!$J$4:$J$1002, deployment!$D$4:$D$1002,"="&amp;A431, deployment!$D$4:$D$1002,"&lt;&gt;"&amp;"", deployment!$C$4:$C$1002, "&lt;&gt;* )")+SUMIFS(namespace!$G$4:$G$1002, namespace!$B$4:$B$1002,"="&amp;A431, namespace!$B$4:$B$1002,"&lt;&gt;"&amp;""),"")</f>
        <v/>
      </c>
      <c r="L431" s="182" t="str">
        <f>IF(A431&lt;&gt;"",SUMIFS(deployment!$K$4:$K$1002, deployment!$D$4:$D$1002,"="&amp;A431, deployment!$D$4:$D$1002,"&lt;&gt;"&amp;"", deployment!$C$4:$C$1002, "&lt;&gt;* )")+SUMIFS(namespace!$H$4:$H$1002, namespace!$B$4:$B$1002,"="&amp;A431, namespace!$B$4:$B$1002,"&lt;&gt;"&amp;""),"")</f>
        <v/>
      </c>
      <c r="M431" s="115" t="str">
        <f>IF(A431&lt;&gt;"",SUMIFS(deployment!$L$4:$L$1002, deployment!$D$4:$D$1002,"="&amp;A431, deployment!$D$4:$D$1002,"&lt;&gt;"&amp;"", deployment!$C$4:$C$1002, "&lt;&gt;* )")+SUMIFS(namespace!$I$4:$I$1002, namespace!$B$4:$B$1002,"="&amp;A431, namespace!$B$4:$B$1002,"&lt;&gt;"&amp;""),"")</f>
        <v/>
      </c>
      <c r="N431" s="115" t="str">
        <f>IF(A431&lt;&gt;"",SUMIFS(deployment!$M$4:$M$1002, deployment!$D$4:$D$1002,"="&amp;A431, deployment!$D$4:$D$1002,"&lt;&gt;"&amp;"", deployment!$C$4:$C$1002, "&lt;&gt;* )")+SUMIFS(namespace!$J$4:$J$1002, namespace!$B$4:$B$1002,"="&amp;A431, namespace!$B$4:$B$1002,"&lt;&gt;"&amp;""),"")</f>
        <v/>
      </c>
      <c r="O431" s="116" t="str">
        <f t="shared" si="79"/>
        <v/>
      </c>
      <c r="P431" s="63"/>
      <c r="Q431" s="164" t="str">
        <f t="shared" si="74"/>
        <v/>
      </c>
      <c r="R431" s="60" t="str">
        <f t="shared" si="75"/>
        <v/>
      </c>
      <c r="S431" s="60" t="str">
        <f t="shared" si="76"/>
        <v/>
      </c>
      <c r="T431" s="61" t="str">
        <f t="shared" si="77"/>
        <v/>
      </c>
      <c r="U431" s="61" t="str">
        <f t="shared" si="78"/>
        <v/>
      </c>
      <c r="V431" s="183" t="str">
        <f t="shared" si="80"/>
        <v/>
      </c>
      <c r="W431" s="183" t="str">
        <f t="shared" si="81"/>
        <v/>
      </c>
      <c r="X431" s="61" t="str">
        <f t="shared" si="82"/>
        <v/>
      </c>
      <c r="Y431" s="61" t="str">
        <f t="shared" si="83"/>
        <v/>
      </c>
      <c r="Z431" s="118" t="str">
        <f t="shared" si="84"/>
        <v/>
      </c>
      <c r="AA431" s="62" t="str">
        <f t="shared" si="85"/>
        <v/>
      </c>
      <c r="AB431" s="119" t="str">
        <f>IF(A431&lt;&gt;"", IF(P431&lt;&gt;0,SUMIFS(node!$J$2:$J$1000, node!$C$2:$C$1000,"="&amp;A431)/P431,0), "")</f>
        <v/>
      </c>
      <c r="AC431" s="81" t="str">
        <f>IF(A431&lt;&gt;"", IF(P431&lt;&gt;0,SUMIFS(node!$K$2:$K$1000, node!$C$2:$C$1000,"="&amp;A431)/P431,0), "")</f>
        <v/>
      </c>
      <c r="AD431" s="82" t="str">
        <f>IF(A431&lt;&gt;"", SUMIFS(node!$L$2:$L$1000, node!$C$2:$C$1000,"="&amp;A431), "")</f>
        <v/>
      </c>
      <c r="AE431" s="87" t="str">
        <f>IF(A431&lt;&gt;"", SUMIFS(node!$M$2:$M$1000, node!$C$2:$C$1000,"="&amp;A431), "")</f>
        <v/>
      </c>
    </row>
    <row r="432" spans="1:31" ht="15.75" customHeight="1" x14ac:dyDescent="0.25">
      <c r="A432" s="71" t="str">
        <f>IF(ISNONTEXT(node_raw[[#This Row],[Column2]]), "", node_raw[[#This Row],[Column2]])</f>
        <v/>
      </c>
      <c r="B432" s="108" t="str">
        <f>IF(A432&lt;&gt;"", VLOOKUP(A432, node!$C$2:$D$1000, 2, FALSE), "")</f>
        <v/>
      </c>
      <c r="C432" s="109" t="str">
        <f>IF(A432&lt;&gt;"", VLOOKUP(A432, node!$C$2:$E$1000, 3, FALSE), "")</f>
        <v/>
      </c>
      <c r="D432" s="110" t="str">
        <f>IF(A432&lt;&gt;"",COUNTIFS(node!$C$2:$C$1000,"="&amp;A432, node!$C$2:$C$1000,"&lt;&gt;"&amp;""),"")</f>
        <v/>
      </c>
      <c r="E432" s="111" t="str">
        <f>IF(A432&lt;&gt;"",SUMIFS(node!$F$2:$F$500, node!$C$2:$C$500,"="&amp;A432, node!$C$2:$C$500,"&lt;&gt;"&amp;"")/(B432*D432),"")</f>
        <v/>
      </c>
      <c r="F432" s="112" t="str">
        <f>IF(A432&lt;&gt;"",SUMIFS(node!$H$2:$H$500, node!$C$2:$C$500,"="&amp;A432, node!$C$2:$C$500,"&lt;&gt;"&amp;"")/(C432*D432),"")</f>
        <v/>
      </c>
      <c r="G432" s="179" t="str">
        <f>IF(A432&lt;&gt;"",SUMIFS(deployment!$F$4:$F$502, deployment!$D$4:$D$502,"="&amp;A432, deployment!$D$4:$D$502,"&lt;&gt;"&amp;""),"")</f>
        <v/>
      </c>
      <c r="H432" s="181" t="str">
        <f>IF(A432&lt;&gt;"",SUMIFS(deployment!$G$4:$G$502, deployment!$D$4:$D$502,"="&amp;A432, deployment!$D$4:$D$502,"&lt;&gt;"&amp;""),"")</f>
        <v/>
      </c>
      <c r="I432" s="113" t="str">
        <f>IF(A432&lt;&gt;"",SUMIFS(deployment!$H$4:$H$502, deployment!$D$4:$D$502,"="&amp;A432, deployment!$D$4:$D$502,"&lt;&gt;"&amp;""),"")</f>
        <v/>
      </c>
      <c r="J432" s="114" t="str">
        <f>IF(A432&lt;&gt;"",SUMIFS(deployment!$I$4:$I$502, deployment!$D$4:$D$502,"="&amp;A432, deployment!$D$4:$D$502,"&lt;&gt;"&amp;""),"")</f>
        <v/>
      </c>
      <c r="K432" s="182" t="str">
        <f>IF(A432&lt;&gt;"",SUMIFS(deployment!$J$4:$J$1002, deployment!$D$4:$D$1002,"="&amp;A432, deployment!$D$4:$D$1002,"&lt;&gt;"&amp;"", deployment!$C$4:$C$1002, "&lt;&gt;* )")+SUMIFS(namespace!$G$4:$G$1002, namespace!$B$4:$B$1002,"="&amp;A432, namespace!$B$4:$B$1002,"&lt;&gt;"&amp;""),"")</f>
        <v/>
      </c>
      <c r="L432" s="182" t="str">
        <f>IF(A432&lt;&gt;"",SUMIFS(deployment!$K$4:$K$1002, deployment!$D$4:$D$1002,"="&amp;A432, deployment!$D$4:$D$1002,"&lt;&gt;"&amp;"", deployment!$C$4:$C$1002, "&lt;&gt;* )")+SUMIFS(namespace!$H$4:$H$1002, namespace!$B$4:$B$1002,"="&amp;A432, namespace!$B$4:$B$1002,"&lt;&gt;"&amp;""),"")</f>
        <v/>
      </c>
      <c r="M432" s="115" t="str">
        <f>IF(A432&lt;&gt;"",SUMIFS(deployment!$L$4:$L$1002, deployment!$D$4:$D$1002,"="&amp;A432, deployment!$D$4:$D$1002,"&lt;&gt;"&amp;"", deployment!$C$4:$C$1002, "&lt;&gt;* )")+SUMIFS(namespace!$I$4:$I$1002, namespace!$B$4:$B$1002,"="&amp;A432, namespace!$B$4:$B$1002,"&lt;&gt;"&amp;""),"")</f>
        <v/>
      </c>
      <c r="N432" s="115" t="str">
        <f>IF(A432&lt;&gt;"",SUMIFS(deployment!$M$4:$M$1002, deployment!$D$4:$D$1002,"="&amp;A432, deployment!$D$4:$D$1002,"&lt;&gt;"&amp;"", deployment!$C$4:$C$1002, "&lt;&gt;* )")+SUMIFS(namespace!$J$4:$J$1002, namespace!$B$4:$B$1002,"="&amp;A432, namespace!$B$4:$B$1002,"&lt;&gt;"&amp;""),"")</f>
        <v/>
      </c>
      <c r="O432" s="116" t="str">
        <f t="shared" si="79"/>
        <v/>
      </c>
      <c r="P432" s="63"/>
      <c r="Q432" s="164" t="str">
        <f t="shared" si="74"/>
        <v/>
      </c>
      <c r="R432" s="60" t="str">
        <f t="shared" si="75"/>
        <v/>
      </c>
      <c r="S432" s="60" t="str">
        <f t="shared" si="76"/>
        <v/>
      </c>
      <c r="T432" s="61" t="str">
        <f t="shared" si="77"/>
        <v/>
      </c>
      <c r="U432" s="61" t="str">
        <f t="shared" si="78"/>
        <v/>
      </c>
      <c r="V432" s="183" t="str">
        <f t="shared" si="80"/>
        <v/>
      </c>
      <c r="W432" s="183" t="str">
        <f t="shared" si="81"/>
        <v/>
      </c>
      <c r="X432" s="61" t="str">
        <f t="shared" si="82"/>
        <v/>
      </c>
      <c r="Y432" s="61" t="str">
        <f t="shared" si="83"/>
        <v/>
      </c>
      <c r="Z432" s="118" t="str">
        <f t="shared" si="84"/>
        <v/>
      </c>
      <c r="AA432" s="62" t="str">
        <f t="shared" si="85"/>
        <v/>
      </c>
      <c r="AB432" s="119" t="str">
        <f>IF(A432&lt;&gt;"", IF(P432&lt;&gt;0,SUMIFS(node!$J$2:$J$1000, node!$C$2:$C$1000,"="&amp;A432)/P432,0), "")</f>
        <v/>
      </c>
      <c r="AC432" s="81" t="str">
        <f>IF(A432&lt;&gt;"", IF(P432&lt;&gt;0,SUMIFS(node!$K$2:$K$1000, node!$C$2:$C$1000,"="&amp;A432)/P432,0), "")</f>
        <v/>
      </c>
      <c r="AD432" s="82" t="str">
        <f>IF(A432&lt;&gt;"", SUMIFS(node!$L$2:$L$1000, node!$C$2:$C$1000,"="&amp;A432), "")</f>
        <v/>
      </c>
      <c r="AE432" s="87" t="str">
        <f>IF(A432&lt;&gt;"", SUMIFS(node!$M$2:$M$1000, node!$C$2:$C$1000,"="&amp;A432), "")</f>
        <v/>
      </c>
    </row>
    <row r="433" spans="1:31" ht="15.75" customHeight="1" x14ac:dyDescent="0.25">
      <c r="A433" s="71" t="str">
        <f>IF(ISNONTEXT(node_raw[[#This Row],[Column2]]), "", node_raw[[#This Row],[Column2]])</f>
        <v/>
      </c>
      <c r="B433" s="108" t="str">
        <f>IF(A433&lt;&gt;"", VLOOKUP(A433, node!$C$2:$D$1000, 2, FALSE), "")</f>
        <v/>
      </c>
      <c r="C433" s="109" t="str">
        <f>IF(A433&lt;&gt;"", VLOOKUP(A433, node!$C$2:$E$1000, 3, FALSE), "")</f>
        <v/>
      </c>
      <c r="D433" s="110" t="str">
        <f>IF(A433&lt;&gt;"",COUNTIFS(node!$C$2:$C$1000,"="&amp;A433, node!$C$2:$C$1000,"&lt;&gt;"&amp;""),"")</f>
        <v/>
      </c>
      <c r="E433" s="111" t="str">
        <f>IF(A433&lt;&gt;"",SUMIFS(node!$F$2:$F$500, node!$C$2:$C$500,"="&amp;A433, node!$C$2:$C$500,"&lt;&gt;"&amp;"")/(B433*D433),"")</f>
        <v/>
      </c>
      <c r="F433" s="112" t="str">
        <f>IF(A433&lt;&gt;"",SUMIFS(node!$H$2:$H$500, node!$C$2:$C$500,"="&amp;A433, node!$C$2:$C$500,"&lt;&gt;"&amp;"")/(C433*D433),"")</f>
        <v/>
      </c>
      <c r="G433" s="179" t="str">
        <f>IF(A433&lt;&gt;"",SUMIFS(deployment!$F$4:$F$502, deployment!$D$4:$D$502,"="&amp;A433, deployment!$D$4:$D$502,"&lt;&gt;"&amp;""),"")</f>
        <v/>
      </c>
      <c r="H433" s="181" t="str">
        <f>IF(A433&lt;&gt;"",SUMIFS(deployment!$G$4:$G$502, deployment!$D$4:$D$502,"="&amp;A433, deployment!$D$4:$D$502,"&lt;&gt;"&amp;""),"")</f>
        <v/>
      </c>
      <c r="I433" s="113" t="str">
        <f>IF(A433&lt;&gt;"",SUMIFS(deployment!$H$4:$H$502, deployment!$D$4:$D$502,"="&amp;A433, deployment!$D$4:$D$502,"&lt;&gt;"&amp;""),"")</f>
        <v/>
      </c>
      <c r="J433" s="114" t="str">
        <f>IF(A433&lt;&gt;"",SUMIFS(deployment!$I$4:$I$502, deployment!$D$4:$D$502,"="&amp;A433, deployment!$D$4:$D$502,"&lt;&gt;"&amp;""),"")</f>
        <v/>
      </c>
      <c r="K433" s="182" t="str">
        <f>IF(A433&lt;&gt;"",SUMIFS(deployment!$J$4:$J$1002, deployment!$D$4:$D$1002,"="&amp;A433, deployment!$D$4:$D$1002,"&lt;&gt;"&amp;"", deployment!$C$4:$C$1002, "&lt;&gt;* )")+SUMIFS(namespace!$G$4:$G$1002, namespace!$B$4:$B$1002,"="&amp;A433, namespace!$B$4:$B$1002,"&lt;&gt;"&amp;""),"")</f>
        <v/>
      </c>
      <c r="L433" s="182" t="str">
        <f>IF(A433&lt;&gt;"",SUMIFS(deployment!$K$4:$K$1002, deployment!$D$4:$D$1002,"="&amp;A433, deployment!$D$4:$D$1002,"&lt;&gt;"&amp;"", deployment!$C$4:$C$1002, "&lt;&gt;* )")+SUMIFS(namespace!$H$4:$H$1002, namespace!$B$4:$B$1002,"="&amp;A433, namespace!$B$4:$B$1002,"&lt;&gt;"&amp;""),"")</f>
        <v/>
      </c>
      <c r="M433" s="115" t="str">
        <f>IF(A433&lt;&gt;"",SUMIFS(deployment!$L$4:$L$1002, deployment!$D$4:$D$1002,"="&amp;A433, deployment!$D$4:$D$1002,"&lt;&gt;"&amp;"", deployment!$C$4:$C$1002, "&lt;&gt;* )")+SUMIFS(namespace!$I$4:$I$1002, namespace!$B$4:$B$1002,"="&amp;A433, namespace!$B$4:$B$1002,"&lt;&gt;"&amp;""),"")</f>
        <v/>
      </c>
      <c r="N433" s="115" t="str">
        <f>IF(A433&lt;&gt;"",SUMIFS(deployment!$M$4:$M$1002, deployment!$D$4:$D$1002,"="&amp;A433, deployment!$D$4:$D$1002,"&lt;&gt;"&amp;"", deployment!$C$4:$C$1002, "&lt;&gt;* )")+SUMIFS(namespace!$J$4:$J$1002, namespace!$B$4:$B$1002,"="&amp;A433, namespace!$B$4:$B$1002,"&lt;&gt;"&amp;""),"")</f>
        <v/>
      </c>
      <c r="O433" s="116" t="str">
        <f t="shared" si="79"/>
        <v/>
      </c>
      <c r="P433" s="63"/>
      <c r="Q433" s="164" t="str">
        <f t="shared" si="74"/>
        <v/>
      </c>
      <c r="R433" s="60" t="str">
        <f t="shared" si="75"/>
        <v/>
      </c>
      <c r="S433" s="60" t="str">
        <f t="shared" si="76"/>
        <v/>
      </c>
      <c r="T433" s="61" t="str">
        <f t="shared" si="77"/>
        <v/>
      </c>
      <c r="U433" s="61" t="str">
        <f t="shared" si="78"/>
        <v/>
      </c>
      <c r="V433" s="183" t="str">
        <f t="shared" si="80"/>
        <v/>
      </c>
      <c r="W433" s="183" t="str">
        <f t="shared" si="81"/>
        <v/>
      </c>
      <c r="X433" s="61" t="str">
        <f t="shared" si="82"/>
        <v/>
      </c>
      <c r="Y433" s="61" t="str">
        <f t="shared" si="83"/>
        <v/>
      </c>
      <c r="Z433" s="118" t="str">
        <f t="shared" si="84"/>
        <v/>
      </c>
      <c r="AA433" s="62" t="str">
        <f t="shared" si="85"/>
        <v/>
      </c>
      <c r="AB433" s="119" t="str">
        <f>IF(A433&lt;&gt;"", IF(P433&lt;&gt;0,SUMIFS(node!$J$2:$J$1000, node!$C$2:$C$1000,"="&amp;A433)/P433,0), "")</f>
        <v/>
      </c>
      <c r="AC433" s="81" t="str">
        <f>IF(A433&lt;&gt;"", IF(P433&lt;&gt;0,SUMIFS(node!$K$2:$K$1000, node!$C$2:$C$1000,"="&amp;A433)/P433,0), "")</f>
        <v/>
      </c>
      <c r="AD433" s="82" t="str">
        <f>IF(A433&lt;&gt;"", SUMIFS(node!$L$2:$L$1000, node!$C$2:$C$1000,"="&amp;A433), "")</f>
        <v/>
      </c>
      <c r="AE433" s="87" t="str">
        <f>IF(A433&lt;&gt;"", SUMIFS(node!$M$2:$M$1000, node!$C$2:$C$1000,"="&amp;A433), "")</f>
        <v/>
      </c>
    </row>
    <row r="434" spans="1:31" ht="15.75" customHeight="1" x14ac:dyDescent="0.25">
      <c r="A434" s="71" t="str">
        <f>IF(ISNONTEXT(node_raw[[#This Row],[Column2]]), "", node_raw[[#This Row],[Column2]])</f>
        <v/>
      </c>
      <c r="B434" s="108" t="str">
        <f>IF(A434&lt;&gt;"", VLOOKUP(A434, node!$C$2:$D$1000, 2, FALSE), "")</f>
        <v/>
      </c>
      <c r="C434" s="109" t="str">
        <f>IF(A434&lt;&gt;"", VLOOKUP(A434, node!$C$2:$E$1000, 3, FALSE), "")</f>
        <v/>
      </c>
      <c r="D434" s="110" t="str">
        <f>IF(A434&lt;&gt;"",COUNTIFS(node!$C$2:$C$1000,"="&amp;A434, node!$C$2:$C$1000,"&lt;&gt;"&amp;""),"")</f>
        <v/>
      </c>
      <c r="E434" s="111" t="str">
        <f>IF(A434&lt;&gt;"",SUMIFS(node!$F$2:$F$500, node!$C$2:$C$500,"="&amp;A434, node!$C$2:$C$500,"&lt;&gt;"&amp;"")/(B434*D434),"")</f>
        <v/>
      </c>
      <c r="F434" s="112" t="str">
        <f>IF(A434&lt;&gt;"",SUMIFS(node!$H$2:$H$500, node!$C$2:$C$500,"="&amp;A434, node!$C$2:$C$500,"&lt;&gt;"&amp;"")/(C434*D434),"")</f>
        <v/>
      </c>
      <c r="G434" s="179" t="str">
        <f>IF(A434&lt;&gt;"",SUMIFS(deployment!$F$4:$F$502, deployment!$D$4:$D$502,"="&amp;A434, deployment!$D$4:$D$502,"&lt;&gt;"&amp;""),"")</f>
        <v/>
      </c>
      <c r="H434" s="181" t="str">
        <f>IF(A434&lt;&gt;"",SUMIFS(deployment!$G$4:$G$502, deployment!$D$4:$D$502,"="&amp;A434, deployment!$D$4:$D$502,"&lt;&gt;"&amp;""),"")</f>
        <v/>
      </c>
      <c r="I434" s="113" t="str">
        <f>IF(A434&lt;&gt;"",SUMIFS(deployment!$H$4:$H$502, deployment!$D$4:$D$502,"="&amp;A434, deployment!$D$4:$D$502,"&lt;&gt;"&amp;""),"")</f>
        <v/>
      </c>
      <c r="J434" s="114" t="str">
        <f>IF(A434&lt;&gt;"",SUMIFS(deployment!$I$4:$I$502, deployment!$D$4:$D$502,"="&amp;A434, deployment!$D$4:$D$502,"&lt;&gt;"&amp;""),"")</f>
        <v/>
      </c>
      <c r="K434" s="182" t="str">
        <f>IF(A434&lt;&gt;"",SUMIFS(deployment!$J$4:$J$1002, deployment!$D$4:$D$1002,"="&amp;A434, deployment!$D$4:$D$1002,"&lt;&gt;"&amp;"", deployment!$C$4:$C$1002, "&lt;&gt;* )")+SUMIFS(namespace!$G$4:$G$1002, namespace!$B$4:$B$1002,"="&amp;A434, namespace!$B$4:$B$1002,"&lt;&gt;"&amp;""),"")</f>
        <v/>
      </c>
      <c r="L434" s="182" t="str">
        <f>IF(A434&lt;&gt;"",SUMIFS(deployment!$K$4:$K$1002, deployment!$D$4:$D$1002,"="&amp;A434, deployment!$D$4:$D$1002,"&lt;&gt;"&amp;"", deployment!$C$4:$C$1002, "&lt;&gt;* )")+SUMIFS(namespace!$H$4:$H$1002, namespace!$B$4:$B$1002,"="&amp;A434, namespace!$B$4:$B$1002,"&lt;&gt;"&amp;""),"")</f>
        <v/>
      </c>
      <c r="M434" s="115" t="str">
        <f>IF(A434&lt;&gt;"",SUMIFS(deployment!$L$4:$L$1002, deployment!$D$4:$D$1002,"="&amp;A434, deployment!$D$4:$D$1002,"&lt;&gt;"&amp;"", deployment!$C$4:$C$1002, "&lt;&gt;* )")+SUMIFS(namespace!$I$4:$I$1002, namespace!$B$4:$B$1002,"="&amp;A434, namespace!$B$4:$B$1002,"&lt;&gt;"&amp;""),"")</f>
        <v/>
      </c>
      <c r="N434" s="115" t="str">
        <f>IF(A434&lt;&gt;"",SUMIFS(deployment!$M$4:$M$1002, deployment!$D$4:$D$1002,"="&amp;A434, deployment!$D$4:$D$1002,"&lt;&gt;"&amp;"", deployment!$C$4:$C$1002, "&lt;&gt;* )")+SUMIFS(namespace!$J$4:$J$1002, namespace!$B$4:$B$1002,"="&amp;A434, namespace!$B$4:$B$1002,"&lt;&gt;"&amp;""),"")</f>
        <v/>
      </c>
      <c r="O434" s="116" t="str">
        <f t="shared" si="79"/>
        <v/>
      </c>
      <c r="P434" s="63"/>
      <c r="Q434" s="164" t="str">
        <f t="shared" si="74"/>
        <v/>
      </c>
      <c r="R434" s="60" t="str">
        <f t="shared" si="75"/>
        <v/>
      </c>
      <c r="S434" s="60" t="str">
        <f t="shared" si="76"/>
        <v/>
      </c>
      <c r="T434" s="61" t="str">
        <f t="shared" si="77"/>
        <v/>
      </c>
      <c r="U434" s="61" t="str">
        <f t="shared" si="78"/>
        <v/>
      </c>
      <c r="V434" s="183" t="str">
        <f t="shared" si="80"/>
        <v/>
      </c>
      <c r="W434" s="183" t="str">
        <f t="shared" si="81"/>
        <v/>
      </c>
      <c r="X434" s="61" t="str">
        <f t="shared" si="82"/>
        <v/>
      </c>
      <c r="Y434" s="61" t="str">
        <f t="shared" si="83"/>
        <v/>
      </c>
      <c r="Z434" s="118" t="str">
        <f t="shared" si="84"/>
        <v/>
      </c>
      <c r="AA434" s="62" t="str">
        <f t="shared" si="85"/>
        <v/>
      </c>
      <c r="AB434" s="119" t="str">
        <f>IF(A434&lt;&gt;"", IF(P434&lt;&gt;0,SUMIFS(node!$J$2:$J$1000, node!$C$2:$C$1000,"="&amp;A434)/P434,0), "")</f>
        <v/>
      </c>
      <c r="AC434" s="81" t="str">
        <f>IF(A434&lt;&gt;"", IF(P434&lt;&gt;0,SUMIFS(node!$K$2:$K$1000, node!$C$2:$C$1000,"="&amp;A434)/P434,0), "")</f>
        <v/>
      </c>
      <c r="AD434" s="82" t="str">
        <f>IF(A434&lt;&gt;"", SUMIFS(node!$L$2:$L$1000, node!$C$2:$C$1000,"="&amp;A434), "")</f>
        <v/>
      </c>
      <c r="AE434" s="87" t="str">
        <f>IF(A434&lt;&gt;"", SUMIFS(node!$M$2:$M$1000, node!$C$2:$C$1000,"="&amp;A434), "")</f>
        <v/>
      </c>
    </row>
    <row r="435" spans="1:31" ht="15.75" customHeight="1" x14ac:dyDescent="0.25">
      <c r="A435" s="71" t="str">
        <f>IF(ISNONTEXT(node_raw[[#This Row],[Column2]]), "", node_raw[[#This Row],[Column2]])</f>
        <v/>
      </c>
      <c r="B435" s="108" t="str">
        <f>IF(A435&lt;&gt;"", VLOOKUP(A435, node!$C$2:$D$1000, 2, FALSE), "")</f>
        <v/>
      </c>
      <c r="C435" s="109" t="str">
        <f>IF(A435&lt;&gt;"", VLOOKUP(A435, node!$C$2:$E$1000, 3, FALSE), "")</f>
        <v/>
      </c>
      <c r="D435" s="110" t="str">
        <f>IF(A435&lt;&gt;"",COUNTIFS(node!$C$2:$C$1000,"="&amp;A435, node!$C$2:$C$1000,"&lt;&gt;"&amp;""),"")</f>
        <v/>
      </c>
      <c r="E435" s="111" t="str">
        <f>IF(A435&lt;&gt;"",SUMIFS(node!$F$2:$F$500, node!$C$2:$C$500,"="&amp;A435, node!$C$2:$C$500,"&lt;&gt;"&amp;"")/(B435*D435),"")</f>
        <v/>
      </c>
      <c r="F435" s="112" t="str">
        <f>IF(A435&lt;&gt;"",SUMIFS(node!$H$2:$H$500, node!$C$2:$C$500,"="&amp;A435, node!$C$2:$C$500,"&lt;&gt;"&amp;"")/(C435*D435),"")</f>
        <v/>
      </c>
      <c r="G435" s="179" t="str">
        <f>IF(A435&lt;&gt;"",SUMIFS(deployment!$F$4:$F$502, deployment!$D$4:$D$502,"="&amp;A435, deployment!$D$4:$D$502,"&lt;&gt;"&amp;""),"")</f>
        <v/>
      </c>
      <c r="H435" s="181" t="str">
        <f>IF(A435&lt;&gt;"",SUMIFS(deployment!$G$4:$G$502, deployment!$D$4:$D$502,"="&amp;A435, deployment!$D$4:$D$502,"&lt;&gt;"&amp;""),"")</f>
        <v/>
      </c>
      <c r="I435" s="113" t="str">
        <f>IF(A435&lt;&gt;"",SUMIFS(deployment!$H$4:$H$502, deployment!$D$4:$D$502,"="&amp;A435, deployment!$D$4:$D$502,"&lt;&gt;"&amp;""),"")</f>
        <v/>
      </c>
      <c r="J435" s="114" t="str">
        <f>IF(A435&lt;&gt;"",SUMIFS(deployment!$I$4:$I$502, deployment!$D$4:$D$502,"="&amp;A435, deployment!$D$4:$D$502,"&lt;&gt;"&amp;""),"")</f>
        <v/>
      </c>
      <c r="K435" s="182" t="str">
        <f>IF(A435&lt;&gt;"",SUMIFS(deployment!$J$4:$J$1002, deployment!$D$4:$D$1002,"="&amp;A435, deployment!$D$4:$D$1002,"&lt;&gt;"&amp;"", deployment!$C$4:$C$1002, "&lt;&gt;* )")+SUMIFS(namespace!$G$4:$G$1002, namespace!$B$4:$B$1002,"="&amp;A435, namespace!$B$4:$B$1002,"&lt;&gt;"&amp;""),"")</f>
        <v/>
      </c>
      <c r="L435" s="182" t="str">
        <f>IF(A435&lt;&gt;"",SUMIFS(deployment!$K$4:$K$1002, deployment!$D$4:$D$1002,"="&amp;A435, deployment!$D$4:$D$1002,"&lt;&gt;"&amp;"", deployment!$C$4:$C$1002, "&lt;&gt;* )")+SUMIFS(namespace!$H$4:$H$1002, namespace!$B$4:$B$1002,"="&amp;A435, namespace!$B$4:$B$1002,"&lt;&gt;"&amp;""),"")</f>
        <v/>
      </c>
      <c r="M435" s="115" t="str">
        <f>IF(A435&lt;&gt;"",SUMIFS(deployment!$L$4:$L$1002, deployment!$D$4:$D$1002,"="&amp;A435, deployment!$D$4:$D$1002,"&lt;&gt;"&amp;"", deployment!$C$4:$C$1002, "&lt;&gt;* )")+SUMIFS(namespace!$I$4:$I$1002, namespace!$B$4:$B$1002,"="&amp;A435, namespace!$B$4:$B$1002,"&lt;&gt;"&amp;""),"")</f>
        <v/>
      </c>
      <c r="N435" s="115" t="str">
        <f>IF(A435&lt;&gt;"",SUMIFS(deployment!$M$4:$M$1002, deployment!$D$4:$D$1002,"="&amp;A435, deployment!$D$4:$D$1002,"&lt;&gt;"&amp;"", deployment!$C$4:$C$1002, "&lt;&gt;* )")+SUMIFS(namespace!$J$4:$J$1002, namespace!$B$4:$B$1002,"="&amp;A435, namespace!$B$4:$B$1002,"&lt;&gt;"&amp;""),"")</f>
        <v/>
      </c>
      <c r="O435" s="116" t="str">
        <f t="shared" si="79"/>
        <v/>
      </c>
      <c r="P435" s="63"/>
      <c r="Q435" s="164" t="str">
        <f t="shared" si="74"/>
        <v/>
      </c>
      <c r="R435" s="60" t="str">
        <f t="shared" si="75"/>
        <v/>
      </c>
      <c r="S435" s="60" t="str">
        <f t="shared" si="76"/>
        <v/>
      </c>
      <c r="T435" s="61" t="str">
        <f t="shared" si="77"/>
        <v/>
      </c>
      <c r="U435" s="61" t="str">
        <f t="shared" si="78"/>
        <v/>
      </c>
      <c r="V435" s="183" t="str">
        <f t="shared" si="80"/>
        <v/>
      </c>
      <c r="W435" s="183" t="str">
        <f t="shared" si="81"/>
        <v/>
      </c>
      <c r="X435" s="61" t="str">
        <f t="shared" si="82"/>
        <v/>
      </c>
      <c r="Y435" s="61" t="str">
        <f t="shared" si="83"/>
        <v/>
      </c>
      <c r="Z435" s="118" t="str">
        <f t="shared" si="84"/>
        <v/>
      </c>
      <c r="AA435" s="62" t="str">
        <f t="shared" si="85"/>
        <v/>
      </c>
      <c r="AB435" s="119" t="str">
        <f>IF(A435&lt;&gt;"", IF(P435&lt;&gt;0,SUMIFS(node!$J$2:$J$1000, node!$C$2:$C$1000,"="&amp;A435)/P435,0), "")</f>
        <v/>
      </c>
      <c r="AC435" s="81" t="str">
        <f>IF(A435&lt;&gt;"", IF(P435&lt;&gt;0,SUMIFS(node!$K$2:$K$1000, node!$C$2:$C$1000,"="&amp;A435)/P435,0), "")</f>
        <v/>
      </c>
      <c r="AD435" s="82" t="str">
        <f>IF(A435&lt;&gt;"", SUMIFS(node!$L$2:$L$1000, node!$C$2:$C$1000,"="&amp;A435), "")</f>
        <v/>
      </c>
      <c r="AE435" s="87" t="str">
        <f>IF(A435&lt;&gt;"", SUMIFS(node!$M$2:$M$1000, node!$C$2:$C$1000,"="&amp;A435), "")</f>
        <v/>
      </c>
    </row>
    <row r="436" spans="1:31" ht="15.75" customHeight="1" x14ac:dyDescent="0.25">
      <c r="A436" s="71" t="str">
        <f>IF(ISNONTEXT(node_raw[[#This Row],[Column2]]), "", node_raw[[#This Row],[Column2]])</f>
        <v/>
      </c>
      <c r="B436" s="108" t="str">
        <f>IF(A436&lt;&gt;"", VLOOKUP(A436, node!$C$2:$D$1000, 2, FALSE), "")</f>
        <v/>
      </c>
      <c r="C436" s="109" t="str">
        <f>IF(A436&lt;&gt;"", VLOOKUP(A436, node!$C$2:$E$1000, 3, FALSE), "")</f>
        <v/>
      </c>
      <c r="D436" s="110" t="str">
        <f>IF(A436&lt;&gt;"",COUNTIFS(node!$C$2:$C$1000,"="&amp;A436, node!$C$2:$C$1000,"&lt;&gt;"&amp;""),"")</f>
        <v/>
      </c>
      <c r="E436" s="111" t="str">
        <f>IF(A436&lt;&gt;"",SUMIFS(node!$F$2:$F$500, node!$C$2:$C$500,"="&amp;A436, node!$C$2:$C$500,"&lt;&gt;"&amp;"")/(B436*D436),"")</f>
        <v/>
      </c>
      <c r="F436" s="112" t="str">
        <f>IF(A436&lt;&gt;"",SUMIFS(node!$H$2:$H$500, node!$C$2:$C$500,"="&amp;A436, node!$C$2:$C$500,"&lt;&gt;"&amp;"")/(C436*D436),"")</f>
        <v/>
      </c>
      <c r="G436" s="179" t="str">
        <f>IF(A436&lt;&gt;"",SUMIFS(deployment!$F$4:$F$502, deployment!$D$4:$D$502,"="&amp;A436, deployment!$D$4:$D$502,"&lt;&gt;"&amp;""),"")</f>
        <v/>
      </c>
      <c r="H436" s="181" t="str">
        <f>IF(A436&lt;&gt;"",SUMIFS(deployment!$G$4:$G$502, deployment!$D$4:$D$502,"="&amp;A436, deployment!$D$4:$D$502,"&lt;&gt;"&amp;""),"")</f>
        <v/>
      </c>
      <c r="I436" s="113" t="str">
        <f>IF(A436&lt;&gt;"",SUMIFS(deployment!$H$4:$H$502, deployment!$D$4:$D$502,"="&amp;A436, deployment!$D$4:$D$502,"&lt;&gt;"&amp;""),"")</f>
        <v/>
      </c>
      <c r="J436" s="114" t="str">
        <f>IF(A436&lt;&gt;"",SUMIFS(deployment!$I$4:$I$502, deployment!$D$4:$D$502,"="&amp;A436, deployment!$D$4:$D$502,"&lt;&gt;"&amp;""),"")</f>
        <v/>
      </c>
      <c r="K436" s="182" t="str">
        <f>IF(A436&lt;&gt;"",SUMIFS(deployment!$J$4:$J$1002, deployment!$D$4:$D$1002,"="&amp;A436, deployment!$D$4:$D$1002,"&lt;&gt;"&amp;"", deployment!$C$4:$C$1002, "&lt;&gt;* )")+SUMIFS(namespace!$G$4:$G$1002, namespace!$B$4:$B$1002,"="&amp;A436, namespace!$B$4:$B$1002,"&lt;&gt;"&amp;""),"")</f>
        <v/>
      </c>
      <c r="L436" s="182" t="str">
        <f>IF(A436&lt;&gt;"",SUMIFS(deployment!$K$4:$K$1002, deployment!$D$4:$D$1002,"="&amp;A436, deployment!$D$4:$D$1002,"&lt;&gt;"&amp;"", deployment!$C$4:$C$1002, "&lt;&gt;* )")+SUMIFS(namespace!$H$4:$H$1002, namespace!$B$4:$B$1002,"="&amp;A436, namespace!$B$4:$B$1002,"&lt;&gt;"&amp;""),"")</f>
        <v/>
      </c>
      <c r="M436" s="115" t="str">
        <f>IF(A436&lt;&gt;"",SUMIFS(deployment!$L$4:$L$1002, deployment!$D$4:$D$1002,"="&amp;A436, deployment!$D$4:$D$1002,"&lt;&gt;"&amp;"", deployment!$C$4:$C$1002, "&lt;&gt;* )")+SUMIFS(namespace!$I$4:$I$1002, namespace!$B$4:$B$1002,"="&amp;A436, namespace!$B$4:$B$1002,"&lt;&gt;"&amp;""),"")</f>
        <v/>
      </c>
      <c r="N436" s="115" t="str">
        <f>IF(A436&lt;&gt;"",SUMIFS(deployment!$M$4:$M$1002, deployment!$D$4:$D$1002,"="&amp;A436, deployment!$D$4:$D$1002,"&lt;&gt;"&amp;"", deployment!$C$4:$C$1002, "&lt;&gt;* )")+SUMIFS(namespace!$J$4:$J$1002, namespace!$B$4:$B$1002,"="&amp;A436, namespace!$B$4:$B$1002,"&lt;&gt;"&amp;""),"")</f>
        <v/>
      </c>
      <c r="O436" s="116" t="str">
        <f t="shared" si="79"/>
        <v/>
      </c>
      <c r="P436" s="63"/>
      <c r="Q436" s="164" t="str">
        <f t="shared" si="74"/>
        <v/>
      </c>
      <c r="R436" s="60" t="str">
        <f t="shared" si="75"/>
        <v/>
      </c>
      <c r="S436" s="60" t="str">
        <f t="shared" si="76"/>
        <v/>
      </c>
      <c r="T436" s="61" t="str">
        <f t="shared" si="77"/>
        <v/>
      </c>
      <c r="U436" s="61" t="str">
        <f t="shared" si="78"/>
        <v/>
      </c>
      <c r="V436" s="183" t="str">
        <f t="shared" si="80"/>
        <v/>
      </c>
      <c r="W436" s="183" t="str">
        <f t="shared" si="81"/>
        <v/>
      </c>
      <c r="X436" s="61" t="str">
        <f t="shared" si="82"/>
        <v/>
      </c>
      <c r="Y436" s="61" t="str">
        <f t="shared" si="83"/>
        <v/>
      </c>
      <c r="Z436" s="118" t="str">
        <f t="shared" si="84"/>
        <v/>
      </c>
      <c r="AA436" s="62" t="str">
        <f t="shared" si="85"/>
        <v/>
      </c>
      <c r="AB436" s="119" t="str">
        <f>IF(A436&lt;&gt;"", IF(P436&lt;&gt;0,SUMIFS(node!$J$2:$J$1000, node!$C$2:$C$1000,"="&amp;A436)/P436,0), "")</f>
        <v/>
      </c>
      <c r="AC436" s="81" t="str">
        <f>IF(A436&lt;&gt;"", IF(P436&lt;&gt;0,SUMIFS(node!$K$2:$K$1000, node!$C$2:$C$1000,"="&amp;A436)/P436,0), "")</f>
        <v/>
      </c>
      <c r="AD436" s="82" t="str">
        <f>IF(A436&lt;&gt;"", SUMIFS(node!$L$2:$L$1000, node!$C$2:$C$1000,"="&amp;A436), "")</f>
        <v/>
      </c>
      <c r="AE436" s="87" t="str">
        <f>IF(A436&lt;&gt;"", SUMIFS(node!$M$2:$M$1000, node!$C$2:$C$1000,"="&amp;A436), "")</f>
        <v/>
      </c>
    </row>
    <row r="437" spans="1:31" ht="15.75" customHeight="1" x14ac:dyDescent="0.25">
      <c r="A437" s="71" t="str">
        <f>IF(ISNONTEXT(node_raw[[#This Row],[Column2]]), "", node_raw[[#This Row],[Column2]])</f>
        <v/>
      </c>
      <c r="B437" s="108" t="str">
        <f>IF(A437&lt;&gt;"", VLOOKUP(A437, node!$C$2:$D$1000, 2, FALSE), "")</f>
        <v/>
      </c>
      <c r="C437" s="109" t="str">
        <f>IF(A437&lt;&gt;"", VLOOKUP(A437, node!$C$2:$E$1000, 3, FALSE), "")</f>
        <v/>
      </c>
      <c r="D437" s="110" t="str">
        <f>IF(A437&lt;&gt;"",COUNTIFS(node!$C$2:$C$1000,"="&amp;A437, node!$C$2:$C$1000,"&lt;&gt;"&amp;""),"")</f>
        <v/>
      </c>
      <c r="E437" s="111" t="str">
        <f>IF(A437&lt;&gt;"",SUMIFS(node!$F$2:$F$500, node!$C$2:$C$500,"="&amp;A437, node!$C$2:$C$500,"&lt;&gt;"&amp;"")/(B437*D437),"")</f>
        <v/>
      </c>
      <c r="F437" s="112" t="str">
        <f>IF(A437&lt;&gt;"",SUMIFS(node!$H$2:$H$500, node!$C$2:$C$500,"="&amp;A437, node!$C$2:$C$500,"&lt;&gt;"&amp;"")/(C437*D437),"")</f>
        <v/>
      </c>
      <c r="G437" s="179" t="str">
        <f>IF(A437&lt;&gt;"",SUMIFS(deployment!$F$4:$F$502, deployment!$D$4:$D$502,"="&amp;A437, deployment!$D$4:$D$502,"&lt;&gt;"&amp;""),"")</f>
        <v/>
      </c>
      <c r="H437" s="181" t="str">
        <f>IF(A437&lt;&gt;"",SUMIFS(deployment!$G$4:$G$502, deployment!$D$4:$D$502,"="&amp;A437, deployment!$D$4:$D$502,"&lt;&gt;"&amp;""),"")</f>
        <v/>
      </c>
      <c r="I437" s="113" t="str">
        <f>IF(A437&lt;&gt;"",SUMIFS(deployment!$H$4:$H$502, deployment!$D$4:$D$502,"="&amp;A437, deployment!$D$4:$D$502,"&lt;&gt;"&amp;""),"")</f>
        <v/>
      </c>
      <c r="J437" s="114" t="str">
        <f>IF(A437&lt;&gt;"",SUMIFS(deployment!$I$4:$I$502, deployment!$D$4:$D$502,"="&amp;A437, deployment!$D$4:$D$502,"&lt;&gt;"&amp;""),"")</f>
        <v/>
      </c>
      <c r="K437" s="182" t="str">
        <f>IF(A437&lt;&gt;"",SUMIFS(deployment!$J$4:$J$1002, deployment!$D$4:$D$1002,"="&amp;A437, deployment!$D$4:$D$1002,"&lt;&gt;"&amp;"", deployment!$C$4:$C$1002, "&lt;&gt;* )")+SUMIFS(namespace!$G$4:$G$1002, namespace!$B$4:$B$1002,"="&amp;A437, namespace!$B$4:$B$1002,"&lt;&gt;"&amp;""),"")</f>
        <v/>
      </c>
      <c r="L437" s="182" t="str">
        <f>IF(A437&lt;&gt;"",SUMIFS(deployment!$K$4:$K$1002, deployment!$D$4:$D$1002,"="&amp;A437, deployment!$D$4:$D$1002,"&lt;&gt;"&amp;"", deployment!$C$4:$C$1002, "&lt;&gt;* )")+SUMIFS(namespace!$H$4:$H$1002, namespace!$B$4:$B$1002,"="&amp;A437, namespace!$B$4:$B$1002,"&lt;&gt;"&amp;""),"")</f>
        <v/>
      </c>
      <c r="M437" s="115" t="str">
        <f>IF(A437&lt;&gt;"",SUMIFS(deployment!$L$4:$L$1002, deployment!$D$4:$D$1002,"="&amp;A437, deployment!$D$4:$D$1002,"&lt;&gt;"&amp;"", deployment!$C$4:$C$1002, "&lt;&gt;* )")+SUMIFS(namespace!$I$4:$I$1002, namespace!$B$4:$B$1002,"="&amp;A437, namespace!$B$4:$B$1002,"&lt;&gt;"&amp;""),"")</f>
        <v/>
      </c>
      <c r="N437" s="115" t="str">
        <f>IF(A437&lt;&gt;"",SUMIFS(deployment!$M$4:$M$1002, deployment!$D$4:$D$1002,"="&amp;A437, deployment!$D$4:$D$1002,"&lt;&gt;"&amp;"", deployment!$C$4:$C$1002, "&lt;&gt;* )")+SUMIFS(namespace!$J$4:$J$1002, namespace!$B$4:$B$1002,"="&amp;A437, namespace!$B$4:$B$1002,"&lt;&gt;"&amp;""),"")</f>
        <v/>
      </c>
      <c r="O437" s="116" t="str">
        <f t="shared" si="79"/>
        <v/>
      </c>
      <c r="P437" s="63"/>
      <c r="Q437" s="164" t="str">
        <f t="shared" si="74"/>
        <v/>
      </c>
      <c r="R437" s="60" t="str">
        <f t="shared" si="75"/>
        <v/>
      </c>
      <c r="S437" s="60" t="str">
        <f t="shared" si="76"/>
        <v/>
      </c>
      <c r="T437" s="61" t="str">
        <f t="shared" si="77"/>
        <v/>
      </c>
      <c r="U437" s="61" t="str">
        <f t="shared" si="78"/>
        <v/>
      </c>
      <c r="V437" s="183" t="str">
        <f t="shared" si="80"/>
        <v/>
      </c>
      <c r="W437" s="183" t="str">
        <f t="shared" si="81"/>
        <v/>
      </c>
      <c r="X437" s="61" t="str">
        <f t="shared" si="82"/>
        <v/>
      </c>
      <c r="Y437" s="61" t="str">
        <f t="shared" si="83"/>
        <v/>
      </c>
      <c r="Z437" s="118" t="str">
        <f t="shared" si="84"/>
        <v/>
      </c>
      <c r="AA437" s="62" t="str">
        <f t="shared" si="85"/>
        <v/>
      </c>
      <c r="AB437" s="119" t="str">
        <f>IF(A437&lt;&gt;"", IF(P437&lt;&gt;0,SUMIFS(node!$J$2:$J$1000, node!$C$2:$C$1000,"="&amp;A437)/P437,0), "")</f>
        <v/>
      </c>
      <c r="AC437" s="81" t="str">
        <f>IF(A437&lt;&gt;"", IF(P437&lt;&gt;0,SUMIFS(node!$K$2:$K$1000, node!$C$2:$C$1000,"="&amp;A437)/P437,0), "")</f>
        <v/>
      </c>
      <c r="AD437" s="82" t="str">
        <f>IF(A437&lt;&gt;"", SUMIFS(node!$L$2:$L$1000, node!$C$2:$C$1000,"="&amp;A437), "")</f>
        <v/>
      </c>
      <c r="AE437" s="87" t="str">
        <f>IF(A437&lt;&gt;"", SUMIFS(node!$M$2:$M$1000, node!$C$2:$C$1000,"="&amp;A437), "")</f>
        <v/>
      </c>
    </row>
    <row r="438" spans="1:31" ht="15.75" customHeight="1" x14ac:dyDescent="0.25">
      <c r="A438" s="71" t="str">
        <f>IF(ISNONTEXT(node_raw[[#This Row],[Column2]]), "", node_raw[[#This Row],[Column2]])</f>
        <v/>
      </c>
      <c r="B438" s="108" t="str">
        <f>IF(A438&lt;&gt;"", VLOOKUP(A438, node!$C$2:$D$1000, 2, FALSE), "")</f>
        <v/>
      </c>
      <c r="C438" s="109" t="str">
        <f>IF(A438&lt;&gt;"", VLOOKUP(A438, node!$C$2:$E$1000, 3, FALSE), "")</f>
        <v/>
      </c>
      <c r="D438" s="110" t="str">
        <f>IF(A438&lt;&gt;"",COUNTIFS(node!$C$2:$C$1000,"="&amp;A438, node!$C$2:$C$1000,"&lt;&gt;"&amp;""),"")</f>
        <v/>
      </c>
      <c r="E438" s="111" t="str">
        <f>IF(A438&lt;&gt;"",SUMIFS(node!$F$2:$F$500, node!$C$2:$C$500,"="&amp;A438, node!$C$2:$C$500,"&lt;&gt;"&amp;"")/(B438*D438),"")</f>
        <v/>
      </c>
      <c r="F438" s="112" t="str">
        <f>IF(A438&lt;&gt;"",SUMIFS(node!$H$2:$H$500, node!$C$2:$C$500,"="&amp;A438, node!$C$2:$C$500,"&lt;&gt;"&amp;"")/(C438*D438),"")</f>
        <v/>
      </c>
      <c r="G438" s="179" t="str">
        <f>IF(A438&lt;&gt;"",SUMIFS(deployment!$F$4:$F$502, deployment!$D$4:$D$502,"="&amp;A438, deployment!$D$4:$D$502,"&lt;&gt;"&amp;""),"")</f>
        <v/>
      </c>
      <c r="H438" s="181" t="str">
        <f>IF(A438&lt;&gt;"",SUMIFS(deployment!$G$4:$G$502, deployment!$D$4:$D$502,"="&amp;A438, deployment!$D$4:$D$502,"&lt;&gt;"&amp;""),"")</f>
        <v/>
      </c>
      <c r="I438" s="113" t="str">
        <f>IF(A438&lt;&gt;"",SUMIFS(deployment!$H$4:$H$502, deployment!$D$4:$D$502,"="&amp;A438, deployment!$D$4:$D$502,"&lt;&gt;"&amp;""),"")</f>
        <v/>
      </c>
      <c r="J438" s="114" t="str">
        <f>IF(A438&lt;&gt;"",SUMIFS(deployment!$I$4:$I$502, deployment!$D$4:$D$502,"="&amp;A438, deployment!$D$4:$D$502,"&lt;&gt;"&amp;""),"")</f>
        <v/>
      </c>
      <c r="K438" s="182" t="str">
        <f>IF(A438&lt;&gt;"",SUMIFS(deployment!$J$4:$J$1002, deployment!$D$4:$D$1002,"="&amp;A438, deployment!$D$4:$D$1002,"&lt;&gt;"&amp;"", deployment!$C$4:$C$1002, "&lt;&gt;* )")+SUMIFS(namespace!$G$4:$G$1002, namespace!$B$4:$B$1002,"="&amp;A438, namespace!$B$4:$B$1002,"&lt;&gt;"&amp;""),"")</f>
        <v/>
      </c>
      <c r="L438" s="182" t="str">
        <f>IF(A438&lt;&gt;"",SUMIFS(deployment!$K$4:$K$1002, deployment!$D$4:$D$1002,"="&amp;A438, deployment!$D$4:$D$1002,"&lt;&gt;"&amp;"", deployment!$C$4:$C$1002, "&lt;&gt;* )")+SUMIFS(namespace!$H$4:$H$1002, namespace!$B$4:$B$1002,"="&amp;A438, namespace!$B$4:$B$1002,"&lt;&gt;"&amp;""),"")</f>
        <v/>
      </c>
      <c r="M438" s="115" t="str">
        <f>IF(A438&lt;&gt;"",SUMIFS(deployment!$L$4:$L$1002, deployment!$D$4:$D$1002,"="&amp;A438, deployment!$D$4:$D$1002,"&lt;&gt;"&amp;"", deployment!$C$4:$C$1002, "&lt;&gt;* )")+SUMIFS(namespace!$I$4:$I$1002, namespace!$B$4:$B$1002,"="&amp;A438, namespace!$B$4:$B$1002,"&lt;&gt;"&amp;""),"")</f>
        <v/>
      </c>
      <c r="N438" s="115" t="str">
        <f>IF(A438&lt;&gt;"",SUMIFS(deployment!$M$4:$M$1002, deployment!$D$4:$D$1002,"="&amp;A438, deployment!$D$4:$D$1002,"&lt;&gt;"&amp;"", deployment!$C$4:$C$1002, "&lt;&gt;* )")+SUMIFS(namespace!$J$4:$J$1002, namespace!$B$4:$B$1002,"="&amp;A438, namespace!$B$4:$B$1002,"&lt;&gt;"&amp;""),"")</f>
        <v/>
      </c>
      <c r="O438" s="116" t="str">
        <f t="shared" si="79"/>
        <v/>
      </c>
      <c r="P438" s="63"/>
      <c r="Q438" s="164" t="str">
        <f t="shared" si="74"/>
        <v/>
      </c>
      <c r="R438" s="60" t="str">
        <f t="shared" si="75"/>
        <v/>
      </c>
      <c r="S438" s="60" t="str">
        <f t="shared" si="76"/>
        <v/>
      </c>
      <c r="T438" s="61" t="str">
        <f t="shared" si="77"/>
        <v/>
      </c>
      <c r="U438" s="61" t="str">
        <f t="shared" si="78"/>
        <v/>
      </c>
      <c r="V438" s="183" t="str">
        <f t="shared" si="80"/>
        <v/>
      </c>
      <c r="W438" s="183" t="str">
        <f t="shared" si="81"/>
        <v/>
      </c>
      <c r="X438" s="61" t="str">
        <f t="shared" si="82"/>
        <v/>
      </c>
      <c r="Y438" s="61" t="str">
        <f t="shared" si="83"/>
        <v/>
      </c>
      <c r="Z438" s="118" t="str">
        <f t="shared" si="84"/>
        <v/>
      </c>
      <c r="AA438" s="62" t="str">
        <f t="shared" si="85"/>
        <v/>
      </c>
      <c r="AB438" s="119" t="str">
        <f>IF(A438&lt;&gt;"", IF(P438&lt;&gt;0,SUMIFS(node!$J$2:$J$1000, node!$C$2:$C$1000,"="&amp;A438)/P438,0), "")</f>
        <v/>
      </c>
      <c r="AC438" s="81" t="str">
        <f>IF(A438&lt;&gt;"", IF(P438&lt;&gt;0,SUMIFS(node!$K$2:$K$1000, node!$C$2:$C$1000,"="&amp;A438)/P438,0), "")</f>
        <v/>
      </c>
      <c r="AD438" s="82" t="str">
        <f>IF(A438&lt;&gt;"", SUMIFS(node!$L$2:$L$1000, node!$C$2:$C$1000,"="&amp;A438), "")</f>
        <v/>
      </c>
      <c r="AE438" s="87" t="str">
        <f>IF(A438&lt;&gt;"", SUMIFS(node!$M$2:$M$1000, node!$C$2:$C$1000,"="&amp;A438), "")</f>
        <v/>
      </c>
    </row>
    <row r="439" spans="1:31" ht="15.75" customHeight="1" x14ac:dyDescent="0.25">
      <c r="A439" s="71" t="str">
        <f>IF(ISNONTEXT(node_raw[[#This Row],[Column2]]), "", node_raw[[#This Row],[Column2]])</f>
        <v/>
      </c>
      <c r="B439" s="108" t="str">
        <f>IF(A439&lt;&gt;"", VLOOKUP(A439, node!$C$2:$D$1000, 2, FALSE), "")</f>
        <v/>
      </c>
      <c r="C439" s="109" t="str">
        <f>IF(A439&lt;&gt;"", VLOOKUP(A439, node!$C$2:$E$1000, 3, FALSE), "")</f>
        <v/>
      </c>
      <c r="D439" s="110" t="str">
        <f>IF(A439&lt;&gt;"",COUNTIFS(node!$C$2:$C$1000,"="&amp;A439, node!$C$2:$C$1000,"&lt;&gt;"&amp;""),"")</f>
        <v/>
      </c>
      <c r="E439" s="111" t="str">
        <f>IF(A439&lt;&gt;"",SUMIFS(node!$F$2:$F$500, node!$C$2:$C$500,"="&amp;A439, node!$C$2:$C$500,"&lt;&gt;"&amp;"")/(B439*D439),"")</f>
        <v/>
      </c>
      <c r="F439" s="112" t="str">
        <f>IF(A439&lt;&gt;"",SUMIFS(node!$H$2:$H$500, node!$C$2:$C$500,"="&amp;A439, node!$C$2:$C$500,"&lt;&gt;"&amp;"")/(C439*D439),"")</f>
        <v/>
      </c>
      <c r="G439" s="179" t="str">
        <f>IF(A439&lt;&gt;"",SUMIFS(deployment!$F$4:$F$502, deployment!$D$4:$D$502,"="&amp;A439, deployment!$D$4:$D$502,"&lt;&gt;"&amp;""),"")</f>
        <v/>
      </c>
      <c r="H439" s="181" t="str">
        <f>IF(A439&lt;&gt;"",SUMIFS(deployment!$G$4:$G$502, deployment!$D$4:$D$502,"="&amp;A439, deployment!$D$4:$D$502,"&lt;&gt;"&amp;""),"")</f>
        <v/>
      </c>
      <c r="I439" s="113" t="str">
        <f>IF(A439&lt;&gt;"",SUMIFS(deployment!$H$4:$H$502, deployment!$D$4:$D$502,"="&amp;A439, deployment!$D$4:$D$502,"&lt;&gt;"&amp;""),"")</f>
        <v/>
      </c>
      <c r="J439" s="114" t="str">
        <f>IF(A439&lt;&gt;"",SUMIFS(deployment!$I$4:$I$502, deployment!$D$4:$D$502,"="&amp;A439, deployment!$D$4:$D$502,"&lt;&gt;"&amp;""),"")</f>
        <v/>
      </c>
      <c r="K439" s="182" t="str">
        <f>IF(A439&lt;&gt;"",SUMIFS(deployment!$J$4:$J$1002, deployment!$D$4:$D$1002,"="&amp;A439, deployment!$D$4:$D$1002,"&lt;&gt;"&amp;"", deployment!$C$4:$C$1002, "&lt;&gt;* )")+SUMIFS(namespace!$G$4:$G$1002, namespace!$B$4:$B$1002,"="&amp;A439, namespace!$B$4:$B$1002,"&lt;&gt;"&amp;""),"")</f>
        <v/>
      </c>
      <c r="L439" s="182" t="str">
        <f>IF(A439&lt;&gt;"",SUMIFS(deployment!$K$4:$K$1002, deployment!$D$4:$D$1002,"="&amp;A439, deployment!$D$4:$D$1002,"&lt;&gt;"&amp;"", deployment!$C$4:$C$1002, "&lt;&gt;* )")+SUMIFS(namespace!$H$4:$H$1002, namespace!$B$4:$B$1002,"="&amp;A439, namespace!$B$4:$B$1002,"&lt;&gt;"&amp;""),"")</f>
        <v/>
      </c>
      <c r="M439" s="115" t="str">
        <f>IF(A439&lt;&gt;"",SUMIFS(deployment!$L$4:$L$1002, deployment!$D$4:$D$1002,"="&amp;A439, deployment!$D$4:$D$1002,"&lt;&gt;"&amp;"", deployment!$C$4:$C$1002, "&lt;&gt;* )")+SUMIFS(namespace!$I$4:$I$1002, namespace!$B$4:$B$1002,"="&amp;A439, namespace!$B$4:$B$1002,"&lt;&gt;"&amp;""),"")</f>
        <v/>
      </c>
      <c r="N439" s="115" t="str">
        <f>IF(A439&lt;&gt;"",SUMIFS(deployment!$M$4:$M$1002, deployment!$D$4:$D$1002,"="&amp;A439, deployment!$D$4:$D$1002,"&lt;&gt;"&amp;"", deployment!$C$4:$C$1002, "&lt;&gt;* )")+SUMIFS(namespace!$J$4:$J$1002, namespace!$B$4:$B$1002,"="&amp;A439, namespace!$B$4:$B$1002,"&lt;&gt;"&amp;""),"")</f>
        <v/>
      </c>
      <c r="O439" s="116" t="str">
        <f t="shared" si="79"/>
        <v/>
      </c>
      <c r="P439" s="63"/>
      <c r="Q439" s="164" t="str">
        <f t="shared" si="74"/>
        <v/>
      </c>
      <c r="R439" s="60" t="str">
        <f t="shared" si="75"/>
        <v/>
      </c>
      <c r="S439" s="60" t="str">
        <f t="shared" si="76"/>
        <v/>
      </c>
      <c r="T439" s="61" t="str">
        <f t="shared" si="77"/>
        <v/>
      </c>
      <c r="U439" s="61" t="str">
        <f t="shared" si="78"/>
        <v/>
      </c>
      <c r="V439" s="183" t="str">
        <f t="shared" si="80"/>
        <v/>
      </c>
      <c r="W439" s="183" t="str">
        <f t="shared" si="81"/>
        <v/>
      </c>
      <c r="X439" s="61" t="str">
        <f t="shared" si="82"/>
        <v/>
      </c>
      <c r="Y439" s="61" t="str">
        <f t="shared" si="83"/>
        <v/>
      </c>
      <c r="Z439" s="118" t="str">
        <f t="shared" si="84"/>
        <v/>
      </c>
      <c r="AA439" s="62" t="str">
        <f t="shared" si="85"/>
        <v/>
      </c>
      <c r="AB439" s="119" t="str">
        <f>IF(A439&lt;&gt;"", IF(P439&lt;&gt;0,SUMIFS(node!$J$2:$J$1000, node!$C$2:$C$1000,"="&amp;A439)/P439,0), "")</f>
        <v/>
      </c>
      <c r="AC439" s="81" t="str">
        <f>IF(A439&lt;&gt;"", IF(P439&lt;&gt;0,SUMIFS(node!$K$2:$K$1000, node!$C$2:$C$1000,"="&amp;A439)/P439,0), "")</f>
        <v/>
      </c>
      <c r="AD439" s="82" t="str">
        <f>IF(A439&lt;&gt;"", SUMIFS(node!$L$2:$L$1000, node!$C$2:$C$1000,"="&amp;A439), "")</f>
        <v/>
      </c>
      <c r="AE439" s="87" t="str">
        <f>IF(A439&lt;&gt;"", SUMIFS(node!$M$2:$M$1000, node!$C$2:$C$1000,"="&amp;A439), "")</f>
        <v/>
      </c>
    </row>
    <row r="440" spans="1:31" ht="15.75" customHeight="1" x14ac:dyDescent="0.25">
      <c r="A440" s="71" t="str">
        <f>IF(ISNONTEXT(node_raw[[#This Row],[Column2]]), "", node_raw[[#This Row],[Column2]])</f>
        <v/>
      </c>
      <c r="B440" s="108" t="str">
        <f>IF(A440&lt;&gt;"", VLOOKUP(A440, node!$C$2:$D$1000, 2, FALSE), "")</f>
        <v/>
      </c>
      <c r="C440" s="109" t="str">
        <f>IF(A440&lt;&gt;"", VLOOKUP(A440, node!$C$2:$E$1000, 3, FALSE), "")</f>
        <v/>
      </c>
      <c r="D440" s="110" t="str">
        <f>IF(A440&lt;&gt;"",COUNTIFS(node!$C$2:$C$1000,"="&amp;A440, node!$C$2:$C$1000,"&lt;&gt;"&amp;""),"")</f>
        <v/>
      </c>
      <c r="E440" s="111" t="str">
        <f>IF(A440&lt;&gt;"",SUMIFS(node!$F$2:$F$500, node!$C$2:$C$500,"="&amp;A440, node!$C$2:$C$500,"&lt;&gt;"&amp;"")/(B440*D440),"")</f>
        <v/>
      </c>
      <c r="F440" s="112" t="str">
        <f>IF(A440&lt;&gt;"",SUMIFS(node!$H$2:$H$500, node!$C$2:$C$500,"="&amp;A440, node!$C$2:$C$500,"&lt;&gt;"&amp;"")/(C440*D440),"")</f>
        <v/>
      </c>
      <c r="G440" s="179" t="str">
        <f>IF(A440&lt;&gt;"",SUMIFS(deployment!$F$4:$F$502, deployment!$D$4:$D$502,"="&amp;A440, deployment!$D$4:$D$502,"&lt;&gt;"&amp;""),"")</f>
        <v/>
      </c>
      <c r="H440" s="181" t="str">
        <f>IF(A440&lt;&gt;"",SUMIFS(deployment!$G$4:$G$502, deployment!$D$4:$D$502,"="&amp;A440, deployment!$D$4:$D$502,"&lt;&gt;"&amp;""),"")</f>
        <v/>
      </c>
      <c r="I440" s="113" t="str">
        <f>IF(A440&lt;&gt;"",SUMIFS(deployment!$H$4:$H$502, deployment!$D$4:$D$502,"="&amp;A440, deployment!$D$4:$D$502,"&lt;&gt;"&amp;""),"")</f>
        <v/>
      </c>
      <c r="J440" s="114" t="str">
        <f>IF(A440&lt;&gt;"",SUMIFS(deployment!$I$4:$I$502, deployment!$D$4:$D$502,"="&amp;A440, deployment!$D$4:$D$502,"&lt;&gt;"&amp;""),"")</f>
        <v/>
      </c>
      <c r="K440" s="182" t="str">
        <f>IF(A440&lt;&gt;"",SUMIFS(deployment!$J$4:$J$1002, deployment!$D$4:$D$1002,"="&amp;A440, deployment!$D$4:$D$1002,"&lt;&gt;"&amp;"", deployment!$C$4:$C$1002, "&lt;&gt;* )")+SUMIFS(namespace!$G$4:$G$1002, namespace!$B$4:$B$1002,"="&amp;A440, namespace!$B$4:$B$1002,"&lt;&gt;"&amp;""),"")</f>
        <v/>
      </c>
      <c r="L440" s="182" t="str">
        <f>IF(A440&lt;&gt;"",SUMIFS(deployment!$K$4:$K$1002, deployment!$D$4:$D$1002,"="&amp;A440, deployment!$D$4:$D$1002,"&lt;&gt;"&amp;"", deployment!$C$4:$C$1002, "&lt;&gt;* )")+SUMIFS(namespace!$H$4:$H$1002, namespace!$B$4:$B$1002,"="&amp;A440, namespace!$B$4:$B$1002,"&lt;&gt;"&amp;""),"")</f>
        <v/>
      </c>
      <c r="M440" s="115" t="str">
        <f>IF(A440&lt;&gt;"",SUMIFS(deployment!$L$4:$L$1002, deployment!$D$4:$D$1002,"="&amp;A440, deployment!$D$4:$D$1002,"&lt;&gt;"&amp;"", deployment!$C$4:$C$1002, "&lt;&gt;* )")+SUMIFS(namespace!$I$4:$I$1002, namespace!$B$4:$B$1002,"="&amp;A440, namespace!$B$4:$B$1002,"&lt;&gt;"&amp;""),"")</f>
        <v/>
      </c>
      <c r="N440" s="115" t="str">
        <f>IF(A440&lt;&gt;"",SUMIFS(deployment!$M$4:$M$1002, deployment!$D$4:$D$1002,"="&amp;A440, deployment!$D$4:$D$1002,"&lt;&gt;"&amp;"", deployment!$C$4:$C$1002, "&lt;&gt;* )")+SUMIFS(namespace!$J$4:$J$1002, namespace!$B$4:$B$1002,"="&amp;A440, namespace!$B$4:$B$1002,"&lt;&gt;"&amp;""),"")</f>
        <v/>
      </c>
      <c r="O440" s="116" t="str">
        <f t="shared" si="79"/>
        <v/>
      </c>
      <c r="P440" s="63"/>
      <c r="Q440" s="164" t="str">
        <f t="shared" si="74"/>
        <v/>
      </c>
      <c r="R440" s="60" t="str">
        <f t="shared" si="75"/>
        <v/>
      </c>
      <c r="S440" s="60" t="str">
        <f t="shared" si="76"/>
        <v/>
      </c>
      <c r="T440" s="61" t="str">
        <f t="shared" si="77"/>
        <v/>
      </c>
      <c r="U440" s="61" t="str">
        <f t="shared" si="78"/>
        <v/>
      </c>
      <c r="V440" s="183" t="str">
        <f t="shared" si="80"/>
        <v/>
      </c>
      <c r="W440" s="183" t="str">
        <f t="shared" si="81"/>
        <v/>
      </c>
      <c r="X440" s="61" t="str">
        <f t="shared" si="82"/>
        <v/>
      </c>
      <c r="Y440" s="61" t="str">
        <f t="shared" si="83"/>
        <v/>
      </c>
      <c r="Z440" s="118" t="str">
        <f t="shared" si="84"/>
        <v/>
      </c>
      <c r="AA440" s="62" t="str">
        <f t="shared" si="85"/>
        <v/>
      </c>
      <c r="AB440" s="119" t="str">
        <f>IF(A440&lt;&gt;"", IF(P440&lt;&gt;0,SUMIFS(node!$J$2:$J$1000, node!$C$2:$C$1000,"="&amp;A440)/P440,0), "")</f>
        <v/>
      </c>
      <c r="AC440" s="81" t="str">
        <f>IF(A440&lt;&gt;"", IF(P440&lt;&gt;0,SUMIFS(node!$K$2:$K$1000, node!$C$2:$C$1000,"="&amp;A440)/P440,0), "")</f>
        <v/>
      </c>
      <c r="AD440" s="82" t="str">
        <f>IF(A440&lt;&gt;"", SUMIFS(node!$L$2:$L$1000, node!$C$2:$C$1000,"="&amp;A440), "")</f>
        <v/>
      </c>
      <c r="AE440" s="87" t="str">
        <f>IF(A440&lt;&gt;"", SUMIFS(node!$M$2:$M$1000, node!$C$2:$C$1000,"="&amp;A440), "")</f>
        <v/>
      </c>
    </row>
    <row r="441" spans="1:31" ht="15.75" customHeight="1" x14ac:dyDescent="0.25">
      <c r="A441" s="71" t="str">
        <f>IF(ISNONTEXT(node_raw[[#This Row],[Column2]]), "", node_raw[[#This Row],[Column2]])</f>
        <v/>
      </c>
      <c r="B441" s="108" t="str">
        <f>IF(A441&lt;&gt;"", VLOOKUP(A441, node!$C$2:$D$1000, 2, FALSE), "")</f>
        <v/>
      </c>
      <c r="C441" s="109" t="str">
        <f>IF(A441&lt;&gt;"", VLOOKUP(A441, node!$C$2:$E$1000, 3, FALSE), "")</f>
        <v/>
      </c>
      <c r="D441" s="110" t="str">
        <f>IF(A441&lt;&gt;"",COUNTIFS(node!$C$2:$C$1000,"="&amp;A441, node!$C$2:$C$1000,"&lt;&gt;"&amp;""),"")</f>
        <v/>
      </c>
      <c r="E441" s="111" t="str">
        <f>IF(A441&lt;&gt;"",SUMIFS(node!$F$2:$F$500, node!$C$2:$C$500,"="&amp;A441, node!$C$2:$C$500,"&lt;&gt;"&amp;"")/(B441*D441),"")</f>
        <v/>
      </c>
      <c r="F441" s="112" t="str">
        <f>IF(A441&lt;&gt;"",SUMIFS(node!$H$2:$H$500, node!$C$2:$C$500,"="&amp;A441, node!$C$2:$C$500,"&lt;&gt;"&amp;"")/(C441*D441),"")</f>
        <v/>
      </c>
      <c r="G441" s="179" t="str">
        <f>IF(A441&lt;&gt;"",SUMIFS(deployment!$F$4:$F$502, deployment!$D$4:$D$502,"="&amp;A441, deployment!$D$4:$D$502,"&lt;&gt;"&amp;""),"")</f>
        <v/>
      </c>
      <c r="H441" s="181" t="str">
        <f>IF(A441&lt;&gt;"",SUMIFS(deployment!$G$4:$G$502, deployment!$D$4:$D$502,"="&amp;A441, deployment!$D$4:$D$502,"&lt;&gt;"&amp;""),"")</f>
        <v/>
      </c>
      <c r="I441" s="113" t="str">
        <f>IF(A441&lt;&gt;"",SUMIFS(deployment!$H$4:$H$502, deployment!$D$4:$D$502,"="&amp;A441, deployment!$D$4:$D$502,"&lt;&gt;"&amp;""),"")</f>
        <v/>
      </c>
      <c r="J441" s="114" t="str">
        <f>IF(A441&lt;&gt;"",SUMIFS(deployment!$I$4:$I$502, deployment!$D$4:$D$502,"="&amp;A441, deployment!$D$4:$D$502,"&lt;&gt;"&amp;""),"")</f>
        <v/>
      </c>
      <c r="K441" s="182" t="str">
        <f>IF(A441&lt;&gt;"",SUMIFS(deployment!$J$4:$J$1002, deployment!$D$4:$D$1002,"="&amp;A441, deployment!$D$4:$D$1002,"&lt;&gt;"&amp;"", deployment!$C$4:$C$1002, "&lt;&gt;* )")+SUMIFS(namespace!$G$4:$G$1002, namespace!$B$4:$B$1002,"="&amp;A441, namespace!$B$4:$B$1002,"&lt;&gt;"&amp;""),"")</f>
        <v/>
      </c>
      <c r="L441" s="182" t="str">
        <f>IF(A441&lt;&gt;"",SUMIFS(deployment!$K$4:$K$1002, deployment!$D$4:$D$1002,"="&amp;A441, deployment!$D$4:$D$1002,"&lt;&gt;"&amp;"", deployment!$C$4:$C$1002, "&lt;&gt;* )")+SUMIFS(namespace!$H$4:$H$1002, namespace!$B$4:$B$1002,"="&amp;A441, namespace!$B$4:$B$1002,"&lt;&gt;"&amp;""),"")</f>
        <v/>
      </c>
      <c r="M441" s="115" t="str">
        <f>IF(A441&lt;&gt;"",SUMIFS(deployment!$L$4:$L$1002, deployment!$D$4:$D$1002,"="&amp;A441, deployment!$D$4:$D$1002,"&lt;&gt;"&amp;"", deployment!$C$4:$C$1002, "&lt;&gt;* )")+SUMIFS(namespace!$I$4:$I$1002, namespace!$B$4:$B$1002,"="&amp;A441, namespace!$B$4:$B$1002,"&lt;&gt;"&amp;""),"")</f>
        <v/>
      </c>
      <c r="N441" s="115" t="str">
        <f>IF(A441&lt;&gt;"",SUMIFS(deployment!$M$4:$M$1002, deployment!$D$4:$D$1002,"="&amp;A441, deployment!$D$4:$D$1002,"&lt;&gt;"&amp;"", deployment!$C$4:$C$1002, "&lt;&gt;* )")+SUMIFS(namespace!$J$4:$J$1002, namespace!$B$4:$B$1002,"="&amp;A441, namespace!$B$4:$B$1002,"&lt;&gt;"&amp;""),"")</f>
        <v/>
      </c>
      <c r="O441" s="116" t="str">
        <f t="shared" si="79"/>
        <v/>
      </c>
      <c r="P441" s="63"/>
      <c r="Q441" s="164" t="str">
        <f t="shared" si="74"/>
        <v/>
      </c>
      <c r="R441" s="60" t="str">
        <f t="shared" si="75"/>
        <v/>
      </c>
      <c r="S441" s="60" t="str">
        <f t="shared" si="76"/>
        <v/>
      </c>
      <c r="T441" s="61" t="str">
        <f t="shared" si="77"/>
        <v/>
      </c>
      <c r="U441" s="61" t="str">
        <f t="shared" si="78"/>
        <v/>
      </c>
      <c r="V441" s="183" t="str">
        <f t="shared" si="80"/>
        <v/>
      </c>
      <c r="W441" s="183" t="str">
        <f t="shared" si="81"/>
        <v/>
      </c>
      <c r="X441" s="61" t="str">
        <f t="shared" si="82"/>
        <v/>
      </c>
      <c r="Y441" s="61" t="str">
        <f t="shared" si="83"/>
        <v/>
      </c>
      <c r="Z441" s="118" t="str">
        <f t="shared" si="84"/>
        <v/>
      </c>
      <c r="AA441" s="62" t="str">
        <f t="shared" si="85"/>
        <v/>
      </c>
      <c r="AB441" s="119" t="str">
        <f>IF(A441&lt;&gt;"", IF(P441&lt;&gt;0,SUMIFS(node!$J$2:$J$1000, node!$C$2:$C$1000,"="&amp;A441)/P441,0), "")</f>
        <v/>
      </c>
      <c r="AC441" s="81" t="str">
        <f>IF(A441&lt;&gt;"", IF(P441&lt;&gt;0,SUMIFS(node!$K$2:$K$1000, node!$C$2:$C$1000,"="&amp;A441)/P441,0), "")</f>
        <v/>
      </c>
      <c r="AD441" s="82" t="str">
        <f>IF(A441&lt;&gt;"", SUMIFS(node!$L$2:$L$1000, node!$C$2:$C$1000,"="&amp;A441), "")</f>
        <v/>
      </c>
      <c r="AE441" s="87" t="str">
        <f>IF(A441&lt;&gt;"", SUMIFS(node!$M$2:$M$1000, node!$C$2:$C$1000,"="&amp;A441), "")</f>
        <v/>
      </c>
    </row>
    <row r="442" spans="1:31" ht="15.75" customHeight="1" x14ac:dyDescent="0.25">
      <c r="A442" s="71" t="str">
        <f>IF(ISNONTEXT(node_raw[[#This Row],[Column2]]), "", node_raw[[#This Row],[Column2]])</f>
        <v/>
      </c>
      <c r="B442" s="108" t="str">
        <f>IF(A442&lt;&gt;"", VLOOKUP(A442, node!$C$2:$D$1000, 2, FALSE), "")</f>
        <v/>
      </c>
      <c r="C442" s="109" t="str">
        <f>IF(A442&lt;&gt;"", VLOOKUP(A442, node!$C$2:$E$1000, 3, FALSE), "")</f>
        <v/>
      </c>
      <c r="D442" s="110" t="str">
        <f>IF(A442&lt;&gt;"",COUNTIFS(node!$C$2:$C$1000,"="&amp;A442, node!$C$2:$C$1000,"&lt;&gt;"&amp;""),"")</f>
        <v/>
      </c>
      <c r="E442" s="111" t="str">
        <f>IF(A442&lt;&gt;"",SUMIFS(node!$F$2:$F$500, node!$C$2:$C$500,"="&amp;A442, node!$C$2:$C$500,"&lt;&gt;"&amp;"")/(B442*D442),"")</f>
        <v/>
      </c>
      <c r="F442" s="112" t="str">
        <f>IF(A442&lt;&gt;"",SUMIFS(node!$H$2:$H$500, node!$C$2:$C$500,"="&amp;A442, node!$C$2:$C$500,"&lt;&gt;"&amp;"")/(C442*D442),"")</f>
        <v/>
      </c>
      <c r="G442" s="179" t="str">
        <f>IF(A442&lt;&gt;"",SUMIFS(deployment!$F$4:$F$502, deployment!$D$4:$D$502,"="&amp;A442, deployment!$D$4:$D$502,"&lt;&gt;"&amp;""),"")</f>
        <v/>
      </c>
      <c r="H442" s="181" t="str">
        <f>IF(A442&lt;&gt;"",SUMIFS(deployment!$G$4:$G$502, deployment!$D$4:$D$502,"="&amp;A442, deployment!$D$4:$D$502,"&lt;&gt;"&amp;""),"")</f>
        <v/>
      </c>
      <c r="I442" s="113" t="str">
        <f>IF(A442&lt;&gt;"",SUMIFS(deployment!$H$4:$H$502, deployment!$D$4:$D$502,"="&amp;A442, deployment!$D$4:$D$502,"&lt;&gt;"&amp;""),"")</f>
        <v/>
      </c>
      <c r="J442" s="114" t="str">
        <f>IF(A442&lt;&gt;"",SUMIFS(deployment!$I$4:$I$502, deployment!$D$4:$D$502,"="&amp;A442, deployment!$D$4:$D$502,"&lt;&gt;"&amp;""),"")</f>
        <v/>
      </c>
      <c r="K442" s="182" t="str">
        <f>IF(A442&lt;&gt;"",SUMIFS(deployment!$J$4:$J$1002, deployment!$D$4:$D$1002,"="&amp;A442, deployment!$D$4:$D$1002,"&lt;&gt;"&amp;"", deployment!$C$4:$C$1002, "&lt;&gt;* )")+SUMIFS(namespace!$G$4:$G$1002, namespace!$B$4:$B$1002,"="&amp;A442, namespace!$B$4:$B$1002,"&lt;&gt;"&amp;""),"")</f>
        <v/>
      </c>
      <c r="L442" s="182" t="str">
        <f>IF(A442&lt;&gt;"",SUMIFS(deployment!$K$4:$K$1002, deployment!$D$4:$D$1002,"="&amp;A442, deployment!$D$4:$D$1002,"&lt;&gt;"&amp;"", deployment!$C$4:$C$1002, "&lt;&gt;* )")+SUMIFS(namespace!$H$4:$H$1002, namespace!$B$4:$B$1002,"="&amp;A442, namespace!$B$4:$B$1002,"&lt;&gt;"&amp;""),"")</f>
        <v/>
      </c>
      <c r="M442" s="115" t="str">
        <f>IF(A442&lt;&gt;"",SUMIFS(deployment!$L$4:$L$1002, deployment!$D$4:$D$1002,"="&amp;A442, deployment!$D$4:$D$1002,"&lt;&gt;"&amp;"", deployment!$C$4:$C$1002, "&lt;&gt;* )")+SUMIFS(namespace!$I$4:$I$1002, namespace!$B$4:$B$1002,"="&amp;A442, namespace!$B$4:$B$1002,"&lt;&gt;"&amp;""),"")</f>
        <v/>
      </c>
      <c r="N442" s="115" t="str">
        <f>IF(A442&lt;&gt;"",SUMIFS(deployment!$M$4:$M$1002, deployment!$D$4:$D$1002,"="&amp;A442, deployment!$D$4:$D$1002,"&lt;&gt;"&amp;"", deployment!$C$4:$C$1002, "&lt;&gt;* )")+SUMIFS(namespace!$J$4:$J$1002, namespace!$B$4:$B$1002,"="&amp;A442, namespace!$B$4:$B$1002,"&lt;&gt;"&amp;""),"")</f>
        <v/>
      </c>
      <c r="O442" s="116" t="str">
        <f t="shared" si="79"/>
        <v/>
      </c>
      <c r="P442" s="63"/>
      <c r="Q442" s="164" t="str">
        <f t="shared" si="74"/>
        <v/>
      </c>
      <c r="R442" s="60" t="str">
        <f t="shared" si="75"/>
        <v/>
      </c>
      <c r="S442" s="60" t="str">
        <f t="shared" si="76"/>
        <v/>
      </c>
      <c r="T442" s="61" t="str">
        <f t="shared" si="77"/>
        <v/>
      </c>
      <c r="U442" s="61" t="str">
        <f t="shared" si="78"/>
        <v/>
      </c>
      <c r="V442" s="183" t="str">
        <f t="shared" si="80"/>
        <v/>
      </c>
      <c r="W442" s="183" t="str">
        <f t="shared" si="81"/>
        <v/>
      </c>
      <c r="X442" s="61" t="str">
        <f t="shared" si="82"/>
        <v/>
      </c>
      <c r="Y442" s="61" t="str">
        <f t="shared" si="83"/>
        <v/>
      </c>
      <c r="Z442" s="118" t="str">
        <f t="shared" si="84"/>
        <v/>
      </c>
      <c r="AA442" s="62" t="str">
        <f t="shared" si="85"/>
        <v/>
      </c>
      <c r="AB442" s="119" t="str">
        <f>IF(A442&lt;&gt;"", IF(P442&lt;&gt;0,SUMIFS(node!$J$2:$J$1000, node!$C$2:$C$1000,"="&amp;A442)/P442,0), "")</f>
        <v/>
      </c>
      <c r="AC442" s="81" t="str">
        <f>IF(A442&lt;&gt;"", IF(P442&lt;&gt;0,SUMIFS(node!$K$2:$K$1000, node!$C$2:$C$1000,"="&amp;A442)/P442,0), "")</f>
        <v/>
      </c>
      <c r="AD442" s="82" t="str">
        <f>IF(A442&lt;&gt;"", SUMIFS(node!$L$2:$L$1000, node!$C$2:$C$1000,"="&amp;A442), "")</f>
        <v/>
      </c>
      <c r="AE442" s="87" t="str">
        <f>IF(A442&lt;&gt;"", SUMIFS(node!$M$2:$M$1000, node!$C$2:$C$1000,"="&amp;A442), "")</f>
        <v/>
      </c>
    </row>
    <row r="443" spans="1:31" ht="15.75" customHeight="1" x14ac:dyDescent="0.25">
      <c r="A443" s="71" t="str">
        <f>IF(ISNONTEXT(node_raw[[#This Row],[Column2]]), "", node_raw[[#This Row],[Column2]])</f>
        <v/>
      </c>
      <c r="B443" s="108" t="str">
        <f>IF(A443&lt;&gt;"", VLOOKUP(A443, node!$C$2:$D$1000, 2, FALSE), "")</f>
        <v/>
      </c>
      <c r="C443" s="109" t="str">
        <f>IF(A443&lt;&gt;"", VLOOKUP(A443, node!$C$2:$E$1000, 3, FALSE), "")</f>
        <v/>
      </c>
      <c r="D443" s="110" t="str">
        <f>IF(A443&lt;&gt;"",COUNTIFS(node!$C$2:$C$1000,"="&amp;A443, node!$C$2:$C$1000,"&lt;&gt;"&amp;""),"")</f>
        <v/>
      </c>
      <c r="E443" s="111" t="str">
        <f>IF(A443&lt;&gt;"",SUMIFS(node!$F$2:$F$500, node!$C$2:$C$500,"="&amp;A443, node!$C$2:$C$500,"&lt;&gt;"&amp;"")/(B443*D443),"")</f>
        <v/>
      </c>
      <c r="F443" s="112" t="str">
        <f>IF(A443&lt;&gt;"",SUMIFS(node!$H$2:$H$500, node!$C$2:$C$500,"="&amp;A443, node!$C$2:$C$500,"&lt;&gt;"&amp;"")/(C443*D443),"")</f>
        <v/>
      </c>
      <c r="G443" s="179" t="str">
        <f>IF(A443&lt;&gt;"",SUMIFS(deployment!$F$4:$F$502, deployment!$D$4:$D$502,"="&amp;A443, deployment!$D$4:$D$502,"&lt;&gt;"&amp;""),"")</f>
        <v/>
      </c>
      <c r="H443" s="181" t="str">
        <f>IF(A443&lt;&gt;"",SUMIFS(deployment!$G$4:$G$502, deployment!$D$4:$D$502,"="&amp;A443, deployment!$D$4:$D$502,"&lt;&gt;"&amp;""),"")</f>
        <v/>
      </c>
      <c r="I443" s="113" t="str">
        <f>IF(A443&lt;&gt;"",SUMIFS(deployment!$H$4:$H$502, deployment!$D$4:$D$502,"="&amp;A443, deployment!$D$4:$D$502,"&lt;&gt;"&amp;""),"")</f>
        <v/>
      </c>
      <c r="J443" s="114" t="str">
        <f>IF(A443&lt;&gt;"",SUMIFS(deployment!$I$4:$I$502, deployment!$D$4:$D$502,"="&amp;A443, deployment!$D$4:$D$502,"&lt;&gt;"&amp;""),"")</f>
        <v/>
      </c>
      <c r="K443" s="182" t="str">
        <f>IF(A443&lt;&gt;"",SUMIFS(deployment!$J$4:$J$1002, deployment!$D$4:$D$1002,"="&amp;A443, deployment!$D$4:$D$1002,"&lt;&gt;"&amp;"", deployment!$C$4:$C$1002, "&lt;&gt;* )")+SUMIFS(namespace!$G$4:$G$1002, namespace!$B$4:$B$1002,"="&amp;A443, namespace!$B$4:$B$1002,"&lt;&gt;"&amp;""),"")</f>
        <v/>
      </c>
      <c r="L443" s="182" t="str">
        <f>IF(A443&lt;&gt;"",SUMIFS(deployment!$K$4:$K$1002, deployment!$D$4:$D$1002,"="&amp;A443, deployment!$D$4:$D$1002,"&lt;&gt;"&amp;"", deployment!$C$4:$C$1002, "&lt;&gt;* )")+SUMIFS(namespace!$H$4:$H$1002, namespace!$B$4:$B$1002,"="&amp;A443, namespace!$B$4:$B$1002,"&lt;&gt;"&amp;""),"")</f>
        <v/>
      </c>
      <c r="M443" s="115" t="str">
        <f>IF(A443&lt;&gt;"",SUMIFS(deployment!$L$4:$L$1002, deployment!$D$4:$D$1002,"="&amp;A443, deployment!$D$4:$D$1002,"&lt;&gt;"&amp;"", deployment!$C$4:$C$1002, "&lt;&gt;* )")+SUMIFS(namespace!$I$4:$I$1002, namespace!$B$4:$B$1002,"="&amp;A443, namespace!$B$4:$B$1002,"&lt;&gt;"&amp;""),"")</f>
        <v/>
      </c>
      <c r="N443" s="115" t="str">
        <f>IF(A443&lt;&gt;"",SUMIFS(deployment!$M$4:$M$1002, deployment!$D$4:$D$1002,"="&amp;A443, deployment!$D$4:$D$1002,"&lt;&gt;"&amp;"", deployment!$C$4:$C$1002, "&lt;&gt;* )")+SUMIFS(namespace!$J$4:$J$1002, namespace!$B$4:$B$1002,"="&amp;A443, namespace!$B$4:$B$1002,"&lt;&gt;"&amp;""),"")</f>
        <v/>
      </c>
      <c r="O443" s="116" t="str">
        <f t="shared" si="79"/>
        <v/>
      </c>
      <c r="P443" s="63"/>
      <c r="Q443" s="164" t="str">
        <f t="shared" si="74"/>
        <v/>
      </c>
      <c r="R443" s="60" t="str">
        <f t="shared" si="75"/>
        <v/>
      </c>
      <c r="S443" s="60" t="str">
        <f t="shared" si="76"/>
        <v/>
      </c>
      <c r="T443" s="61" t="str">
        <f t="shared" si="77"/>
        <v/>
      </c>
      <c r="U443" s="61" t="str">
        <f t="shared" si="78"/>
        <v/>
      </c>
      <c r="V443" s="183" t="str">
        <f t="shared" si="80"/>
        <v/>
      </c>
      <c r="W443" s="183" t="str">
        <f t="shared" si="81"/>
        <v/>
      </c>
      <c r="X443" s="61" t="str">
        <f t="shared" si="82"/>
        <v/>
      </c>
      <c r="Y443" s="61" t="str">
        <f t="shared" si="83"/>
        <v/>
      </c>
      <c r="Z443" s="118" t="str">
        <f t="shared" si="84"/>
        <v/>
      </c>
      <c r="AA443" s="62" t="str">
        <f t="shared" si="85"/>
        <v/>
      </c>
      <c r="AB443" s="119" t="str">
        <f>IF(A443&lt;&gt;"", IF(P443&lt;&gt;0,SUMIFS(node!$J$2:$J$1000, node!$C$2:$C$1000,"="&amp;A443)/P443,0), "")</f>
        <v/>
      </c>
      <c r="AC443" s="81" t="str">
        <f>IF(A443&lt;&gt;"", IF(P443&lt;&gt;0,SUMIFS(node!$K$2:$K$1000, node!$C$2:$C$1000,"="&amp;A443)/P443,0), "")</f>
        <v/>
      </c>
      <c r="AD443" s="82" t="str">
        <f>IF(A443&lt;&gt;"", SUMIFS(node!$L$2:$L$1000, node!$C$2:$C$1000,"="&amp;A443), "")</f>
        <v/>
      </c>
      <c r="AE443" s="87" t="str">
        <f>IF(A443&lt;&gt;"", SUMIFS(node!$M$2:$M$1000, node!$C$2:$C$1000,"="&amp;A443), "")</f>
        <v/>
      </c>
    </row>
    <row r="444" spans="1:31" ht="15.75" customHeight="1" x14ac:dyDescent="0.25">
      <c r="A444" s="71" t="str">
        <f>IF(ISNONTEXT(node_raw[[#This Row],[Column2]]), "", node_raw[[#This Row],[Column2]])</f>
        <v/>
      </c>
      <c r="B444" s="108" t="str">
        <f>IF(A444&lt;&gt;"", VLOOKUP(A444, node!$C$2:$D$1000, 2, FALSE), "")</f>
        <v/>
      </c>
      <c r="C444" s="109" t="str">
        <f>IF(A444&lt;&gt;"", VLOOKUP(A444, node!$C$2:$E$1000, 3, FALSE), "")</f>
        <v/>
      </c>
      <c r="D444" s="110" t="str">
        <f>IF(A444&lt;&gt;"",COUNTIFS(node!$C$2:$C$1000,"="&amp;A444, node!$C$2:$C$1000,"&lt;&gt;"&amp;""),"")</f>
        <v/>
      </c>
      <c r="E444" s="111" t="str">
        <f>IF(A444&lt;&gt;"",SUMIFS(node!$F$2:$F$500, node!$C$2:$C$500,"="&amp;A444, node!$C$2:$C$500,"&lt;&gt;"&amp;"")/(B444*D444),"")</f>
        <v/>
      </c>
      <c r="F444" s="112" t="str">
        <f>IF(A444&lt;&gt;"",SUMIFS(node!$H$2:$H$500, node!$C$2:$C$500,"="&amp;A444, node!$C$2:$C$500,"&lt;&gt;"&amp;"")/(C444*D444),"")</f>
        <v/>
      </c>
      <c r="G444" s="179" t="str">
        <f>IF(A444&lt;&gt;"",SUMIFS(deployment!$F$4:$F$502, deployment!$D$4:$D$502,"="&amp;A444, deployment!$D$4:$D$502,"&lt;&gt;"&amp;""),"")</f>
        <v/>
      </c>
      <c r="H444" s="181" t="str">
        <f>IF(A444&lt;&gt;"",SUMIFS(deployment!$G$4:$G$502, deployment!$D$4:$D$502,"="&amp;A444, deployment!$D$4:$D$502,"&lt;&gt;"&amp;""),"")</f>
        <v/>
      </c>
      <c r="I444" s="113" t="str">
        <f>IF(A444&lt;&gt;"",SUMIFS(deployment!$H$4:$H$502, deployment!$D$4:$D$502,"="&amp;A444, deployment!$D$4:$D$502,"&lt;&gt;"&amp;""),"")</f>
        <v/>
      </c>
      <c r="J444" s="114" t="str">
        <f>IF(A444&lt;&gt;"",SUMIFS(deployment!$I$4:$I$502, deployment!$D$4:$D$502,"="&amp;A444, deployment!$D$4:$D$502,"&lt;&gt;"&amp;""),"")</f>
        <v/>
      </c>
      <c r="K444" s="182" t="str">
        <f>IF(A444&lt;&gt;"",SUMIFS(deployment!$J$4:$J$1002, deployment!$D$4:$D$1002,"="&amp;A444, deployment!$D$4:$D$1002,"&lt;&gt;"&amp;"", deployment!$C$4:$C$1002, "&lt;&gt;* )")+SUMIFS(namespace!$G$4:$G$1002, namespace!$B$4:$B$1002,"="&amp;A444, namespace!$B$4:$B$1002,"&lt;&gt;"&amp;""),"")</f>
        <v/>
      </c>
      <c r="L444" s="182" t="str">
        <f>IF(A444&lt;&gt;"",SUMIFS(deployment!$K$4:$K$1002, deployment!$D$4:$D$1002,"="&amp;A444, deployment!$D$4:$D$1002,"&lt;&gt;"&amp;"", deployment!$C$4:$C$1002, "&lt;&gt;* )")+SUMIFS(namespace!$H$4:$H$1002, namespace!$B$4:$B$1002,"="&amp;A444, namespace!$B$4:$B$1002,"&lt;&gt;"&amp;""),"")</f>
        <v/>
      </c>
      <c r="M444" s="115" t="str">
        <f>IF(A444&lt;&gt;"",SUMIFS(deployment!$L$4:$L$1002, deployment!$D$4:$D$1002,"="&amp;A444, deployment!$D$4:$D$1002,"&lt;&gt;"&amp;"", deployment!$C$4:$C$1002, "&lt;&gt;* )")+SUMIFS(namespace!$I$4:$I$1002, namespace!$B$4:$B$1002,"="&amp;A444, namespace!$B$4:$B$1002,"&lt;&gt;"&amp;""),"")</f>
        <v/>
      </c>
      <c r="N444" s="115" t="str">
        <f>IF(A444&lt;&gt;"",SUMIFS(deployment!$M$4:$M$1002, deployment!$D$4:$D$1002,"="&amp;A444, deployment!$D$4:$D$1002,"&lt;&gt;"&amp;"", deployment!$C$4:$C$1002, "&lt;&gt;* )")+SUMIFS(namespace!$J$4:$J$1002, namespace!$B$4:$B$1002,"="&amp;A444, namespace!$B$4:$B$1002,"&lt;&gt;"&amp;""),"")</f>
        <v/>
      </c>
      <c r="O444" s="116" t="str">
        <f t="shared" si="79"/>
        <v/>
      </c>
      <c r="P444" s="63"/>
      <c r="Q444" s="164" t="str">
        <f t="shared" si="74"/>
        <v/>
      </c>
      <c r="R444" s="60" t="str">
        <f t="shared" si="75"/>
        <v/>
      </c>
      <c r="S444" s="60" t="str">
        <f t="shared" si="76"/>
        <v/>
      </c>
      <c r="T444" s="61" t="str">
        <f t="shared" si="77"/>
        <v/>
      </c>
      <c r="U444" s="61" t="str">
        <f t="shared" si="78"/>
        <v/>
      </c>
      <c r="V444" s="183" t="str">
        <f t="shared" si="80"/>
        <v/>
      </c>
      <c r="W444" s="183" t="str">
        <f t="shared" si="81"/>
        <v/>
      </c>
      <c r="X444" s="61" t="str">
        <f t="shared" si="82"/>
        <v/>
      </c>
      <c r="Y444" s="61" t="str">
        <f t="shared" si="83"/>
        <v/>
      </c>
      <c r="Z444" s="118" t="str">
        <f t="shared" si="84"/>
        <v/>
      </c>
      <c r="AA444" s="62" t="str">
        <f t="shared" si="85"/>
        <v/>
      </c>
      <c r="AB444" s="119" t="str">
        <f>IF(A444&lt;&gt;"", IF(P444&lt;&gt;0,SUMIFS(node!$J$2:$J$1000, node!$C$2:$C$1000,"="&amp;A444)/P444,0), "")</f>
        <v/>
      </c>
      <c r="AC444" s="81" t="str">
        <f>IF(A444&lt;&gt;"", IF(P444&lt;&gt;0,SUMIFS(node!$K$2:$K$1000, node!$C$2:$C$1000,"="&amp;A444)/P444,0), "")</f>
        <v/>
      </c>
      <c r="AD444" s="82" t="str">
        <f>IF(A444&lt;&gt;"", SUMIFS(node!$L$2:$L$1000, node!$C$2:$C$1000,"="&amp;A444), "")</f>
        <v/>
      </c>
      <c r="AE444" s="87" t="str">
        <f>IF(A444&lt;&gt;"", SUMIFS(node!$M$2:$M$1000, node!$C$2:$C$1000,"="&amp;A444), "")</f>
        <v/>
      </c>
    </row>
    <row r="445" spans="1:31" ht="15.75" customHeight="1" x14ac:dyDescent="0.25">
      <c r="A445" s="71" t="str">
        <f>IF(ISNONTEXT(node_raw[[#This Row],[Column2]]), "", node_raw[[#This Row],[Column2]])</f>
        <v/>
      </c>
      <c r="B445" s="108" t="str">
        <f>IF(A445&lt;&gt;"", VLOOKUP(A445, node!$C$2:$D$1000, 2, FALSE), "")</f>
        <v/>
      </c>
      <c r="C445" s="109" t="str">
        <f>IF(A445&lt;&gt;"", VLOOKUP(A445, node!$C$2:$E$1000, 3, FALSE), "")</f>
        <v/>
      </c>
      <c r="D445" s="110" t="str">
        <f>IF(A445&lt;&gt;"",COUNTIFS(node!$C$2:$C$1000,"="&amp;A445, node!$C$2:$C$1000,"&lt;&gt;"&amp;""),"")</f>
        <v/>
      </c>
      <c r="E445" s="111" t="str">
        <f>IF(A445&lt;&gt;"",SUMIFS(node!$F$2:$F$500, node!$C$2:$C$500,"="&amp;A445, node!$C$2:$C$500,"&lt;&gt;"&amp;"")/(B445*D445),"")</f>
        <v/>
      </c>
      <c r="F445" s="112" t="str">
        <f>IF(A445&lt;&gt;"",SUMIFS(node!$H$2:$H$500, node!$C$2:$C$500,"="&amp;A445, node!$C$2:$C$500,"&lt;&gt;"&amp;"")/(C445*D445),"")</f>
        <v/>
      </c>
      <c r="G445" s="179" t="str">
        <f>IF(A445&lt;&gt;"",SUMIFS(deployment!$F$4:$F$502, deployment!$D$4:$D$502,"="&amp;A445, deployment!$D$4:$D$502,"&lt;&gt;"&amp;""),"")</f>
        <v/>
      </c>
      <c r="H445" s="181" t="str">
        <f>IF(A445&lt;&gt;"",SUMIFS(deployment!$G$4:$G$502, deployment!$D$4:$D$502,"="&amp;A445, deployment!$D$4:$D$502,"&lt;&gt;"&amp;""),"")</f>
        <v/>
      </c>
      <c r="I445" s="113" t="str">
        <f>IF(A445&lt;&gt;"",SUMIFS(deployment!$H$4:$H$502, deployment!$D$4:$D$502,"="&amp;A445, deployment!$D$4:$D$502,"&lt;&gt;"&amp;""),"")</f>
        <v/>
      </c>
      <c r="J445" s="114" t="str">
        <f>IF(A445&lt;&gt;"",SUMIFS(deployment!$I$4:$I$502, deployment!$D$4:$D$502,"="&amp;A445, deployment!$D$4:$D$502,"&lt;&gt;"&amp;""),"")</f>
        <v/>
      </c>
      <c r="K445" s="182" t="str">
        <f>IF(A445&lt;&gt;"",SUMIFS(deployment!$J$4:$J$1002, deployment!$D$4:$D$1002,"="&amp;A445, deployment!$D$4:$D$1002,"&lt;&gt;"&amp;"", deployment!$C$4:$C$1002, "&lt;&gt;* )")+SUMIFS(namespace!$G$4:$G$1002, namespace!$B$4:$B$1002,"="&amp;A445, namespace!$B$4:$B$1002,"&lt;&gt;"&amp;""),"")</f>
        <v/>
      </c>
      <c r="L445" s="182" t="str">
        <f>IF(A445&lt;&gt;"",SUMIFS(deployment!$K$4:$K$1002, deployment!$D$4:$D$1002,"="&amp;A445, deployment!$D$4:$D$1002,"&lt;&gt;"&amp;"", deployment!$C$4:$C$1002, "&lt;&gt;* )")+SUMIFS(namespace!$H$4:$H$1002, namespace!$B$4:$B$1002,"="&amp;A445, namespace!$B$4:$B$1002,"&lt;&gt;"&amp;""),"")</f>
        <v/>
      </c>
      <c r="M445" s="115" t="str">
        <f>IF(A445&lt;&gt;"",SUMIFS(deployment!$L$4:$L$1002, deployment!$D$4:$D$1002,"="&amp;A445, deployment!$D$4:$D$1002,"&lt;&gt;"&amp;"", deployment!$C$4:$C$1002, "&lt;&gt;* )")+SUMIFS(namespace!$I$4:$I$1002, namespace!$B$4:$B$1002,"="&amp;A445, namespace!$B$4:$B$1002,"&lt;&gt;"&amp;""),"")</f>
        <v/>
      </c>
      <c r="N445" s="115" t="str">
        <f>IF(A445&lt;&gt;"",SUMIFS(deployment!$M$4:$M$1002, deployment!$D$4:$D$1002,"="&amp;A445, deployment!$D$4:$D$1002,"&lt;&gt;"&amp;"", deployment!$C$4:$C$1002, "&lt;&gt;* )")+SUMIFS(namespace!$J$4:$J$1002, namespace!$B$4:$B$1002,"="&amp;A445, namespace!$B$4:$B$1002,"&lt;&gt;"&amp;""),"")</f>
        <v/>
      </c>
      <c r="O445" s="116" t="str">
        <f t="shared" si="79"/>
        <v/>
      </c>
      <c r="P445" s="63"/>
      <c r="Q445" s="164" t="str">
        <f t="shared" si="74"/>
        <v/>
      </c>
      <c r="R445" s="60" t="str">
        <f t="shared" si="75"/>
        <v/>
      </c>
      <c r="S445" s="60" t="str">
        <f t="shared" si="76"/>
        <v/>
      </c>
      <c r="T445" s="61" t="str">
        <f t="shared" si="77"/>
        <v/>
      </c>
      <c r="U445" s="61" t="str">
        <f t="shared" si="78"/>
        <v/>
      </c>
      <c r="V445" s="183" t="str">
        <f t="shared" si="80"/>
        <v/>
      </c>
      <c r="W445" s="183" t="str">
        <f t="shared" si="81"/>
        <v/>
      </c>
      <c r="X445" s="61" t="str">
        <f t="shared" si="82"/>
        <v/>
      </c>
      <c r="Y445" s="61" t="str">
        <f t="shared" si="83"/>
        <v/>
      </c>
      <c r="Z445" s="118" t="str">
        <f t="shared" si="84"/>
        <v/>
      </c>
      <c r="AA445" s="62" t="str">
        <f t="shared" si="85"/>
        <v/>
      </c>
      <c r="AB445" s="119" t="str">
        <f>IF(A445&lt;&gt;"", IF(P445&lt;&gt;0,SUMIFS(node!$J$2:$J$1000, node!$C$2:$C$1000,"="&amp;A445)/P445,0), "")</f>
        <v/>
      </c>
      <c r="AC445" s="81" t="str">
        <f>IF(A445&lt;&gt;"", IF(P445&lt;&gt;0,SUMIFS(node!$K$2:$K$1000, node!$C$2:$C$1000,"="&amp;A445)/P445,0), "")</f>
        <v/>
      </c>
      <c r="AD445" s="82" t="str">
        <f>IF(A445&lt;&gt;"", SUMIFS(node!$L$2:$L$1000, node!$C$2:$C$1000,"="&amp;A445), "")</f>
        <v/>
      </c>
      <c r="AE445" s="87" t="str">
        <f>IF(A445&lt;&gt;"", SUMIFS(node!$M$2:$M$1000, node!$C$2:$C$1000,"="&amp;A445), "")</f>
        <v/>
      </c>
    </row>
    <row r="446" spans="1:31" ht="15.75" customHeight="1" x14ac:dyDescent="0.25">
      <c r="A446" s="71" t="str">
        <f>IF(ISNONTEXT(node_raw[[#This Row],[Column2]]), "", node_raw[[#This Row],[Column2]])</f>
        <v/>
      </c>
      <c r="B446" s="108" t="str">
        <f>IF(A446&lt;&gt;"", VLOOKUP(A446, node!$C$2:$D$1000, 2, FALSE), "")</f>
        <v/>
      </c>
      <c r="C446" s="109" t="str">
        <f>IF(A446&lt;&gt;"", VLOOKUP(A446, node!$C$2:$E$1000, 3, FALSE), "")</f>
        <v/>
      </c>
      <c r="D446" s="110" t="str">
        <f>IF(A446&lt;&gt;"",COUNTIFS(node!$C$2:$C$1000,"="&amp;A446, node!$C$2:$C$1000,"&lt;&gt;"&amp;""),"")</f>
        <v/>
      </c>
      <c r="E446" s="111" t="str">
        <f>IF(A446&lt;&gt;"",SUMIFS(node!$F$2:$F$500, node!$C$2:$C$500,"="&amp;A446, node!$C$2:$C$500,"&lt;&gt;"&amp;"")/(B446*D446),"")</f>
        <v/>
      </c>
      <c r="F446" s="112" t="str">
        <f>IF(A446&lt;&gt;"",SUMIFS(node!$H$2:$H$500, node!$C$2:$C$500,"="&amp;A446, node!$C$2:$C$500,"&lt;&gt;"&amp;"")/(C446*D446),"")</f>
        <v/>
      </c>
      <c r="G446" s="179" t="str">
        <f>IF(A446&lt;&gt;"",SUMIFS(deployment!$F$4:$F$502, deployment!$D$4:$D$502,"="&amp;A446, deployment!$D$4:$D$502,"&lt;&gt;"&amp;""),"")</f>
        <v/>
      </c>
      <c r="H446" s="181" t="str">
        <f>IF(A446&lt;&gt;"",SUMIFS(deployment!$G$4:$G$502, deployment!$D$4:$D$502,"="&amp;A446, deployment!$D$4:$D$502,"&lt;&gt;"&amp;""),"")</f>
        <v/>
      </c>
      <c r="I446" s="113" t="str">
        <f>IF(A446&lt;&gt;"",SUMIFS(deployment!$H$4:$H$502, deployment!$D$4:$D$502,"="&amp;A446, deployment!$D$4:$D$502,"&lt;&gt;"&amp;""),"")</f>
        <v/>
      </c>
      <c r="J446" s="114" t="str">
        <f>IF(A446&lt;&gt;"",SUMIFS(deployment!$I$4:$I$502, deployment!$D$4:$D$502,"="&amp;A446, deployment!$D$4:$D$502,"&lt;&gt;"&amp;""),"")</f>
        <v/>
      </c>
      <c r="K446" s="182" t="str">
        <f>IF(A446&lt;&gt;"",SUMIFS(deployment!$J$4:$J$1002, deployment!$D$4:$D$1002,"="&amp;A446, deployment!$D$4:$D$1002,"&lt;&gt;"&amp;"", deployment!$C$4:$C$1002, "&lt;&gt;* )")+SUMIFS(namespace!$G$4:$G$1002, namespace!$B$4:$B$1002,"="&amp;A446, namespace!$B$4:$B$1002,"&lt;&gt;"&amp;""),"")</f>
        <v/>
      </c>
      <c r="L446" s="182" t="str">
        <f>IF(A446&lt;&gt;"",SUMIFS(deployment!$K$4:$K$1002, deployment!$D$4:$D$1002,"="&amp;A446, deployment!$D$4:$D$1002,"&lt;&gt;"&amp;"", deployment!$C$4:$C$1002, "&lt;&gt;* )")+SUMIFS(namespace!$H$4:$H$1002, namespace!$B$4:$B$1002,"="&amp;A446, namespace!$B$4:$B$1002,"&lt;&gt;"&amp;""),"")</f>
        <v/>
      </c>
      <c r="M446" s="115" t="str">
        <f>IF(A446&lt;&gt;"",SUMIFS(deployment!$L$4:$L$1002, deployment!$D$4:$D$1002,"="&amp;A446, deployment!$D$4:$D$1002,"&lt;&gt;"&amp;"", deployment!$C$4:$C$1002, "&lt;&gt;* )")+SUMIFS(namespace!$I$4:$I$1002, namespace!$B$4:$B$1002,"="&amp;A446, namespace!$B$4:$B$1002,"&lt;&gt;"&amp;""),"")</f>
        <v/>
      </c>
      <c r="N446" s="115" t="str">
        <f>IF(A446&lt;&gt;"",SUMIFS(deployment!$M$4:$M$1002, deployment!$D$4:$D$1002,"="&amp;A446, deployment!$D$4:$D$1002,"&lt;&gt;"&amp;"", deployment!$C$4:$C$1002, "&lt;&gt;* )")+SUMIFS(namespace!$J$4:$J$1002, namespace!$B$4:$B$1002,"="&amp;A446, namespace!$B$4:$B$1002,"&lt;&gt;"&amp;""),"")</f>
        <v/>
      </c>
      <c r="O446" s="116" t="str">
        <f t="shared" si="79"/>
        <v/>
      </c>
      <c r="P446" s="63"/>
      <c r="Q446" s="164" t="str">
        <f t="shared" si="74"/>
        <v/>
      </c>
      <c r="R446" s="60" t="str">
        <f t="shared" si="75"/>
        <v/>
      </c>
      <c r="S446" s="60" t="str">
        <f t="shared" si="76"/>
        <v/>
      </c>
      <c r="T446" s="61" t="str">
        <f t="shared" si="77"/>
        <v/>
      </c>
      <c r="U446" s="61" t="str">
        <f t="shared" si="78"/>
        <v/>
      </c>
      <c r="V446" s="183" t="str">
        <f t="shared" si="80"/>
        <v/>
      </c>
      <c r="W446" s="183" t="str">
        <f t="shared" si="81"/>
        <v/>
      </c>
      <c r="X446" s="61" t="str">
        <f t="shared" si="82"/>
        <v/>
      </c>
      <c r="Y446" s="61" t="str">
        <f t="shared" si="83"/>
        <v/>
      </c>
      <c r="Z446" s="118" t="str">
        <f t="shared" si="84"/>
        <v/>
      </c>
      <c r="AA446" s="62" t="str">
        <f t="shared" si="85"/>
        <v/>
      </c>
      <c r="AB446" s="119" t="str">
        <f>IF(A446&lt;&gt;"", IF(P446&lt;&gt;0,SUMIFS(node!$J$2:$J$1000, node!$C$2:$C$1000,"="&amp;A446)/P446,0), "")</f>
        <v/>
      </c>
      <c r="AC446" s="81" t="str">
        <f>IF(A446&lt;&gt;"", IF(P446&lt;&gt;0,SUMIFS(node!$K$2:$K$1000, node!$C$2:$C$1000,"="&amp;A446)/P446,0), "")</f>
        <v/>
      </c>
      <c r="AD446" s="82" t="str">
        <f>IF(A446&lt;&gt;"", SUMIFS(node!$L$2:$L$1000, node!$C$2:$C$1000,"="&amp;A446), "")</f>
        <v/>
      </c>
      <c r="AE446" s="87" t="str">
        <f>IF(A446&lt;&gt;"", SUMIFS(node!$M$2:$M$1000, node!$C$2:$C$1000,"="&amp;A446), "")</f>
        <v/>
      </c>
    </row>
    <row r="447" spans="1:31" ht="15.75" customHeight="1" x14ac:dyDescent="0.25">
      <c r="A447" s="71" t="str">
        <f>IF(ISNONTEXT(node_raw[[#This Row],[Column2]]), "", node_raw[[#This Row],[Column2]])</f>
        <v/>
      </c>
      <c r="B447" s="108" t="str">
        <f>IF(A447&lt;&gt;"", VLOOKUP(A447, node!$C$2:$D$1000, 2, FALSE), "")</f>
        <v/>
      </c>
      <c r="C447" s="109" t="str">
        <f>IF(A447&lt;&gt;"", VLOOKUP(A447, node!$C$2:$E$1000, 3, FALSE), "")</f>
        <v/>
      </c>
      <c r="D447" s="110" t="str">
        <f>IF(A447&lt;&gt;"",COUNTIFS(node!$C$2:$C$1000,"="&amp;A447, node!$C$2:$C$1000,"&lt;&gt;"&amp;""),"")</f>
        <v/>
      </c>
      <c r="E447" s="111" t="str">
        <f>IF(A447&lt;&gt;"",SUMIFS(node!$F$2:$F$500, node!$C$2:$C$500,"="&amp;A447, node!$C$2:$C$500,"&lt;&gt;"&amp;"")/(B447*D447),"")</f>
        <v/>
      </c>
      <c r="F447" s="112" t="str">
        <f>IF(A447&lt;&gt;"",SUMIFS(node!$H$2:$H$500, node!$C$2:$C$500,"="&amp;A447, node!$C$2:$C$500,"&lt;&gt;"&amp;"")/(C447*D447),"")</f>
        <v/>
      </c>
      <c r="G447" s="179" t="str">
        <f>IF(A447&lt;&gt;"",SUMIFS(deployment!$F$4:$F$502, deployment!$D$4:$D$502,"="&amp;A447, deployment!$D$4:$D$502,"&lt;&gt;"&amp;""),"")</f>
        <v/>
      </c>
      <c r="H447" s="181" t="str">
        <f>IF(A447&lt;&gt;"",SUMIFS(deployment!$G$4:$G$502, deployment!$D$4:$D$502,"="&amp;A447, deployment!$D$4:$D$502,"&lt;&gt;"&amp;""),"")</f>
        <v/>
      </c>
      <c r="I447" s="113" t="str">
        <f>IF(A447&lt;&gt;"",SUMIFS(deployment!$H$4:$H$502, deployment!$D$4:$D$502,"="&amp;A447, deployment!$D$4:$D$502,"&lt;&gt;"&amp;""),"")</f>
        <v/>
      </c>
      <c r="J447" s="114" t="str">
        <f>IF(A447&lt;&gt;"",SUMIFS(deployment!$I$4:$I$502, deployment!$D$4:$D$502,"="&amp;A447, deployment!$D$4:$D$502,"&lt;&gt;"&amp;""),"")</f>
        <v/>
      </c>
      <c r="K447" s="182" t="str">
        <f>IF(A447&lt;&gt;"",SUMIFS(deployment!$J$4:$J$1002, deployment!$D$4:$D$1002,"="&amp;A447, deployment!$D$4:$D$1002,"&lt;&gt;"&amp;"", deployment!$C$4:$C$1002, "&lt;&gt;* )")+SUMIFS(namespace!$G$4:$G$1002, namespace!$B$4:$B$1002,"="&amp;A447, namespace!$B$4:$B$1002,"&lt;&gt;"&amp;""),"")</f>
        <v/>
      </c>
      <c r="L447" s="182" t="str">
        <f>IF(A447&lt;&gt;"",SUMIFS(deployment!$K$4:$K$1002, deployment!$D$4:$D$1002,"="&amp;A447, deployment!$D$4:$D$1002,"&lt;&gt;"&amp;"", deployment!$C$4:$C$1002, "&lt;&gt;* )")+SUMIFS(namespace!$H$4:$H$1002, namespace!$B$4:$B$1002,"="&amp;A447, namespace!$B$4:$B$1002,"&lt;&gt;"&amp;""),"")</f>
        <v/>
      </c>
      <c r="M447" s="115" t="str">
        <f>IF(A447&lt;&gt;"",SUMIFS(deployment!$L$4:$L$1002, deployment!$D$4:$D$1002,"="&amp;A447, deployment!$D$4:$D$1002,"&lt;&gt;"&amp;"", deployment!$C$4:$C$1002, "&lt;&gt;* )")+SUMIFS(namespace!$I$4:$I$1002, namespace!$B$4:$B$1002,"="&amp;A447, namespace!$B$4:$B$1002,"&lt;&gt;"&amp;""),"")</f>
        <v/>
      </c>
      <c r="N447" s="115" t="str">
        <f>IF(A447&lt;&gt;"",SUMIFS(deployment!$M$4:$M$1002, deployment!$D$4:$D$1002,"="&amp;A447, deployment!$D$4:$D$1002,"&lt;&gt;"&amp;"", deployment!$C$4:$C$1002, "&lt;&gt;* )")+SUMIFS(namespace!$J$4:$J$1002, namespace!$B$4:$B$1002,"="&amp;A447, namespace!$B$4:$B$1002,"&lt;&gt;"&amp;""),"")</f>
        <v/>
      </c>
      <c r="O447" s="116" t="str">
        <f t="shared" si="79"/>
        <v/>
      </c>
      <c r="P447" s="63"/>
      <c r="Q447" s="164" t="str">
        <f t="shared" si="74"/>
        <v/>
      </c>
      <c r="R447" s="60" t="str">
        <f t="shared" si="75"/>
        <v/>
      </c>
      <c r="S447" s="60" t="str">
        <f t="shared" si="76"/>
        <v/>
      </c>
      <c r="T447" s="61" t="str">
        <f t="shared" si="77"/>
        <v/>
      </c>
      <c r="U447" s="61" t="str">
        <f t="shared" si="78"/>
        <v/>
      </c>
      <c r="V447" s="183" t="str">
        <f t="shared" si="80"/>
        <v/>
      </c>
      <c r="W447" s="183" t="str">
        <f t="shared" si="81"/>
        <v/>
      </c>
      <c r="X447" s="61" t="str">
        <f t="shared" si="82"/>
        <v/>
      </c>
      <c r="Y447" s="61" t="str">
        <f t="shared" si="83"/>
        <v/>
      </c>
      <c r="Z447" s="118" t="str">
        <f t="shared" si="84"/>
        <v/>
      </c>
      <c r="AA447" s="62" t="str">
        <f t="shared" si="85"/>
        <v/>
      </c>
      <c r="AB447" s="119" t="str">
        <f>IF(A447&lt;&gt;"", IF(P447&lt;&gt;0,SUMIFS(node!$J$2:$J$1000, node!$C$2:$C$1000,"="&amp;A447)/P447,0), "")</f>
        <v/>
      </c>
      <c r="AC447" s="81" t="str">
        <f>IF(A447&lt;&gt;"", IF(P447&lt;&gt;0,SUMIFS(node!$K$2:$K$1000, node!$C$2:$C$1000,"="&amp;A447)/P447,0), "")</f>
        <v/>
      </c>
      <c r="AD447" s="82" t="str">
        <f>IF(A447&lt;&gt;"", SUMIFS(node!$L$2:$L$1000, node!$C$2:$C$1000,"="&amp;A447), "")</f>
        <v/>
      </c>
      <c r="AE447" s="87" t="str">
        <f>IF(A447&lt;&gt;"", SUMIFS(node!$M$2:$M$1000, node!$C$2:$C$1000,"="&amp;A447), "")</f>
        <v/>
      </c>
    </row>
    <row r="448" spans="1:31" ht="15.75" customHeight="1" x14ac:dyDescent="0.25">
      <c r="A448" s="71" t="str">
        <f>IF(ISNONTEXT(node_raw[[#This Row],[Column2]]), "", node_raw[[#This Row],[Column2]])</f>
        <v/>
      </c>
      <c r="B448" s="108" t="str">
        <f>IF(A448&lt;&gt;"", VLOOKUP(A448, node!$C$2:$D$1000, 2, FALSE), "")</f>
        <v/>
      </c>
      <c r="C448" s="109" t="str">
        <f>IF(A448&lt;&gt;"", VLOOKUP(A448, node!$C$2:$E$1000, 3, FALSE), "")</f>
        <v/>
      </c>
      <c r="D448" s="110" t="str">
        <f>IF(A448&lt;&gt;"",COUNTIFS(node!$C$2:$C$1000,"="&amp;A448, node!$C$2:$C$1000,"&lt;&gt;"&amp;""),"")</f>
        <v/>
      </c>
      <c r="E448" s="111" t="str">
        <f>IF(A448&lt;&gt;"",SUMIFS(node!$F$2:$F$500, node!$C$2:$C$500,"="&amp;A448, node!$C$2:$C$500,"&lt;&gt;"&amp;"")/(B448*D448),"")</f>
        <v/>
      </c>
      <c r="F448" s="112" t="str">
        <f>IF(A448&lt;&gt;"",SUMIFS(node!$H$2:$H$500, node!$C$2:$C$500,"="&amp;A448, node!$C$2:$C$500,"&lt;&gt;"&amp;"")/(C448*D448),"")</f>
        <v/>
      </c>
      <c r="G448" s="179" t="str">
        <f>IF(A448&lt;&gt;"",SUMIFS(deployment!$F$4:$F$502, deployment!$D$4:$D$502,"="&amp;A448, deployment!$D$4:$D$502,"&lt;&gt;"&amp;""),"")</f>
        <v/>
      </c>
      <c r="H448" s="181" t="str">
        <f>IF(A448&lt;&gt;"",SUMIFS(deployment!$G$4:$G$502, deployment!$D$4:$D$502,"="&amp;A448, deployment!$D$4:$D$502,"&lt;&gt;"&amp;""),"")</f>
        <v/>
      </c>
      <c r="I448" s="113" t="str">
        <f>IF(A448&lt;&gt;"",SUMIFS(deployment!$H$4:$H$502, deployment!$D$4:$D$502,"="&amp;A448, deployment!$D$4:$D$502,"&lt;&gt;"&amp;""),"")</f>
        <v/>
      </c>
      <c r="J448" s="114" t="str">
        <f>IF(A448&lt;&gt;"",SUMIFS(deployment!$I$4:$I$502, deployment!$D$4:$D$502,"="&amp;A448, deployment!$D$4:$D$502,"&lt;&gt;"&amp;""),"")</f>
        <v/>
      </c>
      <c r="K448" s="182" t="str">
        <f>IF(A448&lt;&gt;"",SUMIFS(deployment!$J$4:$J$1002, deployment!$D$4:$D$1002,"="&amp;A448, deployment!$D$4:$D$1002,"&lt;&gt;"&amp;"", deployment!$C$4:$C$1002, "&lt;&gt;* )")+SUMIFS(namespace!$G$4:$G$1002, namespace!$B$4:$B$1002,"="&amp;A448, namespace!$B$4:$B$1002,"&lt;&gt;"&amp;""),"")</f>
        <v/>
      </c>
      <c r="L448" s="182" t="str">
        <f>IF(A448&lt;&gt;"",SUMIFS(deployment!$K$4:$K$1002, deployment!$D$4:$D$1002,"="&amp;A448, deployment!$D$4:$D$1002,"&lt;&gt;"&amp;"", deployment!$C$4:$C$1002, "&lt;&gt;* )")+SUMIFS(namespace!$H$4:$H$1002, namespace!$B$4:$B$1002,"="&amp;A448, namespace!$B$4:$B$1002,"&lt;&gt;"&amp;""),"")</f>
        <v/>
      </c>
      <c r="M448" s="115" t="str">
        <f>IF(A448&lt;&gt;"",SUMIFS(deployment!$L$4:$L$1002, deployment!$D$4:$D$1002,"="&amp;A448, deployment!$D$4:$D$1002,"&lt;&gt;"&amp;"", deployment!$C$4:$C$1002, "&lt;&gt;* )")+SUMIFS(namespace!$I$4:$I$1002, namespace!$B$4:$B$1002,"="&amp;A448, namespace!$B$4:$B$1002,"&lt;&gt;"&amp;""),"")</f>
        <v/>
      </c>
      <c r="N448" s="115" t="str">
        <f>IF(A448&lt;&gt;"",SUMIFS(deployment!$M$4:$M$1002, deployment!$D$4:$D$1002,"="&amp;A448, deployment!$D$4:$D$1002,"&lt;&gt;"&amp;"", deployment!$C$4:$C$1002, "&lt;&gt;* )")+SUMIFS(namespace!$J$4:$J$1002, namespace!$B$4:$B$1002,"="&amp;A448, namespace!$B$4:$B$1002,"&lt;&gt;"&amp;""),"")</f>
        <v/>
      </c>
      <c r="O448" s="116" t="str">
        <f t="shared" si="79"/>
        <v/>
      </c>
      <c r="P448" s="63"/>
      <c r="Q448" s="164" t="str">
        <f t="shared" si="74"/>
        <v/>
      </c>
      <c r="R448" s="60" t="str">
        <f t="shared" si="75"/>
        <v/>
      </c>
      <c r="S448" s="60" t="str">
        <f t="shared" si="76"/>
        <v/>
      </c>
      <c r="T448" s="61" t="str">
        <f t="shared" si="77"/>
        <v/>
      </c>
      <c r="U448" s="61" t="str">
        <f t="shared" si="78"/>
        <v/>
      </c>
      <c r="V448" s="183" t="str">
        <f t="shared" si="80"/>
        <v/>
      </c>
      <c r="W448" s="183" t="str">
        <f t="shared" si="81"/>
        <v/>
      </c>
      <c r="X448" s="61" t="str">
        <f t="shared" si="82"/>
        <v/>
      </c>
      <c r="Y448" s="61" t="str">
        <f t="shared" si="83"/>
        <v/>
      </c>
      <c r="Z448" s="118" t="str">
        <f t="shared" si="84"/>
        <v/>
      </c>
      <c r="AA448" s="62" t="str">
        <f t="shared" si="85"/>
        <v/>
      </c>
      <c r="AB448" s="119" t="str">
        <f>IF(A448&lt;&gt;"", IF(P448&lt;&gt;0,SUMIFS(node!$J$2:$J$1000, node!$C$2:$C$1000,"="&amp;A448)/P448,0), "")</f>
        <v/>
      </c>
      <c r="AC448" s="81" t="str">
        <f>IF(A448&lt;&gt;"", IF(P448&lt;&gt;0,SUMIFS(node!$K$2:$K$1000, node!$C$2:$C$1000,"="&amp;A448)/P448,0), "")</f>
        <v/>
      </c>
      <c r="AD448" s="82" t="str">
        <f>IF(A448&lt;&gt;"", SUMIFS(node!$L$2:$L$1000, node!$C$2:$C$1000,"="&amp;A448), "")</f>
        <v/>
      </c>
      <c r="AE448" s="87" t="str">
        <f>IF(A448&lt;&gt;"", SUMIFS(node!$M$2:$M$1000, node!$C$2:$C$1000,"="&amp;A448), "")</f>
        <v/>
      </c>
    </row>
    <row r="449" spans="1:31" ht="15.75" customHeight="1" x14ac:dyDescent="0.25">
      <c r="A449" s="71" t="str">
        <f>IF(ISNONTEXT(node_raw[[#This Row],[Column2]]), "", node_raw[[#This Row],[Column2]])</f>
        <v/>
      </c>
      <c r="B449" s="108" t="str">
        <f>IF(A449&lt;&gt;"", VLOOKUP(A449, node!$C$2:$D$1000, 2, FALSE), "")</f>
        <v/>
      </c>
      <c r="C449" s="109" t="str">
        <f>IF(A449&lt;&gt;"", VLOOKUP(A449, node!$C$2:$E$1000, 3, FALSE), "")</f>
        <v/>
      </c>
      <c r="D449" s="110" t="str">
        <f>IF(A449&lt;&gt;"",COUNTIFS(node!$C$2:$C$1000,"="&amp;A449, node!$C$2:$C$1000,"&lt;&gt;"&amp;""),"")</f>
        <v/>
      </c>
      <c r="E449" s="111" t="str">
        <f>IF(A449&lt;&gt;"",SUMIFS(node!$F$2:$F$500, node!$C$2:$C$500,"="&amp;A449, node!$C$2:$C$500,"&lt;&gt;"&amp;"")/(B449*D449),"")</f>
        <v/>
      </c>
      <c r="F449" s="112" t="str">
        <f>IF(A449&lt;&gt;"",SUMIFS(node!$H$2:$H$500, node!$C$2:$C$500,"="&amp;A449, node!$C$2:$C$500,"&lt;&gt;"&amp;"")/(C449*D449),"")</f>
        <v/>
      </c>
      <c r="G449" s="179" t="str">
        <f>IF(A449&lt;&gt;"",SUMIFS(deployment!$F$4:$F$502, deployment!$D$4:$D$502,"="&amp;A449, deployment!$D$4:$D$502,"&lt;&gt;"&amp;""),"")</f>
        <v/>
      </c>
      <c r="H449" s="181" t="str">
        <f>IF(A449&lt;&gt;"",SUMIFS(deployment!$G$4:$G$502, deployment!$D$4:$D$502,"="&amp;A449, deployment!$D$4:$D$502,"&lt;&gt;"&amp;""),"")</f>
        <v/>
      </c>
      <c r="I449" s="113" t="str">
        <f>IF(A449&lt;&gt;"",SUMIFS(deployment!$H$4:$H$502, deployment!$D$4:$D$502,"="&amp;A449, deployment!$D$4:$D$502,"&lt;&gt;"&amp;""),"")</f>
        <v/>
      </c>
      <c r="J449" s="114" t="str">
        <f>IF(A449&lt;&gt;"",SUMIFS(deployment!$I$4:$I$502, deployment!$D$4:$D$502,"="&amp;A449, deployment!$D$4:$D$502,"&lt;&gt;"&amp;""),"")</f>
        <v/>
      </c>
      <c r="K449" s="182" t="str">
        <f>IF(A449&lt;&gt;"",SUMIFS(deployment!$J$4:$J$1002, deployment!$D$4:$D$1002,"="&amp;A449, deployment!$D$4:$D$1002,"&lt;&gt;"&amp;"", deployment!$C$4:$C$1002, "&lt;&gt;* )")+SUMIFS(namespace!$G$4:$G$1002, namespace!$B$4:$B$1002,"="&amp;A449, namespace!$B$4:$B$1002,"&lt;&gt;"&amp;""),"")</f>
        <v/>
      </c>
      <c r="L449" s="182" t="str">
        <f>IF(A449&lt;&gt;"",SUMIFS(deployment!$K$4:$K$1002, deployment!$D$4:$D$1002,"="&amp;A449, deployment!$D$4:$D$1002,"&lt;&gt;"&amp;"", deployment!$C$4:$C$1002, "&lt;&gt;* )")+SUMIFS(namespace!$H$4:$H$1002, namespace!$B$4:$B$1002,"="&amp;A449, namespace!$B$4:$B$1002,"&lt;&gt;"&amp;""),"")</f>
        <v/>
      </c>
      <c r="M449" s="115" t="str">
        <f>IF(A449&lt;&gt;"",SUMIFS(deployment!$L$4:$L$1002, deployment!$D$4:$D$1002,"="&amp;A449, deployment!$D$4:$D$1002,"&lt;&gt;"&amp;"", deployment!$C$4:$C$1002, "&lt;&gt;* )")+SUMIFS(namespace!$I$4:$I$1002, namespace!$B$4:$B$1002,"="&amp;A449, namespace!$B$4:$B$1002,"&lt;&gt;"&amp;""),"")</f>
        <v/>
      </c>
      <c r="N449" s="115" t="str">
        <f>IF(A449&lt;&gt;"",SUMIFS(deployment!$M$4:$M$1002, deployment!$D$4:$D$1002,"="&amp;A449, deployment!$D$4:$D$1002,"&lt;&gt;"&amp;"", deployment!$C$4:$C$1002, "&lt;&gt;* )")+SUMIFS(namespace!$J$4:$J$1002, namespace!$B$4:$B$1002,"="&amp;A449, namespace!$B$4:$B$1002,"&lt;&gt;"&amp;""),"")</f>
        <v/>
      </c>
      <c r="O449" s="116" t="str">
        <f t="shared" si="79"/>
        <v/>
      </c>
      <c r="P449" s="63"/>
      <c r="Q449" s="164" t="str">
        <f t="shared" si="74"/>
        <v/>
      </c>
      <c r="R449" s="60" t="str">
        <f t="shared" si="75"/>
        <v/>
      </c>
      <c r="S449" s="60" t="str">
        <f t="shared" si="76"/>
        <v/>
      </c>
      <c r="T449" s="61" t="str">
        <f t="shared" si="77"/>
        <v/>
      </c>
      <c r="U449" s="61" t="str">
        <f t="shared" si="78"/>
        <v/>
      </c>
      <c r="V449" s="183" t="str">
        <f t="shared" si="80"/>
        <v/>
      </c>
      <c r="W449" s="183" t="str">
        <f t="shared" si="81"/>
        <v/>
      </c>
      <c r="X449" s="61" t="str">
        <f t="shared" si="82"/>
        <v/>
      </c>
      <c r="Y449" s="61" t="str">
        <f t="shared" si="83"/>
        <v/>
      </c>
      <c r="Z449" s="118" t="str">
        <f t="shared" si="84"/>
        <v/>
      </c>
      <c r="AA449" s="62" t="str">
        <f t="shared" si="85"/>
        <v/>
      </c>
      <c r="AB449" s="119" t="str">
        <f>IF(A449&lt;&gt;"", IF(P449&lt;&gt;0,SUMIFS(node!$J$2:$J$1000, node!$C$2:$C$1000,"="&amp;A449)/P449,0), "")</f>
        <v/>
      </c>
      <c r="AC449" s="81" t="str">
        <f>IF(A449&lt;&gt;"", IF(P449&lt;&gt;0,SUMIFS(node!$K$2:$K$1000, node!$C$2:$C$1000,"="&amp;A449)/P449,0), "")</f>
        <v/>
      </c>
      <c r="AD449" s="82" t="str">
        <f>IF(A449&lt;&gt;"", SUMIFS(node!$L$2:$L$1000, node!$C$2:$C$1000,"="&amp;A449), "")</f>
        <v/>
      </c>
      <c r="AE449" s="87" t="str">
        <f>IF(A449&lt;&gt;"", SUMIFS(node!$M$2:$M$1000, node!$C$2:$C$1000,"="&amp;A449), "")</f>
        <v/>
      </c>
    </row>
    <row r="450" spans="1:31" ht="15.75" customHeight="1" x14ac:dyDescent="0.25">
      <c r="A450" s="71" t="str">
        <f>IF(ISNONTEXT(node_raw[[#This Row],[Column2]]), "", node_raw[[#This Row],[Column2]])</f>
        <v/>
      </c>
      <c r="B450" s="108" t="str">
        <f>IF(A450&lt;&gt;"", VLOOKUP(A450, node!$C$2:$D$1000, 2, FALSE), "")</f>
        <v/>
      </c>
      <c r="C450" s="109" t="str">
        <f>IF(A450&lt;&gt;"", VLOOKUP(A450, node!$C$2:$E$1000, 3, FALSE), "")</f>
        <v/>
      </c>
      <c r="D450" s="110" t="str">
        <f>IF(A450&lt;&gt;"",COUNTIFS(node!$C$2:$C$1000,"="&amp;A450, node!$C$2:$C$1000,"&lt;&gt;"&amp;""),"")</f>
        <v/>
      </c>
      <c r="E450" s="111" t="str">
        <f>IF(A450&lt;&gt;"",SUMIFS(node!$F$2:$F$500, node!$C$2:$C$500,"="&amp;A450, node!$C$2:$C$500,"&lt;&gt;"&amp;"")/(B450*D450),"")</f>
        <v/>
      </c>
      <c r="F450" s="112" t="str">
        <f>IF(A450&lt;&gt;"",SUMIFS(node!$H$2:$H$500, node!$C$2:$C$500,"="&amp;A450, node!$C$2:$C$500,"&lt;&gt;"&amp;"")/(C450*D450),"")</f>
        <v/>
      </c>
      <c r="G450" s="179" t="str">
        <f>IF(A450&lt;&gt;"",SUMIFS(deployment!$F$4:$F$502, deployment!$D$4:$D$502,"="&amp;A450, deployment!$D$4:$D$502,"&lt;&gt;"&amp;""),"")</f>
        <v/>
      </c>
      <c r="H450" s="181" t="str">
        <f>IF(A450&lt;&gt;"",SUMIFS(deployment!$G$4:$G$502, deployment!$D$4:$D$502,"="&amp;A450, deployment!$D$4:$D$502,"&lt;&gt;"&amp;""),"")</f>
        <v/>
      </c>
      <c r="I450" s="113" t="str">
        <f>IF(A450&lt;&gt;"",SUMIFS(deployment!$H$4:$H$502, deployment!$D$4:$D$502,"="&amp;A450, deployment!$D$4:$D$502,"&lt;&gt;"&amp;""),"")</f>
        <v/>
      </c>
      <c r="J450" s="114" t="str">
        <f>IF(A450&lt;&gt;"",SUMIFS(deployment!$I$4:$I$502, deployment!$D$4:$D$502,"="&amp;A450, deployment!$D$4:$D$502,"&lt;&gt;"&amp;""),"")</f>
        <v/>
      </c>
      <c r="K450" s="182" t="str">
        <f>IF(A450&lt;&gt;"",SUMIFS(deployment!$J$4:$J$1002, deployment!$D$4:$D$1002,"="&amp;A450, deployment!$D$4:$D$1002,"&lt;&gt;"&amp;"", deployment!$C$4:$C$1002, "&lt;&gt;* )")+SUMIFS(namespace!$G$4:$G$1002, namespace!$B$4:$B$1002,"="&amp;A450, namespace!$B$4:$B$1002,"&lt;&gt;"&amp;""),"")</f>
        <v/>
      </c>
      <c r="L450" s="182" t="str">
        <f>IF(A450&lt;&gt;"",SUMIFS(deployment!$K$4:$K$1002, deployment!$D$4:$D$1002,"="&amp;A450, deployment!$D$4:$D$1002,"&lt;&gt;"&amp;"", deployment!$C$4:$C$1002, "&lt;&gt;* )")+SUMIFS(namespace!$H$4:$H$1002, namespace!$B$4:$B$1002,"="&amp;A450, namespace!$B$4:$B$1002,"&lt;&gt;"&amp;""),"")</f>
        <v/>
      </c>
      <c r="M450" s="115" t="str">
        <f>IF(A450&lt;&gt;"",SUMIFS(deployment!$L$4:$L$1002, deployment!$D$4:$D$1002,"="&amp;A450, deployment!$D$4:$D$1002,"&lt;&gt;"&amp;"", deployment!$C$4:$C$1002, "&lt;&gt;* )")+SUMIFS(namespace!$I$4:$I$1002, namespace!$B$4:$B$1002,"="&amp;A450, namespace!$B$4:$B$1002,"&lt;&gt;"&amp;""),"")</f>
        <v/>
      </c>
      <c r="N450" s="115" t="str">
        <f>IF(A450&lt;&gt;"",SUMIFS(deployment!$M$4:$M$1002, deployment!$D$4:$D$1002,"="&amp;A450, deployment!$D$4:$D$1002,"&lt;&gt;"&amp;"", deployment!$C$4:$C$1002, "&lt;&gt;* )")+SUMIFS(namespace!$J$4:$J$1002, namespace!$B$4:$B$1002,"="&amp;A450, namespace!$B$4:$B$1002,"&lt;&gt;"&amp;""),"")</f>
        <v/>
      </c>
      <c r="O450" s="116" t="str">
        <f t="shared" si="79"/>
        <v/>
      </c>
      <c r="P450" s="63"/>
      <c r="Q450" s="164" t="str">
        <f t="shared" si="74"/>
        <v/>
      </c>
      <c r="R450" s="60" t="str">
        <f t="shared" si="75"/>
        <v/>
      </c>
      <c r="S450" s="60" t="str">
        <f t="shared" si="76"/>
        <v/>
      </c>
      <c r="T450" s="61" t="str">
        <f t="shared" si="77"/>
        <v/>
      </c>
      <c r="U450" s="61" t="str">
        <f t="shared" si="78"/>
        <v/>
      </c>
      <c r="V450" s="183" t="str">
        <f t="shared" si="80"/>
        <v/>
      </c>
      <c r="W450" s="183" t="str">
        <f t="shared" si="81"/>
        <v/>
      </c>
      <c r="X450" s="61" t="str">
        <f t="shared" si="82"/>
        <v/>
      </c>
      <c r="Y450" s="61" t="str">
        <f t="shared" si="83"/>
        <v/>
      </c>
      <c r="Z450" s="118" t="str">
        <f t="shared" si="84"/>
        <v/>
      </c>
      <c r="AA450" s="62" t="str">
        <f t="shared" si="85"/>
        <v/>
      </c>
      <c r="AB450" s="119" t="str">
        <f>IF(A450&lt;&gt;"", IF(P450&lt;&gt;0,SUMIFS(node!$J$2:$J$1000, node!$C$2:$C$1000,"="&amp;A450)/P450,0), "")</f>
        <v/>
      </c>
      <c r="AC450" s="81" t="str">
        <f>IF(A450&lt;&gt;"", IF(P450&lt;&gt;0,SUMIFS(node!$K$2:$K$1000, node!$C$2:$C$1000,"="&amp;A450)/P450,0), "")</f>
        <v/>
      </c>
      <c r="AD450" s="82" t="str">
        <f>IF(A450&lt;&gt;"", SUMIFS(node!$L$2:$L$1000, node!$C$2:$C$1000,"="&amp;A450), "")</f>
        <v/>
      </c>
      <c r="AE450" s="87" t="str">
        <f>IF(A450&lt;&gt;"", SUMIFS(node!$M$2:$M$1000, node!$C$2:$C$1000,"="&amp;A450), "")</f>
        <v/>
      </c>
    </row>
    <row r="451" spans="1:31" ht="15.75" customHeight="1" x14ac:dyDescent="0.25">
      <c r="A451" s="71" t="str">
        <f>IF(ISNONTEXT(node_raw[[#This Row],[Column2]]), "", node_raw[[#This Row],[Column2]])</f>
        <v/>
      </c>
      <c r="B451" s="108" t="str">
        <f>IF(A451&lt;&gt;"", VLOOKUP(A451, node!$C$2:$D$1000, 2, FALSE), "")</f>
        <v/>
      </c>
      <c r="C451" s="109" t="str">
        <f>IF(A451&lt;&gt;"", VLOOKUP(A451, node!$C$2:$E$1000, 3, FALSE), "")</f>
        <v/>
      </c>
      <c r="D451" s="110" t="str">
        <f>IF(A451&lt;&gt;"",COUNTIFS(node!$C$2:$C$1000,"="&amp;A451, node!$C$2:$C$1000,"&lt;&gt;"&amp;""),"")</f>
        <v/>
      </c>
      <c r="E451" s="111" t="str">
        <f>IF(A451&lt;&gt;"",SUMIFS(node!$F$2:$F$500, node!$C$2:$C$500,"="&amp;A451, node!$C$2:$C$500,"&lt;&gt;"&amp;"")/(B451*D451),"")</f>
        <v/>
      </c>
      <c r="F451" s="112" t="str">
        <f>IF(A451&lt;&gt;"",SUMIFS(node!$H$2:$H$500, node!$C$2:$C$500,"="&amp;A451, node!$C$2:$C$500,"&lt;&gt;"&amp;"")/(C451*D451),"")</f>
        <v/>
      </c>
      <c r="G451" s="179" t="str">
        <f>IF(A451&lt;&gt;"",SUMIFS(deployment!$F$4:$F$502, deployment!$D$4:$D$502,"="&amp;A451, deployment!$D$4:$D$502,"&lt;&gt;"&amp;""),"")</f>
        <v/>
      </c>
      <c r="H451" s="181" t="str">
        <f>IF(A451&lt;&gt;"",SUMIFS(deployment!$G$4:$G$502, deployment!$D$4:$D$502,"="&amp;A451, deployment!$D$4:$D$502,"&lt;&gt;"&amp;""),"")</f>
        <v/>
      </c>
      <c r="I451" s="113" t="str">
        <f>IF(A451&lt;&gt;"",SUMIFS(deployment!$H$4:$H$502, deployment!$D$4:$D$502,"="&amp;A451, deployment!$D$4:$D$502,"&lt;&gt;"&amp;""),"")</f>
        <v/>
      </c>
      <c r="J451" s="114" t="str">
        <f>IF(A451&lt;&gt;"",SUMIFS(deployment!$I$4:$I$502, deployment!$D$4:$D$502,"="&amp;A451, deployment!$D$4:$D$502,"&lt;&gt;"&amp;""),"")</f>
        <v/>
      </c>
      <c r="K451" s="182" t="str">
        <f>IF(A451&lt;&gt;"",SUMIFS(deployment!$J$4:$J$1002, deployment!$D$4:$D$1002,"="&amp;A451, deployment!$D$4:$D$1002,"&lt;&gt;"&amp;"", deployment!$C$4:$C$1002, "&lt;&gt;* )")+SUMIFS(namespace!$G$4:$G$1002, namespace!$B$4:$B$1002,"="&amp;A451, namespace!$B$4:$B$1002,"&lt;&gt;"&amp;""),"")</f>
        <v/>
      </c>
      <c r="L451" s="182" t="str">
        <f>IF(A451&lt;&gt;"",SUMIFS(deployment!$K$4:$K$1002, deployment!$D$4:$D$1002,"="&amp;A451, deployment!$D$4:$D$1002,"&lt;&gt;"&amp;"", deployment!$C$4:$C$1002, "&lt;&gt;* )")+SUMIFS(namespace!$H$4:$H$1002, namespace!$B$4:$B$1002,"="&amp;A451, namespace!$B$4:$B$1002,"&lt;&gt;"&amp;""),"")</f>
        <v/>
      </c>
      <c r="M451" s="115" t="str">
        <f>IF(A451&lt;&gt;"",SUMIFS(deployment!$L$4:$L$1002, deployment!$D$4:$D$1002,"="&amp;A451, deployment!$D$4:$D$1002,"&lt;&gt;"&amp;"", deployment!$C$4:$C$1002, "&lt;&gt;* )")+SUMIFS(namespace!$I$4:$I$1002, namespace!$B$4:$B$1002,"="&amp;A451, namespace!$B$4:$B$1002,"&lt;&gt;"&amp;""),"")</f>
        <v/>
      </c>
      <c r="N451" s="115" t="str">
        <f>IF(A451&lt;&gt;"",SUMIFS(deployment!$M$4:$M$1002, deployment!$D$4:$D$1002,"="&amp;A451, deployment!$D$4:$D$1002,"&lt;&gt;"&amp;"", deployment!$C$4:$C$1002, "&lt;&gt;* )")+SUMIFS(namespace!$J$4:$J$1002, namespace!$B$4:$B$1002,"="&amp;A451, namespace!$B$4:$B$1002,"&lt;&gt;"&amp;""),"")</f>
        <v/>
      </c>
      <c r="O451" s="116" t="str">
        <f t="shared" si="79"/>
        <v/>
      </c>
      <c r="P451" s="63"/>
      <c r="Q451" s="164" t="str">
        <f t="shared" si="74"/>
        <v/>
      </c>
      <c r="R451" s="60" t="str">
        <f t="shared" si="75"/>
        <v/>
      </c>
      <c r="S451" s="60" t="str">
        <f t="shared" si="76"/>
        <v/>
      </c>
      <c r="T451" s="61" t="str">
        <f t="shared" si="77"/>
        <v/>
      </c>
      <c r="U451" s="61" t="str">
        <f t="shared" si="78"/>
        <v/>
      </c>
      <c r="V451" s="183" t="str">
        <f t="shared" si="80"/>
        <v/>
      </c>
      <c r="W451" s="183" t="str">
        <f t="shared" si="81"/>
        <v/>
      </c>
      <c r="X451" s="61" t="str">
        <f t="shared" si="82"/>
        <v/>
      </c>
      <c r="Y451" s="61" t="str">
        <f t="shared" si="83"/>
        <v/>
      </c>
      <c r="Z451" s="118" t="str">
        <f t="shared" si="84"/>
        <v/>
      </c>
      <c r="AA451" s="62" t="str">
        <f t="shared" si="85"/>
        <v/>
      </c>
      <c r="AB451" s="119" t="str">
        <f>IF(A451&lt;&gt;"", IF(P451&lt;&gt;0,SUMIFS(node!$J$2:$J$1000, node!$C$2:$C$1000,"="&amp;A451)/P451,0), "")</f>
        <v/>
      </c>
      <c r="AC451" s="81" t="str">
        <f>IF(A451&lt;&gt;"", IF(P451&lt;&gt;0,SUMIFS(node!$K$2:$K$1000, node!$C$2:$C$1000,"="&amp;A451)/P451,0), "")</f>
        <v/>
      </c>
      <c r="AD451" s="82" t="str">
        <f>IF(A451&lt;&gt;"", SUMIFS(node!$L$2:$L$1000, node!$C$2:$C$1000,"="&amp;A451), "")</f>
        <v/>
      </c>
      <c r="AE451" s="87" t="str">
        <f>IF(A451&lt;&gt;"", SUMIFS(node!$M$2:$M$1000, node!$C$2:$C$1000,"="&amp;A451), "")</f>
        <v/>
      </c>
    </row>
    <row r="452" spans="1:31" ht="15.75" customHeight="1" x14ac:dyDescent="0.25">
      <c r="A452" s="71" t="str">
        <f>IF(ISNONTEXT(node_raw[[#This Row],[Column2]]), "", node_raw[[#This Row],[Column2]])</f>
        <v/>
      </c>
      <c r="B452" s="108" t="str">
        <f>IF(A452&lt;&gt;"", VLOOKUP(A452, node!$C$2:$D$1000, 2, FALSE), "")</f>
        <v/>
      </c>
      <c r="C452" s="109" t="str">
        <f>IF(A452&lt;&gt;"", VLOOKUP(A452, node!$C$2:$E$1000, 3, FALSE), "")</f>
        <v/>
      </c>
      <c r="D452" s="110" t="str">
        <f>IF(A452&lt;&gt;"",COUNTIFS(node!$C$2:$C$1000,"="&amp;A452, node!$C$2:$C$1000,"&lt;&gt;"&amp;""),"")</f>
        <v/>
      </c>
      <c r="E452" s="111" t="str">
        <f>IF(A452&lt;&gt;"",SUMIFS(node!$F$2:$F$500, node!$C$2:$C$500,"="&amp;A452, node!$C$2:$C$500,"&lt;&gt;"&amp;"")/(B452*D452),"")</f>
        <v/>
      </c>
      <c r="F452" s="112" t="str">
        <f>IF(A452&lt;&gt;"",SUMIFS(node!$H$2:$H$500, node!$C$2:$C$500,"="&amp;A452, node!$C$2:$C$500,"&lt;&gt;"&amp;"")/(C452*D452),"")</f>
        <v/>
      </c>
      <c r="G452" s="179" t="str">
        <f>IF(A452&lt;&gt;"",SUMIFS(deployment!$F$4:$F$502, deployment!$D$4:$D$502,"="&amp;A452, deployment!$D$4:$D$502,"&lt;&gt;"&amp;""),"")</f>
        <v/>
      </c>
      <c r="H452" s="181" t="str">
        <f>IF(A452&lt;&gt;"",SUMIFS(deployment!$G$4:$G$502, deployment!$D$4:$D$502,"="&amp;A452, deployment!$D$4:$D$502,"&lt;&gt;"&amp;""),"")</f>
        <v/>
      </c>
      <c r="I452" s="113" t="str">
        <f>IF(A452&lt;&gt;"",SUMIFS(deployment!$H$4:$H$502, deployment!$D$4:$D$502,"="&amp;A452, deployment!$D$4:$D$502,"&lt;&gt;"&amp;""),"")</f>
        <v/>
      </c>
      <c r="J452" s="114" t="str">
        <f>IF(A452&lt;&gt;"",SUMIFS(deployment!$I$4:$I$502, deployment!$D$4:$D$502,"="&amp;A452, deployment!$D$4:$D$502,"&lt;&gt;"&amp;""),"")</f>
        <v/>
      </c>
      <c r="K452" s="182" t="str">
        <f>IF(A452&lt;&gt;"",SUMIFS(deployment!$J$4:$J$1002, deployment!$D$4:$D$1002,"="&amp;A452, deployment!$D$4:$D$1002,"&lt;&gt;"&amp;"", deployment!$C$4:$C$1002, "&lt;&gt;* )")+SUMIFS(namespace!$G$4:$G$1002, namespace!$B$4:$B$1002,"="&amp;A452, namespace!$B$4:$B$1002,"&lt;&gt;"&amp;""),"")</f>
        <v/>
      </c>
      <c r="L452" s="182" t="str">
        <f>IF(A452&lt;&gt;"",SUMIFS(deployment!$K$4:$K$1002, deployment!$D$4:$D$1002,"="&amp;A452, deployment!$D$4:$D$1002,"&lt;&gt;"&amp;"", deployment!$C$4:$C$1002, "&lt;&gt;* )")+SUMIFS(namespace!$H$4:$H$1002, namespace!$B$4:$B$1002,"="&amp;A452, namespace!$B$4:$B$1002,"&lt;&gt;"&amp;""),"")</f>
        <v/>
      </c>
      <c r="M452" s="115" t="str">
        <f>IF(A452&lt;&gt;"",SUMIFS(deployment!$L$4:$L$1002, deployment!$D$4:$D$1002,"="&amp;A452, deployment!$D$4:$D$1002,"&lt;&gt;"&amp;"", deployment!$C$4:$C$1002, "&lt;&gt;* )")+SUMIFS(namespace!$I$4:$I$1002, namespace!$B$4:$B$1002,"="&amp;A452, namespace!$B$4:$B$1002,"&lt;&gt;"&amp;""),"")</f>
        <v/>
      </c>
      <c r="N452" s="115" t="str">
        <f>IF(A452&lt;&gt;"",SUMIFS(deployment!$M$4:$M$1002, deployment!$D$4:$D$1002,"="&amp;A452, deployment!$D$4:$D$1002,"&lt;&gt;"&amp;"", deployment!$C$4:$C$1002, "&lt;&gt;* )")+SUMIFS(namespace!$J$4:$J$1002, namespace!$B$4:$B$1002,"="&amp;A452, namespace!$B$4:$B$1002,"&lt;&gt;"&amp;""),"")</f>
        <v/>
      </c>
      <c r="O452" s="116" t="str">
        <f t="shared" si="79"/>
        <v/>
      </c>
      <c r="P452" s="63"/>
      <c r="Q452" s="164" t="str">
        <f t="shared" ref="Q452:Q502" si="86">IF(A452&lt;&gt;"",(D452-P452)/D452,"")</f>
        <v/>
      </c>
      <c r="R452" s="60" t="str">
        <f t="shared" ref="R452:R502" si="87">IF(A452&lt;&gt;"",G452/(P452*B452),"")</f>
        <v/>
      </c>
      <c r="S452" s="60" t="str">
        <f t="shared" ref="S452:S502" si="88">IF(A452&lt;&gt;"",H452/(P452*C452),"")</f>
        <v/>
      </c>
      <c r="T452" s="61" t="str">
        <f t="shared" ref="T452:T502" si="89">IF(A452&lt;&gt;"",I452/(P452*B452),"")</f>
        <v/>
      </c>
      <c r="U452" s="61" t="str">
        <f t="shared" ref="U452:U502" si="90">IF(A452&lt;&gt;"",J452/(P452*C452),"")</f>
        <v/>
      </c>
      <c r="V452" s="183" t="str">
        <f t="shared" si="80"/>
        <v/>
      </c>
      <c r="W452" s="183" t="str">
        <f t="shared" si="81"/>
        <v/>
      </c>
      <c r="X452" s="61" t="str">
        <f t="shared" si="82"/>
        <v/>
      </c>
      <c r="Y452" s="61" t="str">
        <f t="shared" si="83"/>
        <v/>
      </c>
      <c r="Z452" s="118" t="str">
        <f t="shared" si="84"/>
        <v/>
      </c>
      <c r="AA452" s="62" t="str">
        <f t="shared" si="85"/>
        <v/>
      </c>
      <c r="AB452" s="119" t="str">
        <f>IF(A452&lt;&gt;"", IF(P452&lt;&gt;0,SUMIFS(node!$J$2:$J$1000, node!$C$2:$C$1000,"="&amp;A452)/P452,0), "")</f>
        <v/>
      </c>
      <c r="AC452" s="81" t="str">
        <f>IF(A452&lt;&gt;"", IF(P452&lt;&gt;0,SUMIFS(node!$K$2:$K$1000, node!$C$2:$C$1000,"="&amp;A452)/P452,0), "")</f>
        <v/>
      </c>
      <c r="AD452" s="82" t="str">
        <f>IF(A452&lt;&gt;"", SUMIFS(node!$L$2:$L$1000, node!$C$2:$C$1000,"="&amp;A452), "")</f>
        <v/>
      </c>
      <c r="AE452" s="87" t="str">
        <f>IF(A452&lt;&gt;"", SUMIFS(node!$M$2:$M$1000, node!$C$2:$C$1000,"="&amp;A452), "")</f>
        <v/>
      </c>
    </row>
    <row r="453" spans="1:31" ht="15.75" customHeight="1" x14ac:dyDescent="0.25">
      <c r="A453" s="71" t="str">
        <f>IF(ISNONTEXT(node_raw[[#This Row],[Column2]]), "", node_raw[[#This Row],[Column2]])</f>
        <v/>
      </c>
      <c r="B453" s="108" t="str">
        <f>IF(A453&lt;&gt;"", VLOOKUP(A453, node!$C$2:$D$1000, 2, FALSE), "")</f>
        <v/>
      </c>
      <c r="C453" s="109" t="str">
        <f>IF(A453&lt;&gt;"", VLOOKUP(A453, node!$C$2:$E$1000, 3, FALSE), "")</f>
        <v/>
      </c>
      <c r="D453" s="110" t="str">
        <f>IF(A453&lt;&gt;"",COUNTIFS(node!$C$2:$C$1000,"="&amp;A453, node!$C$2:$C$1000,"&lt;&gt;"&amp;""),"")</f>
        <v/>
      </c>
      <c r="E453" s="111" t="str">
        <f>IF(A453&lt;&gt;"",SUMIFS(node!$F$2:$F$500, node!$C$2:$C$500,"="&amp;A453, node!$C$2:$C$500,"&lt;&gt;"&amp;"")/(B453*D453),"")</f>
        <v/>
      </c>
      <c r="F453" s="112" t="str">
        <f>IF(A453&lt;&gt;"",SUMIFS(node!$H$2:$H$500, node!$C$2:$C$500,"="&amp;A453, node!$C$2:$C$500,"&lt;&gt;"&amp;"")/(C453*D453),"")</f>
        <v/>
      </c>
      <c r="G453" s="179" t="str">
        <f>IF(A453&lt;&gt;"",SUMIFS(deployment!$F$4:$F$502, deployment!$D$4:$D$502,"="&amp;A453, deployment!$D$4:$D$502,"&lt;&gt;"&amp;""),"")</f>
        <v/>
      </c>
      <c r="H453" s="181" t="str">
        <f>IF(A453&lt;&gt;"",SUMIFS(deployment!$G$4:$G$502, deployment!$D$4:$D$502,"="&amp;A453, deployment!$D$4:$D$502,"&lt;&gt;"&amp;""),"")</f>
        <v/>
      </c>
      <c r="I453" s="113" t="str">
        <f>IF(A453&lt;&gt;"",SUMIFS(deployment!$H$4:$H$502, deployment!$D$4:$D$502,"="&amp;A453, deployment!$D$4:$D$502,"&lt;&gt;"&amp;""),"")</f>
        <v/>
      </c>
      <c r="J453" s="114" t="str">
        <f>IF(A453&lt;&gt;"",SUMIFS(deployment!$I$4:$I$502, deployment!$D$4:$D$502,"="&amp;A453, deployment!$D$4:$D$502,"&lt;&gt;"&amp;""),"")</f>
        <v/>
      </c>
      <c r="K453" s="182" t="str">
        <f>IF(A453&lt;&gt;"",SUMIFS(deployment!$J$4:$J$1002, deployment!$D$4:$D$1002,"="&amp;A453, deployment!$D$4:$D$1002,"&lt;&gt;"&amp;"", deployment!$C$4:$C$1002, "&lt;&gt;* )")+SUMIFS(namespace!$G$4:$G$1002, namespace!$B$4:$B$1002,"="&amp;A453, namespace!$B$4:$B$1002,"&lt;&gt;"&amp;""),"")</f>
        <v/>
      </c>
      <c r="L453" s="182" t="str">
        <f>IF(A453&lt;&gt;"",SUMIFS(deployment!$K$4:$K$1002, deployment!$D$4:$D$1002,"="&amp;A453, deployment!$D$4:$D$1002,"&lt;&gt;"&amp;"", deployment!$C$4:$C$1002, "&lt;&gt;* )")+SUMIFS(namespace!$H$4:$H$1002, namespace!$B$4:$B$1002,"="&amp;A453, namespace!$B$4:$B$1002,"&lt;&gt;"&amp;""),"")</f>
        <v/>
      </c>
      <c r="M453" s="115" t="str">
        <f>IF(A453&lt;&gt;"",SUMIFS(deployment!$L$4:$L$1002, deployment!$D$4:$D$1002,"="&amp;A453, deployment!$D$4:$D$1002,"&lt;&gt;"&amp;"", deployment!$C$4:$C$1002, "&lt;&gt;* )")+SUMIFS(namespace!$I$4:$I$1002, namespace!$B$4:$B$1002,"="&amp;A453, namespace!$B$4:$B$1002,"&lt;&gt;"&amp;""),"")</f>
        <v/>
      </c>
      <c r="N453" s="115" t="str">
        <f>IF(A453&lt;&gt;"",SUMIFS(deployment!$M$4:$M$1002, deployment!$D$4:$D$1002,"="&amp;A453, deployment!$D$4:$D$1002,"&lt;&gt;"&amp;"", deployment!$C$4:$C$1002, "&lt;&gt;* )")+SUMIFS(namespace!$J$4:$J$1002, namespace!$B$4:$B$1002,"="&amp;A453, namespace!$B$4:$B$1002,"&lt;&gt;"&amp;""),"")</f>
        <v/>
      </c>
      <c r="O453" s="116" t="str">
        <f t="shared" ref="O453:O502" si="91">IF(A453&lt;&gt;"",MAX(ROUNDUP(K453/(B453*$B$2), 0), ROUNDUP(L453/(C453*$C$2), 0), ROUNDUP(M453/(B453*$B$2), 0), ROUNDUP(N453/(C453*$C$2), 0), 1),"")</f>
        <v/>
      </c>
      <c r="P453" s="63"/>
      <c r="Q453" s="164" t="str">
        <f t="shared" si="86"/>
        <v/>
      </c>
      <c r="R453" s="60" t="str">
        <f t="shared" si="87"/>
        <v/>
      </c>
      <c r="S453" s="60" t="str">
        <f t="shared" si="88"/>
        <v/>
      </c>
      <c r="T453" s="61" t="str">
        <f t="shared" si="89"/>
        <v/>
      </c>
      <c r="U453" s="61" t="str">
        <f t="shared" si="90"/>
        <v/>
      </c>
      <c r="V453" s="183" t="str">
        <f t="shared" ref="V453:V502" si="92">IF(A453&lt;&gt;"",IF(P453&lt;&gt;0,K453/(P453*B453),0),"")</f>
        <v/>
      </c>
      <c r="W453" s="183" t="str">
        <f t="shared" ref="W453:W502" si="93">IF(A453&lt;&gt;"",IF(P453&lt;&gt;0,L453/(P453*C453),0),"")</f>
        <v/>
      </c>
      <c r="X453" s="61" t="str">
        <f t="shared" ref="X453:X502" si="94">IF(A453&lt;&gt;"",IF(P453&lt;&gt;0,M453/(P453*B453),0),"")</f>
        <v/>
      </c>
      <c r="Y453" s="61" t="str">
        <f t="shared" ref="Y453:Y502" si="95">IF(A453&lt;&gt;"",IF(P453&lt;&gt;0,N453/(P453*C453),0),"")</f>
        <v/>
      </c>
      <c r="Z453" s="118" t="str">
        <f t="shared" ref="Z453:Z502" si="96">IF(A453&lt;&gt;"",(D453*E453)/P453,"")</f>
        <v/>
      </c>
      <c r="AA453" s="62" t="str">
        <f t="shared" ref="AA453:AA502" si="97">IF(A453&lt;&gt;"",(D453*F453)/P453,"")</f>
        <v/>
      </c>
      <c r="AB453" s="119" t="str">
        <f>IF(A453&lt;&gt;"", IF(P453&lt;&gt;0,SUMIFS(node!$J$2:$J$1000, node!$C$2:$C$1000,"="&amp;A453)/P453,0), "")</f>
        <v/>
      </c>
      <c r="AC453" s="81" t="str">
        <f>IF(A453&lt;&gt;"", IF(P453&lt;&gt;0,SUMIFS(node!$K$2:$K$1000, node!$C$2:$C$1000,"="&amp;A453)/P453,0), "")</f>
        <v/>
      </c>
      <c r="AD453" s="82" t="str">
        <f>IF(A453&lt;&gt;"", SUMIFS(node!$L$2:$L$1000, node!$C$2:$C$1000,"="&amp;A453), "")</f>
        <v/>
      </c>
      <c r="AE453" s="87" t="str">
        <f>IF(A453&lt;&gt;"", SUMIFS(node!$M$2:$M$1000, node!$C$2:$C$1000,"="&amp;A453), "")</f>
        <v/>
      </c>
    </row>
    <row r="454" spans="1:31" ht="15.75" customHeight="1" x14ac:dyDescent="0.25">
      <c r="A454" s="71" t="str">
        <f>IF(ISNONTEXT(node_raw[[#This Row],[Column2]]), "", node_raw[[#This Row],[Column2]])</f>
        <v/>
      </c>
      <c r="B454" s="108" t="str">
        <f>IF(A454&lt;&gt;"", VLOOKUP(A454, node!$C$2:$D$1000, 2, FALSE), "")</f>
        <v/>
      </c>
      <c r="C454" s="109" t="str">
        <f>IF(A454&lt;&gt;"", VLOOKUP(A454, node!$C$2:$E$1000, 3, FALSE), "")</f>
        <v/>
      </c>
      <c r="D454" s="110" t="str">
        <f>IF(A454&lt;&gt;"",COUNTIFS(node!$C$2:$C$1000,"="&amp;A454, node!$C$2:$C$1000,"&lt;&gt;"&amp;""),"")</f>
        <v/>
      </c>
      <c r="E454" s="111" t="str">
        <f>IF(A454&lt;&gt;"",SUMIFS(node!$F$2:$F$500, node!$C$2:$C$500,"="&amp;A454, node!$C$2:$C$500,"&lt;&gt;"&amp;"")/(B454*D454),"")</f>
        <v/>
      </c>
      <c r="F454" s="112" t="str">
        <f>IF(A454&lt;&gt;"",SUMIFS(node!$H$2:$H$500, node!$C$2:$C$500,"="&amp;A454, node!$C$2:$C$500,"&lt;&gt;"&amp;"")/(C454*D454),"")</f>
        <v/>
      </c>
      <c r="G454" s="179" t="str">
        <f>IF(A454&lt;&gt;"",SUMIFS(deployment!$F$4:$F$502, deployment!$D$4:$D$502,"="&amp;A454, deployment!$D$4:$D$502,"&lt;&gt;"&amp;""),"")</f>
        <v/>
      </c>
      <c r="H454" s="181" t="str">
        <f>IF(A454&lt;&gt;"",SUMIFS(deployment!$G$4:$G$502, deployment!$D$4:$D$502,"="&amp;A454, deployment!$D$4:$D$502,"&lt;&gt;"&amp;""),"")</f>
        <v/>
      </c>
      <c r="I454" s="113" t="str">
        <f>IF(A454&lt;&gt;"",SUMIFS(deployment!$H$4:$H$502, deployment!$D$4:$D$502,"="&amp;A454, deployment!$D$4:$D$502,"&lt;&gt;"&amp;""),"")</f>
        <v/>
      </c>
      <c r="J454" s="114" t="str">
        <f>IF(A454&lt;&gt;"",SUMIFS(deployment!$I$4:$I$502, deployment!$D$4:$D$502,"="&amp;A454, deployment!$D$4:$D$502,"&lt;&gt;"&amp;""),"")</f>
        <v/>
      </c>
      <c r="K454" s="182" t="str">
        <f>IF(A454&lt;&gt;"",SUMIFS(deployment!$J$4:$J$1002, deployment!$D$4:$D$1002,"="&amp;A454, deployment!$D$4:$D$1002,"&lt;&gt;"&amp;"", deployment!$C$4:$C$1002, "&lt;&gt;* )")+SUMIFS(namespace!$G$4:$G$1002, namespace!$B$4:$B$1002,"="&amp;A454, namespace!$B$4:$B$1002,"&lt;&gt;"&amp;""),"")</f>
        <v/>
      </c>
      <c r="L454" s="182" t="str">
        <f>IF(A454&lt;&gt;"",SUMIFS(deployment!$K$4:$K$1002, deployment!$D$4:$D$1002,"="&amp;A454, deployment!$D$4:$D$1002,"&lt;&gt;"&amp;"", deployment!$C$4:$C$1002, "&lt;&gt;* )")+SUMIFS(namespace!$H$4:$H$1002, namespace!$B$4:$B$1002,"="&amp;A454, namespace!$B$4:$B$1002,"&lt;&gt;"&amp;""),"")</f>
        <v/>
      </c>
      <c r="M454" s="115" t="str">
        <f>IF(A454&lt;&gt;"",SUMIFS(deployment!$L$4:$L$1002, deployment!$D$4:$D$1002,"="&amp;A454, deployment!$D$4:$D$1002,"&lt;&gt;"&amp;"", deployment!$C$4:$C$1002, "&lt;&gt;* )")+SUMIFS(namespace!$I$4:$I$1002, namespace!$B$4:$B$1002,"="&amp;A454, namespace!$B$4:$B$1002,"&lt;&gt;"&amp;""),"")</f>
        <v/>
      </c>
      <c r="N454" s="115" t="str">
        <f>IF(A454&lt;&gt;"",SUMIFS(deployment!$M$4:$M$1002, deployment!$D$4:$D$1002,"="&amp;A454, deployment!$D$4:$D$1002,"&lt;&gt;"&amp;"", deployment!$C$4:$C$1002, "&lt;&gt;* )")+SUMIFS(namespace!$J$4:$J$1002, namespace!$B$4:$B$1002,"="&amp;A454, namespace!$B$4:$B$1002,"&lt;&gt;"&amp;""),"")</f>
        <v/>
      </c>
      <c r="O454" s="116" t="str">
        <f t="shared" si="91"/>
        <v/>
      </c>
      <c r="P454" s="63"/>
      <c r="Q454" s="164" t="str">
        <f t="shared" si="86"/>
        <v/>
      </c>
      <c r="R454" s="60" t="str">
        <f t="shared" si="87"/>
        <v/>
      </c>
      <c r="S454" s="60" t="str">
        <f t="shared" si="88"/>
        <v/>
      </c>
      <c r="T454" s="61" t="str">
        <f t="shared" si="89"/>
        <v/>
      </c>
      <c r="U454" s="61" t="str">
        <f t="shared" si="90"/>
        <v/>
      </c>
      <c r="V454" s="183" t="str">
        <f t="shared" si="92"/>
        <v/>
      </c>
      <c r="W454" s="183" t="str">
        <f t="shared" si="93"/>
        <v/>
      </c>
      <c r="X454" s="61" t="str">
        <f t="shared" si="94"/>
        <v/>
      </c>
      <c r="Y454" s="61" t="str">
        <f t="shared" si="95"/>
        <v/>
      </c>
      <c r="Z454" s="118" t="str">
        <f t="shared" si="96"/>
        <v/>
      </c>
      <c r="AA454" s="62" t="str">
        <f t="shared" si="97"/>
        <v/>
      </c>
      <c r="AB454" s="119" t="str">
        <f>IF(A454&lt;&gt;"", IF(P454&lt;&gt;0,SUMIFS(node!$J$2:$J$1000, node!$C$2:$C$1000,"="&amp;A454)/P454,0), "")</f>
        <v/>
      </c>
      <c r="AC454" s="81" t="str">
        <f>IF(A454&lt;&gt;"", IF(P454&lt;&gt;0,SUMIFS(node!$K$2:$K$1000, node!$C$2:$C$1000,"="&amp;A454)/P454,0), "")</f>
        <v/>
      </c>
      <c r="AD454" s="82" t="str">
        <f>IF(A454&lt;&gt;"", SUMIFS(node!$L$2:$L$1000, node!$C$2:$C$1000,"="&amp;A454), "")</f>
        <v/>
      </c>
      <c r="AE454" s="87" t="str">
        <f>IF(A454&lt;&gt;"", SUMIFS(node!$M$2:$M$1000, node!$C$2:$C$1000,"="&amp;A454), "")</f>
        <v/>
      </c>
    </row>
    <row r="455" spans="1:31" ht="15.75" customHeight="1" x14ac:dyDescent="0.25">
      <c r="A455" s="71" t="str">
        <f>IF(ISNONTEXT(node_raw[[#This Row],[Column2]]), "", node_raw[[#This Row],[Column2]])</f>
        <v/>
      </c>
      <c r="B455" s="108" t="str">
        <f>IF(A455&lt;&gt;"", VLOOKUP(A455, node!$C$2:$D$1000, 2, FALSE), "")</f>
        <v/>
      </c>
      <c r="C455" s="109" t="str">
        <f>IF(A455&lt;&gt;"", VLOOKUP(A455, node!$C$2:$E$1000, 3, FALSE), "")</f>
        <v/>
      </c>
      <c r="D455" s="110" t="str">
        <f>IF(A455&lt;&gt;"",COUNTIFS(node!$C$2:$C$1000,"="&amp;A455, node!$C$2:$C$1000,"&lt;&gt;"&amp;""),"")</f>
        <v/>
      </c>
      <c r="E455" s="111" t="str">
        <f>IF(A455&lt;&gt;"",SUMIFS(node!$F$2:$F$500, node!$C$2:$C$500,"="&amp;A455, node!$C$2:$C$500,"&lt;&gt;"&amp;"")/(B455*D455),"")</f>
        <v/>
      </c>
      <c r="F455" s="112" t="str">
        <f>IF(A455&lt;&gt;"",SUMIFS(node!$H$2:$H$500, node!$C$2:$C$500,"="&amp;A455, node!$C$2:$C$500,"&lt;&gt;"&amp;"")/(C455*D455),"")</f>
        <v/>
      </c>
      <c r="G455" s="179" t="str">
        <f>IF(A455&lt;&gt;"",SUMIFS(deployment!$F$4:$F$502, deployment!$D$4:$D$502,"="&amp;A455, deployment!$D$4:$D$502,"&lt;&gt;"&amp;""),"")</f>
        <v/>
      </c>
      <c r="H455" s="181" t="str">
        <f>IF(A455&lt;&gt;"",SUMIFS(deployment!$G$4:$G$502, deployment!$D$4:$D$502,"="&amp;A455, deployment!$D$4:$D$502,"&lt;&gt;"&amp;""),"")</f>
        <v/>
      </c>
      <c r="I455" s="113" t="str">
        <f>IF(A455&lt;&gt;"",SUMIFS(deployment!$H$4:$H$502, deployment!$D$4:$D$502,"="&amp;A455, deployment!$D$4:$D$502,"&lt;&gt;"&amp;""),"")</f>
        <v/>
      </c>
      <c r="J455" s="114" t="str">
        <f>IF(A455&lt;&gt;"",SUMIFS(deployment!$I$4:$I$502, deployment!$D$4:$D$502,"="&amp;A455, deployment!$D$4:$D$502,"&lt;&gt;"&amp;""),"")</f>
        <v/>
      </c>
      <c r="K455" s="182" t="str">
        <f>IF(A455&lt;&gt;"",SUMIFS(deployment!$J$4:$J$1002, deployment!$D$4:$D$1002,"="&amp;A455, deployment!$D$4:$D$1002,"&lt;&gt;"&amp;"", deployment!$C$4:$C$1002, "&lt;&gt;* )")+SUMIFS(namespace!$G$4:$G$1002, namespace!$B$4:$B$1002,"="&amp;A455, namespace!$B$4:$B$1002,"&lt;&gt;"&amp;""),"")</f>
        <v/>
      </c>
      <c r="L455" s="182" t="str">
        <f>IF(A455&lt;&gt;"",SUMIFS(deployment!$K$4:$K$1002, deployment!$D$4:$D$1002,"="&amp;A455, deployment!$D$4:$D$1002,"&lt;&gt;"&amp;"", deployment!$C$4:$C$1002, "&lt;&gt;* )")+SUMIFS(namespace!$H$4:$H$1002, namespace!$B$4:$B$1002,"="&amp;A455, namespace!$B$4:$B$1002,"&lt;&gt;"&amp;""),"")</f>
        <v/>
      </c>
      <c r="M455" s="115" t="str">
        <f>IF(A455&lt;&gt;"",SUMIFS(deployment!$L$4:$L$1002, deployment!$D$4:$D$1002,"="&amp;A455, deployment!$D$4:$D$1002,"&lt;&gt;"&amp;"", deployment!$C$4:$C$1002, "&lt;&gt;* )")+SUMIFS(namespace!$I$4:$I$1002, namespace!$B$4:$B$1002,"="&amp;A455, namespace!$B$4:$B$1002,"&lt;&gt;"&amp;""),"")</f>
        <v/>
      </c>
      <c r="N455" s="115" t="str">
        <f>IF(A455&lt;&gt;"",SUMIFS(deployment!$M$4:$M$1002, deployment!$D$4:$D$1002,"="&amp;A455, deployment!$D$4:$D$1002,"&lt;&gt;"&amp;"", deployment!$C$4:$C$1002, "&lt;&gt;* )")+SUMIFS(namespace!$J$4:$J$1002, namespace!$B$4:$B$1002,"="&amp;A455, namespace!$B$4:$B$1002,"&lt;&gt;"&amp;""),"")</f>
        <v/>
      </c>
      <c r="O455" s="116" t="str">
        <f t="shared" si="91"/>
        <v/>
      </c>
      <c r="P455" s="63"/>
      <c r="Q455" s="164" t="str">
        <f t="shared" si="86"/>
        <v/>
      </c>
      <c r="R455" s="60" t="str">
        <f t="shared" si="87"/>
        <v/>
      </c>
      <c r="S455" s="60" t="str">
        <f t="shared" si="88"/>
        <v/>
      </c>
      <c r="T455" s="61" t="str">
        <f t="shared" si="89"/>
        <v/>
      </c>
      <c r="U455" s="61" t="str">
        <f t="shared" si="90"/>
        <v/>
      </c>
      <c r="V455" s="183" t="str">
        <f t="shared" si="92"/>
        <v/>
      </c>
      <c r="W455" s="183" t="str">
        <f t="shared" si="93"/>
        <v/>
      </c>
      <c r="X455" s="61" t="str">
        <f t="shared" si="94"/>
        <v/>
      </c>
      <c r="Y455" s="61" t="str">
        <f t="shared" si="95"/>
        <v/>
      </c>
      <c r="Z455" s="118" t="str">
        <f t="shared" si="96"/>
        <v/>
      </c>
      <c r="AA455" s="62" t="str">
        <f t="shared" si="97"/>
        <v/>
      </c>
      <c r="AB455" s="119" t="str">
        <f>IF(A455&lt;&gt;"", IF(P455&lt;&gt;0,SUMIFS(node!$J$2:$J$1000, node!$C$2:$C$1000,"="&amp;A455)/P455,0), "")</f>
        <v/>
      </c>
      <c r="AC455" s="81" t="str">
        <f>IF(A455&lt;&gt;"", IF(P455&lt;&gt;0,SUMIFS(node!$K$2:$K$1000, node!$C$2:$C$1000,"="&amp;A455)/P455,0), "")</f>
        <v/>
      </c>
      <c r="AD455" s="82" t="str">
        <f>IF(A455&lt;&gt;"", SUMIFS(node!$L$2:$L$1000, node!$C$2:$C$1000,"="&amp;A455), "")</f>
        <v/>
      </c>
      <c r="AE455" s="87" t="str">
        <f>IF(A455&lt;&gt;"", SUMIFS(node!$M$2:$M$1000, node!$C$2:$C$1000,"="&amp;A455), "")</f>
        <v/>
      </c>
    </row>
    <row r="456" spans="1:31" ht="15.75" customHeight="1" x14ac:dyDescent="0.25">
      <c r="A456" s="71" t="str">
        <f>IF(ISNONTEXT(node_raw[[#This Row],[Column2]]), "", node_raw[[#This Row],[Column2]])</f>
        <v/>
      </c>
      <c r="B456" s="108" t="str">
        <f>IF(A456&lt;&gt;"", VLOOKUP(A456, node!$C$2:$D$1000, 2, FALSE), "")</f>
        <v/>
      </c>
      <c r="C456" s="109" t="str">
        <f>IF(A456&lt;&gt;"", VLOOKUP(A456, node!$C$2:$E$1000, 3, FALSE), "")</f>
        <v/>
      </c>
      <c r="D456" s="110" t="str">
        <f>IF(A456&lt;&gt;"",COUNTIFS(node!$C$2:$C$1000,"="&amp;A456, node!$C$2:$C$1000,"&lt;&gt;"&amp;""),"")</f>
        <v/>
      </c>
      <c r="E456" s="111" t="str">
        <f>IF(A456&lt;&gt;"",SUMIFS(node!$F$2:$F$500, node!$C$2:$C$500,"="&amp;A456, node!$C$2:$C$500,"&lt;&gt;"&amp;"")/(B456*D456),"")</f>
        <v/>
      </c>
      <c r="F456" s="112" t="str">
        <f>IF(A456&lt;&gt;"",SUMIFS(node!$H$2:$H$500, node!$C$2:$C$500,"="&amp;A456, node!$C$2:$C$500,"&lt;&gt;"&amp;"")/(C456*D456),"")</f>
        <v/>
      </c>
      <c r="G456" s="179" t="str">
        <f>IF(A456&lt;&gt;"",SUMIFS(deployment!$F$4:$F$502, deployment!$D$4:$D$502,"="&amp;A456, deployment!$D$4:$D$502,"&lt;&gt;"&amp;""),"")</f>
        <v/>
      </c>
      <c r="H456" s="181" t="str">
        <f>IF(A456&lt;&gt;"",SUMIFS(deployment!$G$4:$G$502, deployment!$D$4:$D$502,"="&amp;A456, deployment!$D$4:$D$502,"&lt;&gt;"&amp;""),"")</f>
        <v/>
      </c>
      <c r="I456" s="113" t="str">
        <f>IF(A456&lt;&gt;"",SUMIFS(deployment!$H$4:$H$502, deployment!$D$4:$D$502,"="&amp;A456, deployment!$D$4:$D$502,"&lt;&gt;"&amp;""),"")</f>
        <v/>
      </c>
      <c r="J456" s="114" t="str">
        <f>IF(A456&lt;&gt;"",SUMIFS(deployment!$I$4:$I$502, deployment!$D$4:$D$502,"="&amp;A456, deployment!$D$4:$D$502,"&lt;&gt;"&amp;""),"")</f>
        <v/>
      </c>
      <c r="K456" s="182" t="str">
        <f>IF(A456&lt;&gt;"",SUMIFS(deployment!$J$4:$J$1002, deployment!$D$4:$D$1002,"="&amp;A456, deployment!$D$4:$D$1002,"&lt;&gt;"&amp;"", deployment!$C$4:$C$1002, "&lt;&gt;* )")+SUMIFS(namespace!$G$4:$G$1002, namespace!$B$4:$B$1002,"="&amp;A456, namespace!$B$4:$B$1002,"&lt;&gt;"&amp;""),"")</f>
        <v/>
      </c>
      <c r="L456" s="182" t="str">
        <f>IF(A456&lt;&gt;"",SUMIFS(deployment!$K$4:$K$1002, deployment!$D$4:$D$1002,"="&amp;A456, deployment!$D$4:$D$1002,"&lt;&gt;"&amp;"", deployment!$C$4:$C$1002, "&lt;&gt;* )")+SUMIFS(namespace!$H$4:$H$1002, namespace!$B$4:$B$1002,"="&amp;A456, namespace!$B$4:$B$1002,"&lt;&gt;"&amp;""),"")</f>
        <v/>
      </c>
      <c r="M456" s="115" t="str">
        <f>IF(A456&lt;&gt;"",SUMIFS(deployment!$L$4:$L$1002, deployment!$D$4:$D$1002,"="&amp;A456, deployment!$D$4:$D$1002,"&lt;&gt;"&amp;"", deployment!$C$4:$C$1002, "&lt;&gt;* )")+SUMIFS(namespace!$I$4:$I$1002, namespace!$B$4:$B$1002,"="&amp;A456, namespace!$B$4:$B$1002,"&lt;&gt;"&amp;""),"")</f>
        <v/>
      </c>
      <c r="N456" s="115" t="str">
        <f>IF(A456&lt;&gt;"",SUMIFS(deployment!$M$4:$M$1002, deployment!$D$4:$D$1002,"="&amp;A456, deployment!$D$4:$D$1002,"&lt;&gt;"&amp;"", deployment!$C$4:$C$1002, "&lt;&gt;* )")+SUMIFS(namespace!$J$4:$J$1002, namespace!$B$4:$B$1002,"="&amp;A456, namespace!$B$4:$B$1002,"&lt;&gt;"&amp;""),"")</f>
        <v/>
      </c>
      <c r="O456" s="116" t="str">
        <f t="shared" si="91"/>
        <v/>
      </c>
      <c r="P456" s="63"/>
      <c r="Q456" s="164" t="str">
        <f t="shared" si="86"/>
        <v/>
      </c>
      <c r="R456" s="60" t="str">
        <f t="shared" si="87"/>
        <v/>
      </c>
      <c r="S456" s="60" t="str">
        <f t="shared" si="88"/>
        <v/>
      </c>
      <c r="T456" s="61" t="str">
        <f t="shared" si="89"/>
        <v/>
      </c>
      <c r="U456" s="61" t="str">
        <f t="shared" si="90"/>
        <v/>
      </c>
      <c r="V456" s="183" t="str">
        <f t="shared" si="92"/>
        <v/>
      </c>
      <c r="W456" s="183" t="str">
        <f t="shared" si="93"/>
        <v/>
      </c>
      <c r="X456" s="61" t="str">
        <f t="shared" si="94"/>
        <v/>
      </c>
      <c r="Y456" s="61" t="str">
        <f t="shared" si="95"/>
        <v/>
      </c>
      <c r="Z456" s="118" t="str">
        <f t="shared" si="96"/>
        <v/>
      </c>
      <c r="AA456" s="62" t="str">
        <f t="shared" si="97"/>
        <v/>
      </c>
      <c r="AB456" s="119" t="str">
        <f>IF(A456&lt;&gt;"", IF(P456&lt;&gt;0,SUMIFS(node!$J$2:$J$1000, node!$C$2:$C$1000,"="&amp;A456)/P456,0), "")</f>
        <v/>
      </c>
      <c r="AC456" s="81" t="str">
        <f>IF(A456&lt;&gt;"", IF(P456&lt;&gt;0,SUMIFS(node!$K$2:$K$1000, node!$C$2:$C$1000,"="&amp;A456)/P456,0), "")</f>
        <v/>
      </c>
      <c r="AD456" s="82" t="str">
        <f>IF(A456&lt;&gt;"", SUMIFS(node!$L$2:$L$1000, node!$C$2:$C$1000,"="&amp;A456), "")</f>
        <v/>
      </c>
      <c r="AE456" s="87" t="str">
        <f>IF(A456&lt;&gt;"", SUMIFS(node!$M$2:$M$1000, node!$C$2:$C$1000,"="&amp;A456), "")</f>
        <v/>
      </c>
    </row>
    <row r="457" spans="1:31" ht="15.75" customHeight="1" x14ac:dyDescent="0.25">
      <c r="A457" s="71" t="str">
        <f>IF(ISNONTEXT(node_raw[[#This Row],[Column2]]), "", node_raw[[#This Row],[Column2]])</f>
        <v/>
      </c>
      <c r="B457" s="108" t="str">
        <f>IF(A457&lt;&gt;"", VLOOKUP(A457, node!$C$2:$D$1000, 2, FALSE), "")</f>
        <v/>
      </c>
      <c r="C457" s="109" t="str">
        <f>IF(A457&lt;&gt;"", VLOOKUP(A457, node!$C$2:$E$1000, 3, FALSE), "")</f>
        <v/>
      </c>
      <c r="D457" s="110" t="str">
        <f>IF(A457&lt;&gt;"",COUNTIFS(node!$C$2:$C$1000,"="&amp;A457, node!$C$2:$C$1000,"&lt;&gt;"&amp;""),"")</f>
        <v/>
      </c>
      <c r="E457" s="111" t="str">
        <f>IF(A457&lt;&gt;"",SUMIFS(node!$F$2:$F$500, node!$C$2:$C$500,"="&amp;A457, node!$C$2:$C$500,"&lt;&gt;"&amp;"")/(B457*D457),"")</f>
        <v/>
      </c>
      <c r="F457" s="112" t="str">
        <f>IF(A457&lt;&gt;"",SUMIFS(node!$H$2:$H$500, node!$C$2:$C$500,"="&amp;A457, node!$C$2:$C$500,"&lt;&gt;"&amp;"")/(C457*D457),"")</f>
        <v/>
      </c>
      <c r="G457" s="179" t="str">
        <f>IF(A457&lt;&gt;"",SUMIFS(deployment!$F$4:$F$502, deployment!$D$4:$D$502,"="&amp;A457, deployment!$D$4:$D$502,"&lt;&gt;"&amp;""),"")</f>
        <v/>
      </c>
      <c r="H457" s="181" t="str">
        <f>IF(A457&lt;&gt;"",SUMIFS(deployment!$G$4:$G$502, deployment!$D$4:$D$502,"="&amp;A457, deployment!$D$4:$D$502,"&lt;&gt;"&amp;""),"")</f>
        <v/>
      </c>
      <c r="I457" s="113" t="str">
        <f>IF(A457&lt;&gt;"",SUMIFS(deployment!$H$4:$H$502, deployment!$D$4:$D$502,"="&amp;A457, deployment!$D$4:$D$502,"&lt;&gt;"&amp;""),"")</f>
        <v/>
      </c>
      <c r="J457" s="114" t="str">
        <f>IF(A457&lt;&gt;"",SUMIFS(deployment!$I$4:$I$502, deployment!$D$4:$D$502,"="&amp;A457, deployment!$D$4:$D$502,"&lt;&gt;"&amp;""),"")</f>
        <v/>
      </c>
      <c r="K457" s="182" t="str">
        <f>IF(A457&lt;&gt;"",SUMIFS(deployment!$J$4:$J$1002, deployment!$D$4:$D$1002,"="&amp;A457, deployment!$D$4:$D$1002,"&lt;&gt;"&amp;"", deployment!$C$4:$C$1002, "&lt;&gt;* )")+SUMIFS(namespace!$G$4:$G$1002, namespace!$B$4:$B$1002,"="&amp;A457, namespace!$B$4:$B$1002,"&lt;&gt;"&amp;""),"")</f>
        <v/>
      </c>
      <c r="L457" s="182" t="str">
        <f>IF(A457&lt;&gt;"",SUMIFS(deployment!$K$4:$K$1002, deployment!$D$4:$D$1002,"="&amp;A457, deployment!$D$4:$D$1002,"&lt;&gt;"&amp;"", deployment!$C$4:$C$1002, "&lt;&gt;* )")+SUMIFS(namespace!$H$4:$H$1002, namespace!$B$4:$B$1002,"="&amp;A457, namespace!$B$4:$B$1002,"&lt;&gt;"&amp;""),"")</f>
        <v/>
      </c>
      <c r="M457" s="115" t="str">
        <f>IF(A457&lt;&gt;"",SUMIFS(deployment!$L$4:$L$1002, deployment!$D$4:$D$1002,"="&amp;A457, deployment!$D$4:$D$1002,"&lt;&gt;"&amp;"", deployment!$C$4:$C$1002, "&lt;&gt;* )")+SUMIFS(namespace!$I$4:$I$1002, namespace!$B$4:$B$1002,"="&amp;A457, namespace!$B$4:$B$1002,"&lt;&gt;"&amp;""),"")</f>
        <v/>
      </c>
      <c r="N457" s="115" t="str">
        <f>IF(A457&lt;&gt;"",SUMIFS(deployment!$M$4:$M$1002, deployment!$D$4:$D$1002,"="&amp;A457, deployment!$D$4:$D$1002,"&lt;&gt;"&amp;"", deployment!$C$4:$C$1002, "&lt;&gt;* )")+SUMIFS(namespace!$J$4:$J$1002, namespace!$B$4:$B$1002,"="&amp;A457, namespace!$B$4:$B$1002,"&lt;&gt;"&amp;""),"")</f>
        <v/>
      </c>
      <c r="O457" s="116" t="str">
        <f t="shared" si="91"/>
        <v/>
      </c>
      <c r="P457" s="63"/>
      <c r="Q457" s="164" t="str">
        <f t="shared" si="86"/>
        <v/>
      </c>
      <c r="R457" s="60" t="str">
        <f t="shared" si="87"/>
        <v/>
      </c>
      <c r="S457" s="60" t="str">
        <f t="shared" si="88"/>
        <v/>
      </c>
      <c r="T457" s="61" t="str">
        <f t="shared" si="89"/>
        <v/>
      </c>
      <c r="U457" s="61" t="str">
        <f t="shared" si="90"/>
        <v/>
      </c>
      <c r="V457" s="183" t="str">
        <f t="shared" si="92"/>
        <v/>
      </c>
      <c r="W457" s="183" t="str">
        <f t="shared" si="93"/>
        <v/>
      </c>
      <c r="X457" s="61" t="str">
        <f t="shared" si="94"/>
        <v/>
      </c>
      <c r="Y457" s="61" t="str">
        <f t="shared" si="95"/>
        <v/>
      </c>
      <c r="Z457" s="118" t="str">
        <f t="shared" si="96"/>
        <v/>
      </c>
      <c r="AA457" s="62" t="str">
        <f t="shared" si="97"/>
        <v/>
      </c>
      <c r="AB457" s="119" t="str">
        <f>IF(A457&lt;&gt;"", IF(P457&lt;&gt;0,SUMIFS(node!$J$2:$J$1000, node!$C$2:$C$1000,"="&amp;A457)/P457,0), "")</f>
        <v/>
      </c>
      <c r="AC457" s="81" t="str">
        <f>IF(A457&lt;&gt;"", IF(P457&lt;&gt;0,SUMIFS(node!$K$2:$K$1000, node!$C$2:$C$1000,"="&amp;A457)/P457,0), "")</f>
        <v/>
      </c>
      <c r="AD457" s="82" t="str">
        <f>IF(A457&lt;&gt;"", SUMIFS(node!$L$2:$L$1000, node!$C$2:$C$1000,"="&amp;A457), "")</f>
        <v/>
      </c>
      <c r="AE457" s="87" t="str">
        <f>IF(A457&lt;&gt;"", SUMIFS(node!$M$2:$M$1000, node!$C$2:$C$1000,"="&amp;A457), "")</f>
        <v/>
      </c>
    </row>
    <row r="458" spans="1:31" ht="15.75" customHeight="1" x14ac:dyDescent="0.25">
      <c r="A458" s="71" t="str">
        <f>IF(ISNONTEXT(node_raw[[#This Row],[Column2]]), "", node_raw[[#This Row],[Column2]])</f>
        <v/>
      </c>
      <c r="B458" s="108" t="str">
        <f>IF(A458&lt;&gt;"", VLOOKUP(A458, node!$C$2:$D$1000, 2, FALSE), "")</f>
        <v/>
      </c>
      <c r="C458" s="109" t="str">
        <f>IF(A458&lt;&gt;"", VLOOKUP(A458, node!$C$2:$E$1000, 3, FALSE), "")</f>
        <v/>
      </c>
      <c r="D458" s="110" t="str">
        <f>IF(A458&lt;&gt;"",COUNTIFS(node!$C$2:$C$1000,"="&amp;A458, node!$C$2:$C$1000,"&lt;&gt;"&amp;""),"")</f>
        <v/>
      </c>
      <c r="E458" s="111" t="str">
        <f>IF(A458&lt;&gt;"",SUMIFS(node!$F$2:$F$500, node!$C$2:$C$500,"="&amp;A458, node!$C$2:$C$500,"&lt;&gt;"&amp;"")/(B458*D458),"")</f>
        <v/>
      </c>
      <c r="F458" s="112" t="str">
        <f>IF(A458&lt;&gt;"",SUMIFS(node!$H$2:$H$500, node!$C$2:$C$500,"="&amp;A458, node!$C$2:$C$500,"&lt;&gt;"&amp;"")/(C458*D458),"")</f>
        <v/>
      </c>
      <c r="G458" s="179" t="str">
        <f>IF(A458&lt;&gt;"",SUMIFS(deployment!$F$4:$F$502, deployment!$D$4:$D$502,"="&amp;A458, deployment!$D$4:$D$502,"&lt;&gt;"&amp;""),"")</f>
        <v/>
      </c>
      <c r="H458" s="181" t="str">
        <f>IF(A458&lt;&gt;"",SUMIFS(deployment!$G$4:$G$502, deployment!$D$4:$D$502,"="&amp;A458, deployment!$D$4:$D$502,"&lt;&gt;"&amp;""),"")</f>
        <v/>
      </c>
      <c r="I458" s="113" t="str">
        <f>IF(A458&lt;&gt;"",SUMIFS(deployment!$H$4:$H$502, deployment!$D$4:$D$502,"="&amp;A458, deployment!$D$4:$D$502,"&lt;&gt;"&amp;""),"")</f>
        <v/>
      </c>
      <c r="J458" s="114" t="str">
        <f>IF(A458&lt;&gt;"",SUMIFS(deployment!$I$4:$I$502, deployment!$D$4:$D$502,"="&amp;A458, deployment!$D$4:$D$502,"&lt;&gt;"&amp;""),"")</f>
        <v/>
      </c>
      <c r="K458" s="182" t="str">
        <f>IF(A458&lt;&gt;"",SUMIFS(deployment!$J$4:$J$1002, deployment!$D$4:$D$1002,"="&amp;A458, deployment!$D$4:$D$1002,"&lt;&gt;"&amp;"", deployment!$C$4:$C$1002, "&lt;&gt;* )")+SUMIFS(namespace!$G$4:$G$1002, namespace!$B$4:$B$1002,"="&amp;A458, namespace!$B$4:$B$1002,"&lt;&gt;"&amp;""),"")</f>
        <v/>
      </c>
      <c r="L458" s="182" t="str">
        <f>IF(A458&lt;&gt;"",SUMIFS(deployment!$K$4:$K$1002, deployment!$D$4:$D$1002,"="&amp;A458, deployment!$D$4:$D$1002,"&lt;&gt;"&amp;"", deployment!$C$4:$C$1002, "&lt;&gt;* )")+SUMIFS(namespace!$H$4:$H$1002, namespace!$B$4:$B$1002,"="&amp;A458, namespace!$B$4:$B$1002,"&lt;&gt;"&amp;""),"")</f>
        <v/>
      </c>
      <c r="M458" s="115" t="str">
        <f>IF(A458&lt;&gt;"",SUMIFS(deployment!$L$4:$L$1002, deployment!$D$4:$D$1002,"="&amp;A458, deployment!$D$4:$D$1002,"&lt;&gt;"&amp;"", deployment!$C$4:$C$1002, "&lt;&gt;* )")+SUMIFS(namespace!$I$4:$I$1002, namespace!$B$4:$B$1002,"="&amp;A458, namespace!$B$4:$B$1002,"&lt;&gt;"&amp;""),"")</f>
        <v/>
      </c>
      <c r="N458" s="115" t="str">
        <f>IF(A458&lt;&gt;"",SUMIFS(deployment!$M$4:$M$1002, deployment!$D$4:$D$1002,"="&amp;A458, deployment!$D$4:$D$1002,"&lt;&gt;"&amp;"", deployment!$C$4:$C$1002, "&lt;&gt;* )")+SUMIFS(namespace!$J$4:$J$1002, namespace!$B$4:$B$1002,"="&amp;A458, namespace!$B$4:$B$1002,"&lt;&gt;"&amp;""),"")</f>
        <v/>
      </c>
      <c r="O458" s="116" t="str">
        <f t="shared" si="91"/>
        <v/>
      </c>
      <c r="P458" s="63"/>
      <c r="Q458" s="164" t="str">
        <f t="shared" si="86"/>
        <v/>
      </c>
      <c r="R458" s="60" t="str">
        <f t="shared" si="87"/>
        <v/>
      </c>
      <c r="S458" s="60" t="str">
        <f t="shared" si="88"/>
        <v/>
      </c>
      <c r="T458" s="61" t="str">
        <f t="shared" si="89"/>
        <v/>
      </c>
      <c r="U458" s="61" t="str">
        <f t="shared" si="90"/>
        <v/>
      </c>
      <c r="V458" s="183" t="str">
        <f t="shared" si="92"/>
        <v/>
      </c>
      <c r="W458" s="183" t="str">
        <f t="shared" si="93"/>
        <v/>
      </c>
      <c r="X458" s="61" t="str">
        <f t="shared" si="94"/>
        <v/>
      </c>
      <c r="Y458" s="61" t="str">
        <f t="shared" si="95"/>
        <v/>
      </c>
      <c r="Z458" s="118" t="str">
        <f t="shared" si="96"/>
        <v/>
      </c>
      <c r="AA458" s="62" t="str">
        <f t="shared" si="97"/>
        <v/>
      </c>
      <c r="AB458" s="119" t="str">
        <f>IF(A458&lt;&gt;"", IF(P458&lt;&gt;0,SUMIFS(node!$J$2:$J$1000, node!$C$2:$C$1000,"="&amp;A458)/P458,0), "")</f>
        <v/>
      </c>
      <c r="AC458" s="81" t="str">
        <f>IF(A458&lt;&gt;"", IF(P458&lt;&gt;0,SUMIFS(node!$K$2:$K$1000, node!$C$2:$C$1000,"="&amp;A458)/P458,0), "")</f>
        <v/>
      </c>
      <c r="AD458" s="82" t="str">
        <f>IF(A458&lt;&gt;"", SUMIFS(node!$L$2:$L$1000, node!$C$2:$C$1000,"="&amp;A458), "")</f>
        <v/>
      </c>
      <c r="AE458" s="87" t="str">
        <f>IF(A458&lt;&gt;"", SUMIFS(node!$M$2:$M$1000, node!$C$2:$C$1000,"="&amp;A458), "")</f>
        <v/>
      </c>
    </row>
    <row r="459" spans="1:31" ht="15.75" customHeight="1" x14ac:dyDescent="0.25">
      <c r="A459" s="71" t="str">
        <f>IF(ISNONTEXT(node_raw[[#This Row],[Column2]]), "", node_raw[[#This Row],[Column2]])</f>
        <v/>
      </c>
      <c r="B459" s="108" t="str">
        <f>IF(A459&lt;&gt;"", VLOOKUP(A459, node!$C$2:$D$1000, 2, FALSE), "")</f>
        <v/>
      </c>
      <c r="C459" s="109" t="str">
        <f>IF(A459&lt;&gt;"", VLOOKUP(A459, node!$C$2:$E$1000, 3, FALSE), "")</f>
        <v/>
      </c>
      <c r="D459" s="110" t="str">
        <f>IF(A459&lt;&gt;"",COUNTIFS(node!$C$2:$C$1000,"="&amp;A459, node!$C$2:$C$1000,"&lt;&gt;"&amp;""),"")</f>
        <v/>
      </c>
      <c r="E459" s="111" t="str">
        <f>IF(A459&lt;&gt;"",SUMIFS(node!$F$2:$F$500, node!$C$2:$C$500,"="&amp;A459, node!$C$2:$C$500,"&lt;&gt;"&amp;"")/(B459*D459),"")</f>
        <v/>
      </c>
      <c r="F459" s="112" t="str">
        <f>IF(A459&lt;&gt;"",SUMIFS(node!$H$2:$H$500, node!$C$2:$C$500,"="&amp;A459, node!$C$2:$C$500,"&lt;&gt;"&amp;"")/(C459*D459),"")</f>
        <v/>
      </c>
      <c r="G459" s="179" t="str">
        <f>IF(A459&lt;&gt;"",SUMIFS(deployment!$F$4:$F$502, deployment!$D$4:$D$502,"="&amp;A459, deployment!$D$4:$D$502,"&lt;&gt;"&amp;""),"")</f>
        <v/>
      </c>
      <c r="H459" s="181" t="str">
        <f>IF(A459&lt;&gt;"",SUMIFS(deployment!$G$4:$G$502, deployment!$D$4:$D$502,"="&amp;A459, deployment!$D$4:$D$502,"&lt;&gt;"&amp;""),"")</f>
        <v/>
      </c>
      <c r="I459" s="113" t="str">
        <f>IF(A459&lt;&gt;"",SUMIFS(deployment!$H$4:$H$502, deployment!$D$4:$D$502,"="&amp;A459, deployment!$D$4:$D$502,"&lt;&gt;"&amp;""),"")</f>
        <v/>
      </c>
      <c r="J459" s="114" t="str">
        <f>IF(A459&lt;&gt;"",SUMIFS(deployment!$I$4:$I$502, deployment!$D$4:$D$502,"="&amp;A459, deployment!$D$4:$D$502,"&lt;&gt;"&amp;""),"")</f>
        <v/>
      </c>
      <c r="K459" s="182" t="str">
        <f>IF(A459&lt;&gt;"",SUMIFS(deployment!$J$4:$J$1002, deployment!$D$4:$D$1002,"="&amp;A459, deployment!$D$4:$D$1002,"&lt;&gt;"&amp;"", deployment!$C$4:$C$1002, "&lt;&gt;* )")+SUMIFS(namespace!$G$4:$G$1002, namespace!$B$4:$B$1002,"="&amp;A459, namespace!$B$4:$B$1002,"&lt;&gt;"&amp;""),"")</f>
        <v/>
      </c>
      <c r="L459" s="182" t="str">
        <f>IF(A459&lt;&gt;"",SUMIFS(deployment!$K$4:$K$1002, deployment!$D$4:$D$1002,"="&amp;A459, deployment!$D$4:$D$1002,"&lt;&gt;"&amp;"", deployment!$C$4:$C$1002, "&lt;&gt;* )")+SUMIFS(namespace!$H$4:$H$1002, namespace!$B$4:$B$1002,"="&amp;A459, namespace!$B$4:$B$1002,"&lt;&gt;"&amp;""),"")</f>
        <v/>
      </c>
      <c r="M459" s="115" t="str">
        <f>IF(A459&lt;&gt;"",SUMIFS(deployment!$L$4:$L$1002, deployment!$D$4:$D$1002,"="&amp;A459, deployment!$D$4:$D$1002,"&lt;&gt;"&amp;"", deployment!$C$4:$C$1002, "&lt;&gt;* )")+SUMIFS(namespace!$I$4:$I$1002, namespace!$B$4:$B$1002,"="&amp;A459, namespace!$B$4:$B$1002,"&lt;&gt;"&amp;""),"")</f>
        <v/>
      </c>
      <c r="N459" s="115" t="str">
        <f>IF(A459&lt;&gt;"",SUMIFS(deployment!$M$4:$M$1002, deployment!$D$4:$D$1002,"="&amp;A459, deployment!$D$4:$D$1002,"&lt;&gt;"&amp;"", deployment!$C$4:$C$1002, "&lt;&gt;* )")+SUMIFS(namespace!$J$4:$J$1002, namespace!$B$4:$B$1002,"="&amp;A459, namespace!$B$4:$B$1002,"&lt;&gt;"&amp;""),"")</f>
        <v/>
      </c>
      <c r="O459" s="116" t="str">
        <f t="shared" si="91"/>
        <v/>
      </c>
      <c r="P459" s="63"/>
      <c r="Q459" s="164" t="str">
        <f t="shared" si="86"/>
        <v/>
      </c>
      <c r="R459" s="60" t="str">
        <f t="shared" si="87"/>
        <v/>
      </c>
      <c r="S459" s="60" t="str">
        <f t="shared" si="88"/>
        <v/>
      </c>
      <c r="T459" s="61" t="str">
        <f t="shared" si="89"/>
        <v/>
      </c>
      <c r="U459" s="61" t="str">
        <f t="shared" si="90"/>
        <v/>
      </c>
      <c r="V459" s="183" t="str">
        <f t="shared" si="92"/>
        <v/>
      </c>
      <c r="W459" s="183" t="str">
        <f t="shared" si="93"/>
        <v/>
      </c>
      <c r="X459" s="61" t="str">
        <f t="shared" si="94"/>
        <v/>
      </c>
      <c r="Y459" s="61" t="str">
        <f t="shared" si="95"/>
        <v/>
      </c>
      <c r="Z459" s="118" t="str">
        <f t="shared" si="96"/>
        <v/>
      </c>
      <c r="AA459" s="62" t="str">
        <f t="shared" si="97"/>
        <v/>
      </c>
      <c r="AB459" s="119" t="str">
        <f>IF(A459&lt;&gt;"", IF(P459&lt;&gt;0,SUMIFS(node!$J$2:$J$1000, node!$C$2:$C$1000,"="&amp;A459)/P459,0), "")</f>
        <v/>
      </c>
      <c r="AC459" s="81" t="str">
        <f>IF(A459&lt;&gt;"", IF(P459&lt;&gt;0,SUMIFS(node!$K$2:$K$1000, node!$C$2:$C$1000,"="&amp;A459)/P459,0), "")</f>
        <v/>
      </c>
      <c r="AD459" s="82" t="str">
        <f>IF(A459&lt;&gt;"", SUMIFS(node!$L$2:$L$1000, node!$C$2:$C$1000,"="&amp;A459), "")</f>
        <v/>
      </c>
      <c r="AE459" s="87" t="str">
        <f>IF(A459&lt;&gt;"", SUMIFS(node!$M$2:$M$1000, node!$C$2:$C$1000,"="&amp;A459), "")</f>
        <v/>
      </c>
    </row>
    <row r="460" spans="1:31" ht="15.75" customHeight="1" x14ac:dyDescent="0.25">
      <c r="A460" s="71" t="str">
        <f>IF(ISNONTEXT(node_raw[[#This Row],[Column2]]), "", node_raw[[#This Row],[Column2]])</f>
        <v/>
      </c>
      <c r="B460" s="108" t="str">
        <f>IF(A460&lt;&gt;"", VLOOKUP(A460, node!$C$2:$D$1000, 2, FALSE), "")</f>
        <v/>
      </c>
      <c r="C460" s="109" t="str">
        <f>IF(A460&lt;&gt;"", VLOOKUP(A460, node!$C$2:$E$1000, 3, FALSE), "")</f>
        <v/>
      </c>
      <c r="D460" s="110" t="str">
        <f>IF(A460&lt;&gt;"",COUNTIFS(node!$C$2:$C$1000,"="&amp;A460, node!$C$2:$C$1000,"&lt;&gt;"&amp;""),"")</f>
        <v/>
      </c>
      <c r="E460" s="111" t="str">
        <f>IF(A460&lt;&gt;"",SUMIFS(node!$F$2:$F$500, node!$C$2:$C$500,"="&amp;A460, node!$C$2:$C$500,"&lt;&gt;"&amp;"")/(B460*D460),"")</f>
        <v/>
      </c>
      <c r="F460" s="112" t="str">
        <f>IF(A460&lt;&gt;"",SUMIFS(node!$H$2:$H$500, node!$C$2:$C$500,"="&amp;A460, node!$C$2:$C$500,"&lt;&gt;"&amp;"")/(C460*D460),"")</f>
        <v/>
      </c>
      <c r="G460" s="179" t="str">
        <f>IF(A460&lt;&gt;"",SUMIFS(deployment!$F$4:$F$502, deployment!$D$4:$D$502,"="&amp;A460, deployment!$D$4:$D$502,"&lt;&gt;"&amp;""),"")</f>
        <v/>
      </c>
      <c r="H460" s="181" t="str">
        <f>IF(A460&lt;&gt;"",SUMIFS(deployment!$G$4:$G$502, deployment!$D$4:$D$502,"="&amp;A460, deployment!$D$4:$D$502,"&lt;&gt;"&amp;""),"")</f>
        <v/>
      </c>
      <c r="I460" s="113" t="str">
        <f>IF(A460&lt;&gt;"",SUMIFS(deployment!$H$4:$H$502, deployment!$D$4:$D$502,"="&amp;A460, deployment!$D$4:$D$502,"&lt;&gt;"&amp;""),"")</f>
        <v/>
      </c>
      <c r="J460" s="114" t="str">
        <f>IF(A460&lt;&gt;"",SUMIFS(deployment!$I$4:$I$502, deployment!$D$4:$D$502,"="&amp;A460, deployment!$D$4:$D$502,"&lt;&gt;"&amp;""),"")</f>
        <v/>
      </c>
      <c r="K460" s="182" t="str">
        <f>IF(A460&lt;&gt;"",SUMIFS(deployment!$J$4:$J$1002, deployment!$D$4:$D$1002,"="&amp;A460, deployment!$D$4:$D$1002,"&lt;&gt;"&amp;"", deployment!$C$4:$C$1002, "&lt;&gt;* )")+SUMIFS(namespace!$G$4:$G$1002, namespace!$B$4:$B$1002,"="&amp;A460, namespace!$B$4:$B$1002,"&lt;&gt;"&amp;""),"")</f>
        <v/>
      </c>
      <c r="L460" s="182" t="str">
        <f>IF(A460&lt;&gt;"",SUMIFS(deployment!$K$4:$K$1002, deployment!$D$4:$D$1002,"="&amp;A460, deployment!$D$4:$D$1002,"&lt;&gt;"&amp;"", deployment!$C$4:$C$1002, "&lt;&gt;* )")+SUMIFS(namespace!$H$4:$H$1002, namespace!$B$4:$B$1002,"="&amp;A460, namespace!$B$4:$B$1002,"&lt;&gt;"&amp;""),"")</f>
        <v/>
      </c>
      <c r="M460" s="115" t="str">
        <f>IF(A460&lt;&gt;"",SUMIFS(deployment!$L$4:$L$1002, deployment!$D$4:$D$1002,"="&amp;A460, deployment!$D$4:$D$1002,"&lt;&gt;"&amp;"", deployment!$C$4:$C$1002, "&lt;&gt;* )")+SUMIFS(namespace!$I$4:$I$1002, namespace!$B$4:$B$1002,"="&amp;A460, namespace!$B$4:$B$1002,"&lt;&gt;"&amp;""),"")</f>
        <v/>
      </c>
      <c r="N460" s="115" t="str">
        <f>IF(A460&lt;&gt;"",SUMIFS(deployment!$M$4:$M$1002, deployment!$D$4:$D$1002,"="&amp;A460, deployment!$D$4:$D$1002,"&lt;&gt;"&amp;"", deployment!$C$4:$C$1002, "&lt;&gt;* )")+SUMIFS(namespace!$J$4:$J$1002, namespace!$B$4:$B$1002,"="&amp;A460, namespace!$B$4:$B$1002,"&lt;&gt;"&amp;""),"")</f>
        <v/>
      </c>
      <c r="O460" s="116" t="str">
        <f t="shared" si="91"/>
        <v/>
      </c>
      <c r="P460" s="63"/>
      <c r="Q460" s="164" t="str">
        <f t="shared" si="86"/>
        <v/>
      </c>
      <c r="R460" s="60" t="str">
        <f t="shared" si="87"/>
        <v/>
      </c>
      <c r="S460" s="60" t="str">
        <f t="shared" si="88"/>
        <v/>
      </c>
      <c r="T460" s="61" t="str">
        <f t="shared" si="89"/>
        <v/>
      </c>
      <c r="U460" s="61" t="str">
        <f t="shared" si="90"/>
        <v/>
      </c>
      <c r="V460" s="183" t="str">
        <f t="shared" si="92"/>
        <v/>
      </c>
      <c r="W460" s="183" t="str">
        <f t="shared" si="93"/>
        <v/>
      </c>
      <c r="X460" s="61" t="str">
        <f t="shared" si="94"/>
        <v/>
      </c>
      <c r="Y460" s="61" t="str">
        <f t="shared" si="95"/>
        <v/>
      </c>
      <c r="Z460" s="118" t="str">
        <f t="shared" si="96"/>
        <v/>
      </c>
      <c r="AA460" s="62" t="str">
        <f t="shared" si="97"/>
        <v/>
      </c>
      <c r="AB460" s="119" t="str">
        <f>IF(A460&lt;&gt;"", IF(P460&lt;&gt;0,SUMIFS(node!$J$2:$J$1000, node!$C$2:$C$1000,"="&amp;A460)/P460,0), "")</f>
        <v/>
      </c>
      <c r="AC460" s="81" t="str">
        <f>IF(A460&lt;&gt;"", IF(P460&lt;&gt;0,SUMIFS(node!$K$2:$K$1000, node!$C$2:$C$1000,"="&amp;A460)/P460,0), "")</f>
        <v/>
      </c>
      <c r="AD460" s="82" t="str">
        <f>IF(A460&lt;&gt;"", SUMIFS(node!$L$2:$L$1000, node!$C$2:$C$1000,"="&amp;A460), "")</f>
        <v/>
      </c>
      <c r="AE460" s="87" t="str">
        <f>IF(A460&lt;&gt;"", SUMIFS(node!$M$2:$M$1000, node!$C$2:$C$1000,"="&amp;A460), "")</f>
        <v/>
      </c>
    </row>
    <row r="461" spans="1:31" ht="15.75" customHeight="1" x14ac:dyDescent="0.25">
      <c r="A461" s="71" t="str">
        <f>IF(ISNONTEXT(node_raw[[#This Row],[Column2]]), "", node_raw[[#This Row],[Column2]])</f>
        <v/>
      </c>
      <c r="B461" s="108" t="str">
        <f>IF(A461&lt;&gt;"", VLOOKUP(A461, node!$C$2:$D$1000, 2, FALSE), "")</f>
        <v/>
      </c>
      <c r="C461" s="109" t="str">
        <f>IF(A461&lt;&gt;"", VLOOKUP(A461, node!$C$2:$E$1000, 3, FALSE), "")</f>
        <v/>
      </c>
      <c r="D461" s="110" t="str">
        <f>IF(A461&lt;&gt;"",COUNTIFS(node!$C$2:$C$1000,"="&amp;A461, node!$C$2:$C$1000,"&lt;&gt;"&amp;""),"")</f>
        <v/>
      </c>
      <c r="E461" s="111" t="str">
        <f>IF(A461&lt;&gt;"",SUMIFS(node!$F$2:$F$500, node!$C$2:$C$500,"="&amp;A461, node!$C$2:$C$500,"&lt;&gt;"&amp;"")/(B461*D461),"")</f>
        <v/>
      </c>
      <c r="F461" s="112" t="str">
        <f>IF(A461&lt;&gt;"",SUMIFS(node!$H$2:$H$500, node!$C$2:$C$500,"="&amp;A461, node!$C$2:$C$500,"&lt;&gt;"&amp;"")/(C461*D461),"")</f>
        <v/>
      </c>
      <c r="G461" s="179" t="str">
        <f>IF(A461&lt;&gt;"",SUMIFS(deployment!$F$4:$F$502, deployment!$D$4:$D$502,"="&amp;A461, deployment!$D$4:$D$502,"&lt;&gt;"&amp;""),"")</f>
        <v/>
      </c>
      <c r="H461" s="181" t="str">
        <f>IF(A461&lt;&gt;"",SUMIFS(deployment!$G$4:$G$502, deployment!$D$4:$D$502,"="&amp;A461, deployment!$D$4:$D$502,"&lt;&gt;"&amp;""),"")</f>
        <v/>
      </c>
      <c r="I461" s="113" t="str">
        <f>IF(A461&lt;&gt;"",SUMIFS(deployment!$H$4:$H$502, deployment!$D$4:$D$502,"="&amp;A461, deployment!$D$4:$D$502,"&lt;&gt;"&amp;""),"")</f>
        <v/>
      </c>
      <c r="J461" s="114" t="str">
        <f>IF(A461&lt;&gt;"",SUMIFS(deployment!$I$4:$I$502, deployment!$D$4:$D$502,"="&amp;A461, deployment!$D$4:$D$502,"&lt;&gt;"&amp;""),"")</f>
        <v/>
      </c>
      <c r="K461" s="182" t="str">
        <f>IF(A461&lt;&gt;"",SUMIFS(deployment!$J$4:$J$1002, deployment!$D$4:$D$1002,"="&amp;A461, deployment!$D$4:$D$1002,"&lt;&gt;"&amp;"", deployment!$C$4:$C$1002, "&lt;&gt;* )")+SUMIFS(namespace!$G$4:$G$1002, namespace!$B$4:$B$1002,"="&amp;A461, namespace!$B$4:$B$1002,"&lt;&gt;"&amp;""),"")</f>
        <v/>
      </c>
      <c r="L461" s="182" t="str">
        <f>IF(A461&lt;&gt;"",SUMIFS(deployment!$K$4:$K$1002, deployment!$D$4:$D$1002,"="&amp;A461, deployment!$D$4:$D$1002,"&lt;&gt;"&amp;"", deployment!$C$4:$C$1002, "&lt;&gt;* )")+SUMIFS(namespace!$H$4:$H$1002, namespace!$B$4:$B$1002,"="&amp;A461, namespace!$B$4:$B$1002,"&lt;&gt;"&amp;""),"")</f>
        <v/>
      </c>
      <c r="M461" s="115" t="str">
        <f>IF(A461&lt;&gt;"",SUMIFS(deployment!$L$4:$L$1002, deployment!$D$4:$D$1002,"="&amp;A461, deployment!$D$4:$D$1002,"&lt;&gt;"&amp;"", deployment!$C$4:$C$1002, "&lt;&gt;* )")+SUMIFS(namespace!$I$4:$I$1002, namespace!$B$4:$B$1002,"="&amp;A461, namespace!$B$4:$B$1002,"&lt;&gt;"&amp;""),"")</f>
        <v/>
      </c>
      <c r="N461" s="115" t="str">
        <f>IF(A461&lt;&gt;"",SUMIFS(deployment!$M$4:$M$1002, deployment!$D$4:$D$1002,"="&amp;A461, deployment!$D$4:$D$1002,"&lt;&gt;"&amp;"", deployment!$C$4:$C$1002, "&lt;&gt;* )")+SUMIFS(namespace!$J$4:$J$1002, namespace!$B$4:$B$1002,"="&amp;A461, namespace!$B$4:$B$1002,"&lt;&gt;"&amp;""),"")</f>
        <v/>
      </c>
      <c r="O461" s="116" t="str">
        <f t="shared" si="91"/>
        <v/>
      </c>
      <c r="P461" s="63"/>
      <c r="Q461" s="164" t="str">
        <f t="shared" si="86"/>
        <v/>
      </c>
      <c r="R461" s="60" t="str">
        <f t="shared" si="87"/>
        <v/>
      </c>
      <c r="S461" s="60" t="str">
        <f t="shared" si="88"/>
        <v/>
      </c>
      <c r="T461" s="61" t="str">
        <f t="shared" si="89"/>
        <v/>
      </c>
      <c r="U461" s="61" t="str">
        <f t="shared" si="90"/>
        <v/>
      </c>
      <c r="V461" s="183" t="str">
        <f t="shared" si="92"/>
        <v/>
      </c>
      <c r="W461" s="183" t="str">
        <f t="shared" si="93"/>
        <v/>
      </c>
      <c r="X461" s="61" t="str">
        <f t="shared" si="94"/>
        <v/>
      </c>
      <c r="Y461" s="61" t="str">
        <f t="shared" si="95"/>
        <v/>
      </c>
      <c r="Z461" s="118" t="str">
        <f t="shared" si="96"/>
        <v/>
      </c>
      <c r="AA461" s="62" t="str">
        <f t="shared" si="97"/>
        <v/>
      </c>
      <c r="AB461" s="119" t="str">
        <f>IF(A461&lt;&gt;"", IF(P461&lt;&gt;0,SUMIFS(node!$J$2:$J$1000, node!$C$2:$C$1000,"="&amp;A461)/P461,0), "")</f>
        <v/>
      </c>
      <c r="AC461" s="81" t="str">
        <f>IF(A461&lt;&gt;"", IF(P461&lt;&gt;0,SUMIFS(node!$K$2:$K$1000, node!$C$2:$C$1000,"="&amp;A461)/P461,0), "")</f>
        <v/>
      </c>
      <c r="AD461" s="82" t="str">
        <f>IF(A461&lt;&gt;"", SUMIFS(node!$L$2:$L$1000, node!$C$2:$C$1000,"="&amp;A461), "")</f>
        <v/>
      </c>
      <c r="AE461" s="87" t="str">
        <f>IF(A461&lt;&gt;"", SUMIFS(node!$M$2:$M$1000, node!$C$2:$C$1000,"="&amp;A461), "")</f>
        <v/>
      </c>
    </row>
    <row r="462" spans="1:31" ht="15.75" customHeight="1" x14ac:dyDescent="0.25">
      <c r="A462" s="71" t="str">
        <f>IF(ISNONTEXT(node_raw[[#This Row],[Column2]]), "", node_raw[[#This Row],[Column2]])</f>
        <v/>
      </c>
      <c r="B462" s="108" t="str">
        <f>IF(A462&lt;&gt;"", VLOOKUP(A462, node!$C$2:$D$1000, 2, FALSE), "")</f>
        <v/>
      </c>
      <c r="C462" s="109" t="str">
        <f>IF(A462&lt;&gt;"", VLOOKUP(A462, node!$C$2:$E$1000, 3, FALSE), "")</f>
        <v/>
      </c>
      <c r="D462" s="110" t="str">
        <f>IF(A462&lt;&gt;"",COUNTIFS(node!$C$2:$C$1000,"="&amp;A462, node!$C$2:$C$1000,"&lt;&gt;"&amp;""),"")</f>
        <v/>
      </c>
      <c r="E462" s="111" t="str">
        <f>IF(A462&lt;&gt;"",SUMIFS(node!$F$2:$F$500, node!$C$2:$C$500,"="&amp;A462, node!$C$2:$C$500,"&lt;&gt;"&amp;"")/(B462*D462),"")</f>
        <v/>
      </c>
      <c r="F462" s="112" t="str">
        <f>IF(A462&lt;&gt;"",SUMIFS(node!$H$2:$H$500, node!$C$2:$C$500,"="&amp;A462, node!$C$2:$C$500,"&lt;&gt;"&amp;"")/(C462*D462),"")</f>
        <v/>
      </c>
      <c r="G462" s="179" t="str">
        <f>IF(A462&lt;&gt;"",SUMIFS(deployment!$F$4:$F$502, deployment!$D$4:$D$502,"="&amp;A462, deployment!$D$4:$D$502,"&lt;&gt;"&amp;""),"")</f>
        <v/>
      </c>
      <c r="H462" s="181" t="str">
        <f>IF(A462&lt;&gt;"",SUMIFS(deployment!$G$4:$G$502, deployment!$D$4:$D$502,"="&amp;A462, deployment!$D$4:$D$502,"&lt;&gt;"&amp;""),"")</f>
        <v/>
      </c>
      <c r="I462" s="113" t="str">
        <f>IF(A462&lt;&gt;"",SUMIFS(deployment!$H$4:$H$502, deployment!$D$4:$D$502,"="&amp;A462, deployment!$D$4:$D$502,"&lt;&gt;"&amp;""),"")</f>
        <v/>
      </c>
      <c r="J462" s="114" t="str">
        <f>IF(A462&lt;&gt;"",SUMIFS(deployment!$I$4:$I$502, deployment!$D$4:$D$502,"="&amp;A462, deployment!$D$4:$D$502,"&lt;&gt;"&amp;""),"")</f>
        <v/>
      </c>
      <c r="K462" s="182" t="str">
        <f>IF(A462&lt;&gt;"",SUMIFS(deployment!$J$4:$J$1002, deployment!$D$4:$D$1002,"="&amp;A462, deployment!$D$4:$D$1002,"&lt;&gt;"&amp;"", deployment!$C$4:$C$1002, "&lt;&gt;* )")+SUMIFS(namespace!$G$4:$G$1002, namespace!$B$4:$B$1002,"="&amp;A462, namespace!$B$4:$B$1002,"&lt;&gt;"&amp;""),"")</f>
        <v/>
      </c>
      <c r="L462" s="182" t="str">
        <f>IF(A462&lt;&gt;"",SUMIFS(deployment!$K$4:$K$1002, deployment!$D$4:$D$1002,"="&amp;A462, deployment!$D$4:$D$1002,"&lt;&gt;"&amp;"", deployment!$C$4:$C$1002, "&lt;&gt;* )")+SUMIFS(namespace!$H$4:$H$1002, namespace!$B$4:$B$1002,"="&amp;A462, namespace!$B$4:$B$1002,"&lt;&gt;"&amp;""),"")</f>
        <v/>
      </c>
      <c r="M462" s="115" t="str">
        <f>IF(A462&lt;&gt;"",SUMIFS(deployment!$L$4:$L$1002, deployment!$D$4:$D$1002,"="&amp;A462, deployment!$D$4:$D$1002,"&lt;&gt;"&amp;"", deployment!$C$4:$C$1002, "&lt;&gt;* )")+SUMIFS(namespace!$I$4:$I$1002, namespace!$B$4:$B$1002,"="&amp;A462, namespace!$B$4:$B$1002,"&lt;&gt;"&amp;""),"")</f>
        <v/>
      </c>
      <c r="N462" s="115" t="str">
        <f>IF(A462&lt;&gt;"",SUMIFS(deployment!$M$4:$M$1002, deployment!$D$4:$D$1002,"="&amp;A462, deployment!$D$4:$D$1002,"&lt;&gt;"&amp;"", deployment!$C$4:$C$1002, "&lt;&gt;* )")+SUMIFS(namespace!$J$4:$J$1002, namespace!$B$4:$B$1002,"="&amp;A462, namespace!$B$4:$B$1002,"&lt;&gt;"&amp;""),"")</f>
        <v/>
      </c>
      <c r="O462" s="116" t="str">
        <f t="shared" si="91"/>
        <v/>
      </c>
      <c r="P462" s="63"/>
      <c r="Q462" s="164" t="str">
        <f t="shared" si="86"/>
        <v/>
      </c>
      <c r="R462" s="60" t="str">
        <f t="shared" si="87"/>
        <v/>
      </c>
      <c r="S462" s="60" t="str">
        <f t="shared" si="88"/>
        <v/>
      </c>
      <c r="T462" s="61" t="str">
        <f t="shared" si="89"/>
        <v/>
      </c>
      <c r="U462" s="61" t="str">
        <f t="shared" si="90"/>
        <v/>
      </c>
      <c r="V462" s="183" t="str">
        <f t="shared" si="92"/>
        <v/>
      </c>
      <c r="W462" s="183" t="str">
        <f t="shared" si="93"/>
        <v/>
      </c>
      <c r="X462" s="61" t="str">
        <f t="shared" si="94"/>
        <v/>
      </c>
      <c r="Y462" s="61" t="str">
        <f t="shared" si="95"/>
        <v/>
      </c>
      <c r="Z462" s="118" t="str">
        <f t="shared" si="96"/>
        <v/>
      </c>
      <c r="AA462" s="62" t="str">
        <f t="shared" si="97"/>
        <v/>
      </c>
      <c r="AB462" s="119" t="str">
        <f>IF(A462&lt;&gt;"", IF(P462&lt;&gt;0,SUMIFS(node!$J$2:$J$1000, node!$C$2:$C$1000,"="&amp;A462)/P462,0), "")</f>
        <v/>
      </c>
      <c r="AC462" s="81" t="str">
        <f>IF(A462&lt;&gt;"", IF(P462&lt;&gt;0,SUMIFS(node!$K$2:$K$1000, node!$C$2:$C$1000,"="&amp;A462)/P462,0), "")</f>
        <v/>
      </c>
      <c r="AD462" s="82" t="str">
        <f>IF(A462&lt;&gt;"", SUMIFS(node!$L$2:$L$1000, node!$C$2:$C$1000,"="&amp;A462), "")</f>
        <v/>
      </c>
      <c r="AE462" s="87" t="str">
        <f>IF(A462&lt;&gt;"", SUMIFS(node!$M$2:$M$1000, node!$C$2:$C$1000,"="&amp;A462), "")</f>
        <v/>
      </c>
    </row>
    <row r="463" spans="1:31" ht="15.75" customHeight="1" x14ac:dyDescent="0.25">
      <c r="A463" s="71" t="str">
        <f>IF(ISNONTEXT(node_raw[[#This Row],[Column2]]), "", node_raw[[#This Row],[Column2]])</f>
        <v/>
      </c>
      <c r="B463" s="108" t="str">
        <f>IF(A463&lt;&gt;"", VLOOKUP(A463, node!$C$2:$D$1000, 2, FALSE), "")</f>
        <v/>
      </c>
      <c r="C463" s="109" t="str">
        <f>IF(A463&lt;&gt;"", VLOOKUP(A463, node!$C$2:$E$1000, 3, FALSE), "")</f>
        <v/>
      </c>
      <c r="D463" s="110" t="str">
        <f>IF(A463&lt;&gt;"",COUNTIFS(node!$C$2:$C$1000,"="&amp;A463, node!$C$2:$C$1000,"&lt;&gt;"&amp;""),"")</f>
        <v/>
      </c>
      <c r="E463" s="111" t="str">
        <f>IF(A463&lt;&gt;"",SUMIFS(node!$F$2:$F$500, node!$C$2:$C$500,"="&amp;A463, node!$C$2:$C$500,"&lt;&gt;"&amp;"")/(B463*D463),"")</f>
        <v/>
      </c>
      <c r="F463" s="112" t="str">
        <f>IF(A463&lt;&gt;"",SUMIFS(node!$H$2:$H$500, node!$C$2:$C$500,"="&amp;A463, node!$C$2:$C$500,"&lt;&gt;"&amp;"")/(C463*D463),"")</f>
        <v/>
      </c>
      <c r="G463" s="179" t="str">
        <f>IF(A463&lt;&gt;"",SUMIFS(deployment!$F$4:$F$502, deployment!$D$4:$D$502,"="&amp;A463, deployment!$D$4:$D$502,"&lt;&gt;"&amp;""),"")</f>
        <v/>
      </c>
      <c r="H463" s="181" t="str">
        <f>IF(A463&lt;&gt;"",SUMIFS(deployment!$G$4:$G$502, deployment!$D$4:$D$502,"="&amp;A463, deployment!$D$4:$D$502,"&lt;&gt;"&amp;""),"")</f>
        <v/>
      </c>
      <c r="I463" s="113" t="str">
        <f>IF(A463&lt;&gt;"",SUMIFS(deployment!$H$4:$H$502, deployment!$D$4:$D$502,"="&amp;A463, deployment!$D$4:$D$502,"&lt;&gt;"&amp;""),"")</f>
        <v/>
      </c>
      <c r="J463" s="114" t="str">
        <f>IF(A463&lt;&gt;"",SUMIFS(deployment!$I$4:$I$502, deployment!$D$4:$D$502,"="&amp;A463, deployment!$D$4:$D$502,"&lt;&gt;"&amp;""),"")</f>
        <v/>
      </c>
      <c r="K463" s="182" t="str">
        <f>IF(A463&lt;&gt;"",SUMIFS(deployment!$J$4:$J$1002, deployment!$D$4:$D$1002,"="&amp;A463, deployment!$D$4:$D$1002,"&lt;&gt;"&amp;"", deployment!$C$4:$C$1002, "&lt;&gt;* )")+SUMIFS(namespace!$G$4:$G$1002, namespace!$B$4:$B$1002,"="&amp;A463, namespace!$B$4:$B$1002,"&lt;&gt;"&amp;""),"")</f>
        <v/>
      </c>
      <c r="L463" s="182" t="str">
        <f>IF(A463&lt;&gt;"",SUMIFS(deployment!$K$4:$K$1002, deployment!$D$4:$D$1002,"="&amp;A463, deployment!$D$4:$D$1002,"&lt;&gt;"&amp;"", deployment!$C$4:$C$1002, "&lt;&gt;* )")+SUMIFS(namespace!$H$4:$H$1002, namespace!$B$4:$B$1002,"="&amp;A463, namespace!$B$4:$B$1002,"&lt;&gt;"&amp;""),"")</f>
        <v/>
      </c>
      <c r="M463" s="115" t="str">
        <f>IF(A463&lt;&gt;"",SUMIFS(deployment!$L$4:$L$1002, deployment!$D$4:$D$1002,"="&amp;A463, deployment!$D$4:$D$1002,"&lt;&gt;"&amp;"", deployment!$C$4:$C$1002, "&lt;&gt;* )")+SUMIFS(namespace!$I$4:$I$1002, namespace!$B$4:$B$1002,"="&amp;A463, namespace!$B$4:$B$1002,"&lt;&gt;"&amp;""),"")</f>
        <v/>
      </c>
      <c r="N463" s="115" t="str">
        <f>IF(A463&lt;&gt;"",SUMIFS(deployment!$M$4:$M$1002, deployment!$D$4:$D$1002,"="&amp;A463, deployment!$D$4:$D$1002,"&lt;&gt;"&amp;"", deployment!$C$4:$C$1002, "&lt;&gt;* )")+SUMIFS(namespace!$J$4:$J$1002, namespace!$B$4:$B$1002,"="&amp;A463, namespace!$B$4:$B$1002,"&lt;&gt;"&amp;""),"")</f>
        <v/>
      </c>
      <c r="O463" s="116" t="str">
        <f t="shared" si="91"/>
        <v/>
      </c>
      <c r="P463" s="63"/>
      <c r="Q463" s="164" t="str">
        <f t="shared" si="86"/>
        <v/>
      </c>
      <c r="R463" s="60" t="str">
        <f t="shared" si="87"/>
        <v/>
      </c>
      <c r="S463" s="60" t="str">
        <f t="shared" si="88"/>
        <v/>
      </c>
      <c r="T463" s="61" t="str">
        <f t="shared" si="89"/>
        <v/>
      </c>
      <c r="U463" s="61" t="str">
        <f t="shared" si="90"/>
        <v/>
      </c>
      <c r="V463" s="183" t="str">
        <f t="shared" si="92"/>
        <v/>
      </c>
      <c r="W463" s="183" t="str">
        <f t="shared" si="93"/>
        <v/>
      </c>
      <c r="X463" s="61" t="str">
        <f t="shared" si="94"/>
        <v/>
      </c>
      <c r="Y463" s="61" t="str">
        <f t="shared" si="95"/>
        <v/>
      </c>
      <c r="Z463" s="118" t="str">
        <f t="shared" si="96"/>
        <v/>
      </c>
      <c r="AA463" s="62" t="str">
        <f t="shared" si="97"/>
        <v/>
      </c>
      <c r="AB463" s="119" t="str">
        <f>IF(A463&lt;&gt;"", IF(P463&lt;&gt;0,SUMIFS(node!$J$2:$J$1000, node!$C$2:$C$1000,"="&amp;A463)/P463,0), "")</f>
        <v/>
      </c>
      <c r="AC463" s="81" t="str">
        <f>IF(A463&lt;&gt;"", IF(P463&lt;&gt;0,SUMIFS(node!$K$2:$K$1000, node!$C$2:$C$1000,"="&amp;A463)/P463,0), "")</f>
        <v/>
      </c>
      <c r="AD463" s="82" t="str">
        <f>IF(A463&lt;&gt;"", SUMIFS(node!$L$2:$L$1000, node!$C$2:$C$1000,"="&amp;A463), "")</f>
        <v/>
      </c>
      <c r="AE463" s="87" t="str">
        <f>IF(A463&lt;&gt;"", SUMIFS(node!$M$2:$M$1000, node!$C$2:$C$1000,"="&amp;A463), "")</f>
        <v/>
      </c>
    </row>
    <row r="464" spans="1:31" ht="15.75" customHeight="1" x14ac:dyDescent="0.25">
      <c r="A464" s="71" t="str">
        <f>IF(ISNONTEXT(node_raw[[#This Row],[Column2]]), "", node_raw[[#This Row],[Column2]])</f>
        <v/>
      </c>
      <c r="B464" s="108" t="str">
        <f>IF(A464&lt;&gt;"", VLOOKUP(A464, node!$C$2:$D$1000, 2, FALSE), "")</f>
        <v/>
      </c>
      <c r="C464" s="109" t="str">
        <f>IF(A464&lt;&gt;"", VLOOKUP(A464, node!$C$2:$E$1000, 3, FALSE), "")</f>
        <v/>
      </c>
      <c r="D464" s="110" t="str">
        <f>IF(A464&lt;&gt;"",COUNTIFS(node!$C$2:$C$1000,"="&amp;A464, node!$C$2:$C$1000,"&lt;&gt;"&amp;""),"")</f>
        <v/>
      </c>
      <c r="E464" s="111" t="str">
        <f>IF(A464&lt;&gt;"",SUMIFS(node!$F$2:$F$500, node!$C$2:$C$500,"="&amp;A464, node!$C$2:$C$500,"&lt;&gt;"&amp;"")/(B464*D464),"")</f>
        <v/>
      </c>
      <c r="F464" s="112" t="str">
        <f>IF(A464&lt;&gt;"",SUMIFS(node!$H$2:$H$500, node!$C$2:$C$500,"="&amp;A464, node!$C$2:$C$500,"&lt;&gt;"&amp;"")/(C464*D464),"")</f>
        <v/>
      </c>
      <c r="G464" s="179" t="str">
        <f>IF(A464&lt;&gt;"",SUMIFS(deployment!$F$4:$F$502, deployment!$D$4:$D$502,"="&amp;A464, deployment!$D$4:$D$502,"&lt;&gt;"&amp;""),"")</f>
        <v/>
      </c>
      <c r="H464" s="181" t="str">
        <f>IF(A464&lt;&gt;"",SUMIFS(deployment!$G$4:$G$502, deployment!$D$4:$D$502,"="&amp;A464, deployment!$D$4:$D$502,"&lt;&gt;"&amp;""),"")</f>
        <v/>
      </c>
      <c r="I464" s="113" t="str">
        <f>IF(A464&lt;&gt;"",SUMIFS(deployment!$H$4:$H$502, deployment!$D$4:$D$502,"="&amp;A464, deployment!$D$4:$D$502,"&lt;&gt;"&amp;""),"")</f>
        <v/>
      </c>
      <c r="J464" s="114" t="str">
        <f>IF(A464&lt;&gt;"",SUMIFS(deployment!$I$4:$I$502, deployment!$D$4:$D$502,"="&amp;A464, deployment!$D$4:$D$502,"&lt;&gt;"&amp;""),"")</f>
        <v/>
      </c>
      <c r="K464" s="182" t="str">
        <f>IF(A464&lt;&gt;"",SUMIFS(deployment!$J$4:$J$1002, deployment!$D$4:$D$1002,"="&amp;A464, deployment!$D$4:$D$1002,"&lt;&gt;"&amp;"", deployment!$C$4:$C$1002, "&lt;&gt;* )")+SUMIFS(namespace!$G$4:$G$1002, namespace!$B$4:$B$1002,"="&amp;A464, namespace!$B$4:$B$1002,"&lt;&gt;"&amp;""),"")</f>
        <v/>
      </c>
      <c r="L464" s="182" t="str">
        <f>IF(A464&lt;&gt;"",SUMIFS(deployment!$K$4:$K$1002, deployment!$D$4:$D$1002,"="&amp;A464, deployment!$D$4:$D$1002,"&lt;&gt;"&amp;"", deployment!$C$4:$C$1002, "&lt;&gt;* )")+SUMIFS(namespace!$H$4:$H$1002, namespace!$B$4:$B$1002,"="&amp;A464, namespace!$B$4:$B$1002,"&lt;&gt;"&amp;""),"")</f>
        <v/>
      </c>
      <c r="M464" s="115" t="str">
        <f>IF(A464&lt;&gt;"",SUMIFS(deployment!$L$4:$L$1002, deployment!$D$4:$D$1002,"="&amp;A464, deployment!$D$4:$D$1002,"&lt;&gt;"&amp;"", deployment!$C$4:$C$1002, "&lt;&gt;* )")+SUMIFS(namespace!$I$4:$I$1002, namespace!$B$4:$B$1002,"="&amp;A464, namespace!$B$4:$B$1002,"&lt;&gt;"&amp;""),"")</f>
        <v/>
      </c>
      <c r="N464" s="115" t="str">
        <f>IF(A464&lt;&gt;"",SUMIFS(deployment!$M$4:$M$1002, deployment!$D$4:$D$1002,"="&amp;A464, deployment!$D$4:$D$1002,"&lt;&gt;"&amp;"", deployment!$C$4:$C$1002, "&lt;&gt;* )")+SUMIFS(namespace!$J$4:$J$1002, namespace!$B$4:$B$1002,"="&amp;A464, namespace!$B$4:$B$1002,"&lt;&gt;"&amp;""),"")</f>
        <v/>
      </c>
      <c r="O464" s="116" t="str">
        <f t="shared" si="91"/>
        <v/>
      </c>
      <c r="P464" s="63"/>
      <c r="Q464" s="164" t="str">
        <f t="shared" si="86"/>
        <v/>
      </c>
      <c r="R464" s="60" t="str">
        <f t="shared" si="87"/>
        <v/>
      </c>
      <c r="S464" s="60" t="str">
        <f t="shared" si="88"/>
        <v/>
      </c>
      <c r="T464" s="61" t="str">
        <f t="shared" si="89"/>
        <v/>
      </c>
      <c r="U464" s="61" t="str">
        <f t="shared" si="90"/>
        <v/>
      </c>
      <c r="V464" s="183" t="str">
        <f t="shared" si="92"/>
        <v/>
      </c>
      <c r="W464" s="183" t="str">
        <f t="shared" si="93"/>
        <v/>
      </c>
      <c r="X464" s="61" t="str">
        <f t="shared" si="94"/>
        <v/>
      </c>
      <c r="Y464" s="61" t="str">
        <f t="shared" si="95"/>
        <v/>
      </c>
      <c r="Z464" s="118" t="str">
        <f t="shared" si="96"/>
        <v/>
      </c>
      <c r="AA464" s="62" t="str">
        <f t="shared" si="97"/>
        <v/>
      </c>
      <c r="AB464" s="119" t="str">
        <f>IF(A464&lt;&gt;"", IF(P464&lt;&gt;0,SUMIFS(node!$J$2:$J$1000, node!$C$2:$C$1000,"="&amp;A464)/P464,0), "")</f>
        <v/>
      </c>
      <c r="AC464" s="81" t="str">
        <f>IF(A464&lt;&gt;"", IF(P464&lt;&gt;0,SUMIFS(node!$K$2:$K$1000, node!$C$2:$C$1000,"="&amp;A464)/P464,0), "")</f>
        <v/>
      </c>
      <c r="AD464" s="82" t="str">
        <f>IF(A464&lt;&gt;"", SUMIFS(node!$L$2:$L$1000, node!$C$2:$C$1000,"="&amp;A464), "")</f>
        <v/>
      </c>
      <c r="AE464" s="87" t="str">
        <f>IF(A464&lt;&gt;"", SUMIFS(node!$M$2:$M$1000, node!$C$2:$C$1000,"="&amp;A464), "")</f>
        <v/>
      </c>
    </row>
    <row r="465" spans="1:31" ht="15.75" customHeight="1" x14ac:dyDescent="0.25">
      <c r="A465" s="71" t="str">
        <f>IF(ISNONTEXT(node_raw[[#This Row],[Column2]]), "", node_raw[[#This Row],[Column2]])</f>
        <v/>
      </c>
      <c r="B465" s="108" t="str">
        <f>IF(A465&lt;&gt;"", VLOOKUP(A465, node!$C$2:$D$1000, 2, FALSE), "")</f>
        <v/>
      </c>
      <c r="C465" s="109" t="str">
        <f>IF(A465&lt;&gt;"", VLOOKUP(A465, node!$C$2:$E$1000, 3, FALSE), "")</f>
        <v/>
      </c>
      <c r="D465" s="110" t="str">
        <f>IF(A465&lt;&gt;"",COUNTIFS(node!$C$2:$C$1000,"="&amp;A465, node!$C$2:$C$1000,"&lt;&gt;"&amp;""),"")</f>
        <v/>
      </c>
      <c r="E465" s="111" t="str">
        <f>IF(A465&lt;&gt;"",SUMIFS(node!$F$2:$F$500, node!$C$2:$C$500,"="&amp;A465, node!$C$2:$C$500,"&lt;&gt;"&amp;"")/(B465*D465),"")</f>
        <v/>
      </c>
      <c r="F465" s="112" t="str">
        <f>IF(A465&lt;&gt;"",SUMIFS(node!$H$2:$H$500, node!$C$2:$C$500,"="&amp;A465, node!$C$2:$C$500,"&lt;&gt;"&amp;"")/(C465*D465),"")</f>
        <v/>
      </c>
      <c r="G465" s="179" t="str">
        <f>IF(A465&lt;&gt;"",SUMIFS(deployment!$F$4:$F$502, deployment!$D$4:$D$502,"="&amp;A465, deployment!$D$4:$D$502,"&lt;&gt;"&amp;""),"")</f>
        <v/>
      </c>
      <c r="H465" s="181" t="str">
        <f>IF(A465&lt;&gt;"",SUMIFS(deployment!$G$4:$G$502, deployment!$D$4:$D$502,"="&amp;A465, deployment!$D$4:$D$502,"&lt;&gt;"&amp;""),"")</f>
        <v/>
      </c>
      <c r="I465" s="113" t="str">
        <f>IF(A465&lt;&gt;"",SUMIFS(deployment!$H$4:$H$502, deployment!$D$4:$D$502,"="&amp;A465, deployment!$D$4:$D$502,"&lt;&gt;"&amp;""),"")</f>
        <v/>
      </c>
      <c r="J465" s="114" t="str">
        <f>IF(A465&lt;&gt;"",SUMIFS(deployment!$I$4:$I$502, deployment!$D$4:$D$502,"="&amp;A465, deployment!$D$4:$D$502,"&lt;&gt;"&amp;""),"")</f>
        <v/>
      </c>
      <c r="K465" s="182" t="str">
        <f>IF(A465&lt;&gt;"",SUMIFS(deployment!$J$4:$J$1002, deployment!$D$4:$D$1002,"="&amp;A465, deployment!$D$4:$D$1002,"&lt;&gt;"&amp;"", deployment!$C$4:$C$1002, "&lt;&gt;* )")+SUMIFS(namespace!$G$4:$G$1002, namespace!$B$4:$B$1002,"="&amp;A465, namespace!$B$4:$B$1002,"&lt;&gt;"&amp;""),"")</f>
        <v/>
      </c>
      <c r="L465" s="182" t="str">
        <f>IF(A465&lt;&gt;"",SUMIFS(deployment!$K$4:$K$1002, deployment!$D$4:$D$1002,"="&amp;A465, deployment!$D$4:$D$1002,"&lt;&gt;"&amp;"", deployment!$C$4:$C$1002, "&lt;&gt;* )")+SUMIFS(namespace!$H$4:$H$1002, namespace!$B$4:$B$1002,"="&amp;A465, namespace!$B$4:$B$1002,"&lt;&gt;"&amp;""),"")</f>
        <v/>
      </c>
      <c r="M465" s="115" t="str">
        <f>IF(A465&lt;&gt;"",SUMIFS(deployment!$L$4:$L$1002, deployment!$D$4:$D$1002,"="&amp;A465, deployment!$D$4:$D$1002,"&lt;&gt;"&amp;"", deployment!$C$4:$C$1002, "&lt;&gt;* )")+SUMIFS(namespace!$I$4:$I$1002, namespace!$B$4:$B$1002,"="&amp;A465, namespace!$B$4:$B$1002,"&lt;&gt;"&amp;""),"")</f>
        <v/>
      </c>
      <c r="N465" s="115" t="str">
        <f>IF(A465&lt;&gt;"",SUMIFS(deployment!$M$4:$M$1002, deployment!$D$4:$D$1002,"="&amp;A465, deployment!$D$4:$D$1002,"&lt;&gt;"&amp;"", deployment!$C$4:$C$1002, "&lt;&gt;* )")+SUMIFS(namespace!$J$4:$J$1002, namespace!$B$4:$B$1002,"="&amp;A465, namespace!$B$4:$B$1002,"&lt;&gt;"&amp;""),"")</f>
        <v/>
      </c>
      <c r="O465" s="116" t="str">
        <f t="shared" si="91"/>
        <v/>
      </c>
      <c r="P465" s="63"/>
      <c r="Q465" s="164" t="str">
        <f t="shared" si="86"/>
        <v/>
      </c>
      <c r="R465" s="60" t="str">
        <f t="shared" si="87"/>
        <v/>
      </c>
      <c r="S465" s="60" t="str">
        <f t="shared" si="88"/>
        <v/>
      </c>
      <c r="T465" s="61" t="str">
        <f t="shared" si="89"/>
        <v/>
      </c>
      <c r="U465" s="61" t="str">
        <f t="shared" si="90"/>
        <v/>
      </c>
      <c r="V465" s="183" t="str">
        <f t="shared" si="92"/>
        <v/>
      </c>
      <c r="W465" s="183" t="str">
        <f t="shared" si="93"/>
        <v/>
      </c>
      <c r="X465" s="61" t="str">
        <f t="shared" si="94"/>
        <v/>
      </c>
      <c r="Y465" s="61" t="str">
        <f t="shared" si="95"/>
        <v/>
      </c>
      <c r="Z465" s="118" t="str">
        <f t="shared" si="96"/>
        <v/>
      </c>
      <c r="AA465" s="62" t="str">
        <f t="shared" si="97"/>
        <v/>
      </c>
      <c r="AB465" s="119" t="str">
        <f>IF(A465&lt;&gt;"", IF(P465&lt;&gt;0,SUMIFS(node!$J$2:$J$1000, node!$C$2:$C$1000,"="&amp;A465)/P465,0), "")</f>
        <v/>
      </c>
      <c r="AC465" s="81" t="str">
        <f>IF(A465&lt;&gt;"", IF(P465&lt;&gt;0,SUMIFS(node!$K$2:$K$1000, node!$C$2:$C$1000,"="&amp;A465)/P465,0), "")</f>
        <v/>
      </c>
      <c r="AD465" s="82" t="str">
        <f>IF(A465&lt;&gt;"", SUMIFS(node!$L$2:$L$1000, node!$C$2:$C$1000,"="&amp;A465), "")</f>
        <v/>
      </c>
      <c r="AE465" s="87" t="str">
        <f>IF(A465&lt;&gt;"", SUMIFS(node!$M$2:$M$1000, node!$C$2:$C$1000,"="&amp;A465), "")</f>
        <v/>
      </c>
    </row>
    <row r="466" spans="1:31" ht="15.75" customHeight="1" x14ac:dyDescent="0.25">
      <c r="A466" s="71" t="str">
        <f>IF(ISNONTEXT(node_raw[[#This Row],[Column2]]), "", node_raw[[#This Row],[Column2]])</f>
        <v/>
      </c>
      <c r="B466" s="108" t="str">
        <f>IF(A466&lt;&gt;"", VLOOKUP(A466, node!$C$2:$D$1000, 2, FALSE), "")</f>
        <v/>
      </c>
      <c r="C466" s="109" t="str">
        <f>IF(A466&lt;&gt;"", VLOOKUP(A466, node!$C$2:$E$1000, 3, FALSE), "")</f>
        <v/>
      </c>
      <c r="D466" s="110" t="str">
        <f>IF(A466&lt;&gt;"",COUNTIFS(node!$C$2:$C$1000,"="&amp;A466, node!$C$2:$C$1000,"&lt;&gt;"&amp;""),"")</f>
        <v/>
      </c>
      <c r="E466" s="111" t="str">
        <f>IF(A466&lt;&gt;"",SUMIFS(node!$F$2:$F$500, node!$C$2:$C$500,"="&amp;A466, node!$C$2:$C$500,"&lt;&gt;"&amp;"")/(B466*D466),"")</f>
        <v/>
      </c>
      <c r="F466" s="112" t="str">
        <f>IF(A466&lt;&gt;"",SUMIFS(node!$H$2:$H$500, node!$C$2:$C$500,"="&amp;A466, node!$C$2:$C$500,"&lt;&gt;"&amp;"")/(C466*D466),"")</f>
        <v/>
      </c>
      <c r="G466" s="179" t="str">
        <f>IF(A466&lt;&gt;"",SUMIFS(deployment!$F$4:$F$502, deployment!$D$4:$D$502,"="&amp;A466, deployment!$D$4:$D$502,"&lt;&gt;"&amp;""),"")</f>
        <v/>
      </c>
      <c r="H466" s="181" t="str">
        <f>IF(A466&lt;&gt;"",SUMIFS(deployment!$G$4:$G$502, deployment!$D$4:$D$502,"="&amp;A466, deployment!$D$4:$D$502,"&lt;&gt;"&amp;""),"")</f>
        <v/>
      </c>
      <c r="I466" s="113" t="str">
        <f>IF(A466&lt;&gt;"",SUMIFS(deployment!$H$4:$H$502, deployment!$D$4:$D$502,"="&amp;A466, deployment!$D$4:$D$502,"&lt;&gt;"&amp;""),"")</f>
        <v/>
      </c>
      <c r="J466" s="114" t="str">
        <f>IF(A466&lt;&gt;"",SUMIFS(deployment!$I$4:$I$502, deployment!$D$4:$D$502,"="&amp;A466, deployment!$D$4:$D$502,"&lt;&gt;"&amp;""),"")</f>
        <v/>
      </c>
      <c r="K466" s="182" t="str">
        <f>IF(A466&lt;&gt;"",SUMIFS(deployment!$J$4:$J$1002, deployment!$D$4:$D$1002,"="&amp;A466, deployment!$D$4:$D$1002,"&lt;&gt;"&amp;"", deployment!$C$4:$C$1002, "&lt;&gt;* )")+SUMIFS(namespace!$G$4:$G$1002, namespace!$B$4:$B$1002,"="&amp;A466, namespace!$B$4:$B$1002,"&lt;&gt;"&amp;""),"")</f>
        <v/>
      </c>
      <c r="L466" s="182" t="str">
        <f>IF(A466&lt;&gt;"",SUMIFS(deployment!$K$4:$K$1002, deployment!$D$4:$D$1002,"="&amp;A466, deployment!$D$4:$D$1002,"&lt;&gt;"&amp;"", deployment!$C$4:$C$1002, "&lt;&gt;* )")+SUMIFS(namespace!$H$4:$H$1002, namespace!$B$4:$B$1002,"="&amp;A466, namespace!$B$4:$B$1002,"&lt;&gt;"&amp;""),"")</f>
        <v/>
      </c>
      <c r="M466" s="115" t="str">
        <f>IF(A466&lt;&gt;"",SUMIFS(deployment!$L$4:$L$1002, deployment!$D$4:$D$1002,"="&amp;A466, deployment!$D$4:$D$1002,"&lt;&gt;"&amp;"", deployment!$C$4:$C$1002, "&lt;&gt;* )")+SUMIFS(namespace!$I$4:$I$1002, namespace!$B$4:$B$1002,"="&amp;A466, namespace!$B$4:$B$1002,"&lt;&gt;"&amp;""),"")</f>
        <v/>
      </c>
      <c r="N466" s="115" t="str">
        <f>IF(A466&lt;&gt;"",SUMIFS(deployment!$M$4:$M$1002, deployment!$D$4:$D$1002,"="&amp;A466, deployment!$D$4:$D$1002,"&lt;&gt;"&amp;"", deployment!$C$4:$C$1002, "&lt;&gt;* )")+SUMIFS(namespace!$J$4:$J$1002, namespace!$B$4:$B$1002,"="&amp;A466, namespace!$B$4:$B$1002,"&lt;&gt;"&amp;""),"")</f>
        <v/>
      </c>
      <c r="O466" s="116" t="str">
        <f t="shared" si="91"/>
        <v/>
      </c>
      <c r="P466" s="63"/>
      <c r="Q466" s="164" t="str">
        <f t="shared" si="86"/>
        <v/>
      </c>
      <c r="R466" s="60" t="str">
        <f t="shared" si="87"/>
        <v/>
      </c>
      <c r="S466" s="60" t="str">
        <f t="shared" si="88"/>
        <v/>
      </c>
      <c r="T466" s="61" t="str">
        <f t="shared" si="89"/>
        <v/>
      </c>
      <c r="U466" s="61" t="str">
        <f t="shared" si="90"/>
        <v/>
      </c>
      <c r="V466" s="183" t="str">
        <f t="shared" si="92"/>
        <v/>
      </c>
      <c r="W466" s="183" t="str">
        <f t="shared" si="93"/>
        <v/>
      </c>
      <c r="X466" s="61" t="str">
        <f t="shared" si="94"/>
        <v/>
      </c>
      <c r="Y466" s="61" t="str">
        <f t="shared" si="95"/>
        <v/>
      </c>
      <c r="Z466" s="118" t="str">
        <f t="shared" si="96"/>
        <v/>
      </c>
      <c r="AA466" s="62" t="str">
        <f t="shared" si="97"/>
        <v/>
      </c>
      <c r="AB466" s="119" t="str">
        <f>IF(A466&lt;&gt;"", IF(P466&lt;&gt;0,SUMIFS(node!$J$2:$J$1000, node!$C$2:$C$1000,"="&amp;A466)/P466,0), "")</f>
        <v/>
      </c>
      <c r="AC466" s="81" t="str">
        <f>IF(A466&lt;&gt;"", IF(P466&lt;&gt;0,SUMIFS(node!$K$2:$K$1000, node!$C$2:$C$1000,"="&amp;A466)/P466,0), "")</f>
        <v/>
      </c>
      <c r="AD466" s="82" t="str">
        <f>IF(A466&lt;&gt;"", SUMIFS(node!$L$2:$L$1000, node!$C$2:$C$1000,"="&amp;A466), "")</f>
        <v/>
      </c>
      <c r="AE466" s="87" t="str">
        <f>IF(A466&lt;&gt;"", SUMIFS(node!$M$2:$M$1000, node!$C$2:$C$1000,"="&amp;A466), "")</f>
        <v/>
      </c>
    </row>
    <row r="467" spans="1:31" ht="15.75" customHeight="1" x14ac:dyDescent="0.25">
      <c r="A467" s="71" t="str">
        <f>IF(ISNONTEXT(node_raw[[#This Row],[Column2]]), "", node_raw[[#This Row],[Column2]])</f>
        <v/>
      </c>
      <c r="B467" s="108" t="str">
        <f>IF(A467&lt;&gt;"", VLOOKUP(A467, node!$C$2:$D$1000, 2, FALSE), "")</f>
        <v/>
      </c>
      <c r="C467" s="109" t="str">
        <f>IF(A467&lt;&gt;"", VLOOKUP(A467, node!$C$2:$E$1000, 3, FALSE), "")</f>
        <v/>
      </c>
      <c r="D467" s="110" t="str">
        <f>IF(A467&lt;&gt;"",COUNTIFS(node!$C$2:$C$1000,"="&amp;A467, node!$C$2:$C$1000,"&lt;&gt;"&amp;""),"")</f>
        <v/>
      </c>
      <c r="E467" s="111" t="str">
        <f>IF(A467&lt;&gt;"",SUMIFS(node!$F$2:$F$500, node!$C$2:$C$500,"="&amp;A467, node!$C$2:$C$500,"&lt;&gt;"&amp;"")/(B467*D467),"")</f>
        <v/>
      </c>
      <c r="F467" s="112" t="str">
        <f>IF(A467&lt;&gt;"",SUMIFS(node!$H$2:$H$500, node!$C$2:$C$500,"="&amp;A467, node!$C$2:$C$500,"&lt;&gt;"&amp;"")/(C467*D467),"")</f>
        <v/>
      </c>
      <c r="G467" s="179" t="str">
        <f>IF(A467&lt;&gt;"",SUMIFS(deployment!$F$4:$F$502, deployment!$D$4:$D$502,"="&amp;A467, deployment!$D$4:$D$502,"&lt;&gt;"&amp;""),"")</f>
        <v/>
      </c>
      <c r="H467" s="181" t="str">
        <f>IF(A467&lt;&gt;"",SUMIFS(deployment!$G$4:$G$502, deployment!$D$4:$D$502,"="&amp;A467, deployment!$D$4:$D$502,"&lt;&gt;"&amp;""),"")</f>
        <v/>
      </c>
      <c r="I467" s="113" t="str">
        <f>IF(A467&lt;&gt;"",SUMIFS(deployment!$H$4:$H$502, deployment!$D$4:$D$502,"="&amp;A467, deployment!$D$4:$D$502,"&lt;&gt;"&amp;""),"")</f>
        <v/>
      </c>
      <c r="J467" s="114" t="str">
        <f>IF(A467&lt;&gt;"",SUMIFS(deployment!$I$4:$I$502, deployment!$D$4:$D$502,"="&amp;A467, deployment!$D$4:$D$502,"&lt;&gt;"&amp;""),"")</f>
        <v/>
      </c>
      <c r="K467" s="182" t="str">
        <f>IF(A467&lt;&gt;"",SUMIFS(deployment!$J$4:$J$1002, deployment!$D$4:$D$1002,"="&amp;A467, deployment!$D$4:$D$1002,"&lt;&gt;"&amp;"", deployment!$C$4:$C$1002, "&lt;&gt;* )")+SUMIFS(namespace!$G$4:$G$1002, namespace!$B$4:$B$1002,"="&amp;A467, namespace!$B$4:$B$1002,"&lt;&gt;"&amp;""),"")</f>
        <v/>
      </c>
      <c r="L467" s="182" t="str">
        <f>IF(A467&lt;&gt;"",SUMIFS(deployment!$K$4:$K$1002, deployment!$D$4:$D$1002,"="&amp;A467, deployment!$D$4:$D$1002,"&lt;&gt;"&amp;"", deployment!$C$4:$C$1002, "&lt;&gt;* )")+SUMIFS(namespace!$H$4:$H$1002, namespace!$B$4:$B$1002,"="&amp;A467, namespace!$B$4:$B$1002,"&lt;&gt;"&amp;""),"")</f>
        <v/>
      </c>
      <c r="M467" s="115" t="str">
        <f>IF(A467&lt;&gt;"",SUMIFS(deployment!$L$4:$L$1002, deployment!$D$4:$D$1002,"="&amp;A467, deployment!$D$4:$D$1002,"&lt;&gt;"&amp;"", deployment!$C$4:$C$1002, "&lt;&gt;* )")+SUMIFS(namespace!$I$4:$I$1002, namespace!$B$4:$B$1002,"="&amp;A467, namespace!$B$4:$B$1002,"&lt;&gt;"&amp;""),"")</f>
        <v/>
      </c>
      <c r="N467" s="115" t="str">
        <f>IF(A467&lt;&gt;"",SUMIFS(deployment!$M$4:$M$1002, deployment!$D$4:$D$1002,"="&amp;A467, deployment!$D$4:$D$1002,"&lt;&gt;"&amp;"", deployment!$C$4:$C$1002, "&lt;&gt;* )")+SUMIFS(namespace!$J$4:$J$1002, namespace!$B$4:$B$1002,"="&amp;A467, namespace!$B$4:$B$1002,"&lt;&gt;"&amp;""),"")</f>
        <v/>
      </c>
      <c r="O467" s="116" t="str">
        <f t="shared" si="91"/>
        <v/>
      </c>
      <c r="P467" s="63"/>
      <c r="Q467" s="164" t="str">
        <f t="shared" si="86"/>
        <v/>
      </c>
      <c r="R467" s="60" t="str">
        <f t="shared" si="87"/>
        <v/>
      </c>
      <c r="S467" s="60" t="str">
        <f t="shared" si="88"/>
        <v/>
      </c>
      <c r="T467" s="61" t="str">
        <f t="shared" si="89"/>
        <v/>
      </c>
      <c r="U467" s="61" t="str">
        <f t="shared" si="90"/>
        <v/>
      </c>
      <c r="V467" s="183" t="str">
        <f t="shared" si="92"/>
        <v/>
      </c>
      <c r="W467" s="183" t="str">
        <f t="shared" si="93"/>
        <v/>
      </c>
      <c r="X467" s="61" t="str">
        <f t="shared" si="94"/>
        <v/>
      </c>
      <c r="Y467" s="61" t="str">
        <f t="shared" si="95"/>
        <v/>
      </c>
      <c r="Z467" s="118" t="str">
        <f t="shared" si="96"/>
        <v/>
      </c>
      <c r="AA467" s="62" t="str">
        <f t="shared" si="97"/>
        <v/>
      </c>
      <c r="AB467" s="119" t="str">
        <f>IF(A467&lt;&gt;"", IF(P467&lt;&gt;0,SUMIFS(node!$J$2:$J$1000, node!$C$2:$C$1000,"="&amp;A467)/P467,0), "")</f>
        <v/>
      </c>
      <c r="AC467" s="81" t="str">
        <f>IF(A467&lt;&gt;"", IF(P467&lt;&gt;0,SUMIFS(node!$K$2:$K$1000, node!$C$2:$C$1000,"="&amp;A467)/P467,0), "")</f>
        <v/>
      </c>
      <c r="AD467" s="82" t="str">
        <f>IF(A467&lt;&gt;"", SUMIFS(node!$L$2:$L$1000, node!$C$2:$C$1000,"="&amp;A467), "")</f>
        <v/>
      </c>
      <c r="AE467" s="87" t="str">
        <f>IF(A467&lt;&gt;"", SUMIFS(node!$M$2:$M$1000, node!$C$2:$C$1000,"="&amp;A467), "")</f>
        <v/>
      </c>
    </row>
    <row r="468" spans="1:31" ht="15.75" customHeight="1" x14ac:dyDescent="0.25">
      <c r="A468" s="71" t="str">
        <f>IF(ISNONTEXT(node_raw[[#This Row],[Column2]]), "", node_raw[[#This Row],[Column2]])</f>
        <v/>
      </c>
      <c r="B468" s="108" t="str">
        <f>IF(A468&lt;&gt;"", VLOOKUP(A468, node!$C$2:$D$1000, 2, FALSE), "")</f>
        <v/>
      </c>
      <c r="C468" s="109" t="str">
        <f>IF(A468&lt;&gt;"", VLOOKUP(A468, node!$C$2:$E$1000, 3, FALSE), "")</f>
        <v/>
      </c>
      <c r="D468" s="110" t="str">
        <f>IF(A468&lt;&gt;"",COUNTIFS(node!$C$2:$C$1000,"="&amp;A468, node!$C$2:$C$1000,"&lt;&gt;"&amp;""),"")</f>
        <v/>
      </c>
      <c r="E468" s="111" t="str">
        <f>IF(A468&lt;&gt;"",SUMIFS(node!$F$2:$F$500, node!$C$2:$C$500,"="&amp;A468, node!$C$2:$C$500,"&lt;&gt;"&amp;"")/(B468*D468),"")</f>
        <v/>
      </c>
      <c r="F468" s="112" t="str">
        <f>IF(A468&lt;&gt;"",SUMIFS(node!$H$2:$H$500, node!$C$2:$C$500,"="&amp;A468, node!$C$2:$C$500,"&lt;&gt;"&amp;"")/(C468*D468),"")</f>
        <v/>
      </c>
      <c r="G468" s="179" t="str">
        <f>IF(A468&lt;&gt;"",SUMIFS(deployment!$F$4:$F$502, deployment!$D$4:$D$502,"="&amp;A468, deployment!$D$4:$D$502,"&lt;&gt;"&amp;""),"")</f>
        <v/>
      </c>
      <c r="H468" s="181" t="str">
        <f>IF(A468&lt;&gt;"",SUMIFS(deployment!$G$4:$G$502, deployment!$D$4:$D$502,"="&amp;A468, deployment!$D$4:$D$502,"&lt;&gt;"&amp;""),"")</f>
        <v/>
      </c>
      <c r="I468" s="113" t="str">
        <f>IF(A468&lt;&gt;"",SUMIFS(deployment!$H$4:$H$502, deployment!$D$4:$D$502,"="&amp;A468, deployment!$D$4:$D$502,"&lt;&gt;"&amp;""),"")</f>
        <v/>
      </c>
      <c r="J468" s="114" t="str">
        <f>IF(A468&lt;&gt;"",SUMIFS(deployment!$I$4:$I$502, deployment!$D$4:$D$502,"="&amp;A468, deployment!$D$4:$D$502,"&lt;&gt;"&amp;""),"")</f>
        <v/>
      </c>
      <c r="K468" s="182" t="str">
        <f>IF(A468&lt;&gt;"",SUMIFS(deployment!$J$4:$J$1002, deployment!$D$4:$D$1002,"="&amp;A468, deployment!$D$4:$D$1002,"&lt;&gt;"&amp;"", deployment!$C$4:$C$1002, "&lt;&gt;* )")+SUMIFS(namespace!$G$4:$G$1002, namespace!$B$4:$B$1002,"="&amp;A468, namespace!$B$4:$B$1002,"&lt;&gt;"&amp;""),"")</f>
        <v/>
      </c>
      <c r="L468" s="182" t="str">
        <f>IF(A468&lt;&gt;"",SUMIFS(deployment!$K$4:$K$1002, deployment!$D$4:$D$1002,"="&amp;A468, deployment!$D$4:$D$1002,"&lt;&gt;"&amp;"", deployment!$C$4:$C$1002, "&lt;&gt;* )")+SUMIFS(namespace!$H$4:$H$1002, namespace!$B$4:$B$1002,"="&amp;A468, namespace!$B$4:$B$1002,"&lt;&gt;"&amp;""),"")</f>
        <v/>
      </c>
      <c r="M468" s="115" t="str">
        <f>IF(A468&lt;&gt;"",SUMIFS(deployment!$L$4:$L$1002, deployment!$D$4:$D$1002,"="&amp;A468, deployment!$D$4:$D$1002,"&lt;&gt;"&amp;"", deployment!$C$4:$C$1002, "&lt;&gt;* )")+SUMIFS(namespace!$I$4:$I$1002, namespace!$B$4:$B$1002,"="&amp;A468, namespace!$B$4:$B$1002,"&lt;&gt;"&amp;""),"")</f>
        <v/>
      </c>
      <c r="N468" s="115" t="str">
        <f>IF(A468&lt;&gt;"",SUMIFS(deployment!$M$4:$M$1002, deployment!$D$4:$D$1002,"="&amp;A468, deployment!$D$4:$D$1002,"&lt;&gt;"&amp;"", deployment!$C$4:$C$1002, "&lt;&gt;* )")+SUMIFS(namespace!$J$4:$J$1002, namespace!$B$4:$B$1002,"="&amp;A468, namespace!$B$4:$B$1002,"&lt;&gt;"&amp;""),"")</f>
        <v/>
      </c>
      <c r="O468" s="116" t="str">
        <f t="shared" si="91"/>
        <v/>
      </c>
      <c r="P468" s="63"/>
      <c r="Q468" s="164" t="str">
        <f t="shared" si="86"/>
        <v/>
      </c>
      <c r="R468" s="60" t="str">
        <f t="shared" si="87"/>
        <v/>
      </c>
      <c r="S468" s="60" t="str">
        <f t="shared" si="88"/>
        <v/>
      </c>
      <c r="T468" s="61" t="str">
        <f t="shared" si="89"/>
        <v/>
      </c>
      <c r="U468" s="61" t="str">
        <f t="shared" si="90"/>
        <v/>
      </c>
      <c r="V468" s="183" t="str">
        <f t="shared" si="92"/>
        <v/>
      </c>
      <c r="W468" s="183" t="str">
        <f t="shared" si="93"/>
        <v/>
      </c>
      <c r="X468" s="61" t="str">
        <f t="shared" si="94"/>
        <v/>
      </c>
      <c r="Y468" s="61" t="str">
        <f t="shared" si="95"/>
        <v/>
      </c>
      <c r="Z468" s="118" t="str">
        <f t="shared" si="96"/>
        <v/>
      </c>
      <c r="AA468" s="62" t="str">
        <f t="shared" si="97"/>
        <v/>
      </c>
      <c r="AB468" s="119" t="str">
        <f>IF(A468&lt;&gt;"", IF(P468&lt;&gt;0,SUMIFS(node!$J$2:$J$1000, node!$C$2:$C$1000,"="&amp;A468)/P468,0), "")</f>
        <v/>
      </c>
      <c r="AC468" s="81" t="str">
        <f>IF(A468&lt;&gt;"", IF(P468&lt;&gt;0,SUMIFS(node!$K$2:$K$1000, node!$C$2:$C$1000,"="&amp;A468)/P468,0), "")</f>
        <v/>
      </c>
      <c r="AD468" s="82" t="str">
        <f>IF(A468&lt;&gt;"", SUMIFS(node!$L$2:$L$1000, node!$C$2:$C$1000,"="&amp;A468), "")</f>
        <v/>
      </c>
      <c r="AE468" s="87" t="str">
        <f>IF(A468&lt;&gt;"", SUMIFS(node!$M$2:$M$1000, node!$C$2:$C$1000,"="&amp;A468), "")</f>
        <v/>
      </c>
    </row>
    <row r="469" spans="1:31" ht="15.75" customHeight="1" x14ac:dyDescent="0.25">
      <c r="A469" s="71" t="str">
        <f>IF(ISNONTEXT(node_raw[[#This Row],[Column2]]), "", node_raw[[#This Row],[Column2]])</f>
        <v/>
      </c>
      <c r="B469" s="108" t="str">
        <f>IF(A469&lt;&gt;"", VLOOKUP(A469, node!$C$2:$D$1000, 2, FALSE), "")</f>
        <v/>
      </c>
      <c r="C469" s="109" t="str">
        <f>IF(A469&lt;&gt;"", VLOOKUP(A469, node!$C$2:$E$1000, 3, FALSE), "")</f>
        <v/>
      </c>
      <c r="D469" s="110" t="str">
        <f>IF(A469&lt;&gt;"",COUNTIFS(node!$C$2:$C$1000,"="&amp;A469, node!$C$2:$C$1000,"&lt;&gt;"&amp;""),"")</f>
        <v/>
      </c>
      <c r="E469" s="111" t="str">
        <f>IF(A469&lt;&gt;"",SUMIFS(node!$F$2:$F$500, node!$C$2:$C$500,"="&amp;A469, node!$C$2:$C$500,"&lt;&gt;"&amp;"")/(B469*D469),"")</f>
        <v/>
      </c>
      <c r="F469" s="112" t="str">
        <f>IF(A469&lt;&gt;"",SUMIFS(node!$H$2:$H$500, node!$C$2:$C$500,"="&amp;A469, node!$C$2:$C$500,"&lt;&gt;"&amp;"")/(C469*D469),"")</f>
        <v/>
      </c>
      <c r="G469" s="179" t="str">
        <f>IF(A469&lt;&gt;"",SUMIFS(deployment!$F$4:$F$502, deployment!$D$4:$D$502,"="&amp;A469, deployment!$D$4:$D$502,"&lt;&gt;"&amp;""),"")</f>
        <v/>
      </c>
      <c r="H469" s="181" t="str">
        <f>IF(A469&lt;&gt;"",SUMIFS(deployment!$G$4:$G$502, deployment!$D$4:$D$502,"="&amp;A469, deployment!$D$4:$D$502,"&lt;&gt;"&amp;""),"")</f>
        <v/>
      </c>
      <c r="I469" s="113" t="str">
        <f>IF(A469&lt;&gt;"",SUMIFS(deployment!$H$4:$H$502, deployment!$D$4:$D$502,"="&amp;A469, deployment!$D$4:$D$502,"&lt;&gt;"&amp;""),"")</f>
        <v/>
      </c>
      <c r="J469" s="114" t="str">
        <f>IF(A469&lt;&gt;"",SUMIFS(deployment!$I$4:$I$502, deployment!$D$4:$D$502,"="&amp;A469, deployment!$D$4:$D$502,"&lt;&gt;"&amp;""),"")</f>
        <v/>
      </c>
      <c r="K469" s="182" t="str">
        <f>IF(A469&lt;&gt;"",SUMIFS(deployment!$J$4:$J$1002, deployment!$D$4:$D$1002,"="&amp;A469, deployment!$D$4:$D$1002,"&lt;&gt;"&amp;"", deployment!$C$4:$C$1002, "&lt;&gt;* )")+SUMIFS(namespace!$G$4:$G$1002, namespace!$B$4:$B$1002,"="&amp;A469, namespace!$B$4:$B$1002,"&lt;&gt;"&amp;""),"")</f>
        <v/>
      </c>
      <c r="L469" s="182" t="str">
        <f>IF(A469&lt;&gt;"",SUMIFS(deployment!$K$4:$K$1002, deployment!$D$4:$D$1002,"="&amp;A469, deployment!$D$4:$D$1002,"&lt;&gt;"&amp;"", deployment!$C$4:$C$1002, "&lt;&gt;* )")+SUMIFS(namespace!$H$4:$H$1002, namespace!$B$4:$B$1002,"="&amp;A469, namespace!$B$4:$B$1002,"&lt;&gt;"&amp;""),"")</f>
        <v/>
      </c>
      <c r="M469" s="115" t="str">
        <f>IF(A469&lt;&gt;"",SUMIFS(deployment!$L$4:$L$1002, deployment!$D$4:$D$1002,"="&amp;A469, deployment!$D$4:$D$1002,"&lt;&gt;"&amp;"", deployment!$C$4:$C$1002, "&lt;&gt;* )")+SUMIFS(namespace!$I$4:$I$1002, namespace!$B$4:$B$1002,"="&amp;A469, namespace!$B$4:$B$1002,"&lt;&gt;"&amp;""),"")</f>
        <v/>
      </c>
      <c r="N469" s="115" t="str">
        <f>IF(A469&lt;&gt;"",SUMIFS(deployment!$M$4:$M$1002, deployment!$D$4:$D$1002,"="&amp;A469, deployment!$D$4:$D$1002,"&lt;&gt;"&amp;"", deployment!$C$4:$C$1002, "&lt;&gt;* )")+SUMIFS(namespace!$J$4:$J$1002, namespace!$B$4:$B$1002,"="&amp;A469, namespace!$B$4:$B$1002,"&lt;&gt;"&amp;""),"")</f>
        <v/>
      </c>
      <c r="O469" s="116" t="str">
        <f t="shared" si="91"/>
        <v/>
      </c>
      <c r="P469" s="63"/>
      <c r="Q469" s="164" t="str">
        <f t="shared" si="86"/>
        <v/>
      </c>
      <c r="R469" s="60" t="str">
        <f t="shared" si="87"/>
        <v/>
      </c>
      <c r="S469" s="60" t="str">
        <f t="shared" si="88"/>
        <v/>
      </c>
      <c r="T469" s="61" t="str">
        <f t="shared" si="89"/>
        <v/>
      </c>
      <c r="U469" s="61" t="str">
        <f t="shared" si="90"/>
        <v/>
      </c>
      <c r="V469" s="183" t="str">
        <f t="shared" si="92"/>
        <v/>
      </c>
      <c r="W469" s="183" t="str">
        <f t="shared" si="93"/>
        <v/>
      </c>
      <c r="X469" s="61" t="str">
        <f t="shared" si="94"/>
        <v/>
      </c>
      <c r="Y469" s="61" t="str">
        <f t="shared" si="95"/>
        <v/>
      </c>
      <c r="Z469" s="118" t="str">
        <f t="shared" si="96"/>
        <v/>
      </c>
      <c r="AA469" s="62" t="str">
        <f t="shared" si="97"/>
        <v/>
      </c>
      <c r="AB469" s="119" t="str">
        <f>IF(A469&lt;&gt;"", IF(P469&lt;&gt;0,SUMIFS(node!$J$2:$J$1000, node!$C$2:$C$1000,"="&amp;A469)/P469,0), "")</f>
        <v/>
      </c>
      <c r="AC469" s="81" t="str">
        <f>IF(A469&lt;&gt;"", IF(P469&lt;&gt;0,SUMIFS(node!$K$2:$K$1000, node!$C$2:$C$1000,"="&amp;A469)/P469,0), "")</f>
        <v/>
      </c>
      <c r="AD469" s="82" t="str">
        <f>IF(A469&lt;&gt;"", SUMIFS(node!$L$2:$L$1000, node!$C$2:$C$1000,"="&amp;A469), "")</f>
        <v/>
      </c>
      <c r="AE469" s="87" t="str">
        <f>IF(A469&lt;&gt;"", SUMIFS(node!$M$2:$M$1000, node!$C$2:$C$1000,"="&amp;A469), "")</f>
        <v/>
      </c>
    </row>
    <row r="470" spans="1:31" ht="15.75" customHeight="1" x14ac:dyDescent="0.25">
      <c r="A470" s="71" t="str">
        <f>IF(ISNONTEXT(node_raw[[#This Row],[Column2]]), "", node_raw[[#This Row],[Column2]])</f>
        <v/>
      </c>
      <c r="B470" s="108" t="str">
        <f>IF(A470&lt;&gt;"", VLOOKUP(A470, node!$C$2:$D$1000, 2, FALSE), "")</f>
        <v/>
      </c>
      <c r="C470" s="109" t="str">
        <f>IF(A470&lt;&gt;"", VLOOKUP(A470, node!$C$2:$E$1000, 3, FALSE), "")</f>
        <v/>
      </c>
      <c r="D470" s="110" t="str">
        <f>IF(A470&lt;&gt;"",COUNTIFS(node!$C$2:$C$1000,"="&amp;A470, node!$C$2:$C$1000,"&lt;&gt;"&amp;""),"")</f>
        <v/>
      </c>
      <c r="E470" s="111" t="str">
        <f>IF(A470&lt;&gt;"",SUMIFS(node!$F$2:$F$500, node!$C$2:$C$500,"="&amp;A470, node!$C$2:$C$500,"&lt;&gt;"&amp;"")/(B470*D470),"")</f>
        <v/>
      </c>
      <c r="F470" s="112" t="str">
        <f>IF(A470&lt;&gt;"",SUMIFS(node!$H$2:$H$500, node!$C$2:$C$500,"="&amp;A470, node!$C$2:$C$500,"&lt;&gt;"&amp;"")/(C470*D470),"")</f>
        <v/>
      </c>
      <c r="G470" s="179" t="str">
        <f>IF(A470&lt;&gt;"",SUMIFS(deployment!$F$4:$F$502, deployment!$D$4:$D$502,"="&amp;A470, deployment!$D$4:$D$502,"&lt;&gt;"&amp;""),"")</f>
        <v/>
      </c>
      <c r="H470" s="181" t="str">
        <f>IF(A470&lt;&gt;"",SUMIFS(deployment!$G$4:$G$502, deployment!$D$4:$D$502,"="&amp;A470, deployment!$D$4:$D$502,"&lt;&gt;"&amp;""),"")</f>
        <v/>
      </c>
      <c r="I470" s="113" t="str">
        <f>IF(A470&lt;&gt;"",SUMIFS(deployment!$H$4:$H$502, deployment!$D$4:$D$502,"="&amp;A470, deployment!$D$4:$D$502,"&lt;&gt;"&amp;""),"")</f>
        <v/>
      </c>
      <c r="J470" s="114" t="str">
        <f>IF(A470&lt;&gt;"",SUMIFS(deployment!$I$4:$I$502, deployment!$D$4:$D$502,"="&amp;A470, deployment!$D$4:$D$502,"&lt;&gt;"&amp;""),"")</f>
        <v/>
      </c>
      <c r="K470" s="182" t="str">
        <f>IF(A470&lt;&gt;"",SUMIFS(deployment!$J$4:$J$1002, deployment!$D$4:$D$1002,"="&amp;A470, deployment!$D$4:$D$1002,"&lt;&gt;"&amp;"", deployment!$C$4:$C$1002, "&lt;&gt;* )")+SUMIFS(namespace!$G$4:$G$1002, namespace!$B$4:$B$1002,"="&amp;A470, namespace!$B$4:$B$1002,"&lt;&gt;"&amp;""),"")</f>
        <v/>
      </c>
      <c r="L470" s="182" t="str">
        <f>IF(A470&lt;&gt;"",SUMIFS(deployment!$K$4:$K$1002, deployment!$D$4:$D$1002,"="&amp;A470, deployment!$D$4:$D$1002,"&lt;&gt;"&amp;"", deployment!$C$4:$C$1002, "&lt;&gt;* )")+SUMIFS(namespace!$H$4:$H$1002, namespace!$B$4:$B$1002,"="&amp;A470, namespace!$B$4:$B$1002,"&lt;&gt;"&amp;""),"")</f>
        <v/>
      </c>
      <c r="M470" s="115" t="str">
        <f>IF(A470&lt;&gt;"",SUMIFS(deployment!$L$4:$L$1002, deployment!$D$4:$D$1002,"="&amp;A470, deployment!$D$4:$D$1002,"&lt;&gt;"&amp;"", deployment!$C$4:$C$1002, "&lt;&gt;* )")+SUMIFS(namespace!$I$4:$I$1002, namespace!$B$4:$B$1002,"="&amp;A470, namespace!$B$4:$B$1002,"&lt;&gt;"&amp;""),"")</f>
        <v/>
      </c>
      <c r="N470" s="115" t="str">
        <f>IF(A470&lt;&gt;"",SUMIFS(deployment!$M$4:$M$1002, deployment!$D$4:$D$1002,"="&amp;A470, deployment!$D$4:$D$1002,"&lt;&gt;"&amp;"", deployment!$C$4:$C$1002, "&lt;&gt;* )")+SUMIFS(namespace!$J$4:$J$1002, namespace!$B$4:$B$1002,"="&amp;A470, namespace!$B$4:$B$1002,"&lt;&gt;"&amp;""),"")</f>
        <v/>
      </c>
      <c r="O470" s="116" t="str">
        <f t="shared" si="91"/>
        <v/>
      </c>
      <c r="P470" s="63"/>
      <c r="Q470" s="164" t="str">
        <f t="shared" si="86"/>
        <v/>
      </c>
      <c r="R470" s="60" t="str">
        <f t="shared" si="87"/>
        <v/>
      </c>
      <c r="S470" s="60" t="str">
        <f t="shared" si="88"/>
        <v/>
      </c>
      <c r="T470" s="61" t="str">
        <f t="shared" si="89"/>
        <v/>
      </c>
      <c r="U470" s="61" t="str">
        <f t="shared" si="90"/>
        <v/>
      </c>
      <c r="V470" s="183" t="str">
        <f t="shared" si="92"/>
        <v/>
      </c>
      <c r="W470" s="183" t="str">
        <f t="shared" si="93"/>
        <v/>
      </c>
      <c r="X470" s="61" t="str">
        <f t="shared" si="94"/>
        <v/>
      </c>
      <c r="Y470" s="61" t="str">
        <f t="shared" si="95"/>
        <v/>
      </c>
      <c r="Z470" s="118" t="str">
        <f t="shared" si="96"/>
        <v/>
      </c>
      <c r="AA470" s="62" t="str">
        <f t="shared" si="97"/>
        <v/>
      </c>
      <c r="AB470" s="119" t="str">
        <f>IF(A470&lt;&gt;"", IF(P470&lt;&gt;0,SUMIFS(node!$J$2:$J$1000, node!$C$2:$C$1000,"="&amp;A470)/P470,0), "")</f>
        <v/>
      </c>
      <c r="AC470" s="81" t="str">
        <f>IF(A470&lt;&gt;"", IF(P470&lt;&gt;0,SUMIFS(node!$K$2:$K$1000, node!$C$2:$C$1000,"="&amp;A470)/P470,0), "")</f>
        <v/>
      </c>
      <c r="AD470" s="82" t="str">
        <f>IF(A470&lt;&gt;"", SUMIFS(node!$L$2:$L$1000, node!$C$2:$C$1000,"="&amp;A470), "")</f>
        <v/>
      </c>
      <c r="AE470" s="87" t="str">
        <f>IF(A470&lt;&gt;"", SUMIFS(node!$M$2:$M$1000, node!$C$2:$C$1000,"="&amp;A470), "")</f>
        <v/>
      </c>
    </row>
    <row r="471" spans="1:31" ht="15.75" customHeight="1" x14ac:dyDescent="0.25">
      <c r="A471" s="71" t="str">
        <f>IF(ISNONTEXT(node_raw[[#This Row],[Column2]]), "", node_raw[[#This Row],[Column2]])</f>
        <v/>
      </c>
      <c r="B471" s="108" t="str">
        <f>IF(A471&lt;&gt;"", VLOOKUP(A471, node!$C$2:$D$1000, 2, FALSE), "")</f>
        <v/>
      </c>
      <c r="C471" s="109" t="str">
        <f>IF(A471&lt;&gt;"", VLOOKUP(A471, node!$C$2:$E$1000, 3, FALSE), "")</f>
        <v/>
      </c>
      <c r="D471" s="110" t="str">
        <f>IF(A471&lt;&gt;"",COUNTIFS(node!$C$2:$C$1000,"="&amp;A471, node!$C$2:$C$1000,"&lt;&gt;"&amp;""),"")</f>
        <v/>
      </c>
      <c r="E471" s="111" t="str">
        <f>IF(A471&lt;&gt;"",SUMIFS(node!$F$2:$F$500, node!$C$2:$C$500,"="&amp;A471, node!$C$2:$C$500,"&lt;&gt;"&amp;"")/(B471*D471),"")</f>
        <v/>
      </c>
      <c r="F471" s="112" t="str">
        <f>IF(A471&lt;&gt;"",SUMIFS(node!$H$2:$H$500, node!$C$2:$C$500,"="&amp;A471, node!$C$2:$C$500,"&lt;&gt;"&amp;"")/(C471*D471),"")</f>
        <v/>
      </c>
      <c r="G471" s="179" t="str">
        <f>IF(A471&lt;&gt;"",SUMIFS(deployment!$F$4:$F$502, deployment!$D$4:$D$502,"="&amp;A471, deployment!$D$4:$D$502,"&lt;&gt;"&amp;""),"")</f>
        <v/>
      </c>
      <c r="H471" s="181" t="str">
        <f>IF(A471&lt;&gt;"",SUMIFS(deployment!$G$4:$G$502, deployment!$D$4:$D$502,"="&amp;A471, deployment!$D$4:$D$502,"&lt;&gt;"&amp;""),"")</f>
        <v/>
      </c>
      <c r="I471" s="113" t="str">
        <f>IF(A471&lt;&gt;"",SUMIFS(deployment!$H$4:$H$502, deployment!$D$4:$D$502,"="&amp;A471, deployment!$D$4:$D$502,"&lt;&gt;"&amp;""),"")</f>
        <v/>
      </c>
      <c r="J471" s="114" t="str">
        <f>IF(A471&lt;&gt;"",SUMIFS(deployment!$I$4:$I$502, deployment!$D$4:$D$502,"="&amp;A471, deployment!$D$4:$D$502,"&lt;&gt;"&amp;""),"")</f>
        <v/>
      </c>
      <c r="K471" s="182" t="str">
        <f>IF(A471&lt;&gt;"",SUMIFS(deployment!$J$4:$J$1002, deployment!$D$4:$D$1002,"="&amp;A471, deployment!$D$4:$D$1002,"&lt;&gt;"&amp;"", deployment!$C$4:$C$1002, "&lt;&gt;* )")+SUMIFS(namespace!$G$4:$G$1002, namespace!$B$4:$B$1002,"="&amp;A471, namespace!$B$4:$B$1002,"&lt;&gt;"&amp;""),"")</f>
        <v/>
      </c>
      <c r="L471" s="182" t="str">
        <f>IF(A471&lt;&gt;"",SUMIFS(deployment!$K$4:$K$1002, deployment!$D$4:$D$1002,"="&amp;A471, deployment!$D$4:$D$1002,"&lt;&gt;"&amp;"", deployment!$C$4:$C$1002, "&lt;&gt;* )")+SUMIFS(namespace!$H$4:$H$1002, namespace!$B$4:$B$1002,"="&amp;A471, namespace!$B$4:$B$1002,"&lt;&gt;"&amp;""),"")</f>
        <v/>
      </c>
      <c r="M471" s="115" t="str">
        <f>IF(A471&lt;&gt;"",SUMIFS(deployment!$L$4:$L$1002, deployment!$D$4:$D$1002,"="&amp;A471, deployment!$D$4:$D$1002,"&lt;&gt;"&amp;"", deployment!$C$4:$C$1002, "&lt;&gt;* )")+SUMIFS(namespace!$I$4:$I$1002, namespace!$B$4:$B$1002,"="&amp;A471, namespace!$B$4:$B$1002,"&lt;&gt;"&amp;""),"")</f>
        <v/>
      </c>
      <c r="N471" s="115" t="str">
        <f>IF(A471&lt;&gt;"",SUMIFS(deployment!$M$4:$M$1002, deployment!$D$4:$D$1002,"="&amp;A471, deployment!$D$4:$D$1002,"&lt;&gt;"&amp;"", deployment!$C$4:$C$1002, "&lt;&gt;* )")+SUMIFS(namespace!$J$4:$J$1002, namespace!$B$4:$B$1002,"="&amp;A471, namespace!$B$4:$B$1002,"&lt;&gt;"&amp;""),"")</f>
        <v/>
      </c>
      <c r="O471" s="116" t="str">
        <f t="shared" si="91"/>
        <v/>
      </c>
      <c r="P471" s="63"/>
      <c r="Q471" s="164" t="str">
        <f t="shared" si="86"/>
        <v/>
      </c>
      <c r="R471" s="60" t="str">
        <f t="shared" si="87"/>
        <v/>
      </c>
      <c r="S471" s="60" t="str">
        <f t="shared" si="88"/>
        <v/>
      </c>
      <c r="T471" s="61" t="str">
        <f t="shared" si="89"/>
        <v/>
      </c>
      <c r="U471" s="61" t="str">
        <f t="shared" si="90"/>
        <v/>
      </c>
      <c r="V471" s="183" t="str">
        <f t="shared" si="92"/>
        <v/>
      </c>
      <c r="W471" s="183" t="str">
        <f t="shared" si="93"/>
        <v/>
      </c>
      <c r="X471" s="61" t="str">
        <f t="shared" si="94"/>
        <v/>
      </c>
      <c r="Y471" s="61" t="str">
        <f t="shared" si="95"/>
        <v/>
      </c>
      <c r="Z471" s="118" t="str">
        <f t="shared" si="96"/>
        <v/>
      </c>
      <c r="AA471" s="62" t="str">
        <f t="shared" si="97"/>
        <v/>
      </c>
      <c r="AB471" s="119" t="str">
        <f>IF(A471&lt;&gt;"", IF(P471&lt;&gt;0,SUMIFS(node!$J$2:$J$1000, node!$C$2:$C$1000,"="&amp;A471)/P471,0), "")</f>
        <v/>
      </c>
      <c r="AC471" s="81" t="str">
        <f>IF(A471&lt;&gt;"", IF(P471&lt;&gt;0,SUMIFS(node!$K$2:$K$1000, node!$C$2:$C$1000,"="&amp;A471)/P471,0), "")</f>
        <v/>
      </c>
      <c r="AD471" s="82" t="str">
        <f>IF(A471&lt;&gt;"", SUMIFS(node!$L$2:$L$1000, node!$C$2:$C$1000,"="&amp;A471), "")</f>
        <v/>
      </c>
      <c r="AE471" s="87" t="str">
        <f>IF(A471&lt;&gt;"", SUMIFS(node!$M$2:$M$1000, node!$C$2:$C$1000,"="&amp;A471), "")</f>
        <v/>
      </c>
    </row>
    <row r="472" spans="1:31" ht="15.75" customHeight="1" x14ac:dyDescent="0.25">
      <c r="A472" s="71" t="str">
        <f>IF(ISNONTEXT(node_raw[[#This Row],[Column2]]), "", node_raw[[#This Row],[Column2]])</f>
        <v/>
      </c>
      <c r="B472" s="108" t="str">
        <f>IF(A472&lt;&gt;"", VLOOKUP(A472, node!$C$2:$D$1000, 2, FALSE), "")</f>
        <v/>
      </c>
      <c r="C472" s="109" t="str">
        <f>IF(A472&lt;&gt;"", VLOOKUP(A472, node!$C$2:$E$1000, 3, FALSE), "")</f>
        <v/>
      </c>
      <c r="D472" s="110" t="str">
        <f>IF(A472&lt;&gt;"",COUNTIFS(node!$C$2:$C$1000,"="&amp;A472, node!$C$2:$C$1000,"&lt;&gt;"&amp;""),"")</f>
        <v/>
      </c>
      <c r="E472" s="111" t="str">
        <f>IF(A472&lt;&gt;"",SUMIFS(node!$F$2:$F$500, node!$C$2:$C$500,"="&amp;A472, node!$C$2:$C$500,"&lt;&gt;"&amp;"")/(B472*D472),"")</f>
        <v/>
      </c>
      <c r="F472" s="112" t="str">
        <f>IF(A472&lt;&gt;"",SUMIFS(node!$H$2:$H$500, node!$C$2:$C$500,"="&amp;A472, node!$C$2:$C$500,"&lt;&gt;"&amp;"")/(C472*D472),"")</f>
        <v/>
      </c>
      <c r="G472" s="179" t="str">
        <f>IF(A472&lt;&gt;"",SUMIFS(deployment!$F$4:$F$502, deployment!$D$4:$D$502,"="&amp;A472, deployment!$D$4:$D$502,"&lt;&gt;"&amp;""),"")</f>
        <v/>
      </c>
      <c r="H472" s="181" t="str">
        <f>IF(A472&lt;&gt;"",SUMIFS(deployment!$G$4:$G$502, deployment!$D$4:$D$502,"="&amp;A472, deployment!$D$4:$D$502,"&lt;&gt;"&amp;""),"")</f>
        <v/>
      </c>
      <c r="I472" s="113" t="str">
        <f>IF(A472&lt;&gt;"",SUMIFS(deployment!$H$4:$H$502, deployment!$D$4:$D$502,"="&amp;A472, deployment!$D$4:$D$502,"&lt;&gt;"&amp;""),"")</f>
        <v/>
      </c>
      <c r="J472" s="114" t="str">
        <f>IF(A472&lt;&gt;"",SUMIFS(deployment!$I$4:$I$502, deployment!$D$4:$D$502,"="&amp;A472, deployment!$D$4:$D$502,"&lt;&gt;"&amp;""),"")</f>
        <v/>
      </c>
      <c r="K472" s="182" t="str">
        <f>IF(A472&lt;&gt;"",SUMIFS(deployment!$J$4:$J$1002, deployment!$D$4:$D$1002,"="&amp;A472, deployment!$D$4:$D$1002,"&lt;&gt;"&amp;"", deployment!$C$4:$C$1002, "&lt;&gt;* )")+SUMIFS(namespace!$G$4:$G$1002, namespace!$B$4:$B$1002,"="&amp;A472, namespace!$B$4:$B$1002,"&lt;&gt;"&amp;""),"")</f>
        <v/>
      </c>
      <c r="L472" s="182" t="str">
        <f>IF(A472&lt;&gt;"",SUMIFS(deployment!$K$4:$K$1002, deployment!$D$4:$D$1002,"="&amp;A472, deployment!$D$4:$D$1002,"&lt;&gt;"&amp;"", deployment!$C$4:$C$1002, "&lt;&gt;* )")+SUMIFS(namespace!$H$4:$H$1002, namespace!$B$4:$B$1002,"="&amp;A472, namespace!$B$4:$B$1002,"&lt;&gt;"&amp;""),"")</f>
        <v/>
      </c>
      <c r="M472" s="115" t="str">
        <f>IF(A472&lt;&gt;"",SUMIFS(deployment!$L$4:$L$1002, deployment!$D$4:$D$1002,"="&amp;A472, deployment!$D$4:$D$1002,"&lt;&gt;"&amp;"", deployment!$C$4:$C$1002, "&lt;&gt;* )")+SUMIFS(namespace!$I$4:$I$1002, namespace!$B$4:$B$1002,"="&amp;A472, namespace!$B$4:$B$1002,"&lt;&gt;"&amp;""),"")</f>
        <v/>
      </c>
      <c r="N472" s="115" t="str">
        <f>IF(A472&lt;&gt;"",SUMIFS(deployment!$M$4:$M$1002, deployment!$D$4:$D$1002,"="&amp;A472, deployment!$D$4:$D$1002,"&lt;&gt;"&amp;"", deployment!$C$4:$C$1002, "&lt;&gt;* )")+SUMIFS(namespace!$J$4:$J$1002, namespace!$B$4:$B$1002,"="&amp;A472, namespace!$B$4:$B$1002,"&lt;&gt;"&amp;""),"")</f>
        <v/>
      </c>
      <c r="O472" s="116" t="str">
        <f t="shared" si="91"/>
        <v/>
      </c>
      <c r="P472" s="63"/>
      <c r="Q472" s="164" t="str">
        <f t="shared" si="86"/>
        <v/>
      </c>
      <c r="R472" s="60" t="str">
        <f t="shared" si="87"/>
        <v/>
      </c>
      <c r="S472" s="60" t="str">
        <f t="shared" si="88"/>
        <v/>
      </c>
      <c r="T472" s="61" t="str">
        <f t="shared" si="89"/>
        <v/>
      </c>
      <c r="U472" s="61" t="str">
        <f t="shared" si="90"/>
        <v/>
      </c>
      <c r="V472" s="183" t="str">
        <f t="shared" si="92"/>
        <v/>
      </c>
      <c r="W472" s="183" t="str">
        <f t="shared" si="93"/>
        <v/>
      </c>
      <c r="X472" s="61" t="str">
        <f t="shared" si="94"/>
        <v/>
      </c>
      <c r="Y472" s="61" t="str">
        <f t="shared" si="95"/>
        <v/>
      </c>
      <c r="Z472" s="118" t="str">
        <f t="shared" si="96"/>
        <v/>
      </c>
      <c r="AA472" s="62" t="str">
        <f t="shared" si="97"/>
        <v/>
      </c>
      <c r="AB472" s="119" t="str">
        <f>IF(A472&lt;&gt;"", IF(P472&lt;&gt;0,SUMIFS(node!$J$2:$J$1000, node!$C$2:$C$1000,"="&amp;A472)/P472,0), "")</f>
        <v/>
      </c>
      <c r="AC472" s="81" t="str">
        <f>IF(A472&lt;&gt;"", IF(P472&lt;&gt;0,SUMIFS(node!$K$2:$K$1000, node!$C$2:$C$1000,"="&amp;A472)/P472,0), "")</f>
        <v/>
      </c>
      <c r="AD472" s="82" t="str">
        <f>IF(A472&lt;&gt;"", SUMIFS(node!$L$2:$L$1000, node!$C$2:$C$1000,"="&amp;A472), "")</f>
        <v/>
      </c>
      <c r="AE472" s="87" t="str">
        <f>IF(A472&lt;&gt;"", SUMIFS(node!$M$2:$M$1000, node!$C$2:$C$1000,"="&amp;A472), "")</f>
        <v/>
      </c>
    </row>
    <row r="473" spans="1:31" ht="15.75" customHeight="1" x14ac:dyDescent="0.25">
      <c r="A473" s="71" t="str">
        <f>IF(ISNONTEXT(node_raw[[#This Row],[Column2]]), "", node_raw[[#This Row],[Column2]])</f>
        <v/>
      </c>
      <c r="B473" s="108" t="str">
        <f>IF(A473&lt;&gt;"", VLOOKUP(A473, node!$C$2:$D$1000, 2, FALSE), "")</f>
        <v/>
      </c>
      <c r="C473" s="109" t="str">
        <f>IF(A473&lt;&gt;"", VLOOKUP(A473, node!$C$2:$E$1000, 3, FALSE), "")</f>
        <v/>
      </c>
      <c r="D473" s="110" t="str">
        <f>IF(A473&lt;&gt;"",COUNTIFS(node!$C$2:$C$1000,"="&amp;A473, node!$C$2:$C$1000,"&lt;&gt;"&amp;""),"")</f>
        <v/>
      </c>
      <c r="E473" s="111" t="str">
        <f>IF(A473&lt;&gt;"",SUMIFS(node!$F$2:$F$500, node!$C$2:$C$500,"="&amp;A473, node!$C$2:$C$500,"&lt;&gt;"&amp;"")/(B473*D473),"")</f>
        <v/>
      </c>
      <c r="F473" s="112" t="str">
        <f>IF(A473&lt;&gt;"",SUMIFS(node!$H$2:$H$500, node!$C$2:$C$500,"="&amp;A473, node!$C$2:$C$500,"&lt;&gt;"&amp;"")/(C473*D473),"")</f>
        <v/>
      </c>
      <c r="G473" s="179" t="str">
        <f>IF(A473&lt;&gt;"",SUMIFS(deployment!$F$4:$F$502, deployment!$D$4:$D$502,"="&amp;A473, deployment!$D$4:$D$502,"&lt;&gt;"&amp;""),"")</f>
        <v/>
      </c>
      <c r="H473" s="181" t="str">
        <f>IF(A473&lt;&gt;"",SUMIFS(deployment!$G$4:$G$502, deployment!$D$4:$D$502,"="&amp;A473, deployment!$D$4:$D$502,"&lt;&gt;"&amp;""),"")</f>
        <v/>
      </c>
      <c r="I473" s="113" t="str">
        <f>IF(A473&lt;&gt;"",SUMIFS(deployment!$H$4:$H$502, deployment!$D$4:$D$502,"="&amp;A473, deployment!$D$4:$D$502,"&lt;&gt;"&amp;""),"")</f>
        <v/>
      </c>
      <c r="J473" s="114" t="str">
        <f>IF(A473&lt;&gt;"",SUMIFS(deployment!$I$4:$I$502, deployment!$D$4:$D$502,"="&amp;A473, deployment!$D$4:$D$502,"&lt;&gt;"&amp;""),"")</f>
        <v/>
      </c>
      <c r="K473" s="182" t="str">
        <f>IF(A473&lt;&gt;"",SUMIFS(deployment!$J$4:$J$1002, deployment!$D$4:$D$1002,"="&amp;A473, deployment!$D$4:$D$1002,"&lt;&gt;"&amp;"", deployment!$C$4:$C$1002, "&lt;&gt;* )")+SUMIFS(namespace!$G$4:$G$1002, namespace!$B$4:$B$1002,"="&amp;A473, namespace!$B$4:$B$1002,"&lt;&gt;"&amp;""),"")</f>
        <v/>
      </c>
      <c r="L473" s="182" t="str">
        <f>IF(A473&lt;&gt;"",SUMIFS(deployment!$K$4:$K$1002, deployment!$D$4:$D$1002,"="&amp;A473, deployment!$D$4:$D$1002,"&lt;&gt;"&amp;"", deployment!$C$4:$C$1002, "&lt;&gt;* )")+SUMIFS(namespace!$H$4:$H$1002, namespace!$B$4:$B$1002,"="&amp;A473, namespace!$B$4:$B$1002,"&lt;&gt;"&amp;""),"")</f>
        <v/>
      </c>
      <c r="M473" s="115" t="str">
        <f>IF(A473&lt;&gt;"",SUMIFS(deployment!$L$4:$L$1002, deployment!$D$4:$D$1002,"="&amp;A473, deployment!$D$4:$D$1002,"&lt;&gt;"&amp;"", deployment!$C$4:$C$1002, "&lt;&gt;* )")+SUMIFS(namespace!$I$4:$I$1002, namespace!$B$4:$B$1002,"="&amp;A473, namespace!$B$4:$B$1002,"&lt;&gt;"&amp;""),"")</f>
        <v/>
      </c>
      <c r="N473" s="115" t="str">
        <f>IF(A473&lt;&gt;"",SUMIFS(deployment!$M$4:$M$1002, deployment!$D$4:$D$1002,"="&amp;A473, deployment!$D$4:$D$1002,"&lt;&gt;"&amp;"", deployment!$C$4:$C$1002, "&lt;&gt;* )")+SUMIFS(namespace!$J$4:$J$1002, namespace!$B$4:$B$1002,"="&amp;A473, namespace!$B$4:$B$1002,"&lt;&gt;"&amp;""),"")</f>
        <v/>
      </c>
      <c r="O473" s="116" t="str">
        <f t="shared" si="91"/>
        <v/>
      </c>
      <c r="P473" s="63"/>
      <c r="Q473" s="164" t="str">
        <f t="shared" si="86"/>
        <v/>
      </c>
      <c r="R473" s="60" t="str">
        <f t="shared" si="87"/>
        <v/>
      </c>
      <c r="S473" s="60" t="str">
        <f t="shared" si="88"/>
        <v/>
      </c>
      <c r="T473" s="61" t="str">
        <f t="shared" si="89"/>
        <v/>
      </c>
      <c r="U473" s="61" t="str">
        <f t="shared" si="90"/>
        <v/>
      </c>
      <c r="V473" s="183" t="str">
        <f t="shared" si="92"/>
        <v/>
      </c>
      <c r="W473" s="183" t="str">
        <f t="shared" si="93"/>
        <v/>
      </c>
      <c r="X473" s="61" t="str">
        <f t="shared" si="94"/>
        <v/>
      </c>
      <c r="Y473" s="61" t="str">
        <f t="shared" si="95"/>
        <v/>
      </c>
      <c r="Z473" s="118" t="str">
        <f t="shared" si="96"/>
        <v/>
      </c>
      <c r="AA473" s="62" t="str">
        <f t="shared" si="97"/>
        <v/>
      </c>
      <c r="AB473" s="119" t="str">
        <f>IF(A473&lt;&gt;"", IF(P473&lt;&gt;0,SUMIFS(node!$J$2:$J$1000, node!$C$2:$C$1000,"="&amp;A473)/P473,0), "")</f>
        <v/>
      </c>
      <c r="AC473" s="81" t="str">
        <f>IF(A473&lt;&gt;"", IF(P473&lt;&gt;0,SUMIFS(node!$K$2:$K$1000, node!$C$2:$C$1000,"="&amp;A473)/P473,0), "")</f>
        <v/>
      </c>
      <c r="AD473" s="82" t="str">
        <f>IF(A473&lt;&gt;"", SUMIFS(node!$L$2:$L$1000, node!$C$2:$C$1000,"="&amp;A473), "")</f>
        <v/>
      </c>
      <c r="AE473" s="87" t="str">
        <f>IF(A473&lt;&gt;"", SUMIFS(node!$M$2:$M$1000, node!$C$2:$C$1000,"="&amp;A473), "")</f>
        <v/>
      </c>
    </row>
    <row r="474" spans="1:31" ht="15.75" customHeight="1" x14ac:dyDescent="0.25">
      <c r="A474" s="71" t="str">
        <f>IF(ISNONTEXT(node_raw[[#This Row],[Column2]]), "", node_raw[[#This Row],[Column2]])</f>
        <v/>
      </c>
      <c r="B474" s="108" t="str">
        <f>IF(A474&lt;&gt;"", VLOOKUP(A474, node!$C$2:$D$1000, 2, FALSE), "")</f>
        <v/>
      </c>
      <c r="C474" s="109" t="str">
        <f>IF(A474&lt;&gt;"", VLOOKUP(A474, node!$C$2:$E$1000, 3, FALSE), "")</f>
        <v/>
      </c>
      <c r="D474" s="110" t="str">
        <f>IF(A474&lt;&gt;"",COUNTIFS(node!$C$2:$C$1000,"="&amp;A474, node!$C$2:$C$1000,"&lt;&gt;"&amp;""),"")</f>
        <v/>
      </c>
      <c r="E474" s="111" t="str">
        <f>IF(A474&lt;&gt;"",SUMIFS(node!$F$2:$F$500, node!$C$2:$C$500,"="&amp;A474, node!$C$2:$C$500,"&lt;&gt;"&amp;"")/(B474*D474),"")</f>
        <v/>
      </c>
      <c r="F474" s="112" t="str">
        <f>IF(A474&lt;&gt;"",SUMIFS(node!$H$2:$H$500, node!$C$2:$C$500,"="&amp;A474, node!$C$2:$C$500,"&lt;&gt;"&amp;"")/(C474*D474),"")</f>
        <v/>
      </c>
      <c r="G474" s="179" t="str">
        <f>IF(A474&lt;&gt;"",SUMIFS(deployment!$F$4:$F$502, deployment!$D$4:$D$502,"="&amp;A474, deployment!$D$4:$D$502,"&lt;&gt;"&amp;""),"")</f>
        <v/>
      </c>
      <c r="H474" s="181" t="str">
        <f>IF(A474&lt;&gt;"",SUMIFS(deployment!$G$4:$G$502, deployment!$D$4:$D$502,"="&amp;A474, deployment!$D$4:$D$502,"&lt;&gt;"&amp;""),"")</f>
        <v/>
      </c>
      <c r="I474" s="113" t="str">
        <f>IF(A474&lt;&gt;"",SUMIFS(deployment!$H$4:$H$502, deployment!$D$4:$D$502,"="&amp;A474, deployment!$D$4:$D$502,"&lt;&gt;"&amp;""),"")</f>
        <v/>
      </c>
      <c r="J474" s="114" t="str">
        <f>IF(A474&lt;&gt;"",SUMIFS(deployment!$I$4:$I$502, deployment!$D$4:$D$502,"="&amp;A474, deployment!$D$4:$D$502,"&lt;&gt;"&amp;""),"")</f>
        <v/>
      </c>
      <c r="K474" s="182" t="str">
        <f>IF(A474&lt;&gt;"",SUMIFS(deployment!$J$4:$J$1002, deployment!$D$4:$D$1002,"="&amp;A474, deployment!$D$4:$D$1002,"&lt;&gt;"&amp;"", deployment!$C$4:$C$1002, "&lt;&gt;* )")+SUMIFS(namespace!$G$4:$G$1002, namespace!$B$4:$B$1002,"="&amp;A474, namespace!$B$4:$B$1002,"&lt;&gt;"&amp;""),"")</f>
        <v/>
      </c>
      <c r="L474" s="182" t="str">
        <f>IF(A474&lt;&gt;"",SUMIFS(deployment!$K$4:$K$1002, deployment!$D$4:$D$1002,"="&amp;A474, deployment!$D$4:$D$1002,"&lt;&gt;"&amp;"", deployment!$C$4:$C$1002, "&lt;&gt;* )")+SUMIFS(namespace!$H$4:$H$1002, namespace!$B$4:$B$1002,"="&amp;A474, namespace!$B$4:$B$1002,"&lt;&gt;"&amp;""),"")</f>
        <v/>
      </c>
      <c r="M474" s="115" t="str">
        <f>IF(A474&lt;&gt;"",SUMIFS(deployment!$L$4:$L$1002, deployment!$D$4:$D$1002,"="&amp;A474, deployment!$D$4:$D$1002,"&lt;&gt;"&amp;"", deployment!$C$4:$C$1002, "&lt;&gt;* )")+SUMIFS(namespace!$I$4:$I$1002, namespace!$B$4:$B$1002,"="&amp;A474, namespace!$B$4:$B$1002,"&lt;&gt;"&amp;""),"")</f>
        <v/>
      </c>
      <c r="N474" s="115" t="str">
        <f>IF(A474&lt;&gt;"",SUMIFS(deployment!$M$4:$M$1002, deployment!$D$4:$D$1002,"="&amp;A474, deployment!$D$4:$D$1002,"&lt;&gt;"&amp;"", deployment!$C$4:$C$1002, "&lt;&gt;* )")+SUMIFS(namespace!$J$4:$J$1002, namespace!$B$4:$B$1002,"="&amp;A474, namespace!$B$4:$B$1002,"&lt;&gt;"&amp;""),"")</f>
        <v/>
      </c>
      <c r="O474" s="116" t="str">
        <f t="shared" si="91"/>
        <v/>
      </c>
      <c r="P474" s="63"/>
      <c r="Q474" s="164" t="str">
        <f t="shared" si="86"/>
        <v/>
      </c>
      <c r="R474" s="60" t="str">
        <f t="shared" si="87"/>
        <v/>
      </c>
      <c r="S474" s="60" t="str">
        <f t="shared" si="88"/>
        <v/>
      </c>
      <c r="T474" s="61" t="str">
        <f t="shared" si="89"/>
        <v/>
      </c>
      <c r="U474" s="61" t="str">
        <f t="shared" si="90"/>
        <v/>
      </c>
      <c r="V474" s="183" t="str">
        <f t="shared" si="92"/>
        <v/>
      </c>
      <c r="W474" s="183" t="str">
        <f t="shared" si="93"/>
        <v/>
      </c>
      <c r="X474" s="61" t="str">
        <f t="shared" si="94"/>
        <v/>
      </c>
      <c r="Y474" s="61" t="str">
        <f t="shared" si="95"/>
        <v/>
      </c>
      <c r="Z474" s="118" t="str">
        <f t="shared" si="96"/>
        <v/>
      </c>
      <c r="AA474" s="62" t="str">
        <f t="shared" si="97"/>
        <v/>
      </c>
      <c r="AB474" s="119" t="str">
        <f>IF(A474&lt;&gt;"", IF(P474&lt;&gt;0,SUMIFS(node!$J$2:$J$1000, node!$C$2:$C$1000,"="&amp;A474)/P474,0), "")</f>
        <v/>
      </c>
      <c r="AC474" s="81" t="str">
        <f>IF(A474&lt;&gt;"", IF(P474&lt;&gt;0,SUMIFS(node!$K$2:$K$1000, node!$C$2:$C$1000,"="&amp;A474)/P474,0), "")</f>
        <v/>
      </c>
      <c r="AD474" s="82" t="str">
        <f>IF(A474&lt;&gt;"", SUMIFS(node!$L$2:$L$1000, node!$C$2:$C$1000,"="&amp;A474), "")</f>
        <v/>
      </c>
      <c r="AE474" s="87" t="str">
        <f>IF(A474&lt;&gt;"", SUMIFS(node!$M$2:$M$1000, node!$C$2:$C$1000,"="&amp;A474), "")</f>
        <v/>
      </c>
    </row>
    <row r="475" spans="1:31" ht="15.75" customHeight="1" x14ac:dyDescent="0.25">
      <c r="A475" s="71" t="str">
        <f>IF(ISNONTEXT(node_raw[[#This Row],[Column2]]), "", node_raw[[#This Row],[Column2]])</f>
        <v/>
      </c>
      <c r="B475" s="108" t="str">
        <f>IF(A475&lt;&gt;"", VLOOKUP(A475, node!$C$2:$D$1000, 2, FALSE), "")</f>
        <v/>
      </c>
      <c r="C475" s="109" t="str">
        <f>IF(A475&lt;&gt;"", VLOOKUP(A475, node!$C$2:$E$1000, 3, FALSE), "")</f>
        <v/>
      </c>
      <c r="D475" s="110" t="str">
        <f>IF(A475&lt;&gt;"",COUNTIFS(node!$C$2:$C$1000,"="&amp;A475, node!$C$2:$C$1000,"&lt;&gt;"&amp;""),"")</f>
        <v/>
      </c>
      <c r="E475" s="111" t="str">
        <f>IF(A475&lt;&gt;"",SUMIFS(node!$F$2:$F$500, node!$C$2:$C$500,"="&amp;A475, node!$C$2:$C$500,"&lt;&gt;"&amp;"")/(B475*D475),"")</f>
        <v/>
      </c>
      <c r="F475" s="112" t="str">
        <f>IF(A475&lt;&gt;"",SUMIFS(node!$H$2:$H$500, node!$C$2:$C$500,"="&amp;A475, node!$C$2:$C$500,"&lt;&gt;"&amp;"")/(C475*D475),"")</f>
        <v/>
      </c>
      <c r="G475" s="179" t="str">
        <f>IF(A475&lt;&gt;"",SUMIFS(deployment!$F$4:$F$502, deployment!$D$4:$D$502,"="&amp;A475, deployment!$D$4:$D$502,"&lt;&gt;"&amp;""),"")</f>
        <v/>
      </c>
      <c r="H475" s="181" t="str">
        <f>IF(A475&lt;&gt;"",SUMIFS(deployment!$G$4:$G$502, deployment!$D$4:$D$502,"="&amp;A475, deployment!$D$4:$D$502,"&lt;&gt;"&amp;""),"")</f>
        <v/>
      </c>
      <c r="I475" s="113" t="str">
        <f>IF(A475&lt;&gt;"",SUMIFS(deployment!$H$4:$H$502, deployment!$D$4:$D$502,"="&amp;A475, deployment!$D$4:$D$502,"&lt;&gt;"&amp;""),"")</f>
        <v/>
      </c>
      <c r="J475" s="114" t="str">
        <f>IF(A475&lt;&gt;"",SUMIFS(deployment!$I$4:$I$502, deployment!$D$4:$D$502,"="&amp;A475, deployment!$D$4:$D$502,"&lt;&gt;"&amp;""),"")</f>
        <v/>
      </c>
      <c r="K475" s="182" t="str">
        <f>IF(A475&lt;&gt;"",SUMIFS(deployment!$J$4:$J$1002, deployment!$D$4:$D$1002,"="&amp;A475, deployment!$D$4:$D$1002,"&lt;&gt;"&amp;"", deployment!$C$4:$C$1002, "&lt;&gt;* )")+SUMIFS(namespace!$G$4:$G$1002, namespace!$B$4:$B$1002,"="&amp;A475, namespace!$B$4:$B$1002,"&lt;&gt;"&amp;""),"")</f>
        <v/>
      </c>
      <c r="L475" s="182" t="str">
        <f>IF(A475&lt;&gt;"",SUMIFS(deployment!$K$4:$K$1002, deployment!$D$4:$D$1002,"="&amp;A475, deployment!$D$4:$D$1002,"&lt;&gt;"&amp;"", deployment!$C$4:$C$1002, "&lt;&gt;* )")+SUMIFS(namespace!$H$4:$H$1002, namespace!$B$4:$B$1002,"="&amp;A475, namespace!$B$4:$B$1002,"&lt;&gt;"&amp;""),"")</f>
        <v/>
      </c>
      <c r="M475" s="115" t="str">
        <f>IF(A475&lt;&gt;"",SUMIFS(deployment!$L$4:$L$1002, deployment!$D$4:$D$1002,"="&amp;A475, deployment!$D$4:$D$1002,"&lt;&gt;"&amp;"", deployment!$C$4:$C$1002, "&lt;&gt;* )")+SUMIFS(namespace!$I$4:$I$1002, namespace!$B$4:$B$1002,"="&amp;A475, namespace!$B$4:$B$1002,"&lt;&gt;"&amp;""),"")</f>
        <v/>
      </c>
      <c r="N475" s="115" t="str">
        <f>IF(A475&lt;&gt;"",SUMIFS(deployment!$M$4:$M$1002, deployment!$D$4:$D$1002,"="&amp;A475, deployment!$D$4:$D$1002,"&lt;&gt;"&amp;"", deployment!$C$4:$C$1002, "&lt;&gt;* )")+SUMIFS(namespace!$J$4:$J$1002, namespace!$B$4:$B$1002,"="&amp;A475, namespace!$B$4:$B$1002,"&lt;&gt;"&amp;""),"")</f>
        <v/>
      </c>
      <c r="O475" s="116" t="str">
        <f t="shared" si="91"/>
        <v/>
      </c>
      <c r="P475" s="63"/>
      <c r="Q475" s="164" t="str">
        <f t="shared" si="86"/>
        <v/>
      </c>
      <c r="R475" s="60" t="str">
        <f t="shared" si="87"/>
        <v/>
      </c>
      <c r="S475" s="60" t="str">
        <f t="shared" si="88"/>
        <v/>
      </c>
      <c r="T475" s="61" t="str">
        <f t="shared" si="89"/>
        <v/>
      </c>
      <c r="U475" s="61" t="str">
        <f t="shared" si="90"/>
        <v/>
      </c>
      <c r="V475" s="183" t="str">
        <f t="shared" si="92"/>
        <v/>
      </c>
      <c r="W475" s="183" t="str">
        <f t="shared" si="93"/>
        <v/>
      </c>
      <c r="X475" s="61" t="str">
        <f t="shared" si="94"/>
        <v/>
      </c>
      <c r="Y475" s="61" t="str">
        <f t="shared" si="95"/>
        <v/>
      </c>
      <c r="Z475" s="118" t="str">
        <f t="shared" si="96"/>
        <v/>
      </c>
      <c r="AA475" s="62" t="str">
        <f t="shared" si="97"/>
        <v/>
      </c>
      <c r="AB475" s="119" t="str">
        <f>IF(A475&lt;&gt;"", IF(P475&lt;&gt;0,SUMIFS(node!$J$2:$J$1000, node!$C$2:$C$1000,"="&amp;A475)/P475,0), "")</f>
        <v/>
      </c>
      <c r="AC475" s="81" t="str">
        <f>IF(A475&lt;&gt;"", IF(P475&lt;&gt;0,SUMIFS(node!$K$2:$K$1000, node!$C$2:$C$1000,"="&amp;A475)/P475,0), "")</f>
        <v/>
      </c>
      <c r="AD475" s="82" t="str">
        <f>IF(A475&lt;&gt;"", SUMIFS(node!$L$2:$L$1000, node!$C$2:$C$1000,"="&amp;A475), "")</f>
        <v/>
      </c>
      <c r="AE475" s="87" t="str">
        <f>IF(A475&lt;&gt;"", SUMIFS(node!$M$2:$M$1000, node!$C$2:$C$1000,"="&amp;A475), "")</f>
        <v/>
      </c>
    </row>
    <row r="476" spans="1:31" ht="15.75" customHeight="1" x14ac:dyDescent="0.25">
      <c r="A476" s="71" t="str">
        <f>IF(ISNONTEXT(node_raw[[#This Row],[Column2]]), "", node_raw[[#This Row],[Column2]])</f>
        <v/>
      </c>
      <c r="B476" s="108" t="str">
        <f>IF(A476&lt;&gt;"", VLOOKUP(A476, node!$C$2:$D$1000, 2, FALSE), "")</f>
        <v/>
      </c>
      <c r="C476" s="109" t="str">
        <f>IF(A476&lt;&gt;"", VLOOKUP(A476, node!$C$2:$E$1000, 3, FALSE), "")</f>
        <v/>
      </c>
      <c r="D476" s="110" t="str">
        <f>IF(A476&lt;&gt;"",COUNTIFS(node!$C$2:$C$1000,"="&amp;A476, node!$C$2:$C$1000,"&lt;&gt;"&amp;""),"")</f>
        <v/>
      </c>
      <c r="E476" s="111" t="str">
        <f>IF(A476&lt;&gt;"",SUMIFS(node!$F$2:$F$500, node!$C$2:$C$500,"="&amp;A476, node!$C$2:$C$500,"&lt;&gt;"&amp;"")/(B476*D476),"")</f>
        <v/>
      </c>
      <c r="F476" s="112" t="str">
        <f>IF(A476&lt;&gt;"",SUMIFS(node!$H$2:$H$500, node!$C$2:$C$500,"="&amp;A476, node!$C$2:$C$500,"&lt;&gt;"&amp;"")/(C476*D476),"")</f>
        <v/>
      </c>
      <c r="G476" s="179" t="str">
        <f>IF(A476&lt;&gt;"",SUMIFS(deployment!$F$4:$F$502, deployment!$D$4:$D$502,"="&amp;A476, deployment!$D$4:$D$502,"&lt;&gt;"&amp;""),"")</f>
        <v/>
      </c>
      <c r="H476" s="181" t="str">
        <f>IF(A476&lt;&gt;"",SUMIFS(deployment!$G$4:$G$502, deployment!$D$4:$D$502,"="&amp;A476, deployment!$D$4:$D$502,"&lt;&gt;"&amp;""),"")</f>
        <v/>
      </c>
      <c r="I476" s="113" t="str">
        <f>IF(A476&lt;&gt;"",SUMIFS(deployment!$H$4:$H$502, deployment!$D$4:$D$502,"="&amp;A476, deployment!$D$4:$D$502,"&lt;&gt;"&amp;""),"")</f>
        <v/>
      </c>
      <c r="J476" s="114" t="str">
        <f>IF(A476&lt;&gt;"",SUMIFS(deployment!$I$4:$I$502, deployment!$D$4:$D$502,"="&amp;A476, deployment!$D$4:$D$502,"&lt;&gt;"&amp;""),"")</f>
        <v/>
      </c>
      <c r="K476" s="182" t="str">
        <f>IF(A476&lt;&gt;"",SUMIFS(deployment!$J$4:$J$1002, deployment!$D$4:$D$1002,"="&amp;A476, deployment!$D$4:$D$1002,"&lt;&gt;"&amp;"", deployment!$C$4:$C$1002, "&lt;&gt;* )")+SUMIFS(namespace!$G$4:$G$1002, namespace!$B$4:$B$1002,"="&amp;A476, namespace!$B$4:$B$1002,"&lt;&gt;"&amp;""),"")</f>
        <v/>
      </c>
      <c r="L476" s="182" t="str">
        <f>IF(A476&lt;&gt;"",SUMIFS(deployment!$K$4:$K$1002, deployment!$D$4:$D$1002,"="&amp;A476, deployment!$D$4:$D$1002,"&lt;&gt;"&amp;"", deployment!$C$4:$C$1002, "&lt;&gt;* )")+SUMIFS(namespace!$H$4:$H$1002, namespace!$B$4:$B$1002,"="&amp;A476, namespace!$B$4:$B$1002,"&lt;&gt;"&amp;""),"")</f>
        <v/>
      </c>
      <c r="M476" s="115" t="str">
        <f>IF(A476&lt;&gt;"",SUMIFS(deployment!$L$4:$L$1002, deployment!$D$4:$D$1002,"="&amp;A476, deployment!$D$4:$D$1002,"&lt;&gt;"&amp;"", deployment!$C$4:$C$1002, "&lt;&gt;* )")+SUMIFS(namespace!$I$4:$I$1002, namespace!$B$4:$B$1002,"="&amp;A476, namespace!$B$4:$B$1002,"&lt;&gt;"&amp;""),"")</f>
        <v/>
      </c>
      <c r="N476" s="115" t="str">
        <f>IF(A476&lt;&gt;"",SUMIFS(deployment!$M$4:$M$1002, deployment!$D$4:$D$1002,"="&amp;A476, deployment!$D$4:$D$1002,"&lt;&gt;"&amp;"", deployment!$C$4:$C$1002, "&lt;&gt;* )")+SUMIFS(namespace!$J$4:$J$1002, namespace!$B$4:$B$1002,"="&amp;A476, namespace!$B$4:$B$1002,"&lt;&gt;"&amp;""),"")</f>
        <v/>
      </c>
      <c r="O476" s="116" t="str">
        <f t="shared" si="91"/>
        <v/>
      </c>
      <c r="P476" s="63"/>
      <c r="Q476" s="164" t="str">
        <f t="shared" si="86"/>
        <v/>
      </c>
      <c r="R476" s="60" t="str">
        <f t="shared" si="87"/>
        <v/>
      </c>
      <c r="S476" s="60" t="str">
        <f t="shared" si="88"/>
        <v/>
      </c>
      <c r="T476" s="61" t="str">
        <f t="shared" si="89"/>
        <v/>
      </c>
      <c r="U476" s="61" t="str">
        <f t="shared" si="90"/>
        <v/>
      </c>
      <c r="V476" s="183" t="str">
        <f t="shared" si="92"/>
        <v/>
      </c>
      <c r="W476" s="183" t="str">
        <f t="shared" si="93"/>
        <v/>
      </c>
      <c r="X476" s="61" t="str">
        <f t="shared" si="94"/>
        <v/>
      </c>
      <c r="Y476" s="61" t="str">
        <f t="shared" si="95"/>
        <v/>
      </c>
      <c r="Z476" s="118" t="str">
        <f t="shared" si="96"/>
        <v/>
      </c>
      <c r="AA476" s="62" t="str">
        <f t="shared" si="97"/>
        <v/>
      </c>
      <c r="AB476" s="119" t="str">
        <f>IF(A476&lt;&gt;"", IF(P476&lt;&gt;0,SUMIFS(node!$J$2:$J$1000, node!$C$2:$C$1000,"="&amp;A476)/P476,0), "")</f>
        <v/>
      </c>
      <c r="AC476" s="81" t="str">
        <f>IF(A476&lt;&gt;"", IF(P476&lt;&gt;0,SUMIFS(node!$K$2:$K$1000, node!$C$2:$C$1000,"="&amp;A476)/P476,0), "")</f>
        <v/>
      </c>
      <c r="AD476" s="82" t="str">
        <f>IF(A476&lt;&gt;"", SUMIFS(node!$L$2:$L$1000, node!$C$2:$C$1000,"="&amp;A476), "")</f>
        <v/>
      </c>
      <c r="AE476" s="87" t="str">
        <f>IF(A476&lt;&gt;"", SUMIFS(node!$M$2:$M$1000, node!$C$2:$C$1000,"="&amp;A476), "")</f>
        <v/>
      </c>
    </row>
    <row r="477" spans="1:31" ht="15.75" customHeight="1" x14ac:dyDescent="0.25">
      <c r="A477" s="71" t="str">
        <f>IF(ISNONTEXT(node_raw[[#This Row],[Column2]]), "", node_raw[[#This Row],[Column2]])</f>
        <v/>
      </c>
      <c r="B477" s="108" t="str">
        <f>IF(A477&lt;&gt;"", VLOOKUP(A477, node!$C$2:$D$1000, 2, FALSE), "")</f>
        <v/>
      </c>
      <c r="C477" s="109" t="str">
        <f>IF(A477&lt;&gt;"", VLOOKUP(A477, node!$C$2:$E$1000, 3, FALSE), "")</f>
        <v/>
      </c>
      <c r="D477" s="110" t="str">
        <f>IF(A477&lt;&gt;"",COUNTIFS(node!$C$2:$C$1000,"="&amp;A477, node!$C$2:$C$1000,"&lt;&gt;"&amp;""),"")</f>
        <v/>
      </c>
      <c r="E477" s="111" t="str">
        <f>IF(A477&lt;&gt;"",SUMIFS(node!$F$2:$F$500, node!$C$2:$C$500,"="&amp;A477, node!$C$2:$C$500,"&lt;&gt;"&amp;"")/(B477*D477),"")</f>
        <v/>
      </c>
      <c r="F477" s="112" t="str">
        <f>IF(A477&lt;&gt;"",SUMIFS(node!$H$2:$H$500, node!$C$2:$C$500,"="&amp;A477, node!$C$2:$C$500,"&lt;&gt;"&amp;"")/(C477*D477),"")</f>
        <v/>
      </c>
      <c r="G477" s="179" t="str">
        <f>IF(A477&lt;&gt;"",SUMIFS(deployment!$F$4:$F$502, deployment!$D$4:$D$502,"="&amp;A477, deployment!$D$4:$D$502,"&lt;&gt;"&amp;""),"")</f>
        <v/>
      </c>
      <c r="H477" s="181" t="str">
        <f>IF(A477&lt;&gt;"",SUMIFS(deployment!$G$4:$G$502, deployment!$D$4:$D$502,"="&amp;A477, deployment!$D$4:$D$502,"&lt;&gt;"&amp;""),"")</f>
        <v/>
      </c>
      <c r="I477" s="113" t="str">
        <f>IF(A477&lt;&gt;"",SUMIFS(deployment!$H$4:$H$502, deployment!$D$4:$D$502,"="&amp;A477, deployment!$D$4:$D$502,"&lt;&gt;"&amp;""),"")</f>
        <v/>
      </c>
      <c r="J477" s="114" t="str">
        <f>IF(A477&lt;&gt;"",SUMIFS(deployment!$I$4:$I$502, deployment!$D$4:$D$502,"="&amp;A477, deployment!$D$4:$D$502,"&lt;&gt;"&amp;""),"")</f>
        <v/>
      </c>
      <c r="K477" s="182" t="str">
        <f>IF(A477&lt;&gt;"",SUMIFS(deployment!$J$4:$J$1002, deployment!$D$4:$D$1002,"="&amp;A477, deployment!$D$4:$D$1002,"&lt;&gt;"&amp;"", deployment!$C$4:$C$1002, "&lt;&gt;* )")+SUMIFS(namespace!$G$4:$G$1002, namespace!$B$4:$B$1002,"="&amp;A477, namespace!$B$4:$B$1002,"&lt;&gt;"&amp;""),"")</f>
        <v/>
      </c>
      <c r="L477" s="182" t="str">
        <f>IF(A477&lt;&gt;"",SUMIFS(deployment!$K$4:$K$1002, deployment!$D$4:$D$1002,"="&amp;A477, deployment!$D$4:$D$1002,"&lt;&gt;"&amp;"", deployment!$C$4:$C$1002, "&lt;&gt;* )")+SUMIFS(namespace!$H$4:$H$1002, namespace!$B$4:$B$1002,"="&amp;A477, namespace!$B$4:$B$1002,"&lt;&gt;"&amp;""),"")</f>
        <v/>
      </c>
      <c r="M477" s="115" t="str">
        <f>IF(A477&lt;&gt;"",SUMIFS(deployment!$L$4:$L$1002, deployment!$D$4:$D$1002,"="&amp;A477, deployment!$D$4:$D$1002,"&lt;&gt;"&amp;"", deployment!$C$4:$C$1002, "&lt;&gt;* )")+SUMIFS(namespace!$I$4:$I$1002, namespace!$B$4:$B$1002,"="&amp;A477, namespace!$B$4:$B$1002,"&lt;&gt;"&amp;""),"")</f>
        <v/>
      </c>
      <c r="N477" s="115" t="str">
        <f>IF(A477&lt;&gt;"",SUMIFS(deployment!$M$4:$M$1002, deployment!$D$4:$D$1002,"="&amp;A477, deployment!$D$4:$D$1002,"&lt;&gt;"&amp;"", deployment!$C$4:$C$1002, "&lt;&gt;* )")+SUMIFS(namespace!$J$4:$J$1002, namespace!$B$4:$B$1002,"="&amp;A477, namespace!$B$4:$B$1002,"&lt;&gt;"&amp;""),"")</f>
        <v/>
      </c>
      <c r="O477" s="116" t="str">
        <f t="shared" si="91"/>
        <v/>
      </c>
      <c r="P477" s="63"/>
      <c r="Q477" s="164" t="str">
        <f t="shared" si="86"/>
        <v/>
      </c>
      <c r="R477" s="60" t="str">
        <f t="shared" si="87"/>
        <v/>
      </c>
      <c r="S477" s="60" t="str">
        <f t="shared" si="88"/>
        <v/>
      </c>
      <c r="T477" s="61" t="str">
        <f t="shared" si="89"/>
        <v/>
      </c>
      <c r="U477" s="61" t="str">
        <f t="shared" si="90"/>
        <v/>
      </c>
      <c r="V477" s="183" t="str">
        <f t="shared" si="92"/>
        <v/>
      </c>
      <c r="W477" s="183" t="str">
        <f t="shared" si="93"/>
        <v/>
      </c>
      <c r="X477" s="61" t="str">
        <f t="shared" si="94"/>
        <v/>
      </c>
      <c r="Y477" s="61" t="str">
        <f t="shared" si="95"/>
        <v/>
      </c>
      <c r="Z477" s="118" t="str">
        <f t="shared" si="96"/>
        <v/>
      </c>
      <c r="AA477" s="62" t="str">
        <f t="shared" si="97"/>
        <v/>
      </c>
      <c r="AB477" s="119" t="str">
        <f>IF(A477&lt;&gt;"", IF(P477&lt;&gt;0,SUMIFS(node!$J$2:$J$1000, node!$C$2:$C$1000,"="&amp;A477)/P477,0), "")</f>
        <v/>
      </c>
      <c r="AC477" s="81" t="str">
        <f>IF(A477&lt;&gt;"", IF(P477&lt;&gt;0,SUMIFS(node!$K$2:$K$1000, node!$C$2:$C$1000,"="&amp;A477)/P477,0), "")</f>
        <v/>
      </c>
      <c r="AD477" s="82" t="str">
        <f>IF(A477&lt;&gt;"", SUMIFS(node!$L$2:$L$1000, node!$C$2:$C$1000,"="&amp;A477), "")</f>
        <v/>
      </c>
      <c r="AE477" s="87" t="str">
        <f>IF(A477&lt;&gt;"", SUMIFS(node!$M$2:$M$1000, node!$C$2:$C$1000,"="&amp;A477), "")</f>
        <v/>
      </c>
    </row>
    <row r="478" spans="1:31" ht="15.75" customHeight="1" x14ac:dyDescent="0.25">
      <c r="A478" s="71" t="str">
        <f>IF(ISNONTEXT(node_raw[[#This Row],[Column2]]), "", node_raw[[#This Row],[Column2]])</f>
        <v/>
      </c>
      <c r="B478" s="108" t="str">
        <f>IF(A478&lt;&gt;"", VLOOKUP(A478, node!$C$2:$D$1000, 2, FALSE), "")</f>
        <v/>
      </c>
      <c r="C478" s="109" t="str">
        <f>IF(A478&lt;&gt;"", VLOOKUP(A478, node!$C$2:$E$1000, 3, FALSE), "")</f>
        <v/>
      </c>
      <c r="D478" s="110" t="str">
        <f>IF(A478&lt;&gt;"",COUNTIFS(node!$C$2:$C$1000,"="&amp;A478, node!$C$2:$C$1000,"&lt;&gt;"&amp;""),"")</f>
        <v/>
      </c>
      <c r="E478" s="111" t="str">
        <f>IF(A478&lt;&gt;"",SUMIFS(node!$F$2:$F$500, node!$C$2:$C$500,"="&amp;A478, node!$C$2:$C$500,"&lt;&gt;"&amp;"")/(B478*D478),"")</f>
        <v/>
      </c>
      <c r="F478" s="112" t="str">
        <f>IF(A478&lt;&gt;"",SUMIFS(node!$H$2:$H$500, node!$C$2:$C$500,"="&amp;A478, node!$C$2:$C$500,"&lt;&gt;"&amp;"")/(C478*D478),"")</f>
        <v/>
      </c>
      <c r="G478" s="179" t="str">
        <f>IF(A478&lt;&gt;"",SUMIFS(deployment!$F$4:$F$502, deployment!$D$4:$D$502,"="&amp;A478, deployment!$D$4:$D$502,"&lt;&gt;"&amp;""),"")</f>
        <v/>
      </c>
      <c r="H478" s="181" t="str">
        <f>IF(A478&lt;&gt;"",SUMIFS(deployment!$G$4:$G$502, deployment!$D$4:$D$502,"="&amp;A478, deployment!$D$4:$D$502,"&lt;&gt;"&amp;""),"")</f>
        <v/>
      </c>
      <c r="I478" s="113" t="str">
        <f>IF(A478&lt;&gt;"",SUMIFS(deployment!$H$4:$H$502, deployment!$D$4:$D$502,"="&amp;A478, deployment!$D$4:$D$502,"&lt;&gt;"&amp;""),"")</f>
        <v/>
      </c>
      <c r="J478" s="114" t="str">
        <f>IF(A478&lt;&gt;"",SUMIFS(deployment!$I$4:$I$502, deployment!$D$4:$D$502,"="&amp;A478, deployment!$D$4:$D$502,"&lt;&gt;"&amp;""),"")</f>
        <v/>
      </c>
      <c r="K478" s="182" t="str">
        <f>IF(A478&lt;&gt;"",SUMIFS(deployment!$J$4:$J$1002, deployment!$D$4:$D$1002,"="&amp;A478, deployment!$D$4:$D$1002,"&lt;&gt;"&amp;"", deployment!$C$4:$C$1002, "&lt;&gt;* )")+SUMIFS(namespace!$G$4:$G$1002, namespace!$B$4:$B$1002,"="&amp;A478, namespace!$B$4:$B$1002,"&lt;&gt;"&amp;""),"")</f>
        <v/>
      </c>
      <c r="L478" s="182" t="str">
        <f>IF(A478&lt;&gt;"",SUMIFS(deployment!$K$4:$K$1002, deployment!$D$4:$D$1002,"="&amp;A478, deployment!$D$4:$D$1002,"&lt;&gt;"&amp;"", deployment!$C$4:$C$1002, "&lt;&gt;* )")+SUMIFS(namespace!$H$4:$H$1002, namespace!$B$4:$B$1002,"="&amp;A478, namespace!$B$4:$B$1002,"&lt;&gt;"&amp;""),"")</f>
        <v/>
      </c>
      <c r="M478" s="115" t="str">
        <f>IF(A478&lt;&gt;"",SUMIFS(deployment!$L$4:$L$1002, deployment!$D$4:$D$1002,"="&amp;A478, deployment!$D$4:$D$1002,"&lt;&gt;"&amp;"", deployment!$C$4:$C$1002, "&lt;&gt;* )")+SUMIFS(namespace!$I$4:$I$1002, namespace!$B$4:$B$1002,"="&amp;A478, namespace!$B$4:$B$1002,"&lt;&gt;"&amp;""),"")</f>
        <v/>
      </c>
      <c r="N478" s="115" t="str">
        <f>IF(A478&lt;&gt;"",SUMIFS(deployment!$M$4:$M$1002, deployment!$D$4:$D$1002,"="&amp;A478, deployment!$D$4:$D$1002,"&lt;&gt;"&amp;"", deployment!$C$4:$C$1002, "&lt;&gt;* )")+SUMIFS(namespace!$J$4:$J$1002, namespace!$B$4:$B$1002,"="&amp;A478, namespace!$B$4:$B$1002,"&lt;&gt;"&amp;""),"")</f>
        <v/>
      </c>
      <c r="O478" s="116" t="str">
        <f t="shared" si="91"/>
        <v/>
      </c>
      <c r="P478" s="63"/>
      <c r="Q478" s="164" t="str">
        <f t="shared" si="86"/>
        <v/>
      </c>
      <c r="R478" s="60" t="str">
        <f t="shared" si="87"/>
        <v/>
      </c>
      <c r="S478" s="60" t="str">
        <f t="shared" si="88"/>
        <v/>
      </c>
      <c r="T478" s="61" t="str">
        <f t="shared" si="89"/>
        <v/>
      </c>
      <c r="U478" s="61" t="str">
        <f t="shared" si="90"/>
        <v/>
      </c>
      <c r="V478" s="183" t="str">
        <f t="shared" si="92"/>
        <v/>
      </c>
      <c r="W478" s="183" t="str">
        <f t="shared" si="93"/>
        <v/>
      </c>
      <c r="X478" s="61" t="str">
        <f t="shared" si="94"/>
        <v/>
      </c>
      <c r="Y478" s="61" t="str">
        <f t="shared" si="95"/>
        <v/>
      </c>
      <c r="Z478" s="118" t="str">
        <f t="shared" si="96"/>
        <v/>
      </c>
      <c r="AA478" s="62" t="str">
        <f t="shared" si="97"/>
        <v/>
      </c>
      <c r="AB478" s="119" t="str">
        <f>IF(A478&lt;&gt;"", IF(P478&lt;&gt;0,SUMIFS(node!$J$2:$J$1000, node!$C$2:$C$1000,"="&amp;A478)/P478,0), "")</f>
        <v/>
      </c>
      <c r="AC478" s="81" t="str">
        <f>IF(A478&lt;&gt;"", IF(P478&lt;&gt;0,SUMIFS(node!$K$2:$K$1000, node!$C$2:$C$1000,"="&amp;A478)/P478,0), "")</f>
        <v/>
      </c>
      <c r="AD478" s="82" t="str">
        <f>IF(A478&lt;&gt;"", SUMIFS(node!$L$2:$L$1000, node!$C$2:$C$1000,"="&amp;A478), "")</f>
        <v/>
      </c>
      <c r="AE478" s="87" t="str">
        <f>IF(A478&lt;&gt;"", SUMIFS(node!$M$2:$M$1000, node!$C$2:$C$1000,"="&amp;A478), "")</f>
        <v/>
      </c>
    </row>
    <row r="479" spans="1:31" ht="15.75" customHeight="1" x14ac:dyDescent="0.25">
      <c r="A479" s="71" t="str">
        <f>IF(ISNONTEXT(node_raw[[#This Row],[Column2]]), "", node_raw[[#This Row],[Column2]])</f>
        <v/>
      </c>
      <c r="B479" s="108" t="str">
        <f>IF(A479&lt;&gt;"", VLOOKUP(A479, node!$C$2:$D$1000, 2, FALSE), "")</f>
        <v/>
      </c>
      <c r="C479" s="109" t="str">
        <f>IF(A479&lt;&gt;"", VLOOKUP(A479, node!$C$2:$E$1000, 3, FALSE), "")</f>
        <v/>
      </c>
      <c r="D479" s="110" t="str">
        <f>IF(A479&lt;&gt;"",COUNTIFS(node!$C$2:$C$1000,"="&amp;A479, node!$C$2:$C$1000,"&lt;&gt;"&amp;""),"")</f>
        <v/>
      </c>
      <c r="E479" s="111" t="str">
        <f>IF(A479&lt;&gt;"",SUMIFS(node!$F$2:$F$500, node!$C$2:$C$500,"="&amp;A479, node!$C$2:$C$500,"&lt;&gt;"&amp;"")/(B479*D479),"")</f>
        <v/>
      </c>
      <c r="F479" s="112" t="str">
        <f>IF(A479&lt;&gt;"",SUMIFS(node!$H$2:$H$500, node!$C$2:$C$500,"="&amp;A479, node!$C$2:$C$500,"&lt;&gt;"&amp;"")/(C479*D479),"")</f>
        <v/>
      </c>
      <c r="G479" s="179" t="str">
        <f>IF(A479&lt;&gt;"",SUMIFS(deployment!$F$4:$F$502, deployment!$D$4:$D$502,"="&amp;A479, deployment!$D$4:$D$502,"&lt;&gt;"&amp;""),"")</f>
        <v/>
      </c>
      <c r="H479" s="181" t="str">
        <f>IF(A479&lt;&gt;"",SUMIFS(deployment!$G$4:$G$502, deployment!$D$4:$D$502,"="&amp;A479, deployment!$D$4:$D$502,"&lt;&gt;"&amp;""),"")</f>
        <v/>
      </c>
      <c r="I479" s="113" t="str">
        <f>IF(A479&lt;&gt;"",SUMIFS(deployment!$H$4:$H$502, deployment!$D$4:$D$502,"="&amp;A479, deployment!$D$4:$D$502,"&lt;&gt;"&amp;""),"")</f>
        <v/>
      </c>
      <c r="J479" s="114" t="str">
        <f>IF(A479&lt;&gt;"",SUMIFS(deployment!$I$4:$I$502, deployment!$D$4:$D$502,"="&amp;A479, deployment!$D$4:$D$502,"&lt;&gt;"&amp;""),"")</f>
        <v/>
      </c>
      <c r="K479" s="182" t="str">
        <f>IF(A479&lt;&gt;"",SUMIFS(deployment!$J$4:$J$1002, deployment!$D$4:$D$1002,"="&amp;A479, deployment!$D$4:$D$1002,"&lt;&gt;"&amp;"", deployment!$C$4:$C$1002, "&lt;&gt;* )")+SUMIFS(namespace!$G$4:$G$1002, namespace!$B$4:$B$1002,"="&amp;A479, namespace!$B$4:$B$1002,"&lt;&gt;"&amp;""),"")</f>
        <v/>
      </c>
      <c r="L479" s="182" t="str">
        <f>IF(A479&lt;&gt;"",SUMIFS(deployment!$K$4:$K$1002, deployment!$D$4:$D$1002,"="&amp;A479, deployment!$D$4:$D$1002,"&lt;&gt;"&amp;"", deployment!$C$4:$C$1002, "&lt;&gt;* )")+SUMIFS(namespace!$H$4:$H$1002, namespace!$B$4:$B$1002,"="&amp;A479, namespace!$B$4:$B$1002,"&lt;&gt;"&amp;""),"")</f>
        <v/>
      </c>
      <c r="M479" s="115" t="str">
        <f>IF(A479&lt;&gt;"",SUMIFS(deployment!$L$4:$L$1002, deployment!$D$4:$D$1002,"="&amp;A479, deployment!$D$4:$D$1002,"&lt;&gt;"&amp;"", deployment!$C$4:$C$1002, "&lt;&gt;* )")+SUMIFS(namespace!$I$4:$I$1002, namespace!$B$4:$B$1002,"="&amp;A479, namespace!$B$4:$B$1002,"&lt;&gt;"&amp;""),"")</f>
        <v/>
      </c>
      <c r="N479" s="115" t="str">
        <f>IF(A479&lt;&gt;"",SUMIFS(deployment!$M$4:$M$1002, deployment!$D$4:$D$1002,"="&amp;A479, deployment!$D$4:$D$1002,"&lt;&gt;"&amp;"", deployment!$C$4:$C$1002, "&lt;&gt;* )")+SUMIFS(namespace!$J$4:$J$1002, namespace!$B$4:$B$1002,"="&amp;A479, namespace!$B$4:$B$1002,"&lt;&gt;"&amp;""),"")</f>
        <v/>
      </c>
      <c r="O479" s="116" t="str">
        <f t="shared" si="91"/>
        <v/>
      </c>
      <c r="P479" s="63"/>
      <c r="Q479" s="164" t="str">
        <f t="shared" si="86"/>
        <v/>
      </c>
      <c r="R479" s="60" t="str">
        <f t="shared" si="87"/>
        <v/>
      </c>
      <c r="S479" s="60" t="str">
        <f t="shared" si="88"/>
        <v/>
      </c>
      <c r="T479" s="61" t="str">
        <f t="shared" si="89"/>
        <v/>
      </c>
      <c r="U479" s="61" t="str">
        <f t="shared" si="90"/>
        <v/>
      </c>
      <c r="V479" s="183" t="str">
        <f t="shared" si="92"/>
        <v/>
      </c>
      <c r="W479" s="183" t="str">
        <f t="shared" si="93"/>
        <v/>
      </c>
      <c r="X479" s="61" t="str">
        <f t="shared" si="94"/>
        <v/>
      </c>
      <c r="Y479" s="61" t="str">
        <f t="shared" si="95"/>
        <v/>
      </c>
      <c r="Z479" s="118" t="str">
        <f t="shared" si="96"/>
        <v/>
      </c>
      <c r="AA479" s="62" t="str">
        <f t="shared" si="97"/>
        <v/>
      </c>
      <c r="AB479" s="119" t="str">
        <f>IF(A479&lt;&gt;"", IF(P479&lt;&gt;0,SUMIFS(node!$J$2:$J$1000, node!$C$2:$C$1000,"="&amp;A479)/P479,0), "")</f>
        <v/>
      </c>
      <c r="AC479" s="81" t="str">
        <f>IF(A479&lt;&gt;"", IF(P479&lt;&gt;0,SUMIFS(node!$K$2:$K$1000, node!$C$2:$C$1000,"="&amp;A479)/P479,0), "")</f>
        <v/>
      </c>
      <c r="AD479" s="82" t="str">
        <f>IF(A479&lt;&gt;"", SUMIFS(node!$L$2:$L$1000, node!$C$2:$C$1000,"="&amp;A479), "")</f>
        <v/>
      </c>
      <c r="AE479" s="87" t="str">
        <f>IF(A479&lt;&gt;"", SUMIFS(node!$M$2:$M$1000, node!$C$2:$C$1000,"="&amp;A479), "")</f>
        <v/>
      </c>
    </row>
    <row r="480" spans="1:31" ht="15.75" customHeight="1" x14ac:dyDescent="0.25">
      <c r="A480" s="71" t="str">
        <f>IF(ISNONTEXT(node_raw[[#This Row],[Column2]]), "", node_raw[[#This Row],[Column2]])</f>
        <v/>
      </c>
      <c r="B480" s="108" t="str">
        <f>IF(A480&lt;&gt;"", VLOOKUP(A480, node!$C$2:$D$1000, 2, FALSE), "")</f>
        <v/>
      </c>
      <c r="C480" s="109" t="str">
        <f>IF(A480&lt;&gt;"", VLOOKUP(A480, node!$C$2:$E$1000, 3, FALSE), "")</f>
        <v/>
      </c>
      <c r="D480" s="110" t="str">
        <f>IF(A480&lt;&gt;"",COUNTIFS(node!$C$2:$C$1000,"="&amp;A480, node!$C$2:$C$1000,"&lt;&gt;"&amp;""),"")</f>
        <v/>
      </c>
      <c r="E480" s="111" t="str">
        <f>IF(A480&lt;&gt;"",SUMIFS(node!$F$2:$F$500, node!$C$2:$C$500,"="&amp;A480, node!$C$2:$C$500,"&lt;&gt;"&amp;"")/(B480*D480),"")</f>
        <v/>
      </c>
      <c r="F480" s="112" t="str">
        <f>IF(A480&lt;&gt;"",SUMIFS(node!$H$2:$H$500, node!$C$2:$C$500,"="&amp;A480, node!$C$2:$C$500,"&lt;&gt;"&amp;"")/(C480*D480),"")</f>
        <v/>
      </c>
      <c r="G480" s="179" t="str">
        <f>IF(A480&lt;&gt;"",SUMIFS(deployment!$F$4:$F$502, deployment!$D$4:$D$502,"="&amp;A480, deployment!$D$4:$D$502,"&lt;&gt;"&amp;""),"")</f>
        <v/>
      </c>
      <c r="H480" s="181" t="str">
        <f>IF(A480&lt;&gt;"",SUMIFS(deployment!$G$4:$G$502, deployment!$D$4:$D$502,"="&amp;A480, deployment!$D$4:$D$502,"&lt;&gt;"&amp;""),"")</f>
        <v/>
      </c>
      <c r="I480" s="113" t="str">
        <f>IF(A480&lt;&gt;"",SUMIFS(deployment!$H$4:$H$502, deployment!$D$4:$D$502,"="&amp;A480, deployment!$D$4:$D$502,"&lt;&gt;"&amp;""),"")</f>
        <v/>
      </c>
      <c r="J480" s="114" t="str">
        <f>IF(A480&lt;&gt;"",SUMIFS(deployment!$I$4:$I$502, deployment!$D$4:$D$502,"="&amp;A480, deployment!$D$4:$D$502,"&lt;&gt;"&amp;""),"")</f>
        <v/>
      </c>
      <c r="K480" s="182" t="str">
        <f>IF(A480&lt;&gt;"",SUMIFS(deployment!$J$4:$J$1002, deployment!$D$4:$D$1002,"="&amp;A480, deployment!$D$4:$D$1002,"&lt;&gt;"&amp;"", deployment!$C$4:$C$1002, "&lt;&gt;* )")+SUMIFS(namespace!$G$4:$G$1002, namespace!$B$4:$B$1002,"="&amp;A480, namespace!$B$4:$B$1002,"&lt;&gt;"&amp;""),"")</f>
        <v/>
      </c>
      <c r="L480" s="182" t="str">
        <f>IF(A480&lt;&gt;"",SUMIFS(deployment!$K$4:$K$1002, deployment!$D$4:$D$1002,"="&amp;A480, deployment!$D$4:$D$1002,"&lt;&gt;"&amp;"", deployment!$C$4:$C$1002, "&lt;&gt;* )")+SUMIFS(namespace!$H$4:$H$1002, namespace!$B$4:$B$1002,"="&amp;A480, namespace!$B$4:$B$1002,"&lt;&gt;"&amp;""),"")</f>
        <v/>
      </c>
      <c r="M480" s="115" t="str">
        <f>IF(A480&lt;&gt;"",SUMIFS(deployment!$L$4:$L$1002, deployment!$D$4:$D$1002,"="&amp;A480, deployment!$D$4:$D$1002,"&lt;&gt;"&amp;"", deployment!$C$4:$C$1002, "&lt;&gt;* )")+SUMIFS(namespace!$I$4:$I$1002, namespace!$B$4:$B$1002,"="&amp;A480, namespace!$B$4:$B$1002,"&lt;&gt;"&amp;""),"")</f>
        <v/>
      </c>
      <c r="N480" s="115" t="str">
        <f>IF(A480&lt;&gt;"",SUMIFS(deployment!$M$4:$M$1002, deployment!$D$4:$D$1002,"="&amp;A480, deployment!$D$4:$D$1002,"&lt;&gt;"&amp;"", deployment!$C$4:$C$1002, "&lt;&gt;* )")+SUMIFS(namespace!$J$4:$J$1002, namespace!$B$4:$B$1002,"="&amp;A480, namespace!$B$4:$B$1002,"&lt;&gt;"&amp;""),"")</f>
        <v/>
      </c>
      <c r="O480" s="116" t="str">
        <f t="shared" si="91"/>
        <v/>
      </c>
      <c r="P480" s="63"/>
      <c r="Q480" s="164" t="str">
        <f t="shared" si="86"/>
        <v/>
      </c>
      <c r="R480" s="60" t="str">
        <f t="shared" si="87"/>
        <v/>
      </c>
      <c r="S480" s="60" t="str">
        <f t="shared" si="88"/>
        <v/>
      </c>
      <c r="T480" s="61" t="str">
        <f t="shared" si="89"/>
        <v/>
      </c>
      <c r="U480" s="61" t="str">
        <f t="shared" si="90"/>
        <v/>
      </c>
      <c r="V480" s="183" t="str">
        <f t="shared" si="92"/>
        <v/>
      </c>
      <c r="W480" s="183" t="str">
        <f t="shared" si="93"/>
        <v/>
      </c>
      <c r="X480" s="61" t="str">
        <f t="shared" si="94"/>
        <v/>
      </c>
      <c r="Y480" s="61" t="str">
        <f t="shared" si="95"/>
        <v/>
      </c>
      <c r="Z480" s="118" t="str">
        <f t="shared" si="96"/>
        <v/>
      </c>
      <c r="AA480" s="62" t="str">
        <f t="shared" si="97"/>
        <v/>
      </c>
      <c r="AB480" s="119" t="str">
        <f>IF(A480&lt;&gt;"", IF(P480&lt;&gt;0,SUMIFS(node!$J$2:$J$1000, node!$C$2:$C$1000,"="&amp;A480)/P480,0), "")</f>
        <v/>
      </c>
      <c r="AC480" s="81" t="str">
        <f>IF(A480&lt;&gt;"", IF(P480&lt;&gt;0,SUMIFS(node!$K$2:$K$1000, node!$C$2:$C$1000,"="&amp;A480)/P480,0), "")</f>
        <v/>
      </c>
      <c r="AD480" s="82" t="str">
        <f>IF(A480&lt;&gt;"", SUMIFS(node!$L$2:$L$1000, node!$C$2:$C$1000,"="&amp;A480), "")</f>
        <v/>
      </c>
      <c r="AE480" s="87" t="str">
        <f>IF(A480&lt;&gt;"", SUMIFS(node!$M$2:$M$1000, node!$C$2:$C$1000,"="&amp;A480), "")</f>
        <v/>
      </c>
    </row>
    <row r="481" spans="1:31" ht="15.75" customHeight="1" x14ac:dyDescent="0.25">
      <c r="A481" s="71" t="str">
        <f>IF(ISNONTEXT(node_raw[[#This Row],[Column2]]), "", node_raw[[#This Row],[Column2]])</f>
        <v/>
      </c>
      <c r="B481" s="108" t="str">
        <f>IF(A481&lt;&gt;"", VLOOKUP(A481, node!$C$2:$D$1000, 2, FALSE), "")</f>
        <v/>
      </c>
      <c r="C481" s="109" t="str">
        <f>IF(A481&lt;&gt;"", VLOOKUP(A481, node!$C$2:$E$1000, 3, FALSE), "")</f>
        <v/>
      </c>
      <c r="D481" s="110" t="str">
        <f>IF(A481&lt;&gt;"",COUNTIFS(node!$C$2:$C$1000,"="&amp;A481, node!$C$2:$C$1000,"&lt;&gt;"&amp;""),"")</f>
        <v/>
      </c>
      <c r="E481" s="111" t="str">
        <f>IF(A481&lt;&gt;"",SUMIFS(node!$F$2:$F$500, node!$C$2:$C$500,"="&amp;A481, node!$C$2:$C$500,"&lt;&gt;"&amp;"")/(B481*D481),"")</f>
        <v/>
      </c>
      <c r="F481" s="112" t="str">
        <f>IF(A481&lt;&gt;"",SUMIFS(node!$H$2:$H$500, node!$C$2:$C$500,"="&amp;A481, node!$C$2:$C$500,"&lt;&gt;"&amp;"")/(C481*D481),"")</f>
        <v/>
      </c>
      <c r="G481" s="179" t="str">
        <f>IF(A481&lt;&gt;"",SUMIFS(deployment!$F$4:$F$502, deployment!$D$4:$D$502,"="&amp;A481, deployment!$D$4:$D$502,"&lt;&gt;"&amp;""),"")</f>
        <v/>
      </c>
      <c r="H481" s="181" t="str">
        <f>IF(A481&lt;&gt;"",SUMIFS(deployment!$G$4:$G$502, deployment!$D$4:$D$502,"="&amp;A481, deployment!$D$4:$D$502,"&lt;&gt;"&amp;""),"")</f>
        <v/>
      </c>
      <c r="I481" s="113" t="str">
        <f>IF(A481&lt;&gt;"",SUMIFS(deployment!$H$4:$H$502, deployment!$D$4:$D$502,"="&amp;A481, deployment!$D$4:$D$502,"&lt;&gt;"&amp;""),"")</f>
        <v/>
      </c>
      <c r="J481" s="114" t="str">
        <f>IF(A481&lt;&gt;"",SUMIFS(deployment!$I$4:$I$502, deployment!$D$4:$D$502,"="&amp;A481, deployment!$D$4:$D$502,"&lt;&gt;"&amp;""),"")</f>
        <v/>
      </c>
      <c r="K481" s="182" t="str">
        <f>IF(A481&lt;&gt;"",SUMIFS(deployment!$J$4:$J$1002, deployment!$D$4:$D$1002,"="&amp;A481, deployment!$D$4:$D$1002,"&lt;&gt;"&amp;"", deployment!$C$4:$C$1002, "&lt;&gt;* )")+SUMIFS(namespace!$G$4:$G$1002, namespace!$B$4:$B$1002,"="&amp;A481, namespace!$B$4:$B$1002,"&lt;&gt;"&amp;""),"")</f>
        <v/>
      </c>
      <c r="L481" s="182" t="str">
        <f>IF(A481&lt;&gt;"",SUMIFS(deployment!$K$4:$K$1002, deployment!$D$4:$D$1002,"="&amp;A481, deployment!$D$4:$D$1002,"&lt;&gt;"&amp;"", deployment!$C$4:$C$1002, "&lt;&gt;* )")+SUMIFS(namespace!$H$4:$H$1002, namespace!$B$4:$B$1002,"="&amp;A481, namespace!$B$4:$B$1002,"&lt;&gt;"&amp;""),"")</f>
        <v/>
      </c>
      <c r="M481" s="115" t="str">
        <f>IF(A481&lt;&gt;"",SUMIFS(deployment!$L$4:$L$1002, deployment!$D$4:$D$1002,"="&amp;A481, deployment!$D$4:$D$1002,"&lt;&gt;"&amp;"", deployment!$C$4:$C$1002, "&lt;&gt;* )")+SUMIFS(namespace!$I$4:$I$1002, namespace!$B$4:$B$1002,"="&amp;A481, namespace!$B$4:$B$1002,"&lt;&gt;"&amp;""),"")</f>
        <v/>
      </c>
      <c r="N481" s="115" t="str">
        <f>IF(A481&lt;&gt;"",SUMIFS(deployment!$M$4:$M$1002, deployment!$D$4:$D$1002,"="&amp;A481, deployment!$D$4:$D$1002,"&lt;&gt;"&amp;"", deployment!$C$4:$C$1002, "&lt;&gt;* )")+SUMIFS(namespace!$J$4:$J$1002, namespace!$B$4:$B$1002,"="&amp;A481, namespace!$B$4:$B$1002,"&lt;&gt;"&amp;""),"")</f>
        <v/>
      </c>
      <c r="O481" s="116" t="str">
        <f t="shared" si="91"/>
        <v/>
      </c>
      <c r="P481" s="63"/>
      <c r="Q481" s="164" t="str">
        <f t="shared" si="86"/>
        <v/>
      </c>
      <c r="R481" s="60" t="str">
        <f t="shared" si="87"/>
        <v/>
      </c>
      <c r="S481" s="60" t="str">
        <f t="shared" si="88"/>
        <v/>
      </c>
      <c r="T481" s="61" t="str">
        <f t="shared" si="89"/>
        <v/>
      </c>
      <c r="U481" s="61" t="str">
        <f t="shared" si="90"/>
        <v/>
      </c>
      <c r="V481" s="183" t="str">
        <f t="shared" si="92"/>
        <v/>
      </c>
      <c r="W481" s="183" t="str">
        <f t="shared" si="93"/>
        <v/>
      </c>
      <c r="X481" s="61" t="str">
        <f t="shared" si="94"/>
        <v/>
      </c>
      <c r="Y481" s="61" t="str">
        <f t="shared" si="95"/>
        <v/>
      </c>
      <c r="Z481" s="118" t="str">
        <f t="shared" si="96"/>
        <v/>
      </c>
      <c r="AA481" s="62" t="str">
        <f t="shared" si="97"/>
        <v/>
      </c>
      <c r="AB481" s="119" t="str">
        <f>IF(A481&lt;&gt;"", IF(P481&lt;&gt;0,SUMIFS(node!$J$2:$J$1000, node!$C$2:$C$1000,"="&amp;A481)/P481,0), "")</f>
        <v/>
      </c>
      <c r="AC481" s="81" t="str">
        <f>IF(A481&lt;&gt;"", IF(P481&lt;&gt;0,SUMIFS(node!$K$2:$K$1000, node!$C$2:$C$1000,"="&amp;A481)/P481,0), "")</f>
        <v/>
      </c>
      <c r="AD481" s="82" t="str">
        <f>IF(A481&lt;&gt;"", SUMIFS(node!$L$2:$L$1000, node!$C$2:$C$1000,"="&amp;A481), "")</f>
        <v/>
      </c>
      <c r="AE481" s="87" t="str">
        <f>IF(A481&lt;&gt;"", SUMIFS(node!$M$2:$M$1000, node!$C$2:$C$1000,"="&amp;A481), "")</f>
        <v/>
      </c>
    </row>
    <row r="482" spans="1:31" ht="15.75" customHeight="1" x14ac:dyDescent="0.25">
      <c r="A482" s="71" t="str">
        <f>IF(ISNONTEXT(node_raw[[#This Row],[Column2]]), "", node_raw[[#This Row],[Column2]])</f>
        <v/>
      </c>
      <c r="B482" s="108" t="str">
        <f>IF(A482&lt;&gt;"", VLOOKUP(A482, node!$C$2:$D$1000, 2, FALSE), "")</f>
        <v/>
      </c>
      <c r="C482" s="109" t="str">
        <f>IF(A482&lt;&gt;"", VLOOKUP(A482, node!$C$2:$E$1000, 3, FALSE), "")</f>
        <v/>
      </c>
      <c r="D482" s="110" t="str">
        <f>IF(A482&lt;&gt;"",COUNTIFS(node!$C$2:$C$1000,"="&amp;A482, node!$C$2:$C$1000,"&lt;&gt;"&amp;""),"")</f>
        <v/>
      </c>
      <c r="E482" s="111" t="str">
        <f>IF(A482&lt;&gt;"",SUMIFS(node!$F$2:$F$500, node!$C$2:$C$500,"="&amp;A482, node!$C$2:$C$500,"&lt;&gt;"&amp;"")/(B482*D482),"")</f>
        <v/>
      </c>
      <c r="F482" s="112" t="str">
        <f>IF(A482&lt;&gt;"",SUMIFS(node!$H$2:$H$500, node!$C$2:$C$500,"="&amp;A482, node!$C$2:$C$500,"&lt;&gt;"&amp;"")/(C482*D482),"")</f>
        <v/>
      </c>
      <c r="G482" s="179" t="str">
        <f>IF(A482&lt;&gt;"",SUMIFS(deployment!$F$4:$F$502, deployment!$D$4:$D$502,"="&amp;A482, deployment!$D$4:$D$502,"&lt;&gt;"&amp;""),"")</f>
        <v/>
      </c>
      <c r="H482" s="181" t="str">
        <f>IF(A482&lt;&gt;"",SUMIFS(deployment!$G$4:$G$502, deployment!$D$4:$D$502,"="&amp;A482, deployment!$D$4:$D$502,"&lt;&gt;"&amp;""),"")</f>
        <v/>
      </c>
      <c r="I482" s="113" t="str">
        <f>IF(A482&lt;&gt;"",SUMIFS(deployment!$H$4:$H$502, deployment!$D$4:$D$502,"="&amp;A482, deployment!$D$4:$D$502,"&lt;&gt;"&amp;""),"")</f>
        <v/>
      </c>
      <c r="J482" s="114" t="str">
        <f>IF(A482&lt;&gt;"",SUMIFS(deployment!$I$4:$I$502, deployment!$D$4:$D$502,"="&amp;A482, deployment!$D$4:$D$502,"&lt;&gt;"&amp;""),"")</f>
        <v/>
      </c>
      <c r="K482" s="182" t="str">
        <f>IF(A482&lt;&gt;"",SUMIFS(deployment!$J$4:$J$1002, deployment!$D$4:$D$1002,"="&amp;A482, deployment!$D$4:$D$1002,"&lt;&gt;"&amp;"", deployment!$C$4:$C$1002, "&lt;&gt;* )")+SUMIFS(namespace!$G$4:$G$1002, namespace!$B$4:$B$1002,"="&amp;A482, namespace!$B$4:$B$1002,"&lt;&gt;"&amp;""),"")</f>
        <v/>
      </c>
      <c r="L482" s="182" t="str">
        <f>IF(A482&lt;&gt;"",SUMIFS(deployment!$K$4:$K$1002, deployment!$D$4:$D$1002,"="&amp;A482, deployment!$D$4:$D$1002,"&lt;&gt;"&amp;"", deployment!$C$4:$C$1002, "&lt;&gt;* )")+SUMIFS(namespace!$H$4:$H$1002, namespace!$B$4:$B$1002,"="&amp;A482, namespace!$B$4:$B$1002,"&lt;&gt;"&amp;""),"")</f>
        <v/>
      </c>
      <c r="M482" s="115" t="str">
        <f>IF(A482&lt;&gt;"",SUMIFS(deployment!$L$4:$L$1002, deployment!$D$4:$D$1002,"="&amp;A482, deployment!$D$4:$D$1002,"&lt;&gt;"&amp;"", deployment!$C$4:$C$1002, "&lt;&gt;* )")+SUMIFS(namespace!$I$4:$I$1002, namespace!$B$4:$B$1002,"="&amp;A482, namespace!$B$4:$B$1002,"&lt;&gt;"&amp;""),"")</f>
        <v/>
      </c>
      <c r="N482" s="115" t="str">
        <f>IF(A482&lt;&gt;"",SUMIFS(deployment!$M$4:$M$1002, deployment!$D$4:$D$1002,"="&amp;A482, deployment!$D$4:$D$1002,"&lt;&gt;"&amp;"", deployment!$C$4:$C$1002, "&lt;&gt;* )")+SUMIFS(namespace!$J$4:$J$1002, namespace!$B$4:$B$1002,"="&amp;A482, namespace!$B$4:$B$1002,"&lt;&gt;"&amp;""),"")</f>
        <v/>
      </c>
      <c r="O482" s="116" t="str">
        <f t="shared" si="91"/>
        <v/>
      </c>
      <c r="P482" s="63"/>
      <c r="Q482" s="164" t="str">
        <f t="shared" si="86"/>
        <v/>
      </c>
      <c r="R482" s="60" t="str">
        <f t="shared" si="87"/>
        <v/>
      </c>
      <c r="S482" s="60" t="str">
        <f t="shared" si="88"/>
        <v/>
      </c>
      <c r="T482" s="61" t="str">
        <f t="shared" si="89"/>
        <v/>
      </c>
      <c r="U482" s="61" t="str">
        <f t="shared" si="90"/>
        <v/>
      </c>
      <c r="V482" s="183" t="str">
        <f t="shared" si="92"/>
        <v/>
      </c>
      <c r="W482" s="183" t="str">
        <f t="shared" si="93"/>
        <v/>
      </c>
      <c r="X482" s="61" t="str">
        <f t="shared" si="94"/>
        <v/>
      </c>
      <c r="Y482" s="61" t="str">
        <f t="shared" si="95"/>
        <v/>
      </c>
      <c r="Z482" s="118" t="str">
        <f t="shared" si="96"/>
        <v/>
      </c>
      <c r="AA482" s="62" t="str">
        <f t="shared" si="97"/>
        <v/>
      </c>
      <c r="AB482" s="119" t="str">
        <f>IF(A482&lt;&gt;"", IF(P482&lt;&gt;0,SUMIFS(node!$J$2:$J$1000, node!$C$2:$C$1000,"="&amp;A482)/P482,0), "")</f>
        <v/>
      </c>
      <c r="AC482" s="81" t="str">
        <f>IF(A482&lt;&gt;"", IF(P482&lt;&gt;0,SUMIFS(node!$K$2:$K$1000, node!$C$2:$C$1000,"="&amp;A482)/P482,0), "")</f>
        <v/>
      </c>
      <c r="AD482" s="82" t="str">
        <f>IF(A482&lt;&gt;"", SUMIFS(node!$L$2:$L$1000, node!$C$2:$C$1000,"="&amp;A482), "")</f>
        <v/>
      </c>
      <c r="AE482" s="87" t="str">
        <f>IF(A482&lt;&gt;"", SUMIFS(node!$M$2:$M$1000, node!$C$2:$C$1000,"="&amp;A482), "")</f>
        <v/>
      </c>
    </row>
    <row r="483" spans="1:31" ht="15.75" customHeight="1" x14ac:dyDescent="0.25">
      <c r="A483" s="71" t="str">
        <f>IF(ISNONTEXT(node_raw[[#This Row],[Column2]]), "", node_raw[[#This Row],[Column2]])</f>
        <v/>
      </c>
      <c r="B483" s="108" t="str">
        <f>IF(A483&lt;&gt;"", VLOOKUP(A483, node!$C$2:$D$1000, 2, FALSE), "")</f>
        <v/>
      </c>
      <c r="C483" s="109" t="str">
        <f>IF(A483&lt;&gt;"", VLOOKUP(A483, node!$C$2:$E$1000, 3, FALSE), "")</f>
        <v/>
      </c>
      <c r="D483" s="110" t="str">
        <f>IF(A483&lt;&gt;"",COUNTIFS(node!$C$2:$C$1000,"="&amp;A483, node!$C$2:$C$1000,"&lt;&gt;"&amp;""),"")</f>
        <v/>
      </c>
      <c r="E483" s="111" t="str">
        <f>IF(A483&lt;&gt;"",SUMIFS(node!$F$2:$F$500, node!$C$2:$C$500,"="&amp;A483, node!$C$2:$C$500,"&lt;&gt;"&amp;"")/(B483*D483),"")</f>
        <v/>
      </c>
      <c r="F483" s="112" t="str">
        <f>IF(A483&lt;&gt;"",SUMIFS(node!$H$2:$H$500, node!$C$2:$C$500,"="&amp;A483, node!$C$2:$C$500,"&lt;&gt;"&amp;"")/(C483*D483),"")</f>
        <v/>
      </c>
      <c r="G483" s="179" t="str">
        <f>IF(A483&lt;&gt;"",SUMIFS(deployment!$F$4:$F$502, deployment!$D$4:$D$502,"="&amp;A483, deployment!$D$4:$D$502,"&lt;&gt;"&amp;""),"")</f>
        <v/>
      </c>
      <c r="H483" s="181" t="str">
        <f>IF(A483&lt;&gt;"",SUMIFS(deployment!$G$4:$G$502, deployment!$D$4:$D$502,"="&amp;A483, deployment!$D$4:$D$502,"&lt;&gt;"&amp;""),"")</f>
        <v/>
      </c>
      <c r="I483" s="113" t="str">
        <f>IF(A483&lt;&gt;"",SUMIFS(deployment!$H$4:$H$502, deployment!$D$4:$D$502,"="&amp;A483, deployment!$D$4:$D$502,"&lt;&gt;"&amp;""),"")</f>
        <v/>
      </c>
      <c r="J483" s="114" t="str">
        <f>IF(A483&lt;&gt;"",SUMIFS(deployment!$I$4:$I$502, deployment!$D$4:$D$502,"="&amp;A483, deployment!$D$4:$D$502,"&lt;&gt;"&amp;""),"")</f>
        <v/>
      </c>
      <c r="K483" s="182" t="str">
        <f>IF(A483&lt;&gt;"",SUMIFS(deployment!$J$4:$J$1002, deployment!$D$4:$D$1002,"="&amp;A483, deployment!$D$4:$D$1002,"&lt;&gt;"&amp;"", deployment!$C$4:$C$1002, "&lt;&gt;* )")+SUMIFS(namespace!$G$4:$G$1002, namespace!$B$4:$B$1002,"="&amp;A483, namespace!$B$4:$B$1002,"&lt;&gt;"&amp;""),"")</f>
        <v/>
      </c>
      <c r="L483" s="182" t="str">
        <f>IF(A483&lt;&gt;"",SUMIFS(deployment!$K$4:$K$1002, deployment!$D$4:$D$1002,"="&amp;A483, deployment!$D$4:$D$1002,"&lt;&gt;"&amp;"", deployment!$C$4:$C$1002, "&lt;&gt;* )")+SUMIFS(namespace!$H$4:$H$1002, namespace!$B$4:$B$1002,"="&amp;A483, namespace!$B$4:$B$1002,"&lt;&gt;"&amp;""),"")</f>
        <v/>
      </c>
      <c r="M483" s="115" t="str">
        <f>IF(A483&lt;&gt;"",SUMIFS(deployment!$L$4:$L$1002, deployment!$D$4:$D$1002,"="&amp;A483, deployment!$D$4:$D$1002,"&lt;&gt;"&amp;"", deployment!$C$4:$C$1002, "&lt;&gt;* )")+SUMIFS(namespace!$I$4:$I$1002, namespace!$B$4:$B$1002,"="&amp;A483, namespace!$B$4:$B$1002,"&lt;&gt;"&amp;""),"")</f>
        <v/>
      </c>
      <c r="N483" s="115" t="str">
        <f>IF(A483&lt;&gt;"",SUMIFS(deployment!$M$4:$M$1002, deployment!$D$4:$D$1002,"="&amp;A483, deployment!$D$4:$D$1002,"&lt;&gt;"&amp;"", deployment!$C$4:$C$1002, "&lt;&gt;* )")+SUMIFS(namespace!$J$4:$J$1002, namespace!$B$4:$B$1002,"="&amp;A483, namespace!$B$4:$B$1002,"&lt;&gt;"&amp;""),"")</f>
        <v/>
      </c>
      <c r="O483" s="116" t="str">
        <f t="shared" si="91"/>
        <v/>
      </c>
      <c r="P483" s="63"/>
      <c r="Q483" s="164" t="str">
        <f t="shared" si="86"/>
        <v/>
      </c>
      <c r="R483" s="60" t="str">
        <f t="shared" si="87"/>
        <v/>
      </c>
      <c r="S483" s="60" t="str">
        <f t="shared" si="88"/>
        <v/>
      </c>
      <c r="T483" s="61" t="str">
        <f t="shared" si="89"/>
        <v/>
      </c>
      <c r="U483" s="61" t="str">
        <f t="shared" si="90"/>
        <v/>
      </c>
      <c r="V483" s="183" t="str">
        <f t="shared" si="92"/>
        <v/>
      </c>
      <c r="W483" s="183" t="str">
        <f t="shared" si="93"/>
        <v/>
      </c>
      <c r="X483" s="61" t="str">
        <f t="shared" si="94"/>
        <v/>
      </c>
      <c r="Y483" s="61" t="str">
        <f t="shared" si="95"/>
        <v/>
      </c>
      <c r="Z483" s="118" t="str">
        <f t="shared" si="96"/>
        <v/>
      </c>
      <c r="AA483" s="62" t="str">
        <f t="shared" si="97"/>
        <v/>
      </c>
      <c r="AB483" s="119" t="str">
        <f>IF(A483&lt;&gt;"", IF(P483&lt;&gt;0,SUMIFS(node!$J$2:$J$1000, node!$C$2:$C$1000,"="&amp;A483)/P483,0), "")</f>
        <v/>
      </c>
      <c r="AC483" s="81" t="str">
        <f>IF(A483&lt;&gt;"", IF(P483&lt;&gt;0,SUMIFS(node!$K$2:$K$1000, node!$C$2:$C$1000,"="&amp;A483)/P483,0), "")</f>
        <v/>
      </c>
      <c r="AD483" s="82" t="str">
        <f>IF(A483&lt;&gt;"", SUMIFS(node!$L$2:$L$1000, node!$C$2:$C$1000,"="&amp;A483), "")</f>
        <v/>
      </c>
      <c r="AE483" s="87" t="str">
        <f>IF(A483&lt;&gt;"", SUMIFS(node!$M$2:$M$1000, node!$C$2:$C$1000,"="&amp;A483), "")</f>
        <v/>
      </c>
    </row>
    <row r="484" spans="1:31" ht="15.75" customHeight="1" x14ac:dyDescent="0.25">
      <c r="A484" s="71" t="str">
        <f>IF(ISNONTEXT(node_raw[[#This Row],[Column2]]), "", node_raw[[#This Row],[Column2]])</f>
        <v/>
      </c>
      <c r="B484" s="108" t="str">
        <f>IF(A484&lt;&gt;"", VLOOKUP(A484, node!$C$2:$D$1000, 2, FALSE), "")</f>
        <v/>
      </c>
      <c r="C484" s="109" t="str">
        <f>IF(A484&lt;&gt;"", VLOOKUP(A484, node!$C$2:$E$1000, 3, FALSE), "")</f>
        <v/>
      </c>
      <c r="D484" s="110" t="str">
        <f>IF(A484&lt;&gt;"",COUNTIFS(node!$C$2:$C$1000,"="&amp;A484, node!$C$2:$C$1000,"&lt;&gt;"&amp;""),"")</f>
        <v/>
      </c>
      <c r="E484" s="111" t="str">
        <f>IF(A484&lt;&gt;"",SUMIFS(node!$F$2:$F$500, node!$C$2:$C$500,"="&amp;A484, node!$C$2:$C$500,"&lt;&gt;"&amp;"")/(B484*D484),"")</f>
        <v/>
      </c>
      <c r="F484" s="112" t="str">
        <f>IF(A484&lt;&gt;"",SUMIFS(node!$H$2:$H$500, node!$C$2:$C$500,"="&amp;A484, node!$C$2:$C$500,"&lt;&gt;"&amp;"")/(C484*D484),"")</f>
        <v/>
      </c>
      <c r="G484" s="179" t="str">
        <f>IF(A484&lt;&gt;"",SUMIFS(deployment!$F$4:$F$502, deployment!$D$4:$D$502,"="&amp;A484, deployment!$D$4:$D$502,"&lt;&gt;"&amp;""),"")</f>
        <v/>
      </c>
      <c r="H484" s="181" t="str">
        <f>IF(A484&lt;&gt;"",SUMIFS(deployment!$G$4:$G$502, deployment!$D$4:$D$502,"="&amp;A484, deployment!$D$4:$D$502,"&lt;&gt;"&amp;""),"")</f>
        <v/>
      </c>
      <c r="I484" s="113" t="str">
        <f>IF(A484&lt;&gt;"",SUMIFS(deployment!$H$4:$H$502, deployment!$D$4:$D$502,"="&amp;A484, deployment!$D$4:$D$502,"&lt;&gt;"&amp;""),"")</f>
        <v/>
      </c>
      <c r="J484" s="114" t="str">
        <f>IF(A484&lt;&gt;"",SUMIFS(deployment!$I$4:$I$502, deployment!$D$4:$D$502,"="&amp;A484, deployment!$D$4:$D$502,"&lt;&gt;"&amp;""),"")</f>
        <v/>
      </c>
      <c r="K484" s="182" t="str">
        <f>IF(A484&lt;&gt;"",SUMIFS(deployment!$J$4:$J$1002, deployment!$D$4:$D$1002,"="&amp;A484, deployment!$D$4:$D$1002,"&lt;&gt;"&amp;"", deployment!$C$4:$C$1002, "&lt;&gt;* )")+SUMIFS(namespace!$G$4:$G$1002, namespace!$B$4:$B$1002,"="&amp;A484, namespace!$B$4:$B$1002,"&lt;&gt;"&amp;""),"")</f>
        <v/>
      </c>
      <c r="L484" s="182" t="str">
        <f>IF(A484&lt;&gt;"",SUMIFS(deployment!$K$4:$K$1002, deployment!$D$4:$D$1002,"="&amp;A484, deployment!$D$4:$D$1002,"&lt;&gt;"&amp;"", deployment!$C$4:$C$1002, "&lt;&gt;* )")+SUMIFS(namespace!$H$4:$H$1002, namespace!$B$4:$B$1002,"="&amp;A484, namespace!$B$4:$B$1002,"&lt;&gt;"&amp;""),"")</f>
        <v/>
      </c>
      <c r="M484" s="115" t="str">
        <f>IF(A484&lt;&gt;"",SUMIFS(deployment!$L$4:$L$1002, deployment!$D$4:$D$1002,"="&amp;A484, deployment!$D$4:$D$1002,"&lt;&gt;"&amp;"", deployment!$C$4:$C$1002, "&lt;&gt;* )")+SUMIFS(namespace!$I$4:$I$1002, namespace!$B$4:$B$1002,"="&amp;A484, namespace!$B$4:$B$1002,"&lt;&gt;"&amp;""),"")</f>
        <v/>
      </c>
      <c r="N484" s="115" t="str">
        <f>IF(A484&lt;&gt;"",SUMIFS(deployment!$M$4:$M$1002, deployment!$D$4:$D$1002,"="&amp;A484, deployment!$D$4:$D$1002,"&lt;&gt;"&amp;"", deployment!$C$4:$C$1002, "&lt;&gt;* )")+SUMIFS(namespace!$J$4:$J$1002, namespace!$B$4:$B$1002,"="&amp;A484, namespace!$B$4:$B$1002,"&lt;&gt;"&amp;""),"")</f>
        <v/>
      </c>
      <c r="O484" s="116" t="str">
        <f t="shared" si="91"/>
        <v/>
      </c>
      <c r="P484" s="63"/>
      <c r="Q484" s="164" t="str">
        <f t="shared" si="86"/>
        <v/>
      </c>
      <c r="R484" s="60" t="str">
        <f t="shared" si="87"/>
        <v/>
      </c>
      <c r="S484" s="60" t="str">
        <f t="shared" si="88"/>
        <v/>
      </c>
      <c r="T484" s="61" t="str">
        <f t="shared" si="89"/>
        <v/>
      </c>
      <c r="U484" s="61" t="str">
        <f t="shared" si="90"/>
        <v/>
      </c>
      <c r="V484" s="183" t="str">
        <f t="shared" si="92"/>
        <v/>
      </c>
      <c r="W484" s="183" t="str">
        <f t="shared" si="93"/>
        <v/>
      </c>
      <c r="X484" s="61" t="str">
        <f t="shared" si="94"/>
        <v/>
      </c>
      <c r="Y484" s="61" t="str">
        <f t="shared" si="95"/>
        <v/>
      </c>
      <c r="Z484" s="118" t="str">
        <f t="shared" si="96"/>
        <v/>
      </c>
      <c r="AA484" s="62" t="str">
        <f t="shared" si="97"/>
        <v/>
      </c>
      <c r="AB484" s="119" t="str">
        <f>IF(A484&lt;&gt;"", IF(P484&lt;&gt;0,SUMIFS(node!$J$2:$J$1000, node!$C$2:$C$1000,"="&amp;A484)/P484,0), "")</f>
        <v/>
      </c>
      <c r="AC484" s="81" t="str">
        <f>IF(A484&lt;&gt;"", IF(P484&lt;&gt;0,SUMIFS(node!$K$2:$K$1000, node!$C$2:$C$1000,"="&amp;A484)/P484,0), "")</f>
        <v/>
      </c>
      <c r="AD484" s="82" t="str">
        <f>IF(A484&lt;&gt;"", SUMIFS(node!$L$2:$L$1000, node!$C$2:$C$1000,"="&amp;A484), "")</f>
        <v/>
      </c>
      <c r="AE484" s="87" t="str">
        <f>IF(A484&lt;&gt;"", SUMIFS(node!$M$2:$M$1000, node!$C$2:$C$1000,"="&amp;A484), "")</f>
        <v/>
      </c>
    </row>
    <row r="485" spans="1:31" ht="15.75" customHeight="1" x14ac:dyDescent="0.25">
      <c r="A485" s="71" t="str">
        <f>IF(ISNONTEXT(node_raw[[#This Row],[Column2]]), "", node_raw[[#This Row],[Column2]])</f>
        <v/>
      </c>
      <c r="B485" s="108" t="str">
        <f>IF(A485&lt;&gt;"", VLOOKUP(A485, node!$C$2:$D$1000, 2, FALSE), "")</f>
        <v/>
      </c>
      <c r="C485" s="109" t="str">
        <f>IF(A485&lt;&gt;"", VLOOKUP(A485, node!$C$2:$E$1000, 3, FALSE), "")</f>
        <v/>
      </c>
      <c r="D485" s="110" t="str">
        <f>IF(A485&lt;&gt;"",COUNTIFS(node!$C$2:$C$1000,"="&amp;A485, node!$C$2:$C$1000,"&lt;&gt;"&amp;""),"")</f>
        <v/>
      </c>
      <c r="E485" s="111" t="str">
        <f>IF(A485&lt;&gt;"",SUMIFS(node!$F$2:$F$500, node!$C$2:$C$500,"="&amp;A485, node!$C$2:$C$500,"&lt;&gt;"&amp;"")/(B485*D485),"")</f>
        <v/>
      </c>
      <c r="F485" s="112" t="str">
        <f>IF(A485&lt;&gt;"",SUMIFS(node!$H$2:$H$500, node!$C$2:$C$500,"="&amp;A485, node!$C$2:$C$500,"&lt;&gt;"&amp;"")/(C485*D485),"")</f>
        <v/>
      </c>
      <c r="G485" s="179" t="str">
        <f>IF(A485&lt;&gt;"",SUMIFS(deployment!$F$4:$F$502, deployment!$D$4:$D$502,"="&amp;A485, deployment!$D$4:$D$502,"&lt;&gt;"&amp;""),"")</f>
        <v/>
      </c>
      <c r="H485" s="181" t="str">
        <f>IF(A485&lt;&gt;"",SUMIFS(deployment!$G$4:$G$502, deployment!$D$4:$D$502,"="&amp;A485, deployment!$D$4:$D$502,"&lt;&gt;"&amp;""),"")</f>
        <v/>
      </c>
      <c r="I485" s="113" t="str">
        <f>IF(A485&lt;&gt;"",SUMIFS(deployment!$H$4:$H$502, deployment!$D$4:$D$502,"="&amp;A485, deployment!$D$4:$D$502,"&lt;&gt;"&amp;""),"")</f>
        <v/>
      </c>
      <c r="J485" s="114" t="str">
        <f>IF(A485&lt;&gt;"",SUMIFS(deployment!$I$4:$I$502, deployment!$D$4:$D$502,"="&amp;A485, deployment!$D$4:$D$502,"&lt;&gt;"&amp;""),"")</f>
        <v/>
      </c>
      <c r="K485" s="182" t="str">
        <f>IF(A485&lt;&gt;"",SUMIFS(deployment!$J$4:$J$1002, deployment!$D$4:$D$1002,"="&amp;A485, deployment!$D$4:$D$1002,"&lt;&gt;"&amp;"", deployment!$C$4:$C$1002, "&lt;&gt;* )")+SUMIFS(namespace!$G$4:$G$1002, namespace!$B$4:$B$1002,"="&amp;A485, namespace!$B$4:$B$1002,"&lt;&gt;"&amp;""),"")</f>
        <v/>
      </c>
      <c r="L485" s="182" t="str">
        <f>IF(A485&lt;&gt;"",SUMIFS(deployment!$K$4:$K$1002, deployment!$D$4:$D$1002,"="&amp;A485, deployment!$D$4:$D$1002,"&lt;&gt;"&amp;"", deployment!$C$4:$C$1002, "&lt;&gt;* )")+SUMIFS(namespace!$H$4:$H$1002, namespace!$B$4:$B$1002,"="&amp;A485, namespace!$B$4:$B$1002,"&lt;&gt;"&amp;""),"")</f>
        <v/>
      </c>
      <c r="M485" s="115" t="str">
        <f>IF(A485&lt;&gt;"",SUMIFS(deployment!$L$4:$L$1002, deployment!$D$4:$D$1002,"="&amp;A485, deployment!$D$4:$D$1002,"&lt;&gt;"&amp;"", deployment!$C$4:$C$1002, "&lt;&gt;* )")+SUMIFS(namespace!$I$4:$I$1002, namespace!$B$4:$B$1002,"="&amp;A485, namespace!$B$4:$B$1002,"&lt;&gt;"&amp;""),"")</f>
        <v/>
      </c>
      <c r="N485" s="115" t="str">
        <f>IF(A485&lt;&gt;"",SUMIFS(deployment!$M$4:$M$1002, deployment!$D$4:$D$1002,"="&amp;A485, deployment!$D$4:$D$1002,"&lt;&gt;"&amp;"", deployment!$C$4:$C$1002, "&lt;&gt;* )")+SUMIFS(namespace!$J$4:$J$1002, namespace!$B$4:$B$1002,"="&amp;A485, namespace!$B$4:$B$1002,"&lt;&gt;"&amp;""),"")</f>
        <v/>
      </c>
      <c r="O485" s="116" t="str">
        <f t="shared" si="91"/>
        <v/>
      </c>
      <c r="P485" s="63"/>
      <c r="Q485" s="164" t="str">
        <f t="shared" si="86"/>
        <v/>
      </c>
      <c r="R485" s="60" t="str">
        <f t="shared" si="87"/>
        <v/>
      </c>
      <c r="S485" s="60" t="str">
        <f t="shared" si="88"/>
        <v/>
      </c>
      <c r="T485" s="61" t="str">
        <f t="shared" si="89"/>
        <v/>
      </c>
      <c r="U485" s="61" t="str">
        <f t="shared" si="90"/>
        <v/>
      </c>
      <c r="V485" s="183" t="str">
        <f t="shared" si="92"/>
        <v/>
      </c>
      <c r="W485" s="183" t="str">
        <f t="shared" si="93"/>
        <v/>
      </c>
      <c r="X485" s="61" t="str">
        <f t="shared" si="94"/>
        <v/>
      </c>
      <c r="Y485" s="61" t="str">
        <f t="shared" si="95"/>
        <v/>
      </c>
      <c r="Z485" s="118" t="str">
        <f t="shared" si="96"/>
        <v/>
      </c>
      <c r="AA485" s="62" t="str">
        <f t="shared" si="97"/>
        <v/>
      </c>
      <c r="AB485" s="119" t="str">
        <f>IF(A485&lt;&gt;"", IF(P485&lt;&gt;0,SUMIFS(node!$J$2:$J$1000, node!$C$2:$C$1000,"="&amp;A485)/P485,0), "")</f>
        <v/>
      </c>
      <c r="AC485" s="81" t="str">
        <f>IF(A485&lt;&gt;"", IF(P485&lt;&gt;0,SUMIFS(node!$K$2:$K$1000, node!$C$2:$C$1000,"="&amp;A485)/P485,0), "")</f>
        <v/>
      </c>
      <c r="AD485" s="82" t="str">
        <f>IF(A485&lt;&gt;"", SUMIFS(node!$L$2:$L$1000, node!$C$2:$C$1000,"="&amp;A485), "")</f>
        <v/>
      </c>
      <c r="AE485" s="87" t="str">
        <f>IF(A485&lt;&gt;"", SUMIFS(node!$M$2:$M$1000, node!$C$2:$C$1000,"="&amp;A485), "")</f>
        <v/>
      </c>
    </row>
    <row r="486" spans="1:31" ht="15.75" customHeight="1" x14ac:dyDescent="0.25">
      <c r="A486" s="71" t="str">
        <f>IF(ISNONTEXT(node_raw[[#This Row],[Column2]]), "", node_raw[[#This Row],[Column2]])</f>
        <v/>
      </c>
      <c r="B486" s="108" t="str">
        <f>IF(A486&lt;&gt;"", VLOOKUP(A486, node!$C$2:$D$1000, 2, FALSE), "")</f>
        <v/>
      </c>
      <c r="C486" s="109" t="str">
        <f>IF(A486&lt;&gt;"", VLOOKUP(A486, node!$C$2:$E$1000, 3, FALSE), "")</f>
        <v/>
      </c>
      <c r="D486" s="110" t="str">
        <f>IF(A486&lt;&gt;"",COUNTIFS(node!$C$2:$C$1000,"="&amp;A486, node!$C$2:$C$1000,"&lt;&gt;"&amp;""),"")</f>
        <v/>
      </c>
      <c r="E486" s="111" t="str">
        <f>IF(A486&lt;&gt;"",SUMIFS(node!$F$2:$F$500, node!$C$2:$C$500,"="&amp;A486, node!$C$2:$C$500,"&lt;&gt;"&amp;"")/(B486*D486),"")</f>
        <v/>
      </c>
      <c r="F486" s="112" t="str">
        <f>IF(A486&lt;&gt;"",SUMIFS(node!$H$2:$H$500, node!$C$2:$C$500,"="&amp;A486, node!$C$2:$C$500,"&lt;&gt;"&amp;"")/(C486*D486),"")</f>
        <v/>
      </c>
      <c r="G486" s="179" t="str">
        <f>IF(A486&lt;&gt;"",SUMIFS(deployment!$F$4:$F$502, deployment!$D$4:$D$502,"="&amp;A486, deployment!$D$4:$D$502,"&lt;&gt;"&amp;""),"")</f>
        <v/>
      </c>
      <c r="H486" s="181" t="str">
        <f>IF(A486&lt;&gt;"",SUMIFS(deployment!$G$4:$G$502, deployment!$D$4:$D$502,"="&amp;A486, deployment!$D$4:$D$502,"&lt;&gt;"&amp;""),"")</f>
        <v/>
      </c>
      <c r="I486" s="113" t="str">
        <f>IF(A486&lt;&gt;"",SUMIFS(deployment!$H$4:$H$502, deployment!$D$4:$D$502,"="&amp;A486, deployment!$D$4:$D$502,"&lt;&gt;"&amp;""),"")</f>
        <v/>
      </c>
      <c r="J486" s="114" t="str">
        <f>IF(A486&lt;&gt;"",SUMIFS(deployment!$I$4:$I$502, deployment!$D$4:$D$502,"="&amp;A486, deployment!$D$4:$D$502,"&lt;&gt;"&amp;""),"")</f>
        <v/>
      </c>
      <c r="K486" s="182" t="str">
        <f>IF(A486&lt;&gt;"",SUMIFS(deployment!$J$4:$J$1002, deployment!$D$4:$D$1002,"="&amp;A486, deployment!$D$4:$D$1002,"&lt;&gt;"&amp;"", deployment!$C$4:$C$1002, "&lt;&gt;* )")+SUMIFS(namespace!$G$4:$G$1002, namespace!$B$4:$B$1002,"="&amp;A486, namespace!$B$4:$B$1002,"&lt;&gt;"&amp;""),"")</f>
        <v/>
      </c>
      <c r="L486" s="182" t="str">
        <f>IF(A486&lt;&gt;"",SUMIFS(deployment!$K$4:$K$1002, deployment!$D$4:$D$1002,"="&amp;A486, deployment!$D$4:$D$1002,"&lt;&gt;"&amp;"", deployment!$C$4:$C$1002, "&lt;&gt;* )")+SUMIFS(namespace!$H$4:$H$1002, namespace!$B$4:$B$1002,"="&amp;A486, namespace!$B$4:$B$1002,"&lt;&gt;"&amp;""),"")</f>
        <v/>
      </c>
      <c r="M486" s="115" t="str">
        <f>IF(A486&lt;&gt;"",SUMIFS(deployment!$L$4:$L$1002, deployment!$D$4:$D$1002,"="&amp;A486, deployment!$D$4:$D$1002,"&lt;&gt;"&amp;"", deployment!$C$4:$C$1002, "&lt;&gt;* )")+SUMIFS(namespace!$I$4:$I$1002, namespace!$B$4:$B$1002,"="&amp;A486, namespace!$B$4:$B$1002,"&lt;&gt;"&amp;""),"")</f>
        <v/>
      </c>
      <c r="N486" s="115" t="str">
        <f>IF(A486&lt;&gt;"",SUMIFS(deployment!$M$4:$M$1002, deployment!$D$4:$D$1002,"="&amp;A486, deployment!$D$4:$D$1002,"&lt;&gt;"&amp;"", deployment!$C$4:$C$1002, "&lt;&gt;* )")+SUMIFS(namespace!$J$4:$J$1002, namespace!$B$4:$B$1002,"="&amp;A486, namespace!$B$4:$B$1002,"&lt;&gt;"&amp;""),"")</f>
        <v/>
      </c>
      <c r="O486" s="116" t="str">
        <f t="shared" si="91"/>
        <v/>
      </c>
      <c r="P486" s="63"/>
      <c r="Q486" s="164" t="str">
        <f t="shared" si="86"/>
        <v/>
      </c>
      <c r="R486" s="60" t="str">
        <f t="shared" si="87"/>
        <v/>
      </c>
      <c r="S486" s="60" t="str">
        <f t="shared" si="88"/>
        <v/>
      </c>
      <c r="T486" s="61" t="str">
        <f t="shared" si="89"/>
        <v/>
      </c>
      <c r="U486" s="61" t="str">
        <f t="shared" si="90"/>
        <v/>
      </c>
      <c r="V486" s="183" t="str">
        <f t="shared" si="92"/>
        <v/>
      </c>
      <c r="W486" s="183" t="str">
        <f t="shared" si="93"/>
        <v/>
      </c>
      <c r="X486" s="61" t="str">
        <f t="shared" si="94"/>
        <v/>
      </c>
      <c r="Y486" s="61" t="str">
        <f t="shared" si="95"/>
        <v/>
      </c>
      <c r="Z486" s="118" t="str">
        <f t="shared" si="96"/>
        <v/>
      </c>
      <c r="AA486" s="62" t="str">
        <f t="shared" si="97"/>
        <v/>
      </c>
      <c r="AB486" s="119" t="str">
        <f>IF(A486&lt;&gt;"", IF(P486&lt;&gt;0,SUMIFS(node!$J$2:$J$1000, node!$C$2:$C$1000,"="&amp;A486)/P486,0), "")</f>
        <v/>
      </c>
      <c r="AC486" s="81" t="str">
        <f>IF(A486&lt;&gt;"", IF(P486&lt;&gt;0,SUMIFS(node!$K$2:$K$1000, node!$C$2:$C$1000,"="&amp;A486)/P486,0), "")</f>
        <v/>
      </c>
      <c r="AD486" s="82" t="str">
        <f>IF(A486&lt;&gt;"", SUMIFS(node!$L$2:$L$1000, node!$C$2:$C$1000,"="&amp;A486), "")</f>
        <v/>
      </c>
      <c r="AE486" s="87" t="str">
        <f>IF(A486&lt;&gt;"", SUMIFS(node!$M$2:$M$1000, node!$C$2:$C$1000,"="&amp;A486), "")</f>
        <v/>
      </c>
    </row>
    <row r="487" spans="1:31" ht="15.75" customHeight="1" x14ac:dyDescent="0.25">
      <c r="A487" s="71" t="str">
        <f>IF(ISNONTEXT(node_raw[[#This Row],[Column2]]), "", node_raw[[#This Row],[Column2]])</f>
        <v/>
      </c>
      <c r="B487" s="108" t="str">
        <f>IF(A487&lt;&gt;"", VLOOKUP(A487, node!$C$2:$D$1000, 2, FALSE), "")</f>
        <v/>
      </c>
      <c r="C487" s="109" t="str">
        <f>IF(A487&lt;&gt;"", VLOOKUP(A487, node!$C$2:$E$1000, 3, FALSE), "")</f>
        <v/>
      </c>
      <c r="D487" s="110" t="str">
        <f>IF(A487&lt;&gt;"",COUNTIFS(node!$C$2:$C$1000,"="&amp;A487, node!$C$2:$C$1000,"&lt;&gt;"&amp;""),"")</f>
        <v/>
      </c>
      <c r="E487" s="111" t="str">
        <f>IF(A487&lt;&gt;"",SUMIFS(node!$F$2:$F$500, node!$C$2:$C$500,"="&amp;A487, node!$C$2:$C$500,"&lt;&gt;"&amp;"")/(B487*D487),"")</f>
        <v/>
      </c>
      <c r="F487" s="112" t="str">
        <f>IF(A487&lt;&gt;"",SUMIFS(node!$H$2:$H$500, node!$C$2:$C$500,"="&amp;A487, node!$C$2:$C$500,"&lt;&gt;"&amp;"")/(C487*D487),"")</f>
        <v/>
      </c>
      <c r="G487" s="179" t="str">
        <f>IF(A487&lt;&gt;"",SUMIFS(deployment!$F$4:$F$502, deployment!$D$4:$D$502,"="&amp;A487, deployment!$D$4:$D$502,"&lt;&gt;"&amp;""),"")</f>
        <v/>
      </c>
      <c r="H487" s="181" t="str">
        <f>IF(A487&lt;&gt;"",SUMIFS(deployment!$G$4:$G$502, deployment!$D$4:$D$502,"="&amp;A487, deployment!$D$4:$D$502,"&lt;&gt;"&amp;""),"")</f>
        <v/>
      </c>
      <c r="I487" s="113" t="str">
        <f>IF(A487&lt;&gt;"",SUMIFS(deployment!$H$4:$H$502, deployment!$D$4:$D$502,"="&amp;A487, deployment!$D$4:$D$502,"&lt;&gt;"&amp;""),"")</f>
        <v/>
      </c>
      <c r="J487" s="114" t="str">
        <f>IF(A487&lt;&gt;"",SUMIFS(deployment!$I$4:$I$502, deployment!$D$4:$D$502,"="&amp;A487, deployment!$D$4:$D$502,"&lt;&gt;"&amp;""),"")</f>
        <v/>
      </c>
      <c r="K487" s="182" t="str">
        <f>IF(A487&lt;&gt;"",SUMIFS(deployment!$J$4:$J$1002, deployment!$D$4:$D$1002,"="&amp;A487, deployment!$D$4:$D$1002,"&lt;&gt;"&amp;"", deployment!$C$4:$C$1002, "&lt;&gt;* )")+SUMIFS(namespace!$G$4:$G$1002, namespace!$B$4:$B$1002,"="&amp;A487, namespace!$B$4:$B$1002,"&lt;&gt;"&amp;""),"")</f>
        <v/>
      </c>
      <c r="L487" s="182" t="str">
        <f>IF(A487&lt;&gt;"",SUMIFS(deployment!$K$4:$K$1002, deployment!$D$4:$D$1002,"="&amp;A487, deployment!$D$4:$D$1002,"&lt;&gt;"&amp;"", deployment!$C$4:$C$1002, "&lt;&gt;* )")+SUMIFS(namespace!$H$4:$H$1002, namespace!$B$4:$B$1002,"="&amp;A487, namespace!$B$4:$B$1002,"&lt;&gt;"&amp;""),"")</f>
        <v/>
      </c>
      <c r="M487" s="115" t="str">
        <f>IF(A487&lt;&gt;"",SUMIFS(deployment!$L$4:$L$1002, deployment!$D$4:$D$1002,"="&amp;A487, deployment!$D$4:$D$1002,"&lt;&gt;"&amp;"", deployment!$C$4:$C$1002, "&lt;&gt;* )")+SUMIFS(namespace!$I$4:$I$1002, namespace!$B$4:$B$1002,"="&amp;A487, namespace!$B$4:$B$1002,"&lt;&gt;"&amp;""),"")</f>
        <v/>
      </c>
      <c r="N487" s="115" t="str">
        <f>IF(A487&lt;&gt;"",SUMIFS(deployment!$M$4:$M$1002, deployment!$D$4:$D$1002,"="&amp;A487, deployment!$D$4:$D$1002,"&lt;&gt;"&amp;"", deployment!$C$4:$C$1002, "&lt;&gt;* )")+SUMIFS(namespace!$J$4:$J$1002, namespace!$B$4:$B$1002,"="&amp;A487, namespace!$B$4:$B$1002,"&lt;&gt;"&amp;""),"")</f>
        <v/>
      </c>
      <c r="O487" s="116" t="str">
        <f t="shared" si="91"/>
        <v/>
      </c>
      <c r="P487" s="63"/>
      <c r="Q487" s="164" t="str">
        <f t="shared" si="86"/>
        <v/>
      </c>
      <c r="R487" s="60" t="str">
        <f t="shared" si="87"/>
        <v/>
      </c>
      <c r="S487" s="60" t="str">
        <f t="shared" si="88"/>
        <v/>
      </c>
      <c r="T487" s="61" t="str">
        <f t="shared" si="89"/>
        <v/>
      </c>
      <c r="U487" s="61" t="str">
        <f t="shared" si="90"/>
        <v/>
      </c>
      <c r="V487" s="183" t="str">
        <f t="shared" si="92"/>
        <v/>
      </c>
      <c r="W487" s="183" t="str">
        <f t="shared" si="93"/>
        <v/>
      </c>
      <c r="X487" s="61" t="str">
        <f t="shared" si="94"/>
        <v/>
      </c>
      <c r="Y487" s="61" t="str">
        <f t="shared" si="95"/>
        <v/>
      </c>
      <c r="Z487" s="118" t="str">
        <f t="shared" si="96"/>
        <v/>
      </c>
      <c r="AA487" s="62" t="str">
        <f t="shared" si="97"/>
        <v/>
      </c>
      <c r="AB487" s="119" t="str">
        <f>IF(A487&lt;&gt;"", IF(P487&lt;&gt;0,SUMIFS(node!$J$2:$J$1000, node!$C$2:$C$1000,"="&amp;A487)/P487,0), "")</f>
        <v/>
      </c>
      <c r="AC487" s="81" t="str">
        <f>IF(A487&lt;&gt;"", IF(P487&lt;&gt;0,SUMIFS(node!$K$2:$K$1000, node!$C$2:$C$1000,"="&amp;A487)/P487,0), "")</f>
        <v/>
      </c>
      <c r="AD487" s="82" t="str">
        <f>IF(A487&lt;&gt;"", SUMIFS(node!$L$2:$L$1000, node!$C$2:$C$1000,"="&amp;A487), "")</f>
        <v/>
      </c>
      <c r="AE487" s="87" t="str">
        <f>IF(A487&lt;&gt;"", SUMIFS(node!$M$2:$M$1000, node!$C$2:$C$1000,"="&amp;A487), "")</f>
        <v/>
      </c>
    </row>
    <row r="488" spans="1:31" ht="15.75" customHeight="1" x14ac:dyDescent="0.25">
      <c r="A488" s="71" t="str">
        <f>IF(ISNONTEXT(node_raw[[#This Row],[Column2]]), "", node_raw[[#This Row],[Column2]])</f>
        <v/>
      </c>
      <c r="B488" s="108" t="str">
        <f>IF(A488&lt;&gt;"", VLOOKUP(A488, node!$C$2:$D$1000, 2, FALSE), "")</f>
        <v/>
      </c>
      <c r="C488" s="109" t="str">
        <f>IF(A488&lt;&gt;"", VLOOKUP(A488, node!$C$2:$E$1000, 3, FALSE), "")</f>
        <v/>
      </c>
      <c r="D488" s="110" t="str">
        <f>IF(A488&lt;&gt;"",COUNTIFS(node!$C$2:$C$1000,"="&amp;A488, node!$C$2:$C$1000,"&lt;&gt;"&amp;""),"")</f>
        <v/>
      </c>
      <c r="E488" s="111" t="str">
        <f>IF(A488&lt;&gt;"",SUMIFS(node!$F$2:$F$500, node!$C$2:$C$500,"="&amp;A488, node!$C$2:$C$500,"&lt;&gt;"&amp;"")/(B488*D488),"")</f>
        <v/>
      </c>
      <c r="F488" s="112" t="str">
        <f>IF(A488&lt;&gt;"",SUMIFS(node!$H$2:$H$500, node!$C$2:$C$500,"="&amp;A488, node!$C$2:$C$500,"&lt;&gt;"&amp;"")/(C488*D488),"")</f>
        <v/>
      </c>
      <c r="G488" s="179" t="str">
        <f>IF(A488&lt;&gt;"",SUMIFS(deployment!$F$4:$F$502, deployment!$D$4:$D$502,"="&amp;A488, deployment!$D$4:$D$502,"&lt;&gt;"&amp;""),"")</f>
        <v/>
      </c>
      <c r="H488" s="181" t="str">
        <f>IF(A488&lt;&gt;"",SUMIFS(deployment!$G$4:$G$502, deployment!$D$4:$D$502,"="&amp;A488, deployment!$D$4:$D$502,"&lt;&gt;"&amp;""),"")</f>
        <v/>
      </c>
      <c r="I488" s="113" t="str">
        <f>IF(A488&lt;&gt;"",SUMIFS(deployment!$H$4:$H$502, deployment!$D$4:$D$502,"="&amp;A488, deployment!$D$4:$D$502,"&lt;&gt;"&amp;""),"")</f>
        <v/>
      </c>
      <c r="J488" s="114" t="str">
        <f>IF(A488&lt;&gt;"",SUMIFS(deployment!$I$4:$I$502, deployment!$D$4:$D$502,"="&amp;A488, deployment!$D$4:$D$502,"&lt;&gt;"&amp;""),"")</f>
        <v/>
      </c>
      <c r="K488" s="182" t="str">
        <f>IF(A488&lt;&gt;"",SUMIFS(deployment!$J$4:$J$1002, deployment!$D$4:$D$1002,"="&amp;A488, deployment!$D$4:$D$1002,"&lt;&gt;"&amp;"", deployment!$C$4:$C$1002, "&lt;&gt;* )")+SUMIFS(namespace!$G$4:$G$1002, namespace!$B$4:$B$1002,"="&amp;A488, namespace!$B$4:$B$1002,"&lt;&gt;"&amp;""),"")</f>
        <v/>
      </c>
      <c r="L488" s="182" t="str">
        <f>IF(A488&lt;&gt;"",SUMIFS(deployment!$K$4:$K$1002, deployment!$D$4:$D$1002,"="&amp;A488, deployment!$D$4:$D$1002,"&lt;&gt;"&amp;"", deployment!$C$4:$C$1002, "&lt;&gt;* )")+SUMIFS(namespace!$H$4:$H$1002, namespace!$B$4:$B$1002,"="&amp;A488, namespace!$B$4:$B$1002,"&lt;&gt;"&amp;""),"")</f>
        <v/>
      </c>
      <c r="M488" s="115" t="str">
        <f>IF(A488&lt;&gt;"",SUMIFS(deployment!$L$4:$L$1002, deployment!$D$4:$D$1002,"="&amp;A488, deployment!$D$4:$D$1002,"&lt;&gt;"&amp;"", deployment!$C$4:$C$1002, "&lt;&gt;* )")+SUMIFS(namespace!$I$4:$I$1002, namespace!$B$4:$B$1002,"="&amp;A488, namespace!$B$4:$B$1002,"&lt;&gt;"&amp;""),"")</f>
        <v/>
      </c>
      <c r="N488" s="115" t="str">
        <f>IF(A488&lt;&gt;"",SUMIFS(deployment!$M$4:$M$1002, deployment!$D$4:$D$1002,"="&amp;A488, deployment!$D$4:$D$1002,"&lt;&gt;"&amp;"", deployment!$C$4:$C$1002, "&lt;&gt;* )")+SUMIFS(namespace!$J$4:$J$1002, namespace!$B$4:$B$1002,"="&amp;A488, namespace!$B$4:$B$1002,"&lt;&gt;"&amp;""),"")</f>
        <v/>
      </c>
      <c r="O488" s="116" t="str">
        <f t="shared" si="91"/>
        <v/>
      </c>
      <c r="P488" s="63"/>
      <c r="Q488" s="164" t="str">
        <f t="shared" si="86"/>
        <v/>
      </c>
      <c r="R488" s="60" t="str">
        <f t="shared" si="87"/>
        <v/>
      </c>
      <c r="S488" s="60" t="str">
        <f t="shared" si="88"/>
        <v/>
      </c>
      <c r="T488" s="61" t="str">
        <f t="shared" si="89"/>
        <v/>
      </c>
      <c r="U488" s="61" t="str">
        <f t="shared" si="90"/>
        <v/>
      </c>
      <c r="V488" s="183" t="str">
        <f t="shared" si="92"/>
        <v/>
      </c>
      <c r="W488" s="183" t="str">
        <f t="shared" si="93"/>
        <v/>
      </c>
      <c r="X488" s="61" t="str">
        <f t="shared" si="94"/>
        <v/>
      </c>
      <c r="Y488" s="61" t="str">
        <f t="shared" si="95"/>
        <v/>
      </c>
      <c r="Z488" s="118" t="str">
        <f t="shared" si="96"/>
        <v/>
      </c>
      <c r="AA488" s="62" t="str">
        <f t="shared" si="97"/>
        <v/>
      </c>
      <c r="AB488" s="119" t="str">
        <f>IF(A488&lt;&gt;"", IF(P488&lt;&gt;0,SUMIFS(node!$J$2:$J$1000, node!$C$2:$C$1000,"="&amp;A488)/P488,0), "")</f>
        <v/>
      </c>
      <c r="AC488" s="81" t="str">
        <f>IF(A488&lt;&gt;"", IF(P488&lt;&gt;0,SUMIFS(node!$K$2:$K$1000, node!$C$2:$C$1000,"="&amp;A488)/P488,0), "")</f>
        <v/>
      </c>
      <c r="AD488" s="82" t="str">
        <f>IF(A488&lt;&gt;"", SUMIFS(node!$L$2:$L$1000, node!$C$2:$C$1000,"="&amp;A488), "")</f>
        <v/>
      </c>
      <c r="AE488" s="87" t="str">
        <f>IF(A488&lt;&gt;"", SUMIFS(node!$M$2:$M$1000, node!$C$2:$C$1000,"="&amp;A488), "")</f>
        <v/>
      </c>
    </row>
    <row r="489" spans="1:31" ht="15.75" customHeight="1" x14ac:dyDescent="0.25">
      <c r="A489" s="71" t="str">
        <f>IF(ISNONTEXT(node_raw[[#This Row],[Column2]]), "", node_raw[[#This Row],[Column2]])</f>
        <v/>
      </c>
      <c r="B489" s="108" t="str">
        <f>IF(A489&lt;&gt;"", VLOOKUP(A489, node!$C$2:$D$1000, 2, FALSE), "")</f>
        <v/>
      </c>
      <c r="C489" s="109" t="str">
        <f>IF(A489&lt;&gt;"", VLOOKUP(A489, node!$C$2:$E$1000, 3, FALSE), "")</f>
        <v/>
      </c>
      <c r="D489" s="110" t="str">
        <f>IF(A489&lt;&gt;"",COUNTIFS(node!$C$2:$C$1000,"="&amp;A489, node!$C$2:$C$1000,"&lt;&gt;"&amp;""),"")</f>
        <v/>
      </c>
      <c r="E489" s="111" t="str">
        <f>IF(A489&lt;&gt;"",SUMIFS(node!$F$2:$F$500, node!$C$2:$C$500,"="&amp;A489, node!$C$2:$C$500,"&lt;&gt;"&amp;"")/(B489*D489),"")</f>
        <v/>
      </c>
      <c r="F489" s="112" t="str">
        <f>IF(A489&lt;&gt;"",SUMIFS(node!$H$2:$H$500, node!$C$2:$C$500,"="&amp;A489, node!$C$2:$C$500,"&lt;&gt;"&amp;"")/(C489*D489),"")</f>
        <v/>
      </c>
      <c r="G489" s="179" t="str">
        <f>IF(A489&lt;&gt;"",SUMIFS(deployment!$F$4:$F$502, deployment!$D$4:$D$502,"="&amp;A489, deployment!$D$4:$D$502,"&lt;&gt;"&amp;""),"")</f>
        <v/>
      </c>
      <c r="H489" s="181" t="str">
        <f>IF(A489&lt;&gt;"",SUMIFS(deployment!$G$4:$G$502, deployment!$D$4:$D$502,"="&amp;A489, deployment!$D$4:$D$502,"&lt;&gt;"&amp;""),"")</f>
        <v/>
      </c>
      <c r="I489" s="113" t="str">
        <f>IF(A489&lt;&gt;"",SUMIFS(deployment!$H$4:$H$502, deployment!$D$4:$D$502,"="&amp;A489, deployment!$D$4:$D$502,"&lt;&gt;"&amp;""),"")</f>
        <v/>
      </c>
      <c r="J489" s="114" t="str">
        <f>IF(A489&lt;&gt;"",SUMIFS(deployment!$I$4:$I$502, deployment!$D$4:$D$502,"="&amp;A489, deployment!$D$4:$D$502,"&lt;&gt;"&amp;""),"")</f>
        <v/>
      </c>
      <c r="K489" s="182" t="str">
        <f>IF(A489&lt;&gt;"",SUMIFS(deployment!$J$4:$J$1002, deployment!$D$4:$D$1002,"="&amp;A489, deployment!$D$4:$D$1002,"&lt;&gt;"&amp;"", deployment!$C$4:$C$1002, "&lt;&gt;* )")+SUMIFS(namespace!$G$4:$G$1002, namespace!$B$4:$B$1002,"="&amp;A489, namespace!$B$4:$B$1002,"&lt;&gt;"&amp;""),"")</f>
        <v/>
      </c>
      <c r="L489" s="182" t="str">
        <f>IF(A489&lt;&gt;"",SUMIFS(deployment!$K$4:$K$1002, deployment!$D$4:$D$1002,"="&amp;A489, deployment!$D$4:$D$1002,"&lt;&gt;"&amp;"", deployment!$C$4:$C$1002, "&lt;&gt;* )")+SUMIFS(namespace!$H$4:$H$1002, namespace!$B$4:$B$1002,"="&amp;A489, namespace!$B$4:$B$1002,"&lt;&gt;"&amp;""),"")</f>
        <v/>
      </c>
      <c r="M489" s="115" t="str">
        <f>IF(A489&lt;&gt;"",SUMIFS(deployment!$L$4:$L$1002, deployment!$D$4:$D$1002,"="&amp;A489, deployment!$D$4:$D$1002,"&lt;&gt;"&amp;"", deployment!$C$4:$C$1002, "&lt;&gt;* )")+SUMIFS(namespace!$I$4:$I$1002, namespace!$B$4:$B$1002,"="&amp;A489, namespace!$B$4:$B$1002,"&lt;&gt;"&amp;""),"")</f>
        <v/>
      </c>
      <c r="N489" s="115" t="str">
        <f>IF(A489&lt;&gt;"",SUMIFS(deployment!$M$4:$M$1002, deployment!$D$4:$D$1002,"="&amp;A489, deployment!$D$4:$D$1002,"&lt;&gt;"&amp;"", deployment!$C$4:$C$1002, "&lt;&gt;* )")+SUMIFS(namespace!$J$4:$J$1002, namespace!$B$4:$B$1002,"="&amp;A489, namespace!$B$4:$B$1002,"&lt;&gt;"&amp;""),"")</f>
        <v/>
      </c>
      <c r="O489" s="116" t="str">
        <f t="shared" si="91"/>
        <v/>
      </c>
      <c r="P489" s="63"/>
      <c r="Q489" s="164" t="str">
        <f t="shared" si="86"/>
        <v/>
      </c>
      <c r="R489" s="60" t="str">
        <f t="shared" si="87"/>
        <v/>
      </c>
      <c r="S489" s="60" t="str">
        <f t="shared" si="88"/>
        <v/>
      </c>
      <c r="T489" s="61" t="str">
        <f t="shared" si="89"/>
        <v/>
      </c>
      <c r="U489" s="61" t="str">
        <f t="shared" si="90"/>
        <v/>
      </c>
      <c r="V489" s="183" t="str">
        <f t="shared" si="92"/>
        <v/>
      </c>
      <c r="W489" s="183" t="str">
        <f t="shared" si="93"/>
        <v/>
      </c>
      <c r="X489" s="61" t="str">
        <f t="shared" si="94"/>
        <v/>
      </c>
      <c r="Y489" s="61" t="str">
        <f t="shared" si="95"/>
        <v/>
      </c>
      <c r="Z489" s="118" t="str">
        <f t="shared" si="96"/>
        <v/>
      </c>
      <c r="AA489" s="62" t="str">
        <f t="shared" si="97"/>
        <v/>
      </c>
      <c r="AB489" s="119" t="str">
        <f>IF(A489&lt;&gt;"", IF(P489&lt;&gt;0,SUMIFS(node!$J$2:$J$1000, node!$C$2:$C$1000,"="&amp;A489)/P489,0), "")</f>
        <v/>
      </c>
      <c r="AC489" s="81" t="str">
        <f>IF(A489&lt;&gt;"", IF(P489&lt;&gt;0,SUMIFS(node!$K$2:$K$1000, node!$C$2:$C$1000,"="&amp;A489)/P489,0), "")</f>
        <v/>
      </c>
      <c r="AD489" s="82" t="str">
        <f>IF(A489&lt;&gt;"", SUMIFS(node!$L$2:$L$1000, node!$C$2:$C$1000,"="&amp;A489), "")</f>
        <v/>
      </c>
      <c r="AE489" s="87" t="str">
        <f>IF(A489&lt;&gt;"", SUMIFS(node!$M$2:$M$1000, node!$C$2:$C$1000,"="&amp;A489), "")</f>
        <v/>
      </c>
    </row>
    <row r="490" spans="1:31" ht="15.75" customHeight="1" x14ac:dyDescent="0.25">
      <c r="A490" s="71" t="str">
        <f>IF(ISNONTEXT(node_raw[[#This Row],[Column2]]), "", node_raw[[#This Row],[Column2]])</f>
        <v/>
      </c>
      <c r="B490" s="108" t="str">
        <f>IF(A490&lt;&gt;"", VLOOKUP(A490, node!$C$2:$D$1000, 2, FALSE), "")</f>
        <v/>
      </c>
      <c r="C490" s="109" t="str">
        <f>IF(A490&lt;&gt;"", VLOOKUP(A490, node!$C$2:$E$1000, 3, FALSE), "")</f>
        <v/>
      </c>
      <c r="D490" s="110" t="str">
        <f>IF(A490&lt;&gt;"",COUNTIFS(node!$C$2:$C$1000,"="&amp;A490, node!$C$2:$C$1000,"&lt;&gt;"&amp;""),"")</f>
        <v/>
      </c>
      <c r="E490" s="111" t="str">
        <f>IF(A490&lt;&gt;"",SUMIFS(node!$F$2:$F$500, node!$C$2:$C$500,"="&amp;A490, node!$C$2:$C$500,"&lt;&gt;"&amp;"")/(B490*D490),"")</f>
        <v/>
      </c>
      <c r="F490" s="112" t="str">
        <f>IF(A490&lt;&gt;"",SUMIFS(node!$H$2:$H$500, node!$C$2:$C$500,"="&amp;A490, node!$C$2:$C$500,"&lt;&gt;"&amp;"")/(C490*D490),"")</f>
        <v/>
      </c>
      <c r="G490" s="179" t="str">
        <f>IF(A490&lt;&gt;"",SUMIFS(deployment!$F$4:$F$502, deployment!$D$4:$D$502,"="&amp;A490, deployment!$D$4:$D$502,"&lt;&gt;"&amp;""),"")</f>
        <v/>
      </c>
      <c r="H490" s="181" t="str">
        <f>IF(A490&lt;&gt;"",SUMIFS(deployment!$G$4:$G$502, deployment!$D$4:$D$502,"="&amp;A490, deployment!$D$4:$D$502,"&lt;&gt;"&amp;""),"")</f>
        <v/>
      </c>
      <c r="I490" s="113" t="str">
        <f>IF(A490&lt;&gt;"",SUMIFS(deployment!$H$4:$H$502, deployment!$D$4:$D$502,"="&amp;A490, deployment!$D$4:$D$502,"&lt;&gt;"&amp;""),"")</f>
        <v/>
      </c>
      <c r="J490" s="114" t="str">
        <f>IF(A490&lt;&gt;"",SUMIFS(deployment!$I$4:$I$502, deployment!$D$4:$D$502,"="&amp;A490, deployment!$D$4:$D$502,"&lt;&gt;"&amp;""),"")</f>
        <v/>
      </c>
      <c r="K490" s="182" t="str">
        <f>IF(A490&lt;&gt;"",SUMIFS(deployment!$J$4:$J$1002, deployment!$D$4:$D$1002,"="&amp;A490, deployment!$D$4:$D$1002,"&lt;&gt;"&amp;"", deployment!$C$4:$C$1002, "&lt;&gt;* )")+SUMIFS(namespace!$G$4:$G$1002, namespace!$B$4:$B$1002,"="&amp;A490, namespace!$B$4:$B$1002,"&lt;&gt;"&amp;""),"")</f>
        <v/>
      </c>
      <c r="L490" s="182" t="str">
        <f>IF(A490&lt;&gt;"",SUMIFS(deployment!$K$4:$K$1002, deployment!$D$4:$D$1002,"="&amp;A490, deployment!$D$4:$D$1002,"&lt;&gt;"&amp;"", deployment!$C$4:$C$1002, "&lt;&gt;* )")+SUMIFS(namespace!$H$4:$H$1002, namespace!$B$4:$B$1002,"="&amp;A490, namespace!$B$4:$B$1002,"&lt;&gt;"&amp;""),"")</f>
        <v/>
      </c>
      <c r="M490" s="115" t="str">
        <f>IF(A490&lt;&gt;"",SUMIFS(deployment!$L$4:$L$1002, deployment!$D$4:$D$1002,"="&amp;A490, deployment!$D$4:$D$1002,"&lt;&gt;"&amp;"", deployment!$C$4:$C$1002, "&lt;&gt;* )")+SUMIFS(namespace!$I$4:$I$1002, namespace!$B$4:$B$1002,"="&amp;A490, namespace!$B$4:$B$1002,"&lt;&gt;"&amp;""),"")</f>
        <v/>
      </c>
      <c r="N490" s="115" t="str">
        <f>IF(A490&lt;&gt;"",SUMIFS(deployment!$M$4:$M$1002, deployment!$D$4:$D$1002,"="&amp;A490, deployment!$D$4:$D$1002,"&lt;&gt;"&amp;"", deployment!$C$4:$C$1002, "&lt;&gt;* )")+SUMIFS(namespace!$J$4:$J$1002, namespace!$B$4:$B$1002,"="&amp;A490, namespace!$B$4:$B$1002,"&lt;&gt;"&amp;""),"")</f>
        <v/>
      </c>
      <c r="O490" s="116" t="str">
        <f t="shared" si="91"/>
        <v/>
      </c>
      <c r="P490" s="63"/>
      <c r="Q490" s="164" t="str">
        <f t="shared" si="86"/>
        <v/>
      </c>
      <c r="R490" s="60" t="str">
        <f t="shared" si="87"/>
        <v/>
      </c>
      <c r="S490" s="60" t="str">
        <f t="shared" si="88"/>
        <v/>
      </c>
      <c r="T490" s="61" t="str">
        <f t="shared" si="89"/>
        <v/>
      </c>
      <c r="U490" s="61" t="str">
        <f t="shared" si="90"/>
        <v/>
      </c>
      <c r="V490" s="183" t="str">
        <f t="shared" si="92"/>
        <v/>
      </c>
      <c r="W490" s="183" t="str">
        <f t="shared" si="93"/>
        <v/>
      </c>
      <c r="X490" s="61" t="str">
        <f t="shared" si="94"/>
        <v/>
      </c>
      <c r="Y490" s="61" t="str">
        <f t="shared" si="95"/>
        <v/>
      </c>
      <c r="Z490" s="118" t="str">
        <f t="shared" si="96"/>
        <v/>
      </c>
      <c r="AA490" s="62" t="str">
        <f t="shared" si="97"/>
        <v/>
      </c>
      <c r="AB490" s="119" t="str">
        <f>IF(A490&lt;&gt;"", IF(P490&lt;&gt;0,SUMIFS(node!$J$2:$J$1000, node!$C$2:$C$1000,"="&amp;A490)/P490,0), "")</f>
        <v/>
      </c>
      <c r="AC490" s="81" t="str">
        <f>IF(A490&lt;&gt;"", IF(P490&lt;&gt;0,SUMIFS(node!$K$2:$K$1000, node!$C$2:$C$1000,"="&amp;A490)/P490,0), "")</f>
        <v/>
      </c>
      <c r="AD490" s="82" t="str">
        <f>IF(A490&lt;&gt;"", SUMIFS(node!$L$2:$L$1000, node!$C$2:$C$1000,"="&amp;A490), "")</f>
        <v/>
      </c>
      <c r="AE490" s="87" t="str">
        <f>IF(A490&lt;&gt;"", SUMIFS(node!$M$2:$M$1000, node!$C$2:$C$1000,"="&amp;A490), "")</f>
        <v/>
      </c>
    </row>
    <row r="491" spans="1:31" ht="15.75" customHeight="1" x14ac:dyDescent="0.25">
      <c r="A491" s="71" t="str">
        <f>IF(ISNONTEXT(node_raw[[#This Row],[Column2]]), "", node_raw[[#This Row],[Column2]])</f>
        <v/>
      </c>
      <c r="B491" s="108" t="str">
        <f>IF(A491&lt;&gt;"", VLOOKUP(A491, node!$C$2:$D$1000, 2, FALSE), "")</f>
        <v/>
      </c>
      <c r="C491" s="109" t="str">
        <f>IF(A491&lt;&gt;"", VLOOKUP(A491, node!$C$2:$E$1000, 3, FALSE), "")</f>
        <v/>
      </c>
      <c r="D491" s="110" t="str">
        <f>IF(A491&lt;&gt;"",COUNTIFS(node!$C$2:$C$1000,"="&amp;A491, node!$C$2:$C$1000,"&lt;&gt;"&amp;""),"")</f>
        <v/>
      </c>
      <c r="E491" s="111" t="str">
        <f>IF(A491&lt;&gt;"",SUMIFS(node!$F$2:$F$500, node!$C$2:$C$500,"="&amp;A491, node!$C$2:$C$500,"&lt;&gt;"&amp;"")/(B491*D491),"")</f>
        <v/>
      </c>
      <c r="F491" s="112" t="str">
        <f>IF(A491&lt;&gt;"",SUMIFS(node!$H$2:$H$500, node!$C$2:$C$500,"="&amp;A491, node!$C$2:$C$500,"&lt;&gt;"&amp;"")/(C491*D491),"")</f>
        <v/>
      </c>
      <c r="G491" s="179" t="str">
        <f>IF(A491&lt;&gt;"",SUMIFS(deployment!$F$4:$F$502, deployment!$D$4:$D$502,"="&amp;A491, deployment!$D$4:$D$502,"&lt;&gt;"&amp;""),"")</f>
        <v/>
      </c>
      <c r="H491" s="181" t="str">
        <f>IF(A491&lt;&gt;"",SUMIFS(deployment!$G$4:$G$502, deployment!$D$4:$D$502,"="&amp;A491, deployment!$D$4:$D$502,"&lt;&gt;"&amp;""),"")</f>
        <v/>
      </c>
      <c r="I491" s="113" t="str">
        <f>IF(A491&lt;&gt;"",SUMIFS(deployment!$H$4:$H$502, deployment!$D$4:$D$502,"="&amp;A491, deployment!$D$4:$D$502,"&lt;&gt;"&amp;""),"")</f>
        <v/>
      </c>
      <c r="J491" s="114" t="str">
        <f>IF(A491&lt;&gt;"",SUMIFS(deployment!$I$4:$I$502, deployment!$D$4:$D$502,"="&amp;A491, deployment!$D$4:$D$502,"&lt;&gt;"&amp;""),"")</f>
        <v/>
      </c>
      <c r="K491" s="182" t="str">
        <f>IF(A491&lt;&gt;"",SUMIFS(deployment!$J$4:$J$1002, deployment!$D$4:$D$1002,"="&amp;A491, deployment!$D$4:$D$1002,"&lt;&gt;"&amp;"", deployment!$C$4:$C$1002, "&lt;&gt;* )")+SUMIFS(namespace!$G$4:$G$1002, namespace!$B$4:$B$1002,"="&amp;A491, namespace!$B$4:$B$1002,"&lt;&gt;"&amp;""),"")</f>
        <v/>
      </c>
      <c r="L491" s="182" t="str">
        <f>IF(A491&lt;&gt;"",SUMIFS(deployment!$K$4:$K$1002, deployment!$D$4:$D$1002,"="&amp;A491, deployment!$D$4:$D$1002,"&lt;&gt;"&amp;"", deployment!$C$4:$C$1002, "&lt;&gt;* )")+SUMIFS(namespace!$H$4:$H$1002, namespace!$B$4:$B$1002,"="&amp;A491, namespace!$B$4:$B$1002,"&lt;&gt;"&amp;""),"")</f>
        <v/>
      </c>
      <c r="M491" s="115" t="str">
        <f>IF(A491&lt;&gt;"",SUMIFS(deployment!$L$4:$L$1002, deployment!$D$4:$D$1002,"="&amp;A491, deployment!$D$4:$D$1002,"&lt;&gt;"&amp;"", deployment!$C$4:$C$1002, "&lt;&gt;* )")+SUMIFS(namespace!$I$4:$I$1002, namespace!$B$4:$B$1002,"="&amp;A491, namespace!$B$4:$B$1002,"&lt;&gt;"&amp;""),"")</f>
        <v/>
      </c>
      <c r="N491" s="115" t="str">
        <f>IF(A491&lt;&gt;"",SUMIFS(deployment!$M$4:$M$1002, deployment!$D$4:$D$1002,"="&amp;A491, deployment!$D$4:$D$1002,"&lt;&gt;"&amp;"", deployment!$C$4:$C$1002, "&lt;&gt;* )")+SUMIFS(namespace!$J$4:$J$1002, namespace!$B$4:$B$1002,"="&amp;A491, namespace!$B$4:$B$1002,"&lt;&gt;"&amp;""),"")</f>
        <v/>
      </c>
      <c r="O491" s="116" t="str">
        <f t="shared" si="91"/>
        <v/>
      </c>
      <c r="P491" s="63"/>
      <c r="Q491" s="164" t="str">
        <f t="shared" si="86"/>
        <v/>
      </c>
      <c r="R491" s="60" t="str">
        <f t="shared" si="87"/>
        <v/>
      </c>
      <c r="S491" s="60" t="str">
        <f t="shared" si="88"/>
        <v/>
      </c>
      <c r="T491" s="61" t="str">
        <f t="shared" si="89"/>
        <v/>
      </c>
      <c r="U491" s="61" t="str">
        <f t="shared" si="90"/>
        <v/>
      </c>
      <c r="V491" s="183" t="str">
        <f t="shared" si="92"/>
        <v/>
      </c>
      <c r="W491" s="183" t="str">
        <f t="shared" si="93"/>
        <v/>
      </c>
      <c r="X491" s="61" t="str">
        <f t="shared" si="94"/>
        <v/>
      </c>
      <c r="Y491" s="61" t="str">
        <f t="shared" si="95"/>
        <v/>
      </c>
      <c r="Z491" s="118" t="str">
        <f t="shared" si="96"/>
        <v/>
      </c>
      <c r="AA491" s="62" t="str">
        <f t="shared" si="97"/>
        <v/>
      </c>
      <c r="AB491" s="119" t="str">
        <f>IF(A491&lt;&gt;"", IF(P491&lt;&gt;0,SUMIFS(node!$J$2:$J$1000, node!$C$2:$C$1000,"="&amp;A491)/P491,0), "")</f>
        <v/>
      </c>
      <c r="AC491" s="81" t="str">
        <f>IF(A491&lt;&gt;"", IF(P491&lt;&gt;0,SUMIFS(node!$K$2:$K$1000, node!$C$2:$C$1000,"="&amp;A491)/P491,0), "")</f>
        <v/>
      </c>
      <c r="AD491" s="82" t="str">
        <f>IF(A491&lt;&gt;"", SUMIFS(node!$L$2:$L$1000, node!$C$2:$C$1000,"="&amp;A491), "")</f>
        <v/>
      </c>
      <c r="AE491" s="87" t="str">
        <f>IF(A491&lt;&gt;"", SUMIFS(node!$M$2:$M$1000, node!$C$2:$C$1000,"="&amp;A491), "")</f>
        <v/>
      </c>
    </row>
    <row r="492" spans="1:31" ht="15.75" customHeight="1" x14ac:dyDescent="0.25">
      <c r="A492" s="71" t="str">
        <f>IF(ISNONTEXT(node_raw[[#This Row],[Column2]]), "", node_raw[[#This Row],[Column2]])</f>
        <v/>
      </c>
      <c r="B492" s="108" t="str">
        <f>IF(A492&lt;&gt;"", VLOOKUP(A492, node!$C$2:$D$1000, 2, FALSE), "")</f>
        <v/>
      </c>
      <c r="C492" s="109" t="str">
        <f>IF(A492&lt;&gt;"", VLOOKUP(A492, node!$C$2:$E$1000, 3, FALSE), "")</f>
        <v/>
      </c>
      <c r="D492" s="110" t="str">
        <f>IF(A492&lt;&gt;"",COUNTIFS(node!$C$2:$C$1000,"="&amp;A492, node!$C$2:$C$1000,"&lt;&gt;"&amp;""),"")</f>
        <v/>
      </c>
      <c r="E492" s="111" t="str">
        <f>IF(A492&lt;&gt;"",SUMIFS(node!$F$2:$F$500, node!$C$2:$C$500,"="&amp;A492, node!$C$2:$C$500,"&lt;&gt;"&amp;"")/(B492*D492),"")</f>
        <v/>
      </c>
      <c r="F492" s="112" t="str">
        <f>IF(A492&lt;&gt;"",SUMIFS(node!$H$2:$H$500, node!$C$2:$C$500,"="&amp;A492, node!$C$2:$C$500,"&lt;&gt;"&amp;"")/(C492*D492),"")</f>
        <v/>
      </c>
      <c r="G492" s="179" t="str">
        <f>IF(A492&lt;&gt;"",SUMIFS(deployment!$F$4:$F$502, deployment!$D$4:$D$502,"="&amp;A492, deployment!$D$4:$D$502,"&lt;&gt;"&amp;""),"")</f>
        <v/>
      </c>
      <c r="H492" s="181" t="str">
        <f>IF(A492&lt;&gt;"",SUMIFS(deployment!$G$4:$G$502, deployment!$D$4:$D$502,"="&amp;A492, deployment!$D$4:$D$502,"&lt;&gt;"&amp;""),"")</f>
        <v/>
      </c>
      <c r="I492" s="113" t="str">
        <f>IF(A492&lt;&gt;"",SUMIFS(deployment!$H$4:$H$502, deployment!$D$4:$D$502,"="&amp;A492, deployment!$D$4:$D$502,"&lt;&gt;"&amp;""),"")</f>
        <v/>
      </c>
      <c r="J492" s="114" t="str">
        <f>IF(A492&lt;&gt;"",SUMIFS(deployment!$I$4:$I$502, deployment!$D$4:$D$502,"="&amp;A492, deployment!$D$4:$D$502,"&lt;&gt;"&amp;""),"")</f>
        <v/>
      </c>
      <c r="K492" s="182" t="str">
        <f>IF(A492&lt;&gt;"",SUMIFS(deployment!$J$4:$J$1002, deployment!$D$4:$D$1002,"="&amp;A492, deployment!$D$4:$D$1002,"&lt;&gt;"&amp;"", deployment!$C$4:$C$1002, "&lt;&gt;* )")+SUMIFS(namespace!$G$4:$G$1002, namespace!$B$4:$B$1002,"="&amp;A492, namespace!$B$4:$B$1002,"&lt;&gt;"&amp;""),"")</f>
        <v/>
      </c>
      <c r="L492" s="182" t="str">
        <f>IF(A492&lt;&gt;"",SUMIFS(deployment!$K$4:$K$1002, deployment!$D$4:$D$1002,"="&amp;A492, deployment!$D$4:$D$1002,"&lt;&gt;"&amp;"", deployment!$C$4:$C$1002, "&lt;&gt;* )")+SUMIFS(namespace!$H$4:$H$1002, namespace!$B$4:$B$1002,"="&amp;A492, namespace!$B$4:$B$1002,"&lt;&gt;"&amp;""),"")</f>
        <v/>
      </c>
      <c r="M492" s="115" t="str">
        <f>IF(A492&lt;&gt;"",SUMIFS(deployment!$L$4:$L$1002, deployment!$D$4:$D$1002,"="&amp;A492, deployment!$D$4:$D$1002,"&lt;&gt;"&amp;"", deployment!$C$4:$C$1002, "&lt;&gt;* )")+SUMIFS(namespace!$I$4:$I$1002, namespace!$B$4:$B$1002,"="&amp;A492, namespace!$B$4:$B$1002,"&lt;&gt;"&amp;""),"")</f>
        <v/>
      </c>
      <c r="N492" s="115" t="str">
        <f>IF(A492&lt;&gt;"",SUMIFS(deployment!$M$4:$M$1002, deployment!$D$4:$D$1002,"="&amp;A492, deployment!$D$4:$D$1002,"&lt;&gt;"&amp;"", deployment!$C$4:$C$1002, "&lt;&gt;* )")+SUMIFS(namespace!$J$4:$J$1002, namespace!$B$4:$B$1002,"="&amp;A492, namespace!$B$4:$B$1002,"&lt;&gt;"&amp;""),"")</f>
        <v/>
      </c>
      <c r="O492" s="116" t="str">
        <f t="shared" si="91"/>
        <v/>
      </c>
      <c r="P492" s="63"/>
      <c r="Q492" s="164" t="str">
        <f t="shared" si="86"/>
        <v/>
      </c>
      <c r="R492" s="60" t="str">
        <f t="shared" si="87"/>
        <v/>
      </c>
      <c r="S492" s="60" t="str">
        <f t="shared" si="88"/>
        <v/>
      </c>
      <c r="T492" s="61" t="str">
        <f t="shared" si="89"/>
        <v/>
      </c>
      <c r="U492" s="61" t="str">
        <f t="shared" si="90"/>
        <v/>
      </c>
      <c r="V492" s="183" t="str">
        <f t="shared" si="92"/>
        <v/>
      </c>
      <c r="W492" s="183" t="str">
        <f t="shared" si="93"/>
        <v/>
      </c>
      <c r="X492" s="61" t="str">
        <f t="shared" si="94"/>
        <v/>
      </c>
      <c r="Y492" s="61" t="str">
        <f t="shared" si="95"/>
        <v/>
      </c>
      <c r="Z492" s="118" t="str">
        <f t="shared" si="96"/>
        <v/>
      </c>
      <c r="AA492" s="62" t="str">
        <f t="shared" si="97"/>
        <v/>
      </c>
      <c r="AB492" s="119" t="str">
        <f>IF(A492&lt;&gt;"", IF(P492&lt;&gt;0,SUMIFS(node!$J$2:$J$1000, node!$C$2:$C$1000,"="&amp;A492)/P492,0), "")</f>
        <v/>
      </c>
      <c r="AC492" s="81" t="str">
        <f>IF(A492&lt;&gt;"", IF(P492&lt;&gt;0,SUMIFS(node!$K$2:$K$1000, node!$C$2:$C$1000,"="&amp;A492)/P492,0), "")</f>
        <v/>
      </c>
      <c r="AD492" s="82" t="str">
        <f>IF(A492&lt;&gt;"", SUMIFS(node!$L$2:$L$1000, node!$C$2:$C$1000,"="&amp;A492), "")</f>
        <v/>
      </c>
      <c r="AE492" s="87" t="str">
        <f>IF(A492&lt;&gt;"", SUMIFS(node!$M$2:$M$1000, node!$C$2:$C$1000,"="&amp;A492), "")</f>
        <v/>
      </c>
    </row>
    <row r="493" spans="1:31" ht="15.75" customHeight="1" x14ac:dyDescent="0.25">
      <c r="A493" s="71" t="str">
        <f>IF(ISNONTEXT(node_raw[[#This Row],[Column2]]), "", node_raw[[#This Row],[Column2]])</f>
        <v/>
      </c>
      <c r="B493" s="108" t="str">
        <f>IF(A493&lt;&gt;"", VLOOKUP(A493, node!$C$2:$D$1000, 2, FALSE), "")</f>
        <v/>
      </c>
      <c r="C493" s="109" t="str">
        <f>IF(A493&lt;&gt;"", VLOOKUP(A493, node!$C$2:$E$1000, 3, FALSE), "")</f>
        <v/>
      </c>
      <c r="D493" s="110" t="str">
        <f>IF(A493&lt;&gt;"",COUNTIFS(node!$C$2:$C$1000,"="&amp;A493, node!$C$2:$C$1000,"&lt;&gt;"&amp;""),"")</f>
        <v/>
      </c>
      <c r="E493" s="111" t="str">
        <f>IF(A493&lt;&gt;"",SUMIFS(node!$F$2:$F$500, node!$C$2:$C$500,"="&amp;A493, node!$C$2:$C$500,"&lt;&gt;"&amp;"")/(B493*D493),"")</f>
        <v/>
      </c>
      <c r="F493" s="112" t="str">
        <f>IF(A493&lt;&gt;"",SUMIFS(node!$H$2:$H$500, node!$C$2:$C$500,"="&amp;A493, node!$C$2:$C$500,"&lt;&gt;"&amp;"")/(C493*D493),"")</f>
        <v/>
      </c>
      <c r="G493" s="179" t="str">
        <f>IF(A493&lt;&gt;"",SUMIFS(deployment!$F$4:$F$502, deployment!$D$4:$D$502,"="&amp;A493, deployment!$D$4:$D$502,"&lt;&gt;"&amp;""),"")</f>
        <v/>
      </c>
      <c r="H493" s="181" t="str">
        <f>IF(A493&lt;&gt;"",SUMIFS(deployment!$G$4:$G$502, deployment!$D$4:$D$502,"="&amp;A493, deployment!$D$4:$D$502,"&lt;&gt;"&amp;""),"")</f>
        <v/>
      </c>
      <c r="I493" s="113" t="str">
        <f>IF(A493&lt;&gt;"",SUMIFS(deployment!$H$4:$H$502, deployment!$D$4:$D$502,"="&amp;A493, deployment!$D$4:$D$502,"&lt;&gt;"&amp;""),"")</f>
        <v/>
      </c>
      <c r="J493" s="114" t="str">
        <f>IF(A493&lt;&gt;"",SUMIFS(deployment!$I$4:$I$502, deployment!$D$4:$D$502,"="&amp;A493, deployment!$D$4:$D$502,"&lt;&gt;"&amp;""),"")</f>
        <v/>
      </c>
      <c r="K493" s="182" t="str">
        <f>IF(A493&lt;&gt;"",SUMIFS(deployment!$J$4:$J$1002, deployment!$D$4:$D$1002,"="&amp;A493, deployment!$D$4:$D$1002,"&lt;&gt;"&amp;"", deployment!$C$4:$C$1002, "&lt;&gt;* )")+SUMIFS(namespace!$G$4:$G$1002, namespace!$B$4:$B$1002,"="&amp;A493, namespace!$B$4:$B$1002,"&lt;&gt;"&amp;""),"")</f>
        <v/>
      </c>
      <c r="L493" s="182" t="str">
        <f>IF(A493&lt;&gt;"",SUMIFS(deployment!$K$4:$K$1002, deployment!$D$4:$D$1002,"="&amp;A493, deployment!$D$4:$D$1002,"&lt;&gt;"&amp;"", deployment!$C$4:$C$1002, "&lt;&gt;* )")+SUMIFS(namespace!$H$4:$H$1002, namespace!$B$4:$B$1002,"="&amp;A493, namespace!$B$4:$B$1002,"&lt;&gt;"&amp;""),"")</f>
        <v/>
      </c>
      <c r="M493" s="115" t="str">
        <f>IF(A493&lt;&gt;"",SUMIFS(deployment!$L$4:$L$1002, deployment!$D$4:$D$1002,"="&amp;A493, deployment!$D$4:$D$1002,"&lt;&gt;"&amp;"", deployment!$C$4:$C$1002, "&lt;&gt;* )")+SUMIFS(namespace!$I$4:$I$1002, namespace!$B$4:$B$1002,"="&amp;A493, namespace!$B$4:$B$1002,"&lt;&gt;"&amp;""),"")</f>
        <v/>
      </c>
      <c r="N493" s="115" t="str">
        <f>IF(A493&lt;&gt;"",SUMIFS(deployment!$M$4:$M$1002, deployment!$D$4:$D$1002,"="&amp;A493, deployment!$D$4:$D$1002,"&lt;&gt;"&amp;"", deployment!$C$4:$C$1002, "&lt;&gt;* )")+SUMIFS(namespace!$J$4:$J$1002, namespace!$B$4:$B$1002,"="&amp;A493, namespace!$B$4:$B$1002,"&lt;&gt;"&amp;""),"")</f>
        <v/>
      </c>
      <c r="O493" s="116" t="str">
        <f t="shared" si="91"/>
        <v/>
      </c>
      <c r="P493" s="63"/>
      <c r="Q493" s="164" t="str">
        <f t="shared" si="86"/>
        <v/>
      </c>
      <c r="R493" s="60" t="str">
        <f t="shared" si="87"/>
        <v/>
      </c>
      <c r="S493" s="60" t="str">
        <f t="shared" si="88"/>
        <v/>
      </c>
      <c r="T493" s="61" t="str">
        <f t="shared" si="89"/>
        <v/>
      </c>
      <c r="U493" s="61" t="str">
        <f t="shared" si="90"/>
        <v/>
      </c>
      <c r="V493" s="183" t="str">
        <f t="shared" si="92"/>
        <v/>
      </c>
      <c r="W493" s="183" t="str">
        <f t="shared" si="93"/>
        <v/>
      </c>
      <c r="X493" s="61" t="str">
        <f t="shared" si="94"/>
        <v/>
      </c>
      <c r="Y493" s="61" t="str">
        <f t="shared" si="95"/>
        <v/>
      </c>
      <c r="Z493" s="118" t="str">
        <f t="shared" si="96"/>
        <v/>
      </c>
      <c r="AA493" s="62" t="str">
        <f t="shared" si="97"/>
        <v/>
      </c>
      <c r="AB493" s="119" t="str">
        <f>IF(A493&lt;&gt;"", IF(P493&lt;&gt;0,SUMIFS(node!$J$2:$J$1000, node!$C$2:$C$1000,"="&amp;A493)/P493,0), "")</f>
        <v/>
      </c>
      <c r="AC493" s="81" t="str">
        <f>IF(A493&lt;&gt;"", IF(P493&lt;&gt;0,SUMIFS(node!$K$2:$K$1000, node!$C$2:$C$1000,"="&amp;A493)/P493,0), "")</f>
        <v/>
      </c>
      <c r="AD493" s="82" t="str">
        <f>IF(A493&lt;&gt;"", SUMIFS(node!$L$2:$L$1000, node!$C$2:$C$1000,"="&amp;A493), "")</f>
        <v/>
      </c>
      <c r="AE493" s="87" t="str">
        <f>IF(A493&lt;&gt;"", SUMIFS(node!$M$2:$M$1000, node!$C$2:$C$1000,"="&amp;A493), "")</f>
        <v/>
      </c>
    </row>
    <row r="494" spans="1:31" ht="15.75" customHeight="1" x14ac:dyDescent="0.25">
      <c r="A494" s="71" t="str">
        <f>IF(ISNONTEXT(node_raw[[#This Row],[Column2]]), "", node_raw[[#This Row],[Column2]])</f>
        <v/>
      </c>
      <c r="B494" s="108" t="str">
        <f>IF(A494&lt;&gt;"", VLOOKUP(A494, node!$C$2:$D$1000, 2, FALSE), "")</f>
        <v/>
      </c>
      <c r="C494" s="109" t="str">
        <f>IF(A494&lt;&gt;"", VLOOKUP(A494, node!$C$2:$E$1000, 3, FALSE), "")</f>
        <v/>
      </c>
      <c r="D494" s="110" t="str">
        <f>IF(A494&lt;&gt;"",COUNTIFS(node!$C$2:$C$1000,"="&amp;A494, node!$C$2:$C$1000,"&lt;&gt;"&amp;""),"")</f>
        <v/>
      </c>
      <c r="E494" s="111" t="str">
        <f>IF(A494&lt;&gt;"",SUMIFS(node!$F$2:$F$500, node!$C$2:$C$500,"="&amp;A494, node!$C$2:$C$500,"&lt;&gt;"&amp;"")/(B494*D494),"")</f>
        <v/>
      </c>
      <c r="F494" s="112" t="str">
        <f>IF(A494&lt;&gt;"",SUMIFS(node!$H$2:$H$500, node!$C$2:$C$500,"="&amp;A494, node!$C$2:$C$500,"&lt;&gt;"&amp;"")/(C494*D494),"")</f>
        <v/>
      </c>
      <c r="G494" s="179" t="str">
        <f>IF(A494&lt;&gt;"",SUMIFS(deployment!$F$4:$F$502, deployment!$D$4:$D$502,"="&amp;A494, deployment!$D$4:$D$502,"&lt;&gt;"&amp;""),"")</f>
        <v/>
      </c>
      <c r="H494" s="181" t="str">
        <f>IF(A494&lt;&gt;"",SUMIFS(deployment!$G$4:$G$502, deployment!$D$4:$D$502,"="&amp;A494, deployment!$D$4:$D$502,"&lt;&gt;"&amp;""),"")</f>
        <v/>
      </c>
      <c r="I494" s="113" t="str">
        <f>IF(A494&lt;&gt;"",SUMIFS(deployment!$H$4:$H$502, deployment!$D$4:$D$502,"="&amp;A494, deployment!$D$4:$D$502,"&lt;&gt;"&amp;""),"")</f>
        <v/>
      </c>
      <c r="J494" s="114" t="str">
        <f>IF(A494&lt;&gt;"",SUMIFS(deployment!$I$4:$I$502, deployment!$D$4:$D$502,"="&amp;A494, deployment!$D$4:$D$502,"&lt;&gt;"&amp;""),"")</f>
        <v/>
      </c>
      <c r="K494" s="182" t="str">
        <f>IF(A494&lt;&gt;"",SUMIFS(deployment!$J$4:$J$1002, deployment!$D$4:$D$1002,"="&amp;A494, deployment!$D$4:$D$1002,"&lt;&gt;"&amp;"", deployment!$C$4:$C$1002, "&lt;&gt;* )")+SUMIFS(namespace!$G$4:$G$1002, namespace!$B$4:$B$1002,"="&amp;A494, namespace!$B$4:$B$1002,"&lt;&gt;"&amp;""),"")</f>
        <v/>
      </c>
      <c r="L494" s="182" t="str">
        <f>IF(A494&lt;&gt;"",SUMIFS(deployment!$K$4:$K$1002, deployment!$D$4:$D$1002,"="&amp;A494, deployment!$D$4:$D$1002,"&lt;&gt;"&amp;"", deployment!$C$4:$C$1002, "&lt;&gt;* )")+SUMIFS(namespace!$H$4:$H$1002, namespace!$B$4:$B$1002,"="&amp;A494, namespace!$B$4:$B$1002,"&lt;&gt;"&amp;""),"")</f>
        <v/>
      </c>
      <c r="M494" s="115" t="str">
        <f>IF(A494&lt;&gt;"",SUMIFS(deployment!$L$4:$L$1002, deployment!$D$4:$D$1002,"="&amp;A494, deployment!$D$4:$D$1002,"&lt;&gt;"&amp;"", deployment!$C$4:$C$1002, "&lt;&gt;* )")+SUMIFS(namespace!$I$4:$I$1002, namespace!$B$4:$B$1002,"="&amp;A494, namespace!$B$4:$B$1002,"&lt;&gt;"&amp;""),"")</f>
        <v/>
      </c>
      <c r="N494" s="115" t="str">
        <f>IF(A494&lt;&gt;"",SUMIFS(deployment!$M$4:$M$1002, deployment!$D$4:$D$1002,"="&amp;A494, deployment!$D$4:$D$1002,"&lt;&gt;"&amp;"", deployment!$C$4:$C$1002, "&lt;&gt;* )")+SUMIFS(namespace!$J$4:$J$1002, namespace!$B$4:$B$1002,"="&amp;A494, namespace!$B$4:$B$1002,"&lt;&gt;"&amp;""),"")</f>
        <v/>
      </c>
      <c r="O494" s="116" t="str">
        <f t="shared" si="91"/>
        <v/>
      </c>
      <c r="P494" s="63"/>
      <c r="Q494" s="164" t="str">
        <f t="shared" si="86"/>
        <v/>
      </c>
      <c r="R494" s="60" t="str">
        <f t="shared" si="87"/>
        <v/>
      </c>
      <c r="S494" s="60" t="str">
        <f t="shared" si="88"/>
        <v/>
      </c>
      <c r="T494" s="61" t="str">
        <f t="shared" si="89"/>
        <v/>
      </c>
      <c r="U494" s="61" t="str">
        <f t="shared" si="90"/>
        <v/>
      </c>
      <c r="V494" s="183" t="str">
        <f t="shared" si="92"/>
        <v/>
      </c>
      <c r="W494" s="183" t="str">
        <f t="shared" si="93"/>
        <v/>
      </c>
      <c r="X494" s="61" t="str">
        <f t="shared" si="94"/>
        <v/>
      </c>
      <c r="Y494" s="61" t="str">
        <f t="shared" si="95"/>
        <v/>
      </c>
      <c r="Z494" s="118" t="str">
        <f t="shared" si="96"/>
        <v/>
      </c>
      <c r="AA494" s="62" t="str">
        <f t="shared" si="97"/>
        <v/>
      </c>
      <c r="AB494" s="119" t="str">
        <f>IF(A494&lt;&gt;"", IF(P494&lt;&gt;0,SUMIFS(node!$J$2:$J$1000, node!$C$2:$C$1000,"="&amp;A494)/P494,0), "")</f>
        <v/>
      </c>
      <c r="AC494" s="81" t="str">
        <f>IF(A494&lt;&gt;"", IF(P494&lt;&gt;0,SUMIFS(node!$K$2:$K$1000, node!$C$2:$C$1000,"="&amp;A494)/P494,0), "")</f>
        <v/>
      </c>
      <c r="AD494" s="82" t="str">
        <f>IF(A494&lt;&gt;"", SUMIFS(node!$L$2:$L$1000, node!$C$2:$C$1000,"="&amp;A494), "")</f>
        <v/>
      </c>
      <c r="AE494" s="87" t="str">
        <f>IF(A494&lt;&gt;"", SUMIFS(node!$M$2:$M$1000, node!$C$2:$C$1000,"="&amp;A494), "")</f>
        <v/>
      </c>
    </row>
    <row r="495" spans="1:31" ht="15.75" customHeight="1" x14ac:dyDescent="0.25">
      <c r="A495" s="71" t="str">
        <f>IF(ISNONTEXT(node_raw[[#This Row],[Column2]]), "", node_raw[[#This Row],[Column2]])</f>
        <v/>
      </c>
      <c r="B495" s="108" t="str">
        <f>IF(A495&lt;&gt;"", VLOOKUP(A495, node!$C$2:$D$1000, 2, FALSE), "")</f>
        <v/>
      </c>
      <c r="C495" s="109" t="str">
        <f>IF(A495&lt;&gt;"", VLOOKUP(A495, node!$C$2:$E$1000, 3, FALSE), "")</f>
        <v/>
      </c>
      <c r="D495" s="110" t="str">
        <f>IF(A495&lt;&gt;"",COUNTIFS(node!$C$2:$C$1000,"="&amp;A495, node!$C$2:$C$1000,"&lt;&gt;"&amp;""),"")</f>
        <v/>
      </c>
      <c r="E495" s="111" t="str">
        <f>IF(A495&lt;&gt;"",SUMIFS(node!$F$2:$F$500, node!$C$2:$C$500,"="&amp;A495, node!$C$2:$C$500,"&lt;&gt;"&amp;"")/(B495*D495),"")</f>
        <v/>
      </c>
      <c r="F495" s="112" t="str">
        <f>IF(A495&lt;&gt;"",SUMIFS(node!$H$2:$H$500, node!$C$2:$C$500,"="&amp;A495, node!$C$2:$C$500,"&lt;&gt;"&amp;"")/(C495*D495),"")</f>
        <v/>
      </c>
      <c r="G495" s="179" t="str">
        <f>IF(A495&lt;&gt;"",SUMIFS(deployment!$F$4:$F$502, deployment!$D$4:$D$502,"="&amp;A495, deployment!$D$4:$D$502,"&lt;&gt;"&amp;""),"")</f>
        <v/>
      </c>
      <c r="H495" s="181" t="str">
        <f>IF(A495&lt;&gt;"",SUMIFS(deployment!$G$4:$G$502, deployment!$D$4:$D$502,"="&amp;A495, deployment!$D$4:$D$502,"&lt;&gt;"&amp;""),"")</f>
        <v/>
      </c>
      <c r="I495" s="113" t="str">
        <f>IF(A495&lt;&gt;"",SUMIFS(deployment!$H$4:$H$502, deployment!$D$4:$D$502,"="&amp;A495, deployment!$D$4:$D$502,"&lt;&gt;"&amp;""),"")</f>
        <v/>
      </c>
      <c r="J495" s="114" t="str">
        <f>IF(A495&lt;&gt;"",SUMIFS(deployment!$I$4:$I$502, deployment!$D$4:$D$502,"="&amp;A495, deployment!$D$4:$D$502,"&lt;&gt;"&amp;""),"")</f>
        <v/>
      </c>
      <c r="K495" s="182" t="str">
        <f>IF(A495&lt;&gt;"",SUMIFS(deployment!$J$4:$J$1002, deployment!$D$4:$D$1002,"="&amp;A495, deployment!$D$4:$D$1002,"&lt;&gt;"&amp;"", deployment!$C$4:$C$1002, "&lt;&gt;* )")+SUMIFS(namespace!$G$4:$G$1002, namespace!$B$4:$B$1002,"="&amp;A495, namespace!$B$4:$B$1002,"&lt;&gt;"&amp;""),"")</f>
        <v/>
      </c>
      <c r="L495" s="182" t="str">
        <f>IF(A495&lt;&gt;"",SUMIFS(deployment!$K$4:$K$1002, deployment!$D$4:$D$1002,"="&amp;A495, deployment!$D$4:$D$1002,"&lt;&gt;"&amp;"", deployment!$C$4:$C$1002, "&lt;&gt;* )")+SUMIFS(namespace!$H$4:$H$1002, namespace!$B$4:$B$1002,"="&amp;A495, namespace!$B$4:$B$1002,"&lt;&gt;"&amp;""),"")</f>
        <v/>
      </c>
      <c r="M495" s="115" t="str">
        <f>IF(A495&lt;&gt;"",SUMIFS(deployment!$L$4:$L$1002, deployment!$D$4:$D$1002,"="&amp;A495, deployment!$D$4:$D$1002,"&lt;&gt;"&amp;"", deployment!$C$4:$C$1002, "&lt;&gt;* )")+SUMIFS(namespace!$I$4:$I$1002, namespace!$B$4:$B$1002,"="&amp;A495, namespace!$B$4:$B$1002,"&lt;&gt;"&amp;""),"")</f>
        <v/>
      </c>
      <c r="N495" s="115" t="str">
        <f>IF(A495&lt;&gt;"",SUMIFS(deployment!$M$4:$M$1002, deployment!$D$4:$D$1002,"="&amp;A495, deployment!$D$4:$D$1002,"&lt;&gt;"&amp;"", deployment!$C$4:$C$1002, "&lt;&gt;* )")+SUMIFS(namespace!$J$4:$J$1002, namespace!$B$4:$B$1002,"="&amp;A495, namespace!$B$4:$B$1002,"&lt;&gt;"&amp;""),"")</f>
        <v/>
      </c>
      <c r="O495" s="116" t="str">
        <f t="shared" si="91"/>
        <v/>
      </c>
      <c r="P495" s="63"/>
      <c r="Q495" s="164" t="str">
        <f t="shared" si="86"/>
        <v/>
      </c>
      <c r="R495" s="60" t="str">
        <f t="shared" si="87"/>
        <v/>
      </c>
      <c r="S495" s="60" t="str">
        <f t="shared" si="88"/>
        <v/>
      </c>
      <c r="T495" s="61" t="str">
        <f t="shared" si="89"/>
        <v/>
      </c>
      <c r="U495" s="61" t="str">
        <f t="shared" si="90"/>
        <v/>
      </c>
      <c r="V495" s="183" t="str">
        <f t="shared" si="92"/>
        <v/>
      </c>
      <c r="W495" s="183" t="str">
        <f t="shared" si="93"/>
        <v/>
      </c>
      <c r="X495" s="61" t="str">
        <f t="shared" si="94"/>
        <v/>
      </c>
      <c r="Y495" s="61" t="str">
        <f t="shared" si="95"/>
        <v/>
      </c>
      <c r="Z495" s="118" t="str">
        <f t="shared" si="96"/>
        <v/>
      </c>
      <c r="AA495" s="62" t="str">
        <f t="shared" si="97"/>
        <v/>
      </c>
      <c r="AB495" s="119" t="str">
        <f>IF(A495&lt;&gt;"", IF(P495&lt;&gt;0,SUMIFS(node!$J$2:$J$1000, node!$C$2:$C$1000,"="&amp;A495)/P495,0), "")</f>
        <v/>
      </c>
      <c r="AC495" s="81" t="str">
        <f>IF(A495&lt;&gt;"", IF(P495&lt;&gt;0,SUMIFS(node!$K$2:$K$1000, node!$C$2:$C$1000,"="&amp;A495)/P495,0), "")</f>
        <v/>
      </c>
      <c r="AD495" s="82" t="str">
        <f>IF(A495&lt;&gt;"", SUMIFS(node!$L$2:$L$1000, node!$C$2:$C$1000,"="&amp;A495), "")</f>
        <v/>
      </c>
      <c r="AE495" s="87" t="str">
        <f>IF(A495&lt;&gt;"", SUMIFS(node!$M$2:$M$1000, node!$C$2:$C$1000,"="&amp;A495), "")</f>
        <v/>
      </c>
    </row>
    <row r="496" spans="1:31" ht="15.75" customHeight="1" x14ac:dyDescent="0.25">
      <c r="A496" s="71" t="str">
        <f>IF(ISNONTEXT(node_raw[[#This Row],[Column2]]), "", node_raw[[#This Row],[Column2]])</f>
        <v/>
      </c>
      <c r="B496" s="108" t="str">
        <f>IF(A496&lt;&gt;"", VLOOKUP(A496, node!$C$2:$D$1000, 2, FALSE), "")</f>
        <v/>
      </c>
      <c r="C496" s="109" t="str">
        <f>IF(A496&lt;&gt;"", VLOOKUP(A496, node!$C$2:$E$1000, 3, FALSE), "")</f>
        <v/>
      </c>
      <c r="D496" s="110" t="str">
        <f>IF(A496&lt;&gt;"",COUNTIFS(node!$C$2:$C$1000,"="&amp;A496, node!$C$2:$C$1000,"&lt;&gt;"&amp;""),"")</f>
        <v/>
      </c>
      <c r="E496" s="111" t="str">
        <f>IF(A496&lt;&gt;"",SUMIFS(node!$F$2:$F$500, node!$C$2:$C$500,"="&amp;A496, node!$C$2:$C$500,"&lt;&gt;"&amp;"")/(B496*D496),"")</f>
        <v/>
      </c>
      <c r="F496" s="112" t="str">
        <f>IF(A496&lt;&gt;"",SUMIFS(node!$H$2:$H$500, node!$C$2:$C$500,"="&amp;A496, node!$C$2:$C$500,"&lt;&gt;"&amp;"")/(C496*D496),"")</f>
        <v/>
      </c>
      <c r="G496" s="179" t="str">
        <f>IF(A496&lt;&gt;"",SUMIFS(deployment!$F$4:$F$502, deployment!$D$4:$D$502,"="&amp;A496, deployment!$D$4:$D$502,"&lt;&gt;"&amp;""),"")</f>
        <v/>
      </c>
      <c r="H496" s="181" t="str">
        <f>IF(A496&lt;&gt;"",SUMIFS(deployment!$G$4:$G$502, deployment!$D$4:$D$502,"="&amp;A496, deployment!$D$4:$D$502,"&lt;&gt;"&amp;""),"")</f>
        <v/>
      </c>
      <c r="I496" s="113" t="str">
        <f>IF(A496&lt;&gt;"",SUMIFS(deployment!$H$4:$H$502, deployment!$D$4:$D$502,"="&amp;A496, deployment!$D$4:$D$502,"&lt;&gt;"&amp;""),"")</f>
        <v/>
      </c>
      <c r="J496" s="114" t="str">
        <f>IF(A496&lt;&gt;"",SUMIFS(deployment!$I$4:$I$502, deployment!$D$4:$D$502,"="&amp;A496, deployment!$D$4:$D$502,"&lt;&gt;"&amp;""),"")</f>
        <v/>
      </c>
      <c r="K496" s="182" t="str">
        <f>IF(A496&lt;&gt;"",SUMIFS(deployment!$J$4:$J$1002, deployment!$D$4:$D$1002,"="&amp;A496, deployment!$D$4:$D$1002,"&lt;&gt;"&amp;"", deployment!$C$4:$C$1002, "&lt;&gt;* )")+SUMIFS(namespace!$G$4:$G$1002, namespace!$B$4:$B$1002,"="&amp;A496, namespace!$B$4:$B$1002,"&lt;&gt;"&amp;""),"")</f>
        <v/>
      </c>
      <c r="L496" s="182" t="str">
        <f>IF(A496&lt;&gt;"",SUMIFS(deployment!$K$4:$K$1002, deployment!$D$4:$D$1002,"="&amp;A496, deployment!$D$4:$D$1002,"&lt;&gt;"&amp;"", deployment!$C$4:$C$1002, "&lt;&gt;* )")+SUMIFS(namespace!$H$4:$H$1002, namespace!$B$4:$B$1002,"="&amp;A496, namespace!$B$4:$B$1002,"&lt;&gt;"&amp;""),"")</f>
        <v/>
      </c>
      <c r="M496" s="115" t="str">
        <f>IF(A496&lt;&gt;"",SUMIFS(deployment!$L$4:$L$1002, deployment!$D$4:$D$1002,"="&amp;A496, deployment!$D$4:$D$1002,"&lt;&gt;"&amp;"", deployment!$C$4:$C$1002, "&lt;&gt;* )")+SUMIFS(namespace!$I$4:$I$1002, namespace!$B$4:$B$1002,"="&amp;A496, namespace!$B$4:$B$1002,"&lt;&gt;"&amp;""),"")</f>
        <v/>
      </c>
      <c r="N496" s="115" t="str">
        <f>IF(A496&lt;&gt;"",SUMIFS(deployment!$M$4:$M$1002, deployment!$D$4:$D$1002,"="&amp;A496, deployment!$D$4:$D$1002,"&lt;&gt;"&amp;"", deployment!$C$4:$C$1002, "&lt;&gt;* )")+SUMIFS(namespace!$J$4:$J$1002, namespace!$B$4:$B$1002,"="&amp;A496, namespace!$B$4:$B$1002,"&lt;&gt;"&amp;""),"")</f>
        <v/>
      </c>
      <c r="O496" s="116" t="str">
        <f t="shared" si="91"/>
        <v/>
      </c>
      <c r="P496" s="63"/>
      <c r="Q496" s="164" t="str">
        <f t="shared" si="86"/>
        <v/>
      </c>
      <c r="R496" s="60" t="str">
        <f t="shared" si="87"/>
        <v/>
      </c>
      <c r="S496" s="60" t="str">
        <f t="shared" si="88"/>
        <v/>
      </c>
      <c r="T496" s="61" t="str">
        <f t="shared" si="89"/>
        <v/>
      </c>
      <c r="U496" s="61" t="str">
        <f t="shared" si="90"/>
        <v/>
      </c>
      <c r="V496" s="183" t="str">
        <f t="shared" si="92"/>
        <v/>
      </c>
      <c r="W496" s="183" t="str">
        <f t="shared" si="93"/>
        <v/>
      </c>
      <c r="X496" s="61" t="str">
        <f t="shared" si="94"/>
        <v/>
      </c>
      <c r="Y496" s="61" t="str">
        <f t="shared" si="95"/>
        <v/>
      </c>
      <c r="Z496" s="118" t="str">
        <f t="shared" si="96"/>
        <v/>
      </c>
      <c r="AA496" s="62" t="str">
        <f t="shared" si="97"/>
        <v/>
      </c>
      <c r="AB496" s="119" t="str">
        <f>IF(A496&lt;&gt;"", IF(P496&lt;&gt;0,SUMIFS(node!$J$2:$J$1000, node!$C$2:$C$1000,"="&amp;A496)/P496,0), "")</f>
        <v/>
      </c>
      <c r="AC496" s="81" t="str">
        <f>IF(A496&lt;&gt;"", IF(P496&lt;&gt;0,SUMIFS(node!$K$2:$K$1000, node!$C$2:$C$1000,"="&amp;A496)/P496,0), "")</f>
        <v/>
      </c>
      <c r="AD496" s="82" t="str">
        <f>IF(A496&lt;&gt;"", SUMIFS(node!$L$2:$L$1000, node!$C$2:$C$1000,"="&amp;A496), "")</f>
        <v/>
      </c>
      <c r="AE496" s="87" t="str">
        <f>IF(A496&lt;&gt;"", SUMIFS(node!$M$2:$M$1000, node!$C$2:$C$1000,"="&amp;A496), "")</f>
        <v/>
      </c>
    </row>
    <row r="497" spans="1:31" ht="15.75" customHeight="1" x14ac:dyDescent="0.25">
      <c r="A497" s="71" t="str">
        <f>IF(ISNONTEXT(node_raw[[#This Row],[Column2]]), "", node_raw[[#This Row],[Column2]])</f>
        <v/>
      </c>
      <c r="B497" s="108" t="str">
        <f>IF(A497&lt;&gt;"", VLOOKUP(A497, node!$C$2:$D$1000, 2, FALSE), "")</f>
        <v/>
      </c>
      <c r="C497" s="109" t="str">
        <f>IF(A497&lt;&gt;"", VLOOKUP(A497, node!$C$2:$E$1000, 3, FALSE), "")</f>
        <v/>
      </c>
      <c r="D497" s="110" t="str">
        <f>IF(A497&lt;&gt;"",COUNTIFS(node!$C$2:$C$1000,"="&amp;A497, node!$C$2:$C$1000,"&lt;&gt;"&amp;""),"")</f>
        <v/>
      </c>
      <c r="E497" s="111" t="str">
        <f>IF(A497&lt;&gt;"",SUMIFS(node!$F$2:$F$500, node!$C$2:$C$500,"="&amp;A497, node!$C$2:$C$500,"&lt;&gt;"&amp;"")/(B497*D497),"")</f>
        <v/>
      </c>
      <c r="F497" s="112" t="str">
        <f>IF(A497&lt;&gt;"",SUMIFS(node!$H$2:$H$500, node!$C$2:$C$500,"="&amp;A497, node!$C$2:$C$500,"&lt;&gt;"&amp;"")/(C497*D497),"")</f>
        <v/>
      </c>
      <c r="G497" s="179" t="str">
        <f>IF(A497&lt;&gt;"",SUMIFS(deployment!$F$4:$F$502, deployment!$D$4:$D$502,"="&amp;A497, deployment!$D$4:$D$502,"&lt;&gt;"&amp;""),"")</f>
        <v/>
      </c>
      <c r="H497" s="181" t="str">
        <f>IF(A497&lt;&gt;"",SUMIFS(deployment!$G$4:$G$502, deployment!$D$4:$D$502,"="&amp;A497, deployment!$D$4:$D$502,"&lt;&gt;"&amp;""),"")</f>
        <v/>
      </c>
      <c r="I497" s="113" t="str">
        <f>IF(A497&lt;&gt;"",SUMIFS(deployment!$H$4:$H$502, deployment!$D$4:$D$502,"="&amp;A497, deployment!$D$4:$D$502,"&lt;&gt;"&amp;""),"")</f>
        <v/>
      </c>
      <c r="J497" s="114" t="str">
        <f>IF(A497&lt;&gt;"",SUMIFS(deployment!$I$4:$I$502, deployment!$D$4:$D$502,"="&amp;A497, deployment!$D$4:$D$502,"&lt;&gt;"&amp;""),"")</f>
        <v/>
      </c>
      <c r="K497" s="182" t="str">
        <f>IF(A497&lt;&gt;"",SUMIFS(deployment!$J$4:$J$1002, deployment!$D$4:$D$1002,"="&amp;A497, deployment!$D$4:$D$1002,"&lt;&gt;"&amp;"", deployment!$C$4:$C$1002, "&lt;&gt;* )")+SUMIFS(namespace!$G$4:$G$1002, namespace!$B$4:$B$1002,"="&amp;A497, namespace!$B$4:$B$1002,"&lt;&gt;"&amp;""),"")</f>
        <v/>
      </c>
      <c r="L497" s="182" t="str">
        <f>IF(A497&lt;&gt;"",SUMIFS(deployment!$K$4:$K$1002, deployment!$D$4:$D$1002,"="&amp;A497, deployment!$D$4:$D$1002,"&lt;&gt;"&amp;"", deployment!$C$4:$C$1002, "&lt;&gt;* )")+SUMIFS(namespace!$H$4:$H$1002, namespace!$B$4:$B$1002,"="&amp;A497, namespace!$B$4:$B$1002,"&lt;&gt;"&amp;""),"")</f>
        <v/>
      </c>
      <c r="M497" s="115" t="str">
        <f>IF(A497&lt;&gt;"",SUMIFS(deployment!$L$4:$L$1002, deployment!$D$4:$D$1002,"="&amp;A497, deployment!$D$4:$D$1002,"&lt;&gt;"&amp;"", deployment!$C$4:$C$1002, "&lt;&gt;* )")+SUMIFS(namespace!$I$4:$I$1002, namespace!$B$4:$B$1002,"="&amp;A497, namespace!$B$4:$B$1002,"&lt;&gt;"&amp;""),"")</f>
        <v/>
      </c>
      <c r="N497" s="115" t="str">
        <f>IF(A497&lt;&gt;"",SUMIFS(deployment!$M$4:$M$1002, deployment!$D$4:$D$1002,"="&amp;A497, deployment!$D$4:$D$1002,"&lt;&gt;"&amp;"", deployment!$C$4:$C$1002, "&lt;&gt;* )")+SUMIFS(namespace!$J$4:$J$1002, namespace!$B$4:$B$1002,"="&amp;A497, namespace!$B$4:$B$1002,"&lt;&gt;"&amp;""),"")</f>
        <v/>
      </c>
      <c r="O497" s="116" t="str">
        <f t="shared" si="91"/>
        <v/>
      </c>
      <c r="P497" s="63"/>
      <c r="Q497" s="164" t="str">
        <f t="shared" si="86"/>
        <v/>
      </c>
      <c r="R497" s="60" t="str">
        <f t="shared" si="87"/>
        <v/>
      </c>
      <c r="S497" s="60" t="str">
        <f t="shared" si="88"/>
        <v/>
      </c>
      <c r="T497" s="61" t="str">
        <f t="shared" si="89"/>
        <v/>
      </c>
      <c r="U497" s="61" t="str">
        <f t="shared" si="90"/>
        <v/>
      </c>
      <c r="V497" s="183" t="str">
        <f t="shared" si="92"/>
        <v/>
      </c>
      <c r="W497" s="183" t="str">
        <f t="shared" si="93"/>
        <v/>
      </c>
      <c r="X497" s="61" t="str">
        <f t="shared" si="94"/>
        <v/>
      </c>
      <c r="Y497" s="61" t="str">
        <f t="shared" si="95"/>
        <v/>
      </c>
      <c r="Z497" s="118" t="str">
        <f t="shared" si="96"/>
        <v/>
      </c>
      <c r="AA497" s="62" t="str">
        <f t="shared" si="97"/>
        <v/>
      </c>
      <c r="AB497" s="119" t="str">
        <f>IF(A497&lt;&gt;"", IF(P497&lt;&gt;0,SUMIFS(node!$J$2:$J$1000, node!$C$2:$C$1000,"="&amp;A497)/P497,0), "")</f>
        <v/>
      </c>
      <c r="AC497" s="81" t="str">
        <f>IF(A497&lt;&gt;"", IF(P497&lt;&gt;0,SUMIFS(node!$K$2:$K$1000, node!$C$2:$C$1000,"="&amp;A497)/P497,0), "")</f>
        <v/>
      </c>
      <c r="AD497" s="82" t="str">
        <f>IF(A497&lt;&gt;"", SUMIFS(node!$L$2:$L$1000, node!$C$2:$C$1000,"="&amp;A497), "")</f>
        <v/>
      </c>
      <c r="AE497" s="87" t="str">
        <f>IF(A497&lt;&gt;"", SUMIFS(node!$M$2:$M$1000, node!$C$2:$C$1000,"="&amp;A497), "")</f>
        <v/>
      </c>
    </row>
    <row r="498" spans="1:31" ht="15.75" customHeight="1" x14ac:dyDescent="0.25">
      <c r="A498" s="71" t="str">
        <f>IF(ISNONTEXT(node_raw[[#This Row],[Column2]]), "", node_raw[[#This Row],[Column2]])</f>
        <v/>
      </c>
      <c r="B498" s="108" t="str">
        <f>IF(A498&lt;&gt;"", VLOOKUP(A498, node!$C$2:$D$1000, 2, FALSE), "")</f>
        <v/>
      </c>
      <c r="C498" s="109" t="str">
        <f>IF(A498&lt;&gt;"", VLOOKUP(A498, node!$C$2:$E$1000, 3, FALSE), "")</f>
        <v/>
      </c>
      <c r="D498" s="110" t="str">
        <f>IF(A498&lt;&gt;"",COUNTIFS(node!$C$2:$C$1000,"="&amp;A498, node!$C$2:$C$1000,"&lt;&gt;"&amp;""),"")</f>
        <v/>
      </c>
      <c r="E498" s="111" t="str">
        <f>IF(A498&lt;&gt;"",SUMIFS(node!$F$2:$F$500, node!$C$2:$C$500,"="&amp;A498, node!$C$2:$C$500,"&lt;&gt;"&amp;"")/(B498*D498),"")</f>
        <v/>
      </c>
      <c r="F498" s="112" t="str">
        <f>IF(A498&lt;&gt;"",SUMIFS(node!$H$2:$H$500, node!$C$2:$C$500,"="&amp;A498, node!$C$2:$C$500,"&lt;&gt;"&amp;"")/(C498*D498),"")</f>
        <v/>
      </c>
      <c r="G498" s="179" t="str">
        <f>IF(A498&lt;&gt;"",SUMIFS(deployment!$F$4:$F$502, deployment!$D$4:$D$502,"="&amp;A498, deployment!$D$4:$D$502,"&lt;&gt;"&amp;""),"")</f>
        <v/>
      </c>
      <c r="H498" s="181" t="str">
        <f>IF(A498&lt;&gt;"",SUMIFS(deployment!$G$4:$G$502, deployment!$D$4:$D$502,"="&amp;A498, deployment!$D$4:$D$502,"&lt;&gt;"&amp;""),"")</f>
        <v/>
      </c>
      <c r="I498" s="113" t="str">
        <f>IF(A498&lt;&gt;"",SUMIFS(deployment!$H$4:$H$502, deployment!$D$4:$D$502,"="&amp;A498, deployment!$D$4:$D$502,"&lt;&gt;"&amp;""),"")</f>
        <v/>
      </c>
      <c r="J498" s="114" t="str">
        <f>IF(A498&lt;&gt;"",SUMIFS(deployment!$I$4:$I$502, deployment!$D$4:$D$502,"="&amp;A498, deployment!$D$4:$D$502,"&lt;&gt;"&amp;""),"")</f>
        <v/>
      </c>
      <c r="K498" s="182" t="str">
        <f>IF(A498&lt;&gt;"",SUMIFS(deployment!$J$4:$J$1002, deployment!$D$4:$D$1002,"="&amp;A498, deployment!$D$4:$D$1002,"&lt;&gt;"&amp;"", deployment!$C$4:$C$1002, "&lt;&gt;* )")+SUMIFS(namespace!$G$4:$G$1002, namespace!$B$4:$B$1002,"="&amp;A498, namespace!$B$4:$B$1002,"&lt;&gt;"&amp;""),"")</f>
        <v/>
      </c>
      <c r="L498" s="182" t="str">
        <f>IF(A498&lt;&gt;"",SUMIFS(deployment!$K$4:$K$1002, deployment!$D$4:$D$1002,"="&amp;A498, deployment!$D$4:$D$1002,"&lt;&gt;"&amp;"", deployment!$C$4:$C$1002, "&lt;&gt;* )")+SUMIFS(namespace!$H$4:$H$1002, namespace!$B$4:$B$1002,"="&amp;A498, namespace!$B$4:$B$1002,"&lt;&gt;"&amp;""),"")</f>
        <v/>
      </c>
      <c r="M498" s="115" t="str">
        <f>IF(A498&lt;&gt;"",SUMIFS(deployment!$L$4:$L$1002, deployment!$D$4:$D$1002,"="&amp;A498, deployment!$D$4:$D$1002,"&lt;&gt;"&amp;"", deployment!$C$4:$C$1002, "&lt;&gt;* )")+SUMIFS(namespace!$I$4:$I$1002, namespace!$B$4:$B$1002,"="&amp;A498, namespace!$B$4:$B$1002,"&lt;&gt;"&amp;""),"")</f>
        <v/>
      </c>
      <c r="N498" s="115" t="str">
        <f>IF(A498&lt;&gt;"",SUMIFS(deployment!$M$4:$M$1002, deployment!$D$4:$D$1002,"="&amp;A498, deployment!$D$4:$D$1002,"&lt;&gt;"&amp;"", deployment!$C$4:$C$1002, "&lt;&gt;* )")+SUMIFS(namespace!$J$4:$J$1002, namespace!$B$4:$B$1002,"="&amp;A498, namespace!$B$4:$B$1002,"&lt;&gt;"&amp;""),"")</f>
        <v/>
      </c>
      <c r="O498" s="116" t="str">
        <f t="shared" si="91"/>
        <v/>
      </c>
      <c r="P498" s="63"/>
      <c r="Q498" s="164" t="str">
        <f t="shared" si="86"/>
        <v/>
      </c>
      <c r="R498" s="60" t="str">
        <f t="shared" si="87"/>
        <v/>
      </c>
      <c r="S498" s="60" t="str">
        <f t="shared" si="88"/>
        <v/>
      </c>
      <c r="T498" s="61" t="str">
        <f t="shared" si="89"/>
        <v/>
      </c>
      <c r="U498" s="61" t="str">
        <f t="shared" si="90"/>
        <v/>
      </c>
      <c r="V498" s="183" t="str">
        <f t="shared" si="92"/>
        <v/>
      </c>
      <c r="W498" s="183" t="str">
        <f t="shared" si="93"/>
        <v/>
      </c>
      <c r="X498" s="61" t="str">
        <f t="shared" si="94"/>
        <v/>
      </c>
      <c r="Y498" s="61" t="str">
        <f t="shared" si="95"/>
        <v/>
      </c>
      <c r="Z498" s="118" t="str">
        <f t="shared" si="96"/>
        <v/>
      </c>
      <c r="AA498" s="62" t="str">
        <f t="shared" si="97"/>
        <v/>
      </c>
      <c r="AB498" s="119" t="str">
        <f>IF(A498&lt;&gt;"", IF(P498&lt;&gt;0,SUMIFS(node!$J$2:$J$1000, node!$C$2:$C$1000,"="&amp;A498)/P498,0), "")</f>
        <v/>
      </c>
      <c r="AC498" s="81" t="str">
        <f>IF(A498&lt;&gt;"", IF(P498&lt;&gt;0,SUMIFS(node!$K$2:$K$1000, node!$C$2:$C$1000,"="&amp;A498)/P498,0), "")</f>
        <v/>
      </c>
      <c r="AD498" s="82" t="str">
        <f>IF(A498&lt;&gt;"", SUMIFS(node!$L$2:$L$1000, node!$C$2:$C$1000,"="&amp;A498), "")</f>
        <v/>
      </c>
      <c r="AE498" s="87" t="str">
        <f>IF(A498&lt;&gt;"", SUMIFS(node!$M$2:$M$1000, node!$C$2:$C$1000,"="&amp;A498), "")</f>
        <v/>
      </c>
    </row>
    <row r="499" spans="1:31" ht="15.75" customHeight="1" x14ac:dyDescent="0.25">
      <c r="A499" s="71" t="str">
        <f>IF(ISNONTEXT(node_raw[[#This Row],[Column2]]), "", node_raw[[#This Row],[Column2]])</f>
        <v/>
      </c>
      <c r="B499" s="108" t="str">
        <f>IF(A499&lt;&gt;"", VLOOKUP(A499, node!$C$2:$D$1000, 2, FALSE), "")</f>
        <v/>
      </c>
      <c r="C499" s="109" t="str">
        <f>IF(A499&lt;&gt;"", VLOOKUP(A499, node!$C$2:$E$1000, 3, FALSE), "")</f>
        <v/>
      </c>
      <c r="D499" s="110" t="str">
        <f>IF(A499&lt;&gt;"",COUNTIFS(node!$C$2:$C$1000,"="&amp;A499, node!$C$2:$C$1000,"&lt;&gt;"&amp;""),"")</f>
        <v/>
      </c>
      <c r="E499" s="111" t="str">
        <f>IF(A499&lt;&gt;"",SUMIFS(node!$F$2:$F$500, node!$C$2:$C$500,"="&amp;A499, node!$C$2:$C$500,"&lt;&gt;"&amp;"")/(B499*D499),"")</f>
        <v/>
      </c>
      <c r="F499" s="112" t="str">
        <f>IF(A499&lt;&gt;"",SUMIFS(node!$H$2:$H$500, node!$C$2:$C$500,"="&amp;A499, node!$C$2:$C$500,"&lt;&gt;"&amp;"")/(C499*D499),"")</f>
        <v/>
      </c>
      <c r="G499" s="179" t="str">
        <f>IF(A499&lt;&gt;"",SUMIFS(deployment!$F$4:$F$502, deployment!$D$4:$D$502,"="&amp;A499, deployment!$D$4:$D$502,"&lt;&gt;"&amp;""),"")</f>
        <v/>
      </c>
      <c r="H499" s="181" t="str">
        <f>IF(A499&lt;&gt;"",SUMIFS(deployment!$G$4:$G$502, deployment!$D$4:$D$502,"="&amp;A499, deployment!$D$4:$D$502,"&lt;&gt;"&amp;""),"")</f>
        <v/>
      </c>
      <c r="I499" s="113" t="str">
        <f>IF(A499&lt;&gt;"",SUMIFS(deployment!$H$4:$H$502, deployment!$D$4:$D$502,"="&amp;A499, deployment!$D$4:$D$502,"&lt;&gt;"&amp;""),"")</f>
        <v/>
      </c>
      <c r="J499" s="114" t="str">
        <f>IF(A499&lt;&gt;"",SUMIFS(deployment!$I$4:$I$502, deployment!$D$4:$D$502,"="&amp;A499, deployment!$D$4:$D$502,"&lt;&gt;"&amp;""),"")</f>
        <v/>
      </c>
      <c r="K499" s="182" t="str">
        <f>IF(A499&lt;&gt;"",SUMIFS(deployment!$J$4:$J$1002, deployment!$D$4:$D$1002,"="&amp;A499, deployment!$D$4:$D$1002,"&lt;&gt;"&amp;"", deployment!$C$4:$C$1002, "&lt;&gt;* )")+SUMIFS(namespace!$G$4:$G$1002, namespace!$B$4:$B$1002,"="&amp;A499, namespace!$B$4:$B$1002,"&lt;&gt;"&amp;""),"")</f>
        <v/>
      </c>
      <c r="L499" s="182" t="str">
        <f>IF(A499&lt;&gt;"",SUMIFS(deployment!$K$4:$K$1002, deployment!$D$4:$D$1002,"="&amp;A499, deployment!$D$4:$D$1002,"&lt;&gt;"&amp;"", deployment!$C$4:$C$1002, "&lt;&gt;* )")+SUMIFS(namespace!$H$4:$H$1002, namespace!$B$4:$B$1002,"="&amp;A499, namespace!$B$4:$B$1002,"&lt;&gt;"&amp;""),"")</f>
        <v/>
      </c>
      <c r="M499" s="115" t="str">
        <f>IF(A499&lt;&gt;"",SUMIFS(deployment!$L$4:$L$1002, deployment!$D$4:$D$1002,"="&amp;A499, deployment!$D$4:$D$1002,"&lt;&gt;"&amp;"", deployment!$C$4:$C$1002, "&lt;&gt;* )")+SUMIFS(namespace!$I$4:$I$1002, namespace!$B$4:$B$1002,"="&amp;A499, namespace!$B$4:$B$1002,"&lt;&gt;"&amp;""),"")</f>
        <v/>
      </c>
      <c r="N499" s="115" t="str">
        <f>IF(A499&lt;&gt;"",SUMIFS(deployment!$M$4:$M$1002, deployment!$D$4:$D$1002,"="&amp;A499, deployment!$D$4:$D$1002,"&lt;&gt;"&amp;"", deployment!$C$4:$C$1002, "&lt;&gt;* )")+SUMIFS(namespace!$J$4:$J$1002, namespace!$B$4:$B$1002,"="&amp;A499, namespace!$B$4:$B$1002,"&lt;&gt;"&amp;""),"")</f>
        <v/>
      </c>
      <c r="O499" s="116" t="str">
        <f t="shared" si="91"/>
        <v/>
      </c>
      <c r="P499" s="63"/>
      <c r="Q499" s="164" t="str">
        <f t="shared" si="86"/>
        <v/>
      </c>
      <c r="R499" s="60" t="str">
        <f t="shared" si="87"/>
        <v/>
      </c>
      <c r="S499" s="60" t="str">
        <f t="shared" si="88"/>
        <v/>
      </c>
      <c r="T499" s="61" t="str">
        <f t="shared" si="89"/>
        <v/>
      </c>
      <c r="U499" s="61" t="str">
        <f t="shared" si="90"/>
        <v/>
      </c>
      <c r="V499" s="183" t="str">
        <f t="shared" si="92"/>
        <v/>
      </c>
      <c r="W499" s="183" t="str">
        <f t="shared" si="93"/>
        <v/>
      </c>
      <c r="X499" s="61" t="str">
        <f t="shared" si="94"/>
        <v/>
      </c>
      <c r="Y499" s="61" t="str">
        <f t="shared" si="95"/>
        <v/>
      </c>
      <c r="Z499" s="118" t="str">
        <f t="shared" si="96"/>
        <v/>
      </c>
      <c r="AA499" s="62" t="str">
        <f t="shared" si="97"/>
        <v/>
      </c>
      <c r="AB499" s="119" t="str">
        <f>IF(A499&lt;&gt;"", IF(P499&lt;&gt;0,SUMIFS(node!$J$2:$J$1000, node!$C$2:$C$1000,"="&amp;A499)/P499,0), "")</f>
        <v/>
      </c>
      <c r="AC499" s="81" t="str">
        <f>IF(A499&lt;&gt;"", IF(P499&lt;&gt;0,SUMIFS(node!$K$2:$K$1000, node!$C$2:$C$1000,"="&amp;A499)/P499,0), "")</f>
        <v/>
      </c>
      <c r="AD499" s="82" t="str">
        <f>IF(A499&lt;&gt;"", SUMIFS(node!$L$2:$L$1000, node!$C$2:$C$1000,"="&amp;A499), "")</f>
        <v/>
      </c>
      <c r="AE499" s="87" t="str">
        <f>IF(A499&lt;&gt;"", SUMIFS(node!$M$2:$M$1000, node!$C$2:$C$1000,"="&amp;A499), "")</f>
        <v/>
      </c>
    </row>
    <row r="500" spans="1:31" ht="15.75" customHeight="1" x14ac:dyDescent="0.25">
      <c r="A500" s="71" t="str">
        <f>IF(ISNONTEXT(node_raw[[#This Row],[Column2]]), "", node_raw[[#This Row],[Column2]])</f>
        <v/>
      </c>
      <c r="B500" s="108" t="str">
        <f>IF(A500&lt;&gt;"", VLOOKUP(A500, node!$C$2:$D$1000, 2, FALSE), "")</f>
        <v/>
      </c>
      <c r="C500" s="109" t="str">
        <f>IF(A500&lt;&gt;"", VLOOKUP(A500, node!$C$2:$E$1000, 3, FALSE), "")</f>
        <v/>
      </c>
      <c r="D500" s="110" t="str">
        <f>IF(A500&lt;&gt;"",COUNTIFS(node!$C$2:$C$1000,"="&amp;A500, node!$C$2:$C$1000,"&lt;&gt;"&amp;""),"")</f>
        <v/>
      </c>
      <c r="E500" s="111" t="str">
        <f>IF(A500&lt;&gt;"",SUMIFS(node!$F$2:$F$500, node!$C$2:$C$500,"="&amp;A500, node!$C$2:$C$500,"&lt;&gt;"&amp;"")/(B500*D500),"")</f>
        <v/>
      </c>
      <c r="F500" s="112" t="str">
        <f>IF(A500&lt;&gt;"",SUMIFS(node!$H$2:$H$500, node!$C$2:$C$500,"="&amp;A500, node!$C$2:$C$500,"&lt;&gt;"&amp;"")/(C500*D500),"")</f>
        <v/>
      </c>
      <c r="G500" s="179" t="str">
        <f>IF(A500&lt;&gt;"",SUMIFS(deployment!$F$4:$F$502, deployment!$D$4:$D$502,"="&amp;A500, deployment!$D$4:$D$502,"&lt;&gt;"&amp;""),"")</f>
        <v/>
      </c>
      <c r="H500" s="181" t="str">
        <f>IF(A500&lt;&gt;"",SUMIFS(deployment!$G$4:$G$502, deployment!$D$4:$D$502,"="&amp;A500, deployment!$D$4:$D$502,"&lt;&gt;"&amp;""),"")</f>
        <v/>
      </c>
      <c r="I500" s="113" t="str">
        <f>IF(A500&lt;&gt;"",SUMIFS(deployment!$H$4:$H$502, deployment!$D$4:$D$502,"="&amp;A500, deployment!$D$4:$D$502,"&lt;&gt;"&amp;""),"")</f>
        <v/>
      </c>
      <c r="J500" s="114" t="str">
        <f>IF(A500&lt;&gt;"",SUMIFS(deployment!$I$4:$I$502, deployment!$D$4:$D$502,"="&amp;A500, deployment!$D$4:$D$502,"&lt;&gt;"&amp;""),"")</f>
        <v/>
      </c>
      <c r="K500" s="182" t="str">
        <f>IF(A500&lt;&gt;"",SUMIFS(deployment!$J$4:$J$1002, deployment!$D$4:$D$1002,"="&amp;A500, deployment!$D$4:$D$1002,"&lt;&gt;"&amp;"", deployment!$C$4:$C$1002, "&lt;&gt;* )")+SUMIFS(namespace!$G$4:$G$1002, namespace!$B$4:$B$1002,"="&amp;A500, namespace!$B$4:$B$1002,"&lt;&gt;"&amp;""),"")</f>
        <v/>
      </c>
      <c r="L500" s="182" t="str">
        <f>IF(A500&lt;&gt;"",SUMIFS(deployment!$K$4:$K$1002, deployment!$D$4:$D$1002,"="&amp;A500, deployment!$D$4:$D$1002,"&lt;&gt;"&amp;"", deployment!$C$4:$C$1002, "&lt;&gt;* )")+SUMIFS(namespace!$H$4:$H$1002, namespace!$B$4:$B$1002,"="&amp;A500, namespace!$B$4:$B$1002,"&lt;&gt;"&amp;""),"")</f>
        <v/>
      </c>
      <c r="M500" s="115" t="str">
        <f>IF(A500&lt;&gt;"",SUMIFS(deployment!$L$4:$L$1002, deployment!$D$4:$D$1002,"="&amp;A500, deployment!$D$4:$D$1002,"&lt;&gt;"&amp;"", deployment!$C$4:$C$1002, "&lt;&gt;* )")+SUMIFS(namespace!$I$4:$I$1002, namespace!$B$4:$B$1002,"="&amp;A500, namespace!$B$4:$B$1002,"&lt;&gt;"&amp;""),"")</f>
        <v/>
      </c>
      <c r="N500" s="115" t="str">
        <f>IF(A500&lt;&gt;"",SUMIFS(deployment!$M$4:$M$1002, deployment!$D$4:$D$1002,"="&amp;A500, deployment!$D$4:$D$1002,"&lt;&gt;"&amp;"", deployment!$C$4:$C$1002, "&lt;&gt;* )")+SUMIFS(namespace!$J$4:$J$1002, namespace!$B$4:$B$1002,"="&amp;A500, namespace!$B$4:$B$1002,"&lt;&gt;"&amp;""),"")</f>
        <v/>
      </c>
      <c r="O500" s="116" t="str">
        <f t="shared" si="91"/>
        <v/>
      </c>
      <c r="P500" s="63"/>
      <c r="Q500" s="164" t="str">
        <f t="shared" si="86"/>
        <v/>
      </c>
      <c r="R500" s="60" t="str">
        <f t="shared" si="87"/>
        <v/>
      </c>
      <c r="S500" s="60" t="str">
        <f t="shared" si="88"/>
        <v/>
      </c>
      <c r="T500" s="61" t="str">
        <f t="shared" si="89"/>
        <v/>
      </c>
      <c r="U500" s="61" t="str">
        <f t="shared" si="90"/>
        <v/>
      </c>
      <c r="V500" s="183" t="str">
        <f t="shared" si="92"/>
        <v/>
      </c>
      <c r="W500" s="183" t="str">
        <f t="shared" si="93"/>
        <v/>
      </c>
      <c r="X500" s="61" t="str">
        <f t="shared" si="94"/>
        <v/>
      </c>
      <c r="Y500" s="61" t="str">
        <f t="shared" si="95"/>
        <v/>
      </c>
      <c r="Z500" s="118" t="str">
        <f t="shared" si="96"/>
        <v/>
      </c>
      <c r="AA500" s="62" t="str">
        <f t="shared" si="97"/>
        <v/>
      </c>
      <c r="AB500" s="119" t="str">
        <f>IF(A500&lt;&gt;"", IF(P500&lt;&gt;0,SUMIFS(node!$J$2:$J$1000, node!$C$2:$C$1000,"="&amp;A500)/P500,0), "")</f>
        <v/>
      </c>
      <c r="AC500" s="81" t="str">
        <f>IF(A500&lt;&gt;"", IF(P500&lt;&gt;0,SUMIFS(node!$K$2:$K$1000, node!$C$2:$C$1000,"="&amp;A500)/P500,0), "")</f>
        <v/>
      </c>
      <c r="AD500" s="82" t="str">
        <f>IF(A500&lt;&gt;"", SUMIFS(node!$L$2:$L$1000, node!$C$2:$C$1000,"="&amp;A500), "")</f>
        <v/>
      </c>
      <c r="AE500" s="87" t="str">
        <f>IF(A500&lt;&gt;"", SUMIFS(node!$M$2:$M$1000, node!$C$2:$C$1000,"="&amp;A500), "")</f>
        <v/>
      </c>
    </row>
    <row r="501" spans="1:31" ht="15.75" customHeight="1" x14ac:dyDescent="0.25">
      <c r="A501" s="71" t="str">
        <f>IF(ISNONTEXT(node_raw[[#This Row],[Column2]]), "", node_raw[[#This Row],[Column2]])</f>
        <v/>
      </c>
      <c r="B501" s="108" t="str">
        <f>IF(A501&lt;&gt;"", VLOOKUP(A501, node!$C$2:$D$1000, 2, FALSE), "")</f>
        <v/>
      </c>
      <c r="C501" s="109" t="str">
        <f>IF(A501&lt;&gt;"", VLOOKUP(A501, node!$C$2:$E$1000, 3, FALSE), "")</f>
        <v/>
      </c>
      <c r="D501" s="110" t="str">
        <f>IF(A501&lt;&gt;"",COUNTIFS(node!$C$2:$C$1000,"="&amp;A501, node!$C$2:$C$1000,"&lt;&gt;"&amp;""),"")</f>
        <v/>
      </c>
      <c r="E501" s="111" t="str">
        <f>IF(A501&lt;&gt;"",SUMIFS(node!$F$2:$F$500, node!$C$2:$C$500,"="&amp;A501, node!$C$2:$C$500,"&lt;&gt;"&amp;"")/(B501*D501),"")</f>
        <v/>
      </c>
      <c r="F501" s="112" t="str">
        <f>IF(A501&lt;&gt;"",SUMIFS(node!$H$2:$H$500, node!$C$2:$C$500,"="&amp;A501, node!$C$2:$C$500,"&lt;&gt;"&amp;"")/(C501*D501),"")</f>
        <v/>
      </c>
      <c r="G501" s="179" t="str">
        <f>IF(A501&lt;&gt;"",SUMIFS(deployment!$F$4:$F$502, deployment!$D$4:$D$502,"="&amp;A501, deployment!$D$4:$D$502,"&lt;&gt;"&amp;""),"")</f>
        <v/>
      </c>
      <c r="H501" s="181" t="str">
        <f>IF(A501&lt;&gt;"",SUMIFS(deployment!$G$4:$G$502, deployment!$D$4:$D$502,"="&amp;A501, deployment!$D$4:$D$502,"&lt;&gt;"&amp;""),"")</f>
        <v/>
      </c>
      <c r="I501" s="113" t="str">
        <f>IF(A501&lt;&gt;"",SUMIFS(deployment!$H$4:$H$502, deployment!$D$4:$D$502,"="&amp;A501, deployment!$D$4:$D$502,"&lt;&gt;"&amp;""),"")</f>
        <v/>
      </c>
      <c r="J501" s="114" t="str">
        <f>IF(A501&lt;&gt;"",SUMIFS(deployment!$I$4:$I$502, deployment!$D$4:$D$502,"="&amp;A501, deployment!$D$4:$D$502,"&lt;&gt;"&amp;""),"")</f>
        <v/>
      </c>
      <c r="K501" s="182" t="str">
        <f>IF(A501&lt;&gt;"",SUMIFS(deployment!$J$4:$J$1002, deployment!$D$4:$D$1002,"="&amp;A501, deployment!$D$4:$D$1002,"&lt;&gt;"&amp;"", deployment!$C$4:$C$1002, "&lt;&gt;* )")+SUMIFS(namespace!$G$4:$G$1002, namespace!$B$4:$B$1002,"="&amp;A501, namespace!$B$4:$B$1002,"&lt;&gt;"&amp;""),"")</f>
        <v/>
      </c>
      <c r="L501" s="182" t="str">
        <f>IF(A501&lt;&gt;"",SUMIFS(deployment!$K$4:$K$1002, deployment!$D$4:$D$1002,"="&amp;A501, deployment!$D$4:$D$1002,"&lt;&gt;"&amp;"", deployment!$C$4:$C$1002, "&lt;&gt;* )")+SUMIFS(namespace!$H$4:$H$1002, namespace!$B$4:$B$1002,"="&amp;A501, namespace!$B$4:$B$1002,"&lt;&gt;"&amp;""),"")</f>
        <v/>
      </c>
      <c r="M501" s="115" t="str">
        <f>IF(A501&lt;&gt;"",SUMIFS(deployment!$L$4:$L$1002, deployment!$D$4:$D$1002,"="&amp;A501, deployment!$D$4:$D$1002,"&lt;&gt;"&amp;"", deployment!$C$4:$C$1002, "&lt;&gt;* )")+SUMIFS(namespace!$I$4:$I$1002, namespace!$B$4:$B$1002,"="&amp;A501, namespace!$B$4:$B$1002,"&lt;&gt;"&amp;""),"")</f>
        <v/>
      </c>
      <c r="N501" s="115" t="str">
        <f>IF(A501&lt;&gt;"",SUMIFS(deployment!$M$4:$M$1002, deployment!$D$4:$D$1002,"="&amp;A501, deployment!$D$4:$D$1002,"&lt;&gt;"&amp;"", deployment!$C$4:$C$1002, "&lt;&gt;* )")+SUMIFS(namespace!$J$4:$J$1002, namespace!$B$4:$B$1002,"="&amp;A501, namespace!$B$4:$B$1002,"&lt;&gt;"&amp;""),"")</f>
        <v/>
      </c>
      <c r="O501" s="116" t="str">
        <f t="shared" si="91"/>
        <v/>
      </c>
      <c r="P501" s="63"/>
      <c r="Q501" s="164" t="str">
        <f t="shared" si="86"/>
        <v/>
      </c>
      <c r="R501" s="60" t="str">
        <f t="shared" si="87"/>
        <v/>
      </c>
      <c r="S501" s="60" t="str">
        <f t="shared" si="88"/>
        <v/>
      </c>
      <c r="T501" s="61" t="str">
        <f t="shared" si="89"/>
        <v/>
      </c>
      <c r="U501" s="61" t="str">
        <f t="shared" si="90"/>
        <v/>
      </c>
      <c r="V501" s="183" t="str">
        <f t="shared" si="92"/>
        <v/>
      </c>
      <c r="W501" s="183" t="str">
        <f t="shared" si="93"/>
        <v/>
      </c>
      <c r="X501" s="61" t="str">
        <f t="shared" si="94"/>
        <v/>
      </c>
      <c r="Y501" s="61" t="str">
        <f t="shared" si="95"/>
        <v/>
      </c>
      <c r="Z501" s="118" t="str">
        <f t="shared" si="96"/>
        <v/>
      </c>
      <c r="AA501" s="62" t="str">
        <f t="shared" si="97"/>
        <v/>
      </c>
      <c r="AB501" s="119" t="str">
        <f>IF(A501&lt;&gt;"", IF(P501&lt;&gt;0,SUMIFS(node!$J$2:$J$1000, node!$C$2:$C$1000,"="&amp;A501)/P501,0), "")</f>
        <v/>
      </c>
      <c r="AC501" s="81" t="str">
        <f>IF(A501&lt;&gt;"", IF(P501&lt;&gt;0,SUMIFS(node!$K$2:$K$1000, node!$C$2:$C$1000,"="&amp;A501)/P501,0), "")</f>
        <v/>
      </c>
      <c r="AD501" s="82" t="str">
        <f>IF(A501&lt;&gt;"", SUMIFS(node!$L$2:$L$1000, node!$C$2:$C$1000,"="&amp;A501), "")</f>
        <v/>
      </c>
      <c r="AE501" s="87" t="str">
        <f>IF(A501&lt;&gt;"", SUMIFS(node!$M$2:$M$1000, node!$C$2:$C$1000,"="&amp;A501), "")</f>
        <v/>
      </c>
    </row>
    <row r="502" spans="1:31" ht="15.75" customHeight="1" x14ac:dyDescent="0.25">
      <c r="A502" s="71" t="str">
        <f>IF(ISNONTEXT(node_raw[[#This Row],[Column2]]), "", node_raw[[#This Row],[Column2]])</f>
        <v/>
      </c>
      <c r="B502" s="108" t="str">
        <f>IF(A502&lt;&gt;"", VLOOKUP(A502, node!$C$2:$D$1000, 2, FALSE), "")</f>
        <v/>
      </c>
      <c r="C502" s="109" t="str">
        <f>IF(A502&lt;&gt;"", VLOOKUP(A502, node!$C$2:$E$1000, 3, FALSE), "")</f>
        <v/>
      </c>
      <c r="D502" s="110" t="str">
        <f>IF(A502&lt;&gt;"",COUNTIFS(node!$C$2:$C$1000,"="&amp;A502, node!$C$2:$C$1000,"&lt;&gt;"&amp;""),"")</f>
        <v/>
      </c>
      <c r="E502" s="111" t="str">
        <f>IF(A502&lt;&gt;"",SUMIFS(node!$F$2:$F$500, node!$C$2:$C$500,"="&amp;A502, node!$C$2:$C$500,"&lt;&gt;"&amp;"")/(B502*D502),"")</f>
        <v/>
      </c>
      <c r="F502" s="112" t="str">
        <f>IF(A502&lt;&gt;"",SUMIFS(node!$H$2:$H$500, node!$C$2:$C$500,"="&amp;A502, node!$C$2:$C$500,"&lt;&gt;"&amp;"")/(C502*D502),"")</f>
        <v/>
      </c>
      <c r="G502" s="179" t="str">
        <f>IF(A502&lt;&gt;"",SUMIFS(deployment!$F$4:$F$502, deployment!$D$4:$D$502,"="&amp;A502, deployment!$D$4:$D$502,"&lt;&gt;"&amp;""),"")</f>
        <v/>
      </c>
      <c r="H502" s="181" t="str">
        <f>IF(A502&lt;&gt;"",SUMIFS(deployment!$G$4:$G$502, deployment!$D$4:$D$502,"="&amp;A502, deployment!$D$4:$D$502,"&lt;&gt;"&amp;""),"")</f>
        <v/>
      </c>
      <c r="I502" s="113" t="str">
        <f>IF(A502&lt;&gt;"",SUMIFS(deployment!$H$4:$H$502, deployment!$D$4:$D$502,"="&amp;A502, deployment!$D$4:$D$502,"&lt;&gt;"&amp;""),"")</f>
        <v/>
      </c>
      <c r="J502" s="114" t="str">
        <f>IF(A502&lt;&gt;"",SUMIFS(deployment!$I$4:$I$502, deployment!$D$4:$D$502,"="&amp;A502, deployment!$D$4:$D$502,"&lt;&gt;"&amp;""),"")</f>
        <v/>
      </c>
      <c r="K502" s="182" t="str">
        <f>IF(A502&lt;&gt;"",SUMIFS(deployment!$J$4:$J$1002, deployment!$D$4:$D$1002,"="&amp;A502, deployment!$D$4:$D$1002,"&lt;&gt;"&amp;"", deployment!$C$4:$C$1002, "&lt;&gt;* )")+SUMIFS(namespace!$G$4:$G$1002, namespace!$B$4:$B$1002,"="&amp;A502, namespace!$B$4:$B$1002,"&lt;&gt;"&amp;""),"")</f>
        <v/>
      </c>
      <c r="L502" s="182" t="str">
        <f>IF(A502&lt;&gt;"",SUMIFS(deployment!$K$4:$K$1002, deployment!$D$4:$D$1002,"="&amp;A502, deployment!$D$4:$D$1002,"&lt;&gt;"&amp;"", deployment!$C$4:$C$1002, "&lt;&gt;* )")+SUMIFS(namespace!$H$4:$H$1002, namespace!$B$4:$B$1002,"="&amp;A502, namespace!$B$4:$B$1002,"&lt;&gt;"&amp;""),"")</f>
        <v/>
      </c>
      <c r="M502" s="115" t="str">
        <f>IF(A502&lt;&gt;"",SUMIFS(deployment!$L$4:$L$1002, deployment!$D$4:$D$1002,"="&amp;A502, deployment!$D$4:$D$1002,"&lt;&gt;"&amp;"", deployment!$C$4:$C$1002, "&lt;&gt;* )")+SUMIFS(namespace!$I$4:$I$1002, namespace!$B$4:$B$1002,"="&amp;A502, namespace!$B$4:$B$1002,"&lt;&gt;"&amp;""),"")</f>
        <v/>
      </c>
      <c r="N502" s="115" t="str">
        <f>IF(A502&lt;&gt;"",SUMIFS(deployment!$M$4:$M$1002, deployment!$D$4:$D$1002,"="&amp;A502, deployment!$D$4:$D$1002,"&lt;&gt;"&amp;"", deployment!$C$4:$C$1002, "&lt;&gt;* )")+SUMIFS(namespace!$J$4:$J$1002, namespace!$B$4:$B$1002,"="&amp;A502, namespace!$B$4:$B$1002,"&lt;&gt;"&amp;""),"")</f>
        <v/>
      </c>
      <c r="O502" s="116" t="str">
        <f t="shared" si="91"/>
        <v/>
      </c>
      <c r="P502" s="63"/>
      <c r="Q502" s="164" t="str">
        <f t="shared" si="86"/>
        <v/>
      </c>
      <c r="R502" s="60" t="str">
        <f t="shared" si="87"/>
        <v/>
      </c>
      <c r="S502" s="60" t="str">
        <f t="shared" si="88"/>
        <v/>
      </c>
      <c r="T502" s="61" t="str">
        <f t="shared" si="89"/>
        <v/>
      </c>
      <c r="U502" s="61" t="str">
        <f t="shared" si="90"/>
        <v/>
      </c>
      <c r="V502" s="183" t="str">
        <f t="shared" si="92"/>
        <v/>
      </c>
      <c r="W502" s="183" t="str">
        <f t="shared" si="93"/>
        <v/>
      </c>
      <c r="X502" s="61" t="str">
        <f t="shared" si="94"/>
        <v/>
      </c>
      <c r="Y502" s="61" t="str">
        <f t="shared" si="95"/>
        <v/>
      </c>
      <c r="Z502" s="118" t="str">
        <f t="shared" si="96"/>
        <v/>
      </c>
      <c r="AA502" s="62" t="str">
        <f t="shared" si="97"/>
        <v/>
      </c>
      <c r="AB502" s="119" t="str">
        <f>IF(A502&lt;&gt;"", IF(P502&lt;&gt;0,SUMIFS(node!$J$2:$J$1000, node!$C$2:$C$1000,"="&amp;A502)/P502,0), "")</f>
        <v/>
      </c>
      <c r="AC502" s="81" t="str">
        <f>IF(A502&lt;&gt;"", IF(P502&lt;&gt;0,SUMIFS(node!$K$2:$K$1000, node!$C$2:$C$1000,"="&amp;A502)/P502,0), "")</f>
        <v/>
      </c>
      <c r="AD502" s="82" t="str">
        <f>IF(A502&lt;&gt;"", SUMIFS(node!$L$2:$L$1000, node!$C$2:$C$1000,"="&amp;A502), "")</f>
        <v/>
      </c>
      <c r="AE502" s="87" t="str">
        <f>IF(A502&lt;&gt;"", SUMIFS(node!$M$2:$M$1000, node!$C$2:$C$1000,"="&amp;A502), "")</f>
        <v/>
      </c>
    </row>
  </sheetData>
  <mergeCells count="1">
    <mergeCell ref="A1:A2"/>
  </mergeCells>
  <dataValidations count="2">
    <dataValidation type="list" allowBlank="1" showInputMessage="1" showErrorMessage="1" sqref="B2:C2" xr:uid="{D4F0211F-EA78-4C2D-93DC-38FA61F367A9}">
      <formula1>"30%,40%,50%,55%,60%,65%,70%,75%,80%,85%,90%,95%"</formula1>
    </dataValidation>
    <dataValidation showInputMessage="1" showErrorMessage="1" sqref="P4:Q11" xr:uid="{5E3503F7-1E73-43A7-B7D4-B79E5891E0C7}"/>
  </dataValidations>
  <pageMargins left="0.7" right="0.7" top="0.75" bottom="0.75" header="0" footer="0"/>
  <pageSetup orientation="portrait" r:id="rId1"/>
  <headerFooter>
    <oddFooter>&amp;C_x000D_&amp;1#&amp;"Calibri"&amp;7&amp;K000000 Juniper Business Use Only</oddFooter>
  </headerFooter>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AA1C3D-70D6-457A-97F7-BBAA9C6152DF}">
  <sheetPr codeName="Sheet8"/>
  <dimension ref="A1:A18"/>
  <sheetViews>
    <sheetView workbookViewId="0">
      <selection activeCell="E8" sqref="E8"/>
    </sheetView>
  </sheetViews>
  <sheetFormatPr defaultRowHeight="15" x14ac:dyDescent="0.25"/>
  <cols>
    <col min="1" max="1" width="27.42578125" style="213" customWidth="1"/>
  </cols>
  <sheetData>
    <row r="1" spans="1:1" ht="31.5" customHeight="1" thickBot="1" x14ac:dyDescent="0.3">
      <c r="A1" s="215" t="s">
        <v>0</v>
      </c>
    </row>
    <row r="2" spans="1:1" ht="15.75" thickTop="1" x14ac:dyDescent="0.25">
      <c r="A2" s="214" t="s">
        <v>99</v>
      </c>
    </row>
    <row r="3" spans="1:1" x14ac:dyDescent="0.25">
      <c r="A3" s="213" t="s">
        <v>100</v>
      </c>
    </row>
    <row r="4" spans="1:1" x14ac:dyDescent="0.25">
      <c r="A4" s="213" t="s">
        <v>101</v>
      </c>
    </row>
    <row r="5" spans="1:1" x14ac:dyDescent="0.25">
      <c r="A5" s="213" t="s">
        <v>102</v>
      </c>
    </row>
    <row r="6" spans="1:1" x14ac:dyDescent="0.25">
      <c r="A6" s="213" t="s">
        <v>103</v>
      </c>
    </row>
    <row r="7" spans="1:1" x14ac:dyDescent="0.25">
      <c r="A7" s="213" t="s">
        <v>104</v>
      </c>
    </row>
    <row r="8" spans="1:1" x14ac:dyDescent="0.25">
      <c r="A8" s="213" t="s">
        <v>105</v>
      </c>
    </row>
    <row r="9" spans="1:1" x14ac:dyDescent="0.25">
      <c r="A9" s="213" t="s">
        <v>115</v>
      </c>
    </row>
    <row r="10" spans="1:1" x14ac:dyDescent="0.25">
      <c r="A10" s="213" t="s">
        <v>106</v>
      </c>
    </row>
    <row r="11" spans="1:1" x14ac:dyDescent="0.25">
      <c r="A11" s="213" t="s">
        <v>107</v>
      </c>
    </row>
    <row r="12" spans="1:1" x14ac:dyDescent="0.25">
      <c r="A12" s="213" t="s">
        <v>108</v>
      </c>
    </row>
    <row r="13" spans="1:1" x14ac:dyDescent="0.25">
      <c r="A13" s="213" t="s">
        <v>109</v>
      </c>
    </row>
    <row r="14" spans="1:1" x14ac:dyDescent="0.25">
      <c r="A14" s="213" t="s">
        <v>110</v>
      </c>
    </row>
    <row r="15" spans="1:1" x14ac:dyDescent="0.25">
      <c r="A15" s="213" t="s">
        <v>111</v>
      </c>
    </row>
    <row r="16" spans="1:1" x14ac:dyDescent="0.25">
      <c r="A16" s="213" t="s">
        <v>112</v>
      </c>
    </row>
    <row r="17" spans="1:1" x14ac:dyDescent="0.25">
      <c r="A17" s="213" t="s">
        <v>113</v>
      </c>
    </row>
    <row r="18" spans="1:1" x14ac:dyDescent="0.25">
      <c r="A18" s="213" t="s">
        <v>114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5A5891-AA90-4FAB-B56F-1FBED6854EF5}">
  <sheetPr codeName="Sheet4"/>
  <dimension ref="A1:L1"/>
  <sheetViews>
    <sheetView workbookViewId="0">
      <selection activeCell="A2" sqref="A2"/>
    </sheetView>
  </sheetViews>
  <sheetFormatPr defaultColWidth="8.85546875" defaultRowHeight="15" x14ac:dyDescent="0.25"/>
  <cols>
    <col min="1" max="9" width="11.140625" bestFit="1" customWidth="1"/>
    <col min="10" max="12" width="12.140625" bestFit="1" customWidth="1"/>
  </cols>
  <sheetData>
    <row r="1" spans="1:12" x14ac:dyDescent="0.25">
      <c r="A1" t="s">
        <v>7</v>
      </c>
      <c r="B1" t="s">
        <v>8</v>
      </c>
      <c r="C1" t="s">
        <v>9</v>
      </c>
      <c r="D1" t="s">
        <v>10</v>
      </c>
      <c r="E1" t="s">
        <v>11</v>
      </c>
      <c r="F1" t="s">
        <v>12</v>
      </c>
      <c r="G1" t="s">
        <v>13</v>
      </c>
      <c r="H1" t="s">
        <v>14</v>
      </c>
      <c r="I1" t="s">
        <v>15</v>
      </c>
      <c r="J1" t="s">
        <v>16</v>
      </c>
      <c r="K1" t="s">
        <v>17</v>
      </c>
      <c r="L1" t="s">
        <v>18</v>
      </c>
    </row>
  </sheetData>
  <phoneticPr fontId="16" type="noConversion"/>
  <pageMargins left="0.7" right="0.7" top="0.75" bottom="0.75" header="0.3" footer="0.3"/>
  <headerFooter>
    <oddFooter>&amp;C_x000D_&amp;1#&amp;"Calibri"&amp;7&amp;K000000 Juniper Business Use Only</oddFooter>
  </headerFooter>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732B7-FE0E-4F62-A5DE-E52E75CB615C}">
  <sheetPr codeName="Sheet5"/>
  <dimension ref="A2:U4"/>
  <sheetViews>
    <sheetView workbookViewId="0">
      <selection activeCell="E3" sqref="E3"/>
    </sheetView>
  </sheetViews>
  <sheetFormatPr defaultColWidth="8.85546875" defaultRowHeight="15" x14ac:dyDescent="0.25"/>
  <cols>
    <col min="1" max="9" width="11.140625" bestFit="1" customWidth="1"/>
    <col min="10" max="14" width="12.140625" bestFit="1" customWidth="1"/>
    <col min="15" max="15" width="12.140625" customWidth="1"/>
    <col min="16" max="17" width="12.140625" bestFit="1" customWidth="1"/>
    <col min="18" max="18" width="12.140625" customWidth="1"/>
    <col min="19" max="19" width="12.140625" bestFit="1" customWidth="1"/>
    <col min="20" max="20" width="12.140625" customWidth="1"/>
    <col min="21" max="21" width="12.140625" bestFit="1" customWidth="1"/>
  </cols>
  <sheetData>
    <row r="2" spans="1:21" x14ac:dyDescent="0.25">
      <c r="A2" t="s">
        <v>7</v>
      </c>
      <c r="B2" t="s">
        <v>8</v>
      </c>
      <c r="C2" t="s">
        <v>9</v>
      </c>
      <c r="D2" t="s">
        <v>10</v>
      </c>
      <c r="E2" t="s">
        <v>11</v>
      </c>
      <c r="F2" t="s">
        <v>12</v>
      </c>
      <c r="G2" t="s">
        <v>13</v>
      </c>
      <c r="H2" t="s">
        <v>14</v>
      </c>
      <c r="I2" t="s">
        <v>15</v>
      </c>
      <c r="J2" t="s">
        <v>16</v>
      </c>
      <c r="K2" t="s">
        <v>17</v>
      </c>
      <c r="L2" t="s">
        <v>18</v>
      </c>
      <c r="M2" t="s">
        <v>24</v>
      </c>
      <c r="N2" t="s">
        <v>50</v>
      </c>
      <c r="O2" t="s">
        <v>51</v>
      </c>
      <c r="P2" t="s">
        <v>56</v>
      </c>
      <c r="Q2" t="s">
        <v>86</v>
      </c>
      <c r="R2" t="s">
        <v>87</v>
      </c>
      <c r="S2" t="s">
        <v>88</v>
      </c>
      <c r="T2" t="s">
        <v>89</v>
      </c>
      <c r="U2" t="s">
        <v>95</v>
      </c>
    </row>
    <row r="3" spans="1:21" x14ac:dyDescent="0.25">
      <c r="A3" t="s">
        <v>117</v>
      </c>
      <c r="B3" t="s">
        <v>97</v>
      </c>
      <c r="C3" t="s">
        <v>116</v>
      </c>
      <c r="D3" t="s">
        <v>97</v>
      </c>
    </row>
    <row r="4" spans="1:21" x14ac:dyDescent="0.25">
      <c r="A4" t="s">
        <v>98</v>
      </c>
      <c r="B4" t="s">
        <v>98</v>
      </c>
      <c r="C4" t="s">
        <v>98</v>
      </c>
      <c r="D4" t="s">
        <v>98</v>
      </c>
    </row>
  </sheetData>
  <phoneticPr fontId="16" type="noConversion"/>
  <pageMargins left="0.7" right="0.7" top="0.75" bottom="0.75" header="0.3" footer="0.3"/>
  <headerFooter>
    <oddFooter>&amp;C_x000D_&amp;1#&amp;"Calibri"&amp;7&amp;K000000 Juniper Business Use Only</oddFooter>
  </headerFooter>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11DEA-EA5E-4AD2-845C-75423EBE3034}">
  <sheetPr codeName="Sheet7"/>
  <dimension ref="A2:R4"/>
  <sheetViews>
    <sheetView workbookViewId="0">
      <selection activeCell="D13" sqref="D13"/>
    </sheetView>
  </sheetViews>
  <sheetFormatPr defaultColWidth="8.85546875" defaultRowHeight="15" x14ac:dyDescent="0.25"/>
  <cols>
    <col min="1" max="9" width="11.140625" bestFit="1" customWidth="1"/>
    <col min="10" max="17" width="12.140625" bestFit="1" customWidth="1"/>
    <col min="18" max="18" width="12.140625" customWidth="1"/>
  </cols>
  <sheetData>
    <row r="2" spans="1:18" x14ac:dyDescent="0.25">
      <c r="A2" t="s">
        <v>7</v>
      </c>
      <c r="B2" t="s">
        <v>8</v>
      </c>
      <c r="C2" t="s">
        <v>9</v>
      </c>
      <c r="D2" t="s">
        <v>10</v>
      </c>
      <c r="E2" t="s">
        <v>11</v>
      </c>
      <c r="F2" t="s">
        <v>12</v>
      </c>
      <c r="G2" t="s">
        <v>13</v>
      </c>
      <c r="H2" t="s">
        <v>14</v>
      </c>
      <c r="I2" t="s">
        <v>15</v>
      </c>
      <c r="J2" t="s">
        <v>16</v>
      </c>
      <c r="K2" t="s">
        <v>17</v>
      </c>
      <c r="L2" t="s">
        <v>18</v>
      </c>
      <c r="M2" t="s">
        <v>24</v>
      </c>
      <c r="N2" t="s">
        <v>50</v>
      </c>
      <c r="O2" t="s">
        <v>51</v>
      </c>
      <c r="P2" t="s">
        <v>56</v>
      </c>
      <c r="Q2" t="s">
        <v>86</v>
      </c>
      <c r="R2" t="s">
        <v>87</v>
      </c>
    </row>
    <row r="3" spans="1:18" x14ac:dyDescent="0.25">
      <c r="A3" t="s">
        <v>96</v>
      </c>
      <c r="B3" t="s">
        <v>97</v>
      </c>
      <c r="C3" t="s">
        <v>98</v>
      </c>
      <c r="D3">
        <v>0</v>
      </c>
    </row>
    <row r="4" spans="1:18" x14ac:dyDescent="0.25">
      <c r="A4" t="s">
        <v>98</v>
      </c>
      <c r="B4" t="s">
        <v>98</v>
      </c>
      <c r="C4" t="s">
        <v>98</v>
      </c>
    </row>
  </sheetData>
  <phoneticPr fontId="16" type="noConversion"/>
  <pageMargins left="0.7" right="0.7" top="0.75" bottom="0.75" header="0.3" footer="0.3"/>
  <headerFooter>
    <oddFooter>&amp;C_x000D_&amp;1#&amp;"Calibri"&amp;7&amp;K000000 Juniper Business Use Only</oddFooter>
  </headerFooter>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D31D6D-2EC0-43CE-A206-090EC746566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node</vt:lpstr>
      <vt:lpstr>deployment</vt:lpstr>
      <vt:lpstr>namespace</vt:lpstr>
      <vt:lpstr>capacity</vt:lpstr>
      <vt:lpstr>dynamic resource application </vt:lpstr>
      <vt:lpstr>node-raw</vt:lpstr>
      <vt:lpstr>deployment-raw</vt:lpstr>
      <vt:lpstr>namespace-raw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Sheng-Lin Wu</dc:creator>
  <cp:keywords>20240606</cp:keywords>
  <cp:lastModifiedBy>Shenglin Wu</cp:lastModifiedBy>
  <dcterms:created xsi:type="dcterms:W3CDTF">2023-01-17T03:26:48Z</dcterms:created>
  <dcterms:modified xsi:type="dcterms:W3CDTF">2024-06-17T02:24:25Z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0633b888-ae0d-4341-a75f-06e04137d755_Enabled">
    <vt:lpwstr>true</vt:lpwstr>
  </property>
  <property fmtid="{D5CDD505-2E9C-101B-9397-08002B2CF9AE}" pid="3" name="MSIP_Label_0633b888-ae0d-4341-a75f-06e04137d755_SetDate">
    <vt:lpwstr>2024-06-03T02:29:04Z</vt:lpwstr>
  </property>
  <property fmtid="{D5CDD505-2E9C-101B-9397-08002B2CF9AE}" pid="4" name="MSIP_Label_0633b888-ae0d-4341-a75f-06e04137d755_Method">
    <vt:lpwstr>Standard</vt:lpwstr>
  </property>
  <property fmtid="{D5CDD505-2E9C-101B-9397-08002B2CF9AE}" pid="5" name="MSIP_Label_0633b888-ae0d-4341-a75f-06e04137d755_Name">
    <vt:lpwstr>0633b888-ae0d-4341-a75f-06e04137d755</vt:lpwstr>
  </property>
  <property fmtid="{D5CDD505-2E9C-101B-9397-08002B2CF9AE}" pid="6" name="MSIP_Label_0633b888-ae0d-4341-a75f-06e04137d755_SiteId">
    <vt:lpwstr>bea78b3c-4cdb-4130-854a-1d193232e5f4</vt:lpwstr>
  </property>
  <property fmtid="{D5CDD505-2E9C-101B-9397-08002B2CF9AE}" pid="7" name="MSIP_Label_0633b888-ae0d-4341-a75f-06e04137d755_ActionId">
    <vt:lpwstr>9f43e22b-c2e3-4341-822e-2b775d2abcb9</vt:lpwstr>
  </property>
  <property fmtid="{D5CDD505-2E9C-101B-9397-08002B2CF9AE}" pid="8" name="MSIP_Label_0633b888-ae0d-4341-a75f-06e04137d755_ContentBits">
    <vt:lpwstr>2</vt:lpwstr>
  </property>
</Properties>
</file>